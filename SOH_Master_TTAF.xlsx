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worksheets/sheet13.xml" ContentType="application/vnd.openxmlformats-officedocument.spreadsheetml.worksheet+xml"/>
  <Override PartName="/xl/tables/table5.xml" ContentType="application/vnd.openxmlformats-officedocument.spreadsheetml.table+xml"/>
  <Override PartName="/xl/worksheets/sheet14.xml" ContentType="application/vnd.openxmlformats-officedocument.spreadsheetml.worksheet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tables/table7.xml" ContentType="application/vnd.openxmlformats-officedocument.spreadsheetml.table+xml"/>
  <Override PartName="/xl/worksheets/sheet16.xml" ContentType="application/vnd.openxmlformats-officedocument.spreadsheetml.worksheet+xml"/>
  <Override PartName="/xl/tables/table8.xml" ContentType="application/vnd.openxmlformats-officedocument.spreadsheetml.table+xml"/>
  <Override PartName="/xl/worksheets/sheet17.xml" ContentType="application/vnd.openxmlformats-officedocument.spreadsheetml.worksheet+xml"/>
  <Override PartName="/xl/tables/table9.xml" ContentType="application/vnd.openxmlformats-officedocument.spreadsheetml.table+xml"/>
  <Override PartName="/xl/worksheets/sheet18.xml" ContentType="application/vnd.openxmlformats-officedocument.spreadsheetml.worksheet+xml"/>
  <Override PartName="/xl/tables/table10.xml" ContentType="application/vnd.openxmlformats-officedocument.spreadsheetml.table+xml"/>
  <Override PartName="/xl/worksheets/sheet19.xml" ContentType="application/vnd.openxmlformats-officedocument.spreadsheetml.worksheet+xml"/>
  <Override PartName="/xl/tables/table11.xml" ContentType="application/vnd.openxmlformats-officedocument.spreadsheetml.table+xml"/>
  <Override PartName="/xl/worksheets/sheet20.xml" ContentType="application/vnd.openxmlformats-officedocument.spreadsheetml.worksheet+xml"/>
  <Override PartName="/xl/tables/table12.xml" ContentType="application/vnd.openxmlformats-officedocument.spreadsheetml.table+xml"/>
  <Override PartName="/xl/worksheets/sheet21.xml" ContentType="application/vnd.openxmlformats-officedocument.spreadsheetml.worksheet+xml"/>
  <Override PartName="/xl/tables/table13.xml" ContentType="application/vnd.openxmlformats-officedocument.spreadsheetml.table+xml"/>
  <Override PartName="/xl/worksheets/sheet22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Dashboard" sheetId="2" state="visible" r:id="rId2"/>
    <sheet name="Material_Detail" sheetId="3" state="visible" r:id="rId3"/>
    <sheet name="PO_Draft_Chemical" sheetId="4" state="visible" r:id="rId4"/>
    <sheet name="PO_Draft_Hazardous" sheetId="5" state="visible" r:id="rId5"/>
    <sheet name="PO_Draft_Substrate" sheetId="6" state="visible" r:id="rId6"/>
    <sheet name="T_Shipments" sheetId="7" state="visible" r:id="rId7"/>
    <sheet name="T_OpeningStock" sheetId="8" state="visible" r:id="rId8"/>
    <sheet name="T_StockCount" sheetId="9" state="visible" r:id="rId9"/>
    <sheet name="T_SelfStock" sheetId="10" state="visible" r:id="rId10"/>
    <sheet name="T_TTAFStock" sheetId="11" state="visible" r:id="rId11"/>
    <sheet name="M_RawMaterials" sheetId="12" state="visible" r:id="rId12"/>
    <sheet name="M_BOM" sheetId="13" state="visible" r:id="rId13"/>
    <sheet name="PP_Grid" sheetId="14" state="visible" r:id="rId14"/>
    <sheet name="Cal_Weeks" sheetId="15" state="hidden" r:id="rId15"/>
    <sheet name="M_Intermediates" sheetId="16" state="hidden" r:id="rId16"/>
    <sheet name="M_ProductMap" sheetId="17" state="hidden" r:id="rId17"/>
    <sheet name="Grid_Requirement" sheetId="18" state="hidden" r:id="rId18"/>
    <sheet name="Grid_Incoming" sheetId="19" state="hidden" r:id="rId19"/>
    <sheet name="Grid_Stock" sheetId="20" state="hidden" r:id="rId20"/>
    <sheet name="T_SelfStock_Log" sheetId="21" state="hidden" r:id="rId21"/>
    <sheet name="T_TTAFStock_Log" sheetId="22" state="hidden" r:id="rId2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/d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sz val="12"/>
    </font>
    <font>
      <color rgb="00808080"/>
      <sz val="8"/>
    </font>
    <font>
      <b val="1"/>
      <color rgb="000563C1"/>
    </font>
    <font/>
    <font>
      <i val="1"/>
      <color rgb="00808080"/>
    </font>
    <font>
      <b val="1"/>
      <sz val="14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5" fillId="0" borderId="0" pivotButton="0" quotePrefix="0" xfId="0"/>
    <xf numFmtId="0" fontId="4" fillId="0" borderId="0" pivotButton="0" quotePrefix="0" xfId="0"/>
    <xf numFmtId="0" fontId="1" fillId="4" borderId="0" pivotButton="0" quotePrefix="0" xfId="0"/>
    <xf numFmtId="0" fontId="6" fillId="4" borderId="0" pivotButton="0" quotePrefix="0" xfId="0"/>
    <xf numFmtId="165" fontId="6" fillId="4" borderId="0" pivotButton="0" quotePrefix="0" xfId="0"/>
    <xf numFmtId="0" fontId="2" fillId="3" borderId="1" pivotButton="0" quotePrefix="0" xfId="0"/>
    <xf numFmtId="0" fontId="0" fillId="5" borderId="1" pivotButton="0" quotePrefix="0" xfId="0"/>
    <xf numFmtId="0" fontId="0" fillId="0" borderId="1" pivotButton="0" quotePrefix="0" xfId="0"/>
    <xf numFmtId="0" fontId="1" fillId="6" borderId="0" pivotButton="0" quotePrefix="0" xfId="0"/>
    <xf numFmtId="0" fontId="6" fillId="2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1" fillId="2" borderId="0" pivotButton="0" quotePrefix="0" xfId="0"/>
    <xf numFmtId="0" fontId="1" fillId="4" borderId="1" pivotButton="0" quotePrefix="0" xfId="0"/>
    <xf numFmtId="0" fontId="2" fillId="3" borderId="0" pivotButton="0" quotePrefix="0" xfId="0"/>
    <xf numFmtId="0" fontId="0" fillId="2" borderId="0" pivotButton="0" quotePrefix="0" xfId="0"/>
    <xf numFmtId="164" fontId="0" fillId="2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border>
        <left style="thick">
          <color rgb="00BF8F00"/>
        </left>
        <right style="thick">
          <color rgb="00BF8F00"/>
        </right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omments/comment1.xml><?xml version="1.0" encoding="utf-8"?>
<comments xmlns="http://schemas.openxmlformats.org/spreadsheetml/2006/main">
  <authors>
    <author>SOH</author>
  </authors>
  <commentList>
    <comment ref="C7" authorId="0" shapeId="0">
      <text>
        <t>MOQ(最小発注量)を入力してください（手書きでOK）</t>
      </text>
    </comment>
    <comment ref="C44" authorId="0" shapeId="0">
      <text>
        <t>MOQ(最小発注量)を入力してください（手書きでOK）</t>
      </text>
    </comment>
    <comment ref="C219" authorId="0" shapeId="0">
      <text>
        <t>MOQ(最小発注量)を入力してください（手書きでOK）</t>
      </text>
    </comment>
    <comment ref="C340" authorId="0" shapeId="0">
      <text>
        <t>MOQ(最小発注量)を入力してください（手書きでOK）</t>
      </text>
    </comment>
    <comment ref="C449" authorId="0" shapeId="0">
      <text>
        <t>MOQ(最小発注量)を入力してください（手書きでOK）</t>
      </text>
    </comment>
    <comment ref="C470" authorId="0" shapeId="0">
      <text>
        <t>MOQ(最小発注量)を入力してください（手書きでOK）</t>
      </text>
    </comment>
    <comment ref="C479" authorId="0" shapeId="0">
      <text>
        <t>MOQ(最小発注量)を入力してください（手書きでOK）</t>
      </text>
    </comment>
    <comment ref="C500" authorId="0" shapeId="0">
      <text>
        <t>MOQ(最小発注量)を入力してください（手書きでOK）</t>
      </text>
    </comment>
    <comment ref="C547" authorId="0" shapeId="0">
      <text>
        <t>MOQ(最小発注量)を入力してください（手書きでOK）</t>
      </text>
    </comment>
    <comment ref="C580" authorId="0" shapeId="0">
      <text>
        <t>MOQ(最小発注量)を入力してください（手書きでOK）</t>
      </text>
    </comment>
    <comment ref="C643" authorId="0" shapeId="0">
      <text>
        <t>MOQ(最小発注量)を入力してください（手書きでOK）</t>
      </text>
    </comment>
    <comment ref="C670" authorId="0" shapeId="0">
      <text>
        <t>MOQ(最小発注量)を入力してください（手書きでOK）</t>
      </text>
    </comment>
    <comment ref="C697" authorId="0" shapeId="0">
      <text>
        <t>MOQ(最小発注量)を入力してください（手書きでOK）</t>
      </text>
    </comment>
    <comment ref="C710" authorId="0" shapeId="0">
      <text>
        <t>MOQ(最小発注量)を入力してください（手書きでOK）</t>
      </text>
    </comment>
    <comment ref="C759" authorId="0" shapeId="0">
      <text>
        <t>MOQ(最小発注量)を入力してください（手書きでOK）</t>
      </text>
    </comment>
    <comment ref="C820" authorId="0" shapeId="0">
      <text>
        <t>MOQ(最小発注量)を入力してください（手書きでOK）</t>
      </text>
    </comment>
    <comment ref="C833" authorId="0" shapeId="0">
      <text>
        <t>MOQ(最小発注量)を入力してください（手書きでOK）</t>
      </text>
    </comment>
    <comment ref="C878" authorId="0" shapeId="0">
      <text>
        <t>MOQ(最小発注量)を入力してください（手書きでOK）</t>
      </text>
    </comment>
    <comment ref="C905" authorId="0" shapeId="0">
      <text>
        <t>MOQ(最小発注量)を入力してください（手書きでOK）</t>
      </text>
    </comment>
    <comment ref="C940" authorId="0" shapeId="0">
      <text>
        <t>MOQ(最小発注量)を入力してください（手書きでOK）</t>
      </text>
    </comment>
    <comment ref="C953" authorId="0" shapeId="0">
      <text>
        <t>MOQ(最小発注量)を入力してください（手書きでOK）</t>
      </text>
    </comment>
    <comment ref="C982" authorId="0" shapeId="0">
      <text>
        <t>MOQ(最小発注量)を入力してください（手書きでOK）</t>
      </text>
    </comment>
    <comment ref="C995" authorId="0" shapeId="0">
      <text>
        <t>MOQ(最小発注量)を入力してください（手書きでOK）</t>
      </text>
    </comment>
    <comment ref="C1006" authorId="0" shapeId="0">
      <text>
        <t>MOQ(最小発注量)を入力してください（手書きでOK）</t>
      </text>
    </comment>
    <comment ref="C1015" authorId="0" shapeId="0">
      <text>
        <t>MOQ(最小発注量)を入力してください（手書きでOK）</t>
      </text>
    </comment>
    <comment ref="C1024" authorId="0" shapeId="0">
      <text>
        <t>MOQ(最小発注量)を入力してください（手書きでOK）</t>
      </text>
    </comment>
    <comment ref="C1033" authorId="0" shapeId="0">
      <text>
        <t>MOQ(最小発注量)を入力してください（手書きでOK）</t>
      </text>
    </comment>
    <comment ref="C1042" authorId="0" shapeId="0">
      <text>
        <t>MOQ(最小発注量)を入力してください（手書きでOK）</t>
      </text>
    </comment>
    <comment ref="C1051" authorId="0" shapeId="0">
      <text>
        <t>MOQ(最小発注量)を入力してください（手書きでOK）</t>
      </text>
    </comment>
    <comment ref="C1060" authorId="0" shapeId="0">
      <text>
        <t>MOQ(最小発注量)を入力してください（手書きでOK）</t>
      </text>
    </comment>
    <comment ref="C1069" authorId="0" shapeId="0">
      <text>
        <t>MOQ(最小発注量)を入力してください（手書きでOK）</t>
      </text>
    </comment>
    <comment ref="C1082" authorId="0" shapeId="0">
      <text>
        <t>MOQ(最小発注量)を入力してください（手書きでOK）</t>
      </text>
    </comment>
    <comment ref="C1099" authorId="0" shapeId="0">
      <text>
        <t>MOQ(最小発注量)を入力してください（手書きでOK）</t>
      </text>
    </comment>
    <comment ref="C1142" authorId="0" shapeId="0">
      <text>
        <t>MOQ(最小発注量)を入力してください（手書きでOK）</t>
      </text>
    </comment>
  </commentList>
</comments>
</file>

<file path=xl/tables/table1.xml><?xml version="1.0" encoding="utf-8"?>
<table xmlns="http://schemas.openxmlformats.org/spreadsheetml/2006/main" id="1" name="T_Shipments" displayName="T_Shipments" ref="A1:H245" headerRowCount="1">
  <autoFilter ref="A1:H245"/>
  <tableColumns count="8">
    <tableColumn id="1" name="Part Name"/>
    <tableColumn id="2" name="PO_No"/>
    <tableColumn id="3" name="Order_Date_発注日"/>
    <tableColumn id="4" name="Confirmed_Qty"/>
    <tableColumn id="5" name="Latest_ETA"/>
    <tableColumn id="6" name="Received_Date"/>
    <tableColumn id="7" name="Status"/>
    <tableColumn id="8" name="Effective_Week"/>
  </tableColumns>
  <tableStyleInfo name="TableStyleMedium9" showRowStripes="1"/>
</table>
</file>

<file path=xl/tables/table2.xml><?xml version="1.0" encoding="utf-8"?>
<table xmlns="http://schemas.openxmlformats.org/spreadsheetml/2006/main" id="2" name="T_OpeningStock" displayName="T_OpeningStock" ref="A1:C45" headerRowCount="1">
  <autoFilter ref="A1:C45"/>
  <tableColumns count="3">
    <tableColumn id="1" name="Part Name"/>
    <tableColumn id="2" name="Opening_Qty_要入力"/>
    <tableColumn id="3" name="AsOf"/>
  </tableColumns>
  <tableStyleInfo name="TableStyleMedium9" showRowStripes="1"/>
</table>
</file>

<file path=xl/tables/table3.xml><?xml version="1.0" encoding="utf-8"?>
<table xmlns="http://schemas.openxmlformats.org/spreadsheetml/2006/main" id="3" name="T_StockCount" displayName="T_StockCount" ref="A1:E2" headerRowCount="1">
  <autoFilter ref="A1:E2"/>
  <tableColumns count="5">
    <tableColumn id="1" name="Part Name"/>
    <tableColumn id="2" name="Date_棚卸実施日"/>
    <tableColumn id="3" name="WeekIndex"/>
    <tableColumn id="4" name="CountedQty"/>
    <tableColumn id="5" name="Notes"/>
  </tableColumns>
  <tableStyleInfo name="TableStyleMedium9" showRowStripes="1"/>
</table>
</file>

<file path=xl/tables/table4.xml><?xml version="1.0" encoding="utf-8"?>
<table xmlns="http://schemas.openxmlformats.org/spreadsheetml/2006/main" id="4" name="M_RawMaterials" displayName="M_RawMaterials" ref="A1:H45" headerRowCount="1">
  <autoFilter ref="A1:H45"/>
  <tableColumns count="8">
    <tableColumn id="1" name="Part Name"/>
    <tableColumn id="2" name="Description"/>
    <tableColumn id="3" name="Supplier"/>
    <tableColumn id="4" name="Category"/>
    <tableColumn id="5" name="UOM"/>
    <tableColumn id="6" name="基準在庫下限_要入力"/>
    <tableColumn id="7" name="基準在庫上限_要入力"/>
    <tableColumn id="8" name="LeadTime_Weeks_要入力"/>
  </tableColumns>
  <tableStyleInfo name="TableStyleMedium9" showRowStripes="1"/>
</table>
</file>

<file path=xl/tables/table5.xml><?xml version="1.0" encoding="utf-8"?>
<table xmlns="http://schemas.openxmlformats.org/spreadsheetml/2006/main" id="5" name="M_BOM" displayName="M_BOM" ref="A1:D455" headerRowCount="1">
  <autoFilter ref="A1:D455"/>
  <tableColumns count="4">
    <tableColumn id="1" name="Intermediate"/>
    <tableColumn id="2" name="Part Name"/>
    <tableColumn id="3" name="RM_Qty_Per_Batch"/>
    <tableColumn id="4" name="PPGridRow"/>
  </tableColumns>
  <tableStyleInfo name="TableStyleMedium9" showRowStripes="1"/>
</table>
</file>

<file path=xl/tables/table6.xml><?xml version="1.0" encoding="utf-8"?>
<table xmlns="http://schemas.openxmlformats.org/spreadsheetml/2006/main" id="6" name="PP_Grid" displayName="PP_Grid" ref="A1:DA127" headerRowCount="1">
  <autoFilter ref="A1:DA127"/>
  <tableColumns count="105">
    <tableColumn id="1" name="Intermediat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9" showRowStripes="1"/>
</table>
</file>

<file path=xl/tables/table7.xml><?xml version="1.0" encoding="utf-8"?>
<table xmlns="http://schemas.openxmlformats.org/spreadsheetml/2006/main" id="7" name="Cal_Weeks" displayName="Cal_Weeks" ref="A3:G107" headerRowCount="1">
  <autoFilter ref="A3:G107"/>
  <tableColumns count="7">
    <tableColumn id="1" name="WeekIndex"/>
    <tableColumn id="2" name="WeekStart"/>
    <tableColumn id="3" name="Year"/>
    <tableColumn id="4" name="WeekOfYear"/>
    <tableColumn id="5" name="Label"/>
    <tableColumn id="6" name="WeekEnd"/>
    <tableColumn id="7" name="MonthYearLabel"/>
  </tableColumns>
  <tableStyleInfo name="TableStyleMedium9" showRowStripes="1"/>
</table>
</file>

<file path=xl/tables/table8.xml><?xml version="1.0" encoding="utf-8"?>
<table xmlns="http://schemas.openxmlformats.org/spreadsheetml/2006/main" id="8" name="M_Intermediates" displayName="M_Intermediates" ref="A1:D127" headerRowCount="1">
  <autoFilter ref="A1:D127"/>
  <tableColumns count="4">
    <tableColumn id="1" name="Intermediate"/>
    <tableColumn id="2" name="Type"/>
    <tableColumn id="3" name="PGM"/>
    <tableColumn id="4" name="BatchSize"/>
  </tableColumns>
  <tableStyleInfo name="TableStyleMedium9" showRowStripes="1"/>
</table>
</file>

<file path=xl/tables/table9.xml><?xml version="1.0" encoding="utf-8"?>
<table xmlns="http://schemas.openxmlformats.org/spreadsheetml/2006/main" id="9" name="M_ProductMap" displayName="M_ProductMap" ref="A1:B169" headerRowCount="1">
  <autoFilter ref="A1:B169"/>
  <tableColumns count="2">
    <tableColumn id="1" name="Intermediate"/>
    <tableColumn id="2" name="Product_Code"/>
  </tableColumns>
  <tableStyleInfo name="TableStyleMedium9" showRowStripes="1"/>
</table>
</file>

<file path=xl/tables/table10.xml><?xml version="1.0" encoding="utf-8"?>
<table xmlns="http://schemas.openxmlformats.org/spreadsheetml/2006/main" id="10" name="Grid_Requirement" displayName="Grid_Requirement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1.xml><?xml version="1.0" encoding="utf-8"?>
<table xmlns="http://schemas.openxmlformats.org/spreadsheetml/2006/main" id="11" name="Grid_Incoming" displayName="Grid_Incoming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2.xml><?xml version="1.0" encoding="utf-8"?>
<table xmlns="http://schemas.openxmlformats.org/spreadsheetml/2006/main" id="12" name="Grid_Stock" displayName="Grid_Stock" ref="A1:DA45" headerRowCount="1">
  <autoFilter ref="A1:DA45"/>
  <tableColumns count="105">
    <tableColumn id="1" name="Part Name"/>
    <tableColumn id="2" name="2026-W01"/>
    <tableColumn id="3" name="2026-W02"/>
    <tableColumn id="4" name="2026-W03"/>
    <tableColumn id="5" name="2026-W04"/>
    <tableColumn id="6" name="2026-W05"/>
    <tableColumn id="7" name="2026-W06"/>
    <tableColumn id="8" name="2026-W07"/>
    <tableColumn id="9" name="2026-W08"/>
    <tableColumn id="10" name="2026-W09"/>
    <tableColumn id="11" name="2026-W10"/>
    <tableColumn id="12" name="2026-W11"/>
    <tableColumn id="13" name="2026-W12"/>
    <tableColumn id="14" name="2026-W13"/>
    <tableColumn id="15" name="2026-W14"/>
    <tableColumn id="16" name="2026-W15"/>
    <tableColumn id="17" name="2026-W16"/>
    <tableColumn id="18" name="2026-W17"/>
    <tableColumn id="19" name="2026-W18"/>
    <tableColumn id="20" name="2026-W19"/>
    <tableColumn id="21" name="2026-W20"/>
    <tableColumn id="22" name="2026-W21"/>
    <tableColumn id="23" name="2026-W22"/>
    <tableColumn id="24" name="2026-W23"/>
    <tableColumn id="25" name="2026-W24"/>
    <tableColumn id="26" name="2026-W25"/>
    <tableColumn id="27" name="2026-W26"/>
    <tableColumn id="28" name="2026-W27"/>
    <tableColumn id="29" name="2026-W28"/>
    <tableColumn id="30" name="2026-W29"/>
    <tableColumn id="31" name="2026-W30"/>
    <tableColumn id="32" name="2026-W31"/>
    <tableColumn id="33" name="2026-W32"/>
    <tableColumn id="34" name="2026-W33"/>
    <tableColumn id="35" name="2026-W34"/>
    <tableColumn id="36" name="2026-W35"/>
    <tableColumn id="37" name="2026-W36"/>
    <tableColumn id="38" name="2026-W37"/>
    <tableColumn id="39" name="2026-W38"/>
    <tableColumn id="40" name="2026-W39"/>
    <tableColumn id="41" name="2026-W40"/>
    <tableColumn id="42" name="2026-W41"/>
    <tableColumn id="43" name="2026-W42"/>
    <tableColumn id="44" name="2026-W43"/>
    <tableColumn id="45" name="2026-W44"/>
    <tableColumn id="46" name="2026-W45"/>
    <tableColumn id="47" name="2026-W46"/>
    <tableColumn id="48" name="2026-W47"/>
    <tableColumn id="49" name="2026-W48"/>
    <tableColumn id="50" name="2026-W49"/>
    <tableColumn id="51" name="2026-W50"/>
    <tableColumn id="52" name="2026-W51"/>
    <tableColumn id="53" name="2026-W52"/>
    <tableColumn id="54" name="2027-W01"/>
    <tableColumn id="55" name="2027-W02"/>
    <tableColumn id="56" name="2027-W03"/>
    <tableColumn id="57" name="2027-W04"/>
    <tableColumn id="58" name="2027-W05"/>
    <tableColumn id="59" name="2027-W06"/>
    <tableColumn id="60" name="2027-W07"/>
    <tableColumn id="61" name="2027-W08"/>
    <tableColumn id="62" name="2027-W09"/>
    <tableColumn id="63" name="2027-W10"/>
    <tableColumn id="64" name="2027-W11"/>
    <tableColumn id="65" name="2027-W12"/>
    <tableColumn id="66" name="2027-W13"/>
    <tableColumn id="67" name="2027-W14"/>
    <tableColumn id="68" name="2027-W15"/>
    <tableColumn id="69" name="2027-W16"/>
    <tableColumn id="70" name="2027-W17"/>
    <tableColumn id="71" name="2027-W18"/>
    <tableColumn id="72" name="2027-W19"/>
    <tableColumn id="73" name="2027-W20"/>
    <tableColumn id="74" name="2027-W21"/>
    <tableColumn id="75" name="2027-W22"/>
    <tableColumn id="76" name="2027-W23"/>
    <tableColumn id="77" name="2027-W24"/>
    <tableColumn id="78" name="2027-W25"/>
    <tableColumn id="79" name="2027-W26"/>
    <tableColumn id="80" name="2027-W27"/>
    <tableColumn id="81" name="2027-W28"/>
    <tableColumn id="82" name="2027-W29"/>
    <tableColumn id="83" name="2027-W30"/>
    <tableColumn id="84" name="2027-W31"/>
    <tableColumn id="85" name="2027-W32"/>
    <tableColumn id="86" name="2027-W33"/>
    <tableColumn id="87" name="2027-W34"/>
    <tableColumn id="88" name="2027-W35"/>
    <tableColumn id="89" name="2027-W36"/>
    <tableColumn id="90" name="2027-W37"/>
    <tableColumn id="91" name="2027-W38"/>
    <tableColumn id="92" name="2027-W39"/>
    <tableColumn id="93" name="2027-W40"/>
    <tableColumn id="94" name="2027-W41"/>
    <tableColumn id="95" name="2027-W42"/>
    <tableColumn id="96" name="2027-W43"/>
    <tableColumn id="97" name="2027-W44"/>
    <tableColumn id="98" name="2027-W45"/>
    <tableColumn id="99" name="2027-W46"/>
    <tableColumn id="100" name="2027-W47"/>
    <tableColumn id="101" name="2027-W48"/>
    <tableColumn id="102" name="2027-W49"/>
    <tableColumn id="103" name="2027-W50"/>
    <tableColumn id="104" name="2027-W51"/>
    <tableColumn id="105" name="2027-W52"/>
  </tableColumns>
  <tableStyleInfo name="TableStyleMedium2" showRowStripes="1"/>
</table>
</file>

<file path=xl/tables/table13.xml><?xml version="1.0" encoding="utf-8"?>
<table xmlns="http://schemas.openxmlformats.org/spreadsheetml/2006/main" id="13" name="T_SelfStock_Log" displayName="T_SelfStock_Log" ref="A1:D2" headerRowCount="1">
  <autoFilter ref="A1:D2"/>
  <tableColumns count="4">
    <tableColumn id="1" name="Part Name"/>
    <tableColumn id="2" name="Date"/>
    <tableColumn id="3" name="WeekIndex"/>
    <tableColumn id="4" name="Self_Qty"/>
  </tableColumns>
  <tableStyleInfo name="TableStyleMedium9" showRowStripes="1"/>
</table>
</file>

<file path=xl/tables/table14.xml><?xml version="1.0" encoding="utf-8"?>
<table xmlns="http://schemas.openxmlformats.org/spreadsheetml/2006/main" id="14" name="T_TTAFStock_Log" displayName="T_TTAFStock_Log" ref="A1:D2" headerRowCount="1">
  <autoFilter ref="A1:D2"/>
  <tableColumns count="4">
    <tableColumn id="1" name="Part Name"/>
    <tableColumn id="2" name="Date"/>
    <tableColumn id="3" name="WeekIndex"/>
    <tableColumn id="4" name="TTAF_Qty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Material_Detail'!A1" TargetMode="External" Id="rId2" /><Relationship Type="http://schemas.openxmlformats.org/officeDocument/2006/relationships/hyperlink" Target="#'PO_Draft_Chemical'!A1" TargetMode="External" Id="rId3" /><Relationship Type="http://schemas.openxmlformats.org/officeDocument/2006/relationships/hyperlink" Target="#'PO_Draft_Hazardous'!A1" TargetMode="External" Id="rId4" /><Relationship Type="http://schemas.openxmlformats.org/officeDocument/2006/relationships/hyperlink" Target="#'PO_Draft_Substrate'!A1" TargetMode="External" Id="rId5" /><Relationship Type="http://schemas.openxmlformats.org/officeDocument/2006/relationships/hyperlink" Target="#'T_Shipments'!A1" TargetMode="External" Id="rId6" /><Relationship Type="http://schemas.openxmlformats.org/officeDocument/2006/relationships/hyperlink" Target="#'T_OpeningStock'!A1" TargetMode="External" Id="rId7" /><Relationship Type="http://schemas.openxmlformats.org/officeDocument/2006/relationships/hyperlink" Target="#'T_StockCount'!A1" TargetMode="External" Id="rId8" /><Relationship Type="http://schemas.openxmlformats.org/officeDocument/2006/relationships/hyperlink" Target="#'T_SelfStock'!A1" TargetMode="External" Id="rId9" /><Relationship Type="http://schemas.openxmlformats.org/officeDocument/2006/relationships/hyperlink" Target="#'T_TTAFStock'!A1" TargetMode="External" Id="rId10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SOH（在庫管理）シート 使い方</t>
        </is>
      </c>
    </row>
    <row r="2">
      <c r="A2" s="2" t="inlineStr">
        <is>
          <t>【ジャンプ】クリックで各シートへ移動</t>
        </is>
      </c>
    </row>
    <row r="3">
      <c r="A3" s="3" t="inlineStr">
        <is>
          <t>▶ Dashboard - 原材料×週の在庫（2年分・横軸で見渡せるメイン画面。まずここ）</t>
        </is>
      </c>
    </row>
    <row r="4">
      <c r="A4" s="3" t="inlineStr">
        <is>
          <t>▶ Material_Detail - 材料ごとの使用状況（どの材料が何に使われているか）</t>
        </is>
      </c>
    </row>
    <row r="5">
      <c r="A5" s="3" t="inlineStr">
        <is>
          <t>▶ PO_Draft_Chemical - 発注書ドラフト（Chemical）</t>
        </is>
      </c>
    </row>
    <row r="6">
      <c r="A6" s="3" t="inlineStr">
        <is>
          <t>▶ PO_Draft_Hazardous - 発注書ドラフト（Hazardous Chemical）</t>
        </is>
      </c>
    </row>
    <row r="7">
      <c r="A7" s="3" t="inlineStr">
        <is>
          <t>▶ PO_Draft_Substrate - 発注書ドラフト（Substrate）</t>
        </is>
      </c>
    </row>
    <row r="8">
      <c r="A8" s="3" t="inlineStr">
        <is>
          <t>▶ T_Shipments - 発注・着荷の入力</t>
        </is>
      </c>
    </row>
    <row r="9">
      <c r="A9" s="3" t="inlineStr">
        <is>
          <t>▶ T_OpeningStock - 期首在庫の入力</t>
        </is>
      </c>
    </row>
    <row r="10">
      <c r="A10" s="3" t="inlineStr">
        <is>
          <t>▶ T_StockCount - 棚卸実績の入力</t>
        </is>
      </c>
    </row>
    <row r="11">
      <c r="A11" s="3" t="inlineStr">
        <is>
          <t>▶ T_SelfStock - 自社倉庫の在庫実績（材料×週。RefreshSelfStockで自動更新）</t>
        </is>
      </c>
    </row>
    <row r="12">
      <c r="A12" s="3" t="inlineStr">
        <is>
          <t>▶ T_TTAFStock - TTAF倉庫の在庫実績（材料×週。RefreshTTAFStockで自動更新）</t>
        </is>
      </c>
    </row>
    <row r="14">
      <c r="A14" t="inlineStr"/>
    </row>
    <row r="15">
      <c r="A15" t="inlineStr">
        <is>
          <t>このブックはPower BI等に読み込ませる中間テーブルではなく、これ自体が完成品です。</t>
        </is>
      </c>
    </row>
    <row r="16">
      <c r="A16" t="inlineStr">
        <is>
          <t>Dashboard と PO_Draft_* が最終的な閲覧・発注画面、それ以外は計算の土台です。</t>
        </is>
      </c>
    </row>
    <row r="17">
      <c r="A17" t="inlineStr"/>
    </row>
    <row r="18">
      <c r="A18" t="inlineStr">
        <is>
          <t>【週番号のルール】すべてExcelの数式で計算（Cal_WeeksのB1=AnchorYearを変えると全体が再計算）</t>
        </is>
      </c>
    </row>
    <row r="19">
      <c r="A19" t="inlineStr">
        <is>
          <t xml:space="preserve">  Week1=1月1日を含む月〜日の週。年が変わると再び1にリセットされます（2026-W52の次は2027-W01）。</t>
        </is>
      </c>
    </row>
    <row r="20">
      <c r="A20" t="inlineStr">
        <is>
          <t xml:space="preserve">  各シートの週見出しは3段: 1段目=月-年(Aug-26等) / 2段目=その週月曜の日付 / 3段目=週No。</t>
        </is>
      </c>
    </row>
    <row r="21">
      <c r="A21" t="inlineStr"/>
    </row>
    <row r="22">
      <c r="A22" t="inlineStr">
        <is>
          <t>【普段見るシート】</t>
        </is>
      </c>
    </row>
    <row r="23">
      <c r="A23" t="inlineStr">
        <is>
          <t xml:space="preserve">  Dashboard           : 原材料×週の在庫を2年分、横軸で見渡せるメイン画面（まずここ）。</t>
        </is>
      </c>
    </row>
    <row r="24">
      <c r="A24" t="inlineStr">
        <is>
          <t xml:space="preserve">                        自社在庫(実績)・TTAF在庫(実績)・実績週の列で内訳も確認できます。</t>
        </is>
      </c>
    </row>
    <row r="25">
      <c r="A25" t="inlineStr">
        <is>
          <t xml:space="preserve">                        基準在庫(下限/上限)を入力すると、各週のセルが赤(下限未満)/</t>
        </is>
      </c>
    </row>
    <row r="26">
      <c r="A26" t="inlineStr">
        <is>
          <t xml:space="preserve">                        緑(範囲内)/青(上限超)に自動で色分けされます。</t>
        </is>
      </c>
    </row>
    <row r="27">
      <c r="A27" t="inlineStr">
        <is>
          <t xml:space="preserve">                        C1に'W23'のように入力すると（現在年の週Noとして検索）、</t>
        </is>
      </c>
    </row>
    <row r="28">
      <c r="A28" t="inlineStr">
        <is>
          <t xml:space="preserve">                        該当する週の列が太枠でハイライトされます。VBA(JumpToSelectedWeek、</t>
        </is>
      </c>
    </row>
    <row r="29">
      <c r="A29" t="inlineStr">
        <is>
          <t xml:space="preserve">                        要ボタン設定・詳細はdocs/SOH_System_Guide.md)を導入していれば、</t>
        </is>
      </c>
    </row>
    <row r="30">
      <c r="A30" t="inlineStr">
        <is>
          <t xml:space="preserve">                        実績週のすぐ右にその週の列が来るよう自動でスクロールもされます。</t>
        </is>
      </c>
    </row>
    <row r="31">
      <c r="A31" t="inlineStr">
        <is>
          <t xml:space="preserve">  Material_Detail     : 材料ごとに「どの中間体が・何バッチ・いくら使うか」をブロック表示（トレーサビリティ）。</t>
        </is>
      </c>
    </row>
    <row r="32">
      <c r="A32" t="inlineStr">
        <is>
          <t xml:space="preserve">                        Dashboardと同様にC1に'W23'のように入力すると該当週が求まり、</t>
        </is>
      </c>
    </row>
    <row r="33">
      <c r="A33" t="inlineStr">
        <is>
          <t xml:space="preserve">                        VBA導入時はその週列のすぐ右に自動でスクロールします。</t>
        </is>
      </c>
    </row>
    <row r="34">
      <c r="A34" t="inlineStr">
        <is>
          <t xml:space="preserve">                        材料名の右のC列にMOQ(最小発注量)を手入力できます。</t>
        </is>
      </c>
    </row>
    <row r="35">
      <c r="A35" t="inlineStr">
        <is>
          <t xml:space="preserve">                        合計使用量の下にTTAF在庫実績・自社在庫実績・合計在庫(週末時点)の週次推移も表示されます。</t>
        </is>
      </c>
    </row>
    <row r="36">
      <c r="A36" t="inlineStr">
        <is>
          <t xml:space="preserve">                        HideInactiveIntermediatesマクロ(要ボタン設定)で、指定期間ずっと生産予定の無い</t>
        </is>
      </c>
    </row>
    <row r="37">
      <c r="A37" t="inlineStr">
        <is>
          <t xml:space="preserve">                        中間体の行を折りたためます（在庫関連の行は常に表示されたままです）。</t>
        </is>
      </c>
    </row>
    <row r="38">
      <c r="A38" t="inlineStr">
        <is>
          <t xml:space="preserve">  PO_Draft_*          : 要発注分を注文書ひな形に自動転記</t>
        </is>
      </c>
    </row>
    <row r="39">
      <c r="A39" t="inlineStr">
        <is>
          <t xml:space="preserve">  T_Shipments/T_OpeningStock/T_StockCount : 入力用</t>
        </is>
      </c>
    </row>
    <row r="40">
      <c r="A40" t="inlineStr">
        <is>
          <t xml:space="preserve">  T_SelfStock/T_TTAFStock : 材料×週のグリッドで自社/TTAF在庫実績を表示（出力・閲覧用）。</t>
        </is>
      </c>
    </row>
    <row r="41">
      <c r="A41" t="inlineStr">
        <is>
          <t xml:space="preserve">                        RefreshSelfStock/RefreshTTAFStockで更新されます。手入力はしないでください</t>
        </is>
      </c>
    </row>
    <row r="42">
      <c r="A42" t="inlineStr">
        <is>
          <t xml:space="preserve">                        （生データは非表示のT_SelfStock_Log/T_TTAFStock_Logに安全に保存されています）。</t>
        </is>
      </c>
    </row>
    <row r="43">
      <c r="A43" t="inlineStr"/>
    </row>
    <row r="44">
      <c r="A44" t="inlineStr">
        <is>
          <t xml:space="preserve">  M_RawMaterials・M_BOM・PP_Grid・Grid_Stock・その他非表示シートは内部計算用です。通常は開く必要はありません。</t>
        </is>
      </c>
    </row>
    <row r="45">
      <c r="A45" t="inlineStr"/>
    </row>
    <row r="46">
      <c r="A46" t="inlineStr">
        <is>
          <t>【重要】原単位・バッチ数・自社/TTAF在庫はPythonを使わず、Excel(VBA)マクロだけで更新できます。</t>
        </is>
      </c>
    </row>
    <row r="47">
      <c r="A47" t="inlineStr">
        <is>
          <t xml:space="preserve">  macros/RefreshData.bas を導入し、RefreshWeeklyBatches / RefreshBOM / RefreshSelfStock /</t>
        </is>
      </c>
    </row>
    <row r="48">
      <c r="A48" t="inlineStr">
        <is>
          <t xml:space="preserve">  RefreshTTAFStock を実行してください（対象ファイルを選ぶだけです。詳細はdocs/SOH_System_Guide.md、</t>
        </is>
      </c>
    </row>
    <row r="49">
      <c r="A49" t="inlineStr">
        <is>
          <t xml:space="preserve">  未検証のため要動作確認）。T_Shipments・T_OpeningStock・T_StockCount等には一切触れません。</t>
        </is>
      </c>
    </row>
    <row r="50">
      <c r="A50" t="inlineStr">
        <is>
          <t xml:space="preserve">  Material_Detailの中間体の行を隠す/戻すHideInactiveIntermediates / ShowAllIntermediatesは、</t>
        </is>
      </c>
    </row>
    <row r="51">
      <c r="A51" t="inlineStr">
        <is>
          <t xml:space="preserve">  ボタンへの割り当てが必要な一度だけの手動設定です（詳細はdocs/SOH_System_Guide.md）。</t>
        </is>
      </c>
    </row>
    <row r="52">
      <c r="A52" t="inlineStr"/>
    </row>
    <row r="53">
      <c r="A53" t="inlineStr">
        <is>
          <t>【毎月の運用】</t>
        </is>
      </c>
    </row>
    <row r="54">
      <c r="A54" t="inlineStr">
        <is>
          <t xml:space="preserve">  1. 「Powder &amp; Slurry &amp; Pgm Plan」の新しい月版でRefreshWeeklyBatchesを実行</t>
        </is>
      </c>
    </row>
    <row r="55">
      <c r="A55" t="inlineStr">
        <is>
          <t xml:space="preserve">  2. 「Usage from Production Engineering」が更新されていればRefreshBOMを実行</t>
        </is>
      </c>
    </row>
    <row r="56">
      <c r="A56" t="inlineStr">
        <is>
          <t xml:space="preserve">  3. 自社倉庫の現物確認を実施したらRefreshSelfStockを実行</t>
        </is>
      </c>
    </row>
    <row r="57">
      <c r="A57" t="inlineStr">
        <is>
          <t xml:space="preserve">  4. CSA Reportが届いたらRefreshTTAFStockを実行し、T_Shipments のETA/着荷日/PO番号/発注日も更新</t>
        </is>
      </c>
    </row>
    <row r="58">
      <c r="A58" t="inlineStr">
        <is>
          <t xml:space="preserve">  5. 棚卸を実施したらT_StockCountに実測値を追記（Date列に実施日を入力。WeekIndex列は自動計算）</t>
        </is>
      </c>
    </row>
    <row r="59">
      <c r="A59" t="inlineStr">
        <is>
          <t xml:space="preserve">  6. Dashboardで赤色(基準在庫の下限未満)の週を確認し、PO_Draft_*から注文書を出力</t>
        </is>
      </c>
    </row>
    <row r="60">
      <c r="A60" t="inlineStr">
        <is>
          <t xml:space="preserve">  7. 月初は、前月最終週と当月頭のDashboardを見比べて在庫差異を確認（Plan Increase and Decrease /</t>
        </is>
      </c>
    </row>
    <row r="61">
      <c r="A61" t="inlineStr">
        <is>
          <t xml:space="preserve">     Inventory Releasesの報告フォーマットに転記）</t>
        </is>
      </c>
    </row>
    <row r="62">
      <c r="A62" t="inlineStr"/>
    </row>
    <row r="63">
      <c r="A63" t="inlineStr">
        <is>
          <t>【前提・要確認事項】詳細はdocs/SOH_System_Guide.mdを参照</t>
        </is>
      </c>
    </row>
    <row r="64">
      <c r="A64" t="inlineStr">
        <is>
          <t xml:space="preserve">  - M_RawMaterials の基準在庫(下限/上限)とLeadTime_Weeksは仮値(0)です。実際の水準に置き換えてください</t>
        </is>
      </c>
    </row>
    <row r="65">
      <c r="A65" t="inlineStr">
        <is>
          <t xml:space="preserve">    （Dashboardの週次セルの赤/緑/青の色分けに使われます）。</t>
        </is>
      </c>
    </row>
    <row r="66">
      <c r="A66" t="inlineStr">
        <is>
          <t xml:space="preserve">  - Categoryの割り当て(Chemical/Hazardous Chemical/Substrate)は入手データから機械的に推定した部分があります。要レビュー。</t>
        </is>
      </c>
    </row>
    <row r="67">
      <c r="A67" t="inlineStr">
        <is>
          <t xml:space="preserve">  - 週次バッチ数はPowder &amp; Slurry &amp; Pgm Planの実データ（約36材料シートから抽出）を使用しています。</t>
        </is>
      </c>
    </row>
  </sheetData>
  <hyperlinks>
    <hyperlink xmlns:r="http://schemas.openxmlformats.org/officeDocument/2006/relationships" ref="A3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H50"/>
  <sheetViews>
    <sheetView workbookViewId="0">
      <pane xSplit="8" ySplit="6" topLeftCell="I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2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>
        <f>'Cal_Weeks'!G4</f>
        <v/>
      </c>
      <c r="J3" s="8">
        <f>IF(TEXT('Cal_Weeks'!B5,"mmm-yy")&lt;&gt;TEXT('Cal_Weeks'!B4,"mmm-yy"),'Cal_Weeks'!G5,"")</f>
        <v/>
      </c>
      <c r="K3" s="8">
        <f>IF(TEXT('Cal_Weeks'!B6,"mmm-yy")&lt;&gt;TEXT('Cal_Weeks'!B5,"mmm-yy"),'Cal_Weeks'!G6,"")</f>
        <v/>
      </c>
      <c r="L3" s="8">
        <f>IF(TEXT('Cal_Weeks'!B7,"mmm-yy")&lt;&gt;TEXT('Cal_Weeks'!B6,"mmm-yy"),'Cal_Weeks'!G7,"")</f>
        <v/>
      </c>
      <c r="M3" s="8">
        <f>IF(TEXT('Cal_Weeks'!B8,"mmm-yy")&lt;&gt;TEXT('Cal_Weeks'!B7,"mmm-yy"),'Cal_Weeks'!G8,"")</f>
        <v/>
      </c>
      <c r="N3" s="8">
        <f>IF(TEXT('Cal_Weeks'!B9,"mmm-yy")&lt;&gt;TEXT('Cal_Weeks'!B8,"mmm-yy"),'Cal_Weeks'!G9,"")</f>
        <v/>
      </c>
      <c r="O3" s="8">
        <f>IF(TEXT('Cal_Weeks'!B10,"mmm-yy")&lt;&gt;TEXT('Cal_Weeks'!B9,"mmm-yy"),'Cal_Weeks'!G10,"")</f>
        <v/>
      </c>
      <c r="P3" s="8">
        <f>IF(TEXT('Cal_Weeks'!B11,"mmm-yy")&lt;&gt;TEXT('Cal_Weeks'!B10,"mmm-yy"),'Cal_Weeks'!G11,"")</f>
        <v/>
      </c>
      <c r="Q3" s="8">
        <f>IF(TEXT('Cal_Weeks'!B12,"mmm-yy")&lt;&gt;TEXT('Cal_Weeks'!B11,"mmm-yy"),'Cal_Weeks'!G12,"")</f>
        <v/>
      </c>
      <c r="R3" s="8">
        <f>IF(TEXT('Cal_Weeks'!B13,"mmm-yy")&lt;&gt;TEXT('Cal_Weeks'!B12,"mmm-yy"),'Cal_Weeks'!G13,"")</f>
        <v/>
      </c>
      <c r="S3" s="8">
        <f>IF(TEXT('Cal_Weeks'!B14,"mmm-yy")&lt;&gt;TEXT('Cal_Weeks'!B13,"mmm-yy"),'Cal_Weeks'!G14,"")</f>
        <v/>
      </c>
      <c r="T3" s="8">
        <f>IF(TEXT('Cal_Weeks'!B15,"mmm-yy")&lt;&gt;TEXT('Cal_Weeks'!B14,"mmm-yy"),'Cal_Weeks'!G15,"")</f>
        <v/>
      </c>
      <c r="U3" s="8">
        <f>IF(TEXT('Cal_Weeks'!B16,"mmm-yy")&lt;&gt;TEXT('Cal_Weeks'!B15,"mmm-yy"),'Cal_Weeks'!G16,"")</f>
        <v/>
      </c>
      <c r="V3" s="8">
        <f>IF(TEXT('Cal_Weeks'!B17,"mmm-yy")&lt;&gt;TEXT('Cal_Weeks'!B16,"mmm-yy"),'Cal_Weeks'!G17,"")</f>
        <v/>
      </c>
      <c r="W3" s="8">
        <f>IF(TEXT('Cal_Weeks'!B18,"mmm-yy")&lt;&gt;TEXT('Cal_Weeks'!B17,"mmm-yy"),'Cal_Weeks'!G18,"")</f>
        <v/>
      </c>
      <c r="X3" s="8">
        <f>IF(TEXT('Cal_Weeks'!B19,"mmm-yy")&lt;&gt;TEXT('Cal_Weeks'!B18,"mmm-yy"),'Cal_Weeks'!G19,"")</f>
        <v/>
      </c>
      <c r="Y3" s="8">
        <f>IF(TEXT('Cal_Weeks'!B20,"mmm-yy")&lt;&gt;TEXT('Cal_Weeks'!B19,"mmm-yy"),'Cal_Weeks'!G20,"")</f>
        <v/>
      </c>
      <c r="Z3" s="8">
        <f>IF(TEXT('Cal_Weeks'!B21,"mmm-yy")&lt;&gt;TEXT('Cal_Weeks'!B20,"mmm-yy"),'Cal_Weeks'!G21,"")</f>
        <v/>
      </c>
      <c r="AA3" s="8">
        <f>IF(TEXT('Cal_Weeks'!B22,"mmm-yy")&lt;&gt;TEXT('Cal_Weeks'!B21,"mmm-yy"),'Cal_Weeks'!G22,"")</f>
        <v/>
      </c>
      <c r="AB3" s="8">
        <f>IF(TEXT('Cal_Weeks'!B23,"mmm-yy")&lt;&gt;TEXT('Cal_Weeks'!B22,"mmm-yy"),'Cal_Weeks'!G23,"")</f>
        <v/>
      </c>
      <c r="AC3" s="8">
        <f>IF(TEXT('Cal_Weeks'!B24,"mmm-yy")&lt;&gt;TEXT('Cal_Weeks'!B23,"mmm-yy"),'Cal_Weeks'!G24,"")</f>
        <v/>
      </c>
      <c r="AD3" s="8">
        <f>IF(TEXT('Cal_Weeks'!B25,"mmm-yy")&lt;&gt;TEXT('Cal_Weeks'!B24,"mmm-yy"),'Cal_Weeks'!G25,"")</f>
        <v/>
      </c>
      <c r="AE3" s="8">
        <f>IF(TEXT('Cal_Weeks'!B26,"mmm-yy")&lt;&gt;TEXT('Cal_Weeks'!B25,"mmm-yy"),'Cal_Weeks'!G26,"")</f>
        <v/>
      </c>
      <c r="AF3" s="8">
        <f>IF(TEXT('Cal_Weeks'!B27,"mmm-yy")&lt;&gt;TEXT('Cal_Weeks'!B26,"mmm-yy"),'Cal_Weeks'!G27,"")</f>
        <v/>
      </c>
      <c r="AG3" s="8">
        <f>IF(TEXT('Cal_Weeks'!B28,"mmm-yy")&lt;&gt;TEXT('Cal_Weeks'!B27,"mmm-yy"),'Cal_Weeks'!G28,"")</f>
        <v/>
      </c>
      <c r="AH3" s="8">
        <f>IF(TEXT('Cal_Weeks'!B29,"mmm-yy")&lt;&gt;TEXT('Cal_Weeks'!B28,"mmm-yy"),'Cal_Weeks'!G29,"")</f>
        <v/>
      </c>
      <c r="AI3" s="8">
        <f>IF(TEXT('Cal_Weeks'!B30,"mmm-yy")&lt;&gt;TEXT('Cal_Weeks'!B29,"mmm-yy"),'Cal_Weeks'!G30,"")</f>
        <v/>
      </c>
      <c r="AJ3" s="8">
        <f>IF(TEXT('Cal_Weeks'!B31,"mmm-yy")&lt;&gt;TEXT('Cal_Weeks'!B30,"mmm-yy"),'Cal_Weeks'!G31,"")</f>
        <v/>
      </c>
      <c r="AK3" s="8">
        <f>IF(TEXT('Cal_Weeks'!B32,"mmm-yy")&lt;&gt;TEXT('Cal_Weeks'!B31,"mmm-yy"),'Cal_Weeks'!G32,"")</f>
        <v/>
      </c>
      <c r="AL3" s="8">
        <f>IF(TEXT('Cal_Weeks'!B33,"mmm-yy")&lt;&gt;TEXT('Cal_Weeks'!B32,"mmm-yy"),'Cal_Weeks'!G33,"")</f>
        <v/>
      </c>
      <c r="AM3" s="8">
        <f>IF(TEXT('Cal_Weeks'!B34,"mmm-yy")&lt;&gt;TEXT('Cal_Weeks'!B33,"mmm-yy"),'Cal_Weeks'!G34,"")</f>
        <v/>
      </c>
      <c r="AN3" s="8">
        <f>IF(TEXT('Cal_Weeks'!B35,"mmm-yy")&lt;&gt;TEXT('Cal_Weeks'!B34,"mmm-yy"),'Cal_Weeks'!G35,"")</f>
        <v/>
      </c>
      <c r="AO3" s="8">
        <f>IF(TEXT('Cal_Weeks'!B36,"mmm-yy")&lt;&gt;TEXT('Cal_Weeks'!B35,"mmm-yy"),'Cal_Weeks'!G36,"")</f>
        <v/>
      </c>
      <c r="AP3" s="8">
        <f>IF(TEXT('Cal_Weeks'!B37,"mmm-yy")&lt;&gt;TEXT('Cal_Weeks'!B36,"mmm-yy"),'Cal_Weeks'!G37,"")</f>
        <v/>
      </c>
      <c r="AQ3" s="8">
        <f>IF(TEXT('Cal_Weeks'!B38,"mmm-yy")&lt;&gt;TEXT('Cal_Weeks'!B37,"mmm-yy"),'Cal_Weeks'!G38,"")</f>
        <v/>
      </c>
      <c r="AR3" s="8">
        <f>IF(TEXT('Cal_Weeks'!B39,"mmm-yy")&lt;&gt;TEXT('Cal_Weeks'!B38,"mmm-yy"),'Cal_Weeks'!G39,"")</f>
        <v/>
      </c>
      <c r="AS3" s="8">
        <f>IF(TEXT('Cal_Weeks'!B40,"mmm-yy")&lt;&gt;TEXT('Cal_Weeks'!B39,"mmm-yy"),'Cal_Weeks'!G40,"")</f>
        <v/>
      </c>
      <c r="AT3" s="8">
        <f>IF(TEXT('Cal_Weeks'!B41,"mmm-yy")&lt;&gt;TEXT('Cal_Weeks'!B40,"mmm-yy"),'Cal_Weeks'!G41,"")</f>
        <v/>
      </c>
      <c r="AU3" s="8">
        <f>IF(TEXT('Cal_Weeks'!B42,"mmm-yy")&lt;&gt;TEXT('Cal_Weeks'!B41,"mmm-yy"),'Cal_Weeks'!G42,"")</f>
        <v/>
      </c>
      <c r="AV3" s="8">
        <f>IF(TEXT('Cal_Weeks'!B43,"mmm-yy")&lt;&gt;TEXT('Cal_Weeks'!B42,"mmm-yy"),'Cal_Weeks'!G43,"")</f>
        <v/>
      </c>
      <c r="AW3" s="8">
        <f>IF(TEXT('Cal_Weeks'!B44,"mmm-yy")&lt;&gt;TEXT('Cal_Weeks'!B43,"mmm-yy"),'Cal_Weeks'!G44,"")</f>
        <v/>
      </c>
      <c r="AX3" s="8">
        <f>IF(TEXT('Cal_Weeks'!B45,"mmm-yy")&lt;&gt;TEXT('Cal_Weeks'!B44,"mmm-yy"),'Cal_Weeks'!G45,"")</f>
        <v/>
      </c>
      <c r="AY3" s="8">
        <f>IF(TEXT('Cal_Weeks'!B46,"mmm-yy")&lt;&gt;TEXT('Cal_Weeks'!B45,"mmm-yy"),'Cal_Weeks'!G46,"")</f>
        <v/>
      </c>
      <c r="AZ3" s="8">
        <f>IF(TEXT('Cal_Weeks'!B47,"mmm-yy")&lt;&gt;TEXT('Cal_Weeks'!B46,"mmm-yy"),'Cal_Weeks'!G47,"")</f>
        <v/>
      </c>
      <c r="BA3" s="8">
        <f>IF(TEXT('Cal_Weeks'!B48,"mmm-yy")&lt;&gt;TEXT('Cal_Weeks'!B47,"mmm-yy"),'Cal_Weeks'!G48,"")</f>
        <v/>
      </c>
      <c r="BB3" s="8">
        <f>IF(TEXT('Cal_Weeks'!B49,"mmm-yy")&lt;&gt;TEXT('Cal_Weeks'!B48,"mmm-yy"),'Cal_Weeks'!G49,"")</f>
        <v/>
      </c>
      <c r="BC3" s="8">
        <f>IF(TEXT('Cal_Weeks'!B50,"mmm-yy")&lt;&gt;TEXT('Cal_Weeks'!B49,"mmm-yy"),'Cal_Weeks'!G50,"")</f>
        <v/>
      </c>
      <c r="BD3" s="8">
        <f>IF(TEXT('Cal_Weeks'!B51,"mmm-yy")&lt;&gt;TEXT('Cal_Weeks'!B50,"mmm-yy"),'Cal_Weeks'!G51,"")</f>
        <v/>
      </c>
      <c r="BE3" s="8">
        <f>IF(TEXT('Cal_Weeks'!B52,"mmm-yy")&lt;&gt;TEXT('Cal_Weeks'!B51,"mmm-yy"),'Cal_Weeks'!G52,"")</f>
        <v/>
      </c>
      <c r="BF3" s="8">
        <f>IF(TEXT('Cal_Weeks'!B53,"mmm-yy")&lt;&gt;TEXT('Cal_Weeks'!B52,"mmm-yy"),'Cal_Weeks'!G53,"")</f>
        <v/>
      </c>
      <c r="BG3" s="8">
        <f>IF(TEXT('Cal_Weeks'!B54,"mmm-yy")&lt;&gt;TEXT('Cal_Weeks'!B53,"mmm-yy"),'Cal_Weeks'!G54,"")</f>
        <v/>
      </c>
      <c r="BH3" s="8">
        <f>IF(TEXT('Cal_Weeks'!B55,"mmm-yy")&lt;&gt;TEXT('Cal_Weeks'!B54,"mmm-yy"),'Cal_Weeks'!G55,"")</f>
        <v/>
      </c>
      <c r="BI3" s="8">
        <f>IF(TEXT('Cal_Weeks'!B56,"mmm-yy")&lt;&gt;TEXT('Cal_Weeks'!B55,"mmm-yy"),'Cal_Weeks'!G56,"")</f>
        <v/>
      </c>
      <c r="BJ3" s="8">
        <f>IF(TEXT('Cal_Weeks'!B57,"mmm-yy")&lt;&gt;TEXT('Cal_Weeks'!B56,"mmm-yy"),'Cal_Weeks'!G57,"")</f>
        <v/>
      </c>
      <c r="BK3" s="8">
        <f>IF(TEXT('Cal_Weeks'!B58,"mmm-yy")&lt;&gt;TEXT('Cal_Weeks'!B57,"mmm-yy"),'Cal_Weeks'!G58,"")</f>
        <v/>
      </c>
      <c r="BL3" s="8">
        <f>IF(TEXT('Cal_Weeks'!B59,"mmm-yy")&lt;&gt;TEXT('Cal_Weeks'!B58,"mmm-yy"),'Cal_Weeks'!G59,"")</f>
        <v/>
      </c>
      <c r="BM3" s="8">
        <f>IF(TEXT('Cal_Weeks'!B60,"mmm-yy")&lt;&gt;TEXT('Cal_Weeks'!B59,"mmm-yy"),'Cal_Weeks'!G60,"")</f>
        <v/>
      </c>
      <c r="BN3" s="8">
        <f>IF(TEXT('Cal_Weeks'!B61,"mmm-yy")&lt;&gt;TEXT('Cal_Weeks'!B60,"mmm-yy"),'Cal_Weeks'!G61,"")</f>
        <v/>
      </c>
      <c r="BO3" s="8">
        <f>IF(TEXT('Cal_Weeks'!B62,"mmm-yy")&lt;&gt;TEXT('Cal_Weeks'!B61,"mmm-yy"),'Cal_Weeks'!G62,"")</f>
        <v/>
      </c>
      <c r="BP3" s="8">
        <f>IF(TEXT('Cal_Weeks'!B63,"mmm-yy")&lt;&gt;TEXT('Cal_Weeks'!B62,"mmm-yy"),'Cal_Weeks'!G63,"")</f>
        <v/>
      </c>
      <c r="BQ3" s="8">
        <f>IF(TEXT('Cal_Weeks'!B64,"mmm-yy")&lt;&gt;TEXT('Cal_Weeks'!B63,"mmm-yy"),'Cal_Weeks'!G64,"")</f>
        <v/>
      </c>
      <c r="BR3" s="8">
        <f>IF(TEXT('Cal_Weeks'!B65,"mmm-yy")&lt;&gt;TEXT('Cal_Weeks'!B64,"mmm-yy"),'Cal_Weeks'!G65,"")</f>
        <v/>
      </c>
      <c r="BS3" s="8">
        <f>IF(TEXT('Cal_Weeks'!B66,"mmm-yy")&lt;&gt;TEXT('Cal_Weeks'!B65,"mmm-yy"),'Cal_Weeks'!G66,"")</f>
        <v/>
      </c>
      <c r="BT3" s="8">
        <f>IF(TEXT('Cal_Weeks'!B67,"mmm-yy")&lt;&gt;TEXT('Cal_Weeks'!B66,"mmm-yy"),'Cal_Weeks'!G67,"")</f>
        <v/>
      </c>
      <c r="BU3" s="8">
        <f>IF(TEXT('Cal_Weeks'!B68,"mmm-yy")&lt;&gt;TEXT('Cal_Weeks'!B67,"mmm-yy"),'Cal_Weeks'!G68,"")</f>
        <v/>
      </c>
      <c r="BV3" s="8">
        <f>IF(TEXT('Cal_Weeks'!B69,"mmm-yy")&lt;&gt;TEXT('Cal_Weeks'!B68,"mmm-yy"),'Cal_Weeks'!G69,"")</f>
        <v/>
      </c>
      <c r="BW3" s="8">
        <f>IF(TEXT('Cal_Weeks'!B70,"mmm-yy")&lt;&gt;TEXT('Cal_Weeks'!B69,"mmm-yy"),'Cal_Weeks'!G70,"")</f>
        <v/>
      </c>
      <c r="BX3" s="8">
        <f>IF(TEXT('Cal_Weeks'!B71,"mmm-yy")&lt;&gt;TEXT('Cal_Weeks'!B70,"mmm-yy"),'Cal_Weeks'!G71,"")</f>
        <v/>
      </c>
      <c r="BY3" s="8">
        <f>IF(TEXT('Cal_Weeks'!B72,"mmm-yy")&lt;&gt;TEXT('Cal_Weeks'!B71,"mmm-yy"),'Cal_Weeks'!G72,"")</f>
        <v/>
      </c>
      <c r="BZ3" s="8">
        <f>IF(TEXT('Cal_Weeks'!B73,"mmm-yy")&lt;&gt;TEXT('Cal_Weeks'!B72,"mmm-yy"),'Cal_Weeks'!G73,"")</f>
        <v/>
      </c>
      <c r="CA3" s="8">
        <f>IF(TEXT('Cal_Weeks'!B74,"mmm-yy")&lt;&gt;TEXT('Cal_Weeks'!B73,"mmm-yy"),'Cal_Weeks'!G74,"")</f>
        <v/>
      </c>
      <c r="CB3" s="8">
        <f>IF(TEXT('Cal_Weeks'!B75,"mmm-yy")&lt;&gt;TEXT('Cal_Weeks'!B74,"mmm-yy"),'Cal_Weeks'!G75,"")</f>
        <v/>
      </c>
      <c r="CC3" s="8">
        <f>IF(TEXT('Cal_Weeks'!B76,"mmm-yy")&lt;&gt;TEXT('Cal_Weeks'!B75,"mmm-yy"),'Cal_Weeks'!G76,"")</f>
        <v/>
      </c>
      <c r="CD3" s="8">
        <f>IF(TEXT('Cal_Weeks'!B77,"mmm-yy")&lt;&gt;TEXT('Cal_Weeks'!B76,"mmm-yy"),'Cal_Weeks'!G77,"")</f>
        <v/>
      </c>
      <c r="CE3" s="8">
        <f>IF(TEXT('Cal_Weeks'!B78,"mmm-yy")&lt;&gt;TEXT('Cal_Weeks'!B77,"mmm-yy"),'Cal_Weeks'!G78,"")</f>
        <v/>
      </c>
      <c r="CF3" s="8">
        <f>IF(TEXT('Cal_Weeks'!B79,"mmm-yy")&lt;&gt;TEXT('Cal_Weeks'!B78,"mmm-yy"),'Cal_Weeks'!G79,"")</f>
        <v/>
      </c>
      <c r="CG3" s="8">
        <f>IF(TEXT('Cal_Weeks'!B80,"mmm-yy")&lt;&gt;TEXT('Cal_Weeks'!B79,"mmm-yy"),'Cal_Weeks'!G80,"")</f>
        <v/>
      </c>
      <c r="CH3" s="8">
        <f>IF(TEXT('Cal_Weeks'!B81,"mmm-yy")&lt;&gt;TEXT('Cal_Weeks'!B80,"mmm-yy"),'Cal_Weeks'!G81,"")</f>
        <v/>
      </c>
      <c r="CI3" s="8">
        <f>IF(TEXT('Cal_Weeks'!B82,"mmm-yy")&lt;&gt;TEXT('Cal_Weeks'!B81,"mmm-yy"),'Cal_Weeks'!G82,"")</f>
        <v/>
      </c>
      <c r="CJ3" s="8">
        <f>IF(TEXT('Cal_Weeks'!B83,"mmm-yy")&lt;&gt;TEXT('Cal_Weeks'!B82,"mmm-yy"),'Cal_Weeks'!G83,"")</f>
        <v/>
      </c>
      <c r="CK3" s="8">
        <f>IF(TEXT('Cal_Weeks'!B84,"mmm-yy")&lt;&gt;TEXT('Cal_Weeks'!B83,"mmm-yy"),'Cal_Weeks'!G84,"")</f>
        <v/>
      </c>
      <c r="CL3" s="8">
        <f>IF(TEXT('Cal_Weeks'!B85,"mmm-yy")&lt;&gt;TEXT('Cal_Weeks'!B84,"mmm-yy"),'Cal_Weeks'!G85,"")</f>
        <v/>
      </c>
      <c r="CM3" s="8">
        <f>IF(TEXT('Cal_Weeks'!B86,"mmm-yy")&lt;&gt;TEXT('Cal_Weeks'!B85,"mmm-yy"),'Cal_Weeks'!G86,"")</f>
        <v/>
      </c>
      <c r="CN3" s="8">
        <f>IF(TEXT('Cal_Weeks'!B87,"mmm-yy")&lt;&gt;TEXT('Cal_Weeks'!B86,"mmm-yy"),'Cal_Weeks'!G87,"")</f>
        <v/>
      </c>
      <c r="CO3" s="8">
        <f>IF(TEXT('Cal_Weeks'!B88,"mmm-yy")&lt;&gt;TEXT('Cal_Weeks'!B87,"mmm-yy"),'Cal_Weeks'!G88,"")</f>
        <v/>
      </c>
      <c r="CP3" s="8">
        <f>IF(TEXT('Cal_Weeks'!B89,"mmm-yy")&lt;&gt;TEXT('Cal_Weeks'!B88,"mmm-yy"),'Cal_Weeks'!G89,"")</f>
        <v/>
      </c>
      <c r="CQ3" s="8">
        <f>IF(TEXT('Cal_Weeks'!B90,"mmm-yy")&lt;&gt;TEXT('Cal_Weeks'!B89,"mmm-yy"),'Cal_Weeks'!G90,"")</f>
        <v/>
      </c>
      <c r="CR3" s="8">
        <f>IF(TEXT('Cal_Weeks'!B91,"mmm-yy")&lt;&gt;TEXT('Cal_Weeks'!B90,"mmm-yy"),'Cal_Weeks'!G91,"")</f>
        <v/>
      </c>
      <c r="CS3" s="8">
        <f>IF(TEXT('Cal_Weeks'!B92,"mmm-yy")&lt;&gt;TEXT('Cal_Weeks'!B91,"mmm-yy"),'Cal_Weeks'!G92,"")</f>
        <v/>
      </c>
      <c r="CT3" s="8">
        <f>IF(TEXT('Cal_Weeks'!B93,"mmm-yy")&lt;&gt;TEXT('Cal_Weeks'!B92,"mmm-yy"),'Cal_Weeks'!G93,"")</f>
        <v/>
      </c>
      <c r="CU3" s="8">
        <f>IF(TEXT('Cal_Weeks'!B94,"mmm-yy")&lt;&gt;TEXT('Cal_Weeks'!B93,"mmm-yy"),'Cal_Weeks'!G94,"")</f>
        <v/>
      </c>
      <c r="CV3" s="8">
        <f>IF(TEXT('Cal_Weeks'!B95,"mmm-yy")&lt;&gt;TEXT('Cal_Weeks'!B94,"mmm-yy"),'Cal_Weeks'!G95,"")</f>
        <v/>
      </c>
      <c r="CW3" s="8">
        <f>IF(TEXT('Cal_Weeks'!B96,"mmm-yy")&lt;&gt;TEXT('Cal_Weeks'!B95,"mmm-yy"),'Cal_Weeks'!G96,"")</f>
        <v/>
      </c>
      <c r="CX3" s="8">
        <f>IF(TEXT('Cal_Weeks'!B97,"mmm-yy")&lt;&gt;TEXT('Cal_Weeks'!B96,"mmm-yy"),'Cal_Weeks'!G97,"")</f>
        <v/>
      </c>
      <c r="CY3" s="8">
        <f>IF(TEXT('Cal_Weeks'!B98,"mmm-yy")&lt;&gt;TEXT('Cal_Weeks'!B97,"mmm-yy"),'Cal_Weeks'!G98,"")</f>
        <v/>
      </c>
      <c r="CZ3" s="8">
        <f>IF(TEXT('Cal_Weeks'!B99,"mmm-yy")&lt;&gt;TEXT('Cal_Weeks'!B98,"mmm-yy"),'Cal_Weeks'!G99,"")</f>
        <v/>
      </c>
      <c r="DA3" s="8">
        <f>IF(TEXT('Cal_Weeks'!B100,"mmm-yy")&lt;&gt;TEXT('Cal_Weeks'!B99,"mmm-yy"),'Cal_Weeks'!G100,"")</f>
        <v/>
      </c>
      <c r="DB3" s="8">
        <f>IF(TEXT('Cal_Weeks'!B101,"mmm-yy")&lt;&gt;TEXT('Cal_Weeks'!B100,"mmm-yy"),'Cal_Weeks'!G101,"")</f>
        <v/>
      </c>
      <c r="DC3" s="8">
        <f>IF(TEXT('Cal_Weeks'!B102,"mmm-yy")&lt;&gt;TEXT('Cal_Weeks'!B101,"mmm-yy"),'Cal_Weeks'!G102,"")</f>
        <v/>
      </c>
      <c r="DD3" s="8">
        <f>IF(TEXT('Cal_Weeks'!B103,"mmm-yy")&lt;&gt;TEXT('Cal_Weeks'!B102,"mmm-yy"),'Cal_Weeks'!G103,"")</f>
        <v/>
      </c>
      <c r="DE3" s="8">
        <f>IF(TEXT('Cal_Weeks'!B104,"mmm-yy")&lt;&gt;TEXT('Cal_Weeks'!B103,"mmm-yy"),'Cal_Weeks'!G104,"")</f>
        <v/>
      </c>
      <c r="DF3" s="8">
        <f>IF(TEXT('Cal_Weeks'!B105,"mmm-yy")&lt;&gt;TEXT('Cal_Weeks'!B104,"mmm-yy"),'Cal_Weeks'!G105,"")</f>
        <v/>
      </c>
      <c r="DG3" s="8">
        <f>IF(TEXT('Cal_Weeks'!B106,"mmm-yy")&lt;&gt;TEXT('Cal_Weeks'!B105,"mmm-yy"),'Cal_Weeks'!G106,"")</f>
        <v/>
      </c>
      <c r="DH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10">
        <f>'Cal_Weeks'!B4</f>
        <v/>
      </c>
      <c r="J4" s="10">
        <f>'Cal_Weeks'!B5</f>
        <v/>
      </c>
      <c r="K4" s="10">
        <f>'Cal_Weeks'!B6</f>
        <v/>
      </c>
      <c r="L4" s="10">
        <f>'Cal_Weeks'!B7</f>
        <v/>
      </c>
      <c r="M4" s="10">
        <f>'Cal_Weeks'!B8</f>
        <v/>
      </c>
      <c r="N4" s="10">
        <f>'Cal_Weeks'!B9</f>
        <v/>
      </c>
      <c r="O4" s="10">
        <f>'Cal_Weeks'!B10</f>
        <v/>
      </c>
      <c r="P4" s="10">
        <f>'Cal_Weeks'!B11</f>
        <v/>
      </c>
      <c r="Q4" s="10">
        <f>'Cal_Weeks'!B12</f>
        <v/>
      </c>
      <c r="R4" s="10">
        <f>'Cal_Weeks'!B13</f>
        <v/>
      </c>
      <c r="S4" s="10">
        <f>'Cal_Weeks'!B14</f>
        <v/>
      </c>
      <c r="T4" s="10">
        <f>'Cal_Weeks'!B15</f>
        <v/>
      </c>
      <c r="U4" s="10">
        <f>'Cal_Weeks'!B16</f>
        <v/>
      </c>
      <c r="V4" s="10">
        <f>'Cal_Weeks'!B17</f>
        <v/>
      </c>
      <c r="W4" s="10">
        <f>'Cal_Weeks'!B18</f>
        <v/>
      </c>
      <c r="X4" s="10">
        <f>'Cal_Weeks'!B19</f>
        <v/>
      </c>
      <c r="Y4" s="10">
        <f>'Cal_Weeks'!B20</f>
        <v/>
      </c>
      <c r="Z4" s="10">
        <f>'Cal_Weeks'!B21</f>
        <v/>
      </c>
      <c r="AA4" s="10">
        <f>'Cal_Weeks'!B22</f>
        <v/>
      </c>
      <c r="AB4" s="10">
        <f>'Cal_Weeks'!B23</f>
        <v/>
      </c>
      <c r="AC4" s="10">
        <f>'Cal_Weeks'!B24</f>
        <v/>
      </c>
      <c r="AD4" s="10">
        <f>'Cal_Weeks'!B25</f>
        <v/>
      </c>
      <c r="AE4" s="10">
        <f>'Cal_Weeks'!B26</f>
        <v/>
      </c>
      <c r="AF4" s="10">
        <f>'Cal_Weeks'!B27</f>
        <v/>
      </c>
      <c r="AG4" s="10">
        <f>'Cal_Weeks'!B28</f>
        <v/>
      </c>
      <c r="AH4" s="10">
        <f>'Cal_Weeks'!B29</f>
        <v/>
      </c>
      <c r="AI4" s="10">
        <f>'Cal_Weeks'!B30</f>
        <v/>
      </c>
      <c r="AJ4" s="10">
        <f>'Cal_Weeks'!B31</f>
        <v/>
      </c>
      <c r="AK4" s="10">
        <f>'Cal_Weeks'!B32</f>
        <v/>
      </c>
      <c r="AL4" s="10">
        <f>'Cal_Weeks'!B33</f>
        <v/>
      </c>
      <c r="AM4" s="10">
        <f>'Cal_Weeks'!B34</f>
        <v/>
      </c>
      <c r="AN4" s="10">
        <f>'Cal_Weeks'!B35</f>
        <v/>
      </c>
      <c r="AO4" s="10">
        <f>'Cal_Weeks'!B36</f>
        <v/>
      </c>
      <c r="AP4" s="10">
        <f>'Cal_Weeks'!B37</f>
        <v/>
      </c>
      <c r="AQ4" s="10">
        <f>'Cal_Weeks'!B38</f>
        <v/>
      </c>
      <c r="AR4" s="10">
        <f>'Cal_Weeks'!B39</f>
        <v/>
      </c>
      <c r="AS4" s="10">
        <f>'Cal_Weeks'!B40</f>
        <v/>
      </c>
      <c r="AT4" s="10">
        <f>'Cal_Weeks'!B41</f>
        <v/>
      </c>
      <c r="AU4" s="10">
        <f>'Cal_Weeks'!B42</f>
        <v/>
      </c>
      <c r="AV4" s="10">
        <f>'Cal_Weeks'!B43</f>
        <v/>
      </c>
      <c r="AW4" s="10">
        <f>'Cal_Weeks'!B44</f>
        <v/>
      </c>
      <c r="AX4" s="10">
        <f>'Cal_Weeks'!B45</f>
        <v/>
      </c>
      <c r="AY4" s="10">
        <f>'Cal_Weeks'!B46</f>
        <v/>
      </c>
      <c r="AZ4" s="10">
        <f>'Cal_Weeks'!B47</f>
        <v/>
      </c>
      <c r="BA4" s="10">
        <f>'Cal_Weeks'!B48</f>
        <v/>
      </c>
      <c r="BB4" s="10">
        <f>'Cal_Weeks'!B49</f>
        <v/>
      </c>
      <c r="BC4" s="10">
        <f>'Cal_Weeks'!B50</f>
        <v/>
      </c>
      <c r="BD4" s="10">
        <f>'Cal_Weeks'!B51</f>
        <v/>
      </c>
      <c r="BE4" s="10">
        <f>'Cal_Weeks'!B52</f>
        <v/>
      </c>
      <c r="BF4" s="10">
        <f>'Cal_Weeks'!B53</f>
        <v/>
      </c>
      <c r="BG4" s="10">
        <f>'Cal_Weeks'!B54</f>
        <v/>
      </c>
      <c r="BH4" s="10">
        <f>'Cal_Weeks'!B55</f>
        <v/>
      </c>
      <c r="BI4" s="10">
        <f>'Cal_Weeks'!B56</f>
        <v/>
      </c>
      <c r="BJ4" s="10">
        <f>'Cal_Weeks'!B57</f>
        <v/>
      </c>
      <c r="BK4" s="10">
        <f>'Cal_Weeks'!B58</f>
        <v/>
      </c>
      <c r="BL4" s="10">
        <f>'Cal_Weeks'!B59</f>
        <v/>
      </c>
      <c r="BM4" s="10">
        <f>'Cal_Weeks'!B60</f>
        <v/>
      </c>
      <c r="BN4" s="10">
        <f>'Cal_Weeks'!B61</f>
        <v/>
      </c>
      <c r="BO4" s="10">
        <f>'Cal_Weeks'!B62</f>
        <v/>
      </c>
      <c r="BP4" s="10">
        <f>'Cal_Weeks'!B63</f>
        <v/>
      </c>
      <c r="BQ4" s="10">
        <f>'Cal_Weeks'!B64</f>
        <v/>
      </c>
      <c r="BR4" s="10">
        <f>'Cal_Weeks'!B65</f>
        <v/>
      </c>
      <c r="BS4" s="10">
        <f>'Cal_Weeks'!B66</f>
        <v/>
      </c>
      <c r="BT4" s="10">
        <f>'Cal_Weeks'!B67</f>
        <v/>
      </c>
      <c r="BU4" s="10">
        <f>'Cal_Weeks'!B68</f>
        <v/>
      </c>
      <c r="BV4" s="10">
        <f>'Cal_Weeks'!B69</f>
        <v/>
      </c>
      <c r="BW4" s="10">
        <f>'Cal_Weeks'!B70</f>
        <v/>
      </c>
      <c r="BX4" s="10">
        <f>'Cal_Weeks'!B71</f>
        <v/>
      </c>
      <c r="BY4" s="10">
        <f>'Cal_Weeks'!B72</f>
        <v/>
      </c>
      <c r="BZ4" s="10">
        <f>'Cal_Weeks'!B73</f>
        <v/>
      </c>
      <c r="CA4" s="10">
        <f>'Cal_Weeks'!B74</f>
        <v/>
      </c>
      <c r="CB4" s="10">
        <f>'Cal_Weeks'!B75</f>
        <v/>
      </c>
      <c r="CC4" s="10">
        <f>'Cal_Weeks'!B76</f>
        <v/>
      </c>
      <c r="CD4" s="10">
        <f>'Cal_Weeks'!B77</f>
        <v/>
      </c>
      <c r="CE4" s="10">
        <f>'Cal_Weeks'!B78</f>
        <v/>
      </c>
      <c r="CF4" s="10">
        <f>'Cal_Weeks'!B79</f>
        <v/>
      </c>
      <c r="CG4" s="10">
        <f>'Cal_Weeks'!B80</f>
        <v/>
      </c>
      <c r="CH4" s="10">
        <f>'Cal_Weeks'!B81</f>
        <v/>
      </c>
      <c r="CI4" s="10">
        <f>'Cal_Weeks'!B82</f>
        <v/>
      </c>
      <c r="CJ4" s="10">
        <f>'Cal_Weeks'!B83</f>
        <v/>
      </c>
      <c r="CK4" s="10">
        <f>'Cal_Weeks'!B84</f>
        <v/>
      </c>
      <c r="CL4" s="10">
        <f>'Cal_Weeks'!B85</f>
        <v/>
      </c>
      <c r="CM4" s="10">
        <f>'Cal_Weeks'!B86</f>
        <v/>
      </c>
      <c r="CN4" s="10">
        <f>'Cal_Weeks'!B87</f>
        <v/>
      </c>
      <c r="CO4" s="10">
        <f>'Cal_Weeks'!B88</f>
        <v/>
      </c>
      <c r="CP4" s="10">
        <f>'Cal_Weeks'!B89</f>
        <v/>
      </c>
      <c r="CQ4" s="10">
        <f>'Cal_Weeks'!B90</f>
        <v/>
      </c>
      <c r="CR4" s="10">
        <f>'Cal_Weeks'!B91</f>
        <v/>
      </c>
      <c r="CS4" s="10">
        <f>'Cal_Weeks'!B92</f>
        <v/>
      </c>
      <c r="CT4" s="10">
        <f>'Cal_Weeks'!B93</f>
        <v/>
      </c>
      <c r="CU4" s="10">
        <f>'Cal_Weeks'!B94</f>
        <v/>
      </c>
      <c r="CV4" s="10">
        <f>'Cal_Weeks'!B95</f>
        <v/>
      </c>
      <c r="CW4" s="10">
        <f>'Cal_Weeks'!B96</f>
        <v/>
      </c>
      <c r="CX4" s="10">
        <f>'Cal_Weeks'!B97</f>
        <v/>
      </c>
      <c r="CY4" s="10">
        <f>'Cal_Weeks'!B98</f>
        <v/>
      </c>
      <c r="CZ4" s="10">
        <f>'Cal_Weeks'!B99</f>
        <v/>
      </c>
      <c r="DA4" s="10">
        <f>'Cal_Weeks'!B100</f>
        <v/>
      </c>
      <c r="DB4" s="10">
        <f>'Cal_Weeks'!B101</f>
        <v/>
      </c>
      <c r="DC4" s="10">
        <f>'Cal_Weeks'!B102</f>
        <v/>
      </c>
      <c r="DD4" s="10">
        <f>'Cal_Weeks'!B103</f>
        <v/>
      </c>
      <c r="DE4" s="10">
        <f>'Cal_Weeks'!B104</f>
        <v/>
      </c>
      <c r="DF4" s="10">
        <f>'Cal_Weeks'!B105</f>
        <v/>
      </c>
      <c r="DG4" s="10">
        <f>'Cal_Weeks'!B106</f>
        <v/>
      </c>
      <c r="DH4" s="10">
        <f>'Cal_Weeks'!B107</f>
        <v/>
      </c>
    </row>
    <row r="5">
      <c r="A5" s="9" t="n"/>
      <c r="B5" s="9" t="n"/>
      <c r="C5" s="9" t="n"/>
      <c r="D5" s="9" t="n"/>
      <c r="E5" s="9" t="n"/>
      <c r="F5" s="9" t="n"/>
      <c r="G5" s="9" t="n"/>
      <c r="H5" s="9" t="n"/>
      <c r="I5" s="9">
        <f>'Cal_Weeks'!D4</f>
        <v/>
      </c>
      <c r="J5" s="9">
        <f>'Cal_Weeks'!D5</f>
        <v/>
      </c>
      <c r="K5" s="9">
        <f>'Cal_Weeks'!D6</f>
        <v/>
      </c>
      <c r="L5" s="9">
        <f>'Cal_Weeks'!D7</f>
        <v/>
      </c>
      <c r="M5" s="9">
        <f>'Cal_Weeks'!D8</f>
        <v/>
      </c>
      <c r="N5" s="9">
        <f>'Cal_Weeks'!D9</f>
        <v/>
      </c>
      <c r="O5" s="9">
        <f>'Cal_Weeks'!D10</f>
        <v/>
      </c>
      <c r="P5" s="9">
        <f>'Cal_Weeks'!D11</f>
        <v/>
      </c>
      <c r="Q5" s="9">
        <f>'Cal_Weeks'!D12</f>
        <v/>
      </c>
      <c r="R5" s="9">
        <f>'Cal_Weeks'!D13</f>
        <v/>
      </c>
      <c r="S5" s="9">
        <f>'Cal_Weeks'!D14</f>
        <v/>
      </c>
      <c r="T5" s="9">
        <f>'Cal_Weeks'!D15</f>
        <v/>
      </c>
      <c r="U5" s="9">
        <f>'Cal_Weeks'!D16</f>
        <v/>
      </c>
      <c r="V5" s="9">
        <f>'Cal_Weeks'!D17</f>
        <v/>
      </c>
      <c r="W5" s="9">
        <f>'Cal_Weeks'!D18</f>
        <v/>
      </c>
      <c r="X5" s="9">
        <f>'Cal_Weeks'!D19</f>
        <v/>
      </c>
      <c r="Y5" s="9">
        <f>'Cal_Weeks'!D20</f>
        <v/>
      </c>
      <c r="Z5" s="9">
        <f>'Cal_Weeks'!D21</f>
        <v/>
      </c>
      <c r="AA5" s="9">
        <f>'Cal_Weeks'!D22</f>
        <v/>
      </c>
      <c r="AB5" s="9">
        <f>'Cal_Weeks'!D23</f>
        <v/>
      </c>
      <c r="AC5" s="9">
        <f>'Cal_Weeks'!D24</f>
        <v/>
      </c>
      <c r="AD5" s="9">
        <f>'Cal_Weeks'!D25</f>
        <v/>
      </c>
      <c r="AE5" s="9">
        <f>'Cal_Weeks'!D26</f>
        <v/>
      </c>
      <c r="AF5" s="9">
        <f>'Cal_Weeks'!D27</f>
        <v/>
      </c>
      <c r="AG5" s="9">
        <f>'Cal_Weeks'!D28</f>
        <v/>
      </c>
      <c r="AH5" s="9">
        <f>'Cal_Weeks'!D29</f>
        <v/>
      </c>
      <c r="AI5" s="9">
        <f>'Cal_Weeks'!D30</f>
        <v/>
      </c>
      <c r="AJ5" s="9">
        <f>'Cal_Weeks'!D31</f>
        <v/>
      </c>
      <c r="AK5" s="9">
        <f>'Cal_Weeks'!D32</f>
        <v/>
      </c>
      <c r="AL5" s="9">
        <f>'Cal_Weeks'!D33</f>
        <v/>
      </c>
      <c r="AM5" s="9">
        <f>'Cal_Weeks'!D34</f>
        <v/>
      </c>
      <c r="AN5" s="9">
        <f>'Cal_Weeks'!D35</f>
        <v/>
      </c>
      <c r="AO5" s="9">
        <f>'Cal_Weeks'!D36</f>
        <v/>
      </c>
      <c r="AP5" s="9">
        <f>'Cal_Weeks'!D37</f>
        <v/>
      </c>
      <c r="AQ5" s="9">
        <f>'Cal_Weeks'!D38</f>
        <v/>
      </c>
      <c r="AR5" s="9">
        <f>'Cal_Weeks'!D39</f>
        <v/>
      </c>
      <c r="AS5" s="9">
        <f>'Cal_Weeks'!D40</f>
        <v/>
      </c>
      <c r="AT5" s="9">
        <f>'Cal_Weeks'!D41</f>
        <v/>
      </c>
      <c r="AU5" s="9">
        <f>'Cal_Weeks'!D42</f>
        <v/>
      </c>
      <c r="AV5" s="9">
        <f>'Cal_Weeks'!D43</f>
        <v/>
      </c>
      <c r="AW5" s="9">
        <f>'Cal_Weeks'!D44</f>
        <v/>
      </c>
      <c r="AX5" s="9">
        <f>'Cal_Weeks'!D45</f>
        <v/>
      </c>
      <c r="AY5" s="9">
        <f>'Cal_Weeks'!D46</f>
        <v/>
      </c>
      <c r="AZ5" s="9">
        <f>'Cal_Weeks'!D47</f>
        <v/>
      </c>
      <c r="BA5" s="9">
        <f>'Cal_Weeks'!D48</f>
        <v/>
      </c>
      <c r="BB5" s="9">
        <f>'Cal_Weeks'!D49</f>
        <v/>
      </c>
      <c r="BC5" s="9">
        <f>'Cal_Weeks'!D50</f>
        <v/>
      </c>
      <c r="BD5" s="9">
        <f>'Cal_Weeks'!D51</f>
        <v/>
      </c>
      <c r="BE5" s="9">
        <f>'Cal_Weeks'!D52</f>
        <v/>
      </c>
      <c r="BF5" s="9">
        <f>'Cal_Weeks'!D53</f>
        <v/>
      </c>
      <c r="BG5" s="9">
        <f>'Cal_Weeks'!D54</f>
        <v/>
      </c>
      <c r="BH5" s="9">
        <f>'Cal_Weeks'!D55</f>
        <v/>
      </c>
      <c r="BI5" s="9">
        <f>'Cal_Weeks'!D56</f>
        <v/>
      </c>
      <c r="BJ5" s="9">
        <f>'Cal_Weeks'!D57</f>
        <v/>
      </c>
      <c r="BK5" s="9">
        <f>'Cal_Weeks'!D58</f>
        <v/>
      </c>
      <c r="BL5" s="9">
        <f>'Cal_Weeks'!D59</f>
        <v/>
      </c>
      <c r="BM5" s="9">
        <f>'Cal_Weeks'!D60</f>
        <v/>
      </c>
      <c r="BN5" s="9">
        <f>'Cal_Weeks'!D61</f>
        <v/>
      </c>
      <c r="BO5" s="9">
        <f>'Cal_Weeks'!D62</f>
        <v/>
      </c>
      <c r="BP5" s="9">
        <f>'Cal_Weeks'!D63</f>
        <v/>
      </c>
      <c r="BQ5" s="9">
        <f>'Cal_Weeks'!D64</f>
        <v/>
      </c>
      <c r="BR5" s="9">
        <f>'Cal_Weeks'!D65</f>
        <v/>
      </c>
      <c r="BS5" s="9">
        <f>'Cal_Weeks'!D66</f>
        <v/>
      </c>
      <c r="BT5" s="9">
        <f>'Cal_Weeks'!D67</f>
        <v/>
      </c>
      <c r="BU5" s="9">
        <f>'Cal_Weeks'!D68</f>
        <v/>
      </c>
      <c r="BV5" s="9">
        <f>'Cal_Weeks'!D69</f>
        <v/>
      </c>
      <c r="BW5" s="9">
        <f>'Cal_Weeks'!D70</f>
        <v/>
      </c>
      <c r="BX5" s="9">
        <f>'Cal_Weeks'!D71</f>
        <v/>
      </c>
      <c r="BY5" s="9">
        <f>'Cal_Weeks'!D72</f>
        <v/>
      </c>
      <c r="BZ5" s="9">
        <f>'Cal_Weeks'!D73</f>
        <v/>
      </c>
      <c r="CA5" s="9">
        <f>'Cal_Weeks'!D74</f>
        <v/>
      </c>
      <c r="CB5" s="9">
        <f>'Cal_Weeks'!D75</f>
        <v/>
      </c>
      <c r="CC5" s="9">
        <f>'Cal_Weeks'!D76</f>
        <v/>
      </c>
      <c r="CD5" s="9">
        <f>'Cal_Weeks'!D77</f>
        <v/>
      </c>
      <c r="CE5" s="9">
        <f>'Cal_Weeks'!D78</f>
        <v/>
      </c>
      <c r="CF5" s="9">
        <f>'Cal_Weeks'!D79</f>
        <v/>
      </c>
      <c r="CG5" s="9">
        <f>'Cal_Weeks'!D80</f>
        <v/>
      </c>
      <c r="CH5" s="9">
        <f>'Cal_Weeks'!D81</f>
        <v/>
      </c>
      <c r="CI5" s="9">
        <f>'Cal_Weeks'!D82</f>
        <v/>
      </c>
      <c r="CJ5" s="9">
        <f>'Cal_Weeks'!D83</f>
        <v/>
      </c>
      <c r="CK5" s="9">
        <f>'Cal_Weeks'!D84</f>
        <v/>
      </c>
      <c r="CL5" s="9">
        <f>'Cal_Weeks'!D85</f>
        <v/>
      </c>
      <c r="CM5" s="9">
        <f>'Cal_Weeks'!D86</f>
        <v/>
      </c>
      <c r="CN5" s="9">
        <f>'Cal_Weeks'!D87</f>
        <v/>
      </c>
      <c r="CO5" s="9">
        <f>'Cal_Weeks'!D88</f>
        <v/>
      </c>
      <c r="CP5" s="9">
        <f>'Cal_Weeks'!D89</f>
        <v/>
      </c>
      <c r="CQ5" s="9">
        <f>'Cal_Weeks'!D90</f>
        <v/>
      </c>
      <c r="CR5" s="9">
        <f>'Cal_Weeks'!D91</f>
        <v/>
      </c>
      <c r="CS5" s="9">
        <f>'Cal_Weeks'!D92</f>
        <v/>
      </c>
      <c r="CT5" s="9">
        <f>'Cal_Weeks'!D93</f>
        <v/>
      </c>
      <c r="CU5" s="9">
        <f>'Cal_Weeks'!D94</f>
        <v/>
      </c>
      <c r="CV5" s="9">
        <f>'Cal_Weeks'!D95</f>
        <v/>
      </c>
      <c r="CW5" s="9">
        <f>'Cal_Weeks'!D96</f>
        <v/>
      </c>
      <c r="CX5" s="9">
        <f>'Cal_Weeks'!D97</f>
        <v/>
      </c>
      <c r="CY5" s="9">
        <f>'Cal_Weeks'!D98</f>
        <v/>
      </c>
      <c r="CZ5" s="9">
        <f>'Cal_Weeks'!D99</f>
        <v/>
      </c>
      <c r="DA5" s="9">
        <f>'Cal_Weeks'!D100</f>
        <v/>
      </c>
      <c r="DB5" s="9">
        <f>'Cal_Weeks'!D101</f>
        <v/>
      </c>
      <c r="DC5" s="9">
        <f>'Cal_Weeks'!D102</f>
        <v/>
      </c>
      <c r="DD5" s="9">
        <f>'Cal_Weeks'!D103</f>
        <v/>
      </c>
      <c r="DE5" s="9">
        <f>'Cal_Weeks'!D104</f>
        <v/>
      </c>
      <c r="DF5" s="9">
        <f>'Cal_Weeks'!D105</f>
        <v/>
      </c>
      <c r="DG5" s="9">
        <f>'Cal_Weeks'!D106</f>
        <v/>
      </c>
      <c r="DH5" s="9">
        <f>'Cal_Weeks'!D107</f>
        <v/>
      </c>
    </row>
    <row r="6">
      <c r="A6" s="11" t="inlineStr">
        <is>
          <t>Part Name</t>
        </is>
      </c>
      <c r="B6" s="11" t="inlineStr">
        <is>
          <t>Description</t>
        </is>
      </c>
      <c r="C6" s="11" t="inlineStr">
        <is>
          <t>Category</t>
        </is>
      </c>
      <c r="D6" s="11" t="inlineStr">
        <is>
          <t>基準在庫_下限</t>
        </is>
      </c>
      <c r="E6" s="11" t="inlineStr">
        <is>
          <t>基準在庫_上限</t>
        </is>
      </c>
      <c r="F6" s="11" t="inlineStr">
        <is>
          <t>自社在庫(実績)</t>
        </is>
      </c>
      <c r="G6" s="11" t="inlineStr">
        <is>
          <t>TTAF在庫(実績)</t>
        </is>
      </c>
      <c r="H6" s="11" t="inlineStr">
        <is>
          <t>実績週</t>
        </is>
      </c>
      <c r="I6" s="11">
        <f>'Cal_Weeks'!E4</f>
        <v/>
      </c>
      <c r="J6" s="11">
        <f>'Cal_Weeks'!E5</f>
        <v/>
      </c>
      <c r="K6" s="11">
        <f>'Cal_Weeks'!E6</f>
        <v/>
      </c>
      <c r="L6" s="11">
        <f>'Cal_Weeks'!E7</f>
        <v/>
      </c>
      <c r="M6" s="11">
        <f>'Cal_Weeks'!E8</f>
        <v/>
      </c>
      <c r="N6" s="11">
        <f>'Cal_Weeks'!E9</f>
        <v/>
      </c>
      <c r="O6" s="11">
        <f>'Cal_Weeks'!E10</f>
        <v/>
      </c>
      <c r="P6" s="11">
        <f>'Cal_Weeks'!E11</f>
        <v/>
      </c>
      <c r="Q6" s="11">
        <f>'Cal_Weeks'!E12</f>
        <v/>
      </c>
      <c r="R6" s="11">
        <f>'Cal_Weeks'!E13</f>
        <v/>
      </c>
      <c r="S6" s="11">
        <f>'Cal_Weeks'!E14</f>
        <v/>
      </c>
      <c r="T6" s="11">
        <f>'Cal_Weeks'!E15</f>
        <v/>
      </c>
      <c r="U6" s="11">
        <f>'Cal_Weeks'!E16</f>
        <v/>
      </c>
      <c r="V6" s="11">
        <f>'Cal_Weeks'!E17</f>
        <v/>
      </c>
      <c r="W6" s="11">
        <f>'Cal_Weeks'!E18</f>
        <v/>
      </c>
      <c r="X6" s="11">
        <f>'Cal_Weeks'!E19</f>
        <v/>
      </c>
      <c r="Y6" s="11">
        <f>'Cal_Weeks'!E20</f>
        <v/>
      </c>
      <c r="Z6" s="11">
        <f>'Cal_Weeks'!E21</f>
        <v/>
      </c>
      <c r="AA6" s="11">
        <f>'Cal_Weeks'!E22</f>
        <v/>
      </c>
      <c r="AB6" s="11">
        <f>'Cal_Weeks'!E23</f>
        <v/>
      </c>
      <c r="AC6" s="11">
        <f>'Cal_Weeks'!E24</f>
        <v/>
      </c>
      <c r="AD6" s="11">
        <f>'Cal_Weeks'!E25</f>
        <v/>
      </c>
      <c r="AE6" s="11">
        <f>'Cal_Weeks'!E26</f>
        <v/>
      </c>
      <c r="AF6" s="11">
        <f>'Cal_Weeks'!E27</f>
        <v/>
      </c>
      <c r="AG6" s="11">
        <f>'Cal_Weeks'!E28</f>
        <v/>
      </c>
      <c r="AH6" s="11">
        <f>'Cal_Weeks'!E29</f>
        <v/>
      </c>
      <c r="AI6" s="11">
        <f>'Cal_Weeks'!E30</f>
        <v/>
      </c>
      <c r="AJ6" s="11">
        <f>'Cal_Weeks'!E31</f>
        <v/>
      </c>
      <c r="AK6" s="11">
        <f>'Cal_Weeks'!E32</f>
        <v/>
      </c>
      <c r="AL6" s="11">
        <f>'Cal_Weeks'!E33</f>
        <v/>
      </c>
      <c r="AM6" s="11">
        <f>'Cal_Weeks'!E34</f>
        <v/>
      </c>
      <c r="AN6" s="11">
        <f>'Cal_Weeks'!E35</f>
        <v/>
      </c>
      <c r="AO6" s="11">
        <f>'Cal_Weeks'!E36</f>
        <v/>
      </c>
      <c r="AP6" s="11">
        <f>'Cal_Weeks'!E37</f>
        <v/>
      </c>
      <c r="AQ6" s="11">
        <f>'Cal_Weeks'!E38</f>
        <v/>
      </c>
      <c r="AR6" s="11">
        <f>'Cal_Weeks'!E39</f>
        <v/>
      </c>
      <c r="AS6" s="11">
        <f>'Cal_Weeks'!E40</f>
        <v/>
      </c>
      <c r="AT6" s="11">
        <f>'Cal_Weeks'!E41</f>
        <v/>
      </c>
      <c r="AU6" s="11">
        <f>'Cal_Weeks'!E42</f>
        <v/>
      </c>
      <c r="AV6" s="11">
        <f>'Cal_Weeks'!E43</f>
        <v/>
      </c>
      <c r="AW6" s="11">
        <f>'Cal_Weeks'!E44</f>
        <v/>
      </c>
      <c r="AX6" s="11">
        <f>'Cal_Weeks'!E45</f>
        <v/>
      </c>
      <c r="AY6" s="11">
        <f>'Cal_Weeks'!E46</f>
        <v/>
      </c>
      <c r="AZ6" s="11">
        <f>'Cal_Weeks'!E47</f>
        <v/>
      </c>
      <c r="BA6" s="11">
        <f>'Cal_Weeks'!E48</f>
        <v/>
      </c>
      <c r="BB6" s="11">
        <f>'Cal_Weeks'!E49</f>
        <v/>
      </c>
      <c r="BC6" s="11">
        <f>'Cal_Weeks'!E50</f>
        <v/>
      </c>
      <c r="BD6" s="11">
        <f>'Cal_Weeks'!E51</f>
        <v/>
      </c>
      <c r="BE6" s="11">
        <f>'Cal_Weeks'!E52</f>
        <v/>
      </c>
      <c r="BF6" s="11">
        <f>'Cal_Weeks'!E53</f>
        <v/>
      </c>
      <c r="BG6" s="11">
        <f>'Cal_Weeks'!E54</f>
        <v/>
      </c>
      <c r="BH6" s="11">
        <f>'Cal_Weeks'!E55</f>
        <v/>
      </c>
      <c r="BI6" s="11">
        <f>'Cal_Weeks'!E56</f>
        <v/>
      </c>
      <c r="BJ6" s="11">
        <f>'Cal_Weeks'!E57</f>
        <v/>
      </c>
      <c r="BK6" s="11">
        <f>'Cal_Weeks'!E58</f>
        <v/>
      </c>
      <c r="BL6" s="11">
        <f>'Cal_Weeks'!E59</f>
        <v/>
      </c>
      <c r="BM6" s="11">
        <f>'Cal_Weeks'!E60</f>
        <v/>
      </c>
      <c r="BN6" s="11">
        <f>'Cal_Weeks'!E61</f>
        <v/>
      </c>
      <c r="BO6" s="11">
        <f>'Cal_Weeks'!E62</f>
        <v/>
      </c>
      <c r="BP6" s="11">
        <f>'Cal_Weeks'!E63</f>
        <v/>
      </c>
      <c r="BQ6" s="11">
        <f>'Cal_Weeks'!E64</f>
        <v/>
      </c>
      <c r="BR6" s="11">
        <f>'Cal_Weeks'!E65</f>
        <v/>
      </c>
      <c r="BS6" s="11">
        <f>'Cal_Weeks'!E66</f>
        <v/>
      </c>
      <c r="BT6" s="11">
        <f>'Cal_Weeks'!E67</f>
        <v/>
      </c>
      <c r="BU6" s="11">
        <f>'Cal_Weeks'!E68</f>
        <v/>
      </c>
      <c r="BV6" s="11">
        <f>'Cal_Weeks'!E69</f>
        <v/>
      </c>
      <c r="BW6" s="11">
        <f>'Cal_Weeks'!E70</f>
        <v/>
      </c>
      <c r="BX6" s="11">
        <f>'Cal_Weeks'!E71</f>
        <v/>
      </c>
      <c r="BY6" s="11">
        <f>'Cal_Weeks'!E72</f>
        <v/>
      </c>
      <c r="BZ6" s="11">
        <f>'Cal_Weeks'!E73</f>
        <v/>
      </c>
      <c r="CA6" s="11">
        <f>'Cal_Weeks'!E74</f>
        <v/>
      </c>
      <c r="CB6" s="11">
        <f>'Cal_Weeks'!E75</f>
        <v/>
      </c>
      <c r="CC6" s="11">
        <f>'Cal_Weeks'!E76</f>
        <v/>
      </c>
      <c r="CD6" s="11">
        <f>'Cal_Weeks'!E77</f>
        <v/>
      </c>
      <c r="CE6" s="11">
        <f>'Cal_Weeks'!E78</f>
        <v/>
      </c>
      <c r="CF6" s="11">
        <f>'Cal_Weeks'!E79</f>
        <v/>
      </c>
      <c r="CG6" s="11">
        <f>'Cal_Weeks'!E80</f>
        <v/>
      </c>
      <c r="CH6" s="11">
        <f>'Cal_Weeks'!E81</f>
        <v/>
      </c>
      <c r="CI6" s="11">
        <f>'Cal_Weeks'!E82</f>
        <v/>
      </c>
      <c r="CJ6" s="11">
        <f>'Cal_Weeks'!E83</f>
        <v/>
      </c>
      <c r="CK6" s="11">
        <f>'Cal_Weeks'!E84</f>
        <v/>
      </c>
      <c r="CL6" s="11">
        <f>'Cal_Weeks'!E85</f>
        <v/>
      </c>
      <c r="CM6" s="11">
        <f>'Cal_Weeks'!E86</f>
        <v/>
      </c>
      <c r="CN6" s="11">
        <f>'Cal_Weeks'!E87</f>
        <v/>
      </c>
      <c r="CO6" s="11">
        <f>'Cal_Weeks'!E88</f>
        <v/>
      </c>
      <c r="CP6" s="11">
        <f>'Cal_Weeks'!E89</f>
        <v/>
      </c>
      <c r="CQ6" s="11">
        <f>'Cal_Weeks'!E90</f>
        <v/>
      </c>
      <c r="CR6" s="11">
        <f>'Cal_Weeks'!E91</f>
        <v/>
      </c>
      <c r="CS6" s="11">
        <f>'Cal_Weeks'!E92</f>
        <v/>
      </c>
      <c r="CT6" s="11">
        <f>'Cal_Weeks'!E93</f>
        <v/>
      </c>
      <c r="CU6" s="11">
        <f>'Cal_Weeks'!E94</f>
        <v/>
      </c>
      <c r="CV6" s="11">
        <f>'Cal_Weeks'!E95</f>
        <v/>
      </c>
      <c r="CW6" s="11">
        <f>'Cal_Weeks'!E96</f>
        <v/>
      </c>
      <c r="CX6" s="11">
        <f>'Cal_Weeks'!E97</f>
        <v/>
      </c>
      <c r="CY6" s="11">
        <f>'Cal_Weeks'!E98</f>
        <v/>
      </c>
      <c r="CZ6" s="11">
        <f>'Cal_Weeks'!E99</f>
        <v/>
      </c>
      <c r="DA6" s="11">
        <f>'Cal_Weeks'!E100</f>
        <v/>
      </c>
      <c r="DB6" s="11">
        <f>'Cal_Weeks'!E101</f>
        <v/>
      </c>
      <c r="DC6" s="11">
        <f>'Cal_Weeks'!E102</f>
        <v/>
      </c>
      <c r="DD6" s="11">
        <f>'Cal_Weeks'!E103</f>
        <v/>
      </c>
      <c r="DE6" s="11">
        <f>'Cal_Weeks'!E104</f>
        <v/>
      </c>
      <c r="DF6" s="11">
        <f>'Cal_Weeks'!E105</f>
        <v/>
      </c>
      <c r="DG6" s="11">
        <f>'Cal_Weeks'!E106</f>
        <v/>
      </c>
      <c r="DH6" s="11">
        <f>'Cal_Weeks'!E107</f>
        <v/>
      </c>
    </row>
    <row r="7">
      <c r="A7" s="12" t="inlineStr">
        <is>
          <t>CHEM-1250</t>
        </is>
      </c>
      <c r="B7" s="12">
        <f>IFERROR(INDEX(M_RawMaterials[Description],MATCH($A7,M_RawMaterials[Part Name],0)),"")</f>
        <v/>
      </c>
      <c r="C7" s="12">
        <f>IFERROR(INDEX(M_RawMaterials[Category],MATCH($A7,M_RawMaterials[Part Name],0)),"")</f>
        <v/>
      </c>
      <c r="D7" s="12">
        <f>IFERROR(INDEX(M_RawMaterials[基準在庫下限_要入力],MATCH($A7,M_RawMaterials[Part Name],0)),0)</f>
        <v/>
      </c>
      <c r="E7" s="12">
        <f>IFERROR(INDEX(M_RawMaterials[基準在庫上限_要入力],MATCH($A7,M_RawMaterials[Part Name],0)),0)</f>
        <v/>
      </c>
      <c r="F7" s="12">
        <f>IFERROR(LOOKUP(2,1/('T_SelfStock'!$B$6:$DA$6&lt;&gt;""),'T_SelfStock'!$B$6:$DA$6),"")</f>
        <v/>
      </c>
      <c r="G7" s="12">
        <f>IFERROR(LOOKUP(2,1/('T_TTAFStock'!$B$6:$DA$6&lt;&gt;""),'T_TTAFStock'!$B$6:$DA$6),"")</f>
        <v/>
      </c>
      <c r="H7" s="12">
        <f>IFERROR(LOOKUP(2,1/('T_SelfStock'!$B$6:$DA$6&lt;&gt;""),'T_SelfStock'!$B$5:$DA$5),"")</f>
        <v/>
      </c>
      <c r="I7" s="12">
        <f>'Grid_Stock'!B2</f>
        <v/>
      </c>
      <c r="J7" s="12">
        <f>'Grid_Stock'!C2</f>
        <v/>
      </c>
      <c r="K7" s="12">
        <f>'Grid_Stock'!D2</f>
        <v/>
      </c>
      <c r="L7" s="12">
        <f>'Grid_Stock'!E2</f>
        <v/>
      </c>
      <c r="M7" s="12">
        <f>'Grid_Stock'!F2</f>
        <v/>
      </c>
      <c r="N7" s="12">
        <f>'Grid_Stock'!G2</f>
        <v/>
      </c>
      <c r="O7" s="12">
        <f>'Grid_Stock'!H2</f>
        <v/>
      </c>
      <c r="P7" s="12">
        <f>'Grid_Stock'!I2</f>
        <v/>
      </c>
      <c r="Q7" s="12">
        <f>'Grid_Stock'!J2</f>
        <v/>
      </c>
      <c r="R7" s="12">
        <f>'Grid_Stock'!K2</f>
        <v/>
      </c>
      <c r="S7" s="12">
        <f>'Grid_Stock'!L2</f>
        <v/>
      </c>
      <c r="T7" s="12">
        <f>'Grid_Stock'!M2</f>
        <v/>
      </c>
      <c r="U7" s="12">
        <f>'Grid_Stock'!N2</f>
        <v/>
      </c>
      <c r="V7" s="12">
        <f>'Grid_Stock'!O2</f>
        <v/>
      </c>
      <c r="W7" s="12">
        <f>'Grid_Stock'!P2</f>
        <v/>
      </c>
      <c r="X7" s="12">
        <f>'Grid_Stock'!Q2</f>
        <v/>
      </c>
      <c r="Y7" s="12">
        <f>'Grid_Stock'!R2</f>
        <v/>
      </c>
      <c r="Z7" s="12">
        <f>'Grid_Stock'!S2</f>
        <v/>
      </c>
      <c r="AA7" s="12">
        <f>'Grid_Stock'!T2</f>
        <v/>
      </c>
      <c r="AB7" s="12">
        <f>'Grid_Stock'!U2</f>
        <v/>
      </c>
      <c r="AC7" s="12">
        <f>'Grid_Stock'!V2</f>
        <v/>
      </c>
      <c r="AD7" s="12">
        <f>'Grid_Stock'!W2</f>
        <v/>
      </c>
      <c r="AE7" s="12">
        <f>'Grid_Stock'!X2</f>
        <v/>
      </c>
      <c r="AF7" s="12">
        <f>'Grid_Stock'!Y2</f>
        <v/>
      </c>
      <c r="AG7" s="12">
        <f>'Grid_Stock'!Z2</f>
        <v/>
      </c>
      <c r="AH7" s="12">
        <f>'Grid_Stock'!AA2</f>
        <v/>
      </c>
      <c r="AI7" s="12">
        <f>'Grid_Stock'!AB2</f>
        <v/>
      </c>
      <c r="AJ7" s="12">
        <f>'Grid_Stock'!AC2</f>
        <v/>
      </c>
      <c r="AK7" s="12">
        <f>'Grid_Stock'!AD2</f>
        <v/>
      </c>
      <c r="AL7" s="12">
        <f>'Grid_Stock'!AE2</f>
        <v/>
      </c>
      <c r="AM7" s="12">
        <f>'Grid_Stock'!AF2</f>
        <v/>
      </c>
      <c r="AN7" s="12">
        <f>'Grid_Stock'!AG2</f>
        <v/>
      </c>
      <c r="AO7" s="12">
        <f>'Grid_Stock'!AH2</f>
        <v/>
      </c>
      <c r="AP7" s="12">
        <f>'Grid_Stock'!AI2</f>
        <v/>
      </c>
      <c r="AQ7" s="12">
        <f>'Grid_Stock'!AJ2</f>
        <v/>
      </c>
      <c r="AR7" s="12">
        <f>'Grid_Stock'!AK2</f>
        <v/>
      </c>
      <c r="AS7" s="12">
        <f>'Grid_Stock'!AL2</f>
        <v/>
      </c>
      <c r="AT7" s="12">
        <f>'Grid_Stock'!AM2</f>
        <v/>
      </c>
      <c r="AU7" s="12">
        <f>'Grid_Stock'!AN2</f>
        <v/>
      </c>
      <c r="AV7" s="12">
        <f>'Grid_Stock'!AO2</f>
        <v/>
      </c>
      <c r="AW7" s="12">
        <f>'Grid_Stock'!AP2</f>
        <v/>
      </c>
      <c r="AX7" s="12">
        <f>'Grid_Stock'!AQ2</f>
        <v/>
      </c>
      <c r="AY7" s="12">
        <f>'Grid_Stock'!AR2</f>
        <v/>
      </c>
      <c r="AZ7" s="12">
        <f>'Grid_Stock'!AS2</f>
        <v/>
      </c>
      <c r="BA7" s="12">
        <f>'Grid_Stock'!AT2</f>
        <v/>
      </c>
      <c r="BB7" s="12">
        <f>'Grid_Stock'!AU2</f>
        <v/>
      </c>
      <c r="BC7" s="12">
        <f>'Grid_Stock'!AV2</f>
        <v/>
      </c>
      <c r="BD7" s="12">
        <f>'Grid_Stock'!AW2</f>
        <v/>
      </c>
      <c r="BE7" s="12">
        <f>'Grid_Stock'!AX2</f>
        <v/>
      </c>
      <c r="BF7" s="12">
        <f>'Grid_Stock'!AY2</f>
        <v/>
      </c>
      <c r="BG7" s="12">
        <f>'Grid_Stock'!AZ2</f>
        <v/>
      </c>
      <c r="BH7" s="12">
        <f>'Grid_Stock'!BA2</f>
        <v/>
      </c>
      <c r="BI7" s="12">
        <f>'Grid_Stock'!BB2</f>
        <v/>
      </c>
      <c r="BJ7" s="12">
        <f>'Grid_Stock'!BC2</f>
        <v/>
      </c>
      <c r="BK7" s="12">
        <f>'Grid_Stock'!BD2</f>
        <v/>
      </c>
      <c r="BL7" s="12">
        <f>'Grid_Stock'!BE2</f>
        <v/>
      </c>
      <c r="BM7" s="12">
        <f>'Grid_Stock'!BF2</f>
        <v/>
      </c>
      <c r="BN7" s="12">
        <f>'Grid_Stock'!BG2</f>
        <v/>
      </c>
      <c r="BO7" s="12">
        <f>'Grid_Stock'!BH2</f>
        <v/>
      </c>
      <c r="BP7" s="12">
        <f>'Grid_Stock'!BI2</f>
        <v/>
      </c>
      <c r="BQ7" s="12">
        <f>'Grid_Stock'!BJ2</f>
        <v/>
      </c>
      <c r="BR7" s="12">
        <f>'Grid_Stock'!BK2</f>
        <v/>
      </c>
      <c r="BS7" s="12">
        <f>'Grid_Stock'!BL2</f>
        <v/>
      </c>
      <c r="BT7" s="12">
        <f>'Grid_Stock'!BM2</f>
        <v/>
      </c>
      <c r="BU7" s="12">
        <f>'Grid_Stock'!BN2</f>
        <v/>
      </c>
      <c r="BV7" s="12">
        <f>'Grid_Stock'!BO2</f>
        <v/>
      </c>
      <c r="BW7" s="12">
        <f>'Grid_Stock'!BP2</f>
        <v/>
      </c>
      <c r="BX7" s="12">
        <f>'Grid_Stock'!BQ2</f>
        <v/>
      </c>
      <c r="BY7" s="12">
        <f>'Grid_Stock'!BR2</f>
        <v/>
      </c>
      <c r="BZ7" s="12">
        <f>'Grid_Stock'!BS2</f>
        <v/>
      </c>
      <c r="CA7" s="12">
        <f>'Grid_Stock'!BT2</f>
        <v/>
      </c>
      <c r="CB7" s="12">
        <f>'Grid_Stock'!BU2</f>
        <v/>
      </c>
      <c r="CC7" s="12">
        <f>'Grid_Stock'!BV2</f>
        <v/>
      </c>
      <c r="CD7" s="12">
        <f>'Grid_Stock'!BW2</f>
        <v/>
      </c>
      <c r="CE7" s="12">
        <f>'Grid_Stock'!BX2</f>
        <v/>
      </c>
      <c r="CF7" s="12">
        <f>'Grid_Stock'!BY2</f>
        <v/>
      </c>
      <c r="CG7" s="12">
        <f>'Grid_Stock'!BZ2</f>
        <v/>
      </c>
      <c r="CH7" s="12">
        <f>'Grid_Stock'!CA2</f>
        <v/>
      </c>
      <c r="CI7" s="12">
        <f>'Grid_Stock'!CB2</f>
        <v/>
      </c>
      <c r="CJ7" s="12">
        <f>'Grid_Stock'!CC2</f>
        <v/>
      </c>
      <c r="CK7" s="12">
        <f>'Grid_Stock'!CD2</f>
        <v/>
      </c>
      <c r="CL7" s="12">
        <f>'Grid_Stock'!CE2</f>
        <v/>
      </c>
      <c r="CM7" s="12">
        <f>'Grid_Stock'!CF2</f>
        <v/>
      </c>
      <c r="CN7" s="12">
        <f>'Grid_Stock'!CG2</f>
        <v/>
      </c>
      <c r="CO7" s="12">
        <f>'Grid_Stock'!CH2</f>
        <v/>
      </c>
      <c r="CP7" s="12">
        <f>'Grid_Stock'!CI2</f>
        <v/>
      </c>
      <c r="CQ7" s="12">
        <f>'Grid_Stock'!CJ2</f>
        <v/>
      </c>
      <c r="CR7" s="12">
        <f>'Grid_Stock'!CK2</f>
        <v/>
      </c>
      <c r="CS7" s="12">
        <f>'Grid_Stock'!CL2</f>
        <v/>
      </c>
      <c r="CT7" s="12">
        <f>'Grid_Stock'!CM2</f>
        <v/>
      </c>
      <c r="CU7" s="12">
        <f>'Grid_Stock'!CN2</f>
        <v/>
      </c>
      <c r="CV7" s="12">
        <f>'Grid_Stock'!CO2</f>
        <v/>
      </c>
      <c r="CW7" s="12">
        <f>'Grid_Stock'!CP2</f>
        <v/>
      </c>
      <c r="CX7" s="12">
        <f>'Grid_Stock'!CQ2</f>
        <v/>
      </c>
      <c r="CY7" s="12">
        <f>'Grid_Stock'!CR2</f>
        <v/>
      </c>
      <c r="CZ7" s="12">
        <f>'Grid_Stock'!CS2</f>
        <v/>
      </c>
      <c r="DA7" s="12">
        <f>'Grid_Stock'!CT2</f>
        <v/>
      </c>
      <c r="DB7" s="12">
        <f>'Grid_Stock'!CU2</f>
        <v/>
      </c>
      <c r="DC7" s="12">
        <f>'Grid_Stock'!CV2</f>
        <v/>
      </c>
      <c r="DD7" s="12">
        <f>'Grid_Stock'!CW2</f>
        <v/>
      </c>
      <c r="DE7" s="12">
        <f>'Grid_Stock'!CX2</f>
        <v/>
      </c>
      <c r="DF7" s="12">
        <f>'Grid_Stock'!CY2</f>
        <v/>
      </c>
      <c r="DG7" s="12">
        <f>'Grid_Stock'!CZ2</f>
        <v/>
      </c>
      <c r="DH7" s="12">
        <f>'Grid_Stock'!DA2</f>
        <v/>
      </c>
    </row>
    <row r="8">
      <c r="A8" s="13" t="inlineStr">
        <is>
          <t>CHEM-1670</t>
        </is>
      </c>
      <c r="B8" s="13">
        <f>IFERROR(INDEX(M_RawMaterials[Description],MATCH($A8,M_RawMaterials[Part Name],0)),"")</f>
        <v/>
      </c>
      <c r="C8" s="13">
        <f>IFERROR(INDEX(M_RawMaterials[Category],MATCH($A8,M_RawMaterials[Part Name],0)),"")</f>
        <v/>
      </c>
      <c r="D8" s="13">
        <f>IFERROR(INDEX(M_RawMaterials[基準在庫下限_要入力],MATCH($A8,M_RawMaterials[Part Name],0)),0)</f>
        <v/>
      </c>
      <c r="E8" s="13">
        <f>IFERROR(INDEX(M_RawMaterials[基準在庫上限_要入力],MATCH($A8,M_RawMaterials[Part Name],0)),0)</f>
        <v/>
      </c>
      <c r="F8" s="13">
        <f>IFERROR(LOOKUP(2,1/('T_SelfStock'!$B$7:$DA$7&lt;&gt;""),'T_SelfStock'!$B$7:$DA$7),"")</f>
        <v/>
      </c>
      <c r="G8" s="13">
        <f>IFERROR(LOOKUP(2,1/('T_TTAFStock'!$B$7:$DA$7&lt;&gt;""),'T_TTAFStock'!$B$7:$DA$7),"")</f>
        <v/>
      </c>
      <c r="H8" s="13">
        <f>IFERROR(LOOKUP(2,1/('T_SelfStock'!$B$7:$DA$7&lt;&gt;""),'T_SelfStock'!$B$5:$DA$5),"")</f>
        <v/>
      </c>
      <c r="I8" s="13">
        <f>'Grid_Stock'!B3</f>
        <v/>
      </c>
      <c r="J8" s="13">
        <f>'Grid_Stock'!C3</f>
        <v/>
      </c>
      <c r="K8" s="13">
        <f>'Grid_Stock'!D3</f>
        <v/>
      </c>
      <c r="L8" s="13">
        <f>'Grid_Stock'!E3</f>
        <v/>
      </c>
      <c r="M8" s="13">
        <f>'Grid_Stock'!F3</f>
        <v/>
      </c>
      <c r="N8" s="13">
        <f>'Grid_Stock'!G3</f>
        <v/>
      </c>
      <c r="O8" s="13">
        <f>'Grid_Stock'!H3</f>
        <v/>
      </c>
      <c r="P8" s="13">
        <f>'Grid_Stock'!I3</f>
        <v/>
      </c>
      <c r="Q8" s="13">
        <f>'Grid_Stock'!J3</f>
        <v/>
      </c>
      <c r="R8" s="13">
        <f>'Grid_Stock'!K3</f>
        <v/>
      </c>
      <c r="S8" s="13">
        <f>'Grid_Stock'!L3</f>
        <v/>
      </c>
      <c r="T8" s="13">
        <f>'Grid_Stock'!M3</f>
        <v/>
      </c>
      <c r="U8" s="13">
        <f>'Grid_Stock'!N3</f>
        <v/>
      </c>
      <c r="V8" s="13">
        <f>'Grid_Stock'!O3</f>
        <v/>
      </c>
      <c r="W8" s="13">
        <f>'Grid_Stock'!P3</f>
        <v/>
      </c>
      <c r="X8" s="13">
        <f>'Grid_Stock'!Q3</f>
        <v/>
      </c>
      <c r="Y8" s="13">
        <f>'Grid_Stock'!R3</f>
        <v/>
      </c>
      <c r="Z8" s="13">
        <f>'Grid_Stock'!S3</f>
        <v/>
      </c>
      <c r="AA8" s="13">
        <f>'Grid_Stock'!T3</f>
        <v/>
      </c>
      <c r="AB8" s="13">
        <f>'Grid_Stock'!U3</f>
        <v/>
      </c>
      <c r="AC8" s="13">
        <f>'Grid_Stock'!V3</f>
        <v/>
      </c>
      <c r="AD8" s="13">
        <f>'Grid_Stock'!W3</f>
        <v/>
      </c>
      <c r="AE8" s="13">
        <f>'Grid_Stock'!X3</f>
        <v/>
      </c>
      <c r="AF8" s="13">
        <f>'Grid_Stock'!Y3</f>
        <v/>
      </c>
      <c r="AG8" s="13">
        <f>'Grid_Stock'!Z3</f>
        <v/>
      </c>
      <c r="AH8" s="13">
        <f>'Grid_Stock'!AA3</f>
        <v/>
      </c>
      <c r="AI8" s="13">
        <f>'Grid_Stock'!AB3</f>
        <v/>
      </c>
      <c r="AJ8" s="13">
        <f>'Grid_Stock'!AC3</f>
        <v/>
      </c>
      <c r="AK8" s="13">
        <f>'Grid_Stock'!AD3</f>
        <v/>
      </c>
      <c r="AL8" s="13">
        <f>'Grid_Stock'!AE3</f>
        <v/>
      </c>
      <c r="AM8" s="13">
        <f>'Grid_Stock'!AF3</f>
        <v/>
      </c>
      <c r="AN8" s="13">
        <f>'Grid_Stock'!AG3</f>
        <v/>
      </c>
      <c r="AO8" s="13">
        <f>'Grid_Stock'!AH3</f>
        <v/>
      </c>
      <c r="AP8" s="13">
        <f>'Grid_Stock'!AI3</f>
        <v/>
      </c>
      <c r="AQ8" s="13">
        <f>'Grid_Stock'!AJ3</f>
        <v/>
      </c>
      <c r="AR8" s="13">
        <f>'Grid_Stock'!AK3</f>
        <v/>
      </c>
      <c r="AS8" s="13">
        <f>'Grid_Stock'!AL3</f>
        <v/>
      </c>
      <c r="AT8" s="13">
        <f>'Grid_Stock'!AM3</f>
        <v/>
      </c>
      <c r="AU8" s="13">
        <f>'Grid_Stock'!AN3</f>
        <v/>
      </c>
      <c r="AV8" s="13">
        <f>'Grid_Stock'!AO3</f>
        <v/>
      </c>
      <c r="AW8" s="13">
        <f>'Grid_Stock'!AP3</f>
        <v/>
      </c>
      <c r="AX8" s="13">
        <f>'Grid_Stock'!AQ3</f>
        <v/>
      </c>
      <c r="AY8" s="13">
        <f>'Grid_Stock'!AR3</f>
        <v/>
      </c>
      <c r="AZ8" s="13">
        <f>'Grid_Stock'!AS3</f>
        <v/>
      </c>
      <c r="BA8" s="13">
        <f>'Grid_Stock'!AT3</f>
        <v/>
      </c>
      <c r="BB8" s="13">
        <f>'Grid_Stock'!AU3</f>
        <v/>
      </c>
      <c r="BC8" s="13">
        <f>'Grid_Stock'!AV3</f>
        <v/>
      </c>
      <c r="BD8" s="13">
        <f>'Grid_Stock'!AW3</f>
        <v/>
      </c>
      <c r="BE8" s="13">
        <f>'Grid_Stock'!AX3</f>
        <v/>
      </c>
      <c r="BF8" s="13">
        <f>'Grid_Stock'!AY3</f>
        <v/>
      </c>
      <c r="BG8" s="13">
        <f>'Grid_Stock'!AZ3</f>
        <v/>
      </c>
      <c r="BH8" s="13">
        <f>'Grid_Stock'!BA3</f>
        <v/>
      </c>
      <c r="BI8" s="13">
        <f>'Grid_Stock'!BB3</f>
        <v/>
      </c>
      <c r="BJ8" s="13">
        <f>'Grid_Stock'!BC3</f>
        <v/>
      </c>
      <c r="BK8" s="13">
        <f>'Grid_Stock'!BD3</f>
        <v/>
      </c>
      <c r="BL8" s="13">
        <f>'Grid_Stock'!BE3</f>
        <v/>
      </c>
      <c r="BM8" s="13">
        <f>'Grid_Stock'!BF3</f>
        <v/>
      </c>
      <c r="BN8" s="13">
        <f>'Grid_Stock'!BG3</f>
        <v/>
      </c>
      <c r="BO8" s="13">
        <f>'Grid_Stock'!BH3</f>
        <v/>
      </c>
      <c r="BP8" s="13">
        <f>'Grid_Stock'!BI3</f>
        <v/>
      </c>
      <c r="BQ8" s="13">
        <f>'Grid_Stock'!BJ3</f>
        <v/>
      </c>
      <c r="BR8" s="13">
        <f>'Grid_Stock'!BK3</f>
        <v/>
      </c>
      <c r="BS8" s="13">
        <f>'Grid_Stock'!BL3</f>
        <v/>
      </c>
      <c r="BT8" s="13">
        <f>'Grid_Stock'!BM3</f>
        <v/>
      </c>
      <c r="BU8" s="13">
        <f>'Grid_Stock'!BN3</f>
        <v/>
      </c>
      <c r="BV8" s="13">
        <f>'Grid_Stock'!BO3</f>
        <v/>
      </c>
      <c r="BW8" s="13">
        <f>'Grid_Stock'!BP3</f>
        <v/>
      </c>
      <c r="BX8" s="13">
        <f>'Grid_Stock'!BQ3</f>
        <v/>
      </c>
      <c r="BY8" s="13">
        <f>'Grid_Stock'!BR3</f>
        <v/>
      </c>
      <c r="BZ8" s="13">
        <f>'Grid_Stock'!BS3</f>
        <v/>
      </c>
      <c r="CA8" s="13">
        <f>'Grid_Stock'!BT3</f>
        <v/>
      </c>
      <c r="CB8" s="13">
        <f>'Grid_Stock'!BU3</f>
        <v/>
      </c>
      <c r="CC8" s="13">
        <f>'Grid_Stock'!BV3</f>
        <v/>
      </c>
      <c r="CD8" s="13">
        <f>'Grid_Stock'!BW3</f>
        <v/>
      </c>
      <c r="CE8" s="13">
        <f>'Grid_Stock'!BX3</f>
        <v/>
      </c>
      <c r="CF8" s="13">
        <f>'Grid_Stock'!BY3</f>
        <v/>
      </c>
      <c r="CG8" s="13">
        <f>'Grid_Stock'!BZ3</f>
        <v/>
      </c>
      <c r="CH8" s="13">
        <f>'Grid_Stock'!CA3</f>
        <v/>
      </c>
      <c r="CI8" s="13">
        <f>'Grid_Stock'!CB3</f>
        <v/>
      </c>
      <c r="CJ8" s="13">
        <f>'Grid_Stock'!CC3</f>
        <v/>
      </c>
      <c r="CK8" s="13">
        <f>'Grid_Stock'!CD3</f>
        <v/>
      </c>
      <c r="CL8" s="13">
        <f>'Grid_Stock'!CE3</f>
        <v/>
      </c>
      <c r="CM8" s="13">
        <f>'Grid_Stock'!CF3</f>
        <v/>
      </c>
      <c r="CN8" s="13">
        <f>'Grid_Stock'!CG3</f>
        <v/>
      </c>
      <c r="CO8" s="13">
        <f>'Grid_Stock'!CH3</f>
        <v/>
      </c>
      <c r="CP8" s="13">
        <f>'Grid_Stock'!CI3</f>
        <v/>
      </c>
      <c r="CQ8" s="13">
        <f>'Grid_Stock'!CJ3</f>
        <v/>
      </c>
      <c r="CR8" s="13">
        <f>'Grid_Stock'!CK3</f>
        <v/>
      </c>
      <c r="CS8" s="13">
        <f>'Grid_Stock'!CL3</f>
        <v/>
      </c>
      <c r="CT8" s="13">
        <f>'Grid_Stock'!CM3</f>
        <v/>
      </c>
      <c r="CU8" s="13">
        <f>'Grid_Stock'!CN3</f>
        <v/>
      </c>
      <c r="CV8" s="13">
        <f>'Grid_Stock'!CO3</f>
        <v/>
      </c>
      <c r="CW8" s="13">
        <f>'Grid_Stock'!CP3</f>
        <v/>
      </c>
      <c r="CX8" s="13">
        <f>'Grid_Stock'!CQ3</f>
        <v/>
      </c>
      <c r="CY8" s="13">
        <f>'Grid_Stock'!CR3</f>
        <v/>
      </c>
      <c r="CZ8" s="13">
        <f>'Grid_Stock'!CS3</f>
        <v/>
      </c>
      <c r="DA8" s="13">
        <f>'Grid_Stock'!CT3</f>
        <v/>
      </c>
      <c r="DB8" s="13">
        <f>'Grid_Stock'!CU3</f>
        <v/>
      </c>
      <c r="DC8" s="13">
        <f>'Grid_Stock'!CV3</f>
        <v/>
      </c>
      <c r="DD8" s="13">
        <f>'Grid_Stock'!CW3</f>
        <v/>
      </c>
      <c r="DE8" s="13">
        <f>'Grid_Stock'!CX3</f>
        <v/>
      </c>
      <c r="DF8" s="13">
        <f>'Grid_Stock'!CY3</f>
        <v/>
      </c>
      <c r="DG8" s="13">
        <f>'Grid_Stock'!CZ3</f>
        <v/>
      </c>
      <c r="DH8" s="13">
        <f>'Grid_Stock'!DA3</f>
        <v/>
      </c>
    </row>
    <row r="9">
      <c r="A9" s="12" t="inlineStr">
        <is>
          <t>CHEM-1700</t>
        </is>
      </c>
      <c r="B9" s="12">
        <f>IFERROR(INDEX(M_RawMaterials[Description],MATCH($A9,M_RawMaterials[Part Name],0)),"")</f>
        <v/>
      </c>
      <c r="C9" s="12">
        <f>IFERROR(INDEX(M_RawMaterials[Category],MATCH($A9,M_RawMaterials[Part Name],0)),"")</f>
        <v/>
      </c>
      <c r="D9" s="12">
        <f>IFERROR(INDEX(M_RawMaterials[基準在庫下限_要入力],MATCH($A9,M_RawMaterials[Part Name],0)),0)</f>
        <v/>
      </c>
      <c r="E9" s="12">
        <f>IFERROR(INDEX(M_RawMaterials[基準在庫上限_要入力],MATCH($A9,M_RawMaterials[Part Name],0)),0)</f>
        <v/>
      </c>
      <c r="F9" s="12">
        <f>IFERROR(LOOKUP(2,1/('T_SelfStock'!$B$8:$DA$8&lt;&gt;""),'T_SelfStock'!$B$8:$DA$8),"")</f>
        <v/>
      </c>
      <c r="G9" s="12">
        <f>IFERROR(LOOKUP(2,1/('T_TTAFStock'!$B$8:$DA$8&lt;&gt;""),'T_TTAFStock'!$B$8:$DA$8),"")</f>
        <v/>
      </c>
      <c r="H9" s="12">
        <f>IFERROR(LOOKUP(2,1/('T_SelfStock'!$B$8:$DA$8&lt;&gt;""),'T_SelfStock'!$B$5:$DA$5),"")</f>
        <v/>
      </c>
      <c r="I9" s="12">
        <f>'Grid_Stock'!B4</f>
        <v/>
      </c>
      <c r="J9" s="12">
        <f>'Grid_Stock'!C4</f>
        <v/>
      </c>
      <c r="K9" s="12">
        <f>'Grid_Stock'!D4</f>
        <v/>
      </c>
      <c r="L9" s="12">
        <f>'Grid_Stock'!E4</f>
        <v/>
      </c>
      <c r="M9" s="12">
        <f>'Grid_Stock'!F4</f>
        <v/>
      </c>
      <c r="N9" s="12">
        <f>'Grid_Stock'!G4</f>
        <v/>
      </c>
      <c r="O9" s="12">
        <f>'Grid_Stock'!H4</f>
        <v/>
      </c>
      <c r="P9" s="12">
        <f>'Grid_Stock'!I4</f>
        <v/>
      </c>
      <c r="Q9" s="12">
        <f>'Grid_Stock'!J4</f>
        <v/>
      </c>
      <c r="R9" s="12">
        <f>'Grid_Stock'!K4</f>
        <v/>
      </c>
      <c r="S9" s="12">
        <f>'Grid_Stock'!L4</f>
        <v/>
      </c>
      <c r="T9" s="12">
        <f>'Grid_Stock'!M4</f>
        <v/>
      </c>
      <c r="U9" s="12">
        <f>'Grid_Stock'!N4</f>
        <v/>
      </c>
      <c r="V9" s="12">
        <f>'Grid_Stock'!O4</f>
        <v/>
      </c>
      <c r="W9" s="12">
        <f>'Grid_Stock'!P4</f>
        <v/>
      </c>
      <c r="X9" s="12">
        <f>'Grid_Stock'!Q4</f>
        <v/>
      </c>
      <c r="Y9" s="12">
        <f>'Grid_Stock'!R4</f>
        <v/>
      </c>
      <c r="Z9" s="12">
        <f>'Grid_Stock'!S4</f>
        <v/>
      </c>
      <c r="AA9" s="12">
        <f>'Grid_Stock'!T4</f>
        <v/>
      </c>
      <c r="AB9" s="12">
        <f>'Grid_Stock'!U4</f>
        <v/>
      </c>
      <c r="AC9" s="12">
        <f>'Grid_Stock'!V4</f>
        <v/>
      </c>
      <c r="AD9" s="12">
        <f>'Grid_Stock'!W4</f>
        <v/>
      </c>
      <c r="AE9" s="12">
        <f>'Grid_Stock'!X4</f>
        <v/>
      </c>
      <c r="AF9" s="12">
        <f>'Grid_Stock'!Y4</f>
        <v/>
      </c>
      <c r="AG9" s="12">
        <f>'Grid_Stock'!Z4</f>
        <v/>
      </c>
      <c r="AH9" s="12">
        <f>'Grid_Stock'!AA4</f>
        <v/>
      </c>
      <c r="AI9" s="12">
        <f>'Grid_Stock'!AB4</f>
        <v/>
      </c>
      <c r="AJ9" s="12">
        <f>'Grid_Stock'!AC4</f>
        <v/>
      </c>
      <c r="AK9" s="12">
        <f>'Grid_Stock'!AD4</f>
        <v/>
      </c>
      <c r="AL9" s="12">
        <f>'Grid_Stock'!AE4</f>
        <v/>
      </c>
      <c r="AM9" s="12">
        <f>'Grid_Stock'!AF4</f>
        <v/>
      </c>
      <c r="AN9" s="12">
        <f>'Grid_Stock'!AG4</f>
        <v/>
      </c>
      <c r="AO9" s="12">
        <f>'Grid_Stock'!AH4</f>
        <v/>
      </c>
      <c r="AP9" s="12">
        <f>'Grid_Stock'!AI4</f>
        <v/>
      </c>
      <c r="AQ9" s="12">
        <f>'Grid_Stock'!AJ4</f>
        <v/>
      </c>
      <c r="AR9" s="12">
        <f>'Grid_Stock'!AK4</f>
        <v/>
      </c>
      <c r="AS9" s="12">
        <f>'Grid_Stock'!AL4</f>
        <v/>
      </c>
      <c r="AT9" s="12">
        <f>'Grid_Stock'!AM4</f>
        <v/>
      </c>
      <c r="AU9" s="12">
        <f>'Grid_Stock'!AN4</f>
        <v/>
      </c>
      <c r="AV9" s="12">
        <f>'Grid_Stock'!AO4</f>
        <v/>
      </c>
      <c r="AW9" s="12">
        <f>'Grid_Stock'!AP4</f>
        <v/>
      </c>
      <c r="AX9" s="12">
        <f>'Grid_Stock'!AQ4</f>
        <v/>
      </c>
      <c r="AY9" s="12">
        <f>'Grid_Stock'!AR4</f>
        <v/>
      </c>
      <c r="AZ9" s="12">
        <f>'Grid_Stock'!AS4</f>
        <v/>
      </c>
      <c r="BA9" s="12">
        <f>'Grid_Stock'!AT4</f>
        <v/>
      </c>
      <c r="BB9" s="12">
        <f>'Grid_Stock'!AU4</f>
        <v/>
      </c>
      <c r="BC9" s="12">
        <f>'Grid_Stock'!AV4</f>
        <v/>
      </c>
      <c r="BD9" s="12">
        <f>'Grid_Stock'!AW4</f>
        <v/>
      </c>
      <c r="BE9" s="12">
        <f>'Grid_Stock'!AX4</f>
        <v/>
      </c>
      <c r="BF9" s="12">
        <f>'Grid_Stock'!AY4</f>
        <v/>
      </c>
      <c r="BG9" s="12">
        <f>'Grid_Stock'!AZ4</f>
        <v/>
      </c>
      <c r="BH9" s="12">
        <f>'Grid_Stock'!BA4</f>
        <v/>
      </c>
      <c r="BI9" s="12">
        <f>'Grid_Stock'!BB4</f>
        <v/>
      </c>
      <c r="BJ9" s="12">
        <f>'Grid_Stock'!BC4</f>
        <v/>
      </c>
      <c r="BK9" s="12">
        <f>'Grid_Stock'!BD4</f>
        <v/>
      </c>
      <c r="BL9" s="12">
        <f>'Grid_Stock'!BE4</f>
        <v/>
      </c>
      <c r="BM9" s="12">
        <f>'Grid_Stock'!BF4</f>
        <v/>
      </c>
      <c r="BN9" s="12">
        <f>'Grid_Stock'!BG4</f>
        <v/>
      </c>
      <c r="BO9" s="12">
        <f>'Grid_Stock'!BH4</f>
        <v/>
      </c>
      <c r="BP9" s="12">
        <f>'Grid_Stock'!BI4</f>
        <v/>
      </c>
      <c r="BQ9" s="12">
        <f>'Grid_Stock'!BJ4</f>
        <v/>
      </c>
      <c r="BR9" s="12">
        <f>'Grid_Stock'!BK4</f>
        <v/>
      </c>
      <c r="BS9" s="12">
        <f>'Grid_Stock'!BL4</f>
        <v/>
      </c>
      <c r="BT9" s="12">
        <f>'Grid_Stock'!BM4</f>
        <v/>
      </c>
      <c r="BU9" s="12">
        <f>'Grid_Stock'!BN4</f>
        <v/>
      </c>
      <c r="BV9" s="12">
        <f>'Grid_Stock'!BO4</f>
        <v/>
      </c>
      <c r="BW9" s="12">
        <f>'Grid_Stock'!BP4</f>
        <v/>
      </c>
      <c r="BX9" s="12">
        <f>'Grid_Stock'!BQ4</f>
        <v/>
      </c>
      <c r="BY9" s="12">
        <f>'Grid_Stock'!BR4</f>
        <v/>
      </c>
      <c r="BZ9" s="12">
        <f>'Grid_Stock'!BS4</f>
        <v/>
      </c>
      <c r="CA9" s="12">
        <f>'Grid_Stock'!BT4</f>
        <v/>
      </c>
      <c r="CB9" s="12">
        <f>'Grid_Stock'!BU4</f>
        <v/>
      </c>
      <c r="CC9" s="12">
        <f>'Grid_Stock'!BV4</f>
        <v/>
      </c>
      <c r="CD9" s="12">
        <f>'Grid_Stock'!BW4</f>
        <v/>
      </c>
      <c r="CE9" s="12">
        <f>'Grid_Stock'!BX4</f>
        <v/>
      </c>
      <c r="CF9" s="12">
        <f>'Grid_Stock'!BY4</f>
        <v/>
      </c>
      <c r="CG9" s="12">
        <f>'Grid_Stock'!BZ4</f>
        <v/>
      </c>
      <c r="CH9" s="12">
        <f>'Grid_Stock'!CA4</f>
        <v/>
      </c>
      <c r="CI9" s="12">
        <f>'Grid_Stock'!CB4</f>
        <v/>
      </c>
      <c r="CJ9" s="12">
        <f>'Grid_Stock'!CC4</f>
        <v/>
      </c>
      <c r="CK9" s="12">
        <f>'Grid_Stock'!CD4</f>
        <v/>
      </c>
      <c r="CL9" s="12">
        <f>'Grid_Stock'!CE4</f>
        <v/>
      </c>
      <c r="CM9" s="12">
        <f>'Grid_Stock'!CF4</f>
        <v/>
      </c>
      <c r="CN9" s="12">
        <f>'Grid_Stock'!CG4</f>
        <v/>
      </c>
      <c r="CO9" s="12">
        <f>'Grid_Stock'!CH4</f>
        <v/>
      </c>
      <c r="CP9" s="12">
        <f>'Grid_Stock'!CI4</f>
        <v/>
      </c>
      <c r="CQ9" s="12">
        <f>'Grid_Stock'!CJ4</f>
        <v/>
      </c>
      <c r="CR9" s="12">
        <f>'Grid_Stock'!CK4</f>
        <v/>
      </c>
      <c r="CS9" s="12">
        <f>'Grid_Stock'!CL4</f>
        <v/>
      </c>
      <c r="CT9" s="12">
        <f>'Grid_Stock'!CM4</f>
        <v/>
      </c>
      <c r="CU9" s="12">
        <f>'Grid_Stock'!CN4</f>
        <v/>
      </c>
      <c r="CV9" s="12">
        <f>'Grid_Stock'!CO4</f>
        <v/>
      </c>
      <c r="CW9" s="12">
        <f>'Grid_Stock'!CP4</f>
        <v/>
      </c>
      <c r="CX9" s="12">
        <f>'Grid_Stock'!CQ4</f>
        <v/>
      </c>
      <c r="CY9" s="12">
        <f>'Grid_Stock'!CR4</f>
        <v/>
      </c>
      <c r="CZ9" s="12">
        <f>'Grid_Stock'!CS4</f>
        <v/>
      </c>
      <c r="DA9" s="12">
        <f>'Grid_Stock'!CT4</f>
        <v/>
      </c>
      <c r="DB9" s="12">
        <f>'Grid_Stock'!CU4</f>
        <v/>
      </c>
      <c r="DC9" s="12">
        <f>'Grid_Stock'!CV4</f>
        <v/>
      </c>
      <c r="DD9" s="12">
        <f>'Grid_Stock'!CW4</f>
        <v/>
      </c>
      <c r="DE9" s="12">
        <f>'Grid_Stock'!CX4</f>
        <v/>
      </c>
      <c r="DF9" s="12">
        <f>'Grid_Stock'!CY4</f>
        <v/>
      </c>
      <c r="DG9" s="12">
        <f>'Grid_Stock'!CZ4</f>
        <v/>
      </c>
      <c r="DH9" s="12">
        <f>'Grid_Stock'!DA4</f>
        <v/>
      </c>
    </row>
    <row r="10">
      <c r="A10" s="13" t="inlineStr">
        <is>
          <t>CHEM-1420</t>
        </is>
      </c>
      <c r="B10" s="13">
        <f>IFERROR(INDEX(M_RawMaterials[Description],MATCH($A10,M_RawMaterials[Part Name],0)),"")</f>
        <v/>
      </c>
      <c r="C10" s="13">
        <f>IFERROR(INDEX(M_RawMaterials[Category],MATCH($A10,M_RawMaterials[Part Name],0)),"")</f>
        <v/>
      </c>
      <c r="D10" s="13">
        <f>IFERROR(INDEX(M_RawMaterials[基準在庫下限_要入力],MATCH($A10,M_RawMaterials[Part Name],0)),0)</f>
        <v/>
      </c>
      <c r="E10" s="13">
        <f>IFERROR(INDEX(M_RawMaterials[基準在庫上限_要入力],MATCH($A10,M_RawMaterials[Part Name],0)),0)</f>
        <v/>
      </c>
      <c r="F10" s="13">
        <f>IFERROR(LOOKUP(2,1/('T_SelfStock'!$B$9:$DA$9&lt;&gt;""),'T_SelfStock'!$B$9:$DA$9),"")</f>
        <v/>
      </c>
      <c r="G10" s="13">
        <f>IFERROR(LOOKUP(2,1/('T_TTAFStock'!$B$9:$DA$9&lt;&gt;""),'T_TTAFStock'!$B$9:$DA$9),"")</f>
        <v/>
      </c>
      <c r="H10" s="13">
        <f>IFERROR(LOOKUP(2,1/('T_SelfStock'!$B$9:$DA$9&lt;&gt;""),'T_SelfStock'!$B$5:$DA$5),"")</f>
        <v/>
      </c>
      <c r="I10" s="13">
        <f>'Grid_Stock'!B5</f>
        <v/>
      </c>
      <c r="J10" s="13">
        <f>'Grid_Stock'!C5</f>
        <v/>
      </c>
      <c r="K10" s="13">
        <f>'Grid_Stock'!D5</f>
        <v/>
      </c>
      <c r="L10" s="13">
        <f>'Grid_Stock'!E5</f>
        <v/>
      </c>
      <c r="M10" s="13">
        <f>'Grid_Stock'!F5</f>
        <v/>
      </c>
      <c r="N10" s="13">
        <f>'Grid_Stock'!G5</f>
        <v/>
      </c>
      <c r="O10" s="13">
        <f>'Grid_Stock'!H5</f>
        <v/>
      </c>
      <c r="P10" s="13">
        <f>'Grid_Stock'!I5</f>
        <v/>
      </c>
      <c r="Q10" s="13">
        <f>'Grid_Stock'!J5</f>
        <v/>
      </c>
      <c r="R10" s="13">
        <f>'Grid_Stock'!K5</f>
        <v/>
      </c>
      <c r="S10" s="13">
        <f>'Grid_Stock'!L5</f>
        <v/>
      </c>
      <c r="T10" s="13">
        <f>'Grid_Stock'!M5</f>
        <v/>
      </c>
      <c r="U10" s="13">
        <f>'Grid_Stock'!N5</f>
        <v/>
      </c>
      <c r="V10" s="13">
        <f>'Grid_Stock'!O5</f>
        <v/>
      </c>
      <c r="W10" s="13">
        <f>'Grid_Stock'!P5</f>
        <v/>
      </c>
      <c r="X10" s="13">
        <f>'Grid_Stock'!Q5</f>
        <v/>
      </c>
      <c r="Y10" s="13">
        <f>'Grid_Stock'!R5</f>
        <v/>
      </c>
      <c r="Z10" s="13">
        <f>'Grid_Stock'!S5</f>
        <v/>
      </c>
      <c r="AA10" s="13">
        <f>'Grid_Stock'!T5</f>
        <v/>
      </c>
      <c r="AB10" s="13">
        <f>'Grid_Stock'!U5</f>
        <v/>
      </c>
      <c r="AC10" s="13">
        <f>'Grid_Stock'!V5</f>
        <v/>
      </c>
      <c r="AD10" s="13">
        <f>'Grid_Stock'!W5</f>
        <v/>
      </c>
      <c r="AE10" s="13">
        <f>'Grid_Stock'!X5</f>
        <v/>
      </c>
      <c r="AF10" s="13">
        <f>'Grid_Stock'!Y5</f>
        <v/>
      </c>
      <c r="AG10" s="13">
        <f>'Grid_Stock'!Z5</f>
        <v/>
      </c>
      <c r="AH10" s="13">
        <f>'Grid_Stock'!AA5</f>
        <v/>
      </c>
      <c r="AI10" s="13">
        <f>'Grid_Stock'!AB5</f>
        <v/>
      </c>
      <c r="AJ10" s="13">
        <f>'Grid_Stock'!AC5</f>
        <v/>
      </c>
      <c r="AK10" s="13">
        <f>'Grid_Stock'!AD5</f>
        <v/>
      </c>
      <c r="AL10" s="13">
        <f>'Grid_Stock'!AE5</f>
        <v/>
      </c>
      <c r="AM10" s="13">
        <f>'Grid_Stock'!AF5</f>
        <v/>
      </c>
      <c r="AN10" s="13">
        <f>'Grid_Stock'!AG5</f>
        <v/>
      </c>
      <c r="AO10" s="13">
        <f>'Grid_Stock'!AH5</f>
        <v/>
      </c>
      <c r="AP10" s="13">
        <f>'Grid_Stock'!AI5</f>
        <v/>
      </c>
      <c r="AQ10" s="13">
        <f>'Grid_Stock'!AJ5</f>
        <v/>
      </c>
      <c r="AR10" s="13">
        <f>'Grid_Stock'!AK5</f>
        <v/>
      </c>
      <c r="AS10" s="13">
        <f>'Grid_Stock'!AL5</f>
        <v/>
      </c>
      <c r="AT10" s="13">
        <f>'Grid_Stock'!AM5</f>
        <v/>
      </c>
      <c r="AU10" s="13">
        <f>'Grid_Stock'!AN5</f>
        <v/>
      </c>
      <c r="AV10" s="13">
        <f>'Grid_Stock'!AO5</f>
        <v/>
      </c>
      <c r="AW10" s="13">
        <f>'Grid_Stock'!AP5</f>
        <v/>
      </c>
      <c r="AX10" s="13">
        <f>'Grid_Stock'!AQ5</f>
        <v/>
      </c>
      <c r="AY10" s="13">
        <f>'Grid_Stock'!AR5</f>
        <v/>
      </c>
      <c r="AZ10" s="13">
        <f>'Grid_Stock'!AS5</f>
        <v/>
      </c>
      <c r="BA10" s="13">
        <f>'Grid_Stock'!AT5</f>
        <v/>
      </c>
      <c r="BB10" s="13">
        <f>'Grid_Stock'!AU5</f>
        <v/>
      </c>
      <c r="BC10" s="13">
        <f>'Grid_Stock'!AV5</f>
        <v/>
      </c>
      <c r="BD10" s="13">
        <f>'Grid_Stock'!AW5</f>
        <v/>
      </c>
      <c r="BE10" s="13">
        <f>'Grid_Stock'!AX5</f>
        <v/>
      </c>
      <c r="BF10" s="13">
        <f>'Grid_Stock'!AY5</f>
        <v/>
      </c>
      <c r="BG10" s="13">
        <f>'Grid_Stock'!AZ5</f>
        <v/>
      </c>
      <c r="BH10" s="13">
        <f>'Grid_Stock'!BA5</f>
        <v/>
      </c>
      <c r="BI10" s="13">
        <f>'Grid_Stock'!BB5</f>
        <v/>
      </c>
      <c r="BJ10" s="13">
        <f>'Grid_Stock'!BC5</f>
        <v/>
      </c>
      <c r="BK10" s="13">
        <f>'Grid_Stock'!BD5</f>
        <v/>
      </c>
      <c r="BL10" s="13">
        <f>'Grid_Stock'!BE5</f>
        <v/>
      </c>
      <c r="BM10" s="13">
        <f>'Grid_Stock'!BF5</f>
        <v/>
      </c>
      <c r="BN10" s="13">
        <f>'Grid_Stock'!BG5</f>
        <v/>
      </c>
      <c r="BO10" s="13">
        <f>'Grid_Stock'!BH5</f>
        <v/>
      </c>
      <c r="BP10" s="13">
        <f>'Grid_Stock'!BI5</f>
        <v/>
      </c>
      <c r="BQ10" s="13">
        <f>'Grid_Stock'!BJ5</f>
        <v/>
      </c>
      <c r="BR10" s="13">
        <f>'Grid_Stock'!BK5</f>
        <v/>
      </c>
      <c r="BS10" s="13">
        <f>'Grid_Stock'!BL5</f>
        <v/>
      </c>
      <c r="BT10" s="13">
        <f>'Grid_Stock'!BM5</f>
        <v/>
      </c>
      <c r="BU10" s="13">
        <f>'Grid_Stock'!BN5</f>
        <v/>
      </c>
      <c r="BV10" s="13">
        <f>'Grid_Stock'!BO5</f>
        <v/>
      </c>
      <c r="BW10" s="13">
        <f>'Grid_Stock'!BP5</f>
        <v/>
      </c>
      <c r="BX10" s="13">
        <f>'Grid_Stock'!BQ5</f>
        <v/>
      </c>
      <c r="BY10" s="13">
        <f>'Grid_Stock'!BR5</f>
        <v/>
      </c>
      <c r="BZ10" s="13">
        <f>'Grid_Stock'!BS5</f>
        <v/>
      </c>
      <c r="CA10" s="13">
        <f>'Grid_Stock'!BT5</f>
        <v/>
      </c>
      <c r="CB10" s="13">
        <f>'Grid_Stock'!BU5</f>
        <v/>
      </c>
      <c r="CC10" s="13">
        <f>'Grid_Stock'!BV5</f>
        <v/>
      </c>
      <c r="CD10" s="13">
        <f>'Grid_Stock'!BW5</f>
        <v/>
      </c>
      <c r="CE10" s="13">
        <f>'Grid_Stock'!BX5</f>
        <v/>
      </c>
      <c r="CF10" s="13">
        <f>'Grid_Stock'!BY5</f>
        <v/>
      </c>
      <c r="CG10" s="13">
        <f>'Grid_Stock'!BZ5</f>
        <v/>
      </c>
      <c r="CH10" s="13">
        <f>'Grid_Stock'!CA5</f>
        <v/>
      </c>
      <c r="CI10" s="13">
        <f>'Grid_Stock'!CB5</f>
        <v/>
      </c>
      <c r="CJ10" s="13">
        <f>'Grid_Stock'!CC5</f>
        <v/>
      </c>
      <c r="CK10" s="13">
        <f>'Grid_Stock'!CD5</f>
        <v/>
      </c>
      <c r="CL10" s="13">
        <f>'Grid_Stock'!CE5</f>
        <v/>
      </c>
      <c r="CM10" s="13">
        <f>'Grid_Stock'!CF5</f>
        <v/>
      </c>
      <c r="CN10" s="13">
        <f>'Grid_Stock'!CG5</f>
        <v/>
      </c>
      <c r="CO10" s="13">
        <f>'Grid_Stock'!CH5</f>
        <v/>
      </c>
      <c r="CP10" s="13">
        <f>'Grid_Stock'!CI5</f>
        <v/>
      </c>
      <c r="CQ10" s="13">
        <f>'Grid_Stock'!CJ5</f>
        <v/>
      </c>
      <c r="CR10" s="13">
        <f>'Grid_Stock'!CK5</f>
        <v/>
      </c>
      <c r="CS10" s="13">
        <f>'Grid_Stock'!CL5</f>
        <v/>
      </c>
      <c r="CT10" s="13">
        <f>'Grid_Stock'!CM5</f>
        <v/>
      </c>
      <c r="CU10" s="13">
        <f>'Grid_Stock'!CN5</f>
        <v/>
      </c>
      <c r="CV10" s="13">
        <f>'Grid_Stock'!CO5</f>
        <v/>
      </c>
      <c r="CW10" s="13">
        <f>'Grid_Stock'!CP5</f>
        <v/>
      </c>
      <c r="CX10" s="13">
        <f>'Grid_Stock'!CQ5</f>
        <v/>
      </c>
      <c r="CY10" s="13">
        <f>'Grid_Stock'!CR5</f>
        <v/>
      </c>
      <c r="CZ10" s="13">
        <f>'Grid_Stock'!CS5</f>
        <v/>
      </c>
      <c r="DA10" s="13">
        <f>'Grid_Stock'!CT5</f>
        <v/>
      </c>
      <c r="DB10" s="13">
        <f>'Grid_Stock'!CU5</f>
        <v/>
      </c>
      <c r="DC10" s="13">
        <f>'Grid_Stock'!CV5</f>
        <v/>
      </c>
      <c r="DD10" s="13">
        <f>'Grid_Stock'!CW5</f>
        <v/>
      </c>
      <c r="DE10" s="13">
        <f>'Grid_Stock'!CX5</f>
        <v/>
      </c>
      <c r="DF10" s="13">
        <f>'Grid_Stock'!CY5</f>
        <v/>
      </c>
      <c r="DG10" s="13">
        <f>'Grid_Stock'!CZ5</f>
        <v/>
      </c>
      <c r="DH10" s="13">
        <f>'Grid_Stock'!DA5</f>
        <v/>
      </c>
    </row>
    <row r="11">
      <c r="A11" s="12" t="inlineStr">
        <is>
          <t>CHEM-1530</t>
        </is>
      </c>
      <c r="B11" s="12">
        <f>IFERROR(INDEX(M_RawMaterials[Description],MATCH($A11,M_RawMaterials[Part Name],0)),"")</f>
        <v/>
      </c>
      <c r="C11" s="12">
        <f>IFERROR(INDEX(M_RawMaterials[Category],MATCH($A11,M_RawMaterials[Part Name],0)),"")</f>
        <v/>
      </c>
      <c r="D11" s="12">
        <f>IFERROR(INDEX(M_RawMaterials[基準在庫下限_要入力],MATCH($A11,M_RawMaterials[Part Name],0)),0)</f>
        <v/>
      </c>
      <c r="E11" s="12">
        <f>IFERROR(INDEX(M_RawMaterials[基準在庫上限_要入力],MATCH($A11,M_RawMaterials[Part Name],0)),0)</f>
        <v/>
      </c>
      <c r="F11" s="12">
        <f>IFERROR(LOOKUP(2,1/('T_SelfStock'!$B$10:$DA$10&lt;&gt;""),'T_SelfStock'!$B$10:$DA$10),"")</f>
        <v/>
      </c>
      <c r="G11" s="12">
        <f>IFERROR(LOOKUP(2,1/('T_TTAFStock'!$B$10:$DA$10&lt;&gt;""),'T_TTAFStock'!$B$10:$DA$10),"")</f>
        <v/>
      </c>
      <c r="H11" s="12">
        <f>IFERROR(LOOKUP(2,1/('T_SelfStock'!$B$10:$DA$10&lt;&gt;""),'T_SelfStock'!$B$5:$DA$5),"")</f>
        <v/>
      </c>
      <c r="I11" s="12">
        <f>'Grid_Stock'!B6</f>
        <v/>
      </c>
      <c r="J11" s="12">
        <f>'Grid_Stock'!C6</f>
        <v/>
      </c>
      <c r="K11" s="12">
        <f>'Grid_Stock'!D6</f>
        <v/>
      </c>
      <c r="L11" s="12">
        <f>'Grid_Stock'!E6</f>
        <v/>
      </c>
      <c r="M11" s="12">
        <f>'Grid_Stock'!F6</f>
        <v/>
      </c>
      <c r="N11" s="12">
        <f>'Grid_Stock'!G6</f>
        <v/>
      </c>
      <c r="O11" s="12">
        <f>'Grid_Stock'!H6</f>
        <v/>
      </c>
      <c r="P11" s="12">
        <f>'Grid_Stock'!I6</f>
        <v/>
      </c>
      <c r="Q11" s="12">
        <f>'Grid_Stock'!J6</f>
        <v/>
      </c>
      <c r="R11" s="12">
        <f>'Grid_Stock'!K6</f>
        <v/>
      </c>
      <c r="S11" s="12">
        <f>'Grid_Stock'!L6</f>
        <v/>
      </c>
      <c r="T11" s="12">
        <f>'Grid_Stock'!M6</f>
        <v/>
      </c>
      <c r="U11" s="12">
        <f>'Grid_Stock'!N6</f>
        <v/>
      </c>
      <c r="V11" s="12">
        <f>'Grid_Stock'!O6</f>
        <v/>
      </c>
      <c r="W11" s="12">
        <f>'Grid_Stock'!P6</f>
        <v/>
      </c>
      <c r="X11" s="12">
        <f>'Grid_Stock'!Q6</f>
        <v/>
      </c>
      <c r="Y11" s="12">
        <f>'Grid_Stock'!R6</f>
        <v/>
      </c>
      <c r="Z11" s="12">
        <f>'Grid_Stock'!S6</f>
        <v/>
      </c>
      <c r="AA11" s="12">
        <f>'Grid_Stock'!T6</f>
        <v/>
      </c>
      <c r="AB11" s="12">
        <f>'Grid_Stock'!U6</f>
        <v/>
      </c>
      <c r="AC11" s="12">
        <f>'Grid_Stock'!V6</f>
        <v/>
      </c>
      <c r="AD11" s="12">
        <f>'Grid_Stock'!W6</f>
        <v/>
      </c>
      <c r="AE11" s="12">
        <f>'Grid_Stock'!X6</f>
        <v/>
      </c>
      <c r="AF11" s="12">
        <f>'Grid_Stock'!Y6</f>
        <v/>
      </c>
      <c r="AG11" s="12">
        <f>'Grid_Stock'!Z6</f>
        <v/>
      </c>
      <c r="AH11" s="12">
        <f>'Grid_Stock'!AA6</f>
        <v/>
      </c>
      <c r="AI11" s="12">
        <f>'Grid_Stock'!AB6</f>
        <v/>
      </c>
      <c r="AJ11" s="12">
        <f>'Grid_Stock'!AC6</f>
        <v/>
      </c>
      <c r="AK11" s="12">
        <f>'Grid_Stock'!AD6</f>
        <v/>
      </c>
      <c r="AL11" s="12">
        <f>'Grid_Stock'!AE6</f>
        <v/>
      </c>
      <c r="AM11" s="12">
        <f>'Grid_Stock'!AF6</f>
        <v/>
      </c>
      <c r="AN11" s="12">
        <f>'Grid_Stock'!AG6</f>
        <v/>
      </c>
      <c r="AO11" s="12">
        <f>'Grid_Stock'!AH6</f>
        <v/>
      </c>
      <c r="AP11" s="12">
        <f>'Grid_Stock'!AI6</f>
        <v/>
      </c>
      <c r="AQ11" s="12">
        <f>'Grid_Stock'!AJ6</f>
        <v/>
      </c>
      <c r="AR11" s="12">
        <f>'Grid_Stock'!AK6</f>
        <v/>
      </c>
      <c r="AS11" s="12">
        <f>'Grid_Stock'!AL6</f>
        <v/>
      </c>
      <c r="AT11" s="12">
        <f>'Grid_Stock'!AM6</f>
        <v/>
      </c>
      <c r="AU11" s="12">
        <f>'Grid_Stock'!AN6</f>
        <v/>
      </c>
      <c r="AV11" s="12">
        <f>'Grid_Stock'!AO6</f>
        <v/>
      </c>
      <c r="AW11" s="12">
        <f>'Grid_Stock'!AP6</f>
        <v/>
      </c>
      <c r="AX11" s="12">
        <f>'Grid_Stock'!AQ6</f>
        <v/>
      </c>
      <c r="AY11" s="12">
        <f>'Grid_Stock'!AR6</f>
        <v/>
      </c>
      <c r="AZ11" s="12">
        <f>'Grid_Stock'!AS6</f>
        <v/>
      </c>
      <c r="BA11" s="12">
        <f>'Grid_Stock'!AT6</f>
        <v/>
      </c>
      <c r="BB11" s="12">
        <f>'Grid_Stock'!AU6</f>
        <v/>
      </c>
      <c r="BC11" s="12">
        <f>'Grid_Stock'!AV6</f>
        <v/>
      </c>
      <c r="BD11" s="12">
        <f>'Grid_Stock'!AW6</f>
        <v/>
      </c>
      <c r="BE11" s="12">
        <f>'Grid_Stock'!AX6</f>
        <v/>
      </c>
      <c r="BF11" s="12">
        <f>'Grid_Stock'!AY6</f>
        <v/>
      </c>
      <c r="BG11" s="12">
        <f>'Grid_Stock'!AZ6</f>
        <v/>
      </c>
      <c r="BH11" s="12">
        <f>'Grid_Stock'!BA6</f>
        <v/>
      </c>
      <c r="BI11" s="12">
        <f>'Grid_Stock'!BB6</f>
        <v/>
      </c>
      <c r="BJ11" s="12">
        <f>'Grid_Stock'!BC6</f>
        <v/>
      </c>
      <c r="BK11" s="12">
        <f>'Grid_Stock'!BD6</f>
        <v/>
      </c>
      <c r="BL11" s="12">
        <f>'Grid_Stock'!BE6</f>
        <v/>
      </c>
      <c r="BM11" s="12">
        <f>'Grid_Stock'!BF6</f>
        <v/>
      </c>
      <c r="BN11" s="12">
        <f>'Grid_Stock'!BG6</f>
        <v/>
      </c>
      <c r="BO11" s="12">
        <f>'Grid_Stock'!BH6</f>
        <v/>
      </c>
      <c r="BP11" s="12">
        <f>'Grid_Stock'!BI6</f>
        <v/>
      </c>
      <c r="BQ11" s="12">
        <f>'Grid_Stock'!BJ6</f>
        <v/>
      </c>
      <c r="BR11" s="12">
        <f>'Grid_Stock'!BK6</f>
        <v/>
      </c>
      <c r="BS11" s="12">
        <f>'Grid_Stock'!BL6</f>
        <v/>
      </c>
      <c r="BT11" s="12">
        <f>'Grid_Stock'!BM6</f>
        <v/>
      </c>
      <c r="BU11" s="12">
        <f>'Grid_Stock'!BN6</f>
        <v/>
      </c>
      <c r="BV11" s="12">
        <f>'Grid_Stock'!BO6</f>
        <v/>
      </c>
      <c r="BW11" s="12">
        <f>'Grid_Stock'!BP6</f>
        <v/>
      </c>
      <c r="BX11" s="12">
        <f>'Grid_Stock'!BQ6</f>
        <v/>
      </c>
      <c r="BY11" s="12">
        <f>'Grid_Stock'!BR6</f>
        <v/>
      </c>
      <c r="BZ11" s="12">
        <f>'Grid_Stock'!BS6</f>
        <v/>
      </c>
      <c r="CA11" s="12">
        <f>'Grid_Stock'!BT6</f>
        <v/>
      </c>
      <c r="CB11" s="12">
        <f>'Grid_Stock'!BU6</f>
        <v/>
      </c>
      <c r="CC11" s="12">
        <f>'Grid_Stock'!BV6</f>
        <v/>
      </c>
      <c r="CD11" s="12">
        <f>'Grid_Stock'!BW6</f>
        <v/>
      </c>
      <c r="CE11" s="12">
        <f>'Grid_Stock'!BX6</f>
        <v/>
      </c>
      <c r="CF11" s="12">
        <f>'Grid_Stock'!BY6</f>
        <v/>
      </c>
      <c r="CG11" s="12">
        <f>'Grid_Stock'!BZ6</f>
        <v/>
      </c>
      <c r="CH11" s="12">
        <f>'Grid_Stock'!CA6</f>
        <v/>
      </c>
      <c r="CI11" s="12">
        <f>'Grid_Stock'!CB6</f>
        <v/>
      </c>
      <c r="CJ11" s="12">
        <f>'Grid_Stock'!CC6</f>
        <v/>
      </c>
      <c r="CK11" s="12">
        <f>'Grid_Stock'!CD6</f>
        <v/>
      </c>
      <c r="CL11" s="12">
        <f>'Grid_Stock'!CE6</f>
        <v/>
      </c>
      <c r="CM11" s="12">
        <f>'Grid_Stock'!CF6</f>
        <v/>
      </c>
      <c r="CN11" s="12">
        <f>'Grid_Stock'!CG6</f>
        <v/>
      </c>
      <c r="CO11" s="12">
        <f>'Grid_Stock'!CH6</f>
        <v/>
      </c>
      <c r="CP11" s="12">
        <f>'Grid_Stock'!CI6</f>
        <v/>
      </c>
      <c r="CQ11" s="12">
        <f>'Grid_Stock'!CJ6</f>
        <v/>
      </c>
      <c r="CR11" s="12">
        <f>'Grid_Stock'!CK6</f>
        <v/>
      </c>
      <c r="CS11" s="12">
        <f>'Grid_Stock'!CL6</f>
        <v/>
      </c>
      <c r="CT11" s="12">
        <f>'Grid_Stock'!CM6</f>
        <v/>
      </c>
      <c r="CU11" s="12">
        <f>'Grid_Stock'!CN6</f>
        <v/>
      </c>
      <c r="CV11" s="12">
        <f>'Grid_Stock'!CO6</f>
        <v/>
      </c>
      <c r="CW11" s="12">
        <f>'Grid_Stock'!CP6</f>
        <v/>
      </c>
      <c r="CX11" s="12">
        <f>'Grid_Stock'!CQ6</f>
        <v/>
      </c>
      <c r="CY11" s="12">
        <f>'Grid_Stock'!CR6</f>
        <v/>
      </c>
      <c r="CZ11" s="12">
        <f>'Grid_Stock'!CS6</f>
        <v/>
      </c>
      <c r="DA11" s="12">
        <f>'Grid_Stock'!CT6</f>
        <v/>
      </c>
      <c r="DB11" s="12">
        <f>'Grid_Stock'!CU6</f>
        <v/>
      </c>
      <c r="DC11" s="12">
        <f>'Grid_Stock'!CV6</f>
        <v/>
      </c>
      <c r="DD11" s="12">
        <f>'Grid_Stock'!CW6</f>
        <v/>
      </c>
      <c r="DE11" s="12">
        <f>'Grid_Stock'!CX6</f>
        <v/>
      </c>
      <c r="DF11" s="12">
        <f>'Grid_Stock'!CY6</f>
        <v/>
      </c>
      <c r="DG11" s="12">
        <f>'Grid_Stock'!CZ6</f>
        <v/>
      </c>
      <c r="DH11" s="12">
        <f>'Grid_Stock'!DA6</f>
        <v/>
      </c>
    </row>
    <row r="12">
      <c r="A12" s="13" t="inlineStr">
        <is>
          <t>CHEM-1540</t>
        </is>
      </c>
      <c r="B12" s="13">
        <f>IFERROR(INDEX(M_RawMaterials[Description],MATCH($A12,M_RawMaterials[Part Name],0)),"")</f>
        <v/>
      </c>
      <c r="C12" s="13">
        <f>IFERROR(INDEX(M_RawMaterials[Category],MATCH($A12,M_RawMaterials[Part Name],0)),"")</f>
        <v/>
      </c>
      <c r="D12" s="13">
        <f>IFERROR(INDEX(M_RawMaterials[基準在庫下限_要入力],MATCH($A12,M_RawMaterials[Part Name],0)),0)</f>
        <v/>
      </c>
      <c r="E12" s="13">
        <f>IFERROR(INDEX(M_RawMaterials[基準在庫上限_要入力],MATCH($A12,M_RawMaterials[Part Name],0)),0)</f>
        <v/>
      </c>
      <c r="F12" s="13">
        <f>IFERROR(LOOKUP(2,1/('T_SelfStock'!$B$11:$DA$11&lt;&gt;""),'T_SelfStock'!$B$11:$DA$11),"")</f>
        <v/>
      </c>
      <c r="G12" s="13">
        <f>IFERROR(LOOKUP(2,1/('T_TTAFStock'!$B$11:$DA$11&lt;&gt;""),'T_TTAFStock'!$B$11:$DA$11),"")</f>
        <v/>
      </c>
      <c r="H12" s="13">
        <f>IFERROR(LOOKUP(2,1/('T_SelfStock'!$B$11:$DA$11&lt;&gt;""),'T_SelfStock'!$B$5:$DA$5),"")</f>
        <v/>
      </c>
      <c r="I12" s="13">
        <f>'Grid_Stock'!B7</f>
        <v/>
      </c>
      <c r="J12" s="13">
        <f>'Grid_Stock'!C7</f>
        <v/>
      </c>
      <c r="K12" s="13">
        <f>'Grid_Stock'!D7</f>
        <v/>
      </c>
      <c r="L12" s="13">
        <f>'Grid_Stock'!E7</f>
        <v/>
      </c>
      <c r="M12" s="13">
        <f>'Grid_Stock'!F7</f>
        <v/>
      </c>
      <c r="N12" s="13">
        <f>'Grid_Stock'!G7</f>
        <v/>
      </c>
      <c r="O12" s="13">
        <f>'Grid_Stock'!H7</f>
        <v/>
      </c>
      <c r="P12" s="13">
        <f>'Grid_Stock'!I7</f>
        <v/>
      </c>
      <c r="Q12" s="13">
        <f>'Grid_Stock'!J7</f>
        <v/>
      </c>
      <c r="R12" s="13">
        <f>'Grid_Stock'!K7</f>
        <v/>
      </c>
      <c r="S12" s="13">
        <f>'Grid_Stock'!L7</f>
        <v/>
      </c>
      <c r="T12" s="13">
        <f>'Grid_Stock'!M7</f>
        <v/>
      </c>
      <c r="U12" s="13">
        <f>'Grid_Stock'!N7</f>
        <v/>
      </c>
      <c r="V12" s="13">
        <f>'Grid_Stock'!O7</f>
        <v/>
      </c>
      <c r="W12" s="13">
        <f>'Grid_Stock'!P7</f>
        <v/>
      </c>
      <c r="X12" s="13">
        <f>'Grid_Stock'!Q7</f>
        <v/>
      </c>
      <c r="Y12" s="13">
        <f>'Grid_Stock'!R7</f>
        <v/>
      </c>
      <c r="Z12" s="13">
        <f>'Grid_Stock'!S7</f>
        <v/>
      </c>
      <c r="AA12" s="13">
        <f>'Grid_Stock'!T7</f>
        <v/>
      </c>
      <c r="AB12" s="13">
        <f>'Grid_Stock'!U7</f>
        <v/>
      </c>
      <c r="AC12" s="13">
        <f>'Grid_Stock'!V7</f>
        <v/>
      </c>
      <c r="AD12" s="13">
        <f>'Grid_Stock'!W7</f>
        <v/>
      </c>
      <c r="AE12" s="13">
        <f>'Grid_Stock'!X7</f>
        <v/>
      </c>
      <c r="AF12" s="13">
        <f>'Grid_Stock'!Y7</f>
        <v/>
      </c>
      <c r="AG12" s="13">
        <f>'Grid_Stock'!Z7</f>
        <v/>
      </c>
      <c r="AH12" s="13">
        <f>'Grid_Stock'!AA7</f>
        <v/>
      </c>
      <c r="AI12" s="13">
        <f>'Grid_Stock'!AB7</f>
        <v/>
      </c>
      <c r="AJ12" s="13">
        <f>'Grid_Stock'!AC7</f>
        <v/>
      </c>
      <c r="AK12" s="13">
        <f>'Grid_Stock'!AD7</f>
        <v/>
      </c>
      <c r="AL12" s="13">
        <f>'Grid_Stock'!AE7</f>
        <v/>
      </c>
      <c r="AM12" s="13">
        <f>'Grid_Stock'!AF7</f>
        <v/>
      </c>
      <c r="AN12" s="13">
        <f>'Grid_Stock'!AG7</f>
        <v/>
      </c>
      <c r="AO12" s="13">
        <f>'Grid_Stock'!AH7</f>
        <v/>
      </c>
      <c r="AP12" s="13">
        <f>'Grid_Stock'!AI7</f>
        <v/>
      </c>
      <c r="AQ12" s="13">
        <f>'Grid_Stock'!AJ7</f>
        <v/>
      </c>
      <c r="AR12" s="13">
        <f>'Grid_Stock'!AK7</f>
        <v/>
      </c>
      <c r="AS12" s="13">
        <f>'Grid_Stock'!AL7</f>
        <v/>
      </c>
      <c r="AT12" s="13">
        <f>'Grid_Stock'!AM7</f>
        <v/>
      </c>
      <c r="AU12" s="13">
        <f>'Grid_Stock'!AN7</f>
        <v/>
      </c>
      <c r="AV12" s="13">
        <f>'Grid_Stock'!AO7</f>
        <v/>
      </c>
      <c r="AW12" s="13">
        <f>'Grid_Stock'!AP7</f>
        <v/>
      </c>
      <c r="AX12" s="13">
        <f>'Grid_Stock'!AQ7</f>
        <v/>
      </c>
      <c r="AY12" s="13">
        <f>'Grid_Stock'!AR7</f>
        <v/>
      </c>
      <c r="AZ12" s="13">
        <f>'Grid_Stock'!AS7</f>
        <v/>
      </c>
      <c r="BA12" s="13">
        <f>'Grid_Stock'!AT7</f>
        <v/>
      </c>
      <c r="BB12" s="13">
        <f>'Grid_Stock'!AU7</f>
        <v/>
      </c>
      <c r="BC12" s="13">
        <f>'Grid_Stock'!AV7</f>
        <v/>
      </c>
      <c r="BD12" s="13">
        <f>'Grid_Stock'!AW7</f>
        <v/>
      </c>
      <c r="BE12" s="13">
        <f>'Grid_Stock'!AX7</f>
        <v/>
      </c>
      <c r="BF12" s="13">
        <f>'Grid_Stock'!AY7</f>
        <v/>
      </c>
      <c r="BG12" s="13">
        <f>'Grid_Stock'!AZ7</f>
        <v/>
      </c>
      <c r="BH12" s="13">
        <f>'Grid_Stock'!BA7</f>
        <v/>
      </c>
      <c r="BI12" s="13">
        <f>'Grid_Stock'!BB7</f>
        <v/>
      </c>
      <c r="BJ12" s="13">
        <f>'Grid_Stock'!BC7</f>
        <v/>
      </c>
      <c r="BK12" s="13">
        <f>'Grid_Stock'!BD7</f>
        <v/>
      </c>
      <c r="BL12" s="13">
        <f>'Grid_Stock'!BE7</f>
        <v/>
      </c>
      <c r="BM12" s="13">
        <f>'Grid_Stock'!BF7</f>
        <v/>
      </c>
      <c r="BN12" s="13">
        <f>'Grid_Stock'!BG7</f>
        <v/>
      </c>
      <c r="BO12" s="13">
        <f>'Grid_Stock'!BH7</f>
        <v/>
      </c>
      <c r="BP12" s="13">
        <f>'Grid_Stock'!BI7</f>
        <v/>
      </c>
      <c r="BQ12" s="13">
        <f>'Grid_Stock'!BJ7</f>
        <v/>
      </c>
      <c r="BR12" s="13">
        <f>'Grid_Stock'!BK7</f>
        <v/>
      </c>
      <c r="BS12" s="13">
        <f>'Grid_Stock'!BL7</f>
        <v/>
      </c>
      <c r="BT12" s="13">
        <f>'Grid_Stock'!BM7</f>
        <v/>
      </c>
      <c r="BU12" s="13">
        <f>'Grid_Stock'!BN7</f>
        <v/>
      </c>
      <c r="BV12" s="13">
        <f>'Grid_Stock'!BO7</f>
        <v/>
      </c>
      <c r="BW12" s="13">
        <f>'Grid_Stock'!BP7</f>
        <v/>
      </c>
      <c r="BX12" s="13">
        <f>'Grid_Stock'!BQ7</f>
        <v/>
      </c>
      <c r="BY12" s="13">
        <f>'Grid_Stock'!BR7</f>
        <v/>
      </c>
      <c r="BZ12" s="13">
        <f>'Grid_Stock'!BS7</f>
        <v/>
      </c>
      <c r="CA12" s="13">
        <f>'Grid_Stock'!BT7</f>
        <v/>
      </c>
      <c r="CB12" s="13">
        <f>'Grid_Stock'!BU7</f>
        <v/>
      </c>
      <c r="CC12" s="13">
        <f>'Grid_Stock'!BV7</f>
        <v/>
      </c>
      <c r="CD12" s="13">
        <f>'Grid_Stock'!BW7</f>
        <v/>
      </c>
      <c r="CE12" s="13">
        <f>'Grid_Stock'!BX7</f>
        <v/>
      </c>
      <c r="CF12" s="13">
        <f>'Grid_Stock'!BY7</f>
        <v/>
      </c>
      <c r="CG12" s="13">
        <f>'Grid_Stock'!BZ7</f>
        <v/>
      </c>
      <c r="CH12" s="13">
        <f>'Grid_Stock'!CA7</f>
        <v/>
      </c>
      <c r="CI12" s="13">
        <f>'Grid_Stock'!CB7</f>
        <v/>
      </c>
      <c r="CJ12" s="13">
        <f>'Grid_Stock'!CC7</f>
        <v/>
      </c>
      <c r="CK12" s="13">
        <f>'Grid_Stock'!CD7</f>
        <v/>
      </c>
      <c r="CL12" s="13">
        <f>'Grid_Stock'!CE7</f>
        <v/>
      </c>
      <c r="CM12" s="13">
        <f>'Grid_Stock'!CF7</f>
        <v/>
      </c>
      <c r="CN12" s="13">
        <f>'Grid_Stock'!CG7</f>
        <v/>
      </c>
      <c r="CO12" s="13">
        <f>'Grid_Stock'!CH7</f>
        <v/>
      </c>
      <c r="CP12" s="13">
        <f>'Grid_Stock'!CI7</f>
        <v/>
      </c>
      <c r="CQ12" s="13">
        <f>'Grid_Stock'!CJ7</f>
        <v/>
      </c>
      <c r="CR12" s="13">
        <f>'Grid_Stock'!CK7</f>
        <v/>
      </c>
      <c r="CS12" s="13">
        <f>'Grid_Stock'!CL7</f>
        <v/>
      </c>
      <c r="CT12" s="13">
        <f>'Grid_Stock'!CM7</f>
        <v/>
      </c>
      <c r="CU12" s="13">
        <f>'Grid_Stock'!CN7</f>
        <v/>
      </c>
      <c r="CV12" s="13">
        <f>'Grid_Stock'!CO7</f>
        <v/>
      </c>
      <c r="CW12" s="13">
        <f>'Grid_Stock'!CP7</f>
        <v/>
      </c>
      <c r="CX12" s="13">
        <f>'Grid_Stock'!CQ7</f>
        <v/>
      </c>
      <c r="CY12" s="13">
        <f>'Grid_Stock'!CR7</f>
        <v/>
      </c>
      <c r="CZ12" s="13">
        <f>'Grid_Stock'!CS7</f>
        <v/>
      </c>
      <c r="DA12" s="13">
        <f>'Grid_Stock'!CT7</f>
        <v/>
      </c>
      <c r="DB12" s="13">
        <f>'Grid_Stock'!CU7</f>
        <v/>
      </c>
      <c r="DC12" s="13">
        <f>'Grid_Stock'!CV7</f>
        <v/>
      </c>
      <c r="DD12" s="13">
        <f>'Grid_Stock'!CW7</f>
        <v/>
      </c>
      <c r="DE12" s="13">
        <f>'Grid_Stock'!CX7</f>
        <v/>
      </c>
      <c r="DF12" s="13">
        <f>'Grid_Stock'!CY7</f>
        <v/>
      </c>
      <c r="DG12" s="13">
        <f>'Grid_Stock'!CZ7</f>
        <v/>
      </c>
      <c r="DH12" s="13">
        <f>'Grid_Stock'!DA7</f>
        <v/>
      </c>
    </row>
    <row r="13">
      <c r="A13" s="12" t="inlineStr">
        <is>
          <t>CHEM-1690</t>
        </is>
      </c>
      <c r="B13" s="12">
        <f>IFERROR(INDEX(M_RawMaterials[Description],MATCH($A13,M_RawMaterials[Part Name],0)),"")</f>
        <v/>
      </c>
      <c r="C13" s="12">
        <f>IFERROR(INDEX(M_RawMaterials[Category],MATCH($A13,M_RawMaterials[Part Name],0)),"")</f>
        <v/>
      </c>
      <c r="D13" s="12">
        <f>IFERROR(INDEX(M_RawMaterials[基準在庫下限_要入力],MATCH($A13,M_RawMaterials[Part Name],0)),0)</f>
        <v/>
      </c>
      <c r="E13" s="12">
        <f>IFERROR(INDEX(M_RawMaterials[基準在庫上限_要入力],MATCH($A13,M_RawMaterials[Part Name],0)),0)</f>
        <v/>
      </c>
      <c r="F13" s="12">
        <f>IFERROR(LOOKUP(2,1/('T_SelfStock'!$B$12:$DA$12&lt;&gt;""),'T_SelfStock'!$B$12:$DA$12),"")</f>
        <v/>
      </c>
      <c r="G13" s="12">
        <f>IFERROR(LOOKUP(2,1/('T_TTAFStock'!$B$12:$DA$12&lt;&gt;""),'T_TTAFStock'!$B$12:$DA$12),"")</f>
        <v/>
      </c>
      <c r="H13" s="12">
        <f>IFERROR(LOOKUP(2,1/('T_SelfStock'!$B$12:$DA$12&lt;&gt;""),'T_SelfStock'!$B$5:$DA$5),"")</f>
        <v/>
      </c>
      <c r="I13" s="12">
        <f>'Grid_Stock'!B8</f>
        <v/>
      </c>
      <c r="J13" s="12">
        <f>'Grid_Stock'!C8</f>
        <v/>
      </c>
      <c r="K13" s="12">
        <f>'Grid_Stock'!D8</f>
        <v/>
      </c>
      <c r="L13" s="12">
        <f>'Grid_Stock'!E8</f>
        <v/>
      </c>
      <c r="M13" s="12">
        <f>'Grid_Stock'!F8</f>
        <v/>
      </c>
      <c r="N13" s="12">
        <f>'Grid_Stock'!G8</f>
        <v/>
      </c>
      <c r="O13" s="12">
        <f>'Grid_Stock'!H8</f>
        <v/>
      </c>
      <c r="P13" s="12">
        <f>'Grid_Stock'!I8</f>
        <v/>
      </c>
      <c r="Q13" s="12">
        <f>'Grid_Stock'!J8</f>
        <v/>
      </c>
      <c r="R13" s="12">
        <f>'Grid_Stock'!K8</f>
        <v/>
      </c>
      <c r="S13" s="12">
        <f>'Grid_Stock'!L8</f>
        <v/>
      </c>
      <c r="T13" s="12">
        <f>'Grid_Stock'!M8</f>
        <v/>
      </c>
      <c r="U13" s="12">
        <f>'Grid_Stock'!N8</f>
        <v/>
      </c>
      <c r="V13" s="12">
        <f>'Grid_Stock'!O8</f>
        <v/>
      </c>
      <c r="W13" s="12">
        <f>'Grid_Stock'!P8</f>
        <v/>
      </c>
      <c r="X13" s="12">
        <f>'Grid_Stock'!Q8</f>
        <v/>
      </c>
      <c r="Y13" s="12">
        <f>'Grid_Stock'!R8</f>
        <v/>
      </c>
      <c r="Z13" s="12">
        <f>'Grid_Stock'!S8</f>
        <v/>
      </c>
      <c r="AA13" s="12">
        <f>'Grid_Stock'!T8</f>
        <v/>
      </c>
      <c r="AB13" s="12">
        <f>'Grid_Stock'!U8</f>
        <v/>
      </c>
      <c r="AC13" s="12">
        <f>'Grid_Stock'!V8</f>
        <v/>
      </c>
      <c r="AD13" s="12">
        <f>'Grid_Stock'!W8</f>
        <v/>
      </c>
      <c r="AE13" s="12">
        <f>'Grid_Stock'!X8</f>
        <v/>
      </c>
      <c r="AF13" s="12">
        <f>'Grid_Stock'!Y8</f>
        <v/>
      </c>
      <c r="AG13" s="12">
        <f>'Grid_Stock'!Z8</f>
        <v/>
      </c>
      <c r="AH13" s="12">
        <f>'Grid_Stock'!AA8</f>
        <v/>
      </c>
      <c r="AI13" s="12">
        <f>'Grid_Stock'!AB8</f>
        <v/>
      </c>
      <c r="AJ13" s="12">
        <f>'Grid_Stock'!AC8</f>
        <v/>
      </c>
      <c r="AK13" s="12">
        <f>'Grid_Stock'!AD8</f>
        <v/>
      </c>
      <c r="AL13" s="12">
        <f>'Grid_Stock'!AE8</f>
        <v/>
      </c>
      <c r="AM13" s="12">
        <f>'Grid_Stock'!AF8</f>
        <v/>
      </c>
      <c r="AN13" s="12">
        <f>'Grid_Stock'!AG8</f>
        <v/>
      </c>
      <c r="AO13" s="12">
        <f>'Grid_Stock'!AH8</f>
        <v/>
      </c>
      <c r="AP13" s="12">
        <f>'Grid_Stock'!AI8</f>
        <v/>
      </c>
      <c r="AQ13" s="12">
        <f>'Grid_Stock'!AJ8</f>
        <v/>
      </c>
      <c r="AR13" s="12">
        <f>'Grid_Stock'!AK8</f>
        <v/>
      </c>
      <c r="AS13" s="12">
        <f>'Grid_Stock'!AL8</f>
        <v/>
      </c>
      <c r="AT13" s="12">
        <f>'Grid_Stock'!AM8</f>
        <v/>
      </c>
      <c r="AU13" s="12">
        <f>'Grid_Stock'!AN8</f>
        <v/>
      </c>
      <c r="AV13" s="12">
        <f>'Grid_Stock'!AO8</f>
        <v/>
      </c>
      <c r="AW13" s="12">
        <f>'Grid_Stock'!AP8</f>
        <v/>
      </c>
      <c r="AX13" s="12">
        <f>'Grid_Stock'!AQ8</f>
        <v/>
      </c>
      <c r="AY13" s="12">
        <f>'Grid_Stock'!AR8</f>
        <v/>
      </c>
      <c r="AZ13" s="12">
        <f>'Grid_Stock'!AS8</f>
        <v/>
      </c>
      <c r="BA13" s="12">
        <f>'Grid_Stock'!AT8</f>
        <v/>
      </c>
      <c r="BB13" s="12">
        <f>'Grid_Stock'!AU8</f>
        <v/>
      </c>
      <c r="BC13" s="12">
        <f>'Grid_Stock'!AV8</f>
        <v/>
      </c>
      <c r="BD13" s="12">
        <f>'Grid_Stock'!AW8</f>
        <v/>
      </c>
      <c r="BE13" s="12">
        <f>'Grid_Stock'!AX8</f>
        <v/>
      </c>
      <c r="BF13" s="12">
        <f>'Grid_Stock'!AY8</f>
        <v/>
      </c>
      <c r="BG13" s="12">
        <f>'Grid_Stock'!AZ8</f>
        <v/>
      </c>
      <c r="BH13" s="12">
        <f>'Grid_Stock'!BA8</f>
        <v/>
      </c>
      <c r="BI13" s="12">
        <f>'Grid_Stock'!BB8</f>
        <v/>
      </c>
      <c r="BJ13" s="12">
        <f>'Grid_Stock'!BC8</f>
        <v/>
      </c>
      <c r="BK13" s="12">
        <f>'Grid_Stock'!BD8</f>
        <v/>
      </c>
      <c r="BL13" s="12">
        <f>'Grid_Stock'!BE8</f>
        <v/>
      </c>
      <c r="BM13" s="12">
        <f>'Grid_Stock'!BF8</f>
        <v/>
      </c>
      <c r="BN13" s="12">
        <f>'Grid_Stock'!BG8</f>
        <v/>
      </c>
      <c r="BO13" s="12">
        <f>'Grid_Stock'!BH8</f>
        <v/>
      </c>
      <c r="BP13" s="12">
        <f>'Grid_Stock'!BI8</f>
        <v/>
      </c>
      <c r="BQ13" s="12">
        <f>'Grid_Stock'!BJ8</f>
        <v/>
      </c>
      <c r="BR13" s="12">
        <f>'Grid_Stock'!BK8</f>
        <v/>
      </c>
      <c r="BS13" s="12">
        <f>'Grid_Stock'!BL8</f>
        <v/>
      </c>
      <c r="BT13" s="12">
        <f>'Grid_Stock'!BM8</f>
        <v/>
      </c>
      <c r="BU13" s="12">
        <f>'Grid_Stock'!BN8</f>
        <v/>
      </c>
      <c r="BV13" s="12">
        <f>'Grid_Stock'!BO8</f>
        <v/>
      </c>
      <c r="BW13" s="12">
        <f>'Grid_Stock'!BP8</f>
        <v/>
      </c>
      <c r="BX13" s="12">
        <f>'Grid_Stock'!BQ8</f>
        <v/>
      </c>
      <c r="BY13" s="12">
        <f>'Grid_Stock'!BR8</f>
        <v/>
      </c>
      <c r="BZ13" s="12">
        <f>'Grid_Stock'!BS8</f>
        <v/>
      </c>
      <c r="CA13" s="12">
        <f>'Grid_Stock'!BT8</f>
        <v/>
      </c>
      <c r="CB13" s="12">
        <f>'Grid_Stock'!BU8</f>
        <v/>
      </c>
      <c r="CC13" s="12">
        <f>'Grid_Stock'!BV8</f>
        <v/>
      </c>
      <c r="CD13" s="12">
        <f>'Grid_Stock'!BW8</f>
        <v/>
      </c>
      <c r="CE13" s="12">
        <f>'Grid_Stock'!BX8</f>
        <v/>
      </c>
      <c r="CF13" s="12">
        <f>'Grid_Stock'!BY8</f>
        <v/>
      </c>
      <c r="CG13" s="12">
        <f>'Grid_Stock'!BZ8</f>
        <v/>
      </c>
      <c r="CH13" s="12">
        <f>'Grid_Stock'!CA8</f>
        <v/>
      </c>
      <c r="CI13" s="12">
        <f>'Grid_Stock'!CB8</f>
        <v/>
      </c>
      <c r="CJ13" s="12">
        <f>'Grid_Stock'!CC8</f>
        <v/>
      </c>
      <c r="CK13" s="12">
        <f>'Grid_Stock'!CD8</f>
        <v/>
      </c>
      <c r="CL13" s="12">
        <f>'Grid_Stock'!CE8</f>
        <v/>
      </c>
      <c r="CM13" s="12">
        <f>'Grid_Stock'!CF8</f>
        <v/>
      </c>
      <c r="CN13" s="12">
        <f>'Grid_Stock'!CG8</f>
        <v/>
      </c>
      <c r="CO13" s="12">
        <f>'Grid_Stock'!CH8</f>
        <v/>
      </c>
      <c r="CP13" s="12">
        <f>'Grid_Stock'!CI8</f>
        <v/>
      </c>
      <c r="CQ13" s="12">
        <f>'Grid_Stock'!CJ8</f>
        <v/>
      </c>
      <c r="CR13" s="12">
        <f>'Grid_Stock'!CK8</f>
        <v/>
      </c>
      <c r="CS13" s="12">
        <f>'Grid_Stock'!CL8</f>
        <v/>
      </c>
      <c r="CT13" s="12">
        <f>'Grid_Stock'!CM8</f>
        <v/>
      </c>
      <c r="CU13" s="12">
        <f>'Grid_Stock'!CN8</f>
        <v/>
      </c>
      <c r="CV13" s="12">
        <f>'Grid_Stock'!CO8</f>
        <v/>
      </c>
      <c r="CW13" s="12">
        <f>'Grid_Stock'!CP8</f>
        <v/>
      </c>
      <c r="CX13" s="12">
        <f>'Grid_Stock'!CQ8</f>
        <v/>
      </c>
      <c r="CY13" s="12">
        <f>'Grid_Stock'!CR8</f>
        <v/>
      </c>
      <c r="CZ13" s="12">
        <f>'Grid_Stock'!CS8</f>
        <v/>
      </c>
      <c r="DA13" s="12">
        <f>'Grid_Stock'!CT8</f>
        <v/>
      </c>
      <c r="DB13" s="12">
        <f>'Grid_Stock'!CU8</f>
        <v/>
      </c>
      <c r="DC13" s="12">
        <f>'Grid_Stock'!CV8</f>
        <v/>
      </c>
      <c r="DD13" s="12">
        <f>'Grid_Stock'!CW8</f>
        <v/>
      </c>
      <c r="DE13" s="12">
        <f>'Grid_Stock'!CX8</f>
        <v/>
      </c>
      <c r="DF13" s="12">
        <f>'Grid_Stock'!CY8</f>
        <v/>
      </c>
      <c r="DG13" s="12">
        <f>'Grid_Stock'!CZ8</f>
        <v/>
      </c>
      <c r="DH13" s="12">
        <f>'Grid_Stock'!DA8</f>
        <v/>
      </c>
    </row>
    <row r="14">
      <c r="A14" s="13" t="inlineStr">
        <is>
          <t>CHEM-1720</t>
        </is>
      </c>
      <c r="B14" s="13">
        <f>IFERROR(INDEX(M_RawMaterials[Description],MATCH($A14,M_RawMaterials[Part Name],0)),"")</f>
        <v/>
      </c>
      <c r="C14" s="13">
        <f>IFERROR(INDEX(M_RawMaterials[Category],MATCH($A14,M_RawMaterials[Part Name],0)),"")</f>
        <v/>
      </c>
      <c r="D14" s="13">
        <f>IFERROR(INDEX(M_RawMaterials[基準在庫下限_要入力],MATCH($A14,M_RawMaterials[Part Name],0)),0)</f>
        <v/>
      </c>
      <c r="E14" s="13">
        <f>IFERROR(INDEX(M_RawMaterials[基準在庫上限_要入力],MATCH($A14,M_RawMaterials[Part Name],0)),0)</f>
        <v/>
      </c>
      <c r="F14" s="13">
        <f>IFERROR(LOOKUP(2,1/('T_SelfStock'!$B$13:$DA$13&lt;&gt;""),'T_SelfStock'!$B$13:$DA$13),"")</f>
        <v/>
      </c>
      <c r="G14" s="13">
        <f>IFERROR(LOOKUP(2,1/('T_TTAFStock'!$B$13:$DA$13&lt;&gt;""),'T_TTAFStock'!$B$13:$DA$13),"")</f>
        <v/>
      </c>
      <c r="H14" s="13">
        <f>IFERROR(LOOKUP(2,1/('T_SelfStock'!$B$13:$DA$13&lt;&gt;""),'T_SelfStock'!$B$5:$DA$5),"")</f>
        <v/>
      </c>
      <c r="I14" s="13">
        <f>'Grid_Stock'!B9</f>
        <v/>
      </c>
      <c r="J14" s="13">
        <f>'Grid_Stock'!C9</f>
        <v/>
      </c>
      <c r="K14" s="13">
        <f>'Grid_Stock'!D9</f>
        <v/>
      </c>
      <c r="L14" s="13">
        <f>'Grid_Stock'!E9</f>
        <v/>
      </c>
      <c r="M14" s="13">
        <f>'Grid_Stock'!F9</f>
        <v/>
      </c>
      <c r="N14" s="13">
        <f>'Grid_Stock'!G9</f>
        <v/>
      </c>
      <c r="O14" s="13">
        <f>'Grid_Stock'!H9</f>
        <v/>
      </c>
      <c r="P14" s="13">
        <f>'Grid_Stock'!I9</f>
        <v/>
      </c>
      <c r="Q14" s="13">
        <f>'Grid_Stock'!J9</f>
        <v/>
      </c>
      <c r="R14" s="13">
        <f>'Grid_Stock'!K9</f>
        <v/>
      </c>
      <c r="S14" s="13">
        <f>'Grid_Stock'!L9</f>
        <v/>
      </c>
      <c r="T14" s="13">
        <f>'Grid_Stock'!M9</f>
        <v/>
      </c>
      <c r="U14" s="13">
        <f>'Grid_Stock'!N9</f>
        <v/>
      </c>
      <c r="V14" s="13">
        <f>'Grid_Stock'!O9</f>
        <v/>
      </c>
      <c r="W14" s="13">
        <f>'Grid_Stock'!P9</f>
        <v/>
      </c>
      <c r="X14" s="13">
        <f>'Grid_Stock'!Q9</f>
        <v/>
      </c>
      <c r="Y14" s="13">
        <f>'Grid_Stock'!R9</f>
        <v/>
      </c>
      <c r="Z14" s="13">
        <f>'Grid_Stock'!S9</f>
        <v/>
      </c>
      <c r="AA14" s="13">
        <f>'Grid_Stock'!T9</f>
        <v/>
      </c>
      <c r="AB14" s="13">
        <f>'Grid_Stock'!U9</f>
        <v/>
      </c>
      <c r="AC14" s="13">
        <f>'Grid_Stock'!V9</f>
        <v/>
      </c>
      <c r="AD14" s="13">
        <f>'Grid_Stock'!W9</f>
        <v/>
      </c>
      <c r="AE14" s="13">
        <f>'Grid_Stock'!X9</f>
        <v/>
      </c>
      <c r="AF14" s="13">
        <f>'Grid_Stock'!Y9</f>
        <v/>
      </c>
      <c r="AG14" s="13">
        <f>'Grid_Stock'!Z9</f>
        <v/>
      </c>
      <c r="AH14" s="13">
        <f>'Grid_Stock'!AA9</f>
        <v/>
      </c>
      <c r="AI14" s="13">
        <f>'Grid_Stock'!AB9</f>
        <v/>
      </c>
      <c r="AJ14" s="13">
        <f>'Grid_Stock'!AC9</f>
        <v/>
      </c>
      <c r="AK14" s="13">
        <f>'Grid_Stock'!AD9</f>
        <v/>
      </c>
      <c r="AL14" s="13">
        <f>'Grid_Stock'!AE9</f>
        <v/>
      </c>
      <c r="AM14" s="13">
        <f>'Grid_Stock'!AF9</f>
        <v/>
      </c>
      <c r="AN14" s="13">
        <f>'Grid_Stock'!AG9</f>
        <v/>
      </c>
      <c r="AO14" s="13">
        <f>'Grid_Stock'!AH9</f>
        <v/>
      </c>
      <c r="AP14" s="13">
        <f>'Grid_Stock'!AI9</f>
        <v/>
      </c>
      <c r="AQ14" s="13">
        <f>'Grid_Stock'!AJ9</f>
        <v/>
      </c>
      <c r="AR14" s="13">
        <f>'Grid_Stock'!AK9</f>
        <v/>
      </c>
      <c r="AS14" s="13">
        <f>'Grid_Stock'!AL9</f>
        <v/>
      </c>
      <c r="AT14" s="13">
        <f>'Grid_Stock'!AM9</f>
        <v/>
      </c>
      <c r="AU14" s="13">
        <f>'Grid_Stock'!AN9</f>
        <v/>
      </c>
      <c r="AV14" s="13">
        <f>'Grid_Stock'!AO9</f>
        <v/>
      </c>
      <c r="AW14" s="13">
        <f>'Grid_Stock'!AP9</f>
        <v/>
      </c>
      <c r="AX14" s="13">
        <f>'Grid_Stock'!AQ9</f>
        <v/>
      </c>
      <c r="AY14" s="13">
        <f>'Grid_Stock'!AR9</f>
        <v/>
      </c>
      <c r="AZ14" s="13">
        <f>'Grid_Stock'!AS9</f>
        <v/>
      </c>
      <c r="BA14" s="13">
        <f>'Grid_Stock'!AT9</f>
        <v/>
      </c>
      <c r="BB14" s="13">
        <f>'Grid_Stock'!AU9</f>
        <v/>
      </c>
      <c r="BC14" s="13">
        <f>'Grid_Stock'!AV9</f>
        <v/>
      </c>
      <c r="BD14" s="13">
        <f>'Grid_Stock'!AW9</f>
        <v/>
      </c>
      <c r="BE14" s="13">
        <f>'Grid_Stock'!AX9</f>
        <v/>
      </c>
      <c r="BF14" s="13">
        <f>'Grid_Stock'!AY9</f>
        <v/>
      </c>
      <c r="BG14" s="13">
        <f>'Grid_Stock'!AZ9</f>
        <v/>
      </c>
      <c r="BH14" s="13">
        <f>'Grid_Stock'!BA9</f>
        <v/>
      </c>
      <c r="BI14" s="13">
        <f>'Grid_Stock'!BB9</f>
        <v/>
      </c>
      <c r="BJ14" s="13">
        <f>'Grid_Stock'!BC9</f>
        <v/>
      </c>
      <c r="BK14" s="13">
        <f>'Grid_Stock'!BD9</f>
        <v/>
      </c>
      <c r="BL14" s="13">
        <f>'Grid_Stock'!BE9</f>
        <v/>
      </c>
      <c r="BM14" s="13">
        <f>'Grid_Stock'!BF9</f>
        <v/>
      </c>
      <c r="BN14" s="13">
        <f>'Grid_Stock'!BG9</f>
        <v/>
      </c>
      <c r="BO14" s="13">
        <f>'Grid_Stock'!BH9</f>
        <v/>
      </c>
      <c r="BP14" s="13">
        <f>'Grid_Stock'!BI9</f>
        <v/>
      </c>
      <c r="BQ14" s="13">
        <f>'Grid_Stock'!BJ9</f>
        <v/>
      </c>
      <c r="BR14" s="13">
        <f>'Grid_Stock'!BK9</f>
        <v/>
      </c>
      <c r="BS14" s="13">
        <f>'Grid_Stock'!BL9</f>
        <v/>
      </c>
      <c r="BT14" s="13">
        <f>'Grid_Stock'!BM9</f>
        <v/>
      </c>
      <c r="BU14" s="13">
        <f>'Grid_Stock'!BN9</f>
        <v/>
      </c>
      <c r="BV14" s="13">
        <f>'Grid_Stock'!BO9</f>
        <v/>
      </c>
      <c r="BW14" s="13">
        <f>'Grid_Stock'!BP9</f>
        <v/>
      </c>
      <c r="BX14" s="13">
        <f>'Grid_Stock'!BQ9</f>
        <v/>
      </c>
      <c r="BY14" s="13">
        <f>'Grid_Stock'!BR9</f>
        <v/>
      </c>
      <c r="BZ14" s="13">
        <f>'Grid_Stock'!BS9</f>
        <v/>
      </c>
      <c r="CA14" s="13">
        <f>'Grid_Stock'!BT9</f>
        <v/>
      </c>
      <c r="CB14" s="13">
        <f>'Grid_Stock'!BU9</f>
        <v/>
      </c>
      <c r="CC14" s="13">
        <f>'Grid_Stock'!BV9</f>
        <v/>
      </c>
      <c r="CD14" s="13">
        <f>'Grid_Stock'!BW9</f>
        <v/>
      </c>
      <c r="CE14" s="13">
        <f>'Grid_Stock'!BX9</f>
        <v/>
      </c>
      <c r="CF14" s="13">
        <f>'Grid_Stock'!BY9</f>
        <v/>
      </c>
      <c r="CG14" s="13">
        <f>'Grid_Stock'!BZ9</f>
        <v/>
      </c>
      <c r="CH14" s="13">
        <f>'Grid_Stock'!CA9</f>
        <v/>
      </c>
      <c r="CI14" s="13">
        <f>'Grid_Stock'!CB9</f>
        <v/>
      </c>
      <c r="CJ14" s="13">
        <f>'Grid_Stock'!CC9</f>
        <v/>
      </c>
      <c r="CK14" s="13">
        <f>'Grid_Stock'!CD9</f>
        <v/>
      </c>
      <c r="CL14" s="13">
        <f>'Grid_Stock'!CE9</f>
        <v/>
      </c>
      <c r="CM14" s="13">
        <f>'Grid_Stock'!CF9</f>
        <v/>
      </c>
      <c r="CN14" s="13">
        <f>'Grid_Stock'!CG9</f>
        <v/>
      </c>
      <c r="CO14" s="13">
        <f>'Grid_Stock'!CH9</f>
        <v/>
      </c>
      <c r="CP14" s="13">
        <f>'Grid_Stock'!CI9</f>
        <v/>
      </c>
      <c r="CQ14" s="13">
        <f>'Grid_Stock'!CJ9</f>
        <v/>
      </c>
      <c r="CR14" s="13">
        <f>'Grid_Stock'!CK9</f>
        <v/>
      </c>
      <c r="CS14" s="13">
        <f>'Grid_Stock'!CL9</f>
        <v/>
      </c>
      <c r="CT14" s="13">
        <f>'Grid_Stock'!CM9</f>
        <v/>
      </c>
      <c r="CU14" s="13">
        <f>'Grid_Stock'!CN9</f>
        <v/>
      </c>
      <c r="CV14" s="13">
        <f>'Grid_Stock'!CO9</f>
        <v/>
      </c>
      <c r="CW14" s="13">
        <f>'Grid_Stock'!CP9</f>
        <v/>
      </c>
      <c r="CX14" s="13">
        <f>'Grid_Stock'!CQ9</f>
        <v/>
      </c>
      <c r="CY14" s="13">
        <f>'Grid_Stock'!CR9</f>
        <v/>
      </c>
      <c r="CZ14" s="13">
        <f>'Grid_Stock'!CS9</f>
        <v/>
      </c>
      <c r="DA14" s="13">
        <f>'Grid_Stock'!CT9</f>
        <v/>
      </c>
      <c r="DB14" s="13">
        <f>'Grid_Stock'!CU9</f>
        <v/>
      </c>
      <c r="DC14" s="13">
        <f>'Grid_Stock'!CV9</f>
        <v/>
      </c>
      <c r="DD14" s="13">
        <f>'Grid_Stock'!CW9</f>
        <v/>
      </c>
      <c r="DE14" s="13">
        <f>'Grid_Stock'!CX9</f>
        <v/>
      </c>
      <c r="DF14" s="13">
        <f>'Grid_Stock'!CY9</f>
        <v/>
      </c>
      <c r="DG14" s="13">
        <f>'Grid_Stock'!CZ9</f>
        <v/>
      </c>
      <c r="DH14" s="13">
        <f>'Grid_Stock'!DA9</f>
        <v/>
      </c>
    </row>
    <row r="15">
      <c r="A15" s="12" t="inlineStr">
        <is>
          <t>CHEM-1440</t>
        </is>
      </c>
      <c r="B15" s="12">
        <f>IFERROR(INDEX(M_RawMaterials[Description],MATCH($A15,M_RawMaterials[Part Name],0)),"")</f>
        <v/>
      </c>
      <c r="C15" s="12">
        <f>IFERROR(INDEX(M_RawMaterials[Category],MATCH($A15,M_RawMaterials[Part Name],0)),"")</f>
        <v/>
      </c>
      <c r="D15" s="12">
        <f>IFERROR(INDEX(M_RawMaterials[基準在庫下限_要入力],MATCH($A15,M_RawMaterials[Part Name],0)),0)</f>
        <v/>
      </c>
      <c r="E15" s="12">
        <f>IFERROR(INDEX(M_RawMaterials[基準在庫上限_要入力],MATCH($A15,M_RawMaterials[Part Name],0)),0)</f>
        <v/>
      </c>
      <c r="F15" s="12">
        <f>IFERROR(LOOKUP(2,1/('T_SelfStock'!$B$14:$DA$14&lt;&gt;""),'T_SelfStock'!$B$14:$DA$14),"")</f>
        <v/>
      </c>
      <c r="G15" s="12">
        <f>IFERROR(LOOKUP(2,1/('T_TTAFStock'!$B$14:$DA$14&lt;&gt;""),'T_TTAFStock'!$B$14:$DA$14),"")</f>
        <v/>
      </c>
      <c r="H15" s="12">
        <f>IFERROR(LOOKUP(2,1/('T_SelfStock'!$B$14:$DA$14&lt;&gt;""),'T_SelfStock'!$B$5:$DA$5),"")</f>
        <v/>
      </c>
      <c r="I15" s="12">
        <f>'Grid_Stock'!B10</f>
        <v/>
      </c>
      <c r="J15" s="12">
        <f>'Grid_Stock'!C10</f>
        <v/>
      </c>
      <c r="K15" s="12">
        <f>'Grid_Stock'!D10</f>
        <v/>
      </c>
      <c r="L15" s="12">
        <f>'Grid_Stock'!E10</f>
        <v/>
      </c>
      <c r="M15" s="12">
        <f>'Grid_Stock'!F10</f>
        <v/>
      </c>
      <c r="N15" s="12">
        <f>'Grid_Stock'!G10</f>
        <v/>
      </c>
      <c r="O15" s="12">
        <f>'Grid_Stock'!H10</f>
        <v/>
      </c>
      <c r="P15" s="12">
        <f>'Grid_Stock'!I10</f>
        <v/>
      </c>
      <c r="Q15" s="12">
        <f>'Grid_Stock'!J10</f>
        <v/>
      </c>
      <c r="R15" s="12">
        <f>'Grid_Stock'!K10</f>
        <v/>
      </c>
      <c r="S15" s="12">
        <f>'Grid_Stock'!L10</f>
        <v/>
      </c>
      <c r="T15" s="12">
        <f>'Grid_Stock'!M10</f>
        <v/>
      </c>
      <c r="U15" s="12">
        <f>'Grid_Stock'!N10</f>
        <v/>
      </c>
      <c r="V15" s="12">
        <f>'Grid_Stock'!O10</f>
        <v/>
      </c>
      <c r="W15" s="12">
        <f>'Grid_Stock'!P10</f>
        <v/>
      </c>
      <c r="X15" s="12">
        <f>'Grid_Stock'!Q10</f>
        <v/>
      </c>
      <c r="Y15" s="12">
        <f>'Grid_Stock'!R10</f>
        <v/>
      </c>
      <c r="Z15" s="12">
        <f>'Grid_Stock'!S10</f>
        <v/>
      </c>
      <c r="AA15" s="12">
        <f>'Grid_Stock'!T10</f>
        <v/>
      </c>
      <c r="AB15" s="12">
        <f>'Grid_Stock'!U10</f>
        <v/>
      </c>
      <c r="AC15" s="12">
        <f>'Grid_Stock'!V10</f>
        <v/>
      </c>
      <c r="AD15" s="12">
        <f>'Grid_Stock'!W10</f>
        <v/>
      </c>
      <c r="AE15" s="12">
        <f>'Grid_Stock'!X10</f>
        <v/>
      </c>
      <c r="AF15" s="12">
        <f>'Grid_Stock'!Y10</f>
        <v/>
      </c>
      <c r="AG15" s="12">
        <f>'Grid_Stock'!Z10</f>
        <v/>
      </c>
      <c r="AH15" s="12">
        <f>'Grid_Stock'!AA10</f>
        <v/>
      </c>
      <c r="AI15" s="12">
        <f>'Grid_Stock'!AB10</f>
        <v/>
      </c>
      <c r="AJ15" s="12">
        <f>'Grid_Stock'!AC10</f>
        <v/>
      </c>
      <c r="AK15" s="12">
        <f>'Grid_Stock'!AD10</f>
        <v/>
      </c>
      <c r="AL15" s="12">
        <f>'Grid_Stock'!AE10</f>
        <v/>
      </c>
      <c r="AM15" s="12">
        <f>'Grid_Stock'!AF10</f>
        <v/>
      </c>
      <c r="AN15" s="12">
        <f>'Grid_Stock'!AG10</f>
        <v/>
      </c>
      <c r="AO15" s="12">
        <f>'Grid_Stock'!AH10</f>
        <v/>
      </c>
      <c r="AP15" s="12">
        <f>'Grid_Stock'!AI10</f>
        <v/>
      </c>
      <c r="AQ15" s="12">
        <f>'Grid_Stock'!AJ10</f>
        <v/>
      </c>
      <c r="AR15" s="12">
        <f>'Grid_Stock'!AK10</f>
        <v/>
      </c>
      <c r="AS15" s="12">
        <f>'Grid_Stock'!AL10</f>
        <v/>
      </c>
      <c r="AT15" s="12">
        <f>'Grid_Stock'!AM10</f>
        <v/>
      </c>
      <c r="AU15" s="12">
        <f>'Grid_Stock'!AN10</f>
        <v/>
      </c>
      <c r="AV15" s="12">
        <f>'Grid_Stock'!AO10</f>
        <v/>
      </c>
      <c r="AW15" s="12">
        <f>'Grid_Stock'!AP10</f>
        <v/>
      </c>
      <c r="AX15" s="12">
        <f>'Grid_Stock'!AQ10</f>
        <v/>
      </c>
      <c r="AY15" s="12">
        <f>'Grid_Stock'!AR10</f>
        <v/>
      </c>
      <c r="AZ15" s="12">
        <f>'Grid_Stock'!AS10</f>
        <v/>
      </c>
      <c r="BA15" s="12">
        <f>'Grid_Stock'!AT10</f>
        <v/>
      </c>
      <c r="BB15" s="12">
        <f>'Grid_Stock'!AU10</f>
        <v/>
      </c>
      <c r="BC15" s="12">
        <f>'Grid_Stock'!AV10</f>
        <v/>
      </c>
      <c r="BD15" s="12">
        <f>'Grid_Stock'!AW10</f>
        <v/>
      </c>
      <c r="BE15" s="12">
        <f>'Grid_Stock'!AX10</f>
        <v/>
      </c>
      <c r="BF15" s="12">
        <f>'Grid_Stock'!AY10</f>
        <v/>
      </c>
      <c r="BG15" s="12">
        <f>'Grid_Stock'!AZ10</f>
        <v/>
      </c>
      <c r="BH15" s="12">
        <f>'Grid_Stock'!BA10</f>
        <v/>
      </c>
      <c r="BI15" s="12">
        <f>'Grid_Stock'!BB10</f>
        <v/>
      </c>
      <c r="BJ15" s="12">
        <f>'Grid_Stock'!BC10</f>
        <v/>
      </c>
      <c r="BK15" s="12">
        <f>'Grid_Stock'!BD10</f>
        <v/>
      </c>
      <c r="BL15" s="12">
        <f>'Grid_Stock'!BE10</f>
        <v/>
      </c>
      <c r="BM15" s="12">
        <f>'Grid_Stock'!BF10</f>
        <v/>
      </c>
      <c r="BN15" s="12">
        <f>'Grid_Stock'!BG10</f>
        <v/>
      </c>
      <c r="BO15" s="12">
        <f>'Grid_Stock'!BH10</f>
        <v/>
      </c>
      <c r="BP15" s="12">
        <f>'Grid_Stock'!BI10</f>
        <v/>
      </c>
      <c r="BQ15" s="12">
        <f>'Grid_Stock'!BJ10</f>
        <v/>
      </c>
      <c r="BR15" s="12">
        <f>'Grid_Stock'!BK10</f>
        <v/>
      </c>
      <c r="BS15" s="12">
        <f>'Grid_Stock'!BL10</f>
        <v/>
      </c>
      <c r="BT15" s="12">
        <f>'Grid_Stock'!BM10</f>
        <v/>
      </c>
      <c r="BU15" s="12">
        <f>'Grid_Stock'!BN10</f>
        <v/>
      </c>
      <c r="BV15" s="12">
        <f>'Grid_Stock'!BO10</f>
        <v/>
      </c>
      <c r="BW15" s="12">
        <f>'Grid_Stock'!BP10</f>
        <v/>
      </c>
      <c r="BX15" s="12">
        <f>'Grid_Stock'!BQ10</f>
        <v/>
      </c>
      <c r="BY15" s="12">
        <f>'Grid_Stock'!BR10</f>
        <v/>
      </c>
      <c r="BZ15" s="12">
        <f>'Grid_Stock'!BS10</f>
        <v/>
      </c>
      <c r="CA15" s="12">
        <f>'Grid_Stock'!BT10</f>
        <v/>
      </c>
      <c r="CB15" s="12">
        <f>'Grid_Stock'!BU10</f>
        <v/>
      </c>
      <c r="CC15" s="12">
        <f>'Grid_Stock'!BV10</f>
        <v/>
      </c>
      <c r="CD15" s="12">
        <f>'Grid_Stock'!BW10</f>
        <v/>
      </c>
      <c r="CE15" s="12">
        <f>'Grid_Stock'!BX10</f>
        <v/>
      </c>
      <c r="CF15" s="12">
        <f>'Grid_Stock'!BY10</f>
        <v/>
      </c>
      <c r="CG15" s="12">
        <f>'Grid_Stock'!BZ10</f>
        <v/>
      </c>
      <c r="CH15" s="12">
        <f>'Grid_Stock'!CA10</f>
        <v/>
      </c>
      <c r="CI15" s="12">
        <f>'Grid_Stock'!CB10</f>
        <v/>
      </c>
      <c r="CJ15" s="12">
        <f>'Grid_Stock'!CC10</f>
        <v/>
      </c>
      <c r="CK15" s="12">
        <f>'Grid_Stock'!CD10</f>
        <v/>
      </c>
      <c r="CL15" s="12">
        <f>'Grid_Stock'!CE10</f>
        <v/>
      </c>
      <c r="CM15" s="12">
        <f>'Grid_Stock'!CF10</f>
        <v/>
      </c>
      <c r="CN15" s="12">
        <f>'Grid_Stock'!CG10</f>
        <v/>
      </c>
      <c r="CO15" s="12">
        <f>'Grid_Stock'!CH10</f>
        <v/>
      </c>
      <c r="CP15" s="12">
        <f>'Grid_Stock'!CI10</f>
        <v/>
      </c>
      <c r="CQ15" s="12">
        <f>'Grid_Stock'!CJ10</f>
        <v/>
      </c>
      <c r="CR15" s="12">
        <f>'Grid_Stock'!CK10</f>
        <v/>
      </c>
      <c r="CS15" s="12">
        <f>'Grid_Stock'!CL10</f>
        <v/>
      </c>
      <c r="CT15" s="12">
        <f>'Grid_Stock'!CM10</f>
        <v/>
      </c>
      <c r="CU15" s="12">
        <f>'Grid_Stock'!CN10</f>
        <v/>
      </c>
      <c r="CV15" s="12">
        <f>'Grid_Stock'!CO10</f>
        <v/>
      </c>
      <c r="CW15" s="12">
        <f>'Grid_Stock'!CP10</f>
        <v/>
      </c>
      <c r="CX15" s="12">
        <f>'Grid_Stock'!CQ10</f>
        <v/>
      </c>
      <c r="CY15" s="12">
        <f>'Grid_Stock'!CR10</f>
        <v/>
      </c>
      <c r="CZ15" s="12">
        <f>'Grid_Stock'!CS10</f>
        <v/>
      </c>
      <c r="DA15" s="12">
        <f>'Grid_Stock'!CT10</f>
        <v/>
      </c>
      <c r="DB15" s="12">
        <f>'Grid_Stock'!CU10</f>
        <v/>
      </c>
      <c r="DC15" s="12">
        <f>'Grid_Stock'!CV10</f>
        <v/>
      </c>
      <c r="DD15" s="12">
        <f>'Grid_Stock'!CW10</f>
        <v/>
      </c>
      <c r="DE15" s="12">
        <f>'Grid_Stock'!CX10</f>
        <v/>
      </c>
      <c r="DF15" s="12">
        <f>'Grid_Stock'!CY10</f>
        <v/>
      </c>
      <c r="DG15" s="12">
        <f>'Grid_Stock'!CZ10</f>
        <v/>
      </c>
      <c r="DH15" s="12">
        <f>'Grid_Stock'!DA10</f>
        <v/>
      </c>
    </row>
    <row r="16">
      <c r="A16" s="13" t="inlineStr">
        <is>
          <t>4HL</t>
        </is>
      </c>
      <c r="B16" s="13">
        <f>IFERROR(INDEX(M_RawMaterials[Description],MATCH($A16,M_RawMaterials[Part Name],0)),"")</f>
        <v/>
      </c>
      <c r="C16" s="13">
        <f>IFERROR(INDEX(M_RawMaterials[Category],MATCH($A16,M_RawMaterials[Part Name],0)),"")</f>
        <v/>
      </c>
      <c r="D16" s="13">
        <f>IFERROR(INDEX(M_RawMaterials[基準在庫下限_要入力],MATCH($A16,M_RawMaterials[Part Name],0)),0)</f>
        <v/>
      </c>
      <c r="E16" s="13">
        <f>IFERROR(INDEX(M_RawMaterials[基準在庫上限_要入力],MATCH($A16,M_RawMaterials[Part Name],0)),0)</f>
        <v/>
      </c>
      <c r="F16" s="13">
        <f>IFERROR(LOOKUP(2,1/('T_SelfStock'!$B$15:$DA$15&lt;&gt;""),'T_SelfStock'!$B$15:$DA$15),"")</f>
        <v/>
      </c>
      <c r="G16" s="13">
        <f>IFERROR(LOOKUP(2,1/('T_TTAFStock'!$B$15:$DA$15&lt;&gt;""),'T_TTAFStock'!$B$15:$DA$15),"")</f>
        <v/>
      </c>
      <c r="H16" s="13">
        <f>IFERROR(LOOKUP(2,1/('T_SelfStock'!$B$15:$DA$15&lt;&gt;""),'T_SelfStock'!$B$5:$DA$5),"")</f>
        <v/>
      </c>
      <c r="I16" s="13">
        <f>'Grid_Stock'!B11</f>
        <v/>
      </c>
      <c r="J16" s="13">
        <f>'Grid_Stock'!C11</f>
        <v/>
      </c>
      <c r="K16" s="13">
        <f>'Grid_Stock'!D11</f>
        <v/>
      </c>
      <c r="L16" s="13">
        <f>'Grid_Stock'!E11</f>
        <v/>
      </c>
      <c r="M16" s="13">
        <f>'Grid_Stock'!F11</f>
        <v/>
      </c>
      <c r="N16" s="13">
        <f>'Grid_Stock'!G11</f>
        <v/>
      </c>
      <c r="O16" s="13">
        <f>'Grid_Stock'!H11</f>
        <v/>
      </c>
      <c r="P16" s="13">
        <f>'Grid_Stock'!I11</f>
        <v/>
      </c>
      <c r="Q16" s="13">
        <f>'Grid_Stock'!J11</f>
        <v/>
      </c>
      <c r="R16" s="13">
        <f>'Grid_Stock'!K11</f>
        <v/>
      </c>
      <c r="S16" s="13">
        <f>'Grid_Stock'!L11</f>
        <v/>
      </c>
      <c r="T16" s="13">
        <f>'Grid_Stock'!M11</f>
        <v/>
      </c>
      <c r="U16" s="13">
        <f>'Grid_Stock'!N11</f>
        <v/>
      </c>
      <c r="V16" s="13">
        <f>'Grid_Stock'!O11</f>
        <v/>
      </c>
      <c r="W16" s="13">
        <f>'Grid_Stock'!P11</f>
        <v/>
      </c>
      <c r="X16" s="13">
        <f>'Grid_Stock'!Q11</f>
        <v/>
      </c>
      <c r="Y16" s="13">
        <f>'Grid_Stock'!R11</f>
        <v/>
      </c>
      <c r="Z16" s="13">
        <f>'Grid_Stock'!S11</f>
        <v/>
      </c>
      <c r="AA16" s="13">
        <f>'Grid_Stock'!T11</f>
        <v/>
      </c>
      <c r="AB16" s="13">
        <f>'Grid_Stock'!U11</f>
        <v/>
      </c>
      <c r="AC16" s="13">
        <f>'Grid_Stock'!V11</f>
        <v/>
      </c>
      <c r="AD16" s="13">
        <f>'Grid_Stock'!W11</f>
        <v/>
      </c>
      <c r="AE16" s="13">
        <f>'Grid_Stock'!X11</f>
        <v/>
      </c>
      <c r="AF16" s="13">
        <f>'Grid_Stock'!Y11</f>
        <v/>
      </c>
      <c r="AG16" s="13">
        <f>'Grid_Stock'!Z11</f>
        <v/>
      </c>
      <c r="AH16" s="13">
        <f>'Grid_Stock'!AA11</f>
        <v/>
      </c>
      <c r="AI16" s="13">
        <f>'Grid_Stock'!AB11</f>
        <v/>
      </c>
      <c r="AJ16" s="13">
        <f>'Grid_Stock'!AC11</f>
        <v/>
      </c>
      <c r="AK16" s="13">
        <f>'Grid_Stock'!AD11</f>
        <v/>
      </c>
      <c r="AL16" s="13">
        <f>'Grid_Stock'!AE11</f>
        <v/>
      </c>
      <c r="AM16" s="13">
        <f>'Grid_Stock'!AF11</f>
        <v/>
      </c>
      <c r="AN16" s="13">
        <f>'Grid_Stock'!AG11</f>
        <v/>
      </c>
      <c r="AO16" s="13">
        <f>'Grid_Stock'!AH11</f>
        <v/>
      </c>
      <c r="AP16" s="13">
        <f>'Grid_Stock'!AI11</f>
        <v/>
      </c>
      <c r="AQ16" s="13">
        <f>'Grid_Stock'!AJ11</f>
        <v/>
      </c>
      <c r="AR16" s="13">
        <f>'Grid_Stock'!AK11</f>
        <v/>
      </c>
      <c r="AS16" s="13">
        <f>'Grid_Stock'!AL11</f>
        <v/>
      </c>
      <c r="AT16" s="13">
        <f>'Grid_Stock'!AM11</f>
        <v/>
      </c>
      <c r="AU16" s="13">
        <f>'Grid_Stock'!AN11</f>
        <v/>
      </c>
      <c r="AV16" s="13">
        <f>'Grid_Stock'!AO11</f>
        <v/>
      </c>
      <c r="AW16" s="13">
        <f>'Grid_Stock'!AP11</f>
        <v/>
      </c>
      <c r="AX16" s="13">
        <f>'Grid_Stock'!AQ11</f>
        <v/>
      </c>
      <c r="AY16" s="13">
        <f>'Grid_Stock'!AR11</f>
        <v/>
      </c>
      <c r="AZ16" s="13">
        <f>'Grid_Stock'!AS11</f>
        <v/>
      </c>
      <c r="BA16" s="13">
        <f>'Grid_Stock'!AT11</f>
        <v/>
      </c>
      <c r="BB16" s="13">
        <f>'Grid_Stock'!AU11</f>
        <v/>
      </c>
      <c r="BC16" s="13">
        <f>'Grid_Stock'!AV11</f>
        <v/>
      </c>
      <c r="BD16" s="13">
        <f>'Grid_Stock'!AW11</f>
        <v/>
      </c>
      <c r="BE16" s="13">
        <f>'Grid_Stock'!AX11</f>
        <v/>
      </c>
      <c r="BF16" s="13">
        <f>'Grid_Stock'!AY11</f>
        <v/>
      </c>
      <c r="BG16" s="13">
        <f>'Grid_Stock'!AZ11</f>
        <v/>
      </c>
      <c r="BH16" s="13">
        <f>'Grid_Stock'!BA11</f>
        <v/>
      </c>
      <c r="BI16" s="13">
        <f>'Grid_Stock'!BB11</f>
        <v/>
      </c>
      <c r="BJ16" s="13">
        <f>'Grid_Stock'!BC11</f>
        <v/>
      </c>
      <c r="BK16" s="13">
        <f>'Grid_Stock'!BD11</f>
        <v/>
      </c>
      <c r="BL16" s="13">
        <f>'Grid_Stock'!BE11</f>
        <v/>
      </c>
      <c r="BM16" s="13">
        <f>'Grid_Stock'!BF11</f>
        <v/>
      </c>
      <c r="BN16" s="13">
        <f>'Grid_Stock'!BG11</f>
        <v/>
      </c>
      <c r="BO16" s="13">
        <f>'Grid_Stock'!BH11</f>
        <v/>
      </c>
      <c r="BP16" s="13">
        <f>'Grid_Stock'!BI11</f>
        <v/>
      </c>
      <c r="BQ16" s="13">
        <f>'Grid_Stock'!BJ11</f>
        <v/>
      </c>
      <c r="BR16" s="13">
        <f>'Grid_Stock'!BK11</f>
        <v/>
      </c>
      <c r="BS16" s="13">
        <f>'Grid_Stock'!BL11</f>
        <v/>
      </c>
      <c r="BT16" s="13">
        <f>'Grid_Stock'!BM11</f>
        <v/>
      </c>
      <c r="BU16" s="13">
        <f>'Grid_Stock'!BN11</f>
        <v/>
      </c>
      <c r="BV16" s="13">
        <f>'Grid_Stock'!BO11</f>
        <v/>
      </c>
      <c r="BW16" s="13">
        <f>'Grid_Stock'!BP11</f>
        <v/>
      </c>
      <c r="BX16" s="13">
        <f>'Grid_Stock'!BQ11</f>
        <v/>
      </c>
      <c r="BY16" s="13">
        <f>'Grid_Stock'!BR11</f>
        <v/>
      </c>
      <c r="BZ16" s="13">
        <f>'Grid_Stock'!BS11</f>
        <v/>
      </c>
      <c r="CA16" s="13">
        <f>'Grid_Stock'!BT11</f>
        <v/>
      </c>
      <c r="CB16" s="13">
        <f>'Grid_Stock'!BU11</f>
        <v/>
      </c>
      <c r="CC16" s="13">
        <f>'Grid_Stock'!BV11</f>
        <v/>
      </c>
      <c r="CD16" s="13">
        <f>'Grid_Stock'!BW11</f>
        <v/>
      </c>
      <c r="CE16" s="13">
        <f>'Grid_Stock'!BX11</f>
        <v/>
      </c>
      <c r="CF16" s="13">
        <f>'Grid_Stock'!BY11</f>
        <v/>
      </c>
      <c r="CG16" s="13">
        <f>'Grid_Stock'!BZ11</f>
        <v/>
      </c>
      <c r="CH16" s="13">
        <f>'Grid_Stock'!CA11</f>
        <v/>
      </c>
      <c r="CI16" s="13">
        <f>'Grid_Stock'!CB11</f>
        <v/>
      </c>
      <c r="CJ16" s="13">
        <f>'Grid_Stock'!CC11</f>
        <v/>
      </c>
      <c r="CK16" s="13">
        <f>'Grid_Stock'!CD11</f>
        <v/>
      </c>
      <c r="CL16" s="13">
        <f>'Grid_Stock'!CE11</f>
        <v/>
      </c>
      <c r="CM16" s="13">
        <f>'Grid_Stock'!CF11</f>
        <v/>
      </c>
      <c r="CN16" s="13">
        <f>'Grid_Stock'!CG11</f>
        <v/>
      </c>
      <c r="CO16" s="13">
        <f>'Grid_Stock'!CH11</f>
        <v/>
      </c>
      <c r="CP16" s="13">
        <f>'Grid_Stock'!CI11</f>
        <v/>
      </c>
      <c r="CQ16" s="13">
        <f>'Grid_Stock'!CJ11</f>
        <v/>
      </c>
      <c r="CR16" s="13">
        <f>'Grid_Stock'!CK11</f>
        <v/>
      </c>
      <c r="CS16" s="13">
        <f>'Grid_Stock'!CL11</f>
        <v/>
      </c>
      <c r="CT16" s="13">
        <f>'Grid_Stock'!CM11</f>
        <v/>
      </c>
      <c r="CU16" s="13">
        <f>'Grid_Stock'!CN11</f>
        <v/>
      </c>
      <c r="CV16" s="13">
        <f>'Grid_Stock'!CO11</f>
        <v/>
      </c>
      <c r="CW16" s="13">
        <f>'Grid_Stock'!CP11</f>
        <v/>
      </c>
      <c r="CX16" s="13">
        <f>'Grid_Stock'!CQ11</f>
        <v/>
      </c>
      <c r="CY16" s="13">
        <f>'Grid_Stock'!CR11</f>
        <v/>
      </c>
      <c r="CZ16" s="13">
        <f>'Grid_Stock'!CS11</f>
        <v/>
      </c>
      <c r="DA16" s="13">
        <f>'Grid_Stock'!CT11</f>
        <v/>
      </c>
      <c r="DB16" s="13">
        <f>'Grid_Stock'!CU11</f>
        <v/>
      </c>
      <c r="DC16" s="13">
        <f>'Grid_Stock'!CV11</f>
        <v/>
      </c>
      <c r="DD16" s="13">
        <f>'Grid_Stock'!CW11</f>
        <v/>
      </c>
      <c r="DE16" s="13">
        <f>'Grid_Stock'!CX11</f>
        <v/>
      </c>
      <c r="DF16" s="13">
        <f>'Grid_Stock'!CY11</f>
        <v/>
      </c>
      <c r="DG16" s="13">
        <f>'Grid_Stock'!CZ11</f>
        <v/>
      </c>
      <c r="DH16" s="13">
        <f>'Grid_Stock'!DA11</f>
        <v/>
      </c>
    </row>
    <row r="17">
      <c r="A17" s="12" t="inlineStr">
        <is>
          <t>1EK</t>
        </is>
      </c>
      <c r="B17" s="12">
        <f>IFERROR(INDEX(M_RawMaterials[Description],MATCH($A17,M_RawMaterials[Part Name],0)),"")</f>
        <v/>
      </c>
      <c r="C17" s="12">
        <f>IFERROR(INDEX(M_RawMaterials[Category],MATCH($A17,M_RawMaterials[Part Name],0)),"")</f>
        <v/>
      </c>
      <c r="D17" s="12">
        <f>IFERROR(INDEX(M_RawMaterials[基準在庫下限_要入力],MATCH($A17,M_RawMaterials[Part Name],0)),0)</f>
        <v/>
      </c>
      <c r="E17" s="12">
        <f>IFERROR(INDEX(M_RawMaterials[基準在庫上限_要入力],MATCH($A17,M_RawMaterials[Part Name],0)),0)</f>
        <v/>
      </c>
      <c r="F17" s="12">
        <f>IFERROR(LOOKUP(2,1/('T_SelfStock'!$B$16:$DA$16&lt;&gt;""),'T_SelfStock'!$B$16:$DA$16),"")</f>
        <v/>
      </c>
      <c r="G17" s="12">
        <f>IFERROR(LOOKUP(2,1/('T_TTAFStock'!$B$16:$DA$16&lt;&gt;""),'T_TTAFStock'!$B$16:$DA$16),"")</f>
        <v/>
      </c>
      <c r="H17" s="12">
        <f>IFERROR(LOOKUP(2,1/('T_SelfStock'!$B$16:$DA$16&lt;&gt;""),'T_SelfStock'!$B$5:$DA$5),"")</f>
        <v/>
      </c>
      <c r="I17" s="12">
        <f>'Grid_Stock'!B12</f>
        <v/>
      </c>
      <c r="J17" s="12">
        <f>'Grid_Stock'!C12</f>
        <v/>
      </c>
      <c r="K17" s="12">
        <f>'Grid_Stock'!D12</f>
        <v/>
      </c>
      <c r="L17" s="12">
        <f>'Grid_Stock'!E12</f>
        <v/>
      </c>
      <c r="M17" s="12">
        <f>'Grid_Stock'!F12</f>
        <v/>
      </c>
      <c r="N17" s="12">
        <f>'Grid_Stock'!G12</f>
        <v/>
      </c>
      <c r="O17" s="12">
        <f>'Grid_Stock'!H12</f>
        <v/>
      </c>
      <c r="P17" s="12">
        <f>'Grid_Stock'!I12</f>
        <v/>
      </c>
      <c r="Q17" s="12">
        <f>'Grid_Stock'!J12</f>
        <v/>
      </c>
      <c r="R17" s="12">
        <f>'Grid_Stock'!K12</f>
        <v/>
      </c>
      <c r="S17" s="12">
        <f>'Grid_Stock'!L12</f>
        <v/>
      </c>
      <c r="T17" s="12">
        <f>'Grid_Stock'!M12</f>
        <v/>
      </c>
      <c r="U17" s="12">
        <f>'Grid_Stock'!N12</f>
        <v/>
      </c>
      <c r="V17" s="12">
        <f>'Grid_Stock'!O12</f>
        <v/>
      </c>
      <c r="W17" s="12">
        <f>'Grid_Stock'!P12</f>
        <v/>
      </c>
      <c r="X17" s="12">
        <f>'Grid_Stock'!Q12</f>
        <v/>
      </c>
      <c r="Y17" s="12">
        <f>'Grid_Stock'!R12</f>
        <v/>
      </c>
      <c r="Z17" s="12">
        <f>'Grid_Stock'!S12</f>
        <v/>
      </c>
      <c r="AA17" s="12">
        <f>'Grid_Stock'!T12</f>
        <v/>
      </c>
      <c r="AB17" s="12">
        <f>'Grid_Stock'!U12</f>
        <v/>
      </c>
      <c r="AC17" s="12">
        <f>'Grid_Stock'!V12</f>
        <v/>
      </c>
      <c r="AD17" s="12">
        <f>'Grid_Stock'!W12</f>
        <v/>
      </c>
      <c r="AE17" s="12">
        <f>'Grid_Stock'!X12</f>
        <v/>
      </c>
      <c r="AF17" s="12">
        <f>'Grid_Stock'!Y12</f>
        <v/>
      </c>
      <c r="AG17" s="12">
        <f>'Grid_Stock'!Z12</f>
        <v/>
      </c>
      <c r="AH17" s="12">
        <f>'Grid_Stock'!AA12</f>
        <v/>
      </c>
      <c r="AI17" s="12">
        <f>'Grid_Stock'!AB12</f>
        <v/>
      </c>
      <c r="AJ17" s="12">
        <f>'Grid_Stock'!AC12</f>
        <v/>
      </c>
      <c r="AK17" s="12">
        <f>'Grid_Stock'!AD12</f>
        <v/>
      </c>
      <c r="AL17" s="12">
        <f>'Grid_Stock'!AE12</f>
        <v/>
      </c>
      <c r="AM17" s="12">
        <f>'Grid_Stock'!AF12</f>
        <v/>
      </c>
      <c r="AN17" s="12">
        <f>'Grid_Stock'!AG12</f>
        <v/>
      </c>
      <c r="AO17" s="12">
        <f>'Grid_Stock'!AH12</f>
        <v/>
      </c>
      <c r="AP17" s="12">
        <f>'Grid_Stock'!AI12</f>
        <v/>
      </c>
      <c r="AQ17" s="12">
        <f>'Grid_Stock'!AJ12</f>
        <v/>
      </c>
      <c r="AR17" s="12">
        <f>'Grid_Stock'!AK12</f>
        <v/>
      </c>
      <c r="AS17" s="12">
        <f>'Grid_Stock'!AL12</f>
        <v/>
      </c>
      <c r="AT17" s="12">
        <f>'Grid_Stock'!AM12</f>
        <v/>
      </c>
      <c r="AU17" s="12">
        <f>'Grid_Stock'!AN12</f>
        <v/>
      </c>
      <c r="AV17" s="12">
        <f>'Grid_Stock'!AO12</f>
        <v/>
      </c>
      <c r="AW17" s="12">
        <f>'Grid_Stock'!AP12</f>
        <v/>
      </c>
      <c r="AX17" s="12">
        <f>'Grid_Stock'!AQ12</f>
        <v/>
      </c>
      <c r="AY17" s="12">
        <f>'Grid_Stock'!AR12</f>
        <v/>
      </c>
      <c r="AZ17" s="12">
        <f>'Grid_Stock'!AS12</f>
        <v/>
      </c>
      <c r="BA17" s="12">
        <f>'Grid_Stock'!AT12</f>
        <v/>
      </c>
      <c r="BB17" s="12">
        <f>'Grid_Stock'!AU12</f>
        <v/>
      </c>
      <c r="BC17" s="12">
        <f>'Grid_Stock'!AV12</f>
        <v/>
      </c>
      <c r="BD17" s="12">
        <f>'Grid_Stock'!AW12</f>
        <v/>
      </c>
      <c r="BE17" s="12">
        <f>'Grid_Stock'!AX12</f>
        <v/>
      </c>
      <c r="BF17" s="12">
        <f>'Grid_Stock'!AY12</f>
        <v/>
      </c>
      <c r="BG17" s="12">
        <f>'Grid_Stock'!AZ12</f>
        <v/>
      </c>
      <c r="BH17" s="12">
        <f>'Grid_Stock'!BA12</f>
        <v/>
      </c>
      <c r="BI17" s="12">
        <f>'Grid_Stock'!BB12</f>
        <v/>
      </c>
      <c r="BJ17" s="12">
        <f>'Grid_Stock'!BC12</f>
        <v/>
      </c>
      <c r="BK17" s="12">
        <f>'Grid_Stock'!BD12</f>
        <v/>
      </c>
      <c r="BL17" s="12">
        <f>'Grid_Stock'!BE12</f>
        <v/>
      </c>
      <c r="BM17" s="12">
        <f>'Grid_Stock'!BF12</f>
        <v/>
      </c>
      <c r="BN17" s="12">
        <f>'Grid_Stock'!BG12</f>
        <v/>
      </c>
      <c r="BO17" s="12">
        <f>'Grid_Stock'!BH12</f>
        <v/>
      </c>
      <c r="BP17" s="12">
        <f>'Grid_Stock'!BI12</f>
        <v/>
      </c>
      <c r="BQ17" s="12">
        <f>'Grid_Stock'!BJ12</f>
        <v/>
      </c>
      <c r="BR17" s="12">
        <f>'Grid_Stock'!BK12</f>
        <v/>
      </c>
      <c r="BS17" s="12">
        <f>'Grid_Stock'!BL12</f>
        <v/>
      </c>
      <c r="BT17" s="12">
        <f>'Grid_Stock'!BM12</f>
        <v/>
      </c>
      <c r="BU17" s="12">
        <f>'Grid_Stock'!BN12</f>
        <v/>
      </c>
      <c r="BV17" s="12">
        <f>'Grid_Stock'!BO12</f>
        <v/>
      </c>
      <c r="BW17" s="12">
        <f>'Grid_Stock'!BP12</f>
        <v/>
      </c>
      <c r="BX17" s="12">
        <f>'Grid_Stock'!BQ12</f>
        <v/>
      </c>
      <c r="BY17" s="12">
        <f>'Grid_Stock'!BR12</f>
        <v/>
      </c>
      <c r="BZ17" s="12">
        <f>'Grid_Stock'!BS12</f>
        <v/>
      </c>
      <c r="CA17" s="12">
        <f>'Grid_Stock'!BT12</f>
        <v/>
      </c>
      <c r="CB17" s="12">
        <f>'Grid_Stock'!BU12</f>
        <v/>
      </c>
      <c r="CC17" s="12">
        <f>'Grid_Stock'!BV12</f>
        <v/>
      </c>
      <c r="CD17" s="12">
        <f>'Grid_Stock'!BW12</f>
        <v/>
      </c>
      <c r="CE17" s="12">
        <f>'Grid_Stock'!BX12</f>
        <v/>
      </c>
      <c r="CF17" s="12">
        <f>'Grid_Stock'!BY12</f>
        <v/>
      </c>
      <c r="CG17" s="12">
        <f>'Grid_Stock'!BZ12</f>
        <v/>
      </c>
      <c r="CH17" s="12">
        <f>'Grid_Stock'!CA12</f>
        <v/>
      </c>
      <c r="CI17" s="12">
        <f>'Grid_Stock'!CB12</f>
        <v/>
      </c>
      <c r="CJ17" s="12">
        <f>'Grid_Stock'!CC12</f>
        <v/>
      </c>
      <c r="CK17" s="12">
        <f>'Grid_Stock'!CD12</f>
        <v/>
      </c>
      <c r="CL17" s="12">
        <f>'Grid_Stock'!CE12</f>
        <v/>
      </c>
      <c r="CM17" s="12">
        <f>'Grid_Stock'!CF12</f>
        <v/>
      </c>
      <c r="CN17" s="12">
        <f>'Grid_Stock'!CG12</f>
        <v/>
      </c>
      <c r="CO17" s="12">
        <f>'Grid_Stock'!CH12</f>
        <v/>
      </c>
      <c r="CP17" s="12">
        <f>'Grid_Stock'!CI12</f>
        <v/>
      </c>
      <c r="CQ17" s="12">
        <f>'Grid_Stock'!CJ12</f>
        <v/>
      </c>
      <c r="CR17" s="12">
        <f>'Grid_Stock'!CK12</f>
        <v/>
      </c>
      <c r="CS17" s="12">
        <f>'Grid_Stock'!CL12</f>
        <v/>
      </c>
      <c r="CT17" s="12">
        <f>'Grid_Stock'!CM12</f>
        <v/>
      </c>
      <c r="CU17" s="12">
        <f>'Grid_Stock'!CN12</f>
        <v/>
      </c>
      <c r="CV17" s="12">
        <f>'Grid_Stock'!CO12</f>
        <v/>
      </c>
      <c r="CW17" s="12">
        <f>'Grid_Stock'!CP12</f>
        <v/>
      </c>
      <c r="CX17" s="12">
        <f>'Grid_Stock'!CQ12</f>
        <v/>
      </c>
      <c r="CY17" s="12">
        <f>'Grid_Stock'!CR12</f>
        <v/>
      </c>
      <c r="CZ17" s="12">
        <f>'Grid_Stock'!CS12</f>
        <v/>
      </c>
      <c r="DA17" s="12">
        <f>'Grid_Stock'!CT12</f>
        <v/>
      </c>
      <c r="DB17" s="12">
        <f>'Grid_Stock'!CU12</f>
        <v/>
      </c>
      <c r="DC17" s="12">
        <f>'Grid_Stock'!CV12</f>
        <v/>
      </c>
      <c r="DD17" s="12">
        <f>'Grid_Stock'!CW12</f>
        <v/>
      </c>
      <c r="DE17" s="12">
        <f>'Grid_Stock'!CX12</f>
        <v/>
      </c>
      <c r="DF17" s="12">
        <f>'Grid_Stock'!CY12</f>
        <v/>
      </c>
      <c r="DG17" s="12">
        <f>'Grid_Stock'!CZ12</f>
        <v/>
      </c>
      <c r="DH17" s="12">
        <f>'Grid_Stock'!DA12</f>
        <v/>
      </c>
    </row>
    <row r="18">
      <c r="A18" s="13" t="inlineStr">
        <is>
          <t>7CL</t>
        </is>
      </c>
      <c r="B18" s="13">
        <f>IFERROR(INDEX(M_RawMaterials[Description],MATCH($A18,M_RawMaterials[Part Name],0)),"")</f>
        <v/>
      </c>
      <c r="C18" s="13">
        <f>IFERROR(INDEX(M_RawMaterials[Category],MATCH($A18,M_RawMaterials[Part Name],0)),"")</f>
        <v/>
      </c>
      <c r="D18" s="13">
        <f>IFERROR(INDEX(M_RawMaterials[基準在庫下限_要入力],MATCH($A18,M_RawMaterials[Part Name],0)),0)</f>
        <v/>
      </c>
      <c r="E18" s="13">
        <f>IFERROR(INDEX(M_RawMaterials[基準在庫上限_要入力],MATCH($A18,M_RawMaterials[Part Name],0)),0)</f>
        <v/>
      </c>
      <c r="F18" s="13">
        <f>IFERROR(LOOKUP(2,1/('T_SelfStock'!$B$17:$DA$17&lt;&gt;""),'T_SelfStock'!$B$17:$DA$17),"")</f>
        <v/>
      </c>
      <c r="G18" s="13">
        <f>IFERROR(LOOKUP(2,1/('T_TTAFStock'!$B$17:$DA$17&lt;&gt;""),'T_TTAFStock'!$B$17:$DA$17),"")</f>
        <v/>
      </c>
      <c r="H18" s="13">
        <f>IFERROR(LOOKUP(2,1/('T_SelfStock'!$B$17:$DA$17&lt;&gt;""),'T_SelfStock'!$B$5:$DA$5),"")</f>
        <v/>
      </c>
      <c r="I18" s="13">
        <f>'Grid_Stock'!B13</f>
        <v/>
      </c>
      <c r="J18" s="13">
        <f>'Grid_Stock'!C13</f>
        <v/>
      </c>
      <c r="K18" s="13">
        <f>'Grid_Stock'!D13</f>
        <v/>
      </c>
      <c r="L18" s="13">
        <f>'Grid_Stock'!E13</f>
        <v/>
      </c>
      <c r="M18" s="13">
        <f>'Grid_Stock'!F13</f>
        <v/>
      </c>
      <c r="N18" s="13">
        <f>'Grid_Stock'!G13</f>
        <v/>
      </c>
      <c r="O18" s="13">
        <f>'Grid_Stock'!H13</f>
        <v/>
      </c>
      <c r="P18" s="13">
        <f>'Grid_Stock'!I13</f>
        <v/>
      </c>
      <c r="Q18" s="13">
        <f>'Grid_Stock'!J13</f>
        <v/>
      </c>
      <c r="R18" s="13">
        <f>'Grid_Stock'!K13</f>
        <v/>
      </c>
      <c r="S18" s="13">
        <f>'Grid_Stock'!L13</f>
        <v/>
      </c>
      <c r="T18" s="13">
        <f>'Grid_Stock'!M13</f>
        <v/>
      </c>
      <c r="U18" s="13">
        <f>'Grid_Stock'!N13</f>
        <v/>
      </c>
      <c r="V18" s="13">
        <f>'Grid_Stock'!O13</f>
        <v/>
      </c>
      <c r="W18" s="13">
        <f>'Grid_Stock'!P13</f>
        <v/>
      </c>
      <c r="X18" s="13">
        <f>'Grid_Stock'!Q13</f>
        <v/>
      </c>
      <c r="Y18" s="13">
        <f>'Grid_Stock'!R13</f>
        <v/>
      </c>
      <c r="Z18" s="13">
        <f>'Grid_Stock'!S13</f>
        <v/>
      </c>
      <c r="AA18" s="13">
        <f>'Grid_Stock'!T13</f>
        <v/>
      </c>
      <c r="AB18" s="13">
        <f>'Grid_Stock'!U13</f>
        <v/>
      </c>
      <c r="AC18" s="13">
        <f>'Grid_Stock'!V13</f>
        <v/>
      </c>
      <c r="AD18" s="13">
        <f>'Grid_Stock'!W13</f>
        <v/>
      </c>
      <c r="AE18" s="13">
        <f>'Grid_Stock'!X13</f>
        <v/>
      </c>
      <c r="AF18" s="13">
        <f>'Grid_Stock'!Y13</f>
        <v/>
      </c>
      <c r="AG18" s="13">
        <f>'Grid_Stock'!Z13</f>
        <v/>
      </c>
      <c r="AH18" s="13">
        <f>'Grid_Stock'!AA13</f>
        <v/>
      </c>
      <c r="AI18" s="13">
        <f>'Grid_Stock'!AB13</f>
        <v/>
      </c>
      <c r="AJ18" s="13">
        <f>'Grid_Stock'!AC13</f>
        <v/>
      </c>
      <c r="AK18" s="13">
        <f>'Grid_Stock'!AD13</f>
        <v/>
      </c>
      <c r="AL18" s="13">
        <f>'Grid_Stock'!AE13</f>
        <v/>
      </c>
      <c r="AM18" s="13">
        <f>'Grid_Stock'!AF13</f>
        <v/>
      </c>
      <c r="AN18" s="13">
        <f>'Grid_Stock'!AG13</f>
        <v/>
      </c>
      <c r="AO18" s="13">
        <f>'Grid_Stock'!AH13</f>
        <v/>
      </c>
      <c r="AP18" s="13">
        <f>'Grid_Stock'!AI13</f>
        <v/>
      </c>
      <c r="AQ18" s="13">
        <f>'Grid_Stock'!AJ13</f>
        <v/>
      </c>
      <c r="AR18" s="13">
        <f>'Grid_Stock'!AK13</f>
        <v/>
      </c>
      <c r="AS18" s="13">
        <f>'Grid_Stock'!AL13</f>
        <v/>
      </c>
      <c r="AT18" s="13">
        <f>'Grid_Stock'!AM13</f>
        <v/>
      </c>
      <c r="AU18" s="13">
        <f>'Grid_Stock'!AN13</f>
        <v/>
      </c>
      <c r="AV18" s="13">
        <f>'Grid_Stock'!AO13</f>
        <v/>
      </c>
      <c r="AW18" s="13">
        <f>'Grid_Stock'!AP13</f>
        <v/>
      </c>
      <c r="AX18" s="13">
        <f>'Grid_Stock'!AQ13</f>
        <v/>
      </c>
      <c r="AY18" s="13">
        <f>'Grid_Stock'!AR13</f>
        <v/>
      </c>
      <c r="AZ18" s="13">
        <f>'Grid_Stock'!AS13</f>
        <v/>
      </c>
      <c r="BA18" s="13">
        <f>'Grid_Stock'!AT13</f>
        <v/>
      </c>
      <c r="BB18" s="13">
        <f>'Grid_Stock'!AU13</f>
        <v/>
      </c>
      <c r="BC18" s="13">
        <f>'Grid_Stock'!AV13</f>
        <v/>
      </c>
      <c r="BD18" s="13">
        <f>'Grid_Stock'!AW13</f>
        <v/>
      </c>
      <c r="BE18" s="13">
        <f>'Grid_Stock'!AX13</f>
        <v/>
      </c>
      <c r="BF18" s="13">
        <f>'Grid_Stock'!AY13</f>
        <v/>
      </c>
      <c r="BG18" s="13">
        <f>'Grid_Stock'!AZ13</f>
        <v/>
      </c>
      <c r="BH18" s="13">
        <f>'Grid_Stock'!BA13</f>
        <v/>
      </c>
      <c r="BI18" s="13">
        <f>'Grid_Stock'!BB13</f>
        <v/>
      </c>
      <c r="BJ18" s="13">
        <f>'Grid_Stock'!BC13</f>
        <v/>
      </c>
      <c r="BK18" s="13">
        <f>'Grid_Stock'!BD13</f>
        <v/>
      </c>
      <c r="BL18" s="13">
        <f>'Grid_Stock'!BE13</f>
        <v/>
      </c>
      <c r="BM18" s="13">
        <f>'Grid_Stock'!BF13</f>
        <v/>
      </c>
      <c r="BN18" s="13">
        <f>'Grid_Stock'!BG13</f>
        <v/>
      </c>
      <c r="BO18" s="13">
        <f>'Grid_Stock'!BH13</f>
        <v/>
      </c>
      <c r="BP18" s="13">
        <f>'Grid_Stock'!BI13</f>
        <v/>
      </c>
      <c r="BQ18" s="13">
        <f>'Grid_Stock'!BJ13</f>
        <v/>
      </c>
      <c r="BR18" s="13">
        <f>'Grid_Stock'!BK13</f>
        <v/>
      </c>
      <c r="BS18" s="13">
        <f>'Grid_Stock'!BL13</f>
        <v/>
      </c>
      <c r="BT18" s="13">
        <f>'Grid_Stock'!BM13</f>
        <v/>
      </c>
      <c r="BU18" s="13">
        <f>'Grid_Stock'!BN13</f>
        <v/>
      </c>
      <c r="BV18" s="13">
        <f>'Grid_Stock'!BO13</f>
        <v/>
      </c>
      <c r="BW18" s="13">
        <f>'Grid_Stock'!BP13</f>
        <v/>
      </c>
      <c r="BX18" s="13">
        <f>'Grid_Stock'!BQ13</f>
        <v/>
      </c>
      <c r="BY18" s="13">
        <f>'Grid_Stock'!BR13</f>
        <v/>
      </c>
      <c r="BZ18" s="13">
        <f>'Grid_Stock'!BS13</f>
        <v/>
      </c>
      <c r="CA18" s="13">
        <f>'Grid_Stock'!BT13</f>
        <v/>
      </c>
      <c r="CB18" s="13">
        <f>'Grid_Stock'!BU13</f>
        <v/>
      </c>
      <c r="CC18" s="13">
        <f>'Grid_Stock'!BV13</f>
        <v/>
      </c>
      <c r="CD18" s="13">
        <f>'Grid_Stock'!BW13</f>
        <v/>
      </c>
      <c r="CE18" s="13">
        <f>'Grid_Stock'!BX13</f>
        <v/>
      </c>
      <c r="CF18" s="13">
        <f>'Grid_Stock'!BY13</f>
        <v/>
      </c>
      <c r="CG18" s="13">
        <f>'Grid_Stock'!BZ13</f>
        <v/>
      </c>
      <c r="CH18" s="13">
        <f>'Grid_Stock'!CA13</f>
        <v/>
      </c>
      <c r="CI18" s="13">
        <f>'Grid_Stock'!CB13</f>
        <v/>
      </c>
      <c r="CJ18" s="13">
        <f>'Grid_Stock'!CC13</f>
        <v/>
      </c>
      <c r="CK18" s="13">
        <f>'Grid_Stock'!CD13</f>
        <v/>
      </c>
      <c r="CL18" s="13">
        <f>'Grid_Stock'!CE13</f>
        <v/>
      </c>
      <c r="CM18" s="13">
        <f>'Grid_Stock'!CF13</f>
        <v/>
      </c>
      <c r="CN18" s="13">
        <f>'Grid_Stock'!CG13</f>
        <v/>
      </c>
      <c r="CO18" s="13">
        <f>'Grid_Stock'!CH13</f>
        <v/>
      </c>
      <c r="CP18" s="13">
        <f>'Grid_Stock'!CI13</f>
        <v/>
      </c>
      <c r="CQ18" s="13">
        <f>'Grid_Stock'!CJ13</f>
        <v/>
      </c>
      <c r="CR18" s="13">
        <f>'Grid_Stock'!CK13</f>
        <v/>
      </c>
      <c r="CS18" s="13">
        <f>'Grid_Stock'!CL13</f>
        <v/>
      </c>
      <c r="CT18" s="13">
        <f>'Grid_Stock'!CM13</f>
        <v/>
      </c>
      <c r="CU18" s="13">
        <f>'Grid_Stock'!CN13</f>
        <v/>
      </c>
      <c r="CV18" s="13">
        <f>'Grid_Stock'!CO13</f>
        <v/>
      </c>
      <c r="CW18" s="13">
        <f>'Grid_Stock'!CP13</f>
        <v/>
      </c>
      <c r="CX18" s="13">
        <f>'Grid_Stock'!CQ13</f>
        <v/>
      </c>
      <c r="CY18" s="13">
        <f>'Grid_Stock'!CR13</f>
        <v/>
      </c>
      <c r="CZ18" s="13">
        <f>'Grid_Stock'!CS13</f>
        <v/>
      </c>
      <c r="DA18" s="13">
        <f>'Grid_Stock'!CT13</f>
        <v/>
      </c>
      <c r="DB18" s="13">
        <f>'Grid_Stock'!CU13</f>
        <v/>
      </c>
      <c r="DC18" s="13">
        <f>'Grid_Stock'!CV13</f>
        <v/>
      </c>
      <c r="DD18" s="13">
        <f>'Grid_Stock'!CW13</f>
        <v/>
      </c>
      <c r="DE18" s="13">
        <f>'Grid_Stock'!CX13</f>
        <v/>
      </c>
      <c r="DF18" s="13">
        <f>'Grid_Stock'!CY13</f>
        <v/>
      </c>
      <c r="DG18" s="13">
        <f>'Grid_Stock'!CZ13</f>
        <v/>
      </c>
      <c r="DH18" s="13">
        <f>'Grid_Stock'!DA13</f>
        <v/>
      </c>
    </row>
    <row r="19">
      <c r="A19" s="12" t="inlineStr">
        <is>
          <t>9RN</t>
        </is>
      </c>
      <c r="B19" s="12">
        <f>IFERROR(INDEX(M_RawMaterials[Description],MATCH($A19,M_RawMaterials[Part Name],0)),"")</f>
        <v/>
      </c>
      <c r="C19" s="12">
        <f>IFERROR(INDEX(M_RawMaterials[Category],MATCH($A19,M_RawMaterials[Part Name],0)),"")</f>
        <v/>
      </c>
      <c r="D19" s="12">
        <f>IFERROR(INDEX(M_RawMaterials[基準在庫下限_要入力],MATCH($A19,M_RawMaterials[Part Name],0)),0)</f>
        <v/>
      </c>
      <c r="E19" s="12">
        <f>IFERROR(INDEX(M_RawMaterials[基準在庫上限_要入力],MATCH($A19,M_RawMaterials[Part Name],0)),0)</f>
        <v/>
      </c>
      <c r="F19" s="12">
        <f>IFERROR(LOOKUP(2,1/('T_SelfStock'!$B$18:$DA$18&lt;&gt;""),'T_SelfStock'!$B$18:$DA$18),"")</f>
        <v/>
      </c>
      <c r="G19" s="12">
        <f>IFERROR(LOOKUP(2,1/('T_TTAFStock'!$B$18:$DA$18&lt;&gt;""),'T_TTAFStock'!$B$18:$DA$18),"")</f>
        <v/>
      </c>
      <c r="H19" s="12">
        <f>IFERROR(LOOKUP(2,1/('T_SelfStock'!$B$18:$DA$18&lt;&gt;""),'T_SelfStock'!$B$5:$DA$5),"")</f>
        <v/>
      </c>
      <c r="I19" s="12">
        <f>'Grid_Stock'!B14</f>
        <v/>
      </c>
      <c r="J19" s="12">
        <f>'Grid_Stock'!C14</f>
        <v/>
      </c>
      <c r="K19" s="12">
        <f>'Grid_Stock'!D14</f>
        <v/>
      </c>
      <c r="L19" s="12">
        <f>'Grid_Stock'!E14</f>
        <v/>
      </c>
      <c r="M19" s="12">
        <f>'Grid_Stock'!F14</f>
        <v/>
      </c>
      <c r="N19" s="12">
        <f>'Grid_Stock'!G14</f>
        <v/>
      </c>
      <c r="O19" s="12">
        <f>'Grid_Stock'!H14</f>
        <v/>
      </c>
      <c r="P19" s="12">
        <f>'Grid_Stock'!I14</f>
        <v/>
      </c>
      <c r="Q19" s="12">
        <f>'Grid_Stock'!J14</f>
        <v/>
      </c>
      <c r="R19" s="12">
        <f>'Grid_Stock'!K14</f>
        <v/>
      </c>
      <c r="S19" s="12">
        <f>'Grid_Stock'!L14</f>
        <v/>
      </c>
      <c r="T19" s="12">
        <f>'Grid_Stock'!M14</f>
        <v/>
      </c>
      <c r="U19" s="12">
        <f>'Grid_Stock'!N14</f>
        <v/>
      </c>
      <c r="V19" s="12">
        <f>'Grid_Stock'!O14</f>
        <v/>
      </c>
      <c r="W19" s="12">
        <f>'Grid_Stock'!P14</f>
        <v/>
      </c>
      <c r="X19" s="12">
        <f>'Grid_Stock'!Q14</f>
        <v/>
      </c>
      <c r="Y19" s="12">
        <f>'Grid_Stock'!R14</f>
        <v/>
      </c>
      <c r="Z19" s="12">
        <f>'Grid_Stock'!S14</f>
        <v/>
      </c>
      <c r="AA19" s="12">
        <f>'Grid_Stock'!T14</f>
        <v/>
      </c>
      <c r="AB19" s="12">
        <f>'Grid_Stock'!U14</f>
        <v/>
      </c>
      <c r="AC19" s="12">
        <f>'Grid_Stock'!V14</f>
        <v/>
      </c>
      <c r="AD19" s="12">
        <f>'Grid_Stock'!W14</f>
        <v/>
      </c>
      <c r="AE19" s="12">
        <f>'Grid_Stock'!X14</f>
        <v/>
      </c>
      <c r="AF19" s="12">
        <f>'Grid_Stock'!Y14</f>
        <v/>
      </c>
      <c r="AG19" s="12">
        <f>'Grid_Stock'!Z14</f>
        <v/>
      </c>
      <c r="AH19" s="12">
        <f>'Grid_Stock'!AA14</f>
        <v/>
      </c>
      <c r="AI19" s="12">
        <f>'Grid_Stock'!AB14</f>
        <v/>
      </c>
      <c r="AJ19" s="12">
        <f>'Grid_Stock'!AC14</f>
        <v/>
      </c>
      <c r="AK19" s="12">
        <f>'Grid_Stock'!AD14</f>
        <v/>
      </c>
      <c r="AL19" s="12">
        <f>'Grid_Stock'!AE14</f>
        <v/>
      </c>
      <c r="AM19" s="12">
        <f>'Grid_Stock'!AF14</f>
        <v/>
      </c>
      <c r="AN19" s="12">
        <f>'Grid_Stock'!AG14</f>
        <v/>
      </c>
      <c r="AO19" s="12">
        <f>'Grid_Stock'!AH14</f>
        <v/>
      </c>
      <c r="AP19" s="12">
        <f>'Grid_Stock'!AI14</f>
        <v/>
      </c>
      <c r="AQ19" s="12">
        <f>'Grid_Stock'!AJ14</f>
        <v/>
      </c>
      <c r="AR19" s="12">
        <f>'Grid_Stock'!AK14</f>
        <v/>
      </c>
      <c r="AS19" s="12">
        <f>'Grid_Stock'!AL14</f>
        <v/>
      </c>
      <c r="AT19" s="12">
        <f>'Grid_Stock'!AM14</f>
        <v/>
      </c>
      <c r="AU19" s="12">
        <f>'Grid_Stock'!AN14</f>
        <v/>
      </c>
      <c r="AV19" s="12">
        <f>'Grid_Stock'!AO14</f>
        <v/>
      </c>
      <c r="AW19" s="12">
        <f>'Grid_Stock'!AP14</f>
        <v/>
      </c>
      <c r="AX19" s="12">
        <f>'Grid_Stock'!AQ14</f>
        <v/>
      </c>
      <c r="AY19" s="12">
        <f>'Grid_Stock'!AR14</f>
        <v/>
      </c>
      <c r="AZ19" s="12">
        <f>'Grid_Stock'!AS14</f>
        <v/>
      </c>
      <c r="BA19" s="12">
        <f>'Grid_Stock'!AT14</f>
        <v/>
      </c>
      <c r="BB19" s="12">
        <f>'Grid_Stock'!AU14</f>
        <v/>
      </c>
      <c r="BC19" s="12">
        <f>'Grid_Stock'!AV14</f>
        <v/>
      </c>
      <c r="BD19" s="12">
        <f>'Grid_Stock'!AW14</f>
        <v/>
      </c>
      <c r="BE19" s="12">
        <f>'Grid_Stock'!AX14</f>
        <v/>
      </c>
      <c r="BF19" s="12">
        <f>'Grid_Stock'!AY14</f>
        <v/>
      </c>
      <c r="BG19" s="12">
        <f>'Grid_Stock'!AZ14</f>
        <v/>
      </c>
      <c r="BH19" s="12">
        <f>'Grid_Stock'!BA14</f>
        <v/>
      </c>
      <c r="BI19" s="12">
        <f>'Grid_Stock'!BB14</f>
        <v/>
      </c>
      <c r="BJ19" s="12">
        <f>'Grid_Stock'!BC14</f>
        <v/>
      </c>
      <c r="BK19" s="12">
        <f>'Grid_Stock'!BD14</f>
        <v/>
      </c>
      <c r="BL19" s="12">
        <f>'Grid_Stock'!BE14</f>
        <v/>
      </c>
      <c r="BM19" s="12">
        <f>'Grid_Stock'!BF14</f>
        <v/>
      </c>
      <c r="BN19" s="12">
        <f>'Grid_Stock'!BG14</f>
        <v/>
      </c>
      <c r="BO19" s="12">
        <f>'Grid_Stock'!BH14</f>
        <v/>
      </c>
      <c r="BP19" s="12">
        <f>'Grid_Stock'!BI14</f>
        <v/>
      </c>
      <c r="BQ19" s="12">
        <f>'Grid_Stock'!BJ14</f>
        <v/>
      </c>
      <c r="BR19" s="12">
        <f>'Grid_Stock'!BK14</f>
        <v/>
      </c>
      <c r="BS19" s="12">
        <f>'Grid_Stock'!BL14</f>
        <v/>
      </c>
      <c r="BT19" s="12">
        <f>'Grid_Stock'!BM14</f>
        <v/>
      </c>
      <c r="BU19" s="12">
        <f>'Grid_Stock'!BN14</f>
        <v/>
      </c>
      <c r="BV19" s="12">
        <f>'Grid_Stock'!BO14</f>
        <v/>
      </c>
      <c r="BW19" s="12">
        <f>'Grid_Stock'!BP14</f>
        <v/>
      </c>
      <c r="BX19" s="12">
        <f>'Grid_Stock'!BQ14</f>
        <v/>
      </c>
      <c r="BY19" s="12">
        <f>'Grid_Stock'!BR14</f>
        <v/>
      </c>
      <c r="BZ19" s="12">
        <f>'Grid_Stock'!BS14</f>
        <v/>
      </c>
      <c r="CA19" s="12">
        <f>'Grid_Stock'!BT14</f>
        <v/>
      </c>
      <c r="CB19" s="12">
        <f>'Grid_Stock'!BU14</f>
        <v/>
      </c>
      <c r="CC19" s="12">
        <f>'Grid_Stock'!BV14</f>
        <v/>
      </c>
      <c r="CD19" s="12">
        <f>'Grid_Stock'!BW14</f>
        <v/>
      </c>
      <c r="CE19" s="12">
        <f>'Grid_Stock'!BX14</f>
        <v/>
      </c>
      <c r="CF19" s="12">
        <f>'Grid_Stock'!BY14</f>
        <v/>
      </c>
      <c r="CG19" s="12">
        <f>'Grid_Stock'!BZ14</f>
        <v/>
      </c>
      <c r="CH19" s="12">
        <f>'Grid_Stock'!CA14</f>
        <v/>
      </c>
      <c r="CI19" s="12">
        <f>'Grid_Stock'!CB14</f>
        <v/>
      </c>
      <c r="CJ19" s="12">
        <f>'Grid_Stock'!CC14</f>
        <v/>
      </c>
      <c r="CK19" s="12">
        <f>'Grid_Stock'!CD14</f>
        <v/>
      </c>
      <c r="CL19" s="12">
        <f>'Grid_Stock'!CE14</f>
        <v/>
      </c>
      <c r="CM19" s="12">
        <f>'Grid_Stock'!CF14</f>
        <v/>
      </c>
      <c r="CN19" s="12">
        <f>'Grid_Stock'!CG14</f>
        <v/>
      </c>
      <c r="CO19" s="12">
        <f>'Grid_Stock'!CH14</f>
        <v/>
      </c>
      <c r="CP19" s="12">
        <f>'Grid_Stock'!CI14</f>
        <v/>
      </c>
      <c r="CQ19" s="12">
        <f>'Grid_Stock'!CJ14</f>
        <v/>
      </c>
      <c r="CR19" s="12">
        <f>'Grid_Stock'!CK14</f>
        <v/>
      </c>
      <c r="CS19" s="12">
        <f>'Grid_Stock'!CL14</f>
        <v/>
      </c>
      <c r="CT19" s="12">
        <f>'Grid_Stock'!CM14</f>
        <v/>
      </c>
      <c r="CU19" s="12">
        <f>'Grid_Stock'!CN14</f>
        <v/>
      </c>
      <c r="CV19" s="12">
        <f>'Grid_Stock'!CO14</f>
        <v/>
      </c>
      <c r="CW19" s="12">
        <f>'Grid_Stock'!CP14</f>
        <v/>
      </c>
      <c r="CX19" s="12">
        <f>'Grid_Stock'!CQ14</f>
        <v/>
      </c>
      <c r="CY19" s="12">
        <f>'Grid_Stock'!CR14</f>
        <v/>
      </c>
      <c r="CZ19" s="12">
        <f>'Grid_Stock'!CS14</f>
        <v/>
      </c>
      <c r="DA19" s="12">
        <f>'Grid_Stock'!CT14</f>
        <v/>
      </c>
      <c r="DB19" s="12">
        <f>'Grid_Stock'!CU14</f>
        <v/>
      </c>
      <c r="DC19" s="12">
        <f>'Grid_Stock'!CV14</f>
        <v/>
      </c>
      <c r="DD19" s="12">
        <f>'Grid_Stock'!CW14</f>
        <v/>
      </c>
      <c r="DE19" s="12">
        <f>'Grid_Stock'!CX14</f>
        <v/>
      </c>
      <c r="DF19" s="12">
        <f>'Grid_Stock'!CY14</f>
        <v/>
      </c>
      <c r="DG19" s="12">
        <f>'Grid_Stock'!CZ14</f>
        <v/>
      </c>
      <c r="DH19" s="12">
        <f>'Grid_Stock'!DA14</f>
        <v/>
      </c>
    </row>
    <row r="20">
      <c r="A20" s="13" t="inlineStr">
        <is>
          <t>CHEM-1400</t>
        </is>
      </c>
      <c r="B20" s="13">
        <f>IFERROR(INDEX(M_RawMaterials[Description],MATCH($A20,M_RawMaterials[Part Name],0)),"")</f>
        <v/>
      </c>
      <c r="C20" s="13">
        <f>IFERROR(INDEX(M_RawMaterials[Category],MATCH($A20,M_RawMaterials[Part Name],0)),"")</f>
        <v/>
      </c>
      <c r="D20" s="13">
        <f>IFERROR(INDEX(M_RawMaterials[基準在庫下限_要入力],MATCH($A20,M_RawMaterials[Part Name],0)),0)</f>
        <v/>
      </c>
      <c r="E20" s="13">
        <f>IFERROR(INDEX(M_RawMaterials[基準在庫上限_要入力],MATCH($A20,M_RawMaterials[Part Name],0)),0)</f>
        <v/>
      </c>
      <c r="F20" s="13">
        <f>IFERROR(LOOKUP(2,1/('T_SelfStock'!$B$19:$DA$19&lt;&gt;""),'T_SelfStock'!$B$19:$DA$19),"")</f>
        <v/>
      </c>
      <c r="G20" s="13">
        <f>IFERROR(LOOKUP(2,1/('T_TTAFStock'!$B$19:$DA$19&lt;&gt;""),'T_TTAFStock'!$B$19:$DA$19),"")</f>
        <v/>
      </c>
      <c r="H20" s="13">
        <f>IFERROR(LOOKUP(2,1/('T_SelfStock'!$B$19:$DA$19&lt;&gt;""),'T_SelfStock'!$B$5:$DA$5),"")</f>
        <v/>
      </c>
      <c r="I20" s="13">
        <f>'Grid_Stock'!B15</f>
        <v/>
      </c>
      <c r="J20" s="13">
        <f>'Grid_Stock'!C15</f>
        <v/>
      </c>
      <c r="K20" s="13">
        <f>'Grid_Stock'!D15</f>
        <v/>
      </c>
      <c r="L20" s="13">
        <f>'Grid_Stock'!E15</f>
        <v/>
      </c>
      <c r="M20" s="13">
        <f>'Grid_Stock'!F15</f>
        <v/>
      </c>
      <c r="N20" s="13">
        <f>'Grid_Stock'!G15</f>
        <v/>
      </c>
      <c r="O20" s="13">
        <f>'Grid_Stock'!H15</f>
        <v/>
      </c>
      <c r="P20" s="13">
        <f>'Grid_Stock'!I15</f>
        <v/>
      </c>
      <c r="Q20" s="13">
        <f>'Grid_Stock'!J15</f>
        <v/>
      </c>
      <c r="R20" s="13">
        <f>'Grid_Stock'!K15</f>
        <v/>
      </c>
      <c r="S20" s="13">
        <f>'Grid_Stock'!L15</f>
        <v/>
      </c>
      <c r="T20" s="13">
        <f>'Grid_Stock'!M15</f>
        <v/>
      </c>
      <c r="U20" s="13">
        <f>'Grid_Stock'!N15</f>
        <v/>
      </c>
      <c r="V20" s="13">
        <f>'Grid_Stock'!O15</f>
        <v/>
      </c>
      <c r="W20" s="13">
        <f>'Grid_Stock'!P15</f>
        <v/>
      </c>
      <c r="X20" s="13">
        <f>'Grid_Stock'!Q15</f>
        <v/>
      </c>
      <c r="Y20" s="13">
        <f>'Grid_Stock'!R15</f>
        <v/>
      </c>
      <c r="Z20" s="13">
        <f>'Grid_Stock'!S15</f>
        <v/>
      </c>
      <c r="AA20" s="13">
        <f>'Grid_Stock'!T15</f>
        <v/>
      </c>
      <c r="AB20" s="13">
        <f>'Grid_Stock'!U15</f>
        <v/>
      </c>
      <c r="AC20" s="13">
        <f>'Grid_Stock'!V15</f>
        <v/>
      </c>
      <c r="AD20" s="13">
        <f>'Grid_Stock'!W15</f>
        <v/>
      </c>
      <c r="AE20" s="13">
        <f>'Grid_Stock'!X15</f>
        <v/>
      </c>
      <c r="AF20" s="13">
        <f>'Grid_Stock'!Y15</f>
        <v/>
      </c>
      <c r="AG20" s="13">
        <f>'Grid_Stock'!Z15</f>
        <v/>
      </c>
      <c r="AH20" s="13">
        <f>'Grid_Stock'!AA15</f>
        <v/>
      </c>
      <c r="AI20" s="13">
        <f>'Grid_Stock'!AB15</f>
        <v/>
      </c>
      <c r="AJ20" s="13">
        <f>'Grid_Stock'!AC15</f>
        <v/>
      </c>
      <c r="AK20" s="13">
        <f>'Grid_Stock'!AD15</f>
        <v/>
      </c>
      <c r="AL20" s="13">
        <f>'Grid_Stock'!AE15</f>
        <v/>
      </c>
      <c r="AM20" s="13">
        <f>'Grid_Stock'!AF15</f>
        <v/>
      </c>
      <c r="AN20" s="13">
        <f>'Grid_Stock'!AG15</f>
        <v/>
      </c>
      <c r="AO20" s="13">
        <f>'Grid_Stock'!AH15</f>
        <v/>
      </c>
      <c r="AP20" s="13">
        <f>'Grid_Stock'!AI15</f>
        <v/>
      </c>
      <c r="AQ20" s="13">
        <f>'Grid_Stock'!AJ15</f>
        <v/>
      </c>
      <c r="AR20" s="13">
        <f>'Grid_Stock'!AK15</f>
        <v/>
      </c>
      <c r="AS20" s="13">
        <f>'Grid_Stock'!AL15</f>
        <v/>
      </c>
      <c r="AT20" s="13">
        <f>'Grid_Stock'!AM15</f>
        <v/>
      </c>
      <c r="AU20" s="13">
        <f>'Grid_Stock'!AN15</f>
        <v/>
      </c>
      <c r="AV20" s="13">
        <f>'Grid_Stock'!AO15</f>
        <v/>
      </c>
      <c r="AW20" s="13">
        <f>'Grid_Stock'!AP15</f>
        <v/>
      </c>
      <c r="AX20" s="13">
        <f>'Grid_Stock'!AQ15</f>
        <v/>
      </c>
      <c r="AY20" s="13">
        <f>'Grid_Stock'!AR15</f>
        <v/>
      </c>
      <c r="AZ20" s="13">
        <f>'Grid_Stock'!AS15</f>
        <v/>
      </c>
      <c r="BA20" s="13">
        <f>'Grid_Stock'!AT15</f>
        <v/>
      </c>
      <c r="BB20" s="13">
        <f>'Grid_Stock'!AU15</f>
        <v/>
      </c>
      <c r="BC20" s="13">
        <f>'Grid_Stock'!AV15</f>
        <v/>
      </c>
      <c r="BD20" s="13">
        <f>'Grid_Stock'!AW15</f>
        <v/>
      </c>
      <c r="BE20" s="13">
        <f>'Grid_Stock'!AX15</f>
        <v/>
      </c>
      <c r="BF20" s="13">
        <f>'Grid_Stock'!AY15</f>
        <v/>
      </c>
      <c r="BG20" s="13">
        <f>'Grid_Stock'!AZ15</f>
        <v/>
      </c>
      <c r="BH20" s="13">
        <f>'Grid_Stock'!BA15</f>
        <v/>
      </c>
      <c r="BI20" s="13">
        <f>'Grid_Stock'!BB15</f>
        <v/>
      </c>
      <c r="BJ20" s="13">
        <f>'Grid_Stock'!BC15</f>
        <v/>
      </c>
      <c r="BK20" s="13">
        <f>'Grid_Stock'!BD15</f>
        <v/>
      </c>
      <c r="BL20" s="13">
        <f>'Grid_Stock'!BE15</f>
        <v/>
      </c>
      <c r="BM20" s="13">
        <f>'Grid_Stock'!BF15</f>
        <v/>
      </c>
      <c r="BN20" s="13">
        <f>'Grid_Stock'!BG15</f>
        <v/>
      </c>
      <c r="BO20" s="13">
        <f>'Grid_Stock'!BH15</f>
        <v/>
      </c>
      <c r="BP20" s="13">
        <f>'Grid_Stock'!BI15</f>
        <v/>
      </c>
      <c r="BQ20" s="13">
        <f>'Grid_Stock'!BJ15</f>
        <v/>
      </c>
      <c r="BR20" s="13">
        <f>'Grid_Stock'!BK15</f>
        <v/>
      </c>
      <c r="BS20" s="13">
        <f>'Grid_Stock'!BL15</f>
        <v/>
      </c>
      <c r="BT20" s="13">
        <f>'Grid_Stock'!BM15</f>
        <v/>
      </c>
      <c r="BU20" s="13">
        <f>'Grid_Stock'!BN15</f>
        <v/>
      </c>
      <c r="BV20" s="13">
        <f>'Grid_Stock'!BO15</f>
        <v/>
      </c>
      <c r="BW20" s="13">
        <f>'Grid_Stock'!BP15</f>
        <v/>
      </c>
      <c r="BX20" s="13">
        <f>'Grid_Stock'!BQ15</f>
        <v/>
      </c>
      <c r="BY20" s="13">
        <f>'Grid_Stock'!BR15</f>
        <v/>
      </c>
      <c r="BZ20" s="13">
        <f>'Grid_Stock'!BS15</f>
        <v/>
      </c>
      <c r="CA20" s="13">
        <f>'Grid_Stock'!BT15</f>
        <v/>
      </c>
      <c r="CB20" s="13">
        <f>'Grid_Stock'!BU15</f>
        <v/>
      </c>
      <c r="CC20" s="13">
        <f>'Grid_Stock'!BV15</f>
        <v/>
      </c>
      <c r="CD20" s="13">
        <f>'Grid_Stock'!BW15</f>
        <v/>
      </c>
      <c r="CE20" s="13">
        <f>'Grid_Stock'!BX15</f>
        <v/>
      </c>
      <c r="CF20" s="13">
        <f>'Grid_Stock'!BY15</f>
        <v/>
      </c>
      <c r="CG20" s="13">
        <f>'Grid_Stock'!BZ15</f>
        <v/>
      </c>
      <c r="CH20" s="13">
        <f>'Grid_Stock'!CA15</f>
        <v/>
      </c>
      <c r="CI20" s="13">
        <f>'Grid_Stock'!CB15</f>
        <v/>
      </c>
      <c r="CJ20" s="13">
        <f>'Grid_Stock'!CC15</f>
        <v/>
      </c>
      <c r="CK20" s="13">
        <f>'Grid_Stock'!CD15</f>
        <v/>
      </c>
      <c r="CL20" s="13">
        <f>'Grid_Stock'!CE15</f>
        <v/>
      </c>
      <c r="CM20" s="13">
        <f>'Grid_Stock'!CF15</f>
        <v/>
      </c>
      <c r="CN20" s="13">
        <f>'Grid_Stock'!CG15</f>
        <v/>
      </c>
      <c r="CO20" s="13">
        <f>'Grid_Stock'!CH15</f>
        <v/>
      </c>
      <c r="CP20" s="13">
        <f>'Grid_Stock'!CI15</f>
        <v/>
      </c>
      <c r="CQ20" s="13">
        <f>'Grid_Stock'!CJ15</f>
        <v/>
      </c>
      <c r="CR20" s="13">
        <f>'Grid_Stock'!CK15</f>
        <v/>
      </c>
      <c r="CS20" s="13">
        <f>'Grid_Stock'!CL15</f>
        <v/>
      </c>
      <c r="CT20" s="13">
        <f>'Grid_Stock'!CM15</f>
        <v/>
      </c>
      <c r="CU20" s="13">
        <f>'Grid_Stock'!CN15</f>
        <v/>
      </c>
      <c r="CV20" s="13">
        <f>'Grid_Stock'!CO15</f>
        <v/>
      </c>
      <c r="CW20" s="13">
        <f>'Grid_Stock'!CP15</f>
        <v/>
      </c>
      <c r="CX20" s="13">
        <f>'Grid_Stock'!CQ15</f>
        <v/>
      </c>
      <c r="CY20" s="13">
        <f>'Grid_Stock'!CR15</f>
        <v/>
      </c>
      <c r="CZ20" s="13">
        <f>'Grid_Stock'!CS15</f>
        <v/>
      </c>
      <c r="DA20" s="13">
        <f>'Grid_Stock'!CT15</f>
        <v/>
      </c>
      <c r="DB20" s="13">
        <f>'Grid_Stock'!CU15</f>
        <v/>
      </c>
      <c r="DC20" s="13">
        <f>'Grid_Stock'!CV15</f>
        <v/>
      </c>
      <c r="DD20" s="13">
        <f>'Grid_Stock'!CW15</f>
        <v/>
      </c>
      <c r="DE20" s="13">
        <f>'Grid_Stock'!CX15</f>
        <v/>
      </c>
      <c r="DF20" s="13">
        <f>'Grid_Stock'!CY15</f>
        <v/>
      </c>
      <c r="DG20" s="13">
        <f>'Grid_Stock'!CZ15</f>
        <v/>
      </c>
      <c r="DH20" s="13">
        <f>'Grid_Stock'!DA15</f>
        <v/>
      </c>
    </row>
    <row r="21">
      <c r="A21" s="12" t="inlineStr">
        <is>
          <t>CHEM-1570</t>
        </is>
      </c>
      <c r="B21" s="12">
        <f>IFERROR(INDEX(M_RawMaterials[Description],MATCH($A21,M_RawMaterials[Part Name],0)),"")</f>
        <v/>
      </c>
      <c r="C21" s="12">
        <f>IFERROR(INDEX(M_RawMaterials[Category],MATCH($A21,M_RawMaterials[Part Name],0)),"")</f>
        <v/>
      </c>
      <c r="D21" s="12">
        <f>IFERROR(INDEX(M_RawMaterials[基準在庫下限_要入力],MATCH($A21,M_RawMaterials[Part Name],0)),0)</f>
        <v/>
      </c>
      <c r="E21" s="12">
        <f>IFERROR(INDEX(M_RawMaterials[基準在庫上限_要入力],MATCH($A21,M_RawMaterials[Part Name],0)),0)</f>
        <v/>
      </c>
      <c r="F21" s="12">
        <f>IFERROR(LOOKUP(2,1/('T_SelfStock'!$B$20:$DA$20&lt;&gt;""),'T_SelfStock'!$B$20:$DA$20),"")</f>
        <v/>
      </c>
      <c r="G21" s="12">
        <f>IFERROR(LOOKUP(2,1/('T_TTAFStock'!$B$20:$DA$20&lt;&gt;""),'T_TTAFStock'!$B$20:$DA$20),"")</f>
        <v/>
      </c>
      <c r="H21" s="12">
        <f>IFERROR(LOOKUP(2,1/('T_SelfStock'!$B$20:$DA$20&lt;&gt;""),'T_SelfStock'!$B$5:$DA$5),"")</f>
        <v/>
      </c>
      <c r="I21" s="12">
        <f>'Grid_Stock'!B16</f>
        <v/>
      </c>
      <c r="J21" s="12">
        <f>'Grid_Stock'!C16</f>
        <v/>
      </c>
      <c r="K21" s="12">
        <f>'Grid_Stock'!D16</f>
        <v/>
      </c>
      <c r="L21" s="12">
        <f>'Grid_Stock'!E16</f>
        <v/>
      </c>
      <c r="M21" s="12">
        <f>'Grid_Stock'!F16</f>
        <v/>
      </c>
      <c r="N21" s="12">
        <f>'Grid_Stock'!G16</f>
        <v/>
      </c>
      <c r="O21" s="12">
        <f>'Grid_Stock'!H16</f>
        <v/>
      </c>
      <c r="P21" s="12">
        <f>'Grid_Stock'!I16</f>
        <v/>
      </c>
      <c r="Q21" s="12">
        <f>'Grid_Stock'!J16</f>
        <v/>
      </c>
      <c r="R21" s="12">
        <f>'Grid_Stock'!K16</f>
        <v/>
      </c>
      <c r="S21" s="12">
        <f>'Grid_Stock'!L16</f>
        <v/>
      </c>
      <c r="T21" s="12">
        <f>'Grid_Stock'!M16</f>
        <v/>
      </c>
      <c r="U21" s="12">
        <f>'Grid_Stock'!N16</f>
        <v/>
      </c>
      <c r="V21" s="12">
        <f>'Grid_Stock'!O16</f>
        <v/>
      </c>
      <c r="W21" s="12">
        <f>'Grid_Stock'!P16</f>
        <v/>
      </c>
      <c r="X21" s="12">
        <f>'Grid_Stock'!Q16</f>
        <v/>
      </c>
      <c r="Y21" s="12">
        <f>'Grid_Stock'!R16</f>
        <v/>
      </c>
      <c r="Z21" s="12">
        <f>'Grid_Stock'!S16</f>
        <v/>
      </c>
      <c r="AA21" s="12">
        <f>'Grid_Stock'!T16</f>
        <v/>
      </c>
      <c r="AB21" s="12">
        <f>'Grid_Stock'!U16</f>
        <v/>
      </c>
      <c r="AC21" s="12">
        <f>'Grid_Stock'!V16</f>
        <v/>
      </c>
      <c r="AD21" s="12">
        <f>'Grid_Stock'!W16</f>
        <v/>
      </c>
      <c r="AE21" s="12">
        <f>'Grid_Stock'!X16</f>
        <v/>
      </c>
      <c r="AF21" s="12">
        <f>'Grid_Stock'!Y16</f>
        <v/>
      </c>
      <c r="AG21" s="12">
        <f>'Grid_Stock'!Z16</f>
        <v/>
      </c>
      <c r="AH21" s="12">
        <f>'Grid_Stock'!AA16</f>
        <v/>
      </c>
      <c r="AI21" s="12">
        <f>'Grid_Stock'!AB16</f>
        <v/>
      </c>
      <c r="AJ21" s="12">
        <f>'Grid_Stock'!AC16</f>
        <v/>
      </c>
      <c r="AK21" s="12">
        <f>'Grid_Stock'!AD16</f>
        <v/>
      </c>
      <c r="AL21" s="12">
        <f>'Grid_Stock'!AE16</f>
        <v/>
      </c>
      <c r="AM21" s="12">
        <f>'Grid_Stock'!AF16</f>
        <v/>
      </c>
      <c r="AN21" s="12">
        <f>'Grid_Stock'!AG16</f>
        <v/>
      </c>
      <c r="AO21" s="12">
        <f>'Grid_Stock'!AH16</f>
        <v/>
      </c>
      <c r="AP21" s="12">
        <f>'Grid_Stock'!AI16</f>
        <v/>
      </c>
      <c r="AQ21" s="12">
        <f>'Grid_Stock'!AJ16</f>
        <v/>
      </c>
      <c r="AR21" s="12">
        <f>'Grid_Stock'!AK16</f>
        <v/>
      </c>
      <c r="AS21" s="12">
        <f>'Grid_Stock'!AL16</f>
        <v/>
      </c>
      <c r="AT21" s="12">
        <f>'Grid_Stock'!AM16</f>
        <v/>
      </c>
      <c r="AU21" s="12">
        <f>'Grid_Stock'!AN16</f>
        <v/>
      </c>
      <c r="AV21" s="12">
        <f>'Grid_Stock'!AO16</f>
        <v/>
      </c>
      <c r="AW21" s="12">
        <f>'Grid_Stock'!AP16</f>
        <v/>
      </c>
      <c r="AX21" s="12">
        <f>'Grid_Stock'!AQ16</f>
        <v/>
      </c>
      <c r="AY21" s="12">
        <f>'Grid_Stock'!AR16</f>
        <v/>
      </c>
      <c r="AZ21" s="12">
        <f>'Grid_Stock'!AS16</f>
        <v/>
      </c>
      <c r="BA21" s="12">
        <f>'Grid_Stock'!AT16</f>
        <v/>
      </c>
      <c r="BB21" s="12">
        <f>'Grid_Stock'!AU16</f>
        <v/>
      </c>
      <c r="BC21" s="12">
        <f>'Grid_Stock'!AV16</f>
        <v/>
      </c>
      <c r="BD21" s="12">
        <f>'Grid_Stock'!AW16</f>
        <v/>
      </c>
      <c r="BE21" s="12">
        <f>'Grid_Stock'!AX16</f>
        <v/>
      </c>
      <c r="BF21" s="12">
        <f>'Grid_Stock'!AY16</f>
        <v/>
      </c>
      <c r="BG21" s="12">
        <f>'Grid_Stock'!AZ16</f>
        <v/>
      </c>
      <c r="BH21" s="12">
        <f>'Grid_Stock'!BA16</f>
        <v/>
      </c>
      <c r="BI21" s="12">
        <f>'Grid_Stock'!BB16</f>
        <v/>
      </c>
      <c r="BJ21" s="12">
        <f>'Grid_Stock'!BC16</f>
        <v/>
      </c>
      <c r="BK21" s="12">
        <f>'Grid_Stock'!BD16</f>
        <v/>
      </c>
      <c r="BL21" s="12">
        <f>'Grid_Stock'!BE16</f>
        <v/>
      </c>
      <c r="BM21" s="12">
        <f>'Grid_Stock'!BF16</f>
        <v/>
      </c>
      <c r="BN21" s="12">
        <f>'Grid_Stock'!BG16</f>
        <v/>
      </c>
      <c r="BO21" s="12">
        <f>'Grid_Stock'!BH16</f>
        <v/>
      </c>
      <c r="BP21" s="12">
        <f>'Grid_Stock'!BI16</f>
        <v/>
      </c>
      <c r="BQ21" s="12">
        <f>'Grid_Stock'!BJ16</f>
        <v/>
      </c>
      <c r="BR21" s="12">
        <f>'Grid_Stock'!BK16</f>
        <v/>
      </c>
      <c r="BS21" s="12">
        <f>'Grid_Stock'!BL16</f>
        <v/>
      </c>
      <c r="BT21" s="12">
        <f>'Grid_Stock'!BM16</f>
        <v/>
      </c>
      <c r="BU21" s="12">
        <f>'Grid_Stock'!BN16</f>
        <v/>
      </c>
      <c r="BV21" s="12">
        <f>'Grid_Stock'!BO16</f>
        <v/>
      </c>
      <c r="BW21" s="12">
        <f>'Grid_Stock'!BP16</f>
        <v/>
      </c>
      <c r="BX21" s="12">
        <f>'Grid_Stock'!BQ16</f>
        <v/>
      </c>
      <c r="BY21" s="12">
        <f>'Grid_Stock'!BR16</f>
        <v/>
      </c>
      <c r="BZ21" s="12">
        <f>'Grid_Stock'!BS16</f>
        <v/>
      </c>
      <c r="CA21" s="12">
        <f>'Grid_Stock'!BT16</f>
        <v/>
      </c>
      <c r="CB21" s="12">
        <f>'Grid_Stock'!BU16</f>
        <v/>
      </c>
      <c r="CC21" s="12">
        <f>'Grid_Stock'!BV16</f>
        <v/>
      </c>
      <c r="CD21" s="12">
        <f>'Grid_Stock'!BW16</f>
        <v/>
      </c>
      <c r="CE21" s="12">
        <f>'Grid_Stock'!BX16</f>
        <v/>
      </c>
      <c r="CF21" s="12">
        <f>'Grid_Stock'!BY16</f>
        <v/>
      </c>
      <c r="CG21" s="12">
        <f>'Grid_Stock'!BZ16</f>
        <v/>
      </c>
      <c r="CH21" s="12">
        <f>'Grid_Stock'!CA16</f>
        <v/>
      </c>
      <c r="CI21" s="12">
        <f>'Grid_Stock'!CB16</f>
        <v/>
      </c>
      <c r="CJ21" s="12">
        <f>'Grid_Stock'!CC16</f>
        <v/>
      </c>
      <c r="CK21" s="12">
        <f>'Grid_Stock'!CD16</f>
        <v/>
      </c>
      <c r="CL21" s="12">
        <f>'Grid_Stock'!CE16</f>
        <v/>
      </c>
      <c r="CM21" s="12">
        <f>'Grid_Stock'!CF16</f>
        <v/>
      </c>
      <c r="CN21" s="12">
        <f>'Grid_Stock'!CG16</f>
        <v/>
      </c>
      <c r="CO21" s="12">
        <f>'Grid_Stock'!CH16</f>
        <v/>
      </c>
      <c r="CP21" s="12">
        <f>'Grid_Stock'!CI16</f>
        <v/>
      </c>
      <c r="CQ21" s="12">
        <f>'Grid_Stock'!CJ16</f>
        <v/>
      </c>
      <c r="CR21" s="12">
        <f>'Grid_Stock'!CK16</f>
        <v/>
      </c>
      <c r="CS21" s="12">
        <f>'Grid_Stock'!CL16</f>
        <v/>
      </c>
      <c r="CT21" s="12">
        <f>'Grid_Stock'!CM16</f>
        <v/>
      </c>
      <c r="CU21" s="12">
        <f>'Grid_Stock'!CN16</f>
        <v/>
      </c>
      <c r="CV21" s="12">
        <f>'Grid_Stock'!CO16</f>
        <v/>
      </c>
      <c r="CW21" s="12">
        <f>'Grid_Stock'!CP16</f>
        <v/>
      </c>
      <c r="CX21" s="12">
        <f>'Grid_Stock'!CQ16</f>
        <v/>
      </c>
      <c r="CY21" s="12">
        <f>'Grid_Stock'!CR16</f>
        <v/>
      </c>
      <c r="CZ21" s="12">
        <f>'Grid_Stock'!CS16</f>
        <v/>
      </c>
      <c r="DA21" s="12">
        <f>'Grid_Stock'!CT16</f>
        <v/>
      </c>
      <c r="DB21" s="12">
        <f>'Grid_Stock'!CU16</f>
        <v/>
      </c>
      <c r="DC21" s="12">
        <f>'Grid_Stock'!CV16</f>
        <v/>
      </c>
      <c r="DD21" s="12">
        <f>'Grid_Stock'!CW16</f>
        <v/>
      </c>
      <c r="DE21" s="12">
        <f>'Grid_Stock'!CX16</f>
        <v/>
      </c>
      <c r="DF21" s="12">
        <f>'Grid_Stock'!CY16</f>
        <v/>
      </c>
      <c r="DG21" s="12">
        <f>'Grid_Stock'!CZ16</f>
        <v/>
      </c>
      <c r="DH21" s="12">
        <f>'Grid_Stock'!DA16</f>
        <v/>
      </c>
    </row>
    <row r="22">
      <c r="A22" s="13" t="inlineStr">
        <is>
          <t>CHEM-1650</t>
        </is>
      </c>
      <c r="B22" s="13">
        <f>IFERROR(INDEX(M_RawMaterials[Description],MATCH($A22,M_RawMaterials[Part Name],0)),"")</f>
        <v/>
      </c>
      <c r="C22" s="13">
        <f>IFERROR(INDEX(M_RawMaterials[Category],MATCH($A22,M_RawMaterials[Part Name],0)),"")</f>
        <v/>
      </c>
      <c r="D22" s="13">
        <f>IFERROR(INDEX(M_RawMaterials[基準在庫下限_要入力],MATCH($A22,M_RawMaterials[Part Name],0)),0)</f>
        <v/>
      </c>
      <c r="E22" s="13">
        <f>IFERROR(INDEX(M_RawMaterials[基準在庫上限_要入力],MATCH($A22,M_RawMaterials[Part Name],0)),0)</f>
        <v/>
      </c>
      <c r="F22" s="13">
        <f>IFERROR(LOOKUP(2,1/('T_SelfStock'!$B$21:$DA$21&lt;&gt;""),'T_SelfStock'!$B$21:$DA$21),"")</f>
        <v/>
      </c>
      <c r="G22" s="13">
        <f>IFERROR(LOOKUP(2,1/('T_TTAFStock'!$B$21:$DA$21&lt;&gt;""),'T_TTAFStock'!$B$21:$DA$21),"")</f>
        <v/>
      </c>
      <c r="H22" s="13">
        <f>IFERROR(LOOKUP(2,1/('T_SelfStock'!$B$21:$DA$21&lt;&gt;""),'T_SelfStock'!$B$5:$DA$5),"")</f>
        <v/>
      </c>
      <c r="I22" s="13">
        <f>'Grid_Stock'!B17</f>
        <v/>
      </c>
      <c r="J22" s="13">
        <f>'Grid_Stock'!C17</f>
        <v/>
      </c>
      <c r="K22" s="13">
        <f>'Grid_Stock'!D17</f>
        <v/>
      </c>
      <c r="L22" s="13">
        <f>'Grid_Stock'!E17</f>
        <v/>
      </c>
      <c r="M22" s="13">
        <f>'Grid_Stock'!F17</f>
        <v/>
      </c>
      <c r="N22" s="13">
        <f>'Grid_Stock'!G17</f>
        <v/>
      </c>
      <c r="O22" s="13">
        <f>'Grid_Stock'!H17</f>
        <v/>
      </c>
      <c r="P22" s="13">
        <f>'Grid_Stock'!I17</f>
        <v/>
      </c>
      <c r="Q22" s="13">
        <f>'Grid_Stock'!J17</f>
        <v/>
      </c>
      <c r="R22" s="13">
        <f>'Grid_Stock'!K17</f>
        <v/>
      </c>
      <c r="S22" s="13">
        <f>'Grid_Stock'!L17</f>
        <v/>
      </c>
      <c r="T22" s="13">
        <f>'Grid_Stock'!M17</f>
        <v/>
      </c>
      <c r="U22" s="13">
        <f>'Grid_Stock'!N17</f>
        <v/>
      </c>
      <c r="V22" s="13">
        <f>'Grid_Stock'!O17</f>
        <v/>
      </c>
      <c r="W22" s="13">
        <f>'Grid_Stock'!P17</f>
        <v/>
      </c>
      <c r="X22" s="13">
        <f>'Grid_Stock'!Q17</f>
        <v/>
      </c>
      <c r="Y22" s="13">
        <f>'Grid_Stock'!R17</f>
        <v/>
      </c>
      <c r="Z22" s="13">
        <f>'Grid_Stock'!S17</f>
        <v/>
      </c>
      <c r="AA22" s="13">
        <f>'Grid_Stock'!T17</f>
        <v/>
      </c>
      <c r="AB22" s="13">
        <f>'Grid_Stock'!U17</f>
        <v/>
      </c>
      <c r="AC22" s="13">
        <f>'Grid_Stock'!V17</f>
        <v/>
      </c>
      <c r="AD22" s="13">
        <f>'Grid_Stock'!W17</f>
        <v/>
      </c>
      <c r="AE22" s="13">
        <f>'Grid_Stock'!X17</f>
        <v/>
      </c>
      <c r="AF22" s="13">
        <f>'Grid_Stock'!Y17</f>
        <v/>
      </c>
      <c r="AG22" s="13">
        <f>'Grid_Stock'!Z17</f>
        <v/>
      </c>
      <c r="AH22" s="13">
        <f>'Grid_Stock'!AA17</f>
        <v/>
      </c>
      <c r="AI22" s="13">
        <f>'Grid_Stock'!AB17</f>
        <v/>
      </c>
      <c r="AJ22" s="13">
        <f>'Grid_Stock'!AC17</f>
        <v/>
      </c>
      <c r="AK22" s="13">
        <f>'Grid_Stock'!AD17</f>
        <v/>
      </c>
      <c r="AL22" s="13">
        <f>'Grid_Stock'!AE17</f>
        <v/>
      </c>
      <c r="AM22" s="13">
        <f>'Grid_Stock'!AF17</f>
        <v/>
      </c>
      <c r="AN22" s="13">
        <f>'Grid_Stock'!AG17</f>
        <v/>
      </c>
      <c r="AO22" s="13">
        <f>'Grid_Stock'!AH17</f>
        <v/>
      </c>
      <c r="AP22" s="13">
        <f>'Grid_Stock'!AI17</f>
        <v/>
      </c>
      <c r="AQ22" s="13">
        <f>'Grid_Stock'!AJ17</f>
        <v/>
      </c>
      <c r="AR22" s="13">
        <f>'Grid_Stock'!AK17</f>
        <v/>
      </c>
      <c r="AS22" s="13">
        <f>'Grid_Stock'!AL17</f>
        <v/>
      </c>
      <c r="AT22" s="13">
        <f>'Grid_Stock'!AM17</f>
        <v/>
      </c>
      <c r="AU22" s="13">
        <f>'Grid_Stock'!AN17</f>
        <v/>
      </c>
      <c r="AV22" s="13">
        <f>'Grid_Stock'!AO17</f>
        <v/>
      </c>
      <c r="AW22" s="13">
        <f>'Grid_Stock'!AP17</f>
        <v/>
      </c>
      <c r="AX22" s="13">
        <f>'Grid_Stock'!AQ17</f>
        <v/>
      </c>
      <c r="AY22" s="13">
        <f>'Grid_Stock'!AR17</f>
        <v/>
      </c>
      <c r="AZ22" s="13">
        <f>'Grid_Stock'!AS17</f>
        <v/>
      </c>
      <c r="BA22" s="13">
        <f>'Grid_Stock'!AT17</f>
        <v/>
      </c>
      <c r="BB22" s="13">
        <f>'Grid_Stock'!AU17</f>
        <v/>
      </c>
      <c r="BC22" s="13">
        <f>'Grid_Stock'!AV17</f>
        <v/>
      </c>
      <c r="BD22" s="13">
        <f>'Grid_Stock'!AW17</f>
        <v/>
      </c>
      <c r="BE22" s="13">
        <f>'Grid_Stock'!AX17</f>
        <v/>
      </c>
      <c r="BF22" s="13">
        <f>'Grid_Stock'!AY17</f>
        <v/>
      </c>
      <c r="BG22" s="13">
        <f>'Grid_Stock'!AZ17</f>
        <v/>
      </c>
      <c r="BH22" s="13">
        <f>'Grid_Stock'!BA17</f>
        <v/>
      </c>
      <c r="BI22" s="13">
        <f>'Grid_Stock'!BB17</f>
        <v/>
      </c>
      <c r="BJ22" s="13">
        <f>'Grid_Stock'!BC17</f>
        <v/>
      </c>
      <c r="BK22" s="13">
        <f>'Grid_Stock'!BD17</f>
        <v/>
      </c>
      <c r="BL22" s="13">
        <f>'Grid_Stock'!BE17</f>
        <v/>
      </c>
      <c r="BM22" s="13">
        <f>'Grid_Stock'!BF17</f>
        <v/>
      </c>
      <c r="BN22" s="13">
        <f>'Grid_Stock'!BG17</f>
        <v/>
      </c>
      <c r="BO22" s="13">
        <f>'Grid_Stock'!BH17</f>
        <v/>
      </c>
      <c r="BP22" s="13">
        <f>'Grid_Stock'!BI17</f>
        <v/>
      </c>
      <c r="BQ22" s="13">
        <f>'Grid_Stock'!BJ17</f>
        <v/>
      </c>
      <c r="BR22" s="13">
        <f>'Grid_Stock'!BK17</f>
        <v/>
      </c>
      <c r="BS22" s="13">
        <f>'Grid_Stock'!BL17</f>
        <v/>
      </c>
      <c r="BT22" s="13">
        <f>'Grid_Stock'!BM17</f>
        <v/>
      </c>
      <c r="BU22" s="13">
        <f>'Grid_Stock'!BN17</f>
        <v/>
      </c>
      <c r="BV22" s="13">
        <f>'Grid_Stock'!BO17</f>
        <v/>
      </c>
      <c r="BW22" s="13">
        <f>'Grid_Stock'!BP17</f>
        <v/>
      </c>
      <c r="BX22" s="13">
        <f>'Grid_Stock'!BQ17</f>
        <v/>
      </c>
      <c r="BY22" s="13">
        <f>'Grid_Stock'!BR17</f>
        <v/>
      </c>
      <c r="BZ22" s="13">
        <f>'Grid_Stock'!BS17</f>
        <v/>
      </c>
      <c r="CA22" s="13">
        <f>'Grid_Stock'!BT17</f>
        <v/>
      </c>
      <c r="CB22" s="13">
        <f>'Grid_Stock'!BU17</f>
        <v/>
      </c>
      <c r="CC22" s="13">
        <f>'Grid_Stock'!BV17</f>
        <v/>
      </c>
      <c r="CD22" s="13">
        <f>'Grid_Stock'!BW17</f>
        <v/>
      </c>
      <c r="CE22" s="13">
        <f>'Grid_Stock'!BX17</f>
        <v/>
      </c>
      <c r="CF22" s="13">
        <f>'Grid_Stock'!BY17</f>
        <v/>
      </c>
      <c r="CG22" s="13">
        <f>'Grid_Stock'!BZ17</f>
        <v/>
      </c>
      <c r="CH22" s="13">
        <f>'Grid_Stock'!CA17</f>
        <v/>
      </c>
      <c r="CI22" s="13">
        <f>'Grid_Stock'!CB17</f>
        <v/>
      </c>
      <c r="CJ22" s="13">
        <f>'Grid_Stock'!CC17</f>
        <v/>
      </c>
      <c r="CK22" s="13">
        <f>'Grid_Stock'!CD17</f>
        <v/>
      </c>
      <c r="CL22" s="13">
        <f>'Grid_Stock'!CE17</f>
        <v/>
      </c>
      <c r="CM22" s="13">
        <f>'Grid_Stock'!CF17</f>
        <v/>
      </c>
      <c r="CN22" s="13">
        <f>'Grid_Stock'!CG17</f>
        <v/>
      </c>
      <c r="CO22" s="13">
        <f>'Grid_Stock'!CH17</f>
        <v/>
      </c>
      <c r="CP22" s="13">
        <f>'Grid_Stock'!CI17</f>
        <v/>
      </c>
      <c r="CQ22" s="13">
        <f>'Grid_Stock'!CJ17</f>
        <v/>
      </c>
      <c r="CR22" s="13">
        <f>'Grid_Stock'!CK17</f>
        <v/>
      </c>
      <c r="CS22" s="13">
        <f>'Grid_Stock'!CL17</f>
        <v/>
      </c>
      <c r="CT22" s="13">
        <f>'Grid_Stock'!CM17</f>
        <v/>
      </c>
      <c r="CU22" s="13">
        <f>'Grid_Stock'!CN17</f>
        <v/>
      </c>
      <c r="CV22" s="13">
        <f>'Grid_Stock'!CO17</f>
        <v/>
      </c>
      <c r="CW22" s="13">
        <f>'Grid_Stock'!CP17</f>
        <v/>
      </c>
      <c r="CX22" s="13">
        <f>'Grid_Stock'!CQ17</f>
        <v/>
      </c>
      <c r="CY22" s="13">
        <f>'Grid_Stock'!CR17</f>
        <v/>
      </c>
      <c r="CZ22" s="13">
        <f>'Grid_Stock'!CS17</f>
        <v/>
      </c>
      <c r="DA22" s="13">
        <f>'Grid_Stock'!CT17</f>
        <v/>
      </c>
      <c r="DB22" s="13">
        <f>'Grid_Stock'!CU17</f>
        <v/>
      </c>
      <c r="DC22" s="13">
        <f>'Grid_Stock'!CV17</f>
        <v/>
      </c>
      <c r="DD22" s="13">
        <f>'Grid_Stock'!CW17</f>
        <v/>
      </c>
      <c r="DE22" s="13">
        <f>'Grid_Stock'!CX17</f>
        <v/>
      </c>
      <c r="DF22" s="13">
        <f>'Grid_Stock'!CY17</f>
        <v/>
      </c>
      <c r="DG22" s="13">
        <f>'Grid_Stock'!CZ17</f>
        <v/>
      </c>
      <c r="DH22" s="13">
        <f>'Grid_Stock'!DA17</f>
        <v/>
      </c>
    </row>
    <row r="23">
      <c r="A23" s="12" t="inlineStr">
        <is>
          <t>CHEM-1660</t>
        </is>
      </c>
      <c r="B23" s="12">
        <f>IFERROR(INDEX(M_RawMaterials[Description],MATCH($A23,M_RawMaterials[Part Name],0)),"")</f>
        <v/>
      </c>
      <c r="C23" s="12">
        <f>IFERROR(INDEX(M_RawMaterials[Category],MATCH($A23,M_RawMaterials[Part Name],0)),"")</f>
        <v/>
      </c>
      <c r="D23" s="12">
        <f>IFERROR(INDEX(M_RawMaterials[基準在庫下限_要入力],MATCH($A23,M_RawMaterials[Part Name],0)),0)</f>
        <v/>
      </c>
      <c r="E23" s="12">
        <f>IFERROR(INDEX(M_RawMaterials[基準在庫上限_要入力],MATCH($A23,M_RawMaterials[Part Name],0)),0)</f>
        <v/>
      </c>
      <c r="F23" s="12">
        <f>IFERROR(LOOKUP(2,1/('T_SelfStock'!$B$22:$DA$22&lt;&gt;""),'T_SelfStock'!$B$22:$DA$22),"")</f>
        <v/>
      </c>
      <c r="G23" s="12">
        <f>IFERROR(LOOKUP(2,1/('T_TTAFStock'!$B$22:$DA$22&lt;&gt;""),'T_TTAFStock'!$B$22:$DA$22),"")</f>
        <v/>
      </c>
      <c r="H23" s="12">
        <f>IFERROR(LOOKUP(2,1/('T_SelfStock'!$B$22:$DA$22&lt;&gt;""),'T_SelfStock'!$B$5:$DA$5),"")</f>
        <v/>
      </c>
      <c r="I23" s="12">
        <f>'Grid_Stock'!B18</f>
        <v/>
      </c>
      <c r="J23" s="12">
        <f>'Grid_Stock'!C18</f>
        <v/>
      </c>
      <c r="K23" s="12">
        <f>'Grid_Stock'!D18</f>
        <v/>
      </c>
      <c r="L23" s="12">
        <f>'Grid_Stock'!E18</f>
        <v/>
      </c>
      <c r="M23" s="12">
        <f>'Grid_Stock'!F18</f>
        <v/>
      </c>
      <c r="N23" s="12">
        <f>'Grid_Stock'!G18</f>
        <v/>
      </c>
      <c r="O23" s="12">
        <f>'Grid_Stock'!H18</f>
        <v/>
      </c>
      <c r="P23" s="12">
        <f>'Grid_Stock'!I18</f>
        <v/>
      </c>
      <c r="Q23" s="12">
        <f>'Grid_Stock'!J18</f>
        <v/>
      </c>
      <c r="R23" s="12">
        <f>'Grid_Stock'!K18</f>
        <v/>
      </c>
      <c r="S23" s="12">
        <f>'Grid_Stock'!L18</f>
        <v/>
      </c>
      <c r="T23" s="12">
        <f>'Grid_Stock'!M18</f>
        <v/>
      </c>
      <c r="U23" s="12">
        <f>'Grid_Stock'!N18</f>
        <v/>
      </c>
      <c r="V23" s="12">
        <f>'Grid_Stock'!O18</f>
        <v/>
      </c>
      <c r="W23" s="12">
        <f>'Grid_Stock'!P18</f>
        <v/>
      </c>
      <c r="X23" s="12">
        <f>'Grid_Stock'!Q18</f>
        <v/>
      </c>
      <c r="Y23" s="12">
        <f>'Grid_Stock'!R18</f>
        <v/>
      </c>
      <c r="Z23" s="12">
        <f>'Grid_Stock'!S18</f>
        <v/>
      </c>
      <c r="AA23" s="12">
        <f>'Grid_Stock'!T18</f>
        <v/>
      </c>
      <c r="AB23" s="12">
        <f>'Grid_Stock'!U18</f>
        <v/>
      </c>
      <c r="AC23" s="12">
        <f>'Grid_Stock'!V18</f>
        <v/>
      </c>
      <c r="AD23" s="12">
        <f>'Grid_Stock'!W18</f>
        <v/>
      </c>
      <c r="AE23" s="12">
        <f>'Grid_Stock'!X18</f>
        <v/>
      </c>
      <c r="AF23" s="12">
        <f>'Grid_Stock'!Y18</f>
        <v/>
      </c>
      <c r="AG23" s="12">
        <f>'Grid_Stock'!Z18</f>
        <v/>
      </c>
      <c r="AH23" s="12">
        <f>'Grid_Stock'!AA18</f>
        <v/>
      </c>
      <c r="AI23" s="12">
        <f>'Grid_Stock'!AB18</f>
        <v/>
      </c>
      <c r="AJ23" s="12">
        <f>'Grid_Stock'!AC18</f>
        <v/>
      </c>
      <c r="AK23" s="12">
        <f>'Grid_Stock'!AD18</f>
        <v/>
      </c>
      <c r="AL23" s="12">
        <f>'Grid_Stock'!AE18</f>
        <v/>
      </c>
      <c r="AM23" s="12">
        <f>'Grid_Stock'!AF18</f>
        <v/>
      </c>
      <c r="AN23" s="12">
        <f>'Grid_Stock'!AG18</f>
        <v/>
      </c>
      <c r="AO23" s="12">
        <f>'Grid_Stock'!AH18</f>
        <v/>
      </c>
      <c r="AP23" s="12">
        <f>'Grid_Stock'!AI18</f>
        <v/>
      </c>
      <c r="AQ23" s="12">
        <f>'Grid_Stock'!AJ18</f>
        <v/>
      </c>
      <c r="AR23" s="12">
        <f>'Grid_Stock'!AK18</f>
        <v/>
      </c>
      <c r="AS23" s="12">
        <f>'Grid_Stock'!AL18</f>
        <v/>
      </c>
      <c r="AT23" s="12">
        <f>'Grid_Stock'!AM18</f>
        <v/>
      </c>
      <c r="AU23" s="12">
        <f>'Grid_Stock'!AN18</f>
        <v/>
      </c>
      <c r="AV23" s="12">
        <f>'Grid_Stock'!AO18</f>
        <v/>
      </c>
      <c r="AW23" s="12">
        <f>'Grid_Stock'!AP18</f>
        <v/>
      </c>
      <c r="AX23" s="12">
        <f>'Grid_Stock'!AQ18</f>
        <v/>
      </c>
      <c r="AY23" s="12">
        <f>'Grid_Stock'!AR18</f>
        <v/>
      </c>
      <c r="AZ23" s="12">
        <f>'Grid_Stock'!AS18</f>
        <v/>
      </c>
      <c r="BA23" s="12">
        <f>'Grid_Stock'!AT18</f>
        <v/>
      </c>
      <c r="BB23" s="12">
        <f>'Grid_Stock'!AU18</f>
        <v/>
      </c>
      <c r="BC23" s="12">
        <f>'Grid_Stock'!AV18</f>
        <v/>
      </c>
      <c r="BD23" s="12">
        <f>'Grid_Stock'!AW18</f>
        <v/>
      </c>
      <c r="BE23" s="12">
        <f>'Grid_Stock'!AX18</f>
        <v/>
      </c>
      <c r="BF23" s="12">
        <f>'Grid_Stock'!AY18</f>
        <v/>
      </c>
      <c r="BG23" s="12">
        <f>'Grid_Stock'!AZ18</f>
        <v/>
      </c>
      <c r="BH23" s="12">
        <f>'Grid_Stock'!BA18</f>
        <v/>
      </c>
      <c r="BI23" s="12">
        <f>'Grid_Stock'!BB18</f>
        <v/>
      </c>
      <c r="BJ23" s="12">
        <f>'Grid_Stock'!BC18</f>
        <v/>
      </c>
      <c r="BK23" s="12">
        <f>'Grid_Stock'!BD18</f>
        <v/>
      </c>
      <c r="BL23" s="12">
        <f>'Grid_Stock'!BE18</f>
        <v/>
      </c>
      <c r="BM23" s="12">
        <f>'Grid_Stock'!BF18</f>
        <v/>
      </c>
      <c r="BN23" s="12">
        <f>'Grid_Stock'!BG18</f>
        <v/>
      </c>
      <c r="BO23" s="12">
        <f>'Grid_Stock'!BH18</f>
        <v/>
      </c>
      <c r="BP23" s="12">
        <f>'Grid_Stock'!BI18</f>
        <v/>
      </c>
      <c r="BQ23" s="12">
        <f>'Grid_Stock'!BJ18</f>
        <v/>
      </c>
      <c r="BR23" s="12">
        <f>'Grid_Stock'!BK18</f>
        <v/>
      </c>
      <c r="BS23" s="12">
        <f>'Grid_Stock'!BL18</f>
        <v/>
      </c>
      <c r="BT23" s="12">
        <f>'Grid_Stock'!BM18</f>
        <v/>
      </c>
      <c r="BU23" s="12">
        <f>'Grid_Stock'!BN18</f>
        <v/>
      </c>
      <c r="BV23" s="12">
        <f>'Grid_Stock'!BO18</f>
        <v/>
      </c>
      <c r="BW23" s="12">
        <f>'Grid_Stock'!BP18</f>
        <v/>
      </c>
      <c r="BX23" s="12">
        <f>'Grid_Stock'!BQ18</f>
        <v/>
      </c>
      <c r="BY23" s="12">
        <f>'Grid_Stock'!BR18</f>
        <v/>
      </c>
      <c r="BZ23" s="12">
        <f>'Grid_Stock'!BS18</f>
        <v/>
      </c>
      <c r="CA23" s="12">
        <f>'Grid_Stock'!BT18</f>
        <v/>
      </c>
      <c r="CB23" s="12">
        <f>'Grid_Stock'!BU18</f>
        <v/>
      </c>
      <c r="CC23" s="12">
        <f>'Grid_Stock'!BV18</f>
        <v/>
      </c>
      <c r="CD23" s="12">
        <f>'Grid_Stock'!BW18</f>
        <v/>
      </c>
      <c r="CE23" s="12">
        <f>'Grid_Stock'!BX18</f>
        <v/>
      </c>
      <c r="CF23" s="12">
        <f>'Grid_Stock'!BY18</f>
        <v/>
      </c>
      <c r="CG23" s="12">
        <f>'Grid_Stock'!BZ18</f>
        <v/>
      </c>
      <c r="CH23" s="12">
        <f>'Grid_Stock'!CA18</f>
        <v/>
      </c>
      <c r="CI23" s="12">
        <f>'Grid_Stock'!CB18</f>
        <v/>
      </c>
      <c r="CJ23" s="12">
        <f>'Grid_Stock'!CC18</f>
        <v/>
      </c>
      <c r="CK23" s="12">
        <f>'Grid_Stock'!CD18</f>
        <v/>
      </c>
      <c r="CL23" s="12">
        <f>'Grid_Stock'!CE18</f>
        <v/>
      </c>
      <c r="CM23" s="12">
        <f>'Grid_Stock'!CF18</f>
        <v/>
      </c>
      <c r="CN23" s="12">
        <f>'Grid_Stock'!CG18</f>
        <v/>
      </c>
      <c r="CO23" s="12">
        <f>'Grid_Stock'!CH18</f>
        <v/>
      </c>
      <c r="CP23" s="12">
        <f>'Grid_Stock'!CI18</f>
        <v/>
      </c>
      <c r="CQ23" s="12">
        <f>'Grid_Stock'!CJ18</f>
        <v/>
      </c>
      <c r="CR23" s="12">
        <f>'Grid_Stock'!CK18</f>
        <v/>
      </c>
      <c r="CS23" s="12">
        <f>'Grid_Stock'!CL18</f>
        <v/>
      </c>
      <c r="CT23" s="12">
        <f>'Grid_Stock'!CM18</f>
        <v/>
      </c>
      <c r="CU23" s="12">
        <f>'Grid_Stock'!CN18</f>
        <v/>
      </c>
      <c r="CV23" s="12">
        <f>'Grid_Stock'!CO18</f>
        <v/>
      </c>
      <c r="CW23" s="12">
        <f>'Grid_Stock'!CP18</f>
        <v/>
      </c>
      <c r="CX23" s="12">
        <f>'Grid_Stock'!CQ18</f>
        <v/>
      </c>
      <c r="CY23" s="12">
        <f>'Grid_Stock'!CR18</f>
        <v/>
      </c>
      <c r="CZ23" s="12">
        <f>'Grid_Stock'!CS18</f>
        <v/>
      </c>
      <c r="DA23" s="12">
        <f>'Grid_Stock'!CT18</f>
        <v/>
      </c>
      <c r="DB23" s="12">
        <f>'Grid_Stock'!CU18</f>
        <v/>
      </c>
      <c r="DC23" s="12">
        <f>'Grid_Stock'!CV18</f>
        <v/>
      </c>
      <c r="DD23" s="12">
        <f>'Grid_Stock'!CW18</f>
        <v/>
      </c>
      <c r="DE23" s="12">
        <f>'Grid_Stock'!CX18</f>
        <v/>
      </c>
      <c r="DF23" s="12">
        <f>'Grid_Stock'!CY18</f>
        <v/>
      </c>
      <c r="DG23" s="12">
        <f>'Grid_Stock'!CZ18</f>
        <v/>
      </c>
      <c r="DH23" s="12">
        <f>'Grid_Stock'!DA18</f>
        <v/>
      </c>
    </row>
    <row r="24">
      <c r="A24" s="13" t="inlineStr">
        <is>
          <t>CHEM-1600</t>
        </is>
      </c>
      <c r="B24" s="13">
        <f>IFERROR(INDEX(M_RawMaterials[Description],MATCH($A24,M_RawMaterials[Part Name],0)),"")</f>
        <v/>
      </c>
      <c r="C24" s="13">
        <f>IFERROR(INDEX(M_RawMaterials[Category],MATCH($A24,M_RawMaterials[Part Name],0)),"")</f>
        <v/>
      </c>
      <c r="D24" s="13">
        <f>IFERROR(INDEX(M_RawMaterials[基準在庫下限_要入力],MATCH($A24,M_RawMaterials[Part Name],0)),0)</f>
        <v/>
      </c>
      <c r="E24" s="13">
        <f>IFERROR(INDEX(M_RawMaterials[基準在庫上限_要入力],MATCH($A24,M_RawMaterials[Part Name],0)),0)</f>
        <v/>
      </c>
      <c r="F24" s="13">
        <f>IFERROR(LOOKUP(2,1/('T_SelfStock'!$B$23:$DA$23&lt;&gt;""),'T_SelfStock'!$B$23:$DA$23),"")</f>
        <v/>
      </c>
      <c r="G24" s="13">
        <f>IFERROR(LOOKUP(2,1/('T_TTAFStock'!$B$23:$DA$23&lt;&gt;""),'T_TTAFStock'!$B$23:$DA$23),"")</f>
        <v/>
      </c>
      <c r="H24" s="13">
        <f>IFERROR(LOOKUP(2,1/('T_SelfStock'!$B$23:$DA$23&lt;&gt;""),'T_SelfStock'!$B$5:$DA$5),"")</f>
        <v/>
      </c>
      <c r="I24" s="13">
        <f>'Grid_Stock'!B19</f>
        <v/>
      </c>
      <c r="J24" s="13">
        <f>'Grid_Stock'!C19</f>
        <v/>
      </c>
      <c r="K24" s="13">
        <f>'Grid_Stock'!D19</f>
        <v/>
      </c>
      <c r="L24" s="13">
        <f>'Grid_Stock'!E19</f>
        <v/>
      </c>
      <c r="M24" s="13">
        <f>'Grid_Stock'!F19</f>
        <v/>
      </c>
      <c r="N24" s="13">
        <f>'Grid_Stock'!G19</f>
        <v/>
      </c>
      <c r="O24" s="13">
        <f>'Grid_Stock'!H19</f>
        <v/>
      </c>
      <c r="P24" s="13">
        <f>'Grid_Stock'!I19</f>
        <v/>
      </c>
      <c r="Q24" s="13">
        <f>'Grid_Stock'!J19</f>
        <v/>
      </c>
      <c r="R24" s="13">
        <f>'Grid_Stock'!K19</f>
        <v/>
      </c>
      <c r="S24" s="13">
        <f>'Grid_Stock'!L19</f>
        <v/>
      </c>
      <c r="T24" s="13">
        <f>'Grid_Stock'!M19</f>
        <v/>
      </c>
      <c r="U24" s="13">
        <f>'Grid_Stock'!N19</f>
        <v/>
      </c>
      <c r="V24" s="13">
        <f>'Grid_Stock'!O19</f>
        <v/>
      </c>
      <c r="W24" s="13">
        <f>'Grid_Stock'!P19</f>
        <v/>
      </c>
      <c r="X24" s="13">
        <f>'Grid_Stock'!Q19</f>
        <v/>
      </c>
      <c r="Y24" s="13">
        <f>'Grid_Stock'!R19</f>
        <v/>
      </c>
      <c r="Z24" s="13">
        <f>'Grid_Stock'!S19</f>
        <v/>
      </c>
      <c r="AA24" s="13">
        <f>'Grid_Stock'!T19</f>
        <v/>
      </c>
      <c r="AB24" s="13">
        <f>'Grid_Stock'!U19</f>
        <v/>
      </c>
      <c r="AC24" s="13">
        <f>'Grid_Stock'!V19</f>
        <v/>
      </c>
      <c r="AD24" s="13">
        <f>'Grid_Stock'!W19</f>
        <v/>
      </c>
      <c r="AE24" s="13">
        <f>'Grid_Stock'!X19</f>
        <v/>
      </c>
      <c r="AF24" s="13">
        <f>'Grid_Stock'!Y19</f>
        <v/>
      </c>
      <c r="AG24" s="13">
        <f>'Grid_Stock'!Z19</f>
        <v/>
      </c>
      <c r="AH24" s="13">
        <f>'Grid_Stock'!AA19</f>
        <v/>
      </c>
      <c r="AI24" s="13">
        <f>'Grid_Stock'!AB19</f>
        <v/>
      </c>
      <c r="AJ24" s="13">
        <f>'Grid_Stock'!AC19</f>
        <v/>
      </c>
      <c r="AK24" s="13">
        <f>'Grid_Stock'!AD19</f>
        <v/>
      </c>
      <c r="AL24" s="13">
        <f>'Grid_Stock'!AE19</f>
        <v/>
      </c>
      <c r="AM24" s="13">
        <f>'Grid_Stock'!AF19</f>
        <v/>
      </c>
      <c r="AN24" s="13">
        <f>'Grid_Stock'!AG19</f>
        <v/>
      </c>
      <c r="AO24" s="13">
        <f>'Grid_Stock'!AH19</f>
        <v/>
      </c>
      <c r="AP24" s="13">
        <f>'Grid_Stock'!AI19</f>
        <v/>
      </c>
      <c r="AQ24" s="13">
        <f>'Grid_Stock'!AJ19</f>
        <v/>
      </c>
      <c r="AR24" s="13">
        <f>'Grid_Stock'!AK19</f>
        <v/>
      </c>
      <c r="AS24" s="13">
        <f>'Grid_Stock'!AL19</f>
        <v/>
      </c>
      <c r="AT24" s="13">
        <f>'Grid_Stock'!AM19</f>
        <v/>
      </c>
      <c r="AU24" s="13">
        <f>'Grid_Stock'!AN19</f>
        <v/>
      </c>
      <c r="AV24" s="13">
        <f>'Grid_Stock'!AO19</f>
        <v/>
      </c>
      <c r="AW24" s="13">
        <f>'Grid_Stock'!AP19</f>
        <v/>
      </c>
      <c r="AX24" s="13">
        <f>'Grid_Stock'!AQ19</f>
        <v/>
      </c>
      <c r="AY24" s="13">
        <f>'Grid_Stock'!AR19</f>
        <v/>
      </c>
      <c r="AZ24" s="13">
        <f>'Grid_Stock'!AS19</f>
        <v/>
      </c>
      <c r="BA24" s="13">
        <f>'Grid_Stock'!AT19</f>
        <v/>
      </c>
      <c r="BB24" s="13">
        <f>'Grid_Stock'!AU19</f>
        <v/>
      </c>
      <c r="BC24" s="13">
        <f>'Grid_Stock'!AV19</f>
        <v/>
      </c>
      <c r="BD24" s="13">
        <f>'Grid_Stock'!AW19</f>
        <v/>
      </c>
      <c r="BE24" s="13">
        <f>'Grid_Stock'!AX19</f>
        <v/>
      </c>
      <c r="BF24" s="13">
        <f>'Grid_Stock'!AY19</f>
        <v/>
      </c>
      <c r="BG24" s="13">
        <f>'Grid_Stock'!AZ19</f>
        <v/>
      </c>
      <c r="BH24" s="13">
        <f>'Grid_Stock'!BA19</f>
        <v/>
      </c>
      <c r="BI24" s="13">
        <f>'Grid_Stock'!BB19</f>
        <v/>
      </c>
      <c r="BJ24" s="13">
        <f>'Grid_Stock'!BC19</f>
        <v/>
      </c>
      <c r="BK24" s="13">
        <f>'Grid_Stock'!BD19</f>
        <v/>
      </c>
      <c r="BL24" s="13">
        <f>'Grid_Stock'!BE19</f>
        <v/>
      </c>
      <c r="BM24" s="13">
        <f>'Grid_Stock'!BF19</f>
        <v/>
      </c>
      <c r="BN24" s="13">
        <f>'Grid_Stock'!BG19</f>
        <v/>
      </c>
      <c r="BO24" s="13">
        <f>'Grid_Stock'!BH19</f>
        <v/>
      </c>
      <c r="BP24" s="13">
        <f>'Grid_Stock'!BI19</f>
        <v/>
      </c>
      <c r="BQ24" s="13">
        <f>'Grid_Stock'!BJ19</f>
        <v/>
      </c>
      <c r="BR24" s="13">
        <f>'Grid_Stock'!BK19</f>
        <v/>
      </c>
      <c r="BS24" s="13">
        <f>'Grid_Stock'!BL19</f>
        <v/>
      </c>
      <c r="BT24" s="13">
        <f>'Grid_Stock'!BM19</f>
        <v/>
      </c>
      <c r="BU24" s="13">
        <f>'Grid_Stock'!BN19</f>
        <v/>
      </c>
      <c r="BV24" s="13">
        <f>'Grid_Stock'!BO19</f>
        <v/>
      </c>
      <c r="BW24" s="13">
        <f>'Grid_Stock'!BP19</f>
        <v/>
      </c>
      <c r="BX24" s="13">
        <f>'Grid_Stock'!BQ19</f>
        <v/>
      </c>
      <c r="BY24" s="13">
        <f>'Grid_Stock'!BR19</f>
        <v/>
      </c>
      <c r="BZ24" s="13">
        <f>'Grid_Stock'!BS19</f>
        <v/>
      </c>
      <c r="CA24" s="13">
        <f>'Grid_Stock'!BT19</f>
        <v/>
      </c>
      <c r="CB24" s="13">
        <f>'Grid_Stock'!BU19</f>
        <v/>
      </c>
      <c r="CC24" s="13">
        <f>'Grid_Stock'!BV19</f>
        <v/>
      </c>
      <c r="CD24" s="13">
        <f>'Grid_Stock'!BW19</f>
        <v/>
      </c>
      <c r="CE24" s="13">
        <f>'Grid_Stock'!BX19</f>
        <v/>
      </c>
      <c r="CF24" s="13">
        <f>'Grid_Stock'!BY19</f>
        <v/>
      </c>
      <c r="CG24" s="13">
        <f>'Grid_Stock'!BZ19</f>
        <v/>
      </c>
      <c r="CH24" s="13">
        <f>'Grid_Stock'!CA19</f>
        <v/>
      </c>
      <c r="CI24" s="13">
        <f>'Grid_Stock'!CB19</f>
        <v/>
      </c>
      <c r="CJ24" s="13">
        <f>'Grid_Stock'!CC19</f>
        <v/>
      </c>
      <c r="CK24" s="13">
        <f>'Grid_Stock'!CD19</f>
        <v/>
      </c>
      <c r="CL24" s="13">
        <f>'Grid_Stock'!CE19</f>
        <v/>
      </c>
      <c r="CM24" s="13">
        <f>'Grid_Stock'!CF19</f>
        <v/>
      </c>
      <c r="CN24" s="13">
        <f>'Grid_Stock'!CG19</f>
        <v/>
      </c>
      <c r="CO24" s="13">
        <f>'Grid_Stock'!CH19</f>
        <v/>
      </c>
      <c r="CP24" s="13">
        <f>'Grid_Stock'!CI19</f>
        <v/>
      </c>
      <c r="CQ24" s="13">
        <f>'Grid_Stock'!CJ19</f>
        <v/>
      </c>
      <c r="CR24" s="13">
        <f>'Grid_Stock'!CK19</f>
        <v/>
      </c>
      <c r="CS24" s="13">
        <f>'Grid_Stock'!CL19</f>
        <v/>
      </c>
      <c r="CT24" s="13">
        <f>'Grid_Stock'!CM19</f>
        <v/>
      </c>
      <c r="CU24" s="13">
        <f>'Grid_Stock'!CN19</f>
        <v/>
      </c>
      <c r="CV24" s="13">
        <f>'Grid_Stock'!CO19</f>
        <v/>
      </c>
      <c r="CW24" s="13">
        <f>'Grid_Stock'!CP19</f>
        <v/>
      </c>
      <c r="CX24" s="13">
        <f>'Grid_Stock'!CQ19</f>
        <v/>
      </c>
      <c r="CY24" s="13">
        <f>'Grid_Stock'!CR19</f>
        <v/>
      </c>
      <c r="CZ24" s="13">
        <f>'Grid_Stock'!CS19</f>
        <v/>
      </c>
      <c r="DA24" s="13">
        <f>'Grid_Stock'!CT19</f>
        <v/>
      </c>
      <c r="DB24" s="13">
        <f>'Grid_Stock'!CU19</f>
        <v/>
      </c>
      <c r="DC24" s="13">
        <f>'Grid_Stock'!CV19</f>
        <v/>
      </c>
      <c r="DD24" s="13">
        <f>'Grid_Stock'!CW19</f>
        <v/>
      </c>
      <c r="DE24" s="13">
        <f>'Grid_Stock'!CX19</f>
        <v/>
      </c>
      <c r="DF24" s="13">
        <f>'Grid_Stock'!CY19</f>
        <v/>
      </c>
      <c r="DG24" s="13">
        <f>'Grid_Stock'!CZ19</f>
        <v/>
      </c>
      <c r="DH24" s="13">
        <f>'Grid_Stock'!DA19</f>
        <v/>
      </c>
    </row>
    <row r="25">
      <c r="A25" s="12" t="inlineStr">
        <is>
          <t>CHEM-1280</t>
        </is>
      </c>
      <c r="B25" s="12">
        <f>IFERROR(INDEX(M_RawMaterials[Description],MATCH($A25,M_RawMaterials[Part Name],0)),"")</f>
        <v/>
      </c>
      <c r="C25" s="12">
        <f>IFERROR(INDEX(M_RawMaterials[Category],MATCH($A25,M_RawMaterials[Part Name],0)),"")</f>
        <v/>
      </c>
      <c r="D25" s="12">
        <f>IFERROR(INDEX(M_RawMaterials[基準在庫下限_要入力],MATCH($A25,M_RawMaterials[Part Name],0)),0)</f>
        <v/>
      </c>
      <c r="E25" s="12">
        <f>IFERROR(INDEX(M_RawMaterials[基準在庫上限_要入力],MATCH($A25,M_RawMaterials[Part Name],0)),0)</f>
        <v/>
      </c>
      <c r="F25" s="12">
        <f>IFERROR(LOOKUP(2,1/('T_SelfStock'!$B$24:$DA$24&lt;&gt;""),'T_SelfStock'!$B$24:$DA$24),"")</f>
        <v/>
      </c>
      <c r="G25" s="12">
        <f>IFERROR(LOOKUP(2,1/('T_TTAFStock'!$B$24:$DA$24&lt;&gt;""),'T_TTAFStock'!$B$24:$DA$24),"")</f>
        <v/>
      </c>
      <c r="H25" s="12">
        <f>IFERROR(LOOKUP(2,1/('T_SelfStock'!$B$24:$DA$24&lt;&gt;""),'T_SelfStock'!$B$5:$DA$5),"")</f>
        <v/>
      </c>
      <c r="I25" s="12">
        <f>'Grid_Stock'!B20</f>
        <v/>
      </c>
      <c r="J25" s="12">
        <f>'Grid_Stock'!C20</f>
        <v/>
      </c>
      <c r="K25" s="12">
        <f>'Grid_Stock'!D20</f>
        <v/>
      </c>
      <c r="L25" s="12">
        <f>'Grid_Stock'!E20</f>
        <v/>
      </c>
      <c r="M25" s="12">
        <f>'Grid_Stock'!F20</f>
        <v/>
      </c>
      <c r="N25" s="12">
        <f>'Grid_Stock'!G20</f>
        <v/>
      </c>
      <c r="O25" s="12">
        <f>'Grid_Stock'!H20</f>
        <v/>
      </c>
      <c r="P25" s="12">
        <f>'Grid_Stock'!I20</f>
        <v/>
      </c>
      <c r="Q25" s="12">
        <f>'Grid_Stock'!J20</f>
        <v/>
      </c>
      <c r="R25" s="12">
        <f>'Grid_Stock'!K20</f>
        <v/>
      </c>
      <c r="S25" s="12">
        <f>'Grid_Stock'!L20</f>
        <v/>
      </c>
      <c r="T25" s="12">
        <f>'Grid_Stock'!M20</f>
        <v/>
      </c>
      <c r="U25" s="12">
        <f>'Grid_Stock'!N20</f>
        <v/>
      </c>
      <c r="V25" s="12">
        <f>'Grid_Stock'!O20</f>
        <v/>
      </c>
      <c r="W25" s="12">
        <f>'Grid_Stock'!P20</f>
        <v/>
      </c>
      <c r="X25" s="12">
        <f>'Grid_Stock'!Q20</f>
        <v/>
      </c>
      <c r="Y25" s="12">
        <f>'Grid_Stock'!R20</f>
        <v/>
      </c>
      <c r="Z25" s="12">
        <f>'Grid_Stock'!S20</f>
        <v/>
      </c>
      <c r="AA25" s="12">
        <f>'Grid_Stock'!T20</f>
        <v/>
      </c>
      <c r="AB25" s="12">
        <f>'Grid_Stock'!U20</f>
        <v/>
      </c>
      <c r="AC25" s="12">
        <f>'Grid_Stock'!V20</f>
        <v/>
      </c>
      <c r="AD25" s="12">
        <f>'Grid_Stock'!W20</f>
        <v/>
      </c>
      <c r="AE25" s="12">
        <f>'Grid_Stock'!X20</f>
        <v/>
      </c>
      <c r="AF25" s="12">
        <f>'Grid_Stock'!Y20</f>
        <v/>
      </c>
      <c r="AG25" s="12">
        <f>'Grid_Stock'!Z20</f>
        <v/>
      </c>
      <c r="AH25" s="12">
        <f>'Grid_Stock'!AA20</f>
        <v/>
      </c>
      <c r="AI25" s="12">
        <f>'Grid_Stock'!AB20</f>
        <v/>
      </c>
      <c r="AJ25" s="12">
        <f>'Grid_Stock'!AC20</f>
        <v/>
      </c>
      <c r="AK25" s="12">
        <f>'Grid_Stock'!AD20</f>
        <v/>
      </c>
      <c r="AL25" s="12">
        <f>'Grid_Stock'!AE20</f>
        <v/>
      </c>
      <c r="AM25" s="12">
        <f>'Grid_Stock'!AF20</f>
        <v/>
      </c>
      <c r="AN25" s="12">
        <f>'Grid_Stock'!AG20</f>
        <v/>
      </c>
      <c r="AO25" s="12">
        <f>'Grid_Stock'!AH20</f>
        <v/>
      </c>
      <c r="AP25" s="12">
        <f>'Grid_Stock'!AI20</f>
        <v/>
      </c>
      <c r="AQ25" s="12">
        <f>'Grid_Stock'!AJ20</f>
        <v/>
      </c>
      <c r="AR25" s="12">
        <f>'Grid_Stock'!AK20</f>
        <v/>
      </c>
      <c r="AS25" s="12">
        <f>'Grid_Stock'!AL20</f>
        <v/>
      </c>
      <c r="AT25" s="12">
        <f>'Grid_Stock'!AM20</f>
        <v/>
      </c>
      <c r="AU25" s="12">
        <f>'Grid_Stock'!AN20</f>
        <v/>
      </c>
      <c r="AV25" s="12">
        <f>'Grid_Stock'!AO20</f>
        <v/>
      </c>
      <c r="AW25" s="12">
        <f>'Grid_Stock'!AP20</f>
        <v/>
      </c>
      <c r="AX25" s="12">
        <f>'Grid_Stock'!AQ20</f>
        <v/>
      </c>
      <c r="AY25" s="12">
        <f>'Grid_Stock'!AR20</f>
        <v/>
      </c>
      <c r="AZ25" s="12">
        <f>'Grid_Stock'!AS20</f>
        <v/>
      </c>
      <c r="BA25" s="12">
        <f>'Grid_Stock'!AT20</f>
        <v/>
      </c>
      <c r="BB25" s="12">
        <f>'Grid_Stock'!AU20</f>
        <v/>
      </c>
      <c r="BC25" s="12">
        <f>'Grid_Stock'!AV20</f>
        <v/>
      </c>
      <c r="BD25" s="12">
        <f>'Grid_Stock'!AW20</f>
        <v/>
      </c>
      <c r="BE25" s="12">
        <f>'Grid_Stock'!AX20</f>
        <v/>
      </c>
      <c r="BF25" s="12">
        <f>'Grid_Stock'!AY20</f>
        <v/>
      </c>
      <c r="BG25" s="12">
        <f>'Grid_Stock'!AZ20</f>
        <v/>
      </c>
      <c r="BH25" s="12">
        <f>'Grid_Stock'!BA20</f>
        <v/>
      </c>
      <c r="BI25" s="12">
        <f>'Grid_Stock'!BB20</f>
        <v/>
      </c>
      <c r="BJ25" s="12">
        <f>'Grid_Stock'!BC20</f>
        <v/>
      </c>
      <c r="BK25" s="12">
        <f>'Grid_Stock'!BD20</f>
        <v/>
      </c>
      <c r="BL25" s="12">
        <f>'Grid_Stock'!BE20</f>
        <v/>
      </c>
      <c r="BM25" s="12">
        <f>'Grid_Stock'!BF20</f>
        <v/>
      </c>
      <c r="BN25" s="12">
        <f>'Grid_Stock'!BG20</f>
        <v/>
      </c>
      <c r="BO25" s="12">
        <f>'Grid_Stock'!BH20</f>
        <v/>
      </c>
      <c r="BP25" s="12">
        <f>'Grid_Stock'!BI20</f>
        <v/>
      </c>
      <c r="BQ25" s="12">
        <f>'Grid_Stock'!BJ20</f>
        <v/>
      </c>
      <c r="BR25" s="12">
        <f>'Grid_Stock'!BK20</f>
        <v/>
      </c>
      <c r="BS25" s="12">
        <f>'Grid_Stock'!BL20</f>
        <v/>
      </c>
      <c r="BT25" s="12">
        <f>'Grid_Stock'!BM20</f>
        <v/>
      </c>
      <c r="BU25" s="12">
        <f>'Grid_Stock'!BN20</f>
        <v/>
      </c>
      <c r="BV25" s="12">
        <f>'Grid_Stock'!BO20</f>
        <v/>
      </c>
      <c r="BW25" s="12">
        <f>'Grid_Stock'!BP20</f>
        <v/>
      </c>
      <c r="BX25" s="12">
        <f>'Grid_Stock'!BQ20</f>
        <v/>
      </c>
      <c r="BY25" s="12">
        <f>'Grid_Stock'!BR20</f>
        <v/>
      </c>
      <c r="BZ25" s="12">
        <f>'Grid_Stock'!BS20</f>
        <v/>
      </c>
      <c r="CA25" s="12">
        <f>'Grid_Stock'!BT20</f>
        <v/>
      </c>
      <c r="CB25" s="12">
        <f>'Grid_Stock'!BU20</f>
        <v/>
      </c>
      <c r="CC25" s="12">
        <f>'Grid_Stock'!BV20</f>
        <v/>
      </c>
      <c r="CD25" s="12">
        <f>'Grid_Stock'!BW20</f>
        <v/>
      </c>
      <c r="CE25" s="12">
        <f>'Grid_Stock'!BX20</f>
        <v/>
      </c>
      <c r="CF25" s="12">
        <f>'Grid_Stock'!BY20</f>
        <v/>
      </c>
      <c r="CG25" s="12">
        <f>'Grid_Stock'!BZ20</f>
        <v/>
      </c>
      <c r="CH25" s="12">
        <f>'Grid_Stock'!CA20</f>
        <v/>
      </c>
      <c r="CI25" s="12">
        <f>'Grid_Stock'!CB20</f>
        <v/>
      </c>
      <c r="CJ25" s="12">
        <f>'Grid_Stock'!CC20</f>
        <v/>
      </c>
      <c r="CK25" s="12">
        <f>'Grid_Stock'!CD20</f>
        <v/>
      </c>
      <c r="CL25" s="12">
        <f>'Grid_Stock'!CE20</f>
        <v/>
      </c>
      <c r="CM25" s="12">
        <f>'Grid_Stock'!CF20</f>
        <v/>
      </c>
      <c r="CN25" s="12">
        <f>'Grid_Stock'!CG20</f>
        <v/>
      </c>
      <c r="CO25" s="12">
        <f>'Grid_Stock'!CH20</f>
        <v/>
      </c>
      <c r="CP25" s="12">
        <f>'Grid_Stock'!CI20</f>
        <v/>
      </c>
      <c r="CQ25" s="12">
        <f>'Grid_Stock'!CJ20</f>
        <v/>
      </c>
      <c r="CR25" s="12">
        <f>'Grid_Stock'!CK20</f>
        <v/>
      </c>
      <c r="CS25" s="12">
        <f>'Grid_Stock'!CL20</f>
        <v/>
      </c>
      <c r="CT25" s="12">
        <f>'Grid_Stock'!CM20</f>
        <v/>
      </c>
      <c r="CU25" s="12">
        <f>'Grid_Stock'!CN20</f>
        <v/>
      </c>
      <c r="CV25" s="12">
        <f>'Grid_Stock'!CO20</f>
        <v/>
      </c>
      <c r="CW25" s="12">
        <f>'Grid_Stock'!CP20</f>
        <v/>
      </c>
      <c r="CX25" s="12">
        <f>'Grid_Stock'!CQ20</f>
        <v/>
      </c>
      <c r="CY25" s="12">
        <f>'Grid_Stock'!CR20</f>
        <v/>
      </c>
      <c r="CZ25" s="12">
        <f>'Grid_Stock'!CS20</f>
        <v/>
      </c>
      <c r="DA25" s="12">
        <f>'Grid_Stock'!CT20</f>
        <v/>
      </c>
      <c r="DB25" s="12">
        <f>'Grid_Stock'!CU20</f>
        <v/>
      </c>
      <c r="DC25" s="12">
        <f>'Grid_Stock'!CV20</f>
        <v/>
      </c>
      <c r="DD25" s="12">
        <f>'Grid_Stock'!CW20</f>
        <v/>
      </c>
      <c r="DE25" s="12">
        <f>'Grid_Stock'!CX20</f>
        <v/>
      </c>
      <c r="DF25" s="12">
        <f>'Grid_Stock'!CY20</f>
        <v/>
      </c>
      <c r="DG25" s="12">
        <f>'Grid_Stock'!CZ20</f>
        <v/>
      </c>
      <c r="DH25" s="12">
        <f>'Grid_Stock'!DA20</f>
        <v/>
      </c>
    </row>
    <row r="26">
      <c r="A26" s="13" t="inlineStr">
        <is>
          <t>CHEM-1240</t>
        </is>
      </c>
      <c r="B26" s="13">
        <f>IFERROR(INDEX(M_RawMaterials[Description],MATCH($A26,M_RawMaterials[Part Name],0)),"")</f>
        <v/>
      </c>
      <c r="C26" s="13">
        <f>IFERROR(INDEX(M_RawMaterials[Category],MATCH($A26,M_RawMaterials[Part Name],0)),"")</f>
        <v/>
      </c>
      <c r="D26" s="13">
        <f>IFERROR(INDEX(M_RawMaterials[基準在庫下限_要入力],MATCH($A26,M_RawMaterials[Part Name],0)),0)</f>
        <v/>
      </c>
      <c r="E26" s="13">
        <f>IFERROR(INDEX(M_RawMaterials[基準在庫上限_要入力],MATCH($A26,M_RawMaterials[Part Name],0)),0)</f>
        <v/>
      </c>
      <c r="F26" s="13">
        <f>IFERROR(LOOKUP(2,1/('T_SelfStock'!$B$25:$DA$25&lt;&gt;""),'T_SelfStock'!$B$25:$DA$25),"")</f>
        <v/>
      </c>
      <c r="G26" s="13">
        <f>IFERROR(LOOKUP(2,1/('T_TTAFStock'!$B$25:$DA$25&lt;&gt;""),'T_TTAFStock'!$B$25:$DA$25),"")</f>
        <v/>
      </c>
      <c r="H26" s="13">
        <f>IFERROR(LOOKUP(2,1/('T_SelfStock'!$B$25:$DA$25&lt;&gt;""),'T_SelfStock'!$B$5:$DA$5),"")</f>
        <v/>
      </c>
      <c r="I26" s="13">
        <f>'Grid_Stock'!B21</f>
        <v/>
      </c>
      <c r="J26" s="13">
        <f>'Grid_Stock'!C21</f>
        <v/>
      </c>
      <c r="K26" s="13">
        <f>'Grid_Stock'!D21</f>
        <v/>
      </c>
      <c r="L26" s="13">
        <f>'Grid_Stock'!E21</f>
        <v/>
      </c>
      <c r="M26" s="13">
        <f>'Grid_Stock'!F21</f>
        <v/>
      </c>
      <c r="N26" s="13">
        <f>'Grid_Stock'!G21</f>
        <v/>
      </c>
      <c r="O26" s="13">
        <f>'Grid_Stock'!H21</f>
        <v/>
      </c>
      <c r="P26" s="13">
        <f>'Grid_Stock'!I21</f>
        <v/>
      </c>
      <c r="Q26" s="13">
        <f>'Grid_Stock'!J21</f>
        <v/>
      </c>
      <c r="R26" s="13">
        <f>'Grid_Stock'!K21</f>
        <v/>
      </c>
      <c r="S26" s="13">
        <f>'Grid_Stock'!L21</f>
        <v/>
      </c>
      <c r="T26" s="13">
        <f>'Grid_Stock'!M21</f>
        <v/>
      </c>
      <c r="U26" s="13">
        <f>'Grid_Stock'!N21</f>
        <v/>
      </c>
      <c r="V26" s="13">
        <f>'Grid_Stock'!O21</f>
        <v/>
      </c>
      <c r="W26" s="13">
        <f>'Grid_Stock'!P21</f>
        <v/>
      </c>
      <c r="X26" s="13">
        <f>'Grid_Stock'!Q21</f>
        <v/>
      </c>
      <c r="Y26" s="13">
        <f>'Grid_Stock'!R21</f>
        <v/>
      </c>
      <c r="Z26" s="13">
        <f>'Grid_Stock'!S21</f>
        <v/>
      </c>
      <c r="AA26" s="13">
        <f>'Grid_Stock'!T21</f>
        <v/>
      </c>
      <c r="AB26" s="13">
        <f>'Grid_Stock'!U21</f>
        <v/>
      </c>
      <c r="AC26" s="13">
        <f>'Grid_Stock'!V21</f>
        <v/>
      </c>
      <c r="AD26" s="13">
        <f>'Grid_Stock'!W21</f>
        <v/>
      </c>
      <c r="AE26" s="13">
        <f>'Grid_Stock'!X21</f>
        <v/>
      </c>
      <c r="AF26" s="13">
        <f>'Grid_Stock'!Y21</f>
        <v/>
      </c>
      <c r="AG26" s="13">
        <f>'Grid_Stock'!Z21</f>
        <v/>
      </c>
      <c r="AH26" s="13">
        <f>'Grid_Stock'!AA21</f>
        <v/>
      </c>
      <c r="AI26" s="13">
        <f>'Grid_Stock'!AB21</f>
        <v/>
      </c>
      <c r="AJ26" s="13">
        <f>'Grid_Stock'!AC21</f>
        <v/>
      </c>
      <c r="AK26" s="13">
        <f>'Grid_Stock'!AD21</f>
        <v/>
      </c>
      <c r="AL26" s="13">
        <f>'Grid_Stock'!AE21</f>
        <v/>
      </c>
      <c r="AM26" s="13">
        <f>'Grid_Stock'!AF21</f>
        <v/>
      </c>
      <c r="AN26" s="13">
        <f>'Grid_Stock'!AG21</f>
        <v/>
      </c>
      <c r="AO26" s="13">
        <f>'Grid_Stock'!AH21</f>
        <v/>
      </c>
      <c r="AP26" s="13">
        <f>'Grid_Stock'!AI21</f>
        <v/>
      </c>
      <c r="AQ26" s="13">
        <f>'Grid_Stock'!AJ21</f>
        <v/>
      </c>
      <c r="AR26" s="13">
        <f>'Grid_Stock'!AK21</f>
        <v/>
      </c>
      <c r="AS26" s="13">
        <f>'Grid_Stock'!AL21</f>
        <v/>
      </c>
      <c r="AT26" s="13">
        <f>'Grid_Stock'!AM21</f>
        <v/>
      </c>
      <c r="AU26" s="13">
        <f>'Grid_Stock'!AN21</f>
        <v/>
      </c>
      <c r="AV26" s="13">
        <f>'Grid_Stock'!AO21</f>
        <v/>
      </c>
      <c r="AW26" s="13">
        <f>'Grid_Stock'!AP21</f>
        <v/>
      </c>
      <c r="AX26" s="13">
        <f>'Grid_Stock'!AQ21</f>
        <v/>
      </c>
      <c r="AY26" s="13">
        <f>'Grid_Stock'!AR21</f>
        <v/>
      </c>
      <c r="AZ26" s="13">
        <f>'Grid_Stock'!AS21</f>
        <v/>
      </c>
      <c r="BA26" s="13">
        <f>'Grid_Stock'!AT21</f>
        <v/>
      </c>
      <c r="BB26" s="13">
        <f>'Grid_Stock'!AU21</f>
        <v/>
      </c>
      <c r="BC26" s="13">
        <f>'Grid_Stock'!AV21</f>
        <v/>
      </c>
      <c r="BD26" s="13">
        <f>'Grid_Stock'!AW21</f>
        <v/>
      </c>
      <c r="BE26" s="13">
        <f>'Grid_Stock'!AX21</f>
        <v/>
      </c>
      <c r="BF26" s="13">
        <f>'Grid_Stock'!AY21</f>
        <v/>
      </c>
      <c r="BG26" s="13">
        <f>'Grid_Stock'!AZ21</f>
        <v/>
      </c>
      <c r="BH26" s="13">
        <f>'Grid_Stock'!BA21</f>
        <v/>
      </c>
      <c r="BI26" s="13">
        <f>'Grid_Stock'!BB21</f>
        <v/>
      </c>
      <c r="BJ26" s="13">
        <f>'Grid_Stock'!BC21</f>
        <v/>
      </c>
      <c r="BK26" s="13">
        <f>'Grid_Stock'!BD21</f>
        <v/>
      </c>
      <c r="BL26" s="13">
        <f>'Grid_Stock'!BE21</f>
        <v/>
      </c>
      <c r="BM26" s="13">
        <f>'Grid_Stock'!BF21</f>
        <v/>
      </c>
      <c r="BN26" s="13">
        <f>'Grid_Stock'!BG21</f>
        <v/>
      </c>
      <c r="BO26" s="13">
        <f>'Grid_Stock'!BH21</f>
        <v/>
      </c>
      <c r="BP26" s="13">
        <f>'Grid_Stock'!BI21</f>
        <v/>
      </c>
      <c r="BQ26" s="13">
        <f>'Grid_Stock'!BJ21</f>
        <v/>
      </c>
      <c r="BR26" s="13">
        <f>'Grid_Stock'!BK21</f>
        <v/>
      </c>
      <c r="BS26" s="13">
        <f>'Grid_Stock'!BL21</f>
        <v/>
      </c>
      <c r="BT26" s="13">
        <f>'Grid_Stock'!BM21</f>
        <v/>
      </c>
      <c r="BU26" s="13">
        <f>'Grid_Stock'!BN21</f>
        <v/>
      </c>
      <c r="BV26" s="13">
        <f>'Grid_Stock'!BO21</f>
        <v/>
      </c>
      <c r="BW26" s="13">
        <f>'Grid_Stock'!BP21</f>
        <v/>
      </c>
      <c r="BX26" s="13">
        <f>'Grid_Stock'!BQ21</f>
        <v/>
      </c>
      <c r="BY26" s="13">
        <f>'Grid_Stock'!BR21</f>
        <v/>
      </c>
      <c r="BZ26" s="13">
        <f>'Grid_Stock'!BS21</f>
        <v/>
      </c>
      <c r="CA26" s="13">
        <f>'Grid_Stock'!BT21</f>
        <v/>
      </c>
      <c r="CB26" s="13">
        <f>'Grid_Stock'!BU21</f>
        <v/>
      </c>
      <c r="CC26" s="13">
        <f>'Grid_Stock'!BV21</f>
        <v/>
      </c>
      <c r="CD26" s="13">
        <f>'Grid_Stock'!BW21</f>
        <v/>
      </c>
      <c r="CE26" s="13">
        <f>'Grid_Stock'!BX21</f>
        <v/>
      </c>
      <c r="CF26" s="13">
        <f>'Grid_Stock'!BY21</f>
        <v/>
      </c>
      <c r="CG26" s="13">
        <f>'Grid_Stock'!BZ21</f>
        <v/>
      </c>
      <c r="CH26" s="13">
        <f>'Grid_Stock'!CA21</f>
        <v/>
      </c>
      <c r="CI26" s="13">
        <f>'Grid_Stock'!CB21</f>
        <v/>
      </c>
      <c r="CJ26" s="13">
        <f>'Grid_Stock'!CC21</f>
        <v/>
      </c>
      <c r="CK26" s="13">
        <f>'Grid_Stock'!CD21</f>
        <v/>
      </c>
      <c r="CL26" s="13">
        <f>'Grid_Stock'!CE21</f>
        <v/>
      </c>
      <c r="CM26" s="13">
        <f>'Grid_Stock'!CF21</f>
        <v/>
      </c>
      <c r="CN26" s="13">
        <f>'Grid_Stock'!CG21</f>
        <v/>
      </c>
      <c r="CO26" s="13">
        <f>'Grid_Stock'!CH21</f>
        <v/>
      </c>
      <c r="CP26" s="13">
        <f>'Grid_Stock'!CI21</f>
        <v/>
      </c>
      <c r="CQ26" s="13">
        <f>'Grid_Stock'!CJ21</f>
        <v/>
      </c>
      <c r="CR26" s="13">
        <f>'Grid_Stock'!CK21</f>
        <v/>
      </c>
      <c r="CS26" s="13">
        <f>'Grid_Stock'!CL21</f>
        <v/>
      </c>
      <c r="CT26" s="13">
        <f>'Grid_Stock'!CM21</f>
        <v/>
      </c>
      <c r="CU26" s="13">
        <f>'Grid_Stock'!CN21</f>
        <v/>
      </c>
      <c r="CV26" s="13">
        <f>'Grid_Stock'!CO21</f>
        <v/>
      </c>
      <c r="CW26" s="13">
        <f>'Grid_Stock'!CP21</f>
        <v/>
      </c>
      <c r="CX26" s="13">
        <f>'Grid_Stock'!CQ21</f>
        <v/>
      </c>
      <c r="CY26" s="13">
        <f>'Grid_Stock'!CR21</f>
        <v/>
      </c>
      <c r="CZ26" s="13">
        <f>'Grid_Stock'!CS21</f>
        <v/>
      </c>
      <c r="DA26" s="13">
        <f>'Grid_Stock'!CT21</f>
        <v/>
      </c>
      <c r="DB26" s="13">
        <f>'Grid_Stock'!CU21</f>
        <v/>
      </c>
      <c r="DC26" s="13">
        <f>'Grid_Stock'!CV21</f>
        <v/>
      </c>
      <c r="DD26" s="13">
        <f>'Grid_Stock'!CW21</f>
        <v/>
      </c>
      <c r="DE26" s="13">
        <f>'Grid_Stock'!CX21</f>
        <v/>
      </c>
      <c r="DF26" s="13">
        <f>'Grid_Stock'!CY21</f>
        <v/>
      </c>
      <c r="DG26" s="13">
        <f>'Grid_Stock'!CZ21</f>
        <v/>
      </c>
      <c r="DH26" s="13">
        <f>'Grid_Stock'!DA21</f>
        <v/>
      </c>
    </row>
    <row r="27">
      <c r="A27" s="12" t="inlineStr">
        <is>
          <t>0JN</t>
        </is>
      </c>
      <c r="B27" s="12">
        <f>IFERROR(INDEX(M_RawMaterials[Description],MATCH($A27,M_RawMaterials[Part Name],0)),"")</f>
        <v/>
      </c>
      <c r="C27" s="12">
        <f>IFERROR(INDEX(M_RawMaterials[Category],MATCH($A27,M_RawMaterials[Part Name],0)),"")</f>
        <v/>
      </c>
      <c r="D27" s="12">
        <f>IFERROR(INDEX(M_RawMaterials[基準在庫下限_要入力],MATCH($A27,M_RawMaterials[Part Name],0)),0)</f>
        <v/>
      </c>
      <c r="E27" s="12">
        <f>IFERROR(INDEX(M_RawMaterials[基準在庫上限_要入力],MATCH($A27,M_RawMaterials[Part Name],0)),0)</f>
        <v/>
      </c>
      <c r="F27" s="12">
        <f>IFERROR(LOOKUP(2,1/('T_SelfStock'!$B$26:$DA$26&lt;&gt;""),'T_SelfStock'!$B$26:$DA$26),"")</f>
        <v/>
      </c>
      <c r="G27" s="12">
        <f>IFERROR(LOOKUP(2,1/('T_TTAFStock'!$B$26:$DA$26&lt;&gt;""),'T_TTAFStock'!$B$26:$DA$26),"")</f>
        <v/>
      </c>
      <c r="H27" s="12">
        <f>IFERROR(LOOKUP(2,1/('T_SelfStock'!$B$26:$DA$26&lt;&gt;""),'T_SelfStock'!$B$5:$DA$5),"")</f>
        <v/>
      </c>
      <c r="I27" s="12">
        <f>'Grid_Stock'!B22</f>
        <v/>
      </c>
      <c r="J27" s="12">
        <f>'Grid_Stock'!C22</f>
        <v/>
      </c>
      <c r="K27" s="12">
        <f>'Grid_Stock'!D22</f>
        <v/>
      </c>
      <c r="L27" s="12">
        <f>'Grid_Stock'!E22</f>
        <v/>
      </c>
      <c r="M27" s="12">
        <f>'Grid_Stock'!F22</f>
        <v/>
      </c>
      <c r="N27" s="12">
        <f>'Grid_Stock'!G22</f>
        <v/>
      </c>
      <c r="O27" s="12">
        <f>'Grid_Stock'!H22</f>
        <v/>
      </c>
      <c r="P27" s="12">
        <f>'Grid_Stock'!I22</f>
        <v/>
      </c>
      <c r="Q27" s="12">
        <f>'Grid_Stock'!J22</f>
        <v/>
      </c>
      <c r="R27" s="12">
        <f>'Grid_Stock'!K22</f>
        <v/>
      </c>
      <c r="S27" s="12">
        <f>'Grid_Stock'!L22</f>
        <v/>
      </c>
      <c r="T27" s="12">
        <f>'Grid_Stock'!M22</f>
        <v/>
      </c>
      <c r="U27" s="12">
        <f>'Grid_Stock'!N22</f>
        <v/>
      </c>
      <c r="V27" s="12">
        <f>'Grid_Stock'!O22</f>
        <v/>
      </c>
      <c r="W27" s="12">
        <f>'Grid_Stock'!P22</f>
        <v/>
      </c>
      <c r="X27" s="12">
        <f>'Grid_Stock'!Q22</f>
        <v/>
      </c>
      <c r="Y27" s="12">
        <f>'Grid_Stock'!R22</f>
        <v/>
      </c>
      <c r="Z27" s="12">
        <f>'Grid_Stock'!S22</f>
        <v/>
      </c>
      <c r="AA27" s="12">
        <f>'Grid_Stock'!T22</f>
        <v/>
      </c>
      <c r="AB27" s="12">
        <f>'Grid_Stock'!U22</f>
        <v/>
      </c>
      <c r="AC27" s="12">
        <f>'Grid_Stock'!V22</f>
        <v/>
      </c>
      <c r="AD27" s="12">
        <f>'Grid_Stock'!W22</f>
        <v/>
      </c>
      <c r="AE27" s="12">
        <f>'Grid_Stock'!X22</f>
        <v/>
      </c>
      <c r="AF27" s="12">
        <f>'Grid_Stock'!Y22</f>
        <v/>
      </c>
      <c r="AG27" s="12">
        <f>'Grid_Stock'!Z22</f>
        <v/>
      </c>
      <c r="AH27" s="12">
        <f>'Grid_Stock'!AA22</f>
        <v/>
      </c>
      <c r="AI27" s="12">
        <f>'Grid_Stock'!AB22</f>
        <v/>
      </c>
      <c r="AJ27" s="12">
        <f>'Grid_Stock'!AC22</f>
        <v/>
      </c>
      <c r="AK27" s="12">
        <f>'Grid_Stock'!AD22</f>
        <v/>
      </c>
      <c r="AL27" s="12">
        <f>'Grid_Stock'!AE22</f>
        <v/>
      </c>
      <c r="AM27" s="12">
        <f>'Grid_Stock'!AF22</f>
        <v/>
      </c>
      <c r="AN27" s="12">
        <f>'Grid_Stock'!AG22</f>
        <v/>
      </c>
      <c r="AO27" s="12">
        <f>'Grid_Stock'!AH22</f>
        <v/>
      </c>
      <c r="AP27" s="12">
        <f>'Grid_Stock'!AI22</f>
        <v/>
      </c>
      <c r="AQ27" s="12">
        <f>'Grid_Stock'!AJ22</f>
        <v/>
      </c>
      <c r="AR27" s="12">
        <f>'Grid_Stock'!AK22</f>
        <v/>
      </c>
      <c r="AS27" s="12">
        <f>'Grid_Stock'!AL22</f>
        <v/>
      </c>
      <c r="AT27" s="12">
        <f>'Grid_Stock'!AM22</f>
        <v/>
      </c>
      <c r="AU27" s="12">
        <f>'Grid_Stock'!AN22</f>
        <v/>
      </c>
      <c r="AV27" s="12">
        <f>'Grid_Stock'!AO22</f>
        <v/>
      </c>
      <c r="AW27" s="12">
        <f>'Grid_Stock'!AP22</f>
        <v/>
      </c>
      <c r="AX27" s="12">
        <f>'Grid_Stock'!AQ22</f>
        <v/>
      </c>
      <c r="AY27" s="12">
        <f>'Grid_Stock'!AR22</f>
        <v/>
      </c>
      <c r="AZ27" s="12">
        <f>'Grid_Stock'!AS22</f>
        <v/>
      </c>
      <c r="BA27" s="12">
        <f>'Grid_Stock'!AT22</f>
        <v/>
      </c>
      <c r="BB27" s="12">
        <f>'Grid_Stock'!AU22</f>
        <v/>
      </c>
      <c r="BC27" s="12">
        <f>'Grid_Stock'!AV22</f>
        <v/>
      </c>
      <c r="BD27" s="12">
        <f>'Grid_Stock'!AW22</f>
        <v/>
      </c>
      <c r="BE27" s="12">
        <f>'Grid_Stock'!AX22</f>
        <v/>
      </c>
      <c r="BF27" s="12">
        <f>'Grid_Stock'!AY22</f>
        <v/>
      </c>
      <c r="BG27" s="12">
        <f>'Grid_Stock'!AZ22</f>
        <v/>
      </c>
      <c r="BH27" s="12">
        <f>'Grid_Stock'!BA22</f>
        <v/>
      </c>
      <c r="BI27" s="12">
        <f>'Grid_Stock'!BB22</f>
        <v/>
      </c>
      <c r="BJ27" s="12">
        <f>'Grid_Stock'!BC22</f>
        <v/>
      </c>
      <c r="BK27" s="12">
        <f>'Grid_Stock'!BD22</f>
        <v/>
      </c>
      <c r="BL27" s="12">
        <f>'Grid_Stock'!BE22</f>
        <v/>
      </c>
      <c r="BM27" s="12">
        <f>'Grid_Stock'!BF22</f>
        <v/>
      </c>
      <c r="BN27" s="12">
        <f>'Grid_Stock'!BG22</f>
        <v/>
      </c>
      <c r="BO27" s="12">
        <f>'Grid_Stock'!BH22</f>
        <v/>
      </c>
      <c r="BP27" s="12">
        <f>'Grid_Stock'!BI22</f>
        <v/>
      </c>
      <c r="BQ27" s="12">
        <f>'Grid_Stock'!BJ22</f>
        <v/>
      </c>
      <c r="BR27" s="12">
        <f>'Grid_Stock'!BK22</f>
        <v/>
      </c>
      <c r="BS27" s="12">
        <f>'Grid_Stock'!BL22</f>
        <v/>
      </c>
      <c r="BT27" s="12">
        <f>'Grid_Stock'!BM22</f>
        <v/>
      </c>
      <c r="BU27" s="12">
        <f>'Grid_Stock'!BN22</f>
        <v/>
      </c>
      <c r="BV27" s="12">
        <f>'Grid_Stock'!BO22</f>
        <v/>
      </c>
      <c r="BW27" s="12">
        <f>'Grid_Stock'!BP22</f>
        <v/>
      </c>
      <c r="BX27" s="12">
        <f>'Grid_Stock'!BQ22</f>
        <v/>
      </c>
      <c r="BY27" s="12">
        <f>'Grid_Stock'!BR22</f>
        <v/>
      </c>
      <c r="BZ27" s="12">
        <f>'Grid_Stock'!BS22</f>
        <v/>
      </c>
      <c r="CA27" s="12">
        <f>'Grid_Stock'!BT22</f>
        <v/>
      </c>
      <c r="CB27" s="12">
        <f>'Grid_Stock'!BU22</f>
        <v/>
      </c>
      <c r="CC27" s="12">
        <f>'Grid_Stock'!BV22</f>
        <v/>
      </c>
      <c r="CD27" s="12">
        <f>'Grid_Stock'!BW22</f>
        <v/>
      </c>
      <c r="CE27" s="12">
        <f>'Grid_Stock'!BX22</f>
        <v/>
      </c>
      <c r="CF27" s="12">
        <f>'Grid_Stock'!BY22</f>
        <v/>
      </c>
      <c r="CG27" s="12">
        <f>'Grid_Stock'!BZ22</f>
        <v/>
      </c>
      <c r="CH27" s="12">
        <f>'Grid_Stock'!CA22</f>
        <v/>
      </c>
      <c r="CI27" s="12">
        <f>'Grid_Stock'!CB22</f>
        <v/>
      </c>
      <c r="CJ27" s="12">
        <f>'Grid_Stock'!CC22</f>
        <v/>
      </c>
      <c r="CK27" s="12">
        <f>'Grid_Stock'!CD22</f>
        <v/>
      </c>
      <c r="CL27" s="12">
        <f>'Grid_Stock'!CE22</f>
        <v/>
      </c>
      <c r="CM27" s="12">
        <f>'Grid_Stock'!CF22</f>
        <v/>
      </c>
      <c r="CN27" s="12">
        <f>'Grid_Stock'!CG22</f>
        <v/>
      </c>
      <c r="CO27" s="12">
        <f>'Grid_Stock'!CH22</f>
        <v/>
      </c>
      <c r="CP27" s="12">
        <f>'Grid_Stock'!CI22</f>
        <v/>
      </c>
      <c r="CQ27" s="12">
        <f>'Grid_Stock'!CJ22</f>
        <v/>
      </c>
      <c r="CR27" s="12">
        <f>'Grid_Stock'!CK22</f>
        <v/>
      </c>
      <c r="CS27" s="12">
        <f>'Grid_Stock'!CL22</f>
        <v/>
      </c>
      <c r="CT27" s="12">
        <f>'Grid_Stock'!CM22</f>
        <v/>
      </c>
      <c r="CU27" s="12">
        <f>'Grid_Stock'!CN22</f>
        <v/>
      </c>
      <c r="CV27" s="12">
        <f>'Grid_Stock'!CO22</f>
        <v/>
      </c>
      <c r="CW27" s="12">
        <f>'Grid_Stock'!CP22</f>
        <v/>
      </c>
      <c r="CX27" s="12">
        <f>'Grid_Stock'!CQ22</f>
        <v/>
      </c>
      <c r="CY27" s="12">
        <f>'Grid_Stock'!CR22</f>
        <v/>
      </c>
      <c r="CZ27" s="12">
        <f>'Grid_Stock'!CS22</f>
        <v/>
      </c>
      <c r="DA27" s="12">
        <f>'Grid_Stock'!CT22</f>
        <v/>
      </c>
      <c r="DB27" s="12">
        <f>'Grid_Stock'!CU22</f>
        <v/>
      </c>
      <c r="DC27" s="12">
        <f>'Grid_Stock'!CV22</f>
        <v/>
      </c>
      <c r="DD27" s="12">
        <f>'Grid_Stock'!CW22</f>
        <v/>
      </c>
      <c r="DE27" s="12">
        <f>'Grid_Stock'!CX22</f>
        <v/>
      </c>
      <c r="DF27" s="12">
        <f>'Grid_Stock'!CY22</f>
        <v/>
      </c>
      <c r="DG27" s="12">
        <f>'Grid_Stock'!CZ22</f>
        <v/>
      </c>
      <c r="DH27" s="12">
        <f>'Grid_Stock'!DA22</f>
        <v/>
      </c>
    </row>
    <row r="28">
      <c r="A28" s="13" t="inlineStr">
        <is>
          <t>CHEM-1760</t>
        </is>
      </c>
      <c r="B28" s="13">
        <f>IFERROR(INDEX(M_RawMaterials[Description],MATCH($A28,M_RawMaterials[Part Name],0)),"")</f>
        <v/>
      </c>
      <c r="C28" s="13">
        <f>IFERROR(INDEX(M_RawMaterials[Category],MATCH($A28,M_RawMaterials[Part Name],0)),"")</f>
        <v/>
      </c>
      <c r="D28" s="13">
        <f>IFERROR(INDEX(M_RawMaterials[基準在庫下限_要入力],MATCH($A28,M_RawMaterials[Part Name],0)),0)</f>
        <v/>
      </c>
      <c r="E28" s="13">
        <f>IFERROR(INDEX(M_RawMaterials[基準在庫上限_要入力],MATCH($A28,M_RawMaterials[Part Name],0)),0)</f>
        <v/>
      </c>
      <c r="F28" s="13">
        <f>IFERROR(LOOKUP(2,1/('T_SelfStock'!$B$27:$DA$27&lt;&gt;""),'T_SelfStock'!$B$27:$DA$27),"")</f>
        <v/>
      </c>
      <c r="G28" s="13">
        <f>IFERROR(LOOKUP(2,1/('T_TTAFStock'!$B$27:$DA$27&lt;&gt;""),'T_TTAFStock'!$B$27:$DA$27),"")</f>
        <v/>
      </c>
      <c r="H28" s="13">
        <f>IFERROR(LOOKUP(2,1/('T_SelfStock'!$B$27:$DA$27&lt;&gt;""),'T_SelfStock'!$B$5:$DA$5),"")</f>
        <v/>
      </c>
      <c r="I28" s="13">
        <f>'Grid_Stock'!B23</f>
        <v/>
      </c>
      <c r="J28" s="13">
        <f>'Grid_Stock'!C23</f>
        <v/>
      </c>
      <c r="K28" s="13">
        <f>'Grid_Stock'!D23</f>
        <v/>
      </c>
      <c r="L28" s="13">
        <f>'Grid_Stock'!E23</f>
        <v/>
      </c>
      <c r="M28" s="13">
        <f>'Grid_Stock'!F23</f>
        <v/>
      </c>
      <c r="N28" s="13">
        <f>'Grid_Stock'!G23</f>
        <v/>
      </c>
      <c r="O28" s="13">
        <f>'Grid_Stock'!H23</f>
        <v/>
      </c>
      <c r="P28" s="13">
        <f>'Grid_Stock'!I23</f>
        <v/>
      </c>
      <c r="Q28" s="13">
        <f>'Grid_Stock'!J23</f>
        <v/>
      </c>
      <c r="R28" s="13">
        <f>'Grid_Stock'!K23</f>
        <v/>
      </c>
      <c r="S28" s="13">
        <f>'Grid_Stock'!L23</f>
        <v/>
      </c>
      <c r="T28" s="13">
        <f>'Grid_Stock'!M23</f>
        <v/>
      </c>
      <c r="U28" s="13">
        <f>'Grid_Stock'!N23</f>
        <v/>
      </c>
      <c r="V28" s="13">
        <f>'Grid_Stock'!O23</f>
        <v/>
      </c>
      <c r="W28" s="13">
        <f>'Grid_Stock'!P23</f>
        <v/>
      </c>
      <c r="X28" s="13">
        <f>'Grid_Stock'!Q23</f>
        <v/>
      </c>
      <c r="Y28" s="13">
        <f>'Grid_Stock'!R23</f>
        <v/>
      </c>
      <c r="Z28" s="13">
        <f>'Grid_Stock'!S23</f>
        <v/>
      </c>
      <c r="AA28" s="13">
        <f>'Grid_Stock'!T23</f>
        <v/>
      </c>
      <c r="AB28" s="13">
        <f>'Grid_Stock'!U23</f>
        <v/>
      </c>
      <c r="AC28" s="13">
        <f>'Grid_Stock'!V23</f>
        <v/>
      </c>
      <c r="AD28" s="13">
        <f>'Grid_Stock'!W23</f>
        <v/>
      </c>
      <c r="AE28" s="13">
        <f>'Grid_Stock'!X23</f>
        <v/>
      </c>
      <c r="AF28" s="13">
        <f>'Grid_Stock'!Y23</f>
        <v/>
      </c>
      <c r="AG28" s="13">
        <f>'Grid_Stock'!Z23</f>
        <v/>
      </c>
      <c r="AH28" s="13">
        <f>'Grid_Stock'!AA23</f>
        <v/>
      </c>
      <c r="AI28" s="13">
        <f>'Grid_Stock'!AB23</f>
        <v/>
      </c>
      <c r="AJ28" s="13">
        <f>'Grid_Stock'!AC23</f>
        <v/>
      </c>
      <c r="AK28" s="13">
        <f>'Grid_Stock'!AD23</f>
        <v/>
      </c>
      <c r="AL28" s="13">
        <f>'Grid_Stock'!AE23</f>
        <v/>
      </c>
      <c r="AM28" s="13">
        <f>'Grid_Stock'!AF23</f>
        <v/>
      </c>
      <c r="AN28" s="13">
        <f>'Grid_Stock'!AG23</f>
        <v/>
      </c>
      <c r="AO28" s="13">
        <f>'Grid_Stock'!AH23</f>
        <v/>
      </c>
      <c r="AP28" s="13">
        <f>'Grid_Stock'!AI23</f>
        <v/>
      </c>
      <c r="AQ28" s="13">
        <f>'Grid_Stock'!AJ23</f>
        <v/>
      </c>
      <c r="AR28" s="13">
        <f>'Grid_Stock'!AK23</f>
        <v/>
      </c>
      <c r="AS28" s="13">
        <f>'Grid_Stock'!AL23</f>
        <v/>
      </c>
      <c r="AT28" s="13">
        <f>'Grid_Stock'!AM23</f>
        <v/>
      </c>
      <c r="AU28" s="13">
        <f>'Grid_Stock'!AN23</f>
        <v/>
      </c>
      <c r="AV28" s="13">
        <f>'Grid_Stock'!AO23</f>
        <v/>
      </c>
      <c r="AW28" s="13">
        <f>'Grid_Stock'!AP23</f>
        <v/>
      </c>
      <c r="AX28" s="13">
        <f>'Grid_Stock'!AQ23</f>
        <v/>
      </c>
      <c r="AY28" s="13">
        <f>'Grid_Stock'!AR23</f>
        <v/>
      </c>
      <c r="AZ28" s="13">
        <f>'Grid_Stock'!AS23</f>
        <v/>
      </c>
      <c r="BA28" s="13">
        <f>'Grid_Stock'!AT23</f>
        <v/>
      </c>
      <c r="BB28" s="13">
        <f>'Grid_Stock'!AU23</f>
        <v/>
      </c>
      <c r="BC28" s="13">
        <f>'Grid_Stock'!AV23</f>
        <v/>
      </c>
      <c r="BD28" s="13">
        <f>'Grid_Stock'!AW23</f>
        <v/>
      </c>
      <c r="BE28" s="13">
        <f>'Grid_Stock'!AX23</f>
        <v/>
      </c>
      <c r="BF28" s="13">
        <f>'Grid_Stock'!AY23</f>
        <v/>
      </c>
      <c r="BG28" s="13">
        <f>'Grid_Stock'!AZ23</f>
        <v/>
      </c>
      <c r="BH28" s="13">
        <f>'Grid_Stock'!BA23</f>
        <v/>
      </c>
      <c r="BI28" s="13">
        <f>'Grid_Stock'!BB23</f>
        <v/>
      </c>
      <c r="BJ28" s="13">
        <f>'Grid_Stock'!BC23</f>
        <v/>
      </c>
      <c r="BK28" s="13">
        <f>'Grid_Stock'!BD23</f>
        <v/>
      </c>
      <c r="BL28" s="13">
        <f>'Grid_Stock'!BE23</f>
        <v/>
      </c>
      <c r="BM28" s="13">
        <f>'Grid_Stock'!BF23</f>
        <v/>
      </c>
      <c r="BN28" s="13">
        <f>'Grid_Stock'!BG23</f>
        <v/>
      </c>
      <c r="BO28" s="13">
        <f>'Grid_Stock'!BH23</f>
        <v/>
      </c>
      <c r="BP28" s="13">
        <f>'Grid_Stock'!BI23</f>
        <v/>
      </c>
      <c r="BQ28" s="13">
        <f>'Grid_Stock'!BJ23</f>
        <v/>
      </c>
      <c r="BR28" s="13">
        <f>'Grid_Stock'!BK23</f>
        <v/>
      </c>
      <c r="BS28" s="13">
        <f>'Grid_Stock'!BL23</f>
        <v/>
      </c>
      <c r="BT28" s="13">
        <f>'Grid_Stock'!BM23</f>
        <v/>
      </c>
      <c r="BU28" s="13">
        <f>'Grid_Stock'!BN23</f>
        <v/>
      </c>
      <c r="BV28" s="13">
        <f>'Grid_Stock'!BO23</f>
        <v/>
      </c>
      <c r="BW28" s="13">
        <f>'Grid_Stock'!BP23</f>
        <v/>
      </c>
      <c r="BX28" s="13">
        <f>'Grid_Stock'!BQ23</f>
        <v/>
      </c>
      <c r="BY28" s="13">
        <f>'Grid_Stock'!BR23</f>
        <v/>
      </c>
      <c r="BZ28" s="13">
        <f>'Grid_Stock'!BS23</f>
        <v/>
      </c>
      <c r="CA28" s="13">
        <f>'Grid_Stock'!BT23</f>
        <v/>
      </c>
      <c r="CB28" s="13">
        <f>'Grid_Stock'!BU23</f>
        <v/>
      </c>
      <c r="CC28" s="13">
        <f>'Grid_Stock'!BV23</f>
        <v/>
      </c>
      <c r="CD28" s="13">
        <f>'Grid_Stock'!BW23</f>
        <v/>
      </c>
      <c r="CE28" s="13">
        <f>'Grid_Stock'!BX23</f>
        <v/>
      </c>
      <c r="CF28" s="13">
        <f>'Grid_Stock'!BY23</f>
        <v/>
      </c>
      <c r="CG28" s="13">
        <f>'Grid_Stock'!BZ23</f>
        <v/>
      </c>
      <c r="CH28" s="13">
        <f>'Grid_Stock'!CA23</f>
        <v/>
      </c>
      <c r="CI28" s="13">
        <f>'Grid_Stock'!CB23</f>
        <v/>
      </c>
      <c r="CJ28" s="13">
        <f>'Grid_Stock'!CC23</f>
        <v/>
      </c>
      <c r="CK28" s="13">
        <f>'Grid_Stock'!CD23</f>
        <v/>
      </c>
      <c r="CL28" s="13">
        <f>'Grid_Stock'!CE23</f>
        <v/>
      </c>
      <c r="CM28" s="13">
        <f>'Grid_Stock'!CF23</f>
        <v/>
      </c>
      <c r="CN28" s="13">
        <f>'Grid_Stock'!CG23</f>
        <v/>
      </c>
      <c r="CO28" s="13">
        <f>'Grid_Stock'!CH23</f>
        <v/>
      </c>
      <c r="CP28" s="13">
        <f>'Grid_Stock'!CI23</f>
        <v/>
      </c>
      <c r="CQ28" s="13">
        <f>'Grid_Stock'!CJ23</f>
        <v/>
      </c>
      <c r="CR28" s="13">
        <f>'Grid_Stock'!CK23</f>
        <v/>
      </c>
      <c r="CS28" s="13">
        <f>'Grid_Stock'!CL23</f>
        <v/>
      </c>
      <c r="CT28" s="13">
        <f>'Grid_Stock'!CM23</f>
        <v/>
      </c>
      <c r="CU28" s="13">
        <f>'Grid_Stock'!CN23</f>
        <v/>
      </c>
      <c r="CV28" s="13">
        <f>'Grid_Stock'!CO23</f>
        <v/>
      </c>
      <c r="CW28" s="13">
        <f>'Grid_Stock'!CP23</f>
        <v/>
      </c>
      <c r="CX28" s="13">
        <f>'Grid_Stock'!CQ23</f>
        <v/>
      </c>
      <c r="CY28" s="13">
        <f>'Grid_Stock'!CR23</f>
        <v/>
      </c>
      <c r="CZ28" s="13">
        <f>'Grid_Stock'!CS23</f>
        <v/>
      </c>
      <c r="DA28" s="13">
        <f>'Grid_Stock'!CT23</f>
        <v/>
      </c>
      <c r="DB28" s="13">
        <f>'Grid_Stock'!CU23</f>
        <v/>
      </c>
      <c r="DC28" s="13">
        <f>'Grid_Stock'!CV23</f>
        <v/>
      </c>
      <c r="DD28" s="13">
        <f>'Grid_Stock'!CW23</f>
        <v/>
      </c>
      <c r="DE28" s="13">
        <f>'Grid_Stock'!CX23</f>
        <v/>
      </c>
      <c r="DF28" s="13">
        <f>'Grid_Stock'!CY23</f>
        <v/>
      </c>
      <c r="DG28" s="13">
        <f>'Grid_Stock'!CZ23</f>
        <v/>
      </c>
      <c r="DH28" s="13">
        <f>'Grid_Stock'!DA23</f>
        <v/>
      </c>
    </row>
    <row r="29">
      <c r="A29" s="12" t="inlineStr">
        <is>
          <t>Original Towel</t>
        </is>
      </c>
      <c r="B29" s="12">
        <f>IFERROR(INDEX(M_RawMaterials[Description],MATCH($A29,M_RawMaterials[Part Name],0)),"")</f>
        <v/>
      </c>
      <c r="C29" s="12">
        <f>IFERROR(INDEX(M_RawMaterials[Category],MATCH($A29,M_RawMaterials[Part Name],0)),"")</f>
        <v/>
      </c>
      <c r="D29" s="12">
        <f>IFERROR(INDEX(M_RawMaterials[基準在庫下限_要入力],MATCH($A29,M_RawMaterials[Part Name],0)),0)</f>
        <v/>
      </c>
      <c r="E29" s="12">
        <f>IFERROR(INDEX(M_RawMaterials[基準在庫上限_要入力],MATCH($A29,M_RawMaterials[Part Name],0)),0)</f>
        <v/>
      </c>
      <c r="F29" s="12">
        <f>IFERROR(LOOKUP(2,1/('T_SelfStock'!$B$28:$DA$28&lt;&gt;""),'T_SelfStock'!$B$28:$DA$28),"")</f>
        <v/>
      </c>
      <c r="G29" s="12">
        <f>IFERROR(LOOKUP(2,1/('T_TTAFStock'!$B$28:$DA$28&lt;&gt;""),'T_TTAFStock'!$B$28:$DA$28),"")</f>
        <v/>
      </c>
      <c r="H29" s="12">
        <f>IFERROR(LOOKUP(2,1/('T_SelfStock'!$B$28:$DA$28&lt;&gt;""),'T_SelfStock'!$B$5:$DA$5),"")</f>
        <v/>
      </c>
      <c r="I29" s="12">
        <f>'Grid_Stock'!B24</f>
        <v/>
      </c>
      <c r="J29" s="12">
        <f>'Grid_Stock'!C24</f>
        <v/>
      </c>
      <c r="K29" s="12">
        <f>'Grid_Stock'!D24</f>
        <v/>
      </c>
      <c r="L29" s="12">
        <f>'Grid_Stock'!E24</f>
        <v/>
      </c>
      <c r="M29" s="12">
        <f>'Grid_Stock'!F24</f>
        <v/>
      </c>
      <c r="N29" s="12">
        <f>'Grid_Stock'!G24</f>
        <v/>
      </c>
      <c r="O29" s="12">
        <f>'Grid_Stock'!H24</f>
        <v/>
      </c>
      <c r="P29" s="12">
        <f>'Grid_Stock'!I24</f>
        <v/>
      </c>
      <c r="Q29" s="12">
        <f>'Grid_Stock'!J24</f>
        <v/>
      </c>
      <c r="R29" s="12">
        <f>'Grid_Stock'!K24</f>
        <v/>
      </c>
      <c r="S29" s="12">
        <f>'Grid_Stock'!L24</f>
        <v/>
      </c>
      <c r="T29" s="12">
        <f>'Grid_Stock'!M24</f>
        <v/>
      </c>
      <c r="U29" s="12">
        <f>'Grid_Stock'!N24</f>
        <v/>
      </c>
      <c r="V29" s="12">
        <f>'Grid_Stock'!O24</f>
        <v/>
      </c>
      <c r="W29" s="12">
        <f>'Grid_Stock'!P24</f>
        <v/>
      </c>
      <c r="X29" s="12">
        <f>'Grid_Stock'!Q24</f>
        <v/>
      </c>
      <c r="Y29" s="12">
        <f>'Grid_Stock'!R24</f>
        <v/>
      </c>
      <c r="Z29" s="12">
        <f>'Grid_Stock'!S24</f>
        <v/>
      </c>
      <c r="AA29" s="12">
        <f>'Grid_Stock'!T24</f>
        <v/>
      </c>
      <c r="AB29" s="12">
        <f>'Grid_Stock'!U24</f>
        <v/>
      </c>
      <c r="AC29" s="12">
        <f>'Grid_Stock'!V24</f>
        <v/>
      </c>
      <c r="AD29" s="12">
        <f>'Grid_Stock'!W24</f>
        <v/>
      </c>
      <c r="AE29" s="12">
        <f>'Grid_Stock'!X24</f>
        <v/>
      </c>
      <c r="AF29" s="12">
        <f>'Grid_Stock'!Y24</f>
        <v/>
      </c>
      <c r="AG29" s="12">
        <f>'Grid_Stock'!Z24</f>
        <v/>
      </c>
      <c r="AH29" s="12">
        <f>'Grid_Stock'!AA24</f>
        <v/>
      </c>
      <c r="AI29" s="12">
        <f>'Grid_Stock'!AB24</f>
        <v/>
      </c>
      <c r="AJ29" s="12">
        <f>'Grid_Stock'!AC24</f>
        <v/>
      </c>
      <c r="AK29" s="12">
        <f>'Grid_Stock'!AD24</f>
        <v/>
      </c>
      <c r="AL29" s="12">
        <f>'Grid_Stock'!AE24</f>
        <v/>
      </c>
      <c r="AM29" s="12">
        <f>'Grid_Stock'!AF24</f>
        <v/>
      </c>
      <c r="AN29" s="12">
        <f>'Grid_Stock'!AG24</f>
        <v/>
      </c>
      <c r="AO29" s="12">
        <f>'Grid_Stock'!AH24</f>
        <v/>
      </c>
      <c r="AP29" s="12">
        <f>'Grid_Stock'!AI24</f>
        <v/>
      </c>
      <c r="AQ29" s="12">
        <f>'Grid_Stock'!AJ24</f>
        <v/>
      </c>
      <c r="AR29" s="12">
        <f>'Grid_Stock'!AK24</f>
        <v/>
      </c>
      <c r="AS29" s="12">
        <f>'Grid_Stock'!AL24</f>
        <v/>
      </c>
      <c r="AT29" s="12">
        <f>'Grid_Stock'!AM24</f>
        <v/>
      </c>
      <c r="AU29" s="12">
        <f>'Grid_Stock'!AN24</f>
        <v/>
      </c>
      <c r="AV29" s="12">
        <f>'Grid_Stock'!AO24</f>
        <v/>
      </c>
      <c r="AW29" s="12">
        <f>'Grid_Stock'!AP24</f>
        <v/>
      </c>
      <c r="AX29" s="12">
        <f>'Grid_Stock'!AQ24</f>
        <v/>
      </c>
      <c r="AY29" s="12">
        <f>'Grid_Stock'!AR24</f>
        <v/>
      </c>
      <c r="AZ29" s="12">
        <f>'Grid_Stock'!AS24</f>
        <v/>
      </c>
      <c r="BA29" s="12">
        <f>'Grid_Stock'!AT24</f>
        <v/>
      </c>
      <c r="BB29" s="12">
        <f>'Grid_Stock'!AU24</f>
        <v/>
      </c>
      <c r="BC29" s="12">
        <f>'Grid_Stock'!AV24</f>
        <v/>
      </c>
      <c r="BD29" s="12">
        <f>'Grid_Stock'!AW24</f>
        <v/>
      </c>
      <c r="BE29" s="12">
        <f>'Grid_Stock'!AX24</f>
        <v/>
      </c>
      <c r="BF29" s="12">
        <f>'Grid_Stock'!AY24</f>
        <v/>
      </c>
      <c r="BG29" s="12">
        <f>'Grid_Stock'!AZ24</f>
        <v/>
      </c>
      <c r="BH29" s="12">
        <f>'Grid_Stock'!BA24</f>
        <v/>
      </c>
      <c r="BI29" s="12">
        <f>'Grid_Stock'!BB24</f>
        <v/>
      </c>
      <c r="BJ29" s="12">
        <f>'Grid_Stock'!BC24</f>
        <v/>
      </c>
      <c r="BK29" s="12">
        <f>'Grid_Stock'!BD24</f>
        <v/>
      </c>
      <c r="BL29" s="12">
        <f>'Grid_Stock'!BE24</f>
        <v/>
      </c>
      <c r="BM29" s="12">
        <f>'Grid_Stock'!BF24</f>
        <v/>
      </c>
      <c r="BN29" s="12">
        <f>'Grid_Stock'!BG24</f>
        <v/>
      </c>
      <c r="BO29" s="12">
        <f>'Grid_Stock'!BH24</f>
        <v/>
      </c>
      <c r="BP29" s="12">
        <f>'Grid_Stock'!BI24</f>
        <v/>
      </c>
      <c r="BQ29" s="12">
        <f>'Grid_Stock'!BJ24</f>
        <v/>
      </c>
      <c r="BR29" s="12">
        <f>'Grid_Stock'!BK24</f>
        <v/>
      </c>
      <c r="BS29" s="12">
        <f>'Grid_Stock'!BL24</f>
        <v/>
      </c>
      <c r="BT29" s="12">
        <f>'Grid_Stock'!BM24</f>
        <v/>
      </c>
      <c r="BU29" s="12">
        <f>'Grid_Stock'!BN24</f>
        <v/>
      </c>
      <c r="BV29" s="12">
        <f>'Grid_Stock'!BO24</f>
        <v/>
      </c>
      <c r="BW29" s="12">
        <f>'Grid_Stock'!BP24</f>
        <v/>
      </c>
      <c r="BX29" s="12">
        <f>'Grid_Stock'!BQ24</f>
        <v/>
      </c>
      <c r="BY29" s="12">
        <f>'Grid_Stock'!BR24</f>
        <v/>
      </c>
      <c r="BZ29" s="12">
        <f>'Grid_Stock'!BS24</f>
        <v/>
      </c>
      <c r="CA29" s="12">
        <f>'Grid_Stock'!BT24</f>
        <v/>
      </c>
      <c r="CB29" s="12">
        <f>'Grid_Stock'!BU24</f>
        <v/>
      </c>
      <c r="CC29" s="12">
        <f>'Grid_Stock'!BV24</f>
        <v/>
      </c>
      <c r="CD29" s="12">
        <f>'Grid_Stock'!BW24</f>
        <v/>
      </c>
      <c r="CE29" s="12">
        <f>'Grid_Stock'!BX24</f>
        <v/>
      </c>
      <c r="CF29" s="12">
        <f>'Grid_Stock'!BY24</f>
        <v/>
      </c>
      <c r="CG29" s="12">
        <f>'Grid_Stock'!BZ24</f>
        <v/>
      </c>
      <c r="CH29" s="12">
        <f>'Grid_Stock'!CA24</f>
        <v/>
      </c>
      <c r="CI29" s="12">
        <f>'Grid_Stock'!CB24</f>
        <v/>
      </c>
      <c r="CJ29" s="12">
        <f>'Grid_Stock'!CC24</f>
        <v/>
      </c>
      <c r="CK29" s="12">
        <f>'Grid_Stock'!CD24</f>
        <v/>
      </c>
      <c r="CL29" s="12">
        <f>'Grid_Stock'!CE24</f>
        <v/>
      </c>
      <c r="CM29" s="12">
        <f>'Grid_Stock'!CF24</f>
        <v/>
      </c>
      <c r="CN29" s="12">
        <f>'Grid_Stock'!CG24</f>
        <v/>
      </c>
      <c r="CO29" s="12">
        <f>'Grid_Stock'!CH24</f>
        <v/>
      </c>
      <c r="CP29" s="12">
        <f>'Grid_Stock'!CI24</f>
        <v/>
      </c>
      <c r="CQ29" s="12">
        <f>'Grid_Stock'!CJ24</f>
        <v/>
      </c>
      <c r="CR29" s="12">
        <f>'Grid_Stock'!CK24</f>
        <v/>
      </c>
      <c r="CS29" s="12">
        <f>'Grid_Stock'!CL24</f>
        <v/>
      </c>
      <c r="CT29" s="12">
        <f>'Grid_Stock'!CM24</f>
        <v/>
      </c>
      <c r="CU29" s="12">
        <f>'Grid_Stock'!CN24</f>
        <v/>
      </c>
      <c r="CV29" s="12">
        <f>'Grid_Stock'!CO24</f>
        <v/>
      </c>
      <c r="CW29" s="12">
        <f>'Grid_Stock'!CP24</f>
        <v/>
      </c>
      <c r="CX29" s="12">
        <f>'Grid_Stock'!CQ24</f>
        <v/>
      </c>
      <c r="CY29" s="12">
        <f>'Grid_Stock'!CR24</f>
        <v/>
      </c>
      <c r="CZ29" s="12">
        <f>'Grid_Stock'!CS24</f>
        <v/>
      </c>
      <c r="DA29" s="12">
        <f>'Grid_Stock'!CT24</f>
        <v/>
      </c>
      <c r="DB29" s="12">
        <f>'Grid_Stock'!CU24</f>
        <v/>
      </c>
      <c r="DC29" s="12">
        <f>'Grid_Stock'!CV24</f>
        <v/>
      </c>
      <c r="DD29" s="12">
        <f>'Grid_Stock'!CW24</f>
        <v/>
      </c>
      <c r="DE29" s="12">
        <f>'Grid_Stock'!CX24</f>
        <v/>
      </c>
      <c r="DF29" s="12">
        <f>'Grid_Stock'!CY24</f>
        <v/>
      </c>
      <c r="DG29" s="12">
        <f>'Grid_Stock'!CZ24</f>
        <v/>
      </c>
      <c r="DH29" s="12">
        <f>'Grid_Stock'!DA24</f>
        <v/>
      </c>
    </row>
    <row r="30">
      <c r="A30" s="13" t="inlineStr">
        <is>
          <t>CHEM-1200</t>
        </is>
      </c>
      <c r="B30" s="13">
        <f>IFERROR(INDEX(M_RawMaterials[Description],MATCH($A30,M_RawMaterials[Part Name],0)),"")</f>
        <v/>
      </c>
      <c r="C30" s="13">
        <f>IFERROR(INDEX(M_RawMaterials[Category],MATCH($A30,M_RawMaterials[Part Name],0)),"")</f>
        <v/>
      </c>
      <c r="D30" s="13">
        <f>IFERROR(INDEX(M_RawMaterials[基準在庫下限_要入力],MATCH($A30,M_RawMaterials[Part Name],0)),0)</f>
        <v/>
      </c>
      <c r="E30" s="13">
        <f>IFERROR(INDEX(M_RawMaterials[基準在庫上限_要入力],MATCH($A30,M_RawMaterials[Part Name],0)),0)</f>
        <v/>
      </c>
      <c r="F30" s="13">
        <f>IFERROR(LOOKUP(2,1/('T_SelfStock'!$B$29:$DA$29&lt;&gt;""),'T_SelfStock'!$B$29:$DA$29),"")</f>
        <v/>
      </c>
      <c r="G30" s="13">
        <f>IFERROR(LOOKUP(2,1/('T_TTAFStock'!$B$29:$DA$29&lt;&gt;""),'T_TTAFStock'!$B$29:$DA$29),"")</f>
        <v/>
      </c>
      <c r="H30" s="13">
        <f>IFERROR(LOOKUP(2,1/('T_SelfStock'!$B$29:$DA$29&lt;&gt;""),'T_SelfStock'!$B$5:$DA$5),"")</f>
        <v/>
      </c>
      <c r="I30" s="13">
        <f>'Grid_Stock'!B25</f>
        <v/>
      </c>
      <c r="J30" s="13">
        <f>'Grid_Stock'!C25</f>
        <v/>
      </c>
      <c r="K30" s="13">
        <f>'Grid_Stock'!D25</f>
        <v/>
      </c>
      <c r="L30" s="13">
        <f>'Grid_Stock'!E25</f>
        <v/>
      </c>
      <c r="M30" s="13">
        <f>'Grid_Stock'!F25</f>
        <v/>
      </c>
      <c r="N30" s="13">
        <f>'Grid_Stock'!G25</f>
        <v/>
      </c>
      <c r="O30" s="13">
        <f>'Grid_Stock'!H25</f>
        <v/>
      </c>
      <c r="P30" s="13">
        <f>'Grid_Stock'!I25</f>
        <v/>
      </c>
      <c r="Q30" s="13">
        <f>'Grid_Stock'!J25</f>
        <v/>
      </c>
      <c r="R30" s="13">
        <f>'Grid_Stock'!K25</f>
        <v/>
      </c>
      <c r="S30" s="13">
        <f>'Grid_Stock'!L25</f>
        <v/>
      </c>
      <c r="T30" s="13">
        <f>'Grid_Stock'!M25</f>
        <v/>
      </c>
      <c r="U30" s="13">
        <f>'Grid_Stock'!N25</f>
        <v/>
      </c>
      <c r="V30" s="13">
        <f>'Grid_Stock'!O25</f>
        <v/>
      </c>
      <c r="W30" s="13">
        <f>'Grid_Stock'!P25</f>
        <v/>
      </c>
      <c r="X30" s="13">
        <f>'Grid_Stock'!Q25</f>
        <v/>
      </c>
      <c r="Y30" s="13">
        <f>'Grid_Stock'!R25</f>
        <v/>
      </c>
      <c r="Z30" s="13">
        <f>'Grid_Stock'!S25</f>
        <v/>
      </c>
      <c r="AA30" s="13">
        <f>'Grid_Stock'!T25</f>
        <v/>
      </c>
      <c r="AB30" s="13">
        <f>'Grid_Stock'!U25</f>
        <v/>
      </c>
      <c r="AC30" s="13">
        <f>'Grid_Stock'!V25</f>
        <v/>
      </c>
      <c r="AD30" s="13">
        <f>'Grid_Stock'!W25</f>
        <v/>
      </c>
      <c r="AE30" s="13">
        <f>'Grid_Stock'!X25</f>
        <v/>
      </c>
      <c r="AF30" s="13">
        <f>'Grid_Stock'!Y25</f>
        <v/>
      </c>
      <c r="AG30" s="13">
        <f>'Grid_Stock'!Z25</f>
        <v/>
      </c>
      <c r="AH30" s="13">
        <f>'Grid_Stock'!AA25</f>
        <v/>
      </c>
      <c r="AI30" s="13">
        <f>'Grid_Stock'!AB25</f>
        <v/>
      </c>
      <c r="AJ30" s="13">
        <f>'Grid_Stock'!AC25</f>
        <v/>
      </c>
      <c r="AK30" s="13">
        <f>'Grid_Stock'!AD25</f>
        <v/>
      </c>
      <c r="AL30" s="13">
        <f>'Grid_Stock'!AE25</f>
        <v/>
      </c>
      <c r="AM30" s="13">
        <f>'Grid_Stock'!AF25</f>
        <v/>
      </c>
      <c r="AN30" s="13">
        <f>'Grid_Stock'!AG25</f>
        <v/>
      </c>
      <c r="AO30" s="13">
        <f>'Grid_Stock'!AH25</f>
        <v/>
      </c>
      <c r="AP30" s="13">
        <f>'Grid_Stock'!AI25</f>
        <v/>
      </c>
      <c r="AQ30" s="13">
        <f>'Grid_Stock'!AJ25</f>
        <v/>
      </c>
      <c r="AR30" s="13">
        <f>'Grid_Stock'!AK25</f>
        <v/>
      </c>
      <c r="AS30" s="13">
        <f>'Grid_Stock'!AL25</f>
        <v/>
      </c>
      <c r="AT30" s="13">
        <f>'Grid_Stock'!AM25</f>
        <v/>
      </c>
      <c r="AU30" s="13">
        <f>'Grid_Stock'!AN25</f>
        <v/>
      </c>
      <c r="AV30" s="13">
        <f>'Grid_Stock'!AO25</f>
        <v/>
      </c>
      <c r="AW30" s="13">
        <f>'Grid_Stock'!AP25</f>
        <v/>
      </c>
      <c r="AX30" s="13">
        <f>'Grid_Stock'!AQ25</f>
        <v/>
      </c>
      <c r="AY30" s="13">
        <f>'Grid_Stock'!AR25</f>
        <v/>
      </c>
      <c r="AZ30" s="13">
        <f>'Grid_Stock'!AS25</f>
        <v/>
      </c>
      <c r="BA30" s="13">
        <f>'Grid_Stock'!AT25</f>
        <v/>
      </c>
      <c r="BB30" s="13">
        <f>'Grid_Stock'!AU25</f>
        <v/>
      </c>
      <c r="BC30" s="13">
        <f>'Grid_Stock'!AV25</f>
        <v/>
      </c>
      <c r="BD30" s="13">
        <f>'Grid_Stock'!AW25</f>
        <v/>
      </c>
      <c r="BE30" s="13">
        <f>'Grid_Stock'!AX25</f>
        <v/>
      </c>
      <c r="BF30" s="13">
        <f>'Grid_Stock'!AY25</f>
        <v/>
      </c>
      <c r="BG30" s="13">
        <f>'Grid_Stock'!AZ25</f>
        <v/>
      </c>
      <c r="BH30" s="13">
        <f>'Grid_Stock'!BA25</f>
        <v/>
      </c>
      <c r="BI30" s="13">
        <f>'Grid_Stock'!BB25</f>
        <v/>
      </c>
      <c r="BJ30" s="13">
        <f>'Grid_Stock'!BC25</f>
        <v/>
      </c>
      <c r="BK30" s="13">
        <f>'Grid_Stock'!BD25</f>
        <v/>
      </c>
      <c r="BL30" s="13">
        <f>'Grid_Stock'!BE25</f>
        <v/>
      </c>
      <c r="BM30" s="13">
        <f>'Grid_Stock'!BF25</f>
        <v/>
      </c>
      <c r="BN30" s="13">
        <f>'Grid_Stock'!BG25</f>
        <v/>
      </c>
      <c r="BO30" s="13">
        <f>'Grid_Stock'!BH25</f>
        <v/>
      </c>
      <c r="BP30" s="13">
        <f>'Grid_Stock'!BI25</f>
        <v/>
      </c>
      <c r="BQ30" s="13">
        <f>'Grid_Stock'!BJ25</f>
        <v/>
      </c>
      <c r="BR30" s="13">
        <f>'Grid_Stock'!BK25</f>
        <v/>
      </c>
      <c r="BS30" s="13">
        <f>'Grid_Stock'!BL25</f>
        <v/>
      </c>
      <c r="BT30" s="13">
        <f>'Grid_Stock'!BM25</f>
        <v/>
      </c>
      <c r="BU30" s="13">
        <f>'Grid_Stock'!BN25</f>
        <v/>
      </c>
      <c r="BV30" s="13">
        <f>'Grid_Stock'!BO25</f>
        <v/>
      </c>
      <c r="BW30" s="13">
        <f>'Grid_Stock'!BP25</f>
        <v/>
      </c>
      <c r="BX30" s="13">
        <f>'Grid_Stock'!BQ25</f>
        <v/>
      </c>
      <c r="BY30" s="13">
        <f>'Grid_Stock'!BR25</f>
        <v/>
      </c>
      <c r="BZ30" s="13">
        <f>'Grid_Stock'!BS25</f>
        <v/>
      </c>
      <c r="CA30" s="13">
        <f>'Grid_Stock'!BT25</f>
        <v/>
      </c>
      <c r="CB30" s="13">
        <f>'Grid_Stock'!BU25</f>
        <v/>
      </c>
      <c r="CC30" s="13">
        <f>'Grid_Stock'!BV25</f>
        <v/>
      </c>
      <c r="CD30" s="13">
        <f>'Grid_Stock'!BW25</f>
        <v/>
      </c>
      <c r="CE30" s="13">
        <f>'Grid_Stock'!BX25</f>
        <v/>
      </c>
      <c r="CF30" s="13">
        <f>'Grid_Stock'!BY25</f>
        <v/>
      </c>
      <c r="CG30" s="13">
        <f>'Grid_Stock'!BZ25</f>
        <v/>
      </c>
      <c r="CH30" s="13">
        <f>'Grid_Stock'!CA25</f>
        <v/>
      </c>
      <c r="CI30" s="13">
        <f>'Grid_Stock'!CB25</f>
        <v/>
      </c>
      <c r="CJ30" s="13">
        <f>'Grid_Stock'!CC25</f>
        <v/>
      </c>
      <c r="CK30" s="13">
        <f>'Grid_Stock'!CD25</f>
        <v/>
      </c>
      <c r="CL30" s="13">
        <f>'Grid_Stock'!CE25</f>
        <v/>
      </c>
      <c r="CM30" s="13">
        <f>'Grid_Stock'!CF25</f>
        <v/>
      </c>
      <c r="CN30" s="13">
        <f>'Grid_Stock'!CG25</f>
        <v/>
      </c>
      <c r="CO30" s="13">
        <f>'Grid_Stock'!CH25</f>
        <v/>
      </c>
      <c r="CP30" s="13">
        <f>'Grid_Stock'!CI25</f>
        <v/>
      </c>
      <c r="CQ30" s="13">
        <f>'Grid_Stock'!CJ25</f>
        <v/>
      </c>
      <c r="CR30" s="13">
        <f>'Grid_Stock'!CK25</f>
        <v/>
      </c>
      <c r="CS30" s="13">
        <f>'Grid_Stock'!CL25</f>
        <v/>
      </c>
      <c r="CT30" s="13">
        <f>'Grid_Stock'!CM25</f>
        <v/>
      </c>
      <c r="CU30" s="13">
        <f>'Grid_Stock'!CN25</f>
        <v/>
      </c>
      <c r="CV30" s="13">
        <f>'Grid_Stock'!CO25</f>
        <v/>
      </c>
      <c r="CW30" s="13">
        <f>'Grid_Stock'!CP25</f>
        <v/>
      </c>
      <c r="CX30" s="13">
        <f>'Grid_Stock'!CQ25</f>
        <v/>
      </c>
      <c r="CY30" s="13">
        <f>'Grid_Stock'!CR25</f>
        <v/>
      </c>
      <c r="CZ30" s="13">
        <f>'Grid_Stock'!CS25</f>
        <v/>
      </c>
      <c r="DA30" s="13">
        <f>'Grid_Stock'!CT25</f>
        <v/>
      </c>
      <c r="DB30" s="13">
        <f>'Grid_Stock'!CU25</f>
        <v/>
      </c>
      <c r="DC30" s="13">
        <f>'Grid_Stock'!CV25</f>
        <v/>
      </c>
      <c r="DD30" s="13">
        <f>'Grid_Stock'!CW25</f>
        <v/>
      </c>
      <c r="DE30" s="13">
        <f>'Grid_Stock'!CX25</f>
        <v/>
      </c>
      <c r="DF30" s="13">
        <f>'Grid_Stock'!CY25</f>
        <v/>
      </c>
      <c r="DG30" s="13">
        <f>'Grid_Stock'!CZ25</f>
        <v/>
      </c>
      <c r="DH30" s="13">
        <f>'Grid_Stock'!DA25</f>
        <v/>
      </c>
    </row>
    <row r="31">
      <c r="A31" s="12" t="inlineStr">
        <is>
          <t>CHEM-1830</t>
        </is>
      </c>
      <c r="B31" s="12">
        <f>IFERROR(INDEX(M_RawMaterials[Description],MATCH($A31,M_RawMaterials[Part Name],0)),"")</f>
        <v/>
      </c>
      <c r="C31" s="12">
        <f>IFERROR(INDEX(M_RawMaterials[Category],MATCH($A31,M_RawMaterials[Part Name],0)),"")</f>
        <v/>
      </c>
      <c r="D31" s="12">
        <f>IFERROR(INDEX(M_RawMaterials[基準在庫下限_要入力],MATCH($A31,M_RawMaterials[Part Name],0)),0)</f>
        <v/>
      </c>
      <c r="E31" s="12">
        <f>IFERROR(INDEX(M_RawMaterials[基準在庫上限_要入力],MATCH($A31,M_RawMaterials[Part Name],0)),0)</f>
        <v/>
      </c>
      <c r="F31" s="12">
        <f>IFERROR(LOOKUP(2,1/('T_SelfStock'!$B$30:$DA$30&lt;&gt;""),'T_SelfStock'!$B$30:$DA$30),"")</f>
        <v/>
      </c>
      <c r="G31" s="12">
        <f>IFERROR(LOOKUP(2,1/('T_TTAFStock'!$B$30:$DA$30&lt;&gt;""),'T_TTAFStock'!$B$30:$DA$30),"")</f>
        <v/>
      </c>
      <c r="H31" s="12">
        <f>IFERROR(LOOKUP(2,1/('T_SelfStock'!$B$30:$DA$30&lt;&gt;""),'T_SelfStock'!$B$5:$DA$5),"")</f>
        <v/>
      </c>
      <c r="I31" s="12">
        <f>'Grid_Stock'!B26</f>
        <v/>
      </c>
      <c r="J31" s="12">
        <f>'Grid_Stock'!C26</f>
        <v/>
      </c>
      <c r="K31" s="12">
        <f>'Grid_Stock'!D26</f>
        <v/>
      </c>
      <c r="L31" s="12">
        <f>'Grid_Stock'!E26</f>
        <v/>
      </c>
      <c r="M31" s="12">
        <f>'Grid_Stock'!F26</f>
        <v/>
      </c>
      <c r="N31" s="12">
        <f>'Grid_Stock'!G26</f>
        <v/>
      </c>
      <c r="O31" s="12">
        <f>'Grid_Stock'!H26</f>
        <v/>
      </c>
      <c r="P31" s="12">
        <f>'Grid_Stock'!I26</f>
        <v/>
      </c>
      <c r="Q31" s="12">
        <f>'Grid_Stock'!J26</f>
        <v/>
      </c>
      <c r="R31" s="12">
        <f>'Grid_Stock'!K26</f>
        <v/>
      </c>
      <c r="S31" s="12">
        <f>'Grid_Stock'!L26</f>
        <v/>
      </c>
      <c r="T31" s="12">
        <f>'Grid_Stock'!M26</f>
        <v/>
      </c>
      <c r="U31" s="12">
        <f>'Grid_Stock'!N26</f>
        <v/>
      </c>
      <c r="V31" s="12">
        <f>'Grid_Stock'!O26</f>
        <v/>
      </c>
      <c r="W31" s="12">
        <f>'Grid_Stock'!P26</f>
        <v/>
      </c>
      <c r="X31" s="12">
        <f>'Grid_Stock'!Q26</f>
        <v/>
      </c>
      <c r="Y31" s="12">
        <f>'Grid_Stock'!R26</f>
        <v/>
      </c>
      <c r="Z31" s="12">
        <f>'Grid_Stock'!S26</f>
        <v/>
      </c>
      <c r="AA31" s="12">
        <f>'Grid_Stock'!T26</f>
        <v/>
      </c>
      <c r="AB31" s="12">
        <f>'Grid_Stock'!U26</f>
        <v/>
      </c>
      <c r="AC31" s="12">
        <f>'Grid_Stock'!V26</f>
        <v/>
      </c>
      <c r="AD31" s="12">
        <f>'Grid_Stock'!W26</f>
        <v/>
      </c>
      <c r="AE31" s="12">
        <f>'Grid_Stock'!X26</f>
        <v/>
      </c>
      <c r="AF31" s="12">
        <f>'Grid_Stock'!Y26</f>
        <v/>
      </c>
      <c r="AG31" s="12">
        <f>'Grid_Stock'!Z26</f>
        <v/>
      </c>
      <c r="AH31" s="12">
        <f>'Grid_Stock'!AA26</f>
        <v/>
      </c>
      <c r="AI31" s="12">
        <f>'Grid_Stock'!AB26</f>
        <v/>
      </c>
      <c r="AJ31" s="12">
        <f>'Grid_Stock'!AC26</f>
        <v/>
      </c>
      <c r="AK31" s="12">
        <f>'Grid_Stock'!AD26</f>
        <v/>
      </c>
      <c r="AL31" s="12">
        <f>'Grid_Stock'!AE26</f>
        <v/>
      </c>
      <c r="AM31" s="12">
        <f>'Grid_Stock'!AF26</f>
        <v/>
      </c>
      <c r="AN31" s="12">
        <f>'Grid_Stock'!AG26</f>
        <v/>
      </c>
      <c r="AO31" s="12">
        <f>'Grid_Stock'!AH26</f>
        <v/>
      </c>
      <c r="AP31" s="12">
        <f>'Grid_Stock'!AI26</f>
        <v/>
      </c>
      <c r="AQ31" s="12">
        <f>'Grid_Stock'!AJ26</f>
        <v/>
      </c>
      <c r="AR31" s="12">
        <f>'Grid_Stock'!AK26</f>
        <v/>
      </c>
      <c r="AS31" s="12">
        <f>'Grid_Stock'!AL26</f>
        <v/>
      </c>
      <c r="AT31" s="12">
        <f>'Grid_Stock'!AM26</f>
        <v/>
      </c>
      <c r="AU31" s="12">
        <f>'Grid_Stock'!AN26</f>
        <v/>
      </c>
      <c r="AV31" s="12">
        <f>'Grid_Stock'!AO26</f>
        <v/>
      </c>
      <c r="AW31" s="12">
        <f>'Grid_Stock'!AP26</f>
        <v/>
      </c>
      <c r="AX31" s="12">
        <f>'Grid_Stock'!AQ26</f>
        <v/>
      </c>
      <c r="AY31" s="12">
        <f>'Grid_Stock'!AR26</f>
        <v/>
      </c>
      <c r="AZ31" s="12">
        <f>'Grid_Stock'!AS26</f>
        <v/>
      </c>
      <c r="BA31" s="12">
        <f>'Grid_Stock'!AT26</f>
        <v/>
      </c>
      <c r="BB31" s="12">
        <f>'Grid_Stock'!AU26</f>
        <v/>
      </c>
      <c r="BC31" s="12">
        <f>'Grid_Stock'!AV26</f>
        <v/>
      </c>
      <c r="BD31" s="12">
        <f>'Grid_Stock'!AW26</f>
        <v/>
      </c>
      <c r="BE31" s="12">
        <f>'Grid_Stock'!AX26</f>
        <v/>
      </c>
      <c r="BF31" s="12">
        <f>'Grid_Stock'!AY26</f>
        <v/>
      </c>
      <c r="BG31" s="12">
        <f>'Grid_Stock'!AZ26</f>
        <v/>
      </c>
      <c r="BH31" s="12">
        <f>'Grid_Stock'!BA26</f>
        <v/>
      </c>
      <c r="BI31" s="12">
        <f>'Grid_Stock'!BB26</f>
        <v/>
      </c>
      <c r="BJ31" s="12">
        <f>'Grid_Stock'!BC26</f>
        <v/>
      </c>
      <c r="BK31" s="12">
        <f>'Grid_Stock'!BD26</f>
        <v/>
      </c>
      <c r="BL31" s="12">
        <f>'Grid_Stock'!BE26</f>
        <v/>
      </c>
      <c r="BM31" s="12">
        <f>'Grid_Stock'!BF26</f>
        <v/>
      </c>
      <c r="BN31" s="12">
        <f>'Grid_Stock'!BG26</f>
        <v/>
      </c>
      <c r="BO31" s="12">
        <f>'Grid_Stock'!BH26</f>
        <v/>
      </c>
      <c r="BP31" s="12">
        <f>'Grid_Stock'!BI26</f>
        <v/>
      </c>
      <c r="BQ31" s="12">
        <f>'Grid_Stock'!BJ26</f>
        <v/>
      </c>
      <c r="BR31" s="12">
        <f>'Grid_Stock'!BK26</f>
        <v/>
      </c>
      <c r="BS31" s="12">
        <f>'Grid_Stock'!BL26</f>
        <v/>
      </c>
      <c r="BT31" s="12">
        <f>'Grid_Stock'!BM26</f>
        <v/>
      </c>
      <c r="BU31" s="12">
        <f>'Grid_Stock'!BN26</f>
        <v/>
      </c>
      <c r="BV31" s="12">
        <f>'Grid_Stock'!BO26</f>
        <v/>
      </c>
      <c r="BW31" s="12">
        <f>'Grid_Stock'!BP26</f>
        <v/>
      </c>
      <c r="BX31" s="12">
        <f>'Grid_Stock'!BQ26</f>
        <v/>
      </c>
      <c r="BY31" s="12">
        <f>'Grid_Stock'!BR26</f>
        <v/>
      </c>
      <c r="BZ31" s="12">
        <f>'Grid_Stock'!BS26</f>
        <v/>
      </c>
      <c r="CA31" s="12">
        <f>'Grid_Stock'!BT26</f>
        <v/>
      </c>
      <c r="CB31" s="12">
        <f>'Grid_Stock'!BU26</f>
        <v/>
      </c>
      <c r="CC31" s="12">
        <f>'Grid_Stock'!BV26</f>
        <v/>
      </c>
      <c r="CD31" s="12">
        <f>'Grid_Stock'!BW26</f>
        <v/>
      </c>
      <c r="CE31" s="12">
        <f>'Grid_Stock'!BX26</f>
        <v/>
      </c>
      <c r="CF31" s="12">
        <f>'Grid_Stock'!BY26</f>
        <v/>
      </c>
      <c r="CG31" s="12">
        <f>'Grid_Stock'!BZ26</f>
        <v/>
      </c>
      <c r="CH31" s="12">
        <f>'Grid_Stock'!CA26</f>
        <v/>
      </c>
      <c r="CI31" s="12">
        <f>'Grid_Stock'!CB26</f>
        <v/>
      </c>
      <c r="CJ31" s="12">
        <f>'Grid_Stock'!CC26</f>
        <v/>
      </c>
      <c r="CK31" s="12">
        <f>'Grid_Stock'!CD26</f>
        <v/>
      </c>
      <c r="CL31" s="12">
        <f>'Grid_Stock'!CE26</f>
        <v/>
      </c>
      <c r="CM31" s="12">
        <f>'Grid_Stock'!CF26</f>
        <v/>
      </c>
      <c r="CN31" s="12">
        <f>'Grid_Stock'!CG26</f>
        <v/>
      </c>
      <c r="CO31" s="12">
        <f>'Grid_Stock'!CH26</f>
        <v/>
      </c>
      <c r="CP31" s="12">
        <f>'Grid_Stock'!CI26</f>
        <v/>
      </c>
      <c r="CQ31" s="12">
        <f>'Grid_Stock'!CJ26</f>
        <v/>
      </c>
      <c r="CR31" s="12">
        <f>'Grid_Stock'!CK26</f>
        <v/>
      </c>
      <c r="CS31" s="12">
        <f>'Grid_Stock'!CL26</f>
        <v/>
      </c>
      <c r="CT31" s="12">
        <f>'Grid_Stock'!CM26</f>
        <v/>
      </c>
      <c r="CU31" s="12">
        <f>'Grid_Stock'!CN26</f>
        <v/>
      </c>
      <c r="CV31" s="12">
        <f>'Grid_Stock'!CO26</f>
        <v/>
      </c>
      <c r="CW31" s="12">
        <f>'Grid_Stock'!CP26</f>
        <v/>
      </c>
      <c r="CX31" s="12">
        <f>'Grid_Stock'!CQ26</f>
        <v/>
      </c>
      <c r="CY31" s="12">
        <f>'Grid_Stock'!CR26</f>
        <v/>
      </c>
      <c r="CZ31" s="12">
        <f>'Grid_Stock'!CS26</f>
        <v/>
      </c>
      <c r="DA31" s="12">
        <f>'Grid_Stock'!CT26</f>
        <v/>
      </c>
      <c r="DB31" s="12">
        <f>'Grid_Stock'!CU26</f>
        <v/>
      </c>
      <c r="DC31" s="12">
        <f>'Grid_Stock'!CV26</f>
        <v/>
      </c>
      <c r="DD31" s="12">
        <f>'Grid_Stock'!CW26</f>
        <v/>
      </c>
      <c r="DE31" s="12">
        <f>'Grid_Stock'!CX26</f>
        <v/>
      </c>
      <c r="DF31" s="12">
        <f>'Grid_Stock'!CY26</f>
        <v/>
      </c>
      <c r="DG31" s="12">
        <f>'Grid_Stock'!CZ26</f>
        <v/>
      </c>
      <c r="DH31" s="12">
        <f>'Grid_Stock'!DA26</f>
        <v/>
      </c>
    </row>
    <row r="32">
      <c r="A32" s="13" t="inlineStr">
        <is>
          <t>CHEM-1680</t>
        </is>
      </c>
      <c r="B32" s="13">
        <f>IFERROR(INDEX(M_RawMaterials[Description],MATCH($A32,M_RawMaterials[Part Name],0)),"")</f>
        <v/>
      </c>
      <c r="C32" s="13">
        <f>IFERROR(INDEX(M_RawMaterials[Category],MATCH($A32,M_RawMaterials[Part Name],0)),"")</f>
        <v/>
      </c>
      <c r="D32" s="13">
        <f>IFERROR(INDEX(M_RawMaterials[基準在庫下限_要入力],MATCH($A32,M_RawMaterials[Part Name],0)),0)</f>
        <v/>
      </c>
      <c r="E32" s="13">
        <f>IFERROR(INDEX(M_RawMaterials[基準在庫上限_要入力],MATCH($A32,M_RawMaterials[Part Name],0)),0)</f>
        <v/>
      </c>
      <c r="F32" s="13">
        <f>IFERROR(LOOKUP(2,1/('T_SelfStock'!$B$31:$DA$31&lt;&gt;""),'T_SelfStock'!$B$31:$DA$31),"")</f>
        <v/>
      </c>
      <c r="G32" s="13">
        <f>IFERROR(LOOKUP(2,1/('T_TTAFStock'!$B$31:$DA$31&lt;&gt;""),'T_TTAFStock'!$B$31:$DA$31),"")</f>
        <v/>
      </c>
      <c r="H32" s="13">
        <f>IFERROR(LOOKUP(2,1/('T_SelfStock'!$B$31:$DA$31&lt;&gt;""),'T_SelfStock'!$B$5:$DA$5),"")</f>
        <v/>
      </c>
      <c r="I32" s="13">
        <f>'Grid_Stock'!B27</f>
        <v/>
      </c>
      <c r="J32" s="13">
        <f>'Grid_Stock'!C27</f>
        <v/>
      </c>
      <c r="K32" s="13">
        <f>'Grid_Stock'!D27</f>
        <v/>
      </c>
      <c r="L32" s="13">
        <f>'Grid_Stock'!E27</f>
        <v/>
      </c>
      <c r="M32" s="13">
        <f>'Grid_Stock'!F27</f>
        <v/>
      </c>
      <c r="N32" s="13">
        <f>'Grid_Stock'!G27</f>
        <v/>
      </c>
      <c r="O32" s="13">
        <f>'Grid_Stock'!H27</f>
        <v/>
      </c>
      <c r="P32" s="13">
        <f>'Grid_Stock'!I27</f>
        <v/>
      </c>
      <c r="Q32" s="13">
        <f>'Grid_Stock'!J27</f>
        <v/>
      </c>
      <c r="R32" s="13">
        <f>'Grid_Stock'!K27</f>
        <v/>
      </c>
      <c r="S32" s="13">
        <f>'Grid_Stock'!L27</f>
        <v/>
      </c>
      <c r="T32" s="13">
        <f>'Grid_Stock'!M27</f>
        <v/>
      </c>
      <c r="U32" s="13">
        <f>'Grid_Stock'!N27</f>
        <v/>
      </c>
      <c r="V32" s="13">
        <f>'Grid_Stock'!O27</f>
        <v/>
      </c>
      <c r="W32" s="13">
        <f>'Grid_Stock'!P27</f>
        <v/>
      </c>
      <c r="X32" s="13">
        <f>'Grid_Stock'!Q27</f>
        <v/>
      </c>
      <c r="Y32" s="13">
        <f>'Grid_Stock'!R27</f>
        <v/>
      </c>
      <c r="Z32" s="13">
        <f>'Grid_Stock'!S27</f>
        <v/>
      </c>
      <c r="AA32" s="13">
        <f>'Grid_Stock'!T27</f>
        <v/>
      </c>
      <c r="AB32" s="13">
        <f>'Grid_Stock'!U27</f>
        <v/>
      </c>
      <c r="AC32" s="13">
        <f>'Grid_Stock'!V27</f>
        <v/>
      </c>
      <c r="AD32" s="13">
        <f>'Grid_Stock'!W27</f>
        <v/>
      </c>
      <c r="AE32" s="13">
        <f>'Grid_Stock'!X27</f>
        <v/>
      </c>
      <c r="AF32" s="13">
        <f>'Grid_Stock'!Y27</f>
        <v/>
      </c>
      <c r="AG32" s="13">
        <f>'Grid_Stock'!Z27</f>
        <v/>
      </c>
      <c r="AH32" s="13">
        <f>'Grid_Stock'!AA27</f>
        <v/>
      </c>
      <c r="AI32" s="13">
        <f>'Grid_Stock'!AB27</f>
        <v/>
      </c>
      <c r="AJ32" s="13">
        <f>'Grid_Stock'!AC27</f>
        <v/>
      </c>
      <c r="AK32" s="13">
        <f>'Grid_Stock'!AD27</f>
        <v/>
      </c>
      <c r="AL32" s="13">
        <f>'Grid_Stock'!AE27</f>
        <v/>
      </c>
      <c r="AM32" s="13">
        <f>'Grid_Stock'!AF27</f>
        <v/>
      </c>
      <c r="AN32" s="13">
        <f>'Grid_Stock'!AG27</f>
        <v/>
      </c>
      <c r="AO32" s="13">
        <f>'Grid_Stock'!AH27</f>
        <v/>
      </c>
      <c r="AP32" s="13">
        <f>'Grid_Stock'!AI27</f>
        <v/>
      </c>
      <c r="AQ32" s="13">
        <f>'Grid_Stock'!AJ27</f>
        <v/>
      </c>
      <c r="AR32" s="13">
        <f>'Grid_Stock'!AK27</f>
        <v/>
      </c>
      <c r="AS32" s="13">
        <f>'Grid_Stock'!AL27</f>
        <v/>
      </c>
      <c r="AT32" s="13">
        <f>'Grid_Stock'!AM27</f>
        <v/>
      </c>
      <c r="AU32" s="13">
        <f>'Grid_Stock'!AN27</f>
        <v/>
      </c>
      <c r="AV32" s="13">
        <f>'Grid_Stock'!AO27</f>
        <v/>
      </c>
      <c r="AW32" s="13">
        <f>'Grid_Stock'!AP27</f>
        <v/>
      </c>
      <c r="AX32" s="13">
        <f>'Grid_Stock'!AQ27</f>
        <v/>
      </c>
      <c r="AY32" s="13">
        <f>'Grid_Stock'!AR27</f>
        <v/>
      </c>
      <c r="AZ32" s="13">
        <f>'Grid_Stock'!AS27</f>
        <v/>
      </c>
      <c r="BA32" s="13">
        <f>'Grid_Stock'!AT27</f>
        <v/>
      </c>
      <c r="BB32" s="13">
        <f>'Grid_Stock'!AU27</f>
        <v/>
      </c>
      <c r="BC32" s="13">
        <f>'Grid_Stock'!AV27</f>
        <v/>
      </c>
      <c r="BD32" s="13">
        <f>'Grid_Stock'!AW27</f>
        <v/>
      </c>
      <c r="BE32" s="13">
        <f>'Grid_Stock'!AX27</f>
        <v/>
      </c>
      <c r="BF32" s="13">
        <f>'Grid_Stock'!AY27</f>
        <v/>
      </c>
      <c r="BG32" s="13">
        <f>'Grid_Stock'!AZ27</f>
        <v/>
      </c>
      <c r="BH32" s="13">
        <f>'Grid_Stock'!BA27</f>
        <v/>
      </c>
      <c r="BI32" s="13">
        <f>'Grid_Stock'!BB27</f>
        <v/>
      </c>
      <c r="BJ32" s="13">
        <f>'Grid_Stock'!BC27</f>
        <v/>
      </c>
      <c r="BK32" s="13">
        <f>'Grid_Stock'!BD27</f>
        <v/>
      </c>
      <c r="BL32" s="13">
        <f>'Grid_Stock'!BE27</f>
        <v/>
      </c>
      <c r="BM32" s="13">
        <f>'Grid_Stock'!BF27</f>
        <v/>
      </c>
      <c r="BN32" s="13">
        <f>'Grid_Stock'!BG27</f>
        <v/>
      </c>
      <c r="BO32" s="13">
        <f>'Grid_Stock'!BH27</f>
        <v/>
      </c>
      <c r="BP32" s="13">
        <f>'Grid_Stock'!BI27</f>
        <v/>
      </c>
      <c r="BQ32" s="13">
        <f>'Grid_Stock'!BJ27</f>
        <v/>
      </c>
      <c r="BR32" s="13">
        <f>'Grid_Stock'!BK27</f>
        <v/>
      </c>
      <c r="BS32" s="13">
        <f>'Grid_Stock'!BL27</f>
        <v/>
      </c>
      <c r="BT32" s="13">
        <f>'Grid_Stock'!BM27</f>
        <v/>
      </c>
      <c r="BU32" s="13">
        <f>'Grid_Stock'!BN27</f>
        <v/>
      </c>
      <c r="BV32" s="13">
        <f>'Grid_Stock'!BO27</f>
        <v/>
      </c>
      <c r="BW32" s="13">
        <f>'Grid_Stock'!BP27</f>
        <v/>
      </c>
      <c r="BX32" s="13">
        <f>'Grid_Stock'!BQ27</f>
        <v/>
      </c>
      <c r="BY32" s="13">
        <f>'Grid_Stock'!BR27</f>
        <v/>
      </c>
      <c r="BZ32" s="13">
        <f>'Grid_Stock'!BS27</f>
        <v/>
      </c>
      <c r="CA32" s="13">
        <f>'Grid_Stock'!BT27</f>
        <v/>
      </c>
      <c r="CB32" s="13">
        <f>'Grid_Stock'!BU27</f>
        <v/>
      </c>
      <c r="CC32" s="13">
        <f>'Grid_Stock'!BV27</f>
        <v/>
      </c>
      <c r="CD32" s="13">
        <f>'Grid_Stock'!BW27</f>
        <v/>
      </c>
      <c r="CE32" s="13">
        <f>'Grid_Stock'!BX27</f>
        <v/>
      </c>
      <c r="CF32" s="13">
        <f>'Grid_Stock'!BY27</f>
        <v/>
      </c>
      <c r="CG32" s="13">
        <f>'Grid_Stock'!BZ27</f>
        <v/>
      </c>
      <c r="CH32" s="13">
        <f>'Grid_Stock'!CA27</f>
        <v/>
      </c>
      <c r="CI32" s="13">
        <f>'Grid_Stock'!CB27</f>
        <v/>
      </c>
      <c r="CJ32" s="13">
        <f>'Grid_Stock'!CC27</f>
        <v/>
      </c>
      <c r="CK32" s="13">
        <f>'Grid_Stock'!CD27</f>
        <v/>
      </c>
      <c r="CL32" s="13">
        <f>'Grid_Stock'!CE27</f>
        <v/>
      </c>
      <c r="CM32" s="13">
        <f>'Grid_Stock'!CF27</f>
        <v/>
      </c>
      <c r="CN32" s="13">
        <f>'Grid_Stock'!CG27</f>
        <v/>
      </c>
      <c r="CO32" s="13">
        <f>'Grid_Stock'!CH27</f>
        <v/>
      </c>
      <c r="CP32" s="13">
        <f>'Grid_Stock'!CI27</f>
        <v/>
      </c>
      <c r="CQ32" s="13">
        <f>'Grid_Stock'!CJ27</f>
        <v/>
      </c>
      <c r="CR32" s="13">
        <f>'Grid_Stock'!CK27</f>
        <v/>
      </c>
      <c r="CS32" s="13">
        <f>'Grid_Stock'!CL27</f>
        <v/>
      </c>
      <c r="CT32" s="13">
        <f>'Grid_Stock'!CM27</f>
        <v/>
      </c>
      <c r="CU32" s="13">
        <f>'Grid_Stock'!CN27</f>
        <v/>
      </c>
      <c r="CV32" s="13">
        <f>'Grid_Stock'!CO27</f>
        <v/>
      </c>
      <c r="CW32" s="13">
        <f>'Grid_Stock'!CP27</f>
        <v/>
      </c>
      <c r="CX32" s="13">
        <f>'Grid_Stock'!CQ27</f>
        <v/>
      </c>
      <c r="CY32" s="13">
        <f>'Grid_Stock'!CR27</f>
        <v/>
      </c>
      <c r="CZ32" s="13">
        <f>'Grid_Stock'!CS27</f>
        <v/>
      </c>
      <c r="DA32" s="13">
        <f>'Grid_Stock'!CT27</f>
        <v/>
      </c>
      <c r="DB32" s="13">
        <f>'Grid_Stock'!CU27</f>
        <v/>
      </c>
      <c r="DC32" s="13">
        <f>'Grid_Stock'!CV27</f>
        <v/>
      </c>
      <c r="DD32" s="13">
        <f>'Grid_Stock'!CW27</f>
        <v/>
      </c>
      <c r="DE32" s="13">
        <f>'Grid_Stock'!CX27</f>
        <v/>
      </c>
      <c r="DF32" s="13">
        <f>'Grid_Stock'!CY27</f>
        <v/>
      </c>
      <c r="DG32" s="13">
        <f>'Grid_Stock'!CZ27</f>
        <v/>
      </c>
      <c r="DH32" s="13">
        <f>'Grid_Stock'!DA27</f>
        <v/>
      </c>
    </row>
    <row r="33">
      <c r="A33" s="12" t="inlineStr">
        <is>
          <t>CHEM-1820</t>
        </is>
      </c>
      <c r="B33" s="12">
        <f>IFERROR(INDEX(M_RawMaterials[Description],MATCH($A33,M_RawMaterials[Part Name],0)),"")</f>
        <v/>
      </c>
      <c r="C33" s="12">
        <f>IFERROR(INDEX(M_RawMaterials[Category],MATCH($A33,M_RawMaterials[Part Name],0)),"")</f>
        <v/>
      </c>
      <c r="D33" s="12">
        <f>IFERROR(INDEX(M_RawMaterials[基準在庫下限_要入力],MATCH($A33,M_RawMaterials[Part Name],0)),0)</f>
        <v/>
      </c>
      <c r="E33" s="12">
        <f>IFERROR(INDEX(M_RawMaterials[基準在庫上限_要入力],MATCH($A33,M_RawMaterials[Part Name],0)),0)</f>
        <v/>
      </c>
      <c r="F33" s="12">
        <f>IFERROR(LOOKUP(2,1/('T_SelfStock'!$B$32:$DA$32&lt;&gt;""),'T_SelfStock'!$B$32:$DA$32),"")</f>
        <v/>
      </c>
      <c r="G33" s="12">
        <f>IFERROR(LOOKUP(2,1/('T_TTAFStock'!$B$32:$DA$32&lt;&gt;""),'T_TTAFStock'!$B$32:$DA$32),"")</f>
        <v/>
      </c>
      <c r="H33" s="12">
        <f>IFERROR(LOOKUP(2,1/('T_SelfStock'!$B$32:$DA$32&lt;&gt;""),'T_SelfStock'!$B$5:$DA$5),"")</f>
        <v/>
      </c>
      <c r="I33" s="12">
        <f>'Grid_Stock'!B28</f>
        <v/>
      </c>
      <c r="J33" s="12">
        <f>'Grid_Stock'!C28</f>
        <v/>
      </c>
      <c r="K33" s="12">
        <f>'Grid_Stock'!D28</f>
        <v/>
      </c>
      <c r="L33" s="12">
        <f>'Grid_Stock'!E28</f>
        <v/>
      </c>
      <c r="M33" s="12">
        <f>'Grid_Stock'!F28</f>
        <v/>
      </c>
      <c r="N33" s="12">
        <f>'Grid_Stock'!G28</f>
        <v/>
      </c>
      <c r="O33" s="12">
        <f>'Grid_Stock'!H28</f>
        <v/>
      </c>
      <c r="P33" s="12">
        <f>'Grid_Stock'!I28</f>
        <v/>
      </c>
      <c r="Q33" s="12">
        <f>'Grid_Stock'!J28</f>
        <v/>
      </c>
      <c r="R33" s="12">
        <f>'Grid_Stock'!K28</f>
        <v/>
      </c>
      <c r="S33" s="12">
        <f>'Grid_Stock'!L28</f>
        <v/>
      </c>
      <c r="T33" s="12">
        <f>'Grid_Stock'!M28</f>
        <v/>
      </c>
      <c r="U33" s="12">
        <f>'Grid_Stock'!N28</f>
        <v/>
      </c>
      <c r="V33" s="12">
        <f>'Grid_Stock'!O28</f>
        <v/>
      </c>
      <c r="W33" s="12">
        <f>'Grid_Stock'!P28</f>
        <v/>
      </c>
      <c r="X33" s="12">
        <f>'Grid_Stock'!Q28</f>
        <v/>
      </c>
      <c r="Y33" s="12">
        <f>'Grid_Stock'!R28</f>
        <v/>
      </c>
      <c r="Z33" s="12">
        <f>'Grid_Stock'!S28</f>
        <v/>
      </c>
      <c r="AA33" s="12">
        <f>'Grid_Stock'!T28</f>
        <v/>
      </c>
      <c r="AB33" s="12">
        <f>'Grid_Stock'!U28</f>
        <v/>
      </c>
      <c r="AC33" s="12">
        <f>'Grid_Stock'!V28</f>
        <v/>
      </c>
      <c r="AD33" s="12">
        <f>'Grid_Stock'!W28</f>
        <v/>
      </c>
      <c r="AE33" s="12">
        <f>'Grid_Stock'!X28</f>
        <v/>
      </c>
      <c r="AF33" s="12">
        <f>'Grid_Stock'!Y28</f>
        <v/>
      </c>
      <c r="AG33" s="12">
        <f>'Grid_Stock'!Z28</f>
        <v/>
      </c>
      <c r="AH33" s="12">
        <f>'Grid_Stock'!AA28</f>
        <v/>
      </c>
      <c r="AI33" s="12">
        <f>'Grid_Stock'!AB28</f>
        <v/>
      </c>
      <c r="AJ33" s="12">
        <f>'Grid_Stock'!AC28</f>
        <v/>
      </c>
      <c r="AK33" s="12">
        <f>'Grid_Stock'!AD28</f>
        <v/>
      </c>
      <c r="AL33" s="12">
        <f>'Grid_Stock'!AE28</f>
        <v/>
      </c>
      <c r="AM33" s="12">
        <f>'Grid_Stock'!AF28</f>
        <v/>
      </c>
      <c r="AN33" s="12">
        <f>'Grid_Stock'!AG28</f>
        <v/>
      </c>
      <c r="AO33" s="12">
        <f>'Grid_Stock'!AH28</f>
        <v/>
      </c>
      <c r="AP33" s="12">
        <f>'Grid_Stock'!AI28</f>
        <v/>
      </c>
      <c r="AQ33" s="12">
        <f>'Grid_Stock'!AJ28</f>
        <v/>
      </c>
      <c r="AR33" s="12">
        <f>'Grid_Stock'!AK28</f>
        <v/>
      </c>
      <c r="AS33" s="12">
        <f>'Grid_Stock'!AL28</f>
        <v/>
      </c>
      <c r="AT33" s="12">
        <f>'Grid_Stock'!AM28</f>
        <v/>
      </c>
      <c r="AU33" s="12">
        <f>'Grid_Stock'!AN28</f>
        <v/>
      </c>
      <c r="AV33" s="12">
        <f>'Grid_Stock'!AO28</f>
        <v/>
      </c>
      <c r="AW33" s="12">
        <f>'Grid_Stock'!AP28</f>
        <v/>
      </c>
      <c r="AX33" s="12">
        <f>'Grid_Stock'!AQ28</f>
        <v/>
      </c>
      <c r="AY33" s="12">
        <f>'Grid_Stock'!AR28</f>
        <v/>
      </c>
      <c r="AZ33" s="12">
        <f>'Grid_Stock'!AS28</f>
        <v/>
      </c>
      <c r="BA33" s="12">
        <f>'Grid_Stock'!AT28</f>
        <v/>
      </c>
      <c r="BB33" s="12">
        <f>'Grid_Stock'!AU28</f>
        <v/>
      </c>
      <c r="BC33" s="12">
        <f>'Grid_Stock'!AV28</f>
        <v/>
      </c>
      <c r="BD33" s="12">
        <f>'Grid_Stock'!AW28</f>
        <v/>
      </c>
      <c r="BE33" s="12">
        <f>'Grid_Stock'!AX28</f>
        <v/>
      </c>
      <c r="BF33" s="12">
        <f>'Grid_Stock'!AY28</f>
        <v/>
      </c>
      <c r="BG33" s="12">
        <f>'Grid_Stock'!AZ28</f>
        <v/>
      </c>
      <c r="BH33" s="12">
        <f>'Grid_Stock'!BA28</f>
        <v/>
      </c>
      <c r="BI33" s="12">
        <f>'Grid_Stock'!BB28</f>
        <v/>
      </c>
      <c r="BJ33" s="12">
        <f>'Grid_Stock'!BC28</f>
        <v/>
      </c>
      <c r="BK33" s="12">
        <f>'Grid_Stock'!BD28</f>
        <v/>
      </c>
      <c r="BL33" s="12">
        <f>'Grid_Stock'!BE28</f>
        <v/>
      </c>
      <c r="BM33" s="12">
        <f>'Grid_Stock'!BF28</f>
        <v/>
      </c>
      <c r="BN33" s="12">
        <f>'Grid_Stock'!BG28</f>
        <v/>
      </c>
      <c r="BO33" s="12">
        <f>'Grid_Stock'!BH28</f>
        <v/>
      </c>
      <c r="BP33" s="12">
        <f>'Grid_Stock'!BI28</f>
        <v/>
      </c>
      <c r="BQ33" s="12">
        <f>'Grid_Stock'!BJ28</f>
        <v/>
      </c>
      <c r="BR33" s="12">
        <f>'Grid_Stock'!BK28</f>
        <v/>
      </c>
      <c r="BS33" s="12">
        <f>'Grid_Stock'!BL28</f>
        <v/>
      </c>
      <c r="BT33" s="12">
        <f>'Grid_Stock'!BM28</f>
        <v/>
      </c>
      <c r="BU33" s="12">
        <f>'Grid_Stock'!BN28</f>
        <v/>
      </c>
      <c r="BV33" s="12">
        <f>'Grid_Stock'!BO28</f>
        <v/>
      </c>
      <c r="BW33" s="12">
        <f>'Grid_Stock'!BP28</f>
        <v/>
      </c>
      <c r="BX33" s="12">
        <f>'Grid_Stock'!BQ28</f>
        <v/>
      </c>
      <c r="BY33" s="12">
        <f>'Grid_Stock'!BR28</f>
        <v/>
      </c>
      <c r="BZ33" s="12">
        <f>'Grid_Stock'!BS28</f>
        <v/>
      </c>
      <c r="CA33" s="12">
        <f>'Grid_Stock'!BT28</f>
        <v/>
      </c>
      <c r="CB33" s="12">
        <f>'Grid_Stock'!BU28</f>
        <v/>
      </c>
      <c r="CC33" s="12">
        <f>'Grid_Stock'!BV28</f>
        <v/>
      </c>
      <c r="CD33" s="12">
        <f>'Grid_Stock'!BW28</f>
        <v/>
      </c>
      <c r="CE33" s="12">
        <f>'Grid_Stock'!BX28</f>
        <v/>
      </c>
      <c r="CF33" s="12">
        <f>'Grid_Stock'!BY28</f>
        <v/>
      </c>
      <c r="CG33" s="12">
        <f>'Grid_Stock'!BZ28</f>
        <v/>
      </c>
      <c r="CH33" s="12">
        <f>'Grid_Stock'!CA28</f>
        <v/>
      </c>
      <c r="CI33" s="12">
        <f>'Grid_Stock'!CB28</f>
        <v/>
      </c>
      <c r="CJ33" s="12">
        <f>'Grid_Stock'!CC28</f>
        <v/>
      </c>
      <c r="CK33" s="12">
        <f>'Grid_Stock'!CD28</f>
        <v/>
      </c>
      <c r="CL33" s="12">
        <f>'Grid_Stock'!CE28</f>
        <v/>
      </c>
      <c r="CM33" s="12">
        <f>'Grid_Stock'!CF28</f>
        <v/>
      </c>
      <c r="CN33" s="12">
        <f>'Grid_Stock'!CG28</f>
        <v/>
      </c>
      <c r="CO33" s="12">
        <f>'Grid_Stock'!CH28</f>
        <v/>
      </c>
      <c r="CP33" s="12">
        <f>'Grid_Stock'!CI28</f>
        <v/>
      </c>
      <c r="CQ33" s="12">
        <f>'Grid_Stock'!CJ28</f>
        <v/>
      </c>
      <c r="CR33" s="12">
        <f>'Grid_Stock'!CK28</f>
        <v/>
      </c>
      <c r="CS33" s="12">
        <f>'Grid_Stock'!CL28</f>
        <v/>
      </c>
      <c r="CT33" s="12">
        <f>'Grid_Stock'!CM28</f>
        <v/>
      </c>
      <c r="CU33" s="12">
        <f>'Grid_Stock'!CN28</f>
        <v/>
      </c>
      <c r="CV33" s="12">
        <f>'Grid_Stock'!CO28</f>
        <v/>
      </c>
      <c r="CW33" s="12">
        <f>'Grid_Stock'!CP28</f>
        <v/>
      </c>
      <c r="CX33" s="12">
        <f>'Grid_Stock'!CQ28</f>
        <v/>
      </c>
      <c r="CY33" s="12">
        <f>'Grid_Stock'!CR28</f>
        <v/>
      </c>
      <c r="CZ33" s="12">
        <f>'Grid_Stock'!CS28</f>
        <v/>
      </c>
      <c r="DA33" s="12">
        <f>'Grid_Stock'!CT28</f>
        <v/>
      </c>
      <c r="DB33" s="12">
        <f>'Grid_Stock'!CU28</f>
        <v/>
      </c>
      <c r="DC33" s="12">
        <f>'Grid_Stock'!CV28</f>
        <v/>
      </c>
      <c r="DD33" s="12">
        <f>'Grid_Stock'!CW28</f>
        <v/>
      </c>
      <c r="DE33" s="12">
        <f>'Grid_Stock'!CX28</f>
        <v/>
      </c>
      <c r="DF33" s="12">
        <f>'Grid_Stock'!CY28</f>
        <v/>
      </c>
      <c r="DG33" s="12">
        <f>'Grid_Stock'!CZ28</f>
        <v/>
      </c>
      <c r="DH33" s="12">
        <f>'Grid_Stock'!DA28</f>
        <v/>
      </c>
    </row>
    <row r="34">
      <c r="A34" s="13" t="inlineStr">
        <is>
          <t>CHEM-1840</t>
        </is>
      </c>
      <c r="B34" s="13">
        <f>IFERROR(INDEX(M_RawMaterials[Description],MATCH($A34,M_RawMaterials[Part Name],0)),"")</f>
        <v/>
      </c>
      <c r="C34" s="13">
        <f>IFERROR(INDEX(M_RawMaterials[Category],MATCH($A34,M_RawMaterials[Part Name],0)),"")</f>
        <v/>
      </c>
      <c r="D34" s="13">
        <f>IFERROR(INDEX(M_RawMaterials[基準在庫下限_要入力],MATCH($A34,M_RawMaterials[Part Name],0)),0)</f>
        <v/>
      </c>
      <c r="E34" s="13">
        <f>IFERROR(INDEX(M_RawMaterials[基準在庫上限_要入力],MATCH($A34,M_RawMaterials[Part Name],0)),0)</f>
        <v/>
      </c>
      <c r="F34" s="13">
        <f>IFERROR(LOOKUP(2,1/('T_SelfStock'!$B$33:$DA$33&lt;&gt;""),'T_SelfStock'!$B$33:$DA$33),"")</f>
        <v/>
      </c>
      <c r="G34" s="13">
        <f>IFERROR(LOOKUP(2,1/('T_TTAFStock'!$B$33:$DA$33&lt;&gt;""),'T_TTAFStock'!$B$33:$DA$33),"")</f>
        <v/>
      </c>
      <c r="H34" s="13">
        <f>IFERROR(LOOKUP(2,1/('T_SelfStock'!$B$33:$DA$33&lt;&gt;""),'T_SelfStock'!$B$5:$DA$5),"")</f>
        <v/>
      </c>
      <c r="I34" s="13">
        <f>'Grid_Stock'!B29</f>
        <v/>
      </c>
      <c r="J34" s="13">
        <f>'Grid_Stock'!C29</f>
        <v/>
      </c>
      <c r="K34" s="13">
        <f>'Grid_Stock'!D29</f>
        <v/>
      </c>
      <c r="L34" s="13">
        <f>'Grid_Stock'!E29</f>
        <v/>
      </c>
      <c r="M34" s="13">
        <f>'Grid_Stock'!F29</f>
        <v/>
      </c>
      <c r="N34" s="13">
        <f>'Grid_Stock'!G29</f>
        <v/>
      </c>
      <c r="O34" s="13">
        <f>'Grid_Stock'!H29</f>
        <v/>
      </c>
      <c r="P34" s="13">
        <f>'Grid_Stock'!I29</f>
        <v/>
      </c>
      <c r="Q34" s="13">
        <f>'Grid_Stock'!J29</f>
        <v/>
      </c>
      <c r="R34" s="13">
        <f>'Grid_Stock'!K29</f>
        <v/>
      </c>
      <c r="S34" s="13">
        <f>'Grid_Stock'!L29</f>
        <v/>
      </c>
      <c r="T34" s="13">
        <f>'Grid_Stock'!M29</f>
        <v/>
      </c>
      <c r="U34" s="13">
        <f>'Grid_Stock'!N29</f>
        <v/>
      </c>
      <c r="V34" s="13">
        <f>'Grid_Stock'!O29</f>
        <v/>
      </c>
      <c r="W34" s="13">
        <f>'Grid_Stock'!P29</f>
        <v/>
      </c>
      <c r="X34" s="13">
        <f>'Grid_Stock'!Q29</f>
        <v/>
      </c>
      <c r="Y34" s="13">
        <f>'Grid_Stock'!R29</f>
        <v/>
      </c>
      <c r="Z34" s="13">
        <f>'Grid_Stock'!S29</f>
        <v/>
      </c>
      <c r="AA34" s="13">
        <f>'Grid_Stock'!T29</f>
        <v/>
      </c>
      <c r="AB34" s="13">
        <f>'Grid_Stock'!U29</f>
        <v/>
      </c>
      <c r="AC34" s="13">
        <f>'Grid_Stock'!V29</f>
        <v/>
      </c>
      <c r="AD34" s="13">
        <f>'Grid_Stock'!W29</f>
        <v/>
      </c>
      <c r="AE34" s="13">
        <f>'Grid_Stock'!X29</f>
        <v/>
      </c>
      <c r="AF34" s="13">
        <f>'Grid_Stock'!Y29</f>
        <v/>
      </c>
      <c r="AG34" s="13">
        <f>'Grid_Stock'!Z29</f>
        <v/>
      </c>
      <c r="AH34" s="13">
        <f>'Grid_Stock'!AA29</f>
        <v/>
      </c>
      <c r="AI34" s="13">
        <f>'Grid_Stock'!AB29</f>
        <v/>
      </c>
      <c r="AJ34" s="13">
        <f>'Grid_Stock'!AC29</f>
        <v/>
      </c>
      <c r="AK34" s="13">
        <f>'Grid_Stock'!AD29</f>
        <v/>
      </c>
      <c r="AL34" s="13">
        <f>'Grid_Stock'!AE29</f>
        <v/>
      </c>
      <c r="AM34" s="13">
        <f>'Grid_Stock'!AF29</f>
        <v/>
      </c>
      <c r="AN34" s="13">
        <f>'Grid_Stock'!AG29</f>
        <v/>
      </c>
      <c r="AO34" s="13">
        <f>'Grid_Stock'!AH29</f>
        <v/>
      </c>
      <c r="AP34" s="13">
        <f>'Grid_Stock'!AI29</f>
        <v/>
      </c>
      <c r="AQ34" s="13">
        <f>'Grid_Stock'!AJ29</f>
        <v/>
      </c>
      <c r="AR34" s="13">
        <f>'Grid_Stock'!AK29</f>
        <v/>
      </c>
      <c r="AS34" s="13">
        <f>'Grid_Stock'!AL29</f>
        <v/>
      </c>
      <c r="AT34" s="13">
        <f>'Grid_Stock'!AM29</f>
        <v/>
      </c>
      <c r="AU34" s="13">
        <f>'Grid_Stock'!AN29</f>
        <v/>
      </c>
      <c r="AV34" s="13">
        <f>'Grid_Stock'!AO29</f>
        <v/>
      </c>
      <c r="AW34" s="13">
        <f>'Grid_Stock'!AP29</f>
        <v/>
      </c>
      <c r="AX34" s="13">
        <f>'Grid_Stock'!AQ29</f>
        <v/>
      </c>
      <c r="AY34" s="13">
        <f>'Grid_Stock'!AR29</f>
        <v/>
      </c>
      <c r="AZ34" s="13">
        <f>'Grid_Stock'!AS29</f>
        <v/>
      </c>
      <c r="BA34" s="13">
        <f>'Grid_Stock'!AT29</f>
        <v/>
      </c>
      <c r="BB34" s="13">
        <f>'Grid_Stock'!AU29</f>
        <v/>
      </c>
      <c r="BC34" s="13">
        <f>'Grid_Stock'!AV29</f>
        <v/>
      </c>
      <c r="BD34" s="13">
        <f>'Grid_Stock'!AW29</f>
        <v/>
      </c>
      <c r="BE34" s="13">
        <f>'Grid_Stock'!AX29</f>
        <v/>
      </c>
      <c r="BF34" s="13">
        <f>'Grid_Stock'!AY29</f>
        <v/>
      </c>
      <c r="BG34" s="13">
        <f>'Grid_Stock'!AZ29</f>
        <v/>
      </c>
      <c r="BH34" s="13">
        <f>'Grid_Stock'!BA29</f>
        <v/>
      </c>
      <c r="BI34" s="13">
        <f>'Grid_Stock'!BB29</f>
        <v/>
      </c>
      <c r="BJ34" s="13">
        <f>'Grid_Stock'!BC29</f>
        <v/>
      </c>
      <c r="BK34" s="13">
        <f>'Grid_Stock'!BD29</f>
        <v/>
      </c>
      <c r="BL34" s="13">
        <f>'Grid_Stock'!BE29</f>
        <v/>
      </c>
      <c r="BM34" s="13">
        <f>'Grid_Stock'!BF29</f>
        <v/>
      </c>
      <c r="BN34" s="13">
        <f>'Grid_Stock'!BG29</f>
        <v/>
      </c>
      <c r="BO34" s="13">
        <f>'Grid_Stock'!BH29</f>
        <v/>
      </c>
      <c r="BP34" s="13">
        <f>'Grid_Stock'!BI29</f>
        <v/>
      </c>
      <c r="BQ34" s="13">
        <f>'Grid_Stock'!BJ29</f>
        <v/>
      </c>
      <c r="BR34" s="13">
        <f>'Grid_Stock'!BK29</f>
        <v/>
      </c>
      <c r="BS34" s="13">
        <f>'Grid_Stock'!BL29</f>
        <v/>
      </c>
      <c r="BT34" s="13">
        <f>'Grid_Stock'!BM29</f>
        <v/>
      </c>
      <c r="BU34" s="13">
        <f>'Grid_Stock'!BN29</f>
        <v/>
      </c>
      <c r="BV34" s="13">
        <f>'Grid_Stock'!BO29</f>
        <v/>
      </c>
      <c r="BW34" s="13">
        <f>'Grid_Stock'!BP29</f>
        <v/>
      </c>
      <c r="BX34" s="13">
        <f>'Grid_Stock'!BQ29</f>
        <v/>
      </c>
      <c r="BY34" s="13">
        <f>'Grid_Stock'!BR29</f>
        <v/>
      </c>
      <c r="BZ34" s="13">
        <f>'Grid_Stock'!BS29</f>
        <v/>
      </c>
      <c r="CA34" s="13">
        <f>'Grid_Stock'!BT29</f>
        <v/>
      </c>
      <c r="CB34" s="13">
        <f>'Grid_Stock'!BU29</f>
        <v/>
      </c>
      <c r="CC34" s="13">
        <f>'Grid_Stock'!BV29</f>
        <v/>
      </c>
      <c r="CD34" s="13">
        <f>'Grid_Stock'!BW29</f>
        <v/>
      </c>
      <c r="CE34" s="13">
        <f>'Grid_Stock'!BX29</f>
        <v/>
      </c>
      <c r="CF34" s="13">
        <f>'Grid_Stock'!BY29</f>
        <v/>
      </c>
      <c r="CG34" s="13">
        <f>'Grid_Stock'!BZ29</f>
        <v/>
      </c>
      <c r="CH34" s="13">
        <f>'Grid_Stock'!CA29</f>
        <v/>
      </c>
      <c r="CI34" s="13">
        <f>'Grid_Stock'!CB29</f>
        <v/>
      </c>
      <c r="CJ34" s="13">
        <f>'Grid_Stock'!CC29</f>
        <v/>
      </c>
      <c r="CK34" s="13">
        <f>'Grid_Stock'!CD29</f>
        <v/>
      </c>
      <c r="CL34" s="13">
        <f>'Grid_Stock'!CE29</f>
        <v/>
      </c>
      <c r="CM34" s="13">
        <f>'Grid_Stock'!CF29</f>
        <v/>
      </c>
      <c r="CN34" s="13">
        <f>'Grid_Stock'!CG29</f>
        <v/>
      </c>
      <c r="CO34" s="13">
        <f>'Grid_Stock'!CH29</f>
        <v/>
      </c>
      <c r="CP34" s="13">
        <f>'Grid_Stock'!CI29</f>
        <v/>
      </c>
      <c r="CQ34" s="13">
        <f>'Grid_Stock'!CJ29</f>
        <v/>
      </c>
      <c r="CR34" s="13">
        <f>'Grid_Stock'!CK29</f>
        <v/>
      </c>
      <c r="CS34" s="13">
        <f>'Grid_Stock'!CL29</f>
        <v/>
      </c>
      <c r="CT34" s="13">
        <f>'Grid_Stock'!CM29</f>
        <v/>
      </c>
      <c r="CU34" s="13">
        <f>'Grid_Stock'!CN29</f>
        <v/>
      </c>
      <c r="CV34" s="13">
        <f>'Grid_Stock'!CO29</f>
        <v/>
      </c>
      <c r="CW34" s="13">
        <f>'Grid_Stock'!CP29</f>
        <v/>
      </c>
      <c r="CX34" s="13">
        <f>'Grid_Stock'!CQ29</f>
        <v/>
      </c>
      <c r="CY34" s="13">
        <f>'Grid_Stock'!CR29</f>
        <v/>
      </c>
      <c r="CZ34" s="13">
        <f>'Grid_Stock'!CS29</f>
        <v/>
      </c>
      <c r="DA34" s="13">
        <f>'Grid_Stock'!CT29</f>
        <v/>
      </c>
      <c r="DB34" s="13">
        <f>'Grid_Stock'!CU29</f>
        <v/>
      </c>
      <c r="DC34" s="13">
        <f>'Grid_Stock'!CV29</f>
        <v/>
      </c>
      <c r="DD34" s="13">
        <f>'Grid_Stock'!CW29</f>
        <v/>
      </c>
      <c r="DE34" s="13">
        <f>'Grid_Stock'!CX29</f>
        <v/>
      </c>
      <c r="DF34" s="13">
        <f>'Grid_Stock'!CY29</f>
        <v/>
      </c>
      <c r="DG34" s="13">
        <f>'Grid_Stock'!CZ29</f>
        <v/>
      </c>
      <c r="DH34" s="13">
        <f>'Grid_Stock'!DA29</f>
        <v/>
      </c>
    </row>
    <row r="35">
      <c r="A35" s="12" t="inlineStr">
        <is>
          <t>TDJ</t>
        </is>
      </c>
      <c r="B35" s="12">
        <f>IFERROR(INDEX(M_RawMaterials[Description],MATCH($A35,M_RawMaterials[Part Name],0)),"")</f>
        <v/>
      </c>
      <c r="C35" s="12">
        <f>IFERROR(INDEX(M_RawMaterials[Category],MATCH($A35,M_RawMaterials[Part Name],0)),"")</f>
        <v/>
      </c>
      <c r="D35" s="12">
        <f>IFERROR(INDEX(M_RawMaterials[基準在庫下限_要入力],MATCH($A35,M_RawMaterials[Part Name],0)),0)</f>
        <v/>
      </c>
      <c r="E35" s="12">
        <f>IFERROR(INDEX(M_RawMaterials[基準在庫上限_要入力],MATCH($A35,M_RawMaterials[Part Name],0)),0)</f>
        <v/>
      </c>
      <c r="F35" s="12">
        <f>IFERROR(LOOKUP(2,1/('T_SelfStock'!$B$34:$DA$34&lt;&gt;""),'T_SelfStock'!$B$34:$DA$34),"")</f>
        <v/>
      </c>
      <c r="G35" s="12">
        <f>IFERROR(LOOKUP(2,1/('T_TTAFStock'!$B$34:$DA$34&lt;&gt;""),'T_TTAFStock'!$B$34:$DA$34),"")</f>
        <v/>
      </c>
      <c r="H35" s="12">
        <f>IFERROR(LOOKUP(2,1/('T_SelfStock'!$B$34:$DA$34&lt;&gt;""),'T_SelfStock'!$B$5:$DA$5),"")</f>
        <v/>
      </c>
      <c r="I35" s="12">
        <f>'Grid_Stock'!B30</f>
        <v/>
      </c>
      <c r="J35" s="12">
        <f>'Grid_Stock'!C30</f>
        <v/>
      </c>
      <c r="K35" s="12">
        <f>'Grid_Stock'!D30</f>
        <v/>
      </c>
      <c r="L35" s="12">
        <f>'Grid_Stock'!E30</f>
        <v/>
      </c>
      <c r="M35" s="12">
        <f>'Grid_Stock'!F30</f>
        <v/>
      </c>
      <c r="N35" s="12">
        <f>'Grid_Stock'!G30</f>
        <v/>
      </c>
      <c r="O35" s="12">
        <f>'Grid_Stock'!H30</f>
        <v/>
      </c>
      <c r="P35" s="12">
        <f>'Grid_Stock'!I30</f>
        <v/>
      </c>
      <c r="Q35" s="12">
        <f>'Grid_Stock'!J30</f>
        <v/>
      </c>
      <c r="R35" s="12">
        <f>'Grid_Stock'!K30</f>
        <v/>
      </c>
      <c r="S35" s="12">
        <f>'Grid_Stock'!L30</f>
        <v/>
      </c>
      <c r="T35" s="12">
        <f>'Grid_Stock'!M30</f>
        <v/>
      </c>
      <c r="U35" s="12">
        <f>'Grid_Stock'!N30</f>
        <v/>
      </c>
      <c r="V35" s="12">
        <f>'Grid_Stock'!O30</f>
        <v/>
      </c>
      <c r="W35" s="12">
        <f>'Grid_Stock'!P30</f>
        <v/>
      </c>
      <c r="X35" s="12">
        <f>'Grid_Stock'!Q30</f>
        <v/>
      </c>
      <c r="Y35" s="12">
        <f>'Grid_Stock'!R30</f>
        <v/>
      </c>
      <c r="Z35" s="12">
        <f>'Grid_Stock'!S30</f>
        <v/>
      </c>
      <c r="AA35" s="12">
        <f>'Grid_Stock'!T30</f>
        <v/>
      </c>
      <c r="AB35" s="12">
        <f>'Grid_Stock'!U30</f>
        <v/>
      </c>
      <c r="AC35" s="12">
        <f>'Grid_Stock'!V30</f>
        <v/>
      </c>
      <c r="AD35" s="12">
        <f>'Grid_Stock'!W30</f>
        <v/>
      </c>
      <c r="AE35" s="12">
        <f>'Grid_Stock'!X30</f>
        <v/>
      </c>
      <c r="AF35" s="12">
        <f>'Grid_Stock'!Y30</f>
        <v/>
      </c>
      <c r="AG35" s="12">
        <f>'Grid_Stock'!Z30</f>
        <v/>
      </c>
      <c r="AH35" s="12">
        <f>'Grid_Stock'!AA30</f>
        <v/>
      </c>
      <c r="AI35" s="12">
        <f>'Grid_Stock'!AB30</f>
        <v/>
      </c>
      <c r="AJ35" s="12">
        <f>'Grid_Stock'!AC30</f>
        <v/>
      </c>
      <c r="AK35" s="12">
        <f>'Grid_Stock'!AD30</f>
        <v/>
      </c>
      <c r="AL35" s="12">
        <f>'Grid_Stock'!AE30</f>
        <v/>
      </c>
      <c r="AM35" s="12">
        <f>'Grid_Stock'!AF30</f>
        <v/>
      </c>
      <c r="AN35" s="12">
        <f>'Grid_Stock'!AG30</f>
        <v/>
      </c>
      <c r="AO35" s="12">
        <f>'Grid_Stock'!AH30</f>
        <v/>
      </c>
      <c r="AP35" s="12">
        <f>'Grid_Stock'!AI30</f>
        <v/>
      </c>
      <c r="AQ35" s="12">
        <f>'Grid_Stock'!AJ30</f>
        <v/>
      </c>
      <c r="AR35" s="12">
        <f>'Grid_Stock'!AK30</f>
        <v/>
      </c>
      <c r="AS35" s="12">
        <f>'Grid_Stock'!AL30</f>
        <v/>
      </c>
      <c r="AT35" s="12">
        <f>'Grid_Stock'!AM30</f>
        <v/>
      </c>
      <c r="AU35" s="12">
        <f>'Grid_Stock'!AN30</f>
        <v/>
      </c>
      <c r="AV35" s="12">
        <f>'Grid_Stock'!AO30</f>
        <v/>
      </c>
      <c r="AW35" s="12">
        <f>'Grid_Stock'!AP30</f>
        <v/>
      </c>
      <c r="AX35" s="12">
        <f>'Grid_Stock'!AQ30</f>
        <v/>
      </c>
      <c r="AY35" s="12">
        <f>'Grid_Stock'!AR30</f>
        <v/>
      </c>
      <c r="AZ35" s="12">
        <f>'Grid_Stock'!AS30</f>
        <v/>
      </c>
      <c r="BA35" s="12">
        <f>'Grid_Stock'!AT30</f>
        <v/>
      </c>
      <c r="BB35" s="12">
        <f>'Grid_Stock'!AU30</f>
        <v/>
      </c>
      <c r="BC35" s="12">
        <f>'Grid_Stock'!AV30</f>
        <v/>
      </c>
      <c r="BD35" s="12">
        <f>'Grid_Stock'!AW30</f>
        <v/>
      </c>
      <c r="BE35" s="12">
        <f>'Grid_Stock'!AX30</f>
        <v/>
      </c>
      <c r="BF35" s="12">
        <f>'Grid_Stock'!AY30</f>
        <v/>
      </c>
      <c r="BG35" s="12">
        <f>'Grid_Stock'!AZ30</f>
        <v/>
      </c>
      <c r="BH35" s="12">
        <f>'Grid_Stock'!BA30</f>
        <v/>
      </c>
      <c r="BI35" s="12">
        <f>'Grid_Stock'!BB30</f>
        <v/>
      </c>
      <c r="BJ35" s="12">
        <f>'Grid_Stock'!BC30</f>
        <v/>
      </c>
      <c r="BK35" s="12">
        <f>'Grid_Stock'!BD30</f>
        <v/>
      </c>
      <c r="BL35" s="12">
        <f>'Grid_Stock'!BE30</f>
        <v/>
      </c>
      <c r="BM35" s="12">
        <f>'Grid_Stock'!BF30</f>
        <v/>
      </c>
      <c r="BN35" s="12">
        <f>'Grid_Stock'!BG30</f>
        <v/>
      </c>
      <c r="BO35" s="12">
        <f>'Grid_Stock'!BH30</f>
        <v/>
      </c>
      <c r="BP35" s="12">
        <f>'Grid_Stock'!BI30</f>
        <v/>
      </c>
      <c r="BQ35" s="12">
        <f>'Grid_Stock'!BJ30</f>
        <v/>
      </c>
      <c r="BR35" s="12">
        <f>'Grid_Stock'!BK30</f>
        <v/>
      </c>
      <c r="BS35" s="12">
        <f>'Grid_Stock'!BL30</f>
        <v/>
      </c>
      <c r="BT35" s="12">
        <f>'Grid_Stock'!BM30</f>
        <v/>
      </c>
      <c r="BU35" s="12">
        <f>'Grid_Stock'!BN30</f>
        <v/>
      </c>
      <c r="BV35" s="12">
        <f>'Grid_Stock'!BO30</f>
        <v/>
      </c>
      <c r="BW35" s="12">
        <f>'Grid_Stock'!BP30</f>
        <v/>
      </c>
      <c r="BX35" s="12">
        <f>'Grid_Stock'!BQ30</f>
        <v/>
      </c>
      <c r="BY35" s="12">
        <f>'Grid_Stock'!BR30</f>
        <v/>
      </c>
      <c r="BZ35" s="12">
        <f>'Grid_Stock'!BS30</f>
        <v/>
      </c>
      <c r="CA35" s="12">
        <f>'Grid_Stock'!BT30</f>
        <v/>
      </c>
      <c r="CB35" s="12">
        <f>'Grid_Stock'!BU30</f>
        <v/>
      </c>
      <c r="CC35" s="12">
        <f>'Grid_Stock'!BV30</f>
        <v/>
      </c>
      <c r="CD35" s="12">
        <f>'Grid_Stock'!BW30</f>
        <v/>
      </c>
      <c r="CE35" s="12">
        <f>'Grid_Stock'!BX30</f>
        <v/>
      </c>
      <c r="CF35" s="12">
        <f>'Grid_Stock'!BY30</f>
        <v/>
      </c>
      <c r="CG35" s="12">
        <f>'Grid_Stock'!BZ30</f>
        <v/>
      </c>
      <c r="CH35" s="12">
        <f>'Grid_Stock'!CA30</f>
        <v/>
      </c>
      <c r="CI35" s="12">
        <f>'Grid_Stock'!CB30</f>
        <v/>
      </c>
      <c r="CJ35" s="12">
        <f>'Grid_Stock'!CC30</f>
        <v/>
      </c>
      <c r="CK35" s="12">
        <f>'Grid_Stock'!CD30</f>
        <v/>
      </c>
      <c r="CL35" s="12">
        <f>'Grid_Stock'!CE30</f>
        <v/>
      </c>
      <c r="CM35" s="12">
        <f>'Grid_Stock'!CF30</f>
        <v/>
      </c>
      <c r="CN35" s="12">
        <f>'Grid_Stock'!CG30</f>
        <v/>
      </c>
      <c r="CO35" s="12">
        <f>'Grid_Stock'!CH30</f>
        <v/>
      </c>
      <c r="CP35" s="12">
        <f>'Grid_Stock'!CI30</f>
        <v/>
      </c>
      <c r="CQ35" s="12">
        <f>'Grid_Stock'!CJ30</f>
        <v/>
      </c>
      <c r="CR35" s="12">
        <f>'Grid_Stock'!CK30</f>
        <v/>
      </c>
      <c r="CS35" s="12">
        <f>'Grid_Stock'!CL30</f>
        <v/>
      </c>
      <c r="CT35" s="12">
        <f>'Grid_Stock'!CM30</f>
        <v/>
      </c>
      <c r="CU35" s="12">
        <f>'Grid_Stock'!CN30</f>
        <v/>
      </c>
      <c r="CV35" s="12">
        <f>'Grid_Stock'!CO30</f>
        <v/>
      </c>
      <c r="CW35" s="12">
        <f>'Grid_Stock'!CP30</f>
        <v/>
      </c>
      <c r="CX35" s="12">
        <f>'Grid_Stock'!CQ30</f>
        <v/>
      </c>
      <c r="CY35" s="12">
        <f>'Grid_Stock'!CR30</f>
        <v/>
      </c>
      <c r="CZ35" s="12">
        <f>'Grid_Stock'!CS30</f>
        <v/>
      </c>
      <c r="DA35" s="12">
        <f>'Grid_Stock'!CT30</f>
        <v/>
      </c>
      <c r="DB35" s="12">
        <f>'Grid_Stock'!CU30</f>
        <v/>
      </c>
      <c r="DC35" s="12">
        <f>'Grid_Stock'!CV30</f>
        <v/>
      </c>
      <c r="DD35" s="12">
        <f>'Grid_Stock'!CW30</f>
        <v/>
      </c>
      <c r="DE35" s="12">
        <f>'Grid_Stock'!CX30</f>
        <v/>
      </c>
      <c r="DF35" s="12">
        <f>'Grid_Stock'!CY30</f>
        <v/>
      </c>
      <c r="DG35" s="12">
        <f>'Grid_Stock'!CZ30</f>
        <v/>
      </c>
      <c r="DH35" s="12">
        <f>'Grid_Stock'!DA30</f>
        <v/>
      </c>
    </row>
    <row r="36">
      <c r="A36" s="13" t="inlineStr">
        <is>
          <t>CHEM-1730</t>
        </is>
      </c>
      <c r="B36" s="13">
        <f>IFERROR(INDEX(M_RawMaterials[Description],MATCH($A36,M_RawMaterials[Part Name],0)),"")</f>
        <v/>
      </c>
      <c r="C36" s="13">
        <f>IFERROR(INDEX(M_RawMaterials[Category],MATCH($A36,M_RawMaterials[Part Name],0)),"")</f>
        <v/>
      </c>
      <c r="D36" s="13">
        <f>IFERROR(INDEX(M_RawMaterials[基準在庫下限_要入力],MATCH($A36,M_RawMaterials[Part Name],0)),0)</f>
        <v/>
      </c>
      <c r="E36" s="13">
        <f>IFERROR(INDEX(M_RawMaterials[基準在庫上限_要入力],MATCH($A36,M_RawMaterials[Part Name],0)),0)</f>
        <v/>
      </c>
      <c r="F36" s="13">
        <f>IFERROR(LOOKUP(2,1/('T_SelfStock'!$B$35:$DA$35&lt;&gt;""),'T_SelfStock'!$B$35:$DA$35),"")</f>
        <v/>
      </c>
      <c r="G36" s="13">
        <f>IFERROR(LOOKUP(2,1/('T_TTAFStock'!$B$35:$DA$35&lt;&gt;""),'T_TTAFStock'!$B$35:$DA$35),"")</f>
        <v/>
      </c>
      <c r="H36" s="13">
        <f>IFERROR(LOOKUP(2,1/('T_SelfStock'!$B$35:$DA$35&lt;&gt;""),'T_SelfStock'!$B$5:$DA$5),"")</f>
        <v/>
      </c>
      <c r="I36" s="13">
        <f>'Grid_Stock'!B31</f>
        <v/>
      </c>
      <c r="J36" s="13">
        <f>'Grid_Stock'!C31</f>
        <v/>
      </c>
      <c r="K36" s="13">
        <f>'Grid_Stock'!D31</f>
        <v/>
      </c>
      <c r="L36" s="13">
        <f>'Grid_Stock'!E31</f>
        <v/>
      </c>
      <c r="M36" s="13">
        <f>'Grid_Stock'!F31</f>
        <v/>
      </c>
      <c r="N36" s="13">
        <f>'Grid_Stock'!G31</f>
        <v/>
      </c>
      <c r="O36" s="13">
        <f>'Grid_Stock'!H31</f>
        <v/>
      </c>
      <c r="P36" s="13">
        <f>'Grid_Stock'!I31</f>
        <v/>
      </c>
      <c r="Q36" s="13">
        <f>'Grid_Stock'!J31</f>
        <v/>
      </c>
      <c r="R36" s="13">
        <f>'Grid_Stock'!K31</f>
        <v/>
      </c>
      <c r="S36" s="13">
        <f>'Grid_Stock'!L31</f>
        <v/>
      </c>
      <c r="T36" s="13">
        <f>'Grid_Stock'!M31</f>
        <v/>
      </c>
      <c r="U36" s="13">
        <f>'Grid_Stock'!N31</f>
        <v/>
      </c>
      <c r="V36" s="13">
        <f>'Grid_Stock'!O31</f>
        <v/>
      </c>
      <c r="W36" s="13">
        <f>'Grid_Stock'!P31</f>
        <v/>
      </c>
      <c r="X36" s="13">
        <f>'Grid_Stock'!Q31</f>
        <v/>
      </c>
      <c r="Y36" s="13">
        <f>'Grid_Stock'!R31</f>
        <v/>
      </c>
      <c r="Z36" s="13">
        <f>'Grid_Stock'!S31</f>
        <v/>
      </c>
      <c r="AA36" s="13">
        <f>'Grid_Stock'!T31</f>
        <v/>
      </c>
      <c r="AB36" s="13">
        <f>'Grid_Stock'!U31</f>
        <v/>
      </c>
      <c r="AC36" s="13">
        <f>'Grid_Stock'!V31</f>
        <v/>
      </c>
      <c r="AD36" s="13">
        <f>'Grid_Stock'!W31</f>
        <v/>
      </c>
      <c r="AE36" s="13">
        <f>'Grid_Stock'!X31</f>
        <v/>
      </c>
      <c r="AF36" s="13">
        <f>'Grid_Stock'!Y31</f>
        <v/>
      </c>
      <c r="AG36" s="13">
        <f>'Grid_Stock'!Z31</f>
        <v/>
      </c>
      <c r="AH36" s="13">
        <f>'Grid_Stock'!AA31</f>
        <v/>
      </c>
      <c r="AI36" s="13">
        <f>'Grid_Stock'!AB31</f>
        <v/>
      </c>
      <c r="AJ36" s="13">
        <f>'Grid_Stock'!AC31</f>
        <v/>
      </c>
      <c r="AK36" s="13">
        <f>'Grid_Stock'!AD31</f>
        <v/>
      </c>
      <c r="AL36" s="13">
        <f>'Grid_Stock'!AE31</f>
        <v/>
      </c>
      <c r="AM36" s="13">
        <f>'Grid_Stock'!AF31</f>
        <v/>
      </c>
      <c r="AN36" s="13">
        <f>'Grid_Stock'!AG31</f>
        <v/>
      </c>
      <c r="AO36" s="13">
        <f>'Grid_Stock'!AH31</f>
        <v/>
      </c>
      <c r="AP36" s="13">
        <f>'Grid_Stock'!AI31</f>
        <v/>
      </c>
      <c r="AQ36" s="13">
        <f>'Grid_Stock'!AJ31</f>
        <v/>
      </c>
      <c r="AR36" s="13">
        <f>'Grid_Stock'!AK31</f>
        <v/>
      </c>
      <c r="AS36" s="13">
        <f>'Grid_Stock'!AL31</f>
        <v/>
      </c>
      <c r="AT36" s="13">
        <f>'Grid_Stock'!AM31</f>
        <v/>
      </c>
      <c r="AU36" s="13">
        <f>'Grid_Stock'!AN31</f>
        <v/>
      </c>
      <c r="AV36" s="13">
        <f>'Grid_Stock'!AO31</f>
        <v/>
      </c>
      <c r="AW36" s="13">
        <f>'Grid_Stock'!AP31</f>
        <v/>
      </c>
      <c r="AX36" s="13">
        <f>'Grid_Stock'!AQ31</f>
        <v/>
      </c>
      <c r="AY36" s="13">
        <f>'Grid_Stock'!AR31</f>
        <v/>
      </c>
      <c r="AZ36" s="13">
        <f>'Grid_Stock'!AS31</f>
        <v/>
      </c>
      <c r="BA36" s="13">
        <f>'Grid_Stock'!AT31</f>
        <v/>
      </c>
      <c r="BB36" s="13">
        <f>'Grid_Stock'!AU31</f>
        <v/>
      </c>
      <c r="BC36" s="13">
        <f>'Grid_Stock'!AV31</f>
        <v/>
      </c>
      <c r="BD36" s="13">
        <f>'Grid_Stock'!AW31</f>
        <v/>
      </c>
      <c r="BE36" s="13">
        <f>'Grid_Stock'!AX31</f>
        <v/>
      </c>
      <c r="BF36" s="13">
        <f>'Grid_Stock'!AY31</f>
        <v/>
      </c>
      <c r="BG36" s="13">
        <f>'Grid_Stock'!AZ31</f>
        <v/>
      </c>
      <c r="BH36" s="13">
        <f>'Grid_Stock'!BA31</f>
        <v/>
      </c>
      <c r="BI36" s="13">
        <f>'Grid_Stock'!BB31</f>
        <v/>
      </c>
      <c r="BJ36" s="13">
        <f>'Grid_Stock'!BC31</f>
        <v/>
      </c>
      <c r="BK36" s="13">
        <f>'Grid_Stock'!BD31</f>
        <v/>
      </c>
      <c r="BL36" s="13">
        <f>'Grid_Stock'!BE31</f>
        <v/>
      </c>
      <c r="BM36" s="13">
        <f>'Grid_Stock'!BF31</f>
        <v/>
      </c>
      <c r="BN36" s="13">
        <f>'Grid_Stock'!BG31</f>
        <v/>
      </c>
      <c r="BO36" s="13">
        <f>'Grid_Stock'!BH31</f>
        <v/>
      </c>
      <c r="BP36" s="13">
        <f>'Grid_Stock'!BI31</f>
        <v/>
      </c>
      <c r="BQ36" s="13">
        <f>'Grid_Stock'!BJ31</f>
        <v/>
      </c>
      <c r="BR36" s="13">
        <f>'Grid_Stock'!BK31</f>
        <v/>
      </c>
      <c r="BS36" s="13">
        <f>'Grid_Stock'!BL31</f>
        <v/>
      </c>
      <c r="BT36" s="13">
        <f>'Grid_Stock'!BM31</f>
        <v/>
      </c>
      <c r="BU36" s="13">
        <f>'Grid_Stock'!BN31</f>
        <v/>
      </c>
      <c r="BV36" s="13">
        <f>'Grid_Stock'!BO31</f>
        <v/>
      </c>
      <c r="BW36" s="13">
        <f>'Grid_Stock'!BP31</f>
        <v/>
      </c>
      <c r="BX36" s="13">
        <f>'Grid_Stock'!BQ31</f>
        <v/>
      </c>
      <c r="BY36" s="13">
        <f>'Grid_Stock'!BR31</f>
        <v/>
      </c>
      <c r="BZ36" s="13">
        <f>'Grid_Stock'!BS31</f>
        <v/>
      </c>
      <c r="CA36" s="13">
        <f>'Grid_Stock'!BT31</f>
        <v/>
      </c>
      <c r="CB36" s="13">
        <f>'Grid_Stock'!BU31</f>
        <v/>
      </c>
      <c r="CC36" s="13">
        <f>'Grid_Stock'!BV31</f>
        <v/>
      </c>
      <c r="CD36" s="13">
        <f>'Grid_Stock'!BW31</f>
        <v/>
      </c>
      <c r="CE36" s="13">
        <f>'Grid_Stock'!BX31</f>
        <v/>
      </c>
      <c r="CF36" s="13">
        <f>'Grid_Stock'!BY31</f>
        <v/>
      </c>
      <c r="CG36" s="13">
        <f>'Grid_Stock'!BZ31</f>
        <v/>
      </c>
      <c r="CH36" s="13">
        <f>'Grid_Stock'!CA31</f>
        <v/>
      </c>
      <c r="CI36" s="13">
        <f>'Grid_Stock'!CB31</f>
        <v/>
      </c>
      <c r="CJ36" s="13">
        <f>'Grid_Stock'!CC31</f>
        <v/>
      </c>
      <c r="CK36" s="13">
        <f>'Grid_Stock'!CD31</f>
        <v/>
      </c>
      <c r="CL36" s="13">
        <f>'Grid_Stock'!CE31</f>
        <v/>
      </c>
      <c r="CM36" s="13">
        <f>'Grid_Stock'!CF31</f>
        <v/>
      </c>
      <c r="CN36" s="13">
        <f>'Grid_Stock'!CG31</f>
        <v/>
      </c>
      <c r="CO36" s="13">
        <f>'Grid_Stock'!CH31</f>
        <v/>
      </c>
      <c r="CP36" s="13">
        <f>'Grid_Stock'!CI31</f>
        <v/>
      </c>
      <c r="CQ36" s="13">
        <f>'Grid_Stock'!CJ31</f>
        <v/>
      </c>
      <c r="CR36" s="13">
        <f>'Grid_Stock'!CK31</f>
        <v/>
      </c>
      <c r="CS36" s="13">
        <f>'Grid_Stock'!CL31</f>
        <v/>
      </c>
      <c r="CT36" s="13">
        <f>'Grid_Stock'!CM31</f>
        <v/>
      </c>
      <c r="CU36" s="13">
        <f>'Grid_Stock'!CN31</f>
        <v/>
      </c>
      <c r="CV36" s="13">
        <f>'Grid_Stock'!CO31</f>
        <v/>
      </c>
      <c r="CW36" s="13">
        <f>'Grid_Stock'!CP31</f>
        <v/>
      </c>
      <c r="CX36" s="13">
        <f>'Grid_Stock'!CQ31</f>
        <v/>
      </c>
      <c r="CY36" s="13">
        <f>'Grid_Stock'!CR31</f>
        <v/>
      </c>
      <c r="CZ36" s="13">
        <f>'Grid_Stock'!CS31</f>
        <v/>
      </c>
      <c r="DA36" s="13">
        <f>'Grid_Stock'!CT31</f>
        <v/>
      </c>
      <c r="DB36" s="13">
        <f>'Grid_Stock'!CU31</f>
        <v/>
      </c>
      <c r="DC36" s="13">
        <f>'Grid_Stock'!CV31</f>
        <v/>
      </c>
      <c r="DD36" s="13">
        <f>'Grid_Stock'!CW31</f>
        <v/>
      </c>
      <c r="DE36" s="13">
        <f>'Grid_Stock'!CX31</f>
        <v/>
      </c>
      <c r="DF36" s="13">
        <f>'Grid_Stock'!CY31</f>
        <v/>
      </c>
      <c r="DG36" s="13">
        <f>'Grid_Stock'!CZ31</f>
        <v/>
      </c>
      <c r="DH36" s="13">
        <f>'Grid_Stock'!DA31</f>
        <v/>
      </c>
    </row>
    <row r="37">
      <c r="A37" s="12" t="inlineStr">
        <is>
          <t>CHEM-1430</t>
        </is>
      </c>
      <c r="B37" s="12">
        <f>IFERROR(INDEX(M_RawMaterials[Description],MATCH($A37,M_RawMaterials[Part Name],0)),"")</f>
        <v/>
      </c>
      <c r="C37" s="12">
        <f>IFERROR(INDEX(M_RawMaterials[Category],MATCH($A37,M_RawMaterials[Part Name],0)),"")</f>
        <v/>
      </c>
      <c r="D37" s="12">
        <f>IFERROR(INDEX(M_RawMaterials[基準在庫下限_要入力],MATCH($A37,M_RawMaterials[Part Name],0)),0)</f>
        <v/>
      </c>
      <c r="E37" s="12">
        <f>IFERROR(INDEX(M_RawMaterials[基準在庫上限_要入力],MATCH($A37,M_RawMaterials[Part Name],0)),0)</f>
        <v/>
      </c>
      <c r="F37" s="12">
        <f>IFERROR(LOOKUP(2,1/('T_SelfStock'!$B$36:$DA$36&lt;&gt;""),'T_SelfStock'!$B$36:$DA$36),"")</f>
        <v/>
      </c>
      <c r="G37" s="12">
        <f>IFERROR(LOOKUP(2,1/('T_TTAFStock'!$B$36:$DA$36&lt;&gt;""),'T_TTAFStock'!$B$36:$DA$36),"")</f>
        <v/>
      </c>
      <c r="H37" s="12">
        <f>IFERROR(LOOKUP(2,1/('T_SelfStock'!$B$36:$DA$36&lt;&gt;""),'T_SelfStock'!$B$5:$DA$5),"")</f>
        <v/>
      </c>
      <c r="I37" s="12">
        <f>'Grid_Stock'!B32</f>
        <v/>
      </c>
      <c r="J37" s="12">
        <f>'Grid_Stock'!C32</f>
        <v/>
      </c>
      <c r="K37" s="12">
        <f>'Grid_Stock'!D32</f>
        <v/>
      </c>
      <c r="L37" s="12">
        <f>'Grid_Stock'!E32</f>
        <v/>
      </c>
      <c r="M37" s="12">
        <f>'Grid_Stock'!F32</f>
        <v/>
      </c>
      <c r="N37" s="12">
        <f>'Grid_Stock'!G32</f>
        <v/>
      </c>
      <c r="O37" s="12">
        <f>'Grid_Stock'!H32</f>
        <v/>
      </c>
      <c r="P37" s="12">
        <f>'Grid_Stock'!I32</f>
        <v/>
      </c>
      <c r="Q37" s="12">
        <f>'Grid_Stock'!J32</f>
        <v/>
      </c>
      <c r="R37" s="12">
        <f>'Grid_Stock'!K32</f>
        <v/>
      </c>
      <c r="S37" s="12">
        <f>'Grid_Stock'!L32</f>
        <v/>
      </c>
      <c r="T37" s="12">
        <f>'Grid_Stock'!M32</f>
        <v/>
      </c>
      <c r="U37" s="12">
        <f>'Grid_Stock'!N32</f>
        <v/>
      </c>
      <c r="V37" s="12">
        <f>'Grid_Stock'!O32</f>
        <v/>
      </c>
      <c r="W37" s="12">
        <f>'Grid_Stock'!P32</f>
        <v/>
      </c>
      <c r="X37" s="12">
        <f>'Grid_Stock'!Q32</f>
        <v/>
      </c>
      <c r="Y37" s="12">
        <f>'Grid_Stock'!R32</f>
        <v/>
      </c>
      <c r="Z37" s="12">
        <f>'Grid_Stock'!S32</f>
        <v/>
      </c>
      <c r="AA37" s="12">
        <f>'Grid_Stock'!T32</f>
        <v/>
      </c>
      <c r="AB37" s="12">
        <f>'Grid_Stock'!U32</f>
        <v/>
      </c>
      <c r="AC37" s="12">
        <f>'Grid_Stock'!V32</f>
        <v/>
      </c>
      <c r="AD37" s="12">
        <f>'Grid_Stock'!W32</f>
        <v/>
      </c>
      <c r="AE37" s="12">
        <f>'Grid_Stock'!X32</f>
        <v/>
      </c>
      <c r="AF37" s="12">
        <f>'Grid_Stock'!Y32</f>
        <v/>
      </c>
      <c r="AG37" s="12">
        <f>'Grid_Stock'!Z32</f>
        <v/>
      </c>
      <c r="AH37" s="12">
        <f>'Grid_Stock'!AA32</f>
        <v/>
      </c>
      <c r="AI37" s="12">
        <f>'Grid_Stock'!AB32</f>
        <v/>
      </c>
      <c r="AJ37" s="12">
        <f>'Grid_Stock'!AC32</f>
        <v/>
      </c>
      <c r="AK37" s="12">
        <f>'Grid_Stock'!AD32</f>
        <v/>
      </c>
      <c r="AL37" s="12">
        <f>'Grid_Stock'!AE32</f>
        <v/>
      </c>
      <c r="AM37" s="12">
        <f>'Grid_Stock'!AF32</f>
        <v/>
      </c>
      <c r="AN37" s="12">
        <f>'Grid_Stock'!AG32</f>
        <v/>
      </c>
      <c r="AO37" s="12">
        <f>'Grid_Stock'!AH32</f>
        <v/>
      </c>
      <c r="AP37" s="12">
        <f>'Grid_Stock'!AI32</f>
        <v/>
      </c>
      <c r="AQ37" s="12">
        <f>'Grid_Stock'!AJ32</f>
        <v/>
      </c>
      <c r="AR37" s="12">
        <f>'Grid_Stock'!AK32</f>
        <v/>
      </c>
      <c r="AS37" s="12">
        <f>'Grid_Stock'!AL32</f>
        <v/>
      </c>
      <c r="AT37" s="12">
        <f>'Grid_Stock'!AM32</f>
        <v/>
      </c>
      <c r="AU37" s="12">
        <f>'Grid_Stock'!AN32</f>
        <v/>
      </c>
      <c r="AV37" s="12">
        <f>'Grid_Stock'!AO32</f>
        <v/>
      </c>
      <c r="AW37" s="12">
        <f>'Grid_Stock'!AP32</f>
        <v/>
      </c>
      <c r="AX37" s="12">
        <f>'Grid_Stock'!AQ32</f>
        <v/>
      </c>
      <c r="AY37" s="12">
        <f>'Grid_Stock'!AR32</f>
        <v/>
      </c>
      <c r="AZ37" s="12">
        <f>'Grid_Stock'!AS32</f>
        <v/>
      </c>
      <c r="BA37" s="12">
        <f>'Grid_Stock'!AT32</f>
        <v/>
      </c>
      <c r="BB37" s="12">
        <f>'Grid_Stock'!AU32</f>
        <v/>
      </c>
      <c r="BC37" s="12">
        <f>'Grid_Stock'!AV32</f>
        <v/>
      </c>
      <c r="BD37" s="12">
        <f>'Grid_Stock'!AW32</f>
        <v/>
      </c>
      <c r="BE37" s="12">
        <f>'Grid_Stock'!AX32</f>
        <v/>
      </c>
      <c r="BF37" s="12">
        <f>'Grid_Stock'!AY32</f>
        <v/>
      </c>
      <c r="BG37" s="12">
        <f>'Grid_Stock'!AZ32</f>
        <v/>
      </c>
      <c r="BH37" s="12">
        <f>'Grid_Stock'!BA32</f>
        <v/>
      </c>
      <c r="BI37" s="12">
        <f>'Grid_Stock'!BB32</f>
        <v/>
      </c>
      <c r="BJ37" s="12">
        <f>'Grid_Stock'!BC32</f>
        <v/>
      </c>
      <c r="BK37" s="12">
        <f>'Grid_Stock'!BD32</f>
        <v/>
      </c>
      <c r="BL37" s="12">
        <f>'Grid_Stock'!BE32</f>
        <v/>
      </c>
      <c r="BM37" s="12">
        <f>'Grid_Stock'!BF32</f>
        <v/>
      </c>
      <c r="BN37" s="12">
        <f>'Grid_Stock'!BG32</f>
        <v/>
      </c>
      <c r="BO37" s="12">
        <f>'Grid_Stock'!BH32</f>
        <v/>
      </c>
      <c r="BP37" s="12">
        <f>'Grid_Stock'!BI32</f>
        <v/>
      </c>
      <c r="BQ37" s="12">
        <f>'Grid_Stock'!BJ32</f>
        <v/>
      </c>
      <c r="BR37" s="12">
        <f>'Grid_Stock'!BK32</f>
        <v/>
      </c>
      <c r="BS37" s="12">
        <f>'Grid_Stock'!BL32</f>
        <v/>
      </c>
      <c r="BT37" s="12">
        <f>'Grid_Stock'!BM32</f>
        <v/>
      </c>
      <c r="BU37" s="12">
        <f>'Grid_Stock'!BN32</f>
        <v/>
      </c>
      <c r="BV37" s="12">
        <f>'Grid_Stock'!BO32</f>
        <v/>
      </c>
      <c r="BW37" s="12">
        <f>'Grid_Stock'!BP32</f>
        <v/>
      </c>
      <c r="BX37" s="12">
        <f>'Grid_Stock'!BQ32</f>
        <v/>
      </c>
      <c r="BY37" s="12">
        <f>'Grid_Stock'!BR32</f>
        <v/>
      </c>
      <c r="BZ37" s="12">
        <f>'Grid_Stock'!BS32</f>
        <v/>
      </c>
      <c r="CA37" s="12">
        <f>'Grid_Stock'!BT32</f>
        <v/>
      </c>
      <c r="CB37" s="12">
        <f>'Grid_Stock'!BU32</f>
        <v/>
      </c>
      <c r="CC37" s="12">
        <f>'Grid_Stock'!BV32</f>
        <v/>
      </c>
      <c r="CD37" s="12">
        <f>'Grid_Stock'!BW32</f>
        <v/>
      </c>
      <c r="CE37" s="12">
        <f>'Grid_Stock'!BX32</f>
        <v/>
      </c>
      <c r="CF37" s="12">
        <f>'Grid_Stock'!BY32</f>
        <v/>
      </c>
      <c r="CG37" s="12">
        <f>'Grid_Stock'!BZ32</f>
        <v/>
      </c>
      <c r="CH37" s="12">
        <f>'Grid_Stock'!CA32</f>
        <v/>
      </c>
      <c r="CI37" s="12">
        <f>'Grid_Stock'!CB32</f>
        <v/>
      </c>
      <c r="CJ37" s="12">
        <f>'Grid_Stock'!CC32</f>
        <v/>
      </c>
      <c r="CK37" s="12">
        <f>'Grid_Stock'!CD32</f>
        <v/>
      </c>
      <c r="CL37" s="12">
        <f>'Grid_Stock'!CE32</f>
        <v/>
      </c>
      <c r="CM37" s="12">
        <f>'Grid_Stock'!CF32</f>
        <v/>
      </c>
      <c r="CN37" s="12">
        <f>'Grid_Stock'!CG32</f>
        <v/>
      </c>
      <c r="CO37" s="12">
        <f>'Grid_Stock'!CH32</f>
        <v/>
      </c>
      <c r="CP37" s="12">
        <f>'Grid_Stock'!CI32</f>
        <v/>
      </c>
      <c r="CQ37" s="12">
        <f>'Grid_Stock'!CJ32</f>
        <v/>
      </c>
      <c r="CR37" s="12">
        <f>'Grid_Stock'!CK32</f>
        <v/>
      </c>
      <c r="CS37" s="12">
        <f>'Grid_Stock'!CL32</f>
        <v/>
      </c>
      <c r="CT37" s="12">
        <f>'Grid_Stock'!CM32</f>
        <v/>
      </c>
      <c r="CU37" s="12">
        <f>'Grid_Stock'!CN32</f>
        <v/>
      </c>
      <c r="CV37" s="12">
        <f>'Grid_Stock'!CO32</f>
        <v/>
      </c>
      <c r="CW37" s="12">
        <f>'Grid_Stock'!CP32</f>
        <v/>
      </c>
      <c r="CX37" s="12">
        <f>'Grid_Stock'!CQ32</f>
        <v/>
      </c>
      <c r="CY37" s="12">
        <f>'Grid_Stock'!CR32</f>
        <v/>
      </c>
      <c r="CZ37" s="12">
        <f>'Grid_Stock'!CS32</f>
        <v/>
      </c>
      <c r="DA37" s="12">
        <f>'Grid_Stock'!CT32</f>
        <v/>
      </c>
      <c r="DB37" s="12">
        <f>'Grid_Stock'!CU32</f>
        <v/>
      </c>
      <c r="DC37" s="12">
        <f>'Grid_Stock'!CV32</f>
        <v/>
      </c>
      <c r="DD37" s="12">
        <f>'Grid_Stock'!CW32</f>
        <v/>
      </c>
      <c r="DE37" s="12">
        <f>'Grid_Stock'!CX32</f>
        <v/>
      </c>
      <c r="DF37" s="12">
        <f>'Grid_Stock'!CY32</f>
        <v/>
      </c>
      <c r="DG37" s="12">
        <f>'Grid_Stock'!CZ32</f>
        <v/>
      </c>
      <c r="DH37" s="12">
        <f>'Grid_Stock'!DA32</f>
        <v/>
      </c>
    </row>
    <row r="38">
      <c r="A38" s="13" t="inlineStr">
        <is>
          <t>CHEM-1480</t>
        </is>
      </c>
      <c r="B38" s="13">
        <f>IFERROR(INDEX(M_RawMaterials[Description],MATCH($A38,M_RawMaterials[Part Name],0)),"")</f>
        <v/>
      </c>
      <c r="C38" s="13">
        <f>IFERROR(INDEX(M_RawMaterials[Category],MATCH($A38,M_RawMaterials[Part Name],0)),"")</f>
        <v/>
      </c>
      <c r="D38" s="13">
        <f>IFERROR(INDEX(M_RawMaterials[基準在庫下限_要入力],MATCH($A38,M_RawMaterials[Part Name],0)),0)</f>
        <v/>
      </c>
      <c r="E38" s="13">
        <f>IFERROR(INDEX(M_RawMaterials[基準在庫上限_要入力],MATCH($A38,M_RawMaterials[Part Name],0)),0)</f>
        <v/>
      </c>
      <c r="F38" s="13">
        <f>IFERROR(LOOKUP(2,1/('T_SelfStock'!$B$37:$DA$37&lt;&gt;""),'T_SelfStock'!$B$37:$DA$37),"")</f>
        <v/>
      </c>
      <c r="G38" s="13">
        <f>IFERROR(LOOKUP(2,1/('T_TTAFStock'!$B$37:$DA$37&lt;&gt;""),'T_TTAFStock'!$B$37:$DA$37),"")</f>
        <v/>
      </c>
      <c r="H38" s="13">
        <f>IFERROR(LOOKUP(2,1/('T_SelfStock'!$B$37:$DA$37&lt;&gt;""),'T_SelfStock'!$B$5:$DA$5),"")</f>
        <v/>
      </c>
      <c r="I38" s="13">
        <f>'Grid_Stock'!B33</f>
        <v/>
      </c>
      <c r="J38" s="13">
        <f>'Grid_Stock'!C33</f>
        <v/>
      </c>
      <c r="K38" s="13">
        <f>'Grid_Stock'!D33</f>
        <v/>
      </c>
      <c r="L38" s="13">
        <f>'Grid_Stock'!E33</f>
        <v/>
      </c>
      <c r="M38" s="13">
        <f>'Grid_Stock'!F33</f>
        <v/>
      </c>
      <c r="N38" s="13">
        <f>'Grid_Stock'!G33</f>
        <v/>
      </c>
      <c r="O38" s="13">
        <f>'Grid_Stock'!H33</f>
        <v/>
      </c>
      <c r="P38" s="13">
        <f>'Grid_Stock'!I33</f>
        <v/>
      </c>
      <c r="Q38" s="13">
        <f>'Grid_Stock'!J33</f>
        <v/>
      </c>
      <c r="R38" s="13">
        <f>'Grid_Stock'!K33</f>
        <v/>
      </c>
      <c r="S38" s="13">
        <f>'Grid_Stock'!L33</f>
        <v/>
      </c>
      <c r="T38" s="13">
        <f>'Grid_Stock'!M33</f>
        <v/>
      </c>
      <c r="U38" s="13">
        <f>'Grid_Stock'!N33</f>
        <v/>
      </c>
      <c r="V38" s="13">
        <f>'Grid_Stock'!O33</f>
        <v/>
      </c>
      <c r="W38" s="13">
        <f>'Grid_Stock'!P33</f>
        <v/>
      </c>
      <c r="X38" s="13">
        <f>'Grid_Stock'!Q33</f>
        <v/>
      </c>
      <c r="Y38" s="13">
        <f>'Grid_Stock'!R33</f>
        <v/>
      </c>
      <c r="Z38" s="13">
        <f>'Grid_Stock'!S33</f>
        <v/>
      </c>
      <c r="AA38" s="13">
        <f>'Grid_Stock'!T33</f>
        <v/>
      </c>
      <c r="AB38" s="13">
        <f>'Grid_Stock'!U33</f>
        <v/>
      </c>
      <c r="AC38" s="13">
        <f>'Grid_Stock'!V33</f>
        <v/>
      </c>
      <c r="AD38" s="13">
        <f>'Grid_Stock'!W33</f>
        <v/>
      </c>
      <c r="AE38" s="13">
        <f>'Grid_Stock'!X33</f>
        <v/>
      </c>
      <c r="AF38" s="13">
        <f>'Grid_Stock'!Y33</f>
        <v/>
      </c>
      <c r="AG38" s="13">
        <f>'Grid_Stock'!Z33</f>
        <v/>
      </c>
      <c r="AH38" s="13">
        <f>'Grid_Stock'!AA33</f>
        <v/>
      </c>
      <c r="AI38" s="13">
        <f>'Grid_Stock'!AB33</f>
        <v/>
      </c>
      <c r="AJ38" s="13">
        <f>'Grid_Stock'!AC33</f>
        <v/>
      </c>
      <c r="AK38" s="13">
        <f>'Grid_Stock'!AD33</f>
        <v/>
      </c>
      <c r="AL38" s="13">
        <f>'Grid_Stock'!AE33</f>
        <v/>
      </c>
      <c r="AM38" s="13">
        <f>'Grid_Stock'!AF33</f>
        <v/>
      </c>
      <c r="AN38" s="13">
        <f>'Grid_Stock'!AG33</f>
        <v/>
      </c>
      <c r="AO38" s="13">
        <f>'Grid_Stock'!AH33</f>
        <v/>
      </c>
      <c r="AP38" s="13">
        <f>'Grid_Stock'!AI33</f>
        <v/>
      </c>
      <c r="AQ38" s="13">
        <f>'Grid_Stock'!AJ33</f>
        <v/>
      </c>
      <c r="AR38" s="13">
        <f>'Grid_Stock'!AK33</f>
        <v/>
      </c>
      <c r="AS38" s="13">
        <f>'Grid_Stock'!AL33</f>
        <v/>
      </c>
      <c r="AT38" s="13">
        <f>'Grid_Stock'!AM33</f>
        <v/>
      </c>
      <c r="AU38" s="13">
        <f>'Grid_Stock'!AN33</f>
        <v/>
      </c>
      <c r="AV38" s="13">
        <f>'Grid_Stock'!AO33</f>
        <v/>
      </c>
      <c r="AW38" s="13">
        <f>'Grid_Stock'!AP33</f>
        <v/>
      </c>
      <c r="AX38" s="13">
        <f>'Grid_Stock'!AQ33</f>
        <v/>
      </c>
      <c r="AY38" s="13">
        <f>'Grid_Stock'!AR33</f>
        <v/>
      </c>
      <c r="AZ38" s="13">
        <f>'Grid_Stock'!AS33</f>
        <v/>
      </c>
      <c r="BA38" s="13">
        <f>'Grid_Stock'!AT33</f>
        <v/>
      </c>
      <c r="BB38" s="13">
        <f>'Grid_Stock'!AU33</f>
        <v/>
      </c>
      <c r="BC38" s="13">
        <f>'Grid_Stock'!AV33</f>
        <v/>
      </c>
      <c r="BD38" s="13">
        <f>'Grid_Stock'!AW33</f>
        <v/>
      </c>
      <c r="BE38" s="13">
        <f>'Grid_Stock'!AX33</f>
        <v/>
      </c>
      <c r="BF38" s="13">
        <f>'Grid_Stock'!AY33</f>
        <v/>
      </c>
      <c r="BG38" s="13">
        <f>'Grid_Stock'!AZ33</f>
        <v/>
      </c>
      <c r="BH38" s="13">
        <f>'Grid_Stock'!BA33</f>
        <v/>
      </c>
      <c r="BI38" s="13">
        <f>'Grid_Stock'!BB33</f>
        <v/>
      </c>
      <c r="BJ38" s="13">
        <f>'Grid_Stock'!BC33</f>
        <v/>
      </c>
      <c r="BK38" s="13">
        <f>'Grid_Stock'!BD33</f>
        <v/>
      </c>
      <c r="BL38" s="13">
        <f>'Grid_Stock'!BE33</f>
        <v/>
      </c>
      <c r="BM38" s="13">
        <f>'Grid_Stock'!BF33</f>
        <v/>
      </c>
      <c r="BN38" s="13">
        <f>'Grid_Stock'!BG33</f>
        <v/>
      </c>
      <c r="BO38" s="13">
        <f>'Grid_Stock'!BH33</f>
        <v/>
      </c>
      <c r="BP38" s="13">
        <f>'Grid_Stock'!BI33</f>
        <v/>
      </c>
      <c r="BQ38" s="13">
        <f>'Grid_Stock'!BJ33</f>
        <v/>
      </c>
      <c r="BR38" s="13">
        <f>'Grid_Stock'!BK33</f>
        <v/>
      </c>
      <c r="BS38" s="13">
        <f>'Grid_Stock'!BL33</f>
        <v/>
      </c>
      <c r="BT38" s="13">
        <f>'Grid_Stock'!BM33</f>
        <v/>
      </c>
      <c r="BU38" s="13">
        <f>'Grid_Stock'!BN33</f>
        <v/>
      </c>
      <c r="BV38" s="13">
        <f>'Grid_Stock'!BO33</f>
        <v/>
      </c>
      <c r="BW38" s="13">
        <f>'Grid_Stock'!BP33</f>
        <v/>
      </c>
      <c r="BX38" s="13">
        <f>'Grid_Stock'!BQ33</f>
        <v/>
      </c>
      <c r="BY38" s="13">
        <f>'Grid_Stock'!BR33</f>
        <v/>
      </c>
      <c r="BZ38" s="13">
        <f>'Grid_Stock'!BS33</f>
        <v/>
      </c>
      <c r="CA38" s="13">
        <f>'Grid_Stock'!BT33</f>
        <v/>
      </c>
      <c r="CB38" s="13">
        <f>'Grid_Stock'!BU33</f>
        <v/>
      </c>
      <c r="CC38" s="13">
        <f>'Grid_Stock'!BV33</f>
        <v/>
      </c>
      <c r="CD38" s="13">
        <f>'Grid_Stock'!BW33</f>
        <v/>
      </c>
      <c r="CE38" s="13">
        <f>'Grid_Stock'!BX33</f>
        <v/>
      </c>
      <c r="CF38" s="13">
        <f>'Grid_Stock'!BY33</f>
        <v/>
      </c>
      <c r="CG38" s="13">
        <f>'Grid_Stock'!BZ33</f>
        <v/>
      </c>
      <c r="CH38" s="13">
        <f>'Grid_Stock'!CA33</f>
        <v/>
      </c>
      <c r="CI38" s="13">
        <f>'Grid_Stock'!CB33</f>
        <v/>
      </c>
      <c r="CJ38" s="13">
        <f>'Grid_Stock'!CC33</f>
        <v/>
      </c>
      <c r="CK38" s="13">
        <f>'Grid_Stock'!CD33</f>
        <v/>
      </c>
      <c r="CL38" s="13">
        <f>'Grid_Stock'!CE33</f>
        <v/>
      </c>
      <c r="CM38" s="13">
        <f>'Grid_Stock'!CF33</f>
        <v/>
      </c>
      <c r="CN38" s="13">
        <f>'Grid_Stock'!CG33</f>
        <v/>
      </c>
      <c r="CO38" s="13">
        <f>'Grid_Stock'!CH33</f>
        <v/>
      </c>
      <c r="CP38" s="13">
        <f>'Grid_Stock'!CI33</f>
        <v/>
      </c>
      <c r="CQ38" s="13">
        <f>'Grid_Stock'!CJ33</f>
        <v/>
      </c>
      <c r="CR38" s="13">
        <f>'Grid_Stock'!CK33</f>
        <v/>
      </c>
      <c r="CS38" s="13">
        <f>'Grid_Stock'!CL33</f>
        <v/>
      </c>
      <c r="CT38" s="13">
        <f>'Grid_Stock'!CM33</f>
        <v/>
      </c>
      <c r="CU38" s="13">
        <f>'Grid_Stock'!CN33</f>
        <v/>
      </c>
      <c r="CV38" s="13">
        <f>'Grid_Stock'!CO33</f>
        <v/>
      </c>
      <c r="CW38" s="13">
        <f>'Grid_Stock'!CP33</f>
        <v/>
      </c>
      <c r="CX38" s="13">
        <f>'Grid_Stock'!CQ33</f>
        <v/>
      </c>
      <c r="CY38" s="13">
        <f>'Grid_Stock'!CR33</f>
        <v/>
      </c>
      <c r="CZ38" s="13">
        <f>'Grid_Stock'!CS33</f>
        <v/>
      </c>
      <c r="DA38" s="13">
        <f>'Grid_Stock'!CT33</f>
        <v/>
      </c>
      <c r="DB38" s="13">
        <f>'Grid_Stock'!CU33</f>
        <v/>
      </c>
      <c r="DC38" s="13">
        <f>'Grid_Stock'!CV33</f>
        <v/>
      </c>
      <c r="DD38" s="13">
        <f>'Grid_Stock'!CW33</f>
        <v/>
      </c>
      <c r="DE38" s="13">
        <f>'Grid_Stock'!CX33</f>
        <v/>
      </c>
      <c r="DF38" s="13">
        <f>'Grid_Stock'!CY33</f>
        <v/>
      </c>
      <c r="DG38" s="13">
        <f>'Grid_Stock'!CZ33</f>
        <v/>
      </c>
      <c r="DH38" s="13">
        <f>'Grid_Stock'!DA33</f>
        <v/>
      </c>
    </row>
    <row r="39">
      <c r="A39" s="12" t="inlineStr">
        <is>
          <t>CHEM-1560</t>
        </is>
      </c>
      <c r="B39" s="12">
        <f>IFERROR(INDEX(M_RawMaterials[Description],MATCH($A39,M_RawMaterials[Part Name],0)),"")</f>
        <v/>
      </c>
      <c r="C39" s="12">
        <f>IFERROR(INDEX(M_RawMaterials[Category],MATCH($A39,M_RawMaterials[Part Name],0)),"")</f>
        <v/>
      </c>
      <c r="D39" s="12">
        <f>IFERROR(INDEX(M_RawMaterials[基準在庫下限_要入力],MATCH($A39,M_RawMaterials[Part Name],0)),0)</f>
        <v/>
      </c>
      <c r="E39" s="12">
        <f>IFERROR(INDEX(M_RawMaterials[基準在庫上限_要入力],MATCH($A39,M_RawMaterials[Part Name],0)),0)</f>
        <v/>
      </c>
      <c r="F39" s="12">
        <f>IFERROR(LOOKUP(2,1/('T_SelfStock'!$B$38:$DA$38&lt;&gt;""),'T_SelfStock'!$B$38:$DA$38),"")</f>
        <v/>
      </c>
      <c r="G39" s="12">
        <f>IFERROR(LOOKUP(2,1/('T_TTAFStock'!$B$38:$DA$38&lt;&gt;""),'T_TTAFStock'!$B$38:$DA$38),"")</f>
        <v/>
      </c>
      <c r="H39" s="12">
        <f>IFERROR(LOOKUP(2,1/('T_SelfStock'!$B$38:$DA$38&lt;&gt;""),'T_SelfStock'!$B$5:$DA$5),"")</f>
        <v/>
      </c>
      <c r="I39" s="12">
        <f>'Grid_Stock'!B34</f>
        <v/>
      </c>
      <c r="J39" s="12">
        <f>'Grid_Stock'!C34</f>
        <v/>
      </c>
      <c r="K39" s="12">
        <f>'Grid_Stock'!D34</f>
        <v/>
      </c>
      <c r="L39" s="12">
        <f>'Grid_Stock'!E34</f>
        <v/>
      </c>
      <c r="M39" s="12">
        <f>'Grid_Stock'!F34</f>
        <v/>
      </c>
      <c r="N39" s="12">
        <f>'Grid_Stock'!G34</f>
        <v/>
      </c>
      <c r="O39" s="12">
        <f>'Grid_Stock'!H34</f>
        <v/>
      </c>
      <c r="P39" s="12">
        <f>'Grid_Stock'!I34</f>
        <v/>
      </c>
      <c r="Q39" s="12">
        <f>'Grid_Stock'!J34</f>
        <v/>
      </c>
      <c r="R39" s="12">
        <f>'Grid_Stock'!K34</f>
        <v/>
      </c>
      <c r="S39" s="12">
        <f>'Grid_Stock'!L34</f>
        <v/>
      </c>
      <c r="T39" s="12">
        <f>'Grid_Stock'!M34</f>
        <v/>
      </c>
      <c r="U39" s="12">
        <f>'Grid_Stock'!N34</f>
        <v/>
      </c>
      <c r="V39" s="12">
        <f>'Grid_Stock'!O34</f>
        <v/>
      </c>
      <c r="W39" s="12">
        <f>'Grid_Stock'!P34</f>
        <v/>
      </c>
      <c r="X39" s="12">
        <f>'Grid_Stock'!Q34</f>
        <v/>
      </c>
      <c r="Y39" s="12">
        <f>'Grid_Stock'!R34</f>
        <v/>
      </c>
      <c r="Z39" s="12">
        <f>'Grid_Stock'!S34</f>
        <v/>
      </c>
      <c r="AA39" s="12">
        <f>'Grid_Stock'!T34</f>
        <v/>
      </c>
      <c r="AB39" s="12">
        <f>'Grid_Stock'!U34</f>
        <v/>
      </c>
      <c r="AC39" s="12">
        <f>'Grid_Stock'!V34</f>
        <v/>
      </c>
      <c r="AD39" s="12">
        <f>'Grid_Stock'!W34</f>
        <v/>
      </c>
      <c r="AE39" s="12">
        <f>'Grid_Stock'!X34</f>
        <v/>
      </c>
      <c r="AF39" s="12">
        <f>'Grid_Stock'!Y34</f>
        <v/>
      </c>
      <c r="AG39" s="12">
        <f>'Grid_Stock'!Z34</f>
        <v/>
      </c>
      <c r="AH39" s="12">
        <f>'Grid_Stock'!AA34</f>
        <v/>
      </c>
      <c r="AI39" s="12">
        <f>'Grid_Stock'!AB34</f>
        <v/>
      </c>
      <c r="AJ39" s="12">
        <f>'Grid_Stock'!AC34</f>
        <v/>
      </c>
      <c r="AK39" s="12">
        <f>'Grid_Stock'!AD34</f>
        <v/>
      </c>
      <c r="AL39" s="12">
        <f>'Grid_Stock'!AE34</f>
        <v/>
      </c>
      <c r="AM39" s="12">
        <f>'Grid_Stock'!AF34</f>
        <v/>
      </c>
      <c r="AN39" s="12">
        <f>'Grid_Stock'!AG34</f>
        <v/>
      </c>
      <c r="AO39" s="12">
        <f>'Grid_Stock'!AH34</f>
        <v/>
      </c>
      <c r="AP39" s="12">
        <f>'Grid_Stock'!AI34</f>
        <v/>
      </c>
      <c r="AQ39" s="12">
        <f>'Grid_Stock'!AJ34</f>
        <v/>
      </c>
      <c r="AR39" s="12">
        <f>'Grid_Stock'!AK34</f>
        <v/>
      </c>
      <c r="AS39" s="12">
        <f>'Grid_Stock'!AL34</f>
        <v/>
      </c>
      <c r="AT39" s="12">
        <f>'Grid_Stock'!AM34</f>
        <v/>
      </c>
      <c r="AU39" s="12">
        <f>'Grid_Stock'!AN34</f>
        <v/>
      </c>
      <c r="AV39" s="12">
        <f>'Grid_Stock'!AO34</f>
        <v/>
      </c>
      <c r="AW39" s="12">
        <f>'Grid_Stock'!AP34</f>
        <v/>
      </c>
      <c r="AX39" s="12">
        <f>'Grid_Stock'!AQ34</f>
        <v/>
      </c>
      <c r="AY39" s="12">
        <f>'Grid_Stock'!AR34</f>
        <v/>
      </c>
      <c r="AZ39" s="12">
        <f>'Grid_Stock'!AS34</f>
        <v/>
      </c>
      <c r="BA39" s="12">
        <f>'Grid_Stock'!AT34</f>
        <v/>
      </c>
      <c r="BB39" s="12">
        <f>'Grid_Stock'!AU34</f>
        <v/>
      </c>
      <c r="BC39" s="12">
        <f>'Grid_Stock'!AV34</f>
        <v/>
      </c>
      <c r="BD39" s="12">
        <f>'Grid_Stock'!AW34</f>
        <v/>
      </c>
      <c r="BE39" s="12">
        <f>'Grid_Stock'!AX34</f>
        <v/>
      </c>
      <c r="BF39" s="12">
        <f>'Grid_Stock'!AY34</f>
        <v/>
      </c>
      <c r="BG39" s="12">
        <f>'Grid_Stock'!AZ34</f>
        <v/>
      </c>
      <c r="BH39" s="12">
        <f>'Grid_Stock'!BA34</f>
        <v/>
      </c>
      <c r="BI39" s="12">
        <f>'Grid_Stock'!BB34</f>
        <v/>
      </c>
      <c r="BJ39" s="12">
        <f>'Grid_Stock'!BC34</f>
        <v/>
      </c>
      <c r="BK39" s="12">
        <f>'Grid_Stock'!BD34</f>
        <v/>
      </c>
      <c r="BL39" s="12">
        <f>'Grid_Stock'!BE34</f>
        <v/>
      </c>
      <c r="BM39" s="12">
        <f>'Grid_Stock'!BF34</f>
        <v/>
      </c>
      <c r="BN39" s="12">
        <f>'Grid_Stock'!BG34</f>
        <v/>
      </c>
      <c r="BO39" s="12">
        <f>'Grid_Stock'!BH34</f>
        <v/>
      </c>
      <c r="BP39" s="12">
        <f>'Grid_Stock'!BI34</f>
        <v/>
      </c>
      <c r="BQ39" s="12">
        <f>'Grid_Stock'!BJ34</f>
        <v/>
      </c>
      <c r="BR39" s="12">
        <f>'Grid_Stock'!BK34</f>
        <v/>
      </c>
      <c r="BS39" s="12">
        <f>'Grid_Stock'!BL34</f>
        <v/>
      </c>
      <c r="BT39" s="12">
        <f>'Grid_Stock'!BM34</f>
        <v/>
      </c>
      <c r="BU39" s="12">
        <f>'Grid_Stock'!BN34</f>
        <v/>
      </c>
      <c r="BV39" s="12">
        <f>'Grid_Stock'!BO34</f>
        <v/>
      </c>
      <c r="BW39" s="12">
        <f>'Grid_Stock'!BP34</f>
        <v/>
      </c>
      <c r="BX39" s="12">
        <f>'Grid_Stock'!BQ34</f>
        <v/>
      </c>
      <c r="BY39" s="12">
        <f>'Grid_Stock'!BR34</f>
        <v/>
      </c>
      <c r="BZ39" s="12">
        <f>'Grid_Stock'!BS34</f>
        <v/>
      </c>
      <c r="CA39" s="12">
        <f>'Grid_Stock'!BT34</f>
        <v/>
      </c>
      <c r="CB39" s="12">
        <f>'Grid_Stock'!BU34</f>
        <v/>
      </c>
      <c r="CC39" s="12">
        <f>'Grid_Stock'!BV34</f>
        <v/>
      </c>
      <c r="CD39" s="12">
        <f>'Grid_Stock'!BW34</f>
        <v/>
      </c>
      <c r="CE39" s="12">
        <f>'Grid_Stock'!BX34</f>
        <v/>
      </c>
      <c r="CF39" s="12">
        <f>'Grid_Stock'!BY34</f>
        <v/>
      </c>
      <c r="CG39" s="12">
        <f>'Grid_Stock'!BZ34</f>
        <v/>
      </c>
      <c r="CH39" s="12">
        <f>'Grid_Stock'!CA34</f>
        <v/>
      </c>
      <c r="CI39" s="12">
        <f>'Grid_Stock'!CB34</f>
        <v/>
      </c>
      <c r="CJ39" s="12">
        <f>'Grid_Stock'!CC34</f>
        <v/>
      </c>
      <c r="CK39" s="12">
        <f>'Grid_Stock'!CD34</f>
        <v/>
      </c>
      <c r="CL39" s="12">
        <f>'Grid_Stock'!CE34</f>
        <v/>
      </c>
      <c r="CM39" s="12">
        <f>'Grid_Stock'!CF34</f>
        <v/>
      </c>
      <c r="CN39" s="12">
        <f>'Grid_Stock'!CG34</f>
        <v/>
      </c>
      <c r="CO39" s="12">
        <f>'Grid_Stock'!CH34</f>
        <v/>
      </c>
      <c r="CP39" s="12">
        <f>'Grid_Stock'!CI34</f>
        <v/>
      </c>
      <c r="CQ39" s="12">
        <f>'Grid_Stock'!CJ34</f>
        <v/>
      </c>
      <c r="CR39" s="12">
        <f>'Grid_Stock'!CK34</f>
        <v/>
      </c>
      <c r="CS39" s="12">
        <f>'Grid_Stock'!CL34</f>
        <v/>
      </c>
      <c r="CT39" s="12">
        <f>'Grid_Stock'!CM34</f>
        <v/>
      </c>
      <c r="CU39" s="12">
        <f>'Grid_Stock'!CN34</f>
        <v/>
      </c>
      <c r="CV39" s="12">
        <f>'Grid_Stock'!CO34</f>
        <v/>
      </c>
      <c r="CW39" s="12">
        <f>'Grid_Stock'!CP34</f>
        <v/>
      </c>
      <c r="CX39" s="12">
        <f>'Grid_Stock'!CQ34</f>
        <v/>
      </c>
      <c r="CY39" s="12">
        <f>'Grid_Stock'!CR34</f>
        <v/>
      </c>
      <c r="CZ39" s="12">
        <f>'Grid_Stock'!CS34</f>
        <v/>
      </c>
      <c r="DA39" s="12">
        <f>'Grid_Stock'!CT34</f>
        <v/>
      </c>
      <c r="DB39" s="12">
        <f>'Grid_Stock'!CU34</f>
        <v/>
      </c>
      <c r="DC39" s="12">
        <f>'Grid_Stock'!CV34</f>
        <v/>
      </c>
      <c r="DD39" s="12">
        <f>'Grid_Stock'!CW34</f>
        <v/>
      </c>
      <c r="DE39" s="12">
        <f>'Grid_Stock'!CX34</f>
        <v/>
      </c>
      <c r="DF39" s="12">
        <f>'Grid_Stock'!CY34</f>
        <v/>
      </c>
      <c r="DG39" s="12">
        <f>'Grid_Stock'!CZ34</f>
        <v/>
      </c>
      <c r="DH39" s="12">
        <f>'Grid_Stock'!DA34</f>
        <v/>
      </c>
    </row>
    <row r="40">
      <c r="A40" s="13" t="inlineStr">
        <is>
          <t>CHEM-1510</t>
        </is>
      </c>
      <c r="B40" s="13">
        <f>IFERROR(INDEX(M_RawMaterials[Description],MATCH($A40,M_RawMaterials[Part Name],0)),"")</f>
        <v/>
      </c>
      <c r="C40" s="13">
        <f>IFERROR(INDEX(M_RawMaterials[Category],MATCH($A40,M_RawMaterials[Part Name],0)),"")</f>
        <v/>
      </c>
      <c r="D40" s="13">
        <f>IFERROR(INDEX(M_RawMaterials[基準在庫下限_要入力],MATCH($A40,M_RawMaterials[Part Name],0)),0)</f>
        <v/>
      </c>
      <c r="E40" s="13">
        <f>IFERROR(INDEX(M_RawMaterials[基準在庫上限_要入力],MATCH($A40,M_RawMaterials[Part Name],0)),0)</f>
        <v/>
      </c>
      <c r="F40" s="13">
        <f>IFERROR(LOOKUP(2,1/('T_SelfStock'!$B$39:$DA$39&lt;&gt;""),'T_SelfStock'!$B$39:$DA$39),"")</f>
        <v/>
      </c>
      <c r="G40" s="13">
        <f>IFERROR(LOOKUP(2,1/('T_TTAFStock'!$B$39:$DA$39&lt;&gt;""),'T_TTAFStock'!$B$39:$DA$39),"")</f>
        <v/>
      </c>
      <c r="H40" s="13">
        <f>IFERROR(LOOKUP(2,1/('T_SelfStock'!$B$39:$DA$39&lt;&gt;""),'T_SelfStock'!$B$5:$DA$5),"")</f>
        <v/>
      </c>
      <c r="I40" s="13">
        <f>'Grid_Stock'!B35</f>
        <v/>
      </c>
      <c r="J40" s="13">
        <f>'Grid_Stock'!C35</f>
        <v/>
      </c>
      <c r="K40" s="13">
        <f>'Grid_Stock'!D35</f>
        <v/>
      </c>
      <c r="L40" s="13">
        <f>'Grid_Stock'!E35</f>
        <v/>
      </c>
      <c r="M40" s="13">
        <f>'Grid_Stock'!F35</f>
        <v/>
      </c>
      <c r="N40" s="13">
        <f>'Grid_Stock'!G35</f>
        <v/>
      </c>
      <c r="O40" s="13">
        <f>'Grid_Stock'!H35</f>
        <v/>
      </c>
      <c r="P40" s="13">
        <f>'Grid_Stock'!I35</f>
        <v/>
      </c>
      <c r="Q40" s="13">
        <f>'Grid_Stock'!J35</f>
        <v/>
      </c>
      <c r="R40" s="13">
        <f>'Grid_Stock'!K35</f>
        <v/>
      </c>
      <c r="S40" s="13">
        <f>'Grid_Stock'!L35</f>
        <v/>
      </c>
      <c r="T40" s="13">
        <f>'Grid_Stock'!M35</f>
        <v/>
      </c>
      <c r="U40" s="13">
        <f>'Grid_Stock'!N35</f>
        <v/>
      </c>
      <c r="V40" s="13">
        <f>'Grid_Stock'!O35</f>
        <v/>
      </c>
      <c r="W40" s="13">
        <f>'Grid_Stock'!P35</f>
        <v/>
      </c>
      <c r="X40" s="13">
        <f>'Grid_Stock'!Q35</f>
        <v/>
      </c>
      <c r="Y40" s="13">
        <f>'Grid_Stock'!R35</f>
        <v/>
      </c>
      <c r="Z40" s="13">
        <f>'Grid_Stock'!S35</f>
        <v/>
      </c>
      <c r="AA40" s="13">
        <f>'Grid_Stock'!T35</f>
        <v/>
      </c>
      <c r="AB40" s="13">
        <f>'Grid_Stock'!U35</f>
        <v/>
      </c>
      <c r="AC40" s="13">
        <f>'Grid_Stock'!V35</f>
        <v/>
      </c>
      <c r="AD40" s="13">
        <f>'Grid_Stock'!W35</f>
        <v/>
      </c>
      <c r="AE40" s="13">
        <f>'Grid_Stock'!X35</f>
        <v/>
      </c>
      <c r="AF40" s="13">
        <f>'Grid_Stock'!Y35</f>
        <v/>
      </c>
      <c r="AG40" s="13">
        <f>'Grid_Stock'!Z35</f>
        <v/>
      </c>
      <c r="AH40" s="13">
        <f>'Grid_Stock'!AA35</f>
        <v/>
      </c>
      <c r="AI40" s="13">
        <f>'Grid_Stock'!AB35</f>
        <v/>
      </c>
      <c r="AJ40" s="13">
        <f>'Grid_Stock'!AC35</f>
        <v/>
      </c>
      <c r="AK40" s="13">
        <f>'Grid_Stock'!AD35</f>
        <v/>
      </c>
      <c r="AL40" s="13">
        <f>'Grid_Stock'!AE35</f>
        <v/>
      </c>
      <c r="AM40" s="13">
        <f>'Grid_Stock'!AF35</f>
        <v/>
      </c>
      <c r="AN40" s="13">
        <f>'Grid_Stock'!AG35</f>
        <v/>
      </c>
      <c r="AO40" s="13">
        <f>'Grid_Stock'!AH35</f>
        <v/>
      </c>
      <c r="AP40" s="13">
        <f>'Grid_Stock'!AI35</f>
        <v/>
      </c>
      <c r="AQ40" s="13">
        <f>'Grid_Stock'!AJ35</f>
        <v/>
      </c>
      <c r="AR40" s="13">
        <f>'Grid_Stock'!AK35</f>
        <v/>
      </c>
      <c r="AS40" s="13">
        <f>'Grid_Stock'!AL35</f>
        <v/>
      </c>
      <c r="AT40" s="13">
        <f>'Grid_Stock'!AM35</f>
        <v/>
      </c>
      <c r="AU40" s="13">
        <f>'Grid_Stock'!AN35</f>
        <v/>
      </c>
      <c r="AV40" s="13">
        <f>'Grid_Stock'!AO35</f>
        <v/>
      </c>
      <c r="AW40" s="13">
        <f>'Grid_Stock'!AP35</f>
        <v/>
      </c>
      <c r="AX40" s="13">
        <f>'Grid_Stock'!AQ35</f>
        <v/>
      </c>
      <c r="AY40" s="13">
        <f>'Grid_Stock'!AR35</f>
        <v/>
      </c>
      <c r="AZ40" s="13">
        <f>'Grid_Stock'!AS35</f>
        <v/>
      </c>
      <c r="BA40" s="13">
        <f>'Grid_Stock'!AT35</f>
        <v/>
      </c>
      <c r="BB40" s="13">
        <f>'Grid_Stock'!AU35</f>
        <v/>
      </c>
      <c r="BC40" s="13">
        <f>'Grid_Stock'!AV35</f>
        <v/>
      </c>
      <c r="BD40" s="13">
        <f>'Grid_Stock'!AW35</f>
        <v/>
      </c>
      <c r="BE40" s="13">
        <f>'Grid_Stock'!AX35</f>
        <v/>
      </c>
      <c r="BF40" s="13">
        <f>'Grid_Stock'!AY35</f>
        <v/>
      </c>
      <c r="BG40" s="13">
        <f>'Grid_Stock'!AZ35</f>
        <v/>
      </c>
      <c r="BH40" s="13">
        <f>'Grid_Stock'!BA35</f>
        <v/>
      </c>
      <c r="BI40" s="13">
        <f>'Grid_Stock'!BB35</f>
        <v/>
      </c>
      <c r="BJ40" s="13">
        <f>'Grid_Stock'!BC35</f>
        <v/>
      </c>
      <c r="BK40" s="13">
        <f>'Grid_Stock'!BD35</f>
        <v/>
      </c>
      <c r="BL40" s="13">
        <f>'Grid_Stock'!BE35</f>
        <v/>
      </c>
      <c r="BM40" s="13">
        <f>'Grid_Stock'!BF35</f>
        <v/>
      </c>
      <c r="BN40" s="13">
        <f>'Grid_Stock'!BG35</f>
        <v/>
      </c>
      <c r="BO40" s="13">
        <f>'Grid_Stock'!BH35</f>
        <v/>
      </c>
      <c r="BP40" s="13">
        <f>'Grid_Stock'!BI35</f>
        <v/>
      </c>
      <c r="BQ40" s="13">
        <f>'Grid_Stock'!BJ35</f>
        <v/>
      </c>
      <c r="BR40" s="13">
        <f>'Grid_Stock'!BK35</f>
        <v/>
      </c>
      <c r="BS40" s="13">
        <f>'Grid_Stock'!BL35</f>
        <v/>
      </c>
      <c r="BT40" s="13">
        <f>'Grid_Stock'!BM35</f>
        <v/>
      </c>
      <c r="BU40" s="13">
        <f>'Grid_Stock'!BN35</f>
        <v/>
      </c>
      <c r="BV40" s="13">
        <f>'Grid_Stock'!BO35</f>
        <v/>
      </c>
      <c r="BW40" s="13">
        <f>'Grid_Stock'!BP35</f>
        <v/>
      </c>
      <c r="BX40" s="13">
        <f>'Grid_Stock'!BQ35</f>
        <v/>
      </c>
      <c r="BY40" s="13">
        <f>'Grid_Stock'!BR35</f>
        <v/>
      </c>
      <c r="BZ40" s="13">
        <f>'Grid_Stock'!BS35</f>
        <v/>
      </c>
      <c r="CA40" s="13">
        <f>'Grid_Stock'!BT35</f>
        <v/>
      </c>
      <c r="CB40" s="13">
        <f>'Grid_Stock'!BU35</f>
        <v/>
      </c>
      <c r="CC40" s="13">
        <f>'Grid_Stock'!BV35</f>
        <v/>
      </c>
      <c r="CD40" s="13">
        <f>'Grid_Stock'!BW35</f>
        <v/>
      </c>
      <c r="CE40" s="13">
        <f>'Grid_Stock'!BX35</f>
        <v/>
      </c>
      <c r="CF40" s="13">
        <f>'Grid_Stock'!BY35</f>
        <v/>
      </c>
      <c r="CG40" s="13">
        <f>'Grid_Stock'!BZ35</f>
        <v/>
      </c>
      <c r="CH40" s="13">
        <f>'Grid_Stock'!CA35</f>
        <v/>
      </c>
      <c r="CI40" s="13">
        <f>'Grid_Stock'!CB35</f>
        <v/>
      </c>
      <c r="CJ40" s="13">
        <f>'Grid_Stock'!CC35</f>
        <v/>
      </c>
      <c r="CK40" s="13">
        <f>'Grid_Stock'!CD35</f>
        <v/>
      </c>
      <c r="CL40" s="13">
        <f>'Grid_Stock'!CE35</f>
        <v/>
      </c>
      <c r="CM40" s="13">
        <f>'Grid_Stock'!CF35</f>
        <v/>
      </c>
      <c r="CN40" s="13">
        <f>'Grid_Stock'!CG35</f>
        <v/>
      </c>
      <c r="CO40" s="13">
        <f>'Grid_Stock'!CH35</f>
        <v/>
      </c>
      <c r="CP40" s="13">
        <f>'Grid_Stock'!CI35</f>
        <v/>
      </c>
      <c r="CQ40" s="13">
        <f>'Grid_Stock'!CJ35</f>
        <v/>
      </c>
      <c r="CR40" s="13">
        <f>'Grid_Stock'!CK35</f>
        <v/>
      </c>
      <c r="CS40" s="13">
        <f>'Grid_Stock'!CL35</f>
        <v/>
      </c>
      <c r="CT40" s="13">
        <f>'Grid_Stock'!CM35</f>
        <v/>
      </c>
      <c r="CU40" s="13">
        <f>'Grid_Stock'!CN35</f>
        <v/>
      </c>
      <c r="CV40" s="13">
        <f>'Grid_Stock'!CO35</f>
        <v/>
      </c>
      <c r="CW40" s="13">
        <f>'Grid_Stock'!CP35</f>
        <v/>
      </c>
      <c r="CX40" s="13">
        <f>'Grid_Stock'!CQ35</f>
        <v/>
      </c>
      <c r="CY40" s="13">
        <f>'Grid_Stock'!CR35</f>
        <v/>
      </c>
      <c r="CZ40" s="13">
        <f>'Grid_Stock'!CS35</f>
        <v/>
      </c>
      <c r="DA40" s="13">
        <f>'Grid_Stock'!CT35</f>
        <v/>
      </c>
      <c r="DB40" s="13">
        <f>'Grid_Stock'!CU35</f>
        <v/>
      </c>
      <c r="DC40" s="13">
        <f>'Grid_Stock'!CV35</f>
        <v/>
      </c>
      <c r="DD40" s="13">
        <f>'Grid_Stock'!CW35</f>
        <v/>
      </c>
      <c r="DE40" s="13">
        <f>'Grid_Stock'!CX35</f>
        <v/>
      </c>
      <c r="DF40" s="13">
        <f>'Grid_Stock'!CY35</f>
        <v/>
      </c>
      <c r="DG40" s="13">
        <f>'Grid_Stock'!CZ35</f>
        <v/>
      </c>
      <c r="DH40" s="13">
        <f>'Grid_Stock'!DA35</f>
        <v/>
      </c>
    </row>
    <row r="41">
      <c r="A41" s="12" t="inlineStr">
        <is>
          <t>CHEM-1770</t>
        </is>
      </c>
      <c r="B41" s="12">
        <f>IFERROR(INDEX(M_RawMaterials[Description],MATCH($A41,M_RawMaterials[Part Name],0)),"")</f>
        <v/>
      </c>
      <c r="C41" s="12">
        <f>IFERROR(INDEX(M_RawMaterials[Category],MATCH($A41,M_RawMaterials[Part Name],0)),"")</f>
        <v/>
      </c>
      <c r="D41" s="12">
        <f>IFERROR(INDEX(M_RawMaterials[基準在庫下限_要入力],MATCH($A41,M_RawMaterials[Part Name],0)),0)</f>
        <v/>
      </c>
      <c r="E41" s="12">
        <f>IFERROR(INDEX(M_RawMaterials[基準在庫上限_要入力],MATCH($A41,M_RawMaterials[Part Name],0)),0)</f>
        <v/>
      </c>
      <c r="F41" s="12">
        <f>IFERROR(LOOKUP(2,1/('T_SelfStock'!$B$40:$DA$40&lt;&gt;""),'T_SelfStock'!$B$40:$DA$40),"")</f>
        <v/>
      </c>
      <c r="G41" s="12">
        <f>IFERROR(LOOKUP(2,1/('T_TTAFStock'!$B$40:$DA$40&lt;&gt;""),'T_TTAFStock'!$B$40:$DA$40),"")</f>
        <v/>
      </c>
      <c r="H41" s="12">
        <f>IFERROR(LOOKUP(2,1/('T_SelfStock'!$B$40:$DA$40&lt;&gt;""),'T_SelfStock'!$B$5:$DA$5),"")</f>
        <v/>
      </c>
      <c r="I41" s="12">
        <f>'Grid_Stock'!B36</f>
        <v/>
      </c>
      <c r="J41" s="12">
        <f>'Grid_Stock'!C36</f>
        <v/>
      </c>
      <c r="K41" s="12">
        <f>'Grid_Stock'!D36</f>
        <v/>
      </c>
      <c r="L41" s="12">
        <f>'Grid_Stock'!E36</f>
        <v/>
      </c>
      <c r="M41" s="12">
        <f>'Grid_Stock'!F36</f>
        <v/>
      </c>
      <c r="N41" s="12">
        <f>'Grid_Stock'!G36</f>
        <v/>
      </c>
      <c r="O41" s="12">
        <f>'Grid_Stock'!H36</f>
        <v/>
      </c>
      <c r="P41" s="12">
        <f>'Grid_Stock'!I36</f>
        <v/>
      </c>
      <c r="Q41" s="12">
        <f>'Grid_Stock'!J36</f>
        <v/>
      </c>
      <c r="R41" s="12">
        <f>'Grid_Stock'!K36</f>
        <v/>
      </c>
      <c r="S41" s="12">
        <f>'Grid_Stock'!L36</f>
        <v/>
      </c>
      <c r="T41" s="12">
        <f>'Grid_Stock'!M36</f>
        <v/>
      </c>
      <c r="U41" s="12">
        <f>'Grid_Stock'!N36</f>
        <v/>
      </c>
      <c r="V41" s="12">
        <f>'Grid_Stock'!O36</f>
        <v/>
      </c>
      <c r="W41" s="12">
        <f>'Grid_Stock'!P36</f>
        <v/>
      </c>
      <c r="X41" s="12">
        <f>'Grid_Stock'!Q36</f>
        <v/>
      </c>
      <c r="Y41" s="12">
        <f>'Grid_Stock'!R36</f>
        <v/>
      </c>
      <c r="Z41" s="12">
        <f>'Grid_Stock'!S36</f>
        <v/>
      </c>
      <c r="AA41" s="12">
        <f>'Grid_Stock'!T36</f>
        <v/>
      </c>
      <c r="AB41" s="12">
        <f>'Grid_Stock'!U36</f>
        <v/>
      </c>
      <c r="AC41" s="12">
        <f>'Grid_Stock'!V36</f>
        <v/>
      </c>
      <c r="AD41" s="12">
        <f>'Grid_Stock'!W36</f>
        <v/>
      </c>
      <c r="AE41" s="12">
        <f>'Grid_Stock'!X36</f>
        <v/>
      </c>
      <c r="AF41" s="12">
        <f>'Grid_Stock'!Y36</f>
        <v/>
      </c>
      <c r="AG41" s="12">
        <f>'Grid_Stock'!Z36</f>
        <v/>
      </c>
      <c r="AH41" s="12">
        <f>'Grid_Stock'!AA36</f>
        <v/>
      </c>
      <c r="AI41" s="12">
        <f>'Grid_Stock'!AB36</f>
        <v/>
      </c>
      <c r="AJ41" s="12">
        <f>'Grid_Stock'!AC36</f>
        <v/>
      </c>
      <c r="AK41" s="12">
        <f>'Grid_Stock'!AD36</f>
        <v/>
      </c>
      <c r="AL41" s="12">
        <f>'Grid_Stock'!AE36</f>
        <v/>
      </c>
      <c r="AM41" s="12">
        <f>'Grid_Stock'!AF36</f>
        <v/>
      </c>
      <c r="AN41" s="12">
        <f>'Grid_Stock'!AG36</f>
        <v/>
      </c>
      <c r="AO41" s="12">
        <f>'Grid_Stock'!AH36</f>
        <v/>
      </c>
      <c r="AP41" s="12">
        <f>'Grid_Stock'!AI36</f>
        <v/>
      </c>
      <c r="AQ41" s="12">
        <f>'Grid_Stock'!AJ36</f>
        <v/>
      </c>
      <c r="AR41" s="12">
        <f>'Grid_Stock'!AK36</f>
        <v/>
      </c>
      <c r="AS41" s="12">
        <f>'Grid_Stock'!AL36</f>
        <v/>
      </c>
      <c r="AT41" s="12">
        <f>'Grid_Stock'!AM36</f>
        <v/>
      </c>
      <c r="AU41" s="12">
        <f>'Grid_Stock'!AN36</f>
        <v/>
      </c>
      <c r="AV41" s="12">
        <f>'Grid_Stock'!AO36</f>
        <v/>
      </c>
      <c r="AW41" s="12">
        <f>'Grid_Stock'!AP36</f>
        <v/>
      </c>
      <c r="AX41" s="12">
        <f>'Grid_Stock'!AQ36</f>
        <v/>
      </c>
      <c r="AY41" s="12">
        <f>'Grid_Stock'!AR36</f>
        <v/>
      </c>
      <c r="AZ41" s="12">
        <f>'Grid_Stock'!AS36</f>
        <v/>
      </c>
      <c r="BA41" s="12">
        <f>'Grid_Stock'!AT36</f>
        <v/>
      </c>
      <c r="BB41" s="12">
        <f>'Grid_Stock'!AU36</f>
        <v/>
      </c>
      <c r="BC41" s="12">
        <f>'Grid_Stock'!AV36</f>
        <v/>
      </c>
      <c r="BD41" s="12">
        <f>'Grid_Stock'!AW36</f>
        <v/>
      </c>
      <c r="BE41" s="12">
        <f>'Grid_Stock'!AX36</f>
        <v/>
      </c>
      <c r="BF41" s="12">
        <f>'Grid_Stock'!AY36</f>
        <v/>
      </c>
      <c r="BG41" s="12">
        <f>'Grid_Stock'!AZ36</f>
        <v/>
      </c>
      <c r="BH41" s="12">
        <f>'Grid_Stock'!BA36</f>
        <v/>
      </c>
      <c r="BI41" s="12">
        <f>'Grid_Stock'!BB36</f>
        <v/>
      </c>
      <c r="BJ41" s="12">
        <f>'Grid_Stock'!BC36</f>
        <v/>
      </c>
      <c r="BK41" s="12">
        <f>'Grid_Stock'!BD36</f>
        <v/>
      </c>
      <c r="BL41" s="12">
        <f>'Grid_Stock'!BE36</f>
        <v/>
      </c>
      <c r="BM41" s="12">
        <f>'Grid_Stock'!BF36</f>
        <v/>
      </c>
      <c r="BN41" s="12">
        <f>'Grid_Stock'!BG36</f>
        <v/>
      </c>
      <c r="BO41" s="12">
        <f>'Grid_Stock'!BH36</f>
        <v/>
      </c>
      <c r="BP41" s="12">
        <f>'Grid_Stock'!BI36</f>
        <v/>
      </c>
      <c r="BQ41" s="12">
        <f>'Grid_Stock'!BJ36</f>
        <v/>
      </c>
      <c r="BR41" s="12">
        <f>'Grid_Stock'!BK36</f>
        <v/>
      </c>
      <c r="BS41" s="12">
        <f>'Grid_Stock'!BL36</f>
        <v/>
      </c>
      <c r="BT41" s="12">
        <f>'Grid_Stock'!BM36</f>
        <v/>
      </c>
      <c r="BU41" s="12">
        <f>'Grid_Stock'!BN36</f>
        <v/>
      </c>
      <c r="BV41" s="12">
        <f>'Grid_Stock'!BO36</f>
        <v/>
      </c>
      <c r="BW41" s="12">
        <f>'Grid_Stock'!BP36</f>
        <v/>
      </c>
      <c r="BX41" s="12">
        <f>'Grid_Stock'!BQ36</f>
        <v/>
      </c>
      <c r="BY41" s="12">
        <f>'Grid_Stock'!BR36</f>
        <v/>
      </c>
      <c r="BZ41" s="12">
        <f>'Grid_Stock'!BS36</f>
        <v/>
      </c>
      <c r="CA41" s="12">
        <f>'Grid_Stock'!BT36</f>
        <v/>
      </c>
      <c r="CB41" s="12">
        <f>'Grid_Stock'!BU36</f>
        <v/>
      </c>
      <c r="CC41" s="12">
        <f>'Grid_Stock'!BV36</f>
        <v/>
      </c>
      <c r="CD41" s="12">
        <f>'Grid_Stock'!BW36</f>
        <v/>
      </c>
      <c r="CE41" s="12">
        <f>'Grid_Stock'!BX36</f>
        <v/>
      </c>
      <c r="CF41" s="12">
        <f>'Grid_Stock'!BY36</f>
        <v/>
      </c>
      <c r="CG41" s="12">
        <f>'Grid_Stock'!BZ36</f>
        <v/>
      </c>
      <c r="CH41" s="12">
        <f>'Grid_Stock'!CA36</f>
        <v/>
      </c>
      <c r="CI41" s="12">
        <f>'Grid_Stock'!CB36</f>
        <v/>
      </c>
      <c r="CJ41" s="12">
        <f>'Grid_Stock'!CC36</f>
        <v/>
      </c>
      <c r="CK41" s="12">
        <f>'Grid_Stock'!CD36</f>
        <v/>
      </c>
      <c r="CL41" s="12">
        <f>'Grid_Stock'!CE36</f>
        <v/>
      </c>
      <c r="CM41" s="12">
        <f>'Grid_Stock'!CF36</f>
        <v/>
      </c>
      <c r="CN41" s="12">
        <f>'Grid_Stock'!CG36</f>
        <v/>
      </c>
      <c r="CO41" s="12">
        <f>'Grid_Stock'!CH36</f>
        <v/>
      </c>
      <c r="CP41" s="12">
        <f>'Grid_Stock'!CI36</f>
        <v/>
      </c>
      <c r="CQ41" s="12">
        <f>'Grid_Stock'!CJ36</f>
        <v/>
      </c>
      <c r="CR41" s="12">
        <f>'Grid_Stock'!CK36</f>
        <v/>
      </c>
      <c r="CS41" s="12">
        <f>'Grid_Stock'!CL36</f>
        <v/>
      </c>
      <c r="CT41" s="12">
        <f>'Grid_Stock'!CM36</f>
        <v/>
      </c>
      <c r="CU41" s="12">
        <f>'Grid_Stock'!CN36</f>
        <v/>
      </c>
      <c r="CV41" s="12">
        <f>'Grid_Stock'!CO36</f>
        <v/>
      </c>
      <c r="CW41" s="12">
        <f>'Grid_Stock'!CP36</f>
        <v/>
      </c>
      <c r="CX41" s="12">
        <f>'Grid_Stock'!CQ36</f>
        <v/>
      </c>
      <c r="CY41" s="12">
        <f>'Grid_Stock'!CR36</f>
        <v/>
      </c>
      <c r="CZ41" s="12">
        <f>'Grid_Stock'!CS36</f>
        <v/>
      </c>
      <c r="DA41" s="12">
        <f>'Grid_Stock'!CT36</f>
        <v/>
      </c>
      <c r="DB41" s="12">
        <f>'Grid_Stock'!CU36</f>
        <v/>
      </c>
      <c r="DC41" s="12">
        <f>'Grid_Stock'!CV36</f>
        <v/>
      </c>
      <c r="DD41" s="12">
        <f>'Grid_Stock'!CW36</f>
        <v/>
      </c>
      <c r="DE41" s="12">
        <f>'Grid_Stock'!CX36</f>
        <v/>
      </c>
      <c r="DF41" s="12">
        <f>'Grid_Stock'!CY36</f>
        <v/>
      </c>
      <c r="DG41" s="12">
        <f>'Grid_Stock'!CZ36</f>
        <v/>
      </c>
      <c r="DH41" s="12">
        <f>'Grid_Stock'!DA36</f>
        <v/>
      </c>
    </row>
    <row r="42">
      <c r="A42" s="13" t="inlineStr">
        <is>
          <t>CHEM-1020</t>
        </is>
      </c>
      <c r="B42" s="13">
        <f>IFERROR(INDEX(M_RawMaterials[Description],MATCH($A42,M_RawMaterials[Part Name],0)),"")</f>
        <v/>
      </c>
      <c r="C42" s="13">
        <f>IFERROR(INDEX(M_RawMaterials[Category],MATCH($A42,M_RawMaterials[Part Name],0)),"")</f>
        <v/>
      </c>
      <c r="D42" s="13">
        <f>IFERROR(INDEX(M_RawMaterials[基準在庫下限_要入力],MATCH($A42,M_RawMaterials[Part Name],0)),0)</f>
        <v/>
      </c>
      <c r="E42" s="13">
        <f>IFERROR(INDEX(M_RawMaterials[基準在庫上限_要入力],MATCH($A42,M_RawMaterials[Part Name],0)),0)</f>
        <v/>
      </c>
      <c r="F42" s="13">
        <f>IFERROR(LOOKUP(2,1/('T_SelfStock'!$B$41:$DA$41&lt;&gt;""),'T_SelfStock'!$B$41:$DA$41),"")</f>
        <v/>
      </c>
      <c r="G42" s="13">
        <f>IFERROR(LOOKUP(2,1/('T_TTAFStock'!$B$41:$DA$41&lt;&gt;""),'T_TTAFStock'!$B$41:$DA$41),"")</f>
        <v/>
      </c>
      <c r="H42" s="13">
        <f>IFERROR(LOOKUP(2,1/('T_SelfStock'!$B$41:$DA$41&lt;&gt;""),'T_SelfStock'!$B$5:$DA$5),"")</f>
        <v/>
      </c>
      <c r="I42" s="13">
        <f>'Grid_Stock'!B37</f>
        <v/>
      </c>
      <c r="J42" s="13">
        <f>'Grid_Stock'!C37</f>
        <v/>
      </c>
      <c r="K42" s="13">
        <f>'Grid_Stock'!D37</f>
        <v/>
      </c>
      <c r="L42" s="13">
        <f>'Grid_Stock'!E37</f>
        <v/>
      </c>
      <c r="M42" s="13">
        <f>'Grid_Stock'!F37</f>
        <v/>
      </c>
      <c r="N42" s="13">
        <f>'Grid_Stock'!G37</f>
        <v/>
      </c>
      <c r="O42" s="13">
        <f>'Grid_Stock'!H37</f>
        <v/>
      </c>
      <c r="P42" s="13">
        <f>'Grid_Stock'!I37</f>
        <v/>
      </c>
      <c r="Q42" s="13">
        <f>'Grid_Stock'!J37</f>
        <v/>
      </c>
      <c r="R42" s="13">
        <f>'Grid_Stock'!K37</f>
        <v/>
      </c>
      <c r="S42" s="13">
        <f>'Grid_Stock'!L37</f>
        <v/>
      </c>
      <c r="T42" s="13">
        <f>'Grid_Stock'!M37</f>
        <v/>
      </c>
      <c r="U42" s="13">
        <f>'Grid_Stock'!N37</f>
        <v/>
      </c>
      <c r="V42" s="13">
        <f>'Grid_Stock'!O37</f>
        <v/>
      </c>
      <c r="W42" s="13">
        <f>'Grid_Stock'!P37</f>
        <v/>
      </c>
      <c r="X42" s="13">
        <f>'Grid_Stock'!Q37</f>
        <v/>
      </c>
      <c r="Y42" s="13">
        <f>'Grid_Stock'!R37</f>
        <v/>
      </c>
      <c r="Z42" s="13">
        <f>'Grid_Stock'!S37</f>
        <v/>
      </c>
      <c r="AA42" s="13">
        <f>'Grid_Stock'!T37</f>
        <v/>
      </c>
      <c r="AB42" s="13">
        <f>'Grid_Stock'!U37</f>
        <v/>
      </c>
      <c r="AC42" s="13">
        <f>'Grid_Stock'!V37</f>
        <v/>
      </c>
      <c r="AD42" s="13">
        <f>'Grid_Stock'!W37</f>
        <v/>
      </c>
      <c r="AE42" s="13">
        <f>'Grid_Stock'!X37</f>
        <v/>
      </c>
      <c r="AF42" s="13">
        <f>'Grid_Stock'!Y37</f>
        <v/>
      </c>
      <c r="AG42" s="13">
        <f>'Grid_Stock'!Z37</f>
        <v/>
      </c>
      <c r="AH42" s="13">
        <f>'Grid_Stock'!AA37</f>
        <v/>
      </c>
      <c r="AI42" s="13">
        <f>'Grid_Stock'!AB37</f>
        <v/>
      </c>
      <c r="AJ42" s="13">
        <f>'Grid_Stock'!AC37</f>
        <v/>
      </c>
      <c r="AK42" s="13">
        <f>'Grid_Stock'!AD37</f>
        <v/>
      </c>
      <c r="AL42" s="13">
        <f>'Grid_Stock'!AE37</f>
        <v/>
      </c>
      <c r="AM42" s="13">
        <f>'Grid_Stock'!AF37</f>
        <v/>
      </c>
      <c r="AN42" s="13">
        <f>'Grid_Stock'!AG37</f>
        <v/>
      </c>
      <c r="AO42" s="13">
        <f>'Grid_Stock'!AH37</f>
        <v/>
      </c>
      <c r="AP42" s="13">
        <f>'Grid_Stock'!AI37</f>
        <v/>
      </c>
      <c r="AQ42" s="13">
        <f>'Grid_Stock'!AJ37</f>
        <v/>
      </c>
      <c r="AR42" s="13">
        <f>'Grid_Stock'!AK37</f>
        <v/>
      </c>
      <c r="AS42" s="13">
        <f>'Grid_Stock'!AL37</f>
        <v/>
      </c>
      <c r="AT42" s="13">
        <f>'Grid_Stock'!AM37</f>
        <v/>
      </c>
      <c r="AU42" s="13">
        <f>'Grid_Stock'!AN37</f>
        <v/>
      </c>
      <c r="AV42" s="13">
        <f>'Grid_Stock'!AO37</f>
        <v/>
      </c>
      <c r="AW42" s="13">
        <f>'Grid_Stock'!AP37</f>
        <v/>
      </c>
      <c r="AX42" s="13">
        <f>'Grid_Stock'!AQ37</f>
        <v/>
      </c>
      <c r="AY42" s="13">
        <f>'Grid_Stock'!AR37</f>
        <v/>
      </c>
      <c r="AZ42" s="13">
        <f>'Grid_Stock'!AS37</f>
        <v/>
      </c>
      <c r="BA42" s="13">
        <f>'Grid_Stock'!AT37</f>
        <v/>
      </c>
      <c r="BB42" s="13">
        <f>'Grid_Stock'!AU37</f>
        <v/>
      </c>
      <c r="BC42" s="13">
        <f>'Grid_Stock'!AV37</f>
        <v/>
      </c>
      <c r="BD42" s="13">
        <f>'Grid_Stock'!AW37</f>
        <v/>
      </c>
      <c r="BE42" s="13">
        <f>'Grid_Stock'!AX37</f>
        <v/>
      </c>
      <c r="BF42" s="13">
        <f>'Grid_Stock'!AY37</f>
        <v/>
      </c>
      <c r="BG42" s="13">
        <f>'Grid_Stock'!AZ37</f>
        <v/>
      </c>
      <c r="BH42" s="13">
        <f>'Grid_Stock'!BA37</f>
        <v/>
      </c>
      <c r="BI42" s="13">
        <f>'Grid_Stock'!BB37</f>
        <v/>
      </c>
      <c r="BJ42" s="13">
        <f>'Grid_Stock'!BC37</f>
        <v/>
      </c>
      <c r="BK42" s="13">
        <f>'Grid_Stock'!BD37</f>
        <v/>
      </c>
      <c r="BL42" s="13">
        <f>'Grid_Stock'!BE37</f>
        <v/>
      </c>
      <c r="BM42" s="13">
        <f>'Grid_Stock'!BF37</f>
        <v/>
      </c>
      <c r="BN42" s="13">
        <f>'Grid_Stock'!BG37</f>
        <v/>
      </c>
      <c r="BO42" s="13">
        <f>'Grid_Stock'!BH37</f>
        <v/>
      </c>
      <c r="BP42" s="13">
        <f>'Grid_Stock'!BI37</f>
        <v/>
      </c>
      <c r="BQ42" s="13">
        <f>'Grid_Stock'!BJ37</f>
        <v/>
      </c>
      <c r="BR42" s="13">
        <f>'Grid_Stock'!BK37</f>
        <v/>
      </c>
      <c r="BS42" s="13">
        <f>'Grid_Stock'!BL37</f>
        <v/>
      </c>
      <c r="BT42" s="13">
        <f>'Grid_Stock'!BM37</f>
        <v/>
      </c>
      <c r="BU42" s="13">
        <f>'Grid_Stock'!BN37</f>
        <v/>
      </c>
      <c r="BV42" s="13">
        <f>'Grid_Stock'!BO37</f>
        <v/>
      </c>
      <c r="BW42" s="13">
        <f>'Grid_Stock'!BP37</f>
        <v/>
      </c>
      <c r="BX42" s="13">
        <f>'Grid_Stock'!BQ37</f>
        <v/>
      </c>
      <c r="BY42" s="13">
        <f>'Grid_Stock'!BR37</f>
        <v/>
      </c>
      <c r="BZ42" s="13">
        <f>'Grid_Stock'!BS37</f>
        <v/>
      </c>
      <c r="CA42" s="13">
        <f>'Grid_Stock'!BT37</f>
        <v/>
      </c>
      <c r="CB42" s="13">
        <f>'Grid_Stock'!BU37</f>
        <v/>
      </c>
      <c r="CC42" s="13">
        <f>'Grid_Stock'!BV37</f>
        <v/>
      </c>
      <c r="CD42" s="13">
        <f>'Grid_Stock'!BW37</f>
        <v/>
      </c>
      <c r="CE42" s="13">
        <f>'Grid_Stock'!BX37</f>
        <v/>
      </c>
      <c r="CF42" s="13">
        <f>'Grid_Stock'!BY37</f>
        <v/>
      </c>
      <c r="CG42" s="13">
        <f>'Grid_Stock'!BZ37</f>
        <v/>
      </c>
      <c r="CH42" s="13">
        <f>'Grid_Stock'!CA37</f>
        <v/>
      </c>
      <c r="CI42" s="13">
        <f>'Grid_Stock'!CB37</f>
        <v/>
      </c>
      <c r="CJ42" s="13">
        <f>'Grid_Stock'!CC37</f>
        <v/>
      </c>
      <c r="CK42" s="13">
        <f>'Grid_Stock'!CD37</f>
        <v/>
      </c>
      <c r="CL42" s="13">
        <f>'Grid_Stock'!CE37</f>
        <v/>
      </c>
      <c r="CM42" s="13">
        <f>'Grid_Stock'!CF37</f>
        <v/>
      </c>
      <c r="CN42" s="13">
        <f>'Grid_Stock'!CG37</f>
        <v/>
      </c>
      <c r="CO42" s="13">
        <f>'Grid_Stock'!CH37</f>
        <v/>
      </c>
      <c r="CP42" s="13">
        <f>'Grid_Stock'!CI37</f>
        <v/>
      </c>
      <c r="CQ42" s="13">
        <f>'Grid_Stock'!CJ37</f>
        <v/>
      </c>
      <c r="CR42" s="13">
        <f>'Grid_Stock'!CK37</f>
        <v/>
      </c>
      <c r="CS42" s="13">
        <f>'Grid_Stock'!CL37</f>
        <v/>
      </c>
      <c r="CT42" s="13">
        <f>'Grid_Stock'!CM37</f>
        <v/>
      </c>
      <c r="CU42" s="13">
        <f>'Grid_Stock'!CN37</f>
        <v/>
      </c>
      <c r="CV42" s="13">
        <f>'Grid_Stock'!CO37</f>
        <v/>
      </c>
      <c r="CW42" s="13">
        <f>'Grid_Stock'!CP37</f>
        <v/>
      </c>
      <c r="CX42" s="13">
        <f>'Grid_Stock'!CQ37</f>
        <v/>
      </c>
      <c r="CY42" s="13">
        <f>'Grid_Stock'!CR37</f>
        <v/>
      </c>
      <c r="CZ42" s="13">
        <f>'Grid_Stock'!CS37</f>
        <v/>
      </c>
      <c r="DA42" s="13">
        <f>'Grid_Stock'!CT37</f>
        <v/>
      </c>
      <c r="DB42" s="13">
        <f>'Grid_Stock'!CU37</f>
        <v/>
      </c>
      <c r="DC42" s="13">
        <f>'Grid_Stock'!CV37</f>
        <v/>
      </c>
      <c r="DD42" s="13">
        <f>'Grid_Stock'!CW37</f>
        <v/>
      </c>
      <c r="DE42" s="13">
        <f>'Grid_Stock'!CX37</f>
        <v/>
      </c>
      <c r="DF42" s="13">
        <f>'Grid_Stock'!CY37</f>
        <v/>
      </c>
      <c r="DG42" s="13">
        <f>'Grid_Stock'!CZ37</f>
        <v/>
      </c>
      <c r="DH42" s="13">
        <f>'Grid_Stock'!DA37</f>
        <v/>
      </c>
    </row>
    <row r="43">
      <c r="A43" s="12" t="inlineStr">
        <is>
          <t>Ester Film</t>
        </is>
      </c>
      <c r="B43" s="12">
        <f>IFERROR(INDEX(M_RawMaterials[Description],MATCH($A43,M_RawMaterials[Part Name],0)),"")</f>
        <v/>
      </c>
      <c r="C43" s="12">
        <f>IFERROR(INDEX(M_RawMaterials[Category],MATCH($A43,M_RawMaterials[Part Name],0)),"")</f>
        <v/>
      </c>
      <c r="D43" s="12">
        <f>IFERROR(INDEX(M_RawMaterials[基準在庫下限_要入力],MATCH($A43,M_RawMaterials[Part Name],0)),0)</f>
        <v/>
      </c>
      <c r="E43" s="12">
        <f>IFERROR(INDEX(M_RawMaterials[基準在庫上限_要入力],MATCH($A43,M_RawMaterials[Part Name],0)),0)</f>
        <v/>
      </c>
      <c r="F43" s="12">
        <f>IFERROR(LOOKUP(2,1/('T_SelfStock'!$B$42:$DA$42&lt;&gt;""),'T_SelfStock'!$B$42:$DA$42),"")</f>
        <v/>
      </c>
      <c r="G43" s="12">
        <f>IFERROR(LOOKUP(2,1/('T_TTAFStock'!$B$42:$DA$42&lt;&gt;""),'T_TTAFStock'!$B$42:$DA$42),"")</f>
        <v/>
      </c>
      <c r="H43" s="12">
        <f>IFERROR(LOOKUP(2,1/('T_SelfStock'!$B$42:$DA$42&lt;&gt;""),'T_SelfStock'!$B$5:$DA$5),"")</f>
        <v/>
      </c>
      <c r="I43" s="12">
        <f>'Grid_Stock'!B38</f>
        <v/>
      </c>
      <c r="J43" s="12">
        <f>'Grid_Stock'!C38</f>
        <v/>
      </c>
      <c r="K43" s="12">
        <f>'Grid_Stock'!D38</f>
        <v/>
      </c>
      <c r="L43" s="12">
        <f>'Grid_Stock'!E38</f>
        <v/>
      </c>
      <c r="M43" s="12">
        <f>'Grid_Stock'!F38</f>
        <v/>
      </c>
      <c r="N43" s="12">
        <f>'Grid_Stock'!G38</f>
        <v/>
      </c>
      <c r="O43" s="12">
        <f>'Grid_Stock'!H38</f>
        <v/>
      </c>
      <c r="P43" s="12">
        <f>'Grid_Stock'!I38</f>
        <v/>
      </c>
      <c r="Q43" s="12">
        <f>'Grid_Stock'!J38</f>
        <v/>
      </c>
      <c r="R43" s="12">
        <f>'Grid_Stock'!K38</f>
        <v/>
      </c>
      <c r="S43" s="12">
        <f>'Grid_Stock'!L38</f>
        <v/>
      </c>
      <c r="T43" s="12">
        <f>'Grid_Stock'!M38</f>
        <v/>
      </c>
      <c r="U43" s="12">
        <f>'Grid_Stock'!N38</f>
        <v/>
      </c>
      <c r="V43" s="12">
        <f>'Grid_Stock'!O38</f>
        <v/>
      </c>
      <c r="W43" s="12">
        <f>'Grid_Stock'!P38</f>
        <v/>
      </c>
      <c r="X43" s="12">
        <f>'Grid_Stock'!Q38</f>
        <v/>
      </c>
      <c r="Y43" s="12">
        <f>'Grid_Stock'!R38</f>
        <v/>
      </c>
      <c r="Z43" s="12">
        <f>'Grid_Stock'!S38</f>
        <v/>
      </c>
      <c r="AA43" s="12">
        <f>'Grid_Stock'!T38</f>
        <v/>
      </c>
      <c r="AB43" s="12">
        <f>'Grid_Stock'!U38</f>
        <v/>
      </c>
      <c r="AC43" s="12">
        <f>'Grid_Stock'!V38</f>
        <v/>
      </c>
      <c r="AD43" s="12">
        <f>'Grid_Stock'!W38</f>
        <v/>
      </c>
      <c r="AE43" s="12">
        <f>'Grid_Stock'!X38</f>
        <v/>
      </c>
      <c r="AF43" s="12">
        <f>'Grid_Stock'!Y38</f>
        <v/>
      </c>
      <c r="AG43" s="12">
        <f>'Grid_Stock'!Z38</f>
        <v/>
      </c>
      <c r="AH43" s="12">
        <f>'Grid_Stock'!AA38</f>
        <v/>
      </c>
      <c r="AI43" s="12">
        <f>'Grid_Stock'!AB38</f>
        <v/>
      </c>
      <c r="AJ43" s="12">
        <f>'Grid_Stock'!AC38</f>
        <v/>
      </c>
      <c r="AK43" s="12">
        <f>'Grid_Stock'!AD38</f>
        <v/>
      </c>
      <c r="AL43" s="12">
        <f>'Grid_Stock'!AE38</f>
        <v/>
      </c>
      <c r="AM43" s="12">
        <f>'Grid_Stock'!AF38</f>
        <v/>
      </c>
      <c r="AN43" s="12">
        <f>'Grid_Stock'!AG38</f>
        <v/>
      </c>
      <c r="AO43" s="12">
        <f>'Grid_Stock'!AH38</f>
        <v/>
      </c>
      <c r="AP43" s="12">
        <f>'Grid_Stock'!AI38</f>
        <v/>
      </c>
      <c r="AQ43" s="12">
        <f>'Grid_Stock'!AJ38</f>
        <v/>
      </c>
      <c r="AR43" s="12">
        <f>'Grid_Stock'!AK38</f>
        <v/>
      </c>
      <c r="AS43" s="12">
        <f>'Grid_Stock'!AL38</f>
        <v/>
      </c>
      <c r="AT43" s="12">
        <f>'Grid_Stock'!AM38</f>
        <v/>
      </c>
      <c r="AU43" s="12">
        <f>'Grid_Stock'!AN38</f>
        <v/>
      </c>
      <c r="AV43" s="12">
        <f>'Grid_Stock'!AO38</f>
        <v/>
      </c>
      <c r="AW43" s="12">
        <f>'Grid_Stock'!AP38</f>
        <v/>
      </c>
      <c r="AX43" s="12">
        <f>'Grid_Stock'!AQ38</f>
        <v/>
      </c>
      <c r="AY43" s="12">
        <f>'Grid_Stock'!AR38</f>
        <v/>
      </c>
      <c r="AZ43" s="12">
        <f>'Grid_Stock'!AS38</f>
        <v/>
      </c>
      <c r="BA43" s="12">
        <f>'Grid_Stock'!AT38</f>
        <v/>
      </c>
      <c r="BB43" s="12">
        <f>'Grid_Stock'!AU38</f>
        <v/>
      </c>
      <c r="BC43" s="12">
        <f>'Grid_Stock'!AV38</f>
        <v/>
      </c>
      <c r="BD43" s="12">
        <f>'Grid_Stock'!AW38</f>
        <v/>
      </c>
      <c r="BE43" s="12">
        <f>'Grid_Stock'!AX38</f>
        <v/>
      </c>
      <c r="BF43" s="12">
        <f>'Grid_Stock'!AY38</f>
        <v/>
      </c>
      <c r="BG43" s="12">
        <f>'Grid_Stock'!AZ38</f>
        <v/>
      </c>
      <c r="BH43" s="12">
        <f>'Grid_Stock'!BA38</f>
        <v/>
      </c>
      <c r="BI43" s="12">
        <f>'Grid_Stock'!BB38</f>
        <v/>
      </c>
      <c r="BJ43" s="12">
        <f>'Grid_Stock'!BC38</f>
        <v/>
      </c>
      <c r="BK43" s="12">
        <f>'Grid_Stock'!BD38</f>
        <v/>
      </c>
      <c r="BL43" s="12">
        <f>'Grid_Stock'!BE38</f>
        <v/>
      </c>
      <c r="BM43" s="12">
        <f>'Grid_Stock'!BF38</f>
        <v/>
      </c>
      <c r="BN43" s="12">
        <f>'Grid_Stock'!BG38</f>
        <v/>
      </c>
      <c r="BO43" s="12">
        <f>'Grid_Stock'!BH38</f>
        <v/>
      </c>
      <c r="BP43" s="12">
        <f>'Grid_Stock'!BI38</f>
        <v/>
      </c>
      <c r="BQ43" s="12">
        <f>'Grid_Stock'!BJ38</f>
        <v/>
      </c>
      <c r="BR43" s="12">
        <f>'Grid_Stock'!BK38</f>
        <v/>
      </c>
      <c r="BS43" s="12">
        <f>'Grid_Stock'!BL38</f>
        <v/>
      </c>
      <c r="BT43" s="12">
        <f>'Grid_Stock'!BM38</f>
        <v/>
      </c>
      <c r="BU43" s="12">
        <f>'Grid_Stock'!BN38</f>
        <v/>
      </c>
      <c r="BV43" s="12">
        <f>'Grid_Stock'!BO38</f>
        <v/>
      </c>
      <c r="BW43" s="12">
        <f>'Grid_Stock'!BP38</f>
        <v/>
      </c>
      <c r="BX43" s="12">
        <f>'Grid_Stock'!BQ38</f>
        <v/>
      </c>
      <c r="BY43" s="12">
        <f>'Grid_Stock'!BR38</f>
        <v/>
      </c>
      <c r="BZ43" s="12">
        <f>'Grid_Stock'!BS38</f>
        <v/>
      </c>
      <c r="CA43" s="12">
        <f>'Grid_Stock'!BT38</f>
        <v/>
      </c>
      <c r="CB43" s="12">
        <f>'Grid_Stock'!BU38</f>
        <v/>
      </c>
      <c r="CC43" s="12">
        <f>'Grid_Stock'!BV38</f>
        <v/>
      </c>
      <c r="CD43" s="12">
        <f>'Grid_Stock'!BW38</f>
        <v/>
      </c>
      <c r="CE43" s="12">
        <f>'Grid_Stock'!BX38</f>
        <v/>
      </c>
      <c r="CF43" s="12">
        <f>'Grid_Stock'!BY38</f>
        <v/>
      </c>
      <c r="CG43" s="12">
        <f>'Grid_Stock'!BZ38</f>
        <v/>
      </c>
      <c r="CH43" s="12">
        <f>'Grid_Stock'!CA38</f>
        <v/>
      </c>
      <c r="CI43" s="12">
        <f>'Grid_Stock'!CB38</f>
        <v/>
      </c>
      <c r="CJ43" s="12">
        <f>'Grid_Stock'!CC38</f>
        <v/>
      </c>
      <c r="CK43" s="12">
        <f>'Grid_Stock'!CD38</f>
        <v/>
      </c>
      <c r="CL43" s="12">
        <f>'Grid_Stock'!CE38</f>
        <v/>
      </c>
      <c r="CM43" s="12">
        <f>'Grid_Stock'!CF38</f>
        <v/>
      </c>
      <c r="CN43" s="12">
        <f>'Grid_Stock'!CG38</f>
        <v/>
      </c>
      <c r="CO43" s="12">
        <f>'Grid_Stock'!CH38</f>
        <v/>
      </c>
      <c r="CP43" s="12">
        <f>'Grid_Stock'!CI38</f>
        <v/>
      </c>
      <c r="CQ43" s="12">
        <f>'Grid_Stock'!CJ38</f>
        <v/>
      </c>
      <c r="CR43" s="12">
        <f>'Grid_Stock'!CK38</f>
        <v/>
      </c>
      <c r="CS43" s="12">
        <f>'Grid_Stock'!CL38</f>
        <v/>
      </c>
      <c r="CT43" s="12">
        <f>'Grid_Stock'!CM38</f>
        <v/>
      </c>
      <c r="CU43" s="12">
        <f>'Grid_Stock'!CN38</f>
        <v/>
      </c>
      <c r="CV43" s="12">
        <f>'Grid_Stock'!CO38</f>
        <v/>
      </c>
      <c r="CW43" s="12">
        <f>'Grid_Stock'!CP38</f>
        <v/>
      </c>
      <c r="CX43" s="12">
        <f>'Grid_Stock'!CQ38</f>
        <v/>
      </c>
      <c r="CY43" s="12">
        <f>'Grid_Stock'!CR38</f>
        <v/>
      </c>
      <c r="CZ43" s="12">
        <f>'Grid_Stock'!CS38</f>
        <v/>
      </c>
      <c r="DA43" s="12">
        <f>'Grid_Stock'!CT38</f>
        <v/>
      </c>
      <c r="DB43" s="12">
        <f>'Grid_Stock'!CU38</f>
        <v/>
      </c>
      <c r="DC43" s="12">
        <f>'Grid_Stock'!CV38</f>
        <v/>
      </c>
      <c r="DD43" s="12">
        <f>'Grid_Stock'!CW38</f>
        <v/>
      </c>
      <c r="DE43" s="12">
        <f>'Grid_Stock'!CX38</f>
        <v/>
      </c>
      <c r="DF43" s="12">
        <f>'Grid_Stock'!CY38</f>
        <v/>
      </c>
      <c r="DG43" s="12">
        <f>'Grid_Stock'!CZ38</f>
        <v/>
      </c>
      <c r="DH43" s="12">
        <f>'Grid_Stock'!DA38</f>
        <v/>
      </c>
    </row>
    <row r="44">
      <c r="A44" s="13" t="inlineStr">
        <is>
          <t>PP Film</t>
        </is>
      </c>
      <c r="B44" s="13">
        <f>IFERROR(INDEX(M_RawMaterials[Description],MATCH($A44,M_RawMaterials[Part Name],0)),"")</f>
        <v/>
      </c>
      <c r="C44" s="13">
        <f>IFERROR(INDEX(M_RawMaterials[Category],MATCH($A44,M_RawMaterials[Part Name],0)),"")</f>
        <v/>
      </c>
      <c r="D44" s="13">
        <f>IFERROR(INDEX(M_RawMaterials[基準在庫下限_要入力],MATCH($A44,M_RawMaterials[Part Name],0)),0)</f>
        <v/>
      </c>
      <c r="E44" s="13">
        <f>IFERROR(INDEX(M_RawMaterials[基準在庫上限_要入力],MATCH($A44,M_RawMaterials[Part Name],0)),0)</f>
        <v/>
      </c>
      <c r="F44" s="13">
        <f>IFERROR(LOOKUP(2,1/('T_SelfStock'!$B$43:$DA$43&lt;&gt;""),'T_SelfStock'!$B$43:$DA$43),"")</f>
        <v/>
      </c>
      <c r="G44" s="13">
        <f>IFERROR(LOOKUP(2,1/('T_TTAFStock'!$B$43:$DA$43&lt;&gt;""),'T_TTAFStock'!$B$43:$DA$43),"")</f>
        <v/>
      </c>
      <c r="H44" s="13">
        <f>IFERROR(LOOKUP(2,1/('T_SelfStock'!$B$43:$DA$43&lt;&gt;""),'T_SelfStock'!$B$5:$DA$5),"")</f>
        <v/>
      </c>
      <c r="I44" s="13">
        <f>'Grid_Stock'!B39</f>
        <v/>
      </c>
      <c r="J44" s="13">
        <f>'Grid_Stock'!C39</f>
        <v/>
      </c>
      <c r="K44" s="13">
        <f>'Grid_Stock'!D39</f>
        <v/>
      </c>
      <c r="L44" s="13">
        <f>'Grid_Stock'!E39</f>
        <v/>
      </c>
      <c r="M44" s="13">
        <f>'Grid_Stock'!F39</f>
        <v/>
      </c>
      <c r="N44" s="13">
        <f>'Grid_Stock'!G39</f>
        <v/>
      </c>
      <c r="O44" s="13">
        <f>'Grid_Stock'!H39</f>
        <v/>
      </c>
      <c r="P44" s="13">
        <f>'Grid_Stock'!I39</f>
        <v/>
      </c>
      <c r="Q44" s="13">
        <f>'Grid_Stock'!J39</f>
        <v/>
      </c>
      <c r="R44" s="13">
        <f>'Grid_Stock'!K39</f>
        <v/>
      </c>
      <c r="S44" s="13">
        <f>'Grid_Stock'!L39</f>
        <v/>
      </c>
      <c r="T44" s="13">
        <f>'Grid_Stock'!M39</f>
        <v/>
      </c>
      <c r="U44" s="13">
        <f>'Grid_Stock'!N39</f>
        <v/>
      </c>
      <c r="V44" s="13">
        <f>'Grid_Stock'!O39</f>
        <v/>
      </c>
      <c r="W44" s="13">
        <f>'Grid_Stock'!P39</f>
        <v/>
      </c>
      <c r="X44" s="13">
        <f>'Grid_Stock'!Q39</f>
        <v/>
      </c>
      <c r="Y44" s="13">
        <f>'Grid_Stock'!R39</f>
        <v/>
      </c>
      <c r="Z44" s="13">
        <f>'Grid_Stock'!S39</f>
        <v/>
      </c>
      <c r="AA44" s="13">
        <f>'Grid_Stock'!T39</f>
        <v/>
      </c>
      <c r="AB44" s="13">
        <f>'Grid_Stock'!U39</f>
        <v/>
      </c>
      <c r="AC44" s="13">
        <f>'Grid_Stock'!V39</f>
        <v/>
      </c>
      <c r="AD44" s="13">
        <f>'Grid_Stock'!W39</f>
        <v/>
      </c>
      <c r="AE44" s="13">
        <f>'Grid_Stock'!X39</f>
        <v/>
      </c>
      <c r="AF44" s="13">
        <f>'Grid_Stock'!Y39</f>
        <v/>
      </c>
      <c r="AG44" s="13">
        <f>'Grid_Stock'!Z39</f>
        <v/>
      </c>
      <c r="AH44" s="13">
        <f>'Grid_Stock'!AA39</f>
        <v/>
      </c>
      <c r="AI44" s="13">
        <f>'Grid_Stock'!AB39</f>
        <v/>
      </c>
      <c r="AJ44" s="13">
        <f>'Grid_Stock'!AC39</f>
        <v/>
      </c>
      <c r="AK44" s="13">
        <f>'Grid_Stock'!AD39</f>
        <v/>
      </c>
      <c r="AL44" s="13">
        <f>'Grid_Stock'!AE39</f>
        <v/>
      </c>
      <c r="AM44" s="13">
        <f>'Grid_Stock'!AF39</f>
        <v/>
      </c>
      <c r="AN44" s="13">
        <f>'Grid_Stock'!AG39</f>
        <v/>
      </c>
      <c r="AO44" s="13">
        <f>'Grid_Stock'!AH39</f>
        <v/>
      </c>
      <c r="AP44" s="13">
        <f>'Grid_Stock'!AI39</f>
        <v/>
      </c>
      <c r="AQ44" s="13">
        <f>'Grid_Stock'!AJ39</f>
        <v/>
      </c>
      <c r="AR44" s="13">
        <f>'Grid_Stock'!AK39</f>
        <v/>
      </c>
      <c r="AS44" s="13">
        <f>'Grid_Stock'!AL39</f>
        <v/>
      </c>
      <c r="AT44" s="13">
        <f>'Grid_Stock'!AM39</f>
        <v/>
      </c>
      <c r="AU44" s="13">
        <f>'Grid_Stock'!AN39</f>
        <v/>
      </c>
      <c r="AV44" s="13">
        <f>'Grid_Stock'!AO39</f>
        <v/>
      </c>
      <c r="AW44" s="13">
        <f>'Grid_Stock'!AP39</f>
        <v/>
      </c>
      <c r="AX44" s="13">
        <f>'Grid_Stock'!AQ39</f>
        <v/>
      </c>
      <c r="AY44" s="13">
        <f>'Grid_Stock'!AR39</f>
        <v/>
      </c>
      <c r="AZ44" s="13">
        <f>'Grid_Stock'!AS39</f>
        <v/>
      </c>
      <c r="BA44" s="13">
        <f>'Grid_Stock'!AT39</f>
        <v/>
      </c>
      <c r="BB44" s="13">
        <f>'Grid_Stock'!AU39</f>
        <v/>
      </c>
      <c r="BC44" s="13">
        <f>'Grid_Stock'!AV39</f>
        <v/>
      </c>
      <c r="BD44" s="13">
        <f>'Grid_Stock'!AW39</f>
        <v/>
      </c>
      <c r="BE44" s="13">
        <f>'Grid_Stock'!AX39</f>
        <v/>
      </c>
      <c r="BF44" s="13">
        <f>'Grid_Stock'!AY39</f>
        <v/>
      </c>
      <c r="BG44" s="13">
        <f>'Grid_Stock'!AZ39</f>
        <v/>
      </c>
      <c r="BH44" s="13">
        <f>'Grid_Stock'!BA39</f>
        <v/>
      </c>
      <c r="BI44" s="13">
        <f>'Grid_Stock'!BB39</f>
        <v/>
      </c>
      <c r="BJ44" s="13">
        <f>'Grid_Stock'!BC39</f>
        <v/>
      </c>
      <c r="BK44" s="13">
        <f>'Grid_Stock'!BD39</f>
        <v/>
      </c>
      <c r="BL44" s="13">
        <f>'Grid_Stock'!BE39</f>
        <v/>
      </c>
      <c r="BM44" s="13">
        <f>'Grid_Stock'!BF39</f>
        <v/>
      </c>
      <c r="BN44" s="13">
        <f>'Grid_Stock'!BG39</f>
        <v/>
      </c>
      <c r="BO44" s="13">
        <f>'Grid_Stock'!BH39</f>
        <v/>
      </c>
      <c r="BP44" s="13">
        <f>'Grid_Stock'!BI39</f>
        <v/>
      </c>
      <c r="BQ44" s="13">
        <f>'Grid_Stock'!BJ39</f>
        <v/>
      </c>
      <c r="BR44" s="13">
        <f>'Grid_Stock'!BK39</f>
        <v/>
      </c>
      <c r="BS44" s="13">
        <f>'Grid_Stock'!BL39</f>
        <v/>
      </c>
      <c r="BT44" s="13">
        <f>'Grid_Stock'!BM39</f>
        <v/>
      </c>
      <c r="BU44" s="13">
        <f>'Grid_Stock'!BN39</f>
        <v/>
      </c>
      <c r="BV44" s="13">
        <f>'Grid_Stock'!BO39</f>
        <v/>
      </c>
      <c r="BW44" s="13">
        <f>'Grid_Stock'!BP39</f>
        <v/>
      </c>
      <c r="BX44" s="13">
        <f>'Grid_Stock'!BQ39</f>
        <v/>
      </c>
      <c r="BY44" s="13">
        <f>'Grid_Stock'!BR39</f>
        <v/>
      </c>
      <c r="BZ44" s="13">
        <f>'Grid_Stock'!BS39</f>
        <v/>
      </c>
      <c r="CA44" s="13">
        <f>'Grid_Stock'!BT39</f>
        <v/>
      </c>
      <c r="CB44" s="13">
        <f>'Grid_Stock'!BU39</f>
        <v/>
      </c>
      <c r="CC44" s="13">
        <f>'Grid_Stock'!BV39</f>
        <v/>
      </c>
      <c r="CD44" s="13">
        <f>'Grid_Stock'!BW39</f>
        <v/>
      </c>
      <c r="CE44" s="13">
        <f>'Grid_Stock'!BX39</f>
        <v/>
      </c>
      <c r="CF44" s="13">
        <f>'Grid_Stock'!BY39</f>
        <v/>
      </c>
      <c r="CG44" s="13">
        <f>'Grid_Stock'!BZ39</f>
        <v/>
      </c>
      <c r="CH44" s="13">
        <f>'Grid_Stock'!CA39</f>
        <v/>
      </c>
      <c r="CI44" s="13">
        <f>'Grid_Stock'!CB39</f>
        <v/>
      </c>
      <c r="CJ44" s="13">
        <f>'Grid_Stock'!CC39</f>
        <v/>
      </c>
      <c r="CK44" s="13">
        <f>'Grid_Stock'!CD39</f>
        <v/>
      </c>
      <c r="CL44" s="13">
        <f>'Grid_Stock'!CE39</f>
        <v/>
      </c>
      <c r="CM44" s="13">
        <f>'Grid_Stock'!CF39</f>
        <v/>
      </c>
      <c r="CN44" s="13">
        <f>'Grid_Stock'!CG39</f>
        <v/>
      </c>
      <c r="CO44" s="13">
        <f>'Grid_Stock'!CH39</f>
        <v/>
      </c>
      <c r="CP44" s="13">
        <f>'Grid_Stock'!CI39</f>
        <v/>
      </c>
      <c r="CQ44" s="13">
        <f>'Grid_Stock'!CJ39</f>
        <v/>
      </c>
      <c r="CR44" s="13">
        <f>'Grid_Stock'!CK39</f>
        <v/>
      </c>
      <c r="CS44" s="13">
        <f>'Grid_Stock'!CL39</f>
        <v/>
      </c>
      <c r="CT44" s="13">
        <f>'Grid_Stock'!CM39</f>
        <v/>
      </c>
      <c r="CU44" s="13">
        <f>'Grid_Stock'!CN39</f>
        <v/>
      </c>
      <c r="CV44" s="13">
        <f>'Grid_Stock'!CO39</f>
        <v/>
      </c>
      <c r="CW44" s="13">
        <f>'Grid_Stock'!CP39</f>
        <v/>
      </c>
      <c r="CX44" s="13">
        <f>'Grid_Stock'!CQ39</f>
        <v/>
      </c>
      <c r="CY44" s="13">
        <f>'Grid_Stock'!CR39</f>
        <v/>
      </c>
      <c r="CZ44" s="13">
        <f>'Grid_Stock'!CS39</f>
        <v/>
      </c>
      <c r="DA44" s="13">
        <f>'Grid_Stock'!CT39</f>
        <v/>
      </c>
      <c r="DB44" s="13">
        <f>'Grid_Stock'!CU39</f>
        <v/>
      </c>
      <c r="DC44" s="13">
        <f>'Grid_Stock'!CV39</f>
        <v/>
      </c>
      <c r="DD44" s="13">
        <f>'Grid_Stock'!CW39</f>
        <v/>
      </c>
      <c r="DE44" s="13">
        <f>'Grid_Stock'!CX39</f>
        <v/>
      </c>
      <c r="DF44" s="13">
        <f>'Grid_Stock'!CY39</f>
        <v/>
      </c>
      <c r="DG44" s="13">
        <f>'Grid_Stock'!CZ39</f>
        <v/>
      </c>
      <c r="DH44" s="13">
        <f>'Grid_Stock'!DA39</f>
        <v/>
      </c>
    </row>
    <row r="45">
      <c r="A45" s="12" t="inlineStr">
        <is>
          <t>5SN</t>
        </is>
      </c>
      <c r="B45" s="12">
        <f>IFERROR(INDEX(M_RawMaterials[Description],MATCH($A45,M_RawMaterials[Part Name],0)),"")</f>
        <v/>
      </c>
      <c r="C45" s="12">
        <f>IFERROR(INDEX(M_RawMaterials[Category],MATCH($A45,M_RawMaterials[Part Name],0)),"")</f>
        <v/>
      </c>
      <c r="D45" s="12">
        <f>IFERROR(INDEX(M_RawMaterials[基準在庫下限_要入力],MATCH($A45,M_RawMaterials[Part Name],0)),0)</f>
        <v/>
      </c>
      <c r="E45" s="12">
        <f>IFERROR(INDEX(M_RawMaterials[基準在庫上限_要入力],MATCH($A45,M_RawMaterials[Part Name],0)),0)</f>
        <v/>
      </c>
      <c r="F45" s="12">
        <f>IFERROR(LOOKUP(2,1/('T_SelfStock'!$B$44:$DA$44&lt;&gt;""),'T_SelfStock'!$B$44:$DA$44),"")</f>
        <v/>
      </c>
      <c r="G45" s="12">
        <f>IFERROR(LOOKUP(2,1/('T_TTAFStock'!$B$44:$DA$44&lt;&gt;""),'T_TTAFStock'!$B$44:$DA$44),"")</f>
        <v/>
      </c>
      <c r="H45" s="12">
        <f>IFERROR(LOOKUP(2,1/('T_SelfStock'!$B$44:$DA$44&lt;&gt;""),'T_SelfStock'!$B$5:$DA$5),"")</f>
        <v/>
      </c>
      <c r="I45" s="12">
        <f>'Grid_Stock'!B40</f>
        <v/>
      </c>
      <c r="J45" s="12">
        <f>'Grid_Stock'!C40</f>
        <v/>
      </c>
      <c r="K45" s="12">
        <f>'Grid_Stock'!D40</f>
        <v/>
      </c>
      <c r="L45" s="12">
        <f>'Grid_Stock'!E40</f>
        <v/>
      </c>
      <c r="M45" s="12">
        <f>'Grid_Stock'!F40</f>
        <v/>
      </c>
      <c r="N45" s="12">
        <f>'Grid_Stock'!G40</f>
        <v/>
      </c>
      <c r="O45" s="12">
        <f>'Grid_Stock'!H40</f>
        <v/>
      </c>
      <c r="P45" s="12">
        <f>'Grid_Stock'!I40</f>
        <v/>
      </c>
      <c r="Q45" s="12">
        <f>'Grid_Stock'!J40</f>
        <v/>
      </c>
      <c r="R45" s="12">
        <f>'Grid_Stock'!K40</f>
        <v/>
      </c>
      <c r="S45" s="12">
        <f>'Grid_Stock'!L40</f>
        <v/>
      </c>
      <c r="T45" s="12">
        <f>'Grid_Stock'!M40</f>
        <v/>
      </c>
      <c r="U45" s="12">
        <f>'Grid_Stock'!N40</f>
        <v/>
      </c>
      <c r="V45" s="12">
        <f>'Grid_Stock'!O40</f>
        <v/>
      </c>
      <c r="W45" s="12">
        <f>'Grid_Stock'!P40</f>
        <v/>
      </c>
      <c r="X45" s="12">
        <f>'Grid_Stock'!Q40</f>
        <v/>
      </c>
      <c r="Y45" s="12">
        <f>'Grid_Stock'!R40</f>
        <v/>
      </c>
      <c r="Z45" s="12">
        <f>'Grid_Stock'!S40</f>
        <v/>
      </c>
      <c r="AA45" s="12">
        <f>'Grid_Stock'!T40</f>
        <v/>
      </c>
      <c r="AB45" s="12">
        <f>'Grid_Stock'!U40</f>
        <v/>
      </c>
      <c r="AC45" s="12">
        <f>'Grid_Stock'!V40</f>
        <v/>
      </c>
      <c r="AD45" s="12">
        <f>'Grid_Stock'!W40</f>
        <v/>
      </c>
      <c r="AE45" s="12">
        <f>'Grid_Stock'!X40</f>
        <v/>
      </c>
      <c r="AF45" s="12">
        <f>'Grid_Stock'!Y40</f>
        <v/>
      </c>
      <c r="AG45" s="12">
        <f>'Grid_Stock'!Z40</f>
        <v/>
      </c>
      <c r="AH45" s="12">
        <f>'Grid_Stock'!AA40</f>
        <v/>
      </c>
      <c r="AI45" s="12">
        <f>'Grid_Stock'!AB40</f>
        <v/>
      </c>
      <c r="AJ45" s="12">
        <f>'Grid_Stock'!AC40</f>
        <v/>
      </c>
      <c r="AK45" s="12">
        <f>'Grid_Stock'!AD40</f>
        <v/>
      </c>
      <c r="AL45" s="12">
        <f>'Grid_Stock'!AE40</f>
        <v/>
      </c>
      <c r="AM45" s="12">
        <f>'Grid_Stock'!AF40</f>
        <v/>
      </c>
      <c r="AN45" s="12">
        <f>'Grid_Stock'!AG40</f>
        <v/>
      </c>
      <c r="AO45" s="12">
        <f>'Grid_Stock'!AH40</f>
        <v/>
      </c>
      <c r="AP45" s="12">
        <f>'Grid_Stock'!AI40</f>
        <v/>
      </c>
      <c r="AQ45" s="12">
        <f>'Grid_Stock'!AJ40</f>
        <v/>
      </c>
      <c r="AR45" s="12">
        <f>'Grid_Stock'!AK40</f>
        <v/>
      </c>
      <c r="AS45" s="12">
        <f>'Grid_Stock'!AL40</f>
        <v/>
      </c>
      <c r="AT45" s="12">
        <f>'Grid_Stock'!AM40</f>
        <v/>
      </c>
      <c r="AU45" s="12">
        <f>'Grid_Stock'!AN40</f>
        <v/>
      </c>
      <c r="AV45" s="12">
        <f>'Grid_Stock'!AO40</f>
        <v/>
      </c>
      <c r="AW45" s="12">
        <f>'Grid_Stock'!AP40</f>
        <v/>
      </c>
      <c r="AX45" s="12">
        <f>'Grid_Stock'!AQ40</f>
        <v/>
      </c>
      <c r="AY45" s="12">
        <f>'Grid_Stock'!AR40</f>
        <v/>
      </c>
      <c r="AZ45" s="12">
        <f>'Grid_Stock'!AS40</f>
        <v/>
      </c>
      <c r="BA45" s="12">
        <f>'Grid_Stock'!AT40</f>
        <v/>
      </c>
      <c r="BB45" s="12">
        <f>'Grid_Stock'!AU40</f>
        <v/>
      </c>
      <c r="BC45" s="12">
        <f>'Grid_Stock'!AV40</f>
        <v/>
      </c>
      <c r="BD45" s="12">
        <f>'Grid_Stock'!AW40</f>
        <v/>
      </c>
      <c r="BE45" s="12">
        <f>'Grid_Stock'!AX40</f>
        <v/>
      </c>
      <c r="BF45" s="12">
        <f>'Grid_Stock'!AY40</f>
        <v/>
      </c>
      <c r="BG45" s="12">
        <f>'Grid_Stock'!AZ40</f>
        <v/>
      </c>
      <c r="BH45" s="12">
        <f>'Grid_Stock'!BA40</f>
        <v/>
      </c>
      <c r="BI45" s="12">
        <f>'Grid_Stock'!BB40</f>
        <v/>
      </c>
      <c r="BJ45" s="12">
        <f>'Grid_Stock'!BC40</f>
        <v/>
      </c>
      <c r="BK45" s="12">
        <f>'Grid_Stock'!BD40</f>
        <v/>
      </c>
      <c r="BL45" s="12">
        <f>'Grid_Stock'!BE40</f>
        <v/>
      </c>
      <c r="BM45" s="12">
        <f>'Grid_Stock'!BF40</f>
        <v/>
      </c>
      <c r="BN45" s="12">
        <f>'Grid_Stock'!BG40</f>
        <v/>
      </c>
      <c r="BO45" s="12">
        <f>'Grid_Stock'!BH40</f>
        <v/>
      </c>
      <c r="BP45" s="12">
        <f>'Grid_Stock'!BI40</f>
        <v/>
      </c>
      <c r="BQ45" s="12">
        <f>'Grid_Stock'!BJ40</f>
        <v/>
      </c>
      <c r="BR45" s="12">
        <f>'Grid_Stock'!BK40</f>
        <v/>
      </c>
      <c r="BS45" s="12">
        <f>'Grid_Stock'!BL40</f>
        <v/>
      </c>
      <c r="BT45" s="12">
        <f>'Grid_Stock'!BM40</f>
        <v/>
      </c>
      <c r="BU45" s="12">
        <f>'Grid_Stock'!BN40</f>
        <v/>
      </c>
      <c r="BV45" s="12">
        <f>'Grid_Stock'!BO40</f>
        <v/>
      </c>
      <c r="BW45" s="12">
        <f>'Grid_Stock'!BP40</f>
        <v/>
      </c>
      <c r="BX45" s="12">
        <f>'Grid_Stock'!BQ40</f>
        <v/>
      </c>
      <c r="BY45" s="12">
        <f>'Grid_Stock'!BR40</f>
        <v/>
      </c>
      <c r="BZ45" s="12">
        <f>'Grid_Stock'!BS40</f>
        <v/>
      </c>
      <c r="CA45" s="12">
        <f>'Grid_Stock'!BT40</f>
        <v/>
      </c>
      <c r="CB45" s="12">
        <f>'Grid_Stock'!BU40</f>
        <v/>
      </c>
      <c r="CC45" s="12">
        <f>'Grid_Stock'!BV40</f>
        <v/>
      </c>
      <c r="CD45" s="12">
        <f>'Grid_Stock'!BW40</f>
        <v/>
      </c>
      <c r="CE45" s="12">
        <f>'Grid_Stock'!BX40</f>
        <v/>
      </c>
      <c r="CF45" s="12">
        <f>'Grid_Stock'!BY40</f>
        <v/>
      </c>
      <c r="CG45" s="12">
        <f>'Grid_Stock'!BZ40</f>
        <v/>
      </c>
      <c r="CH45" s="12">
        <f>'Grid_Stock'!CA40</f>
        <v/>
      </c>
      <c r="CI45" s="12">
        <f>'Grid_Stock'!CB40</f>
        <v/>
      </c>
      <c r="CJ45" s="12">
        <f>'Grid_Stock'!CC40</f>
        <v/>
      </c>
      <c r="CK45" s="12">
        <f>'Grid_Stock'!CD40</f>
        <v/>
      </c>
      <c r="CL45" s="12">
        <f>'Grid_Stock'!CE40</f>
        <v/>
      </c>
      <c r="CM45" s="12">
        <f>'Grid_Stock'!CF40</f>
        <v/>
      </c>
      <c r="CN45" s="12">
        <f>'Grid_Stock'!CG40</f>
        <v/>
      </c>
      <c r="CO45" s="12">
        <f>'Grid_Stock'!CH40</f>
        <v/>
      </c>
      <c r="CP45" s="12">
        <f>'Grid_Stock'!CI40</f>
        <v/>
      </c>
      <c r="CQ45" s="12">
        <f>'Grid_Stock'!CJ40</f>
        <v/>
      </c>
      <c r="CR45" s="12">
        <f>'Grid_Stock'!CK40</f>
        <v/>
      </c>
      <c r="CS45" s="12">
        <f>'Grid_Stock'!CL40</f>
        <v/>
      </c>
      <c r="CT45" s="12">
        <f>'Grid_Stock'!CM40</f>
        <v/>
      </c>
      <c r="CU45" s="12">
        <f>'Grid_Stock'!CN40</f>
        <v/>
      </c>
      <c r="CV45" s="12">
        <f>'Grid_Stock'!CO40</f>
        <v/>
      </c>
      <c r="CW45" s="12">
        <f>'Grid_Stock'!CP40</f>
        <v/>
      </c>
      <c r="CX45" s="12">
        <f>'Grid_Stock'!CQ40</f>
        <v/>
      </c>
      <c r="CY45" s="12">
        <f>'Grid_Stock'!CR40</f>
        <v/>
      </c>
      <c r="CZ45" s="12">
        <f>'Grid_Stock'!CS40</f>
        <v/>
      </c>
      <c r="DA45" s="12">
        <f>'Grid_Stock'!CT40</f>
        <v/>
      </c>
      <c r="DB45" s="12">
        <f>'Grid_Stock'!CU40</f>
        <v/>
      </c>
      <c r="DC45" s="12">
        <f>'Grid_Stock'!CV40</f>
        <v/>
      </c>
      <c r="DD45" s="12">
        <f>'Grid_Stock'!CW40</f>
        <v/>
      </c>
      <c r="DE45" s="12">
        <f>'Grid_Stock'!CX40</f>
        <v/>
      </c>
      <c r="DF45" s="12">
        <f>'Grid_Stock'!CY40</f>
        <v/>
      </c>
      <c r="DG45" s="12">
        <f>'Grid_Stock'!CZ40</f>
        <v/>
      </c>
      <c r="DH45" s="12">
        <f>'Grid_Stock'!DA40</f>
        <v/>
      </c>
    </row>
    <row r="46">
      <c r="A46" s="13" t="inlineStr">
        <is>
          <t>1JN</t>
        </is>
      </c>
      <c r="B46" s="13">
        <f>IFERROR(INDEX(M_RawMaterials[Description],MATCH($A46,M_RawMaterials[Part Name],0)),"")</f>
        <v/>
      </c>
      <c r="C46" s="13">
        <f>IFERROR(INDEX(M_RawMaterials[Category],MATCH($A46,M_RawMaterials[Part Name],0)),"")</f>
        <v/>
      </c>
      <c r="D46" s="13">
        <f>IFERROR(INDEX(M_RawMaterials[基準在庫下限_要入力],MATCH($A46,M_RawMaterials[Part Name],0)),0)</f>
        <v/>
      </c>
      <c r="E46" s="13">
        <f>IFERROR(INDEX(M_RawMaterials[基準在庫上限_要入力],MATCH($A46,M_RawMaterials[Part Name],0)),0)</f>
        <v/>
      </c>
      <c r="F46" s="13">
        <f>IFERROR(LOOKUP(2,1/('T_SelfStock'!$B$45:$DA$45&lt;&gt;""),'T_SelfStock'!$B$45:$DA$45),"")</f>
        <v/>
      </c>
      <c r="G46" s="13">
        <f>IFERROR(LOOKUP(2,1/('T_TTAFStock'!$B$45:$DA$45&lt;&gt;""),'T_TTAFStock'!$B$45:$DA$45),"")</f>
        <v/>
      </c>
      <c r="H46" s="13">
        <f>IFERROR(LOOKUP(2,1/('T_SelfStock'!$B$45:$DA$45&lt;&gt;""),'T_SelfStock'!$B$5:$DA$5),"")</f>
        <v/>
      </c>
      <c r="I46" s="13">
        <f>'Grid_Stock'!B41</f>
        <v/>
      </c>
      <c r="J46" s="13">
        <f>'Grid_Stock'!C41</f>
        <v/>
      </c>
      <c r="K46" s="13">
        <f>'Grid_Stock'!D41</f>
        <v/>
      </c>
      <c r="L46" s="13">
        <f>'Grid_Stock'!E41</f>
        <v/>
      </c>
      <c r="M46" s="13">
        <f>'Grid_Stock'!F41</f>
        <v/>
      </c>
      <c r="N46" s="13">
        <f>'Grid_Stock'!G41</f>
        <v/>
      </c>
      <c r="O46" s="13">
        <f>'Grid_Stock'!H41</f>
        <v/>
      </c>
      <c r="P46" s="13">
        <f>'Grid_Stock'!I41</f>
        <v/>
      </c>
      <c r="Q46" s="13">
        <f>'Grid_Stock'!J41</f>
        <v/>
      </c>
      <c r="R46" s="13">
        <f>'Grid_Stock'!K41</f>
        <v/>
      </c>
      <c r="S46" s="13">
        <f>'Grid_Stock'!L41</f>
        <v/>
      </c>
      <c r="T46" s="13">
        <f>'Grid_Stock'!M41</f>
        <v/>
      </c>
      <c r="U46" s="13">
        <f>'Grid_Stock'!N41</f>
        <v/>
      </c>
      <c r="V46" s="13">
        <f>'Grid_Stock'!O41</f>
        <v/>
      </c>
      <c r="W46" s="13">
        <f>'Grid_Stock'!P41</f>
        <v/>
      </c>
      <c r="X46" s="13">
        <f>'Grid_Stock'!Q41</f>
        <v/>
      </c>
      <c r="Y46" s="13">
        <f>'Grid_Stock'!R41</f>
        <v/>
      </c>
      <c r="Z46" s="13">
        <f>'Grid_Stock'!S41</f>
        <v/>
      </c>
      <c r="AA46" s="13">
        <f>'Grid_Stock'!T41</f>
        <v/>
      </c>
      <c r="AB46" s="13">
        <f>'Grid_Stock'!U41</f>
        <v/>
      </c>
      <c r="AC46" s="13">
        <f>'Grid_Stock'!V41</f>
        <v/>
      </c>
      <c r="AD46" s="13">
        <f>'Grid_Stock'!W41</f>
        <v/>
      </c>
      <c r="AE46" s="13">
        <f>'Grid_Stock'!X41</f>
        <v/>
      </c>
      <c r="AF46" s="13">
        <f>'Grid_Stock'!Y41</f>
        <v/>
      </c>
      <c r="AG46" s="13">
        <f>'Grid_Stock'!Z41</f>
        <v/>
      </c>
      <c r="AH46" s="13">
        <f>'Grid_Stock'!AA41</f>
        <v/>
      </c>
      <c r="AI46" s="13">
        <f>'Grid_Stock'!AB41</f>
        <v/>
      </c>
      <c r="AJ46" s="13">
        <f>'Grid_Stock'!AC41</f>
        <v/>
      </c>
      <c r="AK46" s="13">
        <f>'Grid_Stock'!AD41</f>
        <v/>
      </c>
      <c r="AL46" s="13">
        <f>'Grid_Stock'!AE41</f>
        <v/>
      </c>
      <c r="AM46" s="13">
        <f>'Grid_Stock'!AF41</f>
        <v/>
      </c>
      <c r="AN46" s="13">
        <f>'Grid_Stock'!AG41</f>
        <v/>
      </c>
      <c r="AO46" s="13">
        <f>'Grid_Stock'!AH41</f>
        <v/>
      </c>
      <c r="AP46" s="13">
        <f>'Grid_Stock'!AI41</f>
        <v/>
      </c>
      <c r="AQ46" s="13">
        <f>'Grid_Stock'!AJ41</f>
        <v/>
      </c>
      <c r="AR46" s="13">
        <f>'Grid_Stock'!AK41</f>
        <v/>
      </c>
      <c r="AS46" s="13">
        <f>'Grid_Stock'!AL41</f>
        <v/>
      </c>
      <c r="AT46" s="13">
        <f>'Grid_Stock'!AM41</f>
        <v/>
      </c>
      <c r="AU46" s="13">
        <f>'Grid_Stock'!AN41</f>
        <v/>
      </c>
      <c r="AV46" s="13">
        <f>'Grid_Stock'!AO41</f>
        <v/>
      </c>
      <c r="AW46" s="13">
        <f>'Grid_Stock'!AP41</f>
        <v/>
      </c>
      <c r="AX46" s="13">
        <f>'Grid_Stock'!AQ41</f>
        <v/>
      </c>
      <c r="AY46" s="13">
        <f>'Grid_Stock'!AR41</f>
        <v/>
      </c>
      <c r="AZ46" s="13">
        <f>'Grid_Stock'!AS41</f>
        <v/>
      </c>
      <c r="BA46" s="13">
        <f>'Grid_Stock'!AT41</f>
        <v/>
      </c>
      <c r="BB46" s="13">
        <f>'Grid_Stock'!AU41</f>
        <v/>
      </c>
      <c r="BC46" s="13">
        <f>'Grid_Stock'!AV41</f>
        <v/>
      </c>
      <c r="BD46" s="13">
        <f>'Grid_Stock'!AW41</f>
        <v/>
      </c>
      <c r="BE46" s="13">
        <f>'Grid_Stock'!AX41</f>
        <v/>
      </c>
      <c r="BF46" s="13">
        <f>'Grid_Stock'!AY41</f>
        <v/>
      </c>
      <c r="BG46" s="13">
        <f>'Grid_Stock'!AZ41</f>
        <v/>
      </c>
      <c r="BH46" s="13">
        <f>'Grid_Stock'!BA41</f>
        <v/>
      </c>
      <c r="BI46" s="13">
        <f>'Grid_Stock'!BB41</f>
        <v/>
      </c>
      <c r="BJ46" s="13">
        <f>'Grid_Stock'!BC41</f>
        <v/>
      </c>
      <c r="BK46" s="13">
        <f>'Grid_Stock'!BD41</f>
        <v/>
      </c>
      <c r="BL46" s="13">
        <f>'Grid_Stock'!BE41</f>
        <v/>
      </c>
      <c r="BM46" s="13">
        <f>'Grid_Stock'!BF41</f>
        <v/>
      </c>
      <c r="BN46" s="13">
        <f>'Grid_Stock'!BG41</f>
        <v/>
      </c>
      <c r="BO46" s="13">
        <f>'Grid_Stock'!BH41</f>
        <v/>
      </c>
      <c r="BP46" s="13">
        <f>'Grid_Stock'!BI41</f>
        <v/>
      </c>
      <c r="BQ46" s="13">
        <f>'Grid_Stock'!BJ41</f>
        <v/>
      </c>
      <c r="BR46" s="13">
        <f>'Grid_Stock'!BK41</f>
        <v/>
      </c>
      <c r="BS46" s="13">
        <f>'Grid_Stock'!BL41</f>
        <v/>
      </c>
      <c r="BT46" s="13">
        <f>'Grid_Stock'!BM41</f>
        <v/>
      </c>
      <c r="BU46" s="13">
        <f>'Grid_Stock'!BN41</f>
        <v/>
      </c>
      <c r="BV46" s="13">
        <f>'Grid_Stock'!BO41</f>
        <v/>
      </c>
      <c r="BW46" s="13">
        <f>'Grid_Stock'!BP41</f>
        <v/>
      </c>
      <c r="BX46" s="13">
        <f>'Grid_Stock'!BQ41</f>
        <v/>
      </c>
      <c r="BY46" s="13">
        <f>'Grid_Stock'!BR41</f>
        <v/>
      </c>
      <c r="BZ46" s="13">
        <f>'Grid_Stock'!BS41</f>
        <v/>
      </c>
      <c r="CA46" s="13">
        <f>'Grid_Stock'!BT41</f>
        <v/>
      </c>
      <c r="CB46" s="13">
        <f>'Grid_Stock'!BU41</f>
        <v/>
      </c>
      <c r="CC46" s="13">
        <f>'Grid_Stock'!BV41</f>
        <v/>
      </c>
      <c r="CD46" s="13">
        <f>'Grid_Stock'!BW41</f>
        <v/>
      </c>
      <c r="CE46" s="13">
        <f>'Grid_Stock'!BX41</f>
        <v/>
      </c>
      <c r="CF46" s="13">
        <f>'Grid_Stock'!BY41</f>
        <v/>
      </c>
      <c r="CG46" s="13">
        <f>'Grid_Stock'!BZ41</f>
        <v/>
      </c>
      <c r="CH46" s="13">
        <f>'Grid_Stock'!CA41</f>
        <v/>
      </c>
      <c r="CI46" s="13">
        <f>'Grid_Stock'!CB41</f>
        <v/>
      </c>
      <c r="CJ46" s="13">
        <f>'Grid_Stock'!CC41</f>
        <v/>
      </c>
      <c r="CK46" s="13">
        <f>'Grid_Stock'!CD41</f>
        <v/>
      </c>
      <c r="CL46" s="13">
        <f>'Grid_Stock'!CE41</f>
        <v/>
      </c>
      <c r="CM46" s="13">
        <f>'Grid_Stock'!CF41</f>
        <v/>
      </c>
      <c r="CN46" s="13">
        <f>'Grid_Stock'!CG41</f>
        <v/>
      </c>
      <c r="CO46" s="13">
        <f>'Grid_Stock'!CH41</f>
        <v/>
      </c>
      <c r="CP46" s="13">
        <f>'Grid_Stock'!CI41</f>
        <v/>
      </c>
      <c r="CQ46" s="13">
        <f>'Grid_Stock'!CJ41</f>
        <v/>
      </c>
      <c r="CR46" s="13">
        <f>'Grid_Stock'!CK41</f>
        <v/>
      </c>
      <c r="CS46" s="13">
        <f>'Grid_Stock'!CL41</f>
        <v/>
      </c>
      <c r="CT46" s="13">
        <f>'Grid_Stock'!CM41</f>
        <v/>
      </c>
      <c r="CU46" s="13">
        <f>'Grid_Stock'!CN41</f>
        <v/>
      </c>
      <c r="CV46" s="13">
        <f>'Grid_Stock'!CO41</f>
        <v/>
      </c>
      <c r="CW46" s="13">
        <f>'Grid_Stock'!CP41</f>
        <v/>
      </c>
      <c r="CX46" s="13">
        <f>'Grid_Stock'!CQ41</f>
        <v/>
      </c>
      <c r="CY46" s="13">
        <f>'Grid_Stock'!CR41</f>
        <v/>
      </c>
      <c r="CZ46" s="13">
        <f>'Grid_Stock'!CS41</f>
        <v/>
      </c>
      <c r="DA46" s="13">
        <f>'Grid_Stock'!CT41</f>
        <v/>
      </c>
      <c r="DB46" s="13">
        <f>'Grid_Stock'!CU41</f>
        <v/>
      </c>
      <c r="DC46" s="13">
        <f>'Grid_Stock'!CV41</f>
        <v/>
      </c>
      <c r="DD46" s="13">
        <f>'Grid_Stock'!CW41</f>
        <v/>
      </c>
      <c r="DE46" s="13">
        <f>'Grid_Stock'!CX41</f>
        <v/>
      </c>
      <c r="DF46" s="13">
        <f>'Grid_Stock'!CY41</f>
        <v/>
      </c>
      <c r="DG46" s="13">
        <f>'Grid_Stock'!CZ41</f>
        <v/>
      </c>
      <c r="DH46" s="13">
        <f>'Grid_Stock'!DA41</f>
        <v/>
      </c>
    </row>
    <row r="47">
      <c r="A47" s="12" t="inlineStr">
        <is>
          <t>V03</t>
        </is>
      </c>
      <c r="B47" s="12">
        <f>IFERROR(INDEX(M_RawMaterials[Description],MATCH($A47,M_RawMaterials[Part Name],0)),"")</f>
        <v/>
      </c>
      <c r="C47" s="12">
        <f>IFERROR(INDEX(M_RawMaterials[Category],MATCH($A47,M_RawMaterials[Part Name],0)),"")</f>
        <v/>
      </c>
      <c r="D47" s="12">
        <f>IFERROR(INDEX(M_RawMaterials[基準在庫下限_要入力],MATCH($A47,M_RawMaterials[Part Name],0)),0)</f>
        <v/>
      </c>
      <c r="E47" s="12">
        <f>IFERROR(INDEX(M_RawMaterials[基準在庫上限_要入力],MATCH($A47,M_RawMaterials[Part Name],0)),0)</f>
        <v/>
      </c>
      <c r="F47" s="12">
        <f>IFERROR(LOOKUP(2,1/('T_SelfStock'!$B$46:$DA$46&lt;&gt;""),'T_SelfStock'!$B$46:$DA$46),"")</f>
        <v/>
      </c>
      <c r="G47" s="12">
        <f>IFERROR(LOOKUP(2,1/('T_TTAFStock'!$B$46:$DA$46&lt;&gt;""),'T_TTAFStock'!$B$46:$DA$46),"")</f>
        <v/>
      </c>
      <c r="H47" s="12">
        <f>IFERROR(LOOKUP(2,1/('T_SelfStock'!$B$46:$DA$46&lt;&gt;""),'T_SelfStock'!$B$5:$DA$5),"")</f>
        <v/>
      </c>
      <c r="I47" s="12">
        <f>'Grid_Stock'!B42</f>
        <v/>
      </c>
      <c r="J47" s="12">
        <f>'Grid_Stock'!C42</f>
        <v/>
      </c>
      <c r="K47" s="12">
        <f>'Grid_Stock'!D42</f>
        <v/>
      </c>
      <c r="L47" s="12">
        <f>'Grid_Stock'!E42</f>
        <v/>
      </c>
      <c r="M47" s="12">
        <f>'Grid_Stock'!F42</f>
        <v/>
      </c>
      <c r="N47" s="12">
        <f>'Grid_Stock'!G42</f>
        <v/>
      </c>
      <c r="O47" s="12">
        <f>'Grid_Stock'!H42</f>
        <v/>
      </c>
      <c r="P47" s="12">
        <f>'Grid_Stock'!I42</f>
        <v/>
      </c>
      <c r="Q47" s="12">
        <f>'Grid_Stock'!J42</f>
        <v/>
      </c>
      <c r="R47" s="12">
        <f>'Grid_Stock'!K42</f>
        <v/>
      </c>
      <c r="S47" s="12">
        <f>'Grid_Stock'!L42</f>
        <v/>
      </c>
      <c r="T47" s="12">
        <f>'Grid_Stock'!M42</f>
        <v/>
      </c>
      <c r="U47" s="12">
        <f>'Grid_Stock'!N42</f>
        <v/>
      </c>
      <c r="V47" s="12">
        <f>'Grid_Stock'!O42</f>
        <v/>
      </c>
      <c r="W47" s="12">
        <f>'Grid_Stock'!P42</f>
        <v/>
      </c>
      <c r="X47" s="12">
        <f>'Grid_Stock'!Q42</f>
        <v/>
      </c>
      <c r="Y47" s="12">
        <f>'Grid_Stock'!R42</f>
        <v/>
      </c>
      <c r="Z47" s="12">
        <f>'Grid_Stock'!S42</f>
        <v/>
      </c>
      <c r="AA47" s="12">
        <f>'Grid_Stock'!T42</f>
        <v/>
      </c>
      <c r="AB47" s="12">
        <f>'Grid_Stock'!U42</f>
        <v/>
      </c>
      <c r="AC47" s="12">
        <f>'Grid_Stock'!V42</f>
        <v/>
      </c>
      <c r="AD47" s="12">
        <f>'Grid_Stock'!W42</f>
        <v/>
      </c>
      <c r="AE47" s="12">
        <f>'Grid_Stock'!X42</f>
        <v/>
      </c>
      <c r="AF47" s="12">
        <f>'Grid_Stock'!Y42</f>
        <v/>
      </c>
      <c r="AG47" s="12">
        <f>'Grid_Stock'!Z42</f>
        <v/>
      </c>
      <c r="AH47" s="12">
        <f>'Grid_Stock'!AA42</f>
        <v/>
      </c>
      <c r="AI47" s="12">
        <f>'Grid_Stock'!AB42</f>
        <v/>
      </c>
      <c r="AJ47" s="12">
        <f>'Grid_Stock'!AC42</f>
        <v/>
      </c>
      <c r="AK47" s="12">
        <f>'Grid_Stock'!AD42</f>
        <v/>
      </c>
      <c r="AL47" s="12">
        <f>'Grid_Stock'!AE42</f>
        <v/>
      </c>
      <c r="AM47" s="12">
        <f>'Grid_Stock'!AF42</f>
        <v/>
      </c>
      <c r="AN47" s="12">
        <f>'Grid_Stock'!AG42</f>
        <v/>
      </c>
      <c r="AO47" s="12">
        <f>'Grid_Stock'!AH42</f>
        <v/>
      </c>
      <c r="AP47" s="12">
        <f>'Grid_Stock'!AI42</f>
        <v/>
      </c>
      <c r="AQ47" s="12">
        <f>'Grid_Stock'!AJ42</f>
        <v/>
      </c>
      <c r="AR47" s="12">
        <f>'Grid_Stock'!AK42</f>
        <v/>
      </c>
      <c r="AS47" s="12">
        <f>'Grid_Stock'!AL42</f>
        <v/>
      </c>
      <c r="AT47" s="12">
        <f>'Grid_Stock'!AM42</f>
        <v/>
      </c>
      <c r="AU47" s="12">
        <f>'Grid_Stock'!AN42</f>
        <v/>
      </c>
      <c r="AV47" s="12">
        <f>'Grid_Stock'!AO42</f>
        <v/>
      </c>
      <c r="AW47" s="12">
        <f>'Grid_Stock'!AP42</f>
        <v/>
      </c>
      <c r="AX47" s="12">
        <f>'Grid_Stock'!AQ42</f>
        <v/>
      </c>
      <c r="AY47" s="12">
        <f>'Grid_Stock'!AR42</f>
        <v/>
      </c>
      <c r="AZ47" s="12">
        <f>'Grid_Stock'!AS42</f>
        <v/>
      </c>
      <c r="BA47" s="12">
        <f>'Grid_Stock'!AT42</f>
        <v/>
      </c>
      <c r="BB47" s="12">
        <f>'Grid_Stock'!AU42</f>
        <v/>
      </c>
      <c r="BC47" s="12">
        <f>'Grid_Stock'!AV42</f>
        <v/>
      </c>
      <c r="BD47" s="12">
        <f>'Grid_Stock'!AW42</f>
        <v/>
      </c>
      <c r="BE47" s="12">
        <f>'Grid_Stock'!AX42</f>
        <v/>
      </c>
      <c r="BF47" s="12">
        <f>'Grid_Stock'!AY42</f>
        <v/>
      </c>
      <c r="BG47" s="12">
        <f>'Grid_Stock'!AZ42</f>
        <v/>
      </c>
      <c r="BH47" s="12">
        <f>'Grid_Stock'!BA42</f>
        <v/>
      </c>
      <c r="BI47" s="12">
        <f>'Grid_Stock'!BB42</f>
        <v/>
      </c>
      <c r="BJ47" s="12">
        <f>'Grid_Stock'!BC42</f>
        <v/>
      </c>
      <c r="BK47" s="12">
        <f>'Grid_Stock'!BD42</f>
        <v/>
      </c>
      <c r="BL47" s="12">
        <f>'Grid_Stock'!BE42</f>
        <v/>
      </c>
      <c r="BM47" s="12">
        <f>'Grid_Stock'!BF42</f>
        <v/>
      </c>
      <c r="BN47" s="12">
        <f>'Grid_Stock'!BG42</f>
        <v/>
      </c>
      <c r="BO47" s="12">
        <f>'Grid_Stock'!BH42</f>
        <v/>
      </c>
      <c r="BP47" s="12">
        <f>'Grid_Stock'!BI42</f>
        <v/>
      </c>
      <c r="BQ47" s="12">
        <f>'Grid_Stock'!BJ42</f>
        <v/>
      </c>
      <c r="BR47" s="12">
        <f>'Grid_Stock'!BK42</f>
        <v/>
      </c>
      <c r="BS47" s="12">
        <f>'Grid_Stock'!BL42</f>
        <v/>
      </c>
      <c r="BT47" s="12">
        <f>'Grid_Stock'!BM42</f>
        <v/>
      </c>
      <c r="BU47" s="12">
        <f>'Grid_Stock'!BN42</f>
        <v/>
      </c>
      <c r="BV47" s="12">
        <f>'Grid_Stock'!BO42</f>
        <v/>
      </c>
      <c r="BW47" s="12">
        <f>'Grid_Stock'!BP42</f>
        <v/>
      </c>
      <c r="BX47" s="12">
        <f>'Grid_Stock'!BQ42</f>
        <v/>
      </c>
      <c r="BY47" s="12">
        <f>'Grid_Stock'!BR42</f>
        <v/>
      </c>
      <c r="BZ47" s="12">
        <f>'Grid_Stock'!BS42</f>
        <v/>
      </c>
      <c r="CA47" s="12">
        <f>'Grid_Stock'!BT42</f>
        <v/>
      </c>
      <c r="CB47" s="12">
        <f>'Grid_Stock'!BU42</f>
        <v/>
      </c>
      <c r="CC47" s="12">
        <f>'Grid_Stock'!BV42</f>
        <v/>
      </c>
      <c r="CD47" s="12">
        <f>'Grid_Stock'!BW42</f>
        <v/>
      </c>
      <c r="CE47" s="12">
        <f>'Grid_Stock'!BX42</f>
        <v/>
      </c>
      <c r="CF47" s="12">
        <f>'Grid_Stock'!BY42</f>
        <v/>
      </c>
      <c r="CG47" s="12">
        <f>'Grid_Stock'!BZ42</f>
        <v/>
      </c>
      <c r="CH47" s="12">
        <f>'Grid_Stock'!CA42</f>
        <v/>
      </c>
      <c r="CI47" s="12">
        <f>'Grid_Stock'!CB42</f>
        <v/>
      </c>
      <c r="CJ47" s="12">
        <f>'Grid_Stock'!CC42</f>
        <v/>
      </c>
      <c r="CK47" s="12">
        <f>'Grid_Stock'!CD42</f>
        <v/>
      </c>
      <c r="CL47" s="12">
        <f>'Grid_Stock'!CE42</f>
        <v/>
      </c>
      <c r="CM47" s="12">
        <f>'Grid_Stock'!CF42</f>
        <v/>
      </c>
      <c r="CN47" s="12">
        <f>'Grid_Stock'!CG42</f>
        <v/>
      </c>
      <c r="CO47" s="12">
        <f>'Grid_Stock'!CH42</f>
        <v/>
      </c>
      <c r="CP47" s="12">
        <f>'Grid_Stock'!CI42</f>
        <v/>
      </c>
      <c r="CQ47" s="12">
        <f>'Grid_Stock'!CJ42</f>
        <v/>
      </c>
      <c r="CR47" s="12">
        <f>'Grid_Stock'!CK42</f>
        <v/>
      </c>
      <c r="CS47" s="12">
        <f>'Grid_Stock'!CL42</f>
        <v/>
      </c>
      <c r="CT47" s="12">
        <f>'Grid_Stock'!CM42</f>
        <v/>
      </c>
      <c r="CU47" s="12">
        <f>'Grid_Stock'!CN42</f>
        <v/>
      </c>
      <c r="CV47" s="12">
        <f>'Grid_Stock'!CO42</f>
        <v/>
      </c>
      <c r="CW47" s="12">
        <f>'Grid_Stock'!CP42</f>
        <v/>
      </c>
      <c r="CX47" s="12">
        <f>'Grid_Stock'!CQ42</f>
        <v/>
      </c>
      <c r="CY47" s="12">
        <f>'Grid_Stock'!CR42</f>
        <v/>
      </c>
      <c r="CZ47" s="12">
        <f>'Grid_Stock'!CS42</f>
        <v/>
      </c>
      <c r="DA47" s="12">
        <f>'Grid_Stock'!CT42</f>
        <v/>
      </c>
      <c r="DB47" s="12">
        <f>'Grid_Stock'!CU42</f>
        <v/>
      </c>
      <c r="DC47" s="12">
        <f>'Grid_Stock'!CV42</f>
        <v/>
      </c>
      <c r="DD47" s="12">
        <f>'Grid_Stock'!CW42</f>
        <v/>
      </c>
      <c r="DE47" s="12">
        <f>'Grid_Stock'!CX42</f>
        <v/>
      </c>
      <c r="DF47" s="12">
        <f>'Grid_Stock'!CY42</f>
        <v/>
      </c>
      <c r="DG47" s="12">
        <f>'Grid_Stock'!CZ42</f>
        <v/>
      </c>
      <c r="DH47" s="12">
        <f>'Grid_Stock'!DA42</f>
        <v/>
      </c>
    </row>
    <row r="48">
      <c r="A48" s="13" t="inlineStr">
        <is>
          <t>V19</t>
        </is>
      </c>
      <c r="B48" s="13">
        <f>IFERROR(INDEX(M_RawMaterials[Description],MATCH($A48,M_RawMaterials[Part Name],0)),"")</f>
        <v/>
      </c>
      <c r="C48" s="13">
        <f>IFERROR(INDEX(M_RawMaterials[Category],MATCH($A48,M_RawMaterials[Part Name],0)),"")</f>
        <v/>
      </c>
      <c r="D48" s="13">
        <f>IFERROR(INDEX(M_RawMaterials[基準在庫下限_要入力],MATCH($A48,M_RawMaterials[Part Name],0)),0)</f>
        <v/>
      </c>
      <c r="E48" s="13">
        <f>IFERROR(INDEX(M_RawMaterials[基準在庫上限_要入力],MATCH($A48,M_RawMaterials[Part Name],0)),0)</f>
        <v/>
      </c>
      <c r="F48" s="13">
        <f>IFERROR(LOOKUP(2,1/('T_SelfStock'!$B$47:$DA$47&lt;&gt;""),'T_SelfStock'!$B$47:$DA$47),"")</f>
        <v/>
      </c>
      <c r="G48" s="13">
        <f>IFERROR(LOOKUP(2,1/('T_TTAFStock'!$B$47:$DA$47&lt;&gt;""),'T_TTAFStock'!$B$47:$DA$47),"")</f>
        <v/>
      </c>
      <c r="H48" s="13">
        <f>IFERROR(LOOKUP(2,1/('T_SelfStock'!$B$47:$DA$47&lt;&gt;""),'T_SelfStock'!$B$5:$DA$5),"")</f>
        <v/>
      </c>
      <c r="I48" s="13">
        <f>'Grid_Stock'!B43</f>
        <v/>
      </c>
      <c r="J48" s="13">
        <f>'Grid_Stock'!C43</f>
        <v/>
      </c>
      <c r="K48" s="13">
        <f>'Grid_Stock'!D43</f>
        <v/>
      </c>
      <c r="L48" s="13">
        <f>'Grid_Stock'!E43</f>
        <v/>
      </c>
      <c r="M48" s="13">
        <f>'Grid_Stock'!F43</f>
        <v/>
      </c>
      <c r="N48" s="13">
        <f>'Grid_Stock'!G43</f>
        <v/>
      </c>
      <c r="O48" s="13">
        <f>'Grid_Stock'!H43</f>
        <v/>
      </c>
      <c r="P48" s="13">
        <f>'Grid_Stock'!I43</f>
        <v/>
      </c>
      <c r="Q48" s="13">
        <f>'Grid_Stock'!J43</f>
        <v/>
      </c>
      <c r="R48" s="13">
        <f>'Grid_Stock'!K43</f>
        <v/>
      </c>
      <c r="S48" s="13">
        <f>'Grid_Stock'!L43</f>
        <v/>
      </c>
      <c r="T48" s="13">
        <f>'Grid_Stock'!M43</f>
        <v/>
      </c>
      <c r="U48" s="13">
        <f>'Grid_Stock'!N43</f>
        <v/>
      </c>
      <c r="V48" s="13">
        <f>'Grid_Stock'!O43</f>
        <v/>
      </c>
      <c r="W48" s="13">
        <f>'Grid_Stock'!P43</f>
        <v/>
      </c>
      <c r="X48" s="13">
        <f>'Grid_Stock'!Q43</f>
        <v/>
      </c>
      <c r="Y48" s="13">
        <f>'Grid_Stock'!R43</f>
        <v/>
      </c>
      <c r="Z48" s="13">
        <f>'Grid_Stock'!S43</f>
        <v/>
      </c>
      <c r="AA48" s="13">
        <f>'Grid_Stock'!T43</f>
        <v/>
      </c>
      <c r="AB48" s="13">
        <f>'Grid_Stock'!U43</f>
        <v/>
      </c>
      <c r="AC48" s="13">
        <f>'Grid_Stock'!V43</f>
        <v/>
      </c>
      <c r="AD48" s="13">
        <f>'Grid_Stock'!W43</f>
        <v/>
      </c>
      <c r="AE48" s="13">
        <f>'Grid_Stock'!X43</f>
        <v/>
      </c>
      <c r="AF48" s="13">
        <f>'Grid_Stock'!Y43</f>
        <v/>
      </c>
      <c r="AG48" s="13">
        <f>'Grid_Stock'!Z43</f>
        <v/>
      </c>
      <c r="AH48" s="13">
        <f>'Grid_Stock'!AA43</f>
        <v/>
      </c>
      <c r="AI48" s="13">
        <f>'Grid_Stock'!AB43</f>
        <v/>
      </c>
      <c r="AJ48" s="13">
        <f>'Grid_Stock'!AC43</f>
        <v/>
      </c>
      <c r="AK48" s="13">
        <f>'Grid_Stock'!AD43</f>
        <v/>
      </c>
      <c r="AL48" s="13">
        <f>'Grid_Stock'!AE43</f>
        <v/>
      </c>
      <c r="AM48" s="13">
        <f>'Grid_Stock'!AF43</f>
        <v/>
      </c>
      <c r="AN48" s="13">
        <f>'Grid_Stock'!AG43</f>
        <v/>
      </c>
      <c r="AO48" s="13">
        <f>'Grid_Stock'!AH43</f>
        <v/>
      </c>
      <c r="AP48" s="13">
        <f>'Grid_Stock'!AI43</f>
        <v/>
      </c>
      <c r="AQ48" s="13">
        <f>'Grid_Stock'!AJ43</f>
        <v/>
      </c>
      <c r="AR48" s="13">
        <f>'Grid_Stock'!AK43</f>
        <v/>
      </c>
      <c r="AS48" s="13">
        <f>'Grid_Stock'!AL43</f>
        <v/>
      </c>
      <c r="AT48" s="13">
        <f>'Grid_Stock'!AM43</f>
        <v/>
      </c>
      <c r="AU48" s="13">
        <f>'Grid_Stock'!AN43</f>
        <v/>
      </c>
      <c r="AV48" s="13">
        <f>'Grid_Stock'!AO43</f>
        <v/>
      </c>
      <c r="AW48" s="13">
        <f>'Grid_Stock'!AP43</f>
        <v/>
      </c>
      <c r="AX48" s="13">
        <f>'Grid_Stock'!AQ43</f>
        <v/>
      </c>
      <c r="AY48" s="13">
        <f>'Grid_Stock'!AR43</f>
        <v/>
      </c>
      <c r="AZ48" s="13">
        <f>'Grid_Stock'!AS43</f>
        <v/>
      </c>
      <c r="BA48" s="13">
        <f>'Grid_Stock'!AT43</f>
        <v/>
      </c>
      <c r="BB48" s="13">
        <f>'Grid_Stock'!AU43</f>
        <v/>
      </c>
      <c r="BC48" s="13">
        <f>'Grid_Stock'!AV43</f>
        <v/>
      </c>
      <c r="BD48" s="13">
        <f>'Grid_Stock'!AW43</f>
        <v/>
      </c>
      <c r="BE48" s="13">
        <f>'Grid_Stock'!AX43</f>
        <v/>
      </c>
      <c r="BF48" s="13">
        <f>'Grid_Stock'!AY43</f>
        <v/>
      </c>
      <c r="BG48" s="13">
        <f>'Grid_Stock'!AZ43</f>
        <v/>
      </c>
      <c r="BH48" s="13">
        <f>'Grid_Stock'!BA43</f>
        <v/>
      </c>
      <c r="BI48" s="13">
        <f>'Grid_Stock'!BB43</f>
        <v/>
      </c>
      <c r="BJ48" s="13">
        <f>'Grid_Stock'!BC43</f>
        <v/>
      </c>
      <c r="BK48" s="13">
        <f>'Grid_Stock'!BD43</f>
        <v/>
      </c>
      <c r="BL48" s="13">
        <f>'Grid_Stock'!BE43</f>
        <v/>
      </c>
      <c r="BM48" s="13">
        <f>'Grid_Stock'!BF43</f>
        <v/>
      </c>
      <c r="BN48" s="13">
        <f>'Grid_Stock'!BG43</f>
        <v/>
      </c>
      <c r="BO48" s="13">
        <f>'Grid_Stock'!BH43</f>
        <v/>
      </c>
      <c r="BP48" s="13">
        <f>'Grid_Stock'!BI43</f>
        <v/>
      </c>
      <c r="BQ48" s="13">
        <f>'Grid_Stock'!BJ43</f>
        <v/>
      </c>
      <c r="BR48" s="13">
        <f>'Grid_Stock'!BK43</f>
        <v/>
      </c>
      <c r="BS48" s="13">
        <f>'Grid_Stock'!BL43</f>
        <v/>
      </c>
      <c r="BT48" s="13">
        <f>'Grid_Stock'!BM43</f>
        <v/>
      </c>
      <c r="BU48" s="13">
        <f>'Grid_Stock'!BN43</f>
        <v/>
      </c>
      <c r="BV48" s="13">
        <f>'Grid_Stock'!BO43</f>
        <v/>
      </c>
      <c r="BW48" s="13">
        <f>'Grid_Stock'!BP43</f>
        <v/>
      </c>
      <c r="BX48" s="13">
        <f>'Grid_Stock'!BQ43</f>
        <v/>
      </c>
      <c r="BY48" s="13">
        <f>'Grid_Stock'!BR43</f>
        <v/>
      </c>
      <c r="BZ48" s="13">
        <f>'Grid_Stock'!BS43</f>
        <v/>
      </c>
      <c r="CA48" s="13">
        <f>'Grid_Stock'!BT43</f>
        <v/>
      </c>
      <c r="CB48" s="13">
        <f>'Grid_Stock'!BU43</f>
        <v/>
      </c>
      <c r="CC48" s="13">
        <f>'Grid_Stock'!BV43</f>
        <v/>
      </c>
      <c r="CD48" s="13">
        <f>'Grid_Stock'!BW43</f>
        <v/>
      </c>
      <c r="CE48" s="13">
        <f>'Grid_Stock'!BX43</f>
        <v/>
      </c>
      <c r="CF48" s="13">
        <f>'Grid_Stock'!BY43</f>
        <v/>
      </c>
      <c r="CG48" s="13">
        <f>'Grid_Stock'!BZ43</f>
        <v/>
      </c>
      <c r="CH48" s="13">
        <f>'Grid_Stock'!CA43</f>
        <v/>
      </c>
      <c r="CI48" s="13">
        <f>'Grid_Stock'!CB43</f>
        <v/>
      </c>
      <c r="CJ48" s="13">
        <f>'Grid_Stock'!CC43</f>
        <v/>
      </c>
      <c r="CK48" s="13">
        <f>'Grid_Stock'!CD43</f>
        <v/>
      </c>
      <c r="CL48" s="13">
        <f>'Grid_Stock'!CE43</f>
        <v/>
      </c>
      <c r="CM48" s="13">
        <f>'Grid_Stock'!CF43</f>
        <v/>
      </c>
      <c r="CN48" s="13">
        <f>'Grid_Stock'!CG43</f>
        <v/>
      </c>
      <c r="CO48" s="13">
        <f>'Grid_Stock'!CH43</f>
        <v/>
      </c>
      <c r="CP48" s="13">
        <f>'Grid_Stock'!CI43</f>
        <v/>
      </c>
      <c r="CQ48" s="13">
        <f>'Grid_Stock'!CJ43</f>
        <v/>
      </c>
      <c r="CR48" s="13">
        <f>'Grid_Stock'!CK43</f>
        <v/>
      </c>
      <c r="CS48" s="13">
        <f>'Grid_Stock'!CL43</f>
        <v/>
      </c>
      <c r="CT48" s="13">
        <f>'Grid_Stock'!CM43</f>
        <v/>
      </c>
      <c r="CU48" s="13">
        <f>'Grid_Stock'!CN43</f>
        <v/>
      </c>
      <c r="CV48" s="13">
        <f>'Grid_Stock'!CO43</f>
        <v/>
      </c>
      <c r="CW48" s="13">
        <f>'Grid_Stock'!CP43</f>
        <v/>
      </c>
      <c r="CX48" s="13">
        <f>'Grid_Stock'!CQ43</f>
        <v/>
      </c>
      <c r="CY48" s="13">
        <f>'Grid_Stock'!CR43</f>
        <v/>
      </c>
      <c r="CZ48" s="13">
        <f>'Grid_Stock'!CS43</f>
        <v/>
      </c>
      <c r="DA48" s="13">
        <f>'Grid_Stock'!CT43</f>
        <v/>
      </c>
      <c r="DB48" s="13">
        <f>'Grid_Stock'!CU43</f>
        <v/>
      </c>
      <c r="DC48" s="13">
        <f>'Grid_Stock'!CV43</f>
        <v/>
      </c>
      <c r="DD48" s="13">
        <f>'Grid_Stock'!CW43</f>
        <v/>
      </c>
      <c r="DE48" s="13">
        <f>'Grid_Stock'!CX43</f>
        <v/>
      </c>
      <c r="DF48" s="13">
        <f>'Grid_Stock'!CY43</f>
        <v/>
      </c>
      <c r="DG48" s="13">
        <f>'Grid_Stock'!CZ43</f>
        <v/>
      </c>
      <c r="DH48" s="13">
        <f>'Grid_Stock'!DA43</f>
        <v/>
      </c>
    </row>
    <row r="49">
      <c r="A49" s="12" t="inlineStr">
        <is>
          <t>3TP</t>
        </is>
      </c>
      <c r="B49" s="12">
        <f>IFERROR(INDEX(M_RawMaterials[Description],MATCH($A49,M_RawMaterials[Part Name],0)),"")</f>
        <v/>
      </c>
      <c r="C49" s="12">
        <f>IFERROR(INDEX(M_RawMaterials[Category],MATCH($A49,M_RawMaterials[Part Name],0)),"")</f>
        <v/>
      </c>
      <c r="D49" s="12">
        <f>IFERROR(INDEX(M_RawMaterials[基準在庫下限_要入力],MATCH($A49,M_RawMaterials[Part Name],0)),0)</f>
        <v/>
      </c>
      <c r="E49" s="12">
        <f>IFERROR(INDEX(M_RawMaterials[基準在庫上限_要入力],MATCH($A49,M_RawMaterials[Part Name],0)),0)</f>
        <v/>
      </c>
      <c r="F49" s="12">
        <f>IFERROR(LOOKUP(2,1/('T_SelfStock'!$B$48:$DA$48&lt;&gt;""),'T_SelfStock'!$B$48:$DA$48),"")</f>
        <v/>
      </c>
      <c r="G49" s="12">
        <f>IFERROR(LOOKUP(2,1/('T_TTAFStock'!$B$48:$DA$48&lt;&gt;""),'T_TTAFStock'!$B$48:$DA$48),"")</f>
        <v/>
      </c>
      <c r="H49" s="12">
        <f>IFERROR(LOOKUP(2,1/('T_SelfStock'!$B$48:$DA$48&lt;&gt;""),'T_SelfStock'!$B$5:$DA$5),"")</f>
        <v/>
      </c>
      <c r="I49" s="12">
        <f>'Grid_Stock'!B44</f>
        <v/>
      </c>
      <c r="J49" s="12">
        <f>'Grid_Stock'!C44</f>
        <v/>
      </c>
      <c r="K49" s="12">
        <f>'Grid_Stock'!D44</f>
        <v/>
      </c>
      <c r="L49" s="12">
        <f>'Grid_Stock'!E44</f>
        <v/>
      </c>
      <c r="M49" s="12">
        <f>'Grid_Stock'!F44</f>
        <v/>
      </c>
      <c r="N49" s="12">
        <f>'Grid_Stock'!G44</f>
        <v/>
      </c>
      <c r="O49" s="12">
        <f>'Grid_Stock'!H44</f>
        <v/>
      </c>
      <c r="P49" s="12">
        <f>'Grid_Stock'!I44</f>
        <v/>
      </c>
      <c r="Q49" s="12">
        <f>'Grid_Stock'!J44</f>
        <v/>
      </c>
      <c r="R49" s="12">
        <f>'Grid_Stock'!K44</f>
        <v/>
      </c>
      <c r="S49" s="12">
        <f>'Grid_Stock'!L44</f>
        <v/>
      </c>
      <c r="T49" s="12">
        <f>'Grid_Stock'!M44</f>
        <v/>
      </c>
      <c r="U49" s="12">
        <f>'Grid_Stock'!N44</f>
        <v/>
      </c>
      <c r="V49" s="12">
        <f>'Grid_Stock'!O44</f>
        <v/>
      </c>
      <c r="W49" s="12">
        <f>'Grid_Stock'!P44</f>
        <v/>
      </c>
      <c r="X49" s="12">
        <f>'Grid_Stock'!Q44</f>
        <v/>
      </c>
      <c r="Y49" s="12">
        <f>'Grid_Stock'!R44</f>
        <v/>
      </c>
      <c r="Z49" s="12">
        <f>'Grid_Stock'!S44</f>
        <v/>
      </c>
      <c r="AA49" s="12">
        <f>'Grid_Stock'!T44</f>
        <v/>
      </c>
      <c r="AB49" s="12">
        <f>'Grid_Stock'!U44</f>
        <v/>
      </c>
      <c r="AC49" s="12">
        <f>'Grid_Stock'!V44</f>
        <v/>
      </c>
      <c r="AD49" s="12">
        <f>'Grid_Stock'!W44</f>
        <v/>
      </c>
      <c r="AE49" s="12">
        <f>'Grid_Stock'!X44</f>
        <v/>
      </c>
      <c r="AF49" s="12">
        <f>'Grid_Stock'!Y44</f>
        <v/>
      </c>
      <c r="AG49" s="12">
        <f>'Grid_Stock'!Z44</f>
        <v/>
      </c>
      <c r="AH49" s="12">
        <f>'Grid_Stock'!AA44</f>
        <v/>
      </c>
      <c r="AI49" s="12">
        <f>'Grid_Stock'!AB44</f>
        <v/>
      </c>
      <c r="AJ49" s="12">
        <f>'Grid_Stock'!AC44</f>
        <v/>
      </c>
      <c r="AK49" s="12">
        <f>'Grid_Stock'!AD44</f>
        <v/>
      </c>
      <c r="AL49" s="12">
        <f>'Grid_Stock'!AE44</f>
        <v/>
      </c>
      <c r="AM49" s="12">
        <f>'Grid_Stock'!AF44</f>
        <v/>
      </c>
      <c r="AN49" s="12">
        <f>'Grid_Stock'!AG44</f>
        <v/>
      </c>
      <c r="AO49" s="12">
        <f>'Grid_Stock'!AH44</f>
        <v/>
      </c>
      <c r="AP49" s="12">
        <f>'Grid_Stock'!AI44</f>
        <v/>
      </c>
      <c r="AQ49" s="12">
        <f>'Grid_Stock'!AJ44</f>
        <v/>
      </c>
      <c r="AR49" s="12">
        <f>'Grid_Stock'!AK44</f>
        <v/>
      </c>
      <c r="AS49" s="12">
        <f>'Grid_Stock'!AL44</f>
        <v/>
      </c>
      <c r="AT49" s="12">
        <f>'Grid_Stock'!AM44</f>
        <v/>
      </c>
      <c r="AU49" s="12">
        <f>'Grid_Stock'!AN44</f>
        <v/>
      </c>
      <c r="AV49" s="12">
        <f>'Grid_Stock'!AO44</f>
        <v/>
      </c>
      <c r="AW49" s="12">
        <f>'Grid_Stock'!AP44</f>
        <v/>
      </c>
      <c r="AX49" s="12">
        <f>'Grid_Stock'!AQ44</f>
        <v/>
      </c>
      <c r="AY49" s="12">
        <f>'Grid_Stock'!AR44</f>
        <v/>
      </c>
      <c r="AZ49" s="12">
        <f>'Grid_Stock'!AS44</f>
        <v/>
      </c>
      <c r="BA49" s="12">
        <f>'Grid_Stock'!AT44</f>
        <v/>
      </c>
      <c r="BB49" s="12">
        <f>'Grid_Stock'!AU44</f>
        <v/>
      </c>
      <c r="BC49" s="12">
        <f>'Grid_Stock'!AV44</f>
        <v/>
      </c>
      <c r="BD49" s="12">
        <f>'Grid_Stock'!AW44</f>
        <v/>
      </c>
      <c r="BE49" s="12">
        <f>'Grid_Stock'!AX44</f>
        <v/>
      </c>
      <c r="BF49" s="12">
        <f>'Grid_Stock'!AY44</f>
        <v/>
      </c>
      <c r="BG49" s="12">
        <f>'Grid_Stock'!AZ44</f>
        <v/>
      </c>
      <c r="BH49" s="12">
        <f>'Grid_Stock'!BA44</f>
        <v/>
      </c>
      <c r="BI49" s="12">
        <f>'Grid_Stock'!BB44</f>
        <v/>
      </c>
      <c r="BJ49" s="12">
        <f>'Grid_Stock'!BC44</f>
        <v/>
      </c>
      <c r="BK49" s="12">
        <f>'Grid_Stock'!BD44</f>
        <v/>
      </c>
      <c r="BL49" s="12">
        <f>'Grid_Stock'!BE44</f>
        <v/>
      </c>
      <c r="BM49" s="12">
        <f>'Grid_Stock'!BF44</f>
        <v/>
      </c>
      <c r="BN49" s="12">
        <f>'Grid_Stock'!BG44</f>
        <v/>
      </c>
      <c r="BO49" s="12">
        <f>'Grid_Stock'!BH44</f>
        <v/>
      </c>
      <c r="BP49" s="12">
        <f>'Grid_Stock'!BI44</f>
        <v/>
      </c>
      <c r="BQ49" s="12">
        <f>'Grid_Stock'!BJ44</f>
        <v/>
      </c>
      <c r="BR49" s="12">
        <f>'Grid_Stock'!BK44</f>
        <v/>
      </c>
      <c r="BS49" s="12">
        <f>'Grid_Stock'!BL44</f>
        <v/>
      </c>
      <c r="BT49" s="12">
        <f>'Grid_Stock'!BM44</f>
        <v/>
      </c>
      <c r="BU49" s="12">
        <f>'Grid_Stock'!BN44</f>
        <v/>
      </c>
      <c r="BV49" s="12">
        <f>'Grid_Stock'!BO44</f>
        <v/>
      </c>
      <c r="BW49" s="12">
        <f>'Grid_Stock'!BP44</f>
        <v/>
      </c>
      <c r="BX49" s="12">
        <f>'Grid_Stock'!BQ44</f>
        <v/>
      </c>
      <c r="BY49" s="12">
        <f>'Grid_Stock'!BR44</f>
        <v/>
      </c>
      <c r="BZ49" s="12">
        <f>'Grid_Stock'!BS44</f>
        <v/>
      </c>
      <c r="CA49" s="12">
        <f>'Grid_Stock'!BT44</f>
        <v/>
      </c>
      <c r="CB49" s="12">
        <f>'Grid_Stock'!BU44</f>
        <v/>
      </c>
      <c r="CC49" s="12">
        <f>'Grid_Stock'!BV44</f>
        <v/>
      </c>
      <c r="CD49" s="12">
        <f>'Grid_Stock'!BW44</f>
        <v/>
      </c>
      <c r="CE49" s="12">
        <f>'Grid_Stock'!BX44</f>
        <v/>
      </c>
      <c r="CF49" s="12">
        <f>'Grid_Stock'!BY44</f>
        <v/>
      </c>
      <c r="CG49" s="12">
        <f>'Grid_Stock'!BZ44</f>
        <v/>
      </c>
      <c r="CH49" s="12">
        <f>'Grid_Stock'!CA44</f>
        <v/>
      </c>
      <c r="CI49" s="12">
        <f>'Grid_Stock'!CB44</f>
        <v/>
      </c>
      <c r="CJ49" s="12">
        <f>'Grid_Stock'!CC44</f>
        <v/>
      </c>
      <c r="CK49" s="12">
        <f>'Grid_Stock'!CD44</f>
        <v/>
      </c>
      <c r="CL49" s="12">
        <f>'Grid_Stock'!CE44</f>
        <v/>
      </c>
      <c r="CM49" s="12">
        <f>'Grid_Stock'!CF44</f>
        <v/>
      </c>
      <c r="CN49" s="12">
        <f>'Grid_Stock'!CG44</f>
        <v/>
      </c>
      <c r="CO49" s="12">
        <f>'Grid_Stock'!CH44</f>
        <v/>
      </c>
      <c r="CP49" s="12">
        <f>'Grid_Stock'!CI44</f>
        <v/>
      </c>
      <c r="CQ49" s="12">
        <f>'Grid_Stock'!CJ44</f>
        <v/>
      </c>
      <c r="CR49" s="12">
        <f>'Grid_Stock'!CK44</f>
        <v/>
      </c>
      <c r="CS49" s="12">
        <f>'Grid_Stock'!CL44</f>
        <v/>
      </c>
      <c r="CT49" s="12">
        <f>'Grid_Stock'!CM44</f>
        <v/>
      </c>
      <c r="CU49" s="12">
        <f>'Grid_Stock'!CN44</f>
        <v/>
      </c>
      <c r="CV49" s="12">
        <f>'Grid_Stock'!CO44</f>
        <v/>
      </c>
      <c r="CW49" s="12">
        <f>'Grid_Stock'!CP44</f>
        <v/>
      </c>
      <c r="CX49" s="12">
        <f>'Grid_Stock'!CQ44</f>
        <v/>
      </c>
      <c r="CY49" s="12">
        <f>'Grid_Stock'!CR44</f>
        <v/>
      </c>
      <c r="CZ49" s="12">
        <f>'Grid_Stock'!CS44</f>
        <v/>
      </c>
      <c r="DA49" s="12">
        <f>'Grid_Stock'!CT44</f>
        <v/>
      </c>
      <c r="DB49" s="12">
        <f>'Grid_Stock'!CU44</f>
        <v/>
      </c>
      <c r="DC49" s="12">
        <f>'Grid_Stock'!CV44</f>
        <v/>
      </c>
      <c r="DD49" s="12">
        <f>'Grid_Stock'!CW44</f>
        <v/>
      </c>
      <c r="DE49" s="12">
        <f>'Grid_Stock'!CX44</f>
        <v/>
      </c>
      <c r="DF49" s="12">
        <f>'Grid_Stock'!CY44</f>
        <v/>
      </c>
      <c r="DG49" s="12">
        <f>'Grid_Stock'!CZ44</f>
        <v/>
      </c>
      <c r="DH49" s="12">
        <f>'Grid_Stock'!DA44</f>
        <v/>
      </c>
    </row>
    <row r="50">
      <c r="A50" s="13" t="inlineStr">
        <is>
          <t>A043</t>
        </is>
      </c>
      <c r="B50" s="13">
        <f>IFERROR(INDEX(M_RawMaterials[Description],MATCH($A50,M_RawMaterials[Part Name],0)),"")</f>
        <v/>
      </c>
      <c r="C50" s="13">
        <f>IFERROR(INDEX(M_RawMaterials[Category],MATCH($A50,M_RawMaterials[Part Name],0)),"")</f>
        <v/>
      </c>
      <c r="D50" s="13">
        <f>IFERROR(INDEX(M_RawMaterials[基準在庫下限_要入力],MATCH($A50,M_RawMaterials[Part Name],0)),0)</f>
        <v/>
      </c>
      <c r="E50" s="13">
        <f>IFERROR(INDEX(M_RawMaterials[基準在庫上限_要入力],MATCH($A50,M_RawMaterials[Part Name],0)),0)</f>
        <v/>
      </c>
      <c r="F50" s="13">
        <f>IFERROR(LOOKUP(2,1/('T_SelfStock'!$B$49:$DA$49&lt;&gt;""),'T_SelfStock'!$B$49:$DA$49),"")</f>
        <v/>
      </c>
      <c r="G50" s="13">
        <f>IFERROR(LOOKUP(2,1/('T_TTAFStock'!$B$49:$DA$49&lt;&gt;""),'T_TTAFStock'!$B$49:$DA$49),"")</f>
        <v/>
      </c>
      <c r="H50" s="13">
        <f>IFERROR(LOOKUP(2,1/('T_SelfStock'!$B$49:$DA$49&lt;&gt;""),'T_SelfStock'!$B$5:$DA$5),"")</f>
        <v/>
      </c>
      <c r="I50" s="13">
        <f>'Grid_Stock'!B45</f>
        <v/>
      </c>
      <c r="J50" s="13">
        <f>'Grid_Stock'!C45</f>
        <v/>
      </c>
      <c r="K50" s="13">
        <f>'Grid_Stock'!D45</f>
        <v/>
      </c>
      <c r="L50" s="13">
        <f>'Grid_Stock'!E45</f>
        <v/>
      </c>
      <c r="M50" s="13">
        <f>'Grid_Stock'!F45</f>
        <v/>
      </c>
      <c r="N50" s="13">
        <f>'Grid_Stock'!G45</f>
        <v/>
      </c>
      <c r="O50" s="13">
        <f>'Grid_Stock'!H45</f>
        <v/>
      </c>
      <c r="P50" s="13">
        <f>'Grid_Stock'!I45</f>
        <v/>
      </c>
      <c r="Q50" s="13">
        <f>'Grid_Stock'!J45</f>
        <v/>
      </c>
      <c r="R50" s="13">
        <f>'Grid_Stock'!K45</f>
        <v/>
      </c>
      <c r="S50" s="13">
        <f>'Grid_Stock'!L45</f>
        <v/>
      </c>
      <c r="T50" s="13">
        <f>'Grid_Stock'!M45</f>
        <v/>
      </c>
      <c r="U50" s="13">
        <f>'Grid_Stock'!N45</f>
        <v/>
      </c>
      <c r="V50" s="13">
        <f>'Grid_Stock'!O45</f>
        <v/>
      </c>
      <c r="W50" s="13">
        <f>'Grid_Stock'!P45</f>
        <v/>
      </c>
      <c r="X50" s="13">
        <f>'Grid_Stock'!Q45</f>
        <v/>
      </c>
      <c r="Y50" s="13">
        <f>'Grid_Stock'!R45</f>
        <v/>
      </c>
      <c r="Z50" s="13">
        <f>'Grid_Stock'!S45</f>
        <v/>
      </c>
      <c r="AA50" s="13">
        <f>'Grid_Stock'!T45</f>
        <v/>
      </c>
      <c r="AB50" s="13">
        <f>'Grid_Stock'!U45</f>
        <v/>
      </c>
      <c r="AC50" s="13">
        <f>'Grid_Stock'!V45</f>
        <v/>
      </c>
      <c r="AD50" s="13">
        <f>'Grid_Stock'!W45</f>
        <v/>
      </c>
      <c r="AE50" s="13">
        <f>'Grid_Stock'!X45</f>
        <v/>
      </c>
      <c r="AF50" s="13">
        <f>'Grid_Stock'!Y45</f>
        <v/>
      </c>
      <c r="AG50" s="13">
        <f>'Grid_Stock'!Z45</f>
        <v/>
      </c>
      <c r="AH50" s="13">
        <f>'Grid_Stock'!AA45</f>
        <v/>
      </c>
      <c r="AI50" s="13">
        <f>'Grid_Stock'!AB45</f>
        <v/>
      </c>
      <c r="AJ50" s="13">
        <f>'Grid_Stock'!AC45</f>
        <v/>
      </c>
      <c r="AK50" s="13">
        <f>'Grid_Stock'!AD45</f>
        <v/>
      </c>
      <c r="AL50" s="13">
        <f>'Grid_Stock'!AE45</f>
        <v/>
      </c>
      <c r="AM50" s="13">
        <f>'Grid_Stock'!AF45</f>
        <v/>
      </c>
      <c r="AN50" s="13">
        <f>'Grid_Stock'!AG45</f>
        <v/>
      </c>
      <c r="AO50" s="13">
        <f>'Grid_Stock'!AH45</f>
        <v/>
      </c>
      <c r="AP50" s="13">
        <f>'Grid_Stock'!AI45</f>
        <v/>
      </c>
      <c r="AQ50" s="13">
        <f>'Grid_Stock'!AJ45</f>
        <v/>
      </c>
      <c r="AR50" s="13">
        <f>'Grid_Stock'!AK45</f>
        <v/>
      </c>
      <c r="AS50" s="13">
        <f>'Grid_Stock'!AL45</f>
        <v/>
      </c>
      <c r="AT50" s="13">
        <f>'Grid_Stock'!AM45</f>
        <v/>
      </c>
      <c r="AU50" s="13">
        <f>'Grid_Stock'!AN45</f>
        <v/>
      </c>
      <c r="AV50" s="13">
        <f>'Grid_Stock'!AO45</f>
        <v/>
      </c>
      <c r="AW50" s="13">
        <f>'Grid_Stock'!AP45</f>
        <v/>
      </c>
      <c r="AX50" s="13">
        <f>'Grid_Stock'!AQ45</f>
        <v/>
      </c>
      <c r="AY50" s="13">
        <f>'Grid_Stock'!AR45</f>
        <v/>
      </c>
      <c r="AZ50" s="13">
        <f>'Grid_Stock'!AS45</f>
        <v/>
      </c>
      <c r="BA50" s="13">
        <f>'Grid_Stock'!AT45</f>
        <v/>
      </c>
      <c r="BB50" s="13">
        <f>'Grid_Stock'!AU45</f>
        <v/>
      </c>
      <c r="BC50" s="13">
        <f>'Grid_Stock'!AV45</f>
        <v/>
      </c>
      <c r="BD50" s="13">
        <f>'Grid_Stock'!AW45</f>
        <v/>
      </c>
      <c r="BE50" s="13">
        <f>'Grid_Stock'!AX45</f>
        <v/>
      </c>
      <c r="BF50" s="13">
        <f>'Grid_Stock'!AY45</f>
        <v/>
      </c>
      <c r="BG50" s="13">
        <f>'Grid_Stock'!AZ45</f>
        <v/>
      </c>
      <c r="BH50" s="13">
        <f>'Grid_Stock'!BA45</f>
        <v/>
      </c>
      <c r="BI50" s="13">
        <f>'Grid_Stock'!BB45</f>
        <v/>
      </c>
      <c r="BJ50" s="13">
        <f>'Grid_Stock'!BC45</f>
        <v/>
      </c>
      <c r="BK50" s="13">
        <f>'Grid_Stock'!BD45</f>
        <v/>
      </c>
      <c r="BL50" s="13">
        <f>'Grid_Stock'!BE45</f>
        <v/>
      </c>
      <c r="BM50" s="13">
        <f>'Grid_Stock'!BF45</f>
        <v/>
      </c>
      <c r="BN50" s="13">
        <f>'Grid_Stock'!BG45</f>
        <v/>
      </c>
      <c r="BO50" s="13">
        <f>'Grid_Stock'!BH45</f>
        <v/>
      </c>
      <c r="BP50" s="13">
        <f>'Grid_Stock'!BI45</f>
        <v/>
      </c>
      <c r="BQ50" s="13">
        <f>'Grid_Stock'!BJ45</f>
        <v/>
      </c>
      <c r="BR50" s="13">
        <f>'Grid_Stock'!BK45</f>
        <v/>
      </c>
      <c r="BS50" s="13">
        <f>'Grid_Stock'!BL45</f>
        <v/>
      </c>
      <c r="BT50" s="13">
        <f>'Grid_Stock'!BM45</f>
        <v/>
      </c>
      <c r="BU50" s="13">
        <f>'Grid_Stock'!BN45</f>
        <v/>
      </c>
      <c r="BV50" s="13">
        <f>'Grid_Stock'!BO45</f>
        <v/>
      </c>
      <c r="BW50" s="13">
        <f>'Grid_Stock'!BP45</f>
        <v/>
      </c>
      <c r="BX50" s="13">
        <f>'Grid_Stock'!BQ45</f>
        <v/>
      </c>
      <c r="BY50" s="13">
        <f>'Grid_Stock'!BR45</f>
        <v/>
      </c>
      <c r="BZ50" s="13">
        <f>'Grid_Stock'!BS45</f>
        <v/>
      </c>
      <c r="CA50" s="13">
        <f>'Grid_Stock'!BT45</f>
        <v/>
      </c>
      <c r="CB50" s="13">
        <f>'Grid_Stock'!BU45</f>
        <v/>
      </c>
      <c r="CC50" s="13">
        <f>'Grid_Stock'!BV45</f>
        <v/>
      </c>
      <c r="CD50" s="13">
        <f>'Grid_Stock'!BW45</f>
        <v/>
      </c>
      <c r="CE50" s="13">
        <f>'Grid_Stock'!BX45</f>
        <v/>
      </c>
      <c r="CF50" s="13">
        <f>'Grid_Stock'!BY45</f>
        <v/>
      </c>
      <c r="CG50" s="13">
        <f>'Grid_Stock'!BZ45</f>
        <v/>
      </c>
      <c r="CH50" s="13">
        <f>'Grid_Stock'!CA45</f>
        <v/>
      </c>
      <c r="CI50" s="13">
        <f>'Grid_Stock'!CB45</f>
        <v/>
      </c>
      <c r="CJ50" s="13">
        <f>'Grid_Stock'!CC45</f>
        <v/>
      </c>
      <c r="CK50" s="13">
        <f>'Grid_Stock'!CD45</f>
        <v/>
      </c>
      <c r="CL50" s="13">
        <f>'Grid_Stock'!CE45</f>
        <v/>
      </c>
      <c r="CM50" s="13">
        <f>'Grid_Stock'!CF45</f>
        <v/>
      </c>
      <c r="CN50" s="13">
        <f>'Grid_Stock'!CG45</f>
        <v/>
      </c>
      <c r="CO50" s="13">
        <f>'Grid_Stock'!CH45</f>
        <v/>
      </c>
      <c r="CP50" s="13">
        <f>'Grid_Stock'!CI45</f>
        <v/>
      </c>
      <c r="CQ50" s="13">
        <f>'Grid_Stock'!CJ45</f>
        <v/>
      </c>
      <c r="CR50" s="13">
        <f>'Grid_Stock'!CK45</f>
        <v/>
      </c>
      <c r="CS50" s="13">
        <f>'Grid_Stock'!CL45</f>
        <v/>
      </c>
      <c r="CT50" s="13">
        <f>'Grid_Stock'!CM45</f>
        <v/>
      </c>
      <c r="CU50" s="13">
        <f>'Grid_Stock'!CN45</f>
        <v/>
      </c>
      <c r="CV50" s="13">
        <f>'Grid_Stock'!CO45</f>
        <v/>
      </c>
      <c r="CW50" s="13">
        <f>'Grid_Stock'!CP45</f>
        <v/>
      </c>
      <c r="CX50" s="13">
        <f>'Grid_Stock'!CQ45</f>
        <v/>
      </c>
      <c r="CY50" s="13">
        <f>'Grid_Stock'!CR45</f>
        <v/>
      </c>
      <c r="CZ50" s="13">
        <f>'Grid_Stock'!CS45</f>
        <v/>
      </c>
      <c r="DA50" s="13">
        <f>'Grid_Stock'!CT45</f>
        <v/>
      </c>
      <c r="DB50" s="13">
        <f>'Grid_Stock'!CU45</f>
        <v/>
      </c>
      <c r="DC50" s="13">
        <f>'Grid_Stock'!CV45</f>
        <v/>
      </c>
      <c r="DD50" s="13">
        <f>'Grid_Stock'!CW45</f>
        <v/>
      </c>
      <c r="DE50" s="13">
        <f>'Grid_Stock'!CX45</f>
        <v/>
      </c>
      <c r="DF50" s="13">
        <f>'Grid_Stock'!CY45</f>
        <v/>
      </c>
      <c r="DG50" s="13">
        <f>'Grid_Stock'!CZ45</f>
        <v/>
      </c>
      <c r="DH50" s="13">
        <f>'Grid_Stock'!DA45</f>
        <v/>
      </c>
    </row>
  </sheetData>
  <conditionalFormatting sqref="I7:DH50">
    <cfRule type="expression" priority="1" dxfId="0">
      <formula>I7&lt;$D7</formula>
    </cfRule>
    <cfRule type="expression" priority="2" dxfId="1">
      <formula>AND(I7&gt;=$D7,I7&lt;=$E7)</formula>
    </cfRule>
    <cfRule type="expression" priority="3" dxfId="2">
      <formula>I7&gt;$E7</formula>
    </cfRule>
  </conditionalFormatting>
  <conditionalFormatting sqref="I6:DH50">
    <cfRule type="expression" priority="4" dxfId="3">
      <formula>(COLUMN()-COLUMN($I$1)+1)=$F$1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D1151"/>
  <sheetViews>
    <sheetView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10" customWidth="1" min="108" max="108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3">
      <c r="A3" s="8" t="n"/>
      <c r="B3" s="8" t="n"/>
      <c r="C3" s="8" t="n"/>
      <c r="D3" s="8">
        <f>'Cal_Weeks'!G4</f>
        <v/>
      </c>
      <c r="E3" s="8">
        <f>IF(TEXT('Cal_Weeks'!B5,"mmm-yy")&lt;&gt;TEXT('Cal_Weeks'!B4,"mmm-yy"),'Cal_Weeks'!G5,"")</f>
        <v/>
      </c>
      <c r="F3" s="8">
        <f>IF(TEXT('Cal_Weeks'!B6,"mmm-yy")&lt;&gt;TEXT('Cal_Weeks'!B5,"mmm-yy"),'Cal_Weeks'!G6,"")</f>
        <v/>
      </c>
      <c r="G3" s="8">
        <f>IF(TEXT('Cal_Weeks'!B7,"mmm-yy")&lt;&gt;TEXT('Cal_Weeks'!B6,"mmm-yy"),'Cal_Weeks'!G7,"")</f>
        <v/>
      </c>
      <c r="H3" s="8">
        <f>IF(TEXT('Cal_Weeks'!B8,"mmm-yy")&lt;&gt;TEXT('Cal_Weeks'!B7,"mmm-yy"),'Cal_Weeks'!G8,"")</f>
        <v/>
      </c>
      <c r="I3" s="8">
        <f>IF(TEXT('Cal_Weeks'!B9,"mmm-yy")&lt;&gt;TEXT('Cal_Weeks'!B8,"mmm-yy"),'Cal_Weeks'!G9,"")</f>
        <v/>
      </c>
      <c r="J3" s="8">
        <f>IF(TEXT('Cal_Weeks'!B10,"mmm-yy")&lt;&gt;TEXT('Cal_Weeks'!B9,"mmm-yy"),'Cal_Weeks'!G10,"")</f>
        <v/>
      </c>
      <c r="K3" s="8">
        <f>IF(TEXT('Cal_Weeks'!B11,"mmm-yy")&lt;&gt;TEXT('Cal_Weeks'!B10,"mmm-yy"),'Cal_Weeks'!G11,"")</f>
        <v/>
      </c>
      <c r="L3" s="8">
        <f>IF(TEXT('Cal_Weeks'!B12,"mmm-yy")&lt;&gt;TEXT('Cal_Weeks'!B11,"mmm-yy"),'Cal_Weeks'!G12,"")</f>
        <v/>
      </c>
      <c r="M3" s="8">
        <f>IF(TEXT('Cal_Weeks'!B13,"mmm-yy")&lt;&gt;TEXT('Cal_Weeks'!B12,"mmm-yy"),'Cal_Weeks'!G13,"")</f>
        <v/>
      </c>
      <c r="N3" s="8">
        <f>IF(TEXT('Cal_Weeks'!B14,"mmm-yy")&lt;&gt;TEXT('Cal_Weeks'!B13,"mmm-yy"),'Cal_Weeks'!G14,"")</f>
        <v/>
      </c>
      <c r="O3" s="8">
        <f>IF(TEXT('Cal_Weeks'!B15,"mmm-yy")&lt;&gt;TEXT('Cal_Weeks'!B14,"mmm-yy"),'Cal_Weeks'!G15,"")</f>
        <v/>
      </c>
      <c r="P3" s="8">
        <f>IF(TEXT('Cal_Weeks'!B16,"mmm-yy")&lt;&gt;TEXT('Cal_Weeks'!B15,"mmm-yy"),'Cal_Weeks'!G16,"")</f>
        <v/>
      </c>
      <c r="Q3" s="8">
        <f>IF(TEXT('Cal_Weeks'!B17,"mmm-yy")&lt;&gt;TEXT('Cal_Weeks'!B16,"mmm-yy"),'Cal_Weeks'!G17,"")</f>
        <v/>
      </c>
      <c r="R3" s="8">
        <f>IF(TEXT('Cal_Weeks'!B18,"mmm-yy")&lt;&gt;TEXT('Cal_Weeks'!B17,"mmm-yy"),'Cal_Weeks'!G18,"")</f>
        <v/>
      </c>
      <c r="S3" s="8">
        <f>IF(TEXT('Cal_Weeks'!B19,"mmm-yy")&lt;&gt;TEXT('Cal_Weeks'!B18,"mmm-yy"),'Cal_Weeks'!G19,"")</f>
        <v/>
      </c>
      <c r="T3" s="8">
        <f>IF(TEXT('Cal_Weeks'!B20,"mmm-yy")&lt;&gt;TEXT('Cal_Weeks'!B19,"mmm-yy"),'Cal_Weeks'!G20,"")</f>
        <v/>
      </c>
      <c r="U3" s="8">
        <f>IF(TEXT('Cal_Weeks'!B21,"mmm-yy")&lt;&gt;TEXT('Cal_Weeks'!B20,"mmm-yy"),'Cal_Weeks'!G21,"")</f>
        <v/>
      </c>
      <c r="V3" s="8">
        <f>IF(TEXT('Cal_Weeks'!B22,"mmm-yy")&lt;&gt;TEXT('Cal_Weeks'!B21,"mmm-yy"),'Cal_Weeks'!G22,"")</f>
        <v/>
      </c>
      <c r="W3" s="8">
        <f>IF(TEXT('Cal_Weeks'!B23,"mmm-yy")&lt;&gt;TEXT('Cal_Weeks'!B22,"mmm-yy"),'Cal_Weeks'!G23,"")</f>
        <v/>
      </c>
      <c r="X3" s="8">
        <f>IF(TEXT('Cal_Weeks'!B24,"mmm-yy")&lt;&gt;TEXT('Cal_Weeks'!B23,"mmm-yy"),'Cal_Weeks'!G24,"")</f>
        <v/>
      </c>
      <c r="Y3" s="8">
        <f>IF(TEXT('Cal_Weeks'!B25,"mmm-yy")&lt;&gt;TEXT('Cal_Weeks'!B24,"mmm-yy"),'Cal_Weeks'!G25,"")</f>
        <v/>
      </c>
      <c r="Z3" s="8">
        <f>IF(TEXT('Cal_Weeks'!B26,"mmm-yy")&lt;&gt;TEXT('Cal_Weeks'!B25,"mmm-yy"),'Cal_Weeks'!G26,"")</f>
        <v/>
      </c>
      <c r="AA3" s="8">
        <f>IF(TEXT('Cal_Weeks'!B27,"mmm-yy")&lt;&gt;TEXT('Cal_Weeks'!B26,"mmm-yy"),'Cal_Weeks'!G27,"")</f>
        <v/>
      </c>
      <c r="AB3" s="8">
        <f>IF(TEXT('Cal_Weeks'!B28,"mmm-yy")&lt;&gt;TEXT('Cal_Weeks'!B27,"mmm-yy"),'Cal_Weeks'!G28,"")</f>
        <v/>
      </c>
      <c r="AC3" s="8">
        <f>IF(TEXT('Cal_Weeks'!B29,"mmm-yy")&lt;&gt;TEXT('Cal_Weeks'!B28,"mmm-yy"),'Cal_Weeks'!G29,"")</f>
        <v/>
      </c>
      <c r="AD3" s="8">
        <f>IF(TEXT('Cal_Weeks'!B30,"mmm-yy")&lt;&gt;TEXT('Cal_Weeks'!B29,"mmm-yy"),'Cal_Weeks'!G30,"")</f>
        <v/>
      </c>
      <c r="AE3" s="8">
        <f>IF(TEXT('Cal_Weeks'!B31,"mmm-yy")&lt;&gt;TEXT('Cal_Weeks'!B30,"mmm-yy"),'Cal_Weeks'!G31,"")</f>
        <v/>
      </c>
      <c r="AF3" s="8">
        <f>IF(TEXT('Cal_Weeks'!B32,"mmm-yy")&lt;&gt;TEXT('Cal_Weeks'!B31,"mmm-yy"),'Cal_Weeks'!G32,"")</f>
        <v/>
      </c>
      <c r="AG3" s="8">
        <f>IF(TEXT('Cal_Weeks'!B33,"mmm-yy")&lt;&gt;TEXT('Cal_Weeks'!B32,"mmm-yy"),'Cal_Weeks'!G33,"")</f>
        <v/>
      </c>
      <c r="AH3" s="8">
        <f>IF(TEXT('Cal_Weeks'!B34,"mmm-yy")&lt;&gt;TEXT('Cal_Weeks'!B33,"mmm-yy"),'Cal_Weeks'!G34,"")</f>
        <v/>
      </c>
      <c r="AI3" s="8">
        <f>IF(TEXT('Cal_Weeks'!B35,"mmm-yy")&lt;&gt;TEXT('Cal_Weeks'!B34,"mmm-yy"),'Cal_Weeks'!G35,"")</f>
        <v/>
      </c>
      <c r="AJ3" s="8">
        <f>IF(TEXT('Cal_Weeks'!B36,"mmm-yy")&lt;&gt;TEXT('Cal_Weeks'!B35,"mmm-yy"),'Cal_Weeks'!G36,"")</f>
        <v/>
      </c>
      <c r="AK3" s="8">
        <f>IF(TEXT('Cal_Weeks'!B37,"mmm-yy")&lt;&gt;TEXT('Cal_Weeks'!B36,"mmm-yy"),'Cal_Weeks'!G37,"")</f>
        <v/>
      </c>
      <c r="AL3" s="8">
        <f>IF(TEXT('Cal_Weeks'!B38,"mmm-yy")&lt;&gt;TEXT('Cal_Weeks'!B37,"mmm-yy"),'Cal_Weeks'!G38,"")</f>
        <v/>
      </c>
      <c r="AM3" s="8">
        <f>IF(TEXT('Cal_Weeks'!B39,"mmm-yy")&lt;&gt;TEXT('Cal_Weeks'!B38,"mmm-yy"),'Cal_Weeks'!G39,"")</f>
        <v/>
      </c>
      <c r="AN3" s="8">
        <f>IF(TEXT('Cal_Weeks'!B40,"mmm-yy")&lt;&gt;TEXT('Cal_Weeks'!B39,"mmm-yy"),'Cal_Weeks'!G40,"")</f>
        <v/>
      </c>
      <c r="AO3" s="8">
        <f>IF(TEXT('Cal_Weeks'!B41,"mmm-yy")&lt;&gt;TEXT('Cal_Weeks'!B40,"mmm-yy"),'Cal_Weeks'!G41,"")</f>
        <v/>
      </c>
      <c r="AP3" s="8">
        <f>IF(TEXT('Cal_Weeks'!B42,"mmm-yy")&lt;&gt;TEXT('Cal_Weeks'!B41,"mmm-yy"),'Cal_Weeks'!G42,"")</f>
        <v/>
      </c>
      <c r="AQ3" s="8">
        <f>IF(TEXT('Cal_Weeks'!B43,"mmm-yy")&lt;&gt;TEXT('Cal_Weeks'!B42,"mmm-yy"),'Cal_Weeks'!G43,"")</f>
        <v/>
      </c>
      <c r="AR3" s="8">
        <f>IF(TEXT('Cal_Weeks'!B44,"mmm-yy")&lt;&gt;TEXT('Cal_Weeks'!B43,"mmm-yy"),'Cal_Weeks'!G44,"")</f>
        <v/>
      </c>
      <c r="AS3" s="8">
        <f>IF(TEXT('Cal_Weeks'!B45,"mmm-yy")&lt;&gt;TEXT('Cal_Weeks'!B44,"mmm-yy"),'Cal_Weeks'!G45,"")</f>
        <v/>
      </c>
      <c r="AT3" s="8">
        <f>IF(TEXT('Cal_Weeks'!B46,"mmm-yy")&lt;&gt;TEXT('Cal_Weeks'!B45,"mmm-yy"),'Cal_Weeks'!G46,"")</f>
        <v/>
      </c>
      <c r="AU3" s="8">
        <f>IF(TEXT('Cal_Weeks'!B47,"mmm-yy")&lt;&gt;TEXT('Cal_Weeks'!B46,"mmm-yy"),'Cal_Weeks'!G47,"")</f>
        <v/>
      </c>
      <c r="AV3" s="8">
        <f>IF(TEXT('Cal_Weeks'!B48,"mmm-yy")&lt;&gt;TEXT('Cal_Weeks'!B47,"mmm-yy"),'Cal_Weeks'!G48,"")</f>
        <v/>
      </c>
      <c r="AW3" s="8">
        <f>IF(TEXT('Cal_Weeks'!B49,"mmm-yy")&lt;&gt;TEXT('Cal_Weeks'!B48,"mmm-yy"),'Cal_Weeks'!G49,"")</f>
        <v/>
      </c>
      <c r="AX3" s="8">
        <f>IF(TEXT('Cal_Weeks'!B50,"mmm-yy")&lt;&gt;TEXT('Cal_Weeks'!B49,"mmm-yy"),'Cal_Weeks'!G50,"")</f>
        <v/>
      </c>
      <c r="AY3" s="8">
        <f>IF(TEXT('Cal_Weeks'!B51,"mmm-yy")&lt;&gt;TEXT('Cal_Weeks'!B50,"mmm-yy"),'Cal_Weeks'!G51,"")</f>
        <v/>
      </c>
      <c r="AZ3" s="8">
        <f>IF(TEXT('Cal_Weeks'!B52,"mmm-yy")&lt;&gt;TEXT('Cal_Weeks'!B51,"mmm-yy"),'Cal_Weeks'!G52,"")</f>
        <v/>
      </c>
      <c r="BA3" s="8">
        <f>IF(TEXT('Cal_Weeks'!B53,"mmm-yy")&lt;&gt;TEXT('Cal_Weeks'!B52,"mmm-yy"),'Cal_Weeks'!G53,"")</f>
        <v/>
      </c>
      <c r="BB3" s="8">
        <f>IF(TEXT('Cal_Weeks'!B54,"mmm-yy")&lt;&gt;TEXT('Cal_Weeks'!B53,"mmm-yy"),'Cal_Weeks'!G54,"")</f>
        <v/>
      </c>
      <c r="BC3" s="8">
        <f>IF(TEXT('Cal_Weeks'!B55,"mmm-yy")&lt;&gt;TEXT('Cal_Weeks'!B54,"mmm-yy"),'Cal_Weeks'!G55,"")</f>
        <v/>
      </c>
      <c r="BD3" s="8">
        <f>IF(TEXT('Cal_Weeks'!B56,"mmm-yy")&lt;&gt;TEXT('Cal_Weeks'!B55,"mmm-yy"),'Cal_Weeks'!G56,"")</f>
        <v/>
      </c>
      <c r="BE3" s="8">
        <f>IF(TEXT('Cal_Weeks'!B57,"mmm-yy")&lt;&gt;TEXT('Cal_Weeks'!B56,"mmm-yy"),'Cal_Weeks'!G57,"")</f>
        <v/>
      </c>
      <c r="BF3" s="8">
        <f>IF(TEXT('Cal_Weeks'!B58,"mmm-yy")&lt;&gt;TEXT('Cal_Weeks'!B57,"mmm-yy"),'Cal_Weeks'!G58,"")</f>
        <v/>
      </c>
      <c r="BG3" s="8">
        <f>IF(TEXT('Cal_Weeks'!B59,"mmm-yy")&lt;&gt;TEXT('Cal_Weeks'!B58,"mmm-yy"),'Cal_Weeks'!G59,"")</f>
        <v/>
      </c>
      <c r="BH3" s="8">
        <f>IF(TEXT('Cal_Weeks'!B60,"mmm-yy")&lt;&gt;TEXT('Cal_Weeks'!B59,"mmm-yy"),'Cal_Weeks'!G60,"")</f>
        <v/>
      </c>
      <c r="BI3" s="8">
        <f>IF(TEXT('Cal_Weeks'!B61,"mmm-yy")&lt;&gt;TEXT('Cal_Weeks'!B60,"mmm-yy"),'Cal_Weeks'!G61,"")</f>
        <v/>
      </c>
      <c r="BJ3" s="8">
        <f>IF(TEXT('Cal_Weeks'!B62,"mmm-yy")&lt;&gt;TEXT('Cal_Weeks'!B61,"mmm-yy"),'Cal_Weeks'!G62,"")</f>
        <v/>
      </c>
      <c r="BK3" s="8">
        <f>IF(TEXT('Cal_Weeks'!B63,"mmm-yy")&lt;&gt;TEXT('Cal_Weeks'!B62,"mmm-yy"),'Cal_Weeks'!G63,"")</f>
        <v/>
      </c>
      <c r="BL3" s="8">
        <f>IF(TEXT('Cal_Weeks'!B64,"mmm-yy")&lt;&gt;TEXT('Cal_Weeks'!B63,"mmm-yy"),'Cal_Weeks'!G64,"")</f>
        <v/>
      </c>
      <c r="BM3" s="8">
        <f>IF(TEXT('Cal_Weeks'!B65,"mmm-yy")&lt;&gt;TEXT('Cal_Weeks'!B64,"mmm-yy"),'Cal_Weeks'!G65,"")</f>
        <v/>
      </c>
      <c r="BN3" s="8">
        <f>IF(TEXT('Cal_Weeks'!B66,"mmm-yy")&lt;&gt;TEXT('Cal_Weeks'!B65,"mmm-yy"),'Cal_Weeks'!G66,"")</f>
        <v/>
      </c>
      <c r="BO3" s="8">
        <f>IF(TEXT('Cal_Weeks'!B67,"mmm-yy")&lt;&gt;TEXT('Cal_Weeks'!B66,"mmm-yy"),'Cal_Weeks'!G67,"")</f>
        <v/>
      </c>
      <c r="BP3" s="8">
        <f>IF(TEXT('Cal_Weeks'!B68,"mmm-yy")&lt;&gt;TEXT('Cal_Weeks'!B67,"mmm-yy"),'Cal_Weeks'!G68,"")</f>
        <v/>
      </c>
      <c r="BQ3" s="8">
        <f>IF(TEXT('Cal_Weeks'!B69,"mmm-yy")&lt;&gt;TEXT('Cal_Weeks'!B68,"mmm-yy"),'Cal_Weeks'!G69,"")</f>
        <v/>
      </c>
      <c r="BR3" s="8">
        <f>IF(TEXT('Cal_Weeks'!B70,"mmm-yy")&lt;&gt;TEXT('Cal_Weeks'!B69,"mmm-yy"),'Cal_Weeks'!G70,"")</f>
        <v/>
      </c>
      <c r="BS3" s="8">
        <f>IF(TEXT('Cal_Weeks'!B71,"mmm-yy")&lt;&gt;TEXT('Cal_Weeks'!B70,"mmm-yy"),'Cal_Weeks'!G71,"")</f>
        <v/>
      </c>
      <c r="BT3" s="8">
        <f>IF(TEXT('Cal_Weeks'!B72,"mmm-yy")&lt;&gt;TEXT('Cal_Weeks'!B71,"mmm-yy"),'Cal_Weeks'!G72,"")</f>
        <v/>
      </c>
      <c r="BU3" s="8">
        <f>IF(TEXT('Cal_Weeks'!B73,"mmm-yy")&lt;&gt;TEXT('Cal_Weeks'!B72,"mmm-yy"),'Cal_Weeks'!G73,"")</f>
        <v/>
      </c>
      <c r="BV3" s="8">
        <f>IF(TEXT('Cal_Weeks'!B74,"mmm-yy")&lt;&gt;TEXT('Cal_Weeks'!B73,"mmm-yy"),'Cal_Weeks'!G74,"")</f>
        <v/>
      </c>
      <c r="BW3" s="8">
        <f>IF(TEXT('Cal_Weeks'!B75,"mmm-yy")&lt;&gt;TEXT('Cal_Weeks'!B74,"mmm-yy"),'Cal_Weeks'!G75,"")</f>
        <v/>
      </c>
      <c r="BX3" s="8">
        <f>IF(TEXT('Cal_Weeks'!B76,"mmm-yy")&lt;&gt;TEXT('Cal_Weeks'!B75,"mmm-yy"),'Cal_Weeks'!G76,"")</f>
        <v/>
      </c>
      <c r="BY3" s="8">
        <f>IF(TEXT('Cal_Weeks'!B77,"mmm-yy")&lt;&gt;TEXT('Cal_Weeks'!B76,"mmm-yy"),'Cal_Weeks'!G77,"")</f>
        <v/>
      </c>
      <c r="BZ3" s="8">
        <f>IF(TEXT('Cal_Weeks'!B78,"mmm-yy")&lt;&gt;TEXT('Cal_Weeks'!B77,"mmm-yy"),'Cal_Weeks'!G78,"")</f>
        <v/>
      </c>
      <c r="CA3" s="8">
        <f>IF(TEXT('Cal_Weeks'!B79,"mmm-yy")&lt;&gt;TEXT('Cal_Weeks'!B78,"mmm-yy"),'Cal_Weeks'!G79,"")</f>
        <v/>
      </c>
      <c r="CB3" s="8">
        <f>IF(TEXT('Cal_Weeks'!B80,"mmm-yy")&lt;&gt;TEXT('Cal_Weeks'!B79,"mmm-yy"),'Cal_Weeks'!G80,"")</f>
        <v/>
      </c>
      <c r="CC3" s="8">
        <f>IF(TEXT('Cal_Weeks'!B81,"mmm-yy")&lt;&gt;TEXT('Cal_Weeks'!B80,"mmm-yy"),'Cal_Weeks'!G81,"")</f>
        <v/>
      </c>
      <c r="CD3" s="8">
        <f>IF(TEXT('Cal_Weeks'!B82,"mmm-yy")&lt;&gt;TEXT('Cal_Weeks'!B81,"mmm-yy"),'Cal_Weeks'!G82,"")</f>
        <v/>
      </c>
      <c r="CE3" s="8">
        <f>IF(TEXT('Cal_Weeks'!B83,"mmm-yy")&lt;&gt;TEXT('Cal_Weeks'!B82,"mmm-yy"),'Cal_Weeks'!G83,"")</f>
        <v/>
      </c>
      <c r="CF3" s="8">
        <f>IF(TEXT('Cal_Weeks'!B84,"mmm-yy")&lt;&gt;TEXT('Cal_Weeks'!B83,"mmm-yy"),'Cal_Weeks'!G84,"")</f>
        <v/>
      </c>
      <c r="CG3" s="8">
        <f>IF(TEXT('Cal_Weeks'!B85,"mmm-yy")&lt;&gt;TEXT('Cal_Weeks'!B84,"mmm-yy"),'Cal_Weeks'!G85,"")</f>
        <v/>
      </c>
      <c r="CH3" s="8">
        <f>IF(TEXT('Cal_Weeks'!B86,"mmm-yy")&lt;&gt;TEXT('Cal_Weeks'!B85,"mmm-yy"),'Cal_Weeks'!G86,"")</f>
        <v/>
      </c>
      <c r="CI3" s="8">
        <f>IF(TEXT('Cal_Weeks'!B87,"mmm-yy")&lt;&gt;TEXT('Cal_Weeks'!B86,"mmm-yy"),'Cal_Weeks'!G87,"")</f>
        <v/>
      </c>
      <c r="CJ3" s="8">
        <f>IF(TEXT('Cal_Weeks'!B88,"mmm-yy")&lt;&gt;TEXT('Cal_Weeks'!B87,"mmm-yy"),'Cal_Weeks'!G88,"")</f>
        <v/>
      </c>
      <c r="CK3" s="8">
        <f>IF(TEXT('Cal_Weeks'!B89,"mmm-yy")&lt;&gt;TEXT('Cal_Weeks'!B88,"mmm-yy"),'Cal_Weeks'!G89,"")</f>
        <v/>
      </c>
      <c r="CL3" s="8">
        <f>IF(TEXT('Cal_Weeks'!B90,"mmm-yy")&lt;&gt;TEXT('Cal_Weeks'!B89,"mmm-yy"),'Cal_Weeks'!G90,"")</f>
        <v/>
      </c>
      <c r="CM3" s="8">
        <f>IF(TEXT('Cal_Weeks'!B91,"mmm-yy")&lt;&gt;TEXT('Cal_Weeks'!B90,"mmm-yy"),'Cal_Weeks'!G91,"")</f>
        <v/>
      </c>
      <c r="CN3" s="8">
        <f>IF(TEXT('Cal_Weeks'!B92,"mmm-yy")&lt;&gt;TEXT('Cal_Weeks'!B91,"mmm-yy"),'Cal_Weeks'!G92,"")</f>
        <v/>
      </c>
      <c r="CO3" s="8">
        <f>IF(TEXT('Cal_Weeks'!B93,"mmm-yy")&lt;&gt;TEXT('Cal_Weeks'!B92,"mmm-yy"),'Cal_Weeks'!G93,"")</f>
        <v/>
      </c>
      <c r="CP3" s="8">
        <f>IF(TEXT('Cal_Weeks'!B94,"mmm-yy")&lt;&gt;TEXT('Cal_Weeks'!B93,"mmm-yy"),'Cal_Weeks'!G94,"")</f>
        <v/>
      </c>
      <c r="CQ3" s="8">
        <f>IF(TEXT('Cal_Weeks'!B95,"mmm-yy")&lt;&gt;TEXT('Cal_Weeks'!B94,"mmm-yy"),'Cal_Weeks'!G95,"")</f>
        <v/>
      </c>
      <c r="CR3" s="8">
        <f>IF(TEXT('Cal_Weeks'!B96,"mmm-yy")&lt;&gt;TEXT('Cal_Weeks'!B95,"mmm-yy"),'Cal_Weeks'!G96,"")</f>
        <v/>
      </c>
      <c r="CS3" s="8">
        <f>IF(TEXT('Cal_Weeks'!B97,"mmm-yy")&lt;&gt;TEXT('Cal_Weeks'!B96,"mmm-yy"),'Cal_Weeks'!G97,"")</f>
        <v/>
      </c>
      <c r="CT3" s="8">
        <f>IF(TEXT('Cal_Weeks'!B98,"mmm-yy")&lt;&gt;TEXT('Cal_Weeks'!B97,"mmm-yy"),'Cal_Weeks'!G98,"")</f>
        <v/>
      </c>
      <c r="CU3" s="8">
        <f>IF(TEXT('Cal_Weeks'!B99,"mmm-yy")&lt;&gt;TEXT('Cal_Weeks'!B98,"mmm-yy"),'Cal_Weeks'!G99,"")</f>
        <v/>
      </c>
      <c r="CV3" s="8">
        <f>IF(TEXT('Cal_Weeks'!B100,"mmm-yy")&lt;&gt;TEXT('Cal_Weeks'!B99,"mmm-yy"),'Cal_Weeks'!G100,"")</f>
        <v/>
      </c>
      <c r="CW3" s="8">
        <f>IF(TEXT('Cal_Weeks'!B101,"mmm-yy")&lt;&gt;TEXT('Cal_Weeks'!B100,"mmm-yy"),'Cal_Weeks'!G101,"")</f>
        <v/>
      </c>
      <c r="CX3" s="8">
        <f>IF(TEXT('Cal_Weeks'!B102,"mmm-yy")&lt;&gt;TEXT('Cal_Weeks'!B101,"mmm-yy"),'Cal_Weeks'!G102,"")</f>
        <v/>
      </c>
      <c r="CY3" s="8">
        <f>IF(TEXT('Cal_Weeks'!B103,"mmm-yy")&lt;&gt;TEXT('Cal_Weeks'!B102,"mmm-yy"),'Cal_Weeks'!G103,"")</f>
        <v/>
      </c>
      <c r="CZ3" s="8">
        <f>IF(TEXT('Cal_Weeks'!B104,"mmm-yy")&lt;&gt;TEXT('Cal_Weeks'!B103,"mmm-yy"),'Cal_Weeks'!G104,"")</f>
        <v/>
      </c>
      <c r="DA3" s="8">
        <f>IF(TEXT('Cal_Weeks'!B105,"mmm-yy")&lt;&gt;TEXT('Cal_Weeks'!B104,"mmm-yy"),'Cal_Weeks'!G105,"")</f>
        <v/>
      </c>
      <c r="DB3" s="8">
        <f>IF(TEXT('Cal_Weeks'!B106,"mmm-yy")&lt;&gt;TEXT('Cal_Weeks'!B105,"mmm-yy"),'Cal_Weeks'!G106,"")</f>
        <v/>
      </c>
      <c r="DC3" s="8">
        <f>IF(TEXT('Cal_Weeks'!B107,"mmm-yy")&lt;&gt;TEXT('Cal_Weeks'!B106,"mmm-yy"),'Cal_Weeks'!G107,"")</f>
        <v/>
      </c>
    </row>
    <row r="4">
      <c r="A4" s="9" t="n"/>
      <c r="B4" s="9" t="n"/>
      <c r="C4" s="9" t="n"/>
      <c r="D4" s="10">
        <f>'Cal_Weeks'!B4</f>
        <v/>
      </c>
      <c r="E4" s="10">
        <f>'Cal_Weeks'!B5</f>
        <v/>
      </c>
      <c r="F4" s="10">
        <f>'Cal_Weeks'!B6</f>
        <v/>
      </c>
      <c r="G4" s="10">
        <f>'Cal_Weeks'!B7</f>
        <v/>
      </c>
      <c r="H4" s="10">
        <f>'Cal_Weeks'!B8</f>
        <v/>
      </c>
      <c r="I4" s="10">
        <f>'Cal_Weeks'!B9</f>
        <v/>
      </c>
      <c r="J4" s="10">
        <f>'Cal_Weeks'!B10</f>
        <v/>
      </c>
      <c r="K4" s="10">
        <f>'Cal_Weeks'!B11</f>
        <v/>
      </c>
      <c r="L4" s="10">
        <f>'Cal_Weeks'!B12</f>
        <v/>
      </c>
      <c r="M4" s="10">
        <f>'Cal_Weeks'!B13</f>
        <v/>
      </c>
      <c r="N4" s="10">
        <f>'Cal_Weeks'!B14</f>
        <v/>
      </c>
      <c r="O4" s="10">
        <f>'Cal_Weeks'!B15</f>
        <v/>
      </c>
      <c r="P4" s="10">
        <f>'Cal_Weeks'!B16</f>
        <v/>
      </c>
      <c r="Q4" s="10">
        <f>'Cal_Weeks'!B17</f>
        <v/>
      </c>
      <c r="R4" s="10">
        <f>'Cal_Weeks'!B18</f>
        <v/>
      </c>
      <c r="S4" s="10">
        <f>'Cal_Weeks'!B19</f>
        <v/>
      </c>
      <c r="T4" s="10">
        <f>'Cal_Weeks'!B20</f>
        <v/>
      </c>
      <c r="U4" s="10">
        <f>'Cal_Weeks'!B21</f>
        <v/>
      </c>
      <c r="V4" s="10">
        <f>'Cal_Weeks'!B22</f>
        <v/>
      </c>
      <c r="W4" s="10">
        <f>'Cal_Weeks'!B23</f>
        <v/>
      </c>
      <c r="X4" s="10">
        <f>'Cal_Weeks'!B24</f>
        <v/>
      </c>
      <c r="Y4" s="10">
        <f>'Cal_Weeks'!B25</f>
        <v/>
      </c>
      <c r="Z4" s="10">
        <f>'Cal_Weeks'!B26</f>
        <v/>
      </c>
      <c r="AA4" s="10">
        <f>'Cal_Weeks'!B27</f>
        <v/>
      </c>
      <c r="AB4" s="10">
        <f>'Cal_Weeks'!B28</f>
        <v/>
      </c>
      <c r="AC4" s="10">
        <f>'Cal_Weeks'!B29</f>
        <v/>
      </c>
      <c r="AD4" s="10">
        <f>'Cal_Weeks'!B30</f>
        <v/>
      </c>
      <c r="AE4" s="10">
        <f>'Cal_Weeks'!B31</f>
        <v/>
      </c>
      <c r="AF4" s="10">
        <f>'Cal_Weeks'!B32</f>
        <v/>
      </c>
      <c r="AG4" s="10">
        <f>'Cal_Weeks'!B33</f>
        <v/>
      </c>
      <c r="AH4" s="10">
        <f>'Cal_Weeks'!B34</f>
        <v/>
      </c>
      <c r="AI4" s="10">
        <f>'Cal_Weeks'!B35</f>
        <v/>
      </c>
      <c r="AJ4" s="10">
        <f>'Cal_Weeks'!B36</f>
        <v/>
      </c>
      <c r="AK4" s="10">
        <f>'Cal_Weeks'!B37</f>
        <v/>
      </c>
      <c r="AL4" s="10">
        <f>'Cal_Weeks'!B38</f>
        <v/>
      </c>
      <c r="AM4" s="10">
        <f>'Cal_Weeks'!B39</f>
        <v/>
      </c>
      <c r="AN4" s="10">
        <f>'Cal_Weeks'!B40</f>
        <v/>
      </c>
      <c r="AO4" s="10">
        <f>'Cal_Weeks'!B41</f>
        <v/>
      </c>
      <c r="AP4" s="10">
        <f>'Cal_Weeks'!B42</f>
        <v/>
      </c>
      <c r="AQ4" s="10">
        <f>'Cal_Weeks'!B43</f>
        <v/>
      </c>
      <c r="AR4" s="10">
        <f>'Cal_Weeks'!B44</f>
        <v/>
      </c>
      <c r="AS4" s="10">
        <f>'Cal_Weeks'!B45</f>
        <v/>
      </c>
      <c r="AT4" s="10">
        <f>'Cal_Weeks'!B46</f>
        <v/>
      </c>
      <c r="AU4" s="10">
        <f>'Cal_Weeks'!B47</f>
        <v/>
      </c>
      <c r="AV4" s="10">
        <f>'Cal_Weeks'!B48</f>
        <v/>
      </c>
      <c r="AW4" s="10">
        <f>'Cal_Weeks'!B49</f>
        <v/>
      </c>
      <c r="AX4" s="10">
        <f>'Cal_Weeks'!B50</f>
        <v/>
      </c>
      <c r="AY4" s="10">
        <f>'Cal_Weeks'!B51</f>
        <v/>
      </c>
      <c r="AZ4" s="10">
        <f>'Cal_Weeks'!B52</f>
        <v/>
      </c>
      <c r="BA4" s="10">
        <f>'Cal_Weeks'!B53</f>
        <v/>
      </c>
      <c r="BB4" s="10">
        <f>'Cal_Weeks'!B54</f>
        <v/>
      </c>
      <c r="BC4" s="10">
        <f>'Cal_Weeks'!B55</f>
        <v/>
      </c>
      <c r="BD4" s="10">
        <f>'Cal_Weeks'!B56</f>
        <v/>
      </c>
      <c r="BE4" s="10">
        <f>'Cal_Weeks'!B57</f>
        <v/>
      </c>
      <c r="BF4" s="10">
        <f>'Cal_Weeks'!B58</f>
        <v/>
      </c>
      <c r="BG4" s="10">
        <f>'Cal_Weeks'!B59</f>
        <v/>
      </c>
      <c r="BH4" s="10">
        <f>'Cal_Weeks'!B60</f>
        <v/>
      </c>
      <c r="BI4" s="10">
        <f>'Cal_Weeks'!B61</f>
        <v/>
      </c>
      <c r="BJ4" s="10">
        <f>'Cal_Weeks'!B62</f>
        <v/>
      </c>
      <c r="BK4" s="10">
        <f>'Cal_Weeks'!B63</f>
        <v/>
      </c>
      <c r="BL4" s="10">
        <f>'Cal_Weeks'!B64</f>
        <v/>
      </c>
      <c r="BM4" s="10">
        <f>'Cal_Weeks'!B65</f>
        <v/>
      </c>
      <c r="BN4" s="10">
        <f>'Cal_Weeks'!B66</f>
        <v/>
      </c>
      <c r="BO4" s="10">
        <f>'Cal_Weeks'!B67</f>
        <v/>
      </c>
      <c r="BP4" s="10">
        <f>'Cal_Weeks'!B68</f>
        <v/>
      </c>
      <c r="BQ4" s="10">
        <f>'Cal_Weeks'!B69</f>
        <v/>
      </c>
      <c r="BR4" s="10">
        <f>'Cal_Weeks'!B70</f>
        <v/>
      </c>
      <c r="BS4" s="10">
        <f>'Cal_Weeks'!B71</f>
        <v/>
      </c>
      <c r="BT4" s="10">
        <f>'Cal_Weeks'!B72</f>
        <v/>
      </c>
      <c r="BU4" s="10">
        <f>'Cal_Weeks'!B73</f>
        <v/>
      </c>
      <c r="BV4" s="10">
        <f>'Cal_Weeks'!B74</f>
        <v/>
      </c>
      <c r="BW4" s="10">
        <f>'Cal_Weeks'!B75</f>
        <v/>
      </c>
      <c r="BX4" s="10">
        <f>'Cal_Weeks'!B76</f>
        <v/>
      </c>
      <c r="BY4" s="10">
        <f>'Cal_Weeks'!B77</f>
        <v/>
      </c>
      <c r="BZ4" s="10">
        <f>'Cal_Weeks'!B78</f>
        <v/>
      </c>
      <c r="CA4" s="10">
        <f>'Cal_Weeks'!B79</f>
        <v/>
      </c>
      <c r="CB4" s="10">
        <f>'Cal_Weeks'!B80</f>
        <v/>
      </c>
      <c r="CC4" s="10">
        <f>'Cal_Weeks'!B81</f>
        <v/>
      </c>
      <c r="CD4" s="10">
        <f>'Cal_Weeks'!B82</f>
        <v/>
      </c>
      <c r="CE4" s="10">
        <f>'Cal_Weeks'!B83</f>
        <v/>
      </c>
      <c r="CF4" s="10">
        <f>'Cal_Weeks'!B84</f>
        <v/>
      </c>
      <c r="CG4" s="10">
        <f>'Cal_Weeks'!B85</f>
        <v/>
      </c>
      <c r="CH4" s="10">
        <f>'Cal_Weeks'!B86</f>
        <v/>
      </c>
      <c r="CI4" s="10">
        <f>'Cal_Weeks'!B87</f>
        <v/>
      </c>
      <c r="CJ4" s="10">
        <f>'Cal_Weeks'!B88</f>
        <v/>
      </c>
      <c r="CK4" s="10">
        <f>'Cal_Weeks'!B89</f>
        <v/>
      </c>
      <c r="CL4" s="10">
        <f>'Cal_Weeks'!B90</f>
        <v/>
      </c>
      <c r="CM4" s="10">
        <f>'Cal_Weeks'!B91</f>
        <v/>
      </c>
      <c r="CN4" s="10">
        <f>'Cal_Weeks'!B92</f>
        <v/>
      </c>
      <c r="CO4" s="10">
        <f>'Cal_Weeks'!B93</f>
        <v/>
      </c>
      <c r="CP4" s="10">
        <f>'Cal_Weeks'!B94</f>
        <v/>
      </c>
      <c r="CQ4" s="10">
        <f>'Cal_Weeks'!B95</f>
        <v/>
      </c>
      <c r="CR4" s="10">
        <f>'Cal_Weeks'!B96</f>
        <v/>
      </c>
      <c r="CS4" s="10">
        <f>'Cal_Weeks'!B97</f>
        <v/>
      </c>
      <c r="CT4" s="10">
        <f>'Cal_Weeks'!B98</f>
        <v/>
      </c>
      <c r="CU4" s="10">
        <f>'Cal_Weeks'!B99</f>
        <v/>
      </c>
      <c r="CV4" s="10">
        <f>'Cal_Weeks'!B100</f>
        <v/>
      </c>
      <c r="CW4" s="10">
        <f>'Cal_Weeks'!B101</f>
        <v/>
      </c>
      <c r="CX4" s="10">
        <f>'Cal_Weeks'!B102</f>
        <v/>
      </c>
      <c r="CY4" s="10">
        <f>'Cal_Weeks'!B103</f>
        <v/>
      </c>
      <c r="CZ4" s="10">
        <f>'Cal_Weeks'!B104</f>
        <v/>
      </c>
      <c r="DA4" s="10">
        <f>'Cal_Weeks'!B105</f>
        <v/>
      </c>
      <c r="DB4" s="10">
        <f>'Cal_Weeks'!B106</f>
        <v/>
      </c>
      <c r="DC4" s="10">
        <f>'Cal_Weeks'!B107</f>
        <v/>
      </c>
    </row>
    <row r="5">
      <c r="A5" s="9" t="n"/>
      <c r="B5" s="9" t="n"/>
      <c r="C5" s="9" t="n"/>
      <c r="D5" s="9">
        <f>'Cal_Weeks'!D4</f>
        <v/>
      </c>
      <c r="E5" s="9">
        <f>'Cal_Weeks'!D5</f>
        <v/>
      </c>
      <c r="F5" s="9">
        <f>'Cal_Weeks'!D6</f>
        <v/>
      </c>
      <c r="G5" s="9">
        <f>'Cal_Weeks'!D7</f>
        <v/>
      </c>
      <c r="H5" s="9">
        <f>'Cal_Weeks'!D8</f>
        <v/>
      </c>
      <c r="I5" s="9">
        <f>'Cal_Weeks'!D9</f>
        <v/>
      </c>
      <c r="J5" s="9">
        <f>'Cal_Weeks'!D10</f>
        <v/>
      </c>
      <c r="K5" s="9">
        <f>'Cal_Weeks'!D11</f>
        <v/>
      </c>
      <c r="L5" s="9">
        <f>'Cal_Weeks'!D12</f>
        <v/>
      </c>
      <c r="M5" s="9">
        <f>'Cal_Weeks'!D13</f>
        <v/>
      </c>
      <c r="N5" s="9">
        <f>'Cal_Weeks'!D14</f>
        <v/>
      </c>
      <c r="O5" s="9">
        <f>'Cal_Weeks'!D15</f>
        <v/>
      </c>
      <c r="P5" s="9">
        <f>'Cal_Weeks'!D16</f>
        <v/>
      </c>
      <c r="Q5" s="9">
        <f>'Cal_Weeks'!D17</f>
        <v/>
      </c>
      <c r="R5" s="9">
        <f>'Cal_Weeks'!D18</f>
        <v/>
      </c>
      <c r="S5" s="9">
        <f>'Cal_Weeks'!D19</f>
        <v/>
      </c>
      <c r="T5" s="9">
        <f>'Cal_Weeks'!D20</f>
        <v/>
      </c>
      <c r="U5" s="9">
        <f>'Cal_Weeks'!D21</f>
        <v/>
      </c>
      <c r="V5" s="9">
        <f>'Cal_Weeks'!D22</f>
        <v/>
      </c>
      <c r="W5" s="9">
        <f>'Cal_Weeks'!D23</f>
        <v/>
      </c>
      <c r="X5" s="9">
        <f>'Cal_Weeks'!D24</f>
        <v/>
      </c>
      <c r="Y5" s="9">
        <f>'Cal_Weeks'!D25</f>
        <v/>
      </c>
      <c r="Z5" s="9">
        <f>'Cal_Weeks'!D26</f>
        <v/>
      </c>
      <c r="AA5" s="9">
        <f>'Cal_Weeks'!D27</f>
        <v/>
      </c>
      <c r="AB5" s="9">
        <f>'Cal_Weeks'!D28</f>
        <v/>
      </c>
      <c r="AC5" s="9">
        <f>'Cal_Weeks'!D29</f>
        <v/>
      </c>
      <c r="AD5" s="9">
        <f>'Cal_Weeks'!D30</f>
        <v/>
      </c>
      <c r="AE5" s="9">
        <f>'Cal_Weeks'!D31</f>
        <v/>
      </c>
      <c r="AF5" s="9">
        <f>'Cal_Weeks'!D32</f>
        <v/>
      </c>
      <c r="AG5" s="9">
        <f>'Cal_Weeks'!D33</f>
        <v/>
      </c>
      <c r="AH5" s="9">
        <f>'Cal_Weeks'!D34</f>
        <v/>
      </c>
      <c r="AI5" s="9">
        <f>'Cal_Weeks'!D35</f>
        <v/>
      </c>
      <c r="AJ5" s="9">
        <f>'Cal_Weeks'!D36</f>
        <v/>
      </c>
      <c r="AK5" s="9">
        <f>'Cal_Weeks'!D37</f>
        <v/>
      </c>
      <c r="AL5" s="9">
        <f>'Cal_Weeks'!D38</f>
        <v/>
      </c>
      <c r="AM5" s="9">
        <f>'Cal_Weeks'!D39</f>
        <v/>
      </c>
      <c r="AN5" s="9">
        <f>'Cal_Weeks'!D40</f>
        <v/>
      </c>
      <c r="AO5" s="9">
        <f>'Cal_Weeks'!D41</f>
        <v/>
      </c>
      <c r="AP5" s="9">
        <f>'Cal_Weeks'!D42</f>
        <v/>
      </c>
      <c r="AQ5" s="9">
        <f>'Cal_Weeks'!D43</f>
        <v/>
      </c>
      <c r="AR5" s="9">
        <f>'Cal_Weeks'!D44</f>
        <v/>
      </c>
      <c r="AS5" s="9">
        <f>'Cal_Weeks'!D45</f>
        <v/>
      </c>
      <c r="AT5" s="9">
        <f>'Cal_Weeks'!D46</f>
        <v/>
      </c>
      <c r="AU5" s="9">
        <f>'Cal_Weeks'!D47</f>
        <v/>
      </c>
      <c r="AV5" s="9">
        <f>'Cal_Weeks'!D48</f>
        <v/>
      </c>
      <c r="AW5" s="9">
        <f>'Cal_Weeks'!D49</f>
        <v/>
      </c>
      <c r="AX5" s="9">
        <f>'Cal_Weeks'!D50</f>
        <v/>
      </c>
      <c r="AY5" s="9">
        <f>'Cal_Weeks'!D51</f>
        <v/>
      </c>
      <c r="AZ5" s="9">
        <f>'Cal_Weeks'!D52</f>
        <v/>
      </c>
      <c r="BA5" s="9">
        <f>'Cal_Weeks'!D53</f>
        <v/>
      </c>
      <c r="BB5" s="9">
        <f>'Cal_Weeks'!D54</f>
        <v/>
      </c>
      <c r="BC5" s="9">
        <f>'Cal_Weeks'!D55</f>
        <v/>
      </c>
      <c r="BD5" s="9">
        <f>'Cal_Weeks'!D56</f>
        <v/>
      </c>
      <c r="BE5" s="9">
        <f>'Cal_Weeks'!D57</f>
        <v/>
      </c>
      <c r="BF5" s="9">
        <f>'Cal_Weeks'!D58</f>
        <v/>
      </c>
      <c r="BG5" s="9">
        <f>'Cal_Weeks'!D59</f>
        <v/>
      </c>
      <c r="BH5" s="9">
        <f>'Cal_Weeks'!D60</f>
        <v/>
      </c>
      <c r="BI5" s="9">
        <f>'Cal_Weeks'!D61</f>
        <v/>
      </c>
      <c r="BJ5" s="9">
        <f>'Cal_Weeks'!D62</f>
        <v/>
      </c>
      <c r="BK5" s="9">
        <f>'Cal_Weeks'!D63</f>
        <v/>
      </c>
      <c r="BL5" s="9">
        <f>'Cal_Weeks'!D64</f>
        <v/>
      </c>
      <c r="BM5" s="9">
        <f>'Cal_Weeks'!D65</f>
        <v/>
      </c>
      <c r="BN5" s="9">
        <f>'Cal_Weeks'!D66</f>
        <v/>
      </c>
      <c r="BO5" s="9">
        <f>'Cal_Weeks'!D67</f>
        <v/>
      </c>
      <c r="BP5" s="9">
        <f>'Cal_Weeks'!D68</f>
        <v/>
      </c>
      <c r="BQ5" s="9">
        <f>'Cal_Weeks'!D69</f>
        <v/>
      </c>
      <c r="BR5" s="9">
        <f>'Cal_Weeks'!D70</f>
        <v/>
      </c>
      <c r="BS5" s="9">
        <f>'Cal_Weeks'!D71</f>
        <v/>
      </c>
      <c r="BT5" s="9">
        <f>'Cal_Weeks'!D72</f>
        <v/>
      </c>
      <c r="BU5" s="9">
        <f>'Cal_Weeks'!D73</f>
        <v/>
      </c>
      <c r="BV5" s="9">
        <f>'Cal_Weeks'!D74</f>
        <v/>
      </c>
      <c r="BW5" s="9">
        <f>'Cal_Weeks'!D75</f>
        <v/>
      </c>
      <c r="BX5" s="9">
        <f>'Cal_Weeks'!D76</f>
        <v/>
      </c>
      <c r="BY5" s="9">
        <f>'Cal_Weeks'!D77</f>
        <v/>
      </c>
      <c r="BZ5" s="9">
        <f>'Cal_Weeks'!D78</f>
        <v/>
      </c>
      <c r="CA5" s="9">
        <f>'Cal_Weeks'!D79</f>
        <v/>
      </c>
      <c r="CB5" s="9">
        <f>'Cal_Weeks'!D80</f>
        <v/>
      </c>
      <c r="CC5" s="9">
        <f>'Cal_Weeks'!D81</f>
        <v/>
      </c>
      <c r="CD5" s="9">
        <f>'Cal_Weeks'!D82</f>
        <v/>
      </c>
      <c r="CE5" s="9">
        <f>'Cal_Weeks'!D83</f>
        <v/>
      </c>
      <c r="CF5" s="9">
        <f>'Cal_Weeks'!D84</f>
        <v/>
      </c>
      <c r="CG5" s="9">
        <f>'Cal_Weeks'!D85</f>
        <v/>
      </c>
      <c r="CH5" s="9">
        <f>'Cal_Weeks'!D86</f>
        <v/>
      </c>
      <c r="CI5" s="9">
        <f>'Cal_Weeks'!D87</f>
        <v/>
      </c>
      <c r="CJ5" s="9">
        <f>'Cal_Weeks'!D88</f>
        <v/>
      </c>
      <c r="CK5" s="9">
        <f>'Cal_Weeks'!D89</f>
        <v/>
      </c>
      <c r="CL5" s="9">
        <f>'Cal_Weeks'!D90</f>
        <v/>
      </c>
      <c r="CM5" s="9">
        <f>'Cal_Weeks'!D91</f>
        <v/>
      </c>
      <c r="CN5" s="9">
        <f>'Cal_Weeks'!D92</f>
        <v/>
      </c>
      <c r="CO5" s="9">
        <f>'Cal_Weeks'!D93</f>
        <v/>
      </c>
      <c r="CP5" s="9">
        <f>'Cal_Weeks'!D94</f>
        <v/>
      </c>
      <c r="CQ5" s="9">
        <f>'Cal_Weeks'!D95</f>
        <v/>
      </c>
      <c r="CR5" s="9">
        <f>'Cal_Weeks'!D96</f>
        <v/>
      </c>
      <c r="CS5" s="9">
        <f>'Cal_Weeks'!D97</f>
        <v/>
      </c>
      <c r="CT5" s="9">
        <f>'Cal_Weeks'!D98</f>
        <v/>
      </c>
      <c r="CU5" s="9">
        <f>'Cal_Weeks'!D99</f>
        <v/>
      </c>
      <c r="CV5" s="9">
        <f>'Cal_Weeks'!D100</f>
        <v/>
      </c>
      <c r="CW5" s="9">
        <f>'Cal_Weeks'!D101</f>
        <v/>
      </c>
      <c r="CX5" s="9">
        <f>'Cal_Weeks'!D102</f>
        <v/>
      </c>
      <c r="CY5" s="9">
        <f>'Cal_Weeks'!D103</f>
        <v/>
      </c>
      <c r="CZ5" s="9">
        <f>'Cal_Weeks'!D104</f>
        <v/>
      </c>
      <c r="DA5" s="9">
        <f>'Cal_Weeks'!D105</f>
        <v/>
      </c>
      <c r="DB5" s="9">
        <f>'Cal_Weeks'!D106</f>
        <v/>
      </c>
      <c r="DC5" s="9">
        <f>'Cal_Weeks'!D107</f>
        <v/>
      </c>
    </row>
    <row r="6">
      <c r="A6" s="8" t="inlineStr">
        <is>
          <t>Part Name</t>
        </is>
      </c>
      <c r="B6" s="8" t="inlineStr">
        <is>
          <t>項目</t>
        </is>
      </c>
      <c r="C6" s="8" t="inlineStr">
        <is>
          <t>1バッチ使用量(kg)</t>
        </is>
      </c>
      <c r="D6" s="8">
        <f>'Cal_Weeks'!E4</f>
        <v/>
      </c>
      <c r="E6" s="8">
        <f>'Cal_Weeks'!E5</f>
        <v/>
      </c>
      <c r="F6" s="8">
        <f>'Cal_Weeks'!E6</f>
        <v/>
      </c>
      <c r="G6" s="8">
        <f>'Cal_Weeks'!E7</f>
        <v/>
      </c>
      <c r="H6" s="8">
        <f>'Cal_Weeks'!E8</f>
        <v/>
      </c>
      <c r="I6" s="8">
        <f>'Cal_Weeks'!E9</f>
        <v/>
      </c>
      <c r="J6" s="8">
        <f>'Cal_Weeks'!E10</f>
        <v/>
      </c>
      <c r="K6" s="8">
        <f>'Cal_Weeks'!E11</f>
        <v/>
      </c>
      <c r="L6" s="8">
        <f>'Cal_Weeks'!E12</f>
        <v/>
      </c>
      <c r="M6" s="8">
        <f>'Cal_Weeks'!E13</f>
        <v/>
      </c>
      <c r="N6" s="8">
        <f>'Cal_Weeks'!E14</f>
        <v/>
      </c>
      <c r="O6" s="8">
        <f>'Cal_Weeks'!E15</f>
        <v/>
      </c>
      <c r="P6" s="8">
        <f>'Cal_Weeks'!E16</f>
        <v/>
      </c>
      <c r="Q6" s="8">
        <f>'Cal_Weeks'!E17</f>
        <v/>
      </c>
      <c r="R6" s="8">
        <f>'Cal_Weeks'!E18</f>
        <v/>
      </c>
      <c r="S6" s="8">
        <f>'Cal_Weeks'!E19</f>
        <v/>
      </c>
      <c r="T6" s="8">
        <f>'Cal_Weeks'!E20</f>
        <v/>
      </c>
      <c r="U6" s="8">
        <f>'Cal_Weeks'!E21</f>
        <v/>
      </c>
      <c r="V6" s="8">
        <f>'Cal_Weeks'!E22</f>
        <v/>
      </c>
      <c r="W6" s="8">
        <f>'Cal_Weeks'!E23</f>
        <v/>
      </c>
      <c r="X6" s="8">
        <f>'Cal_Weeks'!E24</f>
        <v/>
      </c>
      <c r="Y6" s="8">
        <f>'Cal_Weeks'!E25</f>
        <v/>
      </c>
      <c r="Z6" s="8">
        <f>'Cal_Weeks'!E26</f>
        <v/>
      </c>
      <c r="AA6" s="8">
        <f>'Cal_Weeks'!E27</f>
        <v/>
      </c>
      <c r="AB6" s="8">
        <f>'Cal_Weeks'!E28</f>
        <v/>
      </c>
      <c r="AC6" s="8">
        <f>'Cal_Weeks'!E29</f>
        <v/>
      </c>
      <c r="AD6" s="8">
        <f>'Cal_Weeks'!E30</f>
        <v/>
      </c>
      <c r="AE6" s="8">
        <f>'Cal_Weeks'!E31</f>
        <v/>
      </c>
      <c r="AF6" s="8">
        <f>'Cal_Weeks'!E32</f>
        <v/>
      </c>
      <c r="AG6" s="8">
        <f>'Cal_Weeks'!E33</f>
        <v/>
      </c>
      <c r="AH6" s="8">
        <f>'Cal_Weeks'!E34</f>
        <v/>
      </c>
      <c r="AI6" s="8">
        <f>'Cal_Weeks'!E35</f>
        <v/>
      </c>
      <c r="AJ6" s="8">
        <f>'Cal_Weeks'!E36</f>
        <v/>
      </c>
      <c r="AK6" s="8">
        <f>'Cal_Weeks'!E37</f>
        <v/>
      </c>
      <c r="AL6" s="8">
        <f>'Cal_Weeks'!E38</f>
        <v/>
      </c>
      <c r="AM6" s="8">
        <f>'Cal_Weeks'!E39</f>
        <v/>
      </c>
      <c r="AN6" s="8">
        <f>'Cal_Weeks'!E40</f>
        <v/>
      </c>
      <c r="AO6" s="8">
        <f>'Cal_Weeks'!E41</f>
        <v/>
      </c>
      <c r="AP6" s="8">
        <f>'Cal_Weeks'!E42</f>
        <v/>
      </c>
      <c r="AQ6" s="8">
        <f>'Cal_Weeks'!E43</f>
        <v/>
      </c>
      <c r="AR6" s="8">
        <f>'Cal_Weeks'!E44</f>
        <v/>
      </c>
      <c r="AS6" s="8">
        <f>'Cal_Weeks'!E45</f>
        <v/>
      </c>
      <c r="AT6" s="8">
        <f>'Cal_Weeks'!E46</f>
        <v/>
      </c>
      <c r="AU6" s="8">
        <f>'Cal_Weeks'!E47</f>
        <v/>
      </c>
      <c r="AV6" s="8">
        <f>'Cal_Weeks'!E48</f>
        <v/>
      </c>
      <c r="AW6" s="8">
        <f>'Cal_Weeks'!E49</f>
        <v/>
      </c>
      <c r="AX6" s="8">
        <f>'Cal_Weeks'!E50</f>
        <v/>
      </c>
      <c r="AY6" s="8">
        <f>'Cal_Weeks'!E51</f>
        <v/>
      </c>
      <c r="AZ6" s="8">
        <f>'Cal_Weeks'!E52</f>
        <v/>
      </c>
      <c r="BA6" s="8">
        <f>'Cal_Weeks'!E53</f>
        <v/>
      </c>
      <c r="BB6" s="8">
        <f>'Cal_Weeks'!E54</f>
        <v/>
      </c>
      <c r="BC6" s="8">
        <f>'Cal_Weeks'!E55</f>
        <v/>
      </c>
      <c r="BD6" s="8">
        <f>'Cal_Weeks'!E56</f>
        <v/>
      </c>
      <c r="BE6" s="8">
        <f>'Cal_Weeks'!E57</f>
        <v/>
      </c>
      <c r="BF6" s="8">
        <f>'Cal_Weeks'!E58</f>
        <v/>
      </c>
      <c r="BG6" s="8">
        <f>'Cal_Weeks'!E59</f>
        <v/>
      </c>
      <c r="BH6" s="8">
        <f>'Cal_Weeks'!E60</f>
        <v/>
      </c>
      <c r="BI6" s="8">
        <f>'Cal_Weeks'!E61</f>
        <v/>
      </c>
      <c r="BJ6" s="8">
        <f>'Cal_Weeks'!E62</f>
        <v/>
      </c>
      <c r="BK6" s="8">
        <f>'Cal_Weeks'!E63</f>
        <v/>
      </c>
      <c r="BL6" s="8">
        <f>'Cal_Weeks'!E64</f>
        <v/>
      </c>
      <c r="BM6" s="8">
        <f>'Cal_Weeks'!E65</f>
        <v/>
      </c>
      <c r="BN6" s="8">
        <f>'Cal_Weeks'!E66</f>
        <v/>
      </c>
      <c r="BO6" s="8">
        <f>'Cal_Weeks'!E67</f>
        <v/>
      </c>
      <c r="BP6" s="8">
        <f>'Cal_Weeks'!E68</f>
        <v/>
      </c>
      <c r="BQ6" s="8">
        <f>'Cal_Weeks'!E69</f>
        <v/>
      </c>
      <c r="BR6" s="8">
        <f>'Cal_Weeks'!E70</f>
        <v/>
      </c>
      <c r="BS6" s="8">
        <f>'Cal_Weeks'!E71</f>
        <v/>
      </c>
      <c r="BT6" s="8">
        <f>'Cal_Weeks'!E72</f>
        <v/>
      </c>
      <c r="BU6" s="8">
        <f>'Cal_Weeks'!E73</f>
        <v/>
      </c>
      <c r="BV6" s="8">
        <f>'Cal_Weeks'!E74</f>
        <v/>
      </c>
      <c r="BW6" s="8">
        <f>'Cal_Weeks'!E75</f>
        <v/>
      </c>
      <c r="BX6" s="8">
        <f>'Cal_Weeks'!E76</f>
        <v/>
      </c>
      <c r="BY6" s="8">
        <f>'Cal_Weeks'!E77</f>
        <v/>
      </c>
      <c r="BZ6" s="8">
        <f>'Cal_Weeks'!E78</f>
        <v/>
      </c>
      <c r="CA6" s="8">
        <f>'Cal_Weeks'!E79</f>
        <v/>
      </c>
      <c r="CB6" s="8">
        <f>'Cal_Weeks'!E80</f>
        <v/>
      </c>
      <c r="CC6" s="8">
        <f>'Cal_Weeks'!E81</f>
        <v/>
      </c>
      <c r="CD6" s="8">
        <f>'Cal_Weeks'!E82</f>
        <v/>
      </c>
      <c r="CE6" s="8">
        <f>'Cal_Weeks'!E83</f>
        <v/>
      </c>
      <c r="CF6" s="8">
        <f>'Cal_Weeks'!E84</f>
        <v/>
      </c>
      <c r="CG6" s="8">
        <f>'Cal_Weeks'!E85</f>
        <v/>
      </c>
      <c r="CH6" s="8">
        <f>'Cal_Weeks'!E86</f>
        <v/>
      </c>
      <c r="CI6" s="8">
        <f>'Cal_Weeks'!E87</f>
        <v/>
      </c>
      <c r="CJ6" s="8">
        <f>'Cal_Weeks'!E88</f>
        <v/>
      </c>
      <c r="CK6" s="8">
        <f>'Cal_Weeks'!E89</f>
        <v/>
      </c>
      <c r="CL6" s="8">
        <f>'Cal_Weeks'!E90</f>
        <v/>
      </c>
      <c r="CM6" s="8">
        <f>'Cal_Weeks'!E91</f>
        <v/>
      </c>
      <c r="CN6" s="8">
        <f>'Cal_Weeks'!E92</f>
        <v/>
      </c>
      <c r="CO6" s="8">
        <f>'Cal_Weeks'!E93</f>
        <v/>
      </c>
      <c r="CP6" s="8">
        <f>'Cal_Weeks'!E94</f>
        <v/>
      </c>
      <c r="CQ6" s="8">
        <f>'Cal_Weeks'!E95</f>
        <v/>
      </c>
      <c r="CR6" s="8">
        <f>'Cal_Weeks'!E96</f>
        <v/>
      </c>
      <c r="CS6" s="8">
        <f>'Cal_Weeks'!E97</f>
        <v/>
      </c>
      <c r="CT6" s="8">
        <f>'Cal_Weeks'!E98</f>
        <v/>
      </c>
      <c r="CU6" s="8">
        <f>'Cal_Weeks'!E99</f>
        <v/>
      </c>
      <c r="CV6" s="8">
        <f>'Cal_Weeks'!E100</f>
        <v/>
      </c>
      <c r="CW6" s="8">
        <f>'Cal_Weeks'!E101</f>
        <v/>
      </c>
      <c r="CX6" s="8">
        <f>'Cal_Weeks'!E102</f>
        <v/>
      </c>
      <c r="CY6" s="8">
        <f>'Cal_Weeks'!E103</f>
        <v/>
      </c>
      <c r="CZ6" s="8">
        <f>'Cal_Weeks'!E104</f>
        <v/>
      </c>
      <c r="DA6" s="8">
        <f>'Cal_Weeks'!E105</f>
        <v/>
      </c>
      <c r="DB6" s="8">
        <f>'Cal_Weeks'!E106</f>
        <v/>
      </c>
      <c r="DC6" s="8">
        <f>'Cal_Weeks'!E107</f>
        <v/>
      </c>
    </row>
    <row r="7">
      <c r="A7" s="14" t="inlineStr">
        <is>
          <t>CHEM-1250</t>
        </is>
      </c>
      <c r="B7" s="14" t="inlineStr">
        <is>
          <t>Barium Sulfate (B-55)</t>
        </is>
      </c>
      <c r="C7" s="15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  <c r="Y7" s="14" t="n"/>
      <c r="Z7" s="14" t="n"/>
      <c r="AA7" s="14" t="n"/>
      <c r="AB7" s="14" t="n"/>
      <c r="AC7" s="14" t="n"/>
      <c r="AD7" s="14" t="n"/>
      <c r="AE7" s="14" t="n"/>
      <c r="AF7" s="14" t="n"/>
      <c r="AG7" s="14" t="n"/>
      <c r="AH7" s="14" t="n"/>
      <c r="AI7" s="14" t="n"/>
      <c r="AJ7" s="14" t="n"/>
      <c r="AK7" s="14" t="n"/>
      <c r="AL7" s="14" t="n"/>
      <c r="AM7" s="14" t="n"/>
      <c r="AN7" s="14" t="n"/>
      <c r="AO7" s="14" t="n"/>
      <c r="AP7" s="14" t="n"/>
      <c r="AQ7" s="14" t="n"/>
      <c r="AR7" s="14" t="n"/>
      <c r="AS7" s="14" t="n"/>
      <c r="AT7" s="14" t="n"/>
      <c r="AU7" s="14" t="n"/>
      <c r="AV7" s="14" t="n"/>
      <c r="AW7" s="14" t="n"/>
      <c r="AX7" s="14" t="n"/>
      <c r="AY7" s="14" t="n"/>
      <c r="AZ7" s="14" t="n"/>
      <c r="BA7" s="14" t="n"/>
      <c r="BB7" s="14" t="n"/>
      <c r="BC7" s="14" t="n"/>
      <c r="BD7" s="14" t="n"/>
      <c r="BE7" s="14" t="n"/>
      <c r="BF7" s="14" t="n"/>
      <c r="BG7" s="14" t="n"/>
      <c r="BH7" s="14" t="n"/>
      <c r="BI7" s="14" t="n"/>
      <c r="BJ7" s="14" t="n"/>
      <c r="BK7" s="14" t="n"/>
      <c r="BL7" s="14" t="n"/>
      <c r="BM7" s="14" t="n"/>
      <c r="BN7" s="14" t="n"/>
      <c r="BO7" s="14" t="n"/>
      <c r="BP7" s="14" t="n"/>
      <c r="BQ7" s="14" t="n"/>
      <c r="BR7" s="14" t="n"/>
      <c r="BS7" s="14" t="n"/>
      <c r="BT7" s="14" t="n"/>
      <c r="BU7" s="14" t="n"/>
      <c r="BV7" s="14" t="n"/>
      <c r="BW7" s="14" t="n"/>
      <c r="BX7" s="14" t="n"/>
      <c r="BY7" s="14" t="n"/>
      <c r="BZ7" s="14" t="n"/>
      <c r="CA7" s="14" t="n"/>
      <c r="CB7" s="14" t="n"/>
      <c r="CC7" s="14" t="n"/>
      <c r="CD7" s="14" t="n"/>
      <c r="CE7" s="14" t="n"/>
      <c r="CF7" s="14" t="n"/>
      <c r="CG7" s="14" t="n"/>
      <c r="CH7" s="14" t="n"/>
      <c r="CI7" s="14" t="n"/>
      <c r="CJ7" s="14" t="n"/>
      <c r="CK7" s="14" t="n"/>
      <c r="CL7" s="14" t="n"/>
      <c r="CM7" s="14" t="n"/>
      <c r="CN7" s="14" t="n"/>
      <c r="CO7" s="14" t="n"/>
      <c r="CP7" s="14" t="n"/>
      <c r="CQ7" s="14" t="n"/>
      <c r="CR7" s="14" t="n"/>
      <c r="CS7" s="14" t="n"/>
      <c r="CT7" s="14" t="n"/>
      <c r="CU7" s="14" t="n"/>
      <c r="CV7" s="14" t="n"/>
      <c r="CW7" s="14" t="n"/>
      <c r="CX7" s="14" t="n"/>
      <c r="CY7" s="14" t="n"/>
      <c r="CZ7" s="14" t="n"/>
      <c r="DA7" s="14" t="n"/>
      <c r="DB7" s="14" t="n"/>
      <c r="DC7" s="14" t="n"/>
    </row>
    <row r="8">
      <c r="B8" t="inlineStr">
        <is>
          <t>TSP-049</t>
        </is>
      </c>
      <c r="C8" t="inlineStr">
        <is>
          <t>No. of batches</t>
        </is>
      </c>
      <c r="D8">
        <f>IFERROR(INDEX(PP_Grid[#Data],$DD8,2),0)</f>
        <v/>
      </c>
      <c r="E8">
        <f>IFERROR(INDEX(PP_Grid[#Data],$DD8,3),0)</f>
        <v/>
      </c>
      <c r="F8">
        <f>IFERROR(INDEX(PP_Grid[#Data],$DD8,4),0)</f>
        <v/>
      </c>
      <c r="G8">
        <f>IFERROR(INDEX(PP_Grid[#Data],$DD8,5),0)</f>
        <v/>
      </c>
      <c r="H8">
        <f>IFERROR(INDEX(PP_Grid[#Data],$DD8,6),0)</f>
        <v/>
      </c>
      <c r="I8">
        <f>IFERROR(INDEX(PP_Grid[#Data],$DD8,7),0)</f>
        <v/>
      </c>
      <c r="J8">
        <f>IFERROR(INDEX(PP_Grid[#Data],$DD8,8),0)</f>
        <v/>
      </c>
      <c r="K8">
        <f>IFERROR(INDEX(PP_Grid[#Data],$DD8,9),0)</f>
        <v/>
      </c>
      <c r="L8">
        <f>IFERROR(INDEX(PP_Grid[#Data],$DD8,10),0)</f>
        <v/>
      </c>
      <c r="M8">
        <f>IFERROR(INDEX(PP_Grid[#Data],$DD8,11),0)</f>
        <v/>
      </c>
      <c r="N8">
        <f>IFERROR(INDEX(PP_Grid[#Data],$DD8,12),0)</f>
        <v/>
      </c>
      <c r="O8">
        <f>IFERROR(INDEX(PP_Grid[#Data],$DD8,13),0)</f>
        <v/>
      </c>
      <c r="P8">
        <f>IFERROR(INDEX(PP_Grid[#Data],$DD8,14),0)</f>
        <v/>
      </c>
      <c r="Q8">
        <f>IFERROR(INDEX(PP_Grid[#Data],$DD8,15),0)</f>
        <v/>
      </c>
      <c r="R8">
        <f>IFERROR(INDEX(PP_Grid[#Data],$DD8,16),0)</f>
        <v/>
      </c>
      <c r="S8">
        <f>IFERROR(INDEX(PP_Grid[#Data],$DD8,17),0)</f>
        <v/>
      </c>
      <c r="T8">
        <f>IFERROR(INDEX(PP_Grid[#Data],$DD8,18),0)</f>
        <v/>
      </c>
      <c r="U8">
        <f>IFERROR(INDEX(PP_Grid[#Data],$DD8,19),0)</f>
        <v/>
      </c>
      <c r="V8">
        <f>IFERROR(INDEX(PP_Grid[#Data],$DD8,20),0)</f>
        <v/>
      </c>
      <c r="W8">
        <f>IFERROR(INDEX(PP_Grid[#Data],$DD8,21),0)</f>
        <v/>
      </c>
      <c r="X8">
        <f>IFERROR(INDEX(PP_Grid[#Data],$DD8,22),0)</f>
        <v/>
      </c>
      <c r="Y8">
        <f>IFERROR(INDEX(PP_Grid[#Data],$DD8,23),0)</f>
        <v/>
      </c>
      <c r="Z8">
        <f>IFERROR(INDEX(PP_Grid[#Data],$DD8,24),0)</f>
        <v/>
      </c>
      <c r="AA8">
        <f>IFERROR(INDEX(PP_Grid[#Data],$DD8,25),0)</f>
        <v/>
      </c>
      <c r="AB8">
        <f>IFERROR(INDEX(PP_Grid[#Data],$DD8,26),0)</f>
        <v/>
      </c>
      <c r="AC8">
        <f>IFERROR(INDEX(PP_Grid[#Data],$DD8,27),0)</f>
        <v/>
      </c>
      <c r="AD8">
        <f>IFERROR(INDEX(PP_Grid[#Data],$DD8,28),0)</f>
        <v/>
      </c>
      <c r="AE8">
        <f>IFERROR(INDEX(PP_Grid[#Data],$DD8,29),0)</f>
        <v/>
      </c>
      <c r="AF8">
        <f>IFERROR(INDEX(PP_Grid[#Data],$DD8,30),0)</f>
        <v/>
      </c>
      <c r="AG8">
        <f>IFERROR(INDEX(PP_Grid[#Data],$DD8,31),0)</f>
        <v/>
      </c>
      <c r="AH8">
        <f>IFERROR(INDEX(PP_Grid[#Data],$DD8,32),0)</f>
        <v/>
      </c>
      <c r="AI8">
        <f>IFERROR(INDEX(PP_Grid[#Data],$DD8,33),0)</f>
        <v/>
      </c>
      <c r="AJ8">
        <f>IFERROR(INDEX(PP_Grid[#Data],$DD8,34),0)</f>
        <v/>
      </c>
      <c r="AK8">
        <f>IFERROR(INDEX(PP_Grid[#Data],$DD8,35),0)</f>
        <v/>
      </c>
      <c r="AL8">
        <f>IFERROR(INDEX(PP_Grid[#Data],$DD8,36),0)</f>
        <v/>
      </c>
      <c r="AM8">
        <f>IFERROR(INDEX(PP_Grid[#Data],$DD8,37),0)</f>
        <v/>
      </c>
      <c r="AN8">
        <f>IFERROR(INDEX(PP_Grid[#Data],$DD8,38),0)</f>
        <v/>
      </c>
      <c r="AO8">
        <f>IFERROR(INDEX(PP_Grid[#Data],$DD8,39),0)</f>
        <v/>
      </c>
      <c r="AP8">
        <f>IFERROR(INDEX(PP_Grid[#Data],$DD8,40),0)</f>
        <v/>
      </c>
      <c r="AQ8">
        <f>IFERROR(INDEX(PP_Grid[#Data],$DD8,41),0)</f>
        <v/>
      </c>
      <c r="AR8">
        <f>IFERROR(INDEX(PP_Grid[#Data],$DD8,42),0)</f>
        <v/>
      </c>
      <c r="AS8">
        <f>IFERROR(INDEX(PP_Grid[#Data],$DD8,43),0)</f>
        <v/>
      </c>
      <c r="AT8">
        <f>IFERROR(INDEX(PP_Grid[#Data],$DD8,44),0)</f>
        <v/>
      </c>
      <c r="AU8">
        <f>IFERROR(INDEX(PP_Grid[#Data],$DD8,45),0)</f>
        <v/>
      </c>
      <c r="AV8">
        <f>IFERROR(INDEX(PP_Grid[#Data],$DD8,46),0)</f>
        <v/>
      </c>
      <c r="AW8">
        <f>IFERROR(INDEX(PP_Grid[#Data],$DD8,47),0)</f>
        <v/>
      </c>
      <c r="AX8">
        <f>IFERROR(INDEX(PP_Grid[#Data],$DD8,48),0)</f>
        <v/>
      </c>
      <c r="AY8">
        <f>IFERROR(INDEX(PP_Grid[#Data],$DD8,49),0)</f>
        <v/>
      </c>
      <c r="AZ8">
        <f>IFERROR(INDEX(PP_Grid[#Data],$DD8,50),0)</f>
        <v/>
      </c>
      <c r="BA8">
        <f>IFERROR(INDEX(PP_Grid[#Data],$DD8,51),0)</f>
        <v/>
      </c>
      <c r="BB8">
        <f>IFERROR(INDEX(PP_Grid[#Data],$DD8,52),0)</f>
        <v/>
      </c>
      <c r="BC8">
        <f>IFERROR(INDEX(PP_Grid[#Data],$DD8,53),0)</f>
        <v/>
      </c>
      <c r="BD8">
        <f>IFERROR(INDEX(PP_Grid[#Data],$DD8,54),0)</f>
        <v/>
      </c>
      <c r="BE8">
        <f>IFERROR(INDEX(PP_Grid[#Data],$DD8,55),0)</f>
        <v/>
      </c>
      <c r="BF8">
        <f>IFERROR(INDEX(PP_Grid[#Data],$DD8,56),0)</f>
        <v/>
      </c>
      <c r="BG8">
        <f>IFERROR(INDEX(PP_Grid[#Data],$DD8,57),0)</f>
        <v/>
      </c>
      <c r="BH8">
        <f>IFERROR(INDEX(PP_Grid[#Data],$DD8,58),0)</f>
        <v/>
      </c>
      <c r="BI8">
        <f>IFERROR(INDEX(PP_Grid[#Data],$DD8,59),0)</f>
        <v/>
      </c>
      <c r="BJ8">
        <f>IFERROR(INDEX(PP_Grid[#Data],$DD8,60),0)</f>
        <v/>
      </c>
      <c r="BK8">
        <f>IFERROR(INDEX(PP_Grid[#Data],$DD8,61),0)</f>
        <v/>
      </c>
      <c r="BL8">
        <f>IFERROR(INDEX(PP_Grid[#Data],$DD8,62),0)</f>
        <v/>
      </c>
      <c r="BM8">
        <f>IFERROR(INDEX(PP_Grid[#Data],$DD8,63),0)</f>
        <v/>
      </c>
      <c r="BN8">
        <f>IFERROR(INDEX(PP_Grid[#Data],$DD8,64),0)</f>
        <v/>
      </c>
      <c r="BO8">
        <f>IFERROR(INDEX(PP_Grid[#Data],$DD8,65),0)</f>
        <v/>
      </c>
      <c r="BP8">
        <f>IFERROR(INDEX(PP_Grid[#Data],$DD8,66),0)</f>
        <v/>
      </c>
      <c r="BQ8">
        <f>IFERROR(INDEX(PP_Grid[#Data],$DD8,67),0)</f>
        <v/>
      </c>
      <c r="BR8">
        <f>IFERROR(INDEX(PP_Grid[#Data],$DD8,68),0)</f>
        <v/>
      </c>
      <c r="BS8">
        <f>IFERROR(INDEX(PP_Grid[#Data],$DD8,69),0)</f>
        <v/>
      </c>
      <c r="BT8">
        <f>IFERROR(INDEX(PP_Grid[#Data],$DD8,70),0)</f>
        <v/>
      </c>
      <c r="BU8">
        <f>IFERROR(INDEX(PP_Grid[#Data],$DD8,71),0)</f>
        <v/>
      </c>
      <c r="BV8">
        <f>IFERROR(INDEX(PP_Grid[#Data],$DD8,72),0)</f>
        <v/>
      </c>
      <c r="BW8">
        <f>IFERROR(INDEX(PP_Grid[#Data],$DD8,73),0)</f>
        <v/>
      </c>
      <c r="BX8">
        <f>IFERROR(INDEX(PP_Grid[#Data],$DD8,74),0)</f>
        <v/>
      </c>
      <c r="BY8">
        <f>IFERROR(INDEX(PP_Grid[#Data],$DD8,75),0)</f>
        <v/>
      </c>
      <c r="BZ8">
        <f>IFERROR(INDEX(PP_Grid[#Data],$DD8,76),0)</f>
        <v/>
      </c>
      <c r="CA8">
        <f>IFERROR(INDEX(PP_Grid[#Data],$DD8,77),0)</f>
        <v/>
      </c>
      <c r="CB8">
        <f>IFERROR(INDEX(PP_Grid[#Data],$DD8,78),0)</f>
        <v/>
      </c>
      <c r="CC8">
        <f>IFERROR(INDEX(PP_Grid[#Data],$DD8,79),0)</f>
        <v/>
      </c>
      <c r="CD8">
        <f>IFERROR(INDEX(PP_Grid[#Data],$DD8,80),0)</f>
        <v/>
      </c>
      <c r="CE8">
        <f>IFERROR(INDEX(PP_Grid[#Data],$DD8,81),0)</f>
        <v/>
      </c>
      <c r="CF8">
        <f>IFERROR(INDEX(PP_Grid[#Data],$DD8,82),0)</f>
        <v/>
      </c>
      <c r="CG8">
        <f>IFERROR(INDEX(PP_Grid[#Data],$DD8,83),0)</f>
        <v/>
      </c>
      <c r="CH8">
        <f>IFERROR(INDEX(PP_Grid[#Data],$DD8,84),0)</f>
        <v/>
      </c>
      <c r="CI8">
        <f>IFERROR(INDEX(PP_Grid[#Data],$DD8,85),0)</f>
        <v/>
      </c>
      <c r="CJ8">
        <f>IFERROR(INDEX(PP_Grid[#Data],$DD8,86),0)</f>
        <v/>
      </c>
      <c r="CK8">
        <f>IFERROR(INDEX(PP_Grid[#Data],$DD8,87),0)</f>
        <v/>
      </c>
      <c r="CL8">
        <f>IFERROR(INDEX(PP_Grid[#Data],$DD8,88),0)</f>
        <v/>
      </c>
      <c r="CM8">
        <f>IFERROR(INDEX(PP_Grid[#Data],$DD8,89),0)</f>
        <v/>
      </c>
      <c r="CN8">
        <f>IFERROR(INDEX(PP_Grid[#Data],$DD8,90),0)</f>
        <v/>
      </c>
      <c r="CO8">
        <f>IFERROR(INDEX(PP_Grid[#Data],$DD8,91),0)</f>
        <v/>
      </c>
      <c r="CP8">
        <f>IFERROR(INDEX(PP_Grid[#Data],$DD8,92),0)</f>
        <v/>
      </c>
      <c r="CQ8">
        <f>IFERROR(INDEX(PP_Grid[#Data],$DD8,93),0)</f>
        <v/>
      </c>
      <c r="CR8">
        <f>IFERROR(INDEX(PP_Grid[#Data],$DD8,94),0)</f>
        <v/>
      </c>
      <c r="CS8">
        <f>IFERROR(INDEX(PP_Grid[#Data],$DD8,95),0)</f>
        <v/>
      </c>
      <c r="CT8">
        <f>IFERROR(INDEX(PP_Grid[#Data],$DD8,96),0)</f>
        <v/>
      </c>
      <c r="CU8">
        <f>IFERROR(INDEX(PP_Grid[#Data],$DD8,97),0)</f>
        <v/>
      </c>
      <c r="CV8">
        <f>IFERROR(INDEX(PP_Grid[#Data],$DD8,98),0)</f>
        <v/>
      </c>
      <c r="CW8">
        <f>IFERROR(INDEX(PP_Grid[#Data],$DD8,99),0)</f>
        <v/>
      </c>
      <c r="CX8">
        <f>IFERROR(INDEX(PP_Grid[#Data],$DD8,100),0)</f>
        <v/>
      </c>
      <c r="CY8">
        <f>IFERROR(INDEX(PP_Grid[#Data],$DD8,101),0)</f>
        <v/>
      </c>
      <c r="CZ8">
        <f>IFERROR(INDEX(PP_Grid[#Data],$DD8,102),0)</f>
        <v/>
      </c>
      <c r="DA8">
        <f>IFERROR(INDEX(PP_Grid[#Data],$DD8,103),0)</f>
        <v/>
      </c>
      <c r="DB8">
        <f>IFERROR(INDEX(PP_Grid[#Data],$DD8,104),0)</f>
        <v/>
      </c>
      <c r="DC8">
        <f>IFERROR(INDEX(PP_Grid[#Data],$DD8,105),0)</f>
        <v/>
      </c>
      <c r="DD8" s="7">
        <f>IFERROR(MATCH($B8,PP_Grid[Intermediate],0),99999)</f>
        <v/>
      </c>
    </row>
    <row r="9">
      <c r="B9" t="inlineStr">
        <is>
          <t>使用量(kg)</t>
        </is>
      </c>
      <c r="C9">
        <f>SUMIFS(M_BOM[RM_Qty_Per_Batch],M_BOM[Intermediate],$B8,M_BOM[Part Name],$A7)</f>
        <v/>
      </c>
      <c r="D9">
        <f>$C9*D8</f>
        <v/>
      </c>
      <c r="E9">
        <f>$C9*E8</f>
        <v/>
      </c>
      <c r="F9">
        <f>$C9*F8</f>
        <v/>
      </c>
      <c r="G9">
        <f>$C9*G8</f>
        <v/>
      </c>
      <c r="H9">
        <f>$C9*H8</f>
        <v/>
      </c>
      <c r="I9">
        <f>$C9*I8</f>
        <v/>
      </c>
      <c r="J9">
        <f>$C9*J8</f>
        <v/>
      </c>
      <c r="K9">
        <f>$C9*K8</f>
        <v/>
      </c>
      <c r="L9">
        <f>$C9*L8</f>
        <v/>
      </c>
      <c r="M9">
        <f>$C9*M8</f>
        <v/>
      </c>
      <c r="N9">
        <f>$C9*N8</f>
        <v/>
      </c>
      <c r="O9">
        <f>$C9*O8</f>
        <v/>
      </c>
      <c r="P9">
        <f>$C9*P8</f>
        <v/>
      </c>
      <c r="Q9">
        <f>$C9*Q8</f>
        <v/>
      </c>
      <c r="R9">
        <f>$C9*R8</f>
        <v/>
      </c>
      <c r="S9">
        <f>$C9*S8</f>
        <v/>
      </c>
      <c r="T9">
        <f>$C9*T8</f>
        <v/>
      </c>
      <c r="U9">
        <f>$C9*U8</f>
        <v/>
      </c>
      <c r="V9">
        <f>$C9*V8</f>
        <v/>
      </c>
      <c r="W9">
        <f>$C9*W8</f>
        <v/>
      </c>
      <c r="X9">
        <f>$C9*X8</f>
        <v/>
      </c>
      <c r="Y9">
        <f>$C9*Y8</f>
        <v/>
      </c>
      <c r="Z9">
        <f>$C9*Z8</f>
        <v/>
      </c>
      <c r="AA9">
        <f>$C9*AA8</f>
        <v/>
      </c>
      <c r="AB9">
        <f>$C9*AB8</f>
        <v/>
      </c>
      <c r="AC9">
        <f>$C9*AC8</f>
        <v/>
      </c>
      <c r="AD9">
        <f>$C9*AD8</f>
        <v/>
      </c>
      <c r="AE9">
        <f>$C9*AE8</f>
        <v/>
      </c>
      <c r="AF9">
        <f>$C9*AF8</f>
        <v/>
      </c>
      <c r="AG9">
        <f>$C9*AG8</f>
        <v/>
      </c>
      <c r="AH9">
        <f>$C9*AH8</f>
        <v/>
      </c>
      <c r="AI9">
        <f>$C9*AI8</f>
        <v/>
      </c>
      <c r="AJ9">
        <f>$C9*AJ8</f>
        <v/>
      </c>
      <c r="AK9">
        <f>$C9*AK8</f>
        <v/>
      </c>
      <c r="AL9">
        <f>$C9*AL8</f>
        <v/>
      </c>
      <c r="AM9">
        <f>$C9*AM8</f>
        <v/>
      </c>
      <c r="AN9">
        <f>$C9*AN8</f>
        <v/>
      </c>
      <c r="AO9">
        <f>$C9*AO8</f>
        <v/>
      </c>
      <c r="AP9">
        <f>$C9*AP8</f>
        <v/>
      </c>
      <c r="AQ9">
        <f>$C9*AQ8</f>
        <v/>
      </c>
      <c r="AR9">
        <f>$C9*AR8</f>
        <v/>
      </c>
      <c r="AS9">
        <f>$C9*AS8</f>
        <v/>
      </c>
      <c r="AT9">
        <f>$C9*AT8</f>
        <v/>
      </c>
      <c r="AU9">
        <f>$C9*AU8</f>
        <v/>
      </c>
      <c r="AV9">
        <f>$C9*AV8</f>
        <v/>
      </c>
      <c r="AW9">
        <f>$C9*AW8</f>
        <v/>
      </c>
      <c r="AX9">
        <f>$C9*AX8</f>
        <v/>
      </c>
      <c r="AY9">
        <f>$C9*AY8</f>
        <v/>
      </c>
      <c r="AZ9">
        <f>$C9*AZ8</f>
        <v/>
      </c>
      <c r="BA9">
        <f>$C9*BA8</f>
        <v/>
      </c>
      <c r="BB9">
        <f>$C9*BB8</f>
        <v/>
      </c>
      <c r="BC9">
        <f>$C9*BC8</f>
        <v/>
      </c>
      <c r="BD9">
        <f>$C9*BD8</f>
        <v/>
      </c>
      <c r="BE9">
        <f>$C9*BE8</f>
        <v/>
      </c>
      <c r="BF9">
        <f>$C9*BF8</f>
        <v/>
      </c>
      <c r="BG9">
        <f>$C9*BG8</f>
        <v/>
      </c>
      <c r="BH9">
        <f>$C9*BH8</f>
        <v/>
      </c>
      <c r="BI9">
        <f>$C9*BI8</f>
        <v/>
      </c>
      <c r="BJ9">
        <f>$C9*BJ8</f>
        <v/>
      </c>
      <c r="BK9">
        <f>$C9*BK8</f>
        <v/>
      </c>
      <c r="BL9">
        <f>$C9*BL8</f>
        <v/>
      </c>
      <c r="BM9">
        <f>$C9*BM8</f>
        <v/>
      </c>
      <c r="BN9">
        <f>$C9*BN8</f>
        <v/>
      </c>
      <c r="BO9">
        <f>$C9*BO8</f>
        <v/>
      </c>
      <c r="BP9">
        <f>$C9*BP8</f>
        <v/>
      </c>
      <c r="BQ9">
        <f>$C9*BQ8</f>
        <v/>
      </c>
      <c r="BR9">
        <f>$C9*BR8</f>
        <v/>
      </c>
      <c r="BS9">
        <f>$C9*BS8</f>
        <v/>
      </c>
      <c r="BT9">
        <f>$C9*BT8</f>
        <v/>
      </c>
      <c r="BU9">
        <f>$C9*BU8</f>
        <v/>
      </c>
      <c r="BV9">
        <f>$C9*BV8</f>
        <v/>
      </c>
      <c r="BW9">
        <f>$C9*BW8</f>
        <v/>
      </c>
      <c r="BX9">
        <f>$C9*BX8</f>
        <v/>
      </c>
      <c r="BY9">
        <f>$C9*BY8</f>
        <v/>
      </c>
      <c r="BZ9">
        <f>$C9*BZ8</f>
        <v/>
      </c>
      <c r="CA9">
        <f>$C9*CA8</f>
        <v/>
      </c>
      <c r="CB9">
        <f>$C9*CB8</f>
        <v/>
      </c>
      <c r="CC9">
        <f>$C9*CC8</f>
        <v/>
      </c>
      <c r="CD9">
        <f>$C9*CD8</f>
        <v/>
      </c>
      <c r="CE9">
        <f>$C9*CE8</f>
        <v/>
      </c>
      <c r="CF9">
        <f>$C9*CF8</f>
        <v/>
      </c>
      <c r="CG9">
        <f>$C9*CG8</f>
        <v/>
      </c>
      <c r="CH9">
        <f>$C9*CH8</f>
        <v/>
      </c>
      <c r="CI9">
        <f>$C9*CI8</f>
        <v/>
      </c>
      <c r="CJ9">
        <f>$C9*CJ8</f>
        <v/>
      </c>
      <c r="CK9">
        <f>$C9*CK8</f>
        <v/>
      </c>
      <c r="CL9">
        <f>$C9*CL8</f>
        <v/>
      </c>
      <c r="CM9">
        <f>$C9*CM8</f>
        <v/>
      </c>
      <c r="CN9">
        <f>$C9*CN8</f>
        <v/>
      </c>
      <c r="CO9">
        <f>$C9*CO8</f>
        <v/>
      </c>
      <c r="CP9">
        <f>$C9*CP8</f>
        <v/>
      </c>
      <c r="CQ9">
        <f>$C9*CQ8</f>
        <v/>
      </c>
      <c r="CR9">
        <f>$C9*CR8</f>
        <v/>
      </c>
      <c r="CS9">
        <f>$C9*CS8</f>
        <v/>
      </c>
      <c r="CT9">
        <f>$C9*CT8</f>
        <v/>
      </c>
      <c r="CU9">
        <f>$C9*CU8</f>
        <v/>
      </c>
      <c r="CV9">
        <f>$C9*CV8</f>
        <v/>
      </c>
      <c r="CW9">
        <f>$C9*CW8</f>
        <v/>
      </c>
      <c r="CX9">
        <f>$C9*CX8</f>
        <v/>
      </c>
      <c r="CY9">
        <f>$C9*CY8</f>
        <v/>
      </c>
      <c r="CZ9">
        <f>$C9*CZ8</f>
        <v/>
      </c>
      <c r="DA9">
        <f>$C9*DA8</f>
        <v/>
      </c>
      <c r="DB9">
        <f>$C9*DB8</f>
        <v/>
      </c>
      <c r="DC9">
        <f>$C9*DC8</f>
        <v/>
      </c>
    </row>
    <row r="10">
      <c r="B10" t="inlineStr">
        <is>
          <t>TSP-067</t>
        </is>
      </c>
      <c r="C10" t="inlineStr">
        <is>
          <t>No. of batches</t>
        </is>
      </c>
      <c r="D10">
        <f>IFERROR(INDEX(PP_Grid[#Data],$DD10,2),0)</f>
        <v/>
      </c>
      <c r="E10">
        <f>IFERROR(INDEX(PP_Grid[#Data],$DD10,3),0)</f>
        <v/>
      </c>
      <c r="F10">
        <f>IFERROR(INDEX(PP_Grid[#Data],$DD10,4),0)</f>
        <v/>
      </c>
      <c r="G10">
        <f>IFERROR(INDEX(PP_Grid[#Data],$DD10,5),0)</f>
        <v/>
      </c>
      <c r="H10">
        <f>IFERROR(INDEX(PP_Grid[#Data],$DD10,6),0)</f>
        <v/>
      </c>
      <c r="I10">
        <f>IFERROR(INDEX(PP_Grid[#Data],$DD10,7),0)</f>
        <v/>
      </c>
      <c r="J10">
        <f>IFERROR(INDEX(PP_Grid[#Data],$DD10,8),0)</f>
        <v/>
      </c>
      <c r="K10">
        <f>IFERROR(INDEX(PP_Grid[#Data],$DD10,9),0)</f>
        <v/>
      </c>
      <c r="L10">
        <f>IFERROR(INDEX(PP_Grid[#Data],$DD10,10),0)</f>
        <v/>
      </c>
      <c r="M10">
        <f>IFERROR(INDEX(PP_Grid[#Data],$DD10,11),0)</f>
        <v/>
      </c>
      <c r="N10">
        <f>IFERROR(INDEX(PP_Grid[#Data],$DD10,12),0)</f>
        <v/>
      </c>
      <c r="O10">
        <f>IFERROR(INDEX(PP_Grid[#Data],$DD10,13),0)</f>
        <v/>
      </c>
      <c r="P10">
        <f>IFERROR(INDEX(PP_Grid[#Data],$DD10,14),0)</f>
        <v/>
      </c>
      <c r="Q10">
        <f>IFERROR(INDEX(PP_Grid[#Data],$DD10,15),0)</f>
        <v/>
      </c>
      <c r="R10">
        <f>IFERROR(INDEX(PP_Grid[#Data],$DD10,16),0)</f>
        <v/>
      </c>
      <c r="S10">
        <f>IFERROR(INDEX(PP_Grid[#Data],$DD10,17),0)</f>
        <v/>
      </c>
      <c r="T10">
        <f>IFERROR(INDEX(PP_Grid[#Data],$DD10,18),0)</f>
        <v/>
      </c>
      <c r="U10">
        <f>IFERROR(INDEX(PP_Grid[#Data],$DD10,19),0)</f>
        <v/>
      </c>
      <c r="V10">
        <f>IFERROR(INDEX(PP_Grid[#Data],$DD10,20),0)</f>
        <v/>
      </c>
      <c r="W10">
        <f>IFERROR(INDEX(PP_Grid[#Data],$DD10,21),0)</f>
        <v/>
      </c>
      <c r="X10">
        <f>IFERROR(INDEX(PP_Grid[#Data],$DD10,22),0)</f>
        <v/>
      </c>
      <c r="Y10">
        <f>IFERROR(INDEX(PP_Grid[#Data],$DD10,23),0)</f>
        <v/>
      </c>
      <c r="Z10">
        <f>IFERROR(INDEX(PP_Grid[#Data],$DD10,24),0)</f>
        <v/>
      </c>
      <c r="AA10">
        <f>IFERROR(INDEX(PP_Grid[#Data],$DD10,25),0)</f>
        <v/>
      </c>
      <c r="AB10">
        <f>IFERROR(INDEX(PP_Grid[#Data],$DD10,26),0)</f>
        <v/>
      </c>
      <c r="AC10">
        <f>IFERROR(INDEX(PP_Grid[#Data],$DD10,27),0)</f>
        <v/>
      </c>
      <c r="AD10">
        <f>IFERROR(INDEX(PP_Grid[#Data],$DD10,28),0)</f>
        <v/>
      </c>
      <c r="AE10">
        <f>IFERROR(INDEX(PP_Grid[#Data],$DD10,29),0)</f>
        <v/>
      </c>
      <c r="AF10">
        <f>IFERROR(INDEX(PP_Grid[#Data],$DD10,30),0)</f>
        <v/>
      </c>
      <c r="AG10">
        <f>IFERROR(INDEX(PP_Grid[#Data],$DD10,31),0)</f>
        <v/>
      </c>
      <c r="AH10">
        <f>IFERROR(INDEX(PP_Grid[#Data],$DD10,32),0)</f>
        <v/>
      </c>
      <c r="AI10">
        <f>IFERROR(INDEX(PP_Grid[#Data],$DD10,33),0)</f>
        <v/>
      </c>
      <c r="AJ10">
        <f>IFERROR(INDEX(PP_Grid[#Data],$DD10,34),0)</f>
        <v/>
      </c>
      <c r="AK10">
        <f>IFERROR(INDEX(PP_Grid[#Data],$DD10,35),0)</f>
        <v/>
      </c>
      <c r="AL10">
        <f>IFERROR(INDEX(PP_Grid[#Data],$DD10,36),0)</f>
        <v/>
      </c>
      <c r="AM10">
        <f>IFERROR(INDEX(PP_Grid[#Data],$DD10,37),0)</f>
        <v/>
      </c>
      <c r="AN10">
        <f>IFERROR(INDEX(PP_Grid[#Data],$DD10,38),0)</f>
        <v/>
      </c>
      <c r="AO10">
        <f>IFERROR(INDEX(PP_Grid[#Data],$DD10,39),0)</f>
        <v/>
      </c>
      <c r="AP10">
        <f>IFERROR(INDEX(PP_Grid[#Data],$DD10,40),0)</f>
        <v/>
      </c>
      <c r="AQ10">
        <f>IFERROR(INDEX(PP_Grid[#Data],$DD10,41),0)</f>
        <v/>
      </c>
      <c r="AR10">
        <f>IFERROR(INDEX(PP_Grid[#Data],$DD10,42),0)</f>
        <v/>
      </c>
      <c r="AS10">
        <f>IFERROR(INDEX(PP_Grid[#Data],$DD10,43),0)</f>
        <v/>
      </c>
      <c r="AT10">
        <f>IFERROR(INDEX(PP_Grid[#Data],$DD10,44),0)</f>
        <v/>
      </c>
      <c r="AU10">
        <f>IFERROR(INDEX(PP_Grid[#Data],$DD10,45),0)</f>
        <v/>
      </c>
      <c r="AV10">
        <f>IFERROR(INDEX(PP_Grid[#Data],$DD10,46),0)</f>
        <v/>
      </c>
      <c r="AW10">
        <f>IFERROR(INDEX(PP_Grid[#Data],$DD10,47),0)</f>
        <v/>
      </c>
      <c r="AX10">
        <f>IFERROR(INDEX(PP_Grid[#Data],$DD10,48),0)</f>
        <v/>
      </c>
      <c r="AY10">
        <f>IFERROR(INDEX(PP_Grid[#Data],$DD10,49),0)</f>
        <v/>
      </c>
      <c r="AZ10">
        <f>IFERROR(INDEX(PP_Grid[#Data],$DD10,50),0)</f>
        <v/>
      </c>
      <c r="BA10">
        <f>IFERROR(INDEX(PP_Grid[#Data],$DD10,51),0)</f>
        <v/>
      </c>
      <c r="BB10">
        <f>IFERROR(INDEX(PP_Grid[#Data],$DD10,52),0)</f>
        <v/>
      </c>
      <c r="BC10">
        <f>IFERROR(INDEX(PP_Grid[#Data],$DD10,53),0)</f>
        <v/>
      </c>
      <c r="BD10">
        <f>IFERROR(INDEX(PP_Grid[#Data],$DD10,54),0)</f>
        <v/>
      </c>
      <c r="BE10">
        <f>IFERROR(INDEX(PP_Grid[#Data],$DD10,55),0)</f>
        <v/>
      </c>
      <c r="BF10">
        <f>IFERROR(INDEX(PP_Grid[#Data],$DD10,56),0)</f>
        <v/>
      </c>
      <c r="BG10">
        <f>IFERROR(INDEX(PP_Grid[#Data],$DD10,57),0)</f>
        <v/>
      </c>
      <c r="BH10">
        <f>IFERROR(INDEX(PP_Grid[#Data],$DD10,58),0)</f>
        <v/>
      </c>
      <c r="BI10">
        <f>IFERROR(INDEX(PP_Grid[#Data],$DD10,59),0)</f>
        <v/>
      </c>
      <c r="BJ10">
        <f>IFERROR(INDEX(PP_Grid[#Data],$DD10,60),0)</f>
        <v/>
      </c>
      <c r="BK10">
        <f>IFERROR(INDEX(PP_Grid[#Data],$DD10,61),0)</f>
        <v/>
      </c>
      <c r="BL10">
        <f>IFERROR(INDEX(PP_Grid[#Data],$DD10,62),0)</f>
        <v/>
      </c>
      <c r="BM10">
        <f>IFERROR(INDEX(PP_Grid[#Data],$DD10,63),0)</f>
        <v/>
      </c>
      <c r="BN10">
        <f>IFERROR(INDEX(PP_Grid[#Data],$DD10,64),0)</f>
        <v/>
      </c>
      <c r="BO10">
        <f>IFERROR(INDEX(PP_Grid[#Data],$DD10,65),0)</f>
        <v/>
      </c>
      <c r="BP10">
        <f>IFERROR(INDEX(PP_Grid[#Data],$DD10,66),0)</f>
        <v/>
      </c>
      <c r="BQ10">
        <f>IFERROR(INDEX(PP_Grid[#Data],$DD10,67),0)</f>
        <v/>
      </c>
      <c r="BR10">
        <f>IFERROR(INDEX(PP_Grid[#Data],$DD10,68),0)</f>
        <v/>
      </c>
      <c r="BS10">
        <f>IFERROR(INDEX(PP_Grid[#Data],$DD10,69),0)</f>
        <v/>
      </c>
      <c r="BT10">
        <f>IFERROR(INDEX(PP_Grid[#Data],$DD10,70),0)</f>
        <v/>
      </c>
      <c r="BU10">
        <f>IFERROR(INDEX(PP_Grid[#Data],$DD10,71),0)</f>
        <v/>
      </c>
      <c r="BV10">
        <f>IFERROR(INDEX(PP_Grid[#Data],$DD10,72),0)</f>
        <v/>
      </c>
      <c r="BW10">
        <f>IFERROR(INDEX(PP_Grid[#Data],$DD10,73),0)</f>
        <v/>
      </c>
      <c r="BX10">
        <f>IFERROR(INDEX(PP_Grid[#Data],$DD10,74),0)</f>
        <v/>
      </c>
      <c r="BY10">
        <f>IFERROR(INDEX(PP_Grid[#Data],$DD10,75),0)</f>
        <v/>
      </c>
      <c r="BZ10">
        <f>IFERROR(INDEX(PP_Grid[#Data],$DD10,76),0)</f>
        <v/>
      </c>
      <c r="CA10">
        <f>IFERROR(INDEX(PP_Grid[#Data],$DD10,77),0)</f>
        <v/>
      </c>
      <c r="CB10">
        <f>IFERROR(INDEX(PP_Grid[#Data],$DD10,78),0)</f>
        <v/>
      </c>
      <c r="CC10">
        <f>IFERROR(INDEX(PP_Grid[#Data],$DD10,79),0)</f>
        <v/>
      </c>
      <c r="CD10">
        <f>IFERROR(INDEX(PP_Grid[#Data],$DD10,80),0)</f>
        <v/>
      </c>
      <c r="CE10">
        <f>IFERROR(INDEX(PP_Grid[#Data],$DD10,81),0)</f>
        <v/>
      </c>
      <c r="CF10">
        <f>IFERROR(INDEX(PP_Grid[#Data],$DD10,82),0)</f>
        <v/>
      </c>
      <c r="CG10">
        <f>IFERROR(INDEX(PP_Grid[#Data],$DD10,83),0)</f>
        <v/>
      </c>
      <c r="CH10">
        <f>IFERROR(INDEX(PP_Grid[#Data],$DD10,84),0)</f>
        <v/>
      </c>
      <c r="CI10">
        <f>IFERROR(INDEX(PP_Grid[#Data],$DD10,85),0)</f>
        <v/>
      </c>
      <c r="CJ10">
        <f>IFERROR(INDEX(PP_Grid[#Data],$DD10,86),0)</f>
        <v/>
      </c>
      <c r="CK10">
        <f>IFERROR(INDEX(PP_Grid[#Data],$DD10,87),0)</f>
        <v/>
      </c>
      <c r="CL10">
        <f>IFERROR(INDEX(PP_Grid[#Data],$DD10,88),0)</f>
        <v/>
      </c>
      <c r="CM10">
        <f>IFERROR(INDEX(PP_Grid[#Data],$DD10,89),0)</f>
        <v/>
      </c>
      <c r="CN10">
        <f>IFERROR(INDEX(PP_Grid[#Data],$DD10,90),0)</f>
        <v/>
      </c>
      <c r="CO10">
        <f>IFERROR(INDEX(PP_Grid[#Data],$DD10,91),0)</f>
        <v/>
      </c>
      <c r="CP10">
        <f>IFERROR(INDEX(PP_Grid[#Data],$DD10,92),0)</f>
        <v/>
      </c>
      <c r="CQ10">
        <f>IFERROR(INDEX(PP_Grid[#Data],$DD10,93),0)</f>
        <v/>
      </c>
      <c r="CR10">
        <f>IFERROR(INDEX(PP_Grid[#Data],$DD10,94),0)</f>
        <v/>
      </c>
      <c r="CS10">
        <f>IFERROR(INDEX(PP_Grid[#Data],$DD10,95),0)</f>
        <v/>
      </c>
      <c r="CT10">
        <f>IFERROR(INDEX(PP_Grid[#Data],$DD10,96),0)</f>
        <v/>
      </c>
      <c r="CU10">
        <f>IFERROR(INDEX(PP_Grid[#Data],$DD10,97),0)</f>
        <v/>
      </c>
      <c r="CV10">
        <f>IFERROR(INDEX(PP_Grid[#Data],$DD10,98),0)</f>
        <v/>
      </c>
      <c r="CW10">
        <f>IFERROR(INDEX(PP_Grid[#Data],$DD10,99),0)</f>
        <v/>
      </c>
      <c r="CX10">
        <f>IFERROR(INDEX(PP_Grid[#Data],$DD10,100),0)</f>
        <v/>
      </c>
      <c r="CY10">
        <f>IFERROR(INDEX(PP_Grid[#Data],$DD10,101),0)</f>
        <v/>
      </c>
      <c r="CZ10">
        <f>IFERROR(INDEX(PP_Grid[#Data],$DD10,102),0)</f>
        <v/>
      </c>
      <c r="DA10">
        <f>IFERROR(INDEX(PP_Grid[#Data],$DD10,103),0)</f>
        <v/>
      </c>
      <c r="DB10">
        <f>IFERROR(INDEX(PP_Grid[#Data],$DD10,104),0)</f>
        <v/>
      </c>
      <c r="DC10">
        <f>IFERROR(INDEX(PP_Grid[#Data],$DD10,105),0)</f>
        <v/>
      </c>
      <c r="DD10" s="7">
        <f>IFERROR(MATCH($B10,PP_Grid[Intermediate],0),99999)</f>
        <v/>
      </c>
    </row>
    <row r="11">
      <c r="B11" t="inlineStr">
        <is>
          <t>使用量(kg)</t>
        </is>
      </c>
      <c r="C11">
        <f>SUMIFS(M_BOM[RM_Qty_Per_Batch],M_BOM[Intermediate],$B10,M_BOM[Part Name],$A7)</f>
        <v/>
      </c>
      <c r="D11">
        <f>$C11*D10</f>
        <v/>
      </c>
      <c r="E11">
        <f>$C11*E10</f>
        <v/>
      </c>
      <c r="F11">
        <f>$C11*F10</f>
        <v/>
      </c>
      <c r="G11">
        <f>$C11*G10</f>
        <v/>
      </c>
      <c r="H11">
        <f>$C11*H10</f>
        <v/>
      </c>
      <c r="I11">
        <f>$C11*I10</f>
        <v/>
      </c>
      <c r="J11">
        <f>$C11*J10</f>
        <v/>
      </c>
      <c r="K11">
        <f>$C11*K10</f>
        <v/>
      </c>
      <c r="L11">
        <f>$C11*L10</f>
        <v/>
      </c>
      <c r="M11">
        <f>$C11*M10</f>
        <v/>
      </c>
      <c r="N11">
        <f>$C11*N10</f>
        <v/>
      </c>
      <c r="O11">
        <f>$C11*O10</f>
        <v/>
      </c>
      <c r="P11">
        <f>$C11*P10</f>
        <v/>
      </c>
      <c r="Q11">
        <f>$C11*Q10</f>
        <v/>
      </c>
      <c r="R11">
        <f>$C11*R10</f>
        <v/>
      </c>
      <c r="S11">
        <f>$C11*S10</f>
        <v/>
      </c>
      <c r="T11">
        <f>$C11*T10</f>
        <v/>
      </c>
      <c r="U11">
        <f>$C11*U10</f>
        <v/>
      </c>
      <c r="V11">
        <f>$C11*V10</f>
        <v/>
      </c>
      <c r="W11">
        <f>$C11*W10</f>
        <v/>
      </c>
      <c r="X11">
        <f>$C11*X10</f>
        <v/>
      </c>
      <c r="Y11">
        <f>$C11*Y10</f>
        <v/>
      </c>
      <c r="Z11">
        <f>$C11*Z10</f>
        <v/>
      </c>
      <c r="AA11">
        <f>$C11*AA10</f>
        <v/>
      </c>
      <c r="AB11">
        <f>$C11*AB10</f>
        <v/>
      </c>
      <c r="AC11">
        <f>$C11*AC10</f>
        <v/>
      </c>
      <c r="AD11">
        <f>$C11*AD10</f>
        <v/>
      </c>
      <c r="AE11">
        <f>$C11*AE10</f>
        <v/>
      </c>
      <c r="AF11">
        <f>$C11*AF10</f>
        <v/>
      </c>
      <c r="AG11">
        <f>$C11*AG10</f>
        <v/>
      </c>
      <c r="AH11">
        <f>$C11*AH10</f>
        <v/>
      </c>
      <c r="AI11">
        <f>$C11*AI10</f>
        <v/>
      </c>
      <c r="AJ11">
        <f>$C11*AJ10</f>
        <v/>
      </c>
      <c r="AK11">
        <f>$C11*AK10</f>
        <v/>
      </c>
      <c r="AL11">
        <f>$C11*AL10</f>
        <v/>
      </c>
      <c r="AM11">
        <f>$C11*AM10</f>
        <v/>
      </c>
      <c r="AN11">
        <f>$C11*AN10</f>
        <v/>
      </c>
      <c r="AO11">
        <f>$C11*AO10</f>
        <v/>
      </c>
      <c r="AP11">
        <f>$C11*AP10</f>
        <v/>
      </c>
      <c r="AQ11">
        <f>$C11*AQ10</f>
        <v/>
      </c>
      <c r="AR11">
        <f>$C11*AR10</f>
        <v/>
      </c>
      <c r="AS11">
        <f>$C11*AS10</f>
        <v/>
      </c>
      <c r="AT11">
        <f>$C11*AT10</f>
        <v/>
      </c>
      <c r="AU11">
        <f>$C11*AU10</f>
        <v/>
      </c>
      <c r="AV11">
        <f>$C11*AV10</f>
        <v/>
      </c>
      <c r="AW11">
        <f>$C11*AW10</f>
        <v/>
      </c>
      <c r="AX11">
        <f>$C11*AX10</f>
        <v/>
      </c>
      <c r="AY11">
        <f>$C11*AY10</f>
        <v/>
      </c>
      <c r="AZ11">
        <f>$C11*AZ10</f>
        <v/>
      </c>
      <c r="BA11">
        <f>$C11*BA10</f>
        <v/>
      </c>
      <c r="BB11">
        <f>$C11*BB10</f>
        <v/>
      </c>
      <c r="BC11">
        <f>$C11*BC10</f>
        <v/>
      </c>
      <c r="BD11">
        <f>$C11*BD10</f>
        <v/>
      </c>
      <c r="BE11">
        <f>$C11*BE10</f>
        <v/>
      </c>
      <c r="BF11">
        <f>$C11*BF10</f>
        <v/>
      </c>
      <c r="BG11">
        <f>$C11*BG10</f>
        <v/>
      </c>
      <c r="BH11">
        <f>$C11*BH10</f>
        <v/>
      </c>
      <c r="BI11">
        <f>$C11*BI10</f>
        <v/>
      </c>
      <c r="BJ11">
        <f>$C11*BJ10</f>
        <v/>
      </c>
      <c r="BK11">
        <f>$C11*BK10</f>
        <v/>
      </c>
      <c r="BL11">
        <f>$C11*BL10</f>
        <v/>
      </c>
      <c r="BM11">
        <f>$C11*BM10</f>
        <v/>
      </c>
      <c r="BN11">
        <f>$C11*BN10</f>
        <v/>
      </c>
      <c r="BO11">
        <f>$C11*BO10</f>
        <v/>
      </c>
      <c r="BP11">
        <f>$C11*BP10</f>
        <v/>
      </c>
      <c r="BQ11">
        <f>$C11*BQ10</f>
        <v/>
      </c>
      <c r="BR11">
        <f>$C11*BR10</f>
        <v/>
      </c>
      <c r="BS11">
        <f>$C11*BS10</f>
        <v/>
      </c>
      <c r="BT11">
        <f>$C11*BT10</f>
        <v/>
      </c>
      <c r="BU11">
        <f>$C11*BU10</f>
        <v/>
      </c>
      <c r="BV11">
        <f>$C11*BV10</f>
        <v/>
      </c>
      <c r="BW11">
        <f>$C11*BW10</f>
        <v/>
      </c>
      <c r="BX11">
        <f>$C11*BX10</f>
        <v/>
      </c>
      <c r="BY11">
        <f>$C11*BY10</f>
        <v/>
      </c>
      <c r="BZ11">
        <f>$C11*BZ10</f>
        <v/>
      </c>
      <c r="CA11">
        <f>$C11*CA10</f>
        <v/>
      </c>
      <c r="CB11">
        <f>$C11*CB10</f>
        <v/>
      </c>
      <c r="CC11">
        <f>$C11*CC10</f>
        <v/>
      </c>
      <c r="CD11">
        <f>$C11*CD10</f>
        <v/>
      </c>
      <c r="CE11">
        <f>$C11*CE10</f>
        <v/>
      </c>
      <c r="CF11">
        <f>$C11*CF10</f>
        <v/>
      </c>
      <c r="CG11">
        <f>$C11*CG10</f>
        <v/>
      </c>
      <c r="CH11">
        <f>$C11*CH10</f>
        <v/>
      </c>
      <c r="CI11">
        <f>$C11*CI10</f>
        <v/>
      </c>
      <c r="CJ11">
        <f>$C11*CJ10</f>
        <v/>
      </c>
      <c r="CK11">
        <f>$C11*CK10</f>
        <v/>
      </c>
      <c r="CL11">
        <f>$C11*CL10</f>
        <v/>
      </c>
      <c r="CM11">
        <f>$C11*CM10</f>
        <v/>
      </c>
      <c r="CN11">
        <f>$C11*CN10</f>
        <v/>
      </c>
      <c r="CO11">
        <f>$C11*CO10</f>
        <v/>
      </c>
      <c r="CP11">
        <f>$C11*CP10</f>
        <v/>
      </c>
      <c r="CQ11">
        <f>$C11*CQ10</f>
        <v/>
      </c>
      <c r="CR11">
        <f>$C11*CR10</f>
        <v/>
      </c>
      <c r="CS11">
        <f>$C11*CS10</f>
        <v/>
      </c>
      <c r="CT11">
        <f>$C11*CT10</f>
        <v/>
      </c>
      <c r="CU11">
        <f>$C11*CU10</f>
        <v/>
      </c>
      <c r="CV11">
        <f>$C11*CV10</f>
        <v/>
      </c>
      <c r="CW11">
        <f>$C11*CW10</f>
        <v/>
      </c>
      <c r="CX11">
        <f>$C11*CX10</f>
        <v/>
      </c>
      <c r="CY11">
        <f>$C11*CY10</f>
        <v/>
      </c>
      <c r="CZ11">
        <f>$C11*CZ10</f>
        <v/>
      </c>
      <c r="DA11">
        <f>$C11*DA10</f>
        <v/>
      </c>
      <c r="DB11">
        <f>$C11*DB10</f>
        <v/>
      </c>
      <c r="DC11">
        <f>$C11*DC10</f>
        <v/>
      </c>
    </row>
    <row r="12">
      <c r="B12" t="inlineStr">
        <is>
          <t>TSP-069</t>
        </is>
      </c>
      <c r="C12" t="inlineStr">
        <is>
          <t>No. of batches</t>
        </is>
      </c>
      <c r="D12">
        <f>IFERROR(INDEX(PP_Grid[#Data],$DD12,2),0)</f>
        <v/>
      </c>
      <c r="E12">
        <f>IFERROR(INDEX(PP_Grid[#Data],$DD12,3),0)</f>
        <v/>
      </c>
      <c r="F12">
        <f>IFERROR(INDEX(PP_Grid[#Data],$DD12,4),0)</f>
        <v/>
      </c>
      <c r="G12">
        <f>IFERROR(INDEX(PP_Grid[#Data],$DD12,5),0)</f>
        <v/>
      </c>
      <c r="H12">
        <f>IFERROR(INDEX(PP_Grid[#Data],$DD12,6),0)</f>
        <v/>
      </c>
      <c r="I12">
        <f>IFERROR(INDEX(PP_Grid[#Data],$DD12,7),0)</f>
        <v/>
      </c>
      <c r="J12">
        <f>IFERROR(INDEX(PP_Grid[#Data],$DD12,8),0)</f>
        <v/>
      </c>
      <c r="K12">
        <f>IFERROR(INDEX(PP_Grid[#Data],$DD12,9),0)</f>
        <v/>
      </c>
      <c r="L12">
        <f>IFERROR(INDEX(PP_Grid[#Data],$DD12,10),0)</f>
        <v/>
      </c>
      <c r="M12">
        <f>IFERROR(INDEX(PP_Grid[#Data],$DD12,11),0)</f>
        <v/>
      </c>
      <c r="N12">
        <f>IFERROR(INDEX(PP_Grid[#Data],$DD12,12),0)</f>
        <v/>
      </c>
      <c r="O12">
        <f>IFERROR(INDEX(PP_Grid[#Data],$DD12,13),0)</f>
        <v/>
      </c>
      <c r="P12">
        <f>IFERROR(INDEX(PP_Grid[#Data],$DD12,14),0)</f>
        <v/>
      </c>
      <c r="Q12">
        <f>IFERROR(INDEX(PP_Grid[#Data],$DD12,15),0)</f>
        <v/>
      </c>
      <c r="R12">
        <f>IFERROR(INDEX(PP_Grid[#Data],$DD12,16),0)</f>
        <v/>
      </c>
      <c r="S12">
        <f>IFERROR(INDEX(PP_Grid[#Data],$DD12,17),0)</f>
        <v/>
      </c>
      <c r="T12">
        <f>IFERROR(INDEX(PP_Grid[#Data],$DD12,18),0)</f>
        <v/>
      </c>
      <c r="U12">
        <f>IFERROR(INDEX(PP_Grid[#Data],$DD12,19),0)</f>
        <v/>
      </c>
      <c r="V12">
        <f>IFERROR(INDEX(PP_Grid[#Data],$DD12,20),0)</f>
        <v/>
      </c>
      <c r="W12">
        <f>IFERROR(INDEX(PP_Grid[#Data],$DD12,21),0)</f>
        <v/>
      </c>
      <c r="X12">
        <f>IFERROR(INDEX(PP_Grid[#Data],$DD12,22),0)</f>
        <v/>
      </c>
      <c r="Y12">
        <f>IFERROR(INDEX(PP_Grid[#Data],$DD12,23),0)</f>
        <v/>
      </c>
      <c r="Z12">
        <f>IFERROR(INDEX(PP_Grid[#Data],$DD12,24),0)</f>
        <v/>
      </c>
      <c r="AA12">
        <f>IFERROR(INDEX(PP_Grid[#Data],$DD12,25),0)</f>
        <v/>
      </c>
      <c r="AB12">
        <f>IFERROR(INDEX(PP_Grid[#Data],$DD12,26),0)</f>
        <v/>
      </c>
      <c r="AC12">
        <f>IFERROR(INDEX(PP_Grid[#Data],$DD12,27),0)</f>
        <v/>
      </c>
      <c r="AD12">
        <f>IFERROR(INDEX(PP_Grid[#Data],$DD12,28),0)</f>
        <v/>
      </c>
      <c r="AE12">
        <f>IFERROR(INDEX(PP_Grid[#Data],$DD12,29),0)</f>
        <v/>
      </c>
      <c r="AF12">
        <f>IFERROR(INDEX(PP_Grid[#Data],$DD12,30),0)</f>
        <v/>
      </c>
      <c r="AG12">
        <f>IFERROR(INDEX(PP_Grid[#Data],$DD12,31),0)</f>
        <v/>
      </c>
      <c r="AH12">
        <f>IFERROR(INDEX(PP_Grid[#Data],$DD12,32),0)</f>
        <v/>
      </c>
      <c r="AI12">
        <f>IFERROR(INDEX(PP_Grid[#Data],$DD12,33),0)</f>
        <v/>
      </c>
      <c r="AJ12">
        <f>IFERROR(INDEX(PP_Grid[#Data],$DD12,34),0)</f>
        <v/>
      </c>
      <c r="AK12">
        <f>IFERROR(INDEX(PP_Grid[#Data],$DD12,35),0)</f>
        <v/>
      </c>
      <c r="AL12">
        <f>IFERROR(INDEX(PP_Grid[#Data],$DD12,36),0)</f>
        <v/>
      </c>
      <c r="AM12">
        <f>IFERROR(INDEX(PP_Grid[#Data],$DD12,37),0)</f>
        <v/>
      </c>
      <c r="AN12">
        <f>IFERROR(INDEX(PP_Grid[#Data],$DD12,38),0)</f>
        <v/>
      </c>
      <c r="AO12">
        <f>IFERROR(INDEX(PP_Grid[#Data],$DD12,39),0)</f>
        <v/>
      </c>
      <c r="AP12">
        <f>IFERROR(INDEX(PP_Grid[#Data],$DD12,40),0)</f>
        <v/>
      </c>
      <c r="AQ12">
        <f>IFERROR(INDEX(PP_Grid[#Data],$DD12,41),0)</f>
        <v/>
      </c>
      <c r="AR12">
        <f>IFERROR(INDEX(PP_Grid[#Data],$DD12,42),0)</f>
        <v/>
      </c>
      <c r="AS12">
        <f>IFERROR(INDEX(PP_Grid[#Data],$DD12,43),0)</f>
        <v/>
      </c>
      <c r="AT12">
        <f>IFERROR(INDEX(PP_Grid[#Data],$DD12,44),0)</f>
        <v/>
      </c>
      <c r="AU12">
        <f>IFERROR(INDEX(PP_Grid[#Data],$DD12,45),0)</f>
        <v/>
      </c>
      <c r="AV12">
        <f>IFERROR(INDEX(PP_Grid[#Data],$DD12,46),0)</f>
        <v/>
      </c>
      <c r="AW12">
        <f>IFERROR(INDEX(PP_Grid[#Data],$DD12,47),0)</f>
        <v/>
      </c>
      <c r="AX12">
        <f>IFERROR(INDEX(PP_Grid[#Data],$DD12,48),0)</f>
        <v/>
      </c>
      <c r="AY12">
        <f>IFERROR(INDEX(PP_Grid[#Data],$DD12,49),0)</f>
        <v/>
      </c>
      <c r="AZ12">
        <f>IFERROR(INDEX(PP_Grid[#Data],$DD12,50),0)</f>
        <v/>
      </c>
      <c r="BA12">
        <f>IFERROR(INDEX(PP_Grid[#Data],$DD12,51),0)</f>
        <v/>
      </c>
      <c r="BB12">
        <f>IFERROR(INDEX(PP_Grid[#Data],$DD12,52),0)</f>
        <v/>
      </c>
      <c r="BC12">
        <f>IFERROR(INDEX(PP_Grid[#Data],$DD12,53),0)</f>
        <v/>
      </c>
      <c r="BD12">
        <f>IFERROR(INDEX(PP_Grid[#Data],$DD12,54),0)</f>
        <v/>
      </c>
      <c r="BE12">
        <f>IFERROR(INDEX(PP_Grid[#Data],$DD12,55),0)</f>
        <v/>
      </c>
      <c r="BF12">
        <f>IFERROR(INDEX(PP_Grid[#Data],$DD12,56),0)</f>
        <v/>
      </c>
      <c r="BG12">
        <f>IFERROR(INDEX(PP_Grid[#Data],$DD12,57),0)</f>
        <v/>
      </c>
      <c r="BH12">
        <f>IFERROR(INDEX(PP_Grid[#Data],$DD12,58),0)</f>
        <v/>
      </c>
      <c r="BI12">
        <f>IFERROR(INDEX(PP_Grid[#Data],$DD12,59),0)</f>
        <v/>
      </c>
      <c r="BJ12">
        <f>IFERROR(INDEX(PP_Grid[#Data],$DD12,60),0)</f>
        <v/>
      </c>
      <c r="BK12">
        <f>IFERROR(INDEX(PP_Grid[#Data],$DD12,61),0)</f>
        <v/>
      </c>
      <c r="BL12">
        <f>IFERROR(INDEX(PP_Grid[#Data],$DD12,62),0)</f>
        <v/>
      </c>
      <c r="BM12">
        <f>IFERROR(INDEX(PP_Grid[#Data],$DD12,63),0)</f>
        <v/>
      </c>
      <c r="BN12">
        <f>IFERROR(INDEX(PP_Grid[#Data],$DD12,64),0)</f>
        <v/>
      </c>
      <c r="BO12">
        <f>IFERROR(INDEX(PP_Grid[#Data],$DD12,65),0)</f>
        <v/>
      </c>
      <c r="BP12">
        <f>IFERROR(INDEX(PP_Grid[#Data],$DD12,66),0)</f>
        <v/>
      </c>
      <c r="BQ12">
        <f>IFERROR(INDEX(PP_Grid[#Data],$DD12,67),0)</f>
        <v/>
      </c>
      <c r="BR12">
        <f>IFERROR(INDEX(PP_Grid[#Data],$DD12,68),0)</f>
        <v/>
      </c>
      <c r="BS12">
        <f>IFERROR(INDEX(PP_Grid[#Data],$DD12,69),0)</f>
        <v/>
      </c>
      <c r="BT12">
        <f>IFERROR(INDEX(PP_Grid[#Data],$DD12,70),0)</f>
        <v/>
      </c>
      <c r="BU12">
        <f>IFERROR(INDEX(PP_Grid[#Data],$DD12,71),0)</f>
        <v/>
      </c>
      <c r="BV12">
        <f>IFERROR(INDEX(PP_Grid[#Data],$DD12,72),0)</f>
        <v/>
      </c>
      <c r="BW12">
        <f>IFERROR(INDEX(PP_Grid[#Data],$DD12,73),0)</f>
        <v/>
      </c>
      <c r="BX12">
        <f>IFERROR(INDEX(PP_Grid[#Data],$DD12,74),0)</f>
        <v/>
      </c>
      <c r="BY12">
        <f>IFERROR(INDEX(PP_Grid[#Data],$DD12,75),0)</f>
        <v/>
      </c>
      <c r="BZ12">
        <f>IFERROR(INDEX(PP_Grid[#Data],$DD12,76),0)</f>
        <v/>
      </c>
      <c r="CA12">
        <f>IFERROR(INDEX(PP_Grid[#Data],$DD12,77),0)</f>
        <v/>
      </c>
      <c r="CB12">
        <f>IFERROR(INDEX(PP_Grid[#Data],$DD12,78),0)</f>
        <v/>
      </c>
      <c r="CC12">
        <f>IFERROR(INDEX(PP_Grid[#Data],$DD12,79),0)</f>
        <v/>
      </c>
      <c r="CD12">
        <f>IFERROR(INDEX(PP_Grid[#Data],$DD12,80),0)</f>
        <v/>
      </c>
      <c r="CE12">
        <f>IFERROR(INDEX(PP_Grid[#Data],$DD12,81),0)</f>
        <v/>
      </c>
      <c r="CF12">
        <f>IFERROR(INDEX(PP_Grid[#Data],$DD12,82),0)</f>
        <v/>
      </c>
      <c r="CG12">
        <f>IFERROR(INDEX(PP_Grid[#Data],$DD12,83),0)</f>
        <v/>
      </c>
      <c r="CH12">
        <f>IFERROR(INDEX(PP_Grid[#Data],$DD12,84),0)</f>
        <v/>
      </c>
      <c r="CI12">
        <f>IFERROR(INDEX(PP_Grid[#Data],$DD12,85),0)</f>
        <v/>
      </c>
      <c r="CJ12">
        <f>IFERROR(INDEX(PP_Grid[#Data],$DD12,86),0)</f>
        <v/>
      </c>
      <c r="CK12">
        <f>IFERROR(INDEX(PP_Grid[#Data],$DD12,87),0)</f>
        <v/>
      </c>
      <c r="CL12">
        <f>IFERROR(INDEX(PP_Grid[#Data],$DD12,88),0)</f>
        <v/>
      </c>
      <c r="CM12">
        <f>IFERROR(INDEX(PP_Grid[#Data],$DD12,89),0)</f>
        <v/>
      </c>
      <c r="CN12">
        <f>IFERROR(INDEX(PP_Grid[#Data],$DD12,90),0)</f>
        <v/>
      </c>
      <c r="CO12">
        <f>IFERROR(INDEX(PP_Grid[#Data],$DD12,91),0)</f>
        <v/>
      </c>
      <c r="CP12">
        <f>IFERROR(INDEX(PP_Grid[#Data],$DD12,92),0)</f>
        <v/>
      </c>
      <c r="CQ12">
        <f>IFERROR(INDEX(PP_Grid[#Data],$DD12,93),0)</f>
        <v/>
      </c>
      <c r="CR12">
        <f>IFERROR(INDEX(PP_Grid[#Data],$DD12,94),0)</f>
        <v/>
      </c>
      <c r="CS12">
        <f>IFERROR(INDEX(PP_Grid[#Data],$DD12,95),0)</f>
        <v/>
      </c>
      <c r="CT12">
        <f>IFERROR(INDEX(PP_Grid[#Data],$DD12,96),0)</f>
        <v/>
      </c>
      <c r="CU12">
        <f>IFERROR(INDEX(PP_Grid[#Data],$DD12,97),0)</f>
        <v/>
      </c>
      <c r="CV12">
        <f>IFERROR(INDEX(PP_Grid[#Data],$DD12,98),0)</f>
        <v/>
      </c>
      <c r="CW12">
        <f>IFERROR(INDEX(PP_Grid[#Data],$DD12,99),0)</f>
        <v/>
      </c>
      <c r="CX12">
        <f>IFERROR(INDEX(PP_Grid[#Data],$DD12,100),0)</f>
        <v/>
      </c>
      <c r="CY12">
        <f>IFERROR(INDEX(PP_Grid[#Data],$DD12,101),0)</f>
        <v/>
      </c>
      <c r="CZ12">
        <f>IFERROR(INDEX(PP_Grid[#Data],$DD12,102),0)</f>
        <v/>
      </c>
      <c r="DA12">
        <f>IFERROR(INDEX(PP_Grid[#Data],$DD12,103),0)</f>
        <v/>
      </c>
      <c r="DB12">
        <f>IFERROR(INDEX(PP_Grid[#Data],$DD12,104),0)</f>
        <v/>
      </c>
      <c r="DC12">
        <f>IFERROR(INDEX(PP_Grid[#Data],$DD12,105),0)</f>
        <v/>
      </c>
      <c r="DD12" s="7">
        <f>IFERROR(MATCH($B12,PP_Grid[Intermediate],0),99999)</f>
        <v/>
      </c>
    </row>
    <row r="13">
      <c r="B13" t="inlineStr">
        <is>
          <t>使用量(kg)</t>
        </is>
      </c>
      <c r="C13">
        <f>SUMIFS(M_BOM[RM_Qty_Per_Batch],M_BOM[Intermediate],$B12,M_BOM[Part Name],$A7)</f>
        <v/>
      </c>
      <c r="D13">
        <f>$C13*D12</f>
        <v/>
      </c>
      <c r="E13">
        <f>$C13*E12</f>
        <v/>
      </c>
      <c r="F13">
        <f>$C13*F12</f>
        <v/>
      </c>
      <c r="G13">
        <f>$C13*G12</f>
        <v/>
      </c>
      <c r="H13">
        <f>$C13*H12</f>
        <v/>
      </c>
      <c r="I13">
        <f>$C13*I12</f>
        <v/>
      </c>
      <c r="J13">
        <f>$C13*J12</f>
        <v/>
      </c>
      <c r="K13">
        <f>$C13*K12</f>
        <v/>
      </c>
      <c r="L13">
        <f>$C13*L12</f>
        <v/>
      </c>
      <c r="M13">
        <f>$C13*M12</f>
        <v/>
      </c>
      <c r="N13">
        <f>$C13*N12</f>
        <v/>
      </c>
      <c r="O13">
        <f>$C13*O12</f>
        <v/>
      </c>
      <c r="P13">
        <f>$C13*P12</f>
        <v/>
      </c>
      <c r="Q13">
        <f>$C13*Q12</f>
        <v/>
      </c>
      <c r="R13">
        <f>$C13*R12</f>
        <v/>
      </c>
      <c r="S13">
        <f>$C13*S12</f>
        <v/>
      </c>
      <c r="T13">
        <f>$C13*T12</f>
        <v/>
      </c>
      <c r="U13">
        <f>$C13*U12</f>
        <v/>
      </c>
      <c r="V13">
        <f>$C13*V12</f>
        <v/>
      </c>
      <c r="W13">
        <f>$C13*W12</f>
        <v/>
      </c>
      <c r="X13">
        <f>$C13*X12</f>
        <v/>
      </c>
      <c r="Y13">
        <f>$C13*Y12</f>
        <v/>
      </c>
      <c r="Z13">
        <f>$C13*Z12</f>
        <v/>
      </c>
      <c r="AA13">
        <f>$C13*AA12</f>
        <v/>
      </c>
      <c r="AB13">
        <f>$C13*AB12</f>
        <v/>
      </c>
      <c r="AC13">
        <f>$C13*AC12</f>
        <v/>
      </c>
      <c r="AD13">
        <f>$C13*AD12</f>
        <v/>
      </c>
      <c r="AE13">
        <f>$C13*AE12</f>
        <v/>
      </c>
      <c r="AF13">
        <f>$C13*AF12</f>
        <v/>
      </c>
      <c r="AG13">
        <f>$C13*AG12</f>
        <v/>
      </c>
      <c r="AH13">
        <f>$C13*AH12</f>
        <v/>
      </c>
      <c r="AI13">
        <f>$C13*AI12</f>
        <v/>
      </c>
      <c r="AJ13">
        <f>$C13*AJ12</f>
        <v/>
      </c>
      <c r="AK13">
        <f>$C13*AK12</f>
        <v/>
      </c>
      <c r="AL13">
        <f>$C13*AL12</f>
        <v/>
      </c>
      <c r="AM13">
        <f>$C13*AM12</f>
        <v/>
      </c>
      <c r="AN13">
        <f>$C13*AN12</f>
        <v/>
      </c>
      <c r="AO13">
        <f>$C13*AO12</f>
        <v/>
      </c>
      <c r="AP13">
        <f>$C13*AP12</f>
        <v/>
      </c>
      <c r="AQ13">
        <f>$C13*AQ12</f>
        <v/>
      </c>
      <c r="AR13">
        <f>$C13*AR12</f>
        <v/>
      </c>
      <c r="AS13">
        <f>$C13*AS12</f>
        <v/>
      </c>
      <c r="AT13">
        <f>$C13*AT12</f>
        <v/>
      </c>
      <c r="AU13">
        <f>$C13*AU12</f>
        <v/>
      </c>
      <c r="AV13">
        <f>$C13*AV12</f>
        <v/>
      </c>
      <c r="AW13">
        <f>$C13*AW12</f>
        <v/>
      </c>
      <c r="AX13">
        <f>$C13*AX12</f>
        <v/>
      </c>
      <c r="AY13">
        <f>$C13*AY12</f>
        <v/>
      </c>
      <c r="AZ13">
        <f>$C13*AZ12</f>
        <v/>
      </c>
      <c r="BA13">
        <f>$C13*BA12</f>
        <v/>
      </c>
      <c r="BB13">
        <f>$C13*BB12</f>
        <v/>
      </c>
      <c r="BC13">
        <f>$C13*BC12</f>
        <v/>
      </c>
      <c r="BD13">
        <f>$C13*BD12</f>
        <v/>
      </c>
      <c r="BE13">
        <f>$C13*BE12</f>
        <v/>
      </c>
      <c r="BF13">
        <f>$C13*BF12</f>
        <v/>
      </c>
      <c r="BG13">
        <f>$C13*BG12</f>
        <v/>
      </c>
      <c r="BH13">
        <f>$C13*BH12</f>
        <v/>
      </c>
      <c r="BI13">
        <f>$C13*BI12</f>
        <v/>
      </c>
      <c r="BJ13">
        <f>$C13*BJ12</f>
        <v/>
      </c>
      <c r="BK13">
        <f>$C13*BK12</f>
        <v/>
      </c>
      <c r="BL13">
        <f>$C13*BL12</f>
        <v/>
      </c>
      <c r="BM13">
        <f>$C13*BM12</f>
        <v/>
      </c>
      <c r="BN13">
        <f>$C13*BN12</f>
        <v/>
      </c>
      <c r="BO13">
        <f>$C13*BO12</f>
        <v/>
      </c>
      <c r="BP13">
        <f>$C13*BP12</f>
        <v/>
      </c>
      <c r="BQ13">
        <f>$C13*BQ12</f>
        <v/>
      </c>
      <c r="BR13">
        <f>$C13*BR12</f>
        <v/>
      </c>
      <c r="BS13">
        <f>$C13*BS12</f>
        <v/>
      </c>
      <c r="BT13">
        <f>$C13*BT12</f>
        <v/>
      </c>
      <c r="BU13">
        <f>$C13*BU12</f>
        <v/>
      </c>
      <c r="BV13">
        <f>$C13*BV12</f>
        <v/>
      </c>
      <c r="BW13">
        <f>$C13*BW12</f>
        <v/>
      </c>
      <c r="BX13">
        <f>$C13*BX12</f>
        <v/>
      </c>
      <c r="BY13">
        <f>$C13*BY12</f>
        <v/>
      </c>
      <c r="BZ13">
        <f>$C13*BZ12</f>
        <v/>
      </c>
      <c r="CA13">
        <f>$C13*CA12</f>
        <v/>
      </c>
      <c r="CB13">
        <f>$C13*CB12</f>
        <v/>
      </c>
      <c r="CC13">
        <f>$C13*CC12</f>
        <v/>
      </c>
      <c r="CD13">
        <f>$C13*CD12</f>
        <v/>
      </c>
      <c r="CE13">
        <f>$C13*CE12</f>
        <v/>
      </c>
      <c r="CF13">
        <f>$C13*CF12</f>
        <v/>
      </c>
      <c r="CG13">
        <f>$C13*CG12</f>
        <v/>
      </c>
      <c r="CH13">
        <f>$C13*CH12</f>
        <v/>
      </c>
      <c r="CI13">
        <f>$C13*CI12</f>
        <v/>
      </c>
      <c r="CJ13">
        <f>$C13*CJ12</f>
        <v/>
      </c>
      <c r="CK13">
        <f>$C13*CK12</f>
        <v/>
      </c>
      <c r="CL13">
        <f>$C13*CL12</f>
        <v/>
      </c>
      <c r="CM13">
        <f>$C13*CM12</f>
        <v/>
      </c>
      <c r="CN13">
        <f>$C13*CN12</f>
        <v/>
      </c>
      <c r="CO13">
        <f>$C13*CO12</f>
        <v/>
      </c>
      <c r="CP13">
        <f>$C13*CP12</f>
        <v/>
      </c>
      <c r="CQ13">
        <f>$C13*CQ12</f>
        <v/>
      </c>
      <c r="CR13">
        <f>$C13*CR12</f>
        <v/>
      </c>
      <c r="CS13">
        <f>$C13*CS12</f>
        <v/>
      </c>
      <c r="CT13">
        <f>$C13*CT12</f>
        <v/>
      </c>
      <c r="CU13">
        <f>$C13*CU12</f>
        <v/>
      </c>
      <c r="CV13">
        <f>$C13*CV12</f>
        <v/>
      </c>
      <c r="CW13">
        <f>$C13*CW12</f>
        <v/>
      </c>
      <c r="CX13">
        <f>$C13*CX12</f>
        <v/>
      </c>
      <c r="CY13">
        <f>$C13*CY12</f>
        <v/>
      </c>
      <c r="CZ13">
        <f>$C13*CZ12</f>
        <v/>
      </c>
      <c r="DA13">
        <f>$C13*DA12</f>
        <v/>
      </c>
      <c r="DB13">
        <f>$C13*DB12</f>
        <v/>
      </c>
      <c r="DC13">
        <f>$C13*DC12</f>
        <v/>
      </c>
    </row>
    <row r="14">
      <c r="B14" t="inlineStr">
        <is>
          <t>TSP-077</t>
        </is>
      </c>
      <c r="C14" t="inlineStr">
        <is>
          <t>No. of batches</t>
        </is>
      </c>
      <c r="D14">
        <f>IFERROR(INDEX(PP_Grid[#Data],$DD14,2),0)</f>
        <v/>
      </c>
      <c r="E14">
        <f>IFERROR(INDEX(PP_Grid[#Data],$DD14,3),0)</f>
        <v/>
      </c>
      <c r="F14">
        <f>IFERROR(INDEX(PP_Grid[#Data],$DD14,4),0)</f>
        <v/>
      </c>
      <c r="G14">
        <f>IFERROR(INDEX(PP_Grid[#Data],$DD14,5),0)</f>
        <v/>
      </c>
      <c r="H14">
        <f>IFERROR(INDEX(PP_Grid[#Data],$DD14,6),0)</f>
        <v/>
      </c>
      <c r="I14">
        <f>IFERROR(INDEX(PP_Grid[#Data],$DD14,7),0)</f>
        <v/>
      </c>
      <c r="J14">
        <f>IFERROR(INDEX(PP_Grid[#Data],$DD14,8),0)</f>
        <v/>
      </c>
      <c r="K14">
        <f>IFERROR(INDEX(PP_Grid[#Data],$DD14,9),0)</f>
        <v/>
      </c>
      <c r="L14">
        <f>IFERROR(INDEX(PP_Grid[#Data],$DD14,10),0)</f>
        <v/>
      </c>
      <c r="M14">
        <f>IFERROR(INDEX(PP_Grid[#Data],$DD14,11),0)</f>
        <v/>
      </c>
      <c r="N14">
        <f>IFERROR(INDEX(PP_Grid[#Data],$DD14,12),0)</f>
        <v/>
      </c>
      <c r="O14">
        <f>IFERROR(INDEX(PP_Grid[#Data],$DD14,13),0)</f>
        <v/>
      </c>
      <c r="P14">
        <f>IFERROR(INDEX(PP_Grid[#Data],$DD14,14),0)</f>
        <v/>
      </c>
      <c r="Q14">
        <f>IFERROR(INDEX(PP_Grid[#Data],$DD14,15),0)</f>
        <v/>
      </c>
      <c r="R14">
        <f>IFERROR(INDEX(PP_Grid[#Data],$DD14,16),0)</f>
        <v/>
      </c>
      <c r="S14">
        <f>IFERROR(INDEX(PP_Grid[#Data],$DD14,17),0)</f>
        <v/>
      </c>
      <c r="T14">
        <f>IFERROR(INDEX(PP_Grid[#Data],$DD14,18),0)</f>
        <v/>
      </c>
      <c r="U14">
        <f>IFERROR(INDEX(PP_Grid[#Data],$DD14,19),0)</f>
        <v/>
      </c>
      <c r="V14">
        <f>IFERROR(INDEX(PP_Grid[#Data],$DD14,20),0)</f>
        <v/>
      </c>
      <c r="W14">
        <f>IFERROR(INDEX(PP_Grid[#Data],$DD14,21),0)</f>
        <v/>
      </c>
      <c r="X14">
        <f>IFERROR(INDEX(PP_Grid[#Data],$DD14,22),0)</f>
        <v/>
      </c>
      <c r="Y14">
        <f>IFERROR(INDEX(PP_Grid[#Data],$DD14,23),0)</f>
        <v/>
      </c>
      <c r="Z14">
        <f>IFERROR(INDEX(PP_Grid[#Data],$DD14,24),0)</f>
        <v/>
      </c>
      <c r="AA14">
        <f>IFERROR(INDEX(PP_Grid[#Data],$DD14,25),0)</f>
        <v/>
      </c>
      <c r="AB14">
        <f>IFERROR(INDEX(PP_Grid[#Data],$DD14,26),0)</f>
        <v/>
      </c>
      <c r="AC14">
        <f>IFERROR(INDEX(PP_Grid[#Data],$DD14,27),0)</f>
        <v/>
      </c>
      <c r="AD14">
        <f>IFERROR(INDEX(PP_Grid[#Data],$DD14,28),0)</f>
        <v/>
      </c>
      <c r="AE14">
        <f>IFERROR(INDEX(PP_Grid[#Data],$DD14,29),0)</f>
        <v/>
      </c>
      <c r="AF14">
        <f>IFERROR(INDEX(PP_Grid[#Data],$DD14,30),0)</f>
        <v/>
      </c>
      <c r="AG14">
        <f>IFERROR(INDEX(PP_Grid[#Data],$DD14,31),0)</f>
        <v/>
      </c>
      <c r="AH14">
        <f>IFERROR(INDEX(PP_Grid[#Data],$DD14,32),0)</f>
        <v/>
      </c>
      <c r="AI14">
        <f>IFERROR(INDEX(PP_Grid[#Data],$DD14,33),0)</f>
        <v/>
      </c>
      <c r="AJ14">
        <f>IFERROR(INDEX(PP_Grid[#Data],$DD14,34),0)</f>
        <v/>
      </c>
      <c r="AK14">
        <f>IFERROR(INDEX(PP_Grid[#Data],$DD14,35),0)</f>
        <v/>
      </c>
      <c r="AL14">
        <f>IFERROR(INDEX(PP_Grid[#Data],$DD14,36),0)</f>
        <v/>
      </c>
      <c r="AM14">
        <f>IFERROR(INDEX(PP_Grid[#Data],$DD14,37),0)</f>
        <v/>
      </c>
      <c r="AN14">
        <f>IFERROR(INDEX(PP_Grid[#Data],$DD14,38),0)</f>
        <v/>
      </c>
      <c r="AO14">
        <f>IFERROR(INDEX(PP_Grid[#Data],$DD14,39),0)</f>
        <v/>
      </c>
      <c r="AP14">
        <f>IFERROR(INDEX(PP_Grid[#Data],$DD14,40),0)</f>
        <v/>
      </c>
      <c r="AQ14">
        <f>IFERROR(INDEX(PP_Grid[#Data],$DD14,41),0)</f>
        <v/>
      </c>
      <c r="AR14">
        <f>IFERROR(INDEX(PP_Grid[#Data],$DD14,42),0)</f>
        <v/>
      </c>
      <c r="AS14">
        <f>IFERROR(INDEX(PP_Grid[#Data],$DD14,43),0)</f>
        <v/>
      </c>
      <c r="AT14">
        <f>IFERROR(INDEX(PP_Grid[#Data],$DD14,44),0)</f>
        <v/>
      </c>
      <c r="AU14">
        <f>IFERROR(INDEX(PP_Grid[#Data],$DD14,45),0)</f>
        <v/>
      </c>
      <c r="AV14">
        <f>IFERROR(INDEX(PP_Grid[#Data],$DD14,46),0)</f>
        <v/>
      </c>
      <c r="AW14">
        <f>IFERROR(INDEX(PP_Grid[#Data],$DD14,47),0)</f>
        <v/>
      </c>
      <c r="AX14">
        <f>IFERROR(INDEX(PP_Grid[#Data],$DD14,48),0)</f>
        <v/>
      </c>
      <c r="AY14">
        <f>IFERROR(INDEX(PP_Grid[#Data],$DD14,49),0)</f>
        <v/>
      </c>
      <c r="AZ14">
        <f>IFERROR(INDEX(PP_Grid[#Data],$DD14,50),0)</f>
        <v/>
      </c>
      <c r="BA14">
        <f>IFERROR(INDEX(PP_Grid[#Data],$DD14,51),0)</f>
        <v/>
      </c>
      <c r="BB14">
        <f>IFERROR(INDEX(PP_Grid[#Data],$DD14,52),0)</f>
        <v/>
      </c>
      <c r="BC14">
        <f>IFERROR(INDEX(PP_Grid[#Data],$DD14,53),0)</f>
        <v/>
      </c>
      <c r="BD14">
        <f>IFERROR(INDEX(PP_Grid[#Data],$DD14,54),0)</f>
        <v/>
      </c>
      <c r="BE14">
        <f>IFERROR(INDEX(PP_Grid[#Data],$DD14,55),0)</f>
        <v/>
      </c>
      <c r="BF14">
        <f>IFERROR(INDEX(PP_Grid[#Data],$DD14,56),0)</f>
        <v/>
      </c>
      <c r="BG14">
        <f>IFERROR(INDEX(PP_Grid[#Data],$DD14,57),0)</f>
        <v/>
      </c>
      <c r="BH14">
        <f>IFERROR(INDEX(PP_Grid[#Data],$DD14,58),0)</f>
        <v/>
      </c>
      <c r="BI14">
        <f>IFERROR(INDEX(PP_Grid[#Data],$DD14,59),0)</f>
        <v/>
      </c>
      <c r="BJ14">
        <f>IFERROR(INDEX(PP_Grid[#Data],$DD14,60),0)</f>
        <v/>
      </c>
      <c r="BK14">
        <f>IFERROR(INDEX(PP_Grid[#Data],$DD14,61),0)</f>
        <v/>
      </c>
      <c r="BL14">
        <f>IFERROR(INDEX(PP_Grid[#Data],$DD14,62),0)</f>
        <v/>
      </c>
      <c r="BM14">
        <f>IFERROR(INDEX(PP_Grid[#Data],$DD14,63),0)</f>
        <v/>
      </c>
      <c r="BN14">
        <f>IFERROR(INDEX(PP_Grid[#Data],$DD14,64),0)</f>
        <v/>
      </c>
      <c r="BO14">
        <f>IFERROR(INDEX(PP_Grid[#Data],$DD14,65),0)</f>
        <v/>
      </c>
      <c r="BP14">
        <f>IFERROR(INDEX(PP_Grid[#Data],$DD14,66),0)</f>
        <v/>
      </c>
      <c r="BQ14">
        <f>IFERROR(INDEX(PP_Grid[#Data],$DD14,67),0)</f>
        <v/>
      </c>
      <c r="BR14">
        <f>IFERROR(INDEX(PP_Grid[#Data],$DD14,68),0)</f>
        <v/>
      </c>
      <c r="BS14">
        <f>IFERROR(INDEX(PP_Grid[#Data],$DD14,69),0)</f>
        <v/>
      </c>
      <c r="BT14">
        <f>IFERROR(INDEX(PP_Grid[#Data],$DD14,70),0)</f>
        <v/>
      </c>
      <c r="BU14">
        <f>IFERROR(INDEX(PP_Grid[#Data],$DD14,71),0)</f>
        <v/>
      </c>
      <c r="BV14">
        <f>IFERROR(INDEX(PP_Grid[#Data],$DD14,72),0)</f>
        <v/>
      </c>
      <c r="BW14">
        <f>IFERROR(INDEX(PP_Grid[#Data],$DD14,73),0)</f>
        <v/>
      </c>
      <c r="BX14">
        <f>IFERROR(INDEX(PP_Grid[#Data],$DD14,74),0)</f>
        <v/>
      </c>
      <c r="BY14">
        <f>IFERROR(INDEX(PP_Grid[#Data],$DD14,75),0)</f>
        <v/>
      </c>
      <c r="BZ14">
        <f>IFERROR(INDEX(PP_Grid[#Data],$DD14,76),0)</f>
        <v/>
      </c>
      <c r="CA14">
        <f>IFERROR(INDEX(PP_Grid[#Data],$DD14,77),0)</f>
        <v/>
      </c>
      <c r="CB14">
        <f>IFERROR(INDEX(PP_Grid[#Data],$DD14,78),0)</f>
        <v/>
      </c>
      <c r="CC14">
        <f>IFERROR(INDEX(PP_Grid[#Data],$DD14,79),0)</f>
        <v/>
      </c>
      <c r="CD14">
        <f>IFERROR(INDEX(PP_Grid[#Data],$DD14,80),0)</f>
        <v/>
      </c>
      <c r="CE14">
        <f>IFERROR(INDEX(PP_Grid[#Data],$DD14,81),0)</f>
        <v/>
      </c>
      <c r="CF14">
        <f>IFERROR(INDEX(PP_Grid[#Data],$DD14,82),0)</f>
        <v/>
      </c>
      <c r="CG14">
        <f>IFERROR(INDEX(PP_Grid[#Data],$DD14,83),0)</f>
        <v/>
      </c>
      <c r="CH14">
        <f>IFERROR(INDEX(PP_Grid[#Data],$DD14,84),0)</f>
        <v/>
      </c>
      <c r="CI14">
        <f>IFERROR(INDEX(PP_Grid[#Data],$DD14,85),0)</f>
        <v/>
      </c>
      <c r="CJ14">
        <f>IFERROR(INDEX(PP_Grid[#Data],$DD14,86),0)</f>
        <v/>
      </c>
      <c r="CK14">
        <f>IFERROR(INDEX(PP_Grid[#Data],$DD14,87),0)</f>
        <v/>
      </c>
      <c r="CL14">
        <f>IFERROR(INDEX(PP_Grid[#Data],$DD14,88),0)</f>
        <v/>
      </c>
      <c r="CM14">
        <f>IFERROR(INDEX(PP_Grid[#Data],$DD14,89),0)</f>
        <v/>
      </c>
      <c r="CN14">
        <f>IFERROR(INDEX(PP_Grid[#Data],$DD14,90),0)</f>
        <v/>
      </c>
      <c r="CO14">
        <f>IFERROR(INDEX(PP_Grid[#Data],$DD14,91),0)</f>
        <v/>
      </c>
      <c r="CP14">
        <f>IFERROR(INDEX(PP_Grid[#Data],$DD14,92),0)</f>
        <v/>
      </c>
      <c r="CQ14">
        <f>IFERROR(INDEX(PP_Grid[#Data],$DD14,93),0)</f>
        <v/>
      </c>
      <c r="CR14">
        <f>IFERROR(INDEX(PP_Grid[#Data],$DD14,94),0)</f>
        <v/>
      </c>
      <c r="CS14">
        <f>IFERROR(INDEX(PP_Grid[#Data],$DD14,95),0)</f>
        <v/>
      </c>
      <c r="CT14">
        <f>IFERROR(INDEX(PP_Grid[#Data],$DD14,96),0)</f>
        <v/>
      </c>
      <c r="CU14">
        <f>IFERROR(INDEX(PP_Grid[#Data],$DD14,97),0)</f>
        <v/>
      </c>
      <c r="CV14">
        <f>IFERROR(INDEX(PP_Grid[#Data],$DD14,98),0)</f>
        <v/>
      </c>
      <c r="CW14">
        <f>IFERROR(INDEX(PP_Grid[#Data],$DD14,99),0)</f>
        <v/>
      </c>
      <c r="CX14">
        <f>IFERROR(INDEX(PP_Grid[#Data],$DD14,100),0)</f>
        <v/>
      </c>
      <c r="CY14">
        <f>IFERROR(INDEX(PP_Grid[#Data],$DD14,101),0)</f>
        <v/>
      </c>
      <c r="CZ14">
        <f>IFERROR(INDEX(PP_Grid[#Data],$DD14,102),0)</f>
        <v/>
      </c>
      <c r="DA14">
        <f>IFERROR(INDEX(PP_Grid[#Data],$DD14,103),0)</f>
        <v/>
      </c>
      <c r="DB14">
        <f>IFERROR(INDEX(PP_Grid[#Data],$DD14,104),0)</f>
        <v/>
      </c>
      <c r="DC14">
        <f>IFERROR(INDEX(PP_Grid[#Data],$DD14,105),0)</f>
        <v/>
      </c>
      <c r="DD14" s="7">
        <f>IFERROR(MATCH($B14,PP_Grid[Intermediate],0),99999)</f>
        <v/>
      </c>
    </row>
    <row r="15">
      <c r="B15" t="inlineStr">
        <is>
          <t>使用量(kg)</t>
        </is>
      </c>
      <c r="C15">
        <f>SUMIFS(M_BOM[RM_Qty_Per_Batch],M_BOM[Intermediate],$B14,M_BOM[Part Name],$A7)</f>
        <v/>
      </c>
      <c r="D15">
        <f>$C15*D14</f>
        <v/>
      </c>
      <c r="E15">
        <f>$C15*E14</f>
        <v/>
      </c>
      <c r="F15">
        <f>$C15*F14</f>
        <v/>
      </c>
      <c r="G15">
        <f>$C15*G14</f>
        <v/>
      </c>
      <c r="H15">
        <f>$C15*H14</f>
        <v/>
      </c>
      <c r="I15">
        <f>$C15*I14</f>
        <v/>
      </c>
      <c r="J15">
        <f>$C15*J14</f>
        <v/>
      </c>
      <c r="K15">
        <f>$C15*K14</f>
        <v/>
      </c>
      <c r="L15">
        <f>$C15*L14</f>
        <v/>
      </c>
      <c r="M15">
        <f>$C15*M14</f>
        <v/>
      </c>
      <c r="N15">
        <f>$C15*N14</f>
        <v/>
      </c>
      <c r="O15">
        <f>$C15*O14</f>
        <v/>
      </c>
      <c r="P15">
        <f>$C15*P14</f>
        <v/>
      </c>
      <c r="Q15">
        <f>$C15*Q14</f>
        <v/>
      </c>
      <c r="R15">
        <f>$C15*R14</f>
        <v/>
      </c>
      <c r="S15">
        <f>$C15*S14</f>
        <v/>
      </c>
      <c r="T15">
        <f>$C15*T14</f>
        <v/>
      </c>
      <c r="U15">
        <f>$C15*U14</f>
        <v/>
      </c>
      <c r="V15">
        <f>$C15*V14</f>
        <v/>
      </c>
      <c r="W15">
        <f>$C15*W14</f>
        <v/>
      </c>
      <c r="X15">
        <f>$C15*X14</f>
        <v/>
      </c>
      <c r="Y15">
        <f>$C15*Y14</f>
        <v/>
      </c>
      <c r="Z15">
        <f>$C15*Z14</f>
        <v/>
      </c>
      <c r="AA15">
        <f>$C15*AA14</f>
        <v/>
      </c>
      <c r="AB15">
        <f>$C15*AB14</f>
        <v/>
      </c>
      <c r="AC15">
        <f>$C15*AC14</f>
        <v/>
      </c>
      <c r="AD15">
        <f>$C15*AD14</f>
        <v/>
      </c>
      <c r="AE15">
        <f>$C15*AE14</f>
        <v/>
      </c>
      <c r="AF15">
        <f>$C15*AF14</f>
        <v/>
      </c>
      <c r="AG15">
        <f>$C15*AG14</f>
        <v/>
      </c>
      <c r="AH15">
        <f>$C15*AH14</f>
        <v/>
      </c>
      <c r="AI15">
        <f>$C15*AI14</f>
        <v/>
      </c>
      <c r="AJ15">
        <f>$C15*AJ14</f>
        <v/>
      </c>
      <c r="AK15">
        <f>$C15*AK14</f>
        <v/>
      </c>
      <c r="AL15">
        <f>$C15*AL14</f>
        <v/>
      </c>
      <c r="AM15">
        <f>$C15*AM14</f>
        <v/>
      </c>
      <c r="AN15">
        <f>$C15*AN14</f>
        <v/>
      </c>
      <c r="AO15">
        <f>$C15*AO14</f>
        <v/>
      </c>
      <c r="AP15">
        <f>$C15*AP14</f>
        <v/>
      </c>
      <c r="AQ15">
        <f>$C15*AQ14</f>
        <v/>
      </c>
      <c r="AR15">
        <f>$C15*AR14</f>
        <v/>
      </c>
      <c r="AS15">
        <f>$C15*AS14</f>
        <v/>
      </c>
      <c r="AT15">
        <f>$C15*AT14</f>
        <v/>
      </c>
      <c r="AU15">
        <f>$C15*AU14</f>
        <v/>
      </c>
      <c r="AV15">
        <f>$C15*AV14</f>
        <v/>
      </c>
      <c r="AW15">
        <f>$C15*AW14</f>
        <v/>
      </c>
      <c r="AX15">
        <f>$C15*AX14</f>
        <v/>
      </c>
      <c r="AY15">
        <f>$C15*AY14</f>
        <v/>
      </c>
      <c r="AZ15">
        <f>$C15*AZ14</f>
        <v/>
      </c>
      <c r="BA15">
        <f>$C15*BA14</f>
        <v/>
      </c>
      <c r="BB15">
        <f>$C15*BB14</f>
        <v/>
      </c>
      <c r="BC15">
        <f>$C15*BC14</f>
        <v/>
      </c>
      <c r="BD15">
        <f>$C15*BD14</f>
        <v/>
      </c>
      <c r="BE15">
        <f>$C15*BE14</f>
        <v/>
      </c>
      <c r="BF15">
        <f>$C15*BF14</f>
        <v/>
      </c>
      <c r="BG15">
        <f>$C15*BG14</f>
        <v/>
      </c>
      <c r="BH15">
        <f>$C15*BH14</f>
        <v/>
      </c>
      <c r="BI15">
        <f>$C15*BI14</f>
        <v/>
      </c>
      <c r="BJ15">
        <f>$C15*BJ14</f>
        <v/>
      </c>
      <c r="BK15">
        <f>$C15*BK14</f>
        <v/>
      </c>
      <c r="BL15">
        <f>$C15*BL14</f>
        <v/>
      </c>
      <c r="BM15">
        <f>$C15*BM14</f>
        <v/>
      </c>
      <c r="BN15">
        <f>$C15*BN14</f>
        <v/>
      </c>
      <c r="BO15">
        <f>$C15*BO14</f>
        <v/>
      </c>
      <c r="BP15">
        <f>$C15*BP14</f>
        <v/>
      </c>
      <c r="BQ15">
        <f>$C15*BQ14</f>
        <v/>
      </c>
      <c r="BR15">
        <f>$C15*BR14</f>
        <v/>
      </c>
      <c r="BS15">
        <f>$C15*BS14</f>
        <v/>
      </c>
      <c r="BT15">
        <f>$C15*BT14</f>
        <v/>
      </c>
      <c r="BU15">
        <f>$C15*BU14</f>
        <v/>
      </c>
      <c r="BV15">
        <f>$C15*BV14</f>
        <v/>
      </c>
      <c r="BW15">
        <f>$C15*BW14</f>
        <v/>
      </c>
      <c r="BX15">
        <f>$C15*BX14</f>
        <v/>
      </c>
      <c r="BY15">
        <f>$C15*BY14</f>
        <v/>
      </c>
      <c r="BZ15">
        <f>$C15*BZ14</f>
        <v/>
      </c>
      <c r="CA15">
        <f>$C15*CA14</f>
        <v/>
      </c>
      <c r="CB15">
        <f>$C15*CB14</f>
        <v/>
      </c>
      <c r="CC15">
        <f>$C15*CC14</f>
        <v/>
      </c>
      <c r="CD15">
        <f>$C15*CD14</f>
        <v/>
      </c>
      <c r="CE15">
        <f>$C15*CE14</f>
        <v/>
      </c>
      <c r="CF15">
        <f>$C15*CF14</f>
        <v/>
      </c>
      <c r="CG15">
        <f>$C15*CG14</f>
        <v/>
      </c>
      <c r="CH15">
        <f>$C15*CH14</f>
        <v/>
      </c>
      <c r="CI15">
        <f>$C15*CI14</f>
        <v/>
      </c>
      <c r="CJ15">
        <f>$C15*CJ14</f>
        <v/>
      </c>
      <c r="CK15">
        <f>$C15*CK14</f>
        <v/>
      </c>
      <c r="CL15">
        <f>$C15*CL14</f>
        <v/>
      </c>
      <c r="CM15">
        <f>$C15*CM14</f>
        <v/>
      </c>
      <c r="CN15">
        <f>$C15*CN14</f>
        <v/>
      </c>
      <c r="CO15">
        <f>$C15*CO14</f>
        <v/>
      </c>
      <c r="CP15">
        <f>$C15*CP14</f>
        <v/>
      </c>
      <c r="CQ15">
        <f>$C15*CQ14</f>
        <v/>
      </c>
      <c r="CR15">
        <f>$C15*CR14</f>
        <v/>
      </c>
      <c r="CS15">
        <f>$C15*CS14</f>
        <v/>
      </c>
      <c r="CT15">
        <f>$C15*CT14</f>
        <v/>
      </c>
      <c r="CU15">
        <f>$C15*CU14</f>
        <v/>
      </c>
      <c r="CV15">
        <f>$C15*CV14</f>
        <v/>
      </c>
      <c r="CW15">
        <f>$C15*CW14</f>
        <v/>
      </c>
      <c r="CX15">
        <f>$C15*CX14</f>
        <v/>
      </c>
      <c r="CY15">
        <f>$C15*CY14</f>
        <v/>
      </c>
      <c r="CZ15">
        <f>$C15*CZ14</f>
        <v/>
      </c>
      <c r="DA15">
        <f>$C15*DA14</f>
        <v/>
      </c>
      <c r="DB15">
        <f>$C15*DB14</f>
        <v/>
      </c>
      <c r="DC15">
        <f>$C15*DC14</f>
        <v/>
      </c>
    </row>
    <row r="16">
      <c r="B16" t="inlineStr">
        <is>
          <t>TSP-104</t>
        </is>
      </c>
      <c r="C16" t="inlineStr">
        <is>
          <t>No. of batches</t>
        </is>
      </c>
      <c r="D16">
        <f>IFERROR(INDEX(PP_Grid[#Data],$DD16,2),0)</f>
        <v/>
      </c>
      <c r="E16">
        <f>IFERROR(INDEX(PP_Grid[#Data],$DD16,3),0)</f>
        <v/>
      </c>
      <c r="F16">
        <f>IFERROR(INDEX(PP_Grid[#Data],$DD16,4),0)</f>
        <v/>
      </c>
      <c r="G16">
        <f>IFERROR(INDEX(PP_Grid[#Data],$DD16,5),0)</f>
        <v/>
      </c>
      <c r="H16">
        <f>IFERROR(INDEX(PP_Grid[#Data],$DD16,6),0)</f>
        <v/>
      </c>
      <c r="I16">
        <f>IFERROR(INDEX(PP_Grid[#Data],$DD16,7),0)</f>
        <v/>
      </c>
      <c r="J16">
        <f>IFERROR(INDEX(PP_Grid[#Data],$DD16,8),0)</f>
        <v/>
      </c>
      <c r="K16">
        <f>IFERROR(INDEX(PP_Grid[#Data],$DD16,9),0)</f>
        <v/>
      </c>
      <c r="L16">
        <f>IFERROR(INDEX(PP_Grid[#Data],$DD16,10),0)</f>
        <v/>
      </c>
      <c r="M16">
        <f>IFERROR(INDEX(PP_Grid[#Data],$DD16,11),0)</f>
        <v/>
      </c>
      <c r="N16">
        <f>IFERROR(INDEX(PP_Grid[#Data],$DD16,12),0)</f>
        <v/>
      </c>
      <c r="O16">
        <f>IFERROR(INDEX(PP_Grid[#Data],$DD16,13),0)</f>
        <v/>
      </c>
      <c r="P16">
        <f>IFERROR(INDEX(PP_Grid[#Data],$DD16,14),0)</f>
        <v/>
      </c>
      <c r="Q16">
        <f>IFERROR(INDEX(PP_Grid[#Data],$DD16,15),0)</f>
        <v/>
      </c>
      <c r="R16">
        <f>IFERROR(INDEX(PP_Grid[#Data],$DD16,16),0)</f>
        <v/>
      </c>
      <c r="S16">
        <f>IFERROR(INDEX(PP_Grid[#Data],$DD16,17),0)</f>
        <v/>
      </c>
      <c r="T16">
        <f>IFERROR(INDEX(PP_Grid[#Data],$DD16,18),0)</f>
        <v/>
      </c>
      <c r="U16">
        <f>IFERROR(INDEX(PP_Grid[#Data],$DD16,19),0)</f>
        <v/>
      </c>
      <c r="V16">
        <f>IFERROR(INDEX(PP_Grid[#Data],$DD16,20),0)</f>
        <v/>
      </c>
      <c r="W16">
        <f>IFERROR(INDEX(PP_Grid[#Data],$DD16,21),0)</f>
        <v/>
      </c>
      <c r="X16">
        <f>IFERROR(INDEX(PP_Grid[#Data],$DD16,22),0)</f>
        <v/>
      </c>
      <c r="Y16">
        <f>IFERROR(INDEX(PP_Grid[#Data],$DD16,23),0)</f>
        <v/>
      </c>
      <c r="Z16">
        <f>IFERROR(INDEX(PP_Grid[#Data],$DD16,24),0)</f>
        <v/>
      </c>
      <c r="AA16">
        <f>IFERROR(INDEX(PP_Grid[#Data],$DD16,25),0)</f>
        <v/>
      </c>
      <c r="AB16">
        <f>IFERROR(INDEX(PP_Grid[#Data],$DD16,26),0)</f>
        <v/>
      </c>
      <c r="AC16">
        <f>IFERROR(INDEX(PP_Grid[#Data],$DD16,27),0)</f>
        <v/>
      </c>
      <c r="AD16">
        <f>IFERROR(INDEX(PP_Grid[#Data],$DD16,28),0)</f>
        <v/>
      </c>
      <c r="AE16">
        <f>IFERROR(INDEX(PP_Grid[#Data],$DD16,29),0)</f>
        <v/>
      </c>
      <c r="AF16">
        <f>IFERROR(INDEX(PP_Grid[#Data],$DD16,30),0)</f>
        <v/>
      </c>
      <c r="AG16">
        <f>IFERROR(INDEX(PP_Grid[#Data],$DD16,31),0)</f>
        <v/>
      </c>
      <c r="AH16">
        <f>IFERROR(INDEX(PP_Grid[#Data],$DD16,32),0)</f>
        <v/>
      </c>
      <c r="AI16">
        <f>IFERROR(INDEX(PP_Grid[#Data],$DD16,33),0)</f>
        <v/>
      </c>
      <c r="AJ16">
        <f>IFERROR(INDEX(PP_Grid[#Data],$DD16,34),0)</f>
        <v/>
      </c>
      <c r="AK16">
        <f>IFERROR(INDEX(PP_Grid[#Data],$DD16,35),0)</f>
        <v/>
      </c>
      <c r="AL16">
        <f>IFERROR(INDEX(PP_Grid[#Data],$DD16,36),0)</f>
        <v/>
      </c>
      <c r="AM16">
        <f>IFERROR(INDEX(PP_Grid[#Data],$DD16,37),0)</f>
        <v/>
      </c>
      <c r="AN16">
        <f>IFERROR(INDEX(PP_Grid[#Data],$DD16,38),0)</f>
        <v/>
      </c>
      <c r="AO16">
        <f>IFERROR(INDEX(PP_Grid[#Data],$DD16,39),0)</f>
        <v/>
      </c>
      <c r="AP16">
        <f>IFERROR(INDEX(PP_Grid[#Data],$DD16,40),0)</f>
        <v/>
      </c>
      <c r="AQ16">
        <f>IFERROR(INDEX(PP_Grid[#Data],$DD16,41),0)</f>
        <v/>
      </c>
      <c r="AR16">
        <f>IFERROR(INDEX(PP_Grid[#Data],$DD16,42),0)</f>
        <v/>
      </c>
      <c r="AS16">
        <f>IFERROR(INDEX(PP_Grid[#Data],$DD16,43),0)</f>
        <v/>
      </c>
      <c r="AT16">
        <f>IFERROR(INDEX(PP_Grid[#Data],$DD16,44),0)</f>
        <v/>
      </c>
      <c r="AU16">
        <f>IFERROR(INDEX(PP_Grid[#Data],$DD16,45),0)</f>
        <v/>
      </c>
      <c r="AV16">
        <f>IFERROR(INDEX(PP_Grid[#Data],$DD16,46),0)</f>
        <v/>
      </c>
      <c r="AW16">
        <f>IFERROR(INDEX(PP_Grid[#Data],$DD16,47),0)</f>
        <v/>
      </c>
      <c r="AX16">
        <f>IFERROR(INDEX(PP_Grid[#Data],$DD16,48),0)</f>
        <v/>
      </c>
      <c r="AY16">
        <f>IFERROR(INDEX(PP_Grid[#Data],$DD16,49),0)</f>
        <v/>
      </c>
      <c r="AZ16">
        <f>IFERROR(INDEX(PP_Grid[#Data],$DD16,50),0)</f>
        <v/>
      </c>
      <c r="BA16">
        <f>IFERROR(INDEX(PP_Grid[#Data],$DD16,51),0)</f>
        <v/>
      </c>
      <c r="BB16">
        <f>IFERROR(INDEX(PP_Grid[#Data],$DD16,52),0)</f>
        <v/>
      </c>
      <c r="BC16">
        <f>IFERROR(INDEX(PP_Grid[#Data],$DD16,53),0)</f>
        <v/>
      </c>
      <c r="BD16">
        <f>IFERROR(INDEX(PP_Grid[#Data],$DD16,54),0)</f>
        <v/>
      </c>
      <c r="BE16">
        <f>IFERROR(INDEX(PP_Grid[#Data],$DD16,55),0)</f>
        <v/>
      </c>
      <c r="BF16">
        <f>IFERROR(INDEX(PP_Grid[#Data],$DD16,56),0)</f>
        <v/>
      </c>
      <c r="BG16">
        <f>IFERROR(INDEX(PP_Grid[#Data],$DD16,57),0)</f>
        <v/>
      </c>
      <c r="BH16">
        <f>IFERROR(INDEX(PP_Grid[#Data],$DD16,58),0)</f>
        <v/>
      </c>
      <c r="BI16">
        <f>IFERROR(INDEX(PP_Grid[#Data],$DD16,59),0)</f>
        <v/>
      </c>
      <c r="BJ16">
        <f>IFERROR(INDEX(PP_Grid[#Data],$DD16,60),0)</f>
        <v/>
      </c>
      <c r="BK16">
        <f>IFERROR(INDEX(PP_Grid[#Data],$DD16,61),0)</f>
        <v/>
      </c>
      <c r="BL16">
        <f>IFERROR(INDEX(PP_Grid[#Data],$DD16,62),0)</f>
        <v/>
      </c>
      <c r="BM16">
        <f>IFERROR(INDEX(PP_Grid[#Data],$DD16,63),0)</f>
        <v/>
      </c>
      <c r="BN16">
        <f>IFERROR(INDEX(PP_Grid[#Data],$DD16,64),0)</f>
        <v/>
      </c>
      <c r="BO16">
        <f>IFERROR(INDEX(PP_Grid[#Data],$DD16,65),0)</f>
        <v/>
      </c>
      <c r="BP16">
        <f>IFERROR(INDEX(PP_Grid[#Data],$DD16,66),0)</f>
        <v/>
      </c>
      <c r="BQ16">
        <f>IFERROR(INDEX(PP_Grid[#Data],$DD16,67),0)</f>
        <v/>
      </c>
      <c r="BR16">
        <f>IFERROR(INDEX(PP_Grid[#Data],$DD16,68),0)</f>
        <v/>
      </c>
      <c r="BS16">
        <f>IFERROR(INDEX(PP_Grid[#Data],$DD16,69),0)</f>
        <v/>
      </c>
      <c r="BT16">
        <f>IFERROR(INDEX(PP_Grid[#Data],$DD16,70),0)</f>
        <v/>
      </c>
      <c r="BU16">
        <f>IFERROR(INDEX(PP_Grid[#Data],$DD16,71),0)</f>
        <v/>
      </c>
      <c r="BV16">
        <f>IFERROR(INDEX(PP_Grid[#Data],$DD16,72),0)</f>
        <v/>
      </c>
      <c r="BW16">
        <f>IFERROR(INDEX(PP_Grid[#Data],$DD16,73),0)</f>
        <v/>
      </c>
      <c r="BX16">
        <f>IFERROR(INDEX(PP_Grid[#Data],$DD16,74),0)</f>
        <v/>
      </c>
      <c r="BY16">
        <f>IFERROR(INDEX(PP_Grid[#Data],$DD16,75),0)</f>
        <v/>
      </c>
      <c r="BZ16">
        <f>IFERROR(INDEX(PP_Grid[#Data],$DD16,76),0)</f>
        <v/>
      </c>
      <c r="CA16">
        <f>IFERROR(INDEX(PP_Grid[#Data],$DD16,77),0)</f>
        <v/>
      </c>
      <c r="CB16">
        <f>IFERROR(INDEX(PP_Grid[#Data],$DD16,78),0)</f>
        <v/>
      </c>
      <c r="CC16">
        <f>IFERROR(INDEX(PP_Grid[#Data],$DD16,79),0)</f>
        <v/>
      </c>
      <c r="CD16">
        <f>IFERROR(INDEX(PP_Grid[#Data],$DD16,80),0)</f>
        <v/>
      </c>
      <c r="CE16">
        <f>IFERROR(INDEX(PP_Grid[#Data],$DD16,81),0)</f>
        <v/>
      </c>
      <c r="CF16">
        <f>IFERROR(INDEX(PP_Grid[#Data],$DD16,82),0)</f>
        <v/>
      </c>
      <c r="CG16">
        <f>IFERROR(INDEX(PP_Grid[#Data],$DD16,83),0)</f>
        <v/>
      </c>
      <c r="CH16">
        <f>IFERROR(INDEX(PP_Grid[#Data],$DD16,84),0)</f>
        <v/>
      </c>
      <c r="CI16">
        <f>IFERROR(INDEX(PP_Grid[#Data],$DD16,85),0)</f>
        <v/>
      </c>
      <c r="CJ16">
        <f>IFERROR(INDEX(PP_Grid[#Data],$DD16,86),0)</f>
        <v/>
      </c>
      <c r="CK16">
        <f>IFERROR(INDEX(PP_Grid[#Data],$DD16,87),0)</f>
        <v/>
      </c>
      <c r="CL16">
        <f>IFERROR(INDEX(PP_Grid[#Data],$DD16,88),0)</f>
        <v/>
      </c>
      <c r="CM16">
        <f>IFERROR(INDEX(PP_Grid[#Data],$DD16,89),0)</f>
        <v/>
      </c>
      <c r="CN16">
        <f>IFERROR(INDEX(PP_Grid[#Data],$DD16,90),0)</f>
        <v/>
      </c>
      <c r="CO16">
        <f>IFERROR(INDEX(PP_Grid[#Data],$DD16,91),0)</f>
        <v/>
      </c>
      <c r="CP16">
        <f>IFERROR(INDEX(PP_Grid[#Data],$DD16,92),0)</f>
        <v/>
      </c>
      <c r="CQ16">
        <f>IFERROR(INDEX(PP_Grid[#Data],$DD16,93),0)</f>
        <v/>
      </c>
      <c r="CR16">
        <f>IFERROR(INDEX(PP_Grid[#Data],$DD16,94),0)</f>
        <v/>
      </c>
      <c r="CS16">
        <f>IFERROR(INDEX(PP_Grid[#Data],$DD16,95),0)</f>
        <v/>
      </c>
      <c r="CT16">
        <f>IFERROR(INDEX(PP_Grid[#Data],$DD16,96),0)</f>
        <v/>
      </c>
      <c r="CU16">
        <f>IFERROR(INDEX(PP_Grid[#Data],$DD16,97),0)</f>
        <v/>
      </c>
      <c r="CV16">
        <f>IFERROR(INDEX(PP_Grid[#Data],$DD16,98),0)</f>
        <v/>
      </c>
      <c r="CW16">
        <f>IFERROR(INDEX(PP_Grid[#Data],$DD16,99),0)</f>
        <v/>
      </c>
      <c r="CX16">
        <f>IFERROR(INDEX(PP_Grid[#Data],$DD16,100),0)</f>
        <v/>
      </c>
      <c r="CY16">
        <f>IFERROR(INDEX(PP_Grid[#Data],$DD16,101),0)</f>
        <v/>
      </c>
      <c r="CZ16">
        <f>IFERROR(INDEX(PP_Grid[#Data],$DD16,102),0)</f>
        <v/>
      </c>
      <c r="DA16">
        <f>IFERROR(INDEX(PP_Grid[#Data],$DD16,103),0)</f>
        <v/>
      </c>
      <c r="DB16">
        <f>IFERROR(INDEX(PP_Grid[#Data],$DD16,104),0)</f>
        <v/>
      </c>
      <c r="DC16">
        <f>IFERROR(INDEX(PP_Grid[#Data],$DD16,105),0)</f>
        <v/>
      </c>
      <c r="DD16" s="7">
        <f>IFERROR(MATCH($B16,PP_Grid[Intermediate],0),99999)</f>
        <v/>
      </c>
    </row>
    <row r="17">
      <c r="B17" t="inlineStr">
        <is>
          <t>使用量(kg)</t>
        </is>
      </c>
      <c r="C17">
        <f>SUMIFS(M_BOM[RM_Qty_Per_Batch],M_BOM[Intermediate],$B16,M_BOM[Part Name],$A7)</f>
        <v/>
      </c>
      <c r="D17">
        <f>$C17*D16</f>
        <v/>
      </c>
      <c r="E17">
        <f>$C17*E16</f>
        <v/>
      </c>
      <c r="F17">
        <f>$C17*F16</f>
        <v/>
      </c>
      <c r="G17">
        <f>$C17*G16</f>
        <v/>
      </c>
      <c r="H17">
        <f>$C17*H16</f>
        <v/>
      </c>
      <c r="I17">
        <f>$C17*I16</f>
        <v/>
      </c>
      <c r="J17">
        <f>$C17*J16</f>
        <v/>
      </c>
      <c r="K17">
        <f>$C17*K16</f>
        <v/>
      </c>
      <c r="L17">
        <f>$C17*L16</f>
        <v/>
      </c>
      <c r="M17">
        <f>$C17*M16</f>
        <v/>
      </c>
      <c r="N17">
        <f>$C17*N16</f>
        <v/>
      </c>
      <c r="O17">
        <f>$C17*O16</f>
        <v/>
      </c>
      <c r="P17">
        <f>$C17*P16</f>
        <v/>
      </c>
      <c r="Q17">
        <f>$C17*Q16</f>
        <v/>
      </c>
      <c r="R17">
        <f>$C17*R16</f>
        <v/>
      </c>
      <c r="S17">
        <f>$C17*S16</f>
        <v/>
      </c>
      <c r="T17">
        <f>$C17*T16</f>
        <v/>
      </c>
      <c r="U17">
        <f>$C17*U16</f>
        <v/>
      </c>
      <c r="V17">
        <f>$C17*V16</f>
        <v/>
      </c>
      <c r="W17">
        <f>$C17*W16</f>
        <v/>
      </c>
      <c r="X17">
        <f>$C17*X16</f>
        <v/>
      </c>
      <c r="Y17">
        <f>$C17*Y16</f>
        <v/>
      </c>
      <c r="Z17">
        <f>$C17*Z16</f>
        <v/>
      </c>
      <c r="AA17">
        <f>$C17*AA16</f>
        <v/>
      </c>
      <c r="AB17">
        <f>$C17*AB16</f>
        <v/>
      </c>
      <c r="AC17">
        <f>$C17*AC16</f>
        <v/>
      </c>
      <c r="AD17">
        <f>$C17*AD16</f>
        <v/>
      </c>
      <c r="AE17">
        <f>$C17*AE16</f>
        <v/>
      </c>
      <c r="AF17">
        <f>$C17*AF16</f>
        <v/>
      </c>
      <c r="AG17">
        <f>$C17*AG16</f>
        <v/>
      </c>
      <c r="AH17">
        <f>$C17*AH16</f>
        <v/>
      </c>
      <c r="AI17">
        <f>$C17*AI16</f>
        <v/>
      </c>
      <c r="AJ17">
        <f>$C17*AJ16</f>
        <v/>
      </c>
      <c r="AK17">
        <f>$C17*AK16</f>
        <v/>
      </c>
      <c r="AL17">
        <f>$C17*AL16</f>
        <v/>
      </c>
      <c r="AM17">
        <f>$C17*AM16</f>
        <v/>
      </c>
      <c r="AN17">
        <f>$C17*AN16</f>
        <v/>
      </c>
      <c r="AO17">
        <f>$C17*AO16</f>
        <v/>
      </c>
      <c r="AP17">
        <f>$C17*AP16</f>
        <v/>
      </c>
      <c r="AQ17">
        <f>$C17*AQ16</f>
        <v/>
      </c>
      <c r="AR17">
        <f>$C17*AR16</f>
        <v/>
      </c>
      <c r="AS17">
        <f>$C17*AS16</f>
        <v/>
      </c>
      <c r="AT17">
        <f>$C17*AT16</f>
        <v/>
      </c>
      <c r="AU17">
        <f>$C17*AU16</f>
        <v/>
      </c>
      <c r="AV17">
        <f>$C17*AV16</f>
        <v/>
      </c>
      <c r="AW17">
        <f>$C17*AW16</f>
        <v/>
      </c>
      <c r="AX17">
        <f>$C17*AX16</f>
        <v/>
      </c>
      <c r="AY17">
        <f>$C17*AY16</f>
        <v/>
      </c>
      <c r="AZ17">
        <f>$C17*AZ16</f>
        <v/>
      </c>
      <c r="BA17">
        <f>$C17*BA16</f>
        <v/>
      </c>
      <c r="BB17">
        <f>$C17*BB16</f>
        <v/>
      </c>
      <c r="BC17">
        <f>$C17*BC16</f>
        <v/>
      </c>
      <c r="BD17">
        <f>$C17*BD16</f>
        <v/>
      </c>
      <c r="BE17">
        <f>$C17*BE16</f>
        <v/>
      </c>
      <c r="BF17">
        <f>$C17*BF16</f>
        <v/>
      </c>
      <c r="BG17">
        <f>$C17*BG16</f>
        <v/>
      </c>
      <c r="BH17">
        <f>$C17*BH16</f>
        <v/>
      </c>
      <c r="BI17">
        <f>$C17*BI16</f>
        <v/>
      </c>
      <c r="BJ17">
        <f>$C17*BJ16</f>
        <v/>
      </c>
      <c r="BK17">
        <f>$C17*BK16</f>
        <v/>
      </c>
      <c r="BL17">
        <f>$C17*BL16</f>
        <v/>
      </c>
      <c r="BM17">
        <f>$C17*BM16</f>
        <v/>
      </c>
      <c r="BN17">
        <f>$C17*BN16</f>
        <v/>
      </c>
      <c r="BO17">
        <f>$C17*BO16</f>
        <v/>
      </c>
      <c r="BP17">
        <f>$C17*BP16</f>
        <v/>
      </c>
      <c r="BQ17">
        <f>$C17*BQ16</f>
        <v/>
      </c>
      <c r="BR17">
        <f>$C17*BR16</f>
        <v/>
      </c>
      <c r="BS17">
        <f>$C17*BS16</f>
        <v/>
      </c>
      <c r="BT17">
        <f>$C17*BT16</f>
        <v/>
      </c>
      <c r="BU17">
        <f>$C17*BU16</f>
        <v/>
      </c>
      <c r="BV17">
        <f>$C17*BV16</f>
        <v/>
      </c>
      <c r="BW17">
        <f>$C17*BW16</f>
        <v/>
      </c>
      <c r="BX17">
        <f>$C17*BX16</f>
        <v/>
      </c>
      <c r="BY17">
        <f>$C17*BY16</f>
        <v/>
      </c>
      <c r="BZ17">
        <f>$C17*BZ16</f>
        <v/>
      </c>
      <c r="CA17">
        <f>$C17*CA16</f>
        <v/>
      </c>
      <c r="CB17">
        <f>$C17*CB16</f>
        <v/>
      </c>
      <c r="CC17">
        <f>$C17*CC16</f>
        <v/>
      </c>
      <c r="CD17">
        <f>$C17*CD16</f>
        <v/>
      </c>
      <c r="CE17">
        <f>$C17*CE16</f>
        <v/>
      </c>
      <c r="CF17">
        <f>$C17*CF16</f>
        <v/>
      </c>
      <c r="CG17">
        <f>$C17*CG16</f>
        <v/>
      </c>
      <c r="CH17">
        <f>$C17*CH16</f>
        <v/>
      </c>
      <c r="CI17">
        <f>$C17*CI16</f>
        <v/>
      </c>
      <c r="CJ17">
        <f>$C17*CJ16</f>
        <v/>
      </c>
      <c r="CK17">
        <f>$C17*CK16</f>
        <v/>
      </c>
      <c r="CL17">
        <f>$C17*CL16</f>
        <v/>
      </c>
      <c r="CM17">
        <f>$C17*CM16</f>
        <v/>
      </c>
      <c r="CN17">
        <f>$C17*CN16</f>
        <v/>
      </c>
      <c r="CO17">
        <f>$C17*CO16</f>
        <v/>
      </c>
      <c r="CP17">
        <f>$C17*CP16</f>
        <v/>
      </c>
      <c r="CQ17">
        <f>$C17*CQ16</f>
        <v/>
      </c>
      <c r="CR17">
        <f>$C17*CR16</f>
        <v/>
      </c>
      <c r="CS17">
        <f>$C17*CS16</f>
        <v/>
      </c>
      <c r="CT17">
        <f>$C17*CT16</f>
        <v/>
      </c>
      <c r="CU17">
        <f>$C17*CU16</f>
        <v/>
      </c>
      <c r="CV17">
        <f>$C17*CV16</f>
        <v/>
      </c>
      <c r="CW17">
        <f>$C17*CW16</f>
        <v/>
      </c>
      <c r="CX17">
        <f>$C17*CX16</f>
        <v/>
      </c>
      <c r="CY17">
        <f>$C17*CY16</f>
        <v/>
      </c>
      <c r="CZ17">
        <f>$C17*CZ16</f>
        <v/>
      </c>
      <c r="DA17">
        <f>$C17*DA16</f>
        <v/>
      </c>
      <c r="DB17">
        <f>$C17*DB16</f>
        <v/>
      </c>
      <c r="DC17">
        <f>$C17*DC16</f>
        <v/>
      </c>
    </row>
    <row r="18">
      <c r="B18" t="inlineStr">
        <is>
          <t>TSP-199</t>
        </is>
      </c>
      <c r="C18" t="inlineStr">
        <is>
          <t>No. of batches</t>
        </is>
      </c>
      <c r="D18">
        <f>IFERROR(INDEX(PP_Grid[#Data],$DD18,2),0)</f>
        <v/>
      </c>
      <c r="E18">
        <f>IFERROR(INDEX(PP_Grid[#Data],$DD18,3),0)</f>
        <v/>
      </c>
      <c r="F18">
        <f>IFERROR(INDEX(PP_Grid[#Data],$DD18,4),0)</f>
        <v/>
      </c>
      <c r="G18">
        <f>IFERROR(INDEX(PP_Grid[#Data],$DD18,5),0)</f>
        <v/>
      </c>
      <c r="H18">
        <f>IFERROR(INDEX(PP_Grid[#Data],$DD18,6),0)</f>
        <v/>
      </c>
      <c r="I18">
        <f>IFERROR(INDEX(PP_Grid[#Data],$DD18,7),0)</f>
        <v/>
      </c>
      <c r="J18">
        <f>IFERROR(INDEX(PP_Grid[#Data],$DD18,8),0)</f>
        <v/>
      </c>
      <c r="K18">
        <f>IFERROR(INDEX(PP_Grid[#Data],$DD18,9),0)</f>
        <v/>
      </c>
      <c r="L18">
        <f>IFERROR(INDEX(PP_Grid[#Data],$DD18,10),0)</f>
        <v/>
      </c>
      <c r="M18">
        <f>IFERROR(INDEX(PP_Grid[#Data],$DD18,11),0)</f>
        <v/>
      </c>
      <c r="N18">
        <f>IFERROR(INDEX(PP_Grid[#Data],$DD18,12),0)</f>
        <v/>
      </c>
      <c r="O18">
        <f>IFERROR(INDEX(PP_Grid[#Data],$DD18,13),0)</f>
        <v/>
      </c>
      <c r="P18">
        <f>IFERROR(INDEX(PP_Grid[#Data],$DD18,14),0)</f>
        <v/>
      </c>
      <c r="Q18">
        <f>IFERROR(INDEX(PP_Grid[#Data],$DD18,15),0)</f>
        <v/>
      </c>
      <c r="R18">
        <f>IFERROR(INDEX(PP_Grid[#Data],$DD18,16),0)</f>
        <v/>
      </c>
      <c r="S18">
        <f>IFERROR(INDEX(PP_Grid[#Data],$DD18,17),0)</f>
        <v/>
      </c>
      <c r="T18">
        <f>IFERROR(INDEX(PP_Grid[#Data],$DD18,18),0)</f>
        <v/>
      </c>
      <c r="U18">
        <f>IFERROR(INDEX(PP_Grid[#Data],$DD18,19),0)</f>
        <v/>
      </c>
      <c r="V18">
        <f>IFERROR(INDEX(PP_Grid[#Data],$DD18,20),0)</f>
        <v/>
      </c>
      <c r="W18">
        <f>IFERROR(INDEX(PP_Grid[#Data],$DD18,21),0)</f>
        <v/>
      </c>
      <c r="X18">
        <f>IFERROR(INDEX(PP_Grid[#Data],$DD18,22),0)</f>
        <v/>
      </c>
      <c r="Y18">
        <f>IFERROR(INDEX(PP_Grid[#Data],$DD18,23),0)</f>
        <v/>
      </c>
      <c r="Z18">
        <f>IFERROR(INDEX(PP_Grid[#Data],$DD18,24),0)</f>
        <v/>
      </c>
      <c r="AA18">
        <f>IFERROR(INDEX(PP_Grid[#Data],$DD18,25),0)</f>
        <v/>
      </c>
      <c r="AB18">
        <f>IFERROR(INDEX(PP_Grid[#Data],$DD18,26),0)</f>
        <v/>
      </c>
      <c r="AC18">
        <f>IFERROR(INDEX(PP_Grid[#Data],$DD18,27),0)</f>
        <v/>
      </c>
      <c r="AD18">
        <f>IFERROR(INDEX(PP_Grid[#Data],$DD18,28),0)</f>
        <v/>
      </c>
      <c r="AE18">
        <f>IFERROR(INDEX(PP_Grid[#Data],$DD18,29),0)</f>
        <v/>
      </c>
      <c r="AF18">
        <f>IFERROR(INDEX(PP_Grid[#Data],$DD18,30),0)</f>
        <v/>
      </c>
      <c r="AG18">
        <f>IFERROR(INDEX(PP_Grid[#Data],$DD18,31),0)</f>
        <v/>
      </c>
      <c r="AH18">
        <f>IFERROR(INDEX(PP_Grid[#Data],$DD18,32),0)</f>
        <v/>
      </c>
      <c r="AI18">
        <f>IFERROR(INDEX(PP_Grid[#Data],$DD18,33),0)</f>
        <v/>
      </c>
      <c r="AJ18">
        <f>IFERROR(INDEX(PP_Grid[#Data],$DD18,34),0)</f>
        <v/>
      </c>
      <c r="AK18">
        <f>IFERROR(INDEX(PP_Grid[#Data],$DD18,35),0)</f>
        <v/>
      </c>
      <c r="AL18">
        <f>IFERROR(INDEX(PP_Grid[#Data],$DD18,36),0)</f>
        <v/>
      </c>
      <c r="AM18">
        <f>IFERROR(INDEX(PP_Grid[#Data],$DD18,37),0)</f>
        <v/>
      </c>
      <c r="AN18">
        <f>IFERROR(INDEX(PP_Grid[#Data],$DD18,38),0)</f>
        <v/>
      </c>
      <c r="AO18">
        <f>IFERROR(INDEX(PP_Grid[#Data],$DD18,39),0)</f>
        <v/>
      </c>
      <c r="AP18">
        <f>IFERROR(INDEX(PP_Grid[#Data],$DD18,40),0)</f>
        <v/>
      </c>
      <c r="AQ18">
        <f>IFERROR(INDEX(PP_Grid[#Data],$DD18,41),0)</f>
        <v/>
      </c>
      <c r="AR18">
        <f>IFERROR(INDEX(PP_Grid[#Data],$DD18,42),0)</f>
        <v/>
      </c>
      <c r="AS18">
        <f>IFERROR(INDEX(PP_Grid[#Data],$DD18,43),0)</f>
        <v/>
      </c>
      <c r="AT18">
        <f>IFERROR(INDEX(PP_Grid[#Data],$DD18,44),0)</f>
        <v/>
      </c>
      <c r="AU18">
        <f>IFERROR(INDEX(PP_Grid[#Data],$DD18,45),0)</f>
        <v/>
      </c>
      <c r="AV18">
        <f>IFERROR(INDEX(PP_Grid[#Data],$DD18,46),0)</f>
        <v/>
      </c>
      <c r="AW18">
        <f>IFERROR(INDEX(PP_Grid[#Data],$DD18,47),0)</f>
        <v/>
      </c>
      <c r="AX18">
        <f>IFERROR(INDEX(PP_Grid[#Data],$DD18,48),0)</f>
        <v/>
      </c>
      <c r="AY18">
        <f>IFERROR(INDEX(PP_Grid[#Data],$DD18,49),0)</f>
        <v/>
      </c>
      <c r="AZ18">
        <f>IFERROR(INDEX(PP_Grid[#Data],$DD18,50),0)</f>
        <v/>
      </c>
      <c r="BA18">
        <f>IFERROR(INDEX(PP_Grid[#Data],$DD18,51),0)</f>
        <v/>
      </c>
      <c r="BB18">
        <f>IFERROR(INDEX(PP_Grid[#Data],$DD18,52),0)</f>
        <v/>
      </c>
      <c r="BC18">
        <f>IFERROR(INDEX(PP_Grid[#Data],$DD18,53),0)</f>
        <v/>
      </c>
      <c r="BD18">
        <f>IFERROR(INDEX(PP_Grid[#Data],$DD18,54),0)</f>
        <v/>
      </c>
      <c r="BE18">
        <f>IFERROR(INDEX(PP_Grid[#Data],$DD18,55),0)</f>
        <v/>
      </c>
      <c r="BF18">
        <f>IFERROR(INDEX(PP_Grid[#Data],$DD18,56),0)</f>
        <v/>
      </c>
      <c r="BG18">
        <f>IFERROR(INDEX(PP_Grid[#Data],$DD18,57),0)</f>
        <v/>
      </c>
      <c r="BH18">
        <f>IFERROR(INDEX(PP_Grid[#Data],$DD18,58),0)</f>
        <v/>
      </c>
      <c r="BI18">
        <f>IFERROR(INDEX(PP_Grid[#Data],$DD18,59),0)</f>
        <v/>
      </c>
      <c r="BJ18">
        <f>IFERROR(INDEX(PP_Grid[#Data],$DD18,60),0)</f>
        <v/>
      </c>
      <c r="BK18">
        <f>IFERROR(INDEX(PP_Grid[#Data],$DD18,61),0)</f>
        <v/>
      </c>
      <c r="BL18">
        <f>IFERROR(INDEX(PP_Grid[#Data],$DD18,62),0)</f>
        <v/>
      </c>
      <c r="BM18">
        <f>IFERROR(INDEX(PP_Grid[#Data],$DD18,63),0)</f>
        <v/>
      </c>
      <c r="BN18">
        <f>IFERROR(INDEX(PP_Grid[#Data],$DD18,64),0)</f>
        <v/>
      </c>
      <c r="BO18">
        <f>IFERROR(INDEX(PP_Grid[#Data],$DD18,65),0)</f>
        <v/>
      </c>
      <c r="BP18">
        <f>IFERROR(INDEX(PP_Grid[#Data],$DD18,66),0)</f>
        <v/>
      </c>
      <c r="BQ18">
        <f>IFERROR(INDEX(PP_Grid[#Data],$DD18,67),0)</f>
        <v/>
      </c>
      <c r="BR18">
        <f>IFERROR(INDEX(PP_Grid[#Data],$DD18,68),0)</f>
        <v/>
      </c>
      <c r="BS18">
        <f>IFERROR(INDEX(PP_Grid[#Data],$DD18,69),0)</f>
        <v/>
      </c>
      <c r="BT18">
        <f>IFERROR(INDEX(PP_Grid[#Data],$DD18,70),0)</f>
        <v/>
      </c>
      <c r="BU18">
        <f>IFERROR(INDEX(PP_Grid[#Data],$DD18,71),0)</f>
        <v/>
      </c>
      <c r="BV18">
        <f>IFERROR(INDEX(PP_Grid[#Data],$DD18,72),0)</f>
        <v/>
      </c>
      <c r="BW18">
        <f>IFERROR(INDEX(PP_Grid[#Data],$DD18,73),0)</f>
        <v/>
      </c>
      <c r="BX18">
        <f>IFERROR(INDEX(PP_Grid[#Data],$DD18,74),0)</f>
        <v/>
      </c>
      <c r="BY18">
        <f>IFERROR(INDEX(PP_Grid[#Data],$DD18,75),0)</f>
        <v/>
      </c>
      <c r="BZ18">
        <f>IFERROR(INDEX(PP_Grid[#Data],$DD18,76),0)</f>
        <v/>
      </c>
      <c r="CA18">
        <f>IFERROR(INDEX(PP_Grid[#Data],$DD18,77),0)</f>
        <v/>
      </c>
      <c r="CB18">
        <f>IFERROR(INDEX(PP_Grid[#Data],$DD18,78),0)</f>
        <v/>
      </c>
      <c r="CC18">
        <f>IFERROR(INDEX(PP_Grid[#Data],$DD18,79),0)</f>
        <v/>
      </c>
      <c r="CD18">
        <f>IFERROR(INDEX(PP_Grid[#Data],$DD18,80),0)</f>
        <v/>
      </c>
      <c r="CE18">
        <f>IFERROR(INDEX(PP_Grid[#Data],$DD18,81),0)</f>
        <v/>
      </c>
      <c r="CF18">
        <f>IFERROR(INDEX(PP_Grid[#Data],$DD18,82),0)</f>
        <v/>
      </c>
      <c r="CG18">
        <f>IFERROR(INDEX(PP_Grid[#Data],$DD18,83),0)</f>
        <v/>
      </c>
      <c r="CH18">
        <f>IFERROR(INDEX(PP_Grid[#Data],$DD18,84),0)</f>
        <v/>
      </c>
      <c r="CI18">
        <f>IFERROR(INDEX(PP_Grid[#Data],$DD18,85),0)</f>
        <v/>
      </c>
      <c r="CJ18">
        <f>IFERROR(INDEX(PP_Grid[#Data],$DD18,86),0)</f>
        <v/>
      </c>
      <c r="CK18">
        <f>IFERROR(INDEX(PP_Grid[#Data],$DD18,87),0)</f>
        <v/>
      </c>
      <c r="CL18">
        <f>IFERROR(INDEX(PP_Grid[#Data],$DD18,88),0)</f>
        <v/>
      </c>
      <c r="CM18">
        <f>IFERROR(INDEX(PP_Grid[#Data],$DD18,89),0)</f>
        <v/>
      </c>
      <c r="CN18">
        <f>IFERROR(INDEX(PP_Grid[#Data],$DD18,90),0)</f>
        <v/>
      </c>
      <c r="CO18">
        <f>IFERROR(INDEX(PP_Grid[#Data],$DD18,91),0)</f>
        <v/>
      </c>
      <c r="CP18">
        <f>IFERROR(INDEX(PP_Grid[#Data],$DD18,92),0)</f>
        <v/>
      </c>
      <c r="CQ18">
        <f>IFERROR(INDEX(PP_Grid[#Data],$DD18,93),0)</f>
        <v/>
      </c>
      <c r="CR18">
        <f>IFERROR(INDEX(PP_Grid[#Data],$DD18,94),0)</f>
        <v/>
      </c>
      <c r="CS18">
        <f>IFERROR(INDEX(PP_Grid[#Data],$DD18,95),0)</f>
        <v/>
      </c>
      <c r="CT18">
        <f>IFERROR(INDEX(PP_Grid[#Data],$DD18,96),0)</f>
        <v/>
      </c>
      <c r="CU18">
        <f>IFERROR(INDEX(PP_Grid[#Data],$DD18,97),0)</f>
        <v/>
      </c>
      <c r="CV18">
        <f>IFERROR(INDEX(PP_Grid[#Data],$DD18,98),0)</f>
        <v/>
      </c>
      <c r="CW18">
        <f>IFERROR(INDEX(PP_Grid[#Data],$DD18,99),0)</f>
        <v/>
      </c>
      <c r="CX18">
        <f>IFERROR(INDEX(PP_Grid[#Data],$DD18,100),0)</f>
        <v/>
      </c>
      <c r="CY18">
        <f>IFERROR(INDEX(PP_Grid[#Data],$DD18,101),0)</f>
        <v/>
      </c>
      <c r="CZ18">
        <f>IFERROR(INDEX(PP_Grid[#Data],$DD18,102),0)</f>
        <v/>
      </c>
      <c r="DA18">
        <f>IFERROR(INDEX(PP_Grid[#Data],$DD18,103),0)</f>
        <v/>
      </c>
      <c r="DB18">
        <f>IFERROR(INDEX(PP_Grid[#Data],$DD18,104),0)</f>
        <v/>
      </c>
      <c r="DC18">
        <f>IFERROR(INDEX(PP_Grid[#Data],$DD18,105),0)</f>
        <v/>
      </c>
      <c r="DD18" s="7">
        <f>IFERROR(MATCH($B18,PP_Grid[Intermediate],0),99999)</f>
        <v/>
      </c>
    </row>
    <row r="19">
      <c r="B19" t="inlineStr">
        <is>
          <t>使用量(kg)</t>
        </is>
      </c>
      <c r="C19">
        <f>SUMIFS(M_BOM[RM_Qty_Per_Batch],M_BOM[Intermediate],$B18,M_BOM[Part Name],$A7)</f>
        <v/>
      </c>
      <c r="D19">
        <f>$C19*D18</f>
        <v/>
      </c>
      <c r="E19">
        <f>$C19*E18</f>
        <v/>
      </c>
      <c r="F19">
        <f>$C19*F18</f>
        <v/>
      </c>
      <c r="G19">
        <f>$C19*G18</f>
        <v/>
      </c>
      <c r="H19">
        <f>$C19*H18</f>
        <v/>
      </c>
      <c r="I19">
        <f>$C19*I18</f>
        <v/>
      </c>
      <c r="J19">
        <f>$C19*J18</f>
        <v/>
      </c>
      <c r="K19">
        <f>$C19*K18</f>
        <v/>
      </c>
      <c r="L19">
        <f>$C19*L18</f>
        <v/>
      </c>
      <c r="M19">
        <f>$C19*M18</f>
        <v/>
      </c>
      <c r="N19">
        <f>$C19*N18</f>
        <v/>
      </c>
      <c r="O19">
        <f>$C19*O18</f>
        <v/>
      </c>
      <c r="P19">
        <f>$C19*P18</f>
        <v/>
      </c>
      <c r="Q19">
        <f>$C19*Q18</f>
        <v/>
      </c>
      <c r="R19">
        <f>$C19*R18</f>
        <v/>
      </c>
      <c r="S19">
        <f>$C19*S18</f>
        <v/>
      </c>
      <c r="T19">
        <f>$C19*T18</f>
        <v/>
      </c>
      <c r="U19">
        <f>$C19*U18</f>
        <v/>
      </c>
      <c r="V19">
        <f>$C19*V18</f>
        <v/>
      </c>
      <c r="W19">
        <f>$C19*W18</f>
        <v/>
      </c>
      <c r="X19">
        <f>$C19*X18</f>
        <v/>
      </c>
      <c r="Y19">
        <f>$C19*Y18</f>
        <v/>
      </c>
      <c r="Z19">
        <f>$C19*Z18</f>
        <v/>
      </c>
      <c r="AA19">
        <f>$C19*AA18</f>
        <v/>
      </c>
      <c r="AB19">
        <f>$C19*AB18</f>
        <v/>
      </c>
      <c r="AC19">
        <f>$C19*AC18</f>
        <v/>
      </c>
      <c r="AD19">
        <f>$C19*AD18</f>
        <v/>
      </c>
      <c r="AE19">
        <f>$C19*AE18</f>
        <v/>
      </c>
      <c r="AF19">
        <f>$C19*AF18</f>
        <v/>
      </c>
      <c r="AG19">
        <f>$C19*AG18</f>
        <v/>
      </c>
      <c r="AH19">
        <f>$C19*AH18</f>
        <v/>
      </c>
      <c r="AI19">
        <f>$C19*AI18</f>
        <v/>
      </c>
      <c r="AJ19">
        <f>$C19*AJ18</f>
        <v/>
      </c>
      <c r="AK19">
        <f>$C19*AK18</f>
        <v/>
      </c>
      <c r="AL19">
        <f>$C19*AL18</f>
        <v/>
      </c>
      <c r="AM19">
        <f>$C19*AM18</f>
        <v/>
      </c>
      <c r="AN19">
        <f>$C19*AN18</f>
        <v/>
      </c>
      <c r="AO19">
        <f>$C19*AO18</f>
        <v/>
      </c>
      <c r="AP19">
        <f>$C19*AP18</f>
        <v/>
      </c>
      <c r="AQ19">
        <f>$C19*AQ18</f>
        <v/>
      </c>
      <c r="AR19">
        <f>$C19*AR18</f>
        <v/>
      </c>
      <c r="AS19">
        <f>$C19*AS18</f>
        <v/>
      </c>
      <c r="AT19">
        <f>$C19*AT18</f>
        <v/>
      </c>
      <c r="AU19">
        <f>$C19*AU18</f>
        <v/>
      </c>
      <c r="AV19">
        <f>$C19*AV18</f>
        <v/>
      </c>
      <c r="AW19">
        <f>$C19*AW18</f>
        <v/>
      </c>
      <c r="AX19">
        <f>$C19*AX18</f>
        <v/>
      </c>
      <c r="AY19">
        <f>$C19*AY18</f>
        <v/>
      </c>
      <c r="AZ19">
        <f>$C19*AZ18</f>
        <v/>
      </c>
      <c r="BA19">
        <f>$C19*BA18</f>
        <v/>
      </c>
      <c r="BB19">
        <f>$C19*BB18</f>
        <v/>
      </c>
      <c r="BC19">
        <f>$C19*BC18</f>
        <v/>
      </c>
      <c r="BD19">
        <f>$C19*BD18</f>
        <v/>
      </c>
      <c r="BE19">
        <f>$C19*BE18</f>
        <v/>
      </c>
      <c r="BF19">
        <f>$C19*BF18</f>
        <v/>
      </c>
      <c r="BG19">
        <f>$C19*BG18</f>
        <v/>
      </c>
      <c r="BH19">
        <f>$C19*BH18</f>
        <v/>
      </c>
      <c r="BI19">
        <f>$C19*BI18</f>
        <v/>
      </c>
      <c r="BJ19">
        <f>$C19*BJ18</f>
        <v/>
      </c>
      <c r="BK19">
        <f>$C19*BK18</f>
        <v/>
      </c>
      <c r="BL19">
        <f>$C19*BL18</f>
        <v/>
      </c>
      <c r="BM19">
        <f>$C19*BM18</f>
        <v/>
      </c>
      <c r="BN19">
        <f>$C19*BN18</f>
        <v/>
      </c>
      <c r="BO19">
        <f>$C19*BO18</f>
        <v/>
      </c>
      <c r="BP19">
        <f>$C19*BP18</f>
        <v/>
      </c>
      <c r="BQ19">
        <f>$C19*BQ18</f>
        <v/>
      </c>
      <c r="BR19">
        <f>$C19*BR18</f>
        <v/>
      </c>
      <c r="BS19">
        <f>$C19*BS18</f>
        <v/>
      </c>
      <c r="BT19">
        <f>$C19*BT18</f>
        <v/>
      </c>
      <c r="BU19">
        <f>$C19*BU18</f>
        <v/>
      </c>
      <c r="BV19">
        <f>$C19*BV18</f>
        <v/>
      </c>
      <c r="BW19">
        <f>$C19*BW18</f>
        <v/>
      </c>
      <c r="BX19">
        <f>$C19*BX18</f>
        <v/>
      </c>
      <c r="BY19">
        <f>$C19*BY18</f>
        <v/>
      </c>
      <c r="BZ19">
        <f>$C19*BZ18</f>
        <v/>
      </c>
      <c r="CA19">
        <f>$C19*CA18</f>
        <v/>
      </c>
      <c r="CB19">
        <f>$C19*CB18</f>
        <v/>
      </c>
      <c r="CC19">
        <f>$C19*CC18</f>
        <v/>
      </c>
      <c r="CD19">
        <f>$C19*CD18</f>
        <v/>
      </c>
      <c r="CE19">
        <f>$C19*CE18</f>
        <v/>
      </c>
      <c r="CF19">
        <f>$C19*CF18</f>
        <v/>
      </c>
      <c r="CG19">
        <f>$C19*CG18</f>
        <v/>
      </c>
      <c r="CH19">
        <f>$C19*CH18</f>
        <v/>
      </c>
      <c r="CI19">
        <f>$C19*CI18</f>
        <v/>
      </c>
      <c r="CJ19">
        <f>$C19*CJ18</f>
        <v/>
      </c>
      <c r="CK19">
        <f>$C19*CK18</f>
        <v/>
      </c>
      <c r="CL19">
        <f>$C19*CL18</f>
        <v/>
      </c>
      <c r="CM19">
        <f>$C19*CM18</f>
        <v/>
      </c>
      <c r="CN19">
        <f>$C19*CN18</f>
        <v/>
      </c>
      <c r="CO19">
        <f>$C19*CO18</f>
        <v/>
      </c>
      <c r="CP19">
        <f>$C19*CP18</f>
        <v/>
      </c>
      <c r="CQ19">
        <f>$C19*CQ18</f>
        <v/>
      </c>
      <c r="CR19">
        <f>$C19*CR18</f>
        <v/>
      </c>
      <c r="CS19">
        <f>$C19*CS18</f>
        <v/>
      </c>
      <c r="CT19">
        <f>$C19*CT18</f>
        <v/>
      </c>
      <c r="CU19">
        <f>$C19*CU18</f>
        <v/>
      </c>
      <c r="CV19">
        <f>$C19*CV18</f>
        <v/>
      </c>
      <c r="CW19">
        <f>$C19*CW18</f>
        <v/>
      </c>
      <c r="CX19">
        <f>$C19*CX18</f>
        <v/>
      </c>
      <c r="CY19">
        <f>$C19*CY18</f>
        <v/>
      </c>
      <c r="CZ19">
        <f>$C19*CZ18</f>
        <v/>
      </c>
      <c r="DA19">
        <f>$C19*DA18</f>
        <v/>
      </c>
      <c r="DB19">
        <f>$C19*DB18</f>
        <v/>
      </c>
      <c r="DC19">
        <f>$C19*DC18</f>
        <v/>
      </c>
    </row>
    <row r="20">
      <c r="B20" t="inlineStr">
        <is>
          <t>TSP-205</t>
        </is>
      </c>
      <c r="C20" t="inlineStr">
        <is>
          <t>No. of batches</t>
        </is>
      </c>
      <c r="D20">
        <f>IFERROR(INDEX(PP_Grid[#Data],$DD20,2),0)</f>
        <v/>
      </c>
      <c r="E20">
        <f>IFERROR(INDEX(PP_Grid[#Data],$DD20,3),0)</f>
        <v/>
      </c>
      <c r="F20">
        <f>IFERROR(INDEX(PP_Grid[#Data],$DD20,4),0)</f>
        <v/>
      </c>
      <c r="G20">
        <f>IFERROR(INDEX(PP_Grid[#Data],$DD20,5),0)</f>
        <v/>
      </c>
      <c r="H20">
        <f>IFERROR(INDEX(PP_Grid[#Data],$DD20,6),0)</f>
        <v/>
      </c>
      <c r="I20">
        <f>IFERROR(INDEX(PP_Grid[#Data],$DD20,7),0)</f>
        <v/>
      </c>
      <c r="J20">
        <f>IFERROR(INDEX(PP_Grid[#Data],$DD20,8),0)</f>
        <v/>
      </c>
      <c r="K20">
        <f>IFERROR(INDEX(PP_Grid[#Data],$DD20,9),0)</f>
        <v/>
      </c>
      <c r="L20">
        <f>IFERROR(INDEX(PP_Grid[#Data],$DD20,10),0)</f>
        <v/>
      </c>
      <c r="M20">
        <f>IFERROR(INDEX(PP_Grid[#Data],$DD20,11),0)</f>
        <v/>
      </c>
      <c r="N20">
        <f>IFERROR(INDEX(PP_Grid[#Data],$DD20,12),0)</f>
        <v/>
      </c>
      <c r="O20">
        <f>IFERROR(INDEX(PP_Grid[#Data],$DD20,13),0)</f>
        <v/>
      </c>
      <c r="P20">
        <f>IFERROR(INDEX(PP_Grid[#Data],$DD20,14),0)</f>
        <v/>
      </c>
      <c r="Q20">
        <f>IFERROR(INDEX(PP_Grid[#Data],$DD20,15),0)</f>
        <v/>
      </c>
      <c r="R20">
        <f>IFERROR(INDEX(PP_Grid[#Data],$DD20,16),0)</f>
        <v/>
      </c>
      <c r="S20">
        <f>IFERROR(INDEX(PP_Grid[#Data],$DD20,17),0)</f>
        <v/>
      </c>
      <c r="T20">
        <f>IFERROR(INDEX(PP_Grid[#Data],$DD20,18),0)</f>
        <v/>
      </c>
      <c r="U20">
        <f>IFERROR(INDEX(PP_Grid[#Data],$DD20,19),0)</f>
        <v/>
      </c>
      <c r="V20">
        <f>IFERROR(INDEX(PP_Grid[#Data],$DD20,20),0)</f>
        <v/>
      </c>
      <c r="W20">
        <f>IFERROR(INDEX(PP_Grid[#Data],$DD20,21),0)</f>
        <v/>
      </c>
      <c r="X20">
        <f>IFERROR(INDEX(PP_Grid[#Data],$DD20,22),0)</f>
        <v/>
      </c>
      <c r="Y20">
        <f>IFERROR(INDEX(PP_Grid[#Data],$DD20,23),0)</f>
        <v/>
      </c>
      <c r="Z20">
        <f>IFERROR(INDEX(PP_Grid[#Data],$DD20,24),0)</f>
        <v/>
      </c>
      <c r="AA20">
        <f>IFERROR(INDEX(PP_Grid[#Data],$DD20,25),0)</f>
        <v/>
      </c>
      <c r="AB20">
        <f>IFERROR(INDEX(PP_Grid[#Data],$DD20,26),0)</f>
        <v/>
      </c>
      <c r="AC20">
        <f>IFERROR(INDEX(PP_Grid[#Data],$DD20,27),0)</f>
        <v/>
      </c>
      <c r="AD20">
        <f>IFERROR(INDEX(PP_Grid[#Data],$DD20,28),0)</f>
        <v/>
      </c>
      <c r="AE20">
        <f>IFERROR(INDEX(PP_Grid[#Data],$DD20,29),0)</f>
        <v/>
      </c>
      <c r="AF20">
        <f>IFERROR(INDEX(PP_Grid[#Data],$DD20,30),0)</f>
        <v/>
      </c>
      <c r="AG20">
        <f>IFERROR(INDEX(PP_Grid[#Data],$DD20,31),0)</f>
        <v/>
      </c>
      <c r="AH20">
        <f>IFERROR(INDEX(PP_Grid[#Data],$DD20,32),0)</f>
        <v/>
      </c>
      <c r="AI20">
        <f>IFERROR(INDEX(PP_Grid[#Data],$DD20,33),0)</f>
        <v/>
      </c>
      <c r="AJ20">
        <f>IFERROR(INDEX(PP_Grid[#Data],$DD20,34),0)</f>
        <v/>
      </c>
      <c r="AK20">
        <f>IFERROR(INDEX(PP_Grid[#Data],$DD20,35),0)</f>
        <v/>
      </c>
      <c r="AL20">
        <f>IFERROR(INDEX(PP_Grid[#Data],$DD20,36),0)</f>
        <v/>
      </c>
      <c r="AM20">
        <f>IFERROR(INDEX(PP_Grid[#Data],$DD20,37),0)</f>
        <v/>
      </c>
      <c r="AN20">
        <f>IFERROR(INDEX(PP_Grid[#Data],$DD20,38),0)</f>
        <v/>
      </c>
      <c r="AO20">
        <f>IFERROR(INDEX(PP_Grid[#Data],$DD20,39),0)</f>
        <v/>
      </c>
      <c r="AP20">
        <f>IFERROR(INDEX(PP_Grid[#Data],$DD20,40),0)</f>
        <v/>
      </c>
      <c r="AQ20">
        <f>IFERROR(INDEX(PP_Grid[#Data],$DD20,41),0)</f>
        <v/>
      </c>
      <c r="AR20">
        <f>IFERROR(INDEX(PP_Grid[#Data],$DD20,42),0)</f>
        <v/>
      </c>
      <c r="AS20">
        <f>IFERROR(INDEX(PP_Grid[#Data],$DD20,43),0)</f>
        <v/>
      </c>
      <c r="AT20">
        <f>IFERROR(INDEX(PP_Grid[#Data],$DD20,44),0)</f>
        <v/>
      </c>
      <c r="AU20">
        <f>IFERROR(INDEX(PP_Grid[#Data],$DD20,45),0)</f>
        <v/>
      </c>
      <c r="AV20">
        <f>IFERROR(INDEX(PP_Grid[#Data],$DD20,46),0)</f>
        <v/>
      </c>
      <c r="AW20">
        <f>IFERROR(INDEX(PP_Grid[#Data],$DD20,47),0)</f>
        <v/>
      </c>
      <c r="AX20">
        <f>IFERROR(INDEX(PP_Grid[#Data],$DD20,48),0)</f>
        <v/>
      </c>
      <c r="AY20">
        <f>IFERROR(INDEX(PP_Grid[#Data],$DD20,49),0)</f>
        <v/>
      </c>
      <c r="AZ20">
        <f>IFERROR(INDEX(PP_Grid[#Data],$DD20,50),0)</f>
        <v/>
      </c>
      <c r="BA20">
        <f>IFERROR(INDEX(PP_Grid[#Data],$DD20,51),0)</f>
        <v/>
      </c>
      <c r="BB20">
        <f>IFERROR(INDEX(PP_Grid[#Data],$DD20,52),0)</f>
        <v/>
      </c>
      <c r="BC20">
        <f>IFERROR(INDEX(PP_Grid[#Data],$DD20,53),0)</f>
        <v/>
      </c>
      <c r="BD20">
        <f>IFERROR(INDEX(PP_Grid[#Data],$DD20,54),0)</f>
        <v/>
      </c>
      <c r="BE20">
        <f>IFERROR(INDEX(PP_Grid[#Data],$DD20,55),0)</f>
        <v/>
      </c>
      <c r="BF20">
        <f>IFERROR(INDEX(PP_Grid[#Data],$DD20,56),0)</f>
        <v/>
      </c>
      <c r="BG20">
        <f>IFERROR(INDEX(PP_Grid[#Data],$DD20,57),0)</f>
        <v/>
      </c>
      <c r="BH20">
        <f>IFERROR(INDEX(PP_Grid[#Data],$DD20,58),0)</f>
        <v/>
      </c>
      <c r="BI20">
        <f>IFERROR(INDEX(PP_Grid[#Data],$DD20,59),0)</f>
        <v/>
      </c>
      <c r="BJ20">
        <f>IFERROR(INDEX(PP_Grid[#Data],$DD20,60),0)</f>
        <v/>
      </c>
      <c r="BK20">
        <f>IFERROR(INDEX(PP_Grid[#Data],$DD20,61),0)</f>
        <v/>
      </c>
      <c r="BL20">
        <f>IFERROR(INDEX(PP_Grid[#Data],$DD20,62),0)</f>
        <v/>
      </c>
      <c r="BM20">
        <f>IFERROR(INDEX(PP_Grid[#Data],$DD20,63),0)</f>
        <v/>
      </c>
      <c r="BN20">
        <f>IFERROR(INDEX(PP_Grid[#Data],$DD20,64),0)</f>
        <v/>
      </c>
      <c r="BO20">
        <f>IFERROR(INDEX(PP_Grid[#Data],$DD20,65),0)</f>
        <v/>
      </c>
      <c r="BP20">
        <f>IFERROR(INDEX(PP_Grid[#Data],$DD20,66),0)</f>
        <v/>
      </c>
      <c r="BQ20">
        <f>IFERROR(INDEX(PP_Grid[#Data],$DD20,67),0)</f>
        <v/>
      </c>
      <c r="BR20">
        <f>IFERROR(INDEX(PP_Grid[#Data],$DD20,68),0)</f>
        <v/>
      </c>
      <c r="BS20">
        <f>IFERROR(INDEX(PP_Grid[#Data],$DD20,69),0)</f>
        <v/>
      </c>
      <c r="BT20">
        <f>IFERROR(INDEX(PP_Grid[#Data],$DD20,70),0)</f>
        <v/>
      </c>
      <c r="BU20">
        <f>IFERROR(INDEX(PP_Grid[#Data],$DD20,71),0)</f>
        <v/>
      </c>
      <c r="BV20">
        <f>IFERROR(INDEX(PP_Grid[#Data],$DD20,72),0)</f>
        <v/>
      </c>
      <c r="BW20">
        <f>IFERROR(INDEX(PP_Grid[#Data],$DD20,73),0)</f>
        <v/>
      </c>
      <c r="BX20">
        <f>IFERROR(INDEX(PP_Grid[#Data],$DD20,74),0)</f>
        <v/>
      </c>
      <c r="BY20">
        <f>IFERROR(INDEX(PP_Grid[#Data],$DD20,75),0)</f>
        <v/>
      </c>
      <c r="BZ20">
        <f>IFERROR(INDEX(PP_Grid[#Data],$DD20,76),0)</f>
        <v/>
      </c>
      <c r="CA20">
        <f>IFERROR(INDEX(PP_Grid[#Data],$DD20,77),0)</f>
        <v/>
      </c>
      <c r="CB20">
        <f>IFERROR(INDEX(PP_Grid[#Data],$DD20,78),0)</f>
        <v/>
      </c>
      <c r="CC20">
        <f>IFERROR(INDEX(PP_Grid[#Data],$DD20,79),0)</f>
        <v/>
      </c>
      <c r="CD20">
        <f>IFERROR(INDEX(PP_Grid[#Data],$DD20,80),0)</f>
        <v/>
      </c>
      <c r="CE20">
        <f>IFERROR(INDEX(PP_Grid[#Data],$DD20,81),0)</f>
        <v/>
      </c>
      <c r="CF20">
        <f>IFERROR(INDEX(PP_Grid[#Data],$DD20,82),0)</f>
        <v/>
      </c>
      <c r="CG20">
        <f>IFERROR(INDEX(PP_Grid[#Data],$DD20,83),0)</f>
        <v/>
      </c>
      <c r="CH20">
        <f>IFERROR(INDEX(PP_Grid[#Data],$DD20,84),0)</f>
        <v/>
      </c>
      <c r="CI20">
        <f>IFERROR(INDEX(PP_Grid[#Data],$DD20,85),0)</f>
        <v/>
      </c>
      <c r="CJ20">
        <f>IFERROR(INDEX(PP_Grid[#Data],$DD20,86),0)</f>
        <v/>
      </c>
      <c r="CK20">
        <f>IFERROR(INDEX(PP_Grid[#Data],$DD20,87),0)</f>
        <v/>
      </c>
      <c r="CL20">
        <f>IFERROR(INDEX(PP_Grid[#Data],$DD20,88),0)</f>
        <v/>
      </c>
      <c r="CM20">
        <f>IFERROR(INDEX(PP_Grid[#Data],$DD20,89),0)</f>
        <v/>
      </c>
      <c r="CN20">
        <f>IFERROR(INDEX(PP_Grid[#Data],$DD20,90),0)</f>
        <v/>
      </c>
      <c r="CO20">
        <f>IFERROR(INDEX(PP_Grid[#Data],$DD20,91),0)</f>
        <v/>
      </c>
      <c r="CP20">
        <f>IFERROR(INDEX(PP_Grid[#Data],$DD20,92),0)</f>
        <v/>
      </c>
      <c r="CQ20">
        <f>IFERROR(INDEX(PP_Grid[#Data],$DD20,93),0)</f>
        <v/>
      </c>
      <c r="CR20">
        <f>IFERROR(INDEX(PP_Grid[#Data],$DD20,94),0)</f>
        <v/>
      </c>
      <c r="CS20">
        <f>IFERROR(INDEX(PP_Grid[#Data],$DD20,95),0)</f>
        <v/>
      </c>
      <c r="CT20">
        <f>IFERROR(INDEX(PP_Grid[#Data],$DD20,96),0)</f>
        <v/>
      </c>
      <c r="CU20">
        <f>IFERROR(INDEX(PP_Grid[#Data],$DD20,97),0)</f>
        <v/>
      </c>
      <c r="CV20">
        <f>IFERROR(INDEX(PP_Grid[#Data],$DD20,98),0)</f>
        <v/>
      </c>
      <c r="CW20">
        <f>IFERROR(INDEX(PP_Grid[#Data],$DD20,99),0)</f>
        <v/>
      </c>
      <c r="CX20">
        <f>IFERROR(INDEX(PP_Grid[#Data],$DD20,100),0)</f>
        <v/>
      </c>
      <c r="CY20">
        <f>IFERROR(INDEX(PP_Grid[#Data],$DD20,101),0)</f>
        <v/>
      </c>
      <c r="CZ20">
        <f>IFERROR(INDEX(PP_Grid[#Data],$DD20,102),0)</f>
        <v/>
      </c>
      <c r="DA20">
        <f>IFERROR(INDEX(PP_Grid[#Data],$DD20,103),0)</f>
        <v/>
      </c>
      <c r="DB20">
        <f>IFERROR(INDEX(PP_Grid[#Data],$DD20,104),0)</f>
        <v/>
      </c>
      <c r="DC20">
        <f>IFERROR(INDEX(PP_Grid[#Data],$DD20,105),0)</f>
        <v/>
      </c>
      <c r="DD20" s="7">
        <f>IFERROR(MATCH($B20,PP_Grid[Intermediate],0),99999)</f>
        <v/>
      </c>
    </row>
    <row r="21">
      <c r="B21" t="inlineStr">
        <is>
          <t>使用量(kg)</t>
        </is>
      </c>
      <c r="C21">
        <f>SUMIFS(M_BOM[RM_Qty_Per_Batch],M_BOM[Intermediate],$B20,M_BOM[Part Name],$A7)</f>
        <v/>
      </c>
      <c r="D21">
        <f>$C21*D20</f>
        <v/>
      </c>
      <c r="E21">
        <f>$C21*E20</f>
        <v/>
      </c>
      <c r="F21">
        <f>$C21*F20</f>
        <v/>
      </c>
      <c r="G21">
        <f>$C21*G20</f>
        <v/>
      </c>
      <c r="H21">
        <f>$C21*H20</f>
        <v/>
      </c>
      <c r="I21">
        <f>$C21*I20</f>
        <v/>
      </c>
      <c r="J21">
        <f>$C21*J20</f>
        <v/>
      </c>
      <c r="K21">
        <f>$C21*K20</f>
        <v/>
      </c>
      <c r="L21">
        <f>$C21*L20</f>
        <v/>
      </c>
      <c r="M21">
        <f>$C21*M20</f>
        <v/>
      </c>
      <c r="N21">
        <f>$C21*N20</f>
        <v/>
      </c>
      <c r="O21">
        <f>$C21*O20</f>
        <v/>
      </c>
      <c r="P21">
        <f>$C21*P20</f>
        <v/>
      </c>
      <c r="Q21">
        <f>$C21*Q20</f>
        <v/>
      </c>
      <c r="R21">
        <f>$C21*R20</f>
        <v/>
      </c>
      <c r="S21">
        <f>$C21*S20</f>
        <v/>
      </c>
      <c r="T21">
        <f>$C21*T20</f>
        <v/>
      </c>
      <c r="U21">
        <f>$C21*U20</f>
        <v/>
      </c>
      <c r="V21">
        <f>$C21*V20</f>
        <v/>
      </c>
      <c r="W21">
        <f>$C21*W20</f>
        <v/>
      </c>
      <c r="X21">
        <f>$C21*X20</f>
        <v/>
      </c>
      <c r="Y21">
        <f>$C21*Y20</f>
        <v/>
      </c>
      <c r="Z21">
        <f>$C21*Z20</f>
        <v/>
      </c>
      <c r="AA21">
        <f>$C21*AA20</f>
        <v/>
      </c>
      <c r="AB21">
        <f>$C21*AB20</f>
        <v/>
      </c>
      <c r="AC21">
        <f>$C21*AC20</f>
        <v/>
      </c>
      <c r="AD21">
        <f>$C21*AD20</f>
        <v/>
      </c>
      <c r="AE21">
        <f>$C21*AE20</f>
        <v/>
      </c>
      <c r="AF21">
        <f>$C21*AF20</f>
        <v/>
      </c>
      <c r="AG21">
        <f>$C21*AG20</f>
        <v/>
      </c>
      <c r="AH21">
        <f>$C21*AH20</f>
        <v/>
      </c>
      <c r="AI21">
        <f>$C21*AI20</f>
        <v/>
      </c>
      <c r="AJ21">
        <f>$C21*AJ20</f>
        <v/>
      </c>
      <c r="AK21">
        <f>$C21*AK20</f>
        <v/>
      </c>
      <c r="AL21">
        <f>$C21*AL20</f>
        <v/>
      </c>
      <c r="AM21">
        <f>$C21*AM20</f>
        <v/>
      </c>
      <c r="AN21">
        <f>$C21*AN20</f>
        <v/>
      </c>
      <c r="AO21">
        <f>$C21*AO20</f>
        <v/>
      </c>
      <c r="AP21">
        <f>$C21*AP20</f>
        <v/>
      </c>
      <c r="AQ21">
        <f>$C21*AQ20</f>
        <v/>
      </c>
      <c r="AR21">
        <f>$C21*AR20</f>
        <v/>
      </c>
      <c r="AS21">
        <f>$C21*AS20</f>
        <v/>
      </c>
      <c r="AT21">
        <f>$C21*AT20</f>
        <v/>
      </c>
      <c r="AU21">
        <f>$C21*AU20</f>
        <v/>
      </c>
      <c r="AV21">
        <f>$C21*AV20</f>
        <v/>
      </c>
      <c r="AW21">
        <f>$C21*AW20</f>
        <v/>
      </c>
      <c r="AX21">
        <f>$C21*AX20</f>
        <v/>
      </c>
      <c r="AY21">
        <f>$C21*AY20</f>
        <v/>
      </c>
      <c r="AZ21">
        <f>$C21*AZ20</f>
        <v/>
      </c>
      <c r="BA21">
        <f>$C21*BA20</f>
        <v/>
      </c>
      <c r="BB21">
        <f>$C21*BB20</f>
        <v/>
      </c>
      <c r="BC21">
        <f>$C21*BC20</f>
        <v/>
      </c>
      <c r="BD21">
        <f>$C21*BD20</f>
        <v/>
      </c>
      <c r="BE21">
        <f>$C21*BE20</f>
        <v/>
      </c>
      <c r="BF21">
        <f>$C21*BF20</f>
        <v/>
      </c>
      <c r="BG21">
        <f>$C21*BG20</f>
        <v/>
      </c>
      <c r="BH21">
        <f>$C21*BH20</f>
        <v/>
      </c>
      <c r="BI21">
        <f>$C21*BI20</f>
        <v/>
      </c>
      <c r="BJ21">
        <f>$C21*BJ20</f>
        <v/>
      </c>
      <c r="BK21">
        <f>$C21*BK20</f>
        <v/>
      </c>
      <c r="BL21">
        <f>$C21*BL20</f>
        <v/>
      </c>
      <c r="BM21">
        <f>$C21*BM20</f>
        <v/>
      </c>
      <c r="BN21">
        <f>$C21*BN20</f>
        <v/>
      </c>
      <c r="BO21">
        <f>$C21*BO20</f>
        <v/>
      </c>
      <c r="BP21">
        <f>$C21*BP20</f>
        <v/>
      </c>
      <c r="BQ21">
        <f>$C21*BQ20</f>
        <v/>
      </c>
      <c r="BR21">
        <f>$C21*BR20</f>
        <v/>
      </c>
      <c r="BS21">
        <f>$C21*BS20</f>
        <v/>
      </c>
      <c r="BT21">
        <f>$C21*BT20</f>
        <v/>
      </c>
      <c r="BU21">
        <f>$C21*BU20</f>
        <v/>
      </c>
      <c r="BV21">
        <f>$C21*BV20</f>
        <v/>
      </c>
      <c r="BW21">
        <f>$C21*BW20</f>
        <v/>
      </c>
      <c r="BX21">
        <f>$C21*BX20</f>
        <v/>
      </c>
      <c r="BY21">
        <f>$C21*BY20</f>
        <v/>
      </c>
      <c r="BZ21">
        <f>$C21*BZ20</f>
        <v/>
      </c>
      <c r="CA21">
        <f>$C21*CA20</f>
        <v/>
      </c>
      <c r="CB21">
        <f>$C21*CB20</f>
        <v/>
      </c>
      <c r="CC21">
        <f>$C21*CC20</f>
        <v/>
      </c>
      <c r="CD21">
        <f>$C21*CD20</f>
        <v/>
      </c>
      <c r="CE21">
        <f>$C21*CE20</f>
        <v/>
      </c>
      <c r="CF21">
        <f>$C21*CF20</f>
        <v/>
      </c>
      <c r="CG21">
        <f>$C21*CG20</f>
        <v/>
      </c>
      <c r="CH21">
        <f>$C21*CH20</f>
        <v/>
      </c>
      <c r="CI21">
        <f>$C21*CI20</f>
        <v/>
      </c>
      <c r="CJ21">
        <f>$C21*CJ20</f>
        <v/>
      </c>
      <c r="CK21">
        <f>$C21*CK20</f>
        <v/>
      </c>
      <c r="CL21">
        <f>$C21*CL20</f>
        <v/>
      </c>
      <c r="CM21">
        <f>$C21*CM20</f>
        <v/>
      </c>
      <c r="CN21">
        <f>$C21*CN20</f>
        <v/>
      </c>
      <c r="CO21">
        <f>$C21*CO20</f>
        <v/>
      </c>
      <c r="CP21">
        <f>$C21*CP20</f>
        <v/>
      </c>
      <c r="CQ21">
        <f>$C21*CQ20</f>
        <v/>
      </c>
      <c r="CR21">
        <f>$C21*CR20</f>
        <v/>
      </c>
      <c r="CS21">
        <f>$C21*CS20</f>
        <v/>
      </c>
      <c r="CT21">
        <f>$C21*CT20</f>
        <v/>
      </c>
      <c r="CU21">
        <f>$C21*CU20</f>
        <v/>
      </c>
      <c r="CV21">
        <f>$C21*CV20</f>
        <v/>
      </c>
      <c r="CW21">
        <f>$C21*CW20</f>
        <v/>
      </c>
      <c r="CX21">
        <f>$C21*CX20</f>
        <v/>
      </c>
      <c r="CY21">
        <f>$C21*CY20</f>
        <v/>
      </c>
      <c r="CZ21">
        <f>$C21*CZ20</f>
        <v/>
      </c>
      <c r="DA21">
        <f>$C21*DA20</f>
        <v/>
      </c>
      <c r="DB21">
        <f>$C21*DB20</f>
        <v/>
      </c>
      <c r="DC21">
        <f>$C21*DC20</f>
        <v/>
      </c>
    </row>
    <row r="22">
      <c r="B22" t="inlineStr">
        <is>
          <t>TSP-390</t>
        </is>
      </c>
      <c r="C22" t="inlineStr">
        <is>
          <t>No. of batches</t>
        </is>
      </c>
      <c r="D22">
        <f>IFERROR(INDEX(PP_Grid[#Data],$DD22,2),0)</f>
        <v/>
      </c>
      <c r="E22">
        <f>IFERROR(INDEX(PP_Grid[#Data],$DD22,3),0)</f>
        <v/>
      </c>
      <c r="F22">
        <f>IFERROR(INDEX(PP_Grid[#Data],$DD22,4),0)</f>
        <v/>
      </c>
      <c r="G22">
        <f>IFERROR(INDEX(PP_Grid[#Data],$DD22,5),0)</f>
        <v/>
      </c>
      <c r="H22">
        <f>IFERROR(INDEX(PP_Grid[#Data],$DD22,6),0)</f>
        <v/>
      </c>
      <c r="I22">
        <f>IFERROR(INDEX(PP_Grid[#Data],$DD22,7),0)</f>
        <v/>
      </c>
      <c r="J22">
        <f>IFERROR(INDEX(PP_Grid[#Data],$DD22,8),0)</f>
        <v/>
      </c>
      <c r="K22">
        <f>IFERROR(INDEX(PP_Grid[#Data],$DD22,9),0)</f>
        <v/>
      </c>
      <c r="L22">
        <f>IFERROR(INDEX(PP_Grid[#Data],$DD22,10),0)</f>
        <v/>
      </c>
      <c r="M22">
        <f>IFERROR(INDEX(PP_Grid[#Data],$DD22,11),0)</f>
        <v/>
      </c>
      <c r="N22">
        <f>IFERROR(INDEX(PP_Grid[#Data],$DD22,12),0)</f>
        <v/>
      </c>
      <c r="O22">
        <f>IFERROR(INDEX(PP_Grid[#Data],$DD22,13),0)</f>
        <v/>
      </c>
      <c r="P22">
        <f>IFERROR(INDEX(PP_Grid[#Data],$DD22,14),0)</f>
        <v/>
      </c>
      <c r="Q22">
        <f>IFERROR(INDEX(PP_Grid[#Data],$DD22,15),0)</f>
        <v/>
      </c>
      <c r="R22">
        <f>IFERROR(INDEX(PP_Grid[#Data],$DD22,16),0)</f>
        <v/>
      </c>
      <c r="S22">
        <f>IFERROR(INDEX(PP_Grid[#Data],$DD22,17),0)</f>
        <v/>
      </c>
      <c r="T22">
        <f>IFERROR(INDEX(PP_Grid[#Data],$DD22,18),0)</f>
        <v/>
      </c>
      <c r="U22">
        <f>IFERROR(INDEX(PP_Grid[#Data],$DD22,19),0)</f>
        <v/>
      </c>
      <c r="V22">
        <f>IFERROR(INDEX(PP_Grid[#Data],$DD22,20),0)</f>
        <v/>
      </c>
      <c r="W22">
        <f>IFERROR(INDEX(PP_Grid[#Data],$DD22,21),0)</f>
        <v/>
      </c>
      <c r="X22">
        <f>IFERROR(INDEX(PP_Grid[#Data],$DD22,22),0)</f>
        <v/>
      </c>
      <c r="Y22">
        <f>IFERROR(INDEX(PP_Grid[#Data],$DD22,23),0)</f>
        <v/>
      </c>
      <c r="Z22">
        <f>IFERROR(INDEX(PP_Grid[#Data],$DD22,24),0)</f>
        <v/>
      </c>
      <c r="AA22">
        <f>IFERROR(INDEX(PP_Grid[#Data],$DD22,25),0)</f>
        <v/>
      </c>
      <c r="AB22">
        <f>IFERROR(INDEX(PP_Grid[#Data],$DD22,26),0)</f>
        <v/>
      </c>
      <c r="AC22">
        <f>IFERROR(INDEX(PP_Grid[#Data],$DD22,27),0)</f>
        <v/>
      </c>
      <c r="AD22">
        <f>IFERROR(INDEX(PP_Grid[#Data],$DD22,28),0)</f>
        <v/>
      </c>
      <c r="AE22">
        <f>IFERROR(INDEX(PP_Grid[#Data],$DD22,29),0)</f>
        <v/>
      </c>
      <c r="AF22">
        <f>IFERROR(INDEX(PP_Grid[#Data],$DD22,30),0)</f>
        <v/>
      </c>
      <c r="AG22">
        <f>IFERROR(INDEX(PP_Grid[#Data],$DD22,31),0)</f>
        <v/>
      </c>
      <c r="AH22">
        <f>IFERROR(INDEX(PP_Grid[#Data],$DD22,32),0)</f>
        <v/>
      </c>
      <c r="AI22">
        <f>IFERROR(INDEX(PP_Grid[#Data],$DD22,33),0)</f>
        <v/>
      </c>
      <c r="AJ22">
        <f>IFERROR(INDEX(PP_Grid[#Data],$DD22,34),0)</f>
        <v/>
      </c>
      <c r="AK22">
        <f>IFERROR(INDEX(PP_Grid[#Data],$DD22,35),0)</f>
        <v/>
      </c>
      <c r="AL22">
        <f>IFERROR(INDEX(PP_Grid[#Data],$DD22,36),0)</f>
        <v/>
      </c>
      <c r="AM22">
        <f>IFERROR(INDEX(PP_Grid[#Data],$DD22,37),0)</f>
        <v/>
      </c>
      <c r="AN22">
        <f>IFERROR(INDEX(PP_Grid[#Data],$DD22,38),0)</f>
        <v/>
      </c>
      <c r="AO22">
        <f>IFERROR(INDEX(PP_Grid[#Data],$DD22,39),0)</f>
        <v/>
      </c>
      <c r="AP22">
        <f>IFERROR(INDEX(PP_Grid[#Data],$DD22,40),0)</f>
        <v/>
      </c>
      <c r="AQ22">
        <f>IFERROR(INDEX(PP_Grid[#Data],$DD22,41),0)</f>
        <v/>
      </c>
      <c r="AR22">
        <f>IFERROR(INDEX(PP_Grid[#Data],$DD22,42),0)</f>
        <v/>
      </c>
      <c r="AS22">
        <f>IFERROR(INDEX(PP_Grid[#Data],$DD22,43),0)</f>
        <v/>
      </c>
      <c r="AT22">
        <f>IFERROR(INDEX(PP_Grid[#Data],$DD22,44),0)</f>
        <v/>
      </c>
      <c r="AU22">
        <f>IFERROR(INDEX(PP_Grid[#Data],$DD22,45),0)</f>
        <v/>
      </c>
      <c r="AV22">
        <f>IFERROR(INDEX(PP_Grid[#Data],$DD22,46),0)</f>
        <v/>
      </c>
      <c r="AW22">
        <f>IFERROR(INDEX(PP_Grid[#Data],$DD22,47),0)</f>
        <v/>
      </c>
      <c r="AX22">
        <f>IFERROR(INDEX(PP_Grid[#Data],$DD22,48),0)</f>
        <v/>
      </c>
      <c r="AY22">
        <f>IFERROR(INDEX(PP_Grid[#Data],$DD22,49),0)</f>
        <v/>
      </c>
      <c r="AZ22">
        <f>IFERROR(INDEX(PP_Grid[#Data],$DD22,50),0)</f>
        <v/>
      </c>
      <c r="BA22">
        <f>IFERROR(INDEX(PP_Grid[#Data],$DD22,51),0)</f>
        <v/>
      </c>
      <c r="BB22">
        <f>IFERROR(INDEX(PP_Grid[#Data],$DD22,52),0)</f>
        <v/>
      </c>
      <c r="BC22">
        <f>IFERROR(INDEX(PP_Grid[#Data],$DD22,53),0)</f>
        <v/>
      </c>
      <c r="BD22">
        <f>IFERROR(INDEX(PP_Grid[#Data],$DD22,54),0)</f>
        <v/>
      </c>
      <c r="BE22">
        <f>IFERROR(INDEX(PP_Grid[#Data],$DD22,55),0)</f>
        <v/>
      </c>
      <c r="BF22">
        <f>IFERROR(INDEX(PP_Grid[#Data],$DD22,56),0)</f>
        <v/>
      </c>
      <c r="BG22">
        <f>IFERROR(INDEX(PP_Grid[#Data],$DD22,57),0)</f>
        <v/>
      </c>
      <c r="BH22">
        <f>IFERROR(INDEX(PP_Grid[#Data],$DD22,58),0)</f>
        <v/>
      </c>
      <c r="BI22">
        <f>IFERROR(INDEX(PP_Grid[#Data],$DD22,59),0)</f>
        <v/>
      </c>
      <c r="BJ22">
        <f>IFERROR(INDEX(PP_Grid[#Data],$DD22,60),0)</f>
        <v/>
      </c>
      <c r="BK22">
        <f>IFERROR(INDEX(PP_Grid[#Data],$DD22,61),0)</f>
        <v/>
      </c>
      <c r="BL22">
        <f>IFERROR(INDEX(PP_Grid[#Data],$DD22,62),0)</f>
        <v/>
      </c>
      <c r="BM22">
        <f>IFERROR(INDEX(PP_Grid[#Data],$DD22,63),0)</f>
        <v/>
      </c>
      <c r="BN22">
        <f>IFERROR(INDEX(PP_Grid[#Data],$DD22,64),0)</f>
        <v/>
      </c>
      <c r="BO22">
        <f>IFERROR(INDEX(PP_Grid[#Data],$DD22,65),0)</f>
        <v/>
      </c>
      <c r="BP22">
        <f>IFERROR(INDEX(PP_Grid[#Data],$DD22,66),0)</f>
        <v/>
      </c>
      <c r="BQ22">
        <f>IFERROR(INDEX(PP_Grid[#Data],$DD22,67),0)</f>
        <v/>
      </c>
      <c r="BR22">
        <f>IFERROR(INDEX(PP_Grid[#Data],$DD22,68),0)</f>
        <v/>
      </c>
      <c r="BS22">
        <f>IFERROR(INDEX(PP_Grid[#Data],$DD22,69),0)</f>
        <v/>
      </c>
      <c r="BT22">
        <f>IFERROR(INDEX(PP_Grid[#Data],$DD22,70),0)</f>
        <v/>
      </c>
      <c r="BU22">
        <f>IFERROR(INDEX(PP_Grid[#Data],$DD22,71),0)</f>
        <v/>
      </c>
      <c r="BV22">
        <f>IFERROR(INDEX(PP_Grid[#Data],$DD22,72),0)</f>
        <v/>
      </c>
      <c r="BW22">
        <f>IFERROR(INDEX(PP_Grid[#Data],$DD22,73),0)</f>
        <v/>
      </c>
      <c r="BX22">
        <f>IFERROR(INDEX(PP_Grid[#Data],$DD22,74),0)</f>
        <v/>
      </c>
      <c r="BY22">
        <f>IFERROR(INDEX(PP_Grid[#Data],$DD22,75),0)</f>
        <v/>
      </c>
      <c r="BZ22">
        <f>IFERROR(INDEX(PP_Grid[#Data],$DD22,76),0)</f>
        <v/>
      </c>
      <c r="CA22">
        <f>IFERROR(INDEX(PP_Grid[#Data],$DD22,77),0)</f>
        <v/>
      </c>
      <c r="CB22">
        <f>IFERROR(INDEX(PP_Grid[#Data],$DD22,78),0)</f>
        <v/>
      </c>
      <c r="CC22">
        <f>IFERROR(INDEX(PP_Grid[#Data],$DD22,79),0)</f>
        <v/>
      </c>
      <c r="CD22">
        <f>IFERROR(INDEX(PP_Grid[#Data],$DD22,80),0)</f>
        <v/>
      </c>
      <c r="CE22">
        <f>IFERROR(INDEX(PP_Grid[#Data],$DD22,81),0)</f>
        <v/>
      </c>
      <c r="CF22">
        <f>IFERROR(INDEX(PP_Grid[#Data],$DD22,82),0)</f>
        <v/>
      </c>
      <c r="CG22">
        <f>IFERROR(INDEX(PP_Grid[#Data],$DD22,83),0)</f>
        <v/>
      </c>
      <c r="CH22">
        <f>IFERROR(INDEX(PP_Grid[#Data],$DD22,84),0)</f>
        <v/>
      </c>
      <c r="CI22">
        <f>IFERROR(INDEX(PP_Grid[#Data],$DD22,85),0)</f>
        <v/>
      </c>
      <c r="CJ22">
        <f>IFERROR(INDEX(PP_Grid[#Data],$DD22,86),0)</f>
        <v/>
      </c>
      <c r="CK22">
        <f>IFERROR(INDEX(PP_Grid[#Data],$DD22,87),0)</f>
        <v/>
      </c>
      <c r="CL22">
        <f>IFERROR(INDEX(PP_Grid[#Data],$DD22,88),0)</f>
        <v/>
      </c>
      <c r="CM22">
        <f>IFERROR(INDEX(PP_Grid[#Data],$DD22,89),0)</f>
        <v/>
      </c>
      <c r="CN22">
        <f>IFERROR(INDEX(PP_Grid[#Data],$DD22,90),0)</f>
        <v/>
      </c>
      <c r="CO22">
        <f>IFERROR(INDEX(PP_Grid[#Data],$DD22,91),0)</f>
        <v/>
      </c>
      <c r="CP22">
        <f>IFERROR(INDEX(PP_Grid[#Data],$DD22,92),0)</f>
        <v/>
      </c>
      <c r="CQ22">
        <f>IFERROR(INDEX(PP_Grid[#Data],$DD22,93),0)</f>
        <v/>
      </c>
      <c r="CR22">
        <f>IFERROR(INDEX(PP_Grid[#Data],$DD22,94),0)</f>
        <v/>
      </c>
      <c r="CS22">
        <f>IFERROR(INDEX(PP_Grid[#Data],$DD22,95),0)</f>
        <v/>
      </c>
      <c r="CT22">
        <f>IFERROR(INDEX(PP_Grid[#Data],$DD22,96),0)</f>
        <v/>
      </c>
      <c r="CU22">
        <f>IFERROR(INDEX(PP_Grid[#Data],$DD22,97),0)</f>
        <v/>
      </c>
      <c r="CV22">
        <f>IFERROR(INDEX(PP_Grid[#Data],$DD22,98),0)</f>
        <v/>
      </c>
      <c r="CW22">
        <f>IFERROR(INDEX(PP_Grid[#Data],$DD22,99),0)</f>
        <v/>
      </c>
      <c r="CX22">
        <f>IFERROR(INDEX(PP_Grid[#Data],$DD22,100),0)</f>
        <v/>
      </c>
      <c r="CY22">
        <f>IFERROR(INDEX(PP_Grid[#Data],$DD22,101),0)</f>
        <v/>
      </c>
      <c r="CZ22">
        <f>IFERROR(INDEX(PP_Grid[#Data],$DD22,102),0)</f>
        <v/>
      </c>
      <c r="DA22">
        <f>IFERROR(INDEX(PP_Grid[#Data],$DD22,103),0)</f>
        <v/>
      </c>
      <c r="DB22">
        <f>IFERROR(INDEX(PP_Grid[#Data],$DD22,104),0)</f>
        <v/>
      </c>
      <c r="DC22">
        <f>IFERROR(INDEX(PP_Grid[#Data],$DD22,105),0)</f>
        <v/>
      </c>
      <c r="DD22" s="7">
        <f>IFERROR(MATCH($B22,PP_Grid[Intermediate],0),99999)</f>
        <v/>
      </c>
    </row>
    <row r="23">
      <c r="B23" t="inlineStr">
        <is>
          <t>使用量(kg)</t>
        </is>
      </c>
      <c r="C23">
        <f>SUMIFS(M_BOM[RM_Qty_Per_Batch],M_BOM[Intermediate],$B22,M_BOM[Part Name],$A7)</f>
        <v/>
      </c>
      <c r="D23">
        <f>$C23*D22</f>
        <v/>
      </c>
      <c r="E23">
        <f>$C23*E22</f>
        <v/>
      </c>
      <c r="F23">
        <f>$C23*F22</f>
        <v/>
      </c>
      <c r="G23">
        <f>$C23*G22</f>
        <v/>
      </c>
      <c r="H23">
        <f>$C23*H22</f>
        <v/>
      </c>
      <c r="I23">
        <f>$C23*I22</f>
        <v/>
      </c>
      <c r="J23">
        <f>$C23*J22</f>
        <v/>
      </c>
      <c r="K23">
        <f>$C23*K22</f>
        <v/>
      </c>
      <c r="L23">
        <f>$C23*L22</f>
        <v/>
      </c>
      <c r="M23">
        <f>$C23*M22</f>
        <v/>
      </c>
      <c r="N23">
        <f>$C23*N22</f>
        <v/>
      </c>
      <c r="O23">
        <f>$C23*O22</f>
        <v/>
      </c>
      <c r="P23">
        <f>$C23*P22</f>
        <v/>
      </c>
      <c r="Q23">
        <f>$C23*Q22</f>
        <v/>
      </c>
      <c r="R23">
        <f>$C23*R22</f>
        <v/>
      </c>
      <c r="S23">
        <f>$C23*S22</f>
        <v/>
      </c>
      <c r="T23">
        <f>$C23*T22</f>
        <v/>
      </c>
      <c r="U23">
        <f>$C23*U22</f>
        <v/>
      </c>
      <c r="V23">
        <f>$C23*V22</f>
        <v/>
      </c>
      <c r="W23">
        <f>$C23*W22</f>
        <v/>
      </c>
      <c r="X23">
        <f>$C23*X22</f>
        <v/>
      </c>
      <c r="Y23">
        <f>$C23*Y22</f>
        <v/>
      </c>
      <c r="Z23">
        <f>$C23*Z22</f>
        <v/>
      </c>
      <c r="AA23">
        <f>$C23*AA22</f>
        <v/>
      </c>
      <c r="AB23">
        <f>$C23*AB22</f>
        <v/>
      </c>
      <c r="AC23">
        <f>$C23*AC22</f>
        <v/>
      </c>
      <c r="AD23">
        <f>$C23*AD22</f>
        <v/>
      </c>
      <c r="AE23">
        <f>$C23*AE22</f>
        <v/>
      </c>
      <c r="AF23">
        <f>$C23*AF22</f>
        <v/>
      </c>
      <c r="AG23">
        <f>$C23*AG22</f>
        <v/>
      </c>
      <c r="AH23">
        <f>$C23*AH22</f>
        <v/>
      </c>
      <c r="AI23">
        <f>$C23*AI22</f>
        <v/>
      </c>
      <c r="AJ23">
        <f>$C23*AJ22</f>
        <v/>
      </c>
      <c r="AK23">
        <f>$C23*AK22</f>
        <v/>
      </c>
      <c r="AL23">
        <f>$C23*AL22</f>
        <v/>
      </c>
      <c r="AM23">
        <f>$C23*AM22</f>
        <v/>
      </c>
      <c r="AN23">
        <f>$C23*AN22</f>
        <v/>
      </c>
      <c r="AO23">
        <f>$C23*AO22</f>
        <v/>
      </c>
      <c r="AP23">
        <f>$C23*AP22</f>
        <v/>
      </c>
      <c r="AQ23">
        <f>$C23*AQ22</f>
        <v/>
      </c>
      <c r="AR23">
        <f>$C23*AR22</f>
        <v/>
      </c>
      <c r="AS23">
        <f>$C23*AS22</f>
        <v/>
      </c>
      <c r="AT23">
        <f>$C23*AT22</f>
        <v/>
      </c>
      <c r="AU23">
        <f>$C23*AU22</f>
        <v/>
      </c>
      <c r="AV23">
        <f>$C23*AV22</f>
        <v/>
      </c>
      <c r="AW23">
        <f>$C23*AW22</f>
        <v/>
      </c>
      <c r="AX23">
        <f>$C23*AX22</f>
        <v/>
      </c>
      <c r="AY23">
        <f>$C23*AY22</f>
        <v/>
      </c>
      <c r="AZ23">
        <f>$C23*AZ22</f>
        <v/>
      </c>
      <c r="BA23">
        <f>$C23*BA22</f>
        <v/>
      </c>
      <c r="BB23">
        <f>$C23*BB22</f>
        <v/>
      </c>
      <c r="BC23">
        <f>$C23*BC22</f>
        <v/>
      </c>
      <c r="BD23">
        <f>$C23*BD22</f>
        <v/>
      </c>
      <c r="BE23">
        <f>$C23*BE22</f>
        <v/>
      </c>
      <c r="BF23">
        <f>$C23*BF22</f>
        <v/>
      </c>
      <c r="BG23">
        <f>$C23*BG22</f>
        <v/>
      </c>
      <c r="BH23">
        <f>$C23*BH22</f>
        <v/>
      </c>
      <c r="BI23">
        <f>$C23*BI22</f>
        <v/>
      </c>
      <c r="BJ23">
        <f>$C23*BJ22</f>
        <v/>
      </c>
      <c r="BK23">
        <f>$C23*BK22</f>
        <v/>
      </c>
      <c r="BL23">
        <f>$C23*BL22</f>
        <v/>
      </c>
      <c r="BM23">
        <f>$C23*BM22</f>
        <v/>
      </c>
      <c r="BN23">
        <f>$C23*BN22</f>
        <v/>
      </c>
      <c r="BO23">
        <f>$C23*BO22</f>
        <v/>
      </c>
      <c r="BP23">
        <f>$C23*BP22</f>
        <v/>
      </c>
      <c r="BQ23">
        <f>$C23*BQ22</f>
        <v/>
      </c>
      <c r="BR23">
        <f>$C23*BR22</f>
        <v/>
      </c>
      <c r="BS23">
        <f>$C23*BS22</f>
        <v/>
      </c>
      <c r="BT23">
        <f>$C23*BT22</f>
        <v/>
      </c>
      <c r="BU23">
        <f>$C23*BU22</f>
        <v/>
      </c>
      <c r="BV23">
        <f>$C23*BV22</f>
        <v/>
      </c>
      <c r="BW23">
        <f>$C23*BW22</f>
        <v/>
      </c>
      <c r="BX23">
        <f>$C23*BX22</f>
        <v/>
      </c>
      <c r="BY23">
        <f>$C23*BY22</f>
        <v/>
      </c>
      <c r="BZ23">
        <f>$C23*BZ22</f>
        <v/>
      </c>
      <c r="CA23">
        <f>$C23*CA22</f>
        <v/>
      </c>
      <c r="CB23">
        <f>$C23*CB22</f>
        <v/>
      </c>
      <c r="CC23">
        <f>$C23*CC22</f>
        <v/>
      </c>
      <c r="CD23">
        <f>$C23*CD22</f>
        <v/>
      </c>
      <c r="CE23">
        <f>$C23*CE22</f>
        <v/>
      </c>
      <c r="CF23">
        <f>$C23*CF22</f>
        <v/>
      </c>
      <c r="CG23">
        <f>$C23*CG22</f>
        <v/>
      </c>
      <c r="CH23">
        <f>$C23*CH22</f>
        <v/>
      </c>
      <c r="CI23">
        <f>$C23*CI22</f>
        <v/>
      </c>
      <c r="CJ23">
        <f>$C23*CJ22</f>
        <v/>
      </c>
      <c r="CK23">
        <f>$C23*CK22</f>
        <v/>
      </c>
      <c r="CL23">
        <f>$C23*CL22</f>
        <v/>
      </c>
      <c r="CM23">
        <f>$C23*CM22</f>
        <v/>
      </c>
      <c r="CN23">
        <f>$C23*CN22</f>
        <v/>
      </c>
      <c r="CO23">
        <f>$C23*CO22</f>
        <v/>
      </c>
      <c r="CP23">
        <f>$C23*CP22</f>
        <v/>
      </c>
      <c r="CQ23">
        <f>$C23*CQ22</f>
        <v/>
      </c>
      <c r="CR23">
        <f>$C23*CR22</f>
        <v/>
      </c>
      <c r="CS23">
        <f>$C23*CS22</f>
        <v/>
      </c>
      <c r="CT23">
        <f>$C23*CT22</f>
        <v/>
      </c>
      <c r="CU23">
        <f>$C23*CU22</f>
        <v/>
      </c>
      <c r="CV23">
        <f>$C23*CV22</f>
        <v/>
      </c>
      <c r="CW23">
        <f>$C23*CW22</f>
        <v/>
      </c>
      <c r="CX23">
        <f>$C23*CX22</f>
        <v/>
      </c>
      <c r="CY23">
        <f>$C23*CY22</f>
        <v/>
      </c>
      <c r="CZ23">
        <f>$C23*CZ22</f>
        <v/>
      </c>
      <c r="DA23">
        <f>$C23*DA22</f>
        <v/>
      </c>
      <c r="DB23">
        <f>$C23*DB22</f>
        <v/>
      </c>
      <c r="DC23">
        <f>$C23*DC22</f>
        <v/>
      </c>
    </row>
    <row r="24">
      <c r="B24" t="inlineStr">
        <is>
          <t>TSP-399</t>
        </is>
      </c>
      <c r="C24" t="inlineStr">
        <is>
          <t>No. of batches</t>
        </is>
      </c>
      <c r="D24">
        <f>IFERROR(INDEX(PP_Grid[#Data],$DD24,2),0)</f>
        <v/>
      </c>
      <c r="E24">
        <f>IFERROR(INDEX(PP_Grid[#Data],$DD24,3),0)</f>
        <v/>
      </c>
      <c r="F24">
        <f>IFERROR(INDEX(PP_Grid[#Data],$DD24,4),0)</f>
        <v/>
      </c>
      <c r="G24">
        <f>IFERROR(INDEX(PP_Grid[#Data],$DD24,5),0)</f>
        <v/>
      </c>
      <c r="H24">
        <f>IFERROR(INDEX(PP_Grid[#Data],$DD24,6),0)</f>
        <v/>
      </c>
      <c r="I24">
        <f>IFERROR(INDEX(PP_Grid[#Data],$DD24,7),0)</f>
        <v/>
      </c>
      <c r="J24">
        <f>IFERROR(INDEX(PP_Grid[#Data],$DD24,8),0)</f>
        <v/>
      </c>
      <c r="K24">
        <f>IFERROR(INDEX(PP_Grid[#Data],$DD24,9),0)</f>
        <v/>
      </c>
      <c r="L24">
        <f>IFERROR(INDEX(PP_Grid[#Data],$DD24,10),0)</f>
        <v/>
      </c>
      <c r="M24">
        <f>IFERROR(INDEX(PP_Grid[#Data],$DD24,11),0)</f>
        <v/>
      </c>
      <c r="N24">
        <f>IFERROR(INDEX(PP_Grid[#Data],$DD24,12),0)</f>
        <v/>
      </c>
      <c r="O24">
        <f>IFERROR(INDEX(PP_Grid[#Data],$DD24,13),0)</f>
        <v/>
      </c>
      <c r="P24">
        <f>IFERROR(INDEX(PP_Grid[#Data],$DD24,14),0)</f>
        <v/>
      </c>
      <c r="Q24">
        <f>IFERROR(INDEX(PP_Grid[#Data],$DD24,15),0)</f>
        <v/>
      </c>
      <c r="R24">
        <f>IFERROR(INDEX(PP_Grid[#Data],$DD24,16),0)</f>
        <v/>
      </c>
      <c r="S24">
        <f>IFERROR(INDEX(PP_Grid[#Data],$DD24,17),0)</f>
        <v/>
      </c>
      <c r="T24">
        <f>IFERROR(INDEX(PP_Grid[#Data],$DD24,18),0)</f>
        <v/>
      </c>
      <c r="U24">
        <f>IFERROR(INDEX(PP_Grid[#Data],$DD24,19),0)</f>
        <v/>
      </c>
      <c r="V24">
        <f>IFERROR(INDEX(PP_Grid[#Data],$DD24,20),0)</f>
        <v/>
      </c>
      <c r="W24">
        <f>IFERROR(INDEX(PP_Grid[#Data],$DD24,21),0)</f>
        <v/>
      </c>
      <c r="X24">
        <f>IFERROR(INDEX(PP_Grid[#Data],$DD24,22),0)</f>
        <v/>
      </c>
      <c r="Y24">
        <f>IFERROR(INDEX(PP_Grid[#Data],$DD24,23),0)</f>
        <v/>
      </c>
      <c r="Z24">
        <f>IFERROR(INDEX(PP_Grid[#Data],$DD24,24),0)</f>
        <v/>
      </c>
      <c r="AA24">
        <f>IFERROR(INDEX(PP_Grid[#Data],$DD24,25),0)</f>
        <v/>
      </c>
      <c r="AB24">
        <f>IFERROR(INDEX(PP_Grid[#Data],$DD24,26),0)</f>
        <v/>
      </c>
      <c r="AC24">
        <f>IFERROR(INDEX(PP_Grid[#Data],$DD24,27),0)</f>
        <v/>
      </c>
      <c r="AD24">
        <f>IFERROR(INDEX(PP_Grid[#Data],$DD24,28),0)</f>
        <v/>
      </c>
      <c r="AE24">
        <f>IFERROR(INDEX(PP_Grid[#Data],$DD24,29),0)</f>
        <v/>
      </c>
      <c r="AF24">
        <f>IFERROR(INDEX(PP_Grid[#Data],$DD24,30),0)</f>
        <v/>
      </c>
      <c r="AG24">
        <f>IFERROR(INDEX(PP_Grid[#Data],$DD24,31),0)</f>
        <v/>
      </c>
      <c r="AH24">
        <f>IFERROR(INDEX(PP_Grid[#Data],$DD24,32),0)</f>
        <v/>
      </c>
      <c r="AI24">
        <f>IFERROR(INDEX(PP_Grid[#Data],$DD24,33),0)</f>
        <v/>
      </c>
      <c r="AJ24">
        <f>IFERROR(INDEX(PP_Grid[#Data],$DD24,34),0)</f>
        <v/>
      </c>
      <c r="AK24">
        <f>IFERROR(INDEX(PP_Grid[#Data],$DD24,35),0)</f>
        <v/>
      </c>
      <c r="AL24">
        <f>IFERROR(INDEX(PP_Grid[#Data],$DD24,36),0)</f>
        <v/>
      </c>
      <c r="AM24">
        <f>IFERROR(INDEX(PP_Grid[#Data],$DD24,37),0)</f>
        <v/>
      </c>
      <c r="AN24">
        <f>IFERROR(INDEX(PP_Grid[#Data],$DD24,38),0)</f>
        <v/>
      </c>
      <c r="AO24">
        <f>IFERROR(INDEX(PP_Grid[#Data],$DD24,39),0)</f>
        <v/>
      </c>
      <c r="AP24">
        <f>IFERROR(INDEX(PP_Grid[#Data],$DD24,40),0)</f>
        <v/>
      </c>
      <c r="AQ24">
        <f>IFERROR(INDEX(PP_Grid[#Data],$DD24,41),0)</f>
        <v/>
      </c>
      <c r="AR24">
        <f>IFERROR(INDEX(PP_Grid[#Data],$DD24,42),0)</f>
        <v/>
      </c>
      <c r="AS24">
        <f>IFERROR(INDEX(PP_Grid[#Data],$DD24,43),0)</f>
        <v/>
      </c>
      <c r="AT24">
        <f>IFERROR(INDEX(PP_Grid[#Data],$DD24,44),0)</f>
        <v/>
      </c>
      <c r="AU24">
        <f>IFERROR(INDEX(PP_Grid[#Data],$DD24,45),0)</f>
        <v/>
      </c>
      <c r="AV24">
        <f>IFERROR(INDEX(PP_Grid[#Data],$DD24,46),0)</f>
        <v/>
      </c>
      <c r="AW24">
        <f>IFERROR(INDEX(PP_Grid[#Data],$DD24,47),0)</f>
        <v/>
      </c>
      <c r="AX24">
        <f>IFERROR(INDEX(PP_Grid[#Data],$DD24,48),0)</f>
        <v/>
      </c>
      <c r="AY24">
        <f>IFERROR(INDEX(PP_Grid[#Data],$DD24,49),0)</f>
        <v/>
      </c>
      <c r="AZ24">
        <f>IFERROR(INDEX(PP_Grid[#Data],$DD24,50),0)</f>
        <v/>
      </c>
      <c r="BA24">
        <f>IFERROR(INDEX(PP_Grid[#Data],$DD24,51),0)</f>
        <v/>
      </c>
      <c r="BB24">
        <f>IFERROR(INDEX(PP_Grid[#Data],$DD24,52),0)</f>
        <v/>
      </c>
      <c r="BC24">
        <f>IFERROR(INDEX(PP_Grid[#Data],$DD24,53),0)</f>
        <v/>
      </c>
      <c r="BD24">
        <f>IFERROR(INDEX(PP_Grid[#Data],$DD24,54),0)</f>
        <v/>
      </c>
      <c r="BE24">
        <f>IFERROR(INDEX(PP_Grid[#Data],$DD24,55),0)</f>
        <v/>
      </c>
      <c r="BF24">
        <f>IFERROR(INDEX(PP_Grid[#Data],$DD24,56),0)</f>
        <v/>
      </c>
      <c r="BG24">
        <f>IFERROR(INDEX(PP_Grid[#Data],$DD24,57),0)</f>
        <v/>
      </c>
      <c r="BH24">
        <f>IFERROR(INDEX(PP_Grid[#Data],$DD24,58),0)</f>
        <v/>
      </c>
      <c r="BI24">
        <f>IFERROR(INDEX(PP_Grid[#Data],$DD24,59),0)</f>
        <v/>
      </c>
      <c r="BJ24">
        <f>IFERROR(INDEX(PP_Grid[#Data],$DD24,60),0)</f>
        <v/>
      </c>
      <c r="BK24">
        <f>IFERROR(INDEX(PP_Grid[#Data],$DD24,61),0)</f>
        <v/>
      </c>
      <c r="BL24">
        <f>IFERROR(INDEX(PP_Grid[#Data],$DD24,62),0)</f>
        <v/>
      </c>
      <c r="BM24">
        <f>IFERROR(INDEX(PP_Grid[#Data],$DD24,63),0)</f>
        <v/>
      </c>
      <c r="BN24">
        <f>IFERROR(INDEX(PP_Grid[#Data],$DD24,64),0)</f>
        <v/>
      </c>
      <c r="BO24">
        <f>IFERROR(INDEX(PP_Grid[#Data],$DD24,65),0)</f>
        <v/>
      </c>
      <c r="BP24">
        <f>IFERROR(INDEX(PP_Grid[#Data],$DD24,66),0)</f>
        <v/>
      </c>
      <c r="BQ24">
        <f>IFERROR(INDEX(PP_Grid[#Data],$DD24,67),0)</f>
        <v/>
      </c>
      <c r="BR24">
        <f>IFERROR(INDEX(PP_Grid[#Data],$DD24,68),0)</f>
        <v/>
      </c>
      <c r="BS24">
        <f>IFERROR(INDEX(PP_Grid[#Data],$DD24,69),0)</f>
        <v/>
      </c>
      <c r="BT24">
        <f>IFERROR(INDEX(PP_Grid[#Data],$DD24,70),0)</f>
        <v/>
      </c>
      <c r="BU24">
        <f>IFERROR(INDEX(PP_Grid[#Data],$DD24,71),0)</f>
        <v/>
      </c>
      <c r="BV24">
        <f>IFERROR(INDEX(PP_Grid[#Data],$DD24,72),0)</f>
        <v/>
      </c>
      <c r="BW24">
        <f>IFERROR(INDEX(PP_Grid[#Data],$DD24,73),0)</f>
        <v/>
      </c>
      <c r="BX24">
        <f>IFERROR(INDEX(PP_Grid[#Data],$DD24,74),0)</f>
        <v/>
      </c>
      <c r="BY24">
        <f>IFERROR(INDEX(PP_Grid[#Data],$DD24,75),0)</f>
        <v/>
      </c>
      <c r="BZ24">
        <f>IFERROR(INDEX(PP_Grid[#Data],$DD24,76),0)</f>
        <v/>
      </c>
      <c r="CA24">
        <f>IFERROR(INDEX(PP_Grid[#Data],$DD24,77),0)</f>
        <v/>
      </c>
      <c r="CB24">
        <f>IFERROR(INDEX(PP_Grid[#Data],$DD24,78),0)</f>
        <v/>
      </c>
      <c r="CC24">
        <f>IFERROR(INDEX(PP_Grid[#Data],$DD24,79),0)</f>
        <v/>
      </c>
      <c r="CD24">
        <f>IFERROR(INDEX(PP_Grid[#Data],$DD24,80),0)</f>
        <v/>
      </c>
      <c r="CE24">
        <f>IFERROR(INDEX(PP_Grid[#Data],$DD24,81),0)</f>
        <v/>
      </c>
      <c r="CF24">
        <f>IFERROR(INDEX(PP_Grid[#Data],$DD24,82),0)</f>
        <v/>
      </c>
      <c r="CG24">
        <f>IFERROR(INDEX(PP_Grid[#Data],$DD24,83),0)</f>
        <v/>
      </c>
      <c r="CH24">
        <f>IFERROR(INDEX(PP_Grid[#Data],$DD24,84),0)</f>
        <v/>
      </c>
      <c r="CI24">
        <f>IFERROR(INDEX(PP_Grid[#Data],$DD24,85),0)</f>
        <v/>
      </c>
      <c r="CJ24">
        <f>IFERROR(INDEX(PP_Grid[#Data],$DD24,86),0)</f>
        <v/>
      </c>
      <c r="CK24">
        <f>IFERROR(INDEX(PP_Grid[#Data],$DD24,87),0)</f>
        <v/>
      </c>
      <c r="CL24">
        <f>IFERROR(INDEX(PP_Grid[#Data],$DD24,88),0)</f>
        <v/>
      </c>
      <c r="CM24">
        <f>IFERROR(INDEX(PP_Grid[#Data],$DD24,89),0)</f>
        <v/>
      </c>
      <c r="CN24">
        <f>IFERROR(INDEX(PP_Grid[#Data],$DD24,90),0)</f>
        <v/>
      </c>
      <c r="CO24">
        <f>IFERROR(INDEX(PP_Grid[#Data],$DD24,91),0)</f>
        <v/>
      </c>
      <c r="CP24">
        <f>IFERROR(INDEX(PP_Grid[#Data],$DD24,92),0)</f>
        <v/>
      </c>
      <c r="CQ24">
        <f>IFERROR(INDEX(PP_Grid[#Data],$DD24,93),0)</f>
        <v/>
      </c>
      <c r="CR24">
        <f>IFERROR(INDEX(PP_Grid[#Data],$DD24,94),0)</f>
        <v/>
      </c>
      <c r="CS24">
        <f>IFERROR(INDEX(PP_Grid[#Data],$DD24,95),0)</f>
        <v/>
      </c>
      <c r="CT24">
        <f>IFERROR(INDEX(PP_Grid[#Data],$DD24,96),0)</f>
        <v/>
      </c>
      <c r="CU24">
        <f>IFERROR(INDEX(PP_Grid[#Data],$DD24,97),0)</f>
        <v/>
      </c>
      <c r="CV24">
        <f>IFERROR(INDEX(PP_Grid[#Data],$DD24,98),0)</f>
        <v/>
      </c>
      <c r="CW24">
        <f>IFERROR(INDEX(PP_Grid[#Data],$DD24,99),0)</f>
        <v/>
      </c>
      <c r="CX24">
        <f>IFERROR(INDEX(PP_Grid[#Data],$DD24,100),0)</f>
        <v/>
      </c>
      <c r="CY24">
        <f>IFERROR(INDEX(PP_Grid[#Data],$DD24,101),0)</f>
        <v/>
      </c>
      <c r="CZ24">
        <f>IFERROR(INDEX(PP_Grid[#Data],$DD24,102),0)</f>
        <v/>
      </c>
      <c r="DA24">
        <f>IFERROR(INDEX(PP_Grid[#Data],$DD24,103),0)</f>
        <v/>
      </c>
      <c r="DB24">
        <f>IFERROR(INDEX(PP_Grid[#Data],$DD24,104),0)</f>
        <v/>
      </c>
      <c r="DC24">
        <f>IFERROR(INDEX(PP_Grid[#Data],$DD24,105),0)</f>
        <v/>
      </c>
      <c r="DD24" s="7">
        <f>IFERROR(MATCH($B24,PP_Grid[Intermediate],0),99999)</f>
        <v/>
      </c>
    </row>
    <row r="25">
      <c r="B25" t="inlineStr">
        <is>
          <t>使用量(kg)</t>
        </is>
      </c>
      <c r="C25">
        <f>SUMIFS(M_BOM[RM_Qty_Per_Batch],M_BOM[Intermediate],$B24,M_BOM[Part Name],$A7)</f>
        <v/>
      </c>
      <c r="D25">
        <f>$C25*D24</f>
        <v/>
      </c>
      <c r="E25">
        <f>$C25*E24</f>
        <v/>
      </c>
      <c r="F25">
        <f>$C25*F24</f>
        <v/>
      </c>
      <c r="G25">
        <f>$C25*G24</f>
        <v/>
      </c>
      <c r="H25">
        <f>$C25*H24</f>
        <v/>
      </c>
      <c r="I25">
        <f>$C25*I24</f>
        <v/>
      </c>
      <c r="J25">
        <f>$C25*J24</f>
        <v/>
      </c>
      <c r="K25">
        <f>$C25*K24</f>
        <v/>
      </c>
      <c r="L25">
        <f>$C25*L24</f>
        <v/>
      </c>
      <c r="M25">
        <f>$C25*M24</f>
        <v/>
      </c>
      <c r="N25">
        <f>$C25*N24</f>
        <v/>
      </c>
      <c r="O25">
        <f>$C25*O24</f>
        <v/>
      </c>
      <c r="P25">
        <f>$C25*P24</f>
        <v/>
      </c>
      <c r="Q25">
        <f>$C25*Q24</f>
        <v/>
      </c>
      <c r="R25">
        <f>$C25*R24</f>
        <v/>
      </c>
      <c r="S25">
        <f>$C25*S24</f>
        <v/>
      </c>
      <c r="T25">
        <f>$C25*T24</f>
        <v/>
      </c>
      <c r="U25">
        <f>$C25*U24</f>
        <v/>
      </c>
      <c r="V25">
        <f>$C25*V24</f>
        <v/>
      </c>
      <c r="W25">
        <f>$C25*W24</f>
        <v/>
      </c>
      <c r="X25">
        <f>$C25*X24</f>
        <v/>
      </c>
      <c r="Y25">
        <f>$C25*Y24</f>
        <v/>
      </c>
      <c r="Z25">
        <f>$C25*Z24</f>
        <v/>
      </c>
      <c r="AA25">
        <f>$C25*AA24</f>
        <v/>
      </c>
      <c r="AB25">
        <f>$C25*AB24</f>
        <v/>
      </c>
      <c r="AC25">
        <f>$C25*AC24</f>
        <v/>
      </c>
      <c r="AD25">
        <f>$C25*AD24</f>
        <v/>
      </c>
      <c r="AE25">
        <f>$C25*AE24</f>
        <v/>
      </c>
      <c r="AF25">
        <f>$C25*AF24</f>
        <v/>
      </c>
      <c r="AG25">
        <f>$C25*AG24</f>
        <v/>
      </c>
      <c r="AH25">
        <f>$C25*AH24</f>
        <v/>
      </c>
      <c r="AI25">
        <f>$C25*AI24</f>
        <v/>
      </c>
      <c r="AJ25">
        <f>$C25*AJ24</f>
        <v/>
      </c>
      <c r="AK25">
        <f>$C25*AK24</f>
        <v/>
      </c>
      <c r="AL25">
        <f>$C25*AL24</f>
        <v/>
      </c>
      <c r="AM25">
        <f>$C25*AM24</f>
        <v/>
      </c>
      <c r="AN25">
        <f>$C25*AN24</f>
        <v/>
      </c>
      <c r="AO25">
        <f>$C25*AO24</f>
        <v/>
      </c>
      <c r="AP25">
        <f>$C25*AP24</f>
        <v/>
      </c>
      <c r="AQ25">
        <f>$C25*AQ24</f>
        <v/>
      </c>
      <c r="AR25">
        <f>$C25*AR24</f>
        <v/>
      </c>
      <c r="AS25">
        <f>$C25*AS24</f>
        <v/>
      </c>
      <c r="AT25">
        <f>$C25*AT24</f>
        <v/>
      </c>
      <c r="AU25">
        <f>$C25*AU24</f>
        <v/>
      </c>
      <c r="AV25">
        <f>$C25*AV24</f>
        <v/>
      </c>
      <c r="AW25">
        <f>$C25*AW24</f>
        <v/>
      </c>
      <c r="AX25">
        <f>$C25*AX24</f>
        <v/>
      </c>
      <c r="AY25">
        <f>$C25*AY24</f>
        <v/>
      </c>
      <c r="AZ25">
        <f>$C25*AZ24</f>
        <v/>
      </c>
      <c r="BA25">
        <f>$C25*BA24</f>
        <v/>
      </c>
      <c r="BB25">
        <f>$C25*BB24</f>
        <v/>
      </c>
      <c r="BC25">
        <f>$C25*BC24</f>
        <v/>
      </c>
      <c r="BD25">
        <f>$C25*BD24</f>
        <v/>
      </c>
      <c r="BE25">
        <f>$C25*BE24</f>
        <v/>
      </c>
      <c r="BF25">
        <f>$C25*BF24</f>
        <v/>
      </c>
      <c r="BG25">
        <f>$C25*BG24</f>
        <v/>
      </c>
      <c r="BH25">
        <f>$C25*BH24</f>
        <v/>
      </c>
      <c r="BI25">
        <f>$C25*BI24</f>
        <v/>
      </c>
      <c r="BJ25">
        <f>$C25*BJ24</f>
        <v/>
      </c>
      <c r="BK25">
        <f>$C25*BK24</f>
        <v/>
      </c>
      <c r="BL25">
        <f>$C25*BL24</f>
        <v/>
      </c>
      <c r="BM25">
        <f>$C25*BM24</f>
        <v/>
      </c>
      <c r="BN25">
        <f>$C25*BN24</f>
        <v/>
      </c>
      <c r="BO25">
        <f>$C25*BO24</f>
        <v/>
      </c>
      <c r="BP25">
        <f>$C25*BP24</f>
        <v/>
      </c>
      <c r="BQ25">
        <f>$C25*BQ24</f>
        <v/>
      </c>
      <c r="BR25">
        <f>$C25*BR24</f>
        <v/>
      </c>
      <c r="BS25">
        <f>$C25*BS24</f>
        <v/>
      </c>
      <c r="BT25">
        <f>$C25*BT24</f>
        <v/>
      </c>
      <c r="BU25">
        <f>$C25*BU24</f>
        <v/>
      </c>
      <c r="BV25">
        <f>$C25*BV24</f>
        <v/>
      </c>
      <c r="BW25">
        <f>$C25*BW24</f>
        <v/>
      </c>
      <c r="BX25">
        <f>$C25*BX24</f>
        <v/>
      </c>
      <c r="BY25">
        <f>$C25*BY24</f>
        <v/>
      </c>
      <c r="BZ25">
        <f>$C25*BZ24</f>
        <v/>
      </c>
      <c r="CA25">
        <f>$C25*CA24</f>
        <v/>
      </c>
      <c r="CB25">
        <f>$C25*CB24</f>
        <v/>
      </c>
      <c r="CC25">
        <f>$C25*CC24</f>
        <v/>
      </c>
      <c r="CD25">
        <f>$C25*CD24</f>
        <v/>
      </c>
      <c r="CE25">
        <f>$C25*CE24</f>
        <v/>
      </c>
      <c r="CF25">
        <f>$C25*CF24</f>
        <v/>
      </c>
      <c r="CG25">
        <f>$C25*CG24</f>
        <v/>
      </c>
      <c r="CH25">
        <f>$C25*CH24</f>
        <v/>
      </c>
      <c r="CI25">
        <f>$C25*CI24</f>
        <v/>
      </c>
      <c r="CJ25">
        <f>$C25*CJ24</f>
        <v/>
      </c>
      <c r="CK25">
        <f>$C25*CK24</f>
        <v/>
      </c>
      <c r="CL25">
        <f>$C25*CL24</f>
        <v/>
      </c>
      <c r="CM25">
        <f>$C25*CM24</f>
        <v/>
      </c>
      <c r="CN25">
        <f>$C25*CN24</f>
        <v/>
      </c>
      <c r="CO25">
        <f>$C25*CO24</f>
        <v/>
      </c>
      <c r="CP25">
        <f>$C25*CP24</f>
        <v/>
      </c>
      <c r="CQ25">
        <f>$C25*CQ24</f>
        <v/>
      </c>
      <c r="CR25">
        <f>$C25*CR24</f>
        <v/>
      </c>
      <c r="CS25">
        <f>$C25*CS24</f>
        <v/>
      </c>
      <c r="CT25">
        <f>$C25*CT24</f>
        <v/>
      </c>
      <c r="CU25">
        <f>$C25*CU24</f>
        <v/>
      </c>
      <c r="CV25">
        <f>$C25*CV24</f>
        <v/>
      </c>
      <c r="CW25">
        <f>$C25*CW24</f>
        <v/>
      </c>
      <c r="CX25">
        <f>$C25*CX24</f>
        <v/>
      </c>
      <c r="CY25">
        <f>$C25*CY24</f>
        <v/>
      </c>
      <c r="CZ25">
        <f>$C25*CZ24</f>
        <v/>
      </c>
      <c r="DA25">
        <f>$C25*DA24</f>
        <v/>
      </c>
      <c r="DB25">
        <f>$C25*DB24</f>
        <v/>
      </c>
      <c r="DC25">
        <f>$C25*DC24</f>
        <v/>
      </c>
    </row>
    <row r="26">
      <c r="B26" t="inlineStr">
        <is>
          <t>TSP-656</t>
        </is>
      </c>
      <c r="C26" t="inlineStr">
        <is>
          <t>No. of batches</t>
        </is>
      </c>
      <c r="D26">
        <f>IFERROR(INDEX(PP_Grid[#Data],$DD26,2),0)</f>
        <v/>
      </c>
      <c r="E26">
        <f>IFERROR(INDEX(PP_Grid[#Data],$DD26,3),0)</f>
        <v/>
      </c>
      <c r="F26">
        <f>IFERROR(INDEX(PP_Grid[#Data],$DD26,4),0)</f>
        <v/>
      </c>
      <c r="G26">
        <f>IFERROR(INDEX(PP_Grid[#Data],$DD26,5),0)</f>
        <v/>
      </c>
      <c r="H26">
        <f>IFERROR(INDEX(PP_Grid[#Data],$DD26,6),0)</f>
        <v/>
      </c>
      <c r="I26">
        <f>IFERROR(INDEX(PP_Grid[#Data],$DD26,7),0)</f>
        <v/>
      </c>
      <c r="J26">
        <f>IFERROR(INDEX(PP_Grid[#Data],$DD26,8),0)</f>
        <v/>
      </c>
      <c r="K26">
        <f>IFERROR(INDEX(PP_Grid[#Data],$DD26,9),0)</f>
        <v/>
      </c>
      <c r="L26">
        <f>IFERROR(INDEX(PP_Grid[#Data],$DD26,10),0)</f>
        <v/>
      </c>
      <c r="M26">
        <f>IFERROR(INDEX(PP_Grid[#Data],$DD26,11),0)</f>
        <v/>
      </c>
      <c r="N26">
        <f>IFERROR(INDEX(PP_Grid[#Data],$DD26,12),0)</f>
        <v/>
      </c>
      <c r="O26">
        <f>IFERROR(INDEX(PP_Grid[#Data],$DD26,13),0)</f>
        <v/>
      </c>
      <c r="P26">
        <f>IFERROR(INDEX(PP_Grid[#Data],$DD26,14),0)</f>
        <v/>
      </c>
      <c r="Q26">
        <f>IFERROR(INDEX(PP_Grid[#Data],$DD26,15),0)</f>
        <v/>
      </c>
      <c r="R26">
        <f>IFERROR(INDEX(PP_Grid[#Data],$DD26,16),0)</f>
        <v/>
      </c>
      <c r="S26">
        <f>IFERROR(INDEX(PP_Grid[#Data],$DD26,17),0)</f>
        <v/>
      </c>
      <c r="T26">
        <f>IFERROR(INDEX(PP_Grid[#Data],$DD26,18),0)</f>
        <v/>
      </c>
      <c r="U26">
        <f>IFERROR(INDEX(PP_Grid[#Data],$DD26,19),0)</f>
        <v/>
      </c>
      <c r="V26">
        <f>IFERROR(INDEX(PP_Grid[#Data],$DD26,20),0)</f>
        <v/>
      </c>
      <c r="W26">
        <f>IFERROR(INDEX(PP_Grid[#Data],$DD26,21),0)</f>
        <v/>
      </c>
      <c r="X26">
        <f>IFERROR(INDEX(PP_Grid[#Data],$DD26,22),0)</f>
        <v/>
      </c>
      <c r="Y26">
        <f>IFERROR(INDEX(PP_Grid[#Data],$DD26,23),0)</f>
        <v/>
      </c>
      <c r="Z26">
        <f>IFERROR(INDEX(PP_Grid[#Data],$DD26,24),0)</f>
        <v/>
      </c>
      <c r="AA26">
        <f>IFERROR(INDEX(PP_Grid[#Data],$DD26,25),0)</f>
        <v/>
      </c>
      <c r="AB26">
        <f>IFERROR(INDEX(PP_Grid[#Data],$DD26,26),0)</f>
        <v/>
      </c>
      <c r="AC26">
        <f>IFERROR(INDEX(PP_Grid[#Data],$DD26,27),0)</f>
        <v/>
      </c>
      <c r="AD26">
        <f>IFERROR(INDEX(PP_Grid[#Data],$DD26,28),0)</f>
        <v/>
      </c>
      <c r="AE26">
        <f>IFERROR(INDEX(PP_Grid[#Data],$DD26,29),0)</f>
        <v/>
      </c>
      <c r="AF26">
        <f>IFERROR(INDEX(PP_Grid[#Data],$DD26,30),0)</f>
        <v/>
      </c>
      <c r="AG26">
        <f>IFERROR(INDEX(PP_Grid[#Data],$DD26,31),0)</f>
        <v/>
      </c>
      <c r="AH26">
        <f>IFERROR(INDEX(PP_Grid[#Data],$DD26,32),0)</f>
        <v/>
      </c>
      <c r="AI26">
        <f>IFERROR(INDEX(PP_Grid[#Data],$DD26,33),0)</f>
        <v/>
      </c>
      <c r="AJ26">
        <f>IFERROR(INDEX(PP_Grid[#Data],$DD26,34),0)</f>
        <v/>
      </c>
      <c r="AK26">
        <f>IFERROR(INDEX(PP_Grid[#Data],$DD26,35),0)</f>
        <v/>
      </c>
      <c r="AL26">
        <f>IFERROR(INDEX(PP_Grid[#Data],$DD26,36),0)</f>
        <v/>
      </c>
      <c r="AM26">
        <f>IFERROR(INDEX(PP_Grid[#Data],$DD26,37),0)</f>
        <v/>
      </c>
      <c r="AN26">
        <f>IFERROR(INDEX(PP_Grid[#Data],$DD26,38),0)</f>
        <v/>
      </c>
      <c r="AO26">
        <f>IFERROR(INDEX(PP_Grid[#Data],$DD26,39),0)</f>
        <v/>
      </c>
      <c r="AP26">
        <f>IFERROR(INDEX(PP_Grid[#Data],$DD26,40),0)</f>
        <v/>
      </c>
      <c r="AQ26">
        <f>IFERROR(INDEX(PP_Grid[#Data],$DD26,41),0)</f>
        <v/>
      </c>
      <c r="AR26">
        <f>IFERROR(INDEX(PP_Grid[#Data],$DD26,42),0)</f>
        <v/>
      </c>
      <c r="AS26">
        <f>IFERROR(INDEX(PP_Grid[#Data],$DD26,43),0)</f>
        <v/>
      </c>
      <c r="AT26">
        <f>IFERROR(INDEX(PP_Grid[#Data],$DD26,44),0)</f>
        <v/>
      </c>
      <c r="AU26">
        <f>IFERROR(INDEX(PP_Grid[#Data],$DD26,45),0)</f>
        <v/>
      </c>
      <c r="AV26">
        <f>IFERROR(INDEX(PP_Grid[#Data],$DD26,46),0)</f>
        <v/>
      </c>
      <c r="AW26">
        <f>IFERROR(INDEX(PP_Grid[#Data],$DD26,47),0)</f>
        <v/>
      </c>
      <c r="AX26">
        <f>IFERROR(INDEX(PP_Grid[#Data],$DD26,48),0)</f>
        <v/>
      </c>
      <c r="AY26">
        <f>IFERROR(INDEX(PP_Grid[#Data],$DD26,49),0)</f>
        <v/>
      </c>
      <c r="AZ26">
        <f>IFERROR(INDEX(PP_Grid[#Data],$DD26,50),0)</f>
        <v/>
      </c>
      <c r="BA26">
        <f>IFERROR(INDEX(PP_Grid[#Data],$DD26,51),0)</f>
        <v/>
      </c>
      <c r="BB26">
        <f>IFERROR(INDEX(PP_Grid[#Data],$DD26,52),0)</f>
        <v/>
      </c>
      <c r="BC26">
        <f>IFERROR(INDEX(PP_Grid[#Data],$DD26,53),0)</f>
        <v/>
      </c>
      <c r="BD26">
        <f>IFERROR(INDEX(PP_Grid[#Data],$DD26,54),0)</f>
        <v/>
      </c>
      <c r="BE26">
        <f>IFERROR(INDEX(PP_Grid[#Data],$DD26,55),0)</f>
        <v/>
      </c>
      <c r="BF26">
        <f>IFERROR(INDEX(PP_Grid[#Data],$DD26,56),0)</f>
        <v/>
      </c>
      <c r="BG26">
        <f>IFERROR(INDEX(PP_Grid[#Data],$DD26,57),0)</f>
        <v/>
      </c>
      <c r="BH26">
        <f>IFERROR(INDEX(PP_Grid[#Data],$DD26,58),0)</f>
        <v/>
      </c>
      <c r="BI26">
        <f>IFERROR(INDEX(PP_Grid[#Data],$DD26,59),0)</f>
        <v/>
      </c>
      <c r="BJ26">
        <f>IFERROR(INDEX(PP_Grid[#Data],$DD26,60),0)</f>
        <v/>
      </c>
      <c r="BK26">
        <f>IFERROR(INDEX(PP_Grid[#Data],$DD26,61),0)</f>
        <v/>
      </c>
      <c r="BL26">
        <f>IFERROR(INDEX(PP_Grid[#Data],$DD26,62),0)</f>
        <v/>
      </c>
      <c r="BM26">
        <f>IFERROR(INDEX(PP_Grid[#Data],$DD26,63),0)</f>
        <v/>
      </c>
      <c r="BN26">
        <f>IFERROR(INDEX(PP_Grid[#Data],$DD26,64),0)</f>
        <v/>
      </c>
      <c r="BO26">
        <f>IFERROR(INDEX(PP_Grid[#Data],$DD26,65),0)</f>
        <v/>
      </c>
      <c r="BP26">
        <f>IFERROR(INDEX(PP_Grid[#Data],$DD26,66),0)</f>
        <v/>
      </c>
      <c r="BQ26">
        <f>IFERROR(INDEX(PP_Grid[#Data],$DD26,67),0)</f>
        <v/>
      </c>
      <c r="BR26">
        <f>IFERROR(INDEX(PP_Grid[#Data],$DD26,68),0)</f>
        <v/>
      </c>
      <c r="BS26">
        <f>IFERROR(INDEX(PP_Grid[#Data],$DD26,69),0)</f>
        <v/>
      </c>
      <c r="BT26">
        <f>IFERROR(INDEX(PP_Grid[#Data],$DD26,70),0)</f>
        <v/>
      </c>
      <c r="BU26">
        <f>IFERROR(INDEX(PP_Grid[#Data],$DD26,71),0)</f>
        <v/>
      </c>
      <c r="BV26">
        <f>IFERROR(INDEX(PP_Grid[#Data],$DD26,72),0)</f>
        <v/>
      </c>
      <c r="BW26">
        <f>IFERROR(INDEX(PP_Grid[#Data],$DD26,73),0)</f>
        <v/>
      </c>
      <c r="BX26">
        <f>IFERROR(INDEX(PP_Grid[#Data],$DD26,74),0)</f>
        <v/>
      </c>
      <c r="BY26">
        <f>IFERROR(INDEX(PP_Grid[#Data],$DD26,75),0)</f>
        <v/>
      </c>
      <c r="BZ26">
        <f>IFERROR(INDEX(PP_Grid[#Data],$DD26,76),0)</f>
        <v/>
      </c>
      <c r="CA26">
        <f>IFERROR(INDEX(PP_Grid[#Data],$DD26,77),0)</f>
        <v/>
      </c>
      <c r="CB26">
        <f>IFERROR(INDEX(PP_Grid[#Data],$DD26,78),0)</f>
        <v/>
      </c>
      <c r="CC26">
        <f>IFERROR(INDEX(PP_Grid[#Data],$DD26,79),0)</f>
        <v/>
      </c>
      <c r="CD26">
        <f>IFERROR(INDEX(PP_Grid[#Data],$DD26,80),0)</f>
        <v/>
      </c>
      <c r="CE26">
        <f>IFERROR(INDEX(PP_Grid[#Data],$DD26,81),0)</f>
        <v/>
      </c>
      <c r="CF26">
        <f>IFERROR(INDEX(PP_Grid[#Data],$DD26,82),0)</f>
        <v/>
      </c>
      <c r="CG26">
        <f>IFERROR(INDEX(PP_Grid[#Data],$DD26,83),0)</f>
        <v/>
      </c>
      <c r="CH26">
        <f>IFERROR(INDEX(PP_Grid[#Data],$DD26,84),0)</f>
        <v/>
      </c>
      <c r="CI26">
        <f>IFERROR(INDEX(PP_Grid[#Data],$DD26,85),0)</f>
        <v/>
      </c>
      <c r="CJ26">
        <f>IFERROR(INDEX(PP_Grid[#Data],$DD26,86),0)</f>
        <v/>
      </c>
      <c r="CK26">
        <f>IFERROR(INDEX(PP_Grid[#Data],$DD26,87),0)</f>
        <v/>
      </c>
      <c r="CL26">
        <f>IFERROR(INDEX(PP_Grid[#Data],$DD26,88),0)</f>
        <v/>
      </c>
      <c r="CM26">
        <f>IFERROR(INDEX(PP_Grid[#Data],$DD26,89),0)</f>
        <v/>
      </c>
      <c r="CN26">
        <f>IFERROR(INDEX(PP_Grid[#Data],$DD26,90),0)</f>
        <v/>
      </c>
      <c r="CO26">
        <f>IFERROR(INDEX(PP_Grid[#Data],$DD26,91),0)</f>
        <v/>
      </c>
      <c r="CP26">
        <f>IFERROR(INDEX(PP_Grid[#Data],$DD26,92),0)</f>
        <v/>
      </c>
      <c r="CQ26">
        <f>IFERROR(INDEX(PP_Grid[#Data],$DD26,93),0)</f>
        <v/>
      </c>
      <c r="CR26">
        <f>IFERROR(INDEX(PP_Grid[#Data],$DD26,94),0)</f>
        <v/>
      </c>
      <c r="CS26">
        <f>IFERROR(INDEX(PP_Grid[#Data],$DD26,95),0)</f>
        <v/>
      </c>
      <c r="CT26">
        <f>IFERROR(INDEX(PP_Grid[#Data],$DD26,96),0)</f>
        <v/>
      </c>
      <c r="CU26">
        <f>IFERROR(INDEX(PP_Grid[#Data],$DD26,97),0)</f>
        <v/>
      </c>
      <c r="CV26">
        <f>IFERROR(INDEX(PP_Grid[#Data],$DD26,98),0)</f>
        <v/>
      </c>
      <c r="CW26">
        <f>IFERROR(INDEX(PP_Grid[#Data],$DD26,99),0)</f>
        <v/>
      </c>
      <c r="CX26">
        <f>IFERROR(INDEX(PP_Grid[#Data],$DD26,100),0)</f>
        <v/>
      </c>
      <c r="CY26">
        <f>IFERROR(INDEX(PP_Grid[#Data],$DD26,101),0)</f>
        <v/>
      </c>
      <c r="CZ26">
        <f>IFERROR(INDEX(PP_Grid[#Data],$DD26,102),0)</f>
        <v/>
      </c>
      <c r="DA26">
        <f>IFERROR(INDEX(PP_Grid[#Data],$DD26,103),0)</f>
        <v/>
      </c>
      <c r="DB26">
        <f>IFERROR(INDEX(PP_Grid[#Data],$DD26,104),0)</f>
        <v/>
      </c>
      <c r="DC26">
        <f>IFERROR(INDEX(PP_Grid[#Data],$DD26,105),0)</f>
        <v/>
      </c>
      <c r="DD26" s="7">
        <f>IFERROR(MATCH($B26,PP_Grid[Intermediate],0),99999)</f>
        <v/>
      </c>
    </row>
    <row r="27">
      <c r="B27" t="inlineStr">
        <is>
          <t>使用量(kg)</t>
        </is>
      </c>
      <c r="C27">
        <f>SUMIFS(M_BOM[RM_Qty_Per_Batch],M_BOM[Intermediate],$B26,M_BOM[Part Name],$A7)</f>
        <v/>
      </c>
      <c r="D27">
        <f>$C27*D26</f>
        <v/>
      </c>
      <c r="E27">
        <f>$C27*E26</f>
        <v/>
      </c>
      <c r="F27">
        <f>$C27*F26</f>
        <v/>
      </c>
      <c r="G27">
        <f>$C27*G26</f>
        <v/>
      </c>
      <c r="H27">
        <f>$C27*H26</f>
        <v/>
      </c>
      <c r="I27">
        <f>$C27*I26</f>
        <v/>
      </c>
      <c r="J27">
        <f>$C27*J26</f>
        <v/>
      </c>
      <c r="K27">
        <f>$C27*K26</f>
        <v/>
      </c>
      <c r="L27">
        <f>$C27*L26</f>
        <v/>
      </c>
      <c r="M27">
        <f>$C27*M26</f>
        <v/>
      </c>
      <c r="N27">
        <f>$C27*N26</f>
        <v/>
      </c>
      <c r="O27">
        <f>$C27*O26</f>
        <v/>
      </c>
      <c r="P27">
        <f>$C27*P26</f>
        <v/>
      </c>
      <c r="Q27">
        <f>$C27*Q26</f>
        <v/>
      </c>
      <c r="R27">
        <f>$C27*R26</f>
        <v/>
      </c>
      <c r="S27">
        <f>$C27*S26</f>
        <v/>
      </c>
      <c r="T27">
        <f>$C27*T26</f>
        <v/>
      </c>
      <c r="U27">
        <f>$C27*U26</f>
        <v/>
      </c>
      <c r="V27">
        <f>$C27*V26</f>
        <v/>
      </c>
      <c r="W27">
        <f>$C27*W26</f>
        <v/>
      </c>
      <c r="X27">
        <f>$C27*X26</f>
        <v/>
      </c>
      <c r="Y27">
        <f>$C27*Y26</f>
        <v/>
      </c>
      <c r="Z27">
        <f>$C27*Z26</f>
        <v/>
      </c>
      <c r="AA27">
        <f>$C27*AA26</f>
        <v/>
      </c>
      <c r="AB27">
        <f>$C27*AB26</f>
        <v/>
      </c>
      <c r="AC27">
        <f>$C27*AC26</f>
        <v/>
      </c>
      <c r="AD27">
        <f>$C27*AD26</f>
        <v/>
      </c>
      <c r="AE27">
        <f>$C27*AE26</f>
        <v/>
      </c>
      <c r="AF27">
        <f>$C27*AF26</f>
        <v/>
      </c>
      <c r="AG27">
        <f>$C27*AG26</f>
        <v/>
      </c>
      <c r="AH27">
        <f>$C27*AH26</f>
        <v/>
      </c>
      <c r="AI27">
        <f>$C27*AI26</f>
        <v/>
      </c>
      <c r="AJ27">
        <f>$C27*AJ26</f>
        <v/>
      </c>
      <c r="AK27">
        <f>$C27*AK26</f>
        <v/>
      </c>
      <c r="AL27">
        <f>$C27*AL26</f>
        <v/>
      </c>
      <c r="AM27">
        <f>$C27*AM26</f>
        <v/>
      </c>
      <c r="AN27">
        <f>$C27*AN26</f>
        <v/>
      </c>
      <c r="AO27">
        <f>$C27*AO26</f>
        <v/>
      </c>
      <c r="AP27">
        <f>$C27*AP26</f>
        <v/>
      </c>
      <c r="AQ27">
        <f>$C27*AQ26</f>
        <v/>
      </c>
      <c r="AR27">
        <f>$C27*AR26</f>
        <v/>
      </c>
      <c r="AS27">
        <f>$C27*AS26</f>
        <v/>
      </c>
      <c r="AT27">
        <f>$C27*AT26</f>
        <v/>
      </c>
      <c r="AU27">
        <f>$C27*AU26</f>
        <v/>
      </c>
      <c r="AV27">
        <f>$C27*AV26</f>
        <v/>
      </c>
      <c r="AW27">
        <f>$C27*AW26</f>
        <v/>
      </c>
      <c r="AX27">
        <f>$C27*AX26</f>
        <v/>
      </c>
      <c r="AY27">
        <f>$C27*AY26</f>
        <v/>
      </c>
      <c r="AZ27">
        <f>$C27*AZ26</f>
        <v/>
      </c>
      <c r="BA27">
        <f>$C27*BA26</f>
        <v/>
      </c>
      <c r="BB27">
        <f>$C27*BB26</f>
        <v/>
      </c>
      <c r="BC27">
        <f>$C27*BC26</f>
        <v/>
      </c>
      <c r="BD27">
        <f>$C27*BD26</f>
        <v/>
      </c>
      <c r="BE27">
        <f>$C27*BE26</f>
        <v/>
      </c>
      <c r="BF27">
        <f>$C27*BF26</f>
        <v/>
      </c>
      <c r="BG27">
        <f>$C27*BG26</f>
        <v/>
      </c>
      <c r="BH27">
        <f>$C27*BH26</f>
        <v/>
      </c>
      <c r="BI27">
        <f>$C27*BI26</f>
        <v/>
      </c>
      <c r="BJ27">
        <f>$C27*BJ26</f>
        <v/>
      </c>
      <c r="BK27">
        <f>$C27*BK26</f>
        <v/>
      </c>
      <c r="BL27">
        <f>$C27*BL26</f>
        <v/>
      </c>
      <c r="BM27">
        <f>$C27*BM26</f>
        <v/>
      </c>
      <c r="BN27">
        <f>$C27*BN26</f>
        <v/>
      </c>
      <c r="BO27">
        <f>$C27*BO26</f>
        <v/>
      </c>
      <c r="BP27">
        <f>$C27*BP26</f>
        <v/>
      </c>
      <c r="BQ27">
        <f>$C27*BQ26</f>
        <v/>
      </c>
      <c r="BR27">
        <f>$C27*BR26</f>
        <v/>
      </c>
      <c r="BS27">
        <f>$C27*BS26</f>
        <v/>
      </c>
      <c r="BT27">
        <f>$C27*BT26</f>
        <v/>
      </c>
      <c r="BU27">
        <f>$C27*BU26</f>
        <v/>
      </c>
      <c r="BV27">
        <f>$C27*BV26</f>
        <v/>
      </c>
      <c r="BW27">
        <f>$C27*BW26</f>
        <v/>
      </c>
      <c r="BX27">
        <f>$C27*BX26</f>
        <v/>
      </c>
      <c r="BY27">
        <f>$C27*BY26</f>
        <v/>
      </c>
      <c r="BZ27">
        <f>$C27*BZ26</f>
        <v/>
      </c>
      <c r="CA27">
        <f>$C27*CA26</f>
        <v/>
      </c>
      <c r="CB27">
        <f>$C27*CB26</f>
        <v/>
      </c>
      <c r="CC27">
        <f>$C27*CC26</f>
        <v/>
      </c>
      <c r="CD27">
        <f>$C27*CD26</f>
        <v/>
      </c>
      <c r="CE27">
        <f>$C27*CE26</f>
        <v/>
      </c>
      <c r="CF27">
        <f>$C27*CF26</f>
        <v/>
      </c>
      <c r="CG27">
        <f>$C27*CG26</f>
        <v/>
      </c>
      <c r="CH27">
        <f>$C27*CH26</f>
        <v/>
      </c>
      <c r="CI27">
        <f>$C27*CI26</f>
        <v/>
      </c>
      <c r="CJ27">
        <f>$C27*CJ26</f>
        <v/>
      </c>
      <c r="CK27">
        <f>$C27*CK26</f>
        <v/>
      </c>
      <c r="CL27">
        <f>$C27*CL26</f>
        <v/>
      </c>
      <c r="CM27">
        <f>$C27*CM26</f>
        <v/>
      </c>
      <c r="CN27">
        <f>$C27*CN26</f>
        <v/>
      </c>
      <c r="CO27">
        <f>$C27*CO26</f>
        <v/>
      </c>
      <c r="CP27">
        <f>$C27*CP26</f>
        <v/>
      </c>
      <c r="CQ27">
        <f>$C27*CQ26</f>
        <v/>
      </c>
      <c r="CR27">
        <f>$C27*CR26</f>
        <v/>
      </c>
      <c r="CS27">
        <f>$C27*CS26</f>
        <v/>
      </c>
      <c r="CT27">
        <f>$C27*CT26</f>
        <v/>
      </c>
      <c r="CU27">
        <f>$C27*CU26</f>
        <v/>
      </c>
      <c r="CV27">
        <f>$C27*CV26</f>
        <v/>
      </c>
      <c r="CW27">
        <f>$C27*CW26</f>
        <v/>
      </c>
      <c r="CX27">
        <f>$C27*CX26</f>
        <v/>
      </c>
      <c r="CY27">
        <f>$C27*CY26</f>
        <v/>
      </c>
      <c r="CZ27">
        <f>$C27*CZ26</f>
        <v/>
      </c>
      <c r="DA27">
        <f>$C27*DA26</f>
        <v/>
      </c>
      <c r="DB27">
        <f>$C27*DB26</f>
        <v/>
      </c>
      <c r="DC27">
        <f>$C27*DC26</f>
        <v/>
      </c>
    </row>
    <row r="28">
      <c r="B28" t="inlineStr">
        <is>
          <t>TSP-668</t>
        </is>
      </c>
      <c r="C28" t="inlineStr">
        <is>
          <t>No. of batches</t>
        </is>
      </c>
      <c r="D28">
        <f>IFERROR(INDEX(PP_Grid[#Data],$DD28,2),0)</f>
        <v/>
      </c>
      <c r="E28">
        <f>IFERROR(INDEX(PP_Grid[#Data],$DD28,3),0)</f>
        <v/>
      </c>
      <c r="F28">
        <f>IFERROR(INDEX(PP_Grid[#Data],$DD28,4),0)</f>
        <v/>
      </c>
      <c r="G28">
        <f>IFERROR(INDEX(PP_Grid[#Data],$DD28,5),0)</f>
        <v/>
      </c>
      <c r="H28">
        <f>IFERROR(INDEX(PP_Grid[#Data],$DD28,6),0)</f>
        <v/>
      </c>
      <c r="I28">
        <f>IFERROR(INDEX(PP_Grid[#Data],$DD28,7),0)</f>
        <v/>
      </c>
      <c r="J28">
        <f>IFERROR(INDEX(PP_Grid[#Data],$DD28,8),0)</f>
        <v/>
      </c>
      <c r="K28">
        <f>IFERROR(INDEX(PP_Grid[#Data],$DD28,9),0)</f>
        <v/>
      </c>
      <c r="L28">
        <f>IFERROR(INDEX(PP_Grid[#Data],$DD28,10),0)</f>
        <v/>
      </c>
      <c r="M28">
        <f>IFERROR(INDEX(PP_Grid[#Data],$DD28,11),0)</f>
        <v/>
      </c>
      <c r="N28">
        <f>IFERROR(INDEX(PP_Grid[#Data],$DD28,12),0)</f>
        <v/>
      </c>
      <c r="O28">
        <f>IFERROR(INDEX(PP_Grid[#Data],$DD28,13),0)</f>
        <v/>
      </c>
      <c r="P28">
        <f>IFERROR(INDEX(PP_Grid[#Data],$DD28,14),0)</f>
        <v/>
      </c>
      <c r="Q28">
        <f>IFERROR(INDEX(PP_Grid[#Data],$DD28,15),0)</f>
        <v/>
      </c>
      <c r="R28">
        <f>IFERROR(INDEX(PP_Grid[#Data],$DD28,16),0)</f>
        <v/>
      </c>
      <c r="S28">
        <f>IFERROR(INDEX(PP_Grid[#Data],$DD28,17),0)</f>
        <v/>
      </c>
      <c r="T28">
        <f>IFERROR(INDEX(PP_Grid[#Data],$DD28,18),0)</f>
        <v/>
      </c>
      <c r="U28">
        <f>IFERROR(INDEX(PP_Grid[#Data],$DD28,19),0)</f>
        <v/>
      </c>
      <c r="V28">
        <f>IFERROR(INDEX(PP_Grid[#Data],$DD28,20),0)</f>
        <v/>
      </c>
      <c r="W28">
        <f>IFERROR(INDEX(PP_Grid[#Data],$DD28,21),0)</f>
        <v/>
      </c>
      <c r="X28">
        <f>IFERROR(INDEX(PP_Grid[#Data],$DD28,22),0)</f>
        <v/>
      </c>
      <c r="Y28">
        <f>IFERROR(INDEX(PP_Grid[#Data],$DD28,23),0)</f>
        <v/>
      </c>
      <c r="Z28">
        <f>IFERROR(INDEX(PP_Grid[#Data],$DD28,24),0)</f>
        <v/>
      </c>
      <c r="AA28">
        <f>IFERROR(INDEX(PP_Grid[#Data],$DD28,25),0)</f>
        <v/>
      </c>
      <c r="AB28">
        <f>IFERROR(INDEX(PP_Grid[#Data],$DD28,26),0)</f>
        <v/>
      </c>
      <c r="AC28">
        <f>IFERROR(INDEX(PP_Grid[#Data],$DD28,27),0)</f>
        <v/>
      </c>
      <c r="AD28">
        <f>IFERROR(INDEX(PP_Grid[#Data],$DD28,28),0)</f>
        <v/>
      </c>
      <c r="AE28">
        <f>IFERROR(INDEX(PP_Grid[#Data],$DD28,29),0)</f>
        <v/>
      </c>
      <c r="AF28">
        <f>IFERROR(INDEX(PP_Grid[#Data],$DD28,30),0)</f>
        <v/>
      </c>
      <c r="AG28">
        <f>IFERROR(INDEX(PP_Grid[#Data],$DD28,31),0)</f>
        <v/>
      </c>
      <c r="AH28">
        <f>IFERROR(INDEX(PP_Grid[#Data],$DD28,32),0)</f>
        <v/>
      </c>
      <c r="AI28">
        <f>IFERROR(INDEX(PP_Grid[#Data],$DD28,33),0)</f>
        <v/>
      </c>
      <c r="AJ28">
        <f>IFERROR(INDEX(PP_Grid[#Data],$DD28,34),0)</f>
        <v/>
      </c>
      <c r="AK28">
        <f>IFERROR(INDEX(PP_Grid[#Data],$DD28,35),0)</f>
        <v/>
      </c>
      <c r="AL28">
        <f>IFERROR(INDEX(PP_Grid[#Data],$DD28,36),0)</f>
        <v/>
      </c>
      <c r="AM28">
        <f>IFERROR(INDEX(PP_Grid[#Data],$DD28,37),0)</f>
        <v/>
      </c>
      <c r="AN28">
        <f>IFERROR(INDEX(PP_Grid[#Data],$DD28,38),0)</f>
        <v/>
      </c>
      <c r="AO28">
        <f>IFERROR(INDEX(PP_Grid[#Data],$DD28,39),0)</f>
        <v/>
      </c>
      <c r="AP28">
        <f>IFERROR(INDEX(PP_Grid[#Data],$DD28,40),0)</f>
        <v/>
      </c>
      <c r="AQ28">
        <f>IFERROR(INDEX(PP_Grid[#Data],$DD28,41),0)</f>
        <v/>
      </c>
      <c r="AR28">
        <f>IFERROR(INDEX(PP_Grid[#Data],$DD28,42),0)</f>
        <v/>
      </c>
      <c r="AS28">
        <f>IFERROR(INDEX(PP_Grid[#Data],$DD28,43),0)</f>
        <v/>
      </c>
      <c r="AT28">
        <f>IFERROR(INDEX(PP_Grid[#Data],$DD28,44),0)</f>
        <v/>
      </c>
      <c r="AU28">
        <f>IFERROR(INDEX(PP_Grid[#Data],$DD28,45),0)</f>
        <v/>
      </c>
      <c r="AV28">
        <f>IFERROR(INDEX(PP_Grid[#Data],$DD28,46),0)</f>
        <v/>
      </c>
      <c r="AW28">
        <f>IFERROR(INDEX(PP_Grid[#Data],$DD28,47),0)</f>
        <v/>
      </c>
      <c r="AX28">
        <f>IFERROR(INDEX(PP_Grid[#Data],$DD28,48),0)</f>
        <v/>
      </c>
      <c r="AY28">
        <f>IFERROR(INDEX(PP_Grid[#Data],$DD28,49),0)</f>
        <v/>
      </c>
      <c r="AZ28">
        <f>IFERROR(INDEX(PP_Grid[#Data],$DD28,50),0)</f>
        <v/>
      </c>
      <c r="BA28">
        <f>IFERROR(INDEX(PP_Grid[#Data],$DD28,51),0)</f>
        <v/>
      </c>
      <c r="BB28">
        <f>IFERROR(INDEX(PP_Grid[#Data],$DD28,52),0)</f>
        <v/>
      </c>
      <c r="BC28">
        <f>IFERROR(INDEX(PP_Grid[#Data],$DD28,53),0)</f>
        <v/>
      </c>
      <c r="BD28">
        <f>IFERROR(INDEX(PP_Grid[#Data],$DD28,54),0)</f>
        <v/>
      </c>
      <c r="BE28">
        <f>IFERROR(INDEX(PP_Grid[#Data],$DD28,55),0)</f>
        <v/>
      </c>
      <c r="BF28">
        <f>IFERROR(INDEX(PP_Grid[#Data],$DD28,56),0)</f>
        <v/>
      </c>
      <c r="BG28">
        <f>IFERROR(INDEX(PP_Grid[#Data],$DD28,57),0)</f>
        <v/>
      </c>
      <c r="BH28">
        <f>IFERROR(INDEX(PP_Grid[#Data],$DD28,58),0)</f>
        <v/>
      </c>
      <c r="BI28">
        <f>IFERROR(INDEX(PP_Grid[#Data],$DD28,59),0)</f>
        <v/>
      </c>
      <c r="BJ28">
        <f>IFERROR(INDEX(PP_Grid[#Data],$DD28,60),0)</f>
        <v/>
      </c>
      <c r="BK28">
        <f>IFERROR(INDEX(PP_Grid[#Data],$DD28,61),0)</f>
        <v/>
      </c>
      <c r="BL28">
        <f>IFERROR(INDEX(PP_Grid[#Data],$DD28,62),0)</f>
        <v/>
      </c>
      <c r="BM28">
        <f>IFERROR(INDEX(PP_Grid[#Data],$DD28,63),0)</f>
        <v/>
      </c>
      <c r="BN28">
        <f>IFERROR(INDEX(PP_Grid[#Data],$DD28,64),0)</f>
        <v/>
      </c>
      <c r="BO28">
        <f>IFERROR(INDEX(PP_Grid[#Data],$DD28,65),0)</f>
        <v/>
      </c>
      <c r="BP28">
        <f>IFERROR(INDEX(PP_Grid[#Data],$DD28,66),0)</f>
        <v/>
      </c>
      <c r="BQ28">
        <f>IFERROR(INDEX(PP_Grid[#Data],$DD28,67),0)</f>
        <v/>
      </c>
      <c r="BR28">
        <f>IFERROR(INDEX(PP_Grid[#Data],$DD28,68),0)</f>
        <v/>
      </c>
      <c r="BS28">
        <f>IFERROR(INDEX(PP_Grid[#Data],$DD28,69),0)</f>
        <v/>
      </c>
      <c r="BT28">
        <f>IFERROR(INDEX(PP_Grid[#Data],$DD28,70),0)</f>
        <v/>
      </c>
      <c r="BU28">
        <f>IFERROR(INDEX(PP_Grid[#Data],$DD28,71),0)</f>
        <v/>
      </c>
      <c r="BV28">
        <f>IFERROR(INDEX(PP_Grid[#Data],$DD28,72),0)</f>
        <v/>
      </c>
      <c r="BW28">
        <f>IFERROR(INDEX(PP_Grid[#Data],$DD28,73),0)</f>
        <v/>
      </c>
      <c r="BX28">
        <f>IFERROR(INDEX(PP_Grid[#Data],$DD28,74),0)</f>
        <v/>
      </c>
      <c r="BY28">
        <f>IFERROR(INDEX(PP_Grid[#Data],$DD28,75),0)</f>
        <v/>
      </c>
      <c r="BZ28">
        <f>IFERROR(INDEX(PP_Grid[#Data],$DD28,76),0)</f>
        <v/>
      </c>
      <c r="CA28">
        <f>IFERROR(INDEX(PP_Grid[#Data],$DD28,77),0)</f>
        <v/>
      </c>
      <c r="CB28">
        <f>IFERROR(INDEX(PP_Grid[#Data],$DD28,78),0)</f>
        <v/>
      </c>
      <c r="CC28">
        <f>IFERROR(INDEX(PP_Grid[#Data],$DD28,79),0)</f>
        <v/>
      </c>
      <c r="CD28">
        <f>IFERROR(INDEX(PP_Grid[#Data],$DD28,80),0)</f>
        <v/>
      </c>
      <c r="CE28">
        <f>IFERROR(INDEX(PP_Grid[#Data],$DD28,81),0)</f>
        <v/>
      </c>
      <c r="CF28">
        <f>IFERROR(INDEX(PP_Grid[#Data],$DD28,82),0)</f>
        <v/>
      </c>
      <c r="CG28">
        <f>IFERROR(INDEX(PP_Grid[#Data],$DD28,83),0)</f>
        <v/>
      </c>
      <c r="CH28">
        <f>IFERROR(INDEX(PP_Grid[#Data],$DD28,84),0)</f>
        <v/>
      </c>
      <c r="CI28">
        <f>IFERROR(INDEX(PP_Grid[#Data],$DD28,85),0)</f>
        <v/>
      </c>
      <c r="CJ28">
        <f>IFERROR(INDEX(PP_Grid[#Data],$DD28,86),0)</f>
        <v/>
      </c>
      <c r="CK28">
        <f>IFERROR(INDEX(PP_Grid[#Data],$DD28,87),0)</f>
        <v/>
      </c>
      <c r="CL28">
        <f>IFERROR(INDEX(PP_Grid[#Data],$DD28,88),0)</f>
        <v/>
      </c>
      <c r="CM28">
        <f>IFERROR(INDEX(PP_Grid[#Data],$DD28,89),0)</f>
        <v/>
      </c>
      <c r="CN28">
        <f>IFERROR(INDEX(PP_Grid[#Data],$DD28,90),0)</f>
        <v/>
      </c>
      <c r="CO28">
        <f>IFERROR(INDEX(PP_Grid[#Data],$DD28,91),0)</f>
        <v/>
      </c>
      <c r="CP28">
        <f>IFERROR(INDEX(PP_Grid[#Data],$DD28,92),0)</f>
        <v/>
      </c>
      <c r="CQ28">
        <f>IFERROR(INDEX(PP_Grid[#Data],$DD28,93),0)</f>
        <v/>
      </c>
      <c r="CR28">
        <f>IFERROR(INDEX(PP_Grid[#Data],$DD28,94),0)</f>
        <v/>
      </c>
      <c r="CS28">
        <f>IFERROR(INDEX(PP_Grid[#Data],$DD28,95),0)</f>
        <v/>
      </c>
      <c r="CT28">
        <f>IFERROR(INDEX(PP_Grid[#Data],$DD28,96),0)</f>
        <v/>
      </c>
      <c r="CU28">
        <f>IFERROR(INDEX(PP_Grid[#Data],$DD28,97),0)</f>
        <v/>
      </c>
      <c r="CV28">
        <f>IFERROR(INDEX(PP_Grid[#Data],$DD28,98),0)</f>
        <v/>
      </c>
      <c r="CW28">
        <f>IFERROR(INDEX(PP_Grid[#Data],$DD28,99),0)</f>
        <v/>
      </c>
      <c r="CX28">
        <f>IFERROR(INDEX(PP_Grid[#Data],$DD28,100),0)</f>
        <v/>
      </c>
      <c r="CY28">
        <f>IFERROR(INDEX(PP_Grid[#Data],$DD28,101),0)</f>
        <v/>
      </c>
      <c r="CZ28">
        <f>IFERROR(INDEX(PP_Grid[#Data],$DD28,102),0)</f>
        <v/>
      </c>
      <c r="DA28">
        <f>IFERROR(INDEX(PP_Grid[#Data],$DD28,103),0)</f>
        <v/>
      </c>
      <c r="DB28">
        <f>IFERROR(INDEX(PP_Grid[#Data],$DD28,104),0)</f>
        <v/>
      </c>
      <c r="DC28">
        <f>IFERROR(INDEX(PP_Grid[#Data],$DD28,105),0)</f>
        <v/>
      </c>
      <c r="DD28" s="7">
        <f>IFERROR(MATCH($B28,PP_Grid[Intermediate],0),99999)</f>
        <v/>
      </c>
    </row>
    <row r="29">
      <c r="B29" t="inlineStr">
        <is>
          <t>使用量(kg)</t>
        </is>
      </c>
      <c r="C29">
        <f>SUMIFS(M_BOM[RM_Qty_Per_Batch],M_BOM[Intermediate],$B28,M_BOM[Part Name],$A7)</f>
        <v/>
      </c>
      <c r="D29">
        <f>$C29*D28</f>
        <v/>
      </c>
      <c r="E29">
        <f>$C29*E28</f>
        <v/>
      </c>
      <c r="F29">
        <f>$C29*F28</f>
        <v/>
      </c>
      <c r="G29">
        <f>$C29*G28</f>
        <v/>
      </c>
      <c r="H29">
        <f>$C29*H28</f>
        <v/>
      </c>
      <c r="I29">
        <f>$C29*I28</f>
        <v/>
      </c>
      <c r="J29">
        <f>$C29*J28</f>
        <v/>
      </c>
      <c r="K29">
        <f>$C29*K28</f>
        <v/>
      </c>
      <c r="L29">
        <f>$C29*L28</f>
        <v/>
      </c>
      <c r="M29">
        <f>$C29*M28</f>
        <v/>
      </c>
      <c r="N29">
        <f>$C29*N28</f>
        <v/>
      </c>
      <c r="O29">
        <f>$C29*O28</f>
        <v/>
      </c>
      <c r="P29">
        <f>$C29*P28</f>
        <v/>
      </c>
      <c r="Q29">
        <f>$C29*Q28</f>
        <v/>
      </c>
      <c r="R29">
        <f>$C29*R28</f>
        <v/>
      </c>
      <c r="S29">
        <f>$C29*S28</f>
        <v/>
      </c>
      <c r="T29">
        <f>$C29*T28</f>
        <v/>
      </c>
      <c r="U29">
        <f>$C29*U28</f>
        <v/>
      </c>
      <c r="V29">
        <f>$C29*V28</f>
        <v/>
      </c>
      <c r="W29">
        <f>$C29*W28</f>
        <v/>
      </c>
      <c r="X29">
        <f>$C29*X28</f>
        <v/>
      </c>
      <c r="Y29">
        <f>$C29*Y28</f>
        <v/>
      </c>
      <c r="Z29">
        <f>$C29*Z28</f>
        <v/>
      </c>
      <c r="AA29">
        <f>$C29*AA28</f>
        <v/>
      </c>
      <c r="AB29">
        <f>$C29*AB28</f>
        <v/>
      </c>
      <c r="AC29">
        <f>$C29*AC28</f>
        <v/>
      </c>
      <c r="AD29">
        <f>$C29*AD28</f>
        <v/>
      </c>
      <c r="AE29">
        <f>$C29*AE28</f>
        <v/>
      </c>
      <c r="AF29">
        <f>$C29*AF28</f>
        <v/>
      </c>
      <c r="AG29">
        <f>$C29*AG28</f>
        <v/>
      </c>
      <c r="AH29">
        <f>$C29*AH28</f>
        <v/>
      </c>
      <c r="AI29">
        <f>$C29*AI28</f>
        <v/>
      </c>
      <c r="AJ29">
        <f>$C29*AJ28</f>
        <v/>
      </c>
      <c r="AK29">
        <f>$C29*AK28</f>
        <v/>
      </c>
      <c r="AL29">
        <f>$C29*AL28</f>
        <v/>
      </c>
      <c r="AM29">
        <f>$C29*AM28</f>
        <v/>
      </c>
      <c r="AN29">
        <f>$C29*AN28</f>
        <v/>
      </c>
      <c r="AO29">
        <f>$C29*AO28</f>
        <v/>
      </c>
      <c r="AP29">
        <f>$C29*AP28</f>
        <v/>
      </c>
      <c r="AQ29">
        <f>$C29*AQ28</f>
        <v/>
      </c>
      <c r="AR29">
        <f>$C29*AR28</f>
        <v/>
      </c>
      <c r="AS29">
        <f>$C29*AS28</f>
        <v/>
      </c>
      <c r="AT29">
        <f>$C29*AT28</f>
        <v/>
      </c>
      <c r="AU29">
        <f>$C29*AU28</f>
        <v/>
      </c>
      <c r="AV29">
        <f>$C29*AV28</f>
        <v/>
      </c>
      <c r="AW29">
        <f>$C29*AW28</f>
        <v/>
      </c>
      <c r="AX29">
        <f>$C29*AX28</f>
        <v/>
      </c>
      <c r="AY29">
        <f>$C29*AY28</f>
        <v/>
      </c>
      <c r="AZ29">
        <f>$C29*AZ28</f>
        <v/>
      </c>
      <c r="BA29">
        <f>$C29*BA28</f>
        <v/>
      </c>
      <c r="BB29">
        <f>$C29*BB28</f>
        <v/>
      </c>
      <c r="BC29">
        <f>$C29*BC28</f>
        <v/>
      </c>
      <c r="BD29">
        <f>$C29*BD28</f>
        <v/>
      </c>
      <c r="BE29">
        <f>$C29*BE28</f>
        <v/>
      </c>
      <c r="BF29">
        <f>$C29*BF28</f>
        <v/>
      </c>
      <c r="BG29">
        <f>$C29*BG28</f>
        <v/>
      </c>
      <c r="BH29">
        <f>$C29*BH28</f>
        <v/>
      </c>
      <c r="BI29">
        <f>$C29*BI28</f>
        <v/>
      </c>
      <c r="BJ29">
        <f>$C29*BJ28</f>
        <v/>
      </c>
      <c r="BK29">
        <f>$C29*BK28</f>
        <v/>
      </c>
      <c r="BL29">
        <f>$C29*BL28</f>
        <v/>
      </c>
      <c r="BM29">
        <f>$C29*BM28</f>
        <v/>
      </c>
      <c r="BN29">
        <f>$C29*BN28</f>
        <v/>
      </c>
      <c r="BO29">
        <f>$C29*BO28</f>
        <v/>
      </c>
      <c r="BP29">
        <f>$C29*BP28</f>
        <v/>
      </c>
      <c r="BQ29">
        <f>$C29*BQ28</f>
        <v/>
      </c>
      <c r="BR29">
        <f>$C29*BR28</f>
        <v/>
      </c>
      <c r="BS29">
        <f>$C29*BS28</f>
        <v/>
      </c>
      <c r="BT29">
        <f>$C29*BT28</f>
        <v/>
      </c>
      <c r="BU29">
        <f>$C29*BU28</f>
        <v/>
      </c>
      <c r="BV29">
        <f>$C29*BV28</f>
        <v/>
      </c>
      <c r="BW29">
        <f>$C29*BW28</f>
        <v/>
      </c>
      <c r="BX29">
        <f>$C29*BX28</f>
        <v/>
      </c>
      <c r="BY29">
        <f>$C29*BY28</f>
        <v/>
      </c>
      <c r="BZ29">
        <f>$C29*BZ28</f>
        <v/>
      </c>
      <c r="CA29">
        <f>$C29*CA28</f>
        <v/>
      </c>
      <c r="CB29">
        <f>$C29*CB28</f>
        <v/>
      </c>
      <c r="CC29">
        <f>$C29*CC28</f>
        <v/>
      </c>
      <c r="CD29">
        <f>$C29*CD28</f>
        <v/>
      </c>
      <c r="CE29">
        <f>$C29*CE28</f>
        <v/>
      </c>
      <c r="CF29">
        <f>$C29*CF28</f>
        <v/>
      </c>
      <c r="CG29">
        <f>$C29*CG28</f>
        <v/>
      </c>
      <c r="CH29">
        <f>$C29*CH28</f>
        <v/>
      </c>
      <c r="CI29">
        <f>$C29*CI28</f>
        <v/>
      </c>
      <c r="CJ29">
        <f>$C29*CJ28</f>
        <v/>
      </c>
      <c r="CK29">
        <f>$C29*CK28</f>
        <v/>
      </c>
      <c r="CL29">
        <f>$C29*CL28</f>
        <v/>
      </c>
      <c r="CM29">
        <f>$C29*CM28</f>
        <v/>
      </c>
      <c r="CN29">
        <f>$C29*CN28</f>
        <v/>
      </c>
      <c r="CO29">
        <f>$C29*CO28</f>
        <v/>
      </c>
      <c r="CP29">
        <f>$C29*CP28</f>
        <v/>
      </c>
      <c r="CQ29">
        <f>$C29*CQ28</f>
        <v/>
      </c>
      <c r="CR29">
        <f>$C29*CR28</f>
        <v/>
      </c>
      <c r="CS29">
        <f>$C29*CS28</f>
        <v/>
      </c>
      <c r="CT29">
        <f>$C29*CT28</f>
        <v/>
      </c>
      <c r="CU29">
        <f>$C29*CU28</f>
        <v/>
      </c>
      <c r="CV29">
        <f>$C29*CV28</f>
        <v/>
      </c>
      <c r="CW29">
        <f>$C29*CW28</f>
        <v/>
      </c>
      <c r="CX29">
        <f>$C29*CX28</f>
        <v/>
      </c>
      <c r="CY29">
        <f>$C29*CY28</f>
        <v/>
      </c>
      <c r="CZ29">
        <f>$C29*CZ28</f>
        <v/>
      </c>
      <c r="DA29">
        <f>$C29*DA28</f>
        <v/>
      </c>
      <c r="DB29">
        <f>$C29*DB28</f>
        <v/>
      </c>
      <c r="DC29">
        <f>$C29*DC28</f>
        <v/>
      </c>
    </row>
    <row r="30">
      <c r="B30" t="inlineStr">
        <is>
          <t>TSP-669</t>
        </is>
      </c>
      <c r="C30" t="inlineStr">
        <is>
          <t>No. of batches</t>
        </is>
      </c>
      <c r="D30">
        <f>IFERROR(INDEX(PP_Grid[#Data],$DD30,2),0)</f>
        <v/>
      </c>
      <c r="E30">
        <f>IFERROR(INDEX(PP_Grid[#Data],$DD30,3),0)</f>
        <v/>
      </c>
      <c r="F30">
        <f>IFERROR(INDEX(PP_Grid[#Data],$DD30,4),0)</f>
        <v/>
      </c>
      <c r="G30">
        <f>IFERROR(INDEX(PP_Grid[#Data],$DD30,5),0)</f>
        <v/>
      </c>
      <c r="H30">
        <f>IFERROR(INDEX(PP_Grid[#Data],$DD30,6),0)</f>
        <v/>
      </c>
      <c r="I30">
        <f>IFERROR(INDEX(PP_Grid[#Data],$DD30,7),0)</f>
        <v/>
      </c>
      <c r="J30">
        <f>IFERROR(INDEX(PP_Grid[#Data],$DD30,8),0)</f>
        <v/>
      </c>
      <c r="K30">
        <f>IFERROR(INDEX(PP_Grid[#Data],$DD30,9),0)</f>
        <v/>
      </c>
      <c r="L30">
        <f>IFERROR(INDEX(PP_Grid[#Data],$DD30,10),0)</f>
        <v/>
      </c>
      <c r="M30">
        <f>IFERROR(INDEX(PP_Grid[#Data],$DD30,11),0)</f>
        <v/>
      </c>
      <c r="N30">
        <f>IFERROR(INDEX(PP_Grid[#Data],$DD30,12),0)</f>
        <v/>
      </c>
      <c r="O30">
        <f>IFERROR(INDEX(PP_Grid[#Data],$DD30,13),0)</f>
        <v/>
      </c>
      <c r="P30">
        <f>IFERROR(INDEX(PP_Grid[#Data],$DD30,14),0)</f>
        <v/>
      </c>
      <c r="Q30">
        <f>IFERROR(INDEX(PP_Grid[#Data],$DD30,15),0)</f>
        <v/>
      </c>
      <c r="R30">
        <f>IFERROR(INDEX(PP_Grid[#Data],$DD30,16),0)</f>
        <v/>
      </c>
      <c r="S30">
        <f>IFERROR(INDEX(PP_Grid[#Data],$DD30,17),0)</f>
        <v/>
      </c>
      <c r="T30">
        <f>IFERROR(INDEX(PP_Grid[#Data],$DD30,18),0)</f>
        <v/>
      </c>
      <c r="U30">
        <f>IFERROR(INDEX(PP_Grid[#Data],$DD30,19),0)</f>
        <v/>
      </c>
      <c r="V30">
        <f>IFERROR(INDEX(PP_Grid[#Data],$DD30,20),0)</f>
        <v/>
      </c>
      <c r="W30">
        <f>IFERROR(INDEX(PP_Grid[#Data],$DD30,21),0)</f>
        <v/>
      </c>
      <c r="X30">
        <f>IFERROR(INDEX(PP_Grid[#Data],$DD30,22),0)</f>
        <v/>
      </c>
      <c r="Y30">
        <f>IFERROR(INDEX(PP_Grid[#Data],$DD30,23),0)</f>
        <v/>
      </c>
      <c r="Z30">
        <f>IFERROR(INDEX(PP_Grid[#Data],$DD30,24),0)</f>
        <v/>
      </c>
      <c r="AA30">
        <f>IFERROR(INDEX(PP_Grid[#Data],$DD30,25),0)</f>
        <v/>
      </c>
      <c r="AB30">
        <f>IFERROR(INDEX(PP_Grid[#Data],$DD30,26),0)</f>
        <v/>
      </c>
      <c r="AC30">
        <f>IFERROR(INDEX(PP_Grid[#Data],$DD30,27),0)</f>
        <v/>
      </c>
      <c r="AD30">
        <f>IFERROR(INDEX(PP_Grid[#Data],$DD30,28),0)</f>
        <v/>
      </c>
      <c r="AE30">
        <f>IFERROR(INDEX(PP_Grid[#Data],$DD30,29),0)</f>
        <v/>
      </c>
      <c r="AF30">
        <f>IFERROR(INDEX(PP_Grid[#Data],$DD30,30),0)</f>
        <v/>
      </c>
      <c r="AG30">
        <f>IFERROR(INDEX(PP_Grid[#Data],$DD30,31),0)</f>
        <v/>
      </c>
      <c r="AH30">
        <f>IFERROR(INDEX(PP_Grid[#Data],$DD30,32),0)</f>
        <v/>
      </c>
      <c r="AI30">
        <f>IFERROR(INDEX(PP_Grid[#Data],$DD30,33),0)</f>
        <v/>
      </c>
      <c r="AJ30">
        <f>IFERROR(INDEX(PP_Grid[#Data],$DD30,34),0)</f>
        <v/>
      </c>
      <c r="AK30">
        <f>IFERROR(INDEX(PP_Grid[#Data],$DD30,35),0)</f>
        <v/>
      </c>
      <c r="AL30">
        <f>IFERROR(INDEX(PP_Grid[#Data],$DD30,36),0)</f>
        <v/>
      </c>
      <c r="AM30">
        <f>IFERROR(INDEX(PP_Grid[#Data],$DD30,37),0)</f>
        <v/>
      </c>
      <c r="AN30">
        <f>IFERROR(INDEX(PP_Grid[#Data],$DD30,38),0)</f>
        <v/>
      </c>
      <c r="AO30">
        <f>IFERROR(INDEX(PP_Grid[#Data],$DD30,39),0)</f>
        <v/>
      </c>
      <c r="AP30">
        <f>IFERROR(INDEX(PP_Grid[#Data],$DD30,40),0)</f>
        <v/>
      </c>
      <c r="AQ30">
        <f>IFERROR(INDEX(PP_Grid[#Data],$DD30,41),0)</f>
        <v/>
      </c>
      <c r="AR30">
        <f>IFERROR(INDEX(PP_Grid[#Data],$DD30,42),0)</f>
        <v/>
      </c>
      <c r="AS30">
        <f>IFERROR(INDEX(PP_Grid[#Data],$DD30,43),0)</f>
        <v/>
      </c>
      <c r="AT30">
        <f>IFERROR(INDEX(PP_Grid[#Data],$DD30,44),0)</f>
        <v/>
      </c>
      <c r="AU30">
        <f>IFERROR(INDEX(PP_Grid[#Data],$DD30,45),0)</f>
        <v/>
      </c>
      <c r="AV30">
        <f>IFERROR(INDEX(PP_Grid[#Data],$DD30,46),0)</f>
        <v/>
      </c>
      <c r="AW30">
        <f>IFERROR(INDEX(PP_Grid[#Data],$DD30,47),0)</f>
        <v/>
      </c>
      <c r="AX30">
        <f>IFERROR(INDEX(PP_Grid[#Data],$DD30,48),0)</f>
        <v/>
      </c>
      <c r="AY30">
        <f>IFERROR(INDEX(PP_Grid[#Data],$DD30,49),0)</f>
        <v/>
      </c>
      <c r="AZ30">
        <f>IFERROR(INDEX(PP_Grid[#Data],$DD30,50),0)</f>
        <v/>
      </c>
      <c r="BA30">
        <f>IFERROR(INDEX(PP_Grid[#Data],$DD30,51),0)</f>
        <v/>
      </c>
      <c r="BB30">
        <f>IFERROR(INDEX(PP_Grid[#Data],$DD30,52),0)</f>
        <v/>
      </c>
      <c r="BC30">
        <f>IFERROR(INDEX(PP_Grid[#Data],$DD30,53),0)</f>
        <v/>
      </c>
      <c r="BD30">
        <f>IFERROR(INDEX(PP_Grid[#Data],$DD30,54),0)</f>
        <v/>
      </c>
      <c r="BE30">
        <f>IFERROR(INDEX(PP_Grid[#Data],$DD30,55),0)</f>
        <v/>
      </c>
      <c r="BF30">
        <f>IFERROR(INDEX(PP_Grid[#Data],$DD30,56),0)</f>
        <v/>
      </c>
      <c r="BG30">
        <f>IFERROR(INDEX(PP_Grid[#Data],$DD30,57),0)</f>
        <v/>
      </c>
      <c r="BH30">
        <f>IFERROR(INDEX(PP_Grid[#Data],$DD30,58),0)</f>
        <v/>
      </c>
      <c r="BI30">
        <f>IFERROR(INDEX(PP_Grid[#Data],$DD30,59),0)</f>
        <v/>
      </c>
      <c r="BJ30">
        <f>IFERROR(INDEX(PP_Grid[#Data],$DD30,60),0)</f>
        <v/>
      </c>
      <c r="BK30">
        <f>IFERROR(INDEX(PP_Grid[#Data],$DD30,61),0)</f>
        <v/>
      </c>
      <c r="BL30">
        <f>IFERROR(INDEX(PP_Grid[#Data],$DD30,62),0)</f>
        <v/>
      </c>
      <c r="BM30">
        <f>IFERROR(INDEX(PP_Grid[#Data],$DD30,63),0)</f>
        <v/>
      </c>
      <c r="BN30">
        <f>IFERROR(INDEX(PP_Grid[#Data],$DD30,64),0)</f>
        <v/>
      </c>
      <c r="BO30">
        <f>IFERROR(INDEX(PP_Grid[#Data],$DD30,65),0)</f>
        <v/>
      </c>
      <c r="BP30">
        <f>IFERROR(INDEX(PP_Grid[#Data],$DD30,66),0)</f>
        <v/>
      </c>
      <c r="BQ30">
        <f>IFERROR(INDEX(PP_Grid[#Data],$DD30,67),0)</f>
        <v/>
      </c>
      <c r="BR30">
        <f>IFERROR(INDEX(PP_Grid[#Data],$DD30,68),0)</f>
        <v/>
      </c>
      <c r="BS30">
        <f>IFERROR(INDEX(PP_Grid[#Data],$DD30,69),0)</f>
        <v/>
      </c>
      <c r="BT30">
        <f>IFERROR(INDEX(PP_Grid[#Data],$DD30,70),0)</f>
        <v/>
      </c>
      <c r="BU30">
        <f>IFERROR(INDEX(PP_Grid[#Data],$DD30,71),0)</f>
        <v/>
      </c>
      <c r="BV30">
        <f>IFERROR(INDEX(PP_Grid[#Data],$DD30,72),0)</f>
        <v/>
      </c>
      <c r="BW30">
        <f>IFERROR(INDEX(PP_Grid[#Data],$DD30,73),0)</f>
        <v/>
      </c>
      <c r="BX30">
        <f>IFERROR(INDEX(PP_Grid[#Data],$DD30,74),0)</f>
        <v/>
      </c>
      <c r="BY30">
        <f>IFERROR(INDEX(PP_Grid[#Data],$DD30,75),0)</f>
        <v/>
      </c>
      <c r="BZ30">
        <f>IFERROR(INDEX(PP_Grid[#Data],$DD30,76),0)</f>
        <v/>
      </c>
      <c r="CA30">
        <f>IFERROR(INDEX(PP_Grid[#Data],$DD30,77),0)</f>
        <v/>
      </c>
      <c r="CB30">
        <f>IFERROR(INDEX(PP_Grid[#Data],$DD30,78),0)</f>
        <v/>
      </c>
      <c r="CC30">
        <f>IFERROR(INDEX(PP_Grid[#Data],$DD30,79),0)</f>
        <v/>
      </c>
      <c r="CD30">
        <f>IFERROR(INDEX(PP_Grid[#Data],$DD30,80),0)</f>
        <v/>
      </c>
      <c r="CE30">
        <f>IFERROR(INDEX(PP_Grid[#Data],$DD30,81),0)</f>
        <v/>
      </c>
      <c r="CF30">
        <f>IFERROR(INDEX(PP_Grid[#Data],$DD30,82),0)</f>
        <v/>
      </c>
      <c r="CG30">
        <f>IFERROR(INDEX(PP_Grid[#Data],$DD30,83),0)</f>
        <v/>
      </c>
      <c r="CH30">
        <f>IFERROR(INDEX(PP_Grid[#Data],$DD30,84),0)</f>
        <v/>
      </c>
      <c r="CI30">
        <f>IFERROR(INDEX(PP_Grid[#Data],$DD30,85),0)</f>
        <v/>
      </c>
      <c r="CJ30">
        <f>IFERROR(INDEX(PP_Grid[#Data],$DD30,86),0)</f>
        <v/>
      </c>
      <c r="CK30">
        <f>IFERROR(INDEX(PP_Grid[#Data],$DD30,87),0)</f>
        <v/>
      </c>
      <c r="CL30">
        <f>IFERROR(INDEX(PP_Grid[#Data],$DD30,88),0)</f>
        <v/>
      </c>
      <c r="CM30">
        <f>IFERROR(INDEX(PP_Grid[#Data],$DD30,89),0)</f>
        <v/>
      </c>
      <c r="CN30">
        <f>IFERROR(INDEX(PP_Grid[#Data],$DD30,90),0)</f>
        <v/>
      </c>
      <c r="CO30">
        <f>IFERROR(INDEX(PP_Grid[#Data],$DD30,91),0)</f>
        <v/>
      </c>
      <c r="CP30">
        <f>IFERROR(INDEX(PP_Grid[#Data],$DD30,92),0)</f>
        <v/>
      </c>
      <c r="CQ30">
        <f>IFERROR(INDEX(PP_Grid[#Data],$DD30,93),0)</f>
        <v/>
      </c>
      <c r="CR30">
        <f>IFERROR(INDEX(PP_Grid[#Data],$DD30,94),0)</f>
        <v/>
      </c>
      <c r="CS30">
        <f>IFERROR(INDEX(PP_Grid[#Data],$DD30,95),0)</f>
        <v/>
      </c>
      <c r="CT30">
        <f>IFERROR(INDEX(PP_Grid[#Data],$DD30,96),0)</f>
        <v/>
      </c>
      <c r="CU30">
        <f>IFERROR(INDEX(PP_Grid[#Data],$DD30,97),0)</f>
        <v/>
      </c>
      <c r="CV30">
        <f>IFERROR(INDEX(PP_Grid[#Data],$DD30,98),0)</f>
        <v/>
      </c>
      <c r="CW30">
        <f>IFERROR(INDEX(PP_Grid[#Data],$DD30,99),0)</f>
        <v/>
      </c>
      <c r="CX30">
        <f>IFERROR(INDEX(PP_Grid[#Data],$DD30,100),0)</f>
        <v/>
      </c>
      <c r="CY30">
        <f>IFERROR(INDEX(PP_Grid[#Data],$DD30,101),0)</f>
        <v/>
      </c>
      <c r="CZ30">
        <f>IFERROR(INDEX(PP_Grid[#Data],$DD30,102),0)</f>
        <v/>
      </c>
      <c r="DA30">
        <f>IFERROR(INDEX(PP_Grid[#Data],$DD30,103),0)</f>
        <v/>
      </c>
      <c r="DB30">
        <f>IFERROR(INDEX(PP_Grid[#Data],$DD30,104),0)</f>
        <v/>
      </c>
      <c r="DC30">
        <f>IFERROR(INDEX(PP_Grid[#Data],$DD30,105),0)</f>
        <v/>
      </c>
      <c r="DD30" s="7">
        <f>IFERROR(MATCH($B30,PP_Grid[Intermediate],0),99999)</f>
        <v/>
      </c>
    </row>
    <row r="31">
      <c r="B31" t="inlineStr">
        <is>
          <t>使用量(kg)</t>
        </is>
      </c>
      <c r="C31">
        <f>SUMIFS(M_BOM[RM_Qty_Per_Batch],M_BOM[Intermediate],$B30,M_BOM[Part Name],$A7)</f>
        <v/>
      </c>
      <c r="D31">
        <f>$C31*D30</f>
        <v/>
      </c>
      <c r="E31">
        <f>$C31*E30</f>
        <v/>
      </c>
      <c r="F31">
        <f>$C31*F30</f>
        <v/>
      </c>
      <c r="G31">
        <f>$C31*G30</f>
        <v/>
      </c>
      <c r="H31">
        <f>$C31*H30</f>
        <v/>
      </c>
      <c r="I31">
        <f>$C31*I30</f>
        <v/>
      </c>
      <c r="J31">
        <f>$C31*J30</f>
        <v/>
      </c>
      <c r="K31">
        <f>$C31*K30</f>
        <v/>
      </c>
      <c r="L31">
        <f>$C31*L30</f>
        <v/>
      </c>
      <c r="M31">
        <f>$C31*M30</f>
        <v/>
      </c>
      <c r="N31">
        <f>$C31*N30</f>
        <v/>
      </c>
      <c r="O31">
        <f>$C31*O30</f>
        <v/>
      </c>
      <c r="P31">
        <f>$C31*P30</f>
        <v/>
      </c>
      <c r="Q31">
        <f>$C31*Q30</f>
        <v/>
      </c>
      <c r="R31">
        <f>$C31*R30</f>
        <v/>
      </c>
      <c r="S31">
        <f>$C31*S30</f>
        <v/>
      </c>
      <c r="T31">
        <f>$C31*T30</f>
        <v/>
      </c>
      <c r="U31">
        <f>$C31*U30</f>
        <v/>
      </c>
      <c r="V31">
        <f>$C31*V30</f>
        <v/>
      </c>
      <c r="W31">
        <f>$C31*W30</f>
        <v/>
      </c>
      <c r="X31">
        <f>$C31*X30</f>
        <v/>
      </c>
      <c r="Y31">
        <f>$C31*Y30</f>
        <v/>
      </c>
      <c r="Z31">
        <f>$C31*Z30</f>
        <v/>
      </c>
      <c r="AA31">
        <f>$C31*AA30</f>
        <v/>
      </c>
      <c r="AB31">
        <f>$C31*AB30</f>
        <v/>
      </c>
      <c r="AC31">
        <f>$C31*AC30</f>
        <v/>
      </c>
      <c r="AD31">
        <f>$C31*AD30</f>
        <v/>
      </c>
      <c r="AE31">
        <f>$C31*AE30</f>
        <v/>
      </c>
      <c r="AF31">
        <f>$C31*AF30</f>
        <v/>
      </c>
      <c r="AG31">
        <f>$C31*AG30</f>
        <v/>
      </c>
      <c r="AH31">
        <f>$C31*AH30</f>
        <v/>
      </c>
      <c r="AI31">
        <f>$C31*AI30</f>
        <v/>
      </c>
      <c r="AJ31">
        <f>$C31*AJ30</f>
        <v/>
      </c>
      <c r="AK31">
        <f>$C31*AK30</f>
        <v/>
      </c>
      <c r="AL31">
        <f>$C31*AL30</f>
        <v/>
      </c>
      <c r="AM31">
        <f>$C31*AM30</f>
        <v/>
      </c>
      <c r="AN31">
        <f>$C31*AN30</f>
        <v/>
      </c>
      <c r="AO31">
        <f>$C31*AO30</f>
        <v/>
      </c>
      <c r="AP31">
        <f>$C31*AP30</f>
        <v/>
      </c>
      <c r="AQ31">
        <f>$C31*AQ30</f>
        <v/>
      </c>
      <c r="AR31">
        <f>$C31*AR30</f>
        <v/>
      </c>
      <c r="AS31">
        <f>$C31*AS30</f>
        <v/>
      </c>
      <c r="AT31">
        <f>$C31*AT30</f>
        <v/>
      </c>
      <c r="AU31">
        <f>$C31*AU30</f>
        <v/>
      </c>
      <c r="AV31">
        <f>$C31*AV30</f>
        <v/>
      </c>
      <c r="AW31">
        <f>$C31*AW30</f>
        <v/>
      </c>
      <c r="AX31">
        <f>$C31*AX30</f>
        <v/>
      </c>
      <c r="AY31">
        <f>$C31*AY30</f>
        <v/>
      </c>
      <c r="AZ31">
        <f>$C31*AZ30</f>
        <v/>
      </c>
      <c r="BA31">
        <f>$C31*BA30</f>
        <v/>
      </c>
      <c r="BB31">
        <f>$C31*BB30</f>
        <v/>
      </c>
      <c r="BC31">
        <f>$C31*BC30</f>
        <v/>
      </c>
      <c r="BD31">
        <f>$C31*BD30</f>
        <v/>
      </c>
      <c r="BE31">
        <f>$C31*BE30</f>
        <v/>
      </c>
      <c r="BF31">
        <f>$C31*BF30</f>
        <v/>
      </c>
      <c r="BG31">
        <f>$C31*BG30</f>
        <v/>
      </c>
      <c r="BH31">
        <f>$C31*BH30</f>
        <v/>
      </c>
      <c r="BI31">
        <f>$C31*BI30</f>
        <v/>
      </c>
      <c r="BJ31">
        <f>$C31*BJ30</f>
        <v/>
      </c>
      <c r="BK31">
        <f>$C31*BK30</f>
        <v/>
      </c>
      <c r="BL31">
        <f>$C31*BL30</f>
        <v/>
      </c>
      <c r="BM31">
        <f>$C31*BM30</f>
        <v/>
      </c>
      <c r="BN31">
        <f>$C31*BN30</f>
        <v/>
      </c>
      <c r="BO31">
        <f>$C31*BO30</f>
        <v/>
      </c>
      <c r="BP31">
        <f>$C31*BP30</f>
        <v/>
      </c>
      <c r="BQ31">
        <f>$C31*BQ30</f>
        <v/>
      </c>
      <c r="BR31">
        <f>$C31*BR30</f>
        <v/>
      </c>
      <c r="BS31">
        <f>$C31*BS30</f>
        <v/>
      </c>
      <c r="BT31">
        <f>$C31*BT30</f>
        <v/>
      </c>
      <c r="BU31">
        <f>$C31*BU30</f>
        <v/>
      </c>
      <c r="BV31">
        <f>$C31*BV30</f>
        <v/>
      </c>
      <c r="BW31">
        <f>$C31*BW30</f>
        <v/>
      </c>
      <c r="BX31">
        <f>$C31*BX30</f>
        <v/>
      </c>
      <c r="BY31">
        <f>$C31*BY30</f>
        <v/>
      </c>
      <c r="BZ31">
        <f>$C31*BZ30</f>
        <v/>
      </c>
      <c r="CA31">
        <f>$C31*CA30</f>
        <v/>
      </c>
      <c r="CB31">
        <f>$C31*CB30</f>
        <v/>
      </c>
      <c r="CC31">
        <f>$C31*CC30</f>
        <v/>
      </c>
      <c r="CD31">
        <f>$C31*CD30</f>
        <v/>
      </c>
      <c r="CE31">
        <f>$C31*CE30</f>
        <v/>
      </c>
      <c r="CF31">
        <f>$C31*CF30</f>
        <v/>
      </c>
      <c r="CG31">
        <f>$C31*CG30</f>
        <v/>
      </c>
      <c r="CH31">
        <f>$C31*CH30</f>
        <v/>
      </c>
      <c r="CI31">
        <f>$C31*CI30</f>
        <v/>
      </c>
      <c r="CJ31">
        <f>$C31*CJ30</f>
        <v/>
      </c>
      <c r="CK31">
        <f>$C31*CK30</f>
        <v/>
      </c>
      <c r="CL31">
        <f>$C31*CL30</f>
        <v/>
      </c>
      <c r="CM31">
        <f>$C31*CM30</f>
        <v/>
      </c>
      <c r="CN31">
        <f>$C31*CN30</f>
        <v/>
      </c>
      <c r="CO31">
        <f>$C31*CO30</f>
        <v/>
      </c>
      <c r="CP31">
        <f>$C31*CP30</f>
        <v/>
      </c>
      <c r="CQ31">
        <f>$C31*CQ30</f>
        <v/>
      </c>
      <c r="CR31">
        <f>$C31*CR30</f>
        <v/>
      </c>
      <c r="CS31">
        <f>$C31*CS30</f>
        <v/>
      </c>
      <c r="CT31">
        <f>$C31*CT30</f>
        <v/>
      </c>
      <c r="CU31">
        <f>$C31*CU30</f>
        <v/>
      </c>
      <c r="CV31">
        <f>$C31*CV30</f>
        <v/>
      </c>
      <c r="CW31">
        <f>$C31*CW30</f>
        <v/>
      </c>
      <c r="CX31">
        <f>$C31*CX30</f>
        <v/>
      </c>
      <c r="CY31">
        <f>$C31*CY30</f>
        <v/>
      </c>
      <c r="CZ31">
        <f>$C31*CZ30</f>
        <v/>
      </c>
      <c r="DA31">
        <f>$C31*DA30</f>
        <v/>
      </c>
      <c r="DB31">
        <f>$C31*DB30</f>
        <v/>
      </c>
      <c r="DC31">
        <f>$C31*DC30</f>
        <v/>
      </c>
    </row>
    <row r="32">
      <c r="B32" t="inlineStr">
        <is>
          <t>TSP-670</t>
        </is>
      </c>
      <c r="C32" t="inlineStr">
        <is>
          <t>No. of batches</t>
        </is>
      </c>
      <c r="D32">
        <f>IFERROR(INDEX(PP_Grid[#Data],$DD32,2),0)</f>
        <v/>
      </c>
      <c r="E32">
        <f>IFERROR(INDEX(PP_Grid[#Data],$DD32,3),0)</f>
        <v/>
      </c>
      <c r="F32">
        <f>IFERROR(INDEX(PP_Grid[#Data],$DD32,4),0)</f>
        <v/>
      </c>
      <c r="G32">
        <f>IFERROR(INDEX(PP_Grid[#Data],$DD32,5),0)</f>
        <v/>
      </c>
      <c r="H32">
        <f>IFERROR(INDEX(PP_Grid[#Data],$DD32,6),0)</f>
        <v/>
      </c>
      <c r="I32">
        <f>IFERROR(INDEX(PP_Grid[#Data],$DD32,7),0)</f>
        <v/>
      </c>
      <c r="J32">
        <f>IFERROR(INDEX(PP_Grid[#Data],$DD32,8),0)</f>
        <v/>
      </c>
      <c r="K32">
        <f>IFERROR(INDEX(PP_Grid[#Data],$DD32,9),0)</f>
        <v/>
      </c>
      <c r="L32">
        <f>IFERROR(INDEX(PP_Grid[#Data],$DD32,10),0)</f>
        <v/>
      </c>
      <c r="M32">
        <f>IFERROR(INDEX(PP_Grid[#Data],$DD32,11),0)</f>
        <v/>
      </c>
      <c r="N32">
        <f>IFERROR(INDEX(PP_Grid[#Data],$DD32,12),0)</f>
        <v/>
      </c>
      <c r="O32">
        <f>IFERROR(INDEX(PP_Grid[#Data],$DD32,13),0)</f>
        <v/>
      </c>
      <c r="P32">
        <f>IFERROR(INDEX(PP_Grid[#Data],$DD32,14),0)</f>
        <v/>
      </c>
      <c r="Q32">
        <f>IFERROR(INDEX(PP_Grid[#Data],$DD32,15),0)</f>
        <v/>
      </c>
      <c r="R32">
        <f>IFERROR(INDEX(PP_Grid[#Data],$DD32,16),0)</f>
        <v/>
      </c>
      <c r="S32">
        <f>IFERROR(INDEX(PP_Grid[#Data],$DD32,17),0)</f>
        <v/>
      </c>
      <c r="T32">
        <f>IFERROR(INDEX(PP_Grid[#Data],$DD32,18),0)</f>
        <v/>
      </c>
      <c r="U32">
        <f>IFERROR(INDEX(PP_Grid[#Data],$DD32,19),0)</f>
        <v/>
      </c>
      <c r="V32">
        <f>IFERROR(INDEX(PP_Grid[#Data],$DD32,20),0)</f>
        <v/>
      </c>
      <c r="W32">
        <f>IFERROR(INDEX(PP_Grid[#Data],$DD32,21),0)</f>
        <v/>
      </c>
      <c r="X32">
        <f>IFERROR(INDEX(PP_Grid[#Data],$DD32,22),0)</f>
        <v/>
      </c>
      <c r="Y32">
        <f>IFERROR(INDEX(PP_Grid[#Data],$DD32,23),0)</f>
        <v/>
      </c>
      <c r="Z32">
        <f>IFERROR(INDEX(PP_Grid[#Data],$DD32,24),0)</f>
        <v/>
      </c>
      <c r="AA32">
        <f>IFERROR(INDEX(PP_Grid[#Data],$DD32,25),0)</f>
        <v/>
      </c>
      <c r="AB32">
        <f>IFERROR(INDEX(PP_Grid[#Data],$DD32,26),0)</f>
        <v/>
      </c>
      <c r="AC32">
        <f>IFERROR(INDEX(PP_Grid[#Data],$DD32,27),0)</f>
        <v/>
      </c>
      <c r="AD32">
        <f>IFERROR(INDEX(PP_Grid[#Data],$DD32,28),0)</f>
        <v/>
      </c>
      <c r="AE32">
        <f>IFERROR(INDEX(PP_Grid[#Data],$DD32,29),0)</f>
        <v/>
      </c>
      <c r="AF32">
        <f>IFERROR(INDEX(PP_Grid[#Data],$DD32,30),0)</f>
        <v/>
      </c>
      <c r="AG32">
        <f>IFERROR(INDEX(PP_Grid[#Data],$DD32,31),0)</f>
        <v/>
      </c>
      <c r="AH32">
        <f>IFERROR(INDEX(PP_Grid[#Data],$DD32,32),0)</f>
        <v/>
      </c>
      <c r="AI32">
        <f>IFERROR(INDEX(PP_Grid[#Data],$DD32,33),0)</f>
        <v/>
      </c>
      <c r="AJ32">
        <f>IFERROR(INDEX(PP_Grid[#Data],$DD32,34),0)</f>
        <v/>
      </c>
      <c r="AK32">
        <f>IFERROR(INDEX(PP_Grid[#Data],$DD32,35),0)</f>
        <v/>
      </c>
      <c r="AL32">
        <f>IFERROR(INDEX(PP_Grid[#Data],$DD32,36),0)</f>
        <v/>
      </c>
      <c r="AM32">
        <f>IFERROR(INDEX(PP_Grid[#Data],$DD32,37),0)</f>
        <v/>
      </c>
      <c r="AN32">
        <f>IFERROR(INDEX(PP_Grid[#Data],$DD32,38),0)</f>
        <v/>
      </c>
      <c r="AO32">
        <f>IFERROR(INDEX(PP_Grid[#Data],$DD32,39),0)</f>
        <v/>
      </c>
      <c r="AP32">
        <f>IFERROR(INDEX(PP_Grid[#Data],$DD32,40),0)</f>
        <v/>
      </c>
      <c r="AQ32">
        <f>IFERROR(INDEX(PP_Grid[#Data],$DD32,41),0)</f>
        <v/>
      </c>
      <c r="AR32">
        <f>IFERROR(INDEX(PP_Grid[#Data],$DD32,42),0)</f>
        <v/>
      </c>
      <c r="AS32">
        <f>IFERROR(INDEX(PP_Grid[#Data],$DD32,43),0)</f>
        <v/>
      </c>
      <c r="AT32">
        <f>IFERROR(INDEX(PP_Grid[#Data],$DD32,44),0)</f>
        <v/>
      </c>
      <c r="AU32">
        <f>IFERROR(INDEX(PP_Grid[#Data],$DD32,45),0)</f>
        <v/>
      </c>
      <c r="AV32">
        <f>IFERROR(INDEX(PP_Grid[#Data],$DD32,46),0)</f>
        <v/>
      </c>
      <c r="AW32">
        <f>IFERROR(INDEX(PP_Grid[#Data],$DD32,47),0)</f>
        <v/>
      </c>
      <c r="AX32">
        <f>IFERROR(INDEX(PP_Grid[#Data],$DD32,48),0)</f>
        <v/>
      </c>
      <c r="AY32">
        <f>IFERROR(INDEX(PP_Grid[#Data],$DD32,49),0)</f>
        <v/>
      </c>
      <c r="AZ32">
        <f>IFERROR(INDEX(PP_Grid[#Data],$DD32,50),0)</f>
        <v/>
      </c>
      <c r="BA32">
        <f>IFERROR(INDEX(PP_Grid[#Data],$DD32,51),0)</f>
        <v/>
      </c>
      <c r="BB32">
        <f>IFERROR(INDEX(PP_Grid[#Data],$DD32,52),0)</f>
        <v/>
      </c>
      <c r="BC32">
        <f>IFERROR(INDEX(PP_Grid[#Data],$DD32,53),0)</f>
        <v/>
      </c>
      <c r="BD32">
        <f>IFERROR(INDEX(PP_Grid[#Data],$DD32,54),0)</f>
        <v/>
      </c>
      <c r="BE32">
        <f>IFERROR(INDEX(PP_Grid[#Data],$DD32,55),0)</f>
        <v/>
      </c>
      <c r="BF32">
        <f>IFERROR(INDEX(PP_Grid[#Data],$DD32,56),0)</f>
        <v/>
      </c>
      <c r="BG32">
        <f>IFERROR(INDEX(PP_Grid[#Data],$DD32,57),0)</f>
        <v/>
      </c>
      <c r="BH32">
        <f>IFERROR(INDEX(PP_Grid[#Data],$DD32,58),0)</f>
        <v/>
      </c>
      <c r="BI32">
        <f>IFERROR(INDEX(PP_Grid[#Data],$DD32,59),0)</f>
        <v/>
      </c>
      <c r="BJ32">
        <f>IFERROR(INDEX(PP_Grid[#Data],$DD32,60),0)</f>
        <v/>
      </c>
      <c r="BK32">
        <f>IFERROR(INDEX(PP_Grid[#Data],$DD32,61),0)</f>
        <v/>
      </c>
      <c r="BL32">
        <f>IFERROR(INDEX(PP_Grid[#Data],$DD32,62),0)</f>
        <v/>
      </c>
      <c r="BM32">
        <f>IFERROR(INDEX(PP_Grid[#Data],$DD32,63),0)</f>
        <v/>
      </c>
      <c r="BN32">
        <f>IFERROR(INDEX(PP_Grid[#Data],$DD32,64),0)</f>
        <v/>
      </c>
      <c r="BO32">
        <f>IFERROR(INDEX(PP_Grid[#Data],$DD32,65),0)</f>
        <v/>
      </c>
      <c r="BP32">
        <f>IFERROR(INDEX(PP_Grid[#Data],$DD32,66),0)</f>
        <v/>
      </c>
      <c r="BQ32">
        <f>IFERROR(INDEX(PP_Grid[#Data],$DD32,67),0)</f>
        <v/>
      </c>
      <c r="BR32">
        <f>IFERROR(INDEX(PP_Grid[#Data],$DD32,68),0)</f>
        <v/>
      </c>
      <c r="BS32">
        <f>IFERROR(INDEX(PP_Grid[#Data],$DD32,69),0)</f>
        <v/>
      </c>
      <c r="BT32">
        <f>IFERROR(INDEX(PP_Grid[#Data],$DD32,70),0)</f>
        <v/>
      </c>
      <c r="BU32">
        <f>IFERROR(INDEX(PP_Grid[#Data],$DD32,71),0)</f>
        <v/>
      </c>
      <c r="BV32">
        <f>IFERROR(INDEX(PP_Grid[#Data],$DD32,72),0)</f>
        <v/>
      </c>
      <c r="BW32">
        <f>IFERROR(INDEX(PP_Grid[#Data],$DD32,73),0)</f>
        <v/>
      </c>
      <c r="BX32">
        <f>IFERROR(INDEX(PP_Grid[#Data],$DD32,74),0)</f>
        <v/>
      </c>
      <c r="BY32">
        <f>IFERROR(INDEX(PP_Grid[#Data],$DD32,75),0)</f>
        <v/>
      </c>
      <c r="BZ32">
        <f>IFERROR(INDEX(PP_Grid[#Data],$DD32,76),0)</f>
        <v/>
      </c>
      <c r="CA32">
        <f>IFERROR(INDEX(PP_Grid[#Data],$DD32,77),0)</f>
        <v/>
      </c>
      <c r="CB32">
        <f>IFERROR(INDEX(PP_Grid[#Data],$DD32,78),0)</f>
        <v/>
      </c>
      <c r="CC32">
        <f>IFERROR(INDEX(PP_Grid[#Data],$DD32,79),0)</f>
        <v/>
      </c>
      <c r="CD32">
        <f>IFERROR(INDEX(PP_Grid[#Data],$DD32,80),0)</f>
        <v/>
      </c>
      <c r="CE32">
        <f>IFERROR(INDEX(PP_Grid[#Data],$DD32,81),0)</f>
        <v/>
      </c>
      <c r="CF32">
        <f>IFERROR(INDEX(PP_Grid[#Data],$DD32,82),0)</f>
        <v/>
      </c>
      <c r="CG32">
        <f>IFERROR(INDEX(PP_Grid[#Data],$DD32,83),0)</f>
        <v/>
      </c>
      <c r="CH32">
        <f>IFERROR(INDEX(PP_Grid[#Data],$DD32,84),0)</f>
        <v/>
      </c>
      <c r="CI32">
        <f>IFERROR(INDEX(PP_Grid[#Data],$DD32,85),0)</f>
        <v/>
      </c>
      <c r="CJ32">
        <f>IFERROR(INDEX(PP_Grid[#Data],$DD32,86),0)</f>
        <v/>
      </c>
      <c r="CK32">
        <f>IFERROR(INDEX(PP_Grid[#Data],$DD32,87),0)</f>
        <v/>
      </c>
      <c r="CL32">
        <f>IFERROR(INDEX(PP_Grid[#Data],$DD32,88),0)</f>
        <v/>
      </c>
      <c r="CM32">
        <f>IFERROR(INDEX(PP_Grid[#Data],$DD32,89),0)</f>
        <v/>
      </c>
      <c r="CN32">
        <f>IFERROR(INDEX(PP_Grid[#Data],$DD32,90),0)</f>
        <v/>
      </c>
      <c r="CO32">
        <f>IFERROR(INDEX(PP_Grid[#Data],$DD32,91),0)</f>
        <v/>
      </c>
      <c r="CP32">
        <f>IFERROR(INDEX(PP_Grid[#Data],$DD32,92),0)</f>
        <v/>
      </c>
      <c r="CQ32">
        <f>IFERROR(INDEX(PP_Grid[#Data],$DD32,93),0)</f>
        <v/>
      </c>
      <c r="CR32">
        <f>IFERROR(INDEX(PP_Grid[#Data],$DD32,94),0)</f>
        <v/>
      </c>
      <c r="CS32">
        <f>IFERROR(INDEX(PP_Grid[#Data],$DD32,95),0)</f>
        <v/>
      </c>
      <c r="CT32">
        <f>IFERROR(INDEX(PP_Grid[#Data],$DD32,96),0)</f>
        <v/>
      </c>
      <c r="CU32">
        <f>IFERROR(INDEX(PP_Grid[#Data],$DD32,97),0)</f>
        <v/>
      </c>
      <c r="CV32">
        <f>IFERROR(INDEX(PP_Grid[#Data],$DD32,98),0)</f>
        <v/>
      </c>
      <c r="CW32">
        <f>IFERROR(INDEX(PP_Grid[#Data],$DD32,99),0)</f>
        <v/>
      </c>
      <c r="CX32">
        <f>IFERROR(INDEX(PP_Grid[#Data],$DD32,100),0)</f>
        <v/>
      </c>
      <c r="CY32">
        <f>IFERROR(INDEX(PP_Grid[#Data],$DD32,101),0)</f>
        <v/>
      </c>
      <c r="CZ32">
        <f>IFERROR(INDEX(PP_Grid[#Data],$DD32,102),0)</f>
        <v/>
      </c>
      <c r="DA32">
        <f>IFERROR(INDEX(PP_Grid[#Data],$DD32,103),0)</f>
        <v/>
      </c>
      <c r="DB32">
        <f>IFERROR(INDEX(PP_Grid[#Data],$DD32,104),0)</f>
        <v/>
      </c>
      <c r="DC32">
        <f>IFERROR(INDEX(PP_Grid[#Data],$DD32,105),0)</f>
        <v/>
      </c>
      <c r="DD32" s="7">
        <f>IFERROR(MATCH($B32,PP_Grid[Intermediate],0),99999)</f>
        <v/>
      </c>
    </row>
    <row r="33">
      <c r="B33" t="inlineStr">
        <is>
          <t>使用量(kg)</t>
        </is>
      </c>
      <c r="C33">
        <f>SUMIFS(M_BOM[RM_Qty_Per_Batch],M_BOM[Intermediate],$B32,M_BOM[Part Name],$A7)</f>
        <v/>
      </c>
      <c r="D33">
        <f>$C33*D32</f>
        <v/>
      </c>
      <c r="E33">
        <f>$C33*E32</f>
        <v/>
      </c>
      <c r="F33">
        <f>$C33*F32</f>
        <v/>
      </c>
      <c r="G33">
        <f>$C33*G32</f>
        <v/>
      </c>
      <c r="H33">
        <f>$C33*H32</f>
        <v/>
      </c>
      <c r="I33">
        <f>$C33*I32</f>
        <v/>
      </c>
      <c r="J33">
        <f>$C33*J32</f>
        <v/>
      </c>
      <c r="K33">
        <f>$C33*K32</f>
        <v/>
      </c>
      <c r="L33">
        <f>$C33*L32</f>
        <v/>
      </c>
      <c r="M33">
        <f>$C33*M32</f>
        <v/>
      </c>
      <c r="N33">
        <f>$C33*N32</f>
        <v/>
      </c>
      <c r="O33">
        <f>$C33*O32</f>
        <v/>
      </c>
      <c r="P33">
        <f>$C33*P32</f>
        <v/>
      </c>
      <c r="Q33">
        <f>$C33*Q32</f>
        <v/>
      </c>
      <c r="R33">
        <f>$C33*R32</f>
        <v/>
      </c>
      <c r="S33">
        <f>$C33*S32</f>
        <v/>
      </c>
      <c r="T33">
        <f>$C33*T32</f>
        <v/>
      </c>
      <c r="U33">
        <f>$C33*U32</f>
        <v/>
      </c>
      <c r="V33">
        <f>$C33*V32</f>
        <v/>
      </c>
      <c r="W33">
        <f>$C33*W32</f>
        <v/>
      </c>
      <c r="X33">
        <f>$C33*X32</f>
        <v/>
      </c>
      <c r="Y33">
        <f>$C33*Y32</f>
        <v/>
      </c>
      <c r="Z33">
        <f>$C33*Z32</f>
        <v/>
      </c>
      <c r="AA33">
        <f>$C33*AA32</f>
        <v/>
      </c>
      <c r="AB33">
        <f>$C33*AB32</f>
        <v/>
      </c>
      <c r="AC33">
        <f>$C33*AC32</f>
        <v/>
      </c>
      <c r="AD33">
        <f>$C33*AD32</f>
        <v/>
      </c>
      <c r="AE33">
        <f>$C33*AE32</f>
        <v/>
      </c>
      <c r="AF33">
        <f>$C33*AF32</f>
        <v/>
      </c>
      <c r="AG33">
        <f>$C33*AG32</f>
        <v/>
      </c>
      <c r="AH33">
        <f>$C33*AH32</f>
        <v/>
      </c>
      <c r="AI33">
        <f>$C33*AI32</f>
        <v/>
      </c>
      <c r="AJ33">
        <f>$C33*AJ32</f>
        <v/>
      </c>
      <c r="AK33">
        <f>$C33*AK32</f>
        <v/>
      </c>
      <c r="AL33">
        <f>$C33*AL32</f>
        <v/>
      </c>
      <c r="AM33">
        <f>$C33*AM32</f>
        <v/>
      </c>
      <c r="AN33">
        <f>$C33*AN32</f>
        <v/>
      </c>
      <c r="AO33">
        <f>$C33*AO32</f>
        <v/>
      </c>
      <c r="AP33">
        <f>$C33*AP32</f>
        <v/>
      </c>
      <c r="AQ33">
        <f>$C33*AQ32</f>
        <v/>
      </c>
      <c r="AR33">
        <f>$C33*AR32</f>
        <v/>
      </c>
      <c r="AS33">
        <f>$C33*AS32</f>
        <v/>
      </c>
      <c r="AT33">
        <f>$C33*AT32</f>
        <v/>
      </c>
      <c r="AU33">
        <f>$C33*AU32</f>
        <v/>
      </c>
      <c r="AV33">
        <f>$C33*AV32</f>
        <v/>
      </c>
      <c r="AW33">
        <f>$C33*AW32</f>
        <v/>
      </c>
      <c r="AX33">
        <f>$C33*AX32</f>
        <v/>
      </c>
      <c r="AY33">
        <f>$C33*AY32</f>
        <v/>
      </c>
      <c r="AZ33">
        <f>$C33*AZ32</f>
        <v/>
      </c>
      <c r="BA33">
        <f>$C33*BA32</f>
        <v/>
      </c>
      <c r="BB33">
        <f>$C33*BB32</f>
        <v/>
      </c>
      <c r="BC33">
        <f>$C33*BC32</f>
        <v/>
      </c>
      <c r="BD33">
        <f>$C33*BD32</f>
        <v/>
      </c>
      <c r="BE33">
        <f>$C33*BE32</f>
        <v/>
      </c>
      <c r="BF33">
        <f>$C33*BF32</f>
        <v/>
      </c>
      <c r="BG33">
        <f>$C33*BG32</f>
        <v/>
      </c>
      <c r="BH33">
        <f>$C33*BH32</f>
        <v/>
      </c>
      <c r="BI33">
        <f>$C33*BI32</f>
        <v/>
      </c>
      <c r="BJ33">
        <f>$C33*BJ32</f>
        <v/>
      </c>
      <c r="BK33">
        <f>$C33*BK32</f>
        <v/>
      </c>
      <c r="BL33">
        <f>$C33*BL32</f>
        <v/>
      </c>
      <c r="BM33">
        <f>$C33*BM32</f>
        <v/>
      </c>
      <c r="BN33">
        <f>$C33*BN32</f>
        <v/>
      </c>
      <c r="BO33">
        <f>$C33*BO32</f>
        <v/>
      </c>
      <c r="BP33">
        <f>$C33*BP32</f>
        <v/>
      </c>
      <c r="BQ33">
        <f>$C33*BQ32</f>
        <v/>
      </c>
      <c r="BR33">
        <f>$C33*BR32</f>
        <v/>
      </c>
      <c r="BS33">
        <f>$C33*BS32</f>
        <v/>
      </c>
      <c r="BT33">
        <f>$C33*BT32</f>
        <v/>
      </c>
      <c r="BU33">
        <f>$C33*BU32</f>
        <v/>
      </c>
      <c r="BV33">
        <f>$C33*BV32</f>
        <v/>
      </c>
      <c r="BW33">
        <f>$C33*BW32</f>
        <v/>
      </c>
      <c r="BX33">
        <f>$C33*BX32</f>
        <v/>
      </c>
      <c r="BY33">
        <f>$C33*BY32</f>
        <v/>
      </c>
      <c r="BZ33">
        <f>$C33*BZ32</f>
        <v/>
      </c>
      <c r="CA33">
        <f>$C33*CA32</f>
        <v/>
      </c>
      <c r="CB33">
        <f>$C33*CB32</f>
        <v/>
      </c>
      <c r="CC33">
        <f>$C33*CC32</f>
        <v/>
      </c>
      <c r="CD33">
        <f>$C33*CD32</f>
        <v/>
      </c>
      <c r="CE33">
        <f>$C33*CE32</f>
        <v/>
      </c>
      <c r="CF33">
        <f>$C33*CF32</f>
        <v/>
      </c>
      <c r="CG33">
        <f>$C33*CG32</f>
        <v/>
      </c>
      <c r="CH33">
        <f>$C33*CH32</f>
        <v/>
      </c>
      <c r="CI33">
        <f>$C33*CI32</f>
        <v/>
      </c>
      <c r="CJ33">
        <f>$C33*CJ32</f>
        <v/>
      </c>
      <c r="CK33">
        <f>$C33*CK32</f>
        <v/>
      </c>
      <c r="CL33">
        <f>$C33*CL32</f>
        <v/>
      </c>
      <c r="CM33">
        <f>$C33*CM32</f>
        <v/>
      </c>
      <c r="CN33">
        <f>$C33*CN32</f>
        <v/>
      </c>
      <c r="CO33">
        <f>$C33*CO32</f>
        <v/>
      </c>
      <c r="CP33">
        <f>$C33*CP32</f>
        <v/>
      </c>
      <c r="CQ33">
        <f>$C33*CQ32</f>
        <v/>
      </c>
      <c r="CR33">
        <f>$C33*CR32</f>
        <v/>
      </c>
      <c r="CS33">
        <f>$C33*CS32</f>
        <v/>
      </c>
      <c r="CT33">
        <f>$C33*CT32</f>
        <v/>
      </c>
      <c r="CU33">
        <f>$C33*CU32</f>
        <v/>
      </c>
      <c r="CV33">
        <f>$C33*CV32</f>
        <v/>
      </c>
      <c r="CW33">
        <f>$C33*CW32</f>
        <v/>
      </c>
      <c r="CX33">
        <f>$C33*CX32</f>
        <v/>
      </c>
      <c r="CY33">
        <f>$C33*CY32</f>
        <v/>
      </c>
      <c r="CZ33">
        <f>$C33*CZ32</f>
        <v/>
      </c>
      <c r="DA33">
        <f>$C33*DA32</f>
        <v/>
      </c>
      <c r="DB33">
        <f>$C33*DB32</f>
        <v/>
      </c>
      <c r="DC33">
        <f>$C33*DC32</f>
        <v/>
      </c>
    </row>
    <row r="34">
      <c r="B34" t="inlineStr">
        <is>
          <t>TSP-699</t>
        </is>
      </c>
      <c r="C34" t="inlineStr">
        <is>
          <t>No. of batches</t>
        </is>
      </c>
      <c r="D34">
        <f>IFERROR(INDEX(PP_Grid[#Data],$DD34,2),0)</f>
        <v/>
      </c>
      <c r="E34">
        <f>IFERROR(INDEX(PP_Grid[#Data],$DD34,3),0)</f>
        <v/>
      </c>
      <c r="F34">
        <f>IFERROR(INDEX(PP_Grid[#Data],$DD34,4),0)</f>
        <v/>
      </c>
      <c r="G34">
        <f>IFERROR(INDEX(PP_Grid[#Data],$DD34,5),0)</f>
        <v/>
      </c>
      <c r="H34">
        <f>IFERROR(INDEX(PP_Grid[#Data],$DD34,6),0)</f>
        <v/>
      </c>
      <c r="I34">
        <f>IFERROR(INDEX(PP_Grid[#Data],$DD34,7),0)</f>
        <v/>
      </c>
      <c r="J34">
        <f>IFERROR(INDEX(PP_Grid[#Data],$DD34,8),0)</f>
        <v/>
      </c>
      <c r="K34">
        <f>IFERROR(INDEX(PP_Grid[#Data],$DD34,9),0)</f>
        <v/>
      </c>
      <c r="L34">
        <f>IFERROR(INDEX(PP_Grid[#Data],$DD34,10),0)</f>
        <v/>
      </c>
      <c r="M34">
        <f>IFERROR(INDEX(PP_Grid[#Data],$DD34,11),0)</f>
        <v/>
      </c>
      <c r="N34">
        <f>IFERROR(INDEX(PP_Grid[#Data],$DD34,12),0)</f>
        <v/>
      </c>
      <c r="O34">
        <f>IFERROR(INDEX(PP_Grid[#Data],$DD34,13),0)</f>
        <v/>
      </c>
      <c r="P34">
        <f>IFERROR(INDEX(PP_Grid[#Data],$DD34,14),0)</f>
        <v/>
      </c>
      <c r="Q34">
        <f>IFERROR(INDEX(PP_Grid[#Data],$DD34,15),0)</f>
        <v/>
      </c>
      <c r="R34">
        <f>IFERROR(INDEX(PP_Grid[#Data],$DD34,16),0)</f>
        <v/>
      </c>
      <c r="S34">
        <f>IFERROR(INDEX(PP_Grid[#Data],$DD34,17),0)</f>
        <v/>
      </c>
      <c r="T34">
        <f>IFERROR(INDEX(PP_Grid[#Data],$DD34,18),0)</f>
        <v/>
      </c>
      <c r="U34">
        <f>IFERROR(INDEX(PP_Grid[#Data],$DD34,19),0)</f>
        <v/>
      </c>
      <c r="V34">
        <f>IFERROR(INDEX(PP_Grid[#Data],$DD34,20),0)</f>
        <v/>
      </c>
      <c r="W34">
        <f>IFERROR(INDEX(PP_Grid[#Data],$DD34,21),0)</f>
        <v/>
      </c>
      <c r="X34">
        <f>IFERROR(INDEX(PP_Grid[#Data],$DD34,22),0)</f>
        <v/>
      </c>
      <c r="Y34">
        <f>IFERROR(INDEX(PP_Grid[#Data],$DD34,23),0)</f>
        <v/>
      </c>
      <c r="Z34">
        <f>IFERROR(INDEX(PP_Grid[#Data],$DD34,24),0)</f>
        <v/>
      </c>
      <c r="AA34">
        <f>IFERROR(INDEX(PP_Grid[#Data],$DD34,25),0)</f>
        <v/>
      </c>
      <c r="AB34">
        <f>IFERROR(INDEX(PP_Grid[#Data],$DD34,26),0)</f>
        <v/>
      </c>
      <c r="AC34">
        <f>IFERROR(INDEX(PP_Grid[#Data],$DD34,27),0)</f>
        <v/>
      </c>
      <c r="AD34">
        <f>IFERROR(INDEX(PP_Grid[#Data],$DD34,28),0)</f>
        <v/>
      </c>
      <c r="AE34">
        <f>IFERROR(INDEX(PP_Grid[#Data],$DD34,29),0)</f>
        <v/>
      </c>
      <c r="AF34">
        <f>IFERROR(INDEX(PP_Grid[#Data],$DD34,30),0)</f>
        <v/>
      </c>
      <c r="AG34">
        <f>IFERROR(INDEX(PP_Grid[#Data],$DD34,31),0)</f>
        <v/>
      </c>
      <c r="AH34">
        <f>IFERROR(INDEX(PP_Grid[#Data],$DD34,32),0)</f>
        <v/>
      </c>
      <c r="AI34">
        <f>IFERROR(INDEX(PP_Grid[#Data],$DD34,33),0)</f>
        <v/>
      </c>
      <c r="AJ34">
        <f>IFERROR(INDEX(PP_Grid[#Data],$DD34,34),0)</f>
        <v/>
      </c>
      <c r="AK34">
        <f>IFERROR(INDEX(PP_Grid[#Data],$DD34,35),0)</f>
        <v/>
      </c>
      <c r="AL34">
        <f>IFERROR(INDEX(PP_Grid[#Data],$DD34,36),0)</f>
        <v/>
      </c>
      <c r="AM34">
        <f>IFERROR(INDEX(PP_Grid[#Data],$DD34,37),0)</f>
        <v/>
      </c>
      <c r="AN34">
        <f>IFERROR(INDEX(PP_Grid[#Data],$DD34,38),0)</f>
        <v/>
      </c>
      <c r="AO34">
        <f>IFERROR(INDEX(PP_Grid[#Data],$DD34,39),0)</f>
        <v/>
      </c>
      <c r="AP34">
        <f>IFERROR(INDEX(PP_Grid[#Data],$DD34,40),0)</f>
        <v/>
      </c>
      <c r="AQ34">
        <f>IFERROR(INDEX(PP_Grid[#Data],$DD34,41),0)</f>
        <v/>
      </c>
      <c r="AR34">
        <f>IFERROR(INDEX(PP_Grid[#Data],$DD34,42),0)</f>
        <v/>
      </c>
      <c r="AS34">
        <f>IFERROR(INDEX(PP_Grid[#Data],$DD34,43),0)</f>
        <v/>
      </c>
      <c r="AT34">
        <f>IFERROR(INDEX(PP_Grid[#Data],$DD34,44),0)</f>
        <v/>
      </c>
      <c r="AU34">
        <f>IFERROR(INDEX(PP_Grid[#Data],$DD34,45),0)</f>
        <v/>
      </c>
      <c r="AV34">
        <f>IFERROR(INDEX(PP_Grid[#Data],$DD34,46),0)</f>
        <v/>
      </c>
      <c r="AW34">
        <f>IFERROR(INDEX(PP_Grid[#Data],$DD34,47),0)</f>
        <v/>
      </c>
      <c r="AX34">
        <f>IFERROR(INDEX(PP_Grid[#Data],$DD34,48),0)</f>
        <v/>
      </c>
      <c r="AY34">
        <f>IFERROR(INDEX(PP_Grid[#Data],$DD34,49),0)</f>
        <v/>
      </c>
      <c r="AZ34">
        <f>IFERROR(INDEX(PP_Grid[#Data],$DD34,50),0)</f>
        <v/>
      </c>
      <c r="BA34">
        <f>IFERROR(INDEX(PP_Grid[#Data],$DD34,51),0)</f>
        <v/>
      </c>
      <c r="BB34">
        <f>IFERROR(INDEX(PP_Grid[#Data],$DD34,52),0)</f>
        <v/>
      </c>
      <c r="BC34">
        <f>IFERROR(INDEX(PP_Grid[#Data],$DD34,53),0)</f>
        <v/>
      </c>
      <c r="BD34">
        <f>IFERROR(INDEX(PP_Grid[#Data],$DD34,54),0)</f>
        <v/>
      </c>
      <c r="BE34">
        <f>IFERROR(INDEX(PP_Grid[#Data],$DD34,55),0)</f>
        <v/>
      </c>
      <c r="BF34">
        <f>IFERROR(INDEX(PP_Grid[#Data],$DD34,56),0)</f>
        <v/>
      </c>
      <c r="BG34">
        <f>IFERROR(INDEX(PP_Grid[#Data],$DD34,57),0)</f>
        <v/>
      </c>
      <c r="BH34">
        <f>IFERROR(INDEX(PP_Grid[#Data],$DD34,58),0)</f>
        <v/>
      </c>
      <c r="BI34">
        <f>IFERROR(INDEX(PP_Grid[#Data],$DD34,59),0)</f>
        <v/>
      </c>
      <c r="BJ34">
        <f>IFERROR(INDEX(PP_Grid[#Data],$DD34,60),0)</f>
        <v/>
      </c>
      <c r="BK34">
        <f>IFERROR(INDEX(PP_Grid[#Data],$DD34,61),0)</f>
        <v/>
      </c>
      <c r="BL34">
        <f>IFERROR(INDEX(PP_Grid[#Data],$DD34,62),0)</f>
        <v/>
      </c>
      <c r="BM34">
        <f>IFERROR(INDEX(PP_Grid[#Data],$DD34,63),0)</f>
        <v/>
      </c>
      <c r="BN34">
        <f>IFERROR(INDEX(PP_Grid[#Data],$DD34,64),0)</f>
        <v/>
      </c>
      <c r="BO34">
        <f>IFERROR(INDEX(PP_Grid[#Data],$DD34,65),0)</f>
        <v/>
      </c>
      <c r="BP34">
        <f>IFERROR(INDEX(PP_Grid[#Data],$DD34,66),0)</f>
        <v/>
      </c>
      <c r="BQ34">
        <f>IFERROR(INDEX(PP_Grid[#Data],$DD34,67),0)</f>
        <v/>
      </c>
      <c r="BR34">
        <f>IFERROR(INDEX(PP_Grid[#Data],$DD34,68),0)</f>
        <v/>
      </c>
      <c r="BS34">
        <f>IFERROR(INDEX(PP_Grid[#Data],$DD34,69),0)</f>
        <v/>
      </c>
      <c r="BT34">
        <f>IFERROR(INDEX(PP_Grid[#Data],$DD34,70),0)</f>
        <v/>
      </c>
      <c r="BU34">
        <f>IFERROR(INDEX(PP_Grid[#Data],$DD34,71),0)</f>
        <v/>
      </c>
      <c r="BV34">
        <f>IFERROR(INDEX(PP_Grid[#Data],$DD34,72),0)</f>
        <v/>
      </c>
      <c r="BW34">
        <f>IFERROR(INDEX(PP_Grid[#Data],$DD34,73),0)</f>
        <v/>
      </c>
      <c r="BX34">
        <f>IFERROR(INDEX(PP_Grid[#Data],$DD34,74),0)</f>
        <v/>
      </c>
      <c r="BY34">
        <f>IFERROR(INDEX(PP_Grid[#Data],$DD34,75),0)</f>
        <v/>
      </c>
      <c r="BZ34">
        <f>IFERROR(INDEX(PP_Grid[#Data],$DD34,76),0)</f>
        <v/>
      </c>
      <c r="CA34">
        <f>IFERROR(INDEX(PP_Grid[#Data],$DD34,77),0)</f>
        <v/>
      </c>
      <c r="CB34">
        <f>IFERROR(INDEX(PP_Grid[#Data],$DD34,78),0)</f>
        <v/>
      </c>
      <c r="CC34">
        <f>IFERROR(INDEX(PP_Grid[#Data],$DD34,79),0)</f>
        <v/>
      </c>
      <c r="CD34">
        <f>IFERROR(INDEX(PP_Grid[#Data],$DD34,80),0)</f>
        <v/>
      </c>
      <c r="CE34">
        <f>IFERROR(INDEX(PP_Grid[#Data],$DD34,81),0)</f>
        <v/>
      </c>
      <c r="CF34">
        <f>IFERROR(INDEX(PP_Grid[#Data],$DD34,82),0)</f>
        <v/>
      </c>
      <c r="CG34">
        <f>IFERROR(INDEX(PP_Grid[#Data],$DD34,83),0)</f>
        <v/>
      </c>
      <c r="CH34">
        <f>IFERROR(INDEX(PP_Grid[#Data],$DD34,84),0)</f>
        <v/>
      </c>
      <c r="CI34">
        <f>IFERROR(INDEX(PP_Grid[#Data],$DD34,85),0)</f>
        <v/>
      </c>
      <c r="CJ34">
        <f>IFERROR(INDEX(PP_Grid[#Data],$DD34,86),0)</f>
        <v/>
      </c>
      <c r="CK34">
        <f>IFERROR(INDEX(PP_Grid[#Data],$DD34,87),0)</f>
        <v/>
      </c>
      <c r="CL34">
        <f>IFERROR(INDEX(PP_Grid[#Data],$DD34,88),0)</f>
        <v/>
      </c>
      <c r="CM34">
        <f>IFERROR(INDEX(PP_Grid[#Data],$DD34,89),0)</f>
        <v/>
      </c>
      <c r="CN34">
        <f>IFERROR(INDEX(PP_Grid[#Data],$DD34,90),0)</f>
        <v/>
      </c>
      <c r="CO34">
        <f>IFERROR(INDEX(PP_Grid[#Data],$DD34,91),0)</f>
        <v/>
      </c>
      <c r="CP34">
        <f>IFERROR(INDEX(PP_Grid[#Data],$DD34,92),0)</f>
        <v/>
      </c>
      <c r="CQ34">
        <f>IFERROR(INDEX(PP_Grid[#Data],$DD34,93),0)</f>
        <v/>
      </c>
      <c r="CR34">
        <f>IFERROR(INDEX(PP_Grid[#Data],$DD34,94),0)</f>
        <v/>
      </c>
      <c r="CS34">
        <f>IFERROR(INDEX(PP_Grid[#Data],$DD34,95),0)</f>
        <v/>
      </c>
      <c r="CT34">
        <f>IFERROR(INDEX(PP_Grid[#Data],$DD34,96),0)</f>
        <v/>
      </c>
      <c r="CU34">
        <f>IFERROR(INDEX(PP_Grid[#Data],$DD34,97),0)</f>
        <v/>
      </c>
      <c r="CV34">
        <f>IFERROR(INDEX(PP_Grid[#Data],$DD34,98),0)</f>
        <v/>
      </c>
      <c r="CW34">
        <f>IFERROR(INDEX(PP_Grid[#Data],$DD34,99),0)</f>
        <v/>
      </c>
      <c r="CX34">
        <f>IFERROR(INDEX(PP_Grid[#Data],$DD34,100),0)</f>
        <v/>
      </c>
      <c r="CY34">
        <f>IFERROR(INDEX(PP_Grid[#Data],$DD34,101),0)</f>
        <v/>
      </c>
      <c r="CZ34">
        <f>IFERROR(INDEX(PP_Grid[#Data],$DD34,102),0)</f>
        <v/>
      </c>
      <c r="DA34">
        <f>IFERROR(INDEX(PP_Grid[#Data],$DD34,103),0)</f>
        <v/>
      </c>
      <c r="DB34">
        <f>IFERROR(INDEX(PP_Grid[#Data],$DD34,104),0)</f>
        <v/>
      </c>
      <c r="DC34">
        <f>IFERROR(INDEX(PP_Grid[#Data],$DD34,105),0)</f>
        <v/>
      </c>
      <c r="DD34" s="7">
        <f>IFERROR(MATCH($B34,PP_Grid[Intermediate],0),99999)</f>
        <v/>
      </c>
    </row>
    <row r="35">
      <c r="B35" t="inlineStr">
        <is>
          <t>使用量(kg)</t>
        </is>
      </c>
      <c r="C35">
        <f>SUMIFS(M_BOM[RM_Qty_Per_Batch],M_BOM[Intermediate],$B34,M_BOM[Part Name],$A7)</f>
        <v/>
      </c>
      <c r="D35">
        <f>$C35*D34</f>
        <v/>
      </c>
      <c r="E35">
        <f>$C35*E34</f>
        <v/>
      </c>
      <c r="F35">
        <f>$C35*F34</f>
        <v/>
      </c>
      <c r="G35">
        <f>$C35*G34</f>
        <v/>
      </c>
      <c r="H35">
        <f>$C35*H34</f>
        <v/>
      </c>
      <c r="I35">
        <f>$C35*I34</f>
        <v/>
      </c>
      <c r="J35">
        <f>$C35*J34</f>
        <v/>
      </c>
      <c r="K35">
        <f>$C35*K34</f>
        <v/>
      </c>
      <c r="L35">
        <f>$C35*L34</f>
        <v/>
      </c>
      <c r="M35">
        <f>$C35*M34</f>
        <v/>
      </c>
      <c r="N35">
        <f>$C35*N34</f>
        <v/>
      </c>
      <c r="O35">
        <f>$C35*O34</f>
        <v/>
      </c>
      <c r="P35">
        <f>$C35*P34</f>
        <v/>
      </c>
      <c r="Q35">
        <f>$C35*Q34</f>
        <v/>
      </c>
      <c r="R35">
        <f>$C35*R34</f>
        <v/>
      </c>
      <c r="S35">
        <f>$C35*S34</f>
        <v/>
      </c>
      <c r="T35">
        <f>$C35*T34</f>
        <v/>
      </c>
      <c r="U35">
        <f>$C35*U34</f>
        <v/>
      </c>
      <c r="V35">
        <f>$C35*V34</f>
        <v/>
      </c>
      <c r="W35">
        <f>$C35*W34</f>
        <v/>
      </c>
      <c r="X35">
        <f>$C35*X34</f>
        <v/>
      </c>
      <c r="Y35">
        <f>$C35*Y34</f>
        <v/>
      </c>
      <c r="Z35">
        <f>$C35*Z34</f>
        <v/>
      </c>
      <c r="AA35">
        <f>$C35*AA34</f>
        <v/>
      </c>
      <c r="AB35">
        <f>$C35*AB34</f>
        <v/>
      </c>
      <c r="AC35">
        <f>$C35*AC34</f>
        <v/>
      </c>
      <c r="AD35">
        <f>$C35*AD34</f>
        <v/>
      </c>
      <c r="AE35">
        <f>$C35*AE34</f>
        <v/>
      </c>
      <c r="AF35">
        <f>$C35*AF34</f>
        <v/>
      </c>
      <c r="AG35">
        <f>$C35*AG34</f>
        <v/>
      </c>
      <c r="AH35">
        <f>$C35*AH34</f>
        <v/>
      </c>
      <c r="AI35">
        <f>$C35*AI34</f>
        <v/>
      </c>
      <c r="AJ35">
        <f>$C35*AJ34</f>
        <v/>
      </c>
      <c r="AK35">
        <f>$C35*AK34</f>
        <v/>
      </c>
      <c r="AL35">
        <f>$C35*AL34</f>
        <v/>
      </c>
      <c r="AM35">
        <f>$C35*AM34</f>
        <v/>
      </c>
      <c r="AN35">
        <f>$C35*AN34</f>
        <v/>
      </c>
      <c r="AO35">
        <f>$C35*AO34</f>
        <v/>
      </c>
      <c r="AP35">
        <f>$C35*AP34</f>
        <v/>
      </c>
      <c r="AQ35">
        <f>$C35*AQ34</f>
        <v/>
      </c>
      <c r="AR35">
        <f>$C35*AR34</f>
        <v/>
      </c>
      <c r="AS35">
        <f>$C35*AS34</f>
        <v/>
      </c>
      <c r="AT35">
        <f>$C35*AT34</f>
        <v/>
      </c>
      <c r="AU35">
        <f>$C35*AU34</f>
        <v/>
      </c>
      <c r="AV35">
        <f>$C35*AV34</f>
        <v/>
      </c>
      <c r="AW35">
        <f>$C35*AW34</f>
        <v/>
      </c>
      <c r="AX35">
        <f>$C35*AX34</f>
        <v/>
      </c>
      <c r="AY35">
        <f>$C35*AY34</f>
        <v/>
      </c>
      <c r="AZ35">
        <f>$C35*AZ34</f>
        <v/>
      </c>
      <c r="BA35">
        <f>$C35*BA34</f>
        <v/>
      </c>
      <c r="BB35">
        <f>$C35*BB34</f>
        <v/>
      </c>
      <c r="BC35">
        <f>$C35*BC34</f>
        <v/>
      </c>
      <c r="BD35">
        <f>$C35*BD34</f>
        <v/>
      </c>
      <c r="BE35">
        <f>$C35*BE34</f>
        <v/>
      </c>
      <c r="BF35">
        <f>$C35*BF34</f>
        <v/>
      </c>
      <c r="BG35">
        <f>$C35*BG34</f>
        <v/>
      </c>
      <c r="BH35">
        <f>$C35*BH34</f>
        <v/>
      </c>
      <c r="BI35">
        <f>$C35*BI34</f>
        <v/>
      </c>
      <c r="BJ35">
        <f>$C35*BJ34</f>
        <v/>
      </c>
      <c r="BK35">
        <f>$C35*BK34</f>
        <v/>
      </c>
      <c r="BL35">
        <f>$C35*BL34</f>
        <v/>
      </c>
      <c r="BM35">
        <f>$C35*BM34</f>
        <v/>
      </c>
      <c r="BN35">
        <f>$C35*BN34</f>
        <v/>
      </c>
      <c r="BO35">
        <f>$C35*BO34</f>
        <v/>
      </c>
      <c r="BP35">
        <f>$C35*BP34</f>
        <v/>
      </c>
      <c r="BQ35">
        <f>$C35*BQ34</f>
        <v/>
      </c>
      <c r="BR35">
        <f>$C35*BR34</f>
        <v/>
      </c>
      <c r="BS35">
        <f>$C35*BS34</f>
        <v/>
      </c>
      <c r="BT35">
        <f>$C35*BT34</f>
        <v/>
      </c>
      <c r="BU35">
        <f>$C35*BU34</f>
        <v/>
      </c>
      <c r="BV35">
        <f>$C35*BV34</f>
        <v/>
      </c>
      <c r="BW35">
        <f>$C35*BW34</f>
        <v/>
      </c>
      <c r="BX35">
        <f>$C35*BX34</f>
        <v/>
      </c>
      <c r="BY35">
        <f>$C35*BY34</f>
        <v/>
      </c>
      <c r="BZ35">
        <f>$C35*BZ34</f>
        <v/>
      </c>
      <c r="CA35">
        <f>$C35*CA34</f>
        <v/>
      </c>
      <c r="CB35">
        <f>$C35*CB34</f>
        <v/>
      </c>
      <c r="CC35">
        <f>$C35*CC34</f>
        <v/>
      </c>
      <c r="CD35">
        <f>$C35*CD34</f>
        <v/>
      </c>
      <c r="CE35">
        <f>$C35*CE34</f>
        <v/>
      </c>
      <c r="CF35">
        <f>$C35*CF34</f>
        <v/>
      </c>
      <c r="CG35">
        <f>$C35*CG34</f>
        <v/>
      </c>
      <c r="CH35">
        <f>$C35*CH34</f>
        <v/>
      </c>
      <c r="CI35">
        <f>$C35*CI34</f>
        <v/>
      </c>
      <c r="CJ35">
        <f>$C35*CJ34</f>
        <v/>
      </c>
      <c r="CK35">
        <f>$C35*CK34</f>
        <v/>
      </c>
      <c r="CL35">
        <f>$C35*CL34</f>
        <v/>
      </c>
      <c r="CM35">
        <f>$C35*CM34</f>
        <v/>
      </c>
      <c r="CN35">
        <f>$C35*CN34</f>
        <v/>
      </c>
      <c r="CO35">
        <f>$C35*CO34</f>
        <v/>
      </c>
      <c r="CP35">
        <f>$C35*CP34</f>
        <v/>
      </c>
      <c r="CQ35">
        <f>$C35*CQ34</f>
        <v/>
      </c>
      <c r="CR35">
        <f>$C35*CR34</f>
        <v/>
      </c>
      <c r="CS35">
        <f>$C35*CS34</f>
        <v/>
      </c>
      <c r="CT35">
        <f>$C35*CT34</f>
        <v/>
      </c>
      <c r="CU35">
        <f>$C35*CU34</f>
        <v/>
      </c>
      <c r="CV35">
        <f>$C35*CV34</f>
        <v/>
      </c>
      <c r="CW35">
        <f>$C35*CW34</f>
        <v/>
      </c>
      <c r="CX35">
        <f>$C35*CX34</f>
        <v/>
      </c>
      <c r="CY35">
        <f>$C35*CY34</f>
        <v/>
      </c>
      <c r="CZ35">
        <f>$C35*CZ34</f>
        <v/>
      </c>
      <c r="DA35">
        <f>$C35*DA34</f>
        <v/>
      </c>
      <c r="DB35">
        <f>$C35*DB34</f>
        <v/>
      </c>
      <c r="DC35">
        <f>$C35*DC34</f>
        <v/>
      </c>
    </row>
    <row r="36">
      <c r="B36" t="inlineStr">
        <is>
          <t>TSP-966</t>
        </is>
      </c>
      <c r="C36" t="inlineStr">
        <is>
          <t>No. of batches</t>
        </is>
      </c>
      <c r="D36">
        <f>IFERROR(INDEX(PP_Grid[#Data],$DD36,2),0)</f>
        <v/>
      </c>
      <c r="E36">
        <f>IFERROR(INDEX(PP_Grid[#Data],$DD36,3),0)</f>
        <v/>
      </c>
      <c r="F36">
        <f>IFERROR(INDEX(PP_Grid[#Data],$DD36,4),0)</f>
        <v/>
      </c>
      <c r="G36">
        <f>IFERROR(INDEX(PP_Grid[#Data],$DD36,5),0)</f>
        <v/>
      </c>
      <c r="H36">
        <f>IFERROR(INDEX(PP_Grid[#Data],$DD36,6),0)</f>
        <v/>
      </c>
      <c r="I36">
        <f>IFERROR(INDEX(PP_Grid[#Data],$DD36,7),0)</f>
        <v/>
      </c>
      <c r="J36">
        <f>IFERROR(INDEX(PP_Grid[#Data],$DD36,8),0)</f>
        <v/>
      </c>
      <c r="K36">
        <f>IFERROR(INDEX(PP_Grid[#Data],$DD36,9),0)</f>
        <v/>
      </c>
      <c r="L36">
        <f>IFERROR(INDEX(PP_Grid[#Data],$DD36,10),0)</f>
        <v/>
      </c>
      <c r="M36">
        <f>IFERROR(INDEX(PP_Grid[#Data],$DD36,11),0)</f>
        <v/>
      </c>
      <c r="N36">
        <f>IFERROR(INDEX(PP_Grid[#Data],$DD36,12),0)</f>
        <v/>
      </c>
      <c r="O36">
        <f>IFERROR(INDEX(PP_Grid[#Data],$DD36,13),0)</f>
        <v/>
      </c>
      <c r="P36">
        <f>IFERROR(INDEX(PP_Grid[#Data],$DD36,14),0)</f>
        <v/>
      </c>
      <c r="Q36">
        <f>IFERROR(INDEX(PP_Grid[#Data],$DD36,15),0)</f>
        <v/>
      </c>
      <c r="R36">
        <f>IFERROR(INDEX(PP_Grid[#Data],$DD36,16),0)</f>
        <v/>
      </c>
      <c r="S36">
        <f>IFERROR(INDEX(PP_Grid[#Data],$DD36,17),0)</f>
        <v/>
      </c>
      <c r="T36">
        <f>IFERROR(INDEX(PP_Grid[#Data],$DD36,18),0)</f>
        <v/>
      </c>
      <c r="U36">
        <f>IFERROR(INDEX(PP_Grid[#Data],$DD36,19),0)</f>
        <v/>
      </c>
      <c r="V36">
        <f>IFERROR(INDEX(PP_Grid[#Data],$DD36,20),0)</f>
        <v/>
      </c>
      <c r="W36">
        <f>IFERROR(INDEX(PP_Grid[#Data],$DD36,21),0)</f>
        <v/>
      </c>
      <c r="X36">
        <f>IFERROR(INDEX(PP_Grid[#Data],$DD36,22),0)</f>
        <v/>
      </c>
      <c r="Y36">
        <f>IFERROR(INDEX(PP_Grid[#Data],$DD36,23),0)</f>
        <v/>
      </c>
      <c r="Z36">
        <f>IFERROR(INDEX(PP_Grid[#Data],$DD36,24),0)</f>
        <v/>
      </c>
      <c r="AA36">
        <f>IFERROR(INDEX(PP_Grid[#Data],$DD36,25),0)</f>
        <v/>
      </c>
      <c r="AB36">
        <f>IFERROR(INDEX(PP_Grid[#Data],$DD36,26),0)</f>
        <v/>
      </c>
      <c r="AC36">
        <f>IFERROR(INDEX(PP_Grid[#Data],$DD36,27),0)</f>
        <v/>
      </c>
      <c r="AD36">
        <f>IFERROR(INDEX(PP_Grid[#Data],$DD36,28),0)</f>
        <v/>
      </c>
      <c r="AE36">
        <f>IFERROR(INDEX(PP_Grid[#Data],$DD36,29),0)</f>
        <v/>
      </c>
      <c r="AF36">
        <f>IFERROR(INDEX(PP_Grid[#Data],$DD36,30),0)</f>
        <v/>
      </c>
      <c r="AG36">
        <f>IFERROR(INDEX(PP_Grid[#Data],$DD36,31),0)</f>
        <v/>
      </c>
      <c r="AH36">
        <f>IFERROR(INDEX(PP_Grid[#Data],$DD36,32),0)</f>
        <v/>
      </c>
      <c r="AI36">
        <f>IFERROR(INDEX(PP_Grid[#Data],$DD36,33),0)</f>
        <v/>
      </c>
      <c r="AJ36">
        <f>IFERROR(INDEX(PP_Grid[#Data],$DD36,34),0)</f>
        <v/>
      </c>
      <c r="AK36">
        <f>IFERROR(INDEX(PP_Grid[#Data],$DD36,35),0)</f>
        <v/>
      </c>
      <c r="AL36">
        <f>IFERROR(INDEX(PP_Grid[#Data],$DD36,36),0)</f>
        <v/>
      </c>
      <c r="AM36">
        <f>IFERROR(INDEX(PP_Grid[#Data],$DD36,37),0)</f>
        <v/>
      </c>
      <c r="AN36">
        <f>IFERROR(INDEX(PP_Grid[#Data],$DD36,38),0)</f>
        <v/>
      </c>
      <c r="AO36">
        <f>IFERROR(INDEX(PP_Grid[#Data],$DD36,39),0)</f>
        <v/>
      </c>
      <c r="AP36">
        <f>IFERROR(INDEX(PP_Grid[#Data],$DD36,40),0)</f>
        <v/>
      </c>
      <c r="AQ36">
        <f>IFERROR(INDEX(PP_Grid[#Data],$DD36,41),0)</f>
        <v/>
      </c>
      <c r="AR36">
        <f>IFERROR(INDEX(PP_Grid[#Data],$DD36,42),0)</f>
        <v/>
      </c>
      <c r="AS36">
        <f>IFERROR(INDEX(PP_Grid[#Data],$DD36,43),0)</f>
        <v/>
      </c>
      <c r="AT36">
        <f>IFERROR(INDEX(PP_Grid[#Data],$DD36,44),0)</f>
        <v/>
      </c>
      <c r="AU36">
        <f>IFERROR(INDEX(PP_Grid[#Data],$DD36,45),0)</f>
        <v/>
      </c>
      <c r="AV36">
        <f>IFERROR(INDEX(PP_Grid[#Data],$DD36,46),0)</f>
        <v/>
      </c>
      <c r="AW36">
        <f>IFERROR(INDEX(PP_Grid[#Data],$DD36,47),0)</f>
        <v/>
      </c>
      <c r="AX36">
        <f>IFERROR(INDEX(PP_Grid[#Data],$DD36,48),0)</f>
        <v/>
      </c>
      <c r="AY36">
        <f>IFERROR(INDEX(PP_Grid[#Data],$DD36,49),0)</f>
        <v/>
      </c>
      <c r="AZ36">
        <f>IFERROR(INDEX(PP_Grid[#Data],$DD36,50),0)</f>
        <v/>
      </c>
      <c r="BA36">
        <f>IFERROR(INDEX(PP_Grid[#Data],$DD36,51),0)</f>
        <v/>
      </c>
      <c r="BB36">
        <f>IFERROR(INDEX(PP_Grid[#Data],$DD36,52),0)</f>
        <v/>
      </c>
      <c r="BC36">
        <f>IFERROR(INDEX(PP_Grid[#Data],$DD36,53),0)</f>
        <v/>
      </c>
      <c r="BD36">
        <f>IFERROR(INDEX(PP_Grid[#Data],$DD36,54),0)</f>
        <v/>
      </c>
      <c r="BE36">
        <f>IFERROR(INDEX(PP_Grid[#Data],$DD36,55),0)</f>
        <v/>
      </c>
      <c r="BF36">
        <f>IFERROR(INDEX(PP_Grid[#Data],$DD36,56),0)</f>
        <v/>
      </c>
      <c r="BG36">
        <f>IFERROR(INDEX(PP_Grid[#Data],$DD36,57),0)</f>
        <v/>
      </c>
      <c r="BH36">
        <f>IFERROR(INDEX(PP_Grid[#Data],$DD36,58),0)</f>
        <v/>
      </c>
      <c r="BI36">
        <f>IFERROR(INDEX(PP_Grid[#Data],$DD36,59),0)</f>
        <v/>
      </c>
      <c r="BJ36">
        <f>IFERROR(INDEX(PP_Grid[#Data],$DD36,60),0)</f>
        <v/>
      </c>
      <c r="BK36">
        <f>IFERROR(INDEX(PP_Grid[#Data],$DD36,61),0)</f>
        <v/>
      </c>
      <c r="BL36">
        <f>IFERROR(INDEX(PP_Grid[#Data],$DD36,62),0)</f>
        <v/>
      </c>
      <c r="BM36">
        <f>IFERROR(INDEX(PP_Grid[#Data],$DD36,63),0)</f>
        <v/>
      </c>
      <c r="BN36">
        <f>IFERROR(INDEX(PP_Grid[#Data],$DD36,64),0)</f>
        <v/>
      </c>
      <c r="BO36">
        <f>IFERROR(INDEX(PP_Grid[#Data],$DD36,65),0)</f>
        <v/>
      </c>
      <c r="BP36">
        <f>IFERROR(INDEX(PP_Grid[#Data],$DD36,66),0)</f>
        <v/>
      </c>
      <c r="BQ36">
        <f>IFERROR(INDEX(PP_Grid[#Data],$DD36,67),0)</f>
        <v/>
      </c>
      <c r="BR36">
        <f>IFERROR(INDEX(PP_Grid[#Data],$DD36,68),0)</f>
        <v/>
      </c>
      <c r="BS36">
        <f>IFERROR(INDEX(PP_Grid[#Data],$DD36,69),0)</f>
        <v/>
      </c>
      <c r="BT36">
        <f>IFERROR(INDEX(PP_Grid[#Data],$DD36,70),0)</f>
        <v/>
      </c>
      <c r="BU36">
        <f>IFERROR(INDEX(PP_Grid[#Data],$DD36,71),0)</f>
        <v/>
      </c>
      <c r="BV36">
        <f>IFERROR(INDEX(PP_Grid[#Data],$DD36,72),0)</f>
        <v/>
      </c>
      <c r="BW36">
        <f>IFERROR(INDEX(PP_Grid[#Data],$DD36,73),0)</f>
        <v/>
      </c>
      <c r="BX36">
        <f>IFERROR(INDEX(PP_Grid[#Data],$DD36,74),0)</f>
        <v/>
      </c>
      <c r="BY36">
        <f>IFERROR(INDEX(PP_Grid[#Data],$DD36,75),0)</f>
        <v/>
      </c>
      <c r="BZ36">
        <f>IFERROR(INDEX(PP_Grid[#Data],$DD36,76),0)</f>
        <v/>
      </c>
      <c r="CA36">
        <f>IFERROR(INDEX(PP_Grid[#Data],$DD36,77),0)</f>
        <v/>
      </c>
      <c r="CB36">
        <f>IFERROR(INDEX(PP_Grid[#Data],$DD36,78),0)</f>
        <v/>
      </c>
      <c r="CC36">
        <f>IFERROR(INDEX(PP_Grid[#Data],$DD36,79),0)</f>
        <v/>
      </c>
      <c r="CD36">
        <f>IFERROR(INDEX(PP_Grid[#Data],$DD36,80),0)</f>
        <v/>
      </c>
      <c r="CE36">
        <f>IFERROR(INDEX(PP_Grid[#Data],$DD36,81),0)</f>
        <v/>
      </c>
      <c r="CF36">
        <f>IFERROR(INDEX(PP_Grid[#Data],$DD36,82),0)</f>
        <v/>
      </c>
      <c r="CG36">
        <f>IFERROR(INDEX(PP_Grid[#Data],$DD36,83),0)</f>
        <v/>
      </c>
      <c r="CH36">
        <f>IFERROR(INDEX(PP_Grid[#Data],$DD36,84),0)</f>
        <v/>
      </c>
      <c r="CI36">
        <f>IFERROR(INDEX(PP_Grid[#Data],$DD36,85),0)</f>
        <v/>
      </c>
      <c r="CJ36">
        <f>IFERROR(INDEX(PP_Grid[#Data],$DD36,86),0)</f>
        <v/>
      </c>
      <c r="CK36">
        <f>IFERROR(INDEX(PP_Grid[#Data],$DD36,87),0)</f>
        <v/>
      </c>
      <c r="CL36">
        <f>IFERROR(INDEX(PP_Grid[#Data],$DD36,88),0)</f>
        <v/>
      </c>
      <c r="CM36">
        <f>IFERROR(INDEX(PP_Grid[#Data],$DD36,89),0)</f>
        <v/>
      </c>
      <c r="CN36">
        <f>IFERROR(INDEX(PP_Grid[#Data],$DD36,90),0)</f>
        <v/>
      </c>
      <c r="CO36">
        <f>IFERROR(INDEX(PP_Grid[#Data],$DD36,91),0)</f>
        <v/>
      </c>
      <c r="CP36">
        <f>IFERROR(INDEX(PP_Grid[#Data],$DD36,92),0)</f>
        <v/>
      </c>
      <c r="CQ36">
        <f>IFERROR(INDEX(PP_Grid[#Data],$DD36,93),0)</f>
        <v/>
      </c>
      <c r="CR36">
        <f>IFERROR(INDEX(PP_Grid[#Data],$DD36,94),0)</f>
        <v/>
      </c>
      <c r="CS36">
        <f>IFERROR(INDEX(PP_Grid[#Data],$DD36,95),0)</f>
        <v/>
      </c>
      <c r="CT36">
        <f>IFERROR(INDEX(PP_Grid[#Data],$DD36,96),0)</f>
        <v/>
      </c>
      <c r="CU36">
        <f>IFERROR(INDEX(PP_Grid[#Data],$DD36,97),0)</f>
        <v/>
      </c>
      <c r="CV36">
        <f>IFERROR(INDEX(PP_Grid[#Data],$DD36,98),0)</f>
        <v/>
      </c>
      <c r="CW36">
        <f>IFERROR(INDEX(PP_Grid[#Data],$DD36,99),0)</f>
        <v/>
      </c>
      <c r="CX36">
        <f>IFERROR(INDEX(PP_Grid[#Data],$DD36,100),0)</f>
        <v/>
      </c>
      <c r="CY36">
        <f>IFERROR(INDEX(PP_Grid[#Data],$DD36,101),0)</f>
        <v/>
      </c>
      <c r="CZ36">
        <f>IFERROR(INDEX(PP_Grid[#Data],$DD36,102),0)</f>
        <v/>
      </c>
      <c r="DA36">
        <f>IFERROR(INDEX(PP_Grid[#Data],$DD36,103),0)</f>
        <v/>
      </c>
      <c r="DB36">
        <f>IFERROR(INDEX(PP_Grid[#Data],$DD36,104),0)</f>
        <v/>
      </c>
      <c r="DC36">
        <f>IFERROR(INDEX(PP_Grid[#Data],$DD36,105),0)</f>
        <v/>
      </c>
      <c r="DD36" s="7">
        <f>IFERROR(MATCH($B36,PP_Grid[Intermediate],0),99999)</f>
        <v/>
      </c>
    </row>
    <row r="37">
      <c r="B37" t="inlineStr">
        <is>
          <t>使用量(kg)</t>
        </is>
      </c>
      <c r="C37">
        <f>SUMIFS(M_BOM[RM_Qty_Per_Batch],M_BOM[Intermediate],$B36,M_BOM[Part Name],$A7)</f>
        <v/>
      </c>
      <c r="D37">
        <f>$C37*D36</f>
        <v/>
      </c>
      <c r="E37">
        <f>$C37*E36</f>
        <v/>
      </c>
      <c r="F37">
        <f>$C37*F36</f>
        <v/>
      </c>
      <c r="G37">
        <f>$C37*G36</f>
        <v/>
      </c>
      <c r="H37">
        <f>$C37*H36</f>
        <v/>
      </c>
      <c r="I37">
        <f>$C37*I36</f>
        <v/>
      </c>
      <c r="J37">
        <f>$C37*J36</f>
        <v/>
      </c>
      <c r="K37">
        <f>$C37*K36</f>
        <v/>
      </c>
      <c r="L37">
        <f>$C37*L36</f>
        <v/>
      </c>
      <c r="M37">
        <f>$C37*M36</f>
        <v/>
      </c>
      <c r="N37">
        <f>$C37*N36</f>
        <v/>
      </c>
      <c r="O37">
        <f>$C37*O36</f>
        <v/>
      </c>
      <c r="P37">
        <f>$C37*P36</f>
        <v/>
      </c>
      <c r="Q37">
        <f>$C37*Q36</f>
        <v/>
      </c>
      <c r="R37">
        <f>$C37*R36</f>
        <v/>
      </c>
      <c r="S37">
        <f>$C37*S36</f>
        <v/>
      </c>
      <c r="T37">
        <f>$C37*T36</f>
        <v/>
      </c>
      <c r="U37">
        <f>$C37*U36</f>
        <v/>
      </c>
      <c r="V37">
        <f>$C37*V36</f>
        <v/>
      </c>
      <c r="W37">
        <f>$C37*W36</f>
        <v/>
      </c>
      <c r="X37">
        <f>$C37*X36</f>
        <v/>
      </c>
      <c r="Y37">
        <f>$C37*Y36</f>
        <v/>
      </c>
      <c r="Z37">
        <f>$C37*Z36</f>
        <v/>
      </c>
      <c r="AA37">
        <f>$C37*AA36</f>
        <v/>
      </c>
      <c r="AB37">
        <f>$C37*AB36</f>
        <v/>
      </c>
      <c r="AC37">
        <f>$C37*AC36</f>
        <v/>
      </c>
      <c r="AD37">
        <f>$C37*AD36</f>
        <v/>
      </c>
      <c r="AE37">
        <f>$C37*AE36</f>
        <v/>
      </c>
      <c r="AF37">
        <f>$C37*AF36</f>
        <v/>
      </c>
      <c r="AG37">
        <f>$C37*AG36</f>
        <v/>
      </c>
      <c r="AH37">
        <f>$C37*AH36</f>
        <v/>
      </c>
      <c r="AI37">
        <f>$C37*AI36</f>
        <v/>
      </c>
      <c r="AJ37">
        <f>$C37*AJ36</f>
        <v/>
      </c>
      <c r="AK37">
        <f>$C37*AK36</f>
        <v/>
      </c>
      <c r="AL37">
        <f>$C37*AL36</f>
        <v/>
      </c>
      <c r="AM37">
        <f>$C37*AM36</f>
        <v/>
      </c>
      <c r="AN37">
        <f>$C37*AN36</f>
        <v/>
      </c>
      <c r="AO37">
        <f>$C37*AO36</f>
        <v/>
      </c>
      <c r="AP37">
        <f>$C37*AP36</f>
        <v/>
      </c>
      <c r="AQ37">
        <f>$C37*AQ36</f>
        <v/>
      </c>
      <c r="AR37">
        <f>$C37*AR36</f>
        <v/>
      </c>
      <c r="AS37">
        <f>$C37*AS36</f>
        <v/>
      </c>
      <c r="AT37">
        <f>$C37*AT36</f>
        <v/>
      </c>
      <c r="AU37">
        <f>$C37*AU36</f>
        <v/>
      </c>
      <c r="AV37">
        <f>$C37*AV36</f>
        <v/>
      </c>
      <c r="AW37">
        <f>$C37*AW36</f>
        <v/>
      </c>
      <c r="AX37">
        <f>$C37*AX36</f>
        <v/>
      </c>
      <c r="AY37">
        <f>$C37*AY36</f>
        <v/>
      </c>
      <c r="AZ37">
        <f>$C37*AZ36</f>
        <v/>
      </c>
      <c r="BA37">
        <f>$C37*BA36</f>
        <v/>
      </c>
      <c r="BB37">
        <f>$C37*BB36</f>
        <v/>
      </c>
      <c r="BC37">
        <f>$C37*BC36</f>
        <v/>
      </c>
      <c r="BD37">
        <f>$C37*BD36</f>
        <v/>
      </c>
      <c r="BE37">
        <f>$C37*BE36</f>
        <v/>
      </c>
      <c r="BF37">
        <f>$C37*BF36</f>
        <v/>
      </c>
      <c r="BG37">
        <f>$C37*BG36</f>
        <v/>
      </c>
      <c r="BH37">
        <f>$C37*BH36</f>
        <v/>
      </c>
      <c r="BI37">
        <f>$C37*BI36</f>
        <v/>
      </c>
      <c r="BJ37">
        <f>$C37*BJ36</f>
        <v/>
      </c>
      <c r="BK37">
        <f>$C37*BK36</f>
        <v/>
      </c>
      <c r="BL37">
        <f>$C37*BL36</f>
        <v/>
      </c>
      <c r="BM37">
        <f>$C37*BM36</f>
        <v/>
      </c>
      <c r="BN37">
        <f>$C37*BN36</f>
        <v/>
      </c>
      <c r="BO37">
        <f>$C37*BO36</f>
        <v/>
      </c>
      <c r="BP37">
        <f>$C37*BP36</f>
        <v/>
      </c>
      <c r="BQ37">
        <f>$C37*BQ36</f>
        <v/>
      </c>
      <c r="BR37">
        <f>$C37*BR36</f>
        <v/>
      </c>
      <c r="BS37">
        <f>$C37*BS36</f>
        <v/>
      </c>
      <c r="BT37">
        <f>$C37*BT36</f>
        <v/>
      </c>
      <c r="BU37">
        <f>$C37*BU36</f>
        <v/>
      </c>
      <c r="BV37">
        <f>$C37*BV36</f>
        <v/>
      </c>
      <c r="BW37">
        <f>$C37*BW36</f>
        <v/>
      </c>
      <c r="BX37">
        <f>$C37*BX36</f>
        <v/>
      </c>
      <c r="BY37">
        <f>$C37*BY36</f>
        <v/>
      </c>
      <c r="BZ37">
        <f>$C37*BZ36</f>
        <v/>
      </c>
      <c r="CA37">
        <f>$C37*CA36</f>
        <v/>
      </c>
      <c r="CB37">
        <f>$C37*CB36</f>
        <v/>
      </c>
      <c r="CC37">
        <f>$C37*CC36</f>
        <v/>
      </c>
      <c r="CD37">
        <f>$C37*CD36</f>
        <v/>
      </c>
      <c r="CE37">
        <f>$C37*CE36</f>
        <v/>
      </c>
      <c r="CF37">
        <f>$C37*CF36</f>
        <v/>
      </c>
      <c r="CG37">
        <f>$C37*CG36</f>
        <v/>
      </c>
      <c r="CH37">
        <f>$C37*CH36</f>
        <v/>
      </c>
      <c r="CI37">
        <f>$C37*CI36</f>
        <v/>
      </c>
      <c r="CJ37">
        <f>$C37*CJ36</f>
        <v/>
      </c>
      <c r="CK37">
        <f>$C37*CK36</f>
        <v/>
      </c>
      <c r="CL37">
        <f>$C37*CL36</f>
        <v/>
      </c>
      <c r="CM37">
        <f>$C37*CM36</f>
        <v/>
      </c>
      <c r="CN37">
        <f>$C37*CN36</f>
        <v/>
      </c>
      <c r="CO37">
        <f>$C37*CO36</f>
        <v/>
      </c>
      <c r="CP37">
        <f>$C37*CP36</f>
        <v/>
      </c>
      <c r="CQ37">
        <f>$C37*CQ36</f>
        <v/>
      </c>
      <c r="CR37">
        <f>$C37*CR36</f>
        <v/>
      </c>
      <c r="CS37">
        <f>$C37*CS36</f>
        <v/>
      </c>
      <c r="CT37">
        <f>$C37*CT36</f>
        <v/>
      </c>
      <c r="CU37">
        <f>$C37*CU36</f>
        <v/>
      </c>
      <c r="CV37">
        <f>$C37*CV36</f>
        <v/>
      </c>
      <c r="CW37">
        <f>$C37*CW36</f>
        <v/>
      </c>
      <c r="CX37">
        <f>$C37*CX36</f>
        <v/>
      </c>
      <c r="CY37">
        <f>$C37*CY36</f>
        <v/>
      </c>
      <c r="CZ37">
        <f>$C37*CZ36</f>
        <v/>
      </c>
      <c r="DA37">
        <f>$C37*DA36</f>
        <v/>
      </c>
      <c r="DB37">
        <f>$C37*DB36</f>
        <v/>
      </c>
      <c r="DC37">
        <f>$C37*DC36</f>
        <v/>
      </c>
    </row>
    <row r="38">
      <c r="B38" s="4" t="inlineStr">
        <is>
          <t>合計使用量(kg)/週</t>
        </is>
      </c>
      <c r="D38">
        <f>'Grid_Requirement'!B2</f>
        <v/>
      </c>
      <c r="E38">
        <f>'Grid_Requirement'!C2</f>
        <v/>
      </c>
      <c r="F38">
        <f>'Grid_Requirement'!D2</f>
        <v/>
      </c>
      <c r="G38">
        <f>'Grid_Requirement'!E2</f>
        <v/>
      </c>
      <c r="H38">
        <f>'Grid_Requirement'!F2</f>
        <v/>
      </c>
      <c r="I38">
        <f>'Grid_Requirement'!G2</f>
        <v/>
      </c>
      <c r="J38">
        <f>'Grid_Requirement'!H2</f>
        <v/>
      </c>
      <c r="K38">
        <f>'Grid_Requirement'!I2</f>
        <v/>
      </c>
      <c r="L38">
        <f>'Grid_Requirement'!J2</f>
        <v/>
      </c>
      <c r="M38">
        <f>'Grid_Requirement'!K2</f>
        <v/>
      </c>
      <c r="N38">
        <f>'Grid_Requirement'!L2</f>
        <v/>
      </c>
      <c r="O38">
        <f>'Grid_Requirement'!M2</f>
        <v/>
      </c>
      <c r="P38">
        <f>'Grid_Requirement'!N2</f>
        <v/>
      </c>
      <c r="Q38">
        <f>'Grid_Requirement'!O2</f>
        <v/>
      </c>
      <c r="R38">
        <f>'Grid_Requirement'!P2</f>
        <v/>
      </c>
      <c r="S38">
        <f>'Grid_Requirement'!Q2</f>
        <v/>
      </c>
      <c r="T38">
        <f>'Grid_Requirement'!R2</f>
        <v/>
      </c>
      <c r="U38">
        <f>'Grid_Requirement'!S2</f>
        <v/>
      </c>
      <c r="V38">
        <f>'Grid_Requirement'!T2</f>
        <v/>
      </c>
      <c r="W38">
        <f>'Grid_Requirement'!U2</f>
        <v/>
      </c>
      <c r="X38">
        <f>'Grid_Requirement'!V2</f>
        <v/>
      </c>
      <c r="Y38">
        <f>'Grid_Requirement'!W2</f>
        <v/>
      </c>
      <c r="Z38">
        <f>'Grid_Requirement'!X2</f>
        <v/>
      </c>
      <c r="AA38">
        <f>'Grid_Requirement'!Y2</f>
        <v/>
      </c>
      <c r="AB38">
        <f>'Grid_Requirement'!Z2</f>
        <v/>
      </c>
      <c r="AC38">
        <f>'Grid_Requirement'!AA2</f>
        <v/>
      </c>
      <c r="AD38">
        <f>'Grid_Requirement'!AB2</f>
        <v/>
      </c>
      <c r="AE38">
        <f>'Grid_Requirement'!AC2</f>
        <v/>
      </c>
      <c r="AF38">
        <f>'Grid_Requirement'!AD2</f>
        <v/>
      </c>
      <c r="AG38">
        <f>'Grid_Requirement'!AE2</f>
        <v/>
      </c>
      <c r="AH38">
        <f>'Grid_Requirement'!AF2</f>
        <v/>
      </c>
      <c r="AI38">
        <f>'Grid_Requirement'!AG2</f>
        <v/>
      </c>
      <c r="AJ38">
        <f>'Grid_Requirement'!AH2</f>
        <v/>
      </c>
      <c r="AK38">
        <f>'Grid_Requirement'!AI2</f>
        <v/>
      </c>
      <c r="AL38">
        <f>'Grid_Requirement'!AJ2</f>
        <v/>
      </c>
      <c r="AM38">
        <f>'Grid_Requirement'!AK2</f>
        <v/>
      </c>
      <c r="AN38">
        <f>'Grid_Requirement'!AL2</f>
        <v/>
      </c>
      <c r="AO38">
        <f>'Grid_Requirement'!AM2</f>
        <v/>
      </c>
      <c r="AP38">
        <f>'Grid_Requirement'!AN2</f>
        <v/>
      </c>
      <c r="AQ38">
        <f>'Grid_Requirement'!AO2</f>
        <v/>
      </c>
      <c r="AR38">
        <f>'Grid_Requirement'!AP2</f>
        <v/>
      </c>
      <c r="AS38">
        <f>'Grid_Requirement'!AQ2</f>
        <v/>
      </c>
      <c r="AT38">
        <f>'Grid_Requirement'!AR2</f>
        <v/>
      </c>
      <c r="AU38">
        <f>'Grid_Requirement'!AS2</f>
        <v/>
      </c>
      <c r="AV38">
        <f>'Grid_Requirement'!AT2</f>
        <v/>
      </c>
      <c r="AW38">
        <f>'Grid_Requirement'!AU2</f>
        <v/>
      </c>
      <c r="AX38">
        <f>'Grid_Requirement'!AV2</f>
        <v/>
      </c>
      <c r="AY38">
        <f>'Grid_Requirement'!AW2</f>
        <v/>
      </c>
      <c r="AZ38">
        <f>'Grid_Requirement'!AX2</f>
        <v/>
      </c>
      <c r="BA38">
        <f>'Grid_Requirement'!AY2</f>
        <v/>
      </c>
      <c r="BB38">
        <f>'Grid_Requirement'!AZ2</f>
        <v/>
      </c>
      <c r="BC38">
        <f>'Grid_Requirement'!BA2</f>
        <v/>
      </c>
      <c r="BD38">
        <f>'Grid_Requirement'!BB2</f>
        <v/>
      </c>
      <c r="BE38">
        <f>'Grid_Requirement'!BC2</f>
        <v/>
      </c>
      <c r="BF38">
        <f>'Grid_Requirement'!BD2</f>
        <v/>
      </c>
      <c r="BG38">
        <f>'Grid_Requirement'!BE2</f>
        <v/>
      </c>
      <c r="BH38">
        <f>'Grid_Requirement'!BF2</f>
        <v/>
      </c>
      <c r="BI38">
        <f>'Grid_Requirement'!BG2</f>
        <v/>
      </c>
      <c r="BJ38">
        <f>'Grid_Requirement'!BH2</f>
        <v/>
      </c>
      <c r="BK38">
        <f>'Grid_Requirement'!BI2</f>
        <v/>
      </c>
      <c r="BL38">
        <f>'Grid_Requirement'!BJ2</f>
        <v/>
      </c>
      <c r="BM38">
        <f>'Grid_Requirement'!BK2</f>
        <v/>
      </c>
      <c r="BN38">
        <f>'Grid_Requirement'!BL2</f>
        <v/>
      </c>
      <c r="BO38">
        <f>'Grid_Requirement'!BM2</f>
        <v/>
      </c>
      <c r="BP38">
        <f>'Grid_Requirement'!BN2</f>
        <v/>
      </c>
      <c r="BQ38">
        <f>'Grid_Requirement'!BO2</f>
        <v/>
      </c>
      <c r="BR38">
        <f>'Grid_Requirement'!BP2</f>
        <v/>
      </c>
      <c r="BS38">
        <f>'Grid_Requirement'!BQ2</f>
        <v/>
      </c>
      <c r="BT38">
        <f>'Grid_Requirement'!BR2</f>
        <v/>
      </c>
      <c r="BU38">
        <f>'Grid_Requirement'!BS2</f>
        <v/>
      </c>
      <c r="BV38">
        <f>'Grid_Requirement'!BT2</f>
        <v/>
      </c>
      <c r="BW38">
        <f>'Grid_Requirement'!BU2</f>
        <v/>
      </c>
      <c r="BX38">
        <f>'Grid_Requirement'!BV2</f>
        <v/>
      </c>
      <c r="BY38">
        <f>'Grid_Requirement'!BW2</f>
        <v/>
      </c>
      <c r="BZ38">
        <f>'Grid_Requirement'!BX2</f>
        <v/>
      </c>
      <c r="CA38">
        <f>'Grid_Requirement'!BY2</f>
        <v/>
      </c>
      <c r="CB38">
        <f>'Grid_Requirement'!BZ2</f>
        <v/>
      </c>
      <c r="CC38">
        <f>'Grid_Requirement'!CA2</f>
        <v/>
      </c>
      <c r="CD38">
        <f>'Grid_Requirement'!CB2</f>
        <v/>
      </c>
      <c r="CE38">
        <f>'Grid_Requirement'!CC2</f>
        <v/>
      </c>
      <c r="CF38">
        <f>'Grid_Requirement'!CD2</f>
        <v/>
      </c>
      <c r="CG38">
        <f>'Grid_Requirement'!CE2</f>
        <v/>
      </c>
      <c r="CH38">
        <f>'Grid_Requirement'!CF2</f>
        <v/>
      </c>
      <c r="CI38">
        <f>'Grid_Requirement'!CG2</f>
        <v/>
      </c>
      <c r="CJ38">
        <f>'Grid_Requirement'!CH2</f>
        <v/>
      </c>
      <c r="CK38">
        <f>'Grid_Requirement'!CI2</f>
        <v/>
      </c>
      <c r="CL38">
        <f>'Grid_Requirement'!CJ2</f>
        <v/>
      </c>
      <c r="CM38">
        <f>'Grid_Requirement'!CK2</f>
        <v/>
      </c>
      <c r="CN38">
        <f>'Grid_Requirement'!CL2</f>
        <v/>
      </c>
      <c r="CO38">
        <f>'Grid_Requirement'!CM2</f>
        <v/>
      </c>
      <c r="CP38">
        <f>'Grid_Requirement'!CN2</f>
        <v/>
      </c>
      <c r="CQ38">
        <f>'Grid_Requirement'!CO2</f>
        <v/>
      </c>
      <c r="CR38">
        <f>'Grid_Requirement'!CP2</f>
        <v/>
      </c>
      <c r="CS38">
        <f>'Grid_Requirement'!CQ2</f>
        <v/>
      </c>
      <c r="CT38">
        <f>'Grid_Requirement'!CR2</f>
        <v/>
      </c>
      <c r="CU38">
        <f>'Grid_Requirement'!CS2</f>
        <v/>
      </c>
      <c r="CV38">
        <f>'Grid_Requirement'!CT2</f>
        <v/>
      </c>
      <c r="CW38">
        <f>'Grid_Requirement'!CU2</f>
        <v/>
      </c>
      <c r="CX38">
        <f>'Grid_Requirement'!CV2</f>
        <v/>
      </c>
      <c r="CY38">
        <f>'Grid_Requirement'!CW2</f>
        <v/>
      </c>
      <c r="CZ38">
        <f>'Grid_Requirement'!CX2</f>
        <v/>
      </c>
      <c r="DA38">
        <f>'Grid_Requirement'!CY2</f>
        <v/>
      </c>
      <c r="DB38">
        <f>'Grid_Requirement'!CZ2</f>
        <v/>
      </c>
      <c r="DC38">
        <f>'Grid_Requirement'!DA2</f>
        <v/>
      </c>
    </row>
    <row r="39">
      <c r="B39" t="inlineStr">
        <is>
          <t>TTAF在庫(実績,kg)</t>
        </is>
      </c>
      <c r="D39">
        <f>'T_TTAFStock'!B6</f>
        <v/>
      </c>
      <c r="E39">
        <f>'T_TTAFStock'!C6</f>
        <v/>
      </c>
      <c r="F39">
        <f>'T_TTAFStock'!D6</f>
        <v/>
      </c>
      <c r="G39">
        <f>'T_TTAFStock'!E6</f>
        <v/>
      </c>
      <c r="H39">
        <f>'T_TTAFStock'!F6</f>
        <v/>
      </c>
      <c r="I39">
        <f>'T_TTAFStock'!G6</f>
        <v/>
      </c>
      <c r="J39">
        <f>'T_TTAFStock'!H6</f>
        <v/>
      </c>
      <c r="K39">
        <f>'T_TTAFStock'!I6</f>
        <v/>
      </c>
      <c r="L39">
        <f>'T_TTAFStock'!J6</f>
        <v/>
      </c>
      <c r="M39">
        <f>'T_TTAFStock'!K6</f>
        <v/>
      </c>
      <c r="N39">
        <f>'T_TTAFStock'!L6</f>
        <v/>
      </c>
      <c r="O39">
        <f>'T_TTAFStock'!M6</f>
        <v/>
      </c>
      <c r="P39">
        <f>'T_TTAFStock'!N6</f>
        <v/>
      </c>
      <c r="Q39">
        <f>'T_TTAFStock'!O6</f>
        <v/>
      </c>
      <c r="R39">
        <f>'T_TTAFStock'!P6</f>
        <v/>
      </c>
      <c r="S39">
        <f>'T_TTAFStock'!Q6</f>
        <v/>
      </c>
      <c r="T39">
        <f>'T_TTAFStock'!R6</f>
        <v/>
      </c>
      <c r="U39">
        <f>'T_TTAFStock'!S6</f>
        <v/>
      </c>
      <c r="V39">
        <f>'T_TTAFStock'!T6</f>
        <v/>
      </c>
      <c r="W39">
        <f>'T_TTAFStock'!U6</f>
        <v/>
      </c>
      <c r="X39">
        <f>'T_TTAFStock'!V6</f>
        <v/>
      </c>
      <c r="Y39">
        <f>'T_TTAFStock'!W6</f>
        <v/>
      </c>
      <c r="Z39">
        <f>'T_TTAFStock'!X6</f>
        <v/>
      </c>
      <c r="AA39">
        <f>'T_TTAFStock'!Y6</f>
        <v/>
      </c>
      <c r="AB39">
        <f>'T_TTAFStock'!Z6</f>
        <v/>
      </c>
      <c r="AC39">
        <f>'T_TTAFStock'!AA6</f>
        <v/>
      </c>
      <c r="AD39">
        <f>'T_TTAFStock'!AB6</f>
        <v/>
      </c>
      <c r="AE39">
        <f>'T_TTAFStock'!AC6</f>
        <v/>
      </c>
      <c r="AF39">
        <f>'T_TTAFStock'!AD6</f>
        <v/>
      </c>
      <c r="AG39">
        <f>'T_TTAFStock'!AE6</f>
        <v/>
      </c>
      <c r="AH39">
        <f>'T_TTAFStock'!AF6</f>
        <v/>
      </c>
      <c r="AI39">
        <f>'T_TTAFStock'!AG6</f>
        <v/>
      </c>
      <c r="AJ39">
        <f>'T_TTAFStock'!AH6</f>
        <v/>
      </c>
      <c r="AK39">
        <f>'T_TTAFStock'!AI6</f>
        <v/>
      </c>
      <c r="AL39">
        <f>'T_TTAFStock'!AJ6</f>
        <v/>
      </c>
      <c r="AM39">
        <f>'T_TTAFStock'!AK6</f>
        <v/>
      </c>
      <c r="AN39">
        <f>'T_TTAFStock'!AL6</f>
        <v/>
      </c>
      <c r="AO39">
        <f>'T_TTAFStock'!AM6</f>
        <v/>
      </c>
      <c r="AP39">
        <f>'T_TTAFStock'!AN6</f>
        <v/>
      </c>
      <c r="AQ39">
        <f>'T_TTAFStock'!AO6</f>
        <v/>
      </c>
      <c r="AR39">
        <f>'T_TTAFStock'!AP6</f>
        <v/>
      </c>
      <c r="AS39">
        <f>'T_TTAFStock'!AQ6</f>
        <v/>
      </c>
      <c r="AT39">
        <f>'T_TTAFStock'!AR6</f>
        <v/>
      </c>
      <c r="AU39">
        <f>'T_TTAFStock'!AS6</f>
        <v/>
      </c>
      <c r="AV39">
        <f>'T_TTAFStock'!AT6</f>
        <v/>
      </c>
      <c r="AW39">
        <f>'T_TTAFStock'!AU6</f>
        <v/>
      </c>
      <c r="AX39">
        <f>'T_TTAFStock'!AV6</f>
        <v/>
      </c>
      <c r="AY39">
        <f>'T_TTAFStock'!AW6</f>
        <v/>
      </c>
      <c r="AZ39">
        <f>'T_TTAFStock'!AX6</f>
        <v/>
      </c>
      <c r="BA39">
        <f>'T_TTAFStock'!AY6</f>
        <v/>
      </c>
      <c r="BB39">
        <f>'T_TTAFStock'!AZ6</f>
        <v/>
      </c>
      <c r="BC39">
        <f>'T_TTAFStock'!BA6</f>
        <v/>
      </c>
      <c r="BD39">
        <f>'T_TTAFStock'!BB6</f>
        <v/>
      </c>
      <c r="BE39">
        <f>'T_TTAFStock'!BC6</f>
        <v/>
      </c>
      <c r="BF39">
        <f>'T_TTAFStock'!BD6</f>
        <v/>
      </c>
      <c r="BG39">
        <f>'T_TTAFStock'!BE6</f>
        <v/>
      </c>
      <c r="BH39">
        <f>'T_TTAFStock'!BF6</f>
        <v/>
      </c>
      <c r="BI39">
        <f>'T_TTAFStock'!BG6</f>
        <v/>
      </c>
      <c r="BJ39">
        <f>'T_TTAFStock'!BH6</f>
        <v/>
      </c>
      <c r="BK39">
        <f>'T_TTAFStock'!BI6</f>
        <v/>
      </c>
      <c r="BL39">
        <f>'T_TTAFStock'!BJ6</f>
        <v/>
      </c>
      <c r="BM39">
        <f>'T_TTAFStock'!BK6</f>
        <v/>
      </c>
      <c r="BN39">
        <f>'T_TTAFStock'!BL6</f>
        <v/>
      </c>
      <c r="BO39">
        <f>'T_TTAFStock'!BM6</f>
        <v/>
      </c>
      <c r="BP39">
        <f>'T_TTAFStock'!BN6</f>
        <v/>
      </c>
      <c r="BQ39">
        <f>'T_TTAFStock'!BO6</f>
        <v/>
      </c>
      <c r="BR39">
        <f>'T_TTAFStock'!BP6</f>
        <v/>
      </c>
      <c r="BS39">
        <f>'T_TTAFStock'!BQ6</f>
        <v/>
      </c>
      <c r="BT39">
        <f>'T_TTAFStock'!BR6</f>
        <v/>
      </c>
      <c r="BU39">
        <f>'T_TTAFStock'!BS6</f>
        <v/>
      </c>
      <c r="BV39">
        <f>'T_TTAFStock'!BT6</f>
        <v/>
      </c>
      <c r="BW39">
        <f>'T_TTAFStock'!BU6</f>
        <v/>
      </c>
      <c r="BX39">
        <f>'T_TTAFStock'!BV6</f>
        <v/>
      </c>
      <c r="BY39">
        <f>'T_TTAFStock'!BW6</f>
        <v/>
      </c>
      <c r="BZ39">
        <f>'T_TTAFStock'!BX6</f>
        <v/>
      </c>
      <c r="CA39">
        <f>'T_TTAFStock'!BY6</f>
        <v/>
      </c>
      <c r="CB39">
        <f>'T_TTAFStock'!BZ6</f>
        <v/>
      </c>
      <c r="CC39">
        <f>'T_TTAFStock'!CA6</f>
        <v/>
      </c>
      <c r="CD39">
        <f>'T_TTAFStock'!CB6</f>
        <v/>
      </c>
      <c r="CE39">
        <f>'T_TTAFStock'!CC6</f>
        <v/>
      </c>
      <c r="CF39">
        <f>'T_TTAFStock'!CD6</f>
        <v/>
      </c>
      <c r="CG39">
        <f>'T_TTAFStock'!CE6</f>
        <v/>
      </c>
      <c r="CH39">
        <f>'T_TTAFStock'!CF6</f>
        <v/>
      </c>
      <c r="CI39">
        <f>'T_TTAFStock'!CG6</f>
        <v/>
      </c>
      <c r="CJ39">
        <f>'T_TTAFStock'!CH6</f>
        <v/>
      </c>
      <c r="CK39">
        <f>'T_TTAFStock'!CI6</f>
        <v/>
      </c>
      <c r="CL39">
        <f>'T_TTAFStock'!CJ6</f>
        <v/>
      </c>
      <c r="CM39">
        <f>'T_TTAFStock'!CK6</f>
        <v/>
      </c>
      <c r="CN39">
        <f>'T_TTAFStock'!CL6</f>
        <v/>
      </c>
      <c r="CO39">
        <f>'T_TTAFStock'!CM6</f>
        <v/>
      </c>
      <c r="CP39">
        <f>'T_TTAFStock'!CN6</f>
        <v/>
      </c>
      <c r="CQ39">
        <f>'T_TTAFStock'!CO6</f>
        <v/>
      </c>
      <c r="CR39">
        <f>'T_TTAFStock'!CP6</f>
        <v/>
      </c>
      <c r="CS39">
        <f>'T_TTAFStock'!CQ6</f>
        <v/>
      </c>
      <c r="CT39">
        <f>'T_TTAFStock'!CR6</f>
        <v/>
      </c>
      <c r="CU39">
        <f>'T_TTAFStock'!CS6</f>
        <v/>
      </c>
      <c r="CV39">
        <f>'T_TTAFStock'!CT6</f>
        <v/>
      </c>
      <c r="CW39">
        <f>'T_TTAFStock'!CU6</f>
        <v/>
      </c>
      <c r="CX39">
        <f>'T_TTAFStock'!CV6</f>
        <v/>
      </c>
      <c r="CY39">
        <f>'T_TTAFStock'!CW6</f>
        <v/>
      </c>
      <c r="CZ39">
        <f>'T_TTAFStock'!CX6</f>
        <v/>
      </c>
      <c r="DA39">
        <f>'T_TTAFStock'!CY6</f>
        <v/>
      </c>
      <c r="DB39">
        <f>'T_TTAFStock'!CZ6</f>
        <v/>
      </c>
      <c r="DC39">
        <f>'T_TTAFStock'!DA6</f>
        <v/>
      </c>
    </row>
    <row r="40">
      <c r="B40" t="inlineStr">
        <is>
          <t>自社在庫(実績,kg)</t>
        </is>
      </c>
      <c r="D40">
        <f>'T_SelfStock'!B6</f>
        <v/>
      </c>
      <c r="E40">
        <f>'T_SelfStock'!C6</f>
        <v/>
      </c>
      <c r="F40">
        <f>'T_SelfStock'!D6</f>
        <v/>
      </c>
      <c r="G40">
        <f>'T_SelfStock'!E6</f>
        <v/>
      </c>
      <c r="H40">
        <f>'T_SelfStock'!F6</f>
        <v/>
      </c>
      <c r="I40">
        <f>'T_SelfStock'!G6</f>
        <v/>
      </c>
      <c r="J40">
        <f>'T_SelfStock'!H6</f>
        <v/>
      </c>
      <c r="K40">
        <f>'T_SelfStock'!I6</f>
        <v/>
      </c>
      <c r="L40">
        <f>'T_SelfStock'!J6</f>
        <v/>
      </c>
      <c r="M40">
        <f>'T_SelfStock'!K6</f>
        <v/>
      </c>
      <c r="N40">
        <f>'T_SelfStock'!L6</f>
        <v/>
      </c>
      <c r="O40">
        <f>'T_SelfStock'!M6</f>
        <v/>
      </c>
      <c r="P40">
        <f>'T_SelfStock'!N6</f>
        <v/>
      </c>
      <c r="Q40">
        <f>'T_SelfStock'!O6</f>
        <v/>
      </c>
      <c r="R40">
        <f>'T_SelfStock'!P6</f>
        <v/>
      </c>
      <c r="S40">
        <f>'T_SelfStock'!Q6</f>
        <v/>
      </c>
      <c r="T40">
        <f>'T_SelfStock'!R6</f>
        <v/>
      </c>
      <c r="U40">
        <f>'T_SelfStock'!S6</f>
        <v/>
      </c>
      <c r="V40">
        <f>'T_SelfStock'!T6</f>
        <v/>
      </c>
      <c r="W40">
        <f>'T_SelfStock'!U6</f>
        <v/>
      </c>
      <c r="X40">
        <f>'T_SelfStock'!V6</f>
        <v/>
      </c>
      <c r="Y40">
        <f>'T_SelfStock'!W6</f>
        <v/>
      </c>
      <c r="Z40">
        <f>'T_SelfStock'!X6</f>
        <v/>
      </c>
      <c r="AA40">
        <f>'T_SelfStock'!Y6</f>
        <v/>
      </c>
      <c r="AB40">
        <f>'T_SelfStock'!Z6</f>
        <v/>
      </c>
      <c r="AC40">
        <f>'T_SelfStock'!AA6</f>
        <v/>
      </c>
      <c r="AD40">
        <f>'T_SelfStock'!AB6</f>
        <v/>
      </c>
      <c r="AE40">
        <f>'T_SelfStock'!AC6</f>
        <v/>
      </c>
      <c r="AF40">
        <f>'T_SelfStock'!AD6</f>
        <v/>
      </c>
      <c r="AG40">
        <f>'T_SelfStock'!AE6</f>
        <v/>
      </c>
      <c r="AH40">
        <f>'T_SelfStock'!AF6</f>
        <v/>
      </c>
      <c r="AI40">
        <f>'T_SelfStock'!AG6</f>
        <v/>
      </c>
      <c r="AJ40">
        <f>'T_SelfStock'!AH6</f>
        <v/>
      </c>
      <c r="AK40">
        <f>'T_SelfStock'!AI6</f>
        <v/>
      </c>
      <c r="AL40">
        <f>'T_SelfStock'!AJ6</f>
        <v/>
      </c>
      <c r="AM40">
        <f>'T_SelfStock'!AK6</f>
        <v/>
      </c>
      <c r="AN40">
        <f>'T_SelfStock'!AL6</f>
        <v/>
      </c>
      <c r="AO40">
        <f>'T_SelfStock'!AM6</f>
        <v/>
      </c>
      <c r="AP40">
        <f>'T_SelfStock'!AN6</f>
        <v/>
      </c>
      <c r="AQ40">
        <f>'T_SelfStock'!AO6</f>
        <v/>
      </c>
      <c r="AR40">
        <f>'T_SelfStock'!AP6</f>
        <v/>
      </c>
      <c r="AS40">
        <f>'T_SelfStock'!AQ6</f>
        <v/>
      </c>
      <c r="AT40">
        <f>'T_SelfStock'!AR6</f>
        <v/>
      </c>
      <c r="AU40">
        <f>'T_SelfStock'!AS6</f>
        <v/>
      </c>
      <c r="AV40">
        <f>'T_SelfStock'!AT6</f>
        <v/>
      </c>
      <c r="AW40">
        <f>'T_SelfStock'!AU6</f>
        <v/>
      </c>
      <c r="AX40">
        <f>'T_SelfStock'!AV6</f>
        <v/>
      </c>
      <c r="AY40">
        <f>'T_SelfStock'!AW6</f>
        <v/>
      </c>
      <c r="AZ40">
        <f>'T_SelfStock'!AX6</f>
        <v/>
      </c>
      <c r="BA40">
        <f>'T_SelfStock'!AY6</f>
        <v/>
      </c>
      <c r="BB40">
        <f>'T_SelfStock'!AZ6</f>
        <v/>
      </c>
      <c r="BC40">
        <f>'T_SelfStock'!BA6</f>
        <v/>
      </c>
      <c r="BD40">
        <f>'T_SelfStock'!BB6</f>
        <v/>
      </c>
      <c r="BE40">
        <f>'T_SelfStock'!BC6</f>
        <v/>
      </c>
      <c r="BF40">
        <f>'T_SelfStock'!BD6</f>
        <v/>
      </c>
      <c r="BG40">
        <f>'T_SelfStock'!BE6</f>
        <v/>
      </c>
      <c r="BH40">
        <f>'T_SelfStock'!BF6</f>
        <v/>
      </c>
      <c r="BI40">
        <f>'T_SelfStock'!BG6</f>
        <v/>
      </c>
      <c r="BJ40">
        <f>'T_SelfStock'!BH6</f>
        <v/>
      </c>
      <c r="BK40">
        <f>'T_SelfStock'!BI6</f>
        <v/>
      </c>
      <c r="BL40">
        <f>'T_SelfStock'!BJ6</f>
        <v/>
      </c>
      <c r="BM40">
        <f>'T_SelfStock'!BK6</f>
        <v/>
      </c>
      <c r="BN40">
        <f>'T_SelfStock'!BL6</f>
        <v/>
      </c>
      <c r="BO40">
        <f>'T_SelfStock'!BM6</f>
        <v/>
      </c>
      <c r="BP40">
        <f>'T_SelfStock'!BN6</f>
        <v/>
      </c>
      <c r="BQ40">
        <f>'T_SelfStock'!BO6</f>
        <v/>
      </c>
      <c r="BR40">
        <f>'T_SelfStock'!BP6</f>
        <v/>
      </c>
      <c r="BS40">
        <f>'T_SelfStock'!BQ6</f>
        <v/>
      </c>
      <c r="BT40">
        <f>'T_SelfStock'!BR6</f>
        <v/>
      </c>
      <c r="BU40">
        <f>'T_SelfStock'!BS6</f>
        <v/>
      </c>
      <c r="BV40">
        <f>'T_SelfStock'!BT6</f>
        <v/>
      </c>
      <c r="BW40">
        <f>'T_SelfStock'!BU6</f>
        <v/>
      </c>
      <c r="BX40">
        <f>'T_SelfStock'!BV6</f>
        <v/>
      </c>
      <c r="BY40">
        <f>'T_SelfStock'!BW6</f>
        <v/>
      </c>
      <c r="BZ40">
        <f>'T_SelfStock'!BX6</f>
        <v/>
      </c>
      <c r="CA40">
        <f>'T_SelfStock'!BY6</f>
        <v/>
      </c>
      <c r="CB40">
        <f>'T_SelfStock'!BZ6</f>
        <v/>
      </c>
      <c r="CC40">
        <f>'T_SelfStock'!CA6</f>
        <v/>
      </c>
      <c r="CD40">
        <f>'T_SelfStock'!CB6</f>
        <v/>
      </c>
      <c r="CE40">
        <f>'T_SelfStock'!CC6</f>
        <v/>
      </c>
      <c r="CF40">
        <f>'T_SelfStock'!CD6</f>
        <v/>
      </c>
      <c r="CG40">
        <f>'T_SelfStock'!CE6</f>
        <v/>
      </c>
      <c r="CH40">
        <f>'T_SelfStock'!CF6</f>
        <v/>
      </c>
      <c r="CI40">
        <f>'T_SelfStock'!CG6</f>
        <v/>
      </c>
      <c r="CJ40">
        <f>'T_SelfStock'!CH6</f>
        <v/>
      </c>
      <c r="CK40">
        <f>'T_SelfStock'!CI6</f>
        <v/>
      </c>
      <c r="CL40">
        <f>'T_SelfStock'!CJ6</f>
        <v/>
      </c>
      <c r="CM40">
        <f>'T_SelfStock'!CK6</f>
        <v/>
      </c>
      <c r="CN40">
        <f>'T_SelfStock'!CL6</f>
        <v/>
      </c>
      <c r="CO40">
        <f>'T_SelfStock'!CM6</f>
        <v/>
      </c>
      <c r="CP40">
        <f>'T_SelfStock'!CN6</f>
        <v/>
      </c>
      <c r="CQ40">
        <f>'T_SelfStock'!CO6</f>
        <v/>
      </c>
      <c r="CR40">
        <f>'T_SelfStock'!CP6</f>
        <v/>
      </c>
      <c r="CS40">
        <f>'T_SelfStock'!CQ6</f>
        <v/>
      </c>
      <c r="CT40">
        <f>'T_SelfStock'!CR6</f>
        <v/>
      </c>
      <c r="CU40">
        <f>'T_SelfStock'!CS6</f>
        <v/>
      </c>
      <c r="CV40">
        <f>'T_SelfStock'!CT6</f>
        <v/>
      </c>
      <c r="CW40">
        <f>'T_SelfStock'!CU6</f>
        <v/>
      </c>
      <c r="CX40">
        <f>'T_SelfStock'!CV6</f>
        <v/>
      </c>
      <c r="CY40">
        <f>'T_SelfStock'!CW6</f>
        <v/>
      </c>
      <c r="CZ40">
        <f>'T_SelfStock'!CX6</f>
        <v/>
      </c>
      <c r="DA40">
        <f>'T_SelfStock'!CY6</f>
        <v/>
      </c>
      <c r="DB40">
        <f>'T_SelfStock'!CZ6</f>
        <v/>
      </c>
      <c r="DC40">
        <f>'T_SelfStock'!DA6</f>
        <v/>
      </c>
    </row>
    <row r="41">
      <c r="B41" s="4" t="inlineStr">
        <is>
          <t>合計在庫(週末時点,kg)</t>
        </is>
      </c>
      <c r="D41">
        <f>'Grid_Stock'!B2</f>
        <v/>
      </c>
      <c r="E41">
        <f>'Grid_Stock'!C2</f>
        <v/>
      </c>
      <c r="F41">
        <f>'Grid_Stock'!D2</f>
        <v/>
      </c>
      <c r="G41">
        <f>'Grid_Stock'!E2</f>
        <v/>
      </c>
      <c r="H41">
        <f>'Grid_Stock'!F2</f>
        <v/>
      </c>
      <c r="I41">
        <f>'Grid_Stock'!G2</f>
        <v/>
      </c>
      <c r="J41">
        <f>'Grid_Stock'!H2</f>
        <v/>
      </c>
      <c r="K41">
        <f>'Grid_Stock'!I2</f>
        <v/>
      </c>
      <c r="L41">
        <f>'Grid_Stock'!J2</f>
        <v/>
      </c>
      <c r="M41">
        <f>'Grid_Stock'!K2</f>
        <v/>
      </c>
      <c r="N41">
        <f>'Grid_Stock'!L2</f>
        <v/>
      </c>
      <c r="O41">
        <f>'Grid_Stock'!M2</f>
        <v/>
      </c>
      <c r="P41">
        <f>'Grid_Stock'!N2</f>
        <v/>
      </c>
      <c r="Q41">
        <f>'Grid_Stock'!O2</f>
        <v/>
      </c>
      <c r="R41">
        <f>'Grid_Stock'!P2</f>
        <v/>
      </c>
      <c r="S41">
        <f>'Grid_Stock'!Q2</f>
        <v/>
      </c>
      <c r="T41">
        <f>'Grid_Stock'!R2</f>
        <v/>
      </c>
      <c r="U41">
        <f>'Grid_Stock'!S2</f>
        <v/>
      </c>
      <c r="V41">
        <f>'Grid_Stock'!T2</f>
        <v/>
      </c>
      <c r="W41">
        <f>'Grid_Stock'!U2</f>
        <v/>
      </c>
      <c r="X41">
        <f>'Grid_Stock'!V2</f>
        <v/>
      </c>
      <c r="Y41">
        <f>'Grid_Stock'!W2</f>
        <v/>
      </c>
      <c r="Z41">
        <f>'Grid_Stock'!X2</f>
        <v/>
      </c>
      <c r="AA41">
        <f>'Grid_Stock'!Y2</f>
        <v/>
      </c>
      <c r="AB41">
        <f>'Grid_Stock'!Z2</f>
        <v/>
      </c>
      <c r="AC41">
        <f>'Grid_Stock'!AA2</f>
        <v/>
      </c>
      <c r="AD41">
        <f>'Grid_Stock'!AB2</f>
        <v/>
      </c>
      <c r="AE41">
        <f>'Grid_Stock'!AC2</f>
        <v/>
      </c>
      <c r="AF41">
        <f>'Grid_Stock'!AD2</f>
        <v/>
      </c>
      <c r="AG41">
        <f>'Grid_Stock'!AE2</f>
        <v/>
      </c>
      <c r="AH41">
        <f>'Grid_Stock'!AF2</f>
        <v/>
      </c>
      <c r="AI41">
        <f>'Grid_Stock'!AG2</f>
        <v/>
      </c>
      <c r="AJ41">
        <f>'Grid_Stock'!AH2</f>
        <v/>
      </c>
      <c r="AK41">
        <f>'Grid_Stock'!AI2</f>
        <v/>
      </c>
      <c r="AL41">
        <f>'Grid_Stock'!AJ2</f>
        <v/>
      </c>
      <c r="AM41">
        <f>'Grid_Stock'!AK2</f>
        <v/>
      </c>
      <c r="AN41">
        <f>'Grid_Stock'!AL2</f>
        <v/>
      </c>
      <c r="AO41">
        <f>'Grid_Stock'!AM2</f>
        <v/>
      </c>
      <c r="AP41">
        <f>'Grid_Stock'!AN2</f>
        <v/>
      </c>
      <c r="AQ41">
        <f>'Grid_Stock'!AO2</f>
        <v/>
      </c>
      <c r="AR41">
        <f>'Grid_Stock'!AP2</f>
        <v/>
      </c>
      <c r="AS41">
        <f>'Grid_Stock'!AQ2</f>
        <v/>
      </c>
      <c r="AT41">
        <f>'Grid_Stock'!AR2</f>
        <v/>
      </c>
      <c r="AU41">
        <f>'Grid_Stock'!AS2</f>
        <v/>
      </c>
      <c r="AV41">
        <f>'Grid_Stock'!AT2</f>
        <v/>
      </c>
      <c r="AW41">
        <f>'Grid_Stock'!AU2</f>
        <v/>
      </c>
      <c r="AX41">
        <f>'Grid_Stock'!AV2</f>
        <v/>
      </c>
      <c r="AY41">
        <f>'Grid_Stock'!AW2</f>
        <v/>
      </c>
      <c r="AZ41">
        <f>'Grid_Stock'!AX2</f>
        <v/>
      </c>
      <c r="BA41">
        <f>'Grid_Stock'!AY2</f>
        <v/>
      </c>
      <c r="BB41">
        <f>'Grid_Stock'!AZ2</f>
        <v/>
      </c>
      <c r="BC41">
        <f>'Grid_Stock'!BA2</f>
        <v/>
      </c>
      <c r="BD41">
        <f>'Grid_Stock'!BB2</f>
        <v/>
      </c>
      <c r="BE41">
        <f>'Grid_Stock'!BC2</f>
        <v/>
      </c>
      <c r="BF41">
        <f>'Grid_Stock'!BD2</f>
        <v/>
      </c>
      <c r="BG41">
        <f>'Grid_Stock'!BE2</f>
        <v/>
      </c>
      <c r="BH41">
        <f>'Grid_Stock'!BF2</f>
        <v/>
      </c>
      <c r="BI41">
        <f>'Grid_Stock'!BG2</f>
        <v/>
      </c>
      <c r="BJ41">
        <f>'Grid_Stock'!BH2</f>
        <v/>
      </c>
      <c r="BK41">
        <f>'Grid_Stock'!BI2</f>
        <v/>
      </c>
      <c r="BL41">
        <f>'Grid_Stock'!BJ2</f>
        <v/>
      </c>
      <c r="BM41">
        <f>'Grid_Stock'!BK2</f>
        <v/>
      </c>
      <c r="BN41">
        <f>'Grid_Stock'!BL2</f>
        <v/>
      </c>
      <c r="BO41">
        <f>'Grid_Stock'!BM2</f>
        <v/>
      </c>
      <c r="BP41">
        <f>'Grid_Stock'!BN2</f>
        <v/>
      </c>
      <c r="BQ41">
        <f>'Grid_Stock'!BO2</f>
        <v/>
      </c>
      <c r="BR41">
        <f>'Grid_Stock'!BP2</f>
        <v/>
      </c>
      <c r="BS41">
        <f>'Grid_Stock'!BQ2</f>
        <v/>
      </c>
      <c r="BT41">
        <f>'Grid_Stock'!BR2</f>
        <v/>
      </c>
      <c r="BU41">
        <f>'Grid_Stock'!BS2</f>
        <v/>
      </c>
      <c r="BV41">
        <f>'Grid_Stock'!BT2</f>
        <v/>
      </c>
      <c r="BW41">
        <f>'Grid_Stock'!BU2</f>
        <v/>
      </c>
      <c r="BX41">
        <f>'Grid_Stock'!BV2</f>
        <v/>
      </c>
      <c r="BY41">
        <f>'Grid_Stock'!BW2</f>
        <v/>
      </c>
      <c r="BZ41">
        <f>'Grid_Stock'!BX2</f>
        <v/>
      </c>
      <c r="CA41">
        <f>'Grid_Stock'!BY2</f>
        <v/>
      </c>
      <c r="CB41">
        <f>'Grid_Stock'!BZ2</f>
        <v/>
      </c>
      <c r="CC41">
        <f>'Grid_Stock'!CA2</f>
        <v/>
      </c>
      <c r="CD41">
        <f>'Grid_Stock'!CB2</f>
        <v/>
      </c>
      <c r="CE41">
        <f>'Grid_Stock'!CC2</f>
        <v/>
      </c>
      <c r="CF41">
        <f>'Grid_Stock'!CD2</f>
        <v/>
      </c>
      <c r="CG41">
        <f>'Grid_Stock'!CE2</f>
        <v/>
      </c>
      <c r="CH41">
        <f>'Grid_Stock'!CF2</f>
        <v/>
      </c>
      <c r="CI41">
        <f>'Grid_Stock'!CG2</f>
        <v/>
      </c>
      <c r="CJ41">
        <f>'Grid_Stock'!CH2</f>
        <v/>
      </c>
      <c r="CK41">
        <f>'Grid_Stock'!CI2</f>
        <v/>
      </c>
      <c r="CL41">
        <f>'Grid_Stock'!CJ2</f>
        <v/>
      </c>
      <c r="CM41">
        <f>'Grid_Stock'!CK2</f>
        <v/>
      </c>
      <c r="CN41">
        <f>'Grid_Stock'!CL2</f>
        <v/>
      </c>
      <c r="CO41">
        <f>'Grid_Stock'!CM2</f>
        <v/>
      </c>
      <c r="CP41">
        <f>'Grid_Stock'!CN2</f>
        <v/>
      </c>
      <c r="CQ41">
        <f>'Grid_Stock'!CO2</f>
        <v/>
      </c>
      <c r="CR41">
        <f>'Grid_Stock'!CP2</f>
        <v/>
      </c>
      <c r="CS41">
        <f>'Grid_Stock'!CQ2</f>
        <v/>
      </c>
      <c r="CT41">
        <f>'Grid_Stock'!CR2</f>
        <v/>
      </c>
      <c r="CU41">
        <f>'Grid_Stock'!CS2</f>
        <v/>
      </c>
      <c r="CV41">
        <f>'Grid_Stock'!CT2</f>
        <v/>
      </c>
      <c r="CW41">
        <f>'Grid_Stock'!CU2</f>
        <v/>
      </c>
      <c r="CX41">
        <f>'Grid_Stock'!CV2</f>
        <v/>
      </c>
      <c r="CY41">
        <f>'Grid_Stock'!CW2</f>
        <v/>
      </c>
      <c r="CZ41">
        <f>'Grid_Stock'!CX2</f>
        <v/>
      </c>
      <c r="DA41">
        <f>'Grid_Stock'!CY2</f>
        <v/>
      </c>
      <c r="DB41">
        <f>'Grid_Stock'!CZ2</f>
        <v/>
      </c>
      <c r="DC41">
        <f>'Grid_Stock'!DA2</f>
        <v/>
      </c>
    </row>
    <row r="42">
      <c r="B42" s="16" t="inlineStr">
        <is>
          <t>（発注の目安はDashboardの基準在庫[下限/上限]と色分けを参照）</t>
        </is>
      </c>
    </row>
    <row r="44">
      <c r="A44" s="14" t="inlineStr">
        <is>
          <t>CHEM-1420</t>
        </is>
      </c>
      <c r="B44" s="14" t="inlineStr">
        <is>
          <t>HEC SE900</t>
        </is>
      </c>
      <c r="C44" s="15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  <c r="Y44" s="14" t="n"/>
      <c r="Z44" s="14" t="n"/>
      <c r="AA44" s="14" t="n"/>
      <c r="AB44" s="14" t="n"/>
      <c r="AC44" s="14" t="n"/>
      <c r="AD44" s="14" t="n"/>
      <c r="AE44" s="14" t="n"/>
      <c r="AF44" s="14" t="n"/>
      <c r="AG44" s="14" t="n"/>
      <c r="AH44" s="14" t="n"/>
      <c r="AI44" s="14" t="n"/>
      <c r="AJ44" s="14" t="n"/>
      <c r="AK44" s="14" t="n"/>
      <c r="AL44" s="14" t="n"/>
      <c r="AM44" s="14" t="n"/>
      <c r="AN44" s="14" t="n"/>
      <c r="AO44" s="14" t="n"/>
      <c r="AP44" s="14" t="n"/>
      <c r="AQ44" s="14" t="n"/>
      <c r="AR44" s="14" t="n"/>
      <c r="AS44" s="14" t="n"/>
      <c r="AT44" s="14" t="n"/>
      <c r="AU44" s="14" t="n"/>
      <c r="AV44" s="14" t="n"/>
      <c r="AW44" s="14" t="n"/>
      <c r="AX44" s="14" t="n"/>
      <c r="AY44" s="14" t="n"/>
      <c r="AZ44" s="14" t="n"/>
      <c r="BA44" s="14" t="n"/>
      <c r="BB44" s="14" t="n"/>
      <c r="BC44" s="14" t="n"/>
      <c r="BD44" s="14" t="n"/>
      <c r="BE44" s="14" t="n"/>
      <c r="BF44" s="14" t="n"/>
      <c r="BG44" s="14" t="n"/>
      <c r="BH44" s="14" t="n"/>
      <c r="BI44" s="14" t="n"/>
      <c r="BJ44" s="14" t="n"/>
      <c r="BK44" s="14" t="n"/>
      <c r="BL44" s="14" t="n"/>
      <c r="BM44" s="14" t="n"/>
      <c r="BN44" s="14" t="n"/>
      <c r="BO44" s="14" t="n"/>
      <c r="BP44" s="14" t="n"/>
      <c r="BQ44" s="14" t="n"/>
      <c r="BR44" s="14" t="n"/>
      <c r="BS44" s="14" t="n"/>
      <c r="BT44" s="14" t="n"/>
      <c r="BU44" s="14" t="n"/>
      <c r="BV44" s="14" t="n"/>
      <c r="BW44" s="14" t="n"/>
      <c r="BX44" s="14" t="n"/>
      <c r="BY44" s="14" t="n"/>
      <c r="BZ44" s="14" t="n"/>
      <c r="CA44" s="14" t="n"/>
      <c r="CB44" s="14" t="n"/>
      <c r="CC44" s="14" t="n"/>
      <c r="CD44" s="14" t="n"/>
      <c r="CE44" s="14" t="n"/>
      <c r="CF44" s="14" t="n"/>
      <c r="CG44" s="14" t="n"/>
      <c r="CH44" s="14" t="n"/>
      <c r="CI44" s="14" t="n"/>
      <c r="CJ44" s="14" t="n"/>
      <c r="CK44" s="14" t="n"/>
      <c r="CL44" s="14" t="n"/>
      <c r="CM44" s="14" t="n"/>
      <c r="CN44" s="14" t="n"/>
      <c r="CO44" s="14" t="n"/>
      <c r="CP44" s="14" t="n"/>
      <c r="CQ44" s="14" t="n"/>
      <c r="CR44" s="14" t="n"/>
      <c r="CS44" s="14" t="n"/>
      <c r="CT44" s="14" t="n"/>
      <c r="CU44" s="14" t="n"/>
      <c r="CV44" s="14" t="n"/>
      <c r="CW44" s="14" t="n"/>
      <c r="CX44" s="14" t="n"/>
      <c r="CY44" s="14" t="n"/>
      <c r="CZ44" s="14" t="n"/>
      <c r="DA44" s="14" t="n"/>
      <c r="DB44" s="14" t="n"/>
      <c r="DC44" s="14" t="n"/>
    </row>
    <row r="45">
      <c r="B45" t="inlineStr">
        <is>
          <t>TSP-049</t>
        </is>
      </c>
      <c r="C45" t="inlineStr">
        <is>
          <t>No. of batches</t>
        </is>
      </c>
      <c r="D45">
        <f>IFERROR(INDEX(PP_Grid[#Data],$DD45,2),0)</f>
        <v/>
      </c>
      <c r="E45">
        <f>IFERROR(INDEX(PP_Grid[#Data],$DD45,3),0)</f>
        <v/>
      </c>
      <c r="F45">
        <f>IFERROR(INDEX(PP_Grid[#Data],$DD45,4),0)</f>
        <v/>
      </c>
      <c r="G45">
        <f>IFERROR(INDEX(PP_Grid[#Data],$DD45,5),0)</f>
        <v/>
      </c>
      <c r="H45">
        <f>IFERROR(INDEX(PP_Grid[#Data],$DD45,6),0)</f>
        <v/>
      </c>
      <c r="I45">
        <f>IFERROR(INDEX(PP_Grid[#Data],$DD45,7),0)</f>
        <v/>
      </c>
      <c r="J45">
        <f>IFERROR(INDEX(PP_Grid[#Data],$DD45,8),0)</f>
        <v/>
      </c>
      <c r="K45">
        <f>IFERROR(INDEX(PP_Grid[#Data],$DD45,9),0)</f>
        <v/>
      </c>
      <c r="L45">
        <f>IFERROR(INDEX(PP_Grid[#Data],$DD45,10),0)</f>
        <v/>
      </c>
      <c r="M45">
        <f>IFERROR(INDEX(PP_Grid[#Data],$DD45,11),0)</f>
        <v/>
      </c>
      <c r="N45">
        <f>IFERROR(INDEX(PP_Grid[#Data],$DD45,12),0)</f>
        <v/>
      </c>
      <c r="O45">
        <f>IFERROR(INDEX(PP_Grid[#Data],$DD45,13),0)</f>
        <v/>
      </c>
      <c r="P45">
        <f>IFERROR(INDEX(PP_Grid[#Data],$DD45,14),0)</f>
        <v/>
      </c>
      <c r="Q45">
        <f>IFERROR(INDEX(PP_Grid[#Data],$DD45,15),0)</f>
        <v/>
      </c>
      <c r="R45">
        <f>IFERROR(INDEX(PP_Grid[#Data],$DD45,16),0)</f>
        <v/>
      </c>
      <c r="S45">
        <f>IFERROR(INDEX(PP_Grid[#Data],$DD45,17),0)</f>
        <v/>
      </c>
      <c r="T45">
        <f>IFERROR(INDEX(PP_Grid[#Data],$DD45,18),0)</f>
        <v/>
      </c>
      <c r="U45">
        <f>IFERROR(INDEX(PP_Grid[#Data],$DD45,19),0)</f>
        <v/>
      </c>
      <c r="V45">
        <f>IFERROR(INDEX(PP_Grid[#Data],$DD45,20),0)</f>
        <v/>
      </c>
      <c r="W45">
        <f>IFERROR(INDEX(PP_Grid[#Data],$DD45,21),0)</f>
        <v/>
      </c>
      <c r="X45">
        <f>IFERROR(INDEX(PP_Grid[#Data],$DD45,22),0)</f>
        <v/>
      </c>
      <c r="Y45">
        <f>IFERROR(INDEX(PP_Grid[#Data],$DD45,23),0)</f>
        <v/>
      </c>
      <c r="Z45">
        <f>IFERROR(INDEX(PP_Grid[#Data],$DD45,24),0)</f>
        <v/>
      </c>
      <c r="AA45">
        <f>IFERROR(INDEX(PP_Grid[#Data],$DD45,25),0)</f>
        <v/>
      </c>
      <c r="AB45">
        <f>IFERROR(INDEX(PP_Grid[#Data],$DD45,26),0)</f>
        <v/>
      </c>
      <c r="AC45">
        <f>IFERROR(INDEX(PP_Grid[#Data],$DD45,27),0)</f>
        <v/>
      </c>
      <c r="AD45">
        <f>IFERROR(INDEX(PP_Grid[#Data],$DD45,28),0)</f>
        <v/>
      </c>
      <c r="AE45">
        <f>IFERROR(INDEX(PP_Grid[#Data],$DD45,29),0)</f>
        <v/>
      </c>
      <c r="AF45">
        <f>IFERROR(INDEX(PP_Grid[#Data],$DD45,30),0)</f>
        <v/>
      </c>
      <c r="AG45">
        <f>IFERROR(INDEX(PP_Grid[#Data],$DD45,31),0)</f>
        <v/>
      </c>
      <c r="AH45">
        <f>IFERROR(INDEX(PP_Grid[#Data],$DD45,32),0)</f>
        <v/>
      </c>
      <c r="AI45">
        <f>IFERROR(INDEX(PP_Grid[#Data],$DD45,33),0)</f>
        <v/>
      </c>
      <c r="AJ45">
        <f>IFERROR(INDEX(PP_Grid[#Data],$DD45,34),0)</f>
        <v/>
      </c>
      <c r="AK45">
        <f>IFERROR(INDEX(PP_Grid[#Data],$DD45,35),0)</f>
        <v/>
      </c>
      <c r="AL45">
        <f>IFERROR(INDEX(PP_Grid[#Data],$DD45,36),0)</f>
        <v/>
      </c>
      <c r="AM45">
        <f>IFERROR(INDEX(PP_Grid[#Data],$DD45,37),0)</f>
        <v/>
      </c>
      <c r="AN45">
        <f>IFERROR(INDEX(PP_Grid[#Data],$DD45,38),0)</f>
        <v/>
      </c>
      <c r="AO45">
        <f>IFERROR(INDEX(PP_Grid[#Data],$DD45,39),0)</f>
        <v/>
      </c>
      <c r="AP45">
        <f>IFERROR(INDEX(PP_Grid[#Data],$DD45,40),0)</f>
        <v/>
      </c>
      <c r="AQ45">
        <f>IFERROR(INDEX(PP_Grid[#Data],$DD45,41),0)</f>
        <v/>
      </c>
      <c r="AR45">
        <f>IFERROR(INDEX(PP_Grid[#Data],$DD45,42),0)</f>
        <v/>
      </c>
      <c r="AS45">
        <f>IFERROR(INDEX(PP_Grid[#Data],$DD45,43),0)</f>
        <v/>
      </c>
      <c r="AT45">
        <f>IFERROR(INDEX(PP_Grid[#Data],$DD45,44),0)</f>
        <v/>
      </c>
      <c r="AU45">
        <f>IFERROR(INDEX(PP_Grid[#Data],$DD45,45),0)</f>
        <v/>
      </c>
      <c r="AV45">
        <f>IFERROR(INDEX(PP_Grid[#Data],$DD45,46),0)</f>
        <v/>
      </c>
      <c r="AW45">
        <f>IFERROR(INDEX(PP_Grid[#Data],$DD45,47),0)</f>
        <v/>
      </c>
      <c r="AX45">
        <f>IFERROR(INDEX(PP_Grid[#Data],$DD45,48),0)</f>
        <v/>
      </c>
      <c r="AY45">
        <f>IFERROR(INDEX(PP_Grid[#Data],$DD45,49),0)</f>
        <v/>
      </c>
      <c r="AZ45">
        <f>IFERROR(INDEX(PP_Grid[#Data],$DD45,50),0)</f>
        <v/>
      </c>
      <c r="BA45">
        <f>IFERROR(INDEX(PP_Grid[#Data],$DD45,51),0)</f>
        <v/>
      </c>
      <c r="BB45">
        <f>IFERROR(INDEX(PP_Grid[#Data],$DD45,52),0)</f>
        <v/>
      </c>
      <c r="BC45">
        <f>IFERROR(INDEX(PP_Grid[#Data],$DD45,53),0)</f>
        <v/>
      </c>
      <c r="BD45">
        <f>IFERROR(INDEX(PP_Grid[#Data],$DD45,54),0)</f>
        <v/>
      </c>
      <c r="BE45">
        <f>IFERROR(INDEX(PP_Grid[#Data],$DD45,55),0)</f>
        <v/>
      </c>
      <c r="BF45">
        <f>IFERROR(INDEX(PP_Grid[#Data],$DD45,56),0)</f>
        <v/>
      </c>
      <c r="BG45">
        <f>IFERROR(INDEX(PP_Grid[#Data],$DD45,57),0)</f>
        <v/>
      </c>
      <c r="BH45">
        <f>IFERROR(INDEX(PP_Grid[#Data],$DD45,58),0)</f>
        <v/>
      </c>
      <c r="BI45">
        <f>IFERROR(INDEX(PP_Grid[#Data],$DD45,59),0)</f>
        <v/>
      </c>
      <c r="BJ45">
        <f>IFERROR(INDEX(PP_Grid[#Data],$DD45,60),0)</f>
        <v/>
      </c>
      <c r="BK45">
        <f>IFERROR(INDEX(PP_Grid[#Data],$DD45,61),0)</f>
        <v/>
      </c>
      <c r="BL45">
        <f>IFERROR(INDEX(PP_Grid[#Data],$DD45,62),0)</f>
        <v/>
      </c>
      <c r="BM45">
        <f>IFERROR(INDEX(PP_Grid[#Data],$DD45,63),0)</f>
        <v/>
      </c>
      <c r="BN45">
        <f>IFERROR(INDEX(PP_Grid[#Data],$DD45,64),0)</f>
        <v/>
      </c>
      <c r="BO45">
        <f>IFERROR(INDEX(PP_Grid[#Data],$DD45,65),0)</f>
        <v/>
      </c>
      <c r="BP45">
        <f>IFERROR(INDEX(PP_Grid[#Data],$DD45,66),0)</f>
        <v/>
      </c>
      <c r="BQ45">
        <f>IFERROR(INDEX(PP_Grid[#Data],$DD45,67),0)</f>
        <v/>
      </c>
      <c r="BR45">
        <f>IFERROR(INDEX(PP_Grid[#Data],$DD45,68),0)</f>
        <v/>
      </c>
      <c r="BS45">
        <f>IFERROR(INDEX(PP_Grid[#Data],$DD45,69),0)</f>
        <v/>
      </c>
      <c r="BT45">
        <f>IFERROR(INDEX(PP_Grid[#Data],$DD45,70),0)</f>
        <v/>
      </c>
      <c r="BU45">
        <f>IFERROR(INDEX(PP_Grid[#Data],$DD45,71),0)</f>
        <v/>
      </c>
      <c r="BV45">
        <f>IFERROR(INDEX(PP_Grid[#Data],$DD45,72),0)</f>
        <v/>
      </c>
      <c r="BW45">
        <f>IFERROR(INDEX(PP_Grid[#Data],$DD45,73),0)</f>
        <v/>
      </c>
      <c r="BX45">
        <f>IFERROR(INDEX(PP_Grid[#Data],$DD45,74),0)</f>
        <v/>
      </c>
      <c r="BY45">
        <f>IFERROR(INDEX(PP_Grid[#Data],$DD45,75),0)</f>
        <v/>
      </c>
      <c r="BZ45">
        <f>IFERROR(INDEX(PP_Grid[#Data],$DD45,76),0)</f>
        <v/>
      </c>
      <c r="CA45">
        <f>IFERROR(INDEX(PP_Grid[#Data],$DD45,77),0)</f>
        <v/>
      </c>
      <c r="CB45">
        <f>IFERROR(INDEX(PP_Grid[#Data],$DD45,78),0)</f>
        <v/>
      </c>
      <c r="CC45">
        <f>IFERROR(INDEX(PP_Grid[#Data],$DD45,79),0)</f>
        <v/>
      </c>
      <c r="CD45">
        <f>IFERROR(INDEX(PP_Grid[#Data],$DD45,80),0)</f>
        <v/>
      </c>
      <c r="CE45">
        <f>IFERROR(INDEX(PP_Grid[#Data],$DD45,81),0)</f>
        <v/>
      </c>
      <c r="CF45">
        <f>IFERROR(INDEX(PP_Grid[#Data],$DD45,82),0)</f>
        <v/>
      </c>
      <c r="CG45">
        <f>IFERROR(INDEX(PP_Grid[#Data],$DD45,83),0)</f>
        <v/>
      </c>
      <c r="CH45">
        <f>IFERROR(INDEX(PP_Grid[#Data],$DD45,84),0)</f>
        <v/>
      </c>
      <c r="CI45">
        <f>IFERROR(INDEX(PP_Grid[#Data],$DD45,85),0)</f>
        <v/>
      </c>
      <c r="CJ45">
        <f>IFERROR(INDEX(PP_Grid[#Data],$DD45,86),0)</f>
        <v/>
      </c>
      <c r="CK45">
        <f>IFERROR(INDEX(PP_Grid[#Data],$DD45,87),0)</f>
        <v/>
      </c>
      <c r="CL45">
        <f>IFERROR(INDEX(PP_Grid[#Data],$DD45,88),0)</f>
        <v/>
      </c>
      <c r="CM45">
        <f>IFERROR(INDEX(PP_Grid[#Data],$DD45,89),0)</f>
        <v/>
      </c>
      <c r="CN45">
        <f>IFERROR(INDEX(PP_Grid[#Data],$DD45,90),0)</f>
        <v/>
      </c>
      <c r="CO45">
        <f>IFERROR(INDEX(PP_Grid[#Data],$DD45,91),0)</f>
        <v/>
      </c>
      <c r="CP45">
        <f>IFERROR(INDEX(PP_Grid[#Data],$DD45,92),0)</f>
        <v/>
      </c>
      <c r="CQ45">
        <f>IFERROR(INDEX(PP_Grid[#Data],$DD45,93),0)</f>
        <v/>
      </c>
      <c r="CR45">
        <f>IFERROR(INDEX(PP_Grid[#Data],$DD45,94),0)</f>
        <v/>
      </c>
      <c r="CS45">
        <f>IFERROR(INDEX(PP_Grid[#Data],$DD45,95),0)</f>
        <v/>
      </c>
      <c r="CT45">
        <f>IFERROR(INDEX(PP_Grid[#Data],$DD45,96),0)</f>
        <v/>
      </c>
      <c r="CU45">
        <f>IFERROR(INDEX(PP_Grid[#Data],$DD45,97),0)</f>
        <v/>
      </c>
      <c r="CV45">
        <f>IFERROR(INDEX(PP_Grid[#Data],$DD45,98),0)</f>
        <v/>
      </c>
      <c r="CW45">
        <f>IFERROR(INDEX(PP_Grid[#Data],$DD45,99),0)</f>
        <v/>
      </c>
      <c r="CX45">
        <f>IFERROR(INDEX(PP_Grid[#Data],$DD45,100),0)</f>
        <v/>
      </c>
      <c r="CY45">
        <f>IFERROR(INDEX(PP_Grid[#Data],$DD45,101),0)</f>
        <v/>
      </c>
      <c r="CZ45">
        <f>IFERROR(INDEX(PP_Grid[#Data],$DD45,102),0)</f>
        <v/>
      </c>
      <c r="DA45">
        <f>IFERROR(INDEX(PP_Grid[#Data],$DD45,103),0)</f>
        <v/>
      </c>
      <c r="DB45">
        <f>IFERROR(INDEX(PP_Grid[#Data],$DD45,104),0)</f>
        <v/>
      </c>
      <c r="DC45">
        <f>IFERROR(INDEX(PP_Grid[#Data],$DD45,105),0)</f>
        <v/>
      </c>
      <c r="DD45" s="7">
        <f>IFERROR(MATCH($B45,PP_Grid[Intermediate],0),99999)</f>
        <v/>
      </c>
    </row>
    <row r="46">
      <c r="B46" t="inlineStr">
        <is>
          <t>使用量(kg)</t>
        </is>
      </c>
      <c r="C46">
        <f>SUMIFS(M_BOM[RM_Qty_Per_Batch],M_BOM[Intermediate],$B45,M_BOM[Part Name],$A44)</f>
        <v/>
      </c>
      <c r="D46">
        <f>$C46*D45</f>
        <v/>
      </c>
      <c r="E46">
        <f>$C46*E45</f>
        <v/>
      </c>
      <c r="F46">
        <f>$C46*F45</f>
        <v/>
      </c>
      <c r="G46">
        <f>$C46*G45</f>
        <v/>
      </c>
      <c r="H46">
        <f>$C46*H45</f>
        <v/>
      </c>
      <c r="I46">
        <f>$C46*I45</f>
        <v/>
      </c>
      <c r="J46">
        <f>$C46*J45</f>
        <v/>
      </c>
      <c r="K46">
        <f>$C46*K45</f>
        <v/>
      </c>
      <c r="L46">
        <f>$C46*L45</f>
        <v/>
      </c>
      <c r="M46">
        <f>$C46*M45</f>
        <v/>
      </c>
      <c r="N46">
        <f>$C46*N45</f>
        <v/>
      </c>
      <c r="O46">
        <f>$C46*O45</f>
        <v/>
      </c>
      <c r="P46">
        <f>$C46*P45</f>
        <v/>
      </c>
      <c r="Q46">
        <f>$C46*Q45</f>
        <v/>
      </c>
      <c r="R46">
        <f>$C46*R45</f>
        <v/>
      </c>
      <c r="S46">
        <f>$C46*S45</f>
        <v/>
      </c>
      <c r="T46">
        <f>$C46*T45</f>
        <v/>
      </c>
      <c r="U46">
        <f>$C46*U45</f>
        <v/>
      </c>
      <c r="V46">
        <f>$C46*V45</f>
        <v/>
      </c>
      <c r="W46">
        <f>$C46*W45</f>
        <v/>
      </c>
      <c r="X46">
        <f>$C46*X45</f>
        <v/>
      </c>
      <c r="Y46">
        <f>$C46*Y45</f>
        <v/>
      </c>
      <c r="Z46">
        <f>$C46*Z45</f>
        <v/>
      </c>
      <c r="AA46">
        <f>$C46*AA45</f>
        <v/>
      </c>
      <c r="AB46">
        <f>$C46*AB45</f>
        <v/>
      </c>
      <c r="AC46">
        <f>$C46*AC45</f>
        <v/>
      </c>
      <c r="AD46">
        <f>$C46*AD45</f>
        <v/>
      </c>
      <c r="AE46">
        <f>$C46*AE45</f>
        <v/>
      </c>
      <c r="AF46">
        <f>$C46*AF45</f>
        <v/>
      </c>
      <c r="AG46">
        <f>$C46*AG45</f>
        <v/>
      </c>
      <c r="AH46">
        <f>$C46*AH45</f>
        <v/>
      </c>
      <c r="AI46">
        <f>$C46*AI45</f>
        <v/>
      </c>
      <c r="AJ46">
        <f>$C46*AJ45</f>
        <v/>
      </c>
      <c r="AK46">
        <f>$C46*AK45</f>
        <v/>
      </c>
      <c r="AL46">
        <f>$C46*AL45</f>
        <v/>
      </c>
      <c r="AM46">
        <f>$C46*AM45</f>
        <v/>
      </c>
      <c r="AN46">
        <f>$C46*AN45</f>
        <v/>
      </c>
      <c r="AO46">
        <f>$C46*AO45</f>
        <v/>
      </c>
      <c r="AP46">
        <f>$C46*AP45</f>
        <v/>
      </c>
      <c r="AQ46">
        <f>$C46*AQ45</f>
        <v/>
      </c>
      <c r="AR46">
        <f>$C46*AR45</f>
        <v/>
      </c>
      <c r="AS46">
        <f>$C46*AS45</f>
        <v/>
      </c>
      <c r="AT46">
        <f>$C46*AT45</f>
        <v/>
      </c>
      <c r="AU46">
        <f>$C46*AU45</f>
        <v/>
      </c>
      <c r="AV46">
        <f>$C46*AV45</f>
        <v/>
      </c>
      <c r="AW46">
        <f>$C46*AW45</f>
        <v/>
      </c>
      <c r="AX46">
        <f>$C46*AX45</f>
        <v/>
      </c>
      <c r="AY46">
        <f>$C46*AY45</f>
        <v/>
      </c>
      <c r="AZ46">
        <f>$C46*AZ45</f>
        <v/>
      </c>
      <c r="BA46">
        <f>$C46*BA45</f>
        <v/>
      </c>
      <c r="BB46">
        <f>$C46*BB45</f>
        <v/>
      </c>
      <c r="BC46">
        <f>$C46*BC45</f>
        <v/>
      </c>
      <c r="BD46">
        <f>$C46*BD45</f>
        <v/>
      </c>
      <c r="BE46">
        <f>$C46*BE45</f>
        <v/>
      </c>
      <c r="BF46">
        <f>$C46*BF45</f>
        <v/>
      </c>
      <c r="BG46">
        <f>$C46*BG45</f>
        <v/>
      </c>
      <c r="BH46">
        <f>$C46*BH45</f>
        <v/>
      </c>
      <c r="BI46">
        <f>$C46*BI45</f>
        <v/>
      </c>
      <c r="BJ46">
        <f>$C46*BJ45</f>
        <v/>
      </c>
      <c r="BK46">
        <f>$C46*BK45</f>
        <v/>
      </c>
      <c r="BL46">
        <f>$C46*BL45</f>
        <v/>
      </c>
      <c r="BM46">
        <f>$C46*BM45</f>
        <v/>
      </c>
      <c r="BN46">
        <f>$C46*BN45</f>
        <v/>
      </c>
      <c r="BO46">
        <f>$C46*BO45</f>
        <v/>
      </c>
      <c r="BP46">
        <f>$C46*BP45</f>
        <v/>
      </c>
      <c r="BQ46">
        <f>$C46*BQ45</f>
        <v/>
      </c>
      <c r="BR46">
        <f>$C46*BR45</f>
        <v/>
      </c>
      <c r="BS46">
        <f>$C46*BS45</f>
        <v/>
      </c>
      <c r="BT46">
        <f>$C46*BT45</f>
        <v/>
      </c>
      <c r="BU46">
        <f>$C46*BU45</f>
        <v/>
      </c>
      <c r="BV46">
        <f>$C46*BV45</f>
        <v/>
      </c>
      <c r="BW46">
        <f>$C46*BW45</f>
        <v/>
      </c>
      <c r="BX46">
        <f>$C46*BX45</f>
        <v/>
      </c>
      <c r="BY46">
        <f>$C46*BY45</f>
        <v/>
      </c>
      <c r="BZ46">
        <f>$C46*BZ45</f>
        <v/>
      </c>
      <c r="CA46">
        <f>$C46*CA45</f>
        <v/>
      </c>
      <c r="CB46">
        <f>$C46*CB45</f>
        <v/>
      </c>
      <c r="CC46">
        <f>$C46*CC45</f>
        <v/>
      </c>
      <c r="CD46">
        <f>$C46*CD45</f>
        <v/>
      </c>
      <c r="CE46">
        <f>$C46*CE45</f>
        <v/>
      </c>
      <c r="CF46">
        <f>$C46*CF45</f>
        <v/>
      </c>
      <c r="CG46">
        <f>$C46*CG45</f>
        <v/>
      </c>
      <c r="CH46">
        <f>$C46*CH45</f>
        <v/>
      </c>
      <c r="CI46">
        <f>$C46*CI45</f>
        <v/>
      </c>
      <c r="CJ46">
        <f>$C46*CJ45</f>
        <v/>
      </c>
      <c r="CK46">
        <f>$C46*CK45</f>
        <v/>
      </c>
      <c r="CL46">
        <f>$C46*CL45</f>
        <v/>
      </c>
      <c r="CM46">
        <f>$C46*CM45</f>
        <v/>
      </c>
      <c r="CN46">
        <f>$C46*CN45</f>
        <v/>
      </c>
      <c r="CO46">
        <f>$C46*CO45</f>
        <v/>
      </c>
      <c r="CP46">
        <f>$C46*CP45</f>
        <v/>
      </c>
      <c r="CQ46">
        <f>$C46*CQ45</f>
        <v/>
      </c>
      <c r="CR46">
        <f>$C46*CR45</f>
        <v/>
      </c>
      <c r="CS46">
        <f>$C46*CS45</f>
        <v/>
      </c>
      <c r="CT46">
        <f>$C46*CT45</f>
        <v/>
      </c>
      <c r="CU46">
        <f>$C46*CU45</f>
        <v/>
      </c>
      <c r="CV46">
        <f>$C46*CV45</f>
        <v/>
      </c>
      <c r="CW46">
        <f>$C46*CW45</f>
        <v/>
      </c>
      <c r="CX46">
        <f>$C46*CX45</f>
        <v/>
      </c>
      <c r="CY46">
        <f>$C46*CY45</f>
        <v/>
      </c>
      <c r="CZ46">
        <f>$C46*CZ45</f>
        <v/>
      </c>
      <c r="DA46">
        <f>$C46*DA45</f>
        <v/>
      </c>
      <c r="DB46">
        <f>$C46*DB45</f>
        <v/>
      </c>
      <c r="DC46">
        <f>$C46*DC45</f>
        <v/>
      </c>
    </row>
    <row r="47">
      <c r="B47" t="inlineStr">
        <is>
          <t>TSP-050</t>
        </is>
      </c>
      <c r="C47" t="inlineStr">
        <is>
          <t>No. of batches</t>
        </is>
      </c>
      <c r="D47">
        <f>IFERROR(INDEX(PP_Grid[#Data],$DD47,2),0)</f>
        <v/>
      </c>
      <c r="E47">
        <f>IFERROR(INDEX(PP_Grid[#Data],$DD47,3),0)</f>
        <v/>
      </c>
      <c r="F47">
        <f>IFERROR(INDEX(PP_Grid[#Data],$DD47,4),0)</f>
        <v/>
      </c>
      <c r="G47">
        <f>IFERROR(INDEX(PP_Grid[#Data],$DD47,5),0)</f>
        <v/>
      </c>
      <c r="H47">
        <f>IFERROR(INDEX(PP_Grid[#Data],$DD47,6),0)</f>
        <v/>
      </c>
      <c r="I47">
        <f>IFERROR(INDEX(PP_Grid[#Data],$DD47,7),0)</f>
        <v/>
      </c>
      <c r="J47">
        <f>IFERROR(INDEX(PP_Grid[#Data],$DD47,8),0)</f>
        <v/>
      </c>
      <c r="K47">
        <f>IFERROR(INDEX(PP_Grid[#Data],$DD47,9),0)</f>
        <v/>
      </c>
      <c r="L47">
        <f>IFERROR(INDEX(PP_Grid[#Data],$DD47,10),0)</f>
        <v/>
      </c>
      <c r="M47">
        <f>IFERROR(INDEX(PP_Grid[#Data],$DD47,11),0)</f>
        <v/>
      </c>
      <c r="N47">
        <f>IFERROR(INDEX(PP_Grid[#Data],$DD47,12),0)</f>
        <v/>
      </c>
      <c r="O47">
        <f>IFERROR(INDEX(PP_Grid[#Data],$DD47,13),0)</f>
        <v/>
      </c>
      <c r="P47">
        <f>IFERROR(INDEX(PP_Grid[#Data],$DD47,14),0)</f>
        <v/>
      </c>
      <c r="Q47">
        <f>IFERROR(INDEX(PP_Grid[#Data],$DD47,15),0)</f>
        <v/>
      </c>
      <c r="R47">
        <f>IFERROR(INDEX(PP_Grid[#Data],$DD47,16),0)</f>
        <v/>
      </c>
      <c r="S47">
        <f>IFERROR(INDEX(PP_Grid[#Data],$DD47,17),0)</f>
        <v/>
      </c>
      <c r="T47">
        <f>IFERROR(INDEX(PP_Grid[#Data],$DD47,18),0)</f>
        <v/>
      </c>
      <c r="U47">
        <f>IFERROR(INDEX(PP_Grid[#Data],$DD47,19),0)</f>
        <v/>
      </c>
      <c r="V47">
        <f>IFERROR(INDEX(PP_Grid[#Data],$DD47,20),0)</f>
        <v/>
      </c>
      <c r="W47">
        <f>IFERROR(INDEX(PP_Grid[#Data],$DD47,21),0)</f>
        <v/>
      </c>
      <c r="X47">
        <f>IFERROR(INDEX(PP_Grid[#Data],$DD47,22),0)</f>
        <v/>
      </c>
      <c r="Y47">
        <f>IFERROR(INDEX(PP_Grid[#Data],$DD47,23),0)</f>
        <v/>
      </c>
      <c r="Z47">
        <f>IFERROR(INDEX(PP_Grid[#Data],$DD47,24),0)</f>
        <v/>
      </c>
      <c r="AA47">
        <f>IFERROR(INDEX(PP_Grid[#Data],$DD47,25),0)</f>
        <v/>
      </c>
      <c r="AB47">
        <f>IFERROR(INDEX(PP_Grid[#Data],$DD47,26),0)</f>
        <v/>
      </c>
      <c r="AC47">
        <f>IFERROR(INDEX(PP_Grid[#Data],$DD47,27),0)</f>
        <v/>
      </c>
      <c r="AD47">
        <f>IFERROR(INDEX(PP_Grid[#Data],$DD47,28),0)</f>
        <v/>
      </c>
      <c r="AE47">
        <f>IFERROR(INDEX(PP_Grid[#Data],$DD47,29),0)</f>
        <v/>
      </c>
      <c r="AF47">
        <f>IFERROR(INDEX(PP_Grid[#Data],$DD47,30),0)</f>
        <v/>
      </c>
      <c r="AG47">
        <f>IFERROR(INDEX(PP_Grid[#Data],$DD47,31),0)</f>
        <v/>
      </c>
      <c r="AH47">
        <f>IFERROR(INDEX(PP_Grid[#Data],$DD47,32),0)</f>
        <v/>
      </c>
      <c r="AI47">
        <f>IFERROR(INDEX(PP_Grid[#Data],$DD47,33),0)</f>
        <v/>
      </c>
      <c r="AJ47">
        <f>IFERROR(INDEX(PP_Grid[#Data],$DD47,34),0)</f>
        <v/>
      </c>
      <c r="AK47">
        <f>IFERROR(INDEX(PP_Grid[#Data],$DD47,35),0)</f>
        <v/>
      </c>
      <c r="AL47">
        <f>IFERROR(INDEX(PP_Grid[#Data],$DD47,36),0)</f>
        <v/>
      </c>
      <c r="AM47">
        <f>IFERROR(INDEX(PP_Grid[#Data],$DD47,37),0)</f>
        <v/>
      </c>
      <c r="AN47">
        <f>IFERROR(INDEX(PP_Grid[#Data],$DD47,38),0)</f>
        <v/>
      </c>
      <c r="AO47">
        <f>IFERROR(INDEX(PP_Grid[#Data],$DD47,39),0)</f>
        <v/>
      </c>
      <c r="AP47">
        <f>IFERROR(INDEX(PP_Grid[#Data],$DD47,40),0)</f>
        <v/>
      </c>
      <c r="AQ47">
        <f>IFERROR(INDEX(PP_Grid[#Data],$DD47,41),0)</f>
        <v/>
      </c>
      <c r="AR47">
        <f>IFERROR(INDEX(PP_Grid[#Data],$DD47,42),0)</f>
        <v/>
      </c>
      <c r="AS47">
        <f>IFERROR(INDEX(PP_Grid[#Data],$DD47,43),0)</f>
        <v/>
      </c>
      <c r="AT47">
        <f>IFERROR(INDEX(PP_Grid[#Data],$DD47,44),0)</f>
        <v/>
      </c>
      <c r="AU47">
        <f>IFERROR(INDEX(PP_Grid[#Data],$DD47,45),0)</f>
        <v/>
      </c>
      <c r="AV47">
        <f>IFERROR(INDEX(PP_Grid[#Data],$DD47,46),0)</f>
        <v/>
      </c>
      <c r="AW47">
        <f>IFERROR(INDEX(PP_Grid[#Data],$DD47,47),0)</f>
        <v/>
      </c>
      <c r="AX47">
        <f>IFERROR(INDEX(PP_Grid[#Data],$DD47,48),0)</f>
        <v/>
      </c>
      <c r="AY47">
        <f>IFERROR(INDEX(PP_Grid[#Data],$DD47,49),0)</f>
        <v/>
      </c>
      <c r="AZ47">
        <f>IFERROR(INDEX(PP_Grid[#Data],$DD47,50),0)</f>
        <v/>
      </c>
      <c r="BA47">
        <f>IFERROR(INDEX(PP_Grid[#Data],$DD47,51),0)</f>
        <v/>
      </c>
      <c r="BB47">
        <f>IFERROR(INDEX(PP_Grid[#Data],$DD47,52),0)</f>
        <v/>
      </c>
      <c r="BC47">
        <f>IFERROR(INDEX(PP_Grid[#Data],$DD47,53),0)</f>
        <v/>
      </c>
      <c r="BD47">
        <f>IFERROR(INDEX(PP_Grid[#Data],$DD47,54),0)</f>
        <v/>
      </c>
      <c r="BE47">
        <f>IFERROR(INDEX(PP_Grid[#Data],$DD47,55),0)</f>
        <v/>
      </c>
      <c r="BF47">
        <f>IFERROR(INDEX(PP_Grid[#Data],$DD47,56),0)</f>
        <v/>
      </c>
      <c r="BG47">
        <f>IFERROR(INDEX(PP_Grid[#Data],$DD47,57),0)</f>
        <v/>
      </c>
      <c r="BH47">
        <f>IFERROR(INDEX(PP_Grid[#Data],$DD47,58),0)</f>
        <v/>
      </c>
      <c r="BI47">
        <f>IFERROR(INDEX(PP_Grid[#Data],$DD47,59),0)</f>
        <v/>
      </c>
      <c r="BJ47">
        <f>IFERROR(INDEX(PP_Grid[#Data],$DD47,60),0)</f>
        <v/>
      </c>
      <c r="BK47">
        <f>IFERROR(INDEX(PP_Grid[#Data],$DD47,61),0)</f>
        <v/>
      </c>
      <c r="BL47">
        <f>IFERROR(INDEX(PP_Grid[#Data],$DD47,62),0)</f>
        <v/>
      </c>
      <c r="BM47">
        <f>IFERROR(INDEX(PP_Grid[#Data],$DD47,63),0)</f>
        <v/>
      </c>
      <c r="BN47">
        <f>IFERROR(INDEX(PP_Grid[#Data],$DD47,64),0)</f>
        <v/>
      </c>
      <c r="BO47">
        <f>IFERROR(INDEX(PP_Grid[#Data],$DD47,65),0)</f>
        <v/>
      </c>
      <c r="BP47">
        <f>IFERROR(INDEX(PP_Grid[#Data],$DD47,66),0)</f>
        <v/>
      </c>
      <c r="BQ47">
        <f>IFERROR(INDEX(PP_Grid[#Data],$DD47,67),0)</f>
        <v/>
      </c>
      <c r="BR47">
        <f>IFERROR(INDEX(PP_Grid[#Data],$DD47,68),0)</f>
        <v/>
      </c>
      <c r="BS47">
        <f>IFERROR(INDEX(PP_Grid[#Data],$DD47,69),0)</f>
        <v/>
      </c>
      <c r="BT47">
        <f>IFERROR(INDEX(PP_Grid[#Data],$DD47,70),0)</f>
        <v/>
      </c>
      <c r="BU47">
        <f>IFERROR(INDEX(PP_Grid[#Data],$DD47,71),0)</f>
        <v/>
      </c>
      <c r="BV47">
        <f>IFERROR(INDEX(PP_Grid[#Data],$DD47,72),0)</f>
        <v/>
      </c>
      <c r="BW47">
        <f>IFERROR(INDEX(PP_Grid[#Data],$DD47,73),0)</f>
        <v/>
      </c>
      <c r="BX47">
        <f>IFERROR(INDEX(PP_Grid[#Data],$DD47,74),0)</f>
        <v/>
      </c>
      <c r="BY47">
        <f>IFERROR(INDEX(PP_Grid[#Data],$DD47,75),0)</f>
        <v/>
      </c>
      <c r="BZ47">
        <f>IFERROR(INDEX(PP_Grid[#Data],$DD47,76),0)</f>
        <v/>
      </c>
      <c r="CA47">
        <f>IFERROR(INDEX(PP_Grid[#Data],$DD47,77),0)</f>
        <v/>
      </c>
      <c r="CB47">
        <f>IFERROR(INDEX(PP_Grid[#Data],$DD47,78),0)</f>
        <v/>
      </c>
      <c r="CC47">
        <f>IFERROR(INDEX(PP_Grid[#Data],$DD47,79),0)</f>
        <v/>
      </c>
      <c r="CD47">
        <f>IFERROR(INDEX(PP_Grid[#Data],$DD47,80),0)</f>
        <v/>
      </c>
      <c r="CE47">
        <f>IFERROR(INDEX(PP_Grid[#Data],$DD47,81),0)</f>
        <v/>
      </c>
      <c r="CF47">
        <f>IFERROR(INDEX(PP_Grid[#Data],$DD47,82),0)</f>
        <v/>
      </c>
      <c r="CG47">
        <f>IFERROR(INDEX(PP_Grid[#Data],$DD47,83),0)</f>
        <v/>
      </c>
      <c r="CH47">
        <f>IFERROR(INDEX(PP_Grid[#Data],$DD47,84),0)</f>
        <v/>
      </c>
      <c r="CI47">
        <f>IFERROR(INDEX(PP_Grid[#Data],$DD47,85),0)</f>
        <v/>
      </c>
      <c r="CJ47">
        <f>IFERROR(INDEX(PP_Grid[#Data],$DD47,86),0)</f>
        <v/>
      </c>
      <c r="CK47">
        <f>IFERROR(INDEX(PP_Grid[#Data],$DD47,87),0)</f>
        <v/>
      </c>
      <c r="CL47">
        <f>IFERROR(INDEX(PP_Grid[#Data],$DD47,88),0)</f>
        <v/>
      </c>
      <c r="CM47">
        <f>IFERROR(INDEX(PP_Grid[#Data],$DD47,89),0)</f>
        <v/>
      </c>
      <c r="CN47">
        <f>IFERROR(INDEX(PP_Grid[#Data],$DD47,90),0)</f>
        <v/>
      </c>
      <c r="CO47">
        <f>IFERROR(INDEX(PP_Grid[#Data],$DD47,91),0)</f>
        <v/>
      </c>
      <c r="CP47">
        <f>IFERROR(INDEX(PP_Grid[#Data],$DD47,92),0)</f>
        <v/>
      </c>
      <c r="CQ47">
        <f>IFERROR(INDEX(PP_Grid[#Data],$DD47,93),0)</f>
        <v/>
      </c>
      <c r="CR47">
        <f>IFERROR(INDEX(PP_Grid[#Data],$DD47,94),0)</f>
        <v/>
      </c>
      <c r="CS47">
        <f>IFERROR(INDEX(PP_Grid[#Data],$DD47,95),0)</f>
        <v/>
      </c>
      <c r="CT47">
        <f>IFERROR(INDEX(PP_Grid[#Data],$DD47,96),0)</f>
        <v/>
      </c>
      <c r="CU47">
        <f>IFERROR(INDEX(PP_Grid[#Data],$DD47,97),0)</f>
        <v/>
      </c>
      <c r="CV47">
        <f>IFERROR(INDEX(PP_Grid[#Data],$DD47,98),0)</f>
        <v/>
      </c>
      <c r="CW47">
        <f>IFERROR(INDEX(PP_Grid[#Data],$DD47,99),0)</f>
        <v/>
      </c>
      <c r="CX47">
        <f>IFERROR(INDEX(PP_Grid[#Data],$DD47,100),0)</f>
        <v/>
      </c>
      <c r="CY47">
        <f>IFERROR(INDEX(PP_Grid[#Data],$DD47,101),0)</f>
        <v/>
      </c>
      <c r="CZ47">
        <f>IFERROR(INDEX(PP_Grid[#Data],$DD47,102),0)</f>
        <v/>
      </c>
      <c r="DA47">
        <f>IFERROR(INDEX(PP_Grid[#Data],$DD47,103),0)</f>
        <v/>
      </c>
      <c r="DB47">
        <f>IFERROR(INDEX(PP_Grid[#Data],$DD47,104),0)</f>
        <v/>
      </c>
      <c r="DC47">
        <f>IFERROR(INDEX(PP_Grid[#Data],$DD47,105),0)</f>
        <v/>
      </c>
      <c r="DD47" s="7">
        <f>IFERROR(MATCH($B47,PP_Grid[Intermediate],0),99999)</f>
        <v/>
      </c>
    </row>
    <row r="48">
      <c r="B48" t="inlineStr">
        <is>
          <t>使用量(kg)</t>
        </is>
      </c>
      <c r="C48">
        <f>SUMIFS(M_BOM[RM_Qty_Per_Batch],M_BOM[Intermediate],$B47,M_BOM[Part Name],$A44)</f>
        <v/>
      </c>
      <c r="D48">
        <f>$C48*D47</f>
        <v/>
      </c>
      <c r="E48">
        <f>$C48*E47</f>
        <v/>
      </c>
      <c r="F48">
        <f>$C48*F47</f>
        <v/>
      </c>
      <c r="G48">
        <f>$C48*G47</f>
        <v/>
      </c>
      <c r="H48">
        <f>$C48*H47</f>
        <v/>
      </c>
      <c r="I48">
        <f>$C48*I47</f>
        <v/>
      </c>
      <c r="J48">
        <f>$C48*J47</f>
        <v/>
      </c>
      <c r="K48">
        <f>$C48*K47</f>
        <v/>
      </c>
      <c r="L48">
        <f>$C48*L47</f>
        <v/>
      </c>
      <c r="M48">
        <f>$C48*M47</f>
        <v/>
      </c>
      <c r="N48">
        <f>$C48*N47</f>
        <v/>
      </c>
      <c r="O48">
        <f>$C48*O47</f>
        <v/>
      </c>
      <c r="P48">
        <f>$C48*P47</f>
        <v/>
      </c>
      <c r="Q48">
        <f>$C48*Q47</f>
        <v/>
      </c>
      <c r="R48">
        <f>$C48*R47</f>
        <v/>
      </c>
      <c r="S48">
        <f>$C48*S47</f>
        <v/>
      </c>
      <c r="T48">
        <f>$C48*T47</f>
        <v/>
      </c>
      <c r="U48">
        <f>$C48*U47</f>
        <v/>
      </c>
      <c r="V48">
        <f>$C48*V47</f>
        <v/>
      </c>
      <c r="W48">
        <f>$C48*W47</f>
        <v/>
      </c>
      <c r="X48">
        <f>$C48*X47</f>
        <v/>
      </c>
      <c r="Y48">
        <f>$C48*Y47</f>
        <v/>
      </c>
      <c r="Z48">
        <f>$C48*Z47</f>
        <v/>
      </c>
      <c r="AA48">
        <f>$C48*AA47</f>
        <v/>
      </c>
      <c r="AB48">
        <f>$C48*AB47</f>
        <v/>
      </c>
      <c r="AC48">
        <f>$C48*AC47</f>
        <v/>
      </c>
      <c r="AD48">
        <f>$C48*AD47</f>
        <v/>
      </c>
      <c r="AE48">
        <f>$C48*AE47</f>
        <v/>
      </c>
      <c r="AF48">
        <f>$C48*AF47</f>
        <v/>
      </c>
      <c r="AG48">
        <f>$C48*AG47</f>
        <v/>
      </c>
      <c r="AH48">
        <f>$C48*AH47</f>
        <v/>
      </c>
      <c r="AI48">
        <f>$C48*AI47</f>
        <v/>
      </c>
      <c r="AJ48">
        <f>$C48*AJ47</f>
        <v/>
      </c>
      <c r="AK48">
        <f>$C48*AK47</f>
        <v/>
      </c>
      <c r="AL48">
        <f>$C48*AL47</f>
        <v/>
      </c>
      <c r="AM48">
        <f>$C48*AM47</f>
        <v/>
      </c>
      <c r="AN48">
        <f>$C48*AN47</f>
        <v/>
      </c>
      <c r="AO48">
        <f>$C48*AO47</f>
        <v/>
      </c>
      <c r="AP48">
        <f>$C48*AP47</f>
        <v/>
      </c>
      <c r="AQ48">
        <f>$C48*AQ47</f>
        <v/>
      </c>
      <c r="AR48">
        <f>$C48*AR47</f>
        <v/>
      </c>
      <c r="AS48">
        <f>$C48*AS47</f>
        <v/>
      </c>
      <c r="AT48">
        <f>$C48*AT47</f>
        <v/>
      </c>
      <c r="AU48">
        <f>$C48*AU47</f>
        <v/>
      </c>
      <c r="AV48">
        <f>$C48*AV47</f>
        <v/>
      </c>
      <c r="AW48">
        <f>$C48*AW47</f>
        <v/>
      </c>
      <c r="AX48">
        <f>$C48*AX47</f>
        <v/>
      </c>
      <c r="AY48">
        <f>$C48*AY47</f>
        <v/>
      </c>
      <c r="AZ48">
        <f>$C48*AZ47</f>
        <v/>
      </c>
      <c r="BA48">
        <f>$C48*BA47</f>
        <v/>
      </c>
      <c r="BB48">
        <f>$C48*BB47</f>
        <v/>
      </c>
      <c r="BC48">
        <f>$C48*BC47</f>
        <v/>
      </c>
      <c r="BD48">
        <f>$C48*BD47</f>
        <v/>
      </c>
      <c r="BE48">
        <f>$C48*BE47</f>
        <v/>
      </c>
      <c r="BF48">
        <f>$C48*BF47</f>
        <v/>
      </c>
      <c r="BG48">
        <f>$C48*BG47</f>
        <v/>
      </c>
      <c r="BH48">
        <f>$C48*BH47</f>
        <v/>
      </c>
      <c r="BI48">
        <f>$C48*BI47</f>
        <v/>
      </c>
      <c r="BJ48">
        <f>$C48*BJ47</f>
        <v/>
      </c>
      <c r="BK48">
        <f>$C48*BK47</f>
        <v/>
      </c>
      <c r="BL48">
        <f>$C48*BL47</f>
        <v/>
      </c>
      <c r="BM48">
        <f>$C48*BM47</f>
        <v/>
      </c>
      <c r="BN48">
        <f>$C48*BN47</f>
        <v/>
      </c>
      <c r="BO48">
        <f>$C48*BO47</f>
        <v/>
      </c>
      <c r="BP48">
        <f>$C48*BP47</f>
        <v/>
      </c>
      <c r="BQ48">
        <f>$C48*BQ47</f>
        <v/>
      </c>
      <c r="BR48">
        <f>$C48*BR47</f>
        <v/>
      </c>
      <c r="BS48">
        <f>$C48*BS47</f>
        <v/>
      </c>
      <c r="BT48">
        <f>$C48*BT47</f>
        <v/>
      </c>
      <c r="BU48">
        <f>$C48*BU47</f>
        <v/>
      </c>
      <c r="BV48">
        <f>$C48*BV47</f>
        <v/>
      </c>
      <c r="BW48">
        <f>$C48*BW47</f>
        <v/>
      </c>
      <c r="BX48">
        <f>$C48*BX47</f>
        <v/>
      </c>
      <c r="BY48">
        <f>$C48*BY47</f>
        <v/>
      </c>
      <c r="BZ48">
        <f>$C48*BZ47</f>
        <v/>
      </c>
      <c r="CA48">
        <f>$C48*CA47</f>
        <v/>
      </c>
      <c r="CB48">
        <f>$C48*CB47</f>
        <v/>
      </c>
      <c r="CC48">
        <f>$C48*CC47</f>
        <v/>
      </c>
      <c r="CD48">
        <f>$C48*CD47</f>
        <v/>
      </c>
      <c r="CE48">
        <f>$C48*CE47</f>
        <v/>
      </c>
      <c r="CF48">
        <f>$C48*CF47</f>
        <v/>
      </c>
      <c r="CG48">
        <f>$C48*CG47</f>
        <v/>
      </c>
      <c r="CH48">
        <f>$C48*CH47</f>
        <v/>
      </c>
      <c r="CI48">
        <f>$C48*CI47</f>
        <v/>
      </c>
      <c r="CJ48">
        <f>$C48*CJ47</f>
        <v/>
      </c>
      <c r="CK48">
        <f>$C48*CK47</f>
        <v/>
      </c>
      <c r="CL48">
        <f>$C48*CL47</f>
        <v/>
      </c>
      <c r="CM48">
        <f>$C48*CM47</f>
        <v/>
      </c>
      <c r="CN48">
        <f>$C48*CN47</f>
        <v/>
      </c>
      <c r="CO48">
        <f>$C48*CO47</f>
        <v/>
      </c>
      <c r="CP48">
        <f>$C48*CP47</f>
        <v/>
      </c>
      <c r="CQ48">
        <f>$C48*CQ47</f>
        <v/>
      </c>
      <c r="CR48">
        <f>$C48*CR47</f>
        <v/>
      </c>
      <c r="CS48">
        <f>$C48*CS47</f>
        <v/>
      </c>
      <c r="CT48">
        <f>$C48*CT47</f>
        <v/>
      </c>
      <c r="CU48">
        <f>$C48*CU47</f>
        <v/>
      </c>
      <c r="CV48">
        <f>$C48*CV47</f>
        <v/>
      </c>
      <c r="CW48">
        <f>$C48*CW47</f>
        <v/>
      </c>
      <c r="CX48">
        <f>$C48*CX47</f>
        <v/>
      </c>
      <c r="CY48">
        <f>$C48*CY47</f>
        <v/>
      </c>
      <c r="CZ48">
        <f>$C48*CZ47</f>
        <v/>
      </c>
      <c r="DA48">
        <f>$C48*DA47</f>
        <v/>
      </c>
      <c r="DB48">
        <f>$C48*DB47</f>
        <v/>
      </c>
      <c r="DC48">
        <f>$C48*DC47</f>
        <v/>
      </c>
    </row>
    <row r="49">
      <c r="B49" t="inlineStr">
        <is>
          <t>TSP-067</t>
        </is>
      </c>
      <c r="C49" t="inlineStr">
        <is>
          <t>No. of batches</t>
        </is>
      </c>
      <c r="D49">
        <f>IFERROR(INDEX(PP_Grid[#Data],$DD49,2),0)</f>
        <v/>
      </c>
      <c r="E49">
        <f>IFERROR(INDEX(PP_Grid[#Data],$DD49,3),0)</f>
        <v/>
      </c>
      <c r="F49">
        <f>IFERROR(INDEX(PP_Grid[#Data],$DD49,4),0)</f>
        <v/>
      </c>
      <c r="G49">
        <f>IFERROR(INDEX(PP_Grid[#Data],$DD49,5),0)</f>
        <v/>
      </c>
      <c r="H49">
        <f>IFERROR(INDEX(PP_Grid[#Data],$DD49,6),0)</f>
        <v/>
      </c>
      <c r="I49">
        <f>IFERROR(INDEX(PP_Grid[#Data],$DD49,7),0)</f>
        <v/>
      </c>
      <c r="J49">
        <f>IFERROR(INDEX(PP_Grid[#Data],$DD49,8),0)</f>
        <v/>
      </c>
      <c r="K49">
        <f>IFERROR(INDEX(PP_Grid[#Data],$DD49,9),0)</f>
        <v/>
      </c>
      <c r="L49">
        <f>IFERROR(INDEX(PP_Grid[#Data],$DD49,10),0)</f>
        <v/>
      </c>
      <c r="M49">
        <f>IFERROR(INDEX(PP_Grid[#Data],$DD49,11),0)</f>
        <v/>
      </c>
      <c r="N49">
        <f>IFERROR(INDEX(PP_Grid[#Data],$DD49,12),0)</f>
        <v/>
      </c>
      <c r="O49">
        <f>IFERROR(INDEX(PP_Grid[#Data],$DD49,13),0)</f>
        <v/>
      </c>
      <c r="P49">
        <f>IFERROR(INDEX(PP_Grid[#Data],$DD49,14),0)</f>
        <v/>
      </c>
      <c r="Q49">
        <f>IFERROR(INDEX(PP_Grid[#Data],$DD49,15),0)</f>
        <v/>
      </c>
      <c r="R49">
        <f>IFERROR(INDEX(PP_Grid[#Data],$DD49,16),0)</f>
        <v/>
      </c>
      <c r="S49">
        <f>IFERROR(INDEX(PP_Grid[#Data],$DD49,17),0)</f>
        <v/>
      </c>
      <c r="T49">
        <f>IFERROR(INDEX(PP_Grid[#Data],$DD49,18),0)</f>
        <v/>
      </c>
      <c r="U49">
        <f>IFERROR(INDEX(PP_Grid[#Data],$DD49,19),0)</f>
        <v/>
      </c>
      <c r="V49">
        <f>IFERROR(INDEX(PP_Grid[#Data],$DD49,20),0)</f>
        <v/>
      </c>
      <c r="W49">
        <f>IFERROR(INDEX(PP_Grid[#Data],$DD49,21),0)</f>
        <v/>
      </c>
      <c r="X49">
        <f>IFERROR(INDEX(PP_Grid[#Data],$DD49,22),0)</f>
        <v/>
      </c>
      <c r="Y49">
        <f>IFERROR(INDEX(PP_Grid[#Data],$DD49,23),0)</f>
        <v/>
      </c>
      <c r="Z49">
        <f>IFERROR(INDEX(PP_Grid[#Data],$DD49,24),0)</f>
        <v/>
      </c>
      <c r="AA49">
        <f>IFERROR(INDEX(PP_Grid[#Data],$DD49,25),0)</f>
        <v/>
      </c>
      <c r="AB49">
        <f>IFERROR(INDEX(PP_Grid[#Data],$DD49,26),0)</f>
        <v/>
      </c>
      <c r="AC49">
        <f>IFERROR(INDEX(PP_Grid[#Data],$DD49,27),0)</f>
        <v/>
      </c>
      <c r="AD49">
        <f>IFERROR(INDEX(PP_Grid[#Data],$DD49,28),0)</f>
        <v/>
      </c>
      <c r="AE49">
        <f>IFERROR(INDEX(PP_Grid[#Data],$DD49,29),0)</f>
        <v/>
      </c>
      <c r="AF49">
        <f>IFERROR(INDEX(PP_Grid[#Data],$DD49,30),0)</f>
        <v/>
      </c>
      <c r="AG49">
        <f>IFERROR(INDEX(PP_Grid[#Data],$DD49,31),0)</f>
        <v/>
      </c>
      <c r="AH49">
        <f>IFERROR(INDEX(PP_Grid[#Data],$DD49,32),0)</f>
        <v/>
      </c>
      <c r="AI49">
        <f>IFERROR(INDEX(PP_Grid[#Data],$DD49,33),0)</f>
        <v/>
      </c>
      <c r="AJ49">
        <f>IFERROR(INDEX(PP_Grid[#Data],$DD49,34),0)</f>
        <v/>
      </c>
      <c r="AK49">
        <f>IFERROR(INDEX(PP_Grid[#Data],$DD49,35),0)</f>
        <v/>
      </c>
      <c r="AL49">
        <f>IFERROR(INDEX(PP_Grid[#Data],$DD49,36),0)</f>
        <v/>
      </c>
      <c r="AM49">
        <f>IFERROR(INDEX(PP_Grid[#Data],$DD49,37),0)</f>
        <v/>
      </c>
      <c r="AN49">
        <f>IFERROR(INDEX(PP_Grid[#Data],$DD49,38),0)</f>
        <v/>
      </c>
      <c r="AO49">
        <f>IFERROR(INDEX(PP_Grid[#Data],$DD49,39),0)</f>
        <v/>
      </c>
      <c r="AP49">
        <f>IFERROR(INDEX(PP_Grid[#Data],$DD49,40),0)</f>
        <v/>
      </c>
      <c r="AQ49">
        <f>IFERROR(INDEX(PP_Grid[#Data],$DD49,41),0)</f>
        <v/>
      </c>
      <c r="AR49">
        <f>IFERROR(INDEX(PP_Grid[#Data],$DD49,42),0)</f>
        <v/>
      </c>
      <c r="AS49">
        <f>IFERROR(INDEX(PP_Grid[#Data],$DD49,43),0)</f>
        <v/>
      </c>
      <c r="AT49">
        <f>IFERROR(INDEX(PP_Grid[#Data],$DD49,44),0)</f>
        <v/>
      </c>
      <c r="AU49">
        <f>IFERROR(INDEX(PP_Grid[#Data],$DD49,45),0)</f>
        <v/>
      </c>
      <c r="AV49">
        <f>IFERROR(INDEX(PP_Grid[#Data],$DD49,46),0)</f>
        <v/>
      </c>
      <c r="AW49">
        <f>IFERROR(INDEX(PP_Grid[#Data],$DD49,47),0)</f>
        <v/>
      </c>
      <c r="AX49">
        <f>IFERROR(INDEX(PP_Grid[#Data],$DD49,48),0)</f>
        <v/>
      </c>
      <c r="AY49">
        <f>IFERROR(INDEX(PP_Grid[#Data],$DD49,49),0)</f>
        <v/>
      </c>
      <c r="AZ49">
        <f>IFERROR(INDEX(PP_Grid[#Data],$DD49,50),0)</f>
        <v/>
      </c>
      <c r="BA49">
        <f>IFERROR(INDEX(PP_Grid[#Data],$DD49,51),0)</f>
        <v/>
      </c>
      <c r="BB49">
        <f>IFERROR(INDEX(PP_Grid[#Data],$DD49,52),0)</f>
        <v/>
      </c>
      <c r="BC49">
        <f>IFERROR(INDEX(PP_Grid[#Data],$DD49,53),0)</f>
        <v/>
      </c>
      <c r="BD49">
        <f>IFERROR(INDEX(PP_Grid[#Data],$DD49,54),0)</f>
        <v/>
      </c>
      <c r="BE49">
        <f>IFERROR(INDEX(PP_Grid[#Data],$DD49,55),0)</f>
        <v/>
      </c>
      <c r="BF49">
        <f>IFERROR(INDEX(PP_Grid[#Data],$DD49,56),0)</f>
        <v/>
      </c>
      <c r="BG49">
        <f>IFERROR(INDEX(PP_Grid[#Data],$DD49,57),0)</f>
        <v/>
      </c>
      <c r="BH49">
        <f>IFERROR(INDEX(PP_Grid[#Data],$DD49,58),0)</f>
        <v/>
      </c>
      <c r="BI49">
        <f>IFERROR(INDEX(PP_Grid[#Data],$DD49,59),0)</f>
        <v/>
      </c>
      <c r="BJ49">
        <f>IFERROR(INDEX(PP_Grid[#Data],$DD49,60),0)</f>
        <v/>
      </c>
      <c r="BK49">
        <f>IFERROR(INDEX(PP_Grid[#Data],$DD49,61),0)</f>
        <v/>
      </c>
      <c r="BL49">
        <f>IFERROR(INDEX(PP_Grid[#Data],$DD49,62),0)</f>
        <v/>
      </c>
      <c r="BM49">
        <f>IFERROR(INDEX(PP_Grid[#Data],$DD49,63),0)</f>
        <v/>
      </c>
      <c r="BN49">
        <f>IFERROR(INDEX(PP_Grid[#Data],$DD49,64),0)</f>
        <v/>
      </c>
      <c r="BO49">
        <f>IFERROR(INDEX(PP_Grid[#Data],$DD49,65),0)</f>
        <v/>
      </c>
      <c r="BP49">
        <f>IFERROR(INDEX(PP_Grid[#Data],$DD49,66),0)</f>
        <v/>
      </c>
      <c r="BQ49">
        <f>IFERROR(INDEX(PP_Grid[#Data],$DD49,67),0)</f>
        <v/>
      </c>
      <c r="BR49">
        <f>IFERROR(INDEX(PP_Grid[#Data],$DD49,68),0)</f>
        <v/>
      </c>
      <c r="BS49">
        <f>IFERROR(INDEX(PP_Grid[#Data],$DD49,69),0)</f>
        <v/>
      </c>
      <c r="BT49">
        <f>IFERROR(INDEX(PP_Grid[#Data],$DD49,70),0)</f>
        <v/>
      </c>
      <c r="BU49">
        <f>IFERROR(INDEX(PP_Grid[#Data],$DD49,71),0)</f>
        <v/>
      </c>
      <c r="BV49">
        <f>IFERROR(INDEX(PP_Grid[#Data],$DD49,72),0)</f>
        <v/>
      </c>
      <c r="BW49">
        <f>IFERROR(INDEX(PP_Grid[#Data],$DD49,73),0)</f>
        <v/>
      </c>
      <c r="BX49">
        <f>IFERROR(INDEX(PP_Grid[#Data],$DD49,74),0)</f>
        <v/>
      </c>
      <c r="BY49">
        <f>IFERROR(INDEX(PP_Grid[#Data],$DD49,75),0)</f>
        <v/>
      </c>
      <c r="BZ49">
        <f>IFERROR(INDEX(PP_Grid[#Data],$DD49,76),0)</f>
        <v/>
      </c>
      <c r="CA49">
        <f>IFERROR(INDEX(PP_Grid[#Data],$DD49,77),0)</f>
        <v/>
      </c>
      <c r="CB49">
        <f>IFERROR(INDEX(PP_Grid[#Data],$DD49,78),0)</f>
        <v/>
      </c>
      <c r="CC49">
        <f>IFERROR(INDEX(PP_Grid[#Data],$DD49,79),0)</f>
        <v/>
      </c>
      <c r="CD49">
        <f>IFERROR(INDEX(PP_Grid[#Data],$DD49,80),0)</f>
        <v/>
      </c>
      <c r="CE49">
        <f>IFERROR(INDEX(PP_Grid[#Data],$DD49,81),0)</f>
        <v/>
      </c>
      <c r="CF49">
        <f>IFERROR(INDEX(PP_Grid[#Data],$DD49,82),0)</f>
        <v/>
      </c>
      <c r="CG49">
        <f>IFERROR(INDEX(PP_Grid[#Data],$DD49,83),0)</f>
        <v/>
      </c>
      <c r="CH49">
        <f>IFERROR(INDEX(PP_Grid[#Data],$DD49,84),0)</f>
        <v/>
      </c>
      <c r="CI49">
        <f>IFERROR(INDEX(PP_Grid[#Data],$DD49,85),0)</f>
        <v/>
      </c>
      <c r="CJ49">
        <f>IFERROR(INDEX(PP_Grid[#Data],$DD49,86),0)</f>
        <v/>
      </c>
      <c r="CK49">
        <f>IFERROR(INDEX(PP_Grid[#Data],$DD49,87),0)</f>
        <v/>
      </c>
      <c r="CL49">
        <f>IFERROR(INDEX(PP_Grid[#Data],$DD49,88),0)</f>
        <v/>
      </c>
      <c r="CM49">
        <f>IFERROR(INDEX(PP_Grid[#Data],$DD49,89),0)</f>
        <v/>
      </c>
      <c r="CN49">
        <f>IFERROR(INDEX(PP_Grid[#Data],$DD49,90),0)</f>
        <v/>
      </c>
      <c r="CO49">
        <f>IFERROR(INDEX(PP_Grid[#Data],$DD49,91),0)</f>
        <v/>
      </c>
      <c r="CP49">
        <f>IFERROR(INDEX(PP_Grid[#Data],$DD49,92),0)</f>
        <v/>
      </c>
      <c r="CQ49">
        <f>IFERROR(INDEX(PP_Grid[#Data],$DD49,93),0)</f>
        <v/>
      </c>
      <c r="CR49">
        <f>IFERROR(INDEX(PP_Grid[#Data],$DD49,94),0)</f>
        <v/>
      </c>
      <c r="CS49">
        <f>IFERROR(INDEX(PP_Grid[#Data],$DD49,95),0)</f>
        <v/>
      </c>
      <c r="CT49">
        <f>IFERROR(INDEX(PP_Grid[#Data],$DD49,96),0)</f>
        <v/>
      </c>
      <c r="CU49">
        <f>IFERROR(INDEX(PP_Grid[#Data],$DD49,97),0)</f>
        <v/>
      </c>
      <c r="CV49">
        <f>IFERROR(INDEX(PP_Grid[#Data],$DD49,98),0)</f>
        <v/>
      </c>
      <c r="CW49">
        <f>IFERROR(INDEX(PP_Grid[#Data],$DD49,99),0)</f>
        <v/>
      </c>
      <c r="CX49">
        <f>IFERROR(INDEX(PP_Grid[#Data],$DD49,100),0)</f>
        <v/>
      </c>
      <c r="CY49">
        <f>IFERROR(INDEX(PP_Grid[#Data],$DD49,101),0)</f>
        <v/>
      </c>
      <c r="CZ49">
        <f>IFERROR(INDEX(PP_Grid[#Data],$DD49,102),0)</f>
        <v/>
      </c>
      <c r="DA49">
        <f>IFERROR(INDEX(PP_Grid[#Data],$DD49,103),0)</f>
        <v/>
      </c>
      <c r="DB49">
        <f>IFERROR(INDEX(PP_Grid[#Data],$DD49,104),0)</f>
        <v/>
      </c>
      <c r="DC49">
        <f>IFERROR(INDEX(PP_Grid[#Data],$DD49,105),0)</f>
        <v/>
      </c>
      <c r="DD49" s="7">
        <f>IFERROR(MATCH($B49,PP_Grid[Intermediate],0),99999)</f>
        <v/>
      </c>
    </row>
    <row r="50">
      <c r="B50" t="inlineStr">
        <is>
          <t>使用量(kg)</t>
        </is>
      </c>
      <c r="C50">
        <f>SUMIFS(M_BOM[RM_Qty_Per_Batch],M_BOM[Intermediate],$B49,M_BOM[Part Name],$A44)</f>
        <v/>
      </c>
      <c r="D50">
        <f>$C50*D49</f>
        <v/>
      </c>
      <c r="E50">
        <f>$C50*E49</f>
        <v/>
      </c>
      <c r="F50">
        <f>$C50*F49</f>
        <v/>
      </c>
      <c r="G50">
        <f>$C50*G49</f>
        <v/>
      </c>
      <c r="H50">
        <f>$C50*H49</f>
        <v/>
      </c>
      <c r="I50">
        <f>$C50*I49</f>
        <v/>
      </c>
      <c r="J50">
        <f>$C50*J49</f>
        <v/>
      </c>
      <c r="K50">
        <f>$C50*K49</f>
        <v/>
      </c>
      <c r="L50">
        <f>$C50*L49</f>
        <v/>
      </c>
      <c r="M50">
        <f>$C50*M49</f>
        <v/>
      </c>
      <c r="N50">
        <f>$C50*N49</f>
        <v/>
      </c>
      <c r="O50">
        <f>$C50*O49</f>
        <v/>
      </c>
      <c r="P50">
        <f>$C50*P49</f>
        <v/>
      </c>
      <c r="Q50">
        <f>$C50*Q49</f>
        <v/>
      </c>
      <c r="R50">
        <f>$C50*R49</f>
        <v/>
      </c>
      <c r="S50">
        <f>$C50*S49</f>
        <v/>
      </c>
      <c r="T50">
        <f>$C50*T49</f>
        <v/>
      </c>
      <c r="U50">
        <f>$C50*U49</f>
        <v/>
      </c>
      <c r="V50">
        <f>$C50*V49</f>
        <v/>
      </c>
      <c r="W50">
        <f>$C50*W49</f>
        <v/>
      </c>
      <c r="X50">
        <f>$C50*X49</f>
        <v/>
      </c>
      <c r="Y50">
        <f>$C50*Y49</f>
        <v/>
      </c>
      <c r="Z50">
        <f>$C50*Z49</f>
        <v/>
      </c>
      <c r="AA50">
        <f>$C50*AA49</f>
        <v/>
      </c>
      <c r="AB50">
        <f>$C50*AB49</f>
        <v/>
      </c>
      <c r="AC50">
        <f>$C50*AC49</f>
        <v/>
      </c>
      <c r="AD50">
        <f>$C50*AD49</f>
        <v/>
      </c>
      <c r="AE50">
        <f>$C50*AE49</f>
        <v/>
      </c>
      <c r="AF50">
        <f>$C50*AF49</f>
        <v/>
      </c>
      <c r="AG50">
        <f>$C50*AG49</f>
        <v/>
      </c>
      <c r="AH50">
        <f>$C50*AH49</f>
        <v/>
      </c>
      <c r="AI50">
        <f>$C50*AI49</f>
        <v/>
      </c>
      <c r="AJ50">
        <f>$C50*AJ49</f>
        <v/>
      </c>
      <c r="AK50">
        <f>$C50*AK49</f>
        <v/>
      </c>
      <c r="AL50">
        <f>$C50*AL49</f>
        <v/>
      </c>
      <c r="AM50">
        <f>$C50*AM49</f>
        <v/>
      </c>
      <c r="AN50">
        <f>$C50*AN49</f>
        <v/>
      </c>
      <c r="AO50">
        <f>$C50*AO49</f>
        <v/>
      </c>
      <c r="AP50">
        <f>$C50*AP49</f>
        <v/>
      </c>
      <c r="AQ50">
        <f>$C50*AQ49</f>
        <v/>
      </c>
      <c r="AR50">
        <f>$C50*AR49</f>
        <v/>
      </c>
      <c r="AS50">
        <f>$C50*AS49</f>
        <v/>
      </c>
      <c r="AT50">
        <f>$C50*AT49</f>
        <v/>
      </c>
      <c r="AU50">
        <f>$C50*AU49</f>
        <v/>
      </c>
      <c r="AV50">
        <f>$C50*AV49</f>
        <v/>
      </c>
      <c r="AW50">
        <f>$C50*AW49</f>
        <v/>
      </c>
      <c r="AX50">
        <f>$C50*AX49</f>
        <v/>
      </c>
      <c r="AY50">
        <f>$C50*AY49</f>
        <v/>
      </c>
      <c r="AZ50">
        <f>$C50*AZ49</f>
        <v/>
      </c>
      <c r="BA50">
        <f>$C50*BA49</f>
        <v/>
      </c>
      <c r="BB50">
        <f>$C50*BB49</f>
        <v/>
      </c>
      <c r="BC50">
        <f>$C50*BC49</f>
        <v/>
      </c>
      <c r="BD50">
        <f>$C50*BD49</f>
        <v/>
      </c>
      <c r="BE50">
        <f>$C50*BE49</f>
        <v/>
      </c>
      <c r="BF50">
        <f>$C50*BF49</f>
        <v/>
      </c>
      <c r="BG50">
        <f>$C50*BG49</f>
        <v/>
      </c>
      <c r="BH50">
        <f>$C50*BH49</f>
        <v/>
      </c>
      <c r="BI50">
        <f>$C50*BI49</f>
        <v/>
      </c>
      <c r="BJ50">
        <f>$C50*BJ49</f>
        <v/>
      </c>
      <c r="BK50">
        <f>$C50*BK49</f>
        <v/>
      </c>
      <c r="BL50">
        <f>$C50*BL49</f>
        <v/>
      </c>
      <c r="BM50">
        <f>$C50*BM49</f>
        <v/>
      </c>
      <c r="BN50">
        <f>$C50*BN49</f>
        <v/>
      </c>
      <c r="BO50">
        <f>$C50*BO49</f>
        <v/>
      </c>
      <c r="BP50">
        <f>$C50*BP49</f>
        <v/>
      </c>
      <c r="BQ50">
        <f>$C50*BQ49</f>
        <v/>
      </c>
      <c r="BR50">
        <f>$C50*BR49</f>
        <v/>
      </c>
      <c r="BS50">
        <f>$C50*BS49</f>
        <v/>
      </c>
      <c r="BT50">
        <f>$C50*BT49</f>
        <v/>
      </c>
      <c r="BU50">
        <f>$C50*BU49</f>
        <v/>
      </c>
      <c r="BV50">
        <f>$C50*BV49</f>
        <v/>
      </c>
      <c r="BW50">
        <f>$C50*BW49</f>
        <v/>
      </c>
      <c r="BX50">
        <f>$C50*BX49</f>
        <v/>
      </c>
      <c r="BY50">
        <f>$C50*BY49</f>
        <v/>
      </c>
      <c r="BZ50">
        <f>$C50*BZ49</f>
        <v/>
      </c>
      <c r="CA50">
        <f>$C50*CA49</f>
        <v/>
      </c>
      <c r="CB50">
        <f>$C50*CB49</f>
        <v/>
      </c>
      <c r="CC50">
        <f>$C50*CC49</f>
        <v/>
      </c>
      <c r="CD50">
        <f>$C50*CD49</f>
        <v/>
      </c>
      <c r="CE50">
        <f>$C50*CE49</f>
        <v/>
      </c>
      <c r="CF50">
        <f>$C50*CF49</f>
        <v/>
      </c>
      <c r="CG50">
        <f>$C50*CG49</f>
        <v/>
      </c>
      <c r="CH50">
        <f>$C50*CH49</f>
        <v/>
      </c>
      <c r="CI50">
        <f>$C50*CI49</f>
        <v/>
      </c>
      <c r="CJ50">
        <f>$C50*CJ49</f>
        <v/>
      </c>
      <c r="CK50">
        <f>$C50*CK49</f>
        <v/>
      </c>
      <c r="CL50">
        <f>$C50*CL49</f>
        <v/>
      </c>
      <c r="CM50">
        <f>$C50*CM49</f>
        <v/>
      </c>
      <c r="CN50">
        <f>$C50*CN49</f>
        <v/>
      </c>
      <c r="CO50">
        <f>$C50*CO49</f>
        <v/>
      </c>
      <c r="CP50">
        <f>$C50*CP49</f>
        <v/>
      </c>
      <c r="CQ50">
        <f>$C50*CQ49</f>
        <v/>
      </c>
      <c r="CR50">
        <f>$C50*CR49</f>
        <v/>
      </c>
      <c r="CS50">
        <f>$C50*CS49</f>
        <v/>
      </c>
      <c r="CT50">
        <f>$C50*CT49</f>
        <v/>
      </c>
      <c r="CU50">
        <f>$C50*CU49</f>
        <v/>
      </c>
      <c r="CV50">
        <f>$C50*CV49</f>
        <v/>
      </c>
      <c r="CW50">
        <f>$C50*CW49</f>
        <v/>
      </c>
      <c r="CX50">
        <f>$C50*CX49</f>
        <v/>
      </c>
      <c r="CY50">
        <f>$C50*CY49</f>
        <v/>
      </c>
      <c r="CZ50">
        <f>$C50*CZ49</f>
        <v/>
      </c>
      <c r="DA50">
        <f>$C50*DA49</f>
        <v/>
      </c>
      <c r="DB50">
        <f>$C50*DB49</f>
        <v/>
      </c>
      <c r="DC50">
        <f>$C50*DC49</f>
        <v/>
      </c>
    </row>
    <row r="51">
      <c r="B51" t="inlineStr">
        <is>
          <t>TSP-069</t>
        </is>
      </c>
      <c r="C51" t="inlineStr">
        <is>
          <t>No. of batches</t>
        </is>
      </c>
      <c r="D51">
        <f>IFERROR(INDEX(PP_Grid[#Data],$DD51,2),0)</f>
        <v/>
      </c>
      <c r="E51">
        <f>IFERROR(INDEX(PP_Grid[#Data],$DD51,3),0)</f>
        <v/>
      </c>
      <c r="F51">
        <f>IFERROR(INDEX(PP_Grid[#Data],$DD51,4),0)</f>
        <v/>
      </c>
      <c r="G51">
        <f>IFERROR(INDEX(PP_Grid[#Data],$DD51,5),0)</f>
        <v/>
      </c>
      <c r="H51">
        <f>IFERROR(INDEX(PP_Grid[#Data],$DD51,6),0)</f>
        <v/>
      </c>
      <c r="I51">
        <f>IFERROR(INDEX(PP_Grid[#Data],$DD51,7),0)</f>
        <v/>
      </c>
      <c r="J51">
        <f>IFERROR(INDEX(PP_Grid[#Data],$DD51,8),0)</f>
        <v/>
      </c>
      <c r="K51">
        <f>IFERROR(INDEX(PP_Grid[#Data],$DD51,9),0)</f>
        <v/>
      </c>
      <c r="L51">
        <f>IFERROR(INDEX(PP_Grid[#Data],$DD51,10),0)</f>
        <v/>
      </c>
      <c r="M51">
        <f>IFERROR(INDEX(PP_Grid[#Data],$DD51,11),0)</f>
        <v/>
      </c>
      <c r="N51">
        <f>IFERROR(INDEX(PP_Grid[#Data],$DD51,12),0)</f>
        <v/>
      </c>
      <c r="O51">
        <f>IFERROR(INDEX(PP_Grid[#Data],$DD51,13),0)</f>
        <v/>
      </c>
      <c r="P51">
        <f>IFERROR(INDEX(PP_Grid[#Data],$DD51,14),0)</f>
        <v/>
      </c>
      <c r="Q51">
        <f>IFERROR(INDEX(PP_Grid[#Data],$DD51,15),0)</f>
        <v/>
      </c>
      <c r="R51">
        <f>IFERROR(INDEX(PP_Grid[#Data],$DD51,16),0)</f>
        <v/>
      </c>
      <c r="S51">
        <f>IFERROR(INDEX(PP_Grid[#Data],$DD51,17),0)</f>
        <v/>
      </c>
      <c r="T51">
        <f>IFERROR(INDEX(PP_Grid[#Data],$DD51,18),0)</f>
        <v/>
      </c>
      <c r="U51">
        <f>IFERROR(INDEX(PP_Grid[#Data],$DD51,19),0)</f>
        <v/>
      </c>
      <c r="V51">
        <f>IFERROR(INDEX(PP_Grid[#Data],$DD51,20),0)</f>
        <v/>
      </c>
      <c r="W51">
        <f>IFERROR(INDEX(PP_Grid[#Data],$DD51,21),0)</f>
        <v/>
      </c>
      <c r="X51">
        <f>IFERROR(INDEX(PP_Grid[#Data],$DD51,22),0)</f>
        <v/>
      </c>
      <c r="Y51">
        <f>IFERROR(INDEX(PP_Grid[#Data],$DD51,23),0)</f>
        <v/>
      </c>
      <c r="Z51">
        <f>IFERROR(INDEX(PP_Grid[#Data],$DD51,24),0)</f>
        <v/>
      </c>
      <c r="AA51">
        <f>IFERROR(INDEX(PP_Grid[#Data],$DD51,25),0)</f>
        <v/>
      </c>
      <c r="AB51">
        <f>IFERROR(INDEX(PP_Grid[#Data],$DD51,26),0)</f>
        <v/>
      </c>
      <c r="AC51">
        <f>IFERROR(INDEX(PP_Grid[#Data],$DD51,27),0)</f>
        <v/>
      </c>
      <c r="AD51">
        <f>IFERROR(INDEX(PP_Grid[#Data],$DD51,28),0)</f>
        <v/>
      </c>
      <c r="AE51">
        <f>IFERROR(INDEX(PP_Grid[#Data],$DD51,29),0)</f>
        <v/>
      </c>
      <c r="AF51">
        <f>IFERROR(INDEX(PP_Grid[#Data],$DD51,30),0)</f>
        <v/>
      </c>
      <c r="AG51">
        <f>IFERROR(INDEX(PP_Grid[#Data],$DD51,31),0)</f>
        <v/>
      </c>
      <c r="AH51">
        <f>IFERROR(INDEX(PP_Grid[#Data],$DD51,32),0)</f>
        <v/>
      </c>
      <c r="AI51">
        <f>IFERROR(INDEX(PP_Grid[#Data],$DD51,33),0)</f>
        <v/>
      </c>
      <c r="AJ51">
        <f>IFERROR(INDEX(PP_Grid[#Data],$DD51,34),0)</f>
        <v/>
      </c>
      <c r="AK51">
        <f>IFERROR(INDEX(PP_Grid[#Data],$DD51,35),0)</f>
        <v/>
      </c>
      <c r="AL51">
        <f>IFERROR(INDEX(PP_Grid[#Data],$DD51,36),0)</f>
        <v/>
      </c>
      <c r="AM51">
        <f>IFERROR(INDEX(PP_Grid[#Data],$DD51,37),0)</f>
        <v/>
      </c>
      <c r="AN51">
        <f>IFERROR(INDEX(PP_Grid[#Data],$DD51,38),0)</f>
        <v/>
      </c>
      <c r="AO51">
        <f>IFERROR(INDEX(PP_Grid[#Data],$DD51,39),0)</f>
        <v/>
      </c>
      <c r="AP51">
        <f>IFERROR(INDEX(PP_Grid[#Data],$DD51,40),0)</f>
        <v/>
      </c>
      <c r="AQ51">
        <f>IFERROR(INDEX(PP_Grid[#Data],$DD51,41),0)</f>
        <v/>
      </c>
      <c r="AR51">
        <f>IFERROR(INDEX(PP_Grid[#Data],$DD51,42),0)</f>
        <v/>
      </c>
      <c r="AS51">
        <f>IFERROR(INDEX(PP_Grid[#Data],$DD51,43),0)</f>
        <v/>
      </c>
      <c r="AT51">
        <f>IFERROR(INDEX(PP_Grid[#Data],$DD51,44),0)</f>
        <v/>
      </c>
      <c r="AU51">
        <f>IFERROR(INDEX(PP_Grid[#Data],$DD51,45),0)</f>
        <v/>
      </c>
      <c r="AV51">
        <f>IFERROR(INDEX(PP_Grid[#Data],$DD51,46),0)</f>
        <v/>
      </c>
      <c r="AW51">
        <f>IFERROR(INDEX(PP_Grid[#Data],$DD51,47),0)</f>
        <v/>
      </c>
      <c r="AX51">
        <f>IFERROR(INDEX(PP_Grid[#Data],$DD51,48),0)</f>
        <v/>
      </c>
      <c r="AY51">
        <f>IFERROR(INDEX(PP_Grid[#Data],$DD51,49),0)</f>
        <v/>
      </c>
      <c r="AZ51">
        <f>IFERROR(INDEX(PP_Grid[#Data],$DD51,50),0)</f>
        <v/>
      </c>
      <c r="BA51">
        <f>IFERROR(INDEX(PP_Grid[#Data],$DD51,51),0)</f>
        <v/>
      </c>
      <c r="BB51">
        <f>IFERROR(INDEX(PP_Grid[#Data],$DD51,52),0)</f>
        <v/>
      </c>
      <c r="BC51">
        <f>IFERROR(INDEX(PP_Grid[#Data],$DD51,53),0)</f>
        <v/>
      </c>
      <c r="BD51">
        <f>IFERROR(INDEX(PP_Grid[#Data],$DD51,54),0)</f>
        <v/>
      </c>
      <c r="BE51">
        <f>IFERROR(INDEX(PP_Grid[#Data],$DD51,55),0)</f>
        <v/>
      </c>
      <c r="BF51">
        <f>IFERROR(INDEX(PP_Grid[#Data],$DD51,56),0)</f>
        <v/>
      </c>
      <c r="BG51">
        <f>IFERROR(INDEX(PP_Grid[#Data],$DD51,57),0)</f>
        <v/>
      </c>
      <c r="BH51">
        <f>IFERROR(INDEX(PP_Grid[#Data],$DD51,58),0)</f>
        <v/>
      </c>
      <c r="BI51">
        <f>IFERROR(INDEX(PP_Grid[#Data],$DD51,59),0)</f>
        <v/>
      </c>
      <c r="BJ51">
        <f>IFERROR(INDEX(PP_Grid[#Data],$DD51,60),0)</f>
        <v/>
      </c>
      <c r="BK51">
        <f>IFERROR(INDEX(PP_Grid[#Data],$DD51,61),0)</f>
        <v/>
      </c>
      <c r="BL51">
        <f>IFERROR(INDEX(PP_Grid[#Data],$DD51,62),0)</f>
        <v/>
      </c>
      <c r="BM51">
        <f>IFERROR(INDEX(PP_Grid[#Data],$DD51,63),0)</f>
        <v/>
      </c>
      <c r="BN51">
        <f>IFERROR(INDEX(PP_Grid[#Data],$DD51,64),0)</f>
        <v/>
      </c>
      <c r="BO51">
        <f>IFERROR(INDEX(PP_Grid[#Data],$DD51,65),0)</f>
        <v/>
      </c>
      <c r="BP51">
        <f>IFERROR(INDEX(PP_Grid[#Data],$DD51,66),0)</f>
        <v/>
      </c>
      <c r="BQ51">
        <f>IFERROR(INDEX(PP_Grid[#Data],$DD51,67),0)</f>
        <v/>
      </c>
      <c r="BR51">
        <f>IFERROR(INDEX(PP_Grid[#Data],$DD51,68),0)</f>
        <v/>
      </c>
      <c r="BS51">
        <f>IFERROR(INDEX(PP_Grid[#Data],$DD51,69),0)</f>
        <v/>
      </c>
      <c r="BT51">
        <f>IFERROR(INDEX(PP_Grid[#Data],$DD51,70),0)</f>
        <v/>
      </c>
      <c r="BU51">
        <f>IFERROR(INDEX(PP_Grid[#Data],$DD51,71),0)</f>
        <v/>
      </c>
      <c r="BV51">
        <f>IFERROR(INDEX(PP_Grid[#Data],$DD51,72),0)</f>
        <v/>
      </c>
      <c r="BW51">
        <f>IFERROR(INDEX(PP_Grid[#Data],$DD51,73),0)</f>
        <v/>
      </c>
      <c r="BX51">
        <f>IFERROR(INDEX(PP_Grid[#Data],$DD51,74),0)</f>
        <v/>
      </c>
      <c r="BY51">
        <f>IFERROR(INDEX(PP_Grid[#Data],$DD51,75),0)</f>
        <v/>
      </c>
      <c r="BZ51">
        <f>IFERROR(INDEX(PP_Grid[#Data],$DD51,76),0)</f>
        <v/>
      </c>
      <c r="CA51">
        <f>IFERROR(INDEX(PP_Grid[#Data],$DD51,77),0)</f>
        <v/>
      </c>
      <c r="CB51">
        <f>IFERROR(INDEX(PP_Grid[#Data],$DD51,78),0)</f>
        <v/>
      </c>
      <c r="CC51">
        <f>IFERROR(INDEX(PP_Grid[#Data],$DD51,79),0)</f>
        <v/>
      </c>
      <c r="CD51">
        <f>IFERROR(INDEX(PP_Grid[#Data],$DD51,80),0)</f>
        <v/>
      </c>
      <c r="CE51">
        <f>IFERROR(INDEX(PP_Grid[#Data],$DD51,81),0)</f>
        <v/>
      </c>
      <c r="CF51">
        <f>IFERROR(INDEX(PP_Grid[#Data],$DD51,82),0)</f>
        <v/>
      </c>
      <c r="CG51">
        <f>IFERROR(INDEX(PP_Grid[#Data],$DD51,83),0)</f>
        <v/>
      </c>
      <c r="CH51">
        <f>IFERROR(INDEX(PP_Grid[#Data],$DD51,84),0)</f>
        <v/>
      </c>
      <c r="CI51">
        <f>IFERROR(INDEX(PP_Grid[#Data],$DD51,85),0)</f>
        <v/>
      </c>
      <c r="CJ51">
        <f>IFERROR(INDEX(PP_Grid[#Data],$DD51,86),0)</f>
        <v/>
      </c>
      <c r="CK51">
        <f>IFERROR(INDEX(PP_Grid[#Data],$DD51,87),0)</f>
        <v/>
      </c>
      <c r="CL51">
        <f>IFERROR(INDEX(PP_Grid[#Data],$DD51,88),0)</f>
        <v/>
      </c>
      <c r="CM51">
        <f>IFERROR(INDEX(PP_Grid[#Data],$DD51,89),0)</f>
        <v/>
      </c>
      <c r="CN51">
        <f>IFERROR(INDEX(PP_Grid[#Data],$DD51,90),0)</f>
        <v/>
      </c>
      <c r="CO51">
        <f>IFERROR(INDEX(PP_Grid[#Data],$DD51,91),0)</f>
        <v/>
      </c>
      <c r="CP51">
        <f>IFERROR(INDEX(PP_Grid[#Data],$DD51,92),0)</f>
        <v/>
      </c>
      <c r="CQ51">
        <f>IFERROR(INDEX(PP_Grid[#Data],$DD51,93),0)</f>
        <v/>
      </c>
      <c r="CR51">
        <f>IFERROR(INDEX(PP_Grid[#Data],$DD51,94),0)</f>
        <v/>
      </c>
      <c r="CS51">
        <f>IFERROR(INDEX(PP_Grid[#Data],$DD51,95),0)</f>
        <v/>
      </c>
      <c r="CT51">
        <f>IFERROR(INDEX(PP_Grid[#Data],$DD51,96),0)</f>
        <v/>
      </c>
      <c r="CU51">
        <f>IFERROR(INDEX(PP_Grid[#Data],$DD51,97),0)</f>
        <v/>
      </c>
      <c r="CV51">
        <f>IFERROR(INDEX(PP_Grid[#Data],$DD51,98),0)</f>
        <v/>
      </c>
      <c r="CW51">
        <f>IFERROR(INDEX(PP_Grid[#Data],$DD51,99),0)</f>
        <v/>
      </c>
      <c r="CX51">
        <f>IFERROR(INDEX(PP_Grid[#Data],$DD51,100),0)</f>
        <v/>
      </c>
      <c r="CY51">
        <f>IFERROR(INDEX(PP_Grid[#Data],$DD51,101),0)</f>
        <v/>
      </c>
      <c r="CZ51">
        <f>IFERROR(INDEX(PP_Grid[#Data],$DD51,102),0)</f>
        <v/>
      </c>
      <c r="DA51">
        <f>IFERROR(INDEX(PP_Grid[#Data],$DD51,103),0)</f>
        <v/>
      </c>
      <c r="DB51">
        <f>IFERROR(INDEX(PP_Grid[#Data],$DD51,104),0)</f>
        <v/>
      </c>
      <c r="DC51">
        <f>IFERROR(INDEX(PP_Grid[#Data],$DD51,105),0)</f>
        <v/>
      </c>
      <c r="DD51" s="7">
        <f>IFERROR(MATCH($B51,PP_Grid[Intermediate],0),99999)</f>
        <v/>
      </c>
    </row>
    <row r="52">
      <c r="B52" t="inlineStr">
        <is>
          <t>使用量(kg)</t>
        </is>
      </c>
      <c r="C52">
        <f>SUMIFS(M_BOM[RM_Qty_Per_Batch],M_BOM[Intermediate],$B51,M_BOM[Part Name],$A44)</f>
        <v/>
      </c>
      <c r="D52">
        <f>$C52*D51</f>
        <v/>
      </c>
      <c r="E52">
        <f>$C52*E51</f>
        <v/>
      </c>
      <c r="F52">
        <f>$C52*F51</f>
        <v/>
      </c>
      <c r="G52">
        <f>$C52*G51</f>
        <v/>
      </c>
      <c r="H52">
        <f>$C52*H51</f>
        <v/>
      </c>
      <c r="I52">
        <f>$C52*I51</f>
        <v/>
      </c>
      <c r="J52">
        <f>$C52*J51</f>
        <v/>
      </c>
      <c r="K52">
        <f>$C52*K51</f>
        <v/>
      </c>
      <c r="L52">
        <f>$C52*L51</f>
        <v/>
      </c>
      <c r="M52">
        <f>$C52*M51</f>
        <v/>
      </c>
      <c r="N52">
        <f>$C52*N51</f>
        <v/>
      </c>
      <c r="O52">
        <f>$C52*O51</f>
        <v/>
      </c>
      <c r="P52">
        <f>$C52*P51</f>
        <v/>
      </c>
      <c r="Q52">
        <f>$C52*Q51</f>
        <v/>
      </c>
      <c r="R52">
        <f>$C52*R51</f>
        <v/>
      </c>
      <c r="S52">
        <f>$C52*S51</f>
        <v/>
      </c>
      <c r="T52">
        <f>$C52*T51</f>
        <v/>
      </c>
      <c r="U52">
        <f>$C52*U51</f>
        <v/>
      </c>
      <c r="V52">
        <f>$C52*V51</f>
        <v/>
      </c>
      <c r="W52">
        <f>$C52*W51</f>
        <v/>
      </c>
      <c r="X52">
        <f>$C52*X51</f>
        <v/>
      </c>
      <c r="Y52">
        <f>$C52*Y51</f>
        <v/>
      </c>
      <c r="Z52">
        <f>$C52*Z51</f>
        <v/>
      </c>
      <c r="AA52">
        <f>$C52*AA51</f>
        <v/>
      </c>
      <c r="AB52">
        <f>$C52*AB51</f>
        <v/>
      </c>
      <c r="AC52">
        <f>$C52*AC51</f>
        <v/>
      </c>
      <c r="AD52">
        <f>$C52*AD51</f>
        <v/>
      </c>
      <c r="AE52">
        <f>$C52*AE51</f>
        <v/>
      </c>
      <c r="AF52">
        <f>$C52*AF51</f>
        <v/>
      </c>
      <c r="AG52">
        <f>$C52*AG51</f>
        <v/>
      </c>
      <c r="AH52">
        <f>$C52*AH51</f>
        <v/>
      </c>
      <c r="AI52">
        <f>$C52*AI51</f>
        <v/>
      </c>
      <c r="AJ52">
        <f>$C52*AJ51</f>
        <v/>
      </c>
      <c r="AK52">
        <f>$C52*AK51</f>
        <v/>
      </c>
      <c r="AL52">
        <f>$C52*AL51</f>
        <v/>
      </c>
      <c r="AM52">
        <f>$C52*AM51</f>
        <v/>
      </c>
      <c r="AN52">
        <f>$C52*AN51</f>
        <v/>
      </c>
      <c r="AO52">
        <f>$C52*AO51</f>
        <v/>
      </c>
      <c r="AP52">
        <f>$C52*AP51</f>
        <v/>
      </c>
      <c r="AQ52">
        <f>$C52*AQ51</f>
        <v/>
      </c>
      <c r="AR52">
        <f>$C52*AR51</f>
        <v/>
      </c>
      <c r="AS52">
        <f>$C52*AS51</f>
        <v/>
      </c>
      <c r="AT52">
        <f>$C52*AT51</f>
        <v/>
      </c>
      <c r="AU52">
        <f>$C52*AU51</f>
        <v/>
      </c>
      <c r="AV52">
        <f>$C52*AV51</f>
        <v/>
      </c>
      <c r="AW52">
        <f>$C52*AW51</f>
        <v/>
      </c>
      <c r="AX52">
        <f>$C52*AX51</f>
        <v/>
      </c>
      <c r="AY52">
        <f>$C52*AY51</f>
        <v/>
      </c>
      <c r="AZ52">
        <f>$C52*AZ51</f>
        <v/>
      </c>
      <c r="BA52">
        <f>$C52*BA51</f>
        <v/>
      </c>
      <c r="BB52">
        <f>$C52*BB51</f>
        <v/>
      </c>
      <c r="BC52">
        <f>$C52*BC51</f>
        <v/>
      </c>
      <c r="BD52">
        <f>$C52*BD51</f>
        <v/>
      </c>
      <c r="BE52">
        <f>$C52*BE51</f>
        <v/>
      </c>
      <c r="BF52">
        <f>$C52*BF51</f>
        <v/>
      </c>
      <c r="BG52">
        <f>$C52*BG51</f>
        <v/>
      </c>
      <c r="BH52">
        <f>$C52*BH51</f>
        <v/>
      </c>
      <c r="BI52">
        <f>$C52*BI51</f>
        <v/>
      </c>
      <c r="BJ52">
        <f>$C52*BJ51</f>
        <v/>
      </c>
      <c r="BK52">
        <f>$C52*BK51</f>
        <v/>
      </c>
      <c r="BL52">
        <f>$C52*BL51</f>
        <v/>
      </c>
      <c r="BM52">
        <f>$C52*BM51</f>
        <v/>
      </c>
      <c r="BN52">
        <f>$C52*BN51</f>
        <v/>
      </c>
      <c r="BO52">
        <f>$C52*BO51</f>
        <v/>
      </c>
      <c r="BP52">
        <f>$C52*BP51</f>
        <v/>
      </c>
      <c r="BQ52">
        <f>$C52*BQ51</f>
        <v/>
      </c>
      <c r="BR52">
        <f>$C52*BR51</f>
        <v/>
      </c>
      <c r="BS52">
        <f>$C52*BS51</f>
        <v/>
      </c>
      <c r="BT52">
        <f>$C52*BT51</f>
        <v/>
      </c>
      <c r="BU52">
        <f>$C52*BU51</f>
        <v/>
      </c>
      <c r="BV52">
        <f>$C52*BV51</f>
        <v/>
      </c>
      <c r="BW52">
        <f>$C52*BW51</f>
        <v/>
      </c>
      <c r="BX52">
        <f>$C52*BX51</f>
        <v/>
      </c>
      <c r="BY52">
        <f>$C52*BY51</f>
        <v/>
      </c>
      <c r="BZ52">
        <f>$C52*BZ51</f>
        <v/>
      </c>
      <c r="CA52">
        <f>$C52*CA51</f>
        <v/>
      </c>
      <c r="CB52">
        <f>$C52*CB51</f>
        <v/>
      </c>
      <c r="CC52">
        <f>$C52*CC51</f>
        <v/>
      </c>
      <c r="CD52">
        <f>$C52*CD51</f>
        <v/>
      </c>
      <c r="CE52">
        <f>$C52*CE51</f>
        <v/>
      </c>
      <c r="CF52">
        <f>$C52*CF51</f>
        <v/>
      </c>
      <c r="CG52">
        <f>$C52*CG51</f>
        <v/>
      </c>
      <c r="CH52">
        <f>$C52*CH51</f>
        <v/>
      </c>
      <c r="CI52">
        <f>$C52*CI51</f>
        <v/>
      </c>
      <c r="CJ52">
        <f>$C52*CJ51</f>
        <v/>
      </c>
      <c r="CK52">
        <f>$C52*CK51</f>
        <v/>
      </c>
      <c r="CL52">
        <f>$C52*CL51</f>
        <v/>
      </c>
      <c r="CM52">
        <f>$C52*CM51</f>
        <v/>
      </c>
      <c r="CN52">
        <f>$C52*CN51</f>
        <v/>
      </c>
      <c r="CO52">
        <f>$C52*CO51</f>
        <v/>
      </c>
      <c r="CP52">
        <f>$C52*CP51</f>
        <v/>
      </c>
      <c r="CQ52">
        <f>$C52*CQ51</f>
        <v/>
      </c>
      <c r="CR52">
        <f>$C52*CR51</f>
        <v/>
      </c>
      <c r="CS52">
        <f>$C52*CS51</f>
        <v/>
      </c>
      <c r="CT52">
        <f>$C52*CT51</f>
        <v/>
      </c>
      <c r="CU52">
        <f>$C52*CU51</f>
        <v/>
      </c>
      <c r="CV52">
        <f>$C52*CV51</f>
        <v/>
      </c>
      <c r="CW52">
        <f>$C52*CW51</f>
        <v/>
      </c>
      <c r="CX52">
        <f>$C52*CX51</f>
        <v/>
      </c>
      <c r="CY52">
        <f>$C52*CY51</f>
        <v/>
      </c>
      <c r="CZ52">
        <f>$C52*CZ51</f>
        <v/>
      </c>
      <c r="DA52">
        <f>$C52*DA51</f>
        <v/>
      </c>
      <c r="DB52">
        <f>$C52*DB51</f>
        <v/>
      </c>
      <c r="DC52">
        <f>$C52*DC51</f>
        <v/>
      </c>
    </row>
    <row r="53">
      <c r="B53" t="inlineStr">
        <is>
          <t>TSP-077</t>
        </is>
      </c>
      <c r="C53" t="inlineStr">
        <is>
          <t>No. of batches</t>
        </is>
      </c>
      <c r="D53">
        <f>IFERROR(INDEX(PP_Grid[#Data],$DD53,2),0)</f>
        <v/>
      </c>
      <c r="E53">
        <f>IFERROR(INDEX(PP_Grid[#Data],$DD53,3),0)</f>
        <v/>
      </c>
      <c r="F53">
        <f>IFERROR(INDEX(PP_Grid[#Data],$DD53,4),0)</f>
        <v/>
      </c>
      <c r="G53">
        <f>IFERROR(INDEX(PP_Grid[#Data],$DD53,5),0)</f>
        <v/>
      </c>
      <c r="H53">
        <f>IFERROR(INDEX(PP_Grid[#Data],$DD53,6),0)</f>
        <v/>
      </c>
      <c r="I53">
        <f>IFERROR(INDEX(PP_Grid[#Data],$DD53,7),0)</f>
        <v/>
      </c>
      <c r="J53">
        <f>IFERROR(INDEX(PP_Grid[#Data],$DD53,8),0)</f>
        <v/>
      </c>
      <c r="K53">
        <f>IFERROR(INDEX(PP_Grid[#Data],$DD53,9),0)</f>
        <v/>
      </c>
      <c r="L53">
        <f>IFERROR(INDEX(PP_Grid[#Data],$DD53,10),0)</f>
        <v/>
      </c>
      <c r="M53">
        <f>IFERROR(INDEX(PP_Grid[#Data],$DD53,11),0)</f>
        <v/>
      </c>
      <c r="N53">
        <f>IFERROR(INDEX(PP_Grid[#Data],$DD53,12),0)</f>
        <v/>
      </c>
      <c r="O53">
        <f>IFERROR(INDEX(PP_Grid[#Data],$DD53,13),0)</f>
        <v/>
      </c>
      <c r="P53">
        <f>IFERROR(INDEX(PP_Grid[#Data],$DD53,14),0)</f>
        <v/>
      </c>
      <c r="Q53">
        <f>IFERROR(INDEX(PP_Grid[#Data],$DD53,15),0)</f>
        <v/>
      </c>
      <c r="R53">
        <f>IFERROR(INDEX(PP_Grid[#Data],$DD53,16),0)</f>
        <v/>
      </c>
      <c r="S53">
        <f>IFERROR(INDEX(PP_Grid[#Data],$DD53,17),0)</f>
        <v/>
      </c>
      <c r="T53">
        <f>IFERROR(INDEX(PP_Grid[#Data],$DD53,18),0)</f>
        <v/>
      </c>
      <c r="U53">
        <f>IFERROR(INDEX(PP_Grid[#Data],$DD53,19),0)</f>
        <v/>
      </c>
      <c r="V53">
        <f>IFERROR(INDEX(PP_Grid[#Data],$DD53,20),0)</f>
        <v/>
      </c>
      <c r="W53">
        <f>IFERROR(INDEX(PP_Grid[#Data],$DD53,21),0)</f>
        <v/>
      </c>
      <c r="X53">
        <f>IFERROR(INDEX(PP_Grid[#Data],$DD53,22),0)</f>
        <v/>
      </c>
      <c r="Y53">
        <f>IFERROR(INDEX(PP_Grid[#Data],$DD53,23),0)</f>
        <v/>
      </c>
      <c r="Z53">
        <f>IFERROR(INDEX(PP_Grid[#Data],$DD53,24),0)</f>
        <v/>
      </c>
      <c r="AA53">
        <f>IFERROR(INDEX(PP_Grid[#Data],$DD53,25),0)</f>
        <v/>
      </c>
      <c r="AB53">
        <f>IFERROR(INDEX(PP_Grid[#Data],$DD53,26),0)</f>
        <v/>
      </c>
      <c r="AC53">
        <f>IFERROR(INDEX(PP_Grid[#Data],$DD53,27),0)</f>
        <v/>
      </c>
      <c r="AD53">
        <f>IFERROR(INDEX(PP_Grid[#Data],$DD53,28),0)</f>
        <v/>
      </c>
      <c r="AE53">
        <f>IFERROR(INDEX(PP_Grid[#Data],$DD53,29),0)</f>
        <v/>
      </c>
      <c r="AF53">
        <f>IFERROR(INDEX(PP_Grid[#Data],$DD53,30),0)</f>
        <v/>
      </c>
      <c r="AG53">
        <f>IFERROR(INDEX(PP_Grid[#Data],$DD53,31),0)</f>
        <v/>
      </c>
      <c r="AH53">
        <f>IFERROR(INDEX(PP_Grid[#Data],$DD53,32),0)</f>
        <v/>
      </c>
      <c r="AI53">
        <f>IFERROR(INDEX(PP_Grid[#Data],$DD53,33),0)</f>
        <v/>
      </c>
      <c r="AJ53">
        <f>IFERROR(INDEX(PP_Grid[#Data],$DD53,34),0)</f>
        <v/>
      </c>
      <c r="AK53">
        <f>IFERROR(INDEX(PP_Grid[#Data],$DD53,35),0)</f>
        <v/>
      </c>
      <c r="AL53">
        <f>IFERROR(INDEX(PP_Grid[#Data],$DD53,36),0)</f>
        <v/>
      </c>
      <c r="AM53">
        <f>IFERROR(INDEX(PP_Grid[#Data],$DD53,37),0)</f>
        <v/>
      </c>
      <c r="AN53">
        <f>IFERROR(INDEX(PP_Grid[#Data],$DD53,38),0)</f>
        <v/>
      </c>
      <c r="AO53">
        <f>IFERROR(INDEX(PP_Grid[#Data],$DD53,39),0)</f>
        <v/>
      </c>
      <c r="AP53">
        <f>IFERROR(INDEX(PP_Grid[#Data],$DD53,40),0)</f>
        <v/>
      </c>
      <c r="AQ53">
        <f>IFERROR(INDEX(PP_Grid[#Data],$DD53,41),0)</f>
        <v/>
      </c>
      <c r="AR53">
        <f>IFERROR(INDEX(PP_Grid[#Data],$DD53,42),0)</f>
        <v/>
      </c>
      <c r="AS53">
        <f>IFERROR(INDEX(PP_Grid[#Data],$DD53,43),0)</f>
        <v/>
      </c>
      <c r="AT53">
        <f>IFERROR(INDEX(PP_Grid[#Data],$DD53,44),0)</f>
        <v/>
      </c>
      <c r="AU53">
        <f>IFERROR(INDEX(PP_Grid[#Data],$DD53,45),0)</f>
        <v/>
      </c>
      <c r="AV53">
        <f>IFERROR(INDEX(PP_Grid[#Data],$DD53,46),0)</f>
        <v/>
      </c>
      <c r="AW53">
        <f>IFERROR(INDEX(PP_Grid[#Data],$DD53,47),0)</f>
        <v/>
      </c>
      <c r="AX53">
        <f>IFERROR(INDEX(PP_Grid[#Data],$DD53,48),0)</f>
        <v/>
      </c>
      <c r="AY53">
        <f>IFERROR(INDEX(PP_Grid[#Data],$DD53,49),0)</f>
        <v/>
      </c>
      <c r="AZ53">
        <f>IFERROR(INDEX(PP_Grid[#Data],$DD53,50),0)</f>
        <v/>
      </c>
      <c r="BA53">
        <f>IFERROR(INDEX(PP_Grid[#Data],$DD53,51),0)</f>
        <v/>
      </c>
      <c r="BB53">
        <f>IFERROR(INDEX(PP_Grid[#Data],$DD53,52),0)</f>
        <v/>
      </c>
      <c r="BC53">
        <f>IFERROR(INDEX(PP_Grid[#Data],$DD53,53),0)</f>
        <v/>
      </c>
      <c r="BD53">
        <f>IFERROR(INDEX(PP_Grid[#Data],$DD53,54),0)</f>
        <v/>
      </c>
      <c r="BE53">
        <f>IFERROR(INDEX(PP_Grid[#Data],$DD53,55),0)</f>
        <v/>
      </c>
      <c r="BF53">
        <f>IFERROR(INDEX(PP_Grid[#Data],$DD53,56),0)</f>
        <v/>
      </c>
      <c r="BG53">
        <f>IFERROR(INDEX(PP_Grid[#Data],$DD53,57),0)</f>
        <v/>
      </c>
      <c r="BH53">
        <f>IFERROR(INDEX(PP_Grid[#Data],$DD53,58),0)</f>
        <v/>
      </c>
      <c r="BI53">
        <f>IFERROR(INDEX(PP_Grid[#Data],$DD53,59),0)</f>
        <v/>
      </c>
      <c r="BJ53">
        <f>IFERROR(INDEX(PP_Grid[#Data],$DD53,60),0)</f>
        <v/>
      </c>
      <c r="BK53">
        <f>IFERROR(INDEX(PP_Grid[#Data],$DD53,61),0)</f>
        <v/>
      </c>
      <c r="BL53">
        <f>IFERROR(INDEX(PP_Grid[#Data],$DD53,62),0)</f>
        <v/>
      </c>
      <c r="BM53">
        <f>IFERROR(INDEX(PP_Grid[#Data],$DD53,63),0)</f>
        <v/>
      </c>
      <c r="BN53">
        <f>IFERROR(INDEX(PP_Grid[#Data],$DD53,64),0)</f>
        <v/>
      </c>
      <c r="BO53">
        <f>IFERROR(INDEX(PP_Grid[#Data],$DD53,65),0)</f>
        <v/>
      </c>
      <c r="BP53">
        <f>IFERROR(INDEX(PP_Grid[#Data],$DD53,66),0)</f>
        <v/>
      </c>
      <c r="BQ53">
        <f>IFERROR(INDEX(PP_Grid[#Data],$DD53,67),0)</f>
        <v/>
      </c>
      <c r="BR53">
        <f>IFERROR(INDEX(PP_Grid[#Data],$DD53,68),0)</f>
        <v/>
      </c>
      <c r="BS53">
        <f>IFERROR(INDEX(PP_Grid[#Data],$DD53,69),0)</f>
        <v/>
      </c>
      <c r="BT53">
        <f>IFERROR(INDEX(PP_Grid[#Data],$DD53,70),0)</f>
        <v/>
      </c>
      <c r="BU53">
        <f>IFERROR(INDEX(PP_Grid[#Data],$DD53,71),0)</f>
        <v/>
      </c>
      <c r="BV53">
        <f>IFERROR(INDEX(PP_Grid[#Data],$DD53,72),0)</f>
        <v/>
      </c>
      <c r="BW53">
        <f>IFERROR(INDEX(PP_Grid[#Data],$DD53,73),0)</f>
        <v/>
      </c>
      <c r="BX53">
        <f>IFERROR(INDEX(PP_Grid[#Data],$DD53,74),0)</f>
        <v/>
      </c>
      <c r="BY53">
        <f>IFERROR(INDEX(PP_Grid[#Data],$DD53,75),0)</f>
        <v/>
      </c>
      <c r="BZ53">
        <f>IFERROR(INDEX(PP_Grid[#Data],$DD53,76),0)</f>
        <v/>
      </c>
      <c r="CA53">
        <f>IFERROR(INDEX(PP_Grid[#Data],$DD53,77),0)</f>
        <v/>
      </c>
      <c r="CB53">
        <f>IFERROR(INDEX(PP_Grid[#Data],$DD53,78),0)</f>
        <v/>
      </c>
      <c r="CC53">
        <f>IFERROR(INDEX(PP_Grid[#Data],$DD53,79),0)</f>
        <v/>
      </c>
      <c r="CD53">
        <f>IFERROR(INDEX(PP_Grid[#Data],$DD53,80),0)</f>
        <v/>
      </c>
      <c r="CE53">
        <f>IFERROR(INDEX(PP_Grid[#Data],$DD53,81),0)</f>
        <v/>
      </c>
      <c r="CF53">
        <f>IFERROR(INDEX(PP_Grid[#Data],$DD53,82),0)</f>
        <v/>
      </c>
      <c r="CG53">
        <f>IFERROR(INDEX(PP_Grid[#Data],$DD53,83),0)</f>
        <v/>
      </c>
      <c r="CH53">
        <f>IFERROR(INDEX(PP_Grid[#Data],$DD53,84),0)</f>
        <v/>
      </c>
      <c r="CI53">
        <f>IFERROR(INDEX(PP_Grid[#Data],$DD53,85),0)</f>
        <v/>
      </c>
      <c r="CJ53">
        <f>IFERROR(INDEX(PP_Grid[#Data],$DD53,86),0)</f>
        <v/>
      </c>
      <c r="CK53">
        <f>IFERROR(INDEX(PP_Grid[#Data],$DD53,87),0)</f>
        <v/>
      </c>
      <c r="CL53">
        <f>IFERROR(INDEX(PP_Grid[#Data],$DD53,88),0)</f>
        <v/>
      </c>
      <c r="CM53">
        <f>IFERROR(INDEX(PP_Grid[#Data],$DD53,89),0)</f>
        <v/>
      </c>
      <c r="CN53">
        <f>IFERROR(INDEX(PP_Grid[#Data],$DD53,90),0)</f>
        <v/>
      </c>
      <c r="CO53">
        <f>IFERROR(INDEX(PP_Grid[#Data],$DD53,91),0)</f>
        <v/>
      </c>
      <c r="CP53">
        <f>IFERROR(INDEX(PP_Grid[#Data],$DD53,92),0)</f>
        <v/>
      </c>
      <c r="CQ53">
        <f>IFERROR(INDEX(PP_Grid[#Data],$DD53,93),0)</f>
        <v/>
      </c>
      <c r="CR53">
        <f>IFERROR(INDEX(PP_Grid[#Data],$DD53,94),0)</f>
        <v/>
      </c>
      <c r="CS53">
        <f>IFERROR(INDEX(PP_Grid[#Data],$DD53,95),0)</f>
        <v/>
      </c>
      <c r="CT53">
        <f>IFERROR(INDEX(PP_Grid[#Data],$DD53,96),0)</f>
        <v/>
      </c>
      <c r="CU53">
        <f>IFERROR(INDEX(PP_Grid[#Data],$DD53,97),0)</f>
        <v/>
      </c>
      <c r="CV53">
        <f>IFERROR(INDEX(PP_Grid[#Data],$DD53,98),0)</f>
        <v/>
      </c>
      <c r="CW53">
        <f>IFERROR(INDEX(PP_Grid[#Data],$DD53,99),0)</f>
        <v/>
      </c>
      <c r="CX53">
        <f>IFERROR(INDEX(PP_Grid[#Data],$DD53,100),0)</f>
        <v/>
      </c>
      <c r="CY53">
        <f>IFERROR(INDEX(PP_Grid[#Data],$DD53,101),0)</f>
        <v/>
      </c>
      <c r="CZ53">
        <f>IFERROR(INDEX(PP_Grid[#Data],$DD53,102),0)</f>
        <v/>
      </c>
      <c r="DA53">
        <f>IFERROR(INDEX(PP_Grid[#Data],$DD53,103),0)</f>
        <v/>
      </c>
      <c r="DB53">
        <f>IFERROR(INDEX(PP_Grid[#Data],$DD53,104),0)</f>
        <v/>
      </c>
      <c r="DC53">
        <f>IFERROR(INDEX(PP_Grid[#Data],$DD53,105),0)</f>
        <v/>
      </c>
      <c r="DD53" s="7">
        <f>IFERROR(MATCH($B53,PP_Grid[Intermediate],0),99999)</f>
        <v/>
      </c>
    </row>
    <row r="54">
      <c r="B54" t="inlineStr">
        <is>
          <t>使用量(kg)</t>
        </is>
      </c>
      <c r="C54">
        <f>SUMIFS(M_BOM[RM_Qty_Per_Batch],M_BOM[Intermediate],$B53,M_BOM[Part Name],$A44)</f>
        <v/>
      </c>
      <c r="D54">
        <f>$C54*D53</f>
        <v/>
      </c>
      <c r="E54">
        <f>$C54*E53</f>
        <v/>
      </c>
      <c r="F54">
        <f>$C54*F53</f>
        <v/>
      </c>
      <c r="G54">
        <f>$C54*G53</f>
        <v/>
      </c>
      <c r="H54">
        <f>$C54*H53</f>
        <v/>
      </c>
      <c r="I54">
        <f>$C54*I53</f>
        <v/>
      </c>
      <c r="J54">
        <f>$C54*J53</f>
        <v/>
      </c>
      <c r="K54">
        <f>$C54*K53</f>
        <v/>
      </c>
      <c r="L54">
        <f>$C54*L53</f>
        <v/>
      </c>
      <c r="M54">
        <f>$C54*M53</f>
        <v/>
      </c>
      <c r="N54">
        <f>$C54*N53</f>
        <v/>
      </c>
      <c r="O54">
        <f>$C54*O53</f>
        <v/>
      </c>
      <c r="P54">
        <f>$C54*P53</f>
        <v/>
      </c>
      <c r="Q54">
        <f>$C54*Q53</f>
        <v/>
      </c>
      <c r="R54">
        <f>$C54*R53</f>
        <v/>
      </c>
      <c r="S54">
        <f>$C54*S53</f>
        <v/>
      </c>
      <c r="T54">
        <f>$C54*T53</f>
        <v/>
      </c>
      <c r="U54">
        <f>$C54*U53</f>
        <v/>
      </c>
      <c r="V54">
        <f>$C54*V53</f>
        <v/>
      </c>
      <c r="W54">
        <f>$C54*W53</f>
        <v/>
      </c>
      <c r="X54">
        <f>$C54*X53</f>
        <v/>
      </c>
      <c r="Y54">
        <f>$C54*Y53</f>
        <v/>
      </c>
      <c r="Z54">
        <f>$C54*Z53</f>
        <v/>
      </c>
      <c r="AA54">
        <f>$C54*AA53</f>
        <v/>
      </c>
      <c r="AB54">
        <f>$C54*AB53</f>
        <v/>
      </c>
      <c r="AC54">
        <f>$C54*AC53</f>
        <v/>
      </c>
      <c r="AD54">
        <f>$C54*AD53</f>
        <v/>
      </c>
      <c r="AE54">
        <f>$C54*AE53</f>
        <v/>
      </c>
      <c r="AF54">
        <f>$C54*AF53</f>
        <v/>
      </c>
      <c r="AG54">
        <f>$C54*AG53</f>
        <v/>
      </c>
      <c r="AH54">
        <f>$C54*AH53</f>
        <v/>
      </c>
      <c r="AI54">
        <f>$C54*AI53</f>
        <v/>
      </c>
      <c r="AJ54">
        <f>$C54*AJ53</f>
        <v/>
      </c>
      <c r="AK54">
        <f>$C54*AK53</f>
        <v/>
      </c>
      <c r="AL54">
        <f>$C54*AL53</f>
        <v/>
      </c>
      <c r="AM54">
        <f>$C54*AM53</f>
        <v/>
      </c>
      <c r="AN54">
        <f>$C54*AN53</f>
        <v/>
      </c>
      <c r="AO54">
        <f>$C54*AO53</f>
        <v/>
      </c>
      <c r="AP54">
        <f>$C54*AP53</f>
        <v/>
      </c>
      <c r="AQ54">
        <f>$C54*AQ53</f>
        <v/>
      </c>
      <c r="AR54">
        <f>$C54*AR53</f>
        <v/>
      </c>
      <c r="AS54">
        <f>$C54*AS53</f>
        <v/>
      </c>
      <c r="AT54">
        <f>$C54*AT53</f>
        <v/>
      </c>
      <c r="AU54">
        <f>$C54*AU53</f>
        <v/>
      </c>
      <c r="AV54">
        <f>$C54*AV53</f>
        <v/>
      </c>
      <c r="AW54">
        <f>$C54*AW53</f>
        <v/>
      </c>
      <c r="AX54">
        <f>$C54*AX53</f>
        <v/>
      </c>
      <c r="AY54">
        <f>$C54*AY53</f>
        <v/>
      </c>
      <c r="AZ54">
        <f>$C54*AZ53</f>
        <v/>
      </c>
      <c r="BA54">
        <f>$C54*BA53</f>
        <v/>
      </c>
      <c r="BB54">
        <f>$C54*BB53</f>
        <v/>
      </c>
      <c r="BC54">
        <f>$C54*BC53</f>
        <v/>
      </c>
      <c r="BD54">
        <f>$C54*BD53</f>
        <v/>
      </c>
      <c r="BE54">
        <f>$C54*BE53</f>
        <v/>
      </c>
      <c r="BF54">
        <f>$C54*BF53</f>
        <v/>
      </c>
      <c r="BG54">
        <f>$C54*BG53</f>
        <v/>
      </c>
      <c r="BH54">
        <f>$C54*BH53</f>
        <v/>
      </c>
      <c r="BI54">
        <f>$C54*BI53</f>
        <v/>
      </c>
      <c r="BJ54">
        <f>$C54*BJ53</f>
        <v/>
      </c>
      <c r="BK54">
        <f>$C54*BK53</f>
        <v/>
      </c>
      <c r="BL54">
        <f>$C54*BL53</f>
        <v/>
      </c>
      <c r="BM54">
        <f>$C54*BM53</f>
        <v/>
      </c>
      <c r="BN54">
        <f>$C54*BN53</f>
        <v/>
      </c>
      <c r="BO54">
        <f>$C54*BO53</f>
        <v/>
      </c>
      <c r="BP54">
        <f>$C54*BP53</f>
        <v/>
      </c>
      <c r="BQ54">
        <f>$C54*BQ53</f>
        <v/>
      </c>
      <c r="BR54">
        <f>$C54*BR53</f>
        <v/>
      </c>
      <c r="BS54">
        <f>$C54*BS53</f>
        <v/>
      </c>
      <c r="BT54">
        <f>$C54*BT53</f>
        <v/>
      </c>
      <c r="BU54">
        <f>$C54*BU53</f>
        <v/>
      </c>
      <c r="BV54">
        <f>$C54*BV53</f>
        <v/>
      </c>
      <c r="BW54">
        <f>$C54*BW53</f>
        <v/>
      </c>
      <c r="BX54">
        <f>$C54*BX53</f>
        <v/>
      </c>
      <c r="BY54">
        <f>$C54*BY53</f>
        <v/>
      </c>
      <c r="BZ54">
        <f>$C54*BZ53</f>
        <v/>
      </c>
      <c r="CA54">
        <f>$C54*CA53</f>
        <v/>
      </c>
      <c r="CB54">
        <f>$C54*CB53</f>
        <v/>
      </c>
      <c r="CC54">
        <f>$C54*CC53</f>
        <v/>
      </c>
      <c r="CD54">
        <f>$C54*CD53</f>
        <v/>
      </c>
      <c r="CE54">
        <f>$C54*CE53</f>
        <v/>
      </c>
      <c r="CF54">
        <f>$C54*CF53</f>
        <v/>
      </c>
      <c r="CG54">
        <f>$C54*CG53</f>
        <v/>
      </c>
      <c r="CH54">
        <f>$C54*CH53</f>
        <v/>
      </c>
      <c r="CI54">
        <f>$C54*CI53</f>
        <v/>
      </c>
      <c r="CJ54">
        <f>$C54*CJ53</f>
        <v/>
      </c>
      <c r="CK54">
        <f>$C54*CK53</f>
        <v/>
      </c>
      <c r="CL54">
        <f>$C54*CL53</f>
        <v/>
      </c>
      <c r="CM54">
        <f>$C54*CM53</f>
        <v/>
      </c>
      <c r="CN54">
        <f>$C54*CN53</f>
        <v/>
      </c>
      <c r="CO54">
        <f>$C54*CO53</f>
        <v/>
      </c>
      <c r="CP54">
        <f>$C54*CP53</f>
        <v/>
      </c>
      <c r="CQ54">
        <f>$C54*CQ53</f>
        <v/>
      </c>
      <c r="CR54">
        <f>$C54*CR53</f>
        <v/>
      </c>
      <c r="CS54">
        <f>$C54*CS53</f>
        <v/>
      </c>
      <c r="CT54">
        <f>$C54*CT53</f>
        <v/>
      </c>
      <c r="CU54">
        <f>$C54*CU53</f>
        <v/>
      </c>
      <c r="CV54">
        <f>$C54*CV53</f>
        <v/>
      </c>
      <c r="CW54">
        <f>$C54*CW53</f>
        <v/>
      </c>
      <c r="CX54">
        <f>$C54*CX53</f>
        <v/>
      </c>
      <c r="CY54">
        <f>$C54*CY53</f>
        <v/>
      </c>
      <c r="CZ54">
        <f>$C54*CZ53</f>
        <v/>
      </c>
      <c r="DA54">
        <f>$C54*DA53</f>
        <v/>
      </c>
      <c r="DB54">
        <f>$C54*DB53</f>
        <v/>
      </c>
      <c r="DC54">
        <f>$C54*DC53</f>
        <v/>
      </c>
    </row>
    <row r="55">
      <c r="B55" t="inlineStr">
        <is>
          <t>TSP-078</t>
        </is>
      </c>
      <c r="C55" t="inlineStr">
        <is>
          <t>No. of batches</t>
        </is>
      </c>
      <c r="D55">
        <f>IFERROR(INDEX(PP_Grid[#Data],$DD55,2),0)</f>
        <v/>
      </c>
      <c r="E55">
        <f>IFERROR(INDEX(PP_Grid[#Data],$DD55,3),0)</f>
        <v/>
      </c>
      <c r="F55">
        <f>IFERROR(INDEX(PP_Grid[#Data],$DD55,4),0)</f>
        <v/>
      </c>
      <c r="G55">
        <f>IFERROR(INDEX(PP_Grid[#Data],$DD55,5),0)</f>
        <v/>
      </c>
      <c r="H55">
        <f>IFERROR(INDEX(PP_Grid[#Data],$DD55,6),0)</f>
        <v/>
      </c>
      <c r="I55">
        <f>IFERROR(INDEX(PP_Grid[#Data],$DD55,7),0)</f>
        <v/>
      </c>
      <c r="J55">
        <f>IFERROR(INDEX(PP_Grid[#Data],$DD55,8),0)</f>
        <v/>
      </c>
      <c r="K55">
        <f>IFERROR(INDEX(PP_Grid[#Data],$DD55,9),0)</f>
        <v/>
      </c>
      <c r="L55">
        <f>IFERROR(INDEX(PP_Grid[#Data],$DD55,10),0)</f>
        <v/>
      </c>
      <c r="M55">
        <f>IFERROR(INDEX(PP_Grid[#Data],$DD55,11),0)</f>
        <v/>
      </c>
      <c r="N55">
        <f>IFERROR(INDEX(PP_Grid[#Data],$DD55,12),0)</f>
        <v/>
      </c>
      <c r="O55">
        <f>IFERROR(INDEX(PP_Grid[#Data],$DD55,13),0)</f>
        <v/>
      </c>
      <c r="P55">
        <f>IFERROR(INDEX(PP_Grid[#Data],$DD55,14),0)</f>
        <v/>
      </c>
      <c r="Q55">
        <f>IFERROR(INDEX(PP_Grid[#Data],$DD55,15),0)</f>
        <v/>
      </c>
      <c r="R55">
        <f>IFERROR(INDEX(PP_Grid[#Data],$DD55,16),0)</f>
        <v/>
      </c>
      <c r="S55">
        <f>IFERROR(INDEX(PP_Grid[#Data],$DD55,17),0)</f>
        <v/>
      </c>
      <c r="T55">
        <f>IFERROR(INDEX(PP_Grid[#Data],$DD55,18),0)</f>
        <v/>
      </c>
      <c r="U55">
        <f>IFERROR(INDEX(PP_Grid[#Data],$DD55,19),0)</f>
        <v/>
      </c>
      <c r="V55">
        <f>IFERROR(INDEX(PP_Grid[#Data],$DD55,20),0)</f>
        <v/>
      </c>
      <c r="W55">
        <f>IFERROR(INDEX(PP_Grid[#Data],$DD55,21),0)</f>
        <v/>
      </c>
      <c r="X55">
        <f>IFERROR(INDEX(PP_Grid[#Data],$DD55,22),0)</f>
        <v/>
      </c>
      <c r="Y55">
        <f>IFERROR(INDEX(PP_Grid[#Data],$DD55,23),0)</f>
        <v/>
      </c>
      <c r="Z55">
        <f>IFERROR(INDEX(PP_Grid[#Data],$DD55,24),0)</f>
        <v/>
      </c>
      <c r="AA55">
        <f>IFERROR(INDEX(PP_Grid[#Data],$DD55,25),0)</f>
        <v/>
      </c>
      <c r="AB55">
        <f>IFERROR(INDEX(PP_Grid[#Data],$DD55,26),0)</f>
        <v/>
      </c>
      <c r="AC55">
        <f>IFERROR(INDEX(PP_Grid[#Data],$DD55,27),0)</f>
        <v/>
      </c>
      <c r="AD55">
        <f>IFERROR(INDEX(PP_Grid[#Data],$DD55,28),0)</f>
        <v/>
      </c>
      <c r="AE55">
        <f>IFERROR(INDEX(PP_Grid[#Data],$DD55,29),0)</f>
        <v/>
      </c>
      <c r="AF55">
        <f>IFERROR(INDEX(PP_Grid[#Data],$DD55,30),0)</f>
        <v/>
      </c>
      <c r="AG55">
        <f>IFERROR(INDEX(PP_Grid[#Data],$DD55,31),0)</f>
        <v/>
      </c>
      <c r="AH55">
        <f>IFERROR(INDEX(PP_Grid[#Data],$DD55,32),0)</f>
        <v/>
      </c>
      <c r="AI55">
        <f>IFERROR(INDEX(PP_Grid[#Data],$DD55,33),0)</f>
        <v/>
      </c>
      <c r="AJ55">
        <f>IFERROR(INDEX(PP_Grid[#Data],$DD55,34),0)</f>
        <v/>
      </c>
      <c r="AK55">
        <f>IFERROR(INDEX(PP_Grid[#Data],$DD55,35),0)</f>
        <v/>
      </c>
      <c r="AL55">
        <f>IFERROR(INDEX(PP_Grid[#Data],$DD55,36),0)</f>
        <v/>
      </c>
      <c r="AM55">
        <f>IFERROR(INDEX(PP_Grid[#Data],$DD55,37),0)</f>
        <v/>
      </c>
      <c r="AN55">
        <f>IFERROR(INDEX(PP_Grid[#Data],$DD55,38),0)</f>
        <v/>
      </c>
      <c r="AO55">
        <f>IFERROR(INDEX(PP_Grid[#Data],$DD55,39),0)</f>
        <v/>
      </c>
      <c r="AP55">
        <f>IFERROR(INDEX(PP_Grid[#Data],$DD55,40),0)</f>
        <v/>
      </c>
      <c r="AQ55">
        <f>IFERROR(INDEX(PP_Grid[#Data],$DD55,41),0)</f>
        <v/>
      </c>
      <c r="AR55">
        <f>IFERROR(INDEX(PP_Grid[#Data],$DD55,42),0)</f>
        <v/>
      </c>
      <c r="AS55">
        <f>IFERROR(INDEX(PP_Grid[#Data],$DD55,43),0)</f>
        <v/>
      </c>
      <c r="AT55">
        <f>IFERROR(INDEX(PP_Grid[#Data],$DD55,44),0)</f>
        <v/>
      </c>
      <c r="AU55">
        <f>IFERROR(INDEX(PP_Grid[#Data],$DD55,45),0)</f>
        <v/>
      </c>
      <c r="AV55">
        <f>IFERROR(INDEX(PP_Grid[#Data],$DD55,46),0)</f>
        <v/>
      </c>
      <c r="AW55">
        <f>IFERROR(INDEX(PP_Grid[#Data],$DD55,47),0)</f>
        <v/>
      </c>
      <c r="AX55">
        <f>IFERROR(INDEX(PP_Grid[#Data],$DD55,48),0)</f>
        <v/>
      </c>
      <c r="AY55">
        <f>IFERROR(INDEX(PP_Grid[#Data],$DD55,49),0)</f>
        <v/>
      </c>
      <c r="AZ55">
        <f>IFERROR(INDEX(PP_Grid[#Data],$DD55,50),0)</f>
        <v/>
      </c>
      <c r="BA55">
        <f>IFERROR(INDEX(PP_Grid[#Data],$DD55,51),0)</f>
        <v/>
      </c>
      <c r="BB55">
        <f>IFERROR(INDEX(PP_Grid[#Data],$DD55,52),0)</f>
        <v/>
      </c>
      <c r="BC55">
        <f>IFERROR(INDEX(PP_Grid[#Data],$DD55,53),0)</f>
        <v/>
      </c>
      <c r="BD55">
        <f>IFERROR(INDEX(PP_Grid[#Data],$DD55,54),0)</f>
        <v/>
      </c>
      <c r="BE55">
        <f>IFERROR(INDEX(PP_Grid[#Data],$DD55,55),0)</f>
        <v/>
      </c>
      <c r="BF55">
        <f>IFERROR(INDEX(PP_Grid[#Data],$DD55,56),0)</f>
        <v/>
      </c>
      <c r="BG55">
        <f>IFERROR(INDEX(PP_Grid[#Data],$DD55,57),0)</f>
        <v/>
      </c>
      <c r="BH55">
        <f>IFERROR(INDEX(PP_Grid[#Data],$DD55,58),0)</f>
        <v/>
      </c>
      <c r="BI55">
        <f>IFERROR(INDEX(PP_Grid[#Data],$DD55,59),0)</f>
        <v/>
      </c>
      <c r="BJ55">
        <f>IFERROR(INDEX(PP_Grid[#Data],$DD55,60),0)</f>
        <v/>
      </c>
      <c r="BK55">
        <f>IFERROR(INDEX(PP_Grid[#Data],$DD55,61),0)</f>
        <v/>
      </c>
      <c r="BL55">
        <f>IFERROR(INDEX(PP_Grid[#Data],$DD55,62),0)</f>
        <v/>
      </c>
      <c r="BM55">
        <f>IFERROR(INDEX(PP_Grid[#Data],$DD55,63),0)</f>
        <v/>
      </c>
      <c r="BN55">
        <f>IFERROR(INDEX(PP_Grid[#Data],$DD55,64),0)</f>
        <v/>
      </c>
      <c r="BO55">
        <f>IFERROR(INDEX(PP_Grid[#Data],$DD55,65),0)</f>
        <v/>
      </c>
      <c r="BP55">
        <f>IFERROR(INDEX(PP_Grid[#Data],$DD55,66),0)</f>
        <v/>
      </c>
      <c r="BQ55">
        <f>IFERROR(INDEX(PP_Grid[#Data],$DD55,67),0)</f>
        <v/>
      </c>
      <c r="BR55">
        <f>IFERROR(INDEX(PP_Grid[#Data],$DD55,68),0)</f>
        <v/>
      </c>
      <c r="BS55">
        <f>IFERROR(INDEX(PP_Grid[#Data],$DD55,69),0)</f>
        <v/>
      </c>
      <c r="BT55">
        <f>IFERROR(INDEX(PP_Grid[#Data],$DD55,70),0)</f>
        <v/>
      </c>
      <c r="BU55">
        <f>IFERROR(INDEX(PP_Grid[#Data],$DD55,71),0)</f>
        <v/>
      </c>
      <c r="BV55">
        <f>IFERROR(INDEX(PP_Grid[#Data],$DD55,72),0)</f>
        <v/>
      </c>
      <c r="BW55">
        <f>IFERROR(INDEX(PP_Grid[#Data],$DD55,73),0)</f>
        <v/>
      </c>
      <c r="BX55">
        <f>IFERROR(INDEX(PP_Grid[#Data],$DD55,74),0)</f>
        <v/>
      </c>
      <c r="BY55">
        <f>IFERROR(INDEX(PP_Grid[#Data],$DD55,75),0)</f>
        <v/>
      </c>
      <c r="BZ55">
        <f>IFERROR(INDEX(PP_Grid[#Data],$DD55,76),0)</f>
        <v/>
      </c>
      <c r="CA55">
        <f>IFERROR(INDEX(PP_Grid[#Data],$DD55,77),0)</f>
        <v/>
      </c>
      <c r="CB55">
        <f>IFERROR(INDEX(PP_Grid[#Data],$DD55,78),0)</f>
        <v/>
      </c>
      <c r="CC55">
        <f>IFERROR(INDEX(PP_Grid[#Data],$DD55,79),0)</f>
        <v/>
      </c>
      <c r="CD55">
        <f>IFERROR(INDEX(PP_Grid[#Data],$DD55,80),0)</f>
        <v/>
      </c>
      <c r="CE55">
        <f>IFERROR(INDEX(PP_Grid[#Data],$DD55,81),0)</f>
        <v/>
      </c>
      <c r="CF55">
        <f>IFERROR(INDEX(PP_Grid[#Data],$DD55,82),0)</f>
        <v/>
      </c>
      <c r="CG55">
        <f>IFERROR(INDEX(PP_Grid[#Data],$DD55,83),0)</f>
        <v/>
      </c>
      <c r="CH55">
        <f>IFERROR(INDEX(PP_Grid[#Data],$DD55,84),0)</f>
        <v/>
      </c>
      <c r="CI55">
        <f>IFERROR(INDEX(PP_Grid[#Data],$DD55,85),0)</f>
        <v/>
      </c>
      <c r="CJ55">
        <f>IFERROR(INDEX(PP_Grid[#Data],$DD55,86),0)</f>
        <v/>
      </c>
      <c r="CK55">
        <f>IFERROR(INDEX(PP_Grid[#Data],$DD55,87),0)</f>
        <v/>
      </c>
      <c r="CL55">
        <f>IFERROR(INDEX(PP_Grid[#Data],$DD55,88),0)</f>
        <v/>
      </c>
      <c r="CM55">
        <f>IFERROR(INDEX(PP_Grid[#Data],$DD55,89),0)</f>
        <v/>
      </c>
      <c r="CN55">
        <f>IFERROR(INDEX(PP_Grid[#Data],$DD55,90),0)</f>
        <v/>
      </c>
      <c r="CO55">
        <f>IFERROR(INDEX(PP_Grid[#Data],$DD55,91),0)</f>
        <v/>
      </c>
      <c r="CP55">
        <f>IFERROR(INDEX(PP_Grid[#Data],$DD55,92),0)</f>
        <v/>
      </c>
      <c r="CQ55">
        <f>IFERROR(INDEX(PP_Grid[#Data],$DD55,93),0)</f>
        <v/>
      </c>
      <c r="CR55">
        <f>IFERROR(INDEX(PP_Grid[#Data],$DD55,94),0)</f>
        <v/>
      </c>
      <c r="CS55">
        <f>IFERROR(INDEX(PP_Grid[#Data],$DD55,95),0)</f>
        <v/>
      </c>
      <c r="CT55">
        <f>IFERROR(INDEX(PP_Grid[#Data],$DD55,96),0)</f>
        <v/>
      </c>
      <c r="CU55">
        <f>IFERROR(INDEX(PP_Grid[#Data],$DD55,97),0)</f>
        <v/>
      </c>
      <c r="CV55">
        <f>IFERROR(INDEX(PP_Grid[#Data],$DD55,98),0)</f>
        <v/>
      </c>
      <c r="CW55">
        <f>IFERROR(INDEX(PP_Grid[#Data],$DD55,99),0)</f>
        <v/>
      </c>
      <c r="CX55">
        <f>IFERROR(INDEX(PP_Grid[#Data],$DD55,100),0)</f>
        <v/>
      </c>
      <c r="CY55">
        <f>IFERROR(INDEX(PP_Grid[#Data],$DD55,101),0)</f>
        <v/>
      </c>
      <c r="CZ55">
        <f>IFERROR(INDEX(PP_Grid[#Data],$DD55,102),0)</f>
        <v/>
      </c>
      <c r="DA55">
        <f>IFERROR(INDEX(PP_Grid[#Data],$DD55,103),0)</f>
        <v/>
      </c>
      <c r="DB55">
        <f>IFERROR(INDEX(PP_Grid[#Data],$DD55,104),0)</f>
        <v/>
      </c>
      <c r="DC55">
        <f>IFERROR(INDEX(PP_Grid[#Data],$DD55,105),0)</f>
        <v/>
      </c>
      <c r="DD55" s="7">
        <f>IFERROR(MATCH($B55,PP_Grid[Intermediate],0),99999)</f>
        <v/>
      </c>
    </row>
    <row r="56">
      <c r="B56" t="inlineStr">
        <is>
          <t>使用量(kg)</t>
        </is>
      </c>
      <c r="C56">
        <f>SUMIFS(M_BOM[RM_Qty_Per_Batch],M_BOM[Intermediate],$B55,M_BOM[Part Name],$A44)</f>
        <v/>
      </c>
      <c r="D56">
        <f>$C56*D55</f>
        <v/>
      </c>
      <c r="E56">
        <f>$C56*E55</f>
        <v/>
      </c>
      <c r="F56">
        <f>$C56*F55</f>
        <v/>
      </c>
      <c r="G56">
        <f>$C56*G55</f>
        <v/>
      </c>
      <c r="H56">
        <f>$C56*H55</f>
        <v/>
      </c>
      <c r="I56">
        <f>$C56*I55</f>
        <v/>
      </c>
      <c r="J56">
        <f>$C56*J55</f>
        <v/>
      </c>
      <c r="K56">
        <f>$C56*K55</f>
        <v/>
      </c>
      <c r="L56">
        <f>$C56*L55</f>
        <v/>
      </c>
      <c r="M56">
        <f>$C56*M55</f>
        <v/>
      </c>
      <c r="N56">
        <f>$C56*N55</f>
        <v/>
      </c>
      <c r="O56">
        <f>$C56*O55</f>
        <v/>
      </c>
      <c r="P56">
        <f>$C56*P55</f>
        <v/>
      </c>
      <c r="Q56">
        <f>$C56*Q55</f>
        <v/>
      </c>
      <c r="R56">
        <f>$C56*R55</f>
        <v/>
      </c>
      <c r="S56">
        <f>$C56*S55</f>
        <v/>
      </c>
      <c r="T56">
        <f>$C56*T55</f>
        <v/>
      </c>
      <c r="U56">
        <f>$C56*U55</f>
        <v/>
      </c>
      <c r="V56">
        <f>$C56*V55</f>
        <v/>
      </c>
      <c r="W56">
        <f>$C56*W55</f>
        <v/>
      </c>
      <c r="X56">
        <f>$C56*X55</f>
        <v/>
      </c>
      <c r="Y56">
        <f>$C56*Y55</f>
        <v/>
      </c>
      <c r="Z56">
        <f>$C56*Z55</f>
        <v/>
      </c>
      <c r="AA56">
        <f>$C56*AA55</f>
        <v/>
      </c>
      <c r="AB56">
        <f>$C56*AB55</f>
        <v/>
      </c>
      <c r="AC56">
        <f>$C56*AC55</f>
        <v/>
      </c>
      <c r="AD56">
        <f>$C56*AD55</f>
        <v/>
      </c>
      <c r="AE56">
        <f>$C56*AE55</f>
        <v/>
      </c>
      <c r="AF56">
        <f>$C56*AF55</f>
        <v/>
      </c>
      <c r="AG56">
        <f>$C56*AG55</f>
        <v/>
      </c>
      <c r="AH56">
        <f>$C56*AH55</f>
        <v/>
      </c>
      <c r="AI56">
        <f>$C56*AI55</f>
        <v/>
      </c>
      <c r="AJ56">
        <f>$C56*AJ55</f>
        <v/>
      </c>
      <c r="AK56">
        <f>$C56*AK55</f>
        <v/>
      </c>
      <c r="AL56">
        <f>$C56*AL55</f>
        <v/>
      </c>
      <c r="AM56">
        <f>$C56*AM55</f>
        <v/>
      </c>
      <c r="AN56">
        <f>$C56*AN55</f>
        <v/>
      </c>
      <c r="AO56">
        <f>$C56*AO55</f>
        <v/>
      </c>
      <c r="AP56">
        <f>$C56*AP55</f>
        <v/>
      </c>
      <c r="AQ56">
        <f>$C56*AQ55</f>
        <v/>
      </c>
      <c r="AR56">
        <f>$C56*AR55</f>
        <v/>
      </c>
      <c r="AS56">
        <f>$C56*AS55</f>
        <v/>
      </c>
      <c r="AT56">
        <f>$C56*AT55</f>
        <v/>
      </c>
      <c r="AU56">
        <f>$C56*AU55</f>
        <v/>
      </c>
      <c r="AV56">
        <f>$C56*AV55</f>
        <v/>
      </c>
      <c r="AW56">
        <f>$C56*AW55</f>
        <v/>
      </c>
      <c r="AX56">
        <f>$C56*AX55</f>
        <v/>
      </c>
      <c r="AY56">
        <f>$C56*AY55</f>
        <v/>
      </c>
      <c r="AZ56">
        <f>$C56*AZ55</f>
        <v/>
      </c>
      <c r="BA56">
        <f>$C56*BA55</f>
        <v/>
      </c>
      <c r="BB56">
        <f>$C56*BB55</f>
        <v/>
      </c>
      <c r="BC56">
        <f>$C56*BC55</f>
        <v/>
      </c>
      <c r="BD56">
        <f>$C56*BD55</f>
        <v/>
      </c>
      <c r="BE56">
        <f>$C56*BE55</f>
        <v/>
      </c>
      <c r="BF56">
        <f>$C56*BF55</f>
        <v/>
      </c>
      <c r="BG56">
        <f>$C56*BG55</f>
        <v/>
      </c>
      <c r="BH56">
        <f>$C56*BH55</f>
        <v/>
      </c>
      <c r="BI56">
        <f>$C56*BI55</f>
        <v/>
      </c>
      <c r="BJ56">
        <f>$C56*BJ55</f>
        <v/>
      </c>
      <c r="BK56">
        <f>$C56*BK55</f>
        <v/>
      </c>
      <c r="BL56">
        <f>$C56*BL55</f>
        <v/>
      </c>
      <c r="BM56">
        <f>$C56*BM55</f>
        <v/>
      </c>
      <c r="BN56">
        <f>$C56*BN55</f>
        <v/>
      </c>
      <c r="BO56">
        <f>$C56*BO55</f>
        <v/>
      </c>
      <c r="BP56">
        <f>$C56*BP55</f>
        <v/>
      </c>
      <c r="BQ56">
        <f>$C56*BQ55</f>
        <v/>
      </c>
      <c r="BR56">
        <f>$C56*BR55</f>
        <v/>
      </c>
      <c r="BS56">
        <f>$C56*BS55</f>
        <v/>
      </c>
      <c r="BT56">
        <f>$C56*BT55</f>
        <v/>
      </c>
      <c r="BU56">
        <f>$C56*BU55</f>
        <v/>
      </c>
      <c r="BV56">
        <f>$C56*BV55</f>
        <v/>
      </c>
      <c r="BW56">
        <f>$C56*BW55</f>
        <v/>
      </c>
      <c r="BX56">
        <f>$C56*BX55</f>
        <v/>
      </c>
      <c r="BY56">
        <f>$C56*BY55</f>
        <v/>
      </c>
      <c r="BZ56">
        <f>$C56*BZ55</f>
        <v/>
      </c>
      <c r="CA56">
        <f>$C56*CA55</f>
        <v/>
      </c>
      <c r="CB56">
        <f>$C56*CB55</f>
        <v/>
      </c>
      <c r="CC56">
        <f>$C56*CC55</f>
        <v/>
      </c>
      <c r="CD56">
        <f>$C56*CD55</f>
        <v/>
      </c>
      <c r="CE56">
        <f>$C56*CE55</f>
        <v/>
      </c>
      <c r="CF56">
        <f>$C56*CF55</f>
        <v/>
      </c>
      <c r="CG56">
        <f>$C56*CG55</f>
        <v/>
      </c>
      <c r="CH56">
        <f>$C56*CH55</f>
        <v/>
      </c>
      <c r="CI56">
        <f>$C56*CI55</f>
        <v/>
      </c>
      <c r="CJ56">
        <f>$C56*CJ55</f>
        <v/>
      </c>
      <c r="CK56">
        <f>$C56*CK55</f>
        <v/>
      </c>
      <c r="CL56">
        <f>$C56*CL55</f>
        <v/>
      </c>
      <c r="CM56">
        <f>$C56*CM55</f>
        <v/>
      </c>
      <c r="CN56">
        <f>$C56*CN55</f>
        <v/>
      </c>
      <c r="CO56">
        <f>$C56*CO55</f>
        <v/>
      </c>
      <c r="CP56">
        <f>$C56*CP55</f>
        <v/>
      </c>
      <c r="CQ56">
        <f>$C56*CQ55</f>
        <v/>
      </c>
      <c r="CR56">
        <f>$C56*CR55</f>
        <v/>
      </c>
      <c r="CS56">
        <f>$C56*CS55</f>
        <v/>
      </c>
      <c r="CT56">
        <f>$C56*CT55</f>
        <v/>
      </c>
      <c r="CU56">
        <f>$C56*CU55</f>
        <v/>
      </c>
      <c r="CV56">
        <f>$C56*CV55</f>
        <v/>
      </c>
      <c r="CW56">
        <f>$C56*CW55</f>
        <v/>
      </c>
      <c r="CX56">
        <f>$C56*CX55</f>
        <v/>
      </c>
      <c r="CY56">
        <f>$C56*CY55</f>
        <v/>
      </c>
      <c r="CZ56">
        <f>$C56*CZ55</f>
        <v/>
      </c>
      <c r="DA56">
        <f>$C56*DA55</f>
        <v/>
      </c>
      <c r="DB56">
        <f>$C56*DB55</f>
        <v/>
      </c>
      <c r="DC56">
        <f>$C56*DC55</f>
        <v/>
      </c>
    </row>
    <row r="57">
      <c r="B57" t="inlineStr">
        <is>
          <t>TSP-080</t>
        </is>
      </c>
      <c r="C57" t="inlineStr">
        <is>
          <t>No. of batches</t>
        </is>
      </c>
      <c r="D57">
        <f>IFERROR(INDEX(PP_Grid[#Data],$DD57,2),0)</f>
        <v/>
      </c>
      <c r="E57">
        <f>IFERROR(INDEX(PP_Grid[#Data],$DD57,3),0)</f>
        <v/>
      </c>
      <c r="F57">
        <f>IFERROR(INDEX(PP_Grid[#Data],$DD57,4),0)</f>
        <v/>
      </c>
      <c r="G57">
        <f>IFERROR(INDEX(PP_Grid[#Data],$DD57,5),0)</f>
        <v/>
      </c>
      <c r="H57">
        <f>IFERROR(INDEX(PP_Grid[#Data],$DD57,6),0)</f>
        <v/>
      </c>
      <c r="I57">
        <f>IFERROR(INDEX(PP_Grid[#Data],$DD57,7),0)</f>
        <v/>
      </c>
      <c r="J57">
        <f>IFERROR(INDEX(PP_Grid[#Data],$DD57,8),0)</f>
        <v/>
      </c>
      <c r="K57">
        <f>IFERROR(INDEX(PP_Grid[#Data],$DD57,9),0)</f>
        <v/>
      </c>
      <c r="L57">
        <f>IFERROR(INDEX(PP_Grid[#Data],$DD57,10),0)</f>
        <v/>
      </c>
      <c r="M57">
        <f>IFERROR(INDEX(PP_Grid[#Data],$DD57,11),0)</f>
        <v/>
      </c>
      <c r="N57">
        <f>IFERROR(INDEX(PP_Grid[#Data],$DD57,12),0)</f>
        <v/>
      </c>
      <c r="O57">
        <f>IFERROR(INDEX(PP_Grid[#Data],$DD57,13),0)</f>
        <v/>
      </c>
      <c r="P57">
        <f>IFERROR(INDEX(PP_Grid[#Data],$DD57,14),0)</f>
        <v/>
      </c>
      <c r="Q57">
        <f>IFERROR(INDEX(PP_Grid[#Data],$DD57,15),0)</f>
        <v/>
      </c>
      <c r="R57">
        <f>IFERROR(INDEX(PP_Grid[#Data],$DD57,16),0)</f>
        <v/>
      </c>
      <c r="S57">
        <f>IFERROR(INDEX(PP_Grid[#Data],$DD57,17),0)</f>
        <v/>
      </c>
      <c r="T57">
        <f>IFERROR(INDEX(PP_Grid[#Data],$DD57,18),0)</f>
        <v/>
      </c>
      <c r="U57">
        <f>IFERROR(INDEX(PP_Grid[#Data],$DD57,19),0)</f>
        <v/>
      </c>
      <c r="V57">
        <f>IFERROR(INDEX(PP_Grid[#Data],$DD57,20),0)</f>
        <v/>
      </c>
      <c r="W57">
        <f>IFERROR(INDEX(PP_Grid[#Data],$DD57,21),0)</f>
        <v/>
      </c>
      <c r="X57">
        <f>IFERROR(INDEX(PP_Grid[#Data],$DD57,22),0)</f>
        <v/>
      </c>
      <c r="Y57">
        <f>IFERROR(INDEX(PP_Grid[#Data],$DD57,23),0)</f>
        <v/>
      </c>
      <c r="Z57">
        <f>IFERROR(INDEX(PP_Grid[#Data],$DD57,24),0)</f>
        <v/>
      </c>
      <c r="AA57">
        <f>IFERROR(INDEX(PP_Grid[#Data],$DD57,25),0)</f>
        <v/>
      </c>
      <c r="AB57">
        <f>IFERROR(INDEX(PP_Grid[#Data],$DD57,26),0)</f>
        <v/>
      </c>
      <c r="AC57">
        <f>IFERROR(INDEX(PP_Grid[#Data],$DD57,27),0)</f>
        <v/>
      </c>
      <c r="AD57">
        <f>IFERROR(INDEX(PP_Grid[#Data],$DD57,28),0)</f>
        <v/>
      </c>
      <c r="AE57">
        <f>IFERROR(INDEX(PP_Grid[#Data],$DD57,29),0)</f>
        <v/>
      </c>
      <c r="AF57">
        <f>IFERROR(INDEX(PP_Grid[#Data],$DD57,30),0)</f>
        <v/>
      </c>
      <c r="AG57">
        <f>IFERROR(INDEX(PP_Grid[#Data],$DD57,31),0)</f>
        <v/>
      </c>
      <c r="AH57">
        <f>IFERROR(INDEX(PP_Grid[#Data],$DD57,32),0)</f>
        <v/>
      </c>
      <c r="AI57">
        <f>IFERROR(INDEX(PP_Grid[#Data],$DD57,33),0)</f>
        <v/>
      </c>
      <c r="AJ57">
        <f>IFERROR(INDEX(PP_Grid[#Data],$DD57,34),0)</f>
        <v/>
      </c>
      <c r="AK57">
        <f>IFERROR(INDEX(PP_Grid[#Data],$DD57,35),0)</f>
        <v/>
      </c>
      <c r="AL57">
        <f>IFERROR(INDEX(PP_Grid[#Data],$DD57,36),0)</f>
        <v/>
      </c>
      <c r="AM57">
        <f>IFERROR(INDEX(PP_Grid[#Data],$DD57,37),0)</f>
        <v/>
      </c>
      <c r="AN57">
        <f>IFERROR(INDEX(PP_Grid[#Data],$DD57,38),0)</f>
        <v/>
      </c>
      <c r="AO57">
        <f>IFERROR(INDEX(PP_Grid[#Data],$DD57,39),0)</f>
        <v/>
      </c>
      <c r="AP57">
        <f>IFERROR(INDEX(PP_Grid[#Data],$DD57,40),0)</f>
        <v/>
      </c>
      <c r="AQ57">
        <f>IFERROR(INDEX(PP_Grid[#Data],$DD57,41),0)</f>
        <v/>
      </c>
      <c r="AR57">
        <f>IFERROR(INDEX(PP_Grid[#Data],$DD57,42),0)</f>
        <v/>
      </c>
      <c r="AS57">
        <f>IFERROR(INDEX(PP_Grid[#Data],$DD57,43),0)</f>
        <v/>
      </c>
      <c r="AT57">
        <f>IFERROR(INDEX(PP_Grid[#Data],$DD57,44),0)</f>
        <v/>
      </c>
      <c r="AU57">
        <f>IFERROR(INDEX(PP_Grid[#Data],$DD57,45),0)</f>
        <v/>
      </c>
      <c r="AV57">
        <f>IFERROR(INDEX(PP_Grid[#Data],$DD57,46),0)</f>
        <v/>
      </c>
      <c r="AW57">
        <f>IFERROR(INDEX(PP_Grid[#Data],$DD57,47),0)</f>
        <v/>
      </c>
      <c r="AX57">
        <f>IFERROR(INDEX(PP_Grid[#Data],$DD57,48),0)</f>
        <v/>
      </c>
      <c r="AY57">
        <f>IFERROR(INDEX(PP_Grid[#Data],$DD57,49),0)</f>
        <v/>
      </c>
      <c r="AZ57">
        <f>IFERROR(INDEX(PP_Grid[#Data],$DD57,50),0)</f>
        <v/>
      </c>
      <c r="BA57">
        <f>IFERROR(INDEX(PP_Grid[#Data],$DD57,51),0)</f>
        <v/>
      </c>
      <c r="BB57">
        <f>IFERROR(INDEX(PP_Grid[#Data],$DD57,52),0)</f>
        <v/>
      </c>
      <c r="BC57">
        <f>IFERROR(INDEX(PP_Grid[#Data],$DD57,53),0)</f>
        <v/>
      </c>
      <c r="BD57">
        <f>IFERROR(INDEX(PP_Grid[#Data],$DD57,54),0)</f>
        <v/>
      </c>
      <c r="BE57">
        <f>IFERROR(INDEX(PP_Grid[#Data],$DD57,55),0)</f>
        <v/>
      </c>
      <c r="BF57">
        <f>IFERROR(INDEX(PP_Grid[#Data],$DD57,56),0)</f>
        <v/>
      </c>
      <c r="BG57">
        <f>IFERROR(INDEX(PP_Grid[#Data],$DD57,57),0)</f>
        <v/>
      </c>
      <c r="BH57">
        <f>IFERROR(INDEX(PP_Grid[#Data],$DD57,58),0)</f>
        <v/>
      </c>
      <c r="BI57">
        <f>IFERROR(INDEX(PP_Grid[#Data],$DD57,59),0)</f>
        <v/>
      </c>
      <c r="BJ57">
        <f>IFERROR(INDEX(PP_Grid[#Data],$DD57,60),0)</f>
        <v/>
      </c>
      <c r="BK57">
        <f>IFERROR(INDEX(PP_Grid[#Data],$DD57,61),0)</f>
        <v/>
      </c>
      <c r="BL57">
        <f>IFERROR(INDEX(PP_Grid[#Data],$DD57,62),0)</f>
        <v/>
      </c>
      <c r="BM57">
        <f>IFERROR(INDEX(PP_Grid[#Data],$DD57,63),0)</f>
        <v/>
      </c>
      <c r="BN57">
        <f>IFERROR(INDEX(PP_Grid[#Data],$DD57,64),0)</f>
        <v/>
      </c>
      <c r="BO57">
        <f>IFERROR(INDEX(PP_Grid[#Data],$DD57,65),0)</f>
        <v/>
      </c>
      <c r="BP57">
        <f>IFERROR(INDEX(PP_Grid[#Data],$DD57,66),0)</f>
        <v/>
      </c>
      <c r="BQ57">
        <f>IFERROR(INDEX(PP_Grid[#Data],$DD57,67),0)</f>
        <v/>
      </c>
      <c r="BR57">
        <f>IFERROR(INDEX(PP_Grid[#Data],$DD57,68),0)</f>
        <v/>
      </c>
      <c r="BS57">
        <f>IFERROR(INDEX(PP_Grid[#Data],$DD57,69),0)</f>
        <v/>
      </c>
      <c r="BT57">
        <f>IFERROR(INDEX(PP_Grid[#Data],$DD57,70),0)</f>
        <v/>
      </c>
      <c r="BU57">
        <f>IFERROR(INDEX(PP_Grid[#Data],$DD57,71),0)</f>
        <v/>
      </c>
      <c r="BV57">
        <f>IFERROR(INDEX(PP_Grid[#Data],$DD57,72),0)</f>
        <v/>
      </c>
      <c r="BW57">
        <f>IFERROR(INDEX(PP_Grid[#Data],$DD57,73),0)</f>
        <v/>
      </c>
      <c r="BX57">
        <f>IFERROR(INDEX(PP_Grid[#Data],$DD57,74),0)</f>
        <v/>
      </c>
      <c r="BY57">
        <f>IFERROR(INDEX(PP_Grid[#Data],$DD57,75),0)</f>
        <v/>
      </c>
      <c r="BZ57">
        <f>IFERROR(INDEX(PP_Grid[#Data],$DD57,76),0)</f>
        <v/>
      </c>
      <c r="CA57">
        <f>IFERROR(INDEX(PP_Grid[#Data],$DD57,77),0)</f>
        <v/>
      </c>
      <c r="CB57">
        <f>IFERROR(INDEX(PP_Grid[#Data],$DD57,78),0)</f>
        <v/>
      </c>
      <c r="CC57">
        <f>IFERROR(INDEX(PP_Grid[#Data],$DD57,79),0)</f>
        <v/>
      </c>
      <c r="CD57">
        <f>IFERROR(INDEX(PP_Grid[#Data],$DD57,80),0)</f>
        <v/>
      </c>
      <c r="CE57">
        <f>IFERROR(INDEX(PP_Grid[#Data],$DD57,81),0)</f>
        <v/>
      </c>
      <c r="CF57">
        <f>IFERROR(INDEX(PP_Grid[#Data],$DD57,82),0)</f>
        <v/>
      </c>
      <c r="CG57">
        <f>IFERROR(INDEX(PP_Grid[#Data],$DD57,83),0)</f>
        <v/>
      </c>
      <c r="CH57">
        <f>IFERROR(INDEX(PP_Grid[#Data],$DD57,84),0)</f>
        <v/>
      </c>
      <c r="CI57">
        <f>IFERROR(INDEX(PP_Grid[#Data],$DD57,85),0)</f>
        <v/>
      </c>
      <c r="CJ57">
        <f>IFERROR(INDEX(PP_Grid[#Data],$DD57,86),0)</f>
        <v/>
      </c>
      <c r="CK57">
        <f>IFERROR(INDEX(PP_Grid[#Data],$DD57,87),0)</f>
        <v/>
      </c>
      <c r="CL57">
        <f>IFERROR(INDEX(PP_Grid[#Data],$DD57,88),0)</f>
        <v/>
      </c>
      <c r="CM57">
        <f>IFERROR(INDEX(PP_Grid[#Data],$DD57,89),0)</f>
        <v/>
      </c>
      <c r="CN57">
        <f>IFERROR(INDEX(PP_Grid[#Data],$DD57,90),0)</f>
        <v/>
      </c>
      <c r="CO57">
        <f>IFERROR(INDEX(PP_Grid[#Data],$DD57,91),0)</f>
        <v/>
      </c>
      <c r="CP57">
        <f>IFERROR(INDEX(PP_Grid[#Data],$DD57,92),0)</f>
        <v/>
      </c>
      <c r="CQ57">
        <f>IFERROR(INDEX(PP_Grid[#Data],$DD57,93),0)</f>
        <v/>
      </c>
      <c r="CR57">
        <f>IFERROR(INDEX(PP_Grid[#Data],$DD57,94),0)</f>
        <v/>
      </c>
      <c r="CS57">
        <f>IFERROR(INDEX(PP_Grid[#Data],$DD57,95),0)</f>
        <v/>
      </c>
      <c r="CT57">
        <f>IFERROR(INDEX(PP_Grid[#Data],$DD57,96),0)</f>
        <v/>
      </c>
      <c r="CU57">
        <f>IFERROR(INDEX(PP_Grid[#Data],$DD57,97),0)</f>
        <v/>
      </c>
      <c r="CV57">
        <f>IFERROR(INDEX(PP_Grid[#Data],$DD57,98),0)</f>
        <v/>
      </c>
      <c r="CW57">
        <f>IFERROR(INDEX(PP_Grid[#Data],$DD57,99),0)</f>
        <v/>
      </c>
      <c r="CX57">
        <f>IFERROR(INDEX(PP_Grid[#Data],$DD57,100),0)</f>
        <v/>
      </c>
      <c r="CY57">
        <f>IFERROR(INDEX(PP_Grid[#Data],$DD57,101),0)</f>
        <v/>
      </c>
      <c r="CZ57">
        <f>IFERROR(INDEX(PP_Grid[#Data],$DD57,102),0)</f>
        <v/>
      </c>
      <c r="DA57">
        <f>IFERROR(INDEX(PP_Grid[#Data],$DD57,103),0)</f>
        <v/>
      </c>
      <c r="DB57">
        <f>IFERROR(INDEX(PP_Grid[#Data],$DD57,104),0)</f>
        <v/>
      </c>
      <c r="DC57">
        <f>IFERROR(INDEX(PP_Grid[#Data],$DD57,105),0)</f>
        <v/>
      </c>
      <c r="DD57" s="7">
        <f>IFERROR(MATCH($B57,PP_Grid[Intermediate],0),99999)</f>
        <v/>
      </c>
    </row>
    <row r="58">
      <c r="B58" t="inlineStr">
        <is>
          <t>使用量(kg)</t>
        </is>
      </c>
      <c r="C58">
        <f>SUMIFS(M_BOM[RM_Qty_Per_Batch],M_BOM[Intermediate],$B57,M_BOM[Part Name],$A44)</f>
        <v/>
      </c>
      <c r="D58">
        <f>$C58*D57</f>
        <v/>
      </c>
      <c r="E58">
        <f>$C58*E57</f>
        <v/>
      </c>
      <c r="F58">
        <f>$C58*F57</f>
        <v/>
      </c>
      <c r="G58">
        <f>$C58*G57</f>
        <v/>
      </c>
      <c r="H58">
        <f>$C58*H57</f>
        <v/>
      </c>
      <c r="I58">
        <f>$C58*I57</f>
        <v/>
      </c>
      <c r="J58">
        <f>$C58*J57</f>
        <v/>
      </c>
      <c r="K58">
        <f>$C58*K57</f>
        <v/>
      </c>
      <c r="L58">
        <f>$C58*L57</f>
        <v/>
      </c>
      <c r="M58">
        <f>$C58*M57</f>
        <v/>
      </c>
      <c r="N58">
        <f>$C58*N57</f>
        <v/>
      </c>
      <c r="O58">
        <f>$C58*O57</f>
        <v/>
      </c>
      <c r="P58">
        <f>$C58*P57</f>
        <v/>
      </c>
      <c r="Q58">
        <f>$C58*Q57</f>
        <v/>
      </c>
      <c r="R58">
        <f>$C58*R57</f>
        <v/>
      </c>
      <c r="S58">
        <f>$C58*S57</f>
        <v/>
      </c>
      <c r="T58">
        <f>$C58*T57</f>
        <v/>
      </c>
      <c r="U58">
        <f>$C58*U57</f>
        <v/>
      </c>
      <c r="V58">
        <f>$C58*V57</f>
        <v/>
      </c>
      <c r="W58">
        <f>$C58*W57</f>
        <v/>
      </c>
      <c r="X58">
        <f>$C58*X57</f>
        <v/>
      </c>
      <c r="Y58">
        <f>$C58*Y57</f>
        <v/>
      </c>
      <c r="Z58">
        <f>$C58*Z57</f>
        <v/>
      </c>
      <c r="AA58">
        <f>$C58*AA57</f>
        <v/>
      </c>
      <c r="AB58">
        <f>$C58*AB57</f>
        <v/>
      </c>
      <c r="AC58">
        <f>$C58*AC57</f>
        <v/>
      </c>
      <c r="AD58">
        <f>$C58*AD57</f>
        <v/>
      </c>
      <c r="AE58">
        <f>$C58*AE57</f>
        <v/>
      </c>
      <c r="AF58">
        <f>$C58*AF57</f>
        <v/>
      </c>
      <c r="AG58">
        <f>$C58*AG57</f>
        <v/>
      </c>
      <c r="AH58">
        <f>$C58*AH57</f>
        <v/>
      </c>
      <c r="AI58">
        <f>$C58*AI57</f>
        <v/>
      </c>
      <c r="AJ58">
        <f>$C58*AJ57</f>
        <v/>
      </c>
      <c r="AK58">
        <f>$C58*AK57</f>
        <v/>
      </c>
      <c r="AL58">
        <f>$C58*AL57</f>
        <v/>
      </c>
      <c r="AM58">
        <f>$C58*AM57</f>
        <v/>
      </c>
      <c r="AN58">
        <f>$C58*AN57</f>
        <v/>
      </c>
      <c r="AO58">
        <f>$C58*AO57</f>
        <v/>
      </c>
      <c r="AP58">
        <f>$C58*AP57</f>
        <v/>
      </c>
      <c r="AQ58">
        <f>$C58*AQ57</f>
        <v/>
      </c>
      <c r="AR58">
        <f>$C58*AR57</f>
        <v/>
      </c>
      <c r="AS58">
        <f>$C58*AS57</f>
        <v/>
      </c>
      <c r="AT58">
        <f>$C58*AT57</f>
        <v/>
      </c>
      <c r="AU58">
        <f>$C58*AU57</f>
        <v/>
      </c>
      <c r="AV58">
        <f>$C58*AV57</f>
        <v/>
      </c>
      <c r="AW58">
        <f>$C58*AW57</f>
        <v/>
      </c>
      <c r="AX58">
        <f>$C58*AX57</f>
        <v/>
      </c>
      <c r="AY58">
        <f>$C58*AY57</f>
        <v/>
      </c>
      <c r="AZ58">
        <f>$C58*AZ57</f>
        <v/>
      </c>
      <c r="BA58">
        <f>$C58*BA57</f>
        <v/>
      </c>
      <c r="BB58">
        <f>$C58*BB57</f>
        <v/>
      </c>
      <c r="BC58">
        <f>$C58*BC57</f>
        <v/>
      </c>
      <c r="BD58">
        <f>$C58*BD57</f>
        <v/>
      </c>
      <c r="BE58">
        <f>$C58*BE57</f>
        <v/>
      </c>
      <c r="BF58">
        <f>$C58*BF57</f>
        <v/>
      </c>
      <c r="BG58">
        <f>$C58*BG57</f>
        <v/>
      </c>
      <c r="BH58">
        <f>$C58*BH57</f>
        <v/>
      </c>
      <c r="BI58">
        <f>$C58*BI57</f>
        <v/>
      </c>
      <c r="BJ58">
        <f>$C58*BJ57</f>
        <v/>
      </c>
      <c r="BK58">
        <f>$C58*BK57</f>
        <v/>
      </c>
      <c r="BL58">
        <f>$C58*BL57</f>
        <v/>
      </c>
      <c r="BM58">
        <f>$C58*BM57</f>
        <v/>
      </c>
      <c r="BN58">
        <f>$C58*BN57</f>
        <v/>
      </c>
      <c r="BO58">
        <f>$C58*BO57</f>
        <v/>
      </c>
      <c r="BP58">
        <f>$C58*BP57</f>
        <v/>
      </c>
      <c r="BQ58">
        <f>$C58*BQ57</f>
        <v/>
      </c>
      <c r="BR58">
        <f>$C58*BR57</f>
        <v/>
      </c>
      <c r="BS58">
        <f>$C58*BS57</f>
        <v/>
      </c>
      <c r="BT58">
        <f>$C58*BT57</f>
        <v/>
      </c>
      <c r="BU58">
        <f>$C58*BU57</f>
        <v/>
      </c>
      <c r="BV58">
        <f>$C58*BV57</f>
        <v/>
      </c>
      <c r="BW58">
        <f>$C58*BW57</f>
        <v/>
      </c>
      <c r="BX58">
        <f>$C58*BX57</f>
        <v/>
      </c>
      <c r="BY58">
        <f>$C58*BY57</f>
        <v/>
      </c>
      <c r="BZ58">
        <f>$C58*BZ57</f>
        <v/>
      </c>
      <c r="CA58">
        <f>$C58*CA57</f>
        <v/>
      </c>
      <c r="CB58">
        <f>$C58*CB57</f>
        <v/>
      </c>
      <c r="CC58">
        <f>$C58*CC57</f>
        <v/>
      </c>
      <c r="CD58">
        <f>$C58*CD57</f>
        <v/>
      </c>
      <c r="CE58">
        <f>$C58*CE57</f>
        <v/>
      </c>
      <c r="CF58">
        <f>$C58*CF57</f>
        <v/>
      </c>
      <c r="CG58">
        <f>$C58*CG57</f>
        <v/>
      </c>
      <c r="CH58">
        <f>$C58*CH57</f>
        <v/>
      </c>
      <c r="CI58">
        <f>$C58*CI57</f>
        <v/>
      </c>
      <c r="CJ58">
        <f>$C58*CJ57</f>
        <v/>
      </c>
      <c r="CK58">
        <f>$C58*CK57</f>
        <v/>
      </c>
      <c r="CL58">
        <f>$C58*CL57</f>
        <v/>
      </c>
      <c r="CM58">
        <f>$C58*CM57</f>
        <v/>
      </c>
      <c r="CN58">
        <f>$C58*CN57</f>
        <v/>
      </c>
      <c r="CO58">
        <f>$C58*CO57</f>
        <v/>
      </c>
      <c r="CP58">
        <f>$C58*CP57</f>
        <v/>
      </c>
      <c r="CQ58">
        <f>$C58*CQ57</f>
        <v/>
      </c>
      <c r="CR58">
        <f>$C58*CR57</f>
        <v/>
      </c>
      <c r="CS58">
        <f>$C58*CS57</f>
        <v/>
      </c>
      <c r="CT58">
        <f>$C58*CT57</f>
        <v/>
      </c>
      <c r="CU58">
        <f>$C58*CU57</f>
        <v/>
      </c>
      <c r="CV58">
        <f>$C58*CV57</f>
        <v/>
      </c>
      <c r="CW58">
        <f>$C58*CW57</f>
        <v/>
      </c>
      <c r="CX58">
        <f>$C58*CX57</f>
        <v/>
      </c>
      <c r="CY58">
        <f>$C58*CY57</f>
        <v/>
      </c>
      <c r="CZ58">
        <f>$C58*CZ57</f>
        <v/>
      </c>
      <c r="DA58">
        <f>$C58*DA57</f>
        <v/>
      </c>
      <c r="DB58">
        <f>$C58*DB57</f>
        <v/>
      </c>
      <c r="DC58">
        <f>$C58*DC57</f>
        <v/>
      </c>
    </row>
    <row r="59">
      <c r="B59" t="inlineStr">
        <is>
          <t>TSP-089</t>
        </is>
      </c>
      <c r="C59" t="inlineStr">
        <is>
          <t>No. of batches</t>
        </is>
      </c>
      <c r="D59">
        <f>IFERROR(INDEX(PP_Grid[#Data],$DD59,2),0)</f>
        <v/>
      </c>
      <c r="E59">
        <f>IFERROR(INDEX(PP_Grid[#Data],$DD59,3),0)</f>
        <v/>
      </c>
      <c r="F59">
        <f>IFERROR(INDEX(PP_Grid[#Data],$DD59,4),0)</f>
        <v/>
      </c>
      <c r="G59">
        <f>IFERROR(INDEX(PP_Grid[#Data],$DD59,5),0)</f>
        <v/>
      </c>
      <c r="H59">
        <f>IFERROR(INDEX(PP_Grid[#Data],$DD59,6),0)</f>
        <v/>
      </c>
      <c r="I59">
        <f>IFERROR(INDEX(PP_Grid[#Data],$DD59,7),0)</f>
        <v/>
      </c>
      <c r="J59">
        <f>IFERROR(INDEX(PP_Grid[#Data],$DD59,8),0)</f>
        <v/>
      </c>
      <c r="K59">
        <f>IFERROR(INDEX(PP_Grid[#Data],$DD59,9),0)</f>
        <v/>
      </c>
      <c r="L59">
        <f>IFERROR(INDEX(PP_Grid[#Data],$DD59,10),0)</f>
        <v/>
      </c>
      <c r="M59">
        <f>IFERROR(INDEX(PP_Grid[#Data],$DD59,11),0)</f>
        <v/>
      </c>
      <c r="N59">
        <f>IFERROR(INDEX(PP_Grid[#Data],$DD59,12),0)</f>
        <v/>
      </c>
      <c r="O59">
        <f>IFERROR(INDEX(PP_Grid[#Data],$DD59,13),0)</f>
        <v/>
      </c>
      <c r="P59">
        <f>IFERROR(INDEX(PP_Grid[#Data],$DD59,14),0)</f>
        <v/>
      </c>
      <c r="Q59">
        <f>IFERROR(INDEX(PP_Grid[#Data],$DD59,15),0)</f>
        <v/>
      </c>
      <c r="R59">
        <f>IFERROR(INDEX(PP_Grid[#Data],$DD59,16),0)</f>
        <v/>
      </c>
      <c r="S59">
        <f>IFERROR(INDEX(PP_Grid[#Data],$DD59,17),0)</f>
        <v/>
      </c>
      <c r="T59">
        <f>IFERROR(INDEX(PP_Grid[#Data],$DD59,18),0)</f>
        <v/>
      </c>
      <c r="U59">
        <f>IFERROR(INDEX(PP_Grid[#Data],$DD59,19),0)</f>
        <v/>
      </c>
      <c r="V59">
        <f>IFERROR(INDEX(PP_Grid[#Data],$DD59,20),0)</f>
        <v/>
      </c>
      <c r="W59">
        <f>IFERROR(INDEX(PP_Grid[#Data],$DD59,21),0)</f>
        <v/>
      </c>
      <c r="X59">
        <f>IFERROR(INDEX(PP_Grid[#Data],$DD59,22),0)</f>
        <v/>
      </c>
      <c r="Y59">
        <f>IFERROR(INDEX(PP_Grid[#Data],$DD59,23),0)</f>
        <v/>
      </c>
      <c r="Z59">
        <f>IFERROR(INDEX(PP_Grid[#Data],$DD59,24),0)</f>
        <v/>
      </c>
      <c r="AA59">
        <f>IFERROR(INDEX(PP_Grid[#Data],$DD59,25),0)</f>
        <v/>
      </c>
      <c r="AB59">
        <f>IFERROR(INDEX(PP_Grid[#Data],$DD59,26),0)</f>
        <v/>
      </c>
      <c r="AC59">
        <f>IFERROR(INDEX(PP_Grid[#Data],$DD59,27),0)</f>
        <v/>
      </c>
      <c r="AD59">
        <f>IFERROR(INDEX(PP_Grid[#Data],$DD59,28),0)</f>
        <v/>
      </c>
      <c r="AE59">
        <f>IFERROR(INDEX(PP_Grid[#Data],$DD59,29),0)</f>
        <v/>
      </c>
      <c r="AF59">
        <f>IFERROR(INDEX(PP_Grid[#Data],$DD59,30),0)</f>
        <v/>
      </c>
      <c r="AG59">
        <f>IFERROR(INDEX(PP_Grid[#Data],$DD59,31),0)</f>
        <v/>
      </c>
      <c r="AH59">
        <f>IFERROR(INDEX(PP_Grid[#Data],$DD59,32),0)</f>
        <v/>
      </c>
      <c r="AI59">
        <f>IFERROR(INDEX(PP_Grid[#Data],$DD59,33),0)</f>
        <v/>
      </c>
      <c r="AJ59">
        <f>IFERROR(INDEX(PP_Grid[#Data],$DD59,34),0)</f>
        <v/>
      </c>
      <c r="AK59">
        <f>IFERROR(INDEX(PP_Grid[#Data],$DD59,35),0)</f>
        <v/>
      </c>
      <c r="AL59">
        <f>IFERROR(INDEX(PP_Grid[#Data],$DD59,36),0)</f>
        <v/>
      </c>
      <c r="AM59">
        <f>IFERROR(INDEX(PP_Grid[#Data],$DD59,37),0)</f>
        <v/>
      </c>
      <c r="AN59">
        <f>IFERROR(INDEX(PP_Grid[#Data],$DD59,38),0)</f>
        <v/>
      </c>
      <c r="AO59">
        <f>IFERROR(INDEX(PP_Grid[#Data],$DD59,39),0)</f>
        <v/>
      </c>
      <c r="AP59">
        <f>IFERROR(INDEX(PP_Grid[#Data],$DD59,40),0)</f>
        <v/>
      </c>
      <c r="AQ59">
        <f>IFERROR(INDEX(PP_Grid[#Data],$DD59,41),0)</f>
        <v/>
      </c>
      <c r="AR59">
        <f>IFERROR(INDEX(PP_Grid[#Data],$DD59,42),0)</f>
        <v/>
      </c>
      <c r="AS59">
        <f>IFERROR(INDEX(PP_Grid[#Data],$DD59,43),0)</f>
        <v/>
      </c>
      <c r="AT59">
        <f>IFERROR(INDEX(PP_Grid[#Data],$DD59,44),0)</f>
        <v/>
      </c>
      <c r="AU59">
        <f>IFERROR(INDEX(PP_Grid[#Data],$DD59,45),0)</f>
        <v/>
      </c>
      <c r="AV59">
        <f>IFERROR(INDEX(PP_Grid[#Data],$DD59,46),0)</f>
        <v/>
      </c>
      <c r="AW59">
        <f>IFERROR(INDEX(PP_Grid[#Data],$DD59,47),0)</f>
        <v/>
      </c>
      <c r="AX59">
        <f>IFERROR(INDEX(PP_Grid[#Data],$DD59,48),0)</f>
        <v/>
      </c>
      <c r="AY59">
        <f>IFERROR(INDEX(PP_Grid[#Data],$DD59,49),0)</f>
        <v/>
      </c>
      <c r="AZ59">
        <f>IFERROR(INDEX(PP_Grid[#Data],$DD59,50),0)</f>
        <v/>
      </c>
      <c r="BA59">
        <f>IFERROR(INDEX(PP_Grid[#Data],$DD59,51),0)</f>
        <v/>
      </c>
      <c r="BB59">
        <f>IFERROR(INDEX(PP_Grid[#Data],$DD59,52),0)</f>
        <v/>
      </c>
      <c r="BC59">
        <f>IFERROR(INDEX(PP_Grid[#Data],$DD59,53),0)</f>
        <v/>
      </c>
      <c r="BD59">
        <f>IFERROR(INDEX(PP_Grid[#Data],$DD59,54),0)</f>
        <v/>
      </c>
      <c r="BE59">
        <f>IFERROR(INDEX(PP_Grid[#Data],$DD59,55),0)</f>
        <v/>
      </c>
      <c r="BF59">
        <f>IFERROR(INDEX(PP_Grid[#Data],$DD59,56),0)</f>
        <v/>
      </c>
      <c r="BG59">
        <f>IFERROR(INDEX(PP_Grid[#Data],$DD59,57),0)</f>
        <v/>
      </c>
      <c r="BH59">
        <f>IFERROR(INDEX(PP_Grid[#Data],$DD59,58),0)</f>
        <v/>
      </c>
      <c r="BI59">
        <f>IFERROR(INDEX(PP_Grid[#Data],$DD59,59),0)</f>
        <v/>
      </c>
      <c r="BJ59">
        <f>IFERROR(INDEX(PP_Grid[#Data],$DD59,60),0)</f>
        <v/>
      </c>
      <c r="BK59">
        <f>IFERROR(INDEX(PP_Grid[#Data],$DD59,61),0)</f>
        <v/>
      </c>
      <c r="BL59">
        <f>IFERROR(INDEX(PP_Grid[#Data],$DD59,62),0)</f>
        <v/>
      </c>
      <c r="BM59">
        <f>IFERROR(INDEX(PP_Grid[#Data],$DD59,63),0)</f>
        <v/>
      </c>
      <c r="BN59">
        <f>IFERROR(INDEX(PP_Grid[#Data],$DD59,64),0)</f>
        <v/>
      </c>
      <c r="BO59">
        <f>IFERROR(INDEX(PP_Grid[#Data],$DD59,65),0)</f>
        <v/>
      </c>
      <c r="BP59">
        <f>IFERROR(INDEX(PP_Grid[#Data],$DD59,66),0)</f>
        <v/>
      </c>
      <c r="BQ59">
        <f>IFERROR(INDEX(PP_Grid[#Data],$DD59,67),0)</f>
        <v/>
      </c>
      <c r="BR59">
        <f>IFERROR(INDEX(PP_Grid[#Data],$DD59,68),0)</f>
        <v/>
      </c>
      <c r="BS59">
        <f>IFERROR(INDEX(PP_Grid[#Data],$DD59,69),0)</f>
        <v/>
      </c>
      <c r="BT59">
        <f>IFERROR(INDEX(PP_Grid[#Data],$DD59,70),0)</f>
        <v/>
      </c>
      <c r="BU59">
        <f>IFERROR(INDEX(PP_Grid[#Data],$DD59,71),0)</f>
        <v/>
      </c>
      <c r="BV59">
        <f>IFERROR(INDEX(PP_Grid[#Data],$DD59,72),0)</f>
        <v/>
      </c>
      <c r="BW59">
        <f>IFERROR(INDEX(PP_Grid[#Data],$DD59,73),0)</f>
        <v/>
      </c>
      <c r="BX59">
        <f>IFERROR(INDEX(PP_Grid[#Data],$DD59,74),0)</f>
        <v/>
      </c>
      <c r="BY59">
        <f>IFERROR(INDEX(PP_Grid[#Data],$DD59,75),0)</f>
        <v/>
      </c>
      <c r="BZ59">
        <f>IFERROR(INDEX(PP_Grid[#Data],$DD59,76),0)</f>
        <v/>
      </c>
      <c r="CA59">
        <f>IFERROR(INDEX(PP_Grid[#Data],$DD59,77),0)</f>
        <v/>
      </c>
      <c r="CB59">
        <f>IFERROR(INDEX(PP_Grid[#Data],$DD59,78),0)</f>
        <v/>
      </c>
      <c r="CC59">
        <f>IFERROR(INDEX(PP_Grid[#Data],$DD59,79),0)</f>
        <v/>
      </c>
      <c r="CD59">
        <f>IFERROR(INDEX(PP_Grid[#Data],$DD59,80),0)</f>
        <v/>
      </c>
      <c r="CE59">
        <f>IFERROR(INDEX(PP_Grid[#Data],$DD59,81),0)</f>
        <v/>
      </c>
      <c r="CF59">
        <f>IFERROR(INDEX(PP_Grid[#Data],$DD59,82),0)</f>
        <v/>
      </c>
      <c r="CG59">
        <f>IFERROR(INDEX(PP_Grid[#Data],$DD59,83),0)</f>
        <v/>
      </c>
      <c r="CH59">
        <f>IFERROR(INDEX(PP_Grid[#Data],$DD59,84),0)</f>
        <v/>
      </c>
      <c r="CI59">
        <f>IFERROR(INDEX(PP_Grid[#Data],$DD59,85),0)</f>
        <v/>
      </c>
      <c r="CJ59">
        <f>IFERROR(INDEX(PP_Grid[#Data],$DD59,86),0)</f>
        <v/>
      </c>
      <c r="CK59">
        <f>IFERROR(INDEX(PP_Grid[#Data],$DD59,87),0)</f>
        <v/>
      </c>
      <c r="CL59">
        <f>IFERROR(INDEX(PP_Grid[#Data],$DD59,88),0)</f>
        <v/>
      </c>
      <c r="CM59">
        <f>IFERROR(INDEX(PP_Grid[#Data],$DD59,89),0)</f>
        <v/>
      </c>
      <c r="CN59">
        <f>IFERROR(INDEX(PP_Grid[#Data],$DD59,90),0)</f>
        <v/>
      </c>
      <c r="CO59">
        <f>IFERROR(INDEX(PP_Grid[#Data],$DD59,91),0)</f>
        <v/>
      </c>
      <c r="CP59">
        <f>IFERROR(INDEX(PP_Grid[#Data],$DD59,92),0)</f>
        <v/>
      </c>
      <c r="CQ59">
        <f>IFERROR(INDEX(PP_Grid[#Data],$DD59,93),0)</f>
        <v/>
      </c>
      <c r="CR59">
        <f>IFERROR(INDEX(PP_Grid[#Data],$DD59,94),0)</f>
        <v/>
      </c>
      <c r="CS59">
        <f>IFERROR(INDEX(PP_Grid[#Data],$DD59,95),0)</f>
        <v/>
      </c>
      <c r="CT59">
        <f>IFERROR(INDEX(PP_Grid[#Data],$DD59,96),0)</f>
        <v/>
      </c>
      <c r="CU59">
        <f>IFERROR(INDEX(PP_Grid[#Data],$DD59,97),0)</f>
        <v/>
      </c>
      <c r="CV59">
        <f>IFERROR(INDEX(PP_Grid[#Data],$DD59,98),0)</f>
        <v/>
      </c>
      <c r="CW59">
        <f>IFERROR(INDEX(PP_Grid[#Data],$DD59,99),0)</f>
        <v/>
      </c>
      <c r="CX59">
        <f>IFERROR(INDEX(PP_Grid[#Data],$DD59,100),0)</f>
        <v/>
      </c>
      <c r="CY59">
        <f>IFERROR(INDEX(PP_Grid[#Data],$DD59,101),0)</f>
        <v/>
      </c>
      <c r="CZ59">
        <f>IFERROR(INDEX(PP_Grid[#Data],$DD59,102),0)</f>
        <v/>
      </c>
      <c r="DA59">
        <f>IFERROR(INDEX(PP_Grid[#Data],$DD59,103),0)</f>
        <v/>
      </c>
      <c r="DB59">
        <f>IFERROR(INDEX(PP_Grid[#Data],$DD59,104),0)</f>
        <v/>
      </c>
      <c r="DC59">
        <f>IFERROR(INDEX(PP_Grid[#Data],$DD59,105),0)</f>
        <v/>
      </c>
      <c r="DD59" s="7">
        <f>IFERROR(MATCH($B59,PP_Grid[Intermediate],0),99999)</f>
        <v/>
      </c>
    </row>
    <row r="60">
      <c r="B60" t="inlineStr">
        <is>
          <t>使用量(kg)</t>
        </is>
      </c>
      <c r="C60">
        <f>SUMIFS(M_BOM[RM_Qty_Per_Batch],M_BOM[Intermediate],$B59,M_BOM[Part Name],$A44)</f>
        <v/>
      </c>
      <c r="D60">
        <f>$C60*D59</f>
        <v/>
      </c>
      <c r="E60">
        <f>$C60*E59</f>
        <v/>
      </c>
      <c r="F60">
        <f>$C60*F59</f>
        <v/>
      </c>
      <c r="G60">
        <f>$C60*G59</f>
        <v/>
      </c>
      <c r="H60">
        <f>$C60*H59</f>
        <v/>
      </c>
      <c r="I60">
        <f>$C60*I59</f>
        <v/>
      </c>
      <c r="J60">
        <f>$C60*J59</f>
        <v/>
      </c>
      <c r="K60">
        <f>$C60*K59</f>
        <v/>
      </c>
      <c r="L60">
        <f>$C60*L59</f>
        <v/>
      </c>
      <c r="M60">
        <f>$C60*M59</f>
        <v/>
      </c>
      <c r="N60">
        <f>$C60*N59</f>
        <v/>
      </c>
      <c r="O60">
        <f>$C60*O59</f>
        <v/>
      </c>
      <c r="P60">
        <f>$C60*P59</f>
        <v/>
      </c>
      <c r="Q60">
        <f>$C60*Q59</f>
        <v/>
      </c>
      <c r="R60">
        <f>$C60*R59</f>
        <v/>
      </c>
      <c r="S60">
        <f>$C60*S59</f>
        <v/>
      </c>
      <c r="T60">
        <f>$C60*T59</f>
        <v/>
      </c>
      <c r="U60">
        <f>$C60*U59</f>
        <v/>
      </c>
      <c r="V60">
        <f>$C60*V59</f>
        <v/>
      </c>
      <c r="W60">
        <f>$C60*W59</f>
        <v/>
      </c>
      <c r="X60">
        <f>$C60*X59</f>
        <v/>
      </c>
      <c r="Y60">
        <f>$C60*Y59</f>
        <v/>
      </c>
      <c r="Z60">
        <f>$C60*Z59</f>
        <v/>
      </c>
      <c r="AA60">
        <f>$C60*AA59</f>
        <v/>
      </c>
      <c r="AB60">
        <f>$C60*AB59</f>
        <v/>
      </c>
      <c r="AC60">
        <f>$C60*AC59</f>
        <v/>
      </c>
      <c r="AD60">
        <f>$C60*AD59</f>
        <v/>
      </c>
      <c r="AE60">
        <f>$C60*AE59</f>
        <v/>
      </c>
      <c r="AF60">
        <f>$C60*AF59</f>
        <v/>
      </c>
      <c r="AG60">
        <f>$C60*AG59</f>
        <v/>
      </c>
      <c r="AH60">
        <f>$C60*AH59</f>
        <v/>
      </c>
      <c r="AI60">
        <f>$C60*AI59</f>
        <v/>
      </c>
      <c r="AJ60">
        <f>$C60*AJ59</f>
        <v/>
      </c>
      <c r="AK60">
        <f>$C60*AK59</f>
        <v/>
      </c>
      <c r="AL60">
        <f>$C60*AL59</f>
        <v/>
      </c>
      <c r="AM60">
        <f>$C60*AM59</f>
        <v/>
      </c>
      <c r="AN60">
        <f>$C60*AN59</f>
        <v/>
      </c>
      <c r="AO60">
        <f>$C60*AO59</f>
        <v/>
      </c>
      <c r="AP60">
        <f>$C60*AP59</f>
        <v/>
      </c>
      <c r="AQ60">
        <f>$C60*AQ59</f>
        <v/>
      </c>
      <c r="AR60">
        <f>$C60*AR59</f>
        <v/>
      </c>
      <c r="AS60">
        <f>$C60*AS59</f>
        <v/>
      </c>
      <c r="AT60">
        <f>$C60*AT59</f>
        <v/>
      </c>
      <c r="AU60">
        <f>$C60*AU59</f>
        <v/>
      </c>
      <c r="AV60">
        <f>$C60*AV59</f>
        <v/>
      </c>
      <c r="AW60">
        <f>$C60*AW59</f>
        <v/>
      </c>
      <c r="AX60">
        <f>$C60*AX59</f>
        <v/>
      </c>
      <c r="AY60">
        <f>$C60*AY59</f>
        <v/>
      </c>
      <c r="AZ60">
        <f>$C60*AZ59</f>
        <v/>
      </c>
      <c r="BA60">
        <f>$C60*BA59</f>
        <v/>
      </c>
      <c r="BB60">
        <f>$C60*BB59</f>
        <v/>
      </c>
      <c r="BC60">
        <f>$C60*BC59</f>
        <v/>
      </c>
      <c r="BD60">
        <f>$C60*BD59</f>
        <v/>
      </c>
      <c r="BE60">
        <f>$C60*BE59</f>
        <v/>
      </c>
      <c r="BF60">
        <f>$C60*BF59</f>
        <v/>
      </c>
      <c r="BG60">
        <f>$C60*BG59</f>
        <v/>
      </c>
      <c r="BH60">
        <f>$C60*BH59</f>
        <v/>
      </c>
      <c r="BI60">
        <f>$C60*BI59</f>
        <v/>
      </c>
      <c r="BJ60">
        <f>$C60*BJ59</f>
        <v/>
      </c>
      <c r="BK60">
        <f>$C60*BK59</f>
        <v/>
      </c>
      <c r="BL60">
        <f>$C60*BL59</f>
        <v/>
      </c>
      <c r="BM60">
        <f>$C60*BM59</f>
        <v/>
      </c>
      <c r="BN60">
        <f>$C60*BN59</f>
        <v/>
      </c>
      <c r="BO60">
        <f>$C60*BO59</f>
        <v/>
      </c>
      <c r="BP60">
        <f>$C60*BP59</f>
        <v/>
      </c>
      <c r="BQ60">
        <f>$C60*BQ59</f>
        <v/>
      </c>
      <c r="BR60">
        <f>$C60*BR59</f>
        <v/>
      </c>
      <c r="BS60">
        <f>$C60*BS59</f>
        <v/>
      </c>
      <c r="BT60">
        <f>$C60*BT59</f>
        <v/>
      </c>
      <c r="BU60">
        <f>$C60*BU59</f>
        <v/>
      </c>
      <c r="BV60">
        <f>$C60*BV59</f>
        <v/>
      </c>
      <c r="BW60">
        <f>$C60*BW59</f>
        <v/>
      </c>
      <c r="BX60">
        <f>$C60*BX59</f>
        <v/>
      </c>
      <c r="BY60">
        <f>$C60*BY59</f>
        <v/>
      </c>
      <c r="BZ60">
        <f>$C60*BZ59</f>
        <v/>
      </c>
      <c r="CA60">
        <f>$C60*CA59</f>
        <v/>
      </c>
      <c r="CB60">
        <f>$C60*CB59</f>
        <v/>
      </c>
      <c r="CC60">
        <f>$C60*CC59</f>
        <v/>
      </c>
      <c r="CD60">
        <f>$C60*CD59</f>
        <v/>
      </c>
      <c r="CE60">
        <f>$C60*CE59</f>
        <v/>
      </c>
      <c r="CF60">
        <f>$C60*CF59</f>
        <v/>
      </c>
      <c r="CG60">
        <f>$C60*CG59</f>
        <v/>
      </c>
      <c r="CH60">
        <f>$C60*CH59</f>
        <v/>
      </c>
      <c r="CI60">
        <f>$C60*CI59</f>
        <v/>
      </c>
      <c r="CJ60">
        <f>$C60*CJ59</f>
        <v/>
      </c>
      <c r="CK60">
        <f>$C60*CK59</f>
        <v/>
      </c>
      <c r="CL60">
        <f>$C60*CL59</f>
        <v/>
      </c>
      <c r="CM60">
        <f>$C60*CM59</f>
        <v/>
      </c>
      <c r="CN60">
        <f>$C60*CN59</f>
        <v/>
      </c>
      <c r="CO60">
        <f>$C60*CO59</f>
        <v/>
      </c>
      <c r="CP60">
        <f>$C60*CP59</f>
        <v/>
      </c>
      <c r="CQ60">
        <f>$C60*CQ59</f>
        <v/>
      </c>
      <c r="CR60">
        <f>$C60*CR59</f>
        <v/>
      </c>
      <c r="CS60">
        <f>$C60*CS59</f>
        <v/>
      </c>
      <c r="CT60">
        <f>$C60*CT59</f>
        <v/>
      </c>
      <c r="CU60">
        <f>$C60*CU59</f>
        <v/>
      </c>
      <c r="CV60">
        <f>$C60*CV59</f>
        <v/>
      </c>
      <c r="CW60">
        <f>$C60*CW59</f>
        <v/>
      </c>
      <c r="CX60">
        <f>$C60*CX59</f>
        <v/>
      </c>
      <c r="CY60">
        <f>$C60*CY59</f>
        <v/>
      </c>
      <c r="CZ60">
        <f>$C60*CZ59</f>
        <v/>
      </c>
      <c r="DA60">
        <f>$C60*DA59</f>
        <v/>
      </c>
      <c r="DB60">
        <f>$C60*DB59</f>
        <v/>
      </c>
      <c r="DC60">
        <f>$C60*DC59</f>
        <v/>
      </c>
    </row>
    <row r="61">
      <c r="B61" t="inlineStr">
        <is>
          <t>TSP-104</t>
        </is>
      </c>
      <c r="C61" t="inlineStr">
        <is>
          <t>No. of batches</t>
        </is>
      </c>
      <c r="D61">
        <f>IFERROR(INDEX(PP_Grid[#Data],$DD61,2),0)</f>
        <v/>
      </c>
      <c r="E61">
        <f>IFERROR(INDEX(PP_Grid[#Data],$DD61,3),0)</f>
        <v/>
      </c>
      <c r="F61">
        <f>IFERROR(INDEX(PP_Grid[#Data],$DD61,4),0)</f>
        <v/>
      </c>
      <c r="G61">
        <f>IFERROR(INDEX(PP_Grid[#Data],$DD61,5),0)</f>
        <v/>
      </c>
      <c r="H61">
        <f>IFERROR(INDEX(PP_Grid[#Data],$DD61,6),0)</f>
        <v/>
      </c>
      <c r="I61">
        <f>IFERROR(INDEX(PP_Grid[#Data],$DD61,7),0)</f>
        <v/>
      </c>
      <c r="J61">
        <f>IFERROR(INDEX(PP_Grid[#Data],$DD61,8),0)</f>
        <v/>
      </c>
      <c r="K61">
        <f>IFERROR(INDEX(PP_Grid[#Data],$DD61,9),0)</f>
        <v/>
      </c>
      <c r="L61">
        <f>IFERROR(INDEX(PP_Grid[#Data],$DD61,10),0)</f>
        <v/>
      </c>
      <c r="M61">
        <f>IFERROR(INDEX(PP_Grid[#Data],$DD61,11),0)</f>
        <v/>
      </c>
      <c r="N61">
        <f>IFERROR(INDEX(PP_Grid[#Data],$DD61,12),0)</f>
        <v/>
      </c>
      <c r="O61">
        <f>IFERROR(INDEX(PP_Grid[#Data],$DD61,13),0)</f>
        <v/>
      </c>
      <c r="P61">
        <f>IFERROR(INDEX(PP_Grid[#Data],$DD61,14),0)</f>
        <v/>
      </c>
      <c r="Q61">
        <f>IFERROR(INDEX(PP_Grid[#Data],$DD61,15),0)</f>
        <v/>
      </c>
      <c r="R61">
        <f>IFERROR(INDEX(PP_Grid[#Data],$DD61,16),0)</f>
        <v/>
      </c>
      <c r="S61">
        <f>IFERROR(INDEX(PP_Grid[#Data],$DD61,17),0)</f>
        <v/>
      </c>
      <c r="T61">
        <f>IFERROR(INDEX(PP_Grid[#Data],$DD61,18),0)</f>
        <v/>
      </c>
      <c r="U61">
        <f>IFERROR(INDEX(PP_Grid[#Data],$DD61,19),0)</f>
        <v/>
      </c>
      <c r="V61">
        <f>IFERROR(INDEX(PP_Grid[#Data],$DD61,20),0)</f>
        <v/>
      </c>
      <c r="W61">
        <f>IFERROR(INDEX(PP_Grid[#Data],$DD61,21),0)</f>
        <v/>
      </c>
      <c r="X61">
        <f>IFERROR(INDEX(PP_Grid[#Data],$DD61,22),0)</f>
        <v/>
      </c>
      <c r="Y61">
        <f>IFERROR(INDEX(PP_Grid[#Data],$DD61,23),0)</f>
        <v/>
      </c>
      <c r="Z61">
        <f>IFERROR(INDEX(PP_Grid[#Data],$DD61,24),0)</f>
        <v/>
      </c>
      <c r="AA61">
        <f>IFERROR(INDEX(PP_Grid[#Data],$DD61,25),0)</f>
        <v/>
      </c>
      <c r="AB61">
        <f>IFERROR(INDEX(PP_Grid[#Data],$DD61,26),0)</f>
        <v/>
      </c>
      <c r="AC61">
        <f>IFERROR(INDEX(PP_Grid[#Data],$DD61,27),0)</f>
        <v/>
      </c>
      <c r="AD61">
        <f>IFERROR(INDEX(PP_Grid[#Data],$DD61,28),0)</f>
        <v/>
      </c>
      <c r="AE61">
        <f>IFERROR(INDEX(PP_Grid[#Data],$DD61,29),0)</f>
        <v/>
      </c>
      <c r="AF61">
        <f>IFERROR(INDEX(PP_Grid[#Data],$DD61,30),0)</f>
        <v/>
      </c>
      <c r="AG61">
        <f>IFERROR(INDEX(PP_Grid[#Data],$DD61,31),0)</f>
        <v/>
      </c>
      <c r="AH61">
        <f>IFERROR(INDEX(PP_Grid[#Data],$DD61,32),0)</f>
        <v/>
      </c>
      <c r="AI61">
        <f>IFERROR(INDEX(PP_Grid[#Data],$DD61,33),0)</f>
        <v/>
      </c>
      <c r="AJ61">
        <f>IFERROR(INDEX(PP_Grid[#Data],$DD61,34),0)</f>
        <v/>
      </c>
      <c r="AK61">
        <f>IFERROR(INDEX(PP_Grid[#Data],$DD61,35),0)</f>
        <v/>
      </c>
      <c r="AL61">
        <f>IFERROR(INDEX(PP_Grid[#Data],$DD61,36),0)</f>
        <v/>
      </c>
      <c r="AM61">
        <f>IFERROR(INDEX(PP_Grid[#Data],$DD61,37),0)</f>
        <v/>
      </c>
      <c r="AN61">
        <f>IFERROR(INDEX(PP_Grid[#Data],$DD61,38),0)</f>
        <v/>
      </c>
      <c r="AO61">
        <f>IFERROR(INDEX(PP_Grid[#Data],$DD61,39),0)</f>
        <v/>
      </c>
      <c r="AP61">
        <f>IFERROR(INDEX(PP_Grid[#Data],$DD61,40),0)</f>
        <v/>
      </c>
      <c r="AQ61">
        <f>IFERROR(INDEX(PP_Grid[#Data],$DD61,41),0)</f>
        <v/>
      </c>
      <c r="AR61">
        <f>IFERROR(INDEX(PP_Grid[#Data],$DD61,42),0)</f>
        <v/>
      </c>
      <c r="AS61">
        <f>IFERROR(INDEX(PP_Grid[#Data],$DD61,43),0)</f>
        <v/>
      </c>
      <c r="AT61">
        <f>IFERROR(INDEX(PP_Grid[#Data],$DD61,44),0)</f>
        <v/>
      </c>
      <c r="AU61">
        <f>IFERROR(INDEX(PP_Grid[#Data],$DD61,45),0)</f>
        <v/>
      </c>
      <c r="AV61">
        <f>IFERROR(INDEX(PP_Grid[#Data],$DD61,46),0)</f>
        <v/>
      </c>
      <c r="AW61">
        <f>IFERROR(INDEX(PP_Grid[#Data],$DD61,47),0)</f>
        <v/>
      </c>
      <c r="AX61">
        <f>IFERROR(INDEX(PP_Grid[#Data],$DD61,48),0)</f>
        <v/>
      </c>
      <c r="AY61">
        <f>IFERROR(INDEX(PP_Grid[#Data],$DD61,49),0)</f>
        <v/>
      </c>
      <c r="AZ61">
        <f>IFERROR(INDEX(PP_Grid[#Data],$DD61,50),0)</f>
        <v/>
      </c>
      <c r="BA61">
        <f>IFERROR(INDEX(PP_Grid[#Data],$DD61,51),0)</f>
        <v/>
      </c>
      <c r="BB61">
        <f>IFERROR(INDEX(PP_Grid[#Data],$DD61,52),0)</f>
        <v/>
      </c>
      <c r="BC61">
        <f>IFERROR(INDEX(PP_Grid[#Data],$DD61,53),0)</f>
        <v/>
      </c>
      <c r="BD61">
        <f>IFERROR(INDEX(PP_Grid[#Data],$DD61,54),0)</f>
        <v/>
      </c>
      <c r="BE61">
        <f>IFERROR(INDEX(PP_Grid[#Data],$DD61,55),0)</f>
        <v/>
      </c>
      <c r="BF61">
        <f>IFERROR(INDEX(PP_Grid[#Data],$DD61,56),0)</f>
        <v/>
      </c>
      <c r="BG61">
        <f>IFERROR(INDEX(PP_Grid[#Data],$DD61,57),0)</f>
        <v/>
      </c>
      <c r="BH61">
        <f>IFERROR(INDEX(PP_Grid[#Data],$DD61,58),0)</f>
        <v/>
      </c>
      <c r="BI61">
        <f>IFERROR(INDEX(PP_Grid[#Data],$DD61,59),0)</f>
        <v/>
      </c>
      <c r="BJ61">
        <f>IFERROR(INDEX(PP_Grid[#Data],$DD61,60),0)</f>
        <v/>
      </c>
      <c r="BK61">
        <f>IFERROR(INDEX(PP_Grid[#Data],$DD61,61),0)</f>
        <v/>
      </c>
      <c r="BL61">
        <f>IFERROR(INDEX(PP_Grid[#Data],$DD61,62),0)</f>
        <v/>
      </c>
      <c r="BM61">
        <f>IFERROR(INDEX(PP_Grid[#Data],$DD61,63),0)</f>
        <v/>
      </c>
      <c r="BN61">
        <f>IFERROR(INDEX(PP_Grid[#Data],$DD61,64),0)</f>
        <v/>
      </c>
      <c r="BO61">
        <f>IFERROR(INDEX(PP_Grid[#Data],$DD61,65),0)</f>
        <v/>
      </c>
      <c r="BP61">
        <f>IFERROR(INDEX(PP_Grid[#Data],$DD61,66),0)</f>
        <v/>
      </c>
      <c r="BQ61">
        <f>IFERROR(INDEX(PP_Grid[#Data],$DD61,67),0)</f>
        <v/>
      </c>
      <c r="BR61">
        <f>IFERROR(INDEX(PP_Grid[#Data],$DD61,68),0)</f>
        <v/>
      </c>
      <c r="BS61">
        <f>IFERROR(INDEX(PP_Grid[#Data],$DD61,69),0)</f>
        <v/>
      </c>
      <c r="BT61">
        <f>IFERROR(INDEX(PP_Grid[#Data],$DD61,70),0)</f>
        <v/>
      </c>
      <c r="BU61">
        <f>IFERROR(INDEX(PP_Grid[#Data],$DD61,71),0)</f>
        <v/>
      </c>
      <c r="BV61">
        <f>IFERROR(INDEX(PP_Grid[#Data],$DD61,72),0)</f>
        <v/>
      </c>
      <c r="BW61">
        <f>IFERROR(INDEX(PP_Grid[#Data],$DD61,73),0)</f>
        <v/>
      </c>
      <c r="BX61">
        <f>IFERROR(INDEX(PP_Grid[#Data],$DD61,74),0)</f>
        <v/>
      </c>
      <c r="BY61">
        <f>IFERROR(INDEX(PP_Grid[#Data],$DD61,75),0)</f>
        <v/>
      </c>
      <c r="BZ61">
        <f>IFERROR(INDEX(PP_Grid[#Data],$DD61,76),0)</f>
        <v/>
      </c>
      <c r="CA61">
        <f>IFERROR(INDEX(PP_Grid[#Data],$DD61,77),0)</f>
        <v/>
      </c>
      <c r="CB61">
        <f>IFERROR(INDEX(PP_Grid[#Data],$DD61,78),0)</f>
        <v/>
      </c>
      <c r="CC61">
        <f>IFERROR(INDEX(PP_Grid[#Data],$DD61,79),0)</f>
        <v/>
      </c>
      <c r="CD61">
        <f>IFERROR(INDEX(PP_Grid[#Data],$DD61,80),0)</f>
        <v/>
      </c>
      <c r="CE61">
        <f>IFERROR(INDEX(PP_Grid[#Data],$DD61,81),0)</f>
        <v/>
      </c>
      <c r="CF61">
        <f>IFERROR(INDEX(PP_Grid[#Data],$DD61,82),0)</f>
        <v/>
      </c>
      <c r="CG61">
        <f>IFERROR(INDEX(PP_Grid[#Data],$DD61,83),0)</f>
        <v/>
      </c>
      <c r="CH61">
        <f>IFERROR(INDEX(PP_Grid[#Data],$DD61,84),0)</f>
        <v/>
      </c>
      <c r="CI61">
        <f>IFERROR(INDEX(PP_Grid[#Data],$DD61,85),0)</f>
        <v/>
      </c>
      <c r="CJ61">
        <f>IFERROR(INDEX(PP_Grid[#Data],$DD61,86),0)</f>
        <v/>
      </c>
      <c r="CK61">
        <f>IFERROR(INDEX(PP_Grid[#Data],$DD61,87),0)</f>
        <v/>
      </c>
      <c r="CL61">
        <f>IFERROR(INDEX(PP_Grid[#Data],$DD61,88),0)</f>
        <v/>
      </c>
      <c r="CM61">
        <f>IFERROR(INDEX(PP_Grid[#Data],$DD61,89),0)</f>
        <v/>
      </c>
      <c r="CN61">
        <f>IFERROR(INDEX(PP_Grid[#Data],$DD61,90),0)</f>
        <v/>
      </c>
      <c r="CO61">
        <f>IFERROR(INDEX(PP_Grid[#Data],$DD61,91),0)</f>
        <v/>
      </c>
      <c r="CP61">
        <f>IFERROR(INDEX(PP_Grid[#Data],$DD61,92),0)</f>
        <v/>
      </c>
      <c r="CQ61">
        <f>IFERROR(INDEX(PP_Grid[#Data],$DD61,93),0)</f>
        <v/>
      </c>
      <c r="CR61">
        <f>IFERROR(INDEX(PP_Grid[#Data],$DD61,94),0)</f>
        <v/>
      </c>
      <c r="CS61">
        <f>IFERROR(INDEX(PP_Grid[#Data],$DD61,95),0)</f>
        <v/>
      </c>
      <c r="CT61">
        <f>IFERROR(INDEX(PP_Grid[#Data],$DD61,96),0)</f>
        <v/>
      </c>
      <c r="CU61">
        <f>IFERROR(INDEX(PP_Grid[#Data],$DD61,97),0)</f>
        <v/>
      </c>
      <c r="CV61">
        <f>IFERROR(INDEX(PP_Grid[#Data],$DD61,98),0)</f>
        <v/>
      </c>
      <c r="CW61">
        <f>IFERROR(INDEX(PP_Grid[#Data],$DD61,99),0)</f>
        <v/>
      </c>
      <c r="CX61">
        <f>IFERROR(INDEX(PP_Grid[#Data],$DD61,100),0)</f>
        <v/>
      </c>
      <c r="CY61">
        <f>IFERROR(INDEX(PP_Grid[#Data],$DD61,101),0)</f>
        <v/>
      </c>
      <c r="CZ61">
        <f>IFERROR(INDEX(PP_Grid[#Data],$DD61,102),0)</f>
        <v/>
      </c>
      <c r="DA61">
        <f>IFERROR(INDEX(PP_Grid[#Data],$DD61,103),0)</f>
        <v/>
      </c>
      <c r="DB61">
        <f>IFERROR(INDEX(PP_Grid[#Data],$DD61,104),0)</f>
        <v/>
      </c>
      <c r="DC61">
        <f>IFERROR(INDEX(PP_Grid[#Data],$DD61,105),0)</f>
        <v/>
      </c>
      <c r="DD61" s="7">
        <f>IFERROR(MATCH($B61,PP_Grid[Intermediate],0),99999)</f>
        <v/>
      </c>
    </row>
    <row r="62">
      <c r="B62" t="inlineStr">
        <is>
          <t>使用量(kg)</t>
        </is>
      </c>
      <c r="C62">
        <f>SUMIFS(M_BOM[RM_Qty_Per_Batch],M_BOM[Intermediate],$B61,M_BOM[Part Name],$A44)</f>
        <v/>
      </c>
      <c r="D62">
        <f>$C62*D61</f>
        <v/>
      </c>
      <c r="E62">
        <f>$C62*E61</f>
        <v/>
      </c>
      <c r="F62">
        <f>$C62*F61</f>
        <v/>
      </c>
      <c r="G62">
        <f>$C62*G61</f>
        <v/>
      </c>
      <c r="H62">
        <f>$C62*H61</f>
        <v/>
      </c>
      <c r="I62">
        <f>$C62*I61</f>
        <v/>
      </c>
      <c r="J62">
        <f>$C62*J61</f>
        <v/>
      </c>
      <c r="K62">
        <f>$C62*K61</f>
        <v/>
      </c>
      <c r="L62">
        <f>$C62*L61</f>
        <v/>
      </c>
      <c r="M62">
        <f>$C62*M61</f>
        <v/>
      </c>
      <c r="N62">
        <f>$C62*N61</f>
        <v/>
      </c>
      <c r="O62">
        <f>$C62*O61</f>
        <v/>
      </c>
      <c r="P62">
        <f>$C62*P61</f>
        <v/>
      </c>
      <c r="Q62">
        <f>$C62*Q61</f>
        <v/>
      </c>
      <c r="R62">
        <f>$C62*R61</f>
        <v/>
      </c>
      <c r="S62">
        <f>$C62*S61</f>
        <v/>
      </c>
      <c r="T62">
        <f>$C62*T61</f>
        <v/>
      </c>
      <c r="U62">
        <f>$C62*U61</f>
        <v/>
      </c>
      <c r="V62">
        <f>$C62*V61</f>
        <v/>
      </c>
      <c r="W62">
        <f>$C62*W61</f>
        <v/>
      </c>
      <c r="X62">
        <f>$C62*X61</f>
        <v/>
      </c>
      <c r="Y62">
        <f>$C62*Y61</f>
        <v/>
      </c>
      <c r="Z62">
        <f>$C62*Z61</f>
        <v/>
      </c>
      <c r="AA62">
        <f>$C62*AA61</f>
        <v/>
      </c>
      <c r="AB62">
        <f>$C62*AB61</f>
        <v/>
      </c>
      <c r="AC62">
        <f>$C62*AC61</f>
        <v/>
      </c>
      <c r="AD62">
        <f>$C62*AD61</f>
        <v/>
      </c>
      <c r="AE62">
        <f>$C62*AE61</f>
        <v/>
      </c>
      <c r="AF62">
        <f>$C62*AF61</f>
        <v/>
      </c>
      <c r="AG62">
        <f>$C62*AG61</f>
        <v/>
      </c>
      <c r="AH62">
        <f>$C62*AH61</f>
        <v/>
      </c>
      <c r="AI62">
        <f>$C62*AI61</f>
        <v/>
      </c>
      <c r="AJ62">
        <f>$C62*AJ61</f>
        <v/>
      </c>
      <c r="AK62">
        <f>$C62*AK61</f>
        <v/>
      </c>
      <c r="AL62">
        <f>$C62*AL61</f>
        <v/>
      </c>
      <c r="AM62">
        <f>$C62*AM61</f>
        <v/>
      </c>
      <c r="AN62">
        <f>$C62*AN61</f>
        <v/>
      </c>
      <c r="AO62">
        <f>$C62*AO61</f>
        <v/>
      </c>
      <c r="AP62">
        <f>$C62*AP61</f>
        <v/>
      </c>
      <c r="AQ62">
        <f>$C62*AQ61</f>
        <v/>
      </c>
      <c r="AR62">
        <f>$C62*AR61</f>
        <v/>
      </c>
      <c r="AS62">
        <f>$C62*AS61</f>
        <v/>
      </c>
      <c r="AT62">
        <f>$C62*AT61</f>
        <v/>
      </c>
      <c r="AU62">
        <f>$C62*AU61</f>
        <v/>
      </c>
      <c r="AV62">
        <f>$C62*AV61</f>
        <v/>
      </c>
      <c r="AW62">
        <f>$C62*AW61</f>
        <v/>
      </c>
      <c r="AX62">
        <f>$C62*AX61</f>
        <v/>
      </c>
      <c r="AY62">
        <f>$C62*AY61</f>
        <v/>
      </c>
      <c r="AZ62">
        <f>$C62*AZ61</f>
        <v/>
      </c>
      <c r="BA62">
        <f>$C62*BA61</f>
        <v/>
      </c>
      <c r="BB62">
        <f>$C62*BB61</f>
        <v/>
      </c>
      <c r="BC62">
        <f>$C62*BC61</f>
        <v/>
      </c>
      <c r="BD62">
        <f>$C62*BD61</f>
        <v/>
      </c>
      <c r="BE62">
        <f>$C62*BE61</f>
        <v/>
      </c>
      <c r="BF62">
        <f>$C62*BF61</f>
        <v/>
      </c>
      <c r="BG62">
        <f>$C62*BG61</f>
        <v/>
      </c>
      <c r="BH62">
        <f>$C62*BH61</f>
        <v/>
      </c>
      <c r="BI62">
        <f>$C62*BI61</f>
        <v/>
      </c>
      <c r="BJ62">
        <f>$C62*BJ61</f>
        <v/>
      </c>
      <c r="BK62">
        <f>$C62*BK61</f>
        <v/>
      </c>
      <c r="BL62">
        <f>$C62*BL61</f>
        <v/>
      </c>
      <c r="BM62">
        <f>$C62*BM61</f>
        <v/>
      </c>
      <c r="BN62">
        <f>$C62*BN61</f>
        <v/>
      </c>
      <c r="BO62">
        <f>$C62*BO61</f>
        <v/>
      </c>
      <c r="BP62">
        <f>$C62*BP61</f>
        <v/>
      </c>
      <c r="BQ62">
        <f>$C62*BQ61</f>
        <v/>
      </c>
      <c r="BR62">
        <f>$C62*BR61</f>
        <v/>
      </c>
      <c r="BS62">
        <f>$C62*BS61</f>
        <v/>
      </c>
      <c r="BT62">
        <f>$C62*BT61</f>
        <v/>
      </c>
      <c r="BU62">
        <f>$C62*BU61</f>
        <v/>
      </c>
      <c r="BV62">
        <f>$C62*BV61</f>
        <v/>
      </c>
      <c r="BW62">
        <f>$C62*BW61</f>
        <v/>
      </c>
      <c r="BX62">
        <f>$C62*BX61</f>
        <v/>
      </c>
      <c r="BY62">
        <f>$C62*BY61</f>
        <v/>
      </c>
      <c r="BZ62">
        <f>$C62*BZ61</f>
        <v/>
      </c>
      <c r="CA62">
        <f>$C62*CA61</f>
        <v/>
      </c>
      <c r="CB62">
        <f>$C62*CB61</f>
        <v/>
      </c>
      <c r="CC62">
        <f>$C62*CC61</f>
        <v/>
      </c>
      <c r="CD62">
        <f>$C62*CD61</f>
        <v/>
      </c>
      <c r="CE62">
        <f>$C62*CE61</f>
        <v/>
      </c>
      <c r="CF62">
        <f>$C62*CF61</f>
        <v/>
      </c>
      <c r="CG62">
        <f>$C62*CG61</f>
        <v/>
      </c>
      <c r="CH62">
        <f>$C62*CH61</f>
        <v/>
      </c>
      <c r="CI62">
        <f>$C62*CI61</f>
        <v/>
      </c>
      <c r="CJ62">
        <f>$C62*CJ61</f>
        <v/>
      </c>
      <c r="CK62">
        <f>$C62*CK61</f>
        <v/>
      </c>
      <c r="CL62">
        <f>$C62*CL61</f>
        <v/>
      </c>
      <c r="CM62">
        <f>$C62*CM61</f>
        <v/>
      </c>
      <c r="CN62">
        <f>$C62*CN61</f>
        <v/>
      </c>
      <c r="CO62">
        <f>$C62*CO61</f>
        <v/>
      </c>
      <c r="CP62">
        <f>$C62*CP61</f>
        <v/>
      </c>
      <c r="CQ62">
        <f>$C62*CQ61</f>
        <v/>
      </c>
      <c r="CR62">
        <f>$C62*CR61</f>
        <v/>
      </c>
      <c r="CS62">
        <f>$C62*CS61</f>
        <v/>
      </c>
      <c r="CT62">
        <f>$C62*CT61</f>
        <v/>
      </c>
      <c r="CU62">
        <f>$C62*CU61</f>
        <v/>
      </c>
      <c r="CV62">
        <f>$C62*CV61</f>
        <v/>
      </c>
      <c r="CW62">
        <f>$C62*CW61</f>
        <v/>
      </c>
      <c r="CX62">
        <f>$C62*CX61</f>
        <v/>
      </c>
      <c r="CY62">
        <f>$C62*CY61</f>
        <v/>
      </c>
      <c r="CZ62">
        <f>$C62*CZ61</f>
        <v/>
      </c>
      <c r="DA62">
        <f>$C62*DA61</f>
        <v/>
      </c>
      <c r="DB62">
        <f>$C62*DB61</f>
        <v/>
      </c>
      <c r="DC62">
        <f>$C62*DC61</f>
        <v/>
      </c>
    </row>
    <row r="63">
      <c r="B63" t="inlineStr">
        <is>
          <t>TSP-105</t>
        </is>
      </c>
      <c r="C63" t="inlineStr">
        <is>
          <t>No. of batches</t>
        </is>
      </c>
      <c r="D63">
        <f>IFERROR(INDEX(PP_Grid[#Data],$DD63,2),0)</f>
        <v/>
      </c>
      <c r="E63">
        <f>IFERROR(INDEX(PP_Grid[#Data],$DD63,3),0)</f>
        <v/>
      </c>
      <c r="F63">
        <f>IFERROR(INDEX(PP_Grid[#Data],$DD63,4),0)</f>
        <v/>
      </c>
      <c r="G63">
        <f>IFERROR(INDEX(PP_Grid[#Data],$DD63,5),0)</f>
        <v/>
      </c>
      <c r="H63">
        <f>IFERROR(INDEX(PP_Grid[#Data],$DD63,6),0)</f>
        <v/>
      </c>
      <c r="I63">
        <f>IFERROR(INDEX(PP_Grid[#Data],$DD63,7),0)</f>
        <v/>
      </c>
      <c r="J63">
        <f>IFERROR(INDEX(PP_Grid[#Data],$DD63,8),0)</f>
        <v/>
      </c>
      <c r="K63">
        <f>IFERROR(INDEX(PP_Grid[#Data],$DD63,9),0)</f>
        <v/>
      </c>
      <c r="L63">
        <f>IFERROR(INDEX(PP_Grid[#Data],$DD63,10),0)</f>
        <v/>
      </c>
      <c r="M63">
        <f>IFERROR(INDEX(PP_Grid[#Data],$DD63,11),0)</f>
        <v/>
      </c>
      <c r="N63">
        <f>IFERROR(INDEX(PP_Grid[#Data],$DD63,12),0)</f>
        <v/>
      </c>
      <c r="O63">
        <f>IFERROR(INDEX(PP_Grid[#Data],$DD63,13),0)</f>
        <v/>
      </c>
      <c r="P63">
        <f>IFERROR(INDEX(PP_Grid[#Data],$DD63,14),0)</f>
        <v/>
      </c>
      <c r="Q63">
        <f>IFERROR(INDEX(PP_Grid[#Data],$DD63,15),0)</f>
        <v/>
      </c>
      <c r="R63">
        <f>IFERROR(INDEX(PP_Grid[#Data],$DD63,16),0)</f>
        <v/>
      </c>
      <c r="S63">
        <f>IFERROR(INDEX(PP_Grid[#Data],$DD63,17),0)</f>
        <v/>
      </c>
      <c r="T63">
        <f>IFERROR(INDEX(PP_Grid[#Data],$DD63,18),0)</f>
        <v/>
      </c>
      <c r="U63">
        <f>IFERROR(INDEX(PP_Grid[#Data],$DD63,19),0)</f>
        <v/>
      </c>
      <c r="V63">
        <f>IFERROR(INDEX(PP_Grid[#Data],$DD63,20),0)</f>
        <v/>
      </c>
      <c r="W63">
        <f>IFERROR(INDEX(PP_Grid[#Data],$DD63,21),0)</f>
        <v/>
      </c>
      <c r="X63">
        <f>IFERROR(INDEX(PP_Grid[#Data],$DD63,22),0)</f>
        <v/>
      </c>
      <c r="Y63">
        <f>IFERROR(INDEX(PP_Grid[#Data],$DD63,23),0)</f>
        <v/>
      </c>
      <c r="Z63">
        <f>IFERROR(INDEX(PP_Grid[#Data],$DD63,24),0)</f>
        <v/>
      </c>
      <c r="AA63">
        <f>IFERROR(INDEX(PP_Grid[#Data],$DD63,25),0)</f>
        <v/>
      </c>
      <c r="AB63">
        <f>IFERROR(INDEX(PP_Grid[#Data],$DD63,26),0)</f>
        <v/>
      </c>
      <c r="AC63">
        <f>IFERROR(INDEX(PP_Grid[#Data],$DD63,27),0)</f>
        <v/>
      </c>
      <c r="AD63">
        <f>IFERROR(INDEX(PP_Grid[#Data],$DD63,28),0)</f>
        <v/>
      </c>
      <c r="AE63">
        <f>IFERROR(INDEX(PP_Grid[#Data],$DD63,29),0)</f>
        <v/>
      </c>
      <c r="AF63">
        <f>IFERROR(INDEX(PP_Grid[#Data],$DD63,30),0)</f>
        <v/>
      </c>
      <c r="AG63">
        <f>IFERROR(INDEX(PP_Grid[#Data],$DD63,31),0)</f>
        <v/>
      </c>
      <c r="AH63">
        <f>IFERROR(INDEX(PP_Grid[#Data],$DD63,32),0)</f>
        <v/>
      </c>
      <c r="AI63">
        <f>IFERROR(INDEX(PP_Grid[#Data],$DD63,33),0)</f>
        <v/>
      </c>
      <c r="AJ63">
        <f>IFERROR(INDEX(PP_Grid[#Data],$DD63,34),0)</f>
        <v/>
      </c>
      <c r="AK63">
        <f>IFERROR(INDEX(PP_Grid[#Data],$DD63,35),0)</f>
        <v/>
      </c>
      <c r="AL63">
        <f>IFERROR(INDEX(PP_Grid[#Data],$DD63,36),0)</f>
        <v/>
      </c>
      <c r="AM63">
        <f>IFERROR(INDEX(PP_Grid[#Data],$DD63,37),0)</f>
        <v/>
      </c>
      <c r="AN63">
        <f>IFERROR(INDEX(PP_Grid[#Data],$DD63,38),0)</f>
        <v/>
      </c>
      <c r="AO63">
        <f>IFERROR(INDEX(PP_Grid[#Data],$DD63,39),0)</f>
        <v/>
      </c>
      <c r="AP63">
        <f>IFERROR(INDEX(PP_Grid[#Data],$DD63,40),0)</f>
        <v/>
      </c>
      <c r="AQ63">
        <f>IFERROR(INDEX(PP_Grid[#Data],$DD63,41),0)</f>
        <v/>
      </c>
      <c r="AR63">
        <f>IFERROR(INDEX(PP_Grid[#Data],$DD63,42),0)</f>
        <v/>
      </c>
      <c r="AS63">
        <f>IFERROR(INDEX(PP_Grid[#Data],$DD63,43),0)</f>
        <v/>
      </c>
      <c r="AT63">
        <f>IFERROR(INDEX(PP_Grid[#Data],$DD63,44),0)</f>
        <v/>
      </c>
      <c r="AU63">
        <f>IFERROR(INDEX(PP_Grid[#Data],$DD63,45),0)</f>
        <v/>
      </c>
      <c r="AV63">
        <f>IFERROR(INDEX(PP_Grid[#Data],$DD63,46),0)</f>
        <v/>
      </c>
      <c r="AW63">
        <f>IFERROR(INDEX(PP_Grid[#Data],$DD63,47),0)</f>
        <v/>
      </c>
      <c r="AX63">
        <f>IFERROR(INDEX(PP_Grid[#Data],$DD63,48),0)</f>
        <v/>
      </c>
      <c r="AY63">
        <f>IFERROR(INDEX(PP_Grid[#Data],$DD63,49),0)</f>
        <v/>
      </c>
      <c r="AZ63">
        <f>IFERROR(INDEX(PP_Grid[#Data],$DD63,50),0)</f>
        <v/>
      </c>
      <c r="BA63">
        <f>IFERROR(INDEX(PP_Grid[#Data],$DD63,51),0)</f>
        <v/>
      </c>
      <c r="BB63">
        <f>IFERROR(INDEX(PP_Grid[#Data],$DD63,52),0)</f>
        <v/>
      </c>
      <c r="BC63">
        <f>IFERROR(INDEX(PP_Grid[#Data],$DD63,53),0)</f>
        <v/>
      </c>
      <c r="BD63">
        <f>IFERROR(INDEX(PP_Grid[#Data],$DD63,54),0)</f>
        <v/>
      </c>
      <c r="BE63">
        <f>IFERROR(INDEX(PP_Grid[#Data],$DD63,55),0)</f>
        <v/>
      </c>
      <c r="BF63">
        <f>IFERROR(INDEX(PP_Grid[#Data],$DD63,56),0)</f>
        <v/>
      </c>
      <c r="BG63">
        <f>IFERROR(INDEX(PP_Grid[#Data],$DD63,57),0)</f>
        <v/>
      </c>
      <c r="BH63">
        <f>IFERROR(INDEX(PP_Grid[#Data],$DD63,58),0)</f>
        <v/>
      </c>
      <c r="BI63">
        <f>IFERROR(INDEX(PP_Grid[#Data],$DD63,59),0)</f>
        <v/>
      </c>
      <c r="BJ63">
        <f>IFERROR(INDEX(PP_Grid[#Data],$DD63,60),0)</f>
        <v/>
      </c>
      <c r="BK63">
        <f>IFERROR(INDEX(PP_Grid[#Data],$DD63,61),0)</f>
        <v/>
      </c>
      <c r="BL63">
        <f>IFERROR(INDEX(PP_Grid[#Data],$DD63,62),0)</f>
        <v/>
      </c>
      <c r="BM63">
        <f>IFERROR(INDEX(PP_Grid[#Data],$DD63,63),0)</f>
        <v/>
      </c>
      <c r="BN63">
        <f>IFERROR(INDEX(PP_Grid[#Data],$DD63,64),0)</f>
        <v/>
      </c>
      <c r="BO63">
        <f>IFERROR(INDEX(PP_Grid[#Data],$DD63,65),0)</f>
        <v/>
      </c>
      <c r="BP63">
        <f>IFERROR(INDEX(PP_Grid[#Data],$DD63,66),0)</f>
        <v/>
      </c>
      <c r="BQ63">
        <f>IFERROR(INDEX(PP_Grid[#Data],$DD63,67),0)</f>
        <v/>
      </c>
      <c r="BR63">
        <f>IFERROR(INDEX(PP_Grid[#Data],$DD63,68),0)</f>
        <v/>
      </c>
      <c r="BS63">
        <f>IFERROR(INDEX(PP_Grid[#Data],$DD63,69),0)</f>
        <v/>
      </c>
      <c r="BT63">
        <f>IFERROR(INDEX(PP_Grid[#Data],$DD63,70),0)</f>
        <v/>
      </c>
      <c r="BU63">
        <f>IFERROR(INDEX(PP_Grid[#Data],$DD63,71),0)</f>
        <v/>
      </c>
      <c r="BV63">
        <f>IFERROR(INDEX(PP_Grid[#Data],$DD63,72),0)</f>
        <v/>
      </c>
      <c r="BW63">
        <f>IFERROR(INDEX(PP_Grid[#Data],$DD63,73),0)</f>
        <v/>
      </c>
      <c r="BX63">
        <f>IFERROR(INDEX(PP_Grid[#Data],$DD63,74),0)</f>
        <v/>
      </c>
      <c r="BY63">
        <f>IFERROR(INDEX(PP_Grid[#Data],$DD63,75),0)</f>
        <v/>
      </c>
      <c r="BZ63">
        <f>IFERROR(INDEX(PP_Grid[#Data],$DD63,76),0)</f>
        <v/>
      </c>
      <c r="CA63">
        <f>IFERROR(INDEX(PP_Grid[#Data],$DD63,77),0)</f>
        <v/>
      </c>
      <c r="CB63">
        <f>IFERROR(INDEX(PP_Grid[#Data],$DD63,78),0)</f>
        <v/>
      </c>
      <c r="CC63">
        <f>IFERROR(INDEX(PP_Grid[#Data],$DD63,79),0)</f>
        <v/>
      </c>
      <c r="CD63">
        <f>IFERROR(INDEX(PP_Grid[#Data],$DD63,80),0)</f>
        <v/>
      </c>
      <c r="CE63">
        <f>IFERROR(INDEX(PP_Grid[#Data],$DD63,81),0)</f>
        <v/>
      </c>
      <c r="CF63">
        <f>IFERROR(INDEX(PP_Grid[#Data],$DD63,82),0)</f>
        <v/>
      </c>
      <c r="CG63">
        <f>IFERROR(INDEX(PP_Grid[#Data],$DD63,83),0)</f>
        <v/>
      </c>
      <c r="CH63">
        <f>IFERROR(INDEX(PP_Grid[#Data],$DD63,84),0)</f>
        <v/>
      </c>
      <c r="CI63">
        <f>IFERROR(INDEX(PP_Grid[#Data],$DD63,85),0)</f>
        <v/>
      </c>
      <c r="CJ63">
        <f>IFERROR(INDEX(PP_Grid[#Data],$DD63,86),0)</f>
        <v/>
      </c>
      <c r="CK63">
        <f>IFERROR(INDEX(PP_Grid[#Data],$DD63,87),0)</f>
        <v/>
      </c>
      <c r="CL63">
        <f>IFERROR(INDEX(PP_Grid[#Data],$DD63,88),0)</f>
        <v/>
      </c>
      <c r="CM63">
        <f>IFERROR(INDEX(PP_Grid[#Data],$DD63,89),0)</f>
        <v/>
      </c>
      <c r="CN63">
        <f>IFERROR(INDEX(PP_Grid[#Data],$DD63,90),0)</f>
        <v/>
      </c>
      <c r="CO63">
        <f>IFERROR(INDEX(PP_Grid[#Data],$DD63,91),0)</f>
        <v/>
      </c>
      <c r="CP63">
        <f>IFERROR(INDEX(PP_Grid[#Data],$DD63,92),0)</f>
        <v/>
      </c>
      <c r="CQ63">
        <f>IFERROR(INDEX(PP_Grid[#Data],$DD63,93),0)</f>
        <v/>
      </c>
      <c r="CR63">
        <f>IFERROR(INDEX(PP_Grid[#Data],$DD63,94),0)</f>
        <v/>
      </c>
      <c r="CS63">
        <f>IFERROR(INDEX(PP_Grid[#Data],$DD63,95),0)</f>
        <v/>
      </c>
      <c r="CT63">
        <f>IFERROR(INDEX(PP_Grid[#Data],$DD63,96),0)</f>
        <v/>
      </c>
      <c r="CU63">
        <f>IFERROR(INDEX(PP_Grid[#Data],$DD63,97),0)</f>
        <v/>
      </c>
      <c r="CV63">
        <f>IFERROR(INDEX(PP_Grid[#Data],$DD63,98),0)</f>
        <v/>
      </c>
      <c r="CW63">
        <f>IFERROR(INDEX(PP_Grid[#Data],$DD63,99),0)</f>
        <v/>
      </c>
      <c r="CX63">
        <f>IFERROR(INDEX(PP_Grid[#Data],$DD63,100),0)</f>
        <v/>
      </c>
      <c r="CY63">
        <f>IFERROR(INDEX(PP_Grid[#Data],$DD63,101),0)</f>
        <v/>
      </c>
      <c r="CZ63">
        <f>IFERROR(INDEX(PP_Grid[#Data],$DD63,102),0)</f>
        <v/>
      </c>
      <c r="DA63">
        <f>IFERROR(INDEX(PP_Grid[#Data],$DD63,103),0)</f>
        <v/>
      </c>
      <c r="DB63">
        <f>IFERROR(INDEX(PP_Grid[#Data],$DD63,104),0)</f>
        <v/>
      </c>
      <c r="DC63">
        <f>IFERROR(INDEX(PP_Grid[#Data],$DD63,105),0)</f>
        <v/>
      </c>
      <c r="DD63" s="7">
        <f>IFERROR(MATCH($B63,PP_Grid[Intermediate],0),99999)</f>
        <v/>
      </c>
    </row>
    <row r="64">
      <c r="B64" t="inlineStr">
        <is>
          <t>使用量(kg)</t>
        </is>
      </c>
      <c r="C64">
        <f>SUMIFS(M_BOM[RM_Qty_Per_Batch],M_BOM[Intermediate],$B63,M_BOM[Part Name],$A44)</f>
        <v/>
      </c>
      <c r="D64">
        <f>$C64*D63</f>
        <v/>
      </c>
      <c r="E64">
        <f>$C64*E63</f>
        <v/>
      </c>
      <c r="F64">
        <f>$C64*F63</f>
        <v/>
      </c>
      <c r="G64">
        <f>$C64*G63</f>
        <v/>
      </c>
      <c r="H64">
        <f>$C64*H63</f>
        <v/>
      </c>
      <c r="I64">
        <f>$C64*I63</f>
        <v/>
      </c>
      <c r="J64">
        <f>$C64*J63</f>
        <v/>
      </c>
      <c r="K64">
        <f>$C64*K63</f>
        <v/>
      </c>
      <c r="L64">
        <f>$C64*L63</f>
        <v/>
      </c>
      <c r="M64">
        <f>$C64*M63</f>
        <v/>
      </c>
      <c r="N64">
        <f>$C64*N63</f>
        <v/>
      </c>
      <c r="O64">
        <f>$C64*O63</f>
        <v/>
      </c>
      <c r="P64">
        <f>$C64*P63</f>
        <v/>
      </c>
      <c r="Q64">
        <f>$C64*Q63</f>
        <v/>
      </c>
      <c r="R64">
        <f>$C64*R63</f>
        <v/>
      </c>
      <c r="S64">
        <f>$C64*S63</f>
        <v/>
      </c>
      <c r="T64">
        <f>$C64*T63</f>
        <v/>
      </c>
      <c r="U64">
        <f>$C64*U63</f>
        <v/>
      </c>
      <c r="V64">
        <f>$C64*V63</f>
        <v/>
      </c>
      <c r="W64">
        <f>$C64*W63</f>
        <v/>
      </c>
      <c r="X64">
        <f>$C64*X63</f>
        <v/>
      </c>
      <c r="Y64">
        <f>$C64*Y63</f>
        <v/>
      </c>
      <c r="Z64">
        <f>$C64*Z63</f>
        <v/>
      </c>
      <c r="AA64">
        <f>$C64*AA63</f>
        <v/>
      </c>
      <c r="AB64">
        <f>$C64*AB63</f>
        <v/>
      </c>
      <c r="AC64">
        <f>$C64*AC63</f>
        <v/>
      </c>
      <c r="AD64">
        <f>$C64*AD63</f>
        <v/>
      </c>
      <c r="AE64">
        <f>$C64*AE63</f>
        <v/>
      </c>
      <c r="AF64">
        <f>$C64*AF63</f>
        <v/>
      </c>
      <c r="AG64">
        <f>$C64*AG63</f>
        <v/>
      </c>
      <c r="AH64">
        <f>$C64*AH63</f>
        <v/>
      </c>
      <c r="AI64">
        <f>$C64*AI63</f>
        <v/>
      </c>
      <c r="AJ64">
        <f>$C64*AJ63</f>
        <v/>
      </c>
      <c r="AK64">
        <f>$C64*AK63</f>
        <v/>
      </c>
      <c r="AL64">
        <f>$C64*AL63</f>
        <v/>
      </c>
      <c r="AM64">
        <f>$C64*AM63</f>
        <v/>
      </c>
      <c r="AN64">
        <f>$C64*AN63</f>
        <v/>
      </c>
      <c r="AO64">
        <f>$C64*AO63</f>
        <v/>
      </c>
      <c r="AP64">
        <f>$C64*AP63</f>
        <v/>
      </c>
      <c r="AQ64">
        <f>$C64*AQ63</f>
        <v/>
      </c>
      <c r="AR64">
        <f>$C64*AR63</f>
        <v/>
      </c>
      <c r="AS64">
        <f>$C64*AS63</f>
        <v/>
      </c>
      <c r="AT64">
        <f>$C64*AT63</f>
        <v/>
      </c>
      <c r="AU64">
        <f>$C64*AU63</f>
        <v/>
      </c>
      <c r="AV64">
        <f>$C64*AV63</f>
        <v/>
      </c>
      <c r="AW64">
        <f>$C64*AW63</f>
        <v/>
      </c>
      <c r="AX64">
        <f>$C64*AX63</f>
        <v/>
      </c>
      <c r="AY64">
        <f>$C64*AY63</f>
        <v/>
      </c>
      <c r="AZ64">
        <f>$C64*AZ63</f>
        <v/>
      </c>
      <c r="BA64">
        <f>$C64*BA63</f>
        <v/>
      </c>
      <c r="BB64">
        <f>$C64*BB63</f>
        <v/>
      </c>
      <c r="BC64">
        <f>$C64*BC63</f>
        <v/>
      </c>
      <c r="BD64">
        <f>$C64*BD63</f>
        <v/>
      </c>
      <c r="BE64">
        <f>$C64*BE63</f>
        <v/>
      </c>
      <c r="BF64">
        <f>$C64*BF63</f>
        <v/>
      </c>
      <c r="BG64">
        <f>$C64*BG63</f>
        <v/>
      </c>
      <c r="BH64">
        <f>$C64*BH63</f>
        <v/>
      </c>
      <c r="BI64">
        <f>$C64*BI63</f>
        <v/>
      </c>
      <c r="BJ64">
        <f>$C64*BJ63</f>
        <v/>
      </c>
      <c r="BK64">
        <f>$C64*BK63</f>
        <v/>
      </c>
      <c r="BL64">
        <f>$C64*BL63</f>
        <v/>
      </c>
      <c r="BM64">
        <f>$C64*BM63</f>
        <v/>
      </c>
      <c r="BN64">
        <f>$C64*BN63</f>
        <v/>
      </c>
      <c r="BO64">
        <f>$C64*BO63</f>
        <v/>
      </c>
      <c r="BP64">
        <f>$C64*BP63</f>
        <v/>
      </c>
      <c r="BQ64">
        <f>$C64*BQ63</f>
        <v/>
      </c>
      <c r="BR64">
        <f>$C64*BR63</f>
        <v/>
      </c>
      <c r="BS64">
        <f>$C64*BS63</f>
        <v/>
      </c>
      <c r="BT64">
        <f>$C64*BT63</f>
        <v/>
      </c>
      <c r="BU64">
        <f>$C64*BU63</f>
        <v/>
      </c>
      <c r="BV64">
        <f>$C64*BV63</f>
        <v/>
      </c>
      <c r="BW64">
        <f>$C64*BW63</f>
        <v/>
      </c>
      <c r="BX64">
        <f>$C64*BX63</f>
        <v/>
      </c>
      <c r="BY64">
        <f>$C64*BY63</f>
        <v/>
      </c>
      <c r="BZ64">
        <f>$C64*BZ63</f>
        <v/>
      </c>
      <c r="CA64">
        <f>$C64*CA63</f>
        <v/>
      </c>
      <c r="CB64">
        <f>$C64*CB63</f>
        <v/>
      </c>
      <c r="CC64">
        <f>$C64*CC63</f>
        <v/>
      </c>
      <c r="CD64">
        <f>$C64*CD63</f>
        <v/>
      </c>
      <c r="CE64">
        <f>$C64*CE63</f>
        <v/>
      </c>
      <c r="CF64">
        <f>$C64*CF63</f>
        <v/>
      </c>
      <c r="CG64">
        <f>$C64*CG63</f>
        <v/>
      </c>
      <c r="CH64">
        <f>$C64*CH63</f>
        <v/>
      </c>
      <c r="CI64">
        <f>$C64*CI63</f>
        <v/>
      </c>
      <c r="CJ64">
        <f>$C64*CJ63</f>
        <v/>
      </c>
      <c r="CK64">
        <f>$C64*CK63</f>
        <v/>
      </c>
      <c r="CL64">
        <f>$C64*CL63</f>
        <v/>
      </c>
      <c r="CM64">
        <f>$C64*CM63</f>
        <v/>
      </c>
      <c r="CN64">
        <f>$C64*CN63</f>
        <v/>
      </c>
      <c r="CO64">
        <f>$C64*CO63</f>
        <v/>
      </c>
      <c r="CP64">
        <f>$C64*CP63</f>
        <v/>
      </c>
      <c r="CQ64">
        <f>$C64*CQ63</f>
        <v/>
      </c>
      <c r="CR64">
        <f>$C64*CR63</f>
        <v/>
      </c>
      <c r="CS64">
        <f>$C64*CS63</f>
        <v/>
      </c>
      <c r="CT64">
        <f>$C64*CT63</f>
        <v/>
      </c>
      <c r="CU64">
        <f>$C64*CU63</f>
        <v/>
      </c>
      <c r="CV64">
        <f>$C64*CV63</f>
        <v/>
      </c>
      <c r="CW64">
        <f>$C64*CW63</f>
        <v/>
      </c>
      <c r="CX64">
        <f>$C64*CX63</f>
        <v/>
      </c>
      <c r="CY64">
        <f>$C64*CY63</f>
        <v/>
      </c>
      <c r="CZ64">
        <f>$C64*CZ63</f>
        <v/>
      </c>
      <c r="DA64">
        <f>$C64*DA63</f>
        <v/>
      </c>
      <c r="DB64">
        <f>$C64*DB63</f>
        <v/>
      </c>
      <c r="DC64">
        <f>$C64*DC63</f>
        <v/>
      </c>
    </row>
    <row r="65">
      <c r="B65" t="inlineStr">
        <is>
          <t>TSP-199</t>
        </is>
      </c>
      <c r="C65" t="inlineStr">
        <is>
          <t>No. of batches</t>
        </is>
      </c>
      <c r="D65">
        <f>IFERROR(INDEX(PP_Grid[#Data],$DD65,2),0)</f>
        <v/>
      </c>
      <c r="E65">
        <f>IFERROR(INDEX(PP_Grid[#Data],$DD65,3),0)</f>
        <v/>
      </c>
      <c r="F65">
        <f>IFERROR(INDEX(PP_Grid[#Data],$DD65,4),0)</f>
        <v/>
      </c>
      <c r="G65">
        <f>IFERROR(INDEX(PP_Grid[#Data],$DD65,5),0)</f>
        <v/>
      </c>
      <c r="H65">
        <f>IFERROR(INDEX(PP_Grid[#Data],$DD65,6),0)</f>
        <v/>
      </c>
      <c r="I65">
        <f>IFERROR(INDEX(PP_Grid[#Data],$DD65,7),0)</f>
        <v/>
      </c>
      <c r="J65">
        <f>IFERROR(INDEX(PP_Grid[#Data],$DD65,8),0)</f>
        <v/>
      </c>
      <c r="K65">
        <f>IFERROR(INDEX(PP_Grid[#Data],$DD65,9),0)</f>
        <v/>
      </c>
      <c r="L65">
        <f>IFERROR(INDEX(PP_Grid[#Data],$DD65,10),0)</f>
        <v/>
      </c>
      <c r="M65">
        <f>IFERROR(INDEX(PP_Grid[#Data],$DD65,11),0)</f>
        <v/>
      </c>
      <c r="N65">
        <f>IFERROR(INDEX(PP_Grid[#Data],$DD65,12),0)</f>
        <v/>
      </c>
      <c r="O65">
        <f>IFERROR(INDEX(PP_Grid[#Data],$DD65,13),0)</f>
        <v/>
      </c>
      <c r="P65">
        <f>IFERROR(INDEX(PP_Grid[#Data],$DD65,14),0)</f>
        <v/>
      </c>
      <c r="Q65">
        <f>IFERROR(INDEX(PP_Grid[#Data],$DD65,15),0)</f>
        <v/>
      </c>
      <c r="R65">
        <f>IFERROR(INDEX(PP_Grid[#Data],$DD65,16),0)</f>
        <v/>
      </c>
      <c r="S65">
        <f>IFERROR(INDEX(PP_Grid[#Data],$DD65,17),0)</f>
        <v/>
      </c>
      <c r="T65">
        <f>IFERROR(INDEX(PP_Grid[#Data],$DD65,18),0)</f>
        <v/>
      </c>
      <c r="U65">
        <f>IFERROR(INDEX(PP_Grid[#Data],$DD65,19),0)</f>
        <v/>
      </c>
      <c r="V65">
        <f>IFERROR(INDEX(PP_Grid[#Data],$DD65,20),0)</f>
        <v/>
      </c>
      <c r="W65">
        <f>IFERROR(INDEX(PP_Grid[#Data],$DD65,21),0)</f>
        <v/>
      </c>
      <c r="X65">
        <f>IFERROR(INDEX(PP_Grid[#Data],$DD65,22),0)</f>
        <v/>
      </c>
      <c r="Y65">
        <f>IFERROR(INDEX(PP_Grid[#Data],$DD65,23),0)</f>
        <v/>
      </c>
      <c r="Z65">
        <f>IFERROR(INDEX(PP_Grid[#Data],$DD65,24),0)</f>
        <v/>
      </c>
      <c r="AA65">
        <f>IFERROR(INDEX(PP_Grid[#Data],$DD65,25),0)</f>
        <v/>
      </c>
      <c r="AB65">
        <f>IFERROR(INDEX(PP_Grid[#Data],$DD65,26),0)</f>
        <v/>
      </c>
      <c r="AC65">
        <f>IFERROR(INDEX(PP_Grid[#Data],$DD65,27),0)</f>
        <v/>
      </c>
      <c r="AD65">
        <f>IFERROR(INDEX(PP_Grid[#Data],$DD65,28),0)</f>
        <v/>
      </c>
      <c r="AE65">
        <f>IFERROR(INDEX(PP_Grid[#Data],$DD65,29),0)</f>
        <v/>
      </c>
      <c r="AF65">
        <f>IFERROR(INDEX(PP_Grid[#Data],$DD65,30),0)</f>
        <v/>
      </c>
      <c r="AG65">
        <f>IFERROR(INDEX(PP_Grid[#Data],$DD65,31),0)</f>
        <v/>
      </c>
      <c r="AH65">
        <f>IFERROR(INDEX(PP_Grid[#Data],$DD65,32),0)</f>
        <v/>
      </c>
      <c r="AI65">
        <f>IFERROR(INDEX(PP_Grid[#Data],$DD65,33),0)</f>
        <v/>
      </c>
      <c r="AJ65">
        <f>IFERROR(INDEX(PP_Grid[#Data],$DD65,34),0)</f>
        <v/>
      </c>
      <c r="AK65">
        <f>IFERROR(INDEX(PP_Grid[#Data],$DD65,35),0)</f>
        <v/>
      </c>
      <c r="AL65">
        <f>IFERROR(INDEX(PP_Grid[#Data],$DD65,36),0)</f>
        <v/>
      </c>
      <c r="AM65">
        <f>IFERROR(INDEX(PP_Grid[#Data],$DD65,37),0)</f>
        <v/>
      </c>
      <c r="AN65">
        <f>IFERROR(INDEX(PP_Grid[#Data],$DD65,38),0)</f>
        <v/>
      </c>
      <c r="AO65">
        <f>IFERROR(INDEX(PP_Grid[#Data],$DD65,39),0)</f>
        <v/>
      </c>
      <c r="AP65">
        <f>IFERROR(INDEX(PP_Grid[#Data],$DD65,40),0)</f>
        <v/>
      </c>
      <c r="AQ65">
        <f>IFERROR(INDEX(PP_Grid[#Data],$DD65,41),0)</f>
        <v/>
      </c>
      <c r="AR65">
        <f>IFERROR(INDEX(PP_Grid[#Data],$DD65,42),0)</f>
        <v/>
      </c>
      <c r="AS65">
        <f>IFERROR(INDEX(PP_Grid[#Data],$DD65,43),0)</f>
        <v/>
      </c>
      <c r="AT65">
        <f>IFERROR(INDEX(PP_Grid[#Data],$DD65,44),0)</f>
        <v/>
      </c>
      <c r="AU65">
        <f>IFERROR(INDEX(PP_Grid[#Data],$DD65,45),0)</f>
        <v/>
      </c>
      <c r="AV65">
        <f>IFERROR(INDEX(PP_Grid[#Data],$DD65,46),0)</f>
        <v/>
      </c>
      <c r="AW65">
        <f>IFERROR(INDEX(PP_Grid[#Data],$DD65,47),0)</f>
        <v/>
      </c>
      <c r="AX65">
        <f>IFERROR(INDEX(PP_Grid[#Data],$DD65,48),0)</f>
        <v/>
      </c>
      <c r="AY65">
        <f>IFERROR(INDEX(PP_Grid[#Data],$DD65,49),0)</f>
        <v/>
      </c>
      <c r="AZ65">
        <f>IFERROR(INDEX(PP_Grid[#Data],$DD65,50),0)</f>
        <v/>
      </c>
      <c r="BA65">
        <f>IFERROR(INDEX(PP_Grid[#Data],$DD65,51),0)</f>
        <v/>
      </c>
      <c r="BB65">
        <f>IFERROR(INDEX(PP_Grid[#Data],$DD65,52),0)</f>
        <v/>
      </c>
      <c r="BC65">
        <f>IFERROR(INDEX(PP_Grid[#Data],$DD65,53),0)</f>
        <v/>
      </c>
      <c r="BD65">
        <f>IFERROR(INDEX(PP_Grid[#Data],$DD65,54),0)</f>
        <v/>
      </c>
      <c r="BE65">
        <f>IFERROR(INDEX(PP_Grid[#Data],$DD65,55),0)</f>
        <v/>
      </c>
      <c r="BF65">
        <f>IFERROR(INDEX(PP_Grid[#Data],$DD65,56),0)</f>
        <v/>
      </c>
      <c r="BG65">
        <f>IFERROR(INDEX(PP_Grid[#Data],$DD65,57),0)</f>
        <v/>
      </c>
      <c r="BH65">
        <f>IFERROR(INDEX(PP_Grid[#Data],$DD65,58),0)</f>
        <v/>
      </c>
      <c r="BI65">
        <f>IFERROR(INDEX(PP_Grid[#Data],$DD65,59),0)</f>
        <v/>
      </c>
      <c r="BJ65">
        <f>IFERROR(INDEX(PP_Grid[#Data],$DD65,60),0)</f>
        <v/>
      </c>
      <c r="BK65">
        <f>IFERROR(INDEX(PP_Grid[#Data],$DD65,61),0)</f>
        <v/>
      </c>
      <c r="BL65">
        <f>IFERROR(INDEX(PP_Grid[#Data],$DD65,62),0)</f>
        <v/>
      </c>
      <c r="BM65">
        <f>IFERROR(INDEX(PP_Grid[#Data],$DD65,63),0)</f>
        <v/>
      </c>
      <c r="BN65">
        <f>IFERROR(INDEX(PP_Grid[#Data],$DD65,64),0)</f>
        <v/>
      </c>
      <c r="BO65">
        <f>IFERROR(INDEX(PP_Grid[#Data],$DD65,65),0)</f>
        <v/>
      </c>
      <c r="BP65">
        <f>IFERROR(INDEX(PP_Grid[#Data],$DD65,66),0)</f>
        <v/>
      </c>
      <c r="BQ65">
        <f>IFERROR(INDEX(PP_Grid[#Data],$DD65,67),0)</f>
        <v/>
      </c>
      <c r="BR65">
        <f>IFERROR(INDEX(PP_Grid[#Data],$DD65,68),0)</f>
        <v/>
      </c>
      <c r="BS65">
        <f>IFERROR(INDEX(PP_Grid[#Data],$DD65,69),0)</f>
        <v/>
      </c>
      <c r="BT65">
        <f>IFERROR(INDEX(PP_Grid[#Data],$DD65,70),0)</f>
        <v/>
      </c>
      <c r="BU65">
        <f>IFERROR(INDEX(PP_Grid[#Data],$DD65,71),0)</f>
        <v/>
      </c>
      <c r="BV65">
        <f>IFERROR(INDEX(PP_Grid[#Data],$DD65,72),0)</f>
        <v/>
      </c>
      <c r="BW65">
        <f>IFERROR(INDEX(PP_Grid[#Data],$DD65,73),0)</f>
        <v/>
      </c>
      <c r="BX65">
        <f>IFERROR(INDEX(PP_Grid[#Data],$DD65,74),0)</f>
        <v/>
      </c>
      <c r="BY65">
        <f>IFERROR(INDEX(PP_Grid[#Data],$DD65,75),0)</f>
        <v/>
      </c>
      <c r="BZ65">
        <f>IFERROR(INDEX(PP_Grid[#Data],$DD65,76),0)</f>
        <v/>
      </c>
      <c r="CA65">
        <f>IFERROR(INDEX(PP_Grid[#Data],$DD65,77),0)</f>
        <v/>
      </c>
      <c r="CB65">
        <f>IFERROR(INDEX(PP_Grid[#Data],$DD65,78),0)</f>
        <v/>
      </c>
      <c r="CC65">
        <f>IFERROR(INDEX(PP_Grid[#Data],$DD65,79),0)</f>
        <v/>
      </c>
      <c r="CD65">
        <f>IFERROR(INDEX(PP_Grid[#Data],$DD65,80),0)</f>
        <v/>
      </c>
      <c r="CE65">
        <f>IFERROR(INDEX(PP_Grid[#Data],$DD65,81),0)</f>
        <v/>
      </c>
      <c r="CF65">
        <f>IFERROR(INDEX(PP_Grid[#Data],$DD65,82),0)</f>
        <v/>
      </c>
      <c r="CG65">
        <f>IFERROR(INDEX(PP_Grid[#Data],$DD65,83),0)</f>
        <v/>
      </c>
      <c r="CH65">
        <f>IFERROR(INDEX(PP_Grid[#Data],$DD65,84),0)</f>
        <v/>
      </c>
      <c r="CI65">
        <f>IFERROR(INDEX(PP_Grid[#Data],$DD65,85),0)</f>
        <v/>
      </c>
      <c r="CJ65">
        <f>IFERROR(INDEX(PP_Grid[#Data],$DD65,86),0)</f>
        <v/>
      </c>
      <c r="CK65">
        <f>IFERROR(INDEX(PP_Grid[#Data],$DD65,87),0)</f>
        <v/>
      </c>
      <c r="CL65">
        <f>IFERROR(INDEX(PP_Grid[#Data],$DD65,88),0)</f>
        <v/>
      </c>
      <c r="CM65">
        <f>IFERROR(INDEX(PP_Grid[#Data],$DD65,89),0)</f>
        <v/>
      </c>
      <c r="CN65">
        <f>IFERROR(INDEX(PP_Grid[#Data],$DD65,90),0)</f>
        <v/>
      </c>
      <c r="CO65">
        <f>IFERROR(INDEX(PP_Grid[#Data],$DD65,91),0)</f>
        <v/>
      </c>
      <c r="CP65">
        <f>IFERROR(INDEX(PP_Grid[#Data],$DD65,92),0)</f>
        <v/>
      </c>
      <c r="CQ65">
        <f>IFERROR(INDEX(PP_Grid[#Data],$DD65,93),0)</f>
        <v/>
      </c>
      <c r="CR65">
        <f>IFERROR(INDEX(PP_Grid[#Data],$DD65,94),0)</f>
        <v/>
      </c>
      <c r="CS65">
        <f>IFERROR(INDEX(PP_Grid[#Data],$DD65,95),0)</f>
        <v/>
      </c>
      <c r="CT65">
        <f>IFERROR(INDEX(PP_Grid[#Data],$DD65,96),0)</f>
        <v/>
      </c>
      <c r="CU65">
        <f>IFERROR(INDEX(PP_Grid[#Data],$DD65,97),0)</f>
        <v/>
      </c>
      <c r="CV65">
        <f>IFERROR(INDEX(PP_Grid[#Data],$DD65,98),0)</f>
        <v/>
      </c>
      <c r="CW65">
        <f>IFERROR(INDEX(PP_Grid[#Data],$DD65,99),0)</f>
        <v/>
      </c>
      <c r="CX65">
        <f>IFERROR(INDEX(PP_Grid[#Data],$DD65,100),0)</f>
        <v/>
      </c>
      <c r="CY65">
        <f>IFERROR(INDEX(PP_Grid[#Data],$DD65,101),0)</f>
        <v/>
      </c>
      <c r="CZ65">
        <f>IFERROR(INDEX(PP_Grid[#Data],$DD65,102),0)</f>
        <v/>
      </c>
      <c r="DA65">
        <f>IFERROR(INDEX(PP_Grid[#Data],$DD65,103),0)</f>
        <v/>
      </c>
      <c r="DB65">
        <f>IFERROR(INDEX(PP_Grid[#Data],$DD65,104),0)</f>
        <v/>
      </c>
      <c r="DC65">
        <f>IFERROR(INDEX(PP_Grid[#Data],$DD65,105),0)</f>
        <v/>
      </c>
      <c r="DD65" s="7">
        <f>IFERROR(MATCH($B65,PP_Grid[Intermediate],0),99999)</f>
        <v/>
      </c>
    </row>
    <row r="66">
      <c r="B66" t="inlineStr">
        <is>
          <t>使用量(kg)</t>
        </is>
      </c>
      <c r="C66">
        <f>SUMIFS(M_BOM[RM_Qty_Per_Batch],M_BOM[Intermediate],$B65,M_BOM[Part Name],$A44)</f>
        <v/>
      </c>
      <c r="D66">
        <f>$C66*D65</f>
        <v/>
      </c>
      <c r="E66">
        <f>$C66*E65</f>
        <v/>
      </c>
      <c r="F66">
        <f>$C66*F65</f>
        <v/>
      </c>
      <c r="G66">
        <f>$C66*G65</f>
        <v/>
      </c>
      <c r="H66">
        <f>$C66*H65</f>
        <v/>
      </c>
      <c r="I66">
        <f>$C66*I65</f>
        <v/>
      </c>
      <c r="J66">
        <f>$C66*J65</f>
        <v/>
      </c>
      <c r="K66">
        <f>$C66*K65</f>
        <v/>
      </c>
      <c r="L66">
        <f>$C66*L65</f>
        <v/>
      </c>
      <c r="M66">
        <f>$C66*M65</f>
        <v/>
      </c>
      <c r="N66">
        <f>$C66*N65</f>
        <v/>
      </c>
      <c r="O66">
        <f>$C66*O65</f>
        <v/>
      </c>
      <c r="P66">
        <f>$C66*P65</f>
        <v/>
      </c>
      <c r="Q66">
        <f>$C66*Q65</f>
        <v/>
      </c>
      <c r="R66">
        <f>$C66*R65</f>
        <v/>
      </c>
      <c r="S66">
        <f>$C66*S65</f>
        <v/>
      </c>
      <c r="T66">
        <f>$C66*T65</f>
        <v/>
      </c>
      <c r="U66">
        <f>$C66*U65</f>
        <v/>
      </c>
      <c r="V66">
        <f>$C66*V65</f>
        <v/>
      </c>
      <c r="W66">
        <f>$C66*W65</f>
        <v/>
      </c>
      <c r="X66">
        <f>$C66*X65</f>
        <v/>
      </c>
      <c r="Y66">
        <f>$C66*Y65</f>
        <v/>
      </c>
      <c r="Z66">
        <f>$C66*Z65</f>
        <v/>
      </c>
      <c r="AA66">
        <f>$C66*AA65</f>
        <v/>
      </c>
      <c r="AB66">
        <f>$C66*AB65</f>
        <v/>
      </c>
      <c r="AC66">
        <f>$C66*AC65</f>
        <v/>
      </c>
      <c r="AD66">
        <f>$C66*AD65</f>
        <v/>
      </c>
      <c r="AE66">
        <f>$C66*AE65</f>
        <v/>
      </c>
      <c r="AF66">
        <f>$C66*AF65</f>
        <v/>
      </c>
      <c r="AG66">
        <f>$C66*AG65</f>
        <v/>
      </c>
      <c r="AH66">
        <f>$C66*AH65</f>
        <v/>
      </c>
      <c r="AI66">
        <f>$C66*AI65</f>
        <v/>
      </c>
      <c r="AJ66">
        <f>$C66*AJ65</f>
        <v/>
      </c>
      <c r="AK66">
        <f>$C66*AK65</f>
        <v/>
      </c>
      <c r="AL66">
        <f>$C66*AL65</f>
        <v/>
      </c>
      <c r="AM66">
        <f>$C66*AM65</f>
        <v/>
      </c>
      <c r="AN66">
        <f>$C66*AN65</f>
        <v/>
      </c>
      <c r="AO66">
        <f>$C66*AO65</f>
        <v/>
      </c>
      <c r="AP66">
        <f>$C66*AP65</f>
        <v/>
      </c>
      <c r="AQ66">
        <f>$C66*AQ65</f>
        <v/>
      </c>
      <c r="AR66">
        <f>$C66*AR65</f>
        <v/>
      </c>
      <c r="AS66">
        <f>$C66*AS65</f>
        <v/>
      </c>
      <c r="AT66">
        <f>$C66*AT65</f>
        <v/>
      </c>
      <c r="AU66">
        <f>$C66*AU65</f>
        <v/>
      </c>
      <c r="AV66">
        <f>$C66*AV65</f>
        <v/>
      </c>
      <c r="AW66">
        <f>$C66*AW65</f>
        <v/>
      </c>
      <c r="AX66">
        <f>$C66*AX65</f>
        <v/>
      </c>
      <c r="AY66">
        <f>$C66*AY65</f>
        <v/>
      </c>
      <c r="AZ66">
        <f>$C66*AZ65</f>
        <v/>
      </c>
      <c r="BA66">
        <f>$C66*BA65</f>
        <v/>
      </c>
      <c r="BB66">
        <f>$C66*BB65</f>
        <v/>
      </c>
      <c r="BC66">
        <f>$C66*BC65</f>
        <v/>
      </c>
      <c r="BD66">
        <f>$C66*BD65</f>
        <v/>
      </c>
      <c r="BE66">
        <f>$C66*BE65</f>
        <v/>
      </c>
      <c r="BF66">
        <f>$C66*BF65</f>
        <v/>
      </c>
      <c r="BG66">
        <f>$C66*BG65</f>
        <v/>
      </c>
      <c r="BH66">
        <f>$C66*BH65</f>
        <v/>
      </c>
      <c r="BI66">
        <f>$C66*BI65</f>
        <v/>
      </c>
      <c r="BJ66">
        <f>$C66*BJ65</f>
        <v/>
      </c>
      <c r="BK66">
        <f>$C66*BK65</f>
        <v/>
      </c>
      <c r="BL66">
        <f>$C66*BL65</f>
        <v/>
      </c>
      <c r="BM66">
        <f>$C66*BM65</f>
        <v/>
      </c>
      <c r="BN66">
        <f>$C66*BN65</f>
        <v/>
      </c>
      <c r="BO66">
        <f>$C66*BO65</f>
        <v/>
      </c>
      <c r="BP66">
        <f>$C66*BP65</f>
        <v/>
      </c>
      <c r="BQ66">
        <f>$C66*BQ65</f>
        <v/>
      </c>
      <c r="BR66">
        <f>$C66*BR65</f>
        <v/>
      </c>
      <c r="BS66">
        <f>$C66*BS65</f>
        <v/>
      </c>
      <c r="BT66">
        <f>$C66*BT65</f>
        <v/>
      </c>
      <c r="BU66">
        <f>$C66*BU65</f>
        <v/>
      </c>
      <c r="BV66">
        <f>$C66*BV65</f>
        <v/>
      </c>
      <c r="BW66">
        <f>$C66*BW65</f>
        <v/>
      </c>
      <c r="BX66">
        <f>$C66*BX65</f>
        <v/>
      </c>
      <c r="BY66">
        <f>$C66*BY65</f>
        <v/>
      </c>
      <c r="BZ66">
        <f>$C66*BZ65</f>
        <v/>
      </c>
      <c r="CA66">
        <f>$C66*CA65</f>
        <v/>
      </c>
      <c r="CB66">
        <f>$C66*CB65</f>
        <v/>
      </c>
      <c r="CC66">
        <f>$C66*CC65</f>
        <v/>
      </c>
      <c r="CD66">
        <f>$C66*CD65</f>
        <v/>
      </c>
      <c r="CE66">
        <f>$C66*CE65</f>
        <v/>
      </c>
      <c r="CF66">
        <f>$C66*CF65</f>
        <v/>
      </c>
      <c r="CG66">
        <f>$C66*CG65</f>
        <v/>
      </c>
      <c r="CH66">
        <f>$C66*CH65</f>
        <v/>
      </c>
      <c r="CI66">
        <f>$C66*CI65</f>
        <v/>
      </c>
      <c r="CJ66">
        <f>$C66*CJ65</f>
        <v/>
      </c>
      <c r="CK66">
        <f>$C66*CK65</f>
        <v/>
      </c>
      <c r="CL66">
        <f>$C66*CL65</f>
        <v/>
      </c>
      <c r="CM66">
        <f>$C66*CM65</f>
        <v/>
      </c>
      <c r="CN66">
        <f>$C66*CN65</f>
        <v/>
      </c>
      <c r="CO66">
        <f>$C66*CO65</f>
        <v/>
      </c>
      <c r="CP66">
        <f>$C66*CP65</f>
        <v/>
      </c>
      <c r="CQ66">
        <f>$C66*CQ65</f>
        <v/>
      </c>
      <c r="CR66">
        <f>$C66*CR65</f>
        <v/>
      </c>
      <c r="CS66">
        <f>$C66*CS65</f>
        <v/>
      </c>
      <c r="CT66">
        <f>$C66*CT65</f>
        <v/>
      </c>
      <c r="CU66">
        <f>$C66*CU65</f>
        <v/>
      </c>
      <c r="CV66">
        <f>$C66*CV65</f>
        <v/>
      </c>
      <c r="CW66">
        <f>$C66*CW65</f>
        <v/>
      </c>
      <c r="CX66">
        <f>$C66*CX65</f>
        <v/>
      </c>
      <c r="CY66">
        <f>$C66*CY65</f>
        <v/>
      </c>
      <c r="CZ66">
        <f>$C66*CZ65</f>
        <v/>
      </c>
      <c r="DA66">
        <f>$C66*DA65</f>
        <v/>
      </c>
      <c r="DB66">
        <f>$C66*DB65</f>
        <v/>
      </c>
      <c r="DC66">
        <f>$C66*DC65</f>
        <v/>
      </c>
    </row>
    <row r="67">
      <c r="B67" t="inlineStr">
        <is>
          <t>TSP-205</t>
        </is>
      </c>
      <c r="C67" t="inlineStr">
        <is>
          <t>No. of batches</t>
        </is>
      </c>
      <c r="D67">
        <f>IFERROR(INDEX(PP_Grid[#Data],$DD67,2),0)</f>
        <v/>
      </c>
      <c r="E67">
        <f>IFERROR(INDEX(PP_Grid[#Data],$DD67,3),0)</f>
        <v/>
      </c>
      <c r="F67">
        <f>IFERROR(INDEX(PP_Grid[#Data],$DD67,4),0)</f>
        <v/>
      </c>
      <c r="G67">
        <f>IFERROR(INDEX(PP_Grid[#Data],$DD67,5),0)</f>
        <v/>
      </c>
      <c r="H67">
        <f>IFERROR(INDEX(PP_Grid[#Data],$DD67,6),0)</f>
        <v/>
      </c>
      <c r="I67">
        <f>IFERROR(INDEX(PP_Grid[#Data],$DD67,7),0)</f>
        <v/>
      </c>
      <c r="J67">
        <f>IFERROR(INDEX(PP_Grid[#Data],$DD67,8),0)</f>
        <v/>
      </c>
      <c r="K67">
        <f>IFERROR(INDEX(PP_Grid[#Data],$DD67,9),0)</f>
        <v/>
      </c>
      <c r="L67">
        <f>IFERROR(INDEX(PP_Grid[#Data],$DD67,10),0)</f>
        <v/>
      </c>
      <c r="M67">
        <f>IFERROR(INDEX(PP_Grid[#Data],$DD67,11),0)</f>
        <v/>
      </c>
      <c r="N67">
        <f>IFERROR(INDEX(PP_Grid[#Data],$DD67,12),0)</f>
        <v/>
      </c>
      <c r="O67">
        <f>IFERROR(INDEX(PP_Grid[#Data],$DD67,13),0)</f>
        <v/>
      </c>
      <c r="P67">
        <f>IFERROR(INDEX(PP_Grid[#Data],$DD67,14),0)</f>
        <v/>
      </c>
      <c r="Q67">
        <f>IFERROR(INDEX(PP_Grid[#Data],$DD67,15),0)</f>
        <v/>
      </c>
      <c r="R67">
        <f>IFERROR(INDEX(PP_Grid[#Data],$DD67,16),0)</f>
        <v/>
      </c>
      <c r="S67">
        <f>IFERROR(INDEX(PP_Grid[#Data],$DD67,17),0)</f>
        <v/>
      </c>
      <c r="T67">
        <f>IFERROR(INDEX(PP_Grid[#Data],$DD67,18),0)</f>
        <v/>
      </c>
      <c r="U67">
        <f>IFERROR(INDEX(PP_Grid[#Data],$DD67,19),0)</f>
        <v/>
      </c>
      <c r="V67">
        <f>IFERROR(INDEX(PP_Grid[#Data],$DD67,20),0)</f>
        <v/>
      </c>
      <c r="W67">
        <f>IFERROR(INDEX(PP_Grid[#Data],$DD67,21),0)</f>
        <v/>
      </c>
      <c r="X67">
        <f>IFERROR(INDEX(PP_Grid[#Data],$DD67,22),0)</f>
        <v/>
      </c>
      <c r="Y67">
        <f>IFERROR(INDEX(PP_Grid[#Data],$DD67,23),0)</f>
        <v/>
      </c>
      <c r="Z67">
        <f>IFERROR(INDEX(PP_Grid[#Data],$DD67,24),0)</f>
        <v/>
      </c>
      <c r="AA67">
        <f>IFERROR(INDEX(PP_Grid[#Data],$DD67,25),0)</f>
        <v/>
      </c>
      <c r="AB67">
        <f>IFERROR(INDEX(PP_Grid[#Data],$DD67,26),0)</f>
        <v/>
      </c>
      <c r="AC67">
        <f>IFERROR(INDEX(PP_Grid[#Data],$DD67,27),0)</f>
        <v/>
      </c>
      <c r="AD67">
        <f>IFERROR(INDEX(PP_Grid[#Data],$DD67,28),0)</f>
        <v/>
      </c>
      <c r="AE67">
        <f>IFERROR(INDEX(PP_Grid[#Data],$DD67,29),0)</f>
        <v/>
      </c>
      <c r="AF67">
        <f>IFERROR(INDEX(PP_Grid[#Data],$DD67,30),0)</f>
        <v/>
      </c>
      <c r="AG67">
        <f>IFERROR(INDEX(PP_Grid[#Data],$DD67,31),0)</f>
        <v/>
      </c>
      <c r="AH67">
        <f>IFERROR(INDEX(PP_Grid[#Data],$DD67,32),0)</f>
        <v/>
      </c>
      <c r="AI67">
        <f>IFERROR(INDEX(PP_Grid[#Data],$DD67,33),0)</f>
        <v/>
      </c>
      <c r="AJ67">
        <f>IFERROR(INDEX(PP_Grid[#Data],$DD67,34),0)</f>
        <v/>
      </c>
      <c r="AK67">
        <f>IFERROR(INDEX(PP_Grid[#Data],$DD67,35),0)</f>
        <v/>
      </c>
      <c r="AL67">
        <f>IFERROR(INDEX(PP_Grid[#Data],$DD67,36),0)</f>
        <v/>
      </c>
      <c r="AM67">
        <f>IFERROR(INDEX(PP_Grid[#Data],$DD67,37),0)</f>
        <v/>
      </c>
      <c r="AN67">
        <f>IFERROR(INDEX(PP_Grid[#Data],$DD67,38),0)</f>
        <v/>
      </c>
      <c r="AO67">
        <f>IFERROR(INDEX(PP_Grid[#Data],$DD67,39),0)</f>
        <v/>
      </c>
      <c r="AP67">
        <f>IFERROR(INDEX(PP_Grid[#Data],$DD67,40),0)</f>
        <v/>
      </c>
      <c r="AQ67">
        <f>IFERROR(INDEX(PP_Grid[#Data],$DD67,41),0)</f>
        <v/>
      </c>
      <c r="AR67">
        <f>IFERROR(INDEX(PP_Grid[#Data],$DD67,42),0)</f>
        <v/>
      </c>
      <c r="AS67">
        <f>IFERROR(INDEX(PP_Grid[#Data],$DD67,43),0)</f>
        <v/>
      </c>
      <c r="AT67">
        <f>IFERROR(INDEX(PP_Grid[#Data],$DD67,44),0)</f>
        <v/>
      </c>
      <c r="AU67">
        <f>IFERROR(INDEX(PP_Grid[#Data],$DD67,45),0)</f>
        <v/>
      </c>
      <c r="AV67">
        <f>IFERROR(INDEX(PP_Grid[#Data],$DD67,46),0)</f>
        <v/>
      </c>
      <c r="AW67">
        <f>IFERROR(INDEX(PP_Grid[#Data],$DD67,47),0)</f>
        <v/>
      </c>
      <c r="AX67">
        <f>IFERROR(INDEX(PP_Grid[#Data],$DD67,48),0)</f>
        <v/>
      </c>
      <c r="AY67">
        <f>IFERROR(INDEX(PP_Grid[#Data],$DD67,49),0)</f>
        <v/>
      </c>
      <c r="AZ67">
        <f>IFERROR(INDEX(PP_Grid[#Data],$DD67,50),0)</f>
        <v/>
      </c>
      <c r="BA67">
        <f>IFERROR(INDEX(PP_Grid[#Data],$DD67,51),0)</f>
        <v/>
      </c>
      <c r="BB67">
        <f>IFERROR(INDEX(PP_Grid[#Data],$DD67,52),0)</f>
        <v/>
      </c>
      <c r="BC67">
        <f>IFERROR(INDEX(PP_Grid[#Data],$DD67,53),0)</f>
        <v/>
      </c>
      <c r="BD67">
        <f>IFERROR(INDEX(PP_Grid[#Data],$DD67,54),0)</f>
        <v/>
      </c>
      <c r="BE67">
        <f>IFERROR(INDEX(PP_Grid[#Data],$DD67,55),0)</f>
        <v/>
      </c>
      <c r="BF67">
        <f>IFERROR(INDEX(PP_Grid[#Data],$DD67,56),0)</f>
        <v/>
      </c>
      <c r="BG67">
        <f>IFERROR(INDEX(PP_Grid[#Data],$DD67,57),0)</f>
        <v/>
      </c>
      <c r="BH67">
        <f>IFERROR(INDEX(PP_Grid[#Data],$DD67,58),0)</f>
        <v/>
      </c>
      <c r="BI67">
        <f>IFERROR(INDEX(PP_Grid[#Data],$DD67,59),0)</f>
        <v/>
      </c>
      <c r="BJ67">
        <f>IFERROR(INDEX(PP_Grid[#Data],$DD67,60),0)</f>
        <v/>
      </c>
      <c r="BK67">
        <f>IFERROR(INDEX(PP_Grid[#Data],$DD67,61),0)</f>
        <v/>
      </c>
      <c r="BL67">
        <f>IFERROR(INDEX(PP_Grid[#Data],$DD67,62),0)</f>
        <v/>
      </c>
      <c r="BM67">
        <f>IFERROR(INDEX(PP_Grid[#Data],$DD67,63),0)</f>
        <v/>
      </c>
      <c r="BN67">
        <f>IFERROR(INDEX(PP_Grid[#Data],$DD67,64),0)</f>
        <v/>
      </c>
      <c r="BO67">
        <f>IFERROR(INDEX(PP_Grid[#Data],$DD67,65),0)</f>
        <v/>
      </c>
      <c r="BP67">
        <f>IFERROR(INDEX(PP_Grid[#Data],$DD67,66),0)</f>
        <v/>
      </c>
      <c r="BQ67">
        <f>IFERROR(INDEX(PP_Grid[#Data],$DD67,67),0)</f>
        <v/>
      </c>
      <c r="BR67">
        <f>IFERROR(INDEX(PP_Grid[#Data],$DD67,68),0)</f>
        <v/>
      </c>
      <c r="BS67">
        <f>IFERROR(INDEX(PP_Grid[#Data],$DD67,69),0)</f>
        <v/>
      </c>
      <c r="BT67">
        <f>IFERROR(INDEX(PP_Grid[#Data],$DD67,70),0)</f>
        <v/>
      </c>
      <c r="BU67">
        <f>IFERROR(INDEX(PP_Grid[#Data],$DD67,71),0)</f>
        <v/>
      </c>
      <c r="BV67">
        <f>IFERROR(INDEX(PP_Grid[#Data],$DD67,72),0)</f>
        <v/>
      </c>
      <c r="BW67">
        <f>IFERROR(INDEX(PP_Grid[#Data],$DD67,73),0)</f>
        <v/>
      </c>
      <c r="BX67">
        <f>IFERROR(INDEX(PP_Grid[#Data],$DD67,74),0)</f>
        <v/>
      </c>
      <c r="BY67">
        <f>IFERROR(INDEX(PP_Grid[#Data],$DD67,75),0)</f>
        <v/>
      </c>
      <c r="BZ67">
        <f>IFERROR(INDEX(PP_Grid[#Data],$DD67,76),0)</f>
        <v/>
      </c>
      <c r="CA67">
        <f>IFERROR(INDEX(PP_Grid[#Data],$DD67,77),0)</f>
        <v/>
      </c>
      <c r="CB67">
        <f>IFERROR(INDEX(PP_Grid[#Data],$DD67,78),0)</f>
        <v/>
      </c>
      <c r="CC67">
        <f>IFERROR(INDEX(PP_Grid[#Data],$DD67,79),0)</f>
        <v/>
      </c>
      <c r="CD67">
        <f>IFERROR(INDEX(PP_Grid[#Data],$DD67,80),0)</f>
        <v/>
      </c>
      <c r="CE67">
        <f>IFERROR(INDEX(PP_Grid[#Data],$DD67,81),0)</f>
        <v/>
      </c>
      <c r="CF67">
        <f>IFERROR(INDEX(PP_Grid[#Data],$DD67,82),0)</f>
        <v/>
      </c>
      <c r="CG67">
        <f>IFERROR(INDEX(PP_Grid[#Data],$DD67,83),0)</f>
        <v/>
      </c>
      <c r="CH67">
        <f>IFERROR(INDEX(PP_Grid[#Data],$DD67,84),0)</f>
        <v/>
      </c>
      <c r="CI67">
        <f>IFERROR(INDEX(PP_Grid[#Data],$DD67,85),0)</f>
        <v/>
      </c>
      <c r="CJ67">
        <f>IFERROR(INDEX(PP_Grid[#Data],$DD67,86),0)</f>
        <v/>
      </c>
      <c r="CK67">
        <f>IFERROR(INDEX(PP_Grid[#Data],$DD67,87),0)</f>
        <v/>
      </c>
      <c r="CL67">
        <f>IFERROR(INDEX(PP_Grid[#Data],$DD67,88),0)</f>
        <v/>
      </c>
      <c r="CM67">
        <f>IFERROR(INDEX(PP_Grid[#Data],$DD67,89),0)</f>
        <v/>
      </c>
      <c r="CN67">
        <f>IFERROR(INDEX(PP_Grid[#Data],$DD67,90),0)</f>
        <v/>
      </c>
      <c r="CO67">
        <f>IFERROR(INDEX(PP_Grid[#Data],$DD67,91),0)</f>
        <v/>
      </c>
      <c r="CP67">
        <f>IFERROR(INDEX(PP_Grid[#Data],$DD67,92),0)</f>
        <v/>
      </c>
      <c r="CQ67">
        <f>IFERROR(INDEX(PP_Grid[#Data],$DD67,93),0)</f>
        <v/>
      </c>
      <c r="CR67">
        <f>IFERROR(INDEX(PP_Grid[#Data],$DD67,94),0)</f>
        <v/>
      </c>
      <c r="CS67">
        <f>IFERROR(INDEX(PP_Grid[#Data],$DD67,95),0)</f>
        <v/>
      </c>
      <c r="CT67">
        <f>IFERROR(INDEX(PP_Grid[#Data],$DD67,96),0)</f>
        <v/>
      </c>
      <c r="CU67">
        <f>IFERROR(INDEX(PP_Grid[#Data],$DD67,97),0)</f>
        <v/>
      </c>
      <c r="CV67">
        <f>IFERROR(INDEX(PP_Grid[#Data],$DD67,98),0)</f>
        <v/>
      </c>
      <c r="CW67">
        <f>IFERROR(INDEX(PP_Grid[#Data],$DD67,99),0)</f>
        <v/>
      </c>
      <c r="CX67">
        <f>IFERROR(INDEX(PP_Grid[#Data],$DD67,100),0)</f>
        <v/>
      </c>
      <c r="CY67">
        <f>IFERROR(INDEX(PP_Grid[#Data],$DD67,101),0)</f>
        <v/>
      </c>
      <c r="CZ67">
        <f>IFERROR(INDEX(PP_Grid[#Data],$DD67,102),0)</f>
        <v/>
      </c>
      <c r="DA67">
        <f>IFERROR(INDEX(PP_Grid[#Data],$DD67,103),0)</f>
        <v/>
      </c>
      <c r="DB67">
        <f>IFERROR(INDEX(PP_Grid[#Data],$DD67,104),0)</f>
        <v/>
      </c>
      <c r="DC67">
        <f>IFERROR(INDEX(PP_Grid[#Data],$DD67,105),0)</f>
        <v/>
      </c>
      <c r="DD67" s="7">
        <f>IFERROR(MATCH($B67,PP_Grid[Intermediate],0),99999)</f>
        <v/>
      </c>
    </row>
    <row r="68">
      <c r="B68" t="inlineStr">
        <is>
          <t>使用量(kg)</t>
        </is>
      </c>
      <c r="C68">
        <f>SUMIFS(M_BOM[RM_Qty_Per_Batch],M_BOM[Intermediate],$B67,M_BOM[Part Name],$A44)</f>
        <v/>
      </c>
      <c r="D68">
        <f>$C68*D67</f>
        <v/>
      </c>
      <c r="E68">
        <f>$C68*E67</f>
        <v/>
      </c>
      <c r="F68">
        <f>$C68*F67</f>
        <v/>
      </c>
      <c r="G68">
        <f>$C68*G67</f>
        <v/>
      </c>
      <c r="H68">
        <f>$C68*H67</f>
        <v/>
      </c>
      <c r="I68">
        <f>$C68*I67</f>
        <v/>
      </c>
      <c r="J68">
        <f>$C68*J67</f>
        <v/>
      </c>
      <c r="K68">
        <f>$C68*K67</f>
        <v/>
      </c>
      <c r="L68">
        <f>$C68*L67</f>
        <v/>
      </c>
      <c r="M68">
        <f>$C68*M67</f>
        <v/>
      </c>
      <c r="N68">
        <f>$C68*N67</f>
        <v/>
      </c>
      <c r="O68">
        <f>$C68*O67</f>
        <v/>
      </c>
      <c r="P68">
        <f>$C68*P67</f>
        <v/>
      </c>
      <c r="Q68">
        <f>$C68*Q67</f>
        <v/>
      </c>
      <c r="R68">
        <f>$C68*R67</f>
        <v/>
      </c>
      <c r="S68">
        <f>$C68*S67</f>
        <v/>
      </c>
      <c r="T68">
        <f>$C68*T67</f>
        <v/>
      </c>
      <c r="U68">
        <f>$C68*U67</f>
        <v/>
      </c>
      <c r="V68">
        <f>$C68*V67</f>
        <v/>
      </c>
      <c r="W68">
        <f>$C68*W67</f>
        <v/>
      </c>
      <c r="X68">
        <f>$C68*X67</f>
        <v/>
      </c>
      <c r="Y68">
        <f>$C68*Y67</f>
        <v/>
      </c>
      <c r="Z68">
        <f>$C68*Z67</f>
        <v/>
      </c>
      <c r="AA68">
        <f>$C68*AA67</f>
        <v/>
      </c>
      <c r="AB68">
        <f>$C68*AB67</f>
        <v/>
      </c>
      <c r="AC68">
        <f>$C68*AC67</f>
        <v/>
      </c>
      <c r="AD68">
        <f>$C68*AD67</f>
        <v/>
      </c>
      <c r="AE68">
        <f>$C68*AE67</f>
        <v/>
      </c>
      <c r="AF68">
        <f>$C68*AF67</f>
        <v/>
      </c>
      <c r="AG68">
        <f>$C68*AG67</f>
        <v/>
      </c>
      <c r="AH68">
        <f>$C68*AH67</f>
        <v/>
      </c>
      <c r="AI68">
        <f>$C68*AI67</f>
        <v/>
      </c>
      <c r="AJ68">
        <f>$C68*AJ67</f>
        <v/>
      </c>
      <c r="AK68">
        <f>$C68*AK67</f>
        <v/>
      </c>
      <c r="AL68">
        <f>$C68*AL67</f>
        <v/>
      </c>
      <c r="AM68">
        <f>$C68*AM67</f>
        <v/>
      </c>
      <c r="AN68">
        <f>$C68*AN67</f>
        <v/>
      </c>
      <c r="AO68">
        <f>$C68*AO67</f>
        <v/>
      </c>
      <c r="AP68">
        <f>$C68*AP67</f>
        <v/>
      </c>
      <c r="AQ68">
        <f>$C68*AQ67</f>
        <v/>
      </c>
      <c r="AR68">
        <f>$C68*AR67</f>
        <v/>
      </c>
      <c r="AS68">
        <f>$C68*AS67</f>
        <v/>
      </c>
      <c r="AT68">
        <f>$C68*AT67</f>
        <v/>
      </c>
      <c r="AU68">
        <f>$C68*AU67</f>
        <v/>
      </c>
      <c r="AV68">
        <f>$C68*AV67</f>
        <v/>
      </c>
      <c r="AW68">
        <f>$C68*AW67</f>
        <v/>
      </c>
      <c r="AX68">
        <f>$C68*AX67</f>
        <v/>
      </c>
      <c r="AY68">
        <f>$C68*AY67</f>
        <v/>
      </c>
      <c r="AZ68">
        <f>$C68*AZ67</f>
        <v/>
      </c>
      <c r="BA68">
        <f>$C68*BA67</f>
        <v/>
      </c>
      <c r="BB68">
        <f>$C68*BB67</f>
        <v/>
      </c>
      <c r="BC68">
        <f>$C68*BC67</f>
        <v/>
      </c>
      <c r="BD68">
        <f>$C68*BD67</f>
        <v/>
      </c>
      <c r="BE68">
        <f>$C68*BE67</f>
        <v/>
      </c>
      <c r="BF68">
        <f>$C68*BF67</f>
        <v/>
      </c>
      <c r="BG68">
        <f>$C68*BG67</f>
        <v/>
      </c>
      <c r="BH68">
        <f>$C68*BH67</f>
        <v/>
      </c>
      <c r="BI68">
        <f>$C68*BI67</f>
        <v/>
      </c>
      <c r="BJ68">
        <f>$C68*BJ67</f>
        <v/>
      </c>
      <c r="BK68">
        <f>$C68*BK67</f>
        <v/>
      </c>
      <c r="BL68">
        <f>$C68*BL67</f>
        <v/>
      </c>
      <c r="BM68">
        <f>$C68*BM67</f>
        <v/>
      </c>
      <c r="BN68">
        <f>$C68*BN67</f>
        <v/>
      </c>
      <c r="BO68">
        <f>$C68*BO67</f>
        <v/>
      </c>
      <c r="BP68">
        <f>$C68*BP67</f>
        <v/>
      </c>
      <c r="BQ68">
        <f>$C68*BQ67</f>
        <v/>
      </c>
      <c r="BR68">
        <f>$C68*BR67</f>
        <v/>
      </c>
      <c r="BS68">
        <f>$C68*BS67</f>
        <v/>
      </c>
      <c r="BT68">
        <f>$C68*BT67</f>
        <v/>
      </c>
      <c r="BU68">
        <f>$C68*BU67</f>
        <v/>
      </c>
      <c r="BV68">
        <f>$C68*BV67</f>
        <v/>
      </c>
      <c r="BW68">
        <f>$C68*BW67</f>
        <v/>
      </c>
      <c r="BX68">
        <f>$C68*BX67</f>
        <v/>
      </c>
      <c r="BY68">
        <f>$C68*BY67</f>
        <v/>
      </c>
      <c r="BZ68">
        <f>$C68*BZ67</f>
        <v/>
      </c>
      <c r="CA68">
        <f>$C68*CA67</f>
        <v/>
      </c>
      <c r="CB68">
        <f>$C68*CB67</f>
        <v/>
      </c>
      <c r="CC68">
        <f>$C68*CC67</f>
        <v/>
      </c>
      <c r="CD68">
        <f>$C68*CD67</f>
        <v/>
      </c>
      <c r="CE68">
        <f>$C68*CE67</f>
        <v/>
      </c>
      <c r="CF68">
        <f>$C68*CF67</f>
        <v/>
      </c>
      <c r="CG68">
        <f>$C68*CG67</f>
        <v/>
      </c>
      <c r="CH68">
        <f>$C68*CH67</f>
        <v/>
      </c>
      <c r="CI68">
        <f>$C68*CI67</f>
        <v/>
      </c>
      <c r="CJ68">
        <f>$C68*CJ67</f>
        <v/>
      </c>
      <c r="CK68">
        <f>$C68*CK67</f>
        <v/>
      </c>
      <c r="CL68">
        <f>$C68*CL67</f>
        <v/>
      </c>
      <c r="CM68">
        <f>$C68*CM67</f>
        <v/>
      </c>
      <c r="CN68">
        <f>$C68*CN67</f>
        <v/>
      </c>
      <c r="CO68">
        <f>$C68*CO67</f>
        <v/>
      </c>
      <c r="CP68">
        <f>$C68*CP67</f>
        <v/>
      </c>
      <c r="CQ68">
        <f>$C68*CQ67</f>
        <v/>
      </c>
      <c r="CR68">
        <f>$C68*CR67</f>
        <v/>
      </c>
      <c r="CS68">
        <f>$C68*CS67</f>
        <v/>
      </c>
      <c r="CT68">
        <f>$C68*CT67</f>
        <v/>
      </c>
      <c r="CU68">
        <f>$C68*CU67</f>
        <v/>
      </c>
      <c r="CV68">
        <f>$C68*CV67</f>
        <v/>
      </c>
      <c r="CW68">
        <f>$C68*CW67</f>
        <v/>
      </c>
      <c r="CX68">
        <f>$C68*CX67</f>
        <v/>
      </c>
      <c r="CY68">
        <f>$C68*CY67</f>
        <v/>
      </c>
      <c r="CZ68">
        <f>$C68*CZ67</f>
        <v/>
      </c>
      <c r="DA68">
        <f>$C68*DA67</f>
        <v/>
      </c>
      <c r="DB68">
        <f>$C68*DB67</f>
        <v/>
      </c>
      <c r="DC68">
        <f>$C68*DC67</f>
        <v/>
      </c>
    </row>
    <row r="69">
      <c r="B69" t="inlineStr">
        <is>
          <t>TSP-206</t>
        </is>
      </c>
      <c r="C69" t="inlineStr">
        <is>
          <t>No. of batches</t>
        </is>
      </c>
      <c r="D69">
        <f>IFERROR(INDEX(PP_Grid[#Data],$DD69,2),0)</f>
        <v/>
      </c>
      <c r="E69">
        <f>IFERROR(INDEX(PP_Grid[#Data],$DD69,3),0)</f>
        <v/>
      </c>
      <c r="F69">
        <f>IFERROR(INDEX(PP_Grid[#Data],$DD69,4),0)</f>
        <v/>
      </c>
      <c r="G69">
        <f>IFERROR(INDEX(PP_Grid[#Data],$DD69,5),0)</f>
        <v/>
      </c>
      <c r="H69">
        <f>IFERROR(INDEX(PP_Grid[#Data],$DD69,6),0)</f>
        <v/>
      </c>
      <c r="I69">
        <f>IFERROR(INDEX(PP_Grid[#Data],$DD69,7),0)</f>
        <v/>
      </c>
      <c r="J69">
        <f>IFERROR(INDEX(PP_Grid[#Data],$DD69,8),0)</f>
        <v/>
      </c>
      <c r="K69">
        <f>IFERROR(INDEX(PP_Grid[#Data],$DD69,9),0)</f>
        <v/>
      </c>
      <c r="L69">
        <f>IFERROR(INDEX(PP_Grid[#Data],$DD69,10),0)</f>
        <v/>
      </c>
      <c r="M69">
        <f>IFERROR(INDEX(PP_Grid[#Data],$DD69,11),0)</f>
        <v/>
      </c>
      <c r="N69">
        <f>IFERROR(INDEX(PP_Grid[#Data],$DD69,12),0)</f>
        <v/>
      </c>
      <c r="O69">
        <f>IFERROR(INDEX(PP_Grid[#Data],$DD69,13),0)</f>
        <v/>
      </c>
      <c r="P69">
        <f>IFERROR(INDEX(PP_Grid[#Data],$DD69,14),0)</f>
        <v/>
      </c>
      <c r="Q69">
        <f>IFERROR(INDEX(PP_Grid[#Data],$DD69,15),0)</f>
        <v/>
      </c>
      <c r="R69">
        <f>IFERROR(INDEX(PP_Grid[#Data],$DD69,16),0)</f>
        <v/>
      </c>
      <c r="S69">
        <f>IFERROR(INDEX(PP_Grid[#Data],$DD69,17),0)</f>
        <v/>
      </c>
      <c r="T69">
        <f>IFERROR(INDEX(PP_Grid[#Data],$DD69,18),0)</f>
        <v/>
      </c>
      <c r="U69">
        <f>IFERROR(INDEX(PP_Grid[#Data],$DD69,19),0)</f>
        <v/>
      </c>
      <c r="V69">
        <f>IFERROR(INDEX(PP_Grid[#Data],$DD69,20),0)</f>
        <v/>
      </c>
      <c r="W69">
        <f>IFERROR(INDEX(PP_Grid[#Data],$DD69,21),0)</f>
        <v/>
      </c>
      <c r="X69">
        <f>IFERROR(INDEX(PP_Grid[#Data],$DD69,22),0)</f>
        <v/>
      </c>
      <c r="Y69">
        <f>IFERROR(INDEX(PP_Grid[#Data],$DD69,23),0)</f>
        <v/>
      </c>
      <c r="Z69">
        <f>IFERROR(INDEX(PP_Grid[#Data],$DD69,24),0)</f>
        <v/>
      </c>
      <c r="AA69">
        <f>IFERROR(INDEX(PP_Grid[#Data],$DD69,25),0)</f>
        <v/>
      </c>
      <c r="AB69">
        <f>IFERROR(INDEX(PP_Grid[#Data],$DD69,26),0)</f>
        <v/>
      </c>
      <c r="AC69">
        <f>IFERROR(INDEX(PP_Grid[#Data],$DD69,27),0)</f>
        <v/>
      </c>
      <c r="AD69">
        <f>IFERROR(INDEX(PP_Grid[#Data],$DD69,28),0)</f>
        <v/>
      </c>
      <c r="AE69">
        <f>IFERROR(INDEX(PP_Grid[#Data],$DD69,29),0)</f>
        <v/>
      </c>
      <c r="AF69">
        <f>IFERROR(INDEX(PP_Grid[#Data],$DD69,30),0)</f>
        <v/>
      </c>
      <c r="AG69">
        <f>IFERROR(INDEX(PP_Grid[#Data],$DD69,31),0)</f>
        <v/>
      </c>
      <c r="AH69">
        <f>IFERROR(INDEX(PP_Grid[#Data],$DD69,32),0)</f>
        <v/>
      </c>
      <c r="AI69">
        <f>IFERROR(INDEX(PP_Grid[#Data],$DD69,33),0)</f>
        <v/>
      </c>
      <c r="AJ69">
        <f>IFERROR(INDEX(PP_Grid[#Data],$DD69,34),0)</f>
        <v/>
      </c>
      <c r="AK69">
        <f>IFERROR(INDEX(PP_Grid[#Data],$DD69,35),0)</f>
        <v/>
      </c>
      <c r="AL69">
        <f>IFERROR(INDEX(PP_Grid[#Data],$DD69,36),0)</f>
        <v/>
      </c>
      <c r="AM69">
        <f>IFERROR(INDEX(PP_Grid[#Data],$DD69,37),0)</f>
        <v/>
      </c>
      <c r="AN69">
        <f>IFERROR(INDEX(PP_Grid[#Data],$DD69,38),0)</f>
        <v/>
      </c>
      <c r="AO69">
        <f>IFERROR(INDEX(PP_Grid[#Data],$DD69,39),0)</f>
        <v/>
      </c>
      <c r="AP69">
        <f>IFERROR(INDEX(PP_Grid[#Data],$DD69,40),0)</f>
        <v/>
      </c>
      <c r="AQ69">
        <f>IFERROR(INDEX(PP_Grid[#Data],$DD69,41),0)</f>
        <v/>
      </c>
      <c r="AR69">
        <f>IFERROR(INDEX(PP_Grid[#Data],$DD69,42),0)</f>
        <v/>
      </c>
      <c r="AS69">
        <f>IFERROR(INDEX(PP_Grid[#Data],$DD69,43),0)</f>
        <v/>
      </c>
      <c r="AT69">
        <f>IFERROR(INDEX(PP_Grid[#Data],$DD69,44),0)</f>
        <v/>
      </c>
      <c r="AU69">
        <f>IFERROR(INDEX(PP_Grid[#Data],$DD69,45),0)</f>
        <v/>
      </c>
      <c r="AV69">
        <f>IFERROR(INDEX(PP_Grid[#Data],$DD69,46),0)</f>
        <v/>
      </c>
      <c r="AW69">
        <f>IFERROR(INDEX(PP_Grid[#Data],$DD69,47),0)</f>
        <v/>
      </c>
      <c r="AX69">
        <f>IFERROR(INDEX(PP_Grid[#Data],$DD69,48),0)</f>
        <v/>
      </c>
      <c r="AY69">
        <f>IFERROR(INDEX(PP_Grid[#Data],$DD69,49),0)</f>
        <v/>
      </c>
      <c r="AZ69">
        <f>IFERROR(INDEX(PP_Grid[#Data],$DD69,50),0)</f>
        <v/>
      </c>
      <c r="BA69">
        <f>IFERROR(INDEX(PP_Grid[#Data],$DD69,51),0)</f>
        <v/>
      </c>
      <c r="BB69">
        <f>IFERROR(INDEX(PP_Grid[#Data],$DD69,52),0)</f>
        <v/>
      </c>
      <c r="BC69">
        <f>IFERROR(INDEX(PP_Grid[#Data],$DD69,53),0)</f>
        <v/>
      </c>
      <c r="BD69">
        <f>IFERROR(INDEX(PP_Grid[#Data],$DD69,54),0)</f>
        <v/>
      </c>
      <c r="BE69">
        <f>IFERROR(INDEX(PP_Grid[#Data],$DD69,55),0)</f>
        <v/>
      </c>
      <c r="BF69">
        <f>IFERROR(INDEX(PP_Grid[#Data],$DD69,56),0)</f>
        <v/>
      </c>
      <c r="BG69">
        <f>IFERROR(INDEX(PP_Grid[#Data],$DD69,57),0)</f>
        <v/>
      </c>
      <c r="BH69">
        <f>IFERROR(INDEX(PP_Grid[#Data],$DD69,58),0)</f>
        <v/>
      </c>
      <c r="BI69">
        <f>IFERROR(INDEX(PP_Grid[#Data],$DD69,59),0)</f>
        <v/>
      </c>
      <c r="BJ69">
        <f>IFERROR(INDEX(PP_Grid[#Data],$DD69,60),0)</f>
        <v/>
      </c>
      <c r="BK69">
        <f>IFERROR(INDEX(PP_Grid[#Data],$DD69,61),0)</f>
        <v/>
      </c>
      <c r="BL69">
        <f>IFERROR(INDEX(PP_Grid[#Data],$DD69,62),0)</f>
        <v/>
      </c>
      <c r="BM69">
        <f>IFERROR(INDEX(PP_Grid[#Data],$DD69,63),0)</f>
        <v/>
      </c>
      <c r="BN69">
        <f>IFERROR(INDEX(PP_Grid[#Data],$DD69,64),0)</f>
        <v/>
      </c>
      <c r="BO69">
        <f>IFERROR(INDEX(PP_Grid[#Data],$DD69,65),0)</f>
        <v/>
      </c>
      <c r="BP69">
        <f>IFERROR(INDEX(PP_Grid[#Data],$DD69,66),0)</f>
        <v/>
      </c>
      <c r="BQ69">
        <f>IFERROR(INDEX(PP_Grid[#Data],$DD69,67),0)</f>
        <v/>
      </c>
      <c r="BR69">
        <f>IFERROR(INDEX(PP_Grid[#Data],$DD69,68),0)</f>
        <v/>
      </c>
      <c r="BS69">
        <f>IFERROR(INDEX(PP_Grid[#Data],$DD69,69),0)</f>
        <v/>
      </c>
      <c r="BT69">
        <f>IFERROR(INDEX(PP_Grid[#Data],$DD69,70),0)</f>
        <v/>
      </c>
      <c r="BU69">
        <f>IFERROR(INDEX(PP_Grid[#Data],$DD69,71),0)</f>
        <v/>
      </c>
      <c r="BV69">
        <f>IFERROR(INDEX(PP_Grid[#Data],$DD69,72),0)</f>
        <v/>
      </c>
      <c r="BW69">
        <f>IFERROR(INDEX(PP_Grid[#Data],$DD69,73),0)</f>
        <v/>
      </c>
      <c r="BX69">
        <f>IFERROR(INDEX(PP_Grid[#Data],$DD69,74),0)</f>
        <v/>
      </c>
      <c r="BY69">
        <f>IFERROR(INDEX(PP_Grid[#Data],$DD69,75),0)</f>
        <v/>
      </c>
      <c r="BZ69">
        <f>IFERROR(INDEX(PP_Grid[#Data],$DD69,76),0)</f>
        <v/>
      </c>
      <c r="CA69">
        <f>IFERROR(INDEX(PP_Grid[#Data],$DD69,77),0)</f>
        <v/>
      </c>
      <c r="CB69">
        <f>IFERROR(INDEX(PP_Grid[#Data],$DD69,78),0)</f>
        <v/>
      </c>
      <c r="CC69">
        <f>IFERROR(INDEX(PP_Grid[#Data],$DD69,79),0)</f>
        <v/>
      </c>
      <c r="CD69">
        <f>IFERROR(INDEX(PP_Grid[#Data],$DD69,80),0)</f>
        <v/>
      </c>
      <c r="CE69">
        <f>IFERROR(INDEX(PP_Grid[#Data],$DD69,81),0)</f>
        <v/>
      </c>
      <c r="CF69">
        <f>IFERROR(INDEX(PP_Grid[#Data],$DD69,82),0)</f>
        <v/>
      </c>
      <c r="CG69">
        <f>IFERROR(INDEX(PP_Grid[#Data],$DD69,83),0)</f>
        <v/>
      </c>
      <c r="CH69">
        <f>IFERROR(INDEX(PP_Grid[#Data],$DD69,84),0)</f>
        <v/>
      </c>
      <c r="CI69">
        <f>IFERROR(INDEX(PP_Grid[#Data],$DD69,85),0)</f>
        <v/>
      </c>
      <c r="CJ69">
        <f>IFERROR(INDEX(PP_Grid[#Data],$DD69,86),0)</f>
        <v/>
      </c>
      <c r="CK69">
        <f>IFERROR(INDEX(PP_Grid[#Data],$DD69,87),0)</f>
        <v/>
      </c>
      <c r="CL69">
        <f>IFERROR(INDEX(PP_Grid[#Data],$DD69,88),0)</f>
        <v/>
      </c>
      <c r="CM69">
        <f>IFERROR(INDEX(PP_Grid[#Data],$DD69,89),0)</f>
        <v/>
      </c>
      <c r="CN69">
        <f>IFERROR(INDEX(PP_Grid[#Data],$DD69,90),0)</f>
        <v/>
      </c>
      <c r="CO69">
        <f>IFERROR(INDEX(PP_Grid[#Data],$DD69,91),0)</f>
        <v/>
      </c>
      <c r="CP69">
        <f>IFERROR(INDEX(PP_Grid[#Data],$DD69,92),0)</f>
        <v/>
      </c>
      <c r="CQ69">
        <f>IFERROR(INDEX(PP_Grid[#Data],$DD69,93),0)</f>
        <v/>
      </c>
      <c r="CR69">
        <f>IFERROR(INDEX(PP_Grid[#Data],$DD69,94),0)</f>
        <v/>
      </c>
      <c r="CS69">
        <f>IFERROR(INDEX(PP_Grid[#Data],$DD69,95),0)</f>
        <v/>
      </c>
      <c r="CT69">
        <f>IFERROR(INDEX(PP_Grid[#Data],$DD69,96),0)</f>
        <v/>
      </c>
      <c r="CU69">
        <f>IFERROR(INDEX(PP_Grid[#Data],$DD69,97),0)</f>
        <v/>
      </c>
      <c r="CV69">
        <f>IFERROR(INDEX(PP_Grid[#Data],$DD69,98),0)</f>
        <v/>
      </c>
      <c r="CW69">
        <f>IFERROR(INDEX(PP_Grid[#Data],$DD69,99),0)</f>
        <v/>
      </c>
      <c r="CX69">
        <f>IFERROR(INDEX(PP_Grid[#Data],$DD69,100),0)</f>
        <v/>
      </c>
      <c r="CY69">
        <f>IFERROR(INDEX(PP_Grid[#Data],$DD69,101),0)</f>
        <v/>
      </c>
      <c r="CZ69">
        <f>IFERROR(INDEX(PP_Grid[#Data],$DD69,102),0)</f>
        <v/>
      </c>
      <c r="DA69">
        <f>IFERROR(INDEX(PP_Grid[#Data],$DD69,103),0)</f>
        <v/>
      </c>
      <c r="DB69">
        <f>IFERROR(INDEX(PP_Grid[#Data],$DD69,104),0)</f>
        <v/>
      </c>
      <c r="DC69">
        <f>IFERROR(INDEX(PP_Grid[#Data],$DD69,105),0)</f>
        <v/>
      </c>
      <c r="DD69" s="7">
        <f>IFERROR(MATCH($B69,PP_Grid[Intermediate],0),99999)</f>
        <v/>
      </c>
    </row>
    <row r="70">
      <c r="B70" t="inlineStr">
        <is>
          <t>使用量(kg)</t>
        </is>
      </c>
      <c r="C70">
        <f>SUMIFS(M_BOM[RM_Qty_Per_Batch],M_BOM[Intermediate],$B69,M_BOM[Part Name],$A44)</f>
        <v/>
      </c>
      <c r="D70">
        <f>$C70*D69</f>
        <v/>
      </c>
      <c r="E70">
        <f>$C70*E69</f>
        <v/>
      </c>
      <c r="F70">
        <f>$C70*F69</f>
        <v/>
      </c>
      <c r="G70">
        <f>$C70*G69</f>
        <v/>
      </c>
      <c r="H70">
        <f>$C70*H69</f>
        <v/>
      </c>
      <c r="I70">
        <f>$C70*I69</f>
        <v/>
      </c>
      <c r="J70">
        <f>$C70*J69</f>
        <v/>
      </c>
      <c r="K70">
        <f>$C70*K69</f>
        <v/>
      </c>
      <c r="L70">
        <f>$C70*L69</f>
        <v/>
      </c>
      <c r="M70">
        <f>$C70*M69</f>
        <v/>
      </c>
      <c r="N70">
        <f>$C70*N69</f>
        <v/>
      </c>
      <c r="O70">
        <f>$C70*O69</f>
        <v/>
      </c>
      <c r="P70">
        <f>$C70*P69</f>
        <v/>
      </c>
      <c r="Q70">
        <f>$C70*Q69</f>
        <v/>
      </c>
      <c r="R70">
        <f>$C70*R69</f>
        <v/>
      </c>
      <c r="S70">
        <f>$C70*S69</f>
        <v/>
      </c>
      <c r="T70">
        <f>$C70*T69</f>
        <v/>
      </c>
      <c r="U70">
        <f>$C70*U69</f>
        <v/>
      </c>
      <c r="V70">
        <f>$C70*V69</f>
        <v/>
      </c>
      <c r="W70">
        <f>$C70*W69</f>
        <v/>
      </c>
      <c r="X70">
        <f>$C70*X69</f>
        <v/>
      </c>
      <c r="Y70">
        <f>$C70*Y69</f>
        <v/>
      </c>
      <c r="Z70">
        <f>$C70*Z69</f>
        <v/>
      </c>
      <c r="AA70">
        <f>$C70*AA69</f>
        <v/>
      </c>
      <c r="AB70">
        <f>$C70*AB69</f>
        <v/>
      </c>
      <c r="AC70">
        <f>$C70*AC69</f>
        <v/>
      </c>
      <c r="AD70">
        <f>$C70*AD69</f>
        <v/>
      </c>
      <c r="AE70">
        <f>$C70*AE69</f>
        <v/>
      </c>
      <c r="AF70">
        <f>$C70*AF69</f>
        <v/>
      </c>
      <c r="AG70">
        <f>$C70*AG69</f>
        <v/>
      </c>
      <c r="AH70">
        <f>$C70*AH69</f>
        <v/>
      </c>
      <c r="AI70">
        <f>$C70*AI69</f>
        <v/>
      </c>
      <c r="AJ70">
        <f>$C70*AJ69</f>
        <v/>
      </c>
      <c r="AK70">
        <f>$C70*AK69</f>
        <v/>
      </c>
      <c r="AL70">
        <f>$C70*AL69</f>
        <v/>
      </c>
      <c r="AM70">
        <f>$C70*AM69</f>
        <v/>
      </c>
      <c r="AN70">
        <f>$C70*AN69</f>
        <v/>
      </c>
      <c r="AO70">
        <f>$C70*AO69</f>
        <v/>
      </c>
      <c r="AP70">
        <f>$C70*AP69</f>
        <v/>
      </c>
      <c r="AQ70">
        <f>$C70*AQ69</f>
        <v/>
      </c>
      <c r="AR70">
        <f>$C70*AR69</f>
        <v/>
      </c>
      <c r="AS70">
        <f>$C70*AS69</f>
        <v/>
      </c>
      <c r="AT70">
        <f>$C70*AT69</f>
        <v/>
      </c>
      <c r="AU70">
        <f>$C70*AU69</f>
        <v/>
      </c>
      <c r="AV70">
        <f>$C70*AV69</f>
        <v/>
      </c>
      <c r="AW70">
        <f>$C70*AW69</f>
        <v/>
      </c>
      <c r="AX70">
        <f>$C70*AX69</f>
        <v/>
      </c>
      <c r="AY70">
        <f>$C70*AY69</f>
        <v/>
      </c>
      <c r="AZ70">
        <f>$C70*AZ69</f>
        <v/>
      </c>
      <c r="BA70">
        <f>$C70*BA69</f>
        <v/>
      </c>
      <c r="BB70">
        <f>$C70*BB69</f>
        <v/>
      </c>
      <c r="BC70">
        <f>$C70*BC69</f>
        <v/>
      </c>
      <c r="BD70">
        <f>$C70*BD69</f>
        <v/>
      </c>
      <c r="BE70">
        <f>$C70*BE69</f>
        <v/>
      </c>
      <c r="BF70">
        <f>$C70*BF69</f>
        <v/>
      </c>
      <c r="BG70">
        <f>$C70*BG69</f>
        <v/>
      </c>
      <c r="BH70">
        <f>$C70*BH69</f>
        <v/>
      </c>
      <c r="BI70">
        <f>$C70*BI69</f>
        <v/>
      </c>
      <c r="BJ70">
        <f>$C70*BJ69</f>
        <v/>
      </c>
      <c r="BK70">
        <f>$C70*BK69</f>
        <v/>
      </c>
      <c r="BL70">
        <f>$C70*BL69</f>
        <v/>
      </c>
      <c r="BM70">
        <f>$C70*BM69</f>
        <v/>
      </c>
      <c r="BN70">
        <f>$C70*BN69</f>
        <v/>
      </c>
      <c r="BO70">
        <f>$C70*BO69</f>
        <v/>
      </c>
      <c r="BP70">
        <f>$C70*BP69</f>
        <v/>
      </c>
      <c r="BQ70">
        <f>$C70*BQ69</f>
        <v/>
      </c>
      <c r="BR70">
        <f>$C70*BR69</f>
        <v/>
      </c>
      <c r="BS70">
        <f>$C70*BS69</f>
        <v/>
      </c>
      <c r="BT70">
        <f>$C70*BT69</f>
        <v/>
      </c>
      <c r="BU70">
        <f>$C70*BU69</f>
        <v/>
      </c>
      <c r="BV70">
        <f>$C70*BV69</f>
        <v/>
      </c>
      <c r="BW70">
        <f>$C70*BW69</f>
        <v/>
      </c>
      <c r="BX70">
        <f>$C70*BX69</f>
        <v/>
      </c>
      <c r="BY70">
        <f>$C70*BY69</f>
        <v/>
      </c>
      <c r="BZ70">
        <f>$C70*BZ69</f>
        <v/>
      </c>
      <c r="CA70">
        <f>$C70*CA69</f>
        <v/>
      </c>
      <c r="CB70">
        <f>$C70*CB69</f>
        <v/>
      </c>
      <c r="CC70">
        <f>$C70*CC69</f>
        <v/>
      </c>
      <c r="CD70">
        <f>$C70*CD69</f>
        <v/>
      </c>
      <c r="CE70">
        <f>$C70*CE69</f>
        <v/>
      </c>
      <c r="CF70">
        <f>$C70*CF69</f>
        <v/>
      </c>
      <c r="CG70">
        <f>$C70*CG69</f>
        <v/>
      </c>
      <c r="CH70">
        <f>$C70*CH69</f>
        <v/>
      </c>
      <c r="CI70">
        <f>$C70*CI69</f>
        <v/>
      </c>
      <c r="CJ70">
        <f>$C70*CJ69</f>
        <v/>
      </c>
      <c r="CK70">
        <f>$C70*CK69</f>
        <v/>
      </c>
      <c r="CL70">
        <f>$C70*CL69</f>
        <v/>
      </c>
      <c r="CM70">
        <f>$C70*CM69</f>
        <v/>
      </c>
      <c r="CN70">
        <f>$C70*CN69</f>
        <v/>
      </c>
      <c r="CO70">
        <f>$C70*CO69</f>
        <v/>
      </c>
      <c r="CP70">
        <f>$C70*CP69</f>
        <v/>
      </c>
      <c r="CQ70">
        <f>$C70*CQ69</f>
        <v/>
      </c>
      <c r="CR70">
        <f>$C70*CR69</f>
        <v/>
      </c>
      <c r="CS70">
        <f>$C70*CS69</f>
        <v/>
      </c>
      <c r="CT70">
        <f>$C70*CT69</f>
        <v/>
      </c>
      <c r="CU70">
        <f>$C70*CU69</f>
        <v/>
      </c>
      <c r="CV70">
        <f>$C70*CV69</f>
        <v/>
      </c>
      <c r="CW70">
        <f>$C70*CW69</f>
        <v/>
      </c>
      <c r="CX70">
        <f>$C70*CX69</f>
        <v/>
      </c>
      <c r="CY70">
        <f>$C70*CY69</f>
        <v/>
      </c>
      <c r="CZ70">
        <f>$C70*CZ69</f>
        <v/>
      </c>
      <c r="DA70">
        <f>$C70*DA69</f>
        <v/>
      </c>
      <c r="DB70">
        <f>$C70*DB69</f>
        <v/>
      </c>
      <c r="DC70">
        <f>$C70*DC69</f>
        <v/>
      </c>
    </row>
    <row r="71">
      <c r="B71" t="inlineStr">
        <is>
          <t>TSP-218</t>
        </is>
      </c>
      <c r="C71" t="inlineStr">
        <is>
          <t>No. of batches</t>
        </is>
      </c>
      <c r="D71">
        <f>IFERROR(INDEX(PP_Grid[#Data],$DD71,2),0)</f>
        <v/>
      </c>
      <c r="E71">
        <f>IFERROR(INDEX(PP_Grid[#Data],$DD71,3),0)</f>
        <v/>
      </c>
      <c r="F71">
        <f>IFERROR(INDEX(PP_Grid[#Data],$DD71,4),0)</f>
        <v/>
      </c>
      <c r="G71">
        <f>IFERROR(INDEX(PP_Grid[#Data],$DD71,5),0)</f>
        <v/>
      </c>
      <c r="H71">
        <f>IFERROR(INDEX(PP_Grid[#Data],$DD71,6),0)</f>
        <v/>
      </c>
      <c r="I71">
        <f>IFERROR(INDEX(PP_Grid[#Data],$DD71,7),0)</f>
        <v/>
      </c>
      <c r="J71">
        <f>IFERROR(INDEX(PP_Grid[#Data],$DD71,8),0)</f>
        <v/>
      </c>
      <c r="K71">
        <f>IFERROR(INDEX(PP_Grid[#Data],$DD71,9),0)</f>
        <v/>
      </c>
      <c r="L71">
        <f>IFERROR(INDEX(PP_Grid[#Data],$DD71,10),0)</f>
        <v/>
      </c>
      <c r="M71">
        <f>IFERROR(INDEX(PP_Grid[#Data],$DD71,11),0)</f>
        <v/>
      </c>
      <c r="N71">
        <f>IFERROR(INDEX(PP_Grid[#Data],$DD71,12),0)</f>
        <v/>
      </c>
      <c r="O71">
        <f>IFERROR(INDEX(PP_Grid[#Data],$DD71,13),0)</f>
        <v/>
      </c>
      <c r="P71">
        <f>IFERROR(INDEX(PP_Grid[#Data],$DD71,14),0)</f>
        <v/>
      </c>
      <c r="Q71">
        <f>IFERROR(INDEX(PP_Grid[#Data],$DD71,15),0)</f>
        <v/>
      </c>
      <c r="R71">
        <f>IFERROR(INDEX(PP_Grid[#Data],$DD71,16),0)</f>
        <v/>
      </c>
      <c r="S71">
        <f>IFERROR(INDEX(PP_Grid[#Data],$DD71,17),0)</f>
        <v/>
      </c>
      <c r="T71">
        <f>IFERROR(INDEX(PP_Grid[#Data],$DD71,18),0)</f>
        <v/>
      </c>
      <c r="U71">
        <f>IFERROR(INDEX(PP_Grid[#Data],$DD71,19),0)</f>
        <v/>
      </c>
      <c r="V71">
        <f>IFERROR(INDEX(PP_Grid[#Data],$DD71,20),0)</f>
        <v/>
      </c>
      <c r="W71">
        <f>IFERROR(INDEX(PP_Grid[#Data],$DD71,21),0)</f>
        <v/>
      </c>
      <c r="X71">
        <f>IFERROR(INDEX(PP_Grid[#Data],$DD71,22),0)</f>
        <v/>
      </c>
      <c r="Y71">
        <f>IFERROR(INDEX(PP_Grid[#Data],$DD71,23),0)</f>
        <v/>
      </c>
      <c r="Z71">
        <f>IFERROR(INDEX(PP_Grid[#Data],$DD71,24),0)</f>
        <v/>
      </c>
      <c r="AA71">
        <f>IFERROR(INDEX(PP_Grid[#Data],$DD71,25),0)</f>
        <v/>
      </c>
      <c r="AB71">
        <f>IFERROR(INDEX(PP_Grid[#Data],$DD71,26),0)</f>
        <v/>
      </c>
      <c r="AC71">
        <f>IFERROR(INDEX(PP_Grid[#Data],$DD71,27),0)</f>
        <v/>
      </c>
      <c r="AD71">
        <f>IFERROR(INDEX(PP_Grid[#Data],$DD71,28),0)</f>
        <v/>
      </c>
      <c r="AE71">
        <f>IFERROR(INDEX(PP_Grid[#Data],$DD71,29),0)</f>
        <v/>
      </c>
      <c r="AF71">
        <f>IFERROR(INDEX(PP_Grid[#Data],$DD71,30),0)</f>
        <v/>
      </c>
      <c r="AG71">
        <f>IFERROR(INDEX(PP_Grid[#Data],$DD71,31),0)</f>
        <v/>
      </c>
      <c r="AH71">
        <f>IFERROR(INDEX(PP_Grid[#Data],$DD71,32),0)</f>
        <v/>
      </c>
      <c r="AI71">
        <f>IFERROR(INDEX(PP_Grid[#Data],$DD71,33),0)</f>
        <v/>
      </c>
      <c r="AJ71">
        <f>IFERROR(INDEX(PP_Grid[#Data],$DD71,34),0)</f>
        <v/>
      </c>
      <c r="AK71">
        <f>IFERROR(INDEX(PP_Grid[#Data],$DD71,35),0)</f>
        <v/>
      </c>
      <c r="AL71">
        <f>IFERROR(INDEX(PP_Grid[#Data],$DD71,36),0)</f>
        <v/>
      </c>
      <c r="AM71">
        <f>IFERROR(INDEX(PP_Grid[#Data],$DD71,37),0)</f>
        <v/>
      </c>
      <c r="AN71">
        <f>IFERROR(INDEX(PP_Grid[#Data],$DD71,38),0)</f>
        <v/>
      </c>
      <c r="AO71">
        <f>IFERROR(INDEX(PP_Grid[#Data],$DD71,39),0)</f>
        <v/>
      </c>
      <c r="AP71">
        <f>IFERROR(INDEX(PP_Grid[#Data],$DD71,40),0)</f>
        <v/>
      </c>
      <c r="AQ71">
        <f>IFERROR(INDEX(PP_Grid[#Data],$DD71,41),0)</f>
        <v/>
      </c>
      <c r="AR71">
        <f>IFERROR(INDEX(PP_Grid[#Data],$DD71,42),0)</f>
        <v/>
      </c>
      <c r="AS71">
        <f>IFERROR(INDEX(PP_Grid[#Data],$DD71,43),0)</f>
        <v/>
      </c>
      <c r="AT71">
        <f>IFERROR(INDEX(PP_Grid[#Data],$DD71,44),0)</f>
        <v/>
      </c>
      <c r="AU71">
        <f>IFERROR(INDEX(PP_Grid[#Data],$DD71,45),0)</f>
        <v/>
      </c>
      <c r="AV71">
        <f>IFERROR(INDEX(PP_Grid[#Data],$DD71,46),0)</f>
        <v/>
      </c>
      <c r="AW71">
        <f>IFERROR(INDEX(PP_Grid[#Data],$DD71,47),0)</f>
        <v/>
      </c>
      <c r="AX71">
        <f>IFERROR(INDEX(PP_Grid[#Data],$DD71,48),0)</f>
        <v/>
      </c>
      <c r="AY71">
        <f>IFERROR(INDEX(PP_Grid[#Data],$DD71,49),0)</f>
        <v/>
      </c>
      <c r="AZ71">
        <f>IFERROR(INDEX(PP_Grid[#Data],$DD71,50),0)</f>
        <v/>
      </c>
      <c r="BA71">
        <f>IFERROR(INDEX(PP_Grid[#Data],$DD71,51),0)</f>
        <v/>
      </c>
      <c r="BB71">
        <f>IFERROR(INDEX(PP_Grid[#Data],$DD71,52),0)</f>
        <v/>
      </c>
      <c r="BC71">
        <f>IFERROR(INDEX(PP_Grid[#Data],$DD71,53),0)</f>
        <v/>
      </c>
      <c r="BD71">
        <f>IFERROR(INDEX(PP_Grid[#Data],$DD71,54),0)</f>
        <v/>
      </c>
      <c r="BE71">
        <f>IFERROR(INDEX(PP_Grid[#Data],$DD71,55),0)</f>
        <v/>
      </c>
      <c r="BF71">
        <f>IFERROR(INDEX(PP_Grid[#Data],$DD71,56),0)</f>
        <v/>
      </c>
      <c r="BG71">
        <f>IFERROR(INDEX(PP_Grid[#Data],$DD71,57),0)</f>
        <v/>
      </c>
      <c r="BH71">
        <f>IFERROR(INDEX(PP_Grid[#Data],$DD71,58),0)</f>
        <v/>
      </c>
      <c r="BI71">
        <f>IFERROR(INDEX(PP_Grid[#Data],$DD71,59),0)</f>
        <v/>
      </c>
      <c r="BJ71">
        <f>IFERROR(INDEX(PP_Grid[#Data],$DD71,60),0)</f>
        <v/>
      </c>
      <c r="BK71">
        <f>IFERROR(INDEX(PP_Grid[#Data],$DD71,61),0)</f>
        <v/>
      </c>
      <c r="BL71">
        <f>IFERROR(INDEX(PP_Grid[#Data],$DD71,62),0)</f>
        <v/>
      </c>
      <c r="BM71">
        <f>IFERROR(INDEX(PP_Grid[#Data],$DD71,63),0)</f>
        <v/>
      </c>
      <c r="BN71">
        <f>IFERROR(INDEX(PP_Grid[#Data],$DD71,64),0)</f>
        <v/>
      </c>
      <c r="BO71">
        <f>IFERROR(INDEX(PP_Grid[#Data],$DD71,65),0)</f>
        <v/>
      </c>
      <c r="BP71">
        <f>IFERROR(INDEX(PP_Grid[#Data],$DD71,66),0)</f>
        <v/>
      </c>
      <c r="BQ71">
        <f>IFERROR(INDEX(PP_Grid[#Data],$DD71,67),0)</f>
        <v/>
      </c>
      <c r="BR71">
        <f>IFERROR(INDEX(PP_Grid[#Data],$DD71,68),0)</f>
        <v/>
      </c>
      <c r="BS71">
        <f>IFERROR(INDEX(PP_Grid[#Data],$DD71,69),0)</f>
        <v/>
      </c>
      <c r="BT71">
        <f>IFERROR(INDEX(PP_Grid[#Data],$DD71,70),0)</f>
        <v/>
      </c>
      <c r="BU71">
        <f>IFERROR(INDEX(PP_Grid[#Data],$DD71,71),0)</f>
        <v/>
      </c>
      <c r="BV71">
        <f>IFERROR(INDEX(PP_Grid[#Data],$DD71,72),0)</f>
        <v/>
      </c>
      <c r="BW71">
        <f>IFERROR(INDEX(PP_Grid[#Data],$DD71,73),0)</f>
        <v/>
      </c>
      <c r="BX71">
        <f>IFERROR(INDEX(PP_Grid[#Data],$DD71,74),0)</f>
        <v/>
      </c>
      <c r="BY71">
        <f>IFERROR(INDEX(PP_Grid[#Data],$DD71,75),0)</f>
        <v/>
      </c>
      <c r="BZ71">
        <f>IFERROR(INDEX(PP_Grid[#Data],$DD71,76),0)</f>
        <v/>
      </c>
      <c r="CA71">
        <f>IFERROR(INDEX(PP_Grid[#Data],$DD71,77),0)</f>
        <v/>
      </c>
      <c r="CB71">
        <f>IFERROR(INDEX(PP_Grid[#Data],$DD71,78),0)</f>
        <v/>
      </c>
      <c r="CC71">
        <f>IFERROR(INDEX(PP_Grid[#Data],$DD71,79),0)</f>
        <v/>
      </c>
      <c r="CD71">
        <f>IFERROR(INDEX(PP_Grid[#Data],$DD71,80),0)</f>
        <v/>
      </c>
      <c r="CE71">
        <f>IFERROR(INDEX(PP_Grid[#Data],$DD71,81),0)</f>
        <v/>
      </c>
      <c r="CF71">
        <f>IFERROR(INDEX(PP_Grid[#Data],$DD71,82),0)</f>
        <v/>
      </c>
      <c r="CG71">
        <f>IFERROR(INDEX(PP_Grid[#Data],$DD71,83),0)</f>
        <v/>
      </c>
      <c r="CH71">
        <f>IFERROR(INDEX(PP_Grid[#Data],$DD71,84),0)</f>
        <v/>
      </c>
      <c r="CI71">
        <f>IFERROR(INDEX(PP_Grid[#Data],$DD71,85),0)</f>
        <v/>
      </c>
      <c r="CJ71">
        <f>IFERROR(INDEX(PP_Grid[#Data],$DD71,86),0)</f>
        <v/>
      </c>
      <c r="CK71">
        <f>IFERROR(INDEX(PP_Grid[#Data],$DD71,87),0)</f>
        <v/>
      </c>
      <c r="CL71">
        <f>IFERROR(INDEX(PP_Grid[#Data],$DD71,88),0)</f>
        <v/>
      </c>
      <c r="CM71">
        <f>IFERROR(INDEX(PP_Grid[#Data],$DD71,89),0)</f>
        <v/>
      </c>
      <c r="CN71">
        <f>IFERROR(INDEX(PP_Grid[#Data],$DD71,90),0)</f>
        <v/>
      </c>
      <c r="CO71">
        <f>IFERROR(INDEX(PP_Grid[#Data],$DD71,91),0)</f>
        <v/>
      </c>
      <c r="CP71">
        <f>IFERROR(INDEX(PP_Grid[#Data],$DD71,92),0)</f>
        <v/>
      </c>
      <c r="CQ71">
        <f>IFERROR(INDEX(PP_Grid[#Data],$DD71,93),0)</f>
        <v/>
      </c>
      <c r="CR71">
        <f>IFERROR(INDEX(PP_Grid[#Data],$DD71,94),0)</f>
        <v/>
      </c>
      <c r="CS71">
        <f>IFERROR(INDEX(PP_Grid[#Data],$DD71,95),0)</f>
        <v/>
      </c>
      <c r="CT71">
        <f>IFERROR(INDEX(PP_Grid[#Data],$DD71,96),0)</f>
        <v/>
      </c>
      <c r="CU71">
        <f>IFERROR(INDEX(PP_Grid[#Data],$DD71,97),0)</f>
        <v/>
      </c>
      <c r="CV71">
        <f>IFERROR(INDEX(PP_Grid[#Data],$DD71,98),0)</f>
        <v/>
      </c>
      <c r="CW71">
        <f>IFERROR(INDEX(PP_Grid[#Data],$DD71,99),0)</f>
        <v/>
      </c>
      <c r="CX71">
        <f>IFERROR(INDEX(PP_Grid[#Data],$DD71,100),0)</f>
        <v/>
      </c>
      <c r="CY71">
        <f>IFERROR(INDEX(PP_Grid[#Data],$DD71,101),0)</f>
        <v/>
      </c>
      <c r="CZ71">
        <f>IFERROR(INDEX(PP_Grid[#Data],$DD71,102),0)</f>
        <v/>
      </c>
      <c r="DA71">
        <f>IFERROR(INDEX(PP_Grid[#Data],$DD71,103),0)</f>
        <v/>
      </c>
      <c r="DB71">
        <f>IFERROR(INDEX(PP_Grid[#Data],$DD71,104),0)</f>
        <v/>
      </c>
      <c r="DC71">
        <f>IFERROR(INDEX(PP_Grid[#Data],$DD71,105),0)</f>
        <v/>
      </c>
      <c r="DD71" s="7">
        <f>IFERROR(MATCH($B71,PP_Grid[Intermediate],0),99999)</f>
        <v/>
      </c>
    </row>
    <row r="72">
      <c r="B72" t="inlineStr">
        <is>
          <t>使用量(kg)</t>
        </is>
      </c>
      <c r="C72">
        <f>SUMIFS(M_BOM[RM_Qty_Per_Batch],M_BOM[Intermediate],$B71,M_BOM[Part Name],$A44)</f>
        <v/>
      </c>
      <c r="D72">
        <f>$C72*D71</f>
        <v/>
      </c>
      <c r="E72">
        <f>$C72*E71</f>
        <v/>
      </c>
      <c r="F72">
        <f>$C72*F71</f>
        <v/>
      </c>
      <c r="G72">
        <f>$C72*G71</f>
        <v/>
      </c>
      <c r="H72">
        <f>$C72*H71</f>
        <v/>
      </c>
      <c r="I72">
        <f>$C72*I71</f>
        <v/>
      </c>
      <c r="J72">
        <f>$C72*J71</f>
        <v/>
      </c>
      <c r="K72">
        <f>$C72*K71</f>
        <v/>
      </c>
      <c r="L72">
        <f>$C72*L71</f>
        <v/>
      </c>
      <c r="M72">
        <f>$C72*M71</f>
        <v/>
      </c>
      <c r="N72">
        <f>$C72*N71</f>
        <v/>
      </c>
      <c r="O72">
        <f>$C72*O71</f>
        <v/>
      </c>
      <c r="P72">
        <f>$C72*P71</f>
        <v/>
      </c>
      <c r="Q72">
        <f>$C72*Q71</f>
        <v/>
      </c>
      <c r="R72">
        <f>$C72*R71</f>
        <v/>
      </c>
      <c r="S72">
        <f>$C72*S71</f>
        <v/>
      </c>
      <c r="T72">
        <f>$C72*T71</f>
        <v/>
      </c>
      <c r="U72">
        <f>$C72*U71</f>
        <v/>
      </c>
      <c r="V72">
        <f>$C72*V71</f>
        <v/>
      </c>
      <c r="W72">
        <f>$C72*W71</f>
        <v/>
      </c>
      <c r="X72">
        <f>$C72*X71</f>
        <v/>
      </c>
      <c r="Y72">
        <f>$C72*Y71</f>
        <v/>
      </c>
      <c r="Z72">
        <f>$C72*Z71</f>
        <v/>
      </c>
      <c r="AA72">
        <f>$C72*AA71</f>
        <v/>
      </c>
      <c r="AB72">
        <f>$C72*AB71</f>
        <v/>
      </c>
      <c r="AC72">
        <f>$C72*AC71</f>
        <v/>
      </c>
      <c r="AD72">
        <f>$C72*AD71</f>
        <v/>
      </c>
      <c r="AE72">
        <f>$C72*AE71</f>
        <v/>
      </c>
      <c r="AF72">
        <f>$C72*AF71</f>
        <v/>
      </c>
      <c r="AG72">
        <f>$C72*AG71</f>
        <v/>
      </c>
      <c r="AH72">
        <f>$C72*AH71</f>
        <v/>
      </c>
      <c r="AI72">
        <f>$C72*AI71</f>
        <v/>
      </c>
      <c r="AJ72">
        <f>$C72*AJ71</f>
        <v/>
      </c>
      <c r="AK72">
        <f>$C72*AK71</f>
        <v/>
      </c>
      <c r="AL72">
        <f>$C72*AL71</f>
        <v/>
      </c>
      <c r="AM72">
        <f>$C72*AM71</f>
        <v/>
      </c>
      <c r="AN72">
        <f>$C72*AN71</f>
        <v/>
      </c>
      <c r="AO72">
        <f>$C72*AO71</f>
        <v/>
      </c>
      <c r="AP72">
        <f>$C72*AP71</f>
        <v/>
      </c>
      <c r="AQ72">
        <f>$C72*AQ71</f>
        <v/>
      </c>
      <c r="AR72">
        <f>$C72*AR71</f>
        <v/>
      </c>
      <c r="AS72">
        <f>$C72*AS71</f>
        <v/>
      </c>
      <c r="AT72">
        <f>$C72*AT71</f>
        <v/>
      </c>
      <c r="AU72">
        <f>$C72*AU71</f>
        <v/>
      </c>
      <c r="AV72">
        <f>$C72*AV71</f>
        <v/>
      </c>
      <c r="AW72">
        <f>$C72*AW71</f>
        <v/>
      </c>
      <c r="AX72">
        <f>$C72*AX71</f>
        <v/>
      </c>
      <c r="AY72">
        <f>$C72*AY71</f>
        <v/>
      </c>
      <c r="AZ72">
        <f>$C72*AZ71</f>
        <v/>
      </c>
      <c r="BA72">
        <f>$C72*BA71</f>
        <v/>
      </c>
      <c r="BB72">
        <f>$C72*BB71</f>
        <v/>
      </c>
      <c r="BC72">
        <f>$C72*BC71</f>
        <v/>
      </c>
      <c r="BD72">
        <f>$C72*BD71</f>
        <v/>
      </c>
      <c r="BE72">
        <f>$C72*BE71</f>
        <v/>
      </c>
      <c r="BF72">
        <f>$C72*BF71</f>
        <v/>
      </c>
      <c r="BG72">
        <f>$C72*BG71</f>
        <v/>
      </c>
      <c r="BH72">
        <f>$C72*BH71</f>
        <v/>
      </c>
      <c r="BI72">
        <f>$C72*BI71</f>
        <v/>
      </c>
      <c r="BJ72">
        <f>$C72*BJ71</f>
        <v/>
      </c>
      <c r="BK72">
        <f>$C72*BK71</f>
        <v/>
      </c>
      <c r="BL72">
        <f>$C72*BL71</f>
        <v/>
      </c>
      <c r="BM72">
        <f>$C72*BM71</f>
        <v/>
      </c>
      <c r="BN72">
        <f>$C72*BN71</f>
        <v/>
      </c>
      <c r="BO72">
        <f>$C72*BO71</f>
        <v/>
      </c>
      <c r="BP72">
        <f>$C72*BP71</f>
        <v/>
      </c>
      <c r="BQ72">
        <f>$C72*BQ71</f>
        <v/>
      </c>
      <c r="BR72">
        <f>$C72*BR71</f>
        <v/>
      </c>
      <c r="BS72">
        <f>$C72*BS71</f>
        <v/>
      </c>
      <c r="BT72">
        <f>$C72*BT71</f>
        <v/>
      </c>
      <c r="BU72">
        <f>$C72*BU71</f>
        <v/>
      </c>
      <c r="BV72">
        <f>$C72*BV71</f>
        <v/>
      </c>
      <c r="BW72">
        <f>$C72*BW71</f>
        <v/>
      </c>
      <c r="BX72">
        <f>$C72*BX71</f>
        <v/>
      </c>
      <c r="BY72">
        <f>$C72*BY71</f>
        <v/>
      </c>
      <c r="BZ72">
        <f>$C72*BZ71</f>
        <v/>
      </c>
      <c r="CA72">
        <f>$C72*CA71</f>
        <v/>
      </c>
      <c r="CB72">
        <f>$C72*CB71</f>
        <v/>
      </c>
      <c r="CC72">
        <f>$C72*CC71</f>
        <v/>
      </c>
      <c r="CD72">
        <f>$C72*CD71</f>
        <v/>
      </c>
      <c r="CE72">
        <f>$C72*CE71</f>
        <v/>
      </c>
      <c r="CF72">
        <f>$C72*CF71</f>
        <v/>
      </c>
      <c r="CG72">
        <f>$C72*CG71</f>
        <v/>
      </c>
      <c r="CH72">
        <f>$C72*CH71</f>
        <v/>
      </c>
      <c r="CI72">
        <f>$C72*CI71</f>
        <v/>
      </c>
      <c r="CJ72">
        <f>$C72*CJ71</f>
        <v/>
      </c>
      <c r="CK72">
        <f>$C72*CK71</f>
        <v/>
      </c>
      <c r="CL72">
        <f>$C72*CL71</f>
        <v/>
      </c>
      <c r="CM72">
        <f>$C72*CM71</f>
        <v/>
      </c>
      <c r="CN72">
        <f>$C72*CN71</f>
        <v/>
      </c>
      <c r="CO72">
        <f>$C72*CO71</f>
        <v/>
      </c>
      <c r="CP72">
        <f>$C72*CP71</f>
        <v/>
      </c>
      <c r="CQ72">
        <f>$C72*CQ71</f>
        <v/>
      </c>
      <c r="CR72">
        <f>$C72*CR71</f>
        <v/>
      </c>
      <c r="CS72">
        <f>$C72*CS71</f>
        <v/>
      </c>
      <c r="CT72">
        <f>$C72*CT71</f>
        <v/>
      </c>
      <c r="CU72">
        <f>$C72*CU71</f>
        <v/>
      </c>
      <c r="CV72">
        <f>$C72*CV71</f>
        <v/>
      </c>
      <c r="CW72">
        <f>$C72*CW71</f>
        <v/>
      </c>
      <c r="CX72">
        <f>$C72*CX71</f>
        <v/>
      </c>
      <c r="CY72">
        <f>$C72*CY71</f>
        <v/>
      </c>
      <c r="CZ72">
        <f>$C72*CZ71</f>
        <v/>
      </c>
      <c r="DA72">
        <f>$C72*DA71</f>
        <v/>
      </c>
      <c r="DB72">
        <f>$C72*DB71</f>
        <v/>
      </c>
      <c r="DC72">
        <f>$C72*DC71</f>
        <v/>
      </c>
    </row>
    <row r="73">
      <c r="B73" t="inlineStr">
        <is>
          <t>TSP-219</t>
        </is>
      </c>
      <c r="C73" t="inlineStr">
        <is>
          <t>No. of batches</t>
        </is>
      </c>
      <c r="D73">
        <f>IFERROR(INDEX(PP_Grid[#Data],$DD73,2),0)</f>
        <v/>
      </c>
      <c r="E73">
        <f>IFERROR(INDEX(PP_Grid[#Data],$DD73,3),0)</f>
        <v/>
      </c>
      <c r="F73">
        <f>IFERROR(INDEX(PP_Grid[#Data],$DD73,4),0)</f>
        <v/>
      </c>
      <c r="G73">
        <f>IFERROR(INDEX(PP_Grid[#Data],$DD73,5),0)</f>
        <v/>
      </c>
      <c r="H73">
        <f>IFERROR(INDEX(PP_Grid[#Data],$DD73,6),0)</f>
        <v/>
      </c>
      <c r="I73">
        <f>IFERROR(INDEX(PP_Grid[#Data],$DD73,7),0)</f>
        <v/>
      </c>
      <c r="J73">
        <f>IFERROR(INDEX(PP_Grid[#Data],$DD73,8),0)</f>
        <v/>
      </c>
      <c r="K73">
        <f>IFERROR(INDEX(PP_Grid[#Data],$DD73,9),0)</f>
        <v/>
      </c>
      <c r="L73">
        <f>IFERROR(INDEX(PP_Grid[#Data],$DD73,10),0)</f>
        <v/>
      </c>
      <c r="M73">
        <f>IFERROR(INDEX(PP_Grid[#Data],$DD73,11),0)</f>
        <v/>
      </c>
      <c r="N73">
        <f>IFERROR(INDEX(PP_Grid[#Data],$DD73,12),0)</f>
        <v/>
      </c>
      <c r="O73">
        <f>IFERROR(INDEX(PP_Grid[#Data],$DD73,13),0)</f>
        <v/>
      </c>
      <c r="P73">
        <f>IFERROR(INDEX(PP_Grid[#Data],$DD73,14),0)</f>
        <v/>
      </c>
      <c r="Q73">
        <f>IFERROR(INDEX(PP_Grid[#Data],$DD73,15),0)</f>
        <v/>
      </c>
      <c r="R73">
        <f>IFERROR(INDEX(PP_Grid[#Data],$DD73,16),0)</f>
        <v/>
      </c>
      <c r="S73">
        <f>IFERROR(INDEX(PP_Grid[#Data],$DD73,17),0)</f>
        <v/>
      </c>
      <c r="T73">
        <f>IFERROR(INDEX(PP_Grid[#Data],$DD73,18),0)</f>
        <v/>
      </c>
      <c r="U73">
        <f>IFERROR(INDEX(PP_Grid[#Data],$DD73,19),0)</f>
        <v/>
      </c>
      <c r="V73">
        <f>IFERROR(INDEX(PP_Grid[#Data],$DD73,20),0)</f>
        <v/>
      </c>
      <c r="W73">
        <f>IFERROR(INDEX(PP_Grid[#Data],$DD73,21),0)</f>
        <v/>
      </c>
      <c r="X73">
        <f>IFERROR(INDEX(PP_Grid[#Data],$DD73,22),0)</f>
        <v/>
      </c>
      <c r="Y73">
        <f>IFERROR(INDEX(PP_Grid[#Data],$DD73,23),0)</f>
        <v/>
      </c>
      <c r="Z73">
        <f>IFERROR(INDEX(PP_Grid[#Data],$DD73,24),0)</f>
        <v/>
      </c>
      <c r="AA73">
        <f>IFERROR(INDEX(PP_Grid[#Data],$DD73,25),0)</f>
        <v/>
      </c>
      <c r="AB73">
        <f>IFERROR(INDEX(PP_Grid[#Data],$DD73,26),0)</f>
        <v/>
      </c>
      <c r="AC73">
        <f>IFERROR(INDEX(PP_Grid[#Data],$DD73,27),0)</f>
        <v/>
      </c>
      <c r="AD73">
        <f>IFERROR(INDEX(PP_Grid[#Data],$DD73,28),0)</f>
        <v/>
      </c>
      <c r="AE73">
        <f>IFERROR(INDEX(PP_Grid[#Data],$DD73,29),0)</f>
        <v/>
      </c>
      <c r="AF73">
        <f>IFERROR(INDEX(PP_Grid[#Data],$DD73,30),0)</f>
        <v/>
      </c>
      <c r="AG73">
        <f>IFERROR(INDEX(PP_Grid[#Data],$DD73,31),0)</f>
        <v/>
      </c>
      <c r="AH73">
        <f>IFERROR(INDEX(PP_Grid[#Data],$DD73,32),0)</f>
        <v/>
      </c>
      <c r="AI73">
        <f>IFERROR(INDEX(PP_Grid[#Data],$DD73,33),0)</f>
        <v/>
      </c>
      <c r="AJ73">
        <f>IFERROR(INDEX(PP_Grid[#Data],$DD73,34),0)</f>
        <v/>
      </c>
      <c r="AK73">
        <f>IFERROR(INDEX(PP_Grid[#Data],$DD73,35),0)</f>
        <v/>
      </c>
      <c r="AL73">
        <f>IFERROR(INDEX(PP_Grid[#Data],$DD73,36),0)</f>
        <v/>
      </c>
      <c r="AM73">
        <f>IFERROR(INDEX(PP_Grid[#Data],$DD73,37),0)</f>
        <v/>
      </c>
      <c r="AN73">
        <f>IFERROR(INDEX(PP_Grid[#Data],$DD73,38),0)</f>
        <v/>
      </c>
      <c r="AO73">
        <f>IFERROR(INDEX(PP_Grid[#Data],$DD73,39),0)</f>
        <v/>
      </c>
      <c r="AP73">
        <f>IFERROR(INDEX(PP_Grid[#Data],$DD73,40),0)</f>
        <v/>
      </c>
      <c r="AQ73">
        <f>IFERROR(INDEX(PP_Grid[#Data],$DD73,41),0)</f>
        <v/>
      </c>
      <c r="AR73">
        <f>IFERROR(INDEX(PP_Grid[#Data],$DD73,42),0)</f>
        <v/>
      </c>
      <c r="AS73">
        <f>IFERROR(INDEX(PP_Grid[#Data],$DD73,43),0)</f>
        <v/>
      </c>
      <c r="AT73">
        <f>IFERROR(INDEX(PP_Grid[#Data],$DD73,44),0)</f>
        <v/>
      </c>
      <c r="AU73">
        <f>IFERROR(INDEX(PP_Grid[#Data],$DD73,45),0)</f>
        <v/>
      </c>
      <c r="AV73">
        <f>IFERROR(INDEX(PP_Grid[#Data],$DD73,46),0)</f>
        <v/>
      </c>
      <c r="AW73">
        <f>IFERROR(INDEX(PP_Grid[#Data],$DD73,47),0)</f>
        <v/>
      </c>
      <c r="AX73">
        <f>IFERROR(INDEX(PP_Grid[#Data],$DD73,48),0)</f>
        <v/>
      </c>
      <c r="AY73">
        <f>IFERROR(INDEX(PP_Grid[#Data],$DD73,49),0)</f>
        <v/>
      </c>
      <c r="AZ73">
        <f>IFERROR(INDEX(PP_Grid[#Data],$DD73,50),0)</f>
        <v/>
      </c>
      <c r="BA73">
        <f>IFERROR(INDEX(PP_Grid[#Data],$DD73,51),0)</f>
        <v/>
      </c>
      <c r="BB73">
        <f>IFERROR(INDEX(PP_Grid[#Data],$DD73,52),0)</f>
        <v/>
      </c>
      <c r="BC73">
        <f>IFERROR(INDEX(PP_Grid[#Data],$DD73,53),0)</f>
        <v/>
      </c>
      <c r="BD73">
        <f>IFERROR(INDEX(PP_Grid[#Data],$DD73,54),0)</f>
        <v/>
      </c>
      <c r="BE73">
        <f>IFERROR(INDEX(PP_Grid[#Data],$DD73,55),0)</f>
        <v/>
      </c>
      <c r="BF73">
        <f>IFERROR(INDEX(PP_Grid[#Data],$DD73,56),0)</f>
        <v/>
      </c>
      <c r="BG73">
        <f>IFERROR(INDEX(PP_Grid[#Data],$DD73,57),0)</f>
        <v/>
      </c>
      <c r="BH73">
        <f>IFERROR(INDEX(PP_Grid[#Data],$DD73,58),0)</f>
        <v/>
      </c>
      <c r="BI73">
        <f>IFERROR(INDEX(PP_Grid[#Data],$DD73,59),0)</f>
        <v/>
      </c>
      <c r="BJ73">
        <f>IFERROR(INDEX(PP_Grid[#Data],$DD73,60),0)</f>
        <v/>
      </c>
      <c r="BK73">
        <f>IFERROR(INDEX(PP_Grid[#Data],$DD73,61),0)</f>
        <v/>
      </c>
      <c r="BL73">
        <f>IFERROR(INDEX(PP_Grid[#Data],$DD73,62),0)</f>
        <v/>
      </c>
      <c r="BM73">
        <f>IFERROR(INDEX(PP_Grid[#Data],$DD73,63),0)</f>
        <v/>
      </c>
      <c r="BN73">
        <f>IFERROR(INDEX(PP_Grid[#Data],$DD73,64),0)</f>
        <v/>
      </c>
      <c r="BO73">
        <f>IFERROR(INDEX(PP_Grid[#Data],$DD73,65),0)</f>
        <v/>
      </c>
      <c r="BP73">
        <f>IFERROR(INDEX(PP_Grid[#Data],$DD73,66),0)</f>
        <v/>
      </c>
      <c r="BQ73">
        <f>IFERROR(INDEX(PP_Grid[#Data],$DD73,67),0)</f>
        <v/>
      </c>
      <c r="BR73">
        <f>IFERROR(INDEX(PP_Grid[#Data],$DD73,68),0)</f>
        <v/>
      </c>
      <c r="BS73">
        <f>IFERROR(INDEX(PP_Grid[#Data],$DD73,69),0)</f>
        <v/>
      </c>
      <c r="BT73">
        <f>IFERROR(INDEX(PP_Grid[#Data],$DD73,70),0)</f>
        <v/>
      </c>
      <c r="BU73">
        <f>IFERROR(INDEX(PP_Grid[#Data],$DD73,71),0)</f>
        <v/>
      </c>
      <c r="BV73">
        <f>IFERROR(INDEX(PP_Grid[#Data],$DD73,72),0)</f>
        <v/>
      </c>
      <c r="BW73">
        <f>IFERROR(INDEX(PP_Grid[#Data],$DD73,73),0)</f>
        <v/>
      </c>
      <c r="BX73">
        <f>IFERROR(INDEX(PP_Grid[#Data],$DD73,74),0)</f>
        <v/>
      </c>
      <c r="BY73">
        <f>IFERROR(INDEX(PP_Grid[#Data],$DD73,75),0)</f>
        <v/>
      </c>
      <c r="BZ73">
        <f>IFERROR(INDEX(PP_Grid[#Data],$DD73,76),0)</f>
        <v/>
      </c>
      <c r="CA73">
        <f>IFERROR(INDEX(PP_Grid[#Data],$DD73,77),0)</f>
        <v/>
      </c>
      <c r="CB73">
        <f>IFERROR(INDEX(PP_Grid[#Data],$DD73,78),0)</f>
        <v/>
      </c>
      <c r="CC73">
        <f>IFERROR(INDEX(PP_Grid[#Data],$DD73,79),0)</f>
        <v/>
      </c>
      <c r="CD73">
        <f>IFERROR(INDEX(PP_Grid[#Data],$DD73,80),0)</f>
        <v/>
      </c>
      <c r="CE73">
        <f>IFERROR(INDEX(PP_Grid[#Data],$DD73,81),0)</f>
        <v/>
      </c>
      <c r="CF73">
        <f>IFERROR(INDEX(PP_Grid[#Data],$DD73,82),0)</f>
        <v/>
      </c>
      <c r="CG73">
        <f>IFERROR(INDEX(PP_Grid[#Data],$DD73,83),0)</f>
        <v/>
      </c>
      <c r="CH73">
        <f>IFERROR(INDEX(PP_Grid[#Data],$DD73,84),0)</f>
        <v/>
      </c>
      <c r="CI73">
        <f>IFERROR(INDEX(PP_Grid[#Data],$DD73,85),0)</f>
        <v/>
      </c>
      <c r="CJ73">
        <f>IFERROR(INDEX(PP_Grid[#Data],$DD73,86),0)</f>
        <v/>
      </c>
      <c r="CK73">
        <f>IFERROR(INDEX(PP_Grid[#Data],$DD73,87),0)</f>
        <v/>
      </c>
      <c r="CL73">
        <f>IFERROR(INDEX(PP_Grid[#Data],$DD73,88),0)</f>
        <v/>
      </c>
      <c r="CM73">
        <f>IFERROR(INDEX(PP_Grid[#Data],$DD73,89),0)</f>
        <v/>
      </c>
      <c r="CN73">
        <f>IFERROR(INDEX(PP_Grid[#Data],$DD73,90),0)</f>
        <v/>
      </c>
      <c r="CO73">
        <f>IFERROR(INDEX(PP_Grid[#Data],$DD73,91),0)</f>
        <v/>
      </c>
      <c r="CP73">
        <f>IFERROR(INDEX(PP_Grid[#Data],$DD73,92),0)</f>
        <v/>
      </c>
      <c r="CQ73">
        <f>IFERROR(INDEX(PP_Grid[#Data],$DD73,93),0)</f>
        <v/>
      </c>
      <c r="CR73">
        <f>IFERROR(INDEX(PP_Grid[#Data],$DD73,94),0)</f>
        <v/>
      </c>
      <c r="CS73">
        <f>IFERROR(INDEX(PP_Grid[#Data],$DD73,95),0)</f>
        <v/>
      </c>
      <c r="CT73">
        <f>IFERROR(INDEX(PP_Grid[#Data],$DD73,96),0)</f>
        <v/>
      </c>
      <c r="CU73">
        <f>IFERROR(INDEX(PP_Grid[#Data],$DD73,97),0)</f>
        <v/>
      </c>
      <c r="CV73">
        <f>IFERROR(INDEX(PP_Grid[#Data],$DD73,98),0)</f>
        <v/>
      </c>
      <c r="CW73">
        <f>IFERROR(INDEX(PP_Grid[#Data],$DD73,99),0)</f>
        <v/>
      </c>
      <c r="CX73">
        <f>IFERROR(INDEX(PP_Grid[#Data],$DD73,100),0)</f>
        <v/>
      </c>
      <c r="CY73">
        <f>IFERROR(INDEX(PP_Grid[#Data],$DD73,101),0)</f>
        <v/>
      </c>
      <c r="CZ73">
        <f>IFERROR(INDEX(PP_Grid[#Data],$DD73,102),0)</f>
        <v/>
      </c>
      <c r="DA73">
        <f>IFERROR(INDEX(PP_Grid[#Data],$DD73,103),0)</f>
        <v/>
      </c>
      <c r="DB73">
        <f>IFERROR(INDEX(PP_Grid[#Data],$DD73,104),0)</f>
        <v/>
      </c>
      <c r="DC73">
        <f>IFERROR(INDEX(PP_Grid[#Data],$DD73,105),0)</f>
        <v/>
      </c>
      <c r="DD73" s="7">
        <f>IFERROR(MATCH($B73,PP_Grid[Intermediate],0),99999)</f>
        <v/>
      </c>
    </row>
    <row r="74">
      <c r="B74" t="inlineStr">
        <is>
          <t>使用量(kg)</t>
        </is>
      </c>
      <c r="C74">
        <f>SUMIFS(M_BOM[RM_Qty_Per_Batch],M_BOM[Intermediate],$B73,M_BOM[Part Name],$A44)</f>
        <v/>
      </c>
      <c r="D74">
        <f>$C74*D73</f>
        <v/>
      </c>
      <c r="E74">
        <f>$C74*E73</f>
        <v/>
      </c>
      <c r="F74">
        <f>$C74*F73</f>
        <v/>
      </c>
      <c r="G74">
        <f>$C74*G73</f>
        <v/>
      </c>
      <c r="H74">
        <f>$C74*H73</f>
        <v/>
      </c>
      <c r="I74">
        <f>$C74*I73</f>
        <v/>
      </c>
      <c r="J74">
        <f>$C74*J73</f>
        <v/>
      </c>
      <c r="K74">
        <f>$C74*K73</f>
        <v/>
      </c>
      <c r="L74">
        <f>$C74*L73</f>
        <v/>
      </c>
      <c r="M74">
        <f>$C74*M73</f>
        <v/>
      </c>
      <c r="N74">
        <f>$C74*N73</f>
        <v/>
      </c>
      <c r="O74">
        <f>$C74*O73</f>
        <v/>
      </c>
      <c r="P74">
        <f>$C74*P73</f>
        <v/>
      </c>
      <c r="Q74">
        <f>$C74*Q73</f>
        <v/>
      </c>
      <c r="R74">
        <f>$C74*R73</f>
        <v/>
      </c>
      <c r="S74">
        <f>$C74*S73</f>
        <v/>
      </c>
      <c r="T74">
        <f>$C74*T73</f>
        <v/>
      </c>
      <c r="U74">
        <f>$C74*U73</f>
        <v/>
      </c>
      <c r="V74">
        <f>$C74*V73</f>
        <v/>
      </c>
      <c r="W74">
        <f>$C74*W73</f>
        <v/>
      </c>
      <c r="X74">
        <f>$C74*X73</f>
        <v/>
      </c>
      <c r="Y74">
        <f>$C74*Y73</f>
        <v/>
      </c>
      <c r="Z74">
        <f>$C74*Z73</f>
        <v/>
      </c>
      <c r="AA74">
        <f>$C74*AA73</f>
        <v/>
      </c>
      <c r="AB74">
        <f>$C74*AB73</f>
        <v/>
      </c>
      <c r="AC74">
        <f>$C74*AC73</f>
        <v/>
      </c>
      <c r="AD74">
        <f>$C74*AD73</f>
        <v/>
      </c>
      <c r="AE74">
        <f>$C74*AE73</f>
        <v/>
      </c>
      <c r="AF74">
        <f>$C74*AF73</f>
        <v/>
      </c>
      <c r="AG74">
        <f>$C74*AG73</f>
        <v/>
      </c>
      <c r="AH74">
        <f>$C74*AH73</f>
        <v/>
      </c>
      <c r="AI74">
        <f>$C74*AI73</f>
        <v/>
      </c>
      <c r="AJ74">
        <f>$C74*AJ73</f>
        <v/>
      </c>
      <c r="AK74">
        <f>$C74*AK73</f>
        <v/>
      </c>
      <c r="AL74">
        <f>$C74*AL73</f>
        <v/>
      </c>
      <c r="AM74">
        <f>$C74*AM73</f>
        <v/>
      </c>
      <c r="AN74">
        <f>$C74*AN73</f>
        <v/>
      </c>
      <c r="AO74">
        <f>$C74*AO73</f>
        <v/>
      </c>
      <c r="AP74">
        <f>$C74*AP73</f>
        <v/>
      </c>
      <c r="AQ74">
        <f>$C74*AQ73</f>
        <v/>
      </c>
      <c r="AR74">
        <f>$C74*AR73</f>
        <v/>
      </c>
      <c r="AS74">
        <f>$C74*AS73</f>
        <v/>
      </c>
      <c r="AT74">
        <f>$C74*AT73</f>
        <v/>
      </c>
      <c r="AU74">
        <f>$C74*AU73</f>
        <v/>
      </c>
      <c r="AV74">
        <f>$C74*AV73</f>
        <v/>
      </c>
      <c r="AW74">
        <f>$C74*AW73</f>
        <v/>
      </c>
      <c r="AX74">
        <f>$C74*AX73</f>
        <v/>
      </c>
      <c r="AY74">
        <f>$C74*AY73</f>
        <v/>
      </c>
      <c r="AZ74">
        <f>$C74*AZ73</f>
        <v/>
      </c>
      <c r="BA74">
        <f>$C74*BA73</f>
        <v/>
      </c>
      <c r="BB74">
        <f>$C74*BB73</f>
        <v/>
      </c>
      <c r="BC74">
        <f>$C74*BC73</f>
        <v/>
      </c>
      <c r="BD74">
        <f>$C74*BD73</f>
        <v/>
      </c>
      <c r="BE74">
        <f>$C74*BE73</f>
        <v/>
      </c>
      <c r="BF74">
        <f>$C74*BF73</f>
        <v/>
      </c>
      <c r="BG74">
        <f>$C74*BG73</f>
        <v/>
      </c>
      <c r="BH74">
        <f>$C74*BH73</f>
        <v/>
      </c>
      <c r="BI74">
        <f>$C74*BI73</f>
        <v/>
      </c>
      <c r="BJ74">
        <f>$C74*BJ73</f>
        <v/>
      </c>
      <c r="BK74">
        <f>$C74*BK73</f>
        <v/>
      </c>
      <c r="BL74">
        <f>$C74*BL73</f>
        <v/>
      </c>
      <c r="BM74">
        <f>$C74*BM73</f>
        <v/>
      </c>
      <c r="BN74">
        <f>$C74*BN73</f>
        <v/>
      </c>
      <c r="BO74">
        <f>$C74*BO73</f>
        <v/>
      </c>
      <c r="BP74">
        <f>$C74*BP73</f>
        <v/>
      </c>
      <c r="BQ74">
        <f>$C74*BQ73</f>
        <v/>
      </c>
      <c r="BR74">
        <f>$C74*BR73</f>
        <v/>
      </c>
      <c r="BS74">
        <f>$C74*BS73</f>
        <v/>
      </c>
      <c r="BT74">
        <f>$C74*BT73</f>
        <v/>
      </c>
      <c r="BU74">
        <f>$C74*BU73</f>
        <v/>
      </c>
      <c r="BV74">
        <f>$C74*BV73</f>
        <v/>
      </c>
      <c r="BW74">
        <f>$C74*BW73</f>
        <v/>
      </c>
      <c r="BX74">
        <f>$C74*BX73</f>
        <v/>
      </c>
      <c r="BY74">
        <f>$C74*BY73</f>
        <v/>
      </c>
      <c r="BZ74">
        <f>$C74*BZ73</f>
        <v/>
      </c>
      <c r="CA74">
        <f>$C74*CA73</f>
        <v/>
      </c>
      <c r="CB74">
        <f>$C74*CB73</f>
        <v/>
      </c>
      <c r="CC74">
        <f>$C74*CC73</f>
        <v/>
      </c>
      <c r="CD74">
        <f>$C74*CD73</f>
        <v/>
      </c>
      <c r="CE74">
        <f>$C74*CE73</f>
        <v/>
      </c>
      <c r="CF74">
        <f>$C74*CF73</f>
        <v/>
      </c>
      <c r="CG74">
        <f>$C74*CG73</f>
        <v/>
      </c>
      <c r="CH74">
        <f>$C74*CH73</f>
        <v/>
      </c>
      <c r="CI74">
        <f>$C74*CI73</f>
        <v/>
      </c>
      <c r="CJ74">
        <f>$C74*CJ73</f>
        <v/>
      </c>
      <c r="CK74">
        <f>$C74*CK73</f>
        <v/>
      </c>
      <c r="CL74">
        <f>$C74*CL73</f>
        <v/>
      </c>
      <c r="CM74">
        <f>$C74*CM73</f>
        <v/>
      </c>
      <c r="CN74">
        <f>$C74*CN73</f>
        <v/>
      </c>
      <c r="CO74">
        <f>$C74*CO73</f>
        <v/>
      </c>
      <c r="CP74">
        <f>$C74*CP73</f>
        <v/>
      </c>
      <c r="CQ74">
        <f>$C74*CQ73</f>
        <v/>
      </c>
      <c r="CR74">
        <f>$C74*CR73</f>
        <v/>
      </c>
      <c r="CS74">
        <f>$C74*CS73</f>
        <v/>
      </c>
      <c r="CT74">
        <f>$C74*CT73</f>
        <v/>
      </c>
      <c r="CU74">
        <f>$C74*CU73</f>
        <v/>
      </c>
      <c r="CV74">
        <f>$C74*CV73</f>
        <v/>
      </c>
      <c r="CW74">
        <f>$C74*CW73</f>
        <v/>
      </c>
      <c r="CX74">
        <f>$C74*CX73</f>
        <v/>
      </c>
      <c r="CY74">
        <f>$C74*CY73</f>
        <v/>
      </c>
      <c r="CZ74">
        <f>$C74*CZ73</f>
        <v/>
      </c>
      <c r="DA74">
        <f>$C74*DA73</f>
        <v/>
      </c>
      <c r="DB74">
        <f>$C74*DB73</f>
        <v/>
      </c>
      <c r="DC74">
        <f>$C74*DC73</f>
        <v/>
      </c>
    </row>
    <row r="75">
      <c r="B75" t="inlineStr">
        <is>
          <t>TSP-224</t>
        </is>
      </c>
      <c r="C75" t="inlineStr">
        <is>
          <t>No. of batches</t>
        </is>
      </c>
      <c r="D75">
        <f>IFERROR(INDEX(PP_Grid[#Data],$DD75,2),0)</f>
        <v/>
      </c>
      <c r="E75">
        <f>IFERROR(INDEX(PP_Grid[#Data],$DD75,3),0)</f>
        <v/>
      </c>
      <c r="F75">
        <f>IFERROR(INDEX(PP_Grid[#Data],$DD75,4),0)</f>
        <v/>
      </c>
      <c r="G75">
        <f>IFERROR(INDEX(PP_Grid[#Data],$DD75,5),0)</f>
        <v/>
      </c>
      <c r="H75">
        <f>IFERROR(INDEX(PP_Grid[#Data],$DD75,6),0)</f>
        <v/>
      </c>
      <c r="I75">
        <f>IFERROR(INDEX(PP_Grid[#Data],$DD75,7),0)</f>
        <v/>
      </c>
      <c r="J75">
        <f>IFERROR(INDEX(PP_Grid[#Data],$DD75,8),0)</f>
        <v/>
      </c>
      <c r="K75">
        <f>IFERROR(INDEX(PP_Grid[#Data],$DD75,9),0)</f>
        <v/>
      </c>
      <c r="L75">
        <f>IFERROR(INDEX(PP_Grid[#Data],$DD75,10),0)</f>
        <v/>
      </c>
      <c r="M75">
        <f>IFERROR(INDEX(PP_Grid[#Data],$DD75,11),0)</f>
        <v/>
      </c>
      <c r="N75">
        <f>IFERROR(INDEX(PP_Grid[#Data],$DD75,12),0)</f>
        <v/>
      </c>
      <c r="O75">
        <f>IFERROR(INDEX(PP_Grid[#Data],$DD75,13),0)</f>
        <v/>
      </c>
      <c r="P75">
        <f>IFERROR(INDEX(PP_Grid[#Data],$DD75,14),0)</f>
        <v/>
      </c>
      <c r="Q75">
        <f>IFERROR(INDEX(PP_Grid[#Data],$DD75,15),0)</f>
        <v/>
      </c>
      <c r="R75">
        <f>IFERROR(INDEX(PP_Grid[#Data],$DD75,16),0)</f>
        <v/>
      </c>
      <c r="S75">
        <f>IFERROR(INDEX(PP_Grid[#Data],$DD75,17),0)</f>
        <v/>
      </c>
      <c r="T75">
        <f>IFERROR(INDEX(PP_Grid[#Data],$DD75,18),0)</f>
        <v/>
      </c>
      <c r="U75">
        <f>IFERROR(INDEX(PP_Grid[#Data],$DD75,19),0)</f>
        <v/>
      </c>
      <c r="V75">
        <f>IFERROR(INDEX(PP_Grid[#Data],$DD75,20),0)</f>
        <v/>
      </c>
      <c r="W75">
        <f>IFERROR(INDEX(PP_Grid[#Data],$DD75,21),0)</f>
        <v/>
      </c>
      <c r="X75">
        <f>IFERROR(INDEX(PP_Grid[#Data],$DD75,22),0)</f>
        <v/>
      </c>
      <c r="Y75">
        <f>IFERROR(INDEX(PP_Grid[#Data],$DD75,23),0)</f>
        <v/>
      </c>
      <c r="Z75">
        <f>IFERROR(INDEX(PP_Grid[#Data],$DD75,24),0)</f>
        <v/>
      </c>
      <c r="AA75">
        <f>IFERROR(INDEX(PP_Grid[#Data],$DD75,25),0)</f>
        <v/>
      </c>
      <c r="AB75">
        <f>IFERROR(INDEX(PP_Grid[#Data],$DD75,26),0)</f>
        <v/>
      </c>
      <c r="AC75">
        <f>IFERROR(INDEX(PP_Grid[#Data],$DD75,27),0)</f>
        <v/>
      </c>
      <c r="AD75">
        <f>IFERROR(INDEX(PP_Grid[#Data],$DD75,28),0)</f>
        <v/>
      </c>
      <c r="AE75">
        <f>IFERROR(INDEX(PP_Grid[#Data],$DD75,29),0)</f>
        <v/>
      </c>
      <c r="AF75">
        <f>IFERROR(INDEX(PP_Grid[#Data],$DD75,30),0)</f>
        <v/>
      </c>
      <c r="AG75">
        <f>IFERROR(INDEX(PP_Grid[#Data],$DD75,31),0)</f>
        <v/>
      </c>
      <c r="AH75">
        <f>IFERROR(INDEX(PP_Grid[#Data],$DD75,32),0)</f>
        <v/>
      </c>
      <c r="AI75">
        <f>IFERROR(INDEX(PP_Grid[#Data],$DD75,33),0)</f>
        <v/>
      </c>
      <c r="AJ75">
        <f>IFERROR(INDEX(PP_Grid[#Data],$DD75,34),0)</f>
        <v/>
      </c>
      <c r="AK75">
        <f>IFERROR(INDEX(PP_Grid[#Data],$DD75,35),0)</f>
        <v/>
      </c>
      <c r="AL75">
        <f>IFERROR(INDEX(PP_Grid[#Data],$DD75,36),0)</f>
        <v/>
      </c>
      <c r="AM75">
        <f>IFERROR(INDEX(PP_Grid[#Data],$DD75,37),0)</f>
        <v/>
      </c>
      <c r="AN75">
        <f>IFERROR(INDEX(PP_Grid[#Data],$DD75,38),0)</f>
        <v/>
      </c>
      <c r="AO75">
        <f>IFERROR(INDEX(PP_Grid[#Data],$DD75,39),0)</f>
        <v/>
      </c>
      <c r="AP75">
        <f>IFERROR(INDEX(PP_Grid[#Data],$DD75,40),0)</f>
        <v/>
      </c>
      <c r="AQ75">
        <f>IFERROR(INDEX(PP_Grid[#Data],$DD75,41),0)</f>
        <v/>
      </c>
      <c r="AR75">
        <f>IFERROR(INDEX(PP_Grid[#Data],$DD75,42),0)</f>
        <v/>
      </c>
      <c r="AS75">
        <f>IFERROR(INDEX(PP_Grid[#Data],$DD75,43),0)</f>
        <v/>
      </c>
      <c r="AT75">
        <f>IFERROR(INDEX(PP_Grid[#Data],$DD75,44),0)</f>
        <v/>
      </c>
      <c r="AU75">
        <f>IFERROR(INDEX(PP_Grid[#Data],$DD75,45),0)</f>
        <v/>
      </c>
      <c r="AV75">
        <f>IFERROR(INDEX(PP_Grid[#Data],$DD75,46),0)</f>
        <v/>
      </c>
      <c r="AW75">
        <f>IFERROR(INDEX(PP_Grid[#Data],$DD75,47),0)</f>
        <v/>
      </c>
      <c r="AX75">
        <f>IFERROR(INDEX(PP_Grid[#Data],$DD75,48),0)</f>
        <v/>
      </c>
      <c r="AY75">
        <f>IFERROR(INDEX(PP_Grid[#Data],$DD75,49),0)</f>
        <v/>
      </c>
      <c r="AZ75">
        <f>IFERROR(INDEX(PP_Grid[#Data],$DD75,50),0)</f>
        <v/>
      </c>
      <c r="BA75">
        <f>IFERROR(INDEX(PP_Grid[#Data],$DD75,51),0)</f>
        <v/>
      </c>
      <c r="BB75">
        <f>IFERROR(INDEX(PP_Grid[#Data],$DD75,52),0)</f>
        <v/>
      </c>
      <c r="BC75">
        <f>IFERROR(INDEX(PP_Grid[#Data],$DD75,53),0)</f>
        <v/>
      </c>
      <c r="BD75">
        <f>IFERROR(INDEX(PP_Grid[#Data],$DD75,54),0)</f>
        <v/>
      </c>
      <c r="BE75">
        <f>IFERROR(INDEX(PP_Grid[#Data],$DD75,55),0)</f>
        <v/>
      </c>
      <c r="BF75">
        <f>IFERROR(INDEX(PP_Grid[#Data],$DD75,56),0)</f>
        <v/>
      </c>
      <c r="BG75">
        <f>IFERROR(INDEX(PP_Grid[#Data],$DD75,57),0)</f>
        <v/>
      </c>
      <c r="BH75">
        <f>IFERROR(INDEX(PP_Grid[#Data],$DD75,58),0)</f>
        <v/>
      </c>
      <c r="BI75">
        <f>IFERROR(INDEX(PP_Grid[#Data],$DD75,59),0)</f>
        <v/>
      </c>
      <c r="BJ75">
        <f>IFERROR(INDEX(PP_Grid[#Data],$DD75,60),0)</f>
        <v/>
      </c>
      <c r="BK75">
        <f>IFERROR(INDEX(PP_Grid[#Data],$DD75,61),0)</f>
        <v/>
      </c>
      <c r="BL75">
        <f>IFERROR(INDEX(PP_Grid[#Data],$DD75,62),0)</f>
        <v/>
      </c>
      <c r="BM75">
        <f>IFERROR(INDEX(PP_Grid[#Data],$DD75,63),0)</f>
        <v/>
      </c>
      <c r="BN75">
        <f>IFERROR(INDEX(PP_Grid[#Data],$DD75,64),0)</f>
        <v/>
      </c>
      <c r="BO75">
        <f>IFERROR(INDEX(PP_Grid[#Data],$DD75,65),0)</f>
        <v/>
      </c>
      <c r="BP75">
        <f>IFERROR(INDEX(PP_Grid[#Data],$DD75,66),0)</f>
        <v/>
      </c>
      <c r="BQ75">
        <f>IFERROR(INDEX(PP_Grid[#Data],$DD75,67),0)</f>
        <v/>
      </c>
      <c r="BR75">
        <f>IFERROR(INDEX(PP_Grid[#Data],$DD75,68),0)</f>
        <v/>
      </c>
      <c r="BS75">
        <f>IFERROR(INDEX(PP_Grid[#Data],$DD75,69),0)</f>
        <v/>
      </c>
      <c r="BT75">
        <f>IFERROR(INDEX(PP_Grid[#Data],$DD75,70),0)</f>
        <v/>
      </c>
      <c r="BU75">
        <f>IFERROR(INDEX(PP_Grid[#Data],$DD75,71),0)</f>
        <v/>
      </c>
      <c r="BV75">
        <f>IFERROR(INDEX(PP_Grid[#Data],$DD75,72),0)</f>
        <v/>
      </c>
      <c r="BW75">
        <f>IFERROR(INDEX(PP_Grid[#Data],$DD75,73),0)</f>
        <v/>
      </c>
      <c r="BX75">
        <f>IFERROR(INDEX(PP_Grid[#Data],$DD75,74),0)</f>
        <v/>
      </c>
      <c r="BY75">
        <f>IFERROR(INDEX(PP_Grid[#Data],$DD75,75),0)</f>
        <v/>
      </c>
      <c r="BZ75">
        <f>IFERROR(INDEX(PP_Grid[#Data],$DD75,76),0)</f>
        <v/>
      </c>
      <c r="CA75">
        <f>IFERROR(INDEX(PP_Grid[#Data],$DD75,77),0)</f>
        <v/>
      </c>
      <c r="CB75">
        <f>IFERROR(INDEX(PP_Grid[#Data],$DD75,78),0)</f>
        <v/>
      </c>
      <c r="CC75">
        <f>IFERROR(INDEX(PP_Grid[#Data],$DD75,79),0)</f>
        <v/>
      </c>
      <c r="CD75">
        <f>IFERROR(INDEX(PP_Grid[#Data],$DD75,80),0)</f>
        <v/>
      </c>
      <c r="CE75">
        <f>IFERROR(INDEX(PP_Grid[#Data],$DD75,81),0)</f>
        <v/>
      </c>
      <c r="CF75">
        <f>IFERROR(INDEX(PP_Grid[#Data],$DD75,82),0)</f>
        <v/>
      </c>
      <c r="CG75">
        <f>IFERROR(INDEX(PP_Grid[#Data],$DD75,83),0)</f>
        <v/>
      </c>
      <c r="CH75">
        <f>IFERROR(INDEX(PP_Grid[#Data],$DD75,84),0)</f>
        <v/>
      </c>
      <c r="CI75">
        <f>IFERROR(INDEX(PP_Grid[#Data],$DD75,85),0)</f>
        <v/>
      </c>
      <c r="CJ75">
        <f>IFERROR(INDEX(PP_Grid[#Data],$DD75,86),0)</f>
        <v/>
      </c>
      <c r="CK75">
        <f>IFERROR(INDEX(PP_Grid[#Data],$DD75,87),0)</f>
        <v/>
      </c>
      <c r="CL75">
        <f>IFERROR(INDEX(PP_Grid[#Data],$DD75,88),0)</f>
        <v/>
      </c>
      <c r="CM75">
        <f>IFERROR(INDEX(PP_Grid[#Data],$DD75,89),0)</f>
        <v/>
      </c>
      <c r="CN75">
        <f>IFERROR(INDEX(PP_Grid[#Data],$DD75,90),0)</f>
        <v/>
      </c>
      <c r="CO75">
        <f>IFERROR(INDEX(PP_Grid[#Data],$DD75,91),0)</f>
        <v/>
      </c>
      <c r="CP75">
        <f>IFERROR(INDEX(PP_Grid[#Data],$DD75,92),0)</f>
        <v/>
      </c>
      <c r="CQ75">
        <f>IFERROR(INDEX(PP_Grid[#Data],$DD75,93),0)</f>
        <v/>
      </c>
      <c r="CR75">
        <f>IFERROR(INDEX(PP_Grid[#Data],$DD75,94),0)</f>
        <v/>
      </c>
      <c r="CS75">
        <f>IFERROR(INDEX(PP_Grid[#Data],$DD75,95),0)</f>
        <v/>
      </c>
      <c r="CT75">
        <f>IFERROR(INDEX(PP_Grid[#Data],$DD75,96),0)</f>
        <v/>
      </c>
      <c r="CU75">
        <f>IFERROR(INDEX(PP_Grid[#Data],$DD75,97),0)</f>
        <v/>
      </c>
      <c r="CV75">
        <f>IFERROR(INDEX(PP_Grid[#Data],$DD75,98),0)</f>
        <v/>
      </c>
      <c r="CW75">
        <f>IFERROR(INDEX(PP_Grid[#Data],$DD75,99),0)</f>
        <v/>
      </c>
      <c r="CX75">
        <f>IFERROR(INDEX(PP_Grid[#Data],$DD75,100),0)</f>
        <v/>
      </c>
      <c r="CY75">
        <f>IFERROR(INDEX(PP_Grid[#Data],$DD75,101),0)</f>
        <v/>
      </c>
      <c r="CZ75">
        <f>IFERROR(INDEX(PP_Grid[#Data],$DD75,102),0)</f>
        <v/>
      </c>
      <c r="DA75">
        <f>IFERROR(INDEX(PP_Grid[#Data],$DD75,103),0)</f>
        <v/>
      </c>
      <c r="DB75">
        <f>IFERROR(INDEX(PP_Grid[#Data],$DD75,104),0)</f>
        <v/>
      </c>
      <c r="DC75">
        <f>IFERROR(INDEX(PP_Grid[#Data],$DD75,105),0)</f>
        <v/>
      </c>
      <c r="DD75" s="7">
        <f>IFERROR(MATCH($B75,PP_Grid[Intermediate],0),99999)</f>
        <v/>
      </c>
    </row>
    <row r="76">
      <c r="B76" t="inlineStr">
        <is>
          <t>使用量(kg)</t>
        </is>
      </c>
      <c r="C76">
        <f>SUMIFS(M_BOM[RM_Qty_Per_Batch],M_BOM[Intermediate],$B75,M_BOM[Part Name],$A44)</f>
        <v/>
      </c>
      <c r="D76">
        <f>$C76*D75</f>
        <v/>
      </c>
      <c r="E76">
        <f>$C76*E75</f>
        <v/>
      </c>
      <c r="F76">
        <f>$C76*F75</f>
        <v/>
      </c>
      <c r="G76">
        <f>$C76*G75</f>
        <v/>
      </c>
      <c r="H76">
        <f>$C76*H75</f>
        <v/>
      </c>
      <c r="I76">
        <f>$C76*I75</f>
        <v/>
      </c>
      <c r="J76">
        <f>$C76*J75</f>
        <v/>
      </c>
      <c r="K76">
        <f>$C76*K75</f>
        <v/>
      </c>
      <c r="L76">
        <f>$C76*L75</f>
        <v/>
      </c>
      <c r="M76">
        <f>$C76*M75</f>
        <v/>
      </c>
      <c r="N76">
        <f>$C76*N75</f>
        <v/>
      </c>
      <c r="O76">
        <f>$C76*O75</f>
        <v/>
      </c>
      <c r="P76">
        <f>$C76*P75</f>
        <v/>
      </c>
      <c r="Q76">
        <f>$C76*Q75</f>
        <v/>
      </c>
      <c r="R76">
        <f>$C76*R75</f>
        <v/>
      </c>
      <c r="S76">
        <f>$C76*S75</f>
        <v/>
      </c>
      <c r="T76">
        <f>$C76*T75</f>
        <v/>
      </c>
      <c r="U76">
        <f>$C76*U75</f>
        <v/>
      </c>
      <c r="V76">
        <f>$C76*V75</f>
        <v/>
      </c>
      <c r="W76">
        <f>$C76*W75</f>
        <v/>
      </c>
      <c r="X76">
        <f>$C76*X75</f>
        <v/>
      </c>
      <c r="Y76">
        <f>$C76*Y75</f>
        <v/>
      </c>
      <c r="Z76">
        <f>$C76*Z75</f>
        <v/>
      </c>
      <c r="AA76">
        <f>$C76*AA75</f>
        <v/>
      </c>
      <c r="AB76">
        <f>$C76*AB75</f>
        <v/>
      </c>
      <c r="AC76">
        <f>$C76*AC75</f>
        <v/>
      </c>
      <c r="AD76">
        <f>$C76*AD75</f>
        <v/>
      </c>
      <c r="AE76">
        <f>$C76*AE75</f>
        <v/>
      </c>
      <c r="AF76">
        <f>$C76*AF75</f>
        <v/>
      </c>
      <c r="AG76">
        <f>$C76*AG75</f>
        <v/>
      </c>
      <c r="AH76">
        <f>$C76*AH75</f>
        <v/>
      </c>
      <c r="AI76">
        <f>$C76*AI75</f>
        <v/>
      </c>
      <c r="AJ76">
        <f>$C76*AJ75</f>
        <v/>
      </c>
      <c r="AK76">
        <f>$C76*AK75</f>
        <v/>
      </c>
      <c r="AL76">
        <f>$C76*AL75</f>
        <v/>
      </c>
      <c r="AM76">
        <f>$C76*AM75</f>
        <v/>
      </c>
      <c r="AN76">
        <f>$C76*AN75</f>
        <v/>
      </c>
      <c r="AO76">
        <f>$C76*AO75</f>
        <v/>
      </c>
      <c r="AP76">
        <f>$C76*AP75</f>
        <v/>
      </c>
      <c r="AQ76">
        <f>$C76*AQ75</f>
        <v/>
      </c>
      <c r="AR76">
        <f>$C76*AR75</f>
        <v/>
      </c>
      <c r="AS76">
        <f>$C76*AS75</f>
        <v/>
      </c>
      <c r="AT76">
        <f>$C76*AT75</f>
        <v/>
      </c>
      <c r="AU76">
        <f>$C76*AU75</f>
        <v/>
      </c>
      <c r="AV76">
        <f>$C76*AV75</f>
        <v/>
      </c>
      <c r="AW76">
        <f>$C76*AW75</f>
        <v/>
      </c>
      <c r="AX76">
        <f>$C76*AX75</f>
        <v/>
      </c>
      <c r="AY76">
        <f>$C76*AY75</f>
        <v/>
      </c>
      <c r="AZ76">
        <f>$C76*AZ75</f>
        <v/>
      </c>
      <c r="BA76">
        <f>$C76*BA75</f>
        <v/>
      </c>
      <c r="BB76">
        <f>$C76*BB75</f>
        <v/>
      </c>
      <c r="BC76">
        <f>$C76*BC75</f>
        <v/>
      </c>
      <c r="BD76">
        <f>$C76*BD75</f>
        <v/>
      </c>
      <c r="BE76">
        <f>$C76*BE75</f>
        <v/>
      </c>
      <c r="BF76">
        <f>$C76*BF75</f>
        <v/>
      </c>
      <c r="BG76">
        <f>$C76*BG75</f>
        <v/>
      </c>
      <c r="BH76">
        <f>$C76*BH75</f>
        <v/>
      </c>
      <c r="BI76">
        <f>$C76*BI75</f>
        <v/>
      </c>
      <c r="BJ76">
        <f>$C76*BJ75</f>
        <v/>
      </c>
      <c r="BK76">
        <f>$C76*BK75</f>
        <v/>
      </c>
      <c r="BL76">
        <f>$C76*BL75</f>
        <v/>
      </c>
      <c r="BM76">
        <f>$C76*BM75</f>
        <v/>
      </c>
      <c r="BN76">
        <f>$C76*BN75</f>
        <v/>
      </c>
      <c r="BO76">
        <f>$C76*BO75</f>
        <v/>
      </c>
      <c r="BP76">
        <f>$C76*BP75</f>
        <v/>
      </c>
      <c r="BQ76">
        <f>$C76*BQ75</f>
        <v/>
      </c>
      <c r="BR76">
        <f>$C76*BR75</f>
        <v/>
      </c>
      <c r="BS76">
        <f>$C76*BS75</f>
        <v/>
      </c>
      <c r="BT76">
        <f>$C76*BT75</f>
        <v/>
      </c>
      <c r="BU76">
        <f>$C76*BU75</f>
        <v/>
      </c>
      <c r="BV76">
        <f>$C76*BV75</f>
        <v/>
      </c>
      <c r="BW76">
        <f>$C76*BW75</f>
        <v/>
      </c>
      <c r="BX76">
        <f>$C76*BX75</f>
        <v/>
      </c>
      <c r="BY76">
        <f>$C76*BY75</f>
        <v/>
      </c>
      <c r="BZ76">
        <f>$C76*BZ75</f>
        <v/>
      </c>
      <c r="CA76">
        <f>$C76*CA75</f>
        <v/>
      </c>
      <c r="CB76">
        <f>$C76*CB75</f>
        <v/>
      </c>
      <c r="CC76">
        <f>$C76*CC75</f>
        <v/>
      </c>
      <c r="CD76">
        <f>$C76*CD75</f>
        <v/>
      </c>
      <c r="CE76">
        <f>$C76*CE75</f>
        <v/>
      </c>
      <c r="CF76">
        <f>$C76*CF75</f>
        <v/>
      </c>
      <c r="CG76">
        <f>$C76*CG75</f>
        <v/>
      </c>
      <c r="CH76">
        <f>$C76*CH75</f>
        <v/>
      </c>
      <c r="CI76">
        <f>$C76*CI75</f>
        <v/>
      </c>
      <c r="CJ76">
        <f>$C76*CJ75</f>
        <v/>
      </c>
      <c r="CK76">
        <f>$C76*CK75</f>
        <v/>
      </c>
      <c r="CL76">
        <f>$C76*CL75</f>
        <v/>
      </c>
      <c r="CM76">
        <f>$C76*CM75</f>
        <v/>
      </c>
      <c r="CN76">
        <f>$C76*CN75</f>
        <v/>
      </c>
      <c r="CO76">
        <f>$C76*CO75</f>
        <v/>
      </c>
      <c r="CP76">
        <f>$C76*CP75</f>
        <v/>
      </c>
      <c r="CQ76">
        <f>$C76*CQ75</f>
        <v/>
      </c>
      <c r="CR76">
        <f>$C76*CR75</f>
        <v/>
      </c>
      <c r="CS76">
        <f>$C76*CS75</f>
        <v/>
      </c>
      <c r="CT76">
        <f>$C76*CT75</f>
        <v/>
      </c>
      <c r="CU76">
        <f>$C76*CU75</f>
        <v/>
      </c>
      <c r="CV76">
        <f>$C76*CV75</f>
        <v/>
      </c>
      <c r="CW76">
        <f>$C76*CW75</f>
        <v/>
      </c>
      <c r="CX76">
        <f>$C76*CX75</f>
        <v/>
      </c>
      <c r="CY76">
        <f>$C76*CY75</f>
        <v/>
      </c>
      <c r="CZ76">
        <f>$C76*CZ75</f>
        <v/>
      </c>
      <c r="DA76">
        <f>$C76*DA75</f>
        <v/>
      </c>
      <c r="DB76">
        <f>$C76*DB75</f>
        <v/>
      </c>
      <c r="DC76">
        <f>$C76*DC75</f>
        <v/>
      </c>
    </row>
    <row r="77">
      <c r="B77" t="inlineStr">
        <is>
          <t>TSP-225</t>
        </is>
      </c>
      <c r="C77" t="inlineStr">
        <is>
          <t>No. of batches</t>
        </is>
      </c>
      <c r="D77">
        <f>IFERROR(INDEX(PP_Grid[#Data],$DD77,2),0)</f>
        <v/>
      </c>
      <c r="E77">
        <f>IFERROR(INDEX(PP_Grid[#Data],$DD77,3),0)</f>
        <v/>
      </c>
      <c r="F77">
        <f>IFERROR(INDEX(PP_Grid[#Data],$DD77,4),0)</f>
        <v/>
      </c>
      <c r="G77">
        <f>IFERROR(INDEX(PP_Grid[#Data],$DD77,5),0)</f>
        <v/>
      </c>
      <c r="H77">
        <f>IFERROR(INDEX(PP_Grid[#Data],$DD77,6),0)</f>
        <v/>
      </c>
      <c r="I77">
        <f>IFERROR(INDEX(PP_Grid[#Data],$DD77,7),0)</f>
        <v/>
      </c>
      <c r="J77">
        <f>IFERROR(INDEX(PP_Grid[#Data],$DD77,8),0)</f>
        <v/>
      </c>
      <c r="K77">
        <f>IFERROR(INDEX(PP_Grid[#Data],$DD77,9),0)</f>
        <v/>
      </c>
      <c r="L77">
        <f>IFERROR(INDEX(PP_Grid[#Data],$DD77,10),0)</f>
        <v/>
      </c>
      <c r="M77">
        <f>IFERROR(INDEX(PP_Grid[#Data],$DD77,11),0)</f>
        <v/>
      </c>
      <c r="N77">
        <f>IFERROR(INDEX(PP_Grid[#Data],$DD77,12),0)</f>
        <v/>
      </c>
      <c r="O77">
        <f>IFERROR(INDEX(PP_Grid[#Data],$DD77,13),0)</f>
        <v/>
      </c>
      <c r="P77">
        <f>IFERROR(INDEX(PP_Grid[#Data],$DD77,14),0)</f>
        <v/>
      </c>
      <c r="Q77">
        <f>IFERROR(INDEX(PP_Grid[#Data],$DD77,15),0)</f>
        <v/>
      </c>
      <c r="R77">
        <f>IFERROR(INDEX(PP_Grid[#Data],$DD77,16),0)</f>
        <v/>
      </c>
      <c r="S77">
        <f>IFERROR(INDEX(PP_Grid[#Data],$DD77,17),0)</f>
        <v/>
      </c>
      <c r="T77">
        <f>IFERROR(INDEX(PP_Grid[#Data],$DD77,18),0)</f>
        <v/>
      </c>
      <c r="U77">
        <f>IFERROR(INDEX(PP_Grid[#Data],$DD77,19),0)</f>
        <v/>
      </c>
      <c r="V77">
        <f>IFERROR(INDEX(PP_Grid[#Data],$DD77,20),0)</f>
        <v/>
      </c>
      <c r="W77">
        <f>IFERROR(INDEX(PP_Grid[#Data],$DD77,21),0)</f>
        <v/>
      </c>
      <c r="X77">
        <f>IFERROR(INDEX(PP_Grid[#Data],$DD77,22),0)</f>
        <v/>
      </c>
      <c r="Y77">
        <f>IFERROR(INDEX(PP_Grid[#Data],$DD77,23),0)</f>
        <v/>
      </c>
      <c r="Z77">
        <f>IFERROR(INDEX(PP_Grid[#Data],$DD77,24),0)</f>
        <v/>
      </c>
      <c r="AA77">
        <f>IFERROR(INDEX(PP_Grid[#Data],$DD77,25),0)</f>
        <v/>
      </c>
      <c r="AB77">
        <f>IFERROR(INDEX(PP_Grid[#Data],$DD77,26),0)</f>
        <v/>
      </c>
      <c r="AC77">
        <f>IFERROR(INDEX(PP_Grid[#Data],$DD77,27),0)</f>
        <v/>
      </c>
      <c r="AD77">
        <f>IFERROR(INDEX(PP_Grid[#Data],$DD77,28),0)</f>
        <v/>
      </c>
      <c r="AE77">
        <f>IFERROR(INDEX(PP_Grid[#Data],$DD77,29),0)</f>
        <v/>
      </c>
      <c r="AF77">
        <f>IFERROR(INDEX(PP_Grid[#Data],$DD77,30),0)</f>
        <v/>
      </c>
      <c r="AG77">
        <f>IFERROR(INDEX(PP_Grid[#Data],$DD77,31),0)</f>
        <v/>
      </c>
      <c r="AH77">
        <f>IFERROR(INDEX(PP_Grid[#Data],$DD77,32),0)</f>
        <v/>
      </c>
      <c r="AI77">
        <f>IFERROR(INDEX(PP_Grid[#Data],$DD77,33),0)</f>
        <v/>
      </c>
      <c r="AJ77">
        <f>IFERROR(INDEX(PP_Grid[#Data],$DD77,34),0)</f>
        <v/>
      </c>
      <c r="AK77">
        <f>IFERROR(INDEX(PP_Grid[#Data],$DD77,35),0)</f>
        <v/>
      </c>
      <c r="AL77">
        <f>IFERROR(INDEX(PP_Grid[#Data],$DD77,36),0)</f>
        <v/>
      </c>
      <c r="AM77">
        <f>IFERROR(INDEX(PP_Grid[#Data],$DD77,37),0)</f>
        <v/>
      </c>
      <c r="AN77">
        <f>IFERROR(INDEX(PP_Grid[#Data],$DD77,38),0)</f>
        <v/>
      </c>
      <c r="AO77">
        <f>IFERROR(INDEX(PP_Grid[#Data],$DD77,39),0)</f>
        <v/>
      </c>
      <c r="AP77">
        <f>IFERROR(INDEX(PP_Grid[#Data],$DD77,40),0)</f>
        <v/>
      </c>
      <c r="AQ77">
        <f>IFERROR(INDEX(PP_Grid[#Data],$DD77,41),0)</f>
        <v/>
      </c>
      <c r="AR77">
        <f>IFERROR(INDEX(PP_Grid[#Data],$DD77,42),0)</f>
        <v/>
      </c>
      <c r="AS77">
        <f>IFERROR(INDEX(PP_Grid[#Data],$DD77,43),0)</f>
        <v/>
      </c>
      <c r="AT77">
        <f>IFERROR(INDEX(PP_Grid[#Data],$DD77,44),0)</f>
        <v/>
      </c>
      <c r="AU77">
        <f>IFERROR(INDEX(PP_Grid[#Data],$DD77,45),0)</f>
        <v/>
      </c>
      <c r="AV77">
        <f>IFERROR(INDEX(PP_Grid[#Data],$DD77,46),0)</f>
        <v/>
      </c>
      <c r="AW77">
        <f>IFERROR(INDEX(PP_Grid[#Data],$DD77,47),0)</f>
        <v/>
      </c>
      <c r="AX77">
        <f>IFERROR(INDEX(PP_Grid[#Data],$DD77,48),0)</f>
        <v/>
      </c>
      <c r="AY77">
        <f>IFERROR(INDEX(PP_Grid[#Data],$DD77,49),0)</f>
        <v/>
      </c>
      <c r="AZ77">
        <f>IFERROR(INDEX(PP_Grid[#Data],$DD77,50),0)</f>
        <v/>
      </c>
      <c r="BA77">
        <f>IFERROR(INDEX(PP_Grid[#Data],$DD77,51),0)</f>
        <v/>
      </c>
      <c r="BB77">
        <f>IFERROR(INDEX(PP_Grid[#Data],$DD77,52),0)</f>
        <v/>
      </c>
      <c r="BC77">
        <f>IFERROR(INDEX(PP_Grid[#Data],$DD77,53),0)</f>
        <v/>
      </c>
      <c r="BD77">
        <f>IFERROR(INDEX(PP_Grid[#Data],$DD77,54),0)</f>
        <v/>
      </c>
      <c r="BE77">
        <f>IFERROR(INDEX(PP_Grid[#Data],$DD77,55),0)</f>
        <v/>
      </c>
      <c r="BF77">
        <f>IFERROR(INDEX(PP_Grid[#Data],$DD77,56),0)</f>
        <v/>
      </c>
      <c r="BG77">
        <f>IFERROR(INDEX(PP_Grid[#Data],$DD77,57),0)</f>
        <v/>
      </c>
      <c r="BH77">
        <f>IFERROR(INDEX(PP_Grid[#Data],$DD77,58),0)</f>
        <v/>
      </c>
      <c r="BI77">
        <f>IFERROR(INDEX(PP_Grid[#Data],$DD77,59),0)</f>
        <v/>
      </c>
      <c r="BJ77">
        <f>IFERROR(INDEX(PP_Grid[#Data],$DD77,60),0)</f>
        <v/>
      </c>
      <c r="BK77">
        <f>IFERROR(INDEX(PP_Grid[#Data],$DD77,61),0)</f>
        <v/>
      </c>
      <c r="BL77">
        <f>IFERROR(INDEX(PP_Grid[#Data],$DD77,62),0)</f>
        <v/>
      </c>
      <c r="BM77">
        <f>IFERROR(INDEX(PP_Grid[#Data],$DD77,63),0)</f>
        <v/>
      </c>
      <c r="BN77">
        <f>IFERROR(INDEX(PP_Grid[#Data],$DD77,64),0)</f>
        <v/>
      </c>
      <c r="BO77">
        <f>IFERROR(INDEX(PP_Grid[#Data],$DD77,65),0)</f>
        <v/>
      </c>
      <c r="BP77">
        <f>IFERROR(INDEX(PP_Grid[#Data],$DD77,66),0)</f>
        <v/>
      </c>
      <c r="BQ77">
        <f>IFERROR(INDEX(PP_Grid[#Data],$DD77,67),0)</f>
        <v/>
      </c>
      <c r="BR77">
        <f>IFERROR(INDEX(PP_Grid[#Data],$DD77,68),0)</f>
        <v/>
      </c>
      <c r="BS77">
        <f>IFERROR(INDEX(PP_Grid[#Data],$DD77,69),0)</f>
        <v/>
      </c>
      <c r="BT77">
        <f>IFERROR(INDEX(PP_Grid[#Data],$DD77,70),0)</f>
        <v/>
      </c>
      <c r="BU77">
        <f>IFERROR(INDEX(PP_Grid[#Data],$DD77,71),0)</f>
        <v/>
      </c>
      <c r="BV77">
        <f>IFERROR(INDEX(PP_Grid[#Data],$DD77,72),0)</f>
        <v/>
      </c>
      <c r="BW77">
        <f>IFERROR(INDEX(PP_Grid[#Data],$DD77,73),0)</f>
        <v/>
      </c>
      <c r="BX77">
        <f>IFERROR(INDEX(PP_Grid[#Data],$DD77,74),0)</f>
        <v/>
      </c>
      <c r="BY77">
        <f>IFERROR(INDEX(PP_Grid[#Data],$DD77,75),0)</f>
        <v/>
      </c>
      <c r="BZ77">
        <f>IFERROR(INDEX(PP_Grid[#Data],$DD77,76),0)</f>
        <v/>
      </c>
      <c r="CA77">
        <f>IFERROR(INDEX(PP_Grid[#Data],$DD77,77),0)</f>
        <v/>
      </c>
      <c r="CB77">
        <f>IFERROR(INDEX(PP_Grid[#Data],$DD77,78),0)</f>
        <v/>
      </c>
      <c r="CC77">
        <f>IFERROR(INDEX(PP_Grid[#Data],$DD77,79),0)</f>
        <v/>
      </c>
      <c r="CD77">
        <f>IFERROR(INDEX(PP_Grid[#Data],$DD77,80),0)</f>
        <v/>
      </c>
      <c r="CE77">
        <f>IFERROR(INDEX(PP_Grid[#Data],$DD77,81),0)</f>
        <v/>
      </c>
      <c r="CF77">
        <f>IFERROR(INDEX(PP_Grid[#Data],$DD77,82),0)</f>
        <v/>
      </c>
      <c r="CG77">
        <f>IFERROR(INDEX(PP_Grid[#Data],$DD77,83),0)</f>
        <v/>
      </c>
      <c r="CH77">
        <f>IFERROR(INDEX(PP_Grid[#Data],$DD77,84),0)</f>
        <v/>
      </c>
      <c r="CI77">
        <f>IFERROR(INDEX(PP_Grid[#Data],$DD77,85),0)</f>
        <v/>
      </c>
      <c r="CJ77">
        <f>IFERROR(INDEX(PP_Grid[#Data],$DD77,86),0)</f>
        <v/>
      </c>
      <c r="CK77">
        <f>IFERROR(INDEX(PP_Grid[#Data],$DD77,87),0)</f>
        <v/>
      </c>
      <c r="CL77">
        <f>IFERROR(INDEX(PP_Grid[#Data],$DD77,88),0)</f>
        <v/>
      </c>
      <c r="CM77">
        <f>IFERROR(INDEX(PP_Grid[#Data],$DD77,89),0)</f>
        <v/>
      </c>
      <c r="CN77">
        <f>IFERROR(INDEX(PP_Grid[#Data],$DD77,90),0)</f>
        <v/>
      </c>
      <c r="CO77">
        <f>IFERROR(INDEX(PP_Grid[#Data],$DD77,91),0)</f>
        <v/>
      </c>
      <c r="CP77">
        <f>IFERROR(INDEX(PP_Grid[#Data],$DD77,92),0)</f>
        <v/>
      </c>
      <c r="CQ77">
        <f>IFERROR(INDEX(PP_Grid[#Data],$DD77,93),0)</f>
        <v/>
      </c>
      <c r="CR77">
        <f>IFERROR(INDEX(PP_Grid[#Data],$DD77,94),0)</f>
        <v/>
      </c>
      <c r="CS77">
        <f>IFERROR(INDEX(PP_Grid[#Data],$DD77,95),0)</f>
        <v/>
      </c>
      <c r="CT77">
        <f>IFERROR(INDEX(PP_Grid[#Data],$DD77,96),0)</f>
        <v/>
      </c>
      <c r="CU77">
        <f>IFERROR(INDEX(PP_Grid[#Data],$DD77,97),0)</f>
        <v/>
      </c>
      <c r="CV77">
        <f>IFERROR(INDEX(PP_Grid[#Data],$DD77,98),0)</f>
        <v/>
      </c>
      <c r="CW77">
        <f>IFERROR(INDEX(PP_Grid[#Data],$DD77,99),0)</f>
        <v/>
      </c>
      <c r="CX77">
        <f>IFERROR(INDEX(PP_Grid[#Data],$DD77,100),0)</f>
        <v/>
      </c>
      <c r="CY77">
        <f>IFERROR(INDEX(PP_Grid[#Data],$DD77,101),0)</f>
        <v/>
      </c>
      <c r="CZ77">
        <f>IFERROR(INDEX(PP_Grid[#Data],$DD77,102),0)</f>
        <v/>
      </c>
      <c r="DA77">
        <f>IFERROR(INDEX(PP_Grid[#Data],$DD77,103),0)</f>
        <v/>
      </c>
      <c r="DB77">
        <f>IFERROR(INDEX(PP_Grid[#Data],$DD77,104),0)</f>
        <v/>
      </c>
      <c r="DC77">
        <f>IFERROR(INDEX(PP_Grid[#Data],$DD77,105),0)</f>
        <v/>
      </c>
      <c r="DD77" s="7">
        <f>IFERROR(MATCH($B77,PP_Grid[Intermediate],0),99999)</f>
        <v/>
      </c>
    </row>
    <row r="78">
      <c r="B78" t="inlineStr">
        <is>
          <t>使用量(kg)</t>
        </is>
      </c>
      <c r="C78">
        <f>SUMIFS(M_BOM[RM_Qty_Per_Batch],M_BOM[Intermediate],$B77,M_BOM[Part Name],$A44)</f>
        <v/>
      </c>
      <c r="D78">
        <f>$C78*D77</f>
        <v/>
      </c>
      <c r="E78">
        <f>$C78*E77</f>
        <v/>
      </c>
      <c r="F78">
        <f>$C78*F77</f>
        <v/>
      </c>
      <c r="G78">
        <f>$C78*G77</f>
        <v/>
      </c>
      <c r="H78">
        <f>$C78*H77</f>
        <v/>
      </c>
      <c r="I78">
        <f>$C78*I77</f>
        <v/>
      </c>
      <c r="J78">
        <f>$C78*J77</f>
        <v/>
      </c>
      <c r="K78">
        <f>$C78*K77</f>
        <v/>
      </c>
      <c r="L78">
        <f>$C78*L77</f>
        <v/>
      </c>
      <c r="M78">
        <f>$C78*M77</f>
        <v/>
      </c>
      <c r="N78">
        <f>$C78*N77</f>
        <v/>
      </c>
      <c r="O78">
        <f>$C78*O77</f>
        <v/>
      </c>
      <c r="P78">
        <f>$C78*P77</f>
        <v/>
      </c>
      <c r="Q78">
        <f>$C78*Q77</f>
        <v/>
      </c>
      <c r="R78">
        <f>$C78*R77</f>
        <v/>
      </c>
      <c r="S78">
        <f>$C78*S77</f>
        <v/>
      </c>
      <c r="T78">
        <f>$C78*T77</f>
        <v/>
      </c>
      <c r="U78">
        <f>$C78*U77</f>
        <v/>
      </c>
      <c r="V78">
        <f>$C78*V77</f>
        <v/>
      </c>
      <c r="W78">
        <f>$C78*W77</f>
        <v/>
      </c>
      <c r="X78">
        <f>$C78*X77</f>
        <v/>
      </c>
      <c r="Y78">
        <f>$C78*Y77</f>
        <v/>
      </c>
      <c r="Z78">
        <f>$C78*Z77</f>
        <v/>
      </c>
      <c r="AA78">
        <f>$C78*AA77</f>
        <v/>
      </c>
      <c r="AB78">
        <f>$C78*AB77</f>
        <v/>
      </c>
      <c r="AC78">
        <f>$C78*AC77</f>
        <v/>
      </c>
      <c r="AD78">
        <f>$C78*AD77</f>
        <v/>
      </c>
      <c r="AE78">
        <f>$C78*AE77</f>
        <v/>
      </c>
      <c r="AF78">
        <f>$C78*AF77</f>
        <v/>
      </c>
      <c r="AG78">
        <f>$C78*AG77</f>
        <v/>
      </c>
      <c r="AH78">
        <f>$C78*AH77</f>
        <v/>
      </c>
      <c r="AI78">
        <f>$C78*AI77</f>
        <v/>
      </c>
      <c r="AJ78">
        <f>$C78*AJ77</f>
        <v/>
      </c>
      <c r="AK78">
        <f>$C78*AK77</f>
        <v/>
      </c>
      <c r="AL78">
        <f>$C78*AL77</f>
        <v/>
      </c>
      <c r="AM78">
        <f>$C78*AM77</f>
        <v/>
      </c>
      <c r="AN78">
        <f>$C78*AN77</f>
        <v/>
      </c>
      <c r="AO78">
        <f>$C78*AO77</f>
        <v/>
      </c>
      <c r="AP78">
        <f>$C78*AP77</f>
        <v/>
      </c>
      <c r="AQ78">
        <f>$C78*AQ77</f>
        <v/>
      </c>
      <c r="AR78">
        <f>$C78*AR77</f>
        <v/>
      </c>
      <c r="AS78">
        <f>$C78*AS77</f>
        <v/>
      </c>
      <c r="AT78">
        <f>$C78*AT77</f>
        <v/>
      </c>
      <c r="AU78">
        <f>$C78*AU77</f>
        <v/>
      </c>
      <c r="AV78">
        <f>$C78*AV77</f>
        <v/>
      </c>
      <c r="AW78">
        <f>$C78*AW77</f>
        <v/>
      </c>
      <c r="AX78">
        <f>$C78*AX77</f>
        <v/>
      </c>
      <c r="AY78">
        <f>$C78*AY77</f>
        <v/>
      </c>
      <c r="AZ78">
        <f>$C78*AZ77</f>
        <v/>
      </c>
      <c r="BA78">
        <f>$C78*BA77</f>
        <v/>
      </c>
      <c r="BB78">
        <f>$C78*BB77</f>
        <v/>
      </c>
      <c r="BC78">
        <f>$C78*BC77</f>
        <v/>
      </c>
      <c r="BD78">
        <f>$C78*BD77</f>
        <v/>
      </c>
      <c r="BE78">
        <f>$C78*BE77</f>
        <v/>
      </c>
      <c r="BF78">
        <f>$C78*BF77</f>
        <v/>
      </c>
      <c r="BG78">
        <f>$C78*BG77</f>
        <v/>
      </c>
      <c r="BH78">
        <f>$C78*BH77</f>
        <v/>
      </c>
      <c r="BI78">
        <f>$C78*BI77</f>
        <v/>
      </c>
      <c r="BJ78">
        <f>$C78*BJ77</f>
        <v/>
      </c>
      <c r="BK78">
        <f>$C78*BK77</f>
        <v/>
      </c>
      <c r="BL78">
        <f>$C78*BL77</f>
        <v/>
      </c>
      <c r="BM78">
        <f>$C78*BM77</f>
        <v/>
      </c>
      <c r="BN78">
        <f>$C78*BN77</f>
        <v/>
      </c>
      <c r="BO78">
        <f>$C78*BO77</f>
        <v/>
      </c>
      <c r="BP78">
        <f>$C78*BP77</f>
        <v/>
      </c>
      <c r="BQ78">
        <f>$C78*BQ77</f>
        <v/>
      </c>
      <c r="BR78">
        <f>$C78*BR77</f>
        <v/>
      </c>
      <c r="BS78">
        <f>$C78*BS77</f>
        <v/>
      </c>
      <c r="BT78">
        <f>$C78*BT77</f>
        <v/>
      </c>
      <c r="BU78">
        <f>$C78*BU77</f>
        <v/>
      </c>
      <c r="BV78">
        <f>$C78*BV77</f>
        <v/>
      </c>
      <c r="BW78">
        <f>$C78*BW77</f>
        <v/>
      </c>
      <c r="BX78">
        <f>$C78*BX77</f>
        <v/>
      </c>
      <c r="BY78">
        <f>$C78*BY77</f>
        <v/>
      </c>
      <c r="BZ78">
        <f>$C78*BZ77</f>
        <v/>
      </c>
      <c r="CA78">
        <f>$C78*CA77</f>
        <v/>
      </c>
      <c r="CB78">
        <f>$C78*CB77</f>
        <v/>
      </c>
      <c r="CC78">
        <f>$C78*CC77</f>
        <v/>
      </c>
      <c r="CD78">
        <f>$C78*CD77</f>
        <v/>
      </c>
      <c r="CE78">
        <f>$C78*CE77</f>
        <v/>
      </c>
      <c r="CF78">
        <f>$C78*CF77</f>
        <v/>
      </c>
      <c r="CG78">
        <f>$C78*CG77</f>
        <v/>
      </c>
      <c r="CH78">
        <f>$C78*CH77</f>
        <v/>
      </c>
      <c r="CI78">
        <f>$C78*CI77</f>
        <v/>
      </c>
      <c r="CJ78">
        <f>$C78*CJ77</f>
        <v/>
      </c>
      <c r="CK78">
        <f>$C78*CK77</f>
        <v/>
      </c>
      <c r="CL78">
        <f>$C78*CL77</f>
        <v/>
      </c>
      <c r="CM78">
        <f>$C78*CM77</f>
        <v/>
      </c>
      <c r="CN78">
        <f>$C78*CN77</f>
        <v/>
      </c>
      <c r="CO78">
        <f>$C78*CO77</f>
        <v/>
      </c>
      <c r="CP78">
        <f>$C78*CP77</f>
        <v/>
      </c>
      <c r="CQ78">
        <f>$C78*CQ77</f>
        <v/>
      </c>
      <c r="CR78">
        <f>$C78*CR77</f>
        <v/>
      </c>
      <c r="CS78">
        <f>$C78*CS77</f>
        <v/>
      </c>
      <c r="CT78">
        <f>$C78*CT77</f>
        <v/>
      </c>
      <c r="CU78">
        <f>$C78*CU77</f>
        <v/>
      </c>
      <c r="CV78">
        <f>$C78*CV77</f>
        <v/>
      </c>
      <c r="CW78">
        <f>$C78*CW77</f>
        <v/>
      </c>
      <c r="CX78">
        <f>$C78*CX77</f>
        <v/>
      </c>
      <c r="CY78">
        <f>$C78*CY77</f>
        <v/>
      </c>
      <c r="CZ78">
        <f>$C78*CZ77</f>
        <v/>
      </c>
      <c r="DA78">
        <f>$C78*DA77</f>
        <v/>
      </c>
      <c r="DB78">
        <f>$C78*DB77</f>
        <v/>
      </c>
      <c r="DC78">
        <f>$C78*DC77</f>
        <v/>
      </c>
    </row>
    <row r="79">
      <c r="B79" t="inlineStr">
        <is>
          <t>TSP-360</t>
        </is>
      </c>
      <c r="C79" t="inlineStr">
        <is>
          <t>No. of batches</t>
        </is>
      </c>
      <c r="D79">
        <f>IFERROR(INDEX(PP_Grid[#Data],$DD79,2),0)</f>
        <v/>
      </c>
      <c r="E79">
        <f>IFERROR(INDEX(PP_Grid[#Data],$DD79,3),0)</f>
        <v/>
      </c>
      <c r="F79">
        <f>IFERROR(INDEX(PP_Grid[#Data],$DD79,4),0)</f>
        <v/>
      </c>
      <c r="G79">
        <f>IFERROR(INDEX(PP_Grid[#Data],$DD79,5),0)</f>
        <v/>
      </c>
      <c r="H79">
        <f>IFERROR(INDEX(PP_Grid[#Data],$DD79,6),0)</f>
        <v/>
      </c>
      <c r="I79">
        <f>IFERROR(INDEX(PP_Grid[#Data],$DD79,7),0)</f>
        <v/>
      </c>
      <c r="J79">
        <f>IFERROR(INDEX(PP_Grid[#Data],$DD79,8),0)</f>
        <v/>
      </c>
      <c r="K79">
        <f>IFERROR(INDEX(PP_Grid[#Data],$DD79,9),0)</f>
        <v/>
      </c>
      <c r="L79">
        <f>IFERROR(INDEX(PP_Grid[#Data],$DD79,10),0)</f>
        <v/>
      </c>
      <c r="M79">
        <f>IFERROR(INDEX(PP_Grid[#Data],$DD79,11),0)</f>
        <v/>
      </c>
      <c r="N79">
        <f>IFERROR(INDEX(PP_Grid[#Data],$DD79,12),0)</f>
        <v/>
      </c>
      <c r="O79">
        <f>IFERROR(INDEX(PP_Grid[#Data],$DD79,13),0)</f>
        <v/>
      </c>
      <c r="P79">
        <f>IFERROR(INDEX(PP_Grid[#Data],$DD79,14),0)</f>
        <v/>
      </c>
      <c r="Q79">
        <f>IFERROR(INDEX(PP_Grid[#Data],$DD79,15),0)</f>
        <v/>
      </c>
      <c r="R79">
        <f>IFERROR(INDEX(PP_Grid[#Data],$DD79,16),0)</f>
        <v/>
      </c>
      <c r="S79">
        <f>IFERROR(INDEX(PP_Grid[#Data],$DD79,17),0)</f>
        <v/>
      </c>
      <c r="T79">
        <f>IFERROR(INDEX(PP_Grid[#Data],$DD79,18),0)</f>
        <v/>
      </c>
      <c r="U79">
        <f>IFERROR(INDEX(PP_Grid[#Data],$DD79,19),0)</f>
        <v/>
      </c>
      <c r="V79">
        <f>IFERROR(INDEX(PP_Grid[#Data],$DD79,20),0)</f>
        <v/>
      </c>
      <c r="W79">
        <f>IFERROR(INDEX(PP_Grid[#Data],$DD79,21),0)</f>
        <v/>
      </c>
      <c r="X79">
        <f>IFERROR(INDEX(PP_Grid[#Data],$DD79,22),0)</f>
        <v/>
      </c>
      <c r="Y79">
        <f>IFERROR(INDEX(PP_Grid[#Data],$DD79,23),0)</f>
        <v/>
      </c>
      <c r="Z79">
        <f>IFERROR(INDEX(PP_Grid[#Data],$DD79,24),0)</f>
        <v/>
      </c>
      <c r="AA79">
        <f>IFERROR(INDEX(PP_Grid[#Data],$DD79,25),0)</f>
        <v/>
      </c>
      <c r="AB79">
        <f>IFERROR(INDEX(PP_Grid[#Data],$DD79,26),0)</f>
        <v/>
      </c>
      <c r="AC79">
        <f>IFERROR(INDEX(PP_Grid[#Data],$DD79,27),0)</f>
        <v/>
      </c>
      <c r="AD79">
        <f>IFERROR(INDEX(PP_Grid[#Data],$DD79,28),0)</f>
        <v/>
      </c>
      <c r="AE79">
        <f>IFERROR(INDEX(PP_Grid[#Data],$DD79,29),0)</f>
        <v/>
      </c>
      <c r="AF79">
        <f>IFERROR(INDEX(PP_Grid[#Data],$DD79,30),0)</f>
        <v/>
      </c>
      <c r="AG79">
        <f>IFERROR(INDEX(PP_Grid[#Data],$DD79,31),0)</f>
        <v/>
      </c>
      <c r="AH79">
        <f>IFERROR(INDEX(PP_Grid[#Data],$DD79,32),0)</f>
        <v/>
      </c>
      <c r="AI79">
        <f>IFERROR(INDEX(PP_Grid[#Data],$DD79,33),0)</f>
        <v/>
      </c>
      <c r="AJ79">
        <f>IFERROR(INDEX(PP_Grid[#Data],$DD79,34),0)</f>
        <v/>
      </c>
      <c r="AK79">
        <f>IFERROR(INDEX(PP_Grid[#Data],$DD79,35),0)</f>
        <v/>
      </c>
      <c r="AL79">
        <f>IFERROR(INDEX(PP_Grid[#Data],$DD79,36),0)</f>
        <v/>
      </c>
      <c r="AM79">
        <f>IFERROR(INDEX(PP_Grid[#Data],$DD79,37),0)</f>
        <v/>
      </c>
      <c r="AN79">
        <f>IFERROR(INDEX(PP_Grid[#Data],$DD79,38),0)</f>
        <v/>
      </c>
      <c r="AO79">
        <f>IFERROR(INDEX(PP_Grid[#Data],$DD79,39),0)</f>
        <v/>
      </c>
      <c r="AP79">
        <f>IFERROR(INDEX(PP_Grid[#Data],$DD79,40),0)</f>
        <v/>
      </c>
      <c r="AQ79">
        <f>IFERROR(INDEX(PP_Grid[#Data],$DD79,41),0)</f>
        <v/>
      </c>
      <c r="AR79">
        <f>IFERROR(INDEX(PP_Grid[#Data],$DD79,42),0)</f>
        <v/>
      </c>
      <c r="AS79">
        <f>IFERROR(INDEX(PP_Grid[#Data],$DD79,43),0)</f>
        <v/>
      </c>
      <c r="AT79">
        <f>IFERROR(INDEX(PP_Grid[#Data],$DD79,44),0)</f>
        <v/>
      </c>
      <c r="AU79">
        <f>IFERROR(INDEX(PP_Grid[#Data],$DD79,45),0)</f>
        <v/>
      </c>
      <c r="AV79">
        <f>IFERROR(INDEX(PP_Grid[#Data],$DD79,46),0)</f>
        <v/>
      </c>
      <c r="AW79">
        <f>IFERROR(INDEX(PP_Grid[#Data],$DD79,47),0)</f>
        <v/>
      </c>
      <c r="AX79">
        <f>IFERROR(INDEX(PP_Grid[#Data],$DD79,48),0)</f>
        <v/>
      </c>
      <c r="AY79">
        <f>IFERROR(INDEX(PP_Grid[#Data],$DD79,49),0)</f>
        <v/>
      </c>
      <c r="AZ79">
        <f>IFERROR(INDEX(PP_Grid[#Data],$DD79,50),0)</f>
        <v/>
      </c>
      <c r="BA79">
        <f>IFERROR(INDEX(PP_Grid[#Data],$DD79,51),0)</f>
        <v/>
      </c>
      <c r="BB79">
        <f>IFERROR(INDEX(PP_Grid[#Data],$DD79,52),0)</f>
        <v/>
      </c>
      <c r="BC79">
        <f>IFERROR(INDEX(PP_Grid[#Data],$DD79,53),0)</f>
        <v/>
      </c>
      <c r="BD79">
        <f>IFERROR(INDEX(PP_Grid[#Data],$DD79,54),0)</f>
        <v/>
      </c>
      <c r="BE79">
        <f>IFERROR(INDEX(PP_Grid[#Data],$DD79,55),0)</f>
        <v/>
      </c>
      <c r="BF79">
        <f>IFERROR(INDEX(PP_Grid[#Data],$DD79,56),0)</f>
        <v/>
      </c>
      <c r="BG79">
        <f>IFERROR(INDEX(PP_Grid[#Data],$DD79,57),0)</f>
        <v/>
      </c>
      <c r="BH79">
        <f>IFERROR(INDEX(PP_Grid[#Data],$DD79,58),0)</f>
        <v/>
      </c>
      <c r="BI79">
        <f>IFERROR(INDEX(PP_Grid[#Data],$DD79,59),0)</f>
        <v/>
      </c>
      <c r="BJ79">
        <f>IFERROR(INDEX(PP_Grid[#Data],$DD79,60),0)</f>
        <v/>
      </c>
      <c r="BK79">
        <f>IFERROR(INDEX(PP_Grid[#Data],$DD79,61),0)</f>
        <v/>
      </c>
      <c r="BL79">
        <f>IFERROR(INDEX(PP_Grid[#Data],$DD79,62),0)</f>
        <v/>
      </c>
      <c r="BM79">
        <f>IFERROR(INDEX(PP_Grid[#Data],$DD79,63),0)</f>
        <v/>
      </c>
      <c r="BN79">
        <f>IFERROR(INDEX(PP_Grid[#Data],$DD79,64),0)</f>
        <v/>
      </c>
      <c r="BO79">
        <f>IFERROR(INDEX(PP_Grid[#Data],$DD79,65),0)</f>
        <v/>
      </c>
      <c r="BP79">
        <f>IFERROR(INDEX(PP_Grid[#Data],$DD79,66),0)</f>
        <v/>
      </c>
      <c r="BQ79">
        <f>IFERROR(INDEX(PP_Grid[#Data],$DD79,67),0)</f>
        <v/>
      </c>
      <c r="BR79">
        <f>IFERROR(INDEX(PP_Grid[#Data],$DD79,68),0)</f>
        <v/>
      </c>
      <c r="BS79">
        <f>IFERROR(INDEX(PP_Grid[#Data],$DD79,69),0)</f>
        <v/>
      </c>
      <c r="BT79">
        <f>IFERROR(INDEX(PP_Grid[#Data],$DD79,70),0)</f>
        <v/>
      </c>
      <c r="BU79">
        <f>IFERROR(INDEX(PP_Grid[#Data],$DD79,71),0)</f>
        <v/>
      </c>
      <c r="BV79">
        <f>IFERROR(INDEX(PP_Grid[#Data],$DD79,72),0)</f>
        <v/>
      </c>
      <c r="BW79">
        <f>IFERROR(INDEX(PP_Grid[#Data],$DD79,73),0)</f>
        <v/>
      </c>
      <c r="BX79">
        <f>IFERROR(INDEX(PP_Grid[#Data],$DD79,74),0)</f>
        <v/>
      </c>
      <c r="BY79">
        <f>IFERROR(INDEX(PP_Grid[#Data],$DD79,75),0)</f>
        <v/>
      </c>
      <c r="BZ79">
        <f>IFERROR(INDEX(PP_Grid[#Data],$DD79,76),0)</f>
        <v/>
      </c>
      <c r="CA79">
        <f>IFERROR(INDEX(PP_Grid[#Data],$DD79,77),0)</f>
        <v/>
      </c>
      <c r="CB79">
        <f>IFERROR(INDEX(PP_Grid[#Data],$DD79,78),0)</f>
        <v/>
      </c>
      <c r="CC79">
        <f>IFERROR(INDEX(PP_Grid[#Data],$DD79,79),0)</f>
        <v/>
      </c>
      <c r="CD79">
        <f>IFERROR(INDEX(PP_Grid[#Data],$DD79,80),0)</f>
        <v/>
      </c>
      <c r="CE79">
        <f>IFERROR(INDEX(PP_Grid[#Data],$DD79,81),0)</f>
        <v/>
      </c>
      <c r="CF79">
        <f>IFERROR(INDEX(PP_Grid[#Data],$DD79,82),0)</f>
        <v/>
      </c>
      <c r="CG79">
        <f>IFERROR(INDEX(PP_Grid[#Data],$DD79,83),0)</f>
        <v/>
      </c>
      <c r="CH79">
        <f>IFERROR(INDEX(PP_Grid[#Data],$DD79,84),0)</f>
        <v/>
      </c>
      <c r="CI79">
        <f>IFERROR(INDEX(PP_Grid[#Data],$DD79,85),0)</f>
        <v/>
      </c>
      <c r="CJ79">
        <f>IFERROR(INDEX(PP_Grid[#Data],$DD79,86),0)</f>
        <v/>
      </c>
      <c r="CK79">
        <f>IFERROR(INDEX(PP_Grid[#Data],$DD79,87),0)</f>
        <v/>
      </c>
      <c r="CL79">
        <f>IFERROR(INDEX(PP_Grid[#Data],$DD79,88),0)</f>
        <v/>
      </c>
      <c r="CM79">
        <f>IFERROR(INDEX(PP_Grid[#Data],$DD79,89),0)</f>
        <v/>
      </c>
      <c r="CN79">
        <f>IFERROR(INDEX(PP_Grid[#Data],$DD79,90),0)</f>
        <v/>
      </c>
      <c r="CO79">
        <f>IFERROR(INDEX(PP_Grid[#Data],$DD79,91),0)</f>
        <v/>
      </c>
      <c r="CP79">
        <f>IFERROR(INDEX(PP_Grid[#Data],$DD79,92),0)</f>
        <v/>
      </c>
      <c r="CQ79">
        <f>IFERROR(INDEX(PP_Grid[#Data],$DD79,93),0)</f>
        <v/>
      </c>
      <c r="CR79">
        <f>IFERROR(INDEX(PP_Grid[#Data],$DD79,94),0)</f>
        <v/>
      </c>
      <c r="CS79">
        <f>IFERROR(INDEX(PP_Grid[#Data],$DD79,95),0)</f>
        <v/>
      </c>
      <c r="CT79">
        <f>IFERROR(INDEX(PP_Grid[#Data],$DD79,96),0)</f>
        <v/>
      </c>
      <c r="CU79">
        <f>IFERROR(INDEX(PP_Grid[#Data],$DD79,97),0)</f>
        <v/>
      </c>
      <c r="CV79">
        <f>IFERROR(INDEX(PP_Grid[#Data],$DD79,98),0)</f>
        <v/>
      </c>
      <c r="CW79">
        <f>IFERROR(INDEX(PP_Grid[#Data],$DD79,99),0)</f>
        <v/>
      </c>
      <c r="CX79">
        <f>IFERROR(INDEX(PP_Grid[#Data],$DD79,100),0)</f>
        <v/>
      </c>
      <c r="CY79">
        <f>IFERROR(INDEX(PP_Grid[#Data],$DD79,101),0)</f>
        <v/>
      </c>
      <c r="CZ79">
        <f>IFERROR(INDEX(PP_Grid[#Data],$DD79,102),0)</f>
        <v/>
      </c>
      <c r="DA79">
        <f>IFERROR(INDEX(PP_Grid[#Data],$DD79,103),0)</f>
        <v/>
      </c>
      <c r="DB79">
        <f>IFERROR(INDEX(PP_Grid[#Data],$DD79,104),0)</f>
        <v/>
      </c>
      <c r="DC79">
        <f>IFERROR(INDEX(PP_Grid[#Data],$DD79,105),0)</f>
        <v/>
      </c>
      <c r="DD79" s="7">
        <f>IFERROR(MATCH($B79,PP_Grid[Intermediate],0),99999)</f>
        <v/>
      </c>
    </row>
    <row r="80">
      <c r="B80" t="inlineStr">
        <is>
          <t>使用量(kg)</t>
        </is>
      </c>
      <c r="C80">
        <f>SUMIFS(M_BOM[RM_Qty_Per_Batch],M_BOM[Intermediate],$B79,M_BOM[Part Name],$A44)</f>
        <v/>
      </c>
      <c r="D80">
        <f>$C80*D79</f>
        <v/>
      </c>
      <c r="E80">
        <f>$C80*E79</f>
        <v/>
      </c>
      <c r="F80">
        <f>$C80*F79</f>
        <v/>
      </c>
      <c r="G80">
        <f>$C80*G79</f>
        <v/>
      </c>
      <c r="H80">
        <f>$C80*H79</f>
        <v/>
      </c>
      <c r="I80">
        <f>$C80*I79</f>
        <v/>
      </c>
      <c r="J80">
        <f>$C80*J79</f>
        <v/>
      </c>
      <c r="K80">
        <f>$C80*K79</f>
        <v/>
      </c>
      <c r="L80">
        <f>$C80*L79</f>
        <v/>
      </c>
      <c r="M80">
        <f>$C80*M79</f>
        <v/>
      </c>
      <c r="N80">
        <f>$C80*N79</f>
        <v/>
      </c>
      <c r="O80">
        <f>$C80*O79</f>
        <v/>
      </c>
      <c r="P80">
        <f>$C80*P79</f>
        <v/>
      </c>
      <c r="Q80">
        <f>$C80*Q79</f>
        <v/>
      </c>
      <c r="R80">
        <f>$C80*R79</f>
        <v/>
      </c>
      <c r="S80">
        <f>$C80*S79</f>
        <v/>
      </c>
      <c r="T80">
        <f>$C80*T79</f>
        <v/>
      </c>
      <c r="U80">
        <f>$C80*U79</f>
        <v/>
      </c>
      <c r="V80">
        <f>$C80*V79</f>
        <v/>
      </c>
      <c r="W80">
        <f>$C80*W79</f>
        <v/>
      </c>
      <c r="X80">
        <f>$C80*X79</f>
        <v/>
      </c>
      <c r="Y80">
        <f>$C80*Y79</f>
        <v/>
      </c>
      <c r="Z80">
        <f>$C80*Z79</f>
        <v/>
      </c>
      <c r="AA80">
        <f>$C80*AA79</f>
        <v/>
      </c>
      <c r="AB80">
        <f>$C80*AB79</f>
        <v/>
      </c>
      <c r="AC80">
        <f>$C80*AC79</f>
        <v/>
      </c>
      <c r="AD80">
        <f>$C80*AD79</f>
        <v/>
      </c>
      <c r="AE80">
        <f>$C80*AE79</f>
        <v/>
      </c>
      <c r="AF80">
        <f>$C80*AF79</f>
        <v/>
      </c>
      <c r="AG80">
        <f>$C80*AG79</f>
        <v/>
      </c>
      <c r="AH80">
        <f>$C80*AH79</f>
        <v/>
      </c>
      <c r="AI80">
        <f>$C80*AI79</f>
        <v/>
      </c>
      <c r="AJ80">
        <f>$C80*AJ79</f>
        <v/>
      </c>
      <c r="AK80">
        <f>$C80*AK79</f>
        <v/>
      </c>
      <c r="AL80">
        <f>$C80*AL79</f>
        <v/>
      </c>
      <c r="AM80">
        <f>$C80*AM79</f>
        <v/>
      </c>
      <c r="AN80">
        <f>$C80*AN79</f>
        <v/>
      </c>
      <c r="AO80">
        <f>$C80*AO79</f>
        <v/>
      </c>
      <c r="AP80">
        <f>$C80*AP79</f>
        <v/>
      </c>
      <c r="AQ80">
        <f>$C80*AQ79</f>
        <v/>
      </c>
      <c r="AR80">
        <f>$C80*AR79</f>
        <v/>
      </c>
      <c r="AS80">
        <f>$C80*AS79</f>
        <v/>
      </c>
      <c r="AT80">
        <f>$C80*AT79</f>
        <v/>
      </c>
      <c r="AU80">
        <f>$C80*AU79</f>
        <v/>
      </c>
      <c r="AV80">
        <f>$C80*AV79</f>
        <v/>
      </c>
      <c r="AW80">
        <f>$C80*AW79</f>
        <v/>
      </c>
      <c r="AX80">
        <f>$C80*AX79</f>
        <v/>
      </c>
      <c r="AY80">
        <f>$C80*AY79</f>
        <v/>
      </c>
      <c r="AZ80">
        <f>$C80*AZ79</f>
        <v/>
      </c>
      <c r="BA80">
        <f>$C80*BA79</f>
        <v/>
      </c>
      <c r="BB80">
        <f>$C80*BB79</f>
        <v/>
      </c>
      <c r="BC80">
        <f>$C80*BC79</f>
        <v/>
      </c>
      <c r="BD80">
        <f>$C80*BD79</f>
        <v/>
      </c>
      <c r="BE80">
        <f>$C80*BE79</f>
        <v/>
      </c>
      <c r="BF80">
        <f>$C80*BF79</f>
        <v/>
      </c>
      <c r="BG80">
        <f>$C80*BG79</f>
        <v/>
      </c>
      <c r="BH80">
        <f>$C80*BH79</f>
        <v/>
      </c>
      <c r="BI80">
        <f>$C80*BI79</f>
        <v/>
      </c>
      <c r="BJ80">
        <f>$C80*BJ79</f>
        <v/>
      </c>
      <c r="BK80">
        <f>$C80*BK79</f>
        <v/>
      </c>
      <c r="BL80">
        <f>$C80*BL79</f>
        <v/>
      </c>
      <c r="BM80">
        <f>$C80*BM79</f>
        <v/>
      </c>
      <c r="BN80">
        <f>$C80*BN79</f>
        <v/>
      </c>
      <c r="BO80">
        <f>$C80*BO79</f>
        <v/>
      </c>
      <c r="BP80">
        <f>$C80*BP79</f>
        <v/>
      </c>
      <c r="BQ80">
        <f>$C80*BQ79</f>
        <v/>
      </c>
      <c r="BR80">
        <f>$C80*BR79</f>
        <v/>
      </c>
      <c r="BS80">
        <f>$C80*BS79</f>
        <v/>
      </c>
      <c r="BT80">
        <f>$C80*BT79</f>
        <v/>
      </c>
      <c r="BU80">
        <f>$C80*BU79</f>
        <v/>
      </c>
      <c r="BV80">
        <f>$C80*BV79</f>
        <v/>
      </c>
      <c r="BW80">
        <f>$C80*BW79</f>
        <v/>
      </c>
      <c r="BX80">
        <f>$C80*BX79</f>
        <v/>
      </c>
      <c r="BY80">
        <f>$C80*BY79</f>
        <v/>
      </c>
      <c r="BZ80">
        <f>$C80*BZ79</f>
        <v/>
      </c>
      <c r="CA80">
        <f>$C80*CA79</f>
        <v/>
      </c>
      <c r="CB80">
        <f>$C80*CB79</f>
        <v/>
      </c>
      <c r="CC80">
        <f>$C80*CC79</f>
        <v/>
      </c>
      <c r="CD80">
        <f>$C80*CD79</f>
        <v/>
      </c>
      <c r="CE80">
        <f>$C80*CE79</f>
        <v/>
      </c>
      <c r="CF80">
        <f>$C80*CF79</f>
        <v/>
      </c>
      <c r="CG80">
        <f>$C80*CG79</f>
        <v/>
      </c>
      <c r="CH80">
        <f>$C80*CH79</f>
        <v/>
      </c>
      <c r="CI80">
        <f>$C80*CI79</f>
        <v/>
      </c>
      <c r="CJ80">
        <f>$C80*CJ79</f>
        <v/>
      </c>
      <c r="CK80">
        <f>$C80*CK79</f>
        <v/>
      </c>
      <c r="CL80">
        <f>$C80*CL79</f>
        <v/>
      </c>
      <c r="CM80">
        <f>$C80*CM79</f>
        <v/>
      </c>
      <c r="CN80">
        <f>$C80*CN79</f>
        <v/>
      </c>
      <c r="CO80">
        <f>$C80*CO79</f>
        <v/>
      </c>
      <c r="CP80">
        <f>$C80*CP79</f>
        <v/>
      </c>
      <c r="CQ80">
        <f>$C80*CQ79</f>
        <v/>
      </c>
      <c r="CR80">
        <f>$C80*CR79</f>
        <v/>
      </c>
      <c r="CS80">
        <f>$C80*CS79</f>
        <v/>
      </c>
      <c r="CT80">
        <f>$C80*CT79</f>
        <v/>
      </c>
      <c r="CU80">
        <f>$C80*CU79</f>
        <v/>
      </c>
      <c r="CV80">
        <f>$C80*CV79</f>
        <v/>
      </c>
      <c r="CW80">
        <f>$C80*CW79</f>
        <v/>
      </c>
      <c r="CX80">
        <f>$C80*CX79</f>
        <v/>
      </c>
      <c r="CY80">
        <f>$C80*CY79</f>
        <v/>
      </c>
      <c r="CZ80">
        <f>$C80*CZ79</f>
        <v/>
      </c>
      <c r="DA80">
        <f>$C80*DA79</f>
        <v/>
      </c>
      <c r="DB80">
        <f>$C80*DB79</f>
        <v/>
      </c>
      <c r="DC80">
        <f>$C80*DC79</f>
        <v/>
      </c>
    </row>
    <row r="81">
      <c r="B81" t="inlineStr">
        <is>
          <t>TSP-367</t>
        </is>
      </c>
      <c r="C81" t="inlineStr">
        <is>
          <t>No. of batches</t>
        </is>
      </c>
      <c r="D81">
        <f>IFERROR(INDEX(PP_Grid[#Data],$DD81,2),0)</f>
        <v/>
      </c>
      <c r="E81">
        <f>IFERROR(INDEX(PP_Grid[#Data],$DD81,3),0)</f>
        <v/>
      </c>
      <c r="F81">
        <f>IFERROR(INDEX(PP_Grid[#Data],$DD81,4),0)</f>
        <v/>
      </c>
      <c r="G81">
        <f>IFERROR(INDEX(PP_Grid[#Data],$DD81,5),0)</f>
        <v/>
      </c>
      <c r="H81">
        <f>IFERROR(INDEX(PP_Grid[#Data],$DD81,6),0)</f>
        <v/>
      </c>
      <c r="I81">
        <f>IFERROR(INDEX(PP_Grid[#Data],$DD81,7),0)</f>
        <v/>
      </c>
      <c r="J81">
        <f>IFERROR(INDEX(PP_Grid[#Data],$DD81,8),0)</f>
        <v/>
      </c>
      <c r="K81">
        <f>IFERROR(INDEX(PP_Grid[#Data],$DD81,9),0)</f>
        <v/>
      </c>
      <c r="L81">
        <f>IFERROR(INDEX(PP_Grid[#Data],$DD81,10),0)</f>
        <v/>
      </c>
      <c r="M81">
        <f>IFERROR(INDEX(PP_Grid[#Data],$DD81,11),0)</f>
        <v/>
      </c>
      <c r="N81">
        <f>IFERROR(INDEX(PP_Grid[#Data],$DD81,12),0)</f>
        <v/>
      </c>
      <c r="O81">
        <f>IFERROR(INDEX(PP_Grid[#Data],$DD81,13),0)</f>
        <v/>
      </c>
      <c r="P81">
        <f>IFERROR(INDEX(PP_Grid[#Data],$DD81,14),0)</f>
        <v/>
      </c>
      <c r="Q81">
        <f>IFERROR(INDEX(PP_Grid[#Data],$DD81,15),0)</f>
        <v/>
      </c>
      <c r="R81">
        <f>IFERROR(INDEX(PP_Grid[#Data],$DD81,16),0)</f>
        <v/>
      </c>
      <c r="S81">
        <f>IFERROR(INDEX(PP_Grid[#Data],$DD81,17),0)</f>
        <v/>
      </c>
      <c r="T81">
        <f>IFERROR(INDEX(PP_Grid[#Data],$DD81,18),0)</f>
        <v/>
      </c>
      <c r="U81">
        <f>IFERROR(INDEX(PP_Grid[#Data],$DD81,19),0)</f>
        <v/>
      </c>
      <c r="V81">
        <f>IFERROR(INDEX(PP_Grid[#Data],$DD81,20),0)</f>
        <v/>
      </c>
      <c r="W81">
        <f>IFERROR(INDEX(PP_Grid[#Data],$DD81,21),0)</f>
        <v/>
      </c>
      <c r="X81">
        <f>IFERROR(INDEX(PP_Grid[#Data],$DD81,22),0)</f>
        <v/>
      </c>
      <c r="Y81">
        <f>IFERROR(INDEX(PP_Grid[#Data],$DD81,23),0)</f>
        <v/>
      </c>
      <c r="Z81">
        <f>IFERROR(INDEX(PP_Grid[#Data],$DD81,24),0)</f>
        <v/>
      </c>
      <c r="AA81">
        <f>IFERROR(INDEX(PP_Grid[#Data],$DD81,25),0)</f>
        <v/>
      </c>
      <c r="AB81">
        <f>IFERROR(INDEX(PP_Grid[#Data],$DD81,26),0)</f>
        <v/>
      </c>
      <c r="AC81">
        <f>IFERROR(INDEX(PP_Grid[#Data],$DD81,27),0)</f>
        <v/>
      </c>
      <c r="AD81">
        <f>IFERROR(INDEX(PP_Grid[#Data],$DD81,28),0)</f>
        <v/>
      </c>
      <c r="AE81">
        <f>IFERROR(INDEX(PP_Grid[#Data],$DD81,29),0)</f>
        <v/>
      </c>
      <c r="AF81">
        <f>IFERROR(INDEX(PP_Grid[#Data],$DD81,30),0)</f>
        <v/>
      </c>
      <c r="AG81">
        <f>IFERROR(INDEX(PP_Grid[#Data],$DD81,31),0)</f>
        <v/>
      </c>
      <c r="AH81">
        <f>IFERROR(INDEX(PP_Grid[#Data],$DD81,32),0)</f>
        <v/>
      </c>
      <c r="AI81">
        <f>IFERROR(INDEX(PP_Grid[#Data],$DD81,33),0)</f>
        <v/>
      </c>
      <c r="AJ81">
        <f>IFERROR(INDEX(PP_Grid[#Data],$DD81,34),0)</f>
        <v/>
      </c>
      <c r="AK81">
        <f>IFERROR(INDEX(PP_Grid[#Data],$DD81,35),0)</f>
        <v/>
      </c>
      <c r="AL81">
        <f>IFERROR(INDEX(PP_Grid[#Data],$DD81,36),0)</f>
        <v/>
      </c>
      <c r="AM81">
        <f>IFERROR(INDEX(PP_Grid[#Data],$DD81,37),0)</f>
        <v/>
      </c>
      <c r="AN81">
        <f>IFERROR(INDEX(PP_Grid[#Data],$DD81,38),0)</f>
        <v/>
      </c>
      <c r="AO81">
        <f>IFERROR(INDEX(PP_Grid[#Data],$DD81,39),0)</f>
        <v/>
      </c>
      <c r="AP81">
        <f>IFERROR(INDEX(PP_Grid[#Data],$DD81,40),0)</f>
        <v/>
      </c>
      <c r="AQ81">
        <f>IFERROR(INDEX(PP_Grid[#Data],$DD81,41),0)</f>
        <v/>
      </c>
      <c r="AR81">
        <f>IFERROR(INDEX(PP_Grid[#Data],$DD81,42),0)</f>
        <v/>
      </c>
      <c r="AS81">
        <f>IFERROR(INDEX(PP_Grid[#Data],$DD81,43),0)</f>
        <v/>
      </c>
      <c r="AT81">
        <f>IFERROR(INDEX(PP_Grid[#Data],$DD81,44),0)</f>
        <v/>
      </c>
      <c r="AU81">
        <f>IFERROR(INDEX(PP_Grid[#Data],$DD81,45),0)</f>
        <v/>
      </c>
      <c r="AV81">
        <f>IFERROR(INDEX(PP_Grid[#Data],$DD81,46),0)</f>
        <v/>
      </c>
      <c r="AW81">
        <f>IFERROR(INDEX(PP_Grid[#Data],$DD81,47),0)</f>
        <v/>
      </c>
      <c r="AX81">
        <f>IFERROR(INDEX(PP_Grid[#Data],$DD81,48),0)</f>
        <v/>
      </c>
      <c r="AY81">
        <f>IFERROR(INDEX(PP_Grid[#Data],$DD81,49),0)</f>
        <v/>
      </c>
      <c r="AZ81">
        <f>IFERROR(INDEX(PP_Grid[#Data],$DD81,50),0)</f>
        <v/>
      </c>
      <c r="BA81">
        <f>IFERROR(INDEX(PP_Grid[#Data],$DD81,51),0)</f>
        <v/>
      </c>
      <c r="BB81">
        <f>IFERROR(INDEX(PP_Grid[#Data],$DD81,52),0)</f>
        <v/>
      </c>
      <c r="BC81">
        <f>IFERROR(INDEX(PP_Grid[#Data],$DD81,53),0)</f>
        <v/>
      </c>
      <c r="BD81">
        <f>IFERROR(INDEX(PP_Grid[#Data],$DD81,54),0)</f>
        <v/>
      </c>
      <c r="BE81">
        <f>IFERROR(INDEX(PP_Grid[#Data],$DD81,55),0)</f>
        <v/>
      </c>
      <c r="BF81">
        <f>IFERROR(INDEX(PP_Grid[#Data],$DD81,56),0)</f>
        <v/>
      </c>
      <c r="BG81">
        <f>IFERROR(INDEX(PP_Grid[#Data],$DD81,57),0)</f>
        <v/>
      </c>
      <c r="BH81">
        <f>IFERROR(INDEX(PP_Grid[#Data],$DD81,58),0)</f>
        <v/>
      </c>
      <c r="BI81">
        <f>IFERROR(INDEX(PP_Grid[#Data],$DD81,59),0)</f>
        <v/>
      </c>
      <c r="BJ81">
        <f>IFERROR(INDEX(PP_Grid[#Data],$DD81,60),0)</f>
        <v/>
      </c>
      <c r="BK81">
        <f>IFERROR(INDEX(PP_Grid[#Data],$DD81,61),0)</f>
        <v/>
      </c>
      <c r="BL81">
        <f>IFERROR(INDEX(PP_Grid[#Data],$DD81,62),0)</f>
        <v/>
      </c>
      <c r="BM81">
        <f>IFERROR(INDEX(PP_Grid[#Data],$DD81,63),0)</f>
        <v/>
      </c>
      <c r="BN81">
        <f>IFERROR(INDEX(PP_Grid[#Data],$DD81,64),0)</f>
        <v/>
      </c>
      <c r="BO81">
        <f>IFERROR(INDEX(PP_Grid[#Data],$DD81,65),0)</f>
        <v/>
      </c>
      <c r="BP81">
        <f>IFERROR(INDEX(PP_Grid[#Data],$DD81,66),0)</f>
        <v/>
      </c>
      <c r="BQ81">
        <f>IFERROR(INDEX(PP_Grid[#Data],$DD81,67),0)</f>
        <v/>
      </c>
      <c r="BR81">
        <f>IFERROR(INDEX(PP_Grid[#Data],$DD81,68),0)</f>
        <v/>
      </c>
      <c r="BS81">
        <f>IFERROR(INDEX(PP_Grid[#Data],$DD81,69),0)</f>
        <v/>
      </c>
      <c r="BT81">
        <f>IFERROR(INDEX(PP_Grid[#Data],$DD81,70),0)</f>
        <v/>
      </c>
      <c r="BU81">
        <f>IFERROR(INDEX(PP_Grid[#Data],$DD81,71),0)</f>
        <v/>
      </c>
      <c r="BV81">
        <f>IFERROR(INDEX(PP_Grid[#Data],$DD81,72),0)</f>
        <v/>
      </c>
      <c r="BW81">
        <f>IFERROR(INDEX(PP_Grid[#Data],$DD81,73),0)</f>
        <v/>
      </c>
      <c r="BX81">
        <f>IFERROR(INDEX(PP_Grid[#Data],$DD81,74),0)</f>
        <v/>
      </c>
      <c r="BY81">
        <f>IFERROR(INDEX(PP_Grid[#Data],$DD81,75),0)</f>
        <v/>
      </c>
      <c r="BZ81">
        <f>IFERROR(INDEX(PP_Grid[#Data],$DD81,76),0)</f>
        <v/>
      </c>
      <c r="CA81">
        <f>IFERROR(INDEX(PP_Grid[#Data],$DD81,77),0)</f>
        <v/>
      </c>
      <c r="CB81">
        <f>IFERROR(INDEX(PP_Grid[#Data],$DD81,78),0)</f>
        <v/>
      </c>
      <c r="CC81">
        <f>IFERROR(INDEX(PP_Grid[#Data],$DD81,79),0)</f>
        <v/>
      </c>
      <c r="CD81">
        <f>IFERROR(INDEX(PP_Grid[#Data],$DD81,80),0)</f>
        <v/>
      </c>
      <c r="CE81">
        <f>IFERROR(INDEX(PP_Grid[#Data],$DD81,81),0)</f>
        <v/>
      </c>
      <c r="CF81">
        <f>IFERROR(INDEX(PP_Grid[#Data],$DD81,82),0)</f>
        <v/>
      </c>
      <c r="CG81">
        <f>IFERROR(INDEX(PP_Grid[#Data],$DD81,83),0)</f>
        <v/>
      </c>
      <c r="CH81">
        <f>IFERROR(INDEX(PP_Grid[#Data],$DD81,84),0)</f>
        <v/>
      </c>
      <c r="CI81">
        <f>IFERROR(INDEX(PP_Grid[#Data],$DD81,85),0)</f>
        <v/>
      </c>
      <c r="CJ81">
        <f>IFERROR(INDEX(PP_Grid[#Data],$DD81,86),0)</f>
        <v/>
      </c>
      <c r="CK81">
        <f>IFERROR(INDEX(PP_Grid[#Data],$DD81,87),0)</f>
        <v/>
      </c>
      <c r="CL81">
        <f>IFERROR(INDEX(PP_Grid[#Data],$DD81,88),0)</f>
        <v/>
      </c>
      <c r="CM81">
        <f>IFERROR(INDEX(PP_Grid[#Data],$DD81,89),0)</f>
        <v/>
      </c>
      <c r="CN81">
        <f>IFERROR(INDEX(PP_Grid[#Data],$DD81,90),0)</f>
        <v/>
      </c>
      <c r="CO81">
        <f>IFERROR(INDEX(PP_Grid[#Data],$DD81,91),0)</f>
        <v/>
      </c>
      <c r="CP81">
        <f>IFERROR(INDEX(PP_Grid[#Data],$DD81,92),0)</f>
        <v/>
      </c>
      <c r="CQ81">
        <f>IFERROR(INDEX(PP_Grid[#Data],$DD81,93),0)</f>
        <v/>
      </c>
      <c r="CR81">
        <f>IFERROR(INDEX(PP_Grid[#Data],$DD81,94),0)</f>
        <v/>
      </c>
      <c r="CS81">
        <f>IFERROR(INDEX(PP_Grid[#Data],$DD81,95),0)</f>
        <v/>
      </c>
      <c r="CT81">
        <f>IFERROR(INDEX(PP_Grid[#Data],$DD81,96),0)</f>
        <v/>
      </c>
      <c r="CU81">
        <f>IFERROR(INDEX(PP_Grid[#Data],$DD81,97),0)</f>
        <v/>
      </c>
      <c r="CV81">
        <f>IFERROR(INDEX(PP_Grid[#Data],$DD81,98),0)</f>
        <v/>
      </c>
      <c r="CW81">
        <f>IFERROR(INDEX(PP_Grid[#Data],$DD81,99),0)</f>
        <v/>
      </c>
      <c r="CX81">
        <f>IFERROR(INDEX(PP_Grid[#Data],$DD81,100),0)</f>
        <v/>
      </c>
      <c r="CY81">
        <f>IFERROR(INDEX(PP_Grid[#Data],$DD81,101),0)</f>
        <v/>
      </c>
      <c r="CZ81">
        <f>IFERROR(INDEX(PP_Grid[#Data],$DD81,102),0)</f>
        <v/>
      </c>
      <c r="DA81">
        <f>IFERROR(INDEX(PP_Grid[#Data],$DD81,103),0)</f>
        <v/>
      </c>
      <c r="DB81">
        <f>IFERROR(INDEX(PP_Grid[#Data],$DD81,104),0)</f>
        <v/>
      </c>
      <c r="DC81">
        <f>IFERROR(INDEX(PP_Grid[#Data],$DD81,105),0)</f>
        <v/>
      </c>
      <c r="DD81" s="7">
        <f>IFERROR(MATCH($B81,PP_Grid[Intermediate],0),99999)</f>
        <v/>
      </c>
    </row>
    <row r="82">
      <c r="B82" t="inlineStr">
        <is>
          <t>使用量(kg)</t>
        </is>
      </c>
      <c r="C82">
        <f>SUMIFS(M_BOM[RM_Qty_Per_Batch],M_BOM[Intermediate],$B81,M_BOM[Part Name],$A44)</f>
        <v/>
      </c>
      <c r="D82">
        <f>$C82*D81</f>
        <v/>
      </c>
      <c r="E82">
        <f>$C82*E81</f>
        <v/>
      </c>
      <c r="F82">
        <f>$C82*F81</f>
        <v/>
      </c>
      <c r="G82">
        <f>$C82*G81</f>
        <v/>
      </c>
      <c r="H82">
        <f>$C82*H81</f>
        <v/>
      </c>
      <c r="I82">
        <f>$C82*I81</f>
        <v/>
      </c>
      <c r="J82">
        <f>$C82*J81</f>
        <v/>
      </c>
      <c r="K82">
        <f>$C82*K81</f>
        <v/>
      </c>
      <c r="L82">
        <f>$C82*L81</f>
        <v/>
      </c>
      <c r="M82">
        <f>$C82*M81</f>
        <v/>
      </c>
      <c r="N82">
        <f>$C82*N81</f>
        <v/>
      </c>
      <c r="O82">
        <f>$C82*O81</f>
        <v/>
      </c>
      <c r="P82">
        <f>$C82*P81</f>
        <v/>
      </c>
      <c r="Q82">
        <f>$C82*Q81</f>
        <v/>
      </c>
      <c r="R82">
        <f>$C82*R81</f>
        <v/>
      </c>
      <c r="S82">
        <f>$C82*S81</f>
        <v/>
      </c>
      <c r="T82">
        <f>$C82*T81</f>
        <v/>
      </c>
      <c r="U82">
        <f>$C82*U81</f>
        <v/>
      </c>
      <c r="V82">
        <f>$C82*V81</f>
        <v/>
      </c>
      <c r="W82">
        <f>$C82*W81</f>
        <v/>
      </c>
      <c r="X82">
        <f>$C82*X81</f>
        <v/>
      </c>
      <c r="Y82">
        <f>$C82*Y81</f>
        <v/>
      </c>
      <c r="Z82">
        <f>$C82*Z81</f>
        <v/>
      </c>
      <c r="AA82">
        <f>$C82*AA81</f>
        <v/>
      </c>
      <c r="AB82">
        <f>$C82*AB81</f>
        <v/>
      </c>
      <c r="AC82">
        <f>$C82*AC81</f>
        <v/>
      </c>
      <c r="AD82">
        <f>$C82*AD81</f>
        <v/>
      </c>
      <c r="AE82">
        <f>$C82*AE81</f>
        <v/>
      </c>
      <c r="AF82">
        <f>$C82*AF81</f>
        <v/>
      </c>
      <c r="AG82">
        <f>$C82*AG81</f>
        <v/>
      </c>
      <c r="AH82">
        <f>$C82*AH81</f>
        <v/>
      </c>
      <c r="AI82">
        <f>$C82*AI81</f>
        <v/>
      </c>
      <c r="AJ82">
        <f>$C82*AJ81</f>
        <v/>
      </c>
      <c r="AK82">
        <f>$C82*AK81</f>
        <v/>
      </c>
      <c r="AL82">
        <f>$C82*AL81</f>
        <v/>
      </c>
      <c r="AM82">
        <f>$C82*AM81</f>
        <v/>
      </c>
      <c r="AN82">
        <f>$C82*AN81</f>
        <v/>
      </c>
      <c r="AO82">
        <f>$C82*AO81</f>
        <v/>
      </c>
      <c r="AP82">
        <f>$C82*AP81</f>
        <v/>
      </c>
      <c r="AQ82">
        <f>$C82*AQ81</f>
        <v/>
      </c>
      <c r="AR82">
        <f>$C82*AR81</f>
        <v/>
      </c>
      <c r="AS82">
        <f>$C82*AS81</f>
        <v/>
      </c>
      <c r="AT82">
        <f>$C82*AT81</f>
        <v/>
      </c>
      <c r="AU82">
        <f>$C82*AU81</f>
        <v/>
      </c>
      <c r="AV82">
        <f>$C82*AV81</f>
        <v/>
      </c>
      <c r="AW82">
        <f>$C82*AW81</f>
        <v/>
      </c>
      <c r="AX82">
        <f>$C82*AX81</f>
        <v/>
      </c>
      <c r="AY82">
        <f>$C82*AY81</f>
        <v/>
      </c>
      <c r="AZ82">
        <f>$C82*AZ81</f>
        <v/>
      </c>
      <c r="BA82">
        <f>$C82*BA81</f>
        <v/>
      </c>
      <c r="BB82">
        <f>$C82*BB81</f>
        <v/>
      </c>
      <c r="BC82">
        <f>$C82*BC81</f>
        <v/>
      </c>
      <c r="BD82">
        <f>$C82*BD81</f>
        <v/>
      </c>
      <c r="BE82">
        <f>$C82*BE81</f>
        <v/>
      </c>
      <c r="BF82">
        <f>$C82*BF81</f>
        <v/>
      </c>
      <c r="BG82">
        <f>$C82*BG81</f>
        <v/>
      </c>
      <c r="BH82">
        <f>$C82*BH81</f>
        <v/>
      </c>
      <c r="BI82">
        <f>$C82*BI81</f>
        <v/>
      </c>
      <c r="BJ82">
        <f>$C82*BJ81</f>
        <v/>
      </c>
      <c r="BK82">
        <f>$C82*BK81</f>
        <v/>
      </c>
      <c r="BL82">
        <f>$C82*BL81</f>
        <v/>
      </c>
      <c r="BM82">
        <f>$C82*BM81</f>
        <v/>
      </c>
      <c r="BN82">
        <f>$C82*BN81</f>
        <v/>
      </c>
      <c r="BO82">
        <f>$C82*BO81</f>
        <v/>
      </c>
      <c r="BP82">
        <f>$C82*BP81</f>
        <v/>
      </c>
      <c r="BQ82">
        <f>$C82*BQ81</f>
        <v/>
      </c>
      <c r="BR82">
        <f>$C82*BR81</f>
        <v/>
      </c>
      <c r="BS82">
        <f>$C82*BS81</f>
        <v/>
      </c>
      <c r="BT82">
        <f>$C82*BT81</f>
        <v/>
      </c>
      <c r="BU82">
        <f>$C82*BU81</f>
        <v/>
      </c>
      <c r="BV82">
        <f>$C82*BV81</f>
        <v/>
      </c>
      <c r="BW82">
        <f>$C82*BW81</f>
        <v/>
      </c>
      <c r="BX82">
        <f>$C82*BX81</f>
        <v/>
      </c>
      <c r="BY82">
        <f>$C82*BY81</f>
        <v/>
      </c>
      <c r="BZ82">
        <f>$C82*BZ81</f>
        <v/>
      </c>
      <c r="CA82">
        <f>$C82*CA81</f>
        <v/>
      </c>
      <c r="CB82">
        <f>$C82*CB81</f>
        <v/>
      </c>
      <c r="CC82">
        <f>$C82*CC81</f>
        <v/>
      </c>
      <c r="CD82">
        <f>$C82*CD81</f>
        <v/>
      </c>
      <c r="CE82">
        <f>$C82*CE81</f>
        <v/>
      </c>
      <c r="CF82">
        <f>$C82*CF81</f>
        <v/>
      </c>
      <c r="CG82">
        <f>$C82*CG81</f>
        <v/>
      </c>
      <c r="CH82">
        <f>$C82*CH81</f>
        <v/>
      </c>
      <c r="CI82">
        <f>$C82*CI81</f>
        <v/>
      </c>
      <c r="CJ82">
        <f>$C82*CJ81</f>
        <v/>
      </c>
      <c r="CK82">
        <f>$C82*CK81</f>
        <v/>
      </c>
      <c r="CL82">
        <f>$C82*CL81</f>
        <v/>
      </c>
      <c r="CM82">
        <f>$C82*CM81</f>
        <v/>
      </c>
      <c r="CN82">
        <f>$C82*CN81</f>
        <v/>
      </c>
      <c r="CO82">
        <f>$C82*CO81</f>
        <v/>
      </c>
      <c r="CP82">
        <f>$C82*CP81</f>
        <v/>
      </c>
      <c r="CQ82">
        <f>$C82*CQ81</f>
        <v/>
      </c>
      <c r="CR82">
        <f>$C82*CR81</f>
        <v/>
      </c>
      <c r="CS82">
        <f>$C82*CS81</f>
        <v/>
      </c>
      <c r="CT82">
        <f>$C82*CT81</f>
        <v/>
      </c>
      <c r="CU82">
        <f>$C82*CU81</f>
        <v/>
      </c>
      <c r="CV82">
        <f>$C82*CV81</f>
        <v/>
      </c>
      <c r="CW82">
        <f>$C82*CW81</f>
        <v/>
      </c>
      <c r="CX82">
        <f>$C82*CX81</f>
        <v/>
      </c>
      <c r="CY82">
        <f>$C82*CY81</f>
        <v/>
      </c>
      <c r="CZ82">
        <f>$C82*CZ81</f>
        <v/>
      </c>
      <c r="DA82">
        <f>$C82*DA81</f>
        <v/>
      </c>
      <c r="DB82">
        <f>$C82*DB81</f>
        <v/>
      </c>
      <c r="DC82">
        <f>$C82*DC81</f>
        <v/>
      </c>
    </row>
    <row r="83">
      <c r="B83" t="inlineStr">
        <is>
          <t>TSP-369</t>
        </is>
      </c>
      <c r="C83" t="inlineStr">
        <is>
          <t>No. of batches</t>
        </is>
      </c>
      <c r="D83">
        <f>IFERROR(INDEX(PP_Grid[#Data],$DD83,2),0)</f>
        <v/>
      </c>
      <c r="E83">
        <f>IFERROR(INDEX(PP_Grid[#Data],$DD83,3),0)</f>
        <v/>
      </c>
      <c r="F83">
        <f>IFERROR(INDEX(PP_Grid[#Data],$DD83,4),0)</f>
        <v/>
      </c>
      <c r="G83">
        <f>IFERROR(INDEX(PP_Grid[#Data],$DD83,5),0)</f>
        <v/>
      </c>
      <c r="H83">
        <f>IFERROR(INDEX(PP_Grid[#Data],$DD83,6),0)</f>
        <v/>
      </c>
      <c r="I83">
        <f>IFERROR(INDEX(PP_Grid[#Data],$DD83,7),0)</f>
        <v/>
      </c>
      <c r="J83">
        <f>IFERROR(INDEX(PP_Grid[#Data],$DD83,8),0)</f>
        <v/>
      </c>
      <c r="K83">
        <f>IFERROR(INDEX(PP_Grid[#Data],$DD83,9),0)</f>
        <v/>
      </c>
      <c r="L83">
        <f>IFERROR(INDEX(PP_Grid[#Data],$DD83,10),0)</f>
        <v/>
      </c>
      <c r="M83">
        <f>IFERROR(INDEX(PP_Grid[#Data],$DD83,11),0)</f>
        <v/>
      </c>
      <c r="N83">
        <f>IFERROR(INDEX(PP_Grid[#Data],$DD83,12),0)</f>
        <v/>
      </c>
      <c r="O83">
        <f>IFERROR(INDEX(PP_Grid[#Data],$DD83,13),0)</f>
        <v/>
      </c>
      <c r="P83">
        <f>IFERROR(INDEX(PP_Grid[#Data],$DD83,14),0)</f>
        <v/>
      </c>
      <c r="Q83">
        <f>IFERROR(INDEX(PP_Grid[#Data],$DD83,15),0)</f>
        <v/>
      </c>
      <c r="R83">
        <f>IFERROR(INDEX(PP_Grid[#Data],$DD83,16),0)</f>
        <v/>
      </c>
      <c r="S83">
        <f>IFERROR(INDEX(PP_Grid[#Data],$DD83,17),0)</f>
        <v/>
      </c>
      <c r="T83">
        <f>IFERROR(INDEX(PP_Grid[#Data],$DD83,18),0)</f>
        <v/>
      </c>
      <c r="U83">
        <f>IFERROR(INDEX(PP_Grid[#Data],$DD83,19),0)</f>
        <v/>
      </c>
      <c r="V83">
        <f>IFERROR(INDEX(PP_Grid[#Data],$DD83,20),0)</f>
        <v/>
      </c>
      <c r="W83">
        <f>IFERROR(INDEX(PP_Grid[#Data],$DD83,21),0)</f>
        <v/>
      </c>
      <c r="X83">
        <f>IFERROR(INDEX(PP_Grid[#Data],$DD83,22),0)</f>
        <v/>
      </c>
      <c r="Y83">
        <f>IFERROR(INDEX(PP_Grid[#Data],$DD83,23),0)</f>
        <v/>
      </c>
      <c r="Z83">
        <f>IFERROR(INDEX(PP_Grid[#Data],$DD83,24),0)</f>
        <v/>
      </c>
      <c r="AA83">
        <f>IFERROR(INDEX(PP_Grid[#Data],$DD83,25),0)</f>
        <v/>
      </c>
      <c r="AB83">
        <f>IFERROR(INDEX(PP_Grid[#Data],$DD83,26),0)</f>
        <v/>
      </c>
      <c r="AC83">
        <f>IFERROR(INDEX(PP_Grid[#Data],$DD83,27),0)</f>
        <v/>
      </c>
      <c r="AD83">
        <f>IFERROR(INDEX(PP_Grid[#Data],$DD83,28),0)</f>
        <v/>
      </c>
      <c r="AE83">
        <f>IFERROR(INDEX(PP_Grid[#Data],$DD83,29),0)</f>
        <v/>
      </c>
      <c r="AF83">
        <f>IFERROR(INDEX(PP_Grid[#Data],$DD83,30),0)</f>
        <v/>
      </c>
      <c r="AG83">
        <f>IFERROR(INDEX(PP_Grid[#Data],$DD83,31),0)</f>
        <v/>
      </c>
      <c r="AH83">
        <f>IFERROR(INDEX(PP_Grid[#Data],$DD83,32),0)</f>
        <v/>
      </c>
      <c r="AI83">
        <f>IFERROR(INDEX(PP_Grid[#Data],$DD83,33),0)</f>
        <v/>
      </c>
      <c r="AJ83">
        <f>IFERROR(INDEX(PP_Grid[#Data],$DD83,34),0)</f>
        <v/>
      </c>
      <c r="AK83">
        <f>IFERROR(INDEX(PP_Grid[#Data],$DD83,35),0)</f>
        <v/>
      </c>
      <c r="AL83">
        <f>IFERROR(INDEX(PP_Grid[#Data],$DD83,36),0)</f>
        <v/>
      </c>
      <c r="AM83">
        <f>IFERROR(INDEX(PP_Grid[#Data],$DD83,37),0)</f>
        <v/>
      </c>
      <c r="AN83">
        <f>IFERROR(INDEX(PP_Grid[#Data],$DD83,38),0)</f>
        <v/>
      </c>
      <c r="AO83">
        <f>IFERROR(INDEX(PP_Grid[#Data],$DD83,39),0)</f>
        <v/>
      </c>
      <c r="AP83">
        <f>IFERROR(INDEX(PP_Grid[#Data],$DD83,40),0)</f>
        <v/>
      </c>
      <c r="AQ83">
        <f>IFERROR(INDEX(PP_Grid[#Data],$DD83,41),0)</f>
        <v/>
      </c>
      <c r="AR83">
        <f>IFERROR(INDEX(PP_Grid[#Data],$DD83,42),0)</f>
        <v/>
      </c>
      <c r="AS83">
        <f>IFERROR(INDEX(PP_Grid[#Data],$DD83,43),0)</f>
        <v/>
      </c>
      <c r="AT83">
        <f>IFERROR(INDEX(PP_Grid[#Data],$DD83,44),0)</f>
        <v/>
      </c>
      <c r="AU83">
        <f>IFERROR(INDEX(PP_Grid[#Data],$DD83,45),0)</f>
        <v/>
      </c>
      <c r="AV83">
        <f>IFERROR(INDEX(PP_Grid[#Data],$DD83,46),0)</f>
        <v/>
      </c>
      <c r="AW83">
        <f>IFERROR(INDEX(PP_Grid[#Data],$DD83,47),0)</f>
        <v/>
      </c>
      <c r="AX83">
        <f>IFERROR(INDEX(PP_Grid[#Data],$DD83,48),0)</f>
        <v/>
      </c>
      <c r="AY83">
        <f>IFERROR(INDEX(PP_Grid[#Data],$DD83,49),0)</f>
        <v/>
      </c>
      <c r="AZ83">
        <f>IFERROR(INDEX(PP_Grid[#Data],$DD83,50),0)</f>
        <v/>
      </c>
      <c r="BA83">
        <f>IFERROR(INDEX(PP_Grid[#Data],$DD83,51),0)</f>
        <v/>
      </c>
      <c r="BB83">
        <f>IFERROR(INDEX(PP_Grid[#Data],$DD83,52),0)</f>
        <v/>
      </c>
      <c r="BC83">
        <f>IFERROR(INDEX(PP_Grid[#Data],$DD83,53),0)</f>
        <v/>
      </c>
      <c r="BD83">
        <f>IFERROR(INDEX(PP_Grid[#Data],$DD83,54),0)</f>
        <v/>
      </c>
      <c r="BE83">
        <f>IFERROR(INDEX(PP_Grid[#Data],$DD83,55),0)</f>
        <v/>
      </c>
      <c r="BF83">
        <f>IFERROR(INDEX(PP_Grid[#Data],$DD83,56),0)</f>
        <v/>
      </c>
      <c r="BG83">
        <f>IFERROR(INDEX(PP_Grid[#Data],$DD83,57),0)</f>
        <v/>
      </c>
      <c r="BH83">
        <f>IFERROR(INDEX(PP_Grid[#Data],$DD83,58),0)</f>
        <v/>
      </c>
      <c r="BI83">
        <f>IFERROR(INDEX(PP_Grid[#Data],$DD83,59),0)</f>
        <v/>
      </c>
      <c r="BJ83">
        <f>IFERROR(INDEX(PP_Grid[#Data],$DD83,60),0)</f>
        <v/>
      </c>
      <c r="BK83">
        <f>IFERROR(INDEX(PP_Grid[#Data],$DD83,61),0)</f>
        <v/>
      </c>
      <c r="BL83">
        <f>IFERROR(INDEX(PP_Grid[#Data],$DD83,62),0)</f>
        <v/>
      </c>
      <c r="BM83">
        <f>IFERROR(INDEX(PP_Grid[#Data],$DD83,63),0)</f>
        <v/>
      </c>
      <c r="BN83">
        <f>IFERROR(INDEX(PP_Grid[#Data],$DD83,64),0)</f>
        <v/>
      </c>
      <c r="BO83">
        <f>IFERROR(INDEX(PP_Grid[#Data],$DD83,65),0)</f>
        <v/>
      </c>
      <c r="BP83">
        <f>IFERROR(INDEX(PP_Grid[#Data],$DD83,66),0)</f>
        <v/>
      </c>
      <c r="BQ83">
        <f>IFERROR(INDEX(PP_Grid[#Data],$DD83,67),0)</f>
        <v/>
      </c>
      <c r="BR83">
        <f>IFERROR(INDEX(PP_Grid[#Data],$DD83,68),0)</f>
        <v/>
      </c>
      <c r="BS83">
        <f>IFERROR(INDEX(PP_Grid[#Data],$DD83,69),0)</f>
        <v/>
      </c>
      <c r="BT83">
        <f>IFERROR(INDEX(PP_Grid[#Data],$DD83,70),0)</f>
        <v/>
      </c>
      <c r="BU83">
        <f>IFERROR(INDEX(PP_Grid[#Data],$DD83,71),0)</f>
        <v/>
      </c>
      <c r="BV83">
        <f>IFERROR(INDEX(PP_Grid[#Data],$DD83,72),0)</f>
        <v/>
      </c>
      <c r="BW83">
        <f>IFERROR(INDEX(PP_Grid[#Data],$DD83,73),0)</f>
        <v/>
      </c>
      <c r="BX83">
        <f>IFERROR(INDEX(PP_Grid[#Data],$DD83,74),0)</f>
        <v/>
      </c>
      <c r="BY83">
        <f>IFERROR(INDEX(PP_Grid[#Data],$DD83,75),0)</f>
        <v/>
      </c>
      <c r="BZ83">
        <f>IFERROR(INDEX(PP_Grid[#Data],$DD83,76),0)</f>
        <v/>
      </c>
      <c r="CA83">
        <f>IFERROR(INDEX(PP_Grid[#Data],$DD83,77),0)</f>
        <v/>
      </c>
      <c r="CB83">
        <f>IFERROR(INDEX(PP_Grid[#Data],$DD83,78),0)</f>
        <v/>
      </c>
      <c r="CC83">
        <f>IFERROR(INDEX(PP_Grid[#Data],$DD83,79),0)</f>
        <v/>
      </c>
      <c r="CD83">
        <f>IFERROR(INDEX(PP_Grid[#Data],$DD83,80),0)</f>
        <v/>
      </c>
      <c r="CE83">
        <f>IFERROR(INDEX(PP_Grid[#Data],$DD83,81),0)</f>
        <v/>
      </c>
      <c r="CF83">
        <f>IFERROR(INDEX(PP_Grid[#Data],$DD83,82),0)</f>
        <v/>
      </c>
      <c r="CG83">
        <f>IFERROR(INDEX(PP_Grid[#Data],$DD83,83),0)</f>
        <v/>
      </c>
      <c r="CH83">
        <f>IFERROR(INDEX(PP_Grid[#Data],$DD83,84),0)</f>
        <v/>
      </c>
      <c r="CI83">
        <f>IFERROR(INDEX(PP_Grid[#Data],$DD83,85),0)</f>
        <v/>
      </c>
      <c r="CJ83">
        <f>IFERROR(INDEX(PP_Grid[#Data],$DD83,86),0)</f>
        <v/>
      </c>
      <c r="CK83">
        <f>IFERROR(INDEX(PP_Grid[#Data],$DD83,87),0)</f>
        <v/>
      </c>
      <c r="CL83">
        <f>IFERROR(INDEX(PP_Grid[#Data],$DD83,88),0)</f>
        <v/>
      </c>
      <c r="CM83">
        <f>IFERROR(INDEX(PP_Grid[#Data],$DD83,89),0)</f>
        <v/>
      </c>
      <c r="CN83">
        <f>IFERROR(INDEX(PP_Grid[#Data],$DD83,90),0)</f>
        <v/>
      </c>
      <c r="CO83">
        <f>IFERROR(INDEX(PP_Grid[#Data],$DD83,91),0)</f>
        <v/>
      </c>
      <c r="CP83">
        <f>IFERROR(INDEX(PP_Grid[#Data],$DD83,92),0)</f>
        <v/>
      </c>
      <c r="CQ83">
        <f>IFERROR(INDEX(PP_Grid[#Data],$DD83,93),0)</f>
        <v/>
      </c>
      <c r="CR83">
        <f>IFERROR(INDEX(PP_Grid[#Data],$DD83,94),0)</f>
        <v/>
      </c>
      <c r="CS83">
        <f>IFERROR(INDEX(PP_Grid[#Data],$DD83,95),0)</f>
        <v/>
      </c>
      <c r="CT83">
        <f>IFERROR(INDEX(PP_Grid[#Data],$DD83,96),0)</f>
        <v/>
      </c>
      <c r="CU83">
        <f>IFERROR(INDEX(PP_Grid[#Data],$DD83,97),0)</f>
        <v/>
      </c>
      <c r="CV83">
        <f>IFERROR(INDEX(PP_Grid[#Data],$DD83,98),0)</f>
        <v/>
      </c>
      <c r="CW83">
        <f>IFERROR(INDEX(PP_Grid[#Data],$DD83,99),0)</f>
        <v/>
      </c>
      <c r="CX83">
        <f>IFERROR(INDEX(PP_Grid[#Data],$DD83,100),0)</f>
        <v/>
      </c>
      <c r="CY83">
        <f>IFERROR(INDEX(PP_Grid[#Data],$DD83,101),0)</f>
        <v/>
      </c>
      <c r="CZ83">
        <f>IFERROR(INDEX(PP_Grid[#Data],$DD83,102),0)</f>
        <v/>
      </c>
      <c r="DA83">
        <f>IFERROR(INDEX(PP_Grid[#Data],$DD83,103),0)</f>
        <v/>
      </c>
      <c r="DB83">
        <f>IFERROR(INDEX(PP_Grid[#Data],$DD83,104),0)</f>
        <v/>
      </c>
      <c r="DC83">
        <f>IFERROR(INDEX(PP_Grid[#Data],$DD83,105),0)</f>
        <v/>
      </c>
      <c r="DD83" s="7">
        <f>IFERROR(MATCH($B83,PP_Grid[Intermediate],0),99999)</f>
        <v/>
      </c>
    </row>
    <row r="84">
      <c r="B84" t="inlineStr">
        <is>
          <t>使用量(kg)</t>
        </is>
      </c>
      <c r="C84">
        <f>SUMIFS(M_BOM[RM_Qty_Per_Batch],M_BOM[Intermediate],$B83,M_BOM[Part Name],$A44)</f>
        <v/>
      </c>
      <c r="D84">
        <f>$C84*D83</f>
        <v/>
      </c>
      <c r="E84">
        <f>$C84*E83</f>
        <v/>
      </c>
      <c r="F84">
        <f>$C84*F83</f>
        <v/>
      </c>
      <c r="G84">
        <f>$C84*G83</f>
        <v/>
      </c>
      <c r="H84">
        <f>$C84*H83</f>
        <v/>
      </c>
      <c r="I84">
        <f>$C84*I83</f>
        <v/>
      </c>
      <c r="J84">
        <f>$C84*J83</f>
        <v/>
      </c>
      <c r="K84">
        <f>$C84*K83</f>
        <v/>
      </c>
      <c r="L84">
        <f>$C84*L83</f>
        <v/>
      </c>
      <c r="M84">
        <f>$C84*M83</f>
        <v/>
      </c>
      <c r="N84">
        <f>$C84*N83</f>
        <v/>
      </c>
      <c r="O84">
        <f>$C84*O83</f>
        <v/>
      </c>
      <c r="P84">
        <f>$C84*P83</f>
        <v/>
      </c>
      <c r="Q84">
        <f>$C84*Q83</f>
        <v/>
      </c>
      <c r="R84">
        <f>$C84*R83</f>
        <v/>
      </c>
      <c r="S84">
        <f>$C84*S83</f>
        <v/>
      </c>
      <c r="T84">
        <f>$C84*T83</f>
        <v/>
      </c>
      <c r="U84">
        <f>$C84*U83</f>
        <v/>
      </c>
      <c r="V84">
        <f>$C84*V83</f>
        <v/>
      </c>
      <c r="W84">
        <f>$C84*W83</f>
        <v/>
      </c>
      <c r="X84">
        <f>$C84*X83</f>
        <v/>
      </c>
      <c r="Y84">
        <f>$C84*Y83</f>
        <v/>
      </c>
      <c r="Z84">
        <f>$C84*Z83</f>
        <v/>
      </c>
      <c r="AA84">
        <f>$C84*AA83</f>
        <v/>
      </c>
      <c r="AB84">
        <f>$C84*AB83</f>
        <v/>
      </c>
      <c r="AC84">
        <f>$C84*AC83</f>
        <v/>
      </c>
      <c r="AD84">
        <f>$C84*AD83</f>
        <v/>
      </c>
      <c r="AE84">
        <f>$C84*AE83</f>
        <v/>
      </c>
      <c r="AF84">
        <f>$C84*AF83</f>
        <v/>
      </c>
      <c r="AG84">
        <f>$C84*AG83</f>
        <v/>
      </c>
      <c r="AH84">
        <f>$C84*AH83</f>
        <v/>
      </c>
      <c r="AI84">
        <f>$C84*AI83</f>
        <v/>
      </c>
      <c r="AJ84">
        <f>$C84*AJ83</f>
        <v/>
      </c>
      <c r="AK84">
        <f>$C84*AK83</f>
        <v/>
      </c>
      <c r="AL84">
        <f>$C84*AL83</f>
        <v/>
      </c>
      <c r="AM84">
        <f>$C84*AM83</f>
        <v/>
      </c>
      <c r="AN84">
        <f>$C84*AN83</f>
        <v/>
      </c>
      <c r="AO84">
        <f>$C84*AO83</f>
        <v/>
      </c>
      <c r="AP84">
        <f>$C84*AP83</f>
        <v/>
      </c>
      <c r="AQ84">
        <f>$C84*AQ83</f>
        <v/>
      </c>
      <c r="AR84">
        <f>$C84*AR83</f>
        <v/>
      </c>
      <c r="AS84">
        <f>$C84*AS83</f>
        <v/>
      </c>
      <c r="AT84">
        <f>$C84*AT83</f>
        <v/>
      </c>
      <c r="AU84">
        <f>$C84*AU83</f>
        <v/>
      </c>
      <c r="AV84">
        <f>$C84*AV83</f>
        <v/>
      </c>
      <c r="AW84">
        <f>$C84*AW83</f>
        <v/>
      </c>
      <c r="AX84">
        <f>$C84*AX83</f>
        <v/>
      </c>
      <c r="AY84">
        <f>$C84*AY83</f>
        <v/>
      </c>
      <c r="AZ84">
        <f>$C84*AZ83</f>
        <v/>
      </c>
      <c r="BA84">
        <f>$C84*BA83</f>
        <v/>
      </c>
      <c r="BB84">
        <f>$C84*BB83</f>
        <v/>
      </c>
      <c r="BC84">
        <f>$C84*BC83</f>
        <v/>
      </c>
      <c r="BD84">
        <f>$C84*BD83</f>
        <v/>
      </c>
      <c r="BE84">
        <f>$C84*BE83</f>
        <v/>
      </c>
      <c r="BF84">
        <f>$C84*BF83</f>
        <v/>
      </c>
      <c r="BG84">
        <f>$C84*BG83</f>
        <v/>
      </c>
      <c r="BH84">
        <f>$C84*BH83</f>
        <v/>
      </c>
      <c r="BI84">
        <f>$C84*BI83</f>
        <v/>
      </c>
      <c r="BJ84">
        <f>$C84*BJ83</f>
        <v/>
      </c>
      <c r="BK84">
        <f>$C84*BK83</f>
        <v/>
      </c>
      <c r="BL84">
        <f>$C84*BL83</f>
        <v/>
      </c>
      <c r="BM84">
        <f>$C84*BM83</f>
        <v/>
      </c>
      <c r="BN84">
        <f>$C84*BN83</f>
        <v/>
      </c>
      <c r="BO84">
        <f>$C84*BO83</f>
        <v/>
      </c>
      <c r="BP84">
        <f>$C84*BP83</f>
        <v/>
      </c>
      <c r="BQ84">
        <f>$C84*BQ83</f>
        <v/>
      </c>
      <c r="BR84">
        <f>$C84*BR83</f>
        <v/>
      </c>
      <c r="BS84">
        <f>$C84*BS83</f>
        <v/>
      </c>
      <c r="BT84">
        <f>$C84*BT83</f>
        <v/>
      </c>
      <c r="BU84">
        <f>$C84*BU83</f>
        <v/>
      </c>
      <c r="BV84">
        <f>$C84*BV83</f>
        <v/>
      </c>
      <c r="BW84">
        <f>$C84*BW83</f>
        <v/>
      </c>
      <c r="BX84">
        <f>$C84*BX83</f>
        <v/>
      </c>
      <c r="BY84">
        <f>$C84*BY83</f>
        <v/>
      </c>
      <c r="BZ84">
        <f>$C84*BZ83</f>
        <v/>
      </c>
      <c r="CA84">
        <f>$C84*CA83</f>
        <v/>
      </c>
      <c r="CB84">
        <f>$C84*CB83</f>
        <v/>
      </c>
      <c r="CC84">
        <f>$C84*CC83</f>
        <v/>
      </c>
      <c r="CD84">
        <f>$C84*CD83</f>
        <v/>
      </c>
      <c r="CE84">
        <f>$C84*CE83</f>
        <v/>
      </c>
      <c r="CF84">
        <f>$C84*CF83</f>
        <v/>
      </c>
      <c r="CG84">
        <f>$C84*CG83</f>
        <v/>
      </c>
      <c r="CH84">
        <f>$C84*CH83</f>
        <v/>
      </c>
      <c r="CI84">
        <f>$C84*CI83</f>
        <v/>
      </c>
      <c r="CJ84">
        <f>$C84*CJ83</f>
        <v/>
      </c>
      <c r="CK84">
        <f>$C84*CK83</f>
        <v/>
      </c>
      <c r="CL84">
        <f>$C84*CL83</f>
        <v/>
      </c>
      <c r="CM84">
        <f>$C84*CM83</f>
        <v/>
      </c>
      <c r="CN84">
        <f>$C84*CN83</f>
        <v/>
      </c>
      <c r="CO84">
        <f>$C84*CO83</f>
        <v/>
      </c>
      <c r="CP84">
        <f>$C84*CP83</f>
        <v/>
      </c>
      <c r="CQ84">
        <f>$C84*CQ83</f>
        <v/>
      </c>
      <c r="CR84">
        <f>$C84*CR83</f>
        <v/>
      </c>
      <c r="CS84">
        <f>$C84*CS83</f>
        <v/>
      </c>
      <c r="CT84">
        <f>$C84*CT83</f>
        <v/>
      </c>
      <c r="CU84">
        <f>$C84*CU83</f>
        <v/>
      </c>
      <c r="CV84">
        <f>$C84*CV83</f>
        <v/>
      </c>
      <c r="CW84">
        <f>$C84*CW83</f>
        <v/>
      </c>
      <c r="CX84">
        <f>$C84*CX83</f>
        <v/>
      </c>
      <c r="CY84">
        <f>$C84*CY83</f>
        <v/>
      </c>
      <c r="CZ84">
        <f>$C84*CZ83</f>
        <v/>
      </c>
      <c r="DA84">
        <f>$C84*DA83</f>
        <v/>
      </c>
      <c r="DB84">
        <f>$C84*DB83</f>
        <v/>
      </c>
      <c r="DC84">
        <f>$C84*DC83</f>
        <v/>
      </c>
    </row>
    <row r="85">
      <c r="B85" t="inlineStr">
        <is>
          <t>TSP-390</t>
        </is>
      </c>
      <c r="C85" t="inlineStr">
        <is>
          <t>No. of batches</t>
        </is>
      </c>
      <c r="D85">
        <f>IFERROR(INDEX(PP_Grid[#Data],$DD85,2),0)</f>
        <v/>
      </c>
      <c r="E85">
        <f>IFERROR(INDEX(PP_Grid[#Data],$DD85,3),0)</f>
        <v/>
      </c>
      <c r="F85">
        <f>IFERROR(INDEX(PP_Grid[#Data],$DD85,4),0)</f>
        <v/>
      </c>
      <c r="G85">
        <f>IFERROR(INDEX(PP_Grid[#Data],$DD85,5),0)</f>
        <v/>
      </c>
      <c r="H85">
        <f>IFERROR(INDEX(PP_Grid[#Data],$DD85,6),0)</f>
        <v/>
      </c>
      <c r="I85">
        <f>IFERROR(INDEX(PP_Grid[#Data],$DD85,7),0)</f>
        <v/>
      </c>
      <c r="J85">
        <f>IFERROR(INDEX(PP_Grid[#Data],$DD85,8),0)</f>
        <v/>
      </c>
      <c r="K85">
        <f>IFERROR(INDEX(PP_Grid[#Data],$DD85,9),0)</f>
        <v/>
      </c>
      <c r="L85">
        <f>IFERROR(INDEX(PP_Grid[#Data],$DD85,10),0)</f>
        <v/>
      </c>
      <c r="M85">
        <f>IFERROR(INDEX(PP_Grid[#Data],$DD85,11),0)</f>
        <v/>
      </c>
      <c r="N85">
        <f>IFERROR(INDEX(PP_Grid[#Data],$DD85,12),0)</f>
        <v/>
      </c>
      <c r="O85">
        <f>IFERROR(INDEX(PP_Grid[#Data],$DD85,13),0)</f>
        <v/>
      </c>
      <c r="P85">
        <f>IFERROR(INDEX(PP_Grid[#Data],$DD85,14),0)</f>
        <v/>
      </c>
      <c r="Q85">
        <f>IFERROR(INDEX(PP_Grid[#Data],$DD85,15),0)</f>
        <v/>
      </c>
      <c r="R85">
        <f>IFERROR(INDEX(PP_Grid[#Data],$DD85,16),0)</f>
        <v/>
      </c>
      <c r="S85">
        <f>IFERROR(INDEX(PP_Grid[#Data],$DD85,17),0)</f>
        <v/>
      </c>
      <c r="T85">
        <f>IFERROR(INDEX(PP_Grid[#Data],$DD85,18),0)</f>
        <v/>
      </c>
      <c r="U85">
        <f>IFERROR(INDEX(PP_Grid[#Data],$DD85,19),0)</f>
        <v/>
      </c>
      <c r="V85">
        <f>IFERROR(INDEX(PP_Grid[#Data],$DD85,20),0)</f>
        <v/>
      </c>
      <c r="W85">
        <f>IFERROR(INDEX(PP_Grid[#Data],$DD85,21),0)</f>
        <v/>
      </c>
      <c r="X85">
        <f>IFERROR(INDEX(PP_Grid[#Data],$DD85,22),0)</f>
        <v/>
      </c>
      <c r="Y85">
        <f>IFERROR(INDEX(PP_Grid[#Data],$DD85,23),0)</f>
        <v/>
      </c>
      <c r="Z85">
        <f>IFERROR(INDEX(PP_Grid[#Data],$DD85,24),0)</f>
        <v/>
      </c>
      <c r="AA85">
        <f>IFERROR(INDEX(PP_Grid[#Data],$DD85,25),0)</f>
        <v/>
      </c>
      <c r="AB85">
        <f>IFERROR(INDEX(PP_Grid[#Data],$DD85,26),0)</f>
        <v/>
      </c>
      <c r="AC85">
        <f>IFERROR(INDEX(PP_Grid[#Data],$DD85,27),0)</f>
        <v/>
      </c>
      <c r="AD85">
        <f>IFERROR(INDEX(PP_Grid[#Data],$DD85,28),0)</f>
        <v/>
      </c>
      <c r="AE85">
        <f>IFERROR(INDEX(PP_Grid[#Data],$DD85,29),0)</f>
        <v/>
      </c>
      <c r="AF85">
        <f>IFERROR(INDEX(PP_Grid[#Data],$DD85,30),0)</f>
        <v/>
      </c>
      <c r="AG85">
        <f>IFERROR(INDEX(PP_Grid[#Data],$DD85,31),0)</f>
        <v/>
      </c>
      <c r="AH85">
        <f>IFERROR(INDEX(PP_Grid[#Data],$DD85,32),0)</f>
        <v/>
      </c>
      <c r="AI85">
        <f>IFERROR(INDEX(PP_Grid[#Data],$DD85,33),0)</f>
        <v/>
      </c>
      <c r="AJ85">
        <f>IFERROR(INDEX(PP_Grid[#Data],$DD85,34),0)</f>
        <v/>
      </c>
      <c r="AK85">
        <f>IFERROR(INDEX(PP_Grid[#Data],$DD85,35),0)</f>
        <v/>
      </c>
      <c r="AL85">
        <f>IFERROR(INDEX(PP_Grid[#Data],$DD85,36),0)</f>
        <v/>
      </c>
      <c r="AM85">
        <f>IFERROR(INDEX(PP_Grid[#Data],$DD85,37),0)</f>
        <v/>
      </c>
      <c r="AN85">
        <f>IFERROR(INDEX(PP_Grid[#Data],$DD85,38),0)</f>
        <v/>
      </c>
      <c r="AO85">
        <f>IFERROR(INDEX(PP_Grid[#Data],$DD85,39),0)</f>
        <v/>
      </c>
      <c r="AP85">
        <f>IFERROR(INDEX(PP_Grid[#Data],$DD85,40),0)</f>
        <v/>
      </c>
      <c r="AQ85">
        <f>IFERROR(INDEX(PP_Grid[#Data],$DD85,41),0)</f>
        <v/>
      </c>
      <c r="AR85">
        <f>IFERROR(INDEX(PP_Grid[#Data],$DD85,42),0)</f>
        <v/>
      </c>
      <c r="AS85">
        <f>IFERROR(INDEX(PP_Grid[#Data],$DD85,43),0)</f>
        <v/>
      </c>
      <c r="AT85">
        <f>IFERROR(INDEX(PP_Grid[#Data],$DD85,44),0)</f>
        <v/>
      </c>
      <c r="AU85">
        <f>IFERROR(INDEX(PP_Grid[#Data],$DD85,45),0)</f>
        <v/>
      </c>
      <c r="AV85">
        <f>IFERROR(INDEX(PP_Grid[#Data],$DD85,46),0)</f>
        <v/>
      </c>
      <c r="AW85">
        <f>IFERROR(INDEX(PP_Grid[#Data],$DD85,47),0)</f>
        <v/>
      </c>
      <c r="AX85">
        <f>IFERROR(INDEX(PP_Grid[#Data],$DD85,48),0)</f>
        <v/>
      </c>
      <c r="AY85">
        <f>IFERROR(INDEX(PP_Grid[#Data],$DD85,49),0)</f>
        <v/>
      </c>
      <c r="AZ85">
        <f>IFERROR(INDEX(PP_Grid[#Data],$DD85,50),0)</f>
        <v/>
      </c>
      <c r="BA85">
        <f>IFERROR(INDEX(PP_Grid[#Data],$DD85,51),0)</f>
        <v/>
      </c>
      <c r="BB85">
        <f>IFERROR(INDEX(PP_Grid[#Data],$DD85,52),0)</f>
        <v/>
      </c>
      <c r="BC85">
        <f>IFERROR(INDEX(PP_Grid[#Data],$DD85,53),0)</f>
        <v/>
      </c>
      <c r="BD85">
        <f>IFERROR(INDEX(PP_Grid[#Data],$DD85,54),0)</f>
        <v/>
      </c>
      <c r="BE85">
        <f>IFERROR(INDEX(PP_Grid[#Data],$DD85,55),0)</f>
        <v/>
      </c>
      <c r="BF85">
        <f>IFERROR(INDEX(PP_Grid[#Data],$DD85,56),0)</f>
        <v/>
      </c>
      <c r="BG85">
        <f>IFERROR(INDEX(PP_Grid[#Data],$DD85,57),0)</f>
        <v/>
      </c>
      <c r="BH85">
        <f>IFERROR(INDEX(PP_Grid[#Data],$DD85,58),0)</f>
        <v/>
      </c>
      <c r="BI85">
        <f>IFERROR(INDEX(PP_Grid[#Data],$DD85,59),0)</f>
        <v/>
      </c>
      <c r="BJ85">
        <f>IFERROR(INDEX(PP_Grid[#Data],$DD85,60),0)</f>
        <v/>
      </c>
      <c r="BK85">
        <f>IFERROR(INDEX(PP_Grid[#Data],$DD85,61),0)</f>
        <v/>
      </c>
      <c r="BL85">
        <f>IFERROR(INDEX(PP_Grid[#Data],$DD85,62),0)</f>
        <v/>
      </c>
      <c r="BM85">
        <f>IFERROR(INDEX(PP_Grid[#Data],$DD85,63),0)</f>
        <v/>
      </c>
      <c r="BN85">
        <f>IFERROR(INDEX(PP_Grid[#Data],$DD85,64),0)</f>
        <v/>
      </c>
      <c r="BO85">
        <f>IFERROR(INDEX(PP_Grid[#Data],$DD85,65),0)</f>
        <v/>
      </c>
      <c r="BP85">
        <f>IFERROR(INDEX(PP_Grid[#Data],$DD85,66),0)</f>
        <v/>
      </c>
      <c r="BQ85">
        <f>IFERROR(INDEX(PP_Grid[#Data],$DD85,67),0)</f>
        <v/>
      </c>
      <c r="BR85">
        <f>IFERROR(INDEX(PP_Grid[#Data],$DD85,68),0)</f>
        <v/>
      </c>
      <c r="BS85">
        <f>IFERROR(INDEX(PP_Grid[#Data],$DD85,69),0)</f>
        <v/>
      </c>
      <c r="BT85">
        <f>IFERROR(INDEX(PP_Grid[#Data],$DD85,70),0)</f>
        <v/>
      </c>
      <c r="BU85">
        <f>IFERROR(INDEX(PP_Grid[#Data],$DD85,71),0)</f>
        <v/>
      </c>
      <c r="BV85">
        <f>IFERROR(INDEX(PP_Grid[#Data],$DD85,72),0)</f>
        <v/>
      </c>
      <c r="BW85">
        <f>IFERROR(INDEX(PP_Grid[#Data],$DD85,73),0)</f>
        <v/>
      </c>
      <c r="BX85">
        <f>IFERROR(INDEX(PP_Grid[#Data],$DD85,74),0)</f>
        <v/>
      </c>
      <c r="BY85">
        <f>IFERROR(INDEX(PP_Grid[#Data],$DD85,75),0)</f>
        <v/>
      </c>
      <c r="BZ85">
        <f>IFERROR(INDEX(PP_Grid[#Data],$DD85,76),0)</f>
        <v/>
      </c>
      <c r="CA85">
        <f>IFERROR(INDEX(PP_Grid[#Data],$DD85,77),0)</f>
        <v/>
      </c>
      <c r="CB85">
        <f>IFERROR(INDEX(PP_Grid[#Data],$DD85,78),0)</f>
        <v/>
      </c>
      <c r="CC85">
        <f>IFERROR(INDEX(PP_Grid[#Data],$DD85,79),0)</f>
        <v/>
      </c>
      <c r="CD85">
        <f>IFERROR(INDEX(PP_Grid[#Data],$DD85,80),0)</f>
        <v/>
      </c>
      <c r="CE85">
        <f>IFERROR(INDEX(PP_Grid[#Data],$DD85,81),0)</f>
        <v/>
      </c>
      <c r="CF85">
        <f>IFERROR(INDEX(PP_Grid[#Data],$DD85,82),0)</f>
        <v/>
      </c>
      <c r="CG85">
        <f>IFERROR(INDEX(PP_Grid[#Data],$DD85,83),0)</f>
        <v/>
      </c>
      <c r="CH85">
        <f>IFERROR(INDEX(PP_Grid[#Data],$DD85,84),0)</f>
        <v/>
      </c>
      <c r="CI85">
        <f>IFERROR(INDEX(PP_Grid[#Data],$DD85,85),0)</f>
        <v/>
      </c>
      <c r="CJ85">
        <f>IFERROR(INDEX(PP_Grid[#Data],$DD85,86),0)</f>
        <v/>
      </c>
      <c r="CK85">
        <f>IFERROR(INDEX(PP_Grid[#Data],$DD85,87),0)</f>
        <v/>
      </c>
      <c r="CL85">
        <f>IFERROR(INDEX(PP_Grid[#Data],$DD85,88),0)</f>
        <v/>
      </c>
      <c r="CM85">
        <f>IFERROR(INDEX(PP_Grid[#Data],$DD85,89),0)</f>
        <v/>
      </c>
      <c r="CN85">
        <f>IFERROR(INDEX(PP_Grid[#Data],$DD85,90),0)</f>
        <v/>
      </c>
      <c r="CO85">
        <f>IFERROR(INDEX(PP_Grid[#Data],$DD85,91),0)</f>
        <v/>
      </c>
      <c r="CP85">
        <f>IFERROR(INDEX(PP_Grid[#Data],$DD85,92),0)</f>
        <v/>
      </c>
      <c r="CQ85">
        <f>IFERROR(INDEX(PP_Grid[#Data],$DD85,93),0)</f>
        <v/>
      </c>
      <c r="CR85">
        <f>IFERROR(INDEX(PP_Grid[#Data],$DD85,94),0)</f>
        <v/>
      </c>
      <c r="CS85">
        <f>IFERROR(INDEX(PP_Grid[#Data],$DD85,95),0)</f>
        <v/>
      </c>
      <c r="CT85">
        <f>IFERROR(INDEX(PP_Grid[#Data],$DD85,96),0)</f>
        <v/>
      </c>
      <c r="CU85">
        <f>IFERROR(INDEX(PP_Grid[#Data],$DD85,97),0)</f>
        <v/>
      </c>
      <c r="CV85">
        <f>IFERROR(INDEX(PP_Grid[#Data],$DD85,98),0)</f>
        <v/>
      </c>
      <c r="CW85">
        <f>IFERROR(INDEX(PP_Grid[#Data],$DD85,99),0)</f>
        <v/>
      </c>
      <c r="CX85">
        <f>IFERROR(INDEX(PP_Grid[#Data],$DD85,100),0)</f>
        <v/>
      </c>
      <c r="CY85">
        <f>IFERROR(INDEX(PP_Grid[#Data],$DD85,101),0)</f>
        <v/>
      </c>
      <c r="CZ85">
        <f>IFERROR(INDEX(PP_Grid[#Data],$DD85,102),0)</f>
        <v/>
      </c>
      <c r="DA85">
        <f>IFERROR(INDEX(PP_Grid[#Data],$DD85,103),0)</f>
        <v/>
      </c>
      <c r="DB85">
        <f>IFERROR(INDEX(PP_Grid[#Data],$DD85,104),0)</f>
        <v/>
      </c>
      <c r="DC85">
        <f>IFERROR(INDEX(PP_Grid[#Data],$DD85,105),0)</f>
        <v/>
      </c>
      <c r="DD85" s="7">
        <f>IFERROR(MATCH($B85,PP_Grid[Intermediate],0),99999)</f>
        <v/>
      </c>
    </row>
    <row r="86">
      <c r="B86" t="inlineStr">
        <is>
          <t>使用量(kg)</t>
        </is>
      </c>
      <c r="C86">
        <f>SUMIFS(M_BOM[RM_Qty_Per_Batch],M_BOM[Intermediate],$B85,M_BOM[Part Name],$A44)</f>
        <v/>
      </c>
      <c r="D86">
        <f>$C86*D85</f>
        <v/>
      </c>
      <c r="E86">
        <f>$C86*E85</f>
        <v/>
      </c>
      <c r="F86">
        <f>$C86*F85</f>
        <v/>
      </c>
      <c r="G86">
        <f>$C86*G85</f>
        <v/>
      </c>
      <c r="H86">
        <f>$C86*H85</f>
        <v/>
      </c>
      <c r="I86">
        <f>$C86*I85</f>
        <v/>
      </c>
      <c r="J86">
        <f>$C86*J85</f>
        <v/>
      </c>
      <c r="K86">
        <f>$C86*K85</f>
        <v/>
      </c>
      <c r="L86">
        <f>$C86*L85</f>
        <v/>
      </c>
      <c r="M86">
        <f>$C86*M85</f>
        <v/>
      </c>
      <c r="N86">
        <f>$C86*N85</f>
        <v/>
      </c>
      <c r="O86">
        <f>$C86*O85</f>
        <v/>
      </c>
      <c r="P86">
        <f>$C86*P85</f>
        <v/>
      </c>
      <c r="Q86">
        <f>$C86*Q85</f>
        <v/>
      </c>
      <c r="R86">
        <f>$C86*R85</f>
        <v/>
      </c>
      <c r="S86">
        <f>$C86*S85</f>
        <v/>
      </c>
      <c r="T86">
        <f>$C86*T85</f>
        <v/>
      </c>
      <c r="U86">
        <f>$C86*U85</f>
        <v/>
      </c>
      <c r="V86">
        <f>$C86*V85</f>
        <v/>
      </c>
      <c r="W86">
        <f>$C86*W85</f>
        <v/>
      </c>
      <c r="X86">
        <f>$C86*X85</f>
        <v/>
      </c>
      <c r="Y86">
        <f>$C86*Y85</f>
        <v/>
      </c>
      <c r="Z86">
        <f>$C86*Z85</f>
        <v/>
      </c>
      <c r="AA86">
        <f>$C86*AA85</f>
        <v/>
      </c>
      <c r="AB86">
        <f>$C86*AB85</f>
        <v/>
      </c>
      <c r="AC86">
        <f>$C86*AC85</f>
        <v/>
      </c>
      <c r="AD86">
        <f>$C86*AD85</f>
        <v/>
      </c>
      <c r="AE86">
        <f>$C86*AE85</f>
        <v/>
      </c>
      <c r="AF86">
        <f>$C86*AF85</f>
        <v/>
      </c>
      <c r="AG86">
        <f>$C86*AG85</f>
        <v/>
      </c>
      <c r="AH86">
        <f>$C86*AH85</f>
        <v/>
      </c>
      <c r="AI86">
        <f>$C86*AI85</f>
        <v/>
      </c>
      <c r="AJ86">
        <f>$C86*AJ85</f>
        <v/>
      </c>
      <c r="AK86">
        <f>$C86*AK85</f>
        <v/>
      </c>
      <c r="AL86">
        <f>$C86*AL85</f>
        <v/>
      </c>
      <c r="AM86">
        <f>$C86*AM85</f>
        <v/>
      </c>
      <c r="AN86">
        <f>$C86*AN85</f>
        <v/>
      </c>
      <c r="AO86">
        <f>$C86*AO85</f>
        <v/>
      </c>
      <c r="AP86">
        <f>$C86*AP85</f>
        <v/>
      </c>
      <c r="AQ86">
        <f>$C86*AQ85</f>
        <v/>
      </c>
      <c r="AR86">
        <f>$C86*AR85</f>
        <v/>
      </c>
      <c r="AS86">
        <f>$C86*AS85</f>
        <v/>
      </c>
      <c r="AT86">
        <f>$C86*AT85</f>
        <v/>
      </c>
      <c r="AU86">
        <f>$C86*AU85</f>
        <v/>
      </c>
      <c r="AV86">
        <f>$C86*AV85</f>
        <v/>
      </c>
      <c r="AW86">
        <f>$C86*AW85</f>
        <v/>
      </c>
      <c r="AX86">
        <f>$C86*AX85</f>
        <v/>
      </c>
      <c r="AY86">
        <f>$C86*AY85</f>
        <v/>
      </c>
      <c r="AZ86">
        <f>$C86*AZ85</f>
        <v/>
      </c>
      <c r="BA86">
        <f>$C86*BA85</f>
        <v/>
      </c>
      <c r="BB86">
        <f>$C86*BB85</f>
        <v/>
      </c>
      <c r="BC86">
        <f>$C86*BC85</f>
        <v/>
      </c>
      <c r="BD86">
        <f>$C86*BD85</f>
        <v/>
      </c>
      <c r="BE86">
        <f>$C86*BE85</f>
        <v/>
      </c>
      <c r="BF86">
        <f>$C86*BF85</f>
        <v/>
      </c>
      <c r="BG86">
        <f>$C86*BG85</f>
        <v/>
      </c>
      <c r="BH86">
        <f>$C86*BH85</f>
        <v/>
      </c>
      <c r="BI86">
        <f>$C86*BI85</f>
        <v/>
      </c>
      <c r="BJ86">
        <f>$C86*BJ85</f>
        <v/>
      </c>
      <c r="BK86">
        <f>$C86*BK85</f>
        <v/>
      </c>
      <c r="BL86">
        <f>$C86*BL85</f>
        <v/>
      </c>
      <c r="BM86">
        <f>$C86*BM85</f>
        <v/>
      </c>
      <c r="BN86">
        <f>$C86*BN85</f>
        <v/>
      </c>
      <c r="BO86">
        <f>$C86*BO85</f>
        <v/>
      </c>
      <c r="BP86">
        <f>$C86*BP85</f>
        <v/>
      </c>
      <c r="BQ86">
        <f>$C86*BQ85</f>
        <v/>
      </c>
      <c r="BR86">
        <f>$C86*BR85</f>
        <v/>
      </c>
      <c r="BS86">
        <f>$C86*BS85</f>
        <v/>
      </c>
      <c r="BT86">
        <f>$C86*BT85</f>
        <v/>
      </c>
      <c r="BU86">
        <f>$C86*BU85</f>
        <v/>
      </c>
      <c r="BV86">
        <f>$C86*BV85</f>
        <v/>
      </c>
      <c r="BW86">
        <f>$C86*BW85</f>
        <v/>
      </c>
      <c r="BX86">
        <f>$C86*BX85</f>
        <v/>
      </c>
      <c r="BY86">
        <f>$C86*BY85</f>
        <v/>
      </c>
      <c r="BZ86">
        <f>$C86*BZ85</f>
        <v/>
      </c>
      <c r="CA86">
        <f>$C86*CA85</f>
        <v/>
      </c>
      <c r="CB86">
        <f>$C86*CB85</f>
        <v/>
      </c>
      <c r="CC86">
        <f>$C86*CC85</f>
        <v/>
      </c>
      <c r="CD86">
        <f>$C86*CD85</f>
        <v/>
      </c>
      <c r="CE86">
        <f>$C86*CE85</f>
        <v/>
      </c>
      <c r="CF86">
        <f>$C86*CF85</f>
        <v/>
      </c>
      <c r="CG86">
        <f>$C86*CG85</f>
        <v/>
      </c>
      <c r="CH86">
        <f>$C86*CH85</f>
        <v/>
      </c>
      <c r="CI86">
        <f>$C86*CI85</f>
        <v/>
      </c>
      <c r="CJ86">
        <f>$C86*CJ85</f>
        <v/>
      </c>
      <c r="CK86">
        <f>$C86*CK85</f>
        <v/>
      </c>
      <c r="CL86">
        <f>$C86*CL85</f>
        <v/>
      </c>
      <c r="CM86">
        <f>$C86*CM85</f>
        <v/>
      </c>
      <c r="CN86">
        <f>$C86*CN85</f>
        <v/>
      </c>
      <c r="CO86">
        <f>$C86*CO85</f>
        <v/>
      </c>
      <c r="CP86">
        <f>$C86*CP85</f>
        <v/>
      </c>
      <c r="CQ86">
        <f>$C86*CQ85</f>
        <v/>
      </c>
      <c r="CR86">
        <f>$C86*CR85</f>
        <v/>
      </c>
      <c r="CS86">
        <f>$C86*CS85</f>
        <v/>
      </c>
      <c r="CT86">
        <f>$C86*CT85</f>
        <v/>
      </c>
      <c r="CU86">
        <f>$C86*CU85</f>
        <v/>
      </c>
      <c r="CV86">
        <f>$C86*CV85</f>
        <v/>
      </c>
      <c r="CW86">
        <f>$C86*CW85</f>
        <v/>
      </c>
      <c r="CX86">
        <f>$C86*CX85</f>
        <v/>
      </c>
      <c r="CY86">
        <f>$C86*CY85</f>
        <v/>
      </c>
      <c r="CZ86">
        <f>$C86*CZ85</f>
        <v/>
      </c>
      <c r="DA86">
        <f>$C86*DA85</f>
        <v/>
      </c>
      <c r="DB86">
        <f>$C86*DB85</f>
        <v/>
      </c>
      <c r="DC86">
        <f>$C86*DC85</f>
        <v/>
      </c>
    </row>
    <row r="87">
      <c r="B87" t="inlineStr">
        <is>
          <t>TSP-399</t>
        </is>
      </c>
      <c r="C87" t="inlineStr">
        <is>
          <t>No. of batches</t>
        </is>
      </c>
      <c r="D87">
        <f>IFERROR(INDEX(PP_Grid[#Data],$DD87,2),0)</f>
        <v/>
      </c>
      <c r="E87">
        <f>IFERROR(INDEX(PP_Grid[#Data],$DD87,3),0)</f>
        <v/>
      </c>
      <c r="F87">
        <f>IFERROR(INDEX(PP_Grid[#Data],$DD87,4),0)</f>
        <v/>
      </c>
      <c r="G87">
        <f>IFERROR(INDEX(PP_Grid[#Data],$DD87,5),0)</f>
        <v/>
      </c>
      <c r="H87">
        <f>IFERROR(INDEX(PP_Grid[#Data],$DD87,6),0)</f>
        <v/>
      </c>
      <c r="I87">
        <f>IFERROR(INDEX(PP_Grid[#Data],$DD87,7),0)</f>
        <v/>
      </c>
      <c r="J87">
        <f>IFERROR(INDEX(PP_Grid[#Data],$DD87,8),0)</f>
        <v/>
      </c>
      <c r="K87">
        <f>IFERROR(INDEX(PP_Grid[#Data],$DD87,9),0)</f>
        <v/>
      </c>
      <c r="L87">
        <f>IFERROR(INDEX(PP_Grid[#Data],$DD87,10),0)</f>
        <v/>
      </c>
      <c r="M87">
        <f>IFERROR(INDEX(PP_Grid[#Data],$DD87,11),0)</f>
        <v/>
      </c>
      <c r="N87">
        <f>IFERROR(INDEX(PP_Grid[#Data],$DD87,12),0)</f>
        <v/>
      </c>
      <c r="O87">
        <f>IFERROR(INDEX(PP_Grid[#Data],$DD87,13),0)</f>
        <v/>
      </c>
      <c r="P87">
        <f>IFERROR(INDEX(PP_Grid[#Data],$DD87,14),0)</f>
        <v/>
      </c>
      <c r="Q87">
        <f>IFERROR(INDEX(PP_Grid[#Data],$DD87,15),0)</f>
        <v/>
      </c>
      <c r="R87">
        <f>IFERROR(INDEX(PP_Grid[#Data],$DD87,16),0)</f>
        <v/>
      </c>
      <c r="S87">
        <f>IFERROR(INDEX(PP_Grid[#Data],$DD87,17),0)</f>
        <v/>
      </c>
      <c r="T87">
        <f>IFERROR(INDEX(PP_Grid[#Data],$DD87,18),0)</f>
        <v/>
      </c>
      <c r="U87">
        <f>IFERROR(INDEX(PP_Grid[#Data],$DD87,19),0)</f>
        <v/>
      </c>
      <c r="V87">
        <f>IFERROR(INDEX(PP_Grid[#Data],$DD87,20),0)</f>
        <v/>
      </c>
      <c r="W87">
        <f>IFERROR(INDEX(PP_Grid[#Data],$DD87,21),0)</f>
        <v/>
      </c>
      <c r="X87">
        <f>IFERROR(INDEX(PP_Grid[#Data],$DD87,22),0)</f>
        <v/>
      </c>
      <c r="Y87">
        <f>IFERROR(INDEX(PP_Grid[#Data],$DD87,23),0)</f>
        <v/>
      </c>
      <c r="Z87">
        <f>IFERROR(INDEX(PP_Grid[#Data],$DD87,24),0)</f>
        <v/>
      </c>
      <c r="AA87">
        <f>IFERROR(INDEX(PP_Grid[#Data],$DD87,25),0)</f>
        <v/>
      </c>
      <c r="AB87">
        <f>IFERROR(INDEX(PP_Grid[#Data],$DD87,26),0)</f>
        <v/>
      </c>
      <c r="AC87">
        <f>IFERROR(INDEX(PP_Grid[#Data],$DD87,27),0)</f>
        <v/>
      </c>
      <c r="AD87">
        <f>IFERROR(INDEX(PP_Grid[#Data],$DD87,28),0)</f>
        <v/>
      </c>
      <c r="AE87">
        <f>IFERROR(INDEX(PP_Grid[#Data],$DD87,29),0)</f>
        <v/>
      </c>
      <c r="AF87">
        <f>IFERROR(INDEX(PP_Grid[#Data],$DD87,30),0)</f>
        <v/>
      </c>
      <c r="AG87">
        <f>IFERROR(INDEX(PP_Grid[#Data],$DD87,31),0)</f>
        <v/>
      </c>
      <c r="AH87">
        <f>IFERROR(INDEX(PP_Grid[#Data],$DD87,32),0)</f>
        <v/>
      </c>
      <c r="AI87">
        <f>IFERROR(INDEX(PP_Grid[#Data],$DD87,33),0)</f>
        <v/>
      </c>
      <c r="AJ87">
        <f>IFERROR(INDEX(PP_Grid[#Data],$DD87,34),0)</f>
        <v/>
      </c>
      <c r="AK87">
        <f>IFERROR(INDEX(PP_Grid[#Data],$DD87,35),0)</f>
        <v/>
      </c>
      <c r="AL87">
        <f>IFERROR(INDEX(PP_Grid[#Data],$DD87,36),0)</f>
        <v/>
      </c>
      <c r="AM87">
        <f>IFERROR(INDEX(PP_Grid[#Data],$DD87,37),0)</f>
        <v/>
      </c>
      <c r="AN87">
        <f>IFERROR(INDEX(PP_Grid[#Data],$DD87,38),0)</f>
        <v/>
      </c>
      <c r="AO87">
        <f>IFERROR(INDEX(PP_Grid[#Data],$DD87,39),0)</f>
        <v/>
      </c>
      <c r="AP87">
        <f>IFERROR(INDEX(PP_Grid[#Data],$DD87,40),0)</f>
        <v/>
      </c>
      <c r="AQ87">
        <f>IFERROR(INDEX(PP_Grid[#Data],$DD87,41),0)</f>
        <v/>
      </c>
      <c r="AR87">
        <f>IFERROR(INDEX(PP_Grid[#Data],$DD87,42),0)</f>
        <v/>
      </c>
      <c r="AS87">
        <f>IFERROR(INDEX(PP_Grid[#Data],$DD87,43),0)</f>
        <v/>
      </c>
      <c r="AT87">
        <f>IFERROR(INDEX(PP_Grid[#Data],$DD87,44),0)</f>
        <v/>
      </c>
      <c r="AU87">
        <f>IFERROR(INDEX(PP_Grid[#Data],$DD87,45),0)</f>
        <v/>
      </c>
      <c r="AV87">
        <f>IFERROR(INDEX(PP_Grid[#Data],$DD87,46),0)</f>
        <v/>
      </c>
      <c r="AW87">
        <f>IFERROR(INDEX(PP_Grid[#Data],$DD87,47),0)</f>
        <v/>
      </c>
      <c r="AX87">
        <f>IFERROR(INDEX(PP_Grid[#Data],$DD87,48),0)</f>
        <v/>
      </c>
      <c r="AY87">
        <f>IFERROR(INDEX(PP_Grid[#Data],$DD87,49),0)</f>
        <v/>
      </c>
      <c r="AZ87">
        <f>IFERROR(INDEX(PP_Grid[#Data],$DD87,50),0)</f>
        <v/>
      </c>
      <c r="BA87">
        <f>IFERROR(INDEX(PP_Grid[#Data],$DD87,51),0)</f>
        <v/>
      </c>
      <c r="BB87">
        <f>IFERROR(INDEX(PP_Grid[#Data],$DD87,52),0)</f>
        <v/>
      </c>
      <c r="BC87">
        <f>IFERROR(INDEX(PP_Grid[#Data],$DD87,53),0)</f>
        <v/>
      </c>
      <c r="BD87">
        <f>IFERROR(INDEX(PP_Grid[#Data],$DD87,54),0)</f>
        <v/>
      </c>
      <c r="BE87">
        <f>IFERROR(INDEX(PP_Grid[#Data],$DD87,55),0)</f>
        <v/>
      </c>
      <c r="BF87">
        <f>IFERROR(INDEX(PP_Grid[#Data],$DD87,56),0)</f>
        <v/>
      </c>
      <c r="BG87">
        <f>IFERROR(INDEX(PP_Grid[#Data],$DD87,57),0)</f>
        <v/>
      </c>
      <c r="BH87">
        <f>IFERROR(INDEX(PP_Grid[#Data],$DD87,58),0)</f>
        <v/>
      </c>
      <c r="BI87">
        <f>IFERROR(INDEX(PP_Grid[#Data],$DD87,59),0)</f>
        <v/>
      </c>
      <c r="BJ87">
        <f>IFERROR(INDEX(PP_Grid[#Data],$DD87,60),0)</f>
        <v/>
      </c>
      <c r="BK87">
        <f>IFERROR(INDEX(PP_Grid[#Data],$DD87,61),0)</f>
        <v/>
      </c>
      <c r="BL87">
        <f>IFERROR(INDEX(PP_Grid[#Data],$DD87,62),0)</f>
        <v/>
      </c>
      <c r="BM87">
        <f>IFERROR(INDEX(PP_Grid[#Data],$DD87,63),0)</f>
        <v/>
      </c>
      <c r="BN87">
        <f>IFERROR(INDEX(PP_Grid[#Data],$DD87,64),0)</f>
        <v/>
      </c>
      <c r="BO87">
        <f>IFERROR(INDEX(PP_Grid[#Data],$DD87,65),0)</f>
        <v/>
      </c>
      <c r="BP87">
        <f>IFERROR(INDEX(PP_Grid[#Data],$DD87,66),0)</f>
        <v/>
      </c>
      <c r="BQ87">
        <f>IFERROR(INDEX(PP_Grid[#Data],$DD87,67),0)</f>
        <v/>
      </c>
      <c r="BR87">
        <f>IFERROR(INDEX(PP_Grid[#Data],$DD87,68),0)</f>
        <v/>
      </c>
      <c r="BS87">
        <f>IFERROR(INDEX(PP_Grid[#Data],$DD87,69),0)</f>
        <v/>
      </c>
      <c r="BT87">
        <f>IFERROR(INDEX(PP_Grid[#Data],$DD87,70),0)</f>
        <v/>
      </c>
      <c r="BU87">
        <f>IFERROR(INDEX(PP_Grid[#Data],$DD87,71),0)</f>
        <v/>
      </c>
      <c r="BV87">
        <f>IFERROR(INDEX(PP_Grid[#Data],$DD87,72),0)</f>
        <v/>
      </c>
      <c r="BW87">
        <f>IFERROR(INDEX(PP_Grid[#Data],$DD87,73),0)</f>
        <v/>
      </c>
      <c r="BX87">
        <f>IFERROR(INDEX(PP_Grid[#Data],$DD87,74),0)</f>
        <v/>
      </c>
      <c r="BY87">
        <f>IFERROR(INDEX(PP_Grid[#Data],$DD87,75),0)</f>
        <v/>
      </c>
      <c r="BZ87">
        <f>IFERROR(INDEX(PP_Grid[#Data],$DD87,76),0)</f>
        <v/>
      </c>
      <c r="CA87">
        <f>IFERROR(INDEX(PP_Grid[#Data],$DD87,77),0)</f>
        <v/>
      </c>
      <c r="CB87">
        <f>IFERROR(INDEX(PP_Grid[#Data],$DD87,78),0)</f>
        <v/>
      </c>
      <c r="CC87">
        <f>IFERROR(INDEX(PP_Grid[#Data],$DD87,79),0)</f>
        <v/>
      </c>
      <c r="CD87">
        <f>IFERROR(INDEX(PP_Grid[#Data],$DD87,80),0)</f>
        <v/>
      </c>
      <c r="CE87">
        <f>IFERROR(INDEX(PP_Grid[#Data],$DD87,81),0)</f>
        <v/>
      </c>
      <c r="CF87">
        <f>IFERROR(INDEX(PP_Grid[#Data],$DD87,82),0)</f>
        <v/>
      </c>
      <c r="CG87">
        <f>IFERROR(INDEX(PP_Grid[#Data],$DD87,83),0)</f>
        <v/>
      </c>
      <c r="CH87">
        <f>IFERROR(INDEX(PP_Grid[#Data],$DD87,84),0)</f>
        <v/>
      </c>
      <c r="CI87">
        <f>IFERROR(INDEX(PP_Grid[#Data],$DD87,85),0)</f>
        <v/>
      </c>
      <c r="CJ87">
        <f>IFERROR(INDEX(PP_Grid[#Data],$DD87,86),0)</f>
        <v/>
      </c>
      <c r="CK87">
        <f>IFERROR(INDEX(PP_Grid[#Data],$DD87,87),0)</f>
        <v/>
      </c>
      <c r="CL87">
        <f>IFERROR(INDEX(PP_Grid[#Data],$DD87,88),0)</f>
        <v/>
      </c>
      <c r="CM87">
        <f>IFERROR(INDEX(PP_Grid[#Data],$DD87,89),0)</f>
        <v/>
      </c>
      <c r="CN87">
        <f>IFERROR(INDEX(PP_Grid[#Data],$DD87,90),0)</f>
        <v/>
      </c>
      <c r="CO87">
        <f>IFERROR(INDEX(PP_Grid[#Data],$DD87,91),0)</f>
        <v/>
      </c>
      <c r="CP87">
        <f>IFERROR(INDEX(PP_Grid[#Data],$DD87,92),0)</f>
        <v/>
      </c>
      <c r="CQ87">
        <f>IFERROR(INDEX(PP_Grid[#Data],$DD87,93),0)</f>
        <v/>
      </c>
      <c r="CR87">
        <f>IFERROR(INDEX(PP_Grid[#Data],$DD87,94),0)</f>
        <v/>
      </c>
      <c r="CS87">
        <f>IFERROR(INDEX(PP_Grid[#Data],$DD87,95),0)</f>
        <v/>
      </c>
      <c r="CT87">
        <f>IFERROR(INDEX(PP_Grid[#Data],$DD87,96),0)</f>
        <v/>
      </c>
      <c r="CU87">
        <f>IFERROR(INDEX(PP_Grid[#Data],$DD87,97),0)</f>
        <v/>
      </c>
      <c r="CV87">
        <f>IFERROR(INDEX(PP_Grid[#Data],$DD87,98),0)</f>
        <v/>
      </c>
      <c r="CW87">
        <f>IFERROR(INDEX(PP_Grid[#Data],$DD87,99),0)</f>
        <v/>
      </c>
      <c r="CX87">
        <f>IFERROR(INDEX(PP_Grid[#Data],$DD87,100),0)</f>
        <v/>
      </c>
      <c r="CY87">
        <f>IFERROR(INDEX(PP_Grid[#Data],$DD87,101),0)</f>
        <v/>
      </c>
      <c r="CZ87">
        <f>IFERROR(INDEX(PP_Grid[#Data],$DD87,102),0)</f>
        <v/>
      </c>
      <c r="DA87">
        <f>IFERROR(INDEX(PP_Grid[#Data],$DD87,103),0)</f>
        <v/>
      </c>
      <c r="DB87">
        <f>IFERROR(INDEX(PP_Grid[#Data],$DD87,104),0)</f>
        <v/>
      </c>
      <c r="DC87">
        <f>IFERROR(INDEX(PP_Grid[#Data],$DD87,105),0)</f>
        <v/>
      </c>
      <c r="DD87" s="7">
        <f>IFERROR(MATCH($B87,PP_Grid[Intermediate],0),99999)</f>
        <v/>
      </c>
    </row>
    <row r="88">
      <c r="B88" t="inlineStr">
        <is>
          <t>使用量(kg)</t>
        </is>
      </c>
      <c r="C88">
        <f>SUMIFS(M_BOM[RM_Qty_Per_Batch],M_BOM[Intermediate],$B87,M_BOM[Part Name],$A44)</f>
        <v/>
      </c>
      <c r="D88">
        <f>$C88*D87</f>
        <v/>
      </c>
      <c r="E88">
        <f>$C88*E87</f>
        <v/>
      </c>
      <c r="F88">
        <f>$C88*F87</f>
        <v/>
      </c>
      <c r="G88">
        <f>$C88*G87</f>
        <v/>
      </c>
      <c r="H88">
        <f>$C88*H87</f>
        <v/>
      </c>
      <c r="I88">
        <f>$C88*I87</f>
        <v/>
      </c>
      <c r="J88">
        <f>$C88*J87</f>
        <v/>
      </c>
      <c r="K88">
        <f>$C88*K87</f>
        <v/>
      </c>
      <c r="L88">
        <f>$C88*L87</f>
        <v/>
      </c>
      <c r="M88">
        <f>$C88*M87</f>
        <v/>
      </c>
      <c r="N88">
        <f>$C88*N87</f>
        <v/>
      </c>
      <c r="O88">
        <f>$C88*O87</f>
        <v/>
      </c>
      <c r="P88">
        <f>$C88*P87</f>
        <v/>
      </c>
      <c r="Q88">
        <f>$C88*Q87</f>
        <v/>
      </c>
      <c r="R88">
        <f>$C88*R87</f>
        <v/>
      </c>
      <c r="S88">
        <f>$C88*S87</f>
        <v/>
      </c>
      <c r="T88">
        <f>$C88*T87</f>
        <v/>
      </c>
      <c r="U88">
        <f>$C88*U87</f>
        <v/>
      </c>
      <c r="V88">
        <f>$C88*V87</f>
        <v/>
      </c>
      <c r="W88">
        <f>$C88*W87</f>
        <v/>
      </c>
      <c r="X88">
        <f>$C88*X87</f>
        <v/>
      </c>
      <c r="Y88">
        <f>$C88*Y87</f>
        <v/>
      </c>
      <c r="Z88">
        <f>$C88*Z87</f>
        <v/>
      </c>
      <c r="AA88">
        <f>$C88*AA87</f>
        <v/>
      </c>
      <c r="AB88">
        <f>$C88*AB87</f>
        <v/>
      </c>
      <c r="AC88">
        <f>$C88*AC87</f>
        <v/>
      </c>
      <c r="AD88">
        <f>$C88*AD87</f>
        <v/>
      </c>
      <c r="AE88">
        <f>$C88*AE87</f>
        <v/>
      </c>
      <c r="AF88">
        <f>$C88*AF87</f>
        <v/>
      </c>
      <c r="AG88">
        <f>$C88*AG87</f>
        <v/>
      </c>
      <c r="AH88">
        <f>$C88*AH87</f>
        <v/>
      </c>
      <c r="AI88">
        <f>$C88*AI87</f>
        <v/>
      </c>
      <c r="AJ88">
        <f>$C88*AJ87</f>
        <v/>
      </c>
      <c r="AK88">
        <f>$C88*AK87</f>
        <v/>
      </c>
      <c r="AL88">
        <f>$C88*AL87</f>
        <v/>
      </c>
      <c r="AM88">
        <f>$C88*AM87</f>
        <v/>
      </c>
      <c r="AN88">
        <f>$C88*AN87</f>
        <v/>
      </c>
      <c r="AO88">
        <f>$C88*AO87</f>
        <v/>
      </c>
      <c r="AP88">
        <f>$C88*AP87</f>
        <v/>
      </c>
      <c r="AQ88">
        <f>$C88*AQ87</f>
        <v/>
      </c>
      <c r="AR88">
        <f>$C88*AR87</f>
        <v/>
      </c>
      <c r="AS88">
        <f>$C88*AS87</f>
        <v/>
      </c>
      <c r="AT88">
        <f>$C88*AT87</f>
        <v/>
      </c>
      <c r="AU88">
        <f>$C88*AU87</f>
        <v/>
      </c>
      <c r="AV88">
        <f>$C88*AV87</f>
        <v/>
      </c>
      <c r="AW88">
        <f>$C88*AW87</f>
        <v/>
      </c>
      <c r="AX88">
        <f>$C88*AX87</f>
        <v/>
      </c>
      <c r="AY88">
        <f>$C88*AY87</f>
        <v/>
      </c>
      <c r="AZ88">
        <f>$C88*AZ87</f>
        <v/>
      </c>
      <c r="BA88">
        <f>$C88*BA87</f>
        <v/>
      </c>
      <c r="BB88">
        <f>$C88*BB87</f>
        <v/>
      </c>
      <c r="BC88">
        <f>$C88*BC87</f>
        <v/>
      </c>
      <c r="BD88">
        <f>$C88*BD87</f>
        <v/>
      </c>
      <c r="BE88">
        <f>$C88*BE87</f>
        <v/>
      </c>
      <c r="BF88">
        <f>$C88*BF87</f>
        <v/>
      </c>
      <c r="BG88">
        <f>$C88*BG87</f>
        <v/>
      </c>
      <c r="BH88">
        <f>$C88*BH87</f>
        <v/>
      </c>
      <c r="BI88">
        <f>$C88*BI87</f>
        <v/>
      </c>
      <c r="BJ88">
        <f>$C88*BJ87</f>
        <v/>
      </c>
      <c r="BK88">
        <f>$C88*BK87</f>
        <v/>
      </c>
      <c r="BL88">
        <f>$C88*BL87</f>
        <v/>
      </c>
      <c r="BM88">
        <f>$C88*BM87</f>
        <v/>
      </c>
      <c r="BN88">
        <f>$C88*BN87</f>
        <v/>
      </c>
      <c r="BO88">
        <f>$C88*BO87</f>
        <v/>
      </c>
      <c r="BP88">
        <f>$C88*BP87</f>
        <v/>
      </c>
      <c r="BQ88">
        <f>$C88*BQ87</f>
        <v/>
      </c>
      <c r="BR88">
        <f>$C88*BR87</f>
        <v/>
      </c>
      <c r="BS88">
        <f>$C88*BS87</f>
        <v/>
      </c>
      <c r="BT88">
        <f>$C88*BT87</f>
        <v/>
      </c>
      <c r="BU88">
        <f>$C88*BU87</f>
        <v/>
      </c>
      <c r="BV88">
        <f>$C88*BV87</f>
        <v/>
      </c>
      <c r="BW88">
        <f>$C88*BW87</f>
        <v/>
      </c>
      <c r="BX88">
        <f>$C88*BX87</f>
        <v/>
      </c>
      <c r="BY88">
        <f>$C88*BY87</f>
        <v/>
      </c>
      <c r="BZ88">
        <f>$C88*BZ87</f>
        <v/>
      </c>
      <c r="CA88">
        <f>$C88*CA87</f>
        <v/>
      </c>
      <c r="CB88">
        <f>$C88*CB87</f>
        <v/>
      </c>
      <c r="CC88">
        <f>$C88*CC87</f>
        <v/>
      </c>
      <c r="CD88">
        <f>$C88*CD87</f>
        <v/>
      </c>
      <c r="CE88">
        <f>$C88*CE87</f>
        <v/>
      </c>
      <c r="CF88">
        <f>$C88*CF87</f>
        <v/>
      </c>
      <c r="CG88">
        <f>$C88*CG87</f>
        <v/>
      </c>
      <c r="CH88">
        <f>$C88*CH87</f>
        <v/>
      </c>
      <c r="CI88">
        <f>$C88*CI87</f>
        <v/>
      </c>
      <c r="CJ88">
        <f>$C88*CJ87</f>
        <v/>
      </c>
      <c r="CK88">
        <f>$C88*CK87</f>
        <v/>
      </c>
      <c r="CL88">
        <f>$C88*CL87</f>
        <v/>
      </c>
      <c r="CM88">
        <f>$C88*CM87</f>
        <v/>
      </c>
      <c r="CN88">
        <f>$C88*CN87</f>
        <v/>
      </c>
      <c r="CO88">
        <f>$C88*CO87</f>
        <v/>
      </c>
      <c r="CP88">
        <f>$C88*CP87</f>
        <v/>
      </c>
      <c r="CQ88">
        <f>$C88*CQ87</f>
        <v/>
      </c>
      <c r="CR88">
        <f>$C88*CR87</f>
        <v/>
      </c>
      <c r="CS88">
        <f>$C88*CS87</f>
        <v/>
      </c>
      <c r="CT88">
        <f>$C88*CT87</f>
        <v/>
      </c>
      <c r="CU88">
        <f>$C88*CU87</f>
        <v/>
      </c>
      <c r="CV88">
        <f>$C88*CV87</f>
        <v/>
      </c>
      <c r="CW88">
        <f>$C88*CW87</f>
        <v/>
      </c>
      <c r="CX88">
        <f>$C88*CX87</f>
        <v/>
      </c>
      <c r="CY88">
        <f>$C88*CY87</f>
        <v/>
      </c>
      <c r="CZ88">
        <f>$C88*CZ87</f>
        <v/>
      </c>
      <c r="DA88">
        <f>$C88*DA87</f>
        <v/>
      </c>
      <c r="DB88">
        <f>$C88*DB87</f>
        <v/>
      </c>
      <c r="DC88">
        <f>$C88*DC87</f>
        <v/>
      </c>
    </row>
    <row r="89">
      <c r="B89" t="inlineStr">
        <is>
          <t>TSP-402</t>
        </is>
      </c>
      <c r="C89" t="inlineStr">
        <is>
          <t>No. of batches</t>
        </is>
      </c>
      <c r="D89">
        <f>IFERROR(INDEX(PP_Grid[#Data],$DD89,2),0)</f>
        <v/>
      </c>
      <c r="E89">
        <f>IFERROR(INDEX(PP_Grid[#Data],$DD89,3),0)</f>
        <v/>
      </c>
      <c r="F89">
        <f>IFERROR(INDEX(PP_Grid[#Data],$DD89,4),0)</f>
        <v/>
      </c>
      <c r="G89">
        <f>IFERROR(INDEX(PP_Grid[#Data],$DD89,5),0)</f>
        <v/>
      </c>
      <c r="H89">
        <f>IFERROR(INDEX(PP_Grid[#Data],$DD89,6),0)</f>
        <v/>
      </c>
      <c r="I89">
        <f>IFERROR(INDEX(PP_Grid[#Data],$DD89,7),0)</f>
        <v/>
      </c>
      <c r="J89">
        <f>IFERROR(INDEX(PP_Grid[#Data],$DD89,8),0)</f>
        <v/>
      </c>
      <c r="K89">
        <f>IFERROR(INDEX(PP_Grid[#Data],$DD89,9),0)</f>
        <v/>
      </c>
      <c r="L89">
        <f>IFERROR(INDEX(PP_Grid[#Data],$DD89,10),0)</f>
        <v/>
      </c>
      <c r="M89">
        <f>IFERROR(INDEX(PP_Grid[#Data],$DD89,11),0)</f>
        <v/>
      </c>
      <c r="N89">
        <f>IFERROR(INDEX(PP_Grid[#Data],$DD89,12),0)</f>
        <v/>
      </c>
      <c r="O89">
        <f>IFERROR(INDEX(PP_Grid[#Data],$DD89,13),0)</f>
        <v/>
      </c>
      <c r="P89">
        <f>IFERROR(INDEX(PP_Grid[#Data],$DD89,14),0)</f>
        <v/>
      </c>
      <c r="Q89">
        <f>IFERROR(INDEX(PP_Grid[#Data],$DD89,15),0)</f>
        <v/>
      </c>
      <c r="R89">
        <f>IFERROR(INDEX(PP_Grid[#Data],$DD89,16),0)</f>
        <v/>
      </c>
      <c r="S89">
        <f>IFERROR(INDEX(PP_Grid[#Data],$DD89,17),0)</f>
        <v/>
      </c>
      <c r="T89">
        <f>IFERROR(INDEX(PP_Grid[#Data],$DD89,18),0)</f>
        <v/>
      </c>
      <c r="U89">
        <f>IFERROR(INDEX(PP_Grid[#Data],$DD89,19),0)</f>
        <v/>
      </c>
      <c r="V89">
        <f>IFERROR(INDEX(PP_Grid[#Data],$DD89,20),0)</f>
        <v/>
      </c>
      <c r="W89">
        <f>IFERROR(INDEX(PP_Grid[#Data],$DD89,21),0)</f>
        <v/>
      </c>
      <c r="X89">
        <f>IFERROR(INDEX(PP_Grid[#Data],$DD89,22),0)</f>
        <v/>
      </c>
      <c r="Y89">
        <f>IFERROR(INDEX(PP_Grid[#Data],$DD89,23),0)</f>
        <v/>
      </c>
      <c r="Z89">
        <f>IFERROR(INDEX(PP_Grid[#Data],$DD89,24),0)</f>
        <v/>
      </c>
      <c r="AA89">
        <f>IFERROR(INDEX(PP_Grid[#Data],$DD89,25),0)</f>
        <v/>
      </c>
      <c r="AB89">
        <f>IFERROR(INDEX(PP_Grid[#Data],$DD89,26),0)</f>
        <v/>
      </c>
      <c r="AC89">
        <f>IFERROR(INDEX(PP_Grid[#Data],$DD89,27),0)</f>
        <v/>
      </c>
      <c r="AD89">
        <f>IFERROR(INDEX(PP_Grid[#Data],$DD89,28),0)</f>
        <v/>
      </c>
      <c r="AE89">
        <f>IFERROR(INDEX(PP_Grid[#Data],$DD89,29),0)</f>
        <v/>
      </c>
      <c r="AF89">
        <f>IFERROR(INDEX(PP_Grid[#Data],$DD89,30),0)</f>
        <v/>
      </c>
      <c r="AG89">
        <f>IFERROR(INDEX(PP_Grid[#Data],$DD89,31),0)</f>
        <v/>
      </c>
      <c r="AH89">
        <f>IFERROR(INDEX(PP_Grid[#Data],$DD89,32),0)</f>
        <v/>
      </c>
      <c r="AI89">
        <f>IFERROR(INDEX(PP_Grid[#Data],$DD89,33),0)</f>
        <v/>
      </c>
      <c r="AJ89">
        <f>IFERROR(INDEX(PP_Grid[#Data],$DD89,34),0)</f>
        <v/>
      </c>
      <c r="AK89">
        <f>IFERROR(INDEX(PP_Grid[#Data],$DD89,35),0)</f>
        <v/>
      </c>
      <c r="AL89">
        <f>IFERROR(INDEX(PP_Grid[#Data],$DD89,36),0)</f>
        <v/>
      </c>
      <c r="AM89">
        <f>IFERROR(INDEX(PP_Grid[#Data],$DD89,37),0)</f>
        <v/>
      </c>
      <c r="AN89">
        <f>IFERROR(INDEX(PP_Grid[#Data],$DD89,38),0)</f>
        <v/>
      </c>
      <c r="AO89">
        <f>IFERROR(INDEX(PP_Grid[#Data],$DD89,39),0)</f>
        <v/>
      </c>
      <c r="AP89">
        <f>IFERROR(INDEX(PP_Grid[#Data],$DD89,40),0)</f>
        <v/>
      </c>
      <c r="AQ89">
        <f>IFERROR(INDEX(PP_Grid[#Data],$DD89,41),0)</f>
        <v/>
      </c>
      <c r="AR89">
        <f>IFERROR(INDEX(PP_Grid[#Data],$DD89,42),0)</f>
        <v/>
      </c>
      <c r="AS89">
        <f>IFERROR(INDEX(PP_Grid[#Data],$DD89,43),0)</f>
        <v/>
      </c>
      <c r="AT89">
        <f>IFERROR(INDEX(PP_Grid[#Data],$DD89,44),0)</f>
        <v/>
      </c>
      <c r="AU89">
        <f>IFERROR(INDEX(PP_Grid[#Data],$DD89,45),0)</f>
        <v/>
      </c>
      <c r="AV89">
        <f>IFERROR(INDEX(PP_Grid[#Data],$DD89,46),0)</f>
        <v/>
      </c>
      <c r="AW89">
        <f>IFERROR(INDEX(PP_Grid[#Data],$DD89,47),0)</f>
        <v/>
      </c>
      <c r="AX89">
        <f>IFERROR(INDEX(PP_Grid[#Data],$DD89,48),0)</f>
        <v/>
      </c>
      <c r="AY89">
        <f>IFERROR(INDEX(PP_Grid[#Data],$DD89,49),0)</f>
        <v/>
      </c>
      <c r="AZ89">
        <f>IFERROR(INDEX(PP_Grid[#Data],$DD89,50),0)</f>
        <v/>
      </c>
      <c r="BA89">
        <f>IFERROR(INDEX(PP_Grid[#Data],$DD89,51),0)</f>
        <v/>
      </c>
      <c r="BB89">
        <f>IFERROR(INDEX(PP_Grid[#Data],$DD89,52),0)</f>
        <v/>
      </c>
      <c r="BC89">
        <f>IFERROR(INDEX(PP_Grid[#Data],$DD89,53),0)</f>
        <v/>
      </c>
      <c r="BD89">
        <f>IFERROR(INDEX(PP_Grid[#Data],$DD89,54),0)</f>
        <v/>
      </c>
      <c r="BE89">
        <f>IFERROR(INDEX(PP_Grid[#Data],$DD89,55),0)</f>
        <v/>
      </c>
      <c r="BF89">
        <f>IFERROR(INDEX(PP_Grid[#Data],$DD89,56),0)</f>
        <v/>
      </c>
      <c r="BG89">
        <f>IFERROR(INDEX(PP_Grid[#Data],$DD89,57),0)</f>
        <v/>
      </c>
      <c r="BH89">
        <f>IFERROR(INDEX(PP_Grid[#Data],$DD89,58),0)</f>
        <v/>
      </c>
      <c r="BI89">
        <f>IFERROR(INDEX(PP_Grid[#Data],$DD89,59),0)</f>
        <v/>
      </c>
      <c r="BJ89">
        <f>IFERROR(INDEX(PP_Grid[#Data],$DD89,60),0)</f>
        <v/>
      </c>
      <c r="BK89">
        <f>IFERROR(INDEX(PP_Grid[#Data],$DD89,61),0)</f>
        <v/>
      </c>
      <c r="BL89">
        <f>IFERROR(INDEX(PP_Grid[#Data],$DD89,62),0)</f>
        <v/>
      </c>
      <c r="BM89">
        <f>IFERROR(INDEX(PP_Grid[#Data],$DD89,63),0)</f>
        <v/>
      </c>
      <c r="BN89">
        <f>IFERROR(INDEX(PP_Grid[#Data],$DD89,64),0)</f>
        <v/>
      </c>
      <c r="BO89">
        <f>IFERROR(INDEX(PP_Grid[#Data],$DD89,65),0)</f>
        <v/>
      </c>
      <c r="BP89">
        <f>IFERROR(INDEX(PP_Grid[#Data],$DD89,66),0)</f>
        <v/>
      </c>
      <c r="BQ89">
        <f>IFERROR(INDEX(PP_Grid[#Data],$DD89,67),0)</f>
        <v/>
      </c>
      <c r="BR89">
        <f>IFERROR(INDEX(PP_Grid[#Data],$DD89,68),0)</f>
        <v/>
      </c>
      <c r="BS89">
        <f>IFERROR(INDEX(PP_Grid[#Data],$DD89,69),0)</f>
        <v/>
      </c>
      <c r="BT89">
        <f>IFERROR(INDEX(PP_Grid[#Data],$DD89,70),0)</f>
        <v/>
      </c>
      <c r="BU89">
        <f>IFERROR(INDEX(PP_Grid[#Data],$DD89,71),0)</f>
        <v/>
      </c>
      <c r="BV89">
        <f>IFERROR(INDEX(PP_Grid[#Data],$DD89,72),0)</f>
        <v/>
      </c>
      <c r="BW89">
        <f>IFERROR(INDEX(PP_Grid[#Data],$DD89,73),0)</f>
        <v/>
      </c>
      <c r="BX89">
        <f>IFERROR(INDEX(PP_Grid[#Data],$DD89,74),0)</f>
        <v/>
      </c>
      <c r="BY89">
        <f>IFERROR(INDEX(PP_Grid[#Data],$DD89,75),0)</f>
        <v/>
      </c>
      <c r="BZ89">
        <f>IFERROR(INDEX(PP_Grid[#Data],$DD89,76),0)</f>
        <v/>
      </c>
      <c r="CA89">
        <f>IFERROR(INDEX(PP_Grid[#Data],$DD89,77),0)</f>
        <v/>
      </c>
      <c r="CB89">
        <f>IFERROR(INDEX(PP_Grid[#Data],$DD89,78),0)</f>
        <v/>
      </c>
      <c r="CC89">
        <f>IFERROR(INDEX(PP_Grid[#Data],$DD89,79),0)</f>
        <v/>
      </c>
      <c r="CD89">
        <f>IFERROR(INDEX(PP_Grid[#Data],$DD89,80),0)</f>
        <v/>
      </c>
      <c r="CE89">
        <f>IFERROR(INDEX(PP_Grid[#Data],$DD89,81),0)</f>
        <v/>
      </c>
      <c r="CF89">
        <f>IFERROR(INDEX(PP_Grid[#Data],$DD89,82),0)</f>
        <v/>
      </c>
      <c r="CG89">
        <f>IFERROR(INDEX(PP_Grid[#Data],$DD89,83),0)</f>
        <v/>
      </c>
      <c r="CH89">
        <f>IFERROR(INDEX(PP_Grid[#Data],$DD89,84),0)</f>
        <v/>
      </c>
      <c r="CI89">
        <f>IFERROR(INDEX(PP_Grid[#Data],$DD89,85),0)</f>
        <v/>
      </c>
      <c r="CJ89">
        <f>IFERROR(INDEX(PP_Grid[#Data],$DD89,86),0)</f>
        <v/>
      </c>
      <c r="CK89">
        <f>IFERROR(INDEX(PP_Grid[#Data],$DD89,87),0)</f>
        <v/>
      </c>
      <c r="CL89">
        <f>IFERROR(INDEX(PP_Grid[#Data],$DD89,88),0)</f>
        <v/>
      </c>
      <c r="CM89">
        <f>IFERROR(INDEX(PP_Grid[#Data],$DD89,89),0)</f>
        <v/>
      </c>
      <c r="CN89">
        <f>IFERROR(INDEX(PP_Grid[#Data],$DD89,90),0)</f>
        <v/>
      </c>
      <c r="CO89">
        <f>IFERROR(INDEX(PP_Grid[#Data],$DD89,91),0)</f>
        <v/>
      </c>
      <c r="CP89">
        <f>IFERROR(INDEX(PP_Grid[#Data],$DD89,92),0)</f>
        <v/>
      </c>
      <c r="CQ89">
        <f>IFERROR(INDEX(PP_Grid[#Data],$DD89,93),0)</f>
        <v/>
      </c>
      <c r="CR89">
        <f>IFERROR(INDEX(PP_Grid[#Data],$DD89,94),0)</f>
        <v/>
      </c>
      <c r="CS89">
        <f>IFERROR(INDEX(PP_Grid[#Data],$DD89,95),0)</f>
        <v/>
      </c>
      <c r="CT89">
        <f>IFERROR(INDEX(PP_Grid[#Data],$DD89,96),0)</f>
        <v/>
      </c>
      <c r="CU89">
        <f>IFERROR(INDEX(PP_Grid[#Data],$DD89,97),0)</f>
        <v/>
      </c>
      <c r="CV89">
        <f>IFERROR(INDEX(PP_Grid[#Data],$DD89,98),0)</f>
        <v/>
      </c>
      <c r="CW89">
        <f>IFERROR(INDEX(PP_Grid[#Data],$DD89,99),0)</f>
        <v/>
      </c>
      <c r="CX89">
        <f>IFERROR(INDEX(PP_Grid[#Data],$DD89,100),0)</f>
        <v/>
      </c>
      <c r="CY89">
        <f>IFERROR(INDEX(PP_Grid[#Data],$DD89,101),0)</f>
        <v/>
      </c>
      <c r="CZ89">
        <f>IFERROR(INDEX(PP_Grid[#Data],$DD89,102),0)</f>
        <v/>
      </c>
      <c r="DA89">
        <f>IFERROR(INDEX(PP_Grid[#Data],$DD89,103),0)</f>
        <v/>
      </c>
      <c r="DB89">
        <f>IFERROR(INDEX(PP_Grid[#Data],$DD89,104),0)</f>
        <v/>
      </c>
      <c r="DC89">
        <f>IFERROR(INDEX(PP_Grid[#Data],$DD89,105),0)</f>
        <v/>
      </c>
      <c r="DD89" s="7">
        <f>IFERROR(MATCH($B89,PP_Grid[Intermediate],0),99999)</f>
        <v/>
      </c>
    </row>
    <row r="90">
      <c r="B90" t="inlineStr">
        <is>
          <t>使用量(kg)</t>
        </is>
      </c>
      <c r="C90">
        <f>SUMIFS(M_BOM[RM_Qty_Per_Batch],M_BOM[Intermediate],$B89,M_BOM[Part Name],$A44)</f>
        <v/>
      </c>
      <c r="D90">
        <f>$C90*D89</f>
        <v/>
      </c>
      <c r="E90">
        <f>$C90*E89</f>
        <v/>
      </c>
      <c r="F90">
        <f>$C90*F89</f>
        <v/>
      </c>
      <c r="G90">
        <f>$C90*G89</f>
        <v/>
      </c>
      <c r="H90">
        <f>$C90*H89</f>
        <v/>
      </c>
      <c r="I90">
        <f>$C90*I89</f>
        <v/>
      </c>
      <c r="J90">
        <f>$C90*J89</f>
        <v/>
      </c>
      <c r="K90">
        <f>$C90*K89</f>
        <v/>
      </c>
      <c r="L90">
        <f>$C90*L89</f>
        <v/>
      </c>
      <c r="M90">
        <f>$C90*M89</f>
        <v/>
      </c>
      <c r="N90">
        <f>$C90*N89</f>
        <v/>
      </c>
      <c r="O90">
        <f>$C90*O89</f>
        <v/>
      </c>
      <c r="P90">
        <f>$C90*P89</f>
        <v/>
      </c>
      <c r="Q90">
        <f>$C90*Q89</f>
        <v/>
      </c>
      <c r="R90">
        <f>$C90*R89</f>
        <v/>
      </c>
      <c r="S90">
        <f>$C90*S89</f>
        <v/>
      </c>
      <c r="T90">
        <f>$C90*T89</f>
        <v/>
      </c>
      <c r="U90">
        <f>$C90*U89</f>
        <v/>
      </c>
      <c r="V90">
        <f>$C90*V89</f>
        <v/>
      </c>
      <c r="W90">
        <f>$C90*W89</f>
        <v/>
      </c>
      <c r="X90">
        <f>$C90*X89</f>
        <v/>
      </c>
      <c r="Y90">
        <f>$C90*Y89</f>
        <v/>
      </c>
      <c r="Z90">
        <f>$C90*Z89</f>
        <v/>
      </c>
      <c r="AA90">
        <f>$C90*AA89</f>
        <v/>
      </c>
      <c r="AB90">
        <f>$C90*AB89</f>
        <v/>
      </c>
      <c r="AC90">
        <f>$C90*AC89</f>
        <v/>
      </c>
      <c r="AD90">
        <f>$C90*AD89</f>
        <v/>
      </c>
      <c r="AE90">
        <f>$C90*AE89</f>
        <v/>
      </c>
      <c r="AF90">
        <f>$C90*AF89</f>
        <v/>
      </c>
      <c r="AG90">
        <f>$C90*AG89</f>
        <v/>
      </c>
      <c r="AH90">
        <f>$C90*AH89</f>
        <v/>
      </c>
      <c r="AI90">
        <f>$C90*AI89</f>
        <v/>
      </c>
      <c r="AJ90">
        <f>$C90*AJ89</f>
        <v/>
      </c>
      <c r="AK90">
        <f>$C90*AK89</f>
        <v/>
      </c>
      <c r="AL90">
        <f>$C90*AL89</f>
        <v/>
      </c>
      <c r="AM90">
        <f>$C90*AM89</f>
        <v/>
      </c>
      <c r="AN90">
        <f>$C90*AN89</f>
        <v/>
      </c>
      <c r="AO90">
        <f>$C90*AO89</f>
        <v/>
      </c>
      <c r="AP90">
        <f>$C90*AP89</f>
        <v/>
      </c>
      <c r="AQ90">
        <f>$C90*AQ89</f>
        <v/>
      </c>
      <c r="AR90">
        <f>$C90*AR89</f>
        <v/>
      </c>
      <c r="AS90">
        <f>$C90*AS89</f>
        <v/>
      </c>
      <c r="AT90">
        <f>$C90*AT89</f>
        <v/>
      </c>
      <c r="AU90">
        <f>$C90*AU89</f>
        <v/>
      </c>
      <c r="AV90">
        <f>$C90*AV89</f>
        <v/>
      </c>
      <c r="AW90">
        <f>$C90*AW89</f>
        <v/>
      </c>
      <c r="AX90">
        <f>$C90*AX89</f>
        <v/>
      </c>
      <c r="AY90">
        <f>$C90*AY89</f>
        <v/>
      </c>
      <c r="AZ90">
        <f>$C90*AZ89</f>
        <v/>
      </c>
      <c r="BA90">
        <f>$C90*BA89</f>
        <v/>
      </c>
      <c r="BB90">
        <f>$C90*BB89</f>
        <v/>
      </c>
      <c r="BC90">
        <f>$C90*BC89</f>
        <v/>
      </c>
      <c r="BD90">
        <f>$C90*BD89</f>
        <v/>
      </c>
      <c r="BE90">
        <f>$C90*BE89</f>
        <v/>
      </c>
      <c r="BF90">
        <f>$C90*BF89</f>
        <v/>
      </c>
      <c r="BG90">
        <f>$C90*BG89</f>
        <v/>
      </c>
      <c r="BH90">
        <f>$C90*BH89</f>
        <v/>
      </c>
      <c r="BI90">
        <f>$C90*BI89</f>
        <v/>
      </c>
      <c r="BJ90">
        <f>$C90*BJ89</f>
        <v/>
      </c>
      <c r="BK90">
        <f>$C90*BK89</f>
        <v/>
      </c>
      <c r="BL90">
        <f>$C90*BL89</f>
        <v/>
      </c>
      <c r="BM90">
        <f>$C90*BM89</f>
        <v/>
      </c>
      <c r="BN90">
        <f>$C90*BN89</f>
        <v/>
      </c>
      <c r="BO90">
        <f>$C90*BO89</f>
        <v/>
      </c>
      <c r="BP90">
        <f>$C90*BP89</f>
        <v/>
      </c>
      <c r="BQ90">
        <f>$C90*BQ89</f>
        <v/>
      </c>
      <c r="BR90">
        <f>$C90*BR89</f>
        <v/>
      </c>
      <c r="BS90">
        <f>$C90*BS89</f>
        <v/>
      </c>
      <c r="BT90">
        <f>$C90*BT89</f>
        <v/>
      </c>
      <c r="BU90">
        <f>$C90*BU89</f>
        <v/>
      </c>
      <c r="BV90">
        <f>$C90*BV89</f>
        <v/>
      </c>
      <c r="BW90">
        <f>$C90*BW89</f>
        <v/>
      </c>
      <c r="BX90">
        <f>$C90*BX89</f>
        <v/>
      </c>
      <c r="BY90">
        <f>$C90*BY89</f>
        <v/>
      </c>
      <c r="BZ90">
        <f>$C90*BZ89</f>
        <v/>
      </c>
      <c r="CA90">
        <f>$C90*CA89</f>
        <v/>
      </c>
      <c r="CB90">
        <f>$C90*CB89</f>
        <v/>
      </c>
      <c r="CC90">
        <f>$C90*CC89</f>
        <v/>
      </c>
      <c r="CD90">
        <f>$C90*CD89</f>
        <v/>
      </c>
      <c r="CE90">
        <f>$C90*CE89</f>
        <v/>
      </c>
      <c r="CF90">
        <f>$C90*CF89</f>
        <v/>
      </c>
      <c r="CG90">
        <f>$C90*CG89</f>
        <v/>
      </c>
      <c r="CH90">
        <f>$C90*CH89</f>
        <v/>
      </c>
      <c r="CI90">
        <f>$C90*CI89</f>
        <v/>
      </c>
      <c r="CJ90">
        <f>$C90*CJ89</f>
        <v/>
      </c>
      <c r="CK90">
        <f>$C90*CK89</f>
        <v/>
      </c>
      <c r="CL90">
        <f>$C90*CL89</f>
        <v/>
      </c>
      <c r="CM90">
        <f>$C90*CM89</f>
        <v/>
      </c>
      <c r="CN90">
        <f>$C90*CN89</f>
        <v/>
      </c>
      <c r="CO90">
        <f>$C90*CO89</f>
        <v/>
      </c>
      <c r="CP90">
        <f>$C90*CP89</f>
        <v/>
      </c>
      <c r="CQ90">
        <f>$C90*CQ89</f>
        <v/>
      </c>
      <c r="CR90">
        <f>$C90*CR89</f>
        <v/>
      </c>
      <c r="CS90">
        <f>$C90*CS89</f>
        <v/>
      </c>
      <c r="CT90">
        <f>$C90*CT89</f>
        <v/>
      </c>
      <c r="CU90">
        <f>$C90*CU89</f>
        <v/>
      </c>
      <c r="CV90">
        <f>$C90*CV89</f>
        <v/>
      </c>
      <c r="CW90">
        <f>$C90*CW89</f>
        <v/>
      </c>
      <c r="CX90">
        <f>$C90*CX89</f>
        <v/>
      </c>
      <c r="CY90">
        <f>$C90*CY89</f>
        <v/>
      </c>
      <c r="CZ90">
        <f>$C90*CZ89</f>
        <v/>
      </c>
      <c r="DA90">
        <f>$C90*DA89</f>
        <v/>
      </c>
      <c r="DB90">
        <f>$C90*DB89</f>
        <v/>
      </c>
      <c r="DC90">
        <f>$C90*DC89</f>
        <v/>
      </c>
    </row>
    <row r="91">
      <c r="B91" t="inlineStr">
        <is>
          <t>TSP-403</t>
        </is>
      </c>
      <c r="C91" t="inlineStr">
        <is>
          <t>No. of batches</t>
        </is>
      </c>
      <c r="D91">
        <f>IFERROR(INDEX(PP_Grid[#Data],$DD91,2),0)</f>
        <v/>
      </c>
      <c r="E91">
        <f>IFERROR(INDEX(PP_Grid[#Data],$DD91,3),0)</f>
        <v/>
      </c>
      <c r="F91">
        <f>IFERROR(INDEX(PP_Grid[#Data],$DD91,4),0)</f>
        <v/>
      </c>
      <c r="G91">
        <f>IFERROR(INDEX(PP_Grid[#Data],$DD91,5),0)</f>
        <v/>
      </c>
      <c r="H91">
        <f>IFERROR(INDEX(PP_Grid[#Data],$DD91,6),0)</f>
        <v/>
      </c>
      <c r="I91">
        <f>IFERROR(INDEX(PP_Grid[#Data],$DD91,7),0)</f>
        <v/>
      </c>
      <c r="J91">
        <f>IFERROR(INDEX(PP_Grid[#Data],$DD91,8),0)</f>
        <v/>
      </c>
      <c r="K91">
        <f>IFERROR(INDEX(PP_Grid[#Data],$DD91,9),0)</f>
        <v/>
      </c>
      <c r="L91">
        <f>IFERROR(INDEX(PP_Grid[#Data],$DD91,10),0)</f>
        <v/>
      </c>
      <c r="M91">
        <f>IFERROR(INDEX(PP_Grid[#Data],$DD91,11),0)</f>
        <v/>
      </c>
      <c r="N91">
        <f>IFERROR(INDEX(PP_Grid[#Data],$DD91,12),0)</f>
        <v/>
      </c>
      <c r="O91">
        <f>IFERROR(INDEX(PP_Grid[#Data],$DD91,13),0)</f>
        <v/>
      </c>
      <c r="P91">
        <f>IFERROR(INDEX(PP_Grid[#Data],$DD91,14),0)</f>
        <v/>
      </c>
      <c r="Q91">
        <f>IFERROR(INDEX(PP_Grid[#Data],$DD91,15),0)</f>
        <v/>
      </c>
      <c r="R91">
        <f>IFERROR(INDEX(PP_Grid[#Data],$DD91,16),0)</f>
        <v/>
      </c>
      <c r="S91">
        <f>IFERROR(INDEX(PP_Grid[#Data],$DD91,17),0)</f>
        <v/>
      </c>
      <c r="T91">
        <f>IFERROR(INDEX(PP_Grid[#Data],$DD91,18),0)</f>
        <v/>
      </c>
      <c r="U91">
        <f>IFERROR(INDEX(PP_Grid[#Data],$DD91,19),0)</f>
        <v/>
      </c>
      <c r="V91">
        <f>IFERROR(INDEX(PP_Grid[#Data],$DD91,20),0)</f>
        <v/>
      </c>
      <c r="W91">
        <f>IFERROR(INDEX(PP_Grid[#Data],$DD91,21),0)</f>
        <v/>
      </c>
      <c r="X91">
        <f>IFERROR(INDEX(PP_Grid[#Data],$DD91,22),0)</f>
        <v/>
      </c>
      <c r="Y91">
        <f>IFERROR(INDEX(PP_Grid[#Data],$DD91,23),0)</f>
        <v/>
      </c>
      <c r="Z91">
        <f>IFERROR(INDEX(PP_Grid[#Data],$DD91,24),0)</f>
        <v/>
      </c>
      <c r="AA91">
        <f>IFERROR(INDEX(PP_Grid[#Data],$DD91,25),0)</f>
        <v/>
      </c>
      <c r="AB91">
        <f>IFERROR(INDEX(PP_Grid[#Data],$DD91,26),0)</f>
        <v/>
      </c>
      <c r="AC91">
        <f>IFERROR(INDEX(PP_Grid[#Data],$DD91,27),0)</f>
        <v/>
      </c>
      <c r="AD91">
        <f>IFERROR(INDEX(PP_Grid[#Data],$DD91,28),0)</f>
        <v/>
      </c>
      <c r="AE91">
        <f>IFERROR(INDEX(PP_Grid[#Data],$DD91,29),0)</f>
        <v/>
      </c>
      <c r="AF91">
        <f>IFERROR(INDEX(PP_Grid[#Data],$DD91,30),0)</f>
        <v/>
      </c>
      <c r="AG91">
        <f>IFERROR(INDEX(PP_Grid[#Data],$DD91,31),0)</f>
        <v/>
      </c>
      <c r="AH91">
        <f>IFERROR(INDEX(PP_Grid[#Data],$DD91,32),0)</f>
        <v/>
      </c>
      <c r="AI91">
        <f>IFERROR(INDEX(PP_Grid[#Data],$DD91,33),0)</f>
        <v/>
      </c>
      <c r="AJ91">
        <f>IFERROR(INDEX(PP_Grid[#Data],$DD91,34),0)</f>
        <v/>
      </c>
      <c r="AK91">
        <f>IFERROR(INDEX(PP_Grid[#Data],$DD91,35),0)</f>
        <v/>
      </c>
      <c r="AL91">
        <f>IFERROR(INDEX(PP_Grid[#Data],$DD91,36),0)</f>
        <v/>
      </c>
      <c r="AM91">
        <f>IFERROR(INDEX(PP_Grid[#Data],$DD91,37),0)</f>
        <v/>
      </c>
      <c r="AN91">
        <f>IFERROR(INDEX(PP_Grid[#Data],$DD91,38),0)</f>
        <v/>
      </c>
      <c r="AO91">
        <f>IFERROR(INDEX(PP_Grid[#Data],$DD91,39),0)</f>
        <v/>
      </c>
      <c r="AP91">
        <f>IFERROR(INDEX(PP_Grid[#Data],$DD91,40),0)</f>
        <v/>
      </c>
      <c r="AQ91">
        <f>IFERROR(INDEX(PP_Grid[#Data],$DD91,41),0)</f>
        <v/>
      </c>
      <c r="AR91">
        <f>IFERROR(INDEX(PP_Grid[#Data],$DD91,42),0)</f>
        <v/>
      </c>
      <c r="AS91">
        <f>IFERROR(INDEX(PP_Grid[#Data],$DD91,43),0)</f>
        <v/>
      </c>
      <c r="AT91">
        <f>IFERROR(INDEX(PP_Grid[#Data],$DD91,44),0)</f>
        <v/>
      </c>
      <c r="AU91">
        <f>IFERROR(INDEX(PP_Grid[#Data],$DD91,45),0)</f>
        <v/>
      </c>
      <c r="AV91">
        <f>IFERROR(INDEX(PP_Grid[#Data],$DD91,46),0)</f>
        <v/>
      </c>
      <c r="AW91">
        <f>IFERROR(INDEX(PP_Grid[#Data],$DD91,47),0)</f>
        <v/>
      </c>
      <c r="AX91">
        <f>IFERROR(INDEX(PP_Grid[#Data],$DD91,48),0)</f>
        <v/>
      </c>
      <c r="AY91">
        <f>IFERROR(INDEX(PP_Grid[#Data],$DD91,49),0)</f>
        <v/>
      </c>
      <c r="AZ91">
        <f>IFERROR(INDEX(PP_Grid[#Data],$DD91,50),0)</f>
        <v/>
      </c>
      <c r="BA91">
        <f>IFERROR(INDEX(PP_Grid[#Data],$DD91,51),0)</f>
        <v/>
      </c>
      <c r="BB91">
        <f>IFERROR(INDEX(PP_Grid[#Data],$DD91,52),0)</f>
        <v/>
      </c>
      <c r="BC91">
        <f>IFERROR(INDEX(PP_Grid[#Data],$DD91,53),0)</f>
        <v/>
      </c>
      <c r="BD91">
        <f>IFERROR(INDEX(PP_Grid[#Data],$DD91,54),0)</f>
        <v/>
      </c>
      <c r="BE91">
        <f>IFERROR(INDEX(PP_Grid[#Data],$DD91,55),0)</f>
        <v/>
      </c>
      <c r="BF91">
        <f>IFERROR(INDEX(PP_Grid[#Data],$DD91,56),0)</f>
        <v/>
      </c>
      <c r="BG91">
        <f>IFERROR(INDEX(PP_Grid[#Data],$DD91,57),0)</f>
        <v/>
      </c>
      <c r="BH91">
        <f>IFERROR(INDEX(PP_Grid[#Data],$DD91,58),0)</f>
        <v/>
      </c>
      <c r="BI91">
        <f>IFERROR(INDEX(PP_Grid[#Data],$DD91,59),0)</f>
        <v/>
      </c>
      <c r="BJ91">
        <f>IFERROR(INDEX(PP_Grid[#Data],$DD91,60),0)</f>
        <v/>
      </c>
      <c r="BK91">
        <f>IFERROR(INDEX(PP_Grid[#Data],$DD91,61),0)</f>
        <v/>
      </c>
      <c r="BL91">
        <f>IFERROR(INDEX(PP_Grid[#Data],$DD91,62),0)</f>
        <v/>
      </c>
      <c r="BM91">
        <f>IFERROR(INDEX(PP_Grid[#Data],$DD91,63),0)</f>
        <v/>
      </c>
      <c r="BN91">
        <f>IFERROR(INDEX(PP_Grid[#Data],$DD91,64),0)</f>
        <v/>
      </c>
      <c r="BO91">
        <f>IFERROR(INDEX(PP_Grid[#Data],$DD91,65),0)</f>
        <v/>
      </c>
      <c r="BP91">
        <f>IFERROR(INDEX(PP_Grid[#Data],$DD91,66),0)</f>
        <v/>
      </c>
      <c r="BQ91">
        <f>IFERROR(INDEX(PP_Grid[#Data],$DD91,67),0)</f>
        <v/>
      </c>
      <c r="BR91">
        <f>IFERROR(INDEX(PP_Grid[#Data],$DD91,68),0)</f>
        <v/>
      </c>
      <c r="BS91">
        <f>IFERROR(INDEX(PP_Grid[#Data],$DD91,69),0)</f>
        <v/>
      </c>
      <c r="BT91">
        <f>IFERROR(INDEX(PP_Grid[#Data],$DD91,70),0)</f>
        <v/>
      </c>
      <c r="BU91">
        <f>IFERROR(INDEX(PP_Grid[#Data],$DD91,71),0)</f>
        <v/>
      </c>
      <c r="BV91">
        <f>IFERROR(INDEX(PP_Grid[#Data],$DD91,72),0)</f>
        <v/>
      </c>
      <c r="BW91">
        <f>IFERROR(INDEX(PP_Grid[#Data],$DD91,73),0)</f>
        <v/>
      </c>
      <c r="BX91">
        <f>IFERROR(INDEX(PP_Grid[#Data],$DD91,74),0)</f>
        <v/>
      </c>
      <c r="BY91">
        <f>IFERROR(INDEX(PP_Grid[#Data],$DD91,75),0)</f>
        <v/>
      </c>
      <c r="BZ91">
        <f>IFERROR(INDEX(PP_Grid[#Data],$DD91,76),0)</f>
        <v/>
      </c>
      <c r="CA91">
        <f>IFERROR(INDEX(PP_Grid[#Data],$DD91,77),0)</f>
        <v/>
      </c>
      <c r="CB91">
        <f>IFERROR(INDEX(PP_Grid[#Data],$DD91,78),0)</f>
        <v/>
      </c>
      <c r="CC91">
        <f>IFERROR(INDEX(PP_Grid[#Data],$DD91,79),0)</f>
        <v/>
      </c>
      <c r="CD91">
        <f>IFERROR(INDEX(PP_Grid[#Data],$DD91,80),0)</f>
        <v/>
      </c>
      <c r="CE91">
        <f>IFERROR(INDEX(PP_Grid[#Data],$DD91,81),0)</f>
        <v/>
      </c>
      <c r="CF91">
        <f>IFERROR(INDEX(PP_Grid[#Data],$DD91,82),0)</f>
        <v/>
      </c>
      <c r="CG91">
        <f>IFERROR(INDEX(PP_Grid[#Data],$DD91,83),0)</f>
        <v/>
      </c>
      <c r="CH91">
        <f>IFERROR(INDEX(PP_Grid[#Data],$DD91,84),0)</f>
        <v/>
      </c>
      <c r="CI91">
        <f>IFERROR(INDEX(PP_Grid[#Data],$DD91,85),0)</f>
        <v/>
      </c>
      <c r="CJ91">
        <f>IFERROR(INDEX(PP_Grid[#Data],$DD91,86),0)</f>
        <v/>
      </c>
      <c r="CK91">
        <f>IFERROR(INDEX(PP_Grid[#Data],$DD91,87),0)</f>
        <v/>
      </c>
      <c r="CL91">
        <f>IFERROR(INDEX(PP_Grid[#Data],$DD91,88),0)</f>
        <v/>
      </c>
      <c r="CM91">
        <f>IFERROR(INDEX(PP_Grid[#Data],$DD91,89),0)</f>
        <v/>
      </c>
      <c r="CN91">
        <f>IFERROR(INDEX(PP_Grid[#Data],$DD91,90),0)</f>
        <v/>
      </c>
      <c r="CO91">
        <f>IFERROR(INDEX(PP_Grid[#Data],$DD91,91),0)</f>
        <v/>
      </c>
      <c r="CP91">
        <f>IFERROR(INDEX(PP_Grid[#Data],$DD91,92),0)</f>
        <v/>
      </c>
      <c r="CQ91">
        <f>IFERROR(INDEX(PP_Grid[#Data],$DD91,93),0)</f>
        <v/>
      </c>
      <c r="CR91">
        <f>IFERROR(INDEX(PP_Grid[#Data],$DD91,94),0)</f>
        <v/>
      </c>
      <c r="CS91">
        <f>IFERROR(INDEX(PP_Grid[#Data],$DD91,95),0)</f>
        <v/>
      </c>
      <c r="CT91">
        <f>IFERROR(INDEX(PP_Grid[#Data],$DD91,96),0)</f>
        <v/>
      </c>
      <c r="CU91">
        <f>IFERROR(INDEX(PP_Grid[#Data],$DD91,97),0)</f>
        <v/>
      </c>
      <c r="CV91">
        <f>IFERROR(INDEX(PP_Grid[#Data],$DD91,98),0)</f>
        <v/>
      </c>
      <c r="CW91">
        <f>IFERROR(INDEX(PP_Grid[#Data],$DD91,99),0)</f>
        <v/>
      </c>
      <c r="CX91">
        <f>IFERROR(INDEX(PP_Grid[#Data],$DD91,100),0)</f>
        <v/>
      </c>
      <c r="CY91">
        <f>IFERROR(INDEX(PP_Grid[#Data],$DD91,101),0)</f>
        <v/>
      </c>
      <c r="CZ91">
        <f>IFERROR(INDEX(PP_Grid[#Data],$DD91,102),0)</f>
        <v/>
      </c>
      <c r="DA91">
        <f>IFERROR(INDEX(PP_Grid[#Data],$DD91,103),0)</f>
        <v/>
      </c>
      <c r="DB91">
        <f>IFERROR(INDEX(PP_Grid[#Data],$DD91,104),0)</f>
        <v/>
      </c>
      <c r="DC91">
        <f>IFERROR(INDEX(PP_Grid[#Data],$DD91,105),0)</f>
        <v/>
      </c>
      <c r="DD91" s="7">
        <f>IFERROR(MATCH($B91,PP_Grid[Intermediate],0),99999)</f>
        <v/>
      </c>
    </row>
    <row r="92">
      <c r="B92" t="inlineStr">
        <is>
          <t>使用量(kg)</t>
        </is>
      </c>
      <c r="C92">
        <f>SUMIFS(M_BOM[RM_Qty_Per_Batch],M_BOM[Intermediate],$B91,M_BOM[Part Name],$A44)</f>
        <v/>
      </c>
      <c r="D92">
        <f>$C92*D91</f>
        <v/>
      </c>
      <c r="E92">
        <f>$C92*E91</f>
        <v/>
      </c>
      <c r="F92">
        <f>$C92*F91</f>
        <v/>
      </c>
      <c r="G92">
        <f>$C92*G91</f>
        <v/>
      </c>
      <c r="H92">
        <f>$C92*H91</f>
        <v/>
      </c>
      <c r="I92">
        <f>$C92*I91</f>
        <v/>
      </c>
      <c r="J92">
        <f>$C92*J91</f>
        <v/>
      </c>
      <c r="K92">
        <f>$C92*K91</f>
        <v/>
      </c>
      <c r="L92">
        <f>$C92*L91</f>
        <v/>
      </c>
      <c r="M92">
        <f>$C92*M91</f>
        <v/>
      </c>
      <c r="N92">
        <f>$C92*N91</f>
        <v/>
      </c>
      <c r="O92">
        <f>$C92*O91</f>
        <v/>
      </c>
      <c r="P92">
        <f>$C92*P91</f>
        <v/>
      </c>
      <c r="Q92">
        <f>$C92*Q91</f>
        <v/>
      </c>
      <c r="R92">
        <f>$C92*R91</f>
        <v/>
      </c>
      <c r="S92">
        <f>$C92*S91</f>
        <v/>
      </c>
      <c r="T92">
        <f>$C92*T91</f>
        <v/>
      </c>
      <c r="U92">
        <f>$C92*U91</f>
        <v/>
      </c>
      <c r="V92">
        <f>$C92*V91</f>
        <v/>
      </c>
      <c r="W92">
        <f>$C92*W91</f>
        <v/>
      </c>
      <c r="X92">
        <f>$C92*X91</f>
        <v/>
      </c>
      <c r="Y92">
        <f>$C92*Y91</f>
        <v/>
      </c>
      <c r="Z92">
        <f>$C92*Z91</f>
        <v/>
      </c>
      <c r="AA92">
        <f>$C92*AA91</f>
        <v/>
      </c>
      <c r="AB92">
        <f>$C92*AB91</f>
        <v/>
      </c>
      <c r="AC92">
        <f>$C92*AC91</f>
        <v/>
      </c>
      <c r="AD92">
        <f>$C92*AD91</f>
        <v/>
      </c>
      <c r="AE92">
        <f>$C92*AE91</f>
        <v/>
      </c>
      <c r="AF92">
        <f>$C92*AF91</f>
        <v/>
      </c>
      <c r="AG92">
        <f>$C92*AG91</f>
        <v/>
      </c>
      <c r="AH92">
        <f>$C92*AH91</f>
        <v/>
      </c>
      <c r="AI92">
        <f>$C92*AI91</f>
        <v/>
      </c>
      <c r="AJ92">
        <f>$C92*AJ91</f>
        <v/>
      </c>
      <c r="AK92">
        <f>$C92*AK91</f>
        <v/>
      </c>
      <c r="AL92">
        <f>$C92*AL91</f>
        <v/>
      </c>
      <c r="AM92">
        <f>$C92*AM91</f>
        <v/>
      </c>
      <c r="AN92">
        <f>$C92*AN91</f>
        <v/>
      </c>
      <c r="AO92">
        <f>$C92*AO91</f>
        <v/>
      </c>
      <c r="AP92">
        <f>$C92*AP91</f>
        <v/>
      </c>
      <c r="AQ92">
        <f>$C92*AQ91</f>
        <v/>
      </c>
      <c r="AR92">
        <f>$C92*AR91</f>
        <v/>
      </c>
      <c r="AS92">
        <f>$C92*AS91</f>
        <v/>
      </c>
      <c r="AT92">
        <f>$C92*AT91</f>
        <v/>
      </c>
      <c r="AU92">
        <f>$C92*AU91</f>
        <v/>
      </c>
      <c r="AV92">
        <f>$C92*AV91</f>
        <v/>
      </c>
      <c r="AW92">
        <f>$C92*AW91</f>
        <v/>
      </c>
      <c r="AX92">
        <f>$C92*AX91</f>
        <v/>
      </c>
      <c r="AY92">
        <f>$C92*AY91</f>
        <v/>
      </c>
      <c r="AZ92">
        <f>$C92*AZ91</f>
        <v/>
      </c>
      <c r="BA92">
        <f>$C92*BA91</f>
        <v/>
      </c>
      <c r="BB92">
        <f>$C92*BB91</f>
        <v/>
      </c>
      <c r="BC92">
        <f>$C92*BC91</f>
        <v/>
      </c>
      <c r="BD92">
        <f>$C92*BD91</f>
        <v/>
      </c>
      <c r="BE92">
        <f>$C92*BE91</f>
        <v/>
      </c>
      <c r="BF92">
        <f>$C92*BF91</f>
        <v/>
      </c>
      <c r="BG92">
        <f>$C92*BG91</f>
        <v/>
      </c>
      <c r="BH92">
        <f>$C92*BH91</f>
        <v/>
      </c>
      <c r="BI92">
        <f>$C92*BI91</f>
        <v/>
      </c>
      <c r="BJ92">
        <f>$C92*BJ91</f>
        <v/>
      </c>
      <c r="BK92">
        <f>$C92*BK91</f>
        <v/>
      </c>
      <c r="BL92">
        <f>$C92*BL91</f>
        <v/>
      </c>
      <c r="BM92">
        <f>$C92*BM91</f>
        <v/>
      </c>
      <c r="BN92">
        <f>$C92*BN91</f>
        <v/>
      </c>
      <c r="BO92">
        <f>$C92*BO91</f>
        <v/>
      </c>
      <c r="BP92">
        <f>$C92*BP91</f>
        <v/>
      </c>
      <c r="BQ92">
        <f>$C92*BQ91</f>
        <v/>
      </c>
      <c r="BR92">
        <f>$C92*BR91</f>
        <v/>
      </c>
      <c r="BS92">
        <f>$C92*BS91</f>
        <v/>
      </c>
      <c r="BT92">
        <f>$C92*BT91</f>
        <v/>
      </c>
      <c r="BU92">
        <f>$C92*BU91</f>
        <v/>
      </c>
      <c r="BV92">
        <f>$C92*BV91</f>
        <v/>
      </c>
      <c r="BW92">
        <f>$C92*BW91</f>
        <v/>
      </c>
      <c r="BX92">
        <f>$C92*BX91</f>
        <v/>
      </c>
      <c r="BY92">
        <f>$C92*BY91</f>
        <v/>
      </c>
      <c r="BZ92">
        <f>$C92*BZ91</f>
        <v/>
      </c>
      <c r="CA92">
        <f>$C92*CA91</f>
        <v/>
      </c>
      <c r="CB92">
        <f>$C92*CB91</f>
        <v/>
      </c>
      <c r="CC92">
        <f>$C92*CC91</f>
        <v/>
      </c>
      <c r="CD92">
        <f>$C92*CD91</f>
        <v/>
      </c>
      <c r="CE92">
        <f>$C92*CE91</f>
        <v/>
      </c>
      <c r="CF92">
        <f>$C92*CF91</f>
        <v/>
      </c>
      <c r="CG92">
        <f>$C92*CG91</f>
        <v/>
      </c>
      <c r="CH92">
        <f>$C92*CH91</f>
        <v/>
      </c>
      <c r="CI92">
        <f>$C92*CI91</f>
        <v/>
      </c>
      <c r="CJ92">
        <f>$C92*CJ91</f>
        <v/>
      </c>
      <c r="CK92">
        <f>$C92*CK91</f>
        <v/>
      </c>
      <c r="CL92">
        <f>$C92*CL91</f>
        <v/>
      </c>
      <c r="CM92">
        <f>$C92*CM91</f>
        <v/>
      </c>
      <c r="CN92">
        <f>$C92*CN91</f>
        <v/>
      </c>
      <c r="CO92">
        <f>$C92*CO91</f>
        <v/>
      </c>
      <c r="CP92">
        <f>$C92*CP91</f>
        <v/>
      </c>
      <c r="CQ92">
        <f>$C92*CQ91</f>
        <v/>
      </c>
      <c r="CR92">
        <f>$C92*CR91</f>
        <v/>
      </c>
      <c r="CS92">
        <f>$C92*CS91</f>
        <v/>
      </c>
      <c r="CT92">
        <f>$C92*CT91</f>
        <v/>
      </c>
      <c r="CU92">
        <f>$C92*CU91</f>
        <v/>
      </c>
      <c r="CV92">
        <f>$C92*CV91</f>
        <v/>
      </c>
      <c r="CW92">
        <f>$C92*CW91</f>
        <v/>
      </c>
      <c r="CX92">
        <f>$C92*CX91</f>
        <v/>
      </c>
      <c r="CY92">
        <f>$C92*CY91</f>
        <v/>
      </c>
      <c r="CZ92">
        <f>$C92*CZ91</f>
        <v/>
      </c>
      <c r="DA92">
        <f>$C92*DA91</f>
        <v/>
      </c>
      <c r="DB92">
        <f>$C92*DB91</f>
        <v/>
      </c>
      <c r="DC92">
        <f>$C92*DC91</f>
        <v/>
      </c>
    </row>
    <row r="93">
      <c r="B93" t="inlineStr">
        <is>
          <t>TSP-404</t>
        </is>
      </c>
      <c r="C93" t="inlineStr">
        <is>
          <t>No. of batches</t>
        </is>
      </c>
      <c r="D93">
        <f>IFERROR(INDEX(PP_Grid[#Data],$DD93,2),0)</f>
        <v/>
      </c>
      <c r="E93">
        <f>IFERROR(INDEX(PP_Grid[#Data],$DD93,3),0)</f>
        <v/>
      </c>
      <c r="F93">
        <f>IFERROR(INDEX(PP_Grid[#Data],$DD93,4),0)</f>
        <v/>
      </c>
      <c r="G93">
        <f>IFERROR(INDEX(PP_Grid[#Data],$DD93,5),0)</f>
        <v/>
      </c>
      <c r="H93">
        <f>IFERROR(INDEX(PP_Grid[#Data],$DD93,6),0)</f>
        <v/>
      </c>
      <c r="I93">
        <f>IFERROR(INDEX(PP_Grid[#Data],$DD93,7),0)</f>
        <v/>
      </c>
      <c r="J93">
        <f>IFERROR(INDEX(PP_Grid[#Data],$DD93,8),0)</f>
        <v/>
      </c>
      <c r="K93">
        <f>IFERROR(INDEX(PP_Grid[#Data],$DD93,9),0)</f>
        <v/>
      </c>
      <c r="L93">
        <f>IFERROR(INDEX(PP_Grid[#Data],$DD93,10),0)</f>
        <v/>
      </c>
      <c r="M93">
        <f>IFERROR(INDEX(PP_Grid[#Data],$DD93,11),0)</f>
        <v/>
      </c>
      <c r="N93">
        <f>IFERROR(INDEX(PP_Grid[#Data],$DD93,12),0)</f>
        <v/>
      </c>
      <c r="O93">
        <f>IFERROR(INDEX(PP_Grid[#Data],$DD93,13),0)</f>
        <v/>
      </c>
      <c r="P93">
        <f>IFERROR(INDEX(PP_Grid[#Data],$DD93,14),0)</f>
        <v/>
      </c>
      <c r="Q93">
        <f>IFERROR(INDEX(PP_Grid[#Data],$DD93,15),0)</f>
        <v/>
      </c>
      <c r="R93">
        <f>IFERROR(INDEX(PP_Grid[#Data],$DD93,16),0)</f>
        <v/>
      </c>
      <c r="S93">
        <f>IFERROR(INDEX(PP_Grid[#Data],$DD93,17),0)</f>
        <v/>
      </c>
      <c r="T93">
        <f>IFERROR(INDEX(PP_Grid[#Data],$DD93,18),0)</f>
        <v/>
      </c>
      <c r="U93">
        <f>IFERROR(INDEX(PP_Grid[#Data],$DD93,19),0)</f>
        <v/>
      </c>
      <c r="V93">
        <f>IFERROR(INDEX(PP_Grid[#Data],$DD93,20),0)</f>
        <v/>
      </c>
      <c r="W93">
        <f>IFERROR(INDEX(PP_Grid[#Data],$DD93,21),0)</f>
        <v/>
      </c>
      <c r="X93">
        <f>IFERROR(INDEX(PP_Grid[#Data],$DD93,22),0)</f>
        <v/>
      </c>
      <c r="Y93">
        <f>IFERROR(INDEX(PP_Grid[#Data],$DD93,23),0)</f>
        <v/>
      </c>
      <c r="Z93">
        <f>IFERROR(INDEX(PP_Grid[#Data],$DD93,24),0)</f>
        <v/>
      </c>
      <c r="AA93">
        <f>IFERROR(INDEX(PP_Grid[#Data],$DD93,25),0)</f>
        <v/>
      </c>
      <c r="AB93">
        <f>IFERROR(INDEX(PP_Grid[#Data],$DD93,26),0)</f>
        <v/>
      </c>
      <c r="AC93">
        <f>IFERROR(INDEX(PP_Grid[#Data],$DD93,27),0)</f>
        <v/>
      </c>
      <c r="AD93">
        <f>IFERROR(INDEX(PP_Grid[#Data],$DD93,28),0)</f>
        <v/>
      </c>
      <c r="AE93">
        <f>IFERROR(INDEX(PP_Grid[#Data],$DD93,29),0)</f>
        <v/>
      </c>
      <c r="AF93">
        <f>IFERROR(INDEX(PP_Grid[#Data],$DD93,30),0)</f>
        <v/>
      </c>
      <c r="AG93">
        <f>IFERROR(INDEX(PP_Grid[#Data],$DD93,31),0)</f>
        <v/>
      </c>
      <c r="AH93">
        <f>IFERROR(INDEX(PP_Grid[#Data],$DD93,32),0)</f>
        <v/>
      </c>
      <c r="AI93">
        <f>IFERROR(INDEX(PP_Grid[#Data],$DD93,33),0)</f>
        <v/>
      </c>
      <c r="AJ93">
        <f>IFERROR(INDEX(PP_Grid[#Data],$DD93,34),0)</f>
        <v/>
      </c>
      <c r="AK93">
        <f>IFERROR(INDEX(PP_Grid[#Data],$DD93,35),0)</f>
        <v/>
      </c>
      <c r="AL93">
        <f>IFERROR(INDEX(PP_Grid[#Data],$DD93,36),0)</f>
        <v/>
      </c>
      <c r="AM93">
        <f>IFERROR(INDEX(PP_Grid[#Data],$DD93,37),0)</f>
        <v/>
      </c>
      <c r="AN93">
        <f>IFERROR(INDEX(PP_Grid[#Data],$DD93,38),0)</f>
        <v/>
      </c>
      <c r="AO93">
        <f>IFERROR(INDEX(PP_Grid[#Data],$DD93,39),0)</f>
        <v/>
      </c>
      <c r="AP93">
        <f>IFERROR(INDEX(PP_Grid[#Data],$DD93,40),0)</f>
        <v/>
      </c>
      <c r="AQ93">
        <f>IFERROR(INDEX(PP_Grid[#Data],$DD93,41),0)</f>
        <v/>
      </c>
      <c r="AR93">
        <f>IFERROR(INDEX(PP_Grid[#Data],$DD93,42),0)</f>
        <v/>
      </c>
      <c r="AS93">
        <f>IFERROR(INDEX(PP_Grid[#Data],$DD93,43),0)</f>
        <v/>
      </c>
      <c r="AT93">
        <f>IFERROR(INDEX(PP_Grid[#Data],$DD93,44),0)</f>
        <v/>
      </c>
      <c r="AU93">
        <f>IFERROR(INDEX(PP_Grid[#Data],$DD93,45),0)</f>
        <v/>
      </c>
      <c r="AV93">
        <f>IFERROR(INDEX(PP_Grid[#Data],$DD93,46),0)</f>
        <v/>
      </c>
      <c r="AW93">
        <f>IFERROR(INDEX(PP_Grid[#Data],$DD93,47),0)</f>
        <v/>
      </c>
      <c r="AX93">
        <f>IFERROR(INDEX(PP_Grid[#Data],$DD93,48),0)</f>
        <v/>
      </c>
      <c r="AY93">
        <f>IFERROR(INDEX(PP_Grid[#Data],$DD93,49),0)</f>
        <v/>
      </c>
      <c r="AZ93">
        <f>IFERROR(INDEX(PP_Grid[#Data],$DD93,50),0)</f>
        <v/>
      </c>
      <c r="BA93">
        <f>IFERROR(INDEX(PP_Grid[#Data],$DD93,51),0)</f>
        <v/>
      </c>
      <c r="BB93">
        <f>IFERROR(INDEX(PP_Grid[#Data],$DD93,52),0)</f>
        <v/>
      </c>
      <c r="BC93">
        <f>IFERROR(INDEX(PP_Grid[#Data],$DD93,53),0)</f>
        <v/>
      </c>
      <c r="BD93">
        <f>IFERROR(INDEX(PP_Grid[#Data],$DD93,54),0)</f>
        <v/>
      </c>
      <c r="BE93">
        <f>IFERROR(INDEX(PP_Grid[#Data],$DD93,55),0)</f>
        <v/>
      </c>
      <c r="BF93">
        <f>IFERROR(INDEX(PP_Grid[#Data],$DD93,56),0)</f>
        <v/>
      </c>
      <c r="BG93">
        <f>IFERROR(INDEX(PP_Grid[#Data],$DD93,57),0)</f>
        <v/>
      </c>
      <c r="BH93">
        <f>IFERROR(INDEX(PP_Grid[#Data],$DD93,58),0)</f>
        <v/>
      </c>
      <c r="BI93">
        <f>IFERROR(INDEX(PP_Grid[#Data],$DD93,59),0)</f>
        <v/>
      </c>
      <c r="BJ93">
        <f>IFERROR(INDEX(PP_Grid[#Data],$DD93,60),0)</f>
        <v/>
      </c>
      <c r="BK93">
        <f>IFERROR(INDEX(PP_Grid[#Data],$DD93,61),0)</f>
        <v/>
      </c>
      <c r="BL93">
        <f>IFERROR(INDEX(PP_Grid[#Data],$DD93,62),0)</f>
        <v/>
      </c>
      <c r="BM93">
        <f>IFERROR(INDEX(PP_Grid[#Data],$DD93,63),0)</f>
        <v/>
      </c>
      <c r="BN93">
        <f>IFERROR(INDEX(PP_Grid[#Data],$DD93,64),0)</f>
        <v/>
      </c>
      <c r="BO93">
        <f>IFERROR(INDEX(PP_Grid[#Data],$DD93,65),0)</f>
        <v/>
      </c>
      <c r="BP93">
        <f>IFERROR(INDEX(PP_Grid[#Data],$DD93,66),0)</f>
        <v/>
      </c>
      <c r="BQ93">
        <f>IFERROR(INDEX(PP_Grid[#Data],$DD93,67),0)</f>
        <v/>
      </c>
      <c r="BR93">
        <f>IFERROR(INDEX(PP_Grid[#Data],$DD93,68),0)</f>
        <v/>
      </c>
      <c r="BS93">
        <f>IFERROR(INDEX(PP_Grid[#Data],$DD93,69),0)</f>
        <v/>
      </c>
      <c r="BT93">
        <f>IFERROR(INDEX(PP_Grid[#Data],$DD93,70),0)</f>
        <v/>
      </c>
      <c r="BU93">
        <f>IFERROR(INDEX(PP_Grid[#Data],$DD93,71),0)</f>
        <v/>
      </c>
      <c r="BV93">
        <f>IFERROR(INDEX(PP_Grid[#Data],$DD93,72),0)</f>
        <v/>
      </c>
      <c r="BW93">
        <f>IFERROR(INDEX(PP_Grid[#Data],$DD93,73),0)</f>
        <v/>
      </c>
      <c r="BX93">
        <f>IFERROR(INDEX(PP_Grid[#Data],$DD93,74),0)</f>
        <v/>
      </c>
      <c r="BY93">
        <f>IFERROR(INDEX(PP_Grid[#Data],$DD93,75),0)</f>
        <v/>
      </c>
      <c r="BZ93">
        <f>IFERROR(INDEX(PP_Grid[#Data],$DD93,76),0)</f>
        <v/>
      </c>
      <c r="CA93">
        <f>IFERROR(INDEX(PP_Grid[#Data],$DD93,77),0)</f>
        <v/>
      </c>
      <c r="CB93">
        <f>IFERROR(INDEX(PP_Grid[#Data],$DD93,78),0)</f>
        <v/>
      </c>
      <c r="CC93">
        <f>IFERROR(INDEX(PP_Grid[#Data],$DD93,79),0)</f>
        <v/>
      </c>
      <c r="CD93">
        <f>IFERROR(INDEX(PP_Grid[#Data],$DD93,80),0)</f>
        <v/>
      </c>
      <c r="CE93">
        <f>IFERROR(INDEX(PP_Grid[#Data],$DD93,81),0)</f>
        <v/>
      </c>
      <c r="CF93">
        <f>IFERROR(INDEX(PP_Grid[#Data],$DD93,82),0)</f>
        <v/>
      </c>
      <c r="CG93">
        <f>IFERROR(INDEX(PP_Grid[#Data],$DD93,83),0)</f>
        <v/>
      </c>
      <c r="CH93">
        <f>IFERROR(INDEX(PP_Grid[#Data],$DD93,84),0)</f>
        <v/>
      </c>
      <c r="CI93">
        <f>IFERROR(INDEX(PP_Grid[#Data],$DD93,85),0)</f>
        <v/>
      </c>
      <c r="CJ93">
        <f>IFERROR(INDEX(PP_Grid[#Data],$DD93,86),0)</f>
        <v/>
      </c>
      <c r="CK93">
        <f>IFERROR(INDEX(PP_Grid[#Data],$DD93,87),0)</f>
        <v/>
      </c>
      <c r="CL93">
        <f>IFERROR(INDEX(PP_Grid[#Data],$DD93,88),0)</f>
        <v/>
      </c>
      <c r="CM93">
        <f>IFERROR(INDEX(PP_Grid[#Data],$DD93,89),0)</f>
        <v/>
      </c>
      <c r="CN93">
        <f>IFERROR(INDEX(PP_Grid[#Data],$DD93,90),0)</f>
        <v/>
      </c>
      <c r="CO93">
        <f>IFERROR(INDEX(PP_Grid[#Data],$DD93,91),0)</f>
        <v/>
      </c>
      <c r="CP93">
        <f>IFERROR(INDEX(PP_Grid[#Data],$DD93,92),0)</f>
        <v/>
      </c>
      <c r="CQ93">
        <f>IFERROR(INDEX(PP_Grid[#Data],$DD93,93),0)</f>
        <v/>
      </c>
      <c r="CR93">
        <f>IFERROR(INDEX(PP_Grid[#Data],$DD93,94),0)</f>
        <v/>
      </c>
      <c r="CS93">
        <f>IFERROR(INDEX(PP_Grid[#Data],$DD93,95),0)</f>
        <v/>
      </c>
      <c r="CT93">
        <f>IFERROR(INDEX(PP_Grid[#Data],$DD93,96),0)</f>
        <v/>
      </c>
      <c r="CU93">
        <f>IFERROR(INDEX(PP_Grid[#Data],$DD93,97),0)</f>
        <v/>
      </c>
      <c r="CV93">
        <f>IFERROR(INDEX(PP_Grid[#Data],$DD93,98),0)</f>
        <v/>
      </c>
      <c r="CW93">
        <f>IFERROR(INDEX(PP_Grid[#Data],$DD93,99),0)</f>
        <v/>
      </c>
      <c r="CX93">
        <f>IFERROR(INDEX(PP_Grid[#Data],$DD93,100),0)</f>
        <v/>
      </c>
      <c r="CY93">
        <f>IFERROR(INDEX(PP_Grid[#Data],$DD93,101),0)</f>
        <v/>
      </c>
      <c r="CZ93">
        <f>IFERROR(INDEX(PP_Grid[#Data],$DD93,102),0)</f>
        <v/>
      </c>
      <c r="DA93">
        <f>IFERROR(INDEX(PP_Grid[#Data],$DD93,103),0)</f>
        <v/>
      </c>
      <c r="DB93">
        <f>IFERROR(INDEX(PP_Grid[#Data],$DD93,104),0)</f>
        <v/>
      </c>
      <c r="DC93">
        <f>IFERROR(INDEX(PP_Grid[#Data],$DD93,105),0)</f>
        <v/>
      </c>
      <c r="DD93" s="7">
        <f>IFERROR(MATCH($B93,PP_Grid[Intermediate],0),99999)</f>
        <v/>
      </c>
    </row>
    <row r="94">
      <c r="B94" t="inlineStr">
        <is>
          <t>使用量(kg)</t>
        </is>
      </c>
      <c r="C94">
        <f>SUMIFS(M_BOM[RM_Qty_Per_Batch],M_BOM[Intermediate],$B93,M_BOM[Part Name],$A44)</f>
        <v/>
      </c>
      <c r="D94">
        <f>$C94*D93</f>
        <v/>
      </c>
      <c r="E94">
        <f>$C94*E93</f>
        <v/>
      </c>
      <c r="F94">
        <f>$C94*F93</f>
        <v/>
      </c>
      <c r="G94">
        <f>$C94*G93</f>
        <v/>
      </c>
      <c r="H94">
        <f>$C94*H93</f>
        <v/>
      </c>
      <c r="I94">
        <f>$C94*I93</f>
        <v/>
      </c>
      <c r="J94">
        <f>$C94*J93</f>
        <v/>
      </c>
      <c r="K94">
        <f>$C94*K93</f>
        <v/>
      </c>
      <c r="L94">
        <f>$C94*L93</f>
        <v/>
      </c>
      <c r="M94">
        <f>$C94*M93</f>
        <v/>
      </c>
      <c r="N94">
        <f>$C94*N93</f>
        <v/>
      </c>
      <c r="O94">
        <f>$C94*O93</f>
        <v/>
      </c>
      <c r="P94">
        <f>$C94*P93</f>
        <v/>
      </c>
      <c r="Q94">
        <f>$C94*Q93</f>
        <v/>
      </c>
      <c r="R94">
        <f>$C94*R93</f>
        <v/>
      </c>
      <c r="S94">
        <f>$C94*S93</f>
        <v/>
      </c>
      <c r="T94">
        <f>$C94*T93</f>
        <v/>
      </c>
      <c r="U94">
        <f>$C94*U93</f>
        <v/>
      </c>
      <c r="V94">
        <f>$C94*V93</f>
        <v/>
      </c>
      <c r="W94">
        <f>$C94*W93</f>
        <v/>
      </c>
      <c r="X94">
        <f>$C94*X93</f>
        <v/>
      </c>
      <c r="Y94">
        <f>$C94*Y93</f>
        <v/>
      </c>
      <c r="Z94">
        <f>$C94*Z93</f>
        <v/>
      </c>
      <c r="AA94">
        <f>$C94*AA93</f>
        <v/>
      </c>
      <c r="AB94">
        <f>$C94*AB93</f>
        <v/>
      </c>
      <c r="AC94">
        <f>$C94*AC93</f>
        <v/>
      </c>
      <c r="AD94">
        <f>$C94*AD93</f>
        <v/>
      </c>
      <c r="AE94">
        <f>$C94*AE93</f>
        <v/>
      </c>
      <c r="AF94">
        <f>$C94*AF93</f>
        <v/>
      </c>
      <c r="AG94">
        <f>$C94*AG93</f>
        <v/>
      </c>
      <c r="AH94">
        <f>$C94*AH93</f>
        <v/>
      </c>
      <c r="AI94">
        <f>$C94*AI93</f>
        <v/>
      </c>
      <c r="AJ94">
        <f>$C94*AJ93</f>
        <v/>
      </c>
      <c r="AK94">
        <f>$C94*AK93</f>
        <v/>
      </c>
      <c r="AL94">
        <f>$C94*AL93</f>
        <v/>
      </c>
      <c r="AM94">
        <f>$C94*AM93</f>
        <v/>
      </c>
      <c r="AN94">
        <f>$C94*AN93</f>
        <v/>
      </c>
      <c r="AO94">
        <f>$C94*AO93</f>
        <v/>
      </c>
      <c r="AP94">
        <f>$C94*AP93</f>
        <v/>
      </c>
      <c r="AQ94">
        <f>$C94*AQ93</f>
        <v/>
      </c>
      <c r="AR94">
        <f>$C94*AR93</f>
        <v/>
      </c>
      <c r="AS94">
        <f>$C94*AS93</f>
        <v/>
      </c>
      <c r="AT94">
        <f>$C94*AT93</f>
        <v/>
      </c>
      <c r="AU94">
        <f>$C94*AU93</f>
        <v/>
      </c>
      <c r="AV94">
        <f>$C94*AV93</f>
        <v/>
      </c>
      <c r="AW94">
        <f>$C94*AW93</f>
        <v/>
      </c>
      <c r="AX94">
        <f>$C94*AX93</f>
        <v/>
      </c>
      <c r="AY94">
        <f>$C94*AY93</f>
        <v/>
      </c>
      <c r="AZ94">
        <f>$C94*AZ93</f>
        <v/>
      </c>
      <c r="BA94">
        <f>$C94*BA93</f>
        <v/>
      </c>
      <c r="BB94">
        <f>$C94*BB93</f>
        <v/>
      </c>
      <c r="BC94">
        <f>$C94*BC93</f>
        <v/>
      </c>
      <c r="BD94">
        <f>$C94*BD93</f>
        <v/>
      </c>
      <c r="BE94">
        <f>$C94*BE93</f>
        <v/>
      </c>
      <c r="BF94">
        <f>$C94*BF93</f>
        <v/>
      </c>
      <c r="BG94">
        <f>$C94*BG93</f>
        <v/>
      </c>
      <c r="BH94">
        <f>$C94*BH93</f>
        <v/>
      </c>
      <c r="BI94">
        <f>$C94*BI93</f>
        <v/>
      </c>
      <c r="BJ94">
        <f>$C94*BJ93</f>
        <v/>
      </c>
      <c r="BK94">
        <f>$C94*BK93</f>
        <v/>
      </c>
      <c r="BL94">
        <f>$C94*BL93</f>
        <v/>
      </c>
      <c r="BM94">
        <f>$C94*BM93</f>
        <v/>
      </c>
      <c r="BN94">
        <f>$C94*BN93</f>
        <v/>
      </c>
      <c r="BO94">
        <f>$C94*BO93</f>
        <v/>
      </c>
      <c r="BP94">
        <f>$C94*BP93</f>
        <v/>
      </c>
      <c r="BQ94">
        <f>$C94*BQ93</f>
        <v/>
      </c>
      <c r="BR94">
        <f>$C94*BR93</f>
        <v/>
      </c>
      <c r="BS94">
        <f>$C94*BS93</f>
        <v/>
      </c>
      <c r="BT94">
        <f>$C94*BT93</f>
        <v/>
      </c>
      <c r="BU94">
        <f>$C94*BU93</f>
        <v/>
      </c>
      <c r="BV94">
        <f>$C94*BV93</f>
        <v/>
      </c>
      <c r="BW94">
        <f>$C94*BW93</f>
        <v/>
      </c>
      <c r="BX94">
        <f>$C94*BX93</f>
        <v/>
      </c>
      <c r="BY94">
        <f>$C94*BY93</f>
        <v/>
      </c>
      <c r="BZ94">
        <f>$C94*BZ93</f>
        <v/>
      </c>
      <c r="CA94">
        <f>$C94*CA93</f>
        <v/>
      </c>
      <c r="CB94">
        <f>$C94*CB93</f>
        <v/>
      </c>
      <c r="CC94">
        <f>$C94*CC93</f>
        <v/>
      </c>
      <c r="CD94">
        <f>$C94*CD93</f>
        <v/>
      </c>
      <c r="CE94">
        <f>$C94*CE93</f>
        <v/>
      </c>
      <c r="CF94">
        <f>$C94*CF93</f>
        <v/>
      </c>
      <c r="CG94">
        <f>$C94*CG93</f>
        <v/>
      </c>
      <c r="CH94">
        <f>$C94*CH93</f>
        <v/>
      </c>
      <c r="CI94">
        <f>$C94*CI93</f>
        <v/>
      </c>
      <c r="CJ94">
        <f>$C94*CJ93</f>
        <v/>
      </c>
      <c r="CK94">
        <f>$C94*CK93</f>
        <v/>
      </c>
      <c r="CL94">
        <f>$C94*CL93</f>
        <v/>
      </c>
      <c r="CM94">
        <f>$C94*CM93</f>
        <v/>
      </c>
      <c r="CN94">
        <f>$C94*CN93</f>
        <v/>
      </c>
      <c r="CO94">
        <f>$C94*CO93</f>
        <v/>
      </c>
      <c r="CP94">
        <f>$C94*CP93</f>
        <v/>
      </c>
      <c r="CQ94">
        <f>$C94*CQ93</f>
        <v/>
      </c>
      <c r="CR94">
        <f>$C94*CR93</f>
        <v/>
      </c>
      <c r="CS94">
        <f>$C94*CS93</f>
        <v/>
      </c>
      <c r="CT94">
        <f>$C94*CT93</f>
        <v/>
      </c>
      <c r="CU94">
        <f>$C94*CU93</f>
        <v/>
      </c>
      <c r="CV94">
        <f>$C94*CV93</f>
        <v/>
      </c>
      <c r="CW94">
        <f>$C94*CW93</f>
        <v/>
      </c>
      <c r="CX94">
        <f>$C94*CX93</f>
        <v/>
      </c>
      <c r="CY94">
        <f>$C94*CY93</f>
        <v/>
      </c>
      <c r="CZ94">
        <f>$C94*CZ93</f>
        <v/>
      </c>
      <c r="DA94">
        <f>$C94*DA93</f>
        <v/>
      </c>
      <c r="DB94">
        <f>$C94*DB93</f>
        <v/>
      </c>
      <c r="DC94">
        <f>$C94*DC93</f>
        <v/>
      </c>
    </row>
    <row r="95">
      <c r="B95" t="inlineStr">
        <is>
          <t>TSP-405</t>
        </is>
      </c>
      <c r="C95" t="inlineStr">
        <is>
          <t>No. of batches</t>
        </is>
      </c>
      <c r="D95">
        <f>IFERROR(INDEX(PP_Grid[#Data],$DD95,2),0)</f>
        <v/>
      </c>
      <c r="E95">
        <f>IFERROR(INDEX(PP_Grid[#Data],$DD95,3),0)</f>
        <v/>
      </c>
      <c r="F95">
        <f>IFERROR(INDEX(PP_Grid[#Data],$DD95,4),0)</f>
        <v/>
      </c>
      <c r="G95">
        <f>IFERROR(INDEX(PP_Grid[#Data],$DD95,5),0)</f>
        <v/>
      </c>
      <c r="H95">
        <f>IFERROR(INDEX(PP_Grid[#Data],$DD95,6),0)</f>
        <v/>
      </c>
      <c r="I95">
        <f>IFERROR(INDEX(PP_Grid[#Data],$DD95,7),0)</f>
        <v/>
      </c>
      <c r="J95">
        <f>IFERROR(INDEX(PP_Grid[#Data],$DD95,8),0)</f>
        <v/>
      </c>
      <c r="K95">
        <f>IFERROR(INDEX(PP_Grid[#Data],$DD95,9),0)</f>
        <v/>
      </c>
      <c r="L95">
        <f>IFERROR(INDEX(PP_Grid[#Data],$DD95,10),0)</f>
        <v/>
      </c>
      <c r="M95">
        <f>IFERROR(INDEX(PP_Grid[#Data],$DD95,11),0)</f>
        <v/>
      </c>
      <c r="N95">
        <f>IFERROR(INDEX(PP_Grid[#Data],$DD95,12),0)</f>
        <v/>
      </c>
      <c r="O95">
        <f>IFERROR(INDEX(PP_Grid[#Data],$DD95,13),0)</f>
        <v/>
      </c>
      <c r="P95">
        <f>IFERROR(INDEX(PP_Grid[#Data],$DD95,14),0)</f>
        <v/>
      </c>
      <c r="Q95">
        <f>IFERROR(INDEX(PP_Grid[#Data],$DD95,15),0)</f>
        <v/>
      </c>
      <c r="R95">
        <f>IFERROR(INDEX(PP_Grid[#Data],$DD95,16),0)</f>
        <v/>
      </c>
      <c r="S95">
        <f>IFERROR(INDEX(PP_Grid[#Data],$DD95,17),0)</f>
        <v/>
      </c>
      <c r="T95">
        <f>IFERROR(INDEX(PP_Grid[#Data],$DD95,18),0)</f>
        <v/>
      </c>
      <c r="U95">
        <f>IFERROR(INDEX(PP_Grid[#Data],$DD95,19),0)</f>
        <v/>
      </c>
      <c r="V95">
        <f>IFERROR(INDEX(PP_Grid[#Data],$DD95,20),0)</f>
        <v/>
      </c>
      <c r="W95">
        <f>IFERROR(INDEX(PP_Grid[#Data],$DD95,21),0)</f>
        <v/>
      </c>
      <c r="X95">
        <f>IFERROR(INDEX(PP_Grid[#Data],$DD95,22),0)</f>
        <v/>
      </c>
      <c r="Y95">
        <f>IFERROR(INDEX(PP_Grid[#Data],$DD95,23),0)</f>
        <v/>
      </c>
      <c r="Z95">
        <f>IFERROR(INDEX(PP_Grid[#Data],$DD95,24),0)</f>
        <v/>
      </c>
      <c r="AA95">
        <f>IFERROR(INDEX(PP_Grid[#Data],$DD95,25),0)</f>
        <v/>
      </c>
      <c r="AB95">
        <f>IFERROR(INDEX(PP_Grid[#Data],$DD95,26),0)</f>
        <v/>
      </c>
      <c r="AC95">
        <f>IFERROR(INDEX(PP_Grid[#Data],$DD95,27),0)</f>
        <v/>
      </c>
      <c r="AD95">
        <f>IFERROR(INDEX(PP_Grid[#Data],$DD95,28),0)</f>
        <v/>
      </c>
      <c r="AE95">
        <f>IFERROR(INDEX(PP_Grid[#Data],$DD95,29),0)</f>
        <v/>
      </c>
      <c r="AF95">
        <f>IFERROR(INDEX(PP_Grid[#Data],$DD95,30),0)</f>
        <v/>
      </c>
      <c r="AG95">
        <f>IFERROR(INDEX(PP_Grid[#Data],$DD95,31),0)</f>
        <v/>
      </c>
      <c r="AH95">
        <f>IFERROR(INDEX(PP_Grid[#Data],$DD95,32),0)</f>
        <v/>
      </c>
      <c r="AI95">
        <f>IFERROR(INDEX(PP_Grid[#Data],$DD95,33),0)</f>
        <v/>
      </c>
      <c r="AJ95">
        <f>IFERROR(INDEX(PP_Grid[#Data],$DD95,34),0)</f>
        <v/>
      </c>
      <c r="AK95">
        <f>IFERROR(INDEX(PP_Grid[#Data],$DD95,35),0)</f>
        <v/>
      </c>
      <c r="AL95">
        <f>IFERROR(INDEX(PP_Grid[#Data],$DD95,36),0)</f>
        <v/>
      </c>
      <c r="AM95">
        <f>IFERROR(INDEX(PP_Grid[#Data],$DD95,37),0)</f>
        <v/>
      </c>
      <c r="AN95">
        <f>IFERROR(INDEX(PP_Grid[#Data],$DD95,38),0)</f>
        <v/>
      </c>
      <c r="AO95">
        <f>IFERROR(INDEX(PP_Grid[#Data],$DD95,39),0)</f>
        <v/>
      </c>
      <c r="AP95">
        <f>IFERROR(INDEX(PP_Grid[#Data],$DD95,40),0)</f>
        <v/>
      </c>
      <c r="AQ95">
        <f>IFERROR(INDEX(PP_Grid[#Data],$DD95,41),0)</f>
        <v/>
      </c>
      <c r="AR95">
        <f>IFERROR(INDEX(PP_Grid[#Data],$DD95,42),0)</f>
        <v/>
      </c>
      <c r="AS95">
        <f>IFERROR(INDEX(PP_Grid[#Data],$DD95,43),0)</f>
        <v/>
      </c>
      <c r="AT95">
        <f>IFERROR(INDEX(PP_Grid[#Data],$DD95,44),0)</f>
        <v/>
      </c>
      <c r="AU95">
        <f>IFERROR(INDEX(PP_Grid[#Data],$DD95,45),0)</f>
        <v/>
      </c>
      <c r="AV95">
        <f>IFERROR(INDEX(PP_Grid[#Data],$DD95,46),0)</f>
        <v/>
      </c>
      <c r="AW95">
        <f>IFERROR(INDEX(PP_Grid[#Data],$DD95,47),0)</f>
        <v/>
      </c>
      <c r="AX95">
        <f>IFERROR(INDEX(PP_Grid[#Data],$DD95,48),0)</f>
        <v/>
      </c>
      <c r="AY95">
        <f>IFERROR(INDEX(PP_Grid[#Data],$DD95,49),0)</f>
        <v/>
      </c>
      <c r="AZ95">
        <f>IFERROR(INDEX(PP_Grid[#Data],$DD95,50),0)</f>
        <v/>
      </c>
      <c r="BA95">
        <f>IFERROR(INDEX(PP_Grid[#Data],$DD95,51),0)</f>
        <v/>
      </c>
      <c r="BB95">
        <f>IFERROR(INDEX(PP_Grid[#Data],$DD95,52),0)</f>
        <v/>
      </c>
      <c r="BC95">
        <f>IFERROR(INDEX(PP_Grid[#Data],$DD95,53),0)</f>
        <v/>
      </c>
      <c r="BD95">
        <f>IFERROR(INDEX(PP_Grid[#Data],$DD95,54),0)</f>
        <v/>
      </c>
      <c r="BE95">
        <f>IFERROR(INDEX(PP_Grid[#Data],$DD95,55),0)</f>
        <v/>
      </c>
      <c r="BF95">
        <f>IFERROR(INDEX(PP_Grid[#Data],$DD95,56),0)</f>
        <v/>
      </c>
      <c r="BG95">
        <f>IFERROR(INDEX(PP_Grid[#Data],$DD95,57),0)</f>
        <v/>
      </c>
      <c r="BH95">
        <f>IFERROR(INDEX(PP_Grid[#Data],$DD95,58),0)</f>
        <v/>
      </c>
      <c r="BI95">
        <f>IFERROR(INDEX(PP_Grid[#Data],$DD95,59),0)</f>
        <v/>
      </c>
      <c r="BJ95">
        <f>IFERROR(INDEX(PP_Grid[#Data],$DD95,60),0)</f>
        <v/>
      </c>
      <c r="BK95">
        <f>IFERROR(INDEX(PP_Grid[#Data],$DD95,61),0)</f>
        <v/>
      </c>
      <c r="BL95">
        <f>IFERROR(INDEX(PP_Grid[#Data],$DD95,62),0)</f>
        <v/>
      </c>
      <c r="BM95">
        <f>IFERROR(INDEX(PP_Grid[#Data],$DD95,63),0)</f>
        <v/>
      </c>
      <c r="BN95">
        <f>IFERROR(INDEX(PP_Grid[#Data],$DD95,64),0)</f>
        <v/>
      </c>
      <c r="BO95">
        <f>IFERROR(INDEX(PP_Grid[#Data],$DD95,65),0)</f>
        <v/>
      </c>
      <c r="BP95">
        <f>IFERROR(INDEX(PP_Grid[#Data],$DD95,66),0)</f>
        <v/>
      </c>
      <c r="BQ95">
        <f>IFERROR(INDEX(PP_Grid[#Data],$DD95,67),0)</f>
        <v/>
      </c>
      <c r="BR95">
        <f>IFERROR(INDEX(PP_Grid[#Data],$DD95,68),0)</f>
        <v/>
      </c>
      <c r="BS95">
        <f>IFERROR(INDEX(PP_Grid[#Data],$DD95,69),0)</f>
        <v/>
      </c>
      <c r="BT95">
        <f>IFERROR(INDEX(PP_Grid[#Data],$DD95,70),0)</f>
        <v/>
      </c>
      <c r="BU95">
        <f>IFERROR(INDEX(PP_Grid[#Data],$DD95,71),0)</f>
        <v/>
      </c>
      <c r="BV95">
        <f>IFERROR(INDEX(PP_Grid[#Data],$DD95,72),0)</f>
        <v/>
      </c>
      <c r="BW95">
        <f>IFERROR(INDEX(PP_Grid[#Data],$DD95,73),0)</f>
        <v/>
      </c>
      <c r="BX95">
        <f>IFERROR(INDEX(PP_Grid[#Data],$DD95,74),0)</f>
        <v/>
      </c>
      <c r="BY95">
        <f>IFERROR(INDEX(PP_Grid[#Data],$DD95,75),0)</f>
        <v/>
      </c>
      <c r="BZ95">
        <f>IFERROR(INDEX(PP_Grid[#Data],$DD95,76),0)</f>
        <v/>
      </c>
      <c r="CA95">
        <f>IFERROR(INDEX(PP_Grid[#Data],$DD95,77),0)</f>
        <v/>
      </c>
      <c r="CB95">
        <f>IFERROR(INDEX(PP_Grid[#Data],$DD95,78),0)</f>
        <v/>
      </c>
      <c r="CC95">
        <f>IFERROR(INDEX(PP_Grid[#Data],$DD95,79),0)</f>
        <v/>
      </c>
      <c r="CD95">
        <f>IFERROR(INDEX(PP_Grid[#Data],$DD95,80),0)</f>
        <v/>
      </c>
      <c r="CE95">
        <f>IFERROR(INDEX(PP_Grid[#Data],$DD95,81),0)</f>
        <v/>
      </c>
      <c r="CF95">
        <f>IFERROR(INDEX(PP_Grid[#Data],$DD95,82),0)</f>
        <v/>
      </c>
      <c r="CG95">
        <f>IFERROR(INDEX(PP_Grid[#Data],$DD95,83),0)</f>
        <v/>
      </c>
      <c r="CH95">
        <f>IFERROR(INDEX(PP_Grid[#Data],$DD95,84),0)</f>
        <v/>
      </c>
      <c r="CI95">
        <f>IFERROR(INDEX(PP_Grid[#Data],$DD95,85),0)</f>
        <v/>
      </c>
      <c r="CJ95">
        <f>IFERROR(INDEX(PP_Grid[#Data],$DD95,86),0)</f>
        <v/>
      </c>
      <c r="CK95">
        <f>IFERROR(INDEX(PP_Grid[#Data],$DD95,87),0)</f>
        <v/>
      </c>
      <c r="CL95">
        <f>IFERROR(INDEX(PP_Grid[#Data],$DD95,88),0)</f>
        <v/>
      </c>
      <c r="CM95">
        <f>IFERROR(INDEX(PP_Grid[#Data],$DD95,89),0)</f>
        <v/>
      </c>
      <c r="CN95">
        <f>IFERROR(INDEX(PP_Grid[#Data],$DD95,90),0)</f>
        <v/>
      </c>
      <c r="CO95">
        <f>IFERROR(INDEX(PP_Grid[#Data],$DD95,91),0)</f>
        <v/>
      </c>
      <c r="CP95">
        <f>IFERROR(INDEX(PP_Grid[#Data],$DD95,92),0)</f>
        <v/>
      </c>
      <c r="CQ95">
        <f>IFERROR(INDEX(PP_Grid[#Data],$DD95,93),0)</f>
        <v/>
      </c>
      <c r="CR95">
        <f>IFERROR(INDEX(PP_Grid[#Data],$DD95,94),0)</f>
        <v/>
      </c>
      <c r="CS95">
        <f>IFERROR(INDEX(PP_Grid[#Data],$DD95,95),0)</f>
        <v/>
      </c>
      <c r="CT95">
        <f>IFERROR(INDEX(PP_Grid[#Data],$DD95,96),0)</f>
        <v/>
      </c>
      <c r="CU95">
        <f>IFERROR(INDEX(PP_Grid[#Data],$DD95,97),0)</f>
        <v/>
      </c>
      <c r="CV95">
        <f>IFERROR(INDEX(PP_Grid[#Data],$DD95,98),0)</f>
        <v/>
      </c>
      <c r="CW95">
        <f>IFERROR(INDEX(PP_Grid[#Data],$DD95,99),0)</f>
        <v/>
      </c>
      <c r="CX95">
        <f>IFERROR(INDEX(PP_Grid[#Data],$DD95,100),0)</f>
        <v/>
      </c>
      <c r="CY95">
        <f>IFERROR(INDEX(PP_Grid[#Data],$DD95,101),0)</f>
        <v/>
      </c>
      <c r="CZ95">
        <f>IFERROR(INDEX(PP_Grid[#Data],$DD95,102),0)</f>
        <v/>
      </c>
      <c r="DA95">
        <f>IFERROR(INDEX(PP_Grid[#Data],$DD95,103),0)</f>
        <v/>
      </c>
      <c r="DB95">
        <f>IFERROR(INDEX(PP_Grid[#Data],$DD95,104),0)</f>
        <v/>
      </c>
      <c r="DC95">
        <f>IFERROR(INDEX(PP_Grid[#Data],$DD95,105),0)</f>
        <v/>
      </c>
      <c r="DD95" s="7">
        <f>IFERROR(MATCH($B95,PP_Grid[Intermediate],0),99999)</f>
        <v/>
      </c>
    </row>
    <row r="96">
      <c r="B96" t="inlineStr">
        <is>
          <t>使用量(kg)</t>
        </is>
      </c>
      <c r="C96">
        <f>SUMIFS(M_BOM[RM_Qty_Per_Batch],M_BOM[Intermediate],$B95,M_BOM[Part Name],$A44)</f>
        <v/>
      </c>
      <c r="D96">
        <f>$C96*D95</f>
        <v/>
      </c>
      <c r="E96">
        <f>$C96*E95</f>
        <v/>
      </c>
      <c r="F96">
        <f>$C96*F95</f>
        <v/>
      </c>
      <c r="G96">
        <f>$C96*G95</f>
        <v/>
      </c>
      <c r="H96">
        <f>$C96*H95</f>
        <v/>
      </c>
      <c r="I96">
        <f>$C96*I95</f>
        <v/>
      </c>
      <c r="J96">
        <f>$C96*J95</f>
        <v/>
      </c>
      <c r="K96">
        <f>$C96*K95</f>
        <v/>
      </c>
      <c r="L96">
        <f>$C96*L95</f>
        <v/>
      </c>
      <c r="M96">
        <f>$C96*M95</f>
        <v/>
      </c>
      <c r="N96">
        <f>$C96*N95</f>
        <v/>
      </c>
      <c r="O96">
        <f>$C96*O95</f>
        <v/>
      </c>
      <c r="P96">
        <f>$C96*P95</f>
        <v/>
      </c>
      <c r="Q96">
        <f>$C96*Q95</f>
        <v/>
      </c>
      <c r="R96">
        <f>$C96*R95</f>
        <v/>
      </c>
      <c r="S96">
        <f>$C96*S95</f>
        <v/>
      </c>
      <c r="T96">
        <f>$C96*T95</f>
        <v/>
      </c>
      <c r="U96">
        <f>$C96*U95</f>
        <v/>
      </c>
      <c r="V96">
        <f>$C96*V95</f>
        <v/>
      </c>
      <c r="W96">
        <f>$C96*W95</f>
        <v/>
      </c>
      <c r="X96">
        <f>$C96*X95</f>
        <v/>
      </c>
      <c r="Y96">
        <f>$C96*Y95</f>
        <v/>
      </c>
      <c r="Z96">
        <f>$C96*Z95</f>
        <v/>
      </c>
      <c r="AA96">
        <f>$C96*AA95</f>
        <v/>
      </c>
      <c r="AB96">
        <f>$C96*AB95</f>
        <v/>
      </c>
      <c r="AC96">
        <f>$C96*AC95</f>
        <v/>
      </c>
      <c r="AD96">
        <f>$C96*AD95</f>
        <v/>
      </c>
      <c r="AE96">
        <f>$C96*AE95</f>
        <v/>
      </c>
      <c r="AF96">
        <f>$C96*AF95</f>
        <v/>
      </c>
      <c r="AG96">
        <f>$C96*AG95</f>
        <v/>
      </c>
      <c r="AH96">
        <f>$C96*AH95</f>
        <v/>
      </c>
      <c r="AI96">
        <f>$C96*AI95</f>
        <v/>
      </c>
      <c r="AJ96">
        <f>$C96*AJ95</f>
        <v/>
      </c>
      <c r="AK96">
        <f>$C96*AK95</f>
        <v/>
      </c>
      <c r="AL96">
        <f>$C96*AL95</f>
        <v/>
      </c>
      <c r="AM96">
        <f>$C96*AM95</f>
        <v/>
      </c>
      <c r="AN96">
        <f>$C96*AN95</f>
        <v/>
      </c>
      <c r="AO96">
        <f>$C96*AO95</f>
        <v/>
      </c>
      <c r="AP96">
        <f>$C96*AP95</f>
        <v/>
      </c>
      <c r="AQ96">
        <f>$C96*AQ95</f>
        <v/>
      </c>
      <c r="AR96">
        <f>$C96*AR95</f>
        <v/>
      </c>
      <c r="AS96">
        <f>$C96*AS95</f>
        <v/>
      </c>
      <c r="AT96">
        <f>$C96*AT95</f>
        <v/>
      </c>
      <c r="AU96">
        <f>$C96*AU95</f>
        <v/>
      </c>
      <c r="AV96">
        <f>$C96*AV95</f>
        <v/>
      </c>
      <c r="AW96">
        <f>$C96*AW95</f>
        <v/>
      </c>
      <c r="AX96">
        <f>$C96*AX95</f>
        <v/>
      </c>
      <c r="AY96">
        <f>$C96*AY95</f>
        <v/>
      </c>
      <c r="AZ96">
        <f>$C96*AZ95</f>
        <v/>
      </c>
      <c r="BA96">
        <f>$C96*BA95</f>
        <v/>
      </c>
      <c r="BB96">
        <f>$C96*BB95</f>
        <v/>
      </c>
      <c r="BC96">
        <f>$C96*BC95</f>
        <v/>
      </c>
      <c r="BD96">
        <f>$C96*BD95</f>
        <v/>
      </c>
      <c r="BE96">
        <f>$C96*BE95</f>
        <v/>
      </c>
      <c r="BF96">
        <f>$C96*BF95</f>
        <v/>
      </c>
      <c r="BG96">
        <f>$C96*BG95</f>
        <v/>
      </c>
      <c r="BH96">
        <f>$C96*BH95</f>
        <v/>
      </c>
      <c r="BI96">
        <f>$C96*BI95</f>
        <v/>
      </c>
      <c r="BJ96">
        <f>$C96*BJ95</f>
        <v/>
      </c>
      <c r="BK96">
        <f>$C96*BK95</f>
        <v/>
      </c>
      <c r="BL96">
        <f>$C96*BL95</f>
        <v/>
      </c>
      <c r="BM96">
        <f>$C96*BM95</f>
        <v/>
      </c>
      <c r="BN96">
        <f>$C96*BN95</f>
        <v/>
      </c>
      <c r="BO96">
        <f>$C96*BO95</f>
        <v/>
      </c>
      <c r="BP96">
        <f>$C96*BP95</f>
        <v/>
      </c>
      <c r="BQ96">
        <f>$C96*BQ95</f>
        <v/>
      </c>
      <c r="BR96">
        <f>$C96*BR95</f>
        <v/>
      </c>
      <c r="BS96">
        <f>$C96*BS95</f>
        <v/>
      </c>
      <c r="BT96">
        <f>$C96*BT95</f>
        <v/>
      </c>
      <c r="BU96">
        <f>$C96*BU95</f>
        <v/>
      </c>
      <c r="BV96">
        <f>$C96*BV95</f>
        <v/>
      </c>
      <c r="BW96">
        <f>$C96*BW95</f>
        <v/>
      </c>
      <c r="BX96">
        <f>$C96*BX95</f>
        <v/>
      </c>
      <c r="BY96">
        <f>$C96*BY95</f>
        <v/>
      </c>
      <c r="BZ96">
        <f>$C96*BZ95</f>
        <v/>
      </c>
      <c r="CA96">
        <f>$C96*CA95</f>
        <v/>
      </c>
      <c r="CB96">
        <f>$C96*CB95</f>
        <v/>
      </c>
      <c r="CC96">
        <f>$C96*CC95</f>
        <v/>
      </c>
      <c r="CD96">
        <f>$C96*CD95</f>
        <v/>
      </c>
      <c r="CE96">
        <f>$C96*CE95</f>
        <v/>
      </c>
      <c r="CF96">
        <f>$C96*CF95</f>
        <v/>
      </c>
      <c r="CG96">
        <f>$C96*CG95</f>
        <v/>
      </c>
      <c r="CH96">
        <f>$C96*CH95</f>
        <v/>
      </c>
      <c r="CI96">
        <f>$C96*CI95</f>
        <v/>
      </c>
      <c r="CJ96">
        <f>$C96*CJ95</f>
        <v/>
      </c>
      <c r="CK96">
        <f>$C96*CK95</f>
        <v/>
      </c>
      <c r="CL96">
        <f>$C96*CL95</f>
        <v/>
      </c>
      <c r="CM96">
        <f>$C96*CM95</f>
        <v/>
      </c>
      <c r="CN96">
        <f>$C96*CN95</f>
        <v/>
      </c>
      <c r="CO96">
        <f>$C96*CO95</f>
        <v/>
      </c>
      <c r="CP96">
        <f>$C96*CP95</f>
        <v/>
      </c>
      <c r="CQ96">
        <f>$C96*CQ95</f>
        <v/>
      </c>
      <c r="CR96">
        <f>$C96*CR95</f>
        <v/>
      </c>
      <c r="CS96">
        <f>$C96*CS95</f>
        <v/>
      </c>
      <c r="CT96">
        <f>$C96*CT95</f>
        <v/>
      </c>
      <c r="CU96">
        <f>$C96*CU95</f>
        <v/>
      </c>
      <c r="CV96">
        <f>$C96*CV95</f>
        <v/>
      </c>
      <c r="CW96">
        <f>$C96*CW95</f>
        <v/>
      </c>
      <c r="CX96">
        <f>$C96*CX95</f>
        <v/>
      </c>
      <c r="CY96">
        <f>$C96*CY95</f>
        <v/>
      </c>
      <c r="CZ96">
        <f>$C96*CZ95</f>
        <v/>
      </c>
      <c r="DA96">
        <f>$C96*DA95</f>
        <v/>
      </c>
      <c r="DB96">
        <f>$C96*DB95</f>
        <v/>
      </c>
      <c r="DC96">
        <f>$C96*DC95</f>
        <v/>
      </c>
    </row>
    <row r="97">
      <c r="B97" t="inlineStr">
        <is>
          <t>TSP-544</t>
        </is>
      </c>
      <c r="C97" t="inlineStr">
        <is>
          <t>No. of batches</t>
        </is>
      </c>
      <c r="D97">
        <f>IFERROR(INDEX(PP_Grid[#Data],$DD97,2),0)</f>
        <v/>
      </c>
      <c r="E97">
        <f>IFERROR(INDEX(PP_Grid[#Data],$DD97,3),0)</f>
        <v/>
      </c>
      <c r="F97">
        <f>IFERROR(INDEX(PP_Grid[#Data],$DD97,4),0)</f>
        <v/>
      </c>
      <c r="G97">
        <f>IFERROR(INDEX(PP_Grid[#Data],$DD97,5),0)</f>
        <v/>
      </c>
      <c r="H97">
        <f>IFERROR(INDEX(PP_Grid[#Data],$DD97,6),0)</f>
        <v/>
      </c>
      <c r="I97">
        <f>IFERROR(INDEX(PP_Grid[#Data],$DD97,7),0)</f>
        <v/>
      </c>
      <c r="J97">
        <f>IFERROR(INDEX(PP_Grid[#Data],$DD97,8),0)</f>
        <v/>
      </c>
      <c r="K97">
        <f>IFERROR(INDEX(PP_Grid[#Data],$DD97,9),0)</f>
        <v/>
      </c>
      <c r="L97">
        <f>IFERROR(INDEX(PP_Grid[#Data],$DD97,10),0)</f>
        <v/>
      </c>
      <c r="M97">
        <f>IFERROR(INDEX(PP_Grid[#Data],$DD97,11),0)</f>
        <v/>
      </c>
      <c r="N97">
        <f>IFERROR(INDEX(PP_Grid[#Data],$DD97,12),0)</f>
        <v/>
      </c>
      <c r="O97">
        <f>IFERROR(INDEX(PP_Grid[#Data],$DD97,13),0)</f>
        <v/>
      </c>
      <c r="P97">
        <f>IFERROR(INDEX(PP_Grid[#Data],$DD97,14),0)</f>
        <v/>
      </c>
      <c r="Q97">
        <f>IFERROR(INDEX(PP_Grid[#Data],$DD97,15),0)</f>
        <v/>
      </c>
      <c r="R97">
        <f>IFERROR(INDEX(PP_Grid[#Data],$DD97,16),0)</f>
        <v/>
      </c>
      <c r="S97">
        <f>IFERROR(INDEX(PP_Grid[#Data],$DD97,17),0)</f>
        <v/>
      </c>
      <c r="T97">
        <f>IFERROR(INDEX(PP_Grid[#Data],$DD97,18),0)</f>
        <v/>
      </c>
      <c r="U97">
        <f>IFERROR(INDEX(PP_Grid[#Data],$DD97,19),0)</f>
        <v/>
      </c>
      <c r="V97">
        <f>IFERROR(INDEX(PP_Grid[#Data],$DD97,20),0)</f>
        <v/>
      </c>
      <c r="W97">
        <f>IFERROR(INDEX(PP_Grid[#Data],$DD97,21),0)</f>
        <v/>
      </c>
      <c r="X97">
        <f>IFERROR(INDEX(PP_Grid[#Data],$DD97,22),0)</f>
        <v/>
      </c>
      <c r="Y97">
        <f>IFERROR(INDEX(PP_Grid[#Data],$DD97,23),0)</f>
        <v/>
      </c>
      <c r="Z97">
        <f>IFERROR(INDEX(PP_Grid[#Data],$DD97,24),0)</f>
        <v/>
      </c>
      <c r="AA97">
        <f>IFERROR(INDEX(PP_Grid[#Data],$DD97,25),0)</f>
        <v/>
      </c>
      <c r="AB97">
        <f>IFERROR(INDEX(PP_Grid[#Data],$DD97,26),0)</f>
        <v/>
      </c>
      <c r="AC97">
        <f>IFERROR(INDEX(PP_Grid[#Data],$DD97,27),0)</f>
        <v/>
      </c>
      <c r="AD97">
        <f>IFERROR(INDEX(PP_Grid[#Data],$DD97,28),0)</f>
        <v/>
      </c>
      <c r="AE97">
        <f>IFERROR(INDEX(PP_Grid[#Data],$DD97,29),0)</f>
        <v/>
      </c>
      <c r="AF97">
        <f>IFERROR(INDEX(PP_Grid[#Data],$DD97,30),0)</f>
        <v/>
      </c>
      <c r="AG97">
        <f>IFERROR(INDEX(PP_Grid[#Data],$DD97,31),0)</f>
        <v/>
      </c>
      <c r="AH97">
        <f>IFERROR(INDEX(PP_Grid[#Data],$DD97,32),0)</f>
        <v/>
      </c>
      <c r="AI97">
        <f>IFERROR(INDEX(PP_Grid[#Data],$DD97,33),0)</f>
        <v/>
      </c>
      <c r="AJ97">
        <f>IFERROR(INDEX(PP_Grid[#Data],$DD97,34),0)</f>
        <v/>
      </c>
      <c r="AK97">
        <f>IFERROR(INDEX(PP_Grid[#Data],$DD97,35),0)</f>
        <v/>
      </c>
      <c r="AL97">
        <f>IFERROR(INDEX(PP_Grid[#Data],$DD97,36),0)</f>
        <v/>
      </c>
      <c r="AM97">
        <f>IFERROR(INDEX(PP_Grid[#Data],$DD97,37),0)</f>
        <v/>
      </c>
      <c r="AN97">
        <f>IFERROR(INDEX(PP_Grid[#Data],$DD97,38),0)</f>
        <v/>
      </c>
      <c r="AO97">
        <f>IFERROR(INDEX(PP_Grid[#Data],$DD97,39),0)</f>
        <v/>
      </c>
      <c r="AP97">
        <f>IFERROR(INDEX(PP_Grid[#Data],$DD97,40),0)</f>
        <v/>
      </c>
      <c r="AQ97">
        <f>IFERROR(INDEX(PP_Grid[#Data],$DD97,41),0)</f>
        <v/>
      </c>
      <c r="AR97">
        <f>IFERROR(INDEX(PP_Grid[#Data],$DD97,42),0)</f>
        <v/>
      </c>
      <c r="AS97">
        <f>IFERROR(INDEX(PP_Grid[#Data],$DD97,43),0)</f>
        <v/>
      </c>
      <c r="AT97">
        <f>IFERROR(INDEX(PP_Grid[#Data],$DD97,44),0)</f>
        <v/>
      </c>
      <c r="AU97">
        <f>IFERROR(INDEX(PP_Grid[#Data],$DD97,45),0)</f>
        <v/>
      </c>
      <c r="AV97">
        <f>IFERROR(INDEX(PP_Grid[#Data],$DD97,46),0)</f>
        <v/>
      </c>
      <c r="AW97">
        <f>IFERROR(INDEX(PP_Grid[#Data],$DD97,47),0)</f>
        <v/>
      </c>
      <c r="AX97">
        <f>IFERROR(INDEX(PP_Grid[#Data],$DD97,48),0)</f>
        <v/>
      </c>
      <c r="AY97">
        <f>IFERROR(INDEX(PP_Grid[#Data],$DD97,49),0)</f>
        <v/>
      </c>
      <c r="AZ97">
        <f>IFERROR(INDEX(PP_Grid[#Data],$DD97,50),0)</f>
        <v/>
      </c>
      <c r="BA97">
        <f>IFERROR(INDEX(PP_Grid[#Data],$DD97,51),0)</f>
        <v/>
      </c>
      <c r="BB97">
        <f>IFERROR(INDEX(PP_Grid[#Data],$DD97,52),0)</f>
        <v/>
      </c>
      <c r="BC97">
        <f>IFERROR(INDEX(PP_Grid[#Data],$DD97,53),0)</f>
        <v/>
      </c>
      <c r="BD97">
        <f>IFERROR(INDEX(PP_Grid[#Data],$DD97,54),0)</f>
        <v/>
      </c>
      <c r="BE97">
        <f>IFERROR(INDEX(PP_Grid[#Data],$DD97,55),0)</f>
        <v/>
      </c>
      <c r="BF97">
        <f>IFERROR(INDEX(PP_Grid[#Data],$DD97,56),0)</f>
        <v/>
      </c>
      <c r="BG97">
        <f>IFERROR(INDEX(PP_Grid[#Data],$DD97,57),0)</f>
        <v/>
      </c>
      <c r="BH97">
        <f>IFERROR(INDEX(PP_Grid[#Data],$DD97,58),0)</f>
        <v/>
      </c>
      <c r="BI97">
        <f>IFERROR(INDEX(PP_Grid[#Data],$DD97,59),0)</f>
        <v/>
      </c>
      <c r="BJ97">
        <f>IFERROR(INDEX(PP_Grid[#Data],$DD97,60),0)</f>
        <v/>
      </c>
      <c r="BK97">
        <f>IFERROR(INDEX(PP_Grid[#Data],$DD97,61),0)</f>
        <v/>
      </c>
      <c r="BL97">
        <f>IFERROR(INDEX(PP_Grid[#Data],$DD97,62),0)</f>
        <v/>
      </c>
      <c r="BM97">
        <f>IFERROR(INDEX(PP_Grid[#Data],$DD97,63),0)</f>
        <v/>
      </c>
      <c r="BN97">
        <f>IFERROR(INDEX(PP_Grid[#Data],$DD97,64),0)</f>
        <v/>
      </c>
      <c r="BO97">
        <f>IFERROR(INDEX(PP_Grid[#Data],$DD97,65),0)</f>
        <v/>
      </c>
      <c r="BP97">
        <f>IFERROR(INDEX(PP_Grid[#Data],$DD97,66),0)</f>
        <v/>
      </c>
      <c r="BQ97">
        <f>IFERROR(INDEX(PP_Grid[#Data],$DD97,67),0)</f>
        <v/>
      </c>
      <c r="BR97">
        <f>IFERROR(INDEX(PP_Grid[#Data],$DD97,68),0)</f>
        <v/>
      </c>
      <c r="BS97">
        <f>IFERROR(INDEX(PP_Grid[#Data],$DD97,69),0)</f>
        <v/>
      </c>
      <c r="BT97">
        <f>IFERROR(INDEX(PP_Grid[#Data],$DD97,70),0)</f>
        <v/>
      </c>
      <c r="BU97">
        <f>IFERROR(INDEX(PP_Grid[#Data],$DD97,71),0)</f>
        <v/>
      </c>
      <c r="BV97">
        <f>IFERROR(INDEX(PP_Grid[#Data],$DD97,72),0)</f>
        <v/>
      </c>
      <c r="BW97">
        <f>IFERROR(INDEX(PP_Grid[#Data],$DD97,73),0)</f>
        <v/>
      </c>
      <c r="BX97">
        <f>IFERROR(INDEX(PP_Grid[#Data],$DD97,74),0)</f>
        <v/>
      </c>
      <c r="BY97">
        <f>IFERROR(INDEX(PP_Grid[#Data],$DD97,75),0)</f>
        <v/>
      </c>
      <c r="BZ97">
        <f>IFERROR(INDEX(PP_Grid[#Data],$DD97,76),0)</f>
        <v/>
      </c>
      <c r="CA97">
        <f>IFERROR(INDEX(PP_Grid[#Data],$DD97,77),0)</f>
        <v/>
      </c>
      <c r="CB97">
        <f>IFERROR(INDEX(PP_Grid[#Data],$DD97,78),0)</f>
        <v/>
      </c>
      <c r="CC97">
        <f>IFERROR(INDEX(PP_Grid[#Data],$DD97,79),0)</f>
        <v/>
      </c>
      <c r="CD97">
        <f>IFERROR(INDEX(PP_Grid[#Data],$DD97,80),0)</f>
        <v/>
      </c>
      <c r="CE97">
        <f>IFERROR(INDEX(PP_Grid[#Data],$DD97,81),0)</f>
        <v/>
      </c>
      <c r="CF97">
        <f>IFERROR(INDEX(PP_Grid[#Data],$DD97,82),0)</f>
        <v/>
      </c>
      <c r="CG97">
        <f>IFERROR(INDEX(PP_Grid[#Data],$DD97,83),0)</f>
        <v/>
      </c>
      <c r="CH97">
        <f>IFERROR(INDEX(PP_Grid[#Data],$DD97,84),0)</f>
        <v/>
      </c>
      <c r="CI97">
        <f>IFERROR(INDEX(PP_Grid[#Data],$DD97,85),0)</f>
        <v/>
      </c>
      <c r="CJ97">
        <f>IFERROR(INDEX(PP_Grid[#Data],$DD97,86),0)</f>
        <v/>
      </c>
      <c r="CK97">
        <f>IFERROR(INDEX(PP_Grid[#Data],$DD97,87),0)</f>
        <v/>
      </c>
      <c r="CL97">
        <f>IFERROR(INDEX(PP_Grid[#Data],$DD97,88),0)</f>
        <v/>
      </c>
      <c r="CM97">
        <f>IFERROR(INDEX(PP_Grid[#Data],$DD97,89),0)</f>
        <v/>
      </c>
      <c r="CN97">
        <f>IFERROR(INDEX(PP_Grid[#Data],$DD97,90),0)</f>
        <v/>
      </c>
      <c r="CO97">
        <f>IFERROR(INDEX(PP_Grid[#Data],$DD97,91),0)</f>
        <v/>
      </c>
      <c r="CP97">
        <f>IFERROR(INDEX(PP_Grid[#Data],$DD97,92),0)</f>
        <v/>
      </c>
      <c r="CQ97">
        <f>IFERROR(INDEX(PP_Grid[#Data],$DD97,93),0)</f>
        <v/>
      </c>
      <c r="CR97">
        <f>IFERROR(INDEX(PP_Grid[#Data],$DD97,94),0)</f>
        <v/>
      </c>
      <c r="CS97">
        <f>IFERROR(INDEX(PP_Grid[#Data],$DD97,95),0)</f>
        <v/>
      </c>
      <c r="CT97">
        <f>IFERROR(INDEX(PP_Grid[#Data],$DD97,96),0)</f>
        <v/>
      </c>
      <c r="CU97">
        <f>IFERROR(INDEX(PP_Grid[#Data],$DD97,97),0)</f>
        <v/>
      </c>
      <c r="CV97">
        <f>IFERROR(INDEX(PP_Grid[#Data],$DD97,98),0)</f>
        <v/>
      </c>
      <c r="CW97">
        <f>IFERROR(INDEX(PP_Grid[#Data],$DD97,99),0)</f>
        <v/>
      </c>
      <c r="CX97">
        <f>IFERROR(INDEX(PP_Grid[#Data],$DD97,100),0)</f>
        <v/>
      </c>
      <c r="CY97">
        <f>IFERROR(INDEX(PP_Grid[#Data],$DD97,101),0)</f>
        <v/>
      </c>
      <c r="CZ97">
        <f>IFERROR(INDEX(PP_Grid[#Data],$DD97,102),0)</f>
        <v/>
      </c>
      <c r="DA97">
        <f>IFERROR(INDEX(PP_Grid[#Data],$DD97,103),0)</f>
        <v/>
      </c>
      <c r="DB97">
        <f>IFERROR(INDEX(PP_Grid[#Data],$DD97,104),0)</f>
        <v/>
      </c>
      <c r="DC97">
        <f>IFERROR(INDEX(PP_Grid[#Data],$DD97,105),0)</f>
        <v/>
      </c>
      <c r="DD97" s="7">
        <f>IFERROR(MATCH($B97,PP_Grid[Intermediate],0),99999)</f>
        <v/>
      </c>
    </row>
    <row r="98">
      <c r="B98" t="inlineStr">
        <is>
          <t>使用量(kg)</t>
        </is>
      </c>
      <c r="C98">
        <f>SUMIFS(M_BOM[RM_Qty_Per_Batch],M_BOM[Intermediate],$B97,M_BOM[Part Name],$A44)</f>
        <v/>
      </c>
      <c r="D98">
        <f>$C98*D97</f>
        <v/>
      </c>
      <c r="E98">
        <f>$C98*E97</f>
        <v/>
      </c>
      <c r="F98">
        <f>$C98*F97</f>
        <v/>
      </c>
      <c r="G98">
        <f>$C98*G97</f>
        <v/>
      </c>
      <c r="H98">
        <f>$C98*H97</f>
        <v/>
      </c>
      <c r="I98">
        <f>$C98*I97</f>
        <v/>
      </c>
      <c r="J98">
        <f>$C98*J97</f>
        <v/>
      </c>
      <c r="K98">
        <f>$C98*K97</f>
        <v/>
      </c>
      <c r="L98">
        <f>$C98*L97</f>
        <v/>
      </c>
      <c r="M98">
        <f>$C98*M97</f>
        <v/>
      </c>
      <c r="N98">
        <f>$C98*N97</f>
        <v/>
      </c>
      <c r="O98">
        <f>$C98*O97</f>
        <v/>
      </c>
      <c r="P98">
        <f>$C98*P97</f>
        <v/>
      </c>
      <c r="Q98">
        <f>$C98*Q97</f>
        <v/>
      </c>
      <c r="R98">
        <f>$C98*R97</f>
        <v/>
      </c>
      <c r="S98">
        <f>$C98*S97</f>
        <v/>
      </c>
      <c r="T98">
        <f>$C98*T97</f>
        <v/>
      </c>
      <c r="U98">
        <f>$C98*U97</f>
        <v/>
      </c>
      <c r="V98">
        <f>$C98*V97</f>
        <v/>
      </c>
      <c r="W98">
        <f>$C98*W97</f>
        <v/>
      </c>
      <c r="X98">
        <f>$C98*X97</f>
        <v/>
      </c>
      <c r="Y98">
        <f>$C98*Y97</f>
        <v/>
      </c>
      <c r="Z98">
        <f>$C98*Z97</f>
        <v/>
      </c>
      <c r="AA98">
        <f>$C98*AA97</f>
        <v/>
      </c>
      <c r="AB98">
        <f>$C98*AB97</f>
        <v/>
      </c>
      <c r="AC98">
        <f>$C98*AC97</f>
        <v/>
      </c>
      <c r="AD98">
        <f>$C98*AD97</f>
        <v/>
      </c>
      <c r="AE98">
        <f>$C98*AE97</f>
        <v/>
      </c>
      <c r="AF98">
        <f>$C98*AF97</f>
        <v/>
      </c>
      <c r="AG98">
        <f>$C98*AG97</f>
        <v/>
      </c>
      <c r="AH98">
        <f>$C98*AH97</f>
        <v/>
      </c>
      <c r="AI98">
        <f>$C98*AI97</f>
        <v/>
      </c>
      <c r="AJ98">
        <f>$C98*AJ97</f>
        <v/>
      </c>
      <c r="AK98">
        <f>$C98*AK97</f>
        <v/>
      </c>
      <c r="AL98">
        <f>$C98*AL97</f>
        <v/>
      </c>
      <c r="AM98">
        <f>$C98*AM97</f>
        <v/>
      </c>
      <c r="AN98">
        <f>$C98*AN97</f>
        <v/>
      </c>
      <c r="AO98">
        <f>$C98*AO97</f>
        <v/>
      </c>
      <c r="AP98">
        <f>$C98*AP97</f>
        <v/>
      </c>
      <c r="AQ98">
        <f>$C98*AQ97</f>
        <v/>
      </c>
      <c r="AR98">
        <f>$C98*AR97</f>
        <v/>
      </c>
      <c r="AS98">
        <f>$C98*AS97</f>
        <v/>
      </c>
      <c r="AT98">
        <f>$C98*AT97</f>
        <v/>
      </c>
      <c r="AU98">
        <f>$C98*AU97</f>
        <v/>
      </c>
      <c r="AV98">
        <f>$C98*AV97</f>
        <v/>
      </c>
      <c r="AW98">
        <f>$C98*AW97</f>
        <v/>
      </c>
      <c r="AX98">
        <f>$C98*AX97</f>
        <v/>
      </c>
      <c r="AY98">
        <f>$C98*AY97</f>
        <v/>
      </c>
      <c r="AZ98">
        <f>$C98*AZ97</f>
        <v/>
      </c>
      <c r="BA98">
        <f>$C98*BA97</f>
        <v/>
      </c>
      <c r="BB98">
        <f>$C98*BB97</f>
        <v/>
      </c>
      <c r="BC98">
        <f>$C98*BC97</f>
        <v/>
      </c>
      <c r="BD98">
        <f>$C98*BD97</f>
        <v/>
      </c>
      <c r="BE98">
        <f>$C98*BE97</f>
        <v/>
      </c>
      <c r="BF98">
        <f>$C98*BF97</f>
        <v/>
      </c>
      <c r="BG98">
        <f>$C98*BG97</f>
        <v/>
      </c>
      <c r="BH98">
        <f>$C98*BH97</f>
        <v/>
      </c>
      <c r="BI98">
        <f>$C98*BI97</f>
        <v/>
      </c>
      <c r="BJ98">
        <f>$C98*BJ97</f>
        <v/>
      </c>
      <c r="BK98">
        <f>$C98*BK97</f>
        <v/>
      </c>
      <c r="BL98">
        <f>$C98*BL97</f>
        <v/>
      </c>
      <c r="BM98">
        <f>$C98*BM97</f>
        <v/>
      </c>
      <c r="BN98">
        <f>$C98*BN97</f>
        <v/>
      </c>
      <c r="BO98">
        <f>$C98*BO97</f>
        <v/>
      </c>
      <c r="BP98">
        <f>$C98*BP97</f>
        <v/>
      </c>
      <c r="BQ98">
        <f>$C98*BQ97</f>
        <v/>
      </c>
      <c r="BR98">
        <f>$C98*BR97</f>
        <v/>
      </c>
      <c r="BS98">
        <f>$C98*BS97</f>
        <v/>
      </c>
      <c r="BT98">
        <f>$C98*BT97</f>
        <v/>
      </c>
      <c r="BU98">
        <f>$C98*BU97</f>
        <v/>
      </c>
      <c r="BV98">
        <f>$C98*BV97</f>
        <v/>
      </c>
      <c r="BW98">
        <f>$C98*BW97</f>
        <v/>
      </c>
      <c r="BX98">
        <f>$C98*BX97</f>
        <v/>
      </c>
      <c r="BY98">
        <f>$C98*BY97</f>
        <v/>
      </c>
      <c r="BZ98">
        <f>$C98*BZ97</f>
        <v/>
      </c>
      <c r="CA98">
        <f>$C98*CA97</f>
        <v/>
      </c>
      <c r="CB98">
        <f>$C98*CB97</f>
        <v/>
      </c>
      <c r="CC98">
        <f>$C98*CC97</f>
        <v/>
      </c>
      <c r="CD98">
        <f>$C98*CD97</f>
        <v/>
      </c>
      <c r="CE98">
        <f>$C98*CE97</f>
        <v/>
      </c>
      <c r="CF98">
        <f>$C98*CF97</f>
        <v/>
      </c>
      <c r="CG98">
        <f>$C98*CG97</f>
        <v/>
      </c>
      <c r="CH98">
        <f>$C98*CH97</f>
        <v/>
      </c>
      <c r="CI98">
        <f>$C98*CI97</f>
        <v/>
      </c>
      <c r="CJ98">
        <f>$C98*CJ97</f>
        <v/>
      </c>
      <c r="CK98">
        <f>$C98*CK97</f>
        <v/>
      </c>
      <c r="CL98">
        <f>$C98*CL97</f>
        <v/>
      </c>
      <c r="CM98">
        <f>$C98*CM97</f>
        <v/>
      </c>
      <c r="CN98">
        <f>$C98*CN97</f>
        <v/>
      </c>
      <c r="CO98">
        <f>$C98*CO97</f>
        <v/>
      </c>
      <c r="CP98">
        <f>$C98*CP97</f>
        <v/>
      </c>
      <c r="CQ98">
        <f>$C98*CQ97</f>
        <v/>
      </c>
      <c r="CR98">
        <f>$C98*CR97</f>
        <v/>
      </c>
      <c r="CS98">
        <f>$C98*CS97</f>
        <v/>
      </c>
      <c r="CT98">
        <f>$C98*CT97</f>
        <v/>
      </c>
      <c r="CU98">
        <f>$C98*CU97</f>
        <v/>
      </c>
      <c r="CV98">
        <f>$C98*CV97</f>
        <v/>
      </c>
      <c r="CW98">
        <f>$C98*CW97</f>
        <v/>
      </c>
      <c r="CX98">
        <f>$C98*CX97</f>
        <v/>
      </c>
      <c r="CY98">
        <f>$C98*CY97</f>
        <v/>
      </c>
      <c r="CZ98">
        <f>$C98*CZ97</f>
        <v/>
      </c>
      <c r="DA98">
        <f>$C98*DA97</f>
        <v/>
      </c>
      <c r="DB98">
        <f>$C98*DB97</f>
        <v/>
      </c>
      <c r="DC98">
        <f>$C98*DC97</f>
        <v/>
      </c>
    </row>
    <row r="99">
      <c r="B99" t="inlineStr">
        <is>
          <t>TSP-558</t>
        </is>
      </c>
      <c r="C99" t="inlineStr">
        <is>
          <t>No. of batches</t>
        </is>
      </c>
      <c r="D99">
        <f>IFERROR(INDEX(PP_Grid[#Data],$DD99,2),0)</f>
        <v/>
      </c>
      <c r="E99">
        <f>IFERROR(INDEX(PP_Grid[#Data],$DD99,3),0)</f>
        <v/>
      </c>
      <c r="F99">
        <f>IFERROR(INDEX(PP_Grid[#Data],$DD99,4),0)</f>
        <v/>
      </c>
      <c r="G99">
        <f>IFERROR(INDEX(PP_Grid[#Data],$DD99,5),0)</f>
        <v/>
      </c>
      <c r="H99">
        <f>IFERROR(INDEX(PP_Grid[#Data],$DD99,6),0)</f>
        <v/>
      </c>
      <c r="I99">
        <f>IFERROR(INDEX(PP_Grid[#Data],$DD99,7),0)</f>
        <v/>
      </c>
      <c r="J99">
        <f>IFERROR(INDEX(PP_Grid[#Data],$DD99,8),0)</f>
        <v/>
      </c>
      <c r="K99">
        <f>IFERROR(INDEX(PP_Grid[#Data],$DD99,9),0)</f>
        <v/>
      </c>
      <c r="L99">
        <f>IFERROR(INDEX(PP_Grid[#Data],$DD99,10),0)</f>
        <v/>
      </c>
      <c r="M99">
        <f>IFERROR(INDEX(PP_Grid[#Data],$DD99,11),0)</f>
        <v/>
      </c>
      <c r="N99">
        <f>IFERROR(INDEX(PP_Grid[#Data],$DD99,12),0)</f>
        <v/>
      </c>
      <c r="O99">
        <f>IFERROR(INDEX(PP_Grid[#Data],$DD99,13),0)</f>
        <v/>
      </c>
      <c r="P99">
        <f>IFERROR(INDEX(PP_Grid[#Data],$DD99,14),0)</f>
        <v/>
      </c>
      <c r="Q99">
        <f>IFERROR(INDEX(PP_Grid[#Data],$DD99,15),0)</f>
        <v/>
      </c>
      <c r="R99">
        <f>IFERROR(INDEX(PP_Grid[#Data],$DD99,16),0)</f>
        <v/>
      </c>
      <c r="S99">
        <f>IFERROR(INDEX(PP_Grid[#Data],$DD99,17),0)</f>
        <v/>
      </c>
      <c r="T99">
        <f>IFERROR(INDEX(PP_Grid[#Data],$DD99,18),0)</f>
        <v/>
      </c>
      <c r="U99">
        <f>IFERROR(INDEX(PP_Grid[#Data],$DD99,19),0)</f>
        <v/>
      </c>
      <c r="V99">
        <f>IFERROR(INDEX(PP_Grid[#Data],$DD99,20),0)</f>
        <v/>
      </c>
      <c r="W99">
        <f>IFERROR(INDEX(PP_Grid[#Data],$DD99,21),0)</f>
        <v/>
      </c>
      <c r="X99">
        <f>IFERROR(INDEX(PP_Grid[#Data],$DD99,22),0)</f>
        <v/>
      </c>
      <c r="Y99">
        <f>IFERROR(INDEX(PP_Grid[#Data],$DD99,23),0)</f>
        <v/>
      </c>
      <c r="Z99">
        <f>IFERROR(INDEX(PP_Grid[#Data],$DD99,24),0)</f>
        <v/>
      </c>
      <c r="AA99">
        <f>IFERROR(INDEX(PP_Grid[#Data],$DD99,25),0)</f>
        <v/>
      </c>
      <c r="AB99">
        <f>IFERROR(INDEX(PP_Grid[#Data],$DD99,26),0)</f>
        <v/>
      </c>
      <c r="AC99">
        <f>IFERROR(INDEX(PP_Grid[#Data],$DD99,27),0)</f>
        <v/>
      </c>
      <c r="AD99">
        <f>IFERROR(INDEX(PP_Grid[#Data],$DD99,28),0)</f>
        <v/>
      </c>
      <c r="AE99">
        <f>IFERROR(INDEX(PP_Grid[#Data],$DD99,29),0)</f>
        <v/>
      </c>
      <c r="AF99">
        <f>IFERROR(INDEX(PP_Grid[#Data],$DD99,30),0)</f>
        <v/>
      </c>
      <c r="AG99">
        <f>IFERROR(INDEX(PP_Grid[#Data],$DD99,31),0)</f>
        <v/>
      </c>
      <c r="AH99">
        <f>IFERROR(INDEX(PP_Grid[#Data],$DD99,32),0)</f>
        <v/>
      </c>
      <c r="AI99">
        <f>IFERROR(INDEX(PP_Grid[#Data],$DD99,33),0)</f>
        <v/>
      </c>
      <c r="AJ99">
        <f>IFERROR(INDEX(PP_Grid[#Data],$DD99,34),0)</f>
        <v/>
      </c>
      <c r="AK99">
        <f>IFERROR(INDEX(PP_Grid[#Data],$DD99,35),0)</f>
        <v/>
      </c>
      <c r="AL99">
        <f>IFERROR(INDEX(PP_Grid[#Data],$DD99,36),0)</f>
        <v/>
      </c>
      <c r="AM99">
        <f>IFERROR(INDEX(PP_Grid[#Data],$DD99,37),0)</f>
        <v/>
      </c>
      <c r="AN99">
        <f>IFERROR(INDEX(PP_Grid[#Data],$DD99,38),0)</f>
        <v/>
      </c>
      <c r="AO99">
        <f>IFERROR(INDEX(PP_Grid[#Data],$DD99,39),0)</f>
        <v/>
      </c>
      <c r="AP99">
        <f>IFERROR(INDEX(PP_Grid[#Data],$DD99,40),0)</f>
        <v/>
      </c>
      <c r="AQ99">
        <f>IFERROR(INDEX(PP_Grid[#Data],$DD99,41),0)</f>
        <v/>
      </c>
      <c r="AR99">
        <f>IFERROR(INDEX(PP_Grid[#Data],$DD99,42),0)</f>
        <v/>
      </c>
      <c r="AS99">
        <f>IFERROR(INDEX(PP_Grid[#Data],$DD99,43),0)</f>
        <v/>
      </c>
      <c r="AT99">
        <f>IFERROR(INDEX(PP_Grid[#Data],$DD99,44),0)</f>
        <v/>
      </c>
      <c r="AU99">
        <f>IFERROR(INDEX(PP_Grid[#Data],$DD99,45),0)</f>
        <v/>
      </c>
      <c r="AV99">
        <f>IFERROR(INDEX(PP_Grid[#Data],$DD99,46),0)</f>
        <v/>
      </c>
      <c r="AW99">
        <f>IFERROR(INDEX(PP_Grid[#Data],$DD99,47),0)</f>
        <v/>
      </c>
      <c r="AX99">
        <f>IFERROR(INDEX(PP_Grid[#Data],$DD99,48),0)</f>
        <v/>
      </c>
      <c r="AY99">
        <f>IFERROR(INDEX(PP_Grid[#Data],$DD99,49),0)</f>
        <v/>
      </c>
      <c r="AZ99">
        <f>IFERROR(INDEX(PP_Grid[#Data],$DD99,50),0)</f>
        <v/>
      </c>
      <c r="BA99">
        <f>IFERROR(INDEX(PP_Grid[#Data],$DD99,51),0)</f>
        <v/>
      </c>
      <c r="BB99">
        <f>IFERROR(INDEX(PP_Grid[#Data],$DD99,52),0)</f>
        <v/>
      </c>
      <c r="BC99">
        <f>IFERROR(INDEX(PP_Grid[#Data],$DD99,53),0)</f>
        <v/>
      </c>
      <c r="BD99">
        <f>IFERROR(INDEX(PP_Grid[#Data],$DD99,54),0)</f>
        <v/>
      </c>
      <c r="BE99">
        <f>IFERROR(INDEX(PP_Grid[#Data],$DD99,55),0)</f>
        <v/>
      </c>
      <c r="BF99">
        <f>IFERROR(INDEX(PP_Grid[#Data],$DD99,56),0)</f>
        <v/>
      </c>
      <c r="BG99">
        <f>IFERROR(INDEX(PP_Grid[#Data],$DD99,57),0)</f>
        <v/>
      </c>
      <c r="BH99">
        <f>IFERROR(INDEX(PP_Grid[#Data],$DD99,58),0)</f>
        <v/>
      </c>
      <c r="BI99">
        <f>IFERROR(INDEX(PP_Grid[#Data],$DD99,59),0)</f>
        <v/>
      </c>
      <c r="BJ99">
        <f>IFERROR(INDEX(PP_Grid[#Data],$DD99,60),0)</f>
        <v/>
      </c>
      <c r="BK99">
        <f>IFERROR(INDEX(PP_Grid[#Data],$DD99,61),0)</f>
        <v/>
      </c>
      <c r="BL99">
        <f>IFERROR(INDEX(PP_Grid[#Data],$DD99,62),0)</f>
        <v/>
      </c>
      <c r="BM99">
        <f>IFERROR(INDEX(PP_Grid[#Data],$DD99,63),0)</f>
        <v/>
      </c>
      <c r="BN99">
        <f>IFERROR(INDEX(PP_Grid[#Data],$DD99,64),0)</f>
        <v/>
      </c>
      <c r="BO99">
        <f>IFERROR(INDEX(PP_Grid[#Data],$DD99,65),0)</f>
        <v/>
      </c>
      <c r="BP99">
        <f>IFERROR(INDEX(PP_Grid[#Data],$DD99,66),0)</f>
        <v/>
      </c>
      <c r="BQ99">
        <f>IFERROR(INDEX(PP_Grid[#Data],$DD99,67),0)</f>
        <v/>
      </c>
      <c r="BR99">
        <f>IFERROR(INDEX(PP_Grid[#Data],$DD99,68),0)</f>
        <v/>
      </c>
      <c r="BS99">
        <f>IFERROR(INDEX(PP_Grid[#Data],$DD99,69),0)</f>
        <v/>
      </c>
      <c r="BT99">
        <f>IFERROR(INDEX(PP_Grid[#Data],$DD99,70),0)</f>
        <v/>
      </c>
      <c r="BU99">
        <f>IFERROR(INDEX(PP_Grid[#Data],$DD99,71),0)</f>
        <v/>
      </c>
      <c r="BV99">
        <f>IFERROR(INDEX(PP_Grid[#Data],$DD99,72),0)</f>
        <v/>
      </c>
      <c r="BW99">
        <f>IFERROR(INDEX(PP_Grid[#Data],$DD99,73),0)</f>
        <v/>
      </c>
      <c r="BX99">
        <f>IFERROR(INDEX(PP_Grid[#Data],$DD99,74),0)</f>
        <v/>
      </c>
      <c r="BY99">
        <f>IFERROR(INDEX(PP_Grid[#Data],$DD99,75),0)</f>
        <v/>
      </c>
      <c r="BZ99">
        <f>IFERROR(INDEX(PP_Grid[#Data],$DD99,76),0)</f>
        <v/>
      </c>
      <c r="CA99">
        <f>IFERROR(INDEX(PP_Grid[#Data],$DD99,77),0)</f>
        <v/>
      </c>
      <c r="CB99">
        <f>IFERROR(INDEX(PP_Grid[#Data],$DD99,78),0)</f>
        <v/>
      </c>
      <c r="CC99">
        <f>IFERROR(INDEX(PP_Grid[#Data],$DD99,79),0)</f>
        <v/>
      </c>
      <c r="CD99">
        <f>IFERROR(INDEX(PP_Grid[#Data],$DD99,80),0)</f>
        <v/>
      </c>
      <c r="CE99">
        <f>IFERROR(INDEX(PP_Grid[#Data],$DD99,81),0)</f>
        <v/>
      </c>
      <c r="CF99">
        <f>IFERROR(INDEX(PP_Grid[#Data],$DD99,82),0)</f>
        <v/>
      </c>
      <c r="CG99">
        <f>IFERROR(INDEX(PP_Grid[#Data],$DD99,83),0)</f>
        <v/>
      </c>
      <c r="CH99">
        <f>IFERROR(INDEX(PP_Grid[#Data],$DD99,84),0)</f>
        <v/>
      </c>
      <c r="CI99">
        <f>IFERROR(INDEX(PP_Grid[#Data],$DD99,85),0)</f>
        <v/>
      </c>
      <c r="CJ99">
        <f>IFERROR(INDEX(PP_Grid[#Data],$DD99,86),0)</f>
        <v/>
      </c>
      <c r="CK99">
        <f>IFERROR(INDEX(PP_Grid[#Data],$DD99,87),0)</f>
        <v/>
      </c>
      <c r="CL99">
        <f>IFERROR(INDEX(PP_Grid[#Data],$DD99,88),0)</f>
        <v/>
      </c>
      <c r="CM99">
        <f>IFERROR(INDEX(PP_Grid[#Data],$DD99,89),0)</f>
        <v/>
      </c>
      <c r="CN99">
        <f>IFERROR(INDEX(PP_Grid[#Data],$DD99,90),0)</f>
        <v/>
      </c>
      <c r="CO99">
        <f>IFERROR(INDEX(PP_Grid[#Data],$DD99,91),0)</f>
        <v/>
      </c>
      <c r="CP99">
        <f>IFERROR(INDEX(PP_Grid[#Data],$DD99,92),0)</f>
        <v/>
      </c>
      <c r="CQ99">
        <f>IFERROR(INDEX(PP_Grid[#Data],$DD99,93),0)</f>
        <v/>
      </c>
      <c r="CR99">
        <f>IFERROR(INDEX(PP_Grid[#Data],$DD99,94),0)</f>
        <v/>
      </c>
      <c r="CS99">
        <f>IFERROR(INDEX(PP_Grid[#Data],$DD99,95),0)</f>
        <v/>
      </c>
      <c r="CT99">
        <f>IFERROR(INDEX(PP_Grid[#Data],$DD99,96),0)</f>
        <v/>
      </c>
      <c r="CU99">
        <f>IFERROR(INDEX(PP_Grid[#Data],$DD99,97),0)</f>
        <v/>
      </c>
      <c r="CV99">
        <f>IFERROR(INDEX(PP_Grid[#Data],$DD99,98),0)</f>
        <v/>
      </c>
      <c r="CW99">
        <f>IFERROR(INDEX(PP_Grid[#Data],$DD99,99),0)</f>
        <v/>
      </c>
      <c r="CX99">
        <f>IFERROR(INDEX(PP_Grid[#Data],$DD99,100),0)</f>
        <v/>
      </c>
      <c r="CY99">
        <f>IFERROR(INDEX(PP_Grid[#Data],$DD99,101),0)</f>
        <v/>
      </c>
      <c r="CZ99">
        <f>IFERROR(INDEX(PP_Grid[#Data],$DD99,102),0)</f>
        <v/>
      </c>
      <c r="DA99">
        <f>IFERROR(INDEX(PP_Grid[#Data],$DD99,103),0)</f>
        <v/>
      </c>
      <c r="DB99">
        <f>IFERROR(INDEX(PP_Grid[#Data],$DD99,104),0)</f>
        <v/>
      </c>
      <c r="DC99">
        <f>IFERROR(INDEX(PP_Grid[#Data],$DD99,105),0)</f>
        <v/>
      </c>
      <c r="DD99" s="7">
        <f>IFERROR(MATCH($B99,PP_Grid[Intermediate],0),99999)</f>
        <v/>
      </c>
    </row>
    <row r="100">
      <c r="B100" t="inlineStr">
        <is>
          <t>使用量(kg)</t>
        </is>
      </c>
      <c r="C100">
        <f>SUMIFS(M_BOM[RM_Qty_Per_Batch],M_BOM[Intermediate],$B99,M_BOM[Part Name],$A44)</f>
        <v/>
      </c>
      <c r="D100">
        <f>$C100*D99</f>
        <v/>
      </c>
      <c r="E100">
        <f>$C100*E99</f>
        <v/>
      </c>
      <c r="F100">
        <f>$C100*F99</f>
        <v/>
      </c>
      <c r="G100">
        <f>$C100*G99</f>
        <v/>
      </c>
      <c r="H100">
        <f>$C100*H99</f>
        <v/>
      </c>
      <c r="I100">
        <f>$C100*I99</f>
        <v/>
      </c>
      <c r="J100">
        <f>$C100*J99</f>
        <v/>
      </c>
      <c r="K100">
        <f>$C100*K99</f>
        <v/>
      </c>
      <c r="L100">
        <f>$C100*L99</f>
        <v/>
      </c>
      <c r="M100">
        <f>$C100*M99</f>
        <v/>
      </c>
      <c r="N100">
        <f>$C100*N99</f>
        <v/>
      </c>
      <c r="O100">
        <f>$C100*O99</f>
        <v/>
      </c>
      <c r="P100">
        <f>$C100*P99</f>
        <v/>
      </c>
      <c r="Q100">
        <f>$C100*Q99</f>
        <v/>
      </c>
      <c r="R100">
        <f>$C100*R99</f>
        <v/>
      </c>
      <c r="S100">
        <f>$C100*S99</f>
        <v/>
      </c>
      <c r="T100">
        <f>$C100*T99</f>
        <v/>
      </c>
      <c r="U100">
        <f>$C100*U99</f>
        <v/>
      </c>
      <c r="V100">
        <f>$C100*V99</f>
        <v/>
      </c>
      <c r="W100">
        <f>$C100*W99</f>
        <v/>
      </c>
      <c r="X100">
        <f>$C100*X99</f>
        <v/>
      </c>
      <c r="Y100">
        <f>$C100*Y99</f>
        <v/>
      </c>
      <c r="Z100">
        <f>$C100*Z99</f>
        <v/>
      </c>
      <c r="AA100">
        <f>$C100*AA99</f>
        <v/>
      </c>
      <c r="AB100">
        <f>$C100*AB99</f>
        <v/>
      </c>
      <c r="AC100">
        <f>$C100*AC99</f>
        <v/>
      </c>
      <c r="AD100">
        <f>$C100*AD99</f>
        <v/>
      </c>
      <c r="AE100">
        <f>$C100*AE99</f>
        <v/>
      </c>
      <c r="AF100">
        <f>$C100*AF99</f>
        <v/>
      </c>
      <c r="AG100">
        <f>$C100*AG99</f>
        <v/>
      </c>
      <c r="AH100">
        <f>$C100*AH99</f>
        <v/>
      </c>
      <c r="AI100">
        <f>$C100*AI99</f>
        <v/>
      </c>
      <c r="AJ100">
        <f>$C100*AJ99</f>
        <v/>
      </c>
      <c r="AK100">
        <f>$C100*AK99</f>
        <v/>
      </c>
      <c r="AL100">
        <f>$C100*AL99</f>
        <v/>
      </c>
      <c r="AM100">
        <f>$C100*AM99</f>
        <v/>
      </c>
      <c r="AN100">
        <f>$C100*AN99</f>
        <v/>
      </c>
      <c r="AO100">
        <f>$C100*AO99</f>
        <v/>
      </c>
      <c r="AP100">
        <f>$C100*AP99</f>
        <v/>
      </c>
      <c r="AQ100">
        <f>$C100*AQ99</f>
        <v/>
      </c>
      <c r="AR100">
        <f>$C100*AR99</f>
        <v/>
      </c>
      <c r="AS100">
        <f>$C100*AS99</f>
        <v/>
      </c>
      <c r="AT100">
        <f>$C100*AT99</f>
        <v/>
      </c>
      <c r="AU100">
        <f>$C100*AU99</f>
        <v/>
      </c>
      <c r="AV100">
        <f>$C100*AV99</f>
        <v/>
      </c>
      <c r="AW100">
        <f>$C100*AW99</f>
        <v/>
      </c>
      <c r="AX100">
        <f>$C100*AX99</f>
        <v/>
      </c>
      <c r="AY100">
        <f>$C100*AY99</f>
        <v/>
      </c>
      <c r="AZ100">
        <f>$C100*AZ99</f>
        <v/>
      </c>
      <c r="BA100">
        <f>$C100*BA99</f>
        <v/>
      </c>
      <c r="BB100">
        <f>$C100*BB99</f>
        <v/>
      </c>
      <c r="BC100">
        <f>$C100*BC99</f>
        <v/>
      </c>
      <c r="BD100">
        <f>$C100*BD99</f>
        <v/>
      </c>
      <c r="BE100">
        <f>$C100*BE99</f>
        <v/>
      </c>
      <c r="BF100">
        <f>$C100*BF99</f>
        <v/>
      </c>
      <c r="BG100">
        <f>$C100*BG99</f>
        <v/>
      </c>
      <c r="BH100">
        <f>$C100*BH99</f>
        <v/>
      </c>
      <c r="BI100">
        <f>$C100*BI99</f>
        <v/>
      </c>
      <c r="BJ100">
        <f>$C100*BJ99</f>
        <v/>
      </c>
      <c r="BK100">
        <f>$C100*BK99</f>
        <v/>
      </c>
      <c r="BL100">
        <f>$C100*BL99</f>
        <v/>
      </c>
      <c r="BM100">
        <f>$C100*BM99</f>
        <v/>
      </c>
      <c r="BN100">
        <f>$C100*BN99</f>
        <v/>
      </c>
      <c r="BO100">
        <f>$C100*BO99</f>
        <v/>
      </c>
      <c r="BP100">
        <f>$C100*BP99</f>
        <v/>
      </c>
      <c r="BQ100">
        <f>$C100*BQ99</f>
        <v/>
      </c>
      <c r="BR100">
        <f>$C100*BR99</f>
        <v/>
      </c>
      <c r="BS100">
        <f>$C100*BS99</f>
        <v/>
      </c>
      <c r="BT100">
        <f>$C100*BT99</f>
        <v/>
      </c>
      <c r="BU100">
        <f>$C100*BU99</f>
        <v/>
      </c>
      <c r="BV100">
        <f>$C100*BV99</f>
        <v/>
      </c>
      <c r="BW100">
        <f>$C100*BW99</f>
        <v/>
      </c>
      <c r="BX100">
        <f>$C100*BX99</f>
        <v/>
      </c>
      <c r="BY100">
        <f>$C100*BY99</f>
        <v/>
      </c>
      <c r="BZ100">
        <f>$C100*BZ99</f>
        <v/>
      </c>
      <c r="CA100">
        <f>$C100*CA99</f>
        <v/>
      </c>
      <c r="CB100">
        <f>$C100*CB99</f>
        <v/>
      </c>
      <c r="CC100">
        <f>$C100*CC99</f>
        <v/>
      </c>
      <c r="CD100">
        <f>$C100*CD99</f>
        <v/>
      </c>
      <c r="CE100">
        <f>$C100*CE99</f>
        <v/>
      </c>
      <c r="CF100">
        <f>$C100*CF99</f>
        <v/>
      </c>
      <c r="CG100">
        <f>$C100*CG99</f>
        <v/>
      </c>
      <c r="CH100">
        <f>$C100*CH99</f>
        <v/>
      </c>
      <c r="CI100">
        <f>$C100*CI99</f>
        <v/>
      </c>
      <c r="CJ100">
        <f>$C100*CJ99</f>
        <v/>
      </c>
      <c r="CK100">
        <f>$C100*CK99</f>
        <v/>
      </c>
      <c r="CL100">
        <f>$C100*CL99</f>
        <v/>
      </c>
      <c r="CM100">
        <f>$C100*CM99</f>
        <v/>
      </c>
      <c r="CN100">
        <f>$C100*CN99</f>
        <v/>
      </c>
      <c r="CO100">
        <f>$C100*CO99</f>
        <v/>
      </c>
      <c r="CP100">
        <f>$C100*CP99</f>
        <v/>
      </c>
      <c r="CQ100">
        <f>$C100*CQ99</f>
        <v/>
      </c>
      <c r="CR100">
        <f>$C100*CR99</f>
        <v/>
      </c>
      <c r="CS100">
        <f>$C100*CS99</f>
        <v/>
      </c>
      <c r="CT100">
        <f>$C100*CT99</f>
        <v/>
      </c>
      <c r="CU100">
        <f>$C100*CU99</f>
        <v/>
      </c>
      <c r="CV100">
        <f>$C100*CV99</f>
        <v/>
      </c>
      <c r="CW100">
        <f>$C100*CW99</f>
        <v/>
      </c>
      <c r="CX100">
        <f>$C100*CX99</f>
        <v/>
      </c>
      <c r="CY100">
        <f>$C100*CY99</f>
        <v/>
      </c>
      <c r="CZ100">
        <f>$C100*CZ99</f>
        <v/>
      </c>
      <c r="DA100">
        <f>$C100*DA99</f>
        <v/>
      </c>
      <c r="DB100">
        <f>$C100*DB99</f>
        <v/>
      </c>
      <c r="DC100">
        <f>$C100*DC99</f>
        <v/>
      </c>
    </row>
    <row r="101">
      <c r="B101" t="inlineStr">
        <is>
          <t>TSP-618</t>
        </is>
      </c>
      <c r="C101" t="inlineStr">
        <is>
          <t>No. of batches</t>
        </is>
      </c>
      <c r="D101">
        <f>IFERROR(INDEX(PP_Grid[#Data],$DD101,2),0)</f>
        <v/>
      </c>
      <c r="E101">
        <f>IFERROR(INDEX(PP_Grid[#Data],$DD101,3),0)</f>
        <v/>
      </c>
      <c r="F101">
        <f>IFERROR(INDEX(PP_Grid[#Data],$DD101,4),0)</f>
        <v/>
      </c>
      <c r="G101">
        <f>IFERROR(INDEX(PP_Grid[#Data],$DD101,5),0)</f>
        <v/>
      </c>
      <c r="H101">
        <f>IFERROR(INDEX(PP_Grid[#Data],$DD101,6),0)</f>
        <v/>
      </c>
      <c r="I101">
        <f>IFERROR(INDEX(PP_Grid[#Data],$DD101,7),0)</f>
        <v/>
      </c>
      <c r="J101">
        <f>IFERROR(INDEX(PP_Grid[#Data],$DD101,8),0)</f>
        <v/>
      </c>
      <c r="K101">
        <f>IFERROR(INDEX(PP_Grid[#Data],$DD101,9),0)</f>
        <v/>
      </c>
      <c r="L101">
        <f>IFERROR(INDEX(PP_Grid[#Data],$DD101,10),0)</f>
        <v/>
      </c>
      <c r="M101">
        <f>IFERROR(INDEX(PP_Grid[#Data],$DD101,11),0)</f>
        <v/>
      </c>
      <c r="N101">
        <f>IFERROR(INDEX(PP_Grid[#Data],$DD101,12),0)</f>
        <v/>
      </c>
      <c r="O101">
        <f>IFERROR(INDEX(PP_Grid[#Data],$DD101,13),0)</f>
        <v/>
      </c>
      <c r="P101">
        <f>IFERROR(INDEX(PP_Grid[#Data],$DD101,14),0)</f>
        <v/>
      </c>
      <c r="Q101">
        <f>IFERROR(INDEX(PP_Grid[#Data],$DD101,15),0)</f>
        <v/>
      </c>
      <c r="R101">
        <f>IFERROR(INDEX(PP_Grid[#Data],$DD101,16),0)</f>
        <v/>
      </c>
      <c r="S101">
        <f>IFERROR(INDEX(PP_Grid[#Data],$DD101,17),0)</f>
        <v/>
      </c>
      <c r="T101">
        <f>IFERROR(INDEX(PP_Grid[#Data],$DD101,18),0)</f>
        <v/>
      </c>
      <c r="U101">
        <f>IFERROR(INDEX(PP_Grid[#Data],$DD101,19),0)</f>
        <v/>
      </c>
      <c r="V101">
        <f>IFERROR(INDEX(PP_Grid[#Data],$DD101,20),0)</f>
        <v/>
      </c>
      <c r="W101">
        <f>IFERROR(INDEX(PP_Grid[#Data],$DD101,21),0)</f>
        <v/>
      </c>
      <c r="X101">
        <f>IFERROR(INDEX(PP_Grid[#Data],$DD101,22),0)</f>
        <v/>
      </c>
      <c r="Y101">
        <f>IFERROR(INDEX(PP_Grid[#Data],$DD101,23),0)</f>
        <v/>
      </c>
      <c r="Z101">
        <f>IFERROR(INDEX(PP_Grid[#Data],$DD101,24),0)</f>
        <v/>
      </c>
      <c r="AA101">
        <f>IFERROR(INDEX(PP_Grid[#Data],$DD101,25),0)</f>
        <v/>
      </c>
      <c r="AB101">
        <f>IFERROR(INDEX(PP_Grid[#Data],$DD101,26),0)</f>
        <v/>
      </c>
      <c r="AC101">
        <f>IFERROR(INDEX(PP_Grid[#Data],$DD101,27),0)</f>
        <v/>
      </c>
      <c r="AD101">
        <f>IFERROR(INDEX(PP_Grid[#Data],$DD101,28),0)</f>
        <v/>
      </c>
      <c r="AE101">
        <f>IFERROR(INDEX(PP_Grid[#Data],$DD101,29),0)</f>
        <v/>
      </c>
      <c r="AF101">
        <f>IFERROR(INDEX(PP_Grid[#Data],$DD101,30),0)</f>
        <v/>
      </c>
      <c r="AG101">
        <f>IFERROR(INDEX(PP_Grid[#Data],$DD101,31),0)</f>
        <v/>
      </c>
      <c r="AH101">
        <f>IFERROR(INDEX(PP_Grid[#Data],$DD101,32),0)</f>
        <v/>
      </c>
      <c r="AI101">
        <f>IFERROR(INDEX(PP_Grid[#Data],$DD101,33),0)</f>
        <v/>
      </c>
      <c r="AJ101">
        <f>IFERROR(INDEX(PP_Grid[#Data],$DD101,34),0)</f>
        <v/>
      </c>
      <c r="AK101">
        <f>IFERROR(INDEX(PP_Grid[#Data],$DD101,35),0)</f>
        <v/>
      </c>
      <c r="AL101">
        <f>IFERROR(INDEX(PP_Grid[#Data],$DD101,36),0)</f>
        <v/>
      </c>
      <c r="AM101">
        <f>IFERROR(INDEX(PP_Grid[#Data],$DD101,37),0)</f>
        <v/>
      </c>
      <c r="AN101">
        <f>IFERROR(INDEX(PP_Grid[#Data],$DD101,38),0)</f>
        <v/>
      </c>
      <c r="AO101">
        <f>IFERROR(INDEX(PP_Grid[#Data],$DD101,39),0)</f>
        <v/>
      </c>
      <c r="AP101">
        <f>IFERROR(INDEX(PP_Grid[#Data],$DD101,40),0)</f>
        <v/>
      </c>
      <c r="AQ101">
        <f>IFERROR(INDEX(PP_Grid[#Data],$DD101,41),0)</f>
        <v/>
      </c>
      <c r="AR101">
        <f>IFERROR(INDEX(PP_Grid[#Data],$DD101,42),0)</f>
        <v/>
      </c>
      <c r="AS101">
        <f>IFERROR(INDEX(PP_Grid[#Data],$DD101,43),0)</f>
        <v/>
      </c>
      <c r="AT101">
        <f>IFERROR(INDEX(PP_Grid[#Data],$DD101,44),0)</f>
        <v/>
      </c>
      <c r="AU101">
        <f>IFERROR(INDEX(PP_Grid[#Data],$DD101,45),0)</f>
        <v/>
      </c>
      <c r="AV101">
        <f>IFERROR(INDEX(PP_Grid[#Data],$DD101,46),0)</f>
        <v/>
      </c>
      <c r="AW101">
        <f>IFERROR(INDEX(PP_Grid[#Data],$DD101,47),0)</f>
        <v/>
      </c>
      <c r="AX101">
        <f>IFERROR(INDEX(PP_Grid[#Data],$DD101,48),0)</f>
        <v/>
      </c>
      <c r="AY101">
        <f>IFERROR(INDEX(PP_Grid[#Data],$DD101,49),0)</f>
        <v/>
      </c>
      <c r="AZ101">
        <f>IFERROR(INDEX(PP_Grid[#Data],$DD101,50),0)</f>
        <v/>
      </c>
      <c r="BA101">
        <f>IFERROR(INDEX(PP_Grid[#Data],$DD101,51),0)</f>
        <v/>
      </c>
      <c r="BB101">
        <f>IFERROR(INDEX(PP_Grid[#Data],$DD101,52),0)</f>
        <v/>
      </c>
      <c r="BC101">
        <f>IFERROR(INDEX(PP_Grid[#Data],$DD101,53),0)</f>
        <v/>
      </c>
      <c r="BD101">
        <f>IFERROR(INDEX(PP_Grid[#Data],$DD101,54),0)</f>
        <v/>
      </c>
      <c r="BE101">
        <f>IFERROR(INDEX(PP_Grid[#Data],$DD101,55),0)</f>
        <v/>
      </c>
      <c r="BF101">
        <f>IFERROR(INDEX(PP_Grid[#Data],$DD101,56),0)</f>
        <v/>
      </c>
      <c r="BG101">
        <f>IFERROR(INDEX(PP_Grid[#Data],$DD101,57),0)</f>
        <v/>
      </c>
      <c r="BH101">
        <f>IFERROR(INDEX(PP_Grid[#Data],$DD101,58),0)</f>
        <v/>
      </c>
      <c r="BI101">
        <f>IFERROR(INDEX(PP_Grid[#Data],$DD101,59),0)</f>
        <v/>
      </c>
      <c r="BJ101">
        <f>IFERROR(INDEX(PP_Grid[#Data],$DD101,60),0)</f>
        <v/>
      </c>
      <c r="BK101">
        <f>IFERROR(INDEX(PP_Grid[#Data],$DD101,61),0)</f>
        <v/>
      </c>
      <c r="BL101">
        <f>IFERROR(INDEX(PP_Grid[#Data],$DD101,62),0)</f>
        <v/>
      </c>
      <c r="BM101">
        <f>IFERROR(INDEX(PP_Grid[#Data],$DD101,63),0)</f>
        <v/>
      </c>
      <c r="BN101">
        <f>IFERROR(INDEX(PP_Grid[#Data],$DD101,64),0)</f>
        <v/>
      </c>
      <c r="BO101">
        <f>IFERROR(INDEX(PP_Grid[#Data],$DD101,65),0)</f>
        <v/>
      </c>
      <c r="BP101">
        <f>IFERROR(INDEX(PP_Grid[#Data],$DD101,66),0)</f>
        <v/>
      </c>
      <c r="BQ101">
        <f>IFERROR(INDEX(PP_Grid[#Data],$DD101,67),0)</f>
        <v/>
      </c>
      <c r="BR101">
        <f>IFERROR(INDEX(PP_Grid[#Data],$DD101,68),0)</f>
        <v/>
      </c>
      <c r="BS101">
        <f>IFERROR(INDEX(PP_Grid[#Data],$DD101,69),0)</f>
        <v/>
      </c>
      <c r="BT101">
        <f>IFERROR(INDEX(PP_Grid[#Data],$DD101,70),0)</f>
        <v/>
      </c>
      <c r="BU101">
        <f>IFERROR(INDEX(PP_Grid[#Data],$DD101,71),0)</f>
        <v/>
      </c>
      <c r="BV101">
        <f>IFERROR(INDEX(PP_Grid[#Data],$DD101,72),0)</f>
        <v/>
      </c>
      <c r="BW101">
        <f>IFERROR(INDEX(PP_Grid[#Data],$DD101,73),0)</f>
        <v/>
      </c>
      <c r="BX101">
        <f>IFERROR(INDEX(PP_Grid[#Data],$DD101,74),0)</f>
        <v/>
      </c>
      <c r="BY101">
        <f>IFERROR(INDEX(PP_Grid[#Data],$DD101,75),0)</f>
        <v/>
      </c>
      <c r="BZ101">
        <f>IFERROR(INDEX(PP_Grid[#Data],$DD101,76),0)</f>
        <v/>
      </c>
      <c r="CA101">
        <f>IFERROR(INDEX(PP_Grid[#Data],$DD101,77),0)</f>
        <v/>
      </c>
      <c r="CB101">
        <f>IFERROR(INDEX(PP_Grid[#Data],$DD101,78),0)</f>
        <v/>
      </c>
      <c r="CC101">
        <f>IFERROR(INDEX(PP_Grid[#Data],$DD101,79),0)</f>
        <v/>
      </c>
      <c r="CD101">
        <f>IFERROR(INDEX(PP_Grid[#Data],$DD101,80),0)</f>
        <v/>
      </c>
      <c r="CE101">
        <f>IFERROR(INDEX(PP_Grid[#Data],$DD101,81),0)</f>
        <v/>
      </c>
      <c r="CF101">
        <f>IFERROR(INDEX(PP_Grid[#Data],$DD101,82),0)</f>
        <v/>
      </c>
      <c r="CG101">
        <f>IFERROR(INDEX(PP_Grid[#Data],$DD101,83),0)</f>
        <v/>
      </c>
      <c r="CH101">
        <f>IFERROR(INDEX(PP_Grid[#Data],$DD101,84),0)</f>
        <v/>
      </c>
      <c r="CI101">
        <f>IFERROR(INDEX(PP_Grid[#Data],$DD101,85),0)</f>
        <v/>
      </c>
      <c r="CJ101">
        <f>IFERROR(INDEX(PP_Grid[#Data],$DD101,86),0)</f>
        <v/>
      </c>
      <c r="CK101">
        <f>IFERROR(INDEX(PP_Grid[#Data],$DD101,87),0)</f>
        <v/>
      </c>
      <c r="CL101">
        <f>IFERROR(INDEX(PP_Grid[#Data],$DD101,88),0)</f>
        <v/>
      </c>
      <c r="CM101">
        <f>IFERROR(INDEX(PP_Grid[#Data],$DD101,89),0)</f>
        <v/>
      </c>
      <c r="CN101">
        <f>IFERROR(INDEX(PP_Grid[#Data],$DD101,90),0)</f>
        <v/>
      </c>
      <c r="CO101">
        <f>IFERROR(INDEX(PP_Grid[#Data],$DD101,91),0)</f>
        <v/>
      </c>
      <c r="CP101">
        <f>IFERROR(INDEX(PP_Grid[#Data],$DD101,92),0)</f>
        <v/>
      </c>
      <c r="CQ101">
        <f>IFERROR(INDEX(PP_Grid[#Data],$DD101,93),0)</f>
        <v/>
      </c>
      <c r="CR101">
        <f>IFERROR(INDEX(PP_Grid[#Data],$DD101,94),0)</f>
        <v/>
      </c>
      <c r="CS101">
        <f>IFERROR(INDEX(PP_Grid[#Data],$DD101,95),0)</f>
        <v/>
      </c>
      <c r="CT101">
        <f>IFERROR(INDEX(PP_Grid[#Data],$DD101,96),0)</f>
        <v/>
      </c>
      <c r="CU101">
        <f>IFERROR(INDEX(PP_Grid[#Data],$DD101,97),0)</f>
        <v/>
      </c>
      <c r="CV101">
        <f>IFERROR(INDEX(PP_Grid[#Data],$DD101,98),0)</f>
        <v/>
      </c>
      <c r="CW101">
        <f>IFERROR(INDEX(PP_Grid[#Data],$DD101,99),0)</f>
        <v/>
      </c>
      <c r="CX101">
        <f>IFERROR(INDEX(PP_Grid[#Data],$DD101,100),0)</f>
        <v/>
      </c>
      <c r="CY101">
        <f>IFERROR(INDEX(PP_Grid[#Data],$DD101,101),0)</f>
        <v/>
      </c>
      <c r="CZ101">
        <f>IFERROR(INDEX(PP_Grid[#Data],$DD101,102),0)</f>
        <v/>
      </c>
      <c r="DA101">
        <f>IFERROR(INDEX(PP_Grid[#Data],$DD101,103),0)</f>
        <v/>
      </c>
      <c r="DB101">
        <f>IFERROR(INDEX(PP_Grid[#Data],$DD101,104),0)</f>
        <v/>
      </c>
      <c r="DC101">
        <f>IFERROR(INDEX(PP_Grid[#Data],$DD101,105),0)</f>
        <v/>
      </c>
      <c r="DD101" s="7">
        <f>IFERROR(MATCH($B101,PP_Grid[Intermediate],0),99999)</f>
        <v/>
      </c>
    </row>
    <row r="102">
      <c r="B102" t="inlineStr">
        <is>
          <t>使用量(kg)</t>
        </is>
      </c>
      <c r="C102">
        <f>SUMIFS(M_BOM[RM_Qty_Per_Batch],M_BOM[Intermediate],$B101,M_BOM[Part Name],$A44)</f>
        <v/>
      </c>
      <c r="D102">
        <f>$C102*D101</f>
        <v/>
      </c>
      <c r="E102">
        <f>$C102*E101</f>
        <v/>
      </c>
      <c r="F102">
        <f>$C102*F101</f>
        <v/>
      </c>
      <c r="G102">
        <f>$C102*G101</f>
        <v/>
      </c>
      <c r="H102">
        <f>$C102*H101</f>
        <v/>
      </c>
      <c r="I102">
        <f>$C102*I101</f>
        <v/>
      </c>
      <c r="J102">
        <f>$C102*J101</f>
        <v/>
      </c>
      <c r="K102">
        <f>$C102*K101</f>
        <v/>
      </c>
      <c r="L102">
        <f>$C102*L101</f>
        <v/>
      </c>
      <c r="M102">
        <f>$C102*M101</f>
        <v/>
      </c>
      <c r="N102">
        <f>$C102*N101</f>
        <v/>
      </c>
      <c r="O102">
        <f>$C102*O101</f>
        <v/>
      </c>
      <c r="P102">
        <f>$C102*P101</f>
        <v/>
      </c>
      <c r="Q102">
        <f>$C102*Q101</f>
        <v/>
      </c>
      <c r="R102">
        <f>$C102*R101</f>
        <v/>
      </c>
      <c r="S102">
        <f>$C102*S101</f>
        <v/>
      </c>
      <c r="T102">
        <f>$C102*T101</f>
        <v/>
      </c>
      <c r="U102">
        <f>$C102*U101</f>
        <v/>
      </c>
      <c r="V102">
        <f>$C102*V101</f>
        <v/>
      </c>
      <c r="W102">
        <f>$C102*W101</f>
        <v/>
      </c>
      <c r="X102">
        <f>$C102*X101</f>
        <v/>
      </c>
      <c r="Y102">
        <f>$C102*Y101</f>
        <v/>
      </c>
      <c r="Z102">
        <f>$C102*Z101</f>
        <v/>
      </c>
      <c r="AA102">
        <f>$C102*AA101</f>
        <v/>
      </c>
      <c r="AB102">
        <f>$C102*AB101</f>
        <v/>
      </c>
      <c r="AC102">
        <f>$C102*AC101</f>
        <v/>
      </c>
      <c r="AD102">
        <f>$C102*AD101</f>
        <v/>
      </c>
      <c r="AE102">
        <f>$C102*AE101</f>
        <v/>
      </c>
      <c r="AF102">
        <f>$C102*AF101</f>
        <v/>
      </c>
      <c r="AG102">
        <f>$C102*AG101</f>
        <v/>
      </c>
      <c r="AH102">
        <f>$C102*AH101</f>
        <v/>
      </c>
      <c r="AI102">
        <f>$C102*AI101</f>
        <v/>
      </c>
      <c r="AJ102">
        <f>$C102*AJ101</f>
        <v/>
      </c>
      <c r="AK102">
        <f>$C102*AK101</f>
        <v/>
      </c>
      <c r="AL102">
        <f>$C102*AL101</f>
        <v/>
      </c>
      <c r="AM102">
        <f>$C102*AM101</f>
        <v/>
      </c>
      <c r="AN102">
        <f>$C102*AN101</f>
        <v/>
      </c>
      <c r="AO102">
        <f>$C102*AO101</f>
        <v/>
      </c>
      <c r="AP102">
        <f>$C102*AP101</f>
        <v/>
      </c>
      <c r="AQ102">
        <f>$C102*AQ101</f>
        <v/>
      </c>
      <c r="AR102">
        <f>$C102*AR101</f>
        <v/>
      </c>
      <c r="AS102">
        <f>$C102*AS101</f>
        <v/>
      </c>
      <c r="AT102">
        <f>$C102*AT101</f>
        <v/>
      </c>
      <c r="AU102">
        <f>$C102*AU101</f>
        <v/>
      </c>
      <c r="AV102">
        <f>$C102*AV101</f>
        <v/>
      </c>
      <c r="AW102">
        <f>$C102*AW101</f>
        <v/>
      </c>
      <c r="AX102">
        <f>$C102*AX101</f>
        <v/>
      </c>
      <c r="AY102">
        <f>$C102*AY101</f>
        <v/>
      </c>
      <c r="AZ102">
        <f>$C102*AZ101</f>
        <v/>
      </c>
      <c r="BA102">
        <f>$C102*BA101</f>
        <v/>
      </c>
      <c r="BB102">
        <f>$C102*BB101</f>
        <v/>
      </c>
      <c r="BC102">
        <f>$C102*BC101</f>
        <v/>
      </c>
      <c r="BD102">
        <f>$C102*BD101</f>
        <v/>
      </c>
      <c r="BE102">
        <f>$C102*BE101</f>
        <v/>
      </c>
      <c r="BF102">
        <f>$C102*BF101</f>
        <v/>
      </c>
      <c r="BG102">
        <f>$C102*BG101</f>
        <v/>
      </c>
      <c r="BH102">
        <f>$C102*BH101</f>
        <v/>
      </c>
      <c r="BI102">
        <f>$C102*BI101</f>
        <v/>
      </c>
      <c r="BJ102">
        <f>$C102*BJ101</f>
        <v/>
      </c>
      <c r="BK102">
        <f>$C102*BK101</f>
        <v/>
      </c>
      <c r="BL102">
        <f>$C102*BL101</f>
        <v/>
      </c>
      <c r="BM102">
        <f>$C102*BM101</f>
        <v/>
      </c>
      <c r="BN102">
        <f>$C102*BN101</f>
        <v/>
      </c>
      <c r="BO102">
        <f>$C102*BO101</f>
        <v/>
      </c>
      <c r="BP102">
        <f>$C102*BP101</f>
        <v/>
      </c>
      <c r="BQ102">
        <f>$C102*BQ101</f>
        <v/>
      </c>
      <c r="BR102">
        <f>$C102*BR101</f>
        <v/>
      </c>
      <c r="BS102">
        <f>$C102*BS101</f>
        <v/>
      </c>
      <c r="BT102">
        <f>$C102*BT101</f>
        <v/>
      </c>
      <c r="BU102">
        <f>$C102*BU101</f>
        <v/>
      </c>
      <c r="BV102">
        <f>$C102*BV101</f>
        <v/>
      </c>
      <c r="BW102">
        <f>$C102*BW101</f>
        <v/>
      </c>
      <c r="BX102">
        <f>$C102*BX101</f>
        <v/>
      </c>
      <c r="BY102">
        <f>$C102*BY101</f>
        <v/>
      </c>
      <c r="BZ102">
        <f>$C102*BZ101</f>
        <v/>
      </c>
      <c r="CA102">
        <f>$C102*CA101</f>
        <v/>
      </c>
      <c r="CB102">
        <f>$C102*CB101</f>
        <v/>
      </c>
      <c r="CC102">
        <f>$C102*CC101</f>
        <v/>
      </c>
      <c r="CD102">
        <f>$C102*CD101</f>
        <v/>
      </c>
      <c r="CE102">
        <f>$C102*CE101</f>
        <v/>
      </c>
      <c r="CF102">
        <f>$C102*CF101</f>
        <v/>
      </c>
      <c r="CG102">
        <f>$C102*CG101</f>
        <v/>
      </c>
      <c r="CH102">
        <f>$C102*CH101</f>
        <v/>
      </c>
      <c r="CI102">
        <f>$C102*CI101</f>
        <v/>
      </c>
      <c r="CJ102">
        <f>$C102*CJ101</f>
        <v/>
      </c>
      <c r="CK102">
        <f>$C102*CK101</f>
        <v/>
      </c>
      <c r="CL102">
        <f>$C102*CL101</f>
        <v/>
      </c>
      <c r="CM102">
        <f>$C102*CM101</f>
        <v/>
      </c>
      <c r="CN102">
        <f>$C102*CN101</f>
        <v/>
      </c>
      <c r="CO102">
        <f>$C102*CO101</f>
        <v/>
      </c>
      <c r="CP102">
        <f>$C102*CP101</f>
        <v/>
      </c>
      <c r="CQ102">
        <f>$C102*CQ101</f>
        <v/>
      </c>
      <c r="CR102">
        <f>$C102*CR101</f>
        <v/>
      </c>
      <c r="CS102">
        <f>$C102*CS101</f>
        <v/>
      </c>
      <c r="CT102">
        <f>$C102*CT101</f>
        <v/>
      </c>
      <c r="CU102">
        <f>$C102*CU101</f>
        <v/>
      </c>
      <c r="CV102">
        <f>$C102*CV101</f>
        <v/>
      </c>
      <c r="CW102">
        <f>$C102*CW101</f>
        <v/>
      </c>
      <c r="CX102">
        <f>$C102*CX101</f>
        <v/>
      </c>
      <c r="CY102">
        <f>$C102*CY101</f>
        <v/>
      </c>
      <c r="CZ102">
        <f>$C102*CZ101</f>
        <v/>
      </c>
      <c r="DA102">
        <f>$C102*DA101</f>
        <v/>
      </c>
      <c r="DB102">
        <f>$C102*DB101</f>
        <v/>
      </c>
      <c r="DC102">
        <f>$C102*DC101</f>
        <v/>
      </c>
    </row>
    <row r="103">
      <c r="B103" t="inlineStr">
        <is>
          <t>TSP-620</t>
        </is>
      </c>
      <c r="C103" t="inlineStr">
        <is>
          <t>No. of batches</t>
        </is>
      </c>
      <c r="D103">
        <f>IFERROR(INDEX(PP_Grid[#Data],$DD103,2),0)</f>
        <v/>
      </c>
      <c r="E103">
        <f>IFERROR(INDEX(PP_Grid[#Data],$DD103,3),0)</f>
        <v/>
      </c>
      <c r="F103">
        <f>IFERROR(INDEX(PP_Grid[#Data],$DD103,4),0)</f>
        <v/>
      </c>
      <c r="G103">
        <f>IFERROR(INDEX(PP_Grid[#Data],$DD103,5),0)</f>
        <v/>
      </c>
      <c r="H103">
        <f>IFERROR(INDEX(PP_Grid[#Data],$DD103,6),0)</f>
        <v/>
      </c>
      <c r="I103">
        <f>IFERROR(INDEX(PP_Grid[#Data],$DD103,7),0)</f>
        <v/>
      </c>
      <c r="J103">
        <f>IFERROR(INDEX(PP_Grid[#Data],$DD103,8),0)</f>
        <v/>
      </c>
      <c r="K103">
        <f>IFERROR(INDEX(PP_Grid[#Data],$DD103,9),0)</f>
        <v/>
      </c>
      <c r="L103">
        <f>IFERROR(INDEX(PP_Grid[#Data],$DD103,10),0)</f>
        <v/>
      </c>
      <c r="M103">
        <f>IFERROR(INDEX(PP_Grid[#Data],$DD103,11),0)</f>
        <v/>
      </c>
      <c r="N103">
        <f>IFERROR(INDEX(PP_Grid[#Data],$DD103,12),0)</f>
        <v/>
      </c>
      <c r="O103">
        <f>IFERROR(INDEX(PP_Grid[#Data],$DD103,13),0)</f>
        <v/>
      </c>
      <c r="P103">
        <f>IFERROR(INDEX(PP_Grid[#Data],$DD103,14),0)</f>
        <v/>
      </c>
      <c r="Q103">
        <f>IFERROR(INDEX(PP_Grid[#Data],$DD103,15),0)</f>
        <v/>
      </c>
      <c r="R103">
        <f>IFERROR(INDEX(PP_Grid[#Data],$DD103,16),0)</f>
        <v/>
      </c>
      <c r="S103">
        <f>IFERROR(INDEX(PP_Grid[#Data],$DD103,17),0)</f>
        <v/>
      </c>
      <c r="T103">
        <f>IFERROR(INDEX(PP_Grid[#Data],$DD103,18),0)</f>
        <v/>
      </c>
      <c r="U103">
        <f>IFERROR(INDEX(PP_Grid[#Data],$DD103,19),0)</f>
        <v/>
      </c>
      <c r="V103">
        <f>IFERROR(INDEX(PP_Grid[#Data],$DD103,20),0)</f>
        <v/>
      </c>
      <c r="W103">
        <f>IFERROR(INDEX(PP_Grid[#Data],$DD103,21),0)</f>
        <v/>
      </c>
      <c r="X103">
        <f>IFERROR(INDEX(PP_Grid[#Data],$DD103,22),0)</f>
        <v/>
      </c>
      <c r="Y103">
        <f>IFERROR(INDEX(PP_Grid[#Data],$DD103,23),0)</f>
        <v/>
      </c>
      <c r="Z103">
        <f>IFERROR(INDEX(PP_Grid[#Data],$DD103,24),0)</f>
        <v/>
      </c>
      <c r="AA103">
        <f>IFERROR(INDEX(PP_Grid[#Data],$DD103,25),0)</f>
        <v/>
      </c>
      <c r="AB103">
        <f>IFERROR(INDEX(PP_Grid[#Data],$DD103,26),0)</f>
        <v/>
      </c>
      <c r="AC103">
        <f>IFERROR(INDEX(PP_Grid[#Data],$DD103,27),0)</f>
        <v/>
      </c>
      <c r="AD103">
        <f>IFERROR(INDEX(PP_Grid[#Data],$DD103,28),0)</f>
        <v/>
      </c>
      <c r="AE103">
        <f>IFERROR(INDEX(PP_Grid[#Data],$DD103,29),0)</f>
        <v/>
      </c>
      <c r="AF103">
        <f>IFERROR(INDEX(PP_Grid[#Data],$DD103,30),0)</f>
        <v/>
      </c>
      <c r="AG103">
        <f>IFERROR(INDEX(PP_Grid[#Data],$DD103,31),0)</f>
        <v/>
      </c>
      <c r="AH103">
        <f>IFERROR(INDEX(PP_Grid[#Data],$DD103,32),0)</f>
        <v/>
      </c>
      <c r="AI103">
        <f>IFERROR(INDEX(PP_Grid[#Data],$DD103,33),0)</f>
        <v/>
      </c>
      <c r="AJ103">
        <f>IFERROR(INDEX(PP_Grid[#Data],$DD103,34),0)</f>
        <v/>
      </c>
      <c r="AK103">
        <f>IFERROR(INDEX(PP_Grid[#Data],$DD103,35),0)</f>
        <v/>
      </c>
      <c r="AL103">
        <f>IFERROR(INDEX(PP_Grid[#Data],$DD103,36),0)</f>
        <v/>
      </c>
      <c r="AM103">
        <f>IFERROR(INDEX(PP_Grid[#Data],$DD103,37),0)</f>
        <v/>
      </c>
      <c r="AN103">
        <f>IFERROR(INDEX(PP_Grid[#Data],$DD103,38),0)</f>
        <v/>
      </c>
      <c r="AO103">
        <f>IFERROR(INDEX(PP_Grid[#Data],$DD103,39),0)</f>
        <v/>
      </c>
      <c r="AP103">
        <f>IFERROR(INDEX(PP_Grid[#Data],$DD103,40),0)</f>
        <v/>
      </c>
      <c r="AQ103">
        <f>IFERROR(INDEX(PP_Grid[#Data],$DD103,41),0)</f>
        <v/>
      </c>
      <c r="AR103">
        <f>IFERROR(INDEX(PP_Grid[#Data],$DD103,42),0)</f>
        <v/>
      </c>
      <c r="AS103">
        <f>IFERROR(INDEX(PP_Grid[#Data],$DD103,43),0)</f>
        <v/>
      </c>
      <c r="AT103">
        <f>IFERROR(INDEX(PP_Grid[#Data],$DD103,44),0)</f>
        <v/>
      </c>
      <c r="AU103">
        <f>IFERROR(INDEX(PP_Grid[#Data],$DD103,45),0)</f>
        <v/>
      </c>
      <c r="AV103">
        <f>IFERROR(INDEX(PP_Grid[#Data],$DD103,46),0)</f>
        <v/>
      </c>
      <c r="AW103">
        <f>IFERROR(INDEX(PP_Grid[#Data],$DD103,47),0)</f>
        <v/>
      </c>
      <c r="AX103">
        <f>IFERROR(INDEX(PP_Grid[#Data],$DD103,48),0)</f>
        <v/>
      </c>
      <c r="AY103">
        <f>IFERROR(INDEX(PP_Grid[#Data],$DD103,49),0)</f>
        <v/>
      </c>
      <c r="AZ103">
        <f>IFERROR(INDEX(PP_Grid[#Data],$DD103,50),0)</f>
        <v/>
      </c>
      <c r="BA103">
        <f>IFERROR(INDEX(PP_Grid[#Data],$DD103,51),0)</f>
        <v/>
      </c>
      <c r="BB103">
        <f>IFERROR(INDEX(PP_Grid[#Data],$DD103,52),0)</f>
        <v/>
      </c>
      <c r="BC103">
        <f>IFERROR(INDEX(PP_Grid[#Data],$DD103,53),0)</f>
        <v/>
      </c>
      <c r="BD103">
        <f>IFERROR(INDEX(PP_Grid[#Data],$DD103,54),0)</f>
        <v/>
      </c>
      <c r="BE103">
        <f>IFERROR(INDEX(PP_Grid[#Data],$DD103,55),0)</f>
        <v/>
      </c>
      <c r="BF103">
        <f>IFERROR(INDEX(PP_Grid[#Data],$DD103,56),0)</f>
        <v/>
      </c>
      <c r="BG103">
        <f>IFERROR(INDEX(PP_Grid[#Data],$DD103,57),0)</f>
        <v/>
      </c>
      <c r="BH103">
        <f>IFERROR(INDEX(PP_Grid[#Data],$DD103,58),0)</f>
        <v/>
      </c>
      <c r="BI103">
        <f>IFERROR(INDEX(PP_Grid[#Data],$DD103,59),0)</f>
        <v/>
      </c>
      <c r="BJ103">
        <f>IFERROR(INDEX(PP_Grid[#Data],$DD103,60),0)</f>
        <v/>
      </c>
      <c r="BK103">
        <f>IFERROR(INDEX(PP_Grid[#Data],$DD103,61),0)</f>
        <v/>
      </c>
      <c r="BL103">
        <f>IFERROR(INDEX(PP_Grid[#Data],$DD103,62),0)</f>
        <v/>
      </c>
      <c r="BM103">
        <f>IFERROR(INDEX(PP_Grid[#Data],$DD103,63),0)</f>
        <v/>
      </c>
      <c r="BN103">
        <f>IFERROR(INDEX(PP_Grid[#Data],$DD103,64),0)</f>
        <v/>
      </c>
      <c r="BO103">
        <f>IFERROR(INDEX(PP_Grid[#Data],$DD103,65),0)</f>
        <v/>
      </c>
      <c r="BP103">
        <f>IFERROR(INDEX(PP_Grid[#Data],$DD103,66),0)</f>
        <v/>
      </c>
      <c r="BQ103">
        <f>IFERROR(INDEX(PP_Grid[#Data],$DD103,67),0)</f>
        <v/>
      </c>
      <c r="BR103">
        <f>IFERROR(INDEX(PP_Grid[#Data],$DD103,68),0)</f>
        <v/>
      </c>
      <c r="BS103">
        <f>IFERROR(INDEX(PP_Grid[#Data],$DD103,69),0)</f>
        <v/>
      </c>
      <c r="BT103">
        <f>IFERROR(INDEX(PP_Grid[#Data],$DD103,70),0)</f>
        <v/>
      </c>
      <c r="BU103">
        <f>IFERROR(INDEX(PP_Grid[#Data],$DD103,71),0)</f>
        <v/>
      </c>
      <c r="BV103">
        <f>IFERROR(INDEX(PP_Grid[#Data],$DD103,72),0)</f>
        <v/>
      </c>
      <c r="BW103">
        <f>IFERROR(INDEX(PP_Grid[#Data],$DD103,73),0)</f>
        <v/>
      </c>
      <c r="BX103">
        <f>IFERROR(INDEX(PP_Grid[#Data],$DD103,74),0)</f>
        <v/>
      </c>
      <c r="BY103">
        <f>IFERROR(INDEX(PP_Grid[#Data],$DD103,75),0)</f>
        <v/>
      </c>
      <c r="BZ103">
        <f>IFERROR(INDEX(PP_Grid[#Data],$DD103,76),0)</f>
        <v/>
      </c>
      <c r="CA103">
        <f>IFERROR(INDEX(PP_Grid[#Data],$DD103,77),0)</f>
        <v/>
      </c>
      <c r="CB103">
        <f>IFERROR(INDEX(PP_Grid[#Data],$DD103,78),0)</f>
        <v/>
      </c>
      <c r="CC103">
        <f>IFERROR(INDEX(PP_Grid[#Data],$DD103,79),0)</f>
        <v/>
      </c>
      <c r="CD103">
        <f>IFERROR(INDEX(PP_Grid[#Data],$DD103,80),0)</f>
        <v/>
      </c>
      <c r="CE103">
        <f>IFERROR(INDEX(PP_Grid[#Data],$DD103,81),0)</f>
        <v/>
      </c>
      <c r="CF103">
        <f>IFERROR(INDEX(PP_Grid[#Data],$DD103,82),0)</f>
        <v/>
      </c>
      <c r="CG103">
        <f>IFERROR(INDEX(PP_Grid[#Data],$DD103,83),0)</f>
        <v/>
      </c>
      <c r="CH103">
        <f>IFERROR(INDEX(PP_Grid[#Data],$DD103,84),0)</f>
        <v/>
      </c>
      <c r="CI103">
        <f>IFERROR(INDEX(PP_Grid[#Data],$DD103,85),0)</f>
        <v/>
      </c>
      <c r="CJ103">
        <f>IFERROR(INDEX(PP_Grid[#Data],$DD103,86),0)</f>
        <v/>
      </c>
      <c r="CK103">
        <f>IFERROR(INDEX(PP_Grid[#Data],$DD103,87),0)</f>
        <v/>
      </c>
      <c r="CL103">
        <f>IFERROR(INDEX(PP_Grid[#Data],$DD103,88),0)</f>
        <v/>
      </c>
      <c r="CM103">
        <f>IFERROR(INDEX(PP_Grid[#Data],$DD103,89),0)</f>
        <v/>
      </c>
      <c r="CN103">
        <f>IFERROR(INDEX(PP_Grid[#Data],$DD103,90),0)</f>
        <v/>
      </c>
      <c r="CO103">
        <f>IFERROR(INDEX(PP_Grid[#Data],$DD103,91),0)</f>
        <v/>
      </c>
      <c r="CP103">
        <f>IFERROR(INDEX(PP_Grid[#Data],$DD103,92),0)</f>
        <v/>
      </c>
      <c r="CQ103">
        <f>IFERROR(INDEX(PP_Grid[#Data],$DD103,93),0)</f>
        <v/>
      </c>
      <c r="CR103">
        <f>IFERROR(INDEX(PP_Grid[#Data],$DD103,94),0)</f>
        <v/>
      </c>
      <c r="CS103">
        <f>IFERROR(INDEX(PP_Grid[#Data],$DD103,95),0)</f>
        <v/>
      </c>
      <c r="CT103">
        <f>IFERROR(INDEX(PP_Grid[#Data],$DD103,96),0)</f>
        <v/>
      </c>
      <c r="CU103">
        <f>IFERROR(INDEX(PP_Grid[#Data],$DD103,97),0)</f>
        <v/>
      </c>
      <c r="CV103">
        <f>IFERROR(INDEX(PP_Grid[#Data],$DD103,98),0)</f>
        <v/>
      </c>
      <c r="CW103">
        <f>IFERROR(INDEX(PP_Grid[#Data],$DD103,99),0)</f>
        <v/>
      </c>
      <c r="CX103">
        <f>IFERROR(INDEX(PP_Grid[#Data],$DD103,100),0)</f>
        <v/>
      </c>
      <c r="CY103">
        <f>IFERROR(INDEX(PP_Grid[#Data],$DD103,101),0)</f>
        <v/>
      </c>
      <c r="CZ103">
        <f>IFERROR(INDEX(PP_Grid[#Data],$DD103,102),0)</f>
        <v/>
      </c>
      <c r="DA103">
        <f>IFERROR(INDEX(PP_Grid[#Data],$DD103,103),0)</f>
        <v/>
      </c>
      <c r="DB103">
        <f>IFERROR(INDEX(PP_Grid[#Data],$DD103,104),0)</f>
        <v/>
      </c>
      <c r="DC103">
        <f>IFERROR(INDEX(PP_Grid[#Data],$DD103,105),0)</f>
        <v/>
      </c>
      <c r="DD103" s="7">
        <f>IFERROR(MATCH($B103,PP_Grid[Intermediate],0),99999)</f>
        <v/>
      </c>
    </row>
    <row r="104">
      <c r="B104" t="inlineStr">
        <is>
          <t>使用量(kg)</t>
        </is>
      </c>
      <c r="C104">
        <f>SUMIFS(M_BOM[RM_Qty_Per_Batch],M_BOM[Intermediate],$B103,M_BOM[Part Name],$A44)</f>
        <v/>
      </c>
      <c r="D104">
        <f>$C104*D103</f>
        <v/>
      </c>
      <c r="E104">
        <f>$C104*E103</f>
        <v/>
      </c>
      <c r="F104">
        <f>$C104*F103</f>
        <v/>
      </c>
      <c r="G104">
        <f>$C104*G103</f>
        <v/>
      </c>
      <c r="H104">
        <f>$C104*H103</f>
        <v/>
      </c>
      <c r="I104">
        <f>$C104*I103</f>
        <v/>
      </c>
      <c r="J104">
        <f>$C104*J103</f>
        <v/>
      </c>
      <c r="K104">
        <f>$C104*K103</f>
        <v/>
      </c>
      <c r="L104">
        <f>$C104*L103</f>
        <v/>
      </c>
      <c r="M104">
        <f>$C104*M103</f>
        <v/>
      </c>
      <c r="N104">
        <f>$C104*N103</f>
        <v/>
      </c>
      <c r="O104">
        <f>$C104*O103</f>
        <v/>
      </c>
      <c r="P104">
        <f>$C104*P103</f>
        <v/>
      </c>
      <c r="Q104">
        <f>$C104*Q103</f>
        <v/>
      </c>
      <c r="R104">
        <f>$C104*R103</f>
        <v/>
      </c>
      <c r="S104">
        <f>$C104*S103</f>
        <v/>
      </c>
      <c r="T104">
        <f>$C104*T103</f>
        <v/>
      </c>
      <c r="U104">
        <f>$C104*U103</f>
        <v/>
      </c>
      <c r="V104">
        <f>$C104*V103</f>
        <v/>
      </c>
      <c r="W104">
        <f>$C104*W103</f>
        <v/>
      </c>
      <c r="X104">
        <f>$C104*X103</f>
        <v/>
      </c>
      <c r="Y104">
        <f>$C104*Y103</f>
        <v/>
      </c>
      <c r="Z104">
        <f>$C104*Z103</f>
        <v/>
      </c>
      <c r="AA104">
        <f>$C104*AA103</f>
        <v/>
      </c>
      <c r="AB104">
        <f>$C104*AB103</f>
        <v/>
      </c>
      <c r="AC104">
        <f>$C104*AC103</f>
        <v/>
      </c>
      <c r="AD104">
        <f>$C104*AD103</f>
        <v/>
      </c>
      <c r="AE104">
        <f>$C104*AE103</f>
        <v/>
      </c>
      <c r="AF104">
        <f>$C104*AF103</f>
        <v/>
      </c>
      <c r="AG104">
        <f>$C104*AG103</f>
        <v/>
      </c>
      <c r="AH104">
        <f>$C104*AH103</f>
        <v/>
      </c>
      <c r="AI104">
        <f>$C104*AI103</f>
        <v/>
      </c>
      <c r="AJ104">
        <f>$C104*AJ103</f>
        <v/>
      </c>
      <c r="AK104">
        <f>$C104*AK103</f>
        <v/>
      </c>
      <c r="AL104">
        <f>$C104*AL103</f>
        <v/>
      </c>
      <c r="AM104">
        <f>$C104*AM103</f>
        <v/>
      </c>
      <c r="AN104">
        <f>$C104*AN103</f>
        <v/>
      </c>
      <c r="AO104">
        <f>$C104*AO103</f>
        <v/>
      </c>
      <c r="AP104">
        <f>$C104*AP103</f>
        <v/>
      </c>
      <c r="AQ104">
        <f>$C104*AQ103</f>
        <v/>
      </c>
      <c r="AR104">
        <f>$C104*AR103</f>
        <v/>
      </c>
      <c r="AS104">
        <f>$C104*AS103</f>
        <v/>
      </c>
      <c r="AT104">
        <f>$C104*AT103</f>
        <v/>
      </c>
      <c r="AU104">
        <f>$C104*AU103</f>
        <v/>
      </c>
      <c r="AV104">
        <f>$C104*AV103</f>
        <v/>
      </c>
      <c r="AW104">
        <f>$C104*AW103</f>
        <v/>
      </c>
      <c r="AX104">
        <f>$C104*AX103</f>
        <v/>
      </c>
      <c r="AY104">
        <f>$C104*AY103</f>
        <v/>
      </c>
      <c r="AZ104">
        <f>$C104*AZ103</f>
        <v/>
      </c>
      <c r="BA104">
        <f>$C104*BA103</f>
        <v/>
      </c>
      <c r="BB104">
        <f>$C104*BB103</f>
        <v/>
      </c>
      <c r="BC104">
        <f>$C104*BC103</f>
        <v/>
      </c>
      <c r="BD104">
        <f>$C104*BD103</f>
        <v/>
      </c>
      <c r="BE104">
        <f>$C104*BE103</f>
        <v/>
      </c>
      <c r="BF104">
        <f>$C104*BF103</f>
        <v/>
      </c>
      <c r="BG104">
        <f>$C104*BG103</f>
        <v/>
      </c>
      <c r="BH104">
        <f>$C104*BH103</f>
        <v/>
      </c>
      <c r="BI104">
        <f>$C104*BI103</f>
        <v/>
      </c>
      <c r="BJ104">
        <f>$C104*BJ103</f>
        <v/>
      </c>
      <c r="BK104">
        <f>$C104*BK103</f>
        <v/>
      </c>
      <c r="BL104">
        <f>$C104*BL103</f>
        <v/>
      </c>
      <c r="BM104">
        <f>$C104*BM103</f>
        <v/>
      </c>
      <c r="BN104">
        <f>$C104*BN103</f>
        <v/>
      </c>
      <c r="BO104">
        <f>$C104*BO103</f>
        <v/>
      </c>
      <c r="BP104">
        <f>$C104*BP103</f>
        <v/>
      </c>
      <c r="BQ104">
        <f>$C104*BQ103</f>
        <v/>
      </c>
      <c r="BR104">
        <f>$C104*BR103</f>
        <v/>
      </c>
      <c r="BS104">
        <f>$C104*BS103</f>
        <v/>
      </c>
      <c r="BT104">
        <f>$C104*BT103</f>
        <v/>
      </c>
      <c r="BU104">
        <f>$C104*BU103</f>
        <v/>
      </c>
      <c r="BV104">
        <f>$C104*BV103</f>
        <v/>
      </c>
      <c r="BW104">
        <f>$C104*BW103</f>
        <v/>
      </c>
      <c r="BX104">
        <f>$C104*BX103</f>
        <v/>
      </c>
      <c r="BY104">
        <f>$C104*BY103</f>
        <v/>
      </c>
      <c r="BZ104">
        <f>$C104*BZ103</f>
        <v/>
      </c>
      <c r="CA104">
        <f>$C104*CA103</f>
        <v/>
      </c>
      <c r="CB104">
        <f>$C104*CB103</f>
        <v/>
      </c>
      <c r="CC104">
        <f>$C104*CC103</f>
        <v/>
      </c>
      <c r="CD104">
        <f>$C104*CD103</f>
        <v/>
      </c>
      <c r="CE104">
        <f>$C104*CE103</f>
        <v/>
      </c>
      <c r="CF104">
        <f>$C104*CF103</f>
        <v/>
      </c>
      <c r="CG104">
        <f>$C104*CG103</f>
        <v/>
      </c>
      <c r="CH104">
        <f>$C104*CH103</f>
        <v/>
      </c>
      <c r="CI104">
        <f>$C104*CI103</f>
        <v/>
      </c>
      <c r="CJ104">
        <f>$C104*CJ103</f>
        <v/>
      </c>
      <c r="CK104">
        <f>$C104*CK103</f>
        <v/>
      </c>
      <c r="CL104">
        <f>$C104*CL103</f>
        <v/>
      </c>
      <c r="CM104">
        <f>$C104*CM103</f>
        <v/>
      </c>
      <c r="CN104">
        <f>$C104*CN103</f>
        <v/>
      </c>
      <c r="CO104">
        <f>$C104*CO103</f>
        <v/>
      </c>
      <c r="CP104">
        <f>$C104*CP103</f>
        <v/>
      </c>
      <c r="CQ104">
        <f>$C104*CQ103</f>
        <v/>
      </c>
      <c r="CR104">
        <f>$C104*CR103</f>
        <v/>
      </c>
      <c r="CS104">
        <f>$C104*CS103</f>
        <v/>
      </c>
      <c r="CT104">
        <f>$C104*CT103</f>
        <v/>
      </c>
      <c r="CU104">
        <f>$C104*CU103</f>
        <v/>
      </c>
      <c r="CV104">
        <f>$C104*CV103</f>
        <v/>
      </c>
      <c r="CW104">
        <f>$C104*CW103</f>
        <v/>
      </c>
      <c r="CX104">
        <f>$C104*CX103</f>
        <v/>
      </c>
      <c r="CY104">
        <f>$C104*CY103</f>
        <v/>
      </c>
      <c r="CZ104">
        <f>$C104*CZ103</f>
        <v/>
      </c>
      <c r="DA104">
        <f>$C104*DA103</f>
        <v/>
      </c>
      <c r="DB104">
        <f>$C104*DB103</f>
        <v/>
      </c>
      <c r="DC104">
        <f>$C104*DC103</f>
        <v/>
      </c>
    </row>
    <row r="105">
      <c r="B105" t="inlineStr">
        <is>
          <t>TSP-623</t>
        </is>
      </c>
      <c r="C105" t="inlineStr">
        <is>
          <t>No. of batches</t>
        </is>
      </c>
      <c r="D105">
        <f>IFERROR(INDEX(PP_Grid[#Data],$DD105,2),0)</f>
        <v/>
      </c>
      <c r="E105">
        <f>IFERROR(INDEX(PP_Grid[#Data],$DD105,3),0)</f>
        <v/>
      </c>
      <c r="F105">
        <f>IFERROR(INDEX(PP_Grid[#Data],$DD105,4),0)</f>
        <v/>
      </c>
      <c r="G105">
        <f>IFERROR(INDEX(PP_Grid[#Data],$DD105,5),0)</f>
        <v/>
      </c>
      <c r="H105">
        <f>IFERROR(INDEX(PP_Grid[#Data],$DD105,6),0)</f>
        <v/>
      </c>
      <c r="I105">
        <f>IFERROR(INDEX(PP_Grid[#Data],$DD105,7),0)</f>
        <v/>
      </c>
      <c r="J105">
        <f>IFERROR(INDEX(PP_Grid[#Data],$DD105,8),0)</f>
        <v/>
      </c>
      <c r="K105">
        <f>IFERROR(INDEX(PP_Grid[#Data],$DD105,9),0)</f>
        <v/>
      </c>
      <c r="L105">
        <f>IFERROR(INDEX(PP_Grid[#Data],$DD105,10),0)</f>
        <v/>
      </c>
      <c r="M105">
        <f>IFERROR(INDEX(PP_Grid[#Data],$DD105,11),0)</f>
        <v/>
      </c>
      <c r="N105">
        <f>IFERROR(INDEX(PP_Grid[#Data],$DD105,12),0)</f>
        <v/>
      </c>
      <c r="O105">
        <f>IFERROR(INDEX(PP_Grid[#Data],$DD105,13),0)</f>
        <v/>
      </c>
      <c r="P105">
        <f>IFERROR(INDEX(PP_Grid[#Data],$DD105,14),0)</f>
        <v/>
      </c>
      <c r="Q105">
        <f>IFERROR(INDEX(PP_Grid[#Data],$DD105,15),0)</f>
        <v/>
      </c>
      <c r="R105">
        <f>IFERROR(INDEX(PP_Grid[#Data],$DD105,16),0)</f>
        <v/>
      </c>
      <c r="S105">
        <f>IFERROR(INDEX(PP_Grid[#Data],$DD105,17),0)</f>
        <v/>
      </c>
      <c r="T105">
        <f>IFERROR(INDEX(PP_Grid[#Data],$DD105,18),0)</f>
        <v/>
      </c>
      <c r="U105">
        <f>IFERROR(INDEX(PP_Grid[#Data],$DD105,19),0)</f>
        <v/>
      </c>
      <c r="V105">
        <f>IFERROR(INDEX(PP_Grid[#Data],$DD105,20),0)</f>
        <v/>
      </c>
      <c r="W105">
        <f>IFERROR(INDEX(PP_Grid[#Data],$DD105,21),0)</f>
        <v/>
      </c>
      <c r="X105">
        <f>IFERROR(INDEX(PP_Grid[#Data],$DD105,22),0)</f>
        <v/>
      </c>
      <c r="Y105">
        <f>IFERROR(INDEX(PP_Grid[#Data],$DD105,23),0)</f>
        <v/>
      </c>
      <c r="Z105">
        <f>IFERROR(INDEX(PP_Grid[#Data],$DD105,24),0)</f>
        <v/>
      </c>
      <c r="AA105">
        <f>IFERROR(INDEX(PP_Grid[#Data],$DD105,25),0)</f>
        <v/>
      </c>
      <c r="AB105">
        <f>IFERROR(INDEX(PP_Grid[#Data],$DD105,26),0)</f>
        <v/>
      </c>
      <c r="AC105">
        <f>IFERROR(INDEX(PP_Grid[#Data],$DD105,27),0)</f>
        <v/>
      </c>
      <c r="AD105">
        <f>IFERROR(INDEX(PP_Grid[#Data],$DD105,28),0)</f>
        <v/>
      </c>
      <c r="AE105">
        <f>IFERROR(INDEX(PP_Grid[#Data],$DD105,29),0)</f>
        <v/>
      </c>
      <c r="AF105">
        <f>IFERROR(INDEX(PP_Grid[#Data],$DD105,30),0)</f>
        <v/>
      </c>
      <c r="AG105">
        <f>IFERROR(INDEX(PP_Grid[#Data],$DD105,31),0)</f>
        <v/>
      </c>
      <c r="AH105">
        <f>IFERROR(INDEX(PP_Grid[#Data],$DD105,32),0)</f>
        <v/>
      </c>
      <c r="AI105">
        <f>IFERROR(INDEX(PP_Grid[#Data],$DD105,33),0)</f>
        <v/>
      </c>
      <c r="AJ105">
        <f>IFERROR(INDEX(PP_Grid[#Data],$DD105,34),0)</f>
        <v/>
      </c>
      <c r="AK105">
        <f>IFERROR(INDEX(PP_Grid[#Data],$DD105,35),0)</f>
        <v/>
      </c>
      <c r="AL105">
        <f>IFERROR(INDEX(PP_Grid[#Data],$DD105,36),0)</f>
        <v/>
      </c>
      <c r="AM105">
        <f>IFERROR(INDEX(PP_Grid[#Data],$DD105,37),0)</f>
        <v/>
      </c>
      <c r="AN105">
        <f>IFERROR(INDEX(PP_Grid[#Data],$DD105,38),0)</f>
        <v/>
      </c>
      <c r="AO105">
        <f>IFERROR(INDEX(PP_Grid[#Data],$DD105,39),0)</f>
        <v/>
      </c>
      <c r="AP105">
        <f>IFERROR(INDEX(PP_Grid[#Data],$DD105,40),0)</f>
        <v/>
      </c>
      <c r="AQ105">
        <f>IFERROR(INDEX(PP_Grid[#Data],$DD105,41),0)</f>
        <v/>
      </c>
      <c r="AR105">
        <f>IFERROR(INDEX(PP_Grid[#Data],$DD105,42),0)</f>
        <v/>
      </c>
      <c r="AS105">
        <f>IFERROR(INDEX(PP_Grid[#Data],$DD105,43),0)</f>
        <v/>
      </c>
      <c r="AT105">
        <f>IFERROR(INDEX(PP_Grid[#Data],$DD105,44),0)</f>
        <v/>
      </c>
      <c r="AU105">
        <f>IFERROR(INDEX(PP_Grid[#Data],$DD105,45),0)</f>
        <v/>
      </c>
      <c r="AV105">
        <f>IFERROR(INDEX(PP_Grid[#Data],$DD105,46),0)</f>
        <v/>
      </c>
      <c r="AW105">
        <f>IFERROR(INDEX(PP_Grid[#Data],$DD105,47),0)</f>
        <v/>
      </c>
      <c r="AX105">
        <f>IFERROR(INDEX(PP_Grid[#Data],$DD105,48),0)</f>
        <v/>
      </c>
      <c r="AY105">
        <f>IFERROR(INDEX(PP_Grid[#Data],$DD105,49),0)</f>
        <v/>
      </c>
      <c r="AZ105">
        <f>IFERROR(INDEX(PP_Grid[#Data],$DD105,50),0)</f>
        <v/>
      </c>
      <c r="BA105">
        <f>IFERROR(INDEX(PP_Grid[#Data],$DD105,51),0)</f>
        <v/>
      </c>
      <c r="BB105">
        <f>IFERROR(INDEX(PP_Grid[#Data],$DD105,52),0)</f>
        <v/>
      </c>
      <c r="BC105">
        <f>IFERROR(INDEX(PP_Grid[#Data],$DD105,53),0)</f>
        <v/>
      </c>
      <c r="BD105">
        <f>IFERROR(INDEX(PP_Grid[#Data],$DD105,54),0)</f>
        <v/>
      </c>
      <c r="BE105">
        <f>IFERROR(INDEX(PP_Grid[#Data],$DD105,55),0)</f>
        <v/>
      </c>
      <c r="BF105">
        <f>IFERROR(INDEX(PP_Grid[#Data],$DD105,56),0)</f>
        <v/>
      </c>
      <c r="BG105">
        <f>IFERROR(INDEX(PP_Grid[#Data],$DD105,57),0)</f>
        <v/>
      </c>
      <c r="BH105">
        <f>IFERROR(INDEX(PP_Grid[#Data],$DD105,58),0)</f>
        <v/>
      </c>
      <c r="BI105">
        <f>IFERROR(INDEX(PP_Grid[#Data],$DD105,59),0)</f>
        <v/>
      </c>
      <c r="BJ105">
        <f>IFERROR(INDEX(PP_Grid[#Data],$DD105,60),0)</f>
        <v/>
      </c>
      <c r="BK105">
        <f>IFERROR(INDEX(PP_Grid[#Data],$DD105,61),0)</f>
        <v/>
      </c>
      <c r="BL105">
        <f>IFERROR(INDEX(PP_Grid[#Data],$DD105,62),0)</f>
        <v/>
      </c>
      <c r="BM105">
        <f>IFERROR(INDEX(PP_Grid[#Data],$DD105,63),0)</f>
        <v/>
      </c>
      <c r="BN105">
        <f>IFERROR(INDEX(PP_Grid[#Data],$DD105,64),0)</f>
        <v/>
      </c>
      <c r="BO105">
        <f>IFERROR(INDEX(PP_Grid[#Data],$DD105,65),0)</f>
        <v/>
      </c>
      <c r="BP105">
        <f>IFERROR(INDEX(PP_Grid[#Data],$DD105,66),0)</f>
        <v/>
      </c>
      <c r="BQ105">
        <f>IFERROR(INDEX(PP_Grid[#Data],$DD105,67),0)</f>
        <v/>
      </c>
      <c r="BR105">
        <f>IFERROR(INDEX(PP_Grid[#Data],$DD105,68),0)</f>
        <v/>
      </c>
      <c r="BS105">
        <f>IFERROR(INDEX(PP_Grid[#Data],$DD105,69),0)</f>
        <v/>
      </c>
      <c r="BT105">
        <f>IFERROR(INDEX(PP_Grid[#Data],$DD105,70),0)</f>
        <v/>
      </c>
      <c r="BU105">
        <f>IFERROR(INDEX(PP_Grid[#Data],$DD105,71),0)</f>
        <v/>
      </c>
      <c r="BV105">
        <f>IFERROR(INDEX(PP_Grid[#Data],$DD105,72),0)</f>
        <v/>
      </c>
      <c r="BW105">
        <f>IFERROR(INDEX(PP_Grid[#Data],$DD105,73),0)</f>
        <v/>
      </c>
      <c r="BX105">
        <f>IFERROR(INDEX(PP_Grid[#Data],$DD105,74),0)</f>
        <v/>
      </c>
      <c r="BY105">
        <f>IFERROR(INDEX(PP_Grid[#Data],$DD105,75),0)</f>
        <v/>
      </c>
      <c r="BZ105">
        <f>IFERROR(INDEX(PP_Grid[#Data],$DD105,76),0)</f>
        <v/>
      </c>
      <c r="CA105">
        <f>IFERROR(INDEX(PP_Grid[#Data],$DD105,77),0)</f>
        <v/>
      </c>
      <c r="CB105">
        <f>IFERROR(INDEX(PP_Grid[#Data],$DD105,78),0)</f>
        <v/>
      </c>
      <c r="CC105">
        <f>IFERROR(INDEX(PP_Grid[#Data],$DD105,79),0)</f>
        <v/>
      </c>
      <c r="CD105">
        <f>IFERROR(INDEX(PP_Grid[#Data],$DD105,80),0)</f>
        <v/>
      </c>
      <c r="CE105">
        <f>IFERROR(INDEX(PP_Grid[#Data],$DD105,81),0)</f>
        <v/>
      </c>
      <c r="CF105">
        <f>IFERROR(INDEX(PP_Grid[#Data],$DD105,82),0)</f>
        <v/>
      </c>
      <c r="CG105">
        <f>IFERROR(INDEX(PP_Grid[#Data],$DD105,83),0)</f>
        <v/>
      </c>
      <c r="CH105">
        <f>IFERROR(INDEX(PP_Grid[#Data],$DD105,84),0)</f>
        <v/>
      </c>
      <c r="CI105">
        <f>IFERROR(INDEX(PP_Grid[#Data],$DD105,85),0)</f>
        <v/>
      </c>
      <c r="CJ105">
        <f>IFERROR(INDEX(PP_Grid[#Data],$DD105,86),0)</f>
        <v/>
      </c>
      <c r="CK105">
        <f>IFERROR(INDEX(PP_Grid[#Data],$DD105,87),0)</f>
        <v/>
      </c>
      <c r="CL105">
        <f>IFERROR(INDEX(PP_Grid[#Data],$DD105,88),0)</f>
        <v/>
      </c>
      <c r="CM105">
        <f>IFERROR(INDEX(PP_Grid[#Data],$DD105,89),0)</f>
        <v/>
      </c>
      <c r="CN105">
        <f>IFERROR(INDEX(PP_Grid[#Data],$DD105,90),0)</f>
        <v/>
      </c>
      <c r="CO105">
        <f>IFERROR(INDEX(PP_Grid[#Data],$DD105,91),0)</f>
        <v/>
      </c>
      <c r="CP105">
        <f>IFERROR(INDEX(PP_Grid[#Data],$DD105,92),0)</f>
        <v/>
      </c>
      <c r="CQ105">
        <f>IFERROR(INDEX(PP_Grid[#Data],$DD105,93),0)</f>
        <v/>
      </c>
      <c r="CR105">
        <f>IFERROR(INDEX(PP_Grid[#Data],$DD105,94),0)</f>
        <v/>
      </c>
      <c r="CS105">
        <f>IFERROR(INDEX(PP_Grid[#Data],$DD105,95),0)</f>
        <v/>
      </c>
      <c r="CT105">
        <f>IFERROR(INDEX(PP_Grid[#Data],$DD105,96),0)</f>
        <v/>
      </c>
      <c r="CU105">
        <f>IFERROR(INDEX(PP_Grid[#Data],$DD105,97),0)</f>
        <v/>
      </c>
      <c r="CV105">
        <f>IFERROR(INDEX(PP_Grid[#Data],$DD105,98),0)</f>
        <v/>
      </c>
      <c r="CW105">
        <f>IFERROR(INDEX(PP_Grid[#Data],$DD105,99),0)</f>
        <v/>
      </c>
      <c r="CX105">
        <f>IFERROR(INDEX(PP_Grid[#Data],$DD105,100),0)</f>
        <v/>
      </c>
      <c r="CY105">
        <f>IFERROR(INDEX(PP_Grid[#Data],$DD105,101),0)</f>
        <v/>
      </c>
      <c r="CZ105">
        <f>IFERROR(INDEX(PP_Grid[#Data],$DD105,102),0)</f>
        <v/>
      </c>
      <c r="DA105">
        <f>IFERROR(INDEX(PP_Grid[#Data],$DD105,103),0)</f>
        <v/>
      </c>
      <c r="DB105">
        <f>IFERROR(INDEX(PP_Grid[#Data],$DD105,104),0)</f>
        <v/>
      </c>
      <c r="DC105">
        <f>IFERROR(INDEX(PP_Grid[#Data],$DD105,105),0)</f>
        <v/>
      </c>
      <c r="DD105" s="7">
        <f>IFERROR(MATCH($B105,PP_Grid[Intermediate],0),99999)</f>
        <v/>
      </c>
    </row>
    <row r="106">
      <c r="B106" t="inlineStr">
        <is>
          <t>使用量(kg)</t>
        </is>
      </c>
      <c r="C106">
        <f>SUMIFS(M_BOM[RM_Qty_Per_Batch],M_BOM[Intermediate],$B105,M_BOM[Part Name],$A44)</f>
        <v/>
      </c>
      <c r="D106">
        <f>$C106*D105</f>
        <v/>
      </c>
      <c r="E106">
        <f>$C106*E105</f>
        <v/>
      </c>
      <c r="F106">
        <f>$C106*F105</f>
        <v/>
      </c>
      <c r="G106">
        <f>$C106*G105</f>
        <v/>
      </c>
      <c r="H106">
        <f>$C106*H105</f>
        <v/>
      </c>
      <c r="I106">
        <f>$C106*I105</f>
        <v/>
      </c>
      <c r="J106">
        <f>$C106*J105</f>
        <v/>
      </c>
      <c r="K106">
        <f>$C106*K105</f>
        <v/>
      </c>
      <c r="L106">
        <f>$C106*L105</f>
        <v/>
      </c>
      <c r="M106">
        <f>$C106*M105</f>
        <v/>
      </c>
      <c r="N106">
        <f>$C106*N105</f>
        <v/>
      </c>
      <c r="O106">
        <f>$C106*O105</f>
        <v/>
      </c>
      <c r="P106">
        <f>$C106*P105</f>
        <v/>
      </c>
      <c r="Q106">
        <f>$C106*Q105</f>
        <v/>
      </c>
      <c r="R106">
        <f>$C106*R105</f>
        <v/>
      </c>
      <c r="S106">
        <f>$C106*S105</f>
        <v/>
      </c>
      <c r="T106">
        <f>$C106*T105</f>
        <v/>
      </c>
      <c r="U106">
        <f>$C106*U105</f>
        <v/>
      </c>
      <c r="V106">
        <f>$C106*V105</f>
        <v/>
      </c>
      <c r="W106">
        <f>$C106*W105</f>
        <v/>
      </c>
      <c r="X106">
        <f>$C106*X105</f>
        <v/>
      </c>
      <c r="Y106">
        <f>$C106*Y105</f>
        <v/>
      </c>
      <c r="Z106">
        <f>$C106*Z105</f>
        <v/>
      </c>
      <c r="AA106">
        <f>$C106*AA105</f>
        <v/>
      </c>
      <c r="AB106">
        <f>$C106*AB105</f>
        <v/>
      </c>
      <c r="AC106">
        <f>$C106*AC105</f>
        <v/>
      </c>
      <c r="AD106">
        <f>$C106*AD105</f>
        <v/>
      </c>
      <c r="AE106">
        <f>$C106*AE105</f>
        <v/>
      </c>
      <c r="AF106">
        <f>$C106*AF105</f>
        <v/>
      </c>
      <c r="AG106">
        <f>$C106*AG105</f>
        <v/>
      </c>
      <c r="AH106">
        <f>$C106*AH105</f>
        <v/>
      </c>
      <c r="AI106">
        <f>$C106*AI105</f>
        <v/>
      </c>
      <c r="AJ106">
        <f>$C106*AJ105</f>
        <v/>
      </c>
      <c r="AK106">
        <f>$C106*AK105</f>
        <v/>
      </c>
      <c r="AL106">
        <f>$C106*AL105</f>
        <v/>
      </c>
      <c r="AM106">
        <f>$C106*AM105</f>
        <v/>
      </c>
      <c r="AN106">
        <f>$C106*AN105</f>
        <v/>
      </c>
      <c r="AO106">
        <f>$C106*AO105</f>
        <v/>
      </c>
      <c r="AP106">
        <f>$C106*AP105</f>
        <v/>
      </c>
      <c r="AQ106">
        <f>$C106*AQ105</f>
        <v/>
      </c>
      <c r="AR106">
        <f>$C106*AR105</f>
        <v/>
      </c>
      <c r="AS106">
        <f>$C106*AS105</f>
        <v/>
      </c>
      <c r="AT106">
        <f>$C106*AT105</f>
        <v/>
      </c>
      <c r="AU106">
        <f>$C106*AU105</f>
        <v/>
      </c>
      <c r="AV106">
        <f>$C106*AV105</f>
        <v/>
      </c>
      <c r="AW106">
        <f>$C106*AW105</f>
        <v/>
      </c>
      <c r="AX106">
        <f>$C106*AX105</f>
        <v/>
      </c>
      <c r="AY106">
        <f>$C106*AY105</f>
        <v/>
      </c>
      <c r="AZ106">
        <f>$C106*AZ105</f>
        <v/>
      </c>
      <c r="BA106">
        <f>$C106*BA105</f>
        <v/>
      </c>
      <c r="BB106">
        <f>$C106*BB105</f>
        <v/>
      </c>
      <c r="BC106">
        <f>$C106*BC105</f>
        <v/>
      </c>
      <c r="BD106">
        <f>$C106*BD105</f>
        <v/>
      </c>
      <c r="BE106">
        <f>$C106*BE105</f>
        <v/>
      </c>
      <c r="BF106">
        <f>$C106*BF105</f>
        <v/>
      </c>
      <c r="BG106">
        <f>$C106*BG105</f>
        <v/>
      </c>
      <c r="BH106">
        <f>$C106*BH105</f>
        <v/>
      </c>
      <c r="BI106">
        <f>$C106*BI105</f>
        <v/>
      </c>
      <c r="BJ106">
        <f>$C106*BJ105</f>
        <v/>
      </c>
      <c r="BK106">
        <f>$C106*BK105</f>
        <v/>
      </c>
      <c r="BL106">
        <f>$C106*BL105</f>
        <v/>
      </c>
      <c r="BM106">
        <f>$C106*BM105</f>
        <v/>
      </c>
      <c r="BN106">
        <f>$C106*BN105</f>
        <v/>
      </c>
      <c r="BO106">
        <f>$C106*BO105</f>
        <v/>
      </c>
      <c r="BP106">
        <f>$C106*BP105</f>
        <v/>
      </c>
      <c r="BQ106">
        <f>$C106*BQ105</f>
        <v/>
      </c>
      <c r="BR106">
        <f>$C106*BR105</f>
        <v/>
      </c>
      <c r="BS106">
        <f>$C106*BS105</f>
        <v/>
      </c>
      <c r="BT106">
        <f>$C106*BT105</f>
        <v/>
      </c>
      <c r="BU106">
        <f>$C106*BU105</f>
        <v/>
      </c>
      <c r="BV106">
        <f>$C106*BV105</f>
        <v/>
      </c>
      <c r="BW106">
        <f>$C106*BW105</f>
        <v/>
      </c>
      <c r="BX106">
        <f>$C106*BX105</f>
        <v/>
      </c>
      <c r="BY106">
        <f>$C106*BY105</f>
        <v/>
      </c>
      <c r="BZ106">
        <f>$C106*BZ105</f>
        <v/>
      </c>
      <c r="CA106">
        <f>$C106*CA105</f>
        <v/>
      </c>
      <c r="CB106">
        <f>$C106*CB105</f>
        <v/>
      </c>
      <c r="CC106">
        <f>$C106*CC105</f>
        <v/>
      </c>
      <c r="CD106">
        <f>$C106*CD105</f>
        <v/>
      </c>
      <c r="CE106">
        <f>$C106*CE105</f>
        <v/>
      </c>
      <c r="CF106">
        <f>$C106*CF105</f>
        <v/>
      </c>
      <c r="CG106">
        <f>$C106*CG105</f>
        <v/>
      </c>
      <c r="CH106">
        <f>$C106*CH105</f>
        <v/>
      </c>
      <c r="CI106">
        <f>$C106*CI105</f>
        <v/>
      </c>
      <c r="CJ106">
        <f>$C106*CJ105</f>
        <v/>
      </c>
      <c r="CK106">
        <f>$C106*CK105</f>
        <v/>
      </c>
      <c r="CL106">
        <f>$C106*CL105</f>
        <v/>
      </c>
      <c r="CM106">
        <f>$C106*CM105</f>
        <v/>
      </c>
      <c r="CN106">
        <f>$C106*CN105</f>
        <v/>
      </c>
      <c r="CO106">
        <f>$C106*CO105</f>
        <v/>
      </c>
      <c r="CP106">
        <f>$C106*CP105</f>
        <v/>
      </c>
      <c r="CQ106">
        <f>$C106*CQ105</f>
        <v/>
      </c>
      <c r="CR106">
        <f>$C106*CR105</f>
        <v/>
      </c>
      <c r="CS106">
        <f>$C106*CS105</f>
        <v/>
      </c>
      <c r="CT106">
        <f>$C106*CT105</f>
        <v/>
      </c>
      <c r="CU106">
        <f>$C106*CU105</f>
        <v/>
      </c>
      <c r="CV106">
        <f>$C106*CV105</f>
        <v/>
      </c>
      <c r="CW106">
        <f>$C106*CW105</f>
        <v/>
      </c>
      <c r="CX106">
        <f>$C106*CX105</f>
        <v/>
      </c>
      <c r="CY106">
        <f>$C106*CY105</f>
        <v/>
      </c>
      <c r="CZ106">
        <f>$C106*CZ105</f>
        <v/>
      </c>
      <c r="DA106">
        <f>$C106*DA105</f>
        <v/>
      </c>
      <c r="DB106">
        <f>$C106*DB105</f>
        <v/>
      </c>
      <c r="DC106">
        <f>$C106*DC105</f>
        <v/>
      </c>
    </row>
    <row r="107">
      <c r="B107" t="inlineStr">
        <is>
          <t>TSP-655</t>
        </is>
      </c>
      <c r="C107" t="inlineStr">
        <is>
          <t>No. of batches</t>
        </is>
      </c>
      <c r="D107">
        <f>IFERROR(INDEX(PP_Grid[#Data],$DD107,2),0)</f>
        <v/>
      </c>
      <c r="E107">
        <f>IFERROR(INDEX(PP_Grid[#Data],$DD107,3),0)</f>
        <v/>
      </c>
      <c r="F107">
        <f>IFERROR(INDEX(PP_Grid[#Data],$DD107,4),0)</f>
        <v/>
      </c>
      <c r="G107">
        <f>IFERROR(INDEX(PP_Grid[#Data],$DD107,5),0)</f>
        <v/>
      </c>
      <c r="H107">
        <f>IFERROR(INDEX(PP_Grid[#Data],$DD107,6),0)</f>
        <v/>
      </c>
      <c r="I107">
        <f>IFERROR(INDEX(PP_Grid[#Data],$DD107,7),0)</f>
        <v/>
      </c>
      <c r="J107">
        <f>IFERROR(INDEX(PP_Grid[#Data],$DD107,8),0)</f>
        <v/>
      </c>
      <c r="K107">
        <f>IFERROR(INDEX(PP_Grid[#Data],$DD107,9),0)</f>
        <v/>
      </c>
      <c r="L107">
        <f>IFERROR(INDEX(PP_Grid[#Data],$DD107,10),0)</f>
        <v/>
      </c>
      <c r="M107">
        <f>IFERROR(INDEX(PP_Grid[#Data],$DD107,11),0)</f>
        <v/>
      </c>
      <c r="N107">
        <f>IFERROR(INDEX(PP_Grid[#Data],$DD107,12),0)</f>
        <v/>
      </c>
      <c r="O107">
        <f>IFERROR(INDEX(PP_Grid[#Data],$DD107,13),0)</f>
        <v/>
      </c>
      <c r="P107">
        <f>IFERROR(INDEX(PP_Grid[#Data],$DD107,14),0)</f>
        <v/>
      </c>
      <c r="Q107">
        <f>IFERROR(INDEX(PP_Grid[#Data],$DD107,15),0)</f>
        <v/>
      </c>
      <c r="R107">
        <f>IFERROR(INDEX(PP_Grid[#Data],$DD107,16),0)</f>
        <v/>
      </c>
      <c r="S107">
        <f>IFERROR(INDEX(PP_Grid[#Data],$DD107,17),0)</f>
        <v/>
      </c>
      <c r="T107">
        <f>IFERROR(INDEX(PP_Grid[#Data],$DD107,18),0)</f>
        <v/>
      </c>
      <c r="U107">
        <f>IFERROR(INDEX(PP_Grid[#Data],$DD107,19),0)</f>
        <v/>
      </c>
      <c r="V107">
        <f>IFERROR(INDEX(PP_Grid[#Data],$DD107,20),0)</f>
        <v/>
      </c>
      <c r="W107">
        <f>IFERROR(INDEX(PP_Grid[#Data],$DD107,21),0)</f>
        <v/>
      </c>
      <c r="X107">
        <f>IFERROR(INDEX(PP_Grid[#Data],$DD107,22),0)</f>
        <v/>
      </c>
      <c r="Y107">
        <f>IFERROR(INDEX(PP_Grid[#Data],$DD107,23),0)</f>
        <v/>
      </c>
      <c r="Z107">
        <f>IFERROR(INDEX(PP_Grid[#Data],$DD107,24),0)</f>
        <v/>
      </c>
      <c r="AA107">
        <f>IFERROR(INDEX(PP_Grid[#Data],$DD107,25),0)</f>
        <v/>
      </c>
      <c r="AB107">
        <f>IFERROR(INDEX(PP_Grid[#Data],$DD107,26),0)</f>
        <v/>
      </c>
      <c r="AC107">
        <f>IFERROR(INDEX(PP_Grid[#Data],$DD107,27),0)</f>
        <v/>
      </c>
      <c r="AD107">
        <f>IFERROR(INDEX(PP_Grid[#Data],$DD107,28),0)</f>
        <v/>
      </c>
      <c r="AE107">
        <f>IFERROR(INDEX(PP_Grid[#Data],$DD107,29),0)</f>
        <v/>
      </c>
      <c r="AF107">
        <f>IFERROR(INDEX(PP_Grid[#Data],$DD107,30),0)</f>
        <v/>
      </c>
      <c r="AG107">
        <f>IFERROR(INDEX(PP_Grid[#Data],$DD107,31),0)</f>
        <v/>
      </c>
      <c r="AH107">
        <f>IFERROR(INDEX(PP_Grid[#Data],$DD107,32),0)</f>
        <v/>
      </c>
      <c r="AI107">
        <f>IFERROR(INDEX(PP_Grid[#Data],$DD107,33),0)</f>
        <v/>
      </c>
      <c r="AJ107">
        <f>IFERROR(INDEX(PP_Grid[#Data],$DD107,34),0)</f>
        <v/>
      </c>
      <c r="AK107">
        <f>IFERROR(INDEX(PP_Grid[#Data],$DD107,35),0)</f>
        <v/>
      </c>
      <c r="AL107">
        <f>IFERROR(INDEX(PP_Grid[#Data],$DD107,36),0)</f>
        <v/>
      </c>
      <c r="AM107">
        <f>IFERROR(INDEX(PP_Grid[#Data],$DD107,37),0)</f>
        <v/>
      </c>
      <c r="AN107">
        <f>IFERROR(INDEX(PP_Grid[#Data],$DD107,38),0)</f>
        <v/>
      </c>
      <c r="AO107">
        <f>IFERROR(INDEX(PP_Grid[#Data],$DD107,39),0)</f>
        <v/>
      </c>
      <c r="AP107">
        <f>IFERROR(INDEX(PP_Grid[#Data],$DD107,40),0)</f>
        <v/>
      </c>
      <c r="AQ107">
        <f>IFERROR(INDEX(PP_Grid[#Data],$DD107,41),0)</f>
        <v/>
      </c>
      <c r="AR107">
        <f>IFERROR(INDEX(PP_Grid[#Data],$DD107,42),0)</f>
        <v/>
      </c>
      <c r="AS107">
        <f>IFERROR(INDEX(PP_Grid[#Data],$DD107,43),0)</f>
        <v/>
      </c>
      <c r="AT107">
        <f>IFERROR(INDEX(PP_Grid[#Data],$DD107,44),0)</f>
        <v/>
      </c>
      <c r="AU107">
        <f>IFERROR(INDEX(PP_Grid[#Data],$DD107,45),0)</f>
        <v/>
      </c>
      <c r="AV107">
        <f>IFERROR(INDEX(PP_Grid[#Data],$DD107,46),0)</f>
        <v/>
      </c>
      <c r="AW107">
        <f>IFERROR(INDEX(PP_Grid[#Data],$DD107,47),0)</f>
        <v/>
      </c>
      <c r="AX107">
        <f>IFERROR(INDEX(PP_Grid[#Data],$DD107,48),0)</f>
        <v/>
      </c>
      <c r="AY107">
        <f>IFERROR(INDEX(PP_Grid[#Data],$DD107,49),0)</f>
        <v/>
      </c>
      <c r="AZ107">
        <f>IFERROR(INDEX(PP_Grid[#Data],$DD107,50),0)</f>
        <v/>
      </c>
      <c r="BA107">
        <f>IFERROR(INDEX(PP_Grid[#Data],$DD107,51),0)</f>
        <v/>
      </c>
      <c r="BB107">
        <f>IFERROR(INDEX(PP_Grid[#Data],$DD107,52),0)</f>
        <v/>
      </c>
      <c r="BC107">
        <f>IFERROR(INDEX(PP_Grid[#Data],$DD107,53),0)</f>
        <v/>
      </c>
      <c r="BD107">
        <f>IFERROR(INDEX(PP_Grid[#Data],$DD107,54),0)</f>
        <v/>
      </c>
      <c r="BE107">
        <f>IFERROR(INDEX(PP_Grid[#Data],$DD107,55),0)</f>
        <v/>
      </c>
      <c r="BF107">
        <f>IFERROR(INDEX(PP_Grid[#Data],$DD107,56),0)</f>
        <v/>
      </c>
      <c r="BG107">
        <f>IFERROR(INDEX(PP_Grid[#Data],$DD107,57),0)</f>
        <v/>
      </c>
      <c r="BH107">
        <f>IFERROR(INDEX(PP_Grid[#Data],$DD107,58),0)</f>
        <v/>
      </c>
      <c r="BI107">
        <f>IFERROR(INDEX(PP_Grid[#Data],$DD107,59),0)</f>
        <v/>
      </c>
      <c r="BJ107">
        <f>IFERROR(INDEX(PP_Grid[#Data],$DD107,60),0)</f>
        <v/>
      </c>
      <c r="BK107">
        <f>IFERROR(INDEX(PP_Grid[#Data],$DD107,61),0)</f>
        <v/>
      </c>
      <c r="BL107">
        <f>IFERROR(INDEX(PP_Grid[#Data],$DD107,62),0)</f>
        <v/>
      </c>
      <c r="BM107">
        <f>IFERROR(INDEX(PP_Grid[#Data],$DD107,63),0)</f>
        <v/>
      </c>
      <c r="BN107">
        <f>IFERROR(INDEX(PP_Grid[#Data],$DD107,64),0)</f>
        <v/>
      </c>
      <c r="BO107">
        <f>IFERROR(INDEX(PP_Grid[#Data],$DD107,65),0)</f>
        <v/>
      </c>
      <c r="BP107">
        <f>IFERROR(INDEX(PP_Grid[#Data],$DD107,66),0)</f>
        <v/>
      </c>
      <c r="BQ107">
        <f>IFERROR(INDEX(PP_Grid[#Data],$DD107,67),0)</f>
        <v/>
      </c>
      <c r="BR107">
        <f>IFERROR(INDEX(PP_Grid[#Data],$DD107,68),0)</f>
        <v/>
      </c>
      <c r="BS107">
        <f>IFERROR(INDEX(PP_Grid[#Data],$DD107,69),0)</f>
        <v/>
      </c>
      <c r="BT107">
        <f>IFERROR(INDEX(PP_Grid[#Data],$DD107,70),0)</f>
        <v/>
      </c>
      <c r="BU107">
        <f>IFERROR(INDEX(PP_Grid[#Data],$DD107,71),0)</f>
        <v/>
      </c>
      <c r="BV107">
        <f>IFERROR(INDEX(PP_Grid[#Data],$DD107,72),0)</f>
        <v/>
      </c>
      <c r="BW107">
        <f>IFERROR(INDEX(PP_Grid[#Data],$DD107,73),0)</f>
        <v/>
      </c>
      <c r="BX107">
        <f>IFERROR(INDEX(PP_Grid[#Data],$DD107,74),0)</f>
        <v/>
      </c>
      <c r="BY107">
        <f>IFERROR(INDEX(PP_Grid[#Data],$DD107,75),0)</f>
        <v/>
      </c>
      <c r="BZ107">
        <f>IFERROR(INDEX(PP_Grid[#Data],$DD107,76),0)</f>
        <v/>
      </c>
      <c r="CA107">
        <f>IFERROR(INDEX(PP_Grid[#Data],$DD107,77),0)</f>
        <v/>
      </c>
      <c r="CB107">
        <f>IFERROR(INDEX(PP_Grid[#Data],$DD107,78),0)</f>
        <v/>
      </c>
      <c r="CC107">
        <f>IFERROR(INDEX(PP_Grid[#Data],$DD107,79),0)</f>
        <v/>
      </c>
      <c r="CD107">
        <f>IFERROR(INDEX(PP_Grid[#Data],$DD107,80),0)</f>
        <v/>
      </c>
      <c r="CE107">
        <f>IFERROR(INDEX(PP_Grid[#Data],$DD107,81),0)</f>
        <v/>
      </c>
      <c r="CF107">
        <f>IFERROR(INDEX(PP_Grid[#Data],$DD107,82),0)</f>
        <v/>
      </c>
      <c r="CG107">
        <f>IFERROR(INDEX(PP_Grid[#Data],$DD107,83),0)</f>
        <v/>
      </c>
      <c r="CH107">
        <f>IFERROR(INDEX(PP_Grid[#Data],$DD107,84),0)</f>
        <v/>
      </c>
      <c r="CI107">
        <f>IFERROR(INDEX(PP_Grid[#Data],$DD107,85),0)</f>
        <v/>
      </c>
      <c r="CJ107">
        <f>IFERROR(INDEX(PP_Grid[#Data],$DD107,86),0)</f>
        <v/>
      </c>
      <c r="CK107">
        <f>IFERROR(INDEX(PP_Grid[#Data],$DD107,87),0)</f>
        <v/>
      </c>
      <c r="CL107">
        <f>IFERROR(INDEX(PP_Grid[#Data],$DD107,88),0)</f>
        <v/>
      </c>
      <c r="CM107">
        <f>IFERROR(INDEX(PP_Grid[#Data],$DD107,89),0)</f>
        <v/>
      </c>
      <c r="CN107">
        <f>IFERROR(INDEX(PP_Grid[#Data],$DD107,90),0)</f>
        <v/>
      </c>
      <c r="CO107">
        <f>IFERROR(INDEX(PP_Grid[#Data],$DD107,91),0)</f>
        <v/>
      </c>
      <c r="CP107">
        <f>IFERROR(INDEX(PP_Grid[#Data],$DD107,92),0)</f>
        <v/>
      </c>
      <c r="CQ107">
        <f>IFERROR(INDEX(PP_Grid[#Data],$DD107,93),0)</f>
        <v/>
      </c>
      <c r="CR107">
        <f>IFERROR(INDEX(PP_Grid[#Data],$DD107,94),0)</f>
        <v/>
      </c>
      <c r="CS107">
        <f>IFERROR(INDEX(PP_Grid[#Data],$DD107,95),0)</f>
        <v/>
      </c>
      <c r="CT107">
        <f>IFERROR(INDEX(PP_Grid[#Data],$DD107,96),0)</f>
        <v/>
      </c>
      <c r="CU107">
        <f>IFERROR(INDEX(PP_Grid[#Data],$DD107,97),0)</f>
        <v/>
      </c>
      <c r="CV107">
        <f>IFERROR(INDEX(PP_Grid[#Data],$DD107,98),0)</f>
        <v/>
      </c>
      <c r="CW107">
        <f>IFERROR(INDEX(PP_Grid[#Data],$DD107,99),0)</f>
        <v/>
      </c>
      <c r="CX107">
        <f>IFERROR(INDEX(PP_Grid[#Data],$DD107,100),0)</f>
        <v/>
      </c>
      <c r="CY107">
        <f>IFERROR(INDEX(PP_Grid[#Data],$DD107,101),0)</f>
        <v/>
      </c>
      <c r="CZ107">
        <f>IFERROR(INDEX(PP_Grid[#Data],$DD107,102),0)</f>
        <v/>
      </c>
      <c r="DA107">
        <f>IFERROR(INDEX(PP_Grid[#Data],$DD107,103),0)</f>
        <v/>
      </c>
      <c r="DB107">
        <f>IFERROR(INDEX(PP_Grid[#Data],$DD107,104),0)</f>
        <v/>
      </c>
      <c r="DC107">
        <f>IFERROR(INDEX(PP_Grid[#Data],$DD107,105),0)</f>
        <v/>
      </c>
      <c r="DD107" s="7">
        <f>IFERROR(MATCH($B107,PP_Grid[Intermediate],0),99999)</f>
        <v/>
      </c>
    </row>
    <row r="108">
      <c r="B108" t="inlineStr">
        <is>
          <t>使用量(kg)</t>
        </is>
      </c>
      <c r="C108">
        <f>SUMIFS(M_BOM[RM_Qty_Per_Batch],M_BOM[Intermediate],$B107,M_BOM[Part Name],$A44)</f>
        <v/>
      </c>
      <c r="D108">
        <f>$C108*D107</f>
        <v/>
      </c>
      <c r="E108">
        <f>$C108*E107</f>
        <v/>
      </c>
      <c r="F108">
        <f>$C108*F107</f>
        <v/>
      </c>
      <c r="G108">
        <f>$C108*G107</f>
        <v/>
      </c>
      <c r="H108">
        <f>$C108*H107</f>
        <v/>
      </c>
      <c r="I108">
        <f>$C108*I107</f>
        <v/>
      </c>
      <c r="J108">
        <f>$C108*J107</f>
        <v/>
      </c>
      <c r="K108">
        <f>$C108*K107</f>
        <v/>
      </c>
      <c r="L108">
        <f>$C108*L107</f>
        <v/>
      </c>
      <c r="M108">
        <f>$C108*M107</f>
        <v/>
      </c>
      <c r="N108">
        <f>$C108*N107</f>
        <v/>
      </c>
      <c r="O108">
        <f>$C108*O107</f>
        <v/>
      </c>
      <c r="P108">
        <f>$C108*P107</f>
        <v/>
      </c>
      <c r="Q108">
        <f>$C108*Q107</f>
        <v/>
      </c>
      <c r="R108">
        <f>$C108*R107</f>
        <v/>
      </c>
      <c r="S108">
        <f>$C108*S107</f>
        <v/>
      </c>
      <c r="T108">
        <f>$C108*T107</f>
        <v/>
      </c>
      <c r="U108">
        <f>$C108*U107</f>
        <v/>
      </c>
      <c r="V108">
        <f>$C108*V107</f>
        <v/>
      </c>
      <c r="W108">
        <f>$C108*W107</f>
        <v/>
      </c>
      <c r="X108">
        <f>$C108*X107</f>
        <v/>
      </c>
      <c r="Y108">
        <f>$C108*Y107</f>
        <v/>
      </c>
      <c r="Z108">
        <f>$C108*Z107</f>
        <v/>
      </c>
      <c r="AA108">
        <f>$C108*AA107</f>
        <v/>
      </c>
      <c r="AB108">
        <f>$C108*AB107</f>
        <v/>
      </c>
      <c r="AC108">
        <f>$C108*AC107</f>
        <v/>
      </c>
      <c r="AD108">
        <f>$C108*AD107</f>
        <v/>
      </c>
      <c r="AE108">
        <f>$C108*AE107</f>
        <v/>
      </c>
      <c r="AF108">
        <f>$C108*AF107</f>
        <v/>
      </c>
      <c r="AG108">
        <f>$C108*AG107</f>
        <v/>
      </c>
      <c r="AH108">
        <f>$C108*AH107</f>
        <v/>
      </c>
      <c r="AI108">
        <f>$C108*AI107</f>
        <v/>
      </c>
      <c r="AJ108">
        <f>$C108*AJ107</f>
        <v/>
      </c>
      <c r="AK108">
        <f>$C108*AK107</f>
        <v/>
      </c>
      <c r="AL108">
        <f>$C108*AL107</f>
        <v/>
      </c>
      <c r="AM108">
        <f>$C108*AM107</f>
        <v/>
      </c>
      <c r="AN108">
        <f>$C108*AN107</f>
        <v/>
      </c>
      <c r="AO108">
        <f>$C108*AO107</f>
        <v/>
      </c>
      <c r="AP108">
        <f>$C108*AP107</f>
        <v/>
      </c>
      <c r="AQ108">
        <f>$C108*AQ107</f>
        <v/>
      </c>
      <c r="AR108">
        <f>$C108*AR107</f>
        <v/>
      </c>
      <c r="AS108">
        <f>$C108*AS107</f>
        <v/>
      </c>
      <c r="AT108">
        <f>$C108*AT107</f>
        <v/>
      </c>
      <c r="AU108">
        <f>$C108*AU107</f>
        <v/>
      </c>
      <c r="AV108">
        <f>$C108*AV107</f>
        <v/>
      </c>
      <c r="AW108">
        <f>$C108*AW107</f>
        <v/>
      </c>
      <c r="AX108">
        <f>$C108*AX107</f>
        <v/>
      </c>
      <c r="AY108">
        <f>$C108*AY107</f>
        <v/>
      </c>
      <c r="AZ108">
        <f>$C108*AZ107</f>
        <v/>
      </c>
      <c r="BA108">
        <f>$C108*BA107</f>
        <v/>
      </c>
      <c r="BB108">
        <f>$C108*BB107</f>
        <v/>
      </c>
      <c r="BC108">
        <f>$C108*BC107</f>
        <v/>
      </c>
      <c r="BD108">
        <f>$C108*BD107</f>
        <v/>
      </c>
      <c r="BE108">
        <f>$C108*BE107</f>
        <v/>
      </c>
      <c r="BF108">
        <f>$C108*BF107</f>
        <v/>
      </c>
      <c r="BG108">
        <f>$C108*BG107</f>
        <v/>
      </c>
      <c r="BH108">
        <f>$C108*BH107</f>
        <v/>
      </c>
      <c r="BI108">
        <f>$C108*BI107</f>
        <v/>
      </c>
      <c r="BJ108">
        <f>$C108*BJ107</f>
        <v/>
      </c>
      <c r="BK108">
        <f>$C108*BK107</f>
        <v/>
      </c>
      <c r="BL108">
        <f>$C108*BL107</f>
        <v/>
      </c>
      <c r="BM108">
        <f>$C108*BM107</f>
        <v/>
      </c>
      <c r="BN108">
        <f>$C108*BN107</f>
        <v/>
      </c>
      <c r="BO108">
        <f>$C108*BO107</f>
        <v/>
      </c>
      <c r="BP108">
        <f>$C108*BP107</f>
        <v/>
      </c>
      <c r="BQ108">
        <f>$C108*BQ107</f>
        <v/>
      </c>
      <c r="BR108">
        <f>$C108*BR107</f>
        <v/>
      </c>
      <c r="BS108">
        <f>$C108*BS107</f>
        <v/>
      </c>
      <c r="BT108">
        <f>$C108*BT107</f>
        <v/>
      </c>
      <c r="BU108">
        <f>$C108*BU107</f>
        <v/>
      </c>
      <c r="BV108">
        <f>$C108*BV107</f>
        <v/>
      </c>
      <c r="BW108">
        <f>$C108*BW107</f>
        <v/>
      </c>
      <c r="BX108">
        <f>$C108*BX107</f>
        <v/>
      </c>
      <c r="BY108">
        <f>$C108*BY107</f>
        <v/>
      </c>
      <c r="BZ108">
        <f>$C108*BZ107</f>
        <v/>
      </c>
      <c r="CA108">
        <f>$C108*CA107</f>
        <v/>
      </c>
      <c r="CB108">
        <f>$C108*CB107</f>
        <v/>
      </c>
      <c r="CC108">
        <f>$C108*CC107</f>
        <v/>
      </c>
      <c r="CD108">
        <f>$C108*CD107</f>
        <v/>
      </c>
      <c r="CE108">
        <f>$C108*CE107</f>
        <v/>
      </c>
      <c r="CF108">
        <f>$C108*CF107</f>
        <v/>
      </c>
      <c r="CG108">
        <f>$C108*CG107</f>
        <v/>
      </c>
      <c r="CH108">
        <f>$C108*CH107</f>
        <v/>
      </c>
      <c r="CI108">
        <f>$C108*CI107</f>
        <v/>
      </c>
      <c r="CJ108">
        <f>$C108*CJ107</f>
        <v/>
      </c>
      <c r="CK108">
        <f>$C108*CK107</f>
        <v/>
      </c>
      <c r="CL108">
        <f>$C108*CL107</f>
        <v/>
      </c>
      <c r="CM108">
        <f>$C108*CM107</f>
        <v/>
      </c>
      <c r="CN108">
        <f>$C108*CN107</f>
        <v/>
      </c>
      <c r="CO108">
        <f>$C108*CO107</f>
        <v/>
      </c>
      <c r="CP108">
        <f>$C108*CP107</f>
        <v/>
      </c>
      <c r="CQ108">
        <f>$C108*CQ107</f>
        <v/>
      </c>
      <c r="CR108">
        <f>$C108*CR107</f>
        <v/>
      </c>
      <c r="CS108">
        <f>$C108*CS107</f>
        <v/>
      </c>
      <c r="CT108">
        <f>$C108*CT107</f>
        <v/>
      </c>
      <c r="CU108">
        <f>$C108*CU107</f>
        <v/>
      </c>
      <c r="CV108">
        <f>$C108*CV107</f>
        <v/>
      </c>
      <c r="CW108">
        <f>$C108*CW107</f>
        <v/>
      </c>
      <c r="CX108">
        <f>$C108*CX107</f>
        <v/>
      </c>
      <c r="CY108">
        <f>$C108*CY107</f>
        <v/>
      </c>
      <c r="CZ108">
        <f>$C108*CZ107</f>
        <v/>
      </c>
      <c r="DA108">
        <f>$C108*DA107</f>
        <v/>
      </c>
      <c r="DB108">
        <f>$C108*DB107</f>
        <v/>
      </c>
      <c r="DC108">
        <f>$C108*DC107</f>
        <v/>
      </c>
    </row>
    <row r="109">
      <c r="B109" t="inlineStr">
        <is>
          <t>TSP-656</t>
        </is>
      </c>
      <c r="C109" t="inlineStr">
        <is>
          <t>No. of batches</t>
        </is>
      </c>
      <c r="D109">
        <f>IFERROR(INDEX(PP_Grid[#Data],$DD109,2),0)</f>
        <v/>
      </c>
      <c r="E109">
        <f>IFERROR(INDEX(PP_Grid[#Data],$DD109,3),0)</f>
        <v/>
      </c>
      <c r="F109">
        <f>IFERROR(INDEX(PP_Grid[#Data],$DD109,4),0)</f>
        <v/>
      </c>
      <c r="G109">
        <f>IFERROR(INDEX(PP_Grid[#Data],$DD109,5),0)</f>
        <v/>
      </c>
      <c r="H109">
        <f>IFERROR(INDEX(PP_Grid[#Data],$DD109,6),0)</f>
        <v/>
      </c>
      <c r="I109">
        <f>IFERROR(INDEX(PP_Grid[#Data],$DD109,7),0)</f>
        <v/>
      </c>
      <c r="J109">
        <f>IFERROR(INDEX(PP_Grid[#Data],$DD109,8),0)</f>
        <v/>
      </c>
      <c r="K109">
        <f>IFERROR(INDEX(PP_Grid[#Data],$DD109,9),0)</f>
        <v/>
      </c>
      <c r="L109">
        <f>IFERROR(INDEX(PP_Grid[#Data],$DD109,10),0)</f>
        <v/>
      </c>
      <c r="M109">
        <f>IFERROR(INDEX(PP_Grid[#Data],$DD109,11),0)</f>
        <v/>
      </c>
      <c r="N109">
        <f>IFERROR(INDEX(PP_Grid[#Data],$DD109,12),0)</f>
        <v/>
      </c>
      <c r="O109">
        <f>IFERROR(INDEX(PP_Grid[#Data],$DD109,13),0)</f>
        <v/>
      </c>
      <c r="P109">
        <f>IFERROR(INDEX(PP_Grid[#Data],$DD109,14),0)</f>
        <v/>
      </c>
      <c r="Q109">
        <f>IFERROR(INDEX(PP_Grid[#Data],$DD109,15),0)</f>
        <v/>
      </c>
      <c r="R109">
        <f>IFERROR(INDEX(PP_Grid[#Data],$DD109,16),0)</f>
        <v/>
      </c>
      <c r="S109">
        <f>IFERROR(INDEX(PP_Grid[#Data],$DD109,17),0)</f>
        <v/>
      </c>
      <c r="T109">
        <f>IFERROR(INDEX(PP_Grid[#Data],$DD109,18),0)</f>
        <v/>
      </c>
      <c r="U109">
        <f>IFERROR(INDEX(PP_Grid[#Data],$DD109,19),0)</f>
        <v/>
      </c>
      <c r="V109">
        <f>IFERROR(INDEX(PP_Grid[#Data],$DD109,20),0)</f>
        <v/>
      </c>
      <c r="W109">
        <f>IFERROR(INDEX(PP_Grid[#Data],$DD109,21),0)</f>
        <v/>
      </c>
      <c r="X109">
        <f>IFERROR(INDEX(PP_Grid[#Data],$DD109,22),0)</f>
        <v/>
      </c>
      <c r="Y109">
        <f>IFERROR(INDEX(PP_Grid[#Data],$DD109,23),0)</f>
        <v/>
      </c>
      <c r="Z109">
        <f>IFERROR(INDEX(PP_Grid[#Data],$DD109,24),0)</f>
        <v/>
      </c>
      <c r="AA109">
        <f>IFERROR(INDEX(PP_Grid[#Data],$DD109,25),0)</f>
        <v/>
      </c>
      <c r="AB109">
        <f>IFERROR(INDEX(PP_Grid[#Data],$DD109,26),0)</f>
        <v/>
      </c>
      <c r="AC109">
        <f>IFERROR(INDEX(PP_Grid[#Data],$DD109,27),0)</f>
        <v/>
      </c>
      <c r="AD109">
        <f>IFERROR(INDEX(PP_Grid[#Data],$DD109,28),0)</f>
        <v/>
      </c>
      <c r="AE109">
        <f>IFERROR(INDEX(PP_Grid[#Data],$DD109,29),0)</f>
        <v/>
      </c>
      <c r="AF109">
        <f>IFERROR(INDEX(PP_Grid[#Data],$DD109,30),0)</f>
        <v/>
      </c>
      <c r="AG109">
        <f>IFERROR(INDEX(PP_Grid[#Data],$DD109,31),0)</f>
        <v/>
      </c>
      <c r="AH109">
        <f>IFERROR(INDEX(PP_Grid[#Data],$DD109,32),0)</f>
        <v/>
      </c>
      <c r="AI109">
        <f>IFERROR(INDEX(PP_Grid[#Data],$DD109,33),0)</f>
        <v/>
      </c>
      <c r="AJ109">
        <f>IFERROR(INDEX(PP_Grid[#Data],$DD109,34),0)</f>
        <v/>
      </c>
      <c r="AK109">
        <f>IFERROR(INDEX(PP_Grid[#Data],$DD109,35),0)</f>
        <v/>
      </c>
      <c r="AL109">
        <f>IFERROR(INDEX(PP_Grid[#Data],$DD109,36),0)</f>
        <v/>
      </c>
      <c r="AM109">
        <f>IFERROR(INDEX(PP_Grid[#Data],$DD109,37),0)</f>
        <v/>
      </c>
      <c r="AN109">
        <f>IFERROR(INDEX(PP_Grid[#Data],$DD109,38),0)</f>
        <v/>
      </c>
      <c r="AO109">
        <f>IFERROR(INDEX(PP_Grid[#Data],$DD109,39),0)</f>
        <v/>
      </c>
      <c r="AP109">
        <f>IFERROR(INDEX(PP_Grid[#Data],$DD109,40),0)</f>
        <v/>
      </c>
      <c r="AQ109">
        <f>IFERROR(INDEX(PP_Grid[#Data],$DD109,41),0)</f>
        <v/>
      </c>
      <c r="AR109">
        <f>IFERROR(INDEX(PP_Grid[#Data],$DD109,42),0)</f>
        <v/>
      </c>
      <c r="AS109">
        <f>IFERROR(INDEX(PP_Grid[#Data],$DD109,43),0)</f>
        <v/>
      </c>
      <c r="AT109">
        <f>IFERROR(INDEX(PP_Grid[#Data],$DD109,44),0)</f>
        <v/>
      </c>
      <c r="AU109">
        <f>IFERROR(INDEX(PP_Grid[#Data],$DD109,45),0)</f>
        <v/>
      </c>
      <c r="AV109">
        <f>IFERROR(INDEX(PP_Grid[#Data],$DD109,46),0)</f>
        <v/>
      </c>
      <c r="AW109">
        <f>IFERROR(INDEX(PP_Grid[#Data],$DD109,47),0)</f>
        <v/>
      </c>
      <c r="AX109">
        <f>IFERROR(INDEX(PP_Grid[#Data],$DD109,48),0)</f>
        <v/>
      </c>
      <c r="AY109">
        <f>IFERROR(INDEX(PP_Grid[#Data],$DD109,49),0)</f>
        <v/>
      </c>
      <c r="AZ109">
        <f>IFERROR(INDEX(PP_Grid[#Data],$DD109,50),0)</f>
        <v/>
      </c>
      <c r="BA109">
        <f>IFERROR(INDEX(PP_Grid[#Data],$DD109,51),0)</f>
        <v/>
      </c>
      <c r="BB109">
        <f>IFERROR(INDEX(PP_Grid[#Data],$DD109,52),0)</f>
        <v/>
      </c>
      <c r="BC109">
        <f>IFERROR(INDEX(PP_Grid[#Data],$DD109,53),0)</f>
        <v/>
      </c>
      <c r="BD109">
        <f>IFERROR(INDEX(PP_Grid[#Data],$DD109,54),0)</f>
        <v/>
      </c>
      <c r="BE109">
        <f>IFERROR(INDEX(PP_Grid[#Data],$DD109,55),0)</f>
        <v/>
      </c>
      <c r="BF109">
        <f>IFERROR(INDEX(PP_Grid[#Data],$DD109,56),0)</f>
        <v/>
      </c>
      <c r="BG109">
        <f>IFERROR(INDEX(PP_Grid[#Data],$DD109,57),0)</f>
        <v/>
      </c>
      <c r="BH109">
        <f>IFERROR(INDEX(PP_Grid[#Data],$DD109,58),0)</f>
        <v/>
      </c>
      <c r="BI109">
        <f>IFERROR(INDEX(PP_Grid[#Data],$DD109,59),0)</f>
        <v/>
      </c>
      <c r="BJ109">
        <f>IFERROR(INDEX(PP_Grid[#Data],$DD109,60),0)</f>
        <v/>
      </c>
      <c r="BK109">
        <f>IFERROR(INDEX(PP_Grid[#Data],$DD109,61),0)</f>
        <v/>
      </c>
      <c r="BL109">
        <f>IFERROR(INDEX(PP_Grid[#Data],$DD109,62),0)</f>
        <v/>
      </c>
      <c r="BM109">
        <f>IFERROR(INDEX(PP_Grid[#Data],$DD109,63),0)</f>
        <v/>
      </c>
      <c r="BN109">
        <f>IFERROR(INDEX(PP_Grid[#Data],$DD109,64),0)</f>
        <v/>
      </c>
      <c r="BO109">
        <f>IFERROR(INDEX(PP_Grid[#Data],$DD109,65),0)</f>
        <v/>
      </c>
      <c r="BP109">
        <f>IFERROR(INDEX(PP_Grid[#Data],$DD109,66),0)</f>
        <v/>
      </c>
      <c r="BQ109">
        <f>IFERROR(INDEX(PP_Grid[#Data],$DD109,67),0)</f>
        <v/>
      </c>
      <c r="BR109">
        <f>IFERROR(INDEX(PP_Grid[#Data],$DD109,68),0)</f>
        <v/>
      </c>
      <c r="BS109">
        <f>IFERROR(INDEX(PP_Grid[#Data],$DD109,69),0)</f>
        <v/>
      </c>
      <c r="BT109">
        <f>IFERROR(INDEX(PP_Grid[#Data],$DD109,70),0)</f>
        <v/>
      </c>
      <c r="BU109">
        <f>IFERROR(INDEX(PP_Grid[#Data],$DD109,71),0)</f>
        <v/>
      </c>
      <c r="BV109">
        <f>IFERROR(INDEX(PP_Grid[#Data],$DD109,72),0)</f>
        <v/>
      </c>
      <c r="BW109">
        <f>IFERROR(INDEX(PP_Grid[#Data],$DD109,73),0)</f>
        <v/>
      </c>
      <c r="BX109">
        <f>IFERROR(INDEX(PP_Grid[#Data],$DD109,74),0)</f>
        <v/>
      </c>
      <c r="BY109">
        <f>IFERROR(INDEX(PP_Grid[#Data],$DD109,75),0)</f>
        <v/>
      </c>
      <c r="BZ109">
        <f>IFERROR(INDEX(PP_Grid[#Data],$DD109,76),0)</f>
        <v/>
      </c>
      <c r="CA109">
        <f>IFERROR(INDEX(PP_Grid[#Data],$DD109,77),0)</f>
        <v/>
      </c>
      <c r="CB109">
        <f>IFERROR(INDEX(PP_Grid[#Data],$DD109,78),0)</f>
        <v/>
      </c>
      <c r="CC109">
        <f>IFERROR(INDEX(PP_Grid[#Data],$DD109,79),0)</f>
        <v/>
      </c>
      <c r="CD109">
        <f>IFERROR(INDEX(PP_Grid[#Data],$DD109,80),0)</f>
        <v/>
      </c>
      <c r="CE109">
        <f>IFERROR(INDEX(PP_Grid[#Data],$DD109,81),0)</f>
        <v/>
      </c>
      <c r="CF109">
        <f>IFERROR(INDEX(PP_Grid[#Data],$DD109,82),0)</f>
        <v/>
      </c>
      <c r="CG109">
        <f>IFERROR(INDEX(PP_Grid[#Data],$DD109,83),0)</f>
        <v/>
      </c>
      <c r="CH109">
        <f>IFERROR(INDEX(PP_Grid[#Data],$DD109,84),0)</f>
        <v/>
      </c>
      <c r="CI109">
        <f>IFERROR(INDEX(PP_Grid[#Data],$DD109,85),0)</f>
        <v/>
      </c>
      <c r="CJ109">
        <f>IFERROR(INDEX(PP_Grid[#Data],$DD109,86),0)</f>
        <v/>
      </c>
      <c r="CK109">
        <f>IFERROR(INDEX(PP_Grid[#Data],$DD109,87),0)</f>
        <v/>
      </c>
      <c r="CL109">
        <f>IFERROR(INDEX(PP_Grid[#Data],$DD109,88),0)</f>
        <v/>
      </c>
      <c r="CM109">
        <f>IFERROR(INDEX(PP_Grid[#Data],$DD109,89),0)</f>
        <v/>
      </c>
      <c r="CN109">
        <f>IFERROR(INDEX(PP_Grid[#Data],$DD109,90),0)</f>
        <v/>
      </c>
      <c r="CO109">
        <f>IFERROR(INDEX(PP_Grid[#Data],$DD109,91),0)</f>
        <v/>
      </c>
      <c r="CP109">
        <f>IFERROR(INDEX(PP_Grid[#Data],$DD109,92),0)</f>
        <v/>
      </c>
      <c r="CQ109">
        <f>IFERROR(INDEX(PP_Grid[#Data],$DD109,93),0)</f>
        <v/>
      </c>
      <c r="CR109">
        <f>IFERROR(INDEX(PP_Grid[#Data],$DD109,94),0)</f>
        <v/>
      </c>
      <c r="CS109">
        <f>IFERROR(INDEX(PP_Grid[#Data],$DD109,95),0)</f>
        <v/>
      </c>
      <c r="CT109">
        <f>IFERROR(INDEX(PP_Grid[#Data],$DD109,96),0)</f>
        <v/>
      </c>
      <c r="CU109">
        <f>IFERROR(INDEX(PP_Grid[#Data],$DD109,97),0)</f>
        <v/>
      </c>
      <c r="CV109">
        <f>IFERROR(INDEX(PP_Grid[#Data],$DD109,98),0)</f>
        <v/>
      </c>
      <c r="CW109">
        <f>IFERROR(INDEX(PP_Grid[#Data],$DD109,99),0)</f>
        <v/>
      </c>
      <c r="CX109">
        <f>IFERROR(INDEX(PP_Grid[#Data],$DD109,100),0)</f>
        <v/>
      </c>
      <c r="CY109">
        <f>IFERROR(INDEX(PP_Grid[#Data],$DD109,101),0)</f>
        <v/>
      </c>
      <c r="CZ109">
        <f>IFERROR(INDEX(PP_Grid[#Data],$DD109,102),0)</f>
        <v/>
      </c>
      <c r="DA109">
        <f>IFERROR(INDEX(PP_Grid[#Data],$DD109,103),0)</f>
        <v/>
      </c>
      <c r="DB109">
        <f>IFERROR(INDEX(PP_Grid[#Data],$DD109,104),0)</f>
        <v/>
      </c>
      <c r="DC109">
        <f>IFERROR(INDEX(PP_Grid[#Data],$DD109,105),0)</f>
        <v/>
      </c>
      <c r="DD109" s="7">
        <f>IFERROR(MATCH($B109,PP_Grid[Intermediate],0),99999)</f>
        <v/>
      </c>
    </row>
    <row r="110">
      <c r="B110" t="inlineStr">
        <is>
          <t>使用量(kg)</t>
        </is>
      </c>
      <c r="C110">
        <f>SUMIFS(M_BOM[RM_Qty_Per_Batch],M_BOM[Intermediate],$B109,M_BOM[Part Name],$A44)</f>
        <v/>
      </c>
      <c r="D110">
        <f>$C110*D109</f>
        <v/>
      </c>
      <c r="E110">
        <f>$C110*E109</f>
        <v/>
      </c>
      <c r="F110">
        <f>$C110*F109</f>
        <v/>
      </c>
      <c r="G110">
        <f>$C110*G109</f>
        <v/>
      </c>
      <c r="H110">
        <f>$C110*H109</f>
        <v/>
      </c>
      <c r="I110">
        <f>$C110*I109</f>
        <v/>
      </c>
      <c r="J110">
        <f>$C110*J109</f>
        <v/>
      </c>
      <c r="K110">
        <f>$C110*K109</f>
        <v/>
      </c>
      <c r="L110">
        <f>$C110*L109</f>
        <v/>
      </c>
      <c r="M110">
        <f>$C110*M109</f>
        <v/>
      </c>
      <c r="N110">
        <f>$C110*N109</f>
        <v/>
      </c>
      <c r="O110">
        <f>$C110*O109</f>
        <v/>
      </c>
      <c r="P110">
        <f>$C110*P109</f>
        <v/>
      </c>
      <c r="Q110">
        <f>$C110*Q109</f>
        <v/>
      </c>
      <c r="R110">
        <f>$C110*R109</f>
        <v/>
      </c>
      <c r="S110">
        <f>$C110*S109</f>
        <v/>
      </c>
      <c r="T110">
        <f>$C110*T109</f>
        <v/>
      </c>
      <c r="U110">
        <f>$C110*U109</f>
        <v/>
      </c>
      <c r="V110">
        <f>$C110*V109</f>
        <v/>
      </c>
      <c r="W110">
        <f>$C110*W109</f>
        <v/>
      </c>
      <c r="X110">
        <f>$C110*X109</f>
        <v/>
      </c>
      <c r="Y110">
        <f>$C110*Y109</f>
        <v/>
      </c>
      <c r="Z110">
        <f>$C110*Z109</f>
        <v/>
      </c>
      <c r="AA110">
        <f>$C110*AA109</f>
        <v/>
      </c>
      <c r="AB110">
        <f>$C110*AB109</f>
        <v/>
      </c>
      <c r="AC110">
        <f>$C110*AC109</f>
        <v/>
      </c>
      <c r="AD110">
        <f>$C110*AD109</f>
        <v/>
      </c>
      <c r="AE110">
        <f>$C110*AE109</f>
        <v/>
      </c>
      <c r="AF110">
        <f>$C110*AF109</f>
        <v/>
      </c>
      <c r="AG110">
        <f>$C110*AG109</f>
        <v/>
      </c>
      <c r="AH110">
        <f>$C110*AH109</f>
        <v/>
      </c>
      <c r="AI110">
        <f>$C110*AI109</f>
        <v/>
      </c>
      <c r="AJ110">
        <f>$C110*AJ109</f>
        <v/>
      </c>
      <c r="AK110">
        <f>$C110*AK109</f>
        <v/>
      </c>
      <c r="AL110">
        <f>$C110*AL109</f>
        <v/>
      </c>
      <c r="AM110">
        <f>$C110*AM109</f>
        <v/>
      </c>
      <c r="AN110">
        <f>$C110*AN109</f>
        <v/>
      </c>
      <c r="AO110">
        <f>$C110*AO109</f>
        <v/>
      </c>
      <c r="AP110">
        <f>$C110*AP109</f>
        <v/>
      </c>
      <c r="AQ110">
        <f>$C110*AQ109</f>
        <v/>
      </c>
      <c r="AR110">
        <f>$C110*AR109</f>
        <v/>
      </c>
      <c r="AS110">
        <f>$C110*AS109</f>
        <v/>
      </c>
      <c r="AT110">
        <f>$C110*AT109</f>
        <v/>
      </c>
      <c r="AU110">
        <f>$C110*AU109</f>
        <v/>
      </c>
      <c r="AV110">
        <f>$C110*AV109</f>
        <v/>
      </c>
      <c r="AW110">
        <f>$C110*AW109</f>
        <v/>
      </c>
      <c r="AX110">
        <f>$C110*AX109</f>
        <v/>
      </c>
      <c r="AY110">
        <f>$C110*AY109</f>
        <v/>
      </c>
      <c r="AZ110">
        <f>$C110*AZ109</f>
        <v/>
      </c>
      <c r="BA110">
        <f>$C110*BA109</f>
        <v/>
      </c>
      <c r="BB110">
        <f>$C110*BB109</f>
        <v/>
      </c>
      <c r="BC110">
        <f>$C110*BC109</f>
        <v/>
      </c>
      <c r="BD110">
        <f>$C110*BD109</f>
        <v/>
      </c>
      <c r="BE110">
        <f>$C110*BE109</f>
        <v/>
      </c>
      <c r="BF110">
        <f>$C110*BF109</f>
        <v/>
      </c>
      <c r="BG110">
        <f>$C110*BG109</f>
        <v/>
      </c>
      <c r="BH110">
        <f>$C110*BH109</f>
        <v/>
      </c>
      <c r="BI110">
        <f>$C110*BI109</f>
        <v/>
      </c>
      <c r="BJ110">
        <f>$C110*BJ109</f>
        <v/>
      </c>
      <c r="BK110">
        <f>$C110*BK109</f>
        <v/>
      </c>
      <c r="BL110">
        <f>$C110*BL109</f>
        <v/>
      </c>
      <c r="BM110">
        <f>$C110*BM109</f>
        <v/>
      </c>
      <c r="BN110">
        <f>$C110*BN109</f>
        <v/>
      </c>
      <c r="BO110">
        <f>$C110*BO109</f>
        <v/>
      </c>
      <c r="BP110">
        <f>$C110*BP109</f>
        <v/>
      </c>
      <c r="BQ110">
        <f>$C110*BQ109</f>
        <v/>
      </c>
      <c r="BR110">
        <f>$C110*BR109</f>
        <v/>
      </c>
      <c r="BS110">
        <f>$C110*BS109</f>
        <v/>
      </c>
      <c r="BT110">
        <f>$C110*BT109</f>
        <v/>
      </c>
      <c r="BU110">
        <f>$C110*BU109</f>
        <v/>
      </c>
      <c r="BV110">
        <f>$C110*BV109</f>
        <v/>
      </c>
      <c r="BW110">
        <f>$C110*BW109</f>
        <v/>
      </c>
      <c r="BX110">
        <f>$C110*BX109</f>
        <v/>
      </c>
      <c r="BY110">
        <f>$C110*BY109</f>
        <v/>
      </c>
      <c r="BZ110">
        <f>$C110*BZ109</f>
        <v/>
      </c>
      <c r="CA110">
        <f>$C110*CA109</f>
        <v/>
      </c>
      <c r="CB110">
        <f>$C110*CB109</f>
        <v/>
      </c>
      <c r="CC110">
        <f>$C110*CC109</f>
        <v/>
      </c>
      <c r="CD110">
        <f>$C110*CD109</f>
        <v/>
      </c>
      <c r="CE110">
        <f>$C110*CE109</f>
        <v/>
      </c>
      <c r="CF110">
        <f>$C110*CF109</f>
        <v/>
      </c>
      <c r="CG110">
        <f>$C110*CG109</f>
        <v/>
      </c>
      <c r="CH110">
        <f>$C110*CH109</f>
        <v/>
      </c>
      <c r="CI110">
        <f>$C110*CI109</f>
        <v/>
      </c>
      <c r="CJ110">
        <f>$C110*CJ109</f>
        <v/>
      </c>
      <c r="CK110">
        <f>$C110*CK109</f>
        <v/>
      </c>
      <c r="CL110">
        <f>$C110*CL109</f>
        <v/>
      </c>
      <c r="CM110">
        <f>$C110*CM109</f>
        <v/>
      </c>
      <c r="CN110">
        <f>$C110*CN109</f>
        <v/>
      </c>
      <c r="CO110">
        <f>$C110*CO109</f>
        <v/>
      </c>
      <c r="CP110">
        <f>$C110*CP109</f>
        <v/>
      </c>
      <c r="CQ110">
        <f>$C110*CQ109</f>
        <v/>
      </c>
      <c r="CR110">
        <f>$C110*CR109</f>
        <v/>
      </c>
      <c r="CS110">
        <f>$C110*CS109</f>
        <v/>
      </c>
      <c r="CT110">
        <f>$C110*CT109</f>
        <v/>
      </c>
      <c r="CU110">
        <f>$C110*CU109</f>
        <v/>
      </c>
      <c r="CV110">
        <f>$C110*CV109</f>
        <v/>
      </c>
      <c r="CW110">
        <f>$C110*CW109</f>
        <v/>
      </c>
      <c r="CX110">
        <f>$C110*CX109</f>
        <v/>
      </c>
      <c r="CY110">
        <f>$C110*CY109</f>
        <v/>
      </c>
      <c r="CZ110">
        <f>$C110*CZ109</f>
        <v/>
      </c>
      <c r="DA110">
        <f>$C110*DA109</f>
        <v/>
      </c>
      <c r="DB110">
        <f>$C110*DB109</f>
        <v/>
      </c>
      <c r="DC110">
        <f>$C110*DC109</f>
        <v/>
      </c>
    </row>
    <row r="111">
      <c r="B111" t="inlineStr">
        <is>
          <t>TSP-668</t>
        </is>
      </c>
      <c r="C111" t="inlineStr">
        <is>
          <t>No. of batches</t>
        </is>
      </c>
      <c r="D111">
        <f>IFERROR(INDEX(PP_Grid[#Data],$DD111,2),0)</f>
        <v/>
      </c>
      <c r="E111">
        <f>IFERROR(INDEX(PP_Grid[#Data],$DD111,3),0)</f>
        <v/>
      </c>
      <c r="F111">
        <f>IFERROR(INDEX(PP_Grid[#Data],$DD111,4),0)</f>
        <v/>
      </c>
      <c r="G111">
        <f>IFERROR(INDEX(PP_Grid[#Data],$DD111,5),0)</f>
        <v/>
      </c>
      <c r="H111">
        <f>IFERROR(INDEX(PP_Grid[#Data],$DD111,6),0)</f>
        <v/>
      </c>
      <c r="I111">
        <f>IFERROR(INDEX(PP_Grid[#Data],$DD111,7),0)</f>
        <v/>
      </c>
      <c r="J111">
        <f>IFERROR(INDEX(PP_Grid[#Data],$DD111,8),0)</f>
        <v/>
      </c>
      <c r="K111">
        <f>IFERROR(INDEX(PP_Grid[#Data],$DD111,9),0)</f>
        <v/>
      </c>
      <c r="L111">
        <f>IFERROR(INDEX(PP_Grid[#Data],$DD111,10),0)</f>
        <v/>
      </c>
      <c r="M111">
        <f>IFERROR(INDEX(PP_Grid[#Data],$DD111,11),0)</f>
        <v/>
      </c>
      <c r="N111">
        <f>IFERROR(INDEX(PP_Grid[#Data],$DD111,12),0)</f>
        <v/>
      </c>
      <c r="O111">
        <f>IFERROR(INDEX(PP_Grid[#Data],$DD111,13),0)</f>
        <v/>
      </c>
      <c r="P111">
        <f>IFERROR(INDEX(PP_Grid[#Data],$DD111,14),0)</f>
        <v/>
      </c>
      <c r="Q111">
        <f>IFERROR(INDEX(PP_Grid[#Data],$DD111,15),0)</f>
        <v/>
      </c>
      <c r="R111">
        <f>IFERROR(INDEX(PP_Grid[#Data],$DD111,16),0)</f>
        <v/>
      </c>
      <c r="S111">
        <f>IFERROR(INDEX(PP_Grid[#Data],$DD111,17),0)</f>
        <v/>
      </c>
      <c r="T111">
        <f>IFERROR(INDEX(PP_Grid[#Data],$DD111,18),0)</f>
        <v/>
      </c>
      <c r="U111">
        <f>IFERROR(INDEX(PP_Grid[#Data],$DD111,19),0)</f>
        <v/>
      </c>
      <c r="V111">
        <f>IFERROR(INDEX(PP_Grid[#Data],$DD111,20),0)</f>
        <v/>
      </c>
      <c r="W111">
        <f>IFERROR(INDEX(PP_Grid[#Data],$DD111,21),0)</f>
        <v/>
      </c>
      <c r="X111">
        <f>IFERROR(INDEX(PP_Grid[#Data],$DD111,22),0)</f>
        <v/>
      </c>
      <c r="Y111">
        <f>IFERROR(INDEX(PP_Grid[#Data],$DD111,23),0)</f>
        <v/>
      </c>
      <c r="Z111">
        <f>IFERROR(INDEX(PP_Grid[#Data],$DD111,24),0)</f>
        <v/>
      </c>
      <c r="AA111">
        <f>IFERROR(INDEX(PP_Grid[#Data],$DD111,25),0)</f>
        <v/>
      </c>
      <c r="AB111">
        <f>IFERROR(INDEX(PP_Grid[#Data],$DD111,26),0)</f>
        <v/>
      </c>
      <c r="AC111">
        <f>IFERROR(INDEX(PP_Grid[#Data],$DD111,27),0)</f>
        <v/>
      </c>
      <c r="AD111">
        <f>IFERROR(INDEX(PP_Grid[#Data],$DD111,28),0)</f>
        <v/>
      </c>
      <c r="AE111">
        <f>IFERROR(INDEX(PP_Grid[#Data],$DD111,29),0)</f>
        <v/>
      </c>
      <c r="AF111">
        <f>IFERROR(INDEX(PP_Grid[#Data],$DD111,30),0)</f>
        <v/>
      </c>
      <c r="AG111">
        <f>IFERROR(INDEX(PP_Grid[#Data],$DD111,31),0)</f>
        <v/>
      </c>
      <c r="AH111">
        <f>IFERROR(INDEX(PP_Grid[#Data],$DD111,32),0)</f>
        <v/>
      </c>
      <c r="AI111">
        <f>IFERROR(INDEX(PP_Grid[#Data],$DD111,33),0)</f>
        <v/>
      </c>
      <c r="AJ111">
        <f>IFERROR(INDEX(PP_Grid[#Data],$DD111,34),0)</f>
        <v/>
      </c>
      <c r="AK111">
        <f>IFERROR(INDEX(PP_Grid[#Data],$DD111,35),0)</f>
        <v/>
      </c>
      <c r="AL111">
        <f>IFERROR(INDEX(PP_Grid[#Data],$DD111,36),0)</f>
        <v/>
      </c>
      <c r="AM111">
        <f>IFERROR(INDEX(PP_Grid[#Data],$DD111,37),0)</f>
        <v/>
      </c>
      <c r="AN111">
        <f>IFERROR(INDEX(PP_Grid[#Data],$DD111,38),0)</f>
        <v/>
      </c>
      <c r="AO111">
        <f>IFERROR(INDEX(PP_Grid[#Data],$DD111,39),0)</f>
        <v/>
      </c>
      <c r="AP111">
        <f>IFERROR(INDEX(PP_Grid[#Data],$DD111,40),0)</f>
        <v/>
      </c>
      <c r="AQ111">
        <f>IFERROR(INDEX(PP_Grid[#Data],$DD111,41),0)</f>
        <v/>
      </c>
      <c r="AR111">
        <f>IFERROR(INDEX(PP_Grid[#Data],$DD111,42),0)</f>
        <v/>
      </c>
      <c r="AS111">
        <f>IFERROR(INDEX(PP_Grid[#Data],$DD111,43),0)</f>
        <v/>
      </c>
      <c r="AT111">
        <f>IFERROR(INDEX(PP_Grid[#Data],$DD111,44),0)</f>
        <v/>
      </c>
      <c r="AU111">
        <f>IFERROR(INDEX(PP_Grid[#Data],$DD111,45),0)</f>
        <v/>
      </c>
      <c r="AV111">
        <f>IFERROR(INDEX(PP_Grid[#Data],$DD111,46),0)</f>
        <v/>
      </c>
      <c r="AW111">
        <f>IFERROR(INDEX(PP_Grid[#Data],$DD111,47),0)</f>
        <v/>
      </c>
      <c r="AX111">
        <f>IFERROR(INDEX(PP_Grid[#Data],$DD111,48),0)</f>
        <v/>
      </c>
      <c r="AY111">
        <f>IFERROR(INDEX(PP_Grid[#Data],$DD111,49),0)</f>
        <v/>
      </c>
      <c r="AZ111">
        <f>IFERROR(INDEX(PP_Grid[#Data],$DD111,50),0)</f>
        <v/>
      </c>
      <c r="BA111">
        <f>IFERROR(INDEX(PP_Grid[#Data],$DD111,51),0)</f>
        <v/>
      </c>
      <c r="BB111">
        <f>IFERROR(INDEX(PP_Grid[#Data],$DD111,52),0)</f>
        <v/>
      </c>
      <c r="BC111">
        <f>IFERROR(INDEX(PP_Grid[#Data],$DD111,53),0)</f>
        <v/>
      </c>
      <c r="BD111">
        <f>IFERROR(INDEX(PP_Grid[#Data],$DD111,54),0)</f>
        <v/>
      </c>
      <c r="BE111">
        <f>IFERROR(INDEX(PP_Grid[#Data],$DD111,55),0)</f>
        <v/>
      </c>
      <c r="BF111">
        <f>IFERROR(INDEX(PP_Grid[#Data],$DD111,56),0)</f>
        <v/>
      </c>
      <c r="BG111">
        <f>IFERROR(INDEX(PP_Grid[#Data],$DD111,57),0)</f>
        <v/>
      </c>
      <c r="BH111">
        <f>IFERROR(INDEX(PP_Grid[#Data],$DD111,58),0)</f>
        <v/>
      </c>
      <c r="BI111">
        <f>IFERROR(INDEX(PP_Grid[#Data],$DD111,59),0)</f>
        <v/>
      </c>
      <c r="BJ111">
        <f>IFERROR(INDEX(PP_Grid[#Data],$DD111,60),0)</f>
        <v/>
      </c>
      <c r="BK111">
        <f>IFERROR(INDEX(PP_Grid[#Data],$DD111,61),0)</f>
        <v/>
      </c>
      <c r="BL111">
        <f>IFERROR(INDEX(PP_Grid[#Data],$DD111,62),0)</f>
        <v/>
      </c>
      <c r="BM111">
        <f>IFERROR(INDEX(PP_Grid[#Data],$DD111,63),0)</f>
        <v/>
      </c>
      <c r="BN111">
        <f>IFERROR(INDEX(PP_Grid[#Data],$DD111,64),0)</f>
        <v/>
      </c>
      <c r="BO111">
        <f>IFERROR(INDEX(PP_Grid[#Data],$DD111,65),0)</f>
        <v/>
      </c>
      <c r="BP111">
        <f>IFERROR(INDEX(PP_Grid[#Data],$DD111,66),0)</f>
        <v/>
      </c>
      <c r="BQ111">
        <f>IFERROR(INDEX(PP_Grid[#Data],$DD111,67),0)</f>
        <v/>
      </c>
      <c r="BR111">
        <f>IFERROR(INDEX(PP_Grid[#Data],$DD111,68),0)</f>
        <v/>
      </c>
      <c r="BS111">
        <f>IFERROR(INDEX(PP_Grid[#Data],$DD111,69),0)</f>
        <v/>
      </c>
      <c r="BT111">
        <f>IFERROR(INDEX(PP_Grid[#Data],$DD111,70),0)</f>
        <v/>
      </c>
      <c r="BU111">
        <f>IFERROR(INDEX(PP_Grid[#Data],$DD111,71),0)</f>
        <v/>
      </c>
      <c r="BV111">
        <f>IFERROR(INDEX(PP_Grid[#Data],$DD111,72),0)</f>
        <v/>
      </c>
      <c r="BW111">
        <f>IFERROR(INDEX(PP_Grid[#Data],$DD111,73),0)</f>
        <v/>
      </c>
      <c r="BX111">
        <f>IFERROR(INDEX(PP_Grid[#Data],$DD111,74),0)</f>
        <v/>
      </c>
      <c r="BY111">
        <f>IFERROR(INDEX(PP_Grid[#Data],$DD111,75),0)</f>
        <v/>
      </c>
      <c r="BZ111">
        <f>IFERROR(INDEX(PP_Grid[#Data],$DD111,76),0)</f>
        <v/>
      </c>
      <c r="CA111">
        <f>IFERROR(INDEX(PP_Grid[#Data],$DD111,77),0)</f>
        <v/>
      </c>
      <c r="CB111">
        <f>IFERROR(INDEX(PP_Grid[#Data],$DD111,78),0)</f>
        <v/>
      </c>
      <c r="CC111">
        <f>IFERROR(INDEX(PP_Grid[#Data],$DD111,79),0)</f>
        <v/>
      </c>
      <c r="CD111">
        <f>IFERROR(INDEX(PP_Grid[#Data],$DD111,80),0)</f>
        <v/>
      </c>
      <c r="CE111">
        <f>IFERROR(INDEX(PP_Grid[#Data],$DD111,81),0)</f>
        <v/>
      </c>
      <c r="CF111">
        <f>IFERROR(INDEX(PP_Grid[#Data],$DD111,82),0)</f>
        <v/>
      </c>
      <c r="CG111">
        <f>IFERROR(INDEX(PP_Grid[#Data],$DD111,83),0)</f>
        <v/>
      </c>
      <c r="CH111">
        <f>IFERROR(INDEX(PP_Grid[#Data],$DD111,84),0)</f>
        <v/>
      </c>
      <c r="CI111">
        <f>IFERROR(INDEX(PP_Grid[#Data],$DD111,85),0)</f>
        <v/>
      </c>
      <c r="CJ111">
        <f>IFERROR(INDEX(PP_Grid[#Data],$DD111,86),0)</f>
        <v/>
      </c>
      <c r="CK111">
        <f>IFERROR(INDEX(PP_Grid[#Data],$DD111,87),0)</f>
        <v/>
      </c>
      <c r="CL111">
        <f>IFERROR(INDEX(PP_Grid[#Data],$DD111,88),0)</f>
        <v/>
      </c>
      <c r="CM111">
        <f>IFERROR(INDEX(PP_Grid[#Data],$DD111,89),0)</f>
        <v/>
      </c>
      <c r="CN111">
        <f>IFERROR(INDEX(PP_Grid[#Data],$DD111,90),0)</f>
        <v/>
      </c>
      <c r="CO111">
        <f>IFERROR(INDEX(PP_Grid[#Data],$DD111,91),0)</f>
        <v/>
      </c>
      <c r="CP111">
        <f>IFERROR(INDEX(PP_Grid[#Data],$DD111,92),0)</f>
        <v/>
      </c>
      <c r="CQ111">
        <f>IFERROR(INDEX(PP_Grid[#Data],$DD111,93),0)</f>
        <v/>
      </c>
      <c r="CR111">
        <f>IFERROR(INDEX(PP_Grid[#Data],$DD111,94),0)</f>
        <v/>
      </c>
      <c r="CS111">
        <f>IFERROR(INDEX(PP_Grid[#Data],$DD111,95),0)</f>
        <v/>
      </c>
      <c r="CT111">
        <f>IFERROR(INDEX(PP_Grid[#Data],$DD111,96),0)</f>
        <v/>
      </c>
      <c r="CU111">
        <f>IFERROR(INDEX(PP_Grid[#Data],$DD111,97),0)</f>
        <v/>
      </c>
      <c r="CV111">
        <f>IFERROR(INDEX(PP_Grid[#Data],$DD111,98),0)</f>
        <v/>
      </c>
      <c r="CW111">
        <f>IFERROR(INDEX(PP_Grid[#Data],$DD111,99),0)</f>
        <v/>
      </c>
      <c r="CX111">
        <f>IFERROR(INDEX(PP_Grid[#Data],$DD111,100),0)</f>
        <v/>
      </c>
      <c r="CY111">
        <f>IFERROR(INDEX(PP_Grid[#Data],$DD111,101),0)</f>
        <v/>
      </c>
      <c r="CZ111">
        <f>IFERROR(INDEX(PP_Grid[#Data],$DD111,102),0)</f>
        <v/>
      </c>
      <c r="DA111">
        <f>IFERROR(INDEX(PP_Grid[#Data],$DD111,103),0)</f>
        <v/>
      </c>
      <c r="DB111">
        <f>IFERROR(INDEX(PP_Grid[#Data],$DD111,104),0)</f>
        <v/>
      </c>
      <c r="DC111">
        <f>IFERROR(INDEX(PP_Grid[#Data],$DD111,105),0)</f>
        <v/>
      </c>
      <c r="DD111" s="7">
        <f>IFERROR(MATCH($B111,PP_Grid[Intermediate],0),99999)</f>
        <v/>
      </c>
    </row>
    <row r="112">
      <c r="B112" t="inlineStr">
        <is>
          <t>使用量(kg)</t>
        </is>
      </c>
      <c r="C112">
        <f>SUMIFS(M_BOM[RM_Qty_Per_Batch],M_BOM[Intermediate],$B111,M_BOM[Part Name],$A44)</f>
        <v/>
      </c>
      <c r="D112">
        <f>$C112*D111</f>
        <v/>
      </c>
      <c r="E112">
        <f>$C112*E111</f>
        <v/>
      </c>
      <c r="F112">
        <f>$C112*F111</f>
        <v/>
      </c>
      <c r="G112">
        <f>$C112*G111</f>
        <v/>
      </c>
      <c r="H112">
        <f>$C112*H111</f>
        <v/>
      </c>
      <c r="I112">
        <f>$C112*I111</f>
        <v/>
      </c>
      <c r="J112">
        <f>$C112*J111</f>
        <v/>
      </c>
      <c r="K112">
        <f>$C112*K111</f>
        <v/>
      </c>
      <c r="L112">
        <f>$C112*L111</f>
        <v/>
      </c>
      <c r="M112">
        <f>$C112*M111</f>
        <v/>
      </c>
      <c r="N112">
        <f>$C112*N111</f>
        <v/>
      </c>
      <c r="O112">
        <f>$C112*O111</f>
        <v/>
      </c>
      <c r="P112">
        <f>$C112*P111</f>
        <v/>
      </c>
      <c r="Q112">
        <f>$C112*Q111</f>
        <v/>
      </c>
      <c r="R112">
        <f>$C112*R111</f>
        <v/>
      </c>
      <c r="S112">
        <f>$C112*S111</f>
        <v/>
      </c>
      <c r="T112">
        <f>$C112*T111</f>
        <v/>
      </c>
      <c r="U112">
        <f>$C112*U111</f>
        <v/>
      </c>
      <c r="V112">
        <f>$C112*V111</f>
        <v/>
      </c>
      <c r="W112">
        <f>$C112*W111</f>
        <v/>
      </c>
      <c r="X112">
        <f>$C112*X111</f>
        <v/>
      </c>
      <c r="Y112">
        <f>$C112*Y111</f>
        <v/>
      </c>
      <c r="Z112">
        <f>$C112*Z111</f>
        <v/>
      </c>
      <c r="AA112">
        <f>$C112*AA111</f>
        <v/>
      </c>
      <c r="AB112">
        <f>$C112*AB111</f>
        <v/>
      </c>
      <c r="AC112">
        <f>$C112*AC111</f>
        <v/>
      </c>
      <c r="AD112">
        <f>$C112*AD111</f>
        <v/>
      </c>
      <c r="AE112">
        <f>$C112*AE111</f>
        <v/>
      </c>
      <c r="AF112">
        <f>$C112*AF111</f>
        <v/>
      </c>
      <c r="AG112">
        <f>$C112*AG111</f>
        <v/>
      </c>
      <c r="AH112">
        <f>$C112*AH111</f>
        <v/>
      </c>
      <c r="AI112">
        <f>$C112*AI111</f>
        <v/>
      </c>
      <c r="AJ112">
        <f>$C112*AJ111</f>
        <v/>
      </c>
      <c r="AK112">
        <f>$C112*AK111</f>
        <v/>
      </c>
      <c r="AL112">
        <f>$C112*AL111</f>
        <v/>
      </c>
      <c r="AM112">
        <f>$C112*AM111</f>
        <v/>
      </c>
      <c r="AN112">
        <f>$C112*AN111</f>
        <v/>
      </c>
      <c r="AO112">
        <f>$C112*AO111</f>
        <v/>
      </c>
      <c r="AP112">
        <f>$C112*AP111</f>
        <v/>
      </c>
      <c r="AQ112">
        <f>$C112*AQ111</f>
        <v/>
      </c>
      <c r="AR112">
        <f>$C112*AR111</f>
        <v/>
      </c>
      <c r="AS112">
        <f>$C112*AS111</f>
        <v/>
      </c>
      <c r="AT112">
        <f>$C112*AT111</f>
        <v/>
      </c>
      <c r="AU112">
        <f>$C112*AU111</f>
        <v/>
      </c>
      <c r="AV112">
        <f>$C112*AV111</f>
        <v/>
      </c>
      <c r="AW112">
        <f>$C112*AW111</f>
        <v/>
      </c>
      <c r="AX112">
        <f>$C112*AX111</f>
        <v/>
      </c>
      <c r="AY112">
        <f>$C112*AY111</f>
        <v/>
      </c>
      <c r="AZ112">
        <f>$C112*AZ111</f>
        <v/>
      </c>
      <c r="BA112">
        <f>$C112*BA111</f>
        <v/>
      </c>
      <c r="BB112">
        <f>$C112*BB111</f>
        <v/>
      </c>
      <c r="BC112">
        <f>$C112*BC111</f>
        <v/>
      </c>
      <c r="BD112">
        <f>$C112*BD111</f>
        <v/>
      </c>
      <c r="BE112">
        <f>$C112*BE111</f>
        <v/>
      </c>
      <c r="BF112">
        <f>$C112*BF111</f>
        <v/>
      </c>
      <c r="BG112">
        <f>$C112*BG111</f>
        <v/>
      </c>
      <c r="BH112">
        <f>$C112*BH111</f>
        <v/>
      </c>
      <c r="BI112">
        <f>$C112*BI111</f>
        <v/>
      </c>
      <c r="BJ112">
        <f>$C112*BJ111</f>
        <v/>
      </c>
      <c r="BK112">
        <f>$C112*BK111</f>
        <v/>
      </c>
      <c r="BL112">
        <f>$C112*BL111</f>
        <v/>
      </c>
      <c r="BM112">
        <f>$C112*BM111</f>
        <v/>
      </c>
      <c r="BN112">
        <f>$C112*BN111</f>
        <v/>
      </c>
      <c r="BO112">
        <f>$C112*BO111</f>
        <v/>
      </c>
      <c r="BP112">
        <f>$C112*BP111</f>
        <v/>
      </c>
      <c r="BQ112">
        <f>$C112*BQ111</f>
        <v/>
      </c>
      <c r="BR112">
        <f>$C112*BR111</f>
        <v/>
      </c>
      <c r="BS112">
        <f>$C112*BS111</f>
        <v/>
      </c>
      <c r="BT112">
        <f>$C112*BT111</f>
        <v/>
      </c>
      <c r="BU112">
        <f>$C112*BU111</f>
        <v/>
      </c>
      <c r="BV112">
        <f>$C112*BV111</f>
        <v/>
      </c>
      <c r="BW112">
        <f>$C112*BW111</f>
        <v/>
      </c>
      <c r="BX112">
        <f>$C112*BX111</f>
        <v/>
      </c>
      <c r="BY112">
        <f>$C112*BY111</f>
        <v/>
      </c>
      <c r="BZ112">
        <f>$C112*BZ111</f>
        <v/>
      </c>
      <c r="CA112">
        <f>$C112*CA111</f>
        <v/>
      </c>
      <c r="CB112">
        <f>$C112*CB111</f>
        <v/>
      </c>
      <c r="CC112">
        <f>$C112*CC111</f>
        <v/>
      </c>
      <c r="CD112">
        <f>$C112*CD111</f>
        <v/>
      </c>
      <c r="CE112">
        <f>$C112*CE111</f>
        <v/>
      </c>
      <c r="CF112">
        <f>$C112*CF111</f>
        <v/>
      </c>
      <c r="CG112">
        <f>$C112*CG111</f>
        <v/>
      </c>
      <c r="CH112">
        <f>$C112*CH111</f>
        <v/>
      </c>
      <c r="CI112">
        <f>$C112*CI111</f>
        <v/>
      </c>
      <c r="CJ112">
        <f>$C112*CJ111</f>
        <v/>
      </c>
      <c r="CK112">
        <f>$C112*CK111</f>
        <v/>
      </c>
      <c r="CL112">
        <f>$C112*CL111</f>
        <v/>
      </c>
      <c r="CM112">
        <f>$C112*CM111</f>
        <v/>
      </c>
      <c r="CN112">
        <f>$C112*CN111</f>
        <v/>
      </c>
      <c r="CO112">
        <f>$C112*CO111</f>
        <v/>
      </c>
      <c r="CP112">
        <f>$C112*CP111</f>
        <v/>
      </c>
      <c r="CQ112">
        <f>$C112*CQ111</f>
        <v/>
      </c>
      <c r="CR112">
        <f>$C112*CR111</f>
        <v/>
      </c>
      <c r="CS112">
        <f>$C112*CS111</f>
        <v/>
      </c>
      <c r="CT112">
        <f>$C112*CT111</f>
        <v/>
      </c>
      <c r="CU112">
        <f>$C112*CU111</f>
        <v/>
      </c>
      <c r="CV112">
        <f>$C112*CV111</f>
        <v/>
      </c>
      <c r="CW112">
        <f>$C112*CW111</f>
        <v/>
      </c>
      <c r="CX112">
        <f>$C112*CX111</f>
        <v/>
      </c>
      <c r="CY112">
        <f>$C112*CY111</f>
        <v/>
      </c>
      <c r="CZ112">
        <f>$C112*CZ111</f>
        <v/>
      </c>
      <c r="DA112">
        <f>$C112*DA111</f>
        <v/>
      </c>
      <c r="DB112">
        <f>$C112*DB111</f>
        <v/>
      </c>
      <c r="DC112">
        <f>$C112*DC111</f>
        <v/>
      </c>
    </row>
    <row r="113">
      <c r="B113" t="inlineStr">
        <is>
          <t>TSP-669</t>
        </is>
      </c>
      <c r="C113" t="inlineStr">
        <is>
          <t>No. of batches</t>
        </is>
      </c>
      <c r="D113">
        <f>IFERROR(INDEX(PP_Grid[#Data],$DD113,2),0)</f>
        <v/>
      </c>
      <c r="E113">
        <f>IFERROR(INDEX(PP_Grid[#Data],$DD113,3),0)</f>
        <v/>
      </c>
      <c r="F113">
        <f>IFERROR(INDEX(PP_Grid[#Data],$DD113,4),0)</f>
        <v/>
      </c>
      <c r="G113">
        <f>IFERROR(INDEX(PP_Grid[#Data],$DD113,5),0)</f>
        <v/>
      </c>
      <c r="H113">
        <f>IFERROR(INDEX(PP_Grid[#Data],$DD113,6),0)</f>
        <v/>
      </c>
      <c r="I113">
        <f>IFERROR(INDEX(PP_Grid[#Data],$DD113,7),0)</f>
        <v/>
      </c>
      <c r="J113">
        <f>IFERROR(INDEX(PP_Grid[#Data],$DD113,8),0)</f>
        <v/>
      </c>
      <c r="K113">
        <f>IFERROR(INDEX(PP_Grid[#Data],$DD113,9),0)</f>
        <v/>
      </c>
      <c r="L113">
        <f>IFERROR(INDEX(PP_Grid[#Data],$DD113,10),0)</f>
        <v/>
      </c>
      <c r="M113">
        <f>IFERROR(INDEX(PP_Grid[#Data],$DD113,11),0)</f>
        <v/>
      </c>
      <c r="N113">
        <f>IFERROR(INDEX(PP_Grid[#Data],$DD113,12),0)</f>
        <v/>
      </c>
      <c r="O113">
        <f>IFERROR(INDEX(PP_Grid[#Data],$DD113,13),0)</f>
        <v/>
      </c>
      <c r="P113">
        <f>IFERROR(INDEX(PP_Grid[#Data],$DD113,14),0)</f>
        <v/>
      </c>
      <c r="Q113">
        <f>IFERROR(INDEX(PP_Grid[#Data],$DD113,15),0)</f>
        <v/>
      </c>
      <c r="R113">
        <f>IFERROR(INDEX(PP_Grid[#Data],$DD113,16),0)</f>
        <v/>
      </c>
      <c r="S113">
        <f>IFERROR(INDEX(PP_Grid[#Data],$DD113,17),0)</f>
        <v/>
      </c>
      <c r="T113">
        <f>IFERROR(INDEX(PP_Grid[#Data],$DD113,18),0)</f>
        <v/>
      </c>
      <c r="U113">
        <f>IFERROR(INDEX(PP_Grid[#Data],$DD113,19),0)</f>
        <v/>
      </c>
      <c r="V113">
        <f>IFERROR(INDEX(PP_Grid[#Data],$DD113,20),0)</f>
        <v/>
      </c>
      <c r="W113">
        <f>IFERROR(INDEX(PP_Grid[#Data],$DD113,21),0)</f>
        <v/>
      </c>
      <c r="X113">
        <f>IFERROR(INDEX(PP_Grid[#Data],$DD113,22),0)</f>
        <v/>
      </c>
      <c r="Y113">
        <f>IFERROR(INDEX(PP_Grid[#Data],$DD113,23),0)</f>
        <v/>
      </c>
      <c r="Z113">
        <f>IFERROR(INDEX(PP_Grid[#Data],$DD113,24),0)</f>
        <v/>
      </c>
      <c r="AA113">
        <f>IFERROR(INDEX(PP_Grid[#Data],$DD113,25),0)</f>
        <v/>
      </c>
      <c r="AB113">
        <f>IFERROR(INDEX(PP_Grid[#Data],$DD113,26),0)</f>
        <v/>
      </c>
      <c r="AC113">
        <f>IFERROR(INDEX(PP_Grid[#Data],$DD113,27),0)</f>
        <v/>
      </c>
      <c r="AD113">
        <f>IFERROR(INDEX(PP_Grid[#Data],$DD113,28),0)</f>
        <v/>
      </c>
      <c r="AE113">
        <f>IFERROR(INDEX(PP_Grid[#Data],$DD113,29),0)</f>
        <v/>
      </c>
      <c r="AF113">
        <f>IFERROR(INDEX(PP_Grid[#Data],$DD113,30),0)</f>
        <v/>
      </c>
      <c r="AG113">
        <f>IFERROR(INDEX(PP_Grid[#Data],$DD113,31),0)</f>
        <v/>
      </c>
      <c r="AH113">
        <f>IFERROR(INDEX(PP_Grid[#Data],$DD113,32),0)</f>
        <v/>
      </c>
      <c r="AI113">
        <f>IFERROR(INDEX(PP_Grid[#Data],$DD113,33),0)</f>
        <v/>
      </c>
      <c r="AJ113">
        <f>IFERROR(INDEX(PP_Grid[#Data],$DD113,34),0)</f>
        <v/>
      </c>
      <c r="AK113">
        <f>IFERROR(INDEX(PP_Grid[#Data],$DD113,35),0)</f>
        <v/>
      </c>
      <c r="AL113">
        <f>IFERROR(INDEX(PP_Grid[#Data],$DD113,36),0)</f>
        <v/>
      </c>
      <c r="AM113">
        <f>IFERROR(INDEX(PP_Grid[#Data],$DD113,37),0)</f>
        <v/>
      </c>
      <c r="AN113">
        <f>IFERROR(INDEX(PP_Grid[#Data],$DD113,38),0)</f>
        <v/>
      </c>
      <c r="AO113">
        <f>IFERROR(INDEX(PP_Grid[#Data],$DD113,39),0)</f>
        <v/>
      </c>
      <c r="AP113">
        <f>IFERROR(INDEX(PP_Grid[#Data],$DD113,40),0)</f>
        <v/>
      </c>
      <c r="AQ113">
        <f>IFERROR(INDEX(PP_Grid[#Data],$DD113,41),0)</f>
        <v/>
      </c>
      <c r="AR113">
        <f>IFERROR(INDEX(PP_Grid[#Data],$DD113,42),0)</f>
        <v/>
      </c>
      <c r="AS113">
        <f>IFERROR(INDEX(PP_Grid[#Data],$DD113,43),0)</f>
        <v/>
      </c>
      <c r="AT113">
        <f>IFERROR(INDEX(PP_Grid[#Data],$DD113,44),0)</f>
        <v/>
      </c>
      <c r="AU113">
        <f>IFERROR(INDEX(PP_Grid[#Data],$DD113,45),0)</f>
        <v/>
      </c>
      <c r="AV113">
        <f>IFERROR(INDEX(PP_Grid[#Data],$DD113,46),0)</f>
        <v/>
      </c>
      <c r="AW113">
        <f>IFERROR(INDEX(PP_Grid[#Data],$DD113,47),0)</f>
        <v/>
      </c>
      <c r="AX113">
        <f>IFERROR(INDEX(PP_Grid[#Data],$DD113,48),0)</f>
        <v/>
      </c>
      <c r="AY113">
        <f>IFERROR(INDEX(PP_Grid[#Data],$DD113,49),0)</f>
        <v/>
      </c>
      <c r="AZ113">
        <f>IFERROR(INDEX(PP_Grid[#Data],$DD113,50),0)</f>
        <v/>
      </c>
      <c r="BA113">
        <f>IFERROR(INDEX(PP_Grid[#Data],$DD113,51),0)</f>
        <v/>
      </c>
      <c r="BB113">
        <f>IFERROR(INDEX(PP_Grid[#Data],$DD113,52),0)</f>
        <v/>
      </c>
      <c r="BC113">
        <f>IFERROR(INDEX(PP_Grid[#Data],$DD113,53),0)</f>
        <v/>
      </c>
      <c r="BD113">
        <f>IFERROR(INDEX(PP_Grid[#Data],$DD113,54),0)</f>
        <v/>
      </c>
      <c r="BE113">
        <f>IFERROR(INDEX(PP_Grid[#Data],$DD113,55),0)</f>
        <v/>
      </c>
      <c r="BF113">
        <f>IFERROR(INDEX(PP_Grid[#Data],$DD113,56),0)</f>
        <v/>
      </c>
      <c r="BG113">
        <f>IFERROR(INDEX(PP_Grid[#Data],$DD113,57),0)</f>
        <v/>
      </c>
      <c r="BH113">
        <f>IFERROR(INDEX(PP_Grid[#Data],$DD113,58),0)</f>
        <v/>
      </c>
      <c r="BI113">
        <f>IFERROR(INDEX(PP_Grid[#Data],$DD113,59),0)</f>
        <v/>
      </c>
      <c r="BJ113">
        <f>IFERROR(INDEX(PP_Grid[#Data],$DD113,60),0)</f>
        <v/>
      </c>
      <c r="BK113">
        <f>IFERROR(INDEX(PP_Grid[#Data],$DD113,61),0)</f>
        <v/>
      </c>
      <c r="BL113">
        <f>IFERROR(INDEX(PP_Grid[#Data],$DD113,62),0)</f>
        <v/>
      </c>
      <c r="BM113">
        <f>IFERROR(INDEX(PP_Grid[#Data],$DD113,63),0)</f>
        <v/>
      </c>
      <c r="BN113">
        <f>IFERROR(INDEX(PP_Grid[#Data],$DD113,64),0)</f>
        <v/>
      </c>
      <c r="BO113">
        <f>IFERROR(INDEX(PP_Grid[#Data],$DD113,65),0)</f>
        <v/>
      </c>
      <c r="BP113">
        <f>IFERROR(INDEX(PP_Grid[#Data],$DD113,66),0)</f>
        <v/>
      </c>
      <c r="BQ113">
        <f>IFERROR(INDEX(PP_Grid[#Data],$DD113,67),0)</f>
        <v/>
      </c>
      <c r="BR113">
        <f>IFERROR(INDEX(PP_Grid[#Data],$DD113,68),0)</f>
        <v/>
      </c>
      <c r="BS113">
        <f>IFERROR(INDEX(PP_Grid[#Data],$DD113,69),0)</f>
        <v/>
      </c>
      <c r="BT113">
        <f>IFERROR(INDEX(PP_Grid[#Data],$DD113,70),0)</f>
        <v/>
      </c>
      <c r="BU113">
        <f>IFERROR(INDEX(PP_Grid[#Data],$DD113,71),0)</f>
        <v/>
      </c>
      <c r="BV113">
        <f>IFERROR(INDEX(PP_Grid[#Data],$DD113,72),0)</f>
        <v/>
      </c>
      <c r="BW113">
        <f>IFERROR(INDEX(PP_Grid[#Data],$DD113,73),0)</f>
        <v/>
      </c>
      <c r="BX113">
        <f>IFERROR(INDEX(PP_Grid[#Data],$DD113,74),0)</f>
        <v/>
      </c>
      <c r="BY113">
        <f>IFERROR(INDEX(PP_Grid[#Data],$DD113,75),0)</f>
        <v/>
      </c>
      <c r="BZ113">
        <f>IFERROR(INDEX(PP_Grid[#Data],$DD113,76),0)</f>
        <v/>
      </c>
      <c r="CA113">
        <f>IFERROR(INDEX(PP_Grid[#Data],$DD113,77),0)</f>
        <v/>
      </c>
      <c r="CB113">
        <f>IFERROR(INDEX(PP_Grid[#Data],$DD113,78),0)</f>
        <v/>
      </c>
      <c r="CC113">
        <f>IFERROR(INDEX(PP_Grid[#Data],$DD113,79),0)</f>
        <v/>
      </c>
      <c r="CD113">
        <f>IFERROR(INDEX(PP_Grid[#Data],$DD113,80),0)</f>
        <v/>
      </c>
      <c r="CE113">
        <f>IFERROR(INDEX(PP_Grid[#Data],$DD113,81),0)</f>
        <v/>
      </c>
      <c r="CF113">
        <f>IFERROR(INDEX(PP_Grid[#Data],$DD113,82),0)</f>
        <v/>
      </c>
      <c r="CG113">
        <f>IFERROR(INDEX(PP_Grid[#Data],$DD113,83),0)</f>
        <v/>
      </c>
      <c r="CH113">
        <f>IFERROR(INDEX(PP_Grid[#Data],$DD113,84),0)</f>
        <v/>
      </c>
      <c r="CI113">
        <f>IFERROR(INDEX(PP_Grid[#Data],$DD113,85),0)</f>
        <v/>
      </c>
      <c r="CJ113">
        <f>IFERROR(INDEX(PP_Grid[#Data],$DD113,86),0)</f>
        <v/>
      </c>
      <c r="CK113">
        <f>IFERROR(INDEX(PP_Grid[#Data],$DD113,87),0)</f>
        <v/>
      </c>
      <c r="CL113">
        <f>IFERROR(INDEX(PP_Grid[#Data],$DD113,88),0)</f>
        <v/>
      </c>
      <c r="CM113">
        <f>IFERROR(INDEX(PP_Grid[#Data],$DD113,89),0)</f>
        <v/>
      </c>
      <c r="CN113">
        <f>IFERROR(INDEX(PP_Grid[#Data],$DD113,90),0)</f>
        <v/>
      </c>
      <c r="CO113">
        <f>IFERROR(INDEX(PP_Grid[#Data],$DD113,91),0)</f>
        <v/>
      </c>
      <c r="CP113">
        <f>IFERROR(INDEX(PP_Grid[#Data],$DD113,92),0)</f>
        <v/>
      </c>
      <c r="CQ113">
        <f>IFERROR(INDEX(PP_Grid[#Data],$DD113,93),0)</f>
        <v/>
      </c>
      <c r="CR113">
        <f>IFERROR(INDEX(PP_Grid[#Data],$DD113,94),0)</f>
        <v/>
      </c>
      <c r="CS113">
        <f>IFERROR(INDEX(PP_Grid[#Data],$DD113,95),0)</f>
        <v/>
      </c>
      <c r="CT113">
        <f>IFERROR(INDEX(PP_Grid[#Data],$DD113,96),0)</f>
        <v/>
      </c>
      <c r="CU113">
        <f>IFERROR(INDEX(PP_Grid[#Data],$DD113,97),0)</f>
        <v/>
      </c>
      <c r="CV113">
        <f>IFERROR(INDEX(PP_Grid[#Data],$DD113,98),0)</f>
        <v/>
      </c>
      <c r="CW113">
        <f>IFERROR(INDEX(PP_Grid[#Data],$DD113,99),0)</f>
        <v/>
      </c>
      <c r="CX113">
        <f>IFERROR(INDEX(PP_Grid[#Data],$DD113,100),0)</f>
        <v/>
      </c>
      <c r="CY113">
        <f>IFERROR(INDEX(PP_Grid[#Data],$DD113,101),0)</f>
        <v/>
      </c>
      <c r="CZ113">
        <f>IFERROR(INDEX(PP_Grid[#Data],$DD113,102),0)</f>
        <v/>
      </c>
      <c r="DA113">
        <f>IFERROR(INDEX(PP_Grid[#Data],$DD113,103),0)</f>
        <v/>
      </c>
      <c r="DB113">
        <f>IFERROR(INDEX(PP_Grid[#Data],$DD113,104),0)</f>
        <v/>
      </c>
      <c r="DC113">
        <f>IFERROR(INDEX(PP_Grid[#Data],$DD113,105),0)</f>
        <v/>
      </c>
      <c r="DD113" s="7">
        <f>IFERROR(MATCH($B113,PP_Grid[Intermediate],0),99999)</f>
        <v/>
      </c>
    </row>
    <row r="114">
      <c r="B114" t="inlineStr">
        <is>
          <t>使用量(kg)</t>
        </is>
      </c>
      <c r="C114">
        <f>SUMIFS(M_BOM[RM_Qty_Per_Batch],M_BOM[Intermediate],$B113,M_BOM[Part Name],$A44)</f>
        <v/>
      </c>
      <c r="D114">
        <f>$C114*D113</f>
        <v/>
      </c>
      <c r="E114">
        <f>$C114*E113</f>
        <v/>
      </c>
      <c r="F114">
        <f>$C114*F113</f>
        <v/>
      </c>
      <c r="G114">
        <f>$C114*G113</f>
        <v/>
      </c>
      <c r="H114">
        <f>$C114*H113</f>
        <v/>
      </c>
      <c r="I114">
        <f>$C114*I113</f>
        <v/>
      </c>
      <c r="J114">
        <f>$C114*J113</f>
        <v/>
      </c>
      <c r="K114">
        <f>$C114*K113</f>
        <v/>
      </c>
      <c r="L114">
        <f>$C114*L113</f>
        <v/>
      </c>
      <c r="M114">
        <f>$C114*M113</f>
        <v/>
      </c>
      <c r="N114">
        <f>$C114*N113</f>
        <v/>
      </c>
      <c r="O114">
        <f>$C114*O113</f>
        <v/>
      </c>
      <c r="P114">
        <f>$C114*P113</f>
        <v/>
      </c>
      <c r="Q114">
        <f>$C114*Q113</f>
        <v/>
      </c>
      <c r="R114">
        <f>$C114*R113</f>
        <v/>
      </c>
      <c r="S114">
        <f>$C114*S113</f>
        <v/>
      </c>
      <c r="T114">
        <f>$C114*T113</f>
        <v/>
      </c>
      <c r="U114">
        <f>$C114*U113</f>
        <v/>
      </c>
      <c r="V114">
        <f>$C114*V113</f>
        <v/>
      </c>
      <c r="W114">
        <f>$C114*W113</f>
        <v/>
      </c>
      <c r="X114">
        <f>$C114*X113</f>
        <v/>
      </c>
      <c r="Y114">
        <f>$C114*Y113</f>
        <v/>
      </c>
      <c r="Z114">
        <f>$C114*Z113</f>
        <v/>
      </c>
      <c r="AA114">
        <f>$C114*AA113</f>
        <v/>
      </c>
      <c r="AB114">
        <f>$C114*AB113</f>
        <v/>
      </c>
      <c r="AC114">
        <f>$C114*AC113</f>
        <v/>
      </c>
      <c r="AD114">
        <f>$C114*AD113</f>
        <v/>
      </c>
      <c r="AE114">
        <f>$C114*AE113</f>
        <v/>
      </c>
      <c r="AF114">
        <f>$C114*AF113</f>
        <v/>
      </c>
      <c r="AG114">
        <f>$C114*AG113</f>
        <v/>
      </c>
      <c r="AH114">
        <f>$C114*AH113</f>
        <v/>
      </c>
      <c r="AI114">
        <f>$C114*AI113</f>
        <v/>
      </c>
      <c r="AJ114">
        <f>$C114*AJ113</f>
        <v/>
      </c>
      <c r="AK114">
        <f>$C114*AK113</f>
        <v/>
      </c>
      <c r="AL114">
        <f>$C114*AL113</f>
        <v/>
      </c>
      <c r="AM114">
        <f>$C114*AM113</f>
        <v/>
      </c>
      <c r="AN114">
        <f>$C114*AN113</f>
        <v/>
      </c>
      <c r="AO114">
        <f>$C114*AO113</f>
        <v/>
      </c>
      <c r="AP114">
        <f>$C114*AP113</f>
        <v/>
      </c>
      <c r="AQ114">
        <f>$C114*AQ113</f>
        <v/>
      </c>
      <c r="AR114">
        <f>$C114*AR113</f>
        <v/>
      </c>
      <c r="AS114">
        <f>$C114*AS113</f>
        <v/>
      </c>
      <c r="AT114">
        <f>$C114*AT113</f>
        <v/>
      </c>
      <c r="AU114">
        <f>$C114*AU113</f>
        <v/>
      </c>
      <c r="AV114">
        <f>$C114*AV113</f>
        <v/>
      </c>
      <c r="AW114">
        <f>$C114*AW113</f>
        <v/>
      </c>
      <c r="AX114">
        <f>$C114*AX113</f>
        <v/>
      </c>
      <c r="AY114">
        <f>$C114*AY113</f>
        <v/>
      </c>
      <c r="AZ114">
        <f>$C114*AZ113</f>
        <v/>
      </c>
      <c r="BA114">
        <f>$C114*BA113</f>
        <v/>
      </c>
      <c r="BB114">
        <f>$C114*BB113</f>
        <v/>
      </c>
      <c r="BC114">
        <f>$C114*BC113</f>
        <v/>
      </c>
      <c r="BD114">
        <f>$C114*BD113</f>
        <v/>
      </c>
      <c r="BE114">
        <f>$C114*BE113</f>
        <v/>
      </c>
      <c r="BF114">
        <f>$C114*BF113</f>
        <v/>
      </c>
      <c r="BG114">
        <f>$C114*BG113</f>
        <v/>
      </c>
      <c r="BH114">
        <f>$C114*BH113</f>
        <v/>
      </c>
      <c r="BI114">
        <f>$C114*BI113</f>
        <v/>
      </c>
      <c r="BJ114">
        <f>$C114*BJ113</f>
        <v/>
      </c>
      <c r="BK114">
        <f>$C114*BK113</f>
        <v/>
      </c>
      <c r="BL114">
        <f>$C114*BL113</f>
        <v/>
      </c>
      <c r="BM114">
        <f>$C114*BM113</f>
        <v/>
      </c>
      <c r="BN114">
        <f>$C114*BN113</f>
        <v/>
      </c>
      <c r="BO114">
        <f>$C114*BO113</f>
        <v/>
      </c>
      <c r="BP114">
        <f>$C114*BP113</f>
        <v/>
      </c>
      <c r="BQ114">
        <f>$C114*BQ113</f>
        <v/>
      </c>
      <c r="BR114">
        <f>$C114*BR113</f>
        <v/>
      </c>
      <c r="BS114">
        <f>$C114*BS113</f>
        <v/>
      </c>
      <c r="BT114">
        <f>$C114*BT113</f>
        <v/>
      </c>
      <c r="BU114">
        <f>$C114*BU113</f>
        <v/>
      </c>
      <c r="BV114">
        <f>$C114*BV113</f>
        <v/>
      </c>
      <c r="BW114">
        <f>$C114*BW113</f>
        <v/>
      </c>
      <c r="BX114">
        <f>$C114*BX113</f>
        <v/>
      </c>
      <c r="BY114">
        <f>$C114*BY113</f>
        <v/>
      </c>
      <c r="BZ114">
        <f>$C114*BZ113</f>
        <v/>
      </c>
      <c r="CA114">
        <f>$C114*CA113</f>
        <v/>
      </c>
      <c r="CB114">
        <f>$C114*CB113</f>
        <v/>
      </c>
      <c r="CC114">
        <f>$C114*CC113</f>
        <v/>
      </c>
      <c r="CD114">
        <f>$C114*CD113</f>
        <v/>
      </c>
      <c r="CE114">
        <f>$C114*CE113</f>
        <v/>
      </c>
      <c r="CF114">
        <f>$C114*CF113</f>
        <v/>
      </c>
      <c r="CG114">
        <f>$C114*CG113</f>
        <v/>
      </c>
      <c r="CH114">
        <f>$C114*CH113</f>
        <v/>
      </c>
      <c r="CI114">
        <f>$C114*CI113</f>
        <v/>
      </c>
      <c r="CJ114">
        <f>$C114*CJ113</f>
        <v/>
      </c>
      <c r="CK114">
        <f>$C114*CK113</f>
        <v/>
      </c>
      <c r="CL114">
        <f>$C114*CL113</f>
        <v/>
      </c>
      <c r="CM114">
        <f>$C114*CM113</f>
        <v/>
      </c>
      <c r="CN114">
        <f>$C114*CN113</f>
        <v/>
      </c>
      <c r="CO114">
        <f>$C114*CO113</f>
        <v/>
      </c>
      <c r="CP114">
        <f>$C114*CP113</f>
        <v/>
      </c>
      <c r="CQ114">
        <f>$C114*CQ113</f>
        <v/>
      </c>
      <c r="CR114">
        <f>$C114*CR113</f>
        <v/>
      </c>
      <c r="CS114">
        <f>$C114*CS113</f>
        <v/>
      </c>
      <c r="CT114">
        <f>$C114*CT113</f>
        <v/>
      </c>
      <c r="CU114">
        <f>$C114*CU113</f>
        <v/>
      </c>
      <c r="CV114">
        <f>$C114*CV113</f>
        <v/>
      </c>
      <c r="CW114">
        <f>$C114*CW113</f>
        <v/>
      </c>
      <c r="CX114">
        <f>$C114*CX113</f>
        <v/>
      </c>
      <c r="CY114">
        <f>$C114*CY113</f>
        <v/>
      </c>
      <c r="CZ114">
        <f>$C114*CZ113</f>
        <v/>
      </c>
      <c r="DA114">
        <f>$C114*DA113</f>
        <v/>
      </c>
      <c r="DB114">
        <f>$C114*DB113</f>
        <v/>
      </c>
      <c r="DC114">
        <f>$C114*DC113</f>
        <v/>
      </c>
    </row>
    <row r="115">
      <c r="B115" t="inlineStr">
        <is>
          <t>TSP-670</t>
        </is>
      </c>
      <c r="C115" t="inlineStr">
        <is>
          <t>No. of batches</t>
        </is>
      </c>
      <c r="D115">
        <f>IFERROR(INDEX(PP_Grid[#Data],$DD115,2),0)</f>
        <v/>
      </c>
      <c r="E115">
        <f>IFERROR(INDEX(PP_Grid[#Data],$DD115,3),0)</f>
        <v/>
      </c>
      <c r="F115">
        <f>IFERROR(INDEX(PP_Grid[#Data],$DD115,4),0)</f>
        <v/>
      </c>
      <c r="G115">
        <f>IFERROR(INDEX(PP_Grid[#Data],$DD115,5),0)</f>
        <v/>
      </c>
      <c r="H115">
        <f>IFERROR(INDEX(PP_Grid[#Data],$DD115,6),0)</f>
        <v/>
      </c>
      <c r="I115">
        <f>IFERROR(INDEX(PP_Grid[#Data],$DD115,7),0)</f>
        <v/>
      </c>
      <c r="J115">
        <f>IFERROR(INDEX(PP_Grid[#Data],$DD115,8),0)</f>
        <v/>
      </c>
      <c r="K115">
        <f>IFERROR(INDEX(PP_Grid[#Data],$DD115,9),0)</f>
        <v/>
      </c>
      <c r="L115">
        <f>IFERROR(INDEX(PP_Grid[#Data],$DD115,10),0)</f>
        <v/>
      </c>
      <c r="M115">
        <f>IFERROR(INDEX(PP_Grid[#Data],$DD115,11),0)</f>
        <v/>
      </c>
      <c r="N115">
        <f>IFERROR(INDEX(PP_Grid[#Data],$DD115,12),0)</f>
        <v/>
      </c>
      <c r="O115">
        <f>IFERROR(INDEX(PP_Grid[#Data],$DD115,13),0)</f>
        <v/>
      </c>
      <c r="P115">
        <f>IFERROR(INDEX(PP_Grid[#Data],$DD115,14),0)</f>
        <v/>
      </c>
      <c r="Q115">
        <f>IFERROR(INDEX(PP_Grid[#Data],$DD115,15),0)</f>
        <v/>
      </c>
      <c r="R115">
        <f>IFERROR(INDEX(PP_Grid[#Data],$DD115,16),0)</f>
        <v/>
      </c>
      <c r="S115">
        <f>IFERROR(INDEX(PP_Grid[#Data],$DD115,17),0)</f>
        <v/>
      </c>
      <c r="T115">
        <f>IFERROR(INDEX(PP_Grid[#Data],$DD115,18),0)</f>
        <v/>
      </c>
      <c r="U115">
        <f>IFERROR(INDEX(PP_Grid[#Data],$DD115,19),0)</f>
        <v/>
      </c>
      <c r="V115">
        <f>IFERROR(INDEX(PP_Grid[#Data],$DD115,20),0)</f>
        <v/>
      </c>
      <c r="W115">
        <f>IFERROR(INDEX(PP_Grid[#Data],$DD115,21),0)</f>
        <v/>
      </c>
      <c r="X115">
        <f>IFERROR(INDEX(PP_Grid[#Data],$DD115,22),0)</f>
        <v/>
      </c>
      <c r="Y115">
        <f>IFERROR(INDEX(PP_Grid[#Data],$DD115,23),0)</f>
        <v/>
      </c>
      <c r="Z115">
        <f>IFERROR(INDEX(PP_Grid[#Data],$DD115,24),0)</f>
        <v/>
      </c>
      <c r="AA115">
        <f>IFERROR(INDEX(PP_Grid[#Data],$DD115,25),0)</f>
        <v/>
      </c>
      <c r="AB115">
        <f>IFERROR(INDEX(PP_Grid[#Data],$DD115,26),0)</f>
        <v/>
      </c>
      <c r="AC115">
        <f>IFERROR(INDEX(PP_Grid[#Data],$DD115,27),0)</f>
        <v/>
      </c>
      <c r="AD115">
        <f>IFERROR(INDEX(PP_Grid[#Data],$DD115,28),0)</f>
        <v/>
      </c>
      <c r="AE115">
        <f>IFERROR(INDEX(PP_Grid[#Data],$DD115,29),0)</f>
        <v/>
      </c>
      <c r="AF115">
        <f>IFERROR(INDEX(PP_Grid[#Data],$DD115,30),0)</f>
        <v/>
      </c>
      <c r="AG115">
        <f>IFERROR(INDEX(PP_Grid[#Data],$DD115,31),0)</f>
        <v/>
      </c>
      <c r="AH115">
        <f>IFERROR(INDEX(PP_Grid[#Data],$DD115,32),0)</f>
        <v/>
      </c>
      <c r="AI115">
        <f>IFERROR(INDEX(PP_Grid[#Data],$DD115,33),0)</f>
        <v/>
      </c>
      <c r="AJ115">
        <f>IFERROR(INDEX(PP_Grid[#Data],$DD115,34),0)</f>
        <v/>
      </c>
      <c r="AK115">
        <f>IFERROR(INDEX(PP_Grid[#Data],$DD115,35),0)</f>
        <v/>
      </c>
      <c r="AL115">
        <f>IFERROR(INDEX(PP_Grid[#Data],$DD115,36),0)</f>
        <v/>
      </c>
      <c r="AM115">
        <f>IFERROR(INDEX(PP_Grid[#Data],$DD115,37),0)</f>
        <v/>
      </c>
      <c r="AN115">
        <f>IFERROR(INDEX(PP_Grid[#Data],$DD115,38),0)</f>
        <v/>
      </c>
      <c r="AO115">
        <f>IFERROR(INDEX(PP_Grid[#Data],$DD115,39),0)</f>
        <v/>
      </c>
      <c r="AP115">
        <f>IFERROR(INDEX(PP_Grid[#Data],$DD115,40),0)</f>
        <v/>
      </c>
      <c r="AQ115">
        <f>IFERROR(INDEX(PP_Grid[#Data],$DD115,41),0)</f>
        <v/>
      </c>
      <c r="AR115">
        <f>IFERROR(INDEX(PP_Grid[#Data],$DD115,42),0)</f>
        <v/>
      </c>
      <c r="AS115">
        <f>IFERROR(INDEX(PP_Grid[#Data],$DD115,43),0)</f>
        <v/>
      </c>
      <c r="AT115">
        <f>IFERROR(INDEX(PP_Grid[#Data],$DD115,44),0)</f>
        <v/>
      </c>
      <c r="AU115">
        <f>IFERROR(INDEX(PP_Grid[#Data],$DD115,45),0)</f>
        <v/>
      </c>
      <c r="AV115">
        <f>IFERROR(INDEX(PP_Grid[#Data],$DD115,46),0)</f>
        <v/>
      </c>
      <c r="AW115">
        <f>IFERROR(INDEX(PP_Grid[#Data],$DD115,47),0)</f>
        <v/>
      </c>
      <c r="AX115">
        <f>IFERROR(INDEX(PP_Grid[#Data],$DD115,48),0)</f>
        <v/>
      </c>
      <c r="AY115">
        <f>IFERROR(INDEX(PP_Grid[#Data],$DD115,49),0)</f>
        <v/>
      </c>
      <c r="AZ115">
        <f>IFERROR(INDEX(PP_Grid[#Data],$DD115,50),0)</f>
        <v/>
      </c>
      <c r="BA115">
        <f>IFERROR(INDEX(PP_Grid[#Data],$DD115,51),0)</f>
        <v/>
      </c>
      <c r="BB115">
        <f>IFERROR(INDEX(PP_Grid[#Data],$DD115,52),0)</f>
        <v/>
      </c>
      <c r="BC115">
        <f>IFERROR(INDEX(PP_Grid[#Data],$DD115,53),0)</f>
        <v/>
      </c>
      <c r="BD115">
        <f>IFERROR(INDEX(PP_Grid[#Data],$DD115,54),0)</f>
        <v/>
      </c>
      <c r="BE115">
        <f>IFERROR(INDEX(PP_Grid[#Data],$DD115,55),0)</f>
        <v/>
      </c>
      <c r="BF115">
        <f>IFERROR(INDEX(PP_Grid[#Data],$DD115,56),0)</f>
        <v/>
      </c>
      <c r="BG115">
        <f>IFERROR(INDEX(PP_Grid[#Data],$DD115,57),0)</f>
        <v/>
      </c>
      <c r="BH115">
        <f>IFERROR(INDEX(PP_Grid[#Data],$DD115,58),0)</f>
        <v/>
      </c>
      <c r="BI115">
        <f>IFERROR(INDEX(PP_Grid[#Data],$DD115,59),0)</f>
        <v/>
      </c>
      <c r="BJ115">
        <f>IFERROR(INDEX(PP_Grid[#Data],$DD115,60),0)</f>
        <v/>
      </c>
      <c r="BK115">
        <f>IFERROR(INDEX(PP_Grid[#Data],$DD115,61),0)</f>
        <v/>
      </c>
      <c r="BL115">
        <f>IFERROR(INDEX(PP_Grid[#Data],$DD115,62),0)</f>
        <v/>
      </c>
      <c r="BM115">
        <f>IFERROR(INDEX(PP_Grid[#Data],$DD115,63),0)</f>
        <v/>
      </c>
      <c r="BN115">
        <f>IFERROR(INDEX(PP_Grid[#Data],$DD115,64),0)</f>
        <v/>
      </c>
      <c r="BO115">
        <f>IFERROR(INDEX(PP_Grid[#Data],$DD115,65),0)</f>
        <v/>
      </c>
      <c r="BP115">
        <f>IFERROR(INDEX(PP_Grid[#Data],$DD115,66),0)</f>
        <v/>
      </c>
      <c r="BQ115">
        <f>IFERROR(INDEX(PP_Grid[#Data],$DD115,67),0)</f>
        <v/>
      </c>
      <c r="BR115">
        <f>IFERROR(INDEX(PP_Grid[#Data],$DD115,68),0)</f>
        <v/>
      </c>
      <c r="BS115">
        <f>IFERROR(INDEX(PP_Grid[#Data],$DD115,69),0)</f>
        <v/>
      </c>
      <c r="BT115">
        <f>IFERROR(INDEX(PP_Grid[#Data],$DD115,70),0)</f>
        <v/>
      </c>
      <c r="BU115">
        <f>IFERROR(INDEX(PP_Grid[#Data],$DD115,71),0)</f>
        <v/>
      </c>
      <c r="BV115">
        <f>IFERROR(INDEX(PP_Grid[#Data],$DD115,72),0)</f>
        <v/>
      </c>
      <c r="BW115">
        <f>IFERROR(INDEX(PP_Grid[#Data],$DD115,73),0)</f>
        <v/>
      </c>
      <c r="BX115">
        <f>IFERROR(INDEX(PP_Grid[#Data],$DD115,74),0)</f>
        <v/>
      </c>
      <c r="BY115">
        <f>IFERROR(INDEX(PP_Grid[#Data],$DD115,75),0)</f>
        <v/>
      </c>
      <c r="BZ115">
        <f>IFERROR(INDEX(PP_Grid[#Data],$DD115,76),0)</f>
        <v/>
      </c>
      <c r="CA115">
        <f>IFERROR(INDEX(PP_Grid[#Data],$DD115,77),0)</f>
        <v/>
      </c>
      <c r="CB115">
        <f>IFERROR(INDEX(PP_Grid[#Data],$DD115,78),0)</f>
        <v/>
      </c>
      <c r="CC115">
        <f>IFERROR(INDEX(PP_Grid[#Data],$DD115,79),0)</f>
        <v/>
      </c>
      <c r="CD115">
        <f>IFERROR(INDEX(PP_Grid[#Data],$DD115,80),0)</f>
        <v/>
      </c>
      <c r="CE115">
        <f>IFERROR(INDEX(PP_Grid[#Data],$DD115,81),0)</f>
        <v/>
      </c>
      <c r="CF115">
        <f>IFERROR(INDEX(PP_Grid[#Data],$DD115,82),0)</f>
        <v/>
      </c>
      <c r="CG115">
        <f>IFERROR(INDEX(PP_Grid[#Data],$DD115,83),0)</f>
        <v/>
      </c>
      <c r="CH115">
        <f>IFERROR(INDEX(PP_Grid[#Data],$DD115,84),0)</f>
        <v/>
      </c>
      <c r="CI115">
        <f>IFERROR(INDEX(PP_Grid[#Data],$DD115,85),0)</f>
        <v/>
      </c>
      <c r="CJ115">
        <f>IFERROR(INDEX(PP_Grid[#Data],$DD115,86),0)</f>
        <v/>
      </c>
      <c r="CK115">
        <f>IFERROR(INDEX(PP_Grid[#Data],$DD115,87),0)</f>
        <v/>
      </c>
      <c r="CL115">
        <f>IFERROR(INDEX(PP_Grid[#Data],$DD115,88),0)</f>
        <v/>
      </c>
      <c r="CM115">
        <f>IFERROR(INDEX(PP_Grid[#Data],$DD115,89),0)</f>
        <v/>
      </c>
      <c r="CN115">
        <f>IFERROR(INDEX(PP_Grid[#Data],$DD115,90),0)</f>
        <v/>
      </c>
      <c r="CO115">
        <f>IFERROR(INDEX(PP_Grid[#Data],$DD115,91),0)</f>
        <v/>
      </c>
      <c r="CP115">
        <f>IFERROR(INDEX(PP_Grid[#Data],$DD115,92),0)</f>
        <v/>
      </c>
      <c r="CQ115">
        <f>IFERROR(INDEX(PP_Grid[#Data],$DD115,93),0)</f>
        <v/>
      </c>
      <c r="CR115">
        <f>IFERROR(INDEX(PP_Grid[#Data],$DD115,94),0)</f>
        <v/>
      </c>
      <c r="CS115">
        <f>IFERROR(INDEX(PP_Grid[#Data],$DD115,95),0)</f>
        <v/>
      </c>
      <c r="CT115">
        <f>IFERROR(INDEX(PP_Grid[#Data],$DD115,96),0)</f>
        <v/>
      </c>
      <c r="CU115">
        <f>IFERROR(INDEX(PP_Grid[#Data],$DD115,97),0)</f>
        <v/>
      </c>
      <c r="CV115">
        <f>IFERROR(INDEX(PP_Grid[#Data],$DD115,98),0)</f>
        <v/>
      </c>
      <c r="CW115">
        <f>IFERROR(INDEX(PP_Grid[#Data],$DD115,99),0)</f>
        <v/>
      </c>
      <c r="CX115">
        <f>IFERROR(INDEX(PP_Grid[#Data],$DD115,100),0)</f>
        <v/>
      </c>
      <c r="CY115">
        <f>IFERROR(INDEX(PP_Grid[#Data],$DD115,101),0)</f>
        <v/>
      </c>
      <c r="CZ115">
        <f>IFERROR(INDEX(PP_Grid[#Data],$DD115,102),0)</f>
        <v/>
      </c>
      <c r="DA115">
        <f>IFERROR(INDEX(PP_Grid[#Data],$DD115,103),0)</f>
        <v/>
      </c>
      <c r="DB115">
        <f>IFERROR(INDEX(PP_Grid[#Data],$DD115,104),0)</f>
        <v/>
      </c>
      <c r="DC115">
        <f>IFERROR(INDEX(PP_Grid[#Data],$DD115,105),0)</f>
        <v/>
      </c>
      <c r="DD115" s="7">
        <f>IFERROR(MATCH($B115,PP_Grid[Intermediate],0),99999)</f>
        <v/>
      </c>
    </row>
    <row r="116">
      <c r="B116" t="inlineStr">
        <is>
          <t>使用量(kg)</t>
        </is>
      </c>
      <c r="C116">
        <f>SUMIFS(M_BOM[RM_Qty_Per_Batch],M_BOM[Intermediate],$B115,M_BOM[Part Name],$A44)</f>
        <v/>
      </c>
      <c r="D116">
        <f>$C116*D115</f>
        <v/>
      </c>
      <c r="E116">
        <f>$C116*E115</f>
        <v/>
      </c>
      <c r="F116">
        <f>$C116*F115</f>
        <v/>
      </c>
      <c r="G116">
        <f>$C116*G115</f>
        <v/>
      </c>
      <c r="H116">
        <f>$C116*H115</f>
        <v/>
      </c>
      <c r="I116">
        <f>$C116*I115</f>
        <v/>
      </c>
      <c r="J116">
        <f>$C116*J115</f>
        <v/>
      </c>
      <c r="K116">
        <f>$C116*K115</f>
        <v/>
      </c>
      <c r="L116">
        <f>$C116*L115</f>
        <v/>
      </c>
      <c r="M116">
        <f>$C116*M115</f>
        <v/>
      </c>
      <c r="N116">
        <f>$C116*N115</f>
        <v/>
      </c>
      <c r="O116">
        <f>$C116*O115</f>
        <v/>
      </c>
      <c r="P116">
        <f>$C116*P115</f>
        <v/>
      </c>
      <c r="Q116">
        <f>$C116*Q115</f>
        <v/>
      </c>
      <c r="R116">
        <f>$C116*R115</f>
        <v/>
      </c>
      <c r="S116">
        <f>$C116*S115</f>
        <v/>
      </c>
      <c r="T116">
        <f>$C116*T115</f>
        <v/>
      </c>
      <c r="U116">
        <f>$C116*U115</f>
        <v/>
      </c>
      <c r="V116">
        <f>$C116*V115</f>
        <v/>
      </c>
      <c r="W116">
        <f>$C116*W115</f>
        <v/>
      </c>
      <c r="X116">
        <f>$C116*X115</f>
        <v/>
      </c>
      <c r="Y116">
        <f>$C116*Y115</f>
        <v/>
      </c>
      <c r="Z116">
        <f>$C116*Z115</f>
        <v/>
      </c>
      <c r="AA116">
        <f>$C116*AA115</f>
        <v/>
      </c>
      <c r="AB116">
        <f>$C116*AB115</f>
        <v/>
      </c>
      <c r="AC116">
        <f>$C116*AC115</f>
        <v/>
      </c>
      <c r="AD116">
        <f>$C116*AD115</f>
        <v/>
      </c>
      <c r="AE116">
        <f>$C116*AE115</f>
        <v/>
      </c>
      <c r="AF116">
        <f>$C116*AF115</f>
        <v/>
      </c>
      <c r="AG116">
        <f>$C116*AG115</f>
        <v/>
      </c>
      <c r="AH116">
        <f>$C116*AH115</f>
        <v/>
      </c>
      <c r="AI116">
        <f>$C116*AI115</f>
        <v/>
      </c>
      <c r="AJ116">
        <f>$C116*AJ115</f>
        <v/>
      </c>
      <c r="AK116">
        <f>$C116*AK115</f>
        <v/>
      </c>
      <c r="AL116">
        <f>$C116*AL115</f>
        <v/>
      </c>
      <c r="AM116">
        <f>$C116*AM115</f>
        <v/>
      </c>
      <c r="AN116">
        <f>$C116*AN115</f>
        <v/>
      </c>
      <c r="AO116">
        <f>$C116*AO115</f>
        <v/>
      </c>
      <c r="AP116">
        <f>$C116*AP115</f>
        <v/>
      </c>
      <c r="AQ116">
        <f>$C116*AQ115</f>
        <v/>
      </c>
      <c r="AR116">
        <f>$C116*AR115</f>
        <v/>
      </c>
      <c r="AS116">
        <f>$C116*AS115</f>
        <v/>
      </c>
      <c r="AT116">
        <f>$C116*AT115</f>
        <v/>
      </c>
      <c r="AU116">
        <f>$C116*AU115</f>
        <v/>
      </c>
      <c r="AV116">
        <f>$C116*AV115</f>
        <v/>
      </c>
      <c r="AW116">
        <f>$C116*AW115</f>
        <v/>
      </c>
      <c r="AX116">
        <f>$C116*AX115</f>
        <v/>
      </c>
      <c r="AY116">
        <f>$C116*AY115</f>
        <v/>
      </c>
      <c r="AZ116">
        <f>$C116*AZ115</f>
        <v/>
      </c>
      <c r="BA116">
        <f>$C116*BA115</f>
        <v/>
      </c>
      <c r="BB116">
        <f>$C116*BB115</f>
        <v/>
      </c>
      <c r="BC116">
        <f>$C116*BC115</f>
        <v/>
      </c>
      <c r="BD116">
        <f>$C116*BD115</f>
        <v/>
      </c>
      <c r="BE116">
        <f>$C116*BE115</f>
        <v/>
      </c>
      <c r="BF116">
        <f>$C116*BF115</f>
        <v/>
      </c>
      <c r="BG116">
        <f>$C116*BG115</f>
        <v/>
      </c>
      <c r="BH116">
        <f>$C116*BH115</f>
        <v/>
      </c>
      <c r="BI116">
        <f>$C116*BI115</f>
        <v/>
      </c>
      <c r="BJ116">
        <f>$C116*BJ115</f>
        <v/>
      </c>
      <c r="BK116">
        <f>$C116*BK115</f>
        <v/>
      </c>
      <c r="BL116">
        <f>$C116*BL115</f>
        <v/>
      </c>
      <c r="BM116">
        <f>$C116*BM115</f>
        <v/>
      </c>
      <c r="BN116">
        <f>$C116*BN115</f>
        <v/>
      </c>
      <c r="BO116">
        <f>$C116*BO115</f>
        <v/>
      </c>
      <c r="BP116">
        <f>$C116*BP115</f>
        <v/>
      </c>
      <c r="BQ116">
        <f>$C116*BQ115</f>
        <v/>
      </c>
      <c r="BR116">
        <f>$C116*BR115</f>
        <v/>
      </c>
      <c r="BS116">
        <f>$C116*BS115</f>
        <v/>
      </c>
      <c r="BT116">
        <f>$C116*BT115</f>
        <v/>
      </c>
      <c r="BU116">
        <f>$C116*BU115</f>
        <v/>
      </c>
      <c r="BV116">
        <f>$C116*BV115</f>
        <v/>
      </c>
      <c r="BW116">
        <f>$C116*BW115</f>
        <v/>
      </c>
      <c r="BX116">
        <f>$C116*BX115</f>
        <v/>
      </c>
      <c r="BY116">
        <f>$C116*BY115</f>
        <v/>
      </c>
      <c r="BZ116">
        <f>$C116*BZ115</f>
        <v/>
      </c>
      <c r="CA116">
        <f>$C116*CA115</f>
        <v/>
      </c>
      <c r="CB116">
        <f>$C116*CB115</f>
        <v/>
      </c>
      <c r="CC116">
        <f>$C116*CC115</f>
        <v/>
      </c>
      <c r="CD116">
        <f>$C116*CD115</f>
        <v/>
      </c>
      <c r="CE116">
        <f>$C116*CE115</f>
        <v/>
      </c>
      <c r="CF116">
        <f>$C116*CF115</f>
        <v/>
      </c>
      <c r="CG116">
        <f>$C116*CG115</f>
        <v/>
      </c>
      <c r="CH116">
        <f>$C116*CH115</f>
        <v/>
      </c>
      <c r="CI116">
        <f>$C116*CI115</f>
        <v/>
      </c>
      <c r="CJ116">
        <f>$C116*CJ115</f>
        <v/>
      </c>
      <c r="CK116">
        <f>$C116*CK115</f>
        <v/>
      </c>
      <c r="CL116">
        <f>$C116*CL115</f>
        <v/>
      </c>
      <c r="CM116">
        <f>$C116*CM115</f>
        <v/>
      </c>
      <c r="CN116">
        <f>$C116*CN115</f>
        <v/>
      </c>
      <c r="CO116">
        <f>$C116*CO115</f>
        <v/>
      </c>
      <c r="CP116">
        <f>$C116*CP115</f>
        <v/>
      </c>
      <c r="CQ116">
        <f>$C116*CQ115</f>
        <v/>
      </c>
      <c r="CR116">
        <f>$C116*CR115</f>
        <v/>
      </c>
      <c r="CS116">
        <f>$C116*CS115</f>
        <v/>
      </c>
      <c r="CT116">
        <f>$C116*CT115</f>
        <v/>
      </c>
      <c r="CU116">
        <f>$C116*CU115</f>
        <v/>
      </c>
      <c r="CV116">
        <f>$C116*CV115</f>
        <v/>
      </c>
      <c r="CW116">
        <f>$C116*CW115</f>
        <v/>
      </c>
      <c r="CX116">
        <f>$C116*CX115</f>
        <v/>
      </c>
      <c r="CY116">
        <f>$C116*CY115</f>
        <v/>
      </c>
      <c r="CZ116">
        <f>$C116*CZ115</f>
        <v/>
      </c>
      <c r="DA116">
        <f>$C116*DA115</f>
        <v/>
      </c>
      <c r="DB116">
        <f>$C116*DB115</f>
        <v/>
      </c>
      <c r="DC116">
        <f>$C116*DC115</f>
        <v/>
      </c>
    </row>
    <row r="117">
      <c r="B117" t="inlineStr">
        <is>
          <t>TSP-699</t>
        </is>
      </c>
      <c r="C117" t="inlineStr">
        <is>
          <t>No. of batches</t>
        </is>
      </c>
      <c r="D117">
        <f>IFERROR(INDEX(PP_Grid[#Data],$DD117,2),0)</f>
        <v/>
      </c>
      <c r="E117">
        <f>IFERROR(INDEX(PP_Grid[#Data],$DD117,3),0)</f>
        <v/>
      </c>
      <c r="F117">
        <f>IFERROR(INDEX(PP_Grid[#Data],$DD117,4),0)</f>
        <v/>
      </c>
      <c r="G117">
        <f>IFERROR(INDEX(PP_Grid[#Data],$DD117,5),0)</f>
        <v/>
      </c>
      <c r="H117">
        <f>IFERROR(INDEX(PP_Grid[#Data],$DD117,6),0)</f>
        <v/>
      </c>
      <c r="I117">
        <f>IFERROR(INDEX(PP_Grid[#Data],$DD117,7),0)</f>
        <v/>
      </c>
      <c r="J117">
        <f>IFERROR(INDEX(PP_Grid[#Data],$DD117,8),0)</f>
        <v/>
      </c>
      <c r="K117">
        <f>IFERROR(INDEX(PP_Grid[#Data],$DD117,9),0)</f>
        <v/>
      </c>
      <c r="L117">
        <f>IFERROR(INDEX(PP_Grid[#Data],$DD117,10),0)</f>
        <v/>
      </c>
      <c r="M117">
        <f>IFERROR(INDEX(PP_Grid[#Data],$DD117,11),0)</f>
        <v/>
      </c>
      <c r="N117">
        <f>IFERROR(INDEX(PP_Grid[#Data],$DD117,12),0)</f>
        <v/>
      </c>
      <c r="O117">
        <f>IFERROR(INDEX(PP_Grid[#Data],$DD117,13),0)</f>
        <v/>
      </c>
      <c r="P117">
        <f>IFERROR(INDEX(PP_Grid[#Data],$DD117,14),0)</f>
        <v/>
      </c>
      <c r="Q117">
        <f>IFERROR(INDEX(PP_Grid[#Data],$DD117,15),0)</f>
        <v/>
      </c>
      <c r="R117">
        <f>IFERROR(INDEX(PP_Grid[#Data],$DD117,16),0)</f>
        <v/>
      </c>
      <c r="S117">
        <f>IFERROR(INDEX(PP_Grid[#Data],$DD117,17),0)</f>
        <v/>
      </c>
      <c r="T117">
        <f>IFERROR(INDEX(PP_Grid[#Data],$DD117,18),0)</f>
        <v/>
      </c>
      <c r="U117">
        <f>IFERROR(INDEX(PP_Grid[#Data],$DD117,19),0)</f>
        <v/>
      </c>
      <c r="V117">
        <f>IFERROR(INDEX(PP_Grid[#Data],$DD117,20),0)</f>
        <v/>
      </c>
      <c r="W117">
        <f>IFERROR(INDEX(PP_Grid[#Data],$DD117,21),0)</f>
        <v/>
      </c>
      <c r="X117">
        <f>IFERROR(INDEX(PP_Grid[#Data],$DD117,22),0)</f>
        <v/>
      </c>
      <c r="Y117">
        <f>IFERROR(INDEX(PP_Grid[#Data],$DD117,23),0)</f>
        <v/>
      </c>
      <c r="Z117">
        <f>IFERROR(INDEX(PP_Grid[#Data],$DD117,24),0)</f>
        <v/>
      </c>
      <c r="AA117">
        <f>IFERROR(INDEX(PP_Grid[#Data],$DD117,25),0)</f>
        <v/>
      </c>
      <c r="AB117">
        <f>IFERROR(INDEX(PP_Grid[#Data],$DD117,26),0)</f>
        <v/>
      </c>
      <c r="AC117">
        <f>IFERROR(INDEX(PP_Grid[#Data],$DD117,27),0)</f>
        <v/>
      </c>
      <c r="AD117">
        <f>IFERROR(INDEX(PP_Grid[#Data],$DD117,28),0)</f>
        <v/>
      </c>
      <c r="AE117">
        <f>IFERROR(INDEX(PP_Grid[#Data],$DD117,29),0)</f>
        <v/>
      </c>
      <c r="AF117">
        <f>IFERROR(INDEX(PP_Grid[#Data],$DD117,30),0)</f>
        <v/>
      </c>
      <c r="AG117">
        <f>IFERROR(INDEX(PP_Grid[#Data],$DD117,31),0)</f>
        <v/>
      </c>
      <c r="AH117">
        <f>IFERROR(INDEX(PP_Grid[#Data],$DD117,32),0)</f>
        <v/>
      </c>
      <c r="AI117">
        <f>IFERROR(INDEX(PP_Grid[#Data],$DD117,33),0)</f>
        <v/>
      </c>
      <c r="AJ117">
        <f>IFERROR(INDEX(PP_Grid[#Data],$DD117,34),0)</f>
        <v/>
      </c>
      <c r="AK117">
        <f>IFERROR(INDEX(PP_Grid[#Data],$DD117,35),0)</f>
        <v/>
      </c>
      <c r="AL117">
        <f>IFERROR(INDEX(PP_Grid[#Data],$DD117,36),0)</f>
        <v/>
      </c>
      <c r="AM117">
        <f>IFERROR(INDEX(PP_Grid[#Data],$DD117,37),0)</f>
        <v/>
      </c>
      <c r="AN117">
        <f>IFERROR(INDEX(PP_Grid[#Data],$DD117,38),0)</f>
        <v/>
      </c>
      <c r="AO117">
        <f>IFERROR(INDEX(PP_Grid[#Data],$DD117,39),0)</f>
        <v/>
      </c>
      <c r="AP117">
        <f>IFERROR(INDEX(PP_Grid[#Data],$DD117,40),0)</f>
        <v/>
      </c>
      <c r="AQ117">
        <f>IFERROR(INDEX(PP_Grid[#Data],$DD117,41),0)</f>
        <v/>
      </c>
      <c r="AR117">
        <f>IFERROR(INDEX(PP_Grid[#Data],$DD117,42),0)</f>
        <v/>
      </c>
      <c r="AS117">
        <f>IFERROR(INDEX(PP_Grid[#Data],$DD117,43),0)</f>
        <v/>
      </c>
      <c r="AT117">
        <f>IFERROR(INDEX(PP_Grid[#Data],$DD117,44),0)</f>
        <v/>
      </c>
      <c r="AU117">
        <f>IFERROR(INDEX(PP_Grid[#Data],$DD117,45),0)</f>
        <v/>
      </c>
      <c r="AV117">
        <f>IFERROR(INDEX(PP_Grid[#Data],$DD117,46),0)</f>
        <v/>
      </c>
      <c r="AW117">
        <f>IFERROR(INDEX(PP_Grid[#Data],$DD117,47),0)</f>
        <v/>
      </c>
      <c r="AX117">
        <f>IFERROR(INDEX(PP_Grid[#Data],$DD117,48),0)</f>
        <v/>
      </c>
      <c r="AY117">
        <f>IFERROR(INDEX(PP_Grid[#Data],$DD117,49),0)</f>
        <v/>
      </c>
      <c r="AZ117">
        <f>IFERROR(INDEX(PP_Grid[#Data],$DD117,50),0)</f>
        <v/>
      </c>
      <c r="BA117">
        <f>IFERROR(INDEX(PP_Grid[#Data],$DD117,51),0)</f>
        <v/>
      </c>
      <c r="BB117">
        <f>IFERROR(INDEX(PP_Grid[#Data],$DD117,52),0)</f>
        <v/>
      </c>
      <c r="BC117">
        <f>IFERROR(INDEX(PP_Grid[#Data],$DD117,53),0)</f>
        <v/>
      </c>
      <c r="BD117">
        <f>IFERROR(INDEX(PP_Grid[#Data],$DD117,54),0)</f>
        <v/>
      </c>
      <c r="BE117">
        <f>IFERROR(INDEX(PP_Grid[#Data],$DD117,55),0)</f>
        <v/>
      </c>
      <c r="BF117">
        <f>IFERROR(INDEX(PP_Grid[#Data],$DD117,56),0)</f>
        <v/>
      </c>
      <c r="BG117">
        <f>IFERROR(INDEX(PP_Grid[#Data],$DD117,57),0)</f>
        <v/>
      </c>
      <c r="BH117">
        <f>IFERROR(INDEX(PP_Grid[#Data],$DD117,58),0)</f>
        <v/>
      </c>
      <c r="BI117">
        <f>IFERROR(INDEX(PP_Grid[#Data],$DD117,59),0)</f>
        <v/>
      </c>
      <c r="BJ117">
        <f>IFERROR(INDEX(PP_Grid[#Data],$DD117,60),0)</f>
        <v/>
      </c>
      <c r="BK117">
        <f>IFERROR(INDEX(PP_Grid[#Data],$DD117,61),0)</f>
        <v/>
      </c>
      <c r="BL117">
        <f>IFERROR(INDEX(PP_Grid[#Data],$DD117,62),0)</f>
        <v/>
      </c>
      <c r="BM117">
        <f>IFERROR(INDEX(PP_Grid[#Data],$DD117,63),0)</f>
        <v/>
      </c>
      <c r="BN117">
        <f>IFERROR(INDEX(PP_Grid[#Data],$DD117,64),0)</f>
        <v/>
      </c>
      <c r="BO117">
        <f>IFERROR(INDEX(PP_Grid[#Data],$DD117,65),0)</f>
        <v/>
      </c>
      <c r="BP117">
        <f>IFERROR(INDEX(PP_Grid[#Data],$DD117,66),0)</f>
        <v/>
      </c>
      <c r="BQ117">
        <f>IFERROR(INDEX(PP_Grid[#Data],$DD117,67),0)</f>
        <v/>
      </c>
      <c r="BR117">
        <f>IFERROR(INDEX(PP_Grid[#Data],$DD117,68),0)</f>
        <v/>
      </c>
      <c r="BS117">
        <f>IFERROR(INDEX(PP_Grid[#Data],$DD117,69),0)</f>
        <v/>
      </c>
      <c r="BT117">
        <f>IFERROR(INDEX(PP_Grid[#Data],$DD117,70),0)</f>
        <v/>
      </c>
      <c r="BU117">
        <f>IFERROR(INDEX(PP_Grid[#Data],$DD117,71),0)</f>
        <v/>
      </c>
      <c r="BV117">
        <f>IFERROR(INDEX(PP_Grid[#Data],$DD117,72),0)</f>
        <v/>
      </c>
      <c r="BW117">
        <f>IFERROR(INDEX(PP_Grid[#Data],$DD117,73),0)</f>
        <v/>
      </c>
      <c r="BX117">
        <f>IFERROR(INDEX(PP_Grid[#Data],$DD117,74),0)</f>
        <v/>
      </c>
      <c r="BY117">
        <f>IFERROR(INDEX(PP_Grid[#Data],$DD117,75),0)</f>
        <v/>
      </c>
      <c r="BZ117">
        <f>IFERROR(INDEX(PP_Grid[#Data],$DD117,76),0)</f>
        <v/>
      </c>
      <c r="CA117">
        <f>IFERROR(INDEX(PP_Grid[#Data],$DD117,77),0)</f>
        <v/>
      </c>
      <c r="CB117">
        <f>IFERROR(INDEX(PP_Grid[#Data],$DD117,78),0)</f>
        <v/>
      </c>
      <c r="CC117">
        <f>IFERROR(INDEX(PP_Grid[#Data],$DD117,79),0)</f>
        <v/>
      </c>
      <c r="CD117">
        <f>IFERROR(INDEX(PP_Grid[#Data],$DD117,80),0)</f>
        <v/>
      </c>
      <c r="CE117">
        <f>IFERROR(INDEX(PP_Grid[#Data],$DD117,81),0)</f>
        <v/>
      </c>
      <c r="CF117">
        <f>IFERROR(INDEX(PP_Grid[#Data],$DD117,82),0)</f>
        <v/>
      </c>
      <c r="CG117">
        <f>IFERROR(INDEX(PP_Grid[#Data],$DD117,83),0)</f>
        <v/>
      </c>
      <c r="CH117">
        <f>IFERROR(INDEX(PP_Grid[#Data],$DD117,84),0)</f>
        <v/>
      </c>
      <c r="CI117">
        <f>IFERROR(INDEX(PP_Grid[#Data],$DD117,85),0)</f>
        <v/>
      </c>
      <c r="CJ117">
        <f>IFERROR(INDEX(PP_Grid[#Data],$DD117,86),0)</f>
        <v/>
      </c>
      <c r="CK117">
        <f>IFERROR(INDEX(PP_Grid[#Data],$DD117,87),0)</f>
        <v/>
      </c>
      <c r="CL117">
        <f>IFERROR(INDEX(PP_Grid[#Data],$DD117,88),0)</f>
        <v/>
      </c>
      <c r="CM117">
        <f>IFERROR(INDEX(PP_Grid[#Data],$DD117,89),0)</f>
        <v/>
      </c>
      <c r="CN117">
        <f>IFERROR(INDEX(PP_Grid[#Data],$DD117,90),0)</f>
        <v/>
      </c>
      <c r="CO117">
        <f>IFERROR(INDEX(PP_Grid[#Data],$DD117,91),0)</f>
        <v/>
      </c>
      <c r="CP117">
        <f>IFERROR(INDEX(PP_Grid[#Data],$DD117,92),0)</f>
        <v/>
      </c>
      <c r="CQ117">
        <f>IFERROR(INDEX(PP_Grid[#Data],$DD117,93),0)</f>
        <v/>
      </c>
      <c r="CR117">
        <f>IFERROR(INDEX(PP_Grid[#Data],$DD117,94),0)</f>
        <v/>
      </c>
      <c r="CS117">
        <f>IFERROR(INDEX(PP_Grid[#Data],$DD117,95),0)</f>
        <v/>
      </c>
      <c r="CT117">
        <f>IFERROR(INDEX(PP_Grid[#Data],$DD117,96),0)</f>
        <v/>
      </c>
      <c r="CU117">
        <f>IFERROR(INDEX(PP_Grid[#Data],$DD117,97),0)</f>
        <v/>
      </c>
      <c r="CV117">
        <f>IFERROR(INDEX(PP_Grid[#Data],$DD117,98),0)</f>
        <v/>
      </c>
      <c r="CW117">
        <f>IFERROR(INDEX(PP_Grid[#Data],$DD117,99),0)</f>
        <v/>
      </c>
      <c r="CX117">
        <f>IFERROR(INDEX(PP_Grid[#Data],$DD117,100),0)</f>
        <v/>
      </c>
      <c r="CY117">
        <f>IFERROR(INDEX(PP_Grid[#Data],$DD117,101),0)</f>
        <v/>
      </c>
      <c r="CZ117">
        <f>IFERROR(INDEX(PP_Grid[#Data],$DD117,102),0)</f>
        <v/>
      </c>
      <c r="DA117">
        <f>IFERROR(INDEX(PP_Grid[#Data],$DD117,103),0)</f>
        <v/>
      </c>
      <c r="DB117">
        <f>IFERROR(INDEX(PP_Grid[#Data],$DD117,104),0)</f>
        <v/>
      </c>
      <c r="DC117">
        <f>IFERROR(INDEX(PP_Grid[#Data],$DD117,105),0)</f>
        <v/>
      </c>
      <c r="DD117" s="7">
        <f>IFERROR(MATCH($B117,PP_Grid[Intermediate],0),99999)</f>
        <v/>
      </c>
    </row>
    <row r="118">
      <c r="B118" t="inlineStr">
        <is>
          <t>使用量(kg)</t>
        </is>
      </c>
      <c r="C118">
        <f>SUMIFS(M_BOM[RM_Qty_Per_Batch],M_BOM[Intermediate],$B117,M_BOM[Part Name],$A44)</f>
        <v/>
      </c>
      <c r="D118">
        <f>$C118*D117</f>
        <v/>
      </c>
      <c r="E118">
        <f>$C118*E117</f>
        <v/>
      </c>
      <c r="F118">
        <f>$C118*F117</f>
        <v/>
      </c>
      <c r="G118">
        <f>$C118*G117</f>
        <v/>
      </c>
      <c r="H118">
        <f>$C118*H117</f>
        <v/>
      </c>
      <c r="I118">
        <f>$C118*I117</f>
        <v/>
      </c>
      <c r="J118">
        <f>$C118*J117</f>
        <v/>
      </c>
      <c r="K118">
        <f>$C118*K117</f>
        <v/>
      </c>
      <c r="L118">
        <f>$C118*L117</f>
        <v/>
      </c>
      <c r="M118">
        <f>$C118*M117</f>
        <v/>
      </c>
      <c r="N118">
        <f>$C118*N117</f>
        <v/>
      </c>
      <c r="O118">
        <f>$C118*O117</f>
        <v/>
      </c>
      <c r="P118">
        <f>$C118*P117</f>
        <v/>
      </c>
      <c r="Q118">
        <f>$C118*Q117</f>
        <v/>
      </c>
      <c r="R118">
        <f>$C118*R117</f>
        <v/>
      </c>
      <c r="S118">
        <f>$C118*S117</f>
        <v/>
      </c>
      <c r="T118">
        <f>$C118*T117</f>
        <v/>
      </c>
      <c r="U118">
        <f>$C118*U117</f>
        <v/>
      </c>
      <c r="V118">
        <f>$C118*V117</f>
        <v/>
      </c>
      <c r="W118">
        <f>$C118*W117</f>
        <v/>
      </c>
      <c r="X118">
        <f>$C118*X117</f>
        <v/>
      </c>
      <c r="Y118">
        <f>$C118*Y117</f>
        <v/>
      </c>
      <c r="Z118">
        <f>$C118*Z117</f>
        <v/>
      </c>
      <c r="AA118">
        <f>$C118*AA117</f>
        <v/>
      </c>
      <c r="AB118">
        <f>$C118*AB117</f>
        <v/>
      </c>
      <c r="AC118">
        <f>$C118*AC117</f>
        <v/>
      </c>
      <c r="AD118">
        <f>$C118*AD117</f>
        <v/>
      </c>
      <c r="AE118">
        <f>$C118*AE117</f>
        <v/>
      </c>
      <c r="AF118">
        <f>$C118*AF117</f>
        <v/>
      </c>
      <c r="AG118">
        <f>$C118*AG117</f>
        <v/>
      </c>
      <c r="AH118">
        <f>$C118*AH117</f>
        <v/>
      </c>
      <c r="AI118">
        <f>$C118*AI117</f>
        <v/>
      </c>
      <c r="AJ118">
        <f>$C118*AJ117</f>
        <v/>
      </c>
      <c r="AK118">
        <f>$C118*AK117</f>
        <v/>
      </c>
      <c r="AL118">
        <f>$C118*AL117</f>
        <v/>
      </c>
      <c r="AM118">
        <f>$C118*AM117</f>
        <v/>
      </c>
      <c r="AN118">
        <f>$C118*AN117</f>
        <v/>
      </c>
      <c r="AO118">
        <f>$C118*AO117</f>
        <v/>
      </c>
      <c r="AP118">
        <f>$C118*AP117</f>
        <v/>
      </c>
      <c r="AQ118">
        <f>$C118*AQ117</f>
        <v/>
      </c>
      <c r="AR118">
        <f>$C118*AR117</f>
        <v/>
      </c>
      <c r="AS118">
        <f>$C118*AS117</f>
        <v/>
      </c>
      <c r="AT118">
        <f>$C118*AT117</f>
        <v/>
      </c>
      <c r="AU118">
        <f>$C118*AU117</f>
        <v/>
      </c>
      <c r="AV118">
        <f>$C118*AV117</f>
        <v/>
      </c>
      <c r="AW118">
        <f>$C118*AW117</f>
        <v/>
      </c>
      <c r="AX118">
        <f>$C118*AX117</f>
        <v/>
      </c>
      <c r="AY118">
        <f>$C118*AY117</f>
        <v/>
      </c>
      <c r="AZ118">
        <f>$C118*AZ117</f>
        <v/>
      </c>
      <c r="BA118">
        <f>$C118*BA117</f>
        <v/>
      </c>
      <c r="BB118">
        <f>$C118*BB117</f>
        <v/>
      </c>
      <c r="BC118">
        <f>$C118*BC117</f>
        <v/>
      </c>
      <c r="BD118">
        <f>$C118*BD117</f>
        <v/>
      </c>
      <c r="BE118">
        <f>$C118*BE117</f>
        <v/>
      </c>
      <c r="BF118">
        <f>$C118*BF117</f>
        <v/>
      </c>
      <c r="BG118">
        <f>$C118*BG117</f>
        <v/>
      </c>
      <c r="BH118">
        <f>$C118*BH117</f>
        <v/>
      </c>
      <c r="BI118">
        <f>$C118*BI117</f>
        <v/>
      </c>
      <c r="BJ118">
        <f>$C118*BJ117</f>
        <v/>
      </c>
      <c r="BK118">
        <f>$C118*BK117</f>
        <v/>
      </c>
      <c r="BL118">
        <f>$C118*BL117</f>
        <v/>
      </c>
      <c r="BM118">
        <f>$C118*BM117</f>
        <v/>
      </c>
      <c r="BN118">
        <f>$C118*BN117</f>
        <v/>
      </c>
      <c r="BO118">
        <f>$C118*BO117</f>
        <v/>
      </c>
      <c r="BP118">
        <f>$C118*BP117</f>
        <v/>
      </c>
      <c r="BQ118">
        <f>$C118*BQ117</f>
        <v/>
      </c>
      <c r="BR118">
        <f>$C118*BR117</f>
        <v/>
      </c>
      <c r="BS118">
        <f>$C118*BS117</f>
        <v/>
      </c>
      <c r="BT118">
        <f>$C118*BT117</f>
        <v/>
      </c>
      <c r="BU118">
        <f>$C118*BU117</f>
        <v/>
      </c>
      <c r="BV118">
        <f>$C118*BV117</f>
        <v/>
      </c>
      <c r="BW118">
        <f>$C118*BW117</f>
        <v/>
      </c>
      <c r="BX118">
        <f>$C118*BX117</f>
        <v/>
      </c>
      <c r="BY118">
        <f>$C118*BY117</f>
        <v/>
      </c>
      <c r="BZ118">
        <f>$C118*BZ117</f>
        <v/>
      </c>
      <c r="CA118">
        <f>$C118*CA117</f>
        <v/>
      </c>
      <c r="CB118">
        <f>$C118*CB117</f>
        <v/>
      </c>
      <c r="CC118">
        <f>$C118*CC117</f>
        <v/>
      </c>
      <c r="CD118">
        <f>$C118*CD117</f>
        <v/>
      </c>
      <c r="CE118">
        <f>$C118*CE117</f>
        <v/>
      </c>
      <c r="CF118">
        <f>$C118*CF117</f>
        <v/>
      </c>
      <c r="CG118">
        <f>$C118*CG117</f>
        <v/>
      </c>
      <c r="CH118">
        <f>$C118*CH117</f>
        <v/>
      </c>
      <c r="CI118">
        <f>$C118*CI117</f>
        <v/>
      </c>
      <c r="CJ118">
        <f>$C118*CJ117</f>
        <v/>
      </c>
      <c r="CK118">
        <f>$C118*CK117</f>
        <v/>
      </c>
      <c r="CL118">
        <f>$C118*CL117</f>
        <v/>
      </c>
      <c r="CM118">
        <f>$C118*CM117</f>
        <v/>
      </c>
      <c r="CN118">
        <f>$C118*CN117</f>
        <v/>
      </c>
      <c r="CO118">
        <f>$C118*CO117</f>
        <v/>
      </c>
      <c r="CP118">
        <f>$C118*CP117</f>
        <v/>
      </c>
      <c r="CQ118">
        <f>$C118*CQ117</f>
        <v/>
      </c>
      <c r="CR118">
        <f>$C118*CR117</f>
        <v/>
      </c>
      <c r="CS118">
        <f>$C118*CS117</f>
        <v/>
      </c>
      <c r="CT118">
        <f>$C118*CT117</f>
        <v/>
      </c>
      <c r="CU118">
        <f>$C118*CU117</f>
        <v/>
      </c>
      <c r="CV118">
        <f>$C118*CV117</f>
        <v/>
      </c>
      <c r="CW118">
        <f>$C118*CW117</f>
        <v/>
      </c>
      <c r="CX118">
        <f>$C118*CX117</f>
        <v/>
      </c>
      <c r="CY118">
        <f>$C118*CY117</f>
        <v/>
      </c>
      <c r="CZ118">
        <f>$C118*CZ117</f>
        <v/>
      </c>
      <c r="DA118">
        <f>$C118*DA117</f>
        <v/>
      </c>
      <c r="DB118">
        <f>$C118*DB117</f>
        <v/>
      </c>
      <c r="DC118">
        <f>$C118*DC117</f>
        <v/>
      </c>
    </row>
    <row r="119">
      <c r="B119" t="inlineStr">
        <is>
          <t>TSP-710</t>
        </is>
      </c>
      <c r="C119" t="inlineStr">
        <is>
          <t>No. of batches</t>
        </is>
      </c>
      <c r="D119">
        <f>IFERROR(INDEX(PP_Grid[#Data],$DD119,2),0)</f>
        <v/>
      </c>
      <c r="E119">
        <f>IFERROR(INDEX(PP_Grid[#Data],$DD119,3),0)</f>
        <v/>
      </c>
      <c r="F119">
        <f>IFERROR(INDEX(PP_Grid[#Data],$DD119,4),0)</f>
        <v/>
      </c>
      <c r="G119">
        <f>IFERROR(INDEX(PP_Grid[#Data],$DD119,5),0)</f>
        <v/>
      </c>
      <c r="H119">
        <f>IFERROR(INDEX(PP_Grid[#Data],$DD119,6),0)</f>
        <v/>
      </c>
      <c r="I119">
        <f>IFERROR(INDEX(PP_Grid[#Data],$DD119,7),0)</f>
        <v/>
      </c>
      <c r="J119">
        <f>IFERROR(INDEX(PP_Grid[#Data],$DD119,8),0)</f>
        <v/>
      </c>
      <c r="K119">
        <f>IFERROR(INDEX(PP_Grid[#Data],$DD119,9),0)</f>
        <v/>
      </c>
      <c r="L119">
        <f>IFERROR(INDEX(PP_Grid[#Data],$DD119,10),0)</f>
        <v/>
      </c>
      <c r="M119">
        <f>IFERROR(INDEX(PP_Grid[#Data],$DD119,11),0)</f>
        <v/>
      </c>
      <c r="N119">
        <f>IFERROR(INDEX(PP_Grid[#Data],$DD119,12),0)</f>
        <v/>
      </c>
      <c r="O119">
        <f>IFERROR(INDEX(PP_Grid[#Data],$DD119,13),0)</f>
        <v/>
      </c>
      <c r="P119">
        <f>IFERROR(INDEX(PP_Grid[#Data],$DD119,14),0)</f>
        <v/>
      </c>
      <c r="Q119">
        <f>IFERROR(INDEX(PP_Grid[#Data],$DD119,15),0)</f>
        <v/>
      </c>
      <c r="R119">
        <f>IFERROR(INDEX(PP_Grid[#Data],$DD119,16),0)</f>
        <v/>
      </c>
      <c r="S119">
        <f>IFERROR(INDEX(PP_Grid[#Data],$DD119,17),0)</f>
        <v/>
      </c>
      <c r="T119">
        <f>IFERROR(INDEX(PP_Grid[#Data],$DD119,18),0)</f>
        <v/>
      </c>
      <c r="U119">
        <f>IFERROR(INDEX(PP_Grid[#Data],$DD119,19),0)</f>
        <v/>
      </c>
      <c r="V119">
        <f>IFERROR(INDEX(PP_Grid[#Data],$DD119,20),0)</f>
        <v/>
      </c>
      <c r="W119">
        <f>IFERROR(INDEX(PP_Grid[#Data],$DD119,21),0)</f>
        <v/>
      </c>
      <c r="X119">
        <f>IFERROR(INDEX(PP_Grid[#Data],$DD119,22),0)</f>
        <v/>
      </c>
      <c r="Y119">
        <f>IFERROR(INDEX(PP_Grid[#Data],$DD119,23),0)</f>
        <v/>
      </c>
      <c r="Z119">
        <f>IFERROR(INDEX(PP_Grid[#Data],$DD119,24),0)</f>
        <v/>
      </c>
      <c r="AA119">
        <f>IFERROR(INDEX(PP_Grid[#Data],$DD119,25),0)</f>
        <v/>
      </c>
      <c r="AB119">
        <f>IFERROR(INDEX(PP_Grid[#Data],$DD119,26),0)</f>
        <v/>
      </c>
      <c r="AC119">
        <f>IFERROR(INDEX(PP_Grid[#Data],$DD119,27),0)</f>
        <v/>
      </c>
      <c r="AD119">
        <f>IFERROR(INDEX(PP_Grid[#Data],$DD119,28),0)</f>
        <v/>
      </c>
      <c r="AE119">
        <f>IFERROR(INDEX(PP_Grid[#Data],$DD119,29),0)</f>
        <v/>
      </c>
      <c r="AF119">
        <f>IFERROR(INDEX(PP_Grid[#Data],$DD119,30),0)</f>
        <v/>
      </c>
      <c r="AG119">
        <f>IFERROR(INDEX(PP_Grid[#Data],$DD119,31),0)</f>
        <v/>
      </c>
      <c r="AH119">
        <f>IFERROR(INDEX(PP_Grid[#Data],$DD119,32),0)</f>
        <v/>
      </c>
      <c r="AI119">
        <f>IFERROR(INDEX(PP_Grid[#Data],$DD119,33),0)</f>
        <v/>
      </c>
      <c r="AJ119">
        <f>IFERROR(INDEX(PP_Grid[#Data],$DD119,34),0)</f>
        <v/>
      </c>
      <c r="AK119">
        <f>IFERROR(INDEX(PP_Grid[#Data],$DD119,35),0)</f>
        <v/>
      </c>
      <c r="AL119">
        <f>IFERROR(INDEX(PP_Grid[#Data],$DD119,36),0)</f>
        <v/>
      </c>
      <c r="AM119">
        <f>IFERROR(INDEX(PP_Grid[#Data],$DD119,37),0)</f>
        <v/>
      </c>
      <c r="AN119">
        <f>IFERROR(INDEX(PP_Grid[#Data],$DD119,38),0)</f>
        <v/>
      </c>
      <c r="AO119">
        <f>IFERROR(INDEX(PP_Grid[#Data],$DD119,39),0)</f>
        <v/>
      </c>
      <c r="AP119">
        <f>IFERROR(INDEX(PP_Grid[#Data],$DD119,40),0)</f>
        <v/>
      </c>
      <c r="AQ119">
        <f>IFERROR(INDEX(PP_Grid[#Data],$DD119,41),0)</f>
        <v/>
      </c>
      <c r="AR119">
        <f>IFERROR(INDEX(PP_Grid[#Data],$DD119,42),0)</f>
        <v/>
      </c>
      <c r="AS119">
        <f>IFERROR(INDEX(PP_Grid[#Data],$DD119,43),0)</f>
        <v/>
      </c>
      <c r="AT119">
        <f>IFERROR(INDEX(PP_Grid[#Data],$DD119,44),0)</f>
        <v/>
      </c>
      <c r="AU119">
        <f>IFERROR(INDEX(PP_Grid[#Data],$DD119,45),0)</f>
        <v/>
      </c>
      <c r="AV119">
        <f>IFERROR(INDEX(PP_Grid[#Data],$DD119,46),0)</f>
        <v/>
      </c>
      <c r="AW119">
        <f>IFERROR(INDEX(PP_Grid[#Data],$DD119,47),0)</f>
        <v/>
      </c>
      <c r="AX119">
        <f>IFERROR(INDEX(PP_Grid[#Data],$DD119,48),0)</f>
        <v/>
      </c>
      <c r="AY119">
        <f>IFERROR(INDEX(PP_Grid[#Data],$DD119,49),0)</f>
        <v/>
      </c>
      <c r="AZ119">
        <f>IFERROR(INDEX(PP_Grid[#Data],$DD119,50),0)</f>
        <v/>
      </c>
      <c r="BA119">
        <f>IFERROR(INDEX(PP_Grid[#Data],$DD119,51),0)</f>
        <v/>
      </c>
      <c r="BB119">
        <f>IFERROR(INDEX(PP_Grid[#Data],$DD119,52),0)</f>
        <v/>
      </c>
      <c r="BC119">
        <f>IFERROR(INDEX(PP_Grid[#Data],$DD119,53),0)</f>
        <v/>
      </c>
      <c r="BD119">
        <f>IFERROR(INDEX(PP_Grid[#Data],$DD119,54),0)</f>
        <v/>
      </c>
      <c r="BE119">
        <f>IFERROR(INDEX(PP_Grid[#Data],$DD119,55),0)</f>
        <v/>
      </c>
      <c r="BF119">
        <f>IFERROR(INDEX(PP_Grid[#Data],$DD119,56),0)</f>
        <v/>
      </c>
      <c r="BG119">
        <f>IFERROR(INDEX(PP_Grid[#Data],$DD119,57),0)</f>
        <v/>
      </c>
      <c r="BH119">
        <f>IFERROR(INDEX(PP_Grid[#Data],$DD119,58),0)</f>
        <v/>
      </c>
      <c r="BI119">
        <f>IFERROR(INDEX(PP_Grid[#Data],$DD119,59),0)</f>
        <v/>
      </c>
      <c r="BJ119">
        <f>IFERROR(INDEX(PP_Grid[#Data],$DD119,60),0)</f>
        <v/>
      </c>
      <c r="BK119">
        <f>IFERROR(INDEX(PP_Grid[#Data],$DD119,61),0)</f>
        <v/>
      </c>
      <c r="BL119">
        <f>IFERROR(INDEX(PP_Grid[#Data],$DD119,62),0)</f>
        <v/>
      </c>
      <c r="BM119">
        <f>IFERROR(INDEX(PP_Grid[#Data],$DD119,63),0)</f>
        <v/>
      </c>
      <c r="BN119">
        <f>IFERROR(INDEX(PP_Grid[#Data],$DD119,64),0)</f>
        <v/>
      </c>
      <c r="BO119">
        <f>IFERROR(INDEX(PP_Grid[#Data],$DD119,65),0)</f>
        <v/>
      </c>
      <c r="BP119">
        <f>IFERROR(INDEX(PP_Grid[#Data],$DD119,66),0)</f>
        <v/>
      </c>
      <c r="BQ119">
        <f>IFERROR(INDEX(PP_Grid[#Data],$DD119,67),0)</f>
        <v/>
      </c>
      <c r="BR119">
        <f>IFERROR(INDEX(PP_Grid[#Data],$DD119,68),0)</f>
        <v/>
      </c>
      <c r="BS119">
        <f>IFERROR(INDEX(PP_Grid[#Data],$DD119,69),0)</f>
        <v/>
      </c>
      <c r="BT119">
        <f>IFERROR(INDEX(PP_Grid[#Data],$DD119,70),0)</f>
        <v/>
      </c>
      <c r="BU119">
        <f>IFERROR(INDEX(PP_Grid[#Data],$DD119,71),0)</f>
        <v/>
      </c>
      <c r="BV119">
        <f>IFERROR(INDEX(PP_Grid[#Data],$DD119,72),0)</f>
        <v/>
      </c>
      <c r="BW119">
        <f>IFERROR(INDEX(PP_Grid[#Data],$DD119,73),0)</f>
        <v/>
      </c>
      <c r="BX119">
        <f>IFERROR(INDEX(PP_Grid[#Data],$DD119,74),0)</f>
        <v/>
      </c>
      <c r="BY119">
        <f>IFERROR(INDEX(PP_Grid[#Data],$DD119,75),0)</f>
        <v/>
      </c>
      <c r="BZ119">
        <f>IFERROR(INDEX(PP_Grid[#Data],$DD119,76),0)</f>
        <v/>
      </c>
      <c r="CA119">
        <f>IFERROR(INDEX(PP_Grid[#Data],$DD119,77),0)</f>
        <v/>
      </c>
      <c r="CB119">
        <f>IFERROR(INDEX(PP_Grid[#Data],$DD119,78),0)</f>
        <v/>
      </c>
      <c r="CC119">
        <f>IFERROR(INDEX(PP_Grid[#Data],$DD119,79),0)</f>
        <v/>
      </c>
      <c r="CD119">
        <f>IFERROR(INDEX(PP_Grid[#Data],$DD119,80),0)</f>
        <v/>
      </c>
      <c r="CE119">
        <f>IFERROR(INDEX(PP_Grid[#Data],$DD119,81),0)</f>
        <v/>
      </c>
      <c r="CF119">
        <f>IFERROR(INDEX(PP_Grid[#Data],$DD119,82),0)</f>
        <v/>
      </c>
      <c r="CG119">
        <f>IFERROR(INDEX(PP_Grid[#Data],$DD119,83),0)</f>
        <v/>
      </c>
      <c r="CH119">
        <f>IFERROR(INDEX(PP_Grid[#Data],$DD119,84),0)</f>
        <v/>
      </c>
      <c r="CI119">
        <f>IFERROR(INDEX(PP_Grid[#Data],$DD119,85),0)</f>
        <v/>
      </c>
      <c r="CJ119">
        <f>IFERROR(INDEX(PP_Grid[#Data],$DD119,86),0)</f>
        <v/>
      </c>
      <c r="CK119">
        <f>IFERROR(INDEX(PP_Grid[#Data],$DD119,87),0)</f>
        <v/>
      </c>
      <c r="CL119">
        <f>IFERROR(INDEX(PP_Grid[#Data],$DD119,88),0)</f>
        <v/>
      </c>
      <c r="CM119">
        <f>IFERROR(INDEX(PP_Grid[#Data],$DD119,89),0)</f>
        <v/>
      </c>
      <c r="CN119">
        <f>IFERROR(INDEX(PP_Grid[#Data],$DD119,90),0)</f>
        <v/>
      </c>
      <c r="CO119">
        <f>IFERROR(INDEX(PP_Grid[#Data],$DD119,91),0)</f>
        <v/>
      </c>
      <c r="CP119">
        <f>IFERROR(INDEX(PP_Grid[#Data],$DD119,92),0)</f>
        <v/>
      </c>
      <c r="CQ119">
        <f>IFERROR(INDEX(PP_Grid[#Data],$DD119,93),0)</f>
        <v/>
      </c>
      <c r="CR119">
        <f>IFERROR(INDEX(PP_Grid[#Data],$DD119,94),0)</f>
        <v/>
      </c>
      <c r="CS119">
        <f>IFERROR(INDEX(PP_Grid[#Data],$DD119,95),0)</f>
        <v/>
      </c>
      <c r="CT119">
        <f>IFERROR(INDEX(PP_Grid[#Data],$DD119,96),0)</f>
        <v/>
      </c>
      <c r="CU119">
        <f>IFERROR(INDEX(PP_Grid[#Data],$DD119,97),0)</f>
        <v/>
      </c>
      <c r="CV119">
        <f>IFERROR(INDEX(PP_Grid[#Data],$DD119,98),0)</f>
        <v/>
      </c>
      <c r="CW119">
        <f>IFERROR(INDEX(PP_Grid[#Data],$DD119,99),0)</f>
        <v/>
      </c>
      <c r="CX119">
        <f>IFERROR(INDEX(PP_Grid[#Data],$DD119,100),0)</f>
        <v/>
      </c>
      <c r="CY119">
        <f>IFERROR(INDEX(PP_Grid[#Data],$DD119,101),0)</f>
        <v/>
      </c>
      <c r="CZ119">
        <f>IFERROR(INDEX(PP_Grid[#Data],$DD119,102),0)</f>
        <v/>
      </c>
      <c r="DA119">
        <f>IFERROR(INDEX(PP_Grid[#Data],$DD119,103),0)</f>
        <v/>
      </c>
      <c r="DB119">
        <f>IFERROR(INDEX(PP_Grid[#Data],$DD119,104),0)</f>
        <v/>
      </c>
      <c r="DC119">
        <f>IFERROR(INDEX(PP_Grid[#Data],$DD119,105),0)</f>
        <v/>
      </c>
      <c r="DD119" s="7">
        <f>IFERROR(MATCH($B119,PP_Grid[Intermediate],0),99999)</f>
        <v/>
      </c>
    </row>
    <row r="120">
      <c r="B120" t="inlineStr">
        <is>
          <t>使用量(kg)</t>
        </is>
      </c>
      <c r="C120">
        <f>SUMIFS(M_BOM[RM_Qty_Per_Batch],M_BOM[Intermediate],$B119,M_BOM[Part Name],$A44)</f>
        <v/>
      </c>
      <c r="D120">
        <f>$C120*D119</f>
        <v/>
      </c>
      <c r="E120">
        <f>$C120*E119</f>
        <v/>
      </c>
      <c r="F120">
        <f>$C120*F119</f>
        <v/>
      </c>
      <c r="G120">
        <f>$C120*G119</f>
        <v/>
      </c>
      <c r="H120">
        <f>$C120*H119</f>
        <v/>
      </c>
      <c r="I120">
        <f>$C120*I119</f>
        <v/>
      </c>
      <c r="J120">
        <f>$C120*J119</f>
        <v/>
      </c>
      <c r="K120">
        <f>$C120*K119</f>
        <v/>
      </c>
      <c r="L120">
        <f>$C120*L119</f>
        <v/>
      </c>
      <c r="M120">
        <f>$C120*M119</f>
        <v/>
      </c>
      <c r="N120">
        <f>$C120*N119</f>
        <v/>
      </c>
      <c r="O120">
        <f>$C120*O119</f>
        <v/>
      </c>
      <c r="P120">
        <f>$C120*P119</f>
        <v/>
      </c>
      <c r="Q120">
        <f>$C120*Q119</f>
        <v/>
      </c>
      <c r="R120">
        <f>$C120*R119</f>
        <v/>
      </c>
      <c r="S120">
        <f>$C120*S119</f>
        <v/>
      </c>
      <c r="T120">
        <f>$C120*T119</f>
        <v/>
      </c>
      <c r="U120">
        <f>$C120*U119</f>
        <v/>
      </c>
      <c r="V120">
        <f>$C120*V119</f>
        <v/>
      </c>
      <c r="W120">
        <f>$C120*W119</f>
        <v/>
      </c>
      <c r="X120">
        <f>$C120*X119</f>
        <v/>
      </c>
      <c r="Y120">
        <f>$C120*Y119</f>
        <v/>
      </c>
      <c r="Z120">
        <f>$C120*Z119</f>
        <v/>
      </c>
      <c r="AA120">
        <f>$C120*AA119</f>
        <v/>
      </c>
      <c r="AB120">
        <f>$C120*AB119</f>
        <v/>
      </c>
      <c r="AC120">
        <f>$C120*AC119</f>
        <v/>
      </c>
      <c r="AD120">
        <f>$C120*AD119</f>
        <v/>
      </c>
      <c r="AE120">
        <f>$C120*AE119</f>
        <v/>
      </c>
      <c r="AF120">
        <f>$C120*AF119</f>
        <v/>
      </c>
      <c r="AG120">
        <f>$C120*AG119</f>
        <v/>
      </c>
      <c r="AH120">
        <f>$C120*AH119</f>
        <v/>
      </c>
      <c r="AI120">
        <f>$C120*AI119</f>
        <v/>
      </c>
      <c r="AJ120">
        <f>$C120*AJ119</f>
        <v/>
      </c>
      <c r="AK120">
        <f>$C120*AK119</f>
        <v/>
      </c>
      <c r="AL120">
        <f>$C120*AL119</f>
        <v/>
      </c>
      <c r="AM120">
        <f>$C120*AM119</f>
        <v/>
      </c>
      <c r="AN120">
        <f>$C120*AN119</f>
        <v/>
      </c>
      <c r="AO120">
        <f>$C120*AO119</f>
        <v/>
      </c>
      <c r="AP120">
        <f>$C120*AP119</f>
        <v/>
      </c>
      <c r="AQ120">
        <f>$C120*AQ119</f>
        <v/>
      </c>
      <c r="AR120">
        <f>$C120*AR119</f>
        <v/>
      </c>
      <c r="AS120">
        <f>$C120*AS119</f>
        <v/>
      </c>
      <c r="AT120">
        <f>$C120*AT119</f>
        <v/>
      </c>
      <c r="AU120">
        <f>$C120*AU119</f>
        <v/>
      </c>
      <c r="AV120">
        <f>$C120*AV119</f>
        <v/>
      </c>
      <c r="AW120">
        <f>$C120*AW119</f>
        <v/>
      </c>
      <c r="AX120">
        <f>$C120*AX119</f>
        <v/>
      </c>
      <c r="AY120">
        <f>$C120*AY119</f>
        <v/>
      </c>
      <c r="AZ120">
        <f>$C120*AZ119</f>
        <v/>
      </c>
      <c r="BA120">
        <f>$C120*BA119</f>
        <v/>
      </c>
      <c r="BB120">
        <f>$C120*BB119</f>
        <v/>
      </c>
      <c r="BC120">
        <f>$C120*BC119</f>
        <v/>
      </c>
      <c r="BD120">
        <f>$C120*BD119</f>
        <v/>
      </c>
      <c r="BE120">
        <f>$C120*BE119</f>
        <v/>
      </c>
      <c r="BF120">
        <f>$C120*BF119</f>
        <v/>
      </c>
      <c r="BG120">
        <f>$C120*BG119</f>
        <v/>
      </c>
      <c r="BH120">
        <f>$C120*BH119</f>
        <v/>
      </c>
      <c r="BI120">
        <f>$C120*BI119</f>
        <v/>
      </c>
      <c r="BJ120">
        <f>$C120*BJ119</f>
        <v/>
      </c>
      <c r="BK120">
        <f>$C120*BK119</f>
        <v/>
      </c>
      <c r="BL120">
        <f>$C120*BL119</f>
        <v/>
      </c>
      <c r="BM120">
        <f>$C120*BM119</f>
        <v/>
      </c>
      <c r="BN120">
        <f>$C120*BN119</f>
        <v/>
      </c>
      <c r="BO120">
        <f>$C120*BO119</f>
        <v/>
      </c>
      <c r="BP120">
        <f>$C120*BP119</f>
        <v/>
      </c>
      <c r="BQ120">
        <f>$C120*BQ119</f>
        <v/>
      </c>
      <c r="BR120">
        <f>$C120*BR119</f>
        <v/>
      </c>
      <c r="BS120">
        <f>$C120*BS119</f>
        <v/>
      </c>
      <c r="BT120">
        <f>$C120*BT119</f>
        <v/>
      </c>
      <c r="BU120">
        <f>$C120*BU119</f>
        <v/>
      </c>
      <c r="BV120">
        <f>$C120*BV119</f>
        <v/>
      </c>
      <c r="BW120">
        <f>$C120*BW119</f>
        <v/>
      </c>
      <c r="BX120">
        <f>$C120*BX119</f>
        <v/>
      </c>
      <c r="BY120">
        <f>$C120*BY119</f>
        <v/>
      </c>
      <c r="BZ120">
        <f>$C120*BZ119</f>
        <v/>
      </c>
      <c r="CA120">
        <f>$C120*CA119</f>
        <v/>
      </c>
      <c r="CB120">
        <f>$C120*CB119</f>
        <v/>
      </c>
      <c r="CC120">
        <f>$C120*CC119</f>
        <v/>
      </c>
      <c r="CD120">
        <f>$C120*CD119</f>
        <v/>
      </c>
      <c r="CE120">
        <f>$C120*CE119</f>
        <v/>
      </c>
      <c r="CF120">
        <f>$C120*CF119</f>
        <v/>
      </c>
      <c r="CG120">
        <f>$C120*CG119</f>
        <v/>
      </c>
      <c r="CH120">
        <f>$C120*CH119</f>
        <v/>
      </c>
      <c r="CI120">
        <f>$C120*CI119</f>
        <v/>
      </c>
      <c r="CJ120">
        <f>$C120*CJ119</f>
        <v/>
      </c>
      <c r="CK120">
        <f>$C120*CK119</f>
        <v/>
      </c>
      <c r="CL120">
        <f>$C120*CL119</f>
        <v/>
      </c>
      <c r="CM120">
        <f>$C120*CM119</f>
        <v/>
      </c>
      <c r="CN120">
        <f>$C120*CN119</f>
        <v/>
      </c>
      <c r="CO120">
        <f>$C120*CO119</f>
        <v/>
      </c>
      <c r="CP120">
        <f>$C120*CP119</f>
        <v/>
      </c>
      <c r="CQ120">
        <f>$C120*CQ119</f>
        <v/>
      </c>
      <c r="CR120">
        <f>$C120*CR119</f>
        <v/>
      </c>
      <c r="CS120">
        <f>$C120*CS119</f>
        <v/>
      </c>
      <c r="CT120">
        <f>$C120*CT119</f>
        <v/>
      </c>
      <c r="CU120">
        <f>$C120*CU119</f>
        <v/>
      </c>
      <c r="CV120">
        <f>$C120*CV119</f>
        <v/>
      </c>
      <c r="CW120">
        <f>$C120*CW119</f>
        <v/>
      </c>
      <c r="CX120">
        <f>$C120*CX119</f>
        <v/>
      </c>
      <c r="CY120">
        <f>$C120*CY119</f>
        <v/>
      </c>
      <c r="CZ120">
        <f>$C120*CZ119</f>
        <v/>
      </c>
      <c r="DA120">
        <f>$C120*DA119</f>
        <v/>
      </c>
      <c r="DB120">
        <f>$C120*DB119</f>
        <v/>
      </c>
      <c r="DC120">
        <f>$C120*DC119</f>
        <v/>
      </c>
    </row>
    <row r="121">
      <c r="B121" t="inlineStr">
        <is>
          <t>TSP-828</t>
        </is>
      </c>
      <c r="C121" t="inlineStr">
        <is>
          <t>No. of batches</t>
        </is>
      </c>
      <c r="D121">
        <f>IFERROR(INDEX(PP_Grid[#Data],$DD121,2),0)</f>
        <v/>
      </c>
      <c r="E121">
        <f>IFERROR(INDEX(PP_Grid[#Data],$DD121,3),0)</f>
        <v/>
      </c>
      <c r="F121">
        <f>IFERROR(INDEX(PP_Grid[#Data],$DD121,4),0)</f>
        <v/>
      </c>
      <c r="G121">
        <f>IFERROR(INDEX(PP_Grid[#Data],$DD121,5),0)</f>
        <v/>
      </c>
      <c r="H121">
        <f>IFERROR(INDEX(PP_Grid[#Data],$DD121,6),0)</f>
        <v/>
      </c>
      <c r="I121">
        <f>IFERROR(INDEX(PP_Grid[#Data],$DD121,7),0)</f>
        <v/>
      </c>
      <c r="J121">
        <f>IFERROR(INDEX(PP_Grid[#Data],$DD121,8),0)</f>
        <v/>
      </c>
      <c r="K121">
        <f>IFERROR(INDEX(PP_Grid[#Data],$DD121,9),0)</f>
        <v/>
      </c>
      <c r="L121">
        <f>IFERROR(INDEX(PP_Grid[#Data],$DD121,10),0)</f>
        <v/>
      </c>
      <c r="M121">
        <f>IFERROR(INDEX(PP_Grid[#Data],$DD121,11),0)</f>
        <v/>
      </c>
      <c r="N121">
        <f>IFERROR(INDEX(PP_Grid[#Data],$DD121,12),0)</f>
        <v/>
      </c>
      <c r="O121">
        <f>IFERROR(INDEX(PP_Grid[#Data],$DD121,13),0)</f>
        <v/>
      </c>
      <c r="P121">
        <f>IFERROR(INDEX(PP_Grid[#Data],$DD121,14),0)</f>
        <v/>
      </c>
      <c r="Q121">
        <f>IFERROR(INDEX(PP_Grid[#Data],$DD121,15),0)</f>
        <v/>
      </c>
      <c r="R121">
        <f>IFERROR(INDEX(PP_Grid[#Data],$DD121,16),0)</f>
        <v/>
      </c>
      <c r="S121">
        <f>IFERROR(INDEX(PP_Grid[#Data],$DD121,17),0)</f>
        <v/>
      </c>
      <c r="T121">
        <f>IFERROR(INDEX(PP_Grid[#Data],$DD121,18),0)</f>
        <v/>
      </c>
      <c r="U121">
        <f>IFERROR(INDEX(PP_Grid[#Data],$DD121,19),0)</f>
        <v/>
      </c>
      <c r="V121">
        <f>IFERROR(INDEX(PP_Grid[#Data],$DD121,20),0)</f>
        <v/>
      </c>
      <c r="W121">
        <f>IFERROR(INDEX(PP_Grid[#Data],$DD121,21),0)</f>
        <v/>
      </c>
      <c r="X121">
        <f>IFERROR(INDEX(PP_Grid[#Data],$DD121,22),0)</f>
        <v/>
      </c>
      <c r="Y121">
        <f>IFERROR(INDEX(PP_Grid[#Data],$DD121,23),0)</f>
        <v/>
      </c>
      <c r="Z121">
        <f>IFERROR(INDEX(PP_Grid[#Data],$DD121,24),0)</f>
        <v/>
      </c>
      <c r="AA121">
        <f>IFERROR(INDEX(PP_Grid[#Data],$DD121,25),0)</f>
        <v/>
      </c>
      <c r="AB121">
        <f>IFERROR(INDEX(PP_Grid[#Data],$DD121,26),0)</f>
        <v/>
      </c>
      <c r="AC121">
        <f>IFERROR(INDEX(PP_Grid[#Data],$DD121,27),0)</f>
        <v/>
      </c>
      <c r="AD121">
        <f>IFERROR(INDEX(PP_Grid[#Data],$DD121,28),0)</f>
        <v/>
      </c>
      <c r="AE121">
        <f>IFERROR(INDEX(PP_Grid[#Data],$DD121,29),0)</f>
        <v/>
      </c>
      <c r="AF121">
        <f>IFERROR(INDEX(PP_Grid[#Data],$DD121,30),0)</f>
        <v/>
      </c>
      <c r="AG121">
        <f>IFERROR(INDEX(PP_Grid[#Data],$DD121,31),0)</f>
        <v/>
      </c>
      <c r="AH121">
        <f>IFERROR(INDEX(PP_Grid[#Data],$DD121,32),0)</f>
        <v/>
      </c>
      <c r="AI121">
        <f>IFERROR(INDEX(PP_Grid[#Data],$DD121,33),0)</f>
        <v/>
      </c>
      <c r="AJ121">
        <f>IFERROR(INDEX(PP_Grid[#Data],$DD121,34),0)</f>
        <v/>
      </c>
      <c r="AK121">
        <f>IFERROR(INDEX(PP_Grid[#Data],$DD121,35),0)</f>
        <v/>
      </c>
      <c r="AL121">
        <f>IFERROR(INDEX(PP_Grid[#Data],$DD121,36),0)</f>
        <v/>
      </c>
      <c r="AM121">
        <f>IFERROR(INDEX(PP_Grid[#Data],$DD121,37),0)</f>
        <v/>
      </c>
      <c r="AN121">
        <f>IFERROR(INDEX(PP_Grid[#Data],$DD121,38),0)</f>
        <v/>
      </c>
      <c r="AO121">
        <f>IFERROR(INDEX(PP_Grid[#Data],$DD121,39),0)</f>
        <v/>
      </c>
      <c r="AP121">
        <f>IFERROR(INDEX(PP_Grid[#Data],$DD121,40),0)</f>
        <v/>
      </c>
      <c r="AQ121">
        <f>IFERROR(INDEX(PP_Grid[#Data],$DD121,41),0)</f>
        <v/>
      </c>
      <c r="AR121">
        <f>IFERROR(INDEX(PP_Grid[#Data],$DD121,42),0)</f>
        <v/>
      </c>
      <c r="AS121">
        <f>IFERROR(INDEX(PP_Grid[#Data],$DD121,43),0)</f>
        <v/>
      </c>
      <c r="AT121">
        <f>IFERROR(INDEX(PP_Grid[#Data],$DD121,44),0)</f>
        <v/>
      </c>
      <c r="AU121">
        <f>IFERROR(INDEX(PP_Grid[#Data],$DD121,45),0)</f>
        <v/>
      </c>
      <c r="AV121">
        <f>IFERROR(INDEX(PP_Grid[#Data],$DD121,46),0)</f>
        <v/>
      </c>
      <c r="AW121">
        <f>IFERROR(INDEX(PP_Grid[#Data],$DD121,47),0)</f>
        <v/>
      </c>
      <c r="AX121">
        <f>IFERROR(INDEX(PP_Grid[#Data],$DD121,48),0)</f>
        <v/>
      </c>
      <c r="AY121">
        <f>IFERROR(INDEX(PP_Grid[#Data],$DD121,49),0)</f>
        <v/>
      </c>
      <c r="AZ121">
        <f>IFERROR(INDEX(PP_Grid[#Data],$DD121,50),0)</f>
        <v/>
      </c>
      <c r="BA121">
        <f>IFERROR(INDEX(PP_Grid[#Data],$DD121,51),0)</f>
        <v/>
      </c>
      <c r="BB121">
        <f>IFERROR(INDEX(PP_Grid[#Data],$DD121,52),0)</f>
        <v/>
      </c>
      <c r="BC121">
        <f>IFERROR(INDEX(PP_Grid[#Data],$DD121,53),0)</f>
        <v/>
      </c>
      <c r="BD121">
        <f>IFERROR(INDEX(PP_Grid[#Data],$DD121,54),0)</f>
        <v/>
      </c>
      <c r="BE121">
        <f>IFERROR(INDEX(PP_Grid[#Data],$DD121,55),0)</f>
        <v/>
      </c>
      <c r="BF121">
        <f>IFERROR(INDEX(PP_Grid[#Data],$DD121,56),0)</f>
        <v/>
      </c>
      <c r="BG121">
        <f>IFERROR(INDEX(PP_Grid[#Data],$DD121,57),0)</f>
        <v/>
      </c>
      <c r="BH121">
        <f>IFERROR(INDEX(PP_Grid[#Data],$DD121,58),0)</f>
        <v/>
      </c>
      <c r="BI121">
        <f>IFERROR(INDEX(PP_Grid[#Data],$DD121,59),0)</f>
        <v/>
      </c>
      <c r="BJ121">
        <f>IFERROR(INDEX(PP_Grid[#Data],$DD121,60),0)</f>
        <v/>
      </c>
      <c r="BK121">
        <f>IFERROR(INDEX(PP_Grid[#Data],$DD121,61),0)</f>
        <v/>
      </c>
      <c r="BL121">
        <f>IFERROR(INDEX(PP_Grid[#Data],$DD121,62),0)</f>
        <v/>
      </c>
      <c r="BM121">
        <f>IFERROR(INDEX(PP_Grid[#Data],$DD121,63),0)</f>
        <v/>
      </c>
      <c r="BN121">
        <f>IFERROR(INDEX(PP_Grid[#Data],$DD121,64),0)</f>
        <v/>
      </c>
      <c r="BO121">
        <f>IFERROR(INDEX(PP_Grid[#Data],$DD121,65),0)</f>
        <v/>
      </c>
      <c r="BP121">
        <f>IFERROR(INDEX(PP_Grid[#Data],$DD121,66),0)</f>
        <v/>
      </c>
      <c r="BQ121">
        <f>IFERROR(INDEX(PP_Grid[#Data],$DD121,67),0)</f>
        <v/>
      </c>
      <c r="BR121">
        <f>IFERROR(INDEX(PP_Grid[#Data],$DD121,68),0)</f>
        <v/>
      </c>
      <c r="BS121">
        <f>IFERROR(INDEX(PP_Grid[#Data],$DD121,69),0)</f>
        <v/>
      </c>
      <c r="BT121">
        <f>IFERROR(INDEX(PP_Grid[#Data],$DD121,70),0)</f>
        <v/>
      </c>
      <c r="BU121">
        <f>IFERROR(INDEX(PP_Grid[#Data],$DD121,71),0)</f>
        <v/>
      </c>
      <c r="BV121">
        <f>IFERROR(INDEX(PP_Grid[#Data],$DD121,72),0)</f>
        <v/>
      </c>
      <c r="BW121">
        <f>IFERROR(INDEX(PP_Grid[#Data],$DD121,73),0)</f>
        <v/>
      </c>
      <c r="BX121">
        <f>IFERROR(INDEX(PP_Grid[#Data],$DD121,74),0)</f>
        <v/>
      </c>
      <c r="BY121">
        <f>IFERROR(INDEX(PP_Grid[#Data],$DD121,75),0)</f>
        <v/>
      </c>
      <c r="BZ121">
        <f>IFERROR(INDEX(PP_Grid[#Data],$DD121,76),0)</f>
        <v/>
      </c>
      <c r="CA121">
        <f>IFERROR(INDEX(PP_Grid[#Data],$DD121,77),0)</f>
        <v/>
      </c>
      <c r="CB121">
        <f>IFERROR(INDEX(PP_Grid[#Data],$DD121,78),0)</f>
        <v/>
      </c>
      <c r="CC121">
        <f>IFERROR(INDEX(PP_Grid[#Data],$DD121,79),0)</f>
        <v/>
      </c>
      <c r="CD121">
        <f>IFERROR(INDEX(PP_Grid[#Data],$DD121,80),0)</f>
        <v/>
      </c>
      <c r="CE121">
        <f>IFERROR(INDEX(PP_Grid[#Data],$DD121,81),0)</f>
        <v/>
      </c>
      <c r="CF121">
        <f>IFERROR(INDEX(PP_Grid[#Data],$DD121,82),0)</f>
        <v/>
      </c>
      <c r="CG121">
        <f>IFERROR(INDEX(PP_Grid[#Data],$DD121,83),0)</f>
        <v/>
      </c>
      <c r="CH121">
        <f>IFERROR(INDEX(PP_Grid[#Data],$DD121,84),0)</f>
        <v/>
      </c>
      <c r="CI121">
        <f>IFERROR(INDEX(PP_Grid[#Data],$DD121,85),0)</f>
        <v/>
      </c>
      <c r="CJ121">
        <f>IFERROR(INDEX(PP_Grid[#Data],$DD121,86),0)</f>
        <v/>
      </c>
      <c r="CK121">
        <f>IFERROR(INDEX(PP_Grid[#Data],$DD121,87),0)</f>
        <v/>
      </c>
      <c r="CL121">
        <f>IFERROR(INDEX(PP_Grid[#Data],$DD121,88),0)</f>
        <v/>
      </c>
      <c r="CM121">
        <f>IFERROR(INDEX(PP_Grid[#Data],$DD121,89),0)</f>
        <v/>
      </c>
      <c r="CN121">
        <f>IFERROR(INDEX(PP_Grid[#Data],$DD121,90),0)</f>
        <v/>
      </c>
      <c r="CO121">
        <f>IFERROR(INDEX(PP_Grid[#Data],$DD121,91),0)</f>
        <v/>
      </c>
      <c r="CP121">
        <f>IFERROR(INDEX(PP_Grid[#Data],$DD121,92),0)</f>
        <v/>
      </c>
      <c r="CQ121">
        <f>IFERROR(INDEX(PP_Grid[#Data],$DD121,93),0)</f>
        <v/>
      </c>
      <c r="CR121">
        <f>IFERROR(INDEX(PP_Grid[#Data],$DD121,94),0)</f>
        <v/>
      </c>
      <c r="CS121">
        <f>IFERROR(INDEX(PP_Grid[#Data],$DD121,95),0)</f>
        <v/>
      </c>
      <c r="CT121">
        <f>IFERROR(INDEX(PP_Grid[#Data],$DD121,96),0)</f>
        <v/>
      </c>
      <c r="CU121">
        <f>IFERROR(INDEX(PP_Grid[#Data],$DD121,97),0)</f>
        <v/>
      </c>
      <c r="CV121">
        <f>IFERROR(INDEX(PP_Grid[#Data],$DD121,98),0)</f>
        <v/>
      </c>
      <c r="CW121">
        <f>IFERROR(INDEX(PP_Grid[#Data],$DD121,99),0)</f>
        <v/>
      </c>
      <c r="CX121">
        <f>IFERROR(INDEX(PP_Grid[#Data],$DD121,100),0)</f>
        <v/>
      </c>
      <c r="CY121">
        <f>IFERROR(INDEX(PP_Grid[#Data],$DD121,101),0)</f>
        <v/>
      </c>
      <c r="CZ121">
        <f>IFERROR(INDEX(PP_Grid[#Data],$DD121,102),0)</f>
        <v/>
      </c>
      <c r="DA121">
        <f>IFERROR(INDEX(PP_Grid[#Data],$DD121,103),0)</f>
        <v/>
      </c>
      <c r="DB121">
        <f>IFERROR(INDEX(PP_Grid[#Data],$DD121,104),0)</f>
        <v/>
      </c>
      <c r="DC121">
        <f>IFERROR(INDEX(PP_Grid[#Data],$DD121,105),0)</f>
        <v/>
      </c>
      <c r="DD121" s="7">
        <f>IFERROR(MATCH($B121,PP_Grid[Intermediate],0),99999)</f>
        <v/>
      </c>
    </row>
    <row r="122">
      <c r="B122" t="inlineStr">
        <is>
          <t>使用量(kg)</t>
        </is>
      </c>
      <c r="C122">
        <f>SUMIFS(M_BOM[RM_Qty_Per_Batch],M_BOM[Intermediate],$B121,M_BOM[Part Name],$A44)</f>
        <v/>
      </c>
      <c r="D122">
        <f>$C122*D121</f>
        <v/>
      </c>
      <c r="E122">
        <f>$C122*E121</f>
        <v/>
      </c>
      <c r="F122">
        <f>$C122*F121</f>
        <v/>
      </c>
      <c r="G122">
        <f>$C122*G121</f>
        <v/>
      </c>
      <c r="H122">
        <f>$C122*H121</f>
        <v/>
      </c>
      <c r="I122">
        <f>$C122*I121</f>
        <v/>
      </c>
      <c r="J122">
        <f>$C122*J121</f>
        <v/>
      </c>
      <c r="K122">
        <f>$C122*K121</f>
        <v/>
      </c>
      <c r="L122">
        <f>$C122*L121</f>
        <v/>
      </c>
      <c r="M122">
        <f>$C122*M121</f>
        <v/>
      </c>
      <c r="N122">
        <f>$C122*N121</f>
        <v/>
      </c>
      <c r="O122">
        <f>$C122*O121</f>
        <v/>
      </c>
      <c r="P122">
        <f>$C122*P121</f>
        <v/>
      </c>
      <c r="Q122">
        <f>$C122*Q121</f>
        <v/>
      </c>
      <c r="R122">
        <f>$C122*R121</f>
        <v/>
      </c>
      <c r="S122">
        <f>$C122*S121</f>
        <v/>
      </c>
      <c r="T122">
        <f>$C122*T121</f>
        <v/>
      </c>
      <c r="U122">
        <f>$C122*U121</f>
        <v/>
      </c>
      <c r="V122">
        <f>$C122*V121</f>
        <v/>
      </c>
      <c r="W122">
        <f>$C122*W121</f>
        <v/>
      </c>
      <c r="X122">
        <f>$C122*X121</f>
        <v/>
      </c>
      <c r="Y122">
        <f>$C122*Y121</f>
        <v/>
      </c>
      <c r="Z122">
        <f>$C122*Z121</f>
        <v/>
      </c>
      <c r="AA122">
        <f>$C122*AA121</f>
        <v/>
      </c>
      <c r="AB122">
        <f>$C122*AB121</f>
        <v/>
      </c>
      <c r="AC122">
        <f>$C122*AC121</f>
        <v/>
      </c>
      <c r="AD122">
        <f>$C122*AD121</f>
        <v/>
      </c>
      <c r="AE122">
        <f>$C122*AE121</f>
        <v/>
      </c>
      <c r="AF122">
        <f>$C122*AF121</f>
        <v/>
      </c>
      <c r="AG122">
        <f>$C122*AG121</f>
        <v/>
      </c>
      <c r="AH122">
        <f>$C122*AH121</f>
        <v/>
      </c>
      <c r="AI122">
        <f>$C122*AI121</f>
        <v/>
      </c>
      <c r="AJ122">
        <f>$C122*AJ121</f>
        <v/>
      </c>
      <c r="AK122">
        <f>$C122*AK121</f>
        <v/>
      </c>
      <c r="AL122">
        <f>$C122*AL121</f>
        <v/>
      </c>
      <c r="AM122">
        <f>$C122*AM121</f>
        <v/>
      </c>
      <c r="AN122">
        <f>$C122*AN121</f>
        <v/>
      </c>
      <c r="AO122">
        <f>$C122*AO121</f>
        <v/>
      </c>
      <c r="AP122">
        <f>$C122*AP121</f>
        <v/>
      </c>
      <c r="AQ122">
        <f>$C122*AQ121</f>
        <v/>
      </c>
      <c r="AR122">
        <f>$C122*AR121</f>
        <v/>
      </c>
      <c r="AS122">
        <f>$C122*AS121</f>
        <v/>
      </c>
      <c r="AT122">
        <f>$C122*AT121</f>
        <v/>
      </c>
      <c r="AU122">
        <f>$C122*AU121</f>
        <v/>
      </c>
      <c r="AV122">
        <f>$C122*AV121</f>
        <v/>
      </c>
      <c r="AW122">
        <f>$C122*AW121</f>
        <v/>
      </c>
      <c r="AX122">
        <f>$C122*AX121</f>
        <v/>
      </c>
      <c r="AY122">
        <f>$C122*AY121</f>
        <v/>
      </c>
      <c r="AZ122">
        <f>$C122*AZ121</f>
        <v/>
      </c>
      <c r="BA122">
        <f>$C122*BA121</f>
        <v/>
      </c>
      <c r="BB122">
        <f>$C122*BB121</f>
        <v/>
      </c>
      <c r="BC122">
        <f>$C122*BC121</f>
        <v/>
      </c>
      <c r="BD122">
        <f>$C122*BD121</f>
        <v/>
      </c>
      <c r="BE122">
        <f>$C122*BE121</f>
        <v/>
      </c>
      <c r="BF122">
        <f>$C122*BF121</f>
        <v/>
      </c>
      <c r="BG122">
        <f>$C122*BG121</f>
        <v/>
      </c>
      <c r="BH122">
        <f>$C122*BH121</f>
        <v/>
      </c>
      <c r="BI122">
        <f>$C122*BI121</f>
        <v/>
      </c>
      <c r="BJ122">
        <f>$C122*BJ121</f>
        <v/>
      </c>
      <c r="BK122">
        <f>$C122*BK121</f>
        <v/>
      </c>
      <c r="BL122">
        <f>$C122*BL121</f>
        <v/>
      </c>
      <c r="BM122">
        <f>$C122*BM121</f>
        <v/>
      </c>
      <c r="BN122">
        <f>$C122*BN121</f>
        <v/>
      </c>
      <c r="BO122">
        <f>$C122*BO121</f>
        <v/>
      </c>
      <c r="BP122">
        <f>$C122*BP121</f>
        <v/>
      </c>
      <c r="BQ122">
        <f>$C122*BQ121</f>
        <v/>
      </c>
      <c r="BR122">
        <f>$C122*BR121</f>
        <v/>
      </c>
      <c r="BS122">
        <f>$C122*BS121</f>
        <v/>
      </c>
      <c r="BT122">
        <f>$C122*BT121</f>
        <v/>
      </c>
      <c r="BU122">
        <f>$C122*BU121</f>
        <v/>
      </c>
      <c r="BV122">
        <f>$C122*BV121</f>
        <v/>
      </c>
      <c r="BW122">
        <f>$C122*BW121</f>
        <v/>
      </c>
      <c r="BX122">
        <f>$C122*BX121</f>
        <v/>
      </c>
      <c r="BY122">
        <f>$C122*BY121</f>
        <v/>
      </c>
      <c r="BZ122">
        <f>$C122*BZ121</f>
        <v/>
      </c>
      <c r="CA122">
        <f>$C122*CA121</f>
        <v/>
      </c>
      <c r="CB122">
        <f>$C122*CB121</f>
        <v/>
      </c>
      <c r="CC122">
        <f>$C122*CC121</f>
        <v/>
      </c>
      <c r="CD122">
        <f>$C122*CD121</f>
        <v/>
      </c>
      <c r="CE122">
        <f>$C122*CE121</f>
        <v/>
      </c>
      <c r="CF122">
        <f>$C122*CF121</f>
        <v/>
      </c>
      <c r="CG122">
        <f>$C122*CG121</f>
        <v/>
      </c>
      <c r="CH122">
        <f>$C122*CH121</f>
        <v/>
      </c>
      <c r="CI122">
        <f>$C122*CI121</f>
        <v/>
      </c>
      <c r="CJ122">
        <f>$C122*CJ121</f>
        <v/>
      </c>
      <c r="CK122">
        <f>$C122*CK121</f>
        <v/>
      </c>
      <c r="CL122">
        <f>$C122*CL121</f>
        <v/>
      </c>
      <c r="CM122">
        <f>$C122*CM121</f>
        <v/>
      </c>
      <c r="CN122">
        <f>$C122*CN121</f>
        <v/>
      </c>
      <c r="CO122">
        <f>$C122*CO121</f>
        <v/>
      </c>
      <c r="CP122">
        <f>$C122*CP121</f>
        <v/>
      </c>
      <c r="CQ122">
        <f>$C122*CQ121</f>
        <v/>
      </c>
      <c r="CR122">
        <f>$C122*CR121</f>
        <v/>
      </c>
      <c r="CS122">
        <f>$C122*CS121</f>
        <v/>
      </c>
      <c r="CT122">
        <f>$C122*CT121</f>
        <v/>
      </c>
      <c r="CU122">
        <f>$C122*CU121</f>
        <v/>
      </c>
      <c r="CV122">
        <f>$C122*CV121</f>
        <v/>
      </c>
      <c r="CW122">
        <f>$C122*CW121</f>
        <v/>
      </c>
      <c r="CX122">
        <f>$C122*CX121</f>
        <v/>
      </c>
      <c r="CY122">
        <f>$C122*CY121</f>
        <v/>
      </c>
      <c r="CZ122">
        <f>$C122*CZ121</f>
        <v/>
      </c>
      <c r="DA122">
        <f>$C122*DA121</f>
        <v/>
      </c>
      <c r="DB122">
        <f>$C122*DB121</f>
        <v/>
      </c>
      <c r="DC122">
        <f>$C122*DC121</f>
        <v/>
      </c>
    </row>
    <row r="123">
      <c r="B123" t="inlineStr">
        <is>
          <t>TSP-903</t>
        </is>
      </c>
      <c r="C123" t="inlineStr">
        <is>
          <t>No. of batches</t>
        </is>
      </c>
      <c r="D123">
        <f>IFERROR(INDEX(PP_Grid[#Data],$DD123,2),0)</f>
        <v/>
      </c>
      <c r="E123">
        <f>IFERROR(INDEX(PP_Grid[#Data],$DD123,3),0)</f>
        <v/>
      </c>
      <c r="F123">
        <f>IFERROR(INDEX(PP_Grid[#Data],$DD123,4),0)</f>
        <v/>
      </c>
      <c r="G123">
        <f>IFERROR(INDEX(PP_Grid[#Data],$DD123,5),0)</f>
        <v/>
      </c>
      <c r="H123">
        <f>IFERROR(INDEX(PP_Grid[#Data],$DD123,6),0)</f>
        <v/>
      </c>
      <c r="I123">
        <f>IFERROR(INDEX(PP_Grid[#Data],$DD123,7),0)</f>
        <v/>
      </c>
      <c r="J123">
        <f>IFERROR(INDEX(PP_Grid[#Data],$DD123,8),0)</f>
        <v/>
      </c>
      <c r="K123">
        <f>IFERROR(INDEX(PP_Grid[#Data],$DD123,9),0)</f>
        <v/>
      </c>
      <c r="L123">
        <f>IFERROR(INDEX(PP_Grid[#Data],$DD123,10),0)</f>
        <v/>
      </c>
      <c r="M123">
        <f>IFERROR(INDEX(PP_Grid[#Data],$DD123,11),0)</f>
        <v/>
      </c>
      <c r="N123">
        <f>IFERROR(INDEX(PP_Grid[#Data],$DD123,12),0)</f>
        <v/>
      </c>
      <c r="O123">
        <f>IFERROR(INDEX(PP_Grid[#Data],$DD123,13),0)</f>
        <v/>
      </c>
      <c r="P123">
        <f>IFERROR(INDEX(PP_Grid[#Data],$DD123,14),0)</f>
        <v/>
      </c>
      <c r="Q123">
        <f>IFERROR(INDEX(PP_Grid[#Data],$DD123,15),0)</f>
        <v/>
      </c>
      <c r="R123">
        <f>IFERROR(INDEX(PP_Grid[#Data],$DD123,16),0)</f>
        <v/>
      </c>
      <c r="S123">
        <f>IFERROR(INDEX(PP_Grid[#Data],$DD123,17),0)</f>
        <v/>
      </c>
      <c r="T123">
        <f>IFERROR(INDEX(PP_Grid[#Data],$DD123,18),0)</f>
        <v/>
      </c>
      <c r="U123">
        <f>IFERROR(INDEX(PP_Grid[#Data],$DD123,19),0)</f>
        <v/>
      </c>
      <c r="V123">
        <f>IFERROR(INDEX(PP_Grid[#Data],$DD123,20),0)</f>
        <v/>
      </c>
      <c r="W123">
        <f>IFERROR(INDEX(PP_Grid[#Data],$DD123,21),0)</f>
        <v/>
      </c>
      <c r="X123">
        <f>IFERROR(INDEX(PP_Grid[#Data],$DD123,22),0)</f>
        <v/>
      </c>
      <c r="Y123">
        <f>IFERROR(INDEX(PP_Grid[#Data],$DD123,23),0)</f>
        <v/>
      </c>
      <c r="Z123">
        <f>IFERROR(INDEX(PP_Grid[#Data],$DD123,24),0)</f>
        <v/>
      </c>
      <c r="AA123">
        <f>IFERROR(INDEX(PP_Grid[#Data],$DD123,25),0)</f>
        <v/>
      </c>
      <c r="AB123">
        <f>IFERROR(INDEX(PP_Grid[#Data],$DD123,26),0)</f>
        <v/>
      </c>
      <c r="AC123">
        <f>IFERROR(INDEX(PP_Grid[#Data],$DD123,27),0)</f>
        <v/>
      </c>
      <c r="AD123">
        <f>IFERROR(INDEX(PP_Grid[#Data],$DD123,28),0)</f>
        <v/>
      </c>
      <c r="AE123">
        <f>IFERROR(INDEX(PP_Grid[#Data],$DD123,29),0)</f>
        <v/>
      </c>
      <c r="AF123">
        <f>IFERROR(INDEX(PP_Grid[#Data],$DD123,30),0)</f>
        <v/>
      </c>
      <c r="AG123">
        <f>IFERROR(INDEX(PP_Grid[#Data],$DD123,31),0)</f>
        <v/>
      </c>
      <c r="AH123">
        <f>IFERROR(INDEX(PP_Grid[#Data],$DD123,32),0)</f>
        <v/>
      </c>
      <c r="AI123">
        <f>IFERROR(INDEX(PP_Grid[#Data],$DD123,33),0)</f>
        <v/>
      </c>
      <c r="AJ123">
        <f>IFERROR(INDEX(PP_Grid[#Data],$DD123,34),0)</f>
        <v/>
      </c>
      <c r="AK123">
        <f>IFERROR(INDEX(PP_Grid[#Data],$DD123,35),0)</f>
        <v/>
      </c>
      <c r="AL123">
        <f>IFERROR(INDEX(PP_Grid[#Data],$DD123,36),0)</f>
        <v/>
      </c>
      <c r="AM123">
        <f>IFERROR(INDEX(PP_Grid[#Data],$DD123,37),0)</f>
        <v/>
      </c>
      <c r="AN123">
        <f>IFERROR(INDEX(PP_Grid[#Data],$DD123,38),0)</f>
        <v/>
      </c>
      <c r="AO123">
        <f>IFERROR(INDEX(PP_Grid[#Data],$DD123,39),0)</f>
        <v/>
      </c>
      <c r="AP123">
        <f>IFERROR(INDEX(PP_Grid[#Data],$DD123,40),0)</f>
        <v/>
      </c>
      <c r="AQ123">
        <f>IFERROR(INDEX(PP_Grid[#Data],$DD123,41),0)</f>
        <v/>
      </c>
      <c r="AR123">
        <f>IFERROR(INDEX(PP_Grid[#Data],$DD123,42),0)</f>
        <v/>
      </c>
      <c r="AS123">
        <f>IFERROR(INDEX(PP_Grid[#Data],$DD123,43),0)</f>
        <v/>
      </c>
      <c r="AT123">
        <f>IFERROR(INDEX(PP_Grid[#Data],$DD123,44),0)</f>
        <v/>
      </c>
      <c r="AU123">
        <f>IFERROR(INDEX(PP_Grid[#Data],$DD123,45),0)</f>
        <v/>
      </c>
      <c r="AV123">
        <f>IFERROR(INDEX(PP_Grid[#Data],$DD123,46),0)</f>
        <v/>
      </c>
      <c r="AW123">
        <f>IFERROR(INDEX(PP_Grid[#Data],$DD123,47),0)</f>
        <v/>
      </c>
      <c r="AX123">
        <f>IFERROR(INDEX(PP_Grid[#Data],$DD123,48),0)</f>
        <v/>
      </c>
      <c r="AY123">
        <f>IFERROR(INDEX(PP_Grid[#Data],$DD123,49),0)</f>
        <v/>
      </c>
      <c r="AZ123">
        <f>IFERROR(INDEX(PP_Grid[#Data],$DD123,50),0)</f>
        <v/>
      </c>
      <c r="BA123">
        <f>IFERROR(INDEX(PP_Grid[#Data],$DD123,51),0)</f>
        <v/>
      </c>
      <c r="BB123">
        <f>IFERROR(INDEX(PP_Grid[#Data],$DD123,52),0)</f>
        <v/>
      </c>
      <c r="BC123">
        <f>IFERROR(INDEX(PP_Grid[#Data],$DD123,53),0)</f>
        <v/>
      </c>
      <c r="BD123">
        <f>IFERROR(INDEX(PP_Grid[#Data],$DD123,54),0)</f>
        <v/>
      </c>
      <c r="BE123">
        <f>IFERROR(INDEX(PP_Grid[#Data],$DD123,55),0)</f>
        <v/>
      </c>
      <c r="BF123">
        <f>IFERROR(INDEX(PP_Grid[#Data],$DD123,56),0)</f>
        <v/>
      </c>
      <c r="BG123">
        <f>IFERROR(INDEX(PP_Grid[#Data],$DD123,57),0)</f>
        <v/>
      </c>
      <c r="BH123">
        <f>IFERROR(INDEX(PP_Grid[#Data],$DD123,58),0)</f>
        <v/>
      </c>
      <c r="BI123">
        <f>IFERROR(INDEX(PP_Grid[#Data],$DD123,59),0)</f>
        <v/>
      </c>
      <c r="BJ123">
        <f>IFERROR(INDEX(PP_Grid[#Data],$DD123,60),0)</f>
        <v/>
      </c>
      <c r="BK123">
        <f>IFERROR(INDEX(PP_Grid[#Data],$DD123,61),0)</f>
        <v/>
      </c>
      <c r="BL123">
        <f>IFERROR(INDEX(PP_Grid[#Data],$DD123,62),0)</f>
        <v/>
      </c>
      <c r="BM123">
        <f>IFERROR(INDEX(PP_Grid[#Data],$DD123,63),0)</f>
        <v/>
      </c>
      <c r="BN123">
        <f>IFERROR(INDEX(PP_Grid[#Data],$DD123,64),0)</f>
        <v/>
      </c>
      <c r="BO123">
        <f>IFERROR(INDEX(PP_Grid[#Data],$DD123,65),0)</f>
        <v/>
      </c>
      <c r="BP123">
        <f>IFERROR(INDEX(PP_Grid[#Data],$DD123,66),0)</f>
        <v/>
      </c>
      <c r="BQ123">
        <f>IFERROR(INDEX(PP_Grid[#Data],$DD123,67),0)</f>
        <v/>
      </c>
      <c r="BR123">
        <f>IFERROR(INDEX(PP_Grid[#Data],$DD123,68),0)</f>
        <v/>
      </c>
      <c r="BS123">
        <f>IFERROR(INDEX(PP_Grid[#Data],$DD123,69),0)</f>
        <v/>
      </c>
      <c r="BT123">
        <f>IFERROR(INDEX(PP_Grid[#Data],$DD123,70),0)</f>
        <v/>
      </c>
      <c r="BU123">
        <f>IFERROR(INDEX(PP_Grid[#Data],$DD123,71),0)</f>
        <v/>
      </c>
      <c r="BV123">
        <f>IFERROR(INDEX(PP_Grid[#Data],$DD123,72),0)</f>
        <v/>
      </c>
      <c r="BW123">
        <f>IFERROR(INDEX(PP_Grid[#Data],$DD123,73),0)</f>
        <v/>
      </c>
      <c r="BX123">
        <f>IFERROR(INDEX(PP_Grid[#Data],$DD123,74),0)</f>
        <v/>
      </c>
      <c r="BY123">
        <f>IFERROR(INDEX(PP_Grid[#Data],$DD123,75),0)</f>
        <v/>
      </c>
      <c r="BZ123">
        <f>IFERROR(INDEX(PP_Grid[#Data],$DD123,76),0)</f>
        <v/>
      </c>
      <c r="CA123">
        <f>IFERROR(INDEX(PP_Grid[#Data],$DD123,77),0)</f>
        <v/>
      </c>
      <c r="CB123">
        <f>IFERROR(INDEX(PP_Grid[#Data],$DD123,78),0)</f>
        <v/>
      </c>
      <c r="CC123">
        <f>IFERROR(INDEX(PP_Grid[#Data],$DD123,79),0)</f>
        <v/>
      </c>
      <c r="CD123">
        <f>IFERROR(INDEX(PP_Grid[#Data],$DD123,80),0)</f>
        <v/>
      </c>
      <c r="CE123">
        <f>IFERROR(INDEX(PP_Grid[#Data],$DD123,81),0)</f>
        <v/>
      </c>
      <c r="CF123">
        <f>IFERROR(INDEX(PP_Grid[#Data],$DD123,82),0)</f>
        <v/>
      </c>
      <c r="CG123">
        <f>IFERROR(INDEX(PP_Grid[#Data],$DD123,83),0)</f>
        <v/>
      </c>
      <c r="CH123">
        <f>IFERROR(INDEX(PP_Grid[#Data],$DD123,84),0)</f>
        <v/>
      </c>
      <c r="CI123">
        <f>IFERROR(INDEX(PP_Grid[#Data],$DD123,85),0)</f>
        <v/>
      </c>
      <c r="CJ123">
        <f>IFERROR(INDEX(PP_Grid[#Data],$DD123,86),0)</f>
        <v/>
      </c>
      <c r="CK123">
        <f>IFERROR(INDEX(PP_Grid[#Data],$DD123,87),0)</f>
        <v/>
      </c>
      <c r="CL123">
        <f>IFERROR(INDEX(PP_Grid[#Data],$DD123,88),0)</f>
        <v/>
      </c>
      <c r="CM123">
        <f>IFERROR(INDEX(PP_Grid[#Data],$DD123,89),0)</f>
        <v/>
      </c>
      <c r="CN123">
        <f>IFERROR(INDEX(PP_Grid[#Data],$DD123,90),0)</f>
        <v/>
      </c>
      <c r="CO123">
        <f>IFERROR(INDEX(PP_Grid[#Data],$DD123,91),0)</f>
        <v/>
      </c>
      <c r="CP123">
        <f>IFERROR(INDEX(PP_Grid[#Data],$DD123,92),0)</f>
        <v/>
      </c>
      <c r="CQ123">
        <f>IFERROR(INDEX(PP_Grid[#Data],$DD123,93),0)</f>
        <v/>
      </c>
      <c r="CR123">
        <f>IFERROR(INDEX(PP_Grid[#Data],$DD123,94),0)</f>
        <v/>
      </c>
      <c r="CS123">
        <f>IFERROR(INDEX(PP_Grid[#Data],$DD123,95),0)</f>
        <v/>
      </c>
      <c r="CT123">
        <f>IFERROR(INDEX(PP_Grid[#Data],$DD123,96),0)</f>
        <v/>
      </c>
      <c r="CU123">
        <f>IFERROR(INDEX(PP_Grid[#Data],$DD123,97),0)</f>
        <v/>
      </c>
      <c r="CV123">
        <f>IFERROR(INDEX(PP_Grid[#Data],$DD123,98),0)</f>
        <v/>
      </c>
      <c r="CW123">
        <f>IFERROR(INDEX(PP_Grid[#Data],$DD123,99),0)</f>
        <v/>
      </c>
      <c r="CX123">
        <f>IFERROR(INDEX(PP_Grid[#Data],$DD123,100),0)</f>
        <v/>
      </c>
      <c r="CY123">
        <f>IFERROR(INDEX(PP_Grid[#Data],$DD123,101),0)</f>
        <v/>
      </c>
      <c r="CZ123">
        <f>IFERROR(INDEX(PP_Grid[#Data],$DD123,102),0)</f>
        <v/>
      </c>
      <c r="DA123">
        <f>IFERROR(INDEX(PP_Grid[#Data],$DD123,103),0)</f>
        <v/>
      </c>
      <c r="DB123">
        <f>IFERROR(INDEX(PP_Grid[#Data],$DD123,104),0)</f>
        <v/>
      </c>
      <c r="DC123">
        <f>IFERROR(INDEX(PP_Grid[#Data],$DD123,105),0)</f>
        <v/>
      </c>
      <c r="DD123" s="7">
        <f>IFERROR(MATCH($B123,PP_Grid[Intermediate],0),99999)</f>
        <v/>
      </c>
    </row>
    <row r="124">
      <c r="B124" t="inlineStr">
        <is>
          <t>使用量(kg)</t>
        </is>
      </c>
      <c r="C124">
        <f>SUMIFS(M_BOM[RM_Qty_Per_Batch],M_BOM[Intermediate],$B123,M_BOM[Part Name],$A44)</f>
        <v/>
      </c>
      <c r="D124">
        <f>$C124*D123</f>
        <v/>
      </c>
      <c r="E124">
        <f>$C124*E123</f>
        <v/>
      </c>
      <c r="F124">
        <f>$C124*F123</f>
        <v/>
      </c>
      <c r="G124">
        <f>$C124*G123</f>
        <v/>
      </c>
      <c r="H124">
        <f>$C124*H123</f>
        <v/>
      </c>
      <c r="I124">
        <f>$C124*I123</f>
        <v/>
      </c>
      <c r="J124">
        <f>$C124*J123</f>
        <v/>
      </c>
      <c r="K124">
        <f>$C124*K123</f>
        <v/>
      </c>
      <c r="L124">
        <f>$C124*L123</f>
        <v/>
      </c>
      <c r="M124">
        <f>$C124*M123</f>
        <v/>
      </c>
      <c r="N124">
        <f>$C124*N123</f>
        <v/>
      </c>
      <c r="O124">
        <f>$C124*O123</f>
        <v/>
      </c>
      <c r="P124">
        <f>$C124*P123</f>
        <v/>
      </c>
      <c r="Q124">
        <f>$C124*Q123</f>
        <v/>
      </c>
      <c r="R124">
        <f>$C124*R123</f>
        <v/>
      </c>
      <c r="S124">
        <f>$C124*S123</f>
        <v/>
      </c>
      <c r="T124">
        <f>$C124*T123</f>
        <v/>
      </c>
      <c r="U124">
        <f>$C124*U123</f>
        <v/>
      </c>
      <c r="V124">
        <f>$C124*V123</f>
        <v/>
      </c>
      <c r="W124">
        <f>$C124*W123</f>
        <v/>
      </c>
      <c r="X124">
        <f>$C124*X123</f>
        <v/>
      </c>
      <c r="Y124">
        <f>$C124*Y123</f>
        <v/>
      </c>
      <c r="Z124">
        <f>$C124*Z123</f>
        <v/>
      </c>
      <c r="AA124">
        <f>$C124*AA123</f>
        <v/>
      </c>
      <c r="AB124">
        <f>$C124*AB123</f>
        <v/>
      </c>
      <c r="AC124">
        <f>$C124*AC123</f>
        <v/>
      </c>
      <c r="AD124">
        <f>$C124*AD123</f>
        <v/>
      </c>
      <c r="AE124">
        <f>$C124*AE123</f>
        <v/>
      </c>
      <c r="AF124">
        <f>$C124*AF123</f>
        <v/>
      </c>
      <c r="AG124">
        <f>$C124*AG123</f>
        <v/>
      </c>
      <c r="AH124">
        <f>$C124*AH123</f>
        <v/>
      </c>
      <c r="AI124">
        <f>$C124*AI123</f>
        <v/>
      </c>
      <c r="AJ124">
        <f>$C124*AJ123</f>
        <v/>
      </c>
      <c r="AK124">
        <f>$C124*AK123</f>
        <v/>
      </c>
      <c r="AL124">
        <f>$C124*AL123</f>
        <v/>
      </c>
      <c r="AM124">
        <f>$C124*AM123</f>
        <v/>
      </c>
      <c r="AN124">
        <f>$C124*AN123</f>
        <v/>
      </c>
      <c r="AO124">
        <f>$C124*AO123</f>
        <v/>
      </c>
      <c r="AP124">
        <f>$C124*AP123</f>
        <v/>
      </c>
      <c r="AQ124">
        <f>$C124*AQ123</f>
        <v/>
      </c>
      <c r="AR124">
        <f>$C124*AR123</f>
        <v/>
      </c>
      <c r="AS124">
        <f>$C124*AS123</f>
        <v/>
      </c>
      <c r="AT124">
        <f>$C124*AT123</f>
        <v/>
      </c>
      <c r="AU124">
        <f>$C124*AU123</f>
        <v/>
      </c>
      <c r="AV124">
        <f>$C124*AV123</f>
        <v/>
      </c>
      <c r="AW124">
        <f>$C124*AW123</f>
        <v/>
      </c>
      <c r="AX124">
        <f>$C124*AX123</f>
        <v/>
      </c>
      <c r="AY124">
        <f>$C124*AY123</f>
        <v/>
      </c>
      <c r="AZ124">
        <f>$C124*AZ123</f>
        <v/>
      </c>
      <c r="BA124">
        <f>$C124*BA123</f>
        <v/>
      </c>
      <c r="BB124">
        <f>$C124*BB123</f>
        <v/>
      </c>
      <c r="BC124">
        <f>$C124*BC123</f>
        <v/>
      </c>
      <c r="BD124">
        <f>$C124*BD123</f>
        <v/>
      </c>
      <c r="BE124">
        <f>$C124*BE123</f>
        <v/>
      </c>
      <c r="BF124">
        <f>$C124*BF123</f>
        <v/>
      </c>
      <c r="BG124">
        <f>$C124*BG123</f>
        <v/>
      </c>
      <c r="BH124">
        <f>$C124*BH123</f>
        <v/>
      </c>
      <c r="BI124">
        <f>$C124*BI123</f>
        <v/>
      </c>
      <c r="BJ124">
        <f>$C124*BJ123</f>
        <v/>
      </c>
      <c r="BK124">
        <f>$C124*BK123</f>
        <v/>
      </c>
      <c r="BL124">
        <f>$C124*BL123</f>
        <v/>
      </c>
      <c r="BM124">
        <f>$C124*BM123</f>
        <v/>
      </c>
      <c r="BN124">
        <f>$C124*BN123</f>
        <v/>
      </c>
      <c r="BO124">
        <f>$C124*BO123</f>
        <v/>
      </c>
      <c r="BP124">
        <f>$C124*BP123</f>
        <v/>
      </c>
      <c r="BQ124">
        <f>$C124*BQ123</f>
        <v/>
      </c>
      <c r="BR124">
        <f>$C124*BR123</f>
        <v/>
      </c>
      <c r="BS124">
        <f>$C124*BS123</f>
        <v/>
      </c>
      <c r="BT124">
        <f>$C124*BT123</f>
        <v/>
      </c>
      <c r="BU124">
        <f>$C124*BU123</f>
        <v/>
      </c>
      <c r="BV124">
        <f>$C124*BV123</f>
        <v/>
      </c>
      <c r="BW124">
        <f>$C124*BW123</f>
        <v/>
      </c>
      <c r="BX124">
        <f>$C124*BX123</f>
        <v/>
      </c>
      <c r="BY124">
        <f>$C124*BY123</f>
        <v/>
      </c>
      <c r="BZ124">
        <f>$C124*BZ123</f>
        <v/>
      </c>
      <c r="CA124">
        <f>$C124*CA123</f>
        <v/>
      </c>
      <c r="CB124">
        <f>$C124*CB123</f>
        <v/>
      </c>
      <c r="CC124">
        <f>$C124*CC123</f>
        <v/>
      </c>
      <c r="CD124">
        <f>$C124*CD123</f>
        <v/>
      </c>
      <c r="CE124">
        <f>$C124*CE123</f>
        <v/>
      </c>
      <c r="CF124">
        <f>$C124*CF123</f>
        <v/>
      </c>
      <c r="CG124">
        <f>$C124*CG123</f>
        <v/>
      </c>
      <c r="CH124">
        <f>$C124*CH123</f>
        <v/>
      </c>
      <c r="CI124">
        <f>$C124*CI123</f>
        <v/>
      </c>
      <c r="CJ124">
        <f>$C124*CJ123</f>
        <v/>
      </c>
      <c r="CK124">
        <f>$C124*CK123</f>
        <v/>
      </c>
      <c r="CL124">
        <f>$C124*CL123</f>
        <v/>
      </c>
      <c r="CM124">
        <f>$C124*CM123</f>
        <v/>
      </c>
      <c r="CN124">
        <f>$C124*CN123</f>
        <v/>
      </c>
      <c r="CO124">
        <f>$C124*CO123</f>
        <v/>
      </c>
      <c r="CP124">
        <f>$C124*CP123</f>
        <v/>
      </c>
      <c r="CQ124">
        <f>$C124*CQ123</f>
        <v/>
      </c>
      <c r="CR124">
        <f>$C124*CR123</f>
        <v/>
      </c>
      <c r="CS124">
        <f>$C124*CS123</f>
        <v/>
      </c>
      <c r="CT124">
        <f>$C124*CT123</f>
        <v/>
      </c>
      <c r="CU124">
        <f>$C124*CU123</f>
        <v/>
      </c>
      <c r="CV124">
        <f>$C124*CV123</f>
        <v/>
      </c>
      <c r="CW124">
        <f>$C124*CW123</f>
        <v/>
      </c>
      <c r="CX124">
        <f>$C124*CX123</f>
        <v/>
      </c>
      <c r="CY124">
        <f>$C124*CY123</f>
        <v/>
      </c>
      <c r="CZ124">
        <f>$C124*CZ123</f>
        <v/>
      </c>
      <c r="DA124">
        <f>$C124*DA123</f>
        <v/>
      </c>
      <c r="DB124">
        <f>$C124*DB123</f>
        <v/>
      </c>
      <c r="DC124">
        <f>$C124*DC123</f>
        <v/>
      </c>
    </row>
    <row r="125">
      <c r="B125" t="inlineStr">
        <is>
          <t>TSP-924</t>
        </is>
      </c>
      <c r="C125" t="inlineStr">
        <is>
          <t>No. of batches</t>
        </is>
      </c>
      <c r="D125">
        <f>IFERROR(INDEX(PP_Grid[#Data],$DD125,2),0)</f>
        <v/>
      </c>
      <c r="E125">
        <f>IFERROR(INDEX(PP_Grid[#Data],$DD125,3),0)</f>
        <v/>
      </c>
      <c r="F125">
        <f>IFERROR(INDEX(PP_Grid[#Data],$DD125,4),0)</f>
        <v/>
      </c>
      <c r="G125">
        <f>IFERROR(INDEX(PP_Grid[#Data],$DD125,5),0)</f>
        <v/>
      </c>
      <c r="H125">
        <f>IFERROR(INDEX(PP_Grid[#Data],$DD125,6),0)</f>
        <v/>
      </c>
      <c r="I125">
        <f>IFERROR(INDEX(PP_Grid[#Data],$DD125,7),0)</f>
        <v/>
      </c>
      <c r="J125">
        <f>IFERROR(INDEX(PP_Grid[#Data],$DD125,8),0)</f>
        <v/>
      </c>
      <c r="K125">
        <f>IFERROR(INDEX(PP_Grid[#Data],$DD125,9),0)</f>
        <v/>
      </c>
      <c r="L125">
        <f>IFERROR(INDEX(PP_Grid[#Data],$DD125,10),0)</f>
        <v/>
      </c>
      <c r="M125">
        <f>IFERROR(INDEX(PP_Grid[#Data],$DD125,11),0)</f>
        <v/>
      </c>
      <c r="N125">
        <f>IFERROR(INDEX(PP_Grid[#Data],$DD125,12),0)</f>
        <v/>
      </c>
      <c r="O125">
        <f>IFERROR(INDEX(PP_Grid[#Data],$DD125,13),0)</f>
        <v/>
      </c>
      <c r="P125">
        <f>IFERROR(INDEX(PP_Grid[#Data],$DD125,14),0)</f>
        <v/>
      </c>
      <c r="Q125">
        <f>IFERROR(INDEX(PP_Grid[#Data],$DD125,15),0)</f>
        <v/>
      </c>
      <c r="R125">
        <f>IFERROR(INDEX(PP_Grid[#Data],$DD125,16),0)</f>
        <v/>
      </c>
      <c r="S125">
        <f>IFERROR(INDEX(PP_Grid[#Data],$DD125,17),0)</f>
        <v/>
      </c>
      <c r="T125">
        <f>IFERROR(INDEX(PP_Grid[#Data],$DD125,18),0)</f>
        <v/>
      </c>
      <c r="U125">
        <f>IFERROR(INDEX(PP_Grid[#Data],$DD125,19),0)</f>
        <v/>
      </c>
      <c r="V125">
        <f>IFERROR(INDEX(PP_Grid[#Data],$DD125,20),0)</f>
        <v/>
      </c>
      <c r="W125">
        <f>IFERROR(INDEX(PP_Grid[#Data],$DD125,21),0)</f>
        <v/>
      </c>
      <c r="X125">
        <f>IFERROR(INDEX(PP_Grid[#Data],$DD125,22),0)</f>
        <v/>
      </c>
      <c r="Y125">
        <f>IFERROR(INDEX(PP_Grid[#Data],$DD125,23),0)</f>
        <v/>
      </c>
      <c r="Z125">
        <f>IFERROR(INDEX(PP_Grid[#Data],$DD125,24),0)</f>
        <v/>
      </c>
      <c r="AA125">
        <f>IFERROR(INDEX(PP_Grid[#Data],$DD125,25),0)</f>
        <v/>
      </c>
      <c r="AB125">
        <f>IFERROR(INDEX(PP_Grid[#Data],$DD125,26),0)</f>
        <v/>
      </c>
      <c r="AC125">
        <f>IFERROR(INDEX(PP_Grid[#Data],$DD125,27),0)</f>
        <v/>
      </c>
      <c r="AD125">
        <f>IFERROR(INDEX(PP_Grid[#Data],$DD125,28),0)</f>
        <v/>
      </c>
      <c r="AE125">
        <f>IFERROR(INDEX(PP_Grid[#Data],$DD125,29),0)</f>
        <v/>
      </c>
      <c r="AF125">
        <f>IFERROR(INDEX(PP_Grid[#Data],$DD125,30),0)</f>
        <v/>
      </c>
      <c r="AG125">
        <f>IFERROR(INDEX(PP_Grid[#Data],$DD125,31),0)</f>
        <v/>
      </c>
      <c r="AH125">
        <f>IFERROR(INDEX(PP_Grid[#Data],$DD125,32),0)</f>
        <v/>
      </c>
      <c r="AI125">
        <f>IFERROR(INDEX(PP_Grid[#Data],$DD125,33),0)</f>
        <v/>
      </c>
      <c r="AJ125">
        <f>IFERROR(INDEX(PP_Grid[#Data],$DD125,34),0)</f>
        <v/>
      </c>
      <c r="AK125">
        <f>IFERROR(INDEX(PP_Grid[#Data],$DD125,35),0)</f>
        <v/>
      </c>
      <c r="AL125">
        <f>IFERROR(INDEX(PP_Grid[#Data],$DD125,36),0)</f>
        <v/>
      </c>
      <c r="AM125">
        <f>IFERROR(INDEX(PP_Grid[#Data],$DD125,37),0)</f>
        <v/>
      </c>
      <c r="AN125">
        <f>IFERROR(INDEX(PP_Grid[#Data],$DD125,38),0)</f>
        <v/>
      </c>
      <c r="AO125">
        <f>IFERROR(INDEX(PP_Grid[#Data],$DD125,39),0)</f>
        <v/>
      </c>
      <c r="AP125">
        <f>IFERROR(INDEX(PP_Grid[#Data],$DD125,40),0)</f>
        <v/>
      </c>
      <c r="AQ125">
        <f>IFERROR(INDEX(PP_Grid[#Data],$DD125,41),0)</f>
        <v/>
      </c>
      <c r="AR125">
        <f>IFERROR(INDEX(PP_Grid[#Data],$DD125,42),0)</f>
        <v/>
      </c>
      <c r="AS125">
        <f>IFERROR(INDEX(PP_Grid[#Data],$DD125,43),0)</f>
        <v/>
      </c>
      <c r="AT125">
        <f>IFERROR(INDEX(PP_Grid[#Data],$DD125,44),0)</f>
        <v/>
      </c>
      <c r="AU125">
        <f>IFERROR(INDEX(PP_Grid[#Data],$DD125,45),0)</f>
        <v/>
      </c>
      <c r="AV125">
        <f>IFERROR(INDEX(PP_Grid[#Data],$DD125,46),0)</f>
        <v/>
      </c>
      <c r="AW125">
        <f>IFERROR(INDEX(PP_Grid[#Data],$DD125,47),0)</f>
        <v/>
      </c>
      <c r="AX125">
        <f>IFERROR(INDEX(PP_Grid[#Data],$DD125,48),0)</f>
        <v/>
      </c>
      <c r="AY125">
        <f>IFERROR(INDEX(PP_Grid[#Data],$DD125,49),0)</f>
        <v/>
      </c>
      <c r="AZ125">
        <f>IFERROR(INDEX(PP_Grid[#Data],$DD125,50),0)</f>
        <v/>
      </c>
      <c r="BA125">
        <f>IFERROR(INDEX(PP_Grid[#Data],$DD125,51),0)</f>
        <v/>
      </c>
      <c r="BB125">
        <f>IFERROR(INDEX(PP_Grid[#Data],$DD125,52),0)</f>
        <v/>
      </c>
      <c r="BC125">
        <f>IFERROR(INDEX(PP_Grid[#Data],$DD125,53),0)</f>
        <v/>
      </c>
      <c r="BD125">
        <f>IFERROR(INDEX(PP_Grid[#Data],$DD125,54),0)</f>
        <v/>
      </c>
      <c r="BE125">
        <f>IFERROR(INDEX(PP_Grid[#Data],$DD125,55),0)</f>
        <v/>
      </c>
      <c r="BF125">
        <f>IFERROR(INDEX(PP_Grid[#Data],$DD125,56),0)</f>
        <v/>
      </c>
      <c r="BG125">
        <f>IFERROR(INDEX(PP_Grid[#Data],$DD125,57),0)</f>
        <v/>
      </c>
      <c r="BH125">
        <f>IFERROR(INDEX(PP_Grid[#Data],$DD125,58),0)</f>
        <v/>
      </c>
      <c r="BI125">
        <f>IFERROR(INDEX(PP_Grid[#Data],$DD125,59),0)</f>
        <v/>
      </c>
      <c r="BJ125">
        <f>IFERROR(INDEX(PP_Grid[#Data],$DD125,60),0)</f>
        <v/>
      </c>
      <c r="BK125">
        <f>IFERROR(INDEX(PP_Grid[#Data],$DD125,61),0)</f>
        <v/>
      </c>
      <c r="BL125">
        <f>IFERROR(INDEX(PP_Grid[#Data],$DD125,62),0)</f>
        <v/>
      </c>
      <c r="BM125">
        <f>IFERROR(INDEX(PP_Grid[#Data],$DD125,63),0)</f>
        <v/>
      </c>
      <c r="BN125">
        <f>IFERROR(INDEX(PP_Grid[#Data],$DD125,64),0)</f>
        <v/>
      </c>
      <c r="BO125">
        <f>IFERROR(INDEX(PP_Grid[#Data],$DD125,65),0)</f>
        <v/>
      </c>
      <c r="BP125">
        <f>IFERROR(INDEX(PP_Grid[#Data],$DD125,66),0)</f>
        <v/>
      </c>
      <c r="BQ125">
        <f>IFERROR(INDEX(PP_Grid[#Data],$DD125,67),0)</f>
        <v/>
      </c>
      <c r="BR125">
        <f>IFERROR(INDEX(PP_Grid[#Data],$DD125,68),0)</f>
        <v/>
      </c>
      <c r="BS125">
        <f>IFERROR(INDEX(PP_Grid[#Data],$DD125,69),0)</f>
        <v/>
      </c>
      <c r="BT125">
        <f>IFERROR(INDEX(PP_Grid[#Data],$DD125,70),0)</f>
        <v/>
      </c>
      <c r="BU125">
        <f>IFERROR(INDEX(PP_Grid[#Data],$DD125,71),0)</f>
        <v/>
      </c>
      <c r="BV125">
        <f>IFERROR(INDEX(PP_Grid[#Data],$DD125,72),0)</f>
        <v/>
      </c>
      <c r="BW125">
        <f>IFERROR(INDEX(PP_Grid[#Data],$DD125,73),0)</f>
        <v/>
      </c>
      <c r="BX125">
        <f>IFERROR(INDEX(PP_Grid[#Data],$DD125,74),0)</f>
        <v/>
      </c>
      <c r="BY125">
        <f>IFERROR(INDEX(PP_Grid[#Data],$DD125,75),0)</f>
        <v/>
      </c>
      <c r="BZ125">
        <f>IFERROR(INDEX(PP_Grid[#Data],$DD125,76),0)</f>
        <v/>
      </c>
      <c r="CA125">
        <f>IFERROR(INDEX(PP_Grid[#Data],$DD125,77),0)</f>
        <v/>
      </c>
      <c r="CB125">
        <f>IFERROR(INDEX(PP_Grid[#Data],$DD125,78),0)</f>
        <v/>
      </c>
      <c r="CC125">
        <f>IFERROR(INDEX(PP_Grid[#Data],$DD125,79),0)</f>
        <v/>
      </c>
      <c r="CD125">
        <f>IFERROR(INDEX(PP_Grid[#Data],$DD125,80),0)</f>
        <v/>
      </c>
      <c r="CE125">
        <f>IFERROR(INDEX(PP_Grid[#Data],$DD125,81),0)</f>
        <v/>
      </c>
      <c r="CF125">
        <f>IFERROR(INDEX(PP_Grid[#Data],$DD125,82),0)</f>
        <v/>
      </c>
      <c r="CG125">
        <f>IFERROR(INDEX(PP_Grid[#Data],$DD125,83),0)</f>
        <v/>
      </c>
      <c r="CH125">
        <f>IFERROR(INDEX(PP_Grid[#Data],$DD125,84),0)</f>
        <v/>
      </c>
      <c r="CI125">
        <f>IFERROR(INDEX(PP_Grid[#Data],$DD125,85),0)</f>
        <v/>
      </c>
      <c r="CJ125">
        <f>IFERROR(INDEX(PP_Grid[#Data],$DD125,86),0)</f>
        <v/>
      </c>
      <c r="CK125">
        <f>IFERROR(INDEX(PP_Grid[#Data],$DD125,87),0)</f>
        <v/>
      </c>
      <c r="CL125">
        <f>IFERROR(INDEX(PP_Grid[#Data],$DD125,88),0)</f>
        <v/>
      </c>
      <c r="CM125">
        <f>IFERROR(INDEX(PP_Grid[#Data],$DD125,89),0)</f>
        <v/>
      </c>
      <c r="CN125">
        <f>IFERROR(INDEX(PP_Grid[#Data],$DD125,90),0)</f>
        <v/>
      </c>
      <c r="CO125">
        <f>IFERROR(INDEX(PP_Grid[#Data],$DD125,91),0)</f>
        <v/>
      </c>
      <c r="CP125">
        <f>IFERROR(INDEX(PP_Grid[#Data],$DD125,92),0)</f>
        <v/>
      </c>
      <c r="CQ125">
        <f>IFERROR(INDEX(PP_Grid[#Data],$DD125,93),0)</f>
        <v/>
      </c>
      <c r="CR125">
        <f>IFERROR(INDEX(PP_Grid[#Data],$DD125,94),0)</f>
        <v/>
      </c>
      <c r="CS125">
        <f>IFERROR(INDEX(PP_Grid[#Data],$DD125,95),0)</f>
        <v/>
      </c>
      <c r="CT125">
        <f>IFERROR(INDEX(PP_Grid[#Data],$DD125,96),0)</f>
        <v/>
      </c>
      <c r="CU125">
        <f>IFERROR(INDEX(PP_Grid[#Data],$DD125,97),0)</f>
        <v/>
      </c>
      <c r="CV125">
        <f>IFERROR(INDEX(PP_Grid[#Data],$DD125,98),0)</f>
        <v/>
      </c>
      <c r="CW125">
        <f>IFERROR(INDEX(PP_Grid[#Data],$DD125,99),0)</f>
        <v/>
      </c>
      <c r="CX125">
        <f>IFERROR(INDEX(PP_Grid[#Data],$DD125,100),0)</f>
        <v/>
      </c>
      <c r="CY125">
        <f>IFERROR(INDEX(PP_Grid[#Data],$DD125,101),0)</f>
        <v/>
      </c>
      <c r="CZ125">
        <f>IFERROR(INDEX(PP_Grid[#Data],$DD125,102),0)</f>
        <v/>
      </c>
      <c r="DA125">
        <f>IFERROR(INDEX(PP_Grid[#Data],$DD125,103),0)</f>
        <v/>
      </c>
      <c r="DB125">
        <f>IFERROR(INDEX(PP_Grid[#Data],$DD125,104),0)</f>
        <v/>
      </c>
      <c r="DC125">
        <f>IFERROR(INDEX(PP_Grid[#Data],$DD125,105),0)</f>
        <v/>
      </c>
      <c r="DD125" s="7">
        <f>IFERROR(MATCH($B125,PP_Grid[Intermediate],0),99999)</f>
        <v/>
      </c>
    </row>
    <row r="126">
      <c r="B126" t="inlineStr">
        <is>
          <t>使用量(kg)</t>
        </is>
      </c>
      <c r="C126">
        <f>SUMIFS(M_BOM[RM_Qty_Per_Batch],M_BOM[Intermediate],$B125,M_BOM[Part Name],$A44)</f>
        <v/>
      </c>
      <c r="D126">
        <f>$C126*D125</f>
        <v/>
      </c>
      <c r="E126">
        <f>$C126*E125</f>
        <v/>
      </c>
      <c r="F126">
        <f>$C126*F125</f>
        <v/>
      </c>
      <c r="G126">
        <f>$C126*G125</f>
        <v/>
      </c>
      <c r="H126">
        <f>$C126*H125</f>
        <v/>
      </c>
      <c r="I126">
        <f>$C126*I125</f>
        <v/>
      </c>
      <c r="J126">
        <f>$C126*J125</f>
        <v/>
      </c>
      <c r="K126">
        <f>$C126*K125</f>
        <v/>
      </c>
      <c r="L126">
        <f>$C126*L125</f>
        <v/>
      </c>
      <c r="M126">
        <f>$C126*M125</f>
        <v/>
      </c>
      <c r="N126">
        <f>$C126*N125</f>
        <v/>
      </c>
      <c r="O126">
        <f>$C126*O125</f>
        <v/>
      </c>
      <c r="P126">
        <f>$C126*P125</f>
        <v/>
      </c>
      <c r="Q126">
        <f>$C126*Q125</f>
        <v/>
      </c>
      <c r="R126">
        <f>$C126*R125</f>
        <v/>
      </c>
      <c r="S126">
        <f>$C126*S125</f>
        <v/>
      </c>
      <c r="T126">
        <f>$C126*T125</f>
        <v/>
      </c>
      <c r="U126">
        <f>$C126*U125</f>
        <v/>
      </c>
      <c r="V126">
        <f>$C126*V125</f>
        <v/>
      </c>
      <c r="W126">
        <f>$C126*W125</f>
        <v/>
      </c>
      <c r="X126">
        <f>$C126*X125</f>
        <v/>
      </c>
      <c r="Y126">
        <f>$C126*Y125</f>
        <v/>
      </c>
      <c r="Z126">
        <f>$C126*Z125</f>
        <v/>
      </c>
      <c r="AA126">
        <f>$C126*AA125</f>
        <v/>
      </c>
      <c r="AB126">
        <f>$C126*AB125</f>
        <v/>
      </c>
      <c r="AC126">
        <f>$C126*AC125</f>
        <v/>
      </c>
      <c r="AD126">
        <f>$C126*AD125</f>
        <v/>
      </c>
      <c r="AE126">
        <f>$C126*AE125</f>
        <v/>
      </c>
      <c r="AF126">
        <f>$C126*AF125</f>
        <v/>
      </c>
      <c r="AG126">
        <f>$C126*AG125</f>
        <v/>
      </c>
      <c r="AH126">
        <f>$C126*AH125</f>
        <v/>
      </c>
      <c r="AI126">
        <f>$C126*AI125</f>
        <v/>
      </c>
      <c r="AJ126">
        <f>$C126*AJ125</f>
        <v/>
      </c>
      <c r="AK126">
        <f>$C126*AK125</f>
        <v/>
      </c>
      <c r="AL126">
        <f>$C126*AL125</f>
        <v/>
      </c>
      <c r="AM126">
        <f>$C126*AM125</f>
        <v/>
      </c>
      <c r="AN126">
        <f>$C126*AN125</f>
        <v/>
      </c>
      <c r="AO126">
        <f>$C126*AO125</f>
        <v/>
      </c>
      <c r="AP126">
        <f>$C126*AP125</f>
        <v/>
      </c>
      <c r="AQ126">
        <f>$C126*AQ125</f>
        <v/>
      </c>
      <c r="AR126">
        <f>$C126*AR125</f>
        <v/>
      </c>
      <c r="AS126">
        <f>$C126*AS125</f>
        <v/>
      </c>
      <c r="AT126">
        <f>$C126*AT125</f>
        <v/>
      </c>
      <c r="AU126">
        <f>$C126*AU125</f>
        <v/>
      </c>
      <c r="AV126">
        <f>$C126*AV125</f>
        <v/>
      </c>
      <c r="AW126">
        <f>$C126*AW125</f>
        <v/>
      </c>
      <c r="AX126">
        <f>$C126*AX125</f>
        <v/>
      </c>
      <c r="AY126">
        <f>$C126*AY125</f>
        <v/>
      </c>
      <c r="AZ126">
        <f>$C126*AZ125</f>
        <v/>
      </c>
      <c r="BA126">
        <f>$C126*BA125</f>
        <v/>
      </c>
      <c r="BB126">
        <f>$C126*BB125</f>
        <v/>
      </c>
      <c r="BC126">
        <f>$C126*BC125</f>
        <v/>
      </c>
      <c r="BD126">
        <f>$C126*BD125</f>
        <v/>
      </c>
      <c r="BE126">
        <f>$C126*BE125</f>
        <v/>
      </c>
      <c r="BF126">
        <f>$C126*BF125</f>
        <v/>
      </c>
      <c r="BG126">
        <f>$C126*BG125</f>
        <v/>
      </c>
      <c r="BH126">
        <f>$C126*BH125</f>
        <v/>
      </c>
      <c r="BI126">
        <f>$C126*BI125</f>
        <v/>
      </c>
      <c r="BJ126">
        <f>$C126*BJ125</f>
        <v/>
      </c>
      <c r="BK126">
        <f>$C126*BK125</f>
        <v/>
      </c>
      <c r="BL126">
        <f>$C126*BL125</f>
        <v/>
      </c>
      <c r="BM126">
        <f>$C126*BM125</f>
        <v/>
      </c>
      <c r="BN126">
        <f>$C126*BN125</f>
        <v/>
      </c>
      <c r="BO126">
        <f>$C126*BO125</f>
        <v/>
      </c>
      <c r="BP126">
        <f>$C126*BP125</f>
        <v/>
      </c>
      <c r="BQ126">
        <f>$C126*BQ125</f>
        <v/>
      </c>
      <c r="BR126">
        <f>$C126*BR125</f>
        <v/>
      </c>
      <c r="BS126">
        <f>$C126*BS125</f>
        <v/>
      </c>
      <c r="BT126">
        <f>$C126*BT125</f>
        <v/>
      </c>
      <c r="BU126">
        <f>$C126*BU125</f>
        <v/>
      </c>
      <c r="BV126">
        <f>$C126*BV125</f>
        <v/>
      </c>
      <c r="BW126">
        <f>$C126*BW125</f>
        <v/>
      </c>
      <c r="BX126">
        <f>$C126*BX125</f>
        <v/>
      </c>
      <c r="BY126">
        <f>$C126*BY125</f>
        <v/>
      </c>
      <c r="BZ126">
        <f>$C126*BZ125</f>
        <v/>
      </c>
      <c r="CA126">
        <f>$C126*CA125</f>
        <v/>
      </c>
      <c r="CB126">
        <f>$C126*CB125</f>
        <v/>
      </c>
      <c r="CC126">
        <f>$C126*CC125</f>
        <v/>
      </c>
      <c r="CD126">
        <f>$C126*CD125</f>
        <v/>
      </c>
      <c r="CE126">
        <f>$C126*CE125</f>
        <v/>
      </c>
      <c r="CF126">
        <f>$C126*CF125</f>
        <v/>
      </c>
      <c r="CG126">
        <f>$C126*CG125</f>
        <v/>
      </c>
      <c r="CH126">
        <f>$C126*CH125</f>
        <v/>
      </c>
      <c r="CI126">
        <f>$C126*CI125</f>
        <v/>
      </c>
      <c r="CJ126">
        <f>$C126*CJ125</f>
        <v/>
      </c>
      <c r="CK126">
        <f>$C126*CK125</f>
        <v/>
      </c>
      <c r="CL126">
        <f>$C126*CL125</f>
        <v/>
      </c>
      <c r="CM126">
        <f>$C126*CM125</f>
        <v/>
      </c>
      <c r="CN126">
        <f>$C126*CN125</f>
        <v/>
      </c>
      <c r="CO126">
        <f>$C126*CO125</f>
        <v/>
      </c>
      <c r="CP126">
        <f>$C126*CP125</f>
        <v/>
      </c>
      <c r="CQ126">
        <f>$C126*CQ125</f>
        <v/>
      </c>
      <c r="CR126">
        <f>$C126*CR125</f>
        <v/>
      </c>
      <c r="CS126">
        <f>$C126*CS125</f>
        <v/>
      </c>
      <c r="CT126">
        <f>$C126*CT125</f>
        <v/>
      </c>
      <c r="CU126">
        <f>$C126*CU125</f>
        <v/>
      </c>
      <c r="CV126">
        <f>$C126*CV125</f>
        <v/>
      </c>
      <c r="CW126">
        <f>$C126*CW125</f>
        <v/>
      </c>
      <c r="CX126">
        <f>$C126*CX125</f>
        <v/>
      </c>
      <c r="CY126">
        <f>$C126*CY125</f>
        <v/>
      </c>
      <c r="CZ126">
        <f>$C126*CZ125</f>
        <v/>
      </c>
      <c r="DA126">
        <f>$C126*DA125</f>
        <v/>
      </c>
      <c r="DB126">
        <f>$C126*DB125</f>
        <v/>
      </c>
      <c r="DC126">
        <f>$C126*DC125</f>
        <v/>
      </c>
    </row>
    <row r="127">
      <c r="B127" t="inlineStr">
        <is>
          <t>TSP-925</t>
        </is>
      </c>
      <c r="C127" t="inlineStr">
        <is>
          <t>No. of batches</t>
        </is>
      </c>
      <c r="D127">
        <f>IFERROR(INDEX(PP_Grid[#Data],$DD127,2),0)</f>
        <v/>
      </c>
      <c r="E127">
        <f>IFERROR(INDEX(PP_Grid[#Data],$DD127,3),0)</f>
        <v/>
      </c>
      <c r="F127">
        <f>IFERROR(INDEX(PP_Grid[#Data],$DD127,4),0)</f>
        <v/>
      </c>
      <c r="G127">
        <f>IFERROR(INDEX(PP_Grid[#Data],$DD127,5),0)</f>
        <v/>
      </c>
      <c r="H127">
        <f>IFERROR(INDEX(PP_Grid[#Data],$DD127,6),0)</f>
        <v/>
      </c>
      <c r="I127">
        <f>IFERROR(INDEX(PP_Grid[#Data],$DD127,7),0)</f>
        <v/>
      </c>
      <c r="J127">
        <f>IFERROR(INDEX(PP_Grid[#Data],$DD127,8),0)</f>
        <v/>
      </c>
      <c r="K127">
        <f>IFERROR(INDEX(PP_Grid[#Data],$DD127,9),0)</f>
        <v/>
      </c>
      <c r="L127">
        <f>IFERROR(INDEX(PP_Grid[#Data],$DD127,10),0)</f>
        <v/>
      </c>
      <c r="M127">
        <f>IFERROR(INDEX(PP_Grid[#Data],$DD127,11),0)</f>
        <v/>
      </c>
      <c r="N127">
        <f>IFERROR(INDEX(PP_Grid[#Data],$DD127,12),0)</f>
        <v/>
      </c>
      <c r="O127">
        <f>IFERROR(INDEX(PP_Grid[#Data],$DD127,13),0)</f>
        <v/>
      </c>
      <c r="P127">
        <f>IFERROR(INDEX(PP_Grid[#Data],$DD127,14),0)</f>
        <v/>
      </c>
      <c r="Q127">
        <f>IFERROR(INDEX(PP_Grid[#Data],$DD127,15),0)</f>
        <v/>
      </c>
      <c r="R127">
        <f>IFERROR(INDEX(PP_Grid[#Data],$DD127,16),0)</f>
        <v/>
      </c>
      <c r="S127">
        <f>IFERROR(INDEX(PP_Grid[#Data],$DD127,17),0)</f>
        <v/>
      </c>
      <c r="T127">
        <f>IFERROR(INDEX(PP_Grid[#Data],$DD127,18),0)</f>
        <v/>
      </c>
      <c r="U127">
        <f>IFERROR(INDEX(PP_Grid[#Data],$DD127,19),0)</f>
        <v/>
      </c>
      <c r="V127">
        <f>IFERROR(INDEX(PP_Grid[#Data],$DD127,20),0)</f>
        <v/>
      </c>
      <c r="W127">
        <f>IFERROR(INDEX(PP_Grid[#Data],$DD127,21),0)</f>
        <v/>
      </c>
      <c r="X127">
        <f>IFERROR(INDEX(PP_Grid[#Data],$DD127,22),0)</f>
        <v/>
      </c>
      <c r="Y127">
        <f>IFERROR(INDEX(PP_Grid[#Data],$DD127,23),0)</f>
        <v/>
      </c>
      <c r="Z127">
        <f>IFERROR(INDEX(PP_Grid[#Data],$DD127,24),0)</f>
        <v/>
      </c>
      <c r="AA127">
        <f>IFERROR(INDEX(PP_Grid[#Data],$DD127,25),0)</f>
        <v/>
      </c>
      <c r="AB127">
        <f>IFERROR(INDEX(PP_Grid[#Data],$DD127,26),0)</f>
        <v/>
      </c>
      <c r="AC127">
        <f>IFERROR(INDEX(PP_Grid[#Data],$DD127,27),0)</f>
        <v/>
      </c>
      <c r="AD127">
        <f>IFERROR(INDEX(PP_Grid[#Data],$DD127,28),0)</f>
        <v/>
      </c>
      <c r="AE127">
        <f>IFERROR(INDEX(PP_Grid[#Data],$DD127,29),0)</f>
        <v/>
      </c>
      <c r="AF127">
        <f>IFERROR(INDEX(PP_Grid[#Data],$DD127,30),0)</f>
        <v/>
      </c>
      <c r="AG127">
        <f>IFERROR(INDEX(PP_Grid[#Data],$DD127,31),0)</f>
        <v/>
      </c>
      <c r="AH127">
        <f>IFERROR(INDEX(PP_Grid[#Data],$DD127,32),0)</f>
        <v/>
      </c>
      <c r="AI127">
        <f>IFERROR(INDEX(PP_Grid[#Data],$DD127,33),0)</f>
        <v/>
      </c>
      <c r="AJ127">
        <f>IFERROR(INDEX(PP_Grid[#Data],$DD127,34),0)</f>
        <v/>
      </c>
      <c r="AK127">
        <f>IFERROR(INDEX(PP_Grid[#Data],$DD127,35),0)</f>
        <v/>
      </c>
      <c r="AL127">
        <f>IFERROR(INDEX(PP_Grid[#Data],$DD127,36),0)</f>
        <v/>
      </c>
      <c r="AM127">
        <f>IFERROR(INDEX(PP_Grid[#Data],$DD127,37),0)</f>
        <v/>
      </c>
      <c r="AN127">
        <f>IFERROR(INDEX(PP_Grid[#Data],$DD127,38),0)</f>
        <v/>
      </c>
      <c r="AO127">
        <f>IFERROR(INDEX(PP_Grid[#Data],$DD127,39),0)</f>
        <v/>
      </c>
      <c r="AP127">
        <f>IFERROR(INDEX(PP_Grid[#Data],$DD127,40),0)</f>
        <v/>
      </c>
      <c r="AQ127">
        <f>IFERROR(INDEX(PP_Grid[#Data],$DD127,41),0)</f>
        <v/>
      </c>
      <c r="AR127">
        <f>IFERROR(INDEX(PP_Grid[#Data],$DD127,42),0)</f>
        <v/>
      </c>
      <c r="AS127">
        <f>IFERROR(INDEX(PP_Grid[#Data],$DD127,43),0)</f>
        <v/>
      </c>
      <c r="AT127">
        <f>IFERROR(INDEX(PP_Grid[#Data],$DD127,44),0)</f>
        <v/>
      </c>
      <c r="AU127">
        <f>IFERROR(INDEX(PP_Grid[#Data],$DD127,45),0)</f>
        <v/>
      </c>
      <c r="AV127">
        <f>IFERROR(INDEX(PP_Grid[#Data],$DD127,46),0)</f>
        <v/>
      </c>
      <c r="AW127">
        <f>IFERROR(INDEX(PP_Grid[#Data],$DD127,47),0)</f>
        <v/>
      </c>
      <c r="AX127">
        <f>IFERROR(INDEX(PP_Grid[#Data],$DD127,48),0)</f>
        <v/>
      </c>
      <c r="AY127">
        <f>IFERROR(INDEX(PP_Grid[#Data],$DD127,49),0)</f>
        <v/>
      </c>
      <c r="AZ127">
        <f>IFERROR(INDEX(PP_Grid[#Data],$DD127,50),0)</f>
        <v/>
      </c>
      <c r="BA127">
        <f>IFERROR(INDEX(PP_Grid[#Data],$DD127,51),0)</f>
        <v/>
      </c>
      <c r="BB127">
        <f>IFERROR(INDEX(PP_Grid[#Data],$DD127,52),0)</f>
        <v/>
      </c>
      <c r="BC127">
        <f>IFERROR(INDEX(PP_Grid[#Data],$DD127,53),0)</f>
        <v/>
      </c>
      <c r="BD127">
        <f>IFERROR(INDEX(PP_Grid[#Data],$DD127,54),0)</f>
        <v/>
      </c>
      <c r="BE127">
        <f>IFERROR(INDEX(PP_Grid[#Data],$DD127,55),0)</f>
        <v/>
      </c>
      <c r="BF127">
        <f>IFERROR(INDEX(PP_Grid[#Data],$DD127,56),0)</f>
        <v/>
      </c>
      <c r="BG127">
        <f>IFERROR(INDEX(PP_Grid[#Data],$DD127,57),0)</f>
        <v/>
      </c>
      <c r="BH127">
        <f>IFERROR(INDEX(PP_Grid[#Data],$DD127,58),0)</f>
        <v/>
      </c>
      <c r="BI127">
        <f>IFERROR(INDEX(PP_Grid[#Data],$DD127,59),0)</f>
        <v/>
      </c>
      <c r="BJ127">
        <f>IFERROR(INDEX(PP_Grid[#Data],$DD127,60),0)</f>
        <v/>
      </c>
      <c r="BK127">
        <f>IFERROR(INDEX(PP_Grid[#Data],$DD127,61),0)</f>
        <v/>
      </c>
      <c r="BL127">
        <f>IFERROR(INDEX(PP_Grid[#Data],$DD127,62),0)</f>
        <v/>
      </c>
      <c r="BM127">
        <f>IFERROR(INDEX(PP_Grid[#Data],$DD127,63),0)</f>
        <v/>
      </c>
      <c r="BN127">
        <f>IFERROR(INDEX(PP_Grid[#Data],$DD127,64),0)</f>
        <v/>
      </c>
      <c r="BO127">
        <f>IFERROR(INDEX(PP_Grid[#Data],$DD127,65),0)</f>
        <v/>
      </c>
      <c r="BP127">
        <f>IFERROR(INDEX(PP_Grid[#Data],$DD127,66),0)</f>
        <v/>
      </c>
      <c r="BQ127">
        <f>IFERROR(INDEX(PP_Grid[#Data],$DD127,67),0)</f>
        <v/>
      </c>
      <c r="BR127">
        <f>IFERROR(INDEX(PP_Grid[#Data],$DD127,68),0)</f>
        <v/>
      </c>
      <c r="BS127">
        <f>IFERROR(INDEX(PP_Grid[#Data],$DD127,69),0)</f>
        <v/>
      </c>
      <c r="BT127">
        <f>IFERROR(INDEX(PP_Grid[#Data],$DD127,70),0)</f>
        <v/>
      </c>
      <c r="BU127">
        <f>IFERROR(INDEX(PP_Grid[#Data],$DD127,71),0)</f>
        <v/>
      </c>
      <c r="BV127">
        <f>IFERROR(INDEX(PP_Grid[#Data],$DD127,72),0)</f>
        <v/>
      </c>
      <c r="BW127">
        <f>IFERROR(INDEX(PP_Grid[#Data],$DD127,73),0)</f>
        <v/>
      </c>
      <c r="BX127">
        <f>IFERROR(INDEX(PP_Grid[#Data],$DD127,74),0)</f>
        <v/>
      </c>
      <c r="BY127">
        <f>IFERROR(INDEX(PP_Grid[#Data],$DD127,75),0)</f>
        <v/>
      </c>
      <c r="BZ127">
        <f>IFERROR(INDEX(PP_Grid[#Data],$DD127,76),0)</f>
        <v/>
      </c>
      <c r="CA127">
        <f>IFERROR(INDEX(PP_Grid[#Data],$DD127,77),0)</f>
        <v/>
      </c>
      <c r="CB127">
        <f>IFERROR(INDEX(PP_Grid[#Data],$DD127,78),0)</f>
        <v/>
      </c>
      <c r="CC127">
        <f>IFERROR(INDEX(PP_Grid[#Data],$DD127,79),0)</f>
        <v/>
      </c>
      <c r="CD127">
        <f>IFERROR(INDEX(PP_Grid[#Data],$DD127,80),0)</f>
        <v/>
      </c>
      <c r="CE127">
        <f>IFERROR(INDEX(PP_Grid[#Data],$DD127,81),0)</f>
        <v/>
      </c>
      <c r="CF127">
        <f>IFERROR(INDEX(PP_Grid[#Data],$DD127,82),0)</f>
        <v/>
      </c>
      <c r="CG127">
        <f>IFERROR(INDEX(PP_Grid[#Data],$DD127,83),0)</f>
        <v/>
      </c>
      <c r="CH127">
        <f>IFERROR(INDEX(PP_Grid[#Data],$DD127,84),0)</f>
        <v/>
      </c>
      <c r="CI127">
        <f>IFERROR(INDEX(PP_Grid[#Data],$DD127,85),0)</f>
        <v/>
      </c>
      <c r="CJ127">
        <f>IFERROR(INDEX(PP_Grid[#Data],$DD127,86),0)</f>
        <v/>
      </c>
      <c r="CK127">
        <f>IFERROR(INDEX(PP_Grid[#Data],$DD127,87),0)</f>
        <v/>
      </c>
      <c r="CL127">
        <f>IFERROR(INDEX(PP_Grid[#Data],$DD127,88),0)</f>
        <v/>
      </c>
      <c r="CM127">
        <f>IFERROR(INDEX(PP_Grid[#Data],$DD127,89),0)</f>
        <v/>
      </c>
      <c r="CN127">
        <f>IFERROR(INDEX(PP_Grid[#Data],$DD127,90),0)</f>
        <v/>
      </c>
      <c r="CO127">
        <f>IFERROR(INDEX(PP_Grid[#Data],$DD127,91),0)</f>
        <v/>
      </c>
      <c r="CP127">
        <f>IFERROR(INDEX(PP_Grid[#Data],$DD127,92),0)</f>
        <v/>
      </c>
      <c r="CQ127">
        <f>IFERROR(INDEX(PP_Grid[#Data],$DD127,93),0)</f>
        <v/>
      </c>
      <c r="CR127">
        <f>IFERROR(INDEX(PP_Grid[#Data],$DD127,94),0)</f>
        <v/>
      </c>
      <c r="CS127">
        <f>IFERROR(INDEX(PP_Grid[#Data],$DD127,95),0)</f>
        <v/>
      </c>
      <c r="CT127">
        <f>IFERROR(INDEX(PP_Grid[#Data],$DD127,96),0)</f>
        <v/>
      </c>
      <c r="CU127">
        <f>IFERROR(INDEX(PP_Grid[#Data],$DD127,97),0)</f>
        <v/>
      </c>
      <c r="CV127">
        <f>IFERROR(INDEX(PP_Grid[#Data],$DD127,98),0)</f>
        <v/>
      </c>
      <c r="CW127">
        <f>IFERROR(INDEX(PP_Grid[#Data],$DD127,99),0)</f>
        <v/>
      </c>
      <c r="CX127">
        <f>IFERROR(INDEX(PP_Grid[#Data],$DD127,100),0)</f>
        <v/>
      </c>
      <c r="CY127">
        <f>IFERROR(INDEX(PP_Grid[#Data],$DD127,101),0)</f>
        <v/>
      </c>
      <c r="CZ127">
        <f>IFERROR(INDEX(PP_Grid[#Data],$DD127,102),0)</f>
        <v/>
      </c>
      <c r="DA127">
        <f>IFERROR(INDEX(PP_Grid[#Data],$DD127,103),0)</f>
        <v/>
      </c>
      <c r="DB127">
        <f>IFERROR(INDEX(PP_Grid[#Data],$DD127,104),0)</f>
        <v/>
      </c>
      <c r="DC127">
        <f>IFERROR(INDEX(PP_Grid[#Data],$DD127,105),0)</f>
        <v/>
      </c>
      <c r="DD127" s="7">
        <f>IFERROR(MATCH($B127,PP_Grid[Intermediate],0),99999)</f>
        <v/>
      </c>
    </row>
    <row r="128">
      <c r="B128" t="inlineStr">
        <is>
          <t>使用量(kg)</t>
        </is>
      </c>
      <c r="C128">
        <f>SUMIFS(M_BOM[RM_Qty_Per_Batch],M_BOM[Intermediate],$B127,M_BOM[Part Name],$A44)</f>
        <v/>
      </c>
      <c r="D128">
        <f>$C128*D127</f>
        <v/>
      </c>
      <c r="E128">
        <f>$C128*E127</f>
        <v/>
      </c>
      <c r="F128">
        <f>$C128*F127</f>
        <v/>
      </c>
      <c r="G128">
        <f>$C128*G127</f>
        <v/>
      </c>
      <c r="H128">
        <f>$C128*H127</f>
        <v/>
      </c>
      <c r="I128">
        <f>$C128*I127</f>
        <v/>
      </c>
      <c r="J128">
        <f>$C128*J127</f>
        <v/>
      </c>
      <c r="K128">
        <f>$C128*K127</f>
        <v/>
      </c>
      <c r="L128">
        <f>$C128*L127</f>
        <v/>
      </c>
      <c r="M128">
        <f>$C128*M127</f>
        <v/>
      </c>
      <c r="N128">
        <f>$C128*N127</f>
        <v/>
      </c>
      <c r="O128">
        <f>$C128*O127</f>
        <v/>
      </c>
      <c r="P128">
        <f>$C128*P127</f>
        <v/>
      </c>
      <c r="Q128">
        <f>$C128*Q127</f>
        <v/>
      </c>
      <c r="R128">
        <f>$C128*R127</f>
        <v/>
      </c>
      <c r="S128">
        <f>$C128*S127</f>
        <v/>
      </c>
      <c r="T128">
        <f>$C128*T127</f>
        <v/>
      </c>
      <c r="U128">
        <f>$C128*U127</f>
        <v/>
      </c>
      <c r="V128">
        <f>$C128*V127</f>
        <v/>
      </c>
      <c r="W128">
        <f>$C128*W127</f>
        <v/>
      </c>
      <c r="X128">
        <f>$C128*X127</f>
        <v/>
      </c>
      <c r="Y128">
        <f>$C128*Y127</f>
        <v/>
      </c>
      <c r="Z128">
        <f>$C128*Z127</f>
        <v/>
      </c>
      <c r="AA128">
        <f>$C128*AA127</f>
        <v/>
      </c>
      <c r="AB128">
        <f>$C128*AB127</f>
        <v/>
      </c>
      <c r="AC128">
        <f>$C128*AC127</f>
        <v/>
      </c>
      <c r="AD128">
        <f>$C128*AD127</f>
        <v/>
      </c>
      <c r="AE128">
        <f>$C128*AE127</f>
        <v/>
      </c>
      <c r="AF128">
        <f>$C128*AF127</f>
        <v/>
      </c>
      <c r="AG128">
        <f>$C128*AG127</f>
        <v/>
      </c>
      <c r="AH128">
        <f>$C128*AH127</f>
        <v/>
      </c>
      <c r="AI128">
        <f>$C128*AI127</f>
        <v/>
      </c>
      <c r="AJ128">
        <f>$C128*AJ127</f>
        <v/>
      </c>
      <c r="AK128">
        <f>$C128*AK127</f>
        <v/>
      </c>
      <c r="AL128">
        <f>$C128*AL127</f>
        <v/>
      </c>
      <c r="AM128">
        <f>$C128*AM127</f>
        <v/>
      </c>
      <c r="AN128">
        <f>$C128*AN127</f>
        <v/>
      </c>
      <c r="AO128">
        <f>$C128*AO127</f>
        <v/>
      </c>
      <c r="AP128">
        <f>$C128*AP127</f>
        <v/>
      </c>
      <c r="AQ128">
        <f>$C128*AQ127</f>
        <v/>
      </c>
      <c r="AR128">
        <f>$C128*AR127</f>
        <v/>
      </c>
      <c r="AS128">
        <f>$C128*AS127</f>
        <v/>
      </c>
      <c r="AT128">
        <f>$C128*AT127</f>
        <v/>
      </c>
      <c r="AU128">
        <f>$C128*AU127</f>
        <v/>
      </c>
      <c r="AV128">
        <f>$C128*AV127</f>
        <v/>
      </c>
      <c r="AW128">
        <f>$C128*AW127</f>
        <v/>
      </c>
      <c r="AX128">
        <f>$C128*AX127</f>
        <v/>
      </c>
      <c r="AY128">
        <f>$C128*AY127</f>
        <v/>
      </c>
      <c r="AZ128">
        <f>$C128*AZ127</f>
        <v/>
      </c>
      <c r="BA128">
        <f>$C128*BA127</f>
        <v/>
      </c>
      <c r="BB128">
        <f>$C128*BB127</f>
        <v/>
      </c>
      <c r="BC128">
        <f>$C128*BC127</f>
        <v/>
      </c>
      <c r="BD128">
        <f>$C128*BD127</f>
        <v/>
      </c>
      <c r="BE128">
        <f>$C128*BE127</f>
        <v/>
      </c>
      <c r="BF128">
        <f>$C128*BF127</f>
        <v/>
      </c>
      <c r="BG128">
        <f>$C128*BG127</f>
        <v/>
      </c>
      <c r="BH128">
        <f>$C128*BH127</f>
        <v/>
      </c>
      <c r="BI128">
        <f>$C128*BI127</f>
        <v/>
      </c>
      <c r="BJ128">
        <f>$C128*BJ127</f>
        <v/>
      </c>
      <c r="BK128">
        <f>$C128*BK127</f>
        <v/>
      </c>
      <c r="BL128">
        <f>$C128*BL127</f>
        <v/>
      </c>
      <c r="BM128">
        <f>$C128*BM127</f>
        <v/>
      </c>
      <c r="BN128">
        <f>$C128*BN127</f>
        <v/>
      </c>
      <c r="BO128">
        <f>$C128*BO127</f>
        <v/>
      </c>
      <c r="BP128">
        <f>$C128*BP127</f>
        <v/>
      </c>
      <c r="BQ128">
        <f>$C128*BQ127</f>
        <v/>
      </c>
      <c r="BR128">
        <f>$C128*BR127</f>
        <v/>
      </c>
      <c r="BS128">
        <f>$C128*BS127</f>
        <v/>
      </c>
      <c r="BT128">
        <f>$C128*BT127</f>
        <v/>
      </c>
      <c r="BU128">
        <f>$C128*BU127</f>
        <v/>
      </c>
      <c r="BV128">
        <f>$C128*BV127</f>
        <v/>
      </c>
      <c r="BW128">
        <f>$C128*BW127</f>
        <v/>
      </c>
      <c r="BX128">
        <f>$C128*BX127</f>
        <v/>
      </c>
      <c r="BY128">
        <f>$C128*BY127</f>
        <v/>
      </c>
      <c r="BZ128">
        <f>$C128*BZ127</f>
        <v/>
      </c>
      <c r="CA128">
        <f>$C128*CA127</f>
        <v/>
      </c>
      <c r="CB128">
        <f>$C128*CB127</f>
        <v/>
      </c>
      <c r="CC128">
        <f>$C128*CC127</f>
        <v/>
      </c>
      <c r="CD128">
        <f>$C128*CD127</f>
        <v/>
      </c>
      <c r="CE128">
        <f>$C128*CE127</f>
        <v/>
      </c>
      <c r="CF128">
        <f>$C128*CF127</f>
        <v/>
      </c>
      <c r="CG128">
        <f>$C128*CG127</f>
        <v/>
      </c>
      <c r="CH128">
        <f>$C128*CH127</f>
        <v/>
      </c>
      <c r="CI128">
        <f>$C128*CI127</f>
        <v/>
      </c>
      <c r="CJ128">
        <f>$C128*CJ127</f>
        <v/>
      </c>
      <c r="CK128">
        <f>$C128*CK127</f>
        <v/>
      </c>
      <c r="CL128">
        <f>$C128*CL127</f>
        <v/>
      </c>
      <c r="CM128">
        <f>$C128*CM127</f>
        <v/>
      </c>
      <c r="CN128">
        <f>$C128*CN127</f>
        <v/>
      </c>
      <c r="CO128">
        <f>$C128*CO127</f>
        <v/>
      </c>
      <c r="CP128">
        <f>$C128*CP127</f>
        <v/>
      </c>
      <c r="CQ128">
        <f>$C128*CQ127</f>
        <v/>
      </c>
      <c r="CR128">
        <f>$C128*CR127</f>
        <v/>
      </c>
      <c r="CS128">
        <f>$C128*CS127</f>
        <v/>
      </c>
      <c r="CT128">
        <f>$C128*CT127</f>
        <v/>
      </c>
      <c r="CU128">
        <f>$C128*CU127</f>
        <v/>
      </c>
      <c r="CV128">
        <f>$C128*CV127</f>
        <v/>
      </c>
      <c r="CW128">
        <f>$C128*CW127</f>
        <v/>
      </c>
      <c r="CX128">
        <f>$C128*CX127</f>
        <v/>
      </c>
      <c r="CY128">
        <f>$C128*CY127</f>
        <v/>
      </c>
      <c r="CZ128">
        <f>$C128*CZ127</f>
        <v/>
      </c>
      <c r="DA128">
        <f>$C128*DA127</f>
        <v/>
      </c>
      <c r="DB128">
        <f>$C128*DB127</f>
        <v/>
      </c>
      <c r="DC128">
        <f>$C128*DC127</f>
        <v/>
      </c>
    </row>
    <row r="129">
      <c r="B129" t="inlineStr">
        <is>
          <t>TSP-927</t>
        </is>
      </c>
      <c r="C129" t="inlineStr">
        <is>
          <t>No. of batches</t>
        </is>
      </c>
      <c r="D129">
        <f>IFERROR(INDEX(PP_Grid[#Data],$DD129,2),0)</f>
        <v/>
      </c>
      <c r="E129">
        <f>IFERROR(INDEX(PP_Grid[#Data],$DD129,3),0)</f>
        <v/>
      </c>
      <c r="F129">
        <f>IFERROR(INDEX(PP_Grid[#Data],$DD129,4),0)</f>
        <v/>
      </c>
      <c r="G129">
        <f>IFERROR(INDEX(PP_Grid[#Data],$DD129,5),0)</f>
        <v/>
      </c>
      <c r="H129">
        <f>IFERROR(INDEX(PP_Grid[#Data],$DD129,6),0)</f>
        <v/>
      </c>
      <c r="I129">
        <f>IFERROR(INDEX(PP_Grid[#Data],$DD129,7),0)</f>
        <v/>
      </c>
      <c r="J129">
        <f>IFERROR(INDEX(PP_Grid[#Data],$DD129,8),0)</f>
        <v/>
      </c>
      <c r="K129">
        <f>IFERROR(INDEX(PP_Grid[#Data],$DD129,9),0)</f>
        <v/>
      </c>
      <c r="L129">
        <f>IFERROR(INDEX(PP_Grid[#Data],$DD129,10),0)</f>
        <v/>
      </c>
      <c r="M129">
        <f>IFERROR(INDEX(PP_Grid[#Data],$DD129,11),0)</f>
        <v/>
      </c>
      <c r="N129">
        <f>IFERROR(INDEX(PP_Grid[#Data],$DD129,12),0)</f>
        <v/>
      </c>
      <c r="O129">
        <f>IFERROR(INDEX(PP_Grid[#Data],$DD129,13),0)</f>
        <v/>
      </c>
      <c r="P129">
        <f>IFERROR(INDEX(PP_Grid[#Data],$DD129,14),0)</f>
        <v/>
      </c>
      <c r="Q129">
        <f>IFERROR(INDEX(PP_Grid[#Data],$DD129,15),0)</f>
        <v/>
      </c>
      <c r="R129">
        <f>IFERROR(INDEX(PP_Grid[#Data],$DD129,16),0)</f>
        <v/>
      </c>
      <c r="S129">
        <f>IFERROR(INDEX(PP_Grid[#Data],$DD129,17),0)</f>
        <v/>
      </c>
      <c r="T129">
        <f>IFERROR(INDEX(PP_Grid[#Data],$DD129,18),0)</f>
        <v/>
      </c>
      <c r="U129">
        <f>IFERROR(INDEX(PP_Grid[#Data],$DD129,19),0)</f>
        <v/>
      </c>
      <c r="V129">
        <f>IFERROR(INDEX(PP_Grid[#Data],$DD129,20),0)</f>
        <v/>
      </c>
      <c r="W129">
        <f>IFERROR(INDEX(PP_Grid[#Data],$DD129,21),0)</f>
        <v/>
      </c>
      <c r="X129">
        <f>IFERROR(INDEX(PP_Grid[#Data],$DD129,22),0)</f>
        <v/>
      </c>
      <c r="Y129">
        <f>IFERROR(INDEX(PP_Grid[#Data],$DD129,23),0)</f>
        <v/>
      </c>
      <c r="Z129">
        <f>IFERROR(INDEX(PP_Grid[#Data],$DD129,24),0)</f>
        <v/>
      </c>
      <c r="AA129">
        <f>IFERROR(INDEX(PP_Grid[#Data],$DD129,25),0)</f>
        <v/>
      </c>
      <c r="AB129">
        <f>IFERROR(INDEX(PP_Grid[#Data],$DD129,26),0)</f>
        <v/>
      </c>
      <c r="AC129">
        <f>IFERROR(INDEX(PP_Grid[#Data],$DD129,27),0)</f>
        <v/>
      </c>
      <c r="AD129">
        <f>IFERROR(INDEX(PP_Grid[#Data],$DD129,28),0)</f>
        <v/>
      </c>
      <c r="AE129">
        <f>IFERROR(INDEX(PP_Grid[#Data],$DD129,29),0)</f>
        <v/>
      </c>
      <c r="AF129">
        <f>IFERROR(INDEX(PP_Grid[#Data],$DD129,30),0)</f>
        <v/>
      </c>
      <c r="AG129">
        <f>IFERROR(INDEX(PP_Grid[#Data],$DD129,31),0)</f>
        <v/>
      </c>
      <c r="AH129">
        <f>IFERROR(INDEX(PP_Grid[#Data],$DD129,32),0)</f>
        <v/>
      </c>
      <c r="AI129">
        <f>IFERROR(INDEX(PP_Grid[#Data],$DD129,33),0)</f>
        <v/>
      </c>
      <c r="AJ129">
        <f>IFERROR(INDEX(PP_Grid[#Data],$DD129,34),0)</f>
        <v/>
      </c>
      <c r="AK129">
        <f>IFERROR(INDEX(PP_Grid[#Data],$DD129,35),0)</f>
        <v/>
      </c>
      <c r="AL129">
        <f>IFERROR(INDEX(PP_Grid[#Data],$DD129,36),0)</f>
        <v/>
      </c>
      <c r="AM129">
        <f>IFERROR(INDEX(PP_Grid[#Data],$DD129,37),0)</f>
        <v/>
      </c>
      <c r="AN129">
        <f>IFERROR(INDEX(PP_Grid[#Data],$DD129,38),0)</f>
        <v/>
      </c>
      <c r="AO129">
        <f>IFERROR(INDEX(PP_Grid[#Data],$DD129,39),0)</f>
        <v/>
      </c>
      <c r="AP129">
        <f>IFERROR(INDEX(PP_Grid[#Data],$DD129,40),0)</f>
        <v/>
      </c>
      <c r="AQ129">
        <f>IFERROR(INDEX(PP_Grid[#Data],$DD129,41),0)</f>
        <v/>
      </c>
      <c r="AR129">
        <f>IFERROR(INDEX(PP_Grid[#Data],$DD129,42),0)</f>
        <v/>
      </c>
      <c r="AS129">
        <f>IFERROR(INDEX(PP_Grid[#Data],$DD129,43),0)</f>
        <v/>
      </c>
      <c r="AT129">
        <f>IFERROR(INDEX(PP_Grid[#Data],$DD129,44),0)</f>
        <v/>
      </c>
      <c r="AU129">
        <f>IFERROR(INDEX(PP_Grid[#Data],$DD129,45),0)</f>
        <v/>
      </c>
      <c r="AV129">
        <f>IFERROR(INDEX(PP_Grid[#Data],$DD129,46),0)</f>
        <v/>
      </c>
      <c r="AW129">
        <f>IFERROR(INDEX(PP_Grid[#Data],$DD129,47),0)</f>
        <v/>
      </c>
      <c r="AX129">
        <f>IFERROR(INDEX(PP_Grid[#Data],$DD129,48),0)</f>
        <v/>
      </c>
      <c r="AY129">
        <f>IFERROR(INDEX(PP_Grid[#Data],$DD129,49),0)</f>
        <v/>
      </c>
      <c r="AZ129">
        <f>IFERROR(INDEX(PP_Grid[#Data],$DD129,50),0)</f>
        <v/>
      </c>
      <c r="BA129">
        <f>IFERROR(INDEX(PP_Grid[#Data],$DD129,51),0)</f>
        <v/>
      </c>
      <c r="BB129">
        <f>IFERROR(INDEX(PP_Grid[#Data],$DD129,52),0)</f>
        <v/>
      </c>
      <c r="BC129">
        <f>IFERROR(INDEX(PP_Grid[#Data],$DD129,53),0)</f>
        <v/>
      </c>
      <c r="BD129">
        <f>IFERROR(INDEX(PP_Grid[#Data],$DD129,54),0)</f>
        <v/>
      </c>
      <c r="BE129">
        <f>IFERROR(INDEX(PP_Grid[#Data],$DD129,55),0)</f>
        <v/>
      </c>
      <c r="BF129">
        <f>IFERROR(INDEX(PP_Grid[#Data],$DD129,56),0)</f>
        <v/>
      </c>
      <c r="BG129">
        <f>IFERROR(INDEX(PP_Grid[#Data],$DD129,57),0)</f>
        <v/>
      </c>
      <c r="BH129">
        <f>IFERROR(INDEX(PP_Grid[#Data],$DD129,58),0)</f>
        <v/>
      </c>
      <c r="BI129">
        <f>IFERROR(INDEX(PP_Grid[#Data],$DD129,59),0)</f>
        <v/>
      </c>
      <c r="BJ129">
        <f>IFERROR(INDEX(PP_Grid[#Data],$DD129,60),0)</f>
        <v/>
      </c>
      <c r="BK129">
        <f>IFERROR(INDEX(PP_Grid[#Data],$DD129,61),0)</f>
        <v/>
      </c>
      <c r="BL129">
        <f>IFERROR(INDEX(PP_Grid[#Data],$DD129,62),0)</f>
        <v/>
      </c>
      <c r="BM129">
        <f>IFERROR(INDEX(PP_Grid[#Data],$DD129,63),0)</f>
        <v/>
      </c>
      <c r="BN129">
        <f>IFERROR(INDEX(PP_Grid[#Data],$DD129,64),0)</f>
        <v/>
      </c>
      <c r="BO129">
        <f>IFERROR(INDEX(PP_Grid[#Data],$DD129,65),0)</f>
        <v/>
      </c>
      <c r="BP129">
        <f>IFERROR(INDEX(PP_Grid[#Data],$DD129,66),0)</f>
        <v/>
      </c>
      <c r="BQ129">
        <f>IFERROR(INDEX(PP_Grid[#Data],$DD129,67),0)</f>
        <v/>
      </c>
      <c r="BR129">
        <f>IFERROR(INDEX(PP_Grid[#Data],$DD129,68),0)</f>
        <v/>
      </c>
      <c r="BS129">
        <f>IFERROR(INDEX(PP_Grid[#Data],$DD129,69),0)</f>
        <v/>
      </c>
      <c r="BT129">
        <f>IFERROR(INDEX(PP_Grid[#Data],$DD129,70),0)</f>
        <v/>
      </c>
      <c r="BU129">
        <f>IFERROR(INDEX(PP_Grid[#Data],$DD129,71),0)</f>
        <v/>
      </c>
      <c r="BV129">
        <f>IFERROR(INDEX(PP_Grid[#Data],$DD129,72),0)</f>
        <v/>
      </c>
      <c r="BW129">
        <f>IFERROR(INDEX(PP_Grid[#Data],$DD129,73),0)</f>
        <v/>
      </c>
      <c r="BX129">
        <f>IFERROR(INDEX(PP_Grid[#Data],$DD129,74),0)</f>
        <v/>
      </c>
      <c r="BY129">
        <f>IFERROR(INDEX(PP_Grid[#Data],$DD129,75),0)</f>
        <v/>
      </c>
      <c r="BZ129">
        <f>IFERROR(INDEX(PP_Grid[#Data],$DD129,76),0)</f>
        <v/>
      </c>
      <c r="CA129">
        <f>IFERROR(INDEX(PP_Grid[#Data],$DD129,77),0)</f>
        <v/>
      </c>
      <c r="CB129">
        <f>IFERROR(INDEX(PP_Grid[#Data],$DD129,78),0)</f>
        <v/>
      </c>
      <c r="CC129">
        <f>IFERROR(INDEX(PP_Grid[#Data],$DD129,79),0)</f>
        <v/>
      </c>
      <c r="CD129">
        <f>IFERROR(INDEX(PP_Grid[#Data],$DD129,80),0)</f>
        <v/>
      </c>
      <c r="CE129">
        <f>IFERROR(INDEX(PP_Grid[#Data],$DD129,81),0)</f>
        <v/>
      </c>
      <c r="CF129">
        <f>IFERROR(INDEX(PP_Grid[#Data],$DD129,82),0)</f>
        <v/>
      </c>
      <c r="CG129">
        <f>IFERROR(INDEX(PP_Grid[#Data],$DD129,83),0)</f>
        <v/>
      </c>
      <c r="CH129">
        <f>IFERROR(INDEX(PP_Grid[#Data],$DD129,84),0)</f>
        <v/>
      </c>
      <c r="CI129">
        <f>IFERROR(INDEX(PP_Grid[#Data],$DD129,85),0)</f>
        <v/>
      </c>
      <c r="CJ129">
        <f>IFERROR(INDEX(PP_Grid[#Data],$DD129,86),0)</f>
        <v/>
      </c>
      <c r="CK129">
        <f>IFERROR(INDEX(PP_Grid[#Data],$DD129,87),0)</f>
        <v/>
      </c>
      <c r="CL129">
        <f>IFERROR(INDEX(PP_Grid[#Data],$DD129,88),0)</f>
        <v/>
      </c>
      <c r="CM129">
        <f>IFERROR(INDEX(PP_Grid[#Data],$DD129,89),0)</f>
        <v/>
      </c>
      <c r="CN129">
        <f>IFERROR(INDEX(PP_Grid[#Data],$DD129,90),0)</f>
        <v/>
      </c>
      <c r="CO129">
        <f>IFERROR(INDEX(PP_Grid[#Data],$DD129,91),0)</f>
        <v/>
      </c>
      <c r="CP129">
        <f>IFERROR(INDEX(PP_Grid[#Data],$DD129,92),0)</f>
        <v/>
      </c>
      <c r="CQ129">
        <f>IFERROR(INDEX(PP_Grid[#Data],$DD129,93),0)</f>
        <v/>
      </c>
      <c r="CR129">
        <f>IFERROR(INDEX(PP_Grid[#Data],$DD129,94),0)</f>
        <v/>
      </c>
      <c r="CS129">
        <f>IFERROR(INDEX(PP_Grid[#Data],$DD129,95),0)</f>
        <v/>
      </c>
      <c r="CT129">
        <f>IFERROR(INDEX(PP_Grid[#Data],$DD129,96),0)</f>
        <v/>
      </c>
      <c r="CU129">
        <f>IFERROR(INDEX(PP_Grid[#Data],$DD129,97),0)</f>
        <v/>
      </c>
      <c r="CV129">
        <f>IFERROR(INDEX(PP_Grid[#Data],$DD129,98),0)</f>
        <v/>
      </c>
      <c r="CW129">
        <f>IFERROR(INDEX(PP_Grid[#Data],$DD129,99),0)</f>
        <v/>
      </c>
      <c r="CX129">
        <f>IFERROR(INDEX(PP_Grid[#Data],$DD129,100),0)</f>
        <v/>
      </c>
      <c r="CY129">
        <f>IFERROR(INDEX(PP_Grid[#Data],$DD129,101),0)</f>
        <v/>
      </c>
      <c r="CZ129">
        <f>IFERROR(INDEX(PP_Grid[#Data],$DD129,102),0)</f>
        <v/>
      </c>
      <c r="DA129">
        <f>IFERROR(INDEX(PP_Grid[#Data],$DD129,103),0)</f>
        <v/>
      </c>
      <c r="DB129">
        <f>IFERROR(INDEX(PP_Grid[#Data],$DD129,104),0)</f>
        <v/>
      </c>
      <c r="DC129">
        <f>IFERROR(INDEX(PP_Grid[#Data],$DD129,105),0)</f>
        <v/>
      </c>
      <c r="DD129" s="7">
        <f>IFERROR(MATCH($B129,PP_Grid[Intermediate],0),99999)</f>
        <v/>
      </c>
    </row>
    <row r="130">
      <c r="B130" t="inlineStr">
        <is>
          <t>使用量(kg)</t>
        </is>
      </c>
      <c r="C130">
        <f>SUMIFS(M_BOM[RM_Qty_Per_Batch],M_BOM[Intermediate],$B129,M_BOM[Part Name],$A44)</f>
        <v/>
      </c>
      <c r="D130">
        <f>$C130*D129</f>
        <v/>
      </c>
      <c r="E130">
        <f>$C130*E129</f>
        <v/>
      </c>
      <c r="F130">
        <f>$C130*F129</f>
        <v/>
      </c>
      <c r="G130">
        <f>$C130*G129</f>
        <v/>
      </c>
      <c r="H130">
        <f>$C130*H129</f>
        <v/>
      </c>
      <c r="I130">
        <f>$C130*I129</f>
        <v/>
      </c>
      <c r="J130">
        <f>$C130*J129</f>
        <v/>
      </c>
      <c r="K130">
        <f>$C130*K129</f>
        <v/>
      </c>
      <c r="L130">
        <f>$C130*L129</f>
        <v/>
      </c>
      <c r="M130">
        <f>$C130*M129</f>
        <v/>
      </c>
      <c r="N130">
        <f>$C130*N129</f>
        <v/>
      </c>
      <c r="O130">
        <f>$C130*O129</f>
        <v/>
      </c>
      <c r="P130">
        <f>$C130*P129</f>
        <v/>
      </c>
      <c r="Q130">
        <f>$C130*Q129</f>
        <v/>
      </c>
      <c r="R130">
        <f>$C130*R129</f>
        <v/>
      </c>
      <c r="S130">
        <f>$C130*S129</f>
        <v/>
      </c>
      <c r="T130">
        <f>$C130*T129</f>
        <v/>
      </c>
      <c r="U130">
        <f>$C130*U129</f>
        <v/>
      </c>
      <c r="V130">
        <f>$C130*V129</f>
        <v/>
      </c>
      <c r="W130">
        <f>$C130*W129</f>
        <v/>
      </c>
      <c r="X130">
        <f>$C130*X129</f>
        <v/>
      </c>
      <c r="Y130">
        <f>$C130*Y129</f>
        <v/>
      </c>
      <c r="Z130">
        <f>$C130*Z129</f>
        <v/>
      </c>
      <c r="AA130">
        <f>$C130*AA129</f>
        <v/>
      </c>
      <c r="AB130">
        <f>$C130*AB129</f>
        <v/>
      </c>
      <c r="AC130">
        <f>$C130*AC129</f>
        <v/>
      </c>
      <c r="AD130">
        <f>$C130*AD129</f>
        <v/>
      </c>
      <c r="AE130">
        <f>$C130*AE129</f>
        <v/>
      </c>
      <c r="AF130">
        <f>$C130*AF129</f>
        <v/>
      </c>
      <c r="AG130">
        <f>$C130*AG129</f>
        <v/>
      </c>
      <c r="AH130">
        <f>$C130*AH129</f>
        <v/>
      </c>
      <c r="AI130">
        <f>$C130*AI129</f>
        <v/>
      </c>
      <c r="AJ130">
        <f>$C130*AJ129</f>
        <v/>
      </c>
      <c r="AK130">
        <f>$C130*AK129</f>
        <v/>
      </c>
      <c r="AL130">
        <f>$C130*AL129</f>
        <v/>
      </c>
      <c r="AM130">
        <f>$C130*AM129</f>
        <v/>
      </c>
      <c r="AN130">
        <f>$C130*AN129</f>
        <v/>
      </c>
      <c r="AO130">
        <f>$C130*AO129</f>
        <v/>
      </c>
      <c r="AP130">
        <f>$C130*AP129</f>
        <v/>
      </c>
      <c r="AQ130">
        <f>$C130*AQ129</f>
        <v/>
      </c>
      <c r="AR130">
        <f>$C130*AR129</f>
        <v/>
      </c>
      <c r="AS130">
        <f>$C130*AS129</f>
        <v/>
      </c>
      <c r="AT130">
        <f>$C130*AT129</f>
        <v/>
      </c>
      <c r="AU130">
        <f>$C130*AU129</f>
        <v/>
      </c>
      <c r="AV130">
        <f>$C130*AV129</f>
        <v/>
      </c>
      <c r="AW130">
        <f>$C130*AW129</f>
        <v/>
      </c>
      <c r="AX130">
        <f>$C130*AX129</f>
        <v/>
      </c>
      <c r="AY130">
        <f>$C130*AY129</f>
        <v/>
      </c>
      <c r="AZ130">
        <f>$C130*AZ129</f>
        <v/>
      </c>
      <c r="BA130">
        <f>$C130*BA129</f>
        <v/>
      </c>
      <c r="BB130">
        <f>$C130*BB129</f>
        <v/>
      </c>
      <c r="BC130">
        <f>$C130*BC129</f>
        <v/>
      </c>
      <c r="BD130">
        <f>$C130*BD129</f>
        <v/>
      </c>
      <c r="BE130">
        <f>$C130*BE129</f>
        <v/>
      </c>
      <c r="BF130">
        <f>$C130*BF129</f>
        <v/>
      </c>
      <c r="BG130">
        <f>$C130*BG129</f>
        <v/>
      </c>
      <c r="BH130">
        <f>$C130*BH129</f>
        <v/>
      </c>
      <c r="BI130">
        <f>$C130*BI129</f>
        <v/>
      </c>
      <c r="BJ130">
        <f>$C130*BJ129</f>
        <v/>
      </c>
      <c r="BK130">
        <f>$C130*BK129</f>
        <v/>
      </c>
      <c r="BL130">
        <f>$C130*BL129</f>
        <v/>
      </c>
      <c r="BM130">
        <f>$C130*BM129</f>
        <v/>
      </c>
      <c r="BN130">
        <f>$C130*BN129</f>
        <v/>
      </c>
      <c r="BO130">
        <f>$C130*BO129</f>
        <v/>
      </c>
      <c r="BP130">
        <f>$C130*BP129</f>
        <v/>
      </c>
      <c r="BQ130">
        <f>$C130*BQ129</f>
        <v/>
      </c>
      <c r="BR130">
        <f>$C130*BR129</f>
        <v/>
      </c>
      <c r="BS130">
        <f>$C130*BS129</f>
        <v/>
      </c>
      <c r="BT130">
        <f>$C130*BT129</f>
        <v/>
      </c>
      <c r="BU130">
        <f>$C130*BU129</f>
        <v/>
      </c>
      <c r="BV130">
        <f>$C130*BV129</f>
        <v/>
      </c>
      <c r="BW130">
        <f>$C130*BW129</f>
        <v/>
      </c>
      <c r="BX130">
        <f>$C130*BX129</f>
        <v/>
      </c>
      <c r="BY130">
        <f>$C130*BY129</f>
        <v/>
      </c>
      <c r="BZ130">
        <f>$C130*BZ129</f>
        <v/>
      </c>
      <c r="CA130">
        <f>$C130*CA129</f>
        <v/>
      </c>
      <c r="CB130">
        <f>$C130*CB129</f>
        <v/>
      </c>
      <c r="CC130">
        <f>$C130*CC129</f>
        <v/>
      </c>
      <c r="CD130">
        <f>$C130*CD129</f>
        <v/>
      </c>
      <c r="CE130">
        <f>$C130*CE129</f>
        <v/>
      </c>
      <c r="CF130">
        <f>$C130*CF129</f>
        <v/>
      </c>
      <c r="CG130">
        <f>$C130*CG129</f>
        <v/>
      </c>
      <c r="CH130">
        <f>$C130*CH129</f>
        <v/>
      </c>
      <c r="CI130">
        <f>$C130*CI129</f>
        <v/>
      </c>
      <c r="CJ130">
        <f>$C130*CJ129</f>
        <v/>
      </c>
      <c r="CK130">
        <f>$C130*CK129</f>
        <v/>
      </c>
      <c r="CL130">
        <f>$C130*CL129</f>
        <v/>
      </c>
      <c r="CM130">
        <f>$C130*CM129</f>
        <v/>
      </c>
      <c r="CN130">
        <f>$C130*CN129</f>
        <v/>
      </c>
      <c r="CO130">
        <f>$C130*CO129</f>
        <v/>
      </c>
      <c r="CP130">
        <f>$C130*CP129</f>
        <v/>
      </c>
      <c r="CQ130">
        <f>$C130*CQ129</f>
        <v/>
      </c>
      <c r="CR130">
        <f>$C130*CR129</f>
        <v/>
      </c>
      <c r="CS130">
        <f>$C130*CS129</f>
        <v/>
      </c>
      <c r="CT130">
        <f>$C130*CT129</f>
        <v/>
      </c>
      <c r="CU130">
        <f>$C130*CU129</f>
        <v/>
      </c>
      <c r="CV130">
        <f>$C130*CV129</f>
        <v/>
      </c>
      <c r="CW130">
        <f>$C130*CW129</f>
        <v/>
      </c>
      <c r="CX130">
        <f>$C130*CX129</f>
        <v/>
      </c>
      <c r="CY130">
        <f>$C130*CY129</f>
        <v/>
      </c>
      <c r="CZ130">
        <f>$C130*CZ129</f>
        <v/>
      </c>
      <c r="DA130">
        <f>$C130*DA129</f>
        <v/>
      </c>
      <c r="DB130">
        <f>$C130*DB129</f>
        <v/>
      </c>
      <c r="DC130">
        <f>$C130*DC129</f>
        <v/>
      </c>
    </row>
    <row r="131">
      <c r="B131" t="inlineStr">
        <is>
          <t>TSP-928</t>
        </is>
      </c>
      <c r="C131" t="inlineStr">
        <is>
          <t>No. of batches</t>
        </is>
      </c>
      <c r="D131">
        <f>IFERROR(INDEX(PP_Grid[#Data],$DD131,2),0)</f>
        <v/>
      </c>
      <c r="E131">
        <f>IFERROR(INDEX(PP_Grid[#Data],$DD131,3),0)</f>
        <v/>
      </c>
      <c r="F131">
        <f>IFERROR(INDEX(PP_Grid[#Data],$DD131,4),0)</f>
        <v/>
      </c>
      <c r="G131">
        <f>IFERROR(INDEX(PP_Grid[#Data],$DD131,5),0)</f>
        <v/>
      </c>
      <c r="H131">
        <f>IFERROR(INDEX(PP_Grid[#Data],$DD131,6),0)</f>
        <v/>
      </c>
      <c r="I131">
        <f>IFERROR(INDEX(PP_Grid[#Data],$DD131,7),0)</f>
        <v/>
      </c>
      <c r="J131">
        <f>IFERROR(INDEX(PP_Grid[#Data],$DD131,8),0)</f>
        <v/>
      </c>
      <c r="K131">
        <f>IFERROR(INDEX(PP_Grid[#Data],$DD131,9),0)</f>
        <v/>
      </c>
      <c r="L131">
        <f>IFERROR(INDEX(PP_Grid[#Data],$DD131,10),0)</f>
        <v/>
      </c>
      <c r="M131">
        <f>IFERROR(INDEX(PP_Grid[#Data],$DD131,11),0)</f>
        <v/>
      </c>
      <c r="N131">
        <f>IFERROR(INDEX(PP_Grid[#Data],$DD131,12),0)</f>
        <v/>
      </c>
      <c r="O131">
        <f>IFERROR(INDEX(PP_Grid[#Data],$DD131,13),0)</f>
        <v/>
      </c>
      <c r="P131">
        <f>IFERROR(INDEX(PP_Grid[#Data],$DD131,14),0)</f>
        <v/>
      </c>
      <c r="Q131">
        <f>IFERROR(INDEX(PP_Grid[#Data],$DD131,15),0)</f>
        <v/>
      </c>
      <c r="R131">
        <f>IFERROR(INDEX(PP_Grid[#Data],$DD131,16),0)</f>
        <v/>
      </c>
      <c r="S131">
        <f>IFERROR(INDEX(PP_Grid[#Data],$DD131,17),0)</f>
        <v/>
      </c>
      <c r="T131">
        <f>IFERROR(INDEX(PP_Grid[#Data],$DD131,18),0)</f>
        <v/>
      </c>
      <c r="U131">
        <f>IFERROR(INDEX(PP_Grid[#Data],$DD131,19),0)</f>
        <v/>
      </c>
      <c r="V131">
        <f>IFERROR(INDEX(PP_Grid[#Data],$DD131,20),0)</f>
        <v/>
      </c>
      <c r="W131">
        <f>IFERROR(INDEX(PP_Grid[#Data],$DD131,21),0)</f>
        <v/>
      </c>
      <c r="X131">
        <f>IFERROR(INDEX(PP_Grid[#Data],$DD131,22),0)</f>
        <v/>
      </c>
      <c r="Y131">
        <f>IFERROR(INDEX(PP_Grid[#Data],$DD131,23),0)</f>
        <v/>
      </c>
      <c r="Z131">
        <f>IFERROR(INDEX(PP_Grid[#Data],$DD131,24),0)</f>
        <v/>
      </c>
      <c r="AA131">
        <f>IFERROR(INDEX(PP_Grid[#Data],$DD131,25),0)</f>
        <v/>
      </c>
      <c r="AB131">
        <f>IFERROR(INDEX(PP_Grid[#Data],$DD131,26),0)</f>
        <v/>
      </c>
      <c r="AC131">
        <f>IFERROR(INDEX(PP_Grid[#Data],$DD131,27),0)</f>
        <v/>
      </c>
      <c r="AD131">
        <f>IFERROR(INDEX(PP_Grid[#Data],$DD131,28),0)</f>
        <v/>
      </c>
      <c r="AE131">
        <f>IFERROR(INDEX(PP_Grid[#Data],$DD131,29),0)</f>
        <v/>
      </c>
      <c r="AF131">
        <f>IFERROR(INDEX(PP_Grid[#Data],$DD131,30),0)</f>
        <v/>
      </c>
      <c r="AG131">
        <f>IFERROR(INDEX(PP_Grid[#Data],$DD131,31),0)</f>
        <v/>
      </c>
      <c r="AH131">
        <f>IFERROR(INDEX(PP_Grid[#Data],$DD131,32),0)</f>
        <v/>
      </c>
      <c r="AI131">
        <f>IFERROR(INDEX(PP_Grid[#Data],$DD131,33),0)</f>
        <v/>
      </c>
      <c r="AJ131">
        <f>IFERROR(INDEX(PP_Grid[#Data],$DD131,34),0)</f>
        <v/>
      </c>
      <c r="AK131">
        <f>IFERROR(INDEX(PP_Grid[#Data],$DD131,35),0)</f>
        <v/>
      </c>
      <c r="AL131">
        <f>IFERROR(INDEX(PP_Grid[#Data],$DD131,36),0)</f>
        <v/>
      </c>
      <c r="AM131">
        <f>IFERROR(INDEX(PP_Grid[#Data],$DD131,37),0)</f>
        <v/>
      </c>
      <c r="AN131">
        <f>IFERROR(INDEX(PP_Grid[#Data],$DD131,38),0)</f>
        <v/>
      </c>
      <c r="AO131">
        <f>IFERROR(INDEX(PP_Grid[#Data],$DD131,39),0)</f>
        <v/>
      </c>
      <c r="AP131">
        <f>IFERROR(INDEX(PP_Grid[#Data],$DD131,40),0)</f>
        <v/>
      </c>
      <c r="AQ131">
        <f>IFERROR(INDEX(PP_Grid[#Data],$DD131,41),0)</f>
        <v/>
      </c>
      <c r="AR131">
        <f>IFERROR(INDEX(PP_Grid[#Data],$DD131,42),0)</f>
        <v/>
      </c>
      <c r="AS131">
        <f>IFERROR(INDEX(PP_Grid[#Data],$DD131,43),0)</f>
        <v/>
      </c>
      <c r="AT131">
        <f>IFERROR(INDEX(PP_Grid[#Data],$DD131,44),0)</f>
        <v/>
      </c>
      <c r="AU131">
        <f>IFERROR(INDEX(PP_Grid[#Data],$DD131,45),0)</f>
        <v/>
      </c>
      <c r="AV131">
        <f>IFERROR(INDEX(PP_Grid[#Data],$DD131,46),0)</f>
        <v/>
      </c>
      <c r="AW131">
        <f>IFERROR(INDEX(PP_Grid[#Data],$DD131,47),0)</f>
        <v/>
      </c>
      <c r="AX131">
        <f>IFERROR(INDEX(PP_Grid[#Data],$DD131,48),0)</f>
        <v/>
      </c>
      <c r="AY131">
        <f>IFERROR(INDEX(PP_Grid[#Data],$DD131,49),0)</f>
        <v/>
      </c>
      <c r="AZ131">
        <f>IFERROR(INDEX(PP_Grid[#Data],$DD131,50),0)</f>
        <v/>
      </c>
      <c r="BA131">
        <f>IFERROR(INDEX(PP_Grid[#Data],$DD131,51),0)</f>
        <v/>
      </c>
      <c r="BB131">
        <f>IFERROR(INDEX(PP_Grid[#Data],$DD131,52),0)</f>
        <v/>
      </c>
      <c r="BC131">
        <f>IFERROR(INDEX(PP_Grid[#Data],$DD131,53),0)</f>
        <v/>
      </c>
      <c r="BD131">
        <f>IFERROR(INDEX(PP_Grid[#Data],$DD131,54),0)</f>
        <v/>
      </c>
      <c r="BE131">
        <f>IFERROR(INDEX(PP_Grid[#Data],$DD131,55),0)</f>
        <v/>
      </c>
      <c r="BF131">
        <f>IFERROR(INDEX(PP_Grid[#Data],$DD131,56),0)</f>
        <v/>
      </c>
      <c r="BG131">
        <f>IFERROR(INDEX(PP_Grid[#Data],$DD131,57),0)</f>
        <v/>
      </c>
      <c r="BH131">
        <f>IFERROR(INDEX(PP_Grid[#Data],$DD131,58),0)</f>
        <v/>
      </c>
      <c r="BI131">
        <f>IFERROR(INDEX(PP_Grid[#Data],$DD131,59),0)</f>
        <v/>
      </c>
      <c r="BJ131">
        <f>IFERROR(INDEX(PP_Grid[#Data],$DD131,60),0)</f>
        <v/>
      </c>
      <c r="BK131">
        <f>IFERROR(INDEX(PP_Grid[#Data],$DD131,61),0)</f>
        <v/>
      </c>
      <c r="BL131">
        <f>IFERROR(INDEX(PP_Grid[#Data],$DD131,62),0)</f>
        <v/>
      </c>
      <c r="BM131">
        <f>IFERROR(INDEX(PP_Grid[#Data],$DD131,63),0)</f>
        <v/>
      </c>
      <c r="BN131">
        <f>IFERROR(INDEX(PP_Grid[#Data],$DD131,64),0)</f>
        <v/>
      </c>
      <c r="BO131">
        <f>IFERROR(INDEX(PP_Grid[#Data],$DD131,65),0)</f>
        <v/>
      </c>
      <c r="BP131">
        <f>IFERROR(INDEX(PP_Grid[#Data],$DD131,66),0)</f>
        <v/>
      </c>
      <c r="BQ131">
        <f>IFERROR(INDEX(PP_Grid[#Data],$DD131,67),0)</f>
        <v/>
      </c>
      <c r="BR131">
        <f>IFERROR(INDEX(PP_Grid[#Data],$DD131,68),0)</f>
        <v/>
      </c>
      <c r="BS131">
        <f>IFERROR(INDEX(PP_Grid[#Data],$DD131,69),0)</f>
        <v/>
      </c>
      <c r="BT131">
        <f>IFERROR(INDEX(PP_Grid[#Data],$DD131,70),0)</f>
        <v/>
      </c>
      <c r="BU131">
        <f>IFERROR(INDEX(PP_Grid[#Data],$DD131,71),0)</f>
        <v/>
      </c>
      <c r="BV131">
        <f>IFERROR(INDEX(PP_Grid[#Data],$DD131,72),0)</f>
        <v/>
      </c>
      <c r="BW131">
        <f>IFERROR(INDEX(PP_Grid[#Data],$DD131,73),0)</f>
        <v/>
      </c>
      <c r="BX131">
        <f>IFERROR(INDEX(PP_Grid[#Data],$DD131,74),0)</f>
        <v/>
      </c>
      <c r="BY131">
        <f>IFERROR(INDEX(PP_Grid[#Data],$DD131,75),0)</f>
        <v/>
      </c>
      <c r="BZ131">
        <f>IFERROR(INDEX(PP_Grid[#Data],$DD131,76),0)</f>
        <v/>
      </c>
      <c r="CA131">
        <f>IFERROR(INDEX(PP_Grid[#Data],$DD131,77),0)</f>
        <v/>
      </c>
      <c r="CB131">
        <f>IFERROR(INDEX(PP_Grid[#Data],$DD131,78),0)</f>
        <v/>
      </c>
      <c r="CC131">
        <f>IFERROR(INDEX(PP_Grid[#Data],$DD131,79),0)</f>
        <v/>
      </c>
      <c r="CD131">
        <f>IFERROR(INDEX(PP_Grid[#Data],$DD131,80),0)</f>
        <v/>
      </c>
      <c r="CE131">
        <f>IFERROR(INDEX(PP_Grid[#Data],$DD131,81),0)</f>
        <v/>
      </c>
      <c r="CF131">
        <f>IFERROR(INDEX(PP_Grid[#Data],$DD131,82),0)</f>
        <v/>
      </c>
      <c r="CG131">
        <f>IFERROR(INDEX(PP_Grid[#Data],$DD131,83),0)</f>
        <v/>
      </c>
      <c r="CH131">
        <f>IFERROR(INDEX(PP_Grid[#Data],$DD131,84),0)</f>
        <v/>
      </c>
      <c r="CI131">
        <f>IFERROR(INDEX(PP_Grid[#Data],$DD131,85),0)</f>
        <v/>
      </c>
      <c r="CJ131">
        <f>IFERROR(INDEX(PP_Grid[#Data],$DD131,86),0)</f>
        <v/>
      </c>
      <c r="CK131">
        <f>IFERROR(INDEX(PP_Grid[#Data],$DD131,87),0)</f>
        <v/>
      </c>
      <c r="CL131">
        <f>IFERROR(INDEX(PP_Grid[#Data],$DD131,88),0)</f>
        <v/>
      </c>
      <c r="CM131">
        <f>IFERROR(INDEX(PP_Grid[#Data],$DD131,89),0)</f>
        <v/>
      </c>
      <c r="CN131">
        <f>IFERROR(INDEX(PP_Grid[#Data],$DD131,90),0)</f>
        <v/>
      </c>
      <c r="CO131">
        <f>IFERROR(INDEX(PP_Grid[#Data],$DD131,91),0)</f>
        <v/>
      </c>
      <c r="CP131">
        <f>IFERROR(INDEX(PP_Grid[#Data],$DD131,92),0)</f>
        <v/>
      </c>
      <c r="CQ131">
        <f>IFERROR(INDEX(PP_Grid[#Data],$DD131,93),0)</f>
        <v/>
      </c>
      <c r="CR131">
        <f>IFERROR(INDEX(PP_Grid[#Data],$DD131,94),0)</f>
        <v/>
      </c>
      <c r="CS131">
        <f>IFERROR(INDEX(PP_Grid[#Data],$DD131,95),0)</f>
        <v/>
      </c>
      <c r="CT131">
        <f>IFERROR(INDEX(PP_Grid[#Data],$DD131,96),0)</f>
        <v/>
      </c>
      <c r="CU131">
        <f>IFERROR(INDEX(PP_Grid[#Data],$DD131,97),0)</f>
        <v/>
      </c>
      <c r="CV131">
        <f>IFERROR(INDEX(PP_Grid[#Data],$DD131,98),0)</f>
        <v/>
      </c>
      <c r="CW131">
        <f>IFERROR(INDEX(PP_Grid[#Data],$DD131,99),0)</f>
        <v/>
      </c>
      <c r="CX131">
        <f>IFERROR(INDEX(PP_Grid[#Data],$DD131,100),0)</f>
        <v/>
      </c>
      <c r="CY131">
        <f>IFERROR(INDEX(PP_Grid[#Data],$DD131,101),0)</f>
        <v/>
      </c>
      <c r="CZ131">
        <f>IFERROR(INDEX(PP_Grid[#Data],$DD131,102),0)</f>
        <v/>
      </c>
      <c r="DA131">
        <f>IFERROR(INDEX(PP_Grid[#Data],$DD131,103),0)</f>
        <v/>
      </c>
      <c r="DB131">
        <f>IFERROR(INDEX(PP_Grid[#Data],$DD131,104),0)</f>
        <v/>
      </c>
      <c r="DC131">
        <f>IFERROR(INDEX(PP_Grid[#Data],$DD131,105),0)</f>
        <v/>
      </c>
      <c r="DD131" s="7">
        <f>IFERROR(MATCH($B131,PP_Grid[Intermediate],0),99999)</f>
        <v/>
      </c>
    </row>
    <row r="132">
      <c r="B132" t="inlineStr">
        <is>
          <t>使用量(kg)</t>
        </is>
      </c>
      <c r="C132">
        <f>SUMIFS(M_BOM[RM_Qty_Per_Batch],M_BOM[Intermediate],$B131,M_BOM[Part Name],$A44)</f>
        <v/>
      </c>
      <c r="D132">
        <f>$C132*D131</f>
        <v/>
      </c>
      <c r="E132">
        <f>$C132*E131</f>
        <v/>
      </c>
      <c r="F132">
        <f>$C132*F131</f>
        <v/>
      </c>
      <c r="G132">
        <f>$C132*G131</f>
        <v/>
      </c>
      <c r="H132">
        <f>$C132*H131</f>
        <v/>
      </c>
      <c r="I132">
        <f>$C132*I131</f>
        <v/>
      </c>
      <c r="J132">
        <f>$C132*J131</f>
        <v/>
      </c>
      <c r="K132">
        <f>$C132*K131</f>
        <v/>
      </c>
      <c r="L132">
        <f>$C132*L131</f>
        <v/>
      </c>
      <c r="M132">
        <f>$C132*M131</f>
        <v/>
      </c>
      <c r="N132">
        <f>$C132*N131</f>
        <v/>
      </c>
      <c r="O132">
        <f>$C132*O131</f>
        <v/>
      </c>
      <c r="P132">
        <f>$C132*P131</f>
        <v/>
      </c>
      <c r="Q132">
        <f>$C132*Q131</f>
        <v/>
      </c>
      <c r="R132">
        <f>$C132*R131</f>
        <v/>
      </c>
      <c r="S132">
        <f>$C132*S131</f>
        <v/>
      </c>
      <c r="T132">
        <f>$C132*T131</f>
        <v/>
      </c>
      <c r="U132">
        <f>$C132*U131</f>
        <v/>
      </c>
      <c r="V132">
        <f>$C132*V131</f>
        <v/>
      </c>
      <c r="W132">
        <f>$C132*W131</f>
        <v/>
      </c>
      <c r="X132">
        <f>$C132*X131</f>
        <v/>
      </c>
      <c r="Y132">
        <f>$C132*Y131</f>
        <v/>
      </c>
      <c r="Z132">
        <f>$C132*Z131</f>
        <v/>
      </c>
      <c r="AA132">
        <f>$C132*AA131</f>
        <v/>
      </c>
      <c r="AB132">
        <f>$C132*AB131</f>
        <v/>
      </c>
      <c r="AC132">
        <f>$C132*AC131</f>
        <v/>
      </c>
      <c r="AD132">
        <f>$C132*AD131</f>
        <v/>
      </c>
      <c r="AE132">
        <f>$C132*AE131</f>
        <v/>
      </c>
      <c r="AF132">
        <f>$C132*AF131</f>
        <v/>
      </c>
      <c r="AG132">
        <f>$C132*AG131</f>
        <v/>
      </c>
      <c r="AH132">
        <f>$C132*AH131</f>
        <v/>
      </c>
      <c r="AI132">
        <f>$C132*AI131</f>
        <v/>
      </c>
      <c r="AJ132">
        <f>$C132*AJ131</f>
        <v/>
      </c>
      <c r="AK132">
        <f>$C132*AK131</f>
        <v/>
      </c>
      <c r="AL132">
        <f>$C132*AL131</f>
        <v/>
      </c>
      <c r="AM132">
        <f>$C132*AM131</f>
        <v/>
      </c>
      <c r="AN132">
        <f>$C132*AN131</f>
        <v/>
      </c>
      <c r="AO132">
        <f>$C132*AO131</f>
        <v/>
      </c>
      <c r="AP132">
        <f>$C132*AP131</f>
        <v/>
      </c>
      <c r="AQ132">
        <f>$C132*AQ131</f>
        <v/>
      </c>
      <c r="AR132">
        <f>$C132*AR131</f>
        <v/>
      </c>
      <c r="AS132">
        <f>$C132*AS131</f>
        <v/>
      </c>
      <c r="AT132">
        <f>$C132*AT131</f>
        <v/>
      </c>
      <c r="AU132">
        <f>$C132*AU131</f>
        <v/>
      </c>
      <c r="AV132">
        <f>$C132*AV131</f>
        <v/>
      </c>
      <c r="AW132">
        <f>$C132*AW131</f>
        <v/>
      </c>
      <c r="AX132">
        <f>$C132*AX131</f>
        <v/>
      </c>
      <c r="AY132">
        <f>$C132*AY131</f>
        <v/>
      </c>
      <c r="AZ132">
        <f>$C132*AZ131</f>
        <v/>
      </c>
      <c r="BA132">
        <f>$C132*BA131</f>
        <v/>
      </c>
      <c r="BB132">
        <f>$C132*BB131</f>
        <v/>
      </c>
      <c r="BC132">
        <f>$C132*BC131</f>
        <v/>
      </c>
      <c r="BD132">
        <f>$C132*BD131</f>
        <v/>
      </c>
      <c r="BE132">
        <f>$C132*BE131</f>
        <v/>
      </c>
      <c r="BF132">
        <f>$C132*BF131</f>
        <v/>
      </c>
      <c r="BG132">
        <f>$C132*BG131</f>
        <v/>
      </c>
      <c r="BH132">
        <f>$C132*BH131</f>
        <v/>
      </c>
      <c r="BI132">
        <f>$C132*BI131</f>
        <v/>
      </c>
      <c r="BJ132">
        <f>$C132*BJ131</f>
        <v/>
      </c>
      <c r="BK132">
        <f>$C132*BK131</f>
        <v/>
      </c>
      <c r="BL132">
        <f>$C132*BL131</f>
        <v/>
      </c>
      <c r="BM132">
        <f>$C132*BM131</f>
        <v/>
      </c>
      <c r="BN132">
        <f>$C132*BN131</f>
        <v/>
      </c>
      <c r="BO132">
        <f>$C132*BO131</f>
        <v/>
      </c>
      <c r="BP132">
        <f>$C132*BP131</f>
        <v/>
      </c>
      <c r="BQ132">
        <f>$C132*BQ131</f>
        <v/>
      </c>
      <c r="BR132">
        <f>$C132*BR131</f>
        <v/>
      </c>
      <c r="BS132">
        <f>$C132*BS131</f>
        <v/>
      </c>
      <c r="BT132">
        <f>$C132*BT131</f>
        <v/>
      </c>
      <c r="BU132">
        <f>$C132*BU131</f>
        <v/>
      </c>
      <c r="BV132">
        <f>$C132*BV131</f>
        <v/>
      </c>
      <c r="BW132">
        <f>$C132*BW131</f>
        <v/>
      </c>
      <c r="BX132">
        <f>$C132*BX131</f>
        <v/>
      </c>
      <c r="BY132">
        <f>$C132*BY131</f>
        <v/>
      </c>
      <c r="BZ132">
        <f>$C132*BZ131</f>
        <v/>
      </c>
      <c r="CA132">
        <f>$C132*CA131</f>
        <v/>
      </c>
      <c r="CB132">
        <f>$C132*CB131</f>
        <v/>
      </c>
      <c r="CC132">
        <f>$C132*CC131</f>
        <v/>
      </c>
      <c r="CD132">
        <f>$C132*CD131</f>
        <v/>
      </c>
      <c r="CE132">
        <f>$C132*CE131</f>
        <v/>
      </c>
      <c r="CF132">
        <f>$C132*CF131</f>
        <v/>
      </c>
      <c r="CG132">
        <f>$C132*CG131</f>
        <v/>
      </c>
      <c r="CH132">
        <f>$C132*CH131</f>
        <v/>
      </c>
      <c r="CI132">
        <f>$C132*CI131</f>
        <v/>
      </c>
      <c r="CJ132">
        <f>$C132*CJ131</f>
        <v/>
      </c>
      <c r="CK132">
        <f>$C132*CK131</f>
        <v/>
      </c>
      <c r="CL132">
        <f>$C132*CL131</f>
        <v/>
      </c>
      <c r="CM132">
        <f>$C132*CM131</f>
        <v/>
      </c>
      <c r="CN132">
        <f>$C132*CN131</f>
        <v/>
      </c>
      <c r="CO132">
        <f>$C132*CO131</f>
        <v/>
      </c>
      <c r="CP132">
        <f>$C132*CP131</f>
        <v/>
      </c>
      <c r="CQ132">
        <f>$C132*CQ131</f>
        <v/>
      </c>
      <c r="CR132">
        <f>$C132*CR131</f>
        <v/>
      </c>
      <c r="CS132">
        <f>$C132*CS131</f>
        <v/>
      </c>
      <c r="CT132">
        <f>$C132*CT131</f>
        <v/>
      </c>
      <c r="CU132">
        <f>$C132*CU131</f>
        <v/>
      </c>
      <c r="CV132">
        <f>$C132*CV131</f>
        <v/>
      </c>
      <c r="CW132">
        <f>$C132*CW131</f>
        <v/>
      </c>
      <c r="CX132">
        <f>$C132*CX131</f>
        <v/>
      </c>
      <c r="CY132">
        <f>$C132*CY131</f>
        <v/>
      </c>
      <c r="CZ132">
        <f>$C132*CZ131</f>
        <v/>
      </c>
      <c r="DA132">
        <f>$C132*DA131</f>
        <v/>
      </c>
      <c r="DB132">
        <f>$C132*DB131</f>
        <v/>
      </c>
      <c r="DC132">
        <f>$C132*DC131</f>
        <v/>
      </c>
    </row>
    <row r="133">
      <c r="B133" t="inlineStr">
        <is>
          <t>TSP-929</t>
        </is>
      </c>
      <c r="C133" t="inlineStr">
        <is>
          <t>No. of batches</t>
        </is>
      </c>
      <c r="D133">
        <f>IFERROR(INDEX(PP_Grid[#Data],$DD133,2),0)</f>
        <v/>
      </c>
      <c r="E133">
        <f>IFERROR(INDEX(PP_Grid[#Data],$DD133,3),0)</f>
        <v/>
      </c>
      <c r="F133">
        <f>IFERROR(INDEX(PP_Grid[#Data],$DD133,4),0)</f>
        <v/>
      </c>
      <c r="G133">
        <f>IFERROR(INDEX(PP_Grid[#Data],$DD133,5),0)</f>
        <v/>
      </c>
      <c r="H133">
        <f>IFERROR(INDEX(PP_Grid[#Data],$DD133,6),0)</f>
        <v/>
      </c>
      <c r="I133">
        <f>IFERROR(INDEX(PP_Grid[#Data],$DD133,7),0)</f>
        <v/>
      </c>
      <c r="J133">
        <f>IFERROR(INDEX(PP_Grid[#Data],$DD133,8),0)</f>
        <v/>
      </c>
      <c r="K133">
        <f>IFERROR(INDEX(PP_Grid[#Data],$DD133,9),0)</f>
        <v/>
      </c>
      <c r="L133">
        <f>IFERROR(INDEX(PP_Grid[#Data],$DD133,10),0)</f>
        <v/>
      </c>
      <c r="M133">
        <f>IFERROR(INDEX(PP_Grid[#Data],$DD133,11),0)</f>
        <v/>
      </c>
      <c r="N133">
        <f>IFERROR(INDEX(PP_Grid[#Data],$DD133,12),0)</f>
        <v/>
      </c>
      <c r="O133">
        <f>IFERROR(INDEX(PP_Grid[#Data],$DD133,13),0)</f>
        <v/>
      </c>
      <c r="P133">
        <f>IFERROR(INDEX(PP_Grid[#Data],$DD133,14),0)</f>
        <v/>
      </c>
      <c r="Q133">
        <f>IFERROR(INDEX(PP_Grid[#Data],$DD133,15),0)</f>
        <v/>
      </c>
      <c r="R133">
        <f>IFERROR(INDEX(PP_Grid[#Data],$DD133,16),0)</f>
        <v/>
      </c>
      <c r="S133">
        <f>IFERROR(INDEX(PP_Grid[#Data],$DD133,17),0)</f>
        <v/>
      </c>
      <c r="T133">
        <f>IFERROR(INDEX(PP_Grid[#Data],$DD133,18),0)</f>
        <v/>
      </c>
      <c r="U133">
        <f>IFERROR(INDEX(PP_Grid[#Data],$DD133,19),0)</f>
        <v/>
      </c>
      <c r="V133">
        <f>IFERROR(INDEX(PP_Grid[#Data],$DD133,20),0)</f>
        <v/>
      </c>
      <c r="W133">
        <f>IFERROR(INDEX(PP_Grid[#Data],$DD133,21),0)</f>
        <v/>
      </c>
      <c r="X133">
        <f>IFERROR(INDEX(PP_Grid[#Data],$DD133,22),0)</f>
        <v/>
      </c>
      <c r="Y133">
        <f>IFERROR(INDEX(PP_Grid[#Data],$DD133,23),0)</f>
        <v/>
      </c>
      <c r="Z133">
        <f>IFERROR(INDEX(PP_Grid[#Data],$DD133,24),0)</f>
        <v/>
      </c>
      <c r="AA133">
        <f>IFERROR(INDEX(PP_Grid[#Data],$DD133,25),0)</f>
        <v/>
      </c>
      <c r="AB133">
        <f>IFERROR(INDEX(PP_Grid[#Data],$DD133,26),0)</f>
        <v/>
      </c>
      <c r="AC133">
        <f>IFERROR(INDEX(PP_Grid[#Data],$DD133,27),0)</f>
        <v/>
      </c>
      <c r="AD133">
        <f>IFERROR(INDEX(PP_Grid[#Data],$DD133,28),0)</f>
        <v/>
      </c>
      <c r="AE133">
        <f>IFERROR(INDEX(PP_Grid[#Data],$DD133,29),0)</f>
        <v/>
      </c>
      <c r="AF133">
        <f>IFERROR(INDEX(PP_Grid[#Data],$DD133,30),0)</f>
        <v/>
      </c>
      <c r="AG133">
        <f>IFERROR(INDEX(PP_Grid[#Data],$DD133,31),0)</f>
        <v/>
      </c>
      <c r="AH133">
        <f>IFERROR(INDEX(PP_Grid[#Data],$DD133,32),0)</f>
        <v/>
      </c>
      <c r="AI133">
        <f>IFERROR(INDEX(PP_Grid[#Data],$DD133,33),0)</f>
        <v/>
      </c>
      <c r="AJ133">
        <f>IFERROR(INDEX(PP_Grid[#Data],$DD133,34),0)</f>
        <v/>
      </c>
      <c r="AK133">
        <f>IFERROR(INDEX(PP_Grid[#Data],$DD133,35),0)</f>
        <v/>
      </c>
      <c r="AL133">
        <f>IFERROR(INDEX(PP_Grid[#Data],$DD133,36),0)</f>
        <v/>
      </c>
      <c r="AM133">
        <f>IFERROR(INDEX(PP_Grid[#Data],$DD133,37),0)</f>
        <v/>
      </c>
      <c r="AN133">
        <f>IFERROR(INDEX(PP_Grid[#Data],$DD133,38),0)</f>
        <v/>
      </c>
      <c r="AO133">
        <f>IFERROR(INDEX(PP_Grid[#Data],$DD133,39),0)</f>
        <v/>
      </c>
      <c r="AP133">
        <f>IFERROR(INDEX(PP_Grid[#Data],$DD133,40),0)</f>
        <v/>
      </c>
      <c r="AQ133">
        <f>IFERROR(INDEX(PP_Grid[#Data],$DD133,41),0)</f>
        <v/>
      </c>
      <c r="AR133">
        <f>IFERROR(INDEX(PP_Grid[#Data],$DD133,42),0)</f>
        <v/>
      </c>
      <c r="AS133">
        <f>IFERROR(INDEX(PP_Grid[#Data],$DD133,43),0)</f>
        <v/>
      </c>
      <c r="AT133">
        <f>IFERROR(INDEX(PP_Grid[#Data],$DD133,44),0)</f>
        <v/>
      </c>
      <c r="AU133">
        <f>IFERROR(INDEX(PP_Grid[#Data],$DD133,45),0)</f>
        <v/>
      </c>
      <c r="AV133">
        <f>IFERROR(INDEX(PP_Grid[#Data],$DD133,46),0)</f>
        <v/>
      </c>
      <c r="AW133">
        <f>IFERROR(INDEX(PP_Grid[#Data],$DD133,47),0)</f>
        <v/>
      </c>
      <c r="AX133">
        <f>IFERROR(INDEX(PP_Grid[#Data],$DD133,48),0)</f>
        <v/>
      </c>
      <c r="AY133">
        <f>IFERROR(INDEX(PP_Grid[#Data],$DD133,49),0)</f>
        <v/>
      </c>
      <c r="AZ133">
        <f>IFERROR(INDEX(PP_Grid[#Data],$DD133,50),0)</f>
        <v/>
      </c>
      <c r="BA133">
        <f>IFERROR(INDEX(PP_Grid[#Data],$DD133,51),0)</f>
        <v/>
      </c>
      <c r="BB133">
        <f>IFERROR(INDEX(PP_Grid[#Data],$DD133,52),0)</f>
        <v/>
      </c>
      <c r="BC133">
        <f>IFERROR(INDEX(PP_Grid[#Data],$DD133,53),0)</f>
        <v/>
      </c>
      <c r="BD133">
        <f>IFERROR(INDEX(PP_Grid[#Data],$DD133,54),0)</f>
        <v/>
      </c>
      <c r="BE133">
        <f>IFERROR(INDEX(PP_Grid[#Data],$DD133,55),0)</f>
        <v/>
      </c>
      <c r="BF133">
        <f>IFERROR(INDEX(PP_Grid[#Data],$DD133,56),0)</f>
        <v/>
      </c>
      <c r="BG133">
        <f>IFERROR(INDEX(PP_Grid[#Data],$DD133,57),0)</f>
        <v/>
      </c>
      <c r="BH133">
        <f>IFERROR(INDEX(PP_Grid[#Data],$DD133,58),0)</f>
        <v/>
      </c>
      <c r="BI133">
        <f>IFERROR(INDEX(PP_Grid[#Data],$DD133,59),0)</f>
        <v/>
      </c>
      <c r="BJ133">
        <f>IFERROR(INDEX(PP_Grid[#Data],$DD133,60),0)</f>
        <v/>
      </c>
      <c r="BK133">
        <f>IFERROR(INDEX(PP_Grid[#Data],$DD133,61),0)</f>
        <v/>
      </c>
      <c r="BL133">
        <f>IFERROR(INDEX(PP_Grid[#Data],$DD133,62),0)</f>
        <v/>
      </c>
      <c r="BM133">
        <f>IFERROR(INDEX(PP_Grid[#Data],$DD133,63),0)</f>
        <v/>
      </c>
      <c r="BN133">
        <f>IFERROR(INDEX(PP_Grid[#Data],$DD133,64),0)</f>
        <v/>
      </c>
      <c r="BO133">
        <f>IFERROR(INDEX(PP_Grid[#Data],$DD133,65),0)</f>
        <v/>
      </c>
      <c r="BP133">
        <f>IFERROR(INDEX(PP_Grid[#Data],$DD133,66),0)</f>
        <v/>
      </c>
      <c r="BQ133">
        <f>IFERROR(INDEX(PP_Grid[#Data],$DD133,67),0)</f>
        <v/>
      </c>
      <c r="BR133">
        <f>IFERROR(INDEX(PP_Grid[#Data],$DD133,68),0)</f>
        <v/>
      </c>
      <c r="BS133">
        <f>IFERROR(INDEX(PP_Grid[#Data],$DD133,69),0)</f>
        <v/>
      </c>
      <c r="BT133">
        <f>IFERROR(INDEX(PP_Grid[#Data],$DD133,70),0)</f>
        <v/>
      </c>
      <c r="BU133">
        <f>IFERROR(INDEX(PP_Grid[#Data],$DD133,71),0)</f>
        <v/>
      </c>
      <c r="BV133">
        <f>IFERROR(INDEX(PP_Grid[#Data],$DD133,72),0)</f>
        <v/>
      </c>
      <c r="BW133">
        <f>IFERROR(INDEX(PP_Grid[#Data],$DD133,73),0)</f>
        <v/>
      </c>
      <c r="BX133">
        <f>IFERROR(INDEX(PP_Grid[#Data],$DD133,74),0)</f>
        <v/>
      </c>
      <c r="BY133">
        <f>IFERROR(INDEX(PP_Grid[#Data],$DD133,75),0)</f>
        <v/>
      </c>
      <c r="BZ133">
        <f>IFERROR(INDEX(PP_Grid[#Data],$DD133,76),0)</f>
        <v/>
      </c>
      <c r="CA133">
        <f>IFERROR(INDEX(PP_Grid[#Data],$DD133,77),0)</f>
        <v/>
      </c>
      <c r="CB133">
        <f>IFERROR(INDEX(PP_Grid[#Data],$DD133,78),0)</f>
        <v/>
      </c>
      <c r="CC133">
        <f>IFERROR(INDEX(PP_Grid[#Data],$DD133,79),0)</f>
        <v/>
      </c>
      <c r="CD133">
        <f>IFERROR(INDEX(PP_Grid[#Data],$DD133,80),0)</f>
        <v/>
      </c>
      <c r="CE133">
        <f>IFERROR(INDEX(PP_Grid[#Data],$DD133,81),0)</f>
        <v/>
      </c>
      <c r="CF133">
        <f>IFERROR(INDEX(PP_Grid[#Data],$DD133,82),0)</f>
        <v/>
      </c>
      <c r="CG133">
        <f>IFERROR(INDEX(PP_Grid[#Data],$DD133,83),0)</f>
        <v/>
      </c>
      <c r="CH133">
        <f>IFERROR(INDEX(PP_Grid[#Data],$DD133,84),0)</f>
        <v/>
      </c>
      <c r="CI133">
        <f>IFERROR(INDEX(PP_Grid[#Data],$DD133,85),0)</f>
        <v/>
      </c>
      <c r="CJ133">
        <f>IFERROR(INDEX(PP_Grid[#Data],$DD133,86),0)</f>
        <v/>
      </c>
      <c r="CK133">
        <f>IFERROR(INDEX(PP_Grid[#Data],$DD133,87),0)</f>
        <v/>
      </c>
      <c r="CL133">
        <f>IFERROR(INDEX(PP_Grid[#Data],$DD133,88),0)</f>
        <v/>
      </c>
      <c r="CM133">
        <f>IFERROR(INDEX(PP_Grid[#Data],$DD133,89),0)</f>
        <v/>
      </c>
      <c r="CN133">
        <f>IFERROR(INDEX(PP_Grid[#Data],$DD133,90),0)</f>
        <v/>
      </c>
      <c r="CO133">
        <f>IFERROR(INDEX(PP_Grid[#Data],$DD133,91),0)</f>
        <v/>
      </c>
      <c r="CP133">
        <f>IFERROR(INDEX(PP_Grid[#Data],$DD133,92),0)</f>
        <v/>
      </c>
      <c r="CQ133">
        <f>IFERROR(INDEX(PP_Grid[#Data],$DD133,93),0)</f>
        <v/>
      </c>
      <c r="CR133">
        <f>IFERROR(INDEX(PP_Grid[#Data],$DD133,94),0)</f>
        <v/>
      </c>
      <c r="CS133">
        <f>IFERROR(INDEX(PP_Grid[#Data],$DD133,95),0)</f>
        <v/>
      </c>
      <c r="CT133">
        <f>IFERROR(INDEX(PP_Grid[#Data],$DD133,96),0)</f>
        <v/>
      </c>
      <c r="CU133">
        <f>IFERROR(INDEX(PP_Grid[#Data],$DD133,97),0)</f>
        <v/>
      </c>
      <c r="CV133">
        <f>IFERROR(INDEX(PP_Grid[#Data],$DD133,98),0)</f>
        <v/>
      </c>
      <c r="CW133">
        <f>IFERROR(INDEX(PP_Grid[#Data],$DD133,99),0)</f>
        <v/>
      </c>
      <c r="CX133">
        <f>IFERROR(INDEX(PP_Grid[#Data],$DD133,100),0)</f>
        <v/>
      </c>
      <c r="CY133">
        <f>IFERROR(INDEX(PP_Grid[#Data],$DD133,101),0)</f>
        <v/>
      </c>
      <c r="CZ133">
        <f>IFERROR(INDEX(PP_Grid[#Data],$DD133,102),0)</f>
        <v/>
      </c>
      <c r="DA133">
        <f>IFERROR(INDEX(PP_Grid[#Data],$DD133,103),0)</f>
        <v/>
      </c>
      <c r="DB133">
        <f>IFERROR(INDEX(PP_Grid[#Data],$DD133,104),0)</f>
        <v/>
      </c>
      <c r="DC133">
        <f>IFERROR(INDEX(PP_Grid[#Data],$DD133,105),0)</f>
        <v/>
      </c>
      <c r="DD133" s="7">
        <f>IFERROR(MATCH($B133,PP_Grid[Intermediate],0),99999)</f>
        <v/>
      </c>
    </row>
    <row r="134">
      <c r="B134" t="inlineStr">
        <is>
          <t>使用量(kg)</t>
        </is>
      </c>
      <c r="C134">
        <f>SUMIFS(M_BOM[RM_Qty_Per_Batch],M_BOM[Intermediate],$B133,M_BOM[Part Name],$A44)</f>
        <v/>
      </c>
      <c r="D134">
        <f>$C134*D133</f>
        <v/>
      </c>
      <c r="E134">
        <f>$C134*E133</f>
        <v/>
      </c>
      <c r="F134">
        <f>$C134*F133</f>
        <v/>
      </c>
      <c r="G134">
        <f>$C134*G133</f>
        <v/>
      </c>
      <c r="H134">
        <f>$C134*H133</f>
        <v/>
      </c>
      <c r="I134">
        <f>$C134*I133</f>
        <v/>
      </c>
      <c r="J134">
        <f>$C134*J133</f>
        <v/>
      </c>
      <c r="K134">
        <f>$C134*K133</f>
        <v/>
      </c>
      <c r="L134">
        <f>$C134*L133</f>
        <v/>
      </c>
      <c r="M134">
        <f>$C134*M133</f>
        <v/>
      </c>
      <c r="N134">
        <f>$C134*N133</f>
        <v/>
      </c>
      <c r="O134">
        <f>$C134*O133</f>
        <v/>
      </c>
      <c r="P134">
        <f>$C134*P133</f>
        <v/>
      </c>
      <c r="Q134">
        <f>$C134*Q133</f>
        <v/>
      </c>
      <c r="R134">
        <f>$C134*R133</f>
        <v/>
      </c>
      <c r="S134">
        <f>$C134*S133</f>
        <v/>
      </c>
      <c r="T134">
        <f>$C134*T133</f>
        <v/>
      </c>
      <c r="U134">
        <f>$C134*U133</f>
        <v/>
      </c>
      <c r="V134">
        <f>$C134*V133</f>
        <v/>
      </c>
      <c r="W134">
        <f>$C134*W133</f>
        <v/>
      </c>
      <c r="X134">
        <f>$C134*X133</f>
        <v/>
      </c>
      <c r="Y134">
        <f>$C134*Y133</f>
        <v/>
      </c>
      <c r="Z134">
        <f>$C134*Z133</f>
        <v/>
      </c>
      <c r="AA134">
        <f>$C134*AA133</f>
        <v/>
      </c>
      <c r="AB134">
        <f>$C134*AB133</f>
        <v/>
      </c>
      <c r="AC134">
        <f>$C134*AC133</f>
        <v/>
      </c>
      <c r="AD134">
        <f>$C134*AD133</f>
        <v/>
      </c>
      <c r="AE134">
        <f>$C134*AE133</f>
        <v/>
      </c>
      <c r="AF134">
        <f>$C134*AF133</f>
        <v/>
      </c>
      <c r="AG134">
        <f>$C134*AG133</f>
        <v/>
      </c>
      <c r="AH134">
        <f>$C134*AH133</f>
        <v/>
      </c>
      <c r="AI134">
        <f>$C134*AI133</f>
        <v/>
      </c>
      <c r="AJ134">
        <f>$C134*AJ133</f>
        <v/>
      </c>
      <c r="AK134">
        <f>$C134*AK133</f>
        <v/>
      </c>
      <c r="AL134">
        <f>$C134*AL133</f>
        <v/>
      </c>
      <c r="AM134">
        <f>$C134*AM133</f>
        <v/>
      </c>
      <c r="AN134">
        <f>$C134*AN133</f>
        <v/>
      </c>
      <c r="AO134">
        <f>$C134*AO133</f>
        <v/>
      </c>
      <c r="AP134">
        <f>$C134*AP133</f>
        <v/>
      </c>
      <c r="AQ134">
        <f>$C134*AQ133</f>
        <v/>
      </c>
      <c r="AR134">
        <f>$C134*AR133</f>
        <v/>
      </c>
      <c r="AS134">
        <f>$C134*AS133</f>
        <v/>
      </c>
      <c r="AT134">
        <f>$C134*AT133</f>
        <v/>
      </c>
      <c r="AU134">
        <f>$C134*AU133</f>
        <v/>
      </c>
      <c r="AV134">
        <f>$C134*AV133</f>
        <v/>
      </c>
      <c r="AW134">
        <f>$C134*AW133</f>
        <v/>
      </c>
      <c r="AX134">
        <f>$C134*AX133</f>
        <v/>
      </c>
      <c r="AY134">
        <f>$C134*AY133</f>
        <v/>
      </c>
      <c r="AZ134">
        <f>$C134*AZ133</f>
        <v/>
      </c>
      <c r="BA134">
        <f>$C134*BA133</f>
        <v/>
      </c>
      <c r="BB134">
        <f>$C134*BB133</f>
        <v/>
      </c>
      <c r="BC134">
        <f>$C134*BC133</f>
        <v/>
      </c>
      <c r="BD134">
        <f>$C134*BD133</f>
        <v/>
      </c>
      <c r="BE134">
        <f>$C134*BE133</f>
        <v/>
      </c>
      <c r="BF134">
        <f>$C134*BF133</f>
        <v/>
      </c>
      <c r="BG134">
        <f>$C134*BG133</f>
        <v/>
      </c>
      <c r="BH134">
        <f>$C134*BH133</f>
        <v/>
      </c>
      <c r="BI134">
        <f>$C134*BI133</f>
        <v/>
      </c>
      <c r="BJ134">
        <f>$C134*BJ133</f>
        <v/>
      </c>
      <c r="BK134">
        <f>$C134*BK133</f>
        <v/>
      </c>
      <c r="BL134">
        <f>$C134*BL133</f>
        <v/>
      </c>
      <c r="BM134">
        <f>$C134*BM133</f>
        <v/>
      </c>
      <c r="BN134">
        <f>$C134*BN133</f>
        <v/>
      </c>
      <c r="BO134">
        <f>$C134*BO133</f>
        <v/>
      </c>
      <c r="BP134">
        <f>$C134*BP133</f>
        <v/>
      </c>
      <c r="BQ134">
        <f>$C134*BQ133</f>
        <v/>
      </c>
      <c r="BR134">
        <f>$C134*BR133</f>
        <v/>
      </c>
      <c r="BS134">
        <f>$C134*BS133</f>
        <v/>
      </c>
      <c r="BT134">
        <f>$C134*BT133</f>
        <v/>
      </c>
      <c r="BU134">
        <f>$C134*BU133</f>
        <v/>
      </c>
      <c r="BV134">
        <f>$C134*BV133</f>
        <v/>
      </c>
      <c r="BW134">
        <f>$C134*BW133</f>
        <v/>
      </c>
      <c r="BX134">
        <f>$C134*BX133</f>
        <v/>
      </c>
      <c r="BY134">
        <f>$C134*BY133</f>
        <v/>
      </c>
      <c r="BZ134">
        <f>$C134*BZ133</f>
        <v/>
      </c>
      <c r="CA134">
        <f>$C134*CA133</f>
        <v/>
      </c>
      <c r="CB134">
        <f>$C134*CB133</f>
        <v/>
      </c>
      <c r="CC134">
        <f>$C134*CC133</f>
        <v/>
      </c>
      <c r="CD134">
        <f>$C134*CD133</f>
        <v/>
      </c>
      <c r="CE134">
        <f>$C134*CE133</f>
        <v/>
      </c>
      <c r="CF134">
        <f>$C134*CF133</f>
        <v/>
      </c>
      <c r="CG134">
        <f>$C134*CG133</f>
        <v/>
      </c>
      <c r="CH134">
        <f>$C134*CH133</f>
        <v/>
      </c>
      <c r="CI134">
        <f>$C134*CI133</f>
        <v/>
      </c>
      <c r="CJ134">
        <f>$C134*CJ133</f>
        <v/>
      </c>
      <c r="CK134">
        <f>$C134*CK133</f>
        <v/>
      </c>
      <c r="CL134">
        <f>$C134*CL133</f>
        <v/>
      </c>
      <c r="CM134">
        <f>$C134*CM133</f>
        <v/>
      </c>
      <c r="CN134">
        <f>$C134*CN133</f>
        <v/>
      </c>
      <c r="CO134">
        <f>$C134*CO133</f>
        <v/>
      </c>
      <c r="CP134">
        <f>$C134*CP133</f>
        <v/>
      </c>
      <c r="CQ134">
        <f>$C134*CQ133</f>
        <v/>
      </c>
      <c r="CR134">
        <f>$C134*CR133</f>
        <v/>
      </c>
      <c r="CS134">
        <f>$C134*CS133</f>
        <v/>
      </c>
      <c r="CT134">
        <f>$C134*CT133</f>
        <v/>
      </c>
      <c r="CU134">
        <f>$C134*CU133</f>
        <v/>
      </c>
      <c r="CV134">
        <f>$C134*CV133</f>
        <v/>
      </c>
      <c r="CW134">
        <f>$C134*CW133</f>
        <v/>
      </c>
      <c r="CX134">
        <f>$C134*CX133</f>
        <v/>
      </c>
      <c r="CY134">
        <f>$C134*CY133</f>
        <v/>
      </c>
      <c r="CZ134">
        <f>$C134*CZ133</f>
        <v/>
      </c>
      <c r="DA134">
        <f>$C134*DA133</f>
        <v/>
      </c>
      <c r="DB134">
        <f>$C134*DB133</f>
        <v/>
      </c>
      <c r="DC134">
        <f>$C134*DC133</f>
        <v/>
      </c>
    </row>
    <row r="135">
      <c r="B135" t="inlineStr">
        <is>
          <t>TSP-930</t>
        </is>
      </c>
      <c r="C135" t="inlineStr">
        <is>
          <t>No. of batches</t>
        </is>
      </c>
      <c r="D135">
        <f>IFERROR(INDEX(PP_Grid[#Data],$DD135,2),0)</f>
        <v/>
      </c>
      <c r="E135">
        <f>IFERROR(INDEX(PP_Grid[#Data],$DD135,3),0)</f>
        <v/>
      </c>
      <c r="F135">
        <f>IFERROR(INDEX(PP_Grid[#Data],$DD135,4),0)</f>
        <v/>
      </c>
      <c r="G135">
        <f>IFERROR(INDEX(PP_Grid[#Data],$DD135,5),0)</f>
        <v/>
      </c>
      <c r="H135">
        <f>IFERROR(INDEX(PP_Grid[#Data],$DD135,6),0)</f>
        <v/>
      </c>
      <c r="I135">
        <f>IFERROR(INDEX(PP_Grid[#Data],$DD135,7),0)</f>
        <v/>
      </c>
      <c r="J135">
        <f>IFERROR(INDEX(PP_Grid[#Data],$DD135,8),0)</f>
        <v/>
      </c>
      <c r="K135">
        <f>IFERROR(INDEX(PP_Grid[#Data],$DD135,9),0)</f>
        <v/>
      </c>
      <c r="L135">
        <f>IFERROR(INDEX(PP_Grid[#Data],$DD135,10),0)</f>
        <v/>
      </c>
      <c r="M135">
        <f>IFERROR(INDEX(PP_Grid[#Data],$DD135,11),0)</f>
        <v/>
      </c>
      <c r="N135">
        <f>IFERROR(INDEX(PP_Grid[#Data],$DD135,12),0)</f>
        <v/>
      </c>
      <c r="O135">
        <f>IFERROR(INDEX(PP_Grid[#Data],$DD135,13),0)</f>
        <v/>
      </c>
      <c r="P135">
        <f>IFERROR(INDEX(PP_Grid[#Data],$DD135,14),0)</f>
        <v/>
      </c>
      <c r="Q135">
        <f>IFERROR(INDEX(PP_Grid[#Data],$DD135,15),0)</f>
        <v/>
      </c>
      <c r="R135">
        <f>IFERROR(INDEX(PP_Grid[#Data],$DD135,16),0)</f>
        <v/>
      </c>
      <c r="S135">
        <f>IFERROR(INDEX(PP_Grid[#Data],$DD135,17),0)</f>
        <v/>
      </c>
      <c r="T135">
        <f>IFERROR(INDEX(PP_Grid[#Data],$DD135,18),0)</f>
        <v/>
      </c>
      <c r="U135">
        <f>IFERROR(INDEX(PP_Grid[#Data],$DD135,19),0)</f>
        <v/>
      </c>
      <c r="V135">
        <f>IFERROR(INDEX(PP_Grid[#Data],$DD135,20),0)</f>
        <v/>
      </c>
      <c r="W135">
        <f>IFERROR(INDEX(PP_Grid[#Data],$DD135,21),0)</f>
        <v/>
      </c>
      <c r="X135">
        <f>IFERROR(INDEX(PP_Grid[#Data],$DD135,22),0)</f>
        <v/>
      </c>
      <c r="Y135">
        <f>IFERROR(INDEX(PP_Grid[#Data],$DD135,23),0)</f>
        <v/>
      </c>
      <c r="Z135">
        <f>IFERROR(INDEX(PP_Grid[#Data],$DD135,24),0)</f>
        <v/>
      </c>
      <c r="AA135">
        <f>IFERROR(INDEX(PP_Grid[#Data],$DD135,25),0)</f>
        <v/>
      </c>
      <c r="AB135">
        <f>IFERROR(INDEX(PP_Grid[#Data],$DD135,26),0)</f>
        <v/>
      </c>
      <c r="AC135">
        <f>IFERROR(INDEX(PP_Grid[#Data],$DD135,27),0)</f>
        <v/>
      </c>
      <c r="AD135">
        <f>IFERROR(INDEX(PP_Grid[#Data],$DD135,28),0)</f>
        <v/>
      </c>
      <c r="AE135">
        <f>IFERROR(INDEX(PP_Grid[#Data],$DD135,29),0)</f>
        <v/>
      </c>
      <c r="AF135">
        <f>IFERROR(INDEX(PP_Grid[#Data],$DD135,30),0)</f>
        <v/>
      </c>
      <c r="AG135">
        <f>IFERROR(INDEX(PP_Grid[#Data],$DD135,31),0)</f>
        <v/>
      </c>
      <c r="AH135">
        <f>IFERROR(INDEX(PP_Grid[#Data],$DD135,32),0)</f>
        <v/>
      </c>
      <c r="AI135">
        <f>IFERROR(INDEX(PP_Grid[#Data],$DD135,33),0)</f>
        <v/>
      </c>
      <c r="AJ135">
        <f>IFERROR(INDEX(PP_Grid[#Data],$DD135,34),0)</f>
        <v/>
      </c>
      <c r="AK135">
        <f>IFERROR(INDEX(PP_Grid[#Data],$DD135,35),0)</f>
        <v/>
      </c>
      <c r="AL135">
        <f>IFERROR(INDEX(PP_Grid[#Data],$DD135,36),0)</f>
        <v/>
      </c>
      <c r="AM135">
        <f>IFERROR(INDEX(PP_Grid[#Data],$DD135,37),0)</f>
        <v/>
      </c>
      <c r="AN135">
        <f>IFERROR(INDEX(PP_Grid[#Data],$DD135,38),0)</f>
        <v/>
      </c>
      <c r="AO135">
        <f>IFERROR(INDEX(PP_Grid[#Data],$DD135,39),0)</f>
        <v/>
      </c>
      <c r="AP135">
        <f>IFERROR(INDEX(PP_Grid[#Data],$DD135,40),0)</f>
        <v/>
      </c>
      <c r="AQ135">
        <f>IFERROR(INDEX(PP_Grid[#Data],$DD135,41),0)</f>
        <v/>
      </c>
      <c r="AR135">
        <f>IFERROR(INDEX(PP_Grid[#Data],$DD135,42),0)</f>
        <v/>
      </c>
      <c r="AS135">
        <f>IFERROR(INDEX(PP_Grid[#Data],$DD135,43),0)</f>
        <v/>
      </c>
      <c r="AT135">
        <f>IFERROR(INDEX(PP_Grid[#Data],$DD135,44),0)</f>
        <v/>
      </c>
      <c r="AU135">
        <f>IFERROR(INDEX(PP_Grid[#Data],$DD135,45),0)</f>
        <v/>
      </c>
      <c r="AV135">
        <f>IFERROR(INDEX(PP_Grid[#Data],$DD135,46),0)</f>
        <v/>
      </c>
      <c r="AW135">
        <f>IFERROR(INDEX(PP_Grid[#Data],$DD135,47),0)</f>
        <v/>
      </c>
      <c r="AX135">
        <f>IFERROR(INDEX(PP_Grid[#Data],$DD135,48),0)</f>
        <v/>
      </c>
      <c r="AY135">
        <f>IFERROR(INDEX(PP_Grid[#Data],$DD135,49),0)</f>
        <v/>
      </c>
      <c r="AZ135">
        <f>IFERROR(INDEX(PP_Grid[#Data],$DD135,50),0)</f>
        <v/>
      </c>
      <c r="BA135">
        <f>IFERROR(INDEX(PP_Grid[#Data],$DD135,51),0)</f>
        <v/>
      </c>
      <c r="BB135">
        <f>IFERROR(INDEX(PP_Grid[#Data],$DD135,52),0)</f>
        <v/>
      </c>
      <c r="BC135">
        <f>IFERROR(INDEX(PP_Grid[#Data],$DD135,53),0)</f>
        <v/>
      </c>
      <c r="BD135">
        <f>IFERROR(INDEX(PP_Grid[#Data],$DD135,54),0)</f>
        <v/>
      </c>
      <c r="BE135">
        <f>IFERROR(INDEX(PP_Grid[#Data],$DD135,55),0)</f>
        <v/>
      </c>
      <c r="BF135">
        <f>IFERROR(INDEX(PP_Grid[#Data],$DD135,56),0)</f>
        <v/>
      </c>
      <c r="BG135">
        <f>IFERROR(INDEX(PP_Grid[#Data],$DD135,57),0)</f>
        <v/>
      </c>
      <c r="BH135">
        <f>IFERROR(INDEX(PP_Grid[#Data],$DD135,58),0)</f>
        <v/>
      </c>
      <c r="BI135">
        <f>IFERROR(INDEX(PP_Grid[#Data],$DD135,59),0)</f>
        <v/>
      </c>
      <c r="BJ135">
        <f>IFERROR(INDEX(PP_Grid[#Data],$DD135,60),0)</f>
        <v/>
      </c>
      <c r="BK135">
        <f>IFERROR(INDEX(PP_Grid[#Data],$DD135,61),0)</f>
        <v/>
      </c>
      <c r="BL135">
        <f>IFERROR(INDEX(PP_Grid[#Data],$DD135,62),0)</f>
        <v/>
      </c>
      <c r="BM135">
        <f>IFERROR(INDEX(PP_Grid[#Data],$DD135,63),0)</f>
        <v/>
      </c>
      <c r="BN135">
        <f>IFERROR(INDEX(PP_Grid[#Data],$DD135,64),0)</f>
        <v/>
      </c>
      <c r="BO135">
        <f>IFERROR(INDEX(PP_Grid[#Data],$DD135,65),0)</f>
        <v/>
      </c>
      <c r="BP135">
        <f>IFERROR(INDEX(PP_Grid[#Data],$DD135,66),0)</f>
        <v/>
      </c>
      <c r="BQ135">
        <f>IFERROR(INDEX(PP_Grid[#Data],$DD135,67),0)</f>
        <v/>
      </c>
      <c r="BR135">
        <f>IFERROR(INDEX(PP_Grid[#Data],$DD135,68),0)</f>
        <v/>
      </c>
      <c r="BS135">
        <f>IFERROR(INDEX(PP_Grid[#Data],$DD135,69),0)</f>
        <v/>
      </c>
      <c r="BT135">
        <f>IFERROR(INDEX(PP_Grid[#Data],$DD135,70),0)</f>
        <v/>
      </c>
      <c r="BU135">
        <f>IFERROR(INDEX(PP_Grid[#Data],$DD135,71),0)</f>
        <v/>
      </c>
      <c r="BV135">
        <f>IFERROR(INDEX(PP_Grid[#Data],$DD135,72),0)</f>
        <v/>
      </c>
      <c r="BW135">
        <f>IFERROR(INDEX(PP_Grid[#Data],$DD135,73),0)</f>
        <v/>
      </c>
      <c r="BX135">
        <f>IFERROR(INDEX(PP_Grid[#Data],$DD135,74),0)</f>
        <v/>
      </c>
      <c r="BY135">
        <f>IFERROR(INDEX(PP_Grid[#Data],$DD135,75),0)</f>
        <v/>
      </c>
      <c r="BZ135">
        <f>IFERROR(INDEX(PP_Grid[#Data],$DD135,76),0)</f>
        <v/>
      </c>
      <c r="CA135">
        <f>IFERROR(INDEX(PP_Grid[#Data],$DD135,77),0)</f>
        <v/>
      </c>
      <c r="CB135">
        <f>IFERROR(INDEX(PP_Grid[#Data],$DD135,78),0)</f>
        <v/>
      </c>
      <c r="CC135">
        <f>IFERROR(INDEX(PP_Grid[#Data],$DD135,79),0)</f>
        <v/>
      </c>
      <c r="CD135">
        <f>IFERROR(INDEX(PP_Grid[#Data],$DD135,80),0)</f>
        <v/>
      </c>
      <c r="CE135">
        <f>IFERROR(INDEX(PP_Grid[#Data],$DD135,81),0)</f>
        <v/>
      </c>
      <c r="CF135">
        <f>IFERROR(INDEX(PP_Grid[#Data],$DD135,82),0)</f>
        <v/>
      </c>
      <c r="CG135">
        <f>IFERROR(INDEX(PP_Grid[#Data],$DD135,83),0)</f>
        <v/>
      </c>
      <c r="CH135">
        <f>IFERROR(INDEX(PP_Grid[#Data],$DD135,84),0)</f>
        <v/>
      </c>
      <c r="CI135">
        <f>IFERROR(INDEX(PP_Grid[#Data],$DD135,85),0)</f>
        <v/>
      </c>
      <c r="CJ135">
        <f>IFERROR(INDEX(PP_Grid[#Data],$DD135,86),0)</f>
        <v/>
      </c>
      <c r="CK135">
        <f>IFERROR(INDEX(PP_Grid[#Data],$DD135,87),0)</f>
        <v/>
      </c>
      <c r="CL135">
        <f>IFERROR(INDEX(PP_Grid[#Data],$DD135,88),0)</f>
        <v/>
      </c>
      <c r="CM135">
        <f>IFERROR(INDEX(PP_Grid[#Data],$DD135,89),0)</f>
        <v/>
      </c>
      <c r="CN135">
        <f>IFERROR(INDEX(PP_Grid[#Data],$DD135,90),0)</f>
        <v/>
      </c>
      <c r="CO135">
        <f>IFERROR(INDEX(PP_Grid[#Data],$DD135,91),0)</f>
        <v/>
      </c>
      <c r="CP135">
        <f>IFERROR(INDEX(PP_Grid[#Data],$DD135,92),0)</f>
        <v/>
      </c>
      <c r="CQ135">
        <f>IFERROR(INDEX(PP_Grid[#Data],$DD135,93),0)</f>
        <v/>
      </c>
      <c r="CR135">
        <f>IFERROR(INDEX(PP_Grid[#Data],$DD135,94),0)</f>
        <v/>
      </c>
      <c r="CS135">
        <f>IFERROR(INDEX(PP_Grid[#Data],$DD135,95),0)</f>
        <v/>
      </c>
      <c r="CT135">
        <f>IFERROR(INDEX(PP_Grid[#Data],$DD135,96),0)</f>
        <v/>
      </c>
      <c r="CU135">
        <f>IFERROR(INDEX(PP_Grid[#Data],$DD135,97),0)</f>
        <v/>
      </c>
      <c r="CV135">
        <f>IFERROR(INDEX(PP_Grid[#Data],$DD135,98),0)</f>
        <v/>
      </c>
      <c r="CW135">
        <f>IFERROR(INDEX(PP_Grid[#Data],$DD135,99),0)</f>
        <v/>
      </c>
      <c r="CX135">
        <f>IFERROR(INDEX(PP_Grid[#Data],$DD135,100),0)</f>
        <v/>
      </c>
      <c r="CY135">
        <f>IFERROR(INDEX(PP_Grid[#Data],$DD135,101),0)</f>
        <v/>
      </c>
      <c r="CZ135">
        <f>IFERROR(INDEX(PP_Grid[#Data],$DD135,102),0)</f>
        <v/>
      </c>
      <c r="DA135">
        <f>IFERROR(INDEX(PP_Grid[#Data],$DD135,103),0)</f>
        <v/>
      </c>
      <c r="DB135">
        <f>IFERROR(INDEX(PP_Grid[#Data],$DD135,104),0)</f>
        <v/>
      </c>
      <c r="DC135">
        <f>IFERROR(INDEX(PP_Grid[#Data],$DD135,105),0)</f>
        <v/>
      </c>
      <c r="DD135" s="7">
        <f>IFERROR(MATCH($B135,PP_Grid[Intermediate],0),99999)</f>
        <v/>
      </c>
    </row>
    <row r="136">
      <c r="B136" t="inlineStr">
        <is>
          <t>使用量(kg)</t>
        </is>
      </c>
      <c r="C136">
        <f>SUMIFS(M_BOM[RM_Qty_Per_Batch],M_BOM[Intermediate],$B135,M_BOM[Part Name],$A44)</f>
        <v/>
      </c>
      <c r="D136">
        <f>$C136*D135</f>
        <v/>
      </c>
      <c r="E136">
        <f>$C136*E135</f>
        <v/>
      </c>
      <c r="F136">
        <f>$C136*F135</f>
        <v/>
      </c>
      <c r="G136">
        <f>$C136*G135</f>
        <v/>
      </c>
      <c r="H136">
        <f>$C136*H135</f>
        <v/>
      </c>
      <c r="I136">
        <f>$C136*I135</f>
        <v/>
      </c>
      <c r="J136">
        <f>$C136*J135</f>
        <v/>
      </c>
      <c r="K136">
        <f>$C136*K135</f>
        <v/>
      </c>
      <c r="L136">
        <f>$C136*L135</f>
        <v/>
      </c>
      <c r="M136">
        <f>$C136*M135</f>
        <v/>
      </c>
      <c r="N136">
        <f>$C136*N135</f>
        <v/>
      </c>
      <c r="O136">
        <f>$C136*O135</f>
        <v/>
      </c>
      <c r="P136">
        <f>$C136*P135</f>
        <v/>
      </c>
      <c r="Q136">
        <f>$C136*Q135</f>
        <v/>
      </c>
      <c r="R136">
        <f>$C136*R135</f>
        <v/>
      </c>
      <c r="S136">
        <f>$C136*S135</f>
        <v/>
      </c>
      <c r="T136">
        <f>$C136*T135</f>
        <v/>
      </c>
      <c r="U136">
        <f>$C136*U135</f>
        <v/>
      </c>
      <c r="V136">
        <f>$C136*V135</f>
        <v/>
      </c>
      <c r="W136">
        <f>$C136*W135</f>
        <v/>
      </c>
      <c r="X136">
        <f>$C136*X135</f>
        <v/>
      </c>
      <c r="Y136">
        <f>$C136*Y135</f>
        <v/>
      </c>
      <c r="Z136">
        <f>$C136*Z135</f>
        <v/>
      </c>
      <c r="AA136">
        <f>$C136*AA135</f>
        <v/>
      </c>
      <c r="AB136">
        <f>$C136*AB135</f>
        <v/>
      </c>
      <c r="AC136">
        <f>$C136*AC135</f>
        <v/>
      </c>
      <c r="AD136">
        <f>$C136*AD135</f>
        <v/>
      </c>
      <c r="AE136">
        <f>$C136*AE135</f>
        <v/>
      </c>
      <c r="AF136">
        <f>$C136*AF135</f>
        <v/>
      </c>
      <c r="AG136">
        <f>$C136*AG135</f>
        <v/>
      </c>
      <c r="AH136">
        <f>$C136*AH135</f>
        <v/>
      </c>
      <c r="AI136">
        <f>$C136*AI135</f>
        <v/>
      </c>
      <c r="AJ136">
        <f>$C136*AJ135</f>
        <v/>
      </c>
      <c r="AK136">
        <f>$C136*AK135</f>
        <v/>
      </c>
      <c r="AL136">
        <f>$C136*AL135</f>
        <v/>
      </c>
      <c r="AM136">
        <f>$C136*AM135</f>
        <v/>
      </c>
      <c r="AN136">
        <f>$C136*AN135</f>
        <v/>
      </c>
      <c r="AO136">
        <f>$C136*AO135</f>
        <v/>
      </c>
      <c r="AP136">
        <f>$C136*AP135</f>
        <v/>
      </c>
      <c r="AQ136">
        <f>$C136*AQ135</f>
        <v/>
      </c>
      <c r="AR136">
        <f>$C136*AR135</f>
        <v/>
      </c>
      <c r="AS136">
        <f>$C136*AS135</f>
        <v/>
      </c>
      <c r="AT136">
        <f>$C136*AT135</f>
        <v/>
      </c>
      <c r="AU136">
        <f>$C136*AU135</f>
        <v/>
      </c>
      <c r="AV136">
        <f>$C136*AV135</f>
        <v/>
      </c>
      <c r="AW136">
        <f>$C136*AW135</f>
        <v/>
      </c>
      <c r="AX136">
        <f>$C136*AX135</f>
        <v/>
      </c>
      <c r="AY136">
        <f>$C136*AY135</f>
        <v/>
      </c>
      <c r="AZ136">
        <f>$C136*AZ135</f>
        <v/>
      </c>
      <c r="BA136">
        <f>$C136*BA135</f>
        <v/>
      </c>
      <c r="BB136">
        <f>$C136*BB135</f>
        <v/>
      </c>
      <c r="BC136">
        <f>$C136*BC135</f>
        <v/>
      </c>
      <c r="BD136">
        <f>$C136*BD135</f>
        <v/>
      </c>
      <c r="BE136">
        <f>$C136*BE135</f>
        <v/>
      </c>
      <c r="BF136">
        <f>$C136*BF135</f>
        <v/>
      </c>
      <c r="BG136">
        <f>$C136*BG135</f>
        <v/>
      </c>
      <c r="BH136">
        <f>$C136*BH135</f>
        <v/>
      </c>
      <c r="BI136">
        <f>$C136*BI135</f>
        <v/>
      </c>
      <c r="BJ136">
        <f>$C136*BJ135</f>
        <v/>
      </c>
      <c r="BK136">
        <f>$C136*BK135</f>
        <v/>
      </c>
      <c r="BL136">
        <f>$C136*BL135</f>
        <v/>
      </c>
      <c r="BM136">
        <f>$C136*BM135</f>
        <v/>
      </c>
      <c r="BN136">
        <f>$C136*BN135</f>
        <v/>
      </c>
      <c r="BO136">
        <f>$C136*BO135</f>
        <v/>
      </c>
      <c r="BP136">
        <f>$C136*BP135</f>
        <v/>
      </c>
      <c r="BQ136">
        <f>$C136*BQ135</f>
        <v/>
      </c>
      <c r="BR136">
        <f>$C136*BR135</f>
        <v/>
      </c>
      <c r="BS136">
        <f>$C136*BS135</f>
        <v/>
      </c>
      <c r="BT136">
        <f>$C136*BT135</f>
        <v/>
      </c>
      <c r="BU136">
        <f>$C136*BU135</f>
        <v/>
      </c>
      <c r="BV136">
        <f>$C136*BV135</f>
        <v/>
      </c>
      <c r="BW136">
        <f>$C136*BW135</f>
        <v/>
      </c>
      <c r="BX136">
        <f>$C136*BX135</f>
        <v/>
      </c>
      <c r="BY136">
        <f>$C136*BY135</f>
        <v/>
      </c>
      <c r="BZ136">
        <f>$C136*BZ135</f>
        <v/>
      </c>
      <c r="CA136">
        <f>$C136*CA135</f>
        <v/>
      </c>
      <c r="CB136">
        <f>$C136*CB135</f>
        <v/>
      </c>
      <c r="CC136">
        <f>$C136*CC135</f>
        <v/>
      </c>
      <c r="CD136">
        <f>$C136*CD135</f>
        <v/>
      </c>
      <c r="CE136">
        <f>$C136*CE135</f>
        <v/>
      </c>
      <c r="CF136">
        <f>$C136*CF135</f>
        <v/>
      </c>
      <c r="CG136">
        <f>$C136*CG135</f>
        <v/>
      </c>
      <c r="CH136">
        <f>$C136*CH135</f>
        <v/>
      </c>
      <c r="CI136">
        <f>$C136*CI135</f>
        <v/>
      </c>
      <c r="CJ136">
        <f>$C136*CJ135</f>
        <v/>
      </c>
      <c r="CK136">
        <f>$C136*CK135</f>
        <v/>
      </c>
      <c r="CL136">
        <f>$C136*CL135</f>
        <v/>
      </c>
      <c r="CM136">
        <f>$C136*CM135</f>
        <v/>
      </c>
      <c r="CN136">
        <f>$C136*CN135</f>
        <v/>
      </c>
      <c r="CO136">
        <f>$C136*CO135</f>
        <v/>
      </c>
      <c r="CP136">
        <f>$C136*CP135</f>
        <v/>
      </c>
      <c r="CQ136">
        <f>$C136*CQ135</f>
        <v/>
      </c>
      <c r="CR136">
        <f>$C136*CR135</f>
        <v/>
      </c>
      <c r="CS136">
        <f>$C136*CS135</f>
        <v/>
      </c>
      <c r="CT136">
        <f>$C136*CT135</f>
        <v/>
      </c>
      <c r="CU136">
        <f>$C136*CU135</f>
        <v/>
      </c>
      <c r="CV136">
        <f>$C136*CV135</f>
        <v/>
      </c>
      <c r="CW136">
        <f>$C136*CW135</f>
        <v/>
      </c>
      <c r="CX136">
        <f>$C136*CX135</f>
        <v/>
      </c>
      <c r="CY136">
        <f>$C136*CY135</f>
        <v/>
      </c>
      <c r="CZ136">
        <f>$C136*CZ135</f>
        <v/>
      </c>
      <c r="DA136">
        <f>$C136*DA135</f>
        <v/>
      </c>
      <c r="DB136">
        <f>$C136*DB135</f>
        <v/>
      </c>
      <c r="DC136">
        <f>$C136*DC135</f>
        <v/>
      </c>
    </row>
    <row r="137">
      <c r="B137" t="inlineStr">
        <is>
          <t>TSP-934</t>
        </is>
      </c>
      <c r="C137" t="inlineStr">
        <is>
          <t>No. of batches</t>
        </is>
      </c>
      <c r="D137">
        <f>IFERROR(INDEX(PP_Grid[#Data],$DD137,2),0)</f>
        <v/>
      </c>
      <c r="E137">
        <f>IFERROR(INDEX(PP_Grid[#Data],$DD137,3),0)</f>
        <v/>
      </c>
      <c r="F137">
        <f>IFERROR(INDEX(PP_Grid[#Data],$DD137,4),0)</f>
        <v/>
      </c>
      <c r="G137">
        <f>IFERROR(INDEX(PP_Grid[#Data],$DD137,5),0)</f>
        <v/>
      </c>
      <c r="H137">
        <f>IFERROR(INDEX(PP_Grid[#Data],$DD137,6),0)</f>
        <v/>
      </c>
      <c r="I137">
        <f>IFERROR(INDEX(PP_Grid[#Data],$DD137,7),0)</f>
        <v/>
      </c>
      <c r="J137">
        <f>IFERROR(INDEX(PP_Grid[#Data],$DD137,8),0)</f>
        <v/>
      </c>
      <c r="K137">
        <f>IFERROR(INDEX(PP_Grid[#Data],$DD137,9),0)</f>
        <v/>
      </c>
      <c r="L137">
        <f>IFERROR(INDEX(PP_Grid[#Data],$DD137,10),0)</f>
        <v/>
      </c>
      <c r="M137">
        <f>IFERROR(INDEX(PP_Grid[#Data],$DD137,11),0)</f>
        <v/>
      </c>
      <c r="N137">
        <f>IFERROR(INDEX(PP_Grid[#Data],$DD137,12),0)</f>
        <v/>
      </c>
      <c r="O137">
        <f>IFERROR(INDEX(PP_Grid[#Data],$DD137,13),0)</f>
        <v/>
      </c>
      <c r="P137">
        <f>IFERROR(INDEX(PP_Grid[#Data],$DD137,14),0)</f>
        <v/>
      </c>
      <c r="Q137">
        <f>IFERROR(INDEX(PP_Grid[#Data],$DD137,15),0)</f>
        <v/>
      </c>
      <c r="R137">
        <f>IFERROR(INDEX(PP_Grid[#Data],$DD137,16),0)</f>
        <v/>
      </c>
      <c r="S137">
        <f>IFERROR(INDEX(PP_Grid[#Data],$DD137,17),0)</f>
        <v/>
      </c>
      <c r="T137">
        <f>IFERROR(INDEX(PP_Grid[#Data],$DD137,18),0)</f>
        <v/>
      </c>
      <c r="U137">
        <f>IFERROR(INDEX(PP_Grid[#Data],$DD137,19),0)</f>
        <v/>
      </c>
      <c r="V137">
        <f>IFERROR(INDEX(PP_Grid[#Data],$DD137,20),0)</f>
        <v/>
      </c>
      <c r="W137">
        <f>IFERROR(INDEX(PP_Grid[#Data],$DD137,21),0)</f>
        <v/>
      </c>
      <c r="X137">
        <f>IFERROR(INDEX(PP_Grid[#Data],$DD137,22),0)</f>
        <v/>
      </c>
      <c r="Y137">
        <f>IFERROR(INDEX(PP_Grid[#Data],$DD137,23),0)</f>
        <v/>
      </c>
      <c r="Z137">
        <f>IFERROR(INDEX(PP_Grid[#Data],$DD137,24),0)</f>
        <v/>
      </c>
      <c r="AA137">
        <f>IFERROR(INDEX(PP_Grid[#Data],$DD137,25),0)</f>
        <v/>
      </c>
      <c r="AB137">
        <f>IFERROR(INDEX(PP_Grid[#Data],$DD137,26),0)</f>
        <v/>
      </c>
      <c r="AC137">
        <f>IFERROR(INDEX(PP_Grid[#Data],$DD137,27),0)</f>
        <v/>
      </c>
      <c r="AD137">
        <f>IFERROR(INDEX(PP_Grid[#Data],$DD137,28),0)</f>
        <v/>
      </c>
      <c r="AE137">
        <f>IFERROR(INDEX(PP_Grid[#Data],$DD137,29),0)</f>
        <v/>
      </c>
      <c r="AF137">
        <f>IFERROR(INDEX(PP_Grid[#Data],$DD137,30),0)</f>
        <v/>
      </c>
      <c r="AG137">
        <f>IFERROR(INDEX(PP_Grid[#Data],$DD137,31),0)</f>
        <v/>
      </c>
      <c r="AH137">
        <f>IFERROR(INDEX(PP_Grid[#Data],$DD137,32),0)</f>
        <v/>
      </c>
      <c r="AI137">
        <f>IFERROR(INDEX(PP_Grid[#Data],$DD137,33),0)</f>
        <v/>
      </c>
      <c r="AJ137">
        <f>IFERROR(INDEX(PP_Grid[#Data],$DD137,34),0)</f>
        <v/>
      </c>
      <c r="AK137">
        <f>IFERROR(INDEX(PP_Grid[#Data],$DD137,35),0)</f>
        <v/>
      </c>
      <c r="AL137">
        <f>IFERROR(INDEX(PP_Grid[#Data],$DD137,36),0)</f>
        <v/>
      </c>
      <c r="AM137">
        <f>IFERROR(INDEX(PP_Grid[#Data],$DD137,37),0)</f>
        <v/>
      </c>
      <c r="AN137">
        <f>IFERROR(INDEX(PP_Grid[#Data],$DD137,38),0)</f>
        <v/>
      </c>
      <c r="AO137">
        <f>IFERROR(INDEX(PP_Grid[#Data],$DD137,39),0)</f>
        <v/>
      </c>
      <c r="AP137">
        <f>IFERROR(INDEX(PP_Grid[#Data],$DD137,40),0)</f>
        <v/>
      </c>
      <c r="AQ137">
        <f>IFERROR(INDEX(PP_Grid[#Data],$DD137,41),0)</f>
        <v/>
      </c>
      <c r="AR137">
        <f>IFERROR(INDEX(PP_Grid[#Data],$DD137,42),0)</f>
        <v/>
      </c>
      <c r="AS137">
        <f>IFERROR(INDEX(PP_Grid[#Data],$DD137,43),0)</f>
        <v/>
      </c>
      <c r="AT137">
        <f>IFERROR(INDEX(PP_Grid[#Data],$DD137,44),0)</f>
        <v/>
      </c>
      <c r="AU137">
        <f>IFERROR(INDEX(PP_Grid[#Data],$DD137,45),0)</f>
        <v/>
      </c>
      <c r="AV137">
        <f>IFERROR(INDEX(PP_Grid[#Data],$DD137,46),0)</f>
        <v/>
      </c>
      <c r="AW137">
        <f>IFERROR(INDEX(PP_Grid[#Data],$DD137,47),0)</f>
        <v/>
      </c>
      <c r="AX137">
        <f>IFERROR(INDEX(PP_Grid[#Data],$DD137,48),0)</f>
        <v/>
      </c>
      <c r="AY137">
        <f>IFERROR(INDEX(PP_Grid[#Data],$DD137,49),0)</f>
        <v/>
      </c>
      <c r="AZ137">
        <f>IFERROR(INDEX(PP_Grid[#Data],$DD137,50),0)</f>
        <v/>
      </c>
      <c r="BA137">
        <f>IFERROR(INDEX(PP_Grid[#Data],$DD137,51),0)</f>
        <v/>
      </c>
      <c r="BB137">
        <f>IFERROR(INDEX(PP_Grid[#Data],$DD137,52),0)</f>
        <v/>
      </c>
      <c r="BC137">
        <f>IFERROR(INDEX(PP_Grid[#Data],$DD137,53),0)</f>
        <v/>
      </c>
      <c r="BD137">
        <f>IFERROR(INDEX(PP_Grid[#Data],$DD137,54),0)</f>
        <v/>
      </c>
      <c r="BE137">
        <f>IFERROR(INDEX(PP_Grid[#Data],$DD137,55),0)</f>
        <v/>
      </c>
      <c r="BF137">
        <f>IFERROR(INDEX(PP_Grid[#Data],$DD137,56),0)</f>
        <v/>
      </c>
      <c r="BG137">
        <f>IFERROR(INDEX(PP_Grid[#Data],$DD137,57),0)</f>
        <v/>
      </c>
      <c r="BH137">
        <f>IFERROR(INDEX(PP_Grid[#Data],$DD137,58),0)</f>
        <v/>
      </c>
      <c r="BI137">
        <f>IFERROR(INDEX(PP_Grid[#Data],$DD137,59),0)</f>
        <v/>
      </c>
      <c r="BJ137">
        <f>IFERROR(INDEX(PP_Grid[#Data],$DD137,60),0)</f>
        <v/>
      </c>
      <c r="BK137">
        <f>IFERROR(INDEX(PP_Grid[#Data],$DD137,61),0)</f>
        <v/>
      </c>
      <c r="BL137">
        <f>IFERROR(INDEX(PP_Grid[#Data],$DD137,62),0)</f>
        <v/>
      </c>
      <c r="BM137">
        <f>IFERROR(INDEX(PP_Grid[#Data],$DD137,63),0)</f>
        <v/>
      </c>
      <c r="BN137">
        <f>IFERROR(INDEX(PP_Grid[#Data],$DD137,64),0)</f>
        <v/>
      </c>
      <c r="BO137">
        <f>IFERROR(INDEX(PP_Grid[#Data],$DD137,65),0)</f>
        <v/>
      </c>
      <c r="BP137">
        <f>IFERROR(INDEX(PP_Grid[#Data],$DD137,66),0)</f>
        <v/>
      </c>
      <c r="BQ137">
        <f>IFERROR(INDEX(PP_Grid[#Data],$DD137,67),0)</f>
        <v/>
      </c>
      <c r="BR137">
        <f>IFERROR(INDEX(PP_Grid[#Data],$DD137,68),0)</f>
        <v/>
      </c>
      <c r="BS137">
        <f>IFERROR(INDEX(PP_Grid[#Data],$DD137,69),0)</f>
        <v/>
      </c>
      <c r="BT137">
        <f>IFERROR(INDEX(PP_Grid[#Data],$DD137,70),0)</f>
        <v/>
      </c>
      <c r="BU137">
        <f>IFERROR(INDEX(PP_Grid[#Data],$DD137,71),0)</f>
        <v/>
      </c>
      <c r="BV137">
        <f>IFERROR(INDEX(PP_Grid[#Data],$DD137,72),0)</f>
        <v/>
      </c>
      <c r="BW137">
        <f>IFERROR(INDEX(PP_Grid[#Data],$DD137,73),0)</f>
        <v/>
      </c>
      <c r="BX137">
        <f>IFERROR(INDEX(PP_Grid[#Data],$DD137,74),0)</f>
        <v/>
      </c>
      <c r="BY137">
        <f>IFERROR(INDEX(PP_Grid[#Data],$DD137,75),0)</f>
        <v/>
      </c>
      <c r="BZ137">
        <f>IFERROR(INDEX(PP_Grid[#Data],$DD137,76),0)</f>
        <v/>
      </c>
      <c r="CA137">
        <f>IFERROR(INDEX(PP_Grid[#Data],$DD137,77),0)</f>
        <v/>
      </c>
      <c r="CB137">
        <f>IFERROR(INDEX(PP_Grid[#Data],$DD137,78),0)</f>
        <v/>
      </c>
      <c r="CC137">
        <f>IFERROR(INDEX(PP_Grid[#Data],$DD137,79),0)</f>
        <v/>
      </c>
      <c r="CD137">
        <f>IFERROR(INDEX(PP_Grid[#Data],$DD137,80),0)</f>
        <v/>
      </c>
      <c r="CE137">
        <f>IFERROR(INDEX(PP_Grid[#Data],$DD137,81),0)</f>
        <v/>
      </c>
      <c r="CF137">
        <f>IFERROR(INDEX(PP_Grid[#Data],$DD137,82),0)</f>
        <v/>
      </c>
      <c r="CG137">
        <f>IFERROR(INDEX(PP_Grid[#Data],$DD137,83),0)</f>
        <v/>
      </c>
      <c r="CH137">
        <f>IFERROR(INDEX(PP_Grid[#Data],$DD137,84),0)</f>
        <v/>
      </c>
      <c r="CI137">
        <f>IFERROR(INDEX(PP_Grid[#Data],$DD137,85),0)</f>
        <v/>
      </c>
      <c r="CJ137">
        <f>IFERROR(INDEX(PP_Grid[#Data],$DD137,86),0)</f>
        <v/>
      </c>
      <c r="CK137">
        <f>IFERROR(INDEX(PP_Grid[#Data],$DD137,87),0)</f>
        <v/>
      </c>
      <c r="CL137">
        <f>IFERROR(INDEX(PP_Grid[#Data],$DD137,88),0)</f>
        <v/>
      </c>
      <c r="CM137">
        <f>IFERROR(INDEX(PP_Grid[#Data],$DD137,89),0)</f>
        <v/>
      </c>
      <c r="CN137">
        <f>IFERROR(INDEX(PP_Grid[#Data],$DD137,90),0)</f>
        <v/>
      </c>
      <c r="CO137">
        <f>IFERROR(INDEX(PP_Grid[#Data],$DD137,91),0)</f>
        <v/>
      </c>
      <c r="CP137">
        <f>IFERROR(INDEX(PP_Grid[#Data],$DD137,92),0)</f>
        <v/>
      </c>
      <c r="CQ137">
        <f>IFERROR(INDEX(PP_Grid[#Data],$DD137,93),0)</f>
        <v/>
      </c>
      <c r="CR137">
        <f>IFERROR(INDEX(PP_Grid[#Data],$DD137,94),0)</f>
        <v/>
      </c>
      <c r="CS137">
        <f>IFERROR(INDEX(PP_Grid[#Data],$DD137,95),0)</f>
        <v/>
      </c>
      <c r="CT137">
        <f>IFERROR(INDEX(PP_Grid[#Data],$DD137,96),0)</f>
        <v/>
      </c>
      <c r="CU137">
        <f>IFERROR(INDEX(PP_Grid[#Data],$DD137,97),0)</f>
        <v/>
      </c>
      <c r="CV137">
        <f>IFERROR(INDEX(PP_Grid[#Data],$DD137,98),0)</f>
        <v/>
      </c>
      <c r="CW137">
        <f>IFERROR(INDEX(PP_Grid[#Data],$DD137,99),0)</f>
        <v/>
      </c>
      <c r="CX137">
        <f>IFERROR(INDEX(PP_Grid[#Data],$DD137,100),0)</f>
        <v/>
      </c>
      <c r="CY137">
        <f>IFERROR(INDEX(PP_Grid[#Data],$DD137,101),0)</f>
        <v/>
      </c>
      <c r="CZ137">
        <f>IFERROR(INDEX(PP_Grid[#Data],$DD137,102),0)</f>
        <v/>
      </c>
      <c r="DA137">
        <f>IFERROR(INDEX(PP_Grid[#Data],$DD137,103),0)</f>
        <v/>
      </c>
      <c r="DB137">
        <f>IFERROR(INDEX(PP_Grid[#Data],$DD137,104),0)</f>
        <v/>
      </c>
      <c r="DC137">
        <f>IFERROR(INDEX(PP_Grid[#Data],$DD137,105),0)</f>
        <v/>
      </c>
      <c r="DD137" s="7">
        <f>IFERROR(MATCH($B137,PP_Grid[Intermediate],0),99999)</f>
        <v/>
      </c>
    </row>
    <row r="138">
      <c r="B138" t="inlineStr">
        <is>
          <t>使用量(kg)</t>
        </is>
      </c>
      <c r="C138">
        <f>SUMIFS(M_BOM[RM_Qty_Per_Batch],M_BOM[Intermediate],$B137,M_BOM[Part Name],$A44)</f>
        <v/>
      </c>
      <c r="D138">
        <f>$C138*D137</f>
        <v/>
      </c>
      <c r="E138">
        <f>$C138*E137</f>
        <v/>
      </c>
      <c r="F138">
        <f>$C138*F137</f>
        <v/>
      </c>
      <c r="G138">
        <f>$C138*G137</f>
        <v/>
      </c>
      <c r="H138">
        <f>$C138*H137</f>
        <v/>
      </c>
      <c r="I138">
        <f>$C138*I137</f>
        <v/>
      </c>
      <c r="J138">
        <f>$C138*J137</f>
        <v/>
      </c>
      <c r="K138">
        <f>$C138*K137</f>
        <v/>
      </c>
      <c r="L138">
        <f>$C138*L137</f>
        <v/>
      </c>
      <c r="M138">
        <f>$C138*M137</f>
        <v/>
      </c>
      <c r="N138">
        <f>$C138*N137</f>
        <v/>
      </c>
      <c r="O138">
        <f>$C138*O137</f>
        <v/>
      </c>
      <c r="P138">
        <f>$C138*P137</f>
        <v/>
      </c>
      <c r="Q138">
        <f>$C138*Q137</f>
        <v/>
      </c>
      <c r="R138">
        <f>$C138*R137</f>
        <v/>
      </c>
      <c r="S138">
        <f>$C138*S137</f>
        <v/>
      </c>
      <c r="T138">
        <f>$C138*T137</f>
        <v/>
      </c>
      <c r="U138">
        <f>$C138*U137</f>
        <v/>
      </c>
      <c r="V138">
        <f>$C138*V137</f>
        <v/>
      </c>
      <c r="W138">
        <f>$C138*W137</f>
        <v/>
      </c>
      <c r="X138">
        <f>$C138*X137</f>
        <v/>
      </c>
      <c r="Y138">
        <f>$C138*Y137</f>
        <v/>
      </c>
      <c r="Z138">
        <f>$C138*Z137</f>
        <v/>
      </c>
      <c r="AA138">
        <f>$C138*AA137</f>
        <v/>
      </c>
      <c r="AB138">
        <f>$C138*AB137</f>
        <v/>
      </c>
      <c r="AC138">
        <f>$C138*AC137</f>
        <v/>
      </c>
      <c r="AD138">
        <f>$C138*AD137</f>
        <v/>
      </c>
      <c r="AE138">
        <f>$C138*AE137</f>
        <v/>
      </c>
      <c r="AF138">
        <f>$C138*AF137</f>
        <v/>
      </c>
      <c r="AG138">
        <f>$C138*AG137</f>
        <v/>
      </c>
      <c r="AH138">
        <f>$C138*AH137</f>
        <v/>
      </c>
      <c r="AI138">
        <f>$C138*AI137</f>
        <v/>
      </c>
      <c r="AJ138">
        <f>$C138*AJ137</f>
        <v/>
      </c>
      <c r="AK138">
        <f>$C138*AK137</f>
        <v/>
      </c>
      <c r="AL138">
        <f>$C138*AL137</f>
        <v/>
      </c>
      <c r="AM138">
        <f>$C138*AM137</f>
        <v/>
      </c>
      <c r="AN138">
        <f>$C138*AN137</f>
        <v/>
      </c>
      <c r="AO138">
        <f>$C138*AO137</f>
        <v/>
      </c>
      <c r="AP138">
        <f>$C138*AP137</f>
        <v/>
      </c>
      <c r="AQ138">
        <f>$C138*AQ137</f>
        <v/>
      </c>
      <c r="AR138">
        <f>$C138*AR137</f>
        <v/>
      </c>
      <c r="AS138">
        <f>$C138*AS137</f>
        <v/>
      </c>
      <c r="AT138">
        <f>$C138*AT137</f>
        <v/>
      </c>
      <c r="AU138">
        <f>$C138*AU137</f>
        <v/>
      </c>
      <c r="AV138">
        <f>$C138*AV137</f>
        <v/>
      </c>
      <c r="AW138">
        <f>$C138*AW137</f>
        <v/>
      </c>
      <c r="AX138">
        <f>$C138*AX137</f>
        <v/>
      </c>
      <c r="AY138">
        <f>$C138*AY137</f>
        <v/>
      </c>
      <c r="AZ138">
        <f>$C138*AZ137</f>
        <v/>
      </c>
      <c r="BA138">
        <f>$C138*BA137</f>
        <v/>
      </c>
      <c r="BB138">
        <f>$C138*BB137</f>
        <v/>
      </c>
      <c r="BC138">
        <f>$C138*BC137</f>
        <v/>
      </c>
      <c r="BD138">
        <f>$C138*BD137</f>
        <v/>
      </c>
      <c r="BE138">
        <f>$C138*BE137</f>
        <v/>
      </c>
      <c r="BF138">
        <f>$C138*BF137</f>
        <v/>
      </c>
      <c r="BG138">
        <f>$C138*BG137</f>
        <v/>
      </c>
      <c r="BH138">
        <f>$C138*BH137</f>
        <v/>
      </c>
      <c r="BI138">
        <f>$C138*BI137</f>
        <v/>
      </c>
      <c r="BJ138">
        <f>$C138*BJ137</f>
        <v/>
      </c>
      <c r="BK138">
        <f>$C138*BK137</f>
        <v/>
      </c>
      <c r="BL138">
        <f>$C138*BL137</f>
        <v/>
      </c>
      <c r="BM138">
        <f>$C138*BM137</f>
        <v/>
      </c>
      <c r="BN138">
        <f>$C138*BN137</f>
        <v/>
      </c>
      <c r="BO138">
        <f>$C138*BO137</f>
        <v/>
      </c>
      <c r="BP138">
        <f>$C138*BP137</f>
        <v/>
      </c>
      <c r="BQ138">
        <f>$C138*BQ137</f>
        <v/>
      </c>
      <c r="BR138">
        <f>$C138*BR137</f>
        <v/>
      </c>
      <c r="BS138">
        <f>$C138*BS137</f>
        <v/>
      </c>
      <c r="BT138">
        <f>$C138*BT137</f>
        <v/>
      </c>
      <c r="BU138">
        <f>$C138*BU137</f>
        <v/>
      </c>
      <c r="BV138">
        <f>$C138*BV137</f>
        <v/>
      </c>
      <c r="BW138">
        <f>$C138*BW137</f>
        <v/>
      </c>
      <c r="BX138">
        <f>$C138*BX137</f>
        <v/>
      </c>
      <c r="BY138">
        <f>$C138*BY137</f>
        <v/>
      </c>
      <c r="BZ138">
        <f>$C138*BZ137</f>
        <v/>
      </c>
      <c r="CA138">
        <f>$C138*CA137</f>
        <v/>
      </c>
      <c r="CB138">
        <f>$C138*CB137</f>
        <v/>
      </c>
      <c r="CC138">
        <f>$C138*CC137</f>
        <v/>
      </c>
      <c r="CD138">
        <f>$C138*CD137</f>
        <v/>
      </c>
      <c r="CE138">
        <f>$C138*CE137</f>
        <v/>
      </c>
      <c r="CF138">
        <f>$C138*CF137</f>
        <v/>
      </c>
      <c r="CG138">
        <f>$C138*CG137</f>
        <v/>
      </c>
      <c r="CH138">
        <f>$C138*CH137</f>
        <v/>
      </c>
      <c r="CI138">
        <f>$C138*CI137</f>
        <v/>
      </c>
      <c r="CJ138">
        <f>$C138*CJ137</f>
        <v/>
      </c>
      <c r="CK138">
        <f>$C138*CK137</f>
        <v/>
      </c>
      <c r="CL138">
        <f>$C138*CL137</f>
        <v/>
      </c>
      <c r="CM138">
        <f>$C138*CM137</f>
        <v/>
      </c>
      <c r="CN138">
        <f>$C138*CN137</f>
        <v/>
      </c>
      <c r="CO138">
        <f>$C138*CO137</f>
        <v/>
      </c>
      <c r="CP138">
        <f>$C138*CP137</f>
        <v/>
      </c>
      <c r="CQ138">
        <f>$C138*CQ137</f>
        <v/>
      </c>
      <c r="CR138">
        <f>$C138*CR137</f>
        <v/>
      </c>
      <c r="CS138">
        <f>$C138*CS137</f>
        <v/>
      </c>
      <c r="CT138">
        <f>$C138*CT137</f>
        <v/>
      </c>
      <c r="CU138">
        <f>$C138*CU137</f>
        <v/>
      </c>
      <c r="CV138">
        <f>$C138*CV137</f>
        <v/>
      </c>
      <c r="CW138">
        <f>$C138*CW137</f>
        <v/>
      </c>
      <c r="CX138">
        <f>$C138*CX137</f>
        <v/>
      </c>
      <c r="CY138">
        <f>$C138*CY137</f>
        <v/>
      </c>
      <c r="CZ138">
        <f>$C138*CZ137</f>
        <v/>
      </c>
      <c r="DA138">
        <f>$C138*DA137</f>
        <v/>
      </c>
      <c r="DB138">
        <f>$C138*DB137</f>
        <v/>
      </c>
      <c r="DC138">
        <f>$C138*DC137</f>
        <v/>
      </c>
    </row>
    <row r="139">
      <c r="B139" t="inlineStr">
        <is>
          <t>TSP-935</t>
        </is>
      </c>
      <c r="C139" t="inlineStr">
        <is>
          <t>No. of batches</t>
        </is>
      </c>
      <c r="D139">
        <f>IFERROR(INDEX(PP_Grid[#Data],$DD139,2),0)</f>
        <v/>
      </c>
      <c r="E139">
        <f>IFERROR(INDEX(PP_Grid[#Data],$DD139,3),0)</f>
        <v/>
      </c>
      <c r="F139">
        <f>IFERROR(INDEX(PP_Grid[#Data],$DD139,4),0)</f>
        <v/>
      </c>
      <c r="G139">
        <f>IFERROR(INDEX(PP_Grid[#Data],$DD139,5),0)</f>
        <v/>
      </c>
      <c r="H139">
        <f>IFERROR(INDEX(PP_Grid[#Data],$DD139,6),0)</f>
        <v/>
      </c>
      <c r="I139">
        <f>IFERROR(INDEX(PP_Grid[#Data],$DD139,7),0)</f>
        <v/>
      </c>
      <c r="J139">
        <f>IFERROR(INDEX(PP_Grid[#Data],$DD139,8),0)</f>
        <v/>
      </c>
      <c r="K139">
        <f>IFERROR(INDEX(PP_Grid[#Data],$DD139,9),0)</f>
        <v/>
      </c>
      <c r="L139">
        <f>IFERROR(INDEX(PP_Grid[#Data],$DD139,10),0)</f>
        <v/>
      </c>
      <c r="M139">
        <f>IFERROR(INDEX(PP_Grid[#Data],$DD139,11),0)</f>
        <v/>
      </c>
      <c r="N139">
        <f>IFERROR(INDEX(PP_Grid[#Data],$DD139,12),0)</f>
        <v/>
      </c>
      <c r="O139">
        <f>IFERROR(INDEX(PP_Grid[#Data],$DD139,13),0)</f>
        <v/>
      </c>
      <c r="P139">
        <f>IFERROR(INDEX(PP_Grid[#Data],$DD139,14),0)</f>
        <v/>
      </c>
      <c r="Q139">
        <f>IFERROR(INDEX(PP_Grid[#Data],$DD139,15),0)</f>
        <v/>
      </c>
      <c r="R139">
        <f>IFERROR(INDEX(PP_Grid[#Data],$DD139,16),0)</f>
        <v/>
      </c>
      <c r="S139">
        <f>IFERROR(INDEX(PP_Grid[#Data],$DD139,17),0)</f>
        <v/>
      </c>
      <c r="T139">
        <f>IFERROR(INDEX(PP_Grid[#Data],$DD139,18),0)</f>
        <v/>
      </c>
      <c r="U139">
        <f>IFERROR(INDEX(PP_Grid[#Data],$DD139,19),0)</f>
        <v/>
      </c>
      <c r="V139">
        <f>IFERROR(INDEX(PP_Grid[#Data],$DD139,20),0)</f>
        <v/>
      </c>
      <c r="W139">
        <f>IFERROR(INDEX(PP_Grid[#Data],$DD139,21),0)</f>
        <v/>
      </c>
      <c r="X139">
        <f>IFERROR(INDEX(PP_Grid[#Data],$DD139,22),0)</f>
        <v/>
      </c>
      <c r="Y139">
        <f>IFERROR(INDEX(PP_Grid[#Data],$DD139,23),0)</f>
        <v/>
      </c>
      <c r="Z139">
        <f>IFERROR(INDEX(PP_Grid[#Data],$DD139,24),0)</f>
        <v/>
      </c>
      <c r="AA139">
        <f>IFERROR(INDEX(PP_Grid[#Data],$DD139,25),0)</f>
        <v/>
      </c>
      <c r="AB139">
        <f>IFERROR(INDEX(PP_Grid[#Data],$DD139,26),0)</f>
        <v/>
      </c>
      <c r="AC139">
        <f>IFERROR(INDEX(PP_Grid[#Data],$DD139,27),0)</f>
        <v/>
      </c>
      <c r="AD139">
        <f>IFERROR(INDEX(PP_Grid[#Data],$DD139,28),0)</f>
        <v/>
      </c>
      <c r="AE139">
        <f>IFERROR(INDEX(PP_Grid[#Data],$DD139,29),0)</f>
        <v/>
      </c>
      <c r="AF139">
        <f>IFERROR(INDEX(PP_Grid[#Data],$DD139,30),0)</f>
        <v/>
      </c>
      <c r="AG139">
        <f>IFERROR(INDEX(PP_Grid[#Data],$DD139,31),0)</f>
        <v/>
      </c>
      <c r="AH139">
        <f>IFERROR(INDEX(PP_Grid[#Data],$DD139,32),0)</f>
        <v/>
      </c>
      <c r="AI139">
        <f>IFERROR(INDEX(PP_Grid[#Data],$DD139,33),0)</f>
        <v/>
      </c>
      <c r="AJ139">
        <f>IFERROR(INDEX(PP_Grid[#Data],$DD139,34),0)</f>
        <v/>
      </c>
      <c r="AK139">
        <f>IFERROR(INDEX(PP_Grid[#Data],$DD139,35),0)</f>
        <v/>
      </c>
      <c r="AL139">
        <f>IFERROR(INDEX(PP_Grid[#Data],$DD139,36),0)</f>
        <v/>
      </c>
      <c r="AM139">
        <f>IFERROR(INDEX(PP_Grid[#Data],$DD139,37),0)</f>
        <v/>
      </c>
      <c r="AN139">
        <f>IFERROR(INDEX(PP_Grid[#Data],$DD139,38),0)</f>
        <v/>
      </c>
      <c r="AO139">
        <f>IFERROR(INDEX(PP_Grid[#Data],$DD139,39),0)</f>
        <v/>
      </c>
      <c r="AP139">
        <f>IFERROR(INDEX(PP_Grid[#Data],$DD139,40),0)</f>
        <v/>
      </c>
      <c r="AQ139">
        <f>IFERROR(INDEX(PP_Grid[#Data],$DD139,41),0)</f>
        <v/>
      </c>
      <c r="AR139">
        <f>IFERROR(INDEX(PP_Grid[#Data],$DD139,42),0)</f>
        <v/>
      </c>
      <c r="AS139">
        <f>IFERROR(INDEX(PP_Grid[#Data],$DD139,43),0)</f>
        <v/>
      </c>
      <c r="AT139">
        <f>IFERROR(INDEX(PP_Grid[#Data],$DD139,44),0)</f>
        <v/>
      </c>
      <c r="AU139">
        <f>IFERROR(INDEX(PP_Grid[#Data],$DD139,45),0)</f>
        <v/>
      </c>
      <c r="AV139">
        <f>IFERROR(INDEX(PP_Grid[#Data],$DD139,46),0)</f>
        <v/>
      </c>
      <c r="AW139">
        <f>IFERROR(INDEX(PP_Grid[#Data],$DD139,47),0)</f>
        <v/>
      </c>
      <c r="AX139">
        <f>IFERROR(INDEX(PP_Grid[#Data],$DD139,48),0)</f>
        <v/>
      </c>
      <c r="AY139">
        <f>IFERROR(INDEX(PP_Grid[#Data],$DD139,49),0)</f>
        <v/>
      </c>
      <c r="AZ139">
        <f>IFERROR(INDEX(PP_Grid[#Data],$DD139,50),0)</f>
        <v/>
      </c>
      <c r="BA139">
        <f>IFERROR(INDEX(PP_Grid[#Data],$DD139,51),0)</f>
        <v/>
      </c>
      <c r="BB139">
        <f>IFERROR(INDEX(PP_Grid[#Data],$DD139,52),0)</f>
        <v/>
      </c>
      <c r="BC139">
        <f>IFERROR(INDEX(PP_Grid[#Data],$DD139,53),0)</f>
        <v/>
      </c>
      <c r="BD139">
        <f>IFERROR(INDEX(PP_Grid[#Data],$DD139,54),0)</f>
        <v/>
      </c>
      <c r="BE139">
        <f>IFERROR(INDEX(PP_Grid[#Data],$DD139,55),0)</f>
        <v/>
      </c>
      <c r="BF139">
        <f>IFERROR(INDEX(PP_Grid[#Data],$DD139,56),0)</f>
        <v/>
      </c>
      <c r="BG139">
        <f>IFERROR(INDEX(PP_Grid[#Data],$DD139,57),0)</f>
        <v/>
      </c>
      <c r="BH139">
        <f>IFERROR(INDEX(PP_Grid[#Data],$DD139,58),0)</f>
        <v/>
      </c>
      <c r="BI139">
        <f>IFERROR(INDEX(PP_Grid[#Data],$DD139,59),0)</f>
        <v/>
      </c>
      <c r="BJ139">
        <f>IFERROR(INDEX(PP_Grid[#Data],$DD139,60),0)</f>
        <v/>
      </c>
      <c r="BK139">
        <f>IFERROR(INDEX(PP_Grid[#Data],$DD139,61),0)</f>
        <v/>
      </c>
      <c r="BL139">
        <f>IFERROR(INDEX(PP_Grid[#Data],$DD139,62),0)</f>
        <v/>
      </c>
      <c r="BM139">
        <f>IFERROR(INDEX(PP_Grid[#Data],$DD139,63),0)</f>
        <v/>
      </c>
      <c r="BN139">
        <f>IFERROR(INDEX(PP_Grid[#Data],$DD139,64),0)</f>
        <v/>
      </c>
      <c r="BO139">
        <f>IFERROR(INDEX(PP_Grid[#Data],$DD139,65),0)</f>
        <v/>
      </c>
      <c r="BP139">
        <f>IFERROR(INDEX(PP_Grid[#Data],$DD139,66),0)</f>
        <v/>
      </c>
      <c r="BQ139">
        <f>IFERROR(INDEX(PP_Grid[#Data],$DD139,67),0)</f>
        <v/>
      </c>
      <c r="BR139">
        <f>IFERROR(INDEX(PP_Grid[#Data],$DD139,68),0)</f>
        <v/>
      </c>
      <c r="BS139">
        <f>IFERROR(INDEX(PP_Grid[#Data],$DD139,69),0)</f>
        <v/>
      </c>
      <c r="BT139">
        <f>IFERROR(INDEX(PP_Grid[#Data],$DD139,70),0)</f>
        <v/>
      </c>
      <c r="BU139">
        <f>IFERROR(INDEX(PP_Grid[#Data],$DD139,71),0)</f>
        <v/>
      </c>
      <c r="BV139">
        <f>IFERROR(INDEX(PP_Grid[#Data],$DD139,72),0)</f>
        <v/>
      </c>
      <c r="BW139">
        <f>IFERROR(INDEX(PP_Grid[#Data],$DD139,73),0)</f>
        <v/>
      </c>
      <c r="BX139">
        <f>IFERROR(INDEX(PP_Grid[#Data],$DD139,74),0)</f>
        <v/>
      </c>
      <c r="BY139">
        <f>IFERROR(INDEX(PP_Grid[#Data],$DD139,75),0)</f>
        <v/>
      </c>
      <c r="BZ139">
        <f>IFERROR(INDEX(PP_Grid[#Data],$DD139,76),0)</f>
        <v/>
      </c>
      <c r="CA139">
        <f>IFERROR(INDEX(PP_Grid[#Data],$DD139,77),0)</f>
        <v/>
      </c>
      <c r="CB139">
        <f>IFERROR(INDEX(PP_Grid[#Data],$DD139,78),0)</f>
        <v/>
      </c>
      <c r="CC139">
        <f>IFERROR(INDEX(PP_Grid[#Data],$DD139,79),0)</f>
        <v/>
      </c>
      <c r="CD139">
        <f>IFERROR(INDEX(PP_Grid[#Data],$DD139,80),0)</f>
        <v/>
      </c>
      <c r="CE139">
        <f>IFERROR(INDEX(PP_Grid[#Data],$DD139,81),0)</f>
        <v/>
      </c>
      <c r="CF139">
        <f>IFERROR(INDEX(PP_Grid[#Data],$DD139,82),0)</f>
        <v/>
      </c>
      <c r="CG139">
        <f>IFERROR(INDEX(PP_Grid[#Data],$DD139,83),0)</f>
        <v/>
      </c>
      <c r="CH139">
        <f>IFERROR(INDEX(PP_Grid[#Data],$DD139,84),0)</f>
        <v/>
      </c>
      <c r="CI139">
        <f>IFERROR(INDEX(PP_Grid[#Data],$DD139,85),0)</f>
        <v/>
      </c>
      <c r="CJ139">
        <f>IFERROR(INDEX(PP_Grid[#Data],$DD139,86),0)</f>
        <v/>
      </c>
      <c r="CK139">
        <f>IFERROR(INDEX(PP_Grid[#Data],$DD139,87),0)</f>
        <v/>
      </c>
      <c r="CL139">
        <f>IFERROR(INDEX(PP_Grid[#Data],$DD139,88),0)</f>
        <v/>
      </c>
      <c r="CM139">
        <f>IFERROR(INDEX(PP_Grid[#Data],$DD139,89),0)</f>
        <v/>
      </c>
      <c r="CN139">
        <f>IFERROR(INDEX(PP_Grid[#Data],$DD139,90),0)</f>
        <v/>
      </c>
      <c r="CO139">
        <f>IFERROR(INDEX(PP_Grid[#Data],$DD139,91),0)</f>
        <v/>
      </c>
      <c r="CP139">
        <f>IFERROR(INDEX(PP_Grid[#Data],$DD139,92),0)</f>
        <v/>
      </c>
      <c r="CQ139">
        <f>IFERROR(INDEX(PP_Grid[#Data],$DD139,93),0)</f>
        <v/>
      </c>
      <c r="CR139">
        <f>IFERROR(INDEX(PP_Grid[#Data],$DD139,94),0)</f>
        <v/>
      </c>
      <c r="CS139">
        <f>IFERROR(INDEX(PP_Grid[#Data],$DD139,95),0)</f>
        <v/>
      </c>
      <c r="CT139">
        <f>IFERROR(INDEX(PP_Grid[#Data],$DD139,96),0)</f>
        <v/>
      </c>
      <c r="CU139">
        <f>IFERROR(INDEX(PP_Grid[#Data],$DD139,97),0)</f>
        <v/>
      </c>
      <c r="CV139">
        <f>IFERROR(INDEX(PP_Grid[#Data],$DD139,98),0)</f>
        <v/>
      </c>
      <c r="CW139">
        <f>IFERROR(INDEX(PP_Grid[#Data],$DD139,99),0)</f>
        <v/>
      </c>
      <c r="CX139">
        <f>IFERROR(INDEX(PP_Grid[#Data],$DD139,100),0)</f>
        <v/>
      </c>
      <c r="CY139">
        <f>IFERROR(INDEX(PP_Grid[#Data],$DD139,101),0)</f>
        <v/>
      </c>
      <c r="CZ139">
        <f>IFERROR(INDEX(PP_Grid[#Data],$DD139,102),0)</f>
        <v/>
      </c>
      <c r="DA139">
        <f>IFERROR(INDEX(PP_Grid[#Data],$DD139,103),0)</f>
        <v/>
      </c>
      <c r="DB139">
        <f>IFERROR(INDEX(PP_Grid[#Data],$DD139,104),0)</f>
        <v/>
      </c>
      <c r="DC139">
        <f>IFERROR(INDEX(PP_Grid[#Data],$DD139,105),0)</f>
        <v/>
      </c>
      <c r="DD139" s="7">
        <f>IFERROR(MATCH($B139,PP_Grid[Intermediate],0),99999)</f>
        <v/>
      </c>
    </row>
    <row r="140">
      <c r="B140" t="inlineStr">
        <is>
          <t>使用量(kg)</t>
        </is>
      </c>
      <c r="C140">
        <f>SUMIFS(M_BOM[RM_Qty_Per_Batch],M_BOM[Intermediate],$B139,M_BOM[Part Name],$A44)</f>
        <v/>
      </c>
      <c r="D140">
        <f>$C140*D139</f>
        <v/>
      </c>
      <c r="E140">
        <f>$C140*E139</f>
        <v/>
      </c>
      <c r="F140">
        <f>$C140*F139</f>
        <v/>
      </c>
      <c r="G140">
        <f>$C140*G139</f>
        <v/>
      </c>
      <c r="H140">
        <f>$C140*H139</f>
        <v/>
      </c>
      <c r="I140">
        <f>$C140*I139</f>
        <v/>
      </c>
      <c r="J140">
        <f>$C140*J139</f>
        <v/>
      </c>
      <c r="K140">
        <f>$C140*K139</f>
        <v/>
      </c>
      <c r="L140">
        <f>$C140*L139</f>
        <v/>
      </c>
      <c r="M140">
        <f>$C140*M139</f>
        <v/>
      </c>
      <c r="N140">
        <f>$C140*N139</f>
        <v/>
      </c>
      <c r="O140">
        <f>$C140*O139</f>
        <v/>
      </c>
      <c r="P140">
        <f>$C140*P139</f>
        <v/>
      </c>
      <c r="Q140">
        <f>$C140*Q139</f>
        <v/>
      </c>
      <c r="R140">
        <f>$C140*R139</f>
        <v/>
      </c>
      <c r="S140">
        <f>$C140*S139</f>
        <v/>
      </c>
      <c r="T140">
        <f>$C140*T139</f>
        <v/>
      </c>
      <c r="U140">
        <f>$C140*U139</f>
        <v/>
      </c>
      <c r="V140">
        <f>$C140*V139</f>
        <v/>
      </c>
      <c r="W140">
        <f>$C140*W139</f>
        <v/>
      </c>
      <c r="X140">
        <f>$C140*X139</f>
        <v/>
      </c>
      <c r="Y140">
        <f>$C140*Y139</f>
        <v/>
      </c>
      <c r="Z140">
        <f>$C140*Z139</f>
        <v/>
      </c>
      <c r="AA140">
        <f>$C140*AA139</f>
        <v/>
      </c>
      <c r="AB140">
        <f>$C140*AB139</f>
        <v/>
      </c>
      <c r="AC140">
        <f>$C140*AC139</f>
        <v/>
      </c>
      <c r="AD140">
        <f>$C140*AD139</f>
        <v/>
      </c>
      <c r="AE140">
        <f>$C140*AE139</f>
        <v/>
      </c>
      <c r="AF140">
        <f>$C140*AF139</f>
        <v/>
      </c>
      <c r="AG140">
        <f>$C140*AG139</f>
        <v/>
      </c>
      <c r="AH140">
        <f>$C140*AH139</f>
        <v/>
      </c>
      <c r="AI140">
        <f>$C140*AI139</f>
        <v/>
      </c>
      <c r="AJ140">
        <f>$C140*AJ139</f>
        <v/>
      </c>
      <c r="AK140">
        <f>$C140*AK139</f>
        <v/>
      </c>
      <c r="AL140">
        <f>$C140*AL139</f>
        <v/>
      </c>
      <c r="AM140">
        <f>$C140*AM139</f>
        <v/>
      </c>
      <c r="AN140">
        <f>$C140*AN139</f>
        <v/>
      </c>
      <c r="AO140">
        <f>$C140*AO139</f>
        <v/>
      </c>
      <c r="AP140">
        <f>$C140*AP139</f>
        <v/>
      </c>
      <c r="AQ140">
        <f>$C140*AQ139</f>
        <v/>
      </c>
      <c r="AR140">
        <f>$C140*AR139</f>
        <v/>
      </c>
      <c r="AS140">
        <f>$C140*AS139</f>
        <v/>
      </c>
      <c r="AT140">
        <f>$C140*AT139</f>
        <v/>
      </c>
      <c r="AU140">
        <f>$C140*AU139</f>
        <v/>
      </c>
      <c r="AV140">
        <f>$C140*AV139</f>
        <v/>
      </c>
      <c r="AW140">
        <f>$C140*AW139</f>
        <v/>
      </c>
      <c r="AX140">
        <f>$C140*AX139</f>
        <v/>
      </c>
      <c r="AY140">
        <f>$C140*AY139</f>
        <v/>
      </c>
      <c r="AZ140">
        <f>$C140*AZ139</f>
        <v/>
      </c>
      <c r="BA140">
        <f>$C140*BA139</f>
        <v/>
      </c>
      <c r="BB140">
        <f>$C140*BB139</f>
        <v/>
      </c>
      <c r="BC140">
        <f>$C140*BC139</f>
        <v/>
      </c>
      <c r="BD140">
        <f>$C140*BD139</f>
        <v/>
      </c>
      <c r="BE140">
        <f>$C140*BE139</f>
        <v/>
      </c>
      <c r="BF140">
        <f>$C140*BF139</f>
        <v/>
      </c>
      <c r="BG140">
        <f>$C140*BG139</f>
        <v/>
      </c>
      <c r="BH140">
        <f>$C140*BH139</f>
        <v/>
      </c>
      <c r="BI140">
        <f>$C140*BI139</f>
        <v/>
      </c>
      <c r="BJ140">
        <f>$C140*BJ139</f>
        <v/>
      </c>
      <c r="BK140">
        <f>$C140*BK139</f>
        <v/>
      </c>
      <c r="BL140">
        <f>$C140*BL139</f>
        <v/>
      </c>
      <c r="BM140">
        <f>$C140*BM139</f>
        <v/>
      </c>
      <c r="BN140">
        <f>$C140*BN139</f>
        <v/>
      </c>
      <c r="BO140">
        <f>$C140*BO139</f>
        <v/>
      </c>
      <c r="BP140">
        <f>$C140*BP139</f>
        <v/>
      </c>
      <c r="BQ140">
        <f>$C140*BQ139</f>
        <v/>
      </c>
      <c r="BR140">
        <f>$C140*BR139</f>
        <v/>
      </c>
      <c r="BS140">
        <f>$C140*BS139</f>
        <v/>
      </c>
      <c r="BT140">
        <f>$C140*BT139</f>
        <v/>
      </c>
      <c r="BU140">
        <f>$C140*BU139</f>
        <v/>
      </c>
      <c r="BV140">
        <f>$C140*BV139</f>
        <v/>
      </c>
      <c r="BW140">
        <f>$C140*BW139</f>
        <v/>
      </c>
      <c r="BX140">
        <f>$C140*BX139</f>
        <v/>
      </c>
      <c r="BY140">
        <f>$C140*BY139</f>
        <v/>
      </c>
      <c r="BZ140">
        <f>$C140*BZ139</f>
        <v/>
      </c>
      <c r="CA140">
        <f>$C140*CA139</f>
        <v/>
      </c>
      <c r="CB140">
        <f>$C140*CB139</f>
        <v/>
      </c>
      <c r="CC140">
        <f>$C140*CC139</f>
        <v/>
      </c>
      <c r="CD140">
        <f>$C140*CD139</f>
        <v/>
      </c>
      <c r="CE140">
        <f>$C140*CE139</f>
        <v/>
      </c>
      <c r="CF140">
        <f>$C140*CF139</f>
        <v/>
      </c>
      <c r="CG140">
        <f>$C140*CG139</f>
        <v/>
      </c>
      <c r="CH140">
        <f>$C140*CH139</f>
        <v/>
      </c>
      <c r="CI140">
        <f>$C140*CI139</f>
        <v/>
      </c>
      <c r="CJ140">
        <f>$C140*CJ139</f>
        <v/>
      </c>
      <c r="CK140">
        <f>$C140*CK139</f>
        <v/>
      </c>
      <c r="CL140">
        <f>$C140*CL139</f>
        <v/>
      </c>
      <c r="CM140">
        <f>$C140*CM139</f>
        <v/>
      </c>
      <c r="CN140">
        <f>$C140*CN139</f>
        <v/>
      </c>
      <c r="CO140">
        <f>$C140*CO139</f>
        <v/>
      </c>
      <c r="CP140">
        <f>$C140*CP139</f>
        <v/>
      </c>
      <c r="CQ140">
        <f>$C140*CQ139</f>
        <v/>
      </c>
      <c r="CR140">
        <f>$C140*CR139</f>
        <v/>
      </c>
      <c r="CS140">
        <f>$C140*CS139</f>
        <v/>
      </c>
      <c r="CT140">
        <f>$C140*CT139</f>
        <v/>
      </c>
      <c r="CU140">
        <f>$C140*CU139</f>
        <v/>
      </c>
      <c r="CV140">
        <f>$C140*CV139</f>
        <v/>
      </c>
      <c r="CW140">
        <f>$C140*CW139</f>
        <v/>
      </c>
      <c r="CX140">
        <f>$C140*CX139</f>
        <v/>
      </c>
      <c r="CY140">
        <f>$C140*CY139</f>
        <v/>
      </c>
      <c r="CZ140">
        <f>$C140*CZ139</f>
        <v/>
      </c>
      <c r="DA140">
        <f>$C140*DA139</f>
        <v/>
      </c>
      <c r="DB140">
        <f>$C140*DB139</f>
        <v/>
      </c>
      <c r="DC140">
        <f>$C140*DC139</f>
        <v/>
      </c>
    </row>
    <row r="141">
      <c r="B141" t="inlineStr">
        <is>
          <t>TSP-936</t>
        </is>
      </c>
      <c r="C141" t="inlineStr">
        <is>
          <t>No. of batches</t>
        </is>
      </c>
      <c r="D141">
        <f>IFERROR(INDEX(PP_Grid[#Data],$DD141,2),0)</f>
        <v/>
      </c>
      <c r="E141">
        <f>IFERROR(INDEX(PP_Grid[#Data],$DD141,3),0)</f>
        <v/>
      </c>
      <c r="F141">
        <f>IFERROR(INDEX(PP_Grid[#Data],$DD141,4),0)</f>
        <v/>
      </c>
      <c r="G141">
        <f>IFERROR(INDEX(PP_Grid[#Data],$DD141,5),0)</f>
        <v/>
      </c>
      <c r="H141">
        <f>IFERROR(INDEX(PP_Grid[#Data],$DD141,6),0)</f>
        <v/>
      </c>
      <c r="I141">
        <f>IFERROR(INDEX(PP_Grid[#Data],$DD141,7),0)</f>
        <v/>
      </c>
      <c r="J141">
        <f>IFERROR(INDEX(PP_Grid[#Data],$DD141,8),0)</f>
        <v/>
      </c>
      <c r="K141">
        <f>IFERROR(INDEX(PP_Grid[#Data],$DD141,9),0)</f>
        <v/>
      </c>
      <c r="L141">
        <f>IFERROR(INDEX(PP_Grid[#Data],$DD141,10),0)</f>
        <v/>
      </c>
      <c r="M141">
        <f>IFERROR(INDEX(PP_Grid[#Data],$DD141,11),0)</f>
        <v/>
      </c>
      <c r="N141">
        <f>IFERROR(INDEX(PP_Grid[#Data],$DD141,12),0)</f>
        <v/>
      </c>
      <c r="O141">
        <f>IFERROR(INDEX(PP_Grid[#Data],$DD141,13),0)</f>
        <v/>
      </c>
      <c r="P141">
        <f>IFERROR(INDEX(PP_Grid[#Data],$DD141,14),0)</f>
        <v/>
      </c>
      <c r="Q141">
        <f>IFERROR(INDEX(PP_Grid[#Data],$DD141,15),0)</f>
        <v/>
      </c>
      <c r="R141">
        <f>IFERROR(INDEX(PP_Grid[#Data],$DD141,16),0)</f>
        <v/>
      </c>
      <c r="S141">
        <f>IFERROR(INDEX(PP_Grid[#Data],$DD141,17),0)</f>
        <v/>
      </c>
      <c r="T141">
        <f>IFERROR(INDEX(PP_Grid[#Data],$DD141,18),0)</f>
        <v/>
      </c>
      <c r="U141">
        <f>IFERROR(INDEX(PP_Grid[#Data],$DD141,19),0)</f>
        <v/>
      </c>
      <c r="V141">
        <f>IFERROR(INDEX(PP_Grid[#Data],$DD141,20),0)</f>
        <v/>
      </c>
      <c r="W141">
        <f>IFERROR(INDEX(PP_Grid[#Data],$DD141,21),0)</f>
        <v/>
      </c>
      <c r="X141">
        <f>IFERROR(INDEX(PP_Grid[#Data],$DD141,22),0)</f>
        <v/>
      </c>
      <c r="Y141">
        <f>IFERROR(INDEX(PP_Grid[#Data],$DD141,23),0)</f>
        <v/>
      </c>
      <c r="Z141">
        <f>IFERROR(INDEX(PP_Grid[#Data],$DD141,24),0)</f>
        <v/>
      </c>
      <c r="AA141">
        <f>IFERROR(INDEX(PP_Grid[#Data],$DD141,25),0)</f>
        <v/>
      </c>
      <c r="AB141">
        <f>IFERROR(INDEX(PP_Grid[#Data],$DD141,26),0)</f>
        <v/>
      </c>
      <c r="AC141">
        <f>IFERROR(INDEX(PP_Grid[#Data],$DD141,27),0)</f>
        <v/>
      </c>
      <c r="AD141">
        <f>IFERROR(INDEX(PP_Grid[#Data],$DD141,28),0)</f>
        <v/>
      </c>
      <c r="AE141">
        <f>IFERROR(INDEX(PP_Grid[#Data],$DD141,29),0)</f>
        <v/>
      </c>
      <c r="AF141">
        <f>IFERROR(INDEX(PP_Grid[#Data],$DD141,30),0)</f>
        <v/>
      </c>
      <c r="AG141">
        <f>IFERROR(INDEX(PP_Grid[#Data],$DD141,31),0)</f>
        <v/>
      </c>
      <c r="AH141">
        <f>IFERROR(INDEX(PP_Grid[#Data],$DD141,32),0)</f>
        <v/>
      </c>
      <c r="AI141">
        <f>IFERROR(INDEX(PP_Grid[#Data],$DD141,33),0)</f>
        <v/>
      </c>
      <c r="AJ141">
        <f>IFERROR(INDEX(PP_Grid[#Data],$DD141,34),0)</f>
        <v/>
      </c>
      <c r="AK141">
        <f>IFERROR(INDEX(PP_Grid[#Data],$DD141,35),0)</f>
        <v/>
      </c>
      <c r="AL141">
        <f>IFERROR(INDEX(PP_Grid[#Data],$DD141,36),0)</f>
        <v/>
      </c>
      <c r="AM141">
        <f>IFERROR(INDEX(PP_Grid[#Data],$DD141,37),0)</f>
        <v/>
      </c>
      <c r="AN141">
        <f>IFERROR(INDEX(PP_Grid[#Data],$DD141,38),0)</f>
        <v/>
      </c>
      <c r="AO141">
        <f>IFERROR(INDEX(PP_Grid[#Data],$DD141,39),0)</f>
        <v/>
      </c>
      <c r="AP141">
        <f>IFERROR(INDEX(PP_Grid[#Data],$DD141,40),0)</f>
        <v/>
      </c>
      <c r="AQ141">
        <f>IFERROR(INDEX(PP_Grid[#Data],$DD141,41),0)</f>
        <v/>
      </c>
      <c r="AR141">
        <f>IFERROR(INDEX(PP_Grid[#Data],$DD141,42),0)</f>
        <v/>
      </c>
      <c r="AS141">
        <f>IFERROR(INDEX(PP_Grid[#Data],$DD141,43),0)</f>
        <v/>
      </c>
      <c r="AT141">
        <f>IFERROR(INDEX(PP_Grid[#Data],$DD141,44),0)</f>
        <v/>
      </c>
      <c r="AU141">
        <f>IFERROR(INDEX(PP_Grid[#Data],$DD141,45),0)</f>
        <v/>
      </c>
      <c r="AV141">
        <f>IFERROR(INDEX(PP_Grid[#Data],$DD141,46),0)</f>
        <v/>
      </c>
      <c r="AW141">
        <f>IFERROR(INDEX(PP_Grid[#Data],$DD141,47),0)</f>
        <v/>
      </c>
      <c r="AX141">
        <f>IFERROR(INDEX(PP_Grid[#Data],$DD141,48),0)</f>
        <v/>
      </c>
      <c r="AY141">
        <f>IFERROR(INDEX(PP_Grid[#Data],$DD141,49),0)</f>
        <v/>
      </c>
      <c r="AZ141">
        <f>IFERROR(INDEX(PP_Grid[#Data],$DD141,50),0)</f>
        <v/>
      </c>
      <c r="BA141">
        <f>IFERROR(INDEX(PP_Grid[#Data],$DD141,51),0)</f>
        <v/>
      </c>
      <c r="BB141">
        <f>IFERROR(INDEX(PP_Grid[#Data],$DD141,52),0)</f>
        <v/>
      </c>
      <c r="BC141">
        <f>IFERROR(INDEX(PP_Grid[#Data],$DD141,53),0)</f>
        <v/>
      </c>
      <c r="BD141">
        <f>IFERROR(INDEX(PP_Grid[#Data],$DD141,54),0)</f>
        <v/>
      </c>
      <c r="BE141">
        <f>IFERROR(INDEX(PP_Grid[#Data],$DD141,55),0)</f>
        <v/>
      </c>
      <c r="BF141">
        <f>IFERROR(INDEX(PP_Grid[#Data],$DD141,56),0)</f>
        <v/>
      </c>
      <c r="BG141">
        <f>IFERROR(INDEX(PP_Grid[#Data],$DD141,57),0)</f>
        <v/>
      </c>
      <c r="BH141">
        <f>IFERROR(INDEX(PP_Grid[#Data],$DD141,58),0)</f>
        <v/>
      </c>
      <c r="BI141">
        <f>IFERROR(INDEX(PP_Grid[#Data],$DD141,59),0)</f>
        <v/>
      </c>
      <c r="BJ141">
        <f>IFERROR(INDEX(PP_Grid[#Data],$DD141,60),0)</f>
        <v/>
      </c>
      <c r="BK141">
        <f>IFERROR(INDEX(PP_Grid[#Data],$DD141,61),0)</f>
        <v/>
      </c>
      <c r="BL141">
        <f>IFERROR(INDEX(PP_Grid[#Data],$DD141,62),0)</f>
        <v/>
      </c>
      <c r="BM141">
        <f>IFERROR(INDEX(PP_Grid[#Data],$DD141,63),0)</f>
        <v/>
      </c>
      <c r="BN141">
        <f>IFERROR(INDEX(PP_Grid[#Data],$DD141,64),0)</f>
        <v/>
      </c>
      <c r="BO141">
        <f>IFERROR(INDEX(PP_Grid[#Data],$DD141,65),0)</f>
        <v/>
      </c>
      <c r="BP141">
        <f>IFERROR(INDEX(PP_Grid[#Data],$DD141,66),0)</f>
        <v/>
      </c>
      <c r="BQ141">
        <f>IFERROR(INDEX(PP_Grid[#Data],$DD141,67),0)</f>
        <v/>
      </c>
      <c r="BR141">
        <f>IFERROR(INDEX(PP_Grid[#Data],$DD141,68),0)</f>
        <v/>
      </c>
      <c r="BS141">
        <f>IFERROR(INDEX(PP_Grid[#Data],$DD141,69),0)</f>
        <v/>
      </c>
      <c r="BT141">
        <f>IFERROR(INDEX(PP_Grid[#Data],$DD141,70),0)</f>
        <v/>
      </c>
      <c r="BU141">
        <f>IFERROR(INDEX(PP_Grid[#Data],$DD141,71),0)</f>
        <v/>
      </c>
      <c r="BV141">
        <f>IFERROR(INDEX(PP_Grid[#Data],$DD141,72),0)</f>
        <v/>
      </c>
      <c r="BW141">
        <f>IFERROR(INDEX(PP_Grid[#Data],$DD141,73),0)</f>
        <v/>
      </c>
      <c r="BX141">
        <f>IFERROR(INDEX(PP_Grid[#Data],$DD141,74),0)</f>
        <v/>
      </c>
      <c r="BY141">
        <f>IFERROR(INDEX(PP_Grid[#Data],$DD141,75),0)</f>
        <v/>
      </c>
      <c r="BZ141">
        <f>IFERROR(INDEX(PP_Grid[#Data],$DD141,76),0)</f>
        <v/>
      </c>
      <c r="CA141">
        <f>IFERROR(INDEX(PP_Grid[#Data],$DD141,77),0)</f>
        <v/>
      </c>
      <c r="CB141">
        <f>IFERROR(INDEX(PP_Grid[#Data],$DD141,78),0)</f>
        <v/>
      </c>
      <c r="CC141">
        <f>IFERROR(INDEX(PP_Grid[#Data],$DD141,79),0)</f>
        <v/>
      </c>
      <c r="CD141">
        <f>IFERROR(INDEX(PP_Grid[#Data],$DD141,80),0)</f>
        <v/>
      </c>
      <c r="CE141">
        <f>IFERROR(INDEX(PP_Grid[#Data],$DD141,81),0)</f>
        <v/>
      </c>
      <c r="CF141">
        <f>IFERROR(INDEX(PP_Grid[#Data],$DD141,82),0)</f>
        <v/>
      </c>
      <c r="CG141">
        <f>IFERROR(INDEX(PP_Grid[#Data],$DD141,83),0)</f>
        <v/>
      </c>
      <c r="CH141">
        <f>IFERROR(INDEX(PP_Grid[#Data],$DD141,84),0)</f>
        <v/>
      </c>
      <c r="CI141">
        <f>IFERROR(INDEX(PP_Grid[#Data],$DD141,85),0)</f>
        <v/>
      </c>
      <c r="CJ141">
        <f>IFERROR(INDEX(PP_Grid[#Data],$DD141,86),0)</f>
        <v/>
      </c>
      <c r="CK141">
        <f>IFERROR(INDEX(PP_Grid[#Data],$DD141,87),0)</f>
        <v/>
      </c>
      <c r="CL141">
        <f>IFERROR(INDEX(PP_Grid[#Data],$DD141,88),0)</f>
        <v/>
      </c>
      <c r="CM141">
        <f>IFERROR(INDEX(PP_Grid[#Data],$DD141,89),0)</f>
        <v/>
      </c>
      <c r="CN141">
        <f>IFERROR(INDEX(PP_Grid[#Data],$DD141,90),0)</f>
        <v/>
      </c>
      <c r="CO141">
        <f>IFERROR(INDEX(PP_Grid[#Data],$DD141,91),0)</f>
        <v/>
      </c>
      <c r="CP141">
        <f>IFERROR(INDEX(PP_Grid[#Data],$DD141,92),0)</f>
        <v/>
      </c>
      <c r="CQ141">
        <f>IFERROR(INDEX(PP_Grid[#Data],$DD141,93),0)</f>
        <v/>
      </c>
      <c r="CR141">
        <f>IFERROR(INDEX(PP_Grid[#Data],$DD141,94),0)</f>
        <v/>
      </c>
      <c r="CS141">
        <f>IFERROR(INDEX(PP_Grid[#Data],$DD141,95),0)</f>
        <v/>
      </c>
      <c r="CT141">
        <f>IFERROR(INDEX(PP_Grid[#Data],$DD141,96),0)</f>
        <v/>
      </c>
      <c r="CU141">
        <f>IFERROR(INDEX(PP_Grid[#Data],$DD141,97),0)</f>
        <v/>
      </c>
      <c r="CV141">
        <f>IFERROR(INDEX(PP_Grid[#Data],$DD141,98),0)</f>
        <v/>
      </c>
      <c r="CW141">
        <f>IFERROR(INDEX(PP_Grid[#Data],$DD141,99),0)</f>
        <v/>
      </c>
      <c r="CX141">
        <f>IFERROR(INDEX(PP_Grid[#Data],$DD141,100),0)</f>
        <v/>
      </c>
      <c r="CY141">
        <f>IFERROR(INDEX(PP_Grid[#Data],$DD141,101),0)</f>
        <v/>
      </c>
      <c r="CZ141">
        <f>IFERROR(INDEX(PP_Grid[#Data],$DD141,102),0)</f>
        <v/>
      </c>
      <c r="DA141">
        <f>IFERROR(INDEX(PP_Grid[#Data],$DD141,103),0)</f>
        <v/>
      </c>
      <c r="DB141">
        <f>IFERROR(INDEX(PP_Grid[#Data],$DD141,104),0)</f>
        <v/>
      </c>
      <c r="DC141">
        <f>IFERROR(INDEX(PP_Grid[#Data],$DD141,105),0)</f>
        <v/>
      </c>
      <c r="DD141" s="7">
        <f>IFERROR(MATCH($B141,PP_Grid[Intermediate],0),99999)</f>
        <v/>
      </c>
    </row>
    <row r="142">
      <c r="B142" t="inlineStr">
        <is>
          <t>使用量(kg)</t>
        </is>
      </c>
      <c r="C142">
        <f>SUMIFS(M_BOM[RM_Qty_Per_Batch],M_BOM[Intermediate],$B141,M_BOM[Part Name],$A44)</f>
        <v/>
      </c>
      <c r="D142">
        <f>$C142*D141</f>
        <v/>
      </c>
      <c r="E142">
        <f>$C142*E141</f>
        <v/>
      </c>
      <c r="F142">
        <f>$C142*F141</f>
        <v/>
      </c>
      <c r="G142">
        <f>$C142*G141</f>
        <v/>
      </c>
      <c r="H142">
        <f>$C142*H141</f>
        <v/>
      </c>
      <c r="I142">
        <f>$C142*I141</f>
        <v/>
      </c>
      <c r="J142">
        <f>$C142*J141</f>
        <v/>
      </c>
      <c r="K142">
        <f>$C142*K141</f>
        <v/>
      </c>
      <c r="L142">
        <f>$C142*L141</f>
        <v/>
      </c>
      <c r="M142">
        <f>$C142*M141</f>
        <v/>
      </c>
      <c r="N142">
        <f>$C142*N141</f>
        <v/>
      </c>
      <c r="O142">
        <f>$C142*O141</f>
        <v/>
      </c>
      <c r="P142">
        <f>$C142*P141</f>
        <v/>
      </c>
      <c r="Q142">
        <f>$C142*Q141</f>
        <v/>
      </c>
      <c r="R142">
        <f>$C142*R141</f>
        <v/>
      </c>
      <c r="S142">
        <f>$C142*S141</f>
        <v/>
      </c>
      <c r="T142">
        <f>$C142*T141</f>
        <v/>
      </c>
      <c r="U142">
        <f>$C142*U141</f>
        <v/>
      </c>
      <c r="V142">
        <f>$C142*V141</f>
        <v/>
      </c>
      <c r="W142">
        <f>$C142*W141</f>
        <v/>
      </c>
      <c r="X142">
        <f>$C142*X141</f>
        <v/>
      </c>
      <c r="Y142">
        <f>$C142*Y141</f>
        <v/>
      </c>
      <c r="Z142">
        <f>$C142*Z141</f>
        <v/>
      </c>
      <c r="AA142">
        <f>$C142*AA141</f>
        <v/>
      </c>
      <c r="AB142">
        <f>$C142*AB141</f>
        <v/>
      </c>
      <c r="AC142">
        <f>$C142*AC141</f>
        <v/>
      </c>
      <c r="AD142">
        <f>$C142*AD141</f>
        <v/>
      </c>
      <c r="AE142">
        <f>$C142*AE141</f>
        <v/>
      </c>
      <c r="AF142">
        <f>$C142*AF141</f>
        <v/>
      </c>
      <c r="AG142">
        <f>$C142*AG141</f>
        <v/>
      </c>
      <c r="AH142">
        <f>$C142*AH141</f>
        <v/>
      </c>
      <c r="AI142">
        <f>$C142*AI141</f>
        <v/>
      </c>
      <c r="AJ142">
        <f>$C142*AJ141</f>
        <v/>
      </c>
      <c r="AK142">
        <f>$C142*AK141</f>
        <v/>
      </c>
      <c r="AL142">
        <f>$C142*AL141</f>
        <v/>
      </c>
      <c r="AM142">
        <f>$C142*AM141</f>
        <v/>
      </c>
      <c r="AN142">
        <f>$C142*AN141</f>
        <v/>
      </c>
      <c r="AO142">
        <f>$C142*AO141</f>
        <v/>
      </c>
      <c r="AP142">
        <f>$C142*AP141</f>
        <v/>
      </c>
      <c r="AQ142">
        <f>$C142*AQ141</f>
        <v/>
      </c>
      <c r="AR142">
        <f>$C142*AR141</f>
        <v/>
      </c>
      <c r="AS142">
        <f>$C142*AS141</f>
        <v/>
      </c>
      <c r="AT142">
        <f>$C142*AT141</f>
        <v/>
      </c>
      <c r="AU142">
        <f>$C142*AU141</f>
        <v/>
      </c>
      <c r="AV142">
        <f>$C142*AV141</f>
        <v/>
      </c>
      <c r="AW142">
        <f>$C142*AW141</f>
        <v/>
      </c>
      <c r="AX142">
        <f>$C142*AX141</f>
        <v/>
      </c>
      <c r="AY142">
        <f>$C142*AY141</f>
        <v/>
      </c>
      <c r="AZ142">
        <f>$C142*AZ141</f>
        <v/>
      </c>
      <c r="BA142">
        <f>$C142*BA141</f>
        <v/>
      </c>
      <c r="BB142">
        <f>$C142*BB141</f>
        <v/>
      </c>
      <c r="BC142">
        <f>$C142*BC141</f>
        <v/>
      </c>
      <c r="BD142">
        <f>$C142*BD141</f>
        <v/>
      </c>
      <c r="BE142">
        <f>$C142*BE141</f>
        <v/>
      </c>
      <c r="BF142">
        <f>$C142*BF141</f>
        <v/>
      </c>
      <c r="BG142">
        <f>$C142*BG141</f>
        <v/>
      </c>
      <c r="BH142">
        <f>$C142*BH141</f>
        <v/>
      </c>
      <c r="BI142">
        <f>$C142*BI141</f>
        <v/>
      </c>
      <c r="BJ142">
        <f>$C142*BJ141</f>
        <v/>
      </c>
      <c r="BK142">
        <f>$C142*BK141</f>
        <v/>
      </c>
      <c r="BL142">
        <f>$C142*BL141</f>
        <v/>
      </c>
      <c r="BM142">
        <f>$C142*BM141</f>
        <v/>
      </c>
      <c r="BN142">
        <f>$C142*BN141</f>
        <v/>
      </c>
      <c r="BO142">
        <f>$C142*BO141</f>
        <v/>
      </c>
      <c r="BP142">
        <f>$C142*BP141</f>
        <v/>
      </c>
      <c r="BQ142">
        <f>$C142*BQ141</f>
        <v/>
      </c>
      <c r="BR142">
        <f>$C142*BR141</f>
        <v/>
      </c>
      <c r="BS142">
        <f>$C142*BS141</f>
        <v/>
      </c>
      <c r="BT142">
        <f>$C142*BT141</f>
        <v/>
      </c>
      <c r="BU142">
        <f>$C142*BU141</f>
        <v/>
      </c>
      <c r="BV142">
        <f>$C142*BV141</f>
        <v/>
      </c>
      <c r="BW142">
        <f>$C142*BW141</f>
        <v/>
      </c>
      <c r="BX142">
        <f>$C142*BX141</f>
        <v/>
      </c>
      <c r="BY142">
        <f>$C142*BY141</f>
        <v/>
      </c>
      <c r="BZ142">
        <f>$C142*BZ141</f>
        <v/>
      </c>
      <c r="CA142">
        <f>$C142*CA141</f>
        <v/>
      </c>
      <c r="CB142">
        <f>$C142*CB141</f>
        <v/>
      </c>
      <c r="CC142">
        <f>$C142*CC141</f>
        <v/>
      </c>
      <c r="CD142">
        <f>$C142*CD141</f>
        <v/>
      </c>
      <c r="CE142">
        <f>$C142*CE141</f>
        <v/>
      </c>
      <c r="CF142">
        <f>$C142*CF141</f>
        <v/>
      </c>
      <c r="CG142">
        <f>$C142*CG141</f>
        <v/>
      </c>
      <c r="CH142">
        <f>$C142*CH141</f>
        <v/>
      </c>
      <c r="CI142">
        <f>$C142*CI141</f>
        <v/>
      </c>
      <c r="CJ142">
        <f>$C142*CJ141</f>
        <v/>
      </c>
      <c r="CK142">
        <f>$C142*CK141</f>
        <v/>
      </c>
      <c r="CL142">
        <f>$C142*CL141</f>
        <v/>
      </c>
      <c r="CM142">
        <f>$C142*CM141</f>
        <v/>
      </c>
      <c r="CN142">
        <f>$C142*CN141</f>
        <v/>
      </c>
      <c r="CO142">
        <f>$C142*CO141</f>
        <v/>
      </c>
      <c r="CP142">
        <f>$C142*CP141</f>
        <v/>
      </c>
      <c r="CQ142">
        <f>$C142*CQ141</f>
        <v/>
      </c>
      <c r="CR142">
        <f>$C142*CR141</f>
        <v/>
      </c>
      <c r="CS142">
        <f>$C142*CS141</f>
        <v/>
      </c>
      <c r="CT142">
        <f>$C142*CT141</f>
        <v/>
      </c>
      <c r="CU142">
        <f>$C142*CU141</f>
        <v/>
      </c>
      <c r="CV142">
        <f>$C142*CV141</f>
        <v/>
      </c>
      <c r="CW142">
        <f>$C142*CW141</f>
        <v/>
      </c>
      <c r="CX142">
        <f>$C142*CX141</f>
        <v/>
      </c>
      <c r="CY142">
        <f>$C142*CY141</f>
        <v/>
      </c>
      <c r="CZ142">
        <f>$C142*CZ141</f>
        <v/>
      </c>
      <c r="DA142">
        <f>$C142*DA141</f>
        <v/>
      </c>
      <c r="DB142">
        <f>$C142*DB141</f>
        <v/>
      </c>
      <c r="DC142">
        <f>$C142*DC141</f>
        <v/>
      </c>
    </row>
    <row r="143">
      <c r="B143" t="inlineStr">
        <is>
          <t>TSP-937</t>
        </is>
      </c>
      <c r="C143" t="inlineStr">
        <is>
          <t>No. of batches</t>
        </is>
      </c>
      <c r="D143">
        <f>IFERROR(INDEX(PP_Grid[#Data],$DD143,2),0)</f>
        <v/>
      </c>
      <c r="E143">
        <f>IFERROR(INDEX(PP_Grid[#Data],$DD143,3),0)</f>
        <v/>
      </c>
      <c r="F143">
        <f>IFERROR(INDEX(PP_Grid[#Data],$DD143,4),0)</f>
        <v/>
      </c>
      <c r="G143">
        <f>IFERROR(INDEX(PP_Grid[#Data],$DD143,5),0)</f>
        <v/>
      </c>
      <c r="H143">
        <f>IFERROR(INDEX(PP_Grid[#Data],$DD143,6),0)</f>
        <v/>
      </c>
      <c r="I143">
        <f>IFERROR(INDEX(PP_Grid[#Data],$DD143,7),0)</f>
        <v/>
      </c>
      <c r="J143">
        <f>IFERROR(INDEX(PP_Grid[#Data],$DD143,8),0)</f>
        <v/>
      </c>
      <c r="K143">
        <f>IFERROR(INDEX(PP_Grid[#Data],$DD143,9),0)</f>
        <v/>
      </c>
      <c r="L143">
        <f>IFERROR(INDEX(PP_Grid[#Data],$DD143,10),0)</f>
        <v/>
      </c>
      <c r="M143">
        <f>IFERROR(INDEX(PP_Grid[#Data],$DD143,11),0)</f>
        <v/>
      </c>
      <c r="N143">
        <f>IFERROR(INDEX(PP_Grid[#Data],$DD143,12),0)</f>
        <v/>
      </c>
      <c r="O143">
        <f>IFERROR(INDEX(PP_Grid[#Data],$DD143,13),0)</f>
        <v/>
      </c>
      <c r="P143">
        <f>IFERROR(INDEX(PP_Grid[#Data],$DD143,14),0)</f>
        <v/>
      </c>
      <c r="Q143">
        <f>IFERROR(INDEX(PP_Grid[#Data],$DD143,15),0)</f>
        <v/>
      </c>
      <c r="R143">
        <f>IFERROR(INDEX(PP_Grid[#Data],$DD143,16),0)</f>
        <v/>
      </c>
      <c r="S143">
        <f>IFERROR(INDEX(PP_Grid[#Data],$DD143,17),0)</f>
        <v/>
      </c>
      <c r="T143">
        <f>IFERROR(INDEX(PP_Grid[#Data],$DD143,18),0)</f>
        <v/>
      </c>
      <c r="U143">
        <f>IFERROR(INDEX(PP_Grid[#Data],$DD143,19),0)</f>
        <v/>
      </c>
      <c r="V143">
        <f>IFERROR(INDEX(PP_Grid[#Data],$DD143,20),0)</f>
        <v/>
      </c>
      <c r="W143">
        <f>IFERROR(INDEX(PP_Grid[#Data],$DD143,21),0)</f>
        <v/>
      </c>
      <c r="X143">
        <f>IFERROR(INDEX(PP_Grid[#Data],$DD143,22),0)</f>
        <v/>
      </c>
      <c r="Y143">
        <f>IFERROR(INDEX(PP_Grid[#Data],$DD143,23),0)</f>
        <v/>
      </c>
      <c r="Z143">
        <f>IFERROR(INDEX(PP_Grid[#Data],$DD143,24),0)</f>
        <v/>
      </c>
      <c r="AA143">
        <f>IFERROR(INDEX(PP_Grid[#Data],$DD143,25),0)</f>
        <v/>
      </c>
      <c r="AB143">
        <f>IFERROR(INDEX(PP_Grid[#Data],$DD143,26),0)</f>
        <v/>
      </c>
      <c r="AC143">
        <f>IFERROR(INDEX(PP_Grid[#Data],$DD143,27),0)</f>
        <v/>
      </c>
      <c r="AD143">
        <f>IFERROR(INDEX(PP_Grid[#Data],$DD143,28),0)</f>
        <v/>
      </c>
      <c r="AE143">
        <f>IFERROR(INDEX(PP_Grid[#Data],$DD143,29),0)</f>
        <v/>
      </c>
      <c r="AF143">
        <f>IFERROR(INDEX(PP_Grid[#Data],$DD143,30),0)</f>
        <v/>
      </c>
      <c r="AG143">
        <f>IFERROR(INDEX(PP_Grid[#Data],$DD143,31),0)</f>
        <v/>
      </c>
      <c r="AH143">
        <f>IFERROR(INDEX(PP_Grid[#Data],$DD143,32),0)</f>
        <v/>
      </c>
      <c r="AI143">
        <f>IFERROR(INDEX(PP_Grid[#Data],$DD143,33),0)</f>
        <v/>
      </c>
      <c r="AJ143">
        <f>IFERROR(INDEX(PP_Grid[#Data],$DD143,34),0)</f>
        <v/>
      </c>
      <c r="AK143">
        <f>IFERROR(INDEX(PP_Grid[#Data],$DD143,35),0)</f>
        <v/>
      </c>
      <c r="AL143">
        <f>IFERROR(INDEX(PP_Grid[#Data],$DD143,36),0)</f>
        <v/>
      </c>
      <c r="AM143">
        <f>IFERROR(INDEX(PP_Grid[#Data],$DD143,37),0)</f>
        <v/>
      </c>
      <c r="AN143">
        <f>IFERROR(INDEX(PP_Grid[#Data],$DD143,38),0)</f>
        <v/>
      </c>
      <c r="AO143">
        <f>IFERROR(INDEX(PP_Grid[#Data],$DD143,39),0)</f>
        <v/>
      </c>
      <c r="AP143">
        <f>IFERROR(INDEX(PP_Grid[#Data],$DD143,40),0)</f>
        <v/>
      </c>
      <c r="AQ143">
        <f>IFERROR(INDEX(PP_Grid[#Data],$DD143,41),0)</f>
        <v/>
      </c>
      <c r="AR143">
        <f>IFERROR(INDEX(PP_Grid[#Data],$DD143,42),0)</f>
        <v/>
      </c>
      <c r="AS143">
        <f>IFERROR(INDEX(PP_Grid[#Data],$DD143,43),0)</f>
        <v/>
      </c>
      <c r="AT143">
        <f>IFERROR(INDEX(PP_Grid[#Data],$DD143,44),0)</f>
        <v/>
      </c>
      <c r="AU143">
        <f>IFERROR(INDEX(PP_Grid[#Data],$DD143,45),0)</f>
        <v/>
      </c>
      <c r="AV143">
        <f>IFERROR(INDEX(PP_Grid[#Data],$DD143,46),0)</f>
        <v/>
      </c>
      <c r="AW143">
        <f>IFERROR(INDEX(PP_Grid[#Data],$DD143,47),0)</f>
        <v/>
      </c>
      <c r="AX143">
        <f>IFERROR(INDEX(PP_Grid[#Data],$DD143,48),0)</f>
        <v/>
      </c>
      <c r="AY143">
        <f>IFERROR(INDEX(PP_Grid[#Data],$DD143,49),0)</f>
        <v/>
      </c>
      <c r="AZ143">
        <f>IFERROR(INDEX(PP_Grid[#Data],$DD143,50),0)</f>
        <v/>
      </c>
      <c r="BA143">
        <f>IFERROR(INDEX(PP_Grid[#Data],$DD143,51),0)</f>
        <v/>
      </c>
      <c r="BB143">
        <f>IFERROR(INDEX(PP_Grid[#Data],$DD143,52),0)</f>
        <v/>
      </c>
      <c r="BC143">
        <f>IFERROR(INDEX(PP_Grid[#Data],$DD143,53),0)</f>
        <v/>
      </c>
      <c r="BD143">
        <f>IFERROR(INDEX(PP_Grid[#Data],$DD143,54),0)</f>
        <v/>
      </c>
      <c r="BE143">
        <f>IFERROR(INDEX(PP_Grid[#Data],$DD143,55),0)</f>
        <v/>
      </c>
      <c r="BF143">
        <f>IFERROR(INDEX(PP_Grid[#Data],$DD143,56),0)</f>
        <v/>
      </c>
      <c r="BG143">
        <f>IFERROR(INDEX(PP_Grid[#Data],$DD143,57),0)</f>
        <v/>
      </c>
      <c r="BH143">
        <f>IFERROR(INDEX(PP_Grid[#Data],$DD143,58),0)</f>
        <v/>
      </c>
      <c r="BI143">
        <f>IFERROR(INDEX(PP_Grid[#Data],$DD143,59),0)</f>
        <v/>
      </c>
      <c r="BJ143">
        <f>IFERROR(INDEX(PP_Grid[#Data],$DD143,60),0)</f>
        <v/>
      </c>
      <c r="BK143">
        <f>IFERROR(INDEX(PP_Grid[#Data],$DD143,61),0)</f>
        <v/>
      </c>
      <c r="BL143">
        <f>IFERROR(INDEX(PP_Grid[#Data],$DD143,62),0)</f>
        <v/>
      </c>
      <c r="BM143">
        <f>IFERROR(INDEX(PP_Grid[#Data],$DD143,63),0)</f>
        <v/>
      </c>
      <c r="BN143">
        <f>IFERROR(INDEX(PP_Grid[#Data],$DD143,64),0)</f>
        <v/>
      </c>
      <c r="BO143">
        <f>IFERROR(INDEX(PP_Grid[#Data],$DD143,65),0)</f>
        <v/>
      </c>
      <c r="BP143">
        <f>IFERROR(INDEX(PP_Grid[#Data],$DD143,66),0)</f>
        <v/>
      </c>
      <c r="BQ143">
        <f>IFERROR(INDEX(PP_Grid[#Data],$DD143,67),0)</f>
        <v/>
      </c>
      <c r="BR143">
        <f>IFERROR(INDEX(PP_Grid[#Data],$DD143,68),0)</f>
        <v/>
      </c>
      <c r="BS143">
        <f>IFERROR(INDEX(PP_Grid[#Data],$DD143,69),0)</f>
        <v/>
      </c>
      <c r="BT143">
        <f>IFERROR(INDEX(PP_Grid[#Data],$DD143,70),0)</f>
        <v/>
      </c>
      <c r="BU143">
        <f>IFERROR(INDEX(PP_Grid[#Data],$DD143,71),0)</f>
        <v/>
      </c>
      <c r="BV143">
        <f>IFERROR(INDEX(PP_Grid[#Data],$DD143,72),0)</f>
        <v/>
      </c>
      <c r="BW143">
        <f>IFERROR(INDEX(PP_Grid[#Data],$DD143,73),0)</f>
        <v/>
      </c>
      <c r="BX143">
        <f>IFERROR(INDEX(PP_Grid[#Data],$DD143,74),0)</f>
        <v/>
      </c>
      <c r="BY143">
        <f>IFERROR(INDEX(PP_Grid[#Data],$DD143,75),0)</f>
        <v/>
      </c>
      <c r="BZ143">
        <f>IFERROR(INDEX(PP_Grid[#Data],$DD143,76),0)</f>
        <v/>
      </c>
      <c r="CA143">
        <f>IFERROR(INDEX(PP_Grid[#Data],$DD143,77),0)</f>
        <v/>
      </c>
      <c r="CB143">
        <f>IFERROR(INDEX(PP_Grid[#Data],$DD143,78),0)</f>
        <v/>
      </c>
      <c r="CC143">
        <f>IFERROR(INDEX(PP_Grid[#Data],$DD143,79),0)</f>
        <v/>
      </c>
      <c r="CD143">
        <f>IFERROR(INDEX(PP_Grid[#Data],$DD143,80),0)</f>
        <v/>
      </c>
      <c r="CE143">
        <f>IFERROR(INDEX(PP_Grid[#Data],$DD143,81),0)</f>
        <v/>
      </c>
      <c r="CF143">
        <f>IFERROR(INDEX(PP_Grid[#Data],$DD143,82),0)</f>
        <v/>
      </c>
      <c r="CG143">
        <f>IFERROR(INDEX(PP_Grid[#Data],$DD143,83),0)</f>
        <v/>
      </c>
      <c r="CH143">
        <f>IFERROR(INDEX(PP_Grid[#Data],$DD143,84),0)</f>
        <v/>
      </c>
      <c r="CI143">
        <f>IFERROR(INDEX(PP_Grid[#Data],$DD143,85),0)</f>
        <v/>
      </c>
      <c r="CJ143">
        <f>IFERROR(INDEX(PP_Grid[#Data],$DD143,86),0)</f>
        <v/>
      </c>
      <c r="CK143">
        <f>IFERROR(INDEX(PP_Grid[#Data],$DD143,87),0)</f>
        <v/>
      </c>
      <c r="CL143">
        <f>IFERROR(INDEX(PP_Grid[#Data],$DD143,88),0)</f>
        <v/>
      </c>
      <c r="CM143">
        <f>IFERROR(INDEX(PP_Grid[#Data],$DD143,89),0)</f>
        <v/>
      </c>
      <c r="CN143">
        <f>IFERROR(INDEX(PP_Grid[#Data],$DD143,90),0)</f>
        <v/>
      </c>
      <c r="CO143">
        <f>IFERROR(INDEX(PP_Grid[#Data],$DD143,91),0)</f>
        <v/>
      </c>
      <c r="CP143">
        <f>IFERROR(INDEX(PP_Grid[#Data],$DD143,92),0)</f>
        <v/>
      </c>
      <c r="CQ143">
        <f>IFERROR(INDEX(PP_Grid[#Data],$DD143,93),0)</f>
        <v/>
      </c>
      <c r="CR143">
        <f>IFERROR(INDEX(PP_Grid[#Data],$DD143,94),0)</f>
        <v/>
      </c>
      <c r="CS143">
        <f>IFERROR(INDEX(PP_Grid[#Data],$DD143,95),0)</f>
        <v/>
      </c>
      <c r="CT143">
        <f>IFERROR(INDEX(PP_Grid[#Data],$DD143,96),0)</f>
        <v/>
      </c>
      <c r="CU143">
        <f>IFERROR(INDEX(PP_Grid[#Data],$DD143,97),0)</f>
        <v/>
      </c>
      <c r="CV143">
        <f>IFERROR(INDEX(PP_Grid[#Data],$DD143,98),0)</f>
        <v/>
      </c>
      <c r="CW143">
        <f>IFERROR(INDEX(PP_Grid[#Data],$DD143,99),0)</f>
        <v/>
      </c>
      <c r="CX143">
        <f>IFERROR(INDEX(PP_Grid[#Data],$DD143,100),0)</f>
        <v/>
      </c>
      <c r="CY143">
        <f>IFERROR(INDEX(PP_Grid[#Data],$DD143,101),0)</f>
        <v/>
      </c>
      <c r="CZ143">
        <f>IFERROR(INDEX(PP_Grid[#Data],$DD143,102),0)</f>
        <v/>
      </c>
      <c r="DA143">
        <f>IFERROR(INDEX(PP_Grid[#Data],$DD143,103),0)</f>
        <v/>
      </c>
      <c r="DB143">
        <f>IFERROR(INDEX(PP_Grid[#Data],$DD143,104),0)</f>
        <v/>
      </c>
      <c r="DC143">
        <f>IFERROR(INDEX(PP_Grid[#Data],$DD143,105),0)</f>
        <v/>
      </c>
      <c r="DD143" s="7">
        <f>IFERROR(MATCH($B143,PP_Grid[Intermediate],0),99999)</f>
        <v/>
      </c>
    </row>
    <row r="144">
      <c r="B144" t="inlineStr">
        <is>
          <t>使用量(kg)</t>
        </is>
      </c>
      <c r="C144">
        <f>SUMIFS(M_BOM[RM_Qty_Per_Batch],M_BOM[Intermediate],$B143,M_BOM[Part Name],$A44)</f>
        <v/>
      </c>
      <c r="D144">
        <f>$C144*D143</f>
        <v/>
      </c>
      <c r="E144">
        <f>$C144*E143</f>
        <v/>
      </c>
      <c r="F144">
        <f>$C144*F143</f>
        <v/>
      </c>
      <c r="G144">
        <f>$C144*G143</f>
        <v/>
      </c>
      <c r="H144">
        <f>$C144*H143</f>
        <v/>
      </c>
      <c r="I144">
        <f>$C144*I143</f>
        <v/>
      </c>
      <c r="J144">
        <f>$C144*J143</f>
        <v/>
      </c>
      <c r="K144">
        <f>$C144*K143</f>
        <v/>
      </c>
      <c r="L144">
        <f>$C144*L143</f>
        <v/>
      </c>
      <c r="M144">
        <f>$C144*M143</f>
        <v/>
      </c>
      <c r="N144">
        <f>$C144*N143</f>
        <v/>
      </c>
      <c r="O144">
        <f>$C144*O143</f>
        <v/>
      </c>
      <c r="P144">
        <f>$C144*P143</f>
        <v/>
      </c>
      <c r="Q144">
        <f>$C144*Q143</f>
        <v/>
      </c>
      <c r="R144">
        <f>$C144*R143</f>
        <v/>
      </c>
      <c r="S144">
        <f>$C144*S143</f>
        <v/>
      </c>
      <c r="T144">
        <f>$C144*T143</f>
        <v/>
      </c>
      <c r="U144">
        <f>$C144*U143</f>
        <v/>
      </c>
      <c r="V144">
        <f>$C144*V143</f>
        <v/>
      </c>
      <c r="W144">
        <f>$C144*W143</f>
        <v/>
      </c>
      <c r="X144">
        <f>$C144*X143</f>
        <v/>
      </c>
      <c r="Y144">
        <f>$C144*Y143</f>
        <v/>
      </c>
      <c r="Z144">
        <f>$C144*Z143</f>
        <v/>
      </c>
      <c r="AA144">
        <f>$C144*AA143</f>
        <v/>
      </c>
      <c r="AB144">
        <f>$C144*AB143</f>
        <v/>
      </c>
      <c r="AC144">
        <f>$C144*AC143</f>
        <v/>
      </c>
      <c r="AD144">
        <f>$C144*AD143</f>
        <v/>
      </c>
      <c r="AE144">
        <f>$C144*AE143</f>
        <v/>
      </c>
      <c r="AF144">
        <f>$C144*AF143</f>
        <v/>
      </c>
      <c r="AG144">
        <f>$C144*AG143</f>
        <v/>
      </c>
      <c r="AH144">
        <f>$C144*AH143</f>
        <v/>
      </c>
      <c r="AI144">
        <f>$C144*AI143</f>
        <v/>
      </c>
      <c r="AJ144">
        <f>$C144*AJ143</f>
        <v/>
      </c>
      <c r="AK144">
        <f>$C144*AK143</f>
        <v/>
      </c>
      <c r="AL144">
        <f>$C144*AL143</f>
        <v/>
      </c>
      <c r="AM144">
        <f>$C144*AM143</f>
        <v/>
      </c>
      <c r="AN144">
        <f>$C144*AN143</f>
        <v/>
      </c>
      <c r="AO144">
        <f>$C144*AO143</f>
        <v/>
      </c>
      <c r="AP144">
        <f>$C144*AP143</f>
        <v/>
      </c>
      <c r="AQ144">
        <f>$C144*AQ143</f>
        <v/>
      </c>
      <c r="AR144">
        <f>$C144*AR143</f>
        <v/>
      </c>
      <c r="AS144">
        <f>$C144*AS143</f>
        <v/>
      </c>
      <c r="AT144">
        <f>$C144*AT143</f>
        <v/>
      </c>
      <c r="AU144">
        <f>$C144*AU143</f>
        <v/>
      </c>
      <c r="AV144">
        <f>$C144*AV143</f>
        <v/>
      </c>
      <c r="AW144">
        <f>$C144*AW143</f>
        <v/>
      </c>
      <c r="AX144">
        <f>$C144*AX143</f>
        <v/>
      </c>
      <c r="AY144">
        <f>$C144*AY143</f>
        <v/>
      </c>
      <c r="AZ144">
        <f>$C144*AZ143</f>
        <v/>
      </c>
      <c r="BA144">
        <f>$C144*BA143</f>
        <v/>
      </c>
      <c r="BB144">
        <f>$C144*BB143</f>
        <v/>
      </c>
      <c r="BC144">
        <f>$C144*BC143</f>
        <v/>
      </c>
      <c r="BD144">
        <f>$C144*BD143</f>
        <v/>
      </c>
      <c r="BE144">
        <f>$C144*BE143</f>
        <v/>
      </c>
      <c r="BF144">
        <f>$C144*BF143</f>
        <v/>
      </c>
      <c r="BG144">
        <f>$C144*BG143</f>
        <v/>
      </c>
      <c r="BH144">
        <f>$C144*BH143</f>
        <v/>
      </c>
      <c r="BI144">
        <f>$C144*BI143</f>
        <v/>
      </c>
      <c r="BJ144">
        <f>$C144*BJ143</f>
        <v/>
      </c>
      <c r="BK144">
        <f>$C144*BK143</f>
        <v/>
      </c>
      <c r="BL144">
        <f>$C144*BL143</f>
        <v/>
      </c>
      <c r="BM144">
        <f>$C144*BM143</f>
        <v/>
      </c>
      <c r="BN144">
        <f>$C144*BN143</f>
        <v/>
      </c>
      <c r="BO144">
        <f>$C144*BO143</f>
        <v/>
      </c>
      <c r="BP144">
        <f>$C144*BP143</f>
        <v/>
      </c>
      <c r="BQ144">
        <f>$C144*BQ143</f>
        <v/>
      </c>
      <c r="BR144">
        <f>$C144*BR143</f>
        <v/>
      </c>
      <c r="BS144">
        <f>$C144*BS143</f>
        <v/>
      </c>
      <c r="BT144">
        <f>$C144*BT143</f>
        <v/>
      </c>
      <c r="BU144">
        <f>$C144*BU143</f>
        <v/>
      </c>
      <c r="BV144">
        <f>$C144*BV143</f>
        <v/>
      </c>
      <c r="BW144">
        <f>$C144*BW143</f>
        <v/>
      </c>
      <c r="BX144">
        <f>$C144*BX143</f>
        <v/>
      </c>
      <c r="BY144">
        <f>$C144*BY143</f>
        <v/>
      </c>
      <c r="BZ144">
        <f>$C144*BZ143</f>
        <v/>
      </c>
      <c r="CA144">
        <f>$C144*CA143</f>
        <v/>
      </c>
      <c r="CB144">
        <f>$C144*CB143</f>
        <v/>
      </c>
      <c r="CC144">
        <f>$C144*CC143</f>
        <v/>
      </c>
      <c r="CD144">
        <f>$C144*CD143</f>
        <v/>
      </c>
      <c r="CE144">
        <f>$C144*CE143</f>
        <v/>
      </c>
      <c r="CF144">
        <f>$C144*CF143</f>
        <v/>
      </c>
      <c r="CG144">
        <f>$C144*CG143</f>
        <v/>
      </c>
      <c r="CH144">
        <f>$C144*CH143</f>
        <v/>
      </c>
      <c r="CI144">
        <f>$C144*CI143</f>
        <v/>
      </c>
      <c r="CJ144">
        <f>$C144*CJ143</f>
        <v/>
      </c>
      <c r="CK144">
        <f>$C144*CK143</f>
        <v/>
      </c>
      <c r="CL144">
        <f>$C144*CL143</f>
        <v/>
      </c>
      <c r="CM144">
        <f>$C144*CM143</f>
        <v/>
      </c>
      <c r="CN144">
        <f>$C144*CN143</f>
        <v/>
      </c>
      <c r="CO144">
        <f>$C144*CO143</f>
        <v/>
      </c>
      <c r="CP144">
        <f>$C144*CP143</f>
        <v/>
      </c>
      <c r="CQ144">
        <f>$C144*CQ143</f>
        <v/>
      </c>
      <c r="CR144">
        <f>$C144*CR143</f>
        <v/>
      </c>
      <c r="CS144">
        <f>$C144*CS143</f>
        <v/>
      </c>
      <c r="CT144">
        <f>$C144*CT143</f>
        <v/>
      </c>
      <c r="CU144">
        <f>$C144*CU143</f>
        <v/>
      </c>
      <c r="CV144">
        <f>$C144*CV143</f>
        <v/>
      </c>
      <c r="CW144">
        <f>$C144*CW143</f>
        <v/>
      </c>
      <c r="CX144">
        <f>$C144*CX143</f>
        <v/>
      </c>
      <c r="CY144">
        <f>$C144*CY143</f>
        <v/>
      </c>
      <c r="CZ144">
        <f>$C144*CZ143</f>
        <v/>
      </c>
      <c r="DA144">
        <f>$C144*DA143</f>
        <v/>
      </c>
      <c r="DB144">
        <f>$C144*DB143</f>
        <v/>
      </c>
      <c r="DC144">
        <f>$C144*DC143</f>
        <v/>
      </c>
    </row>
    <row r="145">
      <c r="B145" t="inlineStr">
        <is>
          <t>TSP-959</t>
        </is>
      </c>
      <c r="C145" t="inlineStr">
        <is>
          <t>No. of batches</t>
        </is>
      </c>
      <c r="D145">
        <f>IFERROR(INDEX(PP_Grid[#Data],$DD145,2),0)</f>
        <v/>
      </c>
      <c r="E145">
        <f>IFERROR(INDEX(PP_Grid[#Data],$DD145,3),0)</f>
        <v/>
      </c>
      <c r="F145">
        <f>IFERROR(INDEX(PP_Grid[#Data],$DD145,4),0)</f>
        <v/>
      </c>
      <c r="G145">
        <f>IFERROR(INDEX(PP_Grid[#Data],$DD145,5),0)</f>
        <v/>
      </c>
      <c r="H145">
        <f>IFERROR(INDEX(PP_Grid[#Data],$DD145,6),0)</f>
        <v/>
      </c>
      <c r="I145">
        <f>IFERROR(INDEX(PP_Grid[#Data],$DD145,7),0)</f>
        <v/>
      </c>
      <c r="J145">
        <f>IFERROR(INDEX(PP_Grid[#Data],$DD145,8),0)</f>
        <v/>
      </c>
      <c r="K145">
        <f>IFERROR(INDEX(PP_Grid[#Data],$DD145,9),0)</f>
        <v/>
      </c>
      <c r="L145">
        <f>IFERROR(INDEX(PP_Grid[#Data],$DD145,10),0)</f>
        <v/>
      </c>
      <c r="M145">
        <f>IFERROR(INDEX(PP_Grid[#Data],$DD145,11),0)</f>
        <v/>
      </c>
      <c r="N145">
        <f>IFERROR(INDEX(PP_Grid[#Data],$DD145,12),0)</f>
        <v/>
      </c>
      <c r="O145">
        <f>IFERROR(INDEX(PP_Grid[#Data],$DD145,13),0)</f>
        <v/>
      </c>
      <c r="P145">
        <f>IFERROR(INDEX(PP_Grid[#Data],$DD145,14),0)</f>
        <v/>
      </c>
      <c r="Q145">
        <f>IFERROR(INDEX(PP_Grid[#Data],$DD145,15),0)</f>
        <v/>
      </c>
      <c r="R145">
        <f>IFERROR(INDEX(PP_Grid[#Data],$DD145,16),0)</f>
        <v/>
      </c>
      <c r="S145">
        <f>IFERROR(INDEX(PP_Grid[#Data],$DD145,17),0)</f>
        <v/>
      </c>
      <c r="T145">
        <f>IFERROR(INDEX(PP_Grid[#Data],$DD145,18),0)</f>
        <v/>
      </c>
      <c r="U145">
        <f>IFERROR(INDEX(PP_Grid[#Data],$DD145,19),0)</f>
        <v/>
      </c>
      <c r="V145">
        <f>IFERROR(INDEX(PP_Grid[#Data],$DD145,20),0)</f>
        <v/>
      </c>
      <c r="W145">
        <f>IFERROR(INDEX(PP_Grid[#Data],$DD145,21),0)</f>
        <v/>
      </c>
      <c r="X145">
        <f>IFERROR(INDEX(PP_Grid[#Data],$DD145,22),0)</f>
        <v/>
      </c>
      <c r="Y145">
        <f>IFERROR(INDEX(PP_Grid[#Data],$DD145,23),0)</f>
        <v/>
      </c>
      <c r="Z145">
        <f>IFERROR(INDEX(PP_Grid[#Data],$DD145,24),0)</f>
        <v/>
      </c>
      <c r="AA145">
        <f>IFERROR(INDEX(PP_Grid[#Data],$DD145,25),0)</f>
        <v/>
      </c>
      <c r="AB145">
        <f>IFERROR(INDEX(PP_Grid[#Data],$DD145,26),0)</f>
        <v/>
      </c>
      <c r="AC145">
        <f>IFERROR(INDEX(PP_Grid[#Data],$DD145,27),0)</f>
        <v/>
      </c>
      <c r="AD145">
        <f>IFERROR(INDEX(PP_Grid[#Data],$DD145,28),0)</f>
        <v/>
      </c>
      <c r="AE145">
        <f>IFERROR(INDEX(PP_Grid[#Data],$DD145,29),0)</f>
        <v/>
      </c>
      <c r="AF145">
        <f>IFERROR(INDEX(PP_Grid[#Data],$DD145,30),0)</f>
        <v/>
      </c>
      <c r="AG145">
        <f>IFERROR(INDEX(PP_Grid[#Data],$DD145,31),0)</f>
        <v/>
      </c>
      <c r="AH145">
        <f>IFERROR(INDEX(PP_Grid[#Data],$DD145,32),0)</f>
        <v/>
      </c>
      <c r="AI145">
        <f>IFERROR(INDEX(PP_Grid[#Data],$DD145,33),0)</f>
        <v/>
      </c>
      <c r="AJ145">
        <f>IFERROR(INDEX(PP_Grid[#Data],$DD145,34),0)</f>
        <v/>
      </c>
      <c r="AK145">
        <f>IFERROR(INDEX(PP_Grid[#Data],$DD145,35),0)</f>
        <v/>
      </c>
      <c r="AL145">
        <f>IFERROR(INDEX(PP_Grid[#Data],$DD145,36),0)</f>
        <v/>
      </c>
      <c r="AM145">
        <f>IFERROR(INDEX(PP_Grid[#Data],$DD145,37),0)</f>
        <v/>
      </c>
      <c r="AN145">
        <f>IFERROR(INDEX(PP_Grid[#Data],$DD145,38),0)</f>
        <v/>
      </c>
      <c r="AO145">
        <f>IFERROR(INDEX(PP_Grid[#Data],$DD145,39),0)</f>
        <v/>
      </c>
      <c r="AP145">
        <f>IFERROR(INDEX(PP_Grid[#Data],$DD145,40),0)</f>
        <v/>
      </c>
      <c r="AQ145">
        <f>IFERROR(INDEX(PP_Grid[#Data],$DD145,41),0)</f>
        <v/>
      </c>
      <c r="AR145">
        <f>IFERROR(INDEX(PP_Grid[#Data],$DD145,42),0)</f>
        <v/>
      </c>
      <c r="AS145">
        <f>IFERROR(INDEX(PP_Grid[#Data],$DD145,43),0)</f>
        <v/>
      </c>
      <c r="AT145">
        <f>IFERROR(INDEX(PP_Grid[#Data],$DD145,44),0)</f>
        <v/>
      </c>
      <c r="AU145">
        <f>IFERROR(INDEX(PP_Grid[#Data],$DD145,45),0)</f>
        <v/>
      </c>
      <c r="AV145">
        <f>IFERROR(INDEX(PP_Grid[#Data],$DD145,46),0)</f>
        <v/>
      </c>
      <c r="AW145">
        <f>IFERROR(INDEX(PP_Grid[#Data],$DD145,47),0)</f>
        <v/>
      </c>
      <c r="AX145">
        <f>IFERROR(INDEX(PP_Grid[#Data],$DD145,48),0)</f>
        <v/>
      </c>
      <c r="AY145">
        <f>IFERROR(INDEX(PP_Grid[#Data],$DD145,49),0)</f>
        <v/>
      </c>
      <c r="AZ145">
        <f>IFERROR(INDEX(PP_Grid[#Data],$DD145,50),0)</f>
        <v/>
      </c>
      <c r="BA145">
        <f>IFERROR(INDEX(PP_Grid[#Data],$DD145,51),0)</f>
        <v/>
      </c>
      <c r="BB145">
        <f>IFERROR(INDEX(PP_Grid[#Data],$DD145,52),0)</f>
        <v/>
      </c>
      <c r="BC145">
        <f>IFERROR(INDEX(PP_Grid[#Data],$DD145,53),0)</f>
        <v/>
      </c>
      <c r="BD145">
        <f>IFERROR(INDEX(PP_Grid[#Data],$DD145,54),0)</f>
        <v/>
      </c>
      <c r="BE145">
        <f>IFERROR(INDEX(PP_Grid[#Data],$DD145,55),0)</f>
        <v/>
      </c>
      <c r="BF145">
        <f>IFERROR(INDEX(PP_Grid[#Data],$DD145,56),0)</f>
        <v/>
      </c>
      <c r="BG145">
        <f>IFERROR(INDEX(PP_Grid[#Data],$DD145,57),0)</f>
        <v/>
      </c>
      <c r="BH145">
        <f>IFERROR(INDEX(PP_Grid[#Data],$DD145,58),0)</f>
        <v/>
      </c>
      <c r="BI145">
        <f>IFERROR(INDEX(PP_Grid[#Data],$DD145,59),0)</f>
        <v/>
      </c>
      <c r="BJ145">
        <f>IFERROR(INDEX(PP_Grid[#Data],$DD145,60),0)</f>
        <v/>
      </c>
      <c r="BK145">
        <f>IFERROR(INDEX(PP_Grid[#Data],$DD145,61),0)</f>
        <v/>
      </c>
      <c r="BL145">
        <f>IFERROR(INDEX(PP_Grid[#Data],$DD145,62),0)</f>
        <v/>
      </c>
      <c r="BM145">
        <f>IFERROR(INDEX(PP_Grid[#Data],$DD145,63),0)</f>
        <v/>
      </c>
      <c r="BN145">
        <f>IFERROR(INDEX(PP_Grid[#Data],$DD145,64),0)</f>
        <v/>
      </c>
      <c r="BO145">
        <f>IFERROR(INDEX(PP_Grid[#Data],$DD145,65),0)</f>
        <v/>
      </c>
      <c r="BP145">
        <f>IFERROR(INDEX(PP_Grid[#Data],$DD145,66),0)</f>
        <v/>
      </c>
      <c r="BQ145">
        <f>IFERROR(INDEX(PP_Grid[#Data],$DD145,67),0)</f>
        <v/>
      </c>
      <c r="BR145">
        <f>IFERROR(INDEX(PP_Grid[#Data],$DD145,68),0)</f>
        <v/>
      </c>
      <c r="BS145">
        <f>IFERROR(INDEX(PP_Grid[#Data],$DD145,69),0)</f>
        <v/>
      </c>
      <c r="BT145">
        <f>IFERROR(INDEX(PP_Grid[#Data],$DD145,70),0)</f>
        <v/>
      </c>
      <c r="BU145">
        <f>IFERROR(INDEX(PP_Grid[#Data],$DD145,71),0)</f>
        <v/>
      </c>
      <c r="BV145">
        <f>IFERROR(INDEX(PP_Grid[#Data],$DD145,72),0)</f>
        <v/>
      </c>
      <c r="BW145">
        <f>IFERROR(INDEX(PP_Grid[#Data],$DD145,73),0)</f>
        <v/>
      </c>
      <c r="BX145">
        <f>IFERROR(INDEX(PP_Grid[#Data],$DD145,74),0)</f>
        <v/>
      </c>
      <c r="BY145">
        <f>IFERROR(INDEX(PP_Grid[#Data],$DD145,75),0)</f>
        <v/>
      </c>
      <c r="BZ145">
        <f>IFERROR(INDEX(PP_Grid[#Data],$DD145,76),0)</f>
        <v/>
      </c>
      <c r="CA145">
        <f>IFERROR(INDEX(PP_Grid[#Data],$DD145,77),0)</f>
        <v/>
      </c>
      <c r="CB145">
        <f>IFERROR(INDEX(PP_Grid[#Data],$DD145,78),0)</f>
        <v/>
      </c>
      <c r="CC145">
        <f>IFERROR(INDEX(PP_Grid[#Data],$DD145,79),0)</f>
        <v/>
      </c>
      <c r="CD145">
        <f>IFERROR(INDEX(PP_Grid[#Data],$DD145,80),0)</f>
        <v/>
      </c>
      <c r="CE145">
        <f>IFERROR(INDEX(PP_Grid[#Data],$DD145,81),0)</f>
        <v/>
      </c>
      <c r="CF145">
        <f>IFERROR(INDEX(PP_Grid[#Data],$DD145,82),0)</f>
        <v/>
      </c>
      <c r="CG145">
        <f>IFERROR(INDEX(PP_Grid[#Data],$DD145,83),0)</f>
        <v/>
      </c>
      <c r="CH145">
        <f>IFERROR(INDEX(PP_Grid[#Data],$DD145,84),0)</f>
        <v/>
      </c>
      <c r="CI145">
        <f>IFERROR(INDEX(PP_Grid[#Data],$DD145,85),0)</f>
        <v/>
      </c>
      <c r="CJ145">
        <f>IFERROR(INDEX(PP_Grid[#Data],$DD145,86),0)</f>
        <v/>
      </c>
      <c r="CK145">
        <f>IFERROR(INDEX(PP_Grid[#Data],$DD145,87),0)</f>
        <v/>
      </c>
      <c r="CL145">
        <f>IFERROR(INDEX(PP_Grid[#Data],$DD145,88),0)</f>
        <v/>
      </c>
      <c r="CM145">
        <f>IFERROR(INDEX(PP_Grid[#Data],$DD145,89),0)</f>
        <v/>
      </c>
      <c r="CN145">
        <f>IFERROR(INDEX(PP_Grid[#Data],$DD145,90),0)</f>
        <v/>
      </c>
      <c r="CO145">
        <f>IFERROR(INDEX(PP_Grid[#Data],$DD145,91),0)</f>
        <v/>
      </c>
      <c r="CP145">
        <f>IFERROR(INDEX(PP_Grid[#Data],$DD145,92),0)</f>
        <v/>
      </c>
      <c r="CQ145">
        <f>IFERROR(INDEX(PP_Grid[#Data],$DD145,93),0)</f>
        <v/>
      </c>
      <c r="CR145">
        <f>IFERROR(INDEX(PP_Grid[#Data],$DD145,94),0)</f>
        <v/>
      </c>
      <c r="CS145">
        <f>IFERROR(INDEX(PP_Grid[#Data],$DD145,95),0)</f>
        <v/>
      </c>
      <c r="CT145">
        <f>IFERROR(INDEX(PP_Grid[#Data],$DD145,96),0)</f>
        <v/>
      </c>
      <c r="CU145">
        <f>IFERROR(INDEX(PP_Grid[#Data],$DD145,97),0)</f>
        <v/>
      </c>
      <c r="CV145">
        <f>IFERROR(INDEX(PP_Grid[#Data],$DD145,98),0)</f>
        <v/>
      </c>
      <c r="CW145">
        <f>IFERROR(INDEX(PP_Grid[#Data],$DD145,99),0)</f>
        <v/>
      </c>
      <c r="CX145">
        <f>IFERROR(INDEX(PP_Grid[#Data],$DD145,100),0)</f>
        <v/>
      </c>
      <c r="CY145">
        <f>IFERROR(INDEX(PP_Grid[#Data],$DD145,101),0)</f>
        <v/>
      </c>
      <c r="CZ145">
        <f>IFERROR(INDEX(PP_Grid[#Data],$DD145,102),0)</f>
        <v/>
      </c>
      <c r="DA145">
        <f>IFERROR(INDEX(PP_Grid[#Data],$DD145,103),0)</f>
        <v/>
      </c>
      <c r="DB145">
        <f>IFERROR(INDEX(PP_Grid[#Data],$DD145,104),0)</f>
        <v/>
      </c>
      <c r="DC145">
        <f>IFERROR(INDEX(PP_Grid[#Data],$DD145,105),0)</f>
        <v/>
      </c>
      <c r="DD145" s="7">
        <f>IFERROR(MATCH($B145,PP_Grid[Intermediate],0),99999)</f>
        <v/>
      </c>
    </row>
    <row r="146">
      <c r="B146" t="inlineStr">
        <is>
          <t>使用量(kg)</t>
        </is>
      </c>
      <c r="C146">
        <f>SUMIFS(M_BOM[RM_Qty_Per_Batch],M_BOM[Intermediate],$B145,M_BOM[Part Name],$A44)</f>
        <v/>
      </c>
      <c r="D146">
        <f>$C146*D145</f>
        <v/>
      </c>
      <c r="E146">
        <f>$C146*E145</f>
        <v/>
      </c>
      <c r="F146">
        <f>$C146*F145</f>
        <v/>
      </c>
      <c r="G146">
        <f>$C146*G145</f>
        <v/>
      </c>
      <c r="H146">
        <f>$C146*H145</f>
        <v/>
      </c>
      <c r="I146">
        <f>$C146*I145</f>
        <v/>
      </c>
      <c r="J146">
        <f>$C146*J145</f>
        <v/>
      </c>
      <c r="K146">
        <f>$C146*K145</f>
        <v/>
      </c>
      <c r="L146">
        <f>$C146*L145</f>
        <v/>
      </c>
      <c r="M146">
        <f>$C146*M145</f>
        <v/>
      </c>
      <c r="N146">
        <f>$C146*N145</f>
        <v/>
      </c>
      <c r="O146">
        <f>$C146*O145</f>
        <v/>
      </c>
      <c r="P146">
        <f>$C146*P145</f>
        <v/>
      </c>
      <c r="Q146">
        <f>$C146*Q145</f>
        <v/>
      </c>
      <c r="R146">
        <f>$C146*R145</f>
        <v/>
      </c>
      <c r="S146">
        <f>$C146*S145</f>
        <v/>
      </c>
      <c r="T146">
        <f>$C146*T145</f>
        <v/>
      </c>
      <c r="U146">
        <f>$C146*U145</f>
        <v/>
      </c>
      <c r="V146">
        <f>$C146*V145</f>
        <v/>
      </c>
      <c r="W146">
        <f>$C146*W145</f>
        <v/>
      </c>
      <c r="X146">
        <f>$C146*X145</f>
        <v/>
      </c>
      <c r="Y146">
        <f>$C146*Y145</f>
        <v/>
      </c>
      <c r="Z146">
        <f>$C146*Z145</f>
        <v/>
      </c>
      <c r="AA146">
        <f>$C146*AA145</f>
        <v/>
      </c>
      <c r="AB146">
        <f>$C146*AB145</f>
        <v/>
      </c>
      <c r="AC146">
        <f>$C146*AC145</f>
        <v/>
      </c>
      <c r="AD146">
        <f>$C146*AD145</f>
        <v/>
      </c>
      <c r="AE146">
        <f>$C146*AE145</f>
        <v/>
      </c>
      <c r="AF146">
        <f>$C146*AF145</f>
        <v/>
      </c>
      <c r="AG146">
        <f>$C146*AG145</f>
        <v/>
      </c>
      <c r="AH146">
        <f>$C146*AH145</f>
        <v/>
      </c>
      <c r="AI146">
        <f>$C146*AI145</f>
        <v/>
      </c>
      <c r="AJ146">
        <f>$C146*AJ145</f>
        <v/>
      </c>
      <c r="AK146">
        <f>$C146*AK145</f>
        <v/>
      </c>
      <c r="AL146">
        <f>$C146*AL145</f>
        <v/>
      </c>
      <c r="AM146">
        <f>$C146*AM145</f>
        <v/>
      </c>
      <c r="AN146">
        <f>$C146*AN145</f>
        <v/>
      </c>
      <c r="AO146">
        <f>$C146*AO145</f>
        <v/>
      </c>
      <c r="AP146">
        <f>$C146*AP145</f>
        <v/>
      </c>
      <c r="AQ146">
        <f>$C146*AQ145</f>
        <v/>
      </c>
      <c r="AR146">
        <f>$C146*AR145</f>
        <v/>
      </c>
      <c r="AS146">
        <f>$C146*AS145</f>
        <v/>
      </c>
      <c r="AT146">
        <f>$C146*AT145</f>
        <v/>
      </c>
      <c r="AU146">
        <f>$C146*AU145</f>
        <v/>
      </c>
      <c r="AV146">
        <f>$C146*AV145</f>
        <v/>
      </c>
      <c r="AW146">
        <f>$C146*AW145</f>
        <v/>
      </c>
      <c r="AX146">
        <f>$C146*AX145</f>
        <v/>
      </c>
      <c r="AY146">
        <f>$C146*AY145</f>
        <v/>
      </c>
      <c r="AZ146">
        <f>$C146*AZ145</f>
        <v/>
      </c>
      <c r="BA146">
        <f>$C146*BA145</f>
        <v/>
      </c>
      <c r="BB146">
        <f>$C146*BB145</f>
        <v/>
      </c>
      <c r="BC146">
        <f>$C146*BC145</f>
        <v/>
      </c>
      <c r="BD146">
        <f>$C146*BD145</f>
        <v/>
      </c>
      <c r="BE146">
        <f>$C146*BE145</f>
        <v/>
      </c>
      <c r="BF146">
        <f>$C146*BF145</f>
        <v/>
      </c>
      <c r="BG146">
        <f>$C146*BG145</f>
        <v/>
      </c>
      <c r="BH146">
        <f>$C146*BH145</f>
        <v/>
      </c>
      <c r="BI146">
        <f>$C146*BI145</f>
        <v/>
      </c>
      <c r="BJ146">
        <f>$C146*BJ145</f>
        <v/>
      </c>
      <c r="BK146">
        <f>$C146*BK145</f>
        <v/>
      </c>
      <c r="BL146">
        <f>$C146*BL145</f>
        <v/>
      </c>
      <c r="BM146">
        <f>$C146*BM145</f>
        <v/>
      </c>
      <c r="BN146">
        <f>$C146*BN145</f>
        <v/>
      </c>
      <c r="BO146">
        <f>$C146*BO145</f>
        <v/>
      </c>
      <c r="BP146">
        <f>$C146*BP145</f>
        <v/>
      </c>
      <c r="BQ146">
        <f>$C146*BQ145</f>
        <v/>
      </c>
      <c r="BR146">
        <f>$C146*BR145</f>
        <v/>
      </c>
      <c r="BS146">
        <f>$C146*BS145</f>
        <v/>
      </c>
      <c r="BT146">
        <f>$C146*BT145</f>
        <v/>
      </c>
      <c r="BU146">
        <f>$C146*BU145</f>
        <v/>
      </c>
      <c r="BV146">
        <f>$C146*BV145</f>
        <v/>
      </c>
      <c r="BW146">
        <f>$C146*BW145</f>
        <v/>
      </c>
      <c r="BX146">
        <f>$C146*BX145</f>
        <v/>
      </c>
      <c r="BY146">
        <f>$C146*BY145</f>
        <v/>
      </c>
      <c r="BZ146">
        <f>$C146*BZ145</f>
        <v/>
      </c>
      <c r="CA146">
        <f>$C146*CA145</f>
        <v/>
      </c>
      <c r="CB146">
        <f>$C146*CB145</f>
        <v/>
      </c>
      <c r="CC146">
        <f>$C146*CC145</f>
        <v/>
      </c>
      <c r="CD146">
        <f>$C146*CD145</f>
        <v/>
      </c>
      <c r="CE146">
        <f>$C146*CE145</f>
        <v/>
      </c>
      <c r="CF146">
        <f>$C146*CF145</f>
        <v/>
      </c>
      <c r="CG146">
        <f>$C146*CG145</f>
        <v/>
      </c>
      <c r="CH146">
        <f>$C146*CH145</f>
        <v/>
      </c>
      <c r="CI146">
        <f>$C146*CI145</f>
        <v/>
      </c>
      <c r="CJ146">
        <f>$C146*CJ145</f>
        <v/>
      </c>
      <c r="CK146">
        <f>$C146*CK145</f>
        <v/>
      </c>
      <c r="CL146">
        <f>$C146*CL145</f>
        <v/>
      </c>
      <c r="CM146">
        <f>$C146*CM145</f>
        <v/>
      </c>
      <c r="CN146">
        <f>$C146*CN145</f>
        <v/>
      </c>
      <c r="CO146">
        <f>$C146*CO145</f>
        <v/>
      </c>
      <c r="CP146">
        <f>$C146*CP145</f>
        <v/>
      </c>
      <c r="CQ146">
        <f>$C146*CQ145</f>
        <v/>
      </c>
      <c r="CR146">
        <f>$C146*CR145</f>
        <v/>
      </c>
      <c r="CS146">
        <f>$C146*CS145</f>
        <v/>
      </c>
      <c r="CT146">
        <f>$C146*CT145</f>
        <v/>
      </c>
      <c r="CU146">
        <f>$C146*CU145</f>
        <v/>
      </c>
      <c r="CV146">
        <f>$C146*CV145</f>
        <v/>
      </c>
      <c r="CW146">
        <f>$C146*CW145</f>
        <v/>
      </c>
      <c r="CX146">
        <f>$C146*CX145</f>
        <v/>
      </c>
      <c r="CY146">
        <f>$C146*CY145</f>
        <v/>
      </c>
      <c r="CZ146">
        <f>$C146*CZ145</f>
        <v/>
      </c>
      <c r="DA146">
        <f>$C146*DA145</f>
        <v/>
      </c>
      <c r="DB146">
        <f>$C146*DB145</f>
        <v/>
      </c>
      <c r="DC146">
        <f>$C146*DC145</f>
        <v/>
      </c>
    </row>
    <row r="147">
      <c r="B147" t="inlineStr">
        <is>
          <t>TSP-966</t>
        </is>
      </c>
      <c r="C147" t="inlineStr">
        <is>
          <t>No. of batches</t>
        </is>
      </c>
      <c r="D147">
        <f>IFERROR(INDEX(PP_Grid[#Data],$DD147,2),0)</f>
        <v/>
      </c>
      <c r="E147">
        <f>IFERROR(INDEX(PP_Grid[#Data],$DD147,3),0)</f>
        <v/>
      </c>
      <c r="F147">
        <f>IFERROR(INDEX(PP_Grid[#Data],$DD147,4),0)</f>
        <v/>
      </c>
      <c r="G147">
        <f>IFERROR(INDEX(PP_Grid[#Data],$DD147,5),0)</f>
        <v/>
      </c>
      <c r="H147">
        <f>IFERROR(INDEX(PP_Grid[#Data],$DD147,6),0)</f>
        <v/>
      </c>
      <c r="I147">
        <f>IFERROR(INDEX(PP_Grid[#Data],$DD147,7),0)</f>
        <v/>
      </c>
      <c r="J147">
        <f>IFERROR(INDEX(PP_Grid[#Data],$DD147,8),0)</f>
        <v/>
      </c>
      <c r="K147">
        <f>IFERROR(INDEX(PP_Grid[#Data],$DD147,9),0)</f>
        <v/>
      </c>
      <c r="L147">
        <f>IFERROR(INDEX(PP_Grid[#Data],$DD147,10),0)</f>
        <v/>
      </c>
      <c r="M147">
        <f>IFERROR(INDEX(PP_Grid[#Data],$DD147,11),0)</f>
        <v/>
      </c>
      <c r="N147">
        <f>IFERROR(INDEX(PP_Grid[#Data],$DD147,12),0)</f>
        <v/>
      </c>
      <c r="O147">
        <f>IFERROR(INDEX(PP_Grid[#Data],$DD147,13),0)</f>
        <v/>
      </c>
      <c r="P147">
        <f>IFERROR(INDEX(PP_Grid[#Data],$DD147,14),0)</f>
        <v/>
      </c>
      <c r="Q147">
        <f>IFERROR(INDEX(PP_Grid[#Data],$DD147,15),0)</f>
        <v/>
      </c>
      <c r="R147">
        <f>IFERROR(INDEX(PP_Grid[#Data],$DD147,16),0)</f>
        <v/>
      </c>
      <c r="S147">
        <f>IFERROR(INDEX(PP_Grid[#Data],$DD147,17),0)</f>
        <v/>
      </c>
      <c r="T147">
        <f>IFERROR(INDEX(PP_Grid[#Data],$DD147,18),0)</f>
        <v/>
      </c>
      <c r="U147">
        <f>IFERROR(INDEX(PP_Grid[#Data],$DD147,19),0)</f>
        <v/>
      </c>
      <c r="V147">
        <f>IFERROR(INDEX(PP_Grid[#Data],$DD147,20),0)</f>
        <v/>
      </c>
      <c r="W147">
        <f>IFERROR(INDEX(PP_Grid[#Data],$DD147,21),0)</f>
        <v/>
      </c>
      <c r="X147">
        <f>IFERROR(INDEX(PP_Grid[#Data],$DD147,22),0)</f>
        <v/>
      </c>
      <c r="Y147">
        <f>IFERROR(INDEX(PP_Grid[#Data],$DD147,23),0)</f>
        <v/>
      </c>
      <c r="Z147">
        <f>IFERROR(INDEX(PP_Grid[#Data],$DD147,24),0)</f>
        <v/>
      </c>
      <c r="AA147">
        <f>IFERROR(INDEX(PP_Grid[#Data],$DD147,25),0)</f>
        <v/>
      </c>
      <c r="AB147">
        <f>IFERROR(INDEX(PP_Grid[#Data],$DD147,26),0)</f>
        <v/>
      </c>
      <c r="AC147">
        <f>IFERROR(INDEX(PP_Grid[#Data],$DD147,27),0)</f>
        <v/>
      </c>
      <c r="AD147">
        <f>IFERROR(INDEX(PP_Grid[#Data],$DD147,28),0)</f>
        <v/>
      </c>
      <c r="AE147">
        <f>IFERROR(INDEX(PP_Grid[#Data],$DD147,29),0)</f>
        <v/>
      </c>
      <c r="AF147">
        <f>IFERROR(INDEX(PP_Grid[#Data],$DD147,30),0)</f>
        <v/>
      </c>
      <c r="AG147">
        <f>IFERROR(INDEX(PP_Grid[#Data],$DD147,31),0)</f>
        <v/>
      </c>
      <c r="AH147">
        <f>IFERROR(INDEX(PP_Grid[#Data],$DD147,32),0)</f>
        <v/>
      </c>
      <c r="AI147">
        <f>IFERROR(INDEX(PP_Grid[#Data],$DD147,33),0)</f>
        <v/>
      </c>
      <c r="AJ147">
        <f>IFERROR(INDEX(PP_Grid[#Data],$DD147,34),0)</f>
        <v/>
      </c>
      <c r="AK147">
        <f>IFERROR(INDEX(PP_Grid[#Data],$DD147,35),0)</f>
        <v/>
      </c>
      <c r="AL147">
        <f>IFERROR(INDEX(PP_Grid[#Data],$DD147,36),0)</f>
        <v/>
      </c>
      <c r="AM147">
        <f>IFERROR(INDEX(PP_Grid[#Data],$DD147,37),0)</f>
        <v/>
      </c>
      <c r="AN147">
        <f>IFERROR(INDEX(PP_Grid[#Data],$DD147,38),0)</f>
        <v/>
      </c>
      <c r="AO147">
        <f>IFERROR(INDEX(PP_Grid[#Data],$DD147,39),0)</f>
        <v/>
      </c>
      <c r="AP147">
        <f>IFERROR(INDEX(PP_Grid[#Data],$DD147,40),0)</f>
        <v/>
      </c>
      <c r="AQ147">
        <f>IFERROR(INDEX(PP_Grid[#Data],$DD147,41),0)</f>
        <v/>
      </c>
      <c r="AR147">
        <f>IFERROR(INDEX(PP_Grid[#Data],$DD147,42),0)</f>
        <v/>
      </c>
      <c r="AS147">
        <f>IFERROR(INDEX(PP_Grid[#Data],$DD147,43),0)</f>
        <v/>
      </c>
      <c r="AT147">
        <f>IFERROR(INDEX(PP_Grid[#Data],$DD147,44),0)</f>
        <v/>
      </c>
      <c r="AU147">
        <f>IFERROR(INDEX(PP_Grid[#Data],$DD147,45),0)</f>
        <v/>
      </c>
      <c r="AV147">
        <f>IFERROR(INDEX(PP_Grid[#Data],$DD147,46),0)</f>
        <v/>
      </c>
      <c r="AW147">
        <f>IFERROR(INDEX(PP_Grid[#Data],$DD147,47),0)</f>
        <v/>
      </c>
      <c r="AX147">
        <f>IFERROR(INDEX(PP_Grid[#Data],$DD147,48),0)</f>
        <v/>
      </c>
      <c r="AY147">
        <f>IFERROR(INDEX(PP_Grid[#Data],$DD147,49),0)</f>
        <v/>
      </c>
      <c r="AZ147">
        <f>IFERROR(INDEX(PP_Grid[#Data],$DD147,50),0)</f>
        <v/>
      </c>
      <c r="BA147">
        <f>IFERROR(INDEX(PP_Grid[#Data],$DD147,51),0)</f>
        <v/>
      </c>
      <c r="BB147">
        <f>IFERROR(INDEX(PP_Grid[#Data],$DD147,52),0)</f>
        <v/>
      </c>
      <c r="BC147">
        <f>IFERROR(INDEX(PP_Grid[#Data],$DD147,53),0)</f>
        <v/>
      </c>
      <c r="BD147">
        <f>IFERROR(INDEX(PP_Grid[#Data],$DD147,54),0)</f>
        <v/>
      </c>
      <c r="BE147">
        <f>IFERROR(INDEX(PP_Grid[#Data],$DD147,55),0)</f>
        <v/>
      </c>
      <c r="BF147">
        <f>IFERROR(INDEX(PP_Grid[#Data],$DD147,56),0)</f>
        <v/>
      </c>
      <c r="BG147">
        <f>IFERROR(INDEX(PP_Grid[#Data],$DD147,57),0)</f>
        <v/>
      </c>
      <c r="BH147">
        <f>IFERROR(INDEX(PP_Grid[#Data],$DD147,58),0)</f>
        <v/>
      </c>
      <c r="BI147">
        <f>IFERROR(INDEX(PP_Grid[#Data],$DD147,59),0)</f>
        <v/>
      </c>
      <c r="BJ147">
        <f>IFERROR(INDEX(PP_Grid[#Data],$DD147,60),0)</f>
        <v/>
      </c>
      <c r="BK147">
        <f>IFERROR(INDEX(PP_Grid[#Data],$DD147,61),0)</f>
        <v/>
      </c>
      <c r="BL147">
        <f>IFERROR(INDEX(PP_Grid[#Data],$DD147,62),0)</f>
        <v/>
      </c>
      <c r="BM147">
        <f>IFERROR(INDEX(PP_Grid[#Data],$DD147,63),0)</f>
        <v/>
      </c>
      <c r="BN147">
        <f>IFERROR(INDEX(PP_Grid[#Data],$DD147,64),0)</f>
        <v/>
      </c>
      <c r="BO147">
        <f>IFERROR(INDEX(PP_Grid[#Data],$DD147,65),0)</f>
        <v/>
      </c>
      <c r="BP147">
        <f>IFERROR(INDEX(PP_Grid[#Data],$DD147,66),0)</f>
        <v/>
      </c>
      <c r="BQ147">
        <f>IFERROR(INDEX(PP_Grid[#Data],$DD147,67),0)</f>
        <v/>
      </c>
      <c r="BR147">
        <f>IFERROR(INDEX(PP_Grid[#Data],$DD147,68),0)</f>
        <v/>
      </c>
      <c r="BS147">
        <f>IFERROR(INDEX(PP_Grid[#Data],$DD147,69),0)</f>
        <v/>
      </c>
      <c r="BT147">
        <f>IFERROR(INDEX(PP_Grid[#Data],$DD147,70),0)</f>
        <v/>
      </c>
      <c r="BU147">
        <f>IFERROR(INDEX(PP_Grid[#Data],$DD147,71),0)</f>
        <v/>
      </c>
      <c r="BV147">
        <f>IFERROR(INDEX(PP_Grid[#Data],$DD147,72),0)</f>
        <v/>
      </c>
      <c r="BW147">
        <f>IFERROR(INDEX(PP_Grid[#Data],$DD147,73),0)</f>
        <v/>
      </c>
      <c r="BX147">
        <f>IFERROR(INDEX(PP_Grid[#Data],$DD147,74),0)</f>
        <v/>
      </c>
      <c r="BY147">
        <f>IFERROR(INDEX(PP_Grid[#Data],$DD147,75),0)</f>
        <v/>
      </c>
      <c r="BZ147">
        <f>IFERROR(INDEX(PP_Grid[#Data],$DD147,76),0)</f>
        <v/>
      </c>
      <c r="CA147">
        <f>IFERROR(INDEX(PP_Grid[#Data],$DD147,77),0)</f>
        <v/>
      </c>
      <c r="CB147">
        <f>IFERROR(INDEX(PP_Grid[#Data],$DD147,78),0)</f>
        <v/>
      </c>
      <c r="CC147">
        <f>IFERROR(INDEX(PP_Grid[#Data],$DD147,79),0)</f>
        <v/>
      </c>
      <c r="CD147">
        <f>IFERROR(INDEX(PP_Grid[#Data],$DD147,80),0)</f>
        <v/>
      </c>
      <c r="CE147">
        <f>IFERROR(INDEX(PP_Grid[#Data],$DD147,81),0)</f>
        <v/>
      </c>
      <c r="CF147">
        <f>IFERROR(INDEX(PP_Grid[#Data],$DD147,82),0)</f>
        <v/>
      </c>
      <c r="CG147">
        <f>IFERROR(INDEX(PP_Grid[#Data],$DD147,83),0)</f>
        <v/>
      </c>
      <c r="CH147">
        <f>IFERROR(INDEX(PP_Grid[#Data],$DD147,84),0)</f>
        <v/>
      </c>
      <c r="CI147">
        <f>IFERROR(INDEX(PP_Grid[#Data],$DD147,85),0)</f>
        <v/>
      </c>
      <c r="CJ147">
        <f>IFERROR(INDEX(PP_Grid[#Data],$DD147,86),0)</f>
        <v/>
      </c>
      <c r="CK147">
        <f>IFERROR(INDEX(PP_Grid[#Data],$DD147,87),0)</f>
        <v/>
      </c>
      <c r="CL147">
        <f>IFERROR(INDEX(PP_Grid[#Data],$DD147,88),0)</f>
        <v/>
      </c>
      <c r="CM147">
        <f>IFERROR(INDEX(PP_Grid[#Data],$DD147,89),0)</f>
        <v/>
      </c>
      <c r="CN147">
        <f>IFERROR(INDEX(PP_Grid[#Data],$DD147,90),0)</f>
        <v/>
      </c>
      <c r="CO147">
        <f>IFERROR(INDEX(PP_Grid[#Data],$DD147,91),0)</f>
        <v/>
      </c>
      <c r="CP147">
        <f>IFERROR(INDEX(PP_Grid[#Data],$DD147,92),0)</f>
        <v/>
      </c>
      <c r="CQ147">
        <f>IFERROR(INDEX(PP_Grid[#Data],$DD147,93),0)</f>
        <v/>
      </c>
      <c r="CR147">
        <f>IFERROR(INDEX(PP_Grid[#Data],$DD147,94),0)</f>
        <v/>
      </c>
      <c r="CS147">
        <f>IFERROR(INDEX(PP_Grid[#Data],$DD147,95),0)</f>
        <v/>
      </c>
      <c r="CT147">
        <f>IFERROR(INDEX(PP_Grid[#Data],$DD147,96),0)</f>
        <v/>
      </c>
      <c r="CU147">
        <f>IFERROR(INDEX(PP_Grid[#Data],$DD147,97),0)</f>
        <v/>
      </c>
      <c r="CV147">
        <f>IFERROR(INDEX(PP_Grid[#Data],$DD147,98),0)</f>
        <v/>
      </c>
      <c r="CW147">
        <f>IFERROR(INDEX(PP_Grid[#Data],$DD147,99),0)</f>
        <v/>
      </c>
      <c r="CX147">
        <f>IFERROR(INDEX(PP_Grid[#Data],$DD147,100),0)</f>
        <v/>
      </c>
      <c r="CY147">
        <f>IFERROR(INDEX(PP_Grid[#Data],$DD147,101),0)</f>
        <v/>
      </c>
      <c r="CZ147">
        <f>IFERROR(INDEX(PP_Grid[#Data],$DD147,102),0)</f>
        <v/>
      </c>
      <c r="DA147">
        <f>IFERROR(INDEX(PP_Grid[#Data],$DD147,103),0)</f>
        <v/>
      </c>
      <c r="DB147">
        <f>IFERROR(INDEX(PP_Grid[#Data],$DD147,104),0)</f>
        <v/>
      </c>
      <c r="DC147">
        <f>IFERROR(INDEX(PP_Grid[#Data],$DD147,105),0)</f>
        <v/>
      </c>
      <c r="DD147" s="7">
        <f>IFERROR(MATCH($B147,PP_Grid[Intermediate],0),99999)</f>
        <v/>
      </c>
    </row>
    <row r="148">
      <c r="B148" t="inlineStr">
        <is>
          <t>使用量(kg)</t>
        </is>
      </c>
      <c r="C148">
        <f>SUMIFS(M_BOM[RM_Qty_Per_Batch],M_BOM[Intermediate],$B147,M_BOM[Part Name],$A44)</f>
        <v/>
      </c>
      <c r="D148">
        <f>$C148*D147</f>
        <v/>
      </c>
      <c r="E148">
        <f>$C148*E147</f>
        <v/>
      </c>
      <c r="F148">
        <f>$C148*F147</f>
        <v/>
      </c>
      <c r="G148">
        <f>$C148*G147</f>
        <v/>
      </c>
      <c r="H148">
        <f>$C148*H147</f>
        <v/>
      </c>
      <c r="I148">
        <f>$C148*I147</f>
        <v/>
      </c>
      <c r="J148">
        <f>$C148*J147</f>
        <v/>
      </c>
      <c r="K148">
        <f>$C148*K147</f>
        <v/>
      </c>
      <c r="L148">
        <f>$C148*L147</f>
        <v/>
      </c>
      <c r="M148">
        <f>$C148*M147</f>
        <v/>
      </c>
      <c r="N148">
        <f>$C148*N147</f>
        <v/>
      </c>
      <c r="O148">
        <f>$C148*O147</f>
        <v/>
      </c>
      <c r="P148">
        <f>$C148*P147</f>
        <v/>
      </c>
      <c r="Q148">
        <f>$C148*Q147</f>
        <v/>
      </c>
      <c r="R148">
        <f>$C148*R147</f>
        <v/>
      </c>
      <c r="S148">
        <f>$C148*S147</f>
        <v/>
      </c>
      <c r="T148">
        <f>$C148*T147</f>
        <v/>
      </c>
      <c r="U148">
        <f>$C148*U147</f>
        <v/>
      </c>
      <c r="V148">
        <f>$C148*V147</f>
        <v/>
      </c>
      <c r="W148">
        <f>$C148*W147</f>
        <v/>
      </c>
      <c r="X148">
        <f>$C148*X147</f>
        <v/>
      </c>
      <c r="Y148">
        <f>$C148*Y147</f>
        <v/>
      </c>
      <c r="Z148">
        <f>$C148*Z147</f>
        <v/>
      </c>
      <c r="AA148">
        <f>$C148*AA147</f>
        <v/>
      </c>
      <c r="AB148">
        <f>$C148*AB147</f>
        <v/>
      </c>
      <c r="AC148">
        <f>$C148*AC147</f>
        <v/>
      </c>
      <c r="AD148">
        <f>$C148*AD147</f>
        <v/>
      </c>
      <c r="AE148">
        <f>$C148*AE147</f>
        <v/>
      </c>
      <c r="AF148">
        <f>$C148*AF147</f>
        <v/>
      </c>
      <c r="AG148">
        <f>$C148*AG147</f>
        <v/>
      </c>
      <c r="AH148">
        <f>$C148*AH147</f>
        <v/>
      </c>
      <c r="AI148">
        <f>$C148*AI147</f>
        <v/>
      </c>
      <c r="AJ148">
        <f>$C148*AJ147</f>
        <v/>
      </c>
      <c r="AK148">
        <f>$C148*AK147</f>
        <v/>
      </c>
      <c r="AL148">
        <f>$C148*AL147</f>
        <v/>
      </c>
      <c r="AM148">
        <f>$C148*AM147</f>
        <v/>
      </c>
      <c r="AN148">
        <f>$C148*AN147</f>
        <v/>
      </c>
      <c r="AO148">
        <f>$C148*AO147</f>
        <v/>
      </c>
      <c r="AP148">
        <f>$C148*AP147</f>
        <v/>
      </c>
      <c r="AQ148">
        <f>$C148*AQ147</f>
        <v/>
      </c>
      <c r="AR148">
        <f>$C148*AR147</f>
        <v/>
      </c>
      <c r="AS148">
        <f>$C148*AS147</f>
        <v/>
      </c>
      <c r="AT148">
        <f>$C148*AT147</f>
        <v/>
      </c>
      <c r="AU148">
        <f>$C148*AU147</f>
        <v/>
      </c>
      <c r="AV148">
        <f>$C148*AV147</f>
        <v/>
      </c>
      <c r="AW148">
        <f>$C148*AW147</f>
        <v/>
      </c>
      <c r="AX148">
        <f>$C148*AX147</f>
        <v/>
      </c>
      <c r="AY148">
        <f>$C148*AY147</f>
        <v/>
      </c>
      <c r="AZ148">
        <f>$C148*AZ147</f>
        <v/>
      </c>
      <c r="BA148">
        <f>$C148*BA147</f>
        <v/>
      </c>
      <c r="BB148">
        <f>$C148*BB147</f>
        <v/>
      </c>
      <c r="BC148">
        <f>$C148*BC147</f>
        <v/>
      </c>
      <c r="BD148">
        <f>$C148*BD147</f>
        <v/>
      </c>
      <c r="BE148">
        <f>$C148*BE147</f>
        <v/>
      </c>
      <c r="BF148">
        <f>$C148*BF147</f>
        <v/>
      </c>
      <c r="BG148">
        <f>$C148*BG147</f>
        <v/>
      </c>
      <c r="BH148">
        <f>$C148*BH147</f>
        <v/>
      </c>
      <c r="BI148">
        <f>$C148*BI147</f>
        <v/>
      </c>
      <c r="BJ148">
        <f>$C148*BJ147</f>
        <v/>
      </c>
      <c r="BK148">
        <f>$C148*BK147</f>
        <v/>
      </c>
      <c r="BL148">
        <f>$C148*BL147</f>
        <v/>
      </c>
      <c r="BM148">
        <f>$C148*BM147</f>
        <v/>
      </c>
      <c r="BN148">
        <f>$C148*BN147</f>
        <v/>
      </c>
      <c r="BO148">
        <f>$C148*BO147</f>
        <v/>
      </c>
      <c r="BP148">
        <f>$C148*BP147</f>
        <v/>
      </c>
      <c r="BQ148">
        <f>$C148*BQ147</f>
        <v/>
      </c>
      <c r="BR148">
        <f>$C148*BR147</f>
        <v/>
      </c>
      <c r="BS148">
        <f>$C148*BS147</f>
        <v/>
      </c>
      <c r="BT148">
        <f>$C148*BT147</f>
        <v/>
      </c>
      <c r="BU148">
        <f>$C148*BU147</f>
        <v/>
      </c>
      <c r="BV148">
        <f>$C148*BV147</f>
        <v/>
      </c>
      <c r="BW148">
        <f>$C148*BW147</f>
        <v/>
      </c>
      <c r="BX148">
        <f>$C148*BX147</f>
        <v/>
      </c>
      <c r="BY148">
        <f>$C148*BY147</f>
        <v/>
      </c>
      <c r="BZ148">
        <f>$C148*BZ147</f>
        <v/>
      </c>
      <c r="CA148">
        <f>$C148*CA147</f>
        <v/>
      </c>
      <c r="CB148">
        <f>$C148*CB147</f>
        <v/>
      </c>
      <c r="CC148">
        <f>$C148*CC147</f>
        <v/>
      </c>
      <c r="CD148">
        <f>$C148*CD147</f>
        <v/>
      </c>
      <c r="CE148">
        <f>$C148*CE147</f>
        <v/>
      </c>
      <c r="CF148">
        <f>$C148*CF147</f>
        <v/>
      </c>
      <c r="CG148">
        <f>$C148*CG147</f>
        <v/>
      </c>
      <c r="CH148">
        <f>$C148*CH147</f>
        <v/>
      </c>
      <c r="CI148">
        <f>$C148*CI147</f>
        <v/>
      </c>
      <c r="CJ148">
        <f>$C148*CJ147</f>
        <v/>
      </c>
      <c r="CK148">
        <f>$C148*CK147</f>
        <v/>
      </c>
      <c r="CL148">
        <f>$C148*CL147</f>
        <v/>
      </c>
      <c r="CM148">
        <f>$C148*CM147</f>
        <v/>
      </c>
      <c r="CN148">
        <f>$C148*CN147</f>
        <v/>
      </c>
      <c r="CO148">
        <f>$C148*CO147</f>
        <v/>
      </c>
      <c r="CP148">
        <f>$C148*CP147</f>
        <v/>
      </c>
      <c r="CQ148">
        <f>$C148*CQ147</f>
        <v/>
      </c>
      <c r="CR148">
        <f>$C148*CR147</f>
        <v/>
      </c>
      <c r="CS148">
        <f>$C148*CS147</f>
        <v/>
      </c>
      <c r="CT148">
        <f>$C148*CT147</f>
        <v/>
      </c>
      <c r="CU148">
        <f>$C148*CU147</f>
        <v/>
      </c>
      <c r="CV148">
        <f>$C148*CV147</f>
        <v/>
      </c>
      <c r="CW148">
        <f>$C148*CW147</f>
        <v/>
      </c>
      <c r="CX148">
        <f>$C148*CX147</f>
        <v/>
      </c>
      <c r="CY148">
        <f>$C148*CY147</f>
        <v/>
      </c>
      <c r="CZ148">
        <f>$C148*CZ147</f>
        <v/>
      </c>
      <c r="DA148">
        <f>$C148*DA147</f>
        <v/>
      </c>
      <c r="DB148">
        <f>$C148*DB147</f>
        <v/>
      </c>
      <c r="DC148">
        <f>$C148*DC147</f>
        <v/>
      </c>
    </row>
    <row r="149">
      <c r="B149" t="inlineStr">
        <is>
          <t>TVS-833</t>
        </is>
      </c>
      <c r="C149" t="inlineStr">
        <is>
          <t>No. of batches</t>
        </is>
      </c>
      <c r="D149">
        <f>IFERROR(INDEX(PP_Grid[#Data],$DD149,2),0)</f>
        <v/>
      </c>
      <c r="E149">
        <f>IFERROR(INDEX(PP_Grid[#Data],$DD149,3),0)</f>
        <v/>
      </c>
      <c r="F149">
        <f>IFERROR(INDEX(PP_Grid[#Data],$DD149,4),0)</f>
        <v/>
      </c>
      <c r="G149">
        <f>IFERROR(INDEX(PP_Grid[#Data],$DD149,5),0)</f>
        <v/>
      </c>
      <c r="H149">
        <f>IFERROR(INDEX(PP_Grid[#Data],$DD149,6),0)</f>
        <v/>
      </c>
      <c r="I149">
        <f>IFERROR(INDEX(PP_Grid[#Data],$DD149,7),0)</f>
        <v/>
      </c>
      <c r="J149">
        <f>IFERROR(INDEX(PP_Grid[#Data],$DD149,8),0)</f>
        <v/>
      </c>
      <c r="K149">
        <f>IFERROR(INDEX(PP_Grid[#Data],$DD149,9),0)</f>
        <v/>
      </c>
      <c r="L149">
        <f>IFERROR(INDEX(PP_Grid[#Data],$DD149,10),0)</f>
        <v/>
      </c>
      <c r="M149">
        <f>IFERROR(INDEX(PP_Grid[#Data],$DD149,11),0)</f>
        <v/>
      </c>
      <c r="N149">
        <f>IFERROR(INDEX(PP_Grid[#Data],$DD149,12),0)</f>
        <v/>
      </c>
      <c r="O149">
        <f>IFERROR(INDEX(PP_Grid[#Data],$DD149,13),0)</f>
        <v/>
      </c>
      <c r="P149">
        <f>IFERROR(INDEX(PP_Grid[#Data],$DD149,14),0)</f>
        <v/>
      </c>
      <c r="Q149">
        <f>IFERROR(INDEX(PP_Grid[#Data],$DD149,15),0)</f>
        <v/>
      </c>
      <c r="R149">
        <f>IFERROR(INDEX(PP_Grid[#Data],$DD149,16),0)</f>
        <v/>
      </c>
      <c r="S149">
        <f>IFERROR(INDEX(PP_Grid[#Data],$DD149,17),0)</f>
        <v/>
      </c>
      <c r="T149">
        <f>IFERROR(INDEX(PP_Grid[#Data],$DD149,18),0)</f>
        <v/>
      </c>
      <c r="U149">
        <f>IFERROR(INDEX(PP_Grid[#Data],$DD149,19),0)</f>
        <v/>
      </c>
      <c r="V149">
        <f>IFERROR(INDEX(PP_Grid[#Data],$DD149,20),0)</f>
        <v/>
      </c>
      <c r="W149">
        <f>IFERROR(INDEX(PP_Grid[#Data],$DD149,21),0)</f>
        <v/>
      </c>
      <c r="X149">
        <f>IFERROR(INDEX(PP_Grid[#Data],$DD149,22),0)</f>
        <v/>
      </c>
      <c r="Y149">
        <f>IFERROR(INDEX(PP_Grid[#Data],$DD149,23),0)</f>
        <v/>
      </c>
      <c r="Z149">
        <f>IFERROR(INDEX(PP_Grid[#Data],$DD149,24),0)</f>
        <v/>
      </c>
      <c r="AA149">
        <f>IFERROR(INDEX(PP_Grid[#Data],$DD149,25),0)</f>
        <v/>
      </c>
      <c r="AB149">
        <f>IFERROR(INDEX(PP_Grid[#Data],$DD149,26),0)</f>
        <v/>
      </c>
      <c r="AC149">
        <f>IFERROR(INDEX(PP_Grid[#Data],$DD149,27),0)</f>
        <v/>
      </c>
      <c r="AD149">
        <f>IFERROR(INDEX(PP_Grid[#Data],$DD149,28),0)</f>
        <v/>
      </c>
      <c r="AE149">
        <f>IFERROR(INDEX(PP_Grid[#Data],$DD149,29),0)</f>
        <v/>
      </c>
      <c r="AF149">
        <f>IFERROR(INDEX(PP_Grid[#Data],$DD149,30),0)</f>
        <v/>
      </c>
      <c r="AG149">
        <f>IFERROR(INDEX(PP_Grid[#Data],$DD149,31),0)</f>
        <v/>
      </c>
      <c r="AH149">
        <f>IFERROR(INDEX(PP_Grid[#Data],$DD149,32),0)</f>
        <v/>
      </c>
      <c r="AI149">
        <f>IFERROR(INDEX(PP_Grid[#Data],$DD149,33),0)</f>
        <v/>
      </c>
      <c r="AJ149">
        <f>IFERROR(INDEX(PP_Grid[#Data],$DD149,34),0)</f>
        <v/>
      </c>
      <c r="AK149">
        <f>IFERROR(INDEX(PP_Grid[#Data],$DD149,35),0)</f>
        <v/>
      </c>
      <c r="AL149">
        <f>IFERROR(INDEX(PP_Grid[#Data],$DD149,36),0)</f>
        <v/>
      </c>
      <c r="AM149">
        <f>IFERROR(INDEX(PP_Grid[#Data],$DD149,37),0)</f>
        <v/>
      </c>
      <c r="AN149">
        <f>IFERROR(INDEX(PP_Grid[#Data],$DD149,38),0)</f>
        <v/>
      </c>
      <c r="AO149">
        <f>IFERROR(INDEX(PP_Grid[#Data],$DD149,39),0)</f>
        <v/>
      </c>
      <c r="AP149">
        <f>IFERROR(INDEX(PP_Grid[#Data],$DD149,40),0)</f>
        <v/>
      </c>
      <c r="AQ149">
        <f>IFERROR(INDEX(PP_Grid[#Data],$DD149,41),0)</f>
        <v/>
      </c>
      <c r="AR149">
        <f>IFERROR(INDEX(PP_Grid[#Data],$DD149,42),0)</f>
        <v/>
      </c>
      <c r="AS149">
        <f>IFERROR(INDEX(PP_Grid[#Data],$DD149,43),0)</f>
        <v/>
      </c>
      <c r="AT149">
        <f>IFERROR(INDEX(PP_Grid[#Data],$DD149,44),0)</f>
        <v/>
      </c>
      <c r="AU149">
        <f>IFERROR(INDEX(PP_Grid[#Data],$DD149,45),0)</f>
        <v/>
      </c>
      <c r="AV149">
        <f>IFERROR(INDEX(PP_Grid[#Data],$DD149,46),0)</f>
        <v/>
      </c>
      <c r="AW149">
        <f>IFERROR(INDEX(PP_Grid[#Data],$DD149,47),0)</f>
        <v/>
      </c>
      <c r="AX149">
        <f>IFERROR(INDEX(PP_Grid[#Data],$DD149,48),0)</f>
        <v/>
      </c>
      <c r="AY149">
        <f>IFERROR(INDEX(PP_Grid[#Data],$DD149,49),0)</f>
        <v/>
      </c>
      <c r="AZ149">
        <f>IFERROR(INDEX(PP_Grid[#Data],$DD149,50),0)</f>
        <v/>
      </c>
      <c r="BA149">
        <f>IFERROR(INDEX(PP_Grid[#Data],$DD149,51),0)</f>
        <v/>
      </c>
      <c r="BB149">
        <f>IFERROR(INDEX(PP_Grid[#Data],$DD149,52),0)</f>
        <v/>
      </c>
      <c r="BC149">
        <f>IFERROR(INDEX(PP_Grid[#Data],$DD149,53),0)</f>
        <v/>
      </c>
      <c r="BD149">
        <f>IFERROR(INDEX(PP_Grid[#Data],$DD149,54),0)</f>
        <v/>
      </c>
      <c r="BE149">
        <f>IFERROR(INDEX(PP_Grid[#Data],$DD149,55),0)</f>
        <v/>
      </c>
      <c r="BF149">
        <f>IFERROR(INDEX(PP_Grid[#Data],$DD149,56),0)</f>
        <v/>
      </c>
      <c r="BG149">
        <f>IFERROR(INDEX(PP_Grid[#Data],$DD149,57),0)</f>
        <v/>
      </c>
      <c r="BH149">
        <f>IFERROR(INDEX(PP_Grid[#Data],$DD149,58),0)</f>
        <v/>
      </c>
      <c r="BI149">
        <f>IFERROR(INDEX(PP_Grid[#Data],$DD149,59),0)</f>
        <v/>
      </c>
      <c r="BJ149">
        <f>IFERROR(INDEX(PP_Grid[#Data],$DD149,60),0)</f>
        <v/>
      </c>
      <c r="BK149">
        <f>IFERROR(INDEX(PP_Grid[#Data],$DD149,61),0)</f>
        <v/>
      </c>
      <c r="BL149">
        <f>IFERROR(INDEX(PP_Grid[#Data],$DD149,62),0)</f>
        <v/>
      </c>
      <c r="BM149">
        <f>IFERROR(INDEX(PP_Grid[#Data],$DD149,63),0)</f>
        <v/>
      </c>
      <c r="BN149">
        <f>IFERROR(INDEX(PP_Grid[#Data],$DD149,64),0)</f>
        <v/>
      </c>
      <c r="BO149">
        <f>IFERROR(INDEX(PP_Grid[#Data],$DD149,65),0)</f>
        <v/>
      </c>
      <c r="BP149">
        <f>IFERROR(INDEX(PP_Grid[#Data],$DD149,66),0)</f>
        <v/>
      </c>
      <c r="BQ149">
        <f>IFERROR(INDEX(PP_Grid[#Data],$DD149,67),0)</f>
        <v/>
      </c>
      <c r="BR149">
        <f>IFERROR(INDEX(PP_Grid[#Data],$DD149,68),0)</f>
        <v/>
      </c>
      <c r="BS149">
        <f>IFERROR(INDEX(PP_Grid[#Data],$DD149,69),0)</f>
        <v/>
      </c>
      <c r="BT149">
        <f>IFERROR(INDEX(PP_Grid[#Data],$DD149,70),0)</f>
        <v/>
      </c>
      <c r="BU149">
        <f>IFERROR(INDEX(PP_Grid[#Data],$DD149,71),0)</f>
        <v/>
      </c>
      <c r="BV149">
        <f>IFERROR(INDEX(PP_Grid[#Data],$DD149,72),0)</f>
        <v/>
      </c>
      <c r="BW149">
        <f>IFERROR(INDEX(PP_Grid[#Data],$DD149,73),0)</f>
        <v/>
      </c>
      <c r="BX149">
        <f>IFERROR(INDEX(PP_Grid[#Data],$DD149,74),0)</f>
        <v/>
      </c>
      <c r="BY149">
        <f>IFERROR(INDEX(PP_Grid[#Data],$DD149,75),0)</f>
        <v/>
      </c>
      <c r="BZ149">
        <f>IFERROR(INDEX(PP_Grid[#Data],$DD149,76),0)</f>
        <v/>
      </c>
      <c r="CA149">
        <f>IFERROR(INDEX(PP_Grid[#Data],$DD149,77),0)</f>
        <v/>
      </c>
      <c r="CB149">
        <f>IFERROR(INDEX(PP_Grid[#Data],$DD149,78),0)</f>
        <v/>
      </c>
      <c r="CC149">
        <f>IFERROR(INDEX(PP_Grid[#Data],$DD149,79),0)</f>
        <v/>
      </c>
      <c r="CD149">
        <f>IFERROR(INDEX(PP_Grid[#Data],$DD149,80),0)</f>
        <v/>
      </c>
      <c r="CE149">
        <f>IFERROR(INDEX(PP_Grid[#Data],$DD149,81),0)</f>
        <v/>
      </c>
      <c r="CF149">
        <f>IFERROR(INDEX(PP_Grid[#Data],$DD149,82),0)</f>
        <v/>
      </c>
      <c r="CG149">
        <f>IFERROR(INDEX(PP_Grid[#Data],$DD149,83),0)</f>
        <v/>
      </c>
      <c r="CH149">
        <f>IFERROR(INDEX(PP_Grid[#Data],$DD149,84),0)</f>
        <v/>
      </c>
      <c r="CI149">
        <f>IFERROR(INDEX(PP_Grid[#Data],$DD149,85),0)</f>
        <v/>
      </c>
      <c r="CJ149">
        <f>IFERROR(INDEX(PP_Grid[#Data],$DD149,86),0)</f>
        <v/>
      </c>
      <c r="CK149">
        <f>IFERROR(INDEX(PP_Grid[#Data],$DD149,87),0)</f>
        <v/>
      </c>
      <c r="CL149">
        <f>IFERROR(INDEX(PP_Grid[#Data],$DD149,88),0)</f>
        <v/>
      </c>
      <c r="CM149">
        <f>IFERROR(INDEX(PP_Grid[#Data],$DD149,89),0)</f>
        <v/>
      </c>
      <c r="CN149">
        <f>IFERROR(INDEX(PP_Grid[#Data],$DD149,90),0)</f>
        <v/>
      </c>
      <c r="CO149">
        <f>IFERROR(INDEX(PP_Grid[#Data],$DD149,91),0)</f>
        <v/>
      </c>
      <c r="CP149">
        <f>IFERROR(INDEX(PP_Grid[#Data],$DD149,92),0)</f>
        <v/>
      </c>
      <c r="CQ149">
        <f>IFERROR(INDEX(PP_Grid[#Data],$DD149,93),0)</f>
        <v/>
      </c>
      <c r="CR149">
        <f>IFERROR(INDEX(PP_Grid[#Data],$DD149,94),0)</f>
        <v/>
      </c>
      <c r="CS149">
        <f>IFERROR(INDEX(PP_Grid[#Data],$DD149,95),0)</f>
        <v/>
      </c>
      <c r="CT149">
        <f>IFERROR(INDEX(PP_Grid[#Data],$DD149,96),0)</f>
        <v/>
      </c>
      <c r="CU149">
        <f>IFERROR(INDEX(PP_Grid[#Data],$DD149,97),0)</f>
        <v/>
      </c>
      <c r="CV149">
        <f>IFERROR(INDEX(PP_Grid[#Data],$DD149,98),0)</f>
        <v/>
      </c>
      <c r="CW149">
        <f>IFERROR(INDEX(PP_Grid[#Data],$DD149,99),0)</f>
        <v/>
      </c>
      <c r="CX149">
        <f>IFERROR(INDEX(PP_Grid[#Data],$DD149,100),0)</f>
        <v/>
      </c>
      <c r="CY149">
        <f>IFERROR(INDEX(PP_Grid[#Data],$DD149,101),0)</f>
        <v/>
      </c>
      <c r="CZ149">
        <f>IFERROR(INDEX(PP_Grid[#Data],$DD149,102),0)</f>
        <v/>
      </c>
      <c r="DA149">
        <f>IFERROR(INDEX(PP_Grid[#Data],$DD149,103),0)</f>
        <v/>
      </c>
      <c r="DB149">
        <f>IFERROR(INDEX(PP_Grid[#Data],$DD149,104),0)</f>
        <v/>
      </c>
      <c r="DC149">
        <f>IFERROR(INDEX(PP_Grid[#Data],$DD149,105),0)</f>
        <v/>
      </c>
      <c r="DD149" s="7">
        <f>IFERROR(MATCH($B149,PP_Grid[Intermediate],0),99999)</f>
        <v/>
      </c>
    </row>
    <row r="150">
      <c r="B150" t="inlineStr">
        <is>
          <t>使用量(kg)</t>
        </is>
      </c>
      <c r="C150">
        <f>SUMIFS(M_BOM[RM_Qty_Per_Batch],M_BOM[Intermediate],$B149,M_BOM[Part Name],$A44)</f>
        <v/>
      </c>
      <c r="D150">
        <f>$C150*D149</f>
        <v/>
      </c>
      <c r="E150">
        <f>$C150*E149</f>
        <v/>
      </c>
      <c r="F150">
        <f>$C150*F149</f>
        <v/>
      </c>
      <c r="G150">
        <f>$C150*G149</f>
        <v/>
      </c>
      <c r="H150">
        <f>$C150*H149</f>
        <v/>
      </c>
      <c r="I150">
        <f>$C150*I149</f>
        <v/>
      </c>
      <c r="J150">
        <f>$C150*J149</f>
        <v/>
      </c>
      <c r="K150">
        <f>$C150*K149</f>
        <v/>
      </c>
      <c r="L150">
        <f>$C150*L149</f>
        <v/>
      </c>
      <c r="M150">
        <f>$C150*M149</f>
        <v/>
      </c>
      <c r="N150">
        <f>$C150*N149</f>
        <v/>
      </c>
      <c r="O150">
        <f>$C150*O149</f>
        <v/>
      </c>
      <c r="P150">
        <f>$C150*P149</f>
        <v/>
      </c>
      <c r="Q150">
        <f>$C150*Q149</f>
        <v/>
      </c>
      <c r="R150">
        <f>$C150*R149</f>
        <v/>
      </c>
      <c r="S150">
        <f>$C150*S149</f>
        <v/>
      </c>
      <c r="T150">
        <f>$C150*T149</f>
        <v/>
      </c>
      <c r="U150">
        <f>$C150*U149</f>
        <v/>
      </c>
      <c r="V150">
        <f>$C150*V149</f>
        <v/>
      </c>
      <c r="W150">
        <f>$C150*W149</f>
        <v/>
      </c>
      <c r="X150">
        <f>$C150*X149</f>
        <v/>
      </c>
      <c r="Y150">
        <f>$C150*Y149</f>
        <v/>
      </c>
      <c r="Z150">
        <f>$C150*Z149</f>
        <v/>
      </c>
      <c r="AA150">
        <f>$C150*AA149</f>
        <v/>
      </c>
      <c r="AB150">
        <f>$C150*AB149</f>
        <v/>
      </c>
      <c r="AC150">
        <f>$C150*AC149</f>
        <v/>
      </c>
      <c r="AD150">
        <f>$C150*AD149</f>
        <v/>
      </c>
      <c r="AE150">
        <f>$C150*AE149</f>
        <v/>
      </c>
      <c r="AF150">
        <f>$C150*AF149</f>
        <v/>
      </c>
      <c r="AG150">
        <f>$C150*AG149</f>
        <v/>
      </c>
      <c r="AH150">
        <f>$C150*AH149</f>
        <v/>
      </c>
      <c r="AI150">
        <f>$C150*AI149</f>
        <v/>
      </c>
      <c r="AJ150">
        <f>$C150*AJ149</f>
        <v/>
      </c>
      <c r="AK150">
        <f>$C150*AK149</f>
        <v/>
      </c>
      <c r="AL150">
        <f>$C150*AL149</f>
        <v/>
      </c>
      <c r="AM150">
        <f>$C150*AM149</f>
        <v/>
      </c>
      <c r="AN150">
        <f>$C150*AN149</f>
        <v/>
      </c>
      <c r="AO150">
        <f>$C150*AO149</f>
        <v/>
      </c>
      <c r="AP150">
        <f>$C150*AP149</f>
        <v/>
      </c>
      <c r="AQ150">
        <f>$C150*AQ149</f>
        <v/>
      </c>
      <c r="AR150">
        <f>$C150*AR149</f>
        <v/>
      </c>
      <c r="AS150">
        <f>$C150*AS149</f>
        <v/>
      </c>
      <c r="AT150">
        <f>$C150*AT149</f>
        <v/>
      </c>
      <c r="AU150">
        <f>$C150*AU149</f>
        <v/>
      </c>
      <c r="AV150">
        <f>$C150*AV149</f>
        <v/>
      </c>
      <c r="AW150">
        <f>$C150*AW149</f>
        <v/>
      </c>
      <c r="AX150">
        <f>$C150*AX149</f>
        <v/>
      </c>
      <c r="AY150">
        <f>$C150*AY149</f>
        <v/>
      </c>
      <c r="AZ150">
        <f>$C150*AZ149</f>
        <v/>
      </c>
      <c r="BA150">
        <f>$C150*BA149</f>
        <v/>
      </c>
      <c r="BB150">
        <f>$C150*BB149</f>
        <v/>
      </c>
      <c r="BC150">
        <f>$C150*BC149</f>
        <v/>
      </c>
      <c r="BD150">
        <f>$C150*BD149</f>
        <v/>
      </c>
      <c r="BE150">
        <f>$C150*BE149</f>
        <v/>
      </c>
      <c r="BF150">
        <f>$C150*BF149</f>
        <v/>
      </c>
      <c r="BG150">
        <f>$C150*BG149</f>
        <v/>
      </c>
      <c r="BH150">
        <f>$C150*BH149</f>
        <v/>
      </c>
      <c r="BI150">
        <f>$C150*BI149</f>
        <v/>
      </c>
      <c r="BJ150">
        <f>$C150*BJ149</f>
        <v/>
      </c>
      <c r="BK150">
        <f>$C150*BK149</f>
        <v/>
      </c>
      <c r="BL150">
        <f>$C150*BL149</f>
        <v/>
      </c>
      <c r="BM150">
        <f>$C150*BM149</f>
        <v/>
      </c>
      <c r="BN150">
        <f>$C150*BN149</f>
        <v/>
      </c>
      <c r="BO150">
        <f>$C150*BO149</f>
        <v/>
      </c>
      <c r="BP150">
        <f>$C150*BP149</f>
        <v/>
      </c>
      <c r="BQ150">
        <f>$C150*BQ149</f>
        <v/>
      </c>
      <c r="BR150">
        <f>$C150*BR149</f>
        <v/>
      </c>
      <c r="BS150">
        <f>$C150*BS149</f>
        <v/>
      </c>
      <c r="BT150">
        <f>$C150*BT149</f>
        <v/>
      </c>
      <c r="BU150">
        <f>$C150*BU149</f>
        <v/>
      </c>
      <c r="BV150">
        <f>$C150*BV149</f>
        <v/>
      </c>
      <c r="BW150">
        <f>$C150*BW149</f>
        <v/>
      </c>
      <c r="BX150">
        <f>$C150*BX149</f>
        <v/>
      </c>
      <c r="BY150">
        <f>$C150*BY149</f>
        <v/>
      </c>
      <c r="BZ150">
        <f>$C150*BZ149</f>
        <v/>
      </c>
      <c r="CA150">
        <f>$C150*CA149</f>
        <v/>
      </c>
      <c r="CB150">
        <f>$C150*CB149</f>
        <v/>
      </c>
      <c r="CC150">
        <f>$C150*CC149</f>
        <v/>
      </c>
      <c r="CD150">
        <f>$C150*CD149</f>
        <v/>
      </c>
      <c r="CE150">
        <f>$C150*CE149</f>
        <v/>
      </c>
      <c r="CF150">
        <f>$C150*CF149</f>
        <v/>
      </c>
      <c r="CG150">
        <f>$C150*CG149</f>
        <v/>
      </c>
      <c r="CH150">
        <f>$C150*CH149</f>
        <v/>
      </c>
      <c r="CI150">
        <f>$C150*CI149</f>
        <v/>
      </c>
      <c r="CJ150">
        <f>$C150*CJ149</f>
        <v/>
      </c>
      <c r="CK150">
        <f>$C150*CK149</f>
        <v/>
      </c>
      <c r="CL150">
        <f>$C150*CL149</f>
        <v/>
      </c>
      <c r="CM150">
        <f>$C150*CM149</f>
        <v/>
      </c>
      <c r="CN150">
        <f>$C150*CN149</f>
        <v/>
      </c>
      <c r="CO150">
        <f>$C150*CO149</f>
        <v/>
      </c>
      <c r="CP150">
        <f>$C150*CP149</f>
        <v/>
      </c>
      <c r="CQ150">
        <f>$C150*CQ149</f>
        <v/>
      </c>
      <c r="CR150">
        <f>$C150*CR149</f>
        <v/>
      </c>
      <c r="CS150">
        <f>$C150*CS149</f>
        <v/>
      </c>
      <c r="CT150">
        <f>$C150*CT149</f>
        <v/>
      </c>
      <c r="CU150">
        <f>$C150*CU149</f>
        <v/>
      </c>
      <c r="CV150">
        <f>$C150*CV149</f>
        <v/>
      </c>
      <c r="CW150">
        <f>$C150*CW149</f>
        <v/>
      </c>
      <c r="CX150">
        <f>$C150*CX149</f>
        <v/>
      </c>
      <c r="CY150">
        <f>$C150*CY149</f>
        <v/>
      </c>
      <c r="CZ150">
        <f>$C150*CZ149</f>
        <v/>
      </c>
      <c r="DA150">
        <f>$C150*DA149</f>
        <v/>
      </c>
      <c r="DB150">
        <f>$C150*DB149</f>
        <v/>
      </c>
      <c r="DC150">
        <f>$C150*DC149</f>
        <v/>
      </c>
    </row>
    <row r="151">
      <c r="B151" t="inlineStr">
        <is>
          <t>TSP-1388</t>
        </is>
      </c>
      <c r="C151" t="inlineStr">
        <is>
          <t>No. of batches</t>
        </is>
      </c>
      <c r="D151">
        <f>IFERROR(INDEX(PP_Grid[#Data],$DD151,2),0)</f>
        <v/>
      </c>
      <c r="E151">
        <f>IFERROR(INDEX(PP_Grid[#Data],$DD151,3),0)</f>
        <v/>
      </c>
      <c r="F151">
        <f>IFERROR(INDEX(PP_Grid[#Data],$DD151,4),0)</f>
        <v/>
      </c>
      <c r="G151">
        <f>IFERROR(INDEX(PP_Grid[#Data],$DD151,5),0)</f>
        <v/>
      </c>
      <c r="H151">
        <f>IFERROR(INDEX(PP_Grid[#Data],$DD151,6),0)</f>
        <v/>
      </c>
      <c r="I151">
        <f>IFERROR(INDEX(PP_Grid[#Data],$DD151,7),0)</f>
        <v/>
      </c>
      <c r="J151">
        <f>IFERROR(INDEX(PP_Grid[#Data],$DD151,8),0)</f>
        <v/>
      </c>
      <c r="K151">
        <f>IFERROR(INDEX(PP_Grid[#Data],$DD151,9),0)</f>
        <v/>
      </c>
      <c r="L151">
        <f>IFERROR(INDEX(PP_Grid[#Data],$DD151,10),0)</f>
        <v/>
      </c>
      <c r="M151">
        <f>IFERROR(INDEX(PP_Grid[#Data],$DD151,11),0)</f>
        <v/>
      </c>
      <c r="N151">
        <f>IFERROR(INDEX(PP_Grid[#Data],$DD151,12),0)</f>
        <v/>
      </c>
      <c r="O151">
        <f>IFERROR(INDEX(PP_Grid[#Data],$DD151,13),0)</f>
        <v/>
      </c>
      <c r="P151">
        <f>IFERROR(INDEX(PP_Grid[#Data],$DD151,14),0)</f>
        <v/>
      </c>
      <c r="Q151">
        <f>IFERROR(INDEX(PP_Grid[#Data],$DD151,15),0)</f>
        <v/>
      </c>
      <c r="R151">
        <f>IFERROR(INDEX(PP_Grid[#Data],$DD151,16),0)</f>
        <v/>
      </c>
      <c r="S151">
        <f>IFERROR(INDEX(PP_Grid[#Data],$DD151,17),0)</f>
        <v/>
      </c>
      <c r="T151">
        <f>IFERROR(INDEX(PP_Grid[#Data],$DD151,18),0)</f>
        <v/>
      </c>
      <c r="U151">
        <f>IFERROR(INDEX(PP_Grid[#Data],$DD151,19),0)</f>
        <v/>
      </c>
      <c r="V151">
        <f>IFERROR(INDEX(PP_Grid[#Data],$DD151,20),0)</f>
        <v/>
      </c>
      <c r="W151">
        <f>IFERROR(INDEX(PP_Grid[#Data],$DD151,21),0)</f>
        <v/>
      </c>
      <c r="X151">
        <f>IFERROR(INDEX(PP_Grid[#Data],$DD151,22),0)</f>
        <v/>
      </c>
      <c r="Y151">
        <f>IFERROR(INDEX(PP_Grid[#Data],$DD151,23),0)</f>
        <v/>
      </c>
      <c r="Z151">
        <f>IFERROR(INDEX(PP_Grid[#Data],$DD151,24),0)</f>
        <v/>
      </c>
      <c r="AA151">
        <f>IFERROR(INDEX(PP_Grid[#Data],$DD151,25),0)</f>
        <v/>
      </c>
      <c r="AB151">
        <f>IFERROR(INDEX(PP_Grid[#Data],$DD151,26),0)</f>
        <v/>
      </c>
      <c r="AC151">
        <f>IFERROR(INDEX(PP_Grid[#Data],$DD151,27),0)</f>
        <v/>
      </c>
      <c r="AD151">
        <f>IFERROR(INDEX(PP_Grid[#Data],$DD151,28),0)</f>
        <v/>
      </c>
      <c r="AE151">
        <f>IFERROR(INDEX(PP_Grid[#Data],$DD151,29),0)</f>
        <v/>
      </c>
      <c r="AF151">
        <f>IFERROR(INDEX(PP_Grid[#Data],$DD151,30),0)</f>
        <v/>
      </c>
      <c r="AG151">
        <f>IFERROR(INDEX(PP_Grid[#Data],$DD151,31),0)</f>
        <v/>
      </c>
      <c r="AH151">
        <f>IFERROR(INDEX(PP_Grid[#Data],$DD151,32),0)</f>
        <v/>
      </c>
      <c r="AI151">
        <f>IFERROR(INDEX(PP_Grid[#Data],$DD151,33),0)</f>
        <v/>
      </c>
      <c r="AJ151">
        <f>IFERROR(INDEX(PP_Grid[#Data],$DD151,34),0)</f>
        <v/>
      </c>
      <c r="AK151">
        <f>IFERROR(INDEX(PP_Grid[#Data],$DD151,35),0)</f>
        <v/>
      </c>
      <c r="AL151">
        <f>IFERROR(INDEX(PP_Grid[#Data],$DD151,36),0)</f>
        <v/>
      </c>
      <c r="AM151">
        <f>IFERROR(INDEX(PP_Grid[#Data],$DD151,37),0)</f>
        <v/>
      </c>
      <c r="AN151">
        <f>IFERROR(INDEX(PP_Grid[#Data],$DD151,38),0)</f>
        <v/>
      </c>
      <c r="AO151">
        <f>IFERROR(INDEX(PP_Grid[#Data],$DD151,39),0)</f>
        <v/>
      </c>
      <c r="AP151">
        <f>IFERROR(INDEX(PP_Grid[#Data],$DD151,40),0)</f>
        <v/>
      </c>
      <c r="AQ151">
        <f>IFERROR(INDEX(PP_Grid[#Data],$DD151,41),0)</f>
        <v/>
      </c>
      <c r="AR151">
        <f>IFERROR(INDEX(PP_Grid[#Data],$DD151,42),0)</f>
        <v/>
      </c>
      <c r="AS151">
        <f>IFERROR(INDEX(PP_Grid[#Data],$DD151,43),0)</f>
        <v/>
      </c>
      <c r="AT151">
        <f>IFERROR(INDEX(PP_Grid[#Data],$DD151,44),0)</f>
        <v/>
      </c>
      <c r="AU151">
        <f>IFERROR(INDEX(PP_Grid[#Data],$DD151,45),0)</f>
        <v/>
      </c>
      <c r="AV151">
        <f>IFERROR(INDEX(PP_Grid[#Data],$DD151,46),0)</f>
        <v/>
      </c>
      <c r="AW151">
        <f>IFERROR(INDEX(PP_Grid[#Data],$DD151,47),0)</f>
        <v/>
      </c>
      <c r="AX151">
        <f>IFERROR(INDEX(PP_Grid[#Data],$DD151,48),0)</f>
        <v/>
      </c>
      <c r="AY151">
        <f>IFERROR(INDEX(PP_Grid[#Data],$DD151,49),0)</f>
        <v/>
      </c>
      <c r="AZ151">
        <f>IFERROR(INDEX(PP_Grid[#Data],$DD151,50),0)</f>
        <v/>
      </c>
      <c r="BA151">
        <f>IFERROR(INDEX(PP_Grid[#Data],$DD151,51),0)</f>
        <v/>
      </c>
      <c r="BB151">
        <f>IFERROR(INDEX(PP_Grid[#Data],$DD151,52),0)</f>
        <v/>
      </c>
      <c r="BC151">
        <f>IFERROR(INDEX(PP_Grid[#Data],$DD151,53),0)</f>
        <v/>
      </c>
      <c r="BD151">
        <f>IFERROR(INDEX(PP_Grid[#Data],$DD151,54),0)</f>
        <v/>
      </c>
      <c r="BE151">
        <f>IFERROR(INDEX(PP_Grid[#Data],$DD151,55),0)</f>
        <v/>
      </c>
      <c r="BF151">
        <f>IFERROR(INDEX(PP_Grid[#Data],$DD151,56),0)</f>
        <v/>
      </c>
      <c r="BG151">
        <f>IFERROR(INDEX(PP_Grid[#Data],$DD151,57),0)</f>
        <v/>
      </c>
      <c r="BH151">
        <f>IFERROR(INDEX(PP_Grid[#Data],$DD151,58),0)</f>
        <v/>
      </c>
      <c r="BI151">
        <f>IFERROR(INDEX(PP_Grid[#Data],$DD151,59),0)</f>
        <v/>
      </c>
      <c r="BJ151">
        <f>IFERROR(INDEX(PP_Grid[#Data],$DD151,60),0)</f>
        <v/>
      </c>
      <c r="BK151">
        <f>IFERROR(INDEX(PP_Grid[#Data],$DD151,61),0)</f>
        <v/>
      </c>
      <c r="BL151">
        <f>IFERROR(INDEX(PP_Grid[#Data],$DD151,62),0)</f>
        <v/>
      </c>
      <c r="BM151">
        <f>IFERROR(INDEX(PP_Grid[#Data],$DD151,63),0)</f>
        <v/>
      </c>
      <c r="BN151">
        <f>IFERROR(INDEX(PP_Grid[#Data],$DD151,64),0)</f>
        <v/>
      </c>
      <c r="BO151">
        <f>IFERROR(INDEX(PP_Grid[#Data],$DD151,65),0)</f>
        <v/>
      </c>
      <c r="BP151">
        <f>IFERROR(INDEX(PP_Grid[#Data],$DD151,66),0)</f>
        <v/>
      </c>
      <c r="BQ151">
        <f>IFERROR(INDEX(PP_Grid[#Data],$DD151,67),0)</f>
        <v/>
      </c>
      <c r="BR151">
        <f>IFERROR(INDEX(PP_Grid[#Data],$DD151,68),0)</f>
        <v/>
      </c>
      <c r="BS151">
        <f>IFERROR(INDEX(PP_Grid[#Data],$DD151,69),0)</f>
        <v/>
      </c>
      <c r="BT151">
        <f>IFERROR(INDEX(PP_Grid[#Data],$DD151,70),0)</f>
        <v/>
      </c>
      <c r="BU151">
        <f>IFERROR(INDEX(PP_Grid[#Data],$DD151,71),0)</f>
        <v/>
      </c>
      <c r="BV151">
        <f>IFERROR(INDEX(PP_Grid[#Data],$DD151,72),0)</f>
        <v/>
      </c>
      <c r="BW151">
        <f>IFERROR(INDEX(PP_Grid[#Data],$DD151,73),0)</f>
        <v/>
      </c>
      <c r="BX151">
        <f>IFERROR(INDEX(PP_Grid[#Data],$DD151,74),0)</f>
        <v/>
      </c>
      <c r="BY151">
        <f>IFERROR(INDEX(PP_Grid[#Data],$DD151,75),0)</f>
        <v/>
      </c>
      <c r="BZ151">
        <f>IFERROR(INDEX(PP_Grid[#Data],$DD151,76),0)</f>
        <v/>
      </c>
      <c r="CA151">
        <f>IFERROR(INDEX(PP_Grid[#Data],$DD151,77),0)</f>
        <v/>
      </c>
      <c r="CB151">
        <f>IFERROR(INDEX(PP_Grid[#Data],$DD151,78),0)</f>
        <v/>
      </c>
      <c r="CC151">
        <f>IFERROR(INDEX(PP_Grid[#Data],$DD151,79),0)</f>
        <v/>
      </c>
      <c r="CD151">
        <f>IFERROR(INDEX(PP_Grid[#Data],$DD151,80),0)</f>
        <v/>
      </c>
      <c r="CE151">
        <f>IFERROR(INDEX(PP_Grid[#Data],$DD151,81),0)</f>
        <v/>
      </c>
      <c r="CF151">
        <f>IFERROR(INDEX(PP_Grid[#Data],$DD151,82),0)</f>
        <v/>
      </c>
      <c r="CG151">
        <f>IFERROR(INDEX(PP_Grid[#Data],$DD151,83),0)</f>
        <v/>
      </c>
      <c r="CH151">
        <f>IFERROR(INDEX(PP_Grid[#Data],$DD151,84),0)</f>
        <v/>
      </c>
      <c r="CI151">
        <f>IFERROR(INDEX(PP_Grid[#Data],$DD151,85),0)</f>
        <v/>
      </c>
      <c r="CJ151">
        <f>IFERROR(INDEX(PP_Grid[#Data],$DD151,86),0)</f>
        <v/>
      </c>
      <c r="CK151">
        <f>IFERROR(INDEX(PP_Grid[#Data],$DD151,87),0)</f>
        <v/>
      </c>
      <c r="CL151">
        <f>IFERROR(INDEX(PP_Grid[#Data],$DD151,88),0)</f>
        <v/>
      </c>
      <c r="CM151">
        <f>IFERROR(INDEX(PP_Grid[#Data],$DD151,89),0)</f>
        <v/>
      </c>
      <c r="CN151">
        <f>IFERROR(INDEX(PP_Grid[#Data],$DD151,90),0)</f>
        <v/>
      </c>
      <c r="CO151">
        <f>IFERROR(INDEX(PP_Grid[#Data],$DD151,91),0)</f>
        <v/>
      </c>
      <c r="CP151">
        <f>IFERROR(INDEX(PP_Grid[#Data],$DD151,92),0)</f>
        <v/>
      </c>
      <c r="CQ151">
        <f>IFERROR(INDEX(PP_Grid[#Data],$DD151,93),0)</f>
        <v/>
      </c>
      <c r="CR151">
        <f>IFERROR(INDEX(PP_Grid[#Data],$DD151,94),0)</f>
        <v/>
      </c>
      <c r="CS151">
        <f>IFERROR(INDEX(PP_Grid[#Data],$DD151,95),0)</f>
        <v/>
      </c>
      <c r="CT151">
        <f>IFERROR(INDEX(PP_Grid[#Data],$DD151,96),0)</f>
        <v/>
      </c>
      <c r="CU151">
        <f>IFERROR(INDEX(PP_Grid[#Data],$DD151,97),0)</f>
        <v/>
      </c>
      <c r="CV151">
        <f>IFERROR(INDEX(PP_Grid[#Data],$DD151,98),0)</f>
        <v/>
      </c>
      <c r="CW151">
        <f>IFERROR(INDEX(PP_Grid[#Data],$DD151,99),0)</f>
        <v/>
      </c>
      <c r="CX151">
        <f>IFERROR(INDEX(PP_Grid[#Data],$DD151,100),0)</f>
        <v/>
      </c>
      <c r="CY151">
        <f>IFERROR(INDEX(PP_Grid[#Data],$DD151,101),0)</f>
        <v/>
      </c>
      <c r="CZ151">
        <f>IFERROR(INDEX(PP_Grid[#Data],$DD151,102),0)</f>
        <v/>
      </c>
      <c r="DA151">
        <f>IFERROR(INDEX(PP_Grid[#Data],$DD151,103),0)</f>
        <v/>
      </c>
      <c r="DB151">
        <f>IFERROR(INDEX(PP_Grid[#Data],$DD151,104),0)</f>
        <v/>
      </c>
      <c r="DC151">
        <f>IFERROR(INDEX(PP_Grid[#Data],$DD151,105),0)</f>
        <v/>
      </c>
      <c r="DD151" s="7">
        <f>IFERROR(MATCH($B151,PP_Grid[Intermediate],0),99999)</f>
        <v/>
      </c>
    </row>
    <row r="152">
      <c r="B152" t="inlineStr">
        <is>
          <t>使用量(kg)</t>
        </is>
      </c>
      <c r="C152">
        <f>SUMIFS(M_BOM[RM_Qty_Per_Batch],M_BOM[Intermediate],$B151,M_BOM[Part Name],$A44)</f>
        <v/>
      </c>
      <c r="D152">
        <f>$C152*D151</f>
        <v/>
      </c>
      <c r="E152">
        <f>$C152*E151</f>
        <v/>
      </c>
      <c r="F152">
        <f>$C152*F151</f>
        <v/>
      </c>
      <c r="G152">
        <f>$C152*G151</f>
        <v/>
      </c>
      <c r="H152">
        <f>$C152*H151</f>
        <v/>
      </c>
      <c r="I152">
        <f>$C152*I151</f>
        <v/>
      </c>
      <c r="J152">
        <f>$C152*J151</f>
        <v/>
      </c>
      <c r="K152">
        <f>$C152*K151</f>
        <v/>
      </c>
      <c r="L152">
        <f>$C152*L151</f>
        <v/>
      </c>
      <c r="M152">
        <f>$C152*M151</f>
        <v/>
      </c>
      <c r="N152">
        <f>$C152*N151</f>
        <v/>
      </c>
      <c r="O152">
        <f>$C152*O151</f>
        <v/>
      </c>
      <c r="P152">
        <f>$C152*P151</f>
        <v/>
      </c>
      <c r="Q152">
        <f>$C152*Q151</f>
        <v/>
      </c>
      <c r="R152">
        <f>$C152*R151</f>
        <v/>
      </c>
      <c r="S152">
        <f>$C152*S151</f>
        <v/>
      </c>
      <c r="T152">
        <f>$C152*T151</f>
        <v/>
      </c>
      <c r="U152">
        <f>$C152*U151</f>
        <v/>
      </c>
      <c r="V152">
        <f>$C152*V151</f>
        <v/>
      </c>
      <c r="W152">
        <f>$C152*W151</f>
        <v/>
      </c>
      <c r="X152">
        <f>$C152*X151</f>
        <v/>
      </c>
      <c r="Y152">
        <f>$C152*Y151</f>
        <v/>
      </c>
      <c r="Z152">
        <f>$C152*Z151</f>
        <v/>
      </c>
      <c r="AA152">
        <f>$C152*AA151</f>
        <v/>
      </c>
      <c r="AB152">
        <f>$C152*AB151</f>
        <v/>
      </c>
      <c r="AC152">
        <f>$C152*AC151</f>
        <v/>
      </c>
      <c r="AD152">
        <f>$C152*AD151</f>
        <v/>
      </c>
      <c r="AE152">
        <f>$C152*AE151</f>
        <v/>
      </c>
      <c r="AF152">
        <f>$C152*AF151</f>
        <v/>
      </c>
      <c r="AG152">
        <f>$C152*AG151</f>
        <v/>
      </c>
      <c r="AH152">
        <f>$C152*AH151</f>
        <v/>
      </c>
      <c r="AI152">
        <f>$C152*AI151</f>
        <v/>
      </c>
      <c r="AJ152">
        <f>$C152*AJ151</f>
        <v/>
      </c>
      <c r="AK152">
        <f>$C152*AK151</f>
        <v/>
      </c>
      <c r="AL152">
        <f>$C152*AL151</f>
        <v/>
      </c>
      <c r="AM152">
        <f>$C152*AM151</f>
        <v/>
      </c>
      <c r="AN152">
        <f>$C152*AN151</f>
        <v/>
      </c>
      <c r="AO152">
        <f>$C152*AO151</f>
        <v/>
      </c>
      <c r="AP152">
        <f>$C152*AP151</f>
        <v/>
      </c>
      <c r="AQ152">
        <f>$C152*AQ151</f>
        <v/>
      </c>
      <c r="AR152">
        <f>$C152*AR151</f>
        <v/>
      </c>
      <c r="AS152">
        <f>$C152*AS151</f>
        <v/>
      </c>
      <c r="AT152">
        <f>$C152*AT151</f>
        <v/>
      </c>
      <c r="AU152">
        <f>$C152*AU151</f>
        <v/>
      </c>
      <c r="AV152">
        <f>$C152*AV151</f>
        <v/>
      </c>
      <c r="AW152">
        <f>$C152*AW151</f>
        <v/>
      </c>
      <c r="AX152">
        <f>$C152*AX151</f>
        <v/>
      </c>
      <c r="AY152">
        <f>$C152*AY151</f>
        <v/>
      </c>
      <c r="AZ152">
        <f>$C152*AZ151</f>
        <v/>
      </c>
      <c r="BA152">
        <f>$C152*BA151</f>
        <v/>
      </c>
      <c r="BB152">
        <f>$C152*BB151</f>
        <v/>
      </c>
      <c r="BC152">
        <f>$C152*BC151</f>
        <v/>
      </c>
      <c r="BD152">
        <f>$C152*BD151</f>
        <v/>
      </c>
      <c r="BE152">
        <f>$C152*BE151</f>
        <v/>
      </c>
      <c r="BF152">
        <f>$C152*BF151</f>
        <v/>
      </c>
      <c r="BG152">
        <f>$C152*BG151</f>
        <v/>
      </c>
      <c r="BH152">
        <f>$C152*BH151</f>
        <v/>
      </c>
      <c r="BI152">
        <f>$C152*BI151</f>
        <v/>
      </c>
      <c r="BJ152">
        <f>$C152*BJ151</f>
        <v/>
      </c>
      <c r="BK152">
        <f>$C152*BK151</f>
        <v/>
      </c>
      <c r="BL152">
        <f>$C152*BL151</f>
        <v/>
      </c>
      <c r="BM152">
        <f>$C152*BM151</f>
        <v/>
      </c>
      <c r="BN152">
        <f>$C152*BN151</f>
        <v/>
      </c>
      <c r="BO152">
        <f>$C152*BO151</f>
        <v/>
      </c>
      <c r="BP152">
        <f>$C152*BP151</f>
        <v/>
      </c>
      <c r="BQ152">
        <f>$C152*BQ151</f>
        <v/>
      </c>
      <c r="BR152">
        <f>$C152*BR151</f>
        <v/>
      </c>
      <c r="BS152">
        <f>$C152*BS151</f>
        <v/>
      </c>
      <c r="BT152">
        <f>$C152*BT151</f>
        <v/>
      </c>
      <c r="BU152">
        <f>$C152*BU151</f>
        <v/>
      </c>
      <c r="BV152">
        <f>$C152*BV151</f>
        <v/>
      </c>
      <c r="BW152">
        <f>$C152*BW151</f>
        <v/>
      </c>
      <c r="BX152">
        <f>$C152*BX151</f>
        <v/>
      </c>
      <c r="BY152">
        <f>$C152*BY151</f>
        <v/>
      </c>
      <c r="BZ152">
        <f>$C152*BZ151</f>
        <v/>
      </c>
      <c r="CA152">
        <f>$C152*CA151</f>
        <v/>
      </c>
      <c r="CB152">
        <f>$C152*CB151</f>
        <v/>
      </c>
      <c r="CC152">
        <f>$C152*CC151</f>
        <v/>
      </c>
      <c r="CD152">
        <f>$C152*CD151</f>
        <v/>
      </c>
      <c r="CE152">
        <f>$C152*CE151</f>
        <v/>
      </c>
      <c r="CF152">
        <f>$C152*CF151</f>
        <v/>
      </c>
      <c r="CG152">
        <f>$C152*CG151</f>
        <v/>
      </c>
      <c r="CH152">
        <f>$C152*CH151</f>
        <v/>
      </c>
      <c r="CI152">
        <f>$C152*CI151</f>
        <v/>
      </c>
      <c r="CJ152">
        <f>$C152*CJ151</f>
        <v/>
      </c>
      <c r="CK152">
        <f>$C152*CK151</f>
        <v/>
      </c>
      <c r="CL152">
        <f>$C152*CL151</f>
        <v/>
      </c>
      <c r="CM152">
        <f>$C152*CM151</f>
        <v/>
      </c>
      <c r="CN152">
        <f>$C152*CN151</f>
        <v/>
      </c>
      <c r="CO152">
        <f>$C152*CO151</f>
        <v/>
      </c>
      <c r="CP152">
        <f>$C152*CP151</f>
        <v/>
      </c>
      <c r="CQ152">
        <f>$C152*CQ151</f>
        <v/>
      </c>
      <c r="CR152">
        <f>$C152*CR151</f>
        <v/>
      </c>
      <c r="CS152">
        <f>$C152*CS151</f>
        <v/>
      </c>
      <c r="CT152">
        <f>$C152*CT151</f>
        <v/>
      </c>
      <c r="CU152">
        <f>$C152*CU151</f>
        <v/>
      </c>
      <c r="CV152">
        <f>$C152*CV151</f>
        <v/>
      </c>
      <c r="CW152">
        <f>$C152*CW151</f>
        <v/>
      </c>
      <c r="CX152">
        <f>$C152*CX151</f>
        <v/>
      </c>
      <c r="CY152">
        <f>$C152*CY151</f>
        <v/>
      </c>
      <c r="CZ152">
        <f>$C152*CZ151</f>
        <v/>
      </c>
      <c r="DA152">
        <f>$C152*DA151</f>
        <v/>
      </c>
      <c r="DB152">
        <f>$C152*DB151</f>
        <v/>
      </c>
      <c r="DC152">
        <f>$C152*DC151</f>
        <v/>
      </c>
    </row>
    <row r="153">
      <c r="B153" t="inlineStr">
        <is>
          <t>TSP-1444</t>
        </is>
      </c>
      <c r="C153" t="inlineStr">
        <is>
          <t>No. of batches</t>
        </is>
      </c>
      <c r="D153">
        <f>IFERROR(INDEX(PP_Grid[#Data],$DD153,2),0)</f>
        <v/>
      </c>
      <c r="E153">
        <f>IFERROR(INDEX(PP_Grid[#Data],$DD153,3),0)</f>
        <v/>
      </c>
      <c r="F153">
        <f>IFERROR(INDEX(PP_Grid[#Data],$DD153,4),0)</f>
        <v/>
      </c>
      <c r="G153">
        <f>IFERROR(INDEX(PP_Grid[#Data],$DD153,5),0)</f>
        <v/>
      </c>
      <c r="H153">
        <f>IFERROR(INDEX(PP_Grid[#Data],$DD153,6),0)</f>
        <v/>
      </c>
      <c r="I153">
        <f>IFERROR(INDEX(PP_Grid[#Data],$DD153,7),0)</f>
        <v/>
      </c>
      <c r="J153">
        <f>IFERROR(INDEX(PP_Grid[#Data],$DD153,8),0)</f>
        <v/>
      </c>
      <c r="K153">
        <f>IFERROR(INDEX(PP_Grid[#Data],$DD153,9),0)</f>
        <v/>
      </c>
      <c r="L153">
        <f>IFERROR(INDEX(PP_Grid[#Data],$DD153,10),0)</f>
        <v/>
      </c>
      <c r="M153">
        <f>IFERROR(INDEX(PP_Grid[#Data],$DD153,11),0)</f>
        <v/>
      </c>
      <c r="N153">
        <f>IFERROR(INDEX(PP_Grid[#Data],$DD153,12),0)</f>
        <v/>
      </c>
      <c r="O153">
        <f>IFERROR(INDEX(PP_Grid[#Data],$DD153,13),0)</f>
        <v/>
      </c>
      <c r="P153">
        <f>IFERROR(INDEX(PP_Grid[#Data],$DD153,14),0)</f>
        <v/>
      </c>
      <c r="Q153">
        <f>IFERROR(INDEX(PP_Grid[#Data],$DD153,15),0)</f>
        <v/>
      </c>
      <c r="R153">
        <f>IFERROR(INDEX(PP_Grid[#Data],$DD153,16),0)</f>
        <v/>
      </c>
      <c r="S153">
        <f>IFERROR(INDEX(PP_Grid[#Data],$DD153,17),0)</f>
        <v/>
      </c>
      <c r="T153">
        <f>IFERROR(INDEX(PP_Grid[#Data],$DD153,18),0)</f>
        <v/>
      </c>
      <c r="U153">
        <f>IFERROR(INDEX(PP_Grid[#Data],$DD153,19),0)</f>
        <v/>
      </c>
      <c r="V153">
        <f>IFERROR(INDEX(PP_Grid[#Data],$DD153,20),0)</f>
        <v/>
      </c>
      <c r="W153">
        <f>IFERROR(INDEX(PP_Grid[#Data],$DD153,21),0)</f>
        <v/>
      </c>
      <c r="X153">
        <f>IFERROR(INDEX(PP_Grid[#Data],$DD153,22),0)</f>
        <v/>
      </c>
      <c r="Y153">
        <f>IFERROR(INDEX(PP_Grid[#Data],$DD153,23),0)</f>
        <v/>
      </c>
      <c r="Z153">
        <f>IFERROR(INDEX(PP_Grid[#Data],$DD153,24),0)</f>
        <v/>
      </c>
      <c r="AA153">
        <f>IFERROR(INDEX(PP_Grid[#Data],$DD153,25),0)</f>
        <v/>
      </c>
      <c r="AB153">
        <f>IFERROR(INDEX(PP_Grid[#Data],$DD153,26),0)</f>
        <v/>
      </c>
      <c r="AC153">
        <f>IFERROR(INDEX(PP_Grid[#Data],$DD153,27),0)</f>
        <v/>
      </c>
      <c r="AD153">
        <f>IFERROR(INDEX(PP_Grid[#Data],$DD153,28),0)</f>
        <v/>
      </c>
      <c r="AE153">
        <f>IFERROR(INDEX(PP_Grid[#Data],$DD153,29),0)</f>
        <v/>
      </c>
      <c r="AF153">
        <f>IFERROR(INDEX(PP_Grid[#Data],$DD153,30),0)</f>
        <v/>
      </c>
      <c r="AG153">
        <f>IFERROR(INDEX(PP_Grid[#Data],$DD153,31),0)</f>
        <v/>
      </c>
      <c r="AH153">
        <f>IFERROR(INDEX(PP_Grid[#Data],$DD153,32),0)</f>
        <v/>
      </c>
      <c r="AI153">
        <f>IFERROR(INDEX(PP_Grid[#Data],$DD153,33),0)</f>
        <v/>
      </c>
      <c r="AJ153">
        <f>IFERROR(INDEX(PP_Grid[#Data],$DD153,34),0)</f>
        <v/>
      </c>
      <c r="AK153">
        <f>IFERROR(INDEX(PP_Grid[#Data],$DD153,35),0)</f>
        <v/>
      </c>
      <c r="AL153">
        <f>IFERROR(INDEX(PP_Grid[#Data],$DD153,36),0)</f>
        <v/>
      </c>
      <c r="AM153">
        <f>IFERROR(INDEX(PP_Grid[#Data],$DD153,37),0)</f>
        <v/>
      </c>
      <c r="AN153">
        <f>IFERROR(INDEX(PP_Grid[#Data],$DD153,38),0)</f>
        <v/>
      </c>
      <c r="AO153">
        <f>IFERROR(INDEX(PP_Grid[#Data],$DD153,39),0)</f>
        <v/>
      </c>
      <c r="AP153">
        <f>IFERROR(INDEX(PP_Grid[#Data],$DD153,40),0)</f>
        <v/>
      </c>
      <c r="AQ153">
        <f>IFERROR(INDEX(PP_Grid[#Data],$DD153,41),0)</f>
        <v/>
      </c>
      <c r="AR153">
        <f>IFERROR(INDEX(PP_Grid[#Data],$DD153,42),0)</f>
        <v/>
      </c>
      <c r="AS153">
        <f>IFERROR(INDEX(PP_Grid[#Data],$DD153,43),0)</f>
        <v/>
      </c>
      <c r="AT153">
        <f>IFERROR(INDEX(PP_Grid[#Data],$DD153,44),0)</f>
        <v/>
      </c>
      <c r="AU153">
        <f>IFERROR(INDEX(PP_Grid[#Data],$DD153,45),0)</f>
        <v/>
      </c>
      <c r="AV153">
        <f>IFERROR(INDEX(PP_Grid[#Data],$DD153,46),0)</f>
        <v/>
      </c>
      <c r="AW153">
        <f>IFERROR(INDEX(PP_Grid[#Data],$DD153,47),0)</f>
        <v/>
      </c>
      <c r="AX153">
        <f>IFERROR(INDEX(PP_Grid[#Data],$DD153,48),0)</f>
        <v/>
      </c>
      <c r="AY153">
        <f>IFERROR(INDEX(PP_Grid[#Data],$DD153,49),0)</f>
        <v/>
      </c>
      <c r="AZ153">
        <f>IFERROR(INDEX(PP_Grid[#Data],$DD153,50),0)</f>
        <v/>
      </c>
      <c r="BA153">
        <f>IFERROR(INDEX(PP_Grid[#Data],$DD153,51),0)</f>
        <v/>
      </c>
      <c r="BB153">
        <f>IFERROR(INDEX(PP_Grid[#Data],$DD153,52),0)</f>
        <v/>
      </c>
      <c r="BC153">
        <f>IFERROR(INDEX(PP_Grid[#Data],$DD153,53),0)</f>
        <v/>
      </c>
      <c r="BD153">
        <f>IFERROR(INDEX(PP_Grid[#Data],$DD153,54),0)</f>
        <v/>
      </c>
      <c r="BE153">
        <f>IFERROR(INDEX(PP_Grid[#Data],$DD153,55),0)</f>
        <v/>
      </c>
      <c r="BF153">
        <f>IFERROR(INDEX(PP_Grid[#Data],$DD153,56),0)</f>
        <v/>
      </c>
      <c r="BG153">
        <f>IFERROR(INDEX(PP_Grid[#Data],$DD153,57),0)</f>
        <v/>
      </c>
      <c r="BH153">
        <f>IFERROR(INDEX(PP_Grid[#Data],$DD153,58),0)</f>
        <v/>
      </c>
      <c r="BI153">
        <f>IFERROR(INDEX(PP_Grid[#Data],$DD153,59),0)</f>
        <v/>
      </c>
      <c r="BJ153">
        <f>IFERROR(INDEX(PP_Grid[#Data],$DD153,60),0)</f>
        <v/>
      </c>
      <c r="BK153">
        <f>IFERROR(INDEX(PP_Grid[#Data],$DD153,61),0)</f>
        <v/>
      </c>
      <c r="BL153">
        <f>IFERROR(INDEX(PP_Grid[#Data],$DD153,62),0)</f>
        <v/>
      </c>
      <c r="BM153">
        <f>IFERROR(INDEX(PP_Grid[#Data],$DD153,63),0)</f>
        <v/>
      </c>
      <c r="BN153">
        <f>IFERROR(INDEX(PP_Grid[#Data],$DD153,64),0)</f>
        <v/>
      </c>
      <c r="BO153">
        <f>IFERROR(INDEX(PP_Grid[#Data],$DD153,65),0)</f>
        <v/>
      </c>
      <c r="BP153">
        <f>IFERROR(INDEX(PP_Grid[#Data],$DD153,66),0)</f>
        <v/>
      </c>
      <c r="BQ153">
        <f>IFERROR(INDEX(PP_Grid[#Data],$DD153,67),0)</f>
        <v/>
      </c>
      <c r="BR153">
        <f>IFERROR(INDEX(PP_Grid[#Data],$DD153,68),0)</f>
        <v/>
      </c>
      <c r="BS153">
        <f>IFERROR(INDEX(PP_Grid[#Data],$DD153,69),0)</f>
        <v/>
      </c>
      <c r="BT153">
        <f>IFERROR(INDEX(PP_Grid[#Data],$DD153,70),0)</f>
        <v/>
      </c>
      <c r="BU153">
        <f>IFERROR(INDEX(PP_Grid[#Data],$DD153,71),0)</f>
        <v/>
      </c>
      <c r="BV153">
        <f>IFERROR(INDEX(PP_Grid[#Data],$DD153,72),0)</f>
        <v/>
      </c>
      <c r="BW153">
        <f>IFERROR(INDEX(PP_Grid[#Data],$DD153,73),0)</f>
        <v/>
      </c>
      <c r="BX153">
        <f>IFERROR(INDEX(PP_Grid[#Data],$DD153,74),0)</f>
        <v/>
      </c>
      <c r="BY153">
        <f>IFERROR(INDEX(PP_Grid[#Data],$DD153,75),0)</f>
        <v/>
      </c>
      <c r="BZ153">
        <f>IFERROR(INDEX(PP_Grid[#Data],$DD153,76),0)</f>
        <v/>
      </c>
      <c r="CA153">
        <f>IFERROR(INDEX(PP_Grid[#Data],$DD153,77),0)</f>
        <v/>
      </c>
      <c r="CB153">
        <f>IFERROR(INDEX(PP_Grid[#Data],$DD153,78),0)</f>
        <v/>
      </c>
      <c r="CC153">
        <f>IFERROR(INDEX(PP_Grid[#Data],$DD153,79),0)</f>
        <v/>
      </c>
      <c r="CD153">
        <f>IFERROR(INDEX(PP_Grid[#Data],$DD153,80),0)</f>
        <v/>
      </c>
      <c r="CE153">
        <f>IFERROR(INDEX(PP_Grid[#Data],$DD153,81),0)</f>
        <v/>
      </c>
      <c r="CF153">
        <f>IFERROR(INDEX(PP_Grid[#Data],$DD153,82),0)</f>
        <v/>
      </c>
      <c r="CG153">
        <f>IFERROR(INDEX(PP_Grid[#Data],$DD153,83),0)</f>
        <v/>
      </c>
      <c r="CH153">
        <f>IFERROR(INDEX(PP_Grid[#Data],$DD153,84),0)</f>
        <v/>
      </c>
      <c r="CI153">
        <f>IFERROR(INDEX(PP_Grid[#Data],$DD153,85),0)</f>
        <v/>
      </c>
      <c r="CJ153">
        <f>IFERROR(INDEX(PP_Grid[#Data],$DD153,86),0)</f>
        <v/>
      </c>
      <c r="CK153">
        <f>IFERROR(INDEX(PP_Grid[#Data],$DD153,87),0)</f>
        <v/>
      </c>
      <c r="CL153">
        <f>IFERROR(INDEX(PP_Grid[#Data],$DD153,88),0)</f>
        <v/>
      </c>
      <c r="CM153">
        <f>IFERROR(INDEX(PP_Grid[#Data],$DD153,89),0)</f>
        <v/>
      </c>
      <c r="CN153">
        <f>IFERROR(INDEX(PP_Grid[#Data],$DD153,90),0)</f>
        <v/>
      </c>
      <c r="CO153">
        <f>IFERROR(INDEX(PP_Grid[#Data],$DD153,91),0)</f>
        <v/>
      </c>
      <c r="CP153">
        <f>IFERROR(INDEX(PP_Grid[#Data],$DD153,92),0)</f>
        <v/>
      </c>
      <c r="CQ153">
        <f>IFERROR(INDEX(PP_Grid[#Data],$DD153,93),0)</f>
        <v/>
      </c>
      <c r="CR153">
        <f>IFERROR(INDEX(PP_Grid[#Data],$DD153,94),0)</f>
        <v/>
      </c>
      <c r="CS153">
        <f>IFERROR(INDEX(PP_Grid[#Data],$DD153,95),0)</f>
        <v/>
      </c>
      <c r="CT153">
        <f>IFERROR(INDEX(PP_Grid[#Data],$DD153,96),0)</f>
        <v/>
      </c>
      <c r="CU153">
        <f>IFERROR(INDEX(PP_Grid[#Data],$DD153,97),0)</f>
        <v/>
      </c>
      <c r="CV153">
        <f>IFERROR(INDEX(PP_Grid[#Data],$DD153,98),0)</f>
        <v/>
      </c>
      <c r="CW153">
        <f>IFERROR(INDEX(PP_Grid[#Data],$DD153,99),0)</f>
        <v/>
      </c>
      <c r="CX153">
        <f>IFERROR(INDEX(PP_Grid[#Data],$DD153,100),0)</f>
        <v/>
      </c>
      <c r="CY153">
        <f>IFERROR(INDEX(PP_Grid[#Data],$DD153,101),0)</f>
        <v/>
      </c>
      <c r="CZ153">
        <f>IFERROR(INDEX(PP_Grid[#Data],$DD153,102),0)</f>
        <v/>
      </c>
      <c r="DA153">
        <f>IFERROR(INDEX(PP_Grid[#Data],$DD153,103),0)</f>
        <v/>
      </c>
      <c r="DB153">
        <f>IFERROR(INDEX(PP_Grid[#Data],$DD153,104),0)</f>
        <v/>
      </c>
      <c r="DC153">
        <f>IFERROR(INDEX(PP_Grid[#Data],$DD153,105),0)</f>
        <v/>
      </c>
      <c r="DD153" s="7">
        <f>IFERROR(MATCH($B153,PP_Grid[Intermediate],0),99999)</f>
        <v/>
      </c>
    </row>
    <row r="154">
      <c r="B154" t="inlineStr">
        <is>
          <t>使用量(kg)</t>
        </is>
      </c>
      <c r="C154">
        <f>SUMIFS(M_BOM[RM_Qty_Per_Batch],M_BOM[Intermediate],$B153,M_BOM[Part Name],$A44)</f>
        <v/>
      </c>
      <c r="D154">
        <f>$C154*D153</f>
        <v/>
      </c>
      <c r="E154">
        <f>$C154*E153</f>
        <v/>
      </c>
      <c r="F154">
        <f>$C154*F153</f>
        <v/>
      </c>
      <c r="G154">
        <f>$C154*G153</f>
        <v/>
      </c>
      <c r="H154">
        <f>$C154*H153</f>
        <v/>
      </c>
      <c r="I154">
        <f>$C154*I153</f>
        <v/>
      </c>
      <c r="J154">
        <f>$C154*J153</f>
        <v/>
      </c>
      <c r="K154">
        <f>$C154*K153</f>
        <v/>
      </c>
      <c r="L154">
        <f>$C154*L153</f>
        <v/>
      </c>
      <c r="M154">
        <f>$C154*M153</f>
        <v/>
      </c>
      <c r="N154">
        <f>$C154*N153</f>
        <v/>
      </c>
      <c r="O154">
        <f>$C154*O153</f>
        <v/>
      </c>
      <c r="P154">
        <f>$C154*P153</f>
        <v/>
      </c>
      <c r="Q154">
        <f>$C154*Q153</f>
        <v/>
      </c>
      <c r="R154">
        <f>$C154*R153</f>
        <v/>
      </c>
      <c r="S154">
        <f>$C154*S153</f>
        <v/>
      </c>
      <c r="T154">
        <f>$C154*T153</f>
        <v/>
      </c>
      <c r="U154">
        <f>$C154*U153</f>
        <v/>
      </c>
      <c r="V154">
        <f>$C154*V153</f>
        <v/>
      </c>
      <c r="W154">
        <f>$C154*W153</f>
        <v/>
      </c>
      <c r="X154">
        <f>$C154*X153</f>
        <v/>
      </c>
      <c r="Y154">
        <f>$C154*Y153</f>
        <v/>
      </c>
      <c r="Z154">
        <f>$C154*Z153</f>
        <v/>
      </c>
      <c r="AA154">
        <f>$C154*AA153</f>
        <v/>
      </c>
      <c r="AB154">
        <f>$C154*AB153</f>
        <v/>
      </c>
      <c r="AC154">
        <f>$C154*AC153</f>
        <v/>
      </c>
      <c r="AD154">
        <f>$C154*AD153</f>
        <v/>
      </c>
      <c r="AE154">
        <f>$C154*AE153</f>
        <v/>
      </c>
      <c r="AF154">
        <f>$C154*AF153</f>
        <v/>
      </c>
      <c r="AG154">
        <f>$C154*AG153</f>
        <v/>
      </c>
      <c r="AH154">
        <f>$C154*AH153</f>
        <v/>
      </c>
      <c r="AI154">
        <f>$C154*AI153</f>
        <v/>
      </c>
      <c r="AJ154">
        <f>$C154*AJ153</f>
        <v/>
      </c>
      <c r="AK154">
        <f>$C154*AK153</f>
        <v/>
      </c>
      <c r="AL154">
        <f>$C154*AL153</f>
        <v/>
      </c>
      <c r="AM154">
        <f>$C154*AM153</f>
        <v/>
      </c>
      <c r="AN154">
        <f>$C154*AN153</f>
        <v/>
      </c>
      <c r="AO154">
        <f>$C154*AO153</f>
        <v/>
      </c>
      <c r="AP154">
        <f>$C154*AP153</f>
        <v/>
      </c>
      <c r="AQ154">
        <f>$C154*AQ153</f>
        <v/>
      </c>
      <c r="AR154">
        <f>$C154*AR153</f>
        <v/>
      </c>
      <c r="AS154">
        <f>$C154*AS153</f>
        <v/>
      </c>
      <c r="AT154">
        <f>$C154*AT153</f>
        <v/>
      </c>
      <c r="AU154">
        <f>$C154*AU153</f>
        <v/>
      </c>
      <c r="AV154">
        <f>$C154*AV153</f>
        <v/>
      </c>
      <c r="AW154">
        <f>$C154*AW153</f>
        <v/>
      </c>
      <c r="AX154">
        <f>$C154*AX153</f>
        <v/>
      </c>
      <c r="AY154">
        <f>$C154*AY153</f>
        <v/>
      </c>
      <c r="AZ154">
        <f>$C154*AZ153</f>
        <v/>
      </c>
      <c r="BA154">
        <f>$C154*BA153</f>
        <v/>
      </c>
      <c r="BB154">
        <f>$C154*BB153</f>
        <v/>
      </c>
      <c r="BC154">
        <f>$C154*BC153</f>
        <v/>
      </c>
      <c r="BD154">
        <f>$C154*BD153</f>
        <v/>
      </c>
      <c r="BE154">
        <f>$C154*BE153</f>
        <v/>
      </c>
      <c r="BF154">
        <f>$C154*BF153</f>
        <v/>
      </c>
      <c r="BG154">
        <f>$C154*BG153</f>
        <v/>
      </c>
      <c r="BH154">
        <f>$C154*BH153</f>
        <v/>
      </c>
      <c r="BI154">
        <f>$C154*BI153</f>
        <v/>
      </c>
      <c r="BJ154">
        <f>$C154*BJ153</f>
        <v/>
      </c>
      <c r="BK154">
        <f>$C154*BK153</f>
        <v/>
      </c>
      <c r="BL154">
        <f>$C154*BL153</f>
        <v/>
      </c>
      <c r="BM154">
        <f>$C154*BM153</f>
        <v/>
      </c>
      <c r="BN154">
        <f>$C154*BN153</f>
        <v/>
      </c>
      <c r="BO154">
        <f>$C154*BO153</f>
        <v/>
      </c>
      <c r="BP154">
        <f>$C154*BP153</f>
        <v/>
      </c>
      <c r="BQ154">
        <f>$C154*BQ153</f>
        <v/>
      </c>
      <c r="BR154">
        <f>$C154*BR153</f>
        <v/>
      </c>
      <c r="BS154">
        <f>$C154*BS153</f>
        <v/>
      </c>
      <c r="BT154">
        <f>$C154*BT153</f>
        <v/>
      </c>
      <c r="BU154">
        <f>$C154*BU153</f>
        <v/>
      </c>
      <c r="BV154">
        <f>$C154*BV153</f>
        <v/>
      </c>
      <c r="BW154">
        <f>$C154*BW153</f>
        <v/>
      </c>
      <c r="BX154">
        <f>$C154*BX153</f>
        <v/>
      </c>
      <c r="BY154">
        <f>$C154*BY153</f>
        <v/>
      </c>
      <c r="BZ154">
        <f>$C154*BZ153</f>
        <v/>
      </c>
      <c r="CA154">
        <f>$C154*CA153</f>
        <v/>
      </c>
      <c r="CB154">
        <f>$C154*CB153</f>
        <v/>
      </c>
      <c r="CC154">
        <f>$C154*CC153</f>
        <v/>
      </c>
      <c r="CD154">
        <f>$C154*CD153</f>
        <v/>
      </c>
      <c r="CE154">
        <f>$C154*CE153</f>
        <v/>
      </c>
      <c r="CF154">
        <f>$C154*CF153</f>
        <v/>
      </c>
      <c r="CG154">
        <f>$C154*CG153</f>
        <v/>
      </c>
      <c r="CH154">
        <f>$C154*CH153</f>
        <v/>
      </c>
      <c r="CI154">
        <f>$C154*CI153</f>
        <v/>
      </c>
      <c r="CJ154">
        <f>$C154*CJ153</f>
        <v/>
      </c>
      <c r="CK154">
        <f>$C154*CK153</f>
        <v/>
      </c>
      <c r="CL154">
        <f>$C154*CL153</f>
        <v/>
      </c>
      <c r="CM154">
        <f>$C154*CM153</f>
        <v/>
      </c>
      <c r="CN154">
        <f>$C154*CN153</f>
        <v/>
      </c>
      <c r="CO154">
        <f>$C154*CO153</f>
        <v/>
      </c>
      <c r="CP154">
        <f>$C154*CP153</f>
        <v/>
      </c>
      <c r="CQ154">
        <f>$C154*CQ153</f>
        <v/>
      </c>
      <c r="CR154">
        <f>$C154*CR153</f>
        <v/>
      </c>
      <c r="CS154">
        <f>$C154*CS153</f>
        <v/>
      </c>
      <c r="CT154">
        <f>$C154*CT153</f>
        <v/>
      </c>
      <c r="CU154">
        <f>$C154*CU153</f>
        <v/>
      </c>
      <c r="CV154">
        <f>$C154*CV153</f>
        <v/>
      </c>
      <c r="CW154">
        <f>$C154*CW153</f>
        <v/>
      </c>
      <c r="CX154">
        <f>$C154*CX153</f>
        <v/>
      </c>
      <c r="CY154">
        <f>$C154*CY153</f>
        <v/>
      </c>
      <c r="CZ154">
        <f>$C154*CZ153</f>
        <v/>
      </c>
      <c r="DA154">
        <f>$C154*DA153</f>
        <v/>
      </c>
      <c r="DB154">
        <f>$C154*DB153</f>
        <v/>
      </c>
      <c r="DC154">
        <f>$C154*DC153</f>
        <v/>
      </c>
    </row>
    <row r="155">
      <c r="B155" t="inlineStr">
        <is>
          <t>TSP-1448</t>
        </is>
      </c>
      <c r="C155" t="inlineStr">
        <is>
          <t>No. of batches</t>
        </is>
      </c>
      <c r="D155">
        <f>IFERROR(INDEX(PP_Grid[#Data],$DD155,2),0)</f>
        <v/>
      </c>
      <c r="E155">
        <f>IFERROR(INDEX(PP_Grid[#Data],$DD155,3),0)</f>
        <v/>
      </c>
      <c r="F155">
        <f>IFERROR(INDEX(PP_Grid[#Data],$DD155,4),0)</f>
        <v/>
      </c>
      <c r="G155">
        <f>IFERROR(INDEX(PP_Grid[#Data],$DD155,5),0)</f>
        <v/>
      </c>
      <c r="H155">
        <f>IFERROR(INDEX(PP_Grid[#Data],$DD155,6),0)</f>
        <v/>
      </c>
      <c r="I155">
        <f>IFERROR(INDEX(PP_Grid[#Data],$DD155,7),0)</f>
        <v/>
      </c>
      <c r="J155">
        <f>IFERROR(INDEX(PP_Grid[#Data],$DD155,8),0)</f>
        <v/>
      </c>
      <c r="K155">
        <f>IFERROR(INDEX(PP_Grid[#Data],$DD155,9),0)</f>
        <v/>
      </c>
      <c r="L155">
        <f>IFERROR(INDEX(PP_Grid[#Data],$DD155,10),0)</f>
        <v/>
      </c>
      <c r="M155">
        <f>IFERROR(INDEX(PP_Grid[#Data],$DD155,11),0)</f>
        <v/>
      </c>
      <c r="N155">
        <f>IFERROR(INDEX(PP_Grid[#Data],$DD155,12),0)</f>
        <v/>
      </c>
      <c r="O155">
        <f>IFERROR(INDEX(PP_Grid[#Data],$DD155,13),0)</f>
        <v/>
      </c>
      <c r="P155">
        <f>IFERROR(INDEX(PP_Grid[#Data],$DD155,14),0)</f>
        <v/>
      </c>
      <c r="Q155">
        <f>IFERROR(INDEX(PP_Grid[#Data],$DD155,15),0)</f>
        <v/>
      </c>
      <c r="R155">
        <f>IFERROR(INDEX(PP_Grid[#Data],$DD155,16),0)</f>
        <v/>
      </c>
      <c r="S155">
        <f>IFERROR(INDEX(PP_Grid[#Data],$DD155,17),0)</f>
        <v/>
      </c>
      <c r="T155">
        <f>IFERROR(INDEX(PP_Grid[#Data],$DD155,18),0)</f>
        <v/>
      </c>
      <c r="U155">
        <f>IFERROR(INDEX(PP_Grid[#Data],$DD155,19),0)</f>
        <v/>
      </c>
      <c r="V155">
        <f>IFERROR(INDEX(PP_Grid[#Data],$DD155,20),0)</f>
        <v/>
      </c>
      <c r="W155">
        <f>IFERROR(INDEX(PP_Grid[#Data],$DD155,21),0)</f>
        <v/>
      </c>
      <c r="X155">
        <f>IFERROR(INDEX(PP_Grid[#Data],$DD155,22),0)</f>
        <v/>
      </c>
      <c r="Y155">
        <f>IFERROR(INDEX(PP_Grid[#Data],$DD155,23),0)</f>
        <v/>
      </c>
      <c r="Z155">
        <f>IFERROR(INDEX(PP_Grid[#Data],$DD155,24),0)</f>
        <v/>
      </c>
      <c r="AA155">
        <f>IFERROR(INDEX(PP_Grid[#Data],$DD155,25),0)</f>
        <v/>
      </c>
      <c r="AB155">
        <f>IFERROR(INDEX(PP_Grid[#Data],$DD155,26),0)</f>
        <v/>
      </c>
      <c r="AC155">
        <f>IFERROR(INDEX(PP_Grid[#Data],$DD155,27),0)</f>
        <v/>
      </c>
      <c r="AD155">
        <f>IFERROR(INDEX(PP_Grid[#Data],$DD155,28),0)</f>
        <v/>
      </c>
      <c r="AE155">
        <f>IFERROR(INDEX(PP_Grid[#Data],$DD155,29),0)</f>
        <v/>
      </c>
      <c r="AF155">
        <f>IFERROR(INDEX(PP_Grid[#Data],$DD155,30),0)</f>
        <v/>
      </c>
      <c r="AG155">
        <f>IFERROR(INDEX(PP_Grid[#Data],$DD155,31),0)</f>
        <v/>
      </c>
      <c r="AH155">
        <f>IFERROR(INDEX(PP_Grid[#Data],$DD155,32),0)</f>
        <v/>
      </c>
      <c r="AI155">
        <f>IFERROR(INDEX(PP_Grid[#Data],$DD155,33),0)</f>
        <v/>
      </c>
      <c r="AJ155">
        <f>IFERROR(INDEX(PP_Grid[#Data],$DD155,34),0)</f>
        <v/>
      </c>
      <c r="AK155">
        <f>IFERROR(INDEX(PP_Grid[#Data],$DD155,35),0)</f>
        <v/>
      </c>
      <c r="AL155">
        <f>IFERROR(INDEX(PP_Grid[#Data],$DD155,36),0)</f>
        <v/>
      </c>
      <c r="AM155">
        <f>IFERROR(INDEX(PP_Grid[#Data],$DD155,37),0)</f>
        <v/>
      </c>
      <c r="AN155">
        <f>IFERROR(INDEX(PP_Grid[#Data],$DD155,38),0)</f>
        <v/>
      </c>
      <c r="AO155">
        <f>IFERROR(INDEX(PP_Grid[#Data],$DD155,39),0)</f>
        <v/>
      </c>
      <c r="AP155">
        <f>IFERROR(INDEX(PP_Grid[#Data],$DD155,40),0)</f>
        <v/>
      </c>
      <c r="AQ155">
        <f>IFERROR(INDEX(PP_Grid[#Data],$DD155,41),0)</f>
        <v/>
      </c>
      <c r="AR155">
        <f>IFERROR(INDEX(PP_Grid[#Data],$DD155,42),0)</f>
        <v/>
      </c>
      <c r="AS155">
        <f>IFERROR(INDEX(PP_Grid[#Data],$DD155,43),0)</f>
        <v/>
      </c>
      <c r="AT155">
        <f>IFERROR(INDEX(PP_Grid[#Data],$DD155,44),0)</f>
        <v/>
      </c>
      <c r="AU155">
        <f>IFERROR(INDEX(PP_Grid[#Data],$DD155,45),0)</f>
        <v/>
      </c>
      <c r="AV155">
        <f>IFERROR(INDEX(PP_Grid[#Data],$DD155,46),0)</f>
        <v/>
      </c>
      <c r="AW155">
        <f>IFERROR(INDEX(PP_Grid[#Data],$DD155,47),0)</f>
        <v/>
      </c>
      <c r="AX155">
        <f>IFERROR(INDEX(PP_Grid[#Data],$DD155,48),0)</f>
        <v/>
      </c>
      <c r="AY155">
        <f>IFERROR(INDEX(PP_Grid[#Data],$DD155,49),0)</f>
        <v/>
      </c>
      <c r="AZ155">
        <f>IFERROR(INDEX(PP_Grid[#Data],$DD155,50),0)</f>
        <v/>
      </c>
      <c r="BA155">
        <f>IFERROR(INDEX(PP_Grid[#Data],$DD155,51),0)</f>
        <v/>
      </c>
      <c r="BB155">
        <f>IFERROR(INDEX(PP_Grid[#Data],$DD155,52),0)</f>
        <v/>
      </c>
      <c r="BC155">
        <f>IFERROR(INDEX(PP_Grid[#Data],$DD155,53),0)</f>
        <v/>
      </c>
      <c r="BD155">
        <f>IFERROR(INDEX(PP_Grid[#Data],$DD155,54),0)</f>
        <v/>
      </c>
      <c r="BE155">
        <f>IFERROR(INDEX(PP_Grid[#Data],$DD155,55),0)</f>
        <v/>
      </c>
      <c r="BF155">
        <f>IFERROR(INDEX(PP_Grid[#Data],$DD155,56),0)</f>
        <v/>
      </c>
      <c r="BG155">
        <f>IFERROR(INDEX(PP_Grid[#Data],$DD155,57),0)</f>
        <v/>
      </c>
      <c r="BH155">
        <f>IFERROR(INDEX(PP_Grid[#Data],$DD155,58),0)</f>
        <v/>
      </c>
      <c r="BI155">
        <f>IFERROR(INDEX(PP_Grid[#Data],$DD155,59),0)</f>
        <v/>
      </c>
      <c r="BJ155">
        <f>IFERROR(INDEX(PP_Grid[#Data],$DD155,60),0)</f>
        <v/>
      </c>
      <c r="BK155">
        <f>IFERROR(INDEX(PP_Grid[#Data],$DD155,61),0)</f>
        <v/>
      </c>
      <c r="BL155">
        <f>IFERROR(INDEX(PP_Grid[#Data],$DD155,62),0)</f>
        <v/>
      </c>
      <c r="BM155">
        <f>IFERROR(INDEX(PP_Grid[#Data],$DD155,63),0)</f>
        <v/>
      </c>
      <c r="BN155">
        <f>IFERROR(INDEX(PP_Grid[#Data],$DD155,64),0)</f>
        <v/>
      </c>
      <c r="BO155">
        <f>IFERROR(INDEX(PP_Grid[#Data],$DD155,65),0)</f>
        <v/>
      </c>
      <c r="BP155">
        <f>IFERROR(INDEX(PP_Grid[#Data],$DD155,66),0)</f>
        <v/>
      </c>
      <c r="BQ155">
        <f>IFERROR(INDEX(PP_Grid[#Data],$DD155,67),0)</f>
        <v/>
      </c>
      <c r="BR155">
        <f>IFERROR(INDEX(PP_Grid[#Data],$DD155,68),0)</f>
        <v/>
      </c>
      <c r="BS155">
        <f>IFERROR(INDEX(PP_Grid[#Data],$DD155,69),0)</f>
        <v/>
      </c>
      <c r="BT155">
        <f>IFERROR(INDEX(PP_Grid[#Data],$DD155,70),0)</f>
        <v/>
      </c>
      <c r="BU155">
        <f>IFERROR(INDEX(PP_Grid[#Data],$DD155,71),0)</f>
        <v/>
      </c>
      <c r="BV155">
        <f>IFERROR(INDEX(PP_Grid[#Data],$DD155,72),0)</f>
        <v/>
      </c>
      <c r="BW155">
        <f>IFERROR(INDEX(PP_Grid[#Data],$DD155,73),0)</f>
        <v/>
      </c>
      <c r="BX155">
        <f>IFERROR(INDEX(PP_Grid[#Data],$DD155,74),0)</f>
        <v/>
      </c>
      <c r="BY155">
        <f>IFERROR(INDEX(PP_Grid[#Data],$DD155,75),0)</f>
        <v/>
      </c>
      <c r="BZ155">
        <f>IFERROR(INDEX(PP_Grid[#Data],$DD155,76),0)</f>
        <v/>
      </c>
      <c r="CA155">
        <f>IFERROR(INDEX(PP_Grid[#Data],$DD155,77),0)</f>
        <v/>
      </c>
      <c r="CB155">
        <f>IFERROR(INDEX(PP_Grid[#Data],$DD155,78),0)</f>
        <v/>
      </c>
      <c r="CC155">
        <f>IFERROR(INDEX(PP_Grid[#Data],$DD155,79),0)</f>
        <v/>
      </c>
      <c r="CD155">
        <f>IFERROR(INDEX(PP_Grid[#Data],$DD155,80),0)</f>
        <v/>
      </c>
      <c r="CE155">
        <f>IFERROR(INDEX(PP_Grid[#Data],$DD155,81),0)</f>
        <v/>
      </c>
      <c r="CF155">
        <f>IFERROR(INDEX(PP_Grid[#Data],$DD155,82),0)</f>
        <v/>
      </c>
      <c r="CG155">
        <f>IFERROR(INDEX(PP_Grid[#Data],$DD155,83),0)</f>
        <v/>
      </c>
      <c r="CH155">
        <f>IFERROR(INDEX(PP_Grid[#Data],$DD155,84),0)</f>
        <v/>
      </c>
      <c r="CI155">
        <f>IFERROR(INDEX(PP_Grid[#Data],$DD155,85),0)</f>
        <v/>
      </c>
      <c r="CJ155">
        <f>IFERROR(INDEX(PP_Grid[#Data],$DD155,86),0)</f>
        <v/>
      </c>
      <c r="CK155">
        <f>IFERROR(INDEX(PP_Grid[#Data],$DD155,87),0)</f>
        <v/>
      </c>
      <c r="CL155">
        <f>IFERROR(INDEX(PP_Grid[#Data],$DD155,88),0)</f>
        <v/>
      </c>
      <c r="CM155">
        <f>IFERROR(INDEX(PP_Grid[#Data],$DD155,89),0)</f>
        <v/>
      </c>
      <c r="CN155">
        <f>IFERROR(INDEX(PP_Grid[#Data],$DD155,90),0)</f>
        <v/>
      </c>
      <c r="CO155">
        <f>IFERROR(INDEX(PP_Grid[#Data],$DD155,91),0)</f>
        <v/>
      </c>
      <c r="CP155">
        <f>IFERROR(INDEX(PP_Grid[#Data],$DD155,92),0)</f>
        <v/>
      </c>
      <c r="CQ155">
        <f>IFERROR(INDEX(PP_Grid[#Data],$DD155,93),0)</f>
        <v/>
      </c>
      <c r="CR155">
        <f>IFERROR(INDEX(PP_Grid[#Data],$DD155,94),0)</f>
        <v/>
      </c>
      <c r="CS155">
        <f>IFERROR(INDEX(PP_Grid[#Data],$DD155,95),0)</f>
        <v/>
      </c>
      <c r="CT155">
        <f>IFERROR(INDEX(PP_Grid[#Data],$DD155,96),0)</f>
        <v/>
      </c>
      <c r="CU155">
        <f>IFERROR(INDEX(PP_Grid[#Data],$DD155,97),0)</f>
        <v/>
      </c>
      <c r="CV155">
        <f>IFERROR(INDEX(PP_Grid[#Data],$DD155,98),0)</f>
        <v/>
      </c>
      <c r="CW155">
        <f>IFERROR(INDEX(PP_Grid[#Data],$DD155,99),0)</f>
        <v/>
      </c>
      <c r="CX155">
        <f>IFERROR(INDEX(PP_Grid[#Data],$DD155,100),0)</f>
        <v/>
      </c>
      <c r="CY155">
        <f>IFERROR(INDEX(PP_Grid[#Data],$DD155,101),0)</f>
        <v/>
      </c>
      <c r="CZ155">
        <f>IFERROR(INDEX(PP_Grid[#Data],$DD155,102),0)</f>
        <v/>
      </c>
      <c r="DA155">
        <f>IFERROR(INDEX(PP_Grid[#Data],$DD155,103),0)</f>
        <v/>
      </c>
      <c r="DB155">
        <f>IFERROR(INDEX(PP_Grid[#Data],$DD155,104),0)</f>
        <v/>
      </c>
      <c r="DC155">
        <f>IFERROR(INDEX(PP_Grid[#Data],$DD155,105),0)</f>
        <v/>
      </c>
      <c r="DD155" s="7">
        <f>IFERROR(MATCH($B155,PP_Grid[Intermediate],0),99999)</f>
        <v/>
      </c>
    </row>
    <row r="156">
      <c r="B156" t="inlineStr">
        <is>
          <t>使用量(kg)</t>
        </is>
      </c>
      <c r="C156">
        <f>SUMIFS(M_BOM[RM_Qty_Per_Batch],M_BOM[Intermediate],$B155,M_BOM[Part Name],$A44)</f>
        <v/>
      </c>
      <c r="D156">
        <f>$C156*D155</f>
        <v/>
      </c>
      <c r="E156">
        <f>$C156*E155</f>
        <v/>
      </c>
      <c r="F156">
        <f>$C156*F155</f>
        <v/>
      </c>
      <c r="G156">
        <f>$C156*G155</f>
        <v/>
      </c>
      <c r="H156">
        <f>$C156*H155</f>
        <v/>
      </c>
      <c r="I156">
        <f>$C156*I155</f>
        <v/>
      </c>
      <c r="J156">
        <f>$C156*J155</f>
        <v/>
      </c>
      <c r="K156">
        <f>$C156*K155</f>
        <v/>
      </c>
      <c r="L156">
        <f>$C156*L155</f>
        <v/>
      </c>
      <c r="M156">
        <f>$C156*M155</f>
        <v/>
      </c>
      <c r="N156">
        <f>$C156*N155</f>
        <v/>
      </c>
      <c r="O156">
        <f>$C156*O155</f>
        <v/>
      </c>
      <c r="P156">
        <f>$C156*P155</f>
        <v/>
      </c>
      <c r="Q156">
        <f>$C156*Q155</f>
        <v/>
      </c>
      <c r="R156">
        <f>$C156*R155</f>
        <v/>
      </c>
      <c r="S156">
        <f>$C156*S155</f>
        <v/>
      </c>
      <c r="T156">
        <f>$C156*T155</f>
        <v/>
      </c>
      <c r="U156">
        <f>$C156*U155</f>
        <v/>
      </c>
      <c r="V156">
        <f>$C156*V155</f>
        <v/>
      </c>
      <c r="W156">
        <f>$C156*W155</f>
        <v/>
      </c>
      <c r="X156">
        <f>$C156*X155</f>
        <v/>
      </c>
      <c r="Y156">
        <f>$C156*Y155</f>
        <v/>
      </c>
      <c r="Z156">
        <f>$C156*Z155</f>
        <v/>
      </c>
      <c r="AA156">
        <f>$C156*AA155</f>
        <v/>
      </c>
      <c r="AB156">
        <f>$C156*AB155</f>
        <v/>
      </c>
      <c r="AC156">
        <f>$C156*AC155</f>
        <v/>
      </c>
      <c r="AD156">
        <f>$C156*AD155</f>
        <v/>
      </c>
      <c r="AE156">
        <f>$C156*AE155</f>
        <v/>
      </c>
      <c r="AF156">
        <f>$C156*AF155</f>
        <v/>
      </c>
      <c r="AG156">
        <f>$C156*AG155</f>
        <v/>
      </c>
      <c r="AH156">
        <f>$C156*AH155</f>
        <v/>
      </c>
      <c r="AI156">
        <f>$C156*AI155</f>
        <v/>
      </c>
      <c r="AJ156">
        <f>$C156*AJ155</f>
        <v/>
      </c>
      <c r="AK156">
        <f>$C156*AK155</f>
        <v/>
      </c>
      <c r="AL156">
        <f>$C156*AL155</f>
        <v/>
      </c>
      <c r="AM156">
        <f>$C156*AM155</f>
        <v/>
      </c>
      <c r="AN156">
        <f>$C156*AN155</f>
        <v/>
      </c>
      <c r="AO156">
        <f>$C156*AO155</f>
        <v/>
      </c>
      <c r="AP156">
        <f>$C156*AP155</f>
        <v/>
      </c>
      <c r="AQ156">
        <f>$C156*AQ155</f>
        <v/>
      </c>
      <c r="AR156">
        <f>$C156*AR155</f>
        <v/>
      </c>
      <c r="AS156">
        <f>$C156*AS155</f>
        <v/>
      </c>
      <c r="AT156">
        <f>$C156*AT155</f>
        <v/>
      </c>
      <c r="AU156">
        <f>$C156*AU155</f>
        <v/>
      </c>
      <c r="AV156">
        <f>$C156*AV155</f>
        <v/>
      </c>
      <c r="AW156">
        <f>$C156*AW155</f>
        <v/>
      </c>
      <c r="AX156">
        <f>$C156*AX155</f>
        <v/>
      </c>
      <c r="AY156">
        <f>$C156*AY155</f>
        <v/>
      </c>
      <c r="AZ156">
        <f>$C156*AZ155</f>
        <v/>
      </c>
      <c r="BA156">
        <f>$C156*BA155</f>
        <v/>
      </c>
      <c r="BB156">
        <f>$C156*BB155</f>
        <v/>
      </c>
      <c r="BC156">
        <f>$C156*BC155</f>
        <v/>
      </c>
      <c r="BD156">
        <f>$C156*BD155</f>
        <v/>
      </c>
      <c r="BE156">
        <f>$C156*BE155</f>
        <v/>
      </c>
      <c r="BF156">
        <f>$C156*BF155</f>
        <v/>
      </c>
      <c r="BG156">
        <f>$C156*BG155</f>
        <v/>
      </c>
      <c r="BH156">
        <f>$C156*BH155</f>
        <v/>
      </c>
      <c r="BI156">
        <f>$C156*BI155</f>
        <v/>
      </c>
      <c r="BJ156">
        <f>$C156*BJ155</f>
        <v/>
      </c>
      <c r="BK156">
        <f>$C156*BK155</f>
        <v/>
      </c>
      <c r="BL156">
        <f>$C156*BL155</f>
        <v/>
      </c>
      <c r="BM156">
        <f>$C156*BM155</f>
        <v/>
      </c>
      <c r="BN156">
        <f>$C156*BN155</f>
        <v/>
      </c>
      <c r="BO156">
        <f>$C156*BO155</f>
        <v/>
      </c>
      <c r="BP156">
        <f>$C156*BP155</f>
        <v/>
      </c>
      <c r="BQ156">
        <f>$C156*BQ155</f>
        <v/>
      </c>
      <c r="BR156">
        <f>$C156*BR155</f>
        <v/>
      </c>
      <c r="BS156">
        <f>$C156*BS155</f>
        <v/>
      </c>
      <c r="BT156">
        <f>$C156*BT155</f>
        <v/>
      </c>
      <c r="BU156">
        <f>$C156*BU155</f>
        <v/>
      </c>
      <c r="BV156">
        <f>$C156*BV155</f>
        <v/>
      </c>
      <c r="BW156">
        <f>$C156*BW155</f>
        <v/>
      </c>
      <c r="BX156">
        <f>$C156*BX155</f>
        <v/>
      </c>
      <c r="BY156">
        <f>$C156*BY155</f>
        <v/>
      </c>
      <c r="BZ156">
        <f>$C156*BZ155</f>
        <v/>
      </c>
      <c r="CA156">
        <f>$C156*CA155</f>
        <v/>
      </c>
      <c r="CB156">
        <f>$C156*CB155</f>
        <v/>
      </c>
      <c r="CC156">
        <f>$C156*CC155</f>
        <v/>
      </c>
      <c r="CD156">
        <f>$C156*CD155</f>
        <v/>
      </c>
      <c r="CE156">
        <f>$C156*CE155</f>
        <v/>
      </c>
      <c r="CF156">
        <f>$C156*CF155</f>
        <v/>
      </c>
      <c r="CG156">
        <f>$C156*CG155</f>
        <v/>
      </c>
      <c r="CH156">
        <f>$C156*CH155</f>
        <v/>
      </c>
      <c r="CI156">
        <f>$C156*CI155</f>
        <v/>
      </c>
      <c r="CJ156">
        <f>$C156*CJ155</f>
        <v/>
      </c>
      <c r="CK156">
        <f>$C156*CK155</f>
        <v/>
      </c>
      <c r="CL156">
        <f>$C156*CL155</f>
        <v/>
      </c>
      <c r="CM156">
        <f>$C156*CM155</f>
        <v/>
      </c>
      <c r="CN156">
        <f>$C156*CN155</f>
        <v/>
      </c>
      <c r="CO156">
        <f>$C156*CO155</f>
        <v/>
      </c>
      <c r="CP156">
        <f>$C156*CP155</f>
        <v/>
      </c>
      <c r="CQ156">
        <f>$C156*CQ155</f>
        <v/>
      </c>
      <c r="CR156">
        <f>$C156*CR155</f>
        <v/>
      </c>
      <c r="CS156">
        <f>$C156*CS155</f>
        <v/>
      </c>
      <c r="CT156">
        <f>$C156*CT155</f>
        <v/>
      </c>
      <c r="CU156">
        <f>$C156*CU155</f>
        <v/>
      </c>
      <c r="CV156">
        <f>$C156*CV155</f>
        <v/>
      </c>
      <c r="CW156">
        <f>$C156*CW155</f>
        <v/>
      </c>
      <c r="CX156">
        <f>$C156*CX155</f>
        <v/>
      </c>
      <c r="CY156">
        <f>$C156*CY155</f>
        <v/>
      </c>
      <c r="CZ156">
        <f>$C156*CZ155</f>
        <v/>
      </c>
      <c r="DA156">
        <f>$C156*DA155</f>
        <v/>
      </c>
      <c r="DB156">
        <f>$C156*DB155</f>
        <v/>
      </c>
      <c r="DC156">
        <f>$C156*DC155</f>
        <v/>
      </c>
    </row>
    <row r="157">
      <c r="B157" t="inlineStr">
        <is>
          <t>TSP-1445</t>
        </is>
      </c>
      <c r="C157" t="inlineStr">
        <is>
          <t>No. of batches</t>
        </is>
      </c>
      <c r="D157">
        <f>IFERROR(INDEX(PP_Grid[#Data],$DD157,2),0)</f>
        <v/>
      </c>
      <c r="E157">
        <f>IFERROR(INDEX(PP_Grid[#Data],$DD157,3),0)</f>
        <v/>
      </c>
      <c r="F157">
        <f>IFERROR(INDEX(PP_Grid[#Data],$DD157,4),0)</f>
        <v/>
      </c>
      <c r="G157">
        <f>IFERROR(INDEX(PP_Grid[#Data],$DD157,5),0)</f>
        <v/>
      </c>
      <c r="H157">
        <f>IFERROR(INDEX(PP_Grid[#Data],$DD157,6),0)</f>
        <v/>
      </c>
      <c r="I157">
        <f>IFERROR(INDEX(PP_Grid[#Data],$DD157,7),0)</f>
        <v/>
      </c>
      <c r="J157">
        <f>IFERROR(INDEX(PP_Grid[#Data],$DD157,8),0)</f>
        <v/>
      </c>
      <c r="K157">
        <f>IFERROR(INDEX(PP_Grid[#Data],$DD157,9),0)</f>
        <v/>
      </c>
      <c r="L157">
        <f>IFERROR(INDEX(PP_Grid[#Data],$DD157,10),0)</f>
        <v/>
      </c>
      <c r="M157">
        <f>IFERROR(INDEX(PP_Grid[#Data],$DD157,11),0)</f>
        <v/>
      </c>
      <c r="N157">
        <f>IFERROR(INDEX(PP_Grid[#Data],$DD157,12),0)</f>
        <v/>
      </c>
      <c r="O157">
        <f>IFERROR(INDEX(PP_Grid[#Data],$DD157,13),0)</f>
        <v/>
      </c>
      <c r="P157">
        <f>IFERROR(INDEX(PP_Grid[#Data],$DD157,14),0)</f>
        <v/>
      </c>
      <c r="Q157">
        <f>IFERROR(INDEX(PP_Grid[#Data],$DD157,15),0)</f>
        <v/>
      </c>
      <c r="R157">
        <f>IFERROR(INDEX(PP_Grid[#Data],$DD157,16),0)</f>
        <v/>
      </c>
      <c r="S157">
        <f>IFERROR(INDEX(PP_Grid[#Data],$DD157,17),0)</f>
        <v/>
      </c>
      <c r="T157">
        <f>IFERROR(INDEX(PP_Grid[#Data],$DD157,18),0)</f>
        <v/>
      </c>
      <c r="U157">
        <f>IFERROR(INDEX(PP_Grid[#Data],$DD157,19),0)</f>
        <v/>
      </c>
      <c r="V157">
        <f>IFERROR(INDEX(PP_Grid[#Data],$DD157,20),0)</f>
        <v/>
      </c>
      <c r="W157">
        <f>IFERROR(INDEX(PP_Grid[#Data],$DD157,21),0)</f>
        <v/>
      </c>
      <c r="X157">
        <f>IFERROR(INDEX(PP_Grid[#Data],$DD157,22),0)</f>
        <v/>
      </c>
      <c r="Y157">
        <f>IFERROR(INDEX(PP_Grid[#Data],$DD157,23),0)</f>
        <v/>
      </c>
      <c r="Z157">
        <f>IFERROR(INDEX(PP_Grid[#Data],$DD157,24),0)</f>
        <v/>
      </c>
      <c r="AA157">
        <f>IFERROR(INDEX(PP_Grid[#Data],$DD157,25),0)</f>
        <v/>
      </c>
      <c r="AB157">
        <f>IFERROR(INDEX(PP_Grid[#Data],$DD157,26),0)</f>
        <v/>
      </c>
      <c r="AC157">
        <f>IFERROR(INDEX(PP_Grid[#Data],$DD157,27),0)</f>
        <v/>
      </c>
      <c r="AD157">
        <f>IFERROR(INDEX(PP_Grid[#Data],$DD157,28),0)</f>
        <v/>
      </c>
      <c r="AE157">
        <f>IFERROR(INDEX(PP_Grid[#Data],$DD157,29),0)</f>
        <v/>
      </c>
      <c r="AF157">
        <f>IFERROR(INDEX(PP_Grid[#Data],$DD157,30),0)</f>
        <v/>
      </c>
      <c r="AG157">
        <f>IFERROR(INDEX(PP_Grid[#Data],$DD157,31),0)</f>
        <v/>
      </c>
      <c r="AH157">
        <f>IFERROR(INDEX(PP_Grid[#Data],$DD157,32),0)</f>
        <v/>
      </c>
      <c r="AI157">
        <f>IFERROR(INDEX(PP_Grid[#Data],$DD157,33),0)</f>
        <v/>
      </c>
      <c r="AJ157">
        <f>IFERROR(INDEX(PP_Grid[#Data],$DD157,34),0)</f>
        <v/>
      </c>
      <c r="AK157">
        <f>IFERROR(INDEX(PP_Grid[#Data],$DD157,35),0)</f>
        <v/>
      </c>
      <c r="AL157">
        <f>IFERROR(INDEX(PP_Grid[#Data],$DD157,36),0)</f>
        <v/>
      </c>
      <c r="AM157">
        <f>IFERROR(INDEX(PP_Grid[#Data],$DD157,37),0)</f>
        <v/>
      </c>
      <c r="AN157">
        <f>IFERROR(INDEX(PP_Grid[#Data],$DD157,38),0)</f>
        <v/>
      </c>
      <c r="AO157">
        <f>IFERROR(INDEX(PP_Grid[#Data],$DD157,39),0)</f>
        <v/>
      </c>
      <c r="AP157">
        <f>IFERROR(INDEX(PP_Grid[#Data],$DD157,40),0)</f>
        <v/>
      </c>
      <c r="AQ157">
        <f>IFERROR(INDEX(PP_Grid[#Data],$DD157,41),0)</f>
        <v/>
      </c>
      <c r="AR157">
        <f>IFERROR(INDEX(PP_Grid[#Data],$DD157,42),0)</f>
        <v/>
      </c>
      <c r="AS157">
        <f>IFERROR(INDEX(PP_Grid[#Data],$DD157,43),0)</f>
        <v/>
      </c>
      <c r="AT157">
        <f>IFERROR(INDEX(PP_Grid[#Data],$DD157,44),0)</f>
        <v/>
      </c>
      <c r="AU157">
        <f>IFERROR(INDEX(PP_Grid[#Data],$DD157,45),0)</f>
        <v/>
      </c>
      <c r="AV157">
        <f>IFERROR(INDEX(PP_Grid[#Data],$DD157,46),0)</f>
        <v/>
      </c>
      <c r="AW157">
        <f>IFERROR(INDEX(PP_Grid[#Data],$DD157,47),0)</f>
        <v/>
      </c>
      <c r="AX157">
        <f>IFERROR(INDEX(PP_Grid[#Data],$DD157,48),0)</f>
        <v/>
      </c>
      <c r="AY157">
        <f>IFERROR(INDEX(PP_Grid[#Data],$DD157,49),0)</f>
        <v/>
      </c>
      <c r="AZ157">
        <f>IFERROR(INDEX(PP_Grid[#Data],$DD157,50),0)</f>
        <v/>
      </c>
      <c r="BA157">
        <f>IFERROR(INDEX(PP_Grid[#Data],$DD157,51),0)</f>
        <v/>
      </c>
      <c r="BB157">
        <f>IFERROR(INDEX(PP_Grid[#Data],$DD157,52),0)</f>
        <v/>
      </c>
      <c r="BC157">
        <f>IFERROR(INDEX(PP_Grid[#Data],$DD157,53),0)</f>
        <v/>
      </c>
      <c r="BD157">
        <f>IFERROR(INDEX(PP_Grid[#Data],$DD157,54),0)</f>
        <v/>
      </c>
      <c r="BE157">
        <f>IFERROR(INDEX(PP_Grid[#Data],$DD157,55),0)</f>
        <v/>
      </c>
      <c r="BF157">
        <f>IFERROR(INDEX(PP_Grid[#Data],$DD157,56),0)</f>
        <v/>
      </c>
      <c r="BG157">
        <f>IFERROR(INDEX(PP_Grid[#Data],$DD157,57),0)</f>
        <v/>
      </c>
      <c r="BH157">
        <f>IFERROR(INDEX(PP_Grid[#Data],$DD157,58),0)</f>
        <v/>
      </c>
      <c r="BI157">
        <f>IFERROR(INDEX(PP_Grid[#Data],$DD157,59),0)</f>
        <v/>
      </c>
      <c r="BJ157">
        <f>IFERROR(INDEX(PP_Grid[#Data],$DD157,60),0)</f>
        <v/>
      </c>
      <c r="BK157">
        <f>IFERROR(INDEX(PP_Grid[#Data],$DD157,61),0)</f>
        <v/>
      </c>
      <c r="BL157">
        <f>IFERROR(INDEX(PP_Grid[#Data],$DD157,62),0)</f>
        <v/>
      </c>
      <c r="BM157">
        <f>IFERROR(INDEX(PP_Grid[#Data],$DD157,63),0)</f>
        <v/>
      </c>
      <c r="BN157">
        <f>IFERROR(INDEX(PP_Grid[#Data],$DD157,64),0)</f>
        <v/>
      </c>
      <c r="BO157">
        <f>IFERROR(INDEX(PP_Grid[#Data],$DD157,65),0)</f>
        <v/>
      </c>
      <c r="BP157">
        <f>IFERROR(INDEX(PP_Grid[#Data],$DD157,66),0)</f>
        <v/>
      </c>
      <c r="BQ157">
        <f>IFERROR(INDEX(PP_Grid[#Data],$DD157,67),0)</f>
        <v/>
      </c>
      <c r="BR157">
        <f>IFERROR(INDEX(PP_Grid[#Data],$DD157,68),0)</f>
        <v/>
      </c>
      <c r="BS157">
        <f>IFERROR(INDEX(PP_Grid[#Data],$DD157,69),0)</f>
        <v/>
      </c>
      <c r="BT157">
        <f>IFERROR(INDEX(PP_Grid[#Data],$DD157,70),0)</f>
        <v/>
      </c>
      <c r="BU157">
        <f>IFERROR(INDEX(PP_Grid[#Data],$DD157,71),0)</f>
        <v/>
      </c>
      <c r="BV157">
        <f>IFERROR(INDEX(PP_Grid[#Data],$DD157,72),0)</f>
        <v/>
      </c>
      <c r="BW157">
        <f>IFERROR(INDEX(PP_Grid[#Data],$DD157,73),0)</f>
        <v/>
      </c>
      <c r="BX157">
        <f>IFERROR(INDEX(PP_Grid[#Data],$DD157,74),0)</f>
        <v/>
      </c>
      <c r="BY157">
        <f>IFERROR(INDEX(PP_Grid[#Data],$DD157,75),0)</f>
        <v/>
      </c>
      <c r="BZ157">
        <f>IFERROR(INDEX(PP_Grid[#Data],$DD157,76),0)</f>
        <v/>
      </c>
      <c r="CA157">
        <f>IFERROR(INDEX(PP_Grid[#Data],$DD157,77),0)</f>
        <v/>
      </c>
      <c r="CB157">
        <f>IFERROR(INDEX(PP_Grid[#Data],$DD157,78),0)</f>
        <v/>
      </c>
      <c r="CC157">
        <f>IFERROR(INDEX(PP_Grid[#Data],$DD157,79),0)</f>
        <v/>
      </c>
      <c r="CD157">
        <f>IFERROR(INDEX(PP_Grid[#Data],$DD157,80),0)</f>
        <v/>
      </c>
      <c r="CE157">
        <f>IFERROR(INDEX(PP_Grid[#Data],$DD157,81),0)</f>
        <v/>
      </c>
      <c r="CF157">
        <f>IFERROR(INDEX(PP_Grid[#Data],$DD157,82),0)</f>
        <v/>
      </c>
      <c r="CG157">
        <f>IFERROR(INDEX(PP_Grid[#Data],$DD157,83),0)</f>
        <v/>
      </c>
      <c r="CH157">
        <f>IFERROR(INDEX(PP_Grid[#Data],$DD157,84),0)</f>
        <v/>
      </c>
      <c r="CI157">
        <f>IFERROR(INDEX(PP_Grid[#Data],$DD157,85),0)</f>
        <v/>
      </c>
      <c r="CJ157">
        <f>IFERROR(INDEX(PP_Grid[#Data],$DD157,86),0)</f>
        <v/>
      </c>
      <c r="CK157">
        <f>IFERROR(INDEX(PP_Grid[#Data],$DD157,87),0)</f>
        <v/>
      </c>
      <c r="CL157">
        <f>IFERROR(INDEX(PP_Grid[#Data],$DD157,88),0)</f>
        <v/>
      </c>
      <c r="CM157">
        <f>IFERROR(INDEX(PP_Grid[#Data],$DD157,89),0)</f>
        <v/>
      </c>
      <c r="CN157">
        <f>IFERROR(INDEX(PP_Grid[#Data],$DD157,90),0)</f>
        <v/>
      </c>
      <c r="CO157">
        <f>IFERROR(INDEX(PP_Grid[#Data],$DD157,91),0)</f>
        <v/>
      </c>
      <c r="CP157">
        <f>IFERROR(INDEX(PP_Grid[#Data],$DD157,92),0)</f>
        <v/>
      </c>
      <c r="CQ157">
        <f>IFERROR(INDEX(PP_Grid[#Data],$DD157,93),0)</f>
        <v/>
      </c>
      <c r="CR157">
        <f>IFERROR(INDEX(PP_Grid[#Data],$DD157,94),0)</f>
        <v/>
      </c>
      <c r="CS157">
        <f>IFERROR(INDEX(PP_Grid[#Data],$DD157,95),0)</f>
        <v/>
      </c>
      <c r="CT157">
        <f>IFERROR(INDEX(PP_Grid[#Data],$DD157,96),0)</f>
        <v/>
      </c>
      <c r="CU157">
        <f>IFERROR(INDEX(PP_Grid[#Data],$DD157,97),0)</f>
        <v/>
      </c>
      <c r="CV157">
        <f>IFERROR(INDEX(PP_Grid[#Data],$DD157,98),0)</f>
        <v/>
      </c>
      <c r="CW157">
        <f>IFERROR(INDEX(PP_Grid[#Data],$DD157,99),0)</f>
        <v/>
      </c>
      <c r="CX157">
        <f>IFERROR(INDEX(PP_Grid[#Data],$DD157,100),0)</f>
        <v/>
      </c>
      <c r="CY157">
        <f>IFERROR(INDEX(PP_Grid[#Data],$DD157,101),0)</f>
        <v/>
      </c>
      <c r="CZ157">
        <f>IFERROR(INDEX(PP_Grid[#Data],$DD157,102),0)</f>
        <v/>
      </c>
      <c r="DA157">
        <f>IFERROR(INDEX(PP_Grid[#Data],$DD157,103),0)</f>
        <v/>
      </c>
      <c r="DB157">
        <f>IFERROR(INDEX(PP_Grid[#Data],$DD157,104),0)</f>
        <v/>
      </c>
      <c r="DC157">
        <f>IFERROR(INDEX(PP_Grid[#Data],$DD157,105),0)</f>
        <v/>
      </c>
      <c r="DD157" s="7">
        <f>IFERROR(MATCH($B157,PP_Grid[Intermediate],0),99999)</f>
        <v/>
      </c>
    </row>
    <row r="158">
      <c r="B158" t="inlineStr">
        <is>
          <t>使用量(kg)</t>
        </is>
      </c>
      <c r="C158">
        <f>SUMIFS(M_BOM[RM_Qty_Per_Batch],M_BOM[Intermediate],$B157,M_BOM[Part Name],$A44)</f>
        <v/>
      </c>
      <c r="D158">
        <f>$C158*D157</f>
        <v/>
      </c>
      <c r="E158">
        <f>$C158*E157</f>
        <v/>
      </c>
      <c r="F158">
        <f>$C158*F157</f>
        <v/>
      </c>
      <c r="G158">
        <f>$C158*G157</f>
        <v/>
      </c>
      <c r="H158">
        <f>$C158*H157</f>
        <v/>
      </c>
      <c r="I158">
        <f>$C158*I157</f>
        <v/>
      </c>
      <c r="J158">
        <f>$C158*J157</f>
        <v/>
      </c>
      <c r="K158">
        <f>$C158*K157</f>
        <v/>
      </c>
      <c r="L158">
        <f>$C158*L157</f>
        <v/>
      </c>
      <c r="M158">
        <f>$C158*M157</f>
        <v/>
      </c>
      <c r="N158">
        <f>$C158*N157</f>
        <v/>
      </c>
      <c r="O158">
        <f>$C158*O157</f>
        <v/>
      </c>
      <c r="P158">
        <f>$C158*P157</f>
        <v/>
      </c>
      <c r="Q158">
        <f>$C158*Q157</f>
        <v/>
      </c>
      <c r="R158">
        <f>$C158*R157</f>
        <v/>
      </c>
      <c r="S158">
        <f>$C158*S157</f>
        <v/>
      </c>
      <c r="T158">
        <f>$C158*T157</f>
        <v/>
      </c>
      <c r="U158">
        <f>$C158*U157</f>
        <v/>
      </c>
      <c r="V158">
        <f>$C158*V157</f>
        <v/>
      </c>
      <c r="W158">
        <f>$C158*W157</f>
        <v/>
      </c>
      <c r="X158">
        <f>$C158*X157</f>
        <v/>
      </c>
      <c r="Y158">
        <f>$C158*Y157</f>
        <v/>
      </c>
      <c r="Z158">
        <f>$C158*Z157</f>
        <v/>
      </c>
      <c r="AA158">
        <f>$C158*AA157</f>
        <v/>
      </c>
      <c r="AB158">
        <f>$C158*AB157</f>
        <v/>
      </c>
      <c r="AC158">
        <f>$C158*AC157</f>
        <v/>
      </c>
      <c r="AD158">
        <f>$C158*AD157</f>
        <v/>
      </c>
      <c r="AE158">
        <f>$C158*AE157</f>
        <v/>
      </c>
      <c r="AF158">
        <f>$C158*AF157</f>
        <v/>
      </c>
      <c r="AG158">
        <f>$C158*AG157</f>
        <v/>
      </c>
      <c r="AH158">
        <f>$C158*AH157</f>
        <v/>
      </c>
      <c r="AI158">
        <f>$C158*AI157</f>
        <v/>
      </c>
      <c r="AJ158">
        <f>$C158*AJ157</f>
        <v/>
      </c>
      <c r="AK158">
        <f>$C158*AK157</f>
        <v/>
      </c>
      <c r="AL158">
        <f>$C158*AL157</f>
        <v/>
      </c>
      <c r="AM158">
        <f>$C158*AM157</f>
        <v/>
      </c>
      <c r="AN158">
        <f>$C158*AN157</f>
        <v/>
      </c>
      <c r="AO158">
        <f>$C158*AO157</f>
        <v/>
      </c>
      <c r="AP158">
        <f>$C158*AP157</f>
        <v/>
      </c>
      <c r="AQ158">
        <f>$C158*AQ157</f>
        <v/>
      </c>
      <c r="AR158">
        <f>$C158*AR157</f>
        <v/>
      </c>
      <c r="AS158">
        <f>$C158*AS157</f>
        <v/>
      </c>
      <c r="AT158">
        <f>$C158*AT157</f>
        <v/>
      </c>
      <c r="AU158">
        <f>$C158*AU157</f>
        <v/>
      </c>
      <c r="AV158">
        <f>$C158*AV157</f>
        <v/>
      </c>
      <c r="AW158">
        <f>$C158*AW157</f>
        <v/>
      </c>
      <c r="AX158">
        <f>$C158*AX157</f>
        <v/>
      </c>
      <c r="AY158">
        <f>$C158*AY157</f>
        <v/>
      </c>
      <c r="AZ158">
        <f>$C158*AZ157</f>
        <v/>
      </c>
      <c r="BA158">
        <f>$C158*BA157</f>
        <v/>
      </c>
      <c r="BB158">
        <f>$C158*BB157</f>
        <v/>
      </c>
      <c r="BC158">
        <f>$C158*BC157</f>
        <v/>
      </c>
      <c r="BD158">
        <f>$C158*BD157</f>
        <v/>
      </c>
      <c r="BE158">
        <f>$C158*BE157</f>
        <v/>
      </c>
      <c r="BF158">
        <f>$C158*BF157</f>
        <v/>
      </c>
      <c r="BG158">
        <f>$C158*BG157</f>
        <v/>
      </c>
      <c r="BH158">
        <f>$C158*BH157</f>
        <v/>
      </c>
      <c r="BI158">
        <f>$C158*BI157</f>
        <v/>
      </c>
      <c r="BJ158">
        <f>$C158*BJ157</f>
        <v/>
      </c>
      <c r="BK158">
        <f>$C158*BK157</f>
        <v/>
      </c>
      <c r="BL158">
        <f>$C158*BL157</f>
        <v/>
      </c>
      <c r="BM158">
        <f>$C158*BM157</f>
        <v/>
      </c>
      <c r="BN158">
        <f>$C158*BN157</f>
        <v/>
      </c>
      <c r="BO158">
        <f>$C158*BO157</f>
        <v/>
      </c>
      <c r="BP158">
        <f>$C158*BP157</f>
        <v/>
      </c>
      <c r="BQ158">
        <f>$C158*BQ157</f>
        <v/>
      </c>
      <c r="BR158">
        <f>$C158*BR157</f>
        <v/>
      </c>
      <c r="BS158">
        <f>$C158*BS157</f>
        <v/>
      </c>
      <c r="BT158">
        <f>$C158*BT157</f>
        <v/>
      </c>
      <c r="BU158">
        <f>$C158*BU157</f>
        <v/>
      </c>
      <c r="BV158">
        <f>$C158*BV157</f>
        <v/>
      </c>
      <c r="BW158">
        <f>$C158*BW157</f>
        <v/>
      </c>
      <c r="BX158">
        <f>$C158*BX157</f>
        <v/>
      </c>
      <c r="BY158">
        <f>$C158*BY157</f>
        <v/>
      </c>
      <c r="BZ158">
        <f>$C158*BZ157</f>
        <v/>
      </c>
      <c r="CA158">
        <f>$C158*CA157</f>
        <v/>
      </c>
      <c r="CB158">
        <f>$C158*CB157</f>
        <v/>
      </c>
      <c r="CC158">
        <f>$C158*CC157</f>
        <v/>
      </c>
      <c r="CD158">
        <f>$C158*CD157</f>
        <v/>
      </c>
      <c r="CE158">
        <f>$C158*CE157</f>
        <v/>
      </c>
      <c r="CF158">
        <f>$C158*CF157</f>
        <v/>
      </c>
      <c r="CG158">
        <f>$C158*CG157</f>
        <v/>
      </c>
      <c r="CH158">
        <f>$C158*CH157</f>
        <v/>
      </c>
      <c r="CI158">
        <f>$C158*CI157</f>
        <v/>
      </c>
      <c r="CJ158">
        <f>$C158*CJ157</f>
        <v/>
      </c>
      <c r="CK158">
        <f>$C158*CK157</f>
        <v/>
      </c>
      <c r="CL158">
        <f>$C158*CL157</f>
        <v/>
      </c>
      <c r="CM158">
        <f>$C158*CM157</f>
        <v/>
      </c>
      <c r="CN158">
        <f>$C158*CN157</f>
        <v/>
      </c>
      <c r="CO158">
        <f>$C158*CO157</f>
        <v/>
      </c>
      <c r="CP158">
        <f>$C158*CP157</f>
        <v/>
      </c>
      <c r="CQ158">
        <f>$C158*CQ157</f>
        <v/>
      </c>
      <c r="CR158">
        <f>$C158*CR157</f>
        <v/>
      </c>
      <c r="CS158">
        <f>$C158*CS157</f>
        <v/>
      </c>
      <c r="CT158">
        <f>$C158*CT157</f>
        <v/>
      </c>
      <c r="CU158">
        <f>$C158*CU157</f>
        <v/>
      </c>
      <c r="CV158">
        <f>$C158*CV157</f>
        <v/>
      </c>
      <c r="CW158">
        <f>$C158*CW157</f>
        <v/>
      </c>
      <c r="CX158">
        <f>$C158*CX157</f>
        <v/>
      </c>
      <c r="CY158">
        <f>$C158*CY157</f>
        <v/>
      </c>
      <c r="CZ158">
        <f>$C158*CZ157</f>
        <v/>
      </c>
      <c r="DA158">
        <f>$C158*DA157</f>
        <v/>
      </c>
      <c r="DB158">
        <f>$C158*DB157</f>
        <v/>
      </c>
      <c r="DC158">
        <f>$C158*DC157</f>
        <v/>
      </c>
    </row>
    <row r="159">
      <c r="B159" t="inlineStr">
        <is>
          <t>TSP-1446</t>
        </is>
      </c>
      <c r="C159" t="inlineStr">
        <is>
          <t>No. of batches</t>
        </is>
      </c>
      <c r="D159">
        <f>IFERROR(INDEX(PP_Grid[#Data],$DD159,2),0)</f>
        <v/>
      </c>
      <c r="E159">
        <f>IFERROR(INDEX(PP_Grid[#Data],$DD159,3),0)</f>
        <v/>
      </c>
      <c r="F159">
        <f>IFERROR(INDEX(PP_Grid[#Data],$DD159,4),0)</f>
        <v/>
      </c>
      <c r="G159">
        <f>IFERROR(INDEX(PP_Grid[#Data],$DD159,5),0)</f>
        <v/>
      </c>
      <c r="H159">
        <f>IFERROR(INDEX(PP_Grid[#Data],$DD159,6),0)</f>
        <v/>
      </c>
      <c r="I159">
        <f>IFERROR(INDEX(PP_Grid[#Data],$DD159,7),0)</f>
        <v/>
      </c>
      <c r="J159">
        <f>IFERROR(INDEX(PP_Grid[#Data],$DD159,8),0)</f>
        <v/>
      </c>
      <c r="K159">
        <f>IFERROR(INDEX(PP_Grid[#Data],$DD159,9),0)</f>
        <v/>
      </c>
      <c r="L159">
        <f>IFERROR(INDEX(PP_Grid[#Data],$DD159,10),0)</f>
        <v/>
      </c>
      <c r="M159">
        <f>IFERROR(INDEX(PP_Grid[#Data],$DD159,11),0)</f>
        <v/>
      </c>
      <c r="N159">
        <f>IFERROR(INDEX(PP_Grid[#Data],$DD159,12),0)</f>
        <v/>
      </c>
      <c r="O159">
        <f>IFERROR(INDEX(PP_Grid[#Data],$DD159,13),0)</f>
        <v/>
      </c>
      <c r="P159">
        <f>IFERROR(INDEX(PP_Grid[#Data],$DD159,14),0)</f>
        <v/>
      </c>
      <c r="Q159">
        <f>IFERROR(INDEX(PP_Grid[#Data],$DD159,15),0)</f>
        <v/>
      </c>
      <c r="R159">
        <f>IFERROR(INDEX(PP_Grid[#Data],$DD159,16),0)</f>
        <v/>
      </c>
      <c r="S159">
        <f>IFERROR(INDEX(PP_Grid[#Data],$DD159,17),0)</f>
        <v/>
      </c>
      <c r="T159">
        <f>IFERROR(INDEX(PP_Grid[#Data],$DD159,18),0)</f>
        <v/>
      </c>
      <c r="U159">
        <f>IFERROR(INDEX(PP_Grid[#Data],$DD159,19),0)</f>
        <v/>
      </c>
      <c r="V159">
        <f>IFERROR(INDEX(PP_Grid[#Data],$DD159,20),0)</f>
        <v/>
      </c>
      <c r="W159">
        <f>IFERROR(INDEX(PP_Grid[#Data],$DD159,21),0)</f>
        <v/>
      </c>
      <c r="X159">
        <f>IFERROR(INDEX(PP_Grid[#Data],$DD159,22),0)</f>
        <v/>
      </c>
      <c r="Y159">
        <f>IFERROR(INDEX(PP_Grid[#Data],$DD159,23),0)</f>
        <v/>
      </c>
      <c r="Z159">
        <f>IFERROR(INDEX(PP_Grid[#Data],$DD159,24),0)</f>
        <v/>
      </c>
      <c r="AA159">
        <f>IFERROR(INDEX(PP_Grid[#Data],$DD159,25),0)</f>
        <v/>
      </c>
      <c r="AB159">
        <f>IFERROR(INDEX(PP_Grid[#Data],$DD159,26),0)</f>
        <v/>
      </c>
      <c r="AC159">
        <f>IFERROR(INDEX(PP_Grid[#Data],$DD159,27),0)</f>
        <v/>
      </c>
      <c r="AD159">
        <f>IFERROR(INDEX(PP_Grid[#Data],$DD159,28),0)</f>
        <v/>
      </c>
      <c r="AE159">
        <f>IFERROR(INDEX(PP_Grid[#Data],$DD159,29),0)</f>
        <v/>
      </c>
      <c r="AF159">
        <f>IFERROR(INDEX(PP_Grid[#Data],$DD159,30),0)</f>
        <v/>
      </c>
      <c r="AG159">
        <f>IFERROR(INDEX(PP_Grid[#Data],$DD159,31),0)</f>
        <v/>
      </c>
      <c r="AH159">
        <f>IFERROR(INDEX(PP_Grid[#Data],$DD159,32),0)</f>
        <v/>
      </c>
      <c r="AI159">
        <f>IFERROR(INDEX(PP_Grid[#Data],$DD159,33),0)</f>
        <v/>
      </c>
      <c r="AJ159">
        <f>IFERROR(INDEX(PP_Grid[#Data],$DD159,34),0)</f>
        <v/>
      </c>
      <c r="AK159">
        <f>IFERROR(INDEX(PP_Grid[#Data],$DD159,35),0)</f>
        <v/>
      </c>
      <c r="AL159">
        <f>IFERROR(INDEX(PP_Grid[#Data],$DD159,36),0)</f>
        <v/>
      </c>
      <c r="AM159">
        <f>IFERROR(INDEX(PP_Grid[#Data],$DD159,37),0)</f>
        <v/>
      </c>
      <c r="AN159">
        <f>IFERROR(INDEX(PP_Grid[#Data],$DD159,38),0)</f>
        <v/>
      </c>
      <c r="AO159">
        <f>IFERROR(INDEX(PP_Grid[#Data],$DD159,39),0)</f>
        <v/>
      </c>
      <c r="AP159">
        <f>IFERROR(INDEX(PP_Grid[#Data],$DD159,40),0)</f>
        <v/>
      </c>
      <c r="AQ159">
        <f>IFERROR(INDEX(PP_Grid[#Data],$DD159,41),0)</f>
        <v/>
      </c>
      <c r="AR159">
        <f>IFERROR(INDEX(PP_Grid[#Data],$DD159,42),0)</f>
        <v/>
      </c>
      <c r="AS159">
        <f>IFERROR(INDEX(PP_Grid[#Data],$DD159,43),0)</f>
        <v/>
      </c>
      <c r="AT159">
        <f>IFERROR(INDEX(PP_Grid[#Data],$DD159,44),0)</f>
        <v/>
      </c>
      <c r="AU159">
        <f>IFERROR(INDEX(PP_Grid[#Data],$DD159,45),0)</f>
        <v/>
      </c>
      <c r="AV159">
        <f>IFERROR(INDEX(PP_Grid[#Data],$DD159,46),0)</f>
        <v/>
      </c>
      <c r="AW159">
        <f>IFERROR(INDEX(PP_Grid[#Data],$DD159,47),0)</f>
        <v/>
      </c>
      <c r="AX159">
        <f>IFERROR(INDEX(PP_Grid[#Data],$DD159,48),0)</f>
        <v/>
      </c>
      <c r="AY159">
        <f>IFERROR(INDEX(PP_Grid[#Data],$DD159,49),0)</f>
        <v/>
      </c>
      <c r="AZ159">
        <f>IFERROR(INDEX(PP_Grid[#Data],$DD159,50),0)</f>
        <v/>
      </c>
      <c r="BA159">
        <f>IFERROR(INDEX(PP_Grid[#Data],$DD159,51),0)</f>
        <v/>
      </c>
      <c r="BB159">
        <f>IFERROR(INDEX(PP_Grid[#Data],$DD159,52),0)</f>
        <v/>
      </c>
      <c r="BC159">
        <f>IFERROR(INDEX(PP_Grid[#Data],$DD159,53),0)</f>
        <v/>
      </c>
      <c r="BD159">
        <f>IFERROR(INDEX(PP_Grid[#Data],$DD159,54),0)</f>
        <v/>
      </c>
      <c r="BE159">
        <f>IFERROR(INDEX(PP_Grid[#Data],$DD159,55),0)</f>
        <v/>
      </c>
      <c r="BF159">
        <f>IFERROR(INDEX(PP_Grid[#Data],$DD159,56),0)</f>
        <v/>
      </c>
      <c r="BG159">
        <f>IFERROR(INDEX(PP_Grid[#Data],$DD159,57),0)</f>
        <v/>
      </c>
      <c r="BH159">
        <f>IFERROR(INDEX(PP_Grid[#Data],$DD159,58),0)</f>
        <v/>
      </c>
      <c r="BI159">
        <f>IFERROR(INDEX(PP_Grid[#Data],$DD159,59),0)</f>
        <v/>
      </c>
      <c r="BJ159">
        <f>IFERROR(INDEX(PP_Grid[#Data],$DD159,60),0)</f>
        <v/>
      </c>
      <c r="BK159">
        <f>IFERROR(INDEX(PP_Grid[#Data],$DD159,61),0)</f>
        <v/>
      </c>
      <c r="BL159">
        <f>IFERROR(INDEX(PP_Grid[#Data],$DD159,62),0)</f>
        <v/>
      </c>
      <c r="BM159">
        <f>IFERROR(INDEX(PP_Grid[#Data],$DD159,63),0)</f>
        <v/>
      </c>
      <c r="BN159">
        <f>IFERROR(INDEX(PP_Grid[#Data],$DD159,64),0)</f>
        <v/>
      </c>
      <c r="BO159">
        <f>IFERROR(INDEX(PP_Grid[#Data],$DD159,65),0)</f>
        <v/>
      </c>
      <c r="BP159">
        <f>IFERROR(INDEX(PP_Grid[#Data],$DD159,66),0)</f>
        <v/>
      </c>
      <c r="BQ159">
        <f>IFERROR(INDEX(PP_Grid[#Data],$DD159,67),0)</f>
        <v/>
      </c>
      <c r="BR159">
        <f>IFERROR(INDEX(PP_Grid[#Data],$DD159,68),0)</f>
        <v/>
      </c>
      <c r="BS159">
        <f>IFERROR(INDEX(PP_Grid[#Data],$DD159,69),0)</f>
        <v/>
      </c>
      <c r="BT159">
        <f>IFERROR(INDEX(PP_Grid[#Data],$DD159,70),0)</f>
        <v/>
      </c>
      <c r="BU159">
        <f>IFERROR(INDEX(PP_Grid[#Data],$DD159,71),0)</f>
        <v/>
      </c>
      <c r="BV159">
        <f>IFERROR(INDEX(PP_Grid[#Data],$DD159,72),0)</f>
        <v/>
      </c>
      <c r="BW159">
        <f>IFERROR(INDEX(PP_Grid[#Data],$DD159,73),0)</f>
        <v/>
      </c>
      <c r="BX159">
        <f>IFERROR(INDEX(PP_Grid[#Data],$DD159,74),0)</f>
        <v/>
      </c>
      <c r="BY159">
        <f>IFERROR(INDEX(PP_Grid[#Data],$DD159,75),0)</f>
        <v/>
      </c>
      <c r="BZ159">
        <f>IFERROR(INDEX(PP_Grid[#Data],$DD159,76),0)</f>
        <v/>
      </c>
      <c r="CA159">
        <f>IFERROR(INDEX(PP_Grid[#Data],$DD159,77),0)</f>
        <v/>
      </c>
      <c r="CB159">
        <f>IFERROR(INDEX(PP_Grid[#Data],$DD159,78),0)</f>
        <v/>
      </c>
      <c r="CC159">
        <f>IFERROR(INDEX(PP_Grid[#Data],$DD159,79),0)</f>
        <v/>
      </c>
      <c r="CD159">
        <f>IFERROR(INDEX(PP_Grid[#Data],$DD159,80),0)</f>
        <v/>
      </c>
      <c r="CE159">
        <f>IFERROR(INDEX(PP_Grid[#Data],$DD159,81),0)</f>
        <v/>
      </c>
      <c r="CF159">
        <f>IFERROR(INDEX(PP_Grid[#Data],$DD159,82),0)</f>
        <v/>
      </c>
      <c r="CG159">
        <f>IFERROR(INDEX(PP_Grid[#Data],$DD159,83),0)</f>
        <v/>
      </c>
      <c r="CH159">
        <f>IFERROR(INDEX(PP_Grid[#Data],$DD159,84),0)</f>
        <v/>
      </c>
      <c r="CI159">
        <f>IFERROR(INDEX(PP_Grid[#Data],$DD159,85),0)</f>
        <v/>
      </c>
      <c r="CJ159">
        <f>IFERROR(INDEX(PP_Grid[#Data],$DD159,86),0)</f>
        <v/>
      </c>
      <c r="CK159">
        <f>IFERROR(INDEX(PP_Grid[#Data],$DD159,87),0)</f>
        <v/>
      </c>
      <c r="CL159">
        <f>IFERROR(INDEX(PP_Grid[#Data],$DD159,88),0)</f>
        <v/>
      </c>
      <c r="CM159">
        <f>IFERROR(INDEX(PP_Grid[#Data],$DD159,89),0)</f>
        <v/>
      </c>
      <c r="CN159">
        <f>IFERROR(INDEX(PP_Grid[#Data],$DD159,90),0)</f>
        <v/>
      </c>
      <c r="CO159">
        <f>IFERROR(INDEX(PP_Grid[#Data],$DD159,91),0)</f>
        <v/>
      </c>
      <c r="CP159">
        <f>IFERROR(INDEX(PP_Grid[#Data],$DD159,92),0)</f>
        <v/>
      </c>
      <c r="CQ159">
        <f>IFERROR(INDEX(PP_Grid[#Data],$DD159,93),0)</f>
        <v/>
      </c>
      <c r="CR159">
        <f>IFERROR(INDEX(PP_Grid[#Data],$DD159,94),0)</f>
        <v/>
      </c>
      <c r="CS159">
        <f>IFERROR(INDEX(PP_Grid[#Data],$DD159,95),0)</f>
        <v/>
      </c>
      <c r="CT159">
        <f>IFERROR(INDEX(PP_Grid[#Data],$DD159,96),0)</f>
        <v/>
      </c>
      <c r="CU159">
        <f>IFERROR(INDEX(PP_Grid[#Data],$DD159,97),0)</f>
        <v/>
      </c>
      <c r="CV159">
        <f>IFERROR(INDEX(PP_Grid[#Data],$DD159,98),0)</f>
        <v/>
      </c>
      <c r="CW159">
        <f>IFERROR(INDEX(PP_Grid[#Data],$DD159,99),0)</f>
        <v/>
      </c>
      <c r="CX159">
        <f>IFERROR(INDEX(PP_Grid[#Data],$DD159,100),0)</f>
        <v/>
      </c>
      <c r="CY159">
        <f>IFERROR(INDEX(PP_Grid[#Data],$DD159,101),0)</f>
        <v/>
      </c>
      <c r="CZ159">
        <f>IFERROR(INDEX(PP_Grid[#Data],$DD159,102),0)</f>
        <v/>
      </c>
      <c r="DA159">
        <f>IFERROR(INDEX(PP_Grid[#Data],$DD159,103),0)</f>
        <v/>
      </c>
      <c r="DB159">
        <f>IFERROR(INDEX(PP_Grid[#Data],$DD159,104),0)</f>
        <v/>
      </c>
      <c r="DC159">
        <f>IFERROR(INDEX(PP_Grid[#Data],$DD159,105),0)</f>
        <v/>
      </c>
      <c r="DD159" s="7">
        <f>IFERROR(MATCH($B159,PP_Grid[Intermediate],0),99999)</f>
        <v/>
      </c>
    </row>
    <row r="160">
      <c r="B160" t="inlineStr">
        <is>
          <t>使用量(kg)</t>
        </is>
      </c>
      <c r="C160">
        <f>SUMIFS(M_BOM[RM_Qty_Per_Batch],M_BOM[Intermediate],$B159,M_BOM[Part Name],$A44)</f>
        <v/>
      </c>
      <c r="D160">
        <f>$C160*D159</f>
        <v/>
      </c>
      <c r="E160">
        <f>$C160*E159</f>
        <v/>
      </c>
      <c r="F160">
        <f>$C160*F159</f>
        <v/>
      </c>
      <c r="G160">
        <f>$C160*G159</f>
        <v/>
      </c>
      <c r="H160">
        <f>$C160*H159</f>
        <v/>
      </c>
      <c r="I160">
        <f>$C160*I159</f>
        <v/>
      </c>
      <c r="J160">
        <f>$C160*J159</f>
        <v/>
      </c>
      <c r="K160">
        <f>$C160*K159</f>
        <v/>
      </c>
      <c r="L160">
        <f>$C160*L159</f>
        <v/>
      </c>
      <c r="M160">
        <f>$C160*M159</f>
        <v/>
      </c>
      <c r="N160">
        <f>$C160*N159</f>
        <v/>
      </c>
      <c r="O160">
        <f>$C160*O159</f>
        <v/>
      </c>
      <c r="P160">
        <f>$C160*P159</f>
        <v/>
      </c>
      <c r="Q160">
        <f>$C160*Q159</f>
        <v/>
      </c>
      <c r="R160">
        <f>$C160*R159</f>
        <v/>
      </c>
      <c r="S160">
        <f>$C160*S159</f>
        <v/>
      </c>
      <c r="T160">
        <f>$C160*T159</f>
        <v/>
      </c>
      <c r="U160">
        <f>$C160*U159</f>
        <v/>
      </c>
      <c r="V160">
        <f>$C160*V159</f>
        <v/>
      </c>
      <c r="W160">
        <f>$C160*W159</f>
        <v/>
      </c>
      <c r="X160">
        <f>$C160*X159</f>
        <v/>
      </c>
      <c r="Y160">
        <f>$C160*Y159</f>
        <v/>
      </c>
      <c r="Z160">
        <f>$C160*Z159</f>
        <v/>
      </c>
      <c r="AA160">
        <f>$C160*AA159</f>
        <v/>
      </c>
      <c r="AB160">
        <f>$C160*AB159</f>
        <v/>
      </c>
      <c r="AC160">
        <f>$C160*AC159</f>
        <v/>
      </c>
      <c r="AD160">
        <f>$C160*AD159</f>
        <v/>
      </c>
      <c r="AE160">
        <f>$C160*AE159</f>
        <v/>
      </c>
      <c r="AF160">
        <f>$C160*AF159</f>
        <v/>
      </c>
      <c r="AG160">
        <f>$C160*AG159</f>
        <v/>
      </c>
      <c r="AH160">
        <f>$C160*AH159</f>
        <v/>
      </c>
      <c r="AI160">
        <f>$C160*AI159</f>
        <v/>
      </c>
      <c r="AJ160">
        <f>$C160*AJ159</f>
        <v/>
      </c>
      <c r="AK160">
        <f>$C160*AK159</f>
        <v/>
      </c>
      <c r="AL160">
        <f>$C160*AL159</f>
        <v/>
      </c>
      <c r="AM160">
        <f>$C160*AM159</f>
        <v/>
      </c>
      <c r="AN160">
        <f>$C160*AN159</f>
        <v/>
      </c>
      <c r="AO160">
        <f>$C160*AO159</f>
        <v/>
      </c>
      <c r="AP160">
        <f>$C160*AP159</f>
        <v/>
      </c>
      <c r="AQ160">
        <f>$C160*AQ159</f>
        <v/>
      </c>
      <c r="AR160">
        <f>$C160*AR159</f>
        <v/>
      </c>
      <c r="AS160">
        <f>$C160*AS159</f>
        <v/>
      </c>
      <c r="AT160">
        <f>$C160*AT159</f>
        <v/>
      </c>
      <c r="AU160">
        <f>$C160*AU159</f>
        <v/>
      </c>
      <c r="AV160">
        <f>$C160*AV159</f>
        <v/>
      </c>
      <c r="AW160">
        <f>$C160*AW159</f>
        <v/>
      </c>
      <c r="AX160">
        <f>$C160*AX159</f>
        <v/>
      </c>
      <c r="AY160">
        <f>$C160*AY159</f>
        <v/>
      </c>
      <c r="AZ160">
        <f>$C160*AZ159</f>
        <v/>
      </c>
      <c r="BA160">
        <f>$C160*BA159</f>
        <v/>
      </c>
      <c r="BB160">
        <f>$C160*BB159</f>
        <v/>
      </c>
      <c r="BC160">
        <f>$C160*BC159</f>
        <v/>
      </c>
      <c r="BD160">
        <f>$C160*BD159</f>
        <v/>
      </c>
      <c r="BE160">
        <f>$C160*BE159</f>
        <v/>
      </c>
      <c r="BF160">
        <f>$C160*BF159</f>
        <v/>
      </c>
      <c r="BG160">
        <f>$C160*BG159</f>
        <v/>
      </c>
      <c r="BH160">
        <f>$C160*BH159</f>
        <v/>
      </c>
      <c r="BI160">
        <f>$C160*BI159</f>
        <v/>
      </c>
      <c r="BJ160">
        <f>$C160*BJ159</f>
        <v/>
      </c>
      <c r="BK160">
        <f>$C160*BK159</f>
        <v/>
      </c>
      <c r="BL160">
        <f>$C160*BL159</f>
        <v/>
      </c>
      <c r="BM160">
        <f>$C160*BM159</f>
        <v/>
      </c>
      <c r="BN160">
        <f>$C160*BN159</f>
        <v/>
      </c>
      <c r="BO160">
        <f>$C160*BO159</f>
        <v/>
      </c>
      <c r="BP160">
        <f>$C160*BP159</f>
        <v/>
      </c>
      <c r="BQ160">
        <f>$C160*BQ159</f>
        <v/>
      </c>
      <c r="BR160">
        <f>$C160*BR159</f>
        <v/>
      </c>
      <c r="BS160">
        <f>$C160*BS159</f>
        <v/>
      </c>
      <c r="BT160">
        <f>$C160*BT159</f>
        <v/>
      </c>
      <c r="BU160">
        <f>$C160*BU159</f>
        <v/>
      </c>
      <c r="BV160">
        <f>$C160*BV159</f>
        <v/>
      </c>
      <c r="BW160">
        <f>$C160*BW159</f>
        <v/>
      </c>
      <c r="BX160">
        <f>$C160*BX159</f>
        <v/>
      </c>
      <c r="BY160">
        <f>$C160*BY159</f>
        <v/>
      </c>
      <c r="BZ160">
        <f>$C160*BZ159</f>
        <v/>
      </c>
      <c r="CA160">
        <f>$C160*CA159</f>
        <v/>
      </c>
      <c r="CB160">
        <f>$C160*CB159</f>
        <v/>
      </c>
      <c r="CC160">
        <f>$C160*CC159</f>
        <v/>
      </c>
      <c r="CD160">
        <f>$C160*CD159</f>
        <v/>
      </c>
      <c r="CE160">
        <f>$C160*CE159</f>
        <v/>
      </c>
      <c r="CF160">
        <f>$C160*CF159</f>
        <v/>
      </c>
      <c r="CG160">
        <f>$C160*CG159</f>
        <v/>
      </c>
      <c r="CH160">
        <f>$C160*CH159</f>
        <v/>
      </c>
      <c r="CI160">
        <f>$C160*CI159</f>
        <v/>
      </c>
      <c r="CJ160">
        <f>$C160*CJ159</f>
        <v/>
      </c>
      <c r="CK160">
        <f>$C160*CK159</f>
        <v/>
      </c>
      <c r="CL160">
        <f>$C160*CL159</f>
        <v/>
      </c>
      <c r="CM160">
        <f>$C160*CM159</f>
        <v/>
      </c>
      <c r="CN160">
        <f>$C160*CN159</f>
        <v/>
      </c>
      <c r="CO160">
        <f>$C160*CO159</f>
        <v/>
      </c>
      <c r="CP160">
        <f>$C160*CP159</f>
        <v/>
      </c>
      <c r="CQ160">
        <f>$C160*CQ159</f>
        <v/>
      </c>
      <c r="CR160">
        <f>$C160*CR159</f>
        <v/>
      </c>
      <c r="CS160">
        <f>$C160*CS159</f>
        <v/>
      </c>
      <c r="CT160">
        <f>$C160*CT159</f>
        <v/>
      </c>
      <c r="CU160">
        <f>$C160*CU159</f>
        <v/>
      </c>
      <c r="CV160">
        <f>$C160*CV159</f>
        <v/>
      </c>
      <c r="CW160">
        <f>$C160*CW159</f>
        <v/>
      </c>
      <c r="CX160">
        <f>$C160*CX159</f>
        <v/>
      </c>
      <c r="CY160">
        <f>$C160*CY159</f>
        <v/>
      </c>
      <c r="CZ160">
        <f>$C160*CZ159</f>
        <v/>
      </c>
      <c r="DA160">
        <f>$C160*DA159</f>
        <v/>
      </c>
      <c r="DB160">
        <f>$C160*DB159</f>
        <v/>
      </c>
      <c r="DC160">
        <f>$C160*DC159</f>
        <v/>
      </c>
    </row>
    <row r="161">
      <c r="B161" t="inlineStr">
        <is>
          <t>TSP-1449</t>
        </is>
      </c>
      <c r="C161" t="inlineStr">
        <is>
          <t>No. of batches</t>
        </is>
      </c>
      <c r="D161">
        <f>IFERROR(INDEX(PP_Grid[#Data],$DD161,2),0)</f>
        <v/>
      </c>
      <c r="E161">
        <f>IFERROR(INDEX(PP_Grid[#Data],$DD161,3),0)</f>
        <v/>
      </c>
      <c r="F161">
        <f>IFERROR(INDEX(PP_Grid[#Data],$DD161,4),0)</f>
        <v/>
      </c>
      <c r="G161">
        <f>IFERROR(INDEX(PP_Grid[#Data],$DD161,5),0)</f>
        <v/>
      </c>
      <c r="H161">
        <f>IFERROR(INDEX(PP_Grid[#Data],$DD161,6),0)</f>
        <v/>
      </c>
      <c r="I161">
        <f>IFERROR(INDEX(PP_Grid[#Data],$DD161,7),0)</f>
        <v/>
      </c>
      <c r="J161">
        <f>IFERROR(INDEX(PP_Grid[#Data],$DD161,8),0)</f>
        <v/>
      </c>
      <c r="K161">
        <f>IFERROR(INDEX(PP_Grid[#Data],$DD161,9),0)</f>
        <v/>
      </c>
      <c r="L161">
        <f>IFERROR(INDEX(PP_Grid[#Data],$DD161,10),0)</f>
        <v/>
      </c>
      <c r="M161">
        <f>IFERROR(INDEX(PP_Grid[#Data],$DD161,11),0)</f>
        <v/>
      </c>
      <c r="N161">
        <f>IFERROR(INDEX(PP_Grid[#Data],$DD161,12),0)</f>
        <v/>
      </c>
      <c r="O161">
        <f>IFERROR(INDEX(PP_Grid[#Data],$DD161,13),0)</f>
        <v/>
      </c>
      <c r="P161">
        <f>IFERROR(INDEX(PP_Grid[#Data],$DD161,14),0)</f>
        <v/>
      </c>
      <c r="Q161">
        <f>IFERROR(INDEX(PP_Grid[#Data],$DD161,15),0)</f>
        <v/>
      </c>
      <c r="R161">
        <f>IFERROR(INDEX(PP_Grid[#Data],$DD161,16),0)</f>
        <v/>
      </c>
      <c r="S161">
        <f>IFERROR(INDEX(PP_Grid[#Data],$DD161,17),0)</f>
        <v/>
      </c>
      <c r="T161">
        <f>IFERROR(INDEX(PP_Grid[#Data],$DD161,18),0)</f>
        <v/>
      </c>
      <c r="U161">
        <f>IFERROR(INDEX(PP_Grid[#Data],$DD161,19),0)</f>
        <v/>
      </c>
      <c r="V161">
        <f>IFERROR(INDEX(PP_Grid[#Data],$DD161,20),0)</f>
        <v/>
      </c>
      <c r="W161">
        <f>IFERROR(INDEX(PP_Grid[#Data],$DD161,21),0)</f>
        <v/>
      </c>
      <c r="X161">
        <f>IFERROR(INDEX(PP_Grid[#Data],$DD161,22),0)</f>
        <v/>
      </c>
      <c r="Y161">
        <f>IFERROR(INDEX(PP_Grid[#Data],$DD161,23),0)</f>
        <v/>
      </c>
      <c r="Z161">
        <f>IFERROR(INDEX(PP_Grid[#Data],$DD161,24),0)</f>
        <v/>
      </c>
      <c r="AA161">
        <f>IFERROR(INDEX(PP_Grid[#Data],$DD161,25),0)</f>
        <v/>
      </c>
      <c r="AB161">
        <f>IFERROR(INDEX(PP_Grid[#Data],$DD161,26),0)</f>
        <v/>
      </c>
      <c r="AC161">
        <f>IFERROR(INDEX(PP_Grid[#Data],$DD161,27),0)</f>
        <v/>
      </c>
      <c r="AD161">
        <f>IFERROR(INDEX(PP_Grid[#Data],$DD161,28),0)</f>
        <v/>
      </c>
      <c r="AE161">
        <f>IFERROR(INDEX(PP_Grid[#Data],$DD161,29),0)</f>
        <v/>
      </c>
      <c r="AF161">
        <f>IFERROR(INDEX(PP_Grid[#Data],$DD161,30),0)</f>
        <v/>
      </c>
      <c r="AG161">
        <f>IFERROR(INDEX(PP_Grid[#Data],$DD161,31),0)</f>
        <v/>
      </c>
      <c r="AH161">
        <f>IFERROR(INDEX(PP_Grid[#Data],$DD161,32),0)</f>
        <v/>
      </c>
      <c r="AI161">
        <f>IFERROR(INDEX(PP_Grid[#Data],$DD161,33),0)</f>
        <v/>
      </c>
      <c r="AJ161">
        <f>IFERROR(INDEX(PP_Grid[#Data],$DD161,34),0)</f>
        <v/>
      </c>
      <c r="AK161">
        <f>IFERROR(INDEX(PP_Grid[#Data],$DD161,35),0)</f>
        <v/>
      </c>
      <c r="AL161">
        <f>IFERROR(INDEX(PP_Grid[#Data],$DD161,36),0)</f>
        <v/>
      </c>
      <c r="AM161">
        <f>IFERROR(INDEX(PP_Grid[#Data],$DD161,37),0)</f>
        <v/>
      </c>
      <c r="AN161">
        <f>IFERROR(INDEX(PP_Grid[#Data],$DD161,38),0)</f>
        <v/>
      </c>
      <c r="AO161">
        <f>IFERROR(INDEX(PP_Grid[#Data],$DD161,39),0)</f>
        <v/>
      </c>
      <c r="AP161">
        <f>IFERROR(INDEX(PP_Grid[#Data],$DD161,40),0)</f>
        <v/>
      </c>
      <c r="AQ161">
        <f>IFERROR(INDEX(PP_Grid[#Data],$DD161,41),0)</f>
        <v/>
      </c>
      <c r="AR161">
        <f>IFERROR(INDEX(PP_Grid[#Data],$DD161,42),0)</f>
        <v/>
      </c>
      <c r="AS161">
        <f>IFERROR(INDEX(PP_Grid[#Data],$DD161,43),0)</f>
        <v/>
      </c>
      <c r="AT161">
        <f>IFERROR(INDEX(PP_Grid[#Data],$DD161,44),0)</f>
        <v/>
      </c>
      <c r="AU161">
        <f>IFERROR(INDEX(PP_Grid[#Data],$DD161,45),0)</f>
        <v/>
      </c>
      <c r="AV161">
        <f>IFERROR(INDEX(PP_Grid[#Data],$DD161,46),0)</f>
        <v/>
      </c>
      <c r="AW161">
        <f>IFERROR(INDEX(PP_Grid[#Data],$DD161,47),0)</f>
        <v/>
      </c>
      <c r="AX161">
        <f>IFERROR(INDEX(PP_Grid[#Data],$DD161,48),0)</f>
        <v/>
      </c>
      <c r="AY161">
        <f>IFERROR(INDEX(PP_Grid[#Data],$DD161,49),0)</f>
        <v/>
      </c>
      <c r="AZ161">
        <f>IFERROR(INDEX(PP_Grid[#Data],$DD161,50),0)</f>
        <v/>
      </c>
      <c r="BA161">
        <f>IFERROR(INDEX(PP_Grid[#Data],$DD161,51),0)</f>
        <v/>
      </c>
      <c r="BB161">
        <f>IFERROR(INDEX(PP_Grid[#Data],$DD161,52),0)</f>
        <v/>
      </c>
      <c r="BC161">
        <f>IFERROR(INDEX(PP_Grid[#Data],$DD161,53),0)</f>
        <v/>
      </c>
      <c r="BD161">
        <f>IFERROR(INDEX(PP_Grid[#Data],$DD161,54),0)</f>
        <v/>
      </c>
      <c r="BE161">
        <f>IFERROR(INDEX(PP_Grid[#Data],$DD161,55),0)</f>
        <v/>
      </c>
      <c r="BF161">
        <f>IFERROR(INDEX(PP_Grid[#Data],$DD161,56),0)</f>
        <v/>
      </c>
      <c r="BG161">
        <f>IFERROR(INDEX(PP_Grid[#Data],$DD161,57),0)</f>
        <v/>
      </c>
      <c r="BH161">
        <f>IFERROR(INDEX(PP_Grid[#Data],$DD161,58),0)</f>
        <v/>
      </c>
      <c r="BI161">
        <f>IFERROR(INDEX(PP_Grid[#Data],$DD161,59),0)</f>
        <v/>
      </c>
      <c r="BJ161">
        <f>IFERROR(INDEX(PP_Grid[#Data],$DD161,60),0)</f>
        <v/>
      </c>
      <c r="BK161">
        <f>IFERROR(INDEX(PP_Grid[#Data],$DD161,61),0)</f>
        <v/>
      </c>
      <c r="BL161">
        <f>IFERROR(INDEX(PP_Grid[#Data],$DD161,62),0)</f>
        <v/>
      </c>
      <c r="BM161">
        <f>IFERROR(INDEX(PP_Grid[#Data],$DD161,63),0)</f>
        <v/>
      </c>
      <c r="BN161">
        <f>IFERROR(INDEX(PP_Grid[#Data],$DD161,64),0)</f>
        <v/>
      </c>
      <c r="BO161">
        <f>IFERROR(INDEX(PP_Grid[#Data],$DD161,65),0)</f>
        <v/>
      </c>
      <c r="BP161">
        <f>IFERROR(INDEX(PP_Grid[#Data],$DD161,66),0)</f>
        <v/>
      </c>
      <c r="BQ161">
        <f>IFERROR(INDEX(PP_Grid[#Data],$DD161,67),0)</f>
        <v/>
      </c>
      <c r="BR161">
        <f>IFERROR(INDEX(PP_Grid[#Data],$DD161,68),0)</f>
        <v/>
      </c>
      <c r="BS161">
        <f>IFERROR(INDEX(PP_Grid[#Data],$DD161,69),0)</f>
        <v/>
      </c>
      <c r="BT161">
        <f>IFERROR(INDEX(PP_Grid[#Data],$DD161,70),0)</f>
        <v/>
      </c>
      <c r="BU161">
        <f>IFERROR(INDEX(PP_Grid[#Data],$DD161,71),0)</f>
        <v/>
      </c>
      <c r="BV161">
        <f>IFERROR(INDEX(PP_Grid[#Data],$DD161,72),0)</f>
        <v/>
      </c>
      <c r="BW161">
        <f>IFERROR(INDEX(PP_Grid[#Data],$DD161,73),0)</f>
        <v/>
      </c>
      <c r="BX161">
        <f>IFERROR(INDEX(PP_Grid[#Data],$DD161,74),0)</f>
        <v/>
      </c>
      <c r="BY161">
        <f>IFERROR(INDEX(PP_Grid[#Data],$DD161,75),0)</f>
        <v/>
      </c>
      <c r="BZ161">
        <f>IFERROR(INDEX(PP_Grid[#Data],$DD161,76),0)</f>
        <v/>
      </c>
      <c r="CA161">
        <f>IFERROR(INDEX(PP_Grid[#Data],$DD161,77),0)</f>
        <v/>
      </c>
      <c r="CB161">
        <f>IFERROR(INDEX(PP_Grid[#Data],$DD161,78),0)</f>
        <v/>
      </c>
      <c r="CC161">
        <f>IFERROR(INDEX(PP_Grid[#Data],$DD161,79),0)</f>
        <v/>
      </c>
      <c r="CD161">
        <f>IFERROR(INDEX(PP_Grid[#Data],$DD161,80),0)</f>
        <v/>
      </c>
      <c r="CE161">
        <f>IFERROR(INDEX(PP_Grid[#Data],$DD161,81),0)</f>
        <v/>
      </c>
      <c r="CF161">
        <f>IFERROR(INDEX(PP_Grid[#Data],$DD161,82),0)</f>
        <v/>
      </c>
      <c r="CG161">
        <f>IFERROR(INDEX(PP_Grid[#Data],$DD161,83),0)</f>
        <v/>
      </c>
      <c r="CH161">
        <f>IFERROR(INDEX(PP_Grid[#Data],$DD161,84),0)</f>
        <v/>
      </c>
      <c r="CI161">
        <f>IFERROR(INDEX(PP_Grid[#Data],$DD161,85),0)</f>
        <v/>
      </c>
      <c r="CJ161">
        <f>IFERROR(INDEX(PP_Grid[#Data],$DD161,86),0)</f>
        <v/>
      </c>
      <c r="CK161">
        <f>IFERROR(INDEX(PP_Grid[#Data],$DD161,87),0)</f>
        <v/>
      </c>
      <c r="CL161">
        <f>IFERROR(INDEX(PP_Grid[#Data],$DD161,88),0)</f>
        <v/>
      </c>
      <c r="CM161">
        <f>IFERROR(INDEX(PP_Grid[#Data],$DD161,89),0)</f>
        <v/>
      </c>
      <c r="CN161">
        <f>IFERROR(INDEX(PP_Grid[#Data],$DD161,90),0)</f>
        <v/>
      </c>
      <c r="CO161">
        <f>IFERROR(INDEX(PP_Grid[#Data],$DD161,91),0)</f>
        <v/>
      </c>
      <c r="CP161">
        <f>IFERROR(INDEX(PP_Grid[#Data],$DD161,92),0)</f>
        <v/>
      </c>
      <c r="CQ161">
        <f>IFERROR(INDEX(PP_Grid[#Data],$DD161,93),0)</f>
        <v/>
      </c>
      <c r="CR161">
        <f>IFERROR(INDEX(PP_Grid[#Data],$DD161,94),0)</f>
        <v/>
      </c>
      <c r="CS161">
        <f>IFERROR(INDEX(PP_Grid[#Data],$DD161,95),0)</f>
        <v/>
      </c>
      <c r="CT161">
        <f>IFERROR(INDEX(PP_Grid[#Data],$DD161,96),0)</f>
        <v/>
      </c>
      <c r="CU161">
        <f>IFERROR(INDEX(PP_Grid[#Data],$DD161,97),0)</f>
        <v/>
      </c>
      <c r="CV161">
        <f>IFERROR(INDEX(PP_Grid[#Data],$DD161,98),0)</f>
        <v/>
      </c>
      <c r="CW161">
        <f>IFERROR(INDEX(PP_Grid[#Data],$DD161,99),0)</f>
        <v/>
      </c>
      <c r="CX161">
        <f>IFERROR(INDEX(PP_Grid[#Data],$DD161,100),0)</f>
        <v/>
      </c>
      <c r="CY161">
        <f>IFERROR(INDEX(PP_Grid[#Data],$DD161,101),0)</f>
        <v/>
      </c>
      <c r="CZ161">
        <f>IFERROR(INDEX(PP_Grid[#Data],$DD161,102),0)</f>
        <v/>
      </c>
      <c r="DA161">
        <f>IFERROR(INDEX(PP_Grid[#Data],$DD161,103),0)</f>
        <v/>
      </c>
      <c r="DB161">
        <f>IFERROR(INDEX(PP_Grid[#Data],$DD161,104),0)</f>
        <v/>
      </c>
      <c r="DC161">
        <f>IFERROR(INDEX(PP_Grid[#Data],$DD161,105),0)</f>
        <v/>
      </c>
      <c r="DD161" s="7">
        <f>IFERROR(MATCH($B161,PP_Grid[Intermediate],0),99999)</f>
        <v/>
      </c>
    </row>
    <row r="162">
      <c r="B162" t="inlineStr">
        <is>
          <t>使用量(kg)</t>
        </is>
      </c>
      <c r="C162">
        <f>SUMIFS(M_BOM[RM_Qty_Per_Batch],M_BOM[Intermediate],$B161,M_BOM[Part Name],$A44)</f>
        <v/>
      </c>
      <c r="D162">
        <f>$C162*D161</f>
        <v/>
      </c>
      <c r="E162">
        <f>$C162*E161</f>
        <v/>
      </c>
      <c r="F162">
        <f>$C162*F161</f>
        <v/>
      </c>
      <c r="G162">
        <f>$C162*G161</f>
        <v/>
      </c>
      <c r="H162">
        <f>$C162*H161</f>
        <v/>
      </c>
      <c r="I162">
        <f>$C162*I161</f>
        <v/>
      </c>
      <c r="J162">
        <f>$C162*J161</f>
        <v/>
      </c>
      <c r="K162">
        <f>$C162*K161</f>
        <v/>
      </c>
      <c r="L162">
        <f>$C162*L161</f>
        <v/>
      </c>
      <c r="M162">
        <f>$C162*M161</f>
        <v/>
      </c>
      <c r="N162">
        <f>$C162*N161</f>
        <v/>
      </c>
      <c r="O162">
        <f>$C162*O161</f>
        <v/>
      </c>
      <c r="P162">
        <f>$C162*P161</f>
        <v/>
      </c>
      <c r="Q162">
        <f>$C162*Q161</f>
        <v/>
      </c>
      <c r="R162">
        <f>$C162*R161</f>
        <v/>
      </c>
      <c r="S162">
        <f>$C162*S161</f>
        <v/>
      </c>
      <c r="T162">
        <f>$C162*T161</f>
        <v/>
      </c>
      <c r="U162">
        <f>$C162*U161</f>
        <v/>
      </c>
      <c r="V162">
        <f>$C162*V161</f>
        <v/>
      </c>
      <c r="W162">
        <f>$C162*W161</f>
        <v/>
      </c>
      <c r="X162">
        <f>$C162*X161</f>
        <v/>
      </c>
      <c r="Y162">
        <f>$C162*Y161</f>
        <v/>
      </c>
      <c r="Z162">
        <f>$C162*Z161</f>
        <v/>
      </c>
      <c r="AA162">
        <f>$C162*AA161</f>
        <v/>
      </c>
      <c r="AB162">
        <f>$C162*AB161</f>
        <v/>
      </c>
      <c r="AC162">
        <f>$C162*AC161</f>
        <v/>
      </c>
      <c r="AD162">
        <f>$C162*AD161</f>
        <v/>
      </c>
      <c r="AE162">
        <f>$C162*AE161</f>
        <v/>
      </c>
      <c r="AF162">
        <f>$C162*AF161</f>
        <v/>
      </c>
      <c r="AG162">
        <f>$C162*AG161</f>
        <v/>
      </c>
      <c r="AH162">
        <f>$C162*AH161</f>
        <v/>
      </c>
      <c r="AI162">
        <f>$C162*AI161</f>
        <v/>
      </c>
      <c r="AJ162">
        <f>$C162*AJ161</f>
        <v/>
      </c>
      <c r="AK162">
        <f>$C162*AK161</f>
        <v/>
      </c>
      <c r="AL162">
        <f>$C162*AL161</f>
        <v/>
      </c>
      <c r="AM162">
        <f>$C162*AM161</f>
        <v/>
      </c>
      <c r="AN162">
        <f>$C162*AN161</f>
        <v/>
      </c>
      <c r="AO162">
        <f>$C162*AO161</f>
        <v/>
      </c>
      <c r="AP162">
        <f>$C162*AP161</f>
        <v/>
      </c>
      <c r="AQ162">
        <f>$C162*AQ161</f>
        <v/>
      </c>
      <c r="AR162">
        <f>$C162*AR161</f>
        <v/>
      </c>
      <c r="AS162">
        <f>$C162*AS161</f>
        <v/>
      </c>
      <c r="AT162">
        <f>$C162*AT161</f>
        <v/>
      </c>
      <c r="AU162">
        <f>$C162*AU161</f>
        <v/>
      </c>
      <c r="AV162">
        <f>$C162*AV161</f>
        <v/>
      </c>
      <c r="AW162">
        <f>$C162*AW161</f>
        <v/>
      </c>
      <c r="AX162">
        <f>$C162*AX161</f>
        <v/>
      </c>
      <c r="AY162">
        <f>$C162*AY161</f>
        <v/>
      </c>
      <c r="AZ162">
        <f>$C162*AZ161</f>
        <v/>
      </c>
      <c r="BA162">
        <f>$C162*BA161</f>
        <v/>
      </c>
      <c r="BB162">
        <f>$C162*BB161</f>
        <v/>
      </c>
      <c r="BC162">
        <f>$C162*BC161</f>
        <v/>
      </c>
      <c r="BD162">
        <f>$C162*BD161</f>
        <v/>
      </c>
      <c r="BE162">
        <f>$C162*BE161</f>
        <v/>
      </c>
      <c r="BF162">
        <f>$C162*BF161</f>
        <v/>
      </c>
      <c r="BG162">
        <f>$C162*BG161</f>
        <v/>
      </c>
      <c r="BH162">
        <f>$C162*BH161</f>
        <v/>
      </c>
      <c r="BI162">
        <f>$C162*BI161</f>
        <v/>
      </c>
      <c r="BJ162">
        <f>$C162*BJ161</f>
        <v/>
      </c>
      <c r="BK162">
        <f>$C162*BK161</f>
        <v/>
      </c>
      <c r="BL162">
        <f>$C162*BL161</f>
        <v/>
      </c>
      <c r="BM162">
        <f>$C162*BM161</f>
        <v/>
      </c>
      <c r="BN162">
        <f>$C162*BN161</f>
        <v/>
      </c>
      <c r="BO162">
        <f>$C162*BO161</f>
        <v/>
      </c>
      <c r="BP162">
        <f>$C162*BP161</f>
        <v/>
      </c>
      <c r="BQ162">
        <f>$C162*BQ161</f>
        <v/>
      </c>
      <c r="BR162">
        <f>$C162*BR161</f>
        <v/>
      </c>
      <c r="BS162">
        <f>$C162*BS161</f>
        <v/>
      </c>
      <c r="BT162">
        <f>$C162*BT161</f>
        <v/>
      </c>
      <c r="BU162">
        <f>$C162*BU161</f>
        <v/>
      </c>
      <c r="BV162">
        <f>$C162*BV161</f>
        <v/>
      </c>
      <c r="BW162">
        <f>$C162*BW161</f>
        <v/>
      </c>
      <c r="BX162">
        <f>$C162*BX161</f>
        <v/>
      </c>
      <c r="BY162">
        <f>$C162*BY161</f>
        <v/>
      </c>
      <c r="BZ162">
        <f>$C162*BZ161</f>
        <v/>
      </c>
      <c r="CA162">
        <f>$C162*CA161</f>
        <v/>
      </c>
      <c r="CB162">
        <f>$C162*CB161</f>
        <v/>
      </c>
      <c r="CC162">
        <f>$C162*CC161</f>
        <v/>
      </c>
      <c r="CD162">
        <f>$C162*CD161</f>
        <v/>
      </c>
      <c r="CE162">
        <f>$C162*CE161</f>
        <v/>
      </c>
      <c r="CF162">
        <f>$C162*CF161</f>
        <v/>
      </c>
      <c r="CG162">
        <f>$C162*CG161</f>
        <v/>
      </c>
      <c r="CH162">
        <f>$C162*CH161</f>
        <v/>
      </c>
      <c r="CI162">
        <f>$C162*CI161</f>
        <v/>
      </c>
      <c r="CJ162">
        <f>$C162*CJ161</f>
        <v/>
      </c>
      <c r="CK162">
        <f>$C162*CK161</f>
        <v/>
      </c>
      <c r="CL162">
        <f>$C162*CL161</f>
        <v/>
      </c>
      <c r="CM162">
        <f>$C162*CM161</f>
        <v/>
      </c>
      <c r="CN162">
        <f>$C162*CN161</f>
        <v/>
      </c>
      <c r="CO162">
        <f>$C162*CO161</f>
        <v/>
      </c>
      <c r="CP162">
        <f>$C162*CP161</f>
        <v/>
      </c>
      <c r="CQ162">
        <f>$C162*CQ161</f>
        <v/>
      </c>
      <c r="CR162">
        <f>$C162*CR161</f>
        <v/>
      </c>
      <c r="CS162">
        <f>$C162*CS161</f>
        <v/>
      </c>
      <c r="CT162">
        <f>$C162*CT161</f>
        <v/>
      </c>
      <c r="CU162">
        <f>$C162*CU161</f>
        <v/>
      </c>
      <c r="CV162">
        <f>$C162*CV161</f>
        <v/>
      </c>
      <c r="CW162">
        <f>$C162*CW161</f>
        <v/>
      </c>
      <c r="CX162">
        <f>$C162*CX161</f>
        <v/>
      </c>
      <c r="CY162">
        <f>$C162*CY161</f>
        <v/>
      </c>
      <c r="CZ162">
        <f>$C162*CZ161</f>
        <v/>
      </c>
      <c r="DA162">
        <f>$C162*DA161</f>
        <v/>
      </c>
      <c r="DB162">
        <f>$C162*DB161</f>
        <v/>
      </c>
      <c r="DC162">
        <f>$C162*DC161</f>
        <v/>
      </c>
    </row>
    <row r="163">
      <c r="B163" t="inlineStr">
        <is>
          <t>VSP-567</t>
        </is>
      </c>
      <c r="C163" t="inlineStr">
        <is>
          <t>No. of batches</t>
        </is>
      </c>
      <c r="D163">
        <f>IFERROR(INDEX(PP_Grid[#Data],$DD163,2),0)</f>
        <v/>
      </c>
      <c r="E163">
        <f>IFERROR(INDEX(PP_Grid[#Data],$DD163,3),0)</f>
        <v/>
      </c>
      <c r="F163">
        <f>IFERROR(INDEX(PP_Grid[#Data],$DD163,4),0)</f>
        <v/>
      </c>
      <c r="G163">
        <f>IFERROR(INDEX(PP_Grid[#Data],$DD163,5),0)</f>
        <v/>
      </c>
      <c r="H163">
        <f>IFERROR(INDEX(PP_Grid[#Data],$DD163,6),0)</f>
        <v/>
      </c>
      <c r="I163">
        <f>IFERROR(INDEX(PP_Grid[#Data],$DD163,7),0)</f>
        <v/>
      </c>
      <c r="J163">
        <f>IFERROR(INDEX(PP_Grid[#Data],$DD163,8),0)</f>
        <v/>
      </c>
      <c r="K163">
        <f>IFERROR(INDEX(PP_Grid[#Data],$DD163,9),0)</f>
        <v/>
      </c>
      <c r="L163">
        <f>IFERROR(INDEX(PP_Grid[#Data],$DD163,10),0)</f>
        <v/>
      </c>
      <c r="M163">
        <f>IFERROR(INDEX(PP_Grid[#Data],$DD163,11),0)</f>
        <v/>
      </c>
      <c r="N163">
        <f>IFERROR(INDEX(PP_Grid[#Data],$DD163,12),0)</f>
        <v/>
      </c>
      <c r="O163">
        <f>IFERROR(INDEX(PP_Grid[#Data],$DD163,13),0)</f>
        <v/>
      </c>
      <c r="P163">
        <f>IFERROR(INDEX(PP_Grid[#Data],$DD163,14),0)</f>
        <v/>
      </c>
      <c r="Q163">
        <f>IFERROR(INDEX(PP_Grid[#Data],$DD163,15),0)</f>
        <v/>
      </c>
      <c r="R163">
        <f>IFERROR(INDEX(PP_Grid[#Data],$DD163,16),0)</f>
        <v/>
      </c>
      <c r="S163">
        <f>IFERROR(INDEX(PP_Grid[#Data],$DD163,17),0)</f>
        <v/>
      </c>
      <c r="T163">
        <f>IFERROR(INDEX(PP_Grid[#Data],$DD163,18),0)</f>
        <v/>
      </c>
      <c r="U163">
        <f>IFERROR(INDEX(PP_Grid[#Data],$DD163,19),0)</f>
        <v/>
      </c>
      <c r="V163">
        <f>IFERROR(INDEX(PP_Grid[#Data],$DD163,20),0)</f>
        <v/>
      </c>
      <c r="W163">
        <f>IFERROR(INDEX(PP_Grid[#Data],$DD163,21),0)</f>
        <v/>
      </c>
      <c r="X163">
        <f>IFERROR(INDEX(PP_Grid[#Data],$DD163,22),0)</f>
        <v/>
      </c>
      <c r="Y163">
        <f>IFERROR(INDEX(PP_Grid[#Data],$DD163,23),0)</f>
        <v/>
      </c>
      <c r="Z163">
        <f>IFERROR(INDEX(PP_Grid[#Data],$DD163,24),0)</f>
        <v/>
      </c>
      <c r="AA163">
        <f>IFERROR(INDEX(PP_Grid[#Data],$DD163,25),0)</f>
        <v/>
      </c>
      <c r="AB163">
        <f>IFERROR(INDEX(PP_Grid[#Data],$DD163,26),0)</f>
        <v/>
      </c>
      <c r="AC163">
        <f>IFERROR(INDEX(PP_Grid[#Data],$DD163,27),0)</f>
        <v/>
      </c>
      <c r="AD163">
        <f>IFERROR(INDEX(PP_Grid[#Data],$DD163,28),0)</f>
        <v/>
      </c>
      <c r="AE163">
        <f>IFERROR(INDEX(PP_Grid[#Data],$DD163,29),0)</f>
        <v/>
      </c>
      <c r="AF163">
        <f>IFERROR(INDEX(PP_Grid[#Data],$DD163,30),0)</f>
        <v/>
      </c>
      <c r="AG163">
        <f>IFERROR(INDEX(PP_Grid[#Data],$DD163,31),0)</f>
        <v/>
      </c>
      <c r="AH163">
        <f>IFERROR(INDEX(PP_Grid[#Data],$DD163,32),0)</f>
        <v/>
      </c>
      <c r="AI163">
        <f>IFERROR(INDEX(PP_Grid[#Data],$DD163,33),0)</f>
        <v/>
      </c>
      <c r="AJ163">
        <f>IFERROR(INDEX(PP_Grid[#Data],$DD163,34),0)</f>
        <v/>
      </c>
      <c r="AK163">
        <f>IFERROR(INDEX(PP_Grid[#Data],$DD163,35),0)</f>
        <v/>
      </c>
      <c r="AL163">
        <f>IFERROR(INDEX(PP_Grid[#Data],$DD163,36),0)</f>
        <v/>
      </c>
      <c r="AM163">
        <f>IFERROR(INDEX(PP_Grid[#Data],$DD163,37),0)</f>
        <v/>
      </c>
      <c r="AN163">
        <f>IFERROR(INDEX(PP_Grid[#Data],$DD163,38),0)</f>
        <v/>
      </c>
      <c r="AO163">
        <f>IFERROR(INDEX(PP_Grid[#Data],$DD163,39),0)</f>
        <v/>
      </c>
      <c r="AP163">
        <f>IFERROR(INDEX(PP_Grid[#Data],$DD163,40),0)</f>
        <v/>
      </c>
      <c r="AQ163">
        <f>IFERROR(INDEX(PP_Grid[#Data],$DD163,41),0)</f>
        <v/>
      </c>
      <c r="AR163">
        <f>IFERROR(INDEX(PP_Grid[#Data],$DD163,42),0)</f>
        <v/>
      </c>
      <c r="AS163">
        <f>IFERROR(INDEX(PP_Grid[#Data],$DD163,43),0)</f>
        <v/>
      </c>
      <c r="AT163">
        <f>IFERROR(INDEX(PP_Grid[#Data],$DD163,44),0)</f>
        <v/>
      </c>
      <c r="AU163">
        <f>IFERROR(INDEX(PP_Grid[#Data],$DD163,45),0)</f>
        <v/>
      </c>
      <c r="AV163">
        <f>IFERROR(INDEX(PP_Grid[#Data],$DD163,46),0)</f>
        <v/>
      </c>
      <c r="AW163">
        <f>IFERROR(INDEX(PP_Grid[#Data],$DD163,47),0)</f>
        <v/>
      </c>
      <c r="AX163">
        <f>IFERROR(INDEX(PP_Grid[#Data],$DD163,48),0)</f>
        <v/>
      </c>
      <c r="AY163">
        <f>IFERROR(INDEX(PP_Grid[#Data],$DD163,49),0)</f>
        <v/>
      </c>
      <c r="AZ163">
        <f>IFERROR(INDEX(PP_Grid[#Data],$DD163,50),0)</f>
        <v/>
      </c>
      <c r="BA163">
        <f>IFERROR(INDEX(PP_Grid[#Data],$DD163,51),0)</f>
        <v/>
      </c>
      <c r="BB163">
        <f>IFERROR(INDEX(PP_Grid[#Data],$DD163,52),0)</f>
        <v/>
      </c>
      <c r="BC163">
        <f>IFERROR(INDEX(PP_Grid[#Data],$DD163,53),0)</f>
        <v/>
      </c>
      <c r="BD163">
        <f>IFERROR(INDEX(PP_Grid[#Data],$DD163,54),0)</f>
        <v/>
      </c>
      <c r="BE163">
        <f>IFERROR(INDEX(PP_Grid[#Data],$DD163,55),0)</f>
        <v/>
      </c>
      <c r="BF163">
        <f>IFERROR(INDEX(PP_Grid[#Data],$DD163,56),0)</f>
        <v/>
      </c>
      <c r="BG163">
        <f>IFERROR(INDEX(PP_Grid[#Data],$DD163,57),0)</f>
        <v/>
      </c>
      <c r="BH163">
        <f>IFERROR(INDEX(PP_Grid[#Data],$DD163,58),0)</f>
        <v/>
      </c>
      <c r="BI163">
        <f>IFERROR(INDEX(PP_Grid[#Data],$DD163,59),0)</f>
        <v/>
      </c>
      <c r="BJ163">
        <f>IFERROR(INDEX(PP_Grid[#Data],$DD163,60),0)</f>
        <v/>
      </c>
      <c r="BK163">
        <f>IFERROR(INDEX(PP_Grid[#Data],$DD163,61),0)</f>
        <v/>
      </c>
      <c r="BL163">
        <f>IFERROR(INDEX(PP_Grid[#Data],$DD163,62),0)</f>
        <v/>
      </c>
      <c r="BM163">
        <f>IFERROR(INDEX(PP_Grid[#Data],$DD163,63),0)</f>
        <v/>
      </c>
      <c r="BN163">
        <f>IFERROR(INDEX(PP_Grid[#Data],$DD163,64),0)</f>
        <v/>
      </c>
      <c r="BO163">
        <f>IFERROR(INDEX(PP_Grid[#Data],$DD163,65),0)</f>
        <v/>
      </c>
      <c r="BP163">
        <f>IFERROR(INDEX(PP_Grid[#Data],$DD163,66),0)</f>
        <v/>
      </c>
      <c r="BQ163">
        <f>IFERROR(INDEX(PP_Grid[#Data],$DD163,67),0)</f>
        <v/>
      </c>
      <c r="BR163">
        <f>IFERROR(INDEX(PP_Grid[#Data],$DD163,68),0)</f>
        <v/>
      </c>
      <c r="BS163">
        <f>IFERROR(INDEX(PP_Grid[#Data],$DD163,69),0)</f>
        <v/>
      </c>
      <c r="BT163">
        <f>IFERROR(INDEX(PP_Grid[#Data],$DD163,70),0)</f>
        <v/>
      </c>
      <c r="BU163">
        <f>IFERROR(INDEX(PP_Grid[#Data],$DD163,71),0)</f>
        <v/>
      </c>
      <c r="BV163">
        <f>IFERROR(INDEX(PP_Grid[#Data],$DD163,72),0)</f>
        <v/>
      </c>
      <c r="BW163">
        <f>IFERROR(INDEX(PP_Grid[#Data],$DD163,73),0)</f>
        <v/>
      </c>
      <c r="BX163">
        <f>IFERROR(INDEX(PP_Grid[#Data],$DD163,74),0)</f>
        <v/>
      </c>
      <c r="BY163">
        <f>IFERROR(INDEX(PP_Grid[#Data],$DD163,75),0)</f>
        <v/>
      </c>
      <c r="BZ163">
        <f>IFERROR(INDEX(PP_Grid[#Data],$DD163,76),0)</f>
        <v/>
      </c>
      <c r="CA163">
        <f>IFERROR(INDEX(PP_Grid[#Data],$DD163,77),0)</f>
        <v/>
      </c>
      <c r="CB163">
        <f>IFERROR(INDEX(PP_Grid[#Data],$DD163,78),0)</f>
        <v/>
      </c>
      <c r="CC163">
        <f>IFERROR(INDEX(PP_Grid[#Data],$DD163,79),0)</f>
        <v/>
      </c>
      <c r="CD163">
        <f>IFERROR(INDEX(PP_Grid[#Data],$DD163,80),0)</f>
        <v/>
      </c>
      <c r="CE163">
        <f>IFERROR(INDEX(PP_Grid[#Data],$DD163,81),0)</f>
        <v/>
      </c>
      <c r="CF163">
        <f>IFERROR(INDEX(PP_Grid[#Data],$DD163,82),0)</f>
        <v/>
      </c>
      <c r="CG163">
        <f>IFERROR(INDEX(PP_Grid[#Data],$DD163,83),0)</f>
        <v/>
      </c>
      <c r="CH163">
        <f>IFERROR(INDEX(PP_Grid[#Data],$DD163,84),0)</f>
        <v/>
      </c>
      <c r="CI163">
        <f>IFERROR(INDEX(PP_Grid[#Data],$DD163,85),0)</f>
        <v/>
      </c>
      <c r="CJ163">
        <f>IFERROR(INDEX(PP_Grid[#Data],$DD163,86),0)</f>
        <v/>
      </c>
      <c r="CK163">
        <f>IFERROR(INDEX(PP_Grid[#Data],$DD163,87),0)</f>
        <v/>
      </c>
      <c r="CL163">
        <f>IFERROR(INDEX(PP_Grid[#Data],$DD163,88),0)</f>
        <v/>
      </c>
      <c r="CM163">
        <f>IFERROR(INDEX(PP_Grid[#Data],$DD163,89),0)</f>
        <v/>
      </c>
      <c r="CN163">
        <f>IFERROR(INDEX(PP_Grid[#Data],$DD163,90),0)</f>
        <v/>
      </c>
      <c r="CO163">
        <f>IFERROR(INDEX(PP_Grid[#Data],$DD163,91),0)</f>
        <v/>
      </c>
      <c r="CP163">
        <f>IFERROR(INDEX(PP_Grid[#Data],$DD163,92),0)</f>
        <v/>
      </c>
      <c r="CQ163">
        <f>IFERROR(INDEX(PP_Grid[#Data],$DD163,93),0)</f>
        <v/>
      </c>
      <c r="CR163">
        <f>IFERROR(INDEX(PP_Grid[#Data],$DD163,94),0)</f>
        <v/>
      </c>
      <c r="CS163">
        <f>IFERROR(INDEX(PP_Grid[#Data],$DD163,95),0)</f>
        <v/>
      </c>
      <c r="CT163">
        <f>IFERROR(INDEX(PP_Grid[#Data],$DD163,96),0)</f>
        <v/>
      </c>
      <c r="CU163">
        <f>IFERROR(INDEX(PP_Grid[#Data],$DD163,97),0)</f>
        <v/>
      </c>
      <c r="CV163">
        <f>IFERROR(INDEX(PP_Grid[#Data],$DD163,98),0)</f>
        <v/>
      </c>
      <c r="CW163">
        <f>IFERROR(INDEX(PP_Grid[#Data],$DD163,99),0)</f>
        <v/>
      </c>
      <c r="CX163">
        <f>IFERROR(INDEX(PP_Grid[#Data],$DD163,100),0)</f>
        <v/>
      </c>
      <c r="CY163">
        <f>IFERROR(INDEX(PP_Grid[#Data],$DD163,101),0)</f>
        <v/>
      </c>
      <c r="CZ163">
        <f>IFERROR(INDEX(PP_Grid[#Data],$DD163,102),0)</f>
        <v/>
      </c>
      <c r="DA163">
        <f>IFERROR(INDEX(PP_Grid[#Data],$DD163,103),0)</f>
        <v/>
      </c>
      <c r="DB163">
        <f>IFERROR(INDEX(PP_Grid[#Data],$DD163,104),0)</f>
        <v/>
      </c>
      <c r="DC163">
        <f>IFERROR(INDEX(PP_Grid[#Data],$DD163,105),0)</f>
        <v/>
      </c>
      <c r="DD163" s="7">
        <f>IFERROR(MATCH($B163,PP_Grid[Intermediate],0),99999)</f>
        <v/>
      </c>
    </row>
    <row r="164">
      <c r="B164" t="inlineStr">
        <is>
          <t>使用量(kg)</t>
        </is>
      </c>
      <c r="C164">
        <f>SUMIFS(M_BOM[RM_Qty_Per_Batch],M_BOM[Intermediate],$B163,M_BOM[Part Name],$A44)</f>
        <v/>
      </c>
      <c r="D164">
        <f>$C164*D163</f>
        <v/>
      </c>
      <c r="E164">
        <f>$C164*E163</f>
        <v/>
      </c>
      <c r="F164">
        <f>$C164*F163</f>
        <v/>
      </c>
      <c r="G164">
        <f>$C164*G163</f>
        <v/>
      </c>
      <c r="H164">
        <f>$C164*H163</f>
        <v/>
      </c>
      <c r="I164">
        <f>$C164*I163</f>
        <v/>
      </c>
      <c r="J164">
        <f>$C164*J163</f>
        <v/>
      </c>
      <c r="K164">
        <f>$C164*K163</f>
        <v/>
      </c>
      <c r="L164">
        <f>$C164*L163</f>
        <v/>
      </c>
      <c r="M164">
        <f>$C164*M163</f>
        <v/>
      </c>
      <c r="N164">
        <f>$C164*N163</f>
        <v/>
      </c>
      <c r="O164">
        <f>$C164*O163</f>
        <v/>
      </c>
      <c r="P164">
        <f>$C164*P163</f>
        <v/>
      </c>
      <c r="Q164">
        <f>$C164*Q163</f>
        <v/>
      </c>
      <c r="R164">
        <f>$C164*R163</f>
        <v/>
      </c>
      <c r="S164">
        <f>$C164*S163</f>
        <v/>
      </c>
      <c r="T164">
        <f>$C164*T163</f>
        <v/>
      </c>
      <c r="U164">
        <f>$C164*U163</f>
        <v/>
      </c>
      <c r="V164">
        <f>$C164*V163</f>
        <v/>
      </c>
      <c r="W164">
        <f>$C164*W163</f>
        <v/>
      </c>
      <c r="X164">
        <f>$C164*X163</f>
        <v/>
      </c>
      <c r="Y164">
        <f>$C164*Y163</f>
        <v/>
      </c>
      <c r="Z164">
        <f>$C164*Z163</f>
        <v/>
      </c>
      <c r="AA164">
        <f>$C164*AA163</f>
        <v/>
      </c>
      <c r="AB164">
        <f>$C164*AB163</f>
        <v/>
      </c>
      <c r="AC164">
        <f>$C164*AC163</f>
        <v/>
      </c>
      <c r="AD164">
        <f>$C164*AD163</f>
        <v/>
      </c>
      <c r="AE164">
        <f>$C164*AE163</f>
        <v/>
      </c>
      <c r="AF164">
        <f>$C164*AF163</f>
        <v/>
      </c>
      <c r="AG164">
        <f>$C164*AG163</f>
        <v/>
      </c>
      <c r="AH164">
        <f>$C164*AH163</f>
        <v/>
      </c>
      <c r="AI164">
        <f>$C164*AI163</f>
        <v/>
      </c>
      <c r="AJ164">
        <f>$C164*AJ163</f>
        <v/>
      </c>
      <c r="AK164">
        <f>$C164*AK163</f>
        <v/>
      </c>
      <c r="AL164">
        <f>$C164*AL163</f>
        <v/>
      </c>
      <c r="AM164">
        <f>$C164*AM163</f>
        <v/>
      </c>
      <c r="AN164">
        <f>$C164*AN163</f>
        <v/>
      </c>
      <c r="AO164">
        <f>$C164*AO163</f>
        <v/>
      </c>
      <c r="AP164">
        <f>$C164*AP163</f>
        <v/>
      </c>
      <c r="AQ164">
        <f>$C164*AQ163</f>
        <v/>
      </c>
      <c r="AR164">
        <f>$C164*AR163</f>
        <v/>
      </c>
      <c r="AS164">
        <f>$C164*AS163</f>
        <v/>
      </c>
      <c r="AT164">
        <f>$C164*AT163</f>
        <v/>
      </c>
      <c r="AU164">
        <f>$C164*AU163</f>
        <v/>
      </c>
      <c r="AV164">
        <f>$C164*AV163</f>
        <v/>
      </c>
      <c r="AW164">
        <f>$C164*AW163</f>
        <v/>
      </c>
      <c r="AX164">
        <f>$C164*AX163</f>
        <v/>
      </c>
      <c r="AY164">
        <f>$C164*AY163</f>
        <v/>
      </c>
      <c r="AZ164">
        <f>$C164*AZ163</f>
        <v/>
      </c>
      <c r="BA164">
        <f>$C164*BA163</f>
        <v/>
      </c>
      <c r="BB164">
        <f>$C164*BB163</f>
        <v/>
      </c>
      <c r="BC164">
        <f>$C164*BC163</f>
        <v/>
      </c>
      <c r="BD164">
        <f>$C164*BD163</f>
        <v/>
      </c>
      <c r="BE164">
        <f>$C164*BE163</f>
        <v/>
      </c>
      <c r="BF164">
        <f>$C164*BF163</f>
        <v/>
      </c>
      <c r="BG164">
        <f>$C164*BG163</f>
        <v/>
      </c>
      <c r="BH164">
        <f>$C164*BH163</f>
        <v/>
      </c>
      <c r="BI164">
        <f>$C164*BI163</f>
        <v/>
      </c>
      <c r="BJ164">
        <f>$C164*BJ163</f>
        <v/>
      </c>
      <c r="BK164">
        <f>$C164*BK163</f>
        <v/>
      </c>
      <c r="BL164">
        <f>$C164*BL163</f>
        <v/>
      </c>
      <c r="BM164">
        <f>$C164*BM163</f>
        <v/>
      </c>
      <c r="BN164">
        <f>$C164*BN163</f>
        <v/>
      </c>
      <c r="BO164">
        <f>$C164*BO163</f>
        <v/>
      </c>
      <c r="BP164">
        <f>$C164*BP163</f>
        <v/>
      </c>
      <c r="BQ164">
        <f>$C164*BQ163</f>
        <v/>
      </c>
      <c r="BR164">
        <f>$C164*BR163</f>
        <v/>
      </c>
      <c r="BS164">
        <f>$C164*BS163</f>
        <v/>
      </c>
      <c r="BT164">
        <f>$C164*BT163</f>
        <v/>
      </c>
      <c r="BU164">
        <f>$C164*BU163</f>
        <v/>
      </c>
      <c r="BV164">
        <f>$C164*BV163</f>
        <v/>
      </c>
      <c r="BW164">
        <f>$C164*BW163</f>
        <v/>
      </c>
      <c r="BX164">
        <f>$C164*BX163</f>
        <v/>
      </c>
      <c r="BY164">
        <f>$C164*BY163</f>
        <v/>
      </c>
      <c r="BZ164">
        <f>$C164*BZ163</f>
        <v/>
      </c>
      <c r="CA164">
        <f>$C164*CA163</f>
        <v/>
      </c>
      <c r="CB164">
        <f>$C164*CB163</f>
        <v/>
      </c>
      <c r="CC164">
        <f>$C164*CC163</f>
        <v/>
      </c>
      <c r="CD164">
        <f>$C164*CD163</f>
        <v/>
      </c>
      <c r="CE164">
        <f>$C164*CE163</f>
        <v/>
      </c>
      <c r="CF164">
        <f>$C164*CF163</f>
        <v/>
      </c>
      <c r="CG164">
        <f>$C164*CG163</f>
        <v/>
      </c>
      <c r="CH164">
        <f>$C164*CH163</f>
        <v/>
      </c>
      <c r="CI164">
        <f>$C164*CI163</f>
        <v/>
      </c>
      <c r="CJ164">
        <f>$C164*CJ163</f>
        <v/>
      </c>
      <c r="CK164">
        <f>$C164*CK163</f>
        <v/>
      </c>
      <c r="CL164">
        <f>$C164*CL163</f>
        <v/>
      </c>
      <c r="CM164">
        <f>$C164*CM163</f>
        <v/>
      </c>
      <c r="CN164">
        <f>$C164*CN163</f>
        <v/>
      </c>
      <c r="CO164">
        <f>$C164*CO163</f>
        <v/>
      </c>
      <c r="CP164">
        <f>$C164*CP163</f>
        <v/>
      </c>
      <c r="CQ164">
        <f>$C164*CQ163</f>
        <v/>
      </c>
      <c r="CR164">
        <f>$C164*CR163</f>
        <v/>
      </c>
      <c r="CS164">
        <f>$C164*CS163</f>
        <v/>
      </c>
      <c r="CT164">
        <f>$C164*CT163</f>
        <v/>
      </c>
      <c r="CU164">
        <f>$C164*CU163</f>
        <v/>
      </c>
      <c r="CV164">
        <f>$C164*CV163</f>
        <v/>
      </c>
      <c r="CW164">
        <f>$C164*CW163</f>
        <v/>
      </c>
      <c r="CX164">
        <f>$C164*CX163</f>
        <v/>
      </c>
      <c r="CY164">
        <f>$C164*CY163</f>
        <v/>
      </c>
      <c r="CZ164">
        <f>$C164*CZ163</f>
        <v/>
      </c>
      <c r="DA164">
        <f>$C164*DA163</f>
        <v/>
      </c>
      <c r="DB164">
        <f>$C164*DB163</f>
        <v/>
      </c>
      <c r="DC164">
        <f>$C164*DC163</f>
        <v/>
      </c>
    </row>
    <row r="165">
      <c r="B165" t="inlineStr">
        <is>
          <t>VSP-600</t>
        </is>
      </c>
      <c r="C165" t="inlineStr">
        <is>
          <t>No. of batches</t>
        </is>
      </c>
      <c r="D165">
        <f>IFERROR(INDEX(PP_Grid[#Data],$DD165,2),0)</f>
        <v/>
      </c>
      <c r="E165">
        <f>IFERROR(INDEX(PP_Grid[#Data],$DD165,3),0)</f>
        <v/>
      </c>
      <c r="F165">
        <f>IFERROR(INDEX(PP_Grid[#Data],$DD165,4),0)</f>
        <v/>
      </c>
      <c r="G165">
        <f>IFERROR(INDEX(PP_Grid[#Data],$DD165,5),0)</f>
        <v/>
      </c>
      <c r="H165">
        <f>IFERROR(INDEX(PP_Grid[#Data],$DD165,6),0)</f>
        <v/>
      </c>
      <c r="I165">
        <f>IFERROR(INDEX(PP_Grid[#Data],$DD165,7),0)</f>
        <v/>
      </c>
      <c r="J165">
        <f>IFERROR(INDEX(PP_Grid[#Data],$DD165,8),0)</f>
        <v/>
      </c>
      <c r="K165">
        <f>IFERROR(INDEX(PP_Grid[#Data],$DD165,9),0)</f>
        <v/>
      </c>
      <c r="L165">
        <f>IFERROR(INDEX(PP_Grid[#Data],$DD165,10),0)</f>
        <v/>
      </c>
      <c r="M165">
        <f>IFERROR(INDEX(PP_Grid[#Data],$DD165,11),0)</f>
        <v/>
      </c>
      <c r="N165">
        <f>IFERROR(INDEX(PP_Grid[#Data],$DD165,12),0)</f>
        <v/>
      </c>
      <c r="O165">
        <f>IFERROR(INDEX(PP_Grid[#Data],$DD165,13),0)</f>
        <v/>
      </c>
      <c r="P165">
        <f>IFERROR(INDEX(PP_Grid[#Data],$DD165,14),0)</f>
        <v/>
      </c>
      <c r="Q165">
        <f>IFERROR(INDEX(PP_Grid[#Data],$DD165,15),0)</f>
        <v/>
      </c>
      <c r="R165">
        <f>IFERROR(INDEX(PP_Grid[#Data],$DD165,16),0)</f>
        <v/>
      </c>
      <c r="S165">
        <f>IFERROR(INDEX(PP_Grid[#Data],$DD165,17),0)</f>
        <v/>
      </c>
      <c r="T165">
        <f>IFERROR(INDEX(PP_Grid[#Data],$DD165,18),0)</f>
        <v/>
      </c>
      <c r="U165">
        <f>IFERROR(INDEX(PP_Grid[#Data],$DD165,19),0)</f>
        <v/>
      </c>
      <c r="V165">
        <f>IFERROR(INDEX(PP_Grid[#Data],$DD165,20),0)</f>
        <v/>
      </c>
      <c r="W165">
        <f>IFERROR(INDEX(PP_Grid[#Data],$DD165,21),0)</f>
        <v/>
      </c>
      <c r="X165">
        <f>IFERROR(INDEX(PP_Grid[#Data],$DD165,22),0)</f>
        <v/>
      </c>
      <c r="Y165">
        <f>IFERROR(INDEX(PP_Grid[#Data],$DD165,23),0)</f>
        <v/>
      </c>
      <c r="Z165">
        <f>IFERROR(INDEX(PP_Grid[#Data],$DD165,24),0)</f>
        <v/>
      </c>
      <c r="AA165">
        <f>IFERROR(INDEX(PP_Grid[#Data],$DD165,25),0)</f>
        <v/>
      </c>
      <c r="AB165">
        <f>IFERROR(INDEX(PP_Grid[#Data],$DD165,26),0)</f>
        <v/>
      </c>
      <c r="AC165">
        <f>IFERROR(INDEX(PP_Grid[#Data],$DD165,27),0)</f>
        <v/>
      </c>
      <c r="AD165">
        <f>IFERROR(INDEX(PP_Grid[#Data],$DD165,28),0)</f>
        <v/>
      </c>
      <c r="AE165">
        <f>IFERROR(INDEX(PP_Grid[#Data],$DD165,29),0)</f>
        <v/>
      </c>
      <c r="AF165">
        <f>IFERROR(INDEX(PP_Grid[#Data],$DD165,30),0)</f>
        <v/>
      </c>
      <c r="AG165">
        <f>IFERROR(INDEX(PP_Grid[#Data],$DD165,31),0)</f>
        <v/>
      </c>
      <c r="AH165">
        <f>IFERROR(INDEX(PP_Grid[#Data],$DD165,32),0)</f>
        <v/>
      </c>
      <c r="AI165">
        <f>IFERROR(INDEX(PP_Grid[#Data],$DD165,33),0)</f>
        <v/>
      </c>
      <c r="AJ165">
        <f>IFERROR(INDEX(PP_Grid[#Data],$DD165,34),0)</f>
        <v/>
      </c>
      <c r="AK165">
        <f>IFERROR(INDEX(PP_Grid[#Data],$DD165,35),0)</f>
        <v/>
      </c>
      <c r="AL165">
        <f>IFERROR(INDEX(PP_Grid[#Data],$DD165,36),0)</f>
        <v/>
      </c>
      <c r="AM165">
        <f>IFERROR(INDEX(PP_Grid[#Data],$DD165,37),0)</f>
        <v/>
      </c>
      <c r="AN165">
        <f>IFERROR(INDEX(PP_Grid[#Data],$DD165,38),0)</f>
        <v/>
      </c>
      <c r="AO165">
        <f>IFERROR(INDEX(PP_Grid[#Data],$DD165,39),0)</f>
        <v/>
      </c>
      <c r="AP165">
        <f>IFERROR(INDEX(PP_Grid[#Data],$DD165,40),0)</f>
        <v/>
      </c>
      <c r="AQ165">
        <f>IFERROR(INDEX(PP_Grid[#Data],$DD165,41),0)</f>
        <v/>
      </c>
      <c r="AR165">
        <f>IFERROR(INDEX(PP_Grid[#Data],$DD165,42),0)</f>
        <v/>
      </c>
      <c r="AS165">
        <f>IFERROR(INDEX(PP_Grid[#Data],$DD165,43),0)</f>
        <v/>
      </c>
      <c r="AT165">
        <f>IFERROR(INDEX(PP_Grid[#Data],$DD165,44),0)</f>
        <v/>
      </c>
      <c r="AU165">
        <f>IFERROR(INDEX(PP_Grid[#Data],$DD165,45),0)</f>
        <v/>
      </c>
      <c r="AV165">
        <f>IFERROR(INDEX(PP_Grid[#Data],$DD165,46),0)</f>
        <v/>
      </c>
      <c r="AW165">
        <f>IFERROR(INDEX(PP_Grid[#Data],$DD165,47),0)</f>
        <v/>
      </c>
      <c r="AX165">
        <f>IFERROR(INDEX(PP_Grid[#Data],$DD165,48),0)</f>
        <v/>
      </c>
      <c r="AY165">
        <f>IFERROR(INDEX(PP_Grid[#Data],$DD165,49),0)</f>
        <v/>
      </c>
      <c r="AZ165">
        <f>IFERROR(INDEX(PP_Grid[#Data],$DD165,50),0)</f>
        <v/>
      </c>
      <c r="BA165">
        <f>IFERROR(INDEX(PP_Grid[#Data],$DD165,51),0)</f>
        <v/>
      </c>
      <c r="BB165">
        <f>IFERROR(INDEX(PP_Grid[#Data],$DD165,52),0)</f>
        <v/>
      </c>
      <c r="BC165">
        <f>IFERROR(INDEX(PP_Grid[#Data],$DD165,53),0)</f>
        <v/>
      </c>
      <c r="BD165">
        <f>IFERROR(INDEX(PP_Grid[#Data],$DD165,54),0)</f>
        <v/>
      </c>
      <c r="BE165">
        <f>IFERROR(INDEX(PP_Grid[#Data],$DD165,55),0)</f>
        <v/>
      </c>
      <c r="BF165">
        <f>IFERROR(INDEX(PP_Grid[#Data],$DD165,56),0)</f>
        <v/>
      </c>
      <c r="BG165">
        <f>IFERROR(INDEX(PP_Grid[#Data],$DD165,57),0)</f>
        <v/>
      </c>
      <c r="BH165">
        <f>IFERROR(INDEX(PP_Grid[#Data],$DD165,58),0)</f>
        <v/>
      </c>
      <c r="BI165">
        <f>IFERROR(INDEX(PP_Grid[#Data],$DD165,59),0)</f>
        <v/>
      </c>
      <c r="BJ165">
        <f>IFERROR(INDEX(PP_Grid[#Data],$DD165,60),0)</f>
        <v/>
      </c>
      <c r="BK165">
        <f>IFERROR(INDEX(PP_Grid[#Data],$DD165,61),0)</f>
        <v/>
      </c>
      <c r="BL165">
        <f>IFERROR(INDEX(PP_Grid[#Data],$DD165,62),0)</f>
        <v/>
      </c>
      <c r="BM165">
        <f>IFERROR(INDEX(PP_Grid[#Data],$DD165,63),0)</f>
        <v/>
      </c>
      <c r="BN165">
        <f>IFERROR(INDEX(PP_Grid[#Data],$DD165,64),0)</f>
        <v/>
      </c>
      <c r="BO165">
        <f>IFERROR(INDEX(PP_Grid[#Data],$DD165,65),0)</f>
        <v/>
      </c>
      <c r="BP165">
        <f>IFERROR(INDEX(PP_Grid[#Data],$DD165,66),0)</f>
        <v/>
      </c>
      <c r="BQ165">
        <f>IFERROR(INDEX(PP_Grid[#Data],$DD165,67),0)</f>
        <v/>
      </c>
      <c r="BR165">
        <f>IFERROR(INDEX(PP_Grid[#Data],$DD165,68),0)</f>
        <v/>
      </c>
      <c r="BS165">
        <f>IFERROR(INDEX(PP_Grid[#Data],$DD165,69),0)</f>
        <v/>
      </c>
      <c r="BT165">
        <f>IFERROR(INDEX(PP_Grid[#Data],$DD165,70),0)</f>
        <v/>
      </c>
      <c r="BU165">
        <f>IFERROR(INDEX(PP_Grid[#Data],$DD165,71),0)</f>
        <v/>
      </c>
      <c r="BV165">
        <f>IFERROR(INDEX(PP_Grid[#Data],$DD165,72),0)</f>
        <v/>
      </c>
      <c r="BW165">
        <f>IFERROR(INDEX(PP_Grid[#Data],$DD165,73),0)</f>
        <v/>
      </c>
      <c r="BX165">
        <f>IFERROR(INDEX(PP_Grid[#Data],$DD165,74),0)</f>
        <v/>
      </c>
      <c r="BY165">
        <f>IFERROR(INDEX(PP_Grid[#Data],$DD165,75),0)</f>
        <v/>
      </c>
      <c r="BZ165">
        <f>IFERROR(INDEX(PP_Grid[#Data],$DD165,76),0)</f>
        <v/>
      </c>
      <c r="CA165">
        <f>IFERROR(INDEX(PP_Grid[#Data],$DD165,77),0)</f>
        <v/>
      </c>
      <c r="CB165">
        <f>IFERROR(INDEX(PP_Grid[#Data],$DD165,78),0)</f>
        <v/>
      </c>
      <c r="CC165">
        <f>IFERROR(INDEX(PP_Grid[#Data],$DD165,79),0)</f>
        <v/>
      </c>
      <c r="CD165">
        <f>IFERROR(INDEX(PP_Grid[#Data],$DD165,80),0)</f>
        <v/>
      </c>
      <c r="CE165">
        <f>IFERROR(INDEX(PP_Grid[#Data],$DD165,81),0)</f>
        <v/>
      </c>
      <c r="CF165">
        <f>IFERROR(INDEX(PP_Grid[#Data],$DD165,82),0)</f>
        <v/>
      </c>
      <c r="CG165">
        <f>IFERROR(INDEX(PP_Grid[#Data],$DD165,83),0)</f>
        <v/>
      </c>
      <c r="CH165">
        <f>IFERROR(INDEX(PP_Grid[#Data],$DD165,84),0)</f>
        <v/>
      </c>
      <c r="CI165">
        <f>IFERROR(INDEX(PP_Grid[#Data],$DD165,85),0)</f>
        <v/>
      </c>
      <c r="CJ165">
        <f>IFERROR(INDEX(PP_Grid[#Data],$DD165,86),0)</f>
        <v/>
      </c>
      <c r="CK165">
        <f>IFERROR(INDEX(PP_Grid[#Data],$DD165,87),0)</f>
        <v/>
      </c>
      <c r="CL165">
        <f>IFERROR(INDEX(PP_Grid[#Data],$DD165,88),0)</f>
        <v/>
      </c>
      <c r="CM165">
        <f>IFERROR(INDEX(PP_Grid[#Data],$DD165,89),0)</f>
        <v/>
      </c>
      <c r="CN165">
        <f>IFERROR(INDEX(PP_Grid[#Data],$DD165,90),0)</f>
        <v/>
      </c>
      <c r="CO165">
        <f>IFERROR(INDEX(PP_Grid[#Data],$DD165,91),0)</f>
        <v/>
      </c>
      <c r="CP165">
        <f>IFERROR(INDEX(PP_Grid[#Data],$DD165,92),0)</f>
        <v/>
      </c>
      <c r="CQ165">
        <f>IFERROR(INDEX(PP_Grid[#Data],$DD165,93),0)</f>
        <v/>
      </c>
      <c r="CR165">
        <f>IFERROR(INDEX(PP_Grid[#Data],$DD165,94),0)</f>
        <v/>
      </c>
      <c r="CS165">
        <f>IFERROR(INDEX(PP_Grid[#Data],$DD165,95),0)</f>
        <v/>
      </c>
      <c r="CT165">
        <f>IFERROR(INDEX(PP_Grid[#Data],$DD165,96),0)</f>
        <v/>
      </c>
      <c r="CU165">
        <f>IFERROR(INDEX(PP_Grid[#Data],$DD165,97),0)</f>
        <v/>
      </c>
      <c r="CV165">
        <f>IFERROR(INDEX(PP_Grid[#Data],$DD165,98),0)</f>
        <v/>
      </c>
      <c r="CW165">
        <f>IFERROR(INDEX(PP_Grid[#Data],$DD165,99),0)</f>
        <v/>
      </c>
      <c r="CX165">
        <f>IFERROR(INDEX(PP_Grid[#Data],$DD165,100),0)</f>
        <v/>
      </c>
      <c r="CY165">
        <f>IFERROR(INDEX(PP_Grid[#Data],$DD165,101),0)</f>
        <v/>
      </c>
      <c r="CZ165">
        <f>IFERROR(INDEX(PP_Grid[#Data],$DD165,102),0)</f>
        <v/>
      </c>
      <c r="DA165">
        <f>IFERROR(INDEX(PP_Grid[#Data],$DD165,103),0)</f>
        <v/>
      </c>
      <c r="DB165">
        <f>IFERROR(INDEX(PP_Grid[#Data],$DD165,104),0)</f>
        <v/>
      </c>
      <c r="DC165">
        <f>IFERROR(INDEX(PP_Grid[#Data],$DD165,105),0)</f>
        <v/>
      </c>
      <c r="DD165" s="7">
        <f>IFERROR(MATCH($B165,PP_Grid[Intermediate],0),99999)</f>
        <v/>
      </c>
    </row>
    <row r="166">
      <c r="B166" t="inlineStr">
        <is>
          <t>使用量(kg)</t>
        </is>
      </c>
      <c r="C166">
        <f>SUMIFS(M_BOM[RM_Qty_Per_Batch],M_BOM[Intermediate],$B165,M_BOM[Part Name],$A44)</f>
        <v/>
      </c>
      <c r="D166">
        <f>$C166*D165</f>
        <v/>
      </c>
      <c r="E166">
        <f>$C166*E165</f>
        <v/>
      </c>
      <c r="F166">
        <f>$C166*F165</f>
        <v/>
      </c>
      <c r="G166">
        <f>$C166*G165</f>
        <v/>
      </c>
      <c r="H166">
        <f>$C166*H165</f>
        <v/>
      </c>
      <c r="I166">
        <f>$C166*I165</f>
        <v/>
      </c>
      <c r="J166">
        <f>$C166*J165</f>
        <v/>
      </c>
      <c r="K166">
        <f>$C166*K165</f>
        <v/>
      </c>
      <c r="L166">
        <f>$C166*L165</f>
        <v/>
      </c>
      <c r="M166">
        <f>$C166*M165</f>
        <v/>
      </c>
      <c r="N166">
        <f>$C166*N165</f>
        <v/>
      </c>
      <c r="O166">
        <f>$C166*O165</f>
        <v/>
      </c>
      <c r="P166">
        <f>$C166*P165</f>
        <v/>
      </c>
      <c r="Q166">
        <f>$C166*Q165</f>
        <v/>
      </c>
      <c r="R166">
        <f>$C166*R165</f>
        <v/>
      </c>
      <c r="S166">
        <f>$C166*S165</f>
        <v/>
      </c>
      <c r="T166">
        <f>$C166*T165</f>
        <v/>
      </c>
      <c r="U166">
        <f>$C166*U165</f>
        <v/>
      </c>
      <c r="V166">
        <f>$C166*V165</f>
        <v/>
      </c>
      <c r="W166">
        <f>$C166*W165</f>
        <v/>
      </c>
      <c r="X166">
        <f>$C166*X165</f>
        <v/>
      </c>
      <c r="Y166">
        <f>$C166*Y165</f>
        <v/>
      </c>
      <c r="Z166">
        <f>$C166*Z165</f>
        <v/>
      </c>
      <c r="AA166">
        <f>$C166*AA165</f>
        <v/>
      </c>
      <c r="AB166">
        <f>$C166*AB165</f>
        <v/>
      </c>
      <c r="AC166">
        <f>$C166*AC165</f>
        <v/>
      </c>
      <c r="AD166">
        <f>$C166*AD165</f>
        <v/>
      </c>
      <c r="AE166">
        <f>$C166*AE165</f>
        <v/>
      </c>
      <c r="AF166">
        <f>$C166*AF165</f>
        <v/>
      </c>
      <c r="AG166">
        <f>$C166*AG165</f>
        <v/>
      </c>
      <c r="AH166">
        <f>$C166*AH165</f>
        <v/>
      </c>
      <c r="AI166">
        <f>$C166*AI165</f>
        <v/>
      </c>
      <c r="AJ166">
        <f>$C166*AJ165</f>
        <v/>
      </c>
      <c r="AK166">
        <f>$C166*AK165</f>
        <v/>
      </c>
      <c r="AL166">
        <f>$C166*AL165</f>
        <v/>
      </c>
      <c r="AM166">
        <f>$C166*AM165</f>
        <v/>
      </c>
      <c r="AN166">
        <f>$C166*AN165</f>
        <v/>
      </c>
      <c r="AO166">
        <f>$C166*AO165</f>
        <v/>
      </c>
      <c r="AP166">
        <f>$C166*AP165</f>
        <v/>
      </c>
      <c r="AQ166">
        <f>$C166*AQ165</f>
        <v/>
      </c>
      <c r="AR166">
        <f>$C166*AR165</f>
        <v/>
      </c>
      <c r="AS166">
        <f>$C166*AS165</f>
        <v/>
      </c>
      <c r="AT166">
        <f>$C166*AT165</f>
        <v/>
      </c>
      <c r="AU166">
        <f>$C166*AU165</f>
        <v/>
      </c>
      <c r="AV166">
        <f>$C166*AV165</f>
        <v/>
      </c>
      <c r="AW166">
        <f>$C166*AW165</f>
        <v/>
      </c>
      <c r="AX166">
        <f>$C166*AX165</f>
        <v/>
      </c>
      <c r="AY166">
        <f>$C166*AY165</f>
        <v/>
      </c>
      <c r="AZ166">
        <f>$C166*AZ165</f>
        <v/>
      </c>
      <c r="BA166">
        <f>$C166*BA165</f>
        <v/>
      </c>
      <c r="BB166">
        <f>$C166*BB165</f>
        <v/>
      </c>
      <c r="BC166">
        <f>$C166*BC165</f>
        <v/>
      </c>
      <c r="BD166">
        <f>$C166*BD165</f>
        <v/>
      </c>
      <c r="BE166">
        <f>$C166*BE165</f>
        <v/>
      </c>
      <c r="BF166">
        <f>$C166*BF165</f>
        <v/>
      </c>
      <c r="BG166">
        <f>$C166*BG165</f>
        <v/>
      </c>
      <c r="BH166">
        <f>$C166*BH165</f>
        <v/>
      </c>
      <c r="BI166">
        <f>$C166*BI165</f>
        <v/>
      </c>
      <c r="BJ166">
        <f>$C166*BJ165</f>
        <v/>
      </c>
      <c r="BK166">
        <f>$C166*BK165</f>
        <v/>
      </c>
      <c r="BL166">
        <f>$C166*BL165</f>
        <v/>
      </c>
      <c r="BM166">
        <f>$C166*BM165</f>
        <v/>
      </c>
      <c r="BN166">
        <f>$C166*BN165</f>
        <v/>
      </c>
      <c r="BO166">
        <f>$C166*BO165</f>
        <v/>
      </c>
      <c r="BP166">
        <f>$C166*BP165</f>
        <v/>
      </c>
      <c r="BQ166">
        <f>$C166*BQ165</f>
        <v/>
      </c>
      <c r="BR166">
        <f>$C166*BR165</f>
        <v/>
      </c>
      <c r="BS166">
        <f>$C166*BS165</f>
        <v/>
      </c>
      <c r="BT166">
        <f>$C166*BT165</f>
        <v/>
      </c>
      <c r="BU166">
        <f>$C166*BU165</f>
        <v/>
      </c>
      <c r="BV166">
        <f>$C166*BV165</f>
        <v/>
      </c>
      <c r="BW166">
        <f>$C166*BW165</f>
        <v/>
      </c>
      <c r="BX166">
        <f>$C166*BX165</f>
        <v/>
      </c>
      <c r="BY166">
        <f>$C166*BY165</f>
        <v/>
      </c>
      <c r="BZ166">
        <f>$C166*BZ165</f>
        <v/>
      </c>
      <c r="CA166">
        <f>$C166*CA165</f>
        <v/>
      </c>
      <c r="CB166">
        <f>$C166*CB165</f>
        <v/>
      </c>
      <c r="CC166">
        <f>$C166*CC165</f>
        <v/>
      </c>
      <c r="CD166">
        <f>$C166*CD165</f>
        <v/>
      </c>
      <c r="CE166">
        <f>$C166*CE165</f>
        <v/>
      </c>
      <c r="CF166">
        <f>$C166*CF165</f>
        <v/>
      </c>
      <c r="CG166">
        <f>$C166*CG165</f>
        <v/>
      </c>
      <c r="CH166">
        <f>$C166*CH165</f>
        <v/>
      </c>
      <c r="CI166">
        <f>$C166*CI165</f>
        <v/>
      </c>
      <c r="CJ166">
        <f>$C166*CJ165</f>
        <v/>
      </c>
      <c r="CK166">
        <f>$C166*CK165</f>
        <v/>
      </c>
      <c r="CL166">
        <f>$C166*CL165</f>
        <v/>
      </c>
      <c r="CM166">
        <f>$C166*CM165</f>
        <v/>
      </c>
      <c r="CN166">
        <f>$C166*CN165</f>
        <v/>
      </c>
      <c r="CO166">
        <f>$C166*CO165</f>
        <v/>
      </c>
      <c r="CP166">
        <f>$C166*CP165</f>
        <v/>
      </c>
      <c r="CQ166">
        <f>$C166*CQ165</f>
        <v/>
      </c>
      <c r="CR166">
        <f>$C166*CR165</f>
        <v/>
      </c>
      <c r="CS166">
        <f>$C166*CS165</f>
        <v/>
      </c>
      <c r="CT166">
        <f>$C166*CT165</f>
        <v/>
      </c>
      <c r="CU166">
        <f>$C166*CU165</f>
        <v/>
      </c>
      <c r="CV166">
        <f>$C166*CV165</f>
        <v/>
      </c>
      <c r="CW166">
        <f>$C166*CW165</f>
        <v/>
      </c>
      <c r="CX166">
        <f>$C166*CX165</f>
        <v/>
      </c>
      <c r="CY166">
        <f>$C166*CY165</f>
        <v/>
      </c>
      <c r="CZ166">
        <f>$C166*CZ165</f>
        <v/>
      </c>
      <c r="DA166">
        <f>$C166*DA165</f>
        <v/>
      </c>
      <c r="DB166">
        <f>$C166*DB165</f>
        <v/>
      </c>
      <c r="DC166">
        <f>$C166*DC165</f>
        <v/>
      </c>
    </row>
    <row r="167">
      <c r="B167" t="inlineStr">
        <is>
          <t>VSP-601</t>
        </is>
      </c>
      <c r="C167" t="inlineStr">
        <is>
          <t>No. of batches</t>
        </is>
      </c>
      <c r="D167">
        <f>IFERROR(INDEX(PP_Grid[#Data],$DD167,2),0)</f>
        <v/>
      </c>
      <c r="E167">
        <f>IFERROR(INDEX(PP_Grid[#Data],$DD167,3),0)</f>
        <v/>
      </c>
      <c r="F167">
        <f>IFERROR(INDEX(PP_Grid[#Data],$DD167,4),0)</f>
        <v/>
      </c>
      <c r="G167">
        <f>IFERROR(INDEX(PP_Grid[#Data],$DD167,5),0)</f>
        <v/>
      </c>
      <c r="H167">
        <f>IFERROR(INDEX(PP_Grid[#Data],$DD167,6),0)</f>
        <v/>
      </c>
      <c r="I167">
        <f>IFERROR(INDEX(PP_Grid[#Data],$DD167,7),0)</f>
        <v/>
      </c>
      <c r="J167">
        <f>IFERROR(INDEX(PP_Grid[#Data],$DD167,8),0)</f>
        <v/>
      </c>
      <c r="K167">
        <f>IFERROR(INDEX(PP_Grid[#Data],$DD167,9),0)</f>
        <v/>
      </c>
      <c r="L167">
        <f>IFERROR(INDEX(PP_Grid[#Data],$DD167,10),0)</f>
        <v/>
      </c>
      <c r="M167">
        <f>IFERROR(INDEX(PP_Grid[#Data],$DD167,11),0)</f>
        <v/>
      </c>
      <c r="N167">
        <f>IFERROR(INDEX(PP_Grid[#Data],$DD167,12),0)</f>
        <v/>
      </c>
      <c r="O167">
        <f>IFERROR(INDEX(PP_Grid[#Data],$DD167,13),0)</f>
        <v/>
      </c>
      <c r="P167">
        <f>IFERROR(INDEX(PP_Grid[#Data],$DD167,14),0)</f>
        <v/>
      </c>
      <c r="Q167">
        <f>IFERROR(INDEX(PP_Grid[#Data],$DD167,15),0)</f>
        <v/>
      </c>
      <c r="R167">
        <f>IFERROR(INDEX(PP_Grid[#Data],$DD167,16),0)</f>
        <v/>
      </c>
      <c r="S167">
        <f>IFERROR(INDEX(PP_Grid[#Data],$DD167,17),0)</f>
        <v/>
      </c>
      <c r="T167">
        <f>IFERROR(INDEX(PP_Grid[#Data],$DD167,18),0)</f>
        <v/>
      </c>
      <c r="U167">
        <f>IFERROR(INDEX(PP_Grid[#Data],$DD167,19),0)</f>
        <v/>
      </c>
      <c r="V167">
        <f>IFERROR(INDEX(PP_Grid[#Data],$DD167,20),0)</f>
        <v/>
      </c>
      <c r="W167">
        <f>IFERROR(INDEX(PP_Grid[#Data],$DD167,21),0)</f>
        <v/>
      </c>
      <c r="X167">
        <f>IFERROR(INDEX(PP_Grid[#Data],$DD167,22),0)</f>
        <v/>
      </c>
      <c r="Y167">
        <f>IFERROR(INDEX(PP_Grid[#Data],$DD167,23),0)</f>
        <v/>
      </c>
      <c r="Z167">
        <f>IFERROR(INDEX(PP_Grid[#Data],$DD167,24),0)</f>
        <v/>
      </c>
      <c r="AA167">
        <f>IFERROR(INDEX(PP_Grid[#Data],$DD167,25),0)</f>
        <v/>
      </c>
      <c r="AB167">
        <f>IFERROR(INDEX(PP_Grid[#Data],$DD167,26),0)</f>
        <v/>
      </c>
      <c r="AC167">
        <f>IFERROR(INDEX(PP_Grid[#Data],$DD167,27),0)</f>
        <v/>
      </c>
      <c r="AD167">
        <f>IFERROR(INDEX(PP_Grid[#Data],$DD167,28),0)</f>
        <v/>
      </c>
      <c r="AE167">
        <f>IFERROR(INDEX(PP_Grid[#Data],$DD167,29),0)</f>
        <v/>
      </c>
      <c r="AF167">
        <f>IFERROR(INDEX(PP_Grid[#Data],$DD167,30),0)</f>
        <v/>
      </c>
      <c r="AG167">
        <f>IFERROR(INDEX(PP_Grid[#Data],$DD167,31),0)</f>
        <v/>
      </c>
      <c r="AH167">
        <f>IFERROR(INDEX(PP_Grid[#Data],$DD167,32),0)</f>
        <v/>
      </c>
      <c r="AI167">
        <f>IFERROR(INDEX(PP_Grid[#Data],$DD167,33),0)</f>
        <v/>
      </c>
      <c r="AJ167">
        <f>IFERROR(INDEX(PP_Grid[#Data],$DD167,34),0)</f>
        <v/>
      </c>
      <c r="AK167">
        <f>IFERROR(INDEX(PP_Grid[#Data],$DD167,35),0)</f>
        <v/>
      </c>
      <c r="AL167">
        <f>IFERROR(INDEX(PP_Grid[#Data],$DD167,36),0)</f>
        <v/>
      </c>
      <c r="AM167">
        <f>IFERROR(INDEX(PP_Grid[#Data],$DD167,37),0)</f>
        <v/>
      </c>
      <c r="AN167">
        <f>IFERROR(INDEX(PP_Grid[#Data],$DD167,38),0)</f>
        <v/>
      </c>
      <c r="AO167">
        <f>IFERROR(INDEX(PP_Grid[#Data],$DD167,39),0)</f>
        <v/>
      </c>
      <c r="AP167">
        <f>IFERROR(INDEX(PP_Grid[#Data],$DD167,40),0)</f>
        <v/>
      </c>
      <c r="AQ167">
        <f>IFERROR(INDEX(PP_Grid[#Data],$DD167,41),0)</f>
        <v/>
      </c>
      <c r="AR167">
        <f>IFERROR(INDEX(PP_Grid[#Data],$DD167,42),0)</f>
        <v/>
      </c>
      <c r="AS167">
        <f>IFERROR(INDEX(PP_Grid[#Data],$DD167,43),0)</f>
        <v/>
      </c>
      <c r="AT167">
        <f>IFERROR(INDEX(PP_Grid[#Data],$DD167,44),0)</f>
        <v/>
      </c>
      <c r="AU167">
        <f>IFERROR(INDEX(PP_Grid[#Data],$DD167,45),0)</f>
        <v/>
      </c>
      <c r="AV167">
        <f>IFERROR(INDEX(PP_Grid[#Data],$DD167,46),0)</f>
        <v/>
      </c>
      <c r="AW167">
        <f>IFERROR(INDEX(PP_Grid[#Data],$DD167,47),0)</f>
        <v/>
      </c>
      <c r="AX167">
        <f>IFERROR(INDEX(PP_Grid[#Data],$DD167,48),0)</f>
        <v/>
      </c>
      <c r="AY167">
        <f>IFERROR(INDEX(PP_Grid[#Data],$DD167,49),0)</f>
        <v/>
      </c>
      <c r="AZ167">
        <f>IFERROR(INDEX(PP_Grid[#Data],$DD167,50),0)</f>
        <v/>
      </c>
      <c r="BA167">
        <f>IFERROR(INDEX(PP_Grid[#Data],$DD167,51),0)</f>
        <v/>
      </c>
      <c r="BB167">
        <f>IFERROR(INDEX(PP_Grid[#Data],$DD167,52),0)</f>
        <v/>
      </c>
      <c r="BC167">
        <f>IFERROR(INDEX(PP_Grid[#Data],$DD167,53),0)</f>
        <v/>
      </c>
      <c r="BD167">
        <f>IFERROR(INDEX(PP_Grid[#Data],$DD167,54),0)</f>
        <v/>
      </c>
      <c r="BE167">
        <f>IFERROR(INDEX(PP_Grid[#Data],$DD167,55),0)</f>
        <v/>
      </c>
      <c r="BF167">
        <f>IFERROR(INDEX(PP_Grid[#Data],$DD167,56),0)</f>
        <v/>
      </c>
      <c r="BG167">
        <f>IFERROR(INDEX(PP_Grid[#Data],$DD167,57),0)</f>
        <v/>
      </c>
      <c r="BH167">
        <f>IFERROR(INDEX(PP_Grid[#Data],$DD167,58),0)</f>
        <v/>
      </c>
      <c r="BI167">
        <f>IFERROR(INDEX(PP_Grid[#Data],$DD167,59),0)</f>
        <v/>
      </c>
      <c r="BJ167">
        <f>IFERROR(INDEX(PP_Grid[#Data],$DD167,60),0)</f>
        <v/>
      </c>
      <c r="BK167">
        <f>IFERROR(INDEX(PP_Grid[#Data],$DD167,61),0)</f>
        <v/>
      </c>
      <c r="BL167">
        <f>IFERROR(INDEX(PP_Grid[#Data],$DD167,62),0)</f>
        <v/>
      </c>
      <c r="BM167">
        <f>IFERROR(INDEX(PP_Grid[#Data],$DD167,63),0)</f>
        <v/>
      </c>
      <c r="BN167">
        <f>IFERROR(INDEX(PP_Grid[#Data],$DD167,64),0)</f>
        <v/>
      </c>
      <c r="BO167">
        <f>IFERROR(INDEX(PP_Grid[#Data],$DD167,65),0)</f>
        <v/>
      </c>
      <c r="BP167">
        <f>IFERROR(INDEX(PP_Grid[#Data],$DD167,66),0)</f>
        <v/>
      </c>
      <c r="BQ167">
        <f>IFERROR(INDEX(PP_Grid[#Data],$DD167,67),0)</f>
        <v/>
      </c>
      <c r="BR167">
        <f>IFERROR(INDEX(PP_Grid[#Data],$DD167,68),0)</f>
        <v/>
      </c>
      <c r="BS167">
        <f>IFERROR(INDEX(PP_Grid[#Data],$DD167,69),0)</f>
        <v/>
      </c>
      <c r="BT167">
        <f>IFERROR(INDEX(PP_Grid[#Data],$DD167,70),0)</f>
        <v/>
      </c>
      <c r="BU167">
        <f>IFERROR(INDEX(PP_Grid[#Data],$DD167,71),0)</f>
        <v/>
      </c>
      <c r="BV167">
        <f>IFERROR(INDEX(PP_Grid[#Data],$DD167,72),0)</f>
        <v/>
      </c>
      <c r="BW167">
        <f>IFERROR(INDEX(PP_Grid[#Data],$DD167,73),0)</f>
        <v/>
      </c>
      <c r="BX167">
        <f>IFERROR(INDEX(PP_Grid[#Data],$DD167,74),0)</f>
        <v/>
      </c>
      <c r="BY167">
        <f>IFERROR(INDEX(PP_Grid[#Data],$DD167,75),0)</f>
        <v/>
      </c>
      <c r="BZ167">
        <f>IFERROR(INDEX(PP_Grid[#Data],$DD167,76),0)</f>
        <v/>
      </c>
      <c r="CA167">
        <f>IFERROR(INDEX(PP_Grid[#Data],$DD167,77),0)</f>
        <v/>
      </c>
      <c r="CB167">
        <f>IFERROR(INDEX(PP_Grid[#Data],$DD167,78),0)</f>
        <v/>
      </c>
      <c r="CC167">
        <f>IFERROR(INDEX(PP_Grid[#Data],$DD167,79),0)</f>
        <v/>
      </c>
      <c r="CD167">
        <f>IFERROR(INDEX(PP_Grid[#Data],$DD167,80),0)</f>
        <v/>
      </c>
      <c r="CE167">
        <f>IFERROR(INDEX(PP_Grid[#Data],$DD167,81),0)</f>
        <v/>
      </c>
      <c r="CF167">
        <f>IFERROR(INDEX(PP_Grid[#Data],$DD167,82),0)</f>
        <v/>
      </c>
      <c r="CG167">
        <f>IFERROR(INDEX(PP_Grid[#Data],$DD167,83),0)</f>
        <v/>
      </c>
      <c r="CH167">
        <f>IFERROR(INDEX(PP_Grid[#Data],$DD167,84),0)</f>
        <v/>
      </c>
      <c r="CI167">
        <f>IFERROR(INDEX(PP_Grid[#Data],$DD167,85),0)</f>
        <v/>
      </c>
      <c r="CJ167">
        <f>IFERROR(INDEX(PP_Grid[#Data],$DD167,86),0)</f>
        <v/>
      </c>
      <c r="CK167">
        <f>IFERROR(INDEX(PP_Grid[#Data],$DD167,87),0)</f>
        <v/>
      </c>
      <c r="CL167">
        <f>IFERROR(INDEX(PP_Grid[#Data],$DD167,88),0)</f>
        <v/>
      </c>
      <c r="CM167">
        <f>IFERROR(INDEX(PP_Grid[#Data],$DD167,89),0)</f>
        <v/>
      </c>
      <c r="CN167">
        <f>IFERROR(INDEX(PP_Grid[#Data],$DD167,90),0)</f>
        <v/>
      </c>
      <c r="CO167">
        <f>IFERROR(INDEX(PP_Grid[#Data],$DD167,91),0)</f>
        <v/>
      </c>
      <c r="CP167">
        <f>IFERROR(INDEX(PP_Grid[#Data],$DD167,92),0)</f>
        <v/>
      </c>
      <c r="CQ167">
        <f>IFERROR(INDEX(PP_Grid[#Data],$DD167,93),0)</f>
        <v/>
      </c>
      <c r="CR167">
        <f>IFERROR(INDEX(PP_Grid[#Data],$DD167,94),0)</f>
        <v/>
      </c>
      <c r="CS167">
        <f>IFERROR(INDEX(PP_Grid[#Data],$DD167,95),0)</f>
        <v/>
      </c>
      <c r="CT167">
        <f>IFERROR(INDEX(PP_Grid[#Data],$DD167,96),0)</f>
        <v/>
      </c>
      <c r="CU167">
        <f>IFERROR(INDEX(PP_Grid[#Data],$DD167,97),0)</f>
        <v/>
      </c>
      <c r="CV167">
        <f>IFERROR(INDEX(PP_Grid[#Data],$DD167,98),0)</f>
        <v/>
      </c>
      <c r="CW167">
        <f>IFERROR(INDEX(PP_Grid[#Data],$DD167,99),0)</f>
        <v/>
      </c>
      <c r="CX167">
        <f>IFERROR(INDEX(PP_Grid[#Data],$DD167,100),0)</f>
        <v/>
      </c>
      <c r="CY167">
        <f>IFERROR(INDEX(PP_Grid[#Data],$DD167,101),0)</f>
        <v/>
      </c>
      <c r="CZ167">
        <f>IFERROR(INDEX(PP_Grid[#Data],$DD167,102),0)</f>
        <v/>
      </c>
      <c r="DA167">
        <f>IFERROR(INDEX(PP_Grid[#Data],$DD167,103),0)</f>
        <v/>
      </c>
      <c r="DB167">
        <f>IFERROR(INDEX(PP_Grid[#Data],$DD167,104),0)</f>
        <v/>
      </c>
      <c r="DC167">
        <f>IFERROR(INDEX(PP_Grid[#Data],$DD167,105),0)</f>
        <v/>
      </c>
      <c r="DD167" s="7">
        <f>IFERROR(MATCH($B167,PP_Grid[Intermediate],0),99999)</f>
        <v/>
      </c>
    </row>
    <row r="168">
      <c r="B168" t="inlineStr">
        <is>
          <t>使用量(kg)</t>
        </is>
      </c>
      <c r="C168">
        <f>SUMIFS(M_BOM[RM_Qty_Per_Batch],M_BOM[Intermediate],$B167,M_BOM[Part Name],$A44)</f>
        <v/>
      </c>
      <c r="D168">
        <f>$C168*D167</f>
        <v/>
      </c>
      <c r="E168">
        <f>$C168*E167</f>
        <v/>
      </c>
      <c r="F168">
        <f>$C168*F167</f>
        <v/>
      </c>
      <c r="G168">
        <f>$C168*G167</f>
        <v/>
      </c>
      <c r="H168">
        <f>$C168*H167</f>
        <v/>
      </c>
      <c r="I168">
        <f>$C168*I167</f>
        <v/>
      </c>
      <c r="J168">
        <f>$C168*J167</f>
        <v/>
      </c>
      <c r="K168">
        <f>$C168*K167</f>
        <v/>
      </c>
      <c r="L168">
        <f>$C168*L167</f>
        <v/>
      </c>
      <c r="M168">
        <f>$C168*M167</f>
        <v/>
      </c>
      <c r="N168">
        <f>$C168*N167</f>
        <v/>
      </c>
      <c r="O168">
        <f>$C168*O167</f>
        <v/>
      </c>
      <c r="P168">
        <f>$C168*P167</f>
        <v/>
      </c>
      <c r="Q168">
        <f>$C168*Q167</f>
        <v/>
      </c>
      <c r="R168">
        <f>$C168*R167</f>
        <v/>
      </c>
      <c r="S168">
        <f>$C168*S167</f>
        <v/>
      </c>
      <c r="T168">
        <f>$C168*T167</f>
        <v/>
      </c>
      <c r="U168">
        <f>$C168*U167</f>
        <v/>
      </c>
      <c r="V168">
        <f>$C168*V167</f>
        <v/>
      </c>
      <c r="W168">
        <f>$C168*W167</f>
        <v/>
      </c>
      <c r="X168">
        <f>$C168*X167</f>
        <v/>
      </c>
      <c r="Y168">
        <f>$C168*Y167</f>
        <v/>
      </c>
      <c r="Z168">
        <f>$C168*Z167</f>
        <v/>
      </c>
      <c r="AA168">
        <f>$C168*AA167</f>
        <v/>
      </c>
      <c r="AB168">
        <f>$C168*AB167</f>
        <v/>
      </c>
      <c r="AC168">
        <f>$C168*AC167</f>
        <v/>
      </c>
      <c r="AD168">
        <f>$C168*AD167</f>
        <v/>
      </c>
      <c r="AE168">
        <f>$C168*AE167</f>
        <v/>
      </c>
      <c r="AF168">
        <f>$C168*AF167</f>
        <v/>
      </c>
      <c r="AG168">
        <f>$C168*AG167</f>
        <v/>
      </c>
      <c r="AH168">
        <f>$C168*AH167</f>
        <v/>
      </c>
      <c r="AI168">
        <f>$C168*AI167</f>
        <v/>
      </c>
      <c r="AJ168">
        <f>$C168*AJ167</f>
        <v/>
      </c>
      <c r="AK168">
        <f>$C168*AK167</f>
        <v/>
      </c>
      <c r="AL168">
        <f>$C168*AL167</f>
        <v/>
      </c>
      <c r="AM168">
        <f>$C168*AM167</f>
        <v/>
      </c>
      <c r="AN168">
        <f>$C168*AN167</f>
        <v/>
      </c>
      <c r="AO168">
        <f>$C168*AO167</f>
        <v/>
      </c>
      <c r="AP168">
        <f>$C168*AP167</f>
        <v/>
      </c>
      <c r="AQ168">
        <f>$C168*AQ167</f>
        <v/>
      </c>
      <c r="AR168">
        <f>$C168*AR167</f>
        <v/>
      </c>
      <c r="AS168">
        <f>$C168*AS167</f>
        <v/>
      </c>
      <c r="AT168">
        <f>$C168*AT167</f>
        <v/>
      </c>
      <c r="AU168">
        <f>$C168*AU167</f>
        <v/>
      </c>
      <c r="AV168">
        <f>$C168*AV167</f>
        <v/>
      </c>
      <c r="AW168">
        <f>$C168*AW167</f>
        <v/>
      </c>
      <c r="AX168">
        <f>$C168*AX167</f>
        <v/>
      </c>
      <c r="AY168">
        <f>$C168*AY167</f>
        <v/>
      </c>
      <c r="AZ168">
        <f>$C168*AZ167</f>
        <v/>
      </c>
      <c r="BA168">
        <f>$C168*BA167</f>
        <v/>
      </c>
      <c r="BB168">
        <f>$C168*BB167</f>
        <v/>
      </c>
      <c r="BC168">
        <f>$C168*BC167</f>
        <v/>
      </c>
      <c r="BD168">
        <f>$C168*BD167</f>
        <v/>
      </c>
      <c r="BE168">
        <f>$C168*BE167</f>
        <v/>
      </c>
      <c r="BF168">
        <f>$C168*BF167</f>
        <v/>
      </c>
      <c r="BG168">
        <f>$C168*BG167</f>
        <v/>
      </c>
      <c r="BH168">
        <f>$C168*BH167</f>
        <v/>
      </c>
      <c r="BI168">
        <f>$C168*BI167</f>
        <v/>
      </c>
      <c r="BJ168">
        <f>$C168*BJ167</f>
        <v/>
      </c>
      <c r="BK168">
        <f>$C168*BK167</f>
        <v/>
      </c>
      <c r="BL168">
        <f>$C168*BL167</f>
        <v/>
      </c>
      <c r="BM168">
        <f>$C168*BM167</f>
        <v/>
      </c>
      <c r="BN168">
        <f>$C168*BN167</f>
        <v/>
      </c>
      <c r="BO168">
        <f>$C168*BO167</f>
        <v/>
      </c>
      <c r="BP168">
        <f>$C168*BP167</f>
        <v/>
      </c>
      <c r="BQ168">
        <f>$C168*BQ167</f>
        <v/>
      </c>
      <c r="BR168">
        <f>$C168*BR167</f>
        <v/>
      </c>
      <c r="BS168">
        <f>$C168*BS167</f>
        <v/>
      </c>
      <c r="BT168">
        <f>$C168*BT167</f>
        <v/>
      </c>
      <c r="BU168">
        <f>$C168*BU167</f>
        <v/>
      </c>
      <c r="BV168">
        <f>$C168*BV167</f>
        <v/>
      </c>
      <c r="BW168">
        <f>$C168*BW167</f>
        <v/>
      </c>
      <c r="BX168">
        <f>$C168*BX167</f>
        <v/>
      </c>
      <c r="BY168">
        <f>$C168*BY167</f>
        <v/>
      </c>
      <c r="BZ168">
        <f>$C168*BZ167</f>
        <v/>
      </c>
      <c r="CA168">
        <f>$C168*CA167</f>
        <v/>
      </c>
      <c r="CB168">
        <f>$C168*CB167</f>
        <v/>
      </c>
      <c r="CC168">
        <f>$C168*CC167</f>
        <v/>
      </c>
      <c r="CD168">
        <f>$C168*CD167</f>
        <v/>
      </c>
      <c r="CE168">
        <f>$C168*CE167</f>
        <v/>
      </c>
      <c r="CF168">
        <f>$C168*CF167</f>
        <v/>
      </c>
      <c r="CG168">
        <f>$C168*CG167</f>
        <v/>
      </c>
      <c r="CH168">
        <f>$C168*CH167</f>
        <v/>
      </c>
      <c r="CI168">
        <f>$C168*CI167</f>
        <v/>
      </c>
      <c r="CJ168">
        <f>$C168*CJ167</f>
        <v/>
      </c>
      <c r="CK168">
        <f>$C168*CK167</f>
        <v/>
      </c>
      <c r="CL168">
        <f>$C168*CL167</f>
        <v/>
      </c>
      <c r="CM168">
        <f>$C168*CM167</f>
        <v/>
      </c>
      <c r="CN168">
        <f>$C168*CN167</f>
        <v/>
      </c>
      <c r="CO168">
        <f>$C168*CO167</f>
        <v/>
      </c>
      <c r="CP168">
        <f>$C168*CP167</f>
        <v/>
      </c>
      <c r="CQ168">
        <f>$C168*CQ167</f>
        <v/>
      </c>
      <c r="CR168">
        <f>$C168*CR167</f>
        <v/>
      </c>
      <c r="CS168">
        <f>$C168*CS167</f>
        <v/>
      </c>
      <c r="CT168">
        <f>$C168*CT167</f>
        <v/>
      </c>
      <c r="CU168">
        <f>$C168*CU167</f>
        <v/>
      </c>
      <c r="CV168">
        <f>$C168*CV167</f>
        <v/>
      </c>
      <c r="CW168">
        <f>$C168*CW167</f>
        <v/>
      </c>
      <c r="CX168">
        <f>$C168*CX167</f>
        <v/>
      </c>
      <c r="CY168">
        <f>$C168*CY167</f>
        <v/>
      </c>
      <c r="CZ168">
        <f>$C168*CZ167</f>
        <v/>
      </c>
      <c r="DA168">
        <f>$C168*DA167</f>
        <v/>
      </c>
      <c r="DB168">
        <f>$C168*DB167</f>
        <v/>
      </c>
      <c r="DC168">
        <f>$C168*DC167</f>
        <v/>
      </c>
    </row>
    <row r="169">
      <c r="B169" t="inlineStr">
        <is>
          <t>VSP-602</t>
        </is>
      </c>
      <c r="C169" t="inlineStr">
        <is>
          <t>No. of batches</t>
        </is>
      </c>
      <c r="D169">
        <f>IFERROR(INDEX(PP_Grid[#Data],$DD169,2),0)</f>
        <v/>
      </c>
      <c r="E169">
        <f>IFERROR(INDEX(PP_Grid[#Data],$DD169,3),0)</f>
        <v/>
      </c>
      <c r="F169">
        <f>IFERROR(INDEX(PP_Grid[#Data],$DD169,4),0)</f>
        <v/>
      </c>
      <c r="G169">
        <f>IFERROR(INDEX(PP_Grid[#Data],$DD169,5),0)</f>
        <v/>
      </c>
      <c r="H169">
        <f>IFERROR(INDEX(PP_Grid[#Data],$DD169,6),0)</f>
        <v/>
      </c>
      <c r="I169">
        <f>IFERROR(INDEX(PP_Grid[#Data],$DD169,7),0)</f>
        <v/>
      </c>
      <c r="J169">
        <f>IFERROR(INDEX(PP_Grid[#Data],$DD169,8),0)</f>
        <v/>
      </c>
      <c r="K169">
        <f>IFERROR(INDEX(PP_Grid[#Data],$DD169,9),0)</f>
        <v/>
      </c>
      <c r="L169">
        <f>IFERROR(INDEX(PP_Grid[#Data],$DD169,10),0)</f>
        <v/>
      </c>
      <c r="M169">
        <f>IFERROR(INDEX(PP_Grid[#Data],$DD169,11),0)</f>
        <v/>
      </c>
      <c r="N169">
        <f>IFERROR(INDEX(PP_Grid[#Data],$DD169,12),0)</f>
        <v/>
      </c>
      <c r="O169">
        <f>IFERROR(INDEX(PP_Grid[#Data],$DD169,13),0)</f>
        <v/>
      </c>
      <c r="P169">
        <f>IFERROR(INDEX(PP_Grid[#Data],$DD169,14),0)</f>
        <v/>
      </c>
      <c r="Q169">
        <f>IFERROR(INDEX(PP_Grid[#Data],$DD169,15),0)</f>
        <v/>
      </c>
      <c r="R169">
        <f>IFERROR(INDEX(PP_Grid[#Data],$DD169,16),0)</f>
        <v/>
      </c>
      <c r="S169">
        <f>IFERROR(INDEX(PP_Grid[#Data],$DD169,17),0)</f>
        <v/>
      </c>
      <c r="T169">
        <f>IFERROR(INDEX(PP_Grid[#Data],$DD169,18),0)</f>
        <v/>
      </c>
      <c r="U169">
        <f>IFERROR(INDEX(PP_Grid[#Data],$DD169,19),0)</f>
        <v/>
      </c>
      <c r="V169">
        <f>IFERROR(INDEX(PP_Grid[#Data],$DD169,20),0)</f>
        <v/>
      </c>
      <c r="W169">
        <f>IFERROR(INDEX(PP_Grid[#Data],$DD169,21),0)</f>
        <v/>
      </c>
      <c r="X169">
        <f>IFERROR(INDEX(PP_Grid[#Data],$DD169,22),0)</f>
        <v/>
      </c>
      <c r="Y169">
        <f>IFERROR(INDEX(PP_Grid[#Data],$DD169,23),0)</f>
        <v/>
      </c>
      <c r="Z169">
        <f>IFERROR(INDEX(PP_Grid[#Data],$DD169,24),0)</f>
        <v/>
      </c>
      <c r="AA169">
        <f>IFERROR(INDEX(PP_Grid[#Data],$DD169,25),0)</f>
        <v/>
      </c>
      <c r="AB169">
        <f>IFERROR(INDEX(PP_Grid[#Data],$DD169,26),0)</f>
        <v/>
      </c>
      <c r="AC169">
        <f>IFERROR(INDEX(PP_Grid[#Data],$DD169,27),0)</f>
        <v/>
      </c>
      <c r="AD169">
        <f>IFERROR(INDEX(PP_Grid[#Data],$DD169,28),0)</f>
        <v/>
      </c>
      <c r="AE169">
        <f>IFERROR(INDEX(PP_Grid[#Data],$DD169,29),0)</f>
        <v/>
      </c>
      <c r="AF169">
        <f>IFERROR(INDEX(PP_Grid[#Data],$DD169,30),0)</f>
        <v/>
      </c>
      <c r="AG169">
        <f>IFERROR(INDEX(PP_Grid[#Data],$DD169,31),0)</f>
        <v/>
      </c>
      <c r="AH169">
        <f>IFERROR(INDEX(PP_Grid[#Data],$DD169,32),0)</f>
        <v/>
      </c>
      <c r="AI169">
        <f>IFERROR(INDEX(PP_Grid[#Data],$DD169,33),0)</f>
        <v/>
      </c>
      <c r="AJ169">
        <f>IFERROR(INDEX(PP_Grid[#Data],$DD169,34),0)</f>
        <v/>
      </c>
      <c r="AK169">
        <f>IFERROR(INDEX(PP_Grid[#Data],$DD169,35),0)</f>
        <v/>
      </c>
      <c r="AL169">
        <f>IFERROR(INDEX(PP_Grid[#Data],$DD169,36),0)</f>
        <v/>
      </c>
      <c r="AM169">
        <f>IFERROR(INDEX(PP_Grid[#Data],$DD169,37),0)</f>
        <v/>
      </c>
      <c r="AN169">
        <f>IFERROR(INDEX(PP_Grid[#Data],$DD169,38),0)</f>
        <v/>
      </c>
      <c r="AO169">
        <f>IFERROR(INDEX(PP_Grid[#Data],$DD169,39),0)</f>
        <v/>
      </c>
      <c r="AP169">
        <f>IFERROR(INDEX(PP_Grid[#Data],$DD169,40),0)</f>
        <v/>
      </c>
      <c r="AQ169">
        <f>IFERROR(INDEX(PP_Grid[#Data],$DD169,41),0)</f>
        <v/>
      </c>
      <c r="AR169">
        <f>IFERROR(INDEX(PP_Grid[#Data],$DD169,42),0)</f>
        <v/>
      </c>
      <c r="AS169">
        <f>IFERROR(INDEX(PP_Grid[#Data],$DD169,43),0)</f>
        <v/>
      </c>
      <c r="AT169">
        <f>IFERROR(INDEX(PP_Grid[#Data],$DD169,44),0)</f>
        <v/>
      </c>
      <c r="AU169">
        <f>IFERROR(INDEX(PP_Grid[#Data],$DD169,45),0)</f>
        <v/>
      </c>
      <c r="AV169">
        <f>IFERROR(INDEX(PP_Grid[#Data],$DD169,46),0)</f>
        <v/>
      </c>
      <c r="AW169">
        <f>IFERROR(INDEX(PP_Grid[#Data],$DD169,47),0)</f>
        <v/>
      </c>
      <c r="AX169">
        <f>IFERROR(INDEX(PP_Grid[#Data],$DD169,48),0)</f>
        <v/>
      </c>
      <c r="AY169">
        <f>IFERROR(INDEX(PP_Grid[#Data],$DD169,49),0)</f>
        <v/>
      </c>
      <c r="AZ169">
        <f>IFERROR(INDEX(PP_Grid[#Data],$DD169,50),0)</f>
        <v/>
      </c>
      <c r="BA169">
        <f>IFERROR(INDEX(PP_Grid[#Data],$DD169,51),0)</f>
        <v/>
      </c>
      <c r="BB169">
        <f>IFERROR(INDEX(PP_Grid[#Data],$DD169,52),0)</f>
        <v/>
      </c>
      <c r="BC169">
        <f>IFERROR(INDEX(PP_Grid[#Data],$DD169,53),0)</f>
        <v/>
      </c>
      <c r="BD169">
        <f>IFERROR(INDEX(PP_Grid[#Data],$DD169,54),0)</f>
        <v/>
      </c>
      <c r="BE169">
        <f>IFERROR(INDEX(PP_Grid[#Data],$DD169,55),0)</f>
        <v/>
      </c>
      <c r="BF169">
        <f>IFERROR(INDEX(PP_Grid[#Data],$DD169,56),0)</f>
        <v/>
      </c>
      <c r="BG169">
        <f>IFERROR(INDEX(PP_Grid[#Data],$DD169,57),0)</f>
        <v/>
      </c>
      <c r="BH169">
        <f>IFERROR(INDEX(PP_Grid[#Data],$DD169,58),0)</f>
        <v/>
      </c>
      <c r="BI169">
        <f>IFERROR(INDEX(PP_Grid[#Data],$DD169,59),0)</f>
        <v/>
      </c>
      <c r="BJ169">
        <f>IFERROR(INDEX(PP_Grid[#Data],$DD169,60),0)</f>
        <v/>
      </c>
      <c r="BK169">
        <f>IFERROR(INDEX(PP_Grid[#Data],$DD169,61),0)</f>
        <v/>
      </c>
      <c r="BL169">
        <f>IFERROR(INDEX(PP_Grid[#Data],$DD169,62),0)</f>
        <v/>
      </c>
      <c r="BM169">
        <f>IFERROR(INDEX(PP_Grid[#Data],$DD169,63),0)</f>
        <v/>
      </c>
      <c r="BN169">
        <f>IFERROR(INDEX(PP_Grid[#Data],$DD169,64),0)</f>
        <v/>
      </c>
      <c r="BO169">
        <f>IFERROR(INDEX(PP_Grid[#Data],$DD169,65),0)</f>
        <v/>
      </c>
      <c r="BP169">
        <f>IFERROR(INDEX(PP_Grid[#Data],$DD169,66),0)</f>
        <v/>
      </c>
      <c r="BQ169">
        <f>IFERROR(INDEX(PP_Grid[#Data],$DD169,67),0)</f>
        <v/>
      </c>
      <c r="BR169">
        <f>IFERROR(INDEX(PP_Grid[#Data],$DD169,68),0)</f>
        <v/>
      </c>
      <c r="BS169">
        <f>IFERROR(INDEX(PP_Grid[#Data],$DD169,69),0)</f>
        <v/>
      </c>
      <c r="BT169">
        <f>IFERROR(INDEX(PP_Grid[#Data],$DD169,70),0)</f>
        <v/>
      </c>
      <c r="BU169">
        <f>IFERROR(INDEX(PP_Grid[#Data],$DD169,71),0)</f>
        <v/>
      </c>
      <c r="BV169">
        <f>IFERROR(INDEX(PP_Grid[#Data],$DD169,72),0)</f>
        <v/>
      </c>
      <c r="BW169">
        <f>IFERROR(INDEX(PP_Grid[#Data],$DD169,73),0)</f>
        <v/>
      </c>
      <c r="BX169">
        <f>IFERROR(INDEX(PP_Grid[#Data],$DD169,74),0)</f>
        <v/>
      </c>
      <c r="BY169">
        <f>IFERROR(INDEX(PP_Grid[#Data],$DD169,75),0)</f>
        <v/>
      </c>
      <c r="BZ169">
        <f>IFERROR(INDEX(PP_Grid[#Data],$DD169,76),0)</f>
        <v/>
      </c>
      <c r="CA169">
        <f>IFERROR(INDEX(PP_Grid[#Data],$DD169,77),0)</f>
        <v/>
      </c>
      <c r="CB169">
        <f>IFERROR(INDEX(PP_Grid[#Data],$DD169,78),0)</f>
        <v/>
      </c>
      <c r="CC169">
        <f>IFERROR(INDEX(PP_Grid[#Data],$DD169,79),0)</f>
        <v/>
      </c>
      <c r="CD169">
        <f>IFERROR(INDEX(PP_Grid[#Data],$DD169,80),0)</f>
        <v/>
      </c>
      <c r="CE169">
        <f>IFERROR(INDEX(PP_Grid[#Data],$DD169,81),0)</f>
        <v/>
      </c>
      <c r="CF169">
        <f>IFERROR(INDEX(PP_Grid[#Data],$DD169,82),0)</f>
        <v/>
      </c>
      <c r="CG169">
        <f>IFERROR(INDEX(PP_Grid[#Data],$DD169,83),0)</f>
        <v/>
      </c>
      <c r="CH169">
        <f>IFERROR(INDEX(PP_Grid[#Data],$DD169,84),0)</f>
        <v/>
      </c>
      <c r="CI169">
        <f>IFERROR(INDEX(PP_Grid[#Data],$DD169,85),0)</f>
        <v/>
      </c>
      <c r="CJ169">
        <f>IFERROR(INDEX(PP_Grid[#Data],$DD169,86),0)</f>
        <v/>
      </c>
      <c r="CK169">
        <f>IFERROR(INDEX(PP_Grid[#Data],$DD169,87),0)</f>
        <v/>
      </c>
      <c r="CL169">
        <f>IFERROR(INDEX(PP_Grid[#Data],$DD169,88),0)</f>
        <v/>
      </c>
      <c r="CM169">
        <f>IFERROR(INDEX(PP_Grid[#Data],$DD169,89),0)</f>
        <v/>
      </c>
      <c r="CN169">
        <f>IFERROR(INDEX(PP_Grid[#Data],$DD169,90),0)</f>
        <v/>
      </c>
      <c r="CO169">
        <f>IFERROR(INDEX(PP_Grid[#Data],$DD169,91),0)</f>
        <v/>
      </c>
      <c r="CP169">
        <f>IFERROR(INDEX(PP_Grid[#Data],$DD169,92),0)</f>
        <v/>
      </c>
      <c r="CQ169">
        <f>IFERROR(INDEX(PP_Grid[#Data],$DD169,93),0)</f>
        <v/>
      </c>
      <c r="CR169">
        <f>IFERROR(INDEX(PP_Grid[#Data],$DD169,94),0)</f>
        <v/>
      </c>
      <c r="CS169">
        <f>IFERROR(INDEX(PP_Grid[#Data],$DD169,95),0)</f>
        <v/>
      </c>
      <c r="CT169">
        <f>IFERROR(INDEX(PP_Grid[#Data],$DD169,96),0)</f>
        <v/>
      </c>
      <c r="CU169">
        <f>IFERROR(INDEX(PP_Grid[#Data],$DD169,97),0)</f>
        <v/>
      </c>
      <c r="CV169">
        <f>IFERROR(INDEX(PP_Grid[#Data],$DD169,98),0)</f>
        <v/>
      </c>
      <c r="CW169">
        <f>IFERROR(INDEX(PP_Grid[#Data],$DD169,99),0)</f>
        <v/>
      </c>
      <c r="CX169">
        <f>IFERROR(INDEX(PP_Grid[#Data],$DD169,100),0)</f>
        <v/>
      </c>
      <c r="CY169">
        <f>IFERROR(INDEX(PP_Grid[#Data],$DD169,101),0)</f>
        <v/>
      </c>
      <c r="CZ169">
        <f>IFERROR(INDEX(PP_Grid[#Data],$DD169,102),0)</f>
        <v/>
      </c>
      <c r="DA169">
        <f>IFERROR(INDEX(PP_Grid[#Data],$DD169,103),0)</f>
        <v/>
      </c>
      <c r="DB169">
        <f>IFERROR(INDEX(PP_Grid[#Data],$DD169,104),0)</f>
        <v/>
      </c>
      <c r="DC169">
        <f>IFERROR(INDEX(PP_Grid[#Data],$DD169,105),0)</f>
        <v/>
      </c>
      <c r="DD169" s="7">
        <f>IFERROR(MATCH($B169,PP_Grid[Intermediate],0),99999)</f>
        <v/>
      </c>
    </row>
    <row r="170">
      <c r="B170" t="inlineStr">
        <is>
          <t>使用量(kg)</t>
        </is>
      </c>
      <c r="C170">
        <f>SUMIFS(M_BOM[RM_Qty_Per_Batch],M_BOM[Intermediate],$B169,M_BOM[Part Name],$A44)</f>
        <v/>
      </c>
      <c r="D170">
        <f>$C170*D169</f>
        <v/>
      </c>
      <c r="E170">
        <f>$C170*E169</f>
        <v/>
      </c>
      <c r="F170">
        <f>$C170*F169</f>
        <v/>
      </c>
      <c r="G170">
        <f>$C170*G169</f>
        <v/>
      </c>
      <c r="H170">
        <f>$C170*H169</f>
        <v/>
      </c>
      <c r="I170">
        <f>$C170*I169</f>
        <v/>
      </c>
      <c r="J170">
        <f>$C170*J169</f>
        <v/>
      </c>
      <c r="K170">
        <f>$C170*K169</f>
        <v/>
      </c>
      <c r="L170">
        <f>$C170*L169</f>
        <v/>
      </c>
      <c r="M170">
        <f>$C170*M169</f>
        <v/>
      </c>
      <c r="N170">
        <f>$C170*N169</f>
        <v/>
      </c>
      <c r="O170">
        <f>$C170*O169</f>
        <v/>
      </c>
      <c r="P170">
        <f>$C170*P169</f>
        <v/>
      </c>
      <c r="Q170">
        <f>$C170*Q169</f>
        <v/>
      </c>
      <c r="R170">
        <f>$C170*R169</f>
        <v/>
      </c>
      <c r="S170">
        <f>$C170*S169</f>
        <v/>
      </c>
      <c r="T170">
        <f>$C170*T169</f>
        <v/>
      </c>
      <c r="U170">
        <f>$C170*U169</f>
        <v/>
      </c>
      <c r="V170">
        <f>$C170*V169</f>
        <v/>
      </c>
      <c r="W170">
        <f>$C170*W169</f>
        <v/>
      </c>
      <c r="X170">
        <f>$C170*X169</f>
        <v/>
      </c>
      <c r="Y170">
        <f>$C170*Y169</f>
        <v/>
      </c>
      <c r="Z170">
        <f>$C170*Z169</f>
        <v/>
      </c>
      <c r="AA170">
        <f>$C170*AA169</f>
        <v/>
      </c>
      <c r="AB170">
        <f>$C170*AB169</f>
        <v/>
      </c>
      <c r="AC170">
        <f>$C170*AC169</f>
        <v/>
      </c>
      <c r="AD170">
        <f>$C170*AD169</f>
        <v/>
      </c>
      <c r="AE170">
        <f>$C170*AE169</f>
        <v/>
      </c>
      <c r="AF170">
        <f>$C170*AF169</f>
        <v/>
      </c>
      <c r="AG170">
        <f>$C170*AG169</f>
        <v/>
      </c>
      <c r="AH170">
        <f>$C170*AH169</f>
        <v/>
      </c>
      <c r="AI170">
        <f>$C170*AI169</f>
        <v/>
      </c>
      <c r="AJ170">
        <f>$C170*AJ169</f>
        <v/>
      </c>
      <c r="AK170">
        <f>$C170*AK169</f>
        <v/>
      </c>
      <c r="AL170">
        <f>$C170*AL169</f>
        <v/>
      </c>
      <c r="AM170">
        <f>$C170*AM169</f>
        <v/>
      </c>
      <c r="AN170">
        <f>$C170*AN169</f>
        <v/>
      </c>
      <c r="AO170">
        <f>$C170*AO169</f>
        <v/>
      </c>
      <c r="AP170">
        <f>$C170*AP169</f>
        <v/>
      </c>
      <c r="AQ170">
        <f>$C170*AQ169</f>
        <v/>
      </c>
      <c r="AR170">
        <f>$C170*AR169</f>
        <v/>
      </c>
      <c r="AS170">
        <f>$C170*AS169</f>
        <v/>
      </c>
      <c r="AT170">
        <f>$C170*AT169</f>
        <v/>
      </c>
      <c r="AU170">
        <f>$C170*AU169</f>
        <v/>
      </c>
      <c r="AV170">
        <f>$C170*AV169</f>
        <v/>
      </c>
      <c r="AW170">
        <f>$C170*AW169</f>
        <v/>
      </c>
      <c r="AX170">
        <f>$C170*AX169</f>
        <v/>
      </c>
      <c r="AY170">
        <f>$C170*AY169</f>
        <v/>
      </c>
      <c r="AZ170">
        <f>$C170*AZ169</f>
        <v/>
      </c>
      <c r="BA170">
        <f>$C170*BA169</f>
        <v/>
      </c>
      <c r="BB170">
        <f>$C170*BB169</f>
        <v/>
      </c>
      <c r="BC170">
        <f>$C170*BC169</f>
        <v/>
      </c>
      <c r="BD170">
        <f>$C170*BD169</f>
        <v/>
      </c>
      <c r="BE170">
        <f>$C170*BE169</f>
        <v/>
      </c>
      <c r="BF170">
        <f>$C170*BF169</f>
        <v/>
      </c>
      <c r="BG170">
        <f>$C170*BG169</f>
        <v/>
      </c>
      <c r="BH170">
        <f>$C170*BH169</f>
        <v/>
      </c>
      <c r="BI170">
        <f>$C170*BI169</f>
        <v/>
      </c>
      <c r="BJ170">
        <f>$C170*BJ169</f>
        <v/>
      </c>
      <c r="BK170">
        <f>$C170*BK169</f>
        <v/>
      </c>
      <c r="BL170">
        <f>$C170*BL169</f>
        <v/>
      </c>
      <c r="BM170">
        <f>$C170*BM169</f>
        <v/>
      </c>
      <c r="BN170">
        <f>$C170*BN169</f>
        <v/>
      </c>
      <c r="BO170">
        <f>$C170*BO169</f>
        <v/>
      </c>
      <c r="BP170">
        <f>$C170*BP169</f>
        <v/>
      </c>
      <c r="BQ170">
        <f>$C170*BQ169</f>
        <v/>
      </c>
      <c r="BR170">
        <f>$C170*BR169</f>
        <v/>
      </c>
      <c r="BS170">
        <f>$C170*BS169</f>
        <v/>
      </c>
      <c r="BT170">
        <f>$C170*BT169</f>
        <v/>
      </c>
      <c r="BU170">
        <f>$C170*BU169</f>
        <v/>
      </c>
      <c r="BV170">
        <f>$C170*BV169</f>
        <v/>
      </c>
      <c r="BW170">
        <f>$C170*BW169</f>
        <v/>
      </c>
      <c r="BX170">
        <f>$C170*BX169</f>
        <v/>
      </c>
      <c r="BY170">
        <f>$C170*BY169</f>
        <v/>
      </c>
      <c r="BZ170">
        <f>$C170*BZ169</f>
        <v/>
      </c>
      <c r="CA170">
        <f>$C170*CA169</f>
        <v/>
      </c>
      <c r="CB170">
        <f>$C170*CB169</f>
        <v/>
      </c>
      <c r="CC170">
        <f>$C170*CC169</f>
        <v/>
      </c>
      <c r="CD170">
        <f>$C170*CD169</f>
        <v/>
      </c>
      <c r="CE170">
        <f>$C170*CE169</f>
        <v/>
      </c>
      <c r="CF170">
        <f>$C170*CF169</f>
        <v/>
      </c>
      <c r="CG170">
        <f>$C170*CG169</f>
        <v/>
      </c>
      <c r="CH170">
        <f>$C170*CH169</f>
        <v/>
      </c>
      <c r="CI170">
        <f>$C170*CI169</f>
        <v/>
      </c>
      <c r="CJ170">
        <f>$C170*CJ169</f>
        <v/>
      </c>
      <c r="CK170">
        <f>$C170*CK169</f>
        <v/>
      </c>
      <c r="CL170">
        <f>$C170*CL169</f>
        <v/>
      </c>
      <c r="CM170">
        <f>$C170*CM169</f>
        <v/>
      </c>
      <c r="CN170">
        <f>$C170*CN169</f>
        <v/>
      </c>
      <c r="CO170">
        <f>$C170*CO169</f>
        <v/>
      </c>
      <c r="CP170">
        <f>$C170*CP169</f>
        <v/>
      </c>
      <c r="CQ170">
        <f>$C170*CQ169</f>
        <v/>
      </c>
      <c r="CR170">
        <f>$C170*CR169</f>
        <v/>
      </c>
      <c r="CS170">
        <f>$C170*CS169</f>
        <v/>
      </c>
      <c r="CT170">
        <f>$C170*CT169</f>
        <v/>
      </c>
      <c r="CU170">
        <f>$C170*CU169</f>
        <v/>
      </c>
      <c r="CV170">
        <f>$C170*CV169</f>
        <v/>
      </c>
      <c r="CW170">
        <f>$C170*CW169</f>
        <v/>
      </c>
      <c r="CX170">
        <f>$C170*CX169</f>
        <v/>
      </c>
      <c r="CY170">
        <f>$C170*CY169</f>
        <v/>
      </c>
      <c r="CZ170">
        <f>$C170*CZ169</f>
        <v/>
      </c>
      <c r="DA170">
        <f>$C170*DA169</f>
        <v/>
      </c>
      <c r="DB170">
        <f>$C170*DB169</f>
        <v/>
      </c>
      <c r="DC170">
        <f>$C170*DC169</f>
        <v/>
      </c>
    </row>
    <row r="171">
      <c r="B171" t="inlineStr">
        <is>
          <t>VSP-603</t>
        </is>
      </c>
      <c r="C171" t="inlineStr">
        <is>
          <t>No. of batches</t>
        </is>
      </c>
      <c r="D171">
        <f>IFERROR(INDEX(PP_Grid[#Data],$DD171,2),0)</f>
        <v/>
      </c>
      <c r="E171">
        <f>IFERROR(INDEX(PP_Grid[#Data],$DD171,3),0)</f>
        <v/>
      </c>
      <c r="F171">
        <f>IFERROR(INDEX(PP_Grid[#Data],$DD171,4),0)</f>
        <v/>
      </c>
      <c r="G171">
        <f>IFERROR(INDEX(PP_Grid[#Data],$DD171,5),0)</f>
        <v/>
      </c>
      <c r="H171">
        <f>IFERROR(INDEX(PP_Grid[#Data],$DD171,6),0)</f>
        <v/>
      </c>
      <c r="I171">
        <f>IFERROR(INDEX(PP_Grid[#Data],$DD171,7),0)</f>
        <v/>
      </c>
      <c r="J171">
        <f>IFERROR(INDEX(PP_Grid[#Data],$DD171,8),0)</f>
        <v/>
      </c>
      <c r="K171">
        <f>IFERROR(INDEX(PP_Grid[#Data],$DD171,9),0)</f>
        <v/>
      </c>
      <c r="L171">
        <f>IFERROR(INDEX(PP_Grid[#Data],$DD171,10),0)</f>
        <v/>
      </c>
      <c r="M171">
        <f>IFERROR(INDEX(PP_Grid[#Data],$DD171,11),0)</f>
        <v/>
      </c>
      <c r="N171">
        <f>IFERROR(INDEX(PP_Grid[#Data],$DD171,12),0)</f>
        <v/>
      </c>
      <c r="O171">
        <f>IFERROR(INDEX(PP_Grid[#Data],$DD171,13),0)</f>
        <v/>
      </c>
      <c r="P171">
        <f>IFERROR(INDEX(PP_Grid[#Data],$DD171,14),0)</f>
        <v/>
      </c>
      <c r="Q171">
        <f>IFERROR(INDEX(PP_Grid[#Data],$DD171,15),0)</f>
        <v/>
      </c>
      <c r="R171">
        <f>IFERROR(INDEX(PP_Grid[#Data],$DD171,16),0)</f>
        <v/>
      </c>
      <c r="S171">
        <f>IFERROR(INDEX(PP_Grid[#Data],$DD171,17),0)</f>
        <v/>
      </c>
      <c r="T171">
        <f>IFERROR(INDEX(PP_Grid[#Data],$DD171,18),0)</f>
        <v/>
      </c>
      <c r="U171">
        <f>IFERROR(INDEX(PP_Grid[#Data],$DD171,19),0)</f>
        <v/>
      </c>
      <c r="V171">
        <f>IFERROR(INDEX(PP_Grid[#Data],$DD171,20),0)</f>
        <v/>
      </c>
      <c r="W171">
        <f>IFERROR(INDEX(PP_Grid[#Data],$DD171,21),0)</f>
        <v/>
      </c>
      <c r="X171">
        <f>IFERROR(INDEX(PP_Grid[#Data],$DD171,22),0)</f>
        <v/>
      </c>
      <c r="Y171">
        <f>IFERROR(INDEX(PP_Grid[#Data],$DD171,23),0)</f>
        <v/>
      </c>
      <c r="Z171">
        <f>IFERROR(INDEX(PP_Grid[#Data],$DD171,24),0)</f>
        <v/>
      </c>
      <c r="AA171">
        <f>IFERROR(INDEX(PP_Grid[#Data],$DD171,25),0)</f>
        <v/>
      </c>
      <c r="AB171">
        <f>IFERROR(INDEX(PP_Grid[#Data],$DD171,26),0)</f>
        <v/>
      </c>
      <c r="AC171">
        <f>IFERROR(INDEX(PP_Grid[#Data],$DD171,27),0)</f>
        <v/>
      </c>
      <c r="AD171">
        <f>IFERROR(INDEX(PP_Grid[#Data],$DD171,28),0)</f>
        <v/>
      </c>
      <c r="AE171">
        <f>IFERROR(INDEX(PP_Grid[#Data],$DD171,29),0)</f>
        <v/>
      </c>
      <c r="AF171">
        <f>IFERROR(INDEX(PP_Grid[#Data],$DD171,30),0)</f>
        <v/>
      </c>
      <c r="AG171">
        <f>IFERROR(INDEX(PP_Grid[#Data],$DD171,31),0)</f>
        <v/>
      </c>
      <c r="AH171">
        <f>IFERROR(INDEX(PP_Grid[#Data],$DD171,32),0)</f>
        <v/>
      </c>
      <c r="AI171">
        <f>IFERROR(INDEX(PP_Grid[#Data],$DD171,33),0)</f>
        <v/>
      </c>
      <c r="AJ171">
        <f>IFERROR(INDEX(PP_Grid[#Data],$DD171,34),0)</f>
        <v/>
      </c>
      <c r="AK171">
        <f>IFERROR(INDEX(PP_Grid[#Data],$DD171,35),0)</f>
        <v/>
      </c>
      <c r="AL171">
        <f>IFERROR(INDEX(PP_Grid[#Data],$DD171,36),0)</f>
        <v/>
      </c>
      <c r="AM171">
        <f>IFERROR(INDEX(PP_Grid[#Data],$DD171,37),0)</f>
        <v/>
      </c>
      <c r="AN171">
        <f>IFERROR(INDEX(PP_Grid[#Data],$DD171,38),0)</f>
        <v/>
      </c>
      <c r="AO171">
        <f>IFERROR(INDEX(PP_Grid[#Data],$DD171,39),0)</f>
        <v/>
      </c>
      <c r="AP171">
        <f>IFERROR(INDEX(PP_Grid[#Data],$DD171,40),0)</f>
        <v/>
      </c>
      <c r="AQ171">
        <f>IFERROR(INDEX(PP_Grid[#Data],$DD171,41),0)</f>
        <v/>
      </c>
      <c r="AR171">
        <f>IFERROR(INDEX(PP_Grid[#Data],$DD171,42),0)</f>
        <v/>
      </c>
      <c r="AS171">
        <f>IFERROR(INDEX(PP_Grid[#Data],$DD171,43),0)</f>
        <v/>
      </c>
      <c r="AT171">
        <f>IFERROR(INDEX(PP_Grid[#Data],$DD171,44),0)</f>
        <v/>
      </c>
      <c r="AU171">
        <f>IFERROR(INDEX(PP_Grid[#Data],$DD171,45),0)</f>
        <v/>
      </c>
      <c r="AV171">
        <f>IFERROR(INDEX(PP_Grid[#Data],$DD171,46),0)</f>
        <v/>
      </c>
      <c r="AW171">
        <f>IFERROR(INDEX(PP_Grid[#Data],$DD171,47),0)</f>
        <v/>
      </c>
      <c r="AX171">
        <f>IFERROR(INDEX(PP_Grid[#Data],$DD171,48),0)</f>
        <v/>
      </c>
      <c r="AY171">
        <f>IFERROR(INDEX(PP_Grid[#Data],$DD171,49),0)</f>
        <v/>
      </c>
      <c r="AZ171">
        <f>IFERROR(INDEX(PP_Grid[#Data],$DD171,50),0)</f>
        <v/>
      </c>
      <c r="BA171">
        <f>IFERROR(INDEX(PP_Grid[#Data],$DD171,51),0)</f>
        <v/>
      </c>
      <c r="BB171">
        <f>IFERROR(INDEX(PP_Grid[#Data],$DD171,52),0)</f>
        <v/>
      </c>
      <c r="BC171">
        <f>IFERROR(INDEX(PP_Grid[#Data],$DD171,53),0)</f>
        <v/>
      </c>
      <c r="BD171">
        <f>IFERROR(INDEX(PP_Grid[#Data],$DD171,54),0)</f>
        <v/>
      </c>
      <c r="BE171">
        <f>IFERROR(INDEX(PP_Grid[#Data],$DD171,55),0)</f>
        <v/>
      </c>
      <c r="BF171">
        <f>IFERROR(INDEX(PP_Grid[#Data],$DD171,56),0)</f>
        <v/>
      </c>
      <c r="BG171">
        <f>IFERROR(INDEX(PP_Grid[#Data],$DD171,57),0)</f>
        <v/>
      </c>
      <c r="BH171">
        <f>IFERROR(INDEX(PP_Grid[#Data],$DD171,58),0)</f>
        <v/>
      </c>
      <c r="BI171">
        <f>IFERROR(INDEX(PP_Grid[#Data],$DD171,59),0)</f>
        <v/>
      </c>
      <c r="BJ171">
        <f>IFERROR(INDEX(PP_Grid[#Data],$DD171,60),0)</f>
        <v/>
      </c>
      <c r="BK171">
        <f>IFERROR(INDEX(PP_Grid[#Data],$DD171,61),0)</f>
        <v/>
      </c>
      <c r="BL171">
        <f>IFERROR(INDEX(PP_Grid[#Data],$DD171,62),0)</f>
        <v/>
      </c>
      <c r="BM171">
        <f>IFERROR(INDEX(PP_Grid[#Data],$DD171,63),0)</f>
        <v/>
      </c>
      <c r="BN171">
        <f>IFERROR(INDEX(PP_Grid[#Data],$DD171,64),0)</f>
        <v/>
      </c>
      <c r="BO171">
        <f>IFERROR(INDEX(PP_Grid[#Data],$DD171,65),0)</f>
        <v/>
      </c>
      <c r="BP171">
        <f>IFERROR(INDEX(PP_Grid[#Data],$DD171,66),0)</f>
        <v/>
      </c>
      <c r="BQ171">
        <f>IFERROR(INDEX(PP_Grid[#Data],$DD171,67),0)</f>
        <v/>
      </c>
      <c r="BR171">
        <f>IFERROR(INDEX(PP_Grid[#Data],$DD171,68),0)</f>
        <v/>
      </c>
      <c r="BS171">
        <f>IFERROR(INDEX(PP_Grid[#Data],$DD171,69),0)</f>
        <v/>
      </c>
      <c r="BT171">
        <f>IFERROR(INDEX(PP_Grid[#Data],$DD171,70),0)</f>
        <v/>
      </c>
      <c r="BU171">
        <f>IFERROR(INDEX(PP_Grid[#Data],$DD171,71),0)</f>
        <v/>
      </c>
      <c r="BV171">
        <f>IFERROR(INDEX(PP_Grid[#Data],$DD171,72),0)</f>
        <v/>
      </c>
      <c r="BW171">
        <f>IFERROR(INDEX(PP_Grid[#Data],$DD171,73),0)</f>
        <v/>
      </c>
      <c r="BX171">
        <f>IFERROR(INDEX(PP_Grid[#Data],$DD171,74),0)</f>
        <v/>
      </c>
      <c r="BY171">
        <f>IFERROR(INDEX(PP_Grid[#Data],$DD171,75),0)</f>
        <v/>
      </c>
      <c r="BZ171">
        <f>IFERROR(INDEX(PP_Grid[#Data],$DD171,76),0)</f>
        <v/>
      </c>
      <c r="CA171">
        <f>IFERROR(INDEX(PP_Grid[#Data],$DD171,77),0)</f>
        <v/>
      </c>
      <c r="CB171">
        <f>IFERROR(INDEX(PP_Grid[#Data],$DD171,78),0)</f>
        <v/>
      </c>
      <c r="CC171">
        <f>IFERROR(INDEX(PP_Grid[#Data],$DD171,79),0)</f>
        <v/>
      </c>
      <c r="CD171">
        <f>IFERROR(INDEX(PP_Grid[#Data],$DD171,80),0)</f>
        <v/>
      </c>
      <c r="CE171">
        <f>IFERROR(INDEX(PP_Grid[#Data],$DD171,81),0)</f>
        <v/>
      </c>
      <c r="CF171">
        <f>IFERROR(INDEX(PP_Grid[#Data],$DD171,82),0)</f>
        <v/>
      </c>
      <c r="CG171">
        <f>IFERROR(INDEX(PP_Grid[#Data],$DD171,83),0)</f>
        <v/>
      </c>
      <c r="CH171">
        <f>IFERROR(INDEX(PP_Grid[#Data],$DD171,84),0)</f>
        <v/>
      </c>
      <c r="CI171">
        <f>IFERROR(INDEX(PP_Grid[#Data],$DD171,85),0)</f>
        <v/>
      </c>
      <c r="CJ171">
        <f>IFERROR(INDEX(PP_Grid[#Data],$DD171,86),0)</f>
        <v/>
      </c>
      <c r="CK171">
        <f>IFERROR(INDEX(PP_Grid[#Data],$DD171,87),0)</f>
        <v/>
      </c>
      <c r="CL171">
        <f>IFERROR(INDEX(PP_Grid[#Data],$DD171,88),0)</f>
        <v/>
      </c>
      <c r="CM171">
        <f>IFERROR(INDEX(PP_Grid[#Data],$DD171,89),0)</f>
        <v/>
      </c>
      <c r="CN171">
        <f>IFERROR(INDEX(PP_Grid[#Data],$DD171,90),0)</f>
        <v/>
      </c>
      <c r="CO171">
        <f>IFERROR(INDEX(PP_Grid[#Data],$DD171,91),0)</f>
        <v/>
      </c>
      <c r="CP171">
        <f>IFERROR(INDEX(PP_Grid[#Data],$DD171,92),0)</f>
        <v/>
      </c>
      <c r="CQ171">
        <f>IFERROR(INDEX(PP_Grid[#Data],$DD171,93),0)</f>
        <v/>
      </c>
      <c r="CR171">
        <f>IFERROR(INDEX(PP_Grid[#Data],$DD171,94),0)</f>
        <v/>
      </c>
      <c r="CS171">
        <f>IFERROR(INDEX(PP_Grid[#Data],$DD171,95),0)</f>
        <v/>
      </c>
      <c r="CT171">
        <f>IFERROR(INDEX(PP_Grid[#Data],$DD171,96),0)</f>
        <v/>
      </c>
      <c r="CU171">
        <f>IFERROR(INDEX(PP_Grid[#Data],$DD171,97),0)</f>
        <v/>
      </c>
      <c r="CV171">
        <f>IFERROR(INDEX(PP_Grid[#Data],$DD171,98),0)</f>
        <v/>
      </c>
      <c r="CW171">
        <f>IFERROR(INDEX(PP_Grid[#Data],$DD171,99),0)</f>
        <v/>
      </c>
      <c r="CX171">
        <f>IFERROR(INDEX(PP_Grid[#Data],$DD171,100),0)</f>
        <v/>
      </c>
      <c r="CY171">
        <f>IFERROR(INDEX(PP_Grid[#Data],$DD171,101),0)</f>
        <v/>
      </c>
      <c r="CZ171">
        <f>IFERROR(INDEX(PP_Grid[#Data],$DD171,102),0)</f>
        <v/>
      </c>
      <c r="DA171">
        <f>IFERROR(INDEX(PP_Grid[#Data],$DD171,103),0)</f>
        <v/>
      </c>
      <c r="DB171">
        <f>IFERROR(INDEX(PP_Grid[#Data],$DD171,104),0)</f>
        <v/>
      </c>
      <c r="DC171">
        <f>IFERROR(INDEX(PP_Grid[#Data],$DD171,105),0)</f>
        <v/>
      </c>
      <c r="DD171" s="7">
        <f>IFERROR(MATCH($B171,PP_Grid[Intermediate],0),99999)</f>
        <v/>
      </c>
    </row>
    <row r="172">
      <c r="B172" t="inlineStr">
        <is>
          <t>使用量(kg)</t>
        </is>
      </c>
      <c r="C172">
        <f>SUMIFS(M_BOM[RM_Qty_Per_Batch],M_BOM[Intermediate],$B171,M_BOM[Part Name],$A44)</f>
        <v/>
      </c>
      <c r="D172">
        <f>$C172*D171</f>
        <v/>
      </c>
      <c r="E172">
        <f>$C172*E171</f>
        <v/>
      </c>
      <c r="F172">
        <f>$C172*F171</f>
        <v/>
      </c>
      <c r="G172">
        <f>$C172*G171</f>
        <v/>
      </c>
      <c r="H172">
        <f>$C172*H171</f>
        <v/>
      </c>
      <c r="I172">
        <f>$C172*I171</f>
        <v/>
      </c>
      <c r="J172">
        <f>$C172*J171</f>
        <v/>
      </c>
      <c r="K172">
        <f>$C172*K171</f>
        <v/>
      </c>
      <c r="L172">
        <f>$C172*L171</f>
        <v/>
      </c>
      <c r="M172">
        <f>$C172*M171</f>
        <v/>
      </c>
      <c r="N172">
        <f>$C172*N171</f>
        <v/>
      </c>
      <c r="O172">
        <f>$C172*O171</f>
        <v/>
      </c>
      <c r="P172">
        <f>$C172*P171</f>
        <v/>
      </c>
      <c r="Q172">
        <f>$C172*Q171</f>
        <v/>
      </c>
      <c r="R172">
        <f>$C172*R171</f>
        <v/>
      </c>
      <c r="S172">
        <f>$C172*S171</f>
        <v/>
      </c>
      <c r="T172">
        <f>$C172*T171</f>
        <v/>
      </c>
      <c r="U172">
        <f>$C172*U171</f>
        <v/>
      </c>
      <c r="V172">
        <f>$C172*V171</f>
        <v/>
      </c>
      <c r="W172">
        <f>$C172*W171</f>
        <v/>
      </c>
      <c r="X172">
        <f>$C172*X171</f>
        <v/>
      </c>
      <c r="Y172">
        <f>$C172*Y171</f>
        <v/>
      </c>
      <c r="Z172">
        <f>$C172*Z171</f>
        <v/>
      </c>
      <c r="AA172">
        <f>$C172*AA171</f>
        <v/>
      </c>
      <c r="AB172">
        <f>$C172*AB171</f>
        <v/>
      </c>
      <c r="AC172">
        <f>$C172*AC171</f>
        <v/>
      </c>
      <c r="AD172">
        <f>$C172*AD171</f>
        <v/>
      </c>
      <c r="AE172">
        <f>$C172*AE171</f>
        <v/>
      </c>
      <c r="AF172">
        <f>$C172*AF171</f>
        <v/>
      </c>
      <c r="AG172">
        <f>$C172*AG171</f>
        <v/>
      </c>
      <c r="AH172">
        <f>$C172*AH171</f>
        <v/>
      </c>
      <c r="AI172">
        <f>$C172*AI171</f>
        <v/>
      </c>
      <c r="AJ172">
        <f>$C172*AJ171</f>
        <v/>
      </c>
      <c r="AK172">
        <f>$C172*AK171</f>
        <v/>
      </c>
      <c r="AL172">
        <f>$C172*AL171</f>
        <v/>
      </c>
      <c r="AM172">
        <f>$C172*AM171</f>
        <v/>
      </c>
      <c r="AN172">
        <f>$C172*AN171</f>
        <v/>
      </c>
      <c r="AO172">
        <f>$C172*AO171</f>
        <v/>
      </c>
      <c r="AP172">
        <f>$C172*AP171</f>
        <v/>
      </c>
      <c r="AQ172">
        <f>$C172*AQ171</f>
        <v/>
      </c>
      <c r="AR172">
        <f>$C172*AR171</f>
        <v/>
      </c>
      <c r="AS172">
        <f>$C172*AS171</f>
        <v/>
      </c>
      <c r="AT172">
        <f>$C172*AT171</f>
        <v/>
      </c>
      <c r="AU172">
        <f>$C172*AU171</f>
        <v/>
      </c>
      <c r="AV172">
        <f>$C172*AV171</f>
        <v/>
      </c>
      <c r="AW172">
        <f>$C172*AW171</f>
        <v/>
      </c>
      <c r="AX172">
        <f>$C172*AX171</f>
        <v/>
      </c>
      <c r="AY172">
        <f>$C172*AY171</f>
        <v/>
      </c>
      <c r="AZ172">
        <f>$C172*AZ171</f>
        <v/>
      </c>
      <c r="BA172">
        <f>$C172*BA171</f>
        <v/>
      </c>
      <c r="BB172">
        <f>$C172*BB171</f>
        <v/>
      </c>
      <c r="BC172">
        <f>$C172*BC171</f>
        <v/>
      </c>
      <c r="BD172">
        <f>$C172*BD171</f>
        <v/>
      </c>
      <c r="BE172">
        <f>$C172*BE171</f>
        <v/>
      </c>
      <c r="BF172">
        <f>$C172*BF171</f>
        <v/>
      </c>
      <c r="BG172">
        <f>$C172*BG171</f>
        <v/>
      </c>
      <c r="BH172">
        <f>$C172*BH171</f>
        <v/>
      </c>
      <c r="BI172">
        <f>$C172*BI171</f>
        <v/>
      </c>
      <c r="BJ172">
        <f>$C172*BJ171</f>
        <v/>
      </c>
      <c r="BK172">
        <f>$C172*BK171</f>
        <v/>
      </c>
      <c r="BL172">
        <f>$C172*BL171</f>
        <v/>
      </c>
      <c r="BM172">
        <f>$C172*BM171</f>
        <v/>
      </c>
      <c r="BN172">
        <f>$C172*BN171</f>
        <v/>
      </c>
      <c r="BO172">
        <f>$C172*BO171</f>
        <v/>
      </c>
      <c r="BP172">
        <f>$C172*BP171</f>
        <v/>
      </c>
      <c r="BQ172">
        <f>$C172*BQ171</f>
        <v/>
      </c>
      <c r="BR172">
        <f>$C172*BR171</f>
        <v/>
      </c>
      <c r="BS172">
        <f>$C172*BS171</f>
        <v/>
      </c>
      <c r="BT172">
        <f>$C172*BT171</f>
        <v/>
      </c>
      <c r="BU172">
        <f>$C172*BU171</f>
        <v/>
      </c>
      <c r="BV172">
        <f>$C172*BV171</f>
        <v/>
      </c>
      <c r="BW172">
        <f>$C172*BW171</f>
        <v/>
      </c>
      <c r="BX172">
        <f>$C172*BX171</f>
        <v/>
      </c>
      <c r="BY172">
        <f>$C172*BY171</f>
        <v/>
      </c>
      <c r="BZ172">
        <f>$C172*BZ171</f>
        <v/>
      </c>
      <c r="CA172">
        <f>$C172*CA171</f>
        <v/>
      </c>
      <c r="CB172">
        <f>$C172*CB171</f>
        <v/>
      </c>
      <c r="CC172">
        <f>$C172*CC171</f>
        <v/>
      </c>
      <c r="CD172">
        <f>$C172*CD171</f>
        <v/>
      </c>
      <c r="CE172">
        <f>$C172*CE171</f>
        <v/>
      </c>
      <c r="CF172">
        <f>$C172*CF171</f>
        <v/>
      </c>
      <c r="CG172">
        <f>$C172*CG171</f>
        <v/>
      </c>
      <c r="CH172">
        <f>$C172*CH171</f>
        <v/>
      </c>
      <c r="CI172">
        <f>$C172*CI171</f>
        <v/>
      </c>
      <c r="CJ172">
        <f>$C172*CJ171</f>
        <v/>
      </c>
      <c r="CK172">
        <f>$C172*CK171</f>
        <v/>
      </c>
      <c r="CL172">
        <f>$C172*CL171</f>
        <v/>
      </c>
      <c r="CM172">
        <f>$C172*CM171</f>
        <v/>
      </c>
      <c r="CN172">
        <f>$C172*CN171</f>
        <v/>
      </c>
      <c r="CO172">
        <f>$C172*CO171</f>
        <v/>
      </c>
      <c r="CP172">
        <f>$C172*CP171</f>
        <v/>
      </c>
      <c r="CQ172">
        <f>$C172*CQ171</f>
        <v/>
      </c>
      <c r="CR172">
        <f>$C172*CR171</f>
        <v/>
      </c>
      <c r="CS172">
        <f>$C172*CS171</f>
        <v/>
      </c>
      <c r="CT172">
        <f>$C172*CT171</f>
        <v/>
      </c>
      <c r="CU172">
        <f>$C172*CU171</f>
        <v/>
      </c>
      <c r="CV172">
        <f>$C172*CV171</f>
        <v/>
      </c>
      <c r="CW172">
        <f>$C172*CW171</f>
        <v/>
      </c>
      <c r="CX172">
        <f>$C172*CX171</f>
        <v/>
      </c>
      <c r="CY172">
        <f>$C172*CY171</f>
        <v/>
      </c>
      <c r="CZ172">
        <f>$C172*CZ171</f>
        <v/>
      </c>
      <c r="DA172">
        <f>$C172*DA171</f>
        <v/>
      </c>
      <c r="DB172">
        <f>$C172*DB171</f>
        <v/>
      </c>
      <c r="DC172">
        <f>$C172*DC171</f>
        <v/>
      </c>
    </row>
    <row r="173">
      <c r="B173" t="inlineStr">
        <is>
          <t>VSP-604</t>
        </is>
      </c>
      <c r="C173" t="inlineStr">
        <is>
          <t>No. of batches</t>
        </is>
      </c>
      <c r="D173">
        <f>IFERROR(INDEX(PP_Grid[#Data],$DD173,2),0)</f>
        <v/>
      </c>
      <c r="E173">
        <f>IFERROR(INDEX(PP_Grid[#Data],$DD173,3),0)</f>
        <v/>
      </c>
      <c r="F173">
        <f>IFERROR(INDEX(PP_Grid[#Data],$DD173,4),0)</f>
        <v/>
      </c>
      <c r="G173">
        <f>IFERROR(INDEX(PP_Grid[#Data],$DD173,5),0)</f>
        <v/>
      </c>
      <c r="H173">
        <f>IFERROR(INDEX(PP_Grid[#Data],$DD173,6),0)</f>
        <v/>
      </c>
      <c r="I173">
        <f>IFERROR(INDEX(PP_Grid[#Data],$DD173,7),0)</f>
        <v/>
      </c>
      <c r="J173">
        <f>IFERROR(INDEX(PP_Grid[#Data],$DD173,8),0)</f>
        <v/>
      </c>
      <c r="K173">
        <f>IFERROR(INDEX(PP_Grid[#Data],$DD173,9),0)</f>
        <v/>
      </c>
      <c r="L173">
        <f>IFERROR(INDEX(PP_Grid[#Data],$DD173,10),0)</f>
        <v/>
      </c>
      <c r="M173">
        <f>IFERROR(INDEX(PP_Grid[#Data],$DD173,11),0)</f>
        <v/>
      </c>
      <c r="N173">
        <f>IFERROR(INDEX(PP_Grid[#Data],$DD173,12),0)</f>
        <v/>
      </c>
      <c r="O173">
        <f>IFERROR(INDEX(PP_Grid[#Data],$DD173,13),0)</f>
        <v/>
      </c>
      <c r="P173">
        <f>IFERROR(INDEX(PP_Grid[#Data],$DD173,14),0)</f>
        <v/>
      </c>
      <c r="Q173">
        <f>IFERROR(INDEX(PP_Grid[#Data],$DD173,15),0)</f>
        <v/>
      </c>
      <c r="R173">
        <f>IFERROR(INDEX(PP_Grid[#Data],$DD173,16),0)</f>
        <v/>
      </c>
      <c r="S173">
        <f>IFERROR(INDEX(PP_Grid[#Data],$DD173,17),0)</f>
        <v/>
      </c>
      <c r="T173">
        <f>IFERROR(INDEX(PP_Grid[#Data],$DD173,18),0)</f>
        <v/>
      </c>
      <c r="U173">
        <f>IFERROR(INDEX(PP_Grid[#Data],$DD173,19),0)</f>
        <v/>
      </c>
      <c r="V173">
        <f>IFERROR(INDEX(PP_Grid[#Data],$DD173,20),0)</f>
        <v/>
      </c>
      <c r="W173">
        <f>IFERROR(INDEX(PP_Grid[#Data],$DD173,21),0)</f>
        <v/>
      </c>
      <c r="X173">
        <f>IFERROR(INDEX(PP_Grid[#Data],$DD173,22),0)</f>
        <v/>
      </c>
      <c r="Y173">
        <f>IFERROR(INDEX(PP_Grid[#Data],$DD173,23),0)</f>
        <v/>
      </c>
      <c r="Z173">
        <f>IFERROR(INDEX(PP_Grid[#Data],$DD173,24),0)</f>
        <v/>
      </c>
      <c r="AA173">
        <f>IFERROR(INDEX(PP_Grid[#Data],$DD173,25),0)</f>
        <v/>
      </c>
      <c r="AB173">
        <f>IFERROR(INDEX(PP_Grid[#Data],$DD173,26),0)</f>
        <v/>
      </c>
      <c r="AC173">
        <f>IFERROR(INDEX(PP_Grid[#Data],$DD173,27),0)</f>
        <v/>
      </c>
      <c r="AD173">
        <f>IFERROR(INDEX(PP_Grid[#Data],$DD173,28),0)</f>
        <v/>
      </c>
      <c r="AE173">
        <f>IFERROR(INDEX(PP_Grid[#Data],$DD173,29),0)</f>
        <v/>
      </c>
      <c r="AF173">
        <f>IFERROR(INDEX(PP_Grid[#Data],$DD173,30),0)</f>
        <v/>
      </c>
      <c r="AG173">
        <f>IFERROR(INDEX(PP_Grid[#Data],$DD173,31),0)</f>
        <v/>
      </c>
      <c r="AH173">
        <f>IFERROR(INDEX(PP_Grid[#Data],$DD173,32),0)</f>
        <v/>
      </c>
      <c r="AI173">
        <f>IFERROR(INDEX(PP_Grid[#Data],$DD173,33),0)</f>
        <v/>
      </c>
      <c r="AJ173">
        <f>IFERROR(INDEX(PP_Grid[#Data],$DD173,34),0)</f>
        <v/>
      </c>
      <c r="AK173">
        <f>IFERROR(INDEX(PP_Grid[#Data],$DD173,35),0)</f>
        <v/>
      </c>
      <c r="AL173">
        <f>IFERROR(INDEX(PP_Grid[#Data],$DD173,36),0)</f>
        <v/>
      </c>
      <c r="AM173">
        <f>IFERROR(INDEX(PP_Grid[#Data],$DD173,37),0)</f>
        <v/>
      </c>
      <c r="AN173">
        <f>IFERROR(INDEX(PP_Grid[#Data],$DD173,38),0)</f>
        <v/>
      </c>
      <c r="AO173">
        <f>IFERROR(INDEX(PP_Grid[#Data],$DD173,39),0)</f>
        <v/>
      </c>
      <c r="AP173">
        <f>IFERROR(INDEX(PP_Grid[#Data],$DD173,40),0)</f>
        <v/>
      </c>
      <c r="AQ173">
        <f>IFERROR(INDEX(PP_Grid[#Data],$DD173,41),0)</f>
        <v/>
      </c>
      <c r="AR173">
        <f>IFERROR(INDEX(PP_Grid[#Data],$DD173,42),0)</f>
        <v/>
      </c>
      <c r="AS173">
        <f>IFERROR(INDEX(PP_Grid[#Data],$DD173,43),0)</f>
        <v/>
      </c>
      <c r="AT173">
        <f>IFERROR(INDEX(PP_Grid[#Data],$DD173,44),0)</f>
        <v/>
      </c>
      <c r="AU173">
        <f>IFERROR(INDEX(PP_Grid[#Data],$DD173,45),0)</f>
        <v/>
      </c>
      <c r="AV173">
        <f>IFERROR(INDEX(PP_Grid[#Data],$DD173,46),0)</f>
        <v/>
      </c>
      <c r="AW173">
        <f>IFERROR(INDEX(PP_Grid[#Data],$DD173,47),0)</f>
        <v/>
      </c>
      <c r="AX173">
        <f>IFERROR(INDEX(PP_Grid[#Data],$DD173,48),0)</f>
        <v/>
      </c>
      <c r="AY173">
        <f>IFERROR(INDEX(PP_Grid[#Data],$DD173,49),0)</f>
        <v/>
      </c>
      <c r="AZ173">
        <f>IFERROR(INDEX(PP_Grid[#Data],$DD173,50),0)</f>
        <v/>
      </c>
      <c r="BA173">
        <f>IFERROR(INDEX(PP_Grid[#Data],$DD173,51),0)</f>
        <v/>
      </c>
      <c r="BB173">
        <f>IFERROR(INDEX(PP_Grid[#Data],$DD173,52),0)</f>
        <v/>
      </c>
      <c r="BC173">
        <f>IFERROR(INDEX(PP_Grid[#Data],$DD173,53),0)</f>
        <v/>
      </c>
      <c r="BD173">
        <f>IFERROR(INDEX(PP_Grid[#Data],$DD173,54),0)</f>
        <v/>
      </c>
      <c r="BE173">
        <f>IFERROR(INDEX(PP_Grid[#Data],$DD173,55),0)</f>
        <v/>
      </c>
      <c r="BF173">
        <f>IFERROR(INDEX(PP_Grid[#Data],$DD173,56),0)</f>
        <v/>
      </c>
      <c r="BG173">
        <f>IFERROR(INDEX(PP_Grid[#Data],$DD173,57),0)</f>
        <v/>
      </c>
      <c r="BH173">
        <f>IFERROR(INDEX(PP_Grid[#Data],$DD173,58),0)</f>
        <v/>
      </c>
      <c r="BI173">
        <f>IFERROR(INDEX(PP_Grid[#Data],$DD173,59),0)</f>
        <v/>
      </c>
      <c r="BJ173">
        <f>IFERROR(INDEX(PP_Grid[#Data],$DD173,60),0)</f>
        <v/>
      </c>
      <c r="BK173">
        <f>IFERROR(INDEX(PP_Grid[#Data],$DD173,61),0)</f>
        <v/>
      </c>
      <c r="BL173">
        <f>IFERROR(INDEX(PP_Grid[#Data],$DD173,62),0)</f>
        <v/>
      </c>
      <c r="BM173">
        <f>IFERROR(INDEX(PP_Grid[#Data],$DD173,63),0)</f>
        <v/>
      </c>
      <c r="BN173">
        <f>IFERROR(INDEX(PP_Grid[#Data],$DD173,64),0)</f>
        <v/>
      </c>
      <c r="BO173">
        <f>IFERROR(INDEX(PP_Grid[#Data],$DD173,65),0)</f>
        <v/>
      </c>
      <c r="BP173">
        <f>IFERROR(INDEX(PP_Grid[#Data],$DD173,66),0)</f>
        <v/>
      </c>
      <c r="BQ173">
        <f>IFERROR(INDEX(PP_Grid[#Data],$DD173,67),0)</f>
        <v/>
      </c>
      <c r="BR173">
        <f>IFERROR(INDEX(PP_Grid[#Data],$DD173,68),0)</f>
        <v/>
      </c>
      <c r="BS173">
        <f>IFERROR(INDEX(PP_Grid[#Data],$DD173,69),0)</f>
        <v/>
      </c>
      <c r="BT173">
        <f>IFERROR(INDEX(PP_Grid[#Data],$DD173,70),0)</f>
        <v/>
      </c>
      <c r="BU173">
        <f>IFERROR(INDEX(PP_Grid[#Data],$DD173,71),0)</f>
        <v/>
      </c>
      <c r="BV173">
        <f>IFERROR(INDEX(PP_Grid[#Data],$DD173,72),0)</f>
        <v/>
      </c>
      <c r="BW173">
        <f>IFERROR(INDEX(PP_Grid[#Data],$DD173,73),0)</f>
        <v/>
      </c>
      <c r="BX173">
        <f>IFERROR(INDEX(PP_Grid[#Data],$DD173,74),0)</f>
        <v/>
      </c>
      <c r="BY173">
        <f>IFERROR(INDEX(PP_Grid[#Data],$DD173,75),0)</f>
        <v/>
      </c>
      <c r="BZ173">
        <f>IFERROR(INDEX(PP_Grid[#Data],$DD173,76),0)</f>
        <v/>
      </c>
      <c r="CA173">
        <f>IFERROR(INDEX(PP_Grid[#Data],$DD173,77),0)</f>
        <v/>
      </c>
      <c r="CB173">
        <f>IFERROR(INDEX(PP_Grid[#Data],$DD173,78),0)</f>
        <v/>
      </c>
      <c r="CC173">
        <f>IFERROR(INDEX(PP_Grid[#Data],$DD173,79),0)</f>
        <v/>
      </c>
      <c r="CD173">
        <f>IFERROR(INDEX(PP_Grid[#Data],$DD173,80),0)</f>
        <v/>
      </c>
      <c r="CE173">
        <f>IFERROR(INDEX(PP_Grid[#Data],$DD173,81),0)</f>
        <v/>
      </c>
      <c r="CF173">
        <f>IFERROR(INDEX(PP_Grid[#Data],$DD173,82),0)</f>
        <v/>
      </c>
      <c r="CG173">
        <f>IFERROR(INDEX(PP_Grid[#Data],$DD173,83),0)</f>
        <v/>
      </c>
      <c r="CH173">
        <f>IFERROR(INDEX(PP_Grid[#Data],$DD173,84),0)</f>
        <v/>
      </c>
      <c r="CI173">
        <f>IFERROR(INDEX(PP_Grid[#Data],$DD173,85),0)</f>
        <v/>
      </c>
      <c r="CJ173">
        <f>IFERROR(INDEX(PP_Grid[#Data],$DD173,86),0)</f>
        <v/>
      </c>
      <c r="CK173">
        <f>IFERROR(INDEX(PP_Grid[#Data],$DD173,87),0)</f>
        <v/>
      </c>
      <c r="CL173">
        <f>IFERROR(INDEX(PP_Grid[#Data],$DD173,88),0)</f>
        <v/>
      </c>
      <c r="CM173">
        <f>IFERROR(INDEX(PP_Grid[#Data],$DD173,89),0)</f>
        <v/>
      </c>
      <c r="CN173">
        <f>IFERROR(INDEX(PP_Grid[#Data],$DD173,90),0)</f>
        <v/>
      </c>
      <c r="CO173">
        <f>IFERROR(INDEX(PP_Grid[#Data],$DD173,91),0)</f>
        <v/>
      </c>
      <c r="CP173">
        <f>IFERROR(INDEX(PP_Grid[#Data],$DD173,92),0)</f>
        <v/>
      </c>
      <c r="CQ173">
        <f>IFERROR(INDEX(PP_Grid[#Data],$DD173,93),0)</f>
        <v/>
      </c>
      <c r="CR173">
        <f>IFERROR(INDEX(PP_Grid[#Data],$DD173,94),0)</f>
        <v/>
      </c>
      <c r="CS173">
        <f>IFERROR(INDEX(PP_Grid[#Data],$DD173,95),0)</f>
        <v/>
      </c>
      <c r="CT173">
        <f>IFERROR(INDEX(PP_Grid[#Data],$DD173,96),0)</f>
        <v/>
      </c>
      <c r="CU173">
        <f>IFERROR(INDEX(PP_Grid[#Data],$DD173,97),0)</f>
        <v/>
      </c>
      <c r="CV173">
        <f>IFERROR(INDEX(PP_Grid[#Data],$DD173,98),0)</f>
        <v/>
      </c>
      <c r="CW173">
        <f>IFERROR(INDEX(PP_Grid[#Data],$DD173,99),0)</f>
        <v/>
      </c>
      <c r="CX173">
        <f>IFERROR(INDEX(PP_Grid[#Data],$DD173,100),0)</f>
        <v/>
      </c>
      <c r="CY173">
        <f>IFERROR(INDEX(PP_Grid[#Data],$DD173,101),0)</f>
        <v/>
      </c>
      <c r="CZ173">
        <f>IFERROR(INDEX(PP_Grid[#Data],$DD173,102),0)</f>
        <v/>
      </c>
      <c r="DA173">
        <f>IFERROR(INDEX(PP_Grid[#Data],$DD173,103),0)</f>
        <v/>
      </c>
      <c r="DB173">
        <f>IFERROR(INDEX(PP_Grid[#Data],$DD173,104),0)</f>
        <v/>
      </c>
      <c r="DC173">
        <f>IFERROR(INDEX(PP_Grid[#Data],$DD173,105),0)</f>
        <v/>
      </c>
      <c r="DD173" s="7">
        <f>IFERROR(MATCH($B173,PP_Grid[Intermediate],0),99999)</f>
        <v/>
      </c>
    </row>
    <row r="174">
      <c r="B174" t="inlineStr">
        <is>
          <t>使用量(kg)</t>
        </is>
      </c>
      <c r="C174">
        <f>SUMIFS(M_BOM[RM_Qty_Per_Batch],M_BOM[Intermediate],$B173,M_BOM[Part Name],$A44)</f>
        <v/>
      </c>
      <c r="D174">
        <f>$C174*D173</f>
        <v/>
      </c>
      <c r="E174">
        <f>$C174*E173</f>
        <v/>
      </c>
      <c r="F174">
        <f>$C174*F173</f>
        <v/>
      </c>
      <c r="G174">
        <f>$C174*G173</f>
        <v/>
      </c>
      <c r="H174">
        <f>$C174*H173</f>
        <v/>
      </c>
      <c r="I174">
        <f>$C174*I173</f>
        <v/>
      </c>
      <c r="J174">
        <f>$C174*J173</f>
        <v/>
      </c>
      <c r="K174">
        <f>$C174*K173</f>
        <v/>
      </c>
      <c r="L174">
        <f>$C174*L173</f>
        <v/>
      </c>
      <c r="M174">
        <f>$C174*M173</f>
        <v/>
      </c>
      <c r="N174">
        <f>$C174*N173</f>
        <v/>
      </c>
      <c r="O174">
        <f>$C174*O173</f>
        <v/>
      </c>
      <c r="P174">
        <f>$C174*P173</f>
        <v/>
      </c>
      <c r="Q174">
        <f>$C174*Q173</f>
        <v/>
      </c>
      <c r="R174">
        <f>$C174*R173</f>
        <v/>
      </c>
      <c r="S174">
        <f>$C174*S173</f>
        <v/>
      </c>
      <c r="T174">
        <f>$C174*T173</f>
        <v/>
      </c>
      <c r="U174">
        <f>$C174*U173</f>
        <v/>
      </c>
      <c r="V174">
        <f>$C174*V173</f>
        <v/>
      </c>
      <c r="W174">
        <f>$C174*W173</f>
        <v/>
      </c>
      <c r="X174">
        <f>$C174*X173</f>
        <v/>
      </c>
      <c r="Y174">
        <f>$C174*Y173</f>
        <v/>
      </c>
      <c r="Z174">
        <f>$C174*Z173</f>
        <v/>
      </c>
      <c r="AA174">
        <f>$C174*AA173</f>
        <v/>
      </c>
      <c r="AB174">
        <f>$C174*AB173</f>
        <v/>
      </c>
      <c r="AC174">
        <f>$C174*AC173</f>
        <v/>
      </c>
      <c r="AD174">
        <f>$C174*AD173</f>
        <v/>
      </c>
      <c r="AE174">
        <f>$C174*AE173</f>
        <v/>
      </c>
      <c r="AF174">
        <f>$C174*AF173</f>
        <v/>
      </c>
      <c r="AG174">
        <f>$C174*AG173</f>
        <v/>
      </c>
      <c r="AH174">
        <f>$C174*AH173</f>
        <v/>
      </c>
      <c r="AI174">
        <f>$C174*AI173</f>
        <v/>
      </c>
      <c r="AJ174">
        <f>$C174*AJ173</f>
        <v/>
      </c>
      <c r="AK174">
        <f>$C174*AK173</f>
        <v/>
      </c>
      <c r="AL174">
        <f>$C174*AL173</f>
        <v/>
      </c>
      <c r="AM174">
        <f>$C174*AM173</f>
        <v/>
      </c>
      <c r="AN174">
        <f>$C174*AN173</f>
        <v/>
      </c>
      <c r="AO174">
        <f>$C174*AO173</f>
        <v/>
      </c>
      <c r="AP174">
        <f>$C174*AP173</f>
        <v/>
      </c>
      <c r="AQ174">
        <f>$C174*AQ173</f>
        <v/>
      </c>
      <c r="AR174">
        <f>$C174*AR173</f>
        <v/>
      </c>
      <c r="AS174">
        <f>$C174*AS173</f>
        <v/>
      </c>
      <c r="AT174">
        <f>$C174*AT173</f>
        <v/>
      </c>
      <c r="AU174">
        <f>$C174*AU173</f>
        <v/>
      </c>
      <c r="AV174">
        <f>$C174*AV173</f>
        <v/>
      </c>
      <c r="AW174">
        <f>$C174*AW173</f>
        <v/>
      </c>
      <c r="AX174">
        <f>$C174*AX173</f>
        <v/>
      </c>
      <c r="AY174">
        <f>$C174*AY173</f>
        <v/>
      </c>
      <c r="AZ174">
        <f>$C174*AZ173</f>
        <v/>
      </c>
      <c r="BA174">
        <f>$C174*BA173</f>
        <v/>
      </c>
      <c r="BB174">
        <f>$C174*BB173</f>
        <v/>
      </c>
      <c r="BC174">
        <f>$C174*BC173</f>
        <v/>
      </c>
      <c r="BD174">
        <f>$C174*BD173</f>
        <v/>
      </c>
      <c r="BE174">
        <f>$C174*BE173</f>
        <v/>
      </c>
      <c r="BF174">
        <f>$C174*BF173</f>
        <v/>
      </c>
      <c r="BG174">
        <f>$C174*BG173</f>
        <v/>
      </c>
      <c r="BH174">
        <f>$C174*BH173</f>
        <v/>
      </c>
      <c r="BI174">
        <f>$C174*BI173</f>
        <v/>
      </c>
      <c r="BJ174">
        <f>$C174*BJ173</f>
        <v/>
      </c>
      <c r="BK174">
        <f>$C174*BK173</f>
        <v/>
      </c>
      <c r="BL174">
        <f>$C174*BL173</f>
        <v/>
      </c>
      <c r="BM174">
        <f>$C174*BM173</f>
        <v/>
      </c>
      <c r="BN174">
        <f>$C174*BN173</f>
        <v/>
      </c>
      <c r="BO174">
        <f>$C174*BO173</f>
        <v/>
      </c>
      <c r="BP174">
        <f>$C174*BP173</f>
        <v/>
      </c>
      <c r="BQ174">
        <f>$C174*BQ173</f>
        <v/>
      </c>
      <c r="BR174">
        <f>$C174*BR173</f>
        <v/>
      </c>
      <c r="BS174">
        <f>$C174*BS173</f>
        <v/>
      </c>
      <c r="BT174">
        <f>$C174*BT173</f>
        <v/>
      </c>
      <c r="BU174">
        <f>$C174*BU173</f>
        <v/>
      </c>
      <c r="BV174">
        <f>$C174*BV173</f>
        <v/>
      </c>
      <c r="BW174">
        <f>$C174*BW173</f>
        <v/>
      </c>
      <c r="BX174">
        <f>$C174*BX173</f>
        <v/>
      </c>
      <c r="BY174">
        <f>$C174*BY173</f>
        <v/>
      </c>
      <c r="BZ174">
        <f>$C174*BZ173</f>
        <v/>
      </c>
      <c r="CA174">
        <f>$C174*CA173</f>
        <v/>
      </c>
      <c r="CB174">
        <f>$C174*CB173</f>
        <v/>
      </c>
      <c r="CC174">
        <f>$C174*CC173</f>
        <v/>
      </c>
      <c r="CD174">
        <f>$C174*CD173</f>
        <v/>
      </c>
      <c r="CE174">
        <f>$C174*CE173</f>
        <v/>
      </c>
      <c r="CF174">
        <f>$C174*CF173</f>
        <v/>
      </c>
      <c r="CG174">
        <f>$C174*CG173</f>
        <v/>
      </c>
      <c r="CH174">
        <f>$C174*CH173</f>
        <v/>
      </c>
      <c r="CI174">
        <f>$C174*CI173</f>
        <v/>
      </c>
      <c r="CJ174">
        <f>$C174*CJ173</f>
        <v/>
      </c>
      <c r="CK174">
        <f>$C174*CK173</f>
        <v/>
      </c>
      <c r="CL174">
        <f>$C174*CL173</f>
        <v/>
      </c>
      <c r="CM174">
        <f>$C174*CM173</f>
        <v/>
      </c>
      <c r="CN174">
        <f>$C174*CN173</f>
        <v/>
      </c>
      <c r="CO174">
        <f>$C174*CO173</f>
        <v/>
      </c>
      <c r="CP174">
        <f>$C174*CP173</f>
        <v/>
      </c>
      <c r="CQ174">
        <f>$C174*CQ173</f>
        <v/>
      </c>
      <c r="CR174">
        <f>$C174*CR173</f>
        <v/>
      </c>
      <c r="CS174">
        <f>$C174*CS173</f>
        <v/>
      </c>
      <c r="CT174">
        <f>$C174*CT173</f>
        <v/>
      </c>
      <c r="CU174">
        <f>$C174*CU173</f>
        <v/>
      </c>
      <c r="CV174">
        <f>$C174*CV173</f>
        <v/>
      </c>
      <c r="CW174">
        <f>$C174*CW173</f>
        <v/>
      </c>
      <c r="CX174">
        <f>$C174*CX173</f>
        <v/>
      </c>
      <c r="CY174">
        <f>$C174*CY173</f>
        <v/>
      </c>
      <c r="CZ174">
        <f>$C174*CZ173</f>
        <v/>
      </c>
      <c r="DA174">
        <f>$C174*DA173</f>
        <v/>
      </c>
      <c r="DB174">
        <f>$C174*DB173</f>
        <v/>
      </c>
      <c r="DC174">
        <f>$C174*DC173</f>
        <v/>
      </c>
    </row>
    <row r="175">
      <c r="B175" t="inlineStr">
        <is>
          <t>VSP-605</t>
        </is>
      </c>
      <c r="C175" t="inlineStr">
        <is>
          <t>No. of batches</t>
        </is>
      </c>
      <c r="D175">
        <f>IFERROR(INDEX(PP_Grid[#Data],$DD175,2),0)</f>
        <v/>
      </c>
      <c r="E175">
        <f>IFERROR(INDEX(PP_Grid[#Data],$DD175,3),0)</f>
        <v/>
      </c>
      <c r="F175">
        <f>IFERROR(INDEX(PP_Grid[#Data],$DD175,4),0)</f>
        <v/>
      </c>
      <c r="G175">
        <f>IFERROR(INDEX(PP_Grid[#Data],$DD175,5),0)</f>
        <v/>
      </c>
      <c r="H175">
        <f>IFERROR(INDEX(PP_Grid[#Data],$DD175,6),0)</f>
        <v/>
      </c>
      <c r="I175">
        <f>IFERROR(INDEX(PP_Grid[#Data],$DD175,7),0)</f>
        <v/>
      </c>
      <c r="J175">
        <f>IFERROR(INDEX(PP_Grid[#Data],$DD175,8),0)</f>
        <v/>
      </c>
      <c r="K175">
        <f>IFERROR(INDEX(PP_Grid[#Data],$DD175,9),0)</f>
        <v/>
      </c>
      <c r="L175">
        <f>IFERROR(INDEX(PP_Grid[#Data],$DD175,10),0)</f>
        <v/>
      </c>
      <c r="M175">
        <f>IFERROR(INDEX(PP_Grid[#Data],$DD175,11),0)</f>
        <v/>
      </c>
      <c r="N175">
        <f>IFERROR(INDEX(PP_Grid[#Data],$DD175,12),0)</f>
        <v/>
      </c>
      <c r="O175">
        <f>IFERROR(INDEX(PP_Grid[#Data],$DD175,13),0)</f>
        <v/>
      </c>
      <c r="P175">
        <f>IFERROR(INDEX(PP_Grid[#Data],$DD175,14),0)</f>
        <v/>
      </c>
      <c r="Q175">
        <f>IFERROR(INDEX(PP_Grid[#Data],$DD175,15),0)</f>
        <v/>
      </c>
      <c r="R175">
        <f>IFERROR(INDEX(PP_Grid[#Data],$DD175,16),0)</f>
        <v/>
      </c>
      <c r="S175">
        <f>IFERROR(INDEX(PP_Grid[#Data],$DD175,17),0)</f>
        <v/>
      </c>
      <c r="T175">
        <f>IFERROR(INDEX(PP_Grid[#Data],$DD175,18),0)</f>
        <v/>
      </c>
      <c r="U175">
        <f>IFERROR(INDEX(PP_Grid[#Data],$DD175,19),0)</f>
        <v/>
      </c>
      <c r="V175">
        <f>IFERROR(INDEX(PP_Grid[#Data],$DD175,20),0)</f>
        <v/>
      </c>
      <c r="W175">
        <f>IFERROR(INDEX(PP_Grid[#Data],$DD175,21),0)</f>
        <v/>
      </c>
      <c r="X175">
        <f>IFERROR(INDEX(PP_Grid[#Data],$DD175,22),0)</f>
        <v/>
      </c>
      <c r="Y175">
        <f>IFERROR(INDEX(PP_Grid[#Data],$DD175,23),0)</f>
        <v/>
      </c>
      <c r="Z175">
        <f>IFERROR(INDEX(PP_Grid[#Data],$DD175,24),0)</f>
        <v/>
      </c>
      <c r="AA175">
        <f>IFERROR(INDEX(PP_Grid[#Data],$DD175,25),0)</f>
        <v/>
      </c>
      <c r="AB175">
        <f>IFERROR(INDEX(PP_Grid[#Data],$DD175,26),0)</f>
        <v/>
      </c>
      <c r="AC175">
        <f>IFERROR(INDEX(PP_Grid[#Data],$DD175,27),0)</f>
        <v/>
      </c>
      <c r="AD175">
        <f>IFERROR(INDEX(PP_Grid[#Data],$DD175,28),0)</f>
        <v/>
      </c>
      <c r="AE175">
        <f>IFERROR(INDEX(PP_Grid[#Data],$DD175,29),0)</f>
        <v/>
      </c>
      <c r="AF175">
        <f>IFERROR(INDEX(PP_Grid[#Data],$DD175,30),0)</f>
        <v/>
      </c>
      <c r="AG175">
        <f>IFERROR(INDEX(PP_Grid[#Data],$DD175,31),0)</f>
        <v/>
      </c>
      <c r="AH175">
        <f>IFERROR(INDEX(PP_Grid[#Data],$DD175,32),0)</f>
        <v/>
      </c>
      <c r="AI175">
        <f>IFERROR(INDEX(PP_Grid[#Data],$DD175,33),0)</f>
        <v/>
      </c>
      <c r="AJ175">
        <f>IFERROR(INDEX(PP_Grid[#Data],$DD175,34),0)</f>
        <v/>
      </c>
      <c r="AK175">
        <f>IFERROR(INDEX(PP_Grid[#Data],$DD175,35),0)</f>
        <v/>
      </c>
      <c r="AL175">
        <f>IFERROR(INDEX(PP_Grid[#Data],$DD175,36),0)</f>
        <v/>
      </c>
      <c r="AM175">
        <f>IFERROR(INDEX(PP_Grid[#Data],$DD175,37),0)</f>
        <v/>
      </c>
      <c r="AN175">
        <f>IFERROR(INDEX(PP_Grid[#Data],$DD175,38),0)</f>
        <v/>
      </c>
      <c r="AO175">
        <f>IFERROR(INDEX(PP_Grid[#Data],$DD175,39),0)</f>
        <v/>
      </c>
      <c r="AP175">
        <f>IFERROR(INDEX(PP_Grid[#Data],$DD175,40),0)</f>
        <v/>
      </c>
      <c r="AQ175">
        <f>IFERROR(INDEX(PP_Grid[#Data],$DD175,41),0)</f>
        <v/>
      </c>
      <c r="AR175">
        <f>IFERROR(INDEX(PP_Grid[#Data],$DD175,42),0)</f>
        <v/>
      </c>
      <c r="AS175">
        <f>IFERROR(INDEX(PP_Grid[#Data],$DD175,43),0)</f>
        <v/>
      </c>
      <c r="AT175">
        <f>IFERROR(INDEX(PP_Grid[#Data],$DD175,44),0)</f>
        <v/>
      </c>
      <c r="AU175">
        <f>IFERROR(INDEX(PP_Grid[#Data],$DD175,45),0)</f>
        <v/>
      </c>
      <c r="AV175">
        <f>IFERROR(INDEX(PP_Grid[#Data],$DD175,46),0)</f>
        <v/>
      </c>
      <c r="AW175">
        <f>IFERROR(INDEX(PP_Grid[#Data],$DD175,47),0)</f>
        <v/>
      </c>
      <c r="AX175">
        <f>IFERROR(INDEX(PP_Grid[#Data],$DD175,48),0)</f>
        <v/>
      </c>
      <c r="AY175">
        <f>IFERROR(INDEX(PP_Grid[#Data],$DD175,49),0)</f>
        <v/>
      </c>
      <c r="AZ175">
        <f>IFERROR(INDEX(PP_Grid[#Data],$DD175,50),0)</f>
        <v/>
      </c>
      <c r="BA175">
        <f>IFERROR(INDEX(PP_Grid[#Data],$DD175,51),0)</f>
        <v/>
      </c>
      <c r="BB175">
        <f>IFERROR(INDEX(PP_Grid[#Data],$DD175,52),0)</f>
        <v/>
      </c>
      <c r="BC175">
        <f>IFERROR(INDEX(PP_Grid[#Data],$DD175,53),0)</f>
        <v/>
      </c>
      <c r="BD175">
        <f>IFERROR(INDEX(PP_Grid[#Data],$DD175,54),0)</f>
        <v/>
      </c>
      <c r="BE175">
        <f>IFERROR(INDEX(PP_Grid[#Data],$DD175,55),0)</f>
        <v/>
      </c>
      <c r="BF175">
        <f>IFERROR(INDEX(PP_Grid[#Data],$DD175,56),0)</f>
        <v/>
      </c>
      <c r="BG175">
        <f>IFERROR(INDEX(PP_Grid[#Data],$DD175,57),0)</f>
        <v/>
      </c>
      <c r="BH175">
        <f>IFERROR(INDEX(PP_Grid[#Data],$DD175,58),0)</f>
        <v/>
      </c>
      <c r="BI175">
        <f>IFERROR(INDEX(PP_Grid[#Data],$DD175,59),0)</f>
        <v/>
      </c>
      <c r="BJ175">
        <f>IFERROR(INDEX(PP_Grid[#Data],$DD175,60),0)</f>
        <v/>
      </c>
      <c r="BK175">
        <f>IFERROR(INDEX(PP_Grid[#Data],$DD175,61),0)</f>
        <v/>
      </c>
      <c r="BL175">
        <f>IFERROR(INDEX(PP_Grid[#Data],$DD175,62),0)</f>
        <v/>
      </c>
      <c r="BM175">
        <f>IFERROR(INDEX(PP_Grid[#Data],$DD175,63),0)</f>
        <v/>
      </c>
      <c r="BN175">
        <f>IFERROR(INDEX(PP_Grid[#Data],$DD175,64),0)</f>
        <v/>
      </c>
      <c r="BO175">
        <f>IFERROR(INDEX(PP_Grid[#Data],$DD175,65),0)</f>
        <v/>
      </c>
      <c r="BP175">
        <f>IFERROR(INDEX(PP_Grid[#Data],$DD175,66),0)</f>
        <v/>
      </c>
      <c r="BQ175">
        <f>IFERROR(INDEX(PP_Grid[#Data],$DD175,67),0)</f>
        <v/>
      </c>
      <c r="BR175">
        <f>IFERROR(INDEX(PP_Grid[#Data],$DD175,68),0)</f>
        <v/>
      </c>
      <c r="BS175">
        <f>IFERROR(INDEX(PP_Grid[#Data],$DD175,69),0)</f>
        <v/>
      </c>
      <c r="BT175">
        <f>IFERROR(INDEX(PP_Grid[#Data],$DD175,70),0)</f>
        <v/>
      </c>
      <c r="BU175">
        <f>IFERROR(INDEX(PP_Grid[#Data],$DD175,71),0)</f>
        <v/>
      </c>
      <c r="BV175">
        <f>IFERROR(INDEX(PP_Grid[#Data],$DD175,72),0)</f>
        <v/>
      </c>
      <c r="BW175">
        <f>IFERROR(INDEX(PP_Grid[#Data],$DD175,73),0)</f>
        <v/>
      </c>
      <c r="BX175">
        <f>IFERROR(INDEX(PP_Grid[#Data],$DD175,74),0)</f>
        <v/>
      </c>
      <c r="BY175">
        <f>IFERROR(INDEX(PP_Grid[#Data],$DD175,75),0)</f>
        <v/>
      </c>
      <c r="BZ175">
        <f>IFERROR(INDEX(PP_Grid[#Data],$DD175,76),0)</f>
        <v/>
      </c>
      <c r="CA175">
        <f>IFERROR(INDEX(PP_Grid[#Data],$DD175,77),0)</f>
        <v/>
      </c>
      <c r="CB175">
        <f>IFERROR(INDEX(PP_Grid[#Data],$DD175,78),0)</f>
        <v/>
      </c>
      <c r="CC175">
        <f>IFERROR(INDEX(PP_Grid[#Data],$DD175,79),0)</f>
        <v/>
      </c>
      <c r="CD175">
        <f>IFERROR(INDEX(PP_Grid[#Data],$DD175,80),0)</f>
        <v/>
      </c>
      <c r="CE175">
        <f>IFERROR(INDEX(PP_Grid[#Data],$DD175,81),0)</f>
        <v/>
      </c>
      <c r="CF175">
        <f>IFERROR(INDEX(PP_Grid[#Data],$DD175,82),0)</f>
        <v/>
      </c>
      <c r="CG175">
        <f>IFERROR(INDEX(PP_Grid[#Data],$DD175,83),0)</f>
        <v/>
      </c>
      <c r="CH175">
        <f>IFERROR(INDEX(PP_Grid[#Data],$DD175,84),0)</f>
        <v/>
      </c>
      <c r="CI175">
        <f>IFERROR(INDEX(PP_Grid[#Data],$DD175,85),0)</f>
        <v/>
      </c>
      <c r="CJ175">
        <f>IFERROR(INDEX(PP_Grid[#Data],$DD175,86),0)</f>
        <v/>
      </c>
      <c r="CK175">
        <f>IFERROR(INDEX(PP_Grid[#Data],$DD175,87),0)</f>
        <v/>
      </c>
      <c r="CL175">
        <f>IFERROR(INDEX(PP_Grid[#Data],$DD175,88),0)</f>
        <v/>
      </c>
      <c r="CM175">
        <f>IFERROR(INDEX(PP_Grid[#Data],$DD175,89),0)</f>
        <v/>
      </c>
      <c r="CN175">
        <f>IFERROR(INDEX(PP_Grid[#Data],$DD175,90),0)</f>
        <v/>
      </c>
      <c r="CO175">
        <f>IFERROR(INDEX(PP_Grid[#Data],$DD175,91),0)</f>
        <v/>
      </c>
      <c r="CP175">
        <f>IFERROR(INDEX(PP_Grid[#Data],$DD175,92),0)</f>
        <v/>
      </c>
      <c r="CQ175">
        <f>IFERROR(INDEX(PP_Grid[#Data],$DD175,93),0)</f>
        <v/>
      </c>
      <c r="CR175">
        <f>IFERROR(INDEX(PP_Grid[#Data],$DD175,94),0)</f>
        <v/>
      </c>
      <c r="CS175">
        <f>IFERROR(INDEX(PP_Grid[#Data],$DD175,95),0)</f>
        <v/>
      </c>
      <c r="CT175">
        <f>IFERROR(INDEX(PP_Grid[#Data],$DD175,96),0)</f>
        <v/>
      </c>
      <c r="CU175">
        <f>IFERROR(INDEX(PP_Grid[#Data],$DD175,97),0)</f>
        <v/>
      </c>
      <c r="CV175">
        <f>IFERROR(INDEX(PP_Grid[#Data],$DD175,98),0)</f>
        <v/>
      </c>
      <c r="CW175">
        <f>IFERROR(INDEX(PP_Grid[#Data],$DD175,99),0)</f>
        <v/>
      </c>
      <c r="CX175">
        <f>IFERROR(INDEX(PP_Grid[#Data],$DD175,100),0)</f>
        <v/>
      </c>
      <c r="CY175">
        <f>IFERROR(INDEX(PP_Grid[#Data],$DD175,101),0)</f>
        <v/>
      </c>
      <c r="CZ175">
        <f>IFERROR(INDEX(PP_Grid[#Data],$DD175,102),0)</f>
        <v/>
      </c>
      <c r="DA175">
        <f>IFERROR(INDEX(PP_Grid[#Data],$DD175,103),0)</f>
        <v/>
      </c>
      <c r="DB175">
        <f>IFERROR(INDEX(PP_Grid[#Data],$DD175,104),0)</f>
        <v/>
      </c>
      <c r="DC175">
        <f>IFERROR(INDEX(PP_Grid[#Data],$DD175,105),0)</f>
        <v/>
      </c>
      <c r="DD175" s="7">
        <f>IFERROR(MATCH($B175,PP_Grid[Intermediate],0),99999)</f>
        <v/>
      </c>
    </row>
    <row r="176">
      <c r="B176" t="inlineStr">
        <is>
          <t>使用量(kg)</t>
        </is>
      </c>
      <c r="C176">
        <f>SUMIFS(M_BOM[RM_Qty_Per_Batch],M_BOM[Intermediate],$B175,M_BOM[Part Name],$A44)</f>
        <v/>
      </c>
      <c r="D176">
        <f>$C176*D175</f>
        <v/>
      </c>
      <c r="E176">
        <f>$C176*E175</f>
        <v/>
      </c>
      <c r="F176">
        <f>$C176*F175</f>
        <v/>
      </c>
      <c r="G176">
        <f>$C176*G175</f>
        <v/>
      </c>
      <c r="H176">
        <f>$C176*H175</f>
        <v/>
      </c>
      <c r="I176">
        <f>$C176*I175</f>
        <v/>
      </c>
      <c r="J176">
        <f>$C176*J175</f>
        <v/>
      </c>
      <c r="K176">
        <f>$C176*K175</f>
        <v/>
      </c>
      <c r="L176">
        <f>$C176*L175</f>
        <v/>
      </c>
      <c r="M176">
        <f>$C176*M175</f>
        <v/>
      </c>
      <c r="N176">
        <f>$C176*N175</f>
        <v/>
      </c>
      <c r="O176">
        <f>$C176*O175</f>
        <v/>
      </c>
      <c r="P176">
        <f>$C176*P175</f>
        <v/>
      </c>
      <c r="Q176">
        <f>$C176*Q175</f>
        <v/>
      </c>
      <c r="R176">
        <f>$C176*R175</f>
        <v/>
      </c>
      <c r="S176">
        <f>$C176*S175</f>
        <v/>
      </c>
      <c r="T176">
        <f>$C176*T175</f>
        <v/>
      </c>
      <c r="U176">
        <f>$C176*U175</f>
        <v/>
      </c>
      <c r="V176">
        <f>$C176*V175</f>
        <v/>
      </c>
      <c r="W176">
        <f>$C176*W175</f>
        <v/>
      </c>
      <c r="X176">
        <f>$C176*X175</f>
        <v/>
      </c>
      <c r="Y176">
        <f>$C176*Y175</f>
        <v/>
      </c>
      <c r="Z176">
        <f>$C176*Z175</f>
        <v/>
      </c>
      <c r="AA176">
        <f>$C176*AA175</f>
        <v/>
      </c>
      <c r="AB176">
        <f>$C176*AB175</f>
        <v/>
      </c>
      <c r="AC176">
        <f>$C176*AC175</f>
        <v/>
      </c>
      <c r="AD176">
        <f>$C176*AD175</f>
        <v/>
      </c>
      <c r="AE176">
        <f>$C176*AE175</f>
        <v/>
      </c>
      <c r="AF176">
        <f>$C176*AF175</f>
        <v/>
      </c>
      <c r="AG176">
        <f>$C176*AG175</f>
        <v/>
      </c>
      <c r="AH176">
        <f>$C176*AH175</f>
        <v/>
      </c>
      <c r="AI176">
        <f>$C176*AI175</f>
        <v/>
      </c>
      <c r="AJ176">
        <f>$C176*AJ175</f>
        <v/>
      </c>
      <c r="AK176">
        <f>$C176*AK175</f>
        <v/>
      </c>
      <c r="AL176">
        <f>$C176*AL175</f>
        <v/>
      </c>
      <c r="AM176">
        <f>$C176*AM175</f>
        <v/>
      </c>
      <c r="AN176">
        <f>$C176*AN175</f>
        <v/>
      </c>
      <c r="AO176">
        <f>$C176*AO175</f>
        <v/>
      </c>
      <c r="AP176">
        <f>$C176*AP175</f>
        <v/>
      </c>
      <c r="AQ176">
        <f>$C176*AQ175</f>
        <v/>
      </c>
      <c r="AR176">
        <f>$C176*AR175</f>
        <v/>
      </c>
      <c r="AS176">
        <f>$C176*AS175</f>
        <v/>
      </c>
      <c r="AT176">
        <f>$C176*AT175</f>
        <v/>
      </c>
      <c r="AU176">
        <f>$C176*AU175</f>
        <v/>
      </c>
      <c r="AV176">
        <f>$C176*AV175</f>
        <v/>
      </c>
      <c r="AW176">
        <f>$C176*AW175</f>
        <v/>
      </c>
      <c r="AX176">
        <f>$C176*AX175</f>
        <v/>
      </c>
      <c r="AY176">
        <f>$C176*AY175</f>
        <v/>
      </c>
      <c r="AZ176">
        <f>$C176*AZ175</f>
        <v/>
      </c>
      <c r="BA176">
        <f>$C176*BA175</f>
        <v/>
      </c>
      <c r="BB176">
        <f>$C176*BB175</f>
        <v/>
      </c>
      <c r="BC176">
        <f>$C176*BC175</f>
        <v/>
      </c>
      <c r="BD176">
        <f>$C176*BD175</f>
        <v/>
      </c>
      <c r="BE176">
        <f>$C176*BE175</f>
        <v/>
      </c>
      <c r="BF176">
        <f>$C176*BF175</f>
        <v/>
      </c>
      <c r="BG176">
        <f>$C176*BG175</f>
        <v/>
      </c>
      <c r="BH176">
        <f>$C176*BH175</f>
        <v/>
      </c>
      <c r="BI176">
        <f>$C176*BI175</f>
        <v/>
      </c>
      <c r="BJ176">
        <f>$C176*BJ175</f>
        <v/>
      </c>
      <c r="BK176">
        <f>$C176*BK175</f>
        <v/>
      </c>
      <c r="BL176">
        <f>$C176*BL175</f>
        <v/>
      </c>
      <c r="BM176">
        <f>$C176*BM175</f>
        <v/>
      </c>
      <c r="BN176">
        <f>$C176*BN175</f>
        <v/>
      </c>
      <c r="BO176">
        <f>$C176*BO175</f>
        <v/>
      </c>
      <c r="BP176">
        <f>$C176*BP175</f>
        <v/>
      </c>
      <c r="BQ176">
        <f>$C176*BQ175</f>
        <v/>
      </c>
      <c r="BR176">
        <f>$C176*BR175</f>
        <v/>
      </c>
      <c r="BS176">
        <f>$C176*BS175</f>
        <v/>
      </c>
      <c r="BT176">
        <f>$C176*BT175</f>
        <v/>
      </c>
      <c r="BU176">
        <f>$C176*BU175</f>
        <v/>
      </c>
      <c r="BV176">
        <f>$C176*BV175</f>
        <v/>
      </c>
      <c r="BW176">
        <f>$C176*BW175</f>
        <v/>
      </c>
      <c r="BX176">
        <f>$C176*BX175</f>
        <v/>
      </c>
      <c r="BY176">
        <f>$C176*BY175</f>
        <v/>
      </c>
      <c r="BZ176">
        <f>$C176*BZ175</f>
        <v/>
      </c>
      <c r="CA176">
        <f>$C176*CA175</f>
        <v/>
      </c>
      <c r="CB176">
        <f>$C176*CB175</f>
        <v/>
      </c>
      <c r="CC176">
        <f>$C176*CC175</f>
        <v/>
      </c>
      <c r="CD176">
        <f>$C176*CD175</f>
        <v/>
      </c>
      <c r="CE176">
        <f>$C176*CE175</f>
        <v/>
      </c>
      <c r="CF176">
        <f>$C176*CF175</f>
        <v/>
      </c>
      <c r="CG176">
        <f>$C176*CG175</f>
        <v/>
      </c>
      <c r="CH176">
        <f>$C176*CH175</f>
        <v/>
      </c>
      <c r="CI176">
        <f>$C176*CI175</f>
        <v/>
      </c>
      <c r="CJ176">
        <f>$C176*CJ175</f>
        <v/>
      </c>
      <c r="CK176">
        <f>$C176*CK175</f>
        <v/>
      </c>
      <c r="CL176">
        <f>$C176*CL175</f>
        <v/>
      </c>
      <c r="CM176">
        <f>$C176*CM175</f>
        <v/>
      </c>
      <c r="CN176">
        <f>$C176*CN175</f>
        <v/>
      </c>
      <c r="CO176">
        <f>$C176*CO175</f>
        <v/>
      </c>
      <c r="CP176">
        <f>$C176*CP175</f>
        <v/>
      </c>
      <c r="CQ176">
        <f>$C176*CQ175</f>
        <v/>
      </c>
      <c r="CR176">
        <f>$C176*CR175</f>
        <v/>
      </c>
      <c r="CS176">
        <f>$C176*CS175</f>
        <v/>
      </c>
      <c r="CT176">
        <f>$C176*CT175</f>
        <v/>
      </c>
      <c r="CU176">
        <f>$C176*CU175</f>
        <v/>
      </c>
      <c r="CV176">
        <f>$C176*CV175</f>
        <v/>
      </c>
      <c r="CW176">
        <f>$C176*CW175</f>
        <v/>
      </c>
      <c r="CX176">
        <f>$C176*CX175</f>
        <v/>
      </c>
      <c r="CY176">
        <f>$C176*CY175</f>
        <v/>
      </c>
      <c r="CZ176">
        <f>$C176*CZ175</f>
        <v/>
      </c>
      <c r="DA176">
        <f>$C176*DA175</f>
        <v/>
      </c>
      <c r="DB176">
        <f>$C176*DB175</f>
        <v/>
      </c>
      <c r="DC176">
        <f>$C176*DC175</f>
        <v/>
      </c>
    </row>
    <row r="177">
      <c r="B177" t="inlineStr">
        <is>
          <t>VSP-606</t>
        </is>
      </c>
      <c r="C177" t="inlineStr">
        <is>
          <t>No. of batches</t>
        </is>
      </c>
      <c r="D177">
        <f>IFERROR(INDEX(PP_Grid[#Data],$DD177,2),0)</f>
        <v/>
      </c>
      <c r="E177">
        <f>IFERROR(INDEX(PP_Grid[#Data],$DD177,3),0)</f>
        <v/>
      </c>
      <c r="F177">
        <f>IFERROR(INDEX(PP_Grid[#Data],$DD177,4),0)</f>
        <v/>
      </c>
      <c r="G177">
        <f>IFERROR(INDEX(PP_Grid[#Data],$DD177,5),0)</f>
        <v/>
      </c>
      <c r="H177">
        <f>IFERROR(INDEX(PP_Grid[#Data],$DD177,6),0)</f>
        <v/>
      </c>
      <c r="I177">
        <f>IFERROR(INDEX(PP_Grid[#Data],$DD177,7),0)</f>
        <v/>
      </c>
      <c r="J177">
        <f>IFERROR(INDEX(PP_Grid[#Data],$DD177,8),0)</f>
        <v/>
      </c>
      <c r="K177">
        <f>IFERROR(INDEX(PP_Grid[#Data],$DD177,9),0)</f>
        <v/>
      </c>
      <c r="L177">
        <f>IFERROR(INDEX(PP_Grid[#Data],$DD177,10),0)</f>
        <v/>
      </c>
      <c r="M177">
        <f>IFERROR(INDEX(PP_Grid[#Data],$DD177,11),0)</f>
        <v/>
      </c>
      <c r="N177">
        <f>IFERROR(INDEX(PP_Grid[#Data],$DD177,12),0)</f>
        <v/>
      </c>
      <c r="O177">
        <f>IFERROR(INDEX(PP_Grid[#Data],$DD177,13),0)</f>
        <v/>
      </c>
      <c r="P177">
        <f>IFERROR(INDEX(PP_Grid[#Data],$DD177,14),0)</f>
        <v/>
      </c>
      <c r="Q177">
        <f>IFERROR(INDEX(PP_Grid[#Data],$DD177,15),0)</f>
        <v/>
      </c>
      <c r="R177">
        <f>IFERROR(INDEX(PP_Grid[#Data],$DD177,16),0)</f>
        <v/>
      </c>
      <c r="S177">
        <f>IFERROR(INDEX(PP_Grid[#Data],$DD177,17),0)</f>
        <v/>
      </c>
      <c r="T177">
        <f>IFERROR(INDEX(PP_Grid[#Data],$DD177,18),0)</f>
        <v/>
      </c>
      <c r="U177">
        <f>IFERROR(INDEX(PP_Grid[#Data],$DD177,19),0)</f>
        <v/>
      </c>
      <c r="V177">
        <f>IFERROR(INDEX(PP_Grid[#Data],$DD177,20),0)</f>
        <v/>
      </c>
      <c r="W177">
        <f>IFERROR(INDEX(PP_Grid[#Data],$DD177,21),0)</f>
        <v/>
      </c>
      <c r="X177">
        <f>IFERROR(INDEX(PP_Grid[#Data],$DD177,22),0)</f>
        <v/>
      </c>
      <c r="Y177">
        <f>IFERROR(INDEX(PP_Grid[#Data],$DD177,23),0)</f>
        <v/>
      </c>
      <c r="Z177">
        <f>IFERROR(INDEX(PP_Grid[#Data],$DD177,24),0)</f>
        <v/>
      </c>
      <c r="AA177">
        <f>IFERROR(INDEX(PP_Grid[#Data],$DD177,25),0)</f>
        <v/>
      </c>
      <c r="AB177">
        <f>IFERROR(INDEX(PP_Grid[#Data],$DD177,26),0)</f>
        <v/>
      </c>
      <c r="AC177">
        <f>IFERROR(INDEX(PP_Grid[#Data],$DD177,27),0)</f>
        <v/>
      </c>
      <c r="AD177">
        <f>IFERROR(INDEX(PP_Grid[#Data],$DD177,28),0)</f>
        <v/>
      </c>
      <c r="AE177">
        <f>IFERROR(INDEX(PP_Grid[#Data],$DD177,29),0)</f>
        <v/>
      </c>
      <c r="AF177">
        <f>IFERROR(INDEX(PP_Grid[#Data],$DD177,30),0)</f>
        <v/>
      </c>
      <c r="AG177">
        <f>IFERROR(INDEX(PP_Grid[#Data],$DD177,31),0)</f>
        <v/>
      </c>
      <c r="AH177">
        <f>IFERROR(INDEX(PP_Grid[#Data],$DD177,32),0)</f>
        <v/>
      </c>
      <c r="AI177">
        <f>IFERROR(INDEX(PP_Grid[#Data],$DD177,33),0)</f>
        <v/>
      </c>
      <c r="AJ177">
        <f>IFERROR(INDEX(PP_Grid[#Data],$DD177,34),0)</f>
        <v/>
      </c>
      <c r="AK177">
        <f>IFERROR(INDEX(PP_Grid[#Data],$DD177,35),0)</f>
        <v/>
      </c>
      <c r="AL177">
        <f>IFERROR(INDEX(PP_Grid[#Data],$DD177,36),0)</f>
        <v/>
      </c>
      <c r="AM177">
        <f>IFERROR(INDEX(PP_Grid[#Data],$DD177,37),0)</f>
        <v/>
      </c>
      <c r="AN177">
        <f>IFERROR(INDEX(PP_Grid[#Data],$DD177,38),0)</f>
        <v/>
      </c>
      <c r="AO177">
        <f>IFERROR(INDEX(PP_Grid[#Data],$DD177,39),0)</f>
        <v/>
      </c>
      <c r="AP177">
        <f>IFERROR(INDEX(PP_Grid[#Data],$DD177,40),0)</f>
        <v/>
      </c>
      <c r="AQ177">
        <f>IFERROR(INDEX(PP_Grid[#Data],$DD177,41),0)</f>
        <v/>
      </c>
      <c r="AR177">
        <f>IFERROR(INDEX(PP_Grid[#Data],$DD177,42),0)</f>
        <v/>
      </c>
      <c r="AS177">
        <f>IFERROR(INDEX(PP_Grid[#Data],$DD177,43),0)</f>
        <v/>
      </c>
      <c r="AT177">
        <f>IFERROR(INDEX(PP_Grid[#Data],$DD177,44),0)</f>
        <v/>
      </c>
      <c r="AU177">
        <f>IFERROR(INDEX(PP_Grid[#Data],$DD177,45),0)</f>
        <v/>
      </c>
      <c r="AV177">
        <f>IFERROR(INDEX(PP_Grid[#Data],$DD177,46),0)</f>
        <v/>
      </c>
      <c r="AW177">
        <f>IFERROR(INDEX(PP_Grid[#Data],$DD177,47),0)</f>
        <v/>
      </c>
      <c r="AX177">
        <f>IFERROR(INDEX(PP_Grid[#Data],$DD177,48),0)</f>
        <v/>
      </c>
      <c r="AY177">
        <f>IFERROR(INDEX(PP_Grid[#Data],$DD177,49),0)</f>
        <v/>
      </c>
      <c r="AZ177">
        <f>IFERROR(INDEX(PP_Grid[#Data],$DD177,50),0)</f>
        <v/>
      </c>
      <c r="BA177">
        <f>IFERROR(INDEX(PP_Grid[#Data],$DD177,51),0)</f>
        <v/>
      </c>
      <c r="BB177">
        <f>IFERROR(INDEX(PP_Grid[#Data],$DD177,52),0)</f>
        <v/>
      </c>
      <c r="BC177">
        <f>IFERROR(INDEX(PP_Grid[#Data],$DD177,53),0)</f>
        <v/>
      </c>
      <c r="BD177">
        <f>IFERROR(INDEX(PP_Grid[#Data],$DD177,54),0)</f>
        <v/>
      </c>
      <c r="BE177">
        <f>IFERROR(INDEX(PP_Grid[#Data],$DD177,55),0)</f>
        <v/>
      </c>
      <c r="BF177">
        <f>IFERROR(INDEX(PP_Grid[#Data],$DD177,56),0)</f>
        <v/>
      </c>
      <c r="BG177">
        <f>IFERROR(INDEX(PP_Grid[#Data],$DD177,57),0)</f>
        <v/>
      </c>
      <c r="BH177">
        <f>IFERROR(INDEX(PP_Grid[#Data],$DD177,58),0)</f>
        <v/>
      </c>
      <c r="BI177">
        <f>IFERROR(INDEX(PP_Grid[#Data],$DD177,59),0)</f>
        <v/>
      </c>
      <c r="BJ177">
        <f>IFERROR(INDEX(PP_Grid[#Data],$DD177,60),0)</f>
        <v/>
      </c>
      <c r="BK177">
        <f>IFERROR(INDEX(PP_Grid[#Data],$DD177,61),0)</f>
        <v/>
      </c>
      <c r="BL177">
        <f>IFERROR(INDEX(PP_Grid[#Data],$DD177,62),0)</f>
        <v/>
      </c>
      <c r="BM177">
        <f>IFERROR(INDEX(PP_Grid[#Data],$DD177,63),0)</f>
        <v/>
      </c>
      <c r="BN177">
        <f>IFERROR(INDEX(PP_Grid[#Data],$DD177,64),0)</f>
        <v/>
      </c>
      <c r="BO177">
        <f>IFERROR(INDEX(PP_Grid[#Data],$DD177,65),0)</f>
        <v/>
      </c>
      <c r="BP177">
        <f>IFERROR(INDEX(PP_Grid[#Data],$DD177,66),0)</f>
        <v/>
      </c>
      <c r="BQ177">
        <f>IFERROR(INDEX(PP_Grid[#Data],$DD177,67),0)</f>
        <v/>
      </c>
      <c r="BR177">
        <f>IFERROR(INDEX(PP_Grid[#Data],$DD177,68),0)</f>
        <v/>
      </c>
      <c r="BS177">
        <f>IFERROR(INDEX(PP_Grid[#Data],$DD177,69),0)</f>
        <v/>
      </c>
      <c r="BT177">
        <f>IFERROR(INDEX(PP_Grid[#Data],$DD177,70),0)</f>
        <v/>
      </c>
      <c r="BU177">
        <f>IFERROR(INDEX(PP_Grid[#Data],$DD177,71),0)</f>
        <v/>
      </c>
      <c r="BV177">
        <f>IFERROR(INDEX(PP_Grid[#Data],$DD177,72),0)</f>
        <v/>
      </c>
      <c r="BW177">
        <f>IFERROR(INDEX(PP_Grid[#Data],$DD177,73),0)</f>
        <v/>
      </c>
      <c r="BX177">
        <f>IFERROR(INDEX(PP_Grid[#Data],$DD177,74),0)</f>
        <v/>
      </c>
      <c r="BY177">
        <f>IFERROR(INDEX(PP_Grid[#Data],$DD177,75),0)</f>
        <v/>
      </c>
      <c r="BZ177">
        <f>IFERROR(INDEX(PP_Grid[#Data],$DD177,76),0)</f>
        <v/>
      </c>
      <c r="CA177">
        <f>IFERROR(INDEX(PP_Grid[#Data],$DD177,77),0)</f>
        <v/>
      </c>
      <c r="CB177">
        <f>IFERROR(INDEX(PP_Grid[#Data],$DD177,78),0)</f>
        <v/>
      </c>
      <c r="CC177">
        <f>IFERROR(INDEX(PP_Grid[#Data],$DD177,79),0)</f>
        <v/>
      </c>
      <c r="CD177">
        <f>IFERROR(INDEX(PP_Grid[#Data],$DD177,80),0)</f>
        <v/>
      </c>
      <c r="CE177">
        <f>IFERROR(INDEX(PP_Grid[#Data],$DD177,81),0)</f>
        <v/>
      </c>
      <c r="CF177">
        <f>IFERROR(INDEX(PP_Grid[#Data],$DD177,82),0)</f>
        <v/>
      </c>
      <c r="CG177">
        <f>IFERROR(INDEX(PP_Grid[#Data],$DD177,83),0)</f>
        <v/>
      </c>
      <c r="CH177">
        <f>IFERROR(INDEX(PP_Grid[#Data],$DD177,84),0)</f>
        <v/>
      </c>
      <c r="CI177">
        <f>IFERROR(INDEX(PP_Grid[#Data],$DD177,85),0)</f>
        <v/>
      </c>
      <c r="CJ177">
        <f>IFERROR(INDEX(PP_Grid[#Data],$DD177,86),0)</f>
        <v/>
      </c>
      <c r="CK177">
        <f>IFERROR(INDEX(PP_Grid[#Data],$DD177,87),0)</f>
        <v/>
      </c>
      <c r="CL177">
        <f>IFERROR(INDEX(PP_Grid[#Data],$DD177,88),0)</f>
        <v/>
      </c>
      <c r="CM177">
        <f>IFERROR(INDEX(PP_Grid[#Data],$DD177,89),0)</f>
        <v/>
      </c>
      <c r="CN177">
        <f>IFERROR(INDEX(PP_Grid[#Data],$DD177,90),0)</f>
        <v/>
      </c>
      <c r="CO177">
        <f>IFERROR(INDEX(PP_Grid[#Data],$DD177,91),0)</f>
        <v/>
      </c>
      <c r="CP177">
        <f>IFERROR(INDEX(PP_Grid[#Data],$DD177,92),0)</f>
        <v/>
      </c>
      <c r="CQ177">
        <f>IFERROR(INDEX(PP_Grid[#Data],$DD177,93),0)</f>
        <v/>
      </c>
      <c r="CR177">
        <f>IFERROR(INDEX(PP_Grid[#Data],$DD177,94),0)</f>
        <v/>
      </c>
      <c r="CS177">
        <f>IFERROR(INDEX(PP_Grid[#Data],$DD177,95),0)</f>
        <v/>
      </c>
      <c r="CT177">
        <f>IFERROR(INDEX(PP_Grid[#Data],$DD177,96),0)</f>
        <v/>
      </c>
      <c r="CU177">
        <f>IFERROR(INDEX(PP_Grid[#Data],$DD177,97),0)</f>
        <v/>
      </c>
      <c r="CV177">
        <f>IFERROR(INDEX(PP_Grid[#Data],$DD177,98),0)</f>
        <v/>
      </c>
      <c r="CW177">
        <f>IFERROR(INDEX(PP_Grid[#Data],$DD177,99),0)</f>
        <v/>
      </c>
      <c r="CX177">
        <f>IFERROR(INDEX(PP_Grid[#Data],$DD177,100),0)</f>
        <v/>
      </c>
      <c r="CY177">
        <f>IFERROR(INDEX(PP_Grid[#Data],$DD177,101),0)</f>
        <v/>
      </c>
      <c r="CZ177">
        <f>IFERROR(INDEX(PP_Grid[#Data],$DD177,102),0)</f>
        <v/>
      </c>
      <c r="DA177">
        <f>IFERROR(INDEX(PP_Grid[#Data],$DD177,103),0)</f>
        <v/>
      </c>
      <c r="DB177">
        <f>IFERROR(INDEX(PP_Grid[#Data],$DD177,104),0)</f>
        <v/>
      </c>
      <c r="DC177">
        <f>IFERROR(INDEX(PP_Grid[#Data],$DD177,105),0)</f>
        <v/>
      </c>
      <c r="DD177" s="7">
        <f>IFERROR(MATCH($B177,PP_Grid[Intermediate],0),99999)</f>
        <v/>
      </c>
    </row>
    <row r="178">
      <c r="B178" t="inlineStr">
        <is>
          <t>使用量(kg)</t>
        </is>
      </c>
      <c r="C178">
        <f>SUMIFS(M_BOM[RM_Qty_Per_Batch],M_BOM[Intermediate],$B177,M_BOM[Part Name],$A44)</f>
        <v/>
      </c>
      <c r="D178">
        <f>$C178*D177</f>
        <v/>
      </c>
      <c r="E178">
        <f>$C178*E177</f>
        <v/>
      </c>
      <c r="F178">
        <f>$C178*F177</f>
        <v/>
      </c>
      <c r="G178">
        <f>$C178*G177</f>
        <v/>
      </c>
      <c r="H178">
        <f>$C178*H177</f>
        <v/>
      </c>
      <c r="I178">
        <f>$C178*I177</f>
        <v/>
      </c>
      <c r="J178">
        <f>$C178*J177</f>
        <v/>
      </c>
      <c r="K178">
        <f>$C178*K177</f>
        <v/>
      </c>
      <c r="L178">
        <f>$C178*L177</f>
        <v/>
      </c>
      <c r="M178">
        <f>$C178*M177</f>
        <v/>
      </c>
      <c r="N178">
        <f>$C178*N177</f>
        <v/>
      </c>
      <c r="O178">
        <f>$C178*O177</f>
        <v/>
      </c>
      <c r="P178">
        <f>$C178*P177</f>
        <v/>
      </c>
      <c r="Q178">
        <f>$C178*Q177</f>
        <v/>
      </c>
      <c r="R178">
        <f>$C178*R177</f>
        <v/>
      </c>
      <c r="S178">
        <f>$C178*S177</f>
        <v/>
      </c>
      <c r="T178">
        <f>$C178*T177</f>
        <v/>
      </c>
      <c r="U178">
        <f>$C178*U177</f>
        <v/>
      </c>
      <c r="V178">
        <f>$C178*V177</f>
        <v/>
      </c>
      <c r="W178">
        <f>$C178*W177</f>
        <v/>
      </c>
      <c r="X178">
        <f>$C178*X177</f>
        <v/>
      </c>
      <c r="Y178">
        <f>$C178*Y177</f>
        <v/>
      </c>
      <c r="Z178">
        <f>$C178*Z177</f>
        <v/>
      </c>
      <c r="AA178">
        <f>$C178*AA177</f>
        <v/>
      </c>
      <c r="AB178">
        <f>$C178*AB177</f>
        <v/>
      </c>
      <c r="AC178">
        <f>$C178*AC177</f>
        <v/>
      </c>
      <c r="AD178">
        <f>$C178*AD177</f>
        <v/>
      </c>
      <c r="AE178">
        <f>$C178*AE177</f>
        <v/>
      </c>
      <c r="AF178">
        <f>$C178*AF177</f>
        <v/>
      </c>
      <c r="AG178">
        <f>$C178*AG177</f>
        <v/>
      </c>
      <c r="AH178">
        <f>$C178*AH177</f>
        <v/>
      </c>
      <c r="AI178">
        <f>$C178*AI177</f>
        <v/>
      </c>
      <c r="AJ178">
        <f>$C178*AJ177</f>
        <v/>
      </c>
      <c r="AK178">
        <f>$C178*AK177</f>
        <v/>
      </c>
      <c r="AL178">
        <f>$C178*AL177</f>
        <v/>
      </c>
      <c r="AM178">
        <f>$C178*AM177</f>
        <v/>
      </c>
      <c r="AN178">
        <f>$C178*AN177</f>
        <v/>
      </c>
      <c r="AO178">
        <f>$C178*AO177</f>
        <v/>
      </c>
      <c r="AP178">
        <f>$C178*AP177</f>
        <v/>
      </c>
      <c r="AQ178">
        <f>$C178*AQ177</f>
        <v/>
      </c>
      <c r="AR178">
        <f>$C178*AR177</f>
        <v/>
      </c>
      <c r="AS178">
        <f>$C178*AS177</f>
        <v/>
      </c>
      <c r="AT178">
        <f>$C178*AT177</f>
        <v/>
      </c>
      <c r="AU178">
        <f>$C178*AU177</f>
        <v/>
      </c>
      <c r="AV178">
        <f>$C178*AV177</f>
        <v/>
      </c>
      <c r="AW178">
        <f>$C178*AW177</f>
        <v/>
      </c>
      <c r="AX178">
        <f>$C178*AX177</f>
        <v/>
      </c>
      <c r="AY178">
        <f>$C178*AY177</f>
        <v/>
      </c>
      <c r="AZ178">
        <f>$C178*AZ177</f>
        <v/>
      </c>
      <c r="BA178">
        <f>$C178*BA177</f>
        <v/>
      </c>
      <c r="BB178">
        <f>$C178*BB177</f>
        <v/>
      </c>
      <c r="BC178">
        <f>$C178*BC177</f>
        <v/>
      </c>
      <c r="BD178">
        <f>$C178*BD177</f>
        <v/>
      </c>
      <c r="BE178">
        <f>$C178*BE177</f>
        <v/>
      </c>
      <c r="BF178">
        <f>$C178*BF177</f>
        <v/>
      </c>
      <c r="BG178">
        <f>$C178*BG177</f>
        <v/>
      </c>
      <c r="BH178">
        <f>$C178*BH177</f>
        <v/>
      </c>
      <c r="BI178">
        <f>$C178*BI177</f>
        <v/>
      </c>
      <c r="BJ178">
        <f>$C178*BJ177</f>
        <v/>
      </c>
      <c r="BK178">
        <f>$C178*BK177</f>
        <v/>
      </c>
      <c r="BL178">
        <f>$C178*BL177</f>
        <v/>
      </c>
      <c r="BM178">
        <f>$C178*BM177</f>
        <v/>
      </c>
      <c r="BN178">
        <f>$C178*BN177</f>
        <v/>
      </c>
      <c r="BO178">
        <f>$C178*BO177</f>
        <v/>
      </c>
      <c r="BP178">
        <f>$C178*BP177</f>
        <v/>
      </c>
      <c r="BQ178">
        <f>$C178*BQ177</f>
        <v/>
      </c>
      <c r="BR178">
        <f>$C178*BR177</f>
        <v/>
      </c>
      <c r="BS178">
        <f>$C178*BS177</f>
        <v/>
      </c>
      <c r="BT178">
        <f>$C178*BT177</f>
        <v/>
      </c>
      <c r="BU178">
        <f>$C178*BU177</f>
        <v/>
      </c>
      <c r="BV178">
        <f>$C178*BV177</f>
        <v/>
      </c>
      <c r="BW178">
        <f>$C178*BW177</f>
        <v/>
      </c>
      <c r="BX178">
        <f>$C178*BX177</f>
        <v/>
      </c>
      <c r="BY178">
        <f>$C178*BY177</f>
        <v/>
      </c>
      <c r="BZ178">
        <f>$C178*BZ177</f>
        <v/>
      </c>
      <c r="CA178">
        <f>$C178*CA177</f>
        <v/>
      </c>
      <c r="CB178">
        <f>$C178*CB177</f>
        <v/>
      </c>
      <c r="CC178">
        <f>$C178*CC177</f>
        <v/>
      </c>
      <c r="CD178">
        <f>$C178*CD177</f>
        <v/>
      </c>
      <c r="CE178">
        <f>$C178*CE177</f>
        <v/>
      </c>
      <c r="CF178">
        <f>$C178*CF177</f>
        <v/>
      </c>
      <c r="CG178">
        <f>$C178*CG177</f>
        <v/>
      </c>
      <c r="CH178">
        <f>$C178*CH177</f>
        <v/>
      </c>
      <c r="CI178">
        <f>$C178*CI177</f>
        <v/>
      </c>
      <c r="CJ178">
        <f>$C178*CJ177</f>
        <v/>
      </c>
      <c r="CK178">
        <f>$C178*CK177</f>
        <v/>
      </c>
      <c r="CL178">
        <f>$C178*CL177</f>
        <v/>
      </c>
      <c r="CM178">
        <f>$C178*CM177</f>
        <v/>
      </c>
      <c r="CN178">
        <f>$C178*CN177</f>
        <v/>
      </c>
      <c r="CO178">
        <f>$C178*CO177</f>
        <v/>
      </c>
      <c r="CP178">
        <f>$C178*CP177</f>
        <v/>
      </c>
      <c r="CQ178">
        <f>$C178*CQ177</f>
        <v/>
      </c>
      <c r="CR178">
        <f>$C178*CR177</f>
        <v/>
      </c>
      <c r="CS178">
        <f>$C178*CS177</f>
        <v/>
      </c>
      <c r="CT178">
        <f>$C178*CT177</f>
        <v/>
      </c>
      <c r="CU178">
        <f>$C178*CU177</f>
        <v/>
      </c>
      <c r="CV178">
        <f>$C178*CV177</f>
        <v/>
      </c>
      <c r="CW178">
        <f>$C178*CW177</f>
        <v/>
      </c>
      <c r="CX178">
        <f>$C178*CX177</f>
        <v/>
      </c>
      <c r="CY178">
        <f>$C178*CY177</f>
        <v/>
      </c>
      <c r="CZ178">
        <f>$C178*CZ177</f>
        <v/>
      </c>
      <c r="DA178">
        <f>$C178*DA177</f>
        <v/>
      </c>
      <c r="DB178">
        <f>$C178*DB177</f>
        <v/>
      </c>
      <c r="DC178">
        <f>$C178*DC177</f>
        <v/>
      </c>
    </row>
    <row r="179">
      <c r="B179" t="inlineStr">
        <is>
          <t>VSP-607</t>
        </is>
      </c>
      <c r="C179" t="inlineStr">
        <is>
          <t>No. of batches</t>
        </is>
      </c>
      <c r="D179">
        <f>IFERROR(INDEX(PP_Grid[#Data],$DD179,2),0)</f>
        <v/>
      </c>
      <c r="E179">
        <f>IFERROR(INDEX(PP_Grid[#Data],$DD179,3),0)</f>
        <v/>
      </c>
      <c r="F179">
        <f>IFERROR(INDEX(PP_Grid[#Data],$DD179,4),0)</f>
        <v/>
      </c>
      <c r="G179">
        <f>IFERROR(INDEX(PP_Grid[#Data],$DD179,5),0)</f>
        <v/>
      </c>
      <c r="H179">
        <f>IFERROR(INDEX(PP_Grid[#Data],$DD179,6),0)</f>
        <v/>
      </c>
      <c r="I179">
        <f>IFERROR(INDEX(PP_Grid[#Data],$DD179,7),0)</f>
        <v/>
      </c>
      <c r="J179">
        <f>IFERROR(INDEX(PP_Grid[#Data],$DD179,8),0)</f>
        <v/>
      </c>
      <c r="K179">
        <f>IFERROR(INDEX(PP_Grid[#Data],$DD179,9),0)</f>
        <v/>
      </c>
      <c r="L179">
        <f>IFERROR(INDEX(PP_Grid[#Data],$DD179,10),0)</f>
        <v/>
      </c>
      <c r="M179">
        <f>IFERROR(INDEX(PP_Grid[#Data],$DD179,11),0)</f>
        <v/>
      </c>
      <c r="N179">
        <f>IFERROR(INDEX(PP_Grid[#Data],$DD179,12),0)</f>
        <v/>
      </c>
      <c r="O179">
        <f>IFERROR(INDEX(PP_Grid[#Data],$DD179,13),0)</f>
        <v/>
      </c>
      <c r="P179">
        <f>IFERROR(INDEX(PP_Grid[#Data],$DD179,14),0)</f>
        <v/>
      </c>
      <c r="Q179">
        <f>IFERROR(INDEX(PP_Grid[#Data],$DD179,15),0)</f>
        <v/>
      </c>
      <c r="R179">
        <f>IFERROR(INDEX(PP_Grid[#Data],$DD179,16),0)</f>
        <v/>
      </c>
      <c r="S179">
        <f>IFERROR(INDEX(PP_Grid[#Data],$DD179,17),0)</f>
        <v/>
      </c>
      <c r="T179">
        <f>IFERROR(INDEX(PP_Grid[#Data],$DD179,18),0)</f>
        <v/>
      </c>
      <c r="U179">
        <f>IFERROR(INDEX(PP_Grid[#Data],$DD179,19),0)</f>
        <v/>
      </c>
      <c r="V179">
        <f>IFERROR(INDEX(PP_Grid[#Data],$DD179,20),0)</f>
        <v/>
      </c>
      <c r="W179">
        <f>IFERROR(INDEX(PP_Grid[#Data],$DD179,21),0)</f>
        <v/>
      </c>
      <c r="X179">
        <f>IFERROR(INDEX(PP_Grid[#Data],$DD179,22),0)</f>
        <v/>
      </c>
      <c r="Y179">
        <f>IFERROR(INDEX(PP_Grid[#Data],$DD179,23),0)</f>
        <v/>
      </c>
      <c r="Z179">
        <f>IFERROR(INDEX(PP_Grid[#Data],$DD179,24),0)</f>
        <v/>
      </c>
      <c r="AA179">
        <f>IFERROR(INDEX(PP_Grid[#Data],$DD179,25),0)</f>
        <v/>
      </c>
      <c r="AB179">
        <f>IFERROR(INDEX(PP_Grid[#Data],$DD179,26),0)</f>
        <v/>
      </c>
      <c r="AC179">
        <f>IFERROR(INDEX(PP_Grid[#Data],$DD179,27),0)</f>
        <v/>
      </c>
      <c r="AD179">
        <f>IFERROR(INDEX(PP_Grid[#Data],$DD179,28),0)</f>
        <v/>
      </c>
      <c r="AE179">
        <f>IFERROR(INDEX(PP_Grid[#Data],$DD179,29),0)</f>
        <v/>
      </c>
      <c r="AF179">
        <f>IFERROR(INDEX(PP_Grid[#Data],$DD179,30),0)</f>
        <v/>
      </c>
      <c r="AG179">
        <f>IFERROR(INDEX(PP_Grid[#Data],$DD179,31),0)</f>
        <v/>
      </c>
      <c r="AH179">
        <f>IFERROR(INDEX(PP_Grid[#Data],$DD179,32),0)</f>
        <v/>
      </c>
      <c r="AI179">
        <f>IFERROR(INDEX(PP_Grid[#Data],$DD179,33),0)</f>
        <v/>
      </c>
      <c r="AJ179">
        <f>IFERROR(INDEX(PP_Grid[#Data],$DD179,34),0)</f>
        <v/>
      </c>
      <c r="AK179">
        <f>IFERROR(INDEX(PP_Grid[#Data],$DD179,35),0)</f>
        <v/>
      </c>
      <c r="AL179">
        <f>IFERROR(INDEX(PP_Grid[#Data],$DD179,36),0)</f>
        <v/>
      </c>
      <c r="AM179">
        <f>IFERROR(INDEX(PP_Grid[#Data],$DD179,37),0)</f>
        <v/>
      </c>
      <c r="AN179">
        <f>IFERROR(INDEX(PP_Grid[#Data],$DD179,38),0)</f>
        <v/>
      </c>
      <c r="AO179">
        <f>IFERROR(INDEX(PP_Grid[#Data],$DD179,39),0)</f>
        <v/>
      </c>
      <c r="AP179">
        <f>IFERROR(INDEX(PP_Grid[#Data],$DD179,40),0)</f>
        <v/>
      </c>
      <c r="AQ179">
        <f>IFERROR(INDEX(PP_Grid[#Data],$DD179,41),0)</f>
        <v/>
      </c>
      <c r="AR179">
        <f>IFERROR(INDEX(PP_Grid[#Data],$DD179,42),0)</f>
        <v/>
      </c>
      <c r="AS179">
        <f>IFERROR(INDEX(PP_Grid[#Data],$DD179,43),0)</f>
        <v/>
      </c>
      <c r="AT179">
        <f>IFERROR(INDEX(PP_Grid[#Data],$DD179,44),0)</f>
        <v/>
      </c>
      <c r="AU179">
        <f>IFERROR(INDEX(PP_Grid[#Data],$DD179,45),0)</f>
        <v/>
      </c>
      <c r="AV179">
        <f>IFERROR(INDEX(PP_Grid[#Data],$DD179,46),0)</f>
        <v/>
      </c>
      <c r="AW179">
        <f>IFERROR(INDEX(PP_Grid[#Data],$DD179,47),0)</f>
        <v/>
      </c>
      <c r="AX179">
        <f>IFERROR(INDEX(PP_Grid[#Data],$DD179,48),0)</f>
        <v/>
      </c>
      <c r="AY179">
        <f>IFERROR(INDEX(PP_Grid[#Data],$DD179,49),0)</f>
        <v/>
      </c>
      <c r="AZ179">
        <f>IFERROR(INDEX(PP_Grid[#Data],$DD179,50),0)</f>
        <v/>
      </c>
      <c r="BA179">
        <f>IFERROR(INDEX(PP_Grid[#Data],$DD179,51),0)</f>
        <v/>
      </c>
      <c r="BB179">
        <f>IFERROR(INDEX(PP_Grid[#Data],$DD179,52),0)</f>
        <v/>
      </c>
      <c r="BC179">
        <f>IFERROR(INDEX(PP_Grid[#Data],$DD179,53),0)</f>
        <v/>
      </c>
      <c r="BD179">
        <f>IFERROR(INDEX(PP_Grid[#Data],$DD179,54),0)</f>
        <v/>
      </c>
      <c r="BE179">
        <f>IFERROR(INDEX(PP_Grid[#Data],$DD179,55),0)</f>
        <v/>
      </c>
      <c r="BF179">
        <f>IFERROR(INDEX(PP_Grid[#Data],$DD179,56),0)</f>
        <v/>
      </c>
      <c r="BG179">
        <f>IFERROR(INDEX(PP_Grid[#Data],$DD179,57),0)</f>
        <v/>
      </c>
      <c r="BH179">
        <f>IFERROR(INDEX(PP_Grid[#Data],$DD179,58),0)</f>
        <v/>
      </c>
      <c r="BI179">
        <f>IFERROR(INDEX(PP_Grid[#Data],$DD179,59),0)</f>
        <v/>
      </c>
      <c r="BJ179">
        <f>IFERROR(INDEX(PP_Grid[#Data],$DD179,60),0)</f>
        <v/>
      </c>
      <c r="BK179">
        <f>IFERROR(INDEX(PP_Grid[#Data],$DD179,61),0)</f>
        <v/>
      </c>
      <c r="BL179">
        <f>IFERROR(INDEX(PP_Grid[#Data],$DD179,62),0)</f>
        <v/>
      </c>
      <c r="BM179">
        <f>IFERROR(INDEX(PP_Grid[#Data],$DD179,63),0)</f>
        <v/>
      </c>
      <c r="BN179">
        <f>IFERROR(INDEX(PP_Grid[#Data],$DD179,64),0)</f>
        <v/>
      </c>
      <c r="BO179">
        <f>IFERROR(INDEX(PP_Grid[#Data],$DD179,65),0)</f>
        <v/>
      </c>
      <c r="BP179">
        <f>IFERROR(INDEX(PP_Grid[#Data],$DD179,66),0)</f>
        <v/>
      </c>
      <c r="BQ179">
        <f>IFERROR(INDEX(PP_Grid[#Data],$DD179,67),0)</f>
        <v/>
      </c>
      <c r="BR179">
        <f>IFERROR(INDEX(PP_Grid[#Data],$DD179,68),0)</f>
        <v/>
      </c>
      <c r="BS179">
        <f>IFERROR(INDEX(PP_Grid[#Data],$DD179,69),0)</f>
        <v/>
      </c>
      <c r="BT179">
        <f>IFERROR(INDEX(PP_Grid[#Data],$DD179,70),0)</f>
        <v/>
      </c>
      <c r="BU179">
        <f>IFERROR(INDEX(PP_Grid[#Data],$DD179,71),0)</f>
        <v/>
      </c>
      <c r="BV179">
        <f>IFERROR(INDEX(PP_Grid[#Data],$DD179,72),0)</f>
        <v/>
      </c>
      <c r="BW179">
        <f>IFERROR(INDEX(PP_Grid[#Data],$DD179,73),0)</f>
        <v/>
      </c>
      <c r="BX179">
        <f>IFERROR(INDEX(PP_Grid[#Data],$DD179,74),0)</f>
        <v/>
      </c>
      <c r="BY179">
        <f>IFERROR(INDEX(PP_Grid[#Data],$DD179,75),0)</f>
        <v/>
      </c>
      <c r="BZ179">
        <f>IFERROR(INDEX(PP_Grid[#Data],$DD179,76),0)</f>
        <v/>
      </c>
      <c r="CA179">
        <f>IFERROR(INDEX(PP_Grid[#Data],$DD179,77),0)</f>
        <v/>
      </c>
      <c r="CB179">
        <f>IFERROR(INDEX(PP_Grid[#Data],$DD179,78),0)</f>
        <v/>
      </c>
      <c r="CC179">
        <f>IFERROR(INDEX(PP_Grid[#Data],$DD179,79),0)</f>
        <v/>
      </c>
      <c r="CD179">
        <f>IFERROR(INDEX(PP_Grid[#Data],$DD179,80),0)</f>
        <v/>
      </c>
      <c r="CE179">
        <f>IFERROR(INDEX(PP_Grid[#Data],$DD179,81),0)</f>
        <v/>
      </c>
      <c r="CF179">
        <f>IFERROR(INDEX(PP_Grid[#Data],$DD179,82),0)</f>
        <v/>
      </c>
      <c r="CG179">
        <f>IFERROR(INDEX(PP_Grid[#Data],$DD179,83),0)</f>
        <v/>
      </c>
      <c r="CH179">
        <f>IFERROR(INDEX(PP_Grid[#Data],$DD179,84),0)</f>
        <v/>
      </c>
      <c r="CI179">
        <f>IFERROR(INDEX(PP_Grid[#Data],$DD179,85),0)</f>
        <v/>
      </c>
      <c r="CJ179">
        <f>IFERROR(INDEX(PP_Grid[#Data],$DD179,86),0)</f>
        <v/>
      </c>
      <c r="CK179">
        <f>IFERROR(INDEX(PP_Grid[#Data],$DD179,87),0)</f>
        <v/>
      </c>
      <c r="CL179">
        <f>IFERROR(INDEX(PP_Grid[#Data],$DD179,88),0)</f>
        <v/>
      </c>
      <c r="CM179">
        <f>IFERROR(INDEX(PP_Grid[#Data],$DD179,89),0)</f>
        <v/>
      </c>
      <c r="CN179">
        <f>IFERROR(INDEX(PP_Grid[#Data],$DD179,90),0)</f>
        <v/>
      </c>
      <c r="CO179">
        <f>IFERROR(INDEX(PP_Grid[#Data],$DD179,91),0)</f>
        <v/>
      </c>
      <c r="CP179">
        <f>IFERROR(INDEX(PP_Grid[#Data],$DD179,92),0)</f>
        <v/>
      </c>
      <c r="CQ179">
        <f>IFERROR(INDEX(PP_Grid[#Data],$DD179,93),0)</f>
        <v/>
      </c>
      <c r="CR179">
        <f>IFERROR(INDEX(PP_Grid[#Data],$DD179,94),0)</f>
        <v/>
      </c>
      <c r="CS179">
        <f>IFERROR(INDEX(PP_Grid[#Data],$DD179,95),0)</f>
        <v/>
      </c>
      <c r="CT179">
        <f>IFERROR(INDEX(PP_Grid[#Data],$DD179,96),0)</f>
        <v/>
      </c>
      <c r="CU179">
        <f>IFERROR(INDEX(PP_Grid[#Data],$DD179,97),0)</f>
        <v/>
      </c>
      <c r="CV179">
        <f>IFERROR(INDEX(PP_Grid[#Data],$DD179,98),0)</f>
        <v/>
      </c>
      <c r="CW179">
        <f>IFERROR(INDEX(PP_Grid[#Data],$DD179,99),0)</f>
        <v/>
      </c>
      <c r="CX179">
        <f>IFERROR(INDEX(PP_Grid[#Data],$DD179,100),0)</f>
        <v/>
      </c>
      <c r="CY179">
        <f>IFERROR(INDEX(PP_Grid[#Data],$DD179,101),0)</f>
        <v/>
      </c>
      <c r="CZ179">
        <f>IFERROR(INDEX(PP_Grid[#Data],$DD179,102),0)</f>
        <v/>
      </c>
      <c r="DA179">
        <f>IFERROR(INDEX(PP_Grid[#Data],$DD179,103),0)</f>
        <v/>
      </c>
      <c r="DB179">
        <f>IFERROR(INDEX(PP_Grid[#Data],$DD179,104),0)</f>
        <v/>
      </c>
      <c r="DC179">
        <f>IFERROR(INDEX(PP_Grid[#Data],$DD179,105),0)</f>
        <v/>
      </c>
      <c r="DD179" s="7">
        <f>IFERROR(MATCH($B179,PP_Grid[Intermediate],0),99999)</f>
        <v/>
      </c>
    </row>
    <row r="180">
      <c r="B180" t="inlineStr">
        <is>
          <t>使用量(kg)</t>
        </is>
      </c>
      <c r="C180">
        <f>SUMIFS(M_BOM[RM_Qty_Per_Batch],M_BOM[Intermediate],$B179,M_BOM[Part Name],$A44)</f>
        <v/>
      </c>
      <c r="D180">
        <f>$C180*D179</f>
        <v/>
      </c>
      <c r="E180">
        <f>$C180*E179</f>
        <v/>
      </c>
      <c r="F180">
        <f>$C180*F179</f>
        <v/>
      </c>
      <c r="G180">
        <f>$C180*G179</f>
        <v/>
      </c>
      <c r="H180">
        <f>$C180*H179</f>
        <v/>
      </c>
      <c r="I180">
        <f>$C180*I179</f>
        <v/>
      </c>
      <c r="J180">
        <f>$C180*J179</f>
        <v/>
      </c>
      <c r="K180">
        <f>$C180*K179</f>
        <v/>
      </c>
      <c r="L180">
        <f>$C180*L179</f>
        <v/>
      </c>
      <c r="M180">
        <f>$C180*M179</f>
        <v/>
      </c>
      <c r="N180">
        <f>$C180*N179</f>
        <v/>
      </c>
      <c r="O180">
        <f>$C180*O179</f>
        <v/>
      </c>
      <c r="P180">
        <f>$C180*P179</f>
        <v/>
      </c>
      <c r="Q180">
        <f>$C180*Q179</f>
        <v/>
      </c>
      <c r="R180">
        <f>$C180*R179</f>
        <v/>
      </c>
      <c r="S180">
        <f>$C180*S179</f>
        <v/>
      </c>
      <c r="T180">
        <f>$C180*T179</f>
        <v/>
      </c>
      <c r="U180">
        <f>$C180*U179</f>
        <v/>
      </c>
      <c r="V180">
        <f>$C180*V179</f>
        <v/>
      </c>
      <c r="W180">
        <f>$C180*W179</f>
        <v/>
      </c>
      <c r="X180">
        <f>$C180*X179</f>
        <v/>
      </c>
      <c r="Y180">
        <f>$C180*Y179</f>
        <v/>
      </c>
      <c r="Z180">
        <f>$C180*Z179</f>
        <v/>
      </c>
      <c r="AA180">
        <f>$C180*AA179</f>
        <v/>
      </c>
      <c r="AB180">
        <f>$C180*AB179</f>
        <v/>
      </c>
      <c r="AC180">
        <f>$C180*AC179</f>
        <v/>
      </c>
      <c r="AD180">
        <f>$C180*AD179</f>
        <v/>
      </c>
      <c r="AE180">
        <f>$C180*AE179</f>
        <v/>
      </c>
      <c r="AF180">
        <f>$C180*AF179</f>
        <v/>
      </c>
      <c r="AG180">
        <f>$C180*AG179</f>
        <v/>
      </c>
      <c r="AH180">
        <f>$C180*AH179</f>
        <v/>
      </c>
      <c r="AI180">
        <f>$C180*AI179</f>
        <v/>
      </c>
      <c r="AJ180">
        <f>$C180*AJ179</f>
        <v/>
      </c>
      <c r="AK180">
        <f>$C180*AK179</f>
        <v/>
      </c>
      <c r="AL180">
        <f>$C180*AL179</f>
        <v/>
      </c>
      <c r="AM180">
        <f>$C180*AM179</f>
        <v/>
      </c>
      <c r="AN180">
        <f>$C180*AN179</f>
        <v/>
      </c>
      <c r="AO180">
        <f>$C180*AO179</f>
        <v/>
      </c>
      <c r="AP180">
        <f>$C180*AP179</f>
        <v/>
      </c>
      <c r="AQ180">
        <f>$C180*AQ179</f>
        <v/>
      </c>
      <c r="AR180">
        <f>$C180*AR179</f>
        <v/>
      </c>
      <c r="AS180">
        <f>$C180*AS179</f>
        <v/>
      </c>
      <c r="AT180">
        <f>$C180*AT179</f>
        <v/>
      </c>
      <c r="AU180">
        <f>$C180*AU179</f>
        <v/>
      </c>
      <c r="AV180">
        <f>$C180*AV179</f>
        <v/>
      </c>
      <c r="AW180">
        <f>$C180*AW179</f>
        <v/>
      </c>
      <c r="AX180">
        <f>$C180*AX179</f>
        <v/>
      </c>
      <c r="AY180">
        <f>$C180*AY179</f>
        <v/>
      </c>
      <c r="AZ180">
        <f>$C180*AZ179</f>
        <v/>
      </c>
      <c r="BA180">
        <f>$C180*BA179</f>
        <v/>
      </c>
      <c r="BB180">
        <f>$C180*BB179</f>
        <v/>
      </c>
      <c r="BC180">
        <f>$C180*BC179</f>
        <v/>
      </c>
      <c r="BD180">
        <f>$C180*BD179</f>
        <v/>
      </c>
      <c r="BE180">
        <f>$C180*BE179</f>
        <v/>
      </c>
      <c r="BF180">
        <f>$C180*BF179</f>
        <v/>
      </c>
      <c r="BG180">
        <f>$C180*BG179</f>
        <v/>
      </c>
      <c r="BH180">
        <f>$C180*BH179</f>
        <v/>
      </c>
      <c r="BI180">
        <f>$C180*BI179</f>
        <v/>
      </c>
      <c r="BJ180">
        <f>$C180*BJ179</f>
        <v/>
      </c>
      <c r="BK180">
        <f>$C180*BK179</f>
        <v/>
      </c>
      <c r="BL180">
        <f>$C180*BL179</f>
        <v/>
      </c>
      <c r="BM180">
        <f>$C180*BM179</f>
        <v/>
      </c>
      <c r="BN180">
        <f>$C180*BN179</f>
        <v/>
      </c>
      <c r="BO180">
        <f>$C180*BO179</f>
        <v/>
      </c>
      <c r="BP180">
        <f>$C180*BP179</f>
        <v/>
      </c>
      <c r="BQ180">
        <f>$C180*BQ179</f>
        <v/>
      </c>
      <c r="BR180">
        <f>$C180*BR179</f>
        <v/>
      </c>
      <c r="BS180">
        <f>$C180*BS179</f>
        <v/>
      </c>
      <c r="BT180">
        <f>$C180*BT179</f>
        <v/>
      </c>
      <c r="BU180">
        <f>$C180*BU179</f>
        <v/>
      </c>
      <c r="BV180">
        <f>$C180*BV179</f>
        <v/>
      </c>
      <c r="BW180">
        <f>$C180*BW179</f>
        <v/>
      </c>
      <c r="BX180">
        <f>$C180*BX179</f>
        <v/>
      </c>
      <c r="BY180">
        <f>$C180*BY179</f>
        <v/>
      </c>
      <c r="BZ180">
        <f>$C180*BZ179</f>
        <v/>
      </c>
      <c r="CA180">
        <f>$C180*CA179</f>
        <v/>
      </c>
      <c r="CB180">
        <f>$C180*CB179</f>
        <v/>
      </c>
      <c r="CC180">
        <f>$C180*CC179</f>
        <v/>
      </c>
      <c r="CD180">
        <f>$C180*CD179</f>
        <v/>
      </c>
      <c r="CE180">
        <f>$C180*CE179</f>
        <v/>
      </c>
      <c r="CF180">
        <f>$C180*CF179</f>
        <v/>
      </c>
      <c r="CG180">
        <f>$C180*CG179</f>
        <v/>
      </c>
      <c r="CH180">
        <f>$C180*CH179</f>
        <v/>
      </c>
      <c r="CI180">
        <f>$C180*CI179</f>
        <v/>
      </c>
      <c r="CJ180">
        <f>$C180*CJ179</f>
        <v/>
      </c>
      <c r="CK180">
        <f>$C180*CK179</f>
        <v/>
      </c>
      <c r="CL180">
        <f>$C180*CL179</f>
        <v/>
      </c>
      <c r="CM180">
        <f>$C180*CM179</f>
        <v/>
      </c>
      <c r="CN180">
        <f>$C180*CN179</f>
        <v/>
      </c>
      <c r="CO180">
        <f>$C180*CO179</f>
        <v/>
      </c>
      <c r="CP180">
        <f>$C180*CP179</f>
        <v/>
      </c>
      <c r="CQ180">
        <f>$C180*CQ179</f>
        <v/>
      </c>
      <c r="CR180">
        <f>$C180*CR179</f>
        <v/>
      </c>
      <c r="CS180">
        <f>$C180*CS179</f>
        <v/>
      </c>
      <c r="CT180">
        <f>$C180*CT179</f>
        <v/>
      </c>
      <c r="CU180">
        <f>$C180*CU179</f>
        <v/>
      </c>
      <c r="CV180">
        <f>$C180*CV179</f>
        <v/>
      </c>
      <c r="CW180">
        <f>$C180*CW179</f>
        <v/>
      </c>
      <c r="CX180">
        <f>$C180*CX179</f>
        <v/>
      </c>
      <c r="CY180">
        <f>$C180*CY179</f>
        <v/>
      </c>
      <c r="CZ180">
        <f>$C180*CZ179</f>
        <v/>
      </c>
      <c r="DA180">
        <f>$C180*DA179</f>
        <v/>
      </c>
      <c r="DB180">
        <f>$C180*DB179</f>
        <v/>
      </c>
      <c r="DC180">
        <f>$C180*DC179</f>
        <v/>
      </c>
    </row>
    <row r="181">
      <c r="B181" t="inlineStr">
        <is>
          <t>VSP-738</t>
        </is>
      </c>
      <c r="C181" t="inlineStr">
        <is>
          <t>No. of batches</t>
        </is>
      </c>
      <c r="D181">
        <f>IFERROR(INDEX(PP_Grid[#Data],$DD181,2),0)</f>
        <v/>
      </c>
      <c r="E181">
        <f>IFERROR(INDEX(PP_Grid[#Data],$DD181,3),0)</f>
        <v/>
      </c>
      <c r="F181">
        <f>IFERROR(INDEX(PP_Grid[#Data],$DD181,4),0)</f>
        <v/>
      </c>
      <c r="G181">
        <f>IFERROR(INDEX(PP_Grid[#Data],$DD181,5),0)</f>
        <v/>
      </c>
      <c r="H181">
        <f>IFERROR(INDEX(PP_Grid[#Data],$DD181,6),0)</f>
        <v/>
      </c>
      <c r="I181">
        <f>IFERROR(INDEX(PP_Grid[#Data],$DD181,7),0)</f>
        <v/>
      </c>
      <c r="J181">
        <f>IFERROR(INDEX(PP_Grid[#Data],$DD181,8),0)</f>
        <v/>
      </c>
      <c r="K181">
        <f>IFERROR(INDEX(PP_Grid[#Data],$DD181,9),0)</f>
        <v/>
      </c>
      <c r="L181">
        <f>IFERROR(INDEX(PP_Grid[#Data],$DD181,10),0)</f>
        <v/>
      </c>
      <c r="M181">
        <f>IFERROR(INDEX(PP_Grid[#Data],$DD181,11),0)</f>
        <v/>
      </c>
      <c r="N181">
        <f>IFERROR(INDEX(PP_Grid[#Data],$DD181,12),0)</f>
        <v/>
      </c>
      <c r="O181">
        <f>IFERROR(INDEX(PP_Grid[#Data],$DD181,13),0)</f>
        <v/>
      </c>
      <c r="P181">
        <f>IFERROR(INDEX(PP_Grid[#Data],$DD181,14),0)</f>
        <v/>
      </c>
      <c r="Q181">
        <f>IFERROR(INDEX(PP_Grid[#Data],$DD181,15),0)</f>
        <v/>
      </c>
      <c r="R181">
        <f>IFERROR(INDEX(PP_Grid[#Data],$DD181,16),0)</f>
        <v/>
      </c>
      <c r="S181">
        <f>IFERROR(INDEX(PP_Grid[#Data],$DD181,17),0)</f>
        <v/>
      </c>
      <c r="T181">
        <f>IFERROR(INDEX(PP_Grid[#Data],$DD181,18),0)</f>
        <v/>
      </c>
      <c r="U181">
        <f>IFERROR(INDEX(PP_Grid[#Data],$DD181,19),0)</f>
        <v/>
      </c>
      <c r="V181">
        <f>IFERROR(INDEX(PP_Grid[#Data],$DD181,20),0)</f>
        <v/>
      </c>
      <c r="W181">
        <f>IFERROR(INDEX(PP_Grid[#Data],$DD181,21),0)</f>
        <v/>
      </c>
      <c r="X181">
        <f>IFERROR(INDEX(PP_Grid[#Data],$DD181,22),0)</f>
        <v/>
      </c>
      <c r="Y181">
        <f>IFERROR(INDEX(PP_Grid[#Data],$DD181,23),0)</f>
        <v/>
      </c>
      <c r="Z181">
        <f>IFERROR(INDEX(PP_Grid[#Data],$DD181,24),0)</f>
        <v/>
      </c>
      <c r="AA181">
        <f>IFERROR(INDEX(PP_Grid[#Data],$DD181,25),0)</f>
        <v/>
      </c>
      <c r="AB181">
        <f>IFERROR(INDEX(PP_Grid[#Data],$DD181,26),0)</f>
        <v/>
      </c>
      <c r="AC181">
        <f>IFERROR(INDEX(PP_Grid[#Data],$DD181,27),0)</f>
        <v/>
      </c>
      <c r="AD181">
        <f>IFERROR(INDEX(PP_Grid[#Data],$DD181,28),0)</f>
        <v/>
      </c>
      <c r="AE181">
        <f>IFERROR(INDEX(PP_Grid[#Data],$DD181,29),0)</f>
        <v/>
      </c>
      <c r="AF181">
        <f>IFERROR(INDEX(PP_Grid[#Data],$DD181,30),0)</f>
        <v/>
      </c>
      <c r="AG181">
        <f>IFERROR(INDEX(PP_Grid[#Data],$DD181,31),0)</f>
        <v/>
      </c>
      <c r="AH181">
        <f>IFERROR(INDEX(PP_Grid[#Data],$DD181,32),0)</f>
        <v/>
      </c>
      <c r="AI181">
        <f>IFERROR(INDEX(PP_Grid[#Data],$DD181,33),0)</f>
        <v/>
      </c>
      <c r="AJ181">
        <f>IFERROR(INDEX(PP_Grid[#Data],$DD181,34),0)</f>
        <v/>
      </c>
      <c r="AK181">
        <f>IFERROR(INDEX(PP_Grid[#Data],$DD181,35),0)</f>
        <v/>
      </c>
      <c r="AL181">
        <f>IFERROR(INDEX(PP_Grid[#Data],$DD181,36),0)</f>
        <v/>
      </c>
      <c r="AM181">
        <f>IFERROR(INDEX(PP_Grid[#Data],$DD181,37),0)</f>
        <v/>
      </c>
      <c r="AN181">
        <f>IFERROR(INDEX(PP_Grid[#Data],$DD181,38),0)</f>
        <v/>
      </c>
      <c r="AO181">
        <f>IFERROR(INDEX(PP_Grid[#Data],$DD181,39),0)</f>
        <v/>
      </c>
      <c r="AP181">
        <f>IFERROR(INDEX(PP_Grid[#Data],$DD181,40),0)</f>
        <v/>
      </c>
      <c r="AQ181">
        <f>IFERROR(INDEX(PP_Grid[#Data],$DD181,41),0)</f>
        <v/>
      </c>
      <c r="AR181">
        <f>IFERROR(INDEX(PP_Grid[#Data],$DD181,42),0)</f>
        <v/>
      </c>
      <c r="AS181">
        <f>IFERROR(INDEX(PP_Grid[#Data],$DD181,43),0)</f>
        <v/>
      </c>
      <c r="AT181">
        <f>IFERROR(INDEX(PP_Grid[#Data],$DD181,44),0)</f>
        <v/>
      </c>
      <c r="AU181">
        <f>IFERROR(INDEX(PP_Grid[#Data],$DD181,45),0)</f>
        <v/>
      </c>
      <c r="AV181">
        <f>IFERROR(INDEX(PP_Grid[#Data],$DD181,46),0)</f>
        <v/>
      </c>
      <c r="AW181">
        <f>IFERROR(INDEX(PP_Grid[#Data],$DD181,47),0)</f>
        <v/>
      </c>
      <c r="AX181">
        <f>IFERROR(INDEX(PP_Grid[#Data],$DD181,48),0)</f>
        <v/>
      </c>
      <c r="AY181">
        <f>IFERROR(INDEX(PP_Grid[#Data],$DD181,49),0)</f>
        <v/>
      </c>
      <c r="AZ181">
        <f>IFERROR(INDEX(PP_Grid[#Data],$DD181,50),0)</f>
        <v/>
      </c>
      <c r="BA181">
        <f>IFERROR(INDEX(PP_Grid[#Data],$DD181,51),0)</f>
        <v/>
      </c>
      <c r="BB181">
        <f>IFERROR(INDEX(PP_Grid[#Data],$DD181,52),0)</f>
        <v/>
      </c>
      <c r="BC181">
        <f>IFERROR(INDEX(PP_Grid[#Data],$DD181,53),0)</f>
        <v/>
      </c>
      <c r="BD181">
        <f>IFERROR(INDEX(PP_Grid[#Data],$DD181,54),0)</f>
        <v/>
      </c>
      <c r="BE181">
        <f>IFERROR(INDEX(PP_Grid[#Data],$DD181,55),0)</f>
        <v/>
      </c>
      <c r="BF181">
        <f>IFERROR(INDEX(PP_Grid[#Data],$DD181,56),0)</f>
        <v/>
      </c>
      <c r="BG181">
        <f>IFERROR(INDEX(PP_Grid[#Data],$DD181,57),0)</f>
        <v/>
      </c>
      <c r="BH181">
        <f>IFERROR(INDEX(PP_Grid[#Data],$DD181,58),0)</f>
        <v/>
      </c>
      <c r="BI181">
        <f>IFERROR(INDEX(PP_Grid[#Data],$DD181,59),0)</f>
        <v/>
      </c>
      <c r="BJ181">
        <f>IFERROR(INDEX(PP_Grid[#Data],$DD181,60),0)</f>
        <v/>
      </c>
      <c r="BK181">
        <f>IFERROR(INDEX(PP_Grid[#Data],$DD181,61),0)</f>
        <v/>
      </c>
      <c r="BL181">
        <f>IFERROR(INDEX(PP_Grid[#Data],$DD181,62),0)</f>
        <v/>
      </c>
      <c r="BM181">
        <f>IFERROR(INDEX(PP_Grid[#Data],$DD181,63),0)</f>
        <v/>
      </c>
      <c r="BN181">
        <f>IFERROR(INDEX(PP_Grid[#Data],$DD181,64),0)</f>
        <v/>
      </c>
      <c r="BO181">
        <f>IFERROR(INDEX(PP_Grid[#Data],$DD181,65),0)</f>
        <v/>
      </c>
      <c r="BP181">
        <f>IFERROR(INDEX(PP_Grid[#Data],$DD181,66),0)</f>
        <v/>
      </c>
      <c r="BQ181">
        <f>IFERROR(INDEX(PP_Grid[#Data],$DD181,67),0)</f>
        <v/>
      </c>
      <c r="BR181">
        <f>IFERROR(INDEX(PP_Grid[#Data],$DD181,68),0)</f>
        <v/>
      </c>
      <c r="BS181">
        <f>IFERROR(INDEX(PP_Grid[#Data],$DD181,69),0)</f>
        <v/>
      </c>
      <c r="BT181">
        <f>IFERROR(INDEX(PP_Grid[#Data],$DD181,70),0)</f>
        <v/>
      </c>
      <c r="BU181">
        <f>IFERROR(INDEX(PP_Grid[#Data],$DD181,71),0)</f>
        <v/>
      </c>
      <c r="BV181">
        <f>IFERROR(INDEX(PP_Grid[#Data],$DD181,72),0)</f>
        <v/>
      </c>
      <c r="BW181">
        <f>IFERROR(INDEX(PP_Grid[#Data],$DD181,73),0)</f>
        <v/>
      </c>
      <c r="BX181">
        <f>IFERROR(INDEX(PP_Grid[#Data],$DD181,74),0)</f>
        <v/>
      </c>
      <c r="BY181">
        <f>IFERROR(INDEX(PP_Grid[#Data],$DD181,75),0)</f>
        <v/>
      </c>
      <c r="BZ181">
        <f>IFERROR(INDEX(PP_Grid[#Data],$DD181,76),0)</f>
        <v/>
      </c>
      <c r="CA181">
        <f>IFERROR(INDEX(PP_Grid[#Data],$DD181,77),0)</f>
        <v/>
      </c>
      <c r="CB181">
        <f>IFERROR(INDEX(PP_Grid[#Data],$DD181,78),0)</f>
        <v/>
      </c>
      <c r="CC181">
        <f>IFERROR(INDEX(PP_Grid[#Data],$DD181,79),0)</f>
        <v/>
      </c>
      <c r="CD181">
        <f>IFERROR(INDEX(PP_Grid[#Data],$DD181,80),0)</f>
        <v/>
      </c>
      <c r="CE181">
        <f>IFERROR(INDEX(PP_Grid[#Data],$DD181,81),0)</f>
        <v/>
      </c>
      <c r="CF181">
        <f>IFERROR(INDEX(PP_Grid[#Data],$DD181,82),0)</f>
        <v/>
      </c>
      <c r="CG181">
        <f>IFERROR(INDEX(PP_Grid[#Data],$DD181,83),0)</f>
        <v/>
      </c>
      <c r="CH181">
        <f>IFERROR(INDEX(PP_Grid[#Data],$DD181,84),0)</f>
        <v/>
      </c>
      <c r="CI181">
        <f>IFERROR(INDEX(PP_Grid[#Data],$DD181,85),0)</f>
        <v/>
      </c>
      <c r="CJ181">
        <f>IFERROR(INDEX(PP_Grid[#Data],$DD181,86),0)</f>
        <v/>
      </c>
      <c r="CK181">
        <f>IFERROR(INDEX(PP_Grid[#Data],$DD181,87),0)</f>
        <v/>
      </c>
      <c r="CL181">
        <f>IFERROR(INDEX(PP_Grid[#Data],$DD181,88),0)</f>
        <v/>
      </c>
      <c r="CM181">
        <f>IFERROR(INDEX(PP_Grid[#Data],$DD181,89),0)</f>
        <v/>
      </c>
      <c r="CN181">
        <f>IFERROR(INDEX(PP_Grid[#Data],$DD181,90),0)</f>
        <v/>
      </c>
      <c r="CO181">
        <f>IFERROR(INDEX(PP_Grid[#Data],$DD181,91),0)</f>
        <v/>
      </c>
      <c r="CP181">
        <f>IFERROR(INDEX(PP_Grid[#Data],$DD181,92),0)</f>
        <v/>
      </c>
      <c r="CQ181">
        <f>IFERROR(INDEX(PP_Grid[#Data],$DD181,93),0)</f>
        <v/>
      </c>
      <c r="CR181">
        <f>IFERROR(INDEX(PP_Grid[#Data],$DD181,94),0)</f>
        <v/>
      </c>
      <c r="CS181">
        <f>IFERROR(INDEX(PP_Grid[#Data],$DD181,95),0)</f>
        <v/>
      </c>
      <c r="CT181">
        <f>IFERROR(INDEX(PP_Grid[#Data],$DD181,96),0)</f>
        <v/>
      </c>
      <c r="CU181">
        <f>IFERROR(INDEX(PP_Grid[#Data],$DD181,97),0)</f>
        <v/>
      </c>
      <c r="CV181">
        <f>IFERROR(INDEX(PP_Grid[#Data],$DD181,98),0)</f>
        <v/>
      </c>
      <c r="CW181">
        <f>IFERROR(INDEX(PP_Grid[#Data],$DD181,99),0)</f>
        <v/>
      </c>
      <c r="CX181">
        <f>IFERROR(INDEX(PP_Grid[#Data],$DD181,100),0)</f>
        <v/>
      </c>
      <c r="CY181">
        <f>IFERROR(INDEX(PP_Grid[#Data],$DD181,101),0)</f>
        <v/>
      </c>
      <c r="CZ181">
        <f>IFERROR(INDEX(PP_Grid[#Data],$DD181,102),0)</f>
        <v/>
      </c>
      <c r="DA181">
        <f>IFERROR(INDEX(PP_Grid[#Data],$DD181,103),0)</f>
        <v/>
      </c>
      <c r="DB181">
        <f>IFERROR(INDEX(PP_Grid[#Data],$DD181,104),0)</f>
        <v/>
      </c>
      <c r="DC181">
        <f>IFERROR(INDEX(PP_Grid[#Data],$DD181,105),0)</f>
        <v/>
      </c>
      <c r="DD181" s="7">
        <f>IFERROR(MATCH($B181,PP_Grid[Intermediate],0),99999)</f>
        <v/>
      </c>
    </row>
    <row r="182">
      <c r="B182" t="inlineStr">
        <is>
          <t>使用量(kg)</t>
        </is>
      </c>
      <c r="C182">
        <f>SUMIFS(M_BOM[RM_Qty_Per_Batch],M_BOM[Intermediate],$B181,M_BOM[Part Name],$A44)</f>
        <v/>
      </c>
      <c r="D182">
        <f>$C182*D181</f>
        <v/>
      </c>
      <c r="E182">
        <f>$C182*E181</f>
        <v/>
      </c>
      <c r="F182">
        <f>$C182*F181</f>
        <v/>
      </c>
      <c r="G182">
        <f>$C182*G181</f>
        <v/>
      </c>
      <c r="H182">
        <f>$C182*H181</f>
        <v/>
      </c>
      <c r="I182">
        <f>$C182*I181</f>
        <v/>
      </c>
      <c r="J182">
        <f>$C182*J181</f>
        <v/>
      </c>
      <c r="K182">
        <f>$C182*K181</f>
        <v/>
      </c>
      <c r="L182">
        <f>$C182*L181</f>
        <v/>
      </c>
      <c r="M182">
        <f>$C182*M181</f>
        <v/>
      </c>
      <c r="N182">
        <f>$C182*N181</f>
        <v/>
      </c>
      <c r="O182">
        <f>$C182*O181</f>
        <v/>
      </c>
      <c r="P182">
        <f>$C182*P181</f>
        <v/>
      </c>
      <c r="Q182">
        <f>$C182*Q181</f>
        <v/>
      </c>
      <c r="R182">
        <f>$C182*R181</f>
        <v/>
      </c>
      <c r="S182">
        <f>$C182*S181</f>
        <v/>
      </c>
      <c r="T182">
        <f>$C182*T181</f>
        <v/>
      </c>
      <c r="U182">
        <f>$C182*U181</f>
        <v/>
      </c>
      <c r="V182">
        <f>$C182*V181</f>
        <v/>
      </c>
      <c r="W182">
        <f>$C182*W181</f>
        <v/>
      </c>
      <c r="X182">
        <f>$C182*X181</f>
        <v/>
      </c>
      <c r="Y182">
        <f>$C182*Y181</f>
        <v/>
      </c>
      <c r="Z182">
        <f>$C182*Z181</f>
        <v/>
      </c>
      <c r="AA182">
        <f>$C182*AA181</f>
        <v/>
      </c>
      <c r="AB182">
        <f>$C182*AB181</f>
        <v/>
      </c>
      <c r="AC182">
        <f>$C182*AC181</f>
        <v/>
      </c>
      <c r="AD182">
        <f>$C182*AD181</f>
        <v/>
      </c>
      <c r="AE182">
        <f>$C182*AE181</f>
        <v/>
      </c>
      <c r="AF182">
        <f>$C182*AF181</f>
        <v/>
      </c>
      <c r="AG182">
        <f>$C182*AG181</f>
        <v/>
      </c>
      <c r="AH182">
        <f>$C182*AH181</f>
        <v/>
      </c>
      <c r="AI182">
        <f>$C182*AI181</f>
        <v/>
      </c>
      <c r="AJ182">
        <f>$C182*AJ181</f>
        <v/>
      </c>
      <c r="AK182">
        <f>$C182*AK181</f>
        <v/>
      </c>
      <c r="AL182">
        <f>$C182*AL181</f>
        <v/>
      </c>
      <c r="AM182">
        <f>$C182*AM181</f>
        <v/>
      </c>
      <c r="AN182">
        <f>$C182*AN181</f>
        <v/>
      </c>
      <c r="AO182">
        <f>$C182*AO181</f>
        <v/>
      </c>
      <c r="AP182">
        <f>$C182*AP181</f>
        <v/>
      </c>
      <c r="AQ182">
        <f>$C182*AQ181</f>
        <v/>
      </c>
      <c r="AR182">
        <f>$C182*AR181</f>
        <v/>
      </c>
      <c r="AS182">
        <f>$C182*AS181</f>
        <v/>
      </c>
      <c r="AT182">
        <f>$C182*AT181</f>
        <v/>
      </c>
      <c r="AU182">
        <f>$C182*AU181</f>
        <v/>
      </c>
      <c r="AV182">
        <f>$C182*AV181</f>
        <v/>
      </c>
      <c r="AW182">
        <f>$C182*AW181</f>
        <v/>
      </c>
      <c r="AX182">
        <f>$C182*AX181</f>
        <v/>
      </c>
      <c r="AY182">
        <f>$C182*AY181</f>
        <v/>
      </c>
      <c r="AZ182">
        <f>$C182*AZ181</f>
        <v/>
      </c>
      <c r="BA182">
        <f>$C182*BA181</f>
        <v/>
      </c>
      <c r="BB182">
        <f>$C182*BB181</f>
        <v/>
      </c>
      <c r="BC182">
        <f>$C182*BC181</f>
        <v/>
      </c>
      <c r="BD182">
        <f>$C182*BD181</f>
        <v/>
      </c>
      <c r="BE182">
        <f>$C182*BE181</f>
        <v/>
      </c>
      <c r="BF182">
        <f>$C182*BF181</f>
        <v/>
      </c>
      <c r="BG182">
        <f>$C182*BG181</f>
        <v/>
      </c>
      <c r="BH182">
        <f>$C182*BH181</f>
        <v/>
      </c>
      <c r="BI182">
        <f>$C182*BI181</f>
        <v/>
      </c>
      <c r="BJ182">
        <f>$C182*BJ181</f>
        <v/>
      </c>
      <c r="BK182">
        <f>$C182*BK181</f>
        <v/>
      </c>
      <c r="BL182">
        <f>$C182*BL181</f>
        <v/>
      </c>
      <c r="BM182">
        <f>$C182*BM181</f>
        <v/>
      </c>
      <c r="BN182">
        <f>$C182*BN181</f>
        <v/>
      </c>
      <c r="BO182">
        <f>$C182*BO181</f>
        <v/>
      </c>
      <c r="BP182">
        <f>$C182*BP181</f>
        <v/>
      </c>
      <c r="BQ182">
        <f>$C182*BQ181</f>
        <v/>
      </c>
      <c r="BR182">
        <f>$C182*BR181</f>
        <v/>
      </c>
      <c r="BS182">
        <f>$C182*BS181</f>
        <v/>
      </c>
      <c r="BT182">
        <f>$C182*BT181</f>
        <v/>
      </c>
      <c r="BU182">
        <f>$C182*BU181</f>
        <v/>
      </c>
      <c r="BV182">
        <f>$C182*BV181</f>
        <v/>
      </c>
      <c r="BW182">
        <f>$C182*BW181</f>
        <v/>
      </c>
      <c r="BX182">
        <f>$C182*BX181</f>
        <v/>
      </c>
      <c r="BY182">
        <f>$C182*BY181</f>
        <v/>
      </c>
      <c r="BZ182">
        <f>$C182*BZ181</f>
        <v/>
      </c>
      <c r="CA182">
        <f>$C182*CA181</f>
        <v/>
      </c>
      <c r="CB182">
        <f>$C182*CB181</f>
        <v/>
      </c>
      <c r="CC182">
        <f>$C182*CC181</f>
        <v/>
      </c>
      <c r="CD182">
        <f>$C182*CD181</f>
        <v/>
      </c>
      <c r="CE182">
        <f>$C182*CE181</f>
        <v/>
      </c>
      <c r="CF182">
        <f>$C182*CF181</f>
        <v/>
      </c>
      <c r="CG182">
        <f>$C182*CG181</f>
        <v/>
      </c>
      <c r="CH182">
        <f>$C182*CH181</f>
        <v/>
      </c>
      <c r="CI182">
        <f>$C182*CI181</f>
        <v/>
      </c>
      <c r="CJ182">
        <f>$C182*CJ181</f>
        <v/>
      </c>
      <c r="CK182">
        <f>$C182*CK181</f>
        <v/>
      </c>
      <c r="CL182">
        <f>$C182*CL181</f>
        <v/>
      </c>
      <c r="CM182">
        <f>$C182*CM181</f>
        <v/>
      </c>
      <c r="CN182">
        <f>$C182*CN181</f>
        <v/>
      </c>
      <c r="CO182">
        <f>$C182*CO181</f>
        <v/>
      </c>
      <c r="CP182">
        <f>$C182*CP181</f>
        <v/>
      </c>
      <c r="CQ182">
        <f>$C182*CQ181</f>
        <v/>
      </c>
      <c r="CR182">
        <f>$C182*CR181</f>
        <v/>
      </c>
      <c r="CS182">
        <f>$C182*CS181</f>
        <v/>
      </c>
      <c r="CT182">
        <f>$C182*CT181</f>
        <v/>
      </c>
      <c r="CU182">
        <f>$C182*CU181</f>
        <v/>
      </c>
      <c r="CV182">
        <f>$C182*CV181</f>
        <v/>
      </c>
      <c r="CW182">
        <f>$C182*CW181</f>
        <v/>
      </c>
      <c r="CX182">
        <f>$C182*CX181</f>
        <v/>
      </c>
      <c r="CY182">
        <f>$C182*CY181</f>
        <v/>
      </c>
      <c r="CZ182">
        <f>$C182*CZ181</f>
        <v/>
      </c>
      <c r="DA182">
        <f>$C182*DA181</f>
        <v/>
      </c>
      <c r="DB182">
        <f>$C182*DB181</f>
        <v/>
      </c>
      <c r="DC182">
        <f>$C182*DC181</f>
        <v/>
      </c>
    </row>
    <row r="183">
      <c r="B183" t="inlineStr">
        <is>
          <t>VSP-739</t>
        </is>
      </c>
      <c r="C183" t="inlineStr">
        <is>
          <t>No. of batches</t>
        </is>
      </c>
      <c r="D183">
        <f>IFERROR(INDEX(PP_Grid[#Data],$DD183,2),0)</f>
        <v/>
      </c>
      <c r="E183">
        <f>IFERROR(INDEX(PP_Grid[#Data],$DD183,3),0)</f>
        <v/>
      </c>
      <c r="F183">
        <f>IFERROR(INDEX(PP_Grid[#Data],$DD183,4),0)</f>
        <v/>
      </c>
      <c r="G183">
        <f>IFERROR(INDEX(PP_Grid[#Data],$DD183,5),0)</f>
        <v/>
      </c>
      <c r="H183">
        <f>IFERROR(INDEX(PP_Grid[#Data],$DD183,6),0)</f>
        <v/>
      </c>
      <c r="I183">
        <f>IFERROR(INDEX(PP_Grid[#Data],$DD183,7),0)</f>
        <v/>
      </c>
      <c r="J183">
        <f>IFERROR(INDEX(PP_Grid[#Data],$DD183,8),0)</f>
        <v/>
      </c>
      <c r="K183">
        <f>IFERROR(INDEX(PP_Grid[#Data],$DD183,9),0)</f>
        <v/>
      </c>
      <c r="L183">
        <f>IFERROR(INDEX(PP_Grid[#Data],$DD183,10),0)</f>
        <v/>
      </c>
      <c r="M183">
        <f>IFERROR(INDEX(PP_Grid[#Data],$DD183,11),0)</f>
        <v/>
      </c>
      <c r="N183">
        <f>IFERROR(INDEX(PP_Grid[#Data],$DD183,12),0)</f>
        <v/>
      </c>
      <c r="O183">
        <f>IFERROR(INDEX(PP_Grid[#Data],$DD183,13),0)</f>
        <v/>
      </c>
      <c r="P183">
        <f>IFERROR(INDEX(PP_Grid[#Data],$DD183,14),0)</f>
        <v/>
      </c>
      <c r="Q183">
        <f>IFERROR(INDEX(PP_Grid[#Data],$DD183,15),0)</f>
        <v/>
      </c>
      <c r="R183">
        <f>IFERROR(INDEX(PP_Grid[#Data],$DD183,16),0)</f>
        <v/>
      </c>
      <c r="S183">
        <f>IFERROR(INDEX(PP_Grid[#Data],$DD183,17),0)</f>
        <v/>
      </c>
      <c r="T183">
        <f>IFERROR(INDEX(PP_Grid[#Data],$DD183,18),0)</f>
        <v/>
      </c>
      <c r="U183">
        <f>IFERROR(INDEX(PP_Grid[#Data],$DD183,19),0)</f>
        <v/>
      </c>
      <c r="V183">
        <f>IFERROR(INDEX(PP_Grid[#Data],$DD183,20),0)</f>
        <v/>
      </c>
      <c r="W183">
        <f>IFERROR(INDEX(PP_Grid[#Data],$DD183,21),0)</f>
        <v/>
      </c>
      <c r="X183">
        <f>IFERROR(INDEX(PP_Grid[#Data],$DD183,22),0)</f>
        <v/>
      </c>
      <c r="Y183">
        <f>IFERROR(INDEX(PP_Grid[#Data],$DD183,23),0)</f>
        <v/>
      </c>
      <c r="Z183">
        <f>IFERROR(INDEX(PP_Grid[#Data],$DD183,24),0)</f>
        <v/>
      </c>
      <c r="AA183">
        <f>IFERROR(INDEX(PP_Grid[#Data],$DD183,25),0)</f>
        <v/>
      </c>
      <c r="AB183">
        <f>IFERROR(INDEX(PP_Grid[#Data],$DD183,26),0)</f>
        <v/>
      </c>
      <c r="AC183">
        <f>IFERROR(INDEX(PP_Grid[#Data],$DD183,27),0)</f>
        <v/>
      </c>
      <c r="AD183">
        <f>IFERROR(INDEX(PP_Grid[#Data],$DD183,28),0)</f>
        <v/>
      </c>
      <c r="AE183">
        <f>IFERROR(INDEX(PP_Grid[#Data],$DD183,29),0)</f>
        <v/>
      </c>
      <c r="AF183">
        <f>IFERROR(INDEX(PP_Grid[#Data],$DD183,30),0)</f>
        <v/>
      </c>
      <c r="AG183">
        <f>IFERROR(INDEX(PP_Grid[#Data],$DD183,31),0)</f>
        <v/>
      </c>
      <c r="AH183">
        <f>IFERROR(INDEX(PP_Grid[#Data],$DD183,32),0)</f>
        <v/>
      </c>
      <c r="AI183">
        <f>IFERROR(INDEX(PP_Grid[#Data],$DD183,33),0)</f>
        <v/>
      </c>
      <c r="AJ183">
        <f>IFERROR(INDEX(PP_Grid[#Data],$DD183,34),0)</f>
        <v/>
      </c>
      <c r="AK183">
        <f>IFERROR(INDEX(PP_Grid[#Data],$DD183,35),0)</f>
        <v/>
      </c>
      <c r="AL183">
        <f>IFERROR(INDEX(PP_Grid[#Data],$DD183,36),0)</f>
        <v/>
      </c>
      <c r="AM183">
        <f>IFERROR(INDEX(PP_Grid[#Data],$DD183,37),0)</f>
        <v/>
      </c>
      <c r="AN183">
        <f>IFERROR(INDEX(PP_Grid[#Data],$DD183,38),0)</f>
        <v/>
      </c>
      <c r="AO183">
        <f>IFERROR(INDEX(PP_Grid[#Data],$DD183,39),0)</f>
        <v/>
      </c>
      <c r="AP183">
        <f>IFERROR(INDEX(PP_Grid[#Data],$DD183,40),0)</f>
        <v/>
      </c>
      <c r="AQ183">
        <f>IFERROR(INDEX(PP_Grid[#Data],$DD183,41),0)</f>
        <v/>
      </c>
      <c r="AR183">
        <f>IFERROR(INDEX(PP_Grid[#Data],$DD183,42),0)</f>
        <v/>
      </c>
      <c r="AS183">
        <f>IFERROR(INDEX(PP_Grid[#Data],$DD183,43),0)</f>
        <v/>
      </c>
      <c r="AT183">
        <f>IFERROR(INDEX(PP_Grid[#Data],$DD183,44),0)</f>
        <v/>
      </c>
      <c r="AU183">
        <f>IFERROR(INDEX(PP_Grid[#Data],$DD183,45),0)</f>
        <v/>
      </c>
      <c r="AV183">
        <f>IFERROR(INDEX(PP_Grid[#Data],$DD183,46),0)</f>
        <v/>
      </c>
      <c r="AW183">
        <f>IFERROR(INDEX(PP_Grid[#Data],$DD183,47),0)</f>
        <v/>
      </c>
      <c r="AX183">
        <f>IFERROR(INDEX(PP_Grid[#Data],$DD183,48),0)</f>
        <v/>
      </c>
      <c r="AY183">
        <f>IFERROR(INDEX(PP_Grid[#Data],$DD183,49),0)</f>
        <v/>
      </c>
      <c r="AZ183">
        <f>IFERROR(INDEX(PP_Grid[#Data],$DD183,50),0)</f>
        <v/>
      </c>
      <c r="BA183">
        <f>IFERROR(INDEX(PP_Grid[#Data],$DD183,51),0)</f>
        <v/>
      </c>
      <c r="BB183">
        <f>IFERROR(INDEX(PP_Grid[#Data],$DD183,52),0)</f>
        <v/>
      </c>
      <c r="BC183">
        <f>IFERROR(INDEX(PP_Grid[#Data],$DD183,53),0)</f>
        <v/>
      </c>
      <c r="BD183">
        <f>IFERROR(INDEX(PP_Grid[#Data],$DD183,54),0)</f>
        <v/>
      </c>
      <c r="BE183">
        <f>IFERROR(INDEX(PP_Grid[#Data],$DD183,55),0)</f>
        <v/>
      </c>
      <c r="BF183">
        <f>IFERROR(INDEX(PP_Grid[#Data],$DD183,56),0)</f>
        <v/>
      </c>
      <c r="BG183">
        <f>IFERROR(INDEX(PP_Grid[#Data],$DD183,57),0)</f>
        <v/>
      </c>
      <c r="BH183">
        <f>IFERROR(INDEX(PP_Grid[#Data],$DD183,58),0)</f>
        <v/>
      </c>
      <c r="BI183">
        <f>IFERROR(INDEX(PP_Grid[#Data],$DD183,59),0)</f>
        <v/>
      </c>
      <c r="BJ183">
        <f>IFERROR(INDEX(PP_Grid[#Data],$DD183,60),0)</f>
        <v/>
      </c>
      <c r="BK183">
        <f>IFERROR(INDEX(PP_Grid[#Data],$DD183,61),0)</f>
        <v/>
      </c>
      <c r="BL183">
        <f>IFERROR(INDEX(PP_Grid[#Data],$DD183,62),0)</f>
        <v/>
      </c>
      <c r="BM183">
        <f>IFERROR(INDEX(PP_Grid[#Data],$DD183,63),0)</f>
        <v/>
      </c>
      <c r="BN183">
        <f>IFERROR(INDEX(PP_Grid[#Data],$DD183,64),0)</f>
        <v/>
      </c>
      <c r="BO183">
        <f>IFERROR(INDEX(PP_Grid[#Data],$DD183,65),0)</f>
        <v/>
      </c>
      <c r="BP183">
        <f>IFERROR(INDEX(PP_Grid[#Data],$DD183,66),0)</f>
        <v/>
      </c>
      <c r="BQ183">
        <f>IFERROR(INDEX(PP_Grid[#Data],$DD183,67),0)</f>
        <v/>
      </c>
      <c r="BR183">
        <f>IFERROR(INDEX(PP_Grid[#Data],$DD183,68),0)</f>
        <v/>
      </c>
      <c r="BS183">
        <f>IFERROR(INDEX(PP_Grid[#Data],$DD183,69),0)</f>
        <v/>
      </c>
      <c r="BT183">
        <f>IFERROR(INDEX(PP_Grid[#Data],$DD183,70),0)</f>
        <v/>
      </c>
      <c r="BU183">
        <f>IFERROR(INDEX(PP_Grid[#Data],$DD183,71),0)</f>
        <v/>
      </c>
      <c r="BV183">
        <f>IFERROR(INDEX(PP_Grid[#Data],$DD183,72),0)</f>
        <v/>
      </c>
      <c r="BW183">
        <f>IFERROR(INDEX(PP_Grid[#Data],$DD183,73),0)</f>
        <v/>
      </c>
      <c r="BX183">
        <f>IFERROR(INDEX(PP_Grid[#Data],$DD183,74),0)</f>
        <v/>
      </c>
      <c r="BY183">
        <f>IFERROR(INDEX(PP_Grid[#Data],$DD183,75),0)</f>
        <v/>
      </c>
      <c r="BZ183">
        <f>IFERROR(INDEX(PP_Grid[#Data],$DD183,76),0)</f>
        <v/>
      </c>
      <c r="CA183">
        <f>IFERROR(INDEX(PP_Grid[#Data],$DD183,77),0)</f>
        <v/>
      </c>
      <c r="CB183">
        <f>IFERROR(INDEX(PP_Grid[#Data],$DD183,78),0)</f>
        <v/>
      </c>
      <c r="CC183">
        <f>IFERROR(INDEX(PP_Grid[#Data],$DD183,79),0)</f>
        <v/>
      </c>
      <c r="CD183">
        <f>IFERROR(INDEX(PP_Grid[#Data],$DD183,80),0)</f>
        <v/>
      </c>
      <c r="CE183">
        <f>IFERROR(INDEX(PP_Grid[#Data],$DD183,81),0)</f>
        <v/>
      </c>
      <c r="CF183">
        <f>IFERROR(INDEX(PP_Grid[#Data],$DD183,82),0)</f>
        <v/>
      </c>
      <c r="CG183">
        <f>IFERROR(INDEX(PP_Grid[#Data],$DD183,83),0)</f>
        <v/>
      </c>
      <c r="CH183">
        <f>IFERROR(INDEX(PP_Grid[#Data],$DD183,84),0)</f>
        <v/>
      </c>
      <c r="CI183">
        <f>IFERROR(INDEX(PP_Grid[#Data],$DD183,85),0)</f>
        <v/>
      </c>
      <c r="CJ183">
        <f>IFERROR(INDEX(PP_Grid[#Data],$DD183,86),0)</f>
        <v/>
      </c>
      <c r="CK183">
        <f>IFERROR(INDEX(PP_Grid[#Data],$DD183,87),0)</f>
        <v/>
      </c>
      <c r="CL183">
        <f>IFERROR(INDEX(PP_Grid[#Data],$DD183,88),0)</f>
        <v/>
      </c>
      <c r="CM183">
        <f>IFERROR(INDEX(PP_Grid[#Data],$DD183,89),0)</f>
        <v/>
      </c>
      <c r="CN183">
        <f>IFERROR(INDEX(PP_Grid[#Data],$DD183,90),0)</f>
        <v/>
      </c>
      <c r="CO183">
        <f>IFERROR(INDEX(PP_Grid[#Data],$DD183,91),0)</f>
        <v/>
      </c>
      <c r="CP183">
        <f>IFERROR(INDEX(PP_Grid[#Data],$DD183,92),0)</f>
        <v/>
      </c>
      <c r="CQ183">
        <f>IFERROR(INDEX(PP_Grid[#Data],$DD183,93),0)</f>
        <v/>
      </c>
      <c r="CR183">
        <f>IFERROR(INDEX(PP_Grid[#Data],$DD183,94),0)</f>
        <v/>
      </c>
      <c r="CS183">
        <f>IFERROR(INDEX(PP_Grid[#Data],$DD183,95),0)</f>
        <v/>
      </c>
      <c r="CT183">
        <f>IFERROR(INDEX(PP_Grid[#Data],$DD183,96),0)</f>
        <v/>
      </c>
      <c r="CU183">
        <f>IFERROR(INDEX(PP_Grid[#Data],$DD183,97),0)</f>
        <v/>
      </c>
      <c r="CV183">
        <f>IFERROR(INDEX(PP_Grid[#Data],$DD183,98),0)</f>
        <v/>
      </c>
      <c r="CW183">
        <f>IFERROR(INDEX(PP_Grid[#Data],$DD183,99),0)</f>
        <v/>
      </c>
      <c r="CX183">
        <f>IFERROR(INDEX(PP_Grid[#Data],$DD183,100),0)</f>
        <v/>
      </c>
      <c r="CY183">
        <f>IFERROR(INDEX(PP_Grid[#Data],$DD183,101),0)</f>
        <v/>
      </c>
      <c r="CZ183">
        <f>IFERROR(INDEX(PP_Grid[#Data],$DD183,102),0)</f>
        <v/>
      </c>
      <c r="DA183">
        <f>IFERROR(INDEX(PP_Grid[#Data],$DD183,103),0)</f>
        <v/>
      </c>
      <c r="DB183">
        <f>IFERROR(INDEX(PP_Grid[#Data],$DD183,104),0)</f>
        <v/>
      </c>
      <c r="DC183">
        <f>IFERROR(INDEX(PP_Grid[#Data],$DD183,105),0)</f>
        <v/>
      </c>
      <c r="DD183" s="7">
        <f>IFERROR(MATCH($B183,PP_Grid[Intermediate],0),99999)</f>
        <v/>
      </c>
    </row>
    <row r="184">
      <c r="B184" t="inlineStr">
        <is>
          <t>使用量(kg)</t>
        </is>
      </c>
      <c r="C184">
        <f>SUMIFS(M_BOM[RM_Qty_Per_Batch],M_BOM[Intermediate],$B183,M_BOM[Part Name],$A44)</f>
        <v/>
      </c>
      <c r="D184">
        <f>$C184*D183</f>
        <v/>
      </c>
      <c r="E184">
        <f>$C184*E183</f>
        <v/>
      </c>
      <c r="F184">
        <f>$C184*F183</f>
        <v/>
      </c>
      <c r="G184">
        <f>$C184*G183</f>
        <v/>
      </c>
      <c r="H184">
        <f>$C184*H183</f>
        <v/>
      </c>
      <c r="I184">
        <f>$C184*I183</f>
        <v/>
      </c>
      <c r="J184">
        <f>$C184*J183</f>
        <v/>
      </c>
      <c r="K184">
        <f>$C184*K183</f>
        <v/>
      </c>
      <c r="L184">
        <f>$C184*L183</f>
        <v/>
      </c>
      <c r="M184">
        <f>$C184*M183</f>
        <v/>
      </c>
      <c r="N184">
        <f>$C184*N183</f>
        <v/>
      </c>
      <c r="O184">
        <f>$C184*O183</f>
        <v/>
      </c>
      <c r="P184">
        <f>$C184*P183</f>
        <v/>
      </c>
      <c r="Q184">
        <f>$C184*Q183</f>
        <v/>
      </c>
      <c r="R184">
        <f>$C184*R183</f>
        <v/>
      </c>
      <c r="S184">
        <f>$C184*S183</f>
        <v/>
      </c>
      <c r="T184">
        <f>$C184*T183</f>
        <v/>
      </c>
      <c r="U184">
        <f>$C184*U183</f>
        <v/>
      </c>
      <c r="V184">
        <f>$C184*V183</f>
        <v/>
      </c>
      <c r="W184">
        <f>$C184*W183</f>
        <v/>
      </c>
      <c r="X184">
        <f>$C184*X183</f>
        <v/>
      </c>
      <c r="Y184">
        <f>$C184*Y183</f>
        <v/>
      </c>
      <c r="Z184">
        <f>$C184*Z183</f>
        <v/>
      </c>
      <c r="AA184">
        <f>$C184*AA183</f>
        <v/>
      </c>
      <c r="AB184">
        <f>$C184*AB183</f>
        <v/>
      </c>
      <c r="AC184">
        <f>$C184*AC183</f>
        <v/>
      </c>
      <c r="AD184">
        <f>$C184*AD183</f>
        <v/>
      </c>
      <c r="AE184">
        <f>$C184*AE183</f>
        <v/>
      </c>
      <c r="AF184">
        <f>$C184*AF183</f>
        <v/>
      </c>
      <c r="AG184">
        <f>$C184*AG183</f>
        <v/>
      </c>
      <c r="AH184">
        <f>$C184*AH183</f>
        <v/>
      </c>
      <c r="AI184">
        <f>$C184*AI183</f>
        <v/>
      </c>
      <c r="AJ184">
        <f>$C184*AJ183</f>
        <v/>
      </c>
      <c r="AK184">
        <f>$C184*AK183</f>
        <v/>
      </c>
      <c r="AL184">
        <f>$C184*AL183</f>
        <v/>
      </c>
      <c r="AM184">
        <f>$C184*AM183</f>
        <v/>
      </c>
      <c r="AN184">
        <f>$C184*AN183</f>
        <v/>
      </c>
      <c r="AO184">
        <f>$C184*AO183</f>
        <v/>
      </c>
      <c r="AP184">
        <f>$C184*AP183</f>
        <v/>
      </c>
      <c r="AQ184">
        <f>$C184*AQ183</f>
        <v/>
      </c>
      <c r="AR184">
        <f>$C184*AR183</f>
        <v/>
      </c>
      <c r="AS184">
        <f>$C184*AS183</f>
        <v/>
      </c>
      <c r="AT184">
        <f>$C184*AT183</f>
        <v/>
      </c>
      <c r="AU184">
        <f>$C184*AU183</f>
        <v/>
      </c>
      <c r="AV184">
        <f>$C184*AV183</f>
        <v/>
      </c>
      <c r="AW184">
        <f>$C184*AW183</f>
        <v/>
      </c>
      <c r="AX184">
        <f>$C184*AX183</f>
        <v/>
      </c>
      <c r="AY184">
        <f>$C184*AY183</f>
        <v/>
      </c>
      <c r="AZ184">
        <f>$C184*AZ183</f>
        <v/>
      </c>
      <c r="BA184">
        <f>$C184*BA183</f>
        <v/>
      </c>
      <c r="BB184">
        <f>$C184*BB183</f>
        <v/>
      </c>
      <c r="BC184">
        <f>$C184*BC183</f>
        <v/>
      </c>
      <c r="BD184">
        <f>$C184*BD183</f>
        <v/>
      </c>
      <c r="BE184">
        <f>$C184*BE183</f>
        <v/>
      </c>
      <c r="BF184">
        <f>$C184*BF183</f>
        <v/>
      </c>
      <c r="BG184">
        <f>$C184*BG183</f>
        <v/>
      </c>
      <c r="BH184">
        <f>$C184*BH183</f>
        <v/>
      </c>
      <c r="BI184">
        <f>$C184*BI183</f>
        <v/>
      </c>
      <c r="BJ184">
        <f>$C184*BJ183</f>
        <v/>
      </c>
      <c r="BK184">
        <f>$C184*BK183</f>
        <v/>
      </c>
      <c r="BL184">
        <f>$C184*BL183</f>
        <v/>
      </c>
      <c r="BM184">
        <f>$C184*BM183</f>
        <v/>
      </c>
      <c r="BN184">
        <f>$C184*BN183</f>
        <v/>
      </c>
      <c r="BO184">
        <f>$C184*BO183</f>
        <v/>
      </c>
      <c r="BP184">
        <f>$C184*BP183</f>
        <v/>
      </c>
      <c r="BQ184">
        <f>$C184*BQ183</f>
        <v/>
      </c>
      <c r="BR184">
        <f>$C184*BR183</f>
        <v/>
      </c>
      <c r="BS184">
        <f>$C184*BS183</f>
        <v/>
      </c>
      <c r="BT184">
        <f>$C184*BT183</f>
        <v/>
      </c>
      <c r="BU184">
        <f>$C184*BU183</f>
        <v/>
      </c>
      <c r="BV184">
        <f>$C184*BV183</f>
        <v/>
      </c>
      <c r="BW184">
        <f>$C184*BW183</f>
        <v/>
      </c>
      <c r="BX184">
        <f>$C184*BX183</f>
        <v/>
      </c>
      <c r="BY184">
        <f>$C184*BY183</f>
        <v/>
      </c>
      <c r="BZ184">
        <f>$C184*BZ183</f>
        <v/>
      </c>
      <c r="CA184">
        <f>$C184*CA183</f>
        <v/>
      </c>
      <c r="CB184">
        <f>$C184*CB183</f>
        <v/>
      </c>
      <c r="CC184">
        <f>$C184*CC183</f>
        <v/>
      </c>
      <c r="CD184">
        <f>$C184*CD183</f>
        <v/>
      </c>
      <c r="CE184">
        <f>$C184*CE183</f>
        <v/>
      </c>
      <c r="CF184">
        <f>$C184*CF183</f>
        <v/>
      </c>
      <c r="CG184">
        <f>$C184*CG183</f>
        <v/>
      </c>
      <c r="CH184">
        <f>$C184*CH183</f>
        <v/>
      </c>
      <c r="CI184">
        <f>$C184*CI183</f>
        <v/>
      </c>
      <c r="CJ184">
        <f>$C184*CJ183</f>
        <v/>
      </c>
      <c r="CK184">
        <f>$C184*CK183</f>
        <v/>
      </c>
      <c r="CL184">
        <f>$C184*CL183</f>
        <v/>
      </c>
      <c r="CM184">
        <f>$C184*CM183</f>
        <v/>
      </c>
      <c r="CN184">
        <f>$C184*CN183</f>
        <v/>
      </c>
      <c r="CO184">
        <f>$C184*CO183</f>
        <v/>
      </c>
      <c r="CP184">
        <f>$C184*CP183</f>
        <v/>
      </c>
      <c r="CQ184">
        <f>$C184*CQ183</f>
        <v/>
      </c>
      <c r="CR184">
        <f>$C184*CR183</f>
        <v/>
      </c>
      <c r="CS184">
        <f>$C184*CS183</f>
        <v/>
      </c>
      <c r="CT184">
        <f>$C184*CT183</f>
        <v/>
      </c>
      <c r="CU184">
        <f>$C184*CU183</f>
        <v/>
      </c>
      <c r="CV184">
        <f>$C184*CV183</f>
        <v/>
      </c>
      <c r="CW184">
        <f>$C184*CW183</f>
        <v/>
      </c>
      <c r="CX184">
        <f>$C184*CX183</f>
        <v/>
      </c>
      <c r="CY184">
        <f>$C184*CY183</f>
        <v/>
      </c>
      <c r="CZ184">
        <f>$C184*CZ183</f>
        <v/>
      </c>
      <c r="DA184">
        <f>$C184*DA183</f>
        <v/>
      </c>
      <c r="DB184">
        <f>$C184*DB183</f>
        <v/>
      </c>
      <c r="DC184">
        <f>$C184*DC183</f>
        <v/>
      </c>
    </row>
    <row r="185">
      <c r="B185" t="inlineStr">
        <is>
          <t>VSP-740</t>
        </is>
      </c>
      <c r="C185" t="inlineStr">
        <is>
          <t>No. of batches</t>
        </is>
      </c>
      <c r="D185">
        <f>IFERROR(INDEX(PP_Grid[#Data],$DD185,2),0)</f>
        <v/>
      </c>
      <c r="E185">
        <f>IFERROR(INDEX(PP_Grid[#Data],$DD185,3),0)</f>
        <v/>
      </c>
      <c r="F185">
        <f>IFERROR(INDEX(PP_Grid[#Data],$DD185,4),0)</f>
        <v/>
      </c>
      <c r="G185">
        <f>IFERROR(INDEX(PP_Grid[#Data],$DD185,5),0)</f>
        <v/>
      </c>
      <c r="H185">
        <f>IFERROR(INDEX(PP_Grid[#Data],$DD185,6),0)</f>
        <v/>
      </c>
      <c r="I185">
        <f>IFERROR(INDEX(PP_Grid[#Data],$DD185,7),0)</f>
        <v/>
      </c>
      <c r="J185">
        <f>IFERROR(INDEX(PP_Grid[#Data],$DD185,8),0)</f>
        <v/>
      </c>
      <c r="K185">
        <f>IFERROR(INDEX(PP_Grid[#Data],$DD185,9),0)</f>
        <v/>
      </c>
      <c r="L185">
        <f>IFERROR(INDEX(PP_Grid[#Data],$DD185,10),0)</f>
        <v/>
      </c>
      <c r="M185">
        <f>IFERROR(INDEX(PP_Grid[#Data],$DD185,11),0)</f>
        <v/>
      </c>
      <c r="N185">
        <f>IFERROR(INDEX(PP_Grid[#Data],$DD185,12),0)</f>
        <v/>
      </c>
      <c r="O185">
        <f>IFERROR(INDEX(PP_Grid[#Data],$DD185,13),0)</f>
        <v/>
      </c>
      <c r="P185">
        <f>IFERROR(INDEX(PP_Grid[#Data],$DD185,14),0)</f>
        <v/>
      </c>
      <c r="Q185">
        <f>IFERROR(INDEX(PP_Grid[#Data],$DD185,15),0)</f>
        <v/>
      </c>
      <c r="R185">
        <f>IFERROR(INDEX(PP_Grid[#Data],$DD185,16),0)</f>
        <v/>
      </c>
      <c r="S185">
        <f>IFERROR(INDEX(PP_Grid[#Data],$DD185,17),0)</f>
        <v/>
      </c>
      <c r="T185">
        <f>IFERROR(INDEX(PP_Grid[#Data],$DD185,18),0)</f>
        <v/>
      </c>
      <c r="U185">
        <f>IFERROR(INDEX(PP_Grid[#Data],$DD185,19),0)</f>
        <v/>
      </c>
      <c r="V185">
        <f>IFERROR(INDEX(PP_Grid[#Data],$DD185,20),0)</f>
        <v/>
      </c>
      <c r="W185">
        <f>IFERROR(INDEX(PP_Grid[#Data],$DD185,21),0)</f>
        <v/>
      </c>
      <c r="X185">
        <f>IFERROR(INDEX(PP_Grid[#Data],$DD185,22),0)</f>
        <v/>
      </c>
      <c r="Y185">
        <f>IFERROR(INDEX(PP_Grid[#Data],$DD185,23),0)</f>
        <v/>
      </c>
      <c r="Z185">
        <f>IFERROR(INDEX(PP_Grid[#Data],$DD185,24),0)</f>
        <v/>
      </c>
      <c r="AA185">
        <f>IFERROR(INDEX(PP_Grid[#Data],$DD185,25),0)</f>
        <v/>
      </c>
      <c r="AB185">
        <f>IFERROR(INDEX(PP_Grid[#Data],$DD185,26),0)</f>
        <v/>
      </c>
      <c r="AC185">
        <f>IFERROR(INDEX(PP_Grid[#Data],$DD185,27),0)</f>
        <v/>
      </c>
      <c r="AD185">
        <f>IFERROR(INDEX(PP_Grid[#Data],$DD185,28),0)</f>
        <v/>
      </c>
      <c r="AE185">
        <f>IFERROR(INDEX(PP_Grid[#Data],$DD185,29),0)</f>
        <v/>
      </c>
      <c r="AF185">
        <f>IFERROR(INDEX(PP_Grid[#Data],$DD185,30),0)</f>
        <v/>
      </c>
      <c r="AG185">
        <f>IFERROR(INDEX(PP_Grid[#Data],$DD185,31),0)</f>
        <v/>
      </c>
      <c r="AH185">
        <f>IFERROR(INDEX(PP_Grid[#Data],$DD185,32),0)</f>
        <v/>
      </c>
      <c r="AI185">
        <f>IFERROR(INDEX(PP_Grid[#Data],$DD185,33),0)</f>
        <v/>
      </c>
      <c r="AJ185">
        <f>IFERROR(INDEX(PP_Grid[#Data],$DD185,34),0)</f>
        <v/>
      </c>
      <c r="AK185">
        <f>IFERROR(INDEX(PP_Grid[#Data],$DD185,35),0)</f>
        <v/>
      </c>
      <c r="AL185">
        <f>IFERROR(INDEX(PP_Grid[#Data],$DD185,36),0)</f>
        <v/>
      </c>
      <c r="AM185">
        <f>IFERROR(INDEX(PP_Grid[#Data],$DD185,37),0)</f>
        <v/>
      </c>
      <c r="AN185">
        <f>IFERROR(INDEX(PP_Grid[#Data],$DD185,38),0)</f>
        <v/>
      </c>
      <c r="AO185">
        <f>IFERROR(INDEX(PP_Grid[#Data],$DD185,39),0)</f>
        <v/>
      </c>
      <c r="AP185">
        <f>IFERROR(INDEX(PP_Grid[#Data],$DD185,40),0)</f>
        <v/>
      </c>
      <c r="AQ185">
        <f>IFERROR(INDEX(PP_Grid[#Data],$DD185,41),0)</f>
        <v/>
      </c>
      <c r="AR185">
        <f>IFERROR(INDEX(PP_Grid[#Data],$DD185,42),0)</f>
        <v/>
      </c>
      <c r="AS185">
        <f>IFERROR(INDEX(PP_Grid[#Data],$DD185,43),0)</f>
        <v/>
      </c>
      <c r="AT185">
        <f>IFERROR(INDEX(PP_Grid[#Data],$DD185,44),0)</f>
        <v/>
      </c>
      <c r="AU185">
        <f>IFERROR(INDEX(PP_Grid[#Data],$DD185,45),0)</f>
        <v/>
      </c>
      <c r="AV185">
        <f>IFERROR(INDEX(PP_Grid[#Data],$DD185,46),0)</f>
        <v/>
      </c>
      <c r="AW185">
        <f>IFERROR(INDEX(PP_Grid[#Data],$DD185,47),0)</f>
        <v/>
      </c>
      <c r="AX185">
        <f>IFERROR(INDEX(PP_Grid[#Data],$DD185,48),0)</f>
        <v/>
      </c>
      <c r="AY185">
        <f>IFERROR(INDEX(PP_Grid[#Data],$DD185,49),0)</f>
        <v/>
      </c>
      <c r="AZ185">
        <f>IFERROR(INDEX(PP_Grid[#Data],$DD185,50),0)</f>
        <v/>
      </c>
      <c r="BA185">
        <f>IFERROR(INDEX(PP_Grid[#Data],$DD185,51),0)</f>
        <v/>
      </c>
      <c r="BB185">
        <f>IFERROR(INDEX(PP_Grid[#Data],$DD185,52),0)</f>
        <v/>
      </c>
      <c r="BC185">
        <f>IFERROR(INDEX(PP_Grid[#Data],$DD185,53),0)</f>
        <v/>
      </c>
      <c r="BD185">
        <f>IFERROR(INDEX(PP_Grid[#Data],$DD185,54),0)</f>
        <v/>
      </c>
      <c r="BE185">
        <f>IFERROR(INDEX(PP_Grid[#Data],$DD185,55),0)</f>
        <v/>
      </c>
      <c r="BF185">
        <f>IFERROR(INDEX(PP_Grid[#Data],$DD185,56),0)</f>
        <v/>
      </c>
      <c r="BG185">
        <f>IFERROR(INDEX(PP_Grid[#Data],$DD185,57),0)</f>
        <v/>
      </c>
      <c r="BH185">
        <f>IFERROR(INDEX(PP_Grid[#Data],$DD185,58),0)</f>
        <v/>
      </c>
      <c r="BI185">
        <f>IFERROR(INDEX(PP_Grid[#Data],$DD185,59),0)</f>
        <v/>
      </c>
      <c r="BJ185">
        <f>IFERROR(INDEX(PP_Grid[#Data],$DD185,60),0)</f>
        <v/>
      </c>
      <c r="BK185">
        <f>IFERROR(INDEX(PP_Grid[#Data],$DD185,61),0)</f>
        <v/>
      </c>
      <c r="BL185">
        <f>IFERROR(INDEX(PP_Grid[#Data],$DD185,62),0)</f>
        <v/>
      </c>
      <c r="BM185">
        <f>IFERROR(INDEX(PP_Grid[#Data],$DD185,63),0)</f>
        <v/>
      </c>
      <c r="BN185">
        <f>IFERROR(INDEX(PP_Grid[#Data],$DD185,64),0)</f>
        <v/>
      </c>
      <c r="BO185">
        <f>IFERROR(INDEX(PP_Grid[#Data],$DD185,65),0)</f>
        <v/>
      </c>
      <c r="BP185">
        <f>IFERROR(INDEX(PP_Grid[#Data],$DD185,66),0)</f>
        <v/>
      </c>
      <c r="BQ185">
        <f>IFERROR(INDEX(PP_Grid[#Data],$DD185,67),0)</f>
        <v/>
      </c>
      <c r="BR185">
        <f>IFERROR(INDEX(PP_Grid[#Data],$DD185,68),0)</f>
        <v/>
      </c>
      <c r="BS185">
        <f>IFERROR(INDEX(PP_Grid[#Data],$DD185,69),0)</f>
        <v/>
      </c>
      <c r="BT185">
        <f>IFERROR(INDEX(PP_Grid[#Data],$DD185,70),0)</f>
        <v/>
      </c>
      <c r="BU185">
        <f>IFERROR(INDEX(PP_Grid[#Data],$DD185,71),0)</f>
        <v/>
      </c>
      <c r="BV185">
        <f>IFERROR(INDEX(PP_Grid[#Data],$DD185,72),0)</f>
        <v/>
      </c>
      <c r="BW185">
        <f>IFERROR(INDEX(PP_Grid[#Data],$DD185,73),0)</f>
        <v/>
      </c>
      <c r="BX185">
        <f>IFERROR(INDEX(PP_Grid[#Data],$DD185,74),0)</f>
        <v/>
      </c>
      <c r="BY185">
        <f>IFERROR(INDEX(PP_Grid[#Data],$DD185,75),0)</f>
        <v/>
      </c>
      <c r="BZ185">
        <f>IFERROR(INDEX(PP_Grid[#Data],$DD185,76),0)</f>
        <v/>
      </c>
      <c r="CA185">
        <f>IFERROR(INDEX(PP_Grid[#Data],$DD185,77),0)</f>
        <v/>
      </c>
      <c r="CB185">
        <f>IFERROR(INDEX(PP_Grid[#Data],$DD185,78),0)</f>
        <v/>
      </c>
      <c r="CC185">
        <f>IFERROR(INDEX(PP_Grid[#Data],$DD185,79),0)</f>
        <v/>
      </c>
      <c r="CD185">
        <f>IFERROR(INDEX(PP_Grid[#Data],$DD185,80),0)</f>
        <v/>
      </c>
      <c r="CE185">
        <f>IFERROR(INDEX(PP_Grid[#Data],$DD185,81),0)</f>
        <v/>
      </c>
      <c r="CF185">
        <f>IFERROR(INDEX(PP_Grid[#Data],$DD185,82),0)</f>
        <v/>
      </c>
      <c r="CG185">
        <f>IFERROR(INDEX(PP_Grid[#Data],$DD185,83),0)</f>
        <v/>
      </c>
      <c r="CH185">
        <f>IFERROR(INDEX(PP_Grid[#Data],$DD185,84),0)</f>
        <v/>
      </c>
      <c r="CI185">
        <f>IFERROR(INDEX(PP_Grid[#Data],$DD185,85),0)</f>
        <v/>
      </c>
      <c r="CJ185">
        <f>IFERROR(INDEX(PP_Grid[#Data],$DD185,86),0)</f>
        <v/>
      </c>
      <c r="CK185">
        <f>IFERROR(INDEX(PP_Grid[#Data],$DD185,87),0)</f>
        <v/>
      </c>
      <c r="CL185">
        <f>IFERROR(INDEX(PP_Grid[#Data],$DD185,88),0)</f>
        <v/>
      </c>
      <c r="CM185">
        <f>IFERROR(INDEX(PP_Grid[#Data],$DD185,89),0)</f>
        <v/>
      </c>
      <c r="CN185">
        <f>IFERROR(INDEX(PP_Grid[#Data],$DD185,90),0)</f>
        <v/>
      </c>
      <c r="CO185">
        <f>IFERROR(INDEX(PP_Grid[#Data],$DD185,91),0)</f>
        <v/>
      </c>
      <c r="CP185">
        <f>IFERROR(INDEX(PP_Grid[#Data],$DD185,92),0)</f>
        <v/>
      </c>
      <c r="CQ185">
        <f>IFERROR(INDEX(PP_Grid[#Data],$DD185,93),0)</f>
        <v/>
      </c>
      <c r="CR185">
        <f>IFERROR(INDEX(PP_Grid[#Data],$DD185,94),0)</f>
        <v/>
      </c>
      <c r="CS185">
        <f>IFERROR(INDEX(PP_Grid[#Data],$DD185,95),0)</f>
        <v/>
      </c>
      <c r="CT185">
        <f>IFERROR(INDEX(PP_Grid[#Data],$DD185,96),0)</f>
        <v/>
      </c>
      <c r="CU185">
        <f>IFERROR(INDEX(PP_Grid[#Data],$DD185,97),0)</f>
        <v/>
      </c>
      <c r="CV185">
        <f>IFERROR(INDEX(PP_Grid[#Data],$DD185,98),0)</f>
        <v/>
      </c>
      <c r="CW185">
        <f>IFERROR(INDEX(PP_Grid[#Data],$DD185,99),0)</f>
        <v/>
      </c>
      <c r="CX185">
        <f>IFERROR(INDEX(PP_Grid[#Data],$DD185,100),0)</f>
        <v/>
      </c>
      <c r="CY185">
        <f>IFERROR(INDEX(PP_Grid[#Data],$DD185,101),0)</f>
        <v/>
      </c>
      <c r="CZ185">
        <f>IFERROR(INDEX(PP_Grid[#Data],$DD185,102),0)</f>
        <v/>
      </c>
      <c r="DA185">
        <f>IFERROR(INDEX(PP_Grid[#Data],$DD185,103),0)</f>
        <v/>
      </c>
      <c r="DB185">
        <f>IFERROR(INDEX(PP_Grid[#Data],$DD185,104),0)</f>
        <v/>
      </c>
      <c r="DC185">
        <f>IFERROR(INDEX(PP_Grid[#Data],$DD185,105),0)</f>
        <v/>
      </c>
      <c r="DD185" s="7">
        <f>IFERROR(MATCH($B185,PP_Grid[Intermediate],0),99999)</f>
        <v/>
      </c>
    </row>
    <row r="186">
      <c r="B186" t="inlineStr">
        <is>
          <t>使用量(kg)</t>
        </is>
      </c>
      <c r="C186">
        <f>SUMIFS(M_BOM[RM_Qty_Per_Batch],M_BOM[Intermediate],$B185,M_BOM[Part Name],$A44)</f>
        <v/>
      </c>
      <c r="D186">
        <f>$C186*D185</f>
        <v/>
      </c>
      <c r="E186">
        <f>$C186*E185</f>
        <v/>
      </c>
      <c r="F186">
        <f>$C186*F185</f>
        <v/>
      </c>
      <c r="G186">
        <f>$C186*G185</f>
        <v/>
      </c>
      <c r="H186">
        <f>$C186*H185</f>
        <v/>
      </c>
      <c r="I186">
        <f>$C186*I185</f>
        <v/>
      </c>
      <c r="J186">
        <f>$C186*J185</f>
        <v/>
      </c>
      <c r="K186">
        <f>$C186*K185</f>
        <v/>
      </c>
      <c r="L186">
        <f>$C186*L185</f>
        <v/>
      </c>
      <c r="M186">
        <f>$C186*M185</f>
        <v/>
      </c>
      <c r="N186">
        <f>$C186*N185</f>
        <v/>
      </c>
      <c r="O186">
        <f>$C186*O185</f>
        <v/>
      </c>
      <c r="P186">
        <f>$C186*P185</f>
        <v/>
      </c>
      <c r="Q186">
        <f>$C186*Q185</f>
        <v/>
      </c>
      <c r="R186">
        <f>$C186*R185</f>
        <v/>
      </c>
      <c r="S186">
        <f>$C186*S185</f>
        <v/>
      </c>
      <c r="T186">
        <f>$C186*T185</f>
        <v/>
      </c>
      <c r="U186">
        <f>$C186*U185</f>
        <v/>
      </c>
      <c r="V186">
        <f>$C186*V185</f>
        <v/>
      </c>
      <c r="W186">
        <f>$C186*W185</f>
        <v/>
      </c>
      <c r="X186">
        <f>$C186*X185</f>
        <v/>
      </c>
      <c r="Y186">
        <f>$C186*Y185</f>
        <v/>
      </c>
      <c r="Z186">
        <f>$C186*Z185</f>
        <v/>
      </c>
      <c r="AA186">
        <f>$C186*AA185</f>
        <v/>
      </c>
      <c r="AB186">
        <f>$C186*AB185</f>
        <v/>
      </c>
      <c r="AC186">
        <f>$C186*AC185</f>
        <v/>
      </c>
      <c r="AD186">
        <f>$C186*AD185</f>
        <v/>
      </c>
      <c r="AE186">
        <f>$C186*AE185</f>
        <v/>
      </c>
      <c r="AF186">
        <f>$C186*AF185</f>
        <v/>
      </c>
      <c r="AG186">
        <f>$C186*AG185</f>
        <v/>
      </c>
      <c r="AH186">
        <f>$C186*AH185</f>
        <v/>
      </c>
      <c r="AI186">
        <f>$C186*AI185</f>
        <v/>
      </c>
      <c r="AJ186">
        <f>$C186*AJ185</f>
        <v/>
      </c>
      <c r="AK186">
        <f>$C186*AK185</f>
        <v/>
      </c>
      <c r="AL186">
        <f>$C186*AL185</f>
        <v/>
      </c>
      <c r="AM186">
        <f>$C186*AM185</f>
        <v/>
      </c>
      <c r="AN186">
        <f>$C186*AN185</f>
        <v/>
      </c>
      <c r="AO186">
        <f>$C186*AO185</f>
        <v/>
      </c>
      <c r="AP186">
        <f>$C186*AP185</f>
        <v/>
      </c>
      <c r="AQ186">
        <f>$C186*AQ185</f>
        <v/>
      </c>
      <c r="AR186">
        <f>$C186*AR185</f>
        <v/>
      </c>
      <c r="AS186">
        <f>$C186*AS185</f>
        <v/>
      </c>
      <c r="AT186">
        <f>$C186*AT185</f>
        <v/>
      </c>
      <c r="AU186">
        <f>$C186*AU185</f>
        <v/>
      </c>
      <c r="AV186">
        <f>$C186*AV185</f>
        <v/>
      </c>
      <c r="AW186">
        <f>$C186*AW185</f>
        <v/>
      </c>
      <c r="AX186">
        <f>$C186*AX185</f>
        <v/>
      </c>
      <c r="AY186">
        <f>$C186*AY185</f>
        <v/>
      </c>
      <c r="AZ186">
        <f>$C186*AZ185</f>
        <v/>
      </c>
      <c r="BA186">
        <f>$C186*BA185</f>
        <v/>
      </c>
      <c r="BB186">
        <f>$C186*BB185</f>
        <v/>
      </c>
      <c r="BC186">
        <f>$C186*BC185</f>
        <v/>
      </c>
      <c r="BD186">
        <f>$C186*BD185</f>
        <v/>
      </c>
      <c r="BE186">
        <f>$C186*BE185</f>
        <v/>
      </c>
      <c r="BF186">
        <f>$C186*BF185</f>
        <v/>
      </c>
      <c r="BG186">
        <f>$C186*BG185</f>
        <v/>
      </c>
      <c r="BH186">
        <f>$C186*BH185</f>
        <v/>
      </c>
      <c r="BI186">
        <f>$C186*BI185</f>
        <v/>
      </c>
      <c r="BJ186">
        <f>$C186*BJ185</f>
        <v/>
      </c>
      <c r="BK186">
        <f>$C186*BK185</f>
        <v/>
      </c>
      <c r="BL186">
        <f>$C186*BL185</f>
        <v/>
      </c>
      <c r="BM186">
        <f>$C186*BM185</f>
        <v/>
      </c>
      <c r="BN186">
        <f>$C186*BN185</f>
        <v/>
      </c>
      <c r="BO186">
        <f>$C186*BO185</f>
        <v/>
      </c>
      <c r="BP186">
        <f>$C186*BP185</f>
        <v/>
      </c>
      <c r="BQ186">
        <f>$C186*BQ185</f>
        <v/>
      </c>
      <c r="BR186">
        <f>$C186*BR185</f>
        <v/>
      </c>
      <c r="BS186">
        <f>$C186*BS185</f>
        <v/>
      </c>
      <c r="BT186">
        <f>$C186*BT185</f>
        <v/>
      </c>
      <c r="BU186">
        <f>$C186*BU185</f>
        <v/>
      </c>
      <c r="BV186">
        <f>$C186*BV185</f>
        <v/>
      </c>
      <c r="BW186">
        <f>$C186*BW185</f>
        <v/>
      </c>
      <c r="BX186">
        <f>$C186*BX185</f>
        <v/>
      </c>
      <c r="BY186">
        <f>$C186*BY185</f>
        <v/>
      </c>
      <c r="BZ186">
        <f>$C186*BZ185</f>
        <v/>
      </c>
      <c r="CA186">
        <f>$C186*CA185</f>
        <v/>
      </c>
      <c r="CB186">
        <f>$C186*CB185</f>
        <v/>
      </c>
      <c r="CC186">
        <f>$C186*CC185</f>
        <v/>
      </c>
      <c r="CD186">
        <f>$C186*CD185</f>
        <v/>
      </c>
      <c r="CE186">
        <f>$C186*CE185</f>
        <v/>
      </c>
      <c r="CF186">
        <f>$C186*CF185</f>
        <v/>
      </c>
      <c r="CG186">
        <f>$C186*CG185</f>
        <v/>
      </c>
      <c r="CH186">
        <f>$C186*CH185</f>
        <v/>
      </c>
      <c r="CI186">
        <f>$C186*CI185</f>
        <v/>
      </c>
      <c r="CJ186">
        <f>$C186*CJ185</f>
        <v/>
      </c>
      <c r="CK186">
        <f>$C186*CK185</f>
        <v/>
      </c>
      <c r="CL186">
        <f>$C186*CL185</f>
        <v/>
      </c>
      <c r="CM186">
        <f>$C186*CM185</f>
        <v/>
      </c>
      <c r="CN186">
        <f>$C186*CN185</f>
        <v/>
      </c>
      <c r="CO186">
        <f>$C186*CO185</f>
        <v/>
      </c>
      <c r="CP186">
        <f>$C186*CP185</f>
        <v/>
      </c>
      <c r="CQ186">
        <f>$C186*CQ185</f>
        <v/>
      </c>
      <c r="CR186">
        <f>$C186*CR185</f>
        <v/>
      </c>
      <c r="CS186">
        <f>$C186*CS185</f>
        <v/>
      </c>
      <c r="CT186">
        <f>$C186*CT185</f>
        <v/>
      </c>
      <c r="CU186">
        <f>$C186*CU185</f>
        <v/>
      </c>
      <c r="CV186">
        <f>$C186*CV185</f>
        <v/>
      </c>
      <c r="CW186">
        <f>$C186*CW185</f>
        <v/>
      </c>
      <c r="CX186">
        <f>$C186*CX185</f>
        <v/>
      </c>
      <c r="CY186">
        <f>$C186*CY185</f>
        <v/>
      </c>
      <c r="CZ186">
        <f>$C186*CZ185</f>
        <v/>
      </c>
      <c r="DA186">
        <f>$C186*DA185</f>
        <v/>
      </c>
      <c r="DB186">
        <f>$C186*DB185</f>
        <v/>
      </c>
      <c r="DC186">
        <f>$C186*DC185</f>
        <v/>
      </c>
    </row>
    <row r="187">
      <c r="B187" t="inlineStr">
        <is>
          <t>VSP-746</t>
        </is>
      </c>
      <c r="C187" t="inlineStr">
        <is>
          <t>No. of batches</t>
        </is>
      </c>
      <c r="D187">
        <f>IFERROR(INDEX(PP_Grid[#Data],$DD187,2),0)</f>
        <v/>
      </c>
      <c r="E187">
        <f>IFERROR(INDEX(PP_Grid[#Data],$DD187,3),0)</f>
        <v/>
      </c>
      <c r="F187">
        <f>IFERROR(INDEX(PP_Grid[#Data],$DD187,4),0)</f>
        <v/>
      </c>
      <c r="G187">
        <f>IFERROR(INDEX(PP_Grid[#Data],$DD187,5),0)</f>
        <v/>
      </c>
      <c r="H187">
        <f>IFERROR(INDEX(PP_Grid[#Data],$DD187,6),0)</f>
        <v/>
      </c>
      <c r="I187">
        <f>IFERROR(INDEX(PP_Grid[#Data],$DD187,7),0)</f>
        <v/>
      </c>
      <c r="J187">
        <f>IFERROR(INDEX(PP_Grid[#Data],$DD187,8),0)</f>
        <v/>
      </c>
      <c r="K187">
        <f>IFERROR(INDEX(PP_Grid[#Data],$DD187,9),0)</f>
        <v/>
      </c>
      <c r="L187">
        <f>IFERROR(INDEX(PP_Grid[#Data],$DD187,10),0)</f>
        <v/>
      </c>
      <c r="M187">
        <f>IFERROR(INDEX(PP_Grid[#Data],$DD187,11),0)</f>
        <v/>
      </c>
      <c r="N187">
        <f>IFERROR(INDEX(PP_Grid[#Data],$DD187,12),0)</f>
        <v/>
      </c>
      <c r="O187">
        <f>IFERROR(INDEX(PP_Grid[#Data],$DD187,13),0)</f>
        <v/>
      </c>
      <c r="P187">
        <f>IFERROR(INDEX(PP_Grid[#Data],$DD187,14),0)</f>
        <v/>
      </c>
      <c r="Q187">
        <f>IFERROR(INDEX(PP_Grid[#Data],$DD187,15),0)</f>
        <v/>
      </c>
      <c r="R187">
        <f>IFERROR(INDEX(PP_Grid[#Data],$DD187,16),0)</f>
        <v/>
      </c>
      <c r="S187">
        <f>IFERROR(INDEX(PP_Grid[#Data],$DD187,17),0)</f>
        <v/>
      </c>
      <c r="T187">
        <f>IFERROR(INDEX(PP_Grid[#Data],$DD187,18),0)</f>
        <v/>
      </c>
      <c r="U187">
        <f>IFERROR(INDEX(PP_Grid[#Data],$DD187,19),0)</f>
        <v/>
      </c>
      <c r="V187">
        <f>IFERROR(INDEX(PP_Grid[#Data],$DD187,20),0)</f>
        <v/>
      </c>
      <c r="W187">
        <f>IFERROR(INDEX(PP_Grid[#Data],$DD187,21),0)</f>
        <v/>
      </c>
      <c r="X187">
        <f>IFERROR(INDEX(PP_Grid[#Data],$DD187,22),0)</f>
        <v/>
      </c>
      <c r="Y187">
        <f>IFERROR(INDEX(PP_Grid[#Data],$DD187,23),0)</f>
        <v/>
      </c>
      <c r="Z187">
        <f>IFERROR(INDEX(PP_Grid[#Data],$DD187,24),0)</f>
        <v/>
      </c>
      <c r="AA187">
        <f>IFERROR(INDEX(PP_Grid[#Data],$DD187,25),0)</f>
        <v/>
      </c>
      <c r="AB187">
        <f>IFERROR(INDEX(PP_Grid[#Data],$DD187,26),0)</f>
        <v/>
      </c>
      <c r="AC187">
        <f>IFERROR(INDEX(PP_Grid[#Data],$DD187,27),0)</f>
        <v/>
      </c>
      <c r="AD187">
        <f>IFERROR(INDEX(PP_Grid[#Data],$DD187,28),0)</f>
        <v/>
      </c>
      <c r="AE187">
        <f>IFERROR(INDEX(PP_Grid[#Data],$DD187,29),0)</f>
        <v/>
      </c>
      <c r="AF187">
        <f>IFERROR(INDEX(PP_Grid[#Data],$DD187,30),0)</f>
        <v/>
      </c>
      <c r="AG187">
        <f>IFERROR(INDEX(PP_Grid[#Data],$DD187,31),0)</f>
        <v/>
      </c>
      <c r="AH187">
        <f>IFERROR(INDEX(PP_Grid[#Data],$DD187,32),0)</f>
        <v/>
      </c>
      <c r="AI187">
        <f>IFERROR(INDEX(PP_Grid[#Data],$DD187,33),0)</f>
        <v/>
      </c>
      <c r="AJ187">
        <f>IFERROR(INDEX(PP_Grid[#Data],$DD187,34),0)</f>
        <v/>
      </c>
      <c r="AK187">
        <f>IFERROR(INDEX(PP_Grid[#Data],$DD187,35),0)</f>
        <v/>
      </c>
      <c r="AL187">
        <f>IFERROR(INDEX(PP_Grid[#Data],$DD187,36),0)</f>
        <v/>
      </c>
      <c r="AM187">
        <f>IFERROR(INDEX(PP_Grid[#Data],$DD187,37),0)</f>
        <v/>
      </c>
      <c r="AN187">
        <f>IFERROR(INDEX(PP_Grid[#Data],$DD187,38),0)</f>
        <v/>
      </c>
      <c r="AO187">
        <f>IFERROR(INDEX(PP_Grid[#Data],$DD187,39),0)</f>
        <v/>
      </c>
      <c r="AP187">
        <f>IFERROR(INDEX(PP_Grid[#Data],$DD187,40),0)</f>
        <v/>
      </c>
      <c r="AQ187">
        <f>IFERROR(INDEX(PP_Grid[#Data],$DD187,41),0)</f>
        <v/>
      </c>
      <c r="AR187">
        <f>IFERROR(INDEX(PP_Grid[#Data],$DD187,42),0)</f>
        <v/>
      </c>
      <c r="AS187">
        <f>IFERROR(INDEX(PP_Grid[#Data],$DD187,43),0)</f>
        <v/>
      </c>
      <c r="AT187">
        <f>IFERROR(INDEX(PP_Grid[#Data],$DD187,44),0)</f>
        <v/>
      </c>
      <c r="AU187">
        <f>IFERROR(INDEX(PP_Grid[#Data],$DD187,45),0)</f>
        <v/>
      </c>
      <c r="AV187">
        <f>IFERROR(INDEX(PP_Grid[#Data],$DD187,46),0)</f>
        <v/>
      </c>
      <c r="AW187">
        <f>IFERROR(INDEX(PP_Grid[#Data],$DD187,47),0)</f>
        <v/>
      </c>
      <c r="AX187">
        <f>IFERROR(INDEX(PP_Grid[#Data],$DD187,48),0)</f>
        <v/>
      </c>
      <c r="AY187">
        <f>IFERROR(INDEX(PP_Grid[#Data],$DD187,49),0)</f>
        <v/>
      </c>
      <c r="AZ187">
        <f>IFERROR(INDEX(PP_Grid[#Data],$DD187,50),0)</f>
        <v/>
      </c>
      <c r="BA187">
        <f>IFERROR(INDEX(PP_Grid[#Data],$DD187,51),0)</f>
        <v/>
      </c>
      <c r="BB187">
        <f>IFERROR(INDEX(PP_Grid[#Data],$DD187,52),0)</f>
        <v/>
      </c>
      <c r="BC187">
        <f>IFERROR(INDEX(PP_Grid[#Data],$DD187,53),0)</f>
        <v/>
      </c>
      <c r="BD187">
        <f>IFERROR(INDEX(PP_Grid[#Data],$DD187,54),0)</f>
        <v/>
      </c>
      <c r="BE187">
        <f>IFERROR(INDEX(PP_Grid[#Data],$DD187,55),0)</f>
        <v/>
      </c>
      <c r="BF187">
        <f>IFERROR(INDEX(PP_Grid[#Data],$DD187,56),0)</f>
        <v/>
      </c>
      <c r="BG187">
        <f>IFERROR(INDEX(PP_Grid[#Data],$DD187,57),0)</f>
        <v/>
      </c>
      <c r="BH187">
        <f>IFERROR(INDEX(PP_Grid[#Data],$DD187,58),0)</f>
        <v/>
      </c>
      <c r="BI187">
        <f>IFERROR(INDEX(PP_Grid[#Data],$DD187,59),0)</f>
        <v/>
      </c>
      <c r="BJ187">
        <f>IFERROR(INDEX(PP_Grid[#Data],$DD187,60),0)</f>
        <v/>
      </c>
      <c r="BK187">
        <f>IFERROR(INDEX(PP_Grid[#Data],$DD187,61),0)</f>
        <v/>
      </c>
      <c r="BL187">
        <f>IFERROR(INDEX(PP_Grid[#Data],$DD187,62),0)</f>
        <v/>
      </c>
      <c r="BM187">
        <f>IFERROR(INDEX(PP_Grid[#Data],$DD187,63),0)</f>
        <v/>
      </c>
      <c r="BN187">
        <f>IFERROR(INDEX(PP_Grid[#Data],$DD187,64),0)</f>
        <v/>
      </c>
      <c r="BO187">
        <f>IFERROR(INDEX(PP_Grid[#Data],$DD187,65),0)</f>
        <v/>
      </c>
      <c r="BP187">
        <f>IFERROR(INDEX(PP_Grid[#Data],$DD187,66),0)</f>
        <v/>
      </c>
      <c r="BQ187">
        <f>IFERROR(INDEX(PP_Grid[#Data],$DD187,67),0)</f>
        <v/>
      </c>
      <c r="BR187">
        <f>IFERROR(INDEX(PP_Grid[#Data],$DD187,68),0)</f>
        <v/>
      </c>
      <c r="BS187">
        <f>IFERROR(INDEX(PP_Grid[#Data],$DD187,69),0)</f>
        <v/>
      </c>
      <c r="BT187">
        <f>IFERROR(INDEX(PP_Grid[#Data],$DD187,70),0)</f>
        <v/>
      </c>
      <c r="BU187">
        <f>IFERROR(INDEX(PP_Grid[#Data],$DD187,71),0)</f>
        <v/>
      </c>
      <c r="BV187">
        <f>IFERROR(INDEX(PP_Grid[#Data],$DD187,72),0)</f>
        <v/>
      </c>
      <c r="BW187">
        <f>IFERROR(INDEX(PP_Grid[#Data],$DD187,73),0)</f>
        <v/>
      </c>
      <c r="BX187">
        <f>IFERROR(INDEX(PP_Grid[#Data],$DD187,74),0)</f>
        <v/>
      </c>
      <c r="BY187">
        <f>IFERROR(INDEX(PP_Grid[#Data],$DD187,75),0)</f>
        <v/>
      </c>
      <c r="BZ187">
        <f>IFERROR(INDEX(PP_Grid[#Data],$DD187,76),0)</f>
        <v/>
      </c>
      <c r="CA187">
        <f>IFERROR(INDEX(PP_Grid[#Data],$DD187,77),0)</f>
        <v/>
      </c>
      <c r="CB187">
        <f>IFERROR(INDEX(PP_Grid[#Data],$DD187,78),0)</f>
        <v/>
      </c>
      <c r="CC187">
        <f>IFERROR(INDEX(PP_Grid[#Data],$DD187,79),0)</f>
        <v/>
      </c>
      <c r="CD187">
        <f>IFERROR(INDEX(PP_Grid[#Data],$DD187,80),0)</f>
        <v/>
      </c>
      <c r="CE187">
        <f>IFERROR(INDEX(PP_Grid[#Data],$DD187,81),0)</f>
        <v/>
      </c>
      <c r="CF187">
        <f>IFERROR(INDEX(PP_Grid[#Data],$DD187,82),0)</f>
        <v/>
      </c>
      <c r="CG187">
        <f>IFERROR(INDEX(PP_Grid[#Data],$DD187,83),0)</f>
        <v/>
      </c>
      <c r="CH187">
        <f>IFERROR(INDEX(PP_Grid[#Data],$DD187,84),0)</f>
        <v/>
      </c>
      <c r="CI187">
        <f>IFERROR(INDEX(PP_Grid[#Data],$DD187,85),0)</f>
        <v/>
      </c>
      <c r="CJ187">
        <f>IFERROR(INDEX(PP_Grid[#Data],$DD187,86),0)</f>
        <v/>
      </c>
      <c r="CK187">
        <f>IFERROR(INDEX(PP_Grid[#Data],$DD187,87),0)</f>
        <v/>
      </c>
      <c r="CL187">
        <f>IFERROR(INDEX(PP_Grid[#Data],$DD187,88),0)</f>
        <v/>
      </c>
      <c r="CM187">
        <f>IFERROR(INDEX(PP_Grid[#Data],$DD187,89),0)</f>
        <v/>
      </c>
      <c r="CN187">
        <f>IFERROR(INDEX(PP_Grid[#Data],$DD187,90),0)</f>
        <v/>
      </c>
      <c r="CO187">
        <f>IFERROR(INDEX(PP_Grid[#Data],$DD187,91),0)</f>
        <v/>
      </c>
      <c r="CP187">
        <f>IFERROR(INDEX(PP_Grid[#Data],$DD187,92),0)</f>
        <v/>
      </c>
      <c r="CQ187">
        <f>IFERROR(INDEX(PP_Grid[#Data],$DD187,93),0)</f>
        <v/>
      </c>
      <c r="CR187">
        <f>IFERROR(INDEX(PP_Grid[#Data],$DD187,94),0)</f>
        <v/>
      </c>
      <c r="CS187">
        <f>IFERROR(INDEX(PP_Grid[#Data],$DD187,95),0)</f>
        <v/>
      </c>
      <c r="CT187">
        <f>IFERROR(INDEX(PP_Grid[#Data],$DD187,96),0)</f>
        <v/>
      </c>
      <c r="CU187">
        <f>IFERROR(INDEX(PP_Grid[#Data],$DD187,97),0)</f>
        <v/>
      </c>
      <c r="CV187">
        <f>IFERROR(INDEX(PP_Grid[#Data],$DD187,98),0)</f>
        <v/>
      </c>
      <c r="CW187">
        <f>IFERROR(INDEX(PP_Grid[#Data],$DD187,99),0)</f>
        <v/>
      </c>
      <c r="CX187">
        <f>IFERROR(INDEX(PP_Grid[#Data],$DD187,100),0)</f>
        <v/>
      </c>
      <c r="CY187">
        <f>IFERROR(INDEX(PP_Grid[#Data],$DD187,101),0)</f>
        <v/>
      </c>
      <c r="CZ187">
        <f>IFERROR(INDEX(PP_Grid[#Data],$DD187,102),0)</f>
        <v/>
      </c>
      <c r="DA187">
        <f>IFERROR(INDEX(PP_Grid[#Data],$DD187,103),0)</f>
        <v/>
      </c>
      <c r="DB187">
        <f>IFERROR(INDEX(PP_Grid[#Data],$DD187,104),0)</f>
        <v/>
      </c>
      <c r="DC187">
        <f>IFERROR(INDEX(PP_Grid[#Data],$DD187,105),0)</f>
        <v/>
      </c>
      <c r="DD187" s="7">
        <f>IFERROR(MATCH($B187,PP_Grid[Intermediate],0),99999)</f>
        <v/>
      </c>
    </row>
    <row r="188">
      <c r="B188" t="inlineStr">
        <is>
          <t>使用量(kg)</t>
        </is>
      </c>
      <c r="C188">
        <f>SUMIFS(M_BOM[RM_Qty_Per_Batch],M_BOM[Intermediate],$B187,M_BOM[Part Name],$A44)</f>
        <v/>
      </c>
      <c r="D188">
        <f>$C188*D187</f>
        <v/>
      </c>
      <c r="E188">
        <f>$C188*E187</f>
        <v/>
      </c>
      <c r="F188">
        <f>$C188*F187</f>
        <v/>
      </c>
      <c r="G188">
        <f>$C188*G187</f>
        <v/>
      </c>
      <c r="H188">
        <f>$C188*H187</f>
        <v/>
      </c>
      <c r="I188">
        <f>$C188*I187</f>
        <v/>
      </c>
      <c r="J188">
        <f>$C188*J187</f>
        <v/>
      </c>
      <c r="K188">
        <f>$C188*K187</f>
        <v/>
      </c>
      <c r="L188">
        <f>$C188*L187</f>
        <v/>
      </c>
      <c r="M188">
        <f>$C188*M187</f>
        <v/>
      </c>
      <c r="N188">
        <f>$C188*N187</f>
        <v/>
      </c>
      <c r="O188">
        <f>$C188*O187</f>
        <v/>
      </c>
      <c r="P188">
        <f>$C188*P187</f>
        <v/>
      </c>
      <c r="Q188">
        <f>$C188*Q187</f>
        <v/>
      </c>
      <c r="R188">
        <f>$C188*R187</f>
        <v/>
      </c>
      <c r="S188">
        <f>$C188*S187</f>
        <v/>
      </c>
      <c r="T188">
        <f>$C188*T187</f>
        <v/>
      </c>
      <c r="U188">
        <f>$C188*U187</f>
        <v/>
      </c>
      <c r="V188">
        <f>$C188*V187</f>
        <v/>
      </c>
      <c r="W188">
        <f>$C188*W187</f>
        <v/>
      </c>
      <c r="X188">
        <f>$C188*X187</f>
        <v/>
      </c>
      <c r="Y188">
        <f>$C188*Y187</f>
        <v/>
      </c>
      <c r="Z188">
        <f>$C188*Z187</f>
        <v/>
      </c>
      <c r="AA188">
        <f>$C188*AA187</f>
        <v/>
      </c>
      <c r="AB188">
        <f>$C188*AB187</f>
        <v/>
      </c>
      <c r="AC188">
        <f>$C188*AC187</f>
        <v/>
      </c>
      <c r="AD188">
        <f>$C188*AD187</f>
        <v/>
      </c>
      <c r="AE188">
        <f>$C188*AE187</f>
        <v/>
      </c>
      <c r="AF188">
        <f>$C188*AF187</f>
        <v/>
      </c>
      <c r="AG188">
        <f>$C188*AG187</f>
        <v/>
      </c>
      <c r="AH188">
        <f>$C188*AH187</f>
        <v/>
      </c>
      <c r="AI188">
        <f>$C188*AI187</f>
        <v/>
      </c>
      <c r="AJ188">
        <f>$C188*AJ187</f>
        <v/>
      </c>
      <c r="AK188">
        <f>$C188*AK187</f>
        <v/>
      </c>
      <c r="AL188">
        <f>$C188*AL187</f>
        <v/>
      </c>
      <c r="AM188">
        <f>$C188*AM187</f>
        <v/>
      </c>
      <c r="AN188">
        <f>$C188*AN187</f>
        <v/>
      </c>
      <c r="AO188">
        <f>$C188*AO187</f>
        <v/>
      </c>
      <c r="AP188">
        <f>$C188*AP187</f>
        <v/>
      </c>
      <c r="AQ188">
        <f>$C188*AQ187</f>
        <v/>
      </c>
      <c r="AR188">
        <f>$C188*AR187</f>
        <v/>
      </c>
      <c r="AS188">
        <f>$C188*AS187</f>
        <v/>
      </c>
      <c r="AT188">
        <f>$C188*AT187</f>
        <v/>
      </c>
      <c r="AU188">
        <f>$C188*AU187</f>
        <v/>
      </c>
      <c r="AV188">
        <f>$C188*AV187</f>
        <v/>
      </c>
      <c r="AW188">
        <f>$C188*AW187</f>
        <v/>
      </c>
      <c r="AX188">
        <f>$C188*AX187</f>
        <v/>
      </c>
      <c r="AY188">
        <f>$C188*AY187</f>
        <v/>
      </c>
      <c r="AZ188">
        <f>$C188*AZ187</f>
        <v/>
      </c>
      <c r="BA188">
        <f>$C188*BA187</f>
        <v/>
      </c>
      <c r="BB188">
        <f>$C188*BB187</f>
        <v/>
      </c>
      <c r="BC188">
        <f>$C188*BC187</f>
        <v/>
      </c>
      <c r="BD188">
        <f>$C188*BD187</f>
        <v/>
      </c>
      <c r="BE188">
        <f>$C188*BE187</f>
        <v/>
      </c>
      <c r="BF188">
        <f>$C188*BF187</f>
        <v/>
      </c>
      <c r="BG188">
        <f>$C188*BG187</f>
        <v/>
      </c>
      <c r="BH188">
        <f>$C188*BH187</f>
        <v/>
      </c>
      <c r="BI188">
        <f>$C188*BI187</f>
        <v/>
      </c>
      <c r="BJ188">
        <f>$C188*BJ187</f>
        <v/>
      </c>
      <c r="BK188">
        <f>$C188*BK187</f>
        <v/>
      </c>
      <c r="BL188">
        <f>$C188*BL187</f>
        <v/>
      </c>
      <c r="BM188">
        <f>$C188*BM187</f>
        <v/>
      </c>
      <c r="BN188">
        <f>$C188*BN187</f>
        <v/>
      </c>
      <c r="BO188">
        <f>$C188*BO187</f>
        <v/>
      </c>
      <c r="BP188">
        <f>$C188*BP187</f>
        <v/>
      </c>
      <c r="BQ188">
        <f>$C188*BQ187</f>
        <v/>
      </c>
      <c r="BR188">
        <f>$C188*BR187</f>
        <v/>
      </c>
      <c r="BS188">
        <f>$C188*BS187</f>
        <v/>
      </c>
      <c r="BT188">
        <f>$C188*BT187</f>
        <v/>
      </c>
      <c r="BU188">
        <f>$C188*BU187</f>
        <v/>
      </c>
      <c r="BV188">
        <f>$C188*BV187</f>
        <v/>
      </c>
      <c r="BW188">
        <f>$C188*BW187</f>
        <v/>
      </c>
      <c r="BX188">
        <f>$C188*BX187</f>
        <v/>
      </c>
      <c r="BY188">
        <f>$C188*BY187</f>
        <v/>
      </c>
      <c r="BZ188">
        <f>$C188*BZ187</f>
        <v/>
      </c>
      <c r="CA188">
        <f>$C188*CA187</f>
        <v/>
      </c>
      <c r="CB188">
        <f>$C188*CB187</f>
        <v/>
      </c>
      <c r="CC188">
        <f>$C188*CC187</f>
        <v/>
      </c>
      <c r="CD188">
        <f>$C188*CD187</f>
        <v/>
      </c>
      <c r="CE188">
        <f>$C188*CE187</f>
        <v/>
      </c>
      <c r="CF188">
        <f>$C188*CF187</f>
        <v/>
      </c>
      <c r="CG188">
        <f>$C188*CG187</f>
        <v/>
      </c>
      <c r="CH188">
        <f>$C188*CH187</f>
        <v/>
      </c>
      <c r="CI188">
        <f>$C188*CI187</f>
        <v/>
      </c>
      <c r="CJ188">
        <f>$C188*CJ187</f>
        <v/>
      </c>
      <c r="CK188">
        <f>$C188*CK187</f>
        <v/>
      </c>
      <c r="CL188">
        <f>$C188*CL187</f>
        <v/>
      </c>
      <c r="CM188">
        <f>$C188*CM187</f>
        <v/>
      </c>
      <c r="CN188">
        <f>$C188*CN187</f>
        <v/>
      </c>
      <c r="CO188">
        <f>$C188*CO187</f>
        <v/>
      </c>
      <c r="CP188">
        <f>$C188*CP187</f>
        <v/>
      </c>
      <c r="CQ188">
        <f>$C188*CQ187</f>
        <v/>
      </c>
      <c r="CR188">
        <f>$C188*CR187</f>
        <v/>
      </c>
      <c r="CS188">
        <f>$C188*CS187</f>
        <v/>
      </c>
      <c r="CT188">
        <f>$C188*CT187</f>
        <v/>
      </c>
      <c r="CU188">
        <f>$C188*CU187</f>
        <v/>
      </c>
      <c r="CV188">
        <f>$C188*CV187</f>
        <v/>
      </c>
      <c r="CW188">
        <f>$C188*CW187</f>
        <v/>
      </c>
      <c r="CX188">
        <f>$C188*CX187</f>
        <v/>
      </c>
      <c r="CY188">
        <f>$C188*CY187</f>
        <v/>
      </c>
      <c r="CZ188">
        <f>$C188*CZ187</f>
        <v/>
      </c>
      <c r="DA188">
        <f>$C188*DA187</f>
        <v/>
      </c>
      <c r="DB188">
        <f>$C188*DB187</f>
        <v/>
      </c>
      <c r="DC188">
        <f>$C188*DC187</f>
        <v/>
      </c>
    </row>
    <row r="189">
      <c r="B189" t="inlineStr">
        <is>
          <t>VSP-820</t>
        </is>
      </c>
      <c r="C189" t="inlineStr">
        <is>
          <t>No. of batches</t>
        </is>
      </c>
      <c r="D189">
        <f>IFERROR(INDEX(PP_Grid[#Data],$DD189,2),0)</f>
        <v/>
      </c>
      <c r="E189">
        <f>IFERROR(INDEX(PP_Grid[#Data],$DD189,3),0)</f>
        <v/>
      </c>
      <c r="F189">
        <f>IFERROR(INDEX(PP_Grid[#Data],$DD189,4),0)</f>
        <v/>
      </c>
      <c r="G189">
        <f>IFERROR(INDEX(PP_Grid[#Data],$DD189,5),0)</f>
        <v/>
      </c>
      <c r="H189">
        <f>IFERROR(INDEX(PP_Grid[#Data],$DD189,6),0)</f>
        <v/>
      </c>
      <c r="I189">
        <f>IFERROR(INDEX(PP_Grid[#Data],$DD189,7),0)</f>
        <v/>
      </c>
      <c r="J189">
        <f>IFERROR(INDEX(PP_Grid[#Data],$DD189,8),0)</f>
        <v/>
      </c>
      <c r="K189">
        <f>IFERROR(INDEX(PP_Grid[#Data],$DD189,9),0)</f>
        <v/>
      </c>
      <c r="L189">
        <f>IFERROR(INDEX(PP_Grid[#Data],$DD189,10),0)</f>
        <v/>
      </c>
      <c r="M189">
        <f>IFERROR(INDEX(PP_Grid[#Data],$DD189,11),0)</f>
        <v/>
      </c>
      <c r="N189">
        <f>IFERROR(INDEX(PP_Grid[#Data],$DD189,12),0)</f>
        <v/>
      </c>
      <c r="O189">
        <f>IFERROR(INDEX(PP_Grid[#Data],$DD189,13),0)</f>
        <v/>
      </c>
      <c r="P189">
        <f>IFERROR(INDEX(PP_Grid[#Data],$DD189,14),0)</f>
        <v/>
      </c>
      <c r="Q189">
        <f>IFERROR(INDEX(PP_Grid[#Data],$DD189,15),0)</f>
        <v/>
      </c>
      <c r="R189">
        <f>IFERROR(INDEX(PP_Grid[#Data],$DD189,16),0)</f>
        <v/>
      </c>
      <c r="S189">
        <f>IFERROR(INDEX(PP_Grid[#Data],$DD189,17),0)</f>
        <v/>
      </c>
      <c r="T189">
        <f>IFERROR(INDEX(PP_Grid[#Data],$DD189,18),0)</f>
        <v/>
      </c>
      <c r="U189">
        <f>IFERROR(INDEX(PP_Grid[#Data],$DD189,19),0)</f>
        <v/>
      </c>
      <c r="V189">
        <f>IFERROR(INDEX(PP_Grid[#Data],$DD189,20),0)</f>
        <v/>
      </c>
      <c r="W189">
        <f>IFERROR(INDEX(PP_Grid[#Data],$DD189,21),0)</f>
        <v/>
      </c>
      <c r="X189">
        <f>IFERROR(INDEX(PP_Grid[#Data],$DD189,22),0)</f>
        <v/>
      </c>
      <c r="Y189">
        <f>IFERROR(INDEX(PP_Grid[#Data],$DD189,23),0)</f>
        <v/>
      </c>
      <c r="Z189">
        <f>IFERROR(INDEX(PP_Grid[#Data],$DD189,24),0)</f>
        <v/>
      </c>
      <c r="AA189">
        <f>IFERROR(INDEX(PP_Grid[#Data],$DD189,25),0)</f>
        <v/>
      </c>
      <c r="AB189">
        <f>IFERROR(INDEX(PP_Grid[#Data],$DD189,26),0)</f>
        <v/>
      </c>
      <c r="AC189">
        <f>IFERROR(INDEX(PP_Grid[#Data],$DD189,27),0)</f>
        <v/>
      </c>
      <c r="AD189">
        <f>IFERROR(INDEX(PP_Grid[#Data],$DD189,28),0)</f>
        <v/>
      </c>
      <c r="AE189">
        <f>IFERROR(INDEX(PP_Grid[#Data],$DD189,29),0)</f>
        <v/>
      </c>
      <c r="AF189">
        <f>IFERROR(INDEX(PP_Grid[#Data],$DD189,30),0)</f>
        <v/>
      </c>
      <c r="AG189">
        <f>IFERROR(INDEX(PP_Grid[#Data],$DD189,31),0)</f>
        <v/>
      </c>
      <c r="AH189">
        <f>IFERROR(INDEX(PP_Grid[#Data],$DD189,32),0)</f>
        <v/>
      </c>
      <c r="AI189">
        <f>IFERROR(INDEX(PP_Grid[#Data],$DD189,33),0)</f>
        <v/>
      </c>
      <c r="AJ189">
        <f>IFERROR(INDEX(PP_Grid[#Data],$DD189,34),0)</f>
        <v/>
      </c>
      <c r="AK189">
        <f>IFERROR(INDEX(PP_Grid[#Data],$DD189,35),0)</f>
        <v/>
      </c>
      <c r="AL189">
        <f>IFERROR(INDEX(PP_Grid[#Data],$DD189,36),0)</f>
        <v/>
      </c>
      <c r="AM189">
        <f>IFERROR(INDEX(PP_Grid[#Data],$DD189,37),0)</f>
        <v/>
      </c>
      <c r="AN189">
        <f>IFERROR(INDEX(PP_Grid[#Data],$DD189,38),0)</f>
        <v/>
      </c>
      <c r="AO189">
        <f>IFERROR(INDEX(PP_Grid[#Data],$DD189,39),0)</f>
        <v/>
      </c>
      <c r="AP189">
        <f>IFERROR(INDEX(PP_Grid[#Data],$DD189,40),0)</f>
        <v/>
      </c>
      <c r="AQ189">
        <f>IFERROR(INDEX(PP_Grid[#Data],$DD189,41),0)</f>
        <v/>
      </c>
      <c r="AR189">
        <f>IFERROR(INDEX(PP_Grid[#Data],$DD189,42),0)</f>
        <v/>
      </c>
      <c r="AS189">
        <f>IFERROR(INDEX(PP_Grid[#Data],$DD189,43),0)</f>
        <v/>
      </c>
      <c r="AT189">
        <f>IFERROR(INDEX(PP_Grid[#Data],$DD189,44),0)</f>
        <v/>
      </c>
      <c r="AU189">
        <f>IFERROR(INDEX(PP_Grid[#Data],$DD189,45),0)</f>
        <v/>
      </c>
      <c r="AV189">
        <f>IFERROR(INDEX(PP_Grid[#Data],$DD189,46),0)</f>
        <v/>
      </c>
      <c r="AW189">
        <f>IFERROR(INDEX(PP_Grid[#Data],$DD189,47),0)</f>
        <v/>
      </c>
      <c r="AX189">
        <f>IFERROR(INDEX(PP_Grid[#Data],$DD189,48),0)</f>
        <v/>
      </c>
      <c r="AY189">
        <f>IFERROR(INDEX(PP_Grid[#Data],$DD189,49),0)</f>
        <v/>
      </c>
      <c r="AZ189">
        <f>IFERROR(INDEX(PP_Grid[#Data],$DD189,50),0)</f>
        <v/>
      </c>
      <c r="BA189">
        <f>IFERROR(INDEX(PP_Grid[#Data],$DD189,51),0)</f>
        <v/>
      </c>
      <c r="BB189">
        <f>IFERROR(INDEX(PP_Grid[#Data],$DD189,52),0)</f>
        <v/>
      </c>
      <c r="BC189">
        <f>IFERROR(INDEX(PP_Grid[#Data],$DD189,53),0)</f>
        <v/>
      </c>
      <c r="BD189">
        <f>IFERROR(INDEX(PP_Grid[#Data],$DD189,54),0)</f>
        <v/>
      </c>
      <c r="BE189">
        <f>IFERROR(INDEX(PP_Grid[#Data],$DD189,55),0)</f>
        <v/>
      </c>
      <c r="BF189">
        <f>IFERROR(INDEX(PP_Grid[#Data],$DD189,56),0)</f>
        <v/>
      </c>
      <c r="BG189">
        <f>IFERROR(INDEX(PP_Grid[#Data],$DD189,57),0)</f>
        <v/>
      </c>
      <c r="BH189">
        <f>IFERROR(INDEX(PP_Grid[#Data],$DD189,58),0)</f>
        <v/>
      </c>
      <c r="BI189">
        <f>IFERROR(INDEX(PP_Grid[#Data],$DD189,59),0)</f>
        <v/>
      </c>
      <c r="BJ189">
        <f>IFERROR(INDEX(PP_Grid[#Data],$DD189,60),0)</f>
        <v/>
      </c>
      <c r="BK189">
        <f>IFERROR(INDEX(PP_Grid[#Data],$DD189,61),0)</f>
        <v/>
      </c>
      <c r="BL189">
        <f>IFERROR(INDEX(PP_Grid[#Data],$DD189,62),0)</f>
        <v/>
      </c>
      <c r="BM189">
        <f>IFERROR(INDEX(PP_Grid[#Data],$DD189,63),0)</f>
        <v/>
      </c>
      <c r="BN189">
        <f>IFERROR(INDEX(PP_Grid[#Data],$DD189,64),0)</f>
        <v/>
      </c>
      <c r="BO189">
        <f>IFERROR(INDEX(PP_Grid[#Data],$DD189,65),0)</f>
        <v/>
      </c>
      <c r="BP189">
        <f>IFERROR(INDEX(PP_Grid[#Data],$DD189,66),0)</f>
        <v/>
      </c>
      <c r="BQ189">
        <f>IFERROR(INDEX(PP_Grid[#Data],$DD189,67),0)</f>
        <v/>
      </c>
      <c r="BR189">
        <f>IFERROR(INDEX(PP_Grid[#Data],$DD189,68),0)</f>
        <v/>
      </c>
      <c r="BS189">
        <f>IFERROR(INDEX(PP_Grid[#Data],$DD189,69),0)</f>
        <v/>
      </c>
      <c r="BT189">
        <f>IFERROR(INDEX(PP_Grid[#Data],$DD189,70),0)</f>
        <v/>
      </c>
      <c r="BU189">
        <f>IFERROR(INDEX(PP_Grid[#Data],$DD189,71),0)</f>
        <v/>
      </c>
      <c r="BV189">
        <f>IFERROR(INDEX(PP_Grid[#Data],$DD189,72),0)</f>
        <v/>
      </c>
      <c r="BW189">
        <f>IFERROR(INDEX(PP_Grid[#Data],$DD189,73),0)</f>
        <v/>
      </c>
      <c r="BX189">
        <f>IFERROR(INDEX(PP_Grid[#Data],$DD189,74),0)</f>
        <v/>
      </c>
      <c r="BY189">
        <f>IFERROR(INDEX(PP_Grid[#Data],$DD189,75),0)</f>
        <v/>
      </c>
      <c r="BZ189">
        <f>IFERROR(INDEX(PP_Grid[#Data],$DD189,76),0)</f>
        <v/>
      </c>
      <c r="CA189">
        <f>IFERROR(INDEX(PP_Grid[#Data],$DD189,77),0)</f>
        <v/>
      </c>
      <c r="CB189">
        <f>IFERROR(INDEX(PP_Grid[#Data],$DD189,78),0)</f>
        <v/>
      </c>
      <c r="CC189">
        <f>IFERROR(INDEX(PP_Grid[#Data],$DD189,79),0)</f>
        <v/>
      </c>
      <c r="CD189">
        <f>IFERROR(INDEX(PP_Grid[#Data],$DD189,80),0)</f>
        <v/>
      </c>
      <c r="CE189">
        <f>IFERROR(INDEX(PP_Grid[#Data],$DD189,81),0)</f>
        <v/>
      </c>
      <c r="CF189">
        <f>IFERROR(INDEX(PP_Grid[#Data],$DD189,82),0)</f>
        <v/>
      </c>
      <c r="CG189">
        <f>IFERROR(INDEX(PP_Grid[#Data],$DD189,83),0)</f>
        <v/>
      </c>
      <c r="CH189">
        <f>IFERROR(INDEX(PP_Grid[#Data],$DD189,84),0)</f>
        <v/>
      </c>
      <c r="CI189">
        <f>IFERROR(INDEX(PP_Grid[#Data],$DD189,85),0)</f>
        <v/>
      </c>
      <c r="CJ189">
        <f>IFERROR(INDEX(PP_Grid[#Data],$DD189,86),0)</f>
        <v/>
      </c>
      <c r="CK189">
        <f>IFERROR(INDEX(PP_Grid[#Data],$DD189,87),0)</f>
        <v/>
      </c>
      <c r="CL189">
        <f>IFERROR(INDEX(PP_Grid[#Data],$DD189,88),0)</f>
        <v/>
      </c>
      <c r="CM189">
        <f>IFERROR(INDEX(PP_Grid[#Data],$DD189,89),0)</f>
        <v/>
      </c>
      <c r="CN189">
        <f>IFERROR(INDEX(PP_Grid[#Data],$DD189,90),0)</f>
        <v/>
      </c>
      <c r="CO189">
        <f>IFERROR(INDEX(PP_Grid[#Data],$DD189,91),0)</f>
        <v/>
      </c>
      <c r="CP189">
        <f>IFERROR(INDEX(PP_Grid[#Data],$DD189,92),0)</f>
        <v/>
      </c>
      <c r="CQ189">
        <f>IFERROR(INDEX(PP_Grid[#Data],$DD189,93),0)</f>
        <v/>
      </c>
      <c r="CR189">
        <f>IFERROR(INDEX(PP_Grid[#Data],$DD189,94),0)</f>
        <v/>
      </c>
      <c r="CS189">
        <f>IFERROR(INDEX(PP_Grid[#Data],$DD189,95),0)</f>
        <v/>
      </c>
      <c r="CT189">
        <f>IFERROR(INDEX(PP_Grid[#Data],$DD189,96),0)</f>
        <v/>
      </c>
      <c r="CU189">
        <f>IFERROR(INDEX(PP_Grid[#Data],$DD189,97),0)</f>
        <v/>
      </c>
      <c r="CV189">
        <f>IFERROR(INDEX(PP_Grid[#Data],$DD189,98),0)</f>
        <v/>
      </c>
      <c r="CW189">
        <f>IFERROR(INDEX(PP_Grid[#Data],$DD189,99),0)</f>
        <v/>
      </c>
      <c r="CX189">
        <f>IFERROR(INDEX(PP_Grid[#Data],$DD189,100),0)</f>
        <v/>
      </c>
      <c r="CY189">
        <f>IFERROR(INDEX(PP_Grid[#Data],$DD189,101),0)</f>
        <v/>
      </c>
      <c r="CZ189">
        <f>IFERROR(INDEX(PP_Grid[#Data],$DD189,102),0)</f>
        <v/>
      </c>
      <c r="DA189">
        <f>IFERROR(INDEX(PP_Grid[#Data],$DD189,103),0)</f>
        <v/>
      </c>
      <c r="DB189">
        <f>IFERROR(INDEX(PP_Grid[#Data],$DD189,104),0)</f>
        <v/>
      </c>
      <c r="DC189">
        <f>IFERROR(INDEX(PP_Grid[#Data],$DD189,105),0)</f>
        <v/>
      </c>
      <c r="DD189" s="7">
        <f>IFERROR(MATCH($B189,PP_Grid[Intermediate],0),99999)</f>
        <v/>
      </c>
    </row>
    <row r="190">
      <c r="B190" t="inlineStr">
        <is>
          <t>使用量(kg)</t>
        </is>
      </c>
      <c r="C190">
        <f>SUMIFS(M_BOM[RM_Qty_Per_Batch],M_BOM[Intermediate],$B189,M_BOM[Part Name],$A44)</f>
        <v/>
      </c>
      <c r="D190">
        <f>$C190*D189</f>
        <v/>
      </c>
      <c r="E190">
        <f>$C190*E189</f>
        <v/>
      </c>
      <c r="F190">
        <f>$C190*F189</f>
        <v/>
      </c>
      <c r="G190">
        <f>$C190*G189</f>
        <v/>
      </c>
      <c r="H190">
        <f>$C190*H189</f>
        <v/>
      </c>
      <c r="I190">
        <f>$C190*I189</f>
        <v/>
      </c>
      <c r="J190">
        <f>$C190*J189</f>
        <v/>
      </c>
      <c r="K190">
        <f>$C190*K189</f>
        <v/>
      </c>
      <c r="L190">
        <f>$C190*L189</f>
        <v/>
      </c>
      <c r="M190">
        <f>$C190*M189</f>
        <v/>
      </c>
      <c r="N190">
        <f>$C190*N189</f>
        <v/>
      </c>
      <c r="O190">
        <f>$C190*O189</f>
        <v/>
      </c>
      <c r="P190">
        <f>$C190*P189</f>
        <v/>
      </c>
      <c r="Q190">
        <f>$C190*Q189</f>
        <v/>
      </c>
      <c r="R190">
        <f>$C190*R189</f>
        <v/>
      </c>
      <c r="S190">
        <f>$C190*S189</f>
        <v/>
      </c>
      <c r="T190">
        <f>$C190*T189</f>
        <v/>
      </c>
      <c r="U190">
        <f>$C190*U189</f>
        <v/>
      </c>
      <c r="V190">
        <f>$C190*V189</f>
        <v/>
      </c>
      <c r="W190">
        <f>$C190*W189</f>
        <v/>
      </c>
      <c r="X190">
        <f>$C190*X189</f>
        <v/>
      </c>
      <c r="Y190">
        <f>$C190*Y189</f>
        <v/>
      </c>
      <c r="Z190">
        <f>$C190*Z189</f>
        <v/>
      </c>
      <c r="AA190">
        <f>$C190*AA189</f>
        <v/>
      </c>
      <c r="AB190">
        <f>$C190*AB189</f>
        <v/>
      </c>
      <c r="AC190">
        <f>$C190*AC189</f>
        <v/>
      </c>
      <c r="AD190">
        <f>$C190*AD189</f>
        <v/>
      </c>
      <c r="AE190">
        <f>$C190*AE189</f>
        <v/>
      </c>
      <c r="AF190">
        <f>$C190*AF189</f>
        <v/>
      </c>
      <c r="AG190">
        <f>$C190*AG189</f>
        <v/>
      </c>
      <c r="AH190">
        <f>$C190*AH189</f>
        <v/>
      </c>
      <c r="AI190">
        <f>$C190*AI189</f>
        <v/>
      </c>
      <c r="AJ190">
        <f>$C190*AJ189</f>
        <v/>
      </c>
      <c r="AK190">
        <f>$C190*AK189</f>
        <v/>
      </c>
      <c r="AL190">
        <f>$C190*AL189</f>
        <v/>
      </c>
      <c r="AM190">
        <f>$C190*AM189</f>
        <v/>
      </c>
      <c r="AN190">
        <f>$C190*AN189</f>
        <v/>
      </c>
      <c r="AO190">
        <f>$C190*AO189</f>
        <v/>
      </c>
      <c r="AP190">
        <f>$C190*AP189</f>
        <v/>
      </c>
      <c r="AQ190">
        <f>$C190*AQ189</f>
        <v/>
      </c>
      <c r="AR190">
        <f>$C190*AR189</f>
        <v/>
      </c>
      <c r="AS190">
        <f>$C190*AS189</f>
        <v/>
      </c>
      <c r="AT190">
        <f>$C190*AT189</f>
        <v/>
      </c>
      <c r="AU190">
        <f>$C190*AU189</f>
        <v/>
      </c>
      <c r="AV190">
        <f>$C190*AV189</f>
        <v/>
      </c>
      <c r="AW190">
        <f>$C190*AW189</f>
        <v/>
      </c>
      <c r="AX190">
        <f>$C190*AX189</f>
        <v/>
      </c>
      <c r="AY190">
        <f>$C190*AY189</f>
        <v/>
      </c>
      <c r="AZ190">
        <f>$C190*AZ189</f>
        <v/>
      </c>
      <c r="BA190">
        <f>$C190*BA189</f>
        <v/>
      </c>
      <c r="BB190">
        <f>$C190*BB189</f>
        <v/>
      </c>
      <c r="BC190">
        <f>$C190*BC189</f>
        <v/>
      </c>
      <c r="BD190">
        <f>$C190*BD189</f>
        <v/>
      </c>
      <c r="BE190">
        <f>$C190*BE189</f>
        <v/>
      </c>
      <c r="BF190">
        <f>$C190*BF189</f>
        <v/>
      </c>
      <c r="BG190">
        <f>$C190*BG189</f>
        <v/>
      </c>
      <c r="BH190">
        <f>$C190*BH189</f>
        <v/>
      </c>
      <c r="BI190">
        <f>$C190*BI189</f>
        <v/>
      </c>
      <c r="BJ190">
        <f>$C190*BJ189</f>
        <v/>
      </c>
      <c r="BK190">
        <f>$C190*BK189</f>
        <v/>
      </c>
      <c r="BL190">
        <f>$C190*BL189</f>
        <v/>
      </c>
      <c r="BM190">
        <f>$C190*BM189</f>
        <v/>
      </c>
      <c r="BN190">
        <f>$C190*BN189</f>
        <v/>
      </c>
      <c r="BO190">
        <f>$C190*BO189</f>
        <v/>
      </c>
      <c r="BP190">
        <f>$C190*BP189</f>
        <v/>
      </c>
      <c r="BQ190">
        <f>$C190*BQ189</f>
        <v/>
      </c>
      <c r="BR190">
        <f>$C190*BR189</f>
        <v/>
      </c>
      <c r="BS190">
        <f>$C190*BS189</f>
        <v/>
      </c>
      <c r="BT190">
        <f>$C190*BT189</f>
        <v/>
      </c>
      <c r="BU190">
        <f>$C190*BU189</f>
        <v/>
      </c>
      <c r="BV190">
        <f>$C190*BV189</f>
        <v/>
      </c>
      <c r="BW190">
        <f>$C190*BW189</f>
        <v/>
      </c>
      <c r="BX190">
        <f>$C190*BX189</f>
        <v/>
      </c>
      <c r="BY190">
        <f>$C190*BY189</f>
        <v/>
      </c>
      <c r="BZ190">
        <f>$C190*BZ189</f>
        <v/>
      </c>
      <c r="CA190">
        <f>$C190*CA189</f>
        <v/>
      </c>
      <c r="CB190">
        <f>$C190*CB189</f>
        <v/>
      </c>
      <c r="CC190">
        <f>$C190*CC189</f>
        <v/>
      </c>
      <c r="CD190">
        <f>$C190*CD189</f>
        <v/>
      </c>
      <c r="CE190">
        <f>$C190*CE189</f>
        <v/>
      </c>
      <c r="CF190">
        <f>$C190*CF189</f>
        <v/>
      </c>
      <c r="CG190">
        <f>$C190*CG189</f>
        <v/>
      </c>
      <c r="CH190">
        <f>$C190*CH189</f>
        <v/>
      </c>
      <c r="CI190">
        <f>$C190*CI189</f>
        <v/>
      </c>
      <c r="CJ190">
        <f>$C190*CJ189</f>
        <v/>
      </c>
      <c r="CK190">
        <f>$C190*CK189</f>
        <v/>
      </c>
      <c r="CL190">
        <f>$C190*CL189</f>
        <v/>
      </c>
      <c r="CM190">
        <f>$C190*CM189</f>
        <v/>
      </c>
      <c r="CN190">
        <f>$C190*CN189</f>
        <v/>
      </c>
      <c r="CO190">
        <f>$C190*CO189</f>
        <v/>
      </c>
      <c r="CP190">
        <f>$C190*CP189</f>
        <v/>
      </c>
      <c r="CQ190">
        <f>$C190*CQ189</f>
        <v/>
      </c>
      <c r="CR190">
        <f>$C190*CR189</f>
        <v/>
      </c>
      <c r="CS190">
        <f>$C190*CS189</f>
        <v/>
      </c>
      <c r="CT190">
        <f>$C190*CT189</f>
        <v/>
      </c>
      <c r="CU190">
        <f>$C190*CU189</f>
        <v/>
      </c>
      <c r="CV190">
        <f>$C190*CV189</f>
        <v/>
      </c>
      <c r="CW190">
        <f>$C190*CW189</f>
        <v/>
      </c>
      <c r="CX190">
        <f>$C190*CX189</f>
        <v/>
      </c>
      <c r="CY190">
        <f>$C190*CY189</f>
        <v/>
      </c>
      <c r="CZ190">
        <f>$C190*CZ189</f>
        <v/>
      </c>
      <c r="DA190">
        <f>$C190*DA189</f>
        <v/>
      </c>
      <c r="DB190">
        <f>$C190*DB189</f>
        <v/>
      </c>
      <c r="DC190">
        <f>$C190*DC189</f>
        <v/>
      </c>
    </row>
    <row r="191">
      <c r="B191" t="inlineStr">
        <is>
          <t>VSP-822</t>
        </is>
      </c>
      <c r="C191" t="inlineStr">
        <is>
          <t>No. of batches</t>
        </is>
      </c>
      <c r="D191">
        <f>IFERROR(INDEX(PP_Grid[#Data],$DD191,2),0)</f>
        <v/>
      </c>
      <c r="E191">
        <f>IFERROR(INDEX(PP_Grid[#Data],$DD191,3),0)</f>
        <v/>
      </c>
      <c r="F191">
        <f>IFERROR(INDEX(PP_Grid[#Data],$DD191,4),0)</f>
        <v/>
      </c>
      <c r="G191">
        <f>IFERROR(INDEX(PP_Grid[#Data],$DD191,5),0)</f>
        <v/>
      </c>
      <c r="H191">
        <f>IFERROR(INDEX(PP_Grid[#Data],$DD191,6),0)</f>
        <v/>
      </c>
      <c r="I191">
        <f>IFERROR(INDEX(PP_Grid[#Data],$DD191,7),0)</f>
        <v/>
      </c>
      <c r="J191">
        <f>IFERROR(INDEX(PP_Grid[#Data],$DD191,8),0)</f>
        <v/>
      </c>
      <c r="K191">
        <f>IFERROR(INDEX(PP_Grid[#Data],$DD191,9),0)</f>
        <v/>
      </c>
      <c r="L191">
        <f>IFERROR(INDEX(PP_Grid[#Data],$DD191,10),0)</f>
        <v/>
      </c>
      <c r="M191">
        <f>IFERROR(INDEX(PP_Grid[#Data],$DD191,11),0)</f>
        <v/>
      </c>
      <c r="N191">
        <f>IFERROR(INDEX(PP_Grid[#Data],$DD191,12),0)</f>
        <v/>
      </c>
      <c r="O191">
        <f>IFERROR(INDEX(PP_Grid[#Data],$DD191,13),0)</f>
        <v/>
      </c>
      <c r="P191">
        <f>IFERROR(INDEX(PP_Grid[#Data],$DD191,14),0)</f>
        <v/>
      </c>
      <c r="Q191">
        <f>IFERROR(INDEX(PP_Grid[#Data],$DD191,15),0)</f>
        <v/>
      </c>
      <c r="R191">
        <f>IFERROR(INDEX(PP_Grid[#Data],$DD191,16),0)</f>
        <v/>
      </c>
      <c r="S191">
        <f>IFERROR(INDEX(PP_Grid[#Data],$DD191,17),0)</f>
        <v/>
      </c>
      <c r="T191">
        <f>IFERROR(INDEX(PP_Grid[#Data],$DD191,18),0)</f>
        <v/>
      </c>
      <c r="U191">
        <f>IFERROR(INDEX(PP_Grid[#Data],$DD191,19),0)</f>
        <v/>
      </c>
      <c r="V191">
        <f>IFERROR(INDEX(PP_Grid[#Data],$DD191,20),0)</f>
        <v/>
      </c>
      <c r="W191">
        <f>IFERROR(INDEX(PP_Grid[#Data],$DD191,21),0)</f>
        <v/>
      </c>
      <c r="X191">
        <f>IFERROR(INDEX(PP_Grid[#Data],$DD191,22),0)</f>
        <v/>
      </c>
      <c r="Y191">
        <f>IFERROR(INDEX(PP_Grid[#Data],$DD191,23),0)</f>
        <v/>
      </c>
      <c r="Z191">
        <f>IFERROR(INDEX(PP_Grid[#Data],$DD191,24),0)</f>
        <v/>
      </c>
      <c r="AA191">
        <f>IFERROR(INDEX(PP_Grid[#Data],$DD191,25),0)</f>
        <v/>
      </c>
      <c r="AB191">
        <f>IFERROR(INDEX(PP_Grid[#Data],$DD191,26),0)</f>
        <v/>
      </c>
      <c r="AC191">
        <f>IFERROR(INDEX(PP_Grid[#Data],$DD191,27),0)</f>
        <v/>
      </c>
      <c r="AD191">
        <f>IFERROR(INDEX(PP_Grid[#Data],$DD191,28),0)</f>
        <v/>
      </c>
      <c r="AE191">
        <f>IFERROR(INDEX(PP_Grid[#Data],$DD191,29),0)</f>
        <v/>
      </c>
      <c r="AF191">
        <f>IFERROR(INDEX(PP_Grid[#Data],$DD191,30),0)</f>
        <v/>
      </c>
      <c r="AG191">
        <f>IFERROR(INDEX(PP_Grid[#Data],$DD191,31),0)</f>
        <v/>
      </c>
      <c r="AH191">
        <f>IFERROR(INDEX(PP_Grid[#Data],$DD191,32),0)</f>
        <v/>
      </c>
      <c r="AI191">
        <f>IFERROR(INDEX(PP_Grid[#Data],$DD191,33),0)</f>
        <v/>
      </c>
      <c r="AJ191">
        <f>IFERROR(INDEX(PP_Grid[#Data],$DD191,34),0)</f>
        <v/>
      </c>
      <c r="AK191">
        <f>IFERROR(INDEX(PP_Grid[#Data],$DD191,35),0)</f>
        <v/>
      </c>
      <c r="AL191">
        <f>IFERROR(INDEX(PP_Grid[#Data],$DD191,36),0)</f>
        <v/>
      </c>
      <c r="AM191">
        <f>IFERROR(INDEX(PP_Grid[#Data],$DD191,37),0)</f>
        <v/>
      </c>
      <c r="AN191">
        <f>IFERROR(INDEX(PP_Grid[#Data],$DD191,38),0)</f>
        <v/>
      </c>
      <c r="AO191">
        <f>IFERROR(INDEX(PP_Grid[#Data],$DD191,39),0)</f>
        <v/>
      </c>
      <c r="AP191">
        <f>IFERROR(INDEX(PP_Grid[#Data],$DD191,40),0)</f>
        <v/>
      </c>
      <c r="AQ191">
        <f>IFERROR(INDEX(PP_Grid[#Data],$DD191,41),0)</f>
        <v/>
      </c>
      <c r="AR191">
        <f>IFERROR(INDEX(PP_Grid[#Data],$DD191,42),0)</f>
        <v/>
      </c>
      <c r="AS191">
        <f>IFERROR(INDEX(PP_Grid[#Data],$DD191,43),0)</f>
        <v/>
      </c>
      <c r="AT191">
        <f>IFERROR(INDEX(PP_Grid[#Data],$DD191,44),0)</f>
        <v/>
      </c>
      <c r="AU191">
        <f>IFERROR(INDEX(PP_Grid[#Data],$DD191,45),0)</f>
        <v/>
      </c>
      <c r="AV191">
        <f>IFERROR(INDEX(PP_Grid[#Data],$DD191,46),0)</f>
        <v/>
      </c>
      <c r="AW191">
        <f>IFERROR(INDEX(PP_Grid[#Data],$DD191,47),0)</f>
        <v/>
      </c>
      <c r="AX191">
        <f>IFERROR(INDEX(PP_Grid[#Data],$DD191,48),0)</f>
        <v/>
      </c>
      <c r="AY191">
        <f>IFERROR(INDEX(PP_Grid[#Data],$DD191,49),0)</f>
        <v/>
      </c>
      <c r="AZ191">
        <f>IFERROR(INDEX(PP_Grid[#Data],$DD191,50),0)</f>
        <v/>
      </c>
      <c r="BA191">
        <f>IFERROR(INDEX(PP_Grid[#Data],$DD191,51),0)</f>
        <v/>
      </c>
      <c r="BB191">
        <f>IFERROR(INDEX(PP_Grid[#Data],$DD191,52),0)</f>
        <v/>
      </c>
      <c r="BC191">
        <f>IFERROR(INDEX(PP_Grid[#Data],$DD191,53),0)</f>
        <v/>
      </c>
      <c r="BD191">
        <f>IFERROR(INDEX(PP_Grid[#Data],$DD191,54),0)</f>
        <v/>
      </c>
      <c r="BE191">
        <f>IFERROR(INDEX(PP_Grid[#Data],$DD191,55),0)</f>
        <v/>
      </c>
      <c r="BF191">
        <f>IFERROR(INDEX(PP_Grid[#Data],$DD191,56),0)</f>
        <v/>
      </c>
      <c r="BG191">
        <f>IFERROR(INDEX(PP_Grid[#Data],$DD191,57),0)</f>
        <v/>
      </c>
      <c r="BH191">
        <f>IFERROR(INDEX(PP_Grid[#Data],$DD191,58),0)</f>
        <v/>
      </c>
      <c r="BI191">
        <f>IFERROR(INDEX(PP_Grid[#Data],$DD191,59),0)</f>
        <v/>
      </c>
      <c r="BJ191">
        <f>IFERROR(INDEX(PP_Grid[#Data],$DD191,60),0)</f>
        <v/>
      </c>
      <c r="BK191">
        <f>IFERROR(INDEX(PP_Grid[#Data],$DD191,61),0)</f>
        <v/>
      </c>
      <c r="BL191">
        <f>IFERROR(INDEX(PP_Grid[#Data],$DD191,62),0)</f>
        <v/>
      </c>
      <c r="BM191">
        <f>IFERROR(INDEX(PP_Grid[#Data],$DD191,63),0)</f>
        <v/>
      </c>
      <c r="BN191">
        <f>IFERROR(INDEX(PP_Grid[#Data],$DD191,64),0)</f>
        <v/>
      </c>
      <c r="BO191">
        <f>IFERROR(INDEX(PP_Grid[#Data],$DD191,65),0)</f>
        <v/>
      </c>
      <c r="BP191">
        <f>IFERROR(INDEX(PP_Grid[#Data],$DD191,66),0)</f>
        <v/>
      </c>
      <c r="BQ191">
        <f>IFERROR(INDEX(PP_Grid[#Data],$DD191,67),0)</f>
        <v/>
      </c>
      <c r="BR191">
        <f>IFERROR(INDEX(PP_Grid[#Data],$DD191,68),0)</f>
        <v/>
      </c>
      <c r="BS191">
        <f>IFERROR(INDEX(PP_Grid[#Data],$DD191,69),0)</f>
        <v/>
      </c>
      <c r="BT191">
        <f>IFERROR(INDEX(PP_Grid[#Data],$DD191,70),0)</f>
        <v/>
      </c>
      <c r="BU191">
        <f>IFERROR(INDEX(PP_Grid[#Data],$DD191,71),0)</f>
        <v/>
      </c>
      <c r="BV191">
        <f>IFERROR(INDEX(PP_Grid[#Data],$DD191,72),0)</f>
        <v/>
      </c>
      <c r="BW191">
        <f>IFERROR(INDEX(PP_Grid[#Data],$DD191,73),0)</f>
        <v/>
      </c>
      <c r="BX191">
        <f>IFERROR(INDEX(PP_Grid[#Data],$DD191,74),0)</f>
        <v/>
      </c>
      <c r="BY191">
        <f>IFERROR(INDEX(PP_Grid[#Data],$DD191,75),0)</f>
        <v/>
      </c>
      <c r="BZ191">
        <f>IFERROR(INDEX(PP_Grid[#Data],$DD191,76),0)</f>
        <v/>
      </c>
      <c r="CA191">
        <f>IFERROR(INDEX(PP_Grid[#Data],$DD191,77),0)</f>
        <v/>
      </c>
      <c r="CB191">
        <f>IFERROR(INDEX(PP_Grid[#Data],$DD191,78),0)</f>
        <v/>
      </c>
      <c r="CC191">
        <f>IFERROR(INDEX(PP_Grid[#Data],$DD191,79),0)</f>
        <v/>
      </c>
      <c r="CD191">
        <f>IFERROR(INDEX(PP_Grid[#Data],$DD191,80),0)</f>
        <v/>
      </c>
      <c r="CE191">
        <f>IFERROR(INDEX(PP_Grid[#Data],$DD191,81),0)</f>
        <v/>
      </c>
      <c r="CF191">
        <f>IFERROR(INDEX(PP_Grid[#Data],$DD191,82),0)</f>
        <v/>
      </c>
      <c r="CG191">
        <f>IFERROR(INDEX(PP_Grid[#Data],$DD191,83),0)</f>
        <v/>
      </c>
      <c r="CH191">
        <f>IFERROR(INDEX(PP_Grid[#Data],$DD191,84),0)</f>
        <v/>
      </c>
      <c r="CI191">
        <f>IFERROR(INDEX(PP_Grid[#Data],$DD191,85),0)</f>
        <v/>
      </c>
      <c r="CJ191">
        <f>IFERROR(INDEX(PP_Grid[#Data],$DD191,86),0)</f>
        <v/>
      </c>
      <c r="CK191">
        <f>IFERROR(INDEX(PP_Grid[#Data],$DD191,87),0)</f>
        <v/>
      </c>
      <c r="CL191">
        <f>IFERROR(INDEX(PP_Grid[#Data],$DD191,88),0)</f>
        <v/>
      </c>
      <c r="CM191">
        <f>IFERROR(INDEX(PP_Grid[#Data],$DD191,89),0)</f>
        <v/>
      </c>
      <c r="CN191">
        <f>IFERROR(INDEX(PP_Grid[#Data],$DD191,90),0)</f>
        <v/>
      </c>
      <c r="CO191">
        <f>IFERROR(INDEX(PP_Grid[#Data],$DD191,91),0)</f>
        <v/>
      </c>
      <c r="CP191">
        <f>IFERROR(INDEX(PP_Grid[#Data],$DD191,92),0)</f>
        <v/>
      </c>
      <c r="CQ191">
        <f>IFERROR(INDEX(PP_Grid[#Data],$DD191,93),0)</f>
        <v/>
      </c>
      <c r="CR191">
        <f>IFERROR(INDEX(PP_Grid[#Data],$DD191,94),0)</f>
        <v/>
      </c>
      <c r="CS191">
        <f>IFERROR(INDEX(PP_Grid[#Data],$DD191,95),0)</f>
        <v/>
      </c>
      <c r="CT191">
        <f>IFERROR(INDEX(PP_Grid[#Data],$DD191,96),0)</f>
        <v/>
      </c>
      <c r="CU191">
        <f>IFERROR(INDEX(PP_Grid[#Data],$DD191,97),0)</f>
        <v/>
      </c>
      <c r="CV191">
        <f>IFERROR(INDEX(PP_Grid[#Data],$DD191,98),0)</f>
        <v/>
      </c>
      <c r="CW191">
        <f>IFERROR(INDEX(PP_Grid[#Data],$DD191,99),0)</f>
        <v/>
      </c>
      <c r="CX191">
        <f>IFERROR(INDEX(PP_Grid[#Data],$DD191,100),0)</f>
        <v/>
      </c>
      <c r="CY191">
        <f>IFERROR(INDEX(PP_Grid[#Data],$DD191,101),0)</f>
        <v/>
      </c>
      <c r="CZ191">
        <f>IFERROR(INDEX(PP_Grid[#Data],$DD191,102),0)</f>
        <v/>
      </c>
      <c r="DA191">
        <f>IFERROR(INDEX(PP_Grid[#Data],$DD191,103),0)</f>
        <v/>
      </c>
      <c r="DB191">
        <f>IFERROR(INDEX(PP_Grid[#Data],$DD191,104),0)</f>
        <v/>
      </c>
      <c r="DC191">
        <f>IFERROR(INDEX(PP_Grid[#Data],$DD191,105),0)</f>
        <v/>
      </c>
      <c r="DD191" s="7">
        <f>IFERROR(MATCH($B191,PP_Grid[Intermediate],0),99999)</f>
        <v/>
      </c>
    </row>
    <row r="192">
      <c r="B192" t="inlineStr">
        <is>
          <t>使用量(kg)</t>
        </is>
      </c>
      <c r="C192">
        <f>SUMIFS(M_BOM[RM_Qty_Per_Batch],M_BOM[Intermediate],$B191,M_BOM[Part Name],$A44)</f>
        <v/>
      </c>
      <c r="D192">
        <f>$C192*D191</f>
        <v/>
      </c>
      <c r="E192">
        <f>$C192*E191</f>
        <v/>
      </c>
      <c r="F192">
        <f>$C192*F191</f>
        <v/>
      </c>
      <c r="G192">
        <f>$C192*G191</f>
        <v/>
      </c>
      <c r="H192">
        <f>$C192*H191</f>
        <v/>
      </c>
      <c r="I192">
        <f>$C192*I191</f>
        <v/>
      </c>
      <c r="J192">
        <f>$C192*J191</f>
        <v/>
      </c>
      <c r="K192">
        <f>$C192*K191</f>
        <v/>
      </c>
      <c r="L192">
        <f>$C192*L191</f>
        <v/>
      </c>
      <c r="M192">
        <f>$C192*M191</f>
        <v/>
      </c>
      <c r="N192">
        <f>$C192*N191</f>
        <v/>
      </c>
      <c r="O192">
        <f>$C192*O191</f>
        <v/>
      </c>
      <c r="P192">
        <f>$C192*P191</f>
        <v/>
      </c>
      <c r="Q192">
        <f>$C192*Q191</f>
        <v/>
      </c>
      <c r="R192">
        <f>$C192*R191</f>
        <v/>
      </c>
      <c r="S192">
        <f>$C192*S191</f>
        <v/>
      </c>
      <c r="T192">
        <f>$C192*T191</f>
        <v/>
      </c>
      <c r="U192">
        <f>$C192*U191</f>
        <v/>
      </c>
      <c r="V192">
        <f>$C192*V191</f>
        <v/>
      </c>
      <c r="W192">
        <f>$C192*W191</f>
        <v/>
      </c>
      <c r="X192">
        <f>$C192*X191</f>
        <v/>
      </c>
      <c r="Y192">
        <f>$C192*Y191</f>
        <v/>
      </c>
      <c r="Z192">
        <f>$C192*Z191</f>
        <v/>
      </c>
      <c r="AA192">
        <f>$C192*AA191</f>
        <v/>
      </c>
      <c r="AB192">
        <f>$C192*AB191</f>
        <v/>
      </c>
      <c r="AC192">
        <f>$C192*AC191</f>
        <v/>
      </c>
      <c r="AD192">
        <f>$C192*AD191</f>
        <v/>
      </c>
      <c r="AE192">
        <f>$C192*AE191</f>
        <v/>
      </c>
      <c r="AF192">
        <f>$C192*AF191</f>
        <v/>
      </c>
      <c r="AG192">
        <f>$C192*AG191</f>
        <v/>
      </c>
      <c r="AH192">
        <f>$C192*AH191</f>
        <v/>
      </c>
      <c r="AI192">
        <f>$C192*AI191</f>
        <v/>
      </c>
      <c r="AJ192">
        <f>$C192*AJ191</f>
        <v/>
      </c>
      <c r="AK192">
        <f>$C192*AK191</f>
        <v/>
      </c>
      <c r="AL192">
        <f>$C192*AL191</f>
        <v/>
      </c>
      <c r="AM192">
        <f>$C192*AM191</f>
        <v/>
      </c>
      <c r="AN192">
        <f>$C192*AN191</f>
        <v/>
      </c>
      <c r="AO192">
        <f>$C192*AO191</f>
        <v/>
      </c>
      <c r="AP192">
        <f>$C192*AP191</f>
        <v/>
      </c>
      <c r="AQ192">
        <f>$C192*AQ191</f>
        <v/>
      </c>
      <c r="AR192">
        <f>$C192*AR191</f>
        <v/>
      </c>
      <c r="AS192">
        <f>$C192*AS191</f>
        <v/>
      </c>
      <c r="AT192">
        <f>$C192*AT191</f>
        <v/>
      </c>
      <c r="AU192">
        <f>$C192*AU191</f>
        <v/>
      </c>
      <c r="AV192">
        <f>$C192*AV191</f>
        <v/>
      </c>
      <c r="AW192">
        <f>$C192*AW191</f>
        <v/>
      </c>
      <c r="AX192">
        <f>$C192*AX191</f>
        <v/>
      </c>
      <c r="AY192">
        <f>$C192*AY191</f>
        <v/>
      </c>
      <c r="AZ192">
        <f>$C192*AZ191</f>
        <v/>
      </c>
      <c r="BA192">
        <f>$C192*BA191</f>
        <v/>
      </c>
      <c r="BB192">
        <f>$C192*BB191</f>
        <v/>
      </c>
      <c r="BC192">
        <f>$C192*BC191</f>
        <v/>
      </c>
      <c r="BD192">
        <f>$C192*BD191</f>
        <v/>
      </c>
      <c r="BE192">
        <f>$C192*BE191</f>
        <v/>
      </c>
      <c r="BF192">
        <f>$C192*BF191</f>
        <v/>
      </c>
      <c r="BG192">
        <f>$C192*BG191</f>
        <v/>
      </c>
      <c r="BH192">
        <f>$C192*BH191</f>
        <v/>
      </c>
      <c r="BI192">
        <f>$C192*BI191</f>
        <v/>
      </c>
      <c r="BJ192">
        <f>$C192*BJ191</f>
        <v/>
      </c>
      <c r="BK192">
        <f>$C192*BK191</f>
        <v/>
      </c>
      <c r="BL192">
        <f>$C192*BL191</f>
        <v/>
      </c>
      <c r="BM192">
        <f>$C192*BM191</f>
        <v/>
      </c>
      <c r="BN192">
        <f>$C192*BN191</f>
        <v/>
      </c>
      <c r="BO192">
        <f>$C192*BO191</f>
        <v/>
      </c>
      <c r="BP192">
        <f>$C192*BP191</f>
        <v/>
      </c>
      <c r="BQ192">
        <f>$C192*BQ191</f>
        <v/>
      </c>
      <c r="BR192">
        <f>$C192*BR191</f>
        <v/>
      </c>
      <c r="BS192">
        <f>$C192*BS191</f>
        <v/>
      </c>
      <c r="BT192">
        <f>$C192*BT191</f>
        <v/>
      </c>
      <c r="BU192">
        <f>$C192*BU191</f>
        <v/>
      </c>
      <c r="BV192">
        <f>$C192*BV191</f>
        <v/>
      </c>
      <c r="BW192">
        <f>$C192*BW191</f>
        <v/>
      </c>
      <c r="BX192">
        <f>$C192*BX191</f>
        <v/>
      </c>
      <c r="BY192">
        <f>$C192*BY191</f>
        <v/>
      </c>
      <c r="BZ192">
        <f>$C192*BZ191</f>
        <v/>
      </c>
      <c r="CA192">
        <f>$C192*CA191</f>
        <v/>
      </c>
      <c r="CB192">
        <f>$C192*CB191</f>
        <v/>
      </c>
      <c r="CC192">
        <f>$C192*CC191</f>
        <v/>
      </c>
      <c r="CD192">
        <f>$C192*CD191</f>
        <v/>
      </c>
      <c r="CE192">
        <f>$C192*CE191</f>
        <v/>
      </c>
      <c r="CF192">
        <f>$C192*CF191</f>
        <v/>
      </c>
      <c r="CG192">
        <f>$C192*CG191</f>
        <v/>
      </c>
      <c r="CH192">
        <f>$C192*CH191</f>
        <v/>
      </c>
      <c r="CI192">
        <f>$C192*CI191</f>
        <v/>
      </c>
      <c r="CJ192">
        <f>$C192*CJ191</f>
        <v/>
      </c>
      <c r="CK192">
        <f>$C192*CK191</f>
        <v/>
      </c>
      <c r="CL192">
        <f>$C192*CL191</f>
        <v/>
      </c>
      <c r="CM192">
        <f>$C192*CM191</f>
        <v/>
      </c>
      <c r="CN192">
        <f>$C192*CN191</f>
        <v/>
      </c>
      <c r="CO192">
        <f>$C192*CO191</f>
        <v/>
      </c>
      <c r="CP192">
        <f>$C192*CP191</f>
        <v/>
      </c>
      <c r="CQ192">
        <f>$C192*CQ191</f>
        <v/>
      </c>
      <c r="CR192">
        <f>$C192*CR191</f>
        <v/>
      </c>
      <c r="CS192">
        <f>$C192*CS191</f>
        <v/>
      </c>
      <c r="CT192">
        <f>$C192*CT191</f>
        <v/>
      </c>
      <c r="CU192">
        <f>$C192*CU191</f>
        <v/>
      </c>
      <c r="CV192">
        <f>$C192*CV191</f>
        <v/>
      </c>
      <c r="CW192">
        <f>$C192*CW191</f>
        <v/>
      </c>
      <c r="CX192">
        <f>$C192*CX191</f>
        <v/>
      </c>
      <c r="CY192">
        <f>$C192*CY191</f>
        <v/>
      </c>
      <c r="CZ192">
        <f>$C192*CZ191</f>
        <v/>
      </c>
      <c r="DA192">
        <f>$C192*DA191</f>
        <v/>
      </c>
      <c r="DB192">
        <f>$C192*DB191</f>
        <v/>
      </c>
      <c r="DC192">
        <f>$C192*DC191</f>
        <v/>
      </c>
    </row>
    <row r="193">
      <c r="B193" t="inlineStr">
        <is>
          <t>VSP-869</t>
        </is>
      </c>
      <c r="C193" t="inlineStr">
        <is>
          <t>No. of batches</t>
        </is>
      </c>
      <c r="D193">
        <f>IFERROR(INDEX(PP_Grid[#Data],$DD193,2),0)</f>
        <v/>
      </c>
      <c r="E193">
        <f>IFERROR(INDEX(PP_Grid[#Data],$DD193,3),0)</f>
        <v/>
      </c>
      <c r="F193">
        <f>IFERROR(INDEX(PP_Grid[#Data],$DD193,4),0)</f>
        <v/>
      </c>
      <c r="G193">
        <f>IFERROR(INDEX(PP_Grid[#Data],$DD193,5),0)</f>
        <v/>
      </c>
      <c r="H193">
        <f>IFERROR(INDEX(PP_Grid[#Data],$DD193,6),0)</f>
        <v/>
      </c>
      <c r="I193">
        <f>IFERROR(INDEX(PP_Grid[#Data],$DD193,7),0)</f>
        <v/>
      </c>
      <c r="J193">
        <f>IFERROR(INDEX(PP_Grid[#Data],$DD193,8),0)</f>
        <v/>
      </c>
      <c r="K193">
        <f>IFERROR(INDEX(PP_Grid[#Data],$DD193,9),0)</f>
        <v/>
      </c>
      <c r="L193">
        <f>IFERROR(INDEX(PP_Grid[#Data],$DD193,10),0)</f>
        <v/>
      </c>
      <c r="M193">
        <f>IFERROR(INDEX(PP_Grid[#Data],$DD193,11),0)</f>
        <v/>
      </c>
      <c r="N193">
        <f>IFERROR(INDEX(PP_Grid[#Data],$DD193,12),0)</f>
        <v/>
      </c>
      <c r="O193">
        <f>IFERROR(INDEX(PP_Grid[#Data],$DD193,13),0)</f>
        <v/>
      </c>
      <c r="P193">
        <f>IFERROR(INDEX(PP_Grid[#Data],$DD193,14),0)</f>
        <v/>
      </c>
      <c r="Q193">
        <f>IFERROR(INDEX(PP_Grid[#Data],$DD193,15),0)</f>
        <v/>
      </c>
      <c r="R193">
        <f>IFERROR(INDEX(PP_Grid[#Data],$DD193,16),0)</f>
        <v/>
      </c>
      <c r="S193">
        <f>IFERROR(INDEX(PP_Grid[#Data],$DD193,17),0)</f>
        <v/>
      </c>
      <c r="T193">
        <f>IFERROR(INDEX(PP_Grid[#Data],$DD193,18),0)</f>
        <v/>
      </c>
      <c r="U193">
        <f>IFERROR(INDEX(PP_Grid[#Data],$DD193,19),0)</f>
        <v/>
      </c>
      <c r="V193">
        <f>IFERROR(INDEX(PP_Grid[#Data],$DD193,20),0)</f>
        <v/>
      </c>
      <c r="W193">
        <f>IFERROR(INDEX(PP_Grid[#Data],$DD193,21),0)</f>
        <v/>
      </c>
      <c r="X193">
        <f>IFERROR(INDEX(PP_Grid[#Data],$DD193,22),0)</f>
        <v/>
      </c>
      <c r="Y193">
        <f>IFERROR(INDEX(PP_Grid[#Data],$DD193,23),0)</f>
        <v/>
      </c>
      <c r="Z193">
        <f>IFERROR(INDEX(PP_Grid[#Data],$DD193,24),0)</f>
        <v/>
      </c>
      <c r="AA193">
        <f>IFERROR(INDEX(PP_Grid[#Data],$DD193,25),0)</f>
        <v/>
      </c>
      <c r="AB193">
        <f>IFERROR(INDEX(PP_Grid[#Data],$DD193,26),0)</f>
        <v/>
      </c>
      <c r="AC193">
        <f>IFERROR(INDEX(PP_Grid[#Data],$DD193,27),0)</f>
        <v/>
      </c>
      <c r="AD193">
        <f>IFERROR(INDEX(PP_Grid[#Data],$DD193,28),0)</f>
        <v/>
      </c>
      <c r="AE193">
        <f>IFERROR(INDEX(PP_Grid[#Data],$DD193,29),0)</f>
        <v/>
      </c>
      <c r="AF193">
        <f>IFERROR(INDEX(PP_Grid[#Data],$DD193,30),0)</f>
        <v/>
      </c>
      <c r="AG193">
        <f>IFERROR(INDEX(PP_Grid[#Data],$DD193,31),0)</f>
        <v/>
      </c>
      <c r="AH193">
        <f>IFERROR(INDEX(PP_Grid[#Data],$DD193,32),0)</f>
        <v/>
      </c>
      <c r="AI193">
        <f>IFERROR(INDEX(PP_Grid[#Data],$DD193,33),0)</f>
        <v/>
      </c>
      <c r="AJ193">
        <f>IFERROR(INDEX(PP_Grid[#Data],$DD193,34),0)</f>
        <v/>
      </c>
      <c r="AK193">
        <f>IFERROR(INDEX(PP_Grid[#Data],$DD193,35),0)</f>
        <v/>
      </c>
      <c r="AL193">
        <f>IFERROR(INDEX(PP_Grid[#Data],$DD193,36),0)</f>
        <v/>
      </c>
      <c r="AM193">
        <f>IFERROR(INDEX(PP_Grid[#Data],$DD193,37),0)</f>
        <v/>
      </c>
      <c r="AN193">
        <f>IFERROR(INDEX(PP_Grid[#Data],$DD193,38),0)</f>
        <v/>
      </c>
      <c r="AO193">
        <f>IFERROR(INDEX(PP_Grid[#Data],$DD193,39),0)</f>
        <v/>
      </c>
      <c r="AP193">
        <f>IFERROR(INDEX(PP_Grid[#Data],$DD193,40),0)</f>
        <v/>
      </c>
      <c r="AQ193">
        <f>IFERROR(INDEX(PP_Grid[#Data],$DD193,41),0)</f>
        <v/>
      </c>
      <c r="AR193">
        <f>IFERROR(INDEX(PP_Grid[#Data],$DD193,42),0)</f>
        <v/>
      </c>
      <c r="AS193">
        <f>IFERROR(INDEX(PP_Grid[#Data],$DD193,43),0)</f>
        <v/>
      </c>
      <c r="AT193">
        <f>IFERROR(INDEX(PP_Grid[#Data],$DD193,44),0)</f>
        <v/>
      </c>
      <c r="AU193">
        <f>IFERROR(INDEX(PP_Grid[#Data],$DD193,45),0)</f>
        <v/>
      </c>
      <c r="AV193">
        <f>IFERROR(INDEX(PP_Grid[#Data],$DD193,46),0)</f>
        <v/>
      </c>
      <c r="AW193">
        <f>IFERROR(INDEX(PP_Grid[#Data],$DD193,47),0)</f>
        <v/>
      </c>
      <c r="AX193">
        <f>IFERROR(INDEX(PP_Grid[#Data],$DD193,48),0)</f>
        <v/>
      </c>
      <c r="AY193">
        <f>IFERROR(INDEX(PP_Grid[#Data],$DD193,49),0)</f>
        <v/>
      </c>
      <c r="AZ193">
        <f>IFERROR(INDEX(PP_Grid[#Data],$DD193,50),0)</f>
        <v/>
      </c>
      <c r="BA193">
        <f>IFERROR(INDEX(PP_Grid[#Data],$DD193,51),0)</f>
        <v/>
      </c>
      <c r="BB193">
        <f>IFERROR(INDEX(PP_Grid[#Data],$DD193,52),0)</f>
        <v/>
      </c>
      <c r="BC193">
        <f>IFERROR(INDEX(PP_Grid[#Data],$DD193,53),0)</f>
        <v/>
      </c>
      <c r="BD193">
        <f>IFERROR(INDEX(PP_Grid[#Data],$DD193,54),0)</f>
        <v/>
      </c>
      <c r="BE193">
        <f>IFERROR(INDEX(PP_Grid[#Data],$DD193,55),0)</f>
        <v/>
      </c>
      <c r="BF193">
        <f>IFERROR(INDEX(PP_Grid[#Data],$DD193,56),0)</f>
        <v/>
      </c>
      <c r="BG193">
        <f>IFERROR(INDEX(PP_Grid[#Data],$DD193,57),0)</f>
        <v/>
      </c>
      <c r="BH193">
        <f>IFERROR(INDEX(PP_Grid[#Data],$DD193,58),0)</f>
        <v/>
      </c>
      <c r="BI193">
        <f>IFERROR(INDEX(PP_Grid[#Data],$DD193,59),0)</f>
        <v/>
      </c>
      <c r="BJ193">
        <f>IFERROR(INDEX(PP_Grid[#Data],$DD193,60),0)</f>
        <v/>
      </c>
      <c r="BK193">
        <f>IFERROR(INDEX(PP_Grid[#Data],$DD193,61),0)</f>
        <v/>
      </c>
      <c r="BL193">
        <f>IFERROR(INDEX(PP_Grid[#Data],$DD193,62),0)</f>
        <v/>
      </c>
      <c r="BM193">
        <f>IFERROR(INDEX(PP_Grid[#Data],$DD193,63),0)</f>
        <v/>
      </c>
      <c r="BN193">
        <f>IFERROR(INDEX(PP_Grid[#Data],$DD193,64),0)</f>
        <v/>
      </c>
      <c r="BO193">
        <f>IFERROR(INDEX(PP_Grid[#Data],$DD193,65),0)</f>
        <v/>
      </c>
      <c r="BP193">
        <f>IFERROR(INDEX(PP_Grid[#Data],$DD193,66),0)</f>
        <v/>
      </c>
      <c r="BQ193">
        <f>IFERROR(INDEX(PP_Grid[#Data],$DD193,67),0)</f>
        <v/>
      </c>
      <c r="BR193">
        <f>IFERROR(INDEX(PP_Grid[#Data],$DD193,68),0)</f>
        <v/>
      </c>
      <c r="BS193">
        <f>IFERROR(INDEX(PP_Grid[#Data],$DD193,69),0)</f>
        <v/>
      </c>
      <c r="BT193">
        <f>IFERROR(INDEX(PP_Grid[#Data],$DD193,70),0)</f>
        <v/>
      </c>
      <c r="BU193">
        <f>IFERROR(INDEX(PP_Grid[#Data],$DD193,71),0)</f>
        <v/>
      </c>
      <c r="BV193">
        <f>IFERROR(INDEX(PP_Grid[#Data],$DD193,72),0)</f>
        <v/>
      </c>
      <c r="BW193">
        <f>IFERROR(INDEX(PP_Grid[#Data],$DD193,73),0)</f>
        <v/>
      </c>
      <c r="BX193">
        <f>IFERROR(INDEX(PP_Grid[#Data],$DD193,74),0)</f>
        <v/>
      </c>
      <c r="BY193">
        <f>IFERROR(INDEX(PP_Grid[#Data],$DD193,75),0)</f>
        <v/>
      </c>
      <c r="BZ193">
        <f>IFERROR(INDEX(PP_Grid[#Data],$DD193,76),0)</f>
        <v/>
      </c>
      <c r="CA193">
        <f>IFERROR(INDEX(PP_Grid[#Data],$DD193,77),0)</f>
        <v/>
      </c>
      <c r="CB193">
        <f>IFERROR(INDEX(PP_Grid[#Data],$DD193,78),0)</f>
        <v/>
      </c>
      <c r="CC193">
        <f>IFERROR(INDEX(PP_Grid[#Data],$DD193,79),0)</f>
        <v/>
      </c>
      <c r="CD193">
        <f>IFERROR(INDEX(PP_Grid[#Data],$DD193,80),0)</f>
        <v/>
      </c>
      <c r="CE193">
        <f>IFERROR(INDEX(PP_Grid[#Data],$DD193,81),0)</f>
        <v/>
      </c>
      <c r="CF193">
        <f>IFERROR(INDEX(PP_Grid[#Data],$DD193,82),0)</f>
        <v/>
      </c>
      <c r="CG193">
        <f>IFERROR(INDEX(PP_Grid[#Data],$DD193,83),0)</f>
        <v/>
      </c>
      <c r="CH193">
        <f>IFERROR(INDEX(PP_Grid[#Data],$DD193,84),0)</f>
        <v/>
      </c>
      <c r="CI193">
        <f>IFERROR(INDEX(PP_Grid[#Data],$DD193,85),0)</f>
        <v/>
      </c>
      <c r="CJ193">
        <f>IFERROR(INDEX(PP_Grid[#Data],$DD193,86),0)</f>
        <v/>
      </c>
      <c r="CK193">
        <f>IFERROR(INDEX(PP_Grid[#Data],$DD193,87),0)</f>
        <v/>
      </c>
      <c r="CL193">
        <f>IFERROR(INDEX(PP_Grid[#Data],$DD193,88),0)</f>
        <v/>
      </c>
      <c r="CM193">
        <f>IFERROR(INDEX(PP_Grid[#Data],$DD193,89),0)</f>
        <v/>
      </c>
      <c r="CN193">
        <f>IFERROR(INDEX(PP_Grid[#Data],$DD193,90),0)</f>
        <v/>
      </c>
      <c r="CO193">
        <f>IFERROR(INDEX(PP_Grid[#Data],$DD193,91),0)</f>
        <v/>
      </c>
      <c r="CP193">
        <f>IFERROR(INDEX(PP_Grid[#Data],$DD193,92),0)</f>
        <v/>
      </c>
      <c r="CQ193">
        <f>IFERROR(INDEX(PP_Grid[#Data],$DD193,93),0)</f>
        <v/>
      </c>
      <c r="CR193">
        <f>IFERROR(INDEX(PP_Grid[#Data],$DD193,94),0)</f>
        <v/>
      </c>
      <c r="CS193">
        <f>IFERROR(INDEX(PP_Grid[#Data],$DD193,95),0)</f>
        <v/>
      </c>
      <c r="CT193">
        <f>IFERROR(INDEX(PP_Grid[#Data],$DD193,96),0)</f>
        <v/>
      </c>
      <c r="CU193">
        <f>IFERROR(INDEX(PP_Grid[#Data],$DD193,97),0)</f>
        <v/>
      </c>
      <c r="CV193">
        <f>IFERROR(INDEX(PP_Grid[#Data],$DD193,98),0)</f>
        <v/>
      </c>
      <c r="CW193">
        <f>IFERROR(INDEX(PP_Grid[#Data],$DD193,99),0)</f>
        <v/>
      </c>
      <c r="CX193">
        <f>IFERROR(INDEX(PP_Grid[#Data],$DD193,100),0)</f>
        <v/>
      </c>
      <c r="CY193">
        <f>IFERROR(INDEX(PP_Grid[#Data],$DD193,101),0)</f>
        <v/>
      </c>
      <c r="CZ193">
        <f>IFERROR(INDEX(PP_Grid[#Data],$DD193,102),0)</f>
        <v/>
      </c>
      <c r="DA193">
        <f>IFERROR(INDEX(PP_Grid[#Data],$DD193,103),0)</f>
        <v/>
      </c>
      <c r="DB193">
        <f>IFERROR(INDEX(PP_Grid[#Data],$DD193,104),0)</f>
        <v/>
      </c>
      <c r="DC193">
        <f>IFERROR(INDEX(PP_Grid[#Data],$DD193,105),0)</f>
        <v/>
      </c>
      <c r="DD193" s="7">
        <f>IFERROR(MATCH($B193,PP_Grid[Intermediate],0),99999)</f>
        <v/>
      </c>
    </row>
    <row r="194">
      <c r="B194" t="inlineStr">
        <is>
          <t>使用量(kg)</t>
        </is>
      </c>
      <c r="C194">
        <f>SUMIFS(M_BOM[RM_Qty_Per_Batch],M_BOM[Intermediate],$B193,M_BOM[Part Name],$A44)</f>
        <v/>
      </c>
      <c r="D194">
        <f>$C194*D193</f>
        <v/>
      </c>
      <c r="E194">
        <f>$C194*E193</f>
        <v/>
      </c>
      <c r="F194">
        <f>$C194*F193</f>
        <v/>
      </c>
      <c r="G194">
        <f>$C194*G193</f>
        <v/>
      </c>
      <c r="H194">
        <f>$C194*H193</f>
        <v/>
      </c>
      <c r="I194">
        <f>$C194*I193</f>
        <v/>
      </c>
      <c r="J194">
        <f>$C194*J193</f>
        <v/>
      </c>
      <c r="K194">
        <f>$C194*K193</f>
        <v/>
      </c>
      <c r="L194">
        <f>$C194*L193</f>
        <v/>
      </c>
      <c r="M194">
        <f>$C194*M193</f>
        <v/>
      </c>
      <c r="N194">
        <f>$C194*N193</f>
        <v/>
      </c>
      <c r="O194">
        <f>$C194*O193</f>
        <v/>
      </c>
      <c r="P194">
        <f>$C194*P193</f>
        <v/>
      </c>
      <c r="Q194">
        <f>$C194*Q193</f>
        <v/>
      </c>
      <c r="R194">
        <f>$C194*R193</f>
        <v/>
      </c>
      <c r="S194">
        <f>$C194*S193</f>
        <v/>
      </c>
      <c r="T194">
        <f>$C194*T193</f>
        <v/>
      </c>
      <c r="U194">
        <f>$C194*U193</f>
        <v/>
      </c>
      <c r="V194">
        <f>$C194*V193</f>
        <v/>
      </c>
      <c r="W194">
        <f>$C194*W193</f>
        <v/>
      </c>
      <c r="X194">
        <f>$C194*X193</f>
        <v/>
      </c>
      <c r="Y194">
        <f>$C194*Y193</f>
        <v/>
      </c>
      <c r="Z194">
        <f>$C194*Z193</f>
        <v/>
      </c>
      <c r="AA194">
        <f>$C194*AA193</f>
        <v/>
      </c>
      <c r="AB194">
        <f>$C194*AB193</f>
        <v/>
      </c>
      <c r="AC194">
        <f>$C194*AC193</f>
        <v/>
      </c>
      <c r="AD194">
        <f>$C194*AD193</f>
        <v/>
      </c>
      <c r="AE194">
        <f>$C194*AE193</f>
        <v/>
      </c>
      <c r="AF194">
        <f>$C194*AF193</f>
        <v/>
      </c>
      <c r="AG194">
        <f>$C194*AG193</f>
        <v/>
      </c>
      <c r="AH194">
        <f>$C194*AH193</f>
        <v/>
      </c>
      <c r="AI194">
        <f>$C194*AI193</f>
        <v/>
      </c>
      <c r="AJ194">
        <f>$C194*AJ193</f>
        <v/>
      </c>
      <c r="AK194">
        <f>$C194*AK193</f>
        <v/>
      </c>
      <c r="AL194">
        <f>$C194*AL193</f>
        <v/>
      </c>
      <c r="AM194">
        <f>$C194*AM193</f>
        <v/>
      </c>
      <c r="AN194">
        <f>$C194*AN193</f>
        <v/>
      </c>
      <c r="AO194">
        <f>$C194*AO193</f>
        <v/>
      </c>
      <c r="AP194">
        <f>$C194*AP193</f>
        <v/>
      </c>
      <c r="AQ194">
        <f>$C194*AQ193</f>
        <v/>
      </c>
      <c r="AR194">
        <f>$C194*AR193</f>
        <v/>
      </c>
      <c r="AS194">
        <f>$C194*AS193</f>
        <v/>
      </c>
      <c r="AT194">
        <f>$C194*AT193</f>
        <v/>
      </c>
      <c r="AU194">
        <f>$C194*AU193</f>
        <v/>
      </c>
      <c r="AV194">
        <f>$C194*AV193</f>
        <v/>
      </c>
      <c r="AW194">
        <f>$C194*AW193</f>
        <v/>
      </c>
      <c r="AX194">
        <f>$C194*AX193</f>
        <v/>
      </c>
      <c r="AY194">
        <f>$C194*AY193</f>
        <v/>
      </c>
      <c r="AZ194">
        <f>$C194*AZ193</f>
        <v/>
      </c>
      <c r="BA194">
        <f>$C194*BA193</f>
        <v/>
      </c>
      <c r="BB194">
        <f>$C194*BB193</f>
        <v/>
      </c>
      <c r="BC194">
        <f>$C194*BC193</f>
        <v/>
      </c>
      <c r="BD194">
        <f>$C194*BD193</f>
        <v/>
      </c>
      <c r="BE194">
        <f>$C194*BE193</f>
        <v/>
      </c>
      <c r="BF194">
        <f>$C194*BF193</f>
        <v/>
      </c>
      <c r="BG194">
        <f>$C194*BG193</f>
        <v/>
      </c>
      <c r="BH194">
        <f>$C194*BH193</f>
        <v/>
      </c>
      <c r="BI194">
        <f>$C194*BI193</f>
        <v/>
      </c>
      <c r="BJ194">
        <f>$C194*BJ193</f>
        <v/>
      </c>
      <c r="BK194">
        <f>$C194*BK193</f>
        <v/>
      </c>
      <c r="BL194">
        <f>$C194*BL193</f>
        <v/>
      </c>
      <c r="BM194">
        <f>$C194*BM193</f>
        <v/>
      </c>
      <c r="BN194">
        <f>$C194*BN193</f>
        <v/>
      </c>
      <c r="BO194">
        <f>$C194*BO193</f>
        <v/>
      </c>
      <c r="BP194">
        <f>$C194*BP193</f>
        <v/>
      </c>
      <c r="BQ194">
        <f>$C194*BQ193</f>
        <v/>
      </c>
      <c r="BR194">
        <f>$C194*BR193</f>
        <v/>
      </c>
      <c r="BS194">
        <f>$C194*BS193</f>
        <v/>
      </c>
      <c r="BT194">
        <f>$C194*BT193</f>
        <v/>
      </c>
      <c r="BU194">
        <f>$C194*BU193</f>
        <v/>
      </c>
      <c r="BV194">
        <f>$C194*BV193</f>
        <v/>
      </c>
      <c r="BW194">
        <f>$C194*BW193</f>
        <v/>
      </c>
      <c r="BX194">
        <f>$C194*BX193</f>
        <v/>
      </c>
      <c r="BY194">
        <f>$C194*BY193</f>
        <v/>
      </c>
      <c r="BZ194">
        <f>$C194*BZ193</f>
        <v/>
      </c>
      <c r="CA194">
        <f>$C194*CA193</f>
        <v/>
      </c>
      <c r="CB194">
        <f>$C194*CB193</f>
        <v/>
      </c>
      <c r="CC194">
        <f>$C194*CC193</f>
        <v/>
      </c>
      <c r="CD194">
        <f>$C194*CD193</f>
        <v/>
      </c>
      <c r="CE194">
        <f>$C194*CE193</f>
        <v/>
      </c>
      <c r="CF194">
        <f>$C194*CF193</f>
        <v/>
      </c>
      <c r="CG194">
        <f>$C194*CG193</f>
        <v/>
      </c>
      <c r="CH194">
        <f>$C194*CH193</f>
        <v/>
      </c>
      <c r="CI194">
        <f>$C194*CI193</f>
        <v/>
      </c>
      <c r="CJ194">
        <f>$C194*CJ193</f>
        <v/>
      </c>
      <c r="CK194">
        <f>$C194*CK193</f>
        <v/>
      </c>
      <c r="CL194">
        <f>$C194*CL193</f>
        <v/>
      </c>
      <c r="CM194">
        <f>$C194*CM193</f>
        <v/>
      </c>
      <c r="CN194">
        <f>$C194*CN193</f>
        <v/>
      </c>
      <c r="CO194">
        <f>$C194*CO193</f>
        <v/>
      </c>
      <c r="CP194">
        <f>$C194*CP193</f>
        <v/>
      </c>
      <c r="CQ194">
        <f>$C194*CQ193</f>
        <v/>
      </c>
      <c r="CR194">
        <f>$C194*CR193</f>
        <v/>
      </c>
      <c r="CS194">
        <f>$C194*CS193</f>
        <v/>
      </c>
      <c r="CT194">
        <f>$C194*CT193</f>
        <v/>
      </c>
      <c r="CU194">
        <f>$C194*CU193</f>
        <v/>
      </c>
      <c r="CV194">
        <f>$C194*CV193</f>
        <v/>
      </c>
      <c r="CW194">
        <f>$C194*CW193</f>
        <v/>
      </c>
      <c r="CX194">
        <f>$C194*CX193</f>
        <v/>
      </c>
      <c r="CY194">
        <f>$C194*CY193</f>
        <v/>
      </c>
      <c r="CZ194">
        <f>$C194*CZ193</f>
        <v/>
      </c>
      <c r="DA194">
        <f>$C194*DA193</f>
        <v/>
      </c>
      <c r="DB194">
        <f>$C194*DB193</f>
        <v/>
      </c>
      <c r="DC194">
        <f>$C194*DC193</f>
        <v/>
      </c>
    </row>
    <row r="195">
      <c r="B195" t="inlineStr">
        <is>
          <t>VSP-870</t>
        </is>
      </c>
      <c r="C195" t="inlineStr">
        <is>
          <t>No. of batches</t>
        </is>
      </c>
      <c r="D195">
        <f>IFERROR(INDEX(PP_Grid[#Data],$DD195,2),0)</f>
        <v/>
      </c>
      <c r="E195">
        <f>IFERROR(INDEX(PP_Grid[#Data],$DD195,3),0)</f>
        <v/>
      </c>
      <c r="F195">
        <f>IFERROR(INDEX(PP_Grid[#Data],$DD195,4),0)</f>
        <v/>
      </c>
      <c r="G195">
        <f>IFERROR(INDEX(PP_Grid[#Data],$DD195,5),0)</f>
        <v/>
      </c>
      <c r="H195">
        <f>IFERROR(INDEX(PP_Grid[#Data],$DD195,6),0)</f>
        <v/>
      </c>
      <c r="I195">
        <f>IFERROR(INDEX(PP_Grid[#Data],$DD195,7),0)</f>
        <v/>
      </c>
      <c r="J195">
        <f>IFERROR(INDEX(PP_Grid[#Data],$DD195,8),0)</f>
        <v/>
      </c>
      <c r="K195">
        <f>IFERROR(INDEX(PP_Grid[#Data],$DD195,9),0)</f>
        <v/>
      </c>
      <c r="L195">
        <f>IFERROR(INDEX(PP_Grid[#Data],$DD195,10),0)</f>
        <v/>
      </c>
      <c r="M195">
        <f>IFERROR(INDEX(PP_Grid[#Data],$DD195,11),0)</f>
        <v/>
      </c>
      <c r="N195">
        <f>IFERROR(INDEX(PP_Grid[#Data],$DD195,12),0)</f>
        <v/>
      </c>
      <c r="O195">
        <f>IFERROR(INDEX(PP_Grid[#Data],$DD195,13),0)</f>
        <v/>
      </c>
      <c r="P195">
        <f>IFERROR(INDEX(PP_Grid[#Data],$DD195,14),0)</f>
        <v/>
      </c>
      <c r="Q195">
        <f>IFERROR(INDEX(PP_Grid[#Data],$DD195,15),0)</f>
        <v/>
      </c>
      <c r="R195">
        <f>IFERROR(INDEX(PP_Grid[#Data],$DD195,16),0)</f>
        <v/>
      </c>
      <c r="S195">
        <f>IFERROR(INDEX(PP_Grid[#Data],$DD195,17),0)</f>
        <v/>
      </c>
      <c r="T195">
        <f>IFERROR(INDEX(PP_Grid[#Data],$DD195,18),0)</f>
        <v/>
      </c>
      <c r="U195">
        <f>IFERROR(INDEX(PP_Grid[#Data],$DD195,19),0)</f>
        <v/>
      </c>
      <c r="V195">
        <f>IFERROR(INDEX(PP_Grid[#Data],$DD195,20),0)</f>
        <v/>
      </c>
      <c r="W195">
        <f>IFERROR(INDEX(PP_Grid[#Data],$DD195,21),0)</f>
        <v/>
      </c>
      <c r="X195">
        <f>IFERROR(INDEX(PP_Grid[#Data],$DD195,22),0)</f>
        <v/>
      </c>
      <c r="Y195">
        <f>IFERROR(INDEX(PP_Grid[#Data],$DD195,23),0)</f>
        <v/>
      </c>
      <c r="Z195">
        <f>IFERROR(INDEX(PP_Grid[#Data],$DD195,24),0)</f>
        <v/>
      </c>
      <c r="AA195">
        <f>IFERROR(INDEX(PP_Grid[#Data],$DD195,25),0)</f>
        <v/>
      </c>
      <c r="AB195">
        <f>IFERROR(INDEX(PP_Grid[#Data],$DD195,26),0)</f>
        <v/>
      </c>
      <c r="AC195">
        <f>IFERROR(INDEX(PP_Grid[#Data],$DD195,27),0)</f>
        <v/>
      </c>
      <c r="AD195">
        <f>IFERROR(INDEX(PP_Grid[#Data],$DD195,28),0)</f>
        <v/>
      </c>
      <c r="AE195">
        <f>IFERROR(INDEX(PP_Grid[#Data],$DD195,29),0)</f>
        <v/>
      </c>
      <c r="AF195">
        <f>IFERROR(INDEX(PP_Grid[#Data],$DD195,30),0)</f>
        <v/>
      </c>
      <c r="AG195">
        <f>IFERROR(INDEX(PP_Grid[#Data],$DD195,31),0)</f>
        <v/>
      </c>
      <c r="AH195">
        <f>IFERROR(INDEX(PP_Grid[#Data],$DD195,32),0)</f>
        <v/>
      </c>
      <c r="AI195">
        <f>IFERROR(INDEX(PP_Grid[#Data],$DD195,33),0)</f>
        <v/>
      </c>
      <c r="AJ195">
        <f>IFERROR(INDEX(PP_Grid[#Data],$DD195,34),0)</f>
        <v/>
      </c>
      <c r="AK195">
        <f>IFERROR(INDEX(PP_Grid[#Data],$DD195,35),0)</f>
        <v/>
      </c>
      <c r="AL195">
        <f>IFERROR(INDEX(PP_Grid[#Data],$DD195,36),0)</f>
        <v/>
      </c>
      <c r="AM195">
        <f>IFERROR(INDEX(PP_Grid[#Data],$DD195,37),0)</f>
        <v/>
      </c>
      <c r="AN195">
        <f>IFERROR(INDEX(PP_Grid[#Data],$DD195,38),0)</f>
        <v/>
      </c>
      <c r="AO195">
        <f>IFERROR(INDEX(PP_Grid[#Data],$DD195,39),0)</f>
        <v/>
      </c>
      <c r="AP195">
        <f>IFERROR(INDEX(PP_Grid[#Data],$DD195,40),0)</f>
        <v/>
      </c>
      <c r="AQ195">
        <f>IFERROR(INDEX(PP_Grid[#Data],$DD195,41),0)</f>
        <v/>
      </c>
      <c r="AR195">
        <f>IFERROR(INDEX(PP_Grid[#Data],$DD195,42),0)</f>
        <v/>
      </c>
      <c r="AS195">
        <f>IFERROR(INDEX(PP_Grid[#Data],$DD195,43),0)</f>
        <v/>
      </c>
      <c r="AT195">
        <f>IFERROR(INDEX(PP_Grid[#Data],$DD195,44),0)</f>
        <v/>
      </c>
      <c r="AU195">
        <f>IFERROR(INDEX(PP_Grid[#Data],$DD195,45),0)</f>
        <v/>
      </c>
      <c r="AV195">
        <f>IFERROR(INDEX(PP_Grid[#Data],$DD195,46),0)</f>
        <v/>
      </c>
      <c r="AW195">
        <f>IFERROR(INDEX(PP_Grid[#Data],$DD195,47),0)</f>
        <v/>
      </c>
      <c r="AX195">
        <f>IFERROR(INDEX(PP_Grid[#Data],$DD195,48),0)</f>
        <v/>
      </c>
      <c r="AY195">
        <f>IFERROR(INDEX(PP_Grid[#Data],$DD195,49),0)</f>
        <v/>
      </c>
      <c r="AZ195">
        <f>IFERROR(INDEX(PP_Grid[#Data],$DD195,50),0)</f>
        <v/>
      </c>
      <c r="BA195">
        <f>IFERROR(INDEX(PP_Grid[#Data],$DD195,51),0)</f>
        <v/>
      </c>
      <c r="BB195">
        <f>IFERROR(INDEX(PP_Grid[#Data],$DD195,52),0)</f>
        <v/>
      </c>
      <c r="BC195">
        <f>IFERROR(INDEX(PP_Grid[#Data],$DD195,53),0)</f>
        <v/>
      </c>
      <c r="BD195">
        <f>IFERROR(INDEX(PP_Grid[#Data],$DD195,54),0)</f>
        <v/>
      </c>
      <c r="BE195">
        <f>IFERROR(INDEX(PP_Grid[#Data],$DD195,55),0)</f>
        <v/>
      </c>
      <c r="BF195">
        <f>IFERROR(INDEX(PP_Grid[#Data],$DD195,56),0)</f>
        <v/>
      </c>
      <c r="BG195">
        <f>IFERROR(INDEX(PP_Grid[#Data],$DD195,57),0)</f>
        <v/>
      </c>
      <c r="BH195">
        <f>IFERROR(INDEX(PP_Grid[#Data],$DD195,58),0)</f>
        <v/>
      </c>
      <c r="BI195">
        <f>IFERROR(INDEX(PP_Grid[#Data],$DD195,59),0)</f>
        <v/>
      </c>
      <c r="BJ195">
        <f>IFERROR(INDEX(PP_Grid[#Data],$DD195,60),0)</f>
        <v/>
      </c>
      <c r="BK195">
        <f>IFERROR(INDEX(PP_Grid[#Data],$DD195,61),0)</f>
        <v/>
      </c>
      <c r="BL195">
        <f>IFERROR(INDEX(PP_Grid[#Data],$DD195,62),0)</f>
        <v/>
      </c>
      <c r="BM195">
        <f>IFERROR(INDEX(PP_Grid[#Data],$DD195,63),0)</f>
        <v/>
      </c>
      <c r="BN195">
        <f>IFERROR(INDEX(PP_Grid[#Data],$DD195,64),0)</f>
        <v/>
      </c>
      <c r="BO195">
        <f>IFERROR(INDEX(PP_Grid[#Data],$DD195,65),0)</f>
        <v/>
      </c>
      <c r="BP195">
        <f>IFERROR(INDEX(PP_Grid[#Data],$DD195,66),0)</f>
        <v/>
      </c>
      <c r="BQ195">
        <f>IFERROR(INDEX(PP_Grid[#Data],$DD195,67),0)</f>
        <v/>
      </c>
      <c r="BR195">
        <f>IFERROR(INDEX(PP_Grid[#Data],$DD195,68),0)</f>
        <v/>
      </c>
      <c r="BS195">
        <f>IFERROR(INDEX(PP_Grid[#Data],$DD195,69),0)</f>
        <v/>
      </c>
      <c r="BT195">
        <f>IFERROR(INDEX(PP_Grid[#Data],$DD195,70),0)</f>
        <v/>
      </c>
      <c r="BU195">
        <f>IFERROR(INDEX(PP_Grid[#Data],$DD195,71),0)</f>
        <v/>
      </c>
      <c r="BV195">
        <f>IFERROR(INDEX(PP_Grid[#Data],$DD195,72),0)</f>
        <v/>
      </c>
      <c r="BW195">
        <f>IFERROR(INDEX(PP_Grid[#Data],$DD195,73),0)</f>
        <v/>
      </c>
      <c r="BX195">
        <f>IFERROR(INDEX(PP_Grid[#Data],$DD195,74),0)</f>
        <v/>
      </c>
      <c r="BY195">
        <f>IFERROR(INDEX(PP_Grid[#Data],$DD195,75),0)</f>
        <v/>
      </c>
      <c r="BZ195">
        <f>IFERROR(INDEX(PP_Grid[#Data],$DD195,76),0)</f>
        <v/>
      </c>
      <c r="CA195">
        <f>IFERROR(INDEX(PP_Grid[#Data],$DD195,77),0)</f>
        <v/>
      </c>
      <c r="CB195">
        <f>IFERROR(INDEX(PP_Grid[#Data],$DD195,78),0)</f>
        <v/>
      </c>
      <c r="CC195">
        <f>IFERROR(INDEX(PP_Grid[#Data],$DD195,79),0)</f>
        <v/>
      </c>
      <c r="CD195">
        <f>IFERROR(INDEX(PP_Grid[#Data],$DD195,80),0)</f>
        <v/>
      </c>
      <c r="CE195">
        <f>IFERROR(INDEX(PP_Grid[#Data],$DD195,81),0)</f>
        <v/>
      </c>
      <c r="CF195">
        <f>IFERROR(INDEX(PP_Grid[#Data],$DD195,82),0)</f>
        <v/>
      </c>
      <c r="CG195">
        <f>IFERROR(INDEX(PP_Grid[#Data],$DD195,83),0)</f>
        <v/>
      </c>
      <c r="CH195">
        <f>IFERROR(INDEX(PP_Grid[#Data],$DD195,84),0)</f>
        <v/>
      </c>
      <c r="CI195">
        <f>IFERROR(INDEX(PP_Grid[#Data],$DD195,85),0)</f>
        <v/>
      </c>
      <c r="CJ195">
        <f>IFERROR(INDEX(PP_Grid[#Data],$DD195,86),0)</f>
        <v/>
      </c>
      <c r="CK195">
        <f>IFERROR(INDEX(PP_Grid[#Data],$DD195,87),0)</f>
        <v/>
      </c>
      <c r="CL195">
        <f>IFERROR(INDEX(PP_Grid[#Data],$DD195,88),0)</f>
        <v/>
      </c>
      <c r="CM195">
        <f>IFERROR(INDEX(PP_Grid[#Data],$DD195,89),0)</f>
        <v/>
      </c>
      <c r="CN195">
        <f>IFERROR(INDEX(PP_Grid[#Data],$DD195,90),0)</f>
        <v/>
      </c>
      <c r="CO195">
        <f>IFERROR(INDEX(PP_Grid[#Data],$DD195,91),0)</f>
        <v/>
      </c>
      <c r="CP195">
        <f>IFERROR(INDEX(PP_Grid[#Data],$DD195,92),0)</f>
        <v/>
      </c>
      <c r="CQ195">
        <f>IFERROR(INDEX(PP_Grid[#Data],$DD195,93),0)</f>
        <v/>
      </c>
      <c r="CR195">
        <f>IFERROR(INDEX(PP_Grid[#Data],$DD195,94),0)</f>
        <v/>
      </c>
      <c r="CS195">
        <f>IFERROR(INDEX(PP_Grid[#Data],$DD195,95),0)</f>
        <v/>
      </c>
      <c r="CT195">
        <f>IFERROR(INDEX(PP_Grid[#Data],$DD195,96),0)</f>
        <v/>
      </c>
      <c r="CU195">
        <f>IFERROR(INDEX(PP_Grid[#Data],$DD195,97),0)</f>
        <v/>
      </c>
      <c r="CV195">
        <f>IFERROR(INDEX(PP_Grid[#Data],$DD195,98),0)</f>
        <v/>
      </c>
      <c r="CW195">
        <f>IFERROR(INDEX(PP_Grid[#Data],$DD195,99),0)</f>
        <v/>
      </c>
      <c r="CX195">
        <f>IFERROR(INDEX(PP_Grid[#Data],$DD195,100),0)</f>
        <v/>
      </c>
      <c r="CY195">
        <f>IFERROR(INDEX(PP_Grid[#Data],$DD195,101),0)</f>
        <v/>
      </c>
      <c r="CZ195">
        <f>IFERROR(INDEX(PP_Grid[#Data],$DD195,102),0)</f>
        <v/>
      </c>
      <c r="DA195">
        <f>IFERROR(INDEX(PP_Grid[#Data],$DD195,103),0)</f>
        <v/>
      </c>
      <c r="DB195">
        <f>IFERROR(INDEX(PP_Grid[#Data],$DD195,104),0)</f>
        <v/>
      </c>
      <c r="DC195">
        <f>IFERROR(INDEX(PP_Grid[#Data],$DD195,105),0)</f>
        <v/>
      </c>
      <c r="DD195" s="7">
        <f>IFERROR(MATCH($B195,PP_Grid[Intermediate],0),99999)</f>
        <v/>
      </c>
    </row>
    <row r="196">
      <c r="B196" t="inlineStr">
        <is>
          <t>使用量(kg)</t>
        </is>
      </c>
      <c r="C196">
        <f>SUMIFS(M_BOM[RM_Qty_Per_Batch],M_BOM[Intermediate],$B195,M_BOM[Part Name],$A44)</f>
        <v/>
      </c>
      <c r="D196">
        <f>$C196*D195</f>
        <v/>
      </c>
      <c r="E196">
        <f>$C196*E195</f>
        <v/>
      </c>
      <c r="F196">
        <f>$C196*F195</f>
        <v/>
      </c>
      <c r="G196">
        <f>$C196*G195</f>
        <v/>
      </c>
      <c r="H196">
        <f>$C196*H195</f>
        <v/>
      </c>
      <c r="I196">
        <f>$C196*I195</f>
        <v/>
      </c>
      <c r="J196">
        <f>$C196*J195</f>
        <v/>
      </c>
      <c r="K196">
        <f>$C196*K195</f>
        <v/>
      </c>
      <c r="L196">
        <f>$C196*L195</f>
        <v/>
      </c>
      <c r="M196">
        <f>$C196*M195</f>
        <v/>
      </c>
      <c r="N196">
        <f>$C196*N195</f>
        <v/>
      </c>
      <c r="O196">
        <f>$C196*O195</f>
        <v/>
      </c>
      <c r="P196">
        <f>$C196*P195</f>
        <v/>
      </c>
      <c r="Q196">
        <f>$C196*Q195</f>
        <v/>
      </c>
      <c r="R196">
        <f>$C196*R195</f>
        <v/>
      </c>
      <c r="S196">
        <f>$C196*S195</f>
        <v/>
      </c>
      <c r="T196">
        <f>$C196*T195</f>
        <v/>
      </c>
      <c r="U196">
        <f>$C196*U195</f>
        <v/>
      </c>
      <c r="V196">
        <f>$C196*V195</f>
        <v/>
      </c>
      <c r="W196">
        <f>$C196*W195</f>
        <v/>
      </c>
      <c r="X196">
        <f>$C196*X195</f>
        <v/>
      </c>
      <c r="Y196">
        <f>$C196*Y195</f>
        <v/>
      </c>
      <c r="Z196">
        <f>$C196*Z195</f>
        <v/>
      </c>
      <c r="AA196">
        <f>$C196*AA195</f>
        <v/>
      </c>
      <c r="AB196">
        <f>$C196*AB195</f>
        <v/>
      </c>
      <c r="AC196">
        <f>$C196*AC195</f>
        <v/>
      </c>
      <c r="AD196">
        <f>$C196*AD195</f>
        <v/>
      </c>
      <c r="AE196">
        <f>$C196*AE195</f>
        <v/>
      </c>
      <c r="AF196">
        <f>$C196*AF195</f>
        <v/>
      </c>
      <c r="AG196">
        <f>$C196*AG195</f>
        <v/>
      </c>
      <c r="AH196">
        <f>$C196*AH195</f>
        <v/>
      </c>
      <c r="AI196">
        <f>$C196*AI195</f>
        <v/>
      </c>
      <c r="AJ196">
        <f>$C196*AJ195</f>
        <v/>
      </c>
      <c r="AK196">
        <f>$C196*AK195</f>
        <v/>
      </c>
      <c r="AL196">
        <f>$C196*AL195</f>
        <v/>
      </c>
      <c r="AM196">
        <f>$C196*AM195</f>
        <v/>
      </c>
      <c r="AN196">
        <f>$C196*AN195</f>
        <v/>
      </c>
      <c r="AO196">
        <f>$C196*AO195</f>
        <v/>
      </c>
      <c r="AP196">
        <f>$C196*AP195</f>
        <v/>
      </c>
      <c r="AQ196">
        <f>$C196*AQ195</f>
        <v/>
      </c>
      <c r="AR196">
        <f>$C196*AR195</f>
        <v/>
      </c>
      <c r="AS196">
        <f>$C196*AS195</f>
        <v/>
      </c>
      <c r="AT196">
        <f>$C196*AT195</f>
        <v/>
      </c>
      <c r="AU196">
        <f>$C196*AU195</f>
        <v/>
      </c>
      <c r="AV196">
        <f>$C196*AV195</f>
        <v/>
      </c>
      <c r="AW196">
        <f>$C196*AW195</f>
        <v/>
      </c>
      <c r="AX196">
        <f>$C196*AX195</f>
        <v/>
      </c>
      <c r="AY196">
        <f>$C196*AY195</f>
        <v/>
      </c>
      <c r="AZ196">
        <f>$C196*AZ195</f>
        <v/>
      </c>
      <c r="BA196">
        <f>$C196*BA195</f>
        <v/>
      </c>
      <c r="BB196">
        <f>$C196*BB195</f>
        <v/>
      </c>
      <c r="BC196">
        <f>$C196*BC195</f>
        <v/>
      </c>
      <c r="BD196">
        <f>$C196*BD195</f>
        <v/>
      </c>
      <c r="BE196">
        <f>$C196*BE195</f>
        <v/>
      </c>
      <c r="BF196">
        <f>$C196*BF195</f>
        <v/>
      </c>
      <c r="BG196">
        <f>$C196*BG195</f>
        <v/>
      </c>
      <c r="BH196">
        <f>$C196*BH195</f>
        <v/>
      </c>
      <c r="BI196">
        <f>$C196*BI195</f>
        <v/>
      </c>
      <c r="BJ196">
        <f>$C196*BJ195</f>
        <v/>
      </c>
      <c r="BK196">
        <f>$C196*BK195</f>
        <v/>
      </c>
      <c r="BL196">
        <f>$C196*BL195</f>
        <v/>
      </c>
      <c r="BM196">
        <f>$C196*BM195</f>
        <v/>
      </c>
      <c r="BN196">
        <f>$C196*BN195</f>
        <v/>
      </c>
      <c r="BO196">
        <f>$C196*BO195</f>
        <v/>
      </c>
      <c r="BP196">
        <f>$C196*BP195</f>
        <v/>
      </c>
      <c r="BQ196">
        <f>$C196*BQ195</f>
        <v/>
      </c>
      <c r="BR196">
        <f>$C196*BR195</f>
        <v/>
      </c>
      <c r="BS196">
        <f>$C196*BS195</f>
        <v/>
      </c>
      <c r="BT196">
        <f>$C196*BT195</f>
        <v/>
      </c>
      <c r="BU196">
        <f>$C196*BU195</f>
        <v/>
      </c>
      <c r="BV196">
        <f>$C196*BV195</f>
        <v/>
      </c>
      <c r="BW196">
        <f>$C196*BW195</f>
        <v/>
      </c>
      <c r="BX196">
        <f>$C196*BX195</f>
        <v/>
      </c>
      <c r="BY196">
        <f>$C196*BY195</f>
        <v/>
      </c>
      <c r="BZ196">
        <f>$C196*BZ195</f>
        <v/>
      </c>
      <c r="CA196">
        <f>$C196*CA195</f>
        <v/>
      </c>
      <c r="CB196">
        <f>$C196*CB195</f>
        <v/>
      </c>
      <c r="CC196">
        <f>$C196*CC195</f>
        <v/>
      </c>
      <c r="CD196">
        <f>$C196*CD195</f>
        <v/>
      </c>
      <c r="CE196">
        <f>$C196*CE195</f>
        <v/>
      </c>
      <c r="CF196">
        <f>$C196*CF195</f>
        <v/>
      </c>
      <c r="CG196">
        <f>$C196*CG195</f>
        <v/>
      </c>
      <c r="CH196">
        <f>$C196*CH195</f>
        <v/>
      </c>
      <c r="CI196">
        <f>$C196*CI195</f>
        <v/>
      </c>
      <c r="CJ196">
        <f>$C196*CJ195</f>
        <v/>
      </c>
      <c r="CK196">
        <f>$C196*CK195</f>
        <v/>
      </c>
      <c r="CL196">
        <f>$C196*CL195</f>
        <v/>
      </c>
      <c r="CM196">
        <f>$C196*CM195</f>
        <v/>
      </c>
      <c r="CN196">
        <f>$C196*CN195</f>
        <v/>
      </c>
      <c r="CO196">
        <f>$C196*CO195</f>
        <v/>
      </c>
      <c r="CP196">
        <f>$C196*CP195</f>
        <v/>
      </c>
      <c r="CQ196">
        <f>$C196*CQ195</f>
        <v/>
      </c>
      <c r="CR196">
        <f>$C196*CR195</f>
        <v/>
      </c>
      <c r="CS196">
        <f>$C196*CS195</f>
        <v/>
      </c>
      <c r="CT196">
        <f>$C196*CT195</f>
        <v/>
      </c>
      <c r="CU196">
        <f>$C196*CU195</f>
        <v/>
      </c>
      <c r="CV196">
        <f>$C196*CV195</f>
        <v/>
      </c>
      <c r="CW196">
        <f>$C196*CW195</f>
        <v/>
      </c>
      <c r="CX196">
        <f>$C196*CX195</f>
        <v/>
      </c>
      <c r="CY196">
        <f>$C196*CY195</f>
        <v/>
      </c>
      <c r="CZ196">
        <f>$C196*CZ195</f>
        <v/>
      </c>
      <c r="DA196">
        <f>$C196*DA195</f>
        <v/>
      </c>
      <c r="DB196">
        <f>$C196*DB195</f>
        <v/>
      </c>
      <c r="DC196">
        <f>$C196*DC195</f>
        <v/>
      </c>
    </row>
    <row r="197">
      <c r="B197" t="inlineStr">
        <is>
          <t>VSP-910</t>
        </is>
      </c>
      <c r="C197" t="inlineStr">
        <is>
          <t>No. of batches</t>
        </is>
      </c>
      <c r="D197">
        <f>IFERROR(INDEX(PP_Grid[#Data],$DD197,2),0)</f>
        <v/>
      </c>
      <c r="E197">
        <f>IFERROR(INDEX(PP_Grid[#Data],$DD197,3),0)</f>
        <v/>
      </c>
      <c r="F197">
        <f>IFERROR(INDEX(PP_Grid[#Data],$DD197,4),0)</f>
        <v/>
      </c>
      <c r="G197">
        <f>IFERROR(INDEX(PP_Grid[#Data],$DD197,5),0)</f>
        <v/>
      </c>
      <c r="H197">
        <f>IFERROR(INDEX(PP_Grid[#Data],$DD197,6),0)</f>
        <v/>
      </c>
      <c r="I197">
        <f>IFERROR(INDEX(PP_Grid[#Data],$DD197,7),0)</f>
        <v/>
      </c>
      <c r="J197">
        <f>IFERROR(INDEX(PP_Grid[#Data],$DD197,8),0)</f>
        <v/>
      </c>
      <c r="K197">
        <f>IFERROR(INDEX(PP_Grid[#Data],$DD197,9),0)</f>
        <v/>
      </c>
      <c r="L197">
        <f>IFERROR(INDEX(PP_Grid[#Data],$DD197,10),0)</f>
        <v/>
      </c>
      <c r="M197">
        <f>IFERROR(INDEX(PP_Grid[#Data],$DD197,11),0)</f>
        <v/>
      </c>
      <c r="N197">
        <f>IFERROR(INDEX(PP_Grid[#Data],$DD197,12),0)</f>
        <v/>
      </c>
      <c r="O197">
        <f>IFERROR(INDEX(PP_Grid[#Data],$DD197,13),0)</f>
        <v/>
      </c>
      <c r="P197">
        <f>IFERROR(INDEX(PP_Grid[#Data],$DD197,14),0)</f>
        <v/>
      </c>
      <c r="Q197">
        <f>IFERROR(INDEX(PP_Grid[#Data],$DD197,15),0)</f>
        <v/>
      </c>
      <c r="R197">
        <f>IFERROR(INDEX(PP_Grid[#Data],$DD197,16),0)</f>
        <v/>
      </c>
      <c r="S197">
        <f>IFERROR(INDEX(PP_Grid[#Data],$DD197,17),0)</f>
        <v/>
      </c>
      <c r="T197">
        <f>IFERROR(INDEX(PP_Grid[#Data],$DD197,18),0)</f>
        <v/>
      </c>
      <c r="U197">
        <f>IFERROR(INDEX(PP_Grid[#Data],$DD197,19),0)</f>
        <v/>
      </c>
      <c r="V197">
        <f>IFERROR(INDEX(PP_Grid[#Data],$DD197,20),0)</f>
        <v/>
      </c>
      <c r="W197">
        <f>IFERROR(INDEX(PP_Grid[#Data],$DD197,21),0)</f>
        <v/>
      </c>
      <c r="X197">
        <f>IFERROR(INDEX(PP_Grid[#Data],$DD197,22),0)</f>
        <v/>
      </c>
      <c r="Y197">
        <f>IFERROR(INDEX(PP_Grid[#Data],$DD197,23),0)</f>
        <v/>
      </c>
      <c r="Z197">
        <f>IFERROR(INDEX(PP_Grid[#Data],$DD197,24),0)</f>
        <v/>
      </c>
      <c r="AA197">
        <f>IFERROR(INDEX(PP_Grid[#Data],$DD197,25),0)</f>
        <v/>
      </c>
      <c r="AB197">
        <f>IFERROR(INDEX(PP_Grid[#Data],$DD197,26),0)</f>
        <v/>
      </c>
      <c r="AC197">
        <f>IFERROR(INDEX(PP_Grid[#Data],$DD197,27),0)</f>
        <v/>
      </c>
      <c r="AD197">
        <f>IFERROR(INDEX(PP_Grid[#Data],$DD197,28),0)</f>
        <v/>
      </c>
      <c r="AE197">
        <f>IFERROR(INDEX(PP_Grid[#Data],$DD197,29),0)</f>
        <v/>
      </c>
      <c r="AF197">
        <f>IFERROR(INDEX(PP_Grid[#Data],$DD197,30),0)</f>
        <v/>
      </c>
      <c r="AG197">
        <f>IFERROR(INDEX(PP_Grid[#Data],$DD197,31),0)</f>
        <v/>
      </c>
      <c r="AH197">
        <f>IFERROR(INDEX(PP_Grid[#Data],$DD197,32),0)</f>
        <v/>
      </c>
      <c r="AI197">
        <f>IFERROR(INDEX(PP_Grid[#Data],$DD197,33),0)</f>
        <v/>
      </c>
      <c r="AJ197">
        <f>IFERROR(INDEX(PP_Grid[#Data],$DD197,34),0)</f>
        <v/>
      </c>
      <c r="AK197">
        <f>IFERROR(INDEX(PP_Grid[#Data],$DD197,35),0)</f>
        <v/>
      </c>
      <c r="AL197">
        <f>IFERROR(INDEX(PP_Grid[#Data],$DD197,36),0)</f>
        <v/>
      </c>
      <c r="AM197">
        <f>IFERROR(INDEX(PP_Grid[#Data],$DD197,37),0)</f>
        <v/>
      </c>
      <c r="AN197">
        <f>IFERROR(INDEX(PP_Grid[#Data],$DD197,38),0)</f>
        <v/>
      </c>
      <c r="AO197">
        <f>IFERROR(INDEX(PP_Grid[#Data],$DD197,39),0)</f>
        <v/>
      </c>
      <c r="AP197">
        <f>IFERROR(INDEX(PP_Grid[#Data],$DD197,40),0)</f>
        <v/>
      </c>
      <c r="AQ197">
        <f>IFERROR(INDEX(PP_Grid[#Data],$DD197,41),0)</f>
        <v/>
      </c>
      <c r="AR197">
        <f>IFERROR(INDEX(PP_Grid[#Data],$DD197,42),0)</f>
        <v/>
      </c>
      <c r="AS197">
        <f>IFERROR(INDEX(PP_Grid[#Data],$DD197,43),0)</f>
        <v/>
      </c>
      <c r="AT197">
        <f>IFERROR(INDEX(PP_Grid[#Data],$DD197,44),0)</f>
        <v/>
      </c>
      <c r="AU197">
        <f>IFERROR(INDEX(PP_Grid[#Data],$DD197,45),0)</f>
        <v/>
      </c>
      <c r="AV197">
        <f>IFERROR(INDEX(PP_Grid[#Data],$DD197,46),0)</f>
        <v/>
      </c>
      <c r="AW197">
        <f>IFERROR(INDEX(PP_Grid[#Data],$DD197,47),0)</f>
        <v/>
      </c>
      <c r="AX197">
        <f>IFERROR(INDEX(PP_Grid[#Data],$DD197,48),0)</f>
        <v/>
      </c>
      <c r="AY197">
        <f>IFERROR(INDEX(PP_Grid[#Data],$DD197,49),0)</f>
        <v/>
      </c>
      <c r="AZ197">
        <f>IFERROR(INDEX(PP_Grid[#Data],$DD197,50),0)</f>
        <v/>
      </c>
      <c r="BA197">
        <f>IFERROR(INDEX(PP_Grid[#Data],$DD197,51),0)</f>
        <v/>
      </c>
      <c r="BB197">
        <f>IFERROR(INDEX(PP_Grid[#Data],$DD197,52),0)</f>
        <v/>
      </c>
      <c r="BC197">
        <f>IFERROR(INDEX(PP_Grid[#Data],$DD197,53),0)</f>
        <v/>
      </c>
      <c r="BD197">
        <f>IFERROR(INDEX(PP_Grid[#Data],$DD197,54),0)</f>
        <v/>
      </c>
      <c r="BE197">
        <f>IFERROR(INDEX(PP_Grid[#Data],$DD197,55),0)</f>
        <v/>
      </c>
      <c r="BF197">
        <f>IFERROR(INDEX(PP_Grid[#Data],$DD197,56),0)</f>
        <v/>
      </c>
      <c r="BG197">
        <f>IFERROR(INDEX(PP_Grid[#Data],$DD197,57),0)</f>
        <v/>
      </c>
      <c r="BH197">
        <f>IFERROR(INDEX(PP_Grid[#Data],$DD197,58),0)</f>
        <v/>
      </c>
      <c r="BI197">
        <f>IFERROR(INDEX(PP_Grid[#Data],$DD197,59),0)</f>
        <v/>
      </c>
      <c r="BJ197">
        <f>IFERROR(INDEX(PP_Grid[#Data],$DD197,60),0)</f>
        <v/>
      </c>
      <c r="BK197">
        <f>IFERROR(INDEX(PP_Grid[#Data],$DD197,61),0)</f>
        <v/>
      </c>
      <c r="BL197">
        <f>IFERROR(INDEX(PP_Grid[#Data],$DD197,62),0)</f>
        <v/>
      </c>
      <c r="BM197">
        <f>IFERROR(INDEX(PP_Grid[#Data],$DD197,63),0)</f>
        <v/>
      </c>
      <c r="BN197">
        <f>IFERROR(INDEX(PP_Grid[#Data],$DD197,64),0)</f>
        <v/>
      </c>
      <c r="BO197">
        <f>IFERROR(INDEX(PP_Grid[#Data],$DD197,65),0)</f>
        <v/>
      </c>
      <c r="BP197">
        <f>IFERROR(INDEX(PP_Grid[#Data],$DD197,66),0)</f>
        <v/>
      </c>
      <c r="BQ197">
        <f>IFERROR(INDEX(PP_Grid[#Data],$DD197,67),0)</f>
        <v/>
      </c>
      <c r="BR197">
        <f>IFERROR(INDEX(PP_Grid[#Data],$DD197,68),0)</f>
        <v/>
      </c>
      <c r="BS197">
        <f>IFERROR(INDEX(PP_Grid[#Data],$DD197,69),0)</f>
        <v/>
      </c>
      <c r="BT197">
        <f>IFERROR(INDEX(PP_Grid[#Data],$DD197,70),0)</f>
        <v/>
      </c>
      <c r="BU197">
        <f>IFERROR(INDEX(PP_Grid[#Data],$DD197,71),0)</f>
        <v/>
      </c>
      <c r="BV197">
        <f>IFERROR(INDEX(PP_Grid[#Data],$DD197,72),0)</f>
        <v/>
      </c>
      <c r="BW197">
        <f>IFERROR(INDEX(PP_Grid[#Data],$DD197,73),0)</f>
        <v/>
      </c>
      <c r="BX197">
        <f>IFERROR(INDEX(PP_Grid[#Data],$DD197,74),0)</f>
        <v/>
      </c>
      <c r="BY197">
        <f>IFERROR(INDEX(PP_Grid[#Data],$DD197,75),0)</f>
        <v/>
      </c>
      <c r="BZ197">
        <f>IFERROR(INDEX(PP_Grid[#Data],$DD197,76),0)</f>
        <v/>
      </c>
      <c r="CA197">
        <f>IFERROR(INDEX(PP_Grid[#Data],$DD197,77),0)</f>
        <v/>
      </c>
      <c r="CB197">
        <f>IFERROR(INDEX(PP_Grid[#Data],$DD197,78),0)</f>
        <v/>
      </c>
      <c r="CC197">
        <f>IFERROR(INDEX(PP_Grid[#Data],$DD197,79),0)</f>
        <v/>
      </c>
      <c r="CD197">
        <f>IFERROR(INDEX(PP_Grid[#Data],$DD197,80),0)</f>
        <v/>
      </c>
      <c r="CE197">
        <f>IFERROR(INDEX(PP_Grid[#Data],$DD197,81),0)</f>
        <v/>
      </c>
      <c r="CF197">
        <f>IFERROR(INDEX(PP_Grid[#Data],$DD197,82),0)</f>
        <v/>
      </c>
      <c r="CG197">
        <f>IFERROR(INDEX(PP_Grid[#Data],$DD197,83),0)</f>
        <v/>
      </c>
      <c r="CH197">
        <f>IFERROR(INDEX(PP_Grid[#Data],$DD197,84),0)</f>
        <v/>
      </c>
      <c r="CI197">
        <f>IFERROR(INDEX(PP_Grid[#Data],$DD197,85),0)</f>
        <v/>
      </c>
      <c r="CJ197">
        <f>IFERROR(INDEX(PP_Grid[#Data],$DD197,86),0)</f>
        <v/>
      </c>
      <c r="CK197">
        <f>IFERROR(INDEX(PP_Grid[#Data],$DD197,87),0)</f>
        <v/>
      </c>
      <c r="CL197">
        <f>IFERROR(INDEX(PP_Grid[#Data],$DD197,88),0)</f>
        <v/>
      </c>
      <c r="CM197">
        <f>IFERROR(INDEX(PP_Grid[#Data],$DD197,89),0)</f>
        <v/>
      </c>
      <c r="CN197">
        <f>IFERROR(INDEX(PP_Grid[#Data],$DD197,90),0)</f>
        <v/>
      </c>
      <c r="CO197">
        <f>IFERROR(INDEX(PP_Grid[#Data],$DD197,91),0)</f>
        <v/>
      </c>
      <c r="CP197">
        <f>IFERROR(INDEX(PP_Grid[#Data],$DD197,92),0)</f>
        <v/>
      </c>
      <c r="CQ197">
        <f>IFERROR(INDEX(PP_Grid[#Data],$DD197,93),0)</f>
        <v/>
      </c>
      <c r="CR197">
        <f>IFERROR(INDEX(PP_Grid[#Data],$DD197,94),0)</f>
        <v/>
      </c>
      <c r="CS197">
        <f>IFERROR(INDEX(PP_Grid[#Data],$DD197,95),0)</f>
        <v/>
      </c>
      <c r="CT197">
        <f>IFERROR(INDEX(PP_Grid[#Data],$DD197,96),0)</f>
        <v/>
      </c>
      <c r="CU197">
        <f>IFERROR(INDEX(PP_Grid[#Data],$DD197,97),0)</f>
        <v/>
      </c>
      <c r="CV197">
        <f>IFERROR(INDEX(PP_Grid[#Data],$DD197,98),0)</f>
        <v/>
      </c>
      <c r="CW197">
        <f>IFERROR(INDEX(PP_Grid[#Data],$DD197,99),0)</f>
        <v/>
      </c>
      <c r="CX197">
        <f>IFERROR(INDEX(PP_Grid[#Data],$DD197,100),0)</f>
        <v/>
      </c>
      <c r="CY197">
        <f>IFERROR(INDEX(PP_Grid[#Data],$DD197,101),0)</f>
        <v/>
      </c>
      <c r="CZ197">
        <f>IFERROR(INDEX(PP_Grid[#Data],$DD197,102),0)</f>
        <v/>
      </c>
      <c r="DA197">
        <f>IFERROR(INDEX(PP_Grid[#Data],$DD197,103),0)</f>
        <v/>
      </c>
      <c r="DB197">
        <f>IFERROR(INDEX(PP_Grid[#Data],$DD197,104),0)</f>
        <v/>
      </c>
      <c r="DC197">
        <f>IFERROR(INDEX(PP_Grid[#Data],$DD197,105),0)</f>
        <v/>
      </c>
      <c r="DD197" s="7">
        <f>IFERROR(MATCH($B197,PP_Grid[Intermediate],0),99999)</f>
        <v/>
      </c>
    </row>
    <row r="198">
      <c r="B198" t="inlineStr">
        <is>
          <t>使用量(kg)</t>
        </is>
      </c>
      <c r="C198">
        <f>SUMIFS(M_BOM[RM_Qty_Per_Batch],M_BOM[Intermediate],$B197,M_BOM[Part Name],$A44)</f>
        <v/>
      </c>
      <c r="D198">
        <f>$C198*D197</f>
        <v/>
      </c>
      <c r="E198">
        <f>$C198*E197</f>
        <v/>
      </c>
      <c r="F198">
        <f>$C198*F197</f>
        <v/>
      </c>
      <c r="G198">
        <f>$C198*G197</f>
        <v/>
      </c>
      <c r="H198">
        <f>$C198*H197</f>
        <v/>
      </c>
      <c r="I198">
        <f>$C198*I197</f>
        <v/>
      </c>
      <c r="J198">
        <f>$C198*J197</f>
        <v/>
      </c>
      <c r="K198">
        <f>$C198*K197</f>
        <v/>
      </c>
      <c r="L198">
        <f>$C198*L197</f>
        <v/>
      </c>
      <c r="M198">
        <f>$C198*M197</f>
        <v/>
      </c>
      <c r="N198">
        <f>$C198*N197</f>
        <v/>
      </c>
      <c r="O198">
        <f>$C198*O197</f>
        <v/>
      </c>
      <c r="P198">
        <f>$C198*P197</f>
        <v/>
      </c>
      <c r="Q198">
        <f>$C198*Q197</f>
        <v/>
      </c>
      <c r="R198">
        <f>$C198*R197</f>
        <v/>
      </c>
      <c r="S198">
        <f>$C198*S197</f>
        <v/>
      </c>
      <c r="T198">
        <f>$C198*T197</f>
        <v/>
      </c>
      <c r="U198">
        <f>$C198*U197</f>
        <v/>
      </c>
      <c r="V198">
        <f>$C198*V197</f>
        <v/>
      </c>
      <c r="W198">
        <f>$C198*W197</f>
        <v/>
      </c>
      <c r="X198">
        <f>$C198*X197</f>
        <v/>
      </c>
      <c r="Y198">
        <f>$C198*Y197</f>
        <v/>
      </c>
      <c r="Z198">
        <f>$C198*Z197</f>
        <v/>
      </c>
      <c r="AA198">
        <f>$C198*AA197</f>
        <v/>
      </c>
      <c r="AB198">
        <f>$C198*AB197</f>
        <v/>
      </c>
      <c r="AC198">
        <f>$C198*AC197</f>
        <v/>
      </c>
      <c r="AD198">
        <f>$C198*AD197</f>
        <v/>
      </c>
      <c r="AE198">
        <f>$C198*AE197</f>
        <v/>
      </c>
      <c r="AF198">
        <f>$C198*AF197</f>
        <v/>
      </c>
      <c r="AG198">
        <f>$C198*AG197</f>
        <v/>
      </c>
      <c r="AH198">
        <f>$C198*AH197</f>
        <v/>
      </c>
      <c r="AI198">
        <f>$C198*AI197</f>
        <v/>
      </c>
      <c r="AJ198">
        <f>$C198*AJ197</f>
        <v/>
      </c>
      <c r="AK198">
        <f>$C198*AK197</f>
        <v/>
      </c>
      <c r="AL198">
        <f>$C198*AL197</f>
        <v/>
      </c>
      <c r="AM198">
        <f>$C198*AM197</f>
        <v/>
      </c>
      <c r="AN198">
        <f>$C198*AN197</f>
        <v/>
      </c>
      <c r="AO198">
        <f>$C198*AO197</f>
        <v/>
      </c>
      <c r="AP198">
        <f>$C198*AP197</f>
        <v/>
      </c>
      <c r="AQ198">
        <f>$C198*AQ197</f>
        <v/>
      </c>
      <c r="AR198">
        <f>$C198*AR197</f>
        <v/>
      </c>
      <c r="AS198">
        <f>$C198*AS197</f>
        <v/>
      </c>
      <c r="AT198">
        <f>$C198*AT197</f>
        <v/>
      </c>
      <c r="AU198">
        <f>$C198*AU197</f>
        <v/>
      </c>
      <c r="AV198">
        <f>$C198*AV197</f>
        <v/>
      </c>
      <c r="AW198">
        <f>$C198*AW197</f>
        <v/>
      </c>
      <c r="AX198">
        <f>$C198*AX197</f>
        <v/>
      </c>
      <c r="AY198">
        <f>$C198*AY197</f>
        <v/>
      </c>
      <c r="AZ198">
        <f>$C198*AZ197</f>
        <v/>
      </c>
      <c r="BA198">
        <f>$C198*BA197</f>
        <v/>
      </c>
      <c r="BB198">
        <f>$C198*BB197</f>
        <v/>
      </c>
      <c r="BC198">
        <f>$C198*BC197</f>
        <v/>
      </c>
      <c r="BD198">
        <f>$C198*BD197</f>
        <v/>
      </c>
      <c r="BE198">
        <f>$C198*BE197</f>
        <v/>
      </c>
      <c r="BF198">
        <f>$C198*BF197</f>
        <v/>
      </c>
      <c r="BG198">
        <f>$C198*BG197</f>
        <v/>
      </c>
      <c r="BH198">
        <f>$C198*BH197</f>
        <v/>
      </c>
      <c r="BI198">
        <f>$C198*BI197</f>
        <v/>
      </c>
      <c r="BJ198">
        <f>$C198*BJ197</f>
        <v/>
      </c>
      <c r="BK198">
        <f>$C198*BK197</f>
        <v/>
      </c>
      <c r="BL198">
        <f>$C198*BL197</f>
        <v/>
      </c>
      <c r="BM198">
        <f>$C198*BM197</f>
        <v/>
      </c>
      <c r="BN198">
        <f>$C198*BN197</f>
        <v/>
      </c>
      <c r="BO198">
        <f>$C198*BO197</f>
        <v/>
      </c>
      <c r="BP198">
        <f>$C198*BP197</f>
        <v/>
      </c>
      <c r="BQ198">
        <f>$C198*BQ197</f>
        <v/>
      </c>
      <c r="BR198">
        <f>$C198*BR197</f>
        <v/>
      </c>
      <c r="BS198">
        <f>$C198*BS197</f>
        <v/>
      </c>
      <c r="BT198">
        <f>$C198*BT197</f>
        <v/>
      </c>
      <c r="BU198">
        <f>$C198*BU197</f>
        <v/>
      </c>
      <c r="BV198">
        <f>$C198*BV197</f>
        <v/>
      </c>
      <c r="BW198">
        <f>$C198*BW197</f>
        <v/>
      </c>
      <c r="BX198">
        <f>$C198*BX197</f>
        <v/>
      </c>
      <c r="BY198">
        <f>$C198*BY197</f>
        <v/>
      </c>
      <c r="BZ198">
        <f>$C198*BZ197</f>
        <v/>
      </c>
      <c r="CA198">
        <f>$C198*CA197</f>
        <v/>
      </c>
      <c r="CB198">
        <f>$C198*CB197</f>
        <v/>
      </c>
      <c r="CC198">
        <f>$C198*CC197</f>
        <v/>
      </c>
      <c r="CD198">
        <f>$C198*CD197</f>
        <v/>
      </c>
      <c r="CE198">
        <f>$C198*CE197</f>
        <v/>
      </c>
      <c r="CF198">
        <f>$C198*CF197</f>
        <v/>
      </c>
      <c r="CG198">
        <f>$C198*CG197</f>
        <v/>
      </c>
      <c r="CH198">
        <f>$C198*CH197</f>
        <v/>
      </c>
      <c r="CI198">
        <f>$C198*CI197</f>
        <v/>
      </c>
      <c r="CJ198">
        <f>$C198*CJ197</f>
        <v/>
      </c>
      <c r="CK198">
        <f>$C198*CK197</f>
        <v/>
      </c>
      <c r="CL198">
        <f>$C198*CL197</f>
        <v/>
      </c>
      <c r="CM198">
        <f>$C198*CM197</f>
        <v/>
      </c>
      <c r="CN198">
        <f>$C198*CN197</f>
        <v/>
      </c>
      <c r="CO198">
        <f>$C198*CO197</f>
        <v/>
      </c>
      <c r="CP198">
        <f>$C198*CP197</f>
        <v/>
      </c>
      <c r="CQ198">
        <f>$C198*CQ197</f>
        <v/>
      </c>
      <c r="CR198">
        <f>$C198*CR197</f>
        <v/>
      </c>
      <c r="CS198">
        <f>$C198*CS197</f>
        <v/>
      </c>
      <c r="CT198">
        <f>$C198*CT197</f>
        <v/>
      </c>
      <c r="CU198">
        <f>$C198*CU197</f>
        <v/>
      </c>
      <c r="CV198">
        <f>$C198*CV197</f>
        <v/>
      </c>
      <c r="CW198">
        <f>$C198*CW197</f>
        <v/>
      </c>
      <c r="CX198">
        <f>$C198*CX197</f>
        <v/>
      </c>
      <c r="CY198">
        <f>$C198*CY197</f>
        <v/>
      </c>
      <c r="CZ198">
        <f>$C198*CZ197</f>
        <v/>
      </c>
      <c r="DA198">
        <f>$C198*DA197</f>
        <v/>
      </c>
      <c r="DB198">
        <f>$C198*DB197</f>
        <v/>
      </c>
      <c r="DC198">
        <f>$C198*DC197</f>
        <v/>
      </c>
    </row>
    <row r="199">
      <c r="B199" t="inlineStr">
        <is>
          <t>VSP-989</t>
        </is>
      </c>
      <c r="C199" t="inlineStr">
        <is>
          <t>No. of batches</t>
        </is>
      </c>
      <c r="D199">
        <f>IFERROR(INDEX(PP_Grid[#Data],$DD199,2),0)</f>
        <v/>
      </c>
      <c r="E199">
        <f>IFERROR(INDEX(PP_Grid[#Data],$DD199,3),0)</f>
        <v/>
      </c>
      <c r="F199">
        <f>IFERROR(INDEX(PP_Grid[#Data],$DD199,4),0)</f>
        <v/>
      </c>
      <c r="G199">
        <f>IFERROR(INDEX(PP_Grid[#Data],$DD199,5),0)</f>
        <v/>
      </c>
      <c r="H199">
        <f>IFERROR(INDEX(PP_Grid[#Data],$DD199,6),0)</f>
        <v/>
      </c>
      <c r="I199">
        <f>IFERROR(INDEX(PP_Grid[#Data],$DD199,7),0)</f>
        <v/>
      </c>
      <c r="J199">
        <f>IFERROR(INDEX(PP_Grid[#Data],$DD199,8),0)</f>
        <v/>
      </c>
      <c r="K199">
        <f>IFERROR(INDEX(PP_Grid[#Data],$DD199,9),0)</f>
        <v/>
      </c>
      <c r="L199">
        <f>IFERROR(INDEX(PP_Grid[#Data],$DD199,10),0)</f>
        <v/>
      </c>
      <c r="M199">
        <f>IFERROR(INDEX(PP_Grid[#Data],$DD199,11),0)</f>
        <v/>
      </c>
      <c r="N199">
        <f>IFERROR(INDEX(PP_Grid[#Data],$DD199,12),0)</f>
        <v/>
      </c>
      <c r="O199">
        <f>IFERROR(INDEX(PP_Grid[#Data],$DD199,13),0)</f>
        <v/>
      </c>
      <c r="P199">
        <f>IFERROR(INDEX(PP_Grid[#Data],$DD199,14),0)</f>
        <v/>
      </c>
      <c r="Q199">
        <f>IFERROR(INDEX(PP_Grid[#Data],$DD199,15),0)</f>
        <v/>
      </c>
      <c r="R199">
        <f>IFERROR(INDEX(PP_Grid[#Data],$DD199,16),0)</f>
        <v/>
      </c>
      <c r="S199">
        <f>IFERROR(INDEX(PP_Grid[#Data],$DD199,17),0)</f>
        <v/>
      </c>
      <c r="T199">
        <f>IFERROR(INDEX(PP_Grid[#Data],$DD199,18),0)</f>
        <v/>
      </c>
      <c r="U199">
        <f>IFERROR(INDEX(PP_Grid[#Data],$DD199,19),0)</f>
        <v/>
      </c>
      <c r="V199">
        <f>IFERROR(INDEX(PP_Grid[#Data],$DD199,20),0)</f>
        <v/>
      </c>
      <c r="W199">
        <f>IFERROR(INDEX(PP_Grid[#Data],$DD199,21),0)</f>
        <v/>
      </c>
      <c r="X199">
        <f>IFERROR(INDEX(PP_Grid[#Data],$DD199,22),0)</f>
        <v/>
      </c>
      <c r="Y199">
        <f>IFERROR(INDEX(PP_Grid[#Data],$DD199,23),0)</f>
        <v/>
      </c>
      <c r="Z199">
        <f>IFERROR(INDEX(PP_Grid[#Data],$DD199,24),0)</f>
        <v/>
      </c>
      <c r="AA199">
        <f>IFERROR(INDEX(PP_Grid[#Data],$DD199,25),0)</f>
        <v/>
      </c>
      <c r="AB199">
        <f>IFERROR(INDEX(PP_Grid[#Data],$DD199,26),0)</f>
        <v/>
      </c>
      <c r="AC199">
        <f>IFERROR(INDEX(PP_Grid[#Data],$DD199,27),0)</f>
        <v/>
      </c>
      <c r="AD199">
        <f>IFERROR(INDEX(PP_Grid[#Data],$DD199,28),0)</f>
        <v/>
      </c>
      <c r="AE199">
        <f>IFERROR(INDEX(PP_Grid[#Data],$DD199,29),0)</f>
        <v/>
      </c>
      <c r="AF199">
        <f>IFERROR(INDEX(PP_Grid[#Data],$DD199,30),0)</f>
        <v/>
      </c>
      <c r="AG199">
        <f>IFERROR(INDEX(PP_Grid[#Data],$DD199,31),0)</f>
        <v/>
      </c>
      <c r="AH199">
        <f>IFERROR(INDEX(PP_Grid[#Data],$DD199,32),0)</f>
        <v/>
      </c>
      <c r="AI199">
        <f>IFERROR(INDEX(PP_Grid[#Data],$DD199,33),0)</f>
        <v/>
      </c>
      <c r="AJ199">
        <f>IFERROR(INDEX(PP_Grid[#Data],$DD199,34),0)</f>
        <v/>
      </c>
      <c r="AK199">
        <f>IFERROR(INDEX(PP_Grid[#Data],$DD199,35),0)</f>
        <v/>
      </c>
      <c r="AL199">
        <f>IFERROR(INDEX(PP_Grid[#Data],$DD199,36),0)</f>
        <v/>
      </c>
      <c r="AM199">
        <f>IFERROR(INDEX(PP_Grid[#Data],$DD199,37),0)</f>
        <v/>
      </c>
      <c r="AN199">
        <f>IFERROR(INDEX(PP_Grid[#Data],$DD199,38),0)</f>
        <v/>
      </c>
      <c r="AO199">
        <f>IFERROR(INDEX(PP_Grid[#Data],$DD199,39),0)</f>
        <v/>
      </c>
      <c r="AP199">
        <f>IFERROR(INDEX(PP_Grid[#Data],$DD199,40),0)</f>
        <v/>
      </c>
      <c r="AQ199">
        <f>IFERROR(INDEX(PP_Grid[#Data],$DD199,41),0)</f>
        <v/>
      </c>
      <c r="AR199">
        <f>IFERROR(INDEX(PP_Grid[#Data],$DD199,42),0)</f>
        <v/>
      </c>
      <c r="AS199">
        <f>IFERROR(INDEX(PP_Grid[#Data],$DD199,43),0)</f>
        <v/>
      </c>
      <c r="AT199">
        <f>IFERROR(INDEX(PP_Grid[#Data],$DD199,44),0)</f>
        <v/>
      </c>
      <c r="AU199">
        <f>IFERROR(INDEX(PP_Grid[#Data],$DD199,45),0)</f>
        <v/>
      </c>
      <c r="AV199">
        <f>IFERROR(INDEX(PP_Grid[#Data],$DD199,46),0)</f>
        <v/>
      </c>
      <c r="AW199">
        <f>IFERROR(INDEX(PP_Grid[#Data],$DD199,47),0)</f>
        <v/>
      </c>
      <c r="AX199">
        <f>IFERROR(INDEX(PP_Grid[#Data],$DD199,48),0)</f>
        <v/>
      </c>
      <c r="AY199">
        <f>IFERROR(INDEX(PP_Grid[#Data],$DD199,49),0)</f>
        <v/>
      </c>
      <c r="AZ199">
        <f>IFERROR(INDEX(PP_Grid[#Data],$DD199,50),0)</f>
        <v/>
      </c>
      <c r="BA199">
        <f>IFERROR(INDEX(PP_Grid[#Data],$DD199,51),0)</f>
        <v/>
      </c>
      <c r="BB199">
        <f>IFERROR(INDEX(PP_Grid[#Data],$DD199,52),0)</f>
        <v/>
      </c>
      <c r="BC199">
        <f>IFERROR(INDEX(PP_Grid[#Data],$DD199,53),0)</f>
        <v/>
      </c>
      <c r="BD199">
        <f>IFERROR(INDEX(PP_Grid[#Data],$DD199,54),0)</f>
        <v/>
      </c>
      <c r="BE199">
        <f>IFERROR(INDEX(PP_Grid[#Data],$DD199,55),0)</f>
        <v/>
      </c>
      <c r="BF199">
        <f>IFERROR(INDEX(PP_Grid[#Data],$DD199,56),0)</f>
        <v/>
      </c>
      <c r="BG199">
        <f>IFERROR(INDEX(PP_Grid[#Data],$DD199,57),0)</f>
        <v/>
      </c>
      <c r="BH199">
        <f>IFERROR(INDEX(PP_Grid[#Data],$DD199,58),0)</f>
        <v/>
      </c>
      <c r="BI199">
        <f>IFERROR(INDEX(PP_Grid[#Data],$DD199,59),0)</f>
        <v/>
      </c>
      <c r="BJ199">
        <f>IFERROR(INDEX(PP_Grid[#Data],$DD199,60),0)</f>
        <v/>
      </c>
      <c r="BK199">
        <f>IFERROR(INDEX(PP_Grid[#Data],$DD199,61),0)</f>
        <v/>
      </c>
      <c r="BL199">
        <f>IFERROR(INDEX(PP_Grid[#Data],$DD199,62),0)</f>
        <v/>
      </c>
      <c r="BM199">
        <f>IFERROR(INDEX(PP_Grid[#Data],$DD199,63),0)</f>
        <v/>
      </c>
      <c r="BN199">
        <f>IFERROR(INDEX(PP_Grid[#Data],$DD199,64),0)</f>
        <v/>
      </c>
      <c r="BO199">
        <f>IFERROR(INDEX(PP_Grid[#Data],$DD199,65),0)</f>
        <v/>
      </c>
      <c r="BP199">
        <f>IFERROR(INDEX(PP_Grid[#Data],$DD199,66),0)</f>
        <v/>
      </c>
      <c r="BQ199">
        <f>IFERROR(INDEX(PP_Grid[#Data],$DD199,67),0)</f>
        <v/>
      </c>
      <c r="BR199">
        <f>IFERROR(INDEX(PP_Grid[#Data],$DD199,68),0)</f>
        <v/>
      </c>
      <c r="BS199">
        <f>IFERROR(INDEX(PP_Grid[#Data],$DD199,69),0)</f>
        <v/>
      </c>
      <c r="BT199">
        <f>IFERROR(INDEX(PP_Grid[#Data],$DD199,70),0)</f>
        <v/>
      </c>
      <c r="BU199">
        <f>IFERROR(INDEX(PP_Grid[#Data],$DD199,71),0)</f>
        <v/>
      </c>
      <c r="BV199">
        <f>IFERROR(INDEX(PP_Grid[#Data],$DD199,72),0)</f>
        <v/>
      </c>
      <c r="BW199">
        <f>IFERROR(INDEX(PP_Grid[#Data],$DD199,73),0)</f>
        <v/>
      </c>
      <c r="BX199">
        <f>IFERROR(INDEX(PP_Grid[#Data],$DD199,74),0)</f>
        <v/>
      </c>
      <c r="BY199">
        <f>IFERROR(INDEX(PP_Grid[#Data],$DD199,75),0)</f>
        <v/>
      </c>
      <c r="BZ199">
        <f>IFERROR(INDEX(PP_Grid[#Data],$DD199,76),0)</f>
        <v/>
      </c>
      <c r="CA199">
        <f>IFERROR(INDEX(PP_Grid[#Data],$DD199,77),0)</f>
        <v/>
      </c>
      <c r="CB199">
        <f>IFERROR(INDEX(PP_Grid[#Data],$DD199,78),0)</f>
        <v/>
      </c>
      <c r="CC199">
        <f>IFERROR(INDEX(PP_Grid[#Data],$DD199,79),0)</f>
        <v/>
      </c>
      <c r="CD199">
        <f>IFERROR(INDEX(PP_Grid[#Data],$DD199,80),0)</f>
        <v/>
      </c>
      <c r="CE199">
        <f>IFERROR(INDEX(PP_Grid[#Data],$DD199,81),0)</f>
        <v/>
      </c>
      <c r="CF199">
        <f>IFERROR(INDEX(PP_Grid[#Data],$DD199,82),0)</f>
        <v/>
      </c>
      <c r="CG199">
        <f>IFERROR(INDEX(PP_Grid[#Data],$DD199,83),0)</f>
        <v/>
      </c>
      <c r="CH199">
        <f>IFERROR(INDEX(PP_Grid[#Data],$DD199,84),0)</f>
        <v/>
      </c>
      <c r="CI199">
        <f>IFERROR(INDEX(PP_Grid[#Data],$DD199,85),0)</f>
        <v/>
      </c>
      <c r="CJ199">
        <f>IFERROR(INDEX(PP_Grid[#Data],$DD199,86),0)</f>
        <v/>
      </c>
      <c r="CK199">
        <f>IFERROR(INDEX(PP_Grid[#Data],$DD199,87),0)</f>
        <v/>
      </c>
      <c r="CL199">
        <f>IFERROR(INDEX(PP_Grid[#Data],$DD199,88),0)</f>
        <v/>
      </c>
      <c r="CM199">
        <f>IFERROR(INDEX(PP_Grid[#Data],$DD199,89),0)</f>
        <v/>
      </c>
      <c r="CN199">
        <f>IFERROR(INDEX(PP_Grid[#Data],$DD199,90),0)</f>
        <v/>
      </c>
      <c r="CO199">
        <f>IFERROR(INDEX(PP_Grid[#Data],$DD199,91),0)</f>
        <v/>
      </c>
      <c r="CP199">
        <f>IFERROR(INDEX(PP_Grid[#Data],$DD199,92),0)</f>
        <v/>
      </c>
      <c r="CQ199">
        <f>IFERROR(INDEX(PP_Grid[#Data],$DD199,93),0)</f>
        <v/>
      </c>
      <c r="CR199">
        <f>IFERROR(INDEX(PP_Grid[#Data],$DD199,94),0)</f>
        <v/>
      </c>
      <c r="CS199">
        <f>IFERROR(INDEX(PP_Grid[#Data],$DD199,95),0)</f>
        <v/>
      </c>
      <c r="CT199">
        <f>IFERROR(INDEX(PP_Grid[#Data],$DD199,96),0)</f>
        <v/>
      </c>
      <c r="CU199">
        <f>IFERROR(INDEX(PP_Grid[#Data],$DD199,97),0)</f>
        <v/>
      </c>
      <c r="CV199">
        <f>IFERROR(INDEX(PP_Grid[#Data],$DD199,98),0)</f>
        <v/>
      </c>
      <c r="CW199">
        <f>IFERROR(INDEX(PP_Grid[#Data],$DD199,99),0)</f>
        <v/>
      </c>
      <c r="CX199">
        <f>IFERROR(INDEX(PP_Grid[#Data],$DD199,100),0)</f>
        <v/>
      </c>
      <c r="CY199">
        <f>IFERROR(INDEX(PP_Grid[#Data],$DD199,101),0)</f>
        <v/>
      </c>
      <c r="CZ199">
        <f>IFERROR(INDEX(PP_Grid[#Data],$DD199,102),0)</f>
        <v/>
      </c>
      <c r="DA199">
        <f>IFERROR(INDEX(PP_Grid[#Data],$DD199,103),0)</f>
        <v/>
      </c>
      <c r="DB199">
        <f>IFERROR(INDEX(PP_Grid[#Data],$DD199,104),0)</f>
        <v/>
      </c>
      <c r="DC199">
        <f>IFERROR(INDEX(PP_Grid[#Data],$DD199,105),0)</f>
        <v/>
      </c>
      <c r="DD199" s="7">
        <f>IFERROR(MATCH($B199,PP_Grid[Intermediate],0),99999)</f>
        <v/>
      </c>
    </row>
    <row r="200">
      <c r="B200" t="inlineStr">
        <is>
          <t>使用量(kg)</t>
        </is>
      </c>
      <c r="C200">
        <f>SUMIFS(M_BOM[RM_Qty_Per_Batch],M_BOM[Intermediate],$B199,M_BOM[Part Name],$A44)</f>
        <v/>
      </c>
      <c r="D200">
        <f>$C200*D199</f>
        <v/>
      </c>
      <c r="E200">
        <f>$C200*E199</f>
        <v/>
      </c>
      <c r="F200">
        <f>$C200*F199</f>
        <v/>
      </c>
      <c r="G200">
        <f>$C200*G199</f>
        <v/>
      </c>
      <c r="H200">
        <f>$C200*H199</f>
        <v/>
      </c>
      <c r="I200">
        <f>$C200*I199</f>
        <v/>
      </c>
      <c r="J200">
        <f>$C200*J199</f>
        <v/>
      </c>
      <c r="K200">
        <f>$C200*K199</f>
        <v/>
      </c>
      <c r="L200">
        <f>$C200*L199</f>
        <v/>
      </c>
      <c r="M200">
        <f>$C200*M199</f>
        <v/>
      </c>
      <c r="N200">
        <f>$C200*N199</f>
        <v/>
      </c>
      <c r="O200">
        <f>$C200*O199</f>
        <v/>
      </c>
      <c r="P200">
        <f>$C200*P199</f>
        <v/>
      </c>
      <c r="Q200">
        <f>$C200*Q199</f>
        <v/>
      </c>
      <c r="R200">
        <f>$C200*R199</f>
        <v/>
      </c>
      <c r="S200">
        <f>$C200*S199</f>
        <v/>
      </c>
      <c r="T200">
        <f>$C200*T199</f>
        <v/>
      </c>
      <c r="U200">
        <f>$C200*U199</f>
        <v/>
      </c>
      <c r="V200">
        <f>$C200*V199</f>
        <v/>
      </c>
      <c r="W200">
        <f>$C200*W199</f>
        <v/>
      </c>
      <c r="X200">
        <f>$C200*X199</f>
        <v/>
      </c>
      <c r="Y200">
        <f>$C200*Y199</f>
        <v/>
      </c>
      <c r="Z200">
        <f>$C200*Z199</f>
        <v/>
      </c>
      <c r="AA200">
        <f>$C200*AA199</f>
        <v/>
      </c>
      <c r="AB200">
        <f>$C200*AB199</f>
        <v/>
      </c>
      <c r="AC200">
        <f>$C200*AC199</f>
        <v/>
      </c>
      <c r="AD200">
        <f>$C200*AD199</f>
        <v/>
      </c>
      <c r="AE200">
        <f>$C200*AE199</f>
        <v/>
      </c>
      <c r="AF200">
        <f>$C200*AF199</f>
        <v/>
      </c>
      <c r="AG200">
        <f>$C200*AG199</f>
        <v/>
      </c>
      <c r="AH200">
        <f>$C200*AH199</f>
        <v/>
      </c>
      <c r="AI200">
        <f>$C200*AI199</f>
        <v/>
      </c>
      <c r="AJ200">
        <f>$C200*AJ199</f>
        <v/>
      </c>
      <c r="AK200">
        <f>$C200*AK199</f>
        <v/>
      </c>
      <c r="AL200">
        <f>$C200*AL199</f>
        <v/>
      </c>
      <c r="AM200">
        <f>$C200*AM199</f>
        <v/>
      </c>
      <c r="AN200">
        <f>$C200*AN199</f>
        <v/>
      </c>
      <c r="AO200">
        <f>$C200*AO199</f>
        <v/>
      </c>
      <c r="AP200">
        <f>$C200*AP199</f>
        <v/>
      </c>
      <c r="AQ200">
        <f>$C200*AQ199</f>
        <v/>
      </c>
      <c r="AR200">
        <f>$C200*AR199</f>
        <v/>
      </c>
      <c r="AS200">
        <f>$C200*AS199</f>
        <v/>
      </c>
      <c r="AT200">
        <f>$C200*AT199</f>
        <v/>
      </c>
      <c r="AU200">
        <f>$C200*AU199</f>
        <v/>
      </c>
      <c r="AV200">
        <f>$C200*AV199</f>
        <v/>
      </c>
      <c r="AW200">
        <f>$C200*AW199</f>
        <v/>
      </c>
      <c r="AX200">
        <f>$C200*AX199</f>
        <v/>
      </c>
      <c r="AY200">
        <f>$C200*AY199</f>
        <v/>
      </c>
      <c r="AZ200">
        <f>$C200*AZ199</f>
        <v/>
      </c>
      <c r="BA200">
        <f>$C200*BA199</f>
        <v/>
      </c>
      <c r="BB200">
        <f>$C200*BB199</f>
        <v/>
      </c>
      <c r="BC200">
        <f>$C200*BC199</f>
        <v/>
      </c>
      <c r="BD200">
        <f>$C200*BD199</f>
        <v/>
      </c>
      <c r="BE200">
        <f>$C200*BE199</f>
        <v/>
      </c>
      <c r="BF200">
        <f>$C200*BF199</f>
        <v/>
      </c>
      <c r="BG200">
        <f>$C200*BG199</f>
        <v/>
      </c>
      <c r="BH200">
        <f>$C200*BH199</f>
        <v/>
      </c>
      <c r="BI200">
        <f>$C200*BI199</f>
        <v/>
      </c>
      <c r="BJ200">
        <f>$C200*BJ199</f>
        <v/>
      </c>
      <c r="BK200">
        <f>$C200*BK199</f>
        <v/>
      </c>
      <c r="BL200">
        <f>$C200*BL199</f>
        <v/>
      </c>
      <c r="BM200">
        <f>$C200*BM199</f>
        <v/>
      </c>
      <c r="BN200">
        <f>$C200*BN199</f>
        <v/>
      </c>
      <c r="BO200">
        <f>$C200*BO199</f>
        <v/>
      </c>
      <c r="BP200">
        <f>$C200*BP199</f>
        <v/>
      </c>
      <c r="BQ200">
        <f>$C200*BQ199</f>
        <v/>
      </c>
      <c r="BR200">
        <f>$C200*BR199</f>
        <v/>
      </c>
      <c r="BS200">
        <f>$C200*BS199</f>
        <v/>
      </c>
      <c r="BT200">
        <f>$C200*BT199</f>
        <v/>
      </c>
      <c r="BU200">
        <f>$C200*BU199</f>
        <v/>
      </c>
      <c r="BV200">
        <f>$C200*BV199</f>
        <v/>
      </c>
      <c r="BW200">
        <f>$C200*BW199</f>
        <v/>
      </c>
      <c r="BX200">
        <f>$C200*BX199</f>
        <v/>
      </c>
      <c r="BY200">
        <f>$C200*BY199</f>
        <v/>
      </c>
      <c r="BZ200">
        <f>$C200*BZ199</f>
        <v/>
      </c>
      <c r="CA200">
        <f>$C200*CA199</f>
        <v/>
      </c>
      <c r="CB200">
        <f>$C200*CB199</f>
        <v/>
      </c>
      <c r="CC200">
        <f>$C200*CC199</f>
        <v/>
      </c>
      <c r="CD200">
        <f>$C200*CD199</f>
        <v/>
      </c>
      <c r="CE200">
        <f>$C200*CE199</f>
        <v/>
      </c>
      <c r="CF200">
        <f>$C200*CF199</f>
        <v/>
      </c>
      <c r="CG200">
        <f>$C200*CG199</f>
        <v/>
      </c>
      <c r="CH200">
        <f>$C200*CH199</f>
        <v/>
      </c>
      <c r="CI200">
        <f>$C200*CI199</f>
        <v/>
      </c>
      <c r="CJ200">
        <f>$C200*CJ199</f>
        <v/>
      </c>
      <c r="CK200">
        <f>$C200*CK199</f>
        <v/>
      </c>
      <c r="CL200">
        <f>$C200*CL199</f>
        <v/>
      </c>
      <c r="CM200">
        <f>$C200*CM199</f>
        <v/>
      </c>
      <c r="CN200">
        <f>$C200*CN199</f>
        <v/>
      </c>
      <c r="CO200">
        <f>$C200*CO199</f>
        <v/>
      </c>
      <c r="CP200">
        <f>$C200*CP199</f>
        <v/>
      </c>
      <c r="CQ200">
        <f>$C200*CQ199</f>
        <v/>
      </c>
      <c r="CR200">
        <f>$C200*CR199</f>
        <v/>
      </c>
      <c r="CS200">
        <f>$C200*CS199</f>
        <v/>
      </c>
      <c r="CT200">
        <f>$C200*CT199</f>
        <v/>
      </c>
      <c r="CU200">
        <f>$C200*CU199</f>
        <v/>
      </c>
      <c r="CV200">
        <f>$C200*CV199</f>
        <v/>
      </c>
      <c r="CW200">
        <f>$C200*CW199</f>
        <v/>
      </c>
      <c r="CX200">
        <f>$C200*CX199</f>
        <v/>
      </c>
      <c r="CY200">
        <f>$C200*CY199</f>
        <v/>
      </c>
      <c r="CZ200">
        <f>$C200*CZ199</f>
        <v/>
      </c>
      <c r="DA200">
        <f>$C200*DA199</f>
        <v/>
      </c>
      <c r="DB200">
        <f>$C200*DB199</f>
        <v/>
      </c>
      <c r="DC200">
        <f>$C200*DC199</f>
        <v/>
      </c>
    </row>
    <row r="201">
      <c r="B201" t="inlineStr">
        <is>
          <t>VSP-990</t>
        </is>
      </c>
      <c r="C201" t="inlineStr">
        <is>
          <t>No. of batches</t>
        </is>
      </c>
      <c r="D201">
        <f>IFERROR(INDEX(PP_Grid[#Data],$DD201,2),0)</f>
        <v/>
      </c>
      <c r="E201">
        <f>IFERROR(INDEX(PP_Grid[#Data],$DD201,3),0)</f>
        <v/>
      </c>
      <c r="F201">
        <f>IFERROR(INDEX(PP_Grid[#Data],$DD201,4),0)</f>
        <v/>
      </c>
      <c r="G201">
        <f>IFERROR(INDEX(PP_Grid[#Data],$DD201,5),0)</f>
        <v/>
      </c>
      <c r="H201">
        <f>IFERROR(INDEX(PP_Grid[#Data],$DD201,6),0)</f>
        <v/>
      </c>
      <c r="I201">
        <f>IFERROR(INDEX(PP_Grid[#Data],$DD201,7),0)</f>
        <v/>
      </c>
      <c r="J201">
        <f>IFERROR(INDEX(PP_Grid[#Data],$DD201,8),0)</f>
        <v/>
      </c>
      <c r="K201">
        <f>IFERROR(INDEX(PP_Grid[#Data],$DD201,9),0)</f>
        <v/>
      </c>
      <c r="L201">
        <f>IFERROR(INDEX(PP_Grid[#Data],$DD201,10),0)</f>
        <v/>
      </c>
      <c r="M201">
        <f>IFERROR(INDEX(PP_Grid[#Data],$DD201,11),0)</f>
        <v/>
      </c>
      <c r="N201">
        <f>IFERROR(INDEX(PP_Grid[#Data],$DD201,12),0)</f>
        <v/>
      </c>
      <c r="O201">
        <f>IFERROR(INDEX(PP_Grid[#Data],$DD201,13),0)</f>
        <v/>
      </c>
      <c r="P201">
        <f>IFERROR(INDEX(PP_Grid[#Data],$DD201,14),0)</f>
        <v/>
      </c>
      <c r="Q201">
        <f>IFERROR(INDEX(PP_Grid[#Data],$DD201,15),0)</f>
        <v/>
      </c>
      <c r="R201">
        <f>IFERROR(INDEX(PP_Grid[#Data],$DD201,16),0)</f>
        <v/>
      </c>
      <c r="S201">
        <f>IFERROR(INDEX(PP_Grid[#Data],$DD201,17),0)</f>
        <v/>
      </c>
      <c r="T201">
        <f>IFERROR(INDEX(PP_Grid[#Data],$DD201,18),0)</f>
        <v/>
      </c>
      <c r="U201">
        <f>IFERROR(INDEX(PP_Grid[#Data],$DD201,19),0)</f>
        <v/>
      </c>
      <c r="V201">
        <f>IFERROR(INDEX(PP_Grid[#Data],$DD201,20),0)</f>
        <v/>
      </c>
      <c r="W201">
        <f>IFERROR(INDEX(PP_Grid[#Data],$DD201,21),0)</f>
        <v/>
      </c>
      <c r="X201">
        <f>IFERROR(INDEX(PP_Grid[#Data],$DD201,22),0)</f>
        <v/>
      </c>
      <c r="Y201">
        <f>IFERROR(INDEX(PP_Grid[#Data],$DD201,23),0)</f>
        <v/>
      </c>
      <c r="Z201">
        <f>IFERROR(INDEX(PP_Grid[#Data],$DD201,24),0)</f>
        <v/>
      </c>
      <c r="AA201">
        <f>IFERROR(INDEX(PP_Grid[#Data],$DD201,25),0)</f>
        <v/>
      </c>
      <c r="AB201">
        <f>IFERROR(INDEX(PP_Grid[#Data],$DD201,26),0)</f>
        <v/>
      </c>
      <c r="AC201">
        <f>IFERROR(INDEX(PP_Grid[#Data],$DD201,27),0)</f>
        <v/>
      </c>
      <c r="AD201">
        <f>IFERROR(INDEX(PP_Grid[#Data],$DD201,28),0)</f>
        <v/>
      </c>
      <c r="AE201">
        <f>IFERROR(INDEX(PP_Grid[#Data],$DD201,29),0)</f>
        <v/>
      </c>
      <c r="AF201">
        <f>IFERROR(INDEX(PP_Grid[#Data],$DD201,30),0)</f>
        <v/>
      </c>
      <c r="AG201">
        <f>IFERROR(INDEX(PP_Grid[#Data],$DD201,31),0)</f>
        <v/>
      </c>
      <c r="AH201">
        <f>IFERROR(INDEX(PP_Grid[#Data],$DD201,32),0)</f>
        <v/>
      </c>
      <c r="AI201">
        <f>IFERROR(INDEX(PP_Grid[#Data],$DD201,33),0)</f>
        <v/>
      </c>
      <c r="AJ201">
        <f>IFERROR(INDEX(PP_Grid[#Data],$DD201,34),0)</f>
        <v/>
      </c>
      <c r="AK201">
        <f>IFERROR(INDEX(PP_Grid[#Data],$DD201,35),0)</f>
        <v/>
      </c>
      <c r="AL201">
        <f>IFERROR(INDEX(PP_Grid[#Data],$DD201,36),0)</f>
        <v/>
      </c>
      <c r="AM201">
        <f>IFERROR(INDEX(PP_Grid[#Data],$DD201,37),0)</f>
        <v/>
      </c>
      <c r="AN201">
        <f>IFERROR(INDEX(PP_Grid[#Data],$DD201,38),0)</f>
        <v/>
      </c>
      <c r="AO201">
        <f>IFERROR(INDEX(PP_Grid[#Data],$DD201,39),0)</f>
        <v/>
      </c>
      <c r="AP201">
        <f>IFERROR(INDEX(PP_Grid[#Data],$DD201,40),0)</f>
        <v/>
      </c>
      <c r="AQ201">
        <f>IFERROR(INDEX(PP_Grid[#Data],$DD201,41),0)</f>
        <v/>
      </c>
      <c r="AR201">
        <f>IFERROR(INDEX(PP_Grid[#Data],$DD201,42),0)</f>
        <v/>
      </c>
      <c r="AS201">
        <f>IFERROR(INDEX(PP_Grid[#Data],$DD201,43),0)</f>
        <v/>
      </c>
      <c r="AT201">
        <f>IFERROR(INDEX(PP_Grid[#Data],$DD201,44),0)</f>
        <v/>
      </c>
      <c r="AU201">
        <f>IFERROR(INDEX(PP_Grid[#Data],$DD201,45),0)</f>
        <v/>
      </c>
      <c r="AV201">
        <f>IFERROR(INDEX(PP_Grid[#Data],$DD201,46),0)</f>
        <v/>
      </c>
      <c r="AW201">
        <f>IFERROR(INDEX(PP_Grid[#Data],$DD201,47),0)</f>
        <v/>
      </c>
      <c r="AX201">
        <f>IFERROR(INDEX(PP_Grid[#Data],$DD201,48),0)</f>
        <v/>
      </c>
      <c r="AY201">
        <f>IFERROR(INDEX(PP_Grid[#Data],$DD201,49),0)</f>
        <v/>
      </c>
      <c r="AZ201">
        <f>IFERROR(INDEX(PP_Grid[#Data],$DD201,50),0)</f>
        <v/>
      </c>
      <c r="BA201">
        <f>IFERROR(INDEX(PP_Grid[#Data],$DD201,51),0)</f>
        <v/>
      </c>
      <c r="BB201">
        <f>IFERROR(INDEX(PP_Grid[#Data],$DD201,52),0)</f>
        <v/>
      </c>
      <c r="BC201">
        <f>IFERROR(INDEX(PP_Grid[#Data],$DD201,53),0)</f>
        <v/>
      </c>
      <c r="BD201">
        <f>IFERROR(INDEX(PP_Grid[#Data],$DD201,54),0)</f>
        <v/>
      </c>
      <c r="BE201">
        <f>IFERROR(INDEX(PP_Grid[#Data],$DD201,55),0)</f>
        <v/>
      </c>
      <c r="BF201">
        <f>IFERROR(INDEX(PP_Grid[#Data],$DD201,56),0)</f>
        <v/>
      </c>
      <c r="BG201">
        <f>IFERROR(INDEX(PP_Grid[#Data],$DD201,57),0)</f>
        <v/>
      </c>
      <c r="BH201">
        <f>IFERROR(INDEX(PP_Grid[#Data],$DD201,58),0)</f>
        <v/>
      </c>
      <c r="BI201">
        <f>IFERROR(INDEX(PP_Grid[#Data],$DD201,59),0)</f>
        <v/>
      </c>
      <c r="BJ201">
        <f>IFERROR(INDEX(PP_Grid[#Data],$DD201,60),0)</f>
        <v/>
      </c>
      <c r="BK201">
        <f>IFERROR(INDEX(PP_Grid[#Data],$DD201,61),0)</f>
        <v/>
      </c>
      <c r="BL201">
        <f>IFERROR(INDEX(PP_Grid[#Data],$DD201,62),0)</f>
        <v/>
      </c>
      <c r="BM201">
        <f>IFERROR(INDEX(PP_Grid[#Data],$DD201,63),0)</f>
        <v/>
      </c>
      <c r="BN201">
        <f>IFERROR(INDEX(PP_Grid[#Data],$DD201,64),0)</f>
        <v/>
      </c>
      <c r="BO201">
        <f>IFERROR(INDEX(PP_Grid[#Data],$DD201,65),0)</f>
        <v/>
      </c>
      <c r="BP201">
        <f>IFERROR(INDEX(PP_Grid[#Data],$DD201,66),0)</f>
        <v/>
      </c>
      <c r="BQ201">
        <f>IFERROR(INDEX(PP_Grid[#Data],$DD201,67),0)</f>
        <v/>
      </c>
      <c r="BR201">
        <f>IFERROR(INDEX(PP_Grid[#Data],$DD201,68),0)</f>
        <v/>
      </c>
      <c r="BS201">
        <f>IFERROR(INDEX(PP_Grid[#Data],$DD201,69),0)</f>
        <v/>
      </c>
      <c r="BT201">
        <f>IFERROR(INDEX(PP_Grid[#Data],$DD201,70),0)</f>
        <v/>
      </c>
      <c r="BU201">
        <f>IFERROR(INDEX(PP_Grid[#Data],$DD201,71),0)</f>
        <v/>
      </c>
      <c r="BV201">
        <f>IFERROR(INDEX(PP_Grid[#Data],$DD201,72),0)</f>
        <v/>
      </c>
      <c r="BW201">
        <f>IFERROR(INDEX(PP_Grid[#Data],$DD201,73),0)</f>
        <v/>
      </c>
      <c r="BX201">
        <f>IFERROR(INDEX(PP_Grid[#Data],$DD201,74),0)</f>
        <v/>
      </c>
      <c r="BY201">
        <f>IFERROR(INDEX(PP_Grid[#Data],$DD201,75),0)</f>
        <v/>
      </c>
      <c r="BZ201">
        <f>IFERROR(INDEX(PP_Grid[#Data],$DD201,76),0)</f>
        <v/>
      </c>
      <c r="CA201">
        <f>IFERROR(INDEX(PP_Grid[#Data],$DD201,77),0)</f>
        <v/>
      </c>
      <c r="CB201">
        <f>IFERROR(INDEX(PP_Grid[#Data],$DD201,78),0)</f>
        <v/>
      </c>
      <c r="CC201">
        <f>IFERROR(INDEX(PP_Grid[#Data],$DD201,79),0)</f>
        <v/>
      </c>
      <c r="CD201">
        <f>IFERROR(INDEX(PP_Grid[#Data],$DD201,80),0)</f>
        <v/>
      </c>
      <c r="CE201">
        <f>IFERROR(INDEX(PP_Grid[#Data],$DD201,81),0)</f>
        <v/>
      </c>
      <c r="CF201">
        <f>IFERROR(INDEX(PP_Grid[#Data],$DD201,82),0)</f>
        <v/>
      </c>
      <c r="CG201">
        <f>IFERROR(INDEX(PP_Grid[#Data],$DD201,83),0)</f>
        <v/>
      </c>
      <c r="CH201">
        <f>IFERROR(INDEX(PP_Grid[#Data],$DD201,84),0)</f>
        <v/>
      </c>
      <c r="CI201">
        <f>IFERROR(INDEX(PP_Grid[#Data],$DD201,85),0)</f>
        <v/>
      </c>
      <c r="CJ201">
        <f>IFERROR(INDEX(PP_Grid[#Data],$DD201,86),0)</f>
        <v/>
      </c>
      <c r="CK201">
        <f>IFERROR(INDEX(PP_Grid[#Data],$DD201,87),0)</f>
        <v/>
      </c>
      <c r="CL201">
        <f>IFERROR(INDEX(PP_Grid[#Data],$DD201,88),0)</f>
        <v/>
      </c>
      <c r="CM201">
        <f>IFERROR(INDEX(PP_Grid[#Data],$DD201,89),0)</f>
        <v/>
      </c>
      <c r="CN201">
        <f>IFERROR(INDEX(PP_Grid[#Data],$DD201,90),0)</f>
        <v/>
      </c>
      <c r="CO201">
        <f>IFERROR(INDEX(PP_Grid[#Data],$DD201,91),0)</f>
        <v/>
      </c>
      <c r="CP201">
        <f>IFERROR(INDEX(PP_Grid[#Data],$DD201,92),0)</f>
        <v/>
      </c>
      <c r="CQ201">
        <f>IFERROR(INDEX(PP_Grid[#Data],$DD201,93),0)</f>
        <v/>
      </c>
      <c r="CR201">
        <f>IFERROR(INDEX(PP_Grid[#Data],$DD201,94),0)</f>
        <v/>
      </c>
      <c r="CS201">
        <f>IFERROR(INDEX(PP_Grid[#Data],$DD201,95),0)</f>
        <v/>
      </c>
      <c r="CT201">
        <f>IFERROR(INDEX(PP_Grid[#Data],$DD201,96),0)</f>
        <v/>
      </c>
      <c r="CU201">
        <f>IFERROR(INDEX(PP_Grid[#Data],$DD201,97),0)</f>
        <v/>
      </c>
      <c r="CV201">
        <f>IFERROR(INDEX(PP_Grid[#Data],$DD201,98),0)</f>
        <v/>
      </c>
      <c r="CW201">
        <f>IFERROR(INDEX(PP_Grid[#Data],$DD201,99),0)</f>
        <v/>
      </c>
      <c r="CX201">
        <f>IFERROR(INDEX(PP_Grid[#Data],$DD201,100),0)</f>
        <v/>
      </c>
      <c r="CY201">
        <f>IFERROR(INDEX(PP_Grid[#Data],$DD201,101),0)</f>
        <v/>
      </c>
      <c r="CZ201">
        <f>IFERROR(INDEX(PP_Grid[#Data],$DD201,102),0)</f>
        <v/>
      </c>
      <c r="DA201">
        <f>IFERROR(INDEX(PP_Grid[#Data],$DD201,103),0)</f>
        <v/>
      </c>
      <c r="DB201">
        <f>IFERROR(INDEX(PP_Grid[#Data],$DD201,104),0)</f>
        <v/>
      </c>
      <c r="DC201">
        <f>IFERROR(INDEX(PP_Grid[#Data],$DD201,105),0)</f>
        <v/>
      </c>
      <c r="DD201" s="7">
        <f>IFERROR(MATCH($B201,PP_Grid[Intermediate],0),99999)</f>
        <v/>
      </c>
    </row>
    <row r="202">
      <c r="B202" t="inlineStr">
        <is>
          <t>使用量(kg)</t>
        </is>
      </c>
      <c r="C202">
        <f>SUMIFS(M_BOM[RM_Qty_Per_Batch],M_BOM[Intermediate],$B201,M_BOM[Part Name],$A44)</f>
        <v/>
      </c>
      <c r="D202">
        <f>$C202*D201</f>
        <v/>
      </c>
      <c r="E202">
        <f>$C202*E201</f>
        <v/>
      </c>
      <c r="F202">
        <f>$C202*F201</f>
        <v/>
      </c>
      <c r="G202">
        <f>$C202*G201</f>
        <v/>
      </c>
      <c r="H202">
        <f>$C202*H201</f>
        <v/>
      </c>
      <c r="I202">
        <f>$C202*I201</f>
        <v/>
      </c>
      <c r="J202">
        <f>$C202*J201</f>
        <v/>
      </c>
      <c r="K202">
        <f>$C202*K201</f>
        <v/>
      </c>
      <c r="L202">
        <f>$C202*L201</f>
        <v/>
      </c>
      <c r="M202">
        <f>$C202*M201</f>
        <v/>
      </c>
      <c r="N202">
        <f>$C202*N201</f>
        <v/>
      </c>
      <c r="O202">
        <f>$C202*O201</f>
        <v/>
      </c>
      <c r="P202">
        <f>$C202*P201</f>
        <v/>
      </c>
      <c r="Q202">
        <f>$C202*Q201</f>
        <v/>
      </c>
      <c r="R202">
        <f>$C202*R201</f>
        <v/>
      </c>
      <c r="S202">
        <f>$C202*S201</f>
        <v/>
      </c>
      <c r="T202">
        <f>$C202*T201</f>
        <v/>
      </c>
      <c r="U202">
        <f>$C202*U201</f>
        <v/>
      </c>
      <c r="V202">
        <f>$C202*V201</f>
        <v/>
      </c>
      <c r="W202">
        <f>$C202*W201</f>
        <v/>
      </c>
      <c r="X202">
        <f>$C202*X201</f>
        <v/>
      </c>
      <c r="Y202">
        <f>$C202*Y201</f>
        <v/>
      </c>
      <c r="Z202">
        <f>$C202*Z201</f>
        <v/>
      </c>
      <c r="AA202">
        <f>$C202*AA201</f>
        <v/>
      </c>
      <c r="AB202">
        <f>$C202*AB201</f>
        <v/>
      </c>
      <c r="AC202">
        <f>$C202*AC201</f>
        <v/>
      </c>
      <c r="AD202">
        <f>$C202*AD201</f>
        <v/>
      </c>
      <c r="AE202">
        <f>$C202*AE201</f>
        <v/>
      </c>
      <c r="AF202">
        <f>$C202*AF201</f>
        <v/>
      </c>
      <c r="AG202">
        <f>$C202*AG201</f>
        <v/>
      </c>
      <c r="AH202">
        <f>$C202*AH201</f>
        <v/>
      </c>
      <c r="AI202">
        <f>$C202*AI201</f>
        <v/>
      </c>
      <c r="AJ202">
        <f>$C202*AJ201</f>
        <v/>
      </c>
      <c r="AK202">
        <f>$C202*AK201</f>
        <v/>
      </c>
      <c r="AL202">
        <f>$C202*AL201</f>
        <v/>
      </c>
      <c r="AM202">
        <f>$C202*AM201</f>
        <v/>
      </c>
      <c r="AN202">
        <f>$C202*AN201</f>
        <v/>
      </c>
      <c r="AO202">
        <f>$C202*AO201</f>
        <v/>
      </c>
      <c r="AP202">
        <f>$C202*AP201</f>
        <v/>
      </c>
      <c r="AQ202">
        <f>$C202*AQ201</f>
        <v/>
      </c>
      <c r="AR202">
        <f>$C202*AR201</f>
        <v/>
      </c>
      <c r="AS202">
        <f>$C202*AS201</f>
        <v/>
      </c>
      <c r="AT202">
        <f>$C202*AT201</f>
        <v/>
      </c>
      <c r="AU202">
        <f>$C202*AU201</f>
        <v/>
      </c>
      <c r="AV202">
        <f>$C202*AV201</f>
        <v/>
      </c>
      <c r="AW202">
        <f>$C202*AW201</f>
        <v/>
      </c>
      <c r="AX202">
        <f>$C202*AX201</f>
        <v/>
      </c>
      <c r="AY202">
        <f>$C202*AY201</f>
        <v/>
      </c>
      <c r="AZ202">
        <f>$C202*AZ201</f>
        <v/>
      </c>
      <c r="BA202">
        <f>$C202*BA201</f>
        <v/>
      </c>
      <c r="BB202">
        <f>$C202*BB201</f>
        <v/>
      </c>
      <c r="BC202">
        <f>$C202*BC201</f>
        <v/>
      </c>
      <c r="BD202">
        <f>$C202*BD201</f>
        <v/>
      </c>
      <c r="BE202">
        <f>$C202*BE201</f>
        <v/>
      </c>
      <c r="BF202">
        <f>$C202*BF201</f>
        <v/>
      </c>
      <c r="BG202">
        <f>$C202*BG201</f>
        <v/>
      </c>
      <c r="BH202">
        <f>$C202*BH201</f>
        <v/>
      </c>
      <c r="BI202">
        <f>$C202*BI201</f>
        <v/>
      </c>
      <c r="BJ202">
        <f>$C202*BJ201</f>
        <v/>
      </c>
      <c r="BK202">
        <f>$C202*BK201</f>
        <v/>
      </c>
      <c r="BL202">
        <f>$C202*BL201</f>
        <v/>
      </c>
      <c r="BM202">
        <f>$C202*BM201</f>
        <v/>
      </c>
      <c r="BN202">
        <f>$C202*BN201</f>
        <v/>
      </c>
      <c r="BO202">
        <f>$C202*BO201</f>
        <v/>
      </c>
      <c r="BP202">
        <f>$C202*BP201</f>
        <v/>
      </c>
      <c r="BQ202">
        <f>$C202*BQ201</f>
        <v/>
      </c>
      <c r="BR202">
        <f>$C202*BR201</f>
        <v/>
      </c>
      <c r="BS202">
        <f>$C202*BS201</f>
        <v/>
      </c>
      <c r="BT202">
        <f>$C202*BT201</f>
        <v/>
      </c>
      <c r="BU202">
        <f>$C202*BU201</f>
        <v/>
      </c>
      <c r="BV202">
        <f>$C202*BV201</f>
        <v/>
      </c>
      <c r="BW202">
        <f>$C202*BW201</f>
        <v/>
      </c>
      <c r="BX202">
        <f>$C202*BX201</f>
        <v/>
      </c>
      <c r="BY202">
        <f>$C202*BY201</f>
        <v/>
      </c>
      <c r="BZ202">
        <f>$C202*BZ201</f>
        <v/>
      </c>
      <c r="CA202">
        <f>$C202*CA201</f>
        <v/>
      </c>
      <c r="CB202">
        <f>$C202*CB201</f>
        <v/>
      </c>
      <c r="CC202">
        <f>$C202*CC201</f>
        <v/>
      </c>
      <c r="CD202">
        <f>$C202*CD201</f>
        <v/>
      </c>
      <c r="CE202">
        <f>$C202*CE201</f>
        <v/>
      </c>
      <c r="CF202">
        <f>$C202*CF201</f>
        <v/>
      </c>
      <c r="CG202">
        <f>$C202*CG201</f>
        <v/>
      </c>
      <c r="CH202">
        <f>$C202*CH201</f>
        <v/>
      </c>
      <c r="CI202">
        <f>$C202*CI201</f>
        <v/>
      </c>
      <c r="CJ202">
        <f>$C202*CJ201</f>
        <v/>
      </c>
      <c r="CK202">
        <f>$C202*CK201</f>
        <v/>
      </c>
      <c r="CL202">
        <f>$C202*CL201</f>
        <v/>
      </c>
      <c r="CM202">
        <f>$C202*CM201</f>
        <v/>
      </c>
      <c r="CN202">
        <f>$C202*CN201</f>
        <v/>
      </c>
      <c r="CO202">
        <f>$C202*CO201</f>
        <v/>
      </c>
      <c r="CP202">
        <f>$C202*CP201</f>
        <v/>
      </c>
      <c r="CQ202">
        <f>$C202*CQ201</f>
        <v/>
      </c>
      <c r="CR202">
        <f>$C202*CR201</f>
        <v/>
      </c>
      <c r="CS202">
        <f>$C202*CS201</f>
        <v/>
      </c>
      <c r="CT202">
        <f>$C202*CT201</f>
        <v/>
      </c>
      <c r="CU202">
        <f>$C202*CU201</f>
        <v/>
      </c>
      <c r="CV202">
        <f>$C202*CV201</f>
        <v/>
      </c>
      <c r="CW202">
        <f>$C202*CW201</f>
        <v/>
      </c>
      <c r="CX202">
        <f>$C202*CX201</f>
        <v/>
      </c>
      <c r="CY202">
        <f>$C202*CY201</f>
        <v/>
      </c>
      <c r="CZ202">
        <f>$C202*CZ201</f>
        <v/>
      </c>
      <c r="DA202">
        <f>$C202*DA201</f>
        <v/>
      </c>
      <c r="DB202">
        <f>$C202*DB201</f>
        <v/>
      </c>
      <c r="DC202">
        <f>$C202*DC201</f>
        <v/>
      </c>
    </row>
    <row r="203">
      <c r="B203" t="inlineStr">
        <is>
          <t>VSZ-745</t>
        </is>
      </c>
      <c r="C203" t="inlineStr">
        <is>
          <t>No. of batches</t>
        </is>
      </c>
      <c r="D203">
        <f>IFERROR(INDEX(PP_Grid[#Data],$DD203,2),0)</f>
        <v/>
      </c>
      <c r="E203">
        <f>IFERROR(INDEX(PP_Grid[#Data],$DD203,3),0)</f>
        <v/>
      </c>
      <c r="F203">
        <f>IFERROR(INDEX(PP_Grid[#Data],$DD203,4),0)</f>
        <v/>
      </c>
      <c r="G203">
        <f>IFERROR(INDEX(PP_Grid[#Data],$DD203,5),0)</f>
        <v/>
      </c>
      <c r="H203">
        <f>IFERROR(INDEX(PP_Grid[#Data],$DD203,6),0)</f>
        <v/>
      </c>
      <c r="I203">
        <f>IFERROR(INDEX(PP_Grid[#Data],$DD203,7),0)</f>
        <v/>
      </c>
      <c r="J203">
        <f>IFERROR(INDEX(PP_Grid[#Data],$DD203,8),0)</f>
        <v/>
      </c>
      <c r="K203">
        <f>IFERROR(INDEX(PP_Grid[#Data],$DD203,9),0)</f>
        <v/>
      </c>
      <c r="L203">
        <f>IFERROR(INDEX(PP_Grid[#Data],$DD203,10),0)</f>
        <v/>
      </c>
      <c r="M203">
        <f>IFERROR(INDEX(PP_Grid[#Data],$DD203,11),0)</f>
        <v/>
      </c>
      <c r="N203">
        <f>IFERROR(INDEX(PP_Grid[#Data],$DD203,12),0)</f>
        <v/>
      </c>
      <c r="O203">
        <f>IFERROR(INDEX(PP_Grid[#Data],$DD203,13),0)</f>
        <v/>
      </c>
      <c r="P203">
        <f>IFERROR(INDEX(PP_Grid[#Data],$DD203,14),0)</f>
        <v/>
      </c>
      <c r="Q203">
        <f>IFERROR(INDEX(PP_Grid[#Data],$DD203,15),0)</f>
        <v/>
      </c>
      <c r="R203">
        <f>IFERROR(INDEX(PP_Grid[#Data],$DD203,16),0)</f>
        <v/>
      </c>
      <c r="S203">
        <f>IFERROR(INDEX(PP_Grid[#Data],$DD203,17),0)</f>
        <v/>
      </c>
      <c r="T203">
        <f>IFERROR(INDEX(PP_Grid[#Data],$DD203,18),0)</f>
        <v/>
      </c>
      <c r="U203">
        <f>IFERROR(INDEX(PP_Grid[#Data],$DD203,19),0)</f>
        <v/>
      </c>
      <c r="V203">
        <f>IFERROR(INDEX(PP_Grid[#Data],$DD203,20),0)</f>
        <v/>
      </c>
      <c r="W203">
        <f>IFERROR(INDEX(PP_Grid[#Data],$DD203,21),0)</f>
        <v/>
      </c>
      <c r="X203">
        <f>IFERROR(INDEX(PP_Grid[#Data],$DD203,22),0)</f>
        <v/>
      </c>
      <c r="Y203">
        <f>IFERROR(INDEX(PP_Grid[#Data],$DD203,23),0)</f>
        <v/>
      </c>
      <c r="Z203">
        <f>IFERROR(INDEX(PP_Grid[#Data],$DD203,24),0)</f>
        <v/>
      </c>
      <c r="AA203">
        <f>IFERROR(INDEX(PP_Grid[#Data],$DD203,25),0)</f>
        <v/>
      </c>
      <c r="AB203">
        <f>IFERROR(INDEX(PP_Grid[#Data],$DD203,26),0)</f>
        <v/>
      </c>
      <c r="AC203">
        <f>IFERROR(INDEX(PP_Grid[#Data],$DD203,27),0)</f>
        <v/>
      </c>
      <c r="AD203">
        <f>IFERROR(INDEX(PP_Grid[#Data],$DD203,28),0)</f>
        <v/>
      </c>
      <c r="AE203">
        <f>IFERROR(INDEX(PP_Grid[#Data],$DD203,29),0)</f>
        <v/>
      </c>
      <c r="AF203">
        <f>IFERROR(INDEX(PP_Grid[#Data],$DD203,30),0)</f>
        <v/>
      </c>
      <c r="AG203">
        <f>IFERROR(INDEX(PP_Grid[#Data],$DD203,31),0)</f>
        <v/>
      </c>
      <c r="AH203">
        <f>IFERROR(INDEX(PP_Grid[#Data],$DD203,32),0)</f>
        <v/>
      </c>
      <c r="AI203">
        <f>IFERROR(INDEX(PP_Grid[#Data],$DD203,33),0)</f>
        <v/>
      </c>
      <c r="AJ203">
        <f>IFERROR(INDEX(PP_Grid[#Data],$DD203,34),0)</f>
        <v/>
      </c>
      <c r="AK203">
        <f>IFERROR(INDEX(PP_Grid[#Data],$DD203,35),0)</f>
        <v/>
      </c>
      <c r="AL203">
        <f>IFERROR(INDEX(PP_Grid[#Data],$DD203,36),0)</f>
        <v/>
      </c>
      <c r="AM203">
        <f>IFERROR(INDEX(PP_Grid[#Data],$DD203,37),0)</f>
        <v/>
      </c>
      <c r="AN203">
        <f>IFERROR(INDEX(PP_Grid[#Data],$DD203,38),0)</f>
        <v/>
      </c>
      <c r="AO203">
        <f>IFERROR(INDEX(PP_Grid[#Data],$DD203,39),0)</f>
        <v/>
      </c>
      <c r="AP203">
        <f>IFERROR(INDEX(PP_Grid[#Data],$DD203,40),0)</f>
        <v/>
      </c>
      <c r="AQ203">
        <f>IFERROR(INDEX(PP_Grid[#Data],$DD203,41),0)</f>
        <v/>
      </c>
      <c r="AR203">
        <f>IFERROR(INDEX(PP_Grid[#Data],$DD203,42),0)</f>
        <v/>
      </c>
      <c r="AS203">
        <f>IFERROR(INDEX(PP_Grid[#Data],$DD203,43),0)</f>
        <v/>
      </c>
      <c r="AT203">
        <f>IFERROR(INDEX(PP_Grid[#Data],$DD203,44),0)</f>
        <v/>
      </c>
      <c r="AU203">
        <f>IFERROR(INDEX(PP_Grid[#Data],$DD203,45),0)</f>
        <v/>
      </c>
      <c r="AV203">
        <f>IFERROR(INDEX(PP_Grid[#Data],$DD203,46),0)</f>
        <v/>
      </c>
      <c r="AW203">
        <f>IFERROR(INDEX(PP_Grid[#Data],$DD203,47),0)</f>
        <v/>
      </c>
      <c r="AX203">
        <f>IFERROR(INDEX(PP_Grid[#Data],$DD203,48),0)</f>
        <v/>
      </c>
      <c r="AY203">
        <f>IFERROR(INDEX(PP_Grid[#Data],$DD203,49),0)</f>
        <v/>
      </c>
      <c r="AZ203">
        <f>IFERROR(INDEX(PP_Grid[#Data],$DD203,50),0)</f>
        <v/>
      </c>
      <c r="BA203">
        <f>IFERROR(INDEX(PP_Grid[#Data],$DD203,51),0)</f>
        <v/>
      </c>
      <c r="BB203">
        <f>IFERROR(INDEX(PP_Grid[#Data],$DD203,52),0)</f>
        <v/>
      </c>
      <c r="BC203">
        <f>IFERROR(INDEX(PP_Grid[#Data],$DD203,53),0)</f>
        <v/>
      </c>
      <c r="BD203">
        <f>IFERROR(INDEX(PP_Grid[#Data],$DD203,54),0)</f>
        <v/>
      </c>
      <c r="BE203">
        <f>IFERROR(INDEX(PP_Grid[#Data],$DD203,55),0)</f>
        <v/>
      </c>
      <c r="BF203">
        <f>IFERROR(INDEX(PP_Grid[#Data],$DD203,56),0)</f>
        <v/>
      </c>
      <c r="BG203">
        <f>IFERROR(INDEX(PP_Grid[#Data],$DD203,57),0)</f>
        <v/>
      </c>
      <c r="BH203">
        <f>IFERROR(INDEX(PP_Grid[#Data],$DD203,58),0)</f>
        <v/>
      </c>
      <c r="BI203">
        <f>IFERROR(INDEX(PP_Grid[#Data],$DD203,59),0)</f>
        <v/>
      </c>
      <c r="BJ203">
        <f>IFERROR(INDEX(PP_Grid[#Data],$DD203,60),0)</f>
        <v/>
      </c>
      <c r="BK203">
        <f>IFERROR(INDEX(PP_Grid[#Data],$DD203,61),0)</f>
        <v/>
      </c>
      <c r="BL203">
        <f>IFERROR(INDEX(PP_Grid[#Data],$DD203,62),0)</f>
        <v/>
      </c>
      <c r="BM203">
        <f>IFERROR(INDEX(PP_Grid[#Data],$DD203,63),0)</f>
        <v/>
      </c>
      <c r="BN203">
        <f>IFERROR(INDEX(PP_Grid[#Data],$DD203,64),0)</f>
        <v/>
      </c>
      <c r="BO203">
        <f>IFERROR(INDEX(PP_Grid[#Data],$DD203,65),0)</f>
        <v/>
      </c>
      <c r="BP203">
        <f>IFERROR(INDEX(PP_Grid[#Data],$DD203,66),0)</f>
        <v/>
      </c>
      <c r="BQ203">
        <f>IFERROR(INDEX(PP_Grid[#Data],$DD203,67),0)</f>
        <v/>
      </c>
      <c r="BR203">
        <f>IFERROR(INDEX(PP_Grid[#Data],$DD203,68),0)</f>
        <v/>
      </c>
      <c r="BS203">
        <f>IFERROR(INDEX(PP_Grid[#Data],$DD203,69),0)</f>
        <v/>
      </c>
      <c r="BT203">
        <f>IFERROR(INDEX(PP_Grid[#Data],$DD203,70),0)</f>
        <v/>
      </c>
      <c r="BU203">
        <f>IFERROR(INDEX(PP_Grid[#Data],$DD203,71),0)</f>
        <v/>
      </c>
      <c r="BV203">
        <f>IFERROR(INDEX(PP_Grid[#Data],$DD203,72),0)</f>
        <v/>
      </c>
      <c r="BW203">
        <f>IFERROR(INDEX(PP_Grid[#Data],$DD203,73),0)</f>
        <v/>
      </c>
      <c r="BX203">
        <f>IFERROR(INDEX(PP_Grid[#Data],$DD203,74),0)</f>
        <v/>
      </c>
      <c r="BY203">
        <f>IFERROR(INDEX(PP_Grid[#Data],$DD203,75),0)</f>
        <v/>
      </c>
      <c r="BZ203">
        <f>IFERROR(INDEX(PP_Grid[#Data],$DD203,76),0)</f>
        <v/>
      </c>
      <c r="CA203">
        <f>IFERROR(INDEX(PP_Grid[#Data],$DD203,77),0)</f>
        <v/>
      </c>
      <c r="CB203">
        <f>IFERROR(INDEX(PP_Grid[#Data],$DD203,78),0)</f>
        <v/>
      </c>
      <c r="CC203">
        <f>IFERROR(INDEX(PP_Grid[#Data],$DD203,79),0)</f>
        <v/>
      </c>
      <c r="CD203">
        <f>IFERROR(INDEX(PP_Grid[#Data],$DD203,80),0)</f>
        <v/>
      </c>
      <c r="CE203">
        <f>IFERROR(INDEX(PP_Grid[#Data],$DD203,81),0)</f>
        <v/>
      </c>
      <c r="CF203">
        <f>IFERROR(INDEX(PP_Grid[#Data],$DD203,82),0)</f>
        <v/>
      </c>
      <c r="CG203">
        <f>IFERROR(INDEX(PP_Grid[#Data],$DD203,83),0)</f>
        <v/>
      </c>
      <c r="CH203">
        <f>IFERROR(INDEX(PP_Grid[#Data],$DD203,84),0)</f>
        <v/>
      </c>
      <c r="CI203">
        <f>IFERROR(INDEX(PP_Grid[#Data],$DD203,85),0)</f>
        <v/>
      </c>
      <c r="CJ203">
        <f>IFERROR(INDEX(PP_Grid[#Data],$DD203,86),0)</f>
        <v/>
      </c>
      <c r="CK203">
        <f>IFERROR(INDEX(PP_Grid[#Data],$DD203,87),0)</f>
        <v/>
      </c>
      <c r="CL203">
        <f>IFERROR(INDEX(PP_Grid[#Data],$DD203,88),0)</f>
        <v/>
      </c>
      <c r="CM203">
        <f>IFERROR(INDEX(PP_Grid[#Data],$DD203,89),0)</f>
        <v/>
      </c>
      <c r="CN203">
        <f>IFERROR(INDEX(PP_Grid[#Data],$DD203,90),0)</f>
        <v/>
      </c>
      <c r="CO203">
        <f>IFERROR(INDEX(PP_Grid[#Data],$DD203,91),0)</f>
        <v/>
      </c>
      <c r="CP203">
        <f>IFERROR(INDEX(PP_Grid[#Data],$DD203,92),0)</f>
        <v/>
      </c>
      <c r="CQ203">
        <f>IFERROR(INDEX(PP_Grid[#Data],$DD203,93),0)</f>
        <v/>
      </c>
      <c r="CR203">
        <f>IFERROR(INDEX(PP_Grid[#Data],$DD203,94),0)</f>
        <v/>
      </c>
      <c r="CS203">
        <f>IFERROR(INDEX(PP_Grid[#Data],$DD203,95),0)</f>
        <v/>
      </c>
      <c r="CT203">
        <f>IFERROR(INDEX(PP_Grid[#Data],$DD203,96),0)</f>
        <v/>
      </c>
      <c r="CU203">
        <f>IFERROR(INDEX(PP_Grid[#Data],$DD203,97),0)</f>
        <v/>
      </c>
      <c r="CV203">
        <f>IFERROR(INDEX(PP_Grid[#Data],$DD203,98),0)</f>
        <v/>
      </c>
      <c r="CW203">
        <f>IFERROR(INDEX(PP_Grid[#Data],$DD203,99),0)</f>
        <v/>
      </c>
      <c r="CX203">
        <f>IFERROR(INDEX(PP_Grid[#Data],$DD203,100),0)</f>
        <v/>
      </c>
      <c r="CY203">
        <f>IFERROR(INDEX(PP_Grid[#Data],$DD203,101),0)</f>
        <v/>
      </c>
      <c r="CZ203">
        <f>IFERROR(INDEX(PP_Grid[#Data],$DD203,102),0)</f>
        <v/>
      </c>
      <c r="DA203">
        <f>IFERROR(INDEX(PP_Grid[#Data],$DD203,103),0)</f>
        <v/>
      </c>
      <c r="DB203">
        <f>IFERROR(INDEX(PP_Grid[#Data],$DD203,104),0)</f>
        <v/>
      </c>
      <c r="DC203">
        <f>IFERROR(INDEX(PP_Grid[#Data],$DD203,105),0)</f>
        <v/>
      </c>
      <c r="DD203" s="7">
        <f>IFERROR(MATCH($B203,PP_Grid[Intermediate],0),99999)</f>
        <v/>
      </c>
    </row>
    <row r="204">
      <c r="B204" t="inlineStr">
        <is>
          <t>使用量(kg)</t>
        </is>
      </c>
      <c r="C204">
        <f>SUMIFS(M_BOM[RM_Qty_Per_Batch],M_BOM[Intermediate],$B203,M_BOM[Part Name],$A44)</f>
        <v/>
      </c>
      <c r="D204">
        <f>$C204*D203</f>
        <v/>
      </c>
      <c r="E204">
        <f>$C204*E203</f>
        <v/>
      </c>
      <c r="F204">
        <f>$C204*F203</f>
        <v/>
      </c>
      <c r="G204">
        <f>$C204*G203</f>
        <v/>
      </c>
      <c r="H204">
        <f>$C204*H203</f>
        <v/>
      </c>
      <c r="I204">
        <f>$C204*I203</f>
        <v/>
      </c>
      <c r="J204">
        <f>$C204*J203</f>
        <v/>
      </c>
      <c r="K204">
        <f>$C204*K203</f>
        <v/>
      </c>
      <c r="L204">
        <f>$C204*L203</f>
        <v/>
      </c>
      <c r="M204">
        <f>$C204*M203</f>
        <v/>
      </c>
      <c r="N204">
        <f>$C204*N203</f>
        <v/>
      </c>
      <c r="O204">
        <f>$C204*O203</f>
        <v/>
      </c>
      <c r="P204">
        <f>$C204*P203</f>
        <v/>
      </c>
      <c r="Q204">
        <f>$C204*Q203</f>
        <v/>
      </c>
      <c r="R204">
        <f>$C204*R203</f>
        <v/>
      </c>
      <c r="S204">
        <f>$C204*S203</f>
        <v/>
      </c>
      <c r="T204">
        <f>$C204*T203</f>
        <v/>
      </c>
      <c r="U204">
        <f>$C204*U203</f>
        <v/>
      </c>
      <c r="V204">
        <f>$C204*V203</f>
        <v/>
      </c>
      <c r="W204">
        <f>$C204*W203</f>
        <v/>
      </c>
      <c r="X204">
        <f>$C204*X203</f>
        <v/>
      </c>
      <c r="Y204">
        <f>$C204*Y203</f>
        <v/>
      </c>
      <c r="Z204">
        <f>$C204*Z203</f>
        <v/>
      </c>
      <c r="AA204">
        <f>$C204*AA203</f>
        <v/>
      </c>
      <c r="AB204">
        <f>$C204*AB203</f>
        <v/>
      </c>
      <c r="AC204">
        <f>$C204*AC203</f>
        <v/>
      </c>
      <c r="AD204">
        <f>$C204*AD203</f>
        <v/>
      </c>
      <c r="AE204">
        <f>$C204*AE203</f>
        <v/>
      </c>
      <c r="AF204">
        <f>$C204*AF203</f>
        <v/>
      </c>
      <c r="AG204">
        <f>$C204*AG203</f>
        <v/>
      </c>
      <c r="AH204">
        <f>$C204*AH203</f>
        <v/>
      </c>
      <c r="AI204">
        <f>$C204*AI203</f>
        <v/>
      </c>
      <c r="AJ204">
        <f>$C204*AJ203</f>
        <v/>
      </c>
      <c r="AK204">
        <f>$C204*AK203</f>
        <v/>
      </c>
      <c r="AL204">
        <f>$C204*AL203</f>
        <v/>
      </c>
      <c r="AM204">
        <f>$C204*AM203</f>
        <v/>
      </c>
      <c r="AN204">
        <f>$C204*AN203</f>
        <v/>
      </c>
      <c r="AO204">
        <f>$C204*AO203</f>
        <v/>
      </c>
      <c r="AP204">
        <f>$C204*AP203</f>
        <v/>
      </c>
      <c r="AQ204">
        <f>$C204*AQ203</f>
        <v/>
      </c>
      <c r="AR204">
        <f>$C204*AR203</f>
        <v/>
      </c>
      <c r="AS204">
        <f>$C204*AS203</f>
        <v/>
      </c>
      <c r="AT204">
        <f>$C204*AT203</f>
        <v/>
      </c>
      <c r="AU204">
        <f>$C204*AU203</f>
        <v/>
      </c>
      <c r="AV204">
        <f>$C204*AV203</f>
        <v/>
      </c>
      <c r="AW204">
        <f>$C204*AW203</f>
        <v/>
      </c>
      <c r="AX204">
        <f>$C204*AX203</f>
        <v/>
      </c>
      <c r="AY204">
        <f>$C204*AY203</f>
        <v/>
      </c>
      <c r="AZ204">
        <f>$C204*AZ203</f>
        <v/>
      </c>
      <c r="BA204">
        <f>$C204*BA203</f>
        <v/>
      </c>
      <c r="BB204">
        <f>$C204*BB203</f>
        <v/>
      </c>
      <c r="BC204">
        <f>$C204*BC203</f>
        <v/>
      </c>
      <c r="BD204">
        <f>$C204*BD203</f>
        <v/>
      </c>
      <c r="BE204">
        <f>$C204*BE203</f>
        <v/>
      </c>
      <c r="BF204">
        <f>$C204*BF203</f>
        <v/>
      </c>
      <c r="BG204">
        <f>$C204*BG203</f>
        <v/>
      </c>
      <c r="BH204">
        <f>$C204*BH203</f>
        <v/>
      </c>
      <c r="BI204">
        <f>$C204*BI203</f>
        <v/>
      </c>
      <c r="BJ204">
        <f>$C204*BJ203</f>
        <v/>
      </c>
      <c r="BK204">
        <f>$C204*BK203</f>
        <v/>
      </c>
      <c r="BL204">
        <f>$C204*BL203</f>
        <v/>
      </c>
      <c r="BM204">
        <f>$C204*BM203</f>
        <v/>
      </c>
      <c r="BN204">
        <f>$C204*BN203</f>
        <v/>
      </c>
      <c r="BO204">
        <f>$C204*BO203</f>
        <v/>
      </c>
      <c r="BP204">
        <f>$C204*BP203</f>
        <v/>
      </c>
      <c r="BQ204">
        <f>$C204*BQ203</f>
        <v/>
      </c>
      <c r="BR204">
        <f>$C204*BR203</f>
        <v/>
      </c>
      <c r="BS204">
        <f>$C204*BS203</f>
        <v/>
      </c>
      <c r="BT204">
        <f>$C204*BT203</f>
        <v/>
      </c>
      <c r="BU204">
        <f>$C204*BU203</f>
        <v/>
      </c>
      <c r="BV204">
        <f>$C204*BV203</f>
        <v/>
      </c>
      <c r="BW204">
        <f>$C204*BW203</f>
        <v/>
      </c>
      <c r="BX204">
        <f>$C204*BX203</f>
        <v/>
      </c>
      <c r="BY204">
        <f>$C204*BY203</f>
        <v/>
      </c>
      <c r="BZ204">
        <f>$C204*BZ203</f>
        <v/>
      </c>
      <c r="CA204">
        <f>$C204*CA203</f>
        <v/>
      </c>
      <c r="CB204">
        <f>$C204*CB203</f>
        <v/>
      </c>
      <c r="CC204">
        <f>$C204*CC203</f>
        <v/>
      </c>
      <c r="CD204">
        <f>$C204*CD203</f>
        <v/>
      </c>
      <c r="CE204">
        <f>$C204*CE203</f>
        <v/>
      </c>
      <c r="CF204">
        <f>$C204*CF203</f>
        <v/>
      </c>
      <c r="CG204">
        <f>$C204*CG203</f>
        <v/>
      </c>
      <c r="CH204">
        <f>$C204*CH203</f>
        <v/>
      </c>
      <c r="CI204">
        <f>$C204*CI203</f>
        <v/>
      </c>
      <c r="CJ204">
        <f>$C204*CJ203</f>
        <v/>
      </c>
      <c r="CK204">
        <f>$C204*CK203</f>
        <v/>
      </c>
      <c r="CL204">
        <f>$C204*CL203</f>
        <v/>
      </c>
      <c r="CM204">
        <f>$C204*CM203</f>
        <v/>
      </c>
      <c r="CN204">
        <f>$C204*CN203</f>
        <v/>
      </c>
      <c r="CO204">
        <f>$C204*CO203</f>
        <v/>
      </c>
      <c r="CP204">
        <f>$C204*CP203</f>
        <v/>
      </c>
      <c r="CQ204">
        <f>$C204*CQ203</f>
        <v/>
      </c>
      <c r="CR204">
        <f>$C204*CR203</f>
        <v/>
      </c>
      <c r="CS204">
        <f>$C204*CS203</f>
        <v/>
      </c>
      <c r="CT204">
        <f>$C204*CT203</f>
        <v/>
      </c>
      <c r="CU204">
        <f>$C204*CU203</f>
        <v/>
      </c>
      <c r="CV204">
        <f>$C204*CV203</f>
        <v/>
      </c>
      <c r="CW204">
        <f>$C204*CW203</f>
        <v/>
      </c>
      <c r="CX204">
        <f>$C204*CX203</f>
        <v/>
      </c>
      <c r="CY204">
        <f>$C204*CY203</f>
        <v/>
      </c>
      <c r="CZ204">
        <f>$C204*CZ203</f>
        <v/>
      </c>
      <c r="DA204">
        <f>$C204*DA203</f>
        <v/>
      </c>
      <c r="DB204">
        <f>$C204*DB203</f>
        <v/>
      </c>
      <c r="DC204">
        <f>$C204*DC203</f>
        <v/>
      </c>
    </row>
    <row r="205">
      <c r="B205" t="inlineStr">
        <is>
          <t>TVS-267</t>
        </is>
      </c>
      <c r="C205" t="inlineStr">
        <is>
          <t>No. of batches</t>
        </is>
      </c>
      <c r="D205">
        <f>IFERROR(INDEX(PP_Grid[#Data],$DD205,2),0)</f>
        <v/>
      </c>
      <c r="E205">
        <f>IFERROR(INDEX(PP_Grid[#Data],$DD205,3),0)</f>
        <v/>
      </c>
      <c r="F205">
        <f>IFERROR(INDEX(PP_Grid[#Data],$DD205,4),0)</f>
        <v/>
      </c>
      <c r="G205">
        <f>IFERROR(INDEX(PP_Grid[#Data],$DD205,5),0)</f>
        <v/>
      </c>
      <c r="H205">
        <f>IFERROR(INDEX(PP_Grid[#Data],$DD205,6),0)</f>
        <v/>
      </c>
      <c r="I205">
        <f>IFERROR(INDEX(PP_Grid[#Data],$DD205,7),0)</f>
        <v/>
      </c>
      <c r="J205">
        <f>IFERROR(INDEX(PP_Grid[#Data],$DD205,8),0)</f>
        <v/>
      </c>
      <c r="K205">
        <f>IFERROR(INDEX(PP_Grid[#Data],$DD205,9),0)</f>
        <v/>
      </c>
      <c r="L205">
        <f>IFERROR(INDEX(PP_Grid[#Data],$DD205,10),0)</f>
        <v/>
      </c>
      <c r="M205">
        <f>IFERROR(INDEX(PP_Grid[#Data],$DD205,11),0)</f>
        <v/>
      </c>
      <c r="N205">
        <f>IFERROR(INDEX(PP_Grid[#Data],$DD205,12),0)</f>
        <v/>
      </c>
      <c r="O205">
        <f>IFERROR(INDEX(PP_Grid[#Data],$DD205,13),0)</f>
        <v/>
      </c>
      <c r="P205">
        <f>IFERROR(INDEX(PP_Grid[#Data],$DD205,14),0)</f>
        <v/>
      </c>
      <c r="Q205">
        <f>IFERROR(INDEX(PP_Grid[#Data],$DD205,15),0)</f>
        <v/>
      </c>
      <c r="R205">
        <f>IFERROR(INDEX(PP_Grid[#Data],$DD205,16),0)</f>
        <v/>
      </c>
      <c r="S205">
        <f>IFERROR(INDEX(PP_Grid[#Data],$DD205,17),0)</f>
        <v/>
      </c>
      <c r="T205">
        <f>IFERROR(INDEX(PP_Grid[#Data],$DD205,18),0)</f>
        <v/>
      </c>
      <c r="U205">
        <f>IFERROR(INDEX(PP_Grid[#Data],$DD205,19),0)</f>
        <v/>
      </c>
      <c r="V205">
        <f>IFERROR(INDEX(PP_Grid[#Data],$DD205,20),0)</f>
        <v/>
      </c>
      <c r="W205">
        <f>IFERROR(INDEX(PP_Grid[#Data],$DD205,21),0)</f>
        <v/>
      </c>
      <c r="X205">
        <f>IFERROR(INDEX(PP_Grid[#Data],$DD205,22),0)</f>
        <v/>
      </c>
      <c r="Y205">
        <f>IFERROR(INDEX(PP_Grid[#Data],$DD205,23),0)</f>
        <v/>
      </c>
      <c r="Z205">
        <f>IFERROR(INDEX(PP_Grid[#Data],$DD205,24),0)</f>
        <v/>
      </c>
      <c r="AA205">
        <f>IFERROR(INDEX(PP_Grid[#Data],$DD205,25),0)</f>
        <v/>
      </c>
      <c r="AB205">
        <f>IFERROR(INDEX(PP_Grid[#Data],$DD205,26),0)</f>
        <v/>
      </c>
      <c r="AC205">
        <f>IFERROR(INDEX(PP_Grid[#Data],$DD205,27),0)</f>
        <v/>
      </c>
      <c r="AD205">
        <f>IFERROR(INDEX(PP_Grid[#Data],$DD205,28),0)</f>
        <v/>
      </c>
      <c r="AE205">
        <f>IFERROR(INDEX(PP_Grid[#Data],$DD205,29),0)</f>
        <v/>
      </c>
      <c r="AF205">
        <f>IFERROR(INDEX(PP_Grid[#Data],$DD205,30),0)</f>
        <v/>
      </c>
      <c r="AG205">
        <f>IFERROR(INDEX(PP_Grid[#Data],$DD205,31),0)</f>
        <v/>
      </c>
      <c r="AH205">
        <f>IFERROR(INDEX(PP_Grid[#Data],$DD205,32),0)</f>
        <v/>
      </c>
      <c r="AI205">
        <f>IFERROR(INDEX(PP_Grid[#Data],$DD205,33),0)</f>
        <v/>
      </c>
      <c r="AJ205">
        <f>IFERROR(INDEX(PP_Grid[#Data],$DD205,34),0)</f>
        <v/>
      </c>
      <c r="AK205">
        <f>IFERROR(INDEX(PP_Grid[#Data],$DD205,35),0)</f>
        <v/>
      </c>
      <c r="AL205">
        <f>IFERROR(INDEX(PP_Grid[#Data],$DD205,36),0)</f>
        <v/>
      </c>
      <c r="AM205">
        <f>IFERROR(INDEX(PP_Grid[#Data],$DD205,37),0)</f>
        <v/>
      </c>
      <c r="AN205">
        <f>IFERROR(INDEX(PP_Grid[#Data],$DD205,38),0)</f>
        <v/>
      </c>
      <c r="AO205">
        <f>IFERROR(INDEX(PP_Grid[#Data],$DD205,39),0)</f>
        <v/>
      </c>
      <c r="AP205">
        <f>IFERROR(INDEX(PP_Grid[#Data],$DD205,40),0)</f>
        <v/>
      </c>
      <c r="AQ205">
        <f>IFERROR(INDEX(PP_Grid[#Data],$DD205,41),0)</f>
        <v/>
      </c>
      <c r="AR205">
        <f>IFERROR(INDEX(PP_Grid[#Data],$DD205,42),0)</f>
        <v/>
      </c>
      <c r="AS205">
        <f>IFERROR(INDEX(PP_Grid[#Data],$DD205,43),0)</f>
        <v/>
      </c>
      <c r="AT205">
        <f>IFERROR(INDEX(PP_Grid[#Data],$DD205,44),0)</f>
        <v/>
      </c>
      <c r="AU205">
        <f>IFERROR(INDEX(PP_Grid[#Data],$DD205,45),0)</f>
        <v/>
      </c>
      <c r="AV205">
        <f>IFERROR(INDEX(PP_Grid[#Data],$DD205,46),0)</f>
        <v/>
      </c>
      <c r="AW205">
        <f>IFERROR(INDEX(PP_Grid[#Data],$DD205,47),0)</f>
        <v/>
      </c>
      <c r="AX205">
        <f>IFERROR(INDEX(PP_Grid[#Data],$DD205,48),0)</f>
        <v/>
      </c>
      <c r="AY205">
        <f>IFERROR(INDEX(PP_Grid[#Data],$DD205,49),0)</f>
        <v/>
      </c>
      <c r="AZ205">
        <f>IFERROR(INDEX(PP_Grid[#Data],$DD205,50),0)</f>
        <v/>
      </c>
      <c r="BA205">
        <f>IFERROR(INDEX(PP_Grid[#Data],$DD205,51),0)</f>
        <v/>
      </c>
      <c r="BB205">
        <f>IFERROR(INDEX(PP_Grid[#Data],$DD205,52),0)</f>
        <v/>
      </c>
      <c r="BC205">
        <f>IFERROR(INDEX(PP_Grid[#Data],$DD205,53),0)</f>
        <v/>
      </c>
      <c r="BD205">
        <f>IFERROR(INDEX(PP_Grid[#Data],$DD205,54),0)</f>
        <v/>
      </c>
      <c r="BE205">
        <f>IFERROR(INDEX(PP_Grid[#Data],$DD205,55),0)</f>
        <v/>
      </c>
      <c r="BF205">
        <f>IFERROR(INDEX(PP_Grid[#Data],$DD205,56),0)</f>
        <v/>
      </c>
      <c r="BG205">
        <f>IFERROR(INDEX(PP_Grid[#Data],$DD205,57),0)</f>
        <v/>
      </c>
      <c r="BH205">
        <f>IFERROR(INDEX(PP_Grid[#Data],$DD205,58),0)</f>
        <v/>
      </c>
      <c r="BI205">
        <f>IFERROR(INDEX(PP_Grid[#Data],$DD205,59),0)</f>
        <v/>
      </c>
      <c r="BJ205">
        <f>IFERROR(INDEX(PP_Grid[#Data],$DD205,60),0)</f>
        <v/>
      </c>
      <c r="BK205">
        <f>IFERROR(INDEX(PP_Grid[#Data],$DD205,61),0)</f>
        <v/>
      </c>
      <c r="BL205">
        <f>IFERROR(INDEX(PP_Grid[#Data],$DD205,62),0)</f>
        <v/>
      </c>
      <c r="BM205">
        <f>IFERROR(INDEX(PP_Grid[#Data],$DD205,63),0)</f>
        <v/>
      </c>
      <c r="BN205">
        <f>IFERROR(INDEX(PP_Grid[#Data],$DD205,64),0)</f>
        <v/>
      </c>
      <c r="BO205">
        <f>IFERROR(INDEX(PP_Grid[#Data],$DD205,65),0)</f>
        <v/>
      </c>
      <c r="BP205">
        <f>IFERROR(INDEX(PP_Grid[#Data],$DD205,66),0)</f>
        <v/>
      </c>
      <c r="BQ205">
        <f>IFERROR(INDEX(PP_Grid[#Data],$DD205,67),0)</f>
        <v/>
      </c>
      <c r="BR205">
        <f>IFERROR(INDEX(PP_Grid[#Data],$DD205,68),0)</f>
        <v/>
      </c>
      <c r="BS205">
        <f>IFERROR(INDEX(PP_Grid[#Data],$DD205,69),0)</f>
        <v/>
      </c>
      <c r="BT205">
        <f>IFERROR(INDEX(PP_Grid[#Data],$DD205,70),0)</f>
        <v/>
      </c>
      <c r="BU205">
        <f>IFERROR(INDEX(PP_Grid[#Data],$DD205,71),0)</f>
        <v/>
      </c>
      <c r="BV205">
        <f>IFERROR(INDEX(PP_Grid[#Data],$DD205,72),0)</f>
        <v/>
      </c>
      <c r="BW205">
        <f>IFERROR(INDEX(PP_Grid[#Data],$DD205,73),0)</f>
        <v/>
      </c>
      <c r="BX205">
        <f>IFERROR(INDEX(PP_Grid[#Data],$DD205,74),0)</f>
        <v/>
      </c>
      <c r="BY205">
        <f>IFERROR(INDEX(PP_Grid[#Data],$DD205,75),0)</f>
        <v/>
      </c>
      <c r="BZ205">
        <f>IFERROR(INDEX(PP_Grid[#Data],$DD205,76),0)</f>
        <v/>
      </c>
      <c r="CA205">
        <f>IFERROR(INDEX(PP_Grid[#Data],$DD205,77),0)</f>
        <v/>
      </c>
      <c r="CB205">
        <f>IFERROR(INDEX(PP_Grid[#Data],$DD205,78),0)</f>
        <v/>
      </c>
      <c r="CC205">
        <f>IFERROR(INDEX(PP_Grid[#Data],$DD205,79),0)</f>
        <v/>
      </c>
      <c r="CD205">
        <f>IFERROR(INDEX(PP_Grid[#Data],$DD205,80),0)</f>
        <v/>
      </c>
      <c r="CE205">
        <f>IFERROR(INDEX(PP_Grid[#Data],$DD205,81),0)</f>
        <v/>
      </c>
      <c r="CF205">
        <f>IFERROR(INDEX(PP_Grid[#Data],$DD205,82),0)</f>
        <v/>
      </c>
      <c r="CG205">
        <f>IFERROR(INDEX(PP_Grid[#Data],$DD205,83),0)</f>
        <v/>
      </c>
      <c r="CH205">
        <f>IFERROR(INDEX(PP_Grid[#Data],$DD205,84),0)</f>
        <v/>
      </c>
      <c r="CI205">
        <f>IFERROR(INDEX(PP_Grid[#Data],$DD205,85),0)</f>
        <v/>
      </c>
      <c r="CJ205">
        <f>IFERROR(INDEX(PP_Grid[#Data],$DD205,86),0)</f>
        <v/>
      </c>
      <c r="CK205">
        <f>IFERROR(INDEX(PP_Grid[#Data],$DD205,87),0)</f>
        <v/>
      </c>
      <c r="CL205">
        <f>IFERROR(INDEX(PP_Grid[#Data],$DD205,88),0)</f>
        <v/>
      </c>
      <c r="CM205">
        <f>IFERROR(INDEX(PP_Grid[#Data],$DD205,89),0)</f>
        <v/>
      </c>
      <c r="CN205">
        <f>IFERROR(INDEX(PP_Grid[#Data],$DD205,90),0)</f>
        <v/>
      </c>
      <c r="CO205">
        <f>IFERROR(INDEX(PP_Grid[#Data],$DD205,91),0)</f>
        <v/>
      </c>
      <c r="CP205">
        <f>IFERROR(INDEX(PP_Grid[#Data],$DD205,92),0)</f>
        <v/>
      </c>
      <c r="CQ205">
        <f>IFERROR(INDEX(PP_Grid[#Data],$DD205,93),0)</f>
        <v/>
      </c>
      <c r="CR205">
        <f>IFERROR(INDEX(PP_Grid[#Data],$DD205,94),0)</f>
        <v/>
      </c>
      <c r="CS205">
        <f>IFERROR(INDEX(PP_Grid[#Data],$DD205,95),0)</f>
        <v/>
      </c>
      <c r="CT205">
        <f>IFERROR(INDEX(PP_Grid[#Data],$DD205,96),0)</f>
        <v/>
      </c>
      <c r="CU205">
        <f>IFERROR(INDEX(PP_Grid[#Data],$DD205,97),0)</f>
        <v/>
      </c>
      <c r="CV205">
        <f>IFERROR(INDEX(PP_Grid[#Data],$DD205,98),0)</f>
        <v/>
      </c>
      <c r="CW205">
        <f>IFERROR(INDEX(PP_Grid[#Data],$DD205,99),0)</f>
        <v/>
      </c>
      <c r="CX205">
        <f>IFERROR(INDEX(PP_Grid[#Data],$DD205,100),0)</f>
        <v/>
      </c>
      <c r="CY205">
        <f>IFERROR(INDEX(PP_Grid[#Data],$DD205,101),0)</f>
        <v/>
      </c>
      <c r="CZ205">
        <f>IFERROR(INDEX(PP_Grid[#Data],$DD205,102),0)</f>
        <v/>
      </c>
      <c r="DA205">
        <f>IFERROR(INDEX(PP_Grid[#Data],$DD205,103),0)</f>
        <v/>
      </c>
      <c r="DB205">
        <f>IFERROR(INDEX(PP_Grid[#Data],$DD205,104),0)</f>
        <v/>
      </c>
      <c r="DC205">
        <f>IFERROR(INDEX(PP_Grid[#Data],$DD205,105),0)</f>
        <v/>
      </c>
      <c r="DD205" s="7">
        <f>IFERROR(MATCH($B205,PP_Grid[Intermediate],0),99999)</f>
        <v/>
      </c>
    </row>
    <row r="206">
      <c r="B206" t="inlineStr">
        <is>
          <t>使用量(kg)</t>
        </is>
      </c>
      <c r="C206">
        <f>SUMIFS(M_BOM[RM_Qty_Per_Batch],M_BOM[Intermediate],$B205,M_BOM[Part Name],$A44)</f>
        <v/>
      </c>
      <c r="D206">
        <f>$C206*D205</f>
        <v/>
      </c>
      <c r="E206">
        <f>$C206*E205</f>
        <v/>
      </c>
      <c r="F206">
        <f>$C206*F205</f>
        <v/>
      </c>
      <c r="G206">
        <f>$C206*G205</f>
        <v/>
      </c>
      <c r="H206">
        <f>$C206*H205</f>
        <v/>
      </c>
      <c r="I206">
        <f>$C206*I205</f>
        <v/>
      </c>
      <c r="J206">
        <f>$C206*J205</f>
        <v/>
      </c>
      <c r="K206">
        <f>$C206*K205</f>
        <v/>
      </c>
      <c r="L206">
        <f>$C206*L205</f>
        <v/>
      </c>
      <c r="M206">
        <f>$C206*M205</f>
        <v/>
      </c>
      <c r="N206">
        <f>$C206*N205</f>
        <v/>
      </c>
      <c r="O206">
        <f>$C206*O205</f>
        <v/>
      </c>
      <c r="P206">
        <f>$C206*P205</f>
        <v/>
      </c>
      <c r="Q206">
        <f>$C206*Q205</f>
        <v/>
      </c>
      <c r="R206">
        <f>$C206*R205</f>
        <v/>
      </c>
      <c r="S206">
        <f>$C206*S205</f>
        <v/>
      </c>
      <c r="T206">
        <f>$C206*T205</f>
        <v/>
      </c>
      <c r="U206">
        <f>$C206*U205</f>
        <v/>
      </c>
      <c r="V206">
        <f>$C206*V205</f>
        <v/>
      </c>
      <c r="W206">
        <f>$C206*W205</f>
        <v/>
      </c>
      <c r="X206">
        <f>$C206*X205</f>
        <v/>
      </c>
      <c r="Y206">
        <f>$C206*Y205</f>
        <v/>
      </c>
      <c r="Z206">
        <f>$C206*Z205</f>
        <v/>
      </c>
      <c r="AA206">
        <f>$C206*AA205</f>
        <v/>
      </c>
      <c r="AB206">
        <f>$C206*AB205</f>
        <v/>
      </c>
      <c r="AC206">
        <f>$C206*AC205</f>
        <v/>
      </c>
      <c r="AD206">
        <f>$C206*AD205</f>
        <v/>
      </c>
      <c r="AE206">
        <f>$C206*AE205</f>
        <v/>
      </c>
      <c r="AF206">
        <f>$C206*AF205</f>
        <v/>
      </c>
      <c r="AG206">
        <f>$C206*AG205</f>
        <v/>
      </c>
      <c r="AH206">
        <f>$C206*AH205</f>
        <v/>
      </c>
      <c r="AI206">
        <f>$C206*AI205</f>
        <v/>
      </c>
      <c r="AJ206">
        <f>$C206*AJ205</f>
        <v/>
      </c>
      <c r="AK206">
        <f>$C206*AK205</f>
        <v/>
      </c>
      <c r="AL206">
        <f>$C206*AL205</f>
        <v/>
      </c>
      <c r="AM206">
        <f>$C206*AM205</f>
        <v/>
      </c>
      <c r="AN206">
        <f>$C206*AN205</f>
        <v/>
      </c>
      <c r="AO206">
        <f>$C206*AO205</f>
        <v/>
      </c>
      <c r="AP206">
        <f>$C206*AP205</f>
        <v/>
      </c>
      <c r="AQ206">
        <f>$C206*AQ205</f>
        <v/>
      </c>
      <c r="AR206">
        <f>$C206*AR205</f>
        <v/>
      </c>
      <c r="AS206">
        <f>$C206*AS205</f>
        <v/>
      </c>
      <c r="AT206">
        <f>$C206*AT205</f>
        <v/>
      </c>
      <c r="AU206">
        <f>$C206*AU205</f>
        <v/>
      </c>
      <c r="AV206">
        <f>$C206*AV205</f>
        <v/>
      </c>
      <c r="AW206">
        <f>$C206*AW205</f>
        <v/>
      </c>
      <c r="AX206">
        <f>$C206*AX205</f>
        <v/>
      </c>
      <c r="AY206">
        <f>$C206*AY205</f>
        <v/>
      </c>
      <c r="AZ206">
        <f>$C206*AZ205</f>
        <v/>
      </c>
      <c r="BA206">
        <f>$C206*BA205</f>
        <v/>
      </c>
      <c r="BB206">
        <f>$C206*BB205</f>
        <v/>
      </c>
      <c r="BC206">
        <f>$C206*BC205</f>
        <v/>
      </c>
      <c r="BD206">
        <f>$C206*BD205</f>
        <v/>
      </c>
      <c r="BE206">
        <f>$C206*BE205</f>
        <v/>
      </c>
      <c r="BF206">
        <f>$C206*BF205</f>
        <v/>
      </c>
      <c r="BG206">
        <f>$C206*BG205</f>
        <v/>
      </c>
      <c r="BH206">
        <f>$C206*BH205</f>
        <v/>
      </c>
      <c r="BI206">
        <f>$C206*BI205</f>
        <v/>
      </c>
      <c r="BJ206">
        <f>$C206*BJ205</f>
        <v/>
      </c>
      <c r="BK206">
        <f>$C206*BK205</f>
        <v/>
      </c>
      <c r="BL206">
        <f>$C206*BL205</f>
        <v/>
      </c>
      <c r="BM206">
        <f>$C206*BM205</f>
        <v/>
      </c>
      <c r="BN206">
        <f>$C206*BN205</f>
        <v/>
      </c>
      <c r="BO206">
        <f>$C206*BO205</f>
        <v/>
      </c>
      <c r="BP206">
        <f>$C206*BP205</f>
        <v/>
      </c>
      <c r="BQ206">
        <f>$C206*BQ205</f>
        <v/>
      </c>
      <c r="BR206">
        <f>$C206*BR205</f>
        <v/>
      </c>
      <c r="BS206">
        <f>$C206*BS205</f>
        <v/>
      </c>
      <c r="BT206">
        <f>$C206*BT205</f>
        <v/>
      </c>
      <c r="BU206">
        <f>$C206*BU205</f>
        <v/>
      </c>
      <c r="BV206">
        <f>$C206*BV205</f>
        <v/>
      </c>
      <c r="BW206">
        <f>$C206*BW205</f>
        <v/>
      </c>
      <c r="BX206">
        <f>$C206*BX205</f>
        <v/>
      </c>
      <c r="BY206">
        <f>$C206*BY205</f>
        <v/>
      </c>
      <c r="BZ206">
        <f>$C206*BZ205</f>
        <v/>
      </c>
      <c r="CA206">
        <f>$C206*CA205</f>
        <v/>
      </c>
      <c r="CB206">
        <f>$C206*CB205</f>
        <v/>
      </c>
      <c r="CC206">
        <f>$C206*CC205</f>
        <v/>
      </c>
      <c r="CD206">
        <f>$C206*CD205</f>
        <v/>
      </c>
      <c r="CE206">
        <f>$C206*CE205</f>
        <v/>
      </c>
      <c r="CF206">
        <f>$C206*CF205</f>
        <v/>
      </c>
      <c r="CG206">
        <f>$C206*CG205</f>
        <v/>
      </c>
      <c r="CH206">
        <f>$C206*CH205</f>
        <v/>
      </c>
      <c r="CI206">
        <f>$C206*CI205</f>
        <v/>
      </c>
      <c r="CJ206">
        <f>$C206*CJ205</f>
        <v/>
      </c>
      <c r="CK206">
        <f>$C206*CK205</f>
        <v/>
      </c>
      <c r="CL206">
        <f>$C206*CL205</f>
        <v/>
      </c>
      <c r="CM206">
        <f>$C206*CM205</f>
        <v/>
      </c>
      <c r="CN206">
        <f>$C206*CN205</f>
        <v/>
      </c>
      <c r="CO206">
        <f>$C206*CO205</f>
        <v/>
      </c>
      <c r="CP206">
        <f>$C206*CP205</f>
        <v/>
      </c>
      <c r="CQ206">
        <f>$C206*CQ205</f>
        <v/>
      </c>
      <c r="CR206">
        <f>$C206*CR205</f>
        <v/>
      </c>
      <c r="CS206">
        <f>$C206*CS205</f>
        <v/>
      </c>
      <c r="CT206">
        <f>$C206*CT205</f>
        <v/>
      </c>
      <c r="CU206">
        <f>$C206*CU205</f>
        <v/>
      </c>
      <c r="CV206">
        <f>$C206*CV205</f>
        <v/>
      </c>
      <c r="CW206">
        <f>$C206*CW205</f>
        <v/>
      </c>
      <c r="CX206">
        <f>$C206*CX205</f>
        <v/>
      </c>
      <c r="CY206">
        <f>$C206*CY205</f>
        <v/>
      </c>
      <c r="CZ206">
        <f>$C206*CZ205</f>
        <v/>
      </c>
      <c r="DA206">
        <f>$C206*DA205</f>
        <v/>
      </c>
      <c r="DB206">
        <f>$C206*DB205</f>
        <v/>
      </c>
      <c r="DC206">
        <f>$C206*DC205</f>
        <v/>
      </c>
    </row>
    <row r="207">
      <c r="B207" t="inlineStr">
        <is>
          <t>TVS-500</t>
        </is>
      </c>
      <c r="C207" t="inlineStr">
        <is>
          <t>No. of batches</t>
        </is>
      </c>
      <c r="D207">
        <f>IFERROR(INDEX(PP_Grid[#Data],$DD207,2),0)</f>
        <v/>
      </c>
      <c r="E207">
        <f>IFERROR(INDEX(PP_Grid[#Data],$DD207,3),0)</f>
        <v/>
      </c>
      <c r="F207">
        <f>IFERROR(INDEX(PP_Grid[#Data],$DD207,4),0)</f>
        <v/>
      </c>
      <c r="G207">
        <f>IFERROR(INDEX(PP_Grid[#Data],$DD207,5),0)</f>
        <v/>
      </c>
      <c r="H207">
        <f>IFERROR(INDEX(PP_Grid[#Data],$DD207,6),0)</f>
        <v/>
      </c>
      <c r="I207">
        <f>IFERROR(INDEX(PP_Grid[#Data],$DD207,7),0)</f>
        <v/>
      </c>
      <c r="J207">
        <f>IFERROR(INDEX(PP_Grid[#Data],$DD207,8),0)</f>
        <v/>
      </c>
      <c r="K207">
        <f>IFERROR(INDEX(PP_Grid[#Data],$DD207,9),0)</f>
        <v/>
      </c>
      <c r="L207">
        <f>IFERROR(INDEX(PP_Grid[#Data],$DD207,10),0)</f>
        <v/>
      </c>
      <c r="M207">
        <f>IFERROR(INDEX(PP_Grid[#Data],$DD207,11),0)</f>
        <v/>
      </c>
      <c r="N207">
        <f>IFERROR(INDEX(PP_Grid[#Data],$DD207,12),0)</f>
        <v/>
      </c>
      <c r="O207">
        <f>IFERROR(INDEX(PP_Grid[#Data],$DD207,13),0)</f>
        <v/>
      </c>
      <c r="P207">
        <f>IFERROR(INDEX(PP_Grid[#Data],$DD207,14),0)</f>
        <v/>
      </c>
      <c r="Q207">
        <f>IFERROR(INDEX(PP_Grid[#Data],$DD207,15),0)</f>
        <v/>
      </c>
      <c r="R207">
        <f>IFERROR(INDEX(PP_Grid[#Data],$DD207,16),0)</f>
        <v/>
      </c>
      <c r="S207">
        <f>IFERROR(INDEX(PP_Grid[#Data],$DD207,17),0)</f>
        <v/>
      </c>
      <c r="T207">
        <f>IFERROR(INDEX(PP_Grid[#Data],$DD207,18),0)</f>
        <v/>
      </c>
      <c r="U207">
        <f>IFERROR(INDEX(PP_Grid[#Data],$DD207,19),0)</f>
        <v/>
      </c>
      <c r="V207">
        <f>IFERROR(INDEX(PP_Grid[#Data],$DD207,20),0)</f>
        <v/>
      </c>
      <c r="W207">
        <f>IFERROR(INDEX(PP_Grid[#Data],$DD207,21),0)</f>
        <v/>
      </c>
      <c r="X207">
        <f>IFERROR(INDEX(PP_Grid[#Data],$DD207,22),0)</f>
        <v/>
      </c>
      <c r="Y207">
        <f>IFERROR(INDEX(PP_Grid[#Data],$DD207,23),0)</f>
        <v/>
      </c>
      <c r="Z207">
        <f>IFERROR(INDEX(PP_Grid[#Data],$DD207,24),0)</f>
        <v/>
      </c>
      <c r="AA207">
        <f>IFERROR(INDEX(PP_Grid[#Data],$DD207,25),0)</f>
        <v/>
      </c>
      <c r="AB207">
        <f>IFERROR(INDEX(PP_Grid[#Data],$DD207,26),0)</f>
        <v/>
      </c>
      <c r="AC207">
        <f>IFERROR(INDEX(PP_Grid[#Data],$DD207,27),0)</f>
        <v/>
      </c>
      <c r="AD207">
        <f>IFERROR(INDEX(PP_Grid[#Data],$DD207,28),0)</f>
        <v/>
      </c>
      <c r="AE207">
        <f>IFERROR(INDEX(PP_Grid[#Data],$DD207,29),0)</f>
        <v/>
      </c>
      <c r="AF207">
        <f>IFERROR(INDEX(PP_Grid[#Data],$DD207,30),0)</f>
        <v/>
      </c>
      <c r="AG207">
        <f>IFERROR(INDEX(PP_Grid[#Data],$DD207,31),0)</f>
        <v/>
      </c>
      <c r="AH207">
        <f>IFERROR(INDEX(PP_Grid[#Data],$DD207,32),0)</f>
        <v/>
      </c>
      <c r="AI207">
        <f>IFERROR(INDEX(PP_Grid[#Data],$DD207,33),0)</f>
        <v/>
      </c>
      <c r="AJ207">
        <f>IFERROR(INDEX(PP_Grid[#Data],$DD207,34),0)</f>
        <v/>
      </c>
      <c r="AK207">
        <f>IFERROR(INDEX(PP_Grid[#Data],$DD207,35),0)</f>
        <v/>
      </c>
      <c r="AL207">
        <f>IFERROR(INDEX(PP_Grid[#Data],$DD207,36),0)</f>
        <v/>
      </c>
      <c r="AM207">
        <f>IFERROR(INDEX(PP_Grid[#Data],$DD207,37),0)</f>
        <v/>
      </c>
      <c r="AN207">
        <f>IFERROR(INDEX(PP_Grid[#Data],$DD207,38),0)</f>
        <v/>
      </c>
      <c r="AO207">
        <f>IFERROR(INDEX(PP_Grid[#Data],$DD207,39),0)</f>
        <v/>
      </c>
      <c r="AP207">
        <f>IFERROR(INDEX(PP_Grid[#Data],$DD207,40),0)</f>
        <v/>
      </c>
      <c r="AQ207">
        <f>IFERROR(INDEX(PP_Grid[#Data],$DD207,41),0)</f>
        <v/>
      </c>
      <c r="AR207">
        <f>IFERROR(INDEX(PP_Grid[#Data],$DD207,42),0)</f>
        <v/>
      </c>
      <c r="AS207">
        <f>IFERROR(INDEX(PP_Grid[#Data],$DD207,43),0)</f>
        <v/>
      </c>
      <c r="AT207">
        <f>IFERROR(INDEX(PP_Grid[#Data],$DD207,44),0)</f>
        <v/>
      </c>
      <c r="AU207">
        <f>IFERROR(INDEX(PP_Grid[#Data],$DD207,45),0)</f>
        <v/>
      </c>
      <c r="AV207">
        <f>IFERROR(INDEX(PP_Grid[#Data],$DD207,46),0)</f>
        <v/>
      </c>
      <c r="AW207">
        <f>IFERROR(INDEX(PP_Grid[#Data],$DD207,47),0)</f>
        <v/>
      </c>
      <c r="AX207">
        <f>IFERROR(INDEX(PP_Grid[#Data],$DD207,48),0)</f>
        <v/>
      </c>
      <c r="AY207">
        <f>IFERROR(INDEX(PP_Grid[#Data],$DD207,49),0)</f>
        <v/>
      </c>
      <c r="AZ207">
        <f>IFERROR(INDEX(PP_Grid[#Data],$DD207,50),0)</f>
        <v/>
      </c>
      <c r="BA207">
        <f>IFERROR(INDEX(PP_Grid[#Data],$DD207,51),0)</f>
        <v/>
      </c>
      <c r="BB207">
        <f>IFERROR(INDEX(PP_Grid[#Data],$DD207,52),0)</f>
        <v/>
      </c>
      <c r="BC207">
        <f>IFERROR(INDEX(PP_Grid[#Data],$DD207,53),0)</f>
        <v/>
      </c>
      <c r="BD207">
        <f>IFERROR(INDEX(PP_Grid[#Data],$DD207,54),0)</f>
        <v/>
      </c>
      <c r="BE207">
        <f>IFERROR(INDEX(PP_Grid[#Data],$DD207,55),0)</f>
        <v/>
      </c>
      <c r="BF207">
        <f>IFERROR(INDEX(PP_Grid[#Data],$DD207,56),0)</f>
        <v/>
      </c>
      <c r="BG207">
        <f>IFERROR(INDEX(PP_Grid[#Data],$DD207,57),0)</f>
        <v/>
      </c>
      <c r="BH207">
        <f>IFERROR(INDEX(PP_Grid[#Data],$DD207,58),0)</f>
        <v/>
      </c>
      <c r="BI207">
        <f>IFERROR(INDEX(PP_Grid[#Data],$DD207,59),0)</f>
        <v/>
      </c>
      <c r="BJ207">
        <f>IFERROR(INDEX(PP_Grid[#Data],$DD207,60),0)</f>
        <v/>
      </c>
      <c r="BK207">
        <f>IFERROR(INDEX(PP_Grid[#Data],$DD207,61),0)</f>
        <v/>
      </c>
      <c r="BL207">
        <f>IFERROR(INDEX(PP_Grid[#Data],$DD207,62),0)</f>
        <v/>
      </c>
      <c r="BM207">
        <f>IFERROR(INDEX(PP_Grid[#Data],$DD207,63),0)</f>
        <v/>
      </c>
      <c r="BN207">
        <f>IFERROR(INDEX(PP_Grid[#Data],$DD207,64),0)</f>
        <v/>
      </c>
      <c r="BO207">
        <f>IFERROR(INDEX(PP_Grid[#Data],$DD207,65),0)</f>
        <v/>
      </c>
      <c r="BP207">
        <f>IFERROR(INDEX(PP_Grid[#Data],$DD207,66),0)</f>
        <v/>
      </c>
      <c r="BQ207">
        <f>IFERROR(INDEX(PP_Grid[#Data],$DD207,67),0)</f>
        <v/>
      </c>
      <c r="BR207">
        <f>IFERROR(INDEX(PP_Grid[#Data],$DD207,68),0)</f>
        <v/>
      </c>
      <c r="BS207">
        <f>IFERROR(INDEX(PP_Grid[#Data],$DD207,69),0)</f>
        <v/>
      </c>
      <c r="BT207">
        <f>IFERROR(INDEX(PP_Grid[#Data],$DD207,70),0)</f>
        <v/>
      </c>
      <c r="BU207">
        <f>IFERROR(INDEX(PP_Grid[#Data],$DD207,71),0)</f>
        <v/>
      </c>
      <c r="BV207">
        <f>IFERROR(INDEX(PP_Grid[#Data],$DD207,72),0)</f>
        <v/>
      </c>
      <c r="BW207">
        <f>IFERROR(INDEX(PP_Grid[#Data],$DD207,73),0)</f>
        <v/>
      </c>
      <c r="BX207">
        <f>IFERROR(INDEX(PP_Grid[#Data],$DD207,74),0)</f>
        <v/>
      </c>
      <c r="BY207">
        <f>IFERROR(INDEX(PP_Grid[#Data],$DD207,75),0)</f>
        <v/>
      </c>
      <c r="BZ207">
        <f>IFERROR(INDEX(PP_Grid[#Data],$DD207,76),0)</f>
        <v/>
      </c>
      <c r="CA207">
        <f>IFERROR(INDEX(PP_Grid[#Data],$DD207,77),0)</f>
        <v/>
      </c>
      <c r="CB207">
        <f>IFERROR(INDEX(PP_Grid[#Data],$DD207,78),0)</f>
        <v/>
      </c>
      <c r="CC207">
        <f>IFERROR(INDEX(PP_Grid[#Data],$DD207,79),0)</f>
        <v/>
      </c>
      <c r="CD207">
        <f>IFERROR(INDEX(PP_Grid[#Data],$DD207,80),0)</f>
        <v/>
      </c>
      <c r="CE207">
        <f>IFERROR(INDEX(PP_Grid[#Data],$DD207,81),0)</f>
        <v/>
      </c>
      <c r="CF207">
        <f>IFERROR(INDEX(PP_Grid[#Data],$DD207,82),0)</f>
        <v/>
      </c>
      <c r="CG207">
        <f>IFERROR(INDEX(PP_Grid[#Data],$DD207,83),0)</f>
        <v/>
      </c>
      <c r="CH207">
        <f>IFERROR(INDEX(PP_Grid[#Data],$DD207,84),0)</f>
        <v/>
      </c>
      <c r="CI207">
        <f>IFERROR(INDEX(PP_Grid[#Data],$DD207,85),0)</f>
        <v/>
      </c>
      <c r="CJ207">
        <f>IFERROR(INDEX(PP_Grid[#Data],$DD207,86),0)</f>
        <v/>
      </c>
      <c r="CK207">
        <f>IFERROR(INDEX(PP_Grid[#Data],$DD207,87),0)</f>
        <v/>
      </c>
      <c r="CL207">
        <f>IFERROR(INDEX(PP_Grid[#Data],$DD207,88),0)</f>
        <v/>
      </c>
      <c r="CM207">
        <f>IFERROR(INDEX(PP_Grid[#Data],$DD207,89),0)</f>
        <v/>
      </c>
      <c r="CN207">
        <f>IFERROR(INDEX(PP_Grid[#Data],$DD207,90),0)</f>
        <v/>
      </c>
      <c r="CO207">
        <f>IFERROR(INDEX(PP_Grid[#Data],$DD207,91),0)</f>
        <v/>
      </c>
      <c r="CP207">
        <f>IFERROR(INDEX(PP_Grid[#Data],$DD207,92),0)</f>
        <v/>
      </c>
      <c r="CQ207">
        <f>IFERROR(INDEX(PP_Grid[#Data],$DD207,93),0)</f>
        <v/>
      </c>
      <c r="CR207">
        <f>IFERROR(INDEX(PP_Grid[#Data],$DD207,94),0)</f>
        <v/>
      </c>
      <c r="CS207">
        <f>IFERROR(INDEX(PP_Grid[#Data],$DD207,95),0)</f>
        <v/>
      </c>
      <c r="CT207">
        <f>IFERROR(INDEX(PP_Grid[#Data],$DD207,96),0)</f>
        <v/>
      </c>
      <c r="CU207">
        <f>IFERROR(INDEX(PP_Grid[#Data],$DD207,97),0)</f>
        <v/>
      </c>
      <c r="CV207">
        <f>IFERROR(INDEX(PP_Grid[#Data],$DD207,98),0)</f>
        <v/>
      </c>
      <c r="CW207">
        <f>IFERROR(INDEX(PP_Grid[#Data],$DD207,99),0)</f>
        <v/>
      </c>
      <c r="CX207">
        <f>IFERROR(INDEX(PP_Grid[#Data],$DD207,100),0)</f>
        <v/>
      </c>
      <c r="CY207">
        <f>IFERROR(INDEX(PP_Grid[#Data],$DD207,101),0)</f>
        <v/>
      </c>
      <c r="CZ207">
        <f>IFERROR(INDEX(PP_Grid[#Data],$DD207,102),0)</f>
        <v/>
      </c>
      <c r="DA207">
        <f>IFERROR(INDEX(PP_Grid[#Data],$DD207,103),0)</f>
        <v/>
      </c>
      <c r="DB207">
        <f>IFERROR(INDEX(PP_Grid[#Data],$DD207,104),0)</f>
        <v/>
      </c>
      <c r="DC207">
        <f>IFERROR(INDEX(PP_Grid[#Data],$DD207,105),0)</f>
        <v/>
      </c>
      <c r="DD207" s="7">
        <f>IFERROR(MATCH($B207,PP_Grid[Intermediate],0),99999)</f>
        <v/>
      </c>
    </row>
    <row r="208">
      <c r="B208" t="inlineStr">
        <is>
          <t>使用量(kg)</t>
        </is>
      </c>
      <c r="C208">
        <f>SUMIFS(M_BOM[RM_Qty_Per_Batch],M_BOM[Intermediate],$B207,M_BOM[Part Name],$A44)</f>
        <v/>
      </c>
      <c r="D208">
        <f>$C208*D207</f>
        <v/>
      </c>
      <c r="E208">
        <f>$C208*E207</f>
        <v/>
      </c>
      <c r="F208">
        <f>$C208*F207</f>
        <v/>
      </c>
      <c r="G208">
        <f>$C208*G207</f>
        <v/>
      </c>
      <c r="H208">
        <f>$C208*H207</f>
        <v/>
      </c>
      <c r="I208">
        <f>$C208*I207</f>
        <v/>
      </c>
      <c r="J208">
        <f>$C208*J207</f>
        <v/>
      </c>
      <c r="K208">
        <f>$C208*K207</f>
        <v/>
      </c>
      <c r="L208">
        <f>$C208*L207</f>
        <v/>
      </c>
      <c r="M208">
        <f>$C208*M207</f>
        <v/>
      </c>
      <c r="N208">
        <f>$C208*N207</f>
        <v/>
      </c>
      <c r="O208">
        <f>$C208*O207</f>
        <v/>
      </c>
      <c r="P208">
        <f>$C208*P207</f>
        <v/>
      </c>
      <c r="Q208">
        <f>$C208*Q207</f>
        <v/>
      </c>
      <c r="R208">
        <f>$C208*R207</f>
        <v/>
      </c>
      <c r="S208">
        <f>$C208*S207</f>
        <v/>
      </c>
      <c r="T208">
        <f>$C208*T207</f>
        <v/>
      </c>
      <c r="U208">
        <f>$C208*U207</f>
        <v/>
      </c>
      <c r="V208">
        <f>$C208*V207</f>
        <v/>
      </c>
      <c r="W208">
        <f>$C208*W207</f>
        <v/>
      </c>
      <c r="X208">
        <f>$C208*X207</f>
        <v/>
      </c>
      <c r="Y208">
        <f>$C208*Y207</f>
        <v/>
      </c>
      <c r="Z208">
        <f>$C208*Z207</f>
        <v/>
      </c>
      <c r="AA208">
        <f>$C208*AA207</f>
        <v/>
      </c>
      <c r="AB208">
        <f>$C208*AB207</f>
        <v/>
      </c>
      <c r="AC208">
        <f>$C208*AC207</f>
        <v/>
      </c>
      <c r="AD208">
        <f>$C208*AD207</f>
        <v/>
      </c>
      <c r="AE208">
        <f>$C208*AE207</f>
        <v/>
      </c>
      <c r="AF208">
        <f>$C208*AF207</f>
        <v/>
      </c>
      <c r="AG208">
        <f>$C208*AG207</f>
        <v/>
      </c>
      <c r="AH208">
        <f>$C208*AH207</f>
        <v/>
      </c>
      <c r="AI208">
        <f>$C208*AI207</f>
        <v/>
      </c>
      <c r="AJ208">
        <f>$C208*AJ207</f>
        <v/>
      </c>
      <c r="AK208">
        <f>$C208*AK207</f>
        <v/>
      </c>
      <c r="AL208">
        <f>$C208*AL207</f>
        <v/>
      </c>
      <c r="AM208">
        <f>$C208*AM207</f>
        <v/>
      </c>
      <c r="AN208">
        <f>$C208*AN207</f>
        <v/>
      </c>
      <c r="AO208">
        <f>$C208*AO207</f>
        <v/>
      </c>
      <c r="AP208">
        <f>$C208*AP207</f>
        <v/>
      </c>
      <c r="AQ208">
        <f>$C208*AQ207</f>
        <v/>
      </c>
      <c r="AR208">
        <f>$C208*AR207</f>
        <v/>
      </c>
      <c r="AS208">
        <f>$C208*AS207</f>
        <v/>
      </c>
      <c r="AT208">
        <f>$C208*AT207</f>
        <v/>
      </c>
      <c r="AU208">
        <f>$C208*AU207</f>
        <v/>
      </c>
      <c r="AV208">
        <f>$C208*AV207</f>
        <v/>
      </c>
      <c r="AW208">
        <f>$C208*AW207</f>
        <v/>
      </c>
      <c r="AX208">
        <f>$C208*AX207</f>
        <v/>
      </c>
      <c r="AY208">
        <f>$C208*AY207</f>
        <v/>
      </c>
      <c r="AZ208">
        <f>$C208*AZ207</f>
        <v/>
      </c>
      <c r="BA208">
        <f>$C208*BA207</f>
        <v/>
      </c>
      <c r="BB208">
        <f>$C208*BB207</f>
        <v/>
      </c>
      <c r="BC208">
        <f>$C208*BC207</f>
        <v/>
      </c>
      <c r="BD208">
        <f>$C208*BD207</f>
        <v/>
      </c>
      <c r="BE208">
        <f>$C208*BE207</f>
        <v/>
      </c>
      <c r="BF208">
        <f>$C208*BF207</f>
        <v/>
      </c>
      <c r="BG208">
        <f>$C208*BG207</f>
        <v/>
      </c>
      <c r="BH208">
        <f>$C208*BH207</f>
        <v/>
      </c>
      <c r="BI208">
        <f>$C208*BI207</f>
        <v/>
      </c>
      <c r="BJ208">
        <f>$C208*BJ207</f>
        <v/>
      </c>
      <c r="BK208">
        <f>$C208*BK207</f>
        <v/>
      </c>
      <c r="BL208">
        <f>$C208*BL207</f>
        <v/>
      </c>
      <c r="BM208">
        <f>$C208*BM207</f>
        <v/>
      </c>
      <c r="BN208">
        <f>$C208*BN207</f>
        <v/>
      </c>
      <c r="BO208">
        <f>$C208*BO207</f>
        <v/>
      </c>
      <c r="BP208">
        <f>$C208*BP207</f>
        <v/>
      </c>
      <c r="BQ208">
        <f>$C208*BQ207</f>
        <v/>
      </c>
      <c r="BR208">
        <f>$C208*BR207</f>
        <v/>
      </c>
      <c r="BS208">
        <f>$C208*BS207</f>
        <v/>
      </c>
      <c r="BT208">
        <f>$C208*BT207</f>
        <v/>
      </c>
      <c r="BU208">
        <f>$C208*BU207</f>
        <v/>
      </c>
      <c r="BV208">
        <f>$C208*BV207</f>
        <v/>
      </c>
      <c r="BW208">
        <f>$C208*BW207</f>
        <v/>
      </c>
      <c r="BX208">
        <f>$C208*BX207</f>
        <v/>
      </c>
      <c r="BY208">
        <f>$C208*BY207</f>
        <v/>
      </c>
      <c r="BZ208">
        <f>$C208*BZ207</f>
        <v/>
      </c>
      <c r="CA208">
        <f>$C208*CA207</f>
        <v/>
      </c>
      <c r="CB208">
        <f>$C208*CB207</f>
        <v/>
      </c>
      <c r="CC208">
        <f>$C208*CC207</f>
        <v/>
      </c>
      <c r="CD208">
        <f>$C208*CD207</f>
        <v/>
      </c>
      <c r="CE208">
        <f>$C208*CE207</f>
        <v/>
      </c>
      <c r="CF208">
        <f>$C208*CF207</f>
        <v/>
      </c>
      <c r="CG208">
        <f>$C208*CG207</f>
        <v/>
      </c>
      <c r="CH208">
        <f>$C208*CH207</f>
        <v/>
      </c>
      <c r="CI208">
        <f>$C208*CI207</f>
        <v/>
      </c>
      <c r="CJ208">
        <f>$C208*CJ207</f>
        <v/>
      </c>
      <c r="CK208">
        <f>$C208*CK207</f>
        <v/>
      </c>
      <c r="CL208">
        <f>$C208*CL207</f>
        <v/>
      </c>
      <c r="CM208">
        <f>$C208*CM207</f>
        <v/>
      </c>
      <c r="CN208">
        <f>$C208*CN207</f>
        <v/>
      </c>
      <c r="CO208">
        <f>$C208*CO207</f>
        <v/>
      </c>
      <c r="CP208">
        <f>$C208*CP207</f>
        <v/>
      </c>
      <c r="CQ208">
        <f>$C208*CQ207</f>
        <v/>
      </c>
      <c r="CR208">
        <f>$C208*CR207</f>
        <v/>
      </c>
      <c r="CS208">
        <f>$C208*CS207</f>
        <v/>
      </c>
      <c r="CT208">
        <f>$C208*CT207</f>
        <v/>
      </c>
      <c r="CU208">
        <f>$C208*CU207</f>
        <v/>
      </c>
      <c r="CV208">
        <f>$C208*CV207</f>
        <v/>
      </c>
      <c r="CW208">
        <f>$C208*CW207</f>
        <v/>
      </c>
      <c r="CX208">
        <f>$C208*CX207</f>
        <v/>
      </c>
      <c r="CY208">
        <f>$C208*CY207</f>
        <v/>
      </c>
      <c r="CZ208">
        <f>$C208*CZ207</f>
        <v/>
      </c>
      <c r="DA208">
        <f>$C208*DA207</f>
        <v/>
      </c>
      <c r="DB208">
        <f>$C208*DB207</f>
        <v/>
      </c>
      <c r="DC208">
        <f>$C208*DC207</f>
        <v/>
      </c>
    </row>
    <row r="209">
      <c r="B209" t="inlineStr">
        <is>
          <t>TSP-1499</t>
        </is>
      </c>
      <c r="C209" t="inlineStr">
        <is>
          <t>No. of batches</t>
        </is>
      </c>
      <c r="D209">
        <f>IFERROR(INDEX(PP_Grid[#Data],$DD209,2),0)</f>
        <v/>
      </c>
      <c r="E209">
        <f>IFERROR(INDEX(PP_Grid[#Data],$DD209,3),0)</f>
        <v/>
      </c>
      <c r="F209">
        <f>IFERROR(INDEX(PP_Grid[#Data],$DD209,4),0)</f>
        <v/>
      </c>
      <c r="G209">
        <f>IFERROR(INDEX(PP_Grid[#Data],$DD209,5),0)</f>
        <v/>
      </c>
      <c r="H209">
        <f>IFERROR(INDEX(PP_Grid[#Data],$DD209,6),0)</f>
        <v/>
      </c>
      <c r="I209">
        <f>IFERROR(INDEX(PP_Grid[#Data],$DD209,7),0)</f>
        <v/>
      </c>
      <c r="J209">
        <f>IFERROR(INDEX(PP_Grid[#Data],$DD209,8),0)</f>
        <v/>
      </c>
      <c r="K209">
        <f>IFERROR(INDEX(PP_Grid[#Data],$DD209,9),0)</f>
        <v/>
      </c>
      <c r="L209">
        <f>IFERROR(INDEX(PP_Grid[#Data],$DD209,10),0)</f>
        <v/>
      </c>
      <c r="M209">
        <f>IFERROR(INDEX(PP_Grid[#Data],$DD209,11),0)</f>
        <v/>
      </c>
      <c r="N209">
        <f>IFERROR(INDEX(PP_Grid[#Data],$DD209,12),0)</f>
        <v/>
      </c>
      <c r="O209">
        <f>IFERROR(INDEX(PP_Grid[#Data],$DD209,13),0)</f>
        <v/>
      </c>
      <c r="P209">
        <f>IFERROR(INDEX(PP_Grid[#Data],$DD209,14),0)</f>
        <v/>
      </c>
      <c r="Q209">
        <f>IFERROR(INDEX(PP_Grid[#Data],$DD209,15),0)</f>
        <v/>
      </c>
      <c r="R209">
        <f>IFERROR(INDEX(PP_Grid[#Data],$DD209,16),0)</f>
        <v/>
      </c>
      <c r="S209">
        <f>IFERROR(INDEX(PP_Grid[#Data],$DD209,17),0)</f>
        <v/>
      </c>
      <c r="T209">
        <f>IFERROR(INDEX(PP_Grid[#Data],$DD209,18),0)</f>
        <v/>
      </c>
      <c r="U209">
        <f>IFERROR(INDEX(PP_Grid[#Data],$DD209,19),0)</f>
        <v/>
      </c>
      <c r="V209">
        <f>IFERROR(INDEX(PP_Grid[#Data],$DD209,20),0)</f>
        <v/>
      </c>
      <c r="W209">
        <f>IFERROR(INDEX(PP_Grid[#Data],$DD209,21),0)</f>
        <v/>
      </c>
      <c r="X209">
        <f>IFERROR(INDEX(PP_Grid[#Data],$DD209,22),0)</f>
        <v/>
      </c>
      <c r="Y209">
        <f>IFERROR(INDEX(PP_Grid[#Data],$DD209,23),0)</f>
        <v/>
      </c>
      <c r="Z209">
        <f>IFERROR(INDEX(PP_Grid[#Data],$DD209,24),0)</f>
        <v/>
      </c>
      <c r="AA209">
        <f>IFERROR(INDEX(PP_Grid[#Data],$DD209,25),0)</f>
        <v/>
      </c>
      <c r="AB209">
        <f>IFERROR(INDEX(PP_Grid[#Data],$DD209,26),0)</f>
        <v/>
      </c>
      <c r="AC209">
        <f>IFERROR(INDEX(PP_Grid[#Data],$DD209,27),0)</f>
        <v/>
      </c>
      <c r="AD209">
        <f>IFERROR(INDEX(PP_Grid[#Data],$DD209,28),0)</f>
        <v/>
      </c>
      <c r="AE209">
        <f>IFERROR(INDEX(PP_Grid[#Data],$DD209,29),0)</f>
        <v/>
      </c>
      <c r="AF209">
        <f>IFERROR(INDEX(PP_Grid[#Data],$DD209,30),0)</f>
        <v/>
      </c>
      <c r="AG209">
        <f>IFERROR(INDEX(PP_Grid[#Data],$DD209,31),0)</f>
        <v/>
      </c>
      <c r="AH209">
        <f>IFERROR(INDEX(PP_Grid[#Data],$DD209,32),0)</f>
        <v/>
      </c>
      <c r="AI209">
        <f>IFERROR(INDEX(PP_Grid[#Data],$DD209,33),0)</f>
        <v/>
      </c>
      <c r="AJ209">
        <f>IFERROR(INDEX(PP_Grid[#Data],$DD209,34),0)</f>
        <v/>
      </c>
      <c r="AK209">
        <f>IFERROR(INDEX(PP_Grid[#Data],$DD209,35),0)</f>
        <v/>
      </c>
      <c r="AL209">
        <f>IFERROR(INDEX(PP_Grid[#Data],$DD209,36),0)</f>
        <v/>
      </c>
      <c r="AM209">
        <f>IFERROR(INDEX(PP_Grid[#Data],$DD209,37),0)</f>
        <v/>
      </c>
      <c r="AN209">
        <f>IFERROR(INDEX(PP_Grid[#Data],$DD209,38),0)</f>
        <v/>
      </c>
      <c r="AO209">
        <f>IFERROR(INDEX(PP_Grid[#Data],$DD209,39),0)</f>
        <v/>
      </c>
      <c r="AP209">
        <f>IFERROR(INDEX(PP_Grid[#Data],$DD209,40),0)</f>
        <v/>
      </c>
      <c r="AQ209">
        <f>IFERROR(INDEX(PP_Grid[#Data],$DD209,41),0)</f>
        <v/>
      </c>
      <c r="AR209">
        <f>IFERROR(INDEX(PP_Grid[#Data],$DD209,42),0)</f>
        <v/>
      </c>
      <c r="AS209">
        <f>IFERROR(INDEX(PP_Grid[#Data],$DD209,43),0)</f>
        <v/>
      </c>
      <c r="AT209">
        <f>IFERROR(INDEX(PP_Grid[#Data],$DD209,44),0)</f>
        <v/>
      </c>
      <c r="AU209">
        <f>IFERROR(INDEX(PP_Grid[#Data],$DD209,45),0)</f>
        <v/>
      </c>
      <c r="AV209">
        <f>IFERROR(INDEX(PP_Grid[#Data],$DD209,46),0)</f>
        <v/>
      </c>
      <c r="AW209">
        <f>IFERROR(INDEX(PP_Grid[#Data],$DD209,47),0)</f>
        <v/>
      </c>
      <c r="AX209">
        <f>IFERROR(INDEX(PP_Grid[#Data],$DD209,48),0)</f>
        <v/>
      </c>
      <c r="AY209">
        <f>IFERROR(INDEX(PP_Grid[#Data],$DD209,49),0)</f>
        <v/>
      </c>
      <c r="AZ209">
        <f>IFERROR(INDEX(PP_Grid[#Data],$DD209,50),0)</f>
        <v/>
      </c>
      <c r="BA209">
        <f>IFERROR(INDEX(PP_Grid[#Data],$DD209,51),0)</f>
        <v/>
      </c>
      <c r="BB209">
        <f>IFERROR(INDEX(PP_Grid[#Data],$DD209,52),0)</f>
        <v/>
      </c>
      <c r="BC209">
        <f>IFERROR(INDEX(PP_Grid[#Data],$DD209,53),0)</f>
        <v/>
      </c>
      <c r="BD209">
        <f>IFERROR(INDEX(PP_Grid[#Data],$DD209,54),0)</f>
        <v/>
      </c>
      <c r="BE209">
        <f>IFERROR(INDEX(PP_Grid[#Data],$DD209,55),0)</f>
        <v/>
      </c>
      <c r="BF209">
        <f>IFERROR(INDEX(PP_Grid[#Data],$DD209,56),0)</f>
        <v/>
      </c>
      <c r="BG209">
        <f>IFERROR(INDEX(PP_Grid[#Data],$DD209,57),0)</f>
        <v/>
      </c>
      <c r="BH209">
        <f>IFERROR(INDEX(PP_Grid[#Data],$DD209,58),0)</f>
        <v/>
      </c>
      <c r="BI209">
        <f>IFERROR(INDEX(PP_Grid[#Data],$DD209,59),0)</f>
        <v/>
      </c>
      <c r="BJ209">
        <f>IFERROR(INDEX(PP_Grid[#Data],$DD209,60),0)</f>
        <v/>
      </c>
      <c r="BK209">
        <f>IFERROR(INDEX(PP_Grid[#Data],$DD209,61),0)</f>
        <v/>
      </c>
      <c r="BL209">
        <f>IFERROR(INDEX(PP_Grid[#Data],$DD209,62),0)</f>
        <v/>
      </c>
      <c r="BM209">
        <f>IFERROR(INDEX(PP_Grid[#Data],$DD209,63),0)</f>
        <v/>
      </c>
      <c r="BN209">
        <f>IFERROR(INDEX(PP_Grid[#Data],$DD209,64),0)</f>
        <v/>
      </c>
      <c r="BO209">
        <f>IFERROR(INDEX(PP_Grid[#Data],$DD209,65),0)</f>
        <v/>
      </c>
      <c r="BP209">
        <f>IFERROR(INDEX(PP_Grid[#Data],$DD209,66),0)</f>
        <v/>
      </c>
      <c r="BQ209">
        <f>IFERROR(INDEX(PP_Grid[#Data],$DD209,67),0)</f>
        <v/>
      </c>
      <c r="BR209">
        <f>IFERROR(INDEX(PP_Grid[#Data],$DD209,68),0)</f>
        <v/>
      </c>
      <c r="BS209">
        <f>IFERROR(INDEX(PP_Grid[#Data],$DD209,69),0)</f>
        <v/>
      </c>
      <c r="BT209">
        <f>IFERROR(INDEX(PP_Grid[#Data],$DD209,70),0)</f>
        <v/>
      </c>
      <c r="BU209">
        <f>IFERROR(INDEX(PP_Grid[#Data],$DD209,71),0)</f>
        <v/>
      </c>
      <c r="BV209">
        <f>IFERROR(INDEX(PP_Grid[#Data],$DD209,72),0)</f>
        <v/>
      </c>
      <c r="BW209">
        <f>IFERROR(INDEX(PP_Grid[#Data],$DD209,73),0)</f>
        <v/>
      </c>
      <c r="BX209">
        <f>IFERROR(INDEX(PP_Grid[#Data],$DD209,74),0)</f>
        <v/>
      </c>
      <c r="BY209">
        <f>IFERROR(INDEX(PP_Grid[#Data],$DD209,75),0)</f>
        <v/>
      </c>
      <c r="BZ209">
        <f>IFERROR(INDEX(PP_Grid[#Data],$DD209,76),0)</f>
        <v/>
      </c>
      <c r="CA209">
        <f>IFERROR(INDEX(PP_Grid[#Data],$DD209,77),0)</f>
        <v/>
      </c>
      <c r="CB209">
        <f>IFERROR(INDEX(PP_Grid[#Data],$DD209,78),0)</f>
        <v/>
      </c>
      <c r="CC209">
        <f>IFERROR(INDEX(PP_Grid[#Data],$DD209,79),0)</f>
        <v/>
      </c>
      <c r="CD209">
        <f>IFERROR(INDEX(PP_Grid[#Data],$DD209,80),0)</f>
        <v/>
      </c>
      <c r="CE209">
        <f>IFERROR(INDEX(PP_Grid[#Data],$DD209,81),0)</f>
        <v/>
      </c>
      <c r="CF209">
        <f>IFERROR(INDEX(PP_Grid[#Data],$DD209,82),0)</f>
        <v/>
      </c>
      <c r="CG209">
        <f>IFERROR(INDEX(PP_Grid[#Data],$DD209,83),0)</f>
        <v/>
      </c>
      <c r="CH209">
        <f>IFERROR(INDEX(PP_Grid[#Data],$DD209,84),0)</f>
        <v/>
      </c>
      <c r="CI209">
        <f>IFERROR(INDEX(PP_Grid[#Data],$DD209,85),0)</f>
        <v/>
      </c>
      <c r="CJ209">
        <f>IFERROR(INDEX(PP_Grid[#Data],$DD209,86),0)</f>
        <v/>
      </c>
      <c r="CK209">
        <f>IFERROR(INDEX(PP_Grid[#Data],$DD209,87),0)</f>
        <v/>
      </c>
      <c r="CL209">
        <f>IFERROR(INDEX(PP_Grid[#Data],$DD209,88),0)</f>
        <v/>
      </c>
      <c r="CM209">
        <f>IFERROR(INDEX(PP_Grid[#Data],$DD209,89),0)</f>
        <v/>
      </c>
      <c r="CN209">
        <f>IFERROR(INDEX(PP_Grid[#Data],$DD209,90),0)</f>
        <v/>
      </c>
      <c r="CO209">
        <f>IFERROR(INDEX(PP_Grid[#Data],$DD209,91),0)</f>
        <v/>
      </c>
      <c r="CP209">
        <f>IFERROR(INDEX(PP_Grid[#Data],$DD209,92),0)</f>
        <v/>
      </c>
      <c r="CQ209">
        <f>IFERROR(INDEX(PP_Grid[#Data],$DD209,93),0)</f>
        <v/>
      </c>
      <c r="CR209">
        <f>IFERROR(INDEX(PP_Grid[#Data],$DD209,94),0)</f>
        <v/>
      </c>
      <c r="CS209">
        <f>IFERROR(INDEX(PP_Grid[#Data],$DD209,95),0)</f>
        <v/>
      </c>
      <c r="CT209">
        <f>IFERROR(INDEX(PP_Grid[#Data],$DD209,96),0)</f>
        <v/>
      </c>
      <c r="CU209">
        <f>IFERROR(INDEX(PP_Grid[#Data],$DD209,97),0)</f>
        <v/>
      </c>
      <c r="CV209">
        <f>IFERROR(INDEX(PP_Grid[#Data],$DD209,98),0)</f>
        <v/>
      </c>
      <c r="CW209">
        <f>IFERROR(INDEX(PP_Grid[#Data],$DD209,99),0)</f>
        <v/>
      </c>
      <c r="CX209">
        <f>IFERROR(INDEX(PP_Grid[#Data],$DD209,100),0)</f>
        <v/>
      </c>
      <c r="CY209">
        <f>IFERROR(INDEX(PP_Grid[#Data],$DD209,101),0)</f>
        <v/>
      </c>
      <c r="CZ209">
        <f>IFERROR(INDEX(PP_Grid[#Data],$DD209,102),0)</f>
        <v/>
      </c>
      <c r="DA209">
        <f>IFERROR(INDEX(PP_Grid[#Data],$DD209,103),0)</f>
        <v/>
      </c>
      <c r="DB209">
        <f>IFERROR(INDEX(PP_Grid[#Data],$DD209,104),0)</f>
        <v/>
      </c>
      <c r="DC209">
        <f>IFERROR(INDEX(PP_Grid[#Data],$DD209,105),0)</f>
        <v/>
      </c>
      <c r="DD209" s="7">
        <f>IFERROR(MATCH($B209,PP_Grid[Intermediate],0),99999)</f>
        <v/>
      </c>
    </row>
    <row r="210">
      <c r="B210" t="inlineStr">
        <is>
          <t>使用量(kg)</t>
        </is>
      </c>
      <c r="C210">
        <f>SUMIFS(M_BOM[RM_Qty_Per_Batch],M_BOM[Intermediate],$B209,M_BOM[Part Name],$A44)</f>
        <v/>
      </c>
      <c r="D210">
        <f>$C210*D209</f>
        <v/>
      </c>
      <c r="E210">
        <f>$C210*E209</f>
        <v/>
      </c>
      <c r="F210">
        <f>$C210*F209</f>
        <v/>
      </c>
      <c r="G210">
        <f>$C210*G209</f>
        <v/>
      </c>
      <c r="H210">
        <f>$C210*H209</f>
        <v/>
      </c>
      <c r="I210">
        <f>$C210*I209</f>
        <v/>
      </c>
      <c r="J210">
        <f>$C210*J209</f>
        <v/>
      </c>
      <c r="K210">
        <f>$C210*K209</f>
        <v/>
      </c>
      <c r="L210">
        <f>$C210*L209</f>
        <v/>
      </c>
      <c r="M210">
        <f>$C210*M209</f>
        <v/>
      </c>
      <c r="N210">
        <f>$C210*N209</f>
        <v/>
      </c>
      <c r="O210">
        <f>$C210*O209</f>
        <v/>
      </c>
      <c r="P210">
        <f>$C210*P209</f>
        <v/>
      </c>
      <c r="Q210">
        <f>$C210*Q209</f>
        <v/>
      </c>
      <c r="R210">
        <f>$C210*R209</f>
        <v/>
      </c>
      <c r="S210">
        <f>$C210*S209</f>
        <v/>
      </c>
      <c r="T210">
        <f>$C210*T209</f>
        <v/>
      </c>
      <c r="U210">
        <f>$C210*U209</f>
        <v/>
      </c>
      <c r="V210">
        <f>$C210*V209</f>
        <v/>
      </c>
      <c r="W210">
        <f>$C210*W209</f>
        <v/>
      </c>
      <c r="X210">
        <f>$C210*X209</f>
        <v/>
      </c>
      <c r="Y210">
        <f>$C210*Y209</f>
        <v/>
      </c>
      <c r="Z210">
        <f>$C210*Z209</f>
        <v/>
      </c>
      <c r="AA210">
        <f>$C210*AA209</f>
        <v/>
      </c>
      <c r="AB210">
        <f>$C210*AB209</f>
        <v/>
      </c>
      <c r="AC210">
        <f>$C210*AC209</f>
        <v/>
      </c>
      <c r="AD210">
        <f>$C210*AD209</f>
        <v/>
      </c>
      <c r="AE210">
        <f>$C210*AE209</f>
        <v/>
      </c>
      <c r="AF210">
        <f>$C210*AF209</f>
        <v/>
      </c>
      <c r="AG210">
        <f>$C210*AG209</f>
        <v/>
      </c>
      <c r="AH210">
        <f>$C210*AH209</f>
        <v/>
      </c>
      <c r="AI210">
        <f>$C210*AI209</f>
        <v/>
      </c>
      <c r="AJ210">
        <f>$C210*AJ209</f>
        <v/>
      </c>
      <c r="AK210">
        <f>$C210*AK209</f>
        <v/>
      </c>
      <c r="AL210">
        <f>$C210*AL209</f>
        <v/>
      </c>
      <c r="AM210">
        <f>$C210*AM209</f>
        <v/>
      </c>
      <c r="AN210">
        <f>$C210*AN209</f>
        <v/>
      </c>
      <c r="AO210">
        <f>$C210*AO209</f>
        <v/>
      </c>
      <c r="AP210">
        <f>$C210*AP209</f>
        <v/>
      </c>
      <c r="AQ210">
        <f>$C210*AQ209</f>
        <v/>
      </c>
      <c r="AR210">
        <f>$C210*AR209</f>
        <v/>
      </c>
      <c r="AS210">
        <f>$C210*AS209</f>
        <v/>
      </c>
      <c r="AT210">
        <f>$C210*AT209</f>
        <v/>
      </c>
      <c r="AU210">
        <f>$C210*AU209</f>
        <v/>
      </c>
      <c r="AV210">
        <f>$C210*AV209</f>
        <v/>
      </c>
      <c r="AW210">
        <f>$C210*AW209</f>
        <v/>
      </c>
      <c r="AX210">
        <f>$C210*AX209</f>
        <v/>
      </c>
      <c r="AY210">
        <f>$C210*AY209</f>
        <v/>
      </c>
      <c r="AZ210">
        <f>$C210*AZ209</f>
        <v/>
      </c>
      <c r="BA210">
        <f>$C210*BA209</f>
        <v/>
      </c>
      <c r="BB210">
        <f>$C210*BB209</f>
        <v/>
      </c>
      <c r="BC210">
        <f>$C210*BC209</f>
        <v/>
      </c>
      <c r="BD210">
        <f>$C210*BD209</f>
        <v/>
      </c>
      <c r="BE210">
        <f>$C210*BE209</f>
        <v/>
      </c>
      <c r="BF210">
        <f>$C210*BF209</f>
        <v/>
      </c>
      <c r="BG210">
        <f>$C210*BG209</f>
        <v/>
      </c>
      <c r="BH210">
        <f>$C210*BH209</f>
        <v/>
      </c>
      <c r="BI210">
        <f>$C210*BI209</f>
        <v/>
      </c>
      <c r="BJ210">
        <f>$C210*BJ209</f>
        <v/>
      </c>
      <c r="BK210">
        <f>$C210*BK209</f>
        <v/>
      </c>
      <c r="BL210">
        <f>$C210*BL209</f>
        <v/>
      </c>
      <c r="BM210">
        <f>$C210*BM209</f>
        <v/>
      </c>
      <c r="BN210">
        <f>$C210*BN209</f>
        <v/>
      </c>
      <c r="BO210">
        <f>$C210*BO209</f>
        <v/>
      </c>
      <c r="BP210">
        <f>$C210*BP209</f>
        <v/>
      </c>
      <c r="BQ210">
        <f>$C210*BQ209</f>
        <v/>
      </c>
      <c r="BR210">
        <f>$C210*BR209</f>
        <v/>
      </c>
      <c r="BS210">
        <f>$C210*BS209</f>
        <v/>
      </c>
      <c r="BT210">
        <f>$C210*BT209</f>
        <v/>
      </c>
      <c r="BU210">
        <f>$C210*BU209</f>
        <v/>
      </c>
      <c r="BV210">
        <f>$C210*BV209</f>
        <v/>
      </c>
      <c r="BW210">
        <f>$C210*BW209</f>
        <v/>
      </c>
      <c r="BX210">
        <f>$C210*BX209</f>
        <v/>
      </c>
      <c r="BY210">
        <f>$C210*BY209</f>
        <v/>
      </c>
      <c r="BZ210">
        <f>$C210*BZ209</f>
        <v/>
      </c>
      <c r="CA210">
        <f>$C210*CA209</f>
        <v/>
      </c>
      <c r="CB210">
        <f>$C210*CB209</f>
        <v/>
      </c>
      <c r="CC210">
        <f>$C210*CC209</f>
        <v/>
      </c>
      <c r="CD210">
        <f>$C210*CD209</f>
        <v/>
      </c>
      <c r="CE210">
        <f>$C210*CE209</f>
        <v/>
      </c>
      <c r="CF210">
        <f>$C210*CF209</f>
        <v/>
      </c>
      <c r="CG210">
        <f>$C210*CG209</f>
        <v/>
      </c>
      <c r="CH210">
        <f>$C210*CH209</f>
        <v/>
      </c>
      <c r="CI210">
        <f>$C210*CI209</f>
        <v/>
      </c>
      <c r="CJ210">
        <f>$C210*CJ209</f>
        <v/>
      </c>
      <c r="CK210">
        <f>$C210*CK209</f>
        <v/>
      </c>
      <c r="CL210">
        <f>$C210*CL209</f>
        <v/>
      </c>
      <c r="CM210">
        <f>$C210*CM209</f>
        <v/>
      </c>
      <c r="CN210">
        <f>$C210*CN209</f>
        <v/>
      </c>
      <c r="CO210">
        <f>$C210*CO209</f>
        <v/>
      </c>
      <c r="CP210">
        <f>$C210*CP209</f>
        <v/>
      </c>
      <c r="CQ210">
        <f>$C210*CQ209</f>
        <v/>
      </c>
      <c r="CR210">
        <f>$C210*CR209</f>
        <v/>
      </c>
      <c r="CS210">
        <f>$C210*CS209</f>
        <v/>
      </c>
      <c r="CT210">
        <f>$C210*CT209</f>
        <v/>
      </c>
      <c r="CU210">
        <f>$C210*CU209</f>
        <v/>
      </c>
      <c r="CV210">
        <f>$C210*CV209</f>
        <v/>
      </c>
      <c r="CW210">
        <f>$C210*CW209</f>
        <v/>
      </c>
      <c r="CX210">
        <f>$C210*CX209</f>
        <v/>
      </c>
      <c r="CY210">
        <f>$C210*CY209</f>
        <v/>
      </c>
      <c r="CZ210">
        <f>$C210*CZ209</f>
        <v/>
      </c>
      <c r="DA210">
        <f>$C210*DA209</f>
        <v/>
      </c>
      <c r="DB210">
        <f>$C210*DB209</f>
        <v/>
      </c>
      <c r="DC210">
        <f>$C210*DC209</f>
        <v/>
      </c>
    </row>
    <row r="211">
      <c r="B211" t="inlineStr">
        <is>
          <t>TSP-1558</t>
        </is>
      </c>
      <c r="C211" t="inlineStr">
        <is>
          <t>No. of batches</t>
        </is>
      </c>
      <c r="D211">
        <f>IFERROR(INDEX(PP_Grid[#Data],$DD211,2),0)</f>
        <v/>
      </c>
      <c r="E211">
        <f>IFERROR(INDEX(PP_Grid[#Data],$DD211,3),0)</f>
        <v/>
      </c>
      <c r="F211">
        <f>IFERROR(INDEX(PP_Grid[#Data],$DD211,4),0)</f>
        <v/>
      </c>
      <c r="G211">
        <f>IFERROR(INDEX(PP_Grid[#Data],$DD211,5),0)</f>
        <v/>
      </c>
      <c r="H211">
        <f>IFERROR(INDEX(PP_Grid[#Data],$DD211,6),0)</f>
        <v/>
      </c>
      <c r="I211">
        <f>IFERROR(INDEX(PP_Grid[#Data],$DD211,7),0)</f>
        <v/>
      </c>
      <c r="J211">
        <f>IFERROR(INDEX(PP_Grid[#Data],$DD211,8),0)</f>
        <v/>
      </c>
      <c r="K211">
        <f>IFERROR(INDEX(PP_Grid[#Data],$DD211,9),0)</f>
        <v/>
      </c>
      <c r="L211">
        <f>IFERROR(INDEX(PP_Grid[#Data],$DD211,10),0)</f>
        <v/>
      </c>
      <c r="M211">
        <f>IFERROR(INDEX(PP_Grid[#Data],$DD211,11),0)</f>
        <v/>
      </c>
      <c r="N211">
        <f>IFERROR(INDEX(PP_Grid[#Data],$DD211,12),0)</f>
        <v/>
      </c>
      <c r="O211">
        <f>IFERROR(INDEX(PP_Grid[#Data],$DD211,13),0)</f>
        <v/>
      </c>
      <c r="P211">
        <f>IFERROR(INDEX(PP_Grid[#Data],$DD211,14),0)</f>
        <v/>
      </c>
      <c r="Q211">
        <f>IFERROR(INDEX(PP_Grid[#Data],$DD211,15),0)</f>
        <v/>
      </c>
      <c r="R211">
        <f>IFERROR(INDEX(PP_Grid[#Data],$DD211,16),0)</f>
        <v/>
      </c>
      <c r="S211">
        <f>IFERROR(INDEX(PP_Grid[#Data],$DD211,17),0)</f>
        <v/>
      </c>
      <c r="T211">
        <f>IFERROR(INDEX(PP_Grid[#Data],$DD211,18),0)</f>
        <v/>
      </c>
      <c r="U211">
        <f>IFERROR(INDEX(PP_Grid[#Data],$DD211,19),0)</f>
        <v/>
      </c>
      <c r="V211">
        <f>IFERROR(INDEX(PP_Grid[#Data],$DD211,20),0)</f>
        <v/>
      </c>
      <c r="W211">
        <f>IFERROR(INDEX(PP_Grid[#Data],$DD211,21),0)</f>
        <v/>
      </c>
      <c r="X211">
        <f>IFERROR(INDEX(PP_Grid[#Data],$DD211,22),0)</f>
        <v/>
      </c>
      <c r="Y211">
        <f>IFERROR(INDEX(PP_Grid[#Data],$DD211,23),0)</f>
        <v/>
      </c>
      <c r="Z211">
        <f>IFERROR(INDEX(PP_Grid[#Data],$DD211,24),0)</f>
        <v/>
      </c>
      <c r="AA211">
        <f>IFERROR(INDEX(PP_Grid[#Data],$DD211,25),0)</f>
        <v/>
      </c>
      <c r="AB211">
        <f>IFERROR(INDEX(PP_Grid[#Data],$DD211,26),0)</f>
        <v/>
      </c>
      <c r="AC211">
        <f>IFERROR(INDEX(PP_Grid[#Data],$DD211,27),0)</f>
        <v/>
      </c>
      <c r="AD211">
        <f>IFERROR(INDEX(PP_Grid[#Data],$DD211,28),0)</f>
        <v/>
      </c>
      <c r="AE211">
        <f>IFERROR(INDEX(PP_Grid[#Data],$DD211,29),0)</f>
        <v/>
      </c>
      <c r="AF211">
        <f>IFERROR(INDEX(PP_Grid[#Data],$DD211,30),0)</f>
        <v/>
      </c>
      <c r="AG211">
        <f>IFERROR(INDEX(PP_Grid[#Data],$DD211,31),0)</f>
        <v/>
      </c>
      <c r="AH211">
        <f>IFERROR(INDEX(PP_Grid[#Data],$DD211,32),0)</f>
        <v/>
      </c>
      <c r="AI211">
        <f>IFERROR(INDEX(PP_Grid[#Data],$DD211,33),0)</f>
        <v/>
      </c>
      <c r="AJ211">
        <f>IFERROR(INDEX(PP_Grid[#Data],$DD211,34),0)</f>
        <v/>
      </c>
      <c r="AK211">
        <f>IFERROR(INDEX(PP_Grid[#Data],$DD211,35),0)</f>
        <v/>
      </c>
      <c r="AL211">
        <f>IFERROR(INDEX(PP_Grid[#Data],$DD211,36),0)</f>
        <v/>
      </c>
      <c r="AM211">
        <f>IFERROR(INDEX(PP_Grid[#Data],$DD211,37),0)</f>
        <v/>
      </c>
      <c r="AN211">
        <f>IFERROR(INDEX(PP_Grid[#Data],$DD211,38),0)</f>
        <v/>
      </c>
      <c r="AO211">
        <f>IFERROR(INDEX(PP_Grid[#Data],$DD211,39),0)</f>
        <v/>
      </c>
      <c r="AP211">
        <f>IFERROR(INDEX(PP_Grid[#Data],$DD211,40),0)</f>
        <v/>
      </c>
      <c r="AQ211">
        <f>IFERROR(INDEX(PP_Grid[#Data],$DD211,41),0)</f>
        <v/>
      </c>
      <c r="AR211">
        <f>IFERROR(INDEX(PP_Grid[#Data],$DD211,42),0)</f>
        <v/>
      </c>
      <c r="AS211">
        <f>IFERROR(INDEX(PP_Grid[#Data],$DD211,43),0)</f>
        <v/>
      </c>
      <c r="AT211">
        <f>IFERROR(INDEX(PP_Grid[#Data],$DD211,44),0)</f>
        <v/>
      </c>
      <c r="AU211">
        <f>IFERROR(INDEX(PP_Grid[#Data],$DD211,45),0)</f>
        <v/>
      </c>
      <c r="AV211">
        <f>IFERROR(INDEX(PP_Grid[#Data],$DD211,46),0)</f>
        <v/>
      </c>
      <c r="AW211">
        <f>IFERROR(INDEX(PP_Grid[#Data],$DD211,47),0)</f>
        <v/>
      </c>
      <c r="AX211">
        <f>IFERROR(INDEX(PP_Grid[#Data],$DD211,48),0)</f>
        <v/>
      </c>
      <c r="AY211">
        <f>IFERROR(INDEX(PP_Grid[#Data],$DD211,49),0)</f>
        <v/>
      </c>
      <c r="AZ211">
        <f>IFERROR(INDEX(PP_Grid[#Data],$DD211,50),0)</f>
        <v/>
      </c>
      <c r="BA211">
        <f>IFERROR(INDEX(PP_Grid[#Data],$DD211,51),0)</f>
        <v/>
      </c>
      <c r="BB211">
        <f>IFERROR(INDEX(PP_Grid[#Data],$DD211,52),0)</f>
        <v/>
      </c>
      <c r="BC211">
        <f>IFERROR(INDEX(PP_Grid[#Data],$DD211,53),0)</f>
        <v/>
      </c>
      <c r="BD211">
        <f>IFERROR(INDEX(PP_Grid[#Data],$DD211,54),0)</f>
        <v/>
      </c>
      <c r="BE211">
        <f>IFERROR(INDEX(PP_Grid[#Data],$DD211,55),0)</f>
        <v/>
      </c>
      <c r="BF211">
        <f>IFERROR(INDEX(PP_Grid[#Data],$DD211,56),0)</f>
        <v/>
      </c>
      <c r="BG211">
        <f>IFERROR(INDEX(PP_Grid[#Data],$DD211,57),0)</f>
        <v/>
      </c>
      <c r="BH211">
        <f>IFERROR(INDEX(PP_Grid[#Data],$DD211,58),0)</f>
        <v/>
      </c>
      <c r="BI211">
        <f>IFERROR(INDEX(PP_Grid[#Data],$DD211,59),0)</f>
        <v/>
      </c>
      <c r="BJ211">
        <f>IFERROR(INDEX(PP_Grid[#Data],$DD211,60),0)</f>
        <v/>
      </c>
      <c r="BK211">
        <f>IFERROR(INDEX(PP_Grid[#Data],$DD211,61),0)</f>
        <v/>
      </c>
      <c r="BL211">
        <f>IFERROR(INDEX(PP_Grid[#Data],$DD211,62),0)</f>
        <v/>
      </c>
      <c r="BM211">
        <f>IFERROR(INDEX(PP_Grid[#Data],$DD211,63),0)</f>
        <v/>
      </c>
      <c r="BN211">
        <f>IFERROR(INDEX(PP_Grid[#Data],$DD211,64),0)</f>
        <v/>
      </c>
      <c r="BO211">
        <f>IFERROR(INDEX(PP_Grid[#Data],$DD211,65),0)</f>
        <v/>
      </c>
      <c r="BP211">
        <f>IFERROR(INDEX(PP_Grid[#Data],$DD211,66),0)</f>
        <v/>
      </c>
      <c r="BQ211">
        <f>IFERROR(INDEX(PP_Grid[#Data],$DD211,67),0)</f>
        <v/>
      </c>
      <c r="BR211">
        <f>IFERROR(INDEX(PP_Grid[#Data],$DD211,68),0)</f>
        <v/>
      </c>
      <c r="BS211">
        <f>IFERROR(INDEX(PP_Grid[#Data],$DD211,69),0)</f>
        <v/>
      </c>
      <c r="BT211">
        <f>IFERROR(INDEX(PP_Grid[#Data],$DD211,70),0)</f>
        <v/>
      </c>
      <c r="BU211">
        <f>IFERROR(INDEX(PP_Grid[#Data],$DD211,71),0)</f>
        <v/>
      </c>
      <c r="BV211">
        <f>IFERROR(INDEX(PP_Grid[#Data],$DD211,72),0)</f>
        <v/>
      </c>
      <c r="BW211">
        <f>IFERROR(INDEX(PP_Grid[#Data],$DD211,73),0)</f>
        <v/>
      </c>
      <c r="BX211">
        <f>IFERROR(INDEX(PP_Grid[#Data],$DD211,74),0)</f>
        <v/>
      </c>
      <c r="BY211">
        <f>IFERROR(INDEX(PP_Grid[#Data],$DD211,75),0)</f>
        <v/>
      </c>
      <c r="BZ211">
        <f>IFERROR(INDEX(PP_Grid[#Data],$DD211,76),0)</f>
        <v/>
      </c>
      <c r="CA211">
        <f>IFERROR(INDEX(PP_Grid[#Data],$DD211,77),0)</f>
        <v/>
      </c>
      <c r="CB211">
        <f>IFERROR(INDEX(PP_Grid[#Data],$DD211,78),0)</f>
        <v/>
      </c>
      <c r="CC211">
        <f>IFERROR(INDEX(PP_Grid[#Data],$DD211,79),0)</f>
        <v/>
      </c>
      <c r="CD211">
        <f>IFERROR(INDEX(PP_Grid[#Data],$DD211,80),0)</f>
        <v/>
      </c>
      <c r="CE211">
        <f>IFERROR(INDEX(PP_Grid[#Data],$DD211,81),0)</f>
        <v/>
      </c>
      <c r="CF211">
        <f>IFERROR(INDEX(PP_Grid[#Data],$DD211,82),0)</f>
        <v/>
      </c>
      <c r="CG211">
        <f>IFERROR(INDEX(PP_Grid[#Data],$DD211,83),0)</f>
        <v/>
      </c>
      <c r="CH211">
        <f>IFERROR(INDEX(PP_Grid[#Data],$DD211,84),0)</f>
        <v/>
      </c>
      <c r="CI211">
        <f>IFERROR(INDEX(PP_Grid[#Data],$DD211,85),0)</f>
        <v/>
      </c>
      <c r="CJ211">
        <f>IFERROR(INDEX(PP_Grid[#Data],$DD211,86),0)</f>
        <v/>
      </c>
      <c r="CK211">
        <f>IFERROR(INDEX(PP_Grid[#Data],$DD211,87),0)</f>
        <v/>
      </c>
      <c r="CL211">
        <f>IFERROR(INDEX(PP_Grid[#Data],$DD211,88),0)</f>
        <v/>
      </c>
      <c r="CM211">
        <f>IFERROR(INDEX(PP_Grid[#Data],$DD211,89),0)</f>
        <v/>
      </c>
      <c r="CN211">
        <f>IFERROR(INDEX(PP_Grid[#Data],$DD211,90),0)</f>
        <v/>
      </c>
      <c r="CO211">
        <f>IFERROR(INDEX(PP_Grid[#Data],$DD211,91),0)</f>
        <v/>
      </c>
      <c r="CP211">
        <f>IFERROR(INDEX(PP_Grid[#Data],$DD211,92),0)</f>
        <v/>
      </c>
      <c r="CQ211">
        <f>IFERROR(INDEX(PP_Grid[#Data],$DD211,93),0)</f>
        <v/>
      </c>
      <c r="CR211">
        <f>IFERROR(INDEX(PP_Grid[#Data],$DD211,94),0)</f>
        <v/>
      </c>
      <c r="CS211">
        <f>IFERROR(INDEX(PP_Grid[#Data],$DD211,95),0)</f>
        <v/>
      </c>
      <c r="CT211">
        <f>IFERROR(INDEX(PP_Grid[#Data],$DD211,96),0)</f>
        <v/>
      </c>
      <c r="CU211">
        <f>IFERROR(INDEX(PP_Grid[#Data],$DD211,97),0)</f>
        <v/>
      </c>
      <c r="CV211">
        <f>IFERROR(INDEX(PP_Grid[#Data],$DD211,98),0)</f>
        <v/>
      </c>
      <c r="CW211">
        <f>IFERROR(INDEX(PP_Grid[#Data],$DD211,99),0)</f>
        <v/>
      </c>
      <c r="CX211">
        <f>IFERROR(INDEX(PP_Grid[#Data],$DD211,100),0)</f>
        <v/>
      </c>
      <c r="CY211">
        <f>IFERROR(INDEX(PP_Grid[#Data],$DD211,101),0)</f>
        <v/>
      </c>
      <c r="CZ211">
        <f>IFERROR(INDEX(PP_Grid[#Data],$DD211,102),0)</f>
        <v/>
      </c>
      <c r="DA211">
        <f>IFERROR(INDEX(PP_Grid[#Data],$DD211,103),0)</f>
        <v/>
      </c>
      <c r="DB211">
        <f>IFERROR(INDEX(PP_Grid[#Data],$DD211,104),0)</f>
        <v/>
      </c>
      <c r="DC211">
        <f>IFERROR(INDEX(PP_Grid[#Data],$DD211,105),0)</f>
        <v/>
      </c>
      <c r="DD211" s="7">
        <f>IFERROR(MATCH($B211,PP_Grid[Intermediate],0),99999)</f>
        <v/>
      </c>
    </row>
    <row r="212">
      <c r="B212" t="inlineStr">
        <is>
          <t>使用量(kg)</t>
        </is>
      </c>
      <c r="C212">
        <f>SUMIFS(M_BOM[RM_Qty_Per_Batch],M_BOM[Intermediate],$B211,M_BOM[Part Name],$A44)</f>
        <v/>
      </c>
      <c r="D212">
        <f>$C212*D211</f>
        <v/>
      </c>
      <c r="E212">
        <f>$C212*E211</f>
        <v/>
      </c>
      <c r="F212">
        <f>$C212*F211</f>
        <v/>
      </c>
      <c r="G212">
        <f>$C212*G211</f>
        <v/>
      </c>
      <c r="H212">
        <f>$C212*H211</f>
        <v/>
      </c>
      <c r="I212">
        <f>$C212*I211</f>
        <v/>
      </c>
      <c r="J212">
        <f>$C212*J211</f>
        <v/>
      </c>
      <c r="K212">
        <f>$C212*K211</f>
        <v/>
      </c>
      <c r="L212">
        <f>$C212*L211</f>
        <v/>
      </c>
      <c r="M212">
        <f>$C212*M211</f>
        <v/>
      </c>
      <c r="N212">
        <f>$C212*N211</f>
        <v/>
      </c>
      <c r="O212">
        <f>$C212*O211</f>
        <v/>
      </c>
      <c r="P212">
        <f>$C212*P211</f>
        <v/>
      </c>
      <c r="Q212">
        <f>$C212*Q211</f>
        <v/>
      </c>
      <c r="R212">
        <f>$C212*R211</f>
        <v/>
      </c>
      <c r="S212">
        <f>$C212*S211</f>
        <v/>
      </c>
      <c r="T212">
        <f>$C212*T211</f>
        <v/>
      </c>
      <c r="U212">
        <f>$C212*U211</f>
        <v/>
      </c>
      <c r="V212">
        <f>$C212*V211</f>
        <v/>
      </c>
      <c r="W212">
        <f>$C212*W211</f>
        <v/>
      </c>
      <c r="X212">
        <f>$C212*X211</f>
        <v/>
      </c>
      <c r="Y212">
        <f>$C212*Y211</f>
        <v/>
      </c>
      <c r="Z212">
        <f>$C212*Z211</f>
        <v/>
      </c>
      <c r="AA212">
        <f>$C212*AA211</f>
        <v/>
      </c>
      <c r="AB212">
        <f>$C212*AB211</f>
        <v/>
      </c>
      <c r="AC212">
        <f>$C212*AC211</f>
        <v/>
      </c>
      <c r="AD212">
        <f>$C212*AD211</f>
        <v/>
      </c>
      <c r="AE212">
        <f>$C212*AE211</f>
        <v/>
      </c>
      <c r="AF212">
        <f>$C212*AF211</f>
        <v/>
      </c>
      <c r="AG212">
        <f>$C212*AG211</f>
        <v/>
      </c>
      <c r="AH212">
        <f>$C212*AH211</f>
        <v/>
      </c>
      <c r="AI212">
        <f>$C212*AI211</f>
        <v/>
      </c>
      <c r="AJ212">
        <f>$C212*AJ211</f>
        <v/>
      </c>
      <c r="AK212">
        <f>$C212*AK211</f>
        <v/>
      </c>
      <c r="AL212">
        <f>$C212*AL211</f>
        <v/>
      </c>
      <c r="AM212">
        <f>$C212*AM211</f>
        <v/>
      </c>
      <c r="AN212">
        <f>$C212*AN211</f>
        <v/>
      </c>
      <c r="AO212">
        <f>$C212*AO211</f>
        <v/>
      </c>
      <c r="AP212">
        <f>$C212*AP211</f>
        <v/>
      </c>
      <c r="AQ212">
        <f>$C212*AQ211</f>
        <v/>
      </c>
      <c r="AR212">
        <f>$C212*AR211</f>
        <v/>
      </c>
      <c r="AS212">
        <f>$C212*AS211</f>
        <v/>
      </c>
      <c r="AT212">
        <f>$C212*AT211</f>
        <v/>
      </c>
      <c r="AU212">
        <f>$C212*AU211</f>
        <v/>
      </c>
      <c r="AV212">
        <f>$C212*AV211</f>
        <v/>
      </c>
      <c r="AW212">
        <f>$C212*AW211</f>
        <v/>
      </c>
      <c r="AX212">
        <f>$C212*AX211</f>
        <v/>
      </c>
      <c r="AY212">
        <f>$C212*AY211</f>
        <v/>
      </c>
      <c r="AZ212">
        <f>$C212*AZ211</f>
        <v/>
      </c>
      <c r="BA212">
        <f>$C212*BA211</f>
        <v/>
      </c>
      <c r="BB212">
        <f>$C212*BB211</f>
        <v/>
      </c>
      <c r="BC212">
        <f>$C212*BC211</f>
        <v/>
      </c>
      <c r="BD212">
        <f>$C212*BD211</f>
        <v/>
      </c>
      <c r="BE212">
        <f>$C212*BE211</f>
        <v/>
      </c>
      <c r="BF212">
        <f>$C212*BF211</f>
        <v/>
      </c>
      <c r="BG212">
        <f>$C212*BG211</f>
        <v/>
      </c>
      <c r="BH212">
        <f>$C212*BH211</f>
        <v/>
      </c>
      <c r="BI212">
        <f>$C212*BI211</f>
        <v/>
      </c>
      <c r="BJ212">
        <f>$C212*BJ211</f>
        <v/>
      </c>
      <c r="BK212">
        <f>$C212*BK211</f>
        <v/>
      </c>
      <c r="BL212">
        <f>$C212*BL211</f>
        <v/>
      </c>
      <c r="BM212">
        <f>$C212*BM211</f>
        <v/>
      </c>
      <c r="BN212">
        <f>$C212*BN211</f>
        <v/>
      </c>
      <c r="BO212">
        <f>$C212*BO211</f>
        <v/>
      </c>
      <c r="BP212">
        <f>$C212*BP211</f>
        <v/>
      </c>
      <c r="BQ212">
        <f>$C212*BQ211</f>
        <v/>
      </c>
      <c r="BR212">
        <f>$C212*BR211</f>
        <v/>
      </c>
      <c r="BS212">
        <f>$C212*BS211</f>
        <v/>
      </c>
      <c r="BT212">
        <f>$C212*BT211</f>
        <v/>
      </c>
      <c r="BU212">
        <f>$C212*BU211</f>
        <v/>
      </c>
      <c r="BV212">
        <f>$C212*BV211</f>
        <v/>
      </c>
      <c r="BW212">
        <f>$C212*BW211</f>
        <v/>
      </c>
      <c r="BX212">
        <f>$C212*BX211</f>
        <v/>
      </c>
      <c r="BY212">
        <f>$C212*BY211</f>
        <v/>
      </c>
      <c r="BZ212">
        <f>$C212*BZ211</f>
        <v/>
      </c>
      <c r="CA212">
        <f>$C212*CA211</f>
        <v/>
      </c>
      <c r="CB212">
        <f>$C212*CB211</f>
        <v/>
      </c>
      <c r="CC212">
        <f>$C212*CC211</f>
        <v/>
      </c>
      <c r="CD212">
        <f>$C212*CD211</f>
        <v/>
      </c>
      <c r="CE212">
        <f>$C212*CE211</f>
        <v/>
      </c>
      <c r="CF212">
        <f>$C212*CF211</f>
        <v/>
      </c>
      <c r="CG212">
        <f>$C212*CG211</f>
        <v/>
      </c>
      <c r="CH212">
        <f>$C212*CH211</f>
        <v/>
      </c>
      <c r="CI212">
        <f>$C212*CI211</f>
        <v/>
      </c>
      <c r="CJ212">
        <f>$C212*CJ211</f>
        <v/>
      </c>
      <c r="CK212">
        <f>$C212*CK211</f>
        <v/>
      </c>
      <c r="CL212">
        <f>$C212*CL211</f>
        <v/>
      </c>
      <c r="CM212">
        <f>$C212*CM211</f>
        <v/>
      </c>
      <c r="CN212">
        <f>$C212*CN211</f>
        <v/>
      </c>
      <c r="CO212">
        <f>$C212*CO211</f>
        <v/>
      </c>
      <c r="CP212">
        <f>$C212*CP211</f>
        <v/>
      </c>
      <c r="CQ212">
        <f>$C212*CQ211</f>
        <v/>
      </c>
      <c r="CR212">
        <f>$C212*CR211</f>
        <v/>
      </c>
      <c r="CS212">
        <f>$C212*CS211</f>
        <v/>
      </c>
      <c r="CT212">
        <f>$C212*CT211</f>
        <v/>
      </c>
      <c r="CU212">
        <f>$C212*CU211</f>
        <v/>
      </c>
      <c r="CV212">
        <f>$C212*CV211</f>
        <v/>
      </c>
      <c r="CW212">
        <f>$C212*CW211</f>
        <v/>
      </c>
      <c r="CX212">
        <f>$C212*CX211</f>
        <v/>
      </c>
      <c r="CY212">
        <f>$C212*CY211</f>
        <v/>
      </c>
      <c r="CZ212">
        <f>$C212*CZ211</f>
        <v/>
      </c>
      <c r="DA212">
        <f>$C212*DA211</f>
        <v/>
      </c>
      <c r="DB212">
        <f>$C212*DB211</f>
        <v/>
      </c>
      <c r="DC212">
        <f>$C212*DC211</f>
        <v/>
      </c>
    </row>
    <row r="213">
      <c r="B213" s="4" t="inlineStr">
        <is>
          <t>合計使用量(kg)/週</t>
        </is>
      </c>
      <c r="D213">
        <f>'Grid_Requirement'!B5</f>
        <v/>
      </c>
      <c r="E213">
        <f>'Grid_Requirement'!C5</f>
        <v/>
      </c>
      <c r="F213">
        <f>'Grid_Requirement'!D5</f>
        <v/>
      </c>
      <c r="G213">
        <f>'Grid_Requirement'!E5</f>
        <v/>
      </c>
      <c r="H213">
        <f>'Grid_Requirement'!F5</f>
        <v/>
      </c>
      <c r="I213">
        <f>'Grid_Requirement'!G5</f>
        <v/>
      </c>
      <c r="J213">
        <f>'Grid_Requirement'!H5</f>
        <v/>
      </c>
      <c r="K213">
        <f>'Grid_Requirement'!I5</f>
        <v/>
      </c>
      <c r="L213">
        <f>'Grid_Requirement'!J5</f>
        <v/>
      </c>
      <c r="M213">
        <f>'Grid_Requirement'!K5</f>
        <v/>
      </c>
      <c r="N213">
        <f>'Grid_Requirement'!L5</f>
        <v/>
      </c>
      <c r="O213">
        <f>'Grid_Requirement'!M5</f>
        <v/>
      </c>
      <c r="P213">
        <f>'Grid_Requirement'!N5</f>
        <v/>
      </c>
      <c r="Q213">
        <f>'Grid_Requirement'!O5</f>
        <v/>
      </c>
      <c r="R213">
        <f>'Grid_Requirement'!P5</f>
        <v/>
      </c>
      <c r="S213">
        <f>'Grid_Requirement'!Q5</f>
        <v/>
      </c>
      <c r="T213">
        <f>'Grid_Requirement'!R5</f>
        <v/>
      </c>
      <c r="U213">
        <f>'Grid_Requirement'!S5</f>
        <v/>
      </c>
      <c r="V213">
        <f>'Grid_Requirement'!T5</f>
        <v/>
      </c>
      <c r="W213">
        <f>'Grid_Requirement'!U5</f>
        <v/>
      </c>
      <c r="X213">
        <f>'Grid_Requirement'!V5</f>
        <v/>
      </c>
      <c r="Y213">
        <f>'Grid_Requirement'!W5</f>
        <v/>
      </c>
      <c r="Z213">
        <f>'Grid_Requirement'!X5</f>
        <v/>
      </c>
      <c r="AA213">
        <f>'Grid_Requirement'!Y5</f>
        <v/>
      </c>
      <c r="AB213">
        <f>'Grid_Requirement'!Z5</f>
        <v/>
      </c>
      <c r="AC213">
        <f>'Grid_Requirement'!AA5</f>
        <v/>
      </c>
      <c r="AD213">
        <f>'Grid_Requirement'!AB5</f>
        <v/>
      </c>
      <c r="AE213">
        <f>'Grid_Requirement'!AC5</f>
        <v/>
      </c>
      <c r="AF213">
        <f>'Grid_Requirement'!AD5</f>
        <v/>
      </c>
      <c r="AG213">
        <f>'Grid_Requirement'!AE5</f>
        <v/>
      </c>
      <c r="AH213">
        <f>'Grid_Requirement'!AF5</f>
        <v/>
      </c>
      <c r="AI213">
        <f>'Grid_Requirement'!AG5</f>
        <v/>
      </c>
      <c r="AJ213">
        <f>'Grid_Requirement'!AH5</f>
        <v/>
      </c>
      <c r="AK213">
        <f>'Grid_Requirement'!AI5</f>
        <v/>
      </c>
      <c r="AL213">
        <f>'Grid_Requirement'!AJ5</f>
        <v/>
      </c>
      <c r="AM213">
        <f>'Grid_Requirement'!AK5</f>
        <v/>
      </c>
      <c r="AN213">
        <f>'Grid_Requirement'!AL5</f>
        <v/>
      </c>
      <c r="AO213">
        <f>'Grid_Requirement'!AM5</f>
        <v/>
      </c>
      <c r="AP213">
        <f>'Grid_Requirement'!AN5</f>
        <v/>
      </c>
      <c r="AQ213">
        <f>'Grid_Requirement'!AO5</f>
        <v/>
      </c>
      <c r="AR213">
        <f>'Grid_Requirement'!AP5</f>
        <v/>
      </c>
      <c r="AS213">
        <f>'Grid_Requirement'!AQ5</f>
        <v/>
      </c>
      <c r="AT213">
        <f>'Grid_Requirement'!AR5</f>
        <v/>
      </c>
      <c r="AU213">
        <f>'Grid_Requirement'!AS5</f>
        <v/>
      </c>
      <c r="AV213">
        <f>'Grid_Requirement'!AT5</f>
        <v/>
      </c>
      <c r="AW213">
        <f>'Grid_Requirement'!AU5</f>
        <v/>
      </c>
      <c r="AX213">
        <f>'Grid_Requirement'!AV5</f>
        <v/>
      </c>
      <c r="AY213">
        <f>'Grid_Requirement'!AW5</f>
        <v/>
      </c>
      <c r="AZ213">
        <f>'Grid_Requirement'!AX5</f>
        <v/>
      </c>
      <c r="BA213">
        <f>'Grid_Requirement'!AY5</f>
        <v/>
      </c>
      <c r="BB213">
        <f>'Grid_Requirement'!AZ5</f>
        <v/>
      </c>
      <c r="BC213">
        <f>'Grid_Requirement'!BA5</f>
        <v/>
      </c>
      <c r="BD213">
        <f>'Grid_Requirement'!BB5</f>
        <v/>
      </c>
      <c r="BE213">
        <f>'Grid_Requirement'!BC5</f>
        <v/>
      </c>
      <c r="BF213">
        <f>'Grid_Requirement'!BD5</f>
        <v/>
      </c>
      <c r="BG213">
        <f>'Grid_Requirement'!BE5</f>
        <v/>
      </c>
      <c r="BH213">
        <f>'Grid_Requirement'!BF5</f>
        <v/>
      </c>
      <c r="BI213">
        <f>'Grid_Requirement'!BG5</f>
        <v/>
      </c>
      <c r="BJ213">
        <f>'Grid_Requirement'!BH5</f>
        <v/>
      </c>
      <c r="BK213">
        <f>'Grid_Requirement'!BI5</f>
        <v/>
      </c>
      <c r="BL213">
        <f>'Grid_Requirement'!BJ5</f>
        <v/>
      </c>
      <c r="BM213">
        <f>'Grid_Requirement'!BK5</f>
        <v/>
      </c>
      <c r="BN213">
        <f>'Grid_Requirement'!BL5</f>
        <v/>
      </c>
      <c r="BO213">
        <f>'Grid_Requirement'!BM5</f>
        <v/>
      </c>
      <c r="BP213">
        <f>'Grid_Requirement'!BN5</f>
        <v/>
      </c>
      <c r="BQ213">
        <f>'Grid_Requirement'!BO5</f>
        <v/>
      </c>
      <c r="BR213">
        <f>'Grid_Requirement'!BP5</f>
        <v/>
      </c>
      <c r="BS213">
        <f>'Grid_Requirement'!BQ5</f>
        <v/>
      </c>
      <c r="BT213">
        <f>'Grid_Requirement'!BR5</f>
        <v/>
      </c>
      <c r="BU213">
        <f>'Grid_Requirement'!BS5</f>
        <v/>
      </c>
      <c r="BV213">
        <f>'Grid_Requirement'!BT5</f>
        <v/>
      </c>
      <c r="BW213">
        <f>'Grid_Requirement'!BU5</f>
        <v/>
      </c>
      <c r="BX213">
        <f>'Grid_Requirement'!BV5</f>
        <v/>
      </c>
      <c r="BY213">
        <f>'Grid_Requirement'!BW5</f>
        <v/>
      </c>
      <c r="BZ213">
        <f>'Grid_Requirement'!BX5</f>
        <v/>
      </c>
      <c r="CA213">
        <f>'Grid_Requirement'!BY5</f>
        <v/>
      </c>
      <c r="CB213">
        <f>'Grid_Requirement'!BZ5</f>
        <v/>
      </c>
      <c r="CC213">
        <f>'Grid_Requirement'!CA5</f>
        <v/>
      </c>
      <c r="CD213">
        <f>'Grid_Requirement'!CB5</f>
        <v/>
      </c>
      <c r="CE213">
        <f>'Grid_Requirement'!CC5</f>
        <v/>
      </c>
      <c r="CF213">
        <f>'Grid_Requirement'!CD5</f>
        <v/>
      </c>
      <c r="CG213">
        <f>'Grid_Requirement'!CE5</f>
        <v/>
      </c>
      <c r="CH213">
        <f>'Grid_Requirement'!CF5</f>
        <v/>
      </c>
      <c r="CI213">
        <f>'Grid_Requirement'!CG5</f>
        <v/>
      </c>
      <c r="CJ213">
        <f>'Grid_Requirement'!CH5</f>
        <v/>
      </c>
      <c r="CK213">
        <f>'Grid_Requirement'!CI5</f>
        <v/>
      </c>
      <c r="CL213">
        <f>'Grid_Requirement'!CJ5</f>
        <v/>
      </c>
      <c r="CM213">
        <f>'Grid_Requirement'!CK5</f>
        <v/>
      </c>
      <c r="CN213">
        <f>'Grid_Requirement'!CL5</f>
        <v/>
      </c>
      <c r="CO213">
        <f>'Grid_Requirement'!CM5</f>
        <v/>
      </c>
      <c r="CP213">
        <f>'Grid_Requirement'!CN5</f>
        <v/>
      </c>
      <c r="CQ213">
        <f>'Grid_Requirement'!CO5</f>
        <v/>
      </c>
      <c r="CR213">
        <f>'Grid_Requirement'!CP5</f>
        <v/>
      </c>
      <c r="CS213">
        <f>'Grid_Requirement'!CQ5</f>
        <v/>
      </c>
      <c r="CT213">
        <f>'Grid_Requirement'!CR5</f>
        <v/>
      </c>
      <c r="CU213">
        <f>'Grid_Requirement'!CS5</f>
        <v/>
      </c>
      <c r="CV213">
        <f>'Grid_Requirement'!CT5</f>
        <v/>
      </c>
      <c r="CW213">
        <f>'Grid_Requirement'!CU5</f>
        <v/>
      </c>
      <c r="CX213">
        <f>'Grid_Requirement'!CV5</f>
        <v/>
      </c>
      <c r="CY213">
        <f>'Grid_Requirement'!CW5</f>
        <v/>
      </c>
      <c r="CZ213">
        <f>'Grid_Requirement'!CX5</f>
        <v/>
      </c>
      <c r="DA213">
        <f>'Grid_Requirement'!CY5</f>
        <v/>
      </c>
      <c r="DB213">
        <f>'Grid_Requirement'!CZ5</f>
        <v/>
      </c>
      <c r="DC213">
        <f>'Grid_Requirement'!DA5</f>
        <v/>
      </c>
    </row>
    <row r="214">
      <c r="B214" t="inlineStr">
        <is>
          <t>TTAF在庫(実績,kg)</t>
        </is>
      </c>
      <c r="D214">
        <f>'T_TTAFStock'!B9</f>
        <v/>
      </c>
      <c r="E214">
        <f>'T_TTAFStock'!C9</f>
        <v/>
      </c>
      <c r="F214">
        <f>'T_TTAFStock'!D9</f>
        <v/>
      </c>
      <c r="G214">
        <f>'T_TTAFStock'!E9</f>
        <v/>
      </c>
      <c r="H214">
        <f>'T_TTAFStock'!F9</f>
        <v/>
      </c>
      <c r="I214">
        <f>'T_TTAFStock'!G9</f>
        <v/>
      </c>
      <c r="J214">
        <f>'T_TTAFStock'!H9</f>
        <v/>
      </c>
      <c r="K214">
        <f>'T_TTAFStock'!I9</f>
        <v/>
      </c>
      <c r="L214">
        <f>'T_TTAFStock'!J9</f>
        <v/>
      </c>
      <c r="M214">
        <f>'T_TTAFStock'!K9</f>
        <v/>
      </c>
      <c r="N214">
        <f>'T_TTAFStock'!L9</f>
        <v/>
      </c>
      <c r="O214">
        <f>'T_TTAFStock'!M9</f>
        <v/>
      </c>
      <c r="P214">
        <f>'T_TTAFStock'!N9</f>
        <v/>
      </c>
      <c r="Q214">
        <f>'T_TTAFStock'!O9</f>
        <v/>
      </c>
      <c r="R214">
        <f>'T_TTAFStock'!P9</f>
        <v/>
      </c>
      <c r="S214">
        <f>'T_TTAFStock'!Q9</f>
        <v/>
      </c>
      <c r="T214">
        <f>'T_TTAFStock'!R9</f>
        <v/>
      </c>
      <c r="U214">
        <f>'T_TTAFStock'!S9</f>
        <v/>
      </c>
      <c r="V214">
        <f>'T_TTAFStock'!T9</f>
        <v/>
      </c>
      <c r="W214">
        <f>'T_TTAFStock'!U9</f>
        <v/>
      </c>
      <c r="X214">
        <f>'T_TTAFStock'!V9</f>
        <v/>
      </c>
      <c r="Y214">
        <f>'T_TTAFStock'!W9</f>
        <v/>
      </c>
      <c r="Z214">
        <f>'T_TTAFStock'!X9</f>
        <v/>
      </c>
      <c r="AA214">
        <f>'T_TTAFStock'!Y9</f>
        <v/>
      </c>
      <c r="AB214">
        <f>'T_TTAFStock'!Z9</f>
        <v/>
      </c>
      <c r="AC214">
        <f>'T_TTAFStock'!AA9</f>
        <v/>
      </c>
      <c r="AD214">
        <f>'T_TTAFStock'!AB9</f>
        <v/>
      </c>
      <c r="AE214">
        <f>'T_TTAFStock'!AC9</f>
        <v/>
      </c>
      <c r="AF214">
        <f>'T_TTAFStock'!AD9</f>
        <v/>
      </c>
      <c r="AG214">
        <f>'T_TTAFStock'!AE9</f>
        <v/>
      </c>
      <c r="AH214">
        <f>'T_TTAFStock'!AF9</f>
        <v/>
      </c>
      <c r="AI214">
        <f>'T_TTAFStock'!AG9</f>
        <v/>
      </c>
      <c r="AJ214">
        <f>'T_TTAFStock'!AH9</f>
        <v/>
      </c>
      <c r="AK214">
        <f>'T_TTAFStock'!AI9</f>
        <v/>
      </c>
      <c r="AL214">
        <f>'T_TTAFStock'!AJ9</f>
        <v/>
      </c>
      <c r="AM214">
        <f>'T_TTAFStock'!AK9</f>
        <v/>
      </c>
      <c r="AN214">
        <f>'T_TTAFStock'!AL9</f>
        <v/>
      </c>
      <c r="AO214">
        <f>'T_TTAFStock'!AM9</f>
        <v/>
      </c>
      <c r="AP214">
        <f>'T_TTAFStock'!AN9</f>
        <v/>
      </c>
      <c r="AQ214">
        <f>'T_TTAFStock'!AO9</f>
        <v/>
      </c>
      <c r="AR214">
        <f>'T_TTAFStock'!AP9</f>
        <v/>
      </c>
      <c r="AS214">
        <f>'T_TTAFStock'!AQ9</f>
        <v/>
      </c>
      <c r="AT214">
        <f>'T_TTAFStock'!AR9</f>
        <v/>
      </c>
      <c r="AU214">
        <f>'T_TTAFStock'!AS9</f>
        <v/>
      </c>
      <c r="AV214">
        <f>'T_TTAFStock'!AT9</f>
        <v/>
      </c>
      <c r="AW214">
        <f>'T_TTAFStock'!AU9</f>
        <v/>
      </c>
      <c r="AX214">
        <f>'T_TTAFStock'!AV9</f>
        <v/>
      </c>
      <c r="AY214">
        <f>'T_TTAFStock'!AW9</f>
        <v/>
      </c>
      <c r="AZ214">
        <f>'T_TTAFStock'!AX9</f>
        <v/>
      </c>
      <c r="BA214">
        <f>'T_TTAFStock'!AY9</f>
        <v/>
      </c>
      <c r="BB214">
        <f>'T_TTAFStock'!AZ9</f>
        <v/>
      </c>
      <c r="BC214">
        <f>'T_TTAFStock'!BA9</f>
        <v/>
      </c>
      <c r="BD214">
        <f>'T_TTAFStock'!BB9</f>
        <v/>
      </c>
      <c r="BE214">
        <f>'T_TTAFStock'!BC9</f>
        <v/>
      </c>
      <c r="BF214">
        <f>'T_TTAFStock'!BD9</f>
        <v/>
      </c>
      <c r="BG214">
        <f>'T_TTAFStock'!BE9</f>
        <v/>
      </c>
      <c r="BH214">
        <f>'T_TTAFStock'!BF9</f>
        <v/>
      </c>
      <c r="BI214">
        <f>'T_TTAFStock'!BG9</f>
        <v/>
      </c>
      <c r="BJ214">
        <f>'T_TTAFStock'!BH9</f>
        <v/>
      </c>
      <c r="BK214">
        <f>'T_TTAFStock'!BI9</f>
        <v/>
      </c>
      <c r="BL214">
        <f>'T_TTAFStock'!BJ9</f>
        <v/>
      </c>
      <c r="BM214">
        <f>'T_TTAFStock'!BK9</f>
        <v/>
      </c>
      <c r="BN214">
        <f>'T_TTAFStock'!BL9</f>
        <v/>
      </c>
      <c r="BO214">
        <f>'T_TTAFStock'!BM9</f>
        <v/>
      </c>
      <c r="BP214">
        <f>'T_TTAFStock'!BN9</f>
        <v/>
      </c>
      <c r="BQ214">
        <f>'T_TTAFStock'!BO9</f>
        <v/>
      </c>
      <c r="BR214">
        <f>'T_TTAFStock'!BP9</f>
        <v/>
      </c>
      <c r="BS214">
        <f>'T_TTAFStock'!BQ9</f>
        <v/>
      </c>
      <c r="BT214">
        <f>'T_TTAFStock'!BR9</f>
        <v/>
      </c>
      <c r="BU214">
        <f>'T_TTAFStock'!BS9</f>
        <v/>
      </c>
      <c r="BV214">
        <f>'T_TTAFStock'!BT9</f>
        <v/>
      </c>
      <c r="BW214">
        <f>'T_TTAFStock'!BU9</f>
        <v/>
      </c>
      <c r="BX214">
        <f>'T_TTAFStock'!BV9</f>
        <v/>
      </c>
      <c r="BY214">
        <f>'T_TTAFStock'!BW9</f>
        <v/>
      </c>
      <c r="BZ214">
        <f>'T_TTAFStock'!BX9</f>
        <v/>
      </c>
      <c r="CA214">
        <f>'T_TTAFStock'!BY9</f>
        <v/>
      </c>
      <c r="CB214">
        <f>'T_TTAFStock'!BZ9</f>
        <v/>
      </c>
      <c r="CC214">
        <f>'T_TTAFStock'!CA9</f>
        <v/>
      </c>
      <c r="CD214">
        <f>'T_TTAFStock'!CB9</f>
        <v/>
      </c>
      <c r="CE214">
        <f>'T_TTAFStock'!CC9</f>
        <v/>
      </c>
      <c r="CF214">
        <f>'T_TTAFStock'!CD9</f>
        <v/>
      </c>
      <c r="CG214">
        <f>'T_TTAFStock'!CE9</f>
        <v/>
      </c>
      <c r="CH214">
        <f>'T_TTAFStock'!CF9</f>
        <v/>
      </c>
      <c r="CI214">
        <f>'T_TTAFStock'!CG9</f>
        <v/>
      </c>
      <c r="CJ214">
        <f>'T_TTAFStock'!CH9</f>
        <v/>
      </c>
      <c r="CK214">
        <f>'T_TTAFStock'!CI9</f>
        <v/>
      </c>
      <c r="CL214">
        <f>'T_TTAFStock'!CJ9</f>
        <v/>
      </c>
      <c r="CM214">
        <f>'T_TTAFStock'!CK9</f>
        <v/>
      </c>
      <c r="CN214">
        <f>'T_TTAFStock'!CL9</f>
        <v/>
      </c>
      <c r="CO214">
        <f>'T_TTAFStock'!CM9</f>
        <v/>
      </c>
      <c r="CP214">
        <f>'T_TTAFStock'!CN9</f>
        <v/>
      </c>
      <c r="CQ214">
        <f>'T_TTAFStock'!CO9</f>
        <v/>
      </c>
      <c r="CR214">
        <f>'T_TTAFStock'!CP9</f>
        <v/>
      </c>
      <c r="CS214">
        <f>'T_TTAFStock'!CQ9</f>
        <v/>
      </c>
      <c r="CT214">
        <f>'T_TTAFStock'!CR9</f>
        <v/>
      </c>
      <c r="CU214">
        <f>'T_TTAFStock'!CS9</f>
        <v/>
      </c>
      <c r="CV214">
        <f>'T_TTAFStock'!CT9</f>
        <v/>
      </c>
      <c r="CW214">
        <f>'T_TTAFStock'!CU9</f>
        <v/>
      </c>
      <c r="CX214">
        <f>'T_TTAFStock'!CV9</f>
        <v/>
      </c>
      <c r="CY214">
        <f>'T_TTAFStock'!CW9</f>
        <v/>
      </c>
      <c r="CZ214">
        <f>'T_TTAFStock'!CX9</f>
        <v/>
      </c>
      <c r="DA214">
        <f>'T_TTAFStock'!CY9</f>
        <v/>
      </c>
      <c r="DB214">
        <f>'T_TTAFStock'!CZ9</f>
        <v/>
      </c>
      <c r="DC214">
        <f>'T_TTAFStock'!DA9</f>
        <v/>
      </c>
    </row>
    <row r="215">
      <c r="B215" t="inlineStr">
        <is>
          <t>自社在庫(実績,kg)</t>
        </is>
      </c>
      <c r="D215">
        <f>'T_SelfStock'!B9</f>
        <v/>
      </c>
      <c r="E215">
        <f>'T_SelfStock'!C9</f>
        <v/>
      </c>
      <c r="F215">
        <f>'T_SelfStock'!D9</f>
        <v/>
      </c>
      <c r="G215">
        <f>'T_SelfStock'!E9</f>
        <v/>
      </c>
      <c r="H215">
        <f>'T_SelfStock'!F9</f>
        <v/>
      </c>
      <c r="I215">
        <f>'T_SelfStock'!G9</f>
        <v/>
      </c>
      <c r="J215">
        <f>'T_SelfStock'!H9</f>
        <v/>
      </c>
      <c r="K215">
        <f>'T_SelfStock'!I9</f>
        <v/>
      </c>
      <c r="L215">
        <f>'T_SelfStock'!J9</f>
        <v/>
      </c>
      <c r="M215">
        <f>'T_SelfStock'!K9</f>
        <v/>
      </c>
      <c r="N215">
        <f>'T_SelfStock'!L9</f>
        <v/>
      </c>
      <c r="O215">
        <f>'T_SelfStock'!M9</f>
        <v/>
      </c>
      <c r="P215">
        <f>'T_SelfStock'!N9</f>
        <v/>
      </c>
      <c r="Q215">
        <f>'T_SelfStock'!O9</f>
        <v/>
      </c>
      <c r="R215">
        <f>'T_SelfStock'!P9</f>
        <v/>
      </c>
      <c r="S215">
        <f>'T_SelfStock'!Q9</f>
        <v/>
      </c>
      <c r="T215">
        <f>'T_SelfStock'!R9</f>
        <v/>
      </c>
      <c r="U215">
        <f>'T_SelfStock'!S9</f>
        <v/>
      </c>
      <c r="V215">
        <f>'T_SelfStock'!T9</f>
        <v/>
      </c>
      <c r="W215">
        <f>'T_SelfStock'!U9</f>
        <v/>
      </c>
      <c r="X215">
        <f>'T_SelfStock'!V9</f>
        <v/>
      </c>
      <c r="Y215">
        <f>'T_SelfStock'!W9</f>
        <v/>
      </c>
      <c r="Z215">
        <f>'T_SelfStock'!X9</f>
        <v/>
      </c>
      <c r="AA215">
        <f>'T_SelfStock'!Y9</f>
        <v/>
      </c>
      <c r="AB215">
        <f>'T_SelfStock'!Z9</f>
        <v/>
      </c>
      <c r="AC215">
        <f>'T_SelfStock'!AA9</f>
        <v/>
      </c>
      <c r="AD215">
        <f>'T_SelfStock'!AB9</f>
        <v/>
      </c>
      <c r="AE215">
        <f>'T_SelfStock'!AC9</f>
        <v/>
      </c>
      <c r="AF215">
        <f>'T_SelfStock'!AD9</f>
        <v/>
      </c>
      <c r="AG215">
        <f>'T_SelfStock'!AE9</f>
        <v/>
      </c>
      <c r="AH215">
        <f>'T_SelfStock'!AF9</f>
        <v/>
      </c>
      <c r="AI215">
        <f>'T_SelfStock'!AG9</f>
        <v/>
      </c>
      <c r="AJ215">
        <f>'T_SelfStock'!AH9</f>
        <v/>
      </c>
      <c r="AK215">
        <f>'T_SelfStock'!AI9</f>
        <v/>
      </c>
      <c r="AL215">
        <f>'T_SelfStock'!AJ9</f>
        <v/>
      </c>
      <c r="AM215">
        <f>'T_SelfStock'!AK9</f>
        <v/>
      </c>
      <c r="AN215">
        <f>'T_SelfStock'!AL9</f>
        <v/>
      </c>
      <c r="AO215">
        <f>'T_SelfStock'!AM9</f>
        <v/>
      </c>
      <c r="AP215">
        <f>'T_SelfStock'!AN9</f>
        <v/>
      </c>
      <c r="AQ215">
        <f>'T_SelfStock'!AO9</f>
        <v/>
      </c>
      <c r="AR215">
        <f>'T_SelfStock'!AP9</f>
        <v/>
      </c>
      <c r="AS215">
        <f>'T_SelfStock'!AQ9</f>
        <v/>
      </c>
      <c r="AT215">
        <f>'T_SelfStock'!AR9</f>
        <v/>
      </c>
      <c r="AU215">
        <f>'T_SelfStock'!AS9</f>
        <v/>
      </c>
      <c r="AV215">
        <f>'T_SelfStock'!AT9</f>
        <v/>
      </c>
      <c r="AW215">
        <f>'T_SelfStock'!AU9</f>
        <v/>
      </c>
      <c r="AX215">
        <f>'T_SelfStock'!AV9</f>
        <v/>
      </c>
      <c r="AY215">
        <f>'T_SelfStock'!AW9</f>
        <v/>
      </c>
      <c r="AZ215">
        <f>'T_SelfStock'!AX9</f>
        <v/>
      </c>
      <c r="BA215">
        <f>'T_SelfStock'!AY9</f>
        <v/>
      </c>
      <c r="BB215">
        <f>'T_SelfStock'!AZ9</f>
        <v/>
      </c>
      <c r="BC215">
        <f>'T_SelfStock'!BA9</f>
        <v/>
      </c>
      <c r="BD215">
        <f>'T_SelfStock'!BB9</f>
        <v/>
      </c>
      <c r="BE215">
        <f>'T_SelfStock'!BC9</f>
        <v/>
      </c>
      <c r="BF215">
        <f>'T_SelfStock'!BD9</f>
        <v/>
      </c>
      <c r="BG215">
        <f>'T_SelfStock'!BE9</f>
        <v/>
      </c>
      <c r="BH215">
        <f>'T_SelfStock'!BF9</f>
        <v/>
      </c>
      <c r="BI215">
        <f>'T_SelfStock'!BG9</f>
        <v/>
      </c>
      <c r="BJ215">
        <f>'T_SelfStock'!BH9</f>
        <v/>
      </c>
      <c r="BK215">
        <f>'T_SelfStock'!BI9</f>
        <v/>
      </c>
      <c r="BL215">
        <f>'T_SelfStock'!BJ9</f>
        <v/>
      </c>
      <c r="BM215">
        <f>'T_SelfStock'!BK9</f>
        <v/>
      </c>
      <c r="BN215">
        <f>'T_SelfStock'!BL9</f>
        <v/>
      </c>
      <c r="BO215">
        <f>'T_SelfStock'!BM9</f>
        <v/>
      </c>
      <c r="BP215">
        <f>'T_SelfStock'!BN9</f>
        <v/>
      </c>
      <c r="BQ215">
        <f>'T_SelfStock'!BO9</f>
        <v/>
      </c>
      <c r="BR215">
        <f>'T_SelfStock'!BP9</f>
        <v/>
      </c>
      <c r="BS215">
        <f>'T_SelfStock'!BQ9</f>
        <v/>
      </c>
      <c r="BT215">
        <f>'T_SelfStock'!BR9</f>
        <v/>
      </c>
      <c r="BU215">
        <f>'T_SelfStock'!BS9</f>
        <v/>
      </c>
      <c r="BV215">
        <f>'T_SelfStock'!BT9</f>
        <v/>
      </c>
      <c r="BW215">
        <f>'T_SelfStock'!BU9</f>
        <v/>
      </c>
      <c r="BX215">
        <f>'T_SelfStock'!BV9</f>
        <v/>
      </c>
      <c r="BY215">
        <f>'T_SelfStock'!BW9</f>
        <v/>
      </c>
      <c r="BZ215">
        <f>'T_SelfStock'!BX9</f>
        <v/>
      </c>
      <c r="CA215">
        <f>'T_SelfStock'!BY9</f>
        <v/>
      </c>
      <c r="CB215">
        <f>'T_SelfStock'!BZ9</f>
        <v/>
      </c>
      <c r="CC215">
        <f>'T_SelfStock'!CA9</f>
        <v/>
      </c>
      <c r="CD215">
        <f>'T_SelfStock'!CB9</f>
        <v/>
      </c>
      <c r="CE215">
        <f>'T_SelfStock'!CC9</f>
        <v/>
      </c>
      <c r="CF215">
        <f>'T_SelfStock'!CD9</f>
        <v/>
      </c>
      <c r="CG215">
        <f>'T_SelfStock'!CE9</f>
        <v/>
      </c>
      <c r="CH215">
        <f>'T_SelfStock'!CF9</f>
        <v/>
      </c>
      <c r="CI215">
        <f>'T_SelfStock'!CG9</f>
        <v/>
      </c>
      <c r="CJ215">
        <f>'T_SelfStock'!CH9</f>
        <v/>
      </c>
      <c r="CK215">
        <f>'T_SelfStock'!CI9</f>
        <v/>
      </c>
      <c r="CL215">
        <f>'T_SelfStock'!CJ9</f>
        <v/>
      </c>
      <c r="CM215">
        <f>'T_SelfStock'!CK9</f>
        <v/>
      </c>
      <c r="CN215">
        <f>'T_SelfStock'!CL9</f>
        <v/>
      </c>
      <c r="CO215">
        <f>'T_SelfStock'!CM9</f>
        <v/>
      </c>
      <c r="CP215">
        <f>'T_SelfStock'!CN9</f>
        <v/>
      </c>
      <c r="CQ215">
        <f>'T_SelfStock'!CO9</f>
        <v/>
      </c>
      <c r="CR215">
        <f>'T_SelfStock'!CP9</f>
        <v/>
      </c>
      <c r="CS215">
        <f>'T_SelfStock'!CQ9</f>
        <v/>
      </c>
      <c r="CT215">
        <f>'T_SelfStock'!CR9</f>
        <v/>
      </c>
      <c r="CU215">
        <f>'T_SelfStock'!CS9</f>
        <v/>
      </c>
      <c r="CV215">
        <f>'T_SelfStock'!CT9</f>
        <v/>
      </c>
      <c r="CW215">
        <f>'T_SelfStock'!CU9</f>
        <v/>
      </c>
      <c r="CX215">
        <f>'T_SelfStock'!CV9</f>
        <v/>
      </c>
      <c r="CY215">
        <f>'T_SelfStock'!CW9</f>
        <v/>
      </c>
      <c r="CZ215">
        <f>'T_SelfStock'!CX9</f>
        <v/>
      </c>
      <c r="DA215">
        <f>'T_SelfStock'!CY9</f>
        <v/>
      </c>
      <c r="DB215">
        <f>'T_SelfStock'!CZ9</f>
        <v/>
      </c>
      <c r="DC215">
        <f>'T_SelfStock'!DA9</f>
        <v/>
      </c>
    </row>
    <row r="216">
      <c r="B216" s="4" t="inlineStr">
        <is>
          <t>合計在庫(週末時点,kg)</t>
        </is>
      </c>
      <c r="D216">
        <f>'Grid_Stock'!B5</f>
        <v/>
      </c>
      <c r="E216">
        <f>'Grid_Stock'!C5</f>
        <v/>
      </c>
      <c r="F216">
        <f>'Grid_Stock'!D5</f>
        <v/>
      </c>
      <c r="G216">
        <f>'Grid_Stock'!E5</f>
        <v/>
      </c>
      <c r="H216">
        <f>'Grid_Stock'!F5</f>
        <v/>
      </c>
      <c r="I216">
        <f>'Grid_Stock'!G5</f>
        <v/>
      </c>
      <c r="J216">
        <f>'Grid_Stock'!H5</f>
        <v/>
      </c>
      <c r="K216">
        <f>'Grid_Stock'!I5</f>
        <v/>
      </c>
      <c r="L216">
        <f>'Grid_Stock'!J5</f>
        <v/>
      </c>
      <c r="M216">
        <f>'Grid_Stock'!K5</f>
        <v/>
      </c>
      <c r="N216">
        <f>'Grid_Stock'!L5</f>
        <v/>
      </c>
      <c r="O216">
        <f>'Grid_Stock'!M5</f>
        <v/>
      </c>
      <c r="P216">
        <f>'Grid_Stock'!N5</f>
        <v/>
      </c>
      <c r="Q216">
        <f>'Grid_Stock'!O5</f>
        <v/>
      </c>
      <c r="R216">
        <f>'Grid_Stock'!P5</f>
        <v/>
      </c>
      <c r="S216">
        <f>'Grid_Stock'!Q5</f>
        <v/>
      </c>
      <c r="T216">
        <f>'Grid_Stock'!R5</f>
        <v/>
      </c>
      <c r="U216">
        <f>'Grid_Stock'!S5</f>
        <v/>
      </c>
      <c r="V216">
        <f>'Grid_Stock'!T5</f>
        <v/>
      </c>
      <c r="W216">
        <f>'Grid_Stock'!U5</f>
        <v/>
      </c>
      <c r="X216">
        <f>'Grid_Stock'!V5</f>
        <v/>
      </c>
      <c r="Y216">
        <f>'Grid_Stock'!W5</f>
        <v/>
      </c>
      <c r="Z216">
        <f>'Grid_Stock'!X5</f>
        <v/>
      </c>
      <c r="AA216">
        <f>'Grid_Stock'!Y5</f>
        <v/>
      </c>
      <c r="AB216">
        <f>'Grid_Stock'!Z5</f>
        <v/>
      </c>
      <c r="AC216">
        <f>'Grid_Stock'!AA5</f>
        <v/>
      </c>
      <c r="AD216">
        <f>'Grid_Stock'!AB5</f>
        <v/>
      </c>
      <c r="AE216">
        <f>'Grid_Stock'!AC5</f>
        <v/>
      </c>
      <c r="AF216">
        <f>'Grid_Stock'!AD5</f>
        <v/>
      </c>
      <c r="AG216">
        <f>'Grid_Stock'!AE5</f>
        <v/>
      </c>
      <c r="AH216">
        <f>'Grid_Stock'!AF5</f>
        <v/>
      </c>
      <c r="AI216">
        <f>'Grid_Stock'!AG5</f>
        <v/>
      </c>
      <c r="AJ216">
        <f>'Grid_Stock'!AH5</f>
        <v/>
      </c>
      <c r="AK216">
        <f>'Grid_Stock'!AI5</f>
        <v/>
      </c>
      <c r="AL216">
        <f>'Grid_Stock'!AJ5</f>
        <v/>
      </c>
      <c r="AM216">
        <f>'Grid_Stock'!AK5</f>
        <v/>
      </c>
      <c r="AN216">
        <f>'Grid_Stock'!AL5</f>
        <v/>
      </c>
      <c r="AO216">
        <f>'Grid_Stock'!AM5</f>
        <v/>
      </c>
      <c r="AP216">
        <f>'Grid_Stock'!AN5</f>
        <v/>
      </c>
      <c r="AQ216">
        <f>'Grid_Stock'!AO5</f>
        <v/>
      </c>
      <c r="AR216">
        <f>'Grid_Stock'!AP5</f>
        <v/>
      </c>
      <c r="AS216">
        <f>'Grid_Stock'!AQ5</f>
        <v/>
      </c>
      <c r="AT216">
        <f>'Grid_Stock'!AR5</f>
        <v/>
      </c>
      <c r="AU216">
        <f>'Grid_Stock'!AS5</f>
        <v/>
      </c>
      <c r="AV216">
        <f>'Grid_Stock'!AT5</f>
        <v/>
      </c>
      <c r="AW216">
        <f>'Grid_Stock'!AU5</f>
        <v/>
      </c>
      <c r="AX216">
        <f>'Grid_Stock'!AV5</f>
        <v/>
      </c>
      <c r="AY216">
        <f>'Grid_Stock'!AW5</f>
        <v/>
      </c>
      <c r="AZ216">
        <f>'Grid_Stock'!AX5</f>
        <v/>
      </c>
      <c r="BA216">
        <f>'Grid_Stock'!AY5</f>
        <v/>
      </c>
      <c r="BB216">
        <f>'Grid_Stock'!AZ5</f>
        <v/>
      </c>
      <c r="BC216">
        <f>'Grid_Stock'!BA5</f>
        <v/>
      </c>
      <c r="BD216">
        <f>'Grid_Stock'!BB5</f>
        <v/>
      </c>
      <c r="BE216">
        <f>'Grid_Stock'!BC5</f>
        <v/>
      </c>
      <c r="BF216">
        <f>'Grid_Stock'!BD5</f>
        <v/>
      </c>
      <c r="BG216">
        <f>'Grid_Stock'!BE5</f>
        <v/>
      </c>
      <c r="BH216">
        <f>'Grid_Stock'!BF5</f>
        <v/>
      </c>
      <c r="BI216">
        <f>'Grid_Stock'!BG5</f>
        <v/>
      </c>
      <c r="BJ216">
        <f>'Grid_Stock'!BH5</f>
        <v/>
      </c>
      <c r="BK216">
        <f>'Grid_Stock'!BI5</f>
        <v/>
      </c>
      <c r="BL216">
        <f>'Grid_Stock'!BJ5</f>
        <v/>
      </c>
      <c r="BM216">
        <f>'Grid_Stock'!BK5</f>
        <v/>
      </c>
      <c r="BN216">
        <f>'Grid_Stock'!BL5</f>
        <v/>
      </c>
      <c r="BO216">
        <f>'Grid_Stock'!BM5</f>
        <v/>
      </c>
      <c r="BP216">
        <f>'Grid_Stock'!BN5</f>
        <v/>
      </c>
      <c r="BQ216">
        <f>'Grid_Stock'!BO5</f>
        <v/>
      </c>
      <c r="BR216">
        <f>'Grid_Stock'!BP5</f>
        <v/>
      </c>
      <c r="BS216">
        <f>'Grid_Stock'!BQ5</f>
        <v/>
      </c>
      <c r="BT216">
        <f>'Grid_Stock'!BR5</f>
        <v/>
      </c>
      <c r="BU216">
        <f>'Grid_Stock'!BS5</f>
        <v/>
      </c>
      <c r="BV216">
        <f>'Grid_Stock'!BT5</f>
        <v/>
      </c>
      <c r="BW216">
        <f>'Grid_Stock'!BU5</f>
        <v/>
      </c>
      <c r="BX216">
        <f>'Grid_Stock'!BV5</f>
        <v/>
      </c>
      <c r="BY216">
        <f>'Grid_Stock'!BW5</f>
        <v/>
      </c>
      <c r="BZ216">
        <f>'Grid_Stock'!BX5</f>
        <v/>
      </c>
      <c r="CA216">
        <f>'Grid_Stock'!BY5</f>
        <v/>
      </c>
      <c r="CB216">
        <f>'Grid_Stock'!BZ5</f>
        <v/>
      </c>
      <c r="CC216">
        <f>'Grid_Stock'!CA5</f>
        <v/>
      </c>
      <c r="CD216">
        <f>'Grid_Stock'!CB5</f>
        <v/>
      </c>
      <c r="CE216">
        <f>'Grid_Stock'!CC5</f>
        <v/>
      </c>
      <c r="CF216">
        <f>'Grid_Stock'!CD5</f>
        <v/>
      </c>
      <c r="CG216">
        <f>'Grid_Stock'!CE5</f>
        <v/>
      </c>
      <c r="CH216">
        <f>'Grid_Stock'!CF5</f>
        <v/>
      </c>
      <c r="CI216">
        <f>'Grid_Stock'!CG5</f>
        <v/>
      </c>
      <c r="CJ216">
        <f>'Grid_Stock'!CH5</f>
        <v/>
      </c>
      <c r="CK216">
        <f>'Grid_Stock'!CI5</f>
        <v/>
      </c>
      <c r="CL216">
        <f>'Grid_Stock'!CJ5</f>
        <v/>
      </c>
      <c r="CM216">
        <f>'Grid_Stock'!CK5</f>
        <v/>
      </c>
      <c r="CN216">
        <f>'Grid_Stock'!CL5</f>
        <v/>
      </c>
      <c r="CO216">
        <f>'Grid_Stock'!CM5</f>
        <v/>
      </c>
      <c r="CP216">
        <f>'Grid_Stock'!CN5</f>
        <v/>
      </c>
      <c r="CQ216">
        <f>'Grid_Stock'!CO5</f>
        <v/>
      </c>
      <c r="CR216">
        <f>'Grid_Stock'!CP5</f>
        <v/>
      </c>
      <c r="CS216">
        <f>'Grid_Stock'!CQ5</f>
        <v/>
      </c>
      <c r="CT216">
        <f>'Grid_Stock'!CR5</f>
        <v/>
      </c>
      <c r="CU216">
        <f>'Grid_Stock'!CS5</f>
        <v/>
      </c>
      <c r="CV216">
        <f>'Grid_Stock'!CT5</f>
        <v/>
      </c>
      <c r="CW216">
        <f>'Grid_Stock'!CU5</f>
        <v/>
      </c>
      <c r="CX216">
        <f>'Grid_Stock'!CV5</f>
        <v/>
      </c>
      <c r="CY216">
        <f>'Grid_Stock'!CW5</f>
        <v/>
      </c>
      <c r="CZ216">
        <f>'Grid_Stock'!CX5</f>
        <v/>
      </c>
      <c r="DA216">
        <f>'Grid_Stock'!CY5</f>
        <v/>
      </c>
      <c r="DB216">
        <f>'Grid_Stock'!CZ5</f>
        <v/>
      </c>
      <c r="DC216">
        <f>'Grid_Stock'!DA5</f>
        <v/>
      </c>
    </row>
    <row r="217">
      <c r="B217" s="16" t="inlineStr">
        <is>
          <t>（発注の目安はDashboardの基準在庫[下限/上限]と色分けを参照）</t>
        </is>
      </c>
    </row>
    <row r="219">
      <c r="A219" s="14" t="inlineStr">
        <is>
          <t>CHEM-1440</t>
        </is>
      </c>
      <c r="B219" s="14" t="inlineStr">
        <is>
          <t>CITRIC ACID</t>
        </is>
      </c>
      <c r="C219" s="15" t="n"/>
      <c r="D219" s="14" t="n"/>
      <c r="E219" s="14" t="n"/>
      <c r="F219" s="14" t="n"/>
      <c r="G219" s="14" t="n"/>
      <c r="H219" s="14" t="n"/>
      <c r="I219" s="14" t="n"/>
      <c r="J219" s="14" t="n"/>
      <c r="K219" s="14" t="n"/>
      <c r="L219" s="14" t="n"/>
      <c r="M219" s="14" t="n"/>
      <c r="N219" s="14" t="n"/>
      <c r="O219" s="14" t="n"/>
      <c r="P219" s="14" t="n"/>
      <c r="Q219" s="14" t="n"/>
      <c r="R219" s="14" t="n"/>
      <c r="S219" s="14" t="n"/>
      <c r="T219" s="14" t="n"/>
      <c r="U219" s="14" t="n"/>
      <c r="V219" s="14" t="n"/>
      <c r="W219" s="14" t="n"/>
      <c r="X219" s="14" t="n"/>
      <c r="Y219" s="14" t="n"/>
      <c r="Z219" s="14" t="n"/>
      <c r="AA219" s="14" t="n"/>
      <c r="AB219" s="14" t="n"/>
      <c r="AC219" s="14" t="n"/>
      <c r="AD219" s="14" t="n"/>
      <c r="AE219" s="14" t="n"/>
      <c r="AF219" s="14" t="n"/>
      <c r="AG219" s="14" t="n"/>
      <c r="AH219" s="14" t="n"/>
      <c r="AI219" s="14" t="n"/>
      <c r="AJ219" s="14" t="n"/>
      <c r="AK219" s="14" t="n"/>
      <c r="AL219" s="14" t="n"/>
      <c r="AM219" s="14" t="n"/>
      <c r="AN219" s="14" t="n"/>
      <c r="AO219" s="14" t="n"/>
      <c r="AP219" s="14" t="n"/>
      <c r="AQ219" s="14" t="n"/>
      <c r="AR219" s="14" t="n"/>
      <c r="AS219" s="14" t="n"/>
      <c r="AT219" s="14" t="n"/>
      <c r="AU219" s="14" t="n"/>
      <c r="AV219" s="14" t="n"/>
      <c r="AW219" s="14" t="n"/>
      <c r="AX219" s="14" t="n"/>
      <c r="AY219" s="14" t="n"/>
      <c r="AZ219" s="14" t="n"/>
      <c r="BA219" s="14" t="n"/>
      <c r="BB219" s="14" t="n"/>
      <c r="BC219" s="14" t="n"/>
      <c r="BD219" s="14" t="n"/>
      <c r="BE219" s="14" t="n"/>
      <c r="BF219" s="14" t="n"/>
      <c r="BG219" s="14" t="n"/>
      <c r="BH219" s="14" t="n"/>
      <c r="BI219" s="14" t="n"/>
      <c r="BJ219" s="14" t="n"/>
      <c r="BK219" s="14" t="n"/>
      <c r="BL219" s="14" t="n"/>
      <c r="BM219" s="14" t="n"/>
      <c r="BN219" s="14" t="n"/>
      <c r="BO219" s="14" t="n"/>
      <c r="BP219" s="14" t="n"/>
      <c r="BQ219" s="14" t="n"/>
      <c r="BR219" s="14" t="n"/>
      <c r="BS219" s="14" t="n"/>
      <c r="BT219" s="14" t="n"/>
      <c r="BU219" s="14" t="n"/>
      <c r="BV219" s="14" t="n"/>
      <c r="BW219" s="14" t="n"/>
      <c r="BX219" s="14" t="n"/>
      <c r="BY219" s="14" t="n"/>
      <c r="BZ219" s="14" t="n"/>
      <c r="CA219" s="14" t="n"/>
      <c r="CB219" s="14" t="n"/>
      <c r="CC219" s="14" t="n"/>
      <c r="CD219" s="14" t="n"/>
      <c r="CE219" s="14" t="n"/>
      <c r="CF219" s="14" t="n"/>
      <c r="CG219" s="14" t="n"/>
      <c r="CH219" s="14" t="n"/>
      <c r="CI219" s="14" t="n"/>
      <c r="CJ219" s="14" t="n"/>
      <c r="CK219" s="14" t="n"/>
      <c r="CL219" s="14" t="n"/>
      <c r="CM219" s="14" t="n"/>
      <c r="CN219" s="14" t="n"/>
      <c r="CO219" s="14" t="n"/>
      <c r="CP219" s="14" t="n"/>
      <c r="CQ219" s="14" t="n"/>
      <c r="CR219" s="14" t="n"/>
      <c r="CS219" s="14" t="n"/>
      <c r="CT219" s="14" t="n"/>
      <c r="CU219" s="14" t="n"/>
      <c r="CV219" s="14" t="n"/>
      <c r="CW219" s="14" t="n"/>
      <c r="CX219" s="14" t="n"/>
      <c r="CY219" s="14" t="n"/>
      <c r="CZ219" s="14" t="n"/>
      <c r="DA219" s="14" t="n"/>
      <c r="DB219" s="14" t="n"/>
      <c r="DC219" s="14" t="n"/>
    </row>
    <row r="220">
      <c r="B220" t="inlineStr">
        <is>
          <t>TSP-049</t>
        </is>
      </c>
      <c r="C220" t="inlineStr">
        <is>
          <t>No. of batches</t>
        </is>
      </c>
      <c r="D220">
        <f>IFERROR(INDEX(PP_Grid[#Data],$DD220,2),0)</f>
        <v/>
      </c>
      <c r="E220">
        <f>IFERROR(INDEX(PP_Grid[#Data],$DD220,3),0)</f>
        <v/>
      </c>
      <c r="F220">
        <f>IFERROR(INDEX(PP_Grid[#Data],$DD220,4),0)</f>
        <v/>
      </c>
      <c r="G220">
        <f>IFERROR(INDEX(PP_Grid[#Data],$DD220,5),0)</f>
        <v/>
      </c>
      <c r="H220">
        <f>IFERROR(INDEX(PP_Grid[#Data],$DD220,6),0)</f>
        <v/>
      </c>
      <c r="I220">
        <f>IFERROR(INDEX(PP_Grid[#Data],$DD220,7),0)</f>
        <v/>
      </c>
      <c r="J220">
        <f>IFERROR(INDEX(PP_Grid[#Data],$DD220,8),0)</f>
        <v/>
      </c>
      <c r="K220">
        <f>IFERROR(INDEX(PP_Grid[#Data],$DD220,9),0)</f>
        <v/>
      </c>
      <c r="L220">
        <f>IFERROR(INDEX(PP_Grid[#Data],$DD220,10),0)</f>
        <v/>
      </c>
      <c r="M220">
        <f>IFERROR(INDEX(PP_Grid[#Data],$DD220,11),0)</f>
        <v/>
      </c>
      <c r="N220">
        <f>IFERROR(INDEX(PP_Grid[#Data],$DD220,12),0)</f>
        <v/>
      </c>
      <c r="O220">
        <f>IFERROR(INDEX(PP_Grid[#Data],$DD220,13),0)</f>
        <v/>
      </c>
      <c r="P220">
        <f>IFERROR(INDEX(PP_Grid[#Data],$DD220,14),0)</f>
        <v/>
      </c>
      <c r="Q220">
        <f>IFERROR(INDEX(PP_Grid[#Data],$DD220,15),0)</f>
        <v/>
      </c>
      <c r="R220">
        <f>IFERROR(INDEX(PP_Grid[#Data],$DD220,16),0)</f>
        <v/>
      </c>
      <c r="S220">
        <f>IFERROR(INDEX(PP_Grid[#Data],$DD220,17),0)</f>
        <v/>
      </c>
      <c r="T220">
        <f>IFERROR(INDEX(PP_Grid[#Data],$DD220,18),0)</f>
        <v/>
      </c>
      <c r="U220">
        <f>IFERROR(INDEX(PP_Grid[#Data],$DD220,19),0)</f>
        <v/>
      </c>
      <c r="V220">
        <f>IFERROR(INDEX(PP_Grid[#Data],$DD220,20),0)</f>
        <v/>
      </c>
      <c r="W220">
        <f>IFERROR(INDEX(PP_Grid[#Data],$DD220,21),0)</f>
        <v/>
      </c>
      <c r="X220">
        <f>IFERROR(INDEX(PP_Grid[#Data],$DD220,22),0)</f>
        <v/>
      </c>
      <c r="Y220">
        <f>IFERROR(INDEX(PP_Grid[#Data],$DD220,23),0)</f>
        <v/>
      </c>
      <c r="Z220">
        <f>IFERROR(INDEX(PP_Grid[#Data],$DD220,24),0)</f>
        <v/>
      </c>
      <c r="AA220">
        <f>IFERROR(INDEX(PP_Grid[#Data],$DD220,25),0)</f>
        <v/>
      </c>
      <c r="AB220">
        <f>IFERROR(INDEX(PP_Grid[#Data],$DD220,26),0)</f>
        <v/>
      </c>
      <c r="AC220">
        <f>IFERROR(INDEX(PP_Grid[#Data],$DD220,27),0)</f>
        <v/>
      </c>
      <c r="AD220">
        <f>IFERROR(INDEX(PP_Grid[#Data],$DD220,28),0)</f>
        <v/>
      </c>
      <c r="AE220">
        <f>IFERROR(INDEX(PP_Grid[#Data],$DD220,29),0)</f>
        <v/>
      </c>
      <c r="AF220">
        <f>IFERROR(INDEX(PP_Grid[#Data],$DD220,30),0)</f>
        <v/>
      </c>
      <c r="AG220">
        <f>IFERROR(INDEX(PP_Grid[#Data],$DD220,31),0)</f>
        <v/>
      </c>
      <c r="AH220">
        <f>IFERROR(INDEX(PP_Grid[#Data],$DD220,32),0)</f>
        <v/>
      </c>
      <c r="AI220">
        <f>IFERROR(INDEX(PP_Grid[#Data],$DD220,33),0)</f>
        <v/>
      </c>
      <c r="AJ220">
        <f>IFERROR(INDEX(PP_Grid[#Data],$DD220,34),0)</f>
        <v/>
      </c>
      <c r="AK220">
        <f>IFERROR(INDEX(PP_Grid[#Data],$DD220,35),0)</f>
        <v/>
      </c>
      <c r="AL220">
        <f>IFERROR(INDEX(PP_Grid[#Data],$DD220,36),0)</f>
        <v/>
      </c>
      <c r="AM220">
        <f>IFERROR(INDEX(PP_Grid[#Data],$DD220,37),0)</f>
        <v/>
      </c>
      <c r="AN220">
        <f>IFERROR(INDEX(PP_Grid[#Data],$DD220,38),0)</f>
        <v/>
      </c>
      <c r="AO220">
        <f>IFERROR(INDEX(PP_Grid[#Data],$DD220,39),0)</f>
        <v/>
      </c>
      <c r="AP220">
        <f>IFERROR(INDEX(PP_Grid[#Data],$DD220,40),0)</f>
        <v/>
      </c>
      <c r="AQ220">
        <f>IFERROR(INDEX(PP_Grid[#Data],$DD220,41),0)</f>
        <v/>
      </c>
      <c r="AR220">
        <f>IFERROR(INDEX(PP_Grid[#Data],$DD220,42),0)</f>
        <v/>
      </c>
      <c r="AS220">
        <f>IFERROR(INDEX(PP_Grid[#Data],$DD220,43),0)</f>
        <v/>
      </c>
      <c r="AT220">
        <f>IFERROR(INDEX(PP_Grid[#Data],$DD220,44),0)</f>
        <v/>
      </c>
      <c r="AU220">
        <f>IFERROR(INDEX(PP_Grid[#Data],$DD220,45),0)</f>
        <v/>
      </c>
      <c r="AV220">
        <f>IFERROR(INDEX(PP_Grid[#Data],$DD220,46),0)</f>
        <v/>
      </c>
      <c r="AW220">
        <f>IFERROR(INDEX(PP_Grid[#Data],$DD220,47),0)</f>
        <v/>
      </c>
      <c r="AX220">
        <f>IFERROR(INDEX(PP_Grid[#Data],$DD220,48),0)</f>
        <v/>
      </c>
      <c r="AY220">
        <f>IFERROR(INDEX(PP_Grid[#Data],$DD220,49),0)</f>
        <v/>
      </c>
      <c r="AZ220">
        <f>IFERROR(INDEX(PP_Grid[#Data],$DD220,50),0)</f>
        <v/>
      </c>
      <c r="BA220">
        <f>IFERROR(INDEX(PP_Grid[#Data],$DD220,51),0)</f>
        <v/>
      </c>
      <c r="BB220">
        <f>IFERROR(INDEX(PP_Grid[#Data],$DD220,52),0)</f>
        <v/>
      </c>
      <c r="BC220">
        <f>IFERROR(INDEX(PP_Grid[#Data],$DD220,53),0)</f>
        <v/>
      </c>
      <c r="BD220">
        <f>IFERROR(INDEX(PP_Grid[#Data],$DD220,54),0)</f>
        <v/>
      </c>
      <c r="BE220">
        <f>IFERROR(INDEX(PP_Grid[#Data],$DD220,55),0)</f>
        <v/>
      </c>
      <c r="BF220">
        <f>IFERROR(INDEX(PP_Grid[#Data],$DD220,56),0)</f>
        <v/>
      </c>
      <c r="BG220">
        <f>IFERROR(INDEX(PP_Grid[#Data],$DD220,57),0)</f>
        <v/>
      </c>
      <c r="BH220">
        <f>IFERROR(INDEX(PP_Grid[#Data],$DD220,58),0)</f>
        <v/>
      </c>
      <c r="BI220">
        <f>IFERROR(INDEX(PP_Grid[#Data],$DD220,59),0)</f>
        <v/>
      </c>
      <c r="BJ220">
        <f>IFERROR(INDEX(PP_Grid[#Data],$DD220,60),0)</f>
        <v/>
      </c>
      <c r="BK220">
        <f>IFERROR(INDEX(PP_Grid[#Data],$DD220,61),0)</f>
        <v/>
      </c>
      <c r="BL220">
        <f>IFERROR(INDEX(PP_Grid[#Data],$DD220,62),0)</f>
        <v/>
      </c>
      <c r="BM220">
        <f>IFERROR(INDEX(PP_Grid[#Data],$DD220,63),0)</f>
        <v/>
      </c>
      <c r="BN220">
        <f>IFERROR(INDEX(PP_Grid[#Data],$DD220,64),0)</f>
        <v/>
      </c>
      <c r="BO220">
        <f>IFERROR(INDEX(PP_Grid[#Data],$DD220,65),0)</f>
        <v/>
      </c>
      <c r="BP220">
        <f>IFERROR(INDEX(PP_Grid[#Data],$DD220,66),0)</f>
        <v/>
      </c>
      <c r="BQ220">
        <f>IFERROR(INDEX(PP_Grid[#Data],$DD220,67),0)</f>
        <v/>
      </c>
      <c r="BR220">
        <f>IFERROR(INDEX(PP_Grid[#Data],$DD220,68),0)</f>
        <v/>
      </c>
      <c r="BS220">
        <f>IFERROR(INDEX(PP_Grid[#Data],$DD220,69),0)</f>
        <v/>
      </c>
      <c r="BT220">
        <f>IFERROR(INDEX(PP_Grid[#Data],$DD220,70),0)</f>
        <v/>
      </c>
      <c r="BU220">
        <f>IFERROR(INDEX(PP_Grid[#Data],$DD220,71),0)</f>
        <v/>
      </c>
      <c r="BV220">
        <f>IFERROR(INDEX(PP_Grid[#Data],$DD220,72),0)</f>
        <v/>
      </c>
      <c r="BW220">
        <f>IFERROR(INDEX(PP_Grid[#Data],$DD220,73),0)</f>
        <v/>
      </c>
      <c r="BX220">
        <f>IFERROR(INDEX(PP_Grid[#Data],$DD220,74),0)</f>
        <v/>
      </c>
      <c r="BY220">
        <f>IFERROR(INDEX(PP_Grid[#Data],$DD220,75),0)</f>
        <v/>
      </c>
      <c r="BZ220">
        <f>IFERROR(INDEX(PP_Grid[#Data],$DD220,76),0)</f>
        <v/>
      </c>
      <c r="CA220">
        <f>IFERROR(INDEX(PP_Grid[#Data],$DD220,77),0)</f>
        <v/>
      </c>
      <c r="CB220">
        <f>IFERROR(INDEX(PP_Grid[#Data],$DD220,78),0)</f>
        <v/>
      </c>
      <c r="CC220">
        <f>IFERROR(INDEX(PP_Grid[#Data],$DD220,79),0)</f>
        <v/>
      </c>
      <c r="CD220">
        <f>IFERROR(INDEX(PP_Grid[#Data],$DD220,80),0)</f>
        <v/>
      </c>
      <c r="CE220">
        <f>IFERROR(INDEX(PP_Grid[#Data],$DD220,81),0)</f>
        <v/>
      </c>
      <c r="CF220">
        <f>IFERROR(INDEX(PP_Grid[#Data],$DD220,82),0)</f>
        <v/>
      </c>
      <c r="CG220">
        <f>IFERROR(INDEX(PP_Grid[#Data],$DD220,83),0)</f>
        <v/>
      </c>
      <c r="CH220">
        <f>IFERROR(INDEX(PP_Grid[#Data],$DD220,84),0)</f>
        <v/>
      </c>
      <c r="CI220">
        <f>IFERROR(INDEX(PP_Grid[#Data],$DD220,85),0)</f>
        <v/>
      </c>
      <c r="CJ220">
        <f>IFERROR(INDEX(PP_Grid[#Data],$DD220,86),0)</f>
        <v/>
      </c>
      <c r="CK220">
        <f>IFERROR(INDEX(PP_Grid[#Data],$DD220,87),0)</f>
        <v/>
      </c>
      <c r="CL220">
        <f>IFERROR(INDEX(PP_Grid[#Data],$DD220,88),0)</f>
        <v/>
      </c>
      <c r="CM220">
        <f>IFERROR(INDEX(PP_Grid[#Data],$DD220,89),0)</f>
        <v/>
      </c>
      <c r="CN220">
        <f>IFERROR(INDEX(PP_Grid[#Data],$DD220,90),0)</f>
        <v/>
      </c>
      <c r="CO220">
        <f>IFERROR(INDEX(PP_Grid[#Data],$DD220,91),0)</f>
        <v/>
      </c>
      <c r="CP220">
        <f>IFERROR(INDEX(PP_Grid[#Data],$DD220,92),0)</f>
        <v/>
      </c>
      <c r="CQ220">
        <f>IFERROR(INDEX(PP_Grid[#Data],$DD220,93),0)</f>
        <v/>
      </c>
      <c r="CR220">
        <f>IFERROR(INDEX(PP_Grid[#Data],$DD220,94),0)</f>
        <v/>
      </c>
      <c r="CS220">
        <f>IFERROR(INDEX(PP_Grid[#Data],$DD220,95),0)</f>
        <v/>
      </c>
      <c r="CT220">
        <f>IFERROR(INDEX(PP_Grid[#Data],$DD220,96),0)</f>
        <v/>
      </c>
      <c r="CU220">
        <f>IFERROR(INDEX(PP_Grid[#Data],$DD220,97),0)</f>
        <v/>
      </c>
      <c r="CV220">
        <f>IFERROR(INDEX(PP_Grid[#Data],$DD220,98),0)</f>
        <v/>
      </c>
      <c r="CW220">
        <f>IFERROR(INDEX(PP_Grid[#Data],$DD220,99),0)</f>
        <v/>
      </c>
      <c r="CX220">
        <f>IFERROR(INDEX(PP_Grid[#Data],$DD220,100),0)</f>
        <v/>
      </c>
      <c r="CY220">
        <f>IFERROR(INDEX(PP_Grid[#Data],$DD220,101),0)</f>
        <v/>
      </c>
      <c r="CZ220">
        <f>IFERROR(INDEX(PP_Grid[#Data],$DD220,102),0)</f>
        <v/>
      </c>
      <c r="DA220">
        <f>IFERROR(INDEX(PP_Grid[#Data],$DD220,103),0)</f>
        <v/>
      </c>
      <c r="DB220">
        <f>IFERROR(INDEX(PP_Grid[#Data],$DD220,104),0)</f>
        <v/>
      </c>
      <c r="DC220">
        <f>IFERROR(INDEX(PP_Grid[#Data],$DD220,105),0)</f>
        <v/>
      </c>
      <c r="DD220" s="7">
        <f>IFERROR(MATCH($B220,PP_Grid[Intermediate],0),99999)</f>
        <v/>
      </c>
    </row>
    <row r="221">
      <c r="B221" t="inlineStr">
        <is>
          <t>使用量(kg)</t>
        </is>
      </c>
      <c r="C221">
        <f>SUMIFS(M_BOM[RM_Qty_Per_Batch],M_BOM[Intermediate],$B220,M_BOM[Part Name],$A219)</f>
        <v/>
      </c>
      <c r="D221">
        <f>$C221*D220</f>
        <v/>
      </c>
      <c r="E221">
        <f>$C221*E220</f>
        <v/>
      </c>
      <c r="F221">
        <f>$C221*F220</f>
        <v/>
      </c>
      <c r="G221">
        <f>$C221*G220</f>
        <v/>
      </c>
      <c r="H221">
        <f>$C221*H220</f>
        <v/>
      </c>
      <c r="I221">
        <f>$C221*I220</f>
        <v/>
      </c>
      <c r="J221">
        <f>$C221*J220</f>
        <v/>
      </c>
      <c r="K221">
        <f>$C221*K220</f>
        <v/>
      </c>
      <c r="L221">
        <f>$C221*L220</f>
        <v/>
      </c>
      <c r="M221">
        <f>$C221*M220</f>
        <v/>
      </c>
      <c r="N221">
        <f>$C221*N220</f>
        <v/>
      </c>
      <c r="O221">
        <f>$C221*O220</f>
        <v/>
      </c>
      <c r="P221">
        <f>$C221*P220</f>
        <v/>
      </c>
      <c r="Q221">
        <f>$C221*Q220</f>
        <v/>
      </c>
      <c r="R221">
        <f>$C221*R220</f>
        <v/>
      </c>
      <c r="S221">
        <f>$C221*S220</f>
        <v/>
      </c>
      <c r="T221">
        <f>$C221*T220</f>
        <v/>
      </c>
      <c r="U221">
        <f>$C221*U220</f>
        <v/>
      </c>
      <c r="V221">
        <f>$C221*V220</f>
        <v/>
      </c>
      <c r="W221">
        <f>$C221*W220</f>
        <v/>
      </c>
      <c r="X221">
        <f>$C221*X220</f>
        <v/>
      </c>
      <c r="Y221">
        <f>$C221*Y220</f>
        <v/>
      </c>
      <c r="Z221">
        <f>$C221*Z220</f>
        <v/>
      </c>
      <c r="AA221">
        <f>$C221*AA220</f>
        <v/>
      </c>
      <c r="AB221">
        <f>$C221*AB220</f>
        <v/>
      </c>
      <c r="AC221">
        <f>$C221*AC220</f>
        <v/>
      </c>
      <c r="AD221">
        <f>$C221*AD220</f>
        <v/>
      </c>
      <c r="AE221">
        <f>$C221*AE220</f>
        <v/>
      </c>
      <c r="AF221">
        <f>$C221*AF220</f>
        <v/>
      </c>
      <c r="AG221">
        <f>$C221*AG220</f>
        <v/>
      </c>
      <c r="AH221">
        <f>$C221*AH220</f>
        <v/>
      </c>
      <c r="AI221">
        <f>$C221*AI220</f>
        <v/>
      </c>
      <c r="AJ221">
        <f>$C221*AJ220</f>
        <v/>
      </c>
      <c r="AK221">
        <f>$C221*AK220</f>
        <v/>
      </c>
      <c r="AL221">
        <f>$C221*AL220</f>
        <v/>
      </c>
      <c r="AM221">
        <f>$C221*AM220</f>
        <v/>
      </c>
      <c r="AN221">
        <f>$C221*AN220</f>
        <v/>
      </c>
      <c r="AO221">
        <f>$C221*AO220</f>
        <v/>
      </c>
      <c r="AP221">
        <f>$C221*AP220</f>
        <v/>
      </c>
      <c r="AQ221">
        <f>$C221*AQ220</f>
        <v/>
      </c>
      <c r="AR221">
        <f>$C221*AR220</f>
        <v/>
      </c>
      <c r="AS221">
        <f>$C221*AS220</f>
        <v/>
      </c>
      <c r="AT221">
        <f>$C221*AT220</f>
        <v/>
      </c>
      <c r="AU221">
        <f>$C221*AU220</f>
        <v/>
      </c>
      <c r="AV221">
        <f>$C221*AV220</f>
        <v/>
      </c>
      <c r="AW221">
        <f>$C221*AW220</f>
        <v/>
      </c>
      <c r="AX221">
        <f>$C221*AX220</f>
        <v/>
      </c>
      <c r="AY221">
        <f>$C221*AY220</f>
        <v/>
      </c>
      <c r="AZ221">
        <f>$C221*AZ220</f>
        <v/>
      </c>
      <c r="BA221">
        <f>$C221*BA220</f>
        <v/>
      </c>
      <c r="BB221">
        <f>$C221*BB220</f>
        <v/>
      </c>
      <c r="BC221">
        <f>$C221*BC220</f>
        <v/>
      </c>
      <c r="BD221">
        <f>$C221*BD220</f>
        <v/>
      </c>
      <c r="BE221">
        <f>$C221*BE220</f>
        <v/>
      </c>
      <c r="BF221">
        <f>$C221*BF220</f>
        <v/>
      </c>
      <c r="BG221">
        <f>$C221*BG220</f>
        <v/>
      </c>
      <c r="BH221">
        <f>$C221*BH220</f>
        <v/>
      </c>
      <c r="BI221">
        <f>$C221*BI220</f>
        <v/>
      </c>
      <c r="BJ221">
        <f>$C221*BJ220</f>
        <v/>
      </c>
      <c r="BK221">
        <f>$C221*BK220</f>
        <v/>
      </c>
      <c r="BL221">
        <f>$C221*BL220</f>
        <v/>
      </c>
      <c r="BM221">
        <f>$C221*BM220</f>
        <v/>
      </c>
      <c r="BN221">
        <f>$C221*BN220</f>
        <v/>
      </c>
      <c r="BO221">
        <f>$C221*BO220</f>
        <v/>
      </c>
      <c r="BP221">
        <f>$C221*BP220</f>
        <v/>
      </c>
      <c r="BQ221">
        <f>$C221*BQ220</f>
        <v/>
      </c>
      <c r="BR221">
        <f>$C221*BR220</f>
        <v/>
      </c>
      <c r="BS221">
        <f>$C221*BS220</f>
        <v/>
      </c>
      <c r="BT221">
        <f>$C221*BT220</f>
        <v/>
      </c>
      <c r="BU221">
        <f>$C221*BU220</f>
        <v/>
      </c>
      <c r="BV221">
        <f>$C221*BV220</f>
        <v/>
      </c>
      <c r="BW221">
        <f>$C221*BW220</f>
        <v/>
      </c>
      <c r="BX221">
        <f>$C221*BX220</f>
        <v/>
      </c>
      <c r="BY221">
        <f>$C221*BY220</f>
        <v/>
      </c>
      <c r="BZ221">
        <f>$C221*BZ220</f>
        <v/>
      </c>
      <c r="CA221">
        <f>$C221*CA220</f>
        <v/>
      </c>
      <c r="CB221">
        <f>$C221*CB220</f>
        <v/>
      </c>
      <c r="CC221">
        <f>$C221*CC220</f>
        <v/>
      </c>
      <c r="CD221">
        <f>$C221*CD220</f>
        <v/>
      </c>
      <c r="CE221">
        <f>$C221*CE220</f>
        <v/>
      </c>
      <c r="CF221">
        <f>$C221*CF220</f>
        <v/>
      </c>
      <c r="CG221">
        <f>$C221*CG220</f>
        <v/>
      </c>
      <c r="CH221">
        <f>$C221*CH220</f>
        <v/>
      </c>
      <c r="CI221">
        <f>$C221*CI220</f>
        <v/>
      </c>
      <c r="CJ221">
        <f>$C221*CJ220</f>
        <v/>
      </c>
      <c r="CK221">
        <f>$C221*CK220</f>
        <v/>
      </c>
      <c r="CL221">
        <f>$C221*CL220</f>
        <v/>
      </c>
      <c r="CM221">
        <f>$C221*CM220</f>
        <v/>
      </c>
      <c r="CN221">
        <f>$C221*CN220</f>
        <v/>
      </c>
      <c r="CO221">
        <f>$C221*CO220</f>
        <v/>
      </c>
      <c r="CP221">
        <f>$C221*CP220</f>
        <v/>
      </c>
      <c r="CQ221">
        <f>$C221*CQ220</f>
        <v/>
      </c>
      <c r="CR221">
        <f>$C221*CR220</f>
        <v/>
      </c>
      <c r="CS221">
        <f>$C221*CS220</f>
        <v/>
      </c>
      <c r="CT221">
        <f>$C221*CT220</f>
        <v/>
      </c>
      <c r="CU221">
        <f>$C221*CU220</f>
        <v/>
      </c>
      <c r="CV221">
        <f>$C221*CV220</f>
        <v/>
      </c>
      <c r="CW221">
        <f>$C221*CW220</f>
        <v/>
      </c>
      <c r="CX221">
        <f>$C221*CX220</f>
        <v/>
      </c>
      <c r="CY221">
        <f>$C221*CY220</f>
        <v/>
      </c>
      <c r="CZ221">
        <f>$C221*CZ220</f>
        <v/>
      </c>
      <c r="DA221">
        <f>$C221*DA220</f>
        <v/>
      </c>
      <c r="DB221">
        <f>$C221*DB220</f>
        <v/>
      </c>
      <c r="DC221">
        <f>$C221*DC220</f>
        <v/>
      </c>
    </row>
    <row r="222">
      <c r="B222" t="inlineStr">
        <is>
          <t>TSP-067</t>
        </is>
      </c>
      <c r="C222" t="inlineStr">
        <is>
          <t>No. of batches</t>
        </is>
      </c>
      <c r="D222">
        <f>IFERROR(INDEX(PP_Grid[#Data],$DD222,2),0)</f>
        <v/>
      </c>
      <c r="E222">
        <f>IFERROR(INDEX(PP_Grid[#Data],$DD222,3),0)</f>
        <v/>
      </c>
      <c r="F222">
        <f>IFERROR(INDEX(PP_Grid[#Data],$DD222,4),0)</f>
        <v/>
      </c>
      <c r="G222">
        <f>IFERROR(INDEX(PP_Grid[#Data],$DD222,5),0)</f>
        <v/>
      </c>
      <c r="H222">
        <f>IFERROR(INDEX(PP_Grid[#Data],$DD222,6),0)</f>
        <v/>
      </c>
      <c r="I222">
        <f>IFERROR(INDEX(PP_Grid[#Data],$DD222,7),0)</f>
        <v/>
      </c>
      <c r="J222">
        <f>IFERROR(INDEX(PP_Grid[#Data],$DD222,8),0)</f>
        <v/>
      </c>
      <c r="K222">
        <f>IFERROR(INDEX(PP_Grid[#Data],$DD222,9),0)</f>
        <v/>
      </c>
      <c r="L222">
        <f>IFERROR(INDEX(PP_Grid[#Data],$DD222,10),0)</f>
        <v/>
      </c>
      <c r="M222">
        <f>IFERROR(INDEX(PP_Grid[#Data],$DD222,11),0)</f>
        <v/>
      </c>
      <c r="N222">
        <f>IFERROR(INDEX(PP_Grid[#Data],$DD222,12),0)</f>
        <v/>
      </c>
      <c r="O222">
        <f>IFERROR(INDEX(PP_Grid[#Data],$DD222,13),0)</f>
        <v/>
      </c>
      <c r="P222">
        <f>IFERROR(INDEX(PP_Grid[#Data],$DD222,14),0)</f>
        <v/>
      </c>
      <c r="Q222">
        <f>IFERROR(INDEX(PP_Grid[#Data],$DD222,15),0)</f>
        <v/>
      </c>
      <c r="R222">
        <f>IFERROR(INDEX(PP_Grid[#Data],$DD222,16),0)</f>
        <v/>
      </c>
      <c r="S222">
        <f>IFERROR(INDEX(PP_Grid[#Data],$DD222,17),0)</f>
        <v/>
      </c>
      <c r="T222">
        <f>IFERROR(INDEX(PP_Grid[#Data],$DD222,18),0)</f>
        <v/>
      </c>
      <c r="U222">
        <f>IFERROR(INDEX(PP_Grid[#Data],$DD222,19),0)</f>
        <v/>
      </c>
      <c r="V222">
        <f>IFERROR(INDEX(PP_Grid[#Data],$DD222,20),0)</f>
        <v/>
      </c>
      <c r="W222">
        <f>IFERROR(INDEX(PP_Grid[#Data],$DD222,21),0)</f>
        <v/>
      </c>
      <c r="X222">
        <f>IFERROR(INDEX(PP_Grid[#Data],$DD222,22),0)</f>
        <v/>
      </c>
      <c r="Y222">
        <f>IFERROR(INDEX(PP_Grid[#Data],$DD222,23),0)</f>
        <v/>
      </c>
      <c r="Z222">
        <f>IFERROR(INDEX(PP_Grid[#Data],$DD222,24),0)</f>
        <v/>
      </c>
      <c r="AA222">
        <f>IFERROR(INDEX(PP_Grid[#Data],$DD222,25),0)</f>
        <v/>
      </c>
      <c r="AB222">
        <f>IFERROR(INDEX(PP_Grid[#Data],$DD222,26),0)</f>
        <v/>
      </c>
      <c r="AC222">
        <f>IFERROR(INDEX(PP_Grid[#Data],$DD222,27),0)</f>
        <v/>
      </c>
      <c r="AD222">
        <f>IFERROR(INDEX(PP_Grid[#Data],$DD222,28),0)</f>
        <v/>
      </c>
      <c r="AE222">
        <f>IFERROR(INDEX(PP_Grid[#Data],$DD222,29),0)</f>
        <v/>
      </c>
      <c r="AF222">
        <f>IFERROR(INDEX(PP_Grid[#Data],$DD222,30),0)</f>
        <v/>
      </c>
      <c r="AG222">
        <f>IFERROR(INDEX(PP_Grid[#Data],$DD222,31),0)</f>
        <v/>
      </c>
      <c r="AH222">
        <f>IFERROR(INDEX(PP_Grid[#Data],$DD222,32),0)</f>
        <v/>
      </c>
      <c r="AI222">
        <f>IFERROR(INDEX(PP_Grid[#Data],$DD222,33),0)</f>
        <v/>
      </c>
      <c r="AJ222">
        <f>IFERROR(INDEX(PP_Grid[#Data],$DD222,34),0)</f>
        <v/>
      </c>
      <c r="AK222">
        <f>IFERROR(INDEX(PP_Grid[#Data],$DD222,35),0)</f>
        <v/>
      </c>
      <c r="AL222">
        <f>IFERROR(INDEX(PP_Grid[#Data],$DD222,36),0)</f>
        <v/>
      </c>
      <c r="AM222">
        <f>IFERROR(INDEX(PP_Grid[#Data],$DD222,37),0)</f>
        <v/>
      </c>
      <c r="AN222">
        <f>IFERROR(INDEX(PP_Grid[#Data],$DD222,38),0)</f>
        <v/>
      </c>
      <c r="AO222">
        <f>IFERROR(INDEX(PP_Grid[#Data],$DD222,39),0)</f>
        <v/>
      </c>
      <c r="AP222">
        <f>IFERROR(INDEX(PP_Grid[#Data],$DD222,40),0)</f>
        <v/>
      </c>
      <c r="AQ222">
        <f>IFERROR(INDEX(PP_Grid[#Data],$DD222,41),0)</f>
        <v/>
      </c>
      <c r="AR222">
        <f>IFERROR(INDEX(PP_Grid[#Data],$DD222,42),0)</f>
        <v/>
      </c>
      <c r="AS222">
        <f>IFERROR(INDEX(PP_Grid[#Data],$DD222,43),0)</f>
        <v/>
      </c>
      <c r="AT222">
        <f>IFERROR(INDEX(PP_Grid[#Data],$DD222,44),0)</f>
        <v/>
      </c>
      <c r="AU222">
        <f>IFERROR(INDEX(PP_Grid[#Data],$DD222,45),0)</f>
        <v/>
      </c>
      <c r="AV222">
        <f>IFERROR(INDEX(PP_Grid[#Data],$DD222,46),0)</f>
        <v/>
      </c>
      <c r="AW222">
        <f>IFERROR(INDEX(PP_Grid[#Data],$DD222,47),0)</f>
        <v/>
      </c>
      <c r="AX222">
        <f>IFERROR(INDEX(PP_Grid[#Data],$DD222,48),0)</f>
        <v/>
      </c>
      <c r="AY222">
        <f>IFERROR(INDEX(PP_Grid[#Data],$DD222,49),0)</f>
        <v/>
      </c>
      <c r="AZ222">
        <f>IFERROR(INDEX(PP_Grid[#Data],$DD222,50),0)</f>
        <v/>
      </c>
      <c r="BA222">
        <f>IFERROR(INDEX(PP_Grid[#Data],$DD222,51),0)</f>
        <v/>
      </c>
      <c r="BB222">
        <f>IFERROR(INDEX(PP_Grid[#Data],$DD222,52),0)</f>
        <v/>
      </c>
      <c r="BC222">
        <f>IFERROR(INDEX(PP_Grid[#Data],$DD222,53),0)</f>
        <v/>
      </c>
      <c r="BD222">
        <f>IFERROR(INDEX(PP_Grid[#Data],$DD222,54),0)</f>
        <v/>
      </c>
      <c r="BE222">
        <f>IFERROR(INDEX(PP_Grid[#Data],$DD222,55),0)</f>
        <v/>
      </c>
      <c r="BF222">
        <f>IFERROR(INDEX(PP_Grid[#Data],$DD222,56),0)</f>
        <v/>
      </c>
      <c r="BG222">
        <f>IFERROR(INDEX(PP_Grid[#Data],$DD222,57),0)</f>
        <v/>
      </c>
      <c r="BH222">
        <f>IFERROR(INDEX(PP_Grid[#Data],$DD222,58),0)</f>
        <v/>
      </c>
      <c r="BI222">
        <f>IFERROR(INDEX(PP_Grid[#Data],$DD222,59),0)</f>
        <v/>
      </c>
      <c r="BJ222">
        <f>IFERROR(INDEX(PP_Grid[#Data],$DD222,60),0)</f>
        <v/>
      </c>
      <c r="BK222">
        <f>IFERROR(INDEX(PP_Grid[#Data],$DD222,61),0)</f>
        <v/>
      </c>
      <c r="BL222">
        <f>IFERROR(INDEX(PP_Grid[#Data],$DD222,62),0)</f>
        <v/>
      </c>
      <c r="BM222">
        <f>IFERROR(INDEX(PP_Grid[#Data],$DD222,63),0)</f>
        <v/>
      </c>
      <c r="BN222">
        <f>IFERROR(INDEX(PP_Grid[#Data],$DD222,64),0)</f>
        <v/>
      </c>
      <c r="BO222">
        <f>IFERROR(INDEX(PP_Grid[#Data],$DD222,65),0)</f>
        <v/>
      </c>
      <c r="BP222">
        <f>IFERROR(INDEX(PP_Grid[#Data],$DD222,66),0)</f>
        <v/>
      </c>
      <c r="BQ222">
        <f>IFERROR(INDEX(PP_Grid[#Data],$DD222,67),0)</f>
        <v/>
      </c>
      <c r="BR222">
        <f>IFERROR(INDEX(PP_Grid[#Data],$DD222,68),0)</f>
        <v/>
      </c>
      <c r="BS222">
        <f>IFERROR(INDEX(PP_Grid[#Data],$DD222,69),0)</f>
        <v/>
      </c>
      <c r="BT222">
        <f>IFERROR(INDEX(PP_Grid[#Data],$DD222,70),0)</f>
        <v/>
      </c>
      <c r="BU222">
        <f>IFERROR(INDEX(PP_Grid[#Data],$DD222,71),0)</f>
        <v/>
      </c>
      <c r="BV222">
        <f>IFERROR(INDEX(PP_Grid[#Data],$DD222,72),0)</f>
        <v/>
      </c>
      <c r="BW222">
        <f>IFERROR(INDEX(PP_Grid[#Data],$DD222,73),0)</f>
        <v/>
      </c>
      <c r="BX222">
        <f>IFERROR(INDEX(PP_Grid[#Data],$DD222,74),0)</f>
        <v/>
      </c>
      <c r="BY222">
        <f>IFERROR(INDEX(PP_Grid[#Data],$DD222,75),0)</f>
        <v/>
      </c>
      <c r="BZ222">
        <f>IFERROR(INDEX(PP_Grid[#Data],$DD222,76),0)</f>
        <v/>
      </c>
      <c r="CA222">
        <f>IFERROR(INDEX(PP_Grid[#Data],$DD222,77),0)</f>
        <v/>
      </c>
      <c r="CB222">
        <f>IFERROR(INDEX(PP_Grid[#Data],$DD222,78),0)</f>
        <v/>
      </c>
      <c r="CC222">
        <f>IFERROR(INDEX(PP_Grid[#Data],$DD222,79),0)</f>
        <v/>
      </c>
      <c r="CD222">
        <f>IFERROR(INDEX(PP_Grid[#Data],$DD222,80),0)</f>
        <v/>
      </c>
      <c r="CE222">
        <f>IFERROR(INDEX(PP_Grid[#Data],$DD222,81),0)</f>
        <v/>
      </c>
      <c r="CF222">
        <f>IFERROR(INDEX(PP_Grid[#Data],$DD222,82),0)</f>
        <v/>
      </c>
      <c r="CG222">
        <f>IFERROR(INDEX(PP_Grid[#Data],$DD222,83),0)</f>
        <v/>
      </c>
      <c r="CH222">
        <f>IFERROR(INDEX(PP_Grid[#Data],$DD222,84),0)</f>
        <v/>
      </c>
      <c r="CI222">
        <f>IFERROR(INDEX(PP_Grid[#Data],$DD222,85),0)</f>
        <v/>
      </c>
      <c r="CJ222">
        <f>IFERROR(INDEX(PP_Grid[#Data],$DD222,86),0)</f>
        <v/>
      </c>
      <c r="CK222">
        <f>IFERROR(INDEX(PP_Grid[#Data],$DD222,87),0)</f>
        <v/>
      </c>
      <c r="CL222">
        <f>IFERROR(INDEX(PP_Grid[#Data],$DD222,88),0)</f>
        <v/>
      </c>
      <c r="CM222">
        <f>IFERROR(INDEX(PP_Grid[#Data],$DD222,89),0)</f>
        <v/>
      </c>
      <c r="CN222">
        <f>IFERROR(INDEX(PP_Grid[#Data],$DD222,90),0)</f>
        <v/>
      </c>
      <c r="CO222">
        <f>IFERROR(INDEX(PP_Grid[#Data],$DD222,91),0)</f>
        <v/>
      </c>
      <c r="CP222">
        <f>IFERROR(INDEX(PP_Grid[#Data],$DD222,92),0)</f>
        <v/>
      </c>
      <c r="CQ222">
        <f>IFERROR(INDEX(PP_Grid[#Data],$DD222,93),0)</f>
        <v/>
      </c>
      <c r="CR222">
        <f>IFERROR(INDEX(PP_Grid[#Data],$DD222,94),0)</f>
        <v/>
      </c>
      <c r="CS222">
        <f>IFERROR(INDEX(PP_Grid[#Data],$DD222,95),0)</f>
        <v/>
      </c>
      <c r="CT222">
        <f>IFERROR(INDEX(PP_Grid[#Data],$DD222,96),0)</f>
        <v/>
      </c>
      <c r="CU222">
        <f>IFERROR(INDEX(PP_Grid[#Data],$DD222,97),0)</f>
        <v/>
      </c>
      <c r="CV222">
        <f>IFERROR(INDEX(PP_Grid[#Data],$DD222,98),0)</f>
        <v/>
      </c>
      <c r="CW222">
        <f>IFERROR(INDEX(PP_Grid[#Data],$DD222,99),0)</f>
        <v/>
      </c>
      <c r="CX222">
        <f>IFERROR(INDEX(PP_Grid[#Data],$DD222,100),0)</f>
        <v/>
      </c>
      <c r="CY222">
        <f>IFERROR(INDEX(PP_Grid[#Data],$DD222,101),0)</f>
        <v/>
      </c>
      <c r="CZ222">
        <f>IFERROR(INDEX(PP_Grid[#Data],$DD222,102),0)</f>
        <v/>
      </c>
      <c r="DA222">
        <f>IFERROR(INDEX(PP_Grid[#Data],$DD222,103),0)</f>
        <v/>
      </c>
      <c r="DB222">
        <f>IFERROR(INDEX(PP_Grid[#Data],$DD222,104),0)</f>
        <v/>
      </c>
      <c r="DC222">
        <f>IFERROR(INDEX(PP_Grid[#Data],$DD222,105),0)</f>
        <v/>
      </c>
      <c r="DD222" s="7">
        <f>IFERROR(MATCH($B222,PP_Grid[Intermediate],0),99999)</f>
        <v/>
      </c>
    </row>
    <row r="223">
      <c r="B223" t="inlineStr">
        <is>
          <t>使用量(kg)</t>
        </is>
      </c>
      <c r="C223">
        <f>SUMIFS(M_BOM[RM_Qty_Per_Batch],M_BOM[Intermediate],$B222,M_BOM[Part Name],$A219)</f>
        <v/>
      </c>
      <c r="D223">
        <f>$C223*D222</f>
        <v/>
      </c>
      <c r="E223">
        <f>$C223*E222</f>
        <v/>
      </c>
      <c r="F223">
        <f>$C223*F222</f>
        <v/>
      </c>
      <c r="G223">
        <f>$C223*G222</f>
        <v/>
      </c>
      <c r="H223">
        <f>$C223*H222</f>
        <v/>
      </c>
      <c r="I223">
        <f>$C223*I222</f>
        <v/>
      </c>
      <c r="J223">
        <f>$C223*J222</f>
        <v/>
      </c>
      <c r="K223">
        <f>$C223*K222</f>
        <v/>
      </c>
      <c r="L223">
        <f>$C223*L222</f>
        <v/>
      </c>
      <c r="M223">
        <f>$C223*M222</f>
        <v/>
      </c>
      <c r="N223">
        <f>$C223*N222</f>
        <v/>
      </c>
      <c r="O223">
        <f>$C223*O222</f>
        <v/>
      </c>
      <c r="P223">
        <f>$C223*P222</f>
        <v/>
      </c>
      <c r="Q223">
        <f>$C223*Q222</f>
        <v/>
      </c>
      <c r="R223">
        <f>$C223*R222</f>
        <v/>
      </c>
      <c r="S223">
        <f>$C223*S222</f>
        <v/>
      </c>
      <c r="T223">
        <f>$C223*T222</f>
        <v/>
      </c>
      <c r="U223">
        <f>$C223*U222</f>
        <v/>
      </c>
      <c r="V223">
        <f>$C223*V222</f>
        <v/>
      </c>
      <c r="W223">
        <f>$C223*W222</f>
        <v/>
      </c>
      <c r="X223">
        <f>$C223*X222</f>
        <v/>
      </c>
      <c r="Y223">
        <f>$C223*Y222</f>
        <v/>
      </c>
      <c r="Z223">
        <f>$C223*Z222</f>
        <v/>
      </c>
      <c r="AA223">
        <f>$C223*AA222</f>
        <v/>
      </c>
      <c r="AB223">
        <f>$C223*AB222</f>
        <v/>
      </c>
      <c r="AC223">
        <f>$C223*AC222</f>
        <v/>
      </c>
      <c r="AD223">
        <f>$C223*AD222</f>
        <v/>
      </c>
      <c r="AE223">
        <f>$C223*AE222</f>
        <v/>
      </c>
      <c r="AF223">
        <f>$C223*AF222</f>
        <v/>
      </c>
      <c r="AG223">
        <f>$C223*AG222</f>
        <v/>
      </c>
      <c r="AH223">
        <f>$C223*AH222</f>
        <v/>
      </c>
      <c r="AI223">
        <f>$C223*AI222</f>
        <v/>
      </c>
      <c r="AJ223">
        <f>$C223*AJ222</f>
        <v/>
      </c>
      <c r="AK223">
        <f>$C223*AK222</f>
        <v/>
      </c>
      <c r="AL223">
        <f>$C223*AL222</f>
        <v/>
      </c>
      <c r="AM223">
        <f>$C223*AM222</f>
        <v/>
      </c>
      <c r="AN223">
        <f>$C223*AN222</f>
        <v/>
      </c>
      <c r="AO223">
        <f>$C223*AO222</f>
        <v/>
      </c>
      <c r="AP223">
        <f>$C223*AP222</f>
        <v/>
      </c>
      <c r="AQ223">
        <f>$C223*AQ222</f>
        <v/>
      </c>
      <c r="AR223">
        <f>$C223*AR222</f>
        <v/>
      </c>
      <c r="AS223">
        <f>$C223*AS222</f>
        <v/>
      </c>
      <c r="AT223">
        <f>$C223*AT222</f>
        <v/>
      </c>
      <c r="AU223">
        <f>$C223*AU222</f>
        <v/>
      </c>
      <c r="AV223">
        <f>$C223*AV222</f>
        <v/>
      </c>
      <c r="AW223">
        <f>$C223*AW222</f>
        <v/>
      </c>
      <c r="AX223">
        <f>$C223*AX222</f>
        <v/>
      </c>
      <c r="AY223">
        <f>$C223*AY222</f>
        <v/>
      </c>
      <c r="AZ223">
        <f>$C223*AZ222</f>
        <v/>
      </c>
      <c r="BA223">
        <f>$C223*BA222</f>
        <v/>
      </c>
      <c r="BB223">
        <f>$C223*BB222</f>
        <v/>
      </c>
      <c r="BC223">
        <f>$C223*BC222</f>
        <v/>
      </c>
      <c r="BD223">
        <f>$C223*BD222</f>
        <v/>
      </c>
      <c r="BE223">
        <f>$C223*BE222</f>
        <v/>
      </c>
      <c r="BF223">
        <f>$C223*BF222</f>
        <v/>
      </c>
      <c r="BG223">
        <f>$C223*BG222</f>
        <v/>
      </c>
      <c r="BH223">
        <f>$C223*BH222</f>
        <v/>
      </c>
      <c r="BI223">
        <f>$C223*BI222</f>
        <v/>
      </c>
      <c r="BJ223">
        <f>$C223*BJ222</f>
        <v/>
      </c>
      <c r="BK223">
        <f>$C223*BK222</f>
        <v/>
      </c>
      <c r="BL223">
        <f>$C223*BL222</f>
        <v/>
      </c>
      <c r="BM223">
        <f>$C223*BM222</f>
        <v/>
      </c>
      <c r="BN223">
        <f>$C223*BN222</f>
        <v/>
      </c>
      <c r="BO223">
        <f>$C223*BO222</f>
        <v/>
      </c>
      <c r="BP223">
        <f>$C223*BP222</f>
        <v/>
      </c>
      <c r="BQ223">
        <f>$C223*BQ222</f>
        <v/>
      </c>
      <c r="BR223">
        <f>$C223*BR222</f>
        <v/>
      </c>
      <c r="BS223">
        <f>$C223*BS222</f>
        <v/>
      </c>
      <c r="BT223">
        <f>$C223*BT222</f>
        <v/>
      </c>
      <c r="BU223">
        <f>$C223*BU222</f>
        <v/>
      </c>
      <c r="BV223">
        <f>$C223*BV222</f>
        <v/>
      </c>
      <c r="BW223">
        <f>$C223*BW222</f>
        <v/>
      </c>
      <c r="BX223">
        <f>$C223*BX222</f>
        <v/>
      </c>
      <c r="BY223">
        <f>$C223*BY222</f>
        <v/>
      </c>
      <c r="BZ223">
        <f>$C223*BZ222</f>
        <v/>
      </c>
      <c r="CA223">
        <f>$C223*CA222</f>
        <v/>
      </c>
      <c r="CB223">
        <f>$C223*CB222</f>
        <v/>
      </c>
      <c r="CC223">
        <f>$C223*CC222</f>
        <v/>
      </c>
      <c r="CD223">
        <f>$C223*CD222</f>
        <v/>
      </c>
      <c r="CE223">
        <f>$C223*CE222</f>
        <v/>
      </c>
      <c r="CF223">
        <f>$C223*CF222</f>
        <v/>
      </c>
      <c r="CG223">
        <f>$C223*CG222</f>
        <v/>
      </c>
      <c r="CH223">
        <f>$C223*CH222</f>
        <v/>
      </c>
      <c r="CI223">
        <f>$C223*CI222</f>
        <v/>
      </c>
      <c r="CJ223">
        <f>$C223*CJ222</f>
        <v/>
      </c>
      <c r="CK223">
        <f>$C223*CK222</f>
        <v/>
      </c>
      <c r="CL223">
        <f>$C223*CL222</f>
        <v/>
      </c>
      <c r="CM223">
        <f>$C223*CM222</f>
        <v/>
      </c>
      <c r="CN223">
        <f>$C223*CN222</f>
        <v/>
      </c>
      <c r="CO223">
        <f>$C223*CO222</f>
        <v/>
      </c>
      <c r="CP223">
        <f>$C223*CP222</f>
        <v/>
      </c>
      <c r="CQ223">
        <f>$C223*CQ222</f>
        <v/>
      </c>
      <c r="CR223">
        <f>$C223*CR222</f>
        <v/>
      </c>
      <c r="CS223">
        <f>$C223*CS222</f>
        <v/>
      </c>
      <c r="CT223">
        <f>$C223*CT222</f>
        <v/>
      </c>
      <c r="CU223">
        <f>$C223*CU222</f>
        <v/>
      </c>
      <c r="CV223">
        <f>$C223*CV222</f>
        <v/>
      </c>
      <c r="CW223">
        <f>$C223*CW222</f>
        <v/>
      </c>
      <c r="CX223">
        <f>$C223*CX222</f>
        <v/>
      </c>
      <c r="CY223">
        <f>$C223*CY222</f>
        <v/>
      </c>
      <c r="CZ223">
        <f>$C223*CZ222</f>
        <v/>
      </c>
      <c r="DA223">
        <f>$C223*DA222</f>
        <v/>
      </c>
      <c r="DB223">
        <f>$C223*DB222</f>
        <v/>
      </c>
      <c r="DC223">
        <f>$C223*DC222</f>
        <v/>
      </c>
    </row>
    <row r="224">
      <c r="B224" t="inlineStr">
        <is>
          <t>TSP-069</t>
        </is>
      </c>
      <c r="C224" t="inlineStr">
        <is>
          <t>No. of batches</t>
        </is>
      </c>
      <c r="D224">
        <f>IFERROR(INDEX(PP_Grid[#Data],$DD224,2),0)</f>
        <v/>
      </c>
      <c r="E224">
        <f>IFERROR(INDEX(PP_Grid[#Data],$DD224,3),0)</f>
        <v/>
      </c>
      <c r="F224">
        <f>IFERROR(INDEX(PP_Grid[#Data],$DD224,4),0)</f>
        <v/>
      </c>
      <c r="G224">
        <f>IFERROR(INDEX(PP_Grid[#Data],$DD224,5),0)</f>
        <v/>
      </c>
      <c r="H224">
        <f>IFERROR(INDEX(PP_Grid[#Data],$DD224,6),0)</f>
        <v/>
      </c>
      <c r="I224">
        <f>IFERROR(INDEX(PP_Grid[#Data],$DD224,7),0)</f>
        <v/>
      </c>
      <c r="J224">
        <f>IFERROR(INDEX(PP_Grid[#Data],$DD224,8),0)</f>
        <v/>
      </c>
      <c r="K224">
        <f>IFERROR(INDEX(PP_Grid[#Data],$DD224,9),0)</f>
        <v/>
      </c>
      <c r="L224">
        <f>IFERROR(INDEX(PP_Grid[#Data],$DD224,10),0)</f>
        <v/>
      </c>
      <c r="M224">
        <f>IFERROR(INDEX(PP_Grid[#Data],$DD224,11),0)</f>
        <v/>
      </c>
      <c r="N224">
        <f>IFERROR(INDEX(PP_Grid[#Data],$DD224,12),0)</f>
        <v/>
      </c>
      <c r="O224">
        <f>IFERROR(INDEX(PP_Grid[#Data],$DD224,13),0)</f>
        <v/>
      </c>
      <c r="P224">
        <f>IFERROR(INDEX(PP_Grid[#Data],$DD224,14),0)</f>
        <v/>
      </c>
      <c r="Q224">
        <f>IFERROR(INDEX(PP_Grid[#Data],$DD224,15),0)</f>
        <v/>
      </c>
      <c r="R224">
        <f>IFERROR(INDEX(PP_Grid[#Data],$DD224,16),0)</f>
        <v/>
      </c>
      <c r="S224">
        <f>IFERROR(INDEX(PP_Grid[#Data],$DD224,17),0)</f>
        <v/>
      </c>
      <c r="T224">
        <f>IFERROR(INDEX(PP_Grid[#Data],$DD224,18),0)</f>
        <v/>
      </c>
      <c r="U224">
        <f>IFERROR(INDEX(PP_Grid[#Data],$DD224,19),0)</f>
        <v/>
      </c>
      <c r="V224">
        <f>IFERROR(INDEX(PP_Grid[#Data],$DD224,20),0)</f>
        <v/>
      </c>
      <c r="W224">
        <f>IFERROR(INDEX(PP_Grid[#Data],$DD224,21),0)</f>
        <v/>
      </c>
      <c r="X224">
        <f>IFERROR(INDEX(PP_Grid[#Data],$DD224,22),0)</f>
        <v/>
      </c>
      <c r="Y224">
        <f>IFERROR(INDEX(PP_Grid[#Data],$DD224,23),0)</f>
        <v/>
      </c>
      <c r="Z224">
        <f>IFERROR(INDEX(PP_Grid[#Data],$DD224,24),0)</f>
        <v/>
      </c>
      <c r="AA224">
        <f>IFERROR(INDEX(PP_Grid[#Data],$DD224,25),0)</f>
        <v/>
      </c>
      <c r="AB224">
        <f>IFERROR(INDEX(PP_Grid[#Data],$DD224,26),0)</f>
        <v/>
      </c>
      <c r="AC224">
        <f>IFERROR(INDEX(PP_Grid[#Data],$DD224,27),0)</f>
        <v/>
      </c>
      <c r="AD224">
        <f>IFERROR(INDEX(PP_Grid[#Data],$DD224,28),0)</f>
        <v/>
      </c>
      <c r="AE224">
        <f>IFERROR(INDEX(PP_Grid[#Data],$DD224,29),0)</f>
        <v/>
      </c>
      <c r="AF224">
        <f>IFERROR(INDEX(PP_Grid[#Data],$DD224,30),0)</f>
        <v/>
      </c>
      <c r="AG224">
        <f>IFERROR(INDEX(PP_Grid[#Data],$DD224,31),0)</f>
        <v/>
      </c>
      <c r="AH224">
        <f>IFERROR(INDEX(PP_Grid[#Data],$DD224,32),0)</f>
        <v/>
      </c>
      <c r="AI224">
        <f>IFERROR(INDEX(PP_Grid[#Data],$DD224,33),0)</f>
        <v/>
      </c>
      <c r="AJ224">
        <f>IFERROR(INDEX(PP_Grid[#Data],$DD224,34),0)</f>
        <v/>
      </c>
      <c r="AK224">
        <f>IFERROR(INDEX(PP_Grid[#Data],$DD224,35),0)</f>
        <v/>
      </c>
      <c r="AL224">
        <f>IFERROR(INDEX(PP_Grid[#Data],$DD224,36),0)</f>
        <v/>
      </c>
      <c r="AM224">
        <f>IFERROR(INDEX(PP_Grid[#Data],$DD224,37),0)</f>
        <v/>
      </c>
      <c r="AN224">
        <f>IFERROR(INDEX(PP_Grid[#Data],$DD224,38),0)</f>
        <v/>
      </c>
      <c r="AO224">
        <f>IFERROR(INDEX(PP_Grid[#Data],$DD224,39),0)</f>
        <v/>
      </c>
      <c r="AP224">
        <f>IFERROR(INDEX(PP_Grid[#Data],$DD224,40),0)</f>
        <v/>
      </c>
      <c r="AQ224">
        <f>IFERROR(INDEX(PP_Grid[#Data],$DD224,41),0)</f>
        <v/>
      </c>
      <c r="AR224">
        <f>IFERROR(INDEX(PP_Grid[#Data],$DD224,42),0)</f>
        <v/>
      </c>
      <c r="AS224">
        <f>IFERROR(INDEX(PP_Grid[#Data],$DD224,43),0)</f>
        <v/>
      </c>
      <c r="AT224">
        <f>IFERROR(INDEX(PP_Grid[#Data],$DD224,44),0)</f>
        <v/>
      </c>
      <c r="AU224">
        <f>IFERROR(INDEX(PP_Grid[#Data],$DD224,45),0)</f>
        <v/>
      </c>
      <c r="AV224">
        <f>IFERROR(INDEX(PP_Grid[#Data],$DD224,46),0)</f>
        <v/>
      </c>
      <c r="AW224">
        <f>IFERROR(INDEX(PP_Grid[#Data],$DD224,47),0)</f>
        <v/>
      </c>
      <c r="AX224">
        <f>IFERROR(INDEX(PP_Grid[#Data],$DD224,48),0)</f>
        <v/>
      </c>
      <c r="AY224">
        <f>IFERROR(INDEX(PP_Grid[#Data],$DD224,49),0)</f>
        <v/>
      </c>
      <c r="AZ224">
        <f>IFERROR(INDEX(PP_Grid[#Data],$DD224,50),0)</f>
        <v/>
      </c>
      <c r="BA224">
        <f>IFERROR(INDEX(PP_Grid[#Data],$DD224,51),0)</f>
        <v/>
      </c>
      <c r="BB224">
        <f>IFERROR(INDEX(PP_Grid[#Data],$DD224,52),0)</f>
        <v/>
      </c>
      <c r="BC224">
        <f>IFERROR(INDEX(PP_Grid[#Data],$DD224,53),0)</f>
        <v/>
      </c>
      <c r="BD224">
        <f>IFERROR(INDEX(PP_Grid[#Data],$DD224,54),0)</f>
        <v/>
      </c>
      <c r="BE224">
        <f>IFERROR(INDEX(PP_Grid[#Data],$DD224,55),0)</f>
        <v/>
      </c>
      <c r="BF224">
        <f>IFERROR(INDEX(PP_Grid[#Data],$DD224,56),0)</f>
        <v/>
      </c>
      <c r="BG224">
        <f>IFERROR(INDEX(PP_Grid[#Data],$DD224,57),0)</f>
        <v/>
      </c>
      <c r="BH224">
        <f>IFERROR(INDEX(PP_Grid[#Data],$DD224,58),0)</f>
        <v/>
      </c>
      <c r="BI224">
        <f>IFERROR(INDEX(PP_Grid[#Data],$DD224,59),0)</f>
        <v/>
      </c>
      <c r="BJ224">
        <f>IFERROR(INDEX(PP_Grid[#Data],$DD224,60),0)</f>
        <v/>
      </c>
      <c r="BK224">
        <f>IFERROR(INDEX(PP_Grid[#Data],$DD224,61),0)</f>
        <v/>
      </c>
      <c r="BL224">
        <f>IFERROR(INDEX(PP_Grid[#Data],$DD224,62),0)</f>
        <v/>
      </c>
      <c r="BM224">
        <f>IFERROR(INDEX(PP_Grid[#Data],$DD224,63),0)</f>
        <v/>
      </c>
      <c r="BN224">
        <f>IFERROR(INDEX(PP_Grid[#Data],$DD224,64),0)</f>
        <v/>
      </c>
      <c r="BO224">
        <f>IFERROR(INDEX(PP_Grid[#Data],$DD224,65),0)</f>
        <v/>
      </c>
      <c r="BP224">
        <f>IFERROR(INDEX(PP_Grid[#Data],$DD224,66),0)</f>
        <v/>
      </c>
      <c r="BQ224">
        <f>IFERROR(INDEX(PP_Grid[#Data],$DD224,67),0)</f>
        <v/>
      </c>
      <c r="BR224">
        <f>IFERROR(INDEX(PP_Grid[#Data],$DD224,68),0)</f>
        <v/>
      </c>
      <c r="BS224">
        <f>IFERROR(INDEX(PP_Grid[#Data],$DD224,69),0)</f>
        <v/>
      </c>
      <c r="BT224">
        <f>IFERROR(INDEX(PP_Grid[#Data],$DD224,70),0)</f>
        <v/>
      </c>
      <c r="BU224">
        <f>IFERROR(INDEX(PP_Grid[#Data],$DD224,71),0)</f>
        <v/>
      </c>
      <c r="BV224">
        <f>IFERROR(INDEX(PP_Grid[#Data],$DD224,72),0)</f>
        <v/>
      </c>
      <c r="BW224">
        <f>IFERROR(INDEX(PP_Grid[#Data],$DD224,73),0)</f>
        <v/>
      </c>
      <c r="BX224">
        <f>IFERROR(INDEX(PP_Grid[#Data],$DD224,74),0)</f>
        <v/>
      </c>
      <c r="BY224">
        <f>IFERROR(INDEX(PP_Grid[#Data],$DD224,75),0)</f>
        <v/>
      </c>
      <c r="BZ224">
        <f>IFERROR(INDEX(PP_Grid[#Data],$DD224,76),0)</f>
        <v/>
      </c>
      <c r="CA224">
        <f>IFERROR(INDEX(PP_Grid[#Data],$DD224,77),0)</f>
        <v/>
      </c>
      <c r="CB224">
        <f>IFERROR(INDEX(PP_Grid[#Data],$DD224,78),0)</f>
        <v/>
      </c>
      <c r="CC224">
        <f>IFERROR(INDEX(PP_Grid[#Data],$DD224,79),0)</f>
        <v/>
      </c>
      <c r="CD224">
        <f>IFERROR(INDEX(PP_Grid[#Data],$DD224,80),0)</f>
        <v/>
      </c>
      <c r="CE224">
        <f>IFERROR(INDEX(PP_Grid[#Data],$DD224,81),0)</f>
        <v/>
      </c>
      <c r="CF224">
        <f>IFERROR(INDEX(PP_Grid[#Data],$DD224,82),0)</f>
        <v/>
      </c>
      <c r="CG224">
        <f>IFERROR(INDEX(PP_Grid[#Data],$DD224,83),0)</f>
        <v/>
      </c>
      <c r="CH224">
        <f>IFERROR(INDEX(PP_Grid[#Data],$DD224,84),0)</f>
        <v/>
      </c>
      <c r="CI224">
        <f>IFERROR(INDEX(PP_Grid[#Data],$DD224,85),0)</f>
        <v/>
      </c>
      <c r="CJ224">
        <f>IFERROR(INDEX(PP_Grid[#Data],$DD224,86),0)</f>
        <v/>
      </c>
      <c r="CK224">
        <f>IFERROR(INDEX(PP_Grid[#Data],$DD224,87),0)</f>
        <v/>
      </c>
      <c r="CL224">
        <f>IFERROR(INDEX(PP_Grid[#Data],$DD224,88),0)</f>
        <v/>
      </c>
      <c r="CM224">
        <f>IFERROR(INDEX(PP_Grid[#Data],$DD224,89),0)</f>
        <v/>
      </c>
      <c r="CN224">
        <f>IFERROR(INDEX(PP_Grid[#Data],$DD224,90),0)</f>
        <v/>
      </c>
      <c r="CO224">
        <f>IFERROR(INDEX(PP_Grid[#Data],$DD224,91),0)</f>
        <v/>
      </c>
      <c r="CP224">
        <f>IFERROR(INDEX(PP_Grid[#Data],$DD224,92),0)</f>
        <v/>
      </c>
      <c r="CQ224">
        <f>IFERROR(INDEX(PP_Grid[#Data],$DD224,93),0)</f>
        <v/>
      </c>
      <c r="CR224">
        <f>IFERROR(INDEX(PP_Grid[#Data],$DD224,94),0)</f>
        <v/>
      </c>
      <c r="CS224">
        <f>IFERROR(INDEX(PP_Grid[#Data],$DD224,95),0)</f>
        <v/>
      </c>
      <c r="CT224">
        <f>IFERROR(INDEX(PP_Grid[#Data],$DD224,96),0)</f>
        <v/>
      </c>
      <c r="CU224">
        <f>IFERROR(INDEX(PP_Grid[#Data],$DD224,97),0)</f>
        <v/>
      </c>
      <c r="CV224">
        <f>IFERROR(INDEX(PP_Grid[#Data],$DD224,98),0)</f>
        <v/>
      </c>
      <c r="CW224">
        <f>IFERROR(INDEX(PP_Grid[#Data],$DD224,99),0)</f>
        <v/>
      </c>
      <c r="CX224">
        <f>IFERROR(INDEX(PP_Grid[#Data],$DD224,100),0)</f>
        <v/>
      </c>
      <c r="CY224">
        <f>IFERROR(INDEX(PP_Grid[#Data],$DD224,101),0)</f>
        <v/>
      </c>
      <c r="CZ224">
        <f>IFERROR(INDEX(PP_Grid[#Data],$DD224,102),0)</f>
        <v/>
      </c>
      <c r="DA224">
        <f>IFERROR(INDEX(PP_Grid[#Data],$DD224,103),0)</f>
        <v/>
      </c>
      <c r="DB224">
        <f>IFERROR(INDEX(PP_Grid[#Data],$DD224,104),0)</f>
        <v/>
      </c>
      <c r="DC224">
        <f>IFERROR(INDEX(PP_Grid[#Data],$DD224,105),0)</f>
        <v/>
      </c>
      <c r="DD224" s="7">
        <f>IFERROR(MATCH($B224,PP_Grid[Intermediate],0),99999)</f>
        <v/>
      </c>
    </row>
    <row r="225">
      <c r="B225" t="inlineStr">
        <is>
          <t>使用量(kg)</t>
        </is>
      </c>
      <c r="C225">
        <f>SUMIFS(M_BOM[RM_Qty_Per_Batch],M_BOM[Intermediate],$B224,M_BOM[Part Name],$A219)</f>
        <v/>
      </c>
      <c r="D225">
        <f>$C225*D224</f>
        <v/>
      </c>
      <c r="E225">
        <f>$C225*E224</f>
        <v/>
      </c>
      <c r="F225">
        <f>$C225*F224</f>
        <v/>
      </c>
      <c r="G225">
        <f>$C225*G224</f>
        <v/>
      </c>
      <c r="H225">
        <f>$C225*H224</f>
        <v/>
      </c>
      <c r="I225">
        <f>$C225*I224</f>
        <v/>
      </c>
      <c r="J225">
        <f>$C225*J224</f>
        <v/>
      </c>
      <c r="K225">
        <f>$C225*K224</f>
        <v/>
      </c>
      <c r="L225">
        <f>$C225*L224</f>
        <v/>
      </c>
      <c r="M225">
        <f>$C225*M224</f>
        <v/>
      </c>
      <c r="N225">
        <f>$C225*N224</f>
        <v/>
      </c>
      <c r="O225">
        <f>$C225*O224</f>
        <v/>
      </c>
      <c r="P225">
        <f>$C225*P224</f>
        <v/>
      </c>
      <c r="Q225">
        <f>$C225*Q224</f>
        <v/>
      </c>
      <c r="R225">
        <f>$C225*R224</f>
        <v/>
      </c>
      <c r="S225">
        <f>$C225*S224</f>
        <v/>
      </c>
      <c r="T225">
        <f>$C225*T224</f>
        <v/>
      </c>
      <c r="U225">
        <f>$C225*U224</f>
        <v/>
      </c>
      <c r="V225">
        <f>$C225*V224</f>
        <v/>
      </c>
      <c r="W225">
        <f>$C225*W224</f>
        <v/>
      </c>
      <c r="X225">
        <f>$C225*X224</f>
        <v/>
      </c>
      <c r="Y225">
        <f>$C225*Y224</f>
        <v/>
      </c>
      <c r="Z225">
        <f>$C225*Z224</f>
        <v/>
      </c>
      <c r="AA225">
        <f>$C225*AA224</f>
        <v/>
      </c>
      <c r="AB225">
        <f>$C225*AB224</f>
        <v/>
      </c>
      <c r="AC225">
        <f>$C225*AC224</f>
        <v/>
      </c>
      <c r="AD225">
        <f>$C225*AD224</f>
        <v/>
      </c>
      <c r="AE225">
        <f>$C225*AE224</f>
        <v/>
      </c>
      <c r="AF225">
        <f>$C225*AF224</f>
        <v/>
      </c>
      <c r="AG225">
        <f>$C225*AG224</f>
        <v/>
      </c>
      <c r="AH225">
        <f>$C225*AH224</f>
        <v/>
      </c>
      <c r="AI225">
        <f>$C225*AI224</f>
        <v/>
      </c>
      <c r="AJ225">
        <f>$C225*AJ224</f>
        <v/>
      </c>
      <c r="AK225">
        <f>$C225*AK224</f>
        <v/>
      </c>
      <c r="AL225">
        <f>$C225*AL224</f>
        <v/>
      </c>
      <c r="AM225">
        <f>$C225*AM224</f>
        <v/>
      </c>
      <c r="AN225">
        <f>$C225*AN224</f>
        <v/>
      </c>
      <c r="AO225">
        <f>$C225*AO224</f>
        <v/>
      </c>
      <c r="AP225">
        <f>$C225*AP224</f>
        <v/>
      </c>
      <c r="AQ225">
        <f>$C225*AQ224</f>
        <v/>
      </c>
      <c r="AR225">
        <f>$C225*AR224</f>
        <v/>
      </c>
      <c r="AS225">
        <f>$C225*AS224</f>
        <v/>
      </c>
      <c r="AT225">
        <f>$C225*AT224</f>
        <v/>
      </c>
      <c r="AU225">
        <f>$C225*AU224</f>
        <v/>
      </c>
      <c r="AV225">
        <f>$C225*AV224</f>
        <v/>
      </c>
      <c r="AW225">
        <f>$C225*AW224</f>
        <v/>
      </c>
      <c r="AX225">
        <f>$C225*AX224</f>
        <v/>
      </c>
      <c r="AY225">
        <f>$C225*AY224</f>
        <v/>
      </c>
      <c r="AZ225">
        <f>$C225*AZ224</f>
        <v/>
      </c>
      <c r="BA225">
        <f>$C225*BA224</f>
        <v/>
      </c>
      <c r="BB225">
        <f>$C225*BB224</f>
        <v/>
      </c>
      <c r="BC225">
        <f>$C225*BC224</f>
        <v/>
      </c>
      <c r="BD225">
        <f>$C225*BD224</f>
        <v/>
      </c>
      <c r="BE225">
        <f>$C225*BE224</f>
        <v/>
      </c>
      <c r="BF225">
        <f>$C225*BF224</f>
        <v/>
      </c>
      <c r="BG225">
        <f>$C225*BG224</f>
        <v/>
      </c>
      <c r="BH225">
        <f>$C225*BH224</f>
        <v/>
      </c>
      <c r="BI225">
        <f>$C225*BI224</f>
        <v/>
      </c>
      <c r="BJ225">
        <f>$C225*BJ224</f>
        <v/>
      </c>
      <c r="BK225">
        <f>$C225*BK224</f>
        <v/>
      </c>
      <c r="BL225">
        <f>$C225*BL224</f>
        <v/>
      </c>
      <c r="BM225">
        <f>$C225*BM224</f>
        <v/>
      </c>
      <c r="BN225">
        <f>$C225*BN224</f>
        <v/>
      </c>
      <c r="BO225">
        <f>$C225*BO224</f>
        <v/>
      </c>
      <c r="BP225">
        <f>$C225*BP224</f>
        <v/>
      </c>
      <c r="BQ225">
        <f>$C225*BQ224</f>
        <v/>
      </c>
      <c r="BR225">
        <f>$C225*BR224</f>
        <v/>
      </c>
      <c r="BS225">
        <f>$C225*BS224</f>
        <v/>
      </c>
      <c r="BT225">
        <f>$C225*BT224</f>
        <v/>
      </c>
      <c r="BU225">
        <f>$C225*BU224</f>
        <v/>
      </c>
      <c r="BV225">
        <f>$C225*BV224</f>
        <v/>
      </c>
      <c r="BW225">
        <f>$C225*BW224</f>
        <v/>
      </c>
      <c r="BX225">
        <f>$C225*BX224</f>
        <v/>
      </c>
      <c r="BY225">
        <f>$C225*BY224</f>
        <v/>
      </c>
      <c r="BZ225">
        <f>$C225*BZ224</f>
        <v/>
      </c>
      <c r="CA225">
        <f>$C225*CA224</f>
        <v/>
      </c>
      <c r="CB225">
        <f>$C225*CB224</f>
        <v/>
      </c>
      <c r="CC225">
        <f>$C225*CC224</f>
        <v/>
      </c>
      <c r="CD225">
        <f>$C225*CD224</f>
        <v/>
      </c>
      <c r="CE225">
        <f>$C225*CE224</f>
        <v/>
      </c>
      <c r="CF225">
        <f>$C225*CF224</f>
        <v/>
      </c>
      <c r="CG225">
        <f>$C225*CG224</f>
        <v/>
      </c>
      <c r="CH225">
        <f>$C225*CH224</f>
        <v/>
      </c>
      <c r="CI225">
        <f>$C225*CI224</f>
        <v/>
      </c>
      <c r="CJ225">
        <f>$C225*CJ224</f>
        <v/>
      </c>
      <c r="CK225">
        <f>$C225*CK224</f>
        <v/>
      </c>
      <c r="CL225">
        <f>$C225*CL224</f>
        <v/>
      </c>
      <c r="CM225">
        <f>$C225*CM224</f>
        <v/>
      </c>
      <c r="CN225">
        <f>$C225*CN224</f>
        <v/>
      </c>
      <c r="CO225">
        <f>$C225*CO224</f>
        <v/>
      </c>
      <c r="CP225">
        <f>$C225*CP224</f>
        <v/>
      </c>
      <c r="CQ225">
        <f>$C225*CQ224</f>
        <v/>
      </c>
      <c r="CR225">
        <f>$C225*CR224</f>
        <v/>
      </c>
      <c r="CS225">
        <f>$C225*CS224</f>
        <v/>
      </c>
      <c r="CT225">
        <f>$C225*CT224</f>
        <v/>
      </c>
      <c r="CU225">
        <f>$C225*CU224</f>
        <v/>
      </c>
      <c r="CV225">
        <f>$C225*CV224</f>
        <v/>
      </c>
      <c r="CW225">
        <f>$C225*CW224</f>
        <v/>
      </c>
      <c r="CX225">
        <f>$C225*CX224</f>
        <v/>
      </c>
      <c r="CY225">
        <f>$C225*CY224</f>
        <v/>
      </c>
      <c r="CZ225">
        <f>$C225*CZ224</f>
        <v/>
      </c>
      <c r="DA225">
        <f>$C225*DA224</f>
        <v/>
      </c>
      <c r="DB225">
        <f>$C225*DB224</f>
        <v/>
      </c>
      <c r="DC225">
        <f>$C225*DC224</f>
        <v/>
      </c>
    </row>
    <row r="226">
      <c r="B226" t="inlineStr">
        <is>
          <t>TSP-077</t>
        </is>
      </c>
      <c r="C226" t="inlineStr">
        <is>
          <t>No. of batches</t>
        </is>
      </c>
      <c r="D226">
        <f>IFERROR(INDEX(PP_Grid[#Data],$DD226,2),0)</f>
        <v/>
      </c>
      <c r="E226">
        <f>IFERROR(INDEX(PP_Grid[#Data],$DD226,3),0)</f>
        <v/>
      </c>
      <c r="F226">
        <f>IFERROR(INDEX(PP_Grid[#Data],$DD226,4),0)</f>
        <v/>
      </c>
      <c r="G226">
        <f>IFERROR(INDEX(PP_Grid[#Data],$DD226,5),0)</f>
        <v/>
      </c>
      <c r="H226">
        <f>IFERROR(INDEX(PP_Grid[#Data],$DD226,6),0)</f>
        <v/>
      </c>
      <c r="I226">
        <f>IFERROR(INDEX(PP_Grid[#Data],$DD226,7),0)</f>
        <v/>
      </c>
      <c r="J226">
        <f>IFERROR(INDEX(PP_Grid[#Data],$DD226,8),0)</f>
        <v/>
      </c>
      <c r="K226">
        <f>IFERROR(INDEX(PP_Grid[#Data],$DD226,9),0)</f>
        <v/>
      </c>
      <c r="L226">
        <f>IFERROR(INDEX(PP_Grid[#Data],$DD226,10),0)</f>
        <v/>
      </c>
      <c r="M226">
        <f>IFERROR(INDEX(PP_Grid[#Data],$DD226,11),0)</f>
        <v/>
      </c>
      <c r="N226">
        <f>IFERROR(INDEX(PP_Grid[#Data],$DD226,12),0)</f>
        <v/>
      </c>
      <c r="O226">
        <f>IFERROR(INDEX(PP_Grid[#Data],$DD226,13),0)</f>
        <v/>
      </c>
      <c r="P226">
        <f>IFERROR(INDEX(PP_Grid[#Data],$DD226,14),0)</f>
        <v/>
      </c>
      <c r="Q226">
        <f>IFERROR(INDEX(PP_Grid[#Data],$DD226,15),0)</f>
        <v/>
      </c>
      <c r="R226">
        <f>IFERROR(INDEX(PP_Grid[#Data],$DD226,16),0)</f>
        <v/>
      </c>
      <c r="S226">
        <f>IFERROR(INDEX(PP_Grid[#Data],$DD226,17),0)</f>
        <v/>
      </c>
      <c r="T226">
        <f>IFERROR(INDEX(PP_Grid[#Data],$DD226,18),0)</f>
        <v/>
      </c>
      <c r="U226">
        <f>IFERROR(INDEX(PP_Grid[#Data],$DD226,19),0)</f>
        <v/>
      </c>
      <c r="V226">
        <f>IFERROR(INDEX(PP_Grid[#Data],$DD226,20),0)</f>
        <v/>
      </c>
      <c r="W226">
        <f>IFERROR(INDEX(PP_Grid[#Data],$DD226,21),0)</f>
        <v/>
      </c>
      <c r="X226">
        <f>IFERROR(INDEX(PP_Grid[#Data],$DD226,22),0)</f>
        <v/>
      </c>
      <c r="Y226">
        <f>IFERROR(INDEX(PP_Grid[#Data],$DD226,23),0)</f>
        <v/>
      </c>
      <c r="Z226">
        <f>IFERROR(INDEX(PP_Grid[#Data],$DD226,24),0)</f>
        <v/>
      </c>
      <c r="AA226">
        <f>IFERROR(INDEX(PP_Grid[#Data],$DD226,25),0)</f>
        <v/>
      </c>
      <c r="AB226">
        <f>IFERROR(INDEX(PP_Grid[#Data],$DD226,26),0)</f>
        <v/>
      </c>
      <c r="AC226">
        <f>IFERROR(INDEX(PP_Grid[#Data],$DD226,27),0)</f>
        <v/>
      </c>
      <c r="AD226">
        <f>IFERROR(INDEX(PP_Grid[#Data],$DD226,28),0)</f>
        <v/>
      </c>
      <c r="AE226">
        <f>IFERROR(INDEX(PP_Grid[#Data],$DD226,29),0)</f>
        <v/>
      </c>
      <c r="AF226">
        <f>IFERROR(INDEX(PP_Grid[#Data],$DD226,30),0)</f>
        <v/>
      </c>
      <c r="AG226">
        <f>IFERROR(INDEX(PP_Grid[#Data],$DD226,31),0)</f>
        <v/>
      </c>
      <c r="AH226">
        <f>IFERROR(INDEX(PP_Grid[#Data],$DD226,32),0)</f>
        <v/>
      </c>
      <c r="AI226">
        <f>IFERROR(INDEX(PP_Grid[#Data],$DD226,33),0)</f>
        <v/>
      </c>
      <c r="AJ226">
        <f>IFERROR(INDEX(PP_Grid[#Data],$DD226,34),0)</f>
        <v/>
      </c>
      <c r="AK226">
        <f>IFERROR(INDEX(PP_Grid[#Data],$DD226,35),0)</f>
        <v/>
      </c>
      <c r="AL226">
        <f>IFERROR(INDEX(PP_Grid[#Data],$DD226,36),0)</f>
        <v/>
      </c>
      <c r="AM226">
        <f>IFERROR(INDEX(PP_Grid[#Data],$DD226,37),0)</f>
        <v/>
      </c>
      <c r="AN226">
        <f>IFERROR(INDEX(PP_Grid[#Data],$DD226,38),0)</f>
        <v/>
      </c>
      <c r="AO226">
        <f>IFERROR(INDEX(PP_Grid[#Data],$DD226,39),0)</f>
        <v/>
      </c>
      <c r="AP226">
        <f>IFERROR(INDEX(PP_Grid[#Data],$DD226,40),0)</f>
        <v/>
      </c>
      <c r="AQ226">
        <f>IFERROR(INDEX(PP_Grid[#Data],$DD226,41),0)</f>
        <v/>
      </c>
      <c r="AR226">
        <f>IFERROR(INDEX(PP_Grid[#Data],$DD226,42),0)</f>
        <v/>
      </c>
      <c r="AS226">
        <f>IFERROR(INDEX(PP_Grid[#Data],$DD226,43),0)</f>
        <v/>
      </c>
      <c r="AT226">
        <f>IFERROR(INDEX(PP_Grid[#Data],$DD226,44),0)</f>
        <v/>
      </c>
      <c r="AU226">
        <f>IFERROR(INDEX(PP_Grid[#Data],$DD226,45),0)</f>
        <v/>
      </c>
      <c r="AV226">
        <f>IFERROR(INDEX(PP_Grid[#Data],$DD226,46),0)</f>
        <v/>
      </c>
      <c r="AW226">
        <f>IFERROR(INDEX(PP_Grid[#Data],$DD226,47),0)</f>
        <v/>
      </c>
      <c r="AX226">
        <f>IFERROR(INDEX(PP_Grid[#Data],$DD226,48),0)</f>
        <v/>
      </c>
      <c r="AY226">
        <f>IFERROR(INDEX(PP_Grid[#Data],$DD226,49),0)</f>
        <v/>
      </c>
      <c r="AZ226">
        <f>IFERROR(INDEX(PP_Grid[#Data],$DD226,50),0)</f>
        <v/>
      </c>
      <c r="BA226">
        <f>IFERROR(INDEX(PP_Grid[#Data],$DD226,51),0)</f>
        <v/>
      </c>
      <c r="BB226">
        <f>IFERROR(INDEX(PP_Grid[#Data],$DD226,52),0)</f>
        <v/>
      </c>
      <c r="BC226">
        <f>IFERROR(INDEX(PP_Grid[#Data],$DD226,53),0)</f>
        <v/>
      </c>
      <c r="BD226">
        <f>IFERROR(INDEX(PP_Grid[#Data],$DD226,54),0)</f>
        <v/>
      </c>
      <c r="BE226">
        <f>IFERROR(INDEX(PP_Grid[#Data],$DD226,55),0)</f>
        <v/>
      </c>
      <c r="BF226">
        <f>IFERROR(INDEX(PP_Grid[#Data],$DD226,56),0)</f>
        <v/>
      </c>
      <c r="BG226">
        <f>IFERROR(INDEX(PP_Grid[#Data],$DD226,57),0)</f>
        <v/>
      </c>
      <c r="BH226">
        <f>IFERROR(INDEX(PP_Grid[#Data],$DD226,58),0)</f>
        <v/>
      </c>
      <c r="BI226">
        <f>IFERROR(INDEX(PP_Grid[#Data],$DD226,59),0)</f>
        <v/>
      </c>
      <c r="BJ226">
        <f>IFERROR(INDEX(PP_Grid[#Data],$DD226,60),0)</f>
        <v/>
      </c>
      <c r="BK226">
        <f>IFERROR(INDEX(PP_Grid[#Data],$DD226,61),0)</f>
        <v/>
      </c>
      <c r="BL226">
        <f>IFERROR(INDEX(PP_Grid[#Data],$DD226,62),0)</f>
        <v/>
      </c>
      <c r="BM226">
        <f>IFERROR(INDEX(PP_Grid[#Data],$DD226,63),0)</f>
        <v/>
      </c>
      <c r="BN226">
        <f>IFERROR(INDEX(PP_Grid[#Data],$DD226,64),0)</f>
        <v/>
      </c>
      <c r="BO226">
        <f>IFERROR(INDEX(PP_Grid[#Data],$DD226,65),0)</f>
        <v/>
      </c>
      <c r="BP226">
        <f>IFERROR(INDEX(PP_Grid[#Data],$DD226,66),0)</f>
        <v/>
      </c>
      <c r="BQ226">
        <f>IFERROR(INDEX(PP_Grid[#Data],$DD226,67),0)</f>
        <v/>
      </c>
      <c r="BR226">
        <f>IFERROR(INDEX(PP_Grid[#Data],$DD226,68),0)</f>
        <v/>
      </c>
      <c r="BS226">
        <f>IFERROR(INDEX(PP_Grid[#Data],$DD226,69),0)</f>
        <v/>
      </c>
      <c r="BT226">
        <f>IFERROR(INDEX(PP_Grid[#Data],$DD226,70),0)</f>
        <v/>
      </c>
      <c r="BU226">
        <f>IFERROR(INDEX(PP_Grid[#Data],$DD226,71),0)</f>
        <v/>
      </c>
      <c r="BV226">
        <f>IFERROR(INDEX(PP_Grid[#Data],$DD226,72),0)</f>
        <v/>
      </c>
      <c r="BW226">
        <f>IFERROR(INDEX(PP_Grid[#Data],$DD226,73),0)</f>
        <v/>
      </c>
      <c r="BX226">
        <f>IFERROR(INDEX(PP_Grid[#Data],$DD226,74),0)</f>
        <v/>
      </c>
      <c r="BY226">
        <f>IFERROR(INDEX(PP_Grid[#Data],$DD226,75),0)</f>
        <v/>
      </c>
      <c r="BZ226">
        <f>IFERROR(INDEX(PP_Grid[#Data],$DD226,76),0)</f>
        <v/>
      </c>
      <c r="CA226">
        <f>IFERROR(INDEX(PP_Grid[#Data],$DD226,77),0)</f>
        <v/>
      </c>
      <c r="CB226">
        <f>IFERROR(INDEX(PP_Grid[#Data],$DD226,78),0)</f>
        <v/>
      </c>
      <c r="CC226">
        <f>IFERROR(INDEX(PP_Grid[#Data],$DD226,79),0)</f>
        <v/>
      </c>
      <c r="CD226">
        <f>IFERROR(INDEX(PP_Grid[#Data],$DD226,80),0)</f>
        <v/>
      </c>
      <c r="CE226">
        <f>IFERROR(INDEX(PP_Grid[#Data],$DD226,81),0)</f>
        <v/>
      </c>
      <c r="CF226">
        <f>IFERROR(INDEX(PP_Grid[#Data],$DD226,82),0)</f>
        <v/>
      </c>
      <c r="CG226">
        <f>IFERROR(INDEX(PP_Grid[#Data],$DD226,83),0)</f>
        <v/>
      </c>
      <c r="CH226">
        <f>IFERROR(INDEX(PP_Grid[#Data],$DD226,84),0)</f>
        <v/>
      </c>
      <c r="CI226">
        <f>IFERROR(INDEX(PP_Grid[#Data],$DD226,85),0)</f>
        <v/>
      </c>
      <c r="CJ226">
        <f>IFERROR(INDEX(PP_Grid[#Data],$DD226,86),0)</f>
        <v/>
      </c>
      <c r="CK226">
        <f>IFERROR(INDEX(PP_Grid[#Data],$DD226,87),0)</f>
        <v/>
      </c>
      <c r="CL226">
        <f>IFERROR(INDEX(PP_Grid[#Data],$DD226,88),0)</f>
        <v/>
      </c>
      <c r="CM226">
        <f>IFERROR(INDEX(PP_Grid[#Data],$DD226,89),0)</f>
        <v/>
      </c>
      <c r="CN226">
        <f>IFERROR(INDEX(PP_Grid[#Data],$DD226,90),0)</f>
        <v/>
      </c>
      <c r="CO226">
        <f>IFERROR(INDEX(PP_Grid[#Data],$DD226,91),0)</f>
        <v/>
      </c>
      <c r="CP226">
        <f>IFERROR(INDEX(PP_Grid[#Data],$DD226,92),0)</f>
        <v/>
      </c>
      <c r="CQ226">
        <f>IFERROR(INDEX(PP_Grid[#Data],$DD226,93),0)</f>
        <v/>
      </c>
      <c r="CR226">
        <f>IFERROR(INDEX(PP_Grid[#Data],$DD226,94),0)</f>
        <v/>
      </c>
      <c r="CS226">
        <f>IFERROR(INDEX(PP_Grid[#Data],$DD226,95),0)</f>
        <v/>
      </c>
      <c r="CT226">
        <f>IFERROR(INDEX(PP_Grid[#Data],$DD226,96),0)</f>
        <v/>
      </c>
      <c r="CU226">
        <f>IFERROR(INDEX(PP_Grid[#Data],$DD226,97),0)</f>
        <v/>
      </c>
      <c r="CV226">
        <f>IFERROR(INDEX(PP_Grid[#Data],$DD226,98),0)</f>
        <v/>
      </c>
      <c r="CW226">
        <f>IFERROR(INDEX(PP_Grid[#Data],$DD226,99),0)</f>
        <v/>
      </c>
      <c r="CX226">
        <f>IFERROR(INDEX(PP_Grid[#Data],$DD226,100),0)</f>
        <v/>
      </c>
      <c r="CY226">
        <f>IFERROR(INDEX(PP_Grid[#Data],$DD226,101),0)</f>
        <v/>
      </c>
      <c r="CZ226">
        <f>IFERROR(INDEX(PP_Grid[#Data],$DD226,102),0)</f>
        <v/>
      </c>
      <c r="DA226">
        <f>IFERROR(INDEX(PP_Grid[#Data],$DD226,103),0)</f>
        <v/>
      </c>
      <c r="DB226">
        <f>IFERROR(INDEX(PP_Grid[#Data],$DD226,104),0)</f>
        <v/>
      </c>
      <c r="DC226">
        <f>IFERROR(INDEX(PP_Grid[#Data],$DD226,105),0)</f>
        <v/>
      </c>
      <c r="DD226" s="7">
        <f>IFERROR(MATCH($B226,PP_Grid[Intermediate],0),99999)</f>
        <v/>
      </c>
    </row>
    <row r="227">
      <c r="B227" t="inlineStr">
        <is>
          <t>使用量(kg)</t>
        </is>
      </c>
      <c r="C227">
        <f>SUMIFS(M_BOM[RM_Qty_Per_Batch],M_BOM[Intermediate],$B226,M_BOM[Part Name],$A219)</f>
        <v/>
      </c>
      <c r="D227">
        <f>$C227*D226</f>
        <v/>
      </c>
      <c r="E227">
        <f>$C227*E226</f>
        <v/>
      </c>
      <c r="F227">
        <f>$C227*F226</f>
        <v/>
      </c>
      <c r="G227">
        <f>$C227*G226</f>
        <v/>
      </c>
      <c r="H227">
        <f>$C227*H226</f>
        <v/>
      </c>
      <c r="I227">
        <f>$C227*I226</f>
        <v/>
      </c>
      <c r="J227">
        <f>$C227*J226</f>
        <v/>
      </c>
      <c r="K227">
        <f>$C227*K226</f>
        <v/>
      </c>
      <c r="L227">
        <f>$C227*L226</f>
        <v/>
      </c>
      <c r="M227">
        <f>$C227*M226</f>
        <v/>
      </c>
      <c r="N227">
        <f>$C227*N226</f>
        <v/>
      </c>
      <c r="O227">
        <f>$C227*O226</f>
        <v/>
      </c>
      <c r="P227">
        <f>$C227*P226</f>
        <v/>
      </c>
      <c r="Q227">
        <f>$C227*Q226</f>
        <v/>
      </c>
      <c r="R227">
        <f>$C227*R226</f>
        <v/>
      </c>
      <c r="S227">
        <f>$C227*S226</f>
        <v/>
      </c>
      <c r="T227">
        <f>$C227*T226</f>
        <v/>
      </c>
      <c r="U227">
        <f>$C227*U226</f>
        <v/>
      </c>
      <c r="V227">
        <f>$C227*V226</f>
        <v/>
      </c>
      <c r="W227">
        <f>$C227*W226</f>
        <v/>
      </c>
      <c r="X227">
        <f>$C227*X226</f>
        <v/>
      </c>
      <c r="Y227">
        <f>$C227*Y226</f>
        <v/>
      </c>
      <c r="Z227">
        <f>$C227*Z226</f>
        <v/>
      </c>
      <c r="AA227">
        <f>$C227*AA226</f>
        <v/>
      </c>
      <c r="AB227">
        <f>$C227*AB226</f>
        <v/>
      </c>
      <c r="AC227">
        <f>$C227*AC226</f>
        <v/>
      </c>
      <c r="AD227">
        <f>$C227*AD226</f>
        <v/>
      </c>
      <c r="AE227">
        <f>$C227*AE226</f>
        <v/>
      </c>
      <c r="AF227">
        <f>$C227*AF226</f>
        <v/>
      </c>
      <c r="AG227">
        <f>$C227*AG226</f>
        <v/>
      </c>
      <c r="AH227">
        <f>$C227*AH226</f>
        <v/>
      </c>
      <c r="AI227">
        <f>$C227*AI226</f>
        <v/>
      </c>
      <c r="AJ227">
        <f>$C227*AJ226</f>
        <v/>
      </c>
      <c r="AK227">
        <f>$C227*AK226</f>
        <v/>
      </c>
      <c r="AL227">
        <f>$C227*AL226</f>
        <v/>
      </c>
      <c r="AM227">
        <f>$C227*AM226</f>
        <v/>
      </c>
      <c r="AN227">
        <f>$C227*AN226</f>
        <v/>
      </c>
      <c r="AO227">
        <f>$C227*AO226</f>
        <v/>
      </c>
      <c r="AP227">
        <f>$C227*AP226</f>
        <v/>
      </c>
      <c r="AQ227">
        <f>$C227*AQ226</f>
        <v/>
      </c>
      <c r="AR227">
        <f>$C227*AR226</f>
        <v/>
      </c>
      <c r="AS227">
        <f>$C227*AS226</f>
        <v/>
      </c>
      <c r="AT227">
        <f>$C227*AT226</f>
        <v/>
      </c>
      <c r="AU227">
        <f>$C227*AU226</f>
        <v/>
      </c>
      <c r="AV227">
        <f>$C227*AV226</f>
        <v/>
      </c>
      <c r="AW227">
        <f>$C227*AW226</f>
        <v/>
      </c>
      <c r="AX227">
        <f>$C227*AX226</f>
        <v/>
      </c>
      <c r="AY227">
        <f>$C227*AY226</f>
        <v/>
      </c>
      <c r="AZ227">
        <f>$C227*AZ226</f>
        <v/>
      </c>
      <c r="BA227">
        <f>$C227*BA226</f>
        <v/>
      </c>
      <c r="BB227">
        <f>$C227*BB226</f>
        <v/>
      </c>
      <c r="BC227">
        <f>$C227*BC226</f>
        <v/>
      </c>
      <c r="BD227">
        <f>$C227*BD226</f>
        <v/>
      </c>
      <c r="BE227">
        <f>$C227*BE226</f>
        <v/>
      </c>
      <c r="BF227">
        <f>$C227*BF226</f>
        <v/>
      </c>
      <c r="BG227">
        <f>$C227*BG226</f>
        <v/>
      </c>
      <c r="BH227">
        <f>$C227*BH226</f>
        <v/>
      </c>
      <c r="BI227">
        <f>$C227*BI226</f>
        <v/>
      </c>
      <c r="BJ227">
        <f>$C227*BJ226</f>
        <v/>
      </c>
      <c r="BK227">
        <f>$C227*BK226</f>
        <v/>
      </c>
      <c r="BL227">
        <f>$C227*BL226</f>
        <v/>
      </c>
      <c r="BM227">
        <f>$C227*BM226</f>
        <v/>
      </c>
      <c r="BN227">
        <f>$C227*BN226</f>
        <v/>
      </c>
      <c r="BO227">
        <f>$C227*BO226</f>
        <v/>
      </c>
      <c r="BP227">
        <f>$C227*BP226</f>
        <v/>
      </c>
      <c r="BQ227">
        <f>$C227*BQ226</f>
        <v/>
      </c>
      <c r="BR227">
        <f>$C227*BR226</f>
        <v/>
      </c>
      <c r="BS227">
        <f>$C227*BS226</f>
        <v/>
      </c>
      <c r="BT227">
        <f>$C227*BT226</f>
        <v/>
      </c>
      <c r="BU227">
        <f>$C227*BU226</f>
        <v/>
      </c>
      <c r="BV227">
        <f>$C227*BV226</f>
        <v/>
      </c>
      <c r="BW227">
        <f>$C227*BW226</f>
        <v/>
      </c>
      <c r="BX227">
        <f>$C227*BX226</f>
        <v/>
      </c>
      <c r="BY227">
        <f>$C227*BY226</f>
        <v/>
      </c>
      <c r="BZ227">
        <f>$C227*BZ226</f>
        <v/>
      </c>
      <c r="CA227">
        <f>$C227*CA226</f>
        <v/>
      </c>
      <c r="CB227">
        <f>$C227*CB226</f>
        <v/>
      </c>
      <c r="CC227">
        <f>$C227*CC226</f>
        <v/>
      </c>
      <c r="CD227">
        <f>$C227*CD226</f>
        <v/>
      </c>
      <c r="CE227">
        <f>$C227*CE226</f>
        <v/>
      </c>
      <c r="CF227">
        <f>$C227*CF226</f>
        <v/>
      </c>
      <c r="CG227">
        <f>$C227*CG226</f>
        <v/>
      </c>
      <c r="CH227">
        <f>$C227*CH226</f>
        <v/>
      </c>
      <c r="CI227">
        <f>$C227*CI226</f>
        <v/>
      </c>
      <c r="CJ227">
        <f>$C227*CJ226</f>
        <v/>
      </c>
      <c r="CK227">
        <f>$C227*CK226</f>
        <v/>
      </c>
      <c r="CL227">
        <f>$C227*CL226</f>
        <v/>
      </c>
      <c r="CM227">
        <f>$C227*CM226</f>
        <v/>
      </c>
      <c r="CN227">
        <f>$C227*CN226</f>
        <v/>
      </c>
      <c r="CO227">
        <f>$C227*CO226</f>
        <v/>
      </c>
      <c r="CP227">
        <f>$C227*CP226</f>
        <v/>
      </c>
      <c r="CQ227">
        <f>$C227*CQ226</f>
        <v/>
      </c>
      <c r="CR227">
        <f>$C227*CR226</f>
        <v/>
      </c>
      <c r="CS227">
        <f>$C227*CS226</f>
        <v/>
      </c>
      <c r="CT227">
        <f>$C227*CT226</f>
        <v/>
      </c>
      <c r="CU227">
        <f>$C227*CU226</f>
        <v/>
      </c>
      <c r="CV227">
        <f>$C227*CV226</f>
        <v/>
      </c>
      <c r="CW227">
        <f>$C227*CW226</f>
        <v/>
      </c>
      <c r="CX227">
        <f>$C227*CX226</f>
        <v/>
      </c>
      <c r="CY227">
        <f>$C227*CY226</f>
        <v/>
      </c>
      <c r="CZ227">
        <f>$C227*CZ226</f>
        <v/>
      </c>
      <c r="DA227">
        <f>$C227*DA226</f>
        <v/>
      </c>
      <c r="DB227">
        <f>$C227*DB226</f>
        <v/>
      </c>
      <c r="DC227">
        <f>$C227*DC226</f>
        <v/>
      </c>
    </row>
    <row r="228">
      <c r="B228" t="inlineStr">
        <is>
          <t>TSP-104</t>
        </is>
      </c>
      <c r="C228" t="inlineStr">
        <is>
          <t>No. of batches</t>
        </is>
      </c>
      <c r="D228">
        <f>IFERROR(INDEX(PP_Grid[#Data],$DD228,2),0)</f>
        <v/>
      </c>
      <c r="E228">
        <f>IFERROR(INDEX(PP_Grid[#Data],$DD228,3),0)</f>
        <v/>
      </c>
      <c r="F228">
        <f>IFERROR(INDEX(PP_Grid[#Data],$DD228,4),0)</f>
        <v/>
      </c>
      <c r="G228">
        <f>IFERROR(INDEX(PP_Grid[#Data],$DD228,5),0)</f>
        <v/>
      </c>
      <c r="H228">
        <f>IFERROR(INDEX(PP_Grid[#Data],$DD228,6),0)</f>
        <v/>
      </c>
      <c r="I228">
        <f>IFERROR(INDEX(PP_Grid[#Data],$DD228,7),0)</f>
        <v/>
      </c>
      <c r="J228">
        <f>IFERROR(INDEX(PP_Grid[#Data],$DD228,8),0)</f>
        <v/>
      </c>
      <c r="K228">
        <f>IFERROR(INDEX(PP_Grid[#Data],$DD228,9),0)</f>
        <v/>
      </c>
      <c r="L228">
        <f>IFERROR(INDEX(PP_Grid[#Data],$DD228,10),0)</f>
        <v/>
      </c>
      <c r="M228">
        <f>IFERROR(INDEX(PP_Grid[#Data],$DD228,11),0)</f>
        <v/>
      </c>
      <c r="N228">
        <f>IFERROR(INDEX(PP_Grid[#Data],$DD228,12),0)</f>
        <v/>
      </c>
      <c r="O228">
        <f>IFERROR(INDEX(PP_Grid[#Data],$DD228,13),0)</f>
        <v/>
      </c>
      <c r="P228">
        <f>IFERROR(INDEX(PP_Grid[#Data],$DD228,14),0)</f>
        <v/>
      </c>
      <c r="Q228">
        <f>IFERROR(INDEX(PP_Grid[#Data],$DD228,15),0)</f>
        <v/>
      </c>
      <c r="R228">
        <f>IFERROR(INDEX(PP_Grid[#Data],$DD228,16),0)</f>
        <v/>
      </c>
      <c r="S228">
        <f>IFERROR(INDEX(PP_Grid[#Data],$DD228,17),0)</f>
        <v/>
      </c>
      <c r="T228">
        <f>IFERROR(INDEX(PP_Grid[#Data],$DD228,18),0)</f>
        <v/>
      </c>
      <c r="U228">
        <f>IFERROR(INDEX(PP_Grid[#Data],$DD228,19),0)</f>
        <v/>
      </c>
      <c r="V228">
        <f>IFERROR(INDEX(PP_Grid[#Data],$DD228,20),0)</f>
        <v/>
      </c>
      <c r="W228">
        <f>IFERROR(INDEX(PP_Grid[#Data],$DD228,21),0)</f>
        <v/>
      </c>
      <c r="X228">
        <f>IFERROR(INDEX(PP_Grid[#Data],$DD228,22),0)</f>
        <v/>
      </c>
      <c r="Y228">
        <f>IFERROR(INDEX(PP_Grid[#Data],$DD228,23),0)</f>
        <v/>
      </c>
      <c r="Z228">
        <f>IFERROR(INDEX(PP_Grid[#Data],$DD228,24),0)</f>
        <v/>
      </c>
      <c r="AA228">
        <f>IFERROR(INDEX(PP_Grid[#Data],$DD228,25),0)</f>
        <v/>
      </c>
      <c r="AB228">
        <f>IFERROR(INDEX(PP_Grid[#Data],$DD228,26),0)</f>
        <v/>
      </c>
      <c r="AC228">
        <f>IFERROR(INDEX(PP_Grid[#Data],$DD228,27),0)</f>
        <v/>
      </c>
      <c r="AD228">
        <f>IFERROR(INDEX(PP_Grid[#Data],$DD228,28),0)</f>
        <v/>
      </c>
      <c r="AE228">
        <f>IFERROR(INDEX(PP_Grid[#Data],$DD228,29),0)</f>
        <v/>
      </c>
      <c r="AF228">
        <f>IFERROR(INDEX(PP_Grid[#Data],$DD228,30),0)</f>
        <v/>
      </c>
      <c r="AG228">
        <f>IFERROR(INDEX(PP_Grid[#Data],$DD228,31),0)</f>
        <v/>
      </c>
      <c r="AH228">
        <f>IFERROR(INDEX(PP_Grid[#Data],$DD228,32),0)</f>
        <v/>
      </c>
      <c r="AI228">
        <f>IFERROR(INDEX(PP_Grid[#Data],$DD228,33),0)</f>
        <v/>
      </c>
      <c r="AJ228">
        <f>IFERROR(INDEX(PP_Grid[#Data],$DD228,34),0)</f>
        <v/>
      </c>
      <c r="AK228">
        <f>IFERROR(INDEX(PP_Grid[#Data],$DD228,35),0)</f>
        <v/>
      </c>
      <c r="AL228">
        <f>IFERROR(INDEX(PP_Grid[#Data],$DD228,36),0)</f>
        <v/>
      </c>
      <c r="AM228">
        <f>IFERROR(INDEX(PP_Grid[#Data],$DD228,37),0)</f>
        <v/>
      </c>
      <c r="AN228">
        <f>IFERROR(INDEX(PP_Grid[#Data],$DD228,38),0)</f>
        <v/>
      </c>
      <c r="AO228">
        <f>IFERROR(INDEX(PP_Grid[#Data],$DD228,39),0)</f>
        <v/>
      </c>
      <c r="AP228">
        <f>IFERROR(INDEX(PP_Grid[#Data],$DD228,40),0)</f>
        <v/>
      </c>
      <c r="AQ228">
        <f>IFERROR(INDEX(PP_Grid[#Data],$DD228,41),0)</f>
        <v/>
      </c>
      <c r="AR228">
        <f>IFERROR(INDEX(PP_Grid[#Data],$DD228,42),0)</f>
        <v/>
      </c>
      <c r="AS228">
        <f>IFERROR(INDEX(PP_Grid[#Data],$DD228,43),0)</f>
        <v/>
      </c>
      <c r="AT228">
        <f>IFERROR(INDEX(PP_Grid[#Data],$DD228,44),0)</f>
        <v/>
      </c>
      <c r="AU228">
        <f>IFERROR(INDEX(PP_Grid[#Data],$DD228,45),0)</f>
        <v/>
      </c>
      <c r="AV228">
        <f>IFERROR(INDEX(PP_Grid[#Data],$DD228,46),0)</f>
        <v/>
      </c>
      <c r="AW228">
        <f>IFERROR(INDEX(PP_Grid[#Data],$DD228,47),0)</f>
        <v/>
      </c>
      <c r="AX228">
        <f>IFERROR(INDEX(PP_Grid[#Data],$DD228,48),0)</f>
        <v/>
      </c>
      <c r="AY228">
        <f>IFERROR(INDEX(PP_Grid[#Data],$DD228,49),0)</f>
        <v/>
      </c>
      <c r="AZ228">
        <f>IFERROR(INDEX(PP_Grid[#Data],$DD228,50),0)</f>
        <v/>
      </c>
      <c r="BA228">
        <f>IFERROR(INDEX(PP_Grid[#Data],$DD228,51),0)</f>
        <v/>
      </c>
      <c r="BB228">
        <f>IFERROR(INDEX(PP_Grid[#Data],$DD228,52),0)</f>
        <v/>
      </c>
      <c r="BC228">
        <f>IFERROR(INDEX(PP_Grid[#Data],$DD228,53),0)</f>
        <v/>
      </c>
      <c r="BD228">
        <f>IFERROR(INDEX(PP_Grid[#Data],$DD228,54),0)</f>
        <v/>
      </c>
      <c r="BE228">
        <f>IFERROR(INDEX(PP_Grid[#Data],$DD228,55),0)</f>
        <v/>
      </c>
      <c r="BF228">
        <f>IFERROR(INDEX(PP_Grid[#Data],$DD228,56),0)</f>
        <v/>
      </c>
      <c r="BG228">
        <f>IFERROR(INDEX(PP_Grid[#Data],$DD228,57),0)</f>
        <v/>
      </c>
      <c r="BH228">
        <f>IFERROR(INDEX(PP_Grid[#Data],$DD228,58),0)</f>
        <v/>
      </c>
      <c r="BI228">
        <f>IFERROR(INDEX(PP_Grid[#Data],$DD228,59),0)</f>
        <v/>
      </c>
      <c r="BJ228">
        <f>IFERROR(INDEX(PP_Grid[#Data],$DD228,60),0)</f>
        <v/>
      </c>
      <c r="BK228">
        <f>IFERROR(INDEX(PP_Grid[#Data],$DD228,61),0)</f>
        <v/>
      </c>
      <c r="BL228">
        <f>IFERROR(INDEX(PP_Grid[#Data],$DD228,62),0)</f>
        <v/>
      </c>
      <c r="BM228">
        <f>IFERROR(INDEX(PP_Grid[#Data],$DD228,63),0)</f>
        <v/>
      </c>
      <c r="BN228">
        <f>IFERROR(INDEX(PP_Grid[#Data],$DD228,64),0)</f>
        <v/>
      </c>
      <c r="BO228">
        <f>IFERROR(INDEX(PP_Grid[#Data],$DD228,65),0)</f>
        <v/>
      </c>
      <c r="BP228">
        <f>IFERROR(INDEX(PP_Grid[#Data],$DD228,66),0)</f>
        <v/>
      </c>
      <c r="BQ228">
        <f>IFERROR(INDEX(PP_Grid[#Data],$DD228,67),0)</f>
        <v/>
      </c>
      <c r="BR228">
        <f>IFERROR(INDEX(PP_Grid[#Data],$DD228,68),0)</f>
        <v/>
      </c>
      <c r="BS228">
        <f>IFERROR(INDEX(PP_Grid[#Data],$DD228,69),0)</f>
        <v/>
      </c>
      <c r="BT228">
        <f>IFERROR(INDEX(PP_Grid[#Data],$DD228,70),0)</f>
        <v/>
      </c>
      <c r="BU228">
        <f>IFERROR(INDEX(PP_Grid[#Data],$DD228,71),0)</f>
        <v/>
      </c>
      <c r="BV228">
        <f>IFERROR(INDEX(PP_Grid[#Data],$DD228,72),0)</f>
        <v/>
      </c>
      <c r="BW228">
        <f>IFERROR(INDEX(PP_Grid[#Data],$DD228,73),0)</f>
        <v/>
      </c>
      <c r="BX228">
        <f>IFERROR(INDEX(PP_Grid[#Data],$DD228,74),0)</f>
        <v/>
      </c>
      <c r="BY228">
        <f>IFERROR(INDEX(PP_Grid[#Data],$DD228,75),0)</f>
        <v/>
      </c>
      <c r="BZ228">
        <f>IFERROR(INDEX(PP_Grid[#Data],$DD228,76),0)</f>
        <v/>
      </c>
      <c r="CA228">
        <f>IFERROR(INDEX(PP_Grid[#Data],$DD228,77),0)</f>
        <v/>
      </c>
      <c r="CB228">
        <f>IFERROR(INDEX(PP_Grid[#Data],$DD228,78),0)</f>
        <v/>
      </c>
      <c r="CC228">
        <f>IFERROR(INDEX(PP_Grid[#Data],$DD228,79),0)</f>
        <v/>
      </c>
      <c r="CD228">
        <f>IFERROR(INDEX(PP_Grid[#Data],$DD228,80),0)</f>
        <v/>
      </c>
      <c r="CE228">
        <f>IFERROR(INDEX(PP_Grid[#Data],$DD228,81),0)</f>
        <v/>
      </c>
      <c r="CF228">
        <f>IFERROR(INDEX(PP_Grid[#Data],$DD228,82),0)</f>
        <v/>
      </c>
      <c r="CG228">
        <f>IFERROR(INDEX(PP_Grid[#Data],$DD228,83),0)</f>
        <v/>
      </c>
      <c r="CH228">
        <f>IFERROR(INDEX(PP_Grid[#Data],$DD228,84),0)</f>
        <v/>
      </c>
      <c r="CI228">
        <f>IFERROR(INDEX(PP_Grid[#Data],$DD228,85),0)</f>
        <v/>
      </c>
      <c r="CJ228">
        <f>IFERROR(INDEX(PP_Grid[#Data],$DD228,86),0)</f>
        <v/>
      </c>
      <c r="CK228">
        <f>IFERROR(INDEX(PP_Grid[#Data],$DD228,87),0)</f>
        <v/>
      </c>
      <c r="CL228">
        <f>IFERROR(INDEX(PP_Grid[#Data],$DD228,88),0)</f>
        <v/>
      </c>
      <c r="CM228">
        <f>IFERROR(INDEX(PP_Grid[#Data],$DD228,89),0)</f>
        <v/>
      </c>
      <c r="CN228">
        <f>IFERROR(INDEX(PP_Grid[#Data],$DD228,90),0)</f>
        <v/>
      </c>
      <c r="CO228">
        <f>IFERROR(INDEX(PP_Grid[#Data],$DD228,91),0)</f>
        <v/>
      </c>
      <c r="CP228">
        <f>IFERROR(INDEX(PP_Grid[#Data],$DD228,92),0)</f>
        <v/>
      </c>
      <c r="CQ228">
        <f>IFERROR(INDEX(PP_Grid[#Data],$DD228,93),0)</f>
        <v/>
      </c>
      <c r="CR228">
        <f>IFERROR(INDEX(PP_Grid[#Data],$DD228,94),0)</f>
        <v/>
      </c>
      <c r="CS228">
        <f>IFERROR(INDEX(PP_Grid[#Data],$DD228,95),0)</f>
        <v/>
      </c>
      <c r="CT228">
        <f>IFERROR(INDEX(PP_Grid[#Data],$DD228,96),0)</f>
        <v/>
      </c>
      <c r="CU228">
        <f>IFERROR(INDEX(PP_Grid[#Data],$DD228,97),0)</f>
        <v/>
      </c>
      <c r="CV228">
        <f>IFERROR(INDEX(PP_Grid[#Data],$DD228,98),0)</f>
        <v/>
      </c>
      <c r="CW228">
        <f>IFERROR(INDEX(PP_Grid[#Data],$DD228,99),0)</f>
        <v/>
      </c>
      <c r="CX228">
        <f>IFERROR(INDEX(PP_Grid[#Data],$DD228,100),0)</f>
        <v/>
      </c>
      <c r="CY228">
        <f>IFERROR(INDEX(PP_Grid[#Data],$DD228,101),0)</f>
        <v/>
      </c>
      <c r="CZ228">
        <f>IFERROR(INDEX(PP_Grid[#Data],$DD228,102),0)</f>
        <v/>
      </c>
      <c r="DA228">
        <f>IFERROR(INDEX(PP_Grid[#Data],$DD228,103),0)</f>
        <v/>
      </c>
      <c r="DB228">
        <f>IFERROR(INDEX(PP_Grid[#Data],$DD228,104),0)</f>
        <v/>
      </c>
      <c r="DC228">
        <f>IFERROR(INDEX(PP_Grid[#Data],$DD228,105),0)</f>
        <v/>
      </c>
      <c r="DD228" s="7">
        <f>IFERROR(MATCH($B228,PP_Grid[Intermediate],0),99999)</f>
        <v/>
      </c>
    </row>
    <row r="229">
      <c r="B229" t="inlineStr">
        <is>
          <t>使用量(kg)</t>
        </is>
      </c>
      <c r="C229">
        <f>SUMIFS(M_BOM[RM_Qty_Per_Batch],M_BOM[Intermediate],$B228,M_BOM[Part Name],$A219)</f>
        <v/>
      </c>
      <c r="D229">
        <f>$C229*D228</f>
        <v/>
      </c>
      <c r="E229">
        <f>$C229*E228</f>
        <v/>
      </c>
      <c r="F229">
        <f>$C229*F228</f>
        <v/>
      </c>
      <c r="G229">
        <f>$C229*G228</f>
        <v/>
      </c>
      <c r="H229">
        <f>$C229*H228</f>
        <v/>
      </c>
      <c r="I229">
        <f>$C229*I228</f>
        <v/>
      </c>
      <c r="J229">
        <f>$C229*J228</f>
        <v/>
      </c>
      <c r="K229">
        <f>$C229*K228</f>
        <v/>
      </c>
      <c r="L229">
        <f>$C229*L228</f>
        <v/>
      </c>
      <c r="M229">
        <f>$C229*M228</f>
        <v/>
      </c>
      <c r="N229">
        <f>$C229*N228</f>
        <v/>
      </c>
      <c r="O229">
        <f>$C229*O228</f>
        <v/>
      </c>
      <c r="P229">
        <f>$C229*P228</f>
        <v/>
      </c>
      <c r="Q229">
        <f>$C229*Q228</f>
        <v/>
      </c>
      <c r="R229">
        <f>$C229*R228</f>
        <v/>
      </c>
      <c r="S229">
        <f>$C229*S228</f>
        <v/>
      </c>
      <c r="T229">
        <f>$C229*T228</f>
        <v/>
      </c>
      <c r="U229">
        <f>$C229*U228</f>
        <v/>
      </c>
      <c r="V229">
        <f>$C229*V228</f>
        <v/>
      </c>
      <c r="W229">
        <f>$C229*W228</f>
        <v/>
      </c>
      <c r="X229">
        <f>$C229*X228</f>
        <v/>
      </c>
      <c r="Y229">
        <f>$C229*Y228</f>
        <v/>
      </c>
      <c r="Z229">
        <f>$C229*Z228</f>
        <v/>
      </c>
      <c r="AA229">
        <f>$C229*AA228</f>
        <v/>
      </c>
      <c r="AB229">
        <f>$C229*AB228</f>
        <v/>
      </c>
      <c r="AC229">
        <f>$C229*AC228</f>
        <v/>
      </c>
      <c r="AD229">
        <f>$C229*AD228</f>
        <v/>
      </c>
      <c r="AE229">
        <f>$C229*AE228</f>
        <v/>
      </c>
      <c r="AF229">
        <f>$C229*AF228</f>
        <v/>
      </c>
      <c r="AG229">
        <f>$C229*AG228</f>
        <v/>
      </c>
      <c r="AH229">
        <f>$C229*AH228</f>
        <v/>
      </c>
      <c r="AI229">
        <f>$C229*AI228</f>
        <v/>
      </c>
      <c r="AJ229">
        <f>$C229*AJ228</f>
        <v/>
      </c>
      <c r="AK229">
        <f>$C229*AK228</f>
        <v/>
      </c>
      <c r="AL229">
        <f>$C229*AL228</f>
        <v/>
      </c>
      <c r="AM229">
        <f>$C229*AM228</f>
        <v/>
      </c>
      <c r="AN229">
        <f>$C229*AN228</f>
        <v/>
      </c>
      <c r="AO229">
        <f>$C229*AO228</f>
        <v/>
      </c>
      <c r="AP229">
        <f>$C229*AP228</f>
        <v/>
      </c>
      <c r="AQ229">
        <f>$C229*AQ228</f>
        <v/>
      </c>
      <c r="AR229">
        <f>$C229*AR228</f>
        <v/>
      </c>
      <c r="AS229">
        <f>$C229*AS228</f>
        <v/>
      </c>
      <c r="AT229">
        <f>$C229*AT228</f>
        <v/>
      </c>
      <c r="AU229">
        <f>$C229*AU228</f>
        <v/>
      </c>
      <c r="AV229">
        <f>$C229*AV228</f>
        <v/>
      </c>
      <c r="AW229">
        <f>$C229*AW228</f>
        <v/>
      </c>
      <c r="AX229">
        <f>$C229*AX228</f>
        <v/>
      </c>
      <c r="AY229">
        <f>$C229*AY228</f>
        <v/>
      </c>
      <c r="AZ229">
        <f>$C229*AZ228</f>
        <v/>
      </c>
      <c r="BA229">
        <f>$C229*BA228</f>
        <v/>
      </c>
      <c r="BB229">
        <f>$C229*BB228</f>
        <v/>
      </c>
      <c r="BC229">
        <f>$C229*BC228</f>
        <v/>
      </c>
      <c r="BD229">
        <f>$C229*BD228</f>
        <v/>
      </c>
      <c r="BE229">
        <f>$C229*BE228</f>
        <v/>
      </c>
      <c r="BF229">
        <f>$C229*BF228</f>
        <v/>
      </c>
      <c r="BG229">
        <f>$C229*BG228</f>
        <v/>
      </c>
      <c r="BH229">
        <f>$C229*BH228</f>
        <v/>
      </c>
      <c r="BI229">
        <f>$C229*BI228</f>
        <v/>
      </c>
      <c r="BJ229">
        <f>$C229*BJ228</f>
        <v/>
      </c>
      <c r="BK229">
        <f>$C229*BK228</f>
        <v/>
      </c>
      <c r="BL229">
        <f>$C229*BL228</f>
        <v/>
      </c>
      <c r="BM229">
        <f>$C229*BM228</f>
        <v/>
      </c>
      <c r="BN229">
        <f>$C229*BN228</f>
        <v/>
      </c>
      <c r="BO229">
        <f>$C229*BO228</f>
        <v/>
      </c>
      <c r="BP229">
        <f>$C229*BP228</f>
        <v/>
      </c>
      <c r="BQ229">
        <f>$C229*BQ228</f>
        <v/>
      </c>
      <c r="BR229">
        <f>$C229*BR228</f>
        <v/>
      </c>
      <c r="BS229">
        <f>$C229*BS228</f>
        <v/>
      </c>
      <c r="BT229">
        <f>$C229*BT228</f>
        <v/>
      </c>
      <c r="BU229">
        <f>$C229*BU228</f>
        <v/>
      </c>
      <c r="BV229">
        <f>$C229*BV228</f>
        <v/>
      </c>
      <c r="BW229">
        <f>$C229*BW228</f>
        <v/>
      </c>
      <c r="BX229">
        <f>$C229*BX228</f>
        <v/>
      </c>
      <c r="BY229">
        <f>$C229*BY228</f>
        <v/>
      </c>
      <c r="BZ229">
        <f>$C229*BZ228</f>
        <v/>
      </c>
      <c r="CA229">
        <f>$C229*CA228</f>
        <v/>
      </c>
      <c r="CB229">
        <f>$C229*CB228</f>
        <v/>
      </c>
      <c r="CC229">
        <f>$C229*CC228</f>
        <v/>
      </c>
      <c r="CD229">
        <f>$C229*CD228</f>
        <v/>
      </c>
      <c r="CE229">
        <f>$C229*CE228</f>
        <v/>
      </c>
      <c r="CF229">
        <f>$C229*CF228</f>
        <v/>
      </c>
      <c r="CG229">
        <f>$C229*CG228</f>
        <v/>
      </c>
      <c r="CH229">
        <f>$C229*CH228</f>
        <v/>
      </c>
      <c r="CI229">
        <f>$C229*CI228</f>
        <v/>
      </c>
      <c r="CJ229">
        <f>$C229*CJ228</f>
        <v/>
      </c>
      <c r="CK229">
        <f>$C229*CK228</f>
        <v/>
      </c>
      <c r="CL229">
        <f>$C229*CL228</f>
        <v/>
      </c>
      <c r="CM229">
        <f>$C229*CM228</f>
        <v/>
      </c>
      <c r="CN229">
        <f>$C229*CN228</f>
        <v/>
      </c>
      <c r="CO229">
        <f>$C229*CO228</f>
        <v/>
      </c>
      <c r="CP229">
        <f>$C229*CP228</f>
        <v/>
      </c>
      <c r="CQ229">
        <f>$C229*CQ228</f>
        <v/>
      </c>
      <c r="CR229">
        <f>$C229*CR228</f>
        <v/>
      </c>
      <c r="CS229">
        <f>$C229*CS228</f>
        <v/>
      </c>
      <c r="CT229">
        <f>$C229*CT228</f>
        <v/>
      </c>
      <c r="CU229">
        <f>$C229*CU228</f>
        <v/>
      </c>
      <c r="CV229">
        <f>$C229*CV228</f>
        <v/>
      </c>
      <c r="CW229">
        <f>$C229*CW228</f>
        <v/>
      </c>
      <c r="CX229">
        <f>$C229*CX228</f>
        <v/>
      </c>
      <c r="CY229">
        <f>$C229*CY228</f>
        <v/>
      </c>
      <c r="CZ229">
        <f>$C229*CZ228</f>
        <v/>
      </c>
      <c r="DA229">
        <f>$C229*DA228</f>
        <v/>
      </c>
      <c r="DB229">
        <f>$C229*DB228</f>
        <v/>
      </c>
      <c r="DC229">
        <f>$C229*DC228</f>
        <v/>
      </c>
    </row>
    <row r="230">
      <c r="B230" t="inlineStr">
        <is>
          <t>TSP-199</t>
        </is>
      </c>
      <c r="C230" t="inlineStr">
        <is>
          <t>No. of batches</t>
        </is>
      </c>
      <c r="D230">
        <f>IFERROR(INDEX(PP_Grid[#Data],$DD230,2),0)</f>
        <v/>
      </c>
      <c r="E230">
        <f>IFERROR(INDEX(PP_Grid[#Data],$DD230,3),0)</f>
        <v/>
      </c>
      <c r="F230">
        <f>IFERROR(INDEX(PP_Grid[#Data],$DD230,4),0)</f>
        <v/>
      </c>
      <c r="G230">
        <f>IFERROR(INDEX(PP_Grid[#Data],$DD230,5),0)</f>
        <v/>
      </c>
      <c r="H230">
        <f>IFERROR(INDEX(PP_Grid[#Data],$DD230,6),0)</f>
        <v/>
      </c>
      <c r="I230">
        <f>IFERROR(INDEX(PP_Grid[#Data],$DD230,7),0)</f>
        <v/>
      </c>
      <c r="J230">
        <f>IFERROR(INDEX(PP_Grid[#Data],$DD230,8),0)</f>
        <v/>
      </c>
      <c r="K230">
        <f>IFERROR(INDEX(PP_Grid[#Data],$DD230,9),0)</f>
        <v/>
      </c>
      <c r="L230">
        <f>IFERROR(INDEX(PP_Grid[#Data],$DD230,10),0)</f>
        <v/>
      </c>
      <c r="M230">
        <f>IFERROR(INDEX(PP_Grid[#Data],$DD230,11),0)</f>
        <v/>
      </c>
      <c r="N230">
        <f>IFERROR(INDEX(PP_Grid[#Data],$DD230,12),0)</f>
        <v/>
      </c>
      <c r="O230">
        <f>IFERROR(INDEX(PP_Grid[#Data],$DD230,13),0)</f>
        <v/>
      </c>
      <c r="P230">
        <f>IFERROR(INDEX(PP_Grid[#Data],$DD230,14),0)</f>
        <v/>
      </c>
      <c r="Q230">
        <f>IFERROR(INDEX(PP_Grid[#Data],$DD230,15),0)</f>
        <v/>
      </c>
      <c r="R230">
        <f>IFERROR(INDEX(PP_Grid[#Data],$DD230,16),0)</f>
        <v/>
      </c>
      <c r="S230">
        <f>IFERROR(INDEX(PP_Grid[#Data],$DD230,17),0)</f>
        <v/>
      </c>
      <c r="T230">
        <f>IFERROR(INDEX(PP_Grid[#Data],$DD230,18),0)</f>
        <v/>
      </c>
      <c r="U230">
        <f>IFERROR(INDEX(PP_Grid[#Data],$DD230,19),0)</f>
        <v/>
      </c>
      <c r="V230">
        <f>IFERROR(INDEX(PP_Grid[#Data],$DD230,20),0)</f>
        <v/>
      </c>
      <c r="W230">
        <f>IFERROR(INDEX(PP_Grid[#Data],$DD230,21),0)</f>
        <v/>
      </c>
      <c r="X230">
        <f>IFERROR(INDEX(PP_Grid[#Data],$DD230,22),0)</f>
        <v/>
      </c>
      <c r="Y230">
        <f>IFERROR(INDEX(PP_Grid[#Data],$DD230,23),0)</f>
        <v/>
      </c>
      <c r="Z230">
        <f>IFERROR(INDEX(PP_Grid[#Data],$DD230,24),0)</f>
        <v/>
      </c>
      <c r="AA230">
        <f>IFERROR(INDEX(PP_Grid[#Data],$DD230,25),0)</f>
        <v/>
      </c>
      <c r="AB230">
        <f>IFERROR(INDEX(PP_Grid[#Data],$DD230,26),0)</f>
        <v/>
      </c>
      <c r="AC230">
        <f>IFERROR(INDEX(PP_Grid[#Data],$DD230,27),0)</f>
        <v/>
      </c>
      <c r="AD230">
        <f>IFERROR(INDEX(PP_Grid[#Data],$DD230,28),0)</f>
        <v/>
      </c>
      <c r="AE230">
        <f>IFERROR(INDEX(PP_Grid[#Data],$DD230,29),0)</f>
        <v/>
      </c>
      <c r="AF230">
        <f>IFERROR(INDEX(PP_Grid[#Data],$DD230,30),0)</f>
        <v/>
      </c>
      <c r="AG230">
        <f>IFERROR(INDEX(PP_Grid[#Data],$DD230,31),0)</f>
        <v/>
      </c>
      <c r="AH230">
        <f>IFERROR(INDEX(PP_Grid[#Data],$DD230,32),0)</f>
        <v/>
      </c>
      <c r="AI230">
        <f>IFERROR(INDEX(PP_Grid[#Data],$DD230,33),0)</f>
        <v/>
      </c>
      <c r="AJ230">
        <f>IFERROR(INDEX(PP_Grid[#Data],$DD230,34),0)</f>
        <v/>
      </c>
      <c r="AK230">
        <f>IFERROR(INDEX(PP_Grid[#Data],$DD230,35),0)</f>
        <v/>
      </c>
      <c r="AL230">
        <f>IFERROR(INDEX(PP_Grid[#Data],$DD230,36),0)</f>
        <v/>
      </c>
      <c r="AM230">
        <f>IFERROR(INDEX(PP_Grid[#Data],$DD230,37),0)</f>
        <v/>
      </c>
      <c r="AN230">
        <f>IFERROR(INDEX(PP_Grid[#Data],$DD230,38),0)</f>
        <v/>
      </c>
      <c r="AO230">
        <f>IFERROR(INDEX(PP_Grid[#Data],$DD230,39),0)</f>
        <v/>
      </c>
      <c r="AP230">
        <f>IFERROR(INDEX(PP_Grid[#Data],$DD230,40),0)</f>
        <v/>
      </c>
      <c r="AQ230">
        <f>IFERROR(INDEX(PP_Grid[#Data],$DD230,41),0)</f>
        <v/>
      </c>
      <c r="AR230">
        <f>IFERROR(INDEX(PP_Grid[#Data],$DD230,42),0)</f>
        <v/>
      </c>
      <c r="AS230">
        <f>IFERROR(INDEX(PP_Grid[#Data],$DD230,43),0)</f>
        <v/>
      </c>
      <c r="AT230">
        <f>IFERROR(INDEX(PP_Grid[#Data],$DD230,44),0)</f>
        <v/>
      </c>
      <c r="AU230">
        <f>IFERROR(INDEX(PP_Grid[#Data],$DD230,45),0)</f>
        <v/>
      </c>
      <c r="AV230">
        <f>IFERROR(INDEX(PP_Grid[#Data],$DD230,46),0)</f>
        <v/>
      </c>
      <c r="AW230">
        <f>IFERROR(INDEX(PP_Grid[#Data],$DD230,47),0)</f>
        <v/>
      </c>
      <c r="AX230">
        <f>IFERROR(INDEX(PP_Grid[#Data],$DD230,48),0)</f>
        <v/>
      </c>
      <c r="AY230">
        <f>IFERROR(INDEX(PP_Grid[#Data],$DD230,49),0)</f>
        <v/>
      </c>
      <c r="AZ230">
        <f>IFERROR(INDEX(PP_Grid[#Data],$DD230,50),0)</f>
        <v/>
      </c>
      <c r="BA230">
        <f>IFERROR(INDEX(PP_Grid[#Data],$DD230,51),0)</f>
        <v/>
      </c>
      <c r="BB230">
        <f>IFERROR(INDEX(PP_Grid[#Data],$DD230,52),0)</f>
        <v/>
      </c>
      <c r="BC230">
        <f>IFERROR(INDEX(PP_Grid[#Data],$DD230,53),0)</f>
        <v/>
      </c>
      <c r="BD230">
        <f>IFERROR(INDEX(PP_Grid[#Data],$DD230,54),0)</f>
        <v/>
      </c>
      <c r="BE230">
        <f>IFERROR(INDEX(PP_Grid[#Data],$DD230,55),0)</f>
        <v/>
      </c>
      <c r="BF230">
        <f>IFERROR(INDEX(PP_Grid[#Data],$DD230,56),0)</f>
        <v/>
      </c>
      <c r="BG230">
        <f>IFERROR(INDEX(PP_Grid[#Data],$DD230,57),0)</f>
        <v/>
      </c>
      <c r="BH230">
        <f>IFERROR(INDEX(PP_Grid[#Data],$DD230,58),0)</f>
        <v/>
      </c>
      <c r="BI230">
        <f>IFERROR(INDEX(PP_Grid[#Data],$DD230,59),0)</f>
        <v/>
      </c>
      <c r="BJ230">
        <f>IFERROR(INDEX(PP_Grid[#Data],$DD230,60),0)</f>
        <v/>
      </c>
      <c r="BK230">
        <f>IFERROR(INDEX(PP_Grid[#Data],$DD230,61),0)</f>
        <v/>
      </c>
      <c r="BL230">
        <f>IFERROR(INDEX(PP_Grid[#Data],$DD230,62),0)</f>
        <v/>
      </c>
      <c r="BM230">
        <f>IFERROR(INDEX(PP_Grid[#Data],$DD230,63),0)</f>
        <v/>
      </c>
      <c r="BN230">
        <f>IFERROR(INDEX(PP_Grid[#Data],$DD230,64),0)</f>
        <v/>
      </c>
      <c r="BO230">
        <f>IFERROR(INDEX(PP_Grid[#Data],$DD230,65),0)</f>
        <v/>
      </c>
      <c r="BP230">
        <f>IFERROR(INDEX(PP_Grid[#Data],$DD230,66),0)</f>
        <v/>
      </c>
      <c r="BQ230">
        <f>IFERROR(INDEX(PP_Grid[#Data],$DD230,67),0)</f>
        <v/>
      </c>
      <c r="BR230">
        <f>IFERROR(INDEX(PP_Grid[#Data],$DD230,68),0)</f>
        <v/>
      </c>
      <c r="BS230">
        <f>IFERROR(INDEX(PP_Grid[#Data],$DD230,69),0)</f>
        <v/>
      </c>
      <c r="BT230">
        <f>IFERROR(INDEX(PP_Grid[#Data],$DD230,70),0)</f>
        <v/>
      </c>
      <c r="BU230">
        <f>IFERROR(INDEX(PP_Grid[#Data],$DD230,71),0)</f>
        <v/>
      </c>
      <c r="BV230">
        <f>IFERROR(INDEX(PP_Grid[#Data],$DD230,72),0)</f>
        <v/>
      </c>
      <c r="BW230">
        <f>IFERROR(INDEX(PP_Grid[#Data],$DD230,73),0)</f>
        <v/>
      </c>
      <c r="BX230">
        <f>IFERROR(INDEX(PP_Grid[#Data],$DD230,74),0)</f>
        <v/>
      </c>
      <c r="BY230">
        <f>IFERROR(INDEX(PP_Grid[#Data],$DD230,75),0)</f>
        <v/>
      </c>
      <c r="BZ230">
        <f>IFERROR(INDEX(PP_Grid[#Data],$DD230,76),0)</f>
        <v/>
      </c>
      <c r="CA230">
        <f>IFERROR(INDEX(PP_Grid[#Data],$DD230,77),0)</f>
        <v/>
      </c>
      <c r="CB230">
        <f>IFERROR(INDEX(PP_Grid[#Data],$DD230,78),0)</f>
        <v/>
      </c>
      <c r="CC230">
        <f>IFERROR(INDEX(PP_Grid[#Data],$DD230,79),0)</f>
        <v/>
      </c>
      <c r="CD230">
        <f>IFERROR(INDEX(PP_Grid[#Data],$DD230,80),0)</f>
        <v/>
      </c>
      <c r="CE230">
        <f>IFERROR(INDEX(PP_Grid[#Data],$DD230,81),0)</f>
        <v/>
      </c>
      <c r="CF230">
        <f>IFERROR(INDEX(PP_Grid[#Data],$DD230,82),0)</f>
        <v/>
      </c>
      <c r="CG230">
        <f>IFERROR(INDEX(PP_Grid[#Data],$DD230,83),0)</f>
        <v/>
      </c>
      <c r="CH230">
        <f>IFERROR(INDEX(PP_Grid[#Data],$DD230,84),0)</f>
        <v/>
      </c>
      <c r="CI230">
        <f>IFERROR(INDEX(PP_Grid[#Data],$DD230,85),0)</f>
        <v/>
      </c>
      <c r="CJ230">
        <f>IFERROR(INDEX(PP_Grid[#Data],$DD230,86),0)</f>
        <v/>
      </c>
      <c r="CK230">
        <f>IFERROR(INDEX(PP_Grid[#Data],$DD230,87),0)</f>
        <v/>
      </c>
      <c r="CL230">
        <f>IFERROR(INDEX(PP_Grid[#Data],$DD230,88),0)</f>
        <v/>
      </c>
      <c r="CM230">
        <f>IFERROR(INDEX(PP_Grid[#Data],$DD230,89),0)</f>
        <v/>
      </c>
      <c r="CN230">
        <f>IFERROR(INDEX(PP_Grid[#Data],$DD230,90),0)</f>
        <v/>
      </c>
      <c r="CO230">
        <f>IFERROR(INDEX(PP_Grid[#Data],$DD230,91),0)</f>
        <v/>
      </c>
      <c r="CP230">
        <f>IFERROR(INDEX(PP_Grid[#Data],$DD230,92),0)</f>
        <v/>
      </c>
      <c r="CQ230">
        <f>IFERROR(INDEX(PP_Grid[#Data],$DD230,93),0)</f>
        <v/>
      </c>
      <c r="CR230">
        <f>IFERROR(INDEX(PP_Grid[#Data],$DD230,94),0)</f>
        <v/>
      </c>
      <c r="CS230">
        <f>IFERROR(INDEX(PP_Grid[#Data],$DD230,95),0)</f>
        <v/>
      </c>
      <c r="CT230">
        <f>IFERROR(INDEX(PP_Grid[#Data],$DD230,96),0)</f>
        <v/>
      </c>
      <c r="CU230">
        <f>IFERROR(INDEX(PP_Grid[#Data],$DD230,97),0)</f>
        <v/>
      </c>
      <c r="CV230">
        <f>IFERROR(INDEX(PP_Grid[#Data],$DD230,98),0)</f>
        <v/>
      </c>
      <c r="CW230">
        <f>IFERROR(INDEX(PP_Grid[#Data],$DD230,99),0)</f>
        <v/>
      </c>
      <c r="CX230">
        <f>IFERROR(INDEX(PP_Grid[#Data],$DD230,100),0)</f>
        <v/>
      </c>
      <c r="CY230">
        <f>IFERROR(INDEX(PP_Grid[#Data],$DD230,101),0)</f>
        <v/>
      </c>
      <c r="CZ230">
        <f>IFERROR(INDEX(PP_Grid[#Data],$DD230,102),0)</f>
        <v/>
      </c>
      <c r="DA230">
        <f>IFERROR(INDEX(PP_Grid[#Data],$DD230,103),0)</f>
        <v/>
      </c>
      <c r="DB230">
        <f>IFERROR(INDEX(PP_Grid[#Data],$DD230,104),0)</f>
        <v/>
      </c>
      <c r="DC230">
        <f>IFERROR(INDEX(PP_Grid[#Data],$DD230,105),0)</f>
        <v/>
      </c>
      <c r="DD230" s="7">
        <f>IFERROR(MATCH($B230,PP_Grid[Intermediate],0),99999)</f>
        <v/>
      </c>
    </row>
    <row r="231">
      <c r="B231" t="inlineStr">
        <is>
          <t>使用量(kg)</t>
        </is>
      </c>
      <c r="C231">
        <f>SUMIFS(M_BOM[RM_Qty_Per_Batch],M_BOM[Intermediate],$B230,M_BOM[Part Name],$A219)</f>
        <v/>
      </c>
      <c r="D231">
        <f>$C231*D230</f>
        <v/>
      </c>
      <c r="E231">
        <f>$C231*E230</f>
        <v/>
      </c>
      <c r="F231">
        <f>$C231*F230</f>
        <v/>
      </c>
      <c r="G231">
        <f>$C231*G230</f>
        <v/>
      </c>
      <c r="H231">
        <f>$C231*H230</f>
        <v/>
      </c>
      <c r="I231">
        <f>$C231*I230</f>
        <v/>
      </c>
      <c r="J231">
        <f>$C231*J230</f>
        <v/>
      </c>
      <c r="K231">
        <f>$C231*K230</f>
        <v/>
      </c>
      <c r="L231">
        <f>$C231*L230</f>
        <v/>
      </c>
      <c r="M231">
        <f>$C231*M230</f>
        <v/>
      </c>
      <c r="N231">
        <f>$C231*N230</f>
        <v/>
      </c>
      <c r="O231">
        <f>$C231*O230</f>
        <v/>
      </c>
      <c r="P231">
        <f>$C231*P230</f>
        <v/>
      </c>
      <c r="Q231">
        <f>$C231*Q230</f>
        <v/>
      </c>
      <c r="R231">
        <f>$C231*R230</f>
        <v/>
      </c>
      <c r="S231">
        <f>$C231*S230</f>
        <v/>
      </c>
      <c r="T231">
        <f>$C231*T230</f>
        <v/>
      </c>
      <c r="U231">
        <f>$C231*U230</f>
        <v/>
      </c>
      <c r="V231">
        <f>$C231*V230</f>
        <v/>
      </c>
      <c r="W231">
        <f>$C231*W230</f>
        <v/>
      </c>
      <c r="X231">
        <f>$C231*X230</f>
        <v/>
      </c>
      <c r="Y231">
        <f>$C231*Y230</f>
        <v/>
      </c>
      <c r="Z231">
        <f>$C231*Z230</f>
        <v/>
      </c>
      <c r="AA231">
        <f>$C231*AA230</f>
        <v/>
      </c>
      <c r="AB231">
        <f>$C231*AB230</f>
        <v/>
      </c>
      <c r="AC231">
        <f>$C231*AC230</f>
        <v/>
      </c>
      <c r="AD231">
        <f>$C231*AD230</f>
        <v/>
      </c>
      <c r="AE231">
        <f>$C231*AE230</f>
        <v/>
      </c>
      <c r="AF231">
        <f>$C231*AF230</f>
        <v/>
      </c>
      <c r="AG231">
        <f>$C231*AG230</f>
        <v/>
      </c>
      <c r="AH231">
        <f>$C231*AH230</f>
        <v/>
      </c>
      <c r="AI231">
        <f>$C231*AI230</f>
        <v/>
      </c>
      <c r="AJ231">
        <f>$C231*AJ230</f>
        <v/>
      </c>
      <c r="AK231">
        <f>$C231*AK230</f>
        <v/>
      </c>
      <c r="AL231">
        <f>$C231*AL230</f>
        <v/>
      </c>
      <c r="AM231">
        <f>$C231*AM230</f>
        <v/>
      </c>
      <c r="AN231">
        <f>$C231*AN230</f>
        <v/>
      </c>
      <c r="AO231">
        <f>$C231*AO230</f>
        <v/>
      </c>
      <c r="AP231">
        <f>$C231*AP230</f>
        <v/>
      </c>
      <c r="AQ231">
        <f>$C231*AQ230</f>
        <v/>
      </c>
      <c r="AR231">
        <f>$C231*AR230</f>
        <v/>
      </c>
      <c r="AS231">
        <f>$C231*AS230</f>
        <v/>
      </c>
      <c r="AT231">
        <f>$C231*AT230</f>
        <v/>
      </c>
      <c r="AU231">
        <f>$C231*AU230</f>
        <v/>
      </c>
      <c r="AV231">
        <f>$C231*AV230</f>
        <v/>
      </c>
      <c r="AW231">
        <f>$C231*AW230</f>
        <v/>
      </c>
      <c r="AX231">
        <f>$C231*AX230</f>
        <v/>
      </c>
      <c r="AY231">
        <f>$C231*AY230</f>
        <v/>
      </c>
      <c r="AZ231">
        <f>$C231*AZ230</f>
        <v/>
      </c>
      <c r="BA231">
        <f>$C231*BA230</f>
        <v/>
      </c>
      <c r="BB231">
        <f>$C231*BB230</f>
        <v/>
      </c>
      <c r="BC231">
        <f>$C231*BC230</f>
        <v/>
      </c>
      <c r="BD231">
        <f>$C231*BD230</f>
        <v/>
      </c>
      <c r="BE231">
        <f>$C231*BE230</f>
        <v/>
      </c>
      <c r="BF231">
        <f>$C231*BF230</f>
        <v/>
      </c>
      <c r="BG231">
        <f>$C231*BG230</f>
        <v/>
      </c>
      <c r="BH231">
        <f>$C231*BH230</f>
        <v/>
      </c>
      <c r="BI231">
        <f>$C231*BI230</f>
        <v/>
      </c>
      <c r="BJ231">
        <f>$C231*BJ230</f>
        <v/>
      </c>
      <c r="BK231">
        <f>$C231*BK230</f>
        <v/>
      </c>
      <c r="BL231">
        <f>$C231*BL230</f>
        <v/>
      </c>
      <c r="BM231">
        <f>$C231*BM230</f>
        <v/>
      </c>
      <c r="BN231">
        <f>$C231*BN230</f>
        <v/>
      </c>
      <c r="BO231">
        <f>$C231*BO230</f>
        <v/>
      </c>
      <c r="BP231">
        <f>$C231*BP230</f>
        <v/>
      </c>
      <c r="BQ231">
        <f>$C231*BQ230</f>
        <v/>
      </c>
      <c r="BR231">
        <f>$C231*BR230</f>
        <v/>
      </c>
      <c r="BS231">
        <f>$C231*BS230</f>
        <v/>
      </c>
      <c r="BT231">
        <f>$C231*BT230</f>
        <v/>
      </c>
      <c r="BU231">
        <f>$C231*BU230</f>
        <v/>
      </c>
      <c r="BV231">
        <f>$C231*BV230</f>
        <v/>
      </c>
      <c r="BW231">
        <f>$C231*BW230</f>
        <v/>
      </c>
      <c r="BX231">
        <f>$C231*BX230</f>
        <v/>
      </c>
      <c r="BY231">
        <f>$C231*BY230</f>
        <v/>
      </c>
      <c r="BZ231">
        <f>$C231*BZ230</f>
        <v/>
      </c>
      <c r="CA231">
        <f>$C231*CA230</f>
        <v/>
      </c>
      <c r="CB231">
        <f>$C231*CB230</f>
        <v/>
      </c>
      <c r="CC231">
        <f>$C231*CC230</f>
        <v/>
      </c>
      <c r="CD231">
        <f>$C231*CD230</f>
        <v/>
      </c>
      <c r="CE231">
        <f>$C231*CE230</f>
        <v/>
      </c>
      <c r="CF231">
        <f>$C231*CF230</f>
        <v/>
      </c>
      <c r="CG231">
        <f>$C231*CG230</f>
        <v/>
      </c>
      <c r="CH231">
        <f>$C231*CH230</f>
        <v/>
      </c>
      <c r="CI231">
        <f>$C231*CI230</f>
        <v/>
      </c>
      <c r="CJ231">
        <f>$C231*CJ230</f>
        <v/>
      </c>
      <c r="CK231">
        <f>$C231*CK230</f>
        <v/>
      </c>
      <c r="CL231">
        <f>$C231*CL230</f>
        <v/>
      </c>
      <c r="CM231">
        <f>$C231*CM230</f>
        <v/>
      </c>
      <c r="CN231">
        <f>$C231*CN230</f>
        <v/>
      </c>
      <c r="CO231">
        <f>$C231*CO230</f>
        <v/>
      </c>
      <c r="CP231">
        <f>$C231*CP230</f>
        <v/>
      </c>
      <c r="CQ231">
        <f>$C231*CQ230</f>
        <v/>
      </c>
      <c r="CR231">
        <f>$C231*CR230</f>
        <v/>
      </c>
      <c r="CS231">
        <f>$C231*CS230</f>
        <v/>
      </c>
      <c r="CT231">
        <f>$C231*CT230</f>
        <v/>
      </c>
      <c r="CU231">
        <f>$C231*CU230</f>
        <v/>
      </c>
      <c r="CV231">
        <f>$C231*CV230</f>
        <v/>
      </c>
      <c r="CW231">
        <f>$C231*CW230</f>
        <v/>
      </c>
      <c r="CX231">
        <f>$C231*CX230</f>
        <v/>
      </c>
      <c r="CY231">
        <f>$C231*CY230</f>
        <v/>
      </c>
      <c r="CZ231">
        <f>$C231*CZ230</f>
        <v/>
      </c>
      <c r="DA231">
        <f>$C231*DA230</f>
        <v/>
      </c>
      <c r="DB231">
        <f>$C231*DB230</f>
        <v/>
      </c>
      <c r="DC231">
        <f>$C231*DC230</f>
        <v/>
      </c>
    </row>
    <row r="232">
      <c r="B232" t="inlineStr">
        <is>
          <t>TSP-205</t>
        </is>
      </c>
      <c r="C232" t="inlineStr">
        <is>
          <t>No. of batches</t>
        </is>
      </c>
      <c r="D232">
        <f>IFERROR(INDEX(PP_Grid[#Data],$DD232,2),0)</f>
        <v/>
      </c>
      <c r="E232">
        <f>IFERROR(INDEX(PP_Grid[#Data],$DD232,3),0)</f>
        <v/>
      </c>
      <c r="F232">
        <f>IFERROR(INDEX(PP_Grid[#Data],$DD232,4),0)</f>
        <v/>
      </c>
      <c r="G232">
        <f>IFERROR(INDEX(PP_Grid[#Data],$DD232,5),0)</f>
        <v/>
      </c>
      <c r="H232">
        <f>IFERROR(INDEX(PP_Grid[#Data],$DD232,6),0)</f>
        <v/>
      </c>
      <c r="I232">
        <f>IFERROR(INDEX(PP_Grid[#Data],$DD232,7),0)</f>
        <v/>
      </c>
      <c r="J232">
        <f>IFERROR(INDEX(PP_Grid[#Data],$DD232,8),0)</f>
        <v/>
      </c>
      <c r="K232">
        <f>IFERROR(INDEX(PP_Grid[#Data],$DD232,9),0)</f>
        <v/>
      </c>
      <c r="L232">
        <f>IFERROR(INDEX(PP_Grid[#Data],$DD232,10),0)</f>
        <v/>
      </c>
      <c r="M232">
        <f>IFERROR(INDEX(PP_Grid[#Data],$DD232,11),0)</f>
        <v/>
      </c>
      <c r="N232">
        <f>IFERROR(INDEX(PP_Grid[#Data],$DD232,12),0)</f>
        <v/>
      </c>
      <c r="O232">
        <f>IFERROR(INDEX(PP_Grid[#Data],$DD232,13),0)</f>
        <v/>
      </c>
      <c r="P232">
        <f>IFERROR(INDEX(PP_Grid[#Data],$DD232,14),0)</f>
        <v/>
      </c>
      <c r="Q232">
        <f>IFERROR(INDEX(PP_Grid[#Data],$DD232,15),0)</f>
        <v/>
      </c>
      <c r="R232">
        <f>IFERROR(INDEX(PP_Grid[#Data],$DD232,16),0)</f>
        <v/>
      </c>
      <c r="S232">
        <f>IFERROR(INDEX(PP_Grid[#Data],$DD232,17),0)</f>
        <v/>
      </c>
      <c r="T232">
        <f>IFERROR(INDEX(PP_Grid[#Data],$DD232,18),0)</f>
        <v/>
      </c>
      <c r="U232">
        <f>IFERROR(INDEX(PP_Grid[#Data],$DD232,19),0)</f>
        <v/>
      </c>
      <c r="V232">
        <f>IFERROR(INDEX(PP_Grid[#Data],$DD232,20),0)</f>
        <v/>
      </c>
      <c r="W232">
        <f>IFERROR(INDEX(PP_Grid[#Data],$DD232,21),0)</f>
        <v/>
      </c>
      <c r="X232">
        <f>IFERROR(INDEX(PP_Grid[#Data],$DD232,22),0)</f>
        <v/>
      </c>
      <c r="Y232">
        <f>IFERROR(INDEX(PP_Grid[#Data],$DD232,23),0)</f>
        <v/>
      </c>
      <c r="Z232">
        <f>IFERROR(INDEX(PP_Grid[#Data],$DD232,24),0)</f>
        <v/>
      </c>
      <c r="AA232">
        <f>IFERROR(INDEX(PP_Grid[#Data],$DD232,25),0)</f>
        <v/>
      </c>
      <c r="AB232">
        <f>IFERROR(INDEX(PP_Grid[#Data],$DD232,26),0)</f>
        <v/>
      </c>
      <c r="AC232">
        <f>IFERROR(INDEX(PP_Grid[#Data],$DD232,27),0)</f>
        <v/>
      </c>
      <c r="AD232">
        <f>IFERROR(INDEX(PP_Grid[#Data],$DD232,28),0)</f>
        <v/>
      </c>
      <c r="AE232">
        <f>IFERROR(INDEX(PP_Grid[#Data],$DD232,29),0)</f>
        <v/>
      </c>
      <c r="AF232">
        <f>IFERROR(INDEX(PP_Grid[#Data],$DD232,30),0)</f>
        <v/>
      </c>
      <c r="AG232">
        <f>IFERROR(INDEX(PP_Grid[#Data],$DD232,31),0)</f>
        <v/>
      </c>
      <c r="AH232">
        <f>IFERROR(INDEX(PP_Grid[#Data],$DD232,32),0)</f>
        <v/>
      </c>
      <c r="AI232">
        <f>IFERROR(INDEX(PP_Grid[#Data],$DD232,33),0)</f>
        <v/>
      </c>
      <c r="AJ232">
        <f>IFERROR(INDEX(PP_Grid[#Data],$DD232,34),0)</f>
        <v/>
      </c>
      <c r="AK232">
        <f>IFERROR(INDEX(PP_Grid[#Data],$DD232,35),0)</f>
        <v/>
      </c>
      <c r="AL232">
        <f>IFERROR(INDEX(PP_Grid[#Data],$DD232,36),0)</f>
        <v/>
      </c>
      <c r="AM232">
        <f>IFERROR(INDEX(PP_Grid[#Data],$DD232,37),0)</f>
        <v/>
      </c>
      <c r="AN232">
        <f>IFERROR(INDEX(PP_Grid[#Data],$DD232,38),0)</f>
        <v/>
      </c>
      <c r="AO232">
        <f>IFERROR(INDEX(PP_Grid[#Data],$DD232,39),0)</f>
        <v/>
      </c>
      <c r="AP232">
        <f>IFERROR(INDEX(PP_Grid[#Data],$DD232,40),0)</f>
        <v/>
      </c>
      <c r="AQ232">
        <f>IFERROR(INDEX(PP_Grid[#Data],$DD232,41),0)</f>
        <v/>
      </c>
      <c r="AR232">
        <f>IFERROR(INDEX(PP_Grid[#Data],$DD232,42),0)</f>
        <v/>
      </c>
      <c r="AS232">
        <f>IFERROR(INDEX(PP_Grid[#Data],$DD232,43),0)</f>
        <v/>
      </c>
      <c r="AT232">
        <f>IFERROR(INDEX(PP_Grid[#Data],$DD232,44),0)</f>
        <v/>
      </c>
      <c r="AU232">
        <f>IFERROR(INDEX(PP_Grid[#Data],$DD232,45),0)</f>
        <v/>
      </c>
      <c r="AV232">
        <f>IFERROR(INDEX(PP_Grid[#Data],$DD232,46),0)</f>
        <v/>
      </c>
      <c r="AW232">
        <f>IFERROR(INDEX(PP_Grid[#Data],$DD232,47),0)</f>
        <v/>
      </c>
      <c r="AX232">
        <f>IFERROR(INDEX(PP_Grid[#Data],$DD232,48),0)</f>
        <v/>
      </c>
      <c r="AY232">
        <f>IFERROR(INDEX(PP_Grid[#Data],$DD232,49),0)</f>
        <v/>
      </c>
      <c r="AZ232">
        <f>IFERROR(INDEX(PP_Grid[#Data],$DD232,50),0)</f>
        <v/>
      </c>
      <c r="BA232">
        <f>IFERROR(INDEX(PP_Grid[#Data],$DD232,51),0)</f>
        <v/>
      </c>
      <c r="BB232">
        <f>IFERROR(INDEX(PP_Grid[#Data],$DD232,52),0)</f>
        <v/>
      </c>
      <c r="BC232">
        <f>IFERROR(INDEX(PP_Grid[#Data],$DD232,53),0)</f>
        <v/>
      </c>
      <c r="BD232">
        <f>IFERROR(INDEX(PP_Grid[#Data],$DD232,54),0)</f>
        <v/>
      </c>
      <c r="BE232">
        <f>IFERROR(INDEX(PP_Grid[#Data],$DD232,55),0)</f>
        <v/>
      </c>
      <c r="BF232">
        <f>IFERROR(INDEX(PP_Grid[#Data],$DD232,56),0)</f>
        <v/>
      </c>
      <c r="BG232">
        <f>IFERROR(INDEX(PP_Grid[#Data],$DD232,57),0)</f>
        <v/>
      </c>
      <c r="BH232">
        <f>IFERROR(INDEX(PP_Grid[#Data],$DD232,58),0)</f>
        <v/>
      </c>
      <c r="BI232">
        <f>IFERROR(INDEX(PP_Grid[#Data],$DD232,59),0)</f>
        <v/>
      </c>
      <c r="BJ232">
        <f>IFERROR(INDEX(PP_Grid[#Data],$DD232,60),0)</f>
        <v/>
      </c>
      <c r="BK232">
        <f>IFERROR(INDEX(PP_Grid[#Data],$DD232,61),0)</f>
        <v/>
      </c>
      <c r="BL232">
        <f>IFERROR(INDEX(PP_Grid[#Data],$DD232,62),0)</f>
        <v/>
      </c>
      <c r="BM232">
        <f>IFERROR(INDEX(PP_Grid[#Data],$DD232,63),0)</f>
        <v/>
      </c>
      <c r="BN232">
        <f>IFERROR(INDEX(PP_Grid[#Data],$DD232,64),0)</f>
        <v/>
      </c>
      <c r="BO232">
        <f>IFERROR(INDEX(PP_Grid[#Data],$DD232,65),0)</f>
        <v/>
      </c>
      <c r="BP232">
        <f>IFERROR(INDEX(PP_Grid[#Data],$DD232,66),0)</f>
        <v/>
      </c>
      <c r="BQ232">
        <f>IFERROR(INDEX(PP_Grid[#Data],$DD232,67),0)</f>
        <v/>
      </c>
      <c r="BR232">
        <f>IFERROR(INDEX(PP_Grid[#Data],$DD232,68),0)</f>
        <v/>
      </c>
      <c r="BS232">
        <f>IFERROR(INDEX(PP_Grid[#Data],$DD232,69),0)</f>
        <v/>
      </c>
      <c r="BT232">
        <f>IFERROR(INDEX(PP_Grid[#Data],$DD232,70),0)</f>
        <v/>
      </c>
      <c r="BU232">
        <f>IFERROR(INDEX(PP_Grid[#Data],$DD232,71),0)</f>
        <v/>
      </c>
      <c r="BV232">
        <f>IFERROR(INDEX(PP_Grid[#Data],$DD232,72),0)</f>
        <v/>
      </c>
      <c r="BW232">
        <f>IFERROR(INDEX(PP_Grid[#Data],$DD232,73),0)</f>
        <v/>
      </c>
      <c r="BX232">
        <f>IFERROR(INDEX(PP_Grid[#Data],$DD232,74),0)</f>
        <v/>
      </c>
      <c r="BY232">
        <f>IFERROR(INDEX(PP_Grid[#Data],$DD232,75),0)</f>
        <v/>
      </c>
      <c r="BZ232">
        <f>IFERROR(INDEX(PP_Grid[#Data],$DD232,76),0)</f>
        <v/>
      </c>
      <c r="CA232">
        <f>IFERROR(INDEX(PP_Grid[#Data],$DD232,77),0)</f>
        <v/>
      </c>
      <c r="CB232">
        <f>IFERROR(INDEX(PP_Grid[#Data],$DD232,78),0)</f>
        <v/>
      </c>
      <c r="CC232">
        <f>IFERROR(INDEX(PP_Grid[#Data],$DD232,79),0)</f>
        <v/>
      </c>
      <c r="CD232">
        <f>IFERROR(INDEX(PP_Grid[#Data],$DD232,80),0)</f>
        <v/>
      </c>
      <c r="CE232">
        <f>IFERROR(INDEX(PP_Grid[#Data],$DD232,81),0)</f>
        <v/>
      </c>
      <c r="CF232">
        <f>IFERROR(INDEX(PP_Grid[#Data],$DD232,82),0)</f>
        <v/>
      </c>
      <c r="CG232">
        <f>IFERROR(INDEX(PP_Grid[#Data],$DD232,83),0)</f>
        <v/>
      </c>
      <c r="CH232">
        <f>IFERROR(INDEX(PP_Grid[#Data],$DD232,84),0)</f>
        <v/>
      </c>
      <c r="CI232">
        <f>IFERROR(INDEX(PP_Grid[#Data],$DD232,85),0)</f>
        <v/>
      </c>
      <c r="CJ232">
        <f>IFERROR(INDEX(PP_Grid[#Data],$DD232,86),0)</f>
        <v/>
      </c>
      <c r="CK232">
        <f>IFERROR(INDEX(PP_Grid[#Data],$DD232,87),0)</f>
        <v/>
      </c>
      <c r="CL232">
        <f>IFERROR(INDEX(PP_Grid[#Data],$DD232,88),0)</f>
        <v/>
      </c>
      <c r="CM232">
        <f>IFERROR(INDEX(PP_Grid[#Data],$DD232,89),0)</f>
        <v/>
      </c>
      <c r="CN232">
        <f>IFERROR(INDEX(PP_Grid[#Data],$DD232,90),0)</f>
        <v/>
      </c>
      <c r="CO232">
        <f>IFERROR(INDEX(PP_Grid[#Data],$DD232,91),0)</f>
        <v/>
      </c>
      <c r="CP232">
        <f>IFERROR(INDEX(PP_Grid[#Data],$DD232,92),0)</f>
        <v/>
      </c>
      <c r="CQ232">
        <f>IFERROR(INDEX(PP_Grid[#Data],$DD232,93),0)</f>
        <v/>
      </c>
      <c r="CR232">
        <f>IFERROR(INDEX(PP_Grid[#Data],$DD232,94),0)</f>
        <v/>
      </c>
      <c r="CS232">
        <f>IFERROR(INDEX(PP_Grid[#Data],$DD232,95),0)</f>
        <v/>
      </c>
      <c r="CT232">
        <f>IFERROR(INDEX(PP_Grid[#Data],$DD232,96),0)</f>
        <v/>
      </c>
      <c r="CU232">
        <f>IFERROR(INDEX(PP_Grid[#Data],$DD232,97),0)</f>
        <v/>
      </c>
      <c r="CV232">
        <f>IFERROR(INDEX(PP_Grid[#Data],$DD232,98),0)</f>
        <v/>
      </c>
      <c r="CW232">
        <f>IFERROR(INDEX(PP_Grid[#Data],$DD232,99),0)</f>
        <v/>
      </c>
      <c r="CX232">
        <f>IFERROR(INDEX(PP_Grid[#Data],$DD232,100),0)</f>
        <v/>
      </c>
      <c r="CY232">
        <f>IFERROR(INDEX(PP_Grid[#Data],$DD232,101),0)</f>
        <v/>
      </c>
      <c r="CZ232">
        <f>IFERROR(INDEX(PP_Grid[#Data],$DD232,102),0)</f>
        <v/>
      </c>
      <c r="DA232">
        <f>IFERROR(INDEX(PP_Grid[#Data],$DD232,103),0)</f>
        <v/>
      </c>
      <c r="DB232">
        <f>IFERROR(INDEX(PP_Grid[#Data],$DD232,104),0)</f>
        <v/>
      </c>
      <c r="DC232">
        <f>IFERROR(INDEX(PP_Grid[#Data],$DD232,105),0)</f>
        <v/>
      </c>
      <c r="DD232" s="7">
        <f>IFERROR(MATCH($B232,PP_Grid[Intermediate],0),99999)</f>
        <v/>
      </c>
    </row>
    <row r="233">
      <c r="B233" t="inlineStr">
        <is>
          <t>使用量(kg)</t>
        </is>
      </c>
      <c r="C233">
        <f>SUMIFS(M_BOM[RM_Qty_Per_Batch],M_BOM[Intermediate],$B232,M_BOM[Part Name],$A219)</f>
        <v/>
      </c>
      <c r="D233">
        <f>$C233*D232</f>
        <v/>
      </c>
      <c r="E233">
        <f>$C233*E232</f>
        <v/>
      </c>
      <c r="F233">
        <f>$C233*F232</f>
        <v/>
      </c>
      <c r="G233">
        <f>$C233*G232</f>
        <v/>
      </c>
      <c r="H233">
        <f>$C233*H232</f>
        <v/>
      </c>
      <c r="I233">
        <f>$C233*I232</f>
        <v/>
      </c>
      <c r="J233">
        <f>$C233*J232</f>
        <v/>
      </c>
      <c r="K233">
        <f>$C233*K232</f>
        <v/>
      </c>
      <c r="L233">
        <f>$C233*L232</f>
        <v/>
      </c>
      <c r="M233">
        <f>$C233*M232</f>
        <v/>
      </c>
      <c r="N233">
        <f>$C233*N232</f>
        <v/>
      </c>
      <c r="O233">
        <f>$C233*O232</f>
        <v/>
      </c>
      <c r="P233">
        <f>$C233*P232</f>
        <v/>
      </c>
      <c r="Q233">
        <f>$C233*Q232</f>
        <v/>
      </c>
      <c r="R233">
        <f>$C233*R232</f>
        <v/>
      </c>
      <c r="S233">
        <f>$C233*S232</f>
        <v/>
      </c>
      <c r="T233">
        <f>$C233*T232</f>
        <v/>
      </c>
      <c r="U233">
        <f>$C233*U232</f>
        <v/>
      </c>
      <c r="V233">
        <f>$C233*V232</f>
        <v/>
      </c>
      <c r="W233">
        <f>$C233*W232</f>
        <v/>
      </c>
      <c r="X233">
        <f>$C233*X232</f>
        <v/>
      </c>
      <c r="Y233">
        <f>$C233*Y232</f>
        <v/>
      </c>
      <c r="Z233">
        <f>$C233*Z232</f>
        <v/>
      </c>
      <c r="AA233">
        <f>$C233*AA232</f>
        <v/>
      </c>
      <c r="AB233">
        <f>$C233*AB232</f>
        <v/>
      </c>
      <c r="AC233">
        <f>$C233*AC232</f>
        <v/>
      </c>
      <c r="AD233">
        <f>$C233*AD232</f>
        <v/>
      </c>
      <c r="AE233">
        <f>$C233*AE232</f>
        <v/>
      </c>
      <c r="AF233">
        <f>$C233*AF232</f>
        <v/>
      </c>
      <c r="AG233">
        <f>$C233*AG232</f>
        <v/>
      </c>
      <c r="AH233">
        <f>$C233*AH232</f>
        <v/>
      </c>
      <c r="AI233">
        <f>$C233*AI232</f>
        <v/>
      </c>
      <c r="AJ233">
        <f>$C233*AJ232</f>
        <v/>
      </c>
      <c r="AK233">
        <f>$C233*AK232</f>
        <v/>
      </c>
      <c r="AL233">
        <f>$C233*AL232</f>
        <v/>
      </c>
      <c r="AM233">
        <f>$C233*AM232</f>
        <v/>
      </c>
      <c r="AN233">
        <f>$C233*AN232</f>
        <v/>
      </c>
      <c r="AO233">
        <f>$C233*AO232</f>
        <v/>
      </c>
      <c r="AP233">
        <f>$C233*AP232</f>
        <v/>
      </c>
      <c r="AQ233">
        <f>$C233*AQ232</f>
        <v/>
      </c>
      <c r="AR233">
        <f>$C233*AR232</f>
        <v/>
      </c>
      <c r="AS233">
        <f>$C233*AS232</f>
        <v/>
      </c>
      <c r="AT233">
        <f>$C233*AT232</f>
        <v/>
      </c>
      <c r="AU233">
        <f>$C233*AU232</f>
        <v/>
      </c>
      <c r="AV233">
        <f>$C233*AV232</f>
        <v/>
      </c>
      <c r="AW233">
        <f>$C233*AW232</f>
        <v/>
      </c>
      <c r="AX233">
        <f>$C233*AX232</f>
        <v/>
      </c>
      <c r="AY233">
        <f>$C233*AY232</f>
        <v/>
      </c>
      <c r="AZ233">
        <f>$C233*AZ232</f>
        <v/>
      </c>
      <c r="BA233">
        <f>$C233*BA232</f>
        <v/>
      </c>
      <c r="BB233">
        <f>$C233*BB232</f>
        <v/>
      </c>
      <c r="BC233">
        <f>$C233*BC232</f>
        <v/>
      </c>
      <c r="BD233">
        <f>$C233*BD232</f>
        <v/>
      </c>
      <c r="BE233">
        <f>$C233*BE232</f>
        <v/>
      </c>
      <c r="BF233">
        <f>$C233*BF232</f>
        <v/>
      </c>
      <c r="BG233">
        <f>$C233*BG232</f>
        <v/>
      </c>
      <c r="BH233">
        <f>$C233*BH232</f>
        <v/>
      </c>
      <c r="BI233">
        <f>$C233*BI232</f>
        <v/>
      </c>
      <c r="BJ233">
        <f>$C233*BJ232</f>
        <v/>
      </c>
      <c r="BK233">
        <f>$C233*BK232</f>
        <v/>
      </c>
      <c r="BL233">
        <f>$C233*BL232</f>
        <v/>
      </c>
      <c r="BM233">
        <f>$C233*BM232</f>
        <v/>
      </c>
      <c r="BN233">
        <f>$C233*BN232</f>
        <v/>
      </c>
      <c r="BO233">
        <f>$C233*BO232</f>
        <v/>
      </c>
      <c r="BP233">
        <f>$C233*BP232</f>
        <v/>
      </c>
      <c r="BQ233">
        <f>$C233*BQ232</f>
        <v/>
      </c>
      <c r="BR233">
        <f>$C233*BR232</f>
        <v/>
      </c>
      <c r="BS233">
        <f>$C233*BS232</f>
        <v/>
      </c>
      <c r="BT233">
        <f>$C233*BT232</f>
        <v/>
      </c>
      <c r="BU233">
        <f>$C233*BU232</f>
        <v/>
      </c>
      <c r="BV233">
        <f>$C233*BV232</f>
        <v/>
      </c>
      <c r="BW233">
        <f>$C233*BW232</f>
        <v/>
      </c>
      <c r="BX233">
        <f>$C233*BX232</f>
        <v/>
      </c>
      <c r="BY233">
        <f>$C233*BY232</f>
        <v/>
      </c>
      <c r="BZ233">
        <f>$C233*BZ232</f>
        <v/>
      </c>
      <c r="CA233">
        <f>$C233*CA232</f>
        <v/>
      </c>
      <c r="CB233">
        <f>$C233*CB232</f>
        <v/>
      </c>
      <c r="CC233">
        <f>$C233*CC232</f>
        <v/>
      </c>
      <c r="CD233">
        <f>$C233*CD232</f>
        <v/>
      </c>
      <c r="CE233">
        <f>$C233*CE232</f>
        <v/>
      </c>
      <c r="CF233">
        <f>$C233*CF232</f>
        <v/>
      </c>
      <c r="CG233">
        <f>$C233*CG232</f>
        <v/>
      </c>
      <c r="CH233">
        <f>$C233*CH232</f>
        <v/>
      </c>
      <c r="CI233">
        <f>$C233*CI232</f>
        <v/>
      </c>
      <c r="CJ233">
        <f>$C233*CJ232</f>
        <v/>
      </c>
      <c r="CK233">
        <f>$C233*CK232</f>
        <v/>
      </c>
      <c r="CL233">
        <f>$C233*CL232</f>
        <v/>
      </c>
      <c r="CM233">
        <f>$C233*CM232</f>
        <v/>
      </c>
      <c r="CN233">
        <f>$C233*CN232</f>
        <v/>
      </c>
      <c r="CO233">
        <f>$C233*CO232</f>
        <v/>
      </c>
      <c r="CP233">
        <f>$C233*CP232</f>
        <v/>
      </c>
      <c r="CQ233">
        <f>$C233*CQ232</f>
        <v/>
      </c>
      <c r="CR233">
        <f>$C233*CR232</f>
        <v/>
      </c>
      <c r="CS233">
        <f>$C233*CS232</f>
        <v/>
      </c>
      <c r="CT233">
        <f>$C233*CT232</f>
        <v/>
      </c>
      <c r="CU233">
        <f>$C233*CU232</f>
        <v/>
      </c>
      <c r="CV233">
        <f>$C233*CV232</f>
        <v/>
      </c>
      <c r="CW233">
        <f>$C233*CW232</f>
        <v/>
      </c>
      <c r="CX233">
        <f>$C233*CX232</f>
        <v/>
      </c>
      <c r="CY233">
        <f>$C233*CY232</f>
        <v/>
      </c>
      <c r="CZ233">
        <f>$C233*CZ232</f>
        <v/>
      </c>
      <c r="DA233">
        <f>$C233*DA232</f>
        <v/>
      </c>
      <c r="DB233">
        <f>$C233*DB232</f>
        <v/>
      </c>
      <c r="DC233">
        <f>$C233*DC232</f>
        <v/>
      </c>
    </row>
    <row r="234">
      <c r="B234" t="inlineStr">
        <is>
          <t>TSP-206</t>
        </is>
      </c>
      <c r="C234" t="inlineStr">
        <is>
          <t>No. of batches</t>
        </is>
      </c>
      <c r="D234">
        <f>IFERROR(INDEX(PP_Grid[#Data],$DD234,2),0)</f>
        <v/>
      </c>
      <c r="E234">
        <f>IFERROR(INDEX(PP_Grid[#Data],$DD234,3),0)</f>
        <v/>
      </c>
      <c r="F234">
        <f>IFERROR(INDEX(PP_Grid[#Data],$DD234,4),0)</f>
        <v/>
      </c>
      <c r="G234">
        <f>IFERROR(INDEX(PP_Grid[#Data],$DD234,5),0)</f>
        <v/>
      </c>
      <c r="H234">
        <f>IFERROR(INDEX(PP_Grid[#Data],$DD234,6),0)</f>
        <v/>
      </c>
      <c r="I234">
        <f>IFERROR(INDEX(PP_Grid[#Data],$DD234,7),0)</f>
        <v/>
      </c>
      <c r="J234">
        <f>IFERROR(INDEX(PP_Grid[#Data],$DD234,8),0)</f>
        <v/>
      </c>
      <c r="K234">
        <f>IFERROR(INDEX(PP_Grid[#Data],$DD234,9),0)</f>
        <v/>
      </c>
      <c r="L234">
        <f>IFERROR(INDEX(PP_Grid[#Data],$DD234,10),0)</f>
        <v/>
      </c>
      <c r="M234">
        <f>IFERROR(INDEX(PP_Grid[#Data],$DD234,11),0)</f>
        <v/>
      </c>
      <c r="N234">
        <f>IFERROR(INDEX(PP_Grid[#Data],$DD234,12),0)</f>
        <v/>
      </c>
      <c r="O234">
        <f>IFERROR(INDEX(PP_Grid[#Data],$DD234,13),0)</f>
        <v/>
      </c>
      <c r="P234">
        <f>IFERROR(INDEX(PP_Grid[#Data],$DD234,14),0)</f>
        <v/>
      </c>
      <c r="Q234">
        <f>IFERROR(INDEX(PP_Grid[#Data],$DD234,15),0)</f>
        <v/>
      </c>
      <c r="R234">
        <f>IFERROR(INDEX(PP_Grid[#Data],$DD234,16),0)</f>
        <v/>
      </c>
      <c r="S234">
        <f>IFERROR(INDEX(PP_Grid[#Data],$DD234,17),0)</f>
        <v/>
      </c>
      <c r="T234">
        <f>IFERROR(INDEX(PP_Grid[#Data],$DD234,18),0)</f>
        <v/>
      </c>
      <c r="U234">
        <f>IFERROR(INDEX(PP_Grid[#Data],$DD234,19),0)</f>
        <v/>
      </c>
      <c r="V234">
        <f>IFERROR(INDEX(PP_Grid[#Data],$DD234,20),0)</f>
        <v/>
      </c>
      <c r="W234">
        <f>IFERROR(INDEX(PP_Grid[#Data],$DD234,21),0)</f>
        <v/>
      </c>
      <c r="X234">
        <f>IFERROR(INDEX(PP_Grid[#Data],$DD234,22),0)</f>
        <v/>
      </c>
      <c r="Y234">
        <f>IFERROR(INDEX(PP_Grid[#Data],$DD234,23),0)</f>
        <v/>
      </c>
      <c r="Z234">
        <f>IFERROR(INDEX(PP_Grid[#Data],$DD234,24),0)</f>
        <v/>
      </c>
      <c r="AA234">
        <f>IFERROR(INDEX(PP_Grid[#Data],$DD234,25),0)</f>
        <v/>
      </c>
      <c r="AB234">
        <f>IFERROR(INDEX(PP_Grid[#Data],$DD234,26),0)</f>
        <v/>
      </c>
      <c r="AC234">
        <f>IFERROR(INDEX(PP_Grid[#Data],$DD234,27),0)</f>
        <v/>
      </c>
      <c r="AD234">
        <f>IFERROR(INDEX(PP_Grid[#Data],$DD234,28),0)</f>
        <v/>
      </c>
      <c r="AE234">
        <f>IFERROR(INDEX(PP_Grid[#Data],$DD234,29),0)</f>
        <v/>
      </c>
      <c r="AF234">
        <f>IFERROR(INDEX(PP_Grid[#Data],$DD234,30),0)</f>
        <v/>
      </c>
      <c r="AG234">
        <f>IFERROR(INDEX(PP_Grid[#Data],$DD234,31),0)</f>
        <v/>
      </c>
      <c r="AH234">
        <f>IFERROR(INDEX(PP_Grid[#Data],$DD234,32),0)</f>
        <v/>
      </c>
      <c r="AI234">
        <f>IFERROR(INDEX(PP_Grid[#Data],$DD234,33),0)</f>
        <v/>
      </c>
      <c r="AJ234">
        <f>IFERROR(INDEX(PP_Grid[#Data],$DD234,34),0)</f>
        <v/>
      </c>
      <c r="AK234">
        <f>IFERROR(INDEX(PP_Grid[#Data],$DD234,35),0)</f>
        <v/>
      </c>
      <c r="AL234">
        <f>IFERROR(INDEX(PP_Grid[#Data],$DD234,36),0)</f>
        <v/>
      </c>
      <c r="AM234">
        <f>IFERROR(INDEX(PP_Grid[#Data],$DD234,37),0)</f>
        <v/>
      </c>
      <c r="AN234">
        <f>IFERROR(INDEX(PP_Grid[#Data],$DD234,38),0)</f>
        <v/>
      </c>
      <c r="AO234">
        <f>IFERROR(INDEX(PP_Grid[#Data],$DD234,39),0)</f>
        <v/>
      </c>
      <c r="AP234">
        <f>IFERROR(INDEX(PP_Grid[#Data],$DD234,40),0)</f>
        <v/>
      </c>
      <c r="AQ234">
        <f>IFERROR(INDEX(PP_Grid[#Data],$DD234,41),0)</f>
        <v/>
      </c>
      <c r="AR234">
        <f>IFERROR(INDEX(PP_Grid[#Data],$DD234,42),0)</f>
        <v/>
      </c>
      <c r="AS234">
        <f>IFERROR(INDEX(PP_Grid[#Data],$DD234,43),0)</f>
        <v/>
      </c>
      <c r="AT234">
        <f>IFERROR(INDEX(PP_Grid[#Data],$DD234,44),0)</f>
        <v/>
      </c>
      <c r="AU234">
        <f>IFERROR(INDEX(PP_Grid[#Data],$DD234,45),0)</f>
        <v/>
      </c>
      <c r="AV234">
        <f>IFERROR(INDEX(PP_Grid[#Data],$DD234,46),0)</f>
        <v/>
      </c>
      <c r="AW234">
        <f>IFERROR(INDEX(PP_Grid[#Data],$DD234,47),0)</f>
        <v/>
      </c>
      <c r="AX234">
        <f>IFERROR(INDEX(PP_Grid[#Data],$DD234,48),0)</f>
        <v/>
      </c>
      <c r="AY234">
        <f>IFERROR(INDEX(PP_Grid[#Data],$DD234,49),0)</f>
        <v/>
      </c>
      <c r="AZ234">
        <f>IFERROR(INDEX(PP_Grid[#Data],$DD234,50),0)</f>
        <v/>
      </c>
      <c r="BA234">
        <f>IFERROR(INDEX(PP_Grid[#Data],$DD234,51),0)</f>
        <v/>
      </c>
      <c r="BB234">
        <f>IFERROR(INDEX(PP_Grid[#Data],$DD234,52),0)</f>
        <v/>
      </c>
      <c r="BC234">
        <f>IFERROR(INDEX(PP_Grid[#Data],$DD234,53),0)</f>
        <v/>
      </c>
      <c r="BD234">
        <f>IFERROR(INDEX(PP_Grid[#Data],$DD234,54),0)</f>
        <v/>
      </c>
      <c r="BE234">
        <f>IFERROR(INDEX(PP_Grid[#Data],$DD234,55),0)</f>
        <v/>
      </c>
      <c r="BF234">
        <f>IFERROR(INDEX(PP_Grid[#Data],$DD234,56),0)</f>
        <v/>
      </c>
      <c r="BG234">
        <f>IFERROR(INDEX(PP_Grid[#Data],$DD234,57),0)</f>
        <v/>
      </c>
      <c r="BH234">
        <f>IFERROR(INDEX(PP_Grid[#Data],$DD234,58),0)</f>
        <v/>
      </c>
      <c r="BI234">
        <f>IFERROR(INDEX(PP_Grid[#Data],$DD234,59),0)</f>
        <v/>
      </c>
      <c r="BJ234">
        <f>IFERROR(INDEX(PP_Grid[#Data],$DD234,60),0)</f>
        <v/>
      </c>
      <c r="BK234">
        <f>IFERROR(INDEX(PP_Grid[#Data],$DD234,61),0)</f>
        <v/>
      </c>
      <c r="BL234">
        <f>IFERROR(INDEX(PP_Grid[#Data],$DD234,62),0)</f>
        <v/>
      </c>
      <c r="BM234">
        <f>IFERROR(INDEX(PP_Grid[#Data],$DD234,63),0)</f>
        <v/>
      </c>
      <c r="BN234">
        <f>IFERROR(INDEX(PP_Grid[#Data],$DD234,64),0)</f>
        <v/>
      </c>
      <c r="BO234">
        <f>IFERROR(INDEX(PP_Grid[#Data],$DD234,65),0)</f>
        <v/>
      </c>
      <c r="BP234">
        <f>IFERROR(INDEX(PP_Grid[#Data],$DD234,66),0)</f>
        <v/>
      </c>
      <c r="BQ234">
        <f>IFERROR(INDEX(PP_Grid[#Data],$DD234,67),0)</f>
        <v/>
      </c>
      <c r="BR234">
        <f>IFERROR(INDEX(PP_Grid[#Data],$DD234,68),0)</f>
        <v/>
      </c>
      <c r="BS234">
        <f>IFERROR(INDEX(PP_Grid[#Data],$DD234,69),0)</f>
        <v/>
      </c>
      <c r="BT234">
        <f>IFERROR(INDEX(PP_Grid[#Data],$DD234,70),0)</f>
        <v/>
      </c>
      <c r="BU234">
        <f>IFERROR(INDEX(PP_Grid[#Data],$DD234,71),0)</f>
        <v/>
      </c>
      <c r="BV234">
        <f>IFERROR(INDEX(PP_Grid[#Data],$DD234,72),0)</f>
        <v/>
      </c>
      <c r="BW234">
        <f>IFERROR(INDEX(PP_Grid[#Data],$DD234,73),0)</f>
        <v/>
      </c>
      <c r="BX234">
        <f>IFERROR(INDEX(PP_Grid[#Data],$DD234,74),0)</f>
        <v/>
      </c>
      <c r="BY234">
        <f>IFERROR(INDEX(PP_Grid[#Data],$DD234,75),0)</f>
        <v/>
      </c>
      <c r="BZ234">
        <f>IFERROR(INDEX(PP_Grid[#Data],$DD234,76),0)</f>
        <v/>
      </c>
      <c r="CA234">
        <f>IFERROR(INDEX(PP_Grid[#Data],$DD234,77),0)</f>
        <v/>
      </c>
      <c r="CB234">
        <f>IFERROR(INDEX(PP_Grid[#Data],$DD234,78),0)</f>
        <v/>
      </c>
      <c r="CC234">
        <f>IFERROR(INDEX(PP_Grid[#Data],$DD234,79),0)</f>
        <v/>
      </c>
      <c r="CD234">
        <f>IFERROR(INDEX(PP_Grid[#Data],$DD234,80),0)</f>
        <v/>
      </c>
      <c r="CE234">
        <f>IFERROR(INDEX(PP_Grid[#Data],$DD234,81),0)</f>
        <v/>
      </c>
      <c r="CF234">
        <f>IFERROR(INDEX(PP_Grid[#Data],$DD234,82),0)</f>
        <v/>
      </c>
      <c r="CG234">
        <f>IFERROR(INDEX(PP_Grid[#Data],$DD234,83),0)</f>
        <v/>
      </c>
      <c r="CH234">
        <f>IFERROR(INDEX(PP_Grid[#Data],$DD234,84),0)</f>
        <v/>
      </c>
      <c r="CI234">
        <f>IFERROR(INDEX(PP_Grid[#Data],$DD234,85),0)</f>
        <v/>
      </c>
      <c r="CJ234">
        <f>IFERROR(INDEX(PP_Grid[#Data],$DD234,86),0)</f>
        <v/>
      </c>
      <c r="CK234">
        <f>IFERROR(INDEX(PP_Grid[#Data],$DD234,87),0)</f>
        <v/>
      </c>
      <c r="CL234">
        <f>IFERROR(INDEX(PP_Grid[#Data],$DD234,88),0)</f>
        <v/>
      </c>
      <c r="CM234">
        <f>IFERROR(INDEX(PP_Grid[#Data],$DD234,89),0)</f>
        <v/>
      </c>
      <c r="CN234">
        <f>IFERROR(INDEX(PP_Grid[#Data],$DD234,90),0)</f>
        <v/>
      </c>
      <c r="CO234">
        <f>IFERROR(INDEX(PP_Grid[#Data],$DD234,91),0)</f>
        <v/>
      </c>
      <c r="CP234">
        <f>IFERROR(INDEX(PP_Grid[#Data],$DD234,92),0)</f>
        <v/>
      </c>
      <c r="CQ234">
        <f>IFERROR(INDEX(PP_Grid[#Data],$DD234,93),0)</f>
        <v/>
      </c>
      <c r="CR234">
        <f>IFERROR(INDEX(PP_Grid[#Data],$DD234,94),0)</f>
        <v/>
      </c>
      <c r="CS234">
        <f>IFERROR(INDEX(PP_Grid[#Data],$DD234,95),0)</f>
        <v/>
      </c>
      <c r="CT234">
        <f>IFERROR(INDEX(PP_Grid[#Data],$DD234,96),0)</f>
        <v/>
      </c>
      <c r="CU234">
        <f>IFERROR(INDEX(PP_Grid[#Data],$DD234,97),0)</f>
        <v/>
      </c>
      <c r="CV234">
        <f>IFERROR(INDEX(PP_Grid[#Data],$DD234,98),0)</f>
        <v/>
      </c>
      <c r="CW234">
        <f>IFERROR(INDEX(PP_Grid[#Data],$DD234,99),0)</f>
        <v/>
      </c>
      <c r="CX234">
        <f>IFERROR(INDEX(PP_Grid[#Data],$DD234,100),0)</f>
        <v/>
      </c>
      <c r="CY234">
        <f>IFERROR(INDEX(PP_Grid[#Data],$DD234,101),0)</f>
        <v/>
      </c>
      <c r="CZ234">
        <f>IFERROR(INDEX(PP_Grid[#Data],$DD234,102),0)</f>
        <v/>
      </c>
      <c r="DA234">
        <f>IFERROR(INDEX(PP_Grid[#Data],$DD234,103),0)</f>
        <v/>
      </c>
      <c r="DB234">
        <f>IFERROR(INDEX(PP_Grid[#Data],$DD234,104),0)</f>
        <v/>
      </c>
      <c r="DC234">
        <f>IFERROR(INDEX(PP_Grid[#Data],$DD234,105),0)</f>
        <v/>
      </c>
      <c r="DD234" s="7">
        <f>IFERROR(MATCH($B234,PP_Grid[Intermediate],0),99999)</f>
        <v/>
      </c>
    </row>
    <row r="235">
      <c r="B235" t="inlineStr">
        <is>
          <t>使用量(kg)</t>
        </is>
      </c>
      <c r="C235">
        <f>SUMIFS(M_BOM[RM_Qty_Per_Batch],M_BOM[Intermediate],$B234,M_BOM[Part Name],$A219)</f>
        <v/>
      </c>
      <c r="D235">
        <f>$C235*D234</f>
        <v/>
      </c>
      <c r="E235">
        <f>$C235*E234</f>
        <v/>
      </c>
      <c r="F235">
        <f>$C235*F234</f>
        <v/>
      </c>
      <c r="G235">
        <f>$C235*G234</f>
        <v/>
      </c>
      <c r="H235">
        <f>$C235*H234</f>
        <v/>
      </c>
      <c r="I235">
        <f>$C235*I234</f>
        <v/>
      </c>
      <c r="J235">
        <f>$C235*J234</f>
        <v/>
      </c>
      <c r="K235">
        <f>$C235*K234</f>
        <v/>
      </c>
      <c r="L235">
        <f>$C235*L234</f>
        <v/>
      </c>
      <c r="M235">
        <f>$C235*M234</f>
        <v/>
      </c>
      <c r="N235">
        <f>$C235*N234</f>
        <v/>
      </c>
      <c r="O235">
        <f>$C235*O234</f>
        <v/>
      </c>
      <c r="P235">
        <f>$C235*P234</f>
        <v/>
      </c>
      <c r="Q235">
        <f>$C235*Q234</f>
        <v/>
      </c>
      <c r="R235">
        <f>$C235*R234</f>
        <v/>
      </c>
      <c r="S235">
        <f>$C235*S234</f>
        <v/>
      </c>
      <c r="T235">
        <f>$C235*T234</f>
        <v/>
      </c>
      <c r="U235">
        <f>$C235*U234</f>
        <v/>
      </c>
      <c r="V235">
        <f>$C235*V234</f>
        <v/>
      </c>
      <c r="W235">
        <f>$C235*W234</f>
        <v/>
      </c>
      <c r="X235">
        <f>$C235*X234</f>
        <v/>
      </c>
      <c r="Y235">
        <f>$C235*Y234</f>
        <v/>
      </c>
      <c r="Z235">
        <f>$C235*Z234</f>
        <v/>
      </c>
      <c r="AA235">
        <f>$C235*AA234</f>
        <v/>
      </c>
      <c r="AB235">
        <f>$C235*AB234</f>
        <v/>
      </c>
      <c r="AC235">
        <f>$C235*AC234</f>
        <v/>
      </c>
      <c r="AD235">
        <f>$C235*AD234</f>
        <v/>
      </c>
      <c r="AE235">
        <f>$C235*AE234</f>
        <v/>
      </c>
      <c r="AF235">
        <f>$C235*AF234</f>
        <v/>
      </c>
      <c r="AG235">
        <f>$C235*AG234</f>
        <v/>
      </c>
      <c r="AH235">
        <f>$C235*AH234</f>
        <v/>
      </c>
      <c r="AI235">
        <f>$C235*AI234</f>
        <v/>
      </c>
      <c r="AJ235">
        <f>$C235*AJ234</f>
        <v/>
      </c>
      <c r="AK235">
        <f>$C235*AK234</f>
        <v/>
      </c>
      <c r="AL235">
        <f>$C235*AL234</f>
        <v/>
      </c>
      <c r="AM235">
        <f>$C235*AM234</f>
        <v/>
      </c>
      <c r="AN235">
        <f>$C235*AN234</f>
        <v/>
      </c>
      <c r="AO235">
        <f>$C235*AO234</f>
        <v/>
      </c>
      <c r="AP235">
        <f>$C235*AP234</f>
        <v/>
      </c>
      <c r="AQ235">
        <f>$C235*AQ234</f>
        <v/>
      </c>
      <c r="AR235">
        <f>$C235*AR234</f>
        <v/>
      </c>
      <c r="AS235">
        <f>$C235*AS234</f>
        <v/>
      </c>
      <c r="AT235">
        <f>$C235*AT234</f>
        <v/>
      </c>
      <c r="AU235">
        <f>$C235*AU234</f>
        <v/>
      </c>
      <c r="AV235">
        <f>$C235*AV234</f>
        <v/>
      </c>
      <c r="AW235">
        <f>$C235*AW234</f>
        <v/>
      </c>
      <c r="AX235">
        <f>$C235*AX234</f>
        <v/>
      </c>
      <c r="AY235">
        <f>$C235*AY234</f>
        <v/>
      </c>
      <c r="AZ235">
        <f>$C235*AZ234</f>
        <v/>
      </c>
      <c r="BA235">
        <f>$C235*BA234</f>
        <v/>
      </c>
      <c r="BB235">
        <f>$C235*BB234</f>
        <v/>
      </c>
      <c r="BC235">
        <f>$C235*BC234</f>
        <v/>
      </c>
      <c r="BD235">
        <f>$C235*BD234</f>
        <v/>
      </c>
      <c r="BE235">
        <f>$C235*BE234</f>
        <v/>
      </c>
      <c r="BF235">
        <f>$C235*BF234</f>
        <v/>
      </c>
      <c r="BG235">
        <f>$C235*BG234</f>
        <v/>
      </c>
      <c r="BH235">
        <f>$C235*BH234</f>
        <v/>
      </c>
      <c r="BI235">
        <f>$C235*BI234</f>
        <v/>
      </c>
      <c r="BJ235">
        <f>$C235*BJ234</f>
        <v/>
      </c>
      <c r="BK235">
        <f>$C235*BK234</f>
        <v/>
      </c>
      <c r="BL235">
        <f>$C235*BL234</f>
        <v/>
      </c>
      <c r="BM235">
        <f>$C235*BM234</f>
        <v/>
      </c>
      <c r="BN235">
        <f>$C235*BN234</f>
        <v/>
      </c>
      <c r="BO235">
        <f>$C235*BO234</f>
        <v/>
      </c>
      <c r="BP235">
        <f>$C235*BP234</f>
        <v/>
      </c>
      <c r="BQ235">
        <f>$C235*BQ234</f>
        <v/>
      </c>
      <c r="BR235">
        <f>$C235*BR234</f>
        <v/>
      </c>
      <c r="BS235">
        <f>$C235*BS234</f>
        <v/>
      </c>
      <c r="BT235">
        <f>$C235*BT234</f>
        <v/>
      </c>
      <c r="BU235">
        <f>$C235*BU234</f>
        <v/>
      </c>
      <c r="BV235">
        <f>$C235*BV234</f>
        <v/>
      </c>
      <c r="BW235">
        <f>$C235*BW234</f>
        <v/>
      </c>
      <c r="BX235">
        <f>$C235*BX234</f>
        <v/>
      </c>
      <c r="BY235">
        <f>$C235*BY234</f>
        <v/>
      </c>
      <c r="BZ235">
        <f>$C235*BZ234</f>
        <v/>
      </c>
      <c r="CA235">
        <f>$C235*CA234</f>
        <v/>
      </c>
      <c r="CB235">
        <f>$C235*CB234</f>
        <v/>
      </c>
      <c r="CC235">
        <f>$C235*CC234</f>
        <v/>
      </c>
      <c r="CD235">
        <f>$C235*CD234</f>
        <v/>
      </c>
      <c r="CE235">
        <f>$C235*CE234</f>
        <v/>
      </c>
      <c r="CF235">
        <f>$C235*CF234</f>
        <v/>
      </c>
      <c r="CG235">
        <f>$C235*CG234</f>
        <v/>
      </c>
      <c r="CH235">
        <f>$C235*CH234</f>
        <v/>
      </c>
      <c r="CI235">
        <f>$C235*CI234</f>
        <v/>
      </c>
      <c r="CJ235">
        <f>$C235*CJ234</f>
        <v/>
      </c>
      <c r="CK235">
        <f>$C235*CK234</f>
        <v/>
      </c>
      <c r="CL235">
        <f>$C235*CL234</f>
        <v/>
      </c>
      <c r="CM235">
        <f>$C235*CM234</f>
        <v/>
      </c>
      <c r="CN235">
        <f>$C235*CN234</f>
        <v/>
      </c>
      <c r="CO235">
        <f>$C235*CO234</f>
        <v/>
      </c>
      <c r="CP235">
        <f>$C235*CP234</f>
        <v/>
      </c>
      <c r="CQ235">
        <f>$C235*CQ234</f>
        <v/>
      </c>
      <c r="CR235">
        <f>$C235*CR234</f>
        <v/>
      </c>
      <c r="CS235">
        <f>$C235*CS234</f>
        <v/>
      </c>
      <c r="CT235">
        <f>$C235*CT234</f>
        <v/>
      </c>
      <c r="CU235">
        <f>$C235*CU234</f>
        <v/>
      </c>
      <c r="CV235">
        <f>$C235*CV234</f>
        <v/>
      </c>
      <c r="CW235">
        <f>$C235*CW234</f>
        <v/>
      </c>
      <c r="CX235">
        <f>$C235*CX234</f>
        <v/>
      </c>
      <c r="CY235">
        <f>$C235*CY234</f>
        <v/>
      </c>
      <c r="CZ235">
        <f>$C235*CZ234</f>
        <v/>
      </c>
      <c r="DA235">
        <f>$C235*DA234</f>
        <v/>
      </c>
      <c r="DB235">
        <f>$C235*DB234</f>
        <v/>
      </c>
      <c r="DC235">
        <f>$C235*DC234</f>
        <v/>
      </c>
    </row>
    <row r="236">
      <c r="B236" t="inlineStr">
        <is>
          <t>TSP-224</t>
        </is>
      </c>
      <c r="C236" t="inlineStr">
        <is>
          <t>No. of batches</t>
        </is>
      </c>
      <c r="D236">
        <f>IFERROR(INDEX(PP_Grid[#Data],$DD236,2),0)</f>
        <v/>
      </c>
      <c r="E236">
        <f>IFERROR(INDEX(PP_Grid[#Data],$DD236,3),0)</f>
        <v/>
      </c>
      <c r="F236">
        <f>IFERROR(INDEX(PP_Grid[#Data],$DD236,4),0)</f>
        <v/>
      </c>
      <c r="G236">
        <f>IFERROR(INDEX(PP_Grid[#Data],$DD236,5),0)</f>
        <v/>
      </c>
      <c r="H236">
        <f>IFERROR(INDEX(PP_Grid[#Data],$DD236,6),0)</f>
        <v/>
      </c>
      <c r="I236">
        <f>IFERROR(INDEX(PP_Grid[#Data],$DD236,7),0)</f>
        <v/>
      </c>
      <c r="J236">
        <f>IFERROR(INDEX(PP_Grid[#Data],$DD236,8),0)</f>
        <v/>
      </c>
      <c r="K236">
        <f>IFERROR(INDEX(PP_Grid[#Data],$DD236,9),0)</f>
        <v/>
      </c>
      <c r="L236">
        <f>IFERROR(INDEX(PP_Grid[#Data],$DD236,10),0)</f>
        <v/>
      </c>
      <c r="M236">
        <f>IFERROR(INDEX(PP_Grid[#Data],$DD236,11),0)</f>
        <v/>
      </c>
      <c r="N236">
        <f>IFERROR(INDEX(PP_Grid[#Data],$DD236,12),0)</f>
        <v/>
      </c>
      <c r="O236">
        <f>IFERROR(INDEX(PP_Grid[#Data],$DD236,13),0)</f>
        <v/>
      </c>
      <c r="P236">
        <f>IFERROR(INDEX(PP_Grid[#Data],$DD236,14),0)</f>
        <v/>
      </c>
      <c r="Q236">
        <f>IFERROR(INDEX(PP_Grid[#Data],$DD236,15),0)</f>
        <v/>
      </c>
      <c r="R236">
        <f>IFERROR(INDEX(PP_Grid[#Data],$DD236,16),0)</f>
        <v/>
      </c>
      <c r="S236">
        <f>IFERROR(INDEX(PP_Grid[#Data],$DD236,17),0)</f>
        <v/>
      </c>
      <c r="T236">
        <f>IFERROR(INDEX(PP_Grid[#Data],$DD236,18),0)</f>
        <v/>
      </c>
      <c r="U236">
        <f>IFERROR(INDEX(PP_Grid[#Data],$DD236,19),0)</f>
        <v/>
      </c>
      <c r="V236">
        <f>IFERROR(INDEX(PP_Grid[#Data],$DD236,20),0)</f>
        <v/>
      </c>
      <c r="W236">
        <f>IFERROR(INDEX(PP_Grid[#Data],$DD236,21),0)</f>
        <v/>
      </c>
      <c r="X236">
        <f>IFERROR(INDEX(PP_Grid[#Data],$DD236,22),0)</f>
        <v/>
      </c>
      <c r="Y236">
        <f>IFERROR(INDEX(PP_Grid[#Data],$DD236,23),0)</f>
        <v/>
      </c>
      <c r="Z236">
        <f>IFERROR(INDEX(PP_Grid[#Data],$DD236,24),0)</f>
        <v/>
      </c>
      <c r="AA236">
        <f>IFERROR(INDEX(PP_Grid[#Data],$DD236,25),0)</f>
        <v/>
      </c>
      <c r="AB236">
        <f>IFERROR(INDEX(PP_Grid[#Data],$DD236,26),0)</f>
        <v/>
      </c>
      <c r="AC236">
        <f>IFERROR(INDEX(PP_Grid[#Data],$DD236,27),0)</f>
        <v/>
      </c>
      <c r="AD236">
        <f>IFERROR(INDEX(PP_Grid[#Data],$DD236,28),0)</f>
        <v/>
      </c>
      <c r="AE236">
        <f>IFERROR(INDEX(PP_Grid[#Data],$DD236,29),0)</f>
        <v/>
      </c>
      <c r="AF236">
        <f>IFERROR(INDEX(PP_Grid[#Data],$DD236,30),0)</f>
        <v/>
      </c>
      <c r="AG236">
        <f>IFERROR(INDEX(PP_Grid[#Data],$DD236,31),0)</f>
        <v/>
      </c>
      <c r="AH236">
        <f>IFERROR(INDEX(PP_Grid[#Data],$DD236,32),0)</f>
        <v/>
      </c>
      <c r="AI236">
        <f>IFERROR(INDEX(PP_Grid[#Data],$DD236,33),0)</f>
        <v/>
      </c>
      <c r="AJ236">
        <f>IFERROR(INDEX(PP_Grid[#Data],$DD236,34),0)</f>
        <v/>
      </c>
      <c r="AK236">
        <f>IFERROR(INDEX(PP_Grid[#Data],$DD236,35),0)</f>
        <v/>
      </c>
      <c r="AL236">
        <f>IFERROR(INDEX(PP_Grid[#Data],$DD236,36),0)</f>
        <v/>
      </c>
      <c r="AM236">
        <f>IFERROR(INDEX(PP_Grid[#Data],$DD236,37),0)</f>
        <v/>
      </c>
      <c r="AN236">
        <f>IFERROR(INDEX(PP_Grid[#Data],$DD236,38),0)</f>
        <v/>
      </c>
      <c r="AO236">
        <f>IFERROR(INDEX(PP_Grid[#Data],$DD236,39),0)</f>
        <v/>
      </c>
      <c r="AP236">
        <f>IFERROR(INDEX(PP_Grid[#Data],$DD236,40),0)</f>
        <v/>
      </c>
      <c r="AQ236">
        <f>IFERROR(INDEX(PP_Grid[#Data],$DD236,41),0)</f>
        <v/>
      </c>
      <c r="AR236">
        <f>IFERROR(INDEX(PP_Grid[#Data],$DD236,42),0)</f>
        <v/>
      </c>
      <c r="AS236">
        <f>IFERROR(INDEX(PP_Grid[#Data],$DD236,43),0)</f>
        <v/>
      </c>
      <c r="AT236">
        <f>IFERROR(INDEX(PP_Grid[#Data],$DD236,44),0)</f>
        <v/>
      </c>
      <c r="AU236">
        <f>IFERROR(INDEX(PP_Grid[#Data],$DD236,45),0)</f>
        <v/>
      </c>
      <c r="AV236">
        <f>IFERROR(INDEX(PP_Grid[#Data],$DD236,46),0)</f>
        <v/>
      </c>
      <c r="AW236">
        <f>IFERROR(INDEX(PP_Grid[#Data],$DD236,47),0)</f>
        <v/>
      </c>
      <c r="AX236">
        <f>IFERROR(INDEX(PP_Grid[#Data],$DD236,48),0)</f>
        <v/>
      </c>
      <c r="AY236">
        <f>IFERROR(INDEX(PP_Grid[#Data],$DD236,49),0)</f>
        <v/>
      </c>
      <c r="AZ236">
        <f>IFERROR(INDEX(PP_Grid[#Data],$DD236,50),0)</f>
        <v/>
      </c>
      <c r="BA236">
        <f>IFERROR(INDEX(PP_Grid[#Data],$DD236,51),0)</f>
        <v/>
      </c>
      <c r="BB236">
        <f>IFERROR(INDEX(PP_Grid[#Data],$DD236,52),0)</f>
        <v/>
      </c>
      <c r="BC236">
        <f>IFERROR(INDEX(PP_Grid[#Data],$DD236,53),0)</f>
        <v/>
      </c>
      <c r="BD236">
        <f>IFERROR(INDEX(PP_Grid[#Data],$DD236,54),0)</f>
        <v/>
      </c>
      <c r="BE236">
        <f>IFERROR(INDEX(PP_Grid[#Data],$DD236,55),0)</f>
        <v/>
      </c>
      <c r="BF236">
        <f>IFERROR(INDEX(PP_Grid[#Data],$DD236,56),0)</f>
        <v/>
      </c>
      <c r="BG236">
        <f>IFERROR(INDEX(PP_Grid[#Data],$DD236,57),0)</f>
        <v/>
      </c>
      <c r="BH236">
        <f>IFERROR(INDEX(PP_Grid[#Data],$DD236,58),0)</f>
        <v/>
      </c>
      <c r="BI236">
        <f>IFERROR(INDEX(PP_Grid[#Data],$DD236,59),0)</f>
        <v/>
      </c>
      <c r="BJ236">
        <f>IFERROR(INDEX(PP_Grid[#Data],$DD236,60),0)</f>
        <v/>
      </c>
      <c r="BK236">
        <f>IFERROR(INDEX(PP_Grid[#Data],$DD236,61),0)</f>
        <v/>
      </c>
      <c r="BL236">
        <f>IFERROR(INDEX(PP_Grid[#Data],$DD236,62),0)</f>
        <v/>
      </c>
      <c r="BM236">
        <f>IFERROR(INDEX(PP_Grid[#Data],$DD236,63),0)</f>
        <v/>
      </c>
      <c r="BN236">
        <f>IFERROR(INDEX(PP_Grid[#Data],$DD236,64),0)</f>
        <v/>
      </c>
      <c r="BO236">
        <f>IFERROR(INDEX(PP_Grid[#Data],$DD236,65),0)</f>
        <v/>
      </c>
      <c r="BP236">
        <f>IFERROR(INDEX(PP_Grid[#Data],$DD236,66),0)</f>
        <v/>
      </c>
      <c r="BQ236">
        <f>IFERROR(INDEX(PP_Grid[#Data],$DD236,67),0)</f>
        <v/>
      </c>
      <c r="BR236">
        <f>IFERROR(INDEX(PP_Grid[#Data],$DD236,68),0)</f>
        <v/>
      </c>
      <c r="BS236">
        <f>IFERROR(INDEX(PP_Grid[#Data],$DD236,69),0)</f>
        <v/>
      </c>
      <c r="BT236">
        <f>IFERROR(INDEX(PP_Grid[#Data],$DD236,70),0)</f>
        <v/>
      </c>
      <c r="BU236">
        <f>IFERROR(INDEX(PP_Grid[#Data],$DD236,71),0)</f>
        <v/>
      </c>
      <c r="BV236">
        <f>IFERROR(INDEX(PP_Grid[#Data],$DD236,72),0)</f>
        <v/>
      </c>
      <c r="BW236">
        <f>IFERROR(INDEX(PP_Grid[#Data],$DD236,73),0)</f>
        <v/>
      </c>
      <c r="BX236">
        <f>IFERROR(INDEX(PP_Grid[#Data],$DD236,74),0)</f>
        <v/>
      </c>
      <c r="BY236">
        <f>IFERROR(INDEX(PP_Grid[#Data],$DD236,75),0)</f>
        <v/>
      </c>
      <c r="BZ236">
        <f>IFERROR(INDEX(PP_Grid[#Data],$DD236,76),0)</f>
        <v/>
      </c>
      <c r="CA236">
        <f>IFERROR(INDEX(PP_Grid[#Data],$DD236,77),0)</f>
        <v/>
      </c>
      <c r="CB236">
        <f>IFERROR(INDEX(PP_Grid[#Data],$DD236,78),0)</f>
        <v/>
      </c>
      <c r="CC236">
        <f>IFERROR(INDEX(PP_Grid[#Data],$DD236,79),0)</f>
        <v/>
      </c>
      <c r="CD236">
        <f>IFERROR(INDEX(PP_Grid[#Data],$DD236,80),0)</f>
        <v/>
      </c>
      <c r="CE236">
        <f>IFERROR(INDEX(PP_Grid[#Data],$DD236,81),0)</f>
        <v/>
      </c>
      <c r="CF236">
        <f>IFERROR(INDEX(PP_Grid[#Data],$DD236,82),0)</f>
        <v/>
      </c>
      <c r="CG236">
        <f>IFERROR(INDEX(PP_Grid[#Data],$DD236,83),0)</f>
        <v/>
      </c>
      <c r="CH236">
        <f>IFERROR(INDEX(PP_Grid[#Data],$DD236,84),0)</f>
        <v/>
      </c>
      <c r="CI236">
        <f>IFERROR(INDEX(PP_Grid[#Data],$DD236,85),0)</f>
        <v/>
      </c>
      <c r="CJ236">
        <f>IFERROR(INDEX(PP_Grid[#Data],$DD236,86),0)</f>
        <v/>
      </c>
      <c r="CK236">
        <f>IFERROR(INDEX(PP_Grid[#Data],$DD236,87),0)</f>
        <v/>
      </c>
      <c r="CL236">
        <f>IFERROR(INDEX(PP_Grid[#Data],$DD236,88),0)</f>
        <v/>
      </c>
      <c r="CM236">
        <f>IFERROR(INDEX(PP_Grid[#Data],$DD236,89),0)</f>
        <v/>
      </c>
      <c r="CN236">
        <f>IFERROR(INDEX(PP_Grid[#Data],$DD236,90),0)</f>
        <v/>
      </c>
      <c r="CO236">
        <f>IFERROR(INDEX(PP_Grid[#Data],$DD236,91),0)</f>
        <v/>
      </c>
      <c r="CP236">
        <f>IFERROR(INDEX(PP_Grid[#Data],$DD236,92),0)</f>
        <v/>
      </c>
      <c r="CQ236">
        <f>IFERROR(INDEX(PP_Grid[#Data],$DD236,93),0)</f>
        <v/>
      </c>
      <c r="CR236">
        <f>IFERROR(INDEX(PP_Grid[#Data],$DD236,94),0)</f>
        <v/>
      </c>
      <c r="CS236">
        <f>IFERROR(INDEX(PP_Grid[#Data],$DD236,95),0)</f>
        <v/>
      </c>
      <c r="CT236">
        <f>IFERROR(INDEX(PP_Grid[#Data],$DD236,96),0)</f>
        <v/>
      </c>
      <c r="CU236">
        <f>IFERROR(INDEX(PP_Grid[#Data],$DD236,97),0)</f>
        <v/>
      </c>
      <c r="CV236">
        <f>IFERROR(INDEX(PP_Grid[#Data],$DD236,98),0)</f>
        <v/>
      </c>
      <c r="CW236">
        <f>IFERROR(INDEX(PP_Grid[#Data],$DD236,99),0)</f>
        <v/>
      </c>
      <c r="CX236">
        <f>IFERROR(INDEX(PP_Grid[#Data],$DD236,100),0)</f>
        <v/>
      </c>
      <c r="CY236">
        <f>IFERROR(INDEX(PP_Grid[#Data],$DD236,101),0)</f>
        <v/>
      </c>
      <c r="CZ236">
        <f>IFERROR(INDEX(PP_Grid[#Data],$DD236,102),0)</f>
        <v/>
      </c>
      <c r="DA236">
        <f>IFERROR(INDEX(PP_Grid[#Data],$DD236,103),0)</f>
        <v/>
      </c>
      <c r="DB236">
        <f>IFERROR(INDEX(PP_Grid[#Data],$DD236,104),0)</f>
        <v/>
      </c>
      <c r="DC236">
        <f>IFERROR(INDEX(PP_Grid[#Data],$DD236,105),0)</f>
        <v/>
      </c>
      <c r="DD236" s="7">
        <f>IFERROR(MATCH($B236,PP_Grid[Intermediate],0),99999)</f>
        <v/>
      </c>
    </row>
    <row r="237">
      <c r="B237" t="inlineStr">
        <is>
          <t>使用量(kg)</t>
        </is>
      </c>
      <c r="C237">
        <f>SUMIFS(M_BOM[RM_Qty_Per_Batch],M_BOM[Intermediate],$B236,M_BOM[Part Name],$A219)</f>
        <v/>
      </c>
      <c r="D237">
        <f>$C237*D236</f>
        <v/>
      </c>
      <c r="E237">
        <f>$C237*E236</f>
        <v/>
      </c>
      <c r="F237">
        <f>$C237*F236</f>
        <v/>
      </c>
      <c r="G237">
        <f>$C237*G236</f>
        <v/>
      </c>
      <c r="H237">
        <f>$C237*H236</f>
        <v/>
      </c>
      <c r="I237">
        <f>$C237*I236</f>
        <v/>
      </c>
      <c r="J237">
        <f>$C237*J236</f>
        <v/>
      </c>
      <c r="K237">
        <f>$C237*K236</f>
        <v/>
      </c>
      <c r="L237">
        <f>$C237*L236</f>
        <v/>
      </c>
      <c r="M237">
        <f>$C237*M236</f>
        <v/>
      </c>
      <c r="N237">
        <f>$C237*N236</f>
        <v/>
      </c>
      <c r="O237">
        <f>$C237*O236</f>
        <v/>
      </c>
      <c r="P237">
        <f>$C237*P236</f>
        <v/>
      </c>
      <c r="Q237">
        <f>$C237*Q236</f>
        <v/>
      </c>
      <c r="R237">
        <f>$C237*R236</f>
        <v/>
      </c>
      <c r="S237">
        <f>$C237*S236</f>
        <v/>
      </c>
      <c r="T237">
        <f>$C237*T236</f>
        <v/>
      </c>
      <c r="U237">
        <f>$C237*U236</f>
        <v/>
      </c>
      <c r="V237">
        <f>$C237*V236</f>
        <v/>
      </c>
      <c r="W237">
        <f>$C237*W236</f>
        <v/>
      </c>
      <c r="X237">
        <f>$C237*X236</f>
        <v/>
      </c>
      <c r="Y237">
        <f>$C237*Y236</f>
        <v/>
      </c>
      <c r="Z237">
        <f>$C237*Z236</f>
        <v/>
      </c>
      <c r="AA237">
        <f>$C237*AA236</f>
        <v/>
      </c>
      <c r="AB237">
        <f>$C237*AB236</f>
        <v/>
      </c>
      <c r="AC237">
        <f>$C237*AC236</f>
        <v/>
      </c>
      <c r="AD237">
        <f>$C237*AD236</f>
        <v/>
      </c>
      <c r="AE237">
        <f>$C237*AE236</f>
        <v/>
      </c>
      <c r="AF237">
        <f>$C237*AF236</f>
        <v/>
      </c>
      <c r="AG237">
        <f>$C237*AG236</f>
        <v/>
      </c>
      <c r="AH237">
        <f>$C237*AH236</f>
        <v/>
      </c>
      <c r="AI237">
        <f>$C237*AI236</f>
        <v/>
      </c>
      <c r="AJ237">
        <f>$C237*AJ236</f>
        <v/>
      </c>
      <c r="AK237">
        <f>$C237*AK236</f>
        <v/>
      </c>
      <c r="AL237">
        <f>$C237*AL236</f>
        <v/>
      </c>
      <c r="AM237">
        <f>$C237*AM236</f>
        <v/>
      </c>
      <c r="AN237">
        <f>$C237*AN236</f>
        <v/>
      </c>
      <c r="AO237">
        <f>$C237*AO236</f>
        <v/>
      </c>
      <c r="AP237">
        <f>$C237*AP236</f>
        <v/>
      </c>
      <c r="AQ237">
        <f>$C237*AQ236</f>
        <v/>
      </c>
      <c r="AR237">
        <f>$C237*AR236</f>
        <v/>
      </c>
      <c r="AS237">
        <f>$C237*AS236</f>
        <v/>
      </c>
      <c r="AT237">
        <f>$C237*AT236</f>
        <v/>
      </c>
      <c r="AU237">
        <f>$C237*AU236</f>
        <v/>
      </c>
      <c r="AV237">
        <f>$C237*AV236</f>
        <v/>
      </c>
      <c r="AW237">
        <f>$C237*AW236</f>
        <v/>
      </c>
      <c r="AX237">
        <f>$C237*AX236</f>
        <v/>
      </c>
      <c r="AY237">
        <f>$C237*AY236</f>
        <v/>
      </c>
      <c r="AZ237">
        <f>$C237*AZ236</f>
        <v/>
      </c>
      <c r="BA237">
        <f>$C237*BA236</f>
        <v/>
      </c>
      <c r="BB237">
        <f>$C237*BB236</f>
        <v/>
      </c>
      <c r="BC237">
        <f>$C237*BC236</f>
        <v/>
      </c>
      <c r="BD237">
        <f>$C237*BD236</f>
        <v/>
      </c>
      <c r="BE237">
        <f>$C237*BE236</f>
        <v/>
      </c>
      <c r="BF237">
        <f>$C237*BF236</f>
        <v/>
      </c>
      <c r="BG237">
        <f>$C237*BG236</f>
        <v/>
      </c>
      <c r="BH237">
        <f>$C237*BH236</f>
        <v/>
      </c>
      <c r="BI237">
        <f>$C237*BI236</f>
        <v/>
      </c>
      <c r="BJ237">
        <f>$C237*BJ236</f>
        <v/>
      </c>
      <c r="BK237">
        <f>$C237*BK236</f>
        <v/>
      </c>
      <c r="BL237">
        <f>$C237*BL236</f>
        <v/>
      </c>
      <c r="BM237">
        <f>$C237*BM236</f>
        <v/>
      </c>
      <c r="BN237">
        <f>$C237*BN236</f>
        <v/>
      </c>
      <c r="BO237">
        <f>$C237*BO236</f>
        <v/>
      </c>
      <c r="BP237">
        <f>$C237*BP236</f>
        <v/>
      </c>
      <c r="BQ237">
        <f>$C237*BQ236</f>
        <v/>
      </c>
      <c r="BR237">
        <f>$C237*BR236</f>
        <v/>
      </c>
      <c r="BS237">
        <f>$C237*BS236</f>
        <v/>
      </c>
      <c r="BT237">
        <f>$C237*BT236</f>
        <v/>
      </c>
      <c r="BU237">
        <f>$C237*BU236</f>
        <v/>
      </c>
      <c r="BV237">
        <f>$C237*BV236</f>
        <v/>
      </c>
      <c r="BW237">
        <f>$C237*BW236</f>
        <v/>
      </c>
      <c r="BX237">
        <f>$C237*BX236</f>
        <v/>
      </c>
      <c r="BY237">
        <f>$C237*BY236</f>
        <v/>
      </c>
      <c r="BZ237">
        <f>$C237*BZ236</f>
        <v/>
      </c>
      <c r="CA237">
        <f>$C237*CA236</f>
        <v/>
      </c>
      <c r="CB237">
        <f>$C237*CB236</f>
        <v/>
      </c>
      <c r="CC237">
        <f>$C237*CC236</f>
        <v/>
      </c>
      <c r="CD237">
        <f>$C237*CD236</f>
        <v/>
      </c>
      <c r="CE237">
        <f>$C237*CE236</f>
        <v/>
      </c>
      <c r="CF237">
        <f>$C237*CF236</f>
        <v/>
      </c>
      <c r="CG237">
        <f>$C237*CG236</f>
        <v/>
      </c>
      <c r="CH237">
        <f>$C237*CH236</f>
        <v/>
      </c>
      <c r="CI237">
        <f>$C237*CI236</f>
        <v/>
      </c>
      <c r="CJ237">
        <f>$C237*CJ236</f>
        <v/>
      </c>
      <c r="CK237">
        <f>$C237*CK236</f>
        <v/>
      </c>
      <c r="CL237">
        <f>$C237*CL236</f>
        <v/>
      </c>
      <c r="CM237">
        <f>$C237*CM236</f>
        <v/>
      </c>
      <c r="CN237">
        <f>$C237*CN236</f>
        <v/>
      </c>
      <c r="CO237">
        <f>$C237*CO236</f>
        <v/>
      </c>
      <c r="CP237">
        <f>$C237*CP236</f>
        <v/>
      </c>
      <c r="CQ237">
        <f>$C237*CQ236</f>
        <v/>
      </c>
      <c r="CR237">
        <f>$C237*CR236</f>
        <v/>
      </c>
      <c r="CS237">
        <f>$C237*CS236</f>
        <v/>
      </c>
      <c r="CT237">
        <f>$C237*CT236</f>
        <v/>
      </c>
      <c r="CU237">
        <f>$C237*CU236</f>
        <v/>
      </c>
      <c r="CV237">
        <f>$C237*CV236</f>
        <v/>
      </c>
      <c r="CW237">
        <f>$C237*CW236</f>
        <v/>
      </c>
      <c r="CX237">
        <f>$C237*CX236</f>
        <v/>
      </c>
      <c r="CY237">
        <f>$C237*CY236</f>
        <v/>
      </c>
      <c r="CZ237">
        <f>$C237*CZ236</f>
        <v/>
      </c>
      <c r="DA237">
        <f>$C237*DA236</f>
        <v/>
      </c>
      <c r="DB237">
        <f>$C237*DB236</f>
        <v/>
      </c>
      <c r="DC237">
        <f>$C237*DC236</f>
        <v/>
      </c>
    </row>
    <row r="238">
      <c r="B238" t="inlineStr">
        <is>
          <t>TSP-367</t>
        </is>
      </c>
      <c r="C238" t="inlineStr">
        <is>
          <t>No. of batches</t>
        </is>
      </c>
      <c r="D238">
        <f>IFERROR(INDEX(PP_Grid[#Data],$DD238,2),0)</f>
        <v/>
      </c>
      <c r="E238">
        <f>IFERROR(INDEX(PP_Grid[#Data],$DD238,3),0)</f>
        <v/>
      </c>
      <c r="F238">
        <f>IFERROR(INDEX(PP_Grid[#Data],$DD238,4),0)</f>
        <v/>
      </c>
      <c r="G238">
        <f>IFERROR(INDEX(PP_Grid[#Data],$DD238,5),0)</f>
        <v/>
      </c>
      <c r="H238">
        <f>IFERROR(INDEX(PP_Grid[#Data],$DD238,6),0)</f>
        <v/>
      </c>
      <c r="I238">
        <f>IFERROR(INDEX(PP_Grid[#Data],$DD238,7),0)</f>
        <v/>
      </c>
      <c r="J238">
        <f>IFERROR(INDEX(PP_Grid[#Data],$DD238,8),0)</f>
        <v/>
      </c>
      <c r="K238">
        <f>IFERROR(INDEX(PP_Grid[#Data],$DD238,9),0)</f>
        <v/>
      </c>
      <c r="L238">
        <f>IFERROR(INDEX(PP_Grid[#Data],$DD238,10),0)</f>
        <v/>
      </c>
      <c r="M238">
        <f>IFERROR(INDEX(PP_Grid[#Data],$DD238,11),0)</f>
        <v/>
      </c>
      <c r="N238">
        <f>IFERROR(INDEX(PP_Grid[#Data],$DD238,12),0)</f>
        <v/>
      </c>
      <c r="O238">
        <f>IFERROR(INDEX(PP_Grid[#Data],$DD238,13),0)</f>
        <v/>
      </c>
      <c r="P238">
        <f>IFERROR(INDEX(PP_Grid[#Data],$DD238,14),0)</f>
        <v/>
      </c>
      <c r="Q238">
        <f>IFERROR(INDEX(PP_Grid[#Data],$DD238,15),0)</f>
        <v/>
      </c>
      <c r="R238">
        <f>IFERROR(INDEX(PP_Grid[#Data],$DD238,16),0)</f>
        <v/>
      </c>
      <c r="S238">
        <f>IFERROR(INDEX(PP_Grid[#Data],$DD238,17),0)</f>
        <v/>
      </c>
      <c r="T238">
        <f>IFERROR(INDEX(PP_Grid[#Data],$DD238,18),0)</f>
        <v/>
      </c>
      <c r="U238">
        <f>IFERROR(INDEX(PP_Grid[#Data],$DD238,19),0)</f>
        <v/>
      </c>
      <c r="V238">
        <f>IFERROR(INDEX(PP_Grid[#Data],$DD238,20),0)</f>
        <v/>
      </c>
      <c r="W238">
        <f>IFERROR(INDEX(PP_Grid[#Data],$DD238,21),0)</f>
        <v/>
      </c>
      <c r="X238">
        <f>IFERROR(INDEX(PP_Grid[#Data],$DD238,22),0)</f>
        <v/>
      </c>
      <c r="Y238">
        <f>IFERROR(INDEX(PP_Grid[#Data],$DD238,23),0)</f>
        <v/>
      </c>
      <c r="Z238">
        <f>IFERROR(INDEX(PP_Grid[#Data],$DD238,24),0)</f>
        <v/>
      </c>
      <c r="AA238">
        <f>IFERROR(INDEX(PP_Grid[#Data],$DD238,25),0)</f>
        <v/>
      </c>
      <c r="AB238">
        <f>IFERROR(INDEX(PP_Grid[#Data],$DD238,26),0)</f>
        <v/>
      </c>
      <c r="AC238">
        <f>IFERROR(INDEX(PP_Grid[#Data],$DD238,27),0)</f>
        <v/>
      </c>
      <c r="AD238">
        <f>IFERROR(INDEX(PP_Grid[#Data],$DD238,28),0)</f>
        <v/>
      </c>
      <c r="AE238">
        <f>IFERROR(INDEX(PP_Grid[#Data],$DD238,29),0)</f>
        <v/>
      </c>
      <c r="AF238">
        <f>IFERROR(INDEX(PP_Grid[#Data],$DD238,30),0)</f>
        <v/>
      </c>
      <c r="AG238">
        <f>IFERROR(INDEX(PP_Grid[#Data],$DD238,31),0)</f>
        <v/>
      </c>
      <c r="AH238">
        <f>IFERROR(INDEX(PP_Grid[#Data],$DD238,32),0)</f>
        <v/>
      </c>
      <c r="AI238">
        <f>IFERROR(INDEX(PP_Grid[#Data],$DD238,33),0)</f>
        <v/>
      </c>
      <c r="AJ238">
        <f>IFERROR(INDEX(PP_Grid[#Data],$DD238,34),0)</f>
        <v/>
      </c>
      <c r="AK238">
        <f>IFERROR(INDEX(PP_Grid[#Data],$DD238,35),0)</f>
        <v/>
      </c>
      <c r="AL238">
        <f>IFERROR(INDEX(PP_Grid[#Data],$DD238,36),0)</f>
        <v/>
      </c>
      <c r="AM238">
        <f>IFERROR(INDEX(PP_Grid[#Data],$DD238,37),0)</f>
        <v/>
      </c>
      <c r="AN238">
        <f>IFERROR(INDEX(PP_Grid[#Data],$DD238,38),0)</f>
        <v/>
      </c>
      <c r="AO238">
        <f>IFERROR(INDEX(PP_Grid[#Data],$DD238,39),0)</f>
        <v/>
      </c>
      <c r="AP238">
        <f>IFERROR(INDEX(PP_Grid[#Data],$DD238,40),0)</f>
        <v/>
      </c>
      <c r="AQ238">
        <f>IFERROR(INDEX(PP_Grid[#Data],$DD238,41),0)</f>
        <v/>
      </c>
      <c r="AR238">
        <f>IFERROR(INDEX(PP_Grid[#Data],$DD238,42),0)</f>
        <v/>
      </c>
      <c r="AS238">
        <f>IFERROR(INDEX(PP_Grid[#Data],$DD238,43),0)</f>
        <v/>
      </c>
      <c r="AT238">
        <f>IFERROR(INDEX(PP_Grid[#Data],$DD238,44),0)</f>
        <v/>
      </c>
      <c r="AU238">
        <f>IFERROR(INDEX(PP_Grid[#Data],$DD238,45),0)</f>
        <v/>
      </c>
      <c r="AV238">
        <f>IFERROR(INDEX(PP_Grid[#Data],$DD238,46),0)</f>
        <v/>
      </c>
      <c r="AW238">
        <f>IFERROR(INDEX(PP_Grid[#Data],$DD238,47),0)</f>
        <v/>
      </c>
      <c r="AX238">
        <f>IFERROR(INDEX(PP_Grid[#Data],$DD238,48),0)</f>
        <v/>
      </c>
      <c r="AY238">
        <f>IFERROR(INDEX(PP_Grid[#Data],$DD238,49),0)</f>
        <v/>
      </c>
      <c r="AZ238">
        <f>IFERROR(INDEX(PP_Grid[#Data],$DD238,50),0)</f>
        <v/>
      </c>
      <c r="BA238">
        <f>IFERROR(INDEX(PP_Grid[#Data],$DD238,51),0)</f>
        <v/>
      </c>
      <c r="BB238">
        <f>IFERROR(INDEX(PP_Grid[#Data],$DD238,52),0)</f>
        <v/>
      </c>
      <c r="BC238">
        <f>IFERROR(INDEX(PP_Grid[#Data],$DD238,53),0)</f>
        <v/>
      </c>
      <c r="BD238">
        <f>IFERROR(INDEX(PP_Grid[#Data],$DD238,54),0)</f>
        <v/>
      </c>
      <c r="BE238">
        <f>IFERROR(INDEX(PP_Grid[#Data],$DD238,55),0)</f>
        <v/>
      </c>
      <c r="BF238">
        <f>IFERROR(INDEX(PP_Grid[#Data],$DD238,56),0)</f>
        <v/>
      </c>
      <c r="BG238">
        <f>IFERROR(INDEX(PP_Grid[#Data],$DD238,57),0)</f>
        <v/>
      </c>
      <c r="BH238">
        <f>IFERROR(INDEX(PP_Grid[#Data],$DD238,58),0)</f>
        <v/>
      </c>
      <c r="BI238">
        <f>IFERROR(INDEX(PP_Grid[#Data],$DD238,59),0)</f>
        <v/>
      </c>
      <c r="BJ238">
        <f>IFERROR(INDEX(PP_Grid[#Data],$DD238,60),0)</f>
        <v/>
      </c>
      <c r="BK238">
        <f>IFERROR(INDEX(PP_Grid[#Data],$DD238,61),0)</f>
        <v/>
      </c>
      <c r="BL238">
        <f>IFERROR(INDEX(PP_Grid[#Data],$DD238,62),0)</f>
        <v/>
      </c>
      <c r="BM238">
        <f>IFERROR(INDEX(PP_Grid[#Data],$DD238,63),0)</f>
        <v/>
      </c>
      <c r="BN238">
        <f>IFERROR(INDEX(PP_Grid[#Data],$DD238,64),0)</f>
        <v/>
      </c>
      <c r="BO238">
        <f>IFERROR(INDEX(PP_Grid[#Data],$DD238,65),0)</f>
        <v/>
      </c>
      <c r="BP238">
        <f>IFERROR(INDEX(PP_Grid[#Data],$DD238,66),0)</f>
        <v/>
      </c>
      <c r="BQ238">
        <f>IFERROR(INDEX(PP_Grid[#Data],$DD238,67),0)</f>
        <v/>
      </c>
      <c r="BR238">
        <f>IFERROR(INDEX(PP_Grid[#Data],$DD238,68),0)</f>
        <v/>
      </c>
      <c r="BS238">
        <f>IFERROR(INDEX(PP_Grid[#Data],$DD238,69),0)</f>
        <v/>
      </c>
      <c r="BT238">
        <f>IFERROR(INDEX(PP_Grid[#Data],$DD238,70),0)</f>
        <v/>
      </c>
      <c r="BU238">
        <f>IFERROR(INDEX(PP_Grid[#Data],$DD238,71),0)</f>
        <v/>
      </c>
      <c r="BV238">
        <f>IFERROR(INDEX(PP_Grid[#Data],$DD238,72),0)</f>
        <v/>
      </c>
      <c r="BW238">
        <f>IFERROR(INDEX(PP_Grid[#Data],$DD238,73),0)</f>
        <v/>
      </c>
      <c r="BX238">
        <f>IFERROR(INDEX(PP_Grid[#Data],$DD238,74),0)</f>
        <v/>
      </c>
      <c r="BY238">
        <f>IFERROR(INDEX(PP_Grid[#Data],$DD238,75),0)</f>
        <v/>
      </c>
      <c r="BZ238">
        <f>IFERROR(INDEX(PP_Grid[#Data],$DD238,76),0)</f>
        <v/>
      </c>
      <c r="CA238">
        <f>IFERROR(INDEX(PP_Grid[#Data],$DD238,77),0)</f>
        <v/>
      </c>
      <c r="CB238">
        <f>IFERROR(INDEX(PP_Grid[#Data],$DD238,78),0)</f>
        <v/>
      </c>
      <c r="CC238">
        <f>IFERROR(INDEX(PP_Grid[#Data],$DD238,79),0)</f>
        <v/>
      </c>
      <c r="CD238">
        <f>IFERROR(INDEX(PP_Grid[#Data],$DD238,80),0)</f>
        <v/>
      </c>
      <c r="CE238">
        <f>IFERROR(INDEX(PP_Grid[#Data],$DD238,81),0)</f>
        <v/>
      </c>
      <c r="CF238">
        <f>IFERROR(INDEX(PP_Grid[#Data],$DD238,82),0)</f>
        <v/>
      </c>
      <c r="CG238">
        <f>IFERROR(INDEX(PP_Grid[#Data],$DD238,83),0)</f>
        <v/>
      </c>
      <c r="CH238">
        <f>IFERROR(INDEX(PP_Grid[#Data],$DD238,84),0)</f>
        <v/>
      </c>
      <c r="CI238">
        <f>IFERROR(INDEX(PP_Grid[#Data],$DD238,85),0)</f>
        <v/>
      </c>
      <c r="CJ238">
        <f>IFERROR(INDEX(PP_Grid[#Data],$DD238,86),0)</f>
        <v/>
      </c>
      <c r="CK238">
        <f>IFERROR(INDEX(PP_Grid[#Data],$DD238,87),0)</f>
        <v/>
      </c>
      <c r="CL238">
        <f>IFERROR(INDEX(PP_Grid[#Data],$DD238,88),0)</f>
        <v/>
      </c>
      <c r="CM238">
        <f>IFERROR(INDEX(PP_Grid[#Data],$DD238,89),0)</f>
        <v/>
      </c>
      <c r="CN238">
        <f>IFERROR(INDEX(PP_Grid[#Data],$DD238,90),0)</f>
        <v/>
      </c>
      <c r="CO238">
        <f>IFERROR(INDEX(PP_Grid[#Data],$DD238,91),0)</f>
        <v/>
      </c>
      <c r="CP238">
        <f>IFERROR(INDEX(PP_Grid[#Data],$DD238,92),0)</f>
        <v/>
      </c>
      <c r="CQ238">
        <f>IFERROR(INDEX(PP_Grid[#Data],$DD238,93),0)</f>
        <v/>
      </c>
      <c r="CR238">
        <f>IFERROR(INDEX(PP_Grid[#Data],$DD238,94),0)</f>
        <v/>
      </c>
      <c r="CS238">
        <f>IFERROR(INDEX(PP_Grid[#Data],$DD238,95),0)</f>
        <v/>
      </c>
      <c r="CT238">
        <f>IFERROR(INDEX(PP_Grid[#Data],$DD238,96),0)</f>
        <v/>
      </c>
      <c r="CU238">
        <f>IFERROR(INDEX(PP_Grid[#Data],$DD238,97),0)</f>
        <v/>
      </c>
      <c r="CV238">
        <f>IFERROR(INDEX(PP_Grid[#Data],$DD238,98),0)</f>
        <v/>
      </c>
      <c r="CW238">
        <f>IFERROR(INDEX(PP_Grid[#Data],$DD238,99),0)</f>
        <v/>
      </c>
      <c r="CX238">
        <f>IFERROR(INDEX(PP_Grid[#Data],$DD238,100),0)</f>
        <v/>
      </c>
      <c r="CY238">
        <f>IFERROR(INDEX(PP_Grid[#Data],$DD238,101),0)</f>
        <v/>
      </c>
      <c r="CZ238">
        <f>IFERROR(INDEX(PP_Grid[#Data],$DD238,102),0)</f>
        <v/>
      </c>
      <c r="DA238">
        <f>IFERROR(INDEX(PP_Grid[#Data],$DD238,103),0)</f>
        <v/>
      </c>
      <c r="DB238">
        <f>IFERROR(INDEX(PP_Grid[#Data],$DD238,104),0)</f>
        <v/>
      </c>
      <c r="DC238">
        <f>IFERROR(INDEX(PP_Grid[#Data],$DD238,105),0)</f>
        <v/>
      </c>
      <c r="DD238" s="7">
        <f>IFERROR(MATCH($B238,PP_Grid[Intermediate],0),99999)</f>
        <v/>
      </c>
    </row>
    <row r="239">
      <c r="B239" t="inlineStr">
        <is>
          <t>使用量(kg)</t>
        </is>
      </c>
      <c r="C239">
        <f>SUMIFS(M_BOM[RM_Qty_Per_Batch],M_BOM[Intermediate],$B238,M_BOM[Part Name],$A219)</f>
        <v/>
      </c>
      <c r="D239">
        <f>$C239*D238</f>
        <v/>
      </c>
      <c r="E239">
        <f>$C239*E238</f>
        <v/>
      </c>
      <c r="F239">
        <f>$C239*F238</f>
        <v/>
      </c>
      <c r="G239">
        <f>$C239*G238</f>
        <v/>
      </c>
      <c r="H239">
        <f>$C239*H238</f>
        <v/>
      </c>
      <c r="I239">
        <f>$C239*I238</f>
        <v/>
      </c>
      <c r="J239">
        <f>$C239*J238</f>
        <v/>
      </c>
      <c r="K239">
        <f>$C239*K238</f>
        <v/>
      </c>
      <c r="L239">
        <f>$C239*L238</f>
        <v/>
      </c>
      <c r="M239">
        <f>$C239*M238</f>
        <v/>
      </c>
      <c r="N239">
        <f>$C239*N238</f>
        <v/>
      </c>
      <c r="O239">
        <f>$C239*O238</f>
        <v/>
      </c>
      <c r="P239">
        <f>$C239*P238</f>
        <v/>
      </c>
      <c r="Q239">
        <f>$C239*Q238</f>
        <v/>
      </c>
      <c r="R239">
        <f>$C239*R238</f>
        <v/>
      </c>
      <c r="S239">
        <f>$C239*S238</f>
        <v/>
      </c>
      <c r="T239">
        <f>$C239*T238</f>
        <v/>
      </c>
      <c r="U239">
        <f>$C239*U238</f>
        <v/>
      </c>
      <c r="V239">
        <f>$C239*V238</f>
        <v/>
      </c>
      <c r="W239">
        <f>$C239*W238</f>
        <v/>
      </c>
      <c r="X239">
        <f>$C239*X238</f>
        <v/>
      </c>
      <c r="Y239">
        <f>$C239*Y238</f>
        <v/>
      </c>
      <c r="Z239">
        <f>$C239*Z238</f>
        <v/>
      </c>
      <c r="AA239">
        <f>$C239*AA238</f>
        <v/>
      </c>
      <c r="AB239">
        <f>$C239*AB238</f>
        <v/>
      </c>
      <c r="AC239">
        <f>$C239*AC238</f>
        <v/>
      </c>
      <c r="AD239">
        <f>$C239*AD238</f>
        <v/>
      </c>
      <c r="AE239">
        <f>$C239*AE238</f>
        <v/>
      </c>
      <c r="AF239">
        <f>$C239*AF238</f>
        <v/>
      </c>
      <c r="AG239">
        <f>$C239*AG238</f>
        <v/>
      </c>
      <c r="AH239">
        <f>$C239*AH238</f>
        <v/>
      </c>
      <c r="AI239">
        <f>$C239*AI238</f>
        <v/>
      </c>
      <c r="AJ239">
        <f>$C239*AJ238</f>
        <v/>
      </c>
      <c r="AK239">
        <f>$C239*AK238</f>
        <v/>
      </c>
      <c r="AL239">
        <f>$C239*AL238</f>
        <v/>
      </c>
      <c r="AM239">
        <f>$C239*AM238</f>
        <v/>
      </c>
      <c r="AN239">
        <f>$C239*AN238</f>
        <v/>
      </c>
      <c r="AO239">
        <f>$C239*AO238</f>
        <v/>
      </c>
      <c r="AP239">
        <f>$C239*AP238</f>
        <v/>
      </c>
      <c r="AQ239">
        <f>$C239*AQ238</f>
        <v/>
      </c>
      <c r="AR239">
        <f>$C239*AR238</f>
        <v/>
      </c>
      <c r="AS239">
        <f>$C239*AS238</f>
        <v/>
      </c>
      <c r="AT239">
        <f>$C239*AT238</f>
        <v/>
      </c>
      <c r="AU239">
        <f>$C239*AU238</f>
        <v/>
      </c>
      <c r="AV239">
        <f>$C239*AV238</f>
        <v/>
      </c>
      <c r="AW239">
        <f>$C239*AW238</f>
        <v/>
      </c>
      <c r="AX239">
        <f>$C239*AX238</f>
        <v/>
      </c>
      <c r="AY239">
        <f>$C239*AY238</f>
        <v/>
      </c>
      <c r="AZ239">
        <f>$C239*AZ238</f>
        <v/>
      </c>
      <c r="BA239">
        <f>$C239*BA238</f>
        <v/>
      </c>
      <c r="BB239">
        <f>$C239*BB238</f>
        <v/>
      </c>
      <c r="BC239">
        <f>$C239*BC238</f>
        <v/>
      </c>
      <c r="BD239">
        <f>$C239*BD238</f>
        <v/>
      </c>
      <c r="BE239">
        <f>$C239*BE238</f>
        <v/>
      </c>
      <c r="BF239">
        <f>$C239*BF238</f>
        <v/>
      </c>
      <c r="BG239">
        <f>$C239*BG238</f>
        <v/>
      </c>
      <c r="BH239">
        <f>$C239*BH238</f>
        <v/>
      </c>
      <c r="BI239">
        <f>$C239*BI238</f>
        <v/>
      </c>
      <c r="BJ239">
        <f>$C239*BJ238</f>
        <v/>
      </c>
      <c r="BK239">
        <f>$C239*BK238</f>
        <v/>
      </c>
      <c r="BL239">
        <f>$C239*BL238</f>
        <v/>
      </c>
      <c r="BM239">
        <f>$C239*BM238</f>
        <v/>
      </c>
      <c r="BN239">
        <f>$C239*BN238</f>
        <v/>
      </c>
      <c r="BO239">
        <f>$C239*BO238</f>
        <v/>
      </c>
      <c r="BP239">
        <f>$C239*BP238</f>
        <v/>
      </c>
      <c r="BQ239">
        <f>$C239*BQ238</f>
        <v/>
      </c>
      <c r="BR239">
        <f>$C239*BR238</f>
        <v/>
      </c>
      <c r="BS239">
        <f>$C239*BS238</f>
        <v/>
      </c>
      <c r="BT239">
        <f>$C239*BT238</f>
        <v/>
      </c>
      <c r="BU239">
        <f>$C239*BU238</f>
        <v/>
      </c>
      <c r="BV239">
        <f>$C239*BV238</f>
        <v/>
      </c>
      <c r="BW239">
        <f>$C239*BW238</f>
        <v/>
      </c>
      <c r="BX239">
        <f>$C239*BX238</f>
        <v/>
      </c>
      <c r="BY239">
        <f>$C239*BY238</f>
        <v/>
      </c>
      <c r="BZ239">
        <f>$C239*BZ238</f>
        <v/>
      </c>
      <c r="CA239">
        <f>$C239*CA238</f>
        <v/>
      </c>
      <c r="CB239">
        <f>$C239*CB238</f>
        <v/>
      </c>
      <c r="CC239">
        <f>$C239*CC238</f>
        <v/>
      </c>
      <c r="CD239">
        <f>$C239*CD238</f>
        <v/>
      </c>
      <c r="CE239">
        <f>$C239*CE238</f>
        <v/>
      </c>
      <c r="CF239">
        <f>$C239*CF238</f>
        <v/>
      </c>
      <c r="CG239">
        <f>$C239*CG238</f>
        <v/>
      </c>
      <c r="CH239">
        <f>$C239*CH238</f>
        <v/>
      </c>
      <c r="CI239">
        <f>$C239*CI238</f>
        <v/>
      </c>
      <c r="CJ239">
        <f>$C239*CJ238</f>
        <v/>
      </c>
      <c r="CK239">
        <f>$C239*CK238</f>
        <v/>
      </c>
      <c r="CL239">
        <f>$C239*CL238</f>
        <v/>
      </c>
      <c r="CM239">
        <f>$C239*CM238</f>
        <v/>
      </c>
      <c r="CN239">
        <f>$C239*CN238</f>
        <v/>
      </c>
      <c r="CO239">
        <f>$C239*CO238</f>
        <v/>
      </c>
      <c r="CP239">
        <f>$C239*CP238</f>
        <v/>
      </c>
      <c r="CQ239">
        <f>$C239*CQ238</f>
        <v/>
      </c>
      <c r="CR239">
        <f>$C239*CR238</f>
        <v/>
      </c>
      <c r="CS239">
        <f>$C239*CS238</f>
        <v/>
      </c>
      <c r="CT239">
        <f>$C239*CT238</f>
        <v/>
      </c>
      <c r="CU239">
        <f>$C239*CU238</f>
        <v/>
      </c>
      <c r="CV239">
        <f>$C239*CV238</f>
        <v/>
      </c>
      <c r="CW239">
        <f>$C239*CW238</f>
        <v/>
      </c>
      <c r="CX239">
        <f>$C239*CX238</f>
        <v/>
      </c>
      <c r="CY239">
        <f>$C239*CY238</f>
        <v/>
      </c>
      <c r="CZ239">
        <f>$C239*CZ238</f>
        <v/>
      </c>
      <c r="DA239">
        <f>$C239*DA238</f>
        <v/>
      </c>
      <c r="DB239">
        <f>$C239*DB238</f>
        <v/>
      </c>
      <c r="DC239">
        <f>$C239*DC238</f>
        <v/>
      </c>
    </row>
    <row r="240">
      <c r="B240" t="inlineStr">
        <is>
          <t>TSP-369</t>
        </is>
      </c>
      <c r="C240" t="inlineStr">
        <is>
          <t>No. of batches</t>
        </is>
      </c>
      <c r="D240">
        <f>IFERROR(INDEX(PP_Grid[#Data],$DD240,2),0)</f>
        <v/>
      </c>
      <c r="E240">
        <f>IFERROR(INDEX(PP_Grid[#Data],$DD240,3),0)</f>
        <v/>
      </c>
      <c r="F240">
        <f>IFERROR(INDEX(PP_Grid[#Data],$DD240,4),0)</f>
        <v/>
      </c>
      <c r="G240">
        <f>IFERROR(INDEX(PP_Grid[#Data],$DD240,5),0)</f>
        <v/>
      </c>
      <c r="H240">
        <f>IFERROR(INDEX(PP_Grid[#Data],$DD240,6),0)</f>
        <v/>
      </c>
      <c r="I240">
        <f>IFERROR(INDEX(PP_Grid[#Data],$DD240,7),0)</f>
        <v/>
      </c>
      <c r="J240">
        <f>IFERROR(INDEX(PP_Grid[#Data],$DD240,8),0)</f>
        <v/>
      </c>
      <c r="K240">
        <f>IFERROR(INDEX(PP_Grid[#Data],$DD240,9),0)</f>
        <v/>
      </c>
      <c r="L240">
        <f>IFERROR(INDEX(PP_Grid[#Data],$DD240,10),0)</f>
        <v/>
      </c>
      <c r="M240">
        <f>IFERROR(INDEX(PP_Grid[#Data],$DD240,11),0)</f>
        <v/>
      </c>
      <c r="N240">
        <f>IFERROR(INDEX(PP_Grid[#Data],$DD240,12),0)</f>
        <v/>
      </c>
      <c r="O240">
        <f>IFERROR(INDEX(PP_Grid[#Data],$DD240,13),0)</f>
        <v/>
      </c>
      <c r="P240">
        <f>IFERROR(INDEX(PP_Grid[#Data],$DD240,14),0)</f>
        <v/>
      </c>
      <c r="Q240">
        <f>IFERROR(INDEX(PP_Grid[#Data],$DD240,15),0)</f>
        <v/>
      </c>
      <c r="R240">
        <f>IFERROR(INDEX(PP_Grid[#Data],$DD240,16),0)</f>
        <v/>
      </c>
      <c r="S240">
        <f>IFERROR(INDEX(PP_Grid[#Data],$DD240,17),0)</f>
        <v/>
      </c>
      <c r="T240">
        <f>IFERROR(INDEX(PP_Grid[#Data],$DD240,18),0)</f>
        <v/>
      </c>
      <c r="U240">
        <f>IFERROR(INDEX(PP_Grid[#Data],$DD240,19),0)</f>
        <v/>
      </c>
      <c r="V240">
        <f>IFERROR(INDEX(PP_Grid[#Data],$DD240,20),0)</f>
        <v/>
      </c>
      <c r="W240">
        <f>IFERROR(INDEX(PP_Grid[#Data],$DD240,21),0)</f>
        <v/>
      </c>
      <c r="X240">
        <f>IFERROR(INDEX(PP_Grid[#Data],$DD240,22),0)</f>
        <v/>
      </c>
      <c r="Y240">
        <f>IFERROR(INDEX(PP_Grid[#Data],$DD240,23),0)</f>
        <v/>
      </c>
      <c r="Z240">
        <f>IFERROR(INDEX(PP_Grid[#Data],$DD240,24),0)</f>
        <v/>
      </c>
      <c r="AA240">
        <f>IFERROR(INDEX(PP_Grid[#Data],$DD240,25),0)</f>
        <v/>
      </c>
      <c r="AB240">
        <f>IFERROR(INDEX(PP_Grid[#Data],$DD240,26),0)</f>
        <v/>
      </c>
      <c r="AC240">
        <f>IFERROR(INDEX(PP_Grid[#Data],$DD240,27),0)</f>
        <v/>
      </c>
      <c r="AD240">
        <f>IFERROR(INDEX(PP_Grid[#Data],$DD240,28),0)</f>
        <v/>
      </c>
      <c r="AE240">
        <f>IFERROR(INDEX(PP_Grid[#Data],$DD240,29),0)</f>
        <v/>
      </c>
      <c r="AF240">
        <f>IFERROR(INDEX(PP_Grid[#Data],$DD240,30),0)</f>
        <v/>
      </c>
      <c r="AG240">
        <f>IFERROR(INDEX(PP_Grid[#Data],$DD240,31),0)</f>
        <v/>
      </c>
      <c r="AH240">
        <f>IFERROR(INDEX(PP_Grid[#Data],$DD240,32),0)</f>
        <v/>
      </c>
      <c r="AI240">
        <f>IFERROR(INDEX(PP_Grid[#Data],$DD240,33),0)</f>
        <v/>
      </c>
      <c r="AJ240">
        <f>IFERROR(INDEX(PP_Grid[#Data],$DD240,34),0)</f>
        <v/>
      </c>
      <c r="AK240">
        <f>IFERROR(INDEX(PP_Grid[#Data],$DD240,35),0)</f>
        <v/>
      </c>
      <c r="AL240">
        <f>IFERROR(INDEX(PP_Grid[#Data],$DD240,36),0)</f>
        <v/>
      </c>
      <c r="AM240">
        <f>IFERROR(INDEX(PP_Grid[#Data],$DD240,37),0)</f>
        <v/>
      </c>
      <c r="AN240">
        <f>IFERROR(INDEX(PP_Grid[#Data],$DD240,38),0)</f>
        <v/>
      </c>
      <c r="AO240">
        <f>IFERROR(INDEX(PP_Grid[#Data],$DD240,39),0)</f>
        <v/>
      </c>
      <c r="AP240">
        <f>IFERROR(INDEX(PP_Grid[#Data],$DD240,40),0)</f>
        <v/>
      </c>
      <c r="AQ240">
        <f>IFERROR(INDEX(PP_Grid[#Data],$DD240,41),0)</f>
        <v/>
      </c>
      <c r="AR240">
        <f>IFERROR(INDEX(PP_Grid[#Data],$DD240,42),0)</f>
        <v/>
      </c>
      <c r="AS240">
        <f>IFERROR(INDEX(PP_Grid[#Data],$DD240,43),0)</f>
        <v/>
      </c>
      <c r="AT240">
        <f>IFERROR(INDEX(PP_Grid[#Data],$DD240,44),0)</f>
        <v/>
      </c>
      <c r="AU240">
        <f>IFERROR(INDEX(PP_Grid[#Data],$DD240,45),0)</f>
        <v/>
      </c>
      <c r="AV240">
        <f>IFERROR(INDEX(PP_Grid[#Data],$DD240,46),0)</f>
        <v/>
      </c>
      <c r="AW240">
        <f>IFERROR(INDEX(PP_Grid[#Data],$DD240,47),0)</f>
        <v/>
      </c>
      <c r="AX240">
        <f>IFERROR(INDEX(PP_Grid[#Data],$DD240,48),0)</f>
        <v/>
      </c>
      <c r="AY240">
        <f>IFERROR(INDEX(PP_Grid[#Data],$DD240,49),0)</f>
        <v/>
      </c>
      <c r="AZ240">
        <f>IFERROR(INDEX(PP_Grid[#Data],$DD240,50),0)</f>
        <v/>
      </c>
      <c r="BA240">
        <f>IFERROR(INDEX(PP_Grid[#Data],$DD240,51),0)</f>
        <v/>
      </c>
      <c r="BB240">
        <f>IFERROR(INDEX(PP_Grid[#Data],$DD240,52),0)</f>
        <v/>
      </c>
      <c r="BC240">
        <f>IFERROR(INDEX(PP_Grid[#Data],$DD240,53),0)</f>
        <v/>
      </c>
      <c r="BD240">
        <f>IFERROR(INDEX(PP_Grid[#Data],$DD240,54),0)</f>
        <v/>
      </c>
      <c r="BE240">
        <f>IFERROR(INDEX(PP_Grid[#Data],$DD240,55),0)</f>
        <v/>
      </c>
      <c r="BF240">
        <f>IFERROR(INDEX(PP_Grid[#Data],$DD240,56),0)</f>
        <v/>
      </c>
      <c r="BG240">
        <f>IFERROR(INDEX(PP_Grid[#Data],$DD240,57),0)</f>
        <v/>
      </c>
      <c r="BH240">
        <f>IFERROR(INDEX(PP_Grid[#Data],$DD240,58),0)</f>
        <v/>
      </c>
      <c r="BI240">
        <f>IFERROR(INDEX(PP_Grid[#Data],$DD240,59),0)</f>
        <v/>
      </c>
      <c r="BJ240">
        <f>IFERROR(INDEX(PP_Grid[#Data],$DD240,60),0)</f>
        <v/>
      </c>
      <c r="BK240">
        <f>IFERROR(INDEX(PP_Grid[#Data],$DD240,61),0)</f>
        <v/>
      </c>
      <c r="BL240">
        <f>IFERROR(INDEX(PP_Grid[#Data],$DD240,62),0)</f>
        <v/>
      </c>
      <c r="BM240">
        <f>IFERROR(INDEX(PP_Grid[#Data],$DD240,63),0)</f>
        <v/>
      </c>
      <c r="BN240">
        <f>IFERROR(INDEX(PP_Grid[#Data],$DD240,64),0)</f>
        <v/>
      </c>
      <c r="BO240">
        <f>IFERROR(INDEX(PP_Grid[#Data],$DD240,65),0)</f>
        <v/>
      </c>
      <c r="BP240">
        <f>IFERROR(INDEX(PP_Grid[#Data],$DD240,66),0)</f>
        <v/>
      </c>
      <c r="BQ240">
        <f>IFERROR(INDEX(PP_Grid[#Data],$DD240,67),0)</f>
        <v/>
      </c>
      <c r="BR240">
        <f>IFERROR(INDEX(PP_Grid[#Data],$DD240,68),0)</f>
        <v/>
      </c>
      <c r="BS240">
        <f>IFERROR(INDEX(PP_Grid[#Data],$DD240,69),0)</f>
        <v/>
      </c>
      <c r="BT240">
        <f>IFERROR(INDEX(PP_Grid[#Data],$DD240,70),0)</f>
        <v/>
      </c>
      <c r="BU240">
        <f>IFERROR(INDEX(PP_Grid[#Data],$DD240,71),0)</f>
        <v/>
      </c>
      <c r="BV240">
        <f>IFERROR(INDEX(PP_Grid[#Data],$DD240,72),0)</f>
        <v/>
      </c>
      <c r="BW240">
        <f>IFERROR(INDEX(PP_Grid[#Data],$DD240,73),0)</f>
        <v/>
      </c>
      <c r="BX240">
        <f>IFERROR(INDEX(PP_Grid[#Data],$DD240,74),0)</f>
        <v/>
      </c>
      <c r="BY240">
        <f>IFERROR(INDEX(PP_Grid[#Data],$DD240,75),0)</f>
        <v/>
      </c>
      <c r="BZ240">
        <f>IFERROR(INDEX(PP_Grid[#Data],$DD240,76),0)</f>
        <v/>
      </c>
      <c r="CA240">
        <f>IFERROR(INDEX(PP_Grid[#Data],$DD240,77),0)</f>
        <v/>
      </c>
      <c r="CB240">
        <f>IFERROR(INDEX(PP_Grid[#Data],$DD240,78),0)</f>
        <v/>
      </c>
      <c r="CC240">
        <f>IFERROR(INDEX(PP_Grid[#Data],$DD240,79),0)</f>
        <v/>
      </c>
      <c r="CD240">
        <f>IFERROR(INDEX(PP_Grid[#Data],$DD240,80),0)</f>
        <v/>
      </c>
      <c r="CE240">
        <f>IFERROR(INDEX(PP_Grid[#Data],$DD240,81),0)</f>
        <v/>
      </c>
      <c r="CF240">
        <f>IFERROR(INDEX(PP_Grid[#Data],$DD240,82),0)</f>
        <v/>
      </c>
      <c r="CG240">
        <f>IFERROR(INDEX(PP_Grid[#Data],$DD240,83),0)</f>
        <v/>
      </c>
      <c r="CH240">
        <f>IFERROR(INDEX(PP_Grid[#Data],$DD240,84),0)</f>
        <v/>
      </c>
      <c r="CI240">
        <f>IFERROR(INDEX(PP_Grid[#Data],$DD240,85),0)</f>
        <v/>
      </c>
      <c r="CJ240">
        <f>IFERROR(INDEX(PP_Grid[#Data],$DD240,86),0)</f>
        <v/>
      </c>
      <c r="CK240">
        <f>IFERROR(INDEX(PP_Grid[#Data],$DD240,87),0)</f>
        <v/>
      </c>
      <c r="CL240">
        <f>IFERROR(INDEX(PP_Grid[#Data],$DD240,88),0)</f>
        <v/>
      </c>
      <c r="CM240">
        <f>IFERROR(INDEX(PP_Grid[#Data],$DD240,89),0)</f>
        <v/>
      </c>
      <c r="CN240">
        <f>IFERROR(INDEX(PP_Grid[#Data],$DD240,90),0)</f>
        <v/>
      </c>
      <c r="CO240">
        <f>IFERROR(INDEX(PP_Grid[#Data],$DD240,91),0)</f>
        <v/>
      </c>
      <c r="CP240">
        <f>IFERROR(INDEX(PP_Grid[#Data],$DD240,92),0)</f>
        <v/>
      </c>
      <c r="CQ240">
        <f>IFERROR(INDEX(PP_Grid[#Data],$DD240,93),0)</f>
        <v/>
      </c>
      <c r="CR240">
        <f>IFERROR(INDEX(PP_Grid[#Data],$DD240,94),0)</f>
        <v/>
      </c>
      <c r="CS240">
        <f>IFERROR(INDEX(PP_Grid[#Data],$DD240,95),0)</f>
        <v/>
      </c>
      <c r="CT240">
        <f>IFERROR(INDEX(PP_Grid[#Data],$DD240,96),0)</f>
        <v/>
      </c>
      <c r="CU240">
        <f>IFERROR(INDEX(PP_Grid[#Data],$DD240,97),0)</f>
        <v/>
      </c>
      <c r="CV240">
        <f>IFERROR(INDEX(PP_Grid[#Data],$DD240,98),0)</f>
        <v/>
      </c>
      <c r="CW240">
        <f>IFERROR(INDEX(PP_Grid[#Data],$DD240,99),0)</f>
        <v/>
      </c>
      <c r="CX240">
        <f>IFERROR(INDEX(PP_Grid[#Data],$DD240,100),0)</f>
        <v/>
      </c>
      <c r="CY240">
        <f>IFERROR(INDEX(PP_Grid[#Data],$DD240,101),0)</f>
        <v/>
      </c>
      <c r="CZ240">
        <f>IFERROR(INDEX(PP_Grid[#Data],$DD240,102),0)</f>
        <v/>
      </c>
      <c r="DA240">
        <f>IFERROR(INDEX(PP_Grid[#Data],$DD240,103),0)</f>
        <v/>
      </c>
      <c r="DB240">
        <f>IFERROR(INDEX(PP_Grid[#Data],$DD240,104),0)</f>
        <v/>
      </c>
      <c r="DC240">
        <f>IFERROR(INDEX(PP_Grid[#Data],$DD240,105),0)</f>
        <v/>
      </c>
      <c r="DD240" s="7">
        <f>IFERROR(MATCH($B240,PP_Grid[Intermediate],0),99999)</f>
        <v/>
      </c>
    </row>
    <row r="241">
      <c r="B241" t="inlineStr">
        <is>
          <t>使用量(kg)</t>
        </is>
      </c>
      <c r="C241">
        <f>SUMIFS(M_BOM[RM_Qty_Per_Batch],M_BOM[Intermediate],$B240,M_BOM[Part Name],$A219)</f>
        <v/>
      </c>
      <c r="D241">
        <f>$C241*D240</f>
        <v/>
      </c>
      <c r="E241">
        <f>$C241*E240</f>
        <v/>
      </c>
      <c r="F241">
        <f>$C241*F240</f>
        <v/>
      </c>
      <c r="G241">
        <f>$C241*G240</f>
        <v/>
      </c>
      <c r="H241">
        <f>$C241*H240</f>
        <v/>
      </c>
      <c r="I241">
        <f>$C241*I240</f>
        <v/>
      </c>
      <c r="J241">
        <f>$C241*J240</f>
        <v/>
      </c>
      <c r="K241">
        <f>$C241*K240</f>
        <v/>
      </c>
      <c r="L241">
        <f>$C241*L240</f>
        <v/>
      </c>
      <c r="M241">
        <f>$C241*M240</f>
        <v/>
      </c>
      <c r="N241">
        <f>$C241*N240</f>
        <v/>
      </c>
      <c r="O241">
        <f>$C241*O240</f>
        <v/>
      </c>
      <c r="P241">
        <f>$C241*P240</f>
        <v/>
      </c>
      <c r="Q241">
        <f>$C241*Q240</f>
        <v/>
      </c>
      <c r="R241">
        <f>$C241*R240</f>
        <v/>
      </c>
      <c r="S241">
        <f>$C241*S240</f>
        <v/>
      </c>
      <c r="T241">
        <f>$C241*T240</f>
        <v/>
      </c>
      <c r="U241">
        <f>$C241*U240</f>
        <v/>
      </c>
      <c r="V241">
        <f>$C241*V240</f>
        <v/>
      </c>
      <c r="W241">
        <f>$C241*W240</f>
        <v/>
      </c>
      <c r="X241">
        <f>$C241*X240</f>
        <v/>
      </c>
      <c r="Y241">
        <f>$C241*Y240</f>
        <v/>
      </c>
      <c r="Z241">
        <f>$C241*Z240</f>
        <v/>
      </c>
      <c r="AA241">
        <f>$C241*AA240</f>
        <v/>
      </c>
      <c r="AB241">
        <f>$C241*AB240</f>
        <v/>
      </c>
      <c r="AC241">
        <f>$C241*AC240</f>
        <v/>
      </c>
      <c r="AD241">
        <f>$C241*AD240</f>
        <v/>
      </c>
      <c r="AE241">
        <f>$C241*AE240</f>
        <v/>
      </c>
      <c r="AF241">
        <f>$C241*AF240</f>
        <v/>
      </c>
      <c r="AG241">
        <f>$C241*AG240</f>
        <v/>
      </c>
      <c r="AH241">
        <f>$C241*AH240</f>
        <v/>
      </c>
      <c r="AI241">
        <f>$C241*AI240</f>
        <v/>
      </c>
      <c r="AJ241">
        <f>$C241*AJ240</f>
        <v/>
      </c>
      <c r="AK241">
        <f>$C241*AK240</f>
        <v/>
      </c>
      <c r="AL241">
        <f>$C241*AL240</f>
        <v/>
      </c>
      <c r="AM241">
        <f>$C241*AM240</f>
        <v/>
      </c>
      <c r="AN241">
        <f>$C241*AN240</f>
        <v/>
      </c>
      <c r="AO241">
        <f>$C241*AO240</f>
        <v/>
      </c>
      <c r="AP241">
        <f>$C241*AP240</f>
        <v/>
      </c>
      <c r="AQ241">
        <f>$C241*AQ240</f>
        <v/>
      </c>
      <c r="AR241">
        <f>$C241*AR240</f>
        <v/>
      </c>
      <c r="AS241">
        <f>$C241*AS240</f>
        <v/>
      </c>
      <c r="AT241">
        <f>$C241*AT240</f>
        <v/>
      </c>
      <c r="AU241">
        <f>$C241*AU240</f>
        <v/>
      </c>
      <c r="AV241">
        <f>$C241*AV240</f>
        <v/>
      </c>
      <c r="AW241">
        <f>$C241*AW240</f>
        <v/>
      </c>
      <c r="AX241">
        <f>$C241*AX240</f>
        <v/>
      </c>
      <c r="AY241">
        <f>$C241*AY240</f>
        <v/>
      </c>
      <c r="AZ241">
        <f>$C241*AZ240</f>
        <v/>
      </c>
      <c r="BA241">
        <f>$C241*BA240</f>
        <v/>
      </c>
      <c r="BB241">
        <f>$C241*BB240</f>
        <v/>
      </c>
      <c r="BC241">
        <f>$C241*BC240</f>
        <v/>
      </c>
      <c r="BD241">
        <f>$C241*BD240</f>
        <v/>
      </c>
      <c r="BE241">
        <f>$C241*BE240</f>
        <v/>
      </c>
      <c r="BF241">
        <f>$C241*BF240</f>
        <v/>
      </c>
      <c r="BG241">
        <f>$C241*BG240</f>
        <v/>
      </c>
      <c r="BH241">
        <f>$C241*BH240</f>
        <v/>
      </c>
      <c r="BI241">
        <f>$C241*BI240</f>
        <v/>
      </c>
      <c r="BJ241">
        <f>$C241*BJ240</f>
        <v/>
      </c>
      <c r="BK241">
        <f>$C241*BK240</f>
        <v/>
      </c>
      <c r="BL241">
        <f>$C241*BL240</f>
        <v/>
      </c>
      <c r="BM241">
        <f>$C241*BM240</f>
        <v/>
      </c>
      <c r="BN241">
        <f>$C241*BN240</f>
        <v/>
      </c>
      <c r="BO241">
        <f>$C241*BO240</f>
        <v/>
      </c>
      <c r="BP241">
        <f>$C241*BP240</f>
        <v/>
      </c>
      <c r="BQ241">
        <f>$C241*BQ240</f>
        <v/>
      </c>
      <c r="BR241">
        <f>$C241*BR240</f>
        <v/>
      </c>
      <c r="BS241">
        <f>$C241*BS240</f>
        <v/>
      </c>
      <c r="BT241">
        <f>$C241*BT240</f>
        <v/>
      </c>
      <c r="BU241">
        <f>$C241*BU240</f>
        <v/>
      </c>
      <c r="BV241">
        <f>$C241*BV240</f>
        <v/>
      </c>
      <c r="BW241">
        <f>$C241*BW240</f>
        <v/>
      </c>
      <c r="BX241">
        <f>$C241*BX240</f>
        <v/>
      </c>
      <c r="BY241">
        <f>$C241*BY240</f>
        <v/>
      </c>
      <c r="BZ241">
        <f>$C241*BZ240</f>
        <v/>
      </c>
      <c r="CA241">
        <f>$C241*CA240</f>
        <v/>
      </c>
      <c r="CB241">
        <f>$C241*CB240</f>
        <v/>
      </c>
      <c r="CC241">
        <f>$C241*CC240</f>
        <v/>
      </c>
      <c r="CD241">
        <f>$C241*CD240</f>
        <v/>
      </c>
      <c r="CE241">
        <f>$C241*CE240</f>
        <v/>
      </c>
      <c r="CF241">
        <f>$C241*CF240</f>
        <v/>
      </c>
      <c r="CG241">
        <f>$C241*CG240</f>
        <v/>
      </c>
      <c r="CH241">
        <f>$C241*CH240</f>
        <v/>
      </c>
      <c r="CI241">
        <f>$C241*CI240</f>
        <v/>
      </c>
      <c r="CJ241">
        <f>$C241*CJ240</f>
        <v/>
      </c>
      <c r="CK241">
        <f>$C241*CK240</f>
        <v/>
      </c>
      <c r="CL241">
        <f>$C241*CL240</f>
        <v/>
      </c>
      <c r="CM241">
        <f>$C241*CM240</f>
        <v/>
      </c>
      <c r="CN241">
        <f>$C241*CN240</f>
        <v/>
      </c>
      <c r="CO241">
        <f>$C241*CO240</f>
        <v/>
      </c>
      <c r="CP241">
        <f>$C241*CP240</f>
        <v/>
      </c>
      <c r="CQ241">
        <f>$C241*CQ240</f>
        <v/>
      </c>
      <c r="CR241">
        <f>$C241*CR240</f>
        <v/>
      </c>
      <c r="CS241">
        <f>$C241*CS240</f>
        <v/>
      </c>
      <c r="CT241">
        <f>$C241*CT240</f>
        <v/>
      </c>
      <c r="CU241">
        <f>$C241*CU240</f>
        <v/>
      </c>
      <c r="CV241">
        <f>$C241*CV240</f>
        <v/>
      </c>
      <c r="CW241">
        <f>$C241*CW240</f>
        <v/>
      </c>
      <c r="CX241">
        <f>$C241*CX240</f>
        <v/>
      </c>
      <c r="CY241">
        <f>$C241*CY240</f>
        <v/>
      </c>
      <c r="CZ241">
        <f>$C241*CZ240</f>
        <v/>
      </c>
      <c r="DA241">
        <f>$C241*DA240</f>
        <v/>
      </c>
      <c r="DB241">
        <f>$C241*DB240</f>
        <v/>
      </c>
      <c r="DC241">
        <f>$C241*DC240</f>
        <v/>
      </c>
    </row>
    <row r="242">
      <c r="B242" t="inlineStr">
        <is>
          <t>TSP-390</t>
        </is>
      </c>
      <c r="C242" t="inlineStr">
        <is>
          <t>No. of batches</t>
        </is>
      </c>
      <c r="D242">
        <f>IFERROR(INDEX(PP_Grid[#Data],$DD242,2),0)</f>
        <v/>
      </c>
      <c r="E242">
        <f>IFERROR(INDEX(PP_Grid[#Data],$DD242,3),0)</f>
        <v/>
      </c>
      <c r="F242">
        <f>IFERROR(INDEX(PP_Grid[#Data],$DD242,4),0)</f>
        <v/>
      </c>
      <c r="G242">
        <f>IFERROR(INDEX(PP_Grid[#Data],$DD242,5),0)</f>
        <v/>
      </c>
      <c r="H242">
        <f>IFERROR(INDEX(PP_Grid[#Data],$DD242,6),0)</f>
        <v/>
      </c>
      <c r="I242">
        <f>IFERROR(INDEX(PP_Grid[#Data],$DD242,7),0)</f>
        <v/>
      </c>
      <c r="J242">
        <f>IFERROR(INDEX(PP_Grid[#Data],$DD242,8),0)</f>
        <v/>
      </c>
      <c r="K242">
        <f>IFERROR(INDEX(PP_Grid[#Data],$DD242,9),0)</f>
        <v/>
      </c>
      <c r="L242">
        <f>IFERROR(INDEX(PP_Grid[#Data],$DD242,10),0)</f>
        <v/>
      </c>
      <c r="M242">
        <f>IFERROR(INDEX(PP_Grid[#Data],$DD242,11),0)</f>
        <v/>
      </c>
      <c r="N242">
        <f>IFERROR(INDEX(PP_Grid[#Data],$DD242,12),0)</f>
        <v/>
      </c>
      <c r="O242">
        <f>IFERROR(INDEX(PP_Grid[#Data],$DD242,13),0)</f>
        <v/>
      </c>
      <c r="P242">
        <f>IFERROR(INDEX(PP_Grid[#Data],$DD242,14),0)</f>
        <v/>
      </c>
      <c r="Q242">
        <f>IFERROR(INDEX(PP_Grid[#Data],$DD242,15),0)</f>
        <v/>
      </c>
      <c r="R242">
        <f>IFERROR(INDEX(PP_Grid[#Data],$DD242,16),0)</f>
        <v/>
      </c>
      <c r="S242">
        <f>IFERROR(INDEX(PP_Grid[#Data],$DD242,17),0)</f>
        <v/>
      </c>
      <c r="T242">
        <f>IFERROR(INDEX(PP_Grid[#Data],$DD242,18),0)</f>
        <v/>
      </c>
      <c r="U242">
        <f>IFERROR(INDEX(PP_Grid[#Data],$DD242,19),0)</f>
        <v/>
      </c>
      <c r="V242">
        <f>IFERROR(INDEX(PP_Grid[#Data],$DD242,20),0)</f>
        <v/>
      </c>
      <c r="W242">
        <f>IFERROR(INDEX(PP_Grid[#Data],$DD242,21),0)</f>
        <v/>
      </c>
      <c r="X242">
        <f>IFERROR(INDEX(PP_Grid[#Data],$DD242,22),0)</f>
        <v/>
      </c>
      <c r="Y242">
        <f>IFERROR(INDEX(PP_Grid[#Data],$DD242,23),0)</f>
        <v/>
      </c>
      <c r="Z242">
        <f>IFERROR(INDEX(PP_Grid[#Data],$DD242,24),0)</f>
        <v/>
      </c>
      <c r="AA242">
        <f>IFERROR(INDEX(PP_Grid[#Data],$DD242,25),0)</f>
        <v/>
      </c>
      <c r="AB242">
        <f>IFERROR(INDEX(PP_Grid[#Data],$DD242,26),0)</f>
        <v/>
      </c>
      <c r="AC242">
        <f>IFERROR(INDEX(PP_Grid[#Data],$DD242,27),0)</f>
        <v/>
      </c>
      <c r="AD242">
        <f>IFERROR(INDEX(PP_Grid[#Data],$DD242,28),0)</f>
        <v/>
      </c>
      <c r="AE242">
        <f>IFERROR(INDEX(PP_Grid[#Data],$DD242,29),0)</f>
        <v/>
      </c>
      <c r="AF242">
        <f>IFERROR(INDEX(PP_Grid[#Data],$DD242,30),0)</f>
        <v/>
      </c>
      <c r="AG242">
        <f>IFERROR(INDEX(PP_Grid[#Data],$DD242,31),0)</f>
        <v/>
      </c>
      <c r="AH242">
        <f>IFERROR(INDEX(PP_Grid[#Data],$DD242,32),0)</f>
        <v/>
      </c>
      <c r="AI242">
        <f>IFERROR(INDEX(PP_Grid[#Data],$DD242,33),0)</f>
        <v/>
      </c>
      <c r="AJ242">
        <f>IFERROR(INDEX(PP_Grid[#Data],$DD242,34),0)</f>
        <v/>
      </c>
      <c r="AK242">
        <f>IFERROR(INDEX(PP_Grid[#Data],$DD242,35),0)</f>
        <v/>
      </c>
      <c r="AL242">
        <f>IFERROR(INDEX(PP_Grid[#Data],$DD242,36),0)</f>
        <v/>
      </c>
      <c r="AM242">
        <f>IFERROR(INDEX(PP_Grid[#Data],$DD242,37),0)</f>
        <v/>
      </c>
      <c r="AN242">
        <f>IFERROR(INDEX(PP_Grid[#Data],$DD242,38),0)</f>
        <v/>
      </c>
      <c r="AO242">
        <f>IFERROR(INDEX(PP_Grid[#Data],$DD242,39),0)</f>
        <v/>
      </c>
      <c r="AP242">
        <f>IFERROR(INDEX(PP_Grid[#Data],$DD242,40),0)</f>
        <v/>
      </c>
      <c r="AQ242">
        <f>IFERROR(INDEX(PP_Grid[#Data],$DD242,41),0)</f>
        <v/>
      </c>
      <c r="AR242">
        <f>IFERROR(INDEX(PP_Grid[#Data],$DD242,42),0)</f>
        <v/>
      </c>
      <c r="AS242">
        <f>IFERROR(INDEX(PP_Grid[#Data],$DD242,43),0)</f>
        <v/>
      </c>
      <c r="AT242">
        <f>IFERROR(INDEX(PP_Grid[#Data],$DD242,44),0)</f>
        <v/>
      </c>
      <c r="AU242">
        <f>IFERROR(INDEX(PP_Grid[#Data],$DD242,45),0)</f>
        <v/>
      </c>
      <c r="AV242">
        <f>IFERROR(INDEX(PP_Grid[#Data],$DD242,46),0)</f>
        <v/>
      </c>
      <c r="AW242">
        <f>IFERROR(INDEX(PP_Grid[#Data],$DD242,47),0)</f>
        <v/>
      </c>
      <c r="AX242">
        <f>IFERROR(INDEX(PP_Grid[#Data],$DD242,48),0)</f>
        <v/>
      </c>
      <c r="AY242">
        <f>IFERROR(INDEX(PP_Grid[#Data],$DD242,49),0)</f>
        <v/>
      </c>
      <c r="AZ242">
        <f>IFERROR(INDEX(PP_Grid[#Data],$DD242,50),0)</f>
        <v/>
      </c>
      <c r="BA242">
        <f>IFERROR(INDEX(PP_Grid[#Data],$DD242,51),0)</f>
        <v/>
      </c>
      <c r="BB242">
        <f>IFERROR(INDEX(PP_Grid[#Data],$DD242,52),0)</f>
        <v/>
      </c>
      <c r="BC242">
        <f>IFERROR(INDEX(PP_Grid[#Data],$DD242,53),0)</f>
        <v/>
      </c>
      <c r="BD242">
        <f>IFERROR(INDEX(PP_Grid[#Data],$DD242,54),0)</f>
        <v/>
      </c>
      <c r="BE242">
        <f>IFERROR(INDEX(PP_Grid[#Data],$DD242,55),0)</f>
        <v/>
      </c>
      <c r="BF242">
        <f>IFERROR(INDEX(PP_Grid[#Data],$DD242,56),0)</f>
        <v/>
      </c>
      <c r="BG242">
        <f>IFERROR(INDEX(PP_Grid[#Data],$DD242,57),0)</f>
        <v/>
      </c>
      <c r="BH242">
        <f>IFERROR(INDEX(PP_Grid[#Data],$DD242,58),0)</f>
        <v/>
      </c>
      <c r="BI242">
        <f>IFERROR(INDEX(PP_Grid[#Data],$DD242,59),0)</f>
        <v/>
      </c>
      <c r="BJ242">
        <f>IFERROR(INDEX(PP_Grid[#Data],$DD242,60),0)</f>
        <v/>
      </c>
      <c r="BK242">
        <f>IFERROR(INDEX(PP_Grid[#Data],$DD242,61),0)</f>
        <v/>
      </c>
      <c r="BL242">
        <f>IFERROR(INDEX(PP_Grid[#Data],$DD242,62),0)</f>
        <v/>
      </c>
      <c r="BM242">
        <f>IFERROR(INDEX(PP_Grid[#Data],$DD242,63),0)</f>
        <v/>
      </c>
      <c r="BN242">
        <f>IFERROR(INDEX(PP_Grid[#Data],$DD242,64),0)</f>
        <v/>
      </c>
      <c r="BO242">
        <f>IFERROR(INDEX(PP_Grid[#Data],$DD242,65),0)</f>
        <v/>
      </c>
      <c r="BP242">
        <f>IFERROR(INDEX(PP_Grid[#Data],$DD242,66),0)</f>
        <v/>
      </c>
      <c r="BQ242">
        <f>IFERROR(INDEX(PP_Grid[#Data],$DD242,67),0)</f>
        <v/>
      </c>
      <c r="BR242">
        <f>IFERROR(INDEX(PP_Grid[#Data],$DD242,68),0)</f>
        <v/>
      </c>
      <c r="BS242">
        <f>IFERROR(INDEX(PP_Grid[#Data],$DD242,69),0)</f>
        <v/>
      </c>
      <c r="BT242">
        <f>IFERROR(INDEX(PP_Grid[#Data],$DD242,70),0)</f>
        <v/>
      </c>
      <c r="BU242">
        <f>IFERROR(INDEX(PP_Grid[#Data],$DD242,71),0)</f>
        <v/>
      </c>
      <c r="BV242">
        <f>IFERROR(INDEX(PP_Grid[#Data],$DD242,72),0)</f>
        <v/>
      </c>
      <c r="BW242">
        <f>IFERROR(INDEX(PP_Grid[#Data],$DD242,73),0)</f>
        <v/>
      </c>
      <c r="BX242">
        <f>IFERROR(INDEX(PP_Grid[#Data],$DD242,74),0)</f>
        <v/>
      </c>
      <c r="BY242">
        <f>IFERROR(INDEX(PP_Grid[#Data],$DD242,75),0)</f>
        <v/>
      </c>
      <c r="BZ242">
        <f>IFERROR(INDEX(PP_Grid[#Data],$DD242,76),0)</f>
        <v/>
      </c>
      <c r="CA242">
        <f>IFERROR(INDEX(PP_Grid[#Data],$DD242,77),0)</f>
        <v/>
      </c>
      <c r="CB242">
        <f>IFERROR(INDEX(PP_Grid[#Data],$DD242,78),0)</f>
        <v/>
      </c>
      <c r="CC242">
        <f>IFERROR(INDEX(PP_Grid[#Data],$DD242,79),0)</f>
        <v/>
      </c>
      <c r="CD242">
        <f>IFERROR(INDEX(PP_Grid[#Data],$DD242,80),0)</f>
        <v/>
      </c>
      <c r="CE242">
        <f>IFERROR(INDEX(PP_Grid[#Data],$DD242,81),0)</f>
        <v/>
      </c>
      <c r="CF242">
        <f>IFERROR(INDEX(PP_Grid[#Data],$DD242,82),0)</f>
        <v/>
      </c>
      <c r="CG242">
        <f>IFERROR(INDEX(PP_Grid[#Data],$DD242,83),0)</f>
        <v/>
      </c>
      <c r="CH242">
        <f>IFERROR(INDEX(PP_Grid[#Data],$DD242,84),0)</f>
        <v/>
      </c>
      <c r="CI242">
        <f>IFERROR(INDEX(PP_Grid[#Data],$DD242,85),0)</f>
        <v/>
      </c>
      <c r="CJ242">
        <f>IFERROR(INDEX(PP_Grid[#Data],$DD242,86),0)</f>
        <v/>
      </c>
      <c r="CK242">
        <f>IFERROR(INDEX(PP_Grid[#Data],$DD242,87),0)</f>
        <v/>
      </c>
      <c r="CL242">
        <f>IFERROR(INDEX(PP_Grid[#Data],$DD242,88),0)</f>
        <v/>
      </c>
      <c r="CM242">
        <f>IFERROR(INDEX(PP_Grid[#Data],$DD242,89),0)</f>
        <v/>
      </c>
      <c r="CN242">
        <f>IFERROR(INDEX(PP_Grid[#Data],$DD242,90),0)</f>
        <v/>
      </c>
      <c r="CO242">
        <f>IFERROR(INDEX(PP_Grid[#Data],$DD242,91),0)</f>
        <v/>
      </c>
      <c r="CP242">
        <f>IFERROR(INDEX(PP_Grid[#Data],$DD242,92),0)</f>
        <v/>
      </c>
      <c r="CQ242">
        <f>IFERROR(INDEX(PP_Grid[#Data],$DD242,93),0)</f>
        <v/>
      </c>
      <c r="CR242">
        <f>IFERROR(INDEX(PP_Grid[#Data],$DD242,94),0)</f>
        <v/>
      </c>
      <c r="CS242">
        <f>IFERROR(INDEX(PP_Grid[#Data],$DD242,95),0)</f>
        <v/>
      </c>
      <c r="CT242">
        <f>IFERROR(INDEX(PP_Grid[#Data],$DD242,96),0)</f>
        <v/>
      </c>
      <c r="CU242">
        <f>IFERROR(INDEX(PP_Grid[#Data],$DD242,97),0)</f>
        <v/>
      </c>
      <c r="CV242">
        <f>IFERROR(INDEX(PP_Grid[#Data],$DD242,98),0)</f>
        <v/>
      </c>
      <c r="CW242">
        <f>IFERROR(INDEX(PP_Grid[#Data],$DD242,99),0)</f>
        <v/>
      </c>
      <c r="CX242">
        <f>IFERROR(INDEX(PP_Grid[#Data],$DD242,100),0)</f>
        <v/>
      </c>
      <c r="CY242">
        <f>IFERROR(INDEX(PP_Grid[#Data],$DD242,101),0)</f>
        <v/>
      </c>
      <c r="CZ242">
        <f>IFERROR(INDEX(PP_Grid[#Data],$DD242,102),0)</f>
        <v/>
      </c>
      <c r="DA242">
        <f>IFERROR(INDEX(PP_Grid[#Data],$DD242,103),0)</f>
        <v/>
      </c>
      <c r="DB242">
        <f>IFERROR(INDEX(PP_Grid[#Data],$DD242,104),0)</f>
        <v/>
      </c>
      <c r="DC242">
        <f>IFERROR(INDEX(PP_Grid[#Data],$DD242,105),0)</f>
        <v/>
      </c>
      <c r="DD242" s="7">
        <f>IFERROR(MATCH($B242,PP_Grid[Intermediate],0),99999)</f>
        <v/>
      </c>
    </row>
    <row r="243">
      <c r="B243" t="inlineStr">
        <is>
          <t>使用量(kg)</t>
        </is>
      </c>
      <c r="C243">
        <f>SUMIFS(M_BOM[RM_Qty_Per_Batch],M_BOM[Intermediate],$B242,M_BOM[Part Name],$A219)</f>
        <v/>
      </c>
      <c r="D243">
        <f>$C243*D242</f>
        <v/>
      </c>
      <c r="E243">
        <f>$C243*E242</f>
        <v/>
      </c>
      <c r="F243">
        <f>$C243*F242</f>
        <v/>
      </c>
      <c r="G243">
        <f>$C243*G242</f>
        <v/>
      </c>
      <c r="H243">
        <f>$C243*H242</f>
        <v/>
      </c>
      <c r="I243">
        <f>$C243*I242</f>
        <v/>
      </c>
      <c r="J243">
        <f>$C243*J242</f>
        <v/>
      </c>
      <c r="K243">
        <f>$C243*K242</f>
        <v/>
      </c>
      <c r="L243">
        <f>$C243*L242</f>
        <v/>
      </c>
      <c r="M243">
        <f>$C243*M242</f>
        <v/>
      </c>
      <c r="N243">
        <f>$C243*N242</f>
        <v/>
      </c>
      <c r="O243">
        <f>$C243*O242</f>
        <v/>
      </c>
      <c r="P243">
        <f>$C243*P242</f>
        <v/>
      </c>
      <c r="Q243">
        <f>$C243*Q242</f>
        <v/>
      </c>
      <c r="R243">
        <f>$C243*R242</f>
        <v/>
      </c>
      <c r="S243">
        <f>$C243*S242</f>
        <v/>
      </c>
      <c r="T243">
        <f>$C243*T242</f>
        <v/>
      </c>
      <c r="U243">
        <f>$C243*U242</f>
        <v/>
      </c>
      <c r="V243">
        <f>$C243*V242</f>
        <v/>
      </c>
      <c r="W243">
        <f>$C243*W242</f>
        <v/>
      </c>
      <c r="X243">
        <f>$C243*X242</f>
        <v/>
      </c>
      <c r="Y243">
        <f>$C243*Y242</f>
        <v/>
      </c>
      <c r="Z243">
        <f>$C243*Z242</f>
        <v/>
      </c>
      <c r="AA243">
        <f>$C243*AA242</f>
        <v/>
      </c>
      <c r="AB243">
        <f>$C243*AB242</f>
        <v/>
      </c>
      <c r="AC243">
        <f>$C243*AC242</f>
        <v/>
      </c>
      <c r="AD243">
        <f>$C243*AD242</f>
        <v/>
      </c>
      <c r="AE243">
        <f>$C243*AE242</f>
        <v/>
      </c>
      <c r="AF243">
        <f>$C243*AF242</f>
        <v/>
      </c>
      <c r="AG243">
        <f>$C243*AG242</f>
        <v/>
      </c>
      <c r="AH243">
        <f>$C243*AH242</f>
        <v/>
      </c>
      <c r="AI243">
        <f>$C243*AI242</f>
        <v/>
      </c>
      <c r="AJ243">
        <f>$C243*AJ242</f>
        <v/>
      </c>
      <c r="AK243">
        <f>$C243*AK242</f>
        <v/>
      </c>
      <c r="AL243">
        <f>$C243*AL242</f>
        <v/>
      </c>
      <c r="AM243">
        <f>$C243*AM242</f>
        <v/>
      </c>
      <c r="AN243">
        <f>$C243*AN242</f>
        <v/>
      </c>
      <c r="AO243">
        <f>$C243*AO242</f>
        <v/>
      </c>
      <c r="AP243">
        <f>$C243*AP242</f>
        <v/>
      </c>
      <c r="AQ243">
        <f>$C243*AQ242</f>
        <v/>
      </c>
      <c r="AR243">
        <f>$C243*AR242</f>
        <v/>
      </c>
      <c r="AS243">
        <f>$C243*AS242</f>
        <v/>
      </c>
      <c r="AT243">
        <f>$C243*AT242</f>
        <v/>
      </c>
      <c r="AU243">
        <f>$C243*AU242</f>
        <v/>
      </c>
      <c r="AV243">
        <f>$C243*AV242</f>
        <v/>
      </c>
      <c r="AW243">
        <f>$C243*AW242</f>
        <v/>
      </c>
      <c r="AX243">
        <f>$C243*AX242</f>
        <v/>
      </c>
      <c r="AY243">
        <f>$C243*AY242</f>
        <v/>
      </c>
      <c r="AZ243">
        <f>$C243*AZ242</f>
        <v/>
      </c>
      <c r="BA243">
        <f>$C243*BA242</f>
        <v/>
      </c>
      <c r="BB243">
        <f>$C243*BB242</f>
        <v/>
      </c>
      <c r="BC243">
        <f>$C243*BC242</f>
        <v/>
      </c>
      <c r="BD243">
        <f>$C243*BD242</f>
        <v/>
      </c>
      <c r="BE243">
        <f>$C243*BE242</f>
        <v/>
      </c>
      <c r="BF243">
        <f>$C243*BF242</f>
        <v/>
      </c>
      <c r="BG243">
        <f>$C243*BG242</f>
        <v/>
      </c>
      <c r="BH243">
        <f>$C243*BH242</f>
        <v/>
      </c>
      <c r="BI243">
        <f>$C243*BI242</f>
        <v/>
      </c>
      <c r="BJ243">
        <f>$C243*BJ242</f>
        <v/>
      </c>
      <c r="BK243">
        <f>$C243*BK242</f>
        <v/>
      </c>
      <c r="BL243">
        <f>$C243*BL242</f>
        <v/>
      </c>
      <c r="BM243">
        <f>$C243*BM242</f>
        <v/>
      </c>
      <c r="BN243">
        <f>$C243*BN242</f>
        <v/>
      </c>
      <c r="BO243">
        <f>$C243*BO242</f>
        <v/>
      </c>
      <c r="BP243">
        <f>$C243*BP242</f>
        <v/>
      </c>
      <c r="BQ243">
        <f>$C243*BQ242</f>
        <v/>
      </c>
      <c r="BR243">
        <f>$C243*BR242</f>
        <v/>
      </c>
      <c r="BS243">
        <f>$C243*BS242</f>
        <v/>
      </c>
      <c r="BT243">
        <f>$C243*BT242</f>
        <v/>
      </c>
      <c r="BU243">
        <f>$C243*BU242</f>
        <v/>
      </c>
      <c r="BV243">
        <f>$C243*BV242</f>
        <v/>
      </c>
      <c r="BW243">
        <f>$C243*BW242</f>
        <v/>
      </c>
      <c r="BX243">
        <f>$C243*BX242</f>
        <v/>
      </c>
      <c r="BY243">
        <f>$C243*BY242</f>
        <v/>
      </c>
      <c r="BZ243">
        <f>$C243*BZ242</f>
        <v/>
      </c>
      <c r="CA243">
        <f>$C243*CA242</f>
        <v/>
      </c>
      <c r="CB243">
        <f>$C243*CB242</f>
        <v/>
      </c>
      <c r="CC243">
        <f>$C243*CC242</f>
        <v/>
      </c>
      <c r="CD243">
        <f>$C243*CD242</f>
        <v/>
      </c>
      <c r="CE243">
        <f>$C243*CE242</f>
        <v/>
      </c>
      <c r="CF243">
        <f>$C243*CF242</f>
        <v/>
      </c>
      <c r="CG243">
        <f>$C243*CG242</f>
        <v/>
      </c>
      <c r="CH243">
        <f>$C243*CH242</f>
        <v/>
      </c>
      <c r="CI243">
        <f>$C243*CI242</f>
        <v/>
      </c>
      <c r="CJ243">
        <f>$C243*CJ242</f>
        <v/>
      </c>
      <c r="CK243">
        <f>$C243*CK242</f>
        <v/>
      </c>
      <c r="CL243">
        <f>$C243*CL242</f>
        <v/>
      </c>
      <c r="CM243">
        <f>$C243*CM242</f>
        <v/>
      </c>
      <c r="CN243">
        <f>$C243*CN242</f>
        <v/>
      </c>
      <c r="CO243">
        <f>$C243*CO242</f>
        <v/>
      </c>
      <c r="CP243">
        <f>$C243*CP242</f>
        <v/>
      </c>
      <c r="CQ243">
        <f>$C243*CQ242</f>
        <v/>
      </c>
      <c r="CR243">
        <f>$C243*CR242</f>
        <v/>
      </c>
      <c r="CS243">
        <f>$C243*CS242</f>
        <v/>
      </c>
      <c r="CT243">
        <f>$C243*CT242</f>
        <v/>
      </c>
      <c r="CU243">
        <f>$C243*CU242</f>
        <v/>
      </c>
      <c r="CV243">
        <f>$C243*CV242</f>
        <v/>
      </c>
      <c r="CW243">
        <f>$C243*CW242</f>
        <v/>
      </c>
      <c r="CX243">
        <f>$C243*CX242</f>
        <v/>
      </c>
      <c r="CY243">
        <f>$C243*CY242</f>
        <v/>
      </c>
      <c r="CZ243">
        <f>$C243*CZ242</f>
        <v/>
      </c>
      <c r="DA243">
        <f>$C243*DA242</f>
        <v/>
      </c>
      <c r="DB243">
        <f>$C243*DB242</f>
        <v/>
      </c>
      <c r="DC243">
        <f>$C243*DC242</f>
        <v/>
      </c>
    </row>
    <row r="244">
      <c r="B244" t="inlineStr">
        <is>
          <t>TSP-399</t>
        </is>
      </c>
      <c r="C244" t="inlineStr">
        <is>
          <t>No. of batches</t>
        </is>
      </c>
      <c r="D244">
        <f>IFERROR(INDEX(PP_Grid[#Data],$DD244,2),0)</f>
        <v/>
      </c>
      <c r="E244">
        <f>IFERROR(INDEX(PP_Grid[#Data],$DD244,3),0)</f>
        <v/>
      </c>
      <c r="F244">
        <f>IFERROR(INDEX(PP_Grid[#Data],$DD244,4),0)</f>
        <v/>
      </c>
      <c r="G244">
        <f>IFERROR(INDEX(PP_Grid[#Data],$DD244,5),0)</f>
        <v/>
      </c>
      <c r="H244">
        <f>IFERROR(INDEX(PP_Grid[#Data],$DD244,6),0)</f>
        <v/>
      </c>
      <c r="I244">
        <f>IFERROR(INDEX(PP_Grid[#Data],$DD244,7),0)</f>
        <v/>
      </c>
      <c r="J244">
        <f>IFERROR(INDEX(PP_Grid[#Data],$DD244,8),0)</f>
        <v/>
      </c>
      <c r="K244">
        <f>IFERROR(INDEX(PP_Grid[#Data],$DD244,9),0)</f>
        <v/>
      </c>
      <c r="L244">
        <f>IFERROR(INDEX(PP_Grid[#Data],$DD244,10),0)</f>
        <v/>
      </c>
      <c r="M244">
        <f>IFERROR(INDEX(PP_Grid[#Data],$DD244,11),0)</f>
        <v/>
      </c>
      <c r="N244">
        <f>IFERROR(INDEX(PP_Grid[#Data],$DD244,12),0)</f>
        <v/>
      </c>
      <c r="O244">
        <f>IFERROR(INDEX(PP_Grid[#Data],$DD244,13),0)</f>
        <v/>
      </c>
      <c r="P244">
        <f>IFERROR(INDEX(PP_Grid[#Data],$DD244,14),0)</f>
        <v/>
      </c>
      <c r="Q244">
        <f>IFERROR(INDEX(PP_Grid[#Data],$DD244,15),0)</f>
        <v/>
      </c>
      <c r="R244">
        <f>IFERROR(INDEX(PP_Grid[#Data],$DD244,16),0)</f>
        <v/>
      </c>
      <c r="S244">
        <f>IFERROR(INDEX(PP_Grid[#Data],$DD244,17),0)</f>
        <v/>
      </c>
      <c r="T244">
        <f>IFERROR(INDEX(PP_Grid[#Data],$DD244,18),0)</f>
        <v/>
      </c>
      <c r="U244">
        <f>IFERROR(INDEX(PP_Grid[#Data],$DD244,19),0)</f>
        <v/>
      </c>
      <c r="V244">
        <f>IFERROR(INDEX(PP_Grid[#Data],$DD244,20),0)</f>
        <v/>
      </c>
      <c r="W244">
        <f>IFERROR(INDEX(PP_Grid[#Data],$DD244,21),0)</f>
        <v/>
      </c>
      <c r="X244">
        <f>IFERROR(INDEX(PP_Grid[#Data],$DD244,22),0)</f>
        <v/>
      </c>
      <c r="Y244">
        <f>IFERROR(INDEX(PP_Grid[#Data],$DD244,23),0)</f>
        <v/>
      </c>
      <c r="Z244">
        <f>IFERROR(INDEX(PP_Grid[#Data],$DD244,24),0)</f>
        <v/>
      </c>
      <c r="AA244">
        <f>IFERROR(INDEX(PP_Grid[#Data],$DD244,25),0)</f>
        <v/>
      </c>
      <c r="AB244">
        <f>IFERROR(INDEX(PP_Grid[#Data],$DD244,26),0)</f>
        <v/>
      </c>
      <c r="AC244">
        <f>IFERROR(INDEX(PP_Grid[#Data],$DD244,27),0)</f>
        <v/>
      </c>
      <c r="AD244">
        <f>IFERROR(INDEX(PP_Grid[#Data],$DD244,28),0)</f>
        <v/>
      </c>
      <c r="AE244">
        <f>IFERROR(INDEX(PP_Grid[#Data],$DD244,29),0)</f>
        <v/>
      </c>
      <c r="AF244">
        <f>IFERROR(INDEX(PP_Grid[#Data],$DD244,30),0)</f>
        <v/>
      </c>
      <c r="AG244">
        <f>IFERROR(INDEX(PP_Grid[#Data],$DD244,31),0)</f>
        <v/>
      </c>
      <c r="AH244">
        <f>IFERROR(INDEX(PP_Grid[#Data],$DD244,32),0)</f>
        <v/>
      </c>
      <c r="AI244">
        <f>IFERROR(INDEX(PP_Grid[#Data],$DD244,33),0)</f>
        <v/>
      </c>
      <c r="AJ244">
        <f>IFERROR(INDEX(PP_Grid[#Data],$DD244,34),0)</f>
        <v/>
      </c>
      <c r="AK244">
        <f>IFERROR(INDEX(PP_Grid[#Data],$DD244,35),0)</f>
        <v/>
      </c>
      <c r="AL244">
        <f>IFERROR(INDEX(PP_Grid[#Data],$DD244,36),0)</f>
        <v/>
      </c>
      <c r="AM244">
        <f>IFERROR(INDEX(PP_Grid[#Data],$DD244,37),0)</f>
        <v/>
      </c>
      <c r="AN244">
        <f>IFERROR(INDEX(PP_Grid[#Data],$DD244,38),0)</f>
        <v/>
      </c>
      <c r="AO244">
        <f>IFERROR(INDEX(PP_Grid[#Data],$DD244,39),0)</f>
        <v/>
      </c>
      <c r="AP244">
        <f>IFERROR(INDEX(PP_Grid[#Data],$DD244,40),0)</f>
        <v/>
      </c>
      <c r="AQ244">
        <f>IFERROR(INDEX(PP_Grid[#Data],$DD244,41),0)</f>
        <v/>
      </c>
      <c r="AR244">
        <f>IFERROR(INDEX(PP_Grid[#Data],$DD244,42),0)</f>
        <v/>
      </c>
      <c r="AS244">
        <f>IFERROR(INDEX(PP_Grid[#Data],$DD244,43),0)</f>
        <v/>
      </c>
      <c r="AT244">
        <f>IFERROR(INDEX(PP_Grid[#Data],$DD244,44),0)</f>
        <v/>
      </c>
      <c r="AU244">
        <f>IFERROR(INDEX(PP_Grid[#Data],$DD244,45),0)</f>
        <v/>
      </c>
      <c r="AV244">
        <f>IFERROR(INDEX(PP_Grid[#Data],$DD244,46),0)</f>
        <v/>
      </c>
      <c r="AW244">
        <f>IFERROR(INDEX(PP_Grid[#Data],$DD244,47),0)</f>
        <v/>
      </c>
      <c r="AX244">
        <f>IFERROR(INDEX(PP_Grid[#Data],$DD244,48),0)</f>
        <v/>
      </c>
      <c r="AY244">
        <f>IFERROR(INDEX(PP_Grid[#Data],$DD244,49),0)</f>
        <v/>
      </c>
      <c r="AZ244">
        <f>IFERROR(INDEX(PP_Grid[#Data],$DD244,50),0)</f>
        <v/>
      </c>
      <c r="BA244">
        <f>IFERROR(INDEX(PP_Grid[#Data],$DD244,51),0)</f>
        <v/>
      </c>
      <c r="BB244">
        <f>IFERROR(INDEX(PP_Grid[#Data],$DD244,52),0)</f>
        <v/>
      </c>
      <c r="BC244">
        <f>IFERROR(INDEX(PP_Grid[#Data],$DD244,53),0)</f>
        <v/>
      </c>
      <c r="BD244">
        <f>IFERROR(INDEX(PP_Grid[#Data],$DD244,54),0)</f>
        <v/>
      </c>
      <c r="BE244">
        <f>IFERROR(INDEX(PP_Grid[#Data],$DD244,55),0)</f>
        <v/>
      </c>
      <c r="BF244">
        <f>IFERROR(INDEX(PP_Grid[#Data],$DD244,56),0)</f>
        <v/>
      </c>
      <c r="BG244">
        <f>IFERROR(INDEX(PP_Grid[#Data],$DD244,57),0)</f>
        <v/>
      </c>
      <c r="BH244">
        <f>IFERROR(INDEX(PP_Grid[#Data],$DD244,58),0)</f>
        <v/>
      </c>
      <c r="BI244">
        <f>IFERROR(INDEX(PP_Grid[#Data],$DD244,59),0)</f>
        <v/>
      </c>
      <c r="BJ244">
        <f>IFERROR(INDEX(PP_Grid[#Data],$DD244,60),0)</f>
        <v/>
      </c>
      <c r="BK244">
        <f>IFERROR(INDEX(PP_Grid[#Data],$DD244,61),0)</f>
        <v/>
      </c>
      <c r="BL244">
        <f>IFERROR(INDEX(PP_Grid[#Data],$DD244,62),0)</f>
        <v/>
      </c>
      <c r="BM244">
        <f>IFERROR(INDEX(PP_Grid[#Data],$DD244,63),0)</f>
        <v/>
      </c>
      <c r="BN244">
        <f>IFERROR(INDEX(PP_Grid[#Data],$DD244,64),0)</f>
        <v/>
      </c>
      <c r="BO244">
        <f>IFERROR(INDEX(PP_Grid[#Data],$DD244,65),0)</f>
        <v/>
      </c>
      <c r="BP244">
        <f>IFERROR(INDEX(PP_Grid[#Data],$DD244,66),0)</f>
        <v/>
      </c>
      <c r="BQ244">
        <f>IFERROR(INDEX(PP_Grid[#Data],$DD244,67),0)</f>
        <v/>
      </c>
      <c r="BR244">
        <f>IFERROR(INDEX(PP_Grid[#Data],$DD244,68),0)</f>
        <v/>
      </c>
      <c r="BS244">
        <f>IFERROR(INDEX(PP_Grid[#Data],$DD244,69),0)</f>
        <v/>
      </c>
      <c r="BT244">
        <f>IFERROR(INDEX(PP_Grid[#Data],$DD244,70),0)</f>
        <v/>
      </c>
      <c r="BU244">
        <f>IFERROR(INDEX(PP_Grid[#Data],$DD244,71),0)</f>
        <v/>
      </c>
      <c r="BV244">
        <f>IFERROR(INDEX(PP_Grid[#Data],$DD244,72),0)</f>
        <v/>
      </c>
      <c r="BW244">
        <f>IFERROR(INDEX(PP_Grid[#Data],$DD244,73),0)</f>
        <v/>
      </c>
      <c r="BX244">
        <f>IFERROR(INDEX(PP_Grid[#Data],$DD244,74),0)</f>
        <v/>
      </c>
      <c r="BY244">
        <f>IFERROR(INDEX(PP_Grid[#Data],$DD244,75),0)</f>
        <v/>
      </c>
      <c r="BZ244">
        <f>IFERROR(INDEX(PP_Grid[#Data],$DD244,76),0)</f>
        <v/>
      </c>
      <c r="CA244">
        <f>IFERROR(INDEX(PP_Grid[#Data],$DD244,77),0)</f>
        <v/>
      </c>
      <c r="CB244">
        <f>IFERROR(INDEX(PP_Grid[#Data],$DD244,78),0)</f>
        <v/>
      </c>
      <c r="CC244">
        <f>IFERROR(INDEX(PP_Grid[#Data],$DD244,79),0)</f>
        <v/>
      </c>
      <c r="CD244">
        <f>IFERROR(INDEX(PP_Grid[#Data],$DD244,80),0)</f>
        <v/>
      </c>
      <c r="CE244">
        <f>IFERROR(INDEX(PP_Grid[#Data],$DD244,81),0)</f>
        <v/>
      </c>
      <c r="CF244">
        <f>IFERROR(INDEX(PP_Grid[#Data],$DD244,82),0)</f>
        <v/>
      </c>
      <c r="CG244">
        <f>IFERROR(INDEX(PP_Grid[#Data],$DD244,83),0)</f>
        <v/>
      </c>
      <c r="CH244">
        <f>IFERROR(INDEX(PP_Grid[#Data],$DD244,84),0)</f>
        <v/>
      </c>
      <c r="CI244">
        <f>IFERROR(INDEX(PP_Grid[#Data],$DD244,85),0)</f>
        <v/>
      </c>
      <c r="CJ244">
        <f>IFERROR(INDEX(PP_Grid[#Data],$DD244,86),0)</f>
        <v/>
      </c>
      <c r="CK244">
        <f>IFERROR(INDEX(PP_Grid[#Data],$DD244,87),0)</f>
        <v/>
      </c>
      <c r="CL244">
        <f>IFERROR(INDEX(PP_Grid[#Data],$DD244,88),0)</f>
        <v/>
      </c>
      <c r="CM244">
        <f>IFERROR(INDEX(PP_Grid[#Data],$DD244,89),0)</f>
        <v/>
      </c>
      <c r="CN244">
        <f>IFERROR(INDEX(PP_Grid[#Data],$DD244,90),0)</f>
        <v/>
      </c>
      <c r="CO244">
        <f>IFERROR(INDEX(PP_Grid[#Data],$DD244,91),0)</f>
        <v/>
      </c>
      <c r="CP244">
        <f>IFERROR(INDEX(PP_Grid[#Data],$DD244,92),0)</f>
        <v/>
      </c>
      <c r="CQ244">
        <f>IFERROR(INDEX(PP_Grid[#Data],$DD244,93),0)</f>
        <v/>
      </c>
      <c r="CR244">
        <f>IFERROR(INDEX(PP_Grid[#Data],$DD244,94),0)</f>
        <v/>
      </c>
      <c r="CS244">
        <f>IFERROR(INDEX(PP_Grid[#Data],$DD244,95),0)</f>
        <v/>
      </c>
      <c r="CT244">
        <f>IFERROR(INDEX(PP_Grid[#Data],$DD244,96),0)</f>
        <v/>
      </c>
      <c r="CU244">
        <f>IFERROR(INDEX(PP_Grid[#Data],$DD244,97),0)</f>
        <v/>
      </c>
      <c r="CV244">
        <f>IFERROR(INDEX(PP_Grid[#Data],$DD244,98),0)</f>
        <v/>
      </c>
      <c r="CW244">
        <f>IFERROR(INDEX(PP_Grid[#Data],$DD244,99),0)</f>
        <v/>
      </c>
      <c r="CX244">
        <f>IFERROR(INDEX(PP_Grid[#Data],$DD244,100),0)</f>
        <v/>
      </c>
      <c r="CY244">
        <f>IFERROR(INDEX(PP_Grid[#Data],$DD244,101),0)</f>
        <v/>
      </c>
      <c r="CZ244">
        <f>IFERROR(INDEX(PP_Grid[#Data],$DD244,102),0)</f>
        <v/>
      </c>
      <c r="DA244">
        <f>IFERROR(INDEX(PP_Grid[#Data],$DD244,103),0)</f>
        <v/>
      </c>
      <c r="DB244">
        <f>IFERROR(INDEX(PP_Grid[#Data],$DD244,104),0)</f>
        <v/>
      </c>
      <c r="DC244">
        <f>IFERROR(INDEX(PP_Grid[#Data],$DD244,105),0)</f>
        <v/>
      </c>
      <c r="DD244" s="7">
        <f>IFERROR(MATCH($B244,PP_Grid[Intermediate],0),99999)</f>
        <v/>
      </c>
    </row>
    <row r="245">
      <c r="B245" t="inlineStr">
        <is>
          <t>使用量(kg)</t>
        </is>
      </c>
      <c r="C245">
        <f>SUMIFS(M_BOM[RM_Qty_Per_Batch],M_BOM[Intermediate],$B244,M_BOM[Part Name],$A219)</f>
        <v/>
      </c>
      <c r="D245">
        <f>$C245*D244</f>
        <v/>
      </c>
      <c r="E245">
        <f>$C245*E244</f>
        <v/>
      </c>
      <c r="F245">
        <f>$C245*F244</f>
        <v/>
      </c>
      <c r="G245">
        <f>$C245*G244</f>
        <v/>
      </c>
      <c r="H245">
        <f>$C245*H244</f>
        <v/>
      </c>
      <c r="I245">
        <f>$C245*I244</f>
        <v/>
      </c>
      <c r="J245">
        <f>$C245*J244</f>
        <v/>
      </c>
      <c r="K245">
        <f>$C245*K244</f>
        <v/>
      </c>
      <c r="L245">
        <f>$C245*L244</f>
        <v/>
      </c>
      <c r="M245">
        <f>$C245*M244</f>
        <v/>
      </c>
      <c r="N245">
        <f>$C245*N244</f>
        <v/>
      </c>
      <c r="O245">
        <f>$C245*O244</f>
        <v/>
      </c>
      <c r="P245">
        <f>$C245*P244</f>
        <v/>
      </c>
      <c r="Q245">
        <f>$C245*Q244</f>
        <v/>
      </c>
      <c r="R245">
        <f>$C245*R244</f>
        <v/>
      </c>
      <c r="S245">
        <f>$C245*S244</f>
        <v/>
      </c>
      <c r="T245">
        <f>$C245*T244</f>
        <v/>
      </c>
      <c r="U245">
        <f>$C245*U244</f>
        <v/>
      </c>
      <c r="V245">
        <f>$C245*V244</f>
        <v/>
      </c>
      <c r="W245">
        <f>$C245*W244</f>
        <v/>
      </c>
      <c r="X245">
        <f>$C245*X244</f>
        <v/>
      </c>
      <c r="Y245">
        <f>$C245*Y244</f>
        <v/>
      </c>
      <c r="Z245">
        <f>$C245*Z244</f>
        <v/>
      </c>
      <c r="AA245">
        <f>$C245*AA244</f>
        <v/>
      </c>
      <c r="AB245">
        <f>$C245*AB244</f>
        <v/>
      </c>
      <c r="AC245">
        <f>$C245*AC244</f>
        <v/>
      </c>
      <c r="AD245">
        <f>$C245*AD244</f>
        <v/>
      </c>
      <c r="AE245">
        <f>$C245*AE244</f>
        <v/>
      </c>
      <c r="AF245">
        <f>$C245*AF244</f>
        <v/>
      </c>
      <c r="AG245">
        <f>$C245*AG244</f>
        <v/>
      </c>
      <c r="AH245">
        <f>$C245*AH244</f>
        <v/>
      </c>
      <c r="AI245">
        <f>$C245*AI244</f>
        <v/>
      </c>
      <c r="AJ245">
        <f>$C245*AJ244</f>
        <v/>
      </c>
      <c r="AK245">
        <f>$C245*AK244</f>
        <v/>
      </c>
      <c r="AL245">
        <f>$C245*AL244</f>
        <v/>
      </c>
      <c r="AM245">
        <f>$C245*AM244</f>
        <v/>
      </c>
      <c r="AN245">
        <f>$C245*AN244</f>
        <v/>
      </c>
      <c r="AO245">
        <f>$C245*AO244</f>
        <v/>
      </c>
      <c r="AP245">
        <f>$C245*AP244</f>
        <v/>
      </c>
      <c r="AQ245">
        <f>$C245*AQ244</f>
        <v/>
      </c>
      <c r="AR245">
        <f>$C245*AR244</f>
        <v/>
      </c>
      <c r="AS245">
        <f>$C245*AS244</f>
        <v/>
      </c>
      <c r="AT245">
        <f>$C245*AT244</f>
        <v/>
      </c>
      <c r="AU245">
        <f>$C245*AU244</f>
        <v/>
      </c>
      <c r="AV245">
        <f>$C245*AV244</f>
        <v/>
      </c>
      <c r="AW245">
        <f>$C245*AW244</f>
        <v/>
      </c>
      <c r="AX245">
        <f>$C245*AX244</f>
        <v/>
      </c>
      <c r="AY245">
        <f>$C245*AY244</f>
        <v/>
      </c>
      <c r="AZ245">
        <f>$C245*AZ244</f>
        <v/>
      </c>
      <c r="BA245">
        <f>$C245*BA244</f>
        <v/>
      </c>
      <c r="BB245">
        <f>$C245*BB244</f>
        <v/>
      </c>
      <c r="BC245">
        <f>$C245*BC244</f>
        <v/>
      </c>
      <c r="BD245">
        <f>$C245*BD244</f>
        <v/>
      </c>
      <c r="BE245">
        <f>$C245*BE244</f>
        <v/>
      </c>
      <c r="BF245">
        <f>$C245*BF244</f>
        <v/>
      </c>
      <c r="BG245">
        <f>$C245*BG244</f>
        <v/>
      </c>
      <c r="BH245">
        <f>$C245*BH244</f>
        <v/>
      </c>
      <c r="BI245">
        <f>$C245*BI244</f>
        <v/>
      </c>
      <c r="BJ245">
        <f>$C245*BJ244</f>
        <v/>
      </c>
      <c r="BK245">
        <f>$C245*BK244</f>
        <v/>
      </c>
      <c r="BL245">
        <f>$C245*BL244</f>
        <v/>
      </c>
      <c r="BM245">
        <f>$C245*BM244</f>
        <v/>
      </c>
      <c r="BN245">
        <f>$C245*BN244</f>
        <v/>
      </c>
      <c r="BO245">
        <f>$C245*BO244</f>
        <v/>
      </c>
      <c r="BP245">
        <f>$C245*BP244</f>
        <v/>
      </c>
      <c r="BQ245">
        <f>$C245*BQ244</f>
        <v/>
      </c>
      <c r="BR245">
        <f>$C245*BR244</f>
        <v/>
      </c>
      <c r="BS245">
        <f>$C245*BS244</f>
        <v/>
      </c>
      <c r="BT245">
        <f>$C245*BT244</f>
        <v/>
      </c>
      <c r="BU245">
        <f>$C245*BU244</f>
        <v/>
      </c>
      <c r="BV245">
        <f>$C245*BV244</f>
        <v/>
      </c>
      <c r="BW245">
        <f>$C245*BW244</f>
        <v/>
      </c>
      <c r="BX245">
        <f>$C245*BX244</f>
        <v/>
      </c>
      <c r="BY245">
        <f>$C245*BY244</f>
        <v/>
      </c>
      <c r="BZ245">
        <f>$C245*BZ244</f>
        <v/>
      </c>
      <c r="CA245">
        <f>$C245*CA244</f>
        <v/>
      </c>
      <c r="CB245">
        <f>$C245*CB244</f>
        <v/>
      </c>
      <c r="CC245">
        <f>$C245*CC244</f>
        <v/>
      </c>
      <c r="CD245">
        <f>$C245*CD244</f>
        <v/>
      </c>
      <c r="CE245">
        <f>$C245*CE244</f>
        <v/>
      </c>
      <c r="CF245">
        <f>$C245*CF244</f>
        <v/>
      </c>
      <c r="CG245">
        <f>$C245*CG244</f>
        <v/>
      </c>
      <c r="CH245">
        <f>$C245*CH244</f>
        <v/>
      </c>
      <c r="CI245">
        <f>$C245*CI244</f>
        <v/>
      </c>
      <c r="CJ245">
        <f>$C245*CJ244</f>
        <v/>
      </c>
      <c r="CK245">
        <f>$C245*CK244</f>
        <v/>
      </c>
      <c r="CL245">
        <f>$C245*CL244</f>
        <v/>
      </c>
      <c r="CM245">
        <f>$C245*CM244</f>
        <v/>
      </c>
      <c r="CN245">
        <f>$C245*CN244</f>
        <v/>
      </c>
      <c r="CO245">
        <f>$C245*CO244</f>
        <v/>
      </c>
      <c r="CP245">
        <f>$C245*CP244</f>
        <v/>
      </c>
      <c r="CQ245">
        <f>$C245*CQ244</f>
        <v/>
      </c>
      <c r="CR245">
        <f>$C245*CR244</f>
        <v/>
      </c>
      <c r="CS245">
        <f>$C245*CS244</f>
        <v/>
      </c>
      <c r="CT245">
        <f>$C245*CT244</f>
        <v/>
      </c>
      <c r="CU245">
        <f>$C245*CU244</f>
        <v/>
      </c>
      <c r="CV245">
        <f>$C245*CV244</f>
        <v/>
      </c>
      <c r="CW245">
        <f>$C245*CW244</f>
        <v/>
      </c>
      <c r="CX245">
        <f>$C245*CX244</f>
        <v/>
      </c>
      <c r="CY245">
        <f>$C245*CY244</f>
        <v/>
      </c>
      <c r="CZ245">
        <f>$C245*CZ244</f>
        <v/>
      </c>
      <c r="DA245">
        <f>$C245*DA244</f>
        <v/>
      </c>
      <c r="DB245">
        <f>$C245*DB244</f>
        <v/>
      </c>
      <c r="DC245">
        <f>$C245*DC244</f>
        <v/>
      </c>
    </row>
    <row r="246">
      <c r="B246" t="inlineStr">
        <is>
          <t>TSP-544</t>
        </is>
      </c>
      <c r="C246" t="inlineStr">
        <is>
          <t>No. of batches</t>
        </is>
      </c>
      <c r="D246">
        <f>IFERROR(INDEX(PP_Grid[#Data],$DD246,2),0)</f>
        <v/>
      </c>
      <c r="E246">
        <f>IFERROR(INDEX(PP_Grid[#Data],$DD246,3),0)</f>
        <v/>
      </c>
      <c r="F246">
        <f>IFERROR(INDEX(PP_Grid[#Data],$DD246,4),0)</f>
        <v/>
      </c>
      <c r="G246">
        <f>IFERROR(INDEX(PP_Grid[#Data],$DD246,5),0)</f>
        <v/>
      </c>
      <c r="H246">
        <f>IFERROR(INDEX(PP_Grid[#Data],$DD246,6),0)</f>
        <v/>
      </c>
      <c r="I246">
        <f>IFERROR(INDEX(PP_Grid[#Data],$DD246,7),0)</f>
        <v/>
      </c>
      <c r="J246">
        <f>IFERROR(INDEX(PP_Grid[#Data],$DD246,8),0)</f>
        <v/>
      </c>
      <c r="K246">
        <f>IFERROR(INDEX(PP_Grid[#Data],$DD246,9),0)</f>
        <v/>
      </c>
      <c r="L246">
        <f>IFERROR(INDEX(PP_Grid[#Data],$DD246,10),0)</f>
        <v/>
      </c>
      <c r="M246">
        <f>IFERROR(INDEX(PP_Grid[#Data],$DD246,11),0)</f>
        <v/>
      </c>
      <c r="N246">
        <f>IFERROR(INDEX(PP_Grid[#Data],$DD246,12),0)</f>
        <v/>
      </c>
      <c r="O246">
        <f>IFERROR(INDEX(PP_Grid[#Data],$DD246,13),0)</f>
        <v/>
      </c>
      <c r="P246">
        <f>IFERROR(INDEX(PP_Grid[#Data],$DD246,14),0)</f>
        <v/>
      </c>
      <c r="Q246">
        <f>IFERROR(INDEX(PP_Grid[#Data],$DD246,15),0)</f>
        <v/>
      </c>
      <c r="R246">
        <f>IFERROR(INDEX(PP_Grid[#Data],$DD246,16),0)</f>
        <v/>
      </c>
      <c r="S246">
        <f>IFERROR(INDEX(PP_Grid[#Data],$DD246,17),0)</f>
        <v/>
      </c>
      <c r="T246">
        <f>IFERROR(INDEX(PP_Grid[#Data],$DD246,18),0)</f>
        <v/>
      </c>
      <c r="U246">
        <f>IFERROR(INDEX(PP_Grid[#Data],$DD246,19),0)</f>
        <v/>
      </c>
      <c r="V246">
        <f>IFERROR(INDEX(PP_Grid[#Data],$DD246,20),0)</f>
        <v/>
      </c>
      <c r="W246">
        <f>IFERROR(INDEX(PP_Grid[#Data],$DD246,21),0)</f>
        <v/>
      </c>
      <c r="X246">
        <f>IFERROR(INDEX(PP_Grid[#Data],$DD246,22),0)</f>
        <v/>
      </c>
      <c r="Y246">
        <f>IFERROR(INDEX(PP_Grid[#Data],$DD246,23),0)</f>
        <v/>
      </c>
      <c r="Z246">
        <f>IFERROR(INDEX(PP_Grid[#Data],$DD246,24),0)</f>
        <v/>
      </c>
      <c r="AA246">
        <f>IFERROR(INDEX(PP_Grid[#Data],$DD246,25),0)</f>
        <v/>
      </c>
      <c r="AB246">
        <f>IFERROR(INDEX(PP_Grid[#Data],$DD246,26),0)</f>
        <v/>
      </c>
      <c r="AC246">
        <f>IFERROR(INDEX(PP_Grid[#Data],$DD246,27),0)</f>
        <v/>
      </c>
      <c r="AD246">
        <f>IFERROR(INDEX(PP_Grid[#Data],$DD246,28),0)</f>
        <v/>
      </c>
      <c r="AE246">
        <f>IFERROR(INDEX(PP_Grid[#Data],$DD246,29),0)</f>
        <v/>
      </c>
      <c r="AF246">
        <f>IFERROR(INDEX(PP_Grid[#Data],$DD246,30),0)</f>
        <v/>
      </c>
      <c r="AG246">
        <f>IFERROR(INDEX(PP_Grid[#Data],$DD246,31),0)</f>
        <v/>
      </c>
      <c r="AH246">
        <f>IFERROR(INDEX(PP_Grid[#Data],$DD246,32),0)</f>
        <v/>
      </c>
      <c r="AI246">
        <f>IFERROR(INDEX(PP_Grid[#Data],$DD246,33),0)</f>
        <v/>
      </c>
      <c r="AJ246">
        <f>IFERROR(INDEX(PP_Grid[#Data],$DD246,34),0)</f>
        <v/>
      </c>
      <c r="AK246">
        <f>IFERROR(INDEX(PP_Grid[#Data],$DD246,35),0)</f>
        <v/>
      </c>
      <c r="AL246">
        <f>IFERROR(INDEX(PP_Grid[#Data],$DD246,36),0)</f>
        <v/>
      </c>
      <c r="AM246">
        <f>IFERROR(INDEX(PP_Grid[#Data],$DD246,37),0)</f>
        <v/>
      </c>
      <c r="AN246">
        <f>IFERROR(INDEX(PP_Grid[#Data],$DD246,38),0)</f>
        <v/>
      </c>
      <c r="AO246">
        <f>IFERROR(INDEX(PP_Grid[#Data],$DD246,39),0)</f>
        <v/>
      </c>
      <c r="AP246">
        <f>IFERROR(INDEX(PP_Grid[#Data],$DD246,40),0)</f>
        <v/>
      </c>
      <c r="AQ246">
        <f>IFERROR(INDEX(PP_Grid[#Data],$DD246,41),0)</f>
        <v/>
      </c>
      <c r="AR246">
        <f>IFERROR(INDEX(PP_Grid[#Data],$DD246,42),0)</f>
        <v/>
      </c>
      <c r="AS246">
        <f>IFERROR(INDEX(PP_Grid[#Data],$DD246,43),0)</f>
        <v/>
      </c>
      <c r="AT246">
        <f>IFERROR(INDEX(PP_Grid[#Data],$DD246,44),0)</f>
        <v/>
      </c>
      <c r="AU246">
        <f>IFERROR(INDEX(PP_Grid[#Data],$DD246,45),0)</f>
        <v/>
      </c>
      <c r="AV246">
        <f>IFERROR(INDEX(PP_Grid[#Data],$DD246,46),0)</f>
        <v/>
      </c>
      <c r="AW246">
        <f>IFERROR(INDEX(PP_Grid[#Data],$DD246,47),0)</f>
        <v/>
      </c>
      <c r="AX246">
        <f>IFERROR(INDEX(PP_Grid[#Data],$DD246,48),0)</f>
        <v/>
      </c>
      <c r="AY246">
        <f>IFERROR(INDEX(PP_Grid[#Data],$DD246,49),0)</f>
        <v/>
      </c>
      <c r="AZ246">
        <f>IFERROR(INDEX(PP_Grid[#Data],$DD246,50),0)</f>
        <v/>
      </c>
      <c r="BA246">
        <f>IFERROR(INDEX(PP_Grid[#Data],$DD246,51),0)</f>
        <v/>
      </c>
      <c r="BB246">
        <f>IFERROR(INDEX(PP_Grid[#Data],$DD246,52),0)</f>
        <v/>
      </c>
      <c r="BC246">
        <f>IFERROR(INDEX(PP_Grid[#Data],$DD246,53),0)</f>
        <v/>
      </c>
      <c r="BD246">
        <f>IFERROR(INDEX(PP_Grid[#Data],$DD246,54),0)</f>
        <v/>
      </c>
      <c r="BE246">
        <f>IFERROR(INDEX(PP_Grid[#Data],$DD246,55),0)</f>
        <v/>
      </c>
      <c r="BF246">
        <f>IFERROR(INDEX(PP_Grid[#Data],$DD246,56),0)</f>
        <v/>
      </c>
      <c r="BG246">
        <f>IFERROR(INDEX(PP_Grid[#Data],$DD246,57),0)</f>
        <v/>
      </c>
      <c r="BH246">
        <f>IFERROR(INDEX(PP_Grid[#Data],$DD246,58),0)</f>
        <v/>
      </c>
      <c r="BI246">
        <f>IFERROR(INDEX(PP_Grid[#Data],$DD246,59),0)</f>
        <v/>
      </c>
      <c r="BJ246">
        <f>IFERROR(INDEX(PP_Grid[#Data],$DD246,60),0)</f>
        <v/>
      </c>
      <c r="BK246">
        <f>IFERROR(INDEX(PP_Grid[#Data],$DD246,61),0)</f>
        <v/>
      </c>
      <c r="BL246">
        <f>IFERROR(INDEX(PP_Grid[#Data],$DD246,62),0)</f>
        <v/>
      </c>
      <c r="BM246">
        <f>IFERROR(INDEX(PP_Grid[#Data],$DD246,63),0)</f>
        <v/>
      </c>
      <c r="BN246">
        <f>IFERROR(INDEX(PP_Grid[#Data],$DD246,64),0)</f>
        <v/>
      </c>
      <c r="BO246">
        <f>IFERROR(INDEX(PP_Grid[#Data],$DD246,65),0)</f>
        <v/>
      </c>
      <c r="BP246">
        <f>IFERROR(INDEX(PP_Grid[#Data],$DD246,66),0)</f>
        <v/>
      </c>
      <c r="BQ246">
        <f>IFERROR(INDEX(PP_Grid[#Data],$DD246,67),0)</f>
        <v/>
      </c>
      <c r="BR246">
        <f>IFERROR(INDEX(PP_Grid[#Data],$DD246,68),0)</f>
        <v/>
      </c>
      <c r="BS246">
        <f>IFERROR(INDEX(PP_Grid[#Data],$DD246,69),0)</f>
        <v/>
      </c>
      <c r="BT246">
        <f>IFERROR(INDEX(PP_Grid[#Data],$DD246,70),0)</f>
        <v/>
      </c>
      <c r="BU246">
        <f>IFERROR(INDEX(PP_Grid[#Data],$DD246,71),0)</f>
        <v/>
      </c>
      <c r="BV246">
        <f>IFERROR(INDEX(PP_Grid[#Data],$DD246,72),0)</f>
        <v/>
      </c>
      <c r="BW246">
        <f>IFERROR(INDEX(PP_Grid[#Data],$DD246,73),0)</f>
        <v/>
      </c>
      <c r="BX246">
        <f>IFERROR(INDEX(PP_Grid[#Data],$DD246,74),0)</f>
        <v/>
      </c>
      <c r="BY246">
        <f>IFERROR(INDEX(PP_Grid[#Data],$DD246,75),0)</f>
        <v/>
      </c>
      <c r="BZ246">
        <f>IFERROR(INDEX(PP_Grid[#Data],$DD246,76),0)</f>
        <v/>
      </c>
      <c r="CA246">
        <f>IFERROR(INDEX(PP_Grid[#Data],$DD246,77),0)</f>
        <v/>
      </c>
      <c r="CB246">
        <f>IFERROR(INDEX(PP_Grid[#Data],$DD246,78),0)</f>
        <v/>
      </c>
      <c r="CC246">
        <f>IFERROR(INDEX(PP_Grid[#Data],$DD246,79),0)</f>
        <v/>
      </c>
      <c r="CD246">
        <f>IFERROR(INDEX(PP_Grid[#Data],$DD246,80),0)</f>
        <v/>
      </c>
      <c r="CE246">
        <f>IFERROR(INDEX(PP_Grid[#Data],$DD246,81),0)</f>
        <v/>
      </c>
      <c r="CF246">
        <f>IFERROR(INDEX(PP_Grid[#Data],$DD246,82),0)</f>
        <v/>
      </c>
      <c r="CG246">
        <f>IFERROR(INDEX(PP_Grid[#Data],$DD246,83),0)</f>
        <v/>
      </c>
      <c r="CH246">
        <f>IFERROR(INDEX(PP_Grid[#Data],$DD246,84),0)</f>
        <v/>
      </c>
      <c r="CI246">
        <f>IFERROR(INDEX(PP_Grid[#Data],$DD246,85),0)</f>
        <v/>
      </c>
      <c r="CJ246">
        <f>IFERROR(INDEX(PP_Grid[#Data],$DD246,86),0)</f>
        <v/>
      </c>
      <c r="CK246">
        <f>IFERROR(INDEX(PP_Grid[#Data],$DD246,87),0)</f>
        <v/>
      </c>
      <c r="CL246">
        <f>IFERROR(INDEX(PP_Grid[#Data],$DD246,88),0)</f>
        <v/>
      </c>
      <c r="CM246">
        <f>IFERROR(INDEX(PP_Grid[#Data],$DD246,89),0)</f>
        <v/>
      </c>
      <c r="CN246">
        <f>IFERROR(INDEX(PP_Grid[#Data],$DD246,90),0)</f>
        <v/>
      </c>
      <c r="CO246">
        <f>IFERROR(INDEX(PP_Grid[#Data],$DD246,91),0)</f>
        <v/>
      </c>
      <c r="CP246">
        <f>IFERROR(INDEX(PP_Grid[#Data],$DD246,92),0)</f>
        <v/>
      </c>
      <c r="CQ246">
        <f>IFERROR(INDEX(PP_Grid[#Data],$DD246,93),0)</f>
        <v/>
      </c>
      <c r="CR246">
        <f>IFERROR(INDEX(PP_Grid[#Data],$DD246,94),0)</f>
        <v/>
      </c>
      <c r="CS246">
        <f>IFERROR(INDEX(PP_Grid[#Data],$DD246,95),0)</f>
        <v/>
      </c>
      <c r="CT246">
        <f>IFERROR(INDEX(PP_Grid[#Data],$DD246,96),0)</f>
        <v/>
      </c>
      <c r="CU246">
        <f>IFERROR(INDEX(PP_Grid[#Data],$DD246,97),0)</f>
        <v/>
      </c>
      <c r="CV246">
        <f>IFERROR(INDEX(PP_Grid[#Data],$DD246,98),0)</f>
        <v/>
      </c>
      <c r="CW246">
        <f>IFERROR(INDEX(PP_Grid[#Data],$DD246,99),0)</f>
        <v/>
      </c>
      <c r="CX246">
        <f>IFERROR(INDEX(PP_Grid[#Data],$DD246,100),0)</f>
        <v/>
      </c>
      <c r="CY246">
        <f>IFERROR(INDEX(PP_Grid[#Data],$DD246,101),0)</f>
        <v/>
      </c>
      <c r="CZ246">
        <f>IFERROR(INDEX(PP_Grid[#Data],$DD246,102),0)</f>
        <v/>
      </c>
      <c r="DA246">
        <f>IFERROR(INDEX(PP_Grid[#Data],$DD246,103),0)</f>
        <v/>
      </c>
      <c r="DB246">
        <f>IFERROR(INDEX(PP_Grid[#Data],$DD246,104),0)</f>
        <v/>
      </c>
      <c r="DC246">
        <f>IFERROR(INDEX(PP_Grid[#Data],$DD246,105),0)</f>
        <v/>
      </c>
      <c r="DD246" s="7">
        <f>IFERROR(MATCH($B246,PP_Grid[Intermediate],0),99999)</f>
        <v/>
      </c>
    </row>
    <row r="247">
      <c r="B247" t="inlineStr">
        <is>
          <t>使用量(kg)</t>
        </is>
      </c>
      <c r="C247">
        <f>SUMIFS(M_BOM[RM_Qty_Per_Batch],M_BOM[Intermediate],$B246,M_BOM[Part Name],$A219)</f>
        <v/>
      </c>
      <c r="D247">
        <f>$C247*D246</f>
        <v/>
      </c>
      <c r="E247">
        <f>$C247*E246</f>
        <v/>
      </c>
      <c r="F247">
        <f>$C247*F246</f>
        <v/>
      </c>
      <c r="G247">
        <f>$C247*G246</f>
        <v/>
      </c>
      <c r="H247">
        <f>$C247*H246</f>
        <v/>
      </c>
      <c r="I247">
        <f>$C247*I246</f>
        <v/>
      </c>
      <c r="J247">
        <f>$C247*J246</f>
        <v/>
      </c>
      <c r="K247">
        <f>$C247*K246</f>
        <v/>
      </c>
      <c r="L247">
        <f>$C247*L246</f>
        <v/>
      </c>
      <c r="M247">
        <f>$C247*M246</f>
        <v/>
      </c>
      <c r="N247">
        <f>$C247*N246</f>
        <v/>
      </c>
      <c r="O247">
        <f>$C247*O246</f>
        <v/>
      </c>
      <c r="P247">
        <f>$C247*P246</f>
        <v/>
      </c>
      <c r="Q247">
        <f>$C247*Q246</f>
        <v/>
      </c>
      <c r="R247">
        <f>$C247*R246</f>
        <v/>
      </c>
      <c r="S247">
        <f>$C247*S246</f>
        <v/>
      </c>
      <c r="T247">
        <f>$C247*T246</f>
        <v/>
      </c>
      <c r="U247">
        <f>$C247*U246</f>
        <v/>
      </c>
      <c r="V247">
        <f>$C247*V246</f>
        <v/>
      </c>
      <c r="W247">
        <f>$C247*W246</f>
        <v/>
      </c>
      <c r="X247">
        <f>$C247*X246</f>
        <v/>
      </c>
      <c r="Y247">
        <f>$C247*Y246</f>
        <v/>
      </c>
      <c r="Z247">
        <f>$C247*Z246</f>
        <v/>
      </c>
      <c r="AA247">
        <f>$C247*AA246</f>
        <v/>
      </c>
      <c r="AB247">
        <f>$C247*AB246</f>
        <v/>
      </c>
      <c r="AC247">
        <f>$C247*AC246</f>
        <v/>
      </c>
      <c r="AD247">
        <f>$C247*AD246</f>
        <v/>
      </c>
      <c r="AE247">
        <f>$C247*AE246</f>
        <v/>
      </c>
      <c r="AF247">
        <f>$C247*AF246</f>
        <v/>
      </c>
      <c r="AG247">
        <f>$C247*AG246</f>
        <v/>
      </c>
      <c r="AH247">
        <f>$C247*AH246</f>
        <v/>
      </c>
      <c r="AI247">
        <f>$C247*AI246</f>
        <v/>
      </c>
      <c r="AJ247">
        <f>$C247*AJ246</f>
        <v/>
      </c>
      <c r="AK247">
        <f>$C247*AK246</f>
        <v/>
      </c>
      <c r="AL247">
        <f>$C247*AL246</f>
        <v/>
      </c>
      <c r="AM247">
        <f>$C247*AM246</f>
        <v/>
      </c>
      <c r="AN247">
        <f>$C247*AN246</f>
        <v/>
      </c>
      <c r="AO247">
        <f>$C247*AO246</f>
        <v/>
      </c>
      <c r="AP247">
        <f>$C247*AP246</f>
        <v/>
      </c>
      <c r="AQ247">
        <f>$C247*AQ246</f>
        <v/>
      </c>
      <c r="AR247">
        <f>$C247*AR246</f>
        <v/>
      </c>
      <c r="AS247">
        <f>$C247*AS246</f>
        <v/>
      </c>
      <c r="AT247">
        <f>$C247*AT246</f>
        <v/>
      </c>
      <c r="AU247">
        <f>$C247*AU246</f>
        <v/>
      </c>
      <c r="AV247">
        <f>$C247*AV246</f>
        <v/>
      </c>
      <c r="AW247">
        <f>$C247*AW246</f>
        <v/>
      </c>
      <c r="AX247">
        <f>$C247*AX246</f>
        <v/>
      </c>
      <c r="AY247">
        <f>$C247*AY246</f>
        <v/>
      </c>
      <c r="AZ247">
        <f>$C247*AZ246</f>
        <v/>
      </c>
      <c r="BA247">
        <f>$C247*BA246</f>
        <v/>
      </c>
      <c r="BB247">
        <f>$C247*BB246</f>
        <v/>
      </c>
      <c r="BC247">
        <f>$C247*BC246</f>
        <v/>
      </c>
      <c r="BD247">
        <f>$C247*BD246</f>
        <v/>
      </c>
      <c r="BE247">
        <f>$C247*BE246</f>
        <v/>
      </c>
      <c r="BF247">
        <f>$C247*BF246</f>
        <v/>
      </c>
      <c r="BG247">
        <f>$C247*BG246</f>
        <v/>
      </c>
      <c r="BH247">
        <f>$C247*BH246</f>
        <v/>
      </c>
      <c r="BI247">
        <f>$C247*BI246</f>
        <v/>
      </c>
      <c r="BJ247">
        <f>$C247*BJ246</f>
        <v/>
      </c>
      <c r="BK247">
        <f>$C247*BK246</f>
        <v/>
      </c>
      <c r="BL247">
        <f>$C247*BL246</f>
        <v/>
      </c>
      <c r="BM247">
        <f>$C247*BM246</f>
        <v/>
      </c>
      <c r="BN247">
        <f>$C247*BN246</f>
        <v/>
      </c>
      <c r="BO247">
        <f>$C247*BO246</f>
        <v/>
      </c>
      <c r="BP247">
        <f>$C247*BP246</f>
        <v/>
      </c>
      <c r="BQ247">
        <f>$C247*BQ246</f>
        <v/>
      </c>
      <c r="BR247">
        <f>$C247*BR246</f>
        <v/>
      </c>
      <c r="BS247">
        <f>$C247*BS246</f>
        <v/>
      </c>
      <c r="BT247">
        <f>$C247*BT246</f>
        <v/>
      </c>
      <c r="BU247">
        <f>$C247*BU246</f>
        <v/>
      </c>
      <c r="BV247">
        <f>$C247*BV246</f>
        <v/>
      </c>
      <c r="BW247">
        <f>$C247*BW246</f>
        <v/>
      </c>
      <c r="BX247">
        <f>$C247*BX246</f>
        <v/>
      </c>
      <c r="BY247">
        <f>$C247*BY246</f>
        <v/>
      </c>
      <c r="BZ247">
        <f>$C247*BZ246</f>
        <v/>
      </c>
      <c r="CA247">
        <f>$C247*CA246</f>
        <v/>
      </c>
      <c r="CB247">
        <f>$C247*CB246</f>
        <v/>
      </c>
      <c r="CC247">
        <f>$C247*CC246</f>
        <v/>
      </c>
      <c r="CD247">
        <f>$C247*CD246</f>
        <v/>
      </c>
      <c r="CE247">
        <f>$C247*CE246</f>
        <v/>
      </c>
      <c r="CF247">
        <f>$C247*CF246</f>
        <v/>
      </c>
      <c r="CG247">
        <f>$C247*CG246</f>
        <v/>
      </c>
      <c r="CH247">
        <f>$C247*CH246</f>
        <v/>
      </c>
      <c r="CI247">
        <f>$C247*CI246</f>
        <v/>
      </c>
      <c r="CJ247">
        <f>$C247*CJ246</f>
        <v/>
      </c>
      <c r="CK247">
        <f>$C247*CK246</f>
        <v/>
      </c>
      <c r="CL247">
        <f>$C247*CL246</f>
        <v/>
      </c>
      <c r="CM247">
        <f>$C247*CM246</f>
        <v/>
      </c>
      <c r="CN247">
        <f>$C247*CN246</f>
        <v/>
      </c>
      <c r="CO247">
        <f>$C247*CO246</f>
        <v/>
      </c>
      <c r="CP247">
        <f>$C247*CP246</f>
        <v/>
      </c>
      <c r="CQ247">
        <f>$C247*CQ246</f>
        <v/>
      </c>
      <c r="CR247">
        <f>$C247*CR246</f>
        <v/>
      </c>
      <c r="CS247">
        <f>$C247*CS246</f>
        <v/>
      </c>
      <c r="CT247">
        <f>$C247*CT246</f>
        <v/>
      </c>
      <c r="CU247">
        <f>$C247*CU246</f>
        <v/>
      </c>
      <c r="CV247">
        <f>$C247*CV246</f>
        <v/>
      </c>
      <c r="CW247">
        <f>$C247*CW246</f>
        <v/>
      </c>
      <c r="CX247">
        <f>$C247*CX246</f>
        <v/>
      </c>
      <c r="CY247">
        <f>$C247*CY246</f>
        <v/>
      </c>
      <c r="CZ247">
        <f>$C247*CZ246</f>
        <v/>
      </c>
      <c r="DA247">
        <f>$C247*DA246</f>
        <v/>
      </c>
      <c r="DB247">
        <f>$C247*DB246</f>
        <v/>
      </c>
      <c r="DC247">
        <f>$C247*DC246</f>
        <v/>
      </c>
    </row>
    <row r="248">
      <c r="B248" t="inlineStr">
        <is>
          <t>TSP-618</t>
        </is>
      </c>
      <c r="C248" t="inlineStr">
        <is>
          <t>No. of batches</t>
        </is>
      </c>
      <c r="D248">
        <f>IFERROR(INDEX(PP_Grid[#Data],$DD248,2),0)</f>
        <v/>
      </c>
      <c r="E248">
        <f>IFERROR(INDEX(PP_Grid[#Data],$DD248,3),0)</f>
        <v/>
      </c>
      <c r="F248">
        <f>IFERROR(INDEX(PP_Grid[#Data],$DD248,4),0)</f>
        <v/>
      </c>
      <c r="G248">
        <f>IFERROR(INDEX(PP_Grid[#Data],$DD248,5),0)</f>
        <v/>
      </c>
      <c r="H248">
        <f>IFERROR(INDEX(PP_Grid[#Data],$DD248,6),0)</f>
        <v/>
      </c>
      <c r="I248">
        <f>IFERROR(INDEX(PP_Grid[#Data],$DD248,7),0)</f>
        <v/>
      </c>
      <c r="J248">
        <f>IFERROR(INDEX(PP_Grid[#Data],$DD248,8),0)</f>
        <v/>
      </c>
      <c r="K248">
        <f>IFERROR(INDEX(PP_Grid[#Data],$DD248,9),0)</f>
        <v/>
      </c>
      <c r="L248">
        <f>IFERROR(INDEX(PP_Grid[#Data],$DD248,10),0)</f>
        <v/>
      </c>
      <c r="M248">
        <f>IFERROR(INDEX(PP_Grid[#Data],$DD248,11),0)</f>
        <v/>
      </c>
      <c r="N248">
        <f>IFERROR(INDEX(PP_Grid[#Data],$DD248,12),0)</f>
        <v/>
      </c>
      <c r="O248">
        <f>IFERROR(INDEX(PP_Grid[#Data],$DD248,13),0)</f>
        <v/>
      </c>
      <c r="P248">
        <f>IFERROR(INDEX(PP_Grid[#Data],$DD248,14),0)</f>
        <v/>
      </c>
      <c r="Q248">
        <f>IFERROR(INDEX(PP_Grid[#Data],$DD248,15),0)</f>
        <v/>
      </c>
      <c r="R248">
        <f>IFERROR(INDEX(PP_Grid[#Data],$DD248,16),0)</f>
        <v/>
      </c>
      <c r="S248">
        <f>IFERROR(INDEX(PP_Grid[#Data],$DD248,17),0)</f>
        <v/>
      </c>
      <c r="T248">
        <f>IFERROR(INDEX(PP_Grid[#Data],$DD248,18),0)</f>
        <v/>
      </c>
      <c r="U248">
        <f>IFERROR(INDEX(PP_Grid[#Data],$DD248,19),0)</f>
        <v/>
      </c>
      <c r="V248">
        <f>IFERROR(INDEX(PP_Grid[#Data],$DD248,20),0)</f>
        <v/>
      </c>
      <c r="W248">
        <f>IFERROR(INDEX(PP_Grid[#Data],$DD248,21),0)</f>
        <v/>
      </c>
      <c r="X248">
        <f>IFERROR(INDEX(PP_Grid[#Data],$DD248,22),0)</f>
        <v/>
      </c>
      <c r="Y248">
        <f>IFERROR(INDEX(PP_Grid[#Data],$DD248,23),0)</f>
        <v/>
      </c>
      <c r="Z248">
        <f>IFERROR(INDEX(PP_Grid[#Data],$DD248,24),0)</f>
        <v/>
      </c>
      <c r="AA248">
        <f>IFERROR(INDEX(PP_Grid[#Data],$DD248,25),0)</f>
        <v/>
      </c>
      <c r="AB248">
        <f>IFERROR(INDEX(PP_Grid[#Data],$DD248,26),0)</f>
        <v/>
      </c>
      <c r="AC248">
        <f>IFERROR(INDEX(PP_Grid[#Data],$DD248,27),0)</f>
        <v/>
      </c>
      <c r="AD248">
        <f>IFERROR(INDEX(PP_Grid[#Data],$DD248,28),0)</f>
        <v/>
      </c>
      <c r="AE248">
        <f>IFERROR(INDEX(PP_Grid[#Data],$DD248,29),0)</f>
        <v/>
      </c>
      <c r="AF248">
        <f>IFERROR(INDEX(PP_Grid[#Data],$DD248,30),0)</f>
        <v/>
      </c>
      <c r="AG248">
        <f>IFERROR(INDEX(PP_Grid[#Data],$DD248,31),0)</f>
        <v/>
      </c>
      <c r="AH248">
        <f>IFERROR(INDEX(PP_Grid[#Data],$DD248,32),0)</f>
        <v/>
      </c>
      <c r="AI248">
        <f>IFERROR(INDEX(PP_Grid[#Data],$DD248,33),0)</f>
        <v/>
      </c>
      <c r="AJ248">
        <f>IFERROR(INDEX(PP_Grid[#Data],$DD248,34),0)</f>
        <v/>
      </c>
      <c r="AK248">
        <f>IFERROR(INDEX(PP_Grid[#Data],$DD248,35),0)</f>
        <v/>
      </c>
      <c r="AL248">
        <f>IFERROR(INDEX(PP_Grid[#Data],$DD248,36),0)</f>
        <v/>
      </c>
      <c r="AM248">
        <f>IFERROR(INDEX(PP_Grid[#Data],$DD248,37),0)</f>
        <v/>
      </c>
      <c r="AN248">
        <f>IFERROR(INDEX(PP_Grid[#Data],$DD248,38),0)</f>
        <v/>
      </c>
      <c r="AO248">
        <f>IFERROR(INDEX(PP_Grid[#Data],$DD248,39),0)</f>
        <v/>
      </c>
      <c r="AP248">
        <f>IFERROR(INDEX(PP_Grid[#Data],$DD248,40),0)</f>
        <v/>
      </c>
      <c r="AQ248">
        <f>IFERROR(INDEX(PP_Grid[#Data],$DD248,41),0)</f>
        <v/>
      </c>
      <c r="AR248">
        <f>IFERROR(INDEX(PP_Grid[#Data],$DD248,42),0)</f>
        <v/>
      </c>
      <c r="AS248">
        <f>IFERROR(INDEX(PP_Grid[#Data],$DD248,43),0)</f>
        <v/>
      </c>
      <c r="AT248">
        <f>IFERROR(INDEX(PP_Grid[#Data],$DD248,44),0)</f>
        <v/>
      </c>
      <c r="AU248">
        <f>IFERROR(INDEX(PP_Grid[#Data],$DD248,45),0)</f>
        <v/>
      </c>
      <c r="AV248">
        <f>IFERROR(INDEX(PP_Grid[#Data],$DD248,46),0)</f>
        <v/>
      </c>
      <c r="AW248">
        <f>IFERROR(INDEX(PP_Grid[#Data],$DD248,47),0)</f>
        <v/>
      </c>
      <c r="AX248">
        <f>IFERROR(INDEX(PP_Grid[#Data],$DD248,48),0)</f>
        <v/>
      </c>
      <c r="AY248">
        <f>IFERROR(INDEX(PP_Grid[#Data],$DD248,49),0)</f>
        <v/>
      </c>
      <c r="AZ248">
        <f>IFERROR(INDEX(PP_Grid[#Data],$DD248,50),0)</f>
        <v/>
      </c>
      <c r="BA248">
        <f>IFERROR(INDEX(PP_Grid[#Data],$DD248,51),0)</f>
        <v/>
      </c>
      <c r="BB248">
        <f>IFERROR(INDEX(PP_Grid[#Data],$DD248,52),0)</f>
        <v/>
      </c>
      <c r="BC248">
        <f>IFERROR(INDEX(PP_Grid[#Data],$DD248,53),0)</f>
        <v/>
      </c>
      <c r="BD248">
        <f>IFERROR(INDEX(PP_Grid[#Data],$DD248,54),0)</f>
        <v/>
      </c>
      <c r="BE248">
        <f>IFERROR(INDEX(PP_Grid[#Data],$DD248,55),0)</f>
        <v/>
      </c>
      <c r="BF248">
        <f>IFERROR(INDEX(PP_Grid[#Data],$DD248,56),0)</f>
        <v/>
      </c>
      <c r="BG248">
        <f>IFERROR(INDEX(PP_Grid[#Data],$DD248,57),0)</f>
        <v/>
      </c>
      <c r="BH248">
        <f>IFERROR(INDEX(PP_Grid[#Data],$DD248,58),0)</f>
        <v/>
      </c>
      <c r="BI248">
        <f>IFERROR(INDEX(PP_Grid[#Data],$DD248,59),0)</f>
        <v/>
      </c>
      <c r="BJ248">
        <f>IFERROR(INDEX(PP_Grid[#Data],$DD248,60),0)</f>
        <v/>
      </c>
      <c r="BK248">
        <f>IFERROR(INDEX(PP_Grid[#Data],$DD248,61),0)</f>
        <v/>
      </c>
      <c r="BL248">
        <f>IFERROR(INDEX(PP_Grid[#Data],$DD248,62),0)</f>
        <v/>
      </c>
      <c r="BM248">
        <f>IFERROR(INDEX(PP_Grid[#Data],$DD248,63),0)</f>
        <v/>
      </c>
      <c r="BN248">
        <f>IFERROR(INDEX(PP_Grid[#Data],$DD248,64),0)</f>
        <v/>
      </c>
      <c r="BO248">
        <f>IFERROR(INDEX(PP_Grid[#Data],$DD248,65),0)</f>
        <v/>
      </c>
      <c r="BP248">
        <f>IFERROR(INDEX(PP_Grid[#Data],$DD248,66),0)</f>
        <v/>
      </c>
      <c r="BQ248">
        <f>IFERROR(INDEX(PP_Grid[#Data],$DD248,67),0)</f>
        <v/>
      </c>
      <c r="BR248">
        <f>IFERROR(INDEX(PP_Grid[#Data],$DD248,68),0)</f>
        <v/>
      </c>
      <c r="BS248">
        <f>IFERROR(INDEX(PP_Grid[#Data],$DD248,69),0)</f>
        <v/>
      </c>
      <c r="BT248">
        <f>IFERROR(INDEX(PP_Grid[#Data],$DD248,70),0)</f>
        <v/>
      </c>
      <c r="BU248">
        <f>IFERROR(INDEX(PP_Grid[#Data],$DD248,71),0)</f>
        <v/>
      </c>
      <c r="BV248">
        <f>IFERROR(INDEX(PP_Grid[#Data],$DD248,72),0)</f>
        <v/>
      </c>
      <c r="BW248">
        <f>IFERROR(INDEX(PP_Grid[#Data],$DD248,73),0)</f>
        <v/>
      </c>
      <c r="BX248">
        <f>IFERROR(INDEX(PP_Grid[#Data],$DD248,74),0)</f>
        <v/>
      </c>
      <c r="BY248">
        <f>IFERROR(INDEX(PP_Grid[#Data],$DD248,75),0)</f>
        <v/>
      </c>
      <c r="BZ248">
        <f>IFERROR(INDEX(PP_Grid[#Data],$DD248,76),0)</f>
        <v/>
      </c>
      <c r="CA248">
        <f>IFERROR(INDEX(PP_Grid[#Data],$DD248,77),0)</f>
        <v/>
      </c>
      <c r="CB248">
        <f>IFERROR(INDEX(PP_Grid[#Data],$DD248,78),0)</f>
        <v/>
      </c>
      <c r="CC248">
        <f>IFERROR(INDEX(PP_Grid[#Data],$DD248,79),0)</f>
        <v/>
      </c>
      <c r="CD248">
        <f>IFERROR(INDEX(PP_Grid[#Data],$DD248,80),0)</f>
        <v/>
      </c>
      <c r="CE248">
        <f>IFERROR(INDEX(PP_Grid[#Data],$DD248,81),0)</f>
        <v/>
      </c>
      <c r="CF248">
        <f>IFERROR(INDEX(PP_Grid[#Data],$DD248,82),0)</f>
        <v/>
      </c>
      <c r="CG248">
        <f>IFERROR(INDEX(PP_Grid[#Data],$DD248,83),0)</f>
        <v/>
      </c>
      <c r="CH248">
        <f>IFERROR(INDEX(PP_Grid[#Data],$DD248,84),0)</f>
        <v/>
      </c>
      <c r="CI248">
        <f>IFERROR(INDEX(PP_Grid[#Data],$DD248,85),0)</f>
        <v/>
      </c>
      <c r="CJ248">
        <f>IFERROR(INDEX(PP_Grid[#Data],$DD248,86),0)</f>
        <v/>
      </c>
      <c r="CK248">
        <f>IFERROR(INDEX(PP_Grid[#Data],$DD248,87),0)</f>
        <v/>
      </c>
      <c r="CL248">
        <f>IFERROR(INDEX(PP_Grid[#Data],$DD248,88),0)</f>
        <v/>
      </c>
      <c r="CM248">
        <f>IFERROR(INDEX(PP_Grid[#Data],$DD248,89),0)</f>
        <v/>
      </c>
      <c r="CN248">
        <f>IFERROR(INDEX(PP_Grid[#Data],$DD248,90),0)</f>
        <v/>
      </c>
      <c r="CO248">
        <f>IFERROR(INDEX(PP_Grid[#Data],$DD248,91),0)</f>
        <v/>
      </c>
      <c r="CP248">
        <f>IFERROR(INDEX(PP_Grid[#Data],$DD248,92),0)</f>
        <v/>
      </c>
      <c r="CQ248">
        <f>IFERROR(INDEX(PP_Grid[#Data],$DD248,93),0)</f>
        <v/>
      </c>
      <c r="CR248">
        <f>IFERROR(INDEX(PP_Grid[#Data],$DD248,94),0)</f>
        <v/>
      </c>
      <c r="CS248">
        <f>IFERROR(INDEX(PP_Grid[#Data],$DD248,95),0)</f>
        <v/>
      </c>
      <c r="CT248">
        <f>IFERROR(INDEX(PP_Grid[#Data],$DD248,96),0)</f>
        <v/>
      </c>
      <c r="CU248">
        <f>IFERROR(INDEX(PP_Grid[#Data],$DD248,97),0)</f>
        <v/>
      </c>
      <c r="CV248">
        <f>IFERROR(INDEX(PP_Grid[#Data],$DD248,98),0)</f>
        <v/>
      </c>
      <c r="CW248">
        <f>IFERROR(INDEX(PP_Grid[#Data],$DD248,99),0)</f>
        <v/>
      </c>
      <c r="CX248">
        <f>IFERROR(INDEX(PP_Grid[#Data],$DD248,100),0)</f>
        <v/>
      </c>
      <c r="CY248">
        <f>IFERROR(INDEX(PP_Grid[#Data],$DD248,101),0)</f>
        <v/>
      </c>
      <c r="CZ248">
        <f>IFERROR(INDEX(PP_Grid[#Data],$DD248,102),0)</f>
        <v/>
      </c>
      <c r="DA248">
        <f>IFERROR(INDEX(PP_Grid[#Data],$DD248,103),0)</f>
        <v/>
      </c>
      <c r="DB248">
        <f>IFERROR(INDEX(PP_Grid[#Data],$DD248,104),0)</f>
        <v/>
      </c>
      <c r="DC248">
        <f>IFERROR(INDEX(PP_Grid[#Data],$DD248,105),0)</f>
        <v/>
      </c>
      <c r="DD248" s="7">
        <f>IFERROR(MATCH($B248,PP_Grid[Intermediate],0),99999)</f>
        <v/>
      </c>
    </row>
    <row r="249">
      <c r="B249" t="inlineStr">
        <is>
          <t>使用量(kg)</t>
        </is>
      </c>
      <c r="C249">
        <f>SUMIFS(M_BOM[RM_Qty_Per_Batch],M_BOM[Intermediate],$B248,M_BOM[Part Name],$A219)</f>
        <v/>
      </c>
      <c r="D249">
        <f>$C249*D248</f>
        <v/>
      </c>
      <c r="E249">
        <f>$C249*E248</f>
        <v/>
      </c>
      <c r="F249">
        <f>$C249*F248</f>
        <v/>
      </c>
      <c r="G249">
        <f>$C249*G248</f>
        <v/>
      </c>
      <c r="H249">
        <f>$C249*H248</f>
        <v/>
      </c>
      <c r="I249">
        <f>$C249*I248</f>
        <v/>
      </c>
      <c r="J249">
        <f>$C249*J248</f>
        <v/>
      </c>
      <c r="K249">
        <f>$C249*K248</f>
        <v/>
      </c>
      <c r="L249">
        <f>$C249*L248</f>
        <v/>
      </c>
      <c r="M249">
        <f>$C249*M248</f>
        <v/>
      </c>
      <c r="N249">
        <f>$C249*N248</f>
        <v/>
      </c>
      <c r="O249">
        <f>$C249*O248</f>
        <v/>
      </c>
      <c r="P249">
        <f>$C249*P248</f>
        <v/>
      </c>
      <c r="Q249">
        <f>$C249*Q248</f>
        <v/>
      </c>
      <c r="R249">
        <f>$C249*R248</f>
        <v/>
      </c>
      <c r="S249">
        <f>$C249*S248</f>
        <v/>
      </c>
      <c r="T249">
        <f>$C249*T248</f>
        <v/>
      </c>
      <c r="U249">
        <f>$C249*U248</f>
        <v/>
      </c>
      <c r="V249">
        <f>$C249*V248</f>
        <v/>
      </c>
      <c r="W249">
        <f>$C249*W248</f>
        <v/>
      </c>
      <c r="X249">
        <f>$C249*X248</f>
        <v/>
      </c>
      <c r="Y249">
        <f>$C249*Y248</f>
        <v/>
      </c>
      <c r="Z249">
        <f>$C249*Z248</f>
        <v/>
      </c>
      <c r="AA249">
        <f>$C249*AA248</f>
        <v/>
      </c>
      <c r="AB249">
        <f>$C249*AB248</f>
        <v/>
      </c>
      <c r="AC249">
        <f>$C249*AC248</f>
        <v/>
      </c>
      <c r="AD249">
        <f>$C249*AD248</f>
        <v/>
      </c>
      <c r="AE249">
        <f>$C249*AE248</f>
        <v/>
      </c>
      <c r="AF249">
        <f>$C249*AF248</f>
        <v/>
      </c>
      <c r="AG249">
        <f>$C249*AG248</f>
        <v/>
      </c>
      <c r="AH249">
        <f>$C249*AH248</f>
        <v/>
      </c>
      <c r="AI249">
        <f>$C249*AI248</f>
        <v/>
      </c>
      <c r="AJ249">
        <f>$C249*AJ248</f>
        <v/>
      </c>
      <c r="AK249">
        <f>$C249*AK248</f>
        <v/>
      </c>
      <c r="AL249">
        <f>$C249*AL248</f>
        <v/>
      </c>
      <c r="AM249">
        <f>$C249*AM248</f>
        <v/>
      </c>
      <c r="AN249">
        <f>$C249*AN248</f>
        <v/>
      </c>
      <c r="AO249">
        <f>$C249*AO248</f>
        <v/>
      </c>
      <c r="AP249">
        <f>$C249*AP248</f>
        <v/>
      </c>
      <c r="AQ249">
        <f>$C249*AQ248</f>
        <v/>
      </c>
      <c r="AR249">
        <f>$C249*AR248</f>
        <v/>
      </c>
      <c r="AS249">
        <f>$C249*AS248</f>
        <v/>
      </c>
      <c r="AT249">
        <f>$C249*AT248</f>
        <v/>
      </c>
      <c r="AU249">
        <f>$C249*AU248</f>
        <v/>
      </c>
      <c r="AV249">
        <f>$C249*AV248</f>
        <v/>
      </c>
      <c r="AW249">
        <f>$C249*AW248</f>
        <v/>
      </c>
      <c r="AX249">
        <f>$C249*AX248</f>
        <v/>
      </c>
      <c r="AY249">
        <f>$C249*AY248</f>
        <v/>
      </c>
      <c r="AZ249">
        <f>$C249*AZ248</f>
        <v/>
      </c>
      <c r="BA249">
        <f>$C249*BA248</f>
        <v/>
      </c>
      <c r="BB249">
        <f>$C249*BB248</f>
        <v/>
      </c>
      <c r="BC249">
        <f>$C249*BC248</f>
        <v/>
      </c>
      <c r="BD249">
        <f>$C249*BD248</f>
        <v/>
      </c>
      <c r="BE249">
        <f>$C249*BE248</f>
        <v/>
      </c>
      <c r="BF249">
        <f>$C249*BF248</f>
        <v/>
      </c>
      <c r="BG249">
        <f>$C249*BG248</f>
        <v/>
      </c>
      <c r="BH249">
        <f>$C249*BH248</f>
        <v/>
      </c>
      <c r="BI249">
        <f>$C249*BI248</f>
        <v/>
      </c>
      <c r="BJ249">
        <f>$C249*BJ248</f>
        <v/>
      </c>
      <c r="BK249">
        <f>$C249*BK248</f>
        <v/>
      </c>
      <c r="BL249">
        <f>$C249*BL248</f>
        <v/>
      </c>
      <c r="BM249">
        <f>$C249*BM248</f>
        <v/>
      </c>
      <c r="BN249">
        <f>$C249*BN248</f>
        <v/>
      </c>
      <c r="BO249">
        <f>$C249*BO248</f>
        <v/>
      </c>
      <c r="BP249">
        <f>$C249*BP248</f>
        <v/>
      </c>
      <c r="BQ249">
        <f>$C249*BQ248</f>
        <v/>
      </c>
      <c r="BR249">
        <f>$C249*BR248</f>
        <v/>
      </c>
      <c r="BS249">
        <f>$C249*BS248</f>
        <v/>
      </c>
      <c r="BT249">
        <f>$C249*BT248</f>
        <v/>
      </c>
      <c r="BU249">
        <f>$C249*BU248</f>
        <v/>
      </c>
      <c r="BV249">
        <f>$C249*BV248</f>
        <v/>
      </c>
      <c r="BW249">
        <f>$C249*BW248</f>
        <v/>
      </c>
      <c r="BX249">
        <f>$C249*BX248</f>
        <v/>
      </c>
      <c r="BY249">
        <f>$C249*BY248</f>
        <v/>
      </c>
      <c r="BZ249">
        <f>$C249*BZ248</f>
        <v/>
      </c>
      <c r="CA249">
        <f>$C249*CA248</f>
        <v/>
      </c>
      <c r="CB249">
        <f>$C249*CB248</f>
        <v/>
      </c>
      <c r="CC249">
        <f>$C249*CC248</f>
        <v/>
      </c>
      <c r="CD249">
        <f>$C249*CD248</f>
        <v/>
      </c>
      <c r="CE249">
        <f>$C249*CE248</f>
        <v/>
      </c>
      <c r="CF249">
        <f>$C249*CF248</f>
        <v/>
      </c>
      <c r="CG249">
        <f>$C249*CG248</f>
        <v/>
      </c>
      <c r="CH249">
        <f>$C249*CH248</f>
        <v/>
      </c>
      <c r="CI249">
        <f>$C249*CI248</f>
        <v/>
      </c>
      <c r="CJ249">
        <f>$C249*CJ248</f>
        <v/>
      </c>
      <c r="CK249">
        <f>$C249*CK248</f>
        <v/>
      </c>
      <c r="CL249">
        <f>$C249*CL248</f>
        <v/>
      </c>
      <c r="CM249">
        <f>$C249*CM248</f>
        <v/>
      </c>
      <c r="CN249">
        <f>$C249*CN248</f>
        <v/>
      </c>
      <c r="CO249">
        <f>$C249*CO248</f>
        <v/>
      </c>
      <c r="CP249">
        <f>$C249*CP248</f>
        <v/>
      </c>
      <c r="CQ249">
        <f>$C249*CQ248</f>
        <v/>
      </c>
      <c r="CR249">
        <f>$C249*CR248</f>
        <v/>
      </c>
      <c r="CS249">
        <f>$C249*CS248</f>
        <v/>
      </c>
      <c r="CT249">
        <f>$C249*CT248</f>
        <v/>
      </c>
      <c r="CU249">
        <f>$C249*CU248</f>
        <v/>
      </c>
      <c r="CV249">
        <f>$C249*CV248</f>
        <v/>
      </c>
      <c r="CW249">
        <f>$C249*CW248</f>
        <v/>
      </c>
      <c r="CX249">
        <f>$C249*CX248</f>
        <v/>
      </c>
      <c r="CY249">
        <f>$C249*CY248</f>
        <v/>
      </c>
      <c r="CZ249">
        <f>$C249*CZ248</f>
        <v/>
      </c>
      <c r="DA249">
        <f>$C249*DA248</f>
        <v/>
      </c>
      <c r="DB249">
        <f>$C249*DB248</f>
        <v/>
      </c>
      <c r="DC249">
        <f>$C249*DC248</f>
        <v/>
      </c>
    </row>
    <row r="250">
      <c r="B250" t="inlineStr">
        <is>
          <t>TSP-620</t>
        </is>
      </c>
      <c r="C250" t="inlineStr">
        <is>
          <t>No. of batches</t>
        </is>
      </c>
      <c r="D250">
        <f>IFERROR(INDEX(PP_Grid[#Data],$DD250,2),0)</f>
        <v/>
      </c>
      <c r="E250">
        <f>IFERROR(INDEX(PP_Grid[#Data],$DD250,3),0)</f>
        <v/>
      </c>
      <c r="F250">
        <f>IFERROR(INDEX(PP_Grid[#Data],$DD250,4),0)</f>
        <v/>
      </c>
      <c r="G250">
        <f>IFERROR(INDEX(PP_Grid[#Data],$DD250,5),0)</f>
        <v/>
      </c>
      <c r="H250">
        <f>IFERROR(INDEX(PP_Grid[#Data],$DD250,6),0)</f>
        <v/>
      </c>
      <c r="I250">
        <f>IFERROR(INDEX(PP_Grid[#Data],$DD250,7),0)</f>
        <v/>
      </c>
      <c r="J250">
        <f>IFERROR(INDEX(PP_Grid[#Data],$DD250,8),0)</f>
        <v/>
      </c>
      <c r="K250">
        <f>IFERROR(INDEX(PP_Grid[#Data],$DD250,9),0)</f>
        <v/>
      </c>
      <c r="L250">
        <f>IFERROR(INDEX(PP_Grid[#Data],$DD250,10),0)</f>
        <v/>
      </c>
      <c r="M250">
        <f>IFERROR(INDEX(PP_Grid[#Data],$DD250,11),0)</f>
        <v/>
      </c>
      <c r="N250">
        <f>IFERROR(INDEX(PP_Grid[#Data],$DD250,12),0)</f>
        <v/>
      </c>
      <c r="O250">
        <f>IFERROR(INDEX(PP_Grid[#Data],$DD250,13),0)</f>
        <v/>
      </c>
      <c r="P250">
        <f>IFERROR(INDEX(PP_Grid[#Data],$DD250,14),0)</f>
        <v/>
      </c>
      <c r="Q250">
        <f>IFERROR(INDEX(PP_Grid[#Data],$DD250,15),0)</f>
        <v/>
      </c>
      <c r="R250">
        <f>IFERROR(INDEX(PP_Grid[#Data],$DD250,16),0)</f>
        <v/>
      </c>
      <c r="S250">
        <f>IFERROR(INDEX(PP_Grid[#Data],$DD250,17),0)</f>
        <v/>
      </c>
      <c r="T250">
        <f>IFERROR(INDEX(PP_Grid[#Data],$DD250,18),0)</f>
        <v/>
      </c>
      <c r="U250">
        <f>IFERROR(INDEX(PP_Grid[#Data],$DD250,19),0)</f>
        <v/>
      </c>
      <c r="V250">
        <f>IFERROR(INDEX(PP_Grid[#Data],$DD250,20),0)</f>
        <v/>
      </c>
      <c r="W250">
        <f>IFERROR(INDEX(PP_Grid[#Data],$DD250,21),0)</f>
        <v/>
      </c>
      <c r="X250">
        <f>IFERROR(INDEX(PP_Grid[#Data],$DD250,22),0)</f>
        <v/>
      </c>
      <c r="Y250">
        <f>IFERROR(INDEX(PP_Grid[#Data],$DD250,23),0)</f>
        <v/>
      </c>
      <c r="Z250">
        <f>IFERROR(INDEX(PP_Grid[#Data],$DD250,24),0)</f>
        <v/>
      </c>
      <c r="AA250">
        <f>IFERROR(INDEX(PP_Grid[#Data],$DD250,25),0)</f>
        <v/>
      </c>
      <c r="AB250">
        <f>IFERROR(INDEX(PP_Grid[#Data],$DD250,26),0)</f>
        <v/>
      </c>
      <c r="AC250">
        <f>IFERROR(INDEX(PP_Grid[#Data],$DD250,27),0)</f>
        <v/>
      </c>
      <c r="AD250">
        <f>IFERROR(INDEX(PP_Grid[#Data],$DD250,28),0)</f>
        <v/>
      </c>
      <c r="AE250">
        <f>IFERROR(INDEX(PP_Grid[#Data],$DD250,29),0)</f>
        <v/>
      </c>
      <c r="AF250">
        <f>IFERROR(INDEX(PP_Grid[#Data],$DD250,30),0)</f>
        <v/>
      </c>
      <c r="AG250">
        <f>IFERROR(INDEX(PP_Grid[#Data],$DD250,31),0)</f>
        <v/>
      </c>
      <c r="AH250">
        <f>IFERROR(INDEX(PP_Grid[#Data],$DD250,32),0)</f>
        <v/>
      </c>
      <c r="AI250">
        <f>IFERROR(INDEX(PP_Grid[#Data],$DD250,33),0)</f>
        <v/>
      </c>
      <c r="AJ250">
        <f>IFERROR(INDEX(PP_Grid[#Data],$DD250,34),0)</f>
        <v/>
      </c>
      <c r="AK250">
        <f>IFERROR(INDEX(PP_Grid[#Data],$DD250,35),0)</f>
        <v/>
      </c>
      <c r="AL250">
        <f>IFERROR(INDEX(PP_Grid[#Data],$DD250,36),0)</f>
        <v/>
      </c>
      <c r="AM250">
        <f>IFERROR(INDEX(PP_Grid[#Data],$DD250,37),0)</f>
        <v/>
      </c>
      <c r="AN250">
        <f>IFERROR(INDEX(PP_Grid[#Data],$DD250,38),0)</f>
        <v/>
      </c>
      <c r="AO250">
        <f>IFERROR(INDEX(PP_Grid[#Data],$DD250,39),0)</f>
        <v/>
      </c>
      <c r="AP250">
        <f>IFERROR(INDEX(PP_Grid[#Data],$DD250,40),0)</f>
        <v/>
      </c>
      <c r="AQ250">
        <f>IFERROR(INDEX(PP_Grid[#Data],$DD250,41),0)</f>
        <v/>
      </c>
      <c r="AR250">
        <f>IFERROR(INDEX(PP_Grid[#Data],$DD250,42),0)</f>
        <v/>
      </c>
      <c r="AS250">
        <f>IFERROR(INDEX(PP_Grid[#Data],$DD250,43),0)</f>
        <v/>
      </c>
      <c r="AT250">
        <f>IFERROR(INDEX(PP_Grid[#Data],$DD250,44),0)</f>
        <v/>
      </c>
      <c r="AU250">
        <f>IFERROR(INDEX(PP_Grid[#Data],$DD250,45),0)</f>
        <v/>
      </c>
      <c r="AV250">
        <f>IFERROR(INDEX(PP_Grid[#Data],$DD250,46),0)</f>
        <v/>
      </c>
      <c r="AW250">
        <f>IFERROR(INDEX(PP_Grid[#Data],$DD250,47),0)</f>
        <v/>
      </c>
      <c r="AX250">
        <f>IFERROR(INDEX(PP_Grid[#Data],$DD250,48),0)</f>
        <v/>
      </c>
      <c r="AY250">
        <f>IFERROR(INDEX(PP_Grid[#Data],$DD250,49),0)</f>
        <v/>
      </c>
      <c r="AZ250">
        <f>IFERROR(INDEX(PP_Grid[#Data],$DD250,50),0)</f>
        <v/>
      </c>
      <c r="BA250">
        <f>IFERROR(INDEX(PP_Grid[#Data],$DD250,51),0)</f>
        <v/>
      </c>
      <c r="BB250">
        <f>IFERROR(INDEX(PP_Grid[#Data],$DD250,52),0)</f>
        <v/>
      </c>
      <c r="BC250">
        <f>IFERROR(INDEX(PP_Grid[#Data],$DD250,53),0)</f>
        <v/>
      </c>
      <c r="BD250">
        <f>IFERROR(INDEX(PP_Grid[#Data],$DD250,54),0)</f>
        <v/>
      </c>
      <c r="BE250">
        <f>IFERROR(INDEX(PP_Grid[#Data],$DD250,55),0)</f>
        <v/>
      </c>
      <c r="BF250">
        <f>IFERROR(INDEX(PP_Grid[#Data],$DD250,56),0)</f>
        <v/>
      </c>
      <c r="BG250">
        <f>IFERROR(INDEX(PP_Grid[#Data],$DD250,57),0)</f>
        <v/>
      </c>
      <c r="BH250">
        <f>IFERROR(INDEX(PP_Grid[#Data],$DD250,58),0)</f>
        <v/>
      </c>
      <c r="BI250">
        <f>IFERROR(INDEX(PP_Grid[#Data],$DD250,59),0)</f>
        <v/>
      </c>
      <c r="BJ250">
        <f>IFERROR(INDEX(PP_Grid[#Data],$DD250,60),0)</f>
        <v/>
      </c>
      <c r="BK250">
        <f>IFERROR(INDEX(PP_Grid[#Data],$DD250,61),0)</f>
        <v/>
      </c>
      <c r="BL250">
        <f>IFERROR(INDEX(PP_Grid[#Data],$DD250,62),0)</f>
        <v/>
      </c>
      <c r="BM250">
        <f>IFERROR(INDEX(PP_Grid[#Data],$DD250,63),0)</f>
        <v/>
      </c>
      <c r="BN250">
        <f>IFERROR(INDEX(PP_Grid[#Data],$DD250,64),0)</f>
        <v/>
      </c>
      <c r="BO250">
        <f>IFERROR(INDEX(PP_Grid[#Data],$DD250,65),0)</f>
        <v/>
      </c>
      <c r="BP250">
        <f>IFERROR(INDEX(PP_Grid[#Data],$DD250,66),0)</f>
        <v/>
      </c>
      <c r="BQ250">
        <f>IFERROR(INDEX(PP_Grid[#Data],$DD250,67),0)</f>
        <v/>
      </c>
      <c r="BR250">
        <f>IFERROR(INDEX(PP_Grid[#Data],$DD250,68),0)</f>
        <v/>
      </c>
      <c r="BS250">
        <f>IFERROR(INDEX(PP_Grid[#Data],$DD250,69),0)</f>
        <v/>
      </c>
      <c r="BT250">
        <f>IFERROR(INDEX(PP_Grid[#Data],$DD250,70),0)</f>
        <v/>
      </c>
      <c r="BU250">
        <f>IFERROR(INDEX(PP_Grid[#Data],$DD250,71),0)</f>
        <v/>
      </c>
      <c r="BV250">
        <f>IFERROR(INDEX(PP_Grid[#Data],$DD250,72),0)</f>
        <v/>
      </c>
      <c r="BW250">
        <f>IFERROR(INDEX(PP_Grid[#Data],$DD250,73),0)</f>
        <v/>
      </c>
      <c r="BX250">
        <f>IFERROR(INDEX(PP_Grid[#Data],$DD250,74),0)</f>
        <v/>
      </c>
      <c r="BY250">
        <f>IFERROR(INDEX(PP_Grid[#Data],$DD250,75),0)</f>
        <v/>
      </c>
      <c r="BZ250">
        <f>IFERROR(INDEX(PP_Grid[#Data],$DD250,76),0)</f>
        <v/>
      </c>
      <c r="CA250">
        <f>IFERROR(INDEX(PP_Grid[#Data],$DD250,77),0)</f>
        <v/>
      </c>
      <c r="CB250">
        <f>IFERROR(INDEX(PP_Grid[#Data],$DD250,78),0)</f>
        <v/>
      </c>
      <c r="CC250">
        <f>IFERROR(INDEX(PP_Grid[#Data],$DD250,79),0)</f>
        <v/>
      </c>
      <c r="CD250">
        <f>IFERROR(INDEX(PP_Grid[#Data],$DD250,80),0)</f>
        <v/>
      </c>
      <c r="CE250">
        <f>IFERROR(INDEX(PP_Grid[#Data],$DD250,81),0)</f>
        <v/>
      </c>
      <c r="CF250">
        <f>IFERROR(INDEX(PP_Grid[#Data],$DD250,82),0)</f>
        <v/>
      </c>
      <c r="CG250">
        <f>IFERROR(INDEX(PP_Grid[#Data],$DD250,83),0)</f>
        <v/>
      </c>
      <c r="CH250">
        <f>IFERROR(INDEX(PP_Grid[#Data],$DD250,84),0)</f>
        <v/>
      </c>
      <c r="CI250">
        <f>IFERROR(INDEX(PP_Grid[#Data],$DD250,85),0)</f>
        <v/>
      </c>
      <c r="CJ250">
        <f>IFERROR(INDEX(PP_Grid[#Data],$DD250,86),0)</f>
        <v/>
      </c>
      <c r="CK250">
        <f>IFERROR(INDEX(PP_Grid[#Data],$DD250,87),0)</f>
        <v/>
      </c>
      <c r="CL250">
        <f>IFERROR(INDEX(PP_Grid[#Data],$DD250,88),0)</f>
        <v/>
      </c>
      <c r="CM250">
        <f>IFERROR(INDEX(PP_Grid[#Data],$DD250,89),0)</f>
        <v/>
      </c>
      <c r="CN250">
        <f>IFERROR(INDEX(PP_Grid[#Data],$DD250,90),0)</f>
        <v/>
      </c>
      <c r="CO250">
        <f>IFERROR(INDEX(PP_Grid[#Data],$DD250,91),0)</f>
        <v/>
      </c>
      <c r="CP250">
        <f>IFERROR(INDEX(PP_Grid[#Data],$DD250,92),0)</f>
        <v/>
      </c>
      <c r="CQ250">
        <f>IFERROR(INDEX(PP_Grid[#Data],$DD250,93),0)</f>
        <v/>
      </c>
      <c r="CR250">
        <f>IFERROR(INDEX(PP_Grid[#Data],$DD250,94),0)</f>
        <v/>
      </c>
      <c r="CS250">
        <f>IFERROR(INDEX(PP_Grid[#Data],$DD250,95),0)</f>
        <v/>
      </c>
      <c r="CT250">
        <f>IFERROR(INDEX(PP_Grid[#Data],$DD250,96),0)</f>
        <v/>
      </c>
      <c r="CU250">
        <f>IFERROR(INDEX(PP_Grid[#Data],$DD250,97),0)</f>
        <v/>
      </c>
      <c r="CV250">
        <f>IFERROR(INDEX(PP_Grid[#Data],$DD250,98),0)</f>
        <v/>
      </c>
      <c r="CW250">
        <f>IFERROR(INDEX(PP_Grid[#Data],$DD250,99),0)</f>
        <v/>
      </c>
      <c r="CX250">
        <f>IFERROR(INDEX(PP_Grid[#Data],$DD250,100),0)</f>
        <v/>
      </c>
      <c r="CY250">
        <f>IFERROR(INDEX(PP_Grid[#Data],$DD250,101),0)</f>
        <v/>
      </c>
      <c r="CZ250">
        <f>IFERROR(INDEX(PP_Grid[#Data],$DD250,102),0)</f>
        <v/>
      </c>
      <c r="DA250">
        <f>IFERROR(INDEX(PP_Grid[#Data],$DD250,103),0)</f>
        <v/>
      </c>
      <c r="DB250">
        <f>IFERROR(INDEX(PP_Grid[#Data],$DD250,104),0)</f>
        <v/>
      </c>
      <c r="DC250">
        <f>IFERROR(INDEX(PP_Grid[#Data],$DD250,105),0)</f>
        <v/>
      </c>
      <c r="DD250" s="7">
        <f>IFERROR(MATCH($B250,PP_Grid[Intermediate],0),99999)</f>
        <v/>
      </c>
    </row>
    <row r="251">
      <c r="B251" t="inlineStr">
        <is>
          <t>使用量(kg)</t>
        </is>
      </c>
      <c r="C251">
        <f>SUMIFS(M_BOM[RM_Qty_Per_Batch],M_BOM[Intermediate],$B250,M_BOM[Part Name],$A219)</f>
        <v/>
      </c>
      <c r="D251">
        <f>$C251*D250</f>
        <v/>
      </c>
      <c r="E251">
        <f>$C251*E250</f>
        <v/>
      </c>
      <c r="F251">
        <f>$C251*F250</f>
        <v/>
      </c>
      <c r="G251">
        <f>$C251*G250</f>
        <v/>
      </c>
      <c r="H251">
        <f>$C251*H250</f>
        <v/>
      </c>
      <c r="I251">
        <f>$C251*I250</f>
        <v/>
      </c>
      <c r="J251">
        <f>$C251*J250</f>
        <v/>
      </c>
      <c r="K251">
        <f>$C251*K250</f>
        <v/>
      </c>
      <c r="L251">
        <f>$C251*L250</f>
        <v/>
      </c>
      <c r="M251">
        <f>$C251*M250</f>
        <v/>
      </c>
      <c r="N251">
        <f>$C251*N250</f>
        <v/>
      </c>
      <c r="O251">
        <f>$C251*O250</f>
        <v/>
      </c>
      <c r="P251">
        <f>$C251*P250</f>
        <v/>
      </c>
      <c r="Q251">
        <f>$C251*Q250</f>
        <v/>
      </c>
      <c r="R251">
        <f>$C251*R250</f>
        <v/>
      </c>
      <c r="S251">
        <f>$C251*S250</f>
        <v/>
      </c>
      <c r="T251">
        <f>$C251*T250</f>
        <v/>
      </c>
      <c r="U251">
        <f>$C251*U250</f>
        <v/>
      </c>
      <c r="V251">
        <f>$C251*V250</f>
        <v/>
      </c>
      <c r="W251">
        <f>$C251*W250</f>
        <v/>
      </c>
      <c r="X251">
        <f>$C251*X250</f>
        <v/>
      </c>
      <c r="Y251">
        <f>$C251*Y250</f>
        <v/>
      </c>
      <c r="Z251">
        <f>$C251*Z250</f>
        <v/>
      </c>
      <c r="AA251">
        <f>$C251*AA250</f>
        <v/>
      </c>
      <c r="AB251">
        <f>$C251*AB250</f>
        <v/>
      </c>
      <c r="AC251">
        <f>$C251*AC250</f>
        <v/>
      </c>
      <c r="AD251">
        <f>$C251*AD250</f>
        <v/>
      </c>
      <c r="AE251">
        <f>$C251*AE250</f>
        <v/>
      </c>
      <c r="AF251">
        <f>$C251*AF250</f>
        <v/>
      </c>
      <c r="AG251">
        <f>$C251*AG250</f>
        <v/>
      </c>
      <c r="AH251">
        <f>$C251*AH250</f>
        <v/>
      </c>
      <c r="AI251">
        <f>$C251*AI250</f>
        <v/>
      </c>
      <c r="AJ251">
        <f>$C251*AJ250</f>
        <v/>
      </c>
      <c r="AK251">
        <f>$C251*AK250</f>
        <v/>
      </c>
      <c r="AL251">
        <f>$C251*AL250</f>
        <v/>
      </c>
      <c r="AM251">
        <f>$C251*AM250</f>
        <v/>
      </c>
      <c r="AN251">
        <f>$C251*AN250</f>
        <v/>
      </c>
      <c r="AO251">
        <f>$C251*AO250</f>
        <v/>
      </c>
      <c r="AP251">
        <f>$C251*AP250</f>
        <v/>
      </c>
      <c r="AQ251">
        <f>$C251*AQ250</f>
        <v/>
      </c>
      <c r="AR251">
        <f>$C251*AR250</f>
        <v/>
      </c>
      <c r="AS251">
        <f>$C251*AS250</f>
        <v/>
      </c>
      <c r="AT251">
        <f>$C251*AT250</f>
        <v/>
      </c>
      <c r="AU251">
        <f>$C251*AU250</f>
        <v/>
      </c>
      <c r="AV251">
        <f>$C251*AV250</f>
        <v/>
      </c>
      <c r="AW251">
        <f>$C251*AW250</f>
        <v/>
      </c>
      <c r="AX251">
        <f>$C251*AX250</f>
        <v/>
      </c>
      <c r="AY251">
        <f>$C251*AY250</f>
        <v/>
      </c>
      <c r="AZ251">
        <f>$C251*AZ250</f>
        <v/>
      </c>
      <c r="BA251">
        <f>$C251*BA250</f>
        <v/>
      </c>
      <c r="BB251">
        <f>$C251*BB250</f>
        <v/>
      </c>
      <c r="BC251">
        <f>$C251*BC250</f>
        <v/>
      </c>
      <c r="BD251">
        <f>$C251*BD250</f>
        <v/>
      </c>
      <c r="BE251">
        <f>$C251*BE250</f>
        <v/>
      </c>
      <c r="BF251">
        <f>$C251*BF250</f>
        <v/>
      </c>
      <c r="BG251">
        <f>$C251*BG250</f>
        <v/>
      </c>
      <c r="BH251">
        <f>$C251*BH250</f>
        <v/>
      </c>
      <c r="BI251">
        <f>$C251*BI250</f>
        <v/>
      </c>
      <c r="BJ251">
        <f>$C251*BJ250</f>
        <v/>
      </c>
      <c r="BK251">
        <f>$C251*BK250</f>
        <v/>
      </c>
      <c r="BL251">
        <f>$C251*BL250</f>
        <v/>
      </c>
      <c r="BM251">
        <f>$C251*BM250</f>
        <v/>
      </c>
      <c r="BN251">
        <f>$C251*BN250</f>
        <v/>
      </c>
      <c r="BO251">
        <f>$C251*BO250</f>
        <v/>
      </c>
      <c r="BP251">
        <f>$C251*BP250</f>
        <v/>
      </c>
      <c r="BQ251">
        <f>$C251*BQ250</f>
        <v/>
      </c>
      <c r="BR251">
        <f>$C251*BR250</f>
        <v/>
      </c>
      <c r="BS251">
        <f>$C251*BS250</f>
        <v/>
      </c>
      <c r="BT251">
        <f>$C251*BT250</f>
        <v/>
      </c>
      <c r="BU251">
        <f>$C251*BU250</f>
        <v/>
      </c>
      <c r="BV251">
        <f>$C251*BV250</f>
        <v/>
      </c>
      <c r="BW251">
        <f>$C251*BW250</f>
        <v/>
      </c>
      <c r="BX251">
        <f>$C251*BX250</f>
        <v/>
      </c>
      <c r="BY251">
        <f>$C251*BY250</f>
        <v/>
      </c>
      <c r="BZ251">
        <f>$C251*BZ250</f>
        <v/>
      </c>
      <c r="CA251">
        <f>$C251*CA250</f>
        <v/>
      </c>
      <c r="CB251">
        <f>$C251*CB250</f>
        <v/>
      </c>
      <c r="CC251">
        <f>$C251*CC250</f>
        <v/>
      </c>
      <c r="CD251">
        <f>$C251*CD250</f>
        <v/>
      </c>
      <c r="CE251">
        <f>$C251*CE250</f>
        <v/>
      </c>
      <c r="CF251">
        <f>$C251*CF250</f>
        <v/>
      </c>
      <c r="CG251">
        <f>$C251*CG250</f>
        <v/>
      </c>
      <c r="CH251">
        <f>$C251*CH250</f>
        <v/>
      </c>
      <c r="CI251">
        <f>$C251*CI250</f>
        <v/>
      </c>
      <c r="CJ251">
        <f>$C251*CJ250</f>
        <v/>
      </c>
      <c r="CK251">
        <f>$C251*CK250</f>
        <v/>
      </c>
      <c r="CL251">
        <f>$C251*CL250</f>
        <v/>
      </c>
      <c r="CM251">
        <f>$C251*CM250</f>
        <v/>
      </c>
      <c r="CN251">
        <f>$C251*CN250</f>
        <v/>
      </c>
      <c r="CO251">
        <f>$C251*CO250</f>
        <v/>
      </c>
      <c r="CP251">
        <f>$C251*CP250</f>
        <v/>
      </c>
      <c r="CQ251">
        <f>$C251*CQ250</f>
        <v/>
      </c>
      <c r="CR251">
        <f>$C251*CR250</f>
        <v/>
      </c>
      <c r="CS251">
        <f>$C251*CS250</f>
        <v/>
      </c>
      <c r="CT251">
        <f>$C251*CT250</f>
        <v/>
      </c>
      <c r="CU251">
        <f>$C251*CU250</f>
        <v/>
      </c>
      <c r="CV251">
        <f>$C251*CV250</f>
        <v/>
      </c>
      <c r="CW251">
        <f>$C251*CW250</f>
        <v/>
      </c>
      <c r="CX251">
        <f>$C251*CX250</f>
        <v/>
      </c>
      <c r="CY251">
        <f>$C251*CY250</f>
        <v/>
      </c>
      <c r="CZ251">
        <f>$C251*CZ250</f>
        <v/>
      </c>
      <c r="DA251">
        <f>$C251*DA250</f>
        <v/>
      </c>
      <c r="DB251">
        <f>$C251*DB250</f>
        <v/>
      </c>
      <c r="DC251">
        <f>$C251*DC250</f>
        <v/>
      </c>
    </row>
    <row r="252">
      <c r="B252" t="inlineStr">
        <is>
          <t>TSP-623</t>
        </is>
      </c>
      <c r="C252" t="inlineStr">
        <is>
          <t>No. of batches</t>
        </is>
      </c>
      <c r="D252">
        <f>IFERROR(INDEX(PP_Grid[#Data],$DD252,2),0)</f>
        <v/>
      </c>
      <c r="E252">
        <f>IFERROR(INDEX(PP_Grid[#Data],$DD252,3),0)</f>
        <v/>
      </c>
      <c r="F252">
        <f>IFERROR(INDEX(PP_Grid[#Data],$DD252,4),0)</f>
        <v/>
      </c>
      <c r="G252">
        <f>IFERROR(INDEX(PP_Grid[#Data],$DD252,5),0)</f>
        <v/>
      </c>
      <c r="H252">
        <f>IFERROR(INDEX(PP_Grid[#Data],$DD252,6),0)</f>
        <v/>
      </c>
      <c r="I252">
        <f>IFERROR(INDEX(PP_Grid[#Data],$DD252,7),0)</f>
        <v/>
      </c>
      <c r="J252">
        <f>IFERROR(INDEX(PP_Grid[#Data],$DD252,8),0)</f>
        <v/>
      </c>
      <c r="K252">
        <f>IFERROR(INDEX(PP_Grid[#Data],$DD252,9),0)</f>
        <v/>
      </c>
      <c r="L252">
        <f>IFERROR(INDEX(PP_Grid[#Data],$DD252,10),0)</f>
        <v/>
      </c>
      <c r="M252">
        <f>IFERROR(INDEX(PP_Grid[#Data],$DD252,11),0)</f>
        <v/>
      </c>
      <c r="N252">
        <f>IFERROR(INDEX(PP_Grid[#Data],$DD252,12),0)</f>
        <v/>
      </c>
      <c r="O252">
        <f>IFERROR(INDEX(PP_Grid[#Data],$DD252,13),0)</f>
        <v/>
      </c>
      <c r="P252">
        <f>IFERROR(INDEX(PP_Grid[#Data],$DD252,14),0)</f>
        <v/>
      </c>
      <c r="Q252">
        <f>IFERROR(INDEX(PP_Grid[#Data],$DD252,15),0)</f>
        <v/>
      </c>
      <c r="R252">
        <f>IFERROR(INDEX(PP_Grid[#Data],$DD252,16),0)</f>
        <v/>
      </c>
      <c r="S252">
        <f>IFERROR(INDEX(PP_Grid[#Data],$DD252,17),0)</f>
        <v/>
      </c>
      <c r="T252">
        <f>IFERROR(INDEX(PP_Grid[#Data],$DD252,18),0)</f>
        <v/>
      </c>
      <c r="U252">
        <f>IFERROR(INDEX(PP_Grid[#Data],$DD252,19),0)</f>
        <v/>
      </c>
      <c r="V252">
        <f>IFERROR(INDEX(PP_Grid[#Data],$DD252,20),0)</f>
        <v/>
      </c>
      <c r="W252">
        <f>IFERROR(INDEX(PP_Grid[#Data],$DD252,21),0)</f>
        <v/>
      </c>
      <c r="X252">
        <f>IFERROR(INDEX(PP_Grid[#Data],$DD252,22),0)</f>
        <v/>
      </c>
      <c r="Y252">
        <f>IFERROR(INDEX(PP_Grid[#Data],$DD252,23),0)</f>
        <v/>
      </c>
      <c r="Z252">
        <f>IFERROR(INDEX(PP_Grid[#Data],$DD252,24),0)</f>
        <v/>
      </c>
      <c r="AA252">
        <f>IFERROR(INDEX(PP_Grid[#Data],$DD252,25),0)</f>
        <v/>
      </c>
      <c r="AB252">
        <f>IFERROR(INDEX(PP_Grid[#Data],$DD252,26),0)</f>
        <v/>
      </c>
      <c r="AC252">
        <f>IFERROR(INDEX(PP_Grid[#Data],$DD252,27),0)</f>
        <v/>
      </c>
      <c r="AD252">
        <f>IFERROR(INDEX(PP_Grid[#Data],$DD252,28),0)</f>
        <v/>
      </c>
      <c r="AE252">
        <f>IFERROR(INDEX(PP_Grid[#Data],$DD252,29),0)</f>
        <v/>
      </c>
      <c r="AF252">
        <f>IFERROR(INDEX(PP_Grid[#Data],$DD252,30),0)</f>
        <v/>
      </c>
      <c r="AG252">
        <f>IFERROR(INDEX(PP_Grid[#Data],$DD252,31),0)</f>
        <v/>
      </c>
      <c r="AH252">
        <f>IFERROR(INDEX(PP_Grid[#Data],$DD252,32),0)</f>
        <v/>
      </c>
      <c r="AI252">
        <f>IFERROR(INDEX(PP_Grid[#Data],$DD252,33),0)</f>
        <v/>
      </c>
      <c r="AJ252">
        <f>IFERROR(INDEX(PP_Grid[#Data],$DD252,34),0)</f>
        <v/>
      </c>
      <c r="AK252">
        <f>IFERROR(INDEX(PP_Grid[#Data],$DD252,35),0)</f>
        <v/>
      </c>
      <c r="AL252">
        <f>IFERROR(INDEX(PP_Grid[#Data],$DD252,36),0)</f>
        <v/>
      </c>
      <c r="AM252">
        <f>IFERROR(INDEX(PP_Grid[#Data],$DD252,37),0)</f>
        <v/>
      </c>
      <c r="AN252">
        <f>IFERROR(INDEX(PP_Grid[#Data],$DD252,38),0)</f>
        <v/>
      </c>
      <c r="AO252">
        <f>IFERROR(INDEX(PP_Grid[#Data],$DD252,39),0)</f>
        <v/>
      </c>
      <c r="AP252">
        <f>IFERROR(INDEX(PP_Grid[#Data],$DD252,40),0)</f>
        <v/>
      </c>
      <c r="AQ252">
        <f>IFERROR(INDEX(PP_Grid[#Data],$DD252,41),0)</f>
        <v/>
      </c>
      <c r="AR252">
        <f>IFERROR(INDEX(PP_Grid[#Data],$DD252,42),0)</f>
        <v/>
      </c>
      <c r="AS252">
        <f>IFERROR(INDEX(PP_Grid[#Data],$DD252,43),0)</f>
        <v/>
      </c>
      <c r="AT252">
        <f>IFERROR(INDEX(PP_Grid[#Data],$DD252,44),0)</f>
        <v/>
      </c>
      <c r="AU252">
        <f>IFERROR(INDEX(PP_Grid[#Data],$DD252,45),0)</f>
        <v/>
      </c>
      <c r="AV252">
        <f>IFERROR(INDEX(PP_Grid[#Data],$DD252,46),0)</f>
        <v/>
      </c>
      <c r="AW252">
        <f>IFERROR(INDEX(PP_Grid[#Data],$DD252,47),0)</f>
        <v/>
      </c>
      <c r="AX252">
        <f>IFERROR(INDEX(PP_Grid[#Data],$DD252,48),0)</f>
        <v/>
      </c>
      <c r="AY252">
        <f>IFERROR(INDEX(PP_Grid[#Data],$DD252,49),0)</f>
        <v/>
      </c>
      <c r="AZ252">
        <f>IFERROR(INDEX(PP_Grid[#Data],$DD252,50),0)</f>
        <v/>
      </c>
      <c r="BA252">
        <f>IFERROR(INDEX(PP_Grid[#Data],$DD252,51),0)</f>
        <v/>
      </c>
      <c r="BB252">
        <f>IFERROR(INDEX(PP_Grid[#Data],$DD252,52),0)</f>
        <v/>
      </c>
      <c r="BC252">
        <f>IFERROR(INDEX(PP_Grid[#Data],$DD252,53),0)</f>
        <v/>
      </c>
      <c r="BD252">
        <f>IFERROR(INDEX(PP_Grid[#Data],$DD252,54),0)</f>
        <v/>
      </c>
      <c r="BE252">
        <f>IFERROR(INDEX(PP_Grid[#Data],$DD252,55),0)</f>
        <v/>
      </c>
      <c r="BF252">
        <f>IFERROR(INDEX(PP_Grid[#Data],$DD252,56),0)</f>
        <v/>
      </c>
      <c r="BG252">
        <f>IFERROR(INDEX(PP_Grid[#Data],$DD252,57),0)</f>
        <v/>
      </c>
      <c r="BH252">
        <f>IFERROR(INDEX(PP_Grid[#Data],$DD252,58),0)</f>
        <v/>
      </c>
      <c r="BI252">
        <f>IFERROR(INDEX(PP_Grid[#Data],$DD252,59),0)</f>
        <v/>
      </c>
      <c r="BJ252">
        <f>IFERROR(INDEX(PP_Grid[#Data],$DD252,60),0)</f>
        <v/>
      </c>
      <c r="BK252">
        <f>IFERROR(INDEX(PP_Grid[#Data],$DD252,61),0)</f>
        <v/>
      </c>
      <c r="BL252">
        <f>IFERROR(INDEX(PP_Grid[#Data],$DD252,62),0)</f>
        <v/>
      </c>
      <c r="BM252">
        <f>IFERROR(INDEX(PP_Grid[#Data],$DD252,63),0)</f>
        <v/>
      </c>
      <c r="BN252">
        <f>IFERROR(INDEX(PP_Grid[#Data],$DD252,64),0)</f>
        <v/>
      </c>
      <c r="BO252">
        <f>IFERROR(INDEX(PP_Grid[#Data],$DD252,65),0)</f>
        <v/>
      </c>
      <c r="BP252">
        <f>IFERROR(INDEX(PP_Grid[#Data],$DD252,66),0)</f>
        <v/>
      </c>
      <c r="BQ252">
        <f>IFERROR(INDEX(PP_Grid[#Data],$DD252,67),0)</f>
        <v/>
      </c>
      <c r="BR252">
        <f>IFERROR(INDEX(PP_Grid[#Data],$DD252,68),0)</f>
        <v/>
      </c>
      <c r="BS252">
        <f>IFERROR(INDEX(PP_Grid[#Data],$DD252,69),0)</f>
        <v/>
      </c>
      <c r="BT252">
        <f>IFERROR(INDEX(PP_Grid[#Data],$DD252,70),0)</f>
        <v/>
      </c>
      <c r="BU252">
        <f>IFERROR(INDEX(PP_Grid[#Data],$DD252,71),0)</f>
        <v/>
      </c>
      <c r="BV252">
        <f>IFERROR(INDEX(PP_Grid[#Data],$DD252,72),0)</f>
        <v/>
      </c>
      <c r="BW252">
        <f>IFERROR(INDEX(PP_Grid[#Data],$DD252,73),0)</f>
        <v/>
      </c>
      <c r="BX252">
        <f>IFERROR(INDEX(PP_Grid[#Data],$DD252,74),0)</f>
        <v/>
      </c>
      <c r="BY252">
        <f>IFERROR(INDEX(PP_Grid[#Data],$DD252,75),0)</f>
        <v/>
      </c>
      <c r="BZ252">
        <f>IFERROR(INDEX(PP_Grid[#Data],$DD252,76),0)</f>
        <v/>
      </c>
      <c r="CA252">
        <f>IFERROR(INDEX(PP_Grid[#Data],$DD252,77),0)</f>
        <v/>
      </c>
      <c r="CB252">
        <f>IFERROR(INDEX(PP_Grid[#Data],$DD252,78),0)</f>
        <v/>
      </c>
      <c r="CC252">
        <f>IFERROR(INDEX(PP_Grid[#Data],$DD252,79),0)</f>
        <v/>
      </c>
      <c r="CD252">
        <f>IFERROR(INDEX(PP_Grid[#Data],$DD252,80),0)</f>
        <v/>
      </c>
      <c r="CE252">
        <f>IFERROR(INDEX(PP_Grid[#Data],$DD252,81),0)</f>
        <v/>
      </c>
      <c r="CF252">
        <f>IFERROR(INDEX(PP_Grid[#Data],$DD252,82),0)</f>
        <v/>
      </c>
      <c r="CG252">
        <f>IFERROR(INDEX(PP_Grid[#Data],$DD252,83),0)</f>
        <v/>
      </c>
      <c r="CH252">
        <f>IFERROR(INDEX(PP_Grid[#Data],$DD252,84),0)</f>
        <v/>
      </c>
      <c r="CI252">
        <f>IFERROR(INDEX(PP_Grid[#Data],$DD252,85),0)</f>
        <v/>
      </c>
      <c r="CJ252">
        <f>IFERROR(INDEX(PP_Grid[#Data],$DD252,86),0)</f>
        <v/>
      </c>
      <c r="CK252">
        <f>IFERROR(INDEX(PP_Grid[#Data],$DD252,87),0)</f>
        <v/>
      </c>
      <c r="CL252">
        <f>IFERROR(INDEX(PP_Grid[#Data],$DD252,88),0)</f>
        <v/>
      </c>
      <c r="CM252">
        <f>IFERROR(INDEX(PP_Grid[#Data],$DD252,89),0)</f>
        <v/>
      </c>
      <c r="CN252">
        <f>IFERROR(INDEX(PP_Grid[#Data],$DD252,90),0)</f>
        <v/>
      </c>
      <c r="CO252">
        <f>IFERROR(INDEX(PP_Grid[#Data],$DD252,91),0)</f>
        <v/>
      </c>
      <c r="CP252">
        <f>IFERROR(INDEX(PP_Grid[#Data],$DD252,92),0)</f>
        <v/>
      </c>
      <c r="CQ252">
        <f>IFERROR(INDEX(PP_Grid[#Data],$DD252,93),0)</f>
        <v/>
      </c>
      <c r="CR252">
        <f>IFERROR(INDEX(PP_Grid[#Data],$DD252,94),0)</f>
        <v/>
      </c>
      <c r="CS252">
        <f>IFERROR(INDEX(PP_Grid[#Data],$DD252,95),0)</f>
        <v/>
      </c>
      <c r="CT252">
        <f>IFERROR(INDEX(PP_Grid[#Data],$DD252,96),0)</f>
        <v/>
      </c>
      <c r="CU252">
        <f>IFERROR(INDEX(PP_Grid[#Data],$DD252,97),0)</f>
        <v/>
      </c>
      <c r="CV252">
        <f>IFERROR(INDEX(PP_Grid[#Data],$DD252,98),0)</f>
        <v/>
      </c>
      <c r="CW252">
        <f>IFERROR(INDEX(PP_Grid[#Data],$DD252,99),0)</f>
        <v/>
      </c>
      <c r="CX252">
        <f>IFERROR(INDEX(PP_Grid[#Data],$DD252,100),0)</f>
        <v/>
      </c>
      <c r="CY252">
        <f>IFERROR(INDEX(PP_Grid[#Data],$DD252,101),0)</f>
        <v/>
      </c>
      <c r="CZ252">
        <f>IFERROR(INDEX(PP_Grid[#Data],$DD252,102),0)</f>
        <v/>
      </c>
      <c r="DA252">
        <f>IFERROR(INDEX(PP_Grid[#Data],$DD252,103),0)</f>
        <v/>
      </c>
      <c r="DB252">
        <f>IFERROR(INDEX(PP_Grid[#Data],$DD252,104),0)</f>
        <v/>
      </c>
      <c r="DC252">
        <f>IFERROR(INDEX(PP_Grid[#Data],$DD252,105),0)</f>
        <v/>
      </c>
      <c r="DD252" s="7">
        <f>IFERROR(MATCH($B252,PP_Grid[Intermediate],0),99999)</f>
        <v/>
      </c>
    </row>
    <row r="253">
      <c r="B253" t="inlineStr">
        <is>
          <t>使用量(kg)</t>
        </is>
      </c>
      <c r="C253">
        <f>SUMIFS(M_BOM[RM_Qty_Per_Batch],M_BOM[Intermediate],$B252,M_BOM[Part Name],$A219)</f>
        <v/>
      </c>
      <c r="D253">
        <f>$C253*D252</f>
        <v/>
      </c>
      <c r="E253">
        <f>$C253*E252</f>
        <v/>
      </c>
      <c r="F253">
        <f>$C253*F252</f>
        <v/>
      </c>
      <c r="G253">
        <f>$C253*G252</f>
        <v/>
      </c>
      <c r="H253">
        <f>$C253*H252</f>
        <v/>
      </c>
      <c r="I253">
        <f>$C253*I252</f>
        <v/>
      </c>
      <c r="J253">
        <f>$C253*J252</f>
        <v/>
      </c>
      <c r="K253">
        <f>$C253*K252</f>
        <v/>
      </c>
      <c r="L253">
        <f>$C253*L252</f>
        <v/>
      </c>
      <c r="M253">
        <f>$C253*M252</f>
        <v/>
      </c>
      <c r="N253">
        <f>$C253*N252</f>
        <v/>
      </c>
      <c r="O253">
        <f>$C253*O252</f>
        <v/>
      </c>
      <c r="P253">
        <f>$C253*P252</f>
        <v/>
      </c>
      <c r="Q253">
        <f>$C253*Q252</f>
        <v/>
      </c>
      <c r="R253">
        <f>$C253*R252</f>
        <v/>
      </c>
      <c r="S253">
        <f>$C253*S252</f>
        <v/>
      </c>
      <c r="T253">
        <f>$C253*T252</f>
        <v/>
      </c>
      <c r="U253">
        <f>$C253*U252</f>
        <v/>
      </c>
      <c r="V253">
        <f>$C253*V252</f>
        <v/>
      </c>
      <c r="W253">
        <f>$C253*W252</f>
        <v/>
      </c>
      <c r="X253">
        <f>$C253*X252</f>
        <v/>
      </c>
      <c r="Y253">
        <f>$C253*Y252</f>
        <v/>
      </c>
      <c r="Z253">
        <f>$C253*Z252</f>
        <v/>
      </c>
      <c r="AA253">
        <f>$C253*AA252</f>
        <v/>
      </c>
      <c r="AB253">
        <f>$C253*AB252</f>
        <v/>
      </c>
      <c r="AC253">
        <f>$C253*AC252</f>
        <v/>
      </c>
      <c r="AD253">
        <f>$C253*AD252</f>
        <v/>
      </c>
      <c r="AE253">
        <f>$C253*AE252</f>
        <v/>
      </c>
      <c r="AF253">
        <f>$C253*AF252</f>
        <v/>
      </c>
      <c r="AG253">
        <f>$C253*AG252</f>
        <v/>
      </c>
      <c r="AH253">
        <f>$C253*AH252</f>
        <v/>
      </c>
      <c r="AI253">
        <f>$C253*AI252</f>
        <v/>
      </c>
      <c r="AJ253">
        <f>$C253*AJ252</f>
        <v/>
      </c>
      <c r="AK253">
        <f>$C253*AK252</f>
        <v/>
      </c>
      <c r="AL253">
        <f>$C253*AL252</f>
        <v/>
      </c>
      <c r="AM253">
        <f>$C253*AM252</f>
        <v/>
      </c>
      <c r="AN253">
        <f>$C253*AN252</f>
        <v/>
      </c>
      <c r="AO253">
        <f>$C253*AO252</f>
        <v/>
      </c>
      <c r="AP253">
        <f>$C253*AP252</f>
        <v/>
      </c>
      <c r="AQ253">
        <f>$C253*AQ252</f>
        <v/>
      </c>
      <c r="AR253">
        <f>$C253*AR252</f>
        <v/>
      </c>
      <c r="AS253">
        <f>$C253*AS252</f>
        <v/>
      </c>
      <c r="AT253">
        <f>$C253*AT252</f>
        <v/>
      </c>
      <c r="AU253">
        <f>$C253*AU252</f>
        <v/>
      </c>
      <c r="AV253">
        <f>$C253*AV252</f>
        <v/>
      </c>
      <c r="AW253">
        <f>$C253*AW252</f>
        <v/>
      </c>
      <c r="AX253">
        <f>$C253*AX252</f>
        <v/>
      </c>
      <c r="AY253">
        <f>$C253*AY252</f>
        <v/>
      </c>
      <c r="AZ253">
        <f>$C253*AZ252</f>
        <v/>
      </c>
      <c r="BA253">
        <f>$C253*BA252</f>
        <v/>
      </c>
      <c r="BB253">
        <f>$C253*BB252</f>
        <v/>
      </c>
      <c r="BC253">
        <f>$C253*BC252</f>
        <v/>
      </c>
      <c r="BD253">
        <f>$C253*BD252</f>
        <v/>
      </c>
      <c r="BE253">
        <f>$C253*BE252</f>
        <v/>
      </c>
      <c r="BF253">
        <f>$C253*BF252</f>
        <v/>
      </c>
      <c r="BG253">
        <f>$C253*BG252</f>
        <v/>
      </c>
      <c r="BH253">
        <f>$C253*BH252</f>
        <v/>
      </c>
      <c r="BI253">
        <f>$C253*BI252</f>
        <v/>
      </c>
      <c r="BJ253">
        <f>$C253*BJ252</f>
        <v/>
      </c>
      <c r="BK253">
        <f>$C253*BK252</f>
        <v/>
      </c>
      <c r="BL253">
        <f>$C253*BL252</f>
        <v/>
      </c>
      <c r="BM253">
        <f>$C253*BM252</f>
        <v/>
      </c>
      <c r="BN253">
        <f>$C253*BN252</f>
        <v/>
      </c>
      <c r="BO253">
        <f>$C253*BO252</f>
        <v/>
      </c>
      <c r="BP253">
        <f>$C253*BP252</f>
        <v/>
      </c>
      <c r="BQ253">
        <f>$C253*BQ252</f>
        <v/>
      </c>
      <c r="BR253">
        <f>$C253*BR252</f>
        <v/>
      </c>
      <c r="BS253">
        <f>$C253*BS252</f>
        <v/>
      </c>
      <c r="BT253">
        <f>$C253*BT252</f>
        <v/>
      </c>
      <c r="BU253">
        <f>$C253*BU252</f>
        <v/>
      </c>
      <c r="BV253">
        <f>$C253*BV252</f>
        <v/>
      </c>
      <c r="BW253">
        <f>$C253*BW252</f>
        <v/>
      </c>
      <c r="BX253">
        <f>$C253*BX252</f>
        <v/>
      </c>
      <c r="BY253">
        <f>$C253*BY252</f>
        <v/>
      </c>
      <c r="BZ253">
        <f>$C253*BZ252</f>
        <v/>
      </c>
      <c r="CA253">
        <f>$C253*CA252</f>
        <v/>
      </c>
      <c r="CB253">
        <f>$C253*CB252</f>
        <v/>
      </c>
      <c r="CC253">
        <f>$C253*CC252</f>
        <v/>
      </c>
      <c r="CD253">
        <f>$C253*CD252</f>
        <v/>
      </c>
      <c r="CE253">
        <f>$C253*CE252</f>
        <v/>
      </c>
      <c r="CF253">
        <f>$C253*CF252</f>
        <v/>
      </c>
      <c r="CG253">
        <f>$C253*CG252</f>
        <v/>
      </c>
      <c r="CH253">
        <f>$C253*CH252</f>
        <v/>
      </c>
      <c r="CI253">
        <f>$C253*CI252</f>
        <v/>
      </c>
      <c r="CJ253">
        <f>$C253*CJ252</f>
        <v/>
      </c>
      <c r="CK253">
        <f>$C253*CK252</f>
        <v/>
      </c>
      <c r="CL253">
        <f>$C253*CL252</f>
        <v/>
      </c>
      <c r="CM253">
        <f>$C253*CM252</f>
        <v/>
      </c>
      <c r="CN253">
        <f>$C253*CN252</f>
        <v/>
      </c>
      <c r="CO253">
        <f>$C253*CO252</f>
        <v/>
      </c>
      <c r="CP253">
        <f>$C253*CP252</f>
        <v/>
      </c>
      <c r="CQ253">
        <f>$C253*CQ252</f>
        <v/>
      </c>
      <c r="CR253">
        <f>$C253*CR252</f>
        <v/>
      </c>
      <c r="CS253">
        <f>$C253*CS252</f>
        <v/>
      </c>
      <c r="CT253">
        <f>$C253*CT252</f>
        <v/>
      </c>
      <c r="CU253">
        <f>$C253*CU252</f>
        <v/>
      </c>
      <c r="CV253">
        <f>$C253*CV252</f>
        <v/>
      </c>
      <c r="CW253">
        <f>$C253*CW252</f>
        <v/>
      </c>
      <c r="CX253">
        <f>$C253*CX252</f>
        <v/>
      </c>
      <c r="CY253">
        <f>$C253*CY252</f>
        <v/>
      </c>
      <c r="CZ253">
        <f>$C253*CZ252</f>
        <v/>
      </c>
      <c r="DA253">
        <f>$C253*DA252</f>
        <v/>
      </c>
      <c r="DB253">
        <f>$C253*DB252</f>
        <v/>
      </c>
      <c r="DC253">
        <f>$C253*DC252</f>
        <v/>
      </c>
    </row>
    <row r="254">
      <c r="B254" t="inlineStr">
        <is>
          <t>TSP-668</t>
        </is>
      </c>
      <c r="C254" t="inlineStr">
        <is>
          <t>No. of batches</t>
        </is>
      </c>
      <c r="D254">
        <f>IFERROR(INDEX(PP_Grid[#Data],$DD254,2),0)</f>
        <v/>
      </c>
      <c r="E254">
        <f>IFERROR(INDEX(PP_Grid[#Data],$DD254,3),0)</f>
        <v/>
      </c>
      <c r="F254">
        <f>IFERROR(INDEX(PP_Grid[#Data],$DD254,4),0)</f>
        <v/>
      </c>
      <c r="G254">
        <f>IFERROR(INDEX(PP_Grid[#Data],$DD254,5),0)</f>
        <v/>
      </c>
      <c r="H254">
        <f>IFERROR(INDEX(PP_Grid[#Data],$DD254,6),0)</f>
        <v/>
      </c>
      <c r="I254">
        <f>IFERROR(INDEX(PP_Grid[#Data],$DD254,7),0)</f>
        <v/>
      </c>
      <c r="J254">
        <f>IFERROR(INDEX(PP_Grid[#Data],$DD254,8),0)</f>
        <v/>
      </c>
      <c r="K254">
        <f>IFERROR(INDEX(PP_Grid[#Data],$DD254,9),0)</f>
        <v/>
      </c>
      <c r="L254">
        <f>IFERROR(INDEX(PP_Grid[#Data],$DD254,10),0)</f>
        <v/>
      </c>
      <c r="M254">
        <f>IFERROR(INDEX(PP_Grid[#Data],$DD254,11),0)</f>
        <v/>
      </c>
      <c r="N254">
        <f>IFERROR(INDEX(PP_Grid[#Data],$DD254,12),0)</f>
        <v/>
      </c>
      <c r="O254">
        <f>IFERROR(INDEX(PP_Grid[#Data],$DD254,13),0)</f>
        <v/>
      </c>
      <c r="P254">
        <f>IFERROR(INDEX(PP_Grid[#Data],$DD254,14),0)</f>
        <v/>
      </c>
      <c r="Q254">
        <f>IFERROR(INDEX(PP_Grid[#Data],$DD254,15),0)</f>
        <v/>
      </c>
      <c r="R254">
        <f>IFERROR(INDEX(PP_Grid[#Data],$DD254,16),0)</f>
        <v/>
      </c>
      <c r="S254">
        <f>IFERROR(INDEX(PP_Grid[#Data],$DD254,17),0)</f>
        <v/>
      </c>
      <c r="T254">
        <f>IFERROR(INDEX(PP_Grid[#Data],$DD254,18),0)</f>
        <v/>
      </c>
      <c r="U254">
        <f>IFERROR(INDEX(PP_Grid[#Data],$DD254,19),0)</f>
        <v/>
      </c>
      <c r="V254">
        <f>IFERROR(INDEX(PP_Grid[#Data],$DD254,20),0)</f>
        <v/>
      </c>
      <c r="W254">
        <f>IFERROR(INDEX(PP_Grid[#Data],$DD254,21),0)</f>
        <v/>
      </c>
      <c r="X254">
        <f>IFERROR(INDEX(PP_Grid[#Data],$DD254,22),0)</f>
        <v/>
      </c>
      <c r="Y254">
        <f>IFERROR(INDEX(PP_Grid[#Data],$DD254,23),0)</f>
        <v/>
      </c>
      <c r="Z254">
        <f>IFERROR(INDEX(PP_Grid[#Data],$DD254,24),0)</f>
        <v/>
      </c>
      <c r="AA254">
        <f>IFERROR(INDEX(PP_Grid[#Data],$DD254,25),0)</f>
        <v/>
      </c>
      <c r="AB254">
        <f>IFERROR(INDEX(PP_Grid[#Data],$DD254,26),0)</f>
        <v/>
      </c>
      <c r="AC254">
        <f>IFERROR(INDEX(PP_Grid[#Data],$DD254,27),0)</f>
        <v/>
      </c>
      <c r="AD254">
        <f>IFERROR(INDEX(PP_Grid[#Data],$DD254,28),0)</f>
        <v/>
      </c>
      <c r="AE254">
        <f>IFERROR(INDEX(PP_Grid[#Data],$DD254,29),0)</f>
        <v/>
      </c>
      <c r="AF254">
        <f>IFERROR(INDEX(PP_Grid[#Data],$DD254,30),0)</f>
        <v/>
      </c>
      <c r="AG254">
        <f>IFERROR(INDEX(PP_Grid[#Data],$DD254,31),0)</f>
        <v/>
      </c>
      <c r="AH254">
        <f>IFERROR(INDEX(PP_Grid[#Data],$DD254,32),0)</f>
        <v/>
      </c>
      <c r="AI254">
        <f>IFERROR(INDEX(PP_Grid[#Data],$DD254,33),0)</f>
        <v/>
      </c>
      <c r="AJ254">
        <f>IFERROR(INDEX(PP_Grid[#Data],$DD254,34),0)</f>
        <v/>
      </c>
      <c r="AK254">
        <f>IFERROR(INDEX(PP_Grid[#Data],$DD254,35),0)</f>
        <v/>
      </c>
      <c r="AL254">
        <f>IFERROR(INDEX(PP_Grid[#Data],$DD254,36),0)</f>
        <v/>
      </c>
      <c r="AM254">
        <f>IFERROR(INDEX(PP_Grid[#Data],$DD254,37),0)</f>
        <v/>
      </c>
      <c r="AN254">
        <f>IFERROR(INDEX(PP_Grid[#Data],$DD254,38),0)</f>
        <v/>
      </c>
      <c r="AO254">
        <f>IFERROR(INDEX(PP_Grid[#Data],$DD254,39),0)</f>
        <v/>
      </c>
      <c r="AP254">
        <f>IFERROR(INDEX(PP_Grid[#Data],$DD254,40),0)</f>
        <v/>
      </c>
      <c r="AQ254">
        <f>IFERROR(INDEX(PP_Grid[#Data],$DD254,41),0)</f>
        <v/>
      </c>
      <c r="AR254">
        <f>IFERROR(INDEX(PP_Grid[#Data],$DD254,42),0)</f>
        <v/>
      </c>
      <c r="AS254">
        <f>IFERROR(INDEX(PP_Grid[#Data],$DD254,43),0)</f>
        <v/>
      </c>
      <c r="AT254">
        <f>IFERROR(INDEX(PP_Grid[#Data],$DD254,44),0)</f>
        <v/>
      </c>
      <c r="AU254">
        <f>IFERROR(INDEX(PP_Grid[#Data],$DD254,45),0)</f>
        <v/>
      </c>
      <c r="AV254">
        <f>IFERROR(INDEX(PP_Grid[#Data],$DD254,46),0)</f>
        <v/>
      </c>
      <c r="AW254">
        <f>IFERROR(INDEX(PP_Grid[#Data],$DD254,47),0)</f>
        <v/>
      </c>
      <c r="AX254">
        <f>IFERROR(INDEX(PP_Grid[#Data],$DD254,48),0)</f>
        <v/>
      </c>
      <c r="AY254">
        <f>IFERROR(INDEX(PP_Grid[#Data],$DD254,49),0)</f>
        <v/>
      </c>
      <c r="AZ254">
        <f>IFERROR(INDEX(PP_Grid[#Data],$DD254,50),0)</f>
        <v/>
      </c>
      <c r="BA254">
        <f>IFERROR(INDEX(PP_Grid[#Data],$DD254,51),0)</f>
        <v/>
      </c>
      <c r="BB254">
        <f>IFERROR(INDEX(PP_Grid[#Data],$DD254,52),0)</f>
        <v/>
      </c>
      <c r="BC254">
        <f>IFERROR(INDEX(PP_Grid[#Data],$DD254,53),0)</f>
        <v/>
      </c>
      <c r="BD254">
        <f>IFERROR(INDEX(PP_Grid[#Data],$DD254,54),0)</f>
        <v/>
      </c>
      <c r="BE254">
        <f>IFERROR(INDEX(PP_Grid[#Data],$DD254,55),0)</f>
        <v/>
      </c>
      <c r="BF254">
        <f>IFERROR(INDEX(PP_Grid[#Data],$DD254,56),0)</f>
        <v/>
      </c>
      <c r="BG254">
        <f>IFERROR(INDEX(PP_Grid[#Data],$DD254,57),0)</f>
        <v/>
      </c>
      <c r="BH254">
        <f>IFERROR(INDEX(PP_Grid[#Data],$DD254,58),0)</f>
        <v/>
      </c>
      <c r="BI254">
        <f>IFERROR(INDEX(PP_Grid[#Data],$DD254,59),0)</f>
        <v/>
      </c>
      <c r="BJ254">
        <f>IFERROR(INDEX(PP_Grid[#Data],$DD254,60),0)</f>
        <v/>
      </c>
      <c r="BK254">
        <f>IFERROR(INDEX(PP_Grid[#Data],$DD254,61),0)</f>
        <v/>
      </c>
      <c r="BL254">
        <f>IFERROR(INDEX(PP_Grid[#Data],$DD254,62),0)</f>
        <v/>
      </c>
      <c r="BM254">
        <f>IFERROR(INDEX(PP_Grid[#Data],$DD254,63),0)</f>
        <v/>
      </c>
      <c r="BN254">
        <f>IFERROR(INDEX(PP_Grid[#Data],$DD254,64),0)</f>
        <v/>
      </c>
      <c r="BO254">
        <f>IFERROR(INDEX(PP_Grid[#Data],$DD254,65),0)</f>
        <v/>
      </c>
      <c r="BP254">
        <f>IFERROR(INDEX(PP_Grid[#Data],$DD254,66),0)</f>
        <v/>
      </c>
      <c r="BQ254">
        <f>IFERROR(INDEX(PP_Grid[#Data],$DD254,67),0)</f>
        <v/>
      </c>
      <c r="BR254">
        <f>IFERROR(INDEX(PP_Grid[#Data],$DD254,68),0)</f>
        <v/>
      </c>
      <c r="BS254">
        <f>IFERROR(INDEX(PP_Grid[#Data],$DD254,69),0)</f>
        <v/>
      </c>
      <c r="BT254">
        <f>IFERROR(INDEX(PP_Grid[#Data],$DD254,70),0)</f>
        <v/>
      </c>
      <c r="BU254">
        <f>IFERROR(INDEX(PP_Grid[#Data],$DD254,71),0)</f>
        <v/>
      </c>
      <c r="BV254">
        <f>IFERROR(INDEX(PP_Grid[#Data],$DD254,72),0)</f>
        <v/>
      </c>
      <c r="BW254">
        <f>IFERROR(INDEX(PP_Grid[#Data],$DD254,73),0)</f>
        <v/>
      </c>
      <c r="BX254">
        <f>IFERROR(INDEX(PP_Grid[#Data],$DD254,74),0)</f>
        <v/>
      </c>
      <c r="BY254">
        <f>IFERROR(INDEX(PP_Grid[#Data],$DD254,75),0)</f>
        <v/>
      </c>
      <c r="BZ254">
        <f>IFERROR(INDEX(PP_Grid[#Data],$DD254,76),0)</f>
        <v/>
      </c>
      <c r="CA254">
        <f>IFERROR(INDEX(PP_Grid[#Data],$DD254,77),0)</f>
        <v/>
      </c>
      <c r="CB254">
        <f>IFERROR(INDEX(PP_Grid[#Data],$DD254,78),0)</f>
        <v/>
      </c>
      <c r="CC254">
        <f>IFERROR(INDEX(PP_Grid[#Data],$DD254,79),0)</f>
        <v/>
      </c>
      <c r="CD254">
        <f>IFERROR(INDEX(PP_Grid[#Data],$DD254,80),0)</f>
        <v/>
      </c>
      <c r="CE254">
        <f>IFERROR(INDEX(PP_Grid[#Data],$DD254,81),0)</f>
        <v/>
      </c>
      <c r="CF254">
        <f>IFERROR(INDEX(PP_Grid[#Data],$DD254,82),0)</f>
        <v/>
      </c>
      <c r="CG254">
        <f>IFERROR(INDEX(PP_Grid[#Data],$DD254,83),0)</f>
        <v/>
      </c>
      <c r="CH254">
        <f>IFERROR(INDEX(PP_Grid[#Data],$DD254,84),0)</f>
        <v/>
      </c>
      <c r="CI254">
        <f>IFERROR(INDEX(PP_Grid[#Data],$DD254,85),0)</f>
        <v/>
      </c>
      <c r="CJ254">
        <f>IFERROR(INDEX(PP_Grid[#Data],$DD254,86),0)</f>
        <v/>
      </c>
      <c r="CK254">
        <f>IFERROR(INDEX(PP_Grid[#Data],$DD254,87),0)</f>
        <v/>
      </c>
      <c r="CL254">
        <f>IFERROR(INDEX(PP_Grid[#Data],$DD254,88),0)</f>
        <v/>
      </c>
      <c r="CM254">
        <f>IFERROR(INDEX(PP_Grid[#Data],$DD254,89),0)</f>
        <v/>
      </c>
      <c r="CN254">
        <f>IFERROR(INDEX(PP_Grid[#Data],$DD254,90),0)</f>
        <v/>
      </c>
      <c r="CO254">
        <f>IFERROR(INDEX(PP_Grid[#Data],$DD254,91),0)</f>
        <v/>
      </c>
      <c r="CP254">
        <f>IFERROR(INDEX(PP_Grid[#Data],$DD254,92),0)</f>
        <v/>
      </c>
      <c r="CQ254">
        <f>IFERROR(INDEX(PP_Grid[#Data],$DD254,93),0)</f>
        <v/>
      </c>
      <c r="CR254">
        <f>IFERROR(INDEX(PP_Grid[#Data],$DD254,94),0)</f>
        <v/>
      </c>
      <c r="CS254">
        <f>IFERROR(INDEX(PP_Grid[#Data],$DD254,95),0)</f>
        <v/>
      </c>
      <c r="CT254">
        <f>IFERROR(INDEX(PP_Grid[#Data],$DD254,96),0)</f>
        <v/>
      </c>
      <c r="CU254">
        <f>IFERROR(INDEX(PP_Grid[#Data],$DD254,97),0)</f>
        <v/>
      </c>
      <c r="CV254">
        <f>IFERROR(INDEX(PP_Grid[#Data],$DD254,98),0)</f>
        <v/>
      </c>
      <c r="CW254">
        <f>IFERROR(INDEX(PP_Grid[#Data],$DD254,99),0)</f>
        <v/>
      </c>
      <c r="CX254">
        <f>IFERROR(INDEX(PP_Grid[#Data],$DD254,100),0)</f>
        <v/>
      </c>
      <c r="CY254">
        <f>IFERROR(INDEX(PP_Grid[#Data],$DD254,101),0)</f>
        <v/>
      </c>
      <c r="CZ254">
        <f>IFERROR(INDEX(PP_Grid[#Data],$DD254,102),0)</f>
        <v/>
      </c>
      <c r="DA254">
        <f>IFERROR(INDEX(PP_Grid[#Data],$DD254,103),0)</f>
        <v/>
      </c>
      <c r="DB254">
        <f>IFERROR(INDEX(PP_Grid[#Data],$DD254,104),0)</f>
        <v/>
      </c>
      <c r="DC254">
        <f>IFERROR(INDEX(PP_Grid[#Data],$DD254,105),0)</f>
        <v/>
      </c>
      <c r="DD254" s="7">
        <f>IFERROR(MATCH($B254,PP_Grid[Intermediate],0),99999)</f>
        <v/>
      </c>
    </row>
    <row r="255">
      <c r="B255" t="inlineStr">
        <is>
          <t>使用量(kg)</t>
        </is>
      </c>
      <c r="C255">
        <f>SUMIFS(M_BOM[RM_Qty_Per_Batch],M_BOM[Intermediate],$B254,M_BOM[Part Name],$A219)</f>
        <v/>
      </c>
      <c r="D255">
        <f>$C255*D254</f>
        <v/>
      </c>
      <c r="E255">
        <f>$C255*E254</f>
        <v/>
      </c>
      <c r="F255">
        <f>$C255*F254</f>
        <v/>
      </c>
      <c r="G255">
        <f>$C255*G254</f>
        <v/>
      </c>
      <c r="H255">
        <f>$C255*H254</f>
        <v/>
      </c>
      <c r="I255">
        <f>$C255*I254</f>
        <v/>
      </c>
      <c r="J255">
        <f>$C255*J254</f>
        <v/>
      </c>
      <c r="K255">
        <f>$C255*K254</f>
        <v/>
      </c>
      <c r="L255">
        <f>$C255*L254</f>
        <v/>
      </c>
      <c r="M255">
        <f>$C255*M254</f>
        <v/>
      </c>
      <c r="N255">
        <f>$C255*N254</f>
        <v/>
      </c>
      <c r="O255">
        <f>$C255*O254</f>
        <v/>
      </c>
      <c r="P255">
        <f>$C255*P254</f>
        <v/>
      </c>
      <c r="Q255">
        <f>$C255*Q254</f>
        <v/>
      </c>
      <c r="R255">
        <f>$C255*R254</f>
        <v/>
      </c>
      <c r="S255">
        <f>$C255*S254</f>
        <v/>
      </c>
      <c r="T255">
        <f>$C255*T254</f>
        <v/>
      </c>
      <c r="U255">
        <f>$C255*U254</f>
        <v/>
      </c>
      <c r="V255">
        <f>$C255*V254</f>
        <v/>
      </c>
      <c r="W255">
        <f>$C255*W254</f>
        <v/>
      </c>
      <c r="X255">
        <f>$C255*X254</f>
        <v/>
      </c>
      <c r="Y255">
        <f>$C255*Y254</f>
        <v/>
      </c>
      <c r="Z255">
        <f>$C255*Z254</f>
        <v/>
      </c>
      <c r="AA255">
        <f>$C255*AA254</f>
        <v/>
      </c>
      <c r="AB255">
        <f>$C255*AB254</f>
        <v/>
      </c>
      <c r="AC255">
        <f>$C255*AC254</f>
        <v/>
      </c>
      <c r="AD255">
        <f>$C255*AD254</f>
        <v/>
      </c>
      <c r="AE255">
        <f>$C255*AE254</f>
        <v/>
      </c>
      <c r="AF255">
        <f>$C255*AF254</f>
        <v/>
      </c>
      <c r="AG255">
        <f>$C255*AG254</f>
        <v/>
      </c>
      <c r="AH255">
        <f>$C255*AH254</f>
        <v/>
      </c>
      <c r="AI255">
        <f>$C255*AI254</f>
        <v/>
      </c>
      <c r="AJ255">
        <f>$C255*AJ254</f>
        <v/>
      </c>
      <c r="AK255">
        <f>$C255*AK254</f>
        <v/>
      </c>
      <c r="AL255">
        <f>$C255*AL254</f>
        <v/>
      </c>
      <c r="AM255">
        <f>$C255*AM254</f>
        <v/>
      </c>
      <c r="AN255">
        <f>$C255*AN254</f>
        <v/>
      </c>
      <c r="AO255">
        <f>$C255*AO254</f>
        <v/>
      </c>
      <c r="AP255">
        <f>$C255*AP254</f>
        <v/>
      </c>
      <c r="AQ255">
        <f>$C255*AQ254</f>
        <v/>
      </c>
      <c r="AR255">
        <f>$C255*AR254</f>
        <v/>
      </c>
      <c r="AS255">
        <f>$C255*AS254</f>
        <v/>
      </c>
      <c r="AT255">
        <f>$C255*AT254</f>
        <v/>
      </c>
      <c r="AU255">
        <f>$C255*AU254</f>
        <v/>
      </c>
      <c r="AV255">
        <f>$C255*AV254</f>
        <v/>
      </c>
      <c r="AW255">
        <f>$C255*AW254</f>
        <v/>
      </c>
      <c r="AX255">
        <f>$C255*AX254</f>
        <v/>
      </c>
      <c r="AY255">
        <f>$C255*AY254</f>
        <v/>
      </c>
      <c r="AZ255">
        <f>$C255*AZ254</f>
        <v/>
      </c>
      <c r="BA255">
        <f>$C255*BA254</f>
        <v/>
      </c>
      <c r="BB255">
        <f>$C255*BB254</f>
        <v/>
      </c>
      <c r="BC255">
        <f>$C255*BC254</f>
        <v/>
      </c>
      <c r="BD255">
        <f>$C255*BD254</f>
        <v/>
      </c>
      <c r="BE255">
        <f>$C255*BE254</f>
        <v/>
      </c>
      <c r="BF255">
        <f>$C255*BF254</f>
        <v/>
      </c>
      <c r="BG255">
        <f>$C255*BG254</f>
        <v/>
      </c>
      <c r="BH255">
        <f>$C255*BH254</f>
        <v/>
      </c>
      <c r="BI255">
        <f>$C255*BI254</f>
        <v/>
      </c>
      <c r="BJ255">
        <f>$C255*BJ254</f>
        <v/>
      </c>
      <c r="BK255">
        <f>$C255*BK254</f>
        <v/>
      </c>
      <c r="BL255">
        <f>$C255*BL254</f>
        <v/>
      </c>
      <c r="BM255">
        <f>$C255*BM254</f>
        <v/>
      </c>
      <c r="BN255">
        <f>$C255*BN254</f>
        <v/>
      </c>
      <c r="BO255">
        <f>$C255*BO254</f>
        <v/>
      </c>
      <c r="BP255">
        <f>$C255*BP254</f>
        <v/>
      </c>
      <c r="BQ255">
        <f>$C255*BQ254</f>
        <v/>
      </c>
      <c r="BR255">
        <f>$C255*BR254</f>
        <v/>
      </c>
      <c r="BS255">
        <f>$C255*BS254</f>
        <v/>
      </c>
      <c r="BT255">
        <f>$C255*BT254</f>
        <v/>
      </c>
      <c r="BU255">
        <f>$C255*BU254</f>
        <v/>
      </c>
      <c r="BV255">
        <f>$C255*BV254</f>
        <v/>
      </c>
      <c r="BW255">
        <f>$C255*BW254</f>
        <v/>
      </c>
      <c r="BX255">
        <f>$C255*BX254</f>
        <v/>
      </c>
      <c r="BY255">
        <f>$C255*BY254</f>
        <v/>
      </c>
      <c r="BZ255">
        <f>$C255*BZ254</f>
        <v/>
      </c>
      <c r="CA255">
        <f>$C255*CA254</f>
        <v/>
      </c>
      <c r="CB255">
        <f>$C255*CB254</f>
        <v/>
      </c>
      <c r="CC255">
        <f>$C255*CC254</f>
        <v/>
      </c>
      <c r="CD255">
        <f>$C255*CD254</f>
        <v/>
      </c>
      <c r="CE255">
        <f>$C255*CE254</f>
        <v/>
      </c>
      <c r="CF255">
        <f>$C255*CF254</f>
        <v/>
      </c>
      <c r="CG255">
        <f>$C255*CG254</f>
        <v/>
      </c>
      <c r="CH255">
        <f>$C255*CH254</f>
        <v/>
      </c>
      <c r="CI255">
        <f>$C255*CI254</f>
        <v/>
      </c>
      <c r="CJ255">
        <f>$C255*CJ254</f>
        <v/>
      </c>
      <c r="CK255">
        <f>$C255*CK254</f>
        <v/>
      </c>
      <c r="CL255">
        <f>$C255*CL254</f>
        <v/>
      </c>
      <c r="CM255">
        <f>$C255*CM254</f>
        <v/>
      </c>
      <c r="CN255">
        <f>$C255*CN254</f>
        <v/>
      </c>
      <c r="CO255">
        <f>$C255*CO254</f>
        <v/>
      </c>
      <c r="CP255">
        <f>$C255*CP254</f>
        <v/>
      </c>
      <c r="CQ255">
        <f>$C255*CQ254</f>
        <v/>
      </c>
      <c r="CR255">
        <f>$C255*CR254</f>
        <v/>
      </c>
      <c r="CS255">
        <f>$C255*CS254</f>
        <v/>
      </c>
      <c r="CT255">
        <f>$C255*CT254</f>
        <v/>
      </c>
      <c r="CU255">
        <f>$C255*CU254</f>
        <v/>
      </c>
      <c r="CV255">
        <f>$C255*CV254</f>
        <v/>
      </c>
      <c r="CW255">
        <f>$C255*CW254</f>
        <v/>
      </c>
      <c r="CX255">
        <f>$C255*CX254</f>
        <v/>
      </c>
      <c r="CY255">
        <f>$C255*CY254</f>
        <v/>
      </c>
      <c r="CZ255">
        <f>$C255*CZ254</f>
        <v/>
      </c>
      <c r="DA255">
        <f>$C255*DA254</f>
        <v/>
      </c>
      <c r="DB255">
        <f>$C255*DB254</f>
        <v/>
      </c>
      <c r="DC255">
        <f>$C255*DC254</f>
        <v/>
      </c>
    </row>
    <row r="256">
      <c r="B256" t="inlineStr">
        <is>
          <t>TSP-669</t>
        </is>
      </c>
      <c r="C256" t="inlineStr">
        <is>
          <t>No. of batches</t>
        </is>
      </c>
      <c r="D256">
        <f>IFERROR(INDEX(PP_Grid[#Data],$DD256,2),0)</f>
        <v/>
      </c>
      <c r="E256">
        <f>IFERROR(INDEX(PP_Grid[#Data],$DD256,3),0)</f>
        <v/>
      </c>
      <c r="F256">
        <f>IFERROR(INDEX(PP_Grid[#Data],$DD256,4),0)</f>
        <v/>
      </c>
      <c r="G256">
        <f>IFERROR(INDEX(PP_Grid[#Data],$DD256,5),0)</f>
        <v/>
      </c>
      <c r="H256">
        <f>IFERROR(INDEX(PP_Grid[#Data],$DD256,6),0)</f>
        <v/>
      </c>
      <c r="I256">
        <f>IFERROR(INDEX(PP_Grid[#Data],$DD256,7),0)</f>
        <v/>
      </c>
      <c r="J256">
        <f>IFERROR(INDEX(PP_Grid[#Data],$DD256,8),0)</f>
        <v/>
      </c>
      <c r="K256">
        <f>IFERROR(INDEX(PP_Grid[#Data],$DD256,9),0)</f>
        <v/>
      </c>
      <c r="L256">
        <f>IFERROR(INDEX(PP_Grid[#Data],$DD256,10),0)</f>
        <v/>
      </c>
      <c r="M256">
        <f>IFERROR(INDEX(PP_Grid[#Data],$DD256,11),0)</f>
        <v/>
      </c>
      <c r="N256">
        <f>IFERROR(INDEX(PP_Grid[#Data],$DD256,12),0)</f>
        <v/>
      </c>
      <c r="O256">
        <f>IFERROR(INDEX(PP_Grid[#Data],$DD256,13),0)</f>
        <v/>
      </c>
      <c r="P256">
        <f>IFERROR(INDEX(PP_Grid[#Data],$DD256,14),0)</f>
        <v/>
      </c>
      <c r="Q256">
        <f>IFERROR(INDEX(PP_Grid[#Data],$DD256,15),0)</f>
        <v/>
      </c>
      <c r="R256">
        <f>IFERROR(INDEX(PP_Grid[#Data],$DD256,16),0)</f>
        <v/>
      </c>
      <c r="S256">
        <f>IFERROR(INDEX(PP_Grid[#Data],$DD256,17),0)</f>
        <v/>
      </c>
      <c r="T256">
        <f>IFERROR(INDEX(PP_Grid[#Data],$DD256,18),0)</f>
        <v/>
      </c>
      <c r="U256">
        <f>IFERROR(INDEX(PP_Grid[#Data],$DD256,19),0)</f>
        <v/>
      </c>
      <c r="V256">
        <f>IFERROR(INDEX(PP_Grid[#Data],$DD256,20),0)</f>
        <v/>
      </c>
      <c r="W256">
        <f>IFERROR(INDEX(PP_Grid[#Data],$DD256,21),0)</f>
        <v/>
      </c>
      <c r="X256">
        <f>IFERROR(INDEX(PP_Grid[#Data],$DD256,22),0)</f>
        <v/>
      </c>
      <c r="Y256">
        <f>IFERROR(INDEX(PP_Grid[#Data],$DD256,23),0)</f>
        <v/>
      </c>
      <c r="Z256">
        <f>IFERROR(INDEX(PP_Grid[#Data],$DD256,24),0)</f>
        <v/>
      </c>
      <c r="AA256">
        <f>IFERROR(INDEX(PP_Grid[#Data],$DD256,25),0)</f>
        <v/>
      </c>
      <c r="AB256">
        <f>IFERROR(INDEX(PP_Grid[#Data],$DD256,26),0)</f>
        <v/>
      </c>
      <c r="AC256">
        <f>IFERROR(INDEX(PP_Grid[#Data],$DD256,27),0)</f>
        <v/>
      </c>
      <c r="AD256">
        <f>IFERROR(INDEX(PP_Grid[#Data],$DD256,28),0)</f>
        <v/>
      </c>
      <c r="AE256">
        <f>IFERROR(INDEX(PP_Grid[#Data],$DD256,29),0)</f>
        <v/>
      </c>
      <c r="AF256">
        <f>IFERROR(INDEX(PP_Grid[#Data],$DD256,30),0)</f>
        <v/>
      </c>
      <c r="AG256">
        <f>IFERROR(INDEX(PP_Grid[#Data],$DD256,31),0)</f>
        <v/>
      </c>
      <c r="AH256">
        <f>IFERROR(INDEX(PP_Grid[#Data],$DD256,32),0)</f>
        <v/>
      </c>
      <c r="AI256">
        <f>IFERROR(INDEX(PP_Grid[#Data],$DD256,33),0)</f>
        <v/>
      </c>
      <c r="AJ256">
        <f>IFERROR(INDEX(PP_Grid[#Data],$DD256,34),0)</f>
        <v/>
      </c>
      <c r="AK256">
        <f>IFERROR(INDEX(PP_Grid[#Data],$DD256,35),0)</f>
        <v/>
      </c>
      <c r="AL256">
        <f>IFERROR(INDEX(PP_Grid[#Data],$DD256,36),0)</f>
        <v/>
      </c>
      <c r="AM256">
        <f>IFERROR(INDEX(PP_Grid[#Data],$DD256,37),0)</f>
        <v/>
      </c>
      <c r="AN256">
        <f>IFERROR(INDEX(PP_Grid[#Data],$DD256,38),0)</f>
        <v/>
      </c>
      <c r="AO256">
        <f>IFERROR(INDEX(PP_Grid[#Data],$DD256,39),0)</f>
        <v/>
      </c>
      <c r="AP256">
        <f>IFERROR(INDEX(PP_Grid[#Data],$DD256,40),0)</f>
        <v/>
      </c>
      <c r="AQ256">
        <f>IFERROR(INDEX(PP_Grid[#Data],$DD256,41),0)</f>
        <v/>
      </c>
      <c r="AR256">
        <f>IFERROR(INDEX(PP_Grid[#Data],$DD256,42),0)</f>
        <v/>
      </c>
      <c r="AS256">
        <f>IFERROR(INDEX(PP_Grid[#Data],$DD256,43),0)</f>
        <v/>
      </c>
      <c r="AT256">
        <f>IFERROR(INDEX(PP_Grid[#Data],$DD256,44),0)</f>
        <v/>
      </c>
      <c r="AU256">
        <f>IFERROR(INDEX(PP_Grid[#Data],$DD256,45),0)</f>
        <v/>
      </c>
      <c r="AV256">
        <f>IFERROR(INDEX(PP_Grid[#Data],$DD256,46),0)</f>
        <v/>
      </c>
      <c r="AW256">
        <f>IFERROR(INDEX(PP_Grid[#Data],$DD256,47),0)</f>
        <v/>
      </c>
      <c r="AX256">
        <f>IFERROR(INDEX(PP_Grid[#Data],$DD256,48),0)</f>
        <v/>
      </c>
      <c r="AY256">
        <f>IFERROR(INDEX(PP_Grid[#Data],$DD256,49),0)</f>
        <v/>
      </c>
      <c r="AZ256">
        <f>IFERROR(INDEX(PP_Grid[#Data],$DD256,50),0)</f>
        <v/>
      </c>
      <c r="BA256">
        <f>IFERROR(INDEX(PP_Grid[#Data],$DD256,51),0)</f>
        <v/>
      </c>
      <c r="BB256">
        <f>IFERROR(INDEX(PP_Grid[#Data],$DD256,52),0)</f>
        <v/>
      </c>
      <c r="BC256">
        <f>IFERROR(INDEX(PP_Grid[#Data],$DD256,53),0)</f>
        <v/>
      </c>
      <c r="BD256">
        <f>IFERROR(INDEX(PP_Grid[#Data],$DD256,54),0)</f>
        <v/>
      </c>
      <c r="BE256">
        <f>IFERROR(INDEX(PP_Grid[#Data],$DD256,55),0)</f>
        <v/>
      </c>
      <c r="BF256">
        <f>IFERROR(INDEX(PP_Grid[#Data],$DD256,56),0)</f>
        <v/>
      </c>
      <c r="BG256">
        <f>IFERROR(INDEX(PP_Grid[#Data],$DD256,57),0)</f>
        <v/>
      </c>
      <c r="BH256">
        <f>IFERROR(INDEX(PP_Grid[#Data],$DD256,58),0)</f>
        <v/>
      </c>
      <c r="BI256">
        <f>IFERROR(INDEX(PP_Grid[#Data],$DD256,59),0)</f>
        <v/>
      </c>
      <c r="BJ256">
        <f>IFERROR(INDEX(PP_Grid[#Data],$DD256,60),0)</f>
        <v/>
      </c>
      <c r="BK256">
        <f>IFERROR(INDEX(PP_Grid[#Data],$DD256,61),0)</f>
        <v/>
      </c>
      <c r="BL256">
        <f>IFERROR(INDEX(PP_Grid[#Data],$DD256,62),0)</f>
        <v/>
      </c>
      <c r="BM256">
        <f>IFERROR(INDEX(PP_Grid[#Data],$DD256,63),0)</f>
        <v/>
      </c>
      <c r="BN256">
        <f>IFERROR(INDEX(PP_Grid[#Data],$DD256,64),0)</f>
        <v/>
      </c>
      <c r="BO256">
        <f>IFERROR(INDEX(PP_Grid[#Data],$DD256,65),0)</f>
        <v/>
      </c>
      <c r="BP256">
        <f>IFERROR(INDEX(PP_Grid[#Data],$DD256,66),0)</f>
        <v/>
      </c>
      <c r="BQ256">
        <f>IFERROR(INDEX(PP_Grid[#Data],$DD256,67),0)</f>
        <v/>
      </c>
      <c r="BR256">
        <f>IFERROR(INDEX(PP_Grid[#Data],$DD256,68),0)</f>
        <v/>
      </c>
      <c r="BS256">
        <f>IFERROR(INDEX(PP_Grid[#Data],$DD256,69),0)</f>
        <v/>
      </c>
      <c r="BT256">
        <f>IFERROR(INDEX(PP_Grid[#Data],$DD256,70),0)</f>
        <v/>
      </c>
      <c r="BU256">
        <f>IFERROR(INDEX(PP_Grid[#Data],$DD256,71),0)</f>
        <v/>
      </c>
      <c r="BV256">
        <f>IFERROR(INDEX(PP_Grid[#Data],$DD256,72),0)</f>
        <v/>
      </c>
      <c r="BW256">
        <f>IFERROR(INDEX(PP_Grid[#Data],$DD256,73),0)</f>
        <v/>
      </c>
      <c r="BX256">
        <f>IFERROR(INDEX(PP_Grid[#Data],$DD256,74),0)</f>
        <v/>
      </c>
      <c r="BY256">
        <f>IFERROR(INDEX(PP_Grid[#Data],$DD256,75),0)</f>
        <v/>
      </c>
      <c r="BZ256">
        <f>IFERROR(INDEX(PP_Grid[#Data],$DD256,76),0)</f>
        <v/>
      </c>
      <c r="CA256">
        <f>IFERROR(INDEX(PP_Grid[#Data],$DD256,77),0)</f>
        <v/>
      </c>
      <c r="CB256">
        <f>IFERROR(INDEX(PP_Grid[#Data],$DD256,78),0)</f>
        <v/>
      </c>
      <c r="CC256">
        <f>IFERROR(INDEX(PP_Grid[#Data],$DD256,79),0)</f>
        <v/>
      </c>
      <c r="CD256">
        <f>IFERROR(INDEX(PP_Grid[#Data],$DD256,80),0)</f>
        <v/>
      </c>
      <c r="CE256">
        <f>IFERROR(INDEX(PP_Grid[#Data],$DD256,81),0)</f>
        <v/>
      </c>
      <c r="CF256">
        <f>IFERROR(INDEX(PP_Grid[#Data],$DD256,82),0)</f>
        <v/>
      </c>
      <c r="CG256">
        <f>IFERROR(INDEX(PP_Grid[#Data],$DD256,83),0)</f>
        <v/>
      </c>
      <c r="CH256">
        <f>IFERROR(INDEX(PP_Grid[#Data],$DD256,84),0)</f>
        <v/>
      </c>
      <c r="CI256">
        <f>IFERROR(INDEX(PP_Grid[#Data],$DD256,85),0)</f>
        <v/>
      </c>
      <c r="CJ256">
        <f>IFERROR(INDEX(PP_Grid[#Data],$DD256,86),0)</f>
        <v/>
      </c>
      <c r="CK256">
        <f>IFERROR(INDEX(PP_Grid[#Data],$DD256,87),0)</f>
        <v/>
      </c>
      <c r="CL256">
        <f>IFERROR(INDEX(PP_Grid[#Data],$DD256,88),0)</f>
        <v/>
      </c>
      <c r="CM256">
        <f>IFERROR(INDEX(PP_Grid[#Data],$DD256,89),0)</f>
        <v/>
      </c>
      <c r="CN256">
        <f>IFERROR(INDEX(PP_Grid[#Data],$DD256,90),0)</f>
        <v/>
      </c>
      <c r="CO256">
        <f>IFERROR(INDEX(PP_Grid[#Data],$DD256,91),0)</f>
        <v/>
      </c>
      <c r="CP256">
        <f>IFERROR(INDEX(PP_Grid[#Data],$DD256,92),0)</f>
        <v/>
      </c>
      <c r="CQ256">
        <f>IFERROR(INDEX(PP_Grid[#Data],$DD256,93),0)</f>
        <v/>
      </c>
      <c r="CR256">
        <f>IFERROR(INDEX(PP_Grid[#Data],$DD256,94),0)</f>
        <v/>
      </c>
      <c r="CS256">
        <f>IFERROR(INDEX(PP_Grid[#Data],$DD256,95),0)</f>
        <v/>
      </c>
      <c r="CT256">
        <f>IFERROR(INDEX(PP_Grid[#Data],$DD256,96),0)</f>
        <v/>
      </c>
      <c r="CU256">
        <f>IFERROR(INDEX(PP_Grid[#Data],$DD256,97),0)</f>
        <v/>
      </c>
      <c r="CV256">
        <f>IFERROR(INDEX(PP_Grid[#Data],$DD256,98),0)</f>
        <v/>
      </c>
      <c r="CW256">
        <f>IFERROR(INDEX(PP_Grid[#Data],$DD256,99),0)</f>
        <v/>
      </c>
      <c r="CX256">
        <f>IFERROR(INDEX(PP_Grid[#Data],$DD256,100),0)</f>
        <v/>
      </c>
      <c r="CY256">
        <f>IFERROR(INDEX(PP_Grid[#Data],$DD256,101),0)</f>
        <v/>
      </c>
      <c r="CZ256">
        <f>IFERROR(INDEX(PP_Grid[#Data],$DD256,102),0)</f>
        <v/>
      </c>
      <c r="DA256">
        <f>IFERROR(INDEX(PP_Grid[#Data],$DD256,103),0)</f>
        <v/>
      </c>
      <c r="DB256">
        <f>IFERROR(INDEX(PP_Grid[#Data],$DD256,104),0)</f>
        <v/>
      </c>
      <c r="DC256">
        <f>IFERROR(INDEX(PP_Grid[#Data],$DD256,105),0)</f>
        <v/>
      </c>
      <c r="DD256" s="7">
        <f>IFERROR(MATCH($B256,PP_Grid[Intermediate],0),99999)</f>
        <v/>
      </c>
    </row>
    <row r="257">
      <c r="B257" t="inlineStr">
        <is>
          <t>使用量(kg)</t>
        </is>
      </c>
      <c r="C257">
        <f>SUMIFS(M_BOM[RM_Qty_Per_Batch],M_BOM[Intermediate],$B256,M_BOM[Part Name],$A219)</f>
        <v/>
      </c>
      <c r="D257">
        <f>$C257*D256</f>
        <v/>
      </c>
      <c r="E257">
        <f>$C257*E256</f>
        <v/>
      </c>
      <c r="F257">
        <f>$C257*F256</f>
        <v/>
      </c>
      <c r="G257">
        <f>$C257*G256</f>
        <v/>
      </c>
      <c r="H257">
        <f>$C257*H256</f>
        <v/>
      </c>
      <c r="I257">
        <f>$C257*I256</f>
        <v/>
      </c>
      <c r="J257">
        <f>$C257*J256</f>
        <v/>
      </c>
      <c r="K257">
        <f>$C257*K256</f>
        <v/>
      </c>
      <c r="L257">
        <f>$C257*L256</f>
        <v/>
      </c>
      <c r="M257">
        <f>$C257*M256</f>
        <v/>
      </c>
      <c r="N257">
        <f>$C257*N256</f>
        <v/>
      </c>
      <c r="O257">
        <f>$C257*O256</f>
        <v/>
      </c>
      <c r="P257">
        <f>$C257*P256</f>
        <v/>
      </c>
      <c r="Q257">
        <f>$C257*Q256</f>
        <v/>
      </c>
      <c r="R257">
        <f>$C257*R256</f>
        <v/>
      </c>
      <c r="S257">
        <f>$C257*S256</f>
        <v/>
      </c>
      <c r="T257">
        <f>$C257*T256</f>
        <v/>
      </c>
      <c r="U257">
        <f>$C257*U256</f>
        <v/>
      </c>
      <c r="V257">
        <f>$C257*V256</f>
        <v/>
      </c>
      <c r="W257">
        <f>$C257*W256</f>
        <v/>
      </c>
      <c r="X257">
        <f>$C257*X256</f>
        <v/>
      </c>
      <c r="Y257">
        <f>$C257*Y256</f>
        <v/>
      </c>
      <c r="Z257">
        <f>$C257*Z256</f>
        <v/>
      </c>
      <c r="AA257">
        <f>$C257*AA256</f>
        <v/>
      </c>
      <c r="AB257">
        <f>$C257*AB256</f>
        <v/>
      </c>
      <c r="AC257">
        <f>$C257*AC256</f>
        <v/>
      </c>
      <c r="AD257">
        <f>$C257*AD256</f>
        <v/>
      </c>
      <c r="AE257">
        <f>$C257*AE256</f>
        <v/>
      </c>
      <c r="AF257">
        <f>$C257*AF256</f>
        <v/>
      </c>
      <c r="AG257">
        <f>$C257*AG256</f>
        <v/>
      </c>
      <c r="AH257">
        <f>$C257*AH256</f>
        <v/>
      </c>
      <c r="AI257">
        <f>$C257*AI256</f>
        <v/>
      </c>
      <c r="AJ257">
        <f>$C257*AJ256</f>
        <v/>
      </c>
      <c r="AK257">
        <f>$C257*AK256</f>
        <v/>
      </c>
      <c r="AL257">
        <f>$C257*AL256</f>
        <v/>
      </c>
      <c r="AM257">
        <f>$C257*AM256</f>
        <v/>
      </c>
      <c r="AN257">
        <f>$C257*AN256</f>
        <v/>
      </c>
      <c r="AO257">
        <f>$C257*AO256</f>
        <v/>
      </c>
      <c r="AP257">
        <f>$C257*AP256</f>
        <v/>
      </c>
      <c r="AQ257">
        <f>$C257*AQ256</f>
        <v/>
      </c>
      <c r="AR257">
        <f>$C257*AR256</f>
        <v/>
      </c>
      <c r="AS257">
        <f>$C257*AS256</f>
        <v/>
      </c>
      <c r="AT257">
        <f>$C257*AT256</f>
        <v/>
      </c>
      <c r="AU257">
        <f>$C257*AU256</f>
        <v/>
      </c>
      <c r="AV257">
        <f>$C257*AV256</f>
        <v/>
      </c>
      <c r="AW257">
        <f>$C257*AW256</f>
        <v/>
      </c>
      <c r="AX257">
        <f>$C257*AX256</f>
        <v/>
      </c>
      <c r="AY257">
        <f>$C257*AY256</f>
        <v/>
      </c>
      <c r="AZ257">
        <f>$C257*AZ256</f>
        <v/>
      </c>
      <c r="BA257">
        <f>$C257*BA256</f>
        <v/>
      </c>
      <c r="BB257">
        <f>$C257*BB256</f>
        <v/>
      </c>
      <c r="BC257">
        <f>$C257*BC256</f>
        <v/>
      </c>
      <c r="BD257">
        <f>$C257*BD256</f>
        <v/>
      </c>
      <c r="BE257">
        <f>$C257*BE256</f>
        <v/>
      </c>
      <c r="BF257">
        <f>$C257*BF256</f>
        <v/>
      </c>
      <c r="BG257">
        <f>$C257*BG256</f>
        <v/>
      </c>
      <c r="BH257">
        <f>$C257*BH256</f>
        <v/>
      </c>
      <c r="BI257">
        <f>$C257*BI256</f>
        <v/>
      </c>
      <c r="BJ257">
        <f>$C257*BJ256</f>
        <v/>
      </c>
      <c r="BK257">
        <f>$C257*BK256</f>
        <v/>
      </c>
      <c r="BL257">
        <f>$C257*BL256</f>
        <v/>
      </c>
      <c r="BM257">
        <f>$C257*BM256</f>
        <v/>
      </c>
      <c r="BN257">
        <f>$C257*BN256</f>
        <v/>
      </c>
      <c r="BO257">
        <f>$C257*BO256</f>
        <v/>
      </c>
      <c r="BP257">
        <f>$C257*BP256</f>
        <v/>
      </c>
      <c r="BQ257">
        <f>$C257*BQ256</f>
        <v/>
      </c>
      <c r="BR257">
        <f>$C257*BR256</f>
        <v/>
      </c>
      <c r="BS257">
        <f>$C257*BS256</f>
        <v/>
      </c>
      <c r="BT257">
        <f>$C257*BT256</f>
        <v/>
      </c>
      <c r="BU257">
        <f>$C257*BU256</f>
        <v/>
      </c>
      <c r="BV257">
        <f>$C257*BV256</f>
        <v/>
      </c>
      <c r="BW257">
        <f>$C257*BW256</f>
        <v/>
      </c>
      <c r="BX257">
        <f>$C257*BX256</f>
        <v/>
      </c>
      <c r="BY257">
        <f>$C257*BY256</f>
        <v/>
      </c>
      <c r="BZ257">
        <f>$C257*BZ256</f>
        <v/>
      </c>
      <c r="CA257">
        <f>$C257*CA256</f>
        <v/>
      </c>
      <c r="CB257">
        <f>$C257*CB256</f>
        <v/>
      </c>
      <c r="CC257">
        <f>$C257*CC256</f>
        <v/>
      </c>
      <c r="CD257">
        <f>$C257*CD256</f>
        <v/>
      </c>
      <c r="CE257">
        <f>$C257*CE256</f>
        <v/>
      </c>
      <c r="CF257">
        <f>$C257*CF256</f>
        <v/>
      </c>
      <c r="CG257">
        <f>$C257*CG256</f>
        <v/>
      </c>
      <c r="CH257">
        <f>$C257*CH256</f>
        <v/>
      </c>
      <c r="CI257">
        <f>$C257*CI256</f>
        <v/>
      </c>
      <c r="CJ257">
        <f>$C257*CJ256</f>
        <v/>
      </c>
      <c r="CK257">
        <f>$C257*CK256</f>
        <v/>
      </c>
      <c r="CL257">
        <f>$C257*CL256</f>
        <v/>
      </c>
      <c r="CM257">
        <f>$C257*CM256</f>
        <v/>
      </c>
      <c r="CN257">
        <f>$C257*CN256</f>
        <v/>
      </c>
      <c r="CO257">
        <f>$C257*CO256</f>
        <v/>
      </c>
      <c r="CP257">
        <f>$C257*CP256</f>
        <v/>
      </c>
      <c r="CQ257">
        <f>$C257*CQ256</f>
        <v/>
      </c>
      <c r="CR257">
        <f>$C257*CR256</f>
        <v/>
      </c>
      <c r="CS257">
        <f>$C257*CS256</f>
        <v/>
      </c>
      <c r="CT257">
        <f>$C257*CT256</f>
        <v/>
      </c>
      <c r="CU257">
        <f>$C257*CU256</f>
        <v/>
      </c>
      <c r="CV257">
        <f>$C257*CV256</f>
        <v/>
      </c>
      <c r="CW257">
        <f>$C257*CW256</f>
        <v/>
      </c>
      <c r="CX257">
        <f>$C257*CX256</f>
        <v/>
      </c>
      <c r="CY257">
        <f>$C257*CY256</f>
        <v/>
      </c>
      <c r="CZ257">
        <f>$C257*CZ256</f>
        <v/>
      </c>
      <c r="DA257">
        <f>$C257*DA256</f>
        <v/>
      </c>
      <c r="DB257">
        <f>$C257*DB256</f>
        <v/>
      </c>
      <c r="DC257">
        <f>$C257*DC256</f>
        <v/>
      </c>
    </row>
    <row r="258">
      <c r="B258" t="inlineStr">
        <is>
          <t>TSP-670</t>
        </is>
      </c>
      <c r="C258" t="inlineStr">
        <is>
          <t>No. of batches</t>
        </is>
      </c>
      <c r="D258">
        <f>IFERROR(INDEX(PP_Grid[#Data],$DD258,2),0)</f>
        <v/>
      </c>
      <c r="E258">
        <f>IFERROR(INDEX(PP_Grid[#Data],$DD258,3),0)</f>
        <v/>
      </c>
      <c r="F258">
        <f>IFERROR(INDEX(PP_Grid[#Data],$DD258,4),0)</f>
        <v/>
      </c>
      <c r="G258">
        <f>IFERROR(INDEX(PP_Grid[#Data],$DD258,5),0)</f>
        <v/>
      </c>
      <c r="H258">
        <f>IFERROR(INDEX(PP_Grid[#Data],$DD258,6),0)</f>
        <v/>
      </c>
      <c r="I258">
        <f>IFERROR(INDEX(PP_Grid[#Data],$DD258,7),0)</f>
        <v/>
      </c>
      <c r="J258">
        <f>IFERROR(INDEX(PP_Grid[#Data],$DD258,8),0)</f>
        <v/>
      </c>
      <c r="K258">
        <f>IFERROR(INDEX(PP_Grid[#Data],$DD258,9),0)</f>
        <v/>
      </c>
      <c r="L258">
        <f>IFERROR(INDEX(PP_Grid[#Data],$DD258,10),0)</f>
        <v/>
      </c>
      <c r="M258">
        <f>IFERROR(INDEX(PP_Grid[#Data],$DD258,11),0)</f>
        <v/>
      </c>
      <c r="N258">
        <f>IFERROR(INDEX(PP_Grid[#Data],$DD258,12),0)</f>
        <v/>
      </c>
      <c r="O258">
        <f>IFERROR(INDEX(PP_Grid[#Data],$DD258,13),0)</f>
        <v/>
      </c>
      <c r="P258">
        <f>IFERROR(INDEX(PP_Grid[#Data],$DD258,14),0)</f>
        <v/>
      </c>
      <c r="Q258">
        <f>IFERROR(INDEX(PP_Grid[#Data],$DD258,15),0)</f>
        <v/>
      </c>
      <c r="R258">
        <f>IFERROR(INDEX(PP_Grid[#Data],$DD258,16),0)</f>
        <v/>
      </c>
      <c r="S258">
        <f>IFERROR(INDEX(PP_Grid[#Data],$DD258,17),0)</f>
        <v/>
      </c>
      <c r="T258">
        <f>IFERROR(INDEX(PP_Grid[#Data],$DD258,18),0)</f>
        <v/>
      </c>
      <c r="U258">
        <f>IFERROR(INDEX(PP_Grid[#Data],$DD258,19),0)</f>
        <v/>
      </c>
      <c r="V258">
        <f>IFERROR(INDEX(PP_Grid[#Data],$DD258,20),0)</f>
        <v/>
      </c>
      <c r="W258">
        <f>IFERROR(INDEX(PP_Grid[#Data],$DD258,21),0)</f>
        <v/>
      </c>
      <c r="X258">
        <f>IFERROR(INDEX(PP_Grid[#Data],$DD258,22),0)</f>
        <v/>
      </c>
      <c r="Y258">
        <f>IFERROR(INDEX(PP_Grid[#Data],$DD258,23),0)</f>
        <v/>
      </c>
      <c r="Z258">
        <f>IFERROR(INDEX(PP_Grid[#Data],$DD258,24),0)</f>
        <v/>
      </c>
      <c r="AA258">
        <f>IFERROR(INDEX(PP_Grid[#Data],$DD258,25),0)</f>
        <v/>
      </c>
      <c r="AB258">
        <f>IFERROR(INDEX(PP_Grid[#Data],$DD258,26),0)</f>
        <v/>
      </c>
      <c r="AC258">
        <f>IFERROR(INDEX(PP_Grid[#Data],$DD258,27),0)</f>
        <v/>
      </c>
      <c r="AD258">
        <f>IFERROR(INDEX(PP_Grid[#Data],$DD258,28),0)</f>
        <v/>
      </c>
      <c r="AE258">
        <f>IFERROR(INDEX(PP_Grid[#Data],$DD258,29),0)</f>
        <v/>
      </c>
      <c r="AF258">
        <f>IFERROR(INDEX(PP_Grid[#Data],$DD258,30),0)</f>
        <v/>
      </c>
      <c r="AG258">
        <f>IFERROR(INDEX(PP_Grid[#Data],$DD258,31),0)</f>
        <v/>
      </c>
      <c r="AH258">
        <f>IFERROR(INDEX(PP_Grid[#Data],$DD258,32),0)</f>
        <v/>
      </c>
      <c r="AI258">
        <f>IFERROR(INDEX(PP_Grid[#Data],$DD258,33),0)</f>
        <v/>
      </c>
      <c r="AJ258">
        <f>IFERROR(INDEX(PP_Grid[#Data],$DD258,34),0)</f>
        <v/>
      </c>
      <c r="AK258">
        <f>IFERROR(INDEX(PP_Grid[#Data],$DD258,35),0)</f>
        <v/>
      </c>
      <c r="AL258">
        <f>IFERROR(INDEX(PP_Grid[#Data],$DD258,36),0)</f>
        <v/>
      </c>
      <c r="AM258">
        <f>IFERROR(INDEX(PP_Grid[#Data],$DD258,37),0)</f>
        <v/>
      </c>
      <c r="AN258">
        <f>IFERROR(INDEX(PP_Grid[#Data],$DD258,38),0)</f>
        <v/>
      </c>
      <c r="AO258">
        <f>IFERROR(INDEX(PP_Grid[#Data],$DD258,39),0)</f>
        <v/>
      </c>
      <c r="AP258">
        <f>IFERROR(INDEX(PP_Grid[#Data],$DD258,40),0)</f>
        <v/>
      </c>
      <c r="AQ258">
        <f>IFERROR(INDEX(PP_Grid[#Data],$DD258,41),0)</f>
        <v/>
      </c>
      <c r="AR258">
        <f>IFERROR(INDEX(PP_Grid[#Data],$DD258,42),0)</f>
        <v/>
      </c>
      <c r="AS258">
        <f>IFERROR(INDEX(PP_Grid[#Data],$DD258,43),0)</f>
        <v/>
      </c>
      <c r="AT258">
        <f>IFERROR(INDEX(PP_Grid[#Data],$DD258,44),0)</f>
        <v/>
      </c>
      <c r="AU258">
        <f>IFERROR(INDEX(PP_Grid[#Data],$DD258,45),0)</f>
        <v/>
      </c>
      <c r="AV258">
        <f>IFERROR(INDEX(PP_Grid[#Data],$DD258,46),0)</f>
        <v/>
      </c>
      <c r="AW258">
        <f>IFERROR(INDEX(PP_Grid[#Data],$DD258,47),0)</f>
        <v/>
      </c>
      <c r="AX258">
        <f>IFERROR(INDEX(PP_Grid[#Data],$DD258,48),0)</f>
        <v/>
      </c>
      <c r="AY258">
        <f>IFERROR(INDEX(PP_Grid[#Data],$DD258,49),0)</f>
        <v/>
      </c>
      <c r="AZ258">
        <f>IFERROR(INDEX(PP_Grid[#Data],$DD258,50),0)</f>
        <v/>
      </c>
      <c r="BA258">
        <f>IFERROR(INDEX(PP_Grid[#Data],$DD258,51),0)</f>
        <v/>
      </c>
      <c r="BB258">
        <f>IFERROR(INDEX(PP_Grid[#Data],$DD258,52),0)</f>
        <v/>
      </c>
      <c r="BC258">
        <f>IFERROR(INDEX(PP_Grid[#Data],$DD258,53),0)</f>
        <v/>
      </c>
      <c r="BD258">
        <f>IFERROR(INDEX(PP_Grid[#Data],$DD258,54),0)</f>
        <v/>
      </c>
      <c r="BE258">
        <f>IFERROR(INDEX(PP_Grid[#Data],$DD258,55),0)</f>
        <v/>
      </c>
      <c r="BF258">
        <f>IFERROR(INDEX(PP_Grid[#Data],$DD258,56),0)</f>
        <v/>
      </c>
      <c r="BG258">
        <f>IFERROR(INDEX(PP_Grid[#Data],$DD258,57),0)</f>
        <v/>
      </c>
      <c r="BH258">
        <f>IFERROR(INDEX(PP_Grid[#Data],$DD258,58),0)</f>
        <v/>
      </c>
      <c r="BI258">
        <f>IFERROR(INDEX(PP_Grid[#Data],$DD258,59),0)</f>
        <v/>
      </c>
      <c r="BJ258">
        <f>IFERROR(INDEX(PP_Grid[#Data],$DD258,60),0)</f>
        <v/>
      </c>
      <c r="BK258">
        <f>IFERROR(INDEX(PP_Grid[#Data],$DD258,61),0)</f>
        <v/>
      </c>
      <c r="BL258">
        <f>IFERROR(INDEX(PP_Grid[#Data],$DD258,62),0)</f>
        <v/>
      </c>
      <c r="BM258">
        <f>IFERROR(INDEX(PP_Grid[#Data],$DD258,63),0)</f>
        <v/>
      </c>
      <c r="BN258">
        <f>IFERROR(INDEX(PP_Grid[#Data],$DD258,64),0)</f>
        <v/>
      </c>
      <c r="BO258">
        <f>IFERROR(INDEX(PP_Grid[#Data],$DD258,65),0)</f>
        <v/>
      </c>
      <c r="BP258">
        <f>IFERROR(INDEX(PP_Grid[#Data],$DD258,66),0)</f>
        <v/>
      </c>
      <c r="BQ258">
        <f>IFERROR(INDEX(PP_Grid[#Data],$DD258,67),0)</f>
        <v/>
      </c>
      <c r="BR258">
        <f>IFERROR(INDEX(PP_Grid[#Data],$DD258,68),0)</f>
        <v/>
      </c>
      <c r="BS258">
        <f>IFERROR(INDEX(PP_Grid[#Data],$DD258,69),0)</f>
        <v/>
      </c>
      <c r="BT258">
        <f>IFERROR(INDEX(PP_Grid[#Data],$DD258,70),0)</f>
        <v/>
      </c>
      <c r="BU258">
        <f>IFERROR(INDEX(PP_Grid[#Data],$DD258,71),0)</f>
        <v/>
      </c>
      <c r="BV258">
        <f>IFERROR(INDEX(PP_Grid[#Data],$DD258,72),0)</f>
        <v/>
      </c>
      <c r="BW258">
        <f>IFERROR(INDEX(PP_Grid[#Data],$DD258,73),0)</f>
        <v/>
      </c>
      <c r="BX258">
        <f>IFERROR(INDEX(PP_Grid[#Data],$DD258,74),0)</f>
        <v/>
      </c>
      <c r="BY258">
        <f>IFERROR(INDEX(PP_Grid[#Data],$DD258,75),0)</f>
        <v/>
      </c>
      <c r="BZ258">
        <f>IFERROR(INDEX(PP_Grid[#Data],$DD258,76),0)</f>
        <v/>
      </c>
      <c r="CA258">
        <f>IFERROR(INDEX(PP_Grid[#Data],$DD258,77),0)</f>
        <v/>
      </c>
      <c r="CB258">
        <f>IFERROR(INDEX(PP_Grid[#Data],$DD258,78),0)</f>
        <v/>
      </c>
      <c r="CC258">
        <f>IFERROR(INDEX(PP_Grid[#Data],$DD258,79),0)</f>
        <v/>
      </c>
      <c r="CD258">
        <f>IFERROR(INDEX(PP_Grid[#Data],$DD258,80),0)</f>
        <v/>
      </c>
      <c r="CE258">
        <f>IFERROR(INDEX(PP_Grid[#Data],$DD258,81),0)</f>
        <v/>
      </c>
      <c r="CF258">
        <f>IFERROR(INDEX(PP_Grid[#Data],$DD258,82),0)</f>
        <v/>
      </c>
      <c r="CG258">
        <f>IFERROR(INDEX(PP_Grid[#Data],$DD258,83),0)</f>
        <v/>
      </c>
      <c r="CH258">
        <f>IFERROR(INDEX(PP_Grid[#Data],$DD258,84),0)</f>
        <v/>
      </c>
      <c r="CI258">
        <f>IFERROR(INDEX(PP_Grid[#Data],$DD258,85),0)</f>
        <v/>
      </c>
      <c r="CJ258">
        <f>IFERROR(INDEX(PP_Grid[#Data],$DD258,86),0)</f>
        <v/>
      </c>
      <c r="CK258">
        <f>IFERROR(INDEX(PP_Grid[#Data],$DD258,87),0)</f>
        <v/>
      </c>
      <c r="CL258">
        <f>IFERROR(INDEX(PP_Grid[#Data],$DD258,88),0)</f>
        <v/>
      </c>
      <c r="CM258">
        <f>IFERROR(INDEX(PP_Grid[#Data],$DD258,89),0)</f>
        <v/>
      </c>
      <c r="CN258">
        <f>IFERROR(INDEX(PP_Grid[#Data],$DD258,90),0)</f>
        <v/>
      </c>
      <c r="CO258">
        <f>IFERROR(INDEX(PP_Grid[#Data],$DD258,91),0)</f>
        <v/>
      </c>
      <c r="CP258">
        <f>IFERROR(INDEX(PP_Grid[#Data],$DD258,92),0)</f>
        <v/>
      </c>
      <c r="CQ258">
        <f>IFERROR(INDEX(PP_Grid[#Data],$DD258,93),0)</f>
        <v/>
      </c>
      <c r="CR258">
        <f>IFERROR(INDEX(PP_Grid[#Data],$DD258,94),0)</f>
        <v/>
      </c>
      <c r="CS258">
        <f>IFERROR(INDEX(PP_Grid[#Data],$DD258,95),0)</f>
        <v/>
      </c>
      <c r="CT258">
        <f>IFERROR(INDEX(PP_Grid[#Data],$DD258,96),0)</f>
        <v/>
      </c>
      <c r="CU258">
        <f>IFERROR(INDEX(PP_Grid[#Data],$DD258,97),0)</f>
        <v/>
      </c>
      <c r="CV258">
        <f>IFERROR(INDEX(PP_Grid[#Data],$DD258,98),0)</f>
        <v/>
      </c>
      <c r="CW258">
        <f>IFERROR(INDEX(PP_Grid[#Data],$DD258,99),0)</f>
        <v/>
      </c>
      <c r="CX258">
        <f>IFERROR(INDEX(PP_Grid[#Data],$DD258,100),0)</f>
        <v/>
      </c>
      <c r="CY258">
        <f>IFERROR(INDEX(PP_Grid[#Data],$DD258,101),0)</f>
        <v/>
      </c>
      <c r="CZ258">
        <f>IFERROR(INDEX(PP_Grid[#Data],$DD258,102),0)</f>
        <v/>
      </c>
      <c r="DA258">
        <f>IFERROR(INDEX(PP_Grid[#Data],$DD258,103),0)</f>
        <v/>
      </c>
      <c r="DB258">
        <f>IFERROR(INDEX(PP_Grid[#Data],$DD258,104),0)</f>
        <v/>
      </c>
      <c r="DC258">
        <f>IFERROR(INDEX(PP_Grid[#Data],$DD258,105),0)</f>
        <v/>
      </c>
      <c r="DD258" s="7">
        <f>IFERROR(MATCH($B258,PP_Grid[Intermediate],0),99999)</f>
        <v/>
      </c>
    </row>
    <row r="259">
      <c r="B259" t="inlineStr">
        <is>
          <t>使用量(kg)</t>
        </is>
      </c>
      <c r="C259">
        <f>SUMIFS(M_BOM[RM_Qty_Per_Batch],M_BOM[Intermediate],$B258,M_BOM[Part Name],$A219)</f>
        <v/>
      </c>
      <c r="D259">
        <f>$C259*D258</f>
        <v/>
      </c>
      <c r="E259">
        <f>$C259*E258</f>
        <v/>
      </c>
      <c r="F259">
        <f>$C259*F258</f>
        <v/>
      </c>
      <c r="G259">
        <f>$C259*G258</f>
        <v/>
      </c>
      <c r="H259">
        <f>$C259*H258</f>
        <v/>
      </c>
      <c r="I259">
        <f>$C259*I258</f>
        <v/>
      </c>
      <c r="J259">
        <f>$C259*J258</f>
        <v/>
      </c>
      <c r="K259">
        <f>$C259*K258</f>
        <v/>
      </c>
      <c r="L259">
        <f>$C259*L258</f>
        <v/>
      </c>
      <c r="M259">
        <f>$C259*M258</f>
        <v/>
      </c>
      <c r="N259">
        <f>$C259*N258</f>
        <v/>
      </c>
      <c r="O259">
        <f>$C259*O258</f>
        <v/>
      </c>
      <c r="P259">
        <f>$C259*P258</f>
        <v/>
      </c>
      <c r="Q259">
        <f>$C259*Q258</f>
        <v/>
      </c>
      <c r="R259">
        <f>$C259*R258</f>
        <v/>
      </c>
      <c r="S259">
        <f>$C259*S258</f>
        <v/>
      </c>
      <c r="T259">
        <f>$C259*T258</f>
        <v/>
      </c>
      <c r="U259">
        <f>$C259*U258</f>
        <v/>
      </c>
      <c r="V259">
        <f>$C259*V258</f>
        <v/>
      </c>
      <c r="W259">
        <f>$C259*W258</f>
        <v/>
      </c>
      <c r="X259">
        <f>$C259*X258</f>
        <v/>
      </c>
      <c r="Y259">
        <f>$C259*Y258</f>
        <v/>
      </c>
      <c r="Z259">
        <f>$C259*Z258</f>
        <v/>
      </c>
      <c r="AA259">
        <f>$C259*AA258</f>
        <v/>
      </c>
      <c r="AB259">
        <f>$C259*AB258</f>
        <v/>
      </c>
      <c r="AC259">
        <f>$C259*AC258</f>
        <v/>
      </c>
      <c r="AD259">
        <f>$C259*AD258</f>
        <v/>
      </c>
      <c r="AE259">
        <f>$C259*AE258</f>
        <v/>
      </c>
      <c r="AF259">
        <f>$C259*AF258</f>
        <v/>
      </c>
      <c r="AG259">
        <f>$C259*AG258</f>
        <v/>
      </c>
      <c r="AH259">
        <f>$C259*AH258</f>
        <v/>
      </c>
      <c r="AI259">
        <f>$C259*AI258</f>
        <v/>
      </c>
      <c r="AJ259">
        <f>$C259*AJ258</f>
        <v/>
      </c>
      <c r="AK259">
        <f>$C259*AK258</f>
        <v/>
      </c>
      <c r="AL259">
        <f>$C259*AL258</f>
        <v/>
      </c>
      <c r="AM259">
        <f>$C259*AM258</f>
        <v/>
      </c>
      <c r="AN259">
        <f>$C259*AN258</f>
        <v/>
      </c>
      <c r="AO259">
        <f>$C259*AO258</f>
        <v/>
      </c>
      <c r="AP259">
        <f>$C259*AP258</f>
        <v/>
      </c>
      <c r="AQ259">
        <f>$C259*AQ258</f>
        <v/>
      </c>
      <c r="AR259">
        <f>$C259*AR258</f>
        <v/>
      </c>
      <c r="AS259">
        <f>$C259*AS258</f>
        <v/>
      </c>
      <c r="AT259">
        <f>$C259*AT258</f>
        <v/>
      </c>
      <c r="AU259">
        <f>$C259*AU258</f>
        <v/>
      </c>
      <c r="AV259">
        <f>$C259*AV258</f>
        <v/>
      </c>
      <c r="AW259">
        <f>$C259*AW258</f>
        <v/>
      </c>
      <c r="AX259">
        <f>$C259*AX258</f>
        <v/>
      </c>
      <c r="AY259">
        <f>$C259*AY258</f>
        <v/>
      </c>
      <c r="AZ259">
        <f>$C259*AZ258</f>
        <v/>
      </c>
      <c r="BA259">
        <f>$C259*BA258</f>
        <v/>
      </c>
      <c r="BB259">
        <f>$C259*BB258</f>
        <v/>
      </c>
      <c r="BC259">
        <f>$C259*BC258</f>
        <v/>
      </c>
      <c r="BD259">
        <f>$C259*BD258</f>
        <v/>
      </c>
      <c r="BE259">
        <f>$C259*BE258</f>
        <v/>
      </c>
      <c r="BF259">
        <f>$C259*BF258</f>
        <v/>
      </c>
      <c r="BG259">
        <f>$C259*BG258</f>
        <v/>
      </c>
      <c r="BH259">
        <f>$C259*BH258</f>
        <v/>
      </c>
      <c r="BI259">
        <f>$C259*BI258</f>
        <v/>
      </c>
      <c r="BJ259">
        <f>$C259*BJ258</f>
        <v/>
      </c>
      <c r="BK259">
        <f>$C259*BK258</f>
        <v/>
      </c>
      <c r="BL259">
        <f>$C259*BL258</f>
        <v/>
      </c>
      <c r="BM259">
        <f>$C259*BM258</f>
        <v/>
      </c>
      <c r="BN259">
        <f>$C259*BN258</f>
        <v/>
      </c>
      <c r="BO259">
        <f>$C259*BO258</f>
        <v/>
      </c>
      <c r="BP259">
        <f>$C259*BP258</f>
        <v/>
      </c>
      <c r="BQ259">
        <f>$C259*BQ258</f>
        <v/>
      </c>
      <c r="BR259">
        <f>$C259*BR258</f>
        <v/>
      </c>
      <c r="BS259">
        <f>$C259*BS258</f>
        <v/>
      </c>
      <c r="BT259">
        <f>$C259*BT258</f>
        <v/>
      </c>
      <c r="BU259">
        <f>$C259*BU258</f>
        <v/>
      </c>
      <c r="BV259">
        <f>$C259*BV258</f>
        <v/>
      </c>
      <c r="BW259">
        <f>$C259*BW258</f>
        <v/>
      </c>
      <c r="BX259">
        <f>$C259*BX258</f>
        <v/>
      </c>
      <c r="BY259">
        <f>$C259*BY258</f>
        <v/>
      </c>
      <c r="BZ259">
        <f>$C259*BZ258</f>
        <v/>
      </c>
      <c r="CA259">
        <f>$C259*CA258</f>
        <v/>
      </c>
      <c r="CB259">
        <f>$C259*CB258</f>
        <v/>
      </c>
      <c r="CC259">
        <f>$C259*CC258</f>
        <v/>
      </c>
      <c r="CD259">
        <f>$C259*CD258</f>
        <v/>
      </c>
      <c r="CE259">
        <f>$C259*CE258</f>
        <v/>
      </c>
      <c r="CF259">
        <f>$C259*CF258</f>
        <v/>
      </c>
      <c r="CG259">
        <f>$C259*CG258</f>
        <v/>
      </c>
      <c r="CH259">
        <f>$C259*CH258</f>
        <v/>
      </c>
      <c r="CI259">
        <f>$C259*CI258</f>
        <v/>
      </c>
      <c r="CJ259">
        <f>$C259*CJ258</f>
        <v/>
      </c>
      <c r="CK259">
        <f>$C259*CK258</f>
        <v/>
      </c>
      <c r="CL259">
        <f>$C259*CL258</f>
        <v/>
      </c>
      <c r="CM259">
        <f>$C259*CM258</f>
        <v/>
      </c>
      <c r="CN259">
        <f>$C259*CN258</f>
        <v/>
      </c>
      <c r="CO259">
        <f>$C259*CO258</f>
        <v/>
      </c>
      <c r="CP259">
        <f>$C259*CP258</f>
        <v/>
      </c>
      <c r="CQ259">
        <f>$C259*CQ258</f>
        <v/>
      </c>
      <c r="CR259">
        <f>$C259*CR258</f>
        <v/>
      </c>
      <c r="CS259">
        <f>$C259*CS258</f>
        <v/>
      </c>
      <c r="CT259">
        <f>$C259*CT258</f>
        <v/>
      </c>
      <c r="CU259">
        <f>$C259*CU258</f>
        <v/>
      </c>
      <c r="CV259">
        <f>$C259*CV258</f>
        <v/>
      </c>
      <c r="CW259">
        <f>$C259*CW258</f>
        <v/>
      </c>
      <c r="CX259">
        <f>$C259*CX258</f>
        <v/>
      </c>
      <c r="CY259">
        <f>$C259*CY258</f>
        <v/>
      </c>
      <c r="CZ259">
        <f>$C259*CZ258</f>
        <v/>
      </c>
      <c r="DA259">
        <f>$C259*DA258</f>
        <v/>
      </c>
      <c r="DB259">
        <f>$C259*DB258</f>
        <v/>
      </c>
      <c r="DC259">
        <f>$C259*DC258</f>
        <v/>
      </c>
    </row>
    <row r="260">
      <c r="B260" t="inlineStr">
        <is>
          <t>TSP-699</t>
        </is>
      </c>
      <c r="C260" t="inlineStr">
        <is>
          <t>No. of batches</t>
        </is>
      </c>
      <c r="D260">
        <f>IFERROR(INDEX(PP_Grid[#Data],$DD260,2),0)</f>
        <v/>
      </c>
      <c r="E260">
        <f>IFERROR(INDEX(PP_Grid[#Data],$DD260,3),0)</f>
        <v/>
      </c>
      <c r="F260">
        <f>IFERROR(INDEX(PP_Grid[#Data],$DD260,4),0)</f>
        <v/>
      </c>
      <c r="G260">
        <f>IFERROR(INDEX(PP_Grid[#Data],$DD260,5),0)</f>
        <v/>
      </c>
      <c r="H260">
        <f>IFERROR(INDEX(PP_Grid[#Data],$DD260,6),0)</f>
        <v/>
      </c>
      <c r="I260">
        <f>IFERROR(INDEX(PP_Grid[#Data],$DD260,7),0)</f>
        <v/>
      </c>
      <c r="J260">
        <f>IFERROR(INDEX(PP_Grid[#Data],$DD260,8),0)</f>
        <v/>
      </c>
      <c r="K260">
        <f>IFERROR(INDEX(PP_Grid[#Data],$DD260,9),0)</f>
        <v/>
      </c>
      <c r="L260">
        <f>IFERROR(INDEX(PP_Grid[#Data],$DD260,10),0)</f>
        <v/>
      </c>
      <c r="M260">
        <f>IFERROR(INDEX(PP_Grid[#Data],$DD260,11),0)</f>
        <v/>
      </c>
      <c r="N260">
        <f>IFERROR(INDEX(PP_Grid[#Data],$DD260,12),0)</f>
        <v/>
      </c>
      <c r="O260">
        <f>IFERROR(INDEX(PP_Grid[#Data],$DD260,13),0)</f>
        <v/>
      </c>
      <c r="P260">
        <f>IFERROR(INDEX(PP_Grid[#Data],$DD260,14),0)</f>
        <v/>
      </c>
      <c r="Q260">
        <f>IFERROR(INDEX(PP_Grid[#Data],$DD260,15),0)</f>
        <v/>
      </c>
      <c r="R260">
        <f>IFERROR(INDEX(PP_Grid[#Data],$DD260,16),0)</f>
        <v/>
      </c>
      <c r="S260">
        <f>IFERROR(INDEX(PP_Grid[#Data],$DD260,17),0)</f>
        <v/>
      </c>
      <c r="T260">
        <f>IFERROR(INDEX(PP_Grid[#Data],$DD260,18),0)</f>
        <v/>
      </c>
      <c r="U260">
        <f>IFERROR(INDEX(PP_Grid[#Data],$DD260,19),0)</f>
        <v/>
      </c>
      <c r="V260">
        <f>IFERROR(INDEX(PP_Grid[#Data],$DD260,20),0)</f>
        <v/>
      </c>
      <c r="W260">
        <f>IFERROR(INDEX(PP_Grid[#Data],$DD260,21),0)</f>
        <v/>
      </c>
      <c r="X260">
        <f>IFERROR(INDEX(PP_Grid[#Data],$DD260,22),0)</f>
        <v/>
      </c>
      <c r="Y260">
        <f>IFERROR(INDEX(PP_Grid[#Data],$DD260,23),0)</f>
        <v/>
      </c>
      <c r="Z260">
        <f>IFERROR(INDEX(PP_Grid[#Data],$DD260,24),0)</f>
        <v/>
      </c>
      <c r="AA260">
        <f>IFERROR(INDEX(PP_Grid[#Data],$DD260,25),0)</f>
        <v/>
      </c>
      <c r="AB260">
        <f>IFERROR(INDEX(PP_Grid[#Data],$DD260,26),0)</f>
        <v/>
      </c>
      <c r="AC260">
        <f>IFERROR(INDEX(PP_Grid[#Data],$DD260,27),0)</f>
        <v/>
      </c>
      <c r="AD260">
        <f>IFERROR(INDEX(PP_Grid[#Data],$DD260,28),0)</f>
        <v/>
      </c>
      <c r="AE260">
        <f>IFERROR(INDEX(PP_Grid[#Data],$DD260,29),0)</f>
        <v/>
      </c>
      <c r="AF260">
        <f>IFERROR(INDEX(PP_Grid[#Data],$DD260,30),0)</f>
        <v/>
      </c>
      <c r="AG260">
        <f>IFERROR(INDEX(PP_Grid[#Data],$DD260,31),0)</f>
        <v/>
      </c>
      <c r="AH260">
        <f>IFERROR(INDEX(PP_Grid[#Data],$DD260,32),0)</f>
        <v/>
      </c>
      <c r="AI260">
        <f>IFERROR(INDEX(PP_Grid[#Data],$DD260,33),0)</f>
        <v/>
      </c>
      <c r="AJ260">
        <f>IFERROR(INDEX(PP_Grid[#Data],$DD260,34),0)</f>
        <v/>
      </c>
      <c r="AK260">
        <f>IFERROR(INDEX(PP_Grid[#Data],$DD260,35),0)</f>
        <v/>
      </c>
      <c r="AL260">
        <f>IFERROR(INDEX(PP_Grid[#Data],$DD260,36),0)</f>
        <v/>
      </c>
      <c r="AM260">
        <f>IFERROR(INDEX(PP_Grid[#Data],$DD260,37),0)</f>
        <v/>
      </c>
      <c r="AN260">
        <f>IFERROR(INDEX(PP_Grid[#Data],$DD260,38),0)</f>
        <v/>
      </c>
      <c r="AO260">
        <f>IFERROR(INDEX(PP_Grid[#Data],$DD260,39),0)</f>
        <v/>
      </c>
      <c r="AP260">
        <f>IFERROR(INDEX(PP_Grid[#Data],$DD260,40),0)</f>
        <v/>
      </c>
      <c r="AQ260">
        <f>IFERROR(INDEX(PP_Grid[#Data],$DD260,41),0)</f>
        <v/>
      </c>
      <c r="AR260">
        <f>IFERROR(INDEX(PP_Grid[#Data],$DD260,42),0)</f>
        <v/>
      </c>
      <c r="AS260">
        <f>IFERROR(INDEX(PP_Grid[#Data],$DD260,43),0)</f>
        <v/>
      </c>
      <c r="AT260">
        <f>IFERROR(INDEX(PP_Grid[#Data],$DD260,44),0)</f>
        <v/>
      </c>
      <c r="AU260">
        <f>IFERROR(INDEX(PP_Grid[#Data],$DD260,45),0)</f>
        <v/>
      </c>
      <c r="AV260">
        <f>IFERROR(INDEX(PP_Grid[#Data],$DD260,46),0)</f>
        <v/>
      </c>
      <c r="AW260">
        <f>IFERROR(INDEX(PP_Grid[#Data],$DD260,47),0)</f>
        <v/>
      </c>
      <c r="AX260">
        <f>IFERROR(INDEX(PP_Grid[#Data],$DD260,48),0)</f>
        <v/>
      </c>
      <c r="AY260">
        <f>IFERROR(INDEX(PP_Grid[#Data],$DD260,49),0)</f>
        <v/>
      </c>
      <c r="AZ260">
        <f>IFERROR(INDEX(PP_Grid[#Data],$DD260,50),0)</f>
        <v/>
      </c>
      <c r="BA260">
        <f>IFERROR(INDEX(PP_Grid[#Data],$DD260,51),0)</f>
        <v/>
      </c>
      <c r="BB260">
        <f>IFERROR(INDEX(PP_Grid[#Data],$DD260,52),0)</f>
        <v/>
      </c>
      <c r="BC260">
        <f>IFERROR(INDEX(PP_Grid[#Data],$DD260,53),0)</f>
        <v/>
      </c>
      <c r="BD260">
        <f>IFERROR(INDEX(PP_Grid[#Data],$DD260,54),0)</f>
        <v/>
      </c>
      <c r="BE260">
        <f>IFERROR(INDEX(PP_Grid[#Data],$DD260,55),0)</f>
        <v/>
      </c>
      <c r="BF260">
        <f>IFERROR(INDEX(PP_Grid[#Data],$DD260,56),0)</f>
        <v/>
      </c>
      <c r="BG260">
        <f>IFERROR(INDEX(PP_Grid[#Data],$DD260,57),0)</f>
        <v/>
      </c>
      <c r="BH260">
        <f>IFERROR(INDEX(PP_Grid[#Data],$DD260,58),0)</f>
        <v/>
      </c>
      <c r="BI260">
        <f>IFERROR(INDEX(PP_Grid[#Data],$DD260,59),0)</f>
        <v/>
      </c>
      <c r="BJ260">
        <f>IFERROR(INDEX(PP_Grid[#Data],$DD260,60),0)</f>
        <v/>
      </c>
      <c r="BK260">
        <f>IFERROR(INDEX(PP_Grid[#Data],$DD260,61),0)</f>
        <v/>
      </c>
      <c r="BL260">
        <f>IFERROR(INDEX(PP_Grid[#Data],$DD260,62),0)</f>
        <v/>
      </c>
      <c r="BM260">
        <f>IFERROR(INDEX(PP_Grid[#Data],$DD260,63),0)</f>
        <v/>
      </c>
      <c r="BN260">
        <f>IFERROR(INDEX(PP_Grid[#Data],$DD260,64),0)</f>
        <v/>
      </c>
      <c r="BO260">
        <f>IFERROR(INDEX(PP_Grid[#Data],$DD260,65),0)</f>
        <v/>
      </c>
      <c r="BP260">
        <f>IFERROR(INDEX(PP_Grid[#Data],$DD260,66),0)</f>
        <v/>
      </c>
      <c r="BQ260">
        <f>IFERROR(INDEX(PP_Grid[#Data],$DD260,67),0)</f>
        <v/>
      </c>
      <c r="BR260">
        <f>IFERROR(INDEX(PP_Grid[#Data],$DD260,68),0)</f>
        <v/>
      </c>
      <c r="BS260">
        <f>IFERROR(INDEX(PP_Grid[#Data],$DD260,69),0)</f>
        <v/>
      </c>
      <c r="BT260">
        <f>IFERROR(INDEX(PP_Grid[#Data],$DD260,70),0)</f>
        <v/>
      </c>
      <c r="BU260">
        <f>IFERROR(INDEX(PP_Grid[#Data],$DD260,71),0)</f>
        <v/>
      </c>
      <c r="BV260">
        <f>IFERROR(INDEX(PP_Grid[#Data],$DD260,72),0)</f>
        <v/>
      </c>
      <c r="BW260">
        <f>IFERROR(INDEX(PP_Grid[#Data],$DD260,73),0)</f>
        <v/>
      </c>
      <c r="BX260">
        <f>IFERROR(INDEX(PP_Grid[#Data],$DD260,74),0)</f>
        <v/>
      </c>
      <c r="BY260">
        <f>IFERROR(INDEX(PP_Grid[#Data],$DD260,75),0)</f>
        <v/>
      </c>
      <c r="BZ260">
        <f>IFERROR(INDEX(PP_Grid[#Data],$DD260,76),0)</f>
        <v/>
      </c>
      <c r="CA260">
        <f>IFERROR(INDEX(PP_Grid[#Data],$DD260,77),0)</f>
        <v/>
      </c>
      <c r="CB260">
        <f>IFERROR(INDEX(PP_Grid[#Data],$DD260,78),0)</f>
        <v/>
      </c>
      <c r="CC260">
        <f>IFERROR(INDEX(PP_Grid[#Data],$DD260,79),0)</f>
        <v/>
      </c>
      <c r="CD260">
        <f>IFERROR(INDEX(PP_Grid[#Data],$DD260,80),0)</f>
        <v/>
      </c>
      <c r="CE260">
        <f>IFERROR(INDEX(PP_Grid[#Data],$DD260,81),0)</f>
        <v/>
      </c>
      <c r="CF260">
        <f>IFERROR(INDEX(PP_Grid[#Data],$DD260,82),0)</f>
        <v/>
      </c>
      <c r="CG260">
        <f>IFERROR(INDEX(PP_Grid[#Data],$DD260,83),0)</f>
        <v/>
      </c>
      <c r="CH260">
        <f>IFERROR(INDEX(PP_Grid[#Data],$DD260,84),0)</f>
        <v/>
      </c>
      <c r="CI260">
        <f>IFERROR(INDEX(PP_Grid[#Data],$DD260,85),0)</f>
        <v/>
      </c>
      <c r="CJ260">
        <f>IFERROR(INDEX(PP_Grid[#Data],$DD260,86),0)</f>
        <v/>
      </c>
      <c r="CK260">
        <f>IFERROR(INDEX(PP_Grid[#Data],$DD260,87),0)</f>
        <v/>
      </c>
      <c r="CL260">
        <f>IFERROR(INDEX(PP_Grid[#Data],$DD260,88),0)</f>
        <v/>
      </c>
      <c r="CM260">
        <f>IFERROR(INDEX(PP_Grid[#Data],$DD260,89),0)</f>
        <v/>
      </c>
      <c r="CN260">
        <f>IFERROR(INDEX(PP_Grid[#Data],$DD260,90),0)</f>
        <v/>
      </c>
      <c r="CO260">
        <f>IFERROR(INDEX(PP_Grid[#Data],$DD260,91),0)</f>
        <v/>
      </c>
      <c r="CP260">
        <f>IFERROR(INDEX(PP_Grid[#Data],$DD260,92),0)</f>
        <v/>
      </c>
      <c r="CQ260">
        <f>IFERROR(INDEX(PP_Grid[#Data],$DD260,93),0)</f>
        <v/>
      </c>
      <c r="CR260">
        <f>IFERROR(INDEX(PP_Grid[#Data],$DD260,94),0)</f>
        <v/>
      </c>
      <c r="CS260">
        <f>IFERROR(INDEX(PP_Grid[#Data],$DD260,95),0)</f>
        <v/>
      </c>
      <c r="CT260">
        <f>IFERROR(INDEX(PP_Grid[#Data],$DD260,96),0)</f>
        <v/>
      </c>
      <c r="CU260">
        <f>IFERROR(INDEX(PP_Grid[#Data],$DD260,97),0)</f>
        <v/>
      </c>
      <c r="CV260">
        <f>IFERROR(INDEX(PP_Grid[#Data],$DD260,98),0)</f>
        <v/>
      </c>
      <c r="CW260">
        <f>IFERROR(INDEX(PP_Grid[#Data],$DD260,99),0)</f>
        <v/>
      </c>
      <c r="CX260">
        <f>IFERROR(INDEX(PP_Grid[#Data],$DD260,100),0)</f>
        <v/>
      </c>
      <c r="CY260">
        <f>IFERROR(INDEX(PP_Grid[#Data],$DD260,101),0)</f>
        <v/>
      </c>
      <c r="CZ260">
        <f>IFERROR(INDEX(PP_Grid[#Data],$DD260,102),0)</f>
        <v/>
      </c>
      <c r="DA260">
        <f>IFERROR(INDEX(PP_Grid[#Data],$DD260,103),0)</f>
        <v/>
      </c>
      <c r="DB260">
        <f>IFERROR(INDEX(PP_Grid[#Data],$DD260,104),0)</f>
        <v/>
      </c>
      <c r="DC260">
        <f>IFERROR(INDEX(PP_Grid[#Data],$DD260,105),0)</f>
        <v/>
      </c>
      <c r="DD260" s="7">
        <f>IFERROR(MATCH($B260,PP_Grid[Intermediate],0),99999)</f>
        <v/>
      </c>
    </row>
    <row r="261">
      <c r="B261" t="inlineStr">
        <is>
          <t>使用量(kg)</t>
        </is>
      </c>
      <c r="C261">
        <f>SUMIFS(M_BOM[RM_Qty_Per_Batch],M_BOM[Intermediate],$B260,M_BOM[Part Name],$A219)</f>
        <v/>
      </c>
      <c r="D261">
        <f>$C261*D260</f>
        <v/>
      </c>
      <c r="E261">
        <f>$C261*E260</f>
        <v/>
      </c>
      <c r="F261">
        <f>$C261*F260</f>
        <v/>
      </c>
      <c r="G261">
        <f>$C261*G260</f>
        <v/>
      </c>
      <c r="H261">
        <f>$C261*H260</f>
        <v/>
      </c>
      <c r="I261">
        <f>$C261*I260</f>
        <v/>
      </c>
      <c r="J261">
        <f>$C261*J260</f>
        <v/>
      </c>
      <c r="K261">
        <f>$C261*K260</f>
        <v/>
      </c>
      <c r="L261">
        <f>$C261*L260</f>
        <v/>
      </c>
      <c r="M261">
        <f>$C261*M260</f>
        <v/>
      </c>
      <c r="N261">
        <f>$C261*N260</f>
        <v/>
      </c>
      <c r="O261">
        <f>$C261*O260</f>
        <v/>
      </c>
      <c r="P261">
        <f>$C261*P260</f>
        <v/>
      </c>
      <c r="Q261">
        <f>$C261*Q260</f>
        <v/>
      </c>
      <c r="R261">
        <f>$C261*R260</f>
        <v/>
      </c>
      <c r="S261">
        <f>$C261*S260</f>
        <v/>
      </c>
      <c r="T261">
        <f>$C261*T260</f>
        <v/>
      </c>
      <c r="U261">
        <f>$C261*U260</f>
        <v/>
      </c>
      <c r="V261">
        <f>$C261*V260</f>
        <v/>
      </c>
      <c r="W261">
        <f>$C261*W260</f>
        <v/>
      </c>
      <c r="X261">
        <f>$C261*X260</f>
        <v/>
      </c>
      <c r="Y261">
        <f>$C261*Y260</f>
        <v/>
      </c>
      <c r="Z261">
        <f>$C261*Z260</f>
        <v/>
      </c>
      <c r="AA261">
        <f>$C261*AA260</f>
        <v/>
      </c>
      <c r="AB261">
        <f>$C261*AB260</f>
        <v/>
      </c>
      <c r="AC261">
        <f>$C261*AC260</f>
        <v/>
      </c>
      <c r="AD261">
        <f>$C261*AD260</f>
        <v/>
      </c>
      <c r="AE261">
        <f>$C261*AE260</f>
        <v/>
      </c>
      <c r="AF261">
        <f>$C261*AF260</f>
        <v/>
      </c>
      <c r="AG261">
        <f>$C261*AG260</f>
        <v/>
      </c>
      <c r="AH261">
        <f>$C261*AH260</f>
        <v/>
      </c>
      <c r="AI261">
        <f>$C261*AI260</f>
        <v/>
      </c>
      <c r="AJ261">
        <f>$C261*AJ260</f>
        <v/>
      </c>
      <c r="AK261">
        <f>$C261*AK260</f>
        <v/>
      </c>
      <c r="AL261">
        <f>$C261*AL260</f>
        <v/>
      </c>
      <c r="AM261">
        <f>$C261*AM260</f>
        <v/>
      </c>
      <c r="AN261">
        <f>$C261*AN260</f>
        <v/>
      </c>
      <c r="AO261">
        <f>$C261*AO260</f>
        <v/>
      </c>
      <c r="AP261">
        <f>$C261*AP260</f>
        <v/>
      </c>
      <c r="AQ261">
        <f>$C261*AQ260</f>
        <v/>
      </c>
      <c r="AR261">
        <f>$C261*AR260</f>
        <v/>
      </c>
      <c r="AS261">
        <f>$C261*AS260</f>
        <v/>
      </c>
      <c r="AT261">
        <f>$C261*AT260</f>
        <v/>
      </c>
      <c r="AU261">
        <f>$C261*AU260</f>
        <v/>
      </c>
      <c r="AV261">
        <f>$C261*AV260</f>
        <v/>
      </c>
      <c r="AW261">
        <f>$C261*AW260</f>
        <v/>
      </c>
      <c r="AX261">
        <f>$C261*AX260</f>
        <v/>
      </c>
      <c r="AY261">
        <f>$C261*AY260</f>
        <v/>
      </c>
      <c r="AZ261">
        <f>$C261*AZ260</f>
        <v/>
      </c>
      <c r="BA261">
        <f>$C261*BA260</f>
        <v/>
      </c>
      <c r="BB261">
        <f>$C261*BB260</f>
        <v/>
      </c>
      <c r="BC261">
        <f>$C261*BC260</f>
        <v/>
      </c>
      <c r="BD261">
        <f>$C261*BD260</f>
        <v/>
      </c>
      <c r="BE261">
        <f>$C261*BE260</f>
        <v/>
      </c>
      <c r="BF261">
        <f>$C261*BF260</f>
        <v/>
      </c>
      <c r="BG261">
        <f>$C261*BG260</f>
        <v/>
      </c>
      <c r="BH261">
        <f>$C261*BH260</f>
        <v/>
      </c>
      <c r="BI261">
        <f>$C261*BI260</f>
        <v/>
      </c>
      <c r="BJ261">
        <f>$C261*BJ260</f>
        <v/>
      </c>
      <c r="BK261">
        <f>$C261*BK260</f>
        <v/>
      </c>
      <c r="BL261">
        <f>$C261*BL260</f>
        <v/>
      </c>
      <c r="BM261">
        <f>$C261*BM260</f>
        <v/>
      </c>
      <c r="BN261">
        <f>$C261*BN260</f>
        <v/>
      </c>
      <c r="BO261">
        <f>$C261*BO260</f>
        <v/>
      </c>
      <c r="BP261">
        <f>$C261*BP260</f>
        <v/>
      </c>
      <c r="BQ261">
        <f>$C261*BQ260</f>
        <v/>
      </c>
      <c r="BR261">
        <f>$C261*BR260</f>
        <v/>
      </c>
      <c r="BS261">
        <f>$C261*BS260</f>
        <v/>
      </c>
      <c r="BT261">
        <f>$C261*BT260</f>
        <v/>
      </c>
      <c r="BU261">
        <f>$C261*BU260</f>
        <v/>
      </c>
      <c r="BV261">
        <f>$C261*BV260</f>
        <v/>
      </c>
      <c r="BW261">
        <f>$C261*BW260</f>
        <v/>
      </c>
      <c r="BX261">
        <f>$C261*BX260</f>
        <v/>
      </c>
      <c r="BY261">
        <f>$C261*BY260</f>
        <v/>
      </c>
      <c r="BZ261">
        <f>$C261*BZ260</f>
        <v/>
      </c>
      <c r="CA261">
        <f>$C261*CA260</f>
        <v/>
      </c>
      <c r="CB261">
        <f>$C261*CB260</f>
        <v/>
      </c>
      <c r="CC261">
        <f>$C261*CC260</f>
        <v/>
      </c>
      <c r="CD261">
        <f>$C261*CD260</f>
        <v/>
      </c>
      <c r="CE261">
        <f>$C261*CE260</f>
        <v/>
      </c>
      <c r="CF261">
        <f>$C261*CF260</f>
        <v/>
      </c>
      <c r="CG261">
        <f>$C261*CG260</f>
        <v/>
      </c>
      <c r="CH261">
        <f>$C261*CH260</f>
        <v/>
      </c>
      <c r="CI261">
        <f>$C261*CI260</f>
        <v/>
      </c>
      <c r="CJ261">
        <f>$C261*CJ260</f>
        <v/>
      </c>
      <c r="CK261">
        <f>$C261*CK260</f>
        <v/>
      </c>
      <c r="CL261">
        <f>$C261*CL260</f>
        <v/>
      </c>
      <c r="CM261">
        <f>$C261*CM260</f>
        <v/>
      </c>
      <c r="CN261">
        <f>$C261*CN260</f>
        <v/>
      </c>
      <c r="CO261">
        <f>$C261*CO260</f>
        <v/>
      </c>
      <c r="CP261">
        <f>$C261*CP260</f>
        <v/>
      </c>
      <c r="CQ261">
        <f>$C261*CQ260</f>
        <v/>
      </c>
      <c r="CR261">
        <f>$C261*CR260</f>
        <v/>
      </c>
      <c r="CS261">
        <f>$C261*CS260</f>
        <v/>
      </c>
      <c r="CT261">
        <f>$C261*CT260</f>
        <v/>
      </c>
      <c r="CU261">
        <f>$C261*CU260</f>
        <v/>
      </c>
      <c r="CV261">
        <f>$C261*CV260</f>
        <v/>
      </c>
      <c r="CW261">
        <f>$C261*CW260</f>
        <v/>
      </c>
      <c r="CX261">
        <f>$C261*CX260</f>
        <v/>
      </c>
      <c r="CY261">
        <f>$C261*CY260</f>
        <v/>
      </c>
      <c r="CZ261">
        <f>$C261*CZ260</f>
        <v/>
      </c>
      <c r="DA261">
        <f>$C261*DA260</f>
        <v/>
      </c>
      <c r="DB261">
        <f>$C261*DB260</f>
        <v/>
      </c>
      <c r="DC261">
        <f>$C261*DC260</f>
        <v/>
      </c>
    </row>
    <row r="262">
      <c r="B262" t="inlineStr">
        <is>
          <t>TSP-710</t>
        </is>
      </c>
      <c r="C262" t="inlineStr">
        <is>
          <t>No. of batches</t>
        </is>
      </c>
      <c r="D262">
        <f>IFERROR(INDEX(PP_Grid[#Data],$DD262,2),0)</f>
        <v/>
      </c>
      <c r="E262">
        <f>IFERROR(INDEX(PP_Grid[#Data],$DD262,3),0)</f>
        <v/>
      </c>
      <c r="F262">
        <f>IFERROR(INDEX(PP_Grid[#Data],$DD262,4),0)</f>
        <v/>
      </c>
      <c r="G262">
        <f>IFERROR(INDEX(PP_Grid[#Data],$DD262,5),0)</f>
        <v/>
      </c>
      <c r="H262">
        <f>IFERROR(INDEX(PP_Grid[#Data],$DD262,6),0)</f>
        <v/>
      </c>
      <c r="I262">
        <f>IFERROR(INDEX(PP_Grid[#Data],$DD262,7),0)</f>
        <v/>
      </c>
      <c r="J262">
        <f>IFERROR(INDEX(PP_Grid[#Data],$DD262,8),0)</f>
        <v/>
      </c>
      <c r="K262">
        <f>IFERROR(INDEX(PP_Grid[#Data],$DD262,9),0)</f>
        <v/>
      </c>
      <c r="L262">
        <f>IFERROR(INDEX(PP_Grid[#Data],$DD262,10),0)</f>
        <v/>
      </c>
      <c r="M262">
        <f>IFERROR(INDEX(PP_Grid[#Data],$DD262,11),0)</f>
        <v/>
      </c>
      <c r="N262">
        <f>IFERROR(INDEX(PP_Grid[#Data],$DD262,12),0)</f>
        <v/>
      </c>
      <c r="O262">
        <f>IFERROR(INDEX(PP_Grid[#Data],$DD262,13),0)</f>
        <v/>
      </c>
      <c r="P262">
        <f>IFERROR(INDEX(PP_Grid[#Data],$DD262,14),0)</f>
        <v/>
      </c>
      <c r="Q262">
        <f>IFERROR(INDEX(PP_Grid[#Data],$DD262,15),0)</f>
        <v/>
      </c>
      <c r="R262">
        <f>IFERROR(INDEX(PP_Grid[#Data],$DD262,16),0)</f>
        <v/>
      </c>
      <c r="S262">
        <f>IFERROR(INDEX(PP_Grid[#Data],$DD262,17),0)</f>
        <v/>
      </c>
      <c r="T262">
        <f>IFERROR(INDEX(PP_Grid[#Data],$DD262,18),0)</f>
        <v/>
      </c>
      <c r="U262">
        <f>IFERROR(INDEX(PP_Grid[#Data],$DD262,19),0)</f>
        <v/>
      </c>
      <c r="V262">
        <f>IFERROR(INDEX(PP_Grid[#Data],$DD262,20),0)</f>
        <v/>
      </c>
      <c r="W262">
        <f>IFERROR(INDEX(PP_Grid[#Data],$DD262,21),0)</f>
        <v/>
      </c>
      <c r="X262">
        <f>IFERROR(INDEX(PP_Grid[#Data],$DD262,22),0)</f>
        <v/>
      </c>
      <c r="Y262">
        <f>IFERROR(INDEX(PP_Grid[#Data],$DD262,23),0)</f>
        <v/>
      </c>
      <c r="Z262">
        <f>IFERROR(INDEX(PP_Grid[#Data],$DD262,24),0)</f>
        <v/>
      </c>
      <c r="AA262">
        <f>IFERROR(INDEX(PP_Grid[#Data],$DD262,25),0)</f>
        <v/>
      </c>
      <c r="AB262">
        <f>IFERROR(INDEX(PP_Grid[#Data],$DD262,26),0)</f>
        <v/>
      </c>
      <c r="AC262">
        <f>IFERROR(INDEX(PP_Grid[#Data],$DD262,27),0)</f>
        <v/>
      </c>
      <c r="AD262">
        <f>IFERROR(INDEX(PP_Grid[#Data],$DD262,28),0)</f>
        <v/>
      </c>
      <c r="AE262">
        <f>IFERROR(INDEX(PP_Grid[#Data],$DD262,29),0)</f>
        <v/>
      </c>
      <c r="AF262">
        <f>IFERROR(INDEX(PP_Grid[#Data],$DD262,30),0)</f>
        <v/>
      </c>
      <c r="AG262">
        <f>IFERROR(INDEX(PP_Grid[#Data],$DD262,31),0)</f>
        <v/>
      </c>
      <c r="AH262">
        <f>IFERROR(INDEX(PP_Grid[#Data],$DD262,32),0)</f>
        <v/>
      </c>
      <c r="AI262">
        <f>IFERROR(INDEX(PP_Grid[#Data],$DD262,33),0)</f>
        <v/>
      </c>
      <c r="AJ262">
        <f>IFERROR(INDEX(PP_Grid[#Data],$DD262,34),0)</f>
        <v/>
      </c>
      <c r="AK262">
        <f>IFERROR(INDEX(PP_Grid[#Data],$DD262,35),0)</f>
        <v/>
      </c>
      <c r="AL262">
        <f>IFERROR(INDEX(PP_Grid[#Data],$DD262,36),0)</f>
        <v/>
      </c>
      <c r="AM262">
        <f>IFERROR(INDEX(PP_Grid[#Data],$DD262,37),0)</f>
        <v/>
      </c>
      <c r="AN262">
        <f>IFERROR(INDEX(PP_Grid[#Data],$DD262,38),0)</f>
        <v/>
      </c>
      <c r="AO262">
        <f>IFERROR(INDEX(PP_Grid[#Data],$DD262,39),0)</f>
        <v/>
      </c>
      <c r="AP262">
        <f>IFERROR(INDEX(PP_Grid[#Data],$DD262,40),0)</f>
        <v/>
      </c>
      <c r="AQ262">
        <f>IFERROR(INDEX(PP_Grid[#Data],$DD262,41),0)</f>
        <v/>
      </c>
      <c r="AR262">
        <f>IFERROR(INDEX(PP_Grid[#Data],$DD262,42),0)</f>
        <v/>
      </c>
      <c r="AS262">
        <f>IFERROR(INDEX(PP_Grid[#Data],$DD262,43),0)</f>
        <v/>
      </c>
      <c r="AT262">
        <f>IFERROR(INDEX(PP_Grid[#Data],$DD262,44),0)</f>
        <v/>
      </c>
      <c r="AU262">
        <f>IFERROR(INDEX(PP_Grid[#Data],$DD262,45),0)</f>
        <v/>
      </c>
      <c r="AV262">
        <f>IFERROR(INDEX(PP_Grid[#Data],$DD262,46),0)</f>
        <v/>
      </c>
      <c r="AW262">
        <f>IFERROR(INDEX(PP_Grid[#Data],$DD262,47),0)</f>
        <v/>
      </c>
      <c r="AX262">
        <f>IFERROR(INDEX(PP_Grid[#Data],$DD262,48),0)</f>
        <v/>
      </c>
      <c r="AY262">
        <f>IFERROR(INDEX(PP_Grid[#Data],$DD262,49),0)</f>
        <v/>
      </c>
      <c r="AZ262">
        <f>IFERROR(INDEX(PP_Grid[#Data],$DD262,50),0)</f>
        <v/>
      </c>
      <c r="BA262">
        <f>IFERROR(INDEX(PP_Grid[#Data],$DD262,51),0)</f>
        <v/>
      </c>
      <c r="BB262">
        <f>IFERROR(INDEX(PP_Grid[#Data],$DD262,52),0)</f>
        <v/>
      </c>
      <c r="BC262">
        <f>IFERROR(INDEX(PP_Grid[#Data],$DD262,53),0)</f>
        <v/>
      </c>
      <c r="BD262">
        <f>IFERROR(INDEX(PP_Grid[#Data],$DD262,54),0)</f>
        <v/>
      </c>
      <c r="BE262">
        <f>IFERROR(INDEX(PP_Grid[#Data],$DD262,55),0)</f>
        <v/>
      </c>
      <c r="BF262">
        <f>IFERROR(INDEX(PP_Grid[#Data],$DD262,56),0)</f>
        <v/>
      </c>
      <c r="BG262">
        <f>IFERROR(INDEX(PP_Grid[#Data],$DD262,57),0)</f>
        <v/>
      </c>
      <c r="BH262">
        <f>IFERROR(INDEX(PP_Grid[#Data],$DD262,58),0)</f>
        <v/>
      </c>
      <c r="BI262">
        <f>IFERROR(INDEX(PP_Grid[#Data],$DD262,59),0)</f>
        <v/>
      </c>
      <c r="BJ262">
        <f>IFERROR(INDEX(PP_Grid[#Data],$DD262,60),0)</f>
        <v/>
      </c>
      <c r="BK262">
        <f>IFERROR(INDEX(PP_Grid[#Data],$DD262,61),0)</f>
        <v/>
      </c>
      <c r="BL262">
        <f>IFERROR(INDEX(PP_Grid[#Data],$DD262,62),0)</f>
        <v/>
      </c>
      <c r="BM262">
        <f>IFERROR(INDEX(PP_Grid[#Data],$DD262,63),0)</f>
        <v/>
      </c>
      <c r="BN262">
        <f>IFERROR(INDEX(PP_Grid[#Data],$DD262,64),0)</f>
        <v/>
      </c>
      <c r="BO262">
        <f>IFERROR(INDEX(PP_Grid[#Data],$DD262,65),0)</f>
        <v/>
      </c>
      <c r="BP262">
        <f>IFERROR(INDEX(PP_Grid[#Data],$DD262,66),0)</f>
        <v/>
      </c>
      <c r="BQ262">
        <f>IFERROR(INDEX(PP_Grid[#Data],$DD262,67),0)</f>
        <v/>
      </c>
      <c r="BR262">
        <f>IFERROR(INDEX(PP_Grid[#Data],$DD262,68),0)</f>
        <v/>
      </c>
      <c r="BS262">
        <f>IFERROR(INDEX(PP_Grid[#Data],$DD262,69),0)</f>
        <v/>
      </c>
      <c r="BT262">
        <f>IFERROR(INDEX(PP_Grid[#Data],$DD262,70),0)</f>
        <v/>
      </c>
      <c r="BU262">
        <f>IFERROR(INDEX(PP_Grid[#Data],$DD262,71),0)</f>
        <v/>
      </c>
      <c r="BV262">
        <f>IFERROR(INDEX(PP_Grid[#Data],$DD262,72),0)</f>
        <v/>
      </c>
      <c r="BW262">
        <f>IFERROR(INDEX(PP_Grid[#Data],$DD262,73),0)</f>
        <v/>
      </c>
      <c r="BX262">
        <f>IFERROR(INDEX(PP_Grid[#Data],$DD262,74),0)</f>
        <v/>
      </c>
      <c r="BY262">
        <f>IFERROR(INDEX(PP_Grid[#Data],$DD262,75),0)</f>
        <v/>
      </c>
      <c r="BZ262">
        <f>IFERROR(INDEX(PP_Grid[#Data],$DD262,76),0)</f>
        <v/>
      </c>
      <c r="CA262">
        <f>IFERROR(INDEX(PP_Grid[#Data],$DD262,77),0)</f>
        <v/>
      </c>
      <c r="CB262">
        <f>IFERROR(INDEX(PP_Grid[#Data],$DD262,78),0)</f>
        <v/>
      </c>
      <c r="CC262">
        <f>IFERROR(INDEX(PP_Grid[#Data],$DD262,79),0)</f>
        <v/>
      </c>
      <c r="CD262">
        <f>IFERROR(INDEX(PP_Grid[#Data],$DD262,80),0)</f>
        <v/>
      </c>
      <c r="CE262">
        <f>IFERROR(INDEX(PP_Grid[#Data],$DD262,81),0)</f>
        <v/>
      </c>
      <c r="CF262">
        <f>IFERROR(INDEX(PP_Grid[#Data],$DD262,82),0)</f>
        <v/>
      </c>
      <c r="CG262">
        <f>IFERROR(INDEX(PP_Grid[#Data],$DD262,83),0)</f>
        <v/>
      </c>
      <c r="CH262">
        <f>IFERROR(INDEX(PP_Grid[#Data],$DD262,84),0)</f>
        <v/>
      </c>
      <c r="CI262">
        <f>IFERROR(INDEX(PP_Grid[#Data],$DD262,85),0)</f>
        <v/>
      </c>
      <c r="CJ262">
        <f>IFERROR(INDEX(PP_Grid[#Data],$DD262,86),0)</f>
        <v/>
      </c>
      <c r="CK262">
        <f>IFERROR(INDEX(PP_Grid[#Data],$DD262,87),0)</f>
        <v/>
      </c>
      <c r="CL262">
        <f>IFERROR(INDEX(PP_Grid[#Data],$DD262,88),0)</f>
        <v/>
      </c>
      <c r="CM262">
        <f>IFERROR(INDEX(PP_Grid[#Data],$DD262,89),0)</f>
        <v/>
      </c>
      <c r="CN262">
        <f>IFERROR(INDEX(PP_Grid[#Data],$DD262,90),0)</f>
        <v/>
      </c>
      <c r="CO262">
        <f>IFERROR(INDEX(PP_Grid[#Data],$DD262,91),0)</f>
        <v/>
      </c>
      <c r="CP262">
        <f>IFERROR(INDEX(PP_Grid[#Data],$DD262,92),0)</f>
        <v/>
      </c>
      <c r="CQ262">
        <f>IFERROR(INDEX(PP_Grid[#Data],$DD262,93),0)</f>
        <v/>
      </c>
      <c r="CR262">
        <f>IFERROR(INDEX(PP_Grid[#Data],$DD262,94),0)</f>
        <v/>
      </c>
      <c r="CS262">
        <f>IFERROR(INDEX(PP_Grid[#Data],$DD262,95),0)</f>
        <v/>
      </c>
      <c r="CT262">
        <f>IFERROR(INDEX(PP_Grid[#Data],$DD262,96),0)</f>
        <v/>
      </c>
      <c r="CU262">
        <f>IFERROR(INDEX(PP_Grid[#Data],$DD262,97),0)</f>
        <v/>
      </c>
      <c r="CV262">
        <f>IFERROR(INDEX(PP_Grid[#Data],$DD262,98),0)</f>
        <v/>
      </c>
      <c r="CW262">
        <f>IFERROR(INDEX(PP_Grid[#Data],$DD262,99),0)</f>
        <v/>
      </c>
      <c r="CX262">
        <f>IFERROR(INDEX(PP_Grid[#Data],$DD262,100),0)</f>
        <v/>
      </c>
      <c r="CY262">
        <f>IFERROR(INDEX(PP_Grid[#Data],$DD262,101),0)</f>
        <v/>
      </c>
      <c r="CZ262">
        <f>IFERROR(INDEX(PP_Grid[#Data],$DD262,102),0)</f>
        <v/>
      </c>
      <c r="DA262">
        <f>IFERROR(INDEX(PP_Grid[#Data],$DD262,103),0)</f>
        <v/>
      </c>
      <c r="DB262">
        <f>IFERROR(INDEX(PP_Grid[#Data],$DD262,104),0)</f>
        <v/>
      </c>
      <c r="DC262">
        <f>IFERROR(INDEX(PP_Grid[#Data],$DD262,105),0)</f>
        <v/>
      </c>
      <c r="DD262" s="7">
        <f>IFERROR(MATCH($B262,PP_Grid[Intermediate],0),99999)</f>
        <v/>
      </c>
    </row>
    <row r="263">
      <c r="B263" t="inlineStr">
        <is>
          <t>使用量(kg)</t>
        </is>
      </c>
      <c r="C263">
        <f>SUMIFS(M_BOM[RM_Qty_Per_Batch],M_BOM[Intermediate],$B262,M_BOM[Part Name],$A219)</f>
        <v/>
      </c>
      <c r="D263">
        <f>$C263*D262</f>
        <v/>
      </c>
      <c r="E263">
        <f>$C263*E262</f>
        <v/>
      </c>
      <c r="F263">
        <f>$C263*F262</f>
        <v/>
      </c>
      <c r="G263">
        <f>$C263*G262</f>
        <v/>
      </c>
      <c r="H263">
        <f>$C263*H262</f>
        <v/>
      </c>
      <c r="I263">
        <f>$C263*I262</f>
        <v/>
      </c>
      <c r="J263">
        <f>$C263*J262</f>
        <v/>
      </c>
      <c r="K263">
        <f>$C263*K262</f>
        <v/>
      </c>
      <c r="L263">
        <f>$C263*L262</f>
        <v/>
      </c>
      <c r="M263">
        <f>$C263*M262</f>
        <v/>
      </c>
      <c r="N263">
        <f>$C263*N262</f>
        <v/>
      </c>
      <c r="O263">
        <f>$C263*O262</f>
        <v/>
      </c>
      <c r="P263">
        <f>$C263*P262</f>
        <v/>
      </c>
      <c r="Q263">
        <f>$C263*Q262</f>
        <v/>
      </c>
      <c r="R263">
        <f>$C263*R262</f>
        <v/>
      </c>
      <c r="S263">
        <f>$C263*S262</f>
        <v/>
      </c>
      <c r="T263">
        <f>$C263*T262</f>
        <v/>
      </c>
      <c r="U263">
        <f>$C263*U262</f>
        <v/>
      </c>
      <c r="V263">
        <f>$C263*V262</f>
        <v/>
      </c>
      <c r="W263">
        <f>$C263*W262</f>
        <v/>
      </c>
      <c r="X263">
        <f>$C263*X262</f>
        <v/>
      </c>
      <c r="Y263">
        <f>$C263*Y262</f>
        <v/>
      </c>
      <c r="Z263">
        <f>$C263*Z262</f>
        <v/>
      </c>
      <c r="AA263">
        <f>$C263*AA262</f>
        <v/>
      </c>
      <c r="AB263">
        <f>$C263*AB262</f>
        <v/>
      </c>
      <c r="AC263">
        <f>$C263*AC262</f>
        <v/>
      </c>
      <c r="AD263">
        <f>$C263*AD262</f>
        <v/>
      </c>
      <c r="AE263">
        <f>$C263*AE262</f>
        <v/>
      </c>
      <c r="AF263">
        <f>$C263*AF262</f>
        <v/>
      </c>
      <c r="AG263">
        <f>$C263*AG262</f>
        <v/>
      </c>
      <c r="AH263">
        <f>$C263*AH262</f>
        <v/>
      </c>
      <c r="AI263">
        <f>$C263*AI262</f>
        <v/>
      </c>
      <c r="AJ263">
        <f>$C263*AJ262</f>
        <v/>
      </c>
      <c r="AK263">
        <f>$C263*AK262</f>
        <v/>
      </c>
      <c r="AL263">
        <f>$C263*AL262</f>
        <v/>
      </c>
      <c r="AM263">
        <f>$C263*AM262</f>
        <v/>
      </c>
      <c r="AN263">
        <f>$C263*AN262</f>
        <v/>
      </c>
      <c r="AO263">
        <f>$C263*AO262</f>
        <v/>
      </c>
      <c r="AP263">
        <f>$C263*AP262</f>
        <v/>
      </c>
      <c r="AQ263">
        <f>$C263*AQ262</f>
        <v/>
      </c>
      <c r="AR263">
        <f>$C263*AR262</f>
        <v/>
      </c>
      <c r="AS263">
        <f>$C263*AS262</f>
        <v/>
      </c>
      <c r="AT263">
        <f>$C263*AT262</f>
        <v/>
      </c>
      <c r="AU263">
        <f>$C263*AU262</f>
        <v/>
      </c>
      <c r="AV263">
        <f>$C263*AV262</f>
        <v/>
      </c>
      <c r="AW263">
        <f>$C263*AW262</f>
        <v/>
      </c>
      <c r="AX263">
        <f>$C263*AX262</f>
        <v/>
      </c>
      <c r="AY263">
        <f>$C263*AY262</f>
        <v/>
      </c>
      <c r="AZ263">
        <f>$C263*AZ262</f>
        <v/>
      </c>
      <c r="BA263">
        <f>$C263*BA262</f>
        <v/>
      </c>
      <c r="BB263">
        <f>$C263*BB262</f>
        <v/>
      </c>
      <c r="BC263">
        <f>$C263*BC262</f>
        <v/>
      </c>
      <c r="BD263">
        <f>$C263*BD262</f>
        <v/>
      </c>
      <c r="BE263">
        <f>$C263*BE262</f>
        <v/>
      </c>
      <c r="BF263">
        <f>$C263*BF262</f>
        <v/>
      </c>
      <c r="BG263">
        <f>$C263*BG262</f>
        <v/>
      </c>
      <c r="BH263">
        <f>$C263*BH262</f>
        <v/>
      </c>
      <c r="BI263">
        <f>$C263*BI262</f>
        <v/>
      </c>
      <c r="BJ263">
        <f>$C263*BJ262</f>
        <v/>
      </c>
      <c r="BK263">
        <f>$C263*BK262</f>
        <v/>
      </c>
      <c r="BL263">
        <f>$C263*BL262</f>
        <v/>
      </c>
      <c r="BM263">
        <f>$C263*BM262</f>
        <v/>
      </c>
      <c r="BN263">
        <f>$C263*BN262</f>
        <v/>
      </c>
      <c r="BO263">
        <f>$C263*BO262</f>
        <v/>
      </c>
      <c r="BP263">
        <f>$C263*BP262</f>
        <v/>
      </c>
      <c r="BQ263">
        <f>$C263*BQ262</f>
        <v/>
      </c>
      <c r="BR263">
        <f>$C263*BR262</f>
        <v/>
      </c>
      <c r="BS263">
        <f>$C263*BS262</f>
        <v/>
      </c>
      <c r="BT263">
        <f>$C263*BT262</f>
        <v/>
      </c>
      <c r="BU263">
        <f>$C263*BU262</f>
        <v/>
      </c>
      <c r="BV263">
        <f>$C263*BV262</f>
        <v/>
      </c>
      <c r="BW263">
        <f>$C263*BW262</f>
        <v/>
      </c>
      <c r="BX263">
        <f>$C263*BX262</f>
        <v/>
      </c>
      <c r="BY263">
        <f>$C263*BY262</f>
        <v/>
      </c>
      <c r="BZ263">
        <f>$C263*BZ262</f>
        <v/>
      </c>
      <c r="CA263">
        <f>$C263*CA262</f>
        <v/>
      </c>
      <c r="CB263">
        <f>$C263*CB262</f>
        <v/>
      </c>
      <c r="CC263">
        <f>$C263*CC262</f>
        <v/>
      </c>
      <c r="CD263">
        <f>$C263*CD262</f>
        <v/>
      </c>
      <c r="CE263">
        <f>$C263*CE262</f>
        <v/>
      </c>
      <c r="CF263">
        <f>$C263*CF262</f>
        <v/>
      </c>
      <c r="CG263">
        <f>$C263*CG262</f>
        <v/>
      </c>
      <c r="CH263">
        <f>$C263*CH262</f>
        <v/>
      </c>
      <c r="CI263">
        <f>$C263*CI262</f>
        <v/>
      </c>
      <c r="CJ263">
        <f>$C263*CJ262</f>
        <v/>
      </c>
      <c r="CK263">
        <f>$C263*CK262</f>
        <v/>
      </c>
      <c r="CL263">
        <f>$C263*CL262</f>
        <v/>
      </c>
      <c r="CM263">
        <f>$C263*CM262</f>
        <v/>
      </c>
      <c r="CN263">
        <f>$C263*CN262</f>
        <v/>
      </c>
      <c r="CO263">
        <f>$C263*CO262</f>
        <v/>
      </c>
      <c r="CP263">
        <f>$C263*CP262</f>
        <v/>
      </c>
      <c r="CQ263">
        <f>$C263*CQ262</f>
        <v/>
      </c>
      <c r="CR263">
        <f>$C263*CR262</f>
        <v/>
      </c>
      <c r="CS263">
        <f>$C263*CS262</f>
        <v/>
      </c>
      <c r="CT263">
        <f>$C263*CT262</f>
        <v/>
      </c>
      <c r="CU263">
        <f>$C263*CU262</f>
        <v/>
      </c>
      <c r="CV263">
        <f>$C263*CV262</f>
        <v/>
      </c>
      <c r="CW263">
        <f>$C263*CW262</f>
        <v/>
      </c>
      <c r="CX263">
        <f>$C263*CX262</f>
        <v/>
      </c>
      <c r="CY263">
        <f>$C263*CY262</f>
        <v/>
      </c>
      <c r="CZ263">
        <f>$C263*CZ262</f>
        <v/>
      </c>
      <c r="DA263">
        <f>$C263*DA262</f>
        <v/>
      </c>
      <c r="DB263">
        <f>$C263*DB262</f>
        <v/>
      </c>
      <c r="DC263">
        <f>$C263*DC262</f>
        <v/>
      </c>
    </row>
    <row r="264">
      <c r="B264" t="inlineStr">
        <is>
          <t>TSP-828</t>
        </is>
      </c>
      <c r="C264" t="inlineStr">
        <is>
          <t>No. of batches</t>
        </is>
      </c>
      <c r="D264">
        <f>IFERROR(INDEX(PP_Grid[#Data],$DD264,2),0)</f>
        <v/>
      </c>
      <c r="E264">
        <f>IFERROR(INDEX(PP_Grid[#Data],$DD264,3),0)</f>
        <v/>
      </c>
      <c r="F264">
        <f>IFERROR(INDEX(PP_Grid[#Data],$DD264,4),0)</f>
        <v/>
      </c>
      <c r="G264">
        <f>IFERROR(INDEX(PP_Grid[#Data],$DD264,5),0)</f>
        <v/>
      </c>
      <c r="H264">
        <f>IFERROR(INDEX(PP_Grid[#Data],$DD264,6),0)</f>
        <v/>
      </c>
      <c r="I264">
        <f>IFERROR(INDEX(PP_Grid[#Data],$DD264,7),0)</f>
        <v/>
      </c>
      <c r="J264">
        <f>IFERROR(INDEX(PP_Grid[#Data],$DD264,8),0)</f>
        <v/>
      </c>
      <c r="K264">
        <f>IFERROR(INDEX(PP_Grid[#Data],$DD264,9),0)</f>
        <v/>
      </c>
      <c r="L264">
        <f>IFERROR(INDEX(PP_Grid[#Data],$DD264,10),0)</f>
        <v/>
      </c>
      <c r="M264">
        <f>IFERROR(INDEX(PP_Grid[#Data],$DD264,11),0)</f>
        <v/>
      </c>
      <c r="N264">
        <f>IFERROR(INDEX(PP_Grid[#Data],$DD264,12),0)</f>
        <v/>
      </c>
      <c r="O264">
        <f>IFERROR(INDEX(PP_Grid[#Data],$DD264,13),0)</f>
        <v/>
      </c>
      <c r="P264">
        <f>IFERROR(INDEX(PP_Grid[#Data],$DD264,14),0)</f>
        <v/>
      </c>
      <c r="Q264">
        <f>IFERROR(INDEX(PP_Grid[#Data],$DD264,15),0)</f>
        <v/>
      </c>
      <c r="R264">
        <f>IFERROR(INDEX(PP_Grid[#Data],$DD264,16),0)</f>
        <v/>
      </c>
      <c r="S264">
        <f>IFERROR(INDEX(PP_Grid[#Data],$DD264,17),0)</f>
        <v/>
      </c>
      <c r="T264">
        <f>IFERROR(INDEX(PP_Grid[#Data],$DD264,18),0)</f>
        <v/>
      </c>
      <c r="U264">
        <f>IFERROR(INDEX(PP_Grid[#Data],$DD264,19),0)</f>
        <v/>
      </c>
      <c r="V264">
        <f>IFERROR(INDEX(PP_Grid[#Data],$DD264,20),0)</f>
        <v/>
      </c>
      <c r="W264">
        <f>IFERROR(INDEX(PP_Grid[#Data],$DD264,21),0)</f>
        <v/>
      </c>
      <c r="X264">
        <f>IFERROR(INDEX(PP_Grid[#Data],$DD264,22),0)</f>
        <v/>
      </c>
      <c r="Y264">
        <f>IFERROR(INDEX(PP_Grid[#Data],$DD264,23),0)</f>
        <v/>
      </c>
      <c r="Z264">
        <f>IFERROR(INDEX(PP_Grid[#Data],$DD264,24),0)</f>
        <v/>
      </c>
      <c r="AA264">
        <f>IFERROR(INDEX(PP_Grid[#Data],$DD264,25),0)</f>
        <v/>
      </c>
      <c r="AB264">
        <f>IFERROR(INDEX(PP_Grid[#Data],$DD264,26),0)</f>
        <v/>
      </c>
      <c r="AC264">
        <f>IFERROR(INDEX(PP_Grid[#Data],$DD264,27),0)</f>
        <v/>
      </c>
      <c r="AD264">
        <f>IFERROR(INDEX(PP_Grid[#Data],$DD264,28),0)</f>
        <v/>
      </c>
      <c r="AE264">
        <f>IFERROR(INDEX(PP_Grid[#Data],$DD264,29),0)</f>
        <v/>
      </c>
      <c r="AF264">
        <f>IFERROR(INDEX(PP_Grid[#Data],$DD264,30),0)</f>
        <v/>
      </c>
      <c r="AG264">
        <f>IFERROR(INDEX(PP_Grid[#Data],$DD264,31),0)</f>
        <v/>
      </c>
      <c r="AH264">
        <f>IFERROR(INDEX(PP_Grid[#Data],$DD264,32),0)</f>
        <v/>
      </c>
      <c r="AI264">
        <f>IFERROR(INDEX(PP_Grid[#Data],$DD264,33),0)</f>
        <v/>
      </c>
      <c r="AJ264">
        <f>IFERROR(INDEX(PP_Grid[#Data],$DD264,34),0)</f>
        <v/>
      </c>
      <c r="AK264">
        <f>IFERROR(INDEX(PP_Grid[#Data],$DD264,35),0)</f>
        <v/>
      </c>
      <c r="AL264">
        <f>IFERROR(INDEX(PP_Grid[#Data],$DD264,36),0)</f>
        <v/>
      </c>
      <c r="AM264">
        <f>IFERROR(INDEX(PP_Grid[#Data],$DD264,37),0)</f>
        <v/>
      </c>
      <c r="AN264">
        <f>IFERROR(INDEX(PP_Grid[#Data],$DD264,38),0)</f>
        <v/>
      </c>
      <c r="AO264">
        <f>IFERROR(INDEX(PP_Grid[#Data],$DD264,39),0)</f>
        <v/>
      </c>
      <c r="AP264">
        <f>IFERROR(INDEX(PP_Grid[#Data],$DD264,40),0)</f>
        <v/>
      </c>
      <c r="AQ264">
        <f>IFERROR(INDEX(PP_Grid[#Data],$DD264,41),0)</f>
        <v/>
      </c>
      <c r="AR264">
        <f>IFERROR(INDEX(PP_Grid[#Data],$DD264,42),0)</f>
        <v/>
      </c>
      <c r="AS264">
        <f>IFERROR(INDEX(PP_Grid[#Data],$DD264,43),0)</f>
        <v/>
      </c>
      <c r="AT264">
        <f>IFERROR(INDEX(PP_Grid[#Data],$DD264,44),0)</f>
        <v/>
      </c>
      <c r="AU264">
        <f>IFERROR(INDEX(PP_Grid[#Data],$DD264,45),0)</f>
        <v/>
      </c>
      <c r="AV264">
        <f>IFERROR(INDEX(PP_Grid[#Data],$DD264,46),0)</f>
        <v/>
      </c>
      <c r="AW264">
        <f>IFERROR(INDEX(PP_Grid[#Data],$DD264,47),0)</f>
        <v/>
      </c>
      <c r="AX264">
        <f>IFERROR(INDEX(PP_Grid[#Data],$DD264,48),0)</f>
        <v/>
      </c>
      <c r="AY264">
        <f>IFERROR(INDEX(PP_Grid[#Data],$DD264,49),0)</f>
        <v/>
      </c>
      <c r="AZ264">
        <f>IFERROR(INDEX(PP_Grid[#Data],$DD264,50),0)</f>
        <v/>
      </c>
      <c r="BA264">
        <f>IFERROR(INDEX(PP_Grid[#Data],$DD264,51),0)</f>
        <v/>
      </c>
      <c r="BB264">
        <f>IFERROR(INDEX(PP_Grid[#Data],$DD264,52),0)</f>
        <v/>
      </c>
      <c r="BC264">
        <f>IFERROR(INDEX(PP_Grid[#Data],$DD264,53),0)</f>
        <v/>
      </c>
      <c r="BD264">
        <f>IFERROR(INDEX(PP_Grid[#Data],$DD264,54),0)</f>
        <v/>
      </c>
      <c r="BE264">
        <f>IFERROR(INDEX(PP_Grid[#Data],$DD264,55),0)</f>
        <v/>
      </c>
      <c r="BF264">
        <f>IFERROR(INDEX(PP_Grid[#Data],$DD264,56),0)</f>
        <v/>
      </c>
      <c r="BG264">
        <f>IFERROR(INDEX(PP_Grid[#Data],$DD264,57),0)</f>
        <v/>
      </c>
      <c r="BH264">
        <f>IFERROR(INDEX(PP_Grid[#Data],$DD264,58),0)</f>
        <v/>
      </c>
      <c r="BI264">
        <f>IFERROR(INDEX(PP_Grid[#Data],$DD264,59),0)</f>
        <v/>
      </c>
      <c r="BJ264">
        <f>IFERROR(INDEX(PP_Grid[#Data],$DD264,60),0)</f>
        <v/>
      </c>
      <c r="BK264">
        <f>IFERROR(INDEX(PP_Grid[#Data],$DD264,61),0)</f>
        <v/>
      </c>
      <c r="BL264">
        <f>IFERROR(INDEX(PP_Grid[#Data],$DD264,62),0)</f>
        <v/>
      </c>
      <c r="BM264">
        <f>IFERROR(INDEX(PP_Grid[#Data],$DD264,63),0)</f>
        <v/>
      </c>
      <c r="BN264">
        <f>IFERROR(INDEX(PP_Grid[#Data],$DD264,64),0)</f>
        <v/>
      </c>
      <c r="BO264">
        <f>IFERROR(INDEX(PP_Grid[#Data],$DD264,65),0)</f>
        <v/>
      </c>
      <c r="BP264">
        <f>IFERROR(INDEX(PP_Grid[#Data],$DD264,66),0)</f>
        <v/>
      </c>
      <c r="BQ264">
        <f>IFERROR(INDEX(PP_Grid[#Data],$DD264,67),0)</f>
        <v/>
      </c>
      <c r="BR264">
        <f>IFERROR(INDEX(PP_Grid[#Data],$DD264,68),0)</f>
        <v/>
      </c>
      <c r="BS264">
        <f>IFERROR(INDEX(PP_Grid[#Data],$DD264,69),0)</f>
        <v/>
      </c>
      <c r="BT264">
        <f>IFERROR(INDEX(PP_Grid[#Data],$DD264,70),0)</f>
        <v/>
      </c>
      <c r="BU264">
        <f>IFERROR(INDEX(PP_Grid[#Data],$DD264,71),0)</f>
        <v/>
      </c>
      <c r="BV264">
        <f>IFERROR(INDEX(PP_Grid[#Data],$DD264,72),0)</f>
        <v/>
      </c>
      <c r="BW264">
        <f>IFERROR(INDEX(PP_Grid[#Data],$DD264,73),0)</f>
        <v/>
      </c>
      <c r="BX264">
        <f>IFERROR(INDEX(PP_Grid[#Data],$DD264,74),0)</f>
        <v/>
      </c>
      <c r="BY264">
        <f>IFERROR(INDEX(PP_Grid[#Data],$DD264,75),0)</f>
        <v/>
      </c>
      <c r="BZ264">
        <f>IFERROR(INDEX(PP_Grid[#Data],$DD264,76),0)</f>
        <v/>
      </c>
      <c r="CA264">
        <f>IFERROR(INDEX(PP_Grid[#Data],$DD264,77),0)</f>
        <v/>
      </c>
      <c r="CB264">
        <f>IFERROR(INDEX(PP_Grid[#Data],$DD264,78),0)</f>
        <v/>
      </c>
      <c r="CC264">
        <f>IFERROR(INDEX(PP_Grid[#Data],$DD264,79),0)</f>
        <v/>
      </c>
      <c r="CD264">
        <f>IFERROR(INDEX(PP_Grid[#Data],$DD264,80),0)</f>
        <v/>
      </c>
      <c r="CE264">
        <f>IFERROR(INDEX(PP_Grid[#Data],$DD264,81),0)</f>
        <v/>
      </c>
      <c r="CF264">
        <f>IFERROR(INDEX(PP_Grid[#Data],$DD264,82),0)</f>
        <v/>
      </c>
      <c r="CG264">
        <f>IFERROR(INDEX(PP_Grid[#Data],$DD264,83),0)</f>
        <v/>
      </c>
      <c r="CH264">
        <f>IFERROR(INDEX(PP_Grid[#Data],$DD264,84),0)</f>
        <v/>
      </c>
      <c r="CI264">
        <f>IFERROR(INDEX(PP_Grid[#Data],$DD264,85),0)</f>
        <v/>
      </c>
      <c r="CJ264">
        <f>IFERROR(INDEX(PP_Grid[#Data],$DD264,86),0)</f>
        <v/>
      </c>
      <c r="CK264">
        <f>IFERROR(INDEX(PP_Grid[#Data],$DD264,87),0)</f>
        <v/>
      </c>
      <c r="CL264">
        <f>IFERROR(INDEX(PP_Grid[#Data],$DD264,88),0)</f>
        <v/>
      </c>
      <c r="CM264">
        <f>IFERROR(INDEX(PP_Grid[#Data],$DD264,89),0)</f>
        <v/>
      </c>
      <c r="CN264">
        <f>IFERROR(INDEX(PP_Grid[#Data],$DD264,90),0)</f>
        <v/>
      </c>
      <c r="CO264">
        <f>IFERROR(INDEX(PP_Grid[#Data],$DD264,91),0)</f>
        <v/>
      </c>
      <c r="CP264">
        <f>IFERROR(INDEX(PP_Grid[#Data],$DD264,92),0)</f>
        <v/>
      </c>
      <c r="CQ264">
        <f>IFERROR(INDEX(PP_Grid[#Data],$DD264,93),0)</f>
        <v/>
      </c>
      <c r="CR264">
        <f>IFERROR(INDEX(PP_Grid[#Data],$DD264,94),0)</f>
        <v/>
      </c>
      <c r="CS264">
        <f>IFERROR(INDEX(PP_Grid[#Data],$DD264,95),0)</f>
        <v/>
      </c>
      <c r="CT264">
        <f>IFERROR(INDEX(PP_Grid[#Data],$DD264,96),0)</f>
        <v/>
      </c>
      <c r="CU264">
        <f>IFERROR(INDEX(PP_Grid[#Data],$DD264,97),0)</f>
        <v/>
      </c>
      <c r="CV264">
        <f>IFERROR(INDEX(PP_Grid[#Data],$DD264,98),0)</f>
        <v/>
      </c>
      <c r="CW264">
        <f>IFERROR(INDEX(PP_Grid[#Data],$DD264,99),0)</f>
        <v/>
      </c>
      <c r="CX264">
        <f>IFERROR(INDEX(PP_Grid[#Data],$DD264,100),0)</f>
        <v/>
      </c>
      <c r="CY264">
        <f>IFERROR(INDEX(PP_Grid[#Data],$DD264,101),0)</f>
        <v/>
      </c>
      <c r="CZ264">
        <f>IFERROR(INDEX(PP_Grid[#Data],$DD264,102),0)</f>
        <v/>
      </c>
      <c r="DA264">
        <f>IFERROR(INDEX(PP_Grid[#Data],$DD264,103),0)</f>
        <v/>
      </c>
      <c r="DB264">
        <f>IFERROR(INDEX(PP_Grid[#Data],$DD264,104),0)</f>
        <v/>
      </c>
      <c r="DC264">
        <f>IFERROR(INDEX(PP_Grid[#Data],$DD264,105),0)</f>
        <v/>
      </c>
      <c r="DD264" s="7">
        <f>IFERROR(MATCH($B264,PP_Grid[Intermediate],0),99999)</f>
        <v/>
      </c>
    </row>
    <row r="265">
      <c r="B265" t="inlineStr">
        <is>
          <t>使用量(kg)</t>
        </is>
      </c>
      <c r="C265">
        <f>SUMIFS(M_BOM[RM_Qty_Per_Batch],M_BOM[Intermediate],$B264,M_BOM[Part Name],$A219)</f>
        <v/>
      </c>
      <c r="D265">
        <f>$C265*D264</f>
        <v/>
      </c>
      <c r="E265">
        <f>$C265*E264</f>
        <v/>
      </c>
      <c r="F265">
        <f>$C265*F264</f>
        <v/>
      </c>
      <c r="G265">
        <f>$C265*G264</f>
        <v/>
      </c>
      <c r="H265">
        <f>$C265*H264</f>
        <v/>
      </c>
      <c r="I265">
        <f>$C265*I264</f>
        <v/>
      </c>
      <c r="J265">
        <f>$C265*J264</f>
        <v/>
      </c>
      <c r="K265">
        <f>$C265*K264</f>
        <v/>
      </c>
      <c r="L265">
        <f>$C265*L264</f>
        <v/>
      </c>
      <c r="M265">
        <f>$C265*M264</f>
        <v/>
      </c>
      <c r="N265">
        <f>$C265*N264</f>
        <v/>
      </c>
      <c r="O265">
        <f>$C265*O264</f>
        <v/>
      </c>
      <c r="P265">
        <f>$C265*P264</f>
        <v/>
      </c>
      <c r="Q265">
        <f>$C265*Q264</f>
        <v/>
      </c>
      <c r="R265">
        <f>$C265*R264</f>
        <v/>
      </c>
      <c r="S265">
        <f>$C265*S264</f>
        <v/>
      </c>
      <c r="T265">
        <f>$C265*T264</f>
        <v/>
      </c>
      <c r="U265">
        <f>$C265*U264</f>
        <v/>
      </c>
      <c r="V265">
        <f>$C265*V264</f>
        <v/>
      </c>
      <c r="W265">
        <f>$C265*W264</f>
        <v/>
      </c>
      <c r="X265">
        <f>$C265*X264</f>
        <v/>
      </c>
      <c r="Y265">
        <f>$C265*Y264</f>
        <v/>
      </c>
      <c r="Z265">
        <f>$C265*Z264</f>
        <v/>
      </c>
      <c r="AA265">
        <f>$C265*AA264</f>
        <v/>
      </c>
      <c r="AB265">
        <f>$C265*AB264</f>
        <v/>
      </c>
      <c r="AC265">
        <f>$C265*AC264</f>
        <v/>
      </c>
      <c r="AD265">
        <f>$C265*AD264</f>
        <v/>
      </c>
      <c r="AE265">
        <f>$C265*AE264</f>
        <v/>
      </c>
      <c r="AF265">
        <f>$C265*AF264</f>
        <v/>
      </c>
      <c r="AG265">
        <f>$C265*AG264</f>
        <v/>
      </c>
      <c r="AH265">
        <f>$C265*AH264</f>
        <v/>
      </c>
      <c r="AI265">
        <f>$C265*AI264</f>
        <v/>
      </c>
      <c r="AJ265">
        <f>$C265*AJ264</f>
        <v/>
      </c>
      <c r="AK265">
        <f>$C265*AK264</f>
        <v/>
      </c>
      <c r="AL265">
        <f>$C265*AL264</f>
        <v/>
      </c>
      <c r="AM265">
        <f>$C265*AM264</f>
        <v/>
      </c>
      <c r="AN265">
        <f>$C265*AN264</f>
        <v/>
      </c>
      <c r="AO265">
        <f>$C265*AO264</f>
        <v/>
      </c>
      <c r="AP265">
        <f>$C265*AP264</f>
        <v/>
      </c>
      <c r="AQ265">
        <f>$C265*AQ264</f>
        <v/>
      </c>
      <c r="AR265">
        <f>$C265*AR264</f>
        <v/>
      </c>
      <c r="AS265">
        <f>$C265*AS264</f>
        <v/>
      </c>
      <c r="AT265">
        <f>$C265*AT264</f>
        <v/>
      </c>
      <c r="AU265">
        <f>$C265*AU264</f>
        <v/>
      </c>
      <c r="AV265">
        <f>$C265*AV264</f>
        <v/>
      </c>
      <c r="AW265">
        <f>$C265*AW264</f>
        <v/>
      </c>
      <c r="AX265">
        <f>$C265*AX264</f>
        <v/>
      </c>
      <c r="AY265">
        <f>$C265*AY264</f>
        <v/>
      </c>
      <c r="AZ265">
        <f>$C265*AZ264</f>
        <v/>
      </c>
      <c r="BA265">
        <f>$C265*BA264</f>
        <v/>
      </c>
      <c r="BB265">
        <f>$C265*BB264</f>
        <v/>
      </c>
      <c r="BC265">
        <f>$C265*BC264</f>
        <v/>
      </c>
      <c r="BD265">
        <f>$C265*BD264</f>
        <v/>
      </c>
      <c r="BE265">
        <f>$C265*BE264</f>
        <v/>
      </c>
      <c r="BF265">
        <f>$C265*BF264</f>
        <v/>
      </c>
      <c r="BG265">
        <f>$C265*BG264</f>
        <v/>
      </c>
      <c r="BH265">
        <f>$C265*BH264</f>
        <v/>
      </c>
      <c r="BI265">
        <f>$C265*BI264</f>
        <v/>
      </c>
      <c r="BJ265">
        <f>$C265*BJ264</f>
        <v/>
      </c>
      <c r="BK265">
        <f>$C265*BK264</f>
        <v/>
      </c>
      <c r="BL265">
        <f>$C265*BL264</f>
        <v/>
      </c>
      <c r="BM265">
        <f>$C265*BM264</f>
        <v/>
      </c>
      <c r="BN265">
        <f>$C265*BN264</f>
        <v/>
      </c>
      <c r="BO265">
        <f>$C265*BO264</f>
        <v/>
      </c>
      <c r="BP265">
        <f>$C265*BP264</f>
        <v/>
      </c>
      <c r="BQ265">
        <f>$C265*BQ264</f>
        <v/>
      </c>
      <c r="BR265">
        <f>$C265*BR264</f>
        <v/>
      </c>
      <c r="BS265">
        <f>$C265*BS264</f>
        <v/>
      </c>
      <c r="BT265">
        <f>$C265*BT264</f>
        <v/>
      </c>
      <c r="BU265">
        <f>$C265*BU264</f>
        <v/>
      </c>
      <c r="BV265">
        <f>$C265*BV264</f>
        <v/>
      </c>
      <c r="BW265">
        <f>$C265*BW264</f>
        <v/>
      </c>
      <c r="BX265">
        <f>$C265*BX264</f>
        <v/>
      </c>
      <c r="BY265">
        <f>$C265*BY264</f>
        <v/>
      </c>
      <c r="BZ265">
        <f>$C265*BZ264</f>
        <v/>
      </c>
      <c r="CA265">
        <f>$C265*CA264</f>
        <v/>
      </c>
      <c r="CB265">
        <f>$C265*CB264</f>
        <v/>
      </c>
      <c r="CC265">
        <f>$C265*CC264</f>
        <v/>
      </c>
      <c r="CD265">
        <f>$C265*CD264</f>
        <v/>
      </c>
      <c r="CE265">
        <f>$C265*CE264</f>
        <v/>
      </c>
      <c r="CF265">
        <f>$C265*CF264</f>
        <v/>
      </c>
      <c r="CG265">
        <f>$C265*CG264</f>
        <v/>
      </c>
      <c r="CH265">
        <f>$C265*CH264</f>
        <v/>
      </c>
      <c r="CI265">
        <f>$C265*CI264</f>
        <v/>
      </c>
      <c r="CJ265">
        <f>$C265*CJ264</f>
        <v/>
      </c>
      <c r="CK265">
        <f>$C265*CK264</f>
        <v/>
      </c>
      <c r="CL265">
        <f>$C265*CL264</f>
        <v/>
      </c>
      <c r="CM265">
        <f>$C265*CM264</f>
        <v/>
      </c>
      <c r="CN265">
        <f>$C265*CN264</f>
        <v/>
      </c>
      <c r="CO265">
        <f>$C265*CO264</f>
        <v/>
      </c>
      <c r="CP265">
        <f>$C265*CP264</f>
        <v/>
      </c>
      <c r="CQ265">
        <f>$C265*CQ264</f>
        <v/>
      </c>
      <c r="CR265">
        <f>$C265*CR264</f>
        <v/>
      </c>
      <c r="CS265">
        <f>$C265*CS264</f>
        <v/>
      </c>
      <c r="CT265">
        <f>$C265*CT264</f>
        <v/>
      </c>
      <c r="CU265">
        <f>$C265*CU264</f>
        <v/>
      </c>
      <c r="CV265">
        <f>$C265*CV264</f>
        <v/>
      </c>
      <c r="CW265">
        <f>$C265*CW264</f>
        <v/>
      </c>
      <c r="CX265">
        <f>$C265*CX264</f>
        <v/>
      </c>
      <c r="CY265">
        <f>$C265*CY264</f>
        <v/>
      </c>
      <c r="CZ265">
        <f>$C265*CZ264</f>
        <v/>
      </c>
      <c r="DA265">
        <f>$C265*DA264</f>
        <v/>
      </c>
      <c r="DB265">
        <f>$C265*DB264</f>
        <v/>
      </c>
      <c r="DC265">
        <f>$C265*DC264</f>
        <v/>
      </c>
    </row>
    <row r="266">
      <c r="B266" t="inlineStr">
        <is>
          <t>TSP-903</t>
        </is>
      </c>
      <c r="C266" t="inlineStr">
        <is>
          <t>No. of batches</t>
        </is>
      </c>
      <c r="D266">
        <f>IFERROR(INDEX(PP_Grid[#Data],$DD266,2),0)</f>
        <v/>
      </c>
      <c r="E266">
        <f>IFERROR(INDEX(PP_Grid[#Data],$DD266,3),0)</f>
        <v/>
      </c>
      <c r="F266">
        <f>IFERROR(INDEX(PP_Grid[#Data],$DD266,4),0)</f>
        <v/>
      </c>
      <c r="G266">
        <f>IFERROR(INDEX(PP_Grid[#Data],$DD266,5),0)</f>
        <v/>
      </c>
      <c r="H266">
        <f>IFERROR(INDEX(PP_Grid[#Data],$DD266,6),0)</f>
        <v/>
      </c>
      <c r="I266">
        <f>IFERROR(INDEX(PP_Grid[#Data],$DD266,7),0)</f>
        <v/>
      </c>
      <c r="J266">
        <f>IFERROR(INDEX(PP_Grid[#Data],$DD266,8),0)</f>
        <v/>
      </c>
      <c r="K266">
        <f>IFERROR(INDEX(PP_Grid[#Data],$DD266,9),0)</f>
        <v/>
      </c>
      <c r="L266">
        <f>IFERROR(INDEX(PP_Grid[#Data],$DD266,10),0)</f>
        <v/>
      </c>
      <c r="M266">
        <f>IFERROR(INDEX(PP_Grid[#Data],$DD266,11),0)</f>
        <v/>
      </c>
      <c r="N266">
        <f>IFERROR(INDEX(PP_Grid[#Data],$DD266,12),0)</f>
        <v/>
      </c>
      <c r="O266">
        <f>IFERROR(INDEX(PP_Grid[#Data],$DD266,13),0)</f>
        <v/>
      </c>
      <c r="P266">
        <f>IFERROR(INDEX(PP_Grid[#Data],$DD266,14),0)</f>
        <v/>
      </c>
      <c r="Q266">
        <f>IFERROR(INDEX(PP_Grid[#Data],$DD266,15),0)</f>
        <v/>
      </c>
      <c r="R266">
        <f>IFERROR(INDEX(PP_Grid[#Data],$DD266,16),0)</f>
        <v/>
      </c>
      <c r="S266">
        <f>IFERROR(INDEX(PP_Grid[#Data],$DD266,17),0)</f>
        <v/>
      </c>
      <c r="T266">
        <f>IFERROR(INDEX(PP_Grid[#Data],$DD266,18),0)</f>
        <v/>
      </c>
      <c r="U266">
        <f>IFERROR(INDEX(PP_Grid[#Data],$DD266,19),0)</f>
        <v/>
      </c>
      <c r="V266">
        <f>IFERROR(INDEX(PP_Grid[#Data],$DD266,20),0)</f>
        <v/>
      </c>
      <c r="W266">
        <f>IFERROR(INDEX(PP_Grid[#Data],$DD266,21),0)</f>
        <v/>
      </c>
      <c r="X266">
        <f>IFERROR(INDEX(PP_Grid[#Data],$DD266,22),0)</f>
        <v/>
      </c>
      <c r="Y266">
        <f>IFERROR(INDEX(PP_Grid[#Data],$DD266,23),0)</f>
        <v/>
      </c>
      <c r="Z266">
        <f>IFERROR(INDEX(PP_Grid[#Data],$DD266,24),0)</f>
        <v/>
      </c>
      <c r="AA266">
        <f>IFERROR(INDEX(PP_Grid[#Data],$DD266,25),0)</f>
        <v/>
      </c>
      <c r="AB266">
        <f>IFERROR(INDEX(PP_Grid[#Data],$DD266,26),0)</f>
        <v/>
      </c>
      <c r="AC266">
        <f>IFERROR(INDEX(PP_Grid[#Data],$DD266,27),0)</f>
        <v/>
      </c>
      <c r="AD266">
        <f>IFERROR(INDEX(PP_Grid[#Data],$DD266,28),0)</f>
        <v/>
      </c>
      <c r="AE266">
        <f>IFERROR(INDEX(PP_Grid[#Data],$DD266,29),0)</f>
        <v/>
      </c>
      <c r="AF266">
        <f>IFERROR(INDEX(PP_Grid[#Data],$DD266,30),0)</f>
        <v/>
      </c>
      <c r="AG266">
        <f>IFERROR(INDEX(PP_Grid[#Data],$DD266,31),0)</f>
        <v/>
      </c>
      <c r="AH266">
        <f>IFERROR(INDEX(PP_Grid[#Data],$DD266,32),0)</f>
        <v/>
      </c>
      <c r="AI266">
        <f>IFERROR(INDEX(PP_Grid[#Data],$DD266,33),0)</f>
        <v/>
      </c>
      <c r="AJ266">
        <f>IFERROR(INDEX(PP_Grid[#Data],$DD266,34),0)</f>
        <v/>
      </c>
      <c r="AK266">
        <f>IFERROR(INDEX(PP_Grid[#Data],$DD266,35),0)</f>
        <v/>
      </c>
      <c r="AL266">
        <f>IFERROR(INDEX(PP_Grid[#Data],$DD266,36),0)</f>
        <v/>
      </c>
      <c r="AM266">
        <f>IFERROR(INDEX(PP_Grid[#Data],$DD266,37),0)</f>
        <v/>
      </c>
      <c r="AN266">
        <f>IFERROR(INDEX(PP_Grid[#Data],$DD266,38),0)</f>
        <v/>
      </c>
      <c r="AO266">
        <f>IFERROR(INDEX(PP_Grid[#Data],$DD266,39),0)</f>
        <v/>
      </c>
      <c r="AP266">
        <f>IFERROR(INDEX(PP_Grid[#Data],$DD266,40),0)</f>
        <v/>
      </c>
      <c r="AQ266">
        <f>IFERROR(INDEX(PP_Grid[#Data],$DD266,41),0)</f>
        <v/>
      </c>
      <c r="AR266">
        <f>IFERROR(INDEX(PP_Grid[#Data],$DD266,42),0)</f>
        <v/>
      </c>
      <c r="AS266">
        <f>IFERROR(INDEX(PP_Grid[#Data],$DD266,43),0)</f>
        <v/>
      </c>
      <c r="AT266">
        <f>IFERROR(INDEX(PP_Grid[#Data],$DD266,44),0)</f>
        <v/>
      </c>
      <c r="AU266">
        <f>IFERROR(INDEX(PP_Grid[#Data],$DD266,45),0)</f>
        <v/>
      </c>
      <c r="AV266">
        <f>IFERROR(INDEX(PP_Grid[#Data],$DD266,46),0)</f>
        <v/>
      </c>
      <c r="AW266">
        <f>IFERROR(INDEX(PP_Grid[#Data],$DD266,47),0)</f>
        <v/>
      </c>
      <c r="AX266">
        <f>IFERROR(INDEX(PP_Grid[#Data],$DD266,48),0)</f>
        <v/>
      </c>
      <c r="AY266">
        <f>IFERROR(INDEX(PP_Grid[#Data],$DD266,49),0)</f>
        <v/>
      </c>
      <c r="AZ266">
        <f>IFERROR(INDEX(PP_Grid[#Data],$DD266,50),0)</f>
        <v/>
      </c>
      <c r="BA266">
        <f>IFERROR(INDEX(PP_Grid[#Data],$DD266,51),0)</f>
        <v/>
      </c>
      <c r="BB266">
        <f>IFERROR(INDEX(PP_Grid[#Data],$DD266,52),0)</f>
        <v/>
      </c>
      <c r="BC266">
        <f>IFERROR(INDEX(PP_Grid[#Data],$DD266,53),0)</f>
        <v/>
      </c>
      <c r="BD266">
        <f>IFERROR(INDEX(PP_Grid[#Data],$DD266,54),0)</f>
        <v/>
      </c>
      <c r="BE266">
        <f>IFERROR(INDEX(PP_Grid[#Data],$DD266,55),0)</f>
        <v/>
      </c>
      <c r="BF266">
        <f>IFERROR(INDEX(PP_Grid[#Data],$DD266,56),0)</f>
        <v/>
      </c>
      <c r="BG266">
        <f>IFERROR(INDEX(PP_Grid[#Data],$DD266,57),0)</f>
        <v/>
      </c>
      <c r="BH266">
        <f>IFERROR(INDEX(PP_Grid[#Data],$DD266,58),0)</f>
        <v/>
      </c>
      <c r="BI266">
        <f>IFERROR(INDEX(PP_Grid[#Data],$DD266,59),0)</f>
        <v/>
      </c>
      <c r="BJ266">
        <f>IFERROR(INDEX(PP_Grid[#Data],$DD266,60),0)</f>
        <v/>
      </c>
      <c r="BK266">
        <f>IFERROR(INDEX(PP_Grid[#Data],$DD266,61),0)</f>
        <v/>
      </c>
      <c r="BL266">
        <f>IFERROR(INDEX(PP_Grid[#Data],$DD266,62),0)</f>
        <v/>
      </c>
      <c r="BM266">
        <f>IFERROR(INDEX(PP_Grid[#Data],$DD266,63),0)</f>
        <v/>
      </c>
      <c r="BN266">
        <f>IFERROR(INDEX(PP_Grid[#Data],$DD266,64),0)</f>
        <v/>
      </c>
      <c r="BO266">
        <f>IFERROR(INDEX(PP_Grid[#Data],$DD266,65),0)</f>
        <v/>
      </c>
      <c r="BP266">
        <f>IFERROR(INDEX(PP_Grid[#Data],$DD266,66),0)</f>
        <v/>
      </c>
      <c r="BQ266">
        <f>IFERROR(INDEX(PP_Grid[#Data],$DD266,67),0)</f>
        <v/>
      </c>
      <c r="BR266">
        <f>IFERROR(INDEX(PP_Grid[#Data],$DD266,68),0)</f>
        <v/>
      </c>
      <c r="BS266">
        <f>IFERROR(INDEX(PP_Grid[#Data],$DD266,69),0)</f>
        <v/>
      </c>
      <c r="BT266">
        <f>IFERROR(INDEX(PP_Grid[#Data],$DD266,70),0)</f>
        <v/>
      </c>
      <c r="BU266">
        <f>IFERROR(INDEX(PP_Grid[#Data],$DD266,71),0)</f>
        <v/>
      </c>
      <c r="BV266">
        <f>IFERROR(INDEX(PP_Grid[#Data],$DD266,72),0)</f>
        <v/>
      </c>
      <c r="BW266">
        <f>IFERROR(INDEX(PP_Grid[#Data],$DD266,73),0)</f>
        <v/>
      </c>
      <c r="BX266">
        <f>IFERROR(INDEX(PP_Grid[#Data],$DD266,74),0)</f>
        <v/>
      </c>
      <c r="BY266">
        <f>IFERROR(INDEX(PP_Grid[#Data],$DD266,75),0)</f>
        <v/>
      </c>
      <c r="BZ266">
        <f>IFERROR(INDEX(PP_Grid[#Data],$DD266,76),0)</f>
        <v/>
      </c>
      <c r="CA266">
        <f>IFERROR(INDEX(PP_Grid[#Data],$DD266,77),0)</f>
        <v/>
      </c>
      <c r="CB266">
        <f>IFERROR(INDEX(PP_Grid[#Data],$DD266,78),0)</f>
        <v/>
      </c>
      <c r="CC266">
        <f>IFERROR(INDEX(PP_Grid[#Data],$DD266,79),0)</f>
        <v/>
      </c>
      <c r="CD266">
        <f>IFERROR(INDEX(PP_Grid[#Data],$DD266,80),0)</f>
        <v/>
      </c>
      <c r="CE266">
        <f>IFERROR(INDEX(PP_Grid[#Data],$DD266,81),0)</f>
        <v/>
      </c>
      <c r="CF266">
        <f>IFERROR(INDEX(PP_Grid[#Data],$DD266,82),0)</f>
        <v/>
      </c>
      <c r="CG266">
        <f>IFERROR(INDEX(PP_Grid[#Data],$DD266,83),0)</f>
        <v/>
      </c>
      <c r="CH266">
        <f>IFERROR(INDEX(PP_Grid[#Data],$DD266,84),0)</f>
        <v/>
      </c>
      <c r="CI266">
        <f>IFERROR(INDEX(PP_Grid[#Data],$DD266,85),0)</f>
        <v/>
      </c>
      <c r="CJ266">
        <f>IFERROR(INDEX(PP_Grid[#Data],$DD266,86),0)</f>
        <v/>
      </c>
      <c r="CK266">
        <f>IFERROR(INDEX(PP_Grid[#Data],$DD266,87),0)</f>
        <v/>
      </c>
      <c r="CL266">
        <f>IFERROR(INDEX(PP_Grid[#Data],$DD266,88),0)</f>
        <v/>
      </c>
      <c r="CM266">
        <f>IFERROR(INDEX(PP_Grid[#Data],$DD266,89),0)</f>
        <v/>
      </c>
      <c r="CN266">
        <f>IFERROR(INDEX(PP_Grid[#Data],$DD266,90),0)</f>
        <v/>
      </c>
      <c r="CO266">
        <f>IFERROR(INDEX(PP_Grid[#Data],$DD266,91),0)</f>
        <v/>
      </c>
      <c r="CP266">
        <f>IFERROR(INDEX(PP_Grid[#Data],$DD266,92),0)</f>
        <v/>
      </c>
      <c r="CQ266">
        <f>IFERROR(INDEX(PP_Grid[#Data],$DD266,93),0)</f>
        <v/>
      </c>
      <c r="CR266">
        <f>IFERROR(INDEX(PP_Grid[#Data],$DD266,94),0)</f>
        <v/>
      </c>
      <c r="CS266">
        <f>IFERROR(INDEX(PP_Grid[#Data],$DD266,95),0)</f>
        <v/>
      </c>
      <c r="CT266">
        <f>IFERROR(INDEX(PP_Grid[#Data],$DD266,96),0)</f>
        <v/>
      </c>
      <c r="CU266">
        <f>IFERROR(INDEX(PP_Grid[#Data],$DD266,97),0)</f>
        <v/>
      </c>
      <c r="CV266">
        <f>IFERROR(INDEX(PP_Grid[#Data],$DD266,98),0)</f>
        <v/>
      </c>
      <c r="CW266">
        <f>IFERROR(INDEX(PP_Grid[#Data],$DD266,99),0)</f>
        <v/>
      </c>
      <c r="CX266">
        <f>IFERROR(INDEX(PP_Grid[#Data],$DD266,100),0)</f>
        <v/>
      </c>
      <c r="CY266">
        <f>IFERROR(INDEX(PP_Grid[#Data],$DD266,101),0)</f>
        <v/>
      </c>
      <c r="CZ266">
        <f>IFERROR(INDEX(PP_Grid[#Data],$DD266,102),0)</f>
        <v/>
      </c>
      <c r="DA266">
        <f>IFERROR(INDEX(PP_Grid[#Data],$DD266,103),0)</f>
        <v/>
      </c>
      <c r="DB266">
        <f>IFERROR(INDEX(PP_Grid[#Data],$DD266,104),0)</f>
        <v/>
      </c>
      <c r="DC266">
        <f>IFERROR(INDEX(PP_Grid[#Data],$DD266,105),0)</f>
        <v/>
      </c>
      <c r="DD266" s="7">
        <f>IFERROR(MATCH($B266,PP_Grid[Intermediate],0),99999)</f>
        <v/>
      </c>
    </row>
    <row r="267">
      <c r="B267" t="inlineStr">
        <is>
          <t>使用量(kg)</t>
        </is>
      </c>
      <c r="C267">
        <f>SUMIFS(M_BOM[RM_Qty_Per_Batch],M_BOM[Intermediate],$B266,M_BOM[Part Name],$A219)</f>
        <v/>
      </c>
      <c r="D267">
        <f>$C267*D266</f>
        <v/>
      </c>
      <c r="E267">
        <f>$C267*E266</f>
        <v/>
      </c>
      <c r="F267">
        <f>$C267*F266</f>
        <v/>
      </c>
      <c r="G267">
        <f>$C267*G266</f>
        <v/>
      </c>
      <c r="H267">
        <f>$C267*H266</f>
        <v/>
      </c>
      <c r="I267">
        <f>$C267*I266</f>
        <v/>
      </c>
      <c r="J267">
        <f>$C267*J266</f>
        <v/>
      </c>
      <c r="K267">
        <f>$C267*K266</f>
        <v/>
      </c>
      <c r="L267">
        <f>$C267*L266</f>
        <v/>
      </c>
      <c r="M267">
        <f>$C267*M266</f>
        <v/>
      </c>
      <c r="N267">
        <f>$C267*N266</f>
        <v/>
      </c>
      <c r="O267">
        <f>$C267*O266</f>
        <v/>
      </c>
      <c r="P267">
        <f>$C267*P266</f>
        <v/>
      </c>
      <c r="Q267">
        <f>$C267*Q266</f>
        <v/>
      </c>
      <c r="R267">
        <f>$C267*R266</f>
        <v/>
      </c>
      <c r="S267">
        <f>$C267*S266</f>
        <v/>
      </c>
      <c r="T267">
        <f>$C267*T266</f>
        <v/>
      </c>
      <c r="U267">
        <f>$C267*U266</f>
        <v/>
      </c>
      <c r="V267">
        <f>$C267*V266</f>
        <v/>
      </c>
      <c r="W267">
        <f>$C267*W266</f>
        <v/>
      </c>
      <c r="X267">
        <f>$C267*X266</f>
        <v/>
      </c>
      <c r="Y267">
        <f>$C267*Y266</f>
        <v/>
      </c>
      <c r="Z267">
        <f>$C267*Z266</f>
        <v/>
      </c>
      <c r="AA267">
        <f>$C267*AA266</f>
        <v/>
      </c>
      <c r="AB267">
        <f>$C267*AB266</f>
        <v/>
      </c>
      <c r="AC267">
        <f>$C267*AC266</f>
        <v/>
      </c>
      <c r="AD267">
        <f>$C267*AD266</f>
        <v/>
      </c>
      <c r="AE267">
        <f>$C267*AE266</f>
        <v/>
      </c>
      <c r="AF267">
        <f>$C267*AF266</f>
        <v/>
      </c>
      <c r="AG267">
        <f>$C267*AG266</f>
        <v/>
      </c>
      <c r="AH267">
        <f>$C267*AH266</f>
        <v/>
      </c>
      <c r="AI267">
        <f>$C267*AI266</f>
        <v/>
      </c>
      <c r="AJ267">
        <f>$C267*AJ266</f>
        <v/>
      </c>
      <c r="AK267">
        <f>$C267*AK266</f>
        <v/>
      </c>
      <c r="AL267">
        <f>$C267*AL266</f>
        <v/>
      </c>
      <c r="AM267">
        <f>$C267*AM266</f>
        <v/>
      </c>
      <c r="AN267">
        <f>$C267*AN266</f>
        <v/>
      </c>
      <c r="AO267">
        <f>$C267*AO266</f>
        <v/>
      </c>
      <c r="AP267">
        <f>$C267*AP266</f>
        <v/>
      </c>
      <c r="AQ267">
        <f>$C267*AQ266</f>
        <v/>
      </c>
      <c r="AR267">
        <f>$C267*AR266</f>
        <v/>
      </c>
      <c r="AS267">
        <f>$C267*AS266</f>
        <v/>
      </c>
      <c r="AT267">
        <f>$C267*AT266</f>
        <v/>
      </c>
      <c r="AU267">
        <f>$C267*AU266</f>
        <v/>
      </c>
      <c r="AV267">
        <f>$C267*AV266</f>
        <v/>
      </c>
      <c r="AW267">
        <f>$C267*AW266</f>
        <v/>
      </c>
      <c r="AX267">
        <f>$C267*AX266</f>
        <v/>
      </c>
      <c r="AY267">
        <f>$C267*AY266</f>
        <v/>
      </c>
      <c r="AZ267">
        <f>$C267*AZ266</f>
        <v/>
      </c>
      <c r="BA267">
        <f>$C267*BA266</f>
        <v/>
      </c>
      <c r="BB267">
        <f>$C267*BB266</f>
        <v/>
      </c>
      <c r="BC267">
        <f>$C267*BC266</f>
        <v/>
      </c>
      <c r="BD267">
        <f>$C267*BD266</f>
        <v/>
      </c>
      <c r="BE267">
        <f>$C267*BE266</f>
        <v/>
      </c>
      <c r="BF267">
        <f>$C267*BF266</f>
        <v/>
      </c>
      <c r="BG267">
        <f>$C267*BG266</f>
        <v/>
      </c>
      <c r="BH267">
        <f>$C267*BH266</f>
        <v/>
      </c>
      <c r="BI267">
        <f>$C267*BI266</f>
        <v/>
      </c>
      <c r="BJ267">
        <f>$C267*BJ266</f>
        <v/>
      </c>
      <c r="BK267">
        <f>$C267*BK266</f>
        <v/>
      </c>
      <c r="BL267">
        <f>$C267*BL266</f>
        <v/>
      </c>
      <c r="BM267">
        <f>$C267*BM266</f>
        <v/>
      </c>
      <c r="BN267">
        <f>$C267*BN266</f>
        <v/>
      </c>
      <c r="BO267">
        <f>$C267*BO266</f>
        <v/>
      </c>
      <c r="BP267">
        <f>$C267*BP266</f>
        <v/>
      </c>
      <c r="BQ267">
        <f>$C267*BQ266</f>
        <v/>
      </c>
      <c r="BR267">
        <f>$C267*BR266</f>
        <v/>
      </c>
      <c r="BS267">
        <f>$C267*BS266</f>
        <v/>
      </c>
      <c r="BT267">
        <f>$C267*BT266</f>
        <v/>
      </c>
      <c r="BU267">
        <f>$C267*BU266</f>
        <v/>
      </c>
      <c r="BV267">
        <f>$C267*BV266</f>
        <v/>
      </c>
      <c r="BW267">
        <f>$C267*BW266</f>
        <v/>
      </c>
      <c r="BX267">
        <f>$C267*BX266</f>
        <v/>
      </c>
      <c r="BY267">
        <f>$C267*BY266</f>
        <v/>
      </c>
      <c r="BZ267">
        <f>$C267*BZ266</f>
        <v/>
      </c>
      <c r="CA267">
        <f>$C267*CA266</f>
        <v/>
      </c>
      <c r="CB267">
        <f>$C267*CB266</f>
        <v/>
      </c>
      <c r="CC267">
        <f>$C267*CC266</f>
        <v/>
      </c>
      <c r="CD267">
        <f>$C267*CD266</f>
        <v/>
      </c>
      <c r="CE267">
        <f>$C267*CE266</f>
        <v/>
      </c>
      <c r="CF267">
        <f>$C267*CF266</f>
        <v/>
      </c>
      <c r="CG267">
        <f>$C267*CG266</f>
        <v/>
      </c>
      <c r="CH267">
        <f>$C267*CH266</f>
        <v/>
      </c>
      <c r="CI267">
        <f>$C267*CI266</f>
        <v/>
      </c>
      <c r="CJ267">
        <f>$C267*CJ266</f>
        <v/>
      </c>
      <c r="CK267">
        <f>$C267*CK266</f>
        <v/>
      </c>
      <c r="CL267">
        <f>$C267*CL266</f>
        <v/>
      </c>
      <c r="CM267">
        <f>$C267*CM266</f>
        <v/>
      </c>
      <c r="CN267">
        <f>$C267*CN266</f>
        <v/>
      </c>
      <c r="CO267">
        <f>$C267*CO266</f>
        <v/>
      </c>
      <c r="CP267">
        <f>$C267*CP266</f>
        <v/>
      </c>
      <c r="CQ267">
        <f>$C267*CQ266</f>
        <v/>
      </c>
      <c r="CR267">
        <f>$C267*CR266</f>
        <v/>
      </c>
      <c r="CS267">
        <f>$C267*CS266</f>
        <v/>
      </c>
      <c r="CT267">
        <f>$C267*CT266</f>
        <v/>
      </c>
      <c r="CU267">
        <f>$C267*CU266</f>
        <v/>
      </c>
      <c r="CV267">
        <f>$C267*CV266</f>
        <v/>
      </c>
      <c r="CW267">
        <f>$C267*CW266</f>
        <v/>
      </c>
      <c r="CX267">
        <f>$C267*CX266</f>
        <v/>
      </c>
      <c r="CY267">
        <f>$C267*CY266</f>
        <v/>
      </c>
      <c r="CZ267">
        <f>$C267*CZ266</f>
        <v/>
      </c>
      <c r="DA267">
        <f>$C267*DA266</f>
        <v/>
      </c>
      <c r="DB267">
        <f>$C267*DB266</f>
        <v/>
      </c>
      <c r="DC267">
        <f>$C267*DC266</f>
        <v/>
      </c>
    </row>
    <row r="268">
      <c r="B268" t="inlineStr">
        <is>
          <t>TSP-924</t>
        </is>
      </c>
      <c r="C268" t="inlineStr">
        <is>
          <t>No. of batches</t>
        </is>
      </c>
      <c r="D268">
        <f>IFERROR(INDEX(PP_Grid[#Data],$DD268,2),0)</f>
        <v/>
      </c>
      <c r="E268">
        <f>IFERROR(INDEX(PP_Grid[#Data],$DD268,3),0)</f>
        <v/>
      </c>
      <c r="F268">
        <f>IFERROR(INDEX(PP_Grid[#Data],$DD268,4),0)</f>
        <v/>
      </c>
      <c r="G268">
        <f>IFERROR(INDEX(PP_Grid[#Data],$DD268,5),0)</f>
        <v/>
      </c>
      <c r="H268">
        <f>IFERROR(INDEX(PP_Grid[#Data],$DD268,6),0)</f>
        <v/>
      </c>
      <c r="I268">
        <f>IFERROR(INDEX(PP_Grid[#Data],$DD268,7),0)</f>
        <v/>
      </c>
      <c r="J268">
        <f>IFERROR(INDEX(PP_Grid[#Data],$DD268,8),0)</f>
        <v/>
      </c>
      <c r="K268">
        <f>IFERROR(INDEX(PP_Grid[#Data],$DD268,9),0)</f>
        <v/>
      </c>
      <c r="L268">
        <f>IFERROR(INDEX(PP_Grid[#Data],$DD268,10),0)</f>
        <v/>
      </c>
      <c r="M268">
        <f>IFERROR(INDEX(PP_Grid[#Data],$DD268,11),0)</f>
        <v/>
      </c>
      <c r="N268">
        <f>IFERROR(INDEX(PP_Grid[#Data],$DD268,12),0)</f>
        <v/>
      </c>
      <c r="O268">
        <f>IFERROR(INDEX(PP_Grid[#Data],$DD268,13),0)</f>
        <v/>
      </c>
      <c r="P268">
        <f>IFERROR(INDEX(PP_Grid[#Data],$DD268,14),0)</f>
        <v/>
      </c>
      <c r="Q268">
        <f>IFERROR(INDEX(PP_Grid[#Data],$DD268,15),0)</f>
        <v/>
      </c>
      <c r="R268">
        <f>IFERROR(INDEX(PP_Grid[#Data],$DD268,16),0)</f>
        <v/>
      </c>
      <c r="S268">
        <f>IFERROR(INDEX(PP_Grid[#Data],$DD268,17),0)</f>
        <v/>
      </c>
      <c r="T268">
        <f>IFERROR(INDEX(PP_Grid[#Data],$DD268,18),0)</f>
        <v/>
      </c>
      <c r="U268">
        <f>IFERROR(INDEX(PP_Grid[#Data],$DD268,19),0)</f>
        <v/>
      </c>
      <c r="V268">
        <f>IFERROR(INDEX(PP_Grid[#Data],$DD268,20),0)</f>
        <v/>
      </c>
      <c r="W268">
        <f>IFERROR(INDEX(PP_Grid[#Data],$DD268,21),0)</f>
        <v/>
      </c>
      <c r="X268">
        <f>IFERROR(INDEX(PP_Grid[#Data],$DD268,22),0)</f>
        <v/>
      </c>
      <c r="Y268">
        <f>IFERROR(INDEX(PP_Grid[#Data],$DD268,23),0)</f>
        <v/>
      </c>
      <c r="Z268">
        <f>IFERROR(INDEX(PP_Grid[#Data],$DD268,24),0)</f>
        <v/>
      </c>
      <c r="AA268">
        <f>IFERROR(INDEX(PP_Grid[#Data],$DD268,25),0)</f>
        <v/>
      </c>
      <c r="AB268">
        <f>IFERROR(INDEX(PP_Grid[#Data],$DD268,26),0)</f>
        <v/>
      </c>
      <c r="AC268">
        <f>IFERROR(INDEX(PP_Grid[#Data],$DD268,27),0)</f>
        <v/>
      </c>
      <c r="AD268">
        <f>IFERROR(INDEX(PP_Grid[#Data],$DD268,28),0)</f>
        <v/>
      </c>
      <c r="AE268">
        <f>IFERROR(INDEX(PP_Grid[#Data],$DD268,29),0)</f>
        <v/>
      </c>
      <c r="AF268">
        <f>IFERROR(INDEX(PP_Grid[#Data],$DD268,30),0)</f>
        <v/>
      </c>
      <c r="AG268">
        <f>IFERROR(INDEX(PP_Grid[#Data],$DD268,31),0)</f>
        <v/>
      </c>
      <c r="AH268">
        <f>IFERROR(INDEX(PP_Grid[#Data],$DD268,32),0)</f>
        <v/>
      </c>
      <c r="AI268">
        <f>IFERROR(INDEX(PP_Grid[#Data],$DD268,33),0)</f>
        <v/>
      </c>
      <c r="AJ268">
        <f>IFERROR(INDEX(PP_Grid[#Data],$DD268,34),0)</f>
        <v/>
      </c>
      <c r="AK268">
        <f>IFERROR(INDEX(PP_Grid[#Data],$DD268,35),0)</f>
        <v/>
      </c>
      <c r="AL268">
        <f>IFERROR(INDEX(PP_Grid[#Data],$DD268,36),0)</f>
        <v/>
      </c>
      <c r="AM268">
        <f>IFERROR(INDEX(PP_Grid[#Data],$DD268,37),0)</f>
        <v/>
      </c>
      <c r="AN268">
        <f>IFERROR(INDEX(PP_Grid[#Data],$DD268,38),0)</f>
        <v/>
      </c>
      <c r="AO268">
        <f>IFERROR(INDEX(PP_Grid[#Data],$DD268,39),0)</f>
        <v/>
      </c>
      <c r="AP268">
        <f>IFERROR(INDEX(PP_Grid[#Data],$DD268,40),0)</f>
        <v/>
      </c>
      <c r="AQ268">
        <f>IFERROR(INDEX(PP_Grid[#Data],$DD268,41),0)</f>
        <v/>
      </c>
      <c r="AR268">
        <f>IFERROR(INDEX(PP_Grid[#Data],$DD268,42),0)</f>
        <v/>
      </c>
      <c r="AS268">
        <f>IFERROR(INDEX(PP_Grid[#Data],$DD268,43),0)</f>
        <v/>
      </c>
      <c r="AT268">
        <f>IFERROR(INDEX(PP_Grid[#Data],$DD268,44),0)</f>
        <v/>
      </c>
      <c r="AU268">
        <f>IFERROR(INDEX(PP_Grid[#Data],$DD268,45),0)</f>
        <v/>
      </c>
      <c r="AV268">
        <f>IFERROR(INDEX(PP_Grid[#Data],$DD268,46),0)</f>
        <v/>
      </c>
      <c r="AW268">
        <f>IFERROR(INDEX(PP_Grid[#Data],$DD268,47),0)</f>
        <v/>
      </c>
      <c r="AX268">
        <f>IFERROR(INDEX(PP_Grid[#Data],$DD268,48),0)</f>
        <v/>
      </c>
      <c r="AY268">
        <f>IFERROR(INDEX(PP_Grid[#Data],$DD268,49),0)</f>
        <v/>
      </c>
      <c r="AZ268">
        <f>IFERROR(INDEX(PP_Grid[#Data],$DD268,50),0)</f>
        <v/>
      </c>
      <c r="BA268">
        <f>IFERROR(INDEX(PP_Grid[#Data],$DD268,51),0)</f>
        <v/>
      </c>
      <c r="BB268">
        <f>IFERROR(INDEX(PP_Grid[#Data],$DD268,52),0)</f>
        <v/>
      </c>
      <c r="BC268">
        <f>IFERROR(INDEX(PP_Grid[#Data],$DD268,53),0)</f>
        <v/>
      </c>
      <c r="BD268">
        <f>IFERROR(INDEX(PP_Grid[#Data],$DD268,54),0)</f>
        <v/>
      </c>
      <c r="BE268">
        <f>IFERROR(INDEX(PP_Grid[#Data],$DD268,55),0)</f>
        <v/>
      </c>
      <c r="BF268">
        <f>IFERROR(INDEX(PP_Grid[#Data],$DD268,56),0)</f>
        <v/>
      </c>
      <c r="BG268">
        <f>IFERROR(INDEX(PP_Grid[#Data],$DD268,57),0)</f>
        <v/>
      </c>
      <c r="BH268">
        <f>IFERROR(INDEX(PP_Grid[#Data],$DD268,58),0)</f>
        <v/>
      </c>
      <c r="BI268">
        <f>IFERROR(INDEX(PP_Grid[#Data],$DD268,59),0)</f>
        <v/>
      </c>
      <c r="BJ268">
        <f>IFERROR(INDEX(PP_Grid[#Data],$DD268,60),0)</f>
        <v/>
      </c>
      <c r="BK268">
        <f>IFERROR(INDEX(PP_Grid[#Data],$DD268,61),0)</f>
        <v/>
      </c>
      <c r="BL268">
        <f>IFERROR(INDEX(PP_Grid[#Data],$DD268,62),0)</f>
        <v/>
      </c>
      <c r="BM268">
        <f>IFERROR(INDEX(PP_Grid[#Data],$DD268,63),0)</f>
        <v/>
      </c>
      <c r="BN268">
        <f>IFERROR(INDEX(PP_Grid[#Data],$DD268,64),0)</f>
        <v/>
      </c>
      <c r="BO268">
        <f>IFERROR(INDEX(PP_Grid[#Data],$DD268,65),0)</f>
        <v/>
      </c>
      <c r="BP268">
        <f>IFERROR(INDEX(PP_Grid[#Data],$DD268,66),0)</f>
        <v/>
      </c>
      <c r="BQ268">
        <f>IFERROR(INDEX(PP_Grid[#Data],$DD268,67),0)</f>
        <v/>
      </c>
      <c r="BR268">
        <f>IFERROR(INDEX(PP_Grid[#Data],$DD268,68),0)</f>
        <v/>
      </c>
      <c r="BS268">
        <f>IFERROR(INDEX(PP_Grid[#Data],$DD268,69),0)</f>
        <v/>
      </c>
      <c r="BT268">
        <f>IFERROR(INDEX(PP_Grid[#Data],$DD268,70),0)</f>
        <v/>
      </c>
      <c r="BU268">
        <f>IFERROR(INDEX(PP_Grid[#Data],$DD268,71),0)</f>
        <v/>
      </c>
      <c r="BV268">
        <f>IFERROR(INDEX(PP_Grid[#Data],$DD268,72),0)</f>
        <v/>
      </c>
      <c r="BW268">
        <f>IFERROR(INDEX(PP_Grid[#Data],$DD268,73),0)</f>
        <v/>
      </c>
      <c r="BX268">
        <f>IFERROR(INDEX(PP_Grid[#Data],$DD268,74),0)</f>
        <v/>
      </c>
      <c r="BY268">
        <f>IFERROR(INDEX(PP_Grid[#Data],$DD268,75),0)</f>
        <v/>
      </c>
      <c r="BZ268">
        <f>IFERROR(INDEX(PP_Grid[#Data],$DD268,76),0)</f>
        <v/>
      </c>
      <c r="CA268">
        <f>IFERROR(INDEX(PP_Grid[#Data],$DD268,77),0)</f>
        <v/>
      </c>
      <c r="CB268">
        <f>IFERROR(INDEX(PP_Grid[#Data],$DD268,78),0)</f>
        <v/>
      </c>
      <c r="CC268">
        <f>IFERROR(INDEX(PP_Grid[#Data],$DD268,79),0)</f>
        <v/>
      </c>
      <c r="CD268">
        <f>IFERROR(INDEX(PP_Grid[#Data],$DD268,80),0)</f>
        <v/>
      </c>
      <c r="CE268">
        <f>IFERROR(INDEX(PP_Grid[#Data],$DD268,81),0)</f>
        <v/>
      </c>
      <c r="CF268">
        <f>IFERROR(INDEX(PP_Grid[#Data],$DD268,82),0)</f>
        <v/>
      </c>
      <c r="CG268">
        <f>IFERROR(INDEX(PP_Grid[#Data],$DD268,83),0)</f>
        <v/>
      </c>
      <c r="CH268">
        <f>IFERROR(INDEX(PP_Grid[#Data],$DD268,84),0)</f>
        <v/>
      </c>
      <c r="CI268">
        <f>IFERROR(INDEX(PP_Grid[#Data],$DD268,85),0)</f>
        <v/>
      </c>
      <c r="CJ268">
        <f>IFERROR(INDEX(PP_Grid[#Data],$DD268,86),0)</f>
        <v/>
      </c>
      <c r="CK268">
        <f>IFERROR(INDEX(PP_Grid[#Data],$DD268,87),0)</f>
        <v/>
      </c>
      <c r="CL268">
        <f>IFERROR(INDEX(PP_Grid[#Data],$DD268,88),0)</f>
        <v/>
      </c>
      <c r="CM268">
        <f>IFERROR(INDEX(PP_Grid[#Data],$DD268,89),0)</f>
        <v/>
      </c>
      <c r="CN268">
        <f>IFERROR(INDEX(PP_Grid[#Data],$DD268,90),0)</f>
        <v/>
      </c>
      <c r="CO268">
        <f>IFERROR(INDEX(PP_Grid[#Data],$DD268,91),0)</f>
        <v/>
      </c>
      <c r="CP268">
        <f>IFERROR(INDEX(PP_Grid[#Data],$DD268,92),0)</f>
        <v/>
      </c>
      <c r="CQ268">
        <f>IFERROR(INDEX(PP_Grid[#Data],$DD268,93),0)</f>
        <v/>
      </c>
      <c r="CR268">
        <f>IFERROR(INDEX(PP_Grid[#Data],$DD268,94),0)</f>
        <v/>
      </c>
      <c r="CS268">
        <f>IFERROR(INDEX(PP_Grid[#Data],$DD268,95),0)</f>
        <v/>
      </c>
      <c r="CT268">
        <f>IFERROR(INDEX(PP_Grid[#Data],$DD268,96),0)</f>
        <v/>
      </c>
      <c r="CU268">
        <f>IFERROR(INDEX(PP_Grid[#Data],$DD268,97),0)</f>
        <v/>
      </c>
      <c r="CV268">
        <f>IFERROR(INDEX(PP_Grid[#Data],$DD268,98),0)</f>
        <v/>
      </c>
      <c r="CW268">
        <f>IFERROR(INDEX(PP_Grid[#Data],$DD268,99),0)</f>
        <v/>
      </c>
      <c r="CX268">
        <f>IFERROR(INDEX(PP_Grid[#Data],$DD268,100),0)</f>
        <v/>
      </c>
      <c r="CY268">
        <f>IFERROR(INDEX(PP_Grid[#Data],$DD268,101),0)</f>
        <v/>
      </c>
      <c r="CZ268">
        <f>IFERROR(INDEX(PP_Grid[#Data],$DD268,102),0)</f>
        <v/>
      </c>
      <c r="DA268">
        <f>IFERROR(INDEX(PP_Grid[#Data],$DD268,103),0)</f>
        <v/>
      </c>
      <c r="DB268">
        <f>IFERROR(INDEX(PP_Grid[#Data],$DD268,104),0)</f>
        <v/>
      </c>
      <c r="DC268">
        <f>IFERROR(INDEX(PP_Grid[#Data],$DD268,105),0)</f>
        <v/>
      </c>
      <c r="DD268" s="7">
        <f>IFERROR(MATCH($B268,PP_Grid[Intermediate],0),99999)</f>
        <v/>
      </c>
    </row>
    <row r="269">
      <c r="B269" t="inlineStr">
        <is>
          <t>使用量(kg)</t>
        </is>
      </c>
      <c r="C269">
        <f>SUMIFS(M_BOM[RM_Qty_Per_Batch],M_BOM[Intermediate],$B268,M_BOM[Part Name],$A219)</f>
        <v/>
      </c>
      <c r="D269">
        <f>$C269*D268</f>
        <v/>
      </c>
      <c r="E269">
        <f>$C269*E268</f>
        <v/>
      </c>
      <c r="F269">
        <f>$C269*F268</f>
        <v/>
      </c>
      <c r="G269">
        <f>$C269*G268</f>
        <v/>
      </c>
      <c r="H269">
        <f>$C269*H268</f>
        <v/>
      </c>
      <c r="I269">
        <f>$C269*I268</f>
        <v/>
      </c>
      <c r="J269">
        <f>$C269*J268</f>
        <v/>
      </c>
      <c r="K269">
        <f>$C269*K268</f>
        <v/>
      </c>
      <c r="L269">
        <f>$C269*L268</f>
        <v/>
      </c>
      <c r="M269">
        <f>$C269*M268</f>
        <v/>
      </c>
      <c r="N269">
        <f>$C269*N268</f>
        <v/>
      </c>
      <c r="O269">
        <f>$C269*O268</f>
        <v/>
      </c>
      <c r="P269">
        <f>$C269*P268</f>
        <v/>
      </c>
      <c r="Q269">
        <f>$C269*Q268</f>
        <v/>
      </c>
      <c r="R269">
        <f>$C269*R268</f>
        <v/>
      </c>
      <c r="S269">
        <f>$C269*S268</f>
        <v/>
      </c>
      <c r="T269">
        <f>$C269*T268</f>
        <v/>
      </c>
      <c r="U269">
        <f>$C269*U268</f>
        <v/>
      </c>
      <c r="V269">
        <f>$C269*V268</f>
        <v/>
      </c>
      <c r="W269">
        <f>$C269*W268</f>
        <v/>
      </c>
      <c r="X269">
        <f>$C269*X268</f>
        <v/>
      </c>
      <c r="Y269">
        <f>$C269*Y268</f>
        <v/>
      </c>
      <c r="Z269">
        <f>$C269*Z268</f>
        <v/>
      </c>
      <c r="AA269">
        <f>$C269*AA268</f>
        <v/>
      </c>
      <c r="AB269">
        <f>$C269*AB268</f>
        <v/>
      </c>
      <c r="AC269">
        <f>$C269*AC268</f>
        <v/>
      </c>
      <c r="AD269">
        <f>$C269*AD268</f>
        <v/>
      </c>
      <c r="AE269">
        <f>$C269*AE268</f>
        <v/>
      </c>
      <c r="AF269">
        <f>$C269*AF268</f>
        <v/>
      </c>
      <c r="AG269">
        <f>$C269*AG268</f>
        <v/>
      </c>
      <c r="AH269">
        <f>$C269*AH268</f>
        <v/>
      </c>
      <c r="AI269">
        <f>$C269*AI268</f>
        <v/>
      </c>
      <c r="AJ269">
        <f>$C269*AJ268</f>
        <v/>
      </c>
      <c r="AK269">
        <f>$C269*AK268</f>
        <v/>
      </c>
      <c r="AL269">
        <f>$C269*AL268</f>
        <v/>
      </c>
      <c r="AM269">
        <f>$C269*AM268</f>
        <v/>
      </c>
      <c r="AN269">
        <f>$C269*AN268</f>
        <v/>
      </c>
      <c r="AO269">
        <f>$C269*AO268</f>
        <v/>
      </c>
      <c r="AP269">
        <f>$C269*AP268</f>
        <v/>
      </c>
      <c r="AQ269">
        <f>$C269*AQ268</f>
        <v/>
      </c>
      <c r="AR269">
        <f>$C269*AR268</f>
        <v/>
      </c>
      <c r="AS269">
        <f>$C269*AS268</f>
        <v/>
      </c>
      <c r="AT269">
        <f>$C269*AT268</f>
        <v/>
      </c>
      <c r="AU269">
        <f>$C269*AU268</f>
        <v/>
      </c>
      <c r="AV269">
        <f>$C269*AV268</f>
        <v/>
      </c>
      <c r="AW269">
        <f>$C269*AW268</f>
        <v/>
      </c>
      <c r="AX269">
        <f>$C269*AX268</f>
        <v/>
      </c>
      <c r="AY269">
        <f>$C269*AY268</f>
        <v/>
      </c>
      <c r="AZ269">
        <f>$C269*AZ268</f>
        <v/>
      </c>
      <c r="BA269">
        <f>$C269*BA268</f>
        <v/>
      </c>
      <c r="BB269">
        <f>$C269*BB268</f>
        <v/>
      </c>
      <c r="BC269">
        <f>$C269*BC268</f>
        <v/>
      </c>
      <c r="BD269">
        <f>$C269*BD268</f>
        <v/>
      </c>
      <c r="BE269">
        <f>$C269*BE268</f>
        <v/>
      </c>
      <c r="BF269">
        <f>$C269*BF268</f>
        <v/>
      </c>
      <c r="BG269">
        <f>$C269*BG268</f>
        <v/>
      </c>
      <c r="BH269">
        <f>$C269*BH268</f>
        <v/>
      </c>
      <c r="BI269">
        <f>$C269*BI268</f>
        <v/>
      </c>
      <c r="BJ269">
        <f>$C269*BJ268</f>
        <v/>
      </c>
      <c r="BK269">
        <f>$C269*BK268</f>
        <v/>
      </c>
      <c r="BL269">
        <f>$C269*BL268</f>
        <v/>
      </c>
      <c r="BM269">
        <f>$C269*BM268</f>
        <v/>
      </c>
      <c r="BN269">
        <f>$C269*BN268</f>
        <v/>
      </c>
      <c r="BO269">
        <f>$C269*BO268</f>
        <v/>
      </c>
      <c r="BP269">
        <f>$C269*BP268</f>
        <v/>
      </c>
      <c r="BQ269">
        <f>$C269*BQ268</f>
        <v/>
      </c>
      <c r="BR269">
        <f>$C269*BR268</f>
        <v/>
      </c>
      <c r="BS269">
        <f>$C269*BS268</f>
        <v/>
      </c>
      <c r="BT269">
        <f>$C269*BT268</f>
        <v/>
      </c>
      <c r="BU269">
        <f>$C269*BU268</f>
        <v/>
      </c>
      <c r="BV269">
        <f>$C269*BV268</f>
        <v/>
      </c>
      <c r="BW269">
        <f>$C269*BW268</f>
        <v/>
      </c>
      <c r="BX269">
        <f>$C269*BX268</f>
        <v/>
      </c>
      <c r="BY269">
        <f>$C269*BY268</f>
        <v/>
      </c>
      <c r="BZ269">
        <f>$C269*BZ268</f>
        <v/>
      </c>
      <c r="CA269">
        <f>$C269*CA268</f>
        <v/>
      </c>
      <c r="CB269">
        <f>$C269*CB268</f>
        <v/>
      </c>
      <c r="CC269">
        <f>$C269*CC268</f>
        <v/>
      </c>
      <c r="CD269">
        <f>$C269*CD268</f>
        <v/>
      </c>
      <c r="CE269">
        <f>$C269*CE268</f>
        <v/>
      </c>
      <c r="CF269">
        <f>$C269*CF268</f>
        <v/>
      </c>
      <c r="CG269">
        <f>$C269*CG268</f>
        <v/>
      </c>
      <c r="CH269">
        <f>$C269*CH268</f>
        <v/>
      </c>
      <c r="CI269">
        <f>$C269*CI268</f>
        <v/>
      </c>
      <c r="CJ269">
        <f>$C269*CJ268</f>
        <v/>
      </c>
      <c r="CK269">
        <f>$C269*CK268</f>
        <v/>
      </c>
      <c r="CL269">
        <f>$C269*CL268</f>
        <v/>
      </c>
      <c r="CM269">
        <f>$C269*CM268</f>
        <v/>
      </c>
      <c r="CN269">
        <f>$C269*CN268</f>
        <v/>
      </c>
      <c r="CO269">
        <f>$C269*CO268</f>
        <v/>
      </c>
      <c r="CP269">
        <f>$C269*CP268</f>
        <v/>
      </c>
      <c r="CQ269">
        <f>$C269*CQ268</f>
        <v/>
      </c>
      <c r="CR269">
        <f>$C269*CR268</f>
        <v/>
      </c>
      <c r="CS269">
        <f>$C269*CS268</f>
        <v/>
      </c>
      <c r="CT269">
        <f>$C269*CT268</f>
        <v/>
      </c>
      <c r="CU269">
        <f>$C269*CU268</f>
        <v/>
      </c>
      <c r="CV269">
        <f>$C269*CV268</f>
        <v/>
      </c>
      <c r="CW269">
        <f>$C269*CW268</f>
        <v/>
      </c>
      <c r="CX269">
        <f>$C269*CX268</f>
        <v/>
      </c>
      <c r="CY269">
        <f>$C269*CY268</f>
        <v/>
      </c>
      <c r="CZ269">
        <f>$C269*CZ268</f>
        <v/>
      </c>
      <c r="DA269">
        <f>$C269*DA268</f>
        <v/>
      </c>
      <c r="DB269">
        <f>$C269*DB268</f>
        <v/>
      </c>
      <c r="DC269">
        <f>$C269*DC268</f>
        <v/>
      </c>
    </row>
    <row r="270">
      <c r="B270" t="inlineStr">
        <is>
          <t>TSP-925</t>
        </is>
      </c>
      <c r="C270" t="inlineStr">
        <is>
          <t>No. of batches</t>
        </is>
      </c>
      <c r="D270">
        <f>IFERROR(INDEX(PP_Grid[#Data],$DD270,2),0)</f>
        <v/>
      </c>
      <c r="E270">
        <f>IFERROR(INDEX(PP_Grid[#Data],$DD270,3),0)</f>
        <v/>
      </c>
      <c r="F270">
        <f>IFERROR(INDEX(PP_Grid[#Data],$DD270,4),0)</f>
        <v/>
      </c>
      <c r="G270">
        <f>IFERROR(INDEX(PP_Grid[#Data],$DD270,5),0)</f>
        <v/>
      </c>
      <c r="H270">
        <f>IFERROR(INDEX(PP_Grid[#Data],$DD270,6),0)</f>
        <v/>
      </c>
      <c r="I270">
        <f>IFERROR(INDEX(PP_Grid[#Data],$DD270,7),0)</f>
        <v/>
      </c>
      <c r="J270">
        <f>IFERROR(INDEX(PP_Grid[#Data],$DD270,8),0)</f>
        <v/>
      </c>
      <c r="K270">
        <f>IFERROR(INDEX(PP_Grid[#Data],$DD270,9),0)</f>
        <v/>
      </c>
      <c r="L270">
        <f>IFERROR(INDEX(PP_Grid[#Data],$DD270,10),0)</f>
        <v/>
      </c>
      <c r="M270">
        <f>IFERROR(INDEX(PP_Grid[#Data],$DD270,11),0)</f>
        <v/>
      </c>
      <c r="N270">
        <f>IFERROR(INDEX(PP_Grid[#Data],$DD270,12),0)</f>
        <v/>
      </c>
      <c r="O270">
        <f>IFERROR(INDEX(PP_Grid[#Data],$DD270,13),0)</f>
        <v/>
      </c>
      <c r="P270">
        <f>IFERROR(INDEX(PP_Grid[#Data],$DD270,14),0)</f>
        <v/>
      </c>
      <c r="Q270">
        <f>IFERROR(INDEX(PP_Grid[#Data],$DD270,15),0)</f>
        <v/>
      </c>
      <c r="R270">
        <f>IFERROR(INDEX(PP_Grid[#Data],$DD270,16),0)</f>
        <v/>
      </c>
      <c r="S270">
        <f>IFERROR(INDEX(PP_Grid[#Data],$DD270,17),0)</f>
        <v/>
      </c>
      <c r="T270">
        <f>IFERROR(INDEX(PP_Grid[#Data],$DD270,18),0)</f>
        <v/>
      </c>
      <c r="U270">
        <f>IFERROR(INDEX(PP_Grid[#Data],$DD270,19),0)</f>
        <v/>
      </c>
      <c r="V270">
        <f>IFERROR(INDEX(PP_Grid[#Data],$DD270,20),0)</f>
        <v/>
      </c>
      <c r="W270">
        <f>IFERROR(INDEX(PP_Grid[#Data],$DD270,21),0)</f>
        <v/>
      </c>
      <c r="X270">
        <f>IFERROR(INDEX(PP_Grid[#Data],$DD270,22),0)</f>
        <v/>
      </c>
      <c r="Y270">
        <f>IFERROR(INDEX(PP_Grid[#Data],$DD270,23),0)</f>
        <v/>
      </c>
      <c r="Z270">
        <f>IFERROR(INDEX(PP_Grid[#Data],$DD270,24),0)</f>
        <v/>
      </c>
      <c r="AA270">
        <f>IFERROR(INDEX(PP_Grid[#Data],$DD270,25),0)</f>
        <v/>
      </c>
      <c r="AB270">
        <f>IFERROR(INDEX(PP_Grid[#Data],$DD270,26),0)</f>
        <v/>
      </c>
      <c r="AC270">
        <f>IFERROR(INDEX(PP_Grid[#Data],$DD270,27),0)</f>
        <v/>
      </c>
      <c r="AD270">
        <f>IFERROR(INDEX(PP_Grid[#Data],$DD270,28),0)</f>
        <v/>
      </c>
      <c r="AE270">
        <f>IFERROR(INDEX(PP_Grid[#Data],$DD270,29),0)</f>
        <v/>
      </c>
      <c r="AF270">
        <f>IFERROR(INDEX(PP_Grid[#Data],$DD270,30),0)</f>
        <v/>
      </c>
      <c r="AG270">
        <f>IFERROR(INDEX(PP_Grid[#Data],$DD270,31),0)</f>
        <v/>
      </c>
      <c r="AH270">
        <f>IFERROR(INDEX(PP_Grid[#Data],$DD270,32),0)</f>
        <v/>
      </c>
      <c r="AI270">
        <f>IFERROR(INDEX(PP_Grid[#Data],$DD270,33),0)</f>
        <v/>
      </c>
      <c r="AJ270">
        <f>IFERROR(INDEX(PP_Grid[#Data],$DD270,34),0)</f>
        <v/>
      </c>
      <c r="AK270">
        <f>IFERROR(INDEX(PP_Grid[#Data],$DD270,35),0)</f>
        <v/>
      </c>
      <c r="AL270">
        <f>IFERROR(INDEX(PP_Grid[#Data],$DD270,36),0)</f>
        <v/>
      </c>
      <c r="AM270">
        <f>IFERROR(INDEX(PP_Grid[#Data],$DD270,37),0)</f>
        <v/>
      </c>
      <c r="AN270">
        <f>IFERROR(INDEX(PP_Grid[#Data],$DD270,38),0)</f>
        <v/>
      </c>
      <c r="AO270">
        <f>IFERROR(INDEX(PP_Grid[#Data],$DD270,39),0)</f>
        <v/>
      </c>
      <c r="AP270">
        <f>IFERROR(INDEX(PP_Grid[#Data],$DD270,40),0)</f>
        <v/>
      </c>
      <c r="AQ270">
        <f>IFERROR(INDEX(PP_Grid[#Data],$DD270,41),0)</f>
        <v/>
      </c>
      <c r="AR270">
        <f>IFERROR(INDEX(PP_Grid[#Data],$DD270,42),0)</f>
        <v/>
      </c>
      <c r="AS270">
        <f>IFERROR(INDEX(PP_Grid[#Data],$DD270,43),0)</f>
        <v/>
      </c>
      <c r="AT270">
        <f>IFERROR(INDEX(PP_Grid[#Data],$DD270,44),0)</f>
        <v/>
      </c>
      <c r="AU270">
        <f>IFERROR(INDEX(PP_Grid[#Data],$DD270,45),0)</f>
        <v/>
      </c>
      <c r="AV270">
        <f>IFERROR(INDEX(PP_Grid[#Data],$DD270,46),0)</f>
        <v/>
      </c>
      <c r="AW270">
        <f>IFERROR(INDEX(PP_Grid[#Data],$DD270,47),0)</f>
        <v/>
      </c>
      <c r="AX270">
        <f>IFERROR(INDEX(PP_Grid[#Data],$DD270,48),0)</f>
        <v/>
      </c>
      <c r="AY270">
        <f>IFERROR(INDEX(PP_Grid[#Data],$DD270,49),0)</f>
        <v/>
      </c>
      <c r="AZ270">
        <f>IFERROR(INDEX(PP_Grid[#Data],$DD270,50),0)</f>
        <v/>
      </c>
      <c r="BA270">
        <f>IFERROR(INDEX(PP_Grid[#Data],$DD270,51),0)</f>
        <v/>
      </c>
      <c r="BB270">
        <f>IFERROR(INDEX(PP_Grid[#Data],$DD270,52),0)</f>
        <v/>
      </c>
      <c r="BC270">
        <f>IFERROR(INDEX(PP_Grid[#Data],$DD270,53),0)</f>
        <v/>
      </c>
      <c r="BD270">
        <f>IFERROR(INDEX(PP_Grid[#Data],$DD270,54),0)</f>
        <v/>
      </c>
      <c r="BE270">
        <f>IFERROR(INDEX(PP_Grid[#Data],$DD270,55),0)</f>
        <v/>
      </c>
      <c r="BF270">
        <f>IFERROR(INDEX(PP_Grid[#Data],$DD270,56),0)</f>
        <v/>
      </c>
      <c r="BG270">
        <f>IFERROR(INDEX(PP_Grid[#Data],$DD270,57),0)</f>
        <v/>
      </c>
      <c r="BH270">
        <f>IFERROR(INDEX(PP_Grid[#Data],$DD270,58),0)</f>
        <v/>
      </c>
      <c r="BI270">
        <f>IFERROR(INDEX(PP_Grid[#Data],$DD270,59),0)</f>
        <v/>
      </c>
      <c r="BJ270">
        <f>IFERROR(INDEX(PP_Grid[#Data],$DD270,60),0)</f>
        <v/>
      </c>
      <c r="BK270">
        <f>IFERROR(INDEX(PP_Grid[#Data],$DD270,61),0)</f>
        <v/>
      </c>
      <c r="BL270">
        <f>IFERROR(INDEX(PP_Grid[#Data],$DD270,62),0)</f>
        <v/>
      </c>
      <c r="BM270">
        <f>IFERROR(INDEX(PP_Grid[#Data],$DD270,63),0)</f>
        <v/>
      </c>
      <c r="BN270">
        <f>IFERROR(INDEX(PP_Grid[#Data],$DD270,64),0)</f>
        <v/>
      </c>
      <c r="BO270">
        <f>IFERROR(INDEX(PP_Grid[#Data],$DD270,65),0)</f>
        <v/>
      </c>
      <c r="BP270">
        <f>IFERROR(INDEX(PP_Grid[#Data],$DD270,66),0)</f>
        <v/>
      </c>
      <c r="BQ270">
        <f>IFERROR(INDEX(PP_Grid[#Data],$DD270,67),0)</f>
        <v/>
      </c>
      <c r="BR270">
        <f>IFERROR(INDEX(PP_Grid[#Data],$DD270,68),0)</f>
        <v/>
      </c>
      <c r="BS270">
        <f>IFERROR(INDEX(PP_Grid[#Data],$DD270,69),0)</f>
        <v/>
      </c>
      <c r="BT270">
        <f>IFERROR(INDEX(PP_Grid[#Data],$DD270,70),0)</f>
        <v/>
      </c>
      <c r="BU270">
        <f>IFERROR(INDEX(PP_Grid[#Data],$DD270,71),0)</f>
        <v/>
      </c>
      <c r="BV270">
        <f>IFERROR(INDEX(PP_Grid[#Data],$DD270,72),0)</f>
        <v/>
      </c>
      <c r="BW270">
        <f>IFERROR(INDEX(PP_Grid[#Data],$DD270,73),0)</f>
        <v/>
      </c>
      <c r="BX270">
        <f>IFERROR(INDEX(PP_Grid[#Data],$DD270,74),0)</f>
        <v/>
      </c>
      <c r="BY270">
        <f>IFERROR(INDEX(PP_Grid[#Data],$DD270,75),0)</f>
        <v/>
      </c>
      <c r="BZ270">
        <f>IFERROR(INDEX(PP_Grid[#Data],$DD270,76),0)</f>
        <v/>
      </c>
      <c r="CA270">
        <f>IFERROR(INDEX(PP_Grid[#Data],$DD270,77),0)</f>
        <v/>
      </c>
      <c r="CB270">
        <f>IFERROR(INDEX(PP_Grid[#Data],$DD270,78),0)</f>
        <v/>
      </c>
      <c r="CC270">
        <f>IFERROR(INDEX(PP_Grid[#Data],$DD270,79),0)</f>
        <v/>
      </c>
      <c r="CD270">
        <f>IFERROR(INDEX(PP_Grid[#Data],$DD270,80),0)</f>
        <v/>
      </c>
      <c r="CE270">
        <f>IFERROR(INDEX(PP_Grid[#Data],$DD270,81),0)</f>
        <v/>
      </c>
      <c r="CF270">
        <f>IFERROR(INDEX(PP_Grid[#Data],$DD270,82),0)</f>
        <v/>
      </c>
      <c r="CG270">
        <f>IFERROR(INDEX(PP_Grid[#Data],$DD270,83),0)</f>
        <v/>
      </c>
      <c r="CH270">
        <f>IFERROR(INDEX(PP_Grid[#Data],$DD270,84),0)</f>
        <v/>
      </c>
      <c r="CI270">
        <f>IFERROR(INDEX(PP_Grid[#Data],$DD270,85),0)</f>
        <v/>
      </c>
      <c r="CJ270">
        <f>IFERROR(INDEX(PP_Grid[#Data],$DD270,86),0)</f>
        <v/>
      </c>
      <c r="CK270">
        <f>IFERROR(INDEX(PP_Grid[#Data],$DD270,87),0)</f>
        <v/>
      </c>
      <c r="CL270">
        <f>IFERROR(INDEX(PP_Grid[#Data],$DD270,88),0)</f>
        <v/>
      </c>
      <c r="CM270">
        <f>IFERROR(INDEX(PP_Grid[#Data],$DD270,89),0)</f>
        <v/>
      </c>
      <c r="CN270">
        <f>IFERROR(INDEX(PP_Grid[#Data],$DD270,90),0)</f>
        <v/>
      </c>
      <c r="CO270">
        <f>IFERROR(INDEX(PP_Grid[#Data],$DD270,91),0)</f>
        <v/>
      </c>
      <c r="CP270">
        <f>IFERROR(INDEX(PP_Grid[#Data],$DD270,92),0)</f>
        <v/>
      </c>
      <c r="CQ270">
        <f>IFERROR(INDEX(PP_Grid[#Data],$DD270,93),0)</f>
        <v/>
      </c>
      <c r="CR270">
        <f>IFERROR(INDEX(PP_Grid[#Data],$DD270,94),0)</f>
        <v/>
      </c>
      <c r="CS270">
        <f>IFERROR(INDEX(PP_Grid[#Data],$DD270,95),0)</f>
        <v/>
      </c>
      <c r="CT270">
        <f>IFERROR(INDEX(PP_Grid[#Data],$DD270,96),0)</f>
        <v/>
      </c>
      <c r="CU270">
        <f>IFERROR(INDEX(PP_Grid[#Data],$DD270,97),0)</f>
        <v/>
      </c>
      <c r="CV270">
        <f>IFERROR(INDEX(PP_Grid[#Data],$DD270,98),0)</f>
        <v/>
      </c>
      <c r="CW270">
        <f>IFERROR(INDEX(PP_Grid[#Data],$DD270,99),0)</f>
        <v/>
      </c>
      <c r="CX270">
        <f>IFERROR(INDEX(PP_Grid[#Data],$DD270,100),0)</f>
        <v/>
      </c>
      <c r="CY270">
        <f>IFERROR(INDEX(PP_Grid[#Data],$DD270,101),0)</f>
        <v/>
      </c>
      <c r="CZ270">
        <f>IFERROR(INDEX(PP_Grid[#Data],$DD270,102),0)</f>
        <v/>
      </c>
      <c r="DA270">
        <f>IFERROR(INDEX(PP_Grid[#Data],$DD270,103),0)</f>
        <v/>
      </c>
      <c r="DB270">
        <f>IFERROR(INDEX(PP_Grid[#Data],$DD270,104),0)</f>
        <v/>
      </c>
      <c r="DC270">
        <f>IFERROR(INDEX(PP_Grid[#Data],$DD270,105),0)</f>
        <v/>
      </c>
      <c r="DD270" s="7">
        <f>IFERROR(MATCH($B270,PP_Grid[Intermediate],0),99999)</f>
        <v/>
      </c>
    </row>
    <row r="271">
      <c r="B271" t="inlineStr">
        <is>
          <t>使用量(kg)</t>
        </is>
      </c>
      <c r="C271">
        <f>SUMIFS(M_BOM[RM_Qty_Per_Batch],M_BOM[Intermediate],$B270,M_BOM[Part Name],$A219)</f>
        <v/>
      </c>
      <c r="D271">
        <f>$C271*D270</f>
        <v/>
      </c>
      <c r="E271">
        <f>$C271*E270</f>
        <v/>
      </c>
      <c r="F271">
        <f>$C271*F270</f>
        <v/>
      </c>
      <c r="G271">
        <f>$C271*G270</f>
        <v/>
      </c>
      <c r="H271">
        <f>$C271*H270</f>
        <v/>
      </c>
      <c r="I271">
        <f>$C271*I270</f>
        <v/>
      </c>
      <c r="J271">
        <f>$C271*J270</f>
        <v/>
      </c>
      <c r="K271">
        <f>$C271*K270</f>
        <v/>
      </c>
      <c r="L271">
        <f>$C271*L270</f>
        <v/>
      </c>
      <c r="M271">
        <f>$C271*M270</f>
        <v/>
      </c>
      <c r="N271">
        <f>$C271*N270</f>
        <v/>
      </c>
      <c r="O271">
        <f>$C271*O270</f>
        <v/>
      </c>
      <c r="P271">
        <f>$C271*P270</f>
        <v/>
      </c>
      <c r="Q271">
        <f>$C271*Q270</f>
        <v/>
      </c>
      <c r="R271">
        <f>$C271*R270</f>
        <v/>
      </c>
      <c r="S271">
        <f>$C271*S270</f>
        <v/>
      </c>
      <c r="T271">
        <f>$C271*T270</f>
        <v/>
      </c>
      <c r="U271">
        <f>$C271*U270</f>
        <v/>
      </c>
      <c r="V271">
        <f>$C271*V270</f>
        <v/>
      </c>
      <c r="W271">
        <f>$C271*W270</f>
        <v/>
      </c>
      <c r="X271">
        <f>$C271*X270</f>
        <v/>
      </c>
      <c r="Y271">
        <f>$C271*Y270</f>
        <v/>
      </c>
      <c r="Z271">
        <f>$C271*Z270</f>
        <v/>
      </c>
      <c r="AA271">
        <f>$C271*AA270</f>
        <v/>
      </c>
      <c r="AB271">
        <f>$C271*AB270</f>
        <v/>
      </c>
      <c r="AC271">
        <f>$C271*AC270</f>
        <v/>
      </c>
      <c r="AD271">
        <f>$C271*AD270</f>
        <v/>
      </c>
      <c r="AE271">
        <f>$C271*AE270</f>
        <v/>
      </c>
      <c r="AF271">
        <f>$C271*AF270</f>
        <v/>
      </c>
      <c r="AG271">
        <f>$C271*AG270</f>
        <v/>
      </c>
      <c r="AH271">
        <f>$C271*AH270</f>
        <v/>
      </c>
      <c r="AI271">
        <f>$C271*AI270</f>
        <v/>
      </c>
      <c r="AJ271">
        <f>$C271*AJ270</f>
        <v/>
      </c>
      <c r="AK271">
        <f>$C271*AK270</f>
        <v/>
      </c>
      <c r="AL271">
        <f>$C271*AL270</f>
        <v/>
      </c>
      <c r="AM271">
        <f>$C271*AM270</f>
        <v/>
      </c>
      <c r="AN271">
        <f>$C271*AN270</f>
        <v/>
      </c>
      <c r="AO271">
        <f>$C271*AO270</f>
        <v/>
      </c>
      <c r="AP271">
        <f>$C271*AP270</f>
        <v/>
      </c>
      <c r="AQ271">
        <f>$C271*AQ270</f>
        <v/>
      </c>
      <c r="AR271">
        <f>$C271*AR270</f>
        <v/>
      </c>
      <c r="AS271">
        <f>$C271*AS270</f>
        <v/>
      </c>
      <c r="AT271">
        <f>$C271*AT270</f>
        <v/>
      </c>
      <c r="AU271">
        <f>$C271*AU270</f>
        <v/>
      </c>
      <c r="AV271">
        <f>$C271*AV270</f>
        <v/>
      </c>
      <c r="AW271">
        <f>$C271*AW270</f>
        <v/>
      </c>
      <c r="AX271">
        <f>$C271*AX270</f>
        <v/>
      </c>
      <c r="AY271">
        <f>$C271*AY270</f>
        <v/>
      </c>
      <c r="AZ271">
        <f>$C271*AZ270</f>
        <v/>
      </c>
      <c r="BA271">
        <f>$C271*BA270</f>
        <v/>
      </c>
      <c r="BB271">
        <f>$C271*BB270</f>
        <v/>
      </c>
      <c r="BC271">
        <f>$C271*BC270</f>
        <v/>
      </c>
      <c r="BD271">
        <f>$C271*BD270</f>
        <v/>
      </c>
      <c r="BE271">
        <f>$C271*BE270</f>
        <v/>
      </c>
      <c r="BF271">
        <f>$C271*BF270</f>
        <v/>
      </c>
      <c r="BG271">
        <f>$C271*BG270</f>
        <v/>
      </c>
      <c r="BH271">
        <f>$C271*BH270</f>
        <v/>
      </c>
      <c r="BI271">
        <f>$C271*BI270</f>
        <v/>
      </c>
      <c r="BJ271">
        <f>$C271*BJ270</f>
        <v/>
      </c>
      <c r="BK271">
        <f>$C271*BK270</f>
        <v/>
      </c>
      <c r="BL271">
        <f>$C271*BL270</f>
        <v/>
      </c>
      <c r="BM271">
        <f>$C271*BM270</f>
        <v/>
      </c>
      <c r="BN271">
        <f>$C271*BN270</f>
        <v/>
      </c>
      <c r="BO271">
        <f>$C271*BO270</f>
        <v/>
      </c>
      <c r="BP271">
        <f>$C271*BP270</f>
        <v/>
      </c>
      <c r="BQ271">
        <f>$C271*BQ270</f>
        <v/>
      </c>
      <c r="BR271">
        <f>$C271*BR270</f>
        <v/>
      </c>
      <c r="BS271">
        <f>$C271*BS270</f>
        <v/>
      </c>
      <c r="BT271">
        <f>$C271*BT270</f>
        <v/>
      </c>
      <c r="BU271">
        <f>$C271*BU270</f>
        <v/>
      </c>
      <c r="BV271">
        <f>$C271*BV270</f>
        <v/>
      </c>
      <c r="BW271">
        <f>$C271*BW270</f>
        <v/>
      </c>
      <c r="BX271">
        <f>$C271*BX270</f>
        <v/>
      </c>
      <c r="BY271">
        <f>$C271*BY270</f>
        <v/>
      </c>
      <c r="BZ271">
        <f>$C271*BZ270</f>
        <v/>
      </c>
      <c r="CA271">
        <f>$C271*CA270</f>
        <v/>
      </c>
      <c r="CB271">
        <f>$C271*CB270</f>
        <v/>
      </c>
      <c r="CC271">
        <f>$C271*CC270</f>
        <v/>
      </c>
      <c r="CD271">
        <f>$C271*CD270</f>
        <v/>
      </c>
      <c r="CE271">
        <f>$C271*CE270</f>
        <v/>
      </c>
      <c r="CF271">
        <f>$C271*CF270</f>
        <v/>
      </c>
      <c r="CG271">
        <f>$C271*CG270</f>
        <v/>
      </c>
      <c r="CH271">
        <f>$C271*CH270</f>
        <v/>
      </c>
      <c r="CI271">
        <f>$C271*CI270</f>
        <v/>
      </c>
      <c r="CJ271">
        <f>$C271*CJ270</f>
        <v/>
      </c>
      <c r="CK271">
        <f>$C271*CK270</f>
        <v/>
      </c>
      <c r="CL271">
        <f>$C271*CL270</f>
        <v/>
      </c>
      <c r="CM271">
        <f>$C271*CM270</f>
        <v/>
      </c>
      <c r="CN271">
        <f>$C271*CN270</f>
        <v/>
      </c>
      <c r="CO271">
        <f>$C271*CO270</f>
        <v/>
      </c>
      <c r="CP271">
        <f>$C271*CP270</f>
        <v/>
      </c>
      <c r="CQ271">
        <f>$C271*CQ270</f>
        <v/>
      </c>
      <c r="CR271">
        <f>$C271*CR270</f>
        <v/>
      </c>
      <c r="CS271">
        <f>$C271*CS270</f>
        <v/>
      </c>
      <c r="CT271">
        <f>$C271*CT270</f>
        <v/>
      </c>
      <c r="CU271">
        <f>$C271*CU270</f>
        <v/>
      </c>
      <c r="CV271">
        <f>$C271*CV270</f>
        <v/>
      </c>
      <c r="CW271">
        <f>$C271*CW270</f>
        <v/>
      </c>
      <c r="CX271">
        <f>$C271*CX270</f>
        <v/>
      </c>
      <c r="CY271">
        <f>$C271*CY270</f>
        <v/>
      </c>
      <c r="CZ271">
        <f>$C271*CZ270</f>
        <v/>
      </c>
      <c r="DA271">
        <f>$C271*DA270</f>
        <v/>
      </c>
      <c r="DB271">
        <f>$C271*DB270</f>
        <v/>
      </c>
      <c r="DC271">
        <f>$C271*DC270</f>
        <v/>
      </c>
    </row>
    <row r="272">
      <c r="B272" t="inlineStr">
        <is>
          <t>TSP-927</t>
        </is>
      </c>
      <c r="C272" t="inlineStr">
        <is>
          <t>No. of batches</t>
        </is>
      </c>
      <c r="D272">
        <f>IFERROR(INDEX(PP_Grid[#Data],$DD272,2),0)</f>
        <v/>
      </c>
      <c r="E272">
        <f>IFERROR(INDEX(PP_Grid[#Data],$DD272,3),0)</f>
        <v/>
      </c>
      <c r="F272">
        <f>IFERROR(INDEX(PP_Grid[#Data],$DD272,4),0)</f>
        <v/>
      </c>
      <c r="G272">
        <f>IFERROR(INDEX(PP_Grid[#Data],$DD272,5),0)</f>
        <v/>
      </c>
      <c r="H272">
        <f>IFERROR(INDEX(PP_Grid[#Data],$DD272,6),0)</f>
        <v/>
      </c>
      <c r="I272">
        <f>IFERROR(INDEX(PP_Grid[#Data],$DD272,7),0)</f>
        <v/>
      </c>
      <c r="J272">
        <f>IFERROR(INDEX(PP_Grid[#Data],$DD272,8),0)</f>
        <v/>
      </c>
      <c r="K272">
        <f>IFERROR(INDEX(PP_Grid[#Data],$DD272,9),0)</f>
        <v/>
      </c>
      <c r="L272">
        <f>IFERROR(INDEX(PP_Grid[#Data],$DD272,10),0)</f>
        <v/>
      </c>
      <c r="M272">
        <f>IFERROR(INDEX(PP_Grid[#Data],$DD272,11),0)</f>
        <v/>
      </c>
      <c r="N272">
        <f>IFERROR(INDEX(PP_Grid[#Data],$DD272,12),0)</f>
        <v/>
      </c>
      <c r="O272">
        <f>IFERROR(INDEX(PP_Grid[#Data],$DD272,13),0)</f>
        <v/>
      </c>
      <c r="P272">
        <f>IFERROR(INDEX(PP_Grid[#Data],$DD272,14),0)</f>
        <v/>
      </c>
      <c r="Q272">
        <f>IFERROR(INDEX(PP_Grid[#Data],$DD272,15),0)</f>
        <v/>
      </c>
      <c r="R272">
        <f>IFERROR(INDEX(PP_Grid[#Data],$DD272,16),0)</f>
        <v/>
      </c>
      <c r="S272">
        <f>IFERROR(INDEX(PP_Grid[#Data],$DD272,17),0)</f>
        <v/>
      </c>
      <c r="T272">
        <f>IFERROR(INDEX(PP_Grid[#Data],$DD272,18),0)</f>
        <v/>
      </c>
      <c r="U272">
        <f>IFERROR(INDEX(PP_Grid[#Data],$DD272,19),0)</f>
        <v/>
      </c>
      <c r="V272">
        <f>IFERROR(INDEX(PP_Grid[#Data],$DD272,20),0)</f>
        <v/>
      </c>
      <c r="W272">
        <f>IFERROR(INDEX(PP_Grid[#Data],$DD272,21),0)</f>
        <v/>
      </c>
      <c r="X272">
        <f>IFERROR(INDEX(PP_Grid[#Data],$DD272,22),0)</f>
        <v/>
      </c>
      <c r="Y272">
        <f>IFERROR(INDEX(PP_Grid[#Data],$DD272,23),0)</f>
        <v/>
      </c>
      <c r="Z272">
        <f>IFERROR(INDEX(PP_Grid[#Data],$DD272,24),0)</f>
        <v/>
      </c>
      <c r="AA272">
        <f>IFERROR(INDEX(PP_Grid[#Data],$DD272,25),0)</f>
        <v/>
      </c>
      <c r="AB272">
        <f>IFERROR(INDEX(PP_Grid[#Data],$DD272,26),0)</f>
        <v/>
      </c>
      <c r="AC272">
        <f>IFERROR(INDEX(PP_Grid[#Data],$DD272,27),0)</f>
        <v/>
      </c>
      <c r="AD272">
        <f>IFERROR(INDEX(PP_Grid[#Data],$DD272,28),0)</f>
        <v/>
      </c>
      <c r="AE272">
        <f>IFERROR(INDEX(PP_Grid[#Data],$DD272,29),0)</f>
        <v/>
      </c>
      <c r="AF272">
        <f>IFERROR(INDEX(PP_Grid[#Data],$DD272,30),0)</f>
        <v/>
      </c>
      <c r="AG272">
        <f>IFERROR(INDEX(PP_Grid[#Data],$DD272,31),0)</f>
        <v/>
      </c>
      <c r="AH272">
        <f>IFERROR(INDEX(PP_Grid[#Data],$DD272,32),0)</f>
        <v/>
      </c>
      <c r="AI272">
        <f>IFERROR(INDEX(PP_Grid[#Data],$DD272,33),0)</f>
        <v/>
      </c>
      <c r="AJ272">
        <f>IFERROR(INDEX(PP_Grid[#Data],$DD272,34),0)</f>
        <v/>
      </c>
      <c r="AK272">
        <f>IFERROR(INDEX(PP_Grid[#Data],$DD272,35),0)</f>
        <v/>
      </c>
      <c r="AL272">
        <f>IFERROR(INDEX(PP_Grid[#Data],$DD272,36),0)</f>
        <v/>
      </c>
      <c r="AM272">
        <f>IFERROR(INDEX(PP_Grid[#Data],$DD272,37),0)</f>
        <v/>
      </c>
      <c r="AN272">
        <f>IFERROR(INDEX(PP_Grid[#Data],$DD272,38),0)</f>
        <v/>
      </c>
      <c r="AO272">
        <f>IFERROR(INDEX(PP_Grid[#Data],$DD272,39),0)</f>
        <v/>
      </c>
      <c r="AP272">
        <f>IFERROR(INDEX(PP_Grid[#Data],$DD272,40),0)</f>
        <v/>
      </c>
      <c r="AQ272">
        <f>IFERROR(INDEX(PP_Grid[#Data],$DD272,41),0)</f>
        <v/>
      </c>
      <c r="AR272">
        <f>IFERROR(INDEX(PP_Grid[#Data],$DD272,42),0)</f>
        <v/>
      </c>
      <c r="AS272">
        <f>IFERROR(INDEX(PP_Grid[#Data],$DD272,43),0)</f>
        <v/>
      </c>
      <c r="AT272">
        <f>IFERROR(INDEX(PP_Grid[#Data],$DD272,44),0)</f>
        <v/>
      </c>
      <c r="AU272">
        <f>IFERROR(INDEX(PP_Grid[#Data],$DD272,45),0)</f>
        <v/>
      </c>
      <c r="AV272">
        <f>IFERROR(INDEX(PP_Grid[#Data],$DD272,46),0)</f>
        <v/>
      </c>
      <c r="AW272">
        <f>IFERROR(INDEX(PP_Grid[#Data],$DD272,47),0)</f>
        <v/>
      </c>
      <c r="AX272">
        <f>IFERROR(INDEX(PP_Grid[#Data],$DD272,48),0)</f>
        <v/>
      </c>
      <c r="AY272">
        <f>IFERROR(INDEX(PP_Grid[#Data],$DD272,49),0)</f>
        <v/>
      </c>
      <c r="AZ272">
        <f>IFERROR(INDEX(PP_Grid[#Data],$DD272,50),0)</f>
        <v/>
      </c>
      <c r="BA272">
        <f>IFERROR(INDEX(PP_Grid[#Data],$DD272,51),0)</f>
        <v/>
      </c>
      <c r="BB272">
        <f>IFERROR(INDEX(PP_Grid[#Data],$DD272,52),0)</f>
        <v/>
      </c>
      <c r="BC272">
        <f>IFERROR(INDEX(PP_Grid[#Data],$DD272,53),0)</f>
        <v/>
      </c>
      <c r="BD272">
        <f>IFERROR(INDEX(PP_Grid[#Data],$DD272,54),0)</f>
        <v/>
      </c>
      <c r="BE272">
        <f>IFERROR(INDEX(PP_Grid[#Data],$DD272,55),0)</f>
        <v/>
      </c>
      <c r="BF272">
        <f>IFERROR(INDEX(PP_Grid[#Data],$DD272,56),0)</f>
        <v/>
      </c>
      <c r="BG272">
        <f>IFERROR(INDEX(PP_Grid[#Data],$DD272,57),0)</f>
        <v/>
      </c>
      <c r="BH272">
        <f>IFERROR(INDEX(PP_Grid[#Data],$DD272,58),0)</f>
        <v/>
      </c>
      <c r="BI272">
        <f>IFERROR(INDEX(PP_Grid[#Data],$DD272,59),0)</f>
        <v/>
      </c>
      <c r="BJ272">
        <f>IFERROR(INDEX(PP_Grid[#Data],$DD272,60),0)</f>
        <v/>
      </c>
      <c r="BK272">
        <f>IFERROR(INDEX(PP_Grid[#Data],$DD272,61),0)</f>
        <v/>
      </c>
      <c r="BL272">
        <f>IFERROR(INDEX(PP_Grid[#Data],$DD272,62),0)</f>
        <v/>
      </c>
      <c r="BM272">
        <f>IFERROR(INDEX(PP_Grid[#Data],$DD272,63),0)</f>
        <v/>
      </c>
      <c r="BN272">
        <f>IFERROR(INDEX(PP_Grid[#Data],$DD272,64),0)</f>
        <v/>
      </c>
      <c r="BO272">
        <f>IFERROR(INDEX(PP_Grid[#Data],$DD272,65),0)</f>
        <v/>
      </c>
      <c r="BP272">
        <f>IFERROR(INDEX(PP_Grid[#Data],$DD272,66),0)</f>
        <v/>
      </c>
      <c r="BQ272">
        <f>IFERROR(INDEX(PP_Grid[#Data],$DD272,67),0)</f>
        <v/>
      </c>
      <c r="BR272">
        <f>IFERROR(INDEX(PP_Grid[#Data],$DD272,68),0)</f>
        <v/>
      </c>
      <c r="BS272">
        <f>IFERROR(INDEX(PP_Grid[#Data],$DD272,69),0)</f>
        <v/>
      </c>
      <c r="BT272">
        <f>IFERROR(INDEX(PP_Grid[#Data],$DD272,70),0)</f>
        <v/>
      </c>
      <c r="BU272">
        <f>IFERROR(INDEX(PP_Grid[#Data],$DD272,71),0)</f>
        <v/>
      </c>
      <c r="BV272">
        <f>IFERROR(INDEX(PP_Grid[#Data],$DD272,72),0)</f>
        <v/>
      </c>
      <c r="BW272">
        <f>IFERROR(INDEX(PP_Grid[#Data],$DD272,73),0)</f>
        <v/>
      </c>
      <c r="BX272">
        <f>IFERROR(INDEX(PP_Grid[#Data],$DD272,74),0)</f>
        <v/>
      </c>
      <c r="BY272">
        <f>IFERROR(INDEX(PP_Grid[#Data],$DD272,75),0)</f>
        <v/>
      </c>
      <c r="BZ272">
        <f>IFERROR(INDEX(PP_Grid[#Data],$DD272,76),0)</f>
        <v/>
      </c>
      <c r="CA272">
        <f>IFERROR(INDEX(PP_Grid[#Data],$DD272,77),0)</f>
        <v/>
      </c>
      <c r="CB272">
        <f>IFERROR(INDEX(PP_Grid[#Data],$DD272,78),0)</f>
        <v/>
      </c>
      <c r="CC272">
        <f>IFERROR(INDEX(PP_Grid[#Data],$DD272,79),0)</f>
        <v/>
      </c>
      <c r="CD272">
        <f>IFERROR(INDEX(PP_Grid[#Data],$DD272,80),0)</f>
        <v/>
      </c>
      <c r="CE272">
        <f>IFERROR(INDEX(PP_Grid[#Data],$DD272,81),0)</f>
        <v/>
      </c>
      <c r="CF272">
        <f>IFERROR(INDEX(PP_Grid[#Data],$DD272,82),0)</f>
        <v/>
      </c>
      <c r="CG272">
        <f>IFERROR(INDEX(PP_Grid[#Data],$DD272,83),0)</f>
        <v/>
      </c>
      <c r="CH272">
        <f>IFERROR(INDEX(PP_Grid[#Data],$DD272,84),0)</f>
        <v/>
      </c>
      <c r="CI272">
        <f>IFERROR(INDEX(PP_Grid[#Data],$DD272,85),0)</f>
        <v/>
      </c>
      <c r="CJ272">
        <f>IFERROR(INDEX(PP_Grid[#Data],$DD272,86),0)</f>
        <v/>
      </c>
      <c r="CK272">
        <f>IFERROR(INDEX(PP_Grid[#Data],$DD272,87),0)</f>
        <v/>
      </c>
      <c r="CL272">
        <f>IFERROR(INDEX(PP_Grid[#Data],$DD272,88),0)</f>
        <v/>
      </c>
      <c r="CM272">
        <f>IFERROR(INDEX(PP_Grid[#Data],$DD272,89),0)</f>
        <v/>
      </c>
      <c r="CN272">
        <f>IFERROR(INDEX(PP_Grid[#Data],$DD272,90),0)</f>
        <v/>
      </c>
      <c r="CO272">
        <f>IFERROR(INDEX(PP_Grid[#Data],$DD272,91),0)</f>
        <v/>
      </c>
      <c r="CP272">
        <f>IFERROR(INDEX(PP_Grid[#Data],$DD272,92),0)</f>
        <v/>
      </c>
      <c r="CQ272">
        <f>IFERROR(INDEX(PP_Grid[#Data],$DD272,93),0)</f>
        <v/>
      </c>
      <c r="CR272">
        <f>IFERROR(INDEX(PP_Grid[#Data],$DD272,94),0)</f>
        <v/>
      </c>
      <c r="CS272">
        <f>IFERROR(INDEX(PP_Grid[#Data],$DD272,95),0)</f>
        <v/>
      </c>
      <c r="CT272">
        <f>IFERROR(INDEX(PP_Grid[#Data],$DD272,96),0)</f>
        <v/>
      </c>
      <c r="CU272">
        <f>IFERROR(INDEX(PP_Grid[#Data],$DD272,97),0)</f>
        <v/>
      </c>
      <c r="CV272">
        <f>IFERROR(INDEX(PP_Grid[#Data],$DD272,98),0)</f>
        <v/>
      </c>
      <c r="CW272">
        <f>IFERROR(INDEX(PP_Grid[#Data],$DD272,99),0)</f>
        <v/>
      </c>
      <c r="CX272">
        <f>IFERROR(INDEX(PP_Grid[#Data],$DD272,100),0)</f>
        <v/>
      </c>
      <c r="CY272">
        <f>IFERROR(INDEX(PP_Grid[#Data],$DD272,101),0)</f>
        <v/>
      </c>
      <c r="CZ272">
        <f>IFERROR(INDEX(PP_Grid[#Data],$DD272,102),0)</f>
        <v/>
      </c>
      <c r="DA272">
        <f>IFERROR(INDEX(PP_Grid[#Data],$DD272,103),0)</f>
        <v/>
      </c>
      <c r="DB272">
        <f>IFERROR(INDEX(PP_Grid[#Data],$DD272,104),0)</f>
        <v/>
      </c>
      <c r="DC272">
        <f>IFERROR(INDEX(PP_Grid[#Data],$DD272,105),0)</f>
        <v/>
      </c>
      <c r="DD272" s="7">
        <f>IFERROR(MATCH($B272,PP_Grid[Intermediate],0),99999)</f>
        <v/>
      </c>
    </row>
    <row r="273">
      <c r="B273" t="inlineStr">
        <is>
          <t>使用量(kg)</t>
        </is>
      </c>
      <c r="C273">
        <f>SUMIFS(M_BOM[RM_Qty_Per_Batch],M_BOM[Intermediate],$B272,M_BOM[Part Name],$A219)</f>
        <v/>
      </c>
      <c r="D273">
        <f>$C273*D272</f>
        <v/>
      </c>
      <c r="E273">
        <f>$C273*E272</f>
        <v/>
      </c>
      <c r="F273">
        <f>$C273*F272</f>
        <v/>
      </c>
      <c r="G273">
        <f>$C273*G272</f>
        <v/>
      </c>
      <c r="H273">
        <f>$C273*H272</f>
        <v/>
      </c>
      <c r="I273">
        <f>$C273*I272</f>
        <v/>
      </c>
      <c r="J273">
        <f>$C273*J272</f>
        <v/>
      </c>
      <c r="K273">
        <f>$C273*K272</f>
        <v/>
      </c>
      <c r="L273">
        <f>$C273*L272</f>
        <v/>
      </c>
      <c r="M273">
        <f>$C273*M272</f>
        <v/>
      </c>
      <c r="N273">
        <f>$C273*N272</f>
        <v/>
      </c>
      <c r="O273">
        <f>$C273*O272</f>
        <v/>
      </c>
      <c r="P273">
        <f>$C273*P272</f>
        <v/>
      </c>
      <c r="Q273">
        <f>$C273*Q272</f>
        <v/>
      </c>
      <c r="R273">
        <f>$C273*R272</f>
        <v/>
      </c>
      <c r="S273">
        <f>$C273*S272</f>
        <v/>
      </c>
      <c r="T273">
        <f>$C273*T272</f>
        <v/>
      </c>
      <c r="U273">
        <f>$C273*U272</f>
        <v/>
      </c>
      <c r="V273">
        <f>$C273*V272</f>
        <v/>
      </c>
      <c r="W273">
        <f>$C273*W272</f>
        <v/>
      </c>
      <c r="X273">
        <f>$C273*X272</f>
        <v/>
      </c>
      <c r="Y273">
        <f>$C273*Y272</f>
        <v/>
      </c>
      <c r="Z273">
        <f>$C273*Z272</f>
        <v/>
      </c>
      <c r="AA273">
        <f>$C273*AA272</f>
        <v/>
      </c>
      <c r="AB273">
        <f>$C273*AB272</f>
        <v/>
      </c>
      <c r="AC273">
        <f>$C273*AC272</f>
        <v/>
      </c>
      <c r="AD273">
        <f>$C273*AD272</f>
        <v/>
      </c>
      <c r="AE273">
        <f>$C273*AE272</f>
        <v/>
      </c>
      <c r="AF273">
        <f>$C273*AF272</f>
        <v/>
      </c>
      <c r="AG273">
        <f>$C273*AG272</f>
        <v/>
      </c>
      <c r="AH273">
        <f>$C273*AH272</f>
        <v/>
      </c>
      <c r="AI273">
        <f>$C273*AI272</f>
        <v/>
      </c>
      <c r="AJ273">
        <f>$C273*AJ272</f>
        <v/>
      </c>
      <c r="AK273">
        <f>$C273*AK272</f>
        <v/>
      </c>
      <c r="AL273">
        <f>$C273*AL272</f>
        <v/>
      </c>
      <c r="AM273">
        <f>$C273*AM272</f>
        <v/>
      </c>
      <c r="AN273">
        <f>$C273*AN272</f>
        <v/>
      </c>
      <c r="AO273">
        <f>$C273*AO272</f>
        <v/>
      </c>
      <c r="AP273">
        <f>$C273*AP272</f>
        <v/>
      </c>
      <c r="AQ273">
        <f>$C273*AQ272</f>
        <v/>
      </c>
      <c r="AR273">
        <f>$C273*AR272</f>
        <v/>
      </c>
      <c r="AS273">
        <f>$C273*AS272</f>
        <v/>
      </c>
      <c r="AT273">
        <f>$C273*AT272</f>
        <v/>
      </c>
      <c r="AU273">
        <f>$C273*AU272</f>
        <v/>
      </c>
      <c r="AV273">
        <f>$C273*AV272</f>
        <v/>
      </c>
      <c r="AW273">
        <f>$C273*AW272</f>
        <v/>
      </c>
      <c r="AX273">
        <f>$C273*AX272</f>
        <v/>
      </c>
      <c r="AY273">
        <f>$C273*AY272</f>
        <v/>
      </c>
      <c r="AZ273">
        <f>$C273*AZ272</f>
        <v/>
      </c>
      <c r="BA273">
        <f>$C273*BA272</f>
        <v/>
      </c>
      <c r="BB273">
        <f>$C273*BB272</f>
        <v/>
      </c>
      <c r="BC273">
        <f>$C273*BC272</f>
        <v/>
      </c>
      <c r="BD273">
        <f>$C273*BD272</f>
        <v/>
      </c>
      <c r="BE273">
        <f>$C273*BE272</f>
        <v/>
      </c>
      <c r="BF273">
        <f>$C273*BF272</f>
        <v/>
      </c>
      <c r="BG273">
        <f>$C273*BG272</f>
        <v/>
      </c>
      <c r="BH273">
        <f>$C273*BH272</f>
        <v/>
      </c>
      <c r="BI273">
        <f>$C273*BI272</f>
        <v/>
      </c>
      <c r="BJ273">
        <f>$C273*BJ272</f>
        <v/>
      </c>
      <c r="BK273">
        <f>$C273*BK272</f>
        <v/>
      </c>
      <c r="BL273">
        <f>$C273*BL272</f>
        <v/>
      </c>
      <c r="BM273">
        <f>$C273*BM272</f>
        <v/>
      </c>
      <c r="BN273">
        <f>$C273*BN272</f>
        <v/>
      </c>
      <c r="BO273">
        <f>$C273*BO272</f>
        <v/>
      </c>
      <c r="BP273">
        <f>$C273*BP272</f>
        <v/>
      </c>
      <c r="BQ273">
        <f>$C273*BQ272</f>
        <v/>
      </c>
      <c r="BR273">
        <f>$C273*BR272</f>
        <v/>
      </c>
      <c r="BS273">
        <f>$C273*BS272</f>
        <v/>
      </c>
      <c r="BT273">
        <f>$C273*BT272</f>
        <v/>
      </c>
      <c r="BU273">
        <f>$C273*BU272</f>
        <v/>
      </c>
      <c r="BV273">
        <f>$C273*BV272</f>
        <v/>
      </c>
      <c r="BW273">
        <f>$C273*BW272</f>
        <v/>
      </c>
      <c r="BX273">
        <f>$C273*BX272</f>
        <v/>
      </c>
      <c r="BY273">
        <f>$C273*BY272</f>
        <v/>
      </c>
      <c r="BZ273">
        <f>$C273*BZ272</f>
        <v/>
      </c>
      <c r="CA273">
        <f>$C273*CA272</f>
        <v/>
      </c>
      <c r="CB273">
        <f>$C273*CB272</f>
        <v/>
      </c>
      <c r="CC273">
        <f>$C273*CC272</f>
        <v/>
      </c>
      <c r="CD273">
        <f>$C273*CD272</f>
        <v/>
      </c>
      <c r="CE273">
        <f>$C273*CE272</f>
        <v/>
      </c>
      <c r="CF273">
        <f>$C273*CF272</f>
        <v/>
      </c>
      <c r="CG273">
        <f>$C273*CG272</f>
        <v/>
      </c>
      <c r="CH273">
        <f>$C273*CH272</f>
        <v/>
      </c>
      <c r="CI273">
        <f>$C273*CI272</f>
        <v/>
      </c>
      <c r="CJ273">
        <f>$C273*CJ272</f>
        <v/>
      </c>
      <c r="CK273">
        <f>$C273*CK272</f>
        <v/>
      </c>
      <c r="CL273">
        <f>$C273*CL272</f>
        <v/>
      </c>
      <c r="CM273">
        <f>$C273*CM272</f>
        <v/>
      </c>
      <c r="CN273">
        <f>$C273*CN272</f>
        <v/>
      </c>
      <c r="CO273">
        <f>$C273*CO272</f>
        <v/>
      </c>
      <c r="CP273">
        <f>$C273*CP272</f>
        <v/>
      </c>
      <c r="CQ273">
        <f>$C273*CQ272</f>
        <v/>
      </c>
      <c r="CR273">
        <f>$C273*CR272</f>
        <v/>
      </c>
      <c r="CS273">
        <f>$C273*CS272</f>
        <v/>
      </c>
      <c r="CT273">
        <f>$C273*CT272</f>
        <v/>
      </c>
      <c r="CU273">
        <f>$C273*CU272</f>
        <v/>
      </c>
      <c r="CV273">
        <f>$C273*CV272</f>
        <v/>
      </c>
      <c r="CW273">
        <f>$C273*CW272</f>
        <v/>
      </c>
      <c r="CX273">
        <f>$C273*CX272</f>
        <v/>
      </c>
      <c r="CY273">
        <f>$C273*CY272</f>
        <v/>
      </c>
      <c r="CZ273">
        <f>$C273*CZ272</f>
        <v/>
      </c>
      <c r="DA273">
        <f>$C273*DA272</f>
        <v/>
      </c>
      <c r="DB273">
        <f>$C273*DB272</f>
        <v/>
      </c>
      <c r="DC273">
        <f>$C273*DC272</f>
        <v/>
      </c>
    </row>
    <row r="274">
      <c r="B274" t="inlineStr">
        <is>
          <t>TSP-928</t>
        </is>
      </c>
      <c r="C274" t="inlineStr">
        <is>
          <t>No. of batches</t>
        </is>
      </c>
      <c r="D274">
        <f>IFERROR(INDEX(PP_Grid[#Data],$DD274,2),0)</f>
        <v/>
      </c>
      <c r="E274">
        <f>IFERROR(INDEX(PP_Grid[#Data],$DD274,3),0)</f>
        <v/>
      </c>
      <c r="F274">
        <f>IFERROR(INDEX(PP_Grid[#Data],$DD274,4),0)</f>
        <v/>
      </c>
      <c r="G274">
        <f>IFERROR(INDEX(PP_Grid[#Data],$DD274,5),0)</f>
        <v/>
      </c>
      <c r="H274">
        <f>IFERROR(INDEX(PP_Grid[#Data],$DD274,6),0)</f>
        <v/>
      </c>
      <c r="I274">
        <f>IFERROR(INDEX(PP_Grid[#Data],$DD274,7),0)</f>
        <v/>
      </c>
      <c r="J274">
        <f>IFERROR(INDEX(PP_Grid[#Data],$DD274,8),0)</f>
        <v/>
      </c>
      <c r="K274">
        <f>IFERROR(INDEX(PP_Grid[#Data],$DD274,9),0)</f>
        <v/>
      </c>
      <c r="L274">
        <f>IFERROR(INDEX(PP_Grid[#Data],$DD274,10),0)</f>
        <v/>
      </c>
      <c r="M274">
        <f>IFERROR(INDEX(PP_Grid[#Data],$DD274,11),0)</f>
        <v/>
      </c>
      <c r="N274">
        <f>IFERROR(INDEX(PP_Grid[#Data],$DD274,12),0)</f>
        <v/>
      </c>
      <c r="O274">
        <f>IFERROR(INDEX(PP_Grid[#Data],$DD274,13),0)</f>
        <v/>
      </c>
      <c r="P274">
        <f>IFERROR(INDEX(PP_Grid[#Data],$DD274,14),0)</f>
        <v/>
      </c>
      <c r="Q274">
        <f>IFERROR(INDEX(PP_Grid[#Data],$DD274,15),0)</f>
        <v/>
      </c>
      <c r="R274">
        <f>IFERROR(INDEX(PP_Grid[#Data],$DD274,16),0)</f>
        <v/>
      </c>
      <c r="S274">
        <f>IFERROR(INDEX(PP_Grid[#Data],$DD274,17),0)</f>
        <v/>
      </c>
      <c r="T274">
        <f>IFERROR(INDEX(PP_Grid[#Data],$DD274,18),0)</f>
        <v/>
      </c>
      <c r="U274">
        <f>IFERROR(INDEX(PP_Grid[#Data],$DD274,19),0)</f>
        <v/>
      </c>
      <c r="V274">
        <f>IFERROR(INDEX(PP_Grid[#Data],$DD274,20),0)</f>
        <v/>
      </c>
      <c r="W274">
        <f>IFERROR(INDEX(PP_Grid[#Data],$DD274,21),0)</f>
        <v/>
      </c>
      <c r="X274">
        <f>IFERROR(INDEX(PP_Grid[#Data],$DD274,22),0)</f>
        <v/>
      </c>
      <c r="Y274">
        <f>IFERROR(INDEX(PP_Grid[#Data],$DD274,23),0)</f>
        <v/>
      </c>
      <c r="Z274">
        <f>IFERROR(INDEX(PP_Grid[#Data],$DD274,24),0)</f>
        <v/>
      </c>
      <c r="AA274">
        <f>IFERROR(INDEX(PP_Grid[#Data],$DD274,25),0)</f>
        <v/>
      </c>
      <c r="AB274">
        <f>IFERROR(INDEX(PP_Grid[#Data],$DD274,26),0)</f>
        <v/>
      </c>
      <c r="AC274">
        <f>IFERROR(INDEX(PP_Grid[#Data],$DD274,27),0)</f>
        <v/>
      </c>
      <c r="AD274">
        <f>IFERROR(INDEX(PP_Grid[#Data],$DD274,28),0)</f>
        <v/>
      </c>
      <c r="AE274">
        <f>IFERROR(INDEX(PP_Grid[#Data],$DD274,29),0)</f>
        <v/>
      </c>
      <c r="AF274">
        <f>IFERROR(INDEX(PP_Grid[#Data],$DD274,30),0)</f>
        <v/>
      </c>
      <c r="AG274">
        <f>IFERROR(INDEX(PP_Grid[#Data],$DD274,31),0)</f>
        <v/>
      </c>
      <c r="AH274">
        <f>IFERROR(INDEX(PP_Grid[#Data],$DD274,32),0)</f>
        <v/>
      </c>
      <c r="AI274">
        <f>IFERROR(INDEX(PP_Grid[#Data],$DD274,33),0)</f>
        <v/>
      </c>
      <c r="AJ274">
        <f>IFERROR(INDEX(PP_Grid[#Data],$DD274,34),0)</f>
        <v/>
      </c>
      <c r="AK274">
        <f>IFERROR(INDEX(PP_Grid[#Data],$DD274,35),0)</f>
        <v/>
      </c>
      <c r="AL274">
        <f>IFERROR(INDEX(PP_Grid[#Data],$DD274,36),0)</f>
        <v/>
      </c>
      <c r="AM274">
        <f>IFERROR(INDEX(PP_Grid[#Data],$DD274,37),0)</f>
        <v/>
      </c>
      <c r="AN274">
        <f>IFERROR(INDEX(PP_Grid[#Data],$DD274,38),0)</f>
        <v/>
      </c>
      <c r="AO274">
        <f>IFERROR(INDEX(PP_Grid[#Data],$DD274,39),0)</f>
        <v/>
      </c>
      <c r="AP274">
        <f>IFERROR(INDEX(PP_Grid[#Data],$DD274,40),0)</f>
        <v/>
      </c>
      <c r="AQ274">
        <f>IFERROR(INDEX(PP_Grid[#Data],$DD274,41),0)</f>
        <v/>
      </c>
      <c r="AR274">
        <f>IFERROR(INDEX(PP_Grid[#Data],$DD274,42),0)</f>
        <v/>
      </c>
      <c r="AS274">
        <f>IFERROR(INDEX(PP_Grid[#Data],$DD274,43),0)</f>
        <v/>
      </c>
      <c r="AT274">
        <f>IFERROR(INDEX(PP_Grid[#Data],$DD274,44),0)</f>
        <v/>
      </c>
      <c r="AU274">
        <f>IFERROR(INDEX(PP_Grid[#Data],$DD274,45),0)</f>
        <v/>
      </c>
      <c r="AV274">
        <f>IFERROR(INDEX(PP_Grid[#Data],$DD274,46),0)</f>
        <v/>
      </c>
      <c r="AW274">
        <f>IFERROR(INDEX(PP_Grid[#Data],$DD274,47),0)</f>
        <v/>
      </c>
      <c r="AX274">
        <f>IFERROR(INDEX(PP_Grid[#Data],$DD274,48),0)</f>
        <v/>
      </c>
      <c r="AY274">
        <f>IFERROR(INDEX(PP_Grid[#Data],$DD274,49),0)</f>
        <v/>
      </c>
      <c r="AZ274">
        <f>IFERROR(INDEX(PP_Grid[#Data],$DD274,50),0)</f>
        <v/>
      </c>
      <c r="BA274">
        <f>IFERROR(INDEX(PP_Grid[#Data],$DD274,51),0)</f>
        <v/>
      </c>
      <c r="BB274">
        <f>IFERROR(INDEX(PP_Grid[#Data],$DD274,52),0)</f>
        <v/>
      </c>
      <c r="BC274">
        <f>IFERROR(INDEX(PP_Grid[#Data],$DD274,53),0)</f>
        <v/>
      </c>
      <c r="BD274">
        <f>IFERROR(INDEX(PP_Grid[#Data],$DD274,54),0)</f>
        <v/>
      </c>
      <c r="BE274">
        <f>IFERROR(INDEX(PP_Grid[#Data],$DD274,55),0)</f>
        <v/>
      </c>
      <c r="BF274">
        <f>IFERROR(INDEX(PP_Grid[#Data],$DD274,56),0)</f>
        <v/>
      </c>
      <c r="BG274">
        <f>IFERROR(INDEX(PP_Grid[#Data],$DD274,57),0)</f>
        <v/>
      </c>
      <c r="BH274">
        <f>IFERROR(INDEX(PP_Grid[#Data],$DD274,58),0)</f>
        <v/>
      </c>
      <c r="BI274">
        <f>IFERROR(INDEX(PP_Grid[#Data],$DD274,59),0)</f>
        <v/>
      </c>
      <c r="BJ274">
        <f>IFERROR(INDEX(PP_Grid[#Data],$DD274,60),0)</f>
        <v/>
      </c>
      <c r="BK274">
        <f>IFERROR(INDEX(PP_Grid[#Data],$DD274,61),0)</f>
        <v/>
      </c>
      <c r="BL274">
        <f>IFERROR(INDEX(PP_Grid[#Data],$DD274,62),0)</f>
        <v/>
      </c>
      <c r="BM274">
        <f>IFERROR(INDEX(PP_Grid[#Data],$DD274,63),0)</f>
        <v/>
      </c>
      <c r="BN274">
        <f>IFERROR(INDEX(PP_Grid[#Data],$DD274,64),0)</f>
        <v/>
      </c>
      <c r="BO274">
        <f>IFERROR(INDEX(PP_Grid[#Data],$DD274,65),0)</f>
        <v/>
      </c>
      <c r="BP274">
        <f>IFERROR(INDEX(PP_Grid[#Data],$DD274,66),0)</f>
        <v/>
      </c>
      <c r="BQ274">
        <f>IFERROR(INDEX(PP_Grid[#Data],$DD274,67),0)</f>
        <v/>
      </c>
      <c r="BR274">
        <f>IFERROR(INDEX(PP_Grid[#Data],$DD274,68),0)</f>
        <v/>
      </c>
      <c r="BS274">
        <f>IFERROR(INDEX(PP_Grid[#Data],$DD274,69),0)</f>
        <v/>
      </c>
      <c r="BT274">
        <f>IFERROR(INDEX(PP_Grid[#Data],$DD274,70),0)</f>
        <v/>
      </c>
      <c r="BU274">
        <f>IFERROR(INDEX(PP_Grid[#Data],$DD274,71),0)</f>
        <v/>
      </c>
      <c r="BV274">
        <f>IFERROR(INDEX(PP_Grid[#Data],$DD274,72),0)</f>
        <v/>
      </c>
      <c r="BW274">
        <f>IFERROR(INDEX(PP_Grid[#Data],$DD274,73),0)</f>
        <v/>
      </c>
      <c r="BX274">
        <f>IFERROR(INDEX(PP_Grid[#Data],$DD274,74),0)</f>
        <v/>
      </c>
      <c r="BY274">
        <f>IFERROR(INDEX(PP_Grid[#Data],$DD274,75),0)</f>
        <v/>
      </c>
      <c r="BZ274">
        <f>IFERROR(INDEX(PP_Grid[#Data],$DD274,76),0)</f>
        <v/>
      </c>
      <c r="CA274">
        <f>IFERROR(INDEX(PP_Grid[#Data],$DD274,77),0)</f>
        <v/>
      </c>
      <c r="CB274">
        <f>IFERROR(INDEX(PP_Grid[#Data],$DD274,78),0)</f>
        <v/>
      </c>
      <c r="CC274">
        <f>IFERROR(INDEX(PP_Grid[#Data],$DD274,79),0)</f>
        <v/>
      </c>
      <c r="CD274">
        <f>IFERROR(INDEX(PP_Grid[#Data],$DD274,80),0)</f>
        <v/>
      </c>
      <c r="CE274">
        <f>IFERROR(INDEX(PP_Grid[#Data],$DD274,81),0)</f>
        <v/>
      </c>
      <c r="CF274">
        <f>IFERROR(INDEX(PP_Grid[#Data],$DD274,82),0)</f>
        <v/>
      </c>
      <c r="CG274">
        <f>IFERROR(INDEX(PP_Grid[#Data],$DD274,83),0)</f>
        <v/>
      </c>
      <c r="CH274">
        <f>IFERROR(INDEX(PP_Grid[#Data],$DD274,84),0)</f>
        <v/>
      </c>
      <c r="CI274">
        <f>IFERROR(INDEX(PP_Grid[#Data],$DD274,85),0)</f>
        <v/>
      </c>
      <c r="CJ274">
        <f>IFERROR(INDEX(PP_Grid[#Data],$DD274,86),0)</f>
        <v/>
      </c>
      <c r="CK274">
        <f>IFERROR(INDEX(PP_Grid[#Data],$DD274,87),0)</f>
        <v/>
      </c>
      <c r="CL274">
        <f>IFERROR(INDEX(PP_Grid[#Data],$DD274,88),0)</f>
        <v/>
      </c>
      <c r="CM274">
        <f>IFERROR(INDEX(PP_Grid[#Data],$DD274,89),0)</f>
        <v/>
      </c>
      <c r="CN274">
        <f>IFERROR(INDEX(PP_Grid[#Data],$DD274,90),0)</f>
        <v/>
      </c>
      <c r="CO274">
        <f>IFERROR(INDEX(PP_Grid[#Data],$DD274,91),0)</f>
        <v/>
      </c>
      <c r="CP274">
        <f>IFERROR(INDEX(PP_Grid[#Data],$DD274,92),0)</f>
        <v/>
      </c>
      <c r="CQ274">
        <f>IFERROR(INDEX(PP_Grid[#Data],$DD274,93),0)</f>
        <v/>
      </c>
      <c r="CR274">
        <f>IFERROR(INDEX(PP_Grid[#Data],$DD274,94),0)</f>
        <v/>
      </c>
      <c r="CS274">
        <f>IFERROR(INDEX(PP_Grid[#Data],$DD274,95),0)</f>
        <v/>
      </c>
      <c r="CT274">
        <f>IFERROR(INDEX(PP_Grid[#Data],$DD274,96),0)</f>
        <v/>
      </c>
      <c r="CU274">
        <f>IFERROR(INDEX(PP_Grid[#Data],$DD274,97),0)</f>
        <v/>
      </c>
      <c r="CV274">
        <f>IFERROR(INDEX(PP_Grid[#Data],$DD274,98),0)</f>
        <v/>
      </c>
      <c r="CW274">
        <f>IFERROR(INDEX(PP_Grid[#Data],$DD274,99),0)</f>
        <v/>
      </c>
      <c r="CX274">
        <f>IFERROR(INDEX(PP_Grid[#Data],$DD274,100),0)</f>
        <v/>
      </c>
      <c r="CY274">
        <f>IFERROR(INDEX(PP_Grid[#Data],$DD274,101),0)</f>
        <v/>
      </c>
      <c r="CZ274">
        <f>IFERROR(INDEX(PP_Grid[#Data],$DD274,102),0)</f>
        <v/>
      </c>
      <c r="DA274">
        <f>IFERROR(INDEX(PP_Grid[#Data],$DD274,103),0)</f>
        <v/>
      </c>
      <c r="DB274">
        <f>IFERROR(INDEX(PP_Grid[#Data],$DD274,104),0)</f>
        <v/>
      </c>
      <c r="DC274">
        <f>IFERROR(INDEX(PP_Grid[#Data],$DD274,105),0)</f>
        <v/>
      </c>
      <c r="DD274" s="7">
        <f>IFERROR(MATCH($B274,PP_Grid[Intermediate],0),99999)</f>
        <v/>
      </c>
    </row>
    <row r="275">
      <c r="B275" t="inlineStr">
        <is>
          <t>使用量(kg)</t>
        </is>
      </c>
      <c r="C275">
        <f>SUMIFS(M_BOM[RM_Qty_Per_Batch],M_BOM[Intermediate],$B274,M_BOM[Part Name],$A219)</f>
        <v/>
      </c>
      <c r="D275">
        <f>$C275*D274</f>
        <v/>
      </c>
      <c r="E275">
        <f>$C275*E274</f>
        <v/>
      </c>
      <c r="F275">
        <f>$C275*F274</f>
        <v/>
      </c>
      <c r="G275">
        <f>$C275*G274</f>
        <v/>
      </c>
      <c r="H275">
        <f>$C275*H274</f>
        <v/>
      </c>
      <c r="I275">
        <f>$C275*I274</f>
        <v/>
      </c>
      <c r="J275">
        <f>$C275*J274</f>
        <v/>
      </c>
      <c r="K275">
        <f>$C275*K274</f>
        <v/>
      </c>
      <c r="L275">
        <f>$C275*L274</f>
        <v/>
      </c>
      <c r="M275">
        <f>$C275*M274</f>
        <v/>
      </c>
      <c r="N275">
        <f>$C275*N274</f>
        <v/>
      </c>
      <c r="O275">
        <f>$C275*O274</f>
        <v/>
      </c>
      <c r="P275">
        <f>$C275*P274</f>
        <v/>
      </c>
      <c r="Q275">
        <f>$C275*Q274</f>
        <v/>
      </c>
      <c r="R275">
        <f>$C275*R274</f>
        <v/>
      </c>
      <c r="S275">
        <f>$C275*S274</f>
        <v/>
      </c>
      <c r="T275">
        <f>$C275*T274</f>
        <v/>
      </c>
      <c r="U275">
        <f>$C275*U274</f>
        <v/>
      </c>
      <c r="V275">
        <f>$C275*V274</f>
        <v/>
      </c>
      <c r="W275">
        <f>$C275*W274</f>
        <v/>
      </c>
      <c r="X275">
        <f>$C275*X274</f>
        <v/>
      </c>
      <c r="Y275">
        <f>$C275*Y274</f>
        <v/>
      </c>
      <c r="Z275">
        <f>$C275*Z274</f>
        <v/>
      </c>
      <c r="AA275">
        <f>$C275*AA274</f>
        <v/>
      </c>
      <c r="AB275">
        <f>$C275*AB274</f>
        <v/>
      </c>
      <c r="AC275">
        <f>$C275*AC274</f>
        <v/>
      </c>
      <c r="AD275">
        <f>$C275*AD274</f>
        <v/>
      </c>
      <c r="AE275">
        <f>$C275*AE274</f>
        <v/>
      </c>
      <c r="AF275">
        <f>$C275*AF274</f>
        <v/>
      </c>
      <c r="AG275">
        <f>$C275*AG274</f>
        <v/>
      </c>
      <c r="AH275">
        <f>$C275*AH274</f>
        <v/>
      </c>
      <c r="AI275">
        <f>$C275*AI274</f>
        <v/>
      </c>
      <c r="AJ275">
        <f>$C275*AJ274</f>
        <v/>
      </c>
      <c r="AK275">
        <f>$C275*AK274</f>
        <v/>
      </c>
      <c r="AL275">
        <f>$C275*AL274</f>
        <v/>
      </c>
      <c r="AM275">
        <f>$C275*AM274</f>
        <v/>
      </c>
      <c r="AN275">
        <f>$C275*AN274</f>
        <v/>
      </c>
      <c r="AO275">
        <f>$C275*AO274</f>
        <v/>
      </c>
      <c r="AP275">
        <f>$C275*AP274</f>
        <v/>
      </c>
      <c r="AQ275">
        <f>$C275*AQ274</f>
        <v/>
      </c>
      <c r="AR275">
        <f>$C275*AR274</f>
        <v/>
      </c>
      <c r="AS275">
        <f>$C275*AS274</f>
        <v/>
      </c>
      <c r="AT275">
        <f>$C275*AT274</f>
        <v/>
      </c>
      <c r="AU275">
        <f>$C275*AU274</f>
        <v/>
      </c>
      <c r="AV275">
        <f>$C275*AV274</f>
        <v/>
      </c>
      <c r="AW275">
        <f>$C275*AW274</f>
        <v/>
      </c>
      <c r="AX275">
        <f>$C275*AX274</f>
        <v/>
      </c>
      <c r="AY275">
        <f>$C275*AY274</f>
        <v/>
      </c>
      <c r="AZ275">
        <f>$C275*AZ274</f>
        <v/>
      </c>
      <c r="BA275">
        <f>$C275*BA274</f>
        <v/>
      </c>
      <c r="BB275">
        <f>$C275*BB274</f>
        <v/>
      </c>
      <c r="BC275">
        <f>$C275*BC274</f>
        <v/>
      </c>
      <c r="BD275">
        <f>$C275*BD274</f>
        <v/>
      </c>
      <c r="BE275">
        <f>$C275*BE274</f>
        <v/>
      </c>
      <c r="BF275">
        <f>$C275*BF274</f>
        <v/>
      </c>
      <c r="BG275">
        <f>$C275*BG274</f>
        <v/>
      </c>
      <c r="BH275">
        <f>$C275*BH274</f>
        <v/>
      </c>
      <c r="BI275">
        <f>$C275*BI274</f>
        <v/>
      </c>
      <c r="BJ275">
        <f>$C275*BJ274</f>
        <v/>
      </c>
      <c r="BK275">
        <f>$C275*BK274</f>
        <v/>
      </c>
      <c r="BL275">
        <f>$C275*BL274</f>
        <v/>
      </c>
      <c r="BM275">
        <f>$C275*BM274</f>
        <v/>
      </c>
      <c r="BN275">
        <f>$C275*BN274</f>
        <v/>
      </c>
      <c r="BO275">
        <f>$C275*BO274</f>
        <v/>
      </c>
      <c r="BP275">
        <f>$C275*BP274</f>
        <v/>
      </c>
      <c r="BQ275">
        <f>$C275*BQ274</f>
        <v/>
      </c>
      <c r="BR275">
        <f>$C275*BR274</f>
        <v/>
      </c>
      <c r="BS275">
        <f>$C275*BS274</f>
        <v/>
      </c>
      <c r="BT275">
        <f>$C275*BT274</f>
        <v/>
      </c>
      <c r="BU275">
        <f>$C275*BU274</f>
        <v/>
      </c>
      <c r="BV275">
        <f>$C275*BV274</f>
        <v/>
      </c>
      <c r="BW275">
        <f>$C275*BW274</f>
        <v/>
      </c>
      <c r="BX275">
        <f>$C275*BX274</f>
        <v/>
      </c>
      <c r="BY275">
        <f>$C275*BY274</f>
        <v/>
      </c>
      <c r="BZ275">
        <f>$C275*BZ274</f>
        <v/>
      </c>
      <c r="CA275">
        <f>$C275*CA274</f>
        <v/>
      </c>
      <c r="CB275">
        <f>$C275*CB274</f>
        <v/>
      </c>
      <c r="CC275">
        <f>$C275*CC274</f>
        <v/>
      </c>
      <c r="CD275">
        <f>$C275*CD274</f>
        <v/>
      </c>
      <c r="CE275">
        <f>$C275*CE274</f>
        <v/>
      </c>
      <c r="CF275">
        <f>$C275*CF274</f>
        <v/>
      </c>
      <c r="CG275">
        <f>$C275*CG274</f>
        <v/>
      </c>
      <c r="CH275">
        <f>$C275*CH274</f>
        <v/>
      </c>
      <c r="CI275">
        <f>$C275*CI274</f>
        <v/>
      </c>
      <c r="CJ275">
        <f>$C275*CJ274</f>
        <v/>
      </c>
      <c r="CK275">
        <f>$C275*CK274</f>
        <v/>
      </c>
      <c r="CL275">
        <f>$C275*CL274</f>
        <v/>
      </c>
      <c r="CM275">
        <f>$C275*CM274</f>
        <v/>
      </c>
      <c r="CN275">
        <f>$C275*CN274</f>
        <v/>
      </c>
      <c r="CO275">
        <f>$C275*CO274</f>
        <v/>
      </c>
      <c r="CP275">
        <f>$C275*CP274</f>
        <v/>
      </c>
      <c r="CQ275">
        <f>$C275*CQ274</f>
        <v/>
      </c>
      <c r="CR275">
        <f>$C275*CR274</f>
        <v/>
      </c>
      <c r="CS275">
        <f>$C275*CS274</f>
        <v/>
      </c>
      <c r="CT275">
        <f>$C275*CT274</f>
        <v/>
      </c>
      <c r="CU275">
        <f>$C275*CU274</f>
        <v/>
      </c>
      <c r="CV275">
        <f>$C275*CV274</f>
        <v/>
      </c>
      <c r="CW275">
        <f>$C275*CW274</f>
        <v/>
      </c>
      <c r="CX275">
        <f>$C275*CX274</f>
        <v/>
      </c>
      <c r="CY275">
        <f>$C275*CY274</f>
        <v/>
      </c>
      <c r="CZ275">
        <f>$C275*CZ274</f>
        <v/>
      </c>
      <c r="DA275">
        <f>$C275*DA274</f>
        <v/>
      </c>
      <c r="DB275">
        <f>$C275*DB274</f>
        <v/>
      </c>
      <c r="DC275">
        <f>$C275*DC274</f>
        <v/>
      </c>
    </row>
    <row r="276">
      <c r="B276" t="inlineStr">
        <is>
          <t>TSP-929</t>
        </is>
      </c>
      <c r="C276" t="inlineStr">
        <is>
          <t>No. of batches</t>
        </is>
      </c>
      <c r="D276">
        <f>IFERROR(INDEX(PP_Grid[#Data],$DD276,2),0)</f>
        <v/>
      </c>
      <c r="E276">
        <f>IFERROR(INDEX(PP_Grid[#Data],$DD276,3),0)</f>
        <v/>
      </c>
      <c r="F276">
        <f>IFERROR(INDEX(PP_Grid[#Data],$DD276,4),0)</f>
        <v/>
      </c>
      <c r="G276">
        <f>IFERROR(INDEX(PP_Grid[#Data],$DD276,5),0)</f>
        <v/>
      </c>
      <c r="H276">
        <f>IFERROR(INDEX(PP_Grid[#Data],$DD276,6),0)</f>
        <v/>
      </c>
      <c r="I276">
        <f>IFERROR(INDEX(PP_Grid[#Data],$DD276,7),0)</f>
        <v/>
      </c>
      <c r="J276">
        <f>IFERROR(INDEX(PP_Grid[#Data],$DD276,8),0)</f>
        <v/>
      </c>
      <c r="K276">
        <f>IFERROR(INDEX(PP_Grid[#Data],$DD276,9),0)</f>
        <v/>
      </c>
      <c r="L276">
        <f>IFERROR(INDEX(PP_Grid[#Data],$DD276,10),0)</f>
        <v/>
      </c>
      <c r="M276">
        <f>IFERROR(INDEX(PP_Grid[#Data],$DD276,11),0)</f>
        <v/>
      </c>
      <c r="N276">
        <f>IFERROR(INDEX(PP_Grid[#Data],$DD276,12),0)</f>
        <v/>
      </c>
      <c r="O276">
        <f>IFERROR(INDEX(PP_Grid[#Data],$DD276,13),0)</f>
        <v/>
      </c>
      <c r="P276">
        <f>IFERROR(INDEX(PP_Grid[#Data],$DD276,14),0)</f>
        <v/>
      </c>
      <c r="Q276">
        <f>IFERROR(INDEX(PP_Grid[#Data],$DD276,15),0)</f>
        <v/>
      </c>
      <c r="R276">
        <f>IFERROR(INDEX(PP_Grid[#Data],$DD276,16),0)</f>
        <v/>
      </c>
      <c r="S276">
        <f>IFERROR(INDEX(PP_Grid[#Data],$DD276,17),0)</f>
        <v/>
      </c>
      <c r="T276">
        <f>IFERROR(INDEX(PP_Grid[#Data],$DD276,18),0)</f>
        <v/>
      </c>
      <c r="U276">
        <f>IFERROR(INDEX(PP_Grid[#Data],$DD276,19),0)</f>
        <v/>
      </c>
      <c r="V276">
        <f>IFERROR(INDEX(PP_Grid[#Data],$DD276,20),0)</f>
        <v/>
      </c>
      <c r="W276">
        <f>IFERROR(INDEX(PP_Grid[#Data],$DD276,21),0)</f>
        <v/>
      </c>
      <c r="X276">
        <f>IFERROR(INDEX(PP_Grid[#Data],$DD276,22),0)</f>
        <v/>
      </c>
      <c r="Y276">
        <f>IFERROR(INDEX(PP_Grid[#Data],$DD276,23),0)</f>
        <v/>
      </c>
      <c r="Z276">
        <f>IFERROR(INDEX(PP_Grid[#Data],$DD276,24),0)</f>
        <v/>
      </c>
      <c r="AA276">
        <f>IFERROR(INDEX(PP_Grid[#Data],$DD276,25),0)</f>
        <v/>
      </c>
      <c r="AB276">
        <f>IFERROR(INDEX(PP_Grid[#Data],$DD276,26),0)</f>
        <v/>
      </c>
      <c r="AC276">
        <f>IFERROR(INDEX(PP_Grid[#Data],$DD276,27),0)</f>
        <v/>
      </c>
      <c r="AD276">
        <f>IFERROR(INDEX(PP_Grid[#Data],$DD276,28),0)</f>
        <v/>
      </c>
      <c r="AE276">
        <f>IFERROR(INDEX(PP_Grid[#Data],$DD276,29),0)</f>
        <v/>
      </c>
      <c r="AF276">
        <f>IFERROR(INDEX(PP_Grid[#Data],$DD276,30),0)</f>
        <v/>
      </c>
      <c r="AG276">
        <f>IFERROR(INDEX(PP_Grid[#Data],$DD276,31),0)</f>
        <v/>
      </c>
      <c r="AH276">
        <f>IFERROR(INDEX(PP_Grid[#Data],$DD276,32),0)</f>
        <v/>
      </c>
      <c r="AI276">
        <f>IFERROR(INDEX(PP_Grid[#Data],$DD276,33),0)</f>
        <v/>
      </c>
      <c r="AJ276">
        <f>IFERROR(INDEX(PP_Grid[#Data],$DD276,34),0)</f>
        <v/>
      </c>
      <c r="AK276">
        <f>IFERROR(INDEX(PP_Grid[#Data],$DD276,35),0)</f>
        <v/>
      </c>
      <c r="AL276">
        <f>IFERROR(INDEX(PP_Grid[#Data],$DD276,36),0)</f>
        <v/>
      </c>
      <c r="AM276">
        <f>IFERROR(INDEX(PP_Grid[#Data],$DD276,37),0)</f>
        <v/>
      </c>
      <c r="AN276">
        <f>IFERROR(INDEX(PP_Grid[#Data],$DD276,38),0)</f>
        <v/>
      </c>
      <c r="AO276">
        <f>IFERROR(INDEX(PP_Grid[#Data],$DD276,39),0)</f>
        <v/>
      </c>
      <c r="AP276">
        <f>IFERROR(INDEX(PP_Grid[#Data],$DD276,40),0)</f>
        <v/>
      </c>
      <c r="AQ276">
        <f>IFERROR(INDEX(PP_Grid[#Data],$DD276,41),0)</f>
        <v/>
      </c>
      <c r="AR276">
        <f>IFERROR(INDEX(PP_Grid[#Data],$DD276,42),0)</f>
        <v/>
      </c>
      <c r="AS276">
        <f>IFERROR(INDEX(PP_Grid[#Data],$DD276,43),0)</f>
        <v/>
      </c>
      <c r="AT276">
        <f>IFERROR(INDEX(PP_Grid[#Data],$DD276,44),0)</f>
        <v/>
      </c>
      <c r="AU276">
        <f>IFERROR(INDEX(PP_Grid[#Data],$DD276,45),0)</f>
        <v/>
      </c>
      <c r="AV276">
        <f>IFERROR(INDEX(PP_Grid[#Data],$DD276,46),0)</f>
        <v/>
      </c>
      <c r="AW276">
        <f>IFERROR(INDEX(PP_Grid[#Data],$DD276,47),0)</f>
        <v/>
      </c>
      <c r="AX276">
        <f>IFERROR(INDEX(PP_Grid[#Data],$DD276,48),0)</f>
        <v/>
      </c>
      <c r="AY276">
        <f>IFERROR(INDEX(PP_Grid[#Data],$DD276,49),0)</f>
        <v/>
      </c>
      <c r="AZ276">
        <f>IFERROR(INDEX(PP_Grid[#Data],$DD276,50),0)</f>
        <v/>
      </c>
      <c r="BA276">
        <f>IFERROR(INDEX(PP_Grid[#Data],$DD276,51),0)</f>
        <v/>
      </c>
      <c r="BB276">
        <f>IFERROR(INDEX(PP_Grid[#Data],$DD276,52),0)</f>
        <v/>
      </c>
      <c r="BC276">
        <f>IFERROR(INDEX(PP_Grid[#Data],$DD276,53),0)</f>
        <v/>
      </c>
      <c r="BD276">
        <f>IFERROR(INDEX(PP_Grid[#Data],$DD276,54),0)</f>
        <v/>
      </c>
      <c r="BE276">
        <f>IFERROR(INDEX(PP_Grid[#Data],$DD276,55),0)</f>
        <v/>
      </c>
      <c r="BF276">
        <f>IFERROR(INDEX(PP_Grid[#Data],$DD276,56),0)</f>
        <v/>
      </c>
      <c r="BG276">
        <f>IFERROR(INDEX(PP_Grid[#Data],$DD276,57),0)</f>
        <v/>
      </c>
      <c r="BH276">
        <f>IFERROR(INDEX(PP_Grid[#Data],$DD276,58),0)</f>
        <v/>
      </c>
      <c r="BI276">
        <f>IFERROR(INDEX(PP_Grid[#Data],$DD276,59),0)</f>
        <v/>
      </c>
      <c r="BJ276">
        <f>IFERROR(INDEX(PP_Grid[#Data],$DD276,60),0)</f>
        <v/>
      </c>
      <c r="BK276">
        <f>IFERROR(INDEX(PP_Grid[#Data],$DD276,61),0)</f>
        <v/>
      </c>
      <c r="BL276">
        <f>IFERROR(INDEX(PP_Grid[#Data],$DD276,62),0)</f>
        <v/>
      </c>
      <c r="BM276">
        <f>IFERROR(INDEX(PP_Grid[#Data],$DD276,63),0)</f>
        <v/>
      </c>
      <c r="BN276">
        <f>IFERROR(INDEX(PP_Grid[#Data],$DD276,64),0)</f>
        <v/>
      </c>
      <c r="BO276">
        <f>IFERROR(INDEX(PP_Grid[#Data],$DD276,65),0)</f>
        <v/>
      </c>
      <c r="BP276">
        <f>IFERROR(INDEX(PP_Grid[#Data],$DD276,66),0)</f>
        <v/>
      </c>
      <c r="BQ276">
        <f>IFERROR(INDEX(PP_Grid[#Data],$DD276,67),0)</f>
        <v/>
      </c>
      <c r="BR276">
        <f>IFERROR(INDEX(PP_Grid[#Data],$DD276,68),0)</f>
        <v/>
      </c>
      <c r="BS276">
        <f>IFERROR(INDEX(PP_Grid[#Data],$DD276,69),0)</f>
        <v/>
      </c>
      <c r="BT276">
        <f>IFERROR(INDEX(PP_Grid[#Data],$DD276,70),0)</f>
        <v/>
      </c>
      <c r="BU276">
        <f>IFERROR(INDEX(PP_Grid[#Data],$DD276,71),0)</f>
        <v/>
      </c>
      <c r="BV276">
        <f>IFERROR(INDEX(PP_Grid[#Data],$DD276,72),0)</f>
        <v/>
      </c>
      <c r="BW276">
        <f>IFERROR(INDEX(PP_Grid[#Data],$DD276,73),0)</f>
        <v/>
      </c>
      <c r="BX276">
        <f>IFERROR(INDEX(PP_Grid[#Data],$DD276,74),0)</f>
        <v/>
      </c>
      <c r="BY276">
        <f>IFERROR(INDEX(PP_Grid[#Data],$DD276,75),0)</f>
        <v/>
      </c>
      <c r="BZ276">
        <f>IFERROR(INDEX(PP_Grid[#Data],$DD276,76),0)</f>
        <v/>
      </c>
      <c r="CA276">
        <f>IFERROR(INDEX(PP_Grid[#Data],$DD276,77),0)</f>
        <v/>
      </c>
      <c r="CB276">
        <f>IFERROR(INDEX(PP_Grid[#Data],$DD276,78),0)</f>
        <v/>
      </c>
      <c r="CC276">
        <f>IFERROR(INDEX(PP_Grid[#Data],$DD276,79),0)</f>
        <v/>
      </c>
      <c r="CD276">
        <f>IFERROR(INDEX(PP_Grid[#Data],$DD276,80),0)</f>
        <v/>
      </c>
      <c r="CE276">
        <f>IFERROR(INDEX(PP_Grid[#Data],$DD276,81),0)</f>
        <v/>
      </c>
      <c r="CF276">
        <f>IFERROR(INDEX(PP_Grid[#Data],$DD276,82),0)</f>
        <v/>
      </c>
      <c r="CG276">
        <f>IFERROR(INDEX(PP_Grid[#Data],$DD276,83),0)</f>
        <v/>
      </c>
      <c r="CH276">
        <f>IFERROR(INDEX(PP_Grid[#Data],$DD276,84),0)</f>
        <v/>
      </c>
      <c r="CI276">
        <f>IFERROR(INDEX(PP_Grid[#Data],$DD276,85),0)</f>
        <v/>
      </c>
      <c r="CJ276">
        <f>IFERROR(INDEX(PP_Grid[#Data],$DD276,86),0)</f>
        <v/>
      </c>
      <c r="CK276">
        <f>IFERROR(INDEX(PP_Grid[#Data],$DD276,87),0)</f>
        <v/>
      </c>
      <c r="CL276">
        <f>IFERROR(INDEX(PP_Grid[#Data],$DD276,88),0)</f>
        <v/>
      </c>
      <c r="CM276">
        <f>IFERROR(INDEX(PP_Grid[#Data],$DD276,89),0)</f>
        <v/>
      </c>
      <c r="CN276">
        <f>IFERROR(INDEX(PP_Grid[#Data],$DD276,90),0)</f>
        <v/>
      </c>
      <c r="CO276">
        <f>IFERROR(INDEX(PP_Grid[#Data],$DD276,91),0)</f>
        <v/>
      </c>
      <c r="CP276">
        <f>IFERROR(INDEX(PP_Grid[#Data],$DD276,92),0)</f>
        <v/>
      </c>
      <c r="CQ276">
        <f>IFERROR(INDEX(PP_Grid[#Data],$DD276,93),0)</f>
        <v/>
      </c>
      <c r="CR276">
        <f>IFERROR(INDEX(PP_Grid[#Data],$DD276,94),0)</f>
        <v/>
      </c>
      <c r="CS276">
        <f>IFERROR(INDEX(PP_Grid[#Data],$DD276,95),0)</f>
        <v/>
      </c>
      <c r="CT276">
        <f>IFERROR(INDEX(PP_Grid[#Data],$DD276,96),0)</f>
        <v/>
      </c>
      <c r="CU276">
        <f>IFERROR(INDEX(PP_Grid[#Data],$DD276,97),0)</f>
        <v/>
      </c>
      <c r="CV276">
        <f>IFERROR(INDEX(PP_Grid[#Data],$DD276,98),0)</f>
        <v/>
      </c>
      <c r="CW276">
        <f>IFERROR(INDEX(PP_Grid[#Data],$DD276,99),0)</f>
        <v/>
      </c>
      <c r="CX276">
        <f>IFERROR(INDEX(PP_Grid[#Data],$DD276,100),0)</f>
        <v/>
      </c>
      <c r="CY276">
        <f>IFERROR(INDEX(PP_Grid[#Data],$DD276,101),0)</f>
        <v/>
      </c>
      <c r="CZ276">
        <f>IFERROR(INDEX(PP_Grid[#Data],$DD276,102),0)</f>
        <v/>
      </c>
      <c r="DA276">
        <f>IFERROR(INDEX(PP_Grid[#Data],$DD276,103),0)</f>
        <v/>
      </c>
      <c r="DB276">
        <f>IFERROR(INDEX(PP_Grid[#Data],$DD276,104),0)</f>
        <v/>
      </c>
      <c r="DC276">
        <f>IFERROR(INDEX(PP_Grid[#Data],$DD276,105),0)</f>
        <v/>
      </c>
      <c r="DD276" s="7">
        <f>IFERROR(MATCH($B276,PP_Grid[Intermediate],0),99999)</f>
        <v/>
      </c>
    </row>
    <row r="277">
      <c r="B277" t="inlineStr">
        <is>
          <t>使用量(kg)</t>
        </is>
      </c>
      <c r="C277">
        <f>SUMIFS(M_BOM[RM_Qty_Per_Batch],M_BOM[Intermediate],$B276,M_BOM[Part Name],$A219)</f>
        <v/>
      </c>
      <c r="D277">
        <f>$C277*D276</f>
        <v/>
      </c>
      <c r="E277">
        <f>$C277*E276</f>
        <v/>
      </c>
      <c r="F277">
        <f>$C277*F276</f>
        <v/>
      </c>
      <c r="G277">
        <f>$C277*G276</f>
        <v/>
      </c>
      <c r="H277">
        <f>$C277*H276</f>
        <v/>
      </c>
      <c r="I277">
        <f>$C277*I276</f>
        <v/>
      </c>
      <c r="J277">
        <f>$C277*J276</f>
        <v/>
      </c>
      <c r="K277">
        <f>$C277*K276</f>
        <v/>
      </c>
      <c r="L277">
        <f>$C277*L276</f>
        <v/>
      </c>
      <c r="M277">
        <f>$C277*M276</f>
        <v/>
      </c>
      <c r="N277">
        <f>$C277*N276</f>
        <v/>
      </c>
      <c r="O277">
        <f>$C277*O276</f>
        <v/>
      </c>
      <c r="P277">
        <f>$C277*P276</f>
        <v/>
      </c>
      <c r="Q277">
        <f>$C277*Q276</f>
        <v/>
      </c>
      <c r="R277">
        <f>$C277*R276</f>
        <v/>
      </c>
      <c r="S277">
        <f>$C277*S276</f>
        <v/>
      </c>
      <c r="T277">
        <f>$C277*T276</f>
        <v/>
      </c>
      <c r="U277">
        <f>$C277*U276</f>
        <v/>
      </c>
      <c r="V277">
        <f>$C277*V276</f>
        <v/>
      </c>
      <c r="W277">
        <f>$C277*W276</f>
        <v/>
      </c>
      <c r="X277">
        <f>$C277*X276</f>
        <v/>
      </c>
      <c r="Y277">
        <f>$C277*Y276</f>
        <v/>
      </c>
      <c r="Z277">
        <f>$C277*Z276</f>
        <v/>
      </c>
      <c r="AA277">
        <f>$C277*AA276</f>
        <v/>
      </c>
      <c r="AB277">
        <f>$C277*AB276</f>
        <v/>
      </c>
      <c r="AC277">
        <f>$C277*AC276</f>
        <v/>
      </c>
      <c r="AD277">
        <f>$C277*AD276</f>
        <v/>
      </c>
      <c r="AE277">
        <f>$C277*AE276</f>
        <v/>
      </c>
      <c r="AF277">
        <f>$C277*AF276</f>
        <v/>
      </c>
      <c r="AG277">
        <f>$C277*AG276</f>
        <v/>
      </c>
      <c r="AH277">
        <f>$C277*AH276</f>
        <v/>
      </c>
      <c r="AI277">
        <f>$C277*AI276</f>
        <v/>
      </c>
      <c r="AJ277">
        <f>$C277*AJ276</f>
        <v/>
      </c>
      <c r="AK277">
        <f>$C277*AK276</f>
        <v/>
      </c>
      <c r="AL277">
        <f>$C277*AL276</f>
        <v/>
      </c>
      <c r="AM277">
        <f>$C277*AM276</f>
        <v/>
      </c>
      <c r="AN277">
        <f>$C277*AN276</f>
        <v/>
      </c>
      <c r="AO277">
        <f>$C277*AO276</f>
        <v/>
      </c>
      <c r="AP277">
        <f>$C277*AP276</f>
        <v/>
      </c>
      <c r="AQ277">
        <f>$C277*AQ276</f>
        <v/>
      </c>
      <c r="AR277">
        <f>$C277*AR276</f>
        <v/>
      </c>
      <c r="AS277">
        <f>$C277*AS276</f>
        <v/>
      </c>
      <c r="AT277">
        <f>$C277*AT276</f>
        <v/>
      </c>
      <c r="AU277">
        <f>$C277*AU276</f>
        <v/>
      </c>
      <c r="AV277">
        <f>$C277*AV276</f>
        <v/>
      </c>
      <c r="AW277">
        <f>$C277*AW276</f>
        <v/>
      </c>
      <c r="AX277">
        <f>$C277*AX276</f>
        <v/>
      </c>
      <c r="AY277">
        <f>$C277*AY276</f>
        <v/>
      </c>
      <c r="AZ277">
        <f>$C277*AZ276</f>
        <v/>
      </c>
      <c r="BA277">
        <f>$C277*BA276</f>
        <v/>
      </c>
      <c r="BB277">
        <f>$C277*BB276</f>
        <v/>
      </c>
      <c r="BC277">
        <f>$C277*BC276</f>
        <v/>
      </c>
      <c r="BD277">
        <f>$C277*BD276</f>
        <v/>
      </c>
      <c r="BE277">
        <f>$C277*BE276</f>
        <v/>
      </c>
      <c r="BF277">
        <f>$C277*BF276</f>
        <v/>
      </c>
      <c r="BG277">
        <f>$C277*BG276</f>
        <v/>
      </c>
      <c r="BH277">
        <f>$C277*BH276</f>
        <v/>
      </c>
      <c r="BI277">
        <f>$C277*BI276</f>
        <v/>
      </c>
      <c r="BJ277">
        <f>$C277*BJ276</f>
        <v/>
      </c>
      <c r="BK277">
        <f>$C277*BK276</f>
        <v/>
      </c>
      <c r="BL277">
        <f>$C277*BL276</f>
        <v/>
      </c>
      <c r="BM277">
        <f>$C277*BM276</f>
        <v/>
      </c>
      <c r="BN277">
        <f>$C277*BN276</f>
        <v/>
      </c>
      <c r="BO277">
        <f>$C277*BO276</f>
        <v/>
      </c>
      <c r="BP277">
        <f>$C277*BP276</f>
        <v/>
      </c>
      <c r="BQ277">
        <f>$C277*BQ276</f>
        <v/>
      </c>
      <c r="BR277">
        <f>$C277*BR276</f>
        <v/>
      </c>
      <c r="BS277">
        <f>$C277*BS276</f>
        <v/>
      </c>
      <c r="BT277">
        <f>$C277*BT276</f>
        <v/>
      </c>
      <c r="BU277">
        <f>$C277*BU276</f>
        <v/>
      </c>
      <c r="BV277">
        <f>$C277*BV276</f>
        <v/>
      </c>
      <c r="BW277">
        <f>$C277*BW276</f>
        <v/>
      </c>
      <c r="BX277">
        <f>$C277*BX276</f>
        <v/>
      </c>
      <c r="BY277">
        <f>$C277*BY276</f>
        <v/>
      </c>
      <c r="BZ277">
        <f>$C277*BZ276</f>
        <v/>
      </c>
      <c r="CA277">
        <f>$C277*CA276</f>
        <v/>
      </c>
      <c r="CB277">
        <f>$C277*CB276</f>
        <v/>
      </c>
      <c r="CC277">
        <f>$C277*CC276</f>
        <v/>
      </c>
      <c r="CD277">
        <f>$C277*CD276</f>
        <v/>
      </c>
      <c r="CE277">
        <f>$C277*CE276</f>
        <v/>
      </c>
      <c r="CF277">
        <f>$C277*CF276</f>
        <v/>
      </c>
      <c r="CG277">
        <f>$C277*CG276</f>
        <v/>
      </c>
      <c r="CH277">
        <f>$C277*CH276</f>
        <v/>
      </c>
      <c r="CI277">
        <f>$C277*CI276</f>
        <v/>
      </c>
      <c r="CJ277">
        <f>$C277*CJ276</f>
        <v/>
      </c>
      <c r="CK277">
        <f>$C277*CK276</f>
        <v/>
      </c>
      <c r="CL277">
        <f>$C277*CL276</f>
        <v/>
      </c>
      <c r="CM277">
        <f>$C277*CM276</f>
        <v/>
      </c>
      <c r="CN277">
        <f>$C277*CN276</f>
        <v/>
      </c>
      <c r="CO277">
        <f>$C277*CO276</f>
        <v/>
      </c>
      <c r="CP277">
        <f>$C277*CP276</f>
        <v/>
      </c>
      <c r="CQ277">
        <f>$C277*CQ276</f>
        <v/>
      </c>
      <c r="CR277">
        <f>$C277*CR276</f>
        <v/>
      </c>
      <c r="CS277">
        <f>$C277*CS276</f>
        <v/>
      </c>
      <c r="CT277">
        <f>$C277*CT276</f>
        <v/>
      </c>
      <c r="CU277">
        <f>$C277*CU276</f>
        <v/>
      </c>
      <c r="CV277">
        <f>$C277*CV276</f>
        <v/>
      </c>
      <c r="CW277">
        <f>$C277*CW276</f>
        <v/>
      </c>
      <c r="CX277">
        <f>$C277*CX276</f>
        <v/>
      </c>
      <c r="CY277">
        <f>$C277*CY276</f>
        <v/>
      </c>
      <c r="CZ277">
        <f>$C277*CZ276</f>
        <v/>
      </c>
      <c r="DA277">
        <f>$C277*DA276</f>
        <v/>
      </c>
      <c r="DB277">
        <f>$C277*DB276</f>
        <v/>
      </c>
      <c r="DC277">
        <f>$C277*DC276</f>
        <v/>
      </c>
    </row>
    <row r="278">
      <c r="B278" t="inlineStr">
        <is>
          <t>TSP-930</t>
        </is>
      </c>
      <c r="C278" t="inlineStr">
        <is>
          <t>No. of batches</t>
        </is>
      </c>
      <c r="D278">
        <f>IFERROR(INDEX(PP_Grid[#Data],$DD278,2),0)</f>
        <v/>
      </c>
      <c r="E278">
        <f>IFERROR(INDEX(PP_Grid[#Data],$DD278,3),0)</f>
        <v/>
      </c>
      <c r="F278">
        <f>IFERROR(INDEX(PP_Grid[#Data],$DD278,4),0)</f>
        <v/>
      </c>
      <c r="G278">
        <f>IFERROR(INDEX(PP_Grid[#Data],$DD278,5),0)</f>
        <v/>
      </c>
      <c r="H278">
        <f>IFERROR(INDEX(PP_Grid[#Data],$DD278,6),0)</f>
        <v/>
      </c>
      <c r="I278">
        <f>IFERROR(INDEX(PP_Grid[#Data],$DD278,7),0)</f>
        <v/>
      </c>
      <c r="J278">
        <f>IFERROR(INDEX(PP_Grid[#Data],$DD278,8),0)</f>
        <v/>
      </c>
      <c r="K278">
        <f>IFERROR(INDEX(PP_Grid[#Data],$DD278,9),0)</f>
        <v/>
      </c>
      <c r="L278">
        <f>IFERROR(INDEX(PP_Grid[#Data],$DD278,10),0)</f>
        <v/>
      </c>
      <c r="M278">
        <f>IFERROR(INDEX(PP_Grid[#Data],$DD278,11),0)</f>
        <v/>
      </c>
      <c r="N278">
        <f>IFERROR(INDEX(PP_Grid[#Data],$DD278,12),0)</f>
        <v/>
      </c>
      <c r="O278">
        <f>IFERROR(INDEX(PP_Grid[#Data],$DD278,13),0)</f>
        <v/>
      </c>
      <c r="P278">
        <f>IFERROR(INDEX(PP_Grid[#Data],$DD278,14),0)</f>
        <v/>
      </c>
      <c r="Q278">
        <f>IFERROR(INDEX(PP_Grid[#Data],$DD278,15),0)</f>
        <v/>
      </c>
      <c r="R278">
        <f>IFERROR(INDEX(PP_Grid[#Data],$DD278,16),0)</f>
        <v/>
      </c>
      <c r="S278">
        <f>IFERROR(INDEX(PP_Grid[#Data],$DD278,17),0)</f>
        <v/>
      </c>
      <c r="T278">
        <f>IFERROR(INDEX(PP_Grid[#Data],$DD278,18),0)</f>
        <v/>
      </c>
      <c r="U278">
        <f>IFERROR(INDEX(PP_Grid[#Data],$DD278,19),0)</f>
        <v/>
      </c>
      <c r="V278">
        <f>IFERROR(INDEX(PP_Grid[#Data],$DD278,20),0)</f>
        <v/>
      </c>
      <c r="W278">
        <f>IFERROR(INDEX(PP_Grid[#Data],$DD278,21),0)</f>
        <v/>
      </c>
      <c r="X278">
        <f>IFERROR(INDEX(PP_Grid[#Data],$DD278,22),0)</f>
        <v/>
      </c>
      <c r="Y278">
        <f>IFERROR(INDEX(PP_Grid[#Data],$DD278,23),0)</f>
        <v/>
      </c>
      <c r="Z278">
        <f>IFERROR(INDEX(PP_Grid[#Data],$DD278,24),0)</f>
        <v/>
      </c>
      <c r="AA278">
        <f>IFERROR(INDEX(PP_Grid[#Data],$DD278,25),0)</f>
        <v/>
      </c>
      <c r="AB278">
        <f>IFERROR(INDEX(PP_Grid[#Data],$DD278,26),0)</f>
        <v/>
      </c>
      <c r="AC278">
        <f>IFERROR(INDEX(PP_Grid[#Data],$DD278,27),0)</f>
        <v/>
      </c>
      <c r="AD278">
        <f>IFERROR(INDEX(PP_Grid[#Data],$DD278,28),0)</f>
        <v/>
      </c>
      <c r="AE278">
        <f>IFERROR(INDEX(PP_Grid[#Data],$DD278,29),0)</f>
        <v/>
      </c>
      <c r="AF278">
        <f>IFERROR(INDEX(PP_Grid[#Data],$DD278,30),0)</f>
        <v/>
      </c>
      <c r="AG278">
        <f>IFERROR(INDEX(PP_Grid[#Data],$DD278,31),0)</f>
        <v/>
      </c>
      <c r="AH278">
        <f>IFERROR(INDEX(PP_Grid[#Data],$DD278,32),0)</f>
        <v/>
      </c>
      <c r="AI278">
        <f>IFERROR(INDEX(PP_Grid[#Data],$DD278,33),0)</f>
        <v/>
      </c>
      <c r="AJ278">
        <f>IFERROR(INDEX(PP_Grid[#Data],$DD278,34),0)</f>
        <v/>
      </c>
      <c r="AK278">
        <f>IFERROR(INDEX(PP_Grid[#Data],$DD278,35),0)</f>
        <v/>
      </c>
      <c r="AL278">
        <f>IFERROR(INDEX(PP_Grid[#Data],$DD278,36),0)</f>
        <v/>
      </c>
      <c r="AM278">
        <f>IFERROR(INDEX(PP_Grid[#Data],$DD278,37),0)</f>
        <v/>
      </c>
      <c r="AN278">
        <f>IFERROR(INDEX(PP_Grid[#Data],$DD278,38),0)</f>
        <v/>
      </c>
      <c r="AO278">
        <f>IFERROR(INDEX(PP_Grid[#Data],$DD278,39),0)</f>
        <v/>
      </c>
      <c r="AP278">
        <f>IFERROR(INDEX(PP_Grid[#Data],$DD278,40),0)</f>
        <v/>
      </c>
      <c r="AQ278">
        <f>IFERROR(INDEX(PP_Grid[#Data],$DD278,41),0)</f>
        <v/>
      </c>
      <c r="AR278">
        <f>IFERROR(INDEX(PP_Grid[#Data],$DD278,42),0)</f>
        <v/>
      </c>
      <c r="AS278">
        <f>IFERROR(INDEX(PP_Grid[#Data],$DD278,43),0)</f>
        <v/>
      </c>
      <c r="AT278">
        <f>IFERROR(INDEX(PP_Grid[#Data],$DD278,44),0)</f>
        <v/>
      </c>
      <c r="AU278">
        <f>IFERROR(INDEX(PP_Grid[#Data],$DD278,45),0)</f>
        <v/>
      </c>
      <c r="AV278">
        <f>IFERROR(INDEX(PP_Grid[#Data],$DD278,46),0)</f>
        <v/>
      </c>
      <c r="AW278">
        <f>IFERROR(INDEX(PP_Grid[#Data],$DD278,47),0)</f>
        <v/>
      </c>
      <c r="AX278">
        <f>IFERROR(INDEX(PP_Grid[#Data],$DD278,48),0)</f>
        <v/>
      </c>
      <c r="AY278">
        <f>IFERROR(INDEX(PP_Grid[#Data],$DD278,49),0)</f>
        <v/>
      </c>
      <c r="AZ278">
        <f>IFERROR(INDEX(PP_Grid[#Data],$DD278,50),0)</f>
        <v/>
      </c>
      <c r="BA278">
        <f>IFERROR(INDEX(PP_Grid[#Data],$DD278,51),0)</f>
        <v/>
      </c>
      <c r="BB278">
        <f>IFERROR(INDEX(PP_Grid[#Data],$DD278,52),0)</f>
        <v/>
      </c>
      <c r="BC278">
        <f>IFERROR(INDEX(PP_Grid[#Data],$DD278,53),0)</f>
        <v/>
      </c>
      <c r="BD278">
        <f>IFERROR(INDEX(PP_Grid[#Data],$DD278,54),0)</f>
        <v/>
      </c>
      <c r="BE278">
        <f>IFERROR(INDEX(PP_Grid[#Data],$DD278,55),0)</f>
        <v/>
      </c>
      <c r="BF278">
        <f>IFERROR(INDEX(PP_Grid[#Data],$DD278,56),0)</f>
        <v/>
      </c>
      <c r="BG278">
        <f>IFERROR(INDEX(PP_Grid[#Data],$DD278,57),0)</f>
        <v/>
      </c>
      <c r="BH278">
        <f>IFERROR(INDEX(PP_Grid[#Data],$DD278,58),0)</f>
        <v/>
      </c>
      <c r="BI278">
        <f>IFERROR(INDEX(PP_Grid[#Data],$DD278,59),0)</f>
        <v/>
      </c>
      <c r="BJ278">
        <f>IFERROR(INDEX(PP_Grid[#Data],$DD278,60),0)</f>
        <v/>
      </c>
      <c r="BK278">
        <f>IFERROR(INDEX(PP_Grid[#Data],$DD278,61),0)</f>
        <v/>
      </c>
      <c r="BL278">
        <f>IFERROR(INDEX(PP_Grid[#Data],$DD278,62),0)</f>
        <v/>
      </c>
      <c r="BM278">
        <f>IFERROR(INDEX(PP_Grid[#Data],$DD278,63),0)</f>
        <v/>
      </c>
      <c r="BN278">
        <f>IFERROR(INDEX(PP_Grid[#Data],$DD278,64),0)</f>
        <v/>
      </c>
      <c r="BO278">
        <f>IFERROR(INDEX(PP_Grid[#Data],$DD278,65),0)</f>
        <v/>
      </c>
      <c r="BP278">
        <f>IFERROR(INDEX(PP_Grid[#Data],$DD278,66),0)</f>
        <v/>
      </c>
      <c r="BQ278">
        <f>IFERROR(INDEX(PP_Grid[#Data],$DD278,67),0)</f>
        <v/>
      </c>
      <c r="BR278">
        <f>IFERROR(INDEX(PP_Grid[#Data],$DD278,68),0)</f>
        <v/>
      </c>
      <c r="BS278">
        <f>IFERROR(INDEX(PP_Grid[#Data],$DD278,69),0)</f>
        <v/>
      </c>
      <c r="BT278">
        <f>IFERROR(INDEX(PP_Grid[#Data],$DD278,70),0)</f>
        <v/>
      </c>
      <c r="BU278">
        <f>IFERROR(INDEX(PP_Grid[#Data],$DD278,71),0)</f>
        <v/>
      </c>
      <c r="BV278">
        <f>IFERROR(INDEX(PP_Grid[#Data],$DD278,72),0)</f>
        <v/>
      </c>
      <c r="BW278">
        <f>IFERROR(INDEX(PP_Grid[#Data],$DD278,73),0)</f>
        <v/>
      </c>
      <c r="BX278">
        <f>IFERROR(INDEX(PP_Grid[#Data],$DD278,74),0)</f>
        <v/>
      </c>
      <c r="BY278">
        <f>IFERROR(INDEX(PP_Grid[#Data],$DD278,75),0)</f>
        <v/>
      </c>
      <c r="BZ278">
        <f>IFERROR(INDEX(PP_Grid[#Data],$DD278,76),0)</f>
        <v/>
      </c>
      <c r="CA278">
        <f>IFERROR(INDEX(PP_Grid[#Data],$DD278,77),0)</f>
        <v/>
      </c>
      <c r="CB278">
        <f>IFERROR(INDEX(PP_Grid[#Data],$DD278,78),0)</f>
        <v/>
      </c>
      <c r="CC278">
        <f>IFERROR(INDEX(PP_Grid[#Data],$DD278,79),0)</f>
        <v/>
      </c>
      <c r="CD278">
        <f>IFERROR(INDEX(PP_Grid[#Data],$DD278,80),0)</f>
        <v/>
      </c>
      <c r="CE278">
        <f>IFERROR(INDEX(PP_Grid[#Data],$DD278,81),0)</f>
        <v/>
      </c>
      <c r="CF278">
        <f>IFERROR(INDEX(PP_Grid[#Data],$DD278,82),0)</f>
        <v/>
      </c>
      <c r="CG278">
        <f>IFERROR(INDEX(PP_Grid[#Data],$DD278,83),0)</f>
        <v/>
      </c>
      <c r="CH278">
        <f>IFERROR(INDEX(PP_Grid[#Data],$DD278,84),0)</f>
        <v/>
      </c>
      <c r="CI278">
        <f>IFERROR(INDEX(PP_Grid[#Data],$DD278,85),0)</f>
        <v/>
      </c>
      <c r="CJ278">
        <f>IFERROR(INDEX(PP_Grid[#Data],$DD278,86),0)</f>
        <v/>
      </c>
      <c r="CK278">
        <f>IFERROR(INDEX(PP_Grid[#Data],$DD278,87),0)</f>
        <v/>
      </c>
      <c r="CL278">
        <f>IFERROR(INDEX(PP_Grid[#Data],$DD278,88),0)</f>
        <v/>
      </c>
      <c r="CM278">
        <f>IFERROR(INDEX(PP_Grid[#Data],$DD278,89),0)</f>
        <v/>
      </c>
      <c r="CN278">
        <f>IFERROR(INDEX(PP_Grid[#Data],$DD278,90),0)</f>
        <v/>
      </c>
      <c r="CO278">
        <f>IFERROR(INDEX(PP_Grid[#Data],$DD278,91),0)</f>
        <v/>
      </c>
      <c r="CP278">
        <f>IFERROR(INDEX(PP_Grid[#Data],$DD278,92),0)</f>
        <v/>
      </c>
      <c r="CQ278">
        <f>IFERROR(INDEX(PP_Grid[#Data],$DD278,93),0)</f>
        <v/>
      </c>
      <c r="CR278">
        <f>IFERROR(INDEX(PP_Grid[#Data],$DD278,94),0)</f>
        <v/>
      </c>
      <c r="CS278">
        <f>IFERROR(INDEX(PP_Grid[#Data],$DD278,95),0)</f>
        <v/>
      </c>
      <c r="CT278">
        <f>IFERROR(INDEX(PP_Grid[#Data],$DD278,96),0)</f>
        <v/>
      </c>
      <c r="CU278">
        <f>IFERROR(INDEX(PP_Grid[#Data],$DD278,97),0)</f>
        <v/>
      </c>
      <c r="CV278">
        <f>IFERROR(INDEX(PP_Grid[#Data],$DD278,98),0)</f>
        <v/>
      </c>
      <c r="CW278">
        <f>IFERROR(INDEX(PP_Grid[#Data],$DD278,99),0)</f>
        <v/>
      </c>
      <c r="CX278">
        <f>IFERROR(INDEX(PP_Grid[#Data],$DD278,100),0)</f>
        <v/>
      </c>
      <c r="CY278">
        <f>IFERROR(INDEX(PP_Grid[#Data],$DD278,101),0)</f>
        <v/>
      </c>
      <c r="CZ278">
        <f>IFERROR(INDEX(PP_Grid[#Data],$DD278,102),0)</f>
        <v/>
      </c>
      <c r="DA278">
        <f>IFERROR(INDEX(PP_Grid[#Data],$DD278,103),0)</f>
        <v/>
      </c>
      <c r="DB278">
        <f>IFERROR(INDEX(PP_Grid[#Data],$DD278,104),0)</f>
        <v/>
      </c>
      <c r="DC278">
        <f>IFERROR(INDEX(PP_Grid[#Data],$DD278,105),0)</f>
        <v/>
      </c>
      <c r="DD278" s="7">
        <f>IFERROR(MATCH($B278,PP_Grid[Intermediate],0),99999)</f>
        <v/>
      </c>
    </row>
    <row r="279">
      <c r="B279" t="inlineStr">
        <is>
          <t>使用量(kg)</t>
        </is>
      </c>
      <c r="C279">
        <f>SUMIFS(M_BOM[RM_Qty_Per_Batch],M_BOM[Intermediate],$B278,M_BOM[Part Name],$A219)</f>
        <v/>
      </c>
      <c r="D279">
        <f>$C279*D278</f>
        <v/>
      </c>
      <c r="E279">
        <f>$C279*E278</f>
        <v/>
      </c>
      <c r="F279">
        <f>$C279*F278</f>
        <v/>
      </c>
      <c r="G279">
        <f>$C279*G278</f>
        <v/>
      </c>
      <c r="H279">
        <f>$C279*H278</f>
        <v/>
      </c>
      <c r="I279">
        <f>$C279*I278</f>
        <v/>
      </c>
      <c r="J279">
        <f>$C279*J278</f>
        <v/>
      </c>
      <c r="K279">
        <f>$C279*K278</f>
        <v/>
      </c>
      <c r="L279">
        <f>$C279*L278</f>
        <v/>
      </c>
      <c r="M279">
        <f>$C279*M278</f>
        <v/>
      </c>
      <c r="N279">
        <f>$C279*N278</f>
        <v/>
      </c>
      <c r="O279">
        <f>$C279*O278</f>
        <v/>
      </c>
      <c r="P279">
        <f>$C279*P278</f>
        <v/>
      </c>
      <c r="Q279">
        <f>$C279*Q278</f>
        <v/>
      </c>
      <c r="R279">
        <f>$C279*R278</f>
        <v/>
      </c>
      <c r="S279">
        <f>$C279*S278</f>
        <v/>
      </c>
      <c r="T279">
        <f>$C279*T278</f>
        <v/>
      </c>
      <c r="U279">
        <f>$C279*U278</f>
        <v/>
      </c>
      <c r="V279">
        <f>$C279*V278</f>
        <v/>
      </c>
      <c r="W279">
        <f>$C279*W278</f>
        <v/>
      </c>
      <c r="X279">
        <f>$C279*X278</f>
        <v/>
      </c>
      <c r="Y279">
        <f>$C279*Y278</f>
        <v/>
      </c>
      <c r="Z279">
        <f>$C279*Z278</f>
        <v/>
      </c>
      <c r="AA279">
        <f>$C279*AA278</f>
        <v/>
      </c>
      <c r="AB279">
        <f>$C279*AB278</f>
        <v/>
      </c>
      <c r="AC279">
        <f>$C279*AC278</f>
        <v/>
      </c>
      <c r="AD279">
        <f>$C279*AD278</f>
        <v/>
      </c>
      <c r="AE279">
        <f>$C279*AE278</f>
        <v/>
      </c>
      <c r="AF279">
        <f>$C279*AF278</f>
        <v/>
      </c>
      <c r="AG279">
        <f>$C279*AG278</f>
        <v/>
      </c>
      <c r="AH279">
        <f>$C279*AH278</f>
        <v/>
      </c>
      <c r="AI279">
        <f>$C279*AI278</f>
        <v/>
      </c>
      <c r="AJ279">
        <f>$C279*AJ278</f>
        <v/>
      </c>
      <c r="AK279">
        <f>$C279*AK278</f>
        <v/>
      </c>
      <c r="AL279">
        <f>$C279*AL278</f>
        <v/>
      </c>
      <c r="AM279">
        <f>$C279*AM278</f>
        <v/>
      </c>
      <c r="AN279">
        <f>$C279*AN278</f>
        <v/>
      </c>
      <c r="AO279">
        <f>$C279*AO278</f>
        <v/>
      </c>
      <c r="AP279">
        <f>$C279*AP278</f>
        <v/>
      </c>
      <c r="AQ279">
        <f>$C279*AQ278</f>
        <v/>
      </c>
      <c r="AR279">
        <f>$C279*AR278</f>
        <v/>
      </c>
      <c r="AS279">
        <f>$C279*AS278</f>
        <v/>
      </c>
      <c r="AT279">
        <f>$C279*AT278</f>
        <v/>
      </c>
      <c r="AU279">
        <f>$C279*AU278</f>
        <v/>
      </c>
      <c r="AV279">
        <f>$C279*AV278</f>
        <v/>
      </c>
      <c r="AW279">
        <f>$C279*AW278</f>
        <v/>
      </c>
      <c r="AX279">
        <f>$C279*AX278</f>
        <v/>
      </c>
      <c r="AY279">
        <f>$C279*AY278</f>
        <v/>
      </c>
      <c r="AZ279">
        <f>$C279*AZ278</f>
        <v/>
      </c>
      <c r="BA279">
        <f>$C279*BA278</f>
        <v/>
      </c>
      <c r="BB279">
        <f>$C279*BB278</f>
        <v/>
      </c>
      <c r="BC279">
        <f>$C279*BC278</f>
        <v/>
      </c>
      <c r="BD279">
        <f>$C279*BD278</f>
        <v/>
      </c>
      <c r="BE279">
        <f>$C279*BE278</f>
        <v/>
      </c>
      <c r="BF279">
        <f>$C279*BF278</f>
        <v/>
      </c>
      <c r="BG279">
        <f>$C279*BG278</f>
        <v/>
      </c>
      <c r="BH279">
        <f>$C279*BH278</f>
        <v/>
      </c>
      <c r="BI279">
        <f>$C279*BI278</f>
        <v/>
      </c>
      <c r="BJ279">
        <f>$C279*BJ278</f>
        <v/>
      </c>
      <c r="BK279">
        <f>$C279*BK278</f>
        <v/>
      </c>
      <c r="BL279">
        <f>$C279*BL278</f>
        <v/>
      </c>
      <c r="BM279">
        <f>$C279*BM278</f>
        <v/>
      </c>
      <c r="BN279">
        <f>$C279*BN278</f>
        <v/>
      </c>
      <c r="BO279">
        <f>$C279*BO278</f>
        <v/>
      </c>
      <c r="BP279">
        <f>$C279*BP278</f>
        <v/>
      </c>
      <c r="BQ279">
        <f>$C279*BQ278</f>
        <v/>
      </c>
      <c r="BR279">
        <f>$C279*BR278</f>
        <v/>
      </c>
      <c r="BS279">
        <f>$C279*BS278</f>
        <v/>
      </c>
      <c r="BT279">
        <f>$C279*BT278</f>
        <v/>
      </c>
      <c r="BU279">
        <f>$C279*BU278</f>
        <v/>
      </c>
      <c r="BV279">
        <f>$C279*BV278</f>
        <v/>
      </c>
      <c r="BW279">
        <f>$C279*BW278</f>
        <v/>
      </c>
      <c r="BX279">
        <f>$C279*BX278</f>
        <v/>
      </c>
      <c r="BY279">
        <f>$C279*BY278</f>
        <v/>
      </c>
      <c r="BZ279">
        <f>$C279*BZ278</f>
        <v/>
      </c>
      <c r="CA279">
        <f>$C279*CA278</f>
        <v/>
      </c>
      <c r="CB279">
        <f>$C279*CB278</f>
        <v/>
      </c>
      <c r="CC279">
        <f>$C279*CC278</f>
        <v/>
      </c>
      <c r="CD279">
        <f>$C279*CD278</f>
        <v/>
      </c>
      <c r="CE279">
        <f>$C279*CE278</f>
        <v/>
      </c>
      <c r="CF279">
        <f>$C279*CF278</f>
        <v/>
      </c>
      <c r="CG279">
        <f>$C279*CG278</f>
        <v/>
      </c>
      <c r="CH279">
        <f>$C279*CH278</f>
        <v/>
      </c>
      <c r="CI279">
        <f>$C279*CI278</f>
        <v/>
      </c>
      <c r="CJ279">
        <f>$C279*CJ278</f>
        <v/>
      </c>
      <c r="CK279">
        <f>$C279*CK278</f>
        <v/>
      </c>
      <c r="CL279">
        <f>$C279*CL278</f>
        <v/>
      </c>
      <c r="CM279">
        <f>$C279*CM278</f>
        <v/>
      </c>
      <c r="CN279">
        <f>$C279*CN278</f>
        <v/>
      </c>
      <c r="CO279">
        <f>$C279*CO278</f>
        <v/>
      </c>
      <c r="CP279">
        <f>$C279*CP278</f>
        <v/>
      </c>
      <c r="CQ279">
        <f>$C279*CQ278</f>
        <v/>
      </c>
      <c r="CR279">
        <f>$C279*CR278</f>
        <v/>
      </c>
      <c r="CS279">
        <f>$C279*CS278</f>
        <v/>
      </c>
      <c r="CT279">
        <f>$C279*CT278</f>
        <v/>
      </c>
      <c r="CU279">
        <f>$C279*CU278</f>
        <v/>
      </c>
      <c r="CV279">
        <f>$C279*CV278</f>
        <v/>
      </c>
      <c r="CW279">
        <f>$C279*CW278</f>
        <v/>
      </c>
      <c r="CX279">
        <f>$C279*CX278</f>
        <v/>
      </c>
      <c r="CY279">
        <f>$C279*CY278</f>
        <v/>
      </c>
      <c r="CZ279">
        <f>$C279*CZ278</f>
        <v/>
      </c>
      <c r="DA279">
        <f>$C279*DA278</f>
        <v/>
      </c>
      <c r="DB279">
        <f>$C279*DB278</f>
        <v/>
      </c>
      <c r="DC279">
        <f>$C279*DC278</f>
        <v/>
      </c>
    </row>
    <row r="280">
      <c r="B280" t="inlineStr">
        <is>
          <t>TSP-934</t>
        </is>
      </c>
      <c r="C280" t="inlineStr">
        <is>
          <t>No. of batches</t>
        </is>
      </c>
      <c r="D280">
        <f>IFERROR(INDEX(PP_Grid[#Data],$DD280,2),0)</f>
        <v/>
      </c>
      <c r="E280">
        <f>IFERROR(INDEX(PP_Grid[#Data],$DD280,3),0)</f>
        <v/>
      </c>
      <c r="F280">
        <f>IFERROR(INDEX(PP_Grid[#Data],$DD280,4),0)</f>
        <v/>
      </c>
      <c r="G280">
        <f>IFERROR(INDEX(PP_Grid[#Data],$DD280,5),0)</f>
        <v/>
      </c>
      <c r="H280">
        <f>IFERROR(INDEX(PP_Grid[#Data],$DD280,6),0)</f>
        <v/>
      </c>
      <c r="I280">
        <f>IFERROR(INDEX(PP_Grid[#Data],$DD280,7),0)</f>
        <v/>
      </c>
      <c r="J280">
        <f>IFERROR(INDEX(PP_Grid[#Data],$DD280,8),0)</f>
        <v/>
      </c>
      <c r="K280">
        <f>IFERROR(INDEX(PP_Grid[#Data],$DD280,9),0)</f>
        <v/>
      </c>
      <c r="L280">
        <f>IFERROR(INDEX(PP_Grid[#Data],$DD280,10),0)</f>
        <v/>
      </c>
      <c r="M280">
        <f>IFERROR(INDEX(PP_Grid[#Data],$DD280,11),0)</f>
        <v/>
      </c>
      <c r="N280">
        <f>IFERROR(INDEX(PP_Grid[#Data],$DD280,12),0)</f>
        <v/>
      </c>
      <c r="O280">
        <f>IFERROR(INDEX(PP_Grid[#Data],$DD280,13),0)</f>
        <v/>
      </c>
      <c r="P280">
        <f>IFERROR(INDEX(PP_Grid[#Data],$DD280,14),0)</f>
        <v/>
      </c>
      <c r="Q280">
        <f>IFERROR(INDEX(PP_Grid[#Data],$DD280,15),0)</f>
        <v/>
      </c>
      <c r="R280">
        <f>IFERROR(INDEX(PP_Grid[#Data],$DD280,16),0)</f>
        <v/>
      </c>
      <c r="S280">
        <f>IFERROR(INDEX(PP_Grid[#Data],$DD280,17),0)</f>
        <v/>
      </c>
      <c r="T280">
        <f>IFERROR(INDEX(PP_Grid[#Data],$DD280,18),0)</f>
        <v/>
      </c>
      <c r="U280">
        <f>IFERROR(INDEX(PP_Grid[#Data],$DD280,19),0)</f>
        <v/>
      </c>
      <c r="V280">
        <f>IFERROR(INDEX(PP_Grid[#Data],$DD280,20),0)</f>
        <v/>
      </c>
      <c r="W280">
        <f>IFERROR(INDEX(PP_Grid[#Data],$DD280,21),0)</f>
        <v/>
      </c>
      <c r="X280">
        <f>IFERROR(INDEX(PP_Grid[#Data],$DD280,22),0)</f>
        <v/>
      </c>
      <c r="Y280">
        <f>IFERROR(INDEX(PP_Grid[#Data],$DD280,23),0)</f>
        <v/>
      </c>
      <c r="Z280">
        <f>IFERROR(INDEX(PP_Grid[#Data],$DD280,24),0)</f>
        <v/>
      </c>
      <c r="AA280">
        <f>IFERROR(INDEX(PP_Grid[#Data],$DD280,25),0)</f>
        <v/>
      </c>
      <c r="AB280">
        <f>IFERROR(INDEX(PP_Grid[#Data],$DD280,26),0)</f>
        <v/>
      </c>
      <c r="AC280">
        <f>IFERROR(INDEX(PP_Grid[#Data],$DD280,27),0)</f>
        <v/>
      </c>
      <c r="AD280">
        <f>IFERROR(INDEX(PP_Grid[#Data],$DD280,28),0)</f>
        <v/>
      </c>
      <c r="AE280">
        <f>IFERROR(INDEX(PP_Grid[#Data],$DD280,29),0)</f>
        <v/>
      </c>
      <c r="AF280">
        <f>IFERROR(INDEX(PP_Grid[#Data],$DD280,30),0)</f>
        <v/>
      </c>
      <c r="AG280">
        <f>IFERROR(INDEX(PP_Grid[#Data],$DD280,31),0)</f>
        <v/>
      </c>
      <c r="AH280">
        <f>IFERROR(INDEX(PP_Grid[#Data],$DD280,32),0)</f>
        <v/>
      </c>
      <c r="AI280">
        <f>IFERROR(INDEX(PP_Grid[#Data],$DD280,33),0)</f>
        <v/>
      </c>
      <c r="AJ280">
        <f>IFERROR(INDEX(PP_Grid[#Data],$DD280,34),0)</f>
        <v/>
      </c>
      <c r="AK280">
        <f>IFERROR(INDEX(PP_Grid[#Data],$DD280,35),0)</f>
        <v/>
      </c>
      <c r="AL280">
        <f>IFERROR(INDEX(PP_Grid[#Data],$DD280,36),0)</f>
        <v/>
      </c>
      <c r="AM280">
        <f>IFERROR(INDEX(PP_Grid[#Data],$DD280,37),0)</f>
        <v/>
      </c>
      <c r="AN280">
        <f>IFERROR(INDEX(PP_Grid[#Data],$DD280,38),0)</f>
        <v/>
      </c>
      <c r="AO280">
        <f>IFERROR(INDEX(PP_Grid[#Data],$DD280,39),0)</f>
        <v/>
      </c>
      <c r="AP280">
        <f>IFERROR(INDEX(PP_Grid[#Data],$DD280,40),0)</f>
        <v/>
      </c>
      <c r="AQ280">
        <f>IFERROR(INDEX(PP_Grid[#Data],$DD280,41),0)</f>
        <v/>
      </c>
      <c r="AR280">
        <f>IFERROR(INDEX(PP_Grid[#Data],$DD280,42),0)</f>
        <v/>
      </c>
      <c r="AS280">
        <f>IFERROR(INDEX(PP_Grid[#Data],$DD280,43),0)</f>
        <v/>
      </c>
      <c r="AT280">
        <f>IFERROR(INDEX(PP_Grid[#Data],$DD280,44),0)</f>
        <v/>
      </c>
      <c r="AU280">
        <f>IFERROR(INDEX(PP_Grid[#Data],$DD280,45),0)</f>
        <v/>
      </c>
      <c r="AV280">
        <f>IFERROR(INDEX(PP_Grid[#Data],$DD280,46),0)</f>
        <v/>
      </c>
      <c r="AW280">
        <f>IFERROR(INDEX(PP_Grid[#Data],$DD280,47),0)</f>
        <v/>
      </c>
      <c r="AX280">
        <f>IFERROR(INDEX(PP_Grid[#Data],$DD280,48),0)</f>
        <v/>
      </c>
      <c r="AY280">
        <f>IFERROR(INDEX(PP_Grid[#Data],$DD280,49),0)</f>
        <v/>
      </c>
      <c r="AZ280">
        <f>IFERROR(INDEX(PP_Grid[#Data],$DD280,50),0)</f>
        <v/>
      </c>
      <c r="BA280">
        <f>IFERROR(INDEX(PP_Grid[#Data],$DD280,51),0)</f>
        <v/>
      </c>
      <c r="BB280">
        <f>IFERROR(INDEX(PP_Grid[#Data],$DD280,52),0)</f>
        <v/>
      </c>
      <c r="BC280">
        <f>IFERROR(INDEX(PP_Grid[#Data],$DD280,53),0)</f>
        <v/>
      </c>
      <c r="BD280">
        <f>IFERROR(INDEX(PP_Grid[#Data],$DD280,54),0)</f>
        <v/>
      </c>
      <c r="BE280">
        <f>IFERROR(INDEX(PP_Grid[#Data],$DD280,55),0)</f>
        <v/>
      </c>
      <c r="BF280">
        <f>IFERROR(INDEX(PP_Grid[#Data],$DD280,56),0)</f>
        <v/>
      </c>
      <c r="BG280">
        <f>IFERROR(INDEX(PP_Grid[#Data],$DD280,57),0)</f>
        <v/>
      </c>
      <c r="BH280">
        <f>IFERROR(INDEX(PP_Grid[#Data],$DD280,58),0)</f>
        <v/>
      </c>
      <c r="BI280">
        <f>IFERROR(INDEX(PP_Grid[#Data],$DD280,59),0)</f>
        <v/>
      </c>
      <c r="BJ280">
        <f>IFERROR(INDEX(PP_Grid[#Data],$DD280,60),0)</f>
        <v/>
      </c>
      <c r="BK280">
        <f>IFERROR(INDEX(PP_Grid[#Data],$DD280,61),0)</f>
        <v/>
      </c>
      <c r="BL280">
        <f>IFERROR(INDEX(PP_Grid[#Data],$DD280,62),0)</f>
        <v/>
      </c>
      <c r="BM280">
        <f>IFERROR(INDEX(PP_Grid[#Data],$DD280,63),0)</f>
        <v/>
      </c>
      <c r="BN280">
        <f>IFERROR(INDEX(PP_Grid[#Data],$DD280,64),0)</f>
        <v/>
      </c>
      <c r="BO280">
        <f>IFERROR(INDEX(PP_Grid[#Data],$DD280,65),0)</f>
        <v/>
      </c>
      <c r="BP280">
        <f>IFERROR(INDEX(PP_Grid[#Data],$DD280,66),0)</f>
        <v/>
      </c>
      <c r="BQ280">
        <f>IFERROR(INDEX(PP_Grid[#Data],$DD280,67),0)</f>
        <v/>
      </c>
      <c r="BR280">
        <f>IFERROR(INDEX(PP_Grid[#Data],$DD280,68),0)</f>
        <v/>
      </c>
      <c r="BS280">
        <f>IFERROR(INDEX(PP_Grid[#Data],$DD280,69),0)</f>
        <v/>
      </c>
      <c r="BT280">
        <f>IFERROR(INDEX(PP_Grid[#Data],$DD280,70),0)</f>
        <v/>
      </c>
      <c r="BU280">
        <f>IFERROR(INDEX(PP_Grid[#Data],$DD280,71),0)</f>
        <v/>
      </c>
      <c r="BV280">
        <f>IFERROR(INDEX(PP_Grid[#Data],$DD280,72),0)</f>
        <v/>
      </c>
      <c r="BW280">
        <f>IFERROR(INDEX(PP_Grid[#Data],$DD280,73),0)</f>
        <v/>
      </c>
      <c r="BX280">
        <f>IFERROR(INDEX(PP_Grid[#Data],$DD280,74),0)</f>
        <v/>
      </c>
      <c r="BY280">
        <f>IFERROR(INDEX(PP_Grid[#Data],$DD280,75),0)</f>
        <v/>
      </c>
      <c r="BZ280">
        <f>IFERROR(INDEX(PP_Grid[#Data],$DD280,76),0)</f>
        <v/>
      </c>
      <c r="CA280">
        <f>IFERROR(INDEX(PP_Grid[#Data],$DD280,77),0)</f>
        <v/>
      </c>
      <c r="CB280">
        <f>IFERROR(INDEX(PP_Grid[#Data],$DD280,78),0)</f>
        <v/>
      </c>
      <c r="CC280">
        <f>IFERROR(INDEX(PP_Grid[#Data],$DD280,79),0)</f>
        <v/>
      </c>
      <c r="CD280">
        <f>IFERROR(INDEX(PP_Grid[#Data],$DD280,80),0)</f>
        <v/>
      </c>
      <c r="CE280">
        <f>IFERROR(INDEX(PP_Grid[#Data],$DD280,81),0)</f>
        <v/>
      </c>
      <c r="CF280">
        <f>IFERROR(INDEX(PP_Grid[#Data],$DD280,82),0)</f>
        <v/>
      </c>
      <c r="CG280">
        <f>IFERROR(INDEX(PP_Grid[#Data],$DD280,83),0)</f>
        <v/>
      </c>
      <c r="CH280">
        <f>IFERROR(INDEX(PP_Grid[#Data],$DD280,84),0)</f>
        <v/>
      </c>
      <c r="CI280">
        <f>IFERROR(INDEX(PP_Grid[#Data],$DD280,85),0)</f>
        <v/>
      </c>
      <c r="CJ280">
        <f>IFERROR(INDEX(PP_Grid[#Data],$DD280,86),0)</f>
        <v/>
      </c>
      <c r="CK280">
        <f>IFERROR(INDEX(PP_Grid[#Data],$DD280,87),0)</f>
        <v/>
      </c>
      <c r="CL280">
        <f>IFERROR(INDEX(PP_Grid[#Data],$DD280,88),0)</f>
        <v/>
      </c>
      <c r="CM280">
        <f>IFERROR(INDEX(PP_Grid[#Data],$DD280,89),0)</f>
        <v/>
      </c>
      <c r="CN280">
        <f>IFERROR(INDEX(PP_Grid[#Data],$DD280,90),0)</f>
        <v/>
      </c>
      <c r="CO280">
        <f>IFERROR(INDEX(PP_Grid[#Data],$DD280,91),0)</f>
        <v/>
      </c>
      <c r="CP280">
        <f>IFERROR(INDEX(PP_Grid[#Data],$DD280,92),0)</f>
        <v/>
      </c>
      <c r="CQ280">
        <f>IFERROR(INDEX(PP_Grid[#Data],$DD280,93),0)</f>
        <v/>
      </c>
      <c r="CR280">
        <f>IFERROR(INDEX(PP_Grid[#Data],$DD280,94),0)</f>
        <v/>
      </c>
      <c r="CS280">
        <f>IFERROR(INDEX(PP_Grid[#Data],$DD280,95),0)</f>
        <v/>
      </c>
      <c r="CT280">
        <f>IFERROR(INDEX(PP_Grid[#Data],$DD280,96),0)</f>
        <v/>
      </c>
      <c r="CU280">
        <f>IFERROR(INDEX(PP_Grid[#Data],$DD280,97),0)</f>
        <v/>
      </c>
      <c r="CV280">
        <f>IFERROR(INDEX(PP_Grid[#Data],$DD280,98),0)</f>
        <v/>
      </c>
      <c r="CW280">
        <f>IFERROR(INDEX(PP_Grid[#Data],$DD280,99),0)</f>
        <v/>
      </c>
      <c r="CX280">
        <f>IFERROR(INDEX(PP_Grid[#Data],$DD280,100),0)</f>
        <v/>
      </c>
      <c r="CY280">
        <f>IFERROR(INDEX(PP_Grid[#Data],$DD280,101),0)</f>
        <v/>
      </c>
      <c r="CZ280">
        <f>IFERROR(INDEX(PP_Grid[#Data],$DD280,102),0)</f>
        <v/>
      </c>
      <c r="DA280">
        <f>IFERROR(INDEX(PP_Grid[#Data],$DD280,103),0)</f>
        <v/>
      </c>
      <c r="DB280">
        <f>IFERROR(INDEX(PP_Grid[#Data],$DD280,104),0)</f>
        <v/>
      </c>
      <c r="DC280">
        <f>IFERROR(INDEX(PP_Grid[#Data],$DD280,105),0)</f>
        <v/>
      </c>
      <c r="DD280" s="7">
        <f>IFERROR(MATCH($B280,PP_Grid[Intermediate],0),99999)</f>
        <v/>
      </c>
    </row>
    <row r="281">
      <c r="B281" t="inlineStr">
        <is>
          <t>使用量(kg)</t>
        </is>
      </c>
      <c r="C281">
        <f>SUMIFS(M_BOM[RM_Qty_Per_Batch],M_BOM[Intermediate],$B280,M_BOM[Part Name],$A219)</f>
        <v/>
      </c>
      <c r="D281">
        <f>$C281*D280</f>
        <v/>
      </c>
      <c r="E281">
        <f>$C281*E280</f>
        <v/>
      </c>
      <c r="F281">
        <f>$C281*F280</f>
        <v/>
      </c>
      <c r="G281">
        <f>$C281*G280</f>
        <v/>
      </c>
      <c r="H281">
        <f>$C281*H280</f>
        <v/>
      </c>
      <c r="I281">
        <f>$C281*I280</f>
        <v/>
      </c>
      <c r="J281">
        <f>$C281*J280</f>
        <v/>
      </c>
      <c r="K281">
        <f>$C281*K280</f>
        <v/>
      </c>
      <c r="L281">
        <f>$C281*L280</f>
        <v/>
      </c>
      <c r="M281">
        <f>$C281*M280</f>
        <v/>
      </c>
      <c r="N281">
        <f>$C281*N280</f>
        <v/>
      </c>
      <c r="O281">
        <f>$C281*O280</f>
        <v/>
      </c>
      <c r="P281">
        <f>$C281*P280</f>
        <v/>
      </c>
      <c r="Q281">
        <f>$C281*Q280</f>
        <v/>
      </c>
      <c r="R281">
        <f>$C281*R280</f>
        <v/>
      </c>
      <c r="S281">
        <f>$C281*S280</f>
        <v/>
      </c>
      <c r="T281">
        <f>$C281*T280</f>
        <v/>
      </c>
      <c r="U281">
        <f>$C281*U280</f>
        <v/>
      </c>
      <c r="V281">
        <f>$C281*V280</f>
        <v/>
      </c>
      <c r="W281">
        <f>$C281*W280</f>
        <v/>
      </c>
      <c r="X281">
        <f>$C281*X280</f>
        <v/>
      </c>
      <c r="Y281">
        <f>$C281*Y280</f>
        <v/>
      </c>
      <c r="Z281">
        <f>$C281*Z280</f>
        <v/>
      </c>
      <c r="AA281">
        <f>$C281*AA280</f>
        <v/>
      </c>
      <c r="AB281">
        <f>$C281*AB280</f>
        <v/>
      </c>
      <c r="AC281">
        <f>$C281*AC280</f>
        <v/>
      </c>
      <c r="AD281">
        <f>$C281*AD280</f>
        <v/>
      </c>
      <c r="AE281">
        <f>$C281*AE280</f>
        <v/>
      </c>
      <c r="AF281">
        <f>$C281*AF280</f>
        <v/>
      </c>
      <c r="AG281">
        <f>$C281*AG280</f>
        <v/>
      </c>
      <c r="AH281">
        <f>$C281*AH280</f>
        <v/>
      </c>
      <c r="AI281">
        <f>$C281*AI280</f>
        <v/>
      </c>
      <c r="AJ281">
        <f>$C281*AJ280</f>
        <v/>
      </c>
      <c r="AK281">
        <f>$C281*AK280</f>
        <v/>
      </c>
      <c r="AL281">
        <f>$C281*AL280</f>
        <v/>
      </c>
      <c r="AM281">
        <f>$C281*AM280</f>
        <v/>
      </c>
      <c r="AN281">
        <f>$C281*AN280</f>
        <v/>
      </c>
      <c r="AO281">
        <f>$C281*AO280</f>
        <v/>
      </c>
      <c r="AP281">
        <f>$C281*AP280</f>
        <v/>
      </c>
      <c r="AQ281">
        <f>$C281*AQ280</f>
        <v/>
      </c>
      <c r="AR281">
        <f>$C281*AR280</f>
        <v/>
      </c>
      <c r="AS281">
        <f>$C281*AS280</f>
        <v/>
      </c>
      <c r="AT281">
        <f>$C281*AT280</f>
        <v/>
      </c>
      <c r="AU281">
        <f>$C281*AU280</f>
        <v/>
      </c>
      <c r="AV281">
        <f>$C281*AV280</f>
        <v/>
      </c>
      <c r="AW281">
        <f>$C281*AW280</f>
        <v/>
      </c>
      <c r="AX281">
        <f>$C281*AX280</f>
        <v/>
      </c>
      <c r="AY281">
        <f>$C281*AY280</f>
        <v/>
      </c>
      <c r="AZ281">
        <f>$C281*AZ280</f>
        <v/>
      </c>
      <c r="BA281">
        <f>$C281*BA280</f>
        <v/>
      </c>
      <c r="BB281">
        <f>$C281*BB280</f>
        <v/>
      </c>
      <c r="BC281">
        <f>$C281*BC280</f>
        <v/>
      </c>
      <c r="BD281">
        <f>$C281*BD280</f>
        <v/>
      </c>
      <c r="BE281">
        <f>$C281*BE280</f>
        <v/>
      </c>
      <c r="BF281">
        <f>$C281*BF280</f>
        <v/>
      </c>
      <c r="BG281">
        <f>$C281*BG280</f>
        <v/>
      </c>
      <c r="BH281">
        <f>$C281*BH280</f>
        <v/>
      </c>
      <c r="BI281">
        <f>$C281*BI280</f>
        <v/>
      </c>
      <c r="BJ281">
        <f>$C281*BJ280</f>
        <v/>
      </c>
      <c r="BK281">
        <f>$C281*BK280</f>
        <v/>
      </c>
      <c r="BL281">
        <f>$C281*BL280</f>
        <v/>
      </c>
      <c r="BM281">
        <f>$C281*BM280</f>
        <v/>
      </c>
      <c r="BN281">
        <f>$C281*BN280</f>
        <v/>
      </c>
      <c r="BO281">
        <f>$C281*BO280</f>
        <v/>
      </c>
      <c r="BP281">
        <f>$C281*BP280</f>
        <v/>
      </c>
      <c r="BQ281">
        <f>$C281*BQ280</f>
        <v/>
      </c>
      <c r="BR281">
        <f>$C281*BR280</f>
        <v/>
      </c>
      <c r="BS281">
        <f>$C281*BS280</f>
        <v/>
      </c>
      <c r="BT281">
        <f>$C281*BT280</f>
        <v/>
      </c>
      <c r="BU281">
        <f>$C281*BU280</f>
        <v/>
      </c>
      <c r="BV281">
        <f>$C281*BV280</f>
        <v/>
      </c>
      <c r="BW281">
        <f>$C281*BW280</f>
        <v/>
      </c>
      <c r="BX281">
        <f>$C281*BX280</f>
        <v/>
      </c>
      <c r="BY281">
        <f>$C281*BY280</f>
        <v/>
      </c>
      <c r="BZ281">
        <f>$C281*BZ280</f>
        <v/>
      </c>
      <c r="CA281">
        <f>$C281*CA280</f>
        <v/>
      </c>
      <c r="CB281">
        <f>$C281*CB280</f>
        <v/>
      </c>
      <c r="CC281">
        <f>$C281*CC280</f>
        <v/>
      </c>
      <c r="CD281">
        <f>$C281*CD280</f>
        <v/>
      </c>
      <c r="CE281">
        <f>$C281*CE280</f>
        <v/>
      </c>
      <c r="CF281">
        <f>$C281*CF280</f>
        <v/>
      </c>
      <c r="CG281">
        <f>$C281*CG280</f>
        <v/>
      </c>
      <c r="CH281">
        <f>$C281*CH280</f>
        <v/>
      </c>
      <c r="CI281">
        <f>$C281*CI280</f>
        <v/>
      </c>
      <c r="CJ281">
        <f>$C281*CJ280</f>
        <v/>
      </c>
      <c r="CK281">
        <f>$C281*CK280</f>
        <v/>
      </c>
      <c r="CL281">
        <f>$C281*CL280</f>
        <v/>
      </c>
      <c r="CM281">
        <f>$C281*CM280</f>
        <v/>
      </c>
      <c r="CN281">
        <f>$C281*CN280</f>
        <v/>
      </c>
      <c r="CO281">
        <f>$C281*CO280</f>
        <v/>
      </c>
      <c r="CP281">
        <f>$C281*CP280</f>
        <v/>
      </c>
      <c r="CQ281">
        <f>$C281*CQ280</f>
        <v/>
      </c>
      <c r="CR281">
        <f>$C281*CR280</f>
        <v/>
      </c>
      <c r="CS281">
        <f>$C281*CS280</f>
        <v/>
      </c>
      <c r="CT281">
        <f>$C281*CT280</f>
        <v/>
      </c>
      <c r="CU281">
        <f>$C281*CU280</f>
        <v/>
      </c>
      <c r="CV281">
        <f>$C281*CV280</f>
        <v/>
      </c>
      <c r="CW281">
        <f>$C281*CW280</f>
        <v/>
      </c>
      <c r="CX281">
        <f>$C281*CX280</f>
        <v/>
      </c>
      <c r="CY281">
        <f>$C281*CY280</f>
        <v/>
      </c>
      <c r="CZ281">
        <f>$C281*CZ280</f>
        <v/>
      </c>
      <c r="DA281">
        <f>$C281*DA280</f>
        <v/>
      </c>
      <c r="DB281">
        <f>$C281*DB280</f>
        <v/>
      </c>
      <c r="DC281">
        <f>$C281*DC280</f>
        <v/>
      </c>
    </row>
    <row r="282">
      <c r="B282" t="inlineStr">
        <is>
          <t>TSP-935</t>
        </is>
      </c>
      <c r="C282" t="inlineStr">
        <is>
          <t>No. of batches</t>
        </is>
      </c>
      <c r="D282">
        <f>IFERROR(INDEX(PP_Grid[#Data],$DD282,2),0)</f>
        <v/>
      </c>
      <c r="E282">
        <f>IFERROR(INDEX(PP_Grid[#Data],$DD282,3),0)</f>
        <v/>
      </c>
      <c r="F282">
        <f>IFERROR(INDEX(PP_Grid[#Data],$DD282,4),0)</f>
        <v/>
      </c>
      <c r="G282">
        <f>IFERROR(INDEX(PP_Grid[#Data],$DD282,5),0)</f>
        <v/>
      </c>
      <c r="H282">
        <f>IFERROR(INDEX(PP_Grid[#Data],$DD282,6),0)</f>
        <v/>
      </c>
      <c r="I282">
        <f>IFERROR(INDEX(PP_Grid[#Data],$DD282,7),0)</f>
        <v/>
      </c>
      <c r="J282">
        <f>IFERROR(INDEX(PP_Grid[#Data],$DD282,8),0)</f>
        <v/>
      </c>
      <c r="K282">
        <f>IFERROR(INDEX(PP_Grid[#Data],$DD282,9),0)</f>
        <v/>
      </c>
      <c r="L282">
        <f>IFERROR(INDEX(PP_Grid[#Data],$DD282,10),0)</f>
        <v/>
      </c>
      <c r="M282">
        <f>IFERROR(INDEX(PP_Grid[#Data],$DD282,11),0)</f>
        <v/>
      </c>
      <c r="N282">
        <f>IFERROR(INDEX(PP_Grid[#Data],$DD282,12),0)</f>
        <v/>
      </c>
      <c r="O282">
        <f>IFERROR(INDEX(PP_Grid[#Data],$DD282,13),0)</f>
        <v/>
      </c>
      <c r="P282">
        <f>IFERROR(INDEX(PP_Grid[#Data],$DD282,14),0)</f>
        <v/>
      </c>
      <c r="Q282">
        <f>IFERROR(INDEX(PP_Grid[#Data],$DD282,15),0)</f>
        <v/>
      </c>
      <c r="R282">
        <f>IFERROR(INDEX(PP_Grid[#Data],$DD282,16),0)</f>
        <v/>
      </c>
      <c r="S282">
        <f>IFERROR(INDEX(PP_Grid[#Data],$DD282,17),0)</f>
        <v/>
      </c>
      <c r="T282">
        <f>IFERROR(INDEX(PP_Grid[#Data],$DD282,18),0)</f>
        <v/>
      </c>
      <c r="U282">
        <f>IFERROR(INDEX(PP_Grid[#Data],$DD282,19),0)</f>
        <v/>
      </c>
      <c r="V282">
        <f>IFERROR(INDEX(PP_Grid[#Data],$DD282,20),0)</f>
        <v/>
      </c>
      <c r="W282">
        <f>IFERROR(INDEX(PP_Grid[#Data],$DD282,21),0)</f>
        <v/>
      </c>
      <c r="X282">
        <f>IFERROR(INDEX(PP_Grid[#Data],$DD282,22),0)</f>
        <v/>
      </c>
      <c r="Y282">
        <f>IFERROR(INDEX(PP_Grid[#Data],$DD282,23),0)</f>
        <v/>
      </c>
      <c r="Z282">
        <f>IFERROR(INDEX(PP_Grid[#Data],$DD282,24),0)</f>
        <v/>
      </c>
      <c r="AA282">
        <f>IFERROR(INDEX(PP_Grid[#Data],$DD282,25),0)</f>
        <v/>
      </c>
      <c r="AB282">
        <f>IFERROR(INDEX(PP_Grid[#Data],$DD282,26),0)</f>
        <v/>
      </c>
      <c r="AC282">
        <f>IFERROR(INDEX(PP_Grid[#Data],$DD282,27),0)</f>
        <v/>
      </c>
      <c r="AD282">
        <f>IFERROR(INDEX(PP_Grid[#Data],$DD282,28),0)</f>
        <v/>
      </c>
      <c r="AE282">
        <f>IFERROR(INDEX(PP_Grid[#Data],$DD282,29),0)</f>
        <v/>
      </c>
      <c r="AF282">
        <f>IFERROR(INDEX(PP_Grid[#Data],$DD282,30),0)</f>
        <v/>
      </c>
      <c r="AG282">
        <f>IFERROR(INDEX(PP_Grid[#Data],$DD282,31),0)</f>
        <v/>
      </c>
      <c r="AH282">
        <f>IFERROR(INDEX(PP_Grid[#Data],$DD282,32),0)</f>
        <v/>
      </c>
      <c r="AI282">
        <f>IFERROR(INDEX(PP_Grid[#Data],$DD282,33),0)</f>
        <v/>
      </c>
      <c r="AJ282">
        <f>IFERROR(INDEX(PP_Grid[#Data],$DD282,34),0)</f>
        <v/>
      </c>
      <c r="AK282">
        <f>IFERROR(INDEX(PP_Grid[#Data],$DD282,35),0)</f>
        <v/>
      </c>
      <c r="AL282">
        <f>IFERROR(INDEX(PP_Grid[#Data],$DD282,36),0)</f>
        <v/>
      </c>
      <c r="AM282">
        <f>IFERROR(INDEX(PP_Grid[#Data],$DD282,37),0)</f>
        <v/>
      </c>
      <c r="AN282">
        <f>IFERROR(INDEX(PP_Grid[#Data],$DD282,38),0)</f>
        <v/>
      </c>
      <c r="AO282">
        <f>IFERROR(INDEX(PP_Grid[#Data],$DD282,39),0)</f>
        <v/>
      </c>
      <c r="AP282">
        <f>IFERROR(INDEX(PP_Grid[#Data],$DD282,40),0)</f>
        <v/>
      </c>
      <c r="AQ282">
        <f>IFERROR(INDEX(PP_Grid[#Data],$DD282,41),0)</f>
        <v/>
      </c>
      <c r="AR282">
        <f>IFERROR(INDEX(PP_Grid[#Data],$DD282,42),0)</f>
        <v/>
      </c>
      <c r="AS282">
        <f>IFERROR(INDEX(PP_Grid[#Data],$DD282,43),0)</f>
        <v/>
      </c>
      <c r="AT282">
        <f>IFERROR(INDEX(PP_Grid[#Data],$DD282,44),0)</f>
        <v/>
      </c>
      <c r="AU282">
        <f>IFERROR(INDEX(PP_Grid[#Data],$DD282,45),0)</f>
        <v/>
      </c>
      <c r="AV282">
        <f>IFERROR(INDEX(PP_Grid[#Data],$DD282,46),0)</f>
        <v/>
      </c>
      <c r="AW282">
        <f>IFERROR(INDEX(PP_Grid[#Data],$DD282,47),0)</f>
        <v/>
      </c>
      <c r="AX282">
        <f>IFERROR(INDEX(PP_Grid[#Data],$DD282,48),0)</f>
        <v/>
      </c>
      <c r="AY282">
        <f>IFERROR(INDEX(PP_Grid[#Data],$DD282,49),0)</f>
        <v/>
      </c>
      <c r="AZ282">
        <f>IFERROR(INDEX(PP_Grid[#Data],$DD282,50),0)</f>
        <v/>
      </c>
      <c r="BA282">
        <f>IFERROR(INDEX(PP_Grid[#Data],$DD282,51),0)</f>
        <v/>
      </c>
      <c r="BB282">
        <f>IFERROR(INDEX(PP_Grid[#Data],$DD282,52),0)</f>
        <v/>
      </c>
      <c r="BC282">
        <f>IFERROR(INDEX(PP_Grid[#Data],$DD282,53),0)</f>
        <v/>
      </c>
      <c r="BD282">
        <f>IFERROR(INDEX(PP_Grid[#Data],$DD282,54),0)</f>
        <v/>
      </c>
      <c r="BE282">
        <f>IFERROR(INDEX(PP_Grid[#Data],$DD282,55),0)</f>
        <v/>
      </c>
      <c r="BF282">
        <f>IFERROR(INDEX(PP_Grid[#Data],$DD282,56),0)</f>
        <v/>
      </c>
      <c r="BG282">
        <f>IFERROR(INDEX(PP_Grid[#Data],$DD282,57),0)</f>
        <v/>
      </c>
      <c r="BH282">
        <f>IFERROR(INDEX(PP_Grid[#Data],$DD282,58),0)</f>
        <v/>
      </c>
      <c r="BI282">
        <f>IFERROR(INDEX(PP_Grid[#Data],$DD282,59),0)</f>
        <v/>
      </c>
      <c r="BJ282">
        <f>IFERROR(INDEX(PP_Grid[#Data],$DD282,60),0)</f>
        <v/>
      </c>
      <c r="BK282">
        <f>IFERROR(INDEX(PP_Grid[#Data],$DD282,61),0)</f>
        <v/>
      </c>
      <c r="BL282">
        <f>IFERROR(INDEX(PP_Grid[#Data],$DD282,62),0)</f>
        <v/>
      </c>
      <c r="BM282">
        <f>IFERROR(INDEX(PP_Grid[#Data],$DD282,63),0)</f>
        <v/>
      </c>
      <c r="BN282">
        <f>IFERROR(INDEX(PP_Grid[#Data],$DD282,64),0)</f>
        <v/>
      </c>
      <c r="BO282">
        <f>IFERROR(INDEX(PP_Grid[#Data],$DD282,65),0)</f>
        <v/>
      </c>
      <c r="BP282">
        <f>IFERROR(INDEX(PP_Grid[#Data],$DD282,66),0)</f>
        <v/>
      </c>
      <c r="BQ282">
        <f>IFERROR(INDEX(PP_Grid[#Data],$DD282,67),0)</f>
        <v/>
      </c>
      <c r="BR282">
        <f>IFERROR(INDEX(PP_Grid[#Data],$DD282,68),0)</f>
        <v/>
      </c>
      <c r="BS282">
        <f>IFERROR(INDEX(PP_Grid[#Data],$DD282,69),0)</f>
        <v/>
      </c>
      <c r="BT282">
        <f>IFERROR(INDEX(PP_Grid[#Data],$DD282,70),0)</f>
        <v/>
      </c>
      <c r="BU282">
        <f>IFERROR(INDEX(PP_Grid[#Data],$DD282,71),0)</f>
        <v/>
      </c>
      <c r="BV282">
        <f>IFERROR(INDEX(PP_Grid[#Data],$DD282,72),0)</f>
        <v/>
      </c>
      <c r="BW282">
        <f>IFERROR(INDEX(PP_Grid[#Data],$DD282,73),0)</f>
        <v/>
      </c>
      <c r="BX282">
        <f>IFERROR(INDEX(PP_Grid[#Data],$DD282,74),0)</f>
        <v/>
      </c>
      <c r="BY282">
        <f>IFERROR(INDEX(PP_Grid[#Data],$DD282,75),0)</f>
        <v/>
      </c>
      <c r="BZ282">
        <f>IFERROR(INDEX(PP_Grid[#Data],$DD282,76),0)</f>
        <v/>
      </c>
      <c r="CA282">
        <f>IFERROR(INDEX(PP_Grid[#Data],$DD282,77),0)</f>
        <v/>
      </c>
      <c r="CB282">
        <f>IFERROR(INDEX(PP_Grid[#Data],$DD282,78),0)</f>
        <v/>
      </c>
      <c r="CC282">
        <f>IFERROR(INDEX(PP_Grid[#Data],$DD282,79),0)</f>
        <v/>
      </c>
      <c r="CD282">
        <f>IFERROR(INDEX(PP_Grid[#Data],$DD282,80),0)</f>
        <v/>
      </c>
      <c r="CE282">
        <f>IFERROR(INDEX(PP_Grid[#Data],$DD282,81),0)</f>
        <v/>
      </c>
      <c r="CF282">
        <f>IFERROR(INDEX(PP_Grid[#Data],$DD282,82),0)</f>
        <v/>
      </c>
      <c r="CG282">
        <f>IFERROR(INDEX(PP_Grid[#Data],$DD282,83),0)</f>
        <v/>
      </c>
      <c r="CH282">
        <f>IFERROR(INDEX(PP_Grid[#Data],$DD282,84),0)</f>
        <v/>
      </c>
      <c r="CI282">
        <f>IFERROR(INDEX(PP_Grid[#Data],$DD282,85),0)</f>
        <v/>
      </c>
      <c r="CJ282">
        <f>IFERROR(INDEX(PP_Grid[#Data],$DD282,86),0)</f>
        <v/>
      </c>
      <c r="CK282">
        <f>IFERROR(INDEX(PP_Grid[#Data],$DD282,87),0)</f>
        <v/>
      </c>
      <c r="CL282">
        <f>IFERROR(INDEX(PP_Grid[#Data],$DD282,88),0)</f>
        <v/>
      </c>
      <c r="CM282">
        <f>IFERROR(INDEX(PP_Grid[#Data],$DD282,89),0)</f>
        <v/>
      </c>
      <c r="CN282">
        <f>IFERROR(INDEX(PP_Grid[#Data],$DD282,90),0)</f>
        <v/>
      </c>
      <c r="CO282">
        <f>IFERROR(INDEX(PP_Grid[#Data],$DD282,91),0)</f>
        <v/>
      </c>
      <c r="CP282">
        <f>IFERROR(INDEX(PP_Grid[#Data],$DD282,92),0)</f>
        <v/>
      </c>
      <c r="CQ282">
        <f>IFERROR(INDEX(PP_Grid[#Data],$DD282,93),0)</f>
        <v/>
      </c>
      <c r="CR282">
        <f>IFERROR(INDEX(PP_Grid[#Data],$DD282,94),0)</f>
        <v/>
      </c>
      <c r="CS282">
        <f>IFERROR(INDEX(PP_Grid[#Data],$DD282,95),0)</f>
        <v/>
      </c>
      <c r="CT282">
        <f>IFERROR(INDEX(PP_Grid[#Data],$DD282,96),0)</f>
        <v/>
      </c>
      <c r="CU282">
        <f>IFERROR(INDEX(PP_Grid[#Data],$DD282,97),0)</f>
        <v/>
      </c>
      <c r="CV282">
        <f>IFERROR(INDEX(PP_Grid[#Data],$DD282,98),0)</f>
        <v/>
      </c>
      <c r="CW282">
        <f>IFERROR(INDEX(PP_Grid[#Data],$DD282,99),0)</f>
        <v/>
      </c>
      <c r="CX282">
        <f>IFERROR(INDEX(PP_Grid[#Data],$DD282,100),0)</f>
        <v/>
      </c>
      <c r="CY282">
        <f>IFERROR(INDEX(PP_Grid[#Data],$DD282,101),0)</f>
        <v/>
      </c>
      <c r="CZ282">
        <f>IFERROR(INDEX(PP_Grid[#Data],$DD282,102),0)</f>
        <v/>
      </c>
      <c r="DA282">
        <f>IFERROR(INDEX(PP_Grid[#Data],$DD282,103),0)</f>
        <v/>
      </c>
      <c r="DB282">
        <f>IFERROR(INDEX(PP_Grid[#Data],$DD282,104),0)</f>
        <v/>
      </c>
      <c r="DC282">
        <f>IFERROR(INDEX(PP_Grid[#Data],$DD282,105),0)</f>
        <v/>
      </c>
      <c r="DD282" s="7">
        <f>IFERROR(MATCH($B282,PP_Grid[Intermediate],0),99999)</f>
        <v/>
      </c>
    </row>
    <row r="283">
      <c r="B283" t="inlineStr">
        <is>
          <t>使用量(kg)</t>
        </is>
      </c>
      <c r="C283">
        <f>SUMIFS(M_BOM[RM_Qty_Per_Batch],M_BOM[Intermediate],$B282,M_BOM[Part Name],$A219)</f>
        <v/>
      </c>
      <c r="D283">
        <f>$C283*D282</f>
        <v/>
      </c>
      <c r="E283">
        <f>$C283*E282</f>
        <v/>
      </c>
      <c r="F283">
        <f>$C283*F282</f>
        <v/>
      </c>
      <c r="G283">
        <f>$C283*G282</f>
        <v/>
      </c>
      <c r="H283">
        <f>$C283*H282</f>
        <v/>
      </c>
      <c r="I283">
        <f>$C283*I282</f>
        <v/>
      </c>
      <c r="J283">
        <f>$C283*J282</f>
        <v/>
      </c>
      <c r="K283">
        <f>$C283*K282</f>
        <v/>
      </c>
      <c r="L283">
        <f>$C283*L282</f>
        <v/>
      </c>
      <c r="M283">
        <f>$C283*M282</f>
        <v/>
      </c>
      <c r="N283">
        <f>$C283*N282</f>
        <v/>
      </c>
      <c r="O283">
        <f>$C283*O282</f>
        <v/>
      </c>
      <c r="P283">
        <f>$C283*P282</f>
        <v/>
      </c>
      <c r="Q283">
        <f>$C283*Q282</f>
        <v/>
      </c>
      <c r="R283">
        <f>$C283*R282</f>
        <v/>
      </c>
      <c r="S283">
        <f>$C283*S282</f>
        <v/>
      </c>
      <c r="T283">
        <f>$C283*T282</f>
        <v/>
      </c>
      <c r="U283">
        <f>$C283*U282</f>
        <v/>
      </c>
      <c r="V283">
        <f>$C283*V282</f>
        <v/>
      </c>
      <c r="W283">
        <f>$C283*W282</f>
        <v/>
      </c>
      <c r="X283">
        <f>$C283*X282</f>
        <v/>
      </c>
      <c r="Y283">
        <f>$C283*Y282</f>
        <v/>
      </c>
      <c r="Z283">
        <f>$C283*Z282</f>
        <v/>
      </c>
      <c r="AA283">
        <f>$C283*AA282</f>
        <v/>
      </c>
      <c r="AB283">
        <f>$C283*AB282</f>
        <v/>
      </c>
      <c r="AC283">
        <f>$C283*AC282</f>
        <v/>
      </c>
      <c r="AD283">
        <f>$C283*AD282</f>
        <v/>
      </c>
      <c r="AE283">
        <f>$C283*AE282</f>
        <v/>
      </c>
      <c r="AF283">
        <f>$C283*AF282</f>
        <v/>
      </c>
      <c r="AG283">
        <f>$C283*AG282</f>
        <v/>
      </c>
      <c r="AH283">
        <f>$C283*AH282</f>
        <v/>
      </c>
      <c r="AI283">
        <f>$C283*AI282</f>
        <v/>
      </c>
      <c r="AJ283">
        <f>$C283*AJ282</f>
        <v/>
      </c>
      <c r="AK283">
        <f>$C283*AK282</f>
        <v/>
      </c>
      <c r="AL283">
        <f>$C283*AL282</f>
        <v/>
      </c>
      <c r="AM283">
        <f>$C283*AM282</f>
        <v/>
      </c>
      <c r="AN283">
        <f>$C283*AN282</f>
        <v/>
      </c>
      <c r="AO283">
        <f>$C283*AO282</f>
        <v/>
      </c>
      <c r="AP283">
        <f>$C283*AP282</f>
        <v/>
      </c>
      <c r="AQ283">
        <f>$C283*AQ282</f>
        <v/>
      </c>
      <c r="AR283">
        <f>$C283*AR282</f>
        <v/>
      </c>
      <c r="AS283">
        <f>$C283*AS282</f>
        <v/>
      </c>
      <c r="AT283">
        <f>$C283*AT282</f>
        <v/>
      </c>
      <c r="AU283">
        <f>$C283*AU282</f>
        <v/>
      </c>
      <c r="AV283">
        <f>$C283*AV282</f>
        <v/>
      </c>
      <c r="AW283">
        <f>$C283*AW282</f>
        <v/>
      </c>
      <c r="AX283">
        <f>$C283*AX282</f>
        <v/>
      </c>
      <c r="AY283">
        <f>$C283*AY282</f>
        <v/>
      </c>
      <c r="AZ283">
        <f>$C283*AZ282</f>
        <v/>
      </c>
      <c r="BA283">
        <f>$C283*BA282</f>
        <v/>
      </c>
      <c r="BB283">
        <f>$C283*BB282</f>
        <v/>
      </c>
      <c r="BC283">
        <f>$C283*BC282</f>
        <v/>
      </c>
      <c r="BD283">
        <f>$C283*BD282</f>
        <v/>
      </c>
      <c r="BE283">
        <f>$C283*BE282</f>
        <v/>
      </c>
      <c r="BF283">
        <f>$C283*BF282</f>
        <v/>
      </c>
      <c r="BG283">
        <f>$C283*BG282</f>
        <v/>
      </c>
      <c r="BH283">
        <f>$C283*BH282</f>
        <v/>
      </c>
      <c r="BI283">
        <f>$C283*BI282</f>
        <v/>
      </c>
      <c r="BJ283">
        <f>$C283*BJ282</f>
        <v/>
      </c>
      <c r="BK283">
        <f>$C283*BK282</f>
        <v/>
      </c>
      <c r="BL283">
        <f>$C283*BL282</f>
        <v/>
      </c>
      <c r="BM283">
        <f>$C283*BM282</f>
        <v/>
      </c>
      <c r="BN283">
        <f>$C283*BN282</f>
        <v/>
      </c>
      <c r="BO283">
        <f>$C283*BO282</f>
        <v/>
      </c>
      <c r="BP283">
        <f>$C283*BP282</f>
        <v/>
      </c>
      <c r="BQ283">
        <f>$C283*BQ282</f>
        <v/>
      </c>
      <c r="BR283">
        <f>$C283*BR282</f>
        <v/>
      </c>
      <c r="BS283">
        <f>$C283*BS282</f>
        <v/>
      </c>
      <c r="BT283">
        <f>$C283*BT282</f>
        <v/>
      </c>
      <c r="BU283">
        <f>$C283*BU282</f>
        <v/>
      </c>
      <c r="BV283">
        <f>$C283*BV282</f>
        <v/>
      </c>
      <c r="BW283">
        <f>$C283*BW282</f>
        <v/>
      </c>
      <c r="BX283">
        <f>$C283*BX282</f>
        <v/>
      </c>
      <c r="BY283">
        <f>$C283*BY282</f>
        <v/>
      </c>
      <c r="BZ283">
        <f>$C283*BZ282</f>
        <v/>
      </c>
      <c r="CA283">
        <f>$C283*CA282</f>
        <v/>
      </c>
      <c r="CB283">
        <f>$C283*CB282</f>
        <v/>
      </c>
      <c r="CC283">
        <f>$C283*CC282</f>
        <v/>
      </c>
      <c r="CD283">
        <f>$C283*CD282</f>
        <v/>
      </c>
      <c r="CE283">
        <f>$C283*CE282</f>
        <v/>
      </c>
      <c r="CF283">
        <f>$C283*CF282</f>
        <v/>
      </c>
      <c r="CG283">
        <f>$C283*CG282</f>
        <v/>
      </c>
      <c r="CH283">
        <f>$C283*CH282</f>
        <v/>
      </c>
      <c r="CI283">
        <f>$C283*CI282</f>
        <v/>
      </c>
      <c r="CJ283">
        <f>$C283*CJ282</f>
        <v/>
      </c>
      <c r="CK283">
        <f>$C283*CK282</f>
        <v/>
      </c>
      <c r="CL283">
        <f>$C283*CL282</f>
        <v/>
      </c>
      <c r="CM283">
        <f>$C283*CM282</f>
        <v/>
      </c>
      <c r="CN283">
        <f>$C283*CN282</f>
        <v/>
      </c>
      <c r="CO283">
        <f>$C283*CO282</f>
        <v/>
      </c>
      <c r="CP283">
        <f>$C283*CP282</f>
        <v/>
      </c>
      <c r="CQ283">
        <f>$C283*CQ282</f>
        <v/>
      </c>
      <c r="CR283">
        <f>$C283*CR282</f>
        <v/>
      </c>
      <c r="CS283">
        <f>$C283*CS282</f>
        <v/>
      </c>
      <c r="CT283">
        <f>$C283*CT282</f>
        <v/>
      </c>
      <c r="CU283">
        <f>$C283*CU282</f>
        <v/>
      </c>
      <c r="CV283">
        <f>$C283*CV282</f>
        <v/>
      </c>
      <c r="CW283">
        <f>$C283*CW282</f>
        <v/>
      </c>
      <c r="CX283">
        <f>$C283*CX282</f>
        <v/>
      </c>
      <c r="CY283">
        <f>$C283*CY282</f>
        <v/>
      </c>
      <c r="CZ283">
        <f>$C283*CZ282</f>
        <v/>
      </c>
      <c r="DA283">
        <f>$C283*DA282</f>
        <v/>
      </c>
      <c r="DB283">
        <f>$C283*DB282</f>
        <v/>
      </c>
      <c r="DC283">
        <f>$C283*DC282</f>
        <v/>
      </c>
    </row>
    <row r="284">
      <c r="B284" t="inlineStr">
        <is>
          <t>TSP-936</t>
        </is>
      </c>
      <c r="C284" t="inlineStr">
        <is>
          <t>No. of batches</t>
        </is>
      </c>
      <c r="D284">
        <f>IFERROR(INDEX(PP_Grid[#Data],$DD284,2),0)</f>
        <v/>
      </c>
      <c r="E284">
        <f>IFERROR(INDEX(PP_Grid[#Data],$DD284,3),0)</f>
        <v/>
      </c>
      <c r="F284">
        <f>IFERROR(INDEX(PP_Grid[#Data],$DD284,4),0)</f>
        <v/>
      </c>
      <c r="G284">
        <f>IFERROR(INDEX(PP_Grid[#Data],$DD284,5),0)</f>
        <v/>
      </c>
      <c r="H284">
        <f>IFERROR(INDEX(PP_Grid[#Data],$DD284,6),0)</f>
        <v/>
      </c>
      <c r="I284">
        <f>IFERROR(INDEX(PP_Grid[#Data],$DD284,7),0)</f>
        <v/>
      </c>
      <c r="J284">
        <f>IFERROR(INDEX(PP_Grid[#Data],$DD284,8),0)</f>
        <v/>
      </c>
      <c r="K284">
        <f>IFERROR(INDEX(PP_Grid[#Data],$DD284,9),0)</f>
        <v/>
      </c>
      <c r="L284">
        <f>IFERROR(INDEX(PP_Grid[#Data],$DD284,10),0)</f>
        <v/>
      </c>
      <c r="M284">
        <f>IFERROR(INDEX(PP_Grid[#Data],$DD284,11),0)</f>
        <v/>
      </c>
      <c r="N284">
        <f>IFERROR(INDEX(PP_Grid[#Data],$DD284,12),0)</f>
        <v/>
      </c>
      <c r="O284">
        <f>IFERROR(INDEX(PP_Grid[#Data],$DD284,13),0)</f>
        <v/>
      </c>
      <c r="P284">
        <f>IFERROR(INDEX(PP_Grid[#Data],$DD284,14),0)</f>
        <v/>
      </c>
      <c r="Q284">
        <f>IFERROR(INDEX(PP_Grid[#Data],$DD284,15),0)</f>
        <v/>
      </c>
      <c r="R284">
        <f>IFERROR(INDEX(PP_Grid[#Data],$DD284,16),0)</f>
        <v/>
      </c>
      <c r="S284">
        <f>IFERROR(INDEX(PP_Grid[#Data],$DD284,17),0)</f>
        <v/>
      </c>
      <c r="T284">
        <f>IFERROR(INDEX(PP_Grid[#Data],$DD284,18),0)</f>
        <v/>
      </c>
      <c r="U284">
        <f>IFERROR(INDEX(PP_Grid[#Data],$DD284,19),0)</f>
        <v/>
      </c>
      <c r="V284">
        <f>IFERROR(INDEX(PP_Grid[#Data],$DD284,20),0)</f>
        <v/>
      </c>
      <c r="W284">
        <f>IFERROR(INDEX(PP_Grid[#Data],$DD284,21),0)</f>
        <v/>
      </c>
      <c r="X284">
        <f>IFERROR(INDEX(PP_Grid[#Data],$DD284,22),0)</f>
        <v/>
      </c>
      <c r="Y284">
        <f>IFERROR(INDEX(PP_Grid[#Data],$DD284,23),0)</f>
        <v/>
      </c>
      <c r="Z284">
        <f>IFERROR(INDEX(PP_Grid[#Data],$DD284,24),0)</f>
        <v/>
      </c>
      <c r="AA284">
        <f>IFERROR(INDEX(PP_Grid[#Data],$DD284,25),0)</f>
        <v/>
      </c>
      <c r="AB284">
        <f>IFERROR(INDEX(PP_Grid[#Data],$DD284,26),0)</f>
        <v/>
      </c>
      <c r="AC284">
        <f>IFERROR(INDEX(PP_Grid[#Data],$DD284,27),0)</f>
        <v/>
      </c>
      <c r="AD284">
        <f>IFERROR(INDEX(PP_Grid[#Data],$DD284,28),0)</f>
        <v/>
      </c>
      <c r="AE284">
        <f>IFERROR(INDEX(PP_Grid[#Data],$DD284,29),0)</f>
        <v/>
      </c>
      <c r="AF284">
        <f>IFERROR(INDEX(PP_Grid[#Data],$DD284,30),0)</f>
        <v/>
      </c>
      <c r="AG284">
        <f>IFERROR(INDEX(PP_Grid[#Data],$DD284,31),0)</f>
        <v/>
      </c>
      <c r="AH284">
        <f>IFERROR(INDEX(PP_Grid[#Data],$DD284,32),0)</f>
        <v/>
      </c>
      <c r="AI284">
        <f>IFERROR(INDEX(PP_Grid[#Data],$DD284,33),0)</f>
        <v/>
      </c>
      <c r="AJ284">
        <f>IFERROR(INDEX(PP_Grid[#Data],$DD284,34),0)</f>
        <v/>
      </c>
      <c r="AK284">
        <f>IFERROR(INDEX(PP_Grid[#Data],$DD284,35),0)</f>
        <v/>
      </c>
      <c r="AL284">
        <f>IFERROR(INDEX(PP_Grid[#Data],$DD284,36),0)</f>
        <v/>
      </c>
      <c r="AM284">
        <f>IFERROR(INDEX(PP_Grid[#Data],$DD284,37),0)</f>
        <v/>
      </c>
      <c r="AN284">
        <f>IFERROR(INDEX(PP_Grid[#Data],$DD284,38),0)</f>
        <v/>
      </c>
      <c r="AO284">
        <f>IFERROR(INDEX(PP_Grid[#Data],$DD284,39),0)</f>
        <v/>
      </c>
      <c r="AP284">
        <f>IFERROR(INDEX(PP_Grid[#Data],$DD284,40),0)</f>
        <v/>
      </c>
      <c r="AQ284">
        <f>IFERROR(INDEX(PP_Grid[#Data],$DD284,41),0)</f>
        <v/>
      </c>
      <c r="AR284">
        <f>IFERROR(INDEX(PP_Grid[#Data],$DD284,42),0)</f>
        <v/>
      </c>
      <c r="AS284">
        <f>IFERROR(INDEX(PP_Grid[#Data],$DD284,43),0)</f>
        <v/>
      </c>
      <c r="AT284">
        <f>IFERROR(INDEX(PP_Grid[#Data],$DD284,44),0)</f>
        <v/>
      </c>
      <c r="AU284">
        <f>IFERROR(INDEX(PP_Grid[#Data],$DD284,45),0)</f>
        <v/>
      </c>
      <c r="AV284">
        <f>IFERROR(INDEX(PP_Grid[#Data],$DD284,46),0)</f>
        <v/>
      </c>
      <c r="AW284">
        <f>IFERROR(INDEX(PP_Grid[#Data],$DD284,47),0)</f>
        <v/>
      </c>
      <c r="AX284">
        <f>IFERROR(INDEX(PP_Grid[#Data],$DD284,48),0)</f>
        <v/>
      </c>
      <c r="AY284">
        <f>IFERROR(INDEX(PP_Grid[#Data],$DD284,49),0)</f>
        <v/>
      </c>
      <c r="AZ284">
        <f>IFERROR(INDEX(PP_Grid[#Data],$DD284,50),0)</f>
        <v/>
      </c>
      <c r="BA284">
        <f>IFERROR(INDEX(PP_Grid[#Data],$DD284,51),0)</f>
        <v/>
      </c>
      <c r="BB284">
        <f>IFERROR(INDEX(PP_Grid[#Data],$DD284,52),0)</f>
        <v/>
      </c>
      <c r="BC284">
        <f>IFERROR(INDEX(PP_Grid[#Data],$DD284,53),0)</f>
        <v/>
      </c>
      <c r="BD284">
        <f>IFERROR(INDEX(PP_Grid[#Data],$DD284,54),0)</f>
        <v/>
      </c>
      <c r="BE284">
        <f>IFERROR(INDEX(PP_Grid[#Data],$DD284,55),0)</f>
        <v/>
      </c>
      <c r="BF284">
        <f>IFERROR(INDEX(PP_Grid[#Data],$DD284,56),0)</f>
        <v/>
      </c>
      <c r="BG284">
        <f>IFERROR(INDEX(PP_Grid[#Data],$DD284,57),0)</f>
        <v/>
      </c>
      <c r="BH284">
        <f>IFERROR(INDEX(PP_Grid[#Data],$DD284,58),0)</f>
        <v/>
      </c>
      <c r="BI284">
        <f>IFERROR(INDEX(PP_Grid[#Data],$DD284,59),0)</f>
        <v/>
      </c>
      <c r="BJ284">
        <f>IFERROR(INDEX(PP_Grid[#Data],$DD284,60),0)</f>
        <v/>
      </c>
      <c r="BK284">
        <f>IFERROR(INDEX(PP_Grid[#Data],$DD284,61),0)</f>
        <v/>
      </c>
      <c r="BL284">
        <f>IFERROR(INDEX(PP_Grid[#Data],$DD284,62),0)</f>
        <v/>
      </c>
      <c r="BM284">
        <f>IFERROR(INDEX(PP_Grid[#Data],$DD284,63),0)</f>
        <v/>
      </c>
      <c r="BN284">
        <f>IFERROR(INDEX(PP_Grid[#Data],$DD284,64),0)</f>
        <v/>
      </c>
      <c r="BO284">
        <f>IFERROR(INDEX(PP_Grid[#Data],$DD284,65),0)</f>
        <v/>
      </c>
      <c r="BP284">
        <f>IFERROR(INDEX(PP_Grid[#Data],$DD284,66),0)</f>
        <v/>
      </c>
      <c r="BQ284">
        <f>IFERROR(INDEX(PP_Grid[#Data],$DD284,67),0)</f>
        <v/>
      </c>
      <c r="BR284">
        <f>IFERROR(INDEX(PP_Grid[#Data],$DD284,68),0)</f>
        <v/>
      </c>
      <c r="BS284">
        <f>IFERROR(INDEX(PP_Grid[#Data],$DD284,69),0)</f>
        <v/>
      </c>
      <c r="BT284">
        <f>IFERROR(INDEX(PP_Grid[#Data],$DD284,70),0)</f>
        <v/>
      </c>
      <c r="BU284">
        <f>IFERROR(INDEX(PP_Grid[#Data],$DD284,71),0)</f>
        <v/>
      </c>
      <c r="BV284">
        <f>IFERROR(INDEX(PP_Grid[#Data],$DD284,72),0)</f>
        <v/>
      </c>
      <c r="BW284">
        <f>IFERROR(INDEX(PP_Grid[#Data],$DD284,73),0)</f>
        <v/>
      </c>
      <c r="BX284">
        <f>IFERROR(INDEX(PP_Grid[#Data],$DD284,74),0)</f>
        <v/>
      </c>
      <c r="BY284">
        <f>IFERROR(INDEX(PP_Grid[#Data],$DD284,75),0)</f>
        <v/>
      </c>
      <c r="BZ284">
        <f>IFERROR(INDEX(PP_Grid[#Data],$DD284,76),0)</f>
        <v/>
      </c>
      <c r="CA284">
        <f>IFERROR(INDEX(PP_Grid[#Data],$DD284,77),0)</f>
        <v/>
      </c>
      <c r="CB284">
        <f>IFERROR(INDEX(PP_Grid[#Data],$DD284,78),0)</f>
        <v/>
      </c>
      <c r="CC284">
        <f>IFERROR(INDEX(PP_Grid[#Data],$DD284,79),0)</f>
        <v/>
      </c>
      <c r="CD284">
        <f>IFERROR(INDEX(PP_Grid[#Data],$DD284,80),0)</f>
        <v/>
      </c>
      <c r="CE284">
        <f>IFERROR(INDEX(PP_Grid[#Data],$DD284,81),0)</f>
        <v/>
      </c>
      <c r="CF284">
        <f>IFERROR(INDEX(PP_Grid[#Data],$DD284,82),0)</f>
        <v/>
      </c>
      <c r="CG284">
        <f>IFERROR(INDEX(PP_Grid[#Data],$DD284,83),0)</f>
        <v/>
      </c>
      <c r="CH284">
        <f>IFERROR(INDEX(PP_Grid[#Data],$DD284,84),0)</f>
        <v/>
      </c>
      <c r="CI284">
        <f>IFERROR(INDEX(PP_Grid[#Data],$DD284,85),0)</f>
        <v/>
      </c>
      <c r="CJ284">
        <f>IFERROR(INDEX(PP_Grid[#Data],$DD284,86),0)</f>
        <v/>
      </c>
      <c r="CK284">
        <f>IFERROR(INDEX(PP_Grid[#Data],$DD284,87),0)</f>
        <v/>
      </c>
      <c r="CL284">
        <f>IFERROR(INDEX(PP_Grid[#Data],$DD284,88),0)</f>
        <v/>
      </c>
      <c r="CM284">
        <f>IFERROR(INDEX(PP_Grid[#Data],$DD284,89),0)</f>
        <v/>
      </c>
      <c r="CN284">
        <f>IFERROR(INDEX(PP_Grid[#Data],$DD284,90),0)</f>
        <v/>
      </c>
      <c r="CO284">
        <f>IFERROR(INDEX(PP_Grid[#Data],$DD284,91),0)</f>
        <v/>
      </c>
      <c r="CP284">
        <f>IFERROR(INDEX(PP_Grid[#Data],$DD284,92),0)</f>
        <v/>
      </c>
      <c r="CQ284">
        <f>IFERROR(INDEX(PP_Grid[#Data],$DD284,93),0)</f>
        <v/>
      </c>
      <c r="CR284">
        <f>IFERROR(INDEX(PP_Grid[#Data],$DD284,94),0)</f>
        <v/>
      </c>
      <c r="CS284">
        <f>IFERROR(INDEX(PP_Grid[#Data],$DD284,95),0)</f>
        <v/>
      </c>
      <c r="CT284">
        <f>IFERROR(INDEX(PP_Grid[#Data],$DD284,96),0)</f>
        <v/>
      </c>
      <c r="CU284">
        <f>IFERROR(INDEX(PP_Grid[#Data],$DD284,97),0)</f>
        <v/>
      </c>
      <c r="CV284">
        <f>IFERROR(INDEX(PP_Grid[#Data],$DD284,98),0)</f>
        <v/>
      </c>
      <c r="CW284">
        <f>IFERROR(INDEX(PP_Grid[#Data],$DD284,99),0)</f>
        <v/>
      </c>
      <c r="CX284">
        <f>IFERROR(INDEX(PP_Grid[#Data],$DD284,100),0)</f>
        <v/>
      </c>
      <c r="CY284">
        <f>IFERROR(INDEX(PP_Grid[#Data],$DD284,101),0)</f>
        <v/>
      </c>
      <c r="CZ284">
        <f>IFERROR(INDEX(PP_Grid[#Data],$DD284,102),0)</f>
        <v/>
      </c>
      <c r="DA284">
        <f>IFERROR(INDEX(PP_Grid[#Data],$DD284,103),0)</f>
        <v/>
      </c>
      <c r="DB284">
        <f>IFERROR(INDEX(PP_Grid[#Data],$DD284,104),0)</f>
        <v/>
      </c>
      <c r="DC284">
        <f>IFERROR(INDEX(PP_Grid[#Data],$DD284,105),0)</f>
        <v/>
      </c>
      <c r="DD284" s="7">
        <f>IFERROR(MATCH($B284,PP_Grid[Intermediate],0),99999)</f>
        <v/>
      </c>
    </row>
    <row r="285">
      <c r="B285" t="inlineStr">
        <is>
          <t>使用量(kg)</t>
        </is>
      </c>
      <c r="C285">
        <f>SUMIFS(M_BOM[RM_Qty_Per_Batch],M_BOM[Intermediate],$B284,M_BOM[Part Name],$A219)</f>
        <v/>
      </c>
      <c r="D285">
        <f>$C285*D284</f>
        <v/>
      </c>
      <c r="E285">
        <f>$C285*E284</f>
        <v/>
      </c>
      <c r="F285">
        <f>$C285*F284</f>
        <v/>
      </c>
      <c r="G285">
        <f>$C285*G284</f>
        <v/>
      </c>
      <c r="H285">
        <f>$C285*H284</f>
        <v/>
      </c>
      <c r="I285">
        <f>$C285*I284</f>
        <v/>
      </c>
      <c r="J285">
        <f>$C285*J284</f>
        <v/>
      </c>
      <c r="K285">
        <f>$C285*K284</f>
        <v/>
      </c>
      <c r="L285">
        <f>$C285*L284</f>
        <v/>
      </c>
      <c r="M285">
        <f>$C285*M284</f>
        <v/>
      </c>
      <c r="N285">
        <f>$C285*N284</f>
        <v/>
      </c>
      <c r="O285">
        <f>$C285*O284</f>
        <v/>
      </c>
      <c r="P285">
        <f>$C285*P284</f>
        <v/>
      </c>
      <c r="Q285">
        <f>$C285*Q284</f>
        <v/>
      </c>
      <c r="R285">
        <f>$C285*R284</f>
        <v/>
      </c>
      <c r="S285">
        <f>$C285*S284</f>
        <v/>
      </c>
      <c r="T285">
        <f>$C285*T284</f>
        <v/>
      </c>
      <c r="U285">
        <f>$C285*U284</f>
        <v/>
      </c>
      <c r="V285">
        <f>$C285*V284</f>
        <v/>
      </c>
      <c r="W285">
        <f>$C285*W284</f>
        <v/>
      </c>
      <c r="X285">
        <f>$C285*X284</f>
        <v/>
      </c>
      <c r="Y285">
        <f>$C285*Y284</f>
        <v/>
      </c>
      <c r="Z285">
        <f>$C285*Z284</f>
        <v/>
      </c>
      <c r="AA285">
        <f>$C285*AA284</f>
        <v/>
      </c>
      <c r="AB285">
        <f>$C285*AB284</f>
        <v/>
      </c>
      <c r="AC285">
        <f>$C285*AC284</f>
        <v/>
      </c>
      <c r="AD285">
        <f>$C285*AD284</f>
        <v/>
      </c>
      <c r="AE285">
        <f>$C285*AE284</f>
        <v/>
      </c>
      <c r="AF285">
        <f>$C285*AF284</f>
        <v/>
      </c>
      <c r="AG285">
        <f>$C285*AG284</f>
        <v/>
      </c>
      <c r="AH285">
        <f>$C285*AH284</f>
        <v/>
      </c>
      <c r="AI285">
        <f>$C285*AI284</f>
        <v/>
      </c>
      <c r="AJ285">
        <f>$C285*AJ284</f>
        <v/>
      </c>
      <c r="AK285">
        <f>$C285*AK284</f>
        <v/>
      </c>
      <c r="AL285">
        <f>$C285*AL284</f>
        <v/>
      </c>
      <c r="AM285">
        <f>$C285*AM284</f>
        <v/>
      </c>
      <c r="AN285">
        <f>$C285*AN284</f>
        <v/>
      </c>
      <c r="AO285">
        <f>$C285*AO284</f>
        <v/>
      </c>
      <c r="AP285">
        <f>$C285*AP284</f>
        <v/>
      </c>
      <c r="AQ285">
        <f>$C285*AQ284</f>
        <v/>
      </c>
      <c r="AR285">
        <f>$C285*AR284</f>
        <v/>
      </c>
      <c r="AS285">
        <f>$C285*AS284</f>
        <v/>
      </c>
      <c r="AT285">
        <f>$C285*AT284</f>
        <v/>
      </c>
      <c r="AU285">
        <f>$C285*AU284</f>
        <v/>
      </c>
      <c r="AV285">
        <f>$C285*AV284</f>
        <v/>
      </c>
      <c r="AW285">
        <f>$C285*AW284</f>
        <v/>
      </c>
      <c r="AX285">
        <f>$C285*AX284</f>
        <v/>
      </c>
      <c r="AY285">
        <f>$C285*AY284</f>
        <v/>
      </c>
      <c r="AZ285">
        <f>$C285*AZ284</f>
        <v/>
      </c>
      <c r="BA285">
        <f>$C285*BA284</f>
        <v/>
      </c>
      <c r="BB285">
        <f>$C285*BB284</f>
        <v/>
      </c>
      <c r="BC285">
        <f>$C285*BC284</f>
        <v/>
      </c>
      <c r="BD285">
        <f>$C285*BD284</f>
        <v/>
      </c>
      <c r="BE285">
        <f>$C285*BE284</f>
        <v/>
      </c>
      <c r="BF285">
        <f>$C285*BF284</f>
        <v/>
      </c>
      <c r="BG285">
        <f>$C285*BG284</f>
        <v/>
      </c>
      <c r="BH285">
        <f>$C285*BH284</f>
        <v/>
      </c>
      <c r="BI285">
        <f>$C285*BI284</f>
        <v/>
      </c>
      <c r="BJ285">
        <f>$C285*BJ284</f>
        <v/>
      </c>
      <c r="BK285">
        <f>$C285*BK284</f>
        <v/>
      </c>
      <c r="BL285">
        <f>$C285*BL284</f>
        <v/>
      </c>
      <c r="BM285">
        <f>$C285*BM284</f>
        <v/>
      </c>
      <c r="BN285">
        <f>$C285*BN284</f>
        <v/>
      </c>
      <c r="BO285">
        <f>$C285*BO284</f>
        <v/>
      </c>
      <c r="BP285">
        <f>$C285*BP284</f>
        <v/>
      </c>
      <c r="BQ285">
        <f>$C285*BQ284</f>
        <v/>
      </c>
      <c r="BR285">
        <f>$C285*BR284</f>
        <v/>
      </c>
      <c r="BS285">
        <f>$C285*BS284</f>
        <v/>
      </c>
      <c r="BT285">
        <f>$C285*BT284</f>
        <v/>
      </c>
      <c r="BU285">
        <f>$C285*BU284</f>
        <v/>
      </c>
      <c r="BV285">
        <f>$C285*BV284</f>
        <v/>
      </c>
      <c r="BW285">
        <f>$C285*BW284</f>
        <v/>
      </c>
      <c r="BX285">
        <f>$C285*BX284</f>
        <v/>
      </c>
      <c r="BY285">
        <f>$C285*BY284</f>
        <v/>
      </c>
      <c r="BZ285">
        <f>$C285*BZ284</f>
        <v/>
      </c>
      <c r="CA285">
        <f>$C285*CA284</f>
        <v/>
      </c>
      <c r="CB285">
        <f>$C285*CB284</f>
        <v/>
      </c>
      <c r="CC285">
        <f>$C285*CC284</f>
        <v/>
      </c>
      <c r="CD285">
        <f>$C285*CD284</f>
        <v/>
      </c>
      <c r="CE285">
        <f>$C285*CE284</f>
        <v/>
      </c>
      <c r="CF285">
        <f>$C285*CF284</f>
        <v/>
      </c>
      <c r="CG285">
        <f>$C285*CG284</f>
        <v/>
      </c>
      <c r="CH285">
        <f>$C285*CH284</f>
        <v/>
      </c>
      <c r="CI285">
        <f>$C285*CI284</f>
        <v/>
      </c>
      <c r="CJ285">
        <f>$C285*CJ284</f>
        <v/>
      </c>
      <c r="CK285">
        <f>$C285*CK284</f>
        <v/>
      </c>
      <c r="CL285">
        <f>$C285*CL284</f>
        <v/>
      </c>
      <c r="CM285">
        <f>$C285*CM284</f>
        <v/>
      </c>
      <c r="CN285">
        <f>$C285*CN284</f>
        <v/>
      </c>
      <c r="CO285">
        <f>$C285*CO284</f>
        <v/>
      </c>
      <c r="CP285">
        <f>$C285*CP284</f>
        <v/>
      </c>
      <c r="CQ285">
        <f>$C285*CQ284</f>
        <v/>
      </c>
      <c r="CR285">
        <f>$C285*CR284</f>
        <v/>
      </c>
      <c r="CS285">
        <f>$C285*CS284</f>
        <v/>
      </c>
      <c r="CT285">
        <f>$C285*CT284</f>
        <v/>
      </c>
      <c r="CU285">
        <f>$C285*CU284</f>
        <v/>
      </c>
      <c r="CV285">
        <f>$C285*CV284</f>
        <v/>
      </c>
      <c r="CW285">
        <f>$C285*CW284</f>
        <v/>
      </c>
      <c r="CX285">
        <f>$C285*CX284</f>
        <v/>
      </c>
      <c r="CY285">
        <f>$C285*CY284</f>
        <v/>
      </c>
      <c r="CZ285">
        <f>$C285*CZ284</f>
        <v/>
      </c>
      <c r="DA285">
        <f>$C285*DA284</f>
        <v/>
      </c>
      <c r="DB285">
        <f>$C285*DB284</f>
        <v/>
      </c>
      <c r="DC285">
        <f>$C285*DC284</f>
        <v/>
      </c>
    </row>
    <row r="286">
      <c r="B286" t="inlineStr">
        <is>
          <t>TSP-937</t>
        </is>
      </c>
      <c r="C286" t="inlineStr">
        <is>
          <t>No. of batches</t>
        </is>
      </c>
      <c r="D286">
        <f>IFERROR(INDEX(PP_Grid[#Data],$DD286,2),0)</f>
        <v/>
      </c>
      <c r="E286">
        <f>IFERROR(INDEX(PP_Grid[#Data],$DD286,3),0)</f>
        <v/>
      </c>
      <c r="F286">
        <f>IFERROR(INDEX(PP_Grid[#Data],$DD286,4),0)</f>
        <v/>
      </c>
      <c r="G286">
        <f>IFERROR(INDEX(PP_Grid[#Data],$DD286,5),0)</f>
        <v/>
      </c>
      <c r="H286">
        <f>IFERROR(INDEX(PP_Grid[#Data],$DD286,6),0)</f>
        <v/>
      </c>
      <c r="I286">
        <f>IFERROR(INDEX(PP_Grid[#Data],$DD286,7),0)</f>
        <v/>
      </c>
      <c r="J286">
        <f>IFERROR(INDEX(PP_Grid[#Data],$DD286,8),0)</f>
        <v/>
      </c>
      <c r="K286">
        <f>IFERROR(INDEX(PP_Grid[#Data],$DD286,9),0)</f>
        <v/>
      </c>
      <c r="L286">
        <f>IFERROR(INDEX(PP_Grid[#Data],$DD286,10),0)</f>
        <v/>
      </c>
      <c r="M286">
        <f>IFERROR(INDEX(PP_Grid[#Data],$DD286,11),0)</f>
        <v/>
      </c>
      <c r="N286">
        <f>IFERROR(INDEX(PP_Grid[#Data],$DD286,12),0)</f>
        <v/>
      </c>
      <c r="O286">
        <f>IFERROR(INDEX(PP_Grid[#Data],$DD286,13),0)</f>
        <v/>
      </c>
      <c r="P286">
        <f>IFERROR(INDEX(PP_Grid[#Data],$DD286,14),0)</f>
        <v/>
      </c>
      <c r="Q286">
        <f>IFERROR(INDEX(PP_Grid[#Data],$DD286,15),0)</f>
        <v/>
      </c>
      <c r="R286">
        <f>IFERROR(INDEX(PP_Grid[#Data],$DD286,16),0)</f>
        <v/>
      </c>
      <c r="S286">
        <f>IFERROR(INDEX(PP_Grid[#Data],$DD286,17),0)</f>
        <v/>
      </c>
      <c r="T286">
        <f>IFERROR(INDEX(PP_Grid[#Data],$DD286,18),0)</f>
        <v/>
      </c>
      <c r="U286">
        <f>IFERROR(INDEX(PP_Grid[#Data],$DD286,19),0)</f>
        <v/>
      </c>
      <c r="V286">
        <f>IFERROR(INDEX(PP_Grid[#Data],$DD286,20),0)</f>
        <v/>
      </c>
      <c r="W286">
        <f>IFERROR(INDEX(PP_Grid[#Data],$DD286,21),0)</f>
        <v/>
      </c>
      <c r="X286">
        <f>IFERROR(INDEX(PP_Grid[#Data],$DD286,22),0)</f>
        <v/>
      </c>
      <c r="Y286">
        <f>IFERROR(INDEX(PP_Grid[#Data],$DD286,23),0)</f>
        <v/>
      </c>
      <c r="Z286">
        <f>IFERROR(INDEX(PP_Grid[#Data],$DD286,24),0)</f>
        <v/>
      </c>
      <c r="AA286">
        <f>IFERROR(INDEX(PP_Grid[#Data],$DD286,25),0)</f>
        <v/>
      </c>
      <c r="AB286">
        <f>IFERROR(INDEX(PP_Grid[#Data],$DD286,26),0)</f>
        <v/>
      </c>
      <c r="AC286">
        <f>IFERROR(INDEX(PP_Grid[#Data],$DD286,27),0)</f>
        <v/>
      </c>
      <c r="AD286">
        <f>IFERROR(INDEX(PP_Grid[#Data],$DD286,28),0)</f>
        <v/>
      </c>
      <c r="AE286">
        <f>IFERROR(INDEX(PP_Grid[#Data],$DD286,29),0)</f>
        <v/>
      </c>
      <c r="AF286">
        <f>IFERROR(INDEX(PP_Grid[#Data],$DD286,30),0)</f>
        <v/>
      </c>
      <c r="AG286">
        <f>IFERROR(INDEX(PP_Grid[#Data],$DD286,31),0)</f>
        <v/>
      </c>
      <c r="AH286">
        <f>IFERROR(INDEX(PP_Grid[#Data],$DD286,32),0)</f>
        <v/>
      </c>
      <c r="AI286">
        <f>IFERROR(INDEX(PP_Grid[#Data],$DD286,33),0)</f>
        <v/>
      </c>
      <c r="AJ286">
        <f>IFERROR(INDEX(PP_Grid[#Data],$DD286,34),0)</f>
        <v/>
      </c>
      <c r="AK286">
        <f>IFERROR(INDEX(PP_Grid[#Data],$DD286,35),0)</f>
        <v/>
      </c>
      <c r="AL286">
        <f>IFERROR(INDEX(PP_Grid[#Data],$DD286,36),0)</f>
        <v/>
      </c>
      <c r="AM286">
        <f>IFERROR(INDEX(PP_Grid[#Data],$DD286,37),0)</f>
        <v/>
      </c>
      <c r="AN286">
        <f>IFERROR(INDEX(PP_Grid[#Data],$DD286,38),0)</f>
        <v/>
      </c>
      <c r="AO286">
        <f>IFERROR(INDEX(PP_Grid[#Data],$DD286,39),0)</f>
        <v/>
      </c>
      <c r="AP286">
        <f>IFERROR(INDEX(PP_Grid[#Data],$DD286,40),0)</f>
        <v/>
      </c>
      <c r="AQ286">
        <f>IFERROR(INDEX(PP_Grid[#Data],$DD286,41),0)</f>
        <v/>
      </c>
      <c r="AR286">
        <f>IFERROR(INDEX(PP_Grid[#Data],$DD286,42),0)</f>
        <v/>
      </c>
      <c r="AS286">
        <f>IFERROR(INDEX(PP_Grid[#Data],$DD286,43),0)</f>
        <v/>
      </c>
      <c r="AT286">
        <f>IFERROR(INDEX(PP_Grid[#Data],$DD286,44),0)</f>
        <v/>
      </c>
      <c r="AU286">
        <f>IFERROR(INDEX(PP_Grid[#Data],$DD286,45),0)</f>
        <v/>
      </c>
      <c r="AV286">
        <f>IFERROR(INDEX(PP_Grid[#Data],$DD286,46),0)</f>
        <v/>
      </c>
      <c r="AW286">
        <f>IFERROR(INDEX(PP_Grid[#Data],$DD286,47),0)</f>
        <v/>
      </c>
      <c r="AX286">
        <f>IFERROR(INDEX(PP_Grid[#Data],$DD286,48),0)</f>
        <v/>
      </c>
      <c r="AY286">
        <f>IFERROR(INDEX(PP_Grid[#Data],$DD286,49),0)</f>
        <v/>
      </c>
      <c r="AZ286">
        <f>IFERROR(INDEX(PP_Grid[#Data],$DD286,50),0)</f>
        <v/>
      </c>
      <c r="BA286">
        <f>IFERROR(INDEX(PP_Grid[#Data],$DD286,51),0)</f>
        <v/>
      </c>
      <c r="BB286">
        <f>IFERROR(INDEX(PP_Grid[#Data],$DD286,52),0)</f>
        <v/>
      </c>
      <c r="BC286">
        <f>IFERROR(INDEX(PP_Grid[#Data],$DD286,53),0)</f>
        <v/>
      </c>
      <c r="BD286">
        <f>IFERROR(INDEX(PP_Grid[#Data],$DD286,54),0)</f>
        <v/>
      </c>
      <c r="BE286">
        <f>IFERROR(INDEX(PP_Grid[#Data],$DD286,55),0)</f>
        <v/>
      </c>
      <c r="BF286">
        <f>IFERROR(INDEX(PP_Grid[#Data],$DD286,56),0)</f>
        <v/>
      </c>
      <c r="BG286">
        <f>IFERROR(INDEX(PP_Grid[#Data],$DD286,57),0)</f>
        <v/>
      </c>
      <c r="BH286">
        <f>IFERROR(INDEX(PP_Grid[#Data],$DD286,58),0)</f>
        <v/>
      </c>
      <c r="BI286">
        <f>IFERROR(INDEX(PP_Grid[#Data],$DD286,59),0)</f>
        <v/>
      </c>
      <c r="BJ286">
        <f>IFERROR(INDEX(PP_Grid[#Data],$DD286,60),0)</f>
        <v/>
      </c>
      <c r="BK286">
        <f>IFERROR(INDEX(PP_Grid[#Data],$DD286,61),0)</f>
        <v/>
      </c>
      <c r="BL286">
        <f>IFERROR(INDEX(PP_Grid[#Data],$DD286,62),0)</f>
        <v/>
      </c>
      <c r="BM286">
        <f>IFERROR(INDEX(PP_Grid[#Data],$DD286,63),0)</f>
        <v/>
      </c>
      <c r="BN286">
        <f>IFERROR(INDEX(PP_Grid[#Data],$DD286,64),0)</f>
        <v/>
      </c>
      <c r="BO286">
        <f>IFERROR(INDEX(PP_Grid[#Data],$DD286,65),0)</f>
        <v/>
      </c>
      <c r="BP286">
        <f>IFERROR(INDEX(PP_Grid[#Data],$DD286,66),0)</f>
        <v/>
      </c>
      <c r="BQ286">
        <f>IFERROR(INDEX(PP_Grid[#Data],$DD286,67),0)</f>
        <v/>
      </c>
      <c r="BR286">
        <f>IFERROR(INDEX(PP_Grid[#Data],$DD286,68),0)</f>
        <v/>
      </c>
      <c r="BS286">
        <f>IFERROR(INDEX(PP_Grid[#Data],$DD286,69),0)</f>
        <v/>
      </c>
      <c r="BT286">
        <f>IFERROR(INDEX(PP_Grid[#Data],$DD286,70),0)</f>
        <v/>
      </c>
      <c r="BU286">
        <f>IFERROR(INDEX(PP_Grid[#Data],$DD286,71),0)</f>
        <v/>
      </c>
      <c r="BV286">
        <f>IFERROR(INDEX(PP_Grid[#Data],$DD286,72),0)</f>
        <v/>
      </c>
      <c r="BW286">
        <f>IFERROR(INDEX(PP_Grid[#Data],$DD286,73),0)</f>
        <v/>
      </c>
      <c r="BX286">
        <f>IFERROR(INDEX(PP_Grid[#Data],$DD286,74),0)</f>
        <v/>
      </c>
      <c r="BY286">
        <f>IFERROR(INDEX(PP_Grid[#Data],$DD286,75),0)</f>
        <v/>
      </c>
      <c r="BZ286">
        <f>IFERROR(INDEX(PP_Grid[#Data],$DD286,76),0)</f>
        <v/>
      </c>
      <c r="CA286">
        <f>IFERROR(INDEX(PP_Grid[#Data],$DD286,77),0)</f>
        <v/>
      </c>
      <c r="CB286">
        <f>IFERROR(INDEX(PP_Grid[#Data],$DD286,78),0)</f>
        <v/>
      </c>
      <c r="CC286">
        <f>IFERROR(INDEX(PP_Grid[#Data],$DD286,79),0)</f>
        <v/>
      </c>
      <c r="CD286">
        <f>IFERROR(INDEX(PP_Grid[#Data],$DD286,80),0)</f>
        <v/>
      </c>
      <c r="CE286">
        <f>IFERROR(INDEX(PP_Grid[#Data],$DD286,81),0)</f>
        <v/>
      </c>
      <c r="CF286">
        <f>IFERROR(INDEX(PP_Grid[#Data],$DD286,82),0)</f>
        <v/>
      </c>
      <c r="CG286">
        <f>IFERROR(INDEX(PP_Grid[#Data],$DD286,83),0)</f>
        <v/>
      </c>
      <c r="CH286">
        <f>IFERROR(INDEX(PP_Grid[#Data],$DD286,84),0)</f>
        <v/>
      </c>
      <c r="CI286">
        <f>IFERROR(INDEX(PP_Grid[#Data],$DD286,85),0)</f>
        <v/>
      </c>
      <c r="CJ286">
        <f>IFERROR(INDEX(PP_Grid[#Data],$DD286,86),0)</f>
        <v/>
      </c>
      <c r="CK286">
        <f>IFERROR(INDEX(PP_Grid[#Data],$DD286,87),0)</f>
        <v/>
      </c>
      <c r="CL286">
        <f>IFERROR(INDEX(PP_Grid[#Data],$DD286,88),0)</f>
        <v/>
      </c>
      <c r="CM286">
        <f>IFERROR(INDEX(PP_Grid[#Data],$DD286,89),0)</f>
        <v/>
      </c>
      <c r="CN286">
        <f>IFERROR(INDEX(PP_Grid[#Data],$DD286,90),0)</f>
        <v/>
      </c>
      <c r="CO286">
        <f>IFERROR(INDEX(PP_Grid[#Data],$DD286,91),0)</f>
        <v/>
      </c>
      <c r="CP286">
        <f>IFERROR(INDEX(PP_Grid[#Data],$DD286,92),0)</f>
        <v/>
      </c>
      <c r="CQ286">
        <f>IFERROR(INDEX(PP_Grid[#Data],$DD286,93),0)</f>
        <v/>
      </c>
      <c r="CR286">
        <f>IFERROR(INDEX(PP_Grid[#Data],$DD286,94),0)</f>
        <v/>
      </c>
      <c r="CS286">
        <f>IFERROR(INDEX(PP_Grid[#Data],$DD286,95),0)</f>
        <v/>
      </c>
      <c r="CT286">
        <f>IFERROR(INDEX(PP_Grid[#Data],$DD286,96),0)</f>
        <v/>
      </c>
      <c r="CU286">
        <f>IFERROR(INDEX(PP_Grid[#Data],$DD286,97),0)</f>
        <v/>
      </c>
      <c r="CV286">
        <f>IFERROR(INDEX(PP_Grid[#Data],$DD286,98),0)</f>
        <v/>
      </c>
      <c r="CW286">
        <f>IFERROR(INDEX(PP_Grid[#Data],$DD286,99),0)</f>
        <v/>
      </c>
      <c r="CX286">
        <f>IFERROR(INDEX(PP_Grid[#Data],$DD286,100),0)</f>
        <v/>
      </c>
      <c r="CY286">
        <f>IFERROR(INDEX(PP_Grid[#Data],$DD286,101),0)</f>
        <v/>
      </c>
      <c r="CZ286">
        <f>IFERROR(INDEX(PP_Grid[#Data],$DD286,102),0)</f>
        <v/>
      </c>
      <c r="DA286">
        <f>IFERROR(INDEX(PP_Grid[#Data],$DD286,103),0)</f>
        <v/>
      </c>
      <c r="DB286">
        <f>IFERROR(INDEX(PP_Grid[#Data],$DD286,104),0)</f>
        <v/>
      </c>
      <c r="DC286">
        <f>IFERROR(INDEX(PP_Grid[#Data],$DD286,105),0)</f>
        <v/>
      </c>
      <c r="DD286" s="7">
        <f>IFERROR(MATCH($B286,PP_Grid[Intermediate],0),99999)</f>
        <v/>
      </c>
    </row>
    <row r="287">
      <c r="B287" t="inlineStr">
        <is>
          <t>使用量(kg)</t>
        </is>
      </c>
      <c r="C287">
        <f>SUMIFS(M_BOM[RM_Qty_Per_Batch],M_BOM[Intermediate],$B286,M_BOM[Part Name],$A219)</f>
        <v/>
      </c>
      <c r="D287">
        <f>$C287*D286</f>
        <v/>
      </c>
      <c r="E287">
        <f>$C287*E286</f>
        <v/>
      </c>
      <c r="F287">
        <f>$C287*F286</f>
        <v/>
      </c>
      <c r="G287">
        <f>$C287*G286</f>
        <v/>
      </c>
      <c r="H287">
        <f>$C287*H286</f>
        <v/>
      </c>
      <c r="I287">
        <f>$C287*I286</f>
        <v/>
      </c>
      <c r="J287">
        <f>$C287*J286</f>
        <v/>
      </c>
      <c r="K287">
        <f>$C287*K286</f>
        <v/>
      </c>
      <c r="L287">
        <f>$C287*L286</f>
        <v/>
      </c>
      <c r="M287">
        <f>$C287*M286</f>
        <v/>
      </c>
      <c r="N287">
        <f>$C287*N286</f>
        <v/>
      </c>
      <c r="O287">
        <f>$C287*O286</f>
        <v/>
      </c>
      <c r="P287">
        <f>$C287*P286</f>
        <v/>
      </c>
      <c r="Q287">
        <f>$C287*Q286</f>
        <v/>
      </c>
      <c r="R287">
        <f>$C287*R286</f>
        <v/>
      </c>
      <c r="S287">
        <f>$C287*S286</f>
        <v/>
      </c>
      <c r="T287">
        <f>$C287*T286</f>
        <v/>
      </c>
      <c r="U287">
        <f>$C287*U286</f>
        <v/>
      </c>
      <c r="V287">
        <f>$C287*V286</f>
        <v/>
      </c>
      <c r="W287">
        <f>$C287*W286</f>
        <v/>
      </c>
      <c r="X287">
        <f>$C287*X286</f>
        <v/>
      </c>
      <c r="Y287">
        <f>$C287*Y286</f>
        <v/>
      </c>
      <c r="Z287">
        <f>$C287*Z286</f>
        <v/>
      </c>
      <c r="AA287">
        <f>$C287*AA286</f>
        <v/>
      </c>
      <c r="AB287">
        <f>$C287*AB286</f>
        <v/>
      </c>
      <c r="AC287">
        <f>$C287*AC286</f>
        <v/>
      </c>
      <c r="AD287">
        <f>$C287*AD286</f>
        <v/>
      </c>
      <c r="AE287">
        <f>$C287*AE286</f>
        <v/>
      </c>
      <c r="AF287">
        <f>$C287*AF286</f>
        <v/>
      </c>
      <c r="AG287">
        <f>$C287*AG286</f>
        <v/>
      </c>
      <c r="AH287">
        <f>$C287*AH286</f>
        <v/>
      </c>
      <c r="AI287">
        <f>$C287*AI286</f>
        <v/>
      </c>
      <c r="AJ287">
        <f>$C287*AJ286</f>
        <v/>
      </c>
      <c r="AK287">
        <f>$C287*AK286</f>
        <v/>
      </c>
      <c r="AL287">
        <f>$C287*AL286</f>
        <v/>
      </c>
      <c r="AM287">
        <f>$C287*AM286</f>
        <v/>
      </c>
      <c r="AN287">
        <f>$C287*AN286</f>
        <v/>
      </c>
      <c r="AO287">
        <f>$C287*AO286</f>
        <v/>
      </c>
      <c r="AP287">
        <f>$C287*AP286</f>
        <v/>
      </c>
      <c r="AQ287">
        <f>$C287*AQ286</f>
        <v/>
      </c>
      <c r="AR287">
        <f>$C287*AR286</f>
        <v/>
      </c>
      <c r="AS287">
        <f>$C287*AS286</f>
        <v/>
      </c>
      <c r="AT287">
        <f>$C287*AT286</f>
        <v/>
      </c>
      <c r="AU287">
        <f>$C287*AU286</f>
        <v/>
      </c>
      <c r="AV287">
        <f>$C287*AV286</f>
        <v/>
      </c>
      <c r="AW287">
        <f>$C287*AW286</f>
        <v/>
      </c>
      <c r="AX287">
        <f>$C287*AX286</f>
        <v/>
      </c>
      <c r="AY287">
        <f>$C287*AY286</f>
        <v/>
      </c>
      <c r="AZ287">
        <f>$C287*AZ286</f>
        <v/>
      </c>
      <c r="BA287">
        <f>$C287*BA286</f>
        <v/>
      </c>
      <c r="BB287">
        <f>$C287*BB286</f>
        <v/>
      </c>
      <c r="BC287">
        <f>$C287*BC286</f>
        <v/>
      </c>
      <c r="BD287">
        <f>$C287*BD286</f>
        <v/>
      </c>
      <c r="BE287">
        <f>$C287*BE286</f>
        <v/>
      </c>
      <c r="BF287">
        <f>$C287*BF286</f>
        <v/>
      </c>
      <c r="BG287">
        <f>$C287*BG286</f>
        <v/>
      </c>
      <c r="BH287">
        <f>$C287*BH286</f>
        <v/>
      </c>
      <c r="BI287">
        <f>$C287*BI286</f>
        <v/>
      </c>
      <c r="BJ287">
        <f>$C287*BJ286</f>
        <v/>
      </c>
      <c r="BK287">
        <f>$C287*BK286</f>
        <v/>
      </c>
      <c r="BL287">
        <f>$C287*BL286</f>
        <v/>
      </c>
      <c r="BM287">
        <f>$C287*BM286</f>
        <v/>
      </c>
      <c r="BN287">
        <f>$C287*BN286</f>
        <v/>
      </c>
      <c r="BO287">
        <f>$C287*BO286</f>
        <v/>
      </c>
      <c r="BP287">
        <f>$C287*BP286</f>
        <v/>
      </c>
      <c r="BQ287">
        <f>$C287*BQ286</f>
        <v/>
      </c>
      <c r="BR287">
        <f>$C287*BR286</f>
        <v/>
      </c>
      <c r="BS287">
        <f>$C287*BS286</f>
        <v/>
      </c>
      <c r="BT287">
        <f>$C287*BT286</f>
        <v/>
      </c>
      <c r="BU287">
        <f>$C287*BU286</f>
        <v/>
      </c>
      <c r="BV287">
        <f>$C287*BV286</f>
        <v/>
      </c>
      <c r="BW287">
        <f>$C287*BW286</f>
        <v/>
      </c>
      <c r="BX287">
        <f>$C287*BX286</f>
        <v/>
      </c>
      <c r="BY287">
        <f>$C287*BY286</f>
        <v/>
      </c>
      <c r="BZ287">
        <f>$C287*BZ286</f>
        <v/>
      </c>
      <c r="CA287">
        <f>$C287*CA286</f>
        <v/>
      </c>
      <c r="CB287">
        <f>$C287*CB286</f>
        <v/>
      </c>
      <c r="CC287">
        <f>$C287*CC286</f>
        <v/>
      </c>
      <c r="CD287">
        <f>$C287*CD286</f>
        <v/>
      </c>
      <c r="CE287">
        <f>$C287*CE286</f>
        <v/>
      </c>
      <c r="CF287">
        <f>$C287*CF286</f>
        <v/>
      </c>
      <c r="CG287">
        <f>$C287*CG286</f>
        <v/>
      </c>
      <c r="CH287">
        <f>$C287*CH286</f>
        <v/>
      </c>
      <c r="CI287">
        <f>$C287*CI286</f>
        <v/>
      </c>
      <c r="CJ287">
        <f>$C287*CJ286</f>
        <v/>
      </c>
      <c r="CK287">
        <f>$C287*CK286</f>
        <v/>
      </c>
      <c r="CL287">
        <f>$C287*CL286</f>
        <v/>
      </c>
      <c r="CM287">
        <f>$C287*CM286</f>
        <v/>
      </c>
      <c r="CN287">
        <f>$C287*CN286</f>
        <v/>
      </c>
      <c r="CO287">
        <f>$C287*CO286</f>
        <v/>
      </c>
      <c r="CP287">
        <f>$C287*CP286</f>
        <v/>
      </c>
      <c r="CQ287">
        <f>$C287*CQ286</f>
        <v/>
      </c>
      <c r="CR287">
        <f>$C287*CR286</f>
        <v/>
      </c>
      <c r="CS287">
        <f>$C287*CS286</f>
        <v/>
      </c>
      <c r="CT287">
        <f>$C287*CT286</f>
        <v/>
      </c>
      <c r="CU287">
        <f>$C287*CU286</f>
        <v/>
      </c>
      <c r="CV287">
        <f>$C287*CV286</f>
        <v/>
      </c>
      <c r="CW287">
        <f>$C287*CW286</f>
        <v/>
      </c>
      <c r="CX287">
        <f>$C287*CX286</f>
        <v/>
      </c>
      <c r="CY287">
        <f>$C287*CY286</f>
        <v/>
      </c>
      <c r="CZ287">
        <f>$C287*CZ286</f>
        <v/>
      </c>
      <c r="DA287">
        <f>$C287*DA286</f>
        <v/>
      </c>
      <c r="DB287">
        <f>$C287*DB286</f>
        <v/>
      </c>
      <c r="DC287">
        <f>$C287*DC286</f>
        <v/>
      </c>
    </row>
    <row r="288">
      <c r="B288" t="inlineStr">
        <is>
          <t>TSP-1388</t>
        </is>
      </c>
      <c r="C288" t="inlineStr">
        <is>
          <t>No. of batches</t>
        </is>
      </c>
      <c r="D288">
        <f>IFERROR(INDEX(PP_Grid[#Data],$DD288,2),0)</f>
        <v/>
      </c>
      <c r="E288">
        <f>IFERROR(INDEX(PP_Grid[#Data],$DD288,3),0)</f>
        <v/>
      </c>
      <c r="F288">
        <f>IFERROR(INDEX(PP_Grid[#Data],$DD288,4),0)</f>
        <v/>
      </c>
      <c r="G288">
        <f>IFERROR(INDEX(PP_Grid[#Data],$DD288,5),0)</f>
        <v/>
      </c>
      <c r="H288">
        <f>IFERROR(INDEX(PP_Grid[#Data],$DD288,6),0)</f>
        <v/>
      </c>
      <c r="I288">
        <f>IFERROR(INDEX(PP_Grid[#Data],$DD288,7),0)</f>
        <v/>
      </c>
      <c r="J288">
        <f>IFERROR(INDEX(PP_Grid[#Data],$DD288,8),0)</f>
        <v/>
      </c>
      <c r="K288">
        <f>IFERROR(INDEX(PP_Grid[#Data],$DD288,9),0)</f>
        <v/>
      </c>
      <c r="L288">
        <f>IFERROR(INDEX(PP_Grid[#Data],$DD288,10),0)</f>
        <v/>
      </c>
      <c r="M288">
        <f>IFERROR(INDEX(PP_Grid[#Data],$DD288,11),0)</f>
        <v/>
      </c>
      <c r="N288">
        <f>IFERROR(INDEX(PP_Grid[#Data],$DD288,12),0)</f>
        <v/>
      </c>
      <c r="O288">
        <f>IFERROR(INDEX(PP_Grid[#Data],$DD288,13),0)</f>
        <v/>
      </c>
      <c r="P288">
        <f>IFERROR(INDEX(PP_Grid[#Data],$DD288,14),0)</f>
        <v/>
      </c>
      <c r="Q288">
        <f>IFERROR(INDEX(PP_Grid[#Data],$DD288,15),0)</f>
        <v/>
      </c>
      <c r="R288">
        <f>IFERROR(INDEX(PP_Grid[#Data],$DD288,16),0)</f>
        <v/>
      </c>
      <c r="S288">
        <f>IFERROR(INDEX(PP_Grid[#Data],$DD288,17),0)</f>
        <v/>
      </c>
      <c r="T288">
        <f>IFERROR(INDEX(PP_Grid[#Data],$DD288,18),0)</f>
        <v/>
      </c>
      <c r="U288">
        <f>IFERROR(INDEX(PP_Grid[#Data],$DD288,19),0)</f>
        <v/>
      </c>
      <c r="V288">
        <f>IFERROR(INDEX(PP_Grid[#Data],$DD288,20),0)</f>
        <v/>
      </c>
      <c r="W288">
        <f>IFERROR(INDEX(PP_Grid[#Data],$DD288,21),0)</f>
        <v/>
      </c>
      <c r="X288">
        <f>IFERROR(INDEX(PP_Grid[#Data],$DD288,22),0)</f>
        <v/>
      </c>
      <c r="Y288">
        <f>IFERROR(INDEX(PP_Grid[#Data],$DD288,23),0)</f>
        <v/>
      </c>
      <c r="Z288">
        <f>IFERROR(INDEX(PP_Grid[#Data],$DD288,24),0)</f>
        <v/>
      </c>
      <c r="AA288">
        <f>IFERROR(INDEX(PP_Grid[#Data],$DD288,25),0)</f>
        <v/>
      </c>
      <c r="AB288">
        <f>IFERROR(INDEX(PP_Grid[#Data],$DD288,26),0)</f>
        <v/>
      </c>
      <c r="AC288">
        <f>IFERROR(INDEX(PP_Grid[#Data],$DD288,27),0)</f>
        <v/>
      </c>
      <c r="AD288">
        <f>IFERROR(INDEX(PP_Grid[#Data],$DD288,28),0)</f>
        <v/>
      </c>
      <c r="AE288">
        <f>IFERROR(INDEX(PP_Grid[#Data],$DD288,29),0)</f>
        <v/>
      </c>
      <c r="AF288">
        <f>IFERROR(INDEX(PP_Grid[#Data],$DD288,30),0)</f>
        <v/>
      </c>
      <c r="AG288">
        <f>IFERROR(INDEX(PP_Grid[#Data],$DD288,31),0)</f>
        <v/>
      </c>
      <c r="AH288">
        <f>IFERROR(INDEX(PP_Grid[#Data],$DD288,32),0)</f>
        <v/>
      </c>
      <c r="AI288">
        <f>IFERROR(INDEX(PP_Grid[#Data],$DD288,33),0)</f>
        <v/>
      </c>
      <c r="AJ288">
        <f>IFERROR(INDEX(PP_Grid[#Data],$DD288,34),0)</f>
        <v/>
      </c>
      <c r="AK288">
        <f>IFERROR(INDEX(PP_Grid[#Data],$DD288,35),0)</f>
        <v/>
      </c>
      <c r="AL288">
        <f>IFERROR(INDEX(PP_Grid[#Data],$DD288,36),0)</f>
        <v/>
      </c>
      <c r="AM288">
        <f>IFERROR(INDEX(PP_Grid[#Data],$DD288,37),0)</f>
        <v/>
      </c>
      <c r="AN288">
        <f>IFERROR(INDEX(PP_Grid[#Data],$DD288,38),0)</f>
        <v/>
      </c>
      <c r="AO288">
        <f>IFERROR(INDEX(PP_Grid[#Data],$DD288,39),0)</f>
        <v/>
      </c>
      <c r="AP288">
        <f>IFERROR(INDEX(PP_Grid[#Data],$DD288,40),0)</f>
        <v/>
      </c>
      <c r="AQ288">
        <f>IFERROR(INDEX(PP_Grid[#Data],$DD288,41),0)</f>
        <v/>
      </c>
      <c r="AR288">
        <f>IFERROR(INDEX(PP_Grid[#Data],$DD288,42),0)</f>
        <v/>
      </c>
      <c r="AS288">
        <f>IFERROR(INDEX(PP_Grid[#Data],$DD288,43),0)</f>
        <v/>
      </c>
      <c r="AT288">
        <f>IFERROR(INDEX(PP_Grid[#Data],$DD288,44),0)</f>
        <v/>
      </c>
      <c r="AU288">
        <f>IFERROR(INDEX(PP_Grid[#Data],$DD288,45),0)</f>
        <v/>
      </c>
      <c r="AV288">
        <f>IFERROR(INDEX(PP_Grid[#Data],$DD288,46),0)</f>
        <v/>
      </c>
      <c r="AW288">
        <f>IFERROR(INDEX(PP_Grid[#Data],$DD288,47),0)</f>
        <v/>
      </c>
      <c r="AX288">
        <f>IFERROR(INDEX(PP_Grid[#Data],$DD288,48),0)</f>
        <v/>
      </c>
      <c r="AY288">
        <f>IFERROR(INDEX(PP_Grid[#Data],$DD288,49),0)</f>
        <v/>
      </c>
      <c r="AZ288">
        <f>IFERROR(INDEX(PP_Grid[#Data],$DD288,50),0)</f>
        <v/>
      </c>
      <c r="BA288">
        <f>IFERROR(INDEX(PP_Grid[#Data],$DD288,51),0)</f>
        <v/>
      </c>
      <c r="BB288">
        <f>IFERROR(INDEX(PP_Grid[#Data],$DD288,52),0)</f>
        <v/>
      </c>
      <c r="BC288">
        <f>IFERROR(INDEX(PP_Grid[#Data],$DD288,53),0)</f>
        <v/>
      </c>
      <c r="BD288">
        <f>IFERROR(INDEX(PP_Grid[#Data],$DD288,54),0)</f>
        <v/>
      </c>
      <c r="BE288">
        <f>IFERROR(INDEX(PP_Grid[#Data],$DD288,55),0)</f>
        <v/>
      </c>
      <c r="BF288">
        <f>IFERROR(INDEX(PP_Grid[#Data],$DD288,56),0)</f>
        <v/>
      </c>
      <c r="BG288">
        <f>IFERROR(INDEX(PP_Grid[#Data],$DD288,57),0)</f>
        <v/>
      </c>
      <c r="BH288">
        <f>IFERROR(INDEX(PP_Grid[#Data],$DD288,58),0)</f>
        <v/>
      </c>
      <c r="BI288">
        <f>IFERROR(INDEX(PP_Grid[#Data],$DD288,59),0)</f>
        <v/>
      </c>
      <c r="BJ288">
        <f>IFERROR(INDEX(PP_Grid[#Data],$DD288,60),0)</f>
        <v/>
      </c>
      <c r="BK288">
        <f>IFERROR(INDEX(PP_Grid[#Data],$DD288,61),0)</f>
        <v/>
      </c>
      <c r="BL288">
        <f>IFERROR(INDEX(PP_Grid[#Data],$DD288,62),0)</f>
        <v/>
      </c>
      <c r="BM288">
        <f>IFERROR(INDEX(PP_Grid[#Data],$DD288,63),0)</f>
        <v/>
      </c>
      <c r="BN288">
        <f>IFERROR(INDEX(PP_Grid[#Data],$DD288,64),0)</f>
        <v/>
      </c>
      <c r="BO288">
        <f>IFERROR(INDEX(PP_Grid[#Data],$DD288,65),0)</f>
        <v/>
      </c>
      <c r="BP288">
        <f>IFERROR(INDEX(PP_Grid[#Data],$DD288,66),0)</f>
        <v/>
      </c>
      <c r="BQ288">
        <f>IFERROR(INDEX(PP_Grid[#Data],$DD288,67),0)</f>
        <v/>
      </c>
      <c r="BR288">
        <f>IFERROR(INDEX(PP_Grid[#Data],$DD288,68),0)</f>
        <v/>
      </c>
      <c r="BS288">
        <f>IFERROR(INDEX(PP_Grid[#Data],$DD288,69),0)</f>
        <v/>
      </c>
      <c r="BT288">
        <f>IFERROR(INDEX(PP_Grid[#Data],$DD288,70),0)</f>
        <v/>
      </c>
      <c r="BU288">
        <f>IFERROR(INDEX(PP_Grid[#Data],$DD288,71),0)</f>
        <v/>
      </c>
      <c r="BV288">
        <f>IFERROR(INDEX(PP_Grid[#Data],$DD288,72),0)</f>
        <v/>
      </c>
      <c r="BW288">
        <f>IFERROR(INDEX(PP_Grid[#Data],$DD288,73),0)</f>
        <v/>
      </c>
      <c r="BX288">
        <f>IFERROR(INDEX(PP_Grid[#Data],$DD288,74),0)</f>
        <v/>
      </c>
      <c r="BY288">
        <f>IFERROR(INDEX(PP_Grid[#Data],$DD288,75),0)</f>
        <v/>
      </c>
      <c r="BZ288">
        <f>IFERROR(INDEX(PP_Grid[#Data],$DD288,76),0)</f>
        <v/>
      </c>
      <c r="CA288">
        <f>IFERROR(INDEX(PP_Grid[#Data],$DD288,77),0)</f>
        <v/>
      </c>
      <c r="CB288">
        <f>IFERROR(INDEX(PP_Grid[#Data],$DD288,78),0)</f>
        <v/>
      </c>
      <c r="CC288">
        <f>IFERROR(INDEX(PP_Grid[#Data],$DD288,79),0)</f>
        <v/>
      </c>
      <c r="CD288">
        <f>IFERROR(INDEX(PP_Grid[#Data],$DD288,80),0)</f>
        <v/>
      </c>
      <c r="CE288">
        <f>IFERROR(INDEX(PP_Grid[#Data],$DD288,81),0)</f>
        <v/>
      </c>
      <c r="CF288">
        <f>IFERROR(INDEX(PP_Grid[#Data],$DD288,82),0)</f>
        <v/>
      </c>
      <c r="CG288">
        <f>IFERROR(INDEX(PP_Grid[#Data],$DD288,83),0)</f>
        <v/>
      </c>
      <c r="CH288">
        <f>IFERROR(INDEX(PP_Grid[#Data],$DD288,84),0)</f>
        <v/>
      </c>
      <c r="CI288">
        <f>IFERROR(INDEX(PP_Grid[#Data],$DD288,85),0)</f>
        <v/>
      </c>
      <c r="CJ288">
        <f>IFERROR(INDEX(PP_Grid[#Data],$DD288,86),0)</f>
        <v/>
      </c>
      <c r="CK288">
        <f>IFERROR(INDEX(PP_Grid[#Data],$DD288,87),0)</f>
        <v/>
      </c>
      <c r="CL288">
        <f>IFERROR(INDEX(PP_Grid[#Data],$DD288,88),0)</f>
        <v/>
      </c>
      <c r="CM288">
        <f>IFERROR(INDEX(PP_Grid[#Data],$DD288,89),0)</f>
        <v/>
      </c>
      <c r="CN288">
        <f>IFERROR(INDEX(PP_Grid[#Data],$DD288,90),0)</f>
        <v/>
      </c>
      <c r="CO288">
        <f>IFERROR(INDEX(PP_Grid[#Data],$DD288,91),0)</f>
        <v/>
      </c>
      <c r="CP288">
        <f>IFERROR(INDEX(PP_Grid[#Data],$DD288,92),0)</f>
        <v/>
      </c>
      <c r="CQ288">
        <f>IFERROR(INDEX(PP_Grid[#Data],$DD288,93),0)</f>
        <v/>
      </c>
      <c r="CR288">
        <f>IFERROR(INDEX(PP_Grid[#Data],$DD288,94),0)</f>
        <v/>
      </c>
      <c r="CS288">
        <f>IFERROR(INDEX(PP_Grid[#Data],$DD288,95),0)</f>
        <v/>
      </c>
      <c r="CT288">
        <f>IFERROR(INDEX(PP_Grid[#Data],$DD288,96),0)</f>
        <v/>
      </c>
      <c r="CU288">
        <f>IFERROR(INDEX(PP_Grid[#Data],$DD288,97),0)</f>
        <v/>
      </c>
      <c r="CV288">
        <f>IFERROR(INDEX(PP_Grid[#Data],$DD288,98),0)</f>
        <v/>
      </c>
      <c r="CW288">
        <f>IFERROR(INDEX(PP_Grid[#Data],$DD288,99),0)</f>
        <v/>
      </c>
      <c r="CX288">
        <f>IFERROR(INDEX(PP_Grid[#Data],$DD288,100),0)</f>
        <v/>
      </c>
      <c r="CY288">
        <f>IFERROR(INDEX(PP_Grid[#Data],$DD288,101),0)</f>
        <v/>
      </c>
      <c r="CZ288">
        <f>IFERROR(INDEX(PP_Grid[#Data],$DD288,102),0)</f>
        <v/>
      </c>
      <c r="DA288">
        <f>IFERROR(INDEX(PP_Grid[#Data],$DD288,103),0)</f>
        <v/>
      </c>
      <c r="DB288">
        <f>IFERROR(INDEX(PP_Grid[#Data],$DD288,104),0)</f>
        <v/>
      </c>
      <c r="DC288">
        <f>IFERROR(INDEX(PP_Grid[#Data],$DD288,105),0)</f>
        <v/>
      </c>
      <c r="DD288" s="7">
        <f>IFERROR(MATCH($B288,PP_Grid[Intermediate],0),99999)</f>
        <v/>
      </c>
    </row>
    <row r="289">
      <c r="B289" t="inlineStr">
        <is>
          <t>使用量(kg)</t>
        </is>
      </c>
      <c r="C289">
        <f>SUMIFS(M_BOM[RM_Qty_Per_Batch],M_BOM[Intermediate],$B288,M_BOM[Part Name],$A219)</f>
        <v/>
      </c>
      <c r="D289">
        <f>$C289*D288</f>
        <v/>
      </c>
      <c r="E289">
        <f>$C289*E288</f>
        <v/>
      </c>
      <c r="F289">
        <f>$C289*F288</f>
        <v/>
      </c>
      <c r="G289">
        <f>$C289*G288</f>
        <v/>
      </c>
      <c r="H289">
        <f>$C289*H288</f>
        <v/>
      </c>
      <c r="I289">
        <f>$C289*I288</f>
        <v/>
      </c>
      <c r="J289">
        <f>$C289*J288</f>
        <v/>
      </c>
      <c r="K289">
        <f>$C289*K288</f>
        <v/>
      </c>
      <c r="L289">
        <f>$C289*L288</f>
        <v/>
      </c>
      <c r="M289">
        <f>$C289*M288</f>
        <v/>
      </c>
      <c r="N289">
        <f>$C289*N288</f>
        <v/>
      </c>
      <c r="O289">
        <f>$C289*O288</f>
        <v/>
      </c>
      <c r="P289">
        <f>$C289*P288</f>
        <v/>
      </c>
      <c r="Q289">
        <f>$C289*Q288</f>
        <v/>
      </c>
      <c r="R289">
        <f>$C289*R288</f>
        <v/>
      </c>
      <c r="S289">
        <f>$C289*S288</f>
        <v/>
      </c>
      <c r="T289">
        <f>$C289*T288</f>
        <v/>
      </c>
      <c r="U289">
        <f>$C289*U288</f>
        <v/>
      </c>
      <c r="V289">
        <f>$C289*V288</f>
        <v/>
      </c>
      <c r="W289">
        <f>$C289*W288</f>
        <v/>
      </c>
      <c r="X289">
        <f>$C289*X288</f>
        <v/>
      </c>
      <c r="Y289">
        <f>$C289*Y288</f>
        <v/>
      </c>
      <c r="Z289">
        <f>$C289*Z288</f>
        <v/>
      </c>
      <c r="AA289">
        <f>$C289*AA288</f>
        <v/>
      </c>
      <c r="AB289">
        <f>$C289*AB288</f>
        <v/>
      </c>
      <c r="AC289">
        <f>$C289*AC288</f>
        <v/>
      </c>
      <c r="AD289">
        <f>$C289*AD288</f>
        <v/>
      </c>
      <c r="AE289">
        <f>$C289*AE288</f>
        <v/>
      </c>
      <c r="AF289">
        <f>$C289*AF288</f>
        <v/>
      </c>
      <c r="AG289">
        <f>$C289*AG288</f>
        <v/>
      </c>
      <c r="AH289">
        <f>$C289*AH288</f>
        <v/>
      </c>
      <c r="AI289">
        <f>$C289*AI288</f>
        <v/>
      </c>
      <c r="AJ289">
        <f>$C289*AJ288</f>
        <v/>
      </c>
      <c r="AK289">
        <f>$C289*AK288</f>
        <v/>
      </c>
      <c r="AL289">
        <f>$C289*AL288</f>
        <v/>
      </c>
      <c r="AM289">
        <f>$C289*AM288</f>
        <v/>
      </c>
      <c r="AN289">
        <f>$C289*AN288</f>
        <v/>
      </c>
      <c r="AO289">
        <f>$C289*AO288</f>
        <v/>
      </c>
      <c r="AP289">
        <f>$C289*AP288</f>
        <v/>
      </c>
      <c r="AQ289">
        <f>$C289*AQ288</f>
        <v/>
      </c>
      <c r="AR289">
        <f>$C289*AR288</f>
        <v/>
      </c>
      <c r="AS289">
        <f>$C289*AS288</f>
        <v/>
      </c>
      <c r="AT289">
        <f>$C289*AT288</f>
        <v/>
      </c>
      <c r="AU289">
        <f>$C289*AU288</f>
        <v/>
      </c>
      <c r="AV289">
        <f>$C289*AV288</f>
        <v/>
      </c>
      <c r="AW289">
        <f>$C289*AW288</f>
        <v/>
      </c>
      <c r="AX289">
        <f>$C289*AX288</f>
        <v/>
      </c>
      <c r="AY289">
        <f>$C289*AY288</f>
        <v/>
      </c>
      <c r="AZ289">
        <f>$C289*AZ288</f>
        <v/>
      </c>
      <c r="BA289">
        <f>$C289*BA288</f>
        <v/>
      </c>
      <c r="BB289">
        <f>$C289*BB288</f>
        <v/>
      </c>
      <c r="BC289">
        <f>$C289*BC288</f>
        <v/>
      </c>
      <c r="BD289">
        <f>$C289*BD288</f>
        <v/>
      </c>
      <c r="BE289">
        <f>$C289*BE288</f>
        <v/>
      </c>
      <c r="BF289">
        <f>$C289*BF288</f>
        <v/>
      </c>
      <c r="BG289">
        <f>$C289*BG288</f>
        <v/>
      </c>
      <c r="BH289">
        <f>$C289*BH288</f>
        <v/>
      </c>
      <c r="BI289">
        <f>$C289*BI288</f>
        <v/>
      </c>
      <c r="BJ289">
        <f>$C289*BJ288</f>
        <v/>
      </c>
      <c r="BK289">
        <f>$C289*BK288</f>
        <v/>
      </c>
      <c r="BL289">
        <f>$C289*BL288</f>
        <v/>
      </c>
      <c r="BM289">
        <f>$C289*BM288</f>
        <v/>
      </c>
      <c r="BN289">
        <f>$C289*BN288</f>
        <v/>
      </c>
      <c r="BO289">
        <f>$C289*BO288</f>
        <v/>
      </c>
      <c r="BP289">
        <f>$C289*BP288</f>
        <v/>
      </c>
      <c r="BQ289">
        <f>$C289*BQ288</f>
        <v/>
      </c>
      <c r="BR289">
        <f>$C289*BR288</f>
        <v/>
      </c>
      <c r="BS289">
        <f>$C289*BS288</f>
        <v/>
      </c>
      <c r="BT289">
        <f>$C289*BT288</f>
        <v/>
      </c>
      <c r="BU289">
        <f>$C289*BU288</f>
        <v/>
      </c>
      <c r="BV289">
        <f>$C289*BV288</f>
        <v/>
      </c>
      <c r="BW289">
        <f>$C289*BW288</f>
        <v/>
      </c>
      <c r="BX289">
        <f>$C289*BX288</f>
        <v/>
      </c>
      <c r="BY289">
        <f>$C289*BY288</f>
        <v/>
      </c>
      <c r="BZ289">
        <f>$C289*BZ288</f>
        <v/>
      </c>
      <c r="CA289">
        <f>$C289*CA288</f>
        <v/>
      </c>
      <c r="CB289">
        <f>$C289*CB288</f>
        <v/>
      </c>
      <c r="CC289">
        <f>$C289*CC288</f>
        <v/>
      </c>
      <c r="CD289">
        <f>$C289*CD288</f>
        <v/>
      </c>
      <c r="CE289">
        <f>$C289*CE288</f>
        <v/>
      </c>
      <c r="CF289">
        <f>$C289*CF288</f>
        <v/>
      </c>
      <c r="CG289">
        <f>$C289*CG288</f>
        <v/>
      </c>
      <c r="CH289">
        <f>$C289*CH288</f>
        <v/>
      </c>
      <c r="CI289">
        <f>$C289*CI288</f>
        <v/>
      </c>
      <c r="CJ289">
        <f>$C289*CJ288</f>
        <v/>
      </c>
      <c r="CK289">
        <f>$C289*CK288</f>
        <v/>
      </c>
      <c r="CL289">
        <f>$C289*CL288</f>
        <v/>
      </c>
      <c r="CM289">
        <f>$C289*CM288</f>
        <v/>
      </c>
      <c r="CN289">
        <f>$C289*CN288</f>
        <v/>
      </c>
      <c r="CO289">
        <f>$C289*CO288</f>
        <v/>
      </c>
      <c r="CP289">
        <f>$C289*CP288</f>
        <v/>
      </c>
      <c r="CQ289">
        <f>$C289*CQ288</f>
        <v/>
      </c>
      <c r="CR289">
        <f>$C289*CR288</f>
        <v/>
      </c>
      <c r="CS289">
        <f>$C289*CS288</f>
        <v/>
      </c>
      <c r="CT289">
        <f>$C289*CT288</f>
        <v/>
      </c>
      <c r="CU289">
        <f>$C289*CU288</f>
        <v/>
      </c>
      <c r="CV289">
        <f>$C289*CV288</f>
        <v/>
      </c>
      <c r="CW289">
        <f>$C289*CW288</f>
        <v/>
      </c>
      <c r="CX289">
        <f>$C289*CX288</f>
        <v/>
      </c>
      <c r="CY289">
        <f>$C289*CY288</f>
        <v/>
      </c>
      <c r="CZ289">
        <f>$C289*CZ288</f>
        <v/>
      </c>
      <c r="DA289">
        <f>$C289*DA288</f>
        <v/>
      </c>
      <c r="DB289">
        <f>$C289*DB288</f>
        <v/>
      </c>
      <c r="DC289">
        <f>$C289*DC288</f>
        <v/>
      </c>
    </row>
    <row r="290">
      <c r="B290" t="inlineStr">
        <is>
          <t>TSP-1444</t>
        </is>
      </c>
      <c r="C290" t="inlineStr">
        <is>
          <t>No. of batches</t>
        </is>
      </c>
      <c r="D290">
        <f>IFERROR(INDEX(PP_Grid[#Data],$DD290,2),0)</f>
        <v/>
      </c>
      <c r="E290">
        <f>IFERROR(INDEX(PP_Grid[#Data],$DD290,3),0)</f>
        <v/>
      </c>
      <c r="F290">
        <f>IFERROR(INDEX(PP_Grid[#Data],$DD290,4),0)</f>
        <v/>
      </c>
      <c r="G290">
        <f>IFERROR(INDEX(PP_Grid[#Data],$DD290,5),0)</f>
        <v/>
      </c>
      <c r="H290">
        <f>IFERROR(INDEX(PP_Grid[#Data],$DD290,6),0)</f>
        <v/>
      </c>
      <c r="I290">
        <f>IFERROR(INDEX(PP_Grid[#Data],$DD290,7),0)</f>
        <v/>
      </c>
      <c r="J290">
        <f>IFERROR(INDEX(PP_Grid[#Data],$DD290,8),0)</f>
        <v/>
      </c>
      <c r="K290">
        <f>IFERROR(INDEX(PP_Grid[#Data],$DD290,9),0)</f>
        <v/>
      </c>
      <c r="L290">
        <f>IFERROR(INDEX(PP_Grid[#Data],$DD290,10),0)</f>
        <v/>
      </c>
      <c r="M290">
        <f>IFERROR(INDEX(PP_Grid[#Data],$DD290,11),0)</f>
        <v/>
      </c>
      <c r="N290">
        <f>IFERROR(INDEX(PP_Grid[#Data],$DD290,12),0)</f>
        <v/>
      </c>
      <c r="O290">
        <f>IFERROR(INDEX(PP_Grid[#Data],$DD290,13),0)</f>
        <v/>
      </c>
      <c r="P290">
        <f>IFERROR(INDEX(PP_Grid[#Data],$DD290,14),0)</f>
        <v/>
      </c>
      <c r="Q290">
        <f>IFERROR(INDEX(PP_Grid[#Data],$DD290,15),0)</f>
        <v/>
      </c>
      <c r="R290">
        <f>IFERROR(INDEX(PP_Grid[#Data],$DD290,16),0)</f>
        <v/>
      </c>
      <c r="S290">
        <f>IFERROR(INDEX(PP_Grid[#Data],$DD290,17),0)</f>
        <v/>
      </c>
      <c r="T290">
        <f>IFERROR(INDEX(PP_Grid[#Data],$DD290,18),0)</f>
        <v/>
      </c>
      <c r="U290">
        <f>IFERROR(INDEX(PP_Grid[#Data],$DD290,19),0)</f>
        <v/>
      </c>
      <c r="V290">
        <f>IFERROR(INDEX(PP_Grid[#Data],$DD290,20),0)</f>
        <v/>
      </c>
      <c r="W290">
        <f>IFERROR(INDEX(PP_Grid[#Data],$DD290,21),0)</f>
        <v/>
      </c>
      <c r="X290">
        <f>IFERROR(INDEX(PP_Grid[#Data],$DD290,22),0)</f>
        <v/>
      </c>
      <c r="Y290">
        <f>IFERROR(INDEX(PP_Grid[#Data],$DD290,23),0)</f>
        <v/>
      </c>
      <c r="Z290">
        <f>IFERROR(INDEX(PP_Grid[#Data],$DD290,24),0)</f>
        <v/>
      </c>
      <c r="AA290">
        <f>IFERROR(INDEX(PP_Grid[#Data],$DD290,25),0)</f>
        <v/>
      </c>
      <c r="AB290">
        <f>IFERROR(INDEX(PP_Grid[#Data],$DD290,26),0)</f>
        <v/>
      </c>
      <c r="AC290">
        <f>IFERROR(INDEX(PP_Grid[#Data],$DD290,27),0)</f>
        <v/>
      </c>
      <c r="AD290">
        <f>IFERROR(INDEX(PP_Grid[#Data],$DD290,28),0)</f>
        <v/>
      </c>
      <c r="AE290">
        <f>IFERROR(INDEX(PP_Grid[#Data],$DD290,29),0)</f>
        <v/>
      </c>
      <c r="AF290">
        <f>IFERROR(INDEX(PP_Grid[#Data],$DD290,30),0)</f>
        <v/>
      </c>
      <c r="AG290">
        <f>IFERROR(INDEX(PP_Grid[#Data],$DD290,31),0)</f>
        <v/>
      </c>
      <c r="AH290">
        <f>IFERROR(INDEX(PP_Grid[#Data],$DD290,32),0)</f>
        <v/>
      </c>
      <c r="AI290">
        <f>IFERROR(INDEX(PP_Grid[#Data],$DD290,33),0)</f>
        <v/>
      </c>
      <c r="AJ290">
        <f>IFERROR(INDEX(PP_Grid[#Data],$DD290,34),0)</f>
        <v/>
      </c>
      <c r="AK290">
        <f>IFERROR(INDEX(PP_Grid[#Data],$DD290,35),0)</f>
        <v/>
      </c>
      <c r="AL290">
        <f>IFERROR(INDEX(PP_Grid[#Data],$DD290,36),0)</f>
        <v/>
      </c>
      <c r="AM290">
        <f>IFERROR(INDEX(PP_Grid[#Data],$DD290,37),0)</f>
        <v/>
      </c>
      <c r="AN290">
        <f>IFERROR(INDEX(PP_Grid[#Data],$DD290,38),0)</f>
        <v/>
      </c>
      <c r="AO290">
        <f>IFERROR(INDEX(PP_Grid[#Data],$DD290,39),0)</f>
        <v/>
      </c>
      <c r="AP290">
        <f>IFERROR(INDEX(PP_Grid[#Data],$DD290,40),0)</f>
        <v/>
      </c>
      <c r="AQ290">
        <f>IFERROR(INDEX(PP_Grid[#Data],$DD290,41),0)</f>
        <v/>
      </c>
      <c r="AR290">
        <f>IFERROR(INDEX(PP_Grid[#Data],$DD290,42),0)</f>
        <v/>
      </c>
      <c r="AS290">
        <f>IFERROR(INDEX(PP_Grid[#Data],$DD290,43),0)</f>
        <v/>
      </c>
      <c r="AT290">
        <f>IFERROR(INDEX(PP_Grid[#Data],$DD290,44),0)</f>
        <v/>
      </c>
      <c r="AU290">
        <f>IFERROR(INDEX(PP_Grid[#Data],$DD290,45),0)</f>
        <v/>
      </c>
      <c r="AV290">
        <f>IFERROR(INDEX(PP_Grid[#Data],$DD290,46),0)</f>
        <v/>
      </c>
      <c r="AW290">
        <f>IFERROR(INDEX(PP_Grid[#Data],$DD290,47),0)</f>
        <v/>
      </c>
      <c r="AX290">
        <f>IFERROR(INDEX(PP_Grid[#Data],$DD290,48),0)</f>
        <v/>
      </c>
      <c r="AY290">
        <f>IFERROR(INDEX(PP_Grid[#Data],$DD290,49),0)</f>
        <v/>
      </c>
      <c r="AZ290">
        <f>IFERROR(INDEX(PP_Grid[#Data],$DD290,50),0)</f>
        <v/>
      </c>
      <c r="BA290">
        <f>IFERROR(INDEX(PP_Grid[#Data],$DD290,51),0)</f>
        <v/>
      </c>
      <c r="BB290">
        <f>IFERROR(INDEX(PP_Grid[#Data],$DD290,52),0)</f>
        <v/>
      </c>
      <c r="BC290">
        <f>IFERROR(INDEX(PP_Grid[#Data],$DD290,53),0)</f>
        <v/>
      </c>
      <c r="BD290">
        <f>IFERROR(INDEX(PP_Grid[#Data],$DD290,54),0)</f>
        <v/>
      </c>
      <c r="BE290">
        <f>IFERROR(INDEX(PP_Grid[#Data],$DD290,55),0)</f>
        <v/>
      </c>
      <c r="BF290">
        <f>IFERROR(INDEX(PP_Grid[#Data],$DD290,56),0)</f>
        <v/>
      </c>
      <c r="BG290">
        <f>IFERROR(INDEX(PP_Grid[#Data],$DD290,57),0)</f>
        <v/>
      </c>
      <c r="BH290">
        <f>IFERROR(INDEX(PP_Grid[#Data],$DD290,58),0)</f>
        <v/>
      </c>
      <c r="BI290">
        <f>IFERROR(INDEX(PP_Grid[#Data],$DD290,59),0)</f>
        <v/>
      </c>
      <c r="BJ290">
        <f>IFERROR(INDEX(PP_Grid[#Data],$DD290,60),0)</f>
        <v/>
      </c>
      <c r="BK290">
        <f>IFERROR(INDEX(PP_Grid[#Data],$DD290,61),0)</f>
        <v/>
      </c>
      <c r="BL290">
        <f>IFERROR(INDEX(PP_Grid[#Data],$DD290,62),0)</f>
        <v/>
      </c>
      <c r="BM290">
        <f>IFERROR(INDEX(PP_Grid[#Data],$DD290,63),0)</f>
        <v/>
      </c>
      <c r="BN290">
        <f>IFERROR(INDEX(PP_Grid[#Data],$DD290,64),0)</f>
        <v/>
      </c>
      <c r="BO290">
        <f>IFERROR(INDEX(PP_Grid[#Data],$DD290,65),0)</f>
        <v/>
      </c>
      <c r="BP290">
        <f>IFERROR(INDEX(PP_Grid[#Data],$DD290,66),0)</f>
        <v/>
      </c>
      <c r="BQ290">
        <f>IFERROR(INDEX(PP_Grid[#Data],$DD290,67),0)</f>
        <v/>
      </c>
      <c r="BR290">
        <f>IFERROR(INDEX(PP_Grid[#Data],$DD290,68),0)</f>
        <v/>
      </c>
      <c r="BS290">
        <f>IFERROR(INDEX(PP_Grid[#Data],$DD290,69),0)</f>
        <v/>
      </c>
      <c r="BT290">
        <f>IFERROR(INDEX(PP_Grid[#Data],$DD290,70),0)</f>
        <v/>
      </c>
      <c r="BU290">
        <f>IFERROR(INDEX(PP_Grid[#Data],$DD290,71),0)</f>
        <v/>
      </c>
      <c r="BV290">
        <f>IFERROR(INDEX(PP_Grid[#Data],$DD290,72),0)</f>
        <v/>
      </c>
      <c r="BW290">
        <f>IFERROR(INDEX(PP_Grid[#Data],$DD290,73),0)</f>
        <v/>
      </c>
      <c r="BX290">
        <f>IFERROR(INDEX(PP_Grid[#Data],$DD290,74),0)</f>
        <v/>
      </c>
      <c r="BY290">
        <f>IFERROR(INDEX(PP_Grid[#Data],$DD290,75),0)</f>
        <v/>
      </c>
      <c r="BZ290">
        <f>IFERROR(INDEX(PP_Grid[#Data],$DD290,76),0)</f>
        <v/>
      </c>
      <c r="CA290">
        <f>IFERROR(INDEX(PP_Grid[#Data],$DD290,77),0)</f>
        <v/>
      </c>
      <c r="CB290">
        <f>IFERROR(INDEX(PP_Grid[#Data],$DD290,78),0)</f>
        <v/>
      </c>
      <c r="CC290">
        <f>IFERROR(INDEX(PP_Grid[#Data],$DD290,79),0)</f>
        <v/>
      </c>
      <c r="CD290">
        <f>IFERROR(INDEX(PP_Grid[#Data],$DD290,80),0)</f>
        <v/>
      </c>
      <c r="CE290">
        <f>IFERROR(INDEX(PP_Grid[#Data],$DD290,81),0)</f>
        <v/>
      </c>
      <c r="CF290">
        <f>IFERROR(INDEX(PP_Grid[#Data],$DD290,82),0)</f>
        <v/>
      </c>
      <c r="CG290">
        <f>IFERROR(INDEX(PP_Grid[#Data],$DD290,83),0)</f>
        <v/>
      </c>
      <c r="CH290">
        <f>IFERROR(INDEX(PP_Grid[#Data],$DD290,84),0)</f>
        <v/>
      </c>
      <c r="CI290">
        <f>IFERROR(INDEX(PP_Grid[#Data],$DD290,85),0)</f>
        <v/>
      </c>
      <c r="CJ290">
        <f>IFERROR(INDEX(PP_Grid[#Data],$DD290,86),0)</f>
        <v/>
      </c>
      <c r="CK290">
        <f>IFERROR(INDEX(PP_Grid[#Data],$DD290,87),0)</f>
        <v/>
      </c>
      <c r="CL290">
        <f>IFERROR(INDEX(PP_Grid[#Data],$DD290,88),0)</f>
        <v/>
      </c>
      <c r="CM290">
        <f>IFERROR(INDEX(PP_Grid[#Data],$DD290,89),0)</f>
        <v/>
      </c>
      <c r="CN290">
        <f>IFERROR(INDEX(PP_Grid[#Data],$DD290,90),0)</f>
        <v/>
      </c>
      <c r="CO290">
        <f>IFERROR(INDEX(PP_Grid[#Data],$DD290,91),0)</f>
        <v/>
      </c>
      <c r="CP290">
        <f>IFERROR(INDEX(PP_Grid[#Data],$DD290,92),0)</f>
        <v/>
      </c>
      <c r="CQ290">
        <f>IFERROR(INDEX(PP_Grid[#Data],$DD290,93),0)</f>
        <v/>
      </c>
      <c r="CR290">
        <f>IFERROR(INDEX(PP_Grid[#Data],$DD290,94),0)</f>
        <v/>
      </c>
      <c r="CS290">
        <f>IFERROR(INDEX(PP_Grid[#Data],$DD290,95),0)</f>
        <v/>
      </c>
      <c r="CT290">
        <f>IFERROR(INDEX(PP_Grid[#Data],$DD290,96),0)</f>
        <v/>
      </c>
      <c r="CU290">
        <f>IFERROR(INDEX(PP_Grid[#Data],$DD290,97),0)</f>
        <v/>
      </c>
      <c r="CV290">
        <f>IFERROR(INDEX(PP_Grid[#Data],$DD290,98),0)</f>
        <v/>
      </c>
      <c r="CW290">
        <f>IFERROR(INDEX(PP_Grid[#Data],$DD290,99),0)</f>
        <v/>
      </c>
      <c r="CX290">
        <f>IFERROR(INDEX(PP_Grid[#Data],$DD290,100),0)</f>
        <v/>
      </c>
      <c r="CY290">
        <f>IFERROR(INDEX(PP_Grid[#Data],$DD290,101),0)</f>
        <v/>
      </c>
      <c r="CZ290">
        <f>IFERROR(INDEX(PP_Grid[#Data],$DD290,102),0)</f>
        <v/>
      </c>
      <c r="DA290">
        <f>IFERROR(INDEX(PP_Grid[#Data],$DD290,103),0)</f>
        <v/>
      </c>
      <c r="DB290">
        <f>IFERROR(INDEX(PP_Grid[#Data],$DD290,104),0)</f>
        <v/>
      </c>
      <c r="DC290">
        <f>IFERROR(INDEX(PP_Grid[#Data],$DD290,105),0)</f>
        <v/>
      </c>
      <c r="DD290" s="7">
        <f>IFERROR(MATCH($B290,PP_Grid[Intermediate],0),99999)</f>
        <v/>
      </c>
    </row>
    <row r="291">
      <c r="B291" t="inlineStr">
        <is>
          <t>使用量(kg)</t>
        </is>
      </c>
      <c r="C291">
        <f>SUMIFS(M_BOM[RM_Qty_Per_Batch],M_BOM[Intermediate],$B290,M_BOM[Part Name],$A219)</f>
        <v/>
      </c>
      <c r="D291">
        <f>$C291*D290</f>
        <v/>
      </c>
      <c r="E291">
        <f>$C291*E290</f>
        <v/>
      </c>
      <c r="F291">
        <f>$C291*F290</f>
        <v/>
      </c>
      <c r="G291">
        <f>$C291*G290</f>
        <v/>
      </c>
      <c r="H291">
        <f>$C291*H290</f>
        <v/>
      </c>
      <c r="I291">
        <f>$C291*I290</f>
        <v/>
      </c>
      <c r="J291">
        <f>$C291*J290</f>
        <v/>
      </c>
      <c r="K291">
        <f>$C291*K290</f>
        <v/>
      </c>
      <c r="L291">
        <f>$C291*L290</f>
        <v/>
      </c>
      <c r="M291">
        <f>$C291*M290</f>
        <v/>
      </c>
      <c r="N291">
        <f>$C291*N290</f>
        <v/>
      </c>
      <c r="O291">
        <f>$C291*O290</f>
        <v/>
      </c>
      <c r="P291">
        <f>$C291*P290</f>
        <v/>
      </c>
      <c r="Q291">
        <f>$C291*Q290</f>
        <v/>
      </c>
      <c r="R291">
        <f>$C291*R290</f>
        <v/>
      </c>
      <c r="S291">
        <f>$C291*S290</f>
        <v/>
      </c>
      <c r="T291">
        <f>$C291*T290</f>
        <v/>
      </c>
      <c r="U291">
        <f>$C291*U290</f>
        <v/>
      </c>
      <c r="V291">
        <f>$C291*V290</f>
        <v/>
      </c>
      <c r="W291">
        <f>$C291*W290</f>
        <v/>
      </c>
      <c r="X291">
        <f>$C291*X290</f>
        <v/>
      </c>
      <c r="Y291">
        <f>$C291*Y290</f>
        <v/>
      </c>
      <c r="Z291">
        <f>$C291*Z290</f>
        <v/>
      </c>
      <c r="AA291">
        <f>$C291*AA290</f>
        <v/>
      </c>
      <c r="AB291">
        <f>$C291*AB290</f>
        <v/>
      </c>
      <c r="AC291">
        <f>$C291*AC290</f>
        <v/>
      </c>
      <c r="AD291">
        <f>$C291*AD290</f>
        <v/>
      </c>
      <c r="AE291">
        <f>$C291*AE290</f>
        <v/>
      </c>
      <c r="AF291">
        <f>$C291*AF290</f>
        <v/>
      </c>
      <c r="AG291">
        <f>$C291*AG290</f>
        <v/>
      </c>
      <c r="AH291">
        <f>$C291*AH290</f>
        <v/>
      </c>
      <c r="AI291">
        <f>$C291*AI290</f>
        <v/>
      </c>
      <c r="AJ291">
        <f>$C291*AJ290</f>
        <v/>
      </c>
      <c r="AK291">
        <f>$C291*AK290</f>
        <v/>
      </c>
      <c r="AL291">
        <f>$C291*AL290</f>
        <v/>
      </c>
      <c r="AM291">
        <f>$C291*AM290</f>
        <v/>
      </c>
      <c r="AN291">
        <f>$C291*AN290</f>
        <v/>
      </c>
      <c r="AO291">
        <f>$C291*AO290</f>
        <v/>
      </c>
      <c r="AP291">
        <f>$C291*AP290</f>
        <v/>
      </c>
      <c r="AQ291">
        <f>$C291*AQ290</f>
        <v/>
      </c>
      <c r="AR291">
        <f>$C291*AR290</f>
        <v/>
      </c>
      <c r="AS291">
        <f>$C291*AS290</f>
        <v/>
      </c>
      <c r="AT291">
        <f>$C291*AT290</f>
        <v/>
      </c>
      <c r="AU291">
        <f>$C291*AU290</f>
        <v/>
      </c>
      <c r="AV291">
        <f>$C291*AV290</f>
        <v/>
      </c>
      <c r="AW291">
        <f>$C291*AW290</f>
        <v/>
      </c>
      <c r="AX291">
        <f>$C291*AX290</f>
        <v/>
      </c>
      <c r="AY291">
        <f>$C291*AY290</f>
        <v/>
      </c>
      <c r="AZ291">
        <f>$C291*AZ290</f>
        <v/>
      </c>
      <c r="BA291">
        <f>$C291*BA290</f>
        <v/>
      </c>
      <c r="BB291">
        <f>$C291*BB290</f>
        <v/>
      </c>
      <c r="BC291">
        <f>$C291*BC290</f>
        <v/>
      </c>
      <c r="BD291">
        <f>$C291*BD290</f>
        <v/>
      </c>
      <c r="BE291">
        <f>$C291*BE290</f>
        <v/>
      </c>
      <c r="BF291">
        <f>$C291*BF290</f>
        <v/>
      </c>
      <c r="BG291">
        <f>$C291*BG290</f>
        <v/>
      </c>
      <c r="BH291">
        <f>$C291*BH290</f>
        <v/>
      </c>
      <c r="BI291">
        <f>$C291*BI290</f>
        <v/>
      </c>
      <c r="BJ291">
        <f>$C291*BJ290</f>
        <v/>
      </c>
      <c r="BK291">
        <f>$C291*BK290</f>
        <v/>
      </c>
      <c r="BL291">
        <f>$C291*BL290</f>
        <v/>
      </c>
      <c r="BM291">
        <f>$C291*BM290</f>
        <v/>
      </c>
      <c r="BN291">
        <f>$C291*BN290</f>
        <v/>
      </c>
      <c r="BO291">
        <f>$C291*BO290</f>
        <v/>
      </c>
      <c r="BP291">
        <f>$C291*BP290</f>
        <v/>
      </c>
      <c r="BQ291">
        <f>$C291*BQ290</f>
        <v/>
      </c>
      <c r="BR291">
        <f>$C291*BR290</f>
        <v/>
      </c>
      <c r="BS291">
        <f>$C291*BS290</f>
        <v/>
      </c>
      <c r="BT291">
        <f>$C291*BT290</f>
        <v/>
      </c>
      <c r="BU291">
        <f>$C291*BU290</f>
        <v/>
      </c>
      <c r="BV291">
        <f>$C291*BV290</f>
        <v/>
      </c>
      <c r="BW291">
        <f>$C291*BW290</f>
        <v/>
      </c>
      <c r="BX291">
        <f>$C291*BX290</f>
        <v/>
      </c>
      <c r="BY291">
        <f>$C291*BY290</f>
        <v/>
      </c>
      <c r="BZ291">
        <f>$C291*BZ290</f>
        <v/>
      </c>
      <c r="CA291">
        <f>$C291*CA290</f>
        <v/>
      </c>
      <c r="CB291">
        <f>$C291*CB290</f>
        <v/>
      </c>
      <c r="CC291">
        <f>$C291*CC290</f>
        <v/>
      </c>
      <c r="CD291">
        <f>$C291*CD290</f>
        <v/>
      </c>
      <c r="CE291">
        <f>$C291*CE290</f>
        <v/>
      </c>
      <c r="CF291">
        <f>$C291*CF290</f>
        <v/>
      </c>
      <c r="CG291">
        <f>$C291*CG290</f>
        <v/>
      </c>
      <c r="CH291">
        <f>$C291*CH290</f>
        <v/>
      </c>
      <c r="CI291">
        <f>$C291*CI290</f>
        <v/>
      </c>
      <c r="CJ291">
        <f>$C291*CJ290</f>
        <v/>
      </c>
      <c r="CK291">
        <f>$C291*CK290</f>
        <v/>
      </c>
      <c r="CL291">
        <f>$C291*CL290</f>
        <v/>
      </c>
      <c r="CM291">
        <f>$C291*CM290</f>
        <v/>
      </c>
      <c r="CN291">
        <f>$C291*CN290</f>
        <v/>
      </c>
      <c r="CO291">
        <f>$C291*CO290</f>
        <v/>
      </c>
      <c r="CP291">
        <f>$C291*CP290</f>
        <v/>
      </c>
      <c r="CQ291">
        <f>$C291*CQ290</f>
        <v/>
      </c>
      <c r="CR291">
        <f>$C291*CR290</f>
        <v/>
      </c>
      <c r="CS291">
        <f>$C291*CS290</f>
        <v/>
      </c>
      <c r="CT291">
        <f>$C291*CT290</f>
        <v/>
      </c>
      <c r="CU291">
        <f>$C291*CU290</f>
        <v/>
      </c>
      <c r="CV291">
        <f>$C291*CV290</f>
        <v/>
      </c>
      <c r="CW291">
        <f>$C291*CW290</f>
        <v/>
      </c>
      <c r="CX291">
        <f>$C291*CX290</f>
        <v/>
      </c>
      <c r="CY291">
        <f>$C291*CY290</f>
        <v/>
      </c>
      <c r="CZ291">
        <f>$C291*CZ290</f>
        <v/>
      </c>
      <c r="DA291">
        <f>$C291*DA290</f>
        <v/>
      </c>
      <c r="DB291">
        <f>$C291*DB290</f>
        <v/>
      </c>
      <c r="DC291">
        <f>$C291*DC290</f>
        <v/>
      </c>
    </row>
    <row r="292">
      <c r="B292" t="inlineStr">
        <is>
          <t>TSP-1448</t>
        </is>
      </c>
      <c r="C292" t="inlineStr">
        <is>
          <t>No. of batches</t>
        </is>
      </c>
      <c r="D292">
        <f>IFERROR(INDEX(PP_Grid[#Data],$DD292,2),0)</f>
        <v/>
      </c>
      <c r="E292">
        <f>IFERROR(INDEX(PP_Grid[#Data],$DD292,3),0)</f>
        <v/>
      </c>
      <c r="F292">
        <f>IFERROR(INDEX(PP_Grid[#Data],$DD292,4),0)</f>
        <v/>
      </c>
      <c r="G292">
        <f>IFERROR(INDEX(PP_Grid[#Data],$DD292,5),0)</f>
        <v/>
      </c>
      <c r="H292">
        <f>IFERROR(INDEX(PP_Grid[#Data],$DD292,6),0)</f>
        <v/>
      </c>
      <c r="I292">
        <f>IFERROR(INDEX(PP_Grid[#Data],$DD292,7),0)</f>
        <v/>
      </c>
      <c r="J292">
        <f>IFERROR(INDEX(PP_Grid[#Data],$DD292,8),0)</f>
        <v/>
      </c>
      <c r="K292">
        <f>IFERROR(INDEX(PP_Grid[#Data],$DD292,9),0)</f>
        <v/>
      </c>
      <c r="L292">
        <f>IFERROR(INDEX(PP_Grid[#Data],$DD292,10),0)</f>
        <v/>
      </c>
      <c r="M292">
        <f>IFERROR(INDEX(PP_Grid[#Data],$DD292,11),0)</f>
        <v/>
      </c>
      <c r="N292">
        <f>IFERROR(INDEX(PP_Grid[#Data],$DD292,12),0)</f>
        <v/>
      </c>
      <c r="O292">
        <f>IFERROR(INDEX(PP_Grid[#Data],$DD292,13),0)</f>
        <v/>
      </c>
      <c r="P292">
        <f>IFERROR(INDEX(PP_Grid[#Data],$DD292,14),0)</f>
        <v/>
      </c>
      <c r="Q292">
        <f>IFERROR(INDEX(PP_Grid[#Data],$DD292,15),0)</f>
        <v/>
      </c>
      <c r="R292">
        <f>IFERROR(INDEX(PP_Grid[#Data],$DD292,16),0)</f>
        <v/>
      </c>
      <c r="S292">
        <f>IFERROR(INDEX(PP_Grid[#Data],$DD292,17),0)</f>
        <v/>
      </c>
      <c r="T292">
        <f>IFERROR(INDEX(PP_Grid[#Data],$DD292,18),0)</f>
        <v/>
      </c>
      <c r="U292">
        <f>IFERROR(INDEX(PP_Grid[#Data],$DD292,19),0)</f>
        <v/>
      </c>
      <c r="V292">
        <f>IFERROR(INDEX(PP_Grid[#Data],$DD292,20),0)</f>
        <v/>
      </c>
      <c r="W292">
        <f>IFERROR(INDEX(PP_Grid[#Data],$DD292,21),0)</f>
        <v/>
      </c>
      <c r="X292">
        <f>IFERROR(INDEX(PP_Grid[#Data],$DD292,22),0)</f>
        <v/>
      </c>
      <c r="Y292">
        <f>IFERROR(INDEX(PP_Grid[#Data],$DD292,23),0)</f>
        <v/>
      </c>
      <c r="Z292">
        <f>IFERROR(INDEX(PP_Grid[#Data],$DD292,24),0)</f>
        <v/>
      </c>
      <c r="AA292">
        <f>IFERROR(INDEX(PP_Grid[#Data],$DD292,25),0)</f>
        <v/>
      </c>
      <c r="AB292">
        <f>IFERROR(INDEX(PP_Grid[#Data],$DD292,26),0)</f>
        <v/>
      </c>
      <c r="AC292">
        <f>IFERROR(INDEX(PP_Grid[#Data],$DD292,27),0)</f>
        <v/>
      </c>
      <c r="AD292">
        <f>IFERROR(INDEX(PP_Grid[#Data],$DD292,28),0)</f>
        <v/>
      </c>
      <c r="AE292">
        <f>IFERROR(INDEX(PP_Grid[#Data],$DD292,29),0)</f>
        <v/>
      </c>
      <c r="AF292">
        <f>IFERROR(INDEX(PP_Grid[#Data],$DD292,30),0)</f>
        <v/>
      </c>
      <c r="AG292">
        <f>IFERROR(INDEX(PP_Grid[#Data],$DD292,31),0)</f>
        <v/>
      </c>
      <c r="AH292">
        <f>IFERROR(INDEX(PP_Grid[#Data],$DD292,32),0)</f>
        <v/>
      </c>
      <c r="AI292">
        <f>IFERROR(INDEX(PP_Grid[#Data],$DD292,33),0)</f>
        <v/>
      </c>
      <c r="AJ292">
        <f>IFERROR(INDEX(PP_Grid[#Data],$DD292,34),0)</f>
        <v/>
      </c>
      <c r="AK292">
        <f>IFERROR(INDEX(PP_Grid[#Data],$DD292,35),0)</f>
        <v/>
      </c>
      <c r="AL292">
        <f>IFERROR(INDEX(PP_Grid[#Data],$DD292,36),0)</f>
        <v/>
      </c>
      <c r="AM292">
        <f>IFERROR(INDEX(PP_Grid[#Data],$DD292,37),0)</f>
        <v/>
      </c>
      <c r="AN292">
        <f>IFERROR(INDEX(PP_Grid[#Data],$DD292,38),0)</f>
        <v/>
      </c>
      <c r="AO292">
        <f>IFERROR(INDEX(PP_Grid[#Data],$DD292,39),0)</f>
        <v/>
      </c>
      <c r="AP292">
        <f>IFERROR(INDEX(PP_Grid[#Data],$DD292,40),0)</f>
        <v/>
      </c>
      <c r="AQ292">
        <f>IFERROR(INDEX(PP_Grid[#Data],$DD292,41),0)</f>
        <v/>
      </c>
      <c r="AR292">
        <f>IFERROR(INDEX(PP_Grid[#Data],$DD292,42),0)</f>
        <v/>
      </c>
      <c r="AS292">
        <f>IFERROR(INDEX(PP_Grid[#Data],$DD292,43),0)</f>
        <v/>
      </c>
      <c r="AT292">
        <f>IFERROR(INDEX(PP_Grid[#Data],$DD292,44),0)</f>
        <v/>
      </c>
      <c r="AU292">
        <f>IFERROR(INDEX(PP_Grid[#Data],$DD292,45),0)</f>
        <v/>
      </c>
      <c r="AV292">
        <f>IFERROR(INDEX(PP_Grid[#Data],$DD292,46),0)</f>
        <v/>
      </c>
      <c r="AW292">
        <f>IFERROR(INDEX(PP_Grid[#Data],$DD292,47),0)</f>
        <v/>
      </c>
      <c r="AX292">
        <f>IFERROR(INDEX(PP_Grid[#Data],$DD292,48),0)</f>
        <v/>
      </c>
      <c r="AY292">
        <f>IFERROR(INDEX(PP_Grid[#Data],$DD292,49),0)</f>
        <v/>
      </c>
      <c r="AZ292">
        <f>IFERROR(INDEX(PP_Grid[#Data],$DD292,50),0)</f>
        <v/>
      </c>
      <c r="BA292">
        <f>IFERROR(INDEX(PP_Grid[#Data],$DD292,51),0)</f>
        <v/>
      </c>
      <c r="BB292">
        <f>IFERROR(INDEX(PP_Grid[#Data],$DD292,52),0)</f>
        <v/>
      </c>
      <c r="BC292">
        <f>IFERROR(INDEX(PP_Grid[#Data],$DD292,53),0)</f>
        <v/>
      </c>
      <c r="BD292">
        <f>IFERROR(INDEX(PP_Grid[#Data],$DD292,54),0)</f>
        <v/>
      </c>
      <c r="BE292">
        <f>IFERROR(INDEX(PP_Grid[#Data],$DD292,55),0)</f>
        <v/>
      </c>
      <c r="BF292">
        <f>IFERROR(INDEX(PP_Grid[#Data],$DD292,56),0)</f>
        <v/>
      </c>
      <c r="BG292">
        <f>IFERROR(INDEX(PP_Grid[#Data],$DD292,57),0)</f>
        <v/>
      </c>
      <c r="BH292">
        <f>IFERROR(INDEX(PP_Grid[#Data],$DD292,58),0)</f>
        <v/>
      </c>
      <c r="BI292">
        <f>IFERROR(INDEX(PP_Grid[#Data],$DD292,59),0)</f>
        <v/>
      </c>
      <c r="BJ292">
        <f>IFERROR(INDEX(PP_Grid[#Data],$DD292,60),0)</f>
        <v/>
      </c>
      <c r="BK292">
        <f>IFERROR(INDEX(PP_Grid[#Data],$DD292,61),0)</f>
        <v/>
      </c>
      <c r="BL292">
        <f>IFERROR(INDEX(PP_Grid[#Data],$DD292,62),0)</f>
        <v/>
      </c>
      <c r="BM292">
        <f>IFERROR(INDEX(PP_Grid[#Data],$DD292,63),0)</f>
        <v/>
      </c>
      <c r="BN292">
        <f>IFERROR(INDEX(PP_Grid[#Data],$DD292,64),0)</f>
        <v/>
      </c>
      <c r="BO292">
        <f>IFERROR(INDEX(PP_Grid[#Data],$DD292,65),0)</f>
        <v/>
      </c>
      <c r="BP292">
        <f>IFERROR(INDEX(PP_Grid[#Data],$DD292,66),0)</f>
        <v/>
      </c>
      <c r="BQ292">
        <f>IFERROR(INDEX(PP_Grid[#Data],$DD292,67),0)</f>
        <v/>
      </c>
      <c r="BR292">
        <f>IFERROR(INDEX(PP_Grid[#Data],$DD292,68),0)</f>
        <v/>
      </c>
      <c r="BS292">
        <f>IFERROR(INDEX(PP_Grid[#Data],$DD292,69),0)</f>
        <v/>
      </c>
      <c r="BT292">
        <f>IFERROR(INDEX(PP_Grid[#Data],$DD292,70),0)</f>
        <v/>
      </c>
      <c r="BU292">
        <f>IFERROR(INDEX(PP_Grid[#Data],$DD292,71),0)</f>
        <v/>
      </c>
      <c r="BV292">
        <f>IFERROR(INDEX(PP_Grid[#Data],$DD292,72),0)</f>
        <v/>
      </c>
      <c r="BW292">
        <f>IFERROR(INDEX(PP_Grid[#Data],$DD292,73),0)</f>
        <v/>
      </c>
      <c r="BX292">
        <f>IFERROR(INDEX(PP_Grid[#Data],$DD292,74),0)</f>
        <v/>
      </c>
      <c r="BY292">
        <f>IFERROR(INDEX(PP_Grid[#Data],$DD292,75),0)</f>
        <v/>
      </c>
      <c r="BZ292">
        <f>IFERROR(INDEX(PP_Grid[#Data],$DD292,76),0)</f>
        <v/>
      </c>
      <c r="CA292">
        <f>IFERROR(INDEX(PP_Grid[#Data],$DD292,77),0)</f>
        <v/>
      </c>
      <c r="CB292">
        <f>IFERROR(INDEX(PP_Grid[#Data],$DD292,78),0)</f>
        <v/>
      </c>
      <c r="CC292">
        <f>IFERROR(INDEX(PP_Grid[#Data],$DD292,79),0)</f>
        <v/>
      </c>
      <c r="CD292">
        <f>IFERROR(INDEX(PP_Grid[#Data],$DD292,80),0)</f>
        <v/>
      </c>
      <c r="CE292">
        <f>IFERROR(INDEX(PP_Grid[#Data],$DD292,81),0)</f>
        <v/>
      </c>
      <c r="CF292">
        <f>IFERROR(INDEX(PP_Grid[#Data],$DD292,82),0)</f>
        <v/>
      </c>
      <c r="CG292">
        <f>IFERROR(INDEX(PP_Grid[#Data],$DD292,83),0)</f>
        <v/>
      </c>
      <c r="CH292">
        <f>IFERROR(INDEX(PP_Grid[#Data],$DD292,84),0)</f>
        <v/>
      </c>
      <c r="CI292">
        <f>IFERROR(INDEX(PP_Grid[#Data],$DD292,85),0)</f>
        <v/>
      </c>
      <c r="CJ292">
        <f>IFERROR(INDEX(PP_Grid[#Data],$DD292,86),0)</f>
        <v/>
      </c>
      <c r="CK292">
        <f>IFERROR(INDEX(PP_Grid[#Data],$DD292,87),0)</f>
        <v/>
      </c>
      <c r="CL292">
        <f>IFERROR(INDEX(PP_Grid[#Data],$DD292,88),0)</f>
        <v/>
      </c>
      <c r="CM292">
        <f>IFERROR(INDEX(PP_Grid[#Data],$DD292,89),0)</f>
        <v/>
      </c>
      <c r="CN292">
        <f>IFERROR(INDEX(PP_Grid[#Data],$DD292,90),0)</f>
        <v/>
      </c>
      <c r="CO292">
        <f>IFERROR(INDEX(PP_Grid[#Data],$DD292,91),0)</f>
        <v/>
      </c>
      <c r="CP292">
        <f>IFERROR(INDEX(PP_Grid[#Data],$DD292,92),0)</f>
        <v/>
      </c>
      <c r="CQ292">
        <f>IFERROR(INDEX(PP_Grid[#Data],$DD292,93),0)</f>
        <v/>
      </c>
      <c r="CR292">
        <f>IFERROR(INDEX(PP_Grid[#Data],$DD292,94),0)</f>
        <v/>
      </c>
      <c r="CS292">
        <f>IFERROR(INDEX(PP_Grid[#Data],$DD292,95),0)</f>
        <v/>
      </c>
      <c r="CT292">
        <f>IFERROR(INDEX(PP_Grid[#Data],$DD292,96),0)</f>
        <v/>
      </c>
      <c r="CU292">
        <f>IFERROR(INDEX(PP_Grid[#Data],$DD292,97),0)</f>
        <v/>
      </c>
      <c r="CV292">
        <f>IFERROR(INDEX(PP_Grid[#Data],$DD292,98),0)</f>
        <v/>
      </c>
      <c r="CW292">
        <f>IFERROR(INDEX(PP_Grid[#Data],$DD292,99),0)</f>
        <v/>
      </c>
      <c r="CX292">
        <f>IFERROR(INDEX(PP_Grid[#Data],$DD292,100),0)</f>
        <v/>
      </c>
      <c r="CY292">
        <f>IFERROR(INDEX(PP_Grid[#Data],$DD292,101),0)</f>
        <v/>
      </c>
      <c r="CZ292">
        <f>IFERROR(INDEX(PP_Grid[#Data],$DD292,102),0)</f>
        <v/>
      </c>
      <c r="DA292">
        <f>IFERROR(INDEX(PP_Grid[#Data],$DD292,103),0)</f>
        <v/>
      </c>
      <c r="DB292">
        <f>IFERROR(INDEX(PP_Grid[#Data],$DD292,104),0)</f>
        <v/>
      </c>
      <c r="DC292">
        <f>IFERROR(INDEX(PP_Grid[#Data],$DD292,105),0)</f>
        <v/>
      </c>
      <c r="DD292" s="7">
        <f>IFERROR(MATCH($B292,PP_Grid[Intermediate],0),99999)</f>
        <v/>
      </c>
    </row>
    <row r="293">
      <c r="B293" t="inlineStr">
        <is>
          <t>使用量(kg)</t>
        </is>
      </c>
      <c r="C293">
        <f>SUMIFS(M_BOM[RM_Qty_Per_Batch],M_BOM[Intermediate],$B292,M_BOM[Part Name],$A219)</f>
        <v/>
      </c>
      <c r="D293">
        <f>$C293*D292</f>
        <v/>
      </c>
      <c r="E293">
        <f>$C293*E292</f>
        <v/>
      </c>
      <c r="F293">
        <f>$C293*F292</f>
        <v/>
      </c>
      <c r="G293">
        <f>$C293*G292</f>
        <v/>
      </c>
      <c r="H293">
        <f>$C293*H292</f>
        <v/>
      </c>
      <c r="I293">
        <f>$C293*I292</f>
        <v/>
      </c>
      <c r="J293">
        <f>$C293*J292</f>
        <v/>
      </c>
      <c r="K293">
        <f>$C293*K292</f>
        <v/>
      </c>
      <c r="L293">
        <f>$C293*L292</f>
        <v/>
      </c>
      <c r="M293">
        <f>$C293*M292</f>
        <v/>
      </c>
      <c r="N293">
        <f>$C293*N292</f>
        <v/>
      </c>
      <c r="O293">
        <f>$C293*O292</f>
        <v/>
      </c>
      <c r="P293">
        <f>$C293*P292</f>
        <v/>
      </c>
      <c r="Q293">
        <f>$C293*Q292</f>
        <v/>
      </c>
      <c r="R293">
        <f>$C293*R292</f>
        <v/>
      </c>
      <c r="S293">
        <f>$C293*S292</f>
        <v/>
      </c>
      <c r="T293">
        <f>$C293*T292</f>
        <v/>
      </c>
      <c r="U293">
        <f>$C293*U292</f>
        <v/>
      </c>
      <c r="V293">
        <f>$C293*V292</f>
        <v/>
      </c>
      <c r="W293">
        <f>$C293*W292</f>
        <v/>
      </c>
      <c r="X293">
        <f>$C293*X292</f>
        <v/>
      </c>
      <c r="Y293">
        <f>$C293*Y292</f>
        <v/>
      </c>
      <c r="Z293">
        <f>$C293*Z292</f>
        <v/>
      </c>
      <c r="AA293">
        <f>$C293*AA292</f>
        <v/>
      </c>
      <c r="AB293">
        <f>$C293*AB292</f>
        <v/>
      </c>
      <c r="AC293">
        <f>$C293*AC292</f>
        <v/>
      </c>
      <c r="AD293">
        <f>$C293*AD292</f>
        <v/>
      </c>
      <c r="AE293">
        <f>$C293*AE292</f>
        <v/>
      </c>
      <c r="AF293">
        <f>$C293*AF292</f>
        <v/>
      </c>
      <c r="AG293">
        <f>$C293*AG292</f>
        <v/>
      </c>
      <c r="AH293">
        <f>$C293*AH292</f>
        <v/>
      </c>
      <c r="AI293">
        <f>$C293*AI292</f>
        <v/>
      </c>
      <c r="AJ293">
        <f>$C293*AJ292</f>
        <v/>
      </c>
      <c r="AK293">
        <f>$C293*AK292</f>
        <v/>
      </c>
      <c r="AL293">
        <f>$C293*AL292</f>
        <v/>
      </c>
      <c r="AM293">
        <f>$C293*AM292</f>
        <v/>
      </c>
      <c r="AN293">
        <f>$C293*AN292</f>
        <v/>
      </c>
      <c r="AO293">
        <f>$C293*AO292</f>
        <v/>
      </c>
      <c r="AP293">
        <f>$C293*AP292</f>
        <v/>
      </c>
      <c r="AQ293">
        <f>$C293*AQ292</f>
        <v/>
      </c>
      <c r="AR293">
        <f>$C293*AR292</f>
        <v/>
      </c>
      <c r="AS293">
        <f>$C293*AS292</f>
        <v/>
      </c>
      <c r="AT293">
        <f>$C293*AT292</f>
        <v/>
      </c>
      <c r="AU293">
        <f>$C293*AU292</f>
        <v/>
      </c>
      <c r="AV293">
        <f>$C293*AV292</f>
        <v/>
      </c>
      <c r="AW293">
        <f>$C293*AW292</f>
        <v/>
      </c>
      <c r="AX293">
        <f>$C293*AX292</f>
        <v/>
      </c>
      <c r="AY293">
        <f>$C293*AY292</f>
        <v/>
      </c>
      <c r="AZ293">
        <f>$C293*AZ292</f>
        <v/>
      </c>
      <c r="BA293">
        <f>$C293*BA292</f>
        <v/>
      </c>
      <c r="BB293">
        <f>$C293*BB292</f>
        <v/>
      </c>
      <c r="BC293">
        <f>$C293*BC292</f>
        <v/>
      </c>
      <c r="BD293">
        <f>$C293*BD292</f>
        <v/>
      </c>
      <c r="BE293">
        <f>$C293*BE292</f>
        <v/>
      </c>
      <c r="BF293">
        <f>$C293*BF292</f>
        <v/>
      </c>
      <c r="BG293">
        <f>$C293*BG292</f>
        <v/>
      </c>
      <c r="BH293">
        <f>$C293*BH292</f>
        <v/>
      </c>
      <c r="BI293">
        <f>$C293*BI292</f>
        <v/>
      </c>
      <c r="BJ293">
        <f>$C293*BJ292</f>
        <v/>
      </c>
      <c r="BK293">
        <f>$C293*BK292</f>
        <v/>
      </c>
      <c r="BL293">
        <f>$C293*BL292</f>
        <v/>
      </c>
      <c r="BM293">
        <f>$C293*BM292</f>
        <v/>
      </c>
      <c r="BN293">
        <f>$C293*BN292</f>
        <v/>
      </c>
      <c r="BO293">
        <f>$C293*BO292</f>
        <v/>
      </c>
      <c r="BP293">
        <f>$C293*BP292</f>
        <v/>
      </c>
      <c r="BQ293">
        <f>$C293*BQ292</f>
        <v/>
      </c>
      <c r="BR293">
        <f>$C293*BR292</f>
        <v/>
      </c>
      <c r="BS293">
        <f>$C293*BS292</f>
        <v/>
      </c>
      <c r="BT293">
        <f>$C293*BT292</f>
        <v/>
      </c>
      <c r="BU293">
        <f>$C293*BU292</f>
        <v/>
      </c>
      <c r="BV293">
        <f>$C293*BV292</f>
        <v/>
      </c>
      <c r="BW293">
        <f>$C293*BW292</f>
        <v/>
      </c>
      <c r="BX293">
        <f>$C293*BX292</f>
        <v/>
      </c>
      <c r="BY293">
        <f>$C293*BY292</f>
        <v/>
      </c>
      <c r="BZ293">
        <f>$C293*BZ292</f>
        <v/>
      </c>
      <c r="CA293">
        <f>$C293*CA292</f>
        <v/>
      </c>
      <c r="CB293">
        <f>$C293*CB292</f>
        <v/>
      </c>
      <c r="CC293">
        <f>$C293*CC292</f>
        <v/>
      </c>
      <c r="CD293">
        <f>$C293*CD292</f>
        <v/>
      </c>
      <c r="CE293">
        <f>$C293*CE292</f>
        <v/>
      </c>
      <c r="CF293">
        <f>$C293*CF292</f>
        <v/>
      </c>
      <c r="CG293">
        <f>$C293*CG292</f>
        <v/>
      </c>
      <c r="CH293">
        <f>$C293*CH292</f>
        <v/>
      </c>
      <c r="CI293">
        <f>$C293*CI292</f>
        <v/>
      </c>
      <c r="CJ293">
        <f>$C293*CJ292</f>
        <v/>
      </c>
      <c r="CK293">
        <f>$C293*CK292</f>
        <v/>
      </c>
      <c r="CL293">
        <f>$C293*CL292</f>
        <v/>
      </c>
      <c r="CM293">
        <f>$C293*CM292</f>
        <v/>
      </c>
      <c r="CN293">
        <f>$C293*CN292</f>
        <v/>
      </c>
      <c r="CO293">
        <f>$C293*CO292</f>
        <v/>
      </c>
      <c r="CP293">
        <f>$C293*CP292</f>
        <v/>
      </c>
      <c r="CQ293">
        <f>$C293*CQ292</f>
        <v/>
      </c>
      <c r="CR293">
        <f>$C293*CR292</f>
        <v/>
      </c>
      <c r="CS293">
        <f>$C293*CS292</f>
        <v/>
      </c>
      <c r="CT293">
        <f>$C293*CT292</f>
        <v/>
      </c>
      <c r="CU293">
        <f>$C293*CU292</f>
        <v/>
      </c>
      <c r="CV293">
        <f>$C293*CV292</f>
        <v/>
      </c>
      <c r="CW293">
        <f>$C293*CW292</f>
        <v/>
      </c>
      <c r="CX293">
        <f>$C293*CX292</f>
        <v/>
      </c>
      <c r="CY293">
        <f>$C293*CY292</f>
        <v/>
      </c>
      <c r="CZ293">
        <f>$C293*CZ292</f>
        <v/>
      </c>
      <c r="DA293">
        <f>$C293*DA292</f>
        <v/>
      </c>
      <c r="DB293">
        <f>$C293*DB292</f>
        <v/>
      </c>
      <c r="DC293">
        <f>$C293*DC292</f>
        <v/>
      </c>
    </row>
    <row r="294">
      <c r="B294" t="inlineStr">
        <is>
          <t>TSP-1445</t>
        </is>
      </c>
      <c r="C294" t="inlineStr">
        <is>
          <t>No. of batches</t>
        </is>
      </c>
      <c r="D294">
        <f>IFERROR(INDEX(PP_Grid[#Data],$DD294,2),0)</f>
        <v/>
      </c>
      <c r="E294">
        <f>IFERROR(INDEX(PP_Grid[#Data],$DD294,3),0)</f>
        <v/>
      </c>
      <c r="F294">
        <f>IFERROR(INDEX(PP_Grid[#Data],$DD294,4),0)</f>
        <v/>
      </c>
      <c r="G294">
        <f>IFERROR(INDEX(PP_Grid[#Data],$DD294,5),0)</f>
        <v/>
      </c>
      <c r="H294">
        <f>IFERROR(INDEX(PP_Grid[#Data],$DD294,6),0)</f>
        <v/>
      </c>
      <c r="I294">
        <f>IFERROR(INDEX(PP_Grid[#Data],$DD294,7),0)</f>
        <v/>
      </c>
      <c r="J294">
        <f>IFERROR(INDEX(PP_Grid[#Data],$DD294,8),0)</f>
        <v/>
      </c>
      <c r="K294">
        <f>IFERROR(INDEX(PP_Grid[#Data],$DD294,9),0)</f>
        <v/>
      </c>
      <c r="L294">
        <f>IFERROR(INDEX(PP_Grid[#Data],$DD294,10),0)</f>
        <v/>
      </c>
      <c r="M294">
        <f>IFERROR(INDEX(PP_Grid[#Data],$DD294,11),0)</f>
        <v/>
      </c>
      <c r="N294">
        <f>IFERROR(INDEX(PP_Grid[#Data],$DD294,12),0)</f>
        <v/>
      </c>
      <c r="O294">
        <f>IFERROR(INDEX(PP_Grid[#Data],$DD294,13),0)</f>
        <v/>
      </c>
      <c r="P294">
        <f>IFERROR(INDEX(PP_Grid[#Data],$DD294,14),0)</f>
        <v/>
      </c>
      <c r="Q294">
        <f>IFERROR(INDEX(PP_Grid[#Data],$DD294,15),0)</f>
        <v/>
      </c>
      <c r="R294">
        <f>IFERROR(INDEX(PP_Grid[#Data],$DD294,16),0)</f>
        <v/>
      </c>
      <c r="S294">
        <f>IFERROR(INDEX(PP_Grid[#Data],$DD294,17),0)</f>
        <v/>
      </c>
      <c r="T294">
        <f>IFERROR(INDEX(PP_Grid[#Data],$DD294,18),0)</f>
        <v/>
      </c>
      <c r="U294">
        <f>IFERROR(INDEX(PP_Grid[#Data],$DD294,19),0)</f>
        <v/>
      </c>
      <c r="V294">
        <f>IFERROR(INDEX(PP_Grid[#Data],$DD294,20),0)</f>
        <v/>
      </c>
      <c r="W294">
        <f>IFERROR(INDEX(PP_Grid[#Data],$DD294,21),0)</f>
        <v/>
      </c>
      <c r="X294">
        <f>IFERROR(INDEX(PP_Grid[#Data],$DD294,22),0)</f>
        <v/>
      </c>
      <c r="Y294">
        <f>IFERROR(INDEX(PP_Grid[#Data],$DD294,23),0)</f>
        <v/>
      </c>
      <c r="Z294">
        <f>IFERROR(INDEX(PP_Grid[#Data],$DD294,24),0)</f>
        <v/>
      </c>
      <c r="AA294">
        <f>IFERROR(INDEX(PP_Grid[#Data],$DD294,25),0)</f>
        <v/>
      </c>
      <c r="AB294">
        <f>IFERROR(INDEX(PP_Grid[#Data],$DD294,26),0)</f>
        <v/>
      </c>
      <c r="AC294">
        <f>IFERROR(INDEX(PP_Grid[#Data],$DD294,27),0)</f>
        <v/>
      </c>
      <c r="AD294">
        <f>IFERROR(INDEX(PP_Grid[#Data],$DD294,28),0)</f>
        <v/>
      </c>
      <c r="AE294">
        <f>IFERROR(INDEX(PP_Grid[#Data],$DD294,29),0)</f>
        <v/>
      </c>
      <c r="AF294">
        <f>IFERROR(INDEX(PP_Grid[#Data],$DD294,30),0)</f>
        <v/>
      </c>
      <c r="AG294">
        <f>IFERROR(INDEX(PP_Grid[#Data],$DD294,31),0)</f>
        <v/>
      </c>
      <c r="AH294">
        <f>IFERROR(INDEX(PP_Grid[#Data],$DD294,32),0)</f>
        <v/>
      </c>
      <c r="AI294">
        <f>IFERROR(INDEX(PP_Grid[#Data],$DD294,33),0)</f>
        <v/>
      </c>
      <c r="AJ294">
        <f>IFERROR(INDEX(PP_Grid[#Data],$DD294,34),0)</f>
        <v/>
      </c>
      <c r="AK294">
        <f>IFERROR(INDEX(PP_Grid[#Data],$DD294,35),0)</f>
        <v/>
      </c>
      <c r="AL294">
        <f>IFERROR(INDEX(PP_Grid[#Data],$DD294,36),0)</f>
        <v/>
      </c>
      <c r="AM294">
        <f>IFERROR(INDEX(PP_Grid[#Data],$DD294,37),0)</f>
        <v/>
      </c>
      <c r="AN294">
        <f>IFERROR(INDEX(PP_Grid[#Data],$DD294,38),0)</f>
        <v/>
      </c>
      <c r="AO294">
        <f>IFERROR(INDEX(PP_Grid[#Data],$DD294,39),0)</f>
        <v/>
      </c>
      <c r="AP294">
        <f>IFERROR(INDEX(PP_Grid[#Data],$DD294,40),0)</f>
        <v/>
      </c>
      <c r="AQ294">
        <f>IFERROR(INDEX(PP_Grid[#Data],$DD294,41),0)</f>
        <v/>
      </c>
      <c r="AR294">
        <f>IFERROR(INDEX(PP_Grid[#Data],$DD294,42),0)</f>
        <v/>
      </c>
      <c r="AS294">
        <f>IFERROR(INDEX(PP_Grid[#Data],$DD294,43),0)</f>
        <v/>
      </c>
      <c r="AT294">
        <f>IFERROR(INDEX(PP_Grid[#Data],$DD294,44),0)</f>
        <v/>
      </c>
      <c r="AU294">
        <f>IFERROR(INDEX(PP_Grid[#Data],$DD294,45),0)</f>
        <v/>
      </c>
      <c r="AV294">
        <f>IFERROR(INDEX(PP_Grid[#Data],$DD294,46),0)</f>
        <v/>
      </c>
      <c r="AW294">
        <f>IFERROR(INDEX(PP_Grid[#Data],$DD294,47),0)</f>
        <v/>
      </c>
      <c r="AX294">
        <f>IFERROR(INDEX(PP_Grid[#Data],$DD294,48),0)</f>
        <v/>
      </c>
      <c r="AY294">
        <f>IFERROR(INDEX(PP_Grid[#Data],$DD294,49),0)</f>
        <v/>
      </c>
      <c r="AZ294">
        <f>IFERROR(INDEX(PP_Grid[#Data],$DD294,50),0)</f>
        <v/>
      </c>
      <c r="BA294">
        <f>IFERROR(INDEX(PP_Grid[#Data],$DD294,51),0)</f>
        <v/>
      </c>
      <c r="BB294">
        <f>IFERROR(INDEX(PP_Grid[#Data],$DD294,52),0)</f>
        <v/>
      </c>
      <c r="BC294">
        <f>IFERROR(INDEX(PP_Grid[#Data],$DD294,53),0)</f>
        <v/>
      </c>
      <c r="BD294">
        <f>IFERROR(INDEX(PP_Grid[#Data],$DD294,54),0)</f>
        <v/>
      </c>
      <c r="BE294">
        <f>IFERROR(INDEX(PP_Grid[#Data],$DD294,55),0)</f>
        <v/>
      </c>
      <c r="BF294">
        <f>IFERROR(INDEX(PP_Grid[#Data],$DD294,56),0)</f>
        <v/>
      </c>
      <c r="BG294">
        <f>IFERROR(INDEX(PP_Grid[#Data],$DD294,57),0)</f>
        <v/>
      </c>
      <c r="BH294">
        <f>IFERROR(INDEX(PP_Grid[#Data],$DD294,58),0)</f>
        <v/>
      </c>
      <c r="BI294">
        <f>IFERROR(INDEX(PP_Grid[#Data],$DD294,59),0)</f>
        <v/>
      </c>
      <c r="BJ294">
        <f>IFERROR(INDEX(PP_Grid[#Data],$DD294,60),0)</f>
        <v/>
      </c>
      <c r="BK294">
        <f>IFERROR(INDEX(PP_Grid[#Data],$DD294,61),0)</f>
        <v/>
      </c>
      <c r="BL294">
        <f>IFERROR(INDEX(PP_Grid[#Data],$DD294,62),0)</f>
        <v/>
      </c>
      <c r="BM294">
        <f>IFERROR(INDEX(PP_Grid[#Data],$DD294,63),0)</f>
        <v/>
      </c>
      <c r="BN294">
        <f>IFERROR(INDEX(PP_Grid[#Data],$DD294,64),0)</f>
        <v/>
      </c>
      <c r="BO294">
        <f>IFERROR(INDEX(PP_Grid[#Data],$DD294,65),0)</f>
        <v/>
      </c>
      <c r="BP294">
        <f>IFERROR(INDEX(PP_Grid[#Data],$DD294,66),0)</f>
        <v/>
      </c>
      <c r="BQ294">
        <f>IFERROR(INDEX(PP_Grid[#Data],$DD294,67),0)</f>
        <v/>
      </c>
      <c r="BR294">
        <f>IFERROR(INDEX(PP_Grid[#Data],$DD294,68),0)</f>
        <v/>
      </c>
      <c r="BS294">
        <f>IFERROR(INDEX(PP_Grid[#Data],$DD294,69),0)</f>
        <v/>
      </c>
      <c r="BT294">
        <f>IFERROR(INDEX(PP_Grid[#Data],$DD294,70),0)</f>
        <v/>
      </c>
      <c r="BU294">
        <f>IFERROR(INDEX(PP_Grid[#Data],$DD294,71),0)</f>
        <v/>
      </c>
      <c r="BV294">
        <f>IFERROR(INDEX(PP_Grid[#Data],$DD294,72),0)</f>
        <v/>
      </c>
      <c r="BW294">
        <f>IFERROR(INDEX(PP_Grid[#Data],$DD294,73),0)</f>
        <v/>
      </c>
      <c r="BX294">
        <f>IFERROR(INDEX(PP_Grid[#Data],$DD294,74),0)</f>
        <v/>
      </c>
      <c r="BY294">
        <f>IFERROR(INDEX(PP_Grid[#Data],$DD294,75),0)</f>
        <v/>
      </c>
      <c r="BZ294">
        <f>IFERROR(INDEX(PP_Grid[#Data],$DD294,76),0)</f>
        <v/>
      </c>
      <c r="CA294">
        <f>IFERROR(INDEX(PP_Grid[#Data],$DD294,77),0)</f>
        <v/>
      </c>
      <c r="CB294">
        <f>IFERROR(INDEX(PP_Grid[#Data],$DD294,78),0)</f>
        <v/>
      </c>
      <c r="CC294">
        <f>IFERROR(INDEX(PP_Grid[#Data],$DD294,79),0)</f>
        <v/>
      </c>
      <c r="CD294">
        <f>IFERROR(INDEX(PP_Grid[#Data],$DD294,80),0)</f>
        <v/>
      </c>
      <c r="CE294">
        <f>IFERROR(INDEX(PP_Grid[#Data],$DD294,81),0)</f>
        <v/>
      </c>
      <c r="CF294">
        <f>IFERROR(INDEX(PP_Grid[#Data],$DD294,82),0)</f>
        <v/>
      </c>
      <c r="CG294">
        <f>IFERROR(INDEX(PP_Grid[#Data],$DD294,83),0)</f>
        <v/>
      </c>
      <c r="CH294">
        <f>IFERROR(INDEX(PP_Grid[#Data],$DD294,84),0)</f>
        <v/>
      </c>
      <c r="CI294">
        <f>IFERROR(INDEX(PP_Grid[#Data],$DD294,85),0)</f>
        <v/>
      </c>
      <c r="CJ294">
        <f>IFERROR(INDEX(PP_Grid[#Data],$DD294,86),0)</f>
        <v/>
      </c>
      <c r="CK294">
        <f>IFERROR(INDEX(PP_Grid[#Data],$DD294,87),0)</f>
        <v/>
      </c>
      <c r="CL294">
        <f>IFERROR(INDEX(PP_Grid[#Data],$DD294,88),0)</f>
        <v/>
      </c>
      <c r="CM294">
        <f>IFERROR(INDEX(PP_Grid[#Data],$DD294,89),0)</f>
        <v/>
      </c>
      <c r="CN294">
        <f>IFERROR(INDEX(PP_Grid[#Data],$DD294,90),0)</f>
        <v/>
      </c>
      <c r="CO294">
        <f>IFERROR(INDEX(PP_Grid[#Data],$DD294,91),0)</f>
        <v/>
      </c>
      <c r="CP294">
        <f>IFERROR(INDEX(PP_Grid[#Data],$DD294,92),0)</f>
        <v/>
      </c>
      <c r="CQ294">
        <f>IFERROR(INDEX(PP_Grid[#Data],$DD294,93),0)</f>
        <v/>
      </c>
      <c r="CR294">
        <f>IFERROR(INDEX(PP_Grid[#Data],$DD294,94),0)</f>
        <v/>
      </c>
      <c r="CS294">
        <f>IFERROR(INDEX(PP_Grid[#Data],$DD294,95),0)</f>
        <v/>
      </c>
      <c r="CT294">
        <f>IFERROR(INDEX(PP_Grid[#Data],$DD294,96),0)</f>
        <v/>
      </c>
      <c r="CU294">
        <f>IFERROR(INDEX(PP_Grid[#Data],$DD294,97),0)</f>
        <v/>
      </c>
      <c r="CV294">
        <f>IFERROR(INDEX(PP_Grid[#Data],$DD294,98),0)</f>
        <v/>
      </c>
      <c r="CW294">
        <f>IFERROR(INDEX(PP_Grid[#Data],$DD294,99),0)</f>
        <v/>
      </c>
      <c r="CX294">
        <f>IFERROR(INDEX(PP_Grid[#Data],$DD294,100),0)</f>
        <v/>
      </c>
      <c r="CY294">
        <f>IFERROR(INDEX(PP_Grid[#Data],$DD294,101),0)</f>
        <v/>
      </c>
      <c r="CZ294">
        <f>IFERROR(INDEX(PP_Grid[#Data],$DD294,102),0)</f>
        <v/>
      </c>
      <c r="DA294">
        <f>IFERROR(INDEX(PP_Grid[#Data],$DD294,103),0)</f>
        <v/>
      </c>
      <c r="DB294">
        <f>IFERROR(INDEX(PP_Grid[#Data],$DD294,104),0)</f>
        <v/>
      </c>
      <c r="DC294">
        <f>IFERROR(INDEX(PP_Grid[#Data],$DD294,105),0)</f>
        <v/>
      </c>
      <c r="DD294" s="7">
        <f>IFERROR(MATCH($B294,PP_Grid[Intermediate],0),99999)</f>
        <v/>
      </c>
    </row>
    <row r="295">
      <c r="B295" t="inlineStr">
        <is>
          <t>使用量(kg)</t>
        </is>
      </c>
      <c r="C295">
        <f>SUMIFS(M_BOM[RM_Qty_Per_Batch],M_BOM[Intermediate],$B294,M_BOM[Part Name],$A219)</f>
        <v/>
      </c>
      <c r="D295">
        <f>$C295*D294</f>
        <v/>
      </c>
      <c r="E295">
        <f>$C295*E294</f>
        <v/>
      </c>
      <c r="F295">
        <f>$C295*F294</f>
        <v/>
      </c>
      <c r="G295">
        <f>$C295*G294</f>
        <v/>
      </c>
      <c r="H295">
        <f>$C295*H294</f>
        <v/>
      </c>
      <c r="I295">
        <f>$C295*I294</f>
        <v/>
      </c>
      <c r="J295">
        <f>$C295*J294</f>
        <v/>
      </c>
      <c r="K295">
        <f>$C295*K294</f>
        <v/>
      </c>
      <c r="L295">
        <f>$C295*L294</f>
        <v/>
      </c>
      <c r="M295">
        <f>$C295*M294</f>
        <v/>
      </c>
      <c r="N295">
        <f>$C295*N294</f>
        <v/>
      </c>
      <c r="O295">
        <f>$C295*O294</f>
        <v/>
      </c>
      <c r="P295">
        <f>$C295*P294</f>
        <v/>
      </c>
      <c r="Q295">
        <f>$C295*Q294</f>
        <v/>
      </c>
      <c r="R295">
        <f>$C295*R294</f>
        <v/>
      </c>
      <c r="S295">
        <f>$C295*S294</f>
        <v/>
      </c>
      <c r="T295">
        <f>$C295*T294</f>
        <v/>
      </c>
      <c r="U295">
        <f>$C295*U294</f>
        <v/>
      </c>
      <c r="V295">
        <f>$C295*V294</f>
        <v/>
      </c>
      <c r="W295">
        <f>$C295*W294</f>
        <v/>
      </c>
      <c r="X295">
        <f>$C295*X294</f>
        <v/>
      </c>
      <c r="Y295">
        <f>$C295*Y294</f>
        <v/>
      </c>
      <c r="Z295">
        <f>$C295*Z294</f>
        <v/>
      </c>
      <c r="AA295">
        <f>$C295*AA294</f>
        <v/>
      </c>
      <c r="AB295">
        <f>$C295*AB294</f>
        <v/>
      </c>
      <c r="AC295">
        <f>$C295*AC294</f>
        <v/>
      </c>
      <c r="AD295">
        <f>$C295*AD294</f>
        <v/>
      </c>
      <c r="AE295">
        <f>$C295*AE294</f>
        <v/>
      </c>
      <c r="AF295">
        <f>$C295*AF294</f>
        <v/>
      </c>
      <c r="AG295">
        <f>$C295*AG294</f>
        <v/>
      </c>
      <c r="AH295">
        <f>$C295*AH294</f>
        <v/>
      </c>
      <c r="AI295">
        <f>$C295*AI294</f>
        <v/>
      </c>
      <c r="AJ295">
        <f>$C295*AJ294</f>
        <v/>
      </c>
      <c r="AK295">
        <f>$C295*AK294</f>
        <v/>
      </c>
      <c r="AL295">
        <f>$C295*AL294</f>
        <v/>
      </c>
      <c r="AM295">
        <f>$C295*AM294</f>
        <v/>
      </c>
      <c r="AN295">
        <f>$C295*AN294</f>
        <v/>
      </c>
      <c r="AO295">
        <f>$C295*AO294</f>
        <v/>
      </c>
      <c r="AP295">
        <f>$C295*AP294</f>
        <v/>
      </c>
      <c r="AQ295">
        <f>$C295*AQ294</f>
        <v/>
      </c>
      <c r="AR295">
        <f>$C295*AR294</f>
        <v/>
      </c>
      <c r="AS295">
        <f>$C295*AS294</f>
        <v/>
      </c>
      <c r="AT295">
        <f>$C295*AT294</f>
        <v/>
      </c>
      <c r="AU295">
        <f>$C295*AU294</f>
        <v/>
      </c>
      <c r="AV295">
        <f>$C295*AV294</f>
        <v/>
      </c>
      <c r="AW295">
        <f>$C295*AW294</f>
        <v/>
      </c>
      <c r="AX295">
        <f>$C295*AX294</f>
        <v/>
      </c>
      <c r="AY295">
        <f>$C295*AY294</f>
        <v/>
      </c>
      <c r="AZ295">
        <f>$C295*AZ294</f>
        <v/>
      </c>
      <c r="BA295">
        <f>$C295*BA294</f>
        <v/>
      </c>
      <c r="BB295">
        <f>$C295*BB294</f>
        <v/>
      </c>
      <c r="BC295">
        <f>$C295*BC294</f>
        <v/>
      </c>
      <c r="BD295">
        <f>$C295*BD294</f>
        <v/>
      </c>
      <c r="BE295">
        <f>$C295*BE294</f>
        <v/>
      </c>
      <c r="BF295">
        <f>$C295*BF294</f>
        <v/>
      </c>
      <c r="BG295">
        <f>$C295*BG294</f>
        <v/>
      </c>
      <c r="BH295">
        <f>$C295*BH294</f>
        <v/>
      </c>
      <c r="BI295">
        <f>$C295*BI294</f>
        <v/>
      </c>
      <c r="BJ295">
        <f>$C295*BJ294</f>
        <v/>
      </c>
      <c r="BK295">
        <f>$C295*BK294</f>
        <v/>
      </c>
      <c r="BL295">
        <f>$C295*BL294</f>
        <v/>
      </c>
      <c r="BM295">
        <f>$C295*BM294</f>
        <v/>
      </c>
      <c r="BN295">
        <f>$C295*BN294</f>
        <v/>
      </c>
      <c r="BO295">
        <f>$C295*BO294</f>
        <v/>
      </c>
      <c r="BP295">
        <f>$C295*BP294</f>
        <v/>
      </c>
      <c r="BQ295">
        <f>$C295*BQ294</f>
        <v/>
      </c>
      <c r="BR295">
        <f>$C295*BR294</f>
        <v/>
      </c>
      <c r="BS295">
        <f>$C295*BS294</f>
        <v/>
      </c>
      <c r="BT295">
        <f>$C295*BT294</f>
        <v/>
      </c>
      <c r="BU295">
        <f>$C295*BU294</f>
        <v/>
      </c>
      <c r="BV295">
        <f>$C295*BV294</f>
        <v/>
      </c>
      <c r="BW295">
        <f>$C295*BW294</f>
        <v/>
      </c>
      <c r="BX295">
        <f>$C295*BX294</f>
        <v/>
      </c>
      <c r="BY295">
        <f>$C295*BY294</f>
        <v/>
      </c>
      <c r="BZ295">
        <f>$C295*BZ294</f>
        <v/>
      </c>
      <c r="CA295">
        <f>$C295*CA294</f>
        <v/>
      </c>
      <c r="CB295">
        <f>$C295*CB294</f>
        <v/>
      </c>
      <c r="CC295">
        <f>$C295*CC294</f>
        <v/>
      </c>
      <c r="CD295">
        <f>$C295*CD294</f>
        <v/>
      </c>
      <c r="CE295">
        <f>$C295*CE294</f>
        <v/>
      </c>
      <c r="CF295">
        <f>$C295*CF294</f>
        <v/>
      </c>
      <c r="CG295">
        <f>$C295*CG294</f>
        <v/>
      </c>
      <c r="CH295">
        <f>$C295*CH294</f>
        <v/>
      </c>
      <c r="CI295">
        <f>$C295*CI294</f>
        <v/>
      </c>
      <c r="CJ295">
        <f>$C295*CJ294</f>
        <v/>
      </c>
      <c r="CK295">
        <f>$C295*CK294</f>
        <v/>
      </c>
      <c r="CL295">
        <f>$C295*CL294</f>
        <v/>
      </c>
      <c r="CM295">
        <f>$C295*CM294</f>
        <v/>
      </c>
      <c r="CN295">
        <f>$C295*CN294</f>
        <v/>
      </c>
      <c r="CO295">
        <f>$C295*CO294</f>
        <v/>
      </c>
      <c r="CP295">
        <f>$C295*CP294</f>
        <v/>
      </c>
      <c r="CQ295">
        <f>$C295*CQ294</f>
        <v/>
      </c>
      <c r="CR295">
        <f>$C295*CR294</f>
        <v/>
      </c>
      <c r="CS295">
        <f>$C295*CS294</f>
        <v/>
      </c>
      <c r="CT295">
        <f>$C295*CT294</f>
        <v/>
      </c>
      <c r="CU295">
        <f>$C295*CU294</f>
        <v/>
      </c>
      <c r="CV295">
        <f>$C295*CV294</f>
        <v/>
      </c>
      <c r="CW295">
        <f>$C295*CW294</f>
        <v/>
      </c>
      <c r="CX295">
        <f>$C295*CX294</f>
        <v/>
      </c>
      <c r="CY295">
        <f>$C295*CY294</f>
        <v/>
      </c>
      <c r="CZ295">
        <f>$C295*CZ294</f>
        <v/>
      </c>
      <c r="DA295">
        <f>$C295*DA294</f>
        <v/>
      </c>
      <c r="DB295">
        <f>$C295*DB294</f>
        <v/>
      </c>
      <c r="DC295">
        <f>$C295*DC294</f>
        <v/>
      </c>
    </row>
    <row r="296">
      <c r="B296" t="inlineStr">
        <is>
          <t>TSP-1446</t>
        </is>
      </c>
      <c r="C296" t="inlineStr">
        <is>
          <t>No. of batches</t>
        </is>
      </c>
      <c r="D296">
        <f>IFERROR(INDEX(PP_Grid[#Data],$DD296,2),0)</f>
        <v/>
      </c>
      <c r="E296">
        <f>IFERROR(INDEX(PP_Grid[#Data],$DD296,3),0)</f>
        <v/>
      </c>
      <c r="F296">
        <f>IFERROR(INDEX(PP_Grid[#Data],$DD296,4),0)</f>
        <v/>
      </c>
      <c r="G296">
        <f>IFERROR(INDEX(PP_Grid[#Data],$DD296,5),0)</f>
        <v/>
      </c>
      <c r="H296">
        <f>IFERROR(INDEX(PP_Grid[#Data],$DD296,6),0)</f>
        <v/>
      </c>
      <c r="I296">
        <f>IFERROR(INDEX(PP_Grid[#Data],$DD296,7),0)</f>
        <v/>
      </c>
      <c r="J296">
        <f>IFERROR(INDEX(PP_Grid[#Data],$DD296,8),0)</f>
        <v/>
      </c>
      <c r="K296">
        <f>IFERROR(INDEX(PP_Grid[#Data],$DD296,9),0)</f>
        <v/>
      </c>
      <c r="L296">
        <f>IFERROR(INDEX(PP_Grid[#Data],$DD296,10),0)</f>
        <v/>
      </c>
      <c r="M296">
        <f>IFERROR(INDEX(PP_Grid[#Data],$DD296,11),0)</f>
        <v/>
      </c>
      <c r="N296">
        <f>IFERROR(INDEX(PP_Grid[#Data],$DD296,12),0)</f>
        <v/>
      </c>
      <c r="O296">
        <f>IFERROR(INDEX(PP_Grid[#Data],$DD296,13),0)</f>
        <v/>
      </c>
      <c r="P296">
        <f>IFERROR(INDEX(PP_Grid[#Data],$DD296,14),0)</f>
        <v/>
      </c>
      <c r="Q296">
        <f>IFERROR(INDEX(PP_Grid[#Data],$DD296,15),0)</f>
        <v/>
      </c>
      <c r="R296">
        <f>IFERROR(INDEX(PP_Grid[#Data],$DD296,16),0)</f>
        <v/>
      </c>
      <c r="S296">
        <f>IFERROR(INDEX(PP_Grid[#Data],$DD296,17),0)</f>
        <v/>
      </c>
      <c r="T296">
        <f>IFERROR(INDEX(PP_Grid[#Data],$DD296,18),0)</f>
        <v/>
      </c>
      <c r="U296">
        <f>IFERROR(INDEX(PP_Grid[#Data],$DD296,19),0)</f>
        <v/>
      </c>
      <c r="V296">
        <f>IFERROR(INDEX(PP_Grid[#Data],$DD296,20),0)</f>
        <v/>
      </c>
      <c r="W296">
        <f>IFERROR(INDEX(PP_Grid[#Data],$DD296,21),0)</f>
        <v/>
      </c>
      <c r="X296">
        <f>IFERROR(INDEX(PP_Grid[#Data],$DD296,22),0)</f>
        <v/>
      </c>
      <c r="Y296">
        <f>IFERROR(INDEX(PP_Grid[#Data],$DD296,23),0)</f>
        <v/>
      </c>
      <c r="Z296">
        <f>IFERROR(INDEX(PP_Grid[#Data],$DD296,24),0)</f>
        <v/>
      </c>
      <c r="AA296">
        <f>IFERROR(INDEX(PP_Grid[#Data],$DD296,25),0)</f>
        <v/>
      </c>
      <c r="AB296">
        <f>IFERROR(INDEX(PP_Grid[#Data],$DD296,26),0)</f>
        <v/>
      </c>
      <c r="AC296">
        <f>IFERROR(INDEX(PP_Grid[#Data],$DD296,27),0)</f>
        <v/>
      </c>
      <c r="AD296">
        <f>IFERROR(INDEX(PP_Grid[#Data],$DD296,28),0)</f>
        <v/>
      </c>
      <c r="AE296">
        <f>IFERROR(INDEX(PP_Grid[#Data],$DD296,29),0)</f>
        <v/>
      </c>
      <c r="AF296">
        <f>IFERROR(INDEX(PP_Grid[#Data],$DD296,30),0)</f>
        <v/>
      </c>
      <c r="AG296">
        <f>IFERROR(INDEX(PP_Grid[#Data],$DD296,31),0)</f>
        <v/>
      </c>
      <c r="AH296">
        <f>IFERROR(INDEX(PP_Grid[#Data],$DD296,32),0)</f>
        <v/>
      </c>
      <c r="AI296">
        <f>IFERROR(INDEX(PP_Grid[#Data],$DD296,33),0)</f>
        <v/>
      </c>
      <c r="AJ296">
        <f>IFERROR(INDEX(PP_Grid[#Data],$DD296,34),0)</f>
        <v/>
      </c>
      <c r="AK296">
        <f>IFERROR(INDEX(PP_Grid[#Data],$DD296,35),0)</f>
        <v/>
      </c>
      <c r="AL296">
        <f>IFERROR(INDEX(PP_Grid[#Data],$DD296,36),0)</f>
        <v/>
      </c>
      <c r="AM296">
        <f>IFERROR(INDEX(PP_Grid[#Data],$DD296,37),0)</f>
        <v/>
      </c>
      <c r="AN296">
        <f>IFERROR(INDEX(PP_Grid[#Data],$DD296,38),0)</f>
        <v/>
      </c>
      <c r="AO296">
        <f>IFERROR(INDEX(PP_Grid[#Data],$DD296,39),0)</f>
        <v/>
      </c>
      <c r="AP296">
        <f>IFERROR(INDEX(PP_Grid[#Data],$DD296,40),0)</f>
        <v/>
      </c>
      <c r="AQ296">
        <f>IFERROR(INDEX(PP_Grid[#Data],$DD296,41),0)</f>
        <v/>
      </c>
      <c r="AR296">
        <f>IFERROR(INDEX(PP_Grid[#Data],$DD296,42),0)</f>
        <v/>
      </c>
      <c r="AS296">
        <f>IFERROR(INDEX(PP_Grid[#Data],$DD296,43),0)</f>
        <v/>
      </c>
      <c r="AT296">
        <f>IFERROR(INDEX(PP_Grid[#Data],$DD296,44),0)</f>
        <v/>
      </c>
      <c r="AU296">
        <f>IFERROR(INDEX(PP_Grid[#Data],$DD296,45),0)</f>
        <v/>
      </c>
      <c r="AV296">
        <f>IFERROR(INDEX(PP_Grid[#Data],$DD296,46),0)</f>
        <v/>
      </c>
      <c r="AW296">
        <f>IFERROR(INDEX(PP_Grid[#Data],$DD296,47),0)</f>
        <v/>
      </c>
      <c r="AX296">
        <f>IFERROR(INDEX(PP_Grid[#Data],$DD296,48),0)</f>
        <v/>
      </c>
      <c r="AY296">
        <f>IFERROR(INDEX(PP_Grid[#Data],$DD296,49),0)</f>
        <v/>
      </c>
      <c r="AZ296">
        <f>IFERROR(INDEX(PP_Grid[#Data],$DD296,50),0)</f>
        <v/>
      </c>
      <c r="BA296">
        <f>IFERROR(INDEX(PP_Grid[#Data],$DD296,51),0)</f>
        <v/>
      </c>
      <c r="BB296">
        <f>IFERROR(INDEX(PP_Grid[#Data],$DD296,52),0)</f>
        <v/>
      </c>
      <c r="BC296">
        <f>IFERROR(INDEX(PP_Grid[#Data],$DD296,53),0)</f>
        <v/>
      </c>
      <c r="BD296">
        <f>IFERROR(INDEX(PP_Grid[#Data],$DD296,54),0)</f>
        <v/>
      </c>
      <c r="BE296">
        <f>IFERROR(INDEX(PP_Grid[#Data],$DD296,55),0)</f>
        <v/>
      </c>
      <c r="BF296">
        <f>IFERROR(INDEX(PP_Grid[#Data],$DD296,56),0)</f>
        <v/>
      </c>
      <c r="BG296">
        <f>IFERROR(INDEX(PP_Grid[#Data],$DD296,57),0)</f>
        <v/>
      </c>
      <c r="BH296">
        <f>IFERROR(INDEX(PP_Grid[#Data],$DD296,58),0)</f>
        <v/>
      </c>
      <c r="BI296">
        <f>IFERROR(INDEX(PP_Grid[#Data],$DD296,59),0)</f>
        <v/>
      </c>
      <c r="BJ296">
        <f>IFERROR(INDEX(PP_Grid[#Data],$DD296,60),0)</f>
        <v/>
      </c>
      <c r="BK296">
        <f>IFERROR(INDEX(PP_Grid[#Data],$DD296,61),0)</f>
        <v/>
      </c>
      <c r="BL296">
        <f>IFERROR(INDEX(PP_Grid[#Data],$DD296,62),0)</f>
        <v/>
      </c>
      <c r="BM296">
        <f>IFERROR(INDEX(PP_Grid[#Data],$DD296,63),0)</f>
        <v/>
      </c>
      <c r="BN296">
        <f>IFERROR(INDEX(PP_Grid[#Data],$DD296,64),0)</f>
        <v/>
      </c>
      <c r="BO296">
        <f>IFERROR(INDEX(PP_Grid[#Data],$DD296,65),0)</f>
        <v/>
      </c>
      <c r="BP296">
        <f>IFERROR(INDEX(PP_Grid[#Data],$DD296,66),0)</f>
        <v/>
      </c>
      <c r="BQ296">
        <f>IFERROR(INDEX(PP_Grid[#Data],$DD296,67),0)</f>
        <v/>
      </c>
      <c r="BR296">
        <f>IFERROR(INDEX(PP_Grid[#Data],$DD296,68),0)</f>
        <v/>
      </c>
      <c r="BS296">
        <f>IFERROR(INDEX(PP_Grid[#Data],$DD296,69),0)</f>
        <v/>
      </c>
      <c r="BT296">
        <f>IFERROR(INDEX(PP_Grid[#Data],$DD296,70),0)</f>
        <v/>
      </c>
      <c r="BU296">
        <f>IFERROR(INDEX(PP_Grid[#Data],$DD296,71),0)</f>
        <v/>
      </c>
      <c r="BV296">
        <f>IFERROR(INDEX(PP_Grid[#Data],$DD296,72),0)</f>
        <v/>
      </c>
      <c r="BW296">
        <f>IFERROR(INDEX(PP_Grid[#Data],$DD296,73),0)</f>
        <v/>
      </c>
      <c r="BX296">
        <f>IFERROR(INDEX(PP_Grid[#Data],$DD296,74),0)</f>
        <v/>
      </c>
      <c r="BY296">
        <f>IFERROR(INDEX(PP_Grid[#Data],$DD296,75),0)</f>
        <v/>
      </c>
      <c r="BZ296">
        <f>IFERROR(INDEX(PP_Grid[#Data],$DD296,76),0)</f>
        <v/>
      </c>
      <c r="CA296">
        <f>IFERROR(INDEX(PP_Grid[#Data],$DD296,77),0)</f>
        <v/>
      </c>
      <c r="CB296">
        <f>IFERROR(INDEX(PP_Grid[#Data],$DD296,78),0)</f>
        <v/>
      </c>
      <c r="CC296">
        <f>IFERROR(INDEX(PP_Grid[#Data],$DD296,79),0)</f>
        <v/>
      </c>
      <c r="CD296">
        <f>IFERROR(INDEX(PP_Grid[#Data],$DD296,80),0)</f>
        <v/>
      </c>
      <c r="CE296">
        <f>IFERROR(INDEX(PP_Grid[#Data],$DD296,81),0)</f>
        <v/>
      </c>
      <c r="CF296">
        <f>IFERROR(INDEX(PP_Grid[#Data],$DD296,82),0)</f>
        <v/>
      </c>
      <c r="CG296">
        <f>IFERROR(INDEX(PP_Grid[#Data],$DD296,83),0)</f>
        <v/>
      </c>
      <c r="CH296">
        <f>IFERROR(INDEX(PP_Grid[#Data],$DD296,84),0)</f>
        <v/>
      </c>
      <c r="CI296">
        <f>IFERROR(INDEX(PP_Grid[#Data],$DD296,85),0)</f>
        <v/>
      </c>
      <c r="CJ296">
        <f>IFERROR(INDEX(PP_Grid[#Data],$DD296,86),0)</f>
        <v/>
      </c>
      <c r="CK296">
        <f>IFERROR(INDEX(PP_Grid[#Data],$DD296,87),0)</f>
        <v/>
      </c>
      <c r="CL296">
        <f>IFERROR(INDEX(PP_Grid[#Data],$DD296,88),0)</f>
        <v/>
      </c>
      <c r="CM296">
        <f>IFERROR(INDEX(PP_Grid[#Data],$DD296,89),0)</f>
        <v/>
      </c>
      <c r="CN296">
        <f>IFERROR(INDEX(PP_Grid[#Data],$DD296,90),0)</f>
        <v/>
      </c>
      <c r="CO296">
        <f>IFERROR(INDEX(PP_Grid[#Data],$DD296,91),0)</f>
        <v/>
      </c>
      <c r="CP296">
        <f>IFERROR(INDEX(PP_Grid[#Data],$DD296,92),0)</f>
        <v/>
      </c>
      <c r="CQ296">
        <f>IFERROR(INDEX(PP_Grid[#Data],$DD296,93),0)</f>
        <v/>
      </c>
      <c r="CR296">
        <f>IFERROR(INDEX(PP_Grid[#Data],$DD296,94),0)</f>
        <v/>
      </c>
      <c r="CS296">
        <f>IFERROR(INDEX(PP_Grid[#Data],$DD296,95),0)</f>
        <v/>
      </c>
      <c r="CT296">
        <f>IFERROR(INDEX(PP_Grid[#Data],$DD296,96),0)</f>
        <v/>
      </c>
      <c r="CU296">
        <f>IFERROR(INDEX(PP_Grid[#Data],$DD296,97),0)</f>
        <v/>
      </c>
      <c r="CV296">
        <f>IFERROR(INDEX(PP_Grid[#Data],$DD296,98),0)</f>
        <v/>
      </c>
      <c r="CW296">
        <f>IFERROR(INDEX(PP_Grid[#Data],$DD296,99),0)</f>
        <v/>
      </c>
      <c r="CX296">
        <f>IFERROR(INDEX(PP_Grid[#Data],$DD296,100),0)</f>
        <v/>
      </c>
      <c r="CY296">
        <f>IFERROR(INDEX(PP_Grid[#Data],$DD296,101),0)</f>
        <v/>
      </c>
      <c r="CZ296">
        <f>IFERROR(INDEX(PP_Grid[#Data],$DD296,102),0)</f>
        <v/>
      </c>
      <c r="DA296">
        <f>IFERROR(INDEX(PP_Grid[#Data],$DD296,103),0)</f>
        <v/>
      </c>
      <c r="DB296">
        <f>IFERROR(INDEX(PP_Grid[#Data],$DD296,104),0)</f>
        <v/>
      </c>
      <c r="DC296">
        <f>IFERROR(INDEX(PP_Grid[#Data],$DD296,105),0)</f>
        <v/>
      </c>
      <c r="DD296" s="7">
        <f>IFERROR(MATCH($B296,PP_Grid[Intermediate],0),99999)</f>
        <v/>
      </c>
    </row>
    <row r="297">
      <c r="B297" t="inlineStr">
        <is>
          <t>使用量(kg)</t>
        </is>
      </c>
      <c r="C297">
        <f>SUMIFS(M_BOM[RM_Qty_Per_Batch],M_BOM[Intermediate],$B296,M_BOM[Part Name],$A219)</f>
        <v/>
      </c>
      <c r="D297">
        <f>$C297*D296</f>
        <v/>
      </c>
      <c r="E297">
        <f>$C297*E296</f>
        <v/>
      </c>
      <c r="F297">
        <f>$C297*F296</f>
        <v/>
      </c>
      <c r="G297">
        <f>$C297*G296</f>
        <v/>
      </c>
      <c r="H297">
        <f>$C297*H296</f>
        <v/>
      </c>
      <c r="I297">
        <f>$C297*I296</f>
        <v/>
      </c>
      <c r="J297">
        <f>$C297*J296</f>
        <v/>
      </c>
      <c r="K297">
        <f>$C297*K296</f>
        <v/>
      </c>
      <c r="L297">
        <f>$C297*L296</f>
        <v/>
      </c>
      <c r="M297">
        <f>$C297*M296</f>
        <v/>
      </c>
      <c r="N297">
        <f>$C297*N296</f>
        <v/>
      </c>
      <c r="O297">
        <f>$C297*O296</f>
        <v/>
      </c>
      <c r="P297">
        <f>$C297*P296</f>
        <v/>
      </c>
      <c r="Q297">
        <f>$C297*Q296</f>
        <v/>
      </c>
      <c r="R297">
        <f>$C297*R296</f>
        <v/>
      </c>
      <c r="S297">
        <f>$C297*S296</f>
        <v/>
      </c>
      <c r="T297">
        <f>$C297*T296</f>
        <v/>
      </c>
      <c r="U297">
        <f>$C297*U296</f>
        <v/>
      </c>
      <c r="V297">
        <f>$C297*V296</f>
        <v/>
      </c>
      <c r="W297">
        <f>$C297*W296</f>
        <v/>
      </c>
      <c r="X297">
        <f>$C297*X296</f>
        <v/>
      </c>
      <c r="Y297">
        <f>$C297*Y296</f>
        <v/>
      </c>
      <c r="Z297">
        <f>$C297*Z296</f>
        <v/>
      </c>
      <c r="AA297">
        <f>$C297*AA296</f>
        <v/>
      </c>
      <c r="AB297">
        <f>$C297*AB296</f>
        <v/>
      </c>
      <c r="AC297">
        <f>$C297*AC296</f>
        <v/>
      </c>
      <c r="AD297">
        <f>$C297*AD296</f>
        <v/>
      </c>
      <c r="AE297">
        <f>$C297*AE296</f>
        <v/>
      </c>
      <c r="AF297">
        <f>$C297*AF296</f>
        <v/>
      </c>
      <c r="AG297">
        <f>$C297*AG296</f>
        <v/>
      </c>
      <c r="AH297">
        <f>$C297*AH296</f>
        <v/>
      </c>
      <c r="AI297">
        <f>$C297*AI296</f>
        <v/>
      </c>
      <c r="AJ297">
        <f>$C297*AJ296</f>
        <v/>
      </c>
      <c r="AK297">
        <f>$C297*AK296</f>
        <v/>
      </c>
      <c r="AL297">
        <f>$C297*AL296</f>
        <v/>
      </c>
      <c r="AM297">
        <f>$C297*AM296</f>
        <v/>
      </c>
      <c r="AN297">
        <f>$C297*AN296</f>
        <v/>
      </c>
      <c r="AO297">
        <f>$C297*AO296</f>
        <v/>
      </c>
      <c r="AP297">
        <f>$C297*AP296</f>
        <v/>
      </c>
      <c r="AQ297">
        <f>$C297*AQ296</f>
        <v/>
      </c>
      <c r="AR297">
        <f>$C297*AR296</f>
        <v/>
      </c>
      <c r="AS297">
        <f>$C297*AS296</f>
        <v/>
      </c>
      <c r="AT297">
        <f>$C297*AT296</f>
        <v/>
      </c>
      <c r="AU297">
        <f>$C297*AU296</f>
        <v/>
      </c>
      <c r="AV297">
        <f>$C297*AV296</f>
        <v/>
      </c>
      <c r="AW297">
        <f>$C297*AW296</f>
        <v/>
      </c>
      <c r="AX297">
        <f>$C297*AX296</f>
        <v/>
      </c>
      <c r="AY297">
        <f>$C297*AY296</f>
        <v/>
      </c>
      <c r="AZ297">
        <f>$C297*AZ296</f>
        <v/>
      </c>
      <c r="BA297">
        <f>$C297*BA296</f>
        <v/>
      </c>
      <c r="BB297">
        <f>$C297*BB296</f>
        <v/>
      </c>
      <c r="BC297">
        <f>$C297*BC296</f>
        <v/>
      </c>
      <c r="BD297">
        <f>$C297*BD296</f>
        <v/>
      </c>
      <c r="BE297">
        <f>$C297*BE296</f>
        <v/>
      </c>
      <c r="BF297">
        <f>$C297*BF296</f>
        <v/>
      </c>
      <c r="BG297">
        <f>$C297*BG296</f>
        <v/>
      </c>
      <c r="BH297">
        <f>$C297*BH296</f>
        <v/>
      </c>
      <c r="BI297">
        <f>$C297*BI296</f>
        <v/>
      </c>
      <c r="BJ297">
        <f>$C297*BJ296</f>
        <v/>
      </c>
      <c r="BK297">
        <f>$C297*BK296</f>
        <v/>
      </c>
      <c r="BL297">
        <f>$C297*BL296</f>
        <v/>
      </c>
      <c r="BM297">
        <f>$C297*BM296</f>
        <v/>
      </c>
      <c r="BN297">
        <f>$C297*BN296</f>
        <v/>
      </c>
      <c r="BO297">
        <f>$C297*BO296</f>
        <v/>
      </c>
      <c r="BP297">
        <f>$C297*BP296</f>
        <v/>
      </c>
      <c r="BQ297">
        <f>$C297*BQ296</f>
        <v/>
      </c>
      <c r="BR297">
        <f>$C297*BR296</f>
        <v/>
      </c>
      <c r="BS297">
        <f>$C297*BS296</f>
        <v/>
      </c>
      <c r="BT297">
        <f>$C297*BT296</f>
        <v/>
      </c>
      <c r="BU297">
        <f>$C297*BU296</f>
        <v/>
      </c>
      <c r="BV297">
        <f>$C297*BV296</f>
        <v/>
      </c>
      <c r="BW297">
        <f>$C297*BW296</f>
        <v/>
      </c>
      <c r="BX297">
        <f>$C297*BX296</f>
        <v/>
      </c>
      <c r="BY297">
        <f>$C297*BY296</f>
        <v/>
      </c>
      <c r="BZ297">
        <f>$C297*BZ296</f>
        <v/>
      </c>
      <c r="CA297">
        <f>$C297*CA296</f>
        <v/>
      </c>
      <c r="CB297">
        <f>$C297*CB296</f>
        <v/>
      </c>
      <c r="CC297">
        <f>$C297*CC296</f>
        <v/>
      </c>
      <c r="CD297">
        <f>$C297*CD296</f>
        <v/>
      </c>
      <c r="CE297">
        <f>$C297*CE296</f>
        <v/>
      </c>
      <c r="CF297">
        <f>$C297*CF296</f>
        <v/>
      </c>
      <c r="CG297">
        <f>$C297*CG296</f>
        <v/>
      </c>
      <c r="CH297">
        <f>$C297*CH296</f>
        <v/>
      </c>
      <c r="CI297">
        <f>$C297*CI296</f>
        <v/>
      </c>
      <c r="CJ297">
        <f>$C297*CJ296</f>
        <v/>
      </c>
      <c r="CK297">
        <f>$C297*CK296</f>
        <v/>
      </c>
      <c r="CL297">
        <f>$C297*CL296</f>
        <v/>
      </c>
      <c r="CM297">
        <f>$C297*CM296</f>
        <v/>
      </c>
      <c r="CN297">
        <f>$C297*CN296</f>
        <v/>
      </c>
      <c r="CO297">
        <f>$C297*CO296</f>
        <v/>
      </c>
      <c r="CP297">
        <f>$C297*CP296</f>
        <v/>
      </c>
      <c r="CQ297">
        <f>$C297*CQ296</f>
        <v/>
      </c>
      <c r="CR297">
        <f>$C297*CR296</f>
        <v/>
      </c>
      <c r="CS297">
        <f>$C297*CS296</f>
        <v/>
      </c>
      <c r="CT297">
        <f>$C297*CT296</f>
        <v/>
      </c>
      <c r="CU297">
        <f>$C297*CU296</f>
        <v/>
      </c>
      <c r="CV297">
        <f>$C297*CV296</f>
        <v/>
      </c>
      <c r="CW297">
        <f>$C297*CW296</f>
        <v/>
      </c>
      <c r="CX297">
        <f>$C297*CX296</f>
        <v/>
      </c>
      <c r="CY297">
        <f>$C297*CY296</f>
        <v/>
      </c>
      <c r="CZ297">
        <f>$C297*CZ296</f>
        <v/>
      </c>
      <c r="DA297">
        <f>$C297*DA296</f>
        <v/>
      </c>
      <c r="DB297">
        <f>$C297*DB296</f>
        <v/>
      </c>
      <c r="DC297">
        <f>$C297*DC296</f>
        <v/>
      </c>
    </row>
    <row r="298">
      <c r="B298" t="inlineStr">
        <is>
          <t>TSP-1449</t>
        </is>
      </c>
      <c r="C298" t="inlineStr">
        <is>
          <t>No. of batches</t>
        </is>
      </c>
      <c r="D298">
        <f>IFERROR(INDEX(PP_Grid[#Data],$DD298,2),0)</f>
        <v/>
      </c>
      <c r="E298">
        <f>IFERROR(INDEX(PP_Grid[#Data],$DD298,3),0)</f>
        <v/>
      </c>
      <c r="F298">
        <f>IFERROR(INDEX(PP_Grid[#Data],$DD298,4),0)</f>
        <v/>
      </c>
      <c r="G298">
        <f>IFERROR(INDEX(PP_Grid[#Data],$DD298,5),0)</f>
        <v/>
      </c>
      <c r="H298">
        <f>IFERROR(INDEX(PP_Grid[#Data],$DD298,6),0)</f>
        <v/>
      </c>
      <c r="I298">
        <f>IFERROR(INDEX(PP_Grid[#Data],$DD298,7),0)</f>
        <v/>
      </c>
      <c r="J298">
        <f>IFERROR(INDEX(PP_Grid[#Data],$DD298,8),0)</f>
        <v/>
      </c>
      <c r="K298">
        <f>IFERROR(INDEX(PP_Grid[#Data],$DD298,9),0)</f>
        <v/>
      </c>
      <c r="L298">
        <f>IFERROR(INDEX(PP_Grid[#Data],$DD298,10),0)</f>
        <v/>
      </c>
      <c r="M298">
        <f>IFERROR(INDEX(PP_Grid[#Data],$DD298,11),0)</f>
        <v/>
      </c>
      <c r="N298">
        <f>IFERROR(INDEX(PP_Grid[#Data],$DD298,12),0)</f>
        <v/>
      </c>
      <c r="O298">
        <f>IFERROR(INDEX(PP_Grid[#Data],$DD298,13),0)</f>
        <v/>
      </c>
      <c r="P298">
        <f>IFERROR(INDEX(PP_Grid[#Data],$DD298,14),0)</f>
        <v/>
      </c>
      <c r="Q298">
        <f>IFERROR(INDEX(PP_Grid[#Data],$DD298,15),0)</f>
        <v/>
      </c>
      <c r="R298">
        <f>IFERROR(INDEX(PP_Grid[#Data],$DD298,16),0)</f>
        <v/>
      </c>
      <c r="S298">
        <f>IFERROR(INDEX(PP_Grid[#Data],$DD298,17),0)</f>
        <v/>
      </c>
      <c r="T298">
        <f>IFERROR(INDEX(PP_Grid[#Data],$DD298,18),0)</f>
        <v/>
      </c>
      <c r="U298">
        <f>IFERROR(INDEX(PP_Grid[#Data],$DD298,19),0)</f>
        <v/>
      </c>
      <c r="V298">
        <f>IFERROR(INDEX(PP_Grid[#Data],$DD298,20),0)</f>
        <v/>
      </c>
      <c r="W298">
        <f>IFERROR(INDEX(PP_Grid[#Data],$DD298,21),0)</f>
        <v/>
      </c>
      <c r="X298">
        <f>IFERROR(INDEX(PP_Grid[#Data],$DD298,22),0)</f>
        <v/>
      </c>
      <c r="Y298">
        <f>IFERROR(INDEX(PP_Grid[#Data],$DD298,23),0)</f>
        <v/>
      </c>
      <c r="Z298">
        <f>IFERROR(INDEX(PP_Grid[#Data],$DD298,24),0)</f>
        <v/>
      </c>
      <c r="AA298">
        <f>IFERROR(INDEX(PP_Grid[#Data],$DD298,25),0)</f>
        <v/>
      </c>
      <c r="AB298">
        <f>IFERROR(INDEX(PP_Grid[#Data],$DD298,26),0)</f>
        <v/>
      </c>
      <c r="AC298">
        <f>IFERROR(INDEX(PP_Grid[#Data],$DD298,27),0)</f>
        <v/>
      </c>
      <c r="AD298">
        <f>IFERROR(INDEX(PP_Grid[#Data],$DD298,28),0)</f>
        <v/>
      </c>
      <c r="AE298">
        <f>IFERROR(INDEX(PP_Grid[#Data],$DD298,29),0)</f>
        <v/>
      </c>
      <c r="AF298">
        <f>IFERROR(INDEX(PP_Grid[#Data],$DD298,30),0)</f>
        <v/>
      </c>
      <c r="AG298">
        <f>IFERROR(INDEX(PP_Grid[#Data],$DD298,31),0)</f>
        <v/>
      </c>
      <c r="AH298">
        <f>IFERROR(INDEX(PP_Grid[#Data],$DD298,32),0)</f>
        <v/>
      </c>
      <c r="AI298">
        <f>IFERROR(INDEX(PP_Grid[#Data],$DD298,33),0)</f>
        <v/>
      </c>
      <c r="AJ298">
        <f>IFERROR(INDEX(PP_Grid[#Data],$DD298,34),0)</f>
        <v/>
      </c>
      <c r="AK298">
        <f>IFERROR(INDEX(PP_Grid[#Data],$DD298,35),0)</f>
        <v/>
      </c>
      <c r="AL298">
        <f>IFERROR(INDEX(PP_Grid[#Data],$DD298,36),0)</f>
        <v/>
      </c>
      <c r="AM298">
        <f>IFERROR(INDEX(PP_Grid[#Data],$DD298,37),0)</f>
        <v/>
      </c>
      <c r="AN298">
        <f>IFERROR(INDEX(PP_Grid[#Data],$DD298,38),0)</f>
        <v/>
      </c>
      <c r="AO298">
        <f>IFERROR(INDEX(PP_Grid[#Data],$DD298,39),0)</f>
        <v/>
      </c>
      <c r="AP298">
        <f>IFERROR(INDEX(PP_Grid[#Data],$DD298,40),0)</f>
        <v/>
      </c>
      <c r="AQ298">
        <f>IFERROR(INDEX(PP_Grid[#Data],$DD298,41),0)</f>
        <v/>
      </c>
      <c r="AR298">
        <f>IFERROR(INDEX(PP_Grid[#Data],$DD298,42),0)</f>
        <v/>
      </c>
      <c r="AS298">
        <f>IFERROR(INDEX(PP_Grid[#Data],$DD298,43),0)</f>
        <v/>
      </c>
      <c r="AT298">
        <f>IFERROR(INDEX(PP_Grid[#Data],$DD298,44),0)</f>
        <v/>
      </c>
      <c r="AU298">
        <f>IFERROR(INDEX(PP_Grid[#Data],$DD298,45),0)</f>
        <v/>
      </c>
      <c r="AV298">
        <f>IFERROR(INDEX(PP_Grid[#Data],$DD298,46),0)</f>
        <v/>
      </c>
      <c r="AW298">
        <f>IFERROR(INDEX(PP_Grid[#Data],$DD298,47),0)</f>
        <v/>
      </c>
      <c r="AX298">
        <f>IFERROR(INDEX(PP_Grid[#Data],$DD298,48),0)</f>
        <v/>
      </c>
      <c r="AY298">
        <f>IFERROR(INDEX(PP_Grid[#Data],$DD298,49),0)</f>
        <v/>
      </c>
      <c r="AZ298">
        <f>IFERROR(INDEX(PP_Grid[#Data],$DD298,50),0)</f>
        <v/>
      </c>
      <c r="BA298">
        <f>IFERROR(INDEX(PP_Grid[#Data],$DD298,51),0)</f>
        <v/>
      </c>
      <c r="BB298">
        <f>IFERROR(INDEX(PP_Grid[#Data],$DD298,52),0)</f>
        <v/>
      </c>
      <c r="BC298">
        <f>IFERROR(INDEX(PP_Grid[#Data],$DD298,53),0)</f>
        <v/>
      </c>
      <c r="BD298">
        <f>IFERROR(INDEX(PP_Grid[#Data],$DD298,54),0)</f>
        <v/>
      </c>
      <c r="BE298">
        <f>IFERROR(INDEX(PP_Grid[#Data],$DD298,55),0)</f>
        <v/>
      </c>
      <c r="BF298">
        <f>IFERROR(INDEX(PP_Grid[#Data],$DD298,56),0)</f>
        <v/>
      </c>
      <c r="BG298">
        <f>IFERROR(INDEX(PP_Grid[#Data],$DD298,57),0)</f>
        <v/>
      </c>
      <c r="BH298">
        <f>IFERROR(INDEX(PP_Grid[#Data],$DD298,58),0)</f>
        <v/>
      </c>
      <c r="BI298">
        <f>IFERROR(INDEX(PP_Grid[#Data],$DD298,59),0)</f>
        <v/>
      </c>
      <c r="BJ298">
        <f>IFERROR(INDEX(PP_Grid[#Data],$DD298,60),0)</f>
        <v/>
      </c>
      <c r="BK298">
        <f>IFERROR(INDEX(PP_Grid[#Data],$DD298,61),0)</f>
        <v/>
      </c>
      <c r="BL298">
        <f>IFERROR(INDEX(PP_Grid[#Data],$DD298,62),0)</f>
        <v/>
      </c>
      <c r="BM298">
        <f>IFERROR(INDEX(PP_Grid[#Data],$DD298,63),0)</f>
        <v/>
      </c>
      <c r="BN298">
        <f>IFERROR(INDEX(PP_Grid[#Data],$DD298,64),0)</f>
        <v/>
      </c>
      <c r="BO298">
        <f>IFERROR(INDEX(PP_Grid[#Data],$DD298,65),0)</f>
        <v/>
      </c>
      <c r="BP298">
        <f>IFERROR(INDEX(PP_Grid[#Data],$DD298,66),0)</f>
        <v/>
      </c>
      <c r="BQ298">
        <f>IFERROR(INDEX(PP_Grid[#Data],$DD298,67),0)</f>
        <v/>
      </c>
      <c r="BR298">
        <f>IFERROR(INDEX(PP_Grid[#Data],$DD298,68),0)</f>
        <v/>
      </c>
      <c r="BS298">
        <f>IFERROR(INDEX(PP_Grid[#Data],$DD298,69),0)</f>
        <v/>
      </c>
      <c r="BT298">
        <f>IFERROR(INDEX(PP_Grid[#Data],$DD298,70),0)</f>
        <v/>
      </c>
      <c r="BU298">
        <f>IFERROR(INDEX(PP_Grid[#Data],$DD298,71),0)</f>
        <v/>
      </c>
      <c r="BV298">
        <f>IFERROR(INDEX(PP_Grid[#Data],$DD298,72),0)</f>
        <v/>
      </c>
      <c r="BW298">
        <f>IFERROR(INDEX(PP_Grid[#Data],$DD298,73),0)</f>
        <v/>
      </c>
      <c r="BX298">
        <f>IFERROR(INDEX(PP_Grid[#Data],$DD298,74),0)</f>
        <v/>
      </c>
      <c r="BY298">
        <f>IFERROR(INDEX(PP_Grid[#Data],$DD298,75),0)</f>
        <v/>
      </c>
      <c r="BZ298">
        <f>IFERROR(INDEX(PP_Grid[#Data],$DD298,76),0)</f>
        <v/>
      </c>
      <c r="CA298">
        <f>IFERROR(INDEX(PP_Grid[#Data],$DD298,77),0)</f>
        <v/>
      </c>
      <c r="CB298">
        <f>IFERROR(INDEX(PP_Grid[#Data],$DD298,78),0)</f>
        <v/>
      </c>
      <c r="CC298">
        <f>IFERROR(INDEX(PP_Grid[#Data],$DD298,79),0)</f>
        <v/>
      </c>
      <c r="CD298">
        <f>IFERROR(INDEX(PP_Grid[#Data],$DD298,80),0)</f>
        <v/>
      </c>
      <c r="CE298">
        <f>IFERROR(INDEX(PP_Grid[#Data],$DD298,81),0)</f>
        <v/>
      </c>
      <c r="CF298">
        <f>IFERROR(INDEX(PP_Grid[#Data],$DD298,82),0)</f>
        <v/>
      </c>
      <c r="CG298">
        <f>IFERROR(INDEX(PP_Grid[#Data],$DD298,83),0)</f>
        <v/>
      </c>
      <c r="CH298">
        <f>IFERROR(INDEX(PP_Grid[#Data],$DD298,84),0)</f>
        <v/>
      </c>
      <c r="CI298">
        <f>IFERROR(INDEX(PP_Grid[#Data],$DD298,85),0)</f>
        <v/>
      </c>
      <c r="CJ298">
        <f>IFERROR(INDEX(PP_Grid[#Data],$DD298,86),0)</f>
        <v/>
      </c>
      <c r="CK298">
        <f>IFERROR(INDEX(PP_Grid[#Data],$DD298,87),0)</f>
        <v/>
      </c>
      <c r="CL298">
        <f>IFERROR(INDEX(PP_Grid[#Data],$DD298,88),0)</f>
        <v/>
      </c>
      <c r="CM298">
        <f>IFERROR(INDEX(PP_Grid[#Data],$DD298,89),0)</f>
        <v/>
      </c>
      <c r="CN298">
        <f>IFERROR(INDEX(PP_Grid[#Data],$DD298,90),0)</f>
        <v/>
      </c>
      <c r="CO298">
        <f>IFERROR(INDEX(PP_Grid[#Data],$DD298,91),0)</f>
        <v/>
      </c>
      <c r="CP298">
        <f>IFERROR(INDEX(PP_Grid[#Data],$DD298,92),0)</f>
        <v/>
      </c>
      <c r="CQ298">
        <f>IFERROR(INDEX(PP_Grid[#Data],$DD298,93),0)</f>
        <v/>
      </c>
      <c r="CR298">
        <f>IFERROR(INDEX(PP_Grid[#Data],$DD298,94),0)</f>
        <v/>
      </c>
      <c r="CS298">
        <f>IFERROR(INDEX(PP_Grid[#Data],$DD298,95),0)</f>
        <v/>
      </c>
      <c r="CT298">
        <f>IFERROR(INDEX(PP_Grid[#Data],$DD298,96),0)</f>
        <v/>
      </c>
      <c r="CU298">
        <f>IFERROR(INDEX(PP_Grid[#Data],$DD298,97),0)</f>
        <v/>
      </c>
      <c r="CV298">
        <f>IFERROR(INDEX(PP_Grid[#Data],$DD298,98),0)</f>
        <v/>
      </c>
      <c r="CW298">
        <f>IFERROR(INDEX(PP_Grid[#Data],$DD298,99),0)</f>
        <v/>
      </c>
      <c r="CX298">
        <f>IFERROR(INDEX(PP_Grid[#Data],$DD298,100),0)</f>
        <v/>
      </c>
      <c r="CY298">
        <f>IFERROR(INDEX(PP_Grid[#Data],$DD298,101),0)</f>
        <v/>
      </c>
      <c r="CZ298">
        <f>IFERROR(INDEX(PP_Grid[#Data],$DD298,102),0)</f>
        <v/>
      </c>
      <c r="DA298">
        <f>IFERROR(INDEX(PP_Grid[#Data],$DD298,103),0)</f>
        <v/>
      </c>
      <c r="DB298">
        <f>IFERROR(INDEX(PP_Grid[#Data],$DD298,104),0)</f>
        <v/>
      </c>
      <c r="DC298">
        <f>IFERROR(INDEX(PP_Grid[#Data],$DD298,105),0)</f>
        <v/>
      </c>
      <c r="DD298" s="7">
        <f>IFERROR(MATCH($B298,PP_Grid[Intermediate],0),99999)</f>
        <v/>
      </c>
    </row>
    <row r="299">
      <c r="B299" t="inlineStr">
        <is>
          <t>使用量(kg)</t>
        </is>
      </c>
      <c r="C299">
        <f>SUMIFS(M_BOM[RM_Qty_Per_Batch],M_BOM[Intermediate],$B298,M_BOM[Part Name],$A219)</f>
        <v/>
      </c>
      <c r="D299">
        <f>$C299*D298</f>
        <v/>
      </c>
      <c r="E299">
        <f>$C299*E298</f>
        <v/>
      </c>
      <c r="F299">
        <f>$C299*F298</f>
        <v/>
      </c>
      <c r="G299">
        <f>$C299*G298</f>
        <v/>
      </c>
      <c r="H299">
        <f>$C299*H298</f>
        <v/>
      </c>
      <c r="I299">
        <f>$C299*I298</f>
        <v/>
      </c>
      <c r="J299">
        <f>$C299*J298</f>
        <v/>
      </c>
      <c r="K299">
        <f>$C299*K298</f>
        <v/>
      </c>
      <c r="L299">
        <f>$C299*L298</f>
        <v/>
      </c>
      <c r="M299">
        <f>$C299*M298</f>
        <v/>
      </c>
      <c r="N299">
        <f>$C299*N298</f>
        <v/>
      </c>
      <c r="O299">
        <f>$C299*O298</f>
        <v/>
      </c>
      <c r="P299">
        <f>$C299*P298</f>
        <v/>
      </c>
      <c r="Q299">
        <f>$C299*Q298</f>
        <v/>
      </c>
      <c r="R299">
        <f>$C299*R298</f>
        <v/>
      </c>
      <c r="S299">
        <f>$C299*S298</f>
        <v/>
      </c>
      <c r="T299">
        <f>$C299*T298</f>
        <v/>
      </c>
      <c r="U299">
        <f>$C299*U298</f>
        <v/>
      </c>
      <c r="V299">
        <f>$C299*V298</f>
        <v/>
      </c>
      <c r="W299">
        <f>$C299*W298</f>
        <v/>
      </c>
      <c r="X299">
        <f>$C299*X298</f>
        <v/>
      </c>
      <c r="Y299">
        <f>$C299*Y298</f>
        <v/>
      </c>
      <c r="Z299">
        <f>$C299*Z298</f>
        <v/>
      </c>
      <c r="AA299">
        <f>$C299*AA298</f>
        <v/>
      </c>
      <c r="AB299">
        <f>$C299*AB298</f>
        <v/>
      </c>
      <c r="AC299">
        <f>$C299*AC298</f>
        <v/>
      </c>
      <c r="AD299">
        <f>$C299*AD298</f>
        <v/>
      </c>
      <c r="AE299">
        <f>$C299*AE298</f>
        <v/>
      </c>
      <c r="AF299">
        <f>$C299*AF298</f>
        <v/>
      </c>
      <c r="AG299">
        <f>$C299*AG298</f>
        <v/>
      </c>
      <c r="AH299">
        <f>$C299*AH298</f>
        <v/>
      </c>
      <c r="AI299">
        <f>$C299*AI298</f>
        <v/>
      </c>
      <c r="AJ299">
        <f>$C299*AJ298</f>
        <v/>
      </c>
      <c r="AK299">
        <f>$C299*AK298</f>
        <v/>
      </c>
      <c r="AL299">
        <f>$C299*AL298</f>
        <v/>
      </c>
      <c r="AM299">
        <f>$C299*AM298</f>
        <v/>
      </c>
      <c r="AN299">
        <f>$C299*AN298</f>
        <v/>
      </c>
      <c r="AO299">
        <f>$C299*AO298</f>
        <v/>
      </c>
      <c r="AP299">
        <f>$C299*AP298</f>
        <v/>
      </c>
      <c r="AQ299">
        <f>$C299*AQ298</f>
        <v/>
      </c>
      <c r="AR299">
        <f>$C299*AR298</f>
        <v/>
      </c>
      <c r="AS299">
        <f>$C299*AS298</f>
        <v/>
      </c>
      <c r="AT299">
        <f>$C299*AT298</f>
        <v/>
      </c>
      <c r="AU299">
        <f>$C299*AU298</f>
        <v/>
      </c>
      <c r="AV299">
        <f>$C299*AV298</f>
        <v/>
      </c>
      <c r="AW299">
        <f>$C299*AW298</f>
        <v/>
      </c>
      <c r="AX299">
        <f>$C299*AX298</f>
        <v/>
      </c>
      <c r="AY299">
        <f>$C299*AY298</f>
        <v/>
      </c>
      <c r="AZ299">
        <f>$C299*AZ298</f>
        <v/>
      </c>
      <c r="BA299">
        <f>$C299*BA298</f>
        <v/>
      </c>
      <c r="BB299">
        <f>$C299*BB298</f>
        <v/>
      </c>
      <c r="BC299">
        <f>$C299*BC298</f>
        <v/>
      </c>
      <c r="BD299">
        <f>$C299*BD298</f>
        <v/>
      </c>
      <c r="BE299">
        <f>$C299*BE298</f>
        <v/>
      </c>
      <c r="BF299">
        <f>$C299*BF298</f>
        <v/>
      </c>
      <c r="BG299">
        <f>$C299*BG298</f>
        <v/>
      </c>
      <c r="BH299">
        <f>$C299*BH298</f>
        <v/>
      </c>
      <c r="BI299">
        <f>$C299*BI298</f>
        <v/>
      </c>
      <c r="BJ299">
        <f>$C299*BJ298</f>
        <v/>
      </c>
      <c r="BK299">
        <f>$C299*BK298</f>
        <v/>
      </c>
      <c r="BL299">
        <f>$C299*BL298</f>
        <v/>
      </c>
      <c r="BM299">
        <f>$C299*BM298</f>
        <v/>
      </c>
      <c r="BN299">
        <f>$C299*BN298</f>
        <v/>
      </c>
      <c r="BO299">
        <f>$C299*BO298</f>
        <v/>
      </c>
      <c r="BP299">
        <f>$C299*BP298</f>
        <v/>
      </c>
      <c r="BQ299">
        <f>$C299*BQ298</f>
        <v/>
      </c>
      <c r="BR299">
        <f>$C299*BR298</f>
        <v/>
      </c>
      <c r="BS299">
        <f>$C299*BS298</f>
        <v/>
      </c>
      <c r="BT299">
        <f>$C299*BT298</f>
        <v/>
      </c>
      <c r="BU299">
        <f>$C299*BU298</f>
        <v/>
      </c>
      <c r="BV299">
        <f>$C299*BV298</f>
        <v/>
      </c>
      <c r="BW299">
        <f>$C299*BW298</f>
        <v/>
      </c>
      <c r="BX299">
        <f>$C299*BX298</f>
        <v/>
      </c>
      <c r="BY299">
        <f>$C299*BY298</f>
        <v/>
      </c>
      <c r="BZ299">
        <f>$C299*BZ298</f>
        <v/>
      </c>
      <c r="CA299">
        <f>$C299*CA298</f>
        <v/>
      </c>
      <c r="CB299">
        <f>$C299*CB298</f>
        <v/>
      </c>
      <c r="CC299">
        <f>$C299*CC298</f>
        <v/>
      </c>
      <c r="CD299">
        <f>$C299*CD298</f>
        <v/>
      </c>
      <c r="CE299">
        <f>$C299*CE298</f>
        <v/>
      </c>
      <c r="CF299">
        <f>$C299*CF298</f>
        <v/>
      </c>
      <c r="CG299">
        <f>$C299*CG298</f>
        <v/>
      </c>
      <c r="CH299">
        <f>$C299*CH298</f>
        <v/>
      </c>
      <c r="CI299">
        <f>$C299*CI298</f>
        <v/>
      </c>
      <c r="CJ299">
        <f>$C299*CJ298</f>
        <v/>
      </c>
      <c r="CK299">
        <f>$C299*CK298</f>
        <v/>
      </c>
      <c r="CL299">
        <f>$C299*CL298</f>
        <v/>
      </c>
      <c r="CM299">
        <f>$C299*CM298</f>
        <v/>
      </c>
      <c r="CN299">
        <f>$C299*CN298</f>
        <v/>
      </c>
      <c r="CO299">
        <f>$C299*CO298</f>
        <v/>
      </c>
      <c r="CP299">
        <f>$C299*CP298</f>
        <v/>
      </c>
      <c r="CQ299">
        <f>$C299*CQ298</f>
        <v/>
      </c>
      <c r="CR299">
        <f>$C299*CR298</f>
        <v/>
      </c>
      <c r="CS299">
        <f>$C299*CS298</f>
        <v/>
      </c>
      <c r="CT299">
        <f>$C299*CT298</f>
        <v/>
      </c>
      <c r="CU299">
        <f>$C299*CU298</f>
        <v/>
      </c>
      <c r="CV299">
        <f>$C299*CV298</f>
        <v/>
      </c>
      <c r="CW299">
        <f>$C299*CW298</f>
        <v/>
      </c>
      <c r="CX299">
        <f>$C299*CX298</f>
        <v/>
      </c>
      <c r="CY299">
        <f>$C299*CY298</f>
        <v/>
      </c>
      <c r="CZ299">
        <f>$C299*CZ298</f>
        <v/>
      </c>
      <c r="DA299">
        <f>$C299*DA298</f>
        <v/>
      </c>
      <c r="DB299">
        <f>$C299*DB298</f>
        <v/>
      </c>
      <c r="DC299">
        <f>$C299*DC298</f>
        <v/>
      </c>
    </row>
    <row r="300">
      <c r="B300" t="inlineStr">
        <is>
          <t>VSP-567</t>
        </is>
      </c>
      <c r="C300" t="inlineStr">
        <is>
          <t>No. of batches</t>
        </is>
      </c>
      <c r="D300">
        <f>IFERROR(INDEX(PP_Grid[#Data],$DD300,2),0)</f>
        <v/>
      </c>
      <c r="E300">
        <f>IFERROR(INDEX(PP_Grid[#Data],$DD300,3),0)</f>
        <v/>
      </c>
      <c r="F300">
        <f>IFERROR(INDEX(PP_Grid[#Data],$DD300,4),0)</f>
        <v/>
      </c>
      <c r="G300">
        <f>IFERROR(INDEX(PP_Grid[#Data],$DD300,5),0)</f>
        <v/>
      </c>
      <c r="H300">
        <f>IFERROR(INDEX(PP_Grid[#Data],$DD300,6),0)</f>
        <v/>
      </c>
      <c r="I300">
        <f>IFERROR(INDEX(PP_Grid[#Data],$DD300,7),0)</f>
        <v/>
      </c>
      <c r="J300">
        <f>IFERROR(INDEX(PP_Grid[#Data],$DD300,8),0)</f>
        <v/>
      </c>
      <c r="K300">
        <f>IFERROR(INDEX(PP_Grid[#Data],$DD300,9),0)</f>
        <v/>
      </c>
      <c r="L300">
        <f>IFERROR(INDEX(PP_Grid[#Data],$DD300,10),0)</f>
        <v/>
      </c>
      <c r="M300">
        <f>IFERROR(INDEX(PP_Grid[#Data],$DD300,11),0)</f>
        <v/>
      </c>
      <c r="N300">
        <f>IFERROR(INDEX(PP_Grid[#Data],$DD300,12),0)</f>
        <v/>
      </c>
      <c r="O300">
        <f>IFERROR(INDEX(PP_Grid[#Data],$DD300,13),0)</f>
        <v/>
      </c>
      <c r="P300">
        <f>IFERROR(INDEX(PP_Grid[#Data],$DD300,14),0)</f>
        <v/>
      </c>
      <c r="Q300">
        <f>IFERROR(INDEX(PP_Grid[#Data],$DD300,15),0)</f>
        <v/>
      </c>
      <c r="R300">
        <f>IFERROR(INDEX(PP_Grid[#Data],$DD300,16),0)</f>
        <v/>
      </c>
      <c r="S300">
        <f>IFERROR(INDEX(PP_Grid[#Data],$DD300,17),0)</f>
        <v/>
      </c>
      <c r="T300">
        <f>IFERROR(INDEX(PP_Grid[#Data],$DD300,18),0)</f>
        <v/>
      </c>
      <c r="U300">
        <f>IFERROR(INDEX(PP_Grid[#Data],$DD300,19),0)</f>
        <v/>
      </c>
      <c r="V300">
        <f>IFERROR(INDEX(PP_Grid[#Data],$DD300,20),0)</f>
        <v/>
      </c>
      <c r="W300">
        <f>IFERROR(INDEX(PP_Grid[#Data],$DD300,21),0)</f>
        <v/>
      </c>
      <c r="X300">
        <f>IFERROR(INDEX(PP_Grid[#Data],$DD300,22),0)</f>
        <v/>
      </c>
      <c r="Y300">
        <f>IFERROR(INDEX(PP_Grid[#Data],$DD300,23),0)</f>
        <v/>
      </c>
      <c r="Z300">
        <f>IFERROR(INDEX(PP_Grid[#Data],$DD300,24),0)</f>
        <v/>
      </c>
      <c r="AA300">
        <f>IFERROR(INDEX(PP_Grid[#Data],$DD300,25),0)</f>
        <v/>
      </c>
      <c r="AB300">
        <f>IFERROR(INDEX(PP_Grid[#Data],$DD300,26),0)</f>
        <v/>
      </c>
      <c r="AC300">
        <f>IFERROR(INDEX(PP_Grid[#Data],$DD300,27),0)</f>
        <v/>
      </c>
      <c r="AD300">
        <f>IFERROR(INDEX(PP_Grid[#Data],$DD300,28),0)</f>
        <v/>
      </c>
      <c r="AE300">
        <f>IFERROR(INDEX(PP_Grid[#Data],$DD300,29),0)</f>
        <v/>
      </c>
      <c r="AF300">
        <f>IFERROR(INDEX(PP_Grid[#Data],$DD300,30),0)</f>
        <v/>
      </c>
      <c r="AG300">
        <f>IFERROR(INDEX(PP_Grid[#Data],$DD300,31),0)</f>
        <v/>
      </c>
      <c r="AH300">
        <f>IFERROR(INDEX(PP_Grid[#Data],$DD300,32),0)</f>
        <v/>
      </c>
      <c r="AI300">
        <f>IFERROR(INDEX(PP_Grid[#Data],$DD300,33),0)</f>
        <v/>
      </c>
      <c r="AJ300">
        <f>IFERROR(INDEX(PP_Grid[#Data],$DD300,34),0)</f>
        <v/>
      </c>
      <c r="AK300">
        <f>IFERROR(INDEX(PP_Grid[#Data],$DD300,35),0)</f>
        <v/>
      </c>
      <c r="AL300">
        <f>IFERROR(INDEX(PP_Grid[#Data],$DD300,36),0)</f>
        <v/>
      </c>
      <c r="AM300">
        <f>IFERROR(INDEX(PP_Grid[#Data],$DD300,37),0)</f>
        <v/>
      </c>
      <c r="AN300">
        <f>IFERROR(INDEX(PP_Grid[#Data],$DD300,38),0)</f>
        <v/>
      </c>
      <c r="AO300">
        <f>IFERROR(INDEX(PP_Grid[#Data],$DD300,39),0)</f>
        <v/>
      </c>
      <c r="AP300">
        <f>IFERROR(INDEX(PP_Grid[#Data],$DD300,40),0)</f>
        <v/>
      </c>
      <c r="AQ300">
        <f>IFERROR(INDEX(PP_Grid[#Data],$DD300,41),0)</f>
        <v/>
      </c>
      <c r="AR300">
        <f>IFERROR(INDEX(PP_Grid[#Data],$DD300,42),0)</f>
        <v/>
      </c>
      <c r="AS300">
        <f>IFERROR(INDEX(PP_Grid[#Data],$DD300,43),0)</f>
        <v/>
      </c>
      <c r="AT300">
        <f>IFERROR(INDEX(PP_Grid[#Data],$DD300,44),0)</f>
        <v/>
      </c>
      <c r="AU300">
        <f>IFERROR(INDEX(PP_Grid[#Data],$DD300,45),0)</f>
        <v/>
      </c>
      <c r="AV300">
        <f>IFERROR(INDEX(PP_Grid[#Data],$DD300,46),0)</f>
        <v/>
      </c>
      <c r="AW300">
        <f>IFERROR(INDEX(PP_Grid[#Data],$DD300,47),0)</f>
        <v/>
      </c>
      <c r="AX300">
        <f>IFERROR(INDEX(PP_Grid[#Data],$DD300,48),0)</f>
        <v/>
      </c>
      <c r="AY300">
        <f>IFERROR(INDEX(PP_Grid[#Data],$DD300,49),0)</f>
        <v/>
      </c>
      <c r="AZ300">
        <f>IFERROR(INDEX(PP_Grid[#Data],$DD300,50),0)</f>
        <v/>
      </c>
      <c r="BA300">
        <f>IFERROR(INDEX(PP_Grid[#Data],$DD300,51),0)</f>
        <v/>
      </c>
      <c r="BB300">
        <f>IFERROR(INDEX(PP_Grid[#Data],$DD300,52),0)</f>
        <v/>
      </c>
      <c r="BC300">
        <f>IFERROR(INDEX(PP_Grid[#Data],$DD300,53),0)</f>
        <v/>
      </c>
      <c r="BD300">
        <f>IFERROR(INDEX(PP_Grid[#Data],$DD300,54),0)</f>
        <v/>
      </c>
      <c r="BE300">
        <f>IFERROR(INDEX(PP_Grid[#Data],$DD300,55),0)</f>
        <v/>
      </c>
      <c r="BF300">
        <f>IFERROR(INDEX(PP_Grid[#Data],$DD300,56),0)</f>
        <v/>
      </c>
      <c r="BG300">
        <f>IFERROR(INDEX(PP_Grid[#Data],$DD300,57),0)</f>
        <v/>
      </c>
      <c r="BH300">
        <f>IFERROR(INDEX(PP_Grid[#Data],$DD300,58),0)</f>
        <v/>
      </c>
      <c r="BI300">
        <f>IFERROR(INDEX(PP_Grid[#Data],$DD300,59),0)</f>
        <v/>
      </c>
      <c r="BJ300">
        <f>IFERROR(INDEX(PP_Grid[#Data],$DD300,60),0)</f>
        <v/>
      </c>
      <c r="BK300">
        <f>IFERROR(INDEX(PP_Grid[#Data],$DD300,61),0)</f>
        <v/>
      </c>
      <c r="BL300">
        <f>IFERROR(INDEX(PP_Grid[#Data],$DD300,62),0)</f>
        <v/>
      </c>
      <c r="BM300">
        <f>IFERROR(INDEX(PP_Grid[#Data],$DD300,63),0)</f>
        <v/>
      </c>
      <c r="BN300">
        <f>IFERROR(INDEX(PP_Grid[#Data],$DD300,64),0)</f>
        <v/>
      </c>
      <c r="BO300">
        <f>IFERROR(INDEX(PP_Grid[#Data],$DD300,65),0)</f>
        <v/>
      </c>
      <c r="BP300">
        <f>IFERROR(INDEX(PP_Grid[#Data],$DD300,66),0)</f>
        <v/>
      </c>
      <c r="BQ300">
        <f>IFERROR(INDEX(PP_Grid[#Data],$DD300,67),0)</f>
        <v/>
      </c>
      <c r="BR300">
        <f>IFERROR(INDEX(PP_Grid[#Data],$DD300,68),0)</f>
        <v/>
      </c>
      <c r="BS300">
        <f>IFERROR(INDEX(PP_Grid[#Data],$DD300,69),0)</f>
        <v/>
      </c>
      <c r="BT300">
        <f>IFERROR(INDEX(PP_Grid[#Data],$DD300,70),0)</f>
        <v/>
      </c>
      <c r="BU300">
        <f>IFERROR(INDEX(PP_Grid[#Data],$DD300,71),0)</f>
        <v/>
      </c>
      <c r="BV300">
        <f>IFERROR(INDEX(PP_Grid[#Data],$DD300,72),0)</f>
        <v/>
      </c>
      <c r="BW300">
        <f>IFERROR(INDEX(PP_Grid[#Data],$DD300,73),0)</f>
        <v/>
      </c>
      <c r="BX300">
        <f>IFERROR(INDEX(PP_Grid[#Data],$DD300,74),0)</f>
        <v/>
      </c>
      <c r="BY300">
        <f>IFERROR(INDEX(PP_Grid[#Data],$DD300,75),0)</f>
        <v/>
      </c>
      <c r="BZ300">
        <f>IFERROR(INDEX(PP_Grid[#Data],$DD300,76),0)</f>
        <v/>
      </c>
      <c r="CA300">
        <f>IFERROR(INDEX(PP_Grid[#Data],$DD300,77),0)</f>
        <v/>
      </c>
      <c r="CB300">
        <f>IFERROR(INDEX(PP_Grid[#Data],$DD300,78),0)</f>
        <v/>
      </c>
      <c r="CC300">
        <f>IFERROR(INDEX(PP_Grid[#Data],$DD300,79),0)</f>
        <v/>
      </c>
      <c r="CD300">
        <f>IFERROR(INDEX(PP_Grid[#Data],$DD300,80),0)</f>
        <v/>
      </c>
      <c r="CE300">
        <f>IFERROR(INDEX(PP_Grid[#Data],$DD300,81),0)</f>
        <v/>
      </c>
      <c r="CF300">
        <f>IFERROR(INDEX(PP_Grid[#Data],$DD300,82),0)</f>
        <v/>
      </c>
      <c r="CG300">
        <f>IFERROR(INDEX(PP_Grid[#Data],$DD300,83),0)</f>
        <v/>
      </c>
      <c r="CH300">
        <f>IFERROR(INDEX(PP_Grid[#Data],$DD300,84),0)</f>
        <v/>
      </c>
      <c r="CI300">
        <f>IFERROR(INDEX(PP_Grid[#Data],$DD300,85),0)</f>
        <v/>
      </c>
      <c r="CJ300">
        <f>IFERROR(INDEX(PP_Grid[#Data],$DD300,86),0)</f>
        <v/>
      </c>
      <c r="CK300">
        <f>IFERROR(INDEX(PP_Grid[#Data],$DD300,87),0)</f>
        <v/>
      </c>
      <c r="CL300">
        <f>IFERROR(INDEX(PP_Grid[#Data],$DD300,88),0)</f>
        <v/>
      </c>
      <c r="CM300">
        <f>IFERROR(INDEX(PP_Grid[#Data],$DD300,89),0)</f>
        <v/>
      </c>
      <c r="CN300">
        <f>IFERROR(INDEX(PP_Grid[#Data],$DD300,90),0)</f>
        <v/>
      </c>
      <c r="CO300">
        <f>IFERROR(INDEX(PP_Grid[#Data],$DD300,91),0)</f>
        <v/>
      </c>
      <c r="CP300">
        <f>IFERROR(INDEX(PP_Grid[#Data],$DD300,92),0)</f>
        <v/>
      </c>
      <c r="CQ300">
        <f>IFERROR(INDEX(PP_Grid[#Data],$DD300,93),0)</f>
        <v/>
      </c>
      <c r="CR300">
        <f>IFERROR(INDEX(PP_Grid[#Data],$DD300,94),0)</f>
        <v/>
      </c>
      <c r="CS300">
        <f>IFERROR(INDEX(PP_Grid[#Data],$DD300,95),0)</f>
        <v/>
      </c>
      <c r="CT300">
        <f>IFERROR(INDEX(PP_Grid[#Data],$DD300,96),0)</f>
        <v/>
      </c>
      <c r="CU300">
        <f>IFERROR(INDEX(PP_Grid[#Data],$DD300,97),0)</f>
        <v/>
      </c>
      <c r="CV300">
        <f>IFERROR(INDEX(PP_Grid[#Data],$DD300,98),0)</f>
        <v/>
      </c>
      <c r="CW300">
        <f>IFERROR(INDEX(PP_Grid[#Data],$DD300,99),0)</f>
        <v/>
      </c>
      <c r="CX300">
        <f>IFERROR(INDEX(PP_Grid[#Data],$DD300,100),0)</f>
        <v/>
      </c>
      <c r="CY300">
        <f>IFERROR(INDEX(PP_Grid[#Data],$DD300,101),0)</f>
        <v/>
      </c>
      <c r="CZ300">
        <f>IFERROR(INDEX(PP_Grid[#Data],$DD300,102),0)</f>
        <v/>
      </c>
      <c r="DA300">
        <f>IFERROR(INDEX(PP_Grid[#Data],$DD300,103),0)</f>
        <v/>
      </c>
      <c r="DB300">
        <f>IFERROR(INDEX(PP_Grid[#Data],$DD300,104),0)</f>
        <v/>
      </c>
      <c r="DC300">
        <f>IFERROR(INDEX(PP_Grid[#Data],$DD300,105),0)</f>
        <v/>
      </c>
      <c r="DD300" s="7">
        <f>IFERROR(MATCH($B300,PP_Grid[Intermediate],0),99999)</f>
        <v/>
      </c>
    </row>
    <row r="301">
      <c r="B301" t="inlineStr">
        <is>
          <t>使用量(kg)</t>
        </is>
      </c>
      <c r="C301">
        <f>SUMIFS(M_BOM[RM_Qty_Per_Batch],M_BOM[Intermediate],$B300,M_BOM[Part Name],$A219)</f>
        <v/>
      </c>
      <c r="D301">
        <f>$C301*D300</f>
        <v/>
      </c>
      <c r="E301">
        <f>$C301*E300</f>
        <v/>
      </c>
      <c r="F301">
        <f>$C301*F300</f>
        <v/>
      </c>
      <c r="G301">
        <f>$C301*G300</f>
        <v/>
      </c>
      <c r="H301">
        <f>$C301*H300</f>
        <v/>
      </c>
      <c r="I301">
        <f>$C301*I300</f>
        <v/>
      </c>
      <c r="J301">
        <f>$C301*J300</f>
        <v/>
      </c>
      <c r="K301">
        <f>$C301*K300</f>
        <v/>
      </c>
      <c r="L301">
        <f>$C301*L300</f>
        <v/>
      </c>
      <c r="M301">
        <f>$C301*M300</f>
        <v/>
      </c>
      <c r="N301">
        <f>$C301*N300</f>
        <v/>
      </c>
      <c r="O301">
        <f>$C301*O300</f>
        <v/>
      </c>
      <c r="P301">
        <f>$C301*P300</f>
        <v/>
      </c>
      <c r="Q301">
        <f>$C301*Q300</f>
        <v/>
      </c>
      <c r="R301">
        <f>$C301*R300</f>
        <v/>
      </c>
      <c r="S301">
        <f>$C301*S300</f>
        <v/>
      </c>
      <c r="T301">
        <f>$C301*T300</f>
        <v/>
      </c>
      <c r="U301">
        <f>$C301*U300</f>
        <v/>
      </c>
      <c r="V301">
        <f>$C301*V300</f>
        <v/>
      </c>
      <c r="W301">
        <f>$C301*W300</f>
        <v/>
      </c>
      <c r="X301">
        <f>$C301*X300</f>
        <v/>
      </c>
      <c r="Y301">
        <f>$C301*Y300</f>
        <v/>
      </c>
      <c r="Z301">
        <f>$C301*Z300</f>
        <v/>
      </c>
      <c r="AA301">
        <f>$C301*AA300</f>
        <v/>
      </c>
      <c r="AB301">
        <f>$C301*AB300</f>
        <v/>
      </c>
      <c r="AC301">
        <f>$C301*AC300</f>
        <v/>
      </c>
      <c r="AD301">
        <f>$C301*AD300</f>
        <v/>
      </c>
      <c r="AE301">
        <f>$C301*AE300</f>
        <v/>
      </c>
      <c r="AF301">
        <f>$C301*AF300</f>
        <v/>
      </c>
      <c r="AG301">
        <f>$C301*AG300</f>
        <v/>
      </c>
      <c r="AH301">
        <f>$C301*AH300</f>
        <v/>
      </c>
      <c r="AI301">
        <f>$C301*AI300</f>
        <v/>
      </c>
      <c r="AJ301">
        <f>$C301*AJ300</f>
        <v/>
      </c>
      <c r="AK301">
        <f>$C301*AK300</f>
        <v/>
      </c>
      <c r="AL301">
        <f>$C301*AL300</f>
        <v/>
      </c>
      <c r="AM301">
        <f>$C301*AM300</f>
        <v/>
      </c>
      <c r="AN301">
        <f>$C301*AN300</f>
        <v/>
      </c>
      <c r="AO301">
        <f>$C301*AO300</f>
        <v/>
      </c>
      <c r="AP301">
        <f>$C301*AP300</f>
        <v/>
      </c>
      <c r="AQ301">
        <f>$C301*AQ300</f>
        <v/>
      </c>
      <c r="AR301">
        <f>$C301*AR300</f>
        <v/>
      </c>
      <c r="AS301">
        <f>$C301*AS300</f>
        <v/>
      </c>
      <c r="AT301">
        <f>$C301*AT300</f>
        <v/>
      </c>
      <c r="AU301">
        <f>$C301*AU300</f>
        <v/>
      </c>
      <c r="AV301">
        <f>$C301*AV300</f>
        <v/>
      </c>
      <c r="AW301">
        <f>$C301*AW300</f>
        <v/>
      </c>
      <c r="AX301">
        <f>$C301*AX300</f>
        <v/>
      </c>
      <c r="AY301">
        <f>$C301*AY300</f>
        <v/>
      </c>
      <c r="AZ301">
        <f>$C301*AZ300</f>
        <v/>
      </c>
      <c r="BA301">
        <f>$C301*BA300</f>
        <v/>
      </c>
      <c r="BB301">
        <f>$C301*BB300</f>
        <v/>
      </c>
      <c r="BC301">
        <f>$C301*BC300</f>
        <v/>
      </c>
      <c r="BD301">
        <f>$C301*BD300</f>
        <v/>
      </c>
      <c r="BE301">
        <f>$C301*BE300</f>
        <v/>
      </c>
      <c r="BF301">
        <f>$C301*BF300</f>
        <v/>
      </c>
      <c r="BG301">
        <f>$C301*BG300</f>
        <v/>
      </c>
      <c r="BH301">
        <f>$C301*BH300</f>
        <v/>
      </c>
      <c r="BI301">
        <f>$C301*BI300</f>
        <v/>
      </c>
      <c r="BJ301">
        <f>$C301*BJ300</f>
        <v/>
      </c>
      <c r="BK301">
        <f>$C301*BK300</f>
        <v/>
      </c>
      <c r="BL301">
        <f>$C301*BL300</f>
        <v/>
      </c>
      <c r="BM301">
        <f>$C301*BM300</f>
        <v/>
      </c>
      <c r="BN301">
        <f>$C301*BN300</f>
        <v/>
      </c>
      <c r="BO301">
        <f>$C301*BO300</f>
        <v/>
      </c>
      <c r="BP301">
        <f>$C301*BP300</f>
        <v/>
      </c>
      <c r="BQ301">
        <f>$C301*BQ300</f>
        <v/>
      </c>
      <c r="BR301">
        <f>$C301*BR300</f>
        <v/>
      </c>
      <c r="BS301">
        <f>$C301*BS300</f>
        <v/>
      </c>
      <c r="BT301">
        <f>$C301*BT300</f>
        <v/>
      </c>
      <c r="BU301">
        <f>$C301*BU300</f>
        <v/>
      </c>
      <c r="BV301">
        <f>$C301*BV300</f>
        <v/>
      </c>
      <c r="BW301">
        <f>$C301*BW300</f>
        <v/>
      </c>
      <c r="BX301">
        <f>$C301*BX300</f>
        <v/>
      </c>
      <c r="BY301">
        <f>$C301*BY300</f>
        <v/>
      </c>
      <c r="BZ301">
        <f>$C301*BZ300</f>
        <v/>
      </c>
      <c r="CA301">
        <f>$C301*CA300</f>
        <v/>
      </c>
      <c r="CB301">
        <f>$C301*CB300</f>
        <v/>
      </c>
      <c r="CC301">
        <f>$C301*CC300</f>
        <v/>
      </c>
      <c r="CD301">
        <f>$C301*CD300</f>
        <v/>
      </c>
      <c r="CE301">
        <f>$C301*CE300</f>
        <v/>
      </c>
      <c r="CF301">
        <f>$C301*CF300</f>
        <v/>
      </c>
      <c r="CG301">
        <f>$C301*CG300</f>
        <v/>
      </c>
      <c r="CH301">
        <f>$C301*CH300</f>
        <v/>
      </c>
      <c r="CI301">
        <f>$C301*CI300</f>
        <v/>
      </c>
      <c r="CJ301">
        <f>$C301*CJ300</f>
        <v/>
      </c>
      <c r="CK301">
        <f>$C301*CK300</f>
        <v/>
      </c>
      <c r="CL301">
        <f>$C301*CL300</f>
        <v/>
      </c>
      <c r="CM301">
        <f>$C301*CM300</f>
        <v/>
      </c>
      <c r="CN301">
        <f>$C301*CN300</f>
        <v/>
      </c>
      <c r="CO301">
        <f>$C301*CO300</f>
        <v/>
      </c>
      <c r="CP301">
        <f>$C301*CP300</f>
        <v/>
      </c>
      <c r="CQ301">
        <f>$C301*CQ300</f>
        <v/>
      </c>
      <c r="CR301">
        <f>$C301*CR300</f>
        <v/>
      </c>
      <c r="CS301">
        <f>$C301*CS300</f>
        <v/>
      </c>
      <c r="CT301">
        <f>$C301*CT300</f>
        <v/>
      </c>
      <c r="CU301">
        <f>$C301*CU300</f>
        <v/>
      </c>
      <c r="CV301">
        <f>$C301*CV300</f>
        <v/>
      </c>
      <c r="CW301">
        <f>$C301*CW300</f>
        <v/>
      </c>
      <c r="CX301">
        <f>$C301*CX300</f>
        <v/>
      </c>
      <c r="CY301">
        <f>$C301*CY300</f>
        <v/>
      </c>
      <c r="CZ301">
        <f>$C301*CZ300</f>
        <v/>
      </c>
      <c r="DA301">
        <f>$C301*DA300</f>
        <v/>
      </c>
      <c r="DB301">
        <f>$C301*DB300</f>
        <v/>
      </c>
      <c r="DC301">
        <f>$C301*DC300</f>
        <v/>
      </c>
    </row>
    <row r="302">
      <c r="B302" t="inlineStr">
        <is>
          <t>VSP-600</t>
        </is>
      </c>
      <c r="C302" t="inlineStr">
        <is>
          <t>No. of batches</t>
        </is>
      </c>
      <c r="D302">
        <f>IFERROR(INDEX(PP_Grid[#Data],$DD302,2),0)</f>
        <v/>
      </c>
      <c r="E302">
        <f>IFERROR(INDEX(PP_Grid[#Data],$DD302,3),0)</f>
        <v/>
      </c>
      <c r="F302">
        <f>IFERROR(INDEX(PP_Grid[#Data],$DD302,4),0)</f>
        <v/>
      </c>
      <c r="G302">
        <f>IFERROR(INDEX(PP_Grid[#Data],$DD302,5),0)</f>
        <v/>
      </c>
      <c r="H302">
        <f>IFERROR(INDEX(PP_Grid[#Data],$DD302,6),0)</f>
        <v/>
      </c>
      <c r="I302">
        <f>IFERROR(INDEX(PP_Grid[#Data],$DD302,7),0)</f>
        <v/>
      </c>
      <c r="J302">
        <f>IFERROR(INDEX(PP_Grid[#Data],$DD302,8),0)</f>
        <v/>
      </c>
      <c r="K302">
        <f>IFERROR(INDEX(PP_Grid[#Data],$DD302,9),0)</f>
        <v/>
      </c>
      <c r="L302">
        <f>IFERROR(INDEX(PP_Grid[#Data],$DD302,10),0)</f>
        <v/>
      </c>
      <c r="M302">
        <f>IFERROR(INDEX(PP_Grid[#Data],$DD302,11),0)</f>
        <v/>
      </c>
      <c r="N302">
        <f>IFERROR(INDEX(PP_Grid[#Data],$DD302,12),0)</f>
        <v/>
      </c>
      <c r="O302">
        <f>IFERROR(INDEX(PP_Grid[#Data],$DD302,13),0)</f>
        <v/>
      </c>
      <c r="P302">
        <f>IFERROR(INDEX(PP_Grid[#Data],$DD302,14),0)</f>
        <v/>
      </c>
      <c r="Q302">
        <f>IFERROR(INDEX(PP_Grid[#Data],$DD302,15),0)</f>
        <v/>
      </c>
      <c r="R302">
        <f>IFERROR(INDEX(PP_Grid[#Data],$DD302,16),0)</f>
        <v/>
      </c>
      <c r="S302">
        <f>IFERROR(INDEX(PP_Grid[#Data],$DD302,17),0)</f>
        <v/>
      </c>
      <c r="T302">
        <f>IFERROR(INDEX(PP_Grid[#Data],$DD302,18),0)</f>
        <v/>
      </c>
      <c r="U302">
        <f>IFERROR(INDEX(PP_Grid[#Data],$DD302,19),0)</f>
        <v/>
      </c>
      <c r="V302">
        <f>IFERROR(INDEX(PP_Grid[#Data],$DD302,20),0)</f>
        <v/>
      </c>
      <c r="W302">
        <f>IFERROR(INDEX(PP_Grid[#Data],$DD302,21),0)</f>
        <v/>
      </c>
      <c r="X302">
        <f>IFERROR(INDEX(PP_Grid[#Data],$DD302,22),0)</f>
        <v/>
      </c>
      <c r="Y302">
        <f>IFERROR(INDEX(PP_Grid[#Data],$DD302,23),0)</f>
        <v/>
      </c>
      <c r="Z302">
        <f>IFERROR(INDEX(PP_Grid[#Data],$DD302,24),0)</f>
        <v/>
      </c>
      <c r="AA302">
        <f>IFERROR(INDEX(PP_Grid[#Data],$DD302,25),0)</f>
        <v/>
      </c>
      <c r="AB302">
        <f>IFERROR(INDEX(PP_Grid[#Data],$DD302,26),0)</f>
        <v/>
      </c>
      <c r="AC302">
        <f>IFERROR(INDEX(PP_Grid[#Data],$DD302,27),0)</f>
        <v/>
      </c>
      <c r="AD302">
        <f>IFERROR(INDEX(PP_Grid[#Data],$DD302,28),0)</f>
        <v/>
      </c>
      <c r="AE302">
        <f>IFERROR(INDEX(PP_Grid[#Data],$DD302,29),0)</f>
        <v/>
      </c>
      <c r="AF302">
        <f>IFERROR(INDEX(PP_Grid[#Data],$DD302,30),0)</f>
        <v/>
      </c>
      <c r="AG302">
        <f>IFERROR(INDEX(PP_Grid[#Data],$DD302,31),0)</f>
        <v/>
      </c>
      <c r="AH302">
        <f>IFERROR(INDEX(PP_Grid[#Data],$DD302,32),0)</f>
        <v/>
      </c>
      <c r="AI302">
        <f>IFERROR(INDEX(PP_Grid[#Data],$DD302,33),0)</f>
        <v/>
      </c>
      <c r="AJ302">
        <f>IFERROR(INDEX(PP_Grid[#Data],$DD302,34),0)</f>
        <v/>
      </c>
      <c r="AK302">
        <f>IFERROR(INDEX(PP_Grid[#Data],$DD302,35),0)</f>
        <v/>
      </c>
      <c r="AL302">
        <f>IFERROR(INDEX(PP_Grid[#Data],$DD302,36),0)</f>
        <v/>
      </c>
      <c r="AM302">
        <f>IFERROR(INDEX(PP_Grid[#Data],$DD302,37),0)</f>
        <v/>
      </c>
      <c r="AN302">
        <f>IFERROR(INDEX(PP_Grid[#Data],$DD302,38),0)</f>
        <v/>
      </c>
      <c r="AO302">
        <f>IFERROR(INDEX(PP_Grid[#Data],$DD302,39),0)</f>
        <v/>
      </c>
      <c r="AP302">
        <f>IFERROR(INDEX(PP_Grid[#Data],$DD302,40),0)</f>
        <v/>
      </c>
      <c r="AQ302">
        <f>IFERROR(INDEX(PP_Grid[#Data],$DD302,41),0)</f>
        <v/>
      </c>
      <c r="AR302">
        <f>IFERROR(INDEX(PP_Grid[#Data],$DD302,42),0)</f>
        <v/>
      </c>
      <c r="AS302">
        <f>IFERROR(INDEX(PP_Grid[#Data],$DD302,43),0)</f>
        <v/>
      </c>
      <c r="AT302">
        <f>IFERROR(INDEX(PP_Grid[#Data],$DD302,44),0)</f>
        <v/>
      </c>
      <c r="AU302">
        <f>IFERROR(INDEX(PP_Grid[#Data],$DD302,45),0)</f>
        <v/>
      </c>
      <c r="AV302">
        <f>IFERROR(INDEX(PP_Grid[#Data],$DD302,46),0)</f>
        <v/>
      </c>
      <c r="AW302">
        <f>IFERROR(INDEX(PP_Grid[#Data],$DD302,47),0)</f>
        <v/>
      </c>
      <c r="AX302">
        <f>IFERROR(INDEX(PP_Grid[#Data],$DD302,48),0)</f>
        <v/>
      </c>
      <c r="AY302">
        <f>IFERROR(INDEX(PP_Grid[#Data],$DD302,49),0)</f>
        <v/>
      </c>
      <c r="AZ302">
        <f>IFERROR(INDEX(PP_Grid[#Data],$DD302,50),0)</f>
        <v/>
      </c>
      <c r="BA302">
        <f>IFERROR(INDEX(PP_Grid[#Data],$DD302,51),0)</f>
        <v/>
      </c>
      <c r="BB302">
        <f>IFERROR(INDEX(PP_Grid[#Data],$DD302,52),0)</f>
        <v/>
      </c>
      <c r="BC302">
        <f>IFERROR(INDEX(PP_Grid[#Data],$DD302,53),0)</f>
        <v/>
      </c>
      <c r="BD302">
        <f>IFERROR(INDEX(PP_Grid[#Data],$DD302,54),0)</f>
        <v/>
      </c>
      <c r="BE302">
        <f>IFERROR(INDEX(PP_Grid[#Data],$DD302,55),0)</f>
        <v/>
      </c>
      <c r="BF302">
        <f>IFERROR(INDEX(PP_Grid[#Data],$DD302,56),0)</f>
        <v/>
      </c>
      <c r="BG302">
        <f>IFERROR(INDEX(PP_Grid[#Data],$DD302,57),0)</f>
        <v/>
      </c>
      <c r="BH302">
        <f>IFERROR(INDEX(PP_Grid[#Data],$DD302,58),0)</f>
        <v/>
      </c>
      <c r="BI302">
        <f>IFERROR(INDEX(PP_Grid[#Data],$DD302,59),0)</f>
        <v/>
      </c>
      <c r="BJ302">
        <f>IFERROR(INDEX(PP_Grid[#Data],$DD302,60),0)</f>
        <v/>
      </c>
      <c r="BK302">
        <f>IFERROR(INDEX(PP_Grid[#Data],$DD302,61),0)</f>
        <v/>
      </c>
      <c r="BL302">
        <f>IFERROR(INDEX(PP_Grid[#Data],$DD302,62),0)</f>
        <v/>
      </c>
      <c r="BM302">
        <f>IFERROR(INDEX(PP_Grid[#Data],$DD302,63),0)</f>
        <v/>
      </c>
      <c r="BN302">
        <f>IFERROR(INDEX(PP_Grid[#Data],$DD302,64),0)</f>
        <v/>
      </c>
      <c r="BO302">
        <f>IFERROR(INDEX(PP_Grid[#Data],$DD302,65),0)</f>
        <v/>
      </c>
      <c r="BP302">
        <f>IFERROR(INDEX(PP_Grid[#Data],$DD302,66),0)</f>
        <v/>
      </c>
      <c r="BQ302">
        <f>IFERROR(INDEX(PP_Grid[#Data],$DD302,67),0)</f>
        <v/>
      </c>
      <c r="BR302">
        <f>IFERROR(INDEX(PP_Grid[#Data],$DD302,68),0)</f>
        <v/>
      </c>
      <c r="BS302">
        <f>IFERROR(INDEX(PP_Grid[#Data],$DD302,69),0)</f>
        <v/>
      </c>
      <c r="BT302">
        <f>IFERROR(INDEX(PP_Grid[#Data],$DD302,70),0)</f>
        <v/>
      </c>
      <c r="BU302">
        <f>IFERROR(INDEX(PP_Grid[#Data],$DD302,71),0)</f>
        <v/>
      </c>
      <c r="BV302">
        <f>IFERROR(INDEX(PP_Grid[#Data],$DD302,72),0)</f>
        <v/>
      </c>
      <c r="BW302">
        <f>IFERROR(INDEX(PP_Grid[#Data],$DD302,73),0)</f>
        <v/>
      </c>
      <c r="BX302">
        <f>IFERROR(INDEX(PP_Grid[#Data],$DD302,74),0)</f>
        <v/>
      </c>
      <c r="BY302">
        <f>IFERROR(INDEX(PP_Grid[#Data],$DD302,75),0)</f>
        <v/>
      </c>
      <c r="BZ302">
        <f>IFERROR(INDEX(PP_Grid[#Data],$DD302,76),0)</f>
        <v/>
      </c>
      <c r="CA302">
        <f>IFERROR(INDEX(PP_Grid[#Data],$DD302,77),0)</f>
        <v/>
      </c>
      <c r="CB302">
        <f>IFERROR(INDEX(PP_Grid[#Data],$DD302,78),0)</f>
        <v/>
      </c>
      <c r="CC302">
        <f>IFERROR(INDEX(PP_Grid[#Data],$DD302,79),0)</f>
        <v/>
      </c>
      <c r="CD302">
        <f>IFERROR(INDEX(PP_Grid[#Data],$DD302,80),0)</f>
        <v/>
      </c>
      <c r="CE302">
        <f>IFERROR(INDEX(PP_Grid[#Data],$DD302,81),0)</f>
        <v/>
      </c>
      <c r="CF302">
        <f>IFERROR(INDEX(PP_Grid[#Data],$DD302,82),0)</f>
        <v/>
      </c>
      <c r="CG302">
        <f>IFERROR(INDEX(PP_Grid[#Data],$DD302,83),0)</f>
        <v/>
      </c>
      <c r="CH302">
        <f>IFERROR(INDEX(PP_Grid[#Data],$DD302,84),0)</f>
        <v/>
      </c>
      <c r="CI302">
        <f>IFERROR(INDEX(PP_Grid[#Data],$DD302,85),0)</f>
        <v/>
      </c>
      <c r="CJ302">
        <f>IFERROR(INDEX(PP_Grid[#Data],$DD302,86),0)</f>
        <v/>
      </c>
      <c r="CK302">
        <f>IFERROR(INDEX(PP_Grid[#Data],$DD302,87),0)</f>
        <v/>
      </c>
      <c r="CL302">
        <f>IFERROR(INDEX(PP_Grid[#Data],$DD302,88),0)</f>
        <v/>
      </c>
      <c r="CM302">
        <f>IFERROR(INDEX(PP_Grid[#Data],$DD302,89),0)</f>
        <v/>
      </c>
      <c r="CN302">
        <f>IFERROR(INDEX(PP_Grid[#Data],$DD302,90),0)</f>
        <v/>
      </c>
      <c r="CO302">
        <f>IFERROR(INDEX(PP_Grid[#Data],$DD302,91),0)</f>
        <v/>
      </c>
      <c r="CP302">
        <f>IFERROR(INDEX(PP_Grid[#Data],$DD302,92),0)</f>
        <v/>
      </c>
      <c r="CQ302">
        <f>IFERROR(INDEX(PP_Grid[#Data],$DD302,93),0)</f>
        <v/>
      </c>
      <c r="CR302">
        <f>IFERROR(INDEX(PP_Grid[#Data],$DD302,94),0)</f>
        <v/>
      </c>
      <c r="CS302">
        <f>IFERROR(INDEX(PP_Grid[#Data],$DD302,95),0)</f>
        <v/>
      </c>
      <c r="CT302">
        <f>IFERROR(INDEX(PP_Grid[#Data],$DD302,96),0)</f>
        <v/>
      </c>
      <c r="CU302">
        <f>IFERROR(INDEX(PP_Grid[#Data],$DD302,97),0)</f>
        <v/>
      </c>
      <c r="CV302">
        <f>IFERROR(INDEX(PP_Grid[#Data],$DD302,98),0)</f>
        <v/>
      </c>
      <c r="CW302">
        <f>IFERROR(INDEX(PP_Grid[#Data],$DD302,99),0)</f>
        <v/>
      </c>
      <c r="CX302">
        <f>IFERROR(INDEX(PP_Grid[#Data],$DD302,100),0)</f>
        <v/>
      </c>
      <c r="CY302">
        <f>IFERROR(INDEX(PP_Grid[#Data],$DD302,101),0)</f>
        <v/>
      </c>
      <c r="CZ302">
        <f>IFERROR(INDEX(PP_Grid[#Data],$DD302,102),0)</f>
        <v/>
      </c>
      <c r="DA302">
        <f>IFERROR(INDEX(PP_Grid[#Data],$DD302,103),0)</f>
        <v/>
      </c>
      <c r="DB302">
        <f>IFERROR(INDEX(PP_Grid[#Data],$DD302,104),0)</f>
        <v/>
      </c>
      <c r="DC302">
        <f>IFERROR(INDEX(PP_Grid[#Data],$DD302,105),0)</f>
        <v/>
      </c>
      <c r="DD302" s="7">
        <f>IFERROR(MATCH($B302,PP_Grid[Intermediate],0),99999)</f>
        <v/>
      </c>
    </row>
    <row r="303">
      <c r="B303" t="inlineStr">
        <is>
          <t>使用量(kg)</t>
        </is>
      </c>
      <c r="C303">
        <f>SUMIFS(M_BOM[RM_Qty_Per_Batch],M_BOM[Intermediate],$B302,M_BOM[Part Name],$A219)</f>
        <v/>
      </c>
      <c r="D303">
        <f>$C303*D302</f>
        <v/>
      </c>
      <c r="E303">
        <f>$C303*E302</f>
        <v/>
      </c>
      <c r="F303">
        <f>$C303*F302</f>
        <v/>
      </c>
      <c r="G303">
        <f>$C303*G302</f>
        <v/>
      </c>
      <c r="H303">
        <f>$C303*H302</f>
        <v/>
      </c>
      <c r="I303">
        <f>$C303*I302</f>
        <v/>
      </c>
      <c r="J303">
        <f>$C303*J302</f>
        <v/>
      </c>
      <c r="K303">
        <f>$C303*K302</f>
        <v/>
      </c>
      <c r="L303">
        <f>$C303*L302</f>
        <v/>
      </c>
      <c r="M303">
        <f>$C303*M302</f>
        <v/>
      </c>
      <c r="N303">
        <f>$C303*N302</f>
        <v/>
      </c>
      <c r="O303">
        <f>$C303*O302</f>
        <v/>
      </c>
      <c r="P303">
        <f>$C303*P302</f>
        <v/>
      </c>
      <c r="Q303">
        <f>$C303*Q302</f>
        <v/>
      </c>
      <c r="R303">
        <f>$C303*R302</f>
        <v/>
      </c>
      <c r="S303">
        <f>$C303*S302</f>
        <v/>
      </c>
      <c r="T303">
        <f>$C303*T302</f>
        <v/>
      </c>
      <c r="U303">
        <f>$C303*U302</f>
        <v/>
      </c>
      <c r="V303">
        <f>$C303*V302</f>
        <v/>
      </c>
      <c r="W303">
        <f>$C303*W302</f>
        <v/>
      </c>
      <c r="X303">
        <f>$C303*X302</f>
        <v/>
      </c>
      <c r="Y303">
        <f>$C303*Y302</f>
        <v/>
      </c>
      <c r="Z303">
        <f>$C303*Z302</f>
        <v/>
      </c>
      <c r="AA303">
        <f>$C303*AA302</f>
        <v/>
      </c>
      <c r="AB303">
        <f>$C303*AB302</f>
        <v/>
      </c>
      <c r="AC303">
        <f>$C303*AC302</f>
        <v/>
      </c>
      <c r="AD303">
        <f>$C303*AD302</f>
        <v/>
      </c>
      <c r="AE303">
        <f>$C303*AE302</f>
        <v/>
      </c>
      <c r="AF303">
        <f>$C303*AF302</f>
        <v/>
      </c>
      <c r="AG303">
        <f>$C303*AG302</f>
        <v/>
      </c>
      <c r="AH303">
        <f>$C303*AH302</f>
        <v/>
      </c>
      <c r="AI303">
        <f>$C303*AI302</f>
        <v/>
      </c>
      <c r="AJ303">
        <f>$C303*AJ302</f>
        <v/>
      </c>
      <c r="AK303">
        <f>$C303*AK302</f>
        <v/>
      </c>
      <c r="AL303">
        <f>$C303*AL302</f>
        <v/>
      </c>
      <c r="AM303">
        <f>$C303*AM302</f>
        <v/>
      </c>
      <c r="AN303">
        <f>$C303*AN302</f>
        <v/>
      </c>
      <c r="AO303">
        <f>$C303*AO302</f>
        <v/>
      </c>
      <c r="AP303">
        <f>$C303*AP302</f>
        <v/>
      </c>
      <c r="AQ303">
        <f>$C303*AQ302</f>
        <v/>
      </c>
      <c r="AR303">
        <f>$C303*AR302</f>
        <v/>
      </c>
      <c r="AS303">
        <f>$C303*AS302</f>
        <v/>
      </c>
      <c r="AT303">
        <f>$C303*AT302</f>
        <v/>
      </c>
      <c r="AU303">
        <f>$C303*AU302</f>
        <v/>
      </c>
      <c r="AV303">
        <f>$C303*AV302</f>
        <v/>
      </c>
      <c r="AW303">
        <f>$C303*AW302</f>
        <v/>
      </c>
      <c r="AX303">
        <f>$C303*AX302</f>
        <v/>
      </c>
      <c r="AY303">
        <f>$C303*AY302</f>
        <v/>
      </c>
      <c r="AZ303">
        <f>$C303*AZ302</f>
        <v/>
      </c>
      <c r="BA303">
        <f>$C303*BA302</f>
        <v/>
      </c>
      <c r="BB303">
        <f>$C303*BB302</f>
        <v/>
      </c>
      <c r="BC303">
        <f>$C303*BC302</f>
        <v/>
      </c>
      <c r="BD303">
        <f>$C303*BD302</f>
        <v/>
      </c>
      <c r="BE303">
        <f>$C303*BE302</f>
        <v/>
      </c>
      <c r="BF303">
        <f>$C303*BF302</f>
        <v/>
      </c>
      <c r="BG303">
        <f>$C303*BG302</f>
        <v/>
      </c>
      <c r="BH303">
        <f>$C303*BH302</f>
        <v/>
      </c>
      <c r="BI303">
        <f>$C303*BI302</f>
        <v/>
      </c>
      <c r="BJ303">
        <f>$C303*BJ302</f>
        <v/>
      </c>
      <c r="BK303">
        <f>$C303*BK302</f>
        <v/>
      </c>
      <c r="BL303">
        <f>$C303*BL302</f>
        <v/>
      </c>
      <c r="BM303">
        <f>$C303*BM302</f>
        <v/>
      </c>
      <c r="BN303">
        <f>$C303*BN302</f>
        <v/>
      </c>
      <c r="BO303">
        <f>$C303*BO302</f>
        <v/>
      </c>
      <c r="BP303">
        <f>$C303*BP302</f>
        <v/>
      </c>
      <c r="BQ303">
        <f>$C303*BQ302</f>
        <v/>
      </c>
      <c r="BR303">
        <f>$C303*BR302</f>
        <v/>
      </c>
      <c r="BS303">
        <f>$C303*BS302</f>
        <v/>
      </c>
      <c r="BT303">
        <f>$C303*BT302</f>
        <v/>
      </c>
      <c r="BU303">
        <f>$C303*BU302</f>
        <v/>
      </c>
      <c r="BV303">
        <f>$C303*BV302</f>
        <v/>
      </c>
      <c r="BW303">
        <f>$C303*BW302</f>
        <v/>
      </c>
      <c r="BX303">
        <f>$C303*BX302</f>
        <v/>
      </c>
      <c r="BY303">
        <f>$C303*BY302</f>
        <v/>
      </c>
      <c r="BZ303">
        <f>$C303*BZ302</f>
        <v/>
      </c>
      <c r="CA303">
        <f>$C303*CA302</f>
        <v/>
      </c>
      <c r="CB303">
        <f>$C303*CB302</f>
        <v/>
      </c>
      <c r="CC303">
        <f>$C303*CC302</f>
        <v/>
      </c>
      <c r="CD303">
        <f>$C303*CD302</f>
        <v/>
      </c>
      <c r="CE303">
        <f>$C303*CE302</f>
        <v/>
      </c>
      <c r="CF303">
        <f>$C303*CF302</f>
        <v/>
      </c>
      <c r="CG303">
        <f>$C303*CG302</f>
        <v/>
      </c>
      <c r="CH303">
        <f>$C303*CH302</f>
        <v/>
      </c>
      <c r="CI303">
        <f>$C303*CI302</f>
        <v/>
      </c>
      <c r="CJ303">
        <f>$C303*CJ302</f>
        <v/>
      </c>
      <c r="CK303">
        <f>$C303*CK302</f>
        <v/>
      </c>
      <c r="CL303">
        <f>$C303*CL302</f>
        <v/>
      </c>
      <c r="CM303">
        <f>$C303*CM302</f>
        <v/>
      </c>
      <c r="CN303">
        <f>$C303*CN302</f>
        <v/>
      </c>
      <c r="CO303">
        <f>$C303*CO302</f>
        <v/>
      </c>
      <c r="CP303">
        <f>$C303*CP302</f>
        <v/>
      </c>
      <c r="CQ303">
        <f>$C303*CQ302</f>
        <v/>
      </c>
      <c r="CR303">
        <f>$C303*CR302</f>
        <v/>
      </c>
      <c r="CS303">
        <f>$C303*CS302</f>
        <v/>
      </c>
      <c r="CT303">
        <f>$C303*CT302</f>
        <v/>
      </c>
      <c r="CU303">
        <f>$C303*CU302</f>
        <v/>
      </c>
      <c r="CV303">
        <f>$C303*CV302</f>
        <v/>
      </c>
      <c r="CW303">
        <f>$C303*CW302</f>
        <v/>
      </c>
      <c r="CX303">
        <f>$C303*CX302</f>
        <v/>
      </c>
      <c r="CY303">
        <f>$C303*CY302</f>
        <v/>
      </c>
      <c r="CZ303">
        <f>$C303*CZ302</f>
        <v/>
      </c>
      <c r="DA303">
        <f>$C303*DA302</f>
        <v/>
      </c>
      <c r="DB303">
        <f>$C303*DB302</f>
        <v/>
      </c>
      <c r="DC303">
        <f>$C303*DC302</f>
        <v/>
      </c>
    </row>
    <row r="304">
      <c r="B304" t="inlineStr">
        <is>
          <t>VSP-602</t>
        </is>
      </c>
      <c r="C304" t="inlineStr">
        <is>
          <t>No. of batches</t>
        </is>
      </c>
      <c r="D304">
        <f>IFERROR(INDEX(PP_Grid[#Data],$DD304,2),0)</f>
        <v/>
      </c>
      <c r="E304">
        <f>IFERROR(INDEX(PP_Grid[#Data],$DD304,3),0)</f>
        <v/>
      </c>
      <c r="F304">
        <f>IFERROR(INDEX(PP_Grid[#Data],$DD304,4),0)</f>
        <v/>
      </c>
      <c r="G304">
        <f>IFERROR(INDEX(PP_Grid[#Data],$DD304,5),0)</f>
        <v/>
      </c>
      <c r="H304">
        <f>IFERROR(INDEX(PP_Grid[#Data],$DD304,6),0)</f>
        <v/>
      </c>
      <c r="I304">
        <f>IFERROR(INDEX(PP_Grid[#Data],$DD304,7),0)</f>
        <v/>
      </c>
      <c r="J304">
        <f>IFERROR(INDEX(PP_Grid[#Data],$DD304,8),0)</f>
        <v/>
      </c>
      <c r="K304">
        <f>IFERROR(INDEX(PP_Grid[#Data],$DD304,9),0)</f>
        <v/>
      </c>
      <c r="L304">
        <f>IFERROR(INDEX(PP_Grid[#Data],$DD304,10),0)</f>
        <v/>
      </c>
      <c r="M304">
        <f>IFERROR(INDEX(PP_Grid[#Data],$DD304,11),0)</f>
        <v/>
      </c>
      <c r="N304">
        <f>IFERROR(INDEX(PP_Grid[#Data],$DD304,12),0)</f>
        <v/>
      </c>
      <c r="O304">
        <f>IFERROR(INDEX(PP_Grid[#Data],$DD304,13),0)</f>
        <v/>
      </c>
      <c r="P304">
        <f>IFERROR(INDEX(PP_Grid[#Data],$DD304,14),0)</f>
        <v/>
      </c>
      <c r="Q304">
        <f>IFERROR(INDEX(PP_Grid[#Data],$DD304,15),0)</f>
        <v/>
      </c>
      <c r="R304">
        <f>IFERROR(INDEX(PP_Grid[#Data],$DD304,16),0)</f>
        <v/>
      </c>
      <c r="S304">
        <f>IFERROR(INDEX(PP_Grid[#Data],$DD304,17),0)</f>
        <v/>
      </c>
      <c r="T304">
        <f>IFERROR(INDEX(PP_Grid[#Data],$DD304,18),0)</f>
        <v/>
      </c>
      <c r="U304">
        <f>IFERROR(INDEX(PP_Grid[#Data],$DD304,19),0)</f>
        <v/>
      </c>
      <c r="V304">
        <f>IFERROR(INDEX(PP_Grid[#Data],$DD304,20),0)</f>
        <v/>
      </c>
      <c r="W304">
        <f>IFERROR(INDEX(PP_Grid[#Data],$DD304,21),0)</f>
        <v/>
      </c>
      <c r="X304">
        <f>IFERROR(INDEX(PP_Grid[#Data],$DD304,22),0)</f>
        <v/>
      </c>
      <c r="Y304">
        <f>IFERROR(INDEX(PP_Grid[#Data],$DD304,23),0)</f>
        <v/>
      </c>
      <c r="Z304">
        <f>IFERROR(INDEX(PP_Grid[#Data],$DD304,24),0)</f>
        <v/>
      </c>
      <c r="AA304">
        <f>IFERROR(INDEX(PP_Grid[#Data],$DD304,25),0)</f>
        <v/>
      </c>
      <c r="AB304">
        <f>IFERROR(INDEX(PP_Grid[#Data],$DD304,26),0)</f>
        <v/>
      </c>
      <c r="AC304">
        <f>IFERROR(INDEX(PP_Grid[#Data],$DD304,27),0)</f>
        <v/>
      </c>
      <c r="AD304">
        <f>IFERROR(INDEX(PP_Grid[#Data],$DD304,28),0)</f>
        <v/>
      </c>
      <c r="AE304">
        <f>IFERROR(INDEX(PP_Grid[#Data],$DD304,29),0)</f>
        <v/>
      </c>
      <c r="AF304">
        <f>IFERROR(INDEX(PP_Grid[#Data],$DD304,30),0)</f>
        <v/>
      </c>
      <c r="AG304">
        <f>IFERROR(INDEX(PP_Grid[#Data],$DD304,31),0)</f>
        <v/>
      </c>
      <c r="AH304">
        <f>IFERROR(INDEX(PP_Grid[#Data],$DD304,32),0)</f>
        <v/>
      </c>
      <c r="AI304">
        <f>IFERROR(INDEX(PP_Grid[#Data],$DD304,33),0)</f>
        <v/>
      </c>
      <c r="AJ304">
        <f>IFERROR(INDEX(PP_Grid[#Data],$DD304,34),0)</f>
        <v/>
      </c>
      <c r="AK304">
        <f>IFERROR(INDEX(PP_Grid[#Data],$DD304,35),0)</f>
        <v/>
      </c>
      <c r="AL304">
        <f>IFERROR(INDEX(PP_Grid[#Data],$DD304,36),0)</f>
        <v/>
      </c>
      <c r="AM304">
        <f>IFERROR(INDEX(PP_Grid[#Data],$DD304,37),0)</f>
        <v/>
      </c>
      <c r="AN304">
        <f>IFERROR(INDEX(PP_Grid[#Data],$DD304,38),0)</f>
        <v/>
      </c>
      <c r="AO304">
        <f>IFERROR(INDEX(PP_Grid[#Data],$DD304,39),0)</f>
        <v/>
      </c>
      <c r="AP304">
        <f>IFERROR(INDEX(PP_Grid[#Data],$DD304,40),0)</f>
        <v/>
      </c>
      <c r="AQ304">
        <f>IFERROR(INDEX(PP_Grid[#Data],$DD304,41),0)</f>
        <v/>
      </c>
      <c r="AR304">
        <f>IFERROR(INDEX(PP_Grid[#Data],$DD304,42),0)</f>
        <v/>
      </c>
      <c r="AS304">
        <f>IFERROR(INDEX(PP_Grid[#Data],$DD304,43),0)</f>
        <v/>
      </c>
      <c r="AT304">
        <f>IFERROR(INDEX(PP_Grid[#Data],$DD304,44),0)</f>
        <v/>
      </c>
      <c r="AU304">
        <f>IFERROR(INDEX(PP_Grid[#Data],$DD304,45),0)</f>
        <v/>
      </c>
      <c r="AV304">
        <f>IFERROR(INDEX(PP_Grid[#Data],$DD304,46),0)</f>
        <v/>
      </c>
      <c r="AW304">
        <f>IFERROR(INDEX(PP_Grid[#Data],$DD304,47),0)</f>
        <v/>
      </c>
      <c r="AX304">
        <f>IFERROR(INDEX(PP_Grid[#Data],$DD304,48),0)</f>
        <v/>
      </c>
      <c r="AY304">
        <f>IFERROR(INDEX(PP_Grid[#Data],$DD304,49),0)</f>
        <v/>
      </c>
      <c r="AZ304">
        <f>IFERROR(INDEX(PP_Grid[#Data],$DD304,50),0)</f>
        <v/>
      </c>
      <c r="BA304">
        <f>IFERROR(INDEX(PP_Grid[#Data],$DD304,51),0)</f>
        <v/>
      </c>
      <c r="BB304">
        <f>IFERROR(INDEX(PP_Grid[#Data],$DD304,52),0)</f>
        <v/>
      </c>
      <c r="BC304">
        <f>IFERROR(INDEX(PP_Grid[#Data],$DD304,53),0)</f>
        <v/>
      </c>
      <c r="BD304">
        <f>IFERROR(INDEX(PP_Grid[#Data],$DD304,54),0)</f>
        <v/>
      </c>
      <c r="BE304">
        <f>IFERROR(INDEX(PP_Grid[#Data],$DD304,55),0)</f>
        <v/>
      </c>
      <c r="BF304">
        <f>IFERROR(INDEX(PP_Grid[#Data],$DD304,56),0)</f>
        <v/>
      </c>
      <c r="BG304">
        <f>IFERROR(INDEX(PP_Grid[#Data],$DD304,57),0)</f>
        <v/>
      </c>
      <c r="BH304">
        <f>IFERROR(INDEX(PP_Grid[#Data],$DD304,58),0)</f>
        <v/>
      </c>
      <c r="BI304">
        <f>IFERROR(INDEX(PP_Grid[#Data],$DD304,59),0)</f>
        <v/>
      </c>
      <c r="BJ304">
        <f>IFERROR(INDEX(PP_Grid[#Data],$DD304,60),0)</f>
        <v/>
      </c>
      <c r="BK304">
        <f>IFERROR(INDEX(PP_Grid[#Data],$DD304,61),0)</f>
        <v/>
      </c>
      <c r="BL304">
        <f>IFERROR(INDEX(PP_Grid[#Data],$DD304,62),0)</f>
        <v/>
      </c>
      <c r="BM304">
        <f>IFERROR(INDEX(PP_Grid[#Data],$DD304,63),0)</f>
        <v/>
      </c>
      <c r="BN304">
        <f>IFERROR(INDEX(PP_Grid[#Data],$DD304,64),0)</f>
        <v/>
      </c>
      <c r="BO304">
        <f>IFERROR(INDEX(PP_Grid[#Data],$DD304,65),0)</f>
        <v/>
      </c>
      <c r="BP304">
        <f>IFERROR(INDEX(PP_Grid[#Data],$DD304,66),0)</f>
        <v/>
      </c>
      <c r="BQ304">
        <f>IFERROR(INDEX(PP_Grid[#Data],$DD304,67),0)</f>
        <v/>
      </c>
      <c r="BR304">
        <f>IFERROR(INDEX(PP_Grid[#Data],$DD304,68),0)</f>
        <v/>
      </c>
      <c r="BS304">
        <f>IFERROR(INDEX(PP_Grid[#Data],$DD304,69),0)</f>
        <v/>
      </c>
      <c r="BT304">
        <f>IFERROR(INDEX(PP_Grid[#Data],$DD304,70),0)</f>
        <v/>
      </c>
      <c r="BU304">
        <f>IFERROR(INDEX(PP_Grid[#Data],$DD304,71),0)</f>
        <v/>
      </c>
      <c r="BV304">
        <f>IFERROR(INDEX(PP_Grid[#Data],$DD304,72),0)</f>
        <v/>
      </c>
      <c r="BW304">
        <f>IFERROR(INDEX(PP_Grid[#Data],$DD304,73),0)</f>
        <v/>
      </c>
      <c r="BX304">
        <f>IFERROR(INDEX(PP_Grid[#Data],$DD304,74),0)</f>
        <v/>
      </c>
      <c r="BY304">
        <f>IFERROR(INDEX(PP_Grid[#Data],$DD304,75),0)</f>
        <v/>
      </c>
      <c r="BZ304">
        <f>IFERROR(INDEX(PP_Grid[#Data],$DD304,76),0)</f>
        <v/>
      </c>
      <c r="CA304">
        <f>IFERROR(INDEX(PP_Grid[#Data],$DD304,77),0)</f>
        <v/>
      </c>
      <c r="CB304">
        <f>IFERROR(INDEX(PP_Grid[#Data],$DD304,78),0)</f>
        <v/>
      </c>
      <c r="CC304">
        <f>IFERROR(INDEX(PP_Grid[#Data],$DD304,79),0)</f>
        <v/>
      </c>
      <c r="CD304">
        <f>IFERROR(INDEX(PP_Grid[#Data],$DD304,80),0)</f>
        <v/>
      </c>
      <c r="CE304">
        <f>IFERROR(INDEX(PP_Grid[#Data],$DD304,81),0)</f>
        <v/>
      </c>
      <c r="CF304">
        <f>IFERROR(INDEX(PP_Grid[#Data],$DD304,82),0)</f>
        <v/>
      </c>
      <c r="CG304">
        <f>IFERROR(INDEX(PP_Grid[#Data],$DD304,83),0)</f>
        <v/>
      </c>
      <c r="CH304">
        <f>IFERROR(INDEX(PP_Grid[#Data],$DD304,84),0)</f>
        <v/>
      </c>
      <c r="CI304">
        <f>IFERROR(INDEX(PP_Grid[#Data],$DD304,85),0)</f>
        <v/>
      </c>
      <c r="CJ304">
        <f>IFERROR(INDEX(PP_Grid[#Data],$DD304,86),0)</f>
        <v/>
      </c>
      <c r="CK304">
        <f>IFERROR(INDEX(PP_Grid[#Data],$DD304,87),0)</f>
        <v/>
      </c>
      <c r="CL304">
        <f>IFERROR(INDEX(PP_Grid[#Data],$DD304,88),0)</f>
        <v/>
      </c>
      <c r="CM304">
        <f>IFERROR(INDEX(PP_Grid[#Data],$DD304,89),0)</f>
        <v/>
      </c>
      <c r="CN304">
        <f>IFERROR(INDEX(PP_Grid[#Data],$DD304,90),0)</f>
        <v/>
      </c>
      <c r="CO304">
        <f>IFERROR(INDEX(PP_Grid[#Data],$DD304,91),0)</f>
        <v/>
      </c>
      <c r="CP304">
        <f>IFERROR(INDEX(PP_Grid[#Data],$DD304,92),0)</f>
        <v/>
      </c>
      <c r="CQ304">
        <f>IFERROR(INDEX(PP_Grid[#Data],$DD304,93),0)</f>
        <v/>
      </c>
      <c r="CR304">
        <f>IFERROR(INDEX(PP_Grid[#Data],$DD304,94),0)</f>
        <v/>
      </c>
      <c r="CS304">
        <f>IFERROR(INDEX(PP_Grid[#Data],$DD304,95),0)</f>
        <v/>
      </c>
      <c r="CT304">
        <f>IFERROR(INDEX(PP_Grid[#Data],$DD304,96),0)</f>
        <v/>
      </c>
      <c r="CU304">
        <f>IFERROR(INDEX(PP_Grid[#Data],$DD304,97),0)</f>
        <v/>
      </c>
      <c r="CV304">
        <f>IFERROR(INDEX(PP_Grid[#Data],$DD304,98),0)</f>
        <v/>
      </c>
      <c r="CW304">
        <f>IFERROR(INDEX(PP_Grid[#Data],$DD304,99),0)</f>
        <v/>
      </c>
      <c r="CX304">
        <f>IFERROR(INDEX(PP_Grid[#Data],$DD304,100),0)</f>
        <v/>
      </c>
      <c r="CY304">
        <f>IFERROR(INDEX(PP_Grid[#Data],$DD304,101),0)</f>
        <v/>
      </c>
      <c r="CZ304">
        <f>IFERROR(INDEX(PP_Grid[#Data],$DD304,102),0)</f>
        <v/>
      </c>
      <c r="DA304">
        <f>IFERROR(INDEX(PP_Grid[#Data],$DD304,103),0)</f>
        <v/>
      </c>
      <c r="DB304">
        <f>IFERROR(INDEX(PP_Grid[#Data],$DD304,104),0)</f>
        <v/>
      </c>
      <c r="DC304">
        <f>IFERROR(INDEX(PP_Grid[#Data],$DD304,105),0)</f>
        <v/>
      </c>
      <c r="DD304" s="7">
        <f>IFERROR(MATCH($B304,PP_Grid[Intermediate],0),99999)</f>
        <v/>
      </c>
    </row>
    <row r="305">
      <c r="B305" t="inlineStr">
        <is>
          <t>使用量(kg)</t>
        </is>
      </c>
      <c r="C305">
        <f>SUMIFS(M_BOM[RM_Qty_Per_Batch],M_BOM[Intermediate],$B304,M_BOM[Part Name],$A219)</f>
        <v/>
      </c>
      <c r="D305">
        <f>$C305*D304</f>
        <v/>
      </c>
      <c r="E305">
        <f>$C305*E304</f>
        <v/>
      </c>
      <c r="F305">
        <f>$C305*F304</f>
        <v/>
      </c>
      <c r="G305">
        <f>$C305*G304</f>
        <v/>
      </c>
      <c r="H305">
        <f>$C305*H304</f>
        <v/>
      </c>
      <c r="I305">
        <f>$C305*I304</f>
        <v/>
      </c>
      <c r="J305">
        <f>$C305*J304</f>
        <v/>
      </c>
      <c r="K305">
        <f>$C305*K304</f>
        <v/>
      </c>
      <c r="L305">
        <f>$C305*L304</f>
        <v/>
      </c>
      <c r="M305">
        <f>$C305*M304</f>
        <v/>
      </c>
      <c r="N305">
        <f>$C305*N304</f>
        <v/>
      </c>
      <c r="O305">
        <f>$C305*O304</f>
        <v/>
      </c>
      <c r="P305">
        <f>$C305*P304</f>
        <v/>
      </c>
      <c r="Q305">
        <f>$C305*Q304</f>
        <v/>
      </c>
      <c r="R305">
        <f>$C305*R304</f>
        <v/>
      </c>
      <c r="S305">
        <f>$C305*S304</f>
        <v/>
      </c>
      <c r="T305">
        <f>$C305*T304</f>
        <v/>
      </c>
      <c r="U305">
        <f>$C305*U304</f>
        <v/>
      </c>
      <c r="V305">
        <f>$C305*V304</f>
        <v/>
      </c>
      <c r="W305">
        <f>$C305*W304</f>
        <v/>
      </c>
      <c r="X305">
        <f>$C305*X304</f>
        <v/>
      </c>
      <c r="Y305">
        <f>$C305*Y304</f>
        <v/>
      </c>
      <c r="Z305">
        <f>$C305*Z304</f>
        <v/>
      </c>
      <c r="AA305">
        <f>$C305*AA304</f>
        <v/>
      </c>
      <c r="AB305">
        <f>$C305*AB304</f>
        <v/>
      </c>
      <c r="AC305">
        <f>$C305*AC304</f>
        <v/>
      </c>
      <c r="AD305">
        <f>$C305*AD304</f>
        <v/>
      </c>
      <c r="AE305">
        <f>$C305*AE304</f>
        <v/>
      </c>
      <c r="AF305">
        <f>$C305*AF304</f>
        <v/>
      </c>
      <c r="AG305">
        <f>$C305*AG304</f>
        <v/>
      </c>
      <c r="AH305">
        <f>$C305*AH304</f>
        <v/>
      </c>
      <c r="AI305">
        <f>$C305*AI304</f>
        <v/>
      </c>
      <c r="AJ305">
        <f>$C305*AJ304</f>
        <v/>
      </c>
      <c r="AK305">
        <f>$C305*AK304</f>
        <v/>
      </c>
      <c r="AL305">
        <f>$C305*AL304</f>
        <v/>
      </c>
      <c r="AM305">
        <f>$C305*AM304</f>
        <v/>
      </c>
      <c r="AN305">
        <f>$C305*AN304</f>
        <v/>
      </c>
      <c r="AO305">
        <f>$C305*AO304</f>
        <v/>
      </c>
      <c r="AP305">
        <f>$C305*AP304</f>
        <v/>
      </c>
      <c r="AQ305">
        <f>$C305*AQ304</f>
        <v/>
      </c>
      <c r="AR305">
        <f>$C305*AR304</f>
        <v/>
      </c>
      <c r="AS305">
        <f>$C305*AS304</f>
        <v/>
      </c>
      <c r="AT305">
        <f>$C305*AT304</f>
        <v/>
      </c>
      <c r="AU305">
        <f>$C305*AU304</f>
        <v/>
      </c>
      <c r="AV305">
        <f>$C305*AV304</f>
        <v/>
      </c>
      <c r="AW305">
        <f>$C305*AW304</f>
        <v/>
      </c>
      <c r="AX305">
        <f>$C305*AX304</f>
        <v/>
      </c>
      <c r="AY305">
        <f>$C305*AY304</f>
        <v/>
      </c>
      <c r="AZ305">
        <f>$C305*AZ304</f>
        <v/>
      </c>
      <c r="BA305">
        <f>$C305*BA304</f>
        <v/>
      </c>
      <c r="BB305">
        <f>$C305*BB304</f>
        <v/>
      </c>
      <c r="BC305">
        <f>$C305*BC304</f>
        <v/>
      </c>
      <c r="BD305">
        <f>$C305*BD304</f>
        <v/>
      </c>
      <c r="BE305">
        <f>$C305*BE304</f>
        <v/>
      </c>
      <c r="BF305">
        <f>$C305*BF304</f>
        <v/>
      </c>
      <c r="BG305">
        <f>$C305*BG304</f>
        <v/>
      </c>
      <c r="BH305">
        <f>$C305*BH304</f>
        <v/>
      </c>
      <c r="BI305">
        <f>$C305*BI304</f>
        <v/>
      </c>
      <c r="BJ305">
        <f>$C305*BJ304</f>
        <v/>
      </c>
      <c r="BK305">
        <f>$C305*BK304</f>
        <v/>
      </c>
      <c r="BL305">
        <f>$C305*BL304</f>
        <v/>
      </c>
      <c r="BM305">
        <f>$C305*BM304</f>
        <v/>
      </c>
      <c r="BN305">
        <f>$C305*BN304</f>
        <v/>
      </c>
      <c r="BO305">
        <f>$C305*BO304</f>
        <v/>
      </c>
      <c r="BP305">
        <f>$C305*BP304</f>
        <v/>
      </c>
      <c r="BQ305">
        <f>$C305*BQ304</f>
        <v/>
      </c>
      <c r="BR305">
        <f>$C305*BR304</f>
        <v/>
      </c>
      <c r="BS305">
        <f>$C305*BS304</f>
        <v/>
      </c>
      <c r="BT305">
        <f>$C305*BT304</f>
        <v/>
      </c>
      <c r="BU305">
        <f>$C305*BU304</f>
        <v/>
      </c>
      <c r="BV305">
        <f>$C305*BV304</f>
        <v/>
      </c>
      <c r="BW305">
        <f>$C305*BW304</f>
        <v/>
      </c>
      <c r="BX305">
        <f>$C305*BX304</f>
        <v/>
      </c>
      <c r="BY305">
        <f>$C305*BY304</f>
        <v/>
      </c>
      <c r="BZ305">
        <f>$C305*BZ304</f>
        <v/>
      </c>
      <c r="CA305">
        <f>$C305*CA304</f>
        <v/>
      </c>
      <c r="CB305">
        <f>$C305*CB304</f>
        <v/>
      </c>
      <c r="CC305">
        <f>$C305*CC304</f>
        <v/>
      </c>
      <c r="CD305">
        <f>$C305*CD304</f>
        <v/>
      </c>
      <c r="CE305">
        <f>$C305*CE304</f>
        <v/>
      </c>
      <c r="CF305">
        <f>$C305*CF304</f>
        <v/>
      </c>
      <c r="CG305">
        <f>$C305*CG304</f>
        <v/>
      </c>
      <c r="CH305">
        <f>$C305*CH304</f>
        <v/>
      </c>
      <c r="CI305">
        <f>$C305*CI304</f>
        <v/>
      </c>
      <c r="CJ305">
        <f>$C305*CJ304</f>
        <v/>
      </c>
      <c r="CK305">
        <f>$C305*CK304</f>
        <v/>
      </c>
      <c r="CL305">
        <f>$C305*CL304</f>
        <v/>
      </c>
      <c r="CM305">
        <f>$C305*CM304</f>
        <v/>
      </c>
      <c r="CN305">
        <f>$C305*CN304</f>
        <v/>
      </c>
      <c r="CO305">
        <f>$C305*CO304</f>
        <v/>
      </c>
      <c r="CP305">
        <f>$C305*CP304</f>
        <v/>
      </c>
      <c r="CQ305">
        <f>$C305*CQ304</f>
        <v/>
      </c>
      <c r="CR305">
        <f>$C305*CR304</f>
        <v/>
      </c>
      <c r="CS305">
        <f>$C305*CS304</f>
        <v/>
      </c>
      <c r="CT305">
        <f>$C305*CT304</f>
        <v/>
      </c>
      <c r="CU305">
        <f>$C305*CU304</f>
        <v/>
      </c>
      <c r="CV305">
        <f>$C305*CV304</f>
        <v/>
      </c>
      <c r="CW305">
        <f>$C305*CW304</f>
        <v/>
      </c>
      <c r="CX305">
        <f>$C305*CX304</f>
        <v/>
      </c>
      <c r="CY305">
        <f>$C305*CY304</f>
        <v/>
      </c>
      <c r="CZ305">
        <f>$C305*CZ304</f>
        <v/>
      </c>
      <c r="DA305">
        <f>$C305*DA304</f>
        <v/>
      </c>
      <c r="DB305">
        <f>$C305*DB304</f>
        <v/>
      </c>
      <c r="DC305">
        <f>$C305*DC304</f>
        <v/>
      </c>
    </row>
    <row r="306">
      <c r="B306" t="inlineStr">
        <is>
          <t>VSP-603</t>
        </is>
      </c>
      <c r="C306" t="inlineStr">
        <is>
          <t>No. of batches</t>
        </is>
      </c>
      <c r="D306">
        <f>IFERROR(INDEX(PP_Grid[#Data],$DD306,2),0)</f>
        <v/>
      </c>
      <c r="E306">
        <f>IFERROR(INDEX(PP_Grid[#Data],$DD306,3),0)</f>
        <v/>
      </c>
      <c r="F306">
        <f>IFERROR(INDEX(PP_Grid[#Data],$DD306,4),0)</f>
        <v/>
      </c>
      <c r="G306">
        <f>IFERROR(INDEX(PP_Grid[#Data],$DD306,5),0)</f>
        <v/>
      </c>
      <c r="H306">
        <f>IFERROR(INDEX(PP_Grid[#Data],$DD306,6),0)</f>
        <v/>
      </c>
      <c r="I306">
        <f>IFERROR(INDEX(PP_Grid[#Data],$DD306,7),0)</f>
        <v/>
      </c>
      <c r="J306">
        <f>IFERROR(INDEX(PP_Grid[#Data],$DD306,8),0)</f>
        <v/>
      </c>
      <c r="K306">
        <f>IFERROR(INDEX(PP_Grid[#Data],$DD306,9),0)</f>
        <v/>
      </c>
      <c r="L306">
        <f>IFERROR(INDEX(PP_Grid[#Data],$DD306,10),0)</f>
        <v/>
      </c>
      <c r="M306">
        <f>IFERROR(INDEX(PP_Grid[#Data],$DD306,11),0)</f>
        <v/>
      </c>
      <c r="N306">
        <f>IFERROR(INDEX(PP_Grid[#Data],$DD306,12),0)</f>
        <v/>
      </c>
      <c r="O306">
        <f>IFERROR(INDEX(PP_Grid[#Data],$DD306,13),0)</f>
        <v/>
      </c>
      <c r="P306">
        <f>IFERROR(INDEX(PP_Grid[#Data],$DD306,14),0)</f>
        <v/>
      </c>
      <c r="Q306">
        <f>IFERROR(INDEX(PP_Grid[#Data],$DD306,15),0)</f>
        <v/>
      </c>
      <c r="R306">
        <f>IFERROR(INDEX(PP_Grid[#Data],$DD306,16),0)</f>
        <v/>
      </c>
      <c r="S306">
        <f>IFERROR(INDEX(PP_Grid[#Data],$DD306,17),0)</f>
        <v/>
      </c>
      <c r="T306">
        <f>IFERROR(INDEX(PP_Grid[#Data],$DD306,18),0)</f>
        <v/>
      </c>
      <c r="U306">
        <f>IFERROR(INDEX(PP_Grid[#Data],$DD306,19),0)</f>
        <v/>
      </c>
      <c r="V306">
        <f>IFERROR(INDEX(PP_Grid[#Data],$DD306,20),0)</f>
        <v/>
      </c>
      <c r="W306">
        <f>IFERROR(INDEX(PP_Grid[#Data],$DD306,21),0)</f>
        <v/>
      </c>
      <c r="X306">
        <f>IFERROR(INDEX(PP_Grid[#Data],$DD306,22),0)</f>
        <v/>
      </c>
      <c r="Y306">
        <f>IFERROR(INDEX(PP_Grid[#Data],$DD306,23),0)</f>
        <v/>
      </c>
      <c r="Z306">
        <f>IFERROR(INDEX(PP_Grid[#Data],$DD306,24),0)</f>
        <v/>
      </c>
      <c r="AA306">
        <f>IFERROR(INDEX(PP_Grid[#Data],$DD306,25),0)</f>
        <v/>
      </c>
      <c r="AB306">
        <f>IFERROR(INDEX(PP_Grid[#Data],$DD306,26),0)</f>
        <v/>
      </c>
      <c r="AC306">
        <f>IFERROR(INDEX(PP_Grid[#Data],$DD306,27),0)</f>
        <v/>
      </c>
      <c r="AD306">
        <f>IFERROR(INDEX(PP_Grid[#Data],$DD306,28),0)</f>
        <v/>
      </c>
      <c r="AE306">
        <f>IFERROR(INDEX(PP_Grid[#Data],$DD306,29),0)</f>
        <v/>
      </c>
      <c r="AF306">
        <f>IFERROR(INDEX(PP_Grid[#Data],$DD306,30),0)</f>
        <v/>
      </c>
      <c r="AG306">
        <f>IFERROR(INDEX(PP_Grid[#Data],$DD306,31),0)</f>
        <v/>
      </c>
      <c r="AH306">
        <f>IFERROR(INDEX(PP_Grid[#Data],$DD306,32),0)</f>
        <v/>
      </c>
      <c r="AI306">
        <f>IFERROR(INDEX(PP_Grid[#Data],$DD306,33),0)</f>
        <v/>
      </c>
      <c r="AJ306">
        <f>IFERROR(INDEX(PP_Grid[#Data],$DD306,34),0)</f>
        <v/>
      </c>
      <c r="AK306">
        <f>IFERROR(INDEX(PP_Grid[#Data],$DD306,35),0)</f>
        <v/>
      </c>
      <c r="AL306">
        <f>IFERROR(INDEX(PP_Grid[#Data],$DD306,36),0)</f>
        <v/>
      </c>
      <c r="AM306">
        <f>IFERROR(INDEX(PP_Grid[#Data],$DD306,37),0)</f>
        <v/>
      </c>
      <c r="AN306">
        <f>IFERROR(INDEX(PP_Grid[#Data],$DD306,38),0)</f>
        <v/>
      </c>
      <c r="AO306">
        <f>IFERROR(INDEX(PP_Grid[#Data],$DD306,39),0)</f>
        <v/>
      </c>
      <c r="AP306">
        <f>IFERROR(INDEX(PP_Grid[#Data],$DD306,40),0)</f>
        <v/>
      </c>
      <c r="AQ306">
        <f>IFERROR(INDEX(PP_Grid[#Data],$DD306,41),0)</f>
        <v/>
      </c>
      <c r="AR306">
        <f>IFERROR(INDEX(PP_Grid[#Data],$DD306,42),0)</f>
        <v/>
      </c>
      <c r="AS306">
        <f>IFERROR(INDEX(PP_Grid[#Data],$DD306,43),0)</f>
        <v/>
      </c>
      <c r="AT306">
        <f>IFERROR(INDEX(PP_Grid[#Data],$DD306,44),0)</f>
        <v/>
      </c>
      <c r="AU306">
        <f>IFERROR(INDEX(PP_Grid[#Data],$DD306,45),0)</f>
        <v/>
      </c>
      <c r="AV306">
        <f>IFERROR(INDEX(PP_Grid[#Data],$DD306,46),0)</f>
        <v/>
      </c>
      <c r="AW306">
        <f>IFERROR(INDEX(PP_Grid[#Data],$DD306,47),0)</f>
        <v/>
      </c>
      <c r="AX306">
        <f>IFERROR(INDEX(PP_Grid[#Data],$DD306,48),0)</f>
        <v/>
      </c>
      <c r="AY306">
        <f>IFERROR(INDEX(PP_Grid[#Data],$DD306,49),0)</f>
        <v/>
      </c>
      <c r="AZ306">
        <f>IFERROR(INDEX(PP_Grid[#Data],$DD306,50),0)</f>
        <v/>
      </c>
      <c r="BA306">
        <f>IFERROR(INDEX(PP_Grid[#Data],$DD306,51),0)</f>
        <v/>
      </c>
      <c r="BB306">
        <f>IFERROR(INDEX(PP_Grid[#Data],$DD306,52),0)</f>
        <v/>
      </c>
      <c r="BC306">
        <f>IFERROR(INDEX(PP_Grid[#Data],$DD306,53),0)</f>
        <v/>
      </c>
      <c r="BD306">
        <f>IFERROR(INDEX(PP_Grid[#Data],$DD306,54),0)</f>
        <v/>
      </c>
      <c r="BE306">
        <f>IFERROR(INDEX(PP_Grid[#Data],$DD306,55),0)</f>
        <v/>
      </c>
      <c r="BF306">
        <f>IFERROR(INDEX(PP_Grid[#Data],$DD306,56),0)</f>
        <v/>
      </c>
      <c r="BG306">
        <f>IFERROR(INDEX(PP_Grid[#Data],$DD306,57),0)</f>
        <v/>
      </c>
      <c r="BH306">
        <f>IFERROR(INDEX(PP_Grid[#Data],$DD306,58),0)</f>
        <v/>
      </c>
      <c r="BI306">
        <f>IFERROR(INDEX(PP_Grid[#Data],$DD306,59),0)</f>
        <v/>
      </c>
      <c r="BJ306">
        <f>IFERROR(INDEX(PP_Grid[#Data],$DD306,60),0)</f>
        <v/>
      </c>
      <c r="BK306">
        <f>IFERROR(INDEX(PP_Grid[#Data],$DD306,61),0)</f>
        <v/>
      </c>
      <c r="BL306">
        <f>IFERROR(INDEX(PP_Grid[#Data],$DD306,62),0)</f>
        <v/>
      </c>
      <c r="BM306">
        <f>IFERROR(INDEX(PP_Grid[#Data],$DD306,63),0)</f>
        <v/>
      </c>
      <c r="BN306">
        <f>IFERROR(INDEX(PP_Grid[#Data],$DD306,64),0)</f>
        <v/>
      </c>
      <c r="BO306">
        <f>IFERROR(INDEX(PP_Grid[#Data],$DD306,65),0)</f>
        <v/>
      </c>
      <c r="BP306">
        <f>IFERROR(INDEX(PP_Grid[#Data],$DD306,66),0)</f>
        <v/>
      </c>
      <c r="BQ306">
        <f>IFERROR(INDEX(PP_Grid[#Data],$DD306,67),0)</f>
        <v/>
      </c>
      <c r="BR306">
        <f>IFERROR(INDEX(PP_Grid[#Data],$DD306,68),0)</f>
        <v/>
      </c>
      <c r="BS306">
        <f>IFERROR(INDEX(PP_Grid[#Data],$DD306,69),0)</f>
        <v/>
      </c>
      <c r="BT306">
        <f>IFERROR(INDEX(PP_Grid[#Data],$DD306,70),0)</f>
        <v/>
      </c>
      <c r="BU306">
        <f>IFERROR(INDEX(PP_Grid[#Data],$DD306,71),0)</f>
        <v/>
      </c>
      <c r="BV306">
        <f>IFERROR(INDEX(PP_Grid[#Data],$DD306,72),0)</f>
        <v/>
      </c>
      <c r="BW306">
        <f>IFERROR(INDEX(PP_Grid[#Data],$DD306,73),0)</f>
        <v/>
      </c>
      <c r="BX306">
        <f>IFERROR(INDEX(PP_Grid[#Data],$DD306,74),0)</f>
        <v/>
      </c>
      <c r="BY306">
        <f>IFERROR(INDEX(PP_Grid[#Data],$DD306,75),0)</f>
        <v/>
      </c>
      <c r="BZ306">
        <f>IFERROR(INDEX(PP_Grid[#Data],$DD306,76),0)</f>
        <v/>
      </c>
      <c r="CA306">
        <f>IFERROR(INDEX(PP_Grid[#Data],$DD306,77),0)</f>
        <v/>
      </c>
      <c r="CB306">
        <f>IFERROR(INDEX(PP_Grid[#Data],$DD306,78),0)</f>
        <v/>
      </c>
      <c r="CC306">
        <f>IFERROR(INDEX(PP_Grid[#Data],$DD306,79),0)</f>
        <v/>
      </c>
      <c r="CD306">
        <f>IFERROR(INDEX(PP_Grid[#Data],$DD306,80),0)</f>
        <v/>
      </c>
      <c r="CE306">
        <f>IFERROR(INDEX(PP_Grid[#Data],$DD306,81),0)</f>
        <v/>
      </c>
      <c r="CF306">
        <f>IFERROR(INDEX(PP_Grid[#Data],$DD306,82),0)</f>
        <v/>
      </c>
      <c r="CG306">
        <f>IFERROR(INDEX(PP_Grid[#Data],$DD306,83),0)</f>
        <v/>
      </c>
      <c r="CH306">
        <f>IFERROR(INDEX(PP_Grid[#Data],$DD306,84),0)</f>
        <v/>
      </c>
      <c r="CI306">
        <f>IFERROR(INDEX(PP_Grid[#Data],$DD306,85),0)</f>
        <v/>
      </c>
      <c r="CJ306">
        <f>IFERROR(INDEX(PP_Grid[#Data],$DD306,86),0)</f>
        <v/>
      </c>
      <c r="CK306">
        <f>IFERROR(INDEX(PP_Grid[#Data],$DD306,87),0)</f>
        <v/>
      </c>
      <c r="CL306">
        <f>IFERROR(INDEX(PP_Grid[#Data],$DD306,88),0)</f>
        <v/>
      </c>
      <c r="CM306">
        <f>IFERROR(INDEX(PP_Grid[#Data],$DD306,89),0)</f>
        <v/>
      </c>
      <c r="CN306">
        <f>IFERROR(INDEX(PP_Grid[#Data],$DD306,90),0)</f>
        <v/>
      </c>
      <c r="CO306">
        <f>IFERROR(INDEX(PP_Grid[#Data],$DD306,91),0)</f>
        <v/>
      </c>
      <c r="CP306">
        <f>IFERROR(INDEX(PP_Grid[#Data],$DD306,92),0)</f>
        <v/>
      </c>
      <c r="CQ306">
        <f>IFERROR(INDEX(PP_Grid[#Data],$DD306,93),0)</f>
        <v/>
      </c>
      <c r="CR306">
        <f>IFERROR(INDEX(PP_Grid[#Data],$DD306,94),0)</f>
        <v/>
      </c>
      <c r="CS306">
        <f>IFERROR(INDEX(PP_Grid[#Data],$DD306,95),0)</f>
        <v/>
      </c>
      <c r="CT306">
        <f>IFERROR(INDEX(PP_Grid[#Data],$DD306,96),0)</f>
        <v/>
      </c>
      <c r="CU306">
        <f>IFERROR(INDEX(PP_Grid[#Data],$DD306,97),0)</f>
        <v/>
      </c>
      <c r="CV306">
        <f>IFERROR(INDEX(PP_Grid[#Data],$DD306,98),0)</f>
        <v/>
      </c>
      <c r="CW306">
        <f>IFERROR(INDEX(PP_Grid[#Data],$DD306,99),0)</f>
        <v/>
      </c>
      <c r="CX306">
        <f>IFERROR(INDEX(PP_Grid[#Data],$DD306,100),0)</f>
        <v/>
      </c>
      <c r="CY306">
        <f>IFERROR(INDEX(PP_Grid[#Data],$DD306,101),0)</f>
        <v/>
      </c>
      <c r="CZ306">
        <f>IFERROR(INDEX(PP_Grid[#Data],$DD306,102),0)</f>
        <v/>
      </c>
      <c r="DA306">
        <f>IFERROR(INDEX(PP_Grid[#Data],$DD306,103),0)</f>
        <v/>
      </c>
      <c r="DB306">
        <f>IFERROR(INDEX(PP_Grid[#Data],$DD306,104),0)</f>
        <v/>
      </c>
      <c r="DC306">
        <f>IFERROR(INDEX(PP_Grid[#Data],$DD306,105),0)</f>
        <v/>
      </c>
      <c r="DD306" s="7">
        <f>IFERROR(MATCH($B306,PP_Grid[Intermediate],0),99999)</f>
        <v/>
      </c>
    </row>
    <row r="307">
      <c r="B307" t="inlineStr">
        <is>
          <t>使用量(kg)</t>
        </is>
      </c>
      <c r="C307">
        <f>SUMIFS(M_BOM[RM_Qty_Per_Batch],M_BOM[Intermediate],$B306,M_BOM[Part Name],$A219)</f>
        <v/>
      </c>
      <c r="D307">
        <f>$C307*D306</f>
        <v/>
      </c>
      <c r="E307">
        <f>$C307*E306</f>
        <v/>
      </c>
      <c r="F307">
        <f>$C307*F306</f>
        <v/>
      </c>
      <c r="G307">
        <f>$C307*G306</f>
        <v/>
      </c>
      <c r="H307">
        <f>$C307*H306</f>
        <v/>
      </c>
      <c r="I307">
        <f>$C307*I306</f>
        <v/>
      </c>
      <c r="J307">
        <f>$C307*J306</f>
        <v/>
      </c>
      <c r="K307">
        <f>$C307*K306</f>
        <v/>
      </c>
      <c r="L307">
        <f>$C307*L306</f>
        <v/>
      </c>
      <c r="M307">
        <f>$C307*M306</f>
        <v/>
      </c>
      <c r="N307">
        <f>$C307*N306</f>
        <v/>
      </c>
      <c r="O307">
        <f>$C307*O306</f>
        <v/>
      </c>
      <c r="P307">
        <f>$C307*P306</f>
        <v/>
      </c>
      <c r="Q307">
        <f>$C307*Q306</f>
        <v/>
      </c>
      <c r="R307">
        <f>$C307*R306</f>
        <v/>
      </c>
      <c r="S307">
        <f>$C307*S306</f>
        <v/>
      </c>
      <c r="T307">
        <f>$C307*T306</f>
        <v/>
      </c>
      <c r="U307">
        <f>$C307*U306</f>
        <v/>
      </c>
      <c r="V307">
        <f>$C307*V306</f>
        <v/>
      </c>
      <c r="W307">
        <f>$C307*W306</f>
        <v/>
      </c>
      <c r="X307">
        <f>$C307*X306</f>
        <v/>
      </c>
      <c r="Y307">
        <f>$C307*Y306</f>
        <v/>
      </c>
      <c r="Z307">
        <f>$C307*Z306</f>
        <v/>
      </c>
      <c r="AA307">
        <f>$C307*AA306</f>
        <v/>
      </c>
      <c r="AB307">
        <f>$C307*AB306</f>
        <v/>
      </c>
      <c r="AC307">
        <f>$C307*AC306</f>
        <v/>
      </c>
      <c r="AD307">
        <f>$C307*AD306</f>
        <v/>
      </c>
      <c r="AE307">
        <f>$C307*AE306</f>
        <v/>
      </c>
      <c r="AF307">
        <f>$C307*AF306</f>
        <v/>
      </c>
      <c r="AG307">
        <f>$C307*AG306</f>
        <v/>
      </c>
      <c r="AH307">
        <f>$C307*AH306</f>
        <v/>
      </c>
      <c r="AI307">
        <f>$C307*AI306</f>
        <v/>
      </c>
      <c r="AJ307">
        <f>$C307*AJ306</f>
        <v/>
      </c>
      <c r="AK307">
        <f>$C307*AK306</f>
        <v/>
      </c>
      <c r="AL307">
        <f>$C307*AL306</f>
        <v/>
      </c>
      <c r="AM307">
        <f>$C307*AM306</f>
        <v/>
      </c>
      <c r="AN307">
        <f>$C307*AN306</f>
        <v/>
      </c>
      <c r="AO307">
        <f>$C307*AO306</f>
        <v/>
      </c>
      <c r="AP307">
        <f>$C307*AP306</f>
        <v/>
      </c>
      <c r="AQ307">
        <f>$C307*AQ306</f>
        <v/>
      </c>
      <c r="AR307">
        <f>$C307*AR306</f>
        <v/>
      </c>
      <c r="AS307">
        <f>$C307*AS306</f>
        <v/>
      </c>
      <c r="AT307">
        <f>$C307*AT306</f>
        <v/>
      </c>
      <c r="AU307">
        <f>$C307*AU306</f>
        <v/>
      </c>
      <c r="AV307">
        <f>$C307*AV306</f>
        <v/>
      </c>
      <c r="AW307">
        <f>$C307*AW306</f>
        <v/>
      </c>
      <c r="AX307">
        <f>$C307*AX306</f>
        <v/>
      </c>
      <c r="AY307">
        <f>$C307*AY306</f>
        <v/>
      </c>
      <c r="AZ307">
        <f>$C307*AZ306</f>
        <v/>
      </c>
      <c r="BA307">
        <f>$C307*BA306</f>
        <v/>
      </c>
      <c r="BB307">
        <f>$C307*BB306</f>
        <v/>
      </c>
      <c r="BC307">
        <f>$C307*BC306</f>
        <v/>
      </c>
      <c r="BD307">
        <f>$C307*BD306</f>
        <v/>
      </c>
      <c r="BE307">
        <f>$C307*BE306</f>
        <v/>
      </c>
      <c r="BF307">
        <f>$C307*BF306</f>
        <v/>
      </c>
      <c r="BG307">
        <f>$C307*BG306</f>
        <v/>
      </c>
      <c r="BH307">
        <f>$C307*BH306</f>
        <v/>
      </c>
      <c r="BI307">
        <f>$C307*BI306</f>
        <v/>
      </c>
      <c r="BJ307">
        <f>$C307*BJ306</f>
        <v/>
      </c>
      <c r="BK307">
        <f>$C307*BK306</f>
        <v/>
      </c>
      <c r="BL307">
        <f>$C307*BL306</f>
        <v/>
      </c>
      <c r="BM307">
        <f>$C307*BM306</f>
        <v/>
      </c>
      <c r="BN307">
        <f>$C307*BN306</f>
        <v/>
      </c>
      <c r="BO307">
        <f>$C307*BO306</f>
        <v/>
      </c>
      <c r="BP307">
        <f>$C307*BP306</f>
        <v/>
      </c>
      <c r="BQ307">
        <f>$C307*BQ306</f>
        <v/>
      </c>
      <c r="BR307">
        <f>$C307*BR306</f>
        <v/>
      </c>
      <c r="BS307">
        <f>$C307*BS306</f>
        <v/>
      </c>
      <c r="BT307">
        <f>$C307*BT306</f>
        <v/>
      </c>
      <c r="BU307">
        <f>$C307*BU306</f>
        <v/>
      </c>
      <c r="BV307">
        <f>$C307*BV306</f>
        <v/>
      </c>
      <c r="BW307">
        <f>$C307*BW306</f>
        <v/>
      </c>
      <c r="BX307">
        <f>$C307*BX306</f>
        <v/>
      </c>
      <c r="BY307">
        <f>$C307*BY306</f>
        <v/>
      </c>
      <c r="BZ307">
        <f>$C307*BZ306</f>
        <v/>
      </c>
      <c r="CA307">
        <f>$C307*CA306</f>
        <v/>
      </c>
      <c r="CB307">
        <f>$C307*CB306</f>
        <v/>
      </c>
      <c r="CC307">
        <f>$C307*CC306</f>
        <v/>
      </c>
      <c r="CD307">
        <f>$C307*CD306</f>
        <v/>
      </c>
      <c r="CE307">
        <f>$C307*CE306</f>
        <v/>
      </c>
      <c r="CF307">
        <f>$C307*CF306</f>
        <v/>
      </c>
      <c r="CG307">
        <f>$C307*CG306</f>
        <v/>
      </c>
      <c r="CH307">
        <f>$C307*CH306</f>
        <v/>
      </c>
      <c r="CI307">
        <f>$C307*CI306</f>
        <v/>
      </c>
      <c r="CJ307">
        <f>$C307*CJ306</f>
        <v/>
      </c>
      <c r="CK307">
        <f>$C307*CK306</f>
        <v/>
      </c>
      <c r="CL307">
        <f>$C307*CL306</f>
        <v/>
      </c>
      <c r="CM307">
        <f>$C307*CM306</f>
        <v/>
      </c>
      <c r="CN307">
        <f>$C307*CN306</f>
        <v/>
      </c>
      <c r="CO307">
        <f>$C307*CO306</f>
        <v/>
      </c>
      <c r="CP307">
        <f>$C307*CP306</f>
        <v/>
      </c>
      <c r="CQ307">
        <f>$C307*CQ306</f>
        <v/>
      </c>
      <c r="CR307">
        <f>$C307*CR306</f>
        <v/>
      </c>
      <c r="CS307">
        <f>$C307*CS306</f>
        <v/>
      </c>
      <c r="CT307">
        <f>$C307*CT306</f>
        <v/>
      </c>
      <c r="CU307">
        <f>$C307*CU306</f>
        <v/>
      </c>
      <c r="CV307">
        <f>$C307*CV306</f>
        <v/>
      </c>
      <c r="CW307">
        <f>$C307*CW306</f>
        <v/>
      </c>
      <c r="CX307">
        <f>$C307*CX306</f>
        <v/>
      </c>
      <c r="CY307">
        <f>$C307*CY306</f>
        <v/>
      </c>
      <c r="CZ307">
        <f>$C307*CZ306</f>
        <v/>
      </c>
      <c r="DA307">
        <f>$C307*DA306</f>
        <v/>
      </c>
      <c r="DB307">
        <f>$C307*DB306</f>
        <v/>
      </c>
      <c r="DC307">
        <f>$C307*DC306</f>
        <v/>
      </c>
    </row>
    <row r="308">
      <c r="B308" t="inlineStr">
        <is>
          <t>VSP-605</t>
        </is>
      </c>
      <c r="C308" t="inlineStr">
        <is>
          <t>No. of batches</t>
        </is>
      </c>
      <c r="D308">
        <f>IFERROR(INDEX(PP_Grid[#Data],$DD308,2),0)</f>
        <v/>
      </c>
      <c r="E308">
        <f>IFERROR(INDEX(PP_Grid[#Data],$DD308,3),0)</f>
        <v/>
      </c>
      <c r="F308">
        <f>IFERROR(INDEX(PP_Grid[#Data],$DD308,4),0)</f>
        <v/>
      </c>
      <c r="G308">
        <f>IFERROR(INDEX(PP_Grid[#Data],$DD308,5),0)</f>
        <v/>
      </c>
      <c r="H308">
        <f>IFERROR(INDEX(PP_Grid[#Data],$DD308,6),0)</f>
        <v/>
      </c>
      <c r="I308">
        <f>IFERROR(INDEX(PP_Grid[#Data],$DD308,7),0)</f>
        <v/>
      </c>
      <c r="J308">
        <f>IFERROR(INDEX(PP_Grid[#Data],$DD308,8),0)</f>
        <v/>
      </c>
      <c r="K308">
        <f>IFERROR(INDEX(PP_Grid[#Data],$DD308,9),0)</f>
        <v/>
      </c>
      <c r="L308">
        <f>IFERROR(INDEX(PP_Grid[#Data],$DD308,10),0)</f>
        <v/>
      </c>
      <c r="M308">
        <f>IFERROR(INDEX(PP_Grid[#Data],$DD308,11),0)</f>
        <v/>
      </c>
      <c r="N308">
        <f>IFERROR(INDEX(PP_Grid[#Data],$DD308,12),0)</f>
        <v/>
      </c>
      <c r="O308">
        <f>IFERROR(INDEX(PP_Grid[#Data],$DD308,13),0)</f>
        <v/>
      </c>
      <c r="P308">
        <f>IFERROR(INDEX(PP_Grid[#Data],$DD308,14),0)</f>
        <v/>
      </c>
      <c r="Q308">
        <f>IFERROR(INDEX(PP_Grid[#Data],$DD308,15),0)</f>
        <v/>
      </c>
      <c r="R308">
        <f>IFERROR(INDEX(PP_Grid[#Data],$DD308,16),0)</f>
        <v/>
      </c>
      <c r="S308">
        <f>IFERROR(INDEX(PP_Grid[#Data],$DD308,17),0)</f>
        <v/>
      </c>
      <c r="T308">
        <f>IFERROR(INDEX(PP_Grid[#Data],$DD308,18),0)</f>
        <v/>
      </c>
      <c r="U308">
        <f>IFERROR(INDEX(PP_Grid[#Data],$DD308,19),0)</f>
        <v/>
      </c>
      <c r="V308">
        <f>IFERROR(INDEX(PP_Grid[#Data],$DD308,20),0)</f>
        <v/>
      </c>
      <c r="W308">
        <f>IFERROR(INDEX(PP_Grid[#Data],$DD308,21),0)</f>
        <v/>
      </c>
      <c r="X308">
        <f>IFERROR(INDEX(PP_Grid[#Data],$DD308,22),0)</f>
        <v/>
      </c>
      <c r="Y308">
        <f>IFERROR(INDEX(PP_Grid[#Data],$DD308,23),0)</f>
        <v/>
      </c>
      <c r="Z308">
        <f>IFERROR(INDEX(PP_Grid[#Data],$DD308,24),0)</f>
        <v/>
      </c>
      <c r="AA308">
        <f>IFERROR(INDEX(PP_Grid[#Data],$DD308,25),0)</f>
        <v/>
      </c>
      <c r="AB308">
        <f>IFERROR(INDEX(PP_Grid[#Data],$DD308,26),0)</f>
        <v/>
      </c>
      <c r="AC308">
        <f>IFERROR(INDEX(PP_Grid[#Data],$DD308,27),0)</f>
        <v/>
      </c>
      <c r="AD308">
        <f>IFERROR(INDEX(PP_Grid[#Data],$DD308,28),0)</f>
        <v/>
      </c>
      <c r="AE308">
        <f>IFERROR(INDEX(PP_Grid[#Data],$DD308,29),0)</f>
        <v/>
      </c>
      <c r="AF308">
        <f>IFERROR(INDEX(PP_Grid[#Data],$DD308,30),0)</f>
        <v/>
      </c>
      <c r="AG308">
        <f>IFERROR(INDEX(PP_Grid[#Data],$DD308,31),0)</f>
        <v/>
      </c>
      <c r="AH308">
        <f>IFERROR(INDEX(PP_Grid[#Data],$DD308,32),0)</f>
        <v/>
      </c>
      <c r="AI308">
        <f>IFERROR(INDEX(PP_Grid[#Data],$DD308,33),0)</f>
        <v/>
      </c>
      <c r="AJ308">
        <f>IFERROR(INDEX(PP_Grid[#Data],$DD308,34),0)</f>
        <v/>
      </c>
      <c r="AK308">
        <f>IFERROR(INDEX(PP_Grid[#Data],$DD308,35),0)</f>
        <v/>
      </c>
      <c r="AL308">
        <f>IFERROR(INDEX(PP_Grid[#Data],$DD308,36),0)</f>
        <v/>
      </c>
      <c r="AM308">
        <f>IFERROR(INDEX(PP_Grid[#Data],$DD308,37),0)</f>
        <v/>
      </c>
      <c r="AN308">
        <f>IFERROR(INDEX(PP_Grid[#Data],$DD308,38),0)</f>
        <v/>
      </c>
      <c r="AO308">
        <f>IFERROR(INDEX(PP_Grid[#Data],$DD308,39),0)</f>
        <v/>
      </c>
      <c r="AP308">
        <f>IFERROR(INDEX(PP_Grid[#Data],$DD308,40),0)</f>
        <v/>
      </c>
      <c r="AQ308">
        <f>IFERROR(INDEX(PP_Grid[#Data],$DD308,41),0)</f>
        <v/>
      </c>
      <c r="AR308">
        <f>IFERROR(INDEX(PP_Grid[#Data],$DD308,42),0)</f>
        <v/>
      </c>
      <c r="AS308">
        <f>IFERROR(INDEX(PP_Grid[#Data],$DD308,43),0)</f>
        <v/>
      </c>
      <c r="AT308">
        <f>IFERROR(INDEX(PP_Grid[#Data],$DD308,44),0)</f>
        <v/>
      </c>
      <c r="AU308">
        <f>IFERROR(INDEX(PP_Grid[#Data],$DD308,45),0)</f>
        <v/>
      </c>
      <c r="AV308">
        <f>IFERROR(INDEX(PP_Grid[#Data],$DD308,46),0)</f>
        <v/>
      </c>
      <c r="AW308">
        <f>IFERROR(INDEX(PP_Grid[#Data],$DD308,47),0)</f>
        <v/>
      </c>
      <c r="AX308">
        <f>IFERROR(INDEX(PP_Grid[#Data],$DD308,48),0)</f>
        <v/>
      </c>
      <c r="AY308">
        <f>IFERROR(INDEX(PP_Grid[#Data],$DD308,49),0)</f>
        <v/>
      </c>
      <c r="AZ308">
        <f>IFERROR(INDEX(PP_Grid[#Data],$DD308,50),0)</f>
        <v/>
      </c>
      <c r="BA308">
        <f>IFERROR(INDEX(PP_Grid[#Data],$DD308,51),0)</f>
        <v/>
      </c>
      <c r="BB308">
        <f>IFERROR(INDEX(PP_Grid[#Data],$DD308,52),0)</f>
        <v/>
      </c>
      <c r="BC308">
        <f>IFERROR(INDEX(PP_Grid[#Data],$DD308,53),0)</f>
        <v/>
      </c>
      <c r="BD308">
        <f>IFERROR(INDEX(PP_Grid[#Data],$DD308,54),0)</f>
        <v/>
      </c>
      <c r="BE308">
        <f>IFERROR(INDEX(PP_Grid[#Data],$DD308,55),0)</f>
        <v/>
      </c>
      <c r="BF308">
        <f>IFERROR(INDEX(PP_Grid[#Data],$DD308,56),0)</f>
        <v/>
      </c>
      <c r="BG308">
        <f>IFERROR(INDEX(PP_Grid[#Data],$DD308,57),0)</f>
        <v/>
      </c>
      <c r="BH308">
        <f>IFERROR(INDEX(PP_Grid[#Data],$DD308,58),0)</f>
        <v/>
      </c>
      <c r="BI308">
        <f>IFERROR(INDEX(PP_Grid[#Data],$DD308,59),0)</f>
        <v/>
      </c>
      <c r="BJ308">
        <f>IFERROR(INDEX(PP_Grid[#Data],$DD308,60),0)</f>
        <v/>
      </c>
      <c r="BK308">
        <f>IFERROR(INDEX(PP_Grid[#Data],$DD308,61),0)</f>
        <v/>
      </c>
      <c r="BL308">
        <f>IFERROR(INDEX(PP_Grid[#Data],$DD308,62),0)</f>
        <v/>
      </c>
      <c r="BM308">
        <f>IFERROR(INDEX(PP_Grid[#Data],$DD308,63),0)</f>
        <v/>
      </c>
      <c r="BN308">
        <f>IFERROR(INDEX(PP_Grid[#Data],$DD308,64),0)</f>
        <v/>
      </c>
      <c r="BO308">
        <f>IFERROR(INDEX(PP_Grid[#Data],$DD308,65),0)</f>
        <v/>
      </c>
      <c r="BP308">
        <f>IFERROR(INDEX(PP_Grid[#Data],$DD308,66),0)</f>
        <v/>
      </c>
      <c r="BQ308">
        <f>IFERROR(INDEX(PP_Grid[#Data],$DD308,67),0)</f>
        <v/>
      </c>
      <c r="BR308">
        <f>IFERROR(INDEX(PP_Grid[#Data],$DD308,68),0)</f>
        <v/>
      </c>
      <c r="BS308">
        <f>IFERROR(INDEX(PP_Grid[#Data],$DD308,69),0)</f>
        <v/>
      </c>
      <c r="BT308">
        <f>IFERROR(INDEX(PP_Grid[#Data],$DD308,70),0)</f>
        <v/>
      </c>
      <c r="BU308">
        <f>IFERROR(INDEX(PP_Grid[#Data],$DD308,71),0)</f>
        <v/>
      </c>
      <c r="BV308">
        <f>IFERROR(INDEX(PP_Grid[#Data],$DD308,72),0)</f>
        <v/>
      </c>
      <c r="BW308">
        <f>IFERROR(INDEX(PP_Grid[#Data],$DD308,73),0)</f>
        <v/>
      </c>
      <c r="BX308">
        <f>IFERROR(INDEX(PP_Grid[#Data],$DD308,74),0)</f>
        <v/>
      </c>
      <c r="BY308">
        <f>IFERROR(INDEX(PP_Grid[#Data],$DD308,75),0)</f>
        <v/>
      </c>
      <c r="BZ308">
        <f>IFERROR(INDEX(PP_Grid[#Data],$DD308,76),0)</f>
        <v/>
      </c>
      <c r="CA308">
        <f>IFERROR(INDEX(PP_Grid[#Data],$DD308,77),0)</f>
        <v/>
      </c>
      <c r="CB308">
        <f>IFERROR(INDEX(PP_Grid[#Data],$DD308,78),0)</f>
        <v/>
      </c>
      <c r="CC308">
        <f>IFERROR(INDEX(PP_Grid[#Data],$DD308,79),0)</f>
        <v/>
      </c>
      <c r="CD308">
        <f>IFERROR(INDEX(PP_Grid[#Data],$DD308,80),0)</f>
        <v/>
      </c>
      <c r="CE308">
        <f>IFERROR(INDEX(PP_Grid[#Data],$DD308,81),0)</f>
        <v/>
      </c>
      <c r="CF308">
        <f>IFERROR(INDEX(PP_Grid[#Data],$DD308,82),0)</f>
        <v/>
      </c>
      <c r="CG308">
        <f>IFERROR(INDEX(PP_Grid[#Data],$DD308,83),0)</f>
        <v/>
      </c>
      <c r="CH308">
        <f>IFERROR(INDEX(PP_Grid[#Data],$DD308,84),0)</f>
        <v/>
      </c>
      <c r="CI308">
        <f>IFERROR(INDEX(PP_Grid[#Data],$DD308,85),0)</f>
        <v/>
      </c>
      <c r="CJ308">
        <f>IFERROR(INDEX(PP_Grid[#Data],$DD308,86),0)</f>
        <v/>
      </c>
      <c r="CK308">
        <f>IFERROR(INDEX(PP_Grid[#Data],$DD308,87),0)</f>
        <v/>
      </c>
      <c r="CL308">
        <f>IFERROR(INDEX(PP_Grid[#Data],$DD308,88),0)</f>
        <v/>
      </c>
      <c r="CM308">
        <f>IFERROR(INDEX(PP_Grid[#Data],$DD308,89),0)</f>
        <v/>
      </c>
      <c r="CN308">
        <f>IFERROR(INDEX(PP_Grid[#Data],$DD308,90),0)</f>
        <v/>
      </c>
      <c r="CO308">
        <f>IFERROR(INDEX(PP_Grid[#Data],$DD308,91),0)</f>
        <v/>
      </c>
      <c r="CP308">
        <f>IFERROR(INDEX(PP_Grid[#Data],$DD308,92),0)</f>
        <v/>
      </c>
      <c r="CQ308">
        <f>IFERROR(INDEX(PP_Grid[#Data],$DD308,93),0)</f>
        <v/>
      </c>
      <c r="CR308">
        <f>IFERROR(INDEX(PP_Grid[#Data],$DD308,94),0)</f>
        <v/>
      </c>
      <c r="CS308">
        <f>IFERROR(INDEX(PP_Grid[#Data],$DD308,95),0)</f>
        <v/>
      </c>
      <c r="CT308">
        <f>IFERROR(INDEX(PP_Grid[#Data],$DD308,96),0)</f>
        <v/>
      </c>
      <c r="CU308">
        <f>IFERROR(INDEX(PP_Grid[#Data],$DD308,97),0)</f>
        <v/>
      </c>
      <c r="CV308">
        <f>IFERROR(INDEX(PP_Grid[#Data],$DD308,98),0)</f>
        <v/>
      </c>
      <c r="CW308">
        <f>IFERROR(INDEX(PP_Grid[#Data],$DD308,99),0)</f>
        <v/>
      </c>
      <c r="CX308">
        <f>IFERROR(INDEX(PP_Grid[#Data],$DD308,100),0)</f>
        <v/>
      </c>
      <c r="CY308">
        <f>IFERROR(INDEX(PP_Grid[#Data],$DD308,101),0)</f>
        <v/>
      </c>
      <c r="CZ308">
        <f>IFERROR(INDEX(PP_Grid[#Data],$DD308,102),0)</f>
        <v/>
      </c>
      <c r="DA308">
        <f>IFERROR(INDEX(PP_Grid[#Data],$DD308,103),0)</f>
        <v/>
      </c>
      <c r="DB308">
        <f>IFERROR(INDEX(PP_Grid[#Data],$DD308,104),0)</f>
        <v/>
      </c>
      <c r="DC308">
        <f>IFERROR(INDEX(PP_Grid[#Data],$DD308,105),0)</f>
        <v/>
      </c>
      <c r="DD308" s="7">
        <f>IFERROR(MATCH($B308,PP_Grid[Intermediate],0),99999)</f>
        <v/>
      </c>
    </row>
    <row r="309">
      <c r="B309" t="inlineStr">
        <is>
          <t>使用量(kg)</t>
        </is>
      </c>
      <c r="C309">
        <f>SUMIFS(M_BOM[RM_Qty_Per_Batch],M_BOM[Intermediate],$B308,M_BOM[Part Name],$A219)</f>
        <v/>
      </c>
      <c r="D309">
        <f>$C309*D308</f>
        <v/>
      </c>
      <c r="E309">
        <f>$C309*E308</f>
        <v/>
      </c>
      <c r="F309">
        <f>$C309*F308</f>
        <v/>
      </c>
      <c r="G309">
        <f>$C309*G308</f>
        <v/>
      </c>
      <c r="H309">
        <f>$C309*H308</f>
        <v/>
      </c>
      <c r="I309">
        <f>$C309*I308</f>
        <v/>
      </c>
      <c r="J309">
        <f>$C309*J308</f>
        <v/>
      </c>
      <c r="K309">
        <f>$C309*K308</f>
        <v/>
      </c>
      <c r="L309">
        <f>$C309*L308</f>
        <v/>
      </c>
      <c r="M309">
        <f>$C309*M308</f>
        <v/>
      </c>
      <c r="N309">
        <f>$C309*N308</f>
        <v/>
      </c>
      <c r="O309">
        <f>$C309*O308</f>
        <v/>
      </c>
      <c r="P309">
        <f>$C309*P308</f>
        <v/>
      </c>
      <c r="Q309">
        <f>$C309*Q308</f>
        <v/>
      </c>
      <c r="R309">
        <f>$C309*R308</f>
        <v/>
      </c>
      <c r="S309">
        <f>$C309*S308</f>
        <v/>
      </c>
      <c r="T309">
        <f>$C309*T308</f>
        <v/>
      </c>
      <c r="U309">
        <f>$C309*U308</f>
        <v/>
      </c>
      <c r="V309">
        <f>$C309*V308</f>
        <v/>
      </c>
      <c r="W309">
        <f>$C309*W308</f>
        <v/>
      </c>
      <c r="X309">
        <f>$C309*X308</f>
        <v/>
      </c>
      <c r="Y309">
        <f>$C309*Y308</f>
        <v/>
      </c>
      <c r="Z309">
        <f>$C309*Z308</f>
        <v/>
      </c>
      <c r="AA309">
        <f>$C309*AA308</f>
        <v/>
      </c>
      <c r="AB309">
        <f>$C309*AB308</f>
        <v/>
      </c>
      <c r="AC309">
        <f>$C309*AC308</f>
        <v/>
      </c>
      <c r="AD309">
        <f>$C309*AD308</f>
        <v/>
      </c>
      <c r="AE309">
        <f>$C309*AE308</f>
        <v/>
      </c>
      <c r="AF309">
        <f>$C309*AF308</f>
        <v/>
      </c>
      <c r="AG309">
        <f>$C309*AG308</f>
        <v/>
      </c>
      <c r="AH309">
        <f>$C309*AH308</f>
        <v/>
      </c>
      <c r="AI309">
        <f>$C309*AI308</f>
        <v/>
      </c>
      <c r="AJ309">
        <f>$C309*AJ308</f>
        <v/>
      </c>
      <c r="AK309">
        <f>$C309*AK308</f>
        <v/>
      </c>
      <c r="AL309">
        <f>$C309*AL308</f>
        <v/>
      </c>
      <c r="AM309">
        <f>$C309*AM308</f>
        <v/>
      </c>
      <c r="AN309">
        <f>$C309*AN308</f>
        <v/>
      </c>
      <c r="AO309">
        <f>$C309*AO308</f>
        <v/>
      </c>
      <c r="AP309">
        <f>$C309*AP308</f>
        <v/>
      </c>
      <c r="AQ309">
        <f>$C309*AQ308</f>
        <v/>
      </c>
      <c r="AR309">
        <f>$C309*AR308</f>
        <v/>
      </c>
      <c r="AS309">
        <f>$C309*AS308</f>
        <v/>
      </c>
      <c r="AT309">
        <f>$C309*AT308</f>
        <v/>
      </c>
      <c r="AU309">
        <f>$C309*AU308</f>
        <v/>
      </c>
      <c r="AV309">
        <f>$C309*AV308</f>
        <v/>
      </c>
      <c r="AW309">
        <f>$C309*AW308</f>
        <v/>
      </c>
      <c r="AX309">
        <f>$C309*AX308</f>
        <v/>
      </c>
      <c r="AY309">
        <f>$C309*AY308</f>
        <v/>
      </c>
      <c r="AZ309">
        <f>$C309*AZ308</f>
        <v/>
      </c>
      <c r="BA309">
        <f>$C309*BA308</f>
        <v/>
      </c>
      <c r="BB309">
        <f>$C309*BB308</f>
        <v/>
      </c>
      <c r="BC309">
        <f>$C309*BC308</f>
        <v/>
      </c>
      <c r="BD309">
        <f>$C309*BD308</f>
        <v/>
      </c>
      <c r="BE309">
        <f>$C309*BE308</f>
        <v/>
      </c>
      <c r="BF309">
        <f>$C309*BF308</f>
        <v/>
      </c>
      <c r="BG309">
        <f>$C309*BG308</f>
        <v/>
      </c>
      <c r="BH309">
        <f>$C309*BH308</f>
        <v/>
      </c>
      <c r="BI309">
        <f>$C309*BI308</f>
        <v/>
      </c>
      <c r="BJ309">
        <f>$C309*BJ308</f>
        <v/>
      </c>
      <c r="BK309">
        <f>$C309*BK308</f>
        <v/>
      </c>
      <c r="BL309">
        <f>$C309*BL308</f>
        <v/>
      </c>
      <c r="BM309">
        <f>$C309*BM308</f>
        <v/>
      </c>
      <c r="BN309">
        <f>$C309*BN308</f>
        <v/>
      </c>
      <c r="BO309">
        <f>$C309*BO308</f>
        <v/>
      </c>
      <c r="BP309">
        <f>$C309*BP308</f>
        <v/>
      </c>
      <c r="BQ309">
        <f>$C309*BQ308</f>
        <v/>
      </c>
      <c r="BR309">
        <f>$C309*BR308</f>
        <v/>
      </c>
      <c r="BS309">
        <f>$C309*BS308</f>
        <v/>
      </c>
      <c r="BT309">
        <f>$C309*BT308</f>
        <v/>
      </c>
      <c r="BU309">
        <f>$C309*BU308</f>
        <v/>
      </c>
      <c r="BV309">
        <f>$C309*BV308</f>
        <v/>
      </c>
      <c r="BW309">
        <f>$C309*BW308</f>
        <v/>
      </c>
      <c r="BX309">
        <f>$C309*BX308</f>
        <v/>
      </c>
      <c r="BY309">
        <f>$C309*BY308</f>
        <v/>
      </c>
      <c r="BZ309">
        <f>$C309*BZ308</f>
        <v/>
      </c>
      <c r="CA309">
        <f>$C309*CA308</f>
        <v/>
      </c>
      <c r="CB309">
        <f>$C309*CB308</f>
        <v/>
      </c>
      <c r="CC309">
        <f>$C309*CC308</f>
        <v/>
      </c>
      <c r="CD309">
        <f>$C309*CD308</f>
        <v/>
      </c>
      <c r="CE309">
        <f>$C309*CE308</f>
        <v/>
      </c>
      <c r="CF309">
        <f>$C309*CF308</f>
        <v/>
      </c>
      <c r="CG309">
        <f>$C309*CG308</f>
        <v/>
      </c>
      <c r="CH309">
        <f>$C309*CH308</f>
        <v/>
      </c>
      <c r="CI309">
        <f>$C309*CI308</f>
        <v/>
      </c>
      <c r="CJ309">
        <f>$C309*CJ308</f>
        <v/>
      </c>
      <c r="CK309">
        <f>$C309*CK308</f>
        <v/>
      </c>
      <c r="CL309">
        <f>$C309*CL308</f>
        <v/>
      </c>
      <c r="CM309">
        <f>$C309*CM308</f>
        <v/>
      </c>
      <c r="CN309">
        <f>$C309*CN308</f>
        <v/>
      </c>
      <c r="CO309">
        <f>$C309*CO308</f>
        <v/>
      </c>
      <c r="CP309">
        <f>$C309*CP308</f>
        <v/>
      </c>
      <c r="CQ309">
        <f>$C309*CQ308</f>
        <v/>
      </c>
      <c r="CR309">
        <f>$C309*CR308</f>
        <v/>
      </c>
      <c r="CS309">
        <f>$C309*CS308</f>
        <v/>
      </c>
      <c r="CT309">
        <f>$C309*CT308</f>
        <v/>
      </c>
      <c r="CU309">
        <f>$C309*CU308</f>
        <v/>
      </c>
      <c r="CV309">
        <f>$C309*CV308</f>
        <v/>
      </c>
      <c r="CW309">
        <f>$C309*CW308</f>
        <v/>
      </c>
      <c r="CX309">
        <f>$C309*CX308</f>
        <v/>
      </c>
      <c r="CY309">
        <f>$C309*CY308</f>
        <v/>
      </c>
      <c r="CZ309">
        <f>$C309*CZ308</f>
        <v/>
      </c>
      <c r="DA309">
        <f>$C309*DA308</f>
        <v/>
      </c>
      <c r="DB309">
        <f>$C309*DB308</f>
        <v/>
      </c>
      <c r="DC309">
        <f>$C309*DC308</f>
        <v/>
      </c>
    </row>
    <row r="310">
      <c r="B310" t="inlineStr">
        <is>
          <t>VSP-606</t>
        </is>
      </c>
      <c r="C310" t="inlineStr">
        <is>
          <t>No. of batches</t>
        </is>
      </c>
      <c r="D310">
        <f>IFERROR(INDEX(PP_Grid[#Data],$DD310,2),0)</f>
        <v/>
      </c>
      <c r="E310">
        <f>IFERROR(INDEX(PP_Grid[#Data],$DD310,3),0)</f>
        <v/>
      </c>
      <c r="F310">
        <f>IFERROR(INDEX(PP_Grid[#Data],$DD310,4),0)</f>
        <v/>
      </c>
      <c r="G310">
        <f>IFERROR(INDEX(PP_Grid[#Data],$DD310,5),0)</f>
        <v/>
      </c>
      <c r="H310">
        <f>IFERROR(INDEX(PP_Grid[#Data],$DD310,6),0)</f>
        <v/>
      </c>
      <c r="I310">
        <f>IFERROR(INDEX(PP_Grid[#Data],$DD310,7),0)</f>
        <v/>
      </c>
      <c r="J310">
        <f>IFERROR(INDEX(PP_Grid[#Data],$DD310,8),0)</f>
        <v/>
      </c>
      <c r="K310">
        <f>IFERROR(INDEX(PP_Grid[#Data],$DD310,9),0)</f>
        <v/>
      </c>
      <c r="L310">
        <f>IFERROR(INDEX(PP_Grid[#Data],$DD310,10),0)</f>
        <v/>
      </c>
      <c r="M310">
        <f>IFERROR(INDEX(PP_Grid[#Data],$DD310,11),0)</f>
        <v/>
      </c>
      <c r="N310">
        <f>IFERROR(INDEX(PP_Grid[#Data],$DD310,12),0)</f>
        <v/>
      </c>
      <c r="O310">
        <f>IFERROR(INDEX(PP_Grid[#Data],$DD310,13),0)</f>
        <v/>
      </c>
      <c r="P310">
        <f>IFERROR(INDEX(PP_Grid[#Data],$DD310,14),0)</f>
        <v/>
      </c>
      <c r="Q310">
        <f>IFERROR(INDEX(PP_Grid[#Data],$DD310,15),0)</f>
        <v/>
      </c>
      <c r="R310">
        <f>IFERROR(INDEX(PP_Grid[#Data],$DD310,16),0)</f>
        <v/>
      </c>
      <c r="S310">
        <f>IFERROR(INDEX(PP_Grid[#Data],$DD310,17),0)</f>
        <v/>
      </c>
      <c r="T310">
        <f>IFERROR(INDEX(PP_Grid[#Data],$DD310,18),0)</f>
        <v/>
      </c>
      <c r="U310">
        <f>IFERROR(INDEX(PP_Grid[#Data],$DD310,19),0)</f>
        <v/>
      </c>
      <c r="V310">
        <f>IFERROR(INDEX(PP_Grid[#Data],$DD310,20),0)</f>
        <v/>
      </c>
      <c r="W310">
        <f>IFERROR(INDEX(PP_Grid[#Data],$DD310,21),0)</f>
        <v/>
      </c>
      <c r="X310">
        <f>IFERROR(INDEX(PP_Grid[#Data],$DD310,22),0)</f>
        <v/>
      </c>
      <c r="Y310">
        <f>IFERROR(INDEX(PP_Grid[#Data],$DD310,23),0)</f>
        <v/>
      </c>
      <c r="Z310">
        <f>IFERROR(INDEX(PP_Grid[#Data],$DD310,24),0)</f>
        <v/>
      </c>
      <c r="AA310">
        <f>IFERROR(INDEX(PP_Grid[#Data],$DD310,25),0)</f>
        <v/>
      </c>
      <c r="AB310">
        <f>IFERROR(INDEX(PP_Grid[#Data],$DD310,26),0)</f>
        <v/>
      </c>
      <c r="AC310">
        <f>IFERROR(INDEX(PP_Grid[#Data],$DD310,27),0)</f>
        <v/>
      </c>
      <c r="AD310">
        <f>IFERROR(INDEX(PP_Grid[#Data],$DD310,28),0)</f>
        <v/>
      </c>
      <c r="AE310">
        <f>IFERROR(INDEX(PP_Grid[#Data],$DD310,29),0)</f>
        <v/>
      </c>
      <c r="AF310">
        <f>IFERROR(INDEX(PP_Grid[#Data],$DD310,30),0)</f>
        <v/>
      </c>
      <c r="AG310">
        <f>IFERROR(INDEX(PP_Grid[#Data],$DD310,31),0)</f>
        <v/>
      </c>
      <c r="AH310">
        <f>IFERROR(INDEX(PP_Grid[#Data],$DD310,32),0)</f>
        <v/>
      </c>
      <c r="AI310">
        <f>IFERROR(INDEX(PP_Grid[#Data],$DD310,33),0)</f>
        <v/>
      </c>
      <c r="AJ310">
        <f>IFERROR(INDEX(PP_Grid[#Data],$DD310,34),0)</f>
        <v/>
      </c>
      <c r="AK310">
        <f>IFERROR(INDEX(PP_Grid[#Data],$DD310,35),0)</f>
        <v/>
      </c>
      <c r="AL310">
        <f>IFERROR(INDEX(PP_Grid[#Data],$DD310,36),0)</f>
        <v/>
      </c>
      <c r="AM310">
        <f>IFERROR(INDEX(PP_Grid[#Data],$DD310,37),0)</f>
        <v/>
      </c>
      <c r="AN310">
        <f>IFERROR(INDEX(PP_Grid[#Data],$DD310,38),0)</f>
        <v/>
      </c>
      <c r="AO310">
        <f>IFERROR(INDEX(PP_Grid[#Data],$DD310,39),0)</f>
        <v/>
      </c>
      <c r="AP310">
        <f>IFERROR(INDEX(PP_Grid[#Data],$DD310,40),0)</f>
        <v/>
      </c>
      <c r="AQ310">
        <f>IFERROR(INDEX(PP_Grid[#Data],$DD310,41),0)</f>
        <v/>
      </c>
      <c r="AR310">
        <f>IFERROR(INDEX(PP_Grid[#Data],$DD310,42),0)</f>
        <v/>
      </c>
      <c r="AS310">
        <f>IFERROR(INDEX(PP_Grid[#Data],$DD310,43),0)</f>
        <v/>
      </c>
      <c r="AT310">
        <f>IFERROR(INDEX(PP_Grid[#Data],$DD310,44),0)</f>
        <v/>
      </c>
      <c r="AU310">
        <f>IFERROR(INDEX(PP_Grid[#Data],$DD310,45),0)</f>
        <v/>
      </c>
      <c r="AV310">
        <f>IFERROR(INDEX(PP_Grid[#Data],$DD310,46),0)</f>
        <v/>
      </c>
      <c r="AW310">
        <f>IFERROR(INDEX(PP_Grid[#Data],$DD310,47),0)</f>
        <v/>
      </c>
      <c r="AX310">
        <f>IFERROR(INDEX(PP_Grid[#Data],$DD310,48),0)</f>
        <v/>
      </c>
      <c r="AY310">
        <f>IFERROR(INDEX(PP_Grid[#Data],$DD310,49),0)</f>
        <v/>
      </c>
      <c r="AZ310">
        <f>IFERROR(INDEX(PP_Grid[#Data],$DD310,50),0)</f>
        <v/>
      </c>
      <c r="BA310">
        <f>IFERROR(INDEX(PP_Grid[#Data],$DD310,51),0)</f>
        <v/>
      </c>
      <c r="BB310">
        <f>IFERROR(INDEX(PP_Grid[#Data],$DD310,52),0)</f>
        <v/>
      </c>
      <c r="BC310">
        <f>IFERROR(INDEX(PP_Grid[#Data],$DD310,53),0)</f>
        <v/>
      </c>
      <c r="BD310">
        <f>IFERROR(INDEX(PP_Grid[#Data],$DD310,54),0)</f>
        <v/>
      </c>
      <c r="BE310">
        <f>IFERROR(INDEX(PP_Grid[#Data],$DD310,55),0)</f>
        <v/>
      </c>
      <c r="BF310">
        <f>IFERROR(INDEX(PP_Grid[#Data],$DD310,56),0)</f>
        <v/>
      </c>
      <c r="BG310">
        <f>IFERROR(INDEX(PP_Grid[#Data],$DD310,57),0)</f>
        <v/>
      </c>
      <c r="BH310">
        <f>IFERROR(INDEX(PP_Grid[#Data],$DD310,58),0)</f>
        <v/>
      </c>
      <c r="BI310">
        <f>IFERROR(INDEX(PP_Grid[#Data],$DD310,59),0)</f>
        <v/>
      </c>
      <c r="BJ310">
        <f>IFERROR(INDEX(PP_Grid[#Data],$DD310,60),0)</f>
        <v/>
      </c>
      <c r="BK310">
        <f>IFERROR(INDEX(PP_Grid[#Data],$DD310,61),0)</f>
        <v/>
      </c>
      <c r="BL310">
        <f>IFERROR(INDEX(PP_Grid[#Data],$DD310,62),0)</f>
        <v/>
      </c>
      <c r="BM310">
        <f>IFERROR(INDEX(PP_Grid[#Data],$DD310,63),0)</f>
        <v/>
      </c>
      <c r="BN310">
        <f>IFERROR(INDEX(PP_Grid[#Data],$DD310,64),0)</f>
        <v/>
      </c>
      <c r="BO310">
        <f>IFERROR(INDEX(PP_Grid[#Data],$DD310,65),0)</f>
        <v/>
      </c>
      <c r="BP310">
        <f>IFERROR(INDEX(PP_Grid[#Data],$DD310,66),0)</f>
        <v/>
      </c>
      <c r="BQ310">
        <f>IFERROR(INDEX(PP_Grid[#Data],$DD310,67),0)</f>
        <v/>
      </c>
      <c r="BR310">
        <f>IFERROR(INDEX(PP_Grid[#Data],$DD310,68),0)</f>
        <v/>
      </c>
      <c r="BS310">
        <f>IFERROR(INDEX(PP_Grid[#Data],$DD310,69),0)</f>
        <v/>
      </c>
      <c r="BT310">
        <f>IFERROR(INDEX(PP_Grid[#Data],$DD310,70),0)</f>
        <v/>
      </c>
      <c r="BU310">
        <f>IFERROR(INDEX(PP_Grid[#Data],$DD310,71),0)</f>
        <v/>
      </c>
      <c r="BV310">
        <f>IFERROR(INDEX(PP_Grid[#Data],$DD310,72),0)</f>
        <v/>
      </c>
      <c r="BW310">
        <f>IFERROR(INDEX(PP_Grid[#Data],$DD310,73),0)</f>
        <v/>
      </c>
      <c r="BX310">
        <f>IFERROR(INDEX(PP_Grid[#Data],$DD310,74),0)</f>
        <v/>
      </c>
      <c r="BY310">
        <f>IFERROR(INDEX(PP_Grid[#Data],$DD310,75),0)</f>
        <v/>
      </c>
      <c r="BZ310">
        <f>IFERROR(INDEX(PP_Grid[#Data],$DD310,76),0)</f>
        <v/>
      </c>
      <c r="CA310">
        <f>IFERROR(INDEX(PP_Grid[#Data],$DD310,77),0)</f>
        <v/>
      </c>
      <c r="CB310">
        <f>IFERROR(INDEX(PP_Grid[#Data],$DD310,78),0)</f>
        <v/>
      </c>
      <c r="CC310">
        <f>IFERROR(INDEX(PP_Grid[#Data],$DD310,79),0)</f>
        <v/>
      </c>
      <c r="CD310">
        <f>IFERROR(INDEX(PP_Grid[#Data],$DD310,80),0)</f>
        <v/>
      </c>
      <c r="CE310">
        <f>IFERROR(INDEX(PP_Grid[#Data],$DD310,81),0)</f>
        <v/>
      </c>
      <c r="CF310">
        <f>IFERROR(INDEX(PP_Grid[#Data],$DD310,82),0)</f>
        <v/>
      </c>
      <c r="CG310">
        <f>IFERROR(INDEX(PP_Grid[#Data],$DD310,83),0)</f>
        <v/>
      </c>
      <c r="CH310">
        <f>IFERROR(INDEX(PP_Grid[#Data],$DD310,84),0)</f>
        <v/>
      </c>
      <c r="CI310">
        <f>IFERROR(INDEX(PP_Grid[#Data],$DD310,85),0)</f>
        <v/>
      </c>
      <c r="CJ310">
        <f>IFERROR(INDEX(PP_Grid[#Data],$DD310,86),0)</f>
        <v/>
      </c>
      <c r="CK310">
        <f>IFERROR(INDEX(PP_Grid[#Data],$DD310,87),0)</f>
        <v/>
      </c>
      <c r="CL310">
        <f>IFERROR(INDEX(PP_Grid[#Data],$DD310,88),0)</f>
        <v/>
      </c>
      <c r="CM310">
        <f>IFERROR(INDEX(PP_Grid[#Data],$DD310,89),0)</f>
        <v/>
      </c>
      <c r="CN310">
        <f>IFERROR(INDEX(PP_Grid[#Data],$DD310,90),0)</f>
        <v/>
      </c>
      <c r="CO310">
        <f>IFERROR(INDEX(PP_Grid[#Data],$DD310,91),0)</f>
        <v/>
      </c>
      <c r="CP310">
        <f>IFERROR(INDEX(PP_Grid[#Data],$DD310,92),0)</f>
        <v/>
      </c>
      <c r="CQ310">
        <f>IFERROR(INDEX(PP_Grid[#Data],$DD310,93),0)</f>
        <v/>
      </c>
      <c r="CR310">
        <f>IFERROR(INDEX(PP_Grid[#Data],$DD310,94),0)</f>
        <v/>
      </c>
      <c r="CS310">
        <f>IFERROR(INDEX(PP_Grid[#Data],$DD310,95),0)</f>
        <v/>
      </c>
      <c r="CT310">
        <f>IFERROR(INDEX(PP_Grid[#Data],$DD310,96),0)</f>
        <v/>
      </c>
      <c r="CU310">
        <f>IFERROR(INDEX(PP_Grid[#Data],$DD310,97),0)</f>
        <v/>
      </c>
      <c r="CV310">
        <f>IFERROR(INDEX(PP_Grid[#Data],$DD310,98),0)</f>
        <v/>
      </c>
      <c r="CW310">
        <f>IFERROR(INDEX(PP_Grid[#Data],$DD310,99),0)</f>
        <v/>
      </c>
      <c r="CX310">
        <f>IFERROR(INDEX(PP_Grid[#Data],$DD310,100),0)</f>
        <v/>
      </c>
      <c r="CY310">
        <f>IFERROR(INDEX(PP_Grid[#Data],$DD310,101),0)</f>
        <v/>
      </c>
      <c r="CZ310">
        <f>IFERROR(INDEX(PP_Grid[#Data],$DD310,102),0)</f>
        <v/>
      </c>
      <c r="DA310">
        <f>IFERROR(INDEX(PP_Grid[#Data],$DD310,103),0)</f>
        <v/>
      </c>
      <c r="DB310">
        <f>IFERROR(INDEX(PP_Grid[#Data],$DD310,104),0)</f>
        <v/>
      </c>
      <c r="DC310">
        <f>IFERROR(INDEX(PP_Grid[#Data],$DD310,105),0)</f>
        <v/>
      </c>
      <c r="DD310" s="7">
        <f>IFERROR(MATCH($B310,PP_Grid[Intermediate],0),99999)</f>
        <v/>
      </c>
    </row>
    <row r="311">
      <c r="B311" t="inlineStr">
        <is>
          <t>使用量(kg)</t>
        </is>
      </c>
      <c r="C311">
        <f>SUMIFS(M_BOM[RM_Qty_Per_Batch],M_BOM[Intermediate],$B310,M_BOM[Part Name],$A219)</f>
        <v/>
      </c>
      <c r="D311">
        <f>$C311*D310</f>
        <v/>
      </c>
      <c r="E311">
        <f>$C311*E310</f>
        <v/>
      </c>
      <c r="F311">
        <f>$C311*F310</f>
        <v/>
      </c>
      <c r="G311">
        <f>$C311*G310</f>
        <v/>
      </c>
      <c r="H311">
        <f>$C311*H310</f>
        <v/>
      </c>
      <c r="I311">
        <f>$C311*I310</f>
        <v/>
      </c>
      <c r="J311">
        <f>$C311*J310</f>
        <v/>
      </c>
      <c r="K311">
        <f>$C311*K310</f>
        <v/>
      </c>
      <c r="L311">
        <f>$C311*L310</f>
        <v/>
      </c>
      <c r="M311">
        <f>$C311*M310</f>
        <v/>
      </c>
      <c r="N311">
        <f>$C311*N310</f>
        <v/>
      </c>
      <c r="O311">
        <f>$C311*O310</f>
        <v/>
      </c>
      <c r="P311">
        <f>$C311*P310</f>
        <v/>
      </c>
      <c r="Q311">
        <f>$C311*Q310</f>
        <v/>
      </c>
      <c r="R311">
        <f>$C311*R310</f>
        <v/>
      </c>
      <c r="S311">
        <f>$C311*S310</f>
        <v/>
      </c>
      <c r="T311">
        <f>$C311*T310</f>
        <v/>
      </c>
      <c r="U311">
        <f>$C311*U310</f>
        <v/>
      </c>
      <c r="V311">
        <f>$C311*V310</f>
        <v/>
      </c>
      <c r="W311">
        <f>$C311*W310</f>
        <v/>
      </c>
      <c r="X311">
        <f>$C311*X310</f>
        <v/>
      </c>
      <c r="Y311">
        <f>$C311*Y310</f>
        <v/>
      </c>
      <c r="Z311">
        <f>$C311*Z310</f>
        <v/>
      </c>
      <c r="AA311">
        <f>$C311*AA310</f>
        <v/>
      </c>
      <c r="AB311">
        <f>$C311*AB310</f>
        <v/>
      </c>
      <c r="AC311">
        <f>$C311*AC310</f>
        <v/>
      </c>
      <c r="AD311">
        <f>$C311*AD310</f>
        <v/>
      </c>
      <c r="AE311">
        <f>$C311*AE310</f>
        <v/>
      </c>
      <c r="AF311">
        <f>$C311*AF310</f>
        <v/>
      </c>
      <c r="AG311">
        <f>$C311*AG310</f>
        <v/>
      </c>
      <c r="AH311">
        <f>$C311*AH310</f>
        <v/>
      </c>
      <c r="AI311">
        <f>$C311*AI310</f>
        <v/>
      </c>
      <c r="AJ311">
        <f>$C311*AJ310</f>
        <v/>
      </c>
      <c r="AK311">
        <f>$C311*AK310</f>
        <v/>
      </c>
      <c r="AL311">
        <f>$C311*AL310</f>
        <v/>
      </c>
      <c r="AM311">
        <f>$C311*AM310</f>
        <v/>
      </c>
      <c r="AN311">
        <f>$C311*AN310</f>
        <v/>
      </c>
      <c r="AO311">
        <f>$C311*AO310</f>
        <v/>
      </c>
      <c r="AP311">
        <f>$C311*AP310</f>
        <v/>
      </c>
      <c r="AQ311">
        <f>$C311*AQ310</f>
        <v/>
      </c>
      <c r="AR311">
        <f>$C311*AR310</f>
        <v/>
      </c>
      <c r="AS311">
        <f>$C311*AS310</f>
        <v/>
      </c>
      <c r="AT311">
        <f>$C311*AT310</f>
        <v/>
      </c>
      <c r="AU311">
        <f>$C311*AU310</f>
        <v/>
      </c>
      <c r="AV311">
        <f>$C311*AV310</f>
        <v/>
      </c>
      <c r="AW311">
        <f>$C311*AW310</f>
        <v/>
      </c>
      <c r="AX311">
        <f>$C311*AX310</f>
        <v/>
      </c>
      <c r="AY311">
        <f>$C311*AY310</f>
        <v/>
      </c>
      <c r="AZ311">
        <f>$C311*AZ310</f>
        <v/>
      </c>
      <c r="BA311">
        <f>$C311*BA310</f>
        <v/>
      </c>
      <c r="BB311">
        <f>$C311*BB310</f>
        <v/>
      </c>
      <c r="BC311">
        <f>$C311*BC310</f>
        <v/>
      </c>
      <c r="BD311">
        <f>$C311*BD310</f>
        <v/>
      </c>
      <c r="BE311">
        <f>$C311*BE310</f>
        <v/>
      </c>
      <c r="BF311">
        <f>$C311*BF310</f>
        <v/>
      </c>
      <c r="BG311">
        <f>$C311*BG310</f>
        <v/>
      </c>
      <c r="BH311">
        <f>$C311*BH310</f>
        <v/>
      </c>
      <c r="BI311">
        <f>$C311*BI310</f>
        <v/>
      </c>
      <c r="BJ311">
        <f>$C311*BJ310</f>
        <v/>
      </c>
      <c r="BK311">
        <f>$C311*BK310</f>
        <v/>
      </c>
      <c r="BL311">
        <f>$C311*BL310</f>
        <v/>
      </c>
      <c r="BM311">
        <f>$C311*BM310</f>
        <v/>
      </c>
      <c r="BN311">
        <f>$C311*BN310</f>
        <v/>
      </c>
      <c r="BO311">
        <f>$C311*BO310</f>
        <v/>
      </c>
      <c r="BP311">
        <f>$C311*BP310</f>
        <v/>
      </c>
      <c r="BQ311">
        <f>$C311*BQ310</f>
        <v/>
      </c>
      <c r="BR311">
        <f>$C311*BR310</f>
        <v/>
      </c>
      <c r="BS311">
        <f>$C311*BS310</f>
        <v/>
      </c>
      <c r="BT311">
        <f>$C311*BT310</f>
        <v/>
      </c>
      <c r="BU311">
        <f>$C311*BU310</f>
        <v/>
      </c>
      <c r="BV311">
        <f>$C311*BV310</f>
        <v/>
      </c>
      <c r="BW311">
        <f>$C311*BW310</f>
        <v/>
      </c>
      <c r="BX311">
        <f>$C311*BX310</f>
        <v/>
      </c>
      <c r="BY311">
        <f>$C311*BY310</f>
        <v/>
      </c>
      <c r="BZ311">
        <f>$C311*BZ310</f>
        <v/>
      </c>
      <c r="CA311">
        <f>$C311*CA310</f>
        <v/>
      </c>
      <c r="CB311">
        <f>$C311*CB310</f>
        <v/>
      </c>
      <c r="CC311">
        <f>$C311*CC310</f>
        <v/>
      </c>
      <c r="CD311">
        <f>$C311*CD310</f>
        <v/>
      </c>
      <c r="CE311">
        <f>$C311*CE310</f>
        <v/>
      </c>
      <c r="CF311">
        <f>$C311*CF310</f>
        <v/>
      </c>
      <c r="CG311">
        <f>$C311*CG310</f>
        <v/>
      </c>
      <c r="CH311">
        <f>$C311*CH310</f>
        <v/>
      </c>
      <c r="CI311">
        <f>$C311*CI310</f>
        <v/>
      </c>
      <c r="CJ311">
        <f>$C311*CJ310</f>
        <v/>
      </c>
      <c r="CK311">
        <f>$C311*CK310</f>
        <v/>
      </c>
      <c r="CL311">
        <f>$C311*CL310</f>
        <v/>
      </c>
      <c r="CM311">
        <f>$C311*CM310</f>
        <v/>
      </c>
      <c r="CN311">
        <f>$C311*CN310</f>
        <v/>
      </c>
      <c r="CO311">
        <f>$C311*CO310</f>
        <v/>
      </c>
      <c r="CP311">
        <f>$C311*CP310</f>
        <v/>
      </c>
      <c r="CQ311">
        <f>$C311*CQ310</f>
        <v/>
      </c>
      <c r="CR311">
        <f>$C311*CR310</f>
        <v/>
      </c>
      <c r="CS311">
        <f>$C311*CS310</f>
        <v/>
      </c>
      <c r="CT311">
        <f>$C311*CT310</f>
        <v/>
      </c>
      <c r="CU311">
        <f>$C311*CU310</f>
        <v/>
      </c>
      <c r="CV311">
        <f>$C311*CV310</f>
        <v/>
      </c>
      <c r="CW311">
        <f>$C311*CW310</f>
        <v/>
      </c>
      <c r="CX311">
        <f>$C311*CX310</f>
        <v/>
      </c>
      <c r="CY311">
        <f>$C311*CY310</f>
        <v/>
      </c>
      <c r="CZ311">
        <f>$C311*CZ310</f>
        <v/>
      </c>
      <c r="DA311">
        <f>$C311*DA310</f>
        <v/>
      </c>
      <c r="DB311">
        <f>$C311*DB310</f>
        <v/>
      </c>
      <c r="DC311">
        <f>$C311*DC310</f>
        <v/>
      </c>
    </row>
    <row r="312">
      <c r="B312" t="inlineStr">
        <is>
          <t>VSP-607</t>
        </is>
      </c>
      <c r="C312" t="inlineStr">
        <is>
          <t>No. of batches</t>
        </is>
      </c>
      <c r="D312">
        <f>IFERROR(INDEX(PP_Grid[#Data],$DD312,2),0)</f>
        <v/>
      </c>
      <c r="E312">
        <f>IFERROR(INDEX(PP_Grid[#Data],$DD312,3),0)</f>
        <v/>
      </c>
      <c r="F312">
        <f>IFERROR(INDEX(PP_Grid[#Data],$DD312,4),0)</f>
        <v/>
      </c>
      <c r="G312">
        <f>IFERROR(INDEX(PP_Grid[#Data],$DD312,5),0)</f>
        <v/>
      </c>
      <c r="H312">
        <f>IFERROR(INDEX(PP_Grid[#Data],$DD312,6),0)</f>
        <v/>
      </c>
      <c r="I312">
        <f>IFERROR(INDEX(PP_Grid[#Data],$DD312,7),0)</f>
        <v/>
      </c>
      <c r="J312">
        <f>IFERROR(INDEX(PP_Grid[#Data],$DD312,8),0)</f>
        <v/>
      </c>
      <c r="K312">
        <f>IFERROR(INDEX(PP_Grid[#Data],$DD312,9),0)</f>
        <v/>
      </c>
      <c r="L312">
        <f>IFERROR(INDEX(PP_Grid[#Data],$DD312,10),0)</f>
        <v/>
      </c>
      <c r="M312">
        <f>IFERROR(INDEX(PP_Grid[#Data],$DD312,11),0)</f>
        <v/>
      </c>
      <c r="N312">
        <f>IFERROR(INDEX(PP_Grid[#Data],$DD312,12),0)</f>
        <v/>
      </c>
      <c r="O312">
        <f>IFERROR(INDEX(PP_Grid[#Data],$DD312,13),0)</f>
        <v/>
      </c>
      <c r="P312">
        <f>IFERROR(INDEX(PP_Grid[#Data],$DD312,14),0)</f>
        <v/>
      </c>
      <c r="Q312">
        <f>IFERROR(INDEX(PP_Grid[#Data],$DD312,15),0)</f>
        <v/>
      </c>
      <c r="R312">
        <f>IFERROR(INDEX(PP_Grid[#Data],$DD312,16),0)</f>
        <v/>
      </c>
      <c r="S312">
        <f>IFERROR(INDEX(PP_Grid[#Data],$DD312,17),0)</f>
        <v/>
      </c>
      <c r="T312">
        <f>IFERROR(INDEX(PP_Grid[#Data],$DD312,18),0)</f>
        <v/>
      </c>
      <c r="U312">
        <f>IFERROR(INDEX(PP_Grid[#Data],$DD312,19),0)</f>
        <v/>
      </c>
      <c r="V312">
        <f>IFERROR(INDEX(PP_Grid[#Data],$DD312,20),0)</f>
        <v/>
      </c>
      <c r="W312">
        <f>IFERROR(INDEX(PP_Grid[#Data],$DD312,21),0)</f>
        <v/>
      </c>
      <c r="X312">
        <f>IFERROR(INDEX(PP_Grid[#Data],$DD312,22),0)</f>
        <v/>
      </c>
      <c r="Y312">
        <f>IFERROR(INDEX(PP_Grid[#Data],$DD312,23),0)</f>
        <v/>
      </c>
      <c r="Z312">
        <f>IFERROR(INDEX(PP_Grid[#Data],$DD312,24),0)</f>
        <v/>
      </c>
      <c r="AA312">
        <f>IFERROR(INDEX(PP_Grid[#Data],$DD312,25),0)</f>
        <v/>
      </c>
      <c r="AB312">
        <f>IFERROR(INDEX(PP_Grid[#Data],$DD312,26),0)</f>
        <v/>
      </c>
      <c r="AC312">
        <f>IFERROR(INDEX(PP_Grid[#Data],$DD312,27),0)</f>
        <v/>
      </c>
      <c r="AD312">
        <f>IFERROR(INDEX(PP_Grid[#Data],$DD312,28),0)</f>
        <v/>
      </c>
      <c r="AE312">
        <f>IFERROR(INDEX(PP_Grid[#Data],$DD312,29),0)</f>
        <v/>
      </c>
      <c r="AF312">
        <f>IFERROR(INDEX(PP_Grid[#Data],$DD312,30),0)</f>
        <v/>
      </c>
      <c r="AG312">
        <f>IFERROR(INDEX(PP_Grid[#Data],$DD312,31),0)</f>
        <v/>
      </c>
      <c r="AH312">
        <f>IFERROR(INDEX(PP_Grid[#Data],$DD312,32),0)</f>
        <v/>
      </c>
      <c r="AI312">
        <f>IFERROR(INDEX(PP_Grid[#Data],$DD312,33),0)</f>
        <v/>
      </c>
      <c r="AJ312">
        <f>IFERROR(INDEX(PP_Grid[#Data],$DD312,34),0)</f>
        <v/>
      </c>
      <c r="AK312">
        <f>IFERROR(INDEX(PP_Grid[#Data],$DD312,35),0)</f>
        <v/>
      </c>
      <c r="AL312">
        <f>IFERROR(INDEX(PP_Grid[#Data],$DD312,36),0)</f>
        <v/>
      </c>
      <c r="AM312">
        <f>IFERROR(INDEX(PP_Grid[#Data],$DD312,37),0)</f>
        <v/>
      </c>
      <c r="AN312">
        <f>IFERROR(INDEX(PP_Grid[#Data],$DD312,38),0)</f>
        <v/>
      </c>
      <c r="AO312">
        <f>IFERROR(INDEX(PP_Grid[#Data],$DD312,39),0)</f>
        <v/>
      </c>
      <c r="AP312">
        <f>IFERROR(INDEX(PP_Grid[#Data],$DD312,40),0)</f>
        <v/>
      </c>
      <c r="AQ312">
        <f>IFERROR(INDEX(PP_Grid[#Data],$DD312,41),0)</f>
        <v/>
      </c>
      <c r="AR312">
        <f>IFERROR(INDEX(PP_Grid[#Data],$DD312,42),0)</f>
        <v/>
      </c>
      <c r="AS312">
        <f>IFERROR(INDEX(PP_Grid[#Data],$DD312,43),0)</f>
        <v/>
      </c>
      <c r="AT312">
        <f>IFERROR(INDEX(PP_Grid[#Data],$DD312,44),0)</f>
        <v/>
      </c>
      <c r="AU312">
        <f>IFERROR(INDEX(PP_Grid[#Data],$DD312,45),0)</f>
        <v/>
      </c>
      <c r="AV312">
        <f>IFERROR(INDEX(PP_Grid[#Data],$DD312,46),0)</f>
        <v/>
      </c>
      <c r="AW312">
        <f>IFERROR(INDEX(PP_Grid[#Data],$DD312,47),0)</f>
        <v/>
      </c>
      <c r="AX312">
        <f>IFERROR(INDEX(PP_Grid[#Data],$DD312,48),0)</f>
        <v/>
      </c>
      <c r="AY312">
        <f>IFERROR(INDEX(PP_Grid[#Data],$DD312,49),0)</f>
        <v/>
      </c>
      <c r="AZ312">
        <f>IFERROR(INDEX(PP_Grid[#Data],$DD312,50),0)</f>
        <v/>
      </c>
      <c r="BA312">
        <f>IFERROR(INDEX(PP_Grid[#Data],$DD312,51),0)</f>
        <v/>
      </c>
      <c r="BB312">
        <f>IFERROR(INDEX(PP_Grid[#Data],$DD312,52),0)</f>
        <v/>
      </c>
      <c r="BC312">
        <f>IFERROR(INDEX(PP_Grid[#Data],$DD312,53),0)</f>
        <v/>
      </c>
      <c r="BD312">
        <f>IFERROR(INDEX(PP_Grid[#Data],$DD312,54),0)</f>
        <v/>
      </c>
      <c r="BE312">
        <f>IFERROR(INDEX(PP_Grid[#Data],$DD312,55),0)</f>
        <v/>
      </c>
      <c r="BF312">
        <f>IFERROR(INDEX(PP_Grid[#Data],$DD312,56),0)</f>
        <v/>
      </c>
      <c r="BG312">
        <f>IFERROR(INDEX(PP_Grid[#Data],$DD312,57),0)</f>
        <v/>
      </c>
      <c r="BH312">
        <f>IFERROR(INDEX(PP_Grid[#Data],$DD312,58),0)</f>
        <v/>
      </c>
      <c r="BI312">
        <f>IFERROR(INDEX(PP_Grid[#Data],$DD312,59),0)</f>
        <v/>
      </c>
      <c r="BJ312">
        <f>IFERROR(INDEX(PP_Grid[#Data],$DD312,60),0)</f>
        <v/>
      </c>
      <c r="BK312">
        <f>IFERROR(INDEX(PP_Grid[#Data],$DD312,61),0)</f>
        <v/>
      </c>
      <c r="BL312">
        <f>IFERROR(INDEX(PP_Grid[#Data],$DD312,62),0)</f>
        <v/>
      </c>
      <c r="BM312">
        <f>IFERROR(INDEX(PP_Grid[#Data],$DD312,63),0)</f>
        <v/>
      </c>
      <c r="BN312">
        <f>IFERROR(INDEX(PP_Grid[#Data],$DD312,64),0)</f>
        <v/>
      </c>
      <c r="BO312">
        <f>IFERROR(INDEX(PP_Grid[#Data],$DD312,65),0)</f>
        <v/>
      </c>
      <c r="BP312">
        <f>IFERROR(INDEX(PP_Grid[#Data],$DD312,66),0)</f>
        <v/>
      </c>
      <c r="BQ312">
        <f>IFERROR(INDEX(PP_Grid[#Data],$DD312,67),0)</f>
        <v/>
      </c>
      <c r="BR312">
        <f>IFERROR(INDEX(PP_Grid[#Data],$DD312,68),0)</f>
        <v/>
      </c>
      <c r="BS312">
        <f>IFERROR(INDEX(PP_Grid[#Data],$DD312,69),0)</f>
        <v/>
      </c>
      <c r="BT312">
        <f>IFERROR(INDEX(PP_Grid[#Data],$DD312,70),0)</f>
        <v/>
      </c>
      <c r="BU312">
        <f>IFERROR(INDEX(PP_Grid[#Data],$DD312,71),0)</f>
        <v/>
      </c>
      <c r="BV312">
        <f>IFERROR(INDEX(PP_Grid[#Data],$DD312,72),0)</f>
        <v/>
      </c>
      <c r="BW312">
        <f>IFERROR(INDEX(PP_Grid[#Data],$DD312,73),0)</f>
        <v/>
      </c>
      <c r="BX312">
        <f>IFERROR(INDEX(PP_Grid[#Data],$DD312,74),0)</f>
        <v/>
      </c>
      <c r="BY312">
        <f>IFERROR(INDEX(PP_Grid[#Data],$DD312,75),0)</f>
        <v/>
      </c>
      <c r="BZ312">
        <f>IFERROR(INDEX(PP_Grid[#Data],$DD312,76),0)</f>
        <v/>
      </c>
      <c r="CA312">
        <f>IFERROR(INDEX(PP_Grid[#Data],$DD312,77),0)</f>
        <v/>
      </c>
      <c r="CB312">
        <f>IFERROR(INDEX(PP_Grid[#Data],$DD312,78),0)</f>
        <v/>
      </c>
      <c r="CC312">
        <f>IFERROR(INDEX(PP_Grid[#Data],$DD312,79),0)</f>
        <v/>
      </c>
      <c r="CD312">
        <f>IFERROR(INDEX(PP_Grid[#Data],$DD312,80),0)</f>
        <v/>
      </c>
      <c r="CE312">
        <f>IFERROR(INDEX(PP_Grid[#Data],$DD312,81),0)</f>
        <v/>
      </c>
      <c r="CF312">
        <f>IFERROR(INDEX(PP_Grid[#Data],$DD312,82),0)</f>
        <v/>
      </c>
      <c r="CG312">
        <f>IFERROR(INDEX(PP_Grid[#Data],$DD312,83),0)</f>
        <v/>
      </c>
      <c r="CH312">
        <f>IFERROR(INDEX(PP_Grid[#Data],$DD312,84),0)</f>
        <v/>
      </c>
      <c r="CI312">
        <f>IFERROR(INDEX(PP_Grid[#Data],$DD312,85),0)</f>
        <v/>
      </c>
      <c r="CJ312">
        <f>IFERROR(INDEX(PP_Grid[#Data],$DD312,86),0)</f>
        <v/>
      </c>
      <c r="CK312">
        <f>IFERROR(INDEX(PP_Grid[#Data],$DD312,87),0)</f>
        <v/>
      </c>
      <c r="CL312">
        <f>IFERROR(INDEX(PP_Grid[#Data],$DD312,88),0)</f>
        <v/>
      </c>
      <c r="CM312">
        <f>IFERROR(INDEX(PP_Grid[#Data],$DD312,89),0)</f>
        <v/>
      </c>
      <c r="CN312">
        <f>IFERROR(INDEX(PP_Grid[#Data],$DD312,90),0)</f>
        <v/>
      </c>
      <c r="CO312">
        <f>IFERROR(INDEX(PP_Grid[#Data],$DD312,91),0)</f>
        <v/>
      </c>
      <c r="CP312">
        <f>IFERROR(INDEX(PP_Grid[#Data],$DD312,92),0)</f>
        <v/>
      </c>
      <c r="CQ312">
        <f>IFERROR(INDEX(PP_Grid[#Data],$DD312,93),0)</f>
        <v/>
      </c>
      <c r="CR312">
        <f>IFERROR(INDEX(PP_Grid[#Data],$DD312,94),0)</f>
        <v/>
      </c>
      <c r="CS312">
        <f>IFERROR(INDEX(PP_Grid[#Data],$DD312,95),0)</f>
        <v/>
      </c>
      <c r="CT312">
        <f>IFERROR(INDEX(PP_Grid[#Data],$DD312,96),0)</f>
        <v/>
      </c>
      <c r="CU312">
        <f>IFERROR(INDEX(PP_Grid[#Data],$DD312,97),0)</f>
        <v/>
      </c>
      <c r="CV312">
        <f>IFERROR(INDEX(PP_Grid[#Data],$DD312,98),0)</f>
        <v/>
      </c>
      <c r="CW312">
        <f>IFERROR(INDEX(PP_Grid[#Data],$DD312,99),0)</f>
        <v/>
      </c>
      <c r="CX312">
        <f>IFERROR(INDEX(PP_Grid[#Data],$DD312,100),0)</f>
        <v/>
      </c>
      <c r="CY312">
        <f>IFERROR(INDEX(PP_Grid[#Data],$DD312,101),0)</f>
        <v/>
      </c>
      <c r="CZ312">
        <f>IFERROR(INDEX(PP_Grid[#Data],$DD312,102),0)</f>
        <v/>
      </c>
      <c r="DA312">
        <f>IFERROR(INDEX(PP_Grid[#Data],$DD312,103),0)</f>
        <v/>
      </c>
      <c r="DB312">
        <f>IFERROR(INDEX(PP_Grid[#Data],$DD312,104),0)</f>
        <v/>
      </c>
      <c r="DC312">
        <f>IFERROR(INDEX(PP_Grid[#Data],$DD312,105),0)</f>
        <v/>
      </c>
      <c r="DD312" s="7">
        <f>IFERROR(MATCH($B312,PP_Grid[Intermediate],0),99999)</f>
        <v/>
      </c>
    </row>
    <row r="313">
      <c r="B313" t="inlineStr">
        <is>
          <t>使用量(kg)</t>
        </is>
      </c>
      <c r="C313">
        <f>SUMIFS(M_BOM[RM_Qty_Per_Batch],M_BOM[Intermediate],$B312,M_BOM[Part Name],$A219)</f>
        <v/>
      </c>
      <c r="D313">
        <f>$C313*D312</f>
        <v/>
      </c>
      <c r="E313">
        <f>$C313*E312</f>
        <v/>
      </c>
      <c r="F313">
        <f>$C313*F312</f>
        <v/>
      </c>
      <c r="G313">
        <f>$C313*G312</f>
        <v/>
      </c>
      <c r="H313">
        <f>$C313*H312</f>
        <v/>
      </c>
      <c r="I313">
        <f>$C313*I312</f>
        <v/>
      </c>
      <c r="J313">
        <f>$C313*J312</f>
        <v/>
      </c>
      <c r="K313">
        <f>$C313*K312</f>
        <v/>
      </c>
      <c r="L313">
        <f>$C313*L312</f>
        <v/>
      </c>
      <c r="M313">
        <f>$C313*M312</f>
        <v/>
      </c>
      <c r="N313">
        <f>$C313*N312</f>
        <v/>
      </c>
      <c r="O313">
        <f>$C313*O312</f>
        <v/>
      </c>
      <c r="P313">
        <f>$C313*P312</f>
        <v/>
      </c>
      <c r="Q313">
        <f>$C313*Q312</f>
        <v/>
      </c>
      <c r="R313">
        <f>$C313*R312</f>
        <v/>
      </c>
      <c r="S313">
        <f>$C313*S312</f>
        <v/>
      </c>
      <c r="T313">
        <f>$C313*T312</f>
        <v/>
      </c>
      <c r="U313">
        <f>$C313*U312</f>
        <v/>
      </c>
      <c r="V313">
        <f>$C313*V312</f>
        <v/>
      </c>
      <c r="W313">
        <f>$C313*W312</f>
        <v/>
      </c>
      <c r="X313">
        <f>$C313*X312</f>
        <v/>
      </c>
      <c r="Y313">
        <f>$C313*Y312</f>
        <v/>
      </c>
      <c r="Z313">
        <f>$C313*Z312</f>
        <v/>
      </c>
      <c r="AA313">
        <f>$C313*AA312</f>
        <v/>
      </c>
      <c r="AB313">
        <f>$C313*AB312</f>
        <v/>
      </c>
      <c r="AC313">
        <f>$C313*AC312</f>
        <v/>
      </c>
      <c r="AD313">
        <f>$C313*AD312</f>
        <v/>
      </c>
      <c r="AE313">
        <f>$C313*AE312</f>
        <v/>
      </c>
      <c r="AF313">
        <f>$C313*AF312</f>
        <v/>
      </c>
      <c r="AG313">
        <f>$C313*AG312</f>
        <v/>
      </c>
      <c r="AH313">
        <f>$C313*AH312</f>
        <v/>
      </c>
      <c r="AI313">
        <f>$C313*AI312</f>
        <v/>
      </c>
      <c r="AJ313">
        <f>$C313*AJ312</f>
        <v/>
      </c>
      <c r="AK313">
        <f>$C313*AK312</f>
        <v/>
      </c>
      <c r="AL313">
        <f>$C313*AL312</f>
        <v/>
      </c>
      <c r="AM313">
        <f>$C313*AM312</f>
        <v/>
      </c>
      <c r="AN313">
        <f>$C313*AN312</f>
        <v/>
      </c>
      <c r="AO313">
        <f>$C313*AO312</f>
        <v/>
      </c>
      <c r="AP313">
        <f>$C313*AP312</f>
        <v/>
      </c>
      <c r="AQ313">
        <f>$C313*AQ312</f>
        <v/>
      </c>
      <c r="AR313">
        <f>$C313*AR312</f>
        <v/>
      </c>
      <c r="AS313">
        <f>$C313*AS312</f>
        <v/>
      </c>
      <c r="AT313">
        <f>$C313*AT312</f>
        <v/>
      </c>
      <c r="AU313">
        <f>$C313*AU312</f>
        <v/>
      </c>
      <c r="AV313">
        <f>$C313*AV312</f>
        <v/>
      </c>
      <c r="AW313">
        <f>$C313*AW312</f>
        <v/>
      </c>
      <c r="AX313">
        <f>$C313*AX312</f>
        <v/>
      </c>
      <c r="AY313">
        <f>$C313*AY312</f>
        <v/>
      </c>
      <c r="AZ313">
        <f>$C313*AZ312</f>
        <v/>
      </c>
      <c r="BA313">
        <f>$C313*BA312</f>
        <v/>
      </c>
      <c r="BB313">
        <f>$C313*BB312</f>
        <v/>
      </c>
      <c r="BC313">
        <f>$C313*BC312</f>
        <v/>
      </c>
      <c r="BD313">
        <f>$C313*BD312</f>
        <v/>
      </c>
      <c r="BE313">
        <f>$C313*BE312</f>
        <v/>
      </c>
      <c r="BF313">
        <f>$C313*BF312</f>
        <v/>
      </c>
      <c r="BG313">
        <f>$C313*BG312</f>
        <v/>
      </c>
      <c r="BH313">
        <f>$C313*BH312</f>
        <v/>
      </c>
      <c r="BI313">
        <f>$C313*BI312</f>
        <v/>
      </c>
      <c r="BJ313">
        <f>$C313*BJ312</f>
        <v/>
      </c>
      <c r="BK313">
        <f>$C313*BK312</f>
        <v/>
      </c>
      <c r="BL313">
        <f>$C313*BL312</f>
        <v/>
      </c>
      <c r="BM313">
        <f>$C313*BM312</f>
        <v/>
      </c>
      <c r="BN313">
        <f>$C313*BN312</f>
        <v/>
      </c>
      <c r="BO313">
        <f>$C313*BO312</f>
        <v/>
      </c>
      <c r="BP313">
        <f>$C313*BP312</f>
        <v/>
      </c>
      <c r="BQ313">
        <f>$C313*BQ312</f>
        <v/>
      </c>
      <c r="BR313">
        <f>$C313*BR312</f>
        <v/>
      </c>
      <c r="BS313">
        <f>$C313*BS312</f>
        <v/>
      </c>
      <c r="BT313">
        <f>$C313*BT312</f>
        <v/>
      </c>
      <c r="BU313">
        <f>$C313*BU312</f>
        <v/>
      </c>
      <c r="BV313">
        <f>$C313*BV312</f>
        <v/>
      </c>
      <c r="BW313">
        <f>$C313*BW312</f>
        <v/>
      </c>
      <c r="BX313">
        <f>$C313*BX312</f>
        <v/>
      </c>
      <c r="BY313">
        <f>$C313*BY312</f>
        <v/>
      </c>
      <c r="BZ313">
        <f>$C313*BZ312</f>
        <v/>
      </c>
      <c r="CA313">
        <f>$C313*CA312</f>
        <v/>
      </c>
      <c r="CB313">
        <f>$C313*CB312</f>
        <v/>
      </c>
      <c r="CC313">
        <f>$C313*CC312</f>
        <v/>
      </c>
      <c r="CD313">
        <f>$C313*CD312</f>
        <v/>
      </c>
      <c r="CE313">
        <f>$C313*CE312</f>
        <v/>
      </c>
      <c r="CF313">
        <f>$C313*CF312</f>
        <v/>
      </c>
      <c r="CG313">
        <f>$C313*CG312</f>
        <v/>
      </c>
      <c r="CH313">
        <f>$C313*CH312</f>
        <v/>
      </c>
      <c r="CI313">
        <f>$C313*CI312</f>
        <v/>
      </c>
      <c r="CJ313">
        <f>$C313*CJ312</f>
        <v/>
      </c>
      <c r="CK313">
        <f>$C313*CK312</f>
        <v/>
      </c>
      <c r="CL313">
        <f>$C313*CL312</f>
        <v/>
      </c>
      <c r="CM313">
        <f>$C313*CM312</f>
        <v/>
      </c>
      <c r="CN313">
        <f>$C313*CN312</f>
        <v/>
      </c>
      <c r="CO313">
        <f>$C313*CO312</f>
        <v/>
      </c>
      <c r="CP313">
        <f>$C313*CP312</f>
        <v/>
      </c>
      <c r="CQ313">
        <f>$C313*CQ312</f>
        <v/>
      </c>
      <c r="CR313">
        <f>$C313*CR312</f>
        <v/>
      </c>
      <c r="CS313">
        <f>$C313*CS312</f>
        <v/>
      </c>
      <c r="CT313">
        <f>$C313*CT312</f>
        <v/>
      </c>
      <c r="CU313">
        <f>$C313*CU312</f>
        <v/>
      </c>
      <c r="CV313">
        <f>$C313*CV312</f>
        <v/>
      </c>
      <c r="CW313">
        <f>$C313*CW312</f>
        <v/>
      </c>
      <c r="CX313">
        <f>$C313*CX312</f>
        <v/>
      </c>
      <c r="CY313">
        <f>$C313*CY312</f>
        <v/>
      </c>
      <c r="CZ313">
        <f>$C313*CZ312</f>
        <v/>
      </c>
      <c r="DA313">
        <f>$C313*DA312</f>
        <v/>
      </c>
      <c r="DB313">
        <f>$C313*DB312</f>
        <v/>
      </c>
      <c r="DC313">
        <f>$C313*DC312</f>
        <v/>
      </c>
    </row>
    <row r="314">
      <c r="B314" t="inlineStr">
        <is>
          <t>VSP-739</t>
        </is>
      </c>
      <c r="C314" t="inlineStr">
        <is>
          <t>No. of batches</t>
        </is>
      </c>
      <c r="D314">
        <f>IFERROR(INDEX(PP_Grid[#Data],$DD314,2),0)</f>
        <v/>
      </c>
      <c r="E314">
        <f>IFERROR(INDEX(PP_Grid[#Data],$DD314,3),0)</f>
        <v/>
      </c>
      <c r="F314">
        <f>IFERROR(INDEX(PP_Grid[#Data],$DD314,4),0)</f>
        <v/>
      </c>
      <c r="G314">
        <f>IFERROR(INDEX(PP_Grid[#Data],$DD314,5),0)</f>
        <v/>
      </c>
      <c r="H314">
        <f>IFERROR(INDEX(PP_Grid[#Data],$DD314,6),0)</f>
        <v/>
      </c>
      <c r="I314">
        <f>IFERROR(INDEX(PP_Grid[#Data],$DD314,7),0)</f>
        <v/>
      </c>
      <c r="J314">
        <f>IFERROR(INDEX(PP_Grid[#Data],$DD314,8),0)</f>
        <v/>
      </c>
      <c r="K314">
        <f>IFERROR(INDEX(PP_Grid[#Data],$DD314,9),0)</f>
        <v/>
      </c>
      <c r="L314">
        <f>IFERROR(INDEX(PP_Grid[#Data],$DD314,10),0)</f>
        <v/>
      </c>
      <c r="M314">
        <f>IFERROR(INDEX(PP_Grid[#Data],$DD314,11),0)</f>
        <v/>
      </c>
      <c r="N314">
        <f>IFERROR(INDEX(PP_Grid[#Data],$DD314,12),0)</f>
        <v/>
      </c>
      <c r="O314">
        <f>IFERROR(INDEX(PP_Grid[#Data],$DD314,13),0)</f>
        <v/>
      </c>
      <c r="P314">
        <f>IFERROR(INDEX(PP_Grid[#Data],$DD314,14),0)</f>
        <v/>
      </c>
      <c r="Q314">
        <f>IFERROR(INDEX(PP_Grid[#Data],$DD314,15),0)</f>
        <v/>
      </c>
      <c r="R314">
        <f>IFERROR(INDEX(PP_Grid[#Data],$DD314,16),0)</f>
        <v/>
      </c>
      <c r="S314">
        <f>IFERROR(INDEX(PP_Grid[#Data],$DD314,17),0)</f>
        <v/>
      </c>
      <c r="T314">
        <f>IFERROR(INDEX(PP_Grid[#Data],$DD314,18),0)</f>
        <v/>
      </c>
      <c r="U314">
        <f>IFERROR(INDEX(PP_Grid[#Data],$DD314,19),0)</f>
        <v/>
      </c>
      <c r="V314">
        <f>IFERROR(INDEX(PP_Grid[#Data],$DD314,20),0)</f>
        <v/>
      </c>
      <c r="W314">
        <f>IFERROR(INDEX(PP_Grid[#Data],$DD314,21),0)</f>
        <v/>
      </c>
      <c r="X314">
        <f>IFERROR(INDEX(PP_Grid[#Data],$DD314,22),0)</f>
        <v/>
      </c>
      <c r="Y314">
        <f>IFERROR(INDEX(PP_Grid[#Data],$DD314,23),0)</f>
        <v/>
      </c>
      <c r="Z314">
        <f>IFERROR(INDEX(PP_Grid[#Data],$DD314,24),0)</f>
        <v/>
      </c>
      <c r="AA314">
        <f>IFERROR(INDEX(PP_Grid[#Data],$DD314,25),0)</f>
        <v/>
      </c>
      <c r="AB314">
        <f>IFERROR(INDEX(PP_Grid[#Data],$DD314,26),0)</f>
        <v/>
      </c>
      <c r="AC314">
        <f>IFERROR(INDEX(PP_Grid[#Data],$DD314,27),0)</f>
        <v/>
      </c>
      <c r="AD314">
        <f>IFERROR(INDEX(PP_Grid[#Data],$DD314,28),0)</f>
        <v/>
      </c>
      <c r="AE314">
        <f>IFERROR(INDEX(PP_Grid[#Data],$DD314,29),0)</f>
        <v/>
      </c>
      <c r="AF314">
        <f>IFERROR(INDEX(PP_Grid[#Data],$DD314,30),0)</f>
        <v/>
      </c>
      <c r="AG314">
        <f>IFERROR(INDEX(PP_Grid[#Data],$DD314,31),0)</f>
        <v/>
      </c>
      <c r="AH314">
        <f>IFERROR(INDEX(PP_Grid[#Data],$DD314,32),0)</f>
        <v/>
      </c>
      <c r="AI314">
        <f>IFERROR(INDEX(PP_Grid[#Data],$DD314,33),0)</f>
        <v/>
      </c>
      <c r="AJ314">
        <f>IFERROR(INDEX(PP_Grid[#Data],$DD314,34),0)</f>
        <v/>
      </c>
      <c r="AK314">
        <f>IFERROR(INDEX(PP_Grid[#Data],$DD314,35),0)</f>
        <v/>
      </c>
      <c r="AL314">
        <f>IFERROR(INDEX(PP_Grid[#Data],$DD314,36),0)</f>
        <v/>
      </c>
      <c r="AM314">
        <f>IFERROR(INDEX(PP_Grid[#Data],$DD314,37),0)</f>
        <v/>
      </c>
      <c r="AN314">
        <f>IFERROR(INDEX(PP_Grid[#Data],$DD314,38),0)</f>
        <v/>
      </c>
      <c r="AO314">
        <f>IFERROR(INDEX(PP_Grid[#Data],$DD314,39),0)</f>
        <v/>
      </c>
      <c r="AP314">
        <f>IFERROR(INDEX(PP_Grid[#Data],$DD314,40),0)</f>
        <v/>
      </c>
      <c r="AQ314">
        <f>IFERROR(INDEX(PP_Grid[#Data],$DD314,41),0)</f>
        <v/>
      </c>
      <c r="AR314">
        <f>IFERROR(INDEX(PP_Grid[#Data],$DD314,42),0)</f>
        <v/>
      </c>
      <c r="AS314">
        <f>IFERROR(INDEX(PP_Grid[#Data],$DD314,43),0)</f>
        <v/>
      </c>
      <c r="AT314">
        <f>IFERROR(INDEX(PP_Grid[#Data],$DD314,44),0)</f>
        <v/>
      </c>
      <c r="AU314">
        <f>IFERROR(INDEX(PP_Grid[#Data],$DD314,45),0)</f>
        <v/>
      </c>
      <c r="AV314">
        <f>IFERROR(INDEX(PP_Grid[#Data],$DD314,46),0)</f>
        <v/>
      </c>
      <c r="AW314">
        <f>IFERROR(INDEX(PP_Grid[#Data],$DD314,47),0)</f>
        <v/>
      </c>
      <c r="AX314">
        <f>IFERROR(INDEX(PP_Grid[#Data],$DD314,48),0)</f>
        <v/>
      </c>
      <c r="AY314">
        <f>IFERROR(INDEX(PP_Grid[#Data],$DD314,49),0)</f>
        <v/>
      </c>
      <c r="AZ314">
        <f>IFERROR(INDEX(PP_Grid[#Data],$DD314,50),0)</f>
        <v/>
      </c>
      <c r="BA314">
        <f>IFERROR(INDEX(PP_Grid[#Data],$DD314,51),0)</f>
        <v/>
      </c>
      <c r="BB314">
        <f>IFERROR(INDEX(PP_Grid[#Data],$DD314,52),0)</f>
        <v/>
      </c>
      <c r="BC314">
        <f>IFERROR(INDEX(PP_Grid[#Data],$DD314,53),0)</f>
        <v/>
      </c>
      <c r="BD314">
        <f>IFERROR(INDEX(PP_Grid[#Data],$DD314,54),0)</f>
        <v/>
      </c>
      <c r="BE314">
        <f>IFERROR(INDEX(PP_Grid[#Data],$DD314,55),0)</f>
        <v/>
      </c>
      <c r="BF314">
        <f>IFERROR(INDEX(PP_Grid[#Data],$DD314,56),0)</f>
        <v/>
      </c>
      <c r="BG314">
        <f>IFERROR(INDEX(PP_Grid[#Data],$DD314,57),0)</f>
        <v/>
      </c>
      <c r="BH314">
        <f>IFERROR(INDEX(PP_Grid[#Data],$DD314,58),0)</f>
        <v/>
      </c>
      <c r="BI314">
        <f>IFERROR(INDEX(PP_Grid[#Data],$DD314,59),0)</f>
        <v/>
      </c>
      <c r="BJ314">
        <f>IFERROR(INDEX(PP_Grid[#Data],$DD314,60),0)</f>
        <v/>
      </c>
      <c r="BK314">
        <f>IFERROR(INDEX(PP_Grid[#Data],$DD314,61),0)</f>
        <v/>
      </c>
      <c r="BL314">
        <f>IFERROR(INDEX(PP_Grid[#Data],$DD314,62),0)</f>
        <v/>
      </c>
      <c r="BM314">
        <f>IFERROR(INDEX(PP_Grid[#Data],$DD314,63),0)</f>
        <v/>
      </c>
      <c r="BN314">
        <f>IFERROR(INDEX(PP_Grid[#Data],$DD314,64),0)</f>
        <v/>
      </c>
      <c r="BO314">
        <f>IFERROR(INDEX(PP_Grid[#Data],$DD314,65),0)</f>
        <v/>
      </c>
      <c r="BP314">
        <f>IFERROR(INDEX(PP_Grid[#Data],$DD314,66),0)</f>
        <v/>
      </c>
      <c r="BQ314">
        <f>IFERROR(INDEX(PP_Grid[#Data],$DD314,67),0)</f>
        <v/>
      </c>
      <c r="BR314">
        <f>IFERROR(INDEX(PP_Grid[#Data],$DD314,68),0)</f>
        <v/>
      </c>
      <c r="BS314">
        <f>IFERROR(INDEX(PP_Grid[#Data],$DD314,69),0)</f>
        <v/>
      </c>
      <c r="BT314">
        <f>IFERROR(INDEX(PP_Grid[#Data],$DD314,70),0)</f>
        <v/>
      </c>
      <c r="BU314">
        <f>IFERROR(INDEX(PP_Grid[#Data],$DD314,71),0)</f>
        <v/>
      </c>
      <c r="BV314">
        <f>IFERROR(INDEX(PP_Grid[#Data],$DD314,72),0)</f>
        <v/>
      </c>
      <c r="BW314">
        <f>IFERROR(INDEX(PP_Grid[#Data],$DD314,73),0)</f>
        <v/>
      </c>
      <c r="BX314">
        <f>IFERROR(INDEX(PP_Grid[#Data],$DD314,74),0)</f>
        <v/>
      </c>
      <c r="BY314">
        <f>IFERROR(INDEX(PP_Grid[#Data],$DD314,75),0)</f>
        <v/>
      </c>
      <c r="BZ314">
        <f>IFERROR(INDEX(PP_Grid[#Data],$DD314,76),0)</f>
        <v/>
      </c>
      <c r="CA314">
        <f>IFERROR(INDEX(PP_Grid[#Data],$DD314,77),0)</f>
        <v/>
      </c>
      <c r="CB314">
        <f>IFERROR(INDEX(PP_Grid[#Data],$DD314,78),0)</f>
        <v/>
      </c>
      <c r="CC314">
        <f>IFERROR(INDEX(PP_Grid[#Data],$DD314,79),0)</f>
        <v/>
      </c>
      <c r="CD314">
        <f>IFERROR(INDEX(PP_Grid[#Data],$DD314,80),0)</f>
        <v/>
      </c>
      <c r="CE314">
        <f>IFERROR(INDEX(PP_Grid[#Data],$DD314,81),0)</f>
        <v/>
      </c>
      <c r="CF314">
        <f>IFERROR(INDEX(PP_Grid[#Data],$DD314,82),0)</f>
        <v/>
      </c>
      <c r="CG314">
        <f>IFERROR(INDEX(PP_Grid[#Data],$DD314,83),0)</f>
        <v/>
      </c>
      <c r="CH314">
        <f>IFERROR(INDEX(PP_Grid[#Data],$DD314,84),0)</f>
        <v/>
      </c>
      <c r="CI314">
        <f>IFERROR(INDEX(PP_Grid[#Data],$DD314,85),0)</f>
        <v/>
      </c>
      <c r="CJ314">
        <f>IFERROR(INDEX(PP_Grid[#Data],$DD314,86),0)</f>
        <v/>
      </c>
      <c r="CK314">
        <f>IFERROR(INDEX(PP_Grid[#Data],$DD314,87),0)</f>
        <v/>
      </c>
      <c r="CL314">
        <f>IFERROR(INDEX(PP_Grid[#Data],$DD314,88),0)</f>
        <v/>
      </c>
      <c r="CM314">
        <f>IFERROR(INDEX(PP_Grid[#Data],$DD314,89),0)</f>
        <v/>
      </c>
      <c r="CN314">
        <f>IFERROR(INDEX(PP_Grid[#Data],$DD314,90),0)</f>
        <v/>
      </c>
      <c r="CO314">
        <f>IFERROR(INDEX(PP_Grid[#Data],$DD314,91),0)</f>
        <v/>
      </c>
      <c r="CP314">
        <f>IFERROR(INDEX(PP_Grid[#Data],$DD314,92),0)</f>
        <v/>
      </c>
      <c r="CQ314">
        <f>IFERROR(INDEX(PP_Grid[#Data],$DD314,93),0)</f>
        <v/>
      </c>
      <c r="CR314">
        <f>IFERROR(INDEX(PP_Grid[#Data],$DD314,94),0)</f>
        <v/>
      </c>
      <c r="CS314">
        <f>IFERROR(INDEX(PP_Grid[#Data],$DD314,95),0)</f>
        <v/>
      </c>
      <c r="CT314">
        <f>IFERROR(INDEX(PP_Grid[#Data],$DD314,96),0)</f>
        <v/>
      </c>
      <c r="CU314">
        <f>IFERROR(INDEX(PP_Grid[#Data],$DD314,97),0)</f>
        <v/>
      </c>
      <c r="CV314">
        <f>IFERROR(INDEX(PP_Grid[#Data],$DD314,98),0)</f>
        <v/>
      </c>
      <c r="CW314">
        <f>IFERROR(INDEX(PP_Grid[#Data],$DD314,99),0)</f>
        <v/>
      </c>
      <c r="CX314">
        <f>IFERROR(INDEX(PP_Grid[#Data],$DD314,100),0)</f>
        <v/>
      </c>
      <c r="CY314">
        <f>IFERROR(INDEX(PP_Grid[#Data],$DD314,101),0)</f>
        <v/>
      </c>
      <c r="CZ314">
        <f>IFERROR(INDEX(PP_Grid[#Data],$DD314,102),0)</f>
        <v/>
      </c>
      <c r="DA314">
        <f>IFERROR(INDEX(PP_Grid[#Data],$DD314,103),0)</f>
        <v/>
      </c>
      <c r="DB314">
        <f>IFERROR(INDEX(PP_Grid[#Data],$DD314,104),0)</f>
        <v/>
      </c>
      <c r="DC314">
        <f>IFERROR(INDEX(PP_Grid[#Data],$DD314,105),0)</f>
        <v/>
      </c>
      <c r="DD314" s="7">
        <f>IFERROR(MATCH($B314,PP_Grid[Intermediate],0),99999)</f>
        <v/>
      </c>
    </row>
    <row r="315">
      <c r="B315" t="inlineStr">
        <is>
          <t>使用量(kg)</t>
        </is>
      </c>
      <c r="C315">
        <f>SUMIFS(M_BOM[RM_Qty_Per_Batch],M_BOM[Intermediate],$B314,M_BOM[Part Name],$A219)</f>
        <v/>
      </c>
      <c r="D315">
        <f>$C315*D314</f>
        <v/>
      </c>
      <c r="E315">
        <f>$C315*E314</f>
        <v/>
      </c>
      <c r="F315">
        <f>$C315*F314</f>
        <v/>
      </c>
      <c r="G315">
        <f>$C315*G314</f>
        <v/>
      </c>
      <c r="H315">
        <f>$C315*H314</f>
        <v/>
      </c>
      <c r="I315">
        <f>$C315*I314</f>
        <v/>
      </c>
      <c r="J315">
        <f>$C315*J314</f>
        <v/>
      </c>
      <c r="K315">
        <f>$C315*K314</f>
        <v/>
      </c>
      <c r="L315">
        <f>$C315*L314</f>
        <v/>
      </c>
      <c r="M315">
        <f>$C315*M314</f>
        <v/>
      </c>
      <c r="N315">
        <f>$C315*N314</f>
        <v/>
      </c>
      <c r="O315">
        <f>$C315*O314</f>
        <v/>
      </c>
      <c r="P315">
        <f>$C315*P314</f>
        <v/>
      </c>
      <c r="Q315">
        <f>$C315*Q314</f>
        <v/>
      </c>
      <c r="R315">
        <f>$C315*R314</f>
        <v/>
      </c>
      <c r="S315">
        <f>$C315*S314</f>
        <v/>
      </c>
      <c r="T315">
        <f>$C315*T314</f>
        <v/>
      </c>
      <c r="U315">
        <f>$C315*U314</f>
        <v/>
      </c>
      <c r="V315">
        <f>$C315*V314</f>
        <v/>
      </c>
      <c r="W315">
        <f>$C315*W314</f>
        <v/>
      </c>
      <c r="X315">
        <f>$C315*X314</f>
        <v/>
      </c>
      <c r="Y315">
        <f>$C315*Y314</f>
        <v/>
      </c>
      <c r="Z315">
        <f>$C315*Z314</f>
        <v/>
      </c>
      <c r="AA315">
        <f>$C315*AA314</f>
        <v/>
      </c>
      <c r="AB315">
        <f>$C315*AB314</f>
        <v/>
      </c>
      <c r="AC315">
        <f>$C315*AC314</f>
        <v/>
      </c>
      <c r="AD315">
        <f>$C315*AD314</f>
        <v/>
      </c>
      <c r="AE315">
        <f>$C315*AE314</f>
        <v/>
      </c>
      <c r="AF315">
        <f>$C315*AF314</f>
        <v/>
      </c>
      <c r="AG315">
        <f>$C315*AG314</f>
        <v/>
      </c>
      <c r="AH315">
        <f>$C315*AH314</f>
        <v/>
      </c>
      <c r="AI315">
        <f>$C315*AI314</f>
        <v/>
      </c>
      <c r="AJ315">
        <f>$C315*AJ314</f>
        <v/>
      </c>
      <c r="AK315">
        <f>$C315*AK314</f>
        <v/>
      </c>
      <c r="AL315">
        <f>$C315*AL314</f>
        <v/>
      </c>
      <c r="AM315">
        <f>$C315*AM314</f>
        <v/>
      </c>
      <c r="AN315">
        <f>$C315*AN314</f>
        <v/>
      </c>
      <c r="AO315">
        <f>$C315*AO314</f>
        <v/>
      </c>
      <c r="AP315">
        <f>$C315*AP314</f>
        <v/>
      </c>
      <c r="AQ315">
        <f>$C315*AQ314</f>
        <v/>
      </c>
      <c r="AR315">
        <f>$C315*AR314</f>
        <v/>
      </c>
      <c r="AS315">
        <f>$C315*AS314</f>
        <v/>
      </c>
      <c r="AT315">
        <f>$C315*AT314</f>
        <v/>
      </c>
      <c r="AU315">
        <f>$C315*AU314</f>
        <v/>
      </c>
      <c r="AV315">
        <f>$C315*AV314</f>
        <v/>
      </c>
      <c r="AW315">
        <f>$C315*AW314</f>
        <v/>
      </c>
      <c r="AX315">
        <f>$C315*AX314</f>
        <v/>
      </c>
      <c r="AY315">
        <f>$C315*AY314</f>
        <v/>
      </c>
      <c r="AZ315">
        <f>$C315*AZ314</f>
        <v/>
      </c>
      <c r="BA315">
        <f>$C315*BA314</f>
        <v/>
      </c>
      <c r="BB315">
        <f>$C315*BB314</f>
        <v/>
      </c>
      <c r="BC315">
        <f>$C315*BC314</f>
        <v/>
      </c>
      <c r="BD315">
        <f>$C315*BD314</f>
        <v/>
      </c>
      <c r="BE315">
        <f>$C315*BE314</f>
        <v/>
      </c>
      <c r="BF315">
        <f>$C315*BF314</f>
        <v/>
      </c>
      <c r="BG315">
        <f>$C315*BG314</f>
        <v/>
      </c>
      <c r="BH315">
        <f>$C315*BH314</f>
        <v/>
      </c>
      <c r="BI315">
        <f>$C315*BI314</f>
        <v/>
      </c>
      <c r="BJ315">
        <f>$C315*BJ314</f>
        <v/>
      </c>
      <c r="BK315">
        <f>$C315*BK314</f>
        <v/>
      </c>
      <c r="BL315">
        <f>$C315*BL314</f>
        <v/>
      </c>
      <c r="BM315">
        <f>$C315*BM314</f>
        <v/>
      </c>
      <c r="BN315">
        <f>$C315*BN314</f>
        <v/>
      </c>
      <c r="BO315">
        <f>$C315*BO314</f>
        <v/>
      </c>
      <c r="BP315">
        <f>$C315*BP314</f>
        <v/>
      </c>
      <c r="BQ315">
        <f>$C315*BQ314</f>
        <v/>
      </c>
      <c r="BR315">
        <f>$C315*BR314</f>
        <v/>
      </c>
      <c r="BS315">
        <f>$C315*BS314</f>
        <v/>
      </c>
      <c r="BT315">
        <f>$C315*BT314</f>
        <v/>
      </c>
      <c r="BU315">
        <f>$C315*BU314</f>
        <v/>
      </c>
      <c r="BV315">
        <f>$C315*BV314</f>
        <v/>
      </c>
      <c r="BW315">
        <f>$C315*BW314</f>
        <v/>
      </c>
      <c r="BX315">
        <f>$C315*BX314</f>
        <v/>
      </c>
      <c r="BY315">
        <f>$C315*BY314</f>
        <v/>
      </c>
      <c r="BZ315">
        <f>$C315*BZ314</f>
        <v/>
      </c>
      <c r="CA315">
        <f>$C315*CA314</f>
        <v/>
      </c>
      <c r="CB315">
        <f>$C315*CB314</f>
        <v/>
      </c>
      <c r="CC315">
        <f>$C315*CC314</f>
        <v/>
      </c>
      <c r="CD315">
        <f>$C315*CD314</f>
        <v/>
      </c>
      <c r="CE315">
        <f>$C315*CE314</f>
        <v/>
      </c>
      <c r="CF315">
        <f>$C315*CF314</f>
        <v/>
      </c>
      <c r="CG315">
        <f>$C315*CG314</f>
        <v/>
      </c>
      <c r="CH315">
        <f>$C315*CH314</f>
        <v/>
      </c>
      <c r="CI315">
        <f>$C315*CI314</f>
        <v/>
      </c>
      <c r="CJ315">
        <f>$C315*CJ314</f>
        <v/>
      </c>
      <c r="CK315">
        <f>$C315*CK314</f>
        <v/>
      </c>
      <c r="CL315">
        <f>$C315*CL314</f>
        <v/>
      </c>
      <c r="CM315">
        <f>$C315*CM314</f>
        <v/>
      </c>
      <c r="CN315">
        <f>$C315*CN314</f>
        <v/>
      </c>
      <c r="CO315">
        <f>$C315*CO314</f>
        <v/>
      </c>
      <c r="CP315">
        <f>$C315*CP314</f>
        <v/>
      </c>
      <c r="CQ315">
        <f>$C315*CQ314</f>
        <v/>
      </c>
      <c r="CR315">
        <f>$C315*CR314</f>
        <v/>
      </c>
      <c r="CS315">
        <f>$C315*CS314</f>
        <v/>
      </c>
      <c r="CT315">
        <f>$C315*CT314</f>
        <v/>
      </c>
      <c r="CU315">
        <f>$C315*CU314</f>
        <v/>
      </c>
      <c r="CV315">
        <f>$C315*CV314</f>
        <v/>
      </c>
      <c r="CW315">
        <f>$C315*CW314</f>
        <v/>
      </c>
      <c r="CX315">
        <f>$C315*CX314</f>
        <v/>
      </c>
      <c r="CY315">
        <f>$C315*CY314</f>
        <v/>
      </c>
      <c r="CZ315">
        <f>$C315*CZ314</f>
        <v/>
      </c>
      <c r="DA315">
        <f>$C315*DA314</f>
        <v/>
      </c>
      <c r="DB315">
        <f>$C315*DB314</f>
        <v/>
      </c>
      <c r="DC315">
        <f>$C315*DC314</f>
        <v/>
      </c>
    </row>
    <row r="316">
      <c r="B316" t="inlineStr">
        <is>
          <t>VSP-740</t>
        </is>
      </c>
      <c r="C316" t="inlineStr">
        <is>
          <t>No. of batches</t>
        </is>
      </c>
      <c r="D316">
        <f>IFERROR(INDEX(PP_Grid[#Data],$DD316,2),0)</f>
        <v/>
      </c>
      <c r="E316">
        <f>IFERROR(INDEX(PP_Grid[#Data],$DD316,3),0)</f>
        <v/>
      </c>
      <c r="F316">
        <f>IFERROR(INDEX(PP_Grid[#Data],$DD316,4),0)</f>
        <v/>
      </c>
      <c r="G316">
        <f>IFERROR(INDEX(PP_Grid[#Data],$DD316,5),0)</f>
        <v/>
      </c>
      <c r="H316">
        <f>IFERROR(INDEX(PP_Grid[#Data],$DD316,6),0)</f>
        <v/>
      </c>
      <c r="I316">
        <f>IFERROR(INDEX(PP_Grid[#Data],$DD316,7),0)</f>
        <v/>
      </c>
      <c r="J316">
        <f>IFERROR(INDEX(PP_Grid[#Data],$DD316,8),0)</f>
        <v/>
      </c>
      <c r="K316">
        <f>IFERROR(INDEX(PP_Grid[#Data],$DD316,9),0)</f>
        <v/>
      </c>
      <c r="L316">
        <f>IFERROR(INDEX(PP_Grid[#Data],$DD316,10),0)</f>
        <v/>
      </c>
      <c r="M316">
        <f>IFERROR(INDEX(PP_Grid[#Data],$DD316,11),0)</f>
        <v/>
      </c>
      <c r="N316">
        <f>IFERROR(INDEX(PP_Grid[#Data],$DD316,12),0)</f>
        <v/>
      </c>
      <c r="O316">
        <f>IFERROR(INDEX(PP_Grid[#Data],$DD316,13),0)</f>
        <v/>
      </c>
      <c r="P316">
        <f>IFERROR(INDEX(PP_Grid[#Data],$DD316,14),0)</f>
        <v/>
      </c>
      <c r="Q316">
        <f>IFERROR(INDEX(PP_Grid[#Data],$DD316,15),0)</f>
        <v/>
      </c>
      <c r="R316">
        <f>IFERROR(INDEX(PP_Grid[#Data],$DD316,16),0)</f>
        <v/>
      </c>
      <c r="S316">
        <f>IFERROR(INDEX(PP_Grid[#Data],$DD316,17),0)</f>
        <v/>
      </c>
      <c r="T316">
        <f>IFERROR(INDEX(PP_Grid[#Data],$DD316,18),0)</f>
        <v/>
      </c>
      <c r="U316">
        <f>IFERROR(INDEX(PP_Grid[#Data],$DD316,19),0)</f>
        <v/>
      </c>
      <c r="V316">
        <f>IFERROR(INDEX(PP_Grid[#Data],$DD316,20),0)</f>
        <v/>
      </c>
      <c r="W316">
        <f>IFERROR(INDEX(PP_Grid[#Data],$DD316,21),0)</f>
        <v/>
      </c>
      <c r="X316">
        <f>IFERROR(INDEX(PP_Grid[#Data],$DD316,22),0)</f>
        <v/>
      </c>
      <c r="Y316">
        <f>IFERROR(INDEX(PP_Grid[#Data],$DD316,23),0)</f>
        <v/>
      </c>
      <c r="Z316">
        <f>IFERROR(INDEX(PP_Grid[#Data],$DD316,24),0)</f>
        <v/>
      </c>
      <c r="AA316">
        <f>IFERROR(INDEX(PP_Grid[#Data],$DD316,25),0)</f>
        <v/>
      </c>
      <c r="AB316">
        <f>IFERROR(INDEX(PP_Grid[#Data],$DD316,26),0)</f>
        <v/>
      </c>
      <c r="AC316">
        <f>IFERROR(INDEX(PP_Grid[#Data],$DD316,27),0)</f>
        <v/>
      </c>
      <c r="AD316">
        <f>IFERROR(INDEX(PP_Grid[#Data],$DD316,28),0)</f>
        <v/>
      </c>
      <c r="AE316">
        <f>IFERROR(INDEX(PP_Grid[#Data],$DD316,29),0)</f>
        <v/>
      </c>
      <c r="AF316">
        <f>IFERROR(INDEX(PP_Grid[#Data],$DD316,30),0)</f>
        <v/>
      </c>
      <c r="AG316">
        <f>IFERROR(INDEX(PP_Grid[#Data],$DD316,31),0)</f>
        <v/>
      </c>
      <c r="AH316">
        <f>IFERROR(INDEX(PP_Grid[#Data],$DD316,32),0)</f>
        <v/>
      </c>
      <c r="AI316">
        <f>IFERROR(INDEX(PP_Grid[#Data],$DD316,33),0)</f>
        <v/>
      </c>
      <c r="AJ316">
        <f>IFERROR(INDEX(PP_Grid[#Data],$DD316,34),0)</f>
        <v/>
      </c>
      <c r="AK316">
        <f>IFERROR(INDEX(PP_Grid[#Data],$DD316,35),0)</f>
        <v/>
      </c>
      <c r="AL316">
        <f>IFERROR(INDEX(PP_Grid[#Data],$DD316,36),0)</f>
        <v/>
      </c>
      <c r="AM316">
        <f>IFERROR(INDEX(PP_Grid[#Data],$DD316,37),0)</f>
        <v/>
      </c>
      <c r="AN316">
        <f>IFERROR(INDEX(PP_Grid[#Data],$DD316,38),0)</f>
        <v/>
      </c>
      <c r="AO316">
        <f>IFERROR(INDEX(PP_Grid[#Data],$DD316,39),0)</f>
        <v/>
      </c>
      <c r="AP316">
        <f>IFERROR(INDEX(PP_Grid[#Data],$DD316,40),0)</f>
        <v/>
      </c>
      <c r="AQ316">
        <f>IFERROR(INDEX(PP_Grid[#Data],$DD316,41),0)</f>
        <v/>
      </c>
      <c r="AR316">
        <f>IFERROR(INDEX(PP_Grid[#Data],$DD316,42),0)</f>
        <v/>
      </c>
      <c r="AS316">
        <f>IFERROR(INDEX(PP_Grid[#Data],$DD316,43),0)</f>
        <v/>
      </c>
      <c r="AT316">
        <f>IFERROR(INDEX(PP_Grid[#Data],$DD316,44),0)</f>
        <v/>
      </c>
      <c r="AU316">
        <f>IFERROR(INDEX(PP_Grid[#Data],$DD316,45),0)</f>
        <v/>
      </c>
      <c r="AV316">
        <f>IFERROR(INDEX(PP_Grid[#Data],$DD316,46),0)</f>
        <v/>
      </c>
      <c r="AW316">
        <f>IFERROR(INDEX(PP_Grid[#Data],$DD316,47),0)</f>
        <v/>
      </c>
      <c r="AX316">
        <f>IFERROR(INDEX(PP_Grid[#Data],$DD316,48),0)</f>
        <v/>
      </c>
      <c r="AY316">
        <f>IFERROR(INDEX(PP_Grid[#Data],$DD316,49),0)</f>
        <v/>
      </c>
      <c r="AZ316">
        <f>IFERROR(INDEX(PP_Grid[#Data],$DD316,50),0)</f>
        <v/>
      </c>
      <c r="BA316">
        <f>IFERROR(INDEX(PP_Grid[#Data],$DD316,51),0)</f>
        <v/>
      </c>
      <c r="BB316">
        <f>IFERROR(INDEX(PP_Grid[#Data],$DD316,52),0)</f>
        <v/>
      </c>
      <c r="BC316">
        <f>IFERROR(INDEX(PP_Grid[#Data],$DD316,53),0)</f>
        <v/>
      </c>
      <c r="BD316">
        <f>IFERROR(INDEX(PP_Grid[#Data],$DD316,54),0)</f>
        <v/>
      </c>
      <c r="BE316">
        <f>IFERROR(INDEX(PP_Grid[#Data],$DD316,55),0)</f>
        <v/>
      </c>
      <c r="BF316">
        <f>IFERROR(INDEX(PP_Grid[#Data],$DD316,56),0)</f>
        <v/>
      </c>
      <c r="BG316">
        <f>IFERROR(INDEX(PP_Grid[#Data],$DD316,57),0)</f>
        <v/>
      </c>
      <c r="BH316">
        <f>IFERROR(INDEX(PP_Grid[#Data],$DD316,58),0)</f>
        <v/>
      </c>
      <c r="BI316">
        <f>IFERROR(INDEX(PP_Grid[#Data],$DD316,59),0)</f>
        <v/>
      </c>
      <c r="BJ316">
        <f>IFERROR(INDEX(PP_Grid[#Data],$DD316,60),0)</f>
        <v/>
      </c>
      <c r="BK316">
        <f>IFERROR(INDEX(PP_Grid[#Data],$DD316,61),0)</f>
        <v/>
      </c>
      <c r="BL316">
        <f>IFERROR(INDEX(PP_Grid[#Data],$DD316,62),0)</f>
        <v/>
      </c>
      <c r="BM316">
        <f>IFERROR(INDEX(PP_Grid[#Data],$DD316,63),0)</f>
        <v/>
      </c>
      <c r="BN316">
        <f>IFERROR(INDEX(PP_Grid[#Data],$DD316,64),0)</f>
        <v/>
      </c>
      <c r="BO316">
        <f>IFERROR(INDEX(PP_Grid[#Data],$DD316,65),0)</f>
        <v/>
      </c>
      <c r="BP316">
        <f>IFERROR(INDEX(PP_Grid[#Data],$DD316,66),0)</f>
        <v/>
      </c>
      <c r="BQ316">
        <f>IFERROR(INDEX(PP_Grid[#Data],$DD316,67),0)</f>
        <v/>
      </c>
      <c r="BR316">
        <f>IFERROR(INDEX(PP_Grid[#Data],$DD316,68),0)</f>
        <v/>
      </c>
      <c r="BS316">
        <f>IFERROR(INDEX(PP_Grid[#Data],$DD316,69),0)</f>
        <v/>
      </c>
      <c r="BT316">
        <f>IFERROR(INDEX(PP_Grid[#Data],$DD316,70),0)</f>
        <v/>
      </c>
      <c r="BU316">
        <f>IFERROR(INDEX(PP_Grid[#Data],$DD316,71),0)</f>
        <v/>
      </c>
      <c r="BV316">
        <f>IFERROR(INDEX(PP_Grid[#Data],$DD316,72),0)</f>
        <v/>
      </c>
      <c r="BW316">
        <f>IFERROR(INDEX(PP_Grid[#Data],$DD316,73),0)</f>
        <v/>
      </c>
      <c r="BX316">
        <f>IFERROR(INDEX(PP_Grid[#Data],$DD316,74),0)</f>
        <v/>
      </c>
      <c r="BY316">
        <f>IFERROR(INDEX(PP_Grid[#Data],$DD316,75),0)</f>
        <v/>
      </c>
      <c r="BZ316">
        <f>IFERROR(INDEX(PP_Grid[#Data],$DD316,76),0)</f>
        <v/>
      </c>
      <c r="CA316">
        <f>IFERROR(INDEX(PP_Grid[#Data],$DD316,77),0)</f>
        <v/>
      </c>
      <c r="CB316">
        <f>IFERROR(INDEX(PP_Grid[#Data],$DD316,78),0)</f>
        <v/>
      </c>
      <c r="CC316">
        <f>IFERROR(INDEX(PP_Grid[#Data],$DD316,79),0)</f>
        <v/>
      </c>
      <c r="CD316">
        <f>IFERROR(INDEX(PP_Grid[#Data],$DD316,80),0)</f>
        <v/>
      </c>
      <c r="CE316">
        <f>IFERROR(INDEX(PP_Grid[#Data],$DD316,81),0)</f>
        <v/>
      </c>
      <c r="CF316">
        <f>IFERROR(INDEX(PP_Grid[#Data],$DD316,82),0)</f>
        <v/>
      </c>
      <c r="CG316">
        <f>IFERROR(INDEX(PP_Grid[#Data],$DD316,83),0)</f>
        <v/>
      </c>
      <c r="CH316">
        <f>IFERROR(INDEX(PP_Grid[#Data],$DD316,84),0)</f>
        <v/>
      </c>
      <c r="CI316">
        <f>IFERROR(INDEX(PP_Grid[#Data],$DD316,85),0)</f>
        <v/>
      </c>
      <c r="CJ316">
        <f>IFERROR(INDEX(PP_Grid[#Data],$DD316,86),0)</f>
        <v/>
      </c>
      <c r="CK316">
        <f>IFERROR(INDEX(PP_Grid[#Data],$DD316,87),0)</f>
        <v/>
      </c>
      <c r="CL316">
        <f>IFERROR(INDEX(PP_Grid[#Data],$DD316,88),0)</f>
        <v/>
      </c>
      <c r="CM316">
        <f>IFERROR(INDEX(PP_Grid[#Data],$DD316,89),0)</f>
        <v/>
      </c>
      <c r="CN316">
        <f>IFERROR(INDEX(PP_Grid[#Data],$DD316,90),0)</f>
        <v/>
      </c>
      <c r="CO316">
        <f>IFERROR(INDEX(PP_Grid[#Data],$DD316,91),0)</f>
        <v/>
      </c>
      <c r="CP316">
        <f>IFERROR(INDEX(PP_Grid[#Data],$DD316,92),0)</f>
        <v/>
      </c>
      <c r="CQ316">
        <f>IFERROR(INDEX(PP_Grid[#Data],$DD316,93),0)</f>
        <v/>
      </c>
      <c r="CR316">
        <f>IFERROR(INDEX(PP_Grid[#Data],$DD316,94),0)</f>
        <v/>
      </c>
      <c r="CS316">
        <f>IFERROR(INDEX(PP_Grid[#Data],$DD316,95),0)</f>
        <v/>
      </c>
      <c r="CT316">
        <f>IFERROR(INDEX(PP_Grid[#Data],$DD316,96),0)</f>
        <v/>
      </c>
      <c r="CU316">
        <f>IFERROR(INDEX(PP_Grid[#Data],$DD316,97),0)</f>
        <v/>
      </c>
      <c r="CV316">
        <f>IFERROR(INDEX(PP_Grid[#Data],$DD316,98),0)</f>
        <v/>
      </c>
      <c r="CW316">
        <f>IFERROR(INDEX(PP_Grid[#Data],$DD316,99),0)</f>
        <v/>
      </c>
      <c r="CX316">
        <f>IFERROR(INDEX(PP_Grid[#Data],$DD316,100),0)</f>
        <v/>
      </c>
      <c r="CY316">
        <f>IFERROR(INDEX(PP_Grid[#Data],$DD316,101),0)</f>
        <v/>
      </c>
      <c r="CZ316">
        <f>IFERROR(INDEX(PP_Grid[#Data],$DD316,102),0)</f>
        <v/>
      </c>
      <c r="DA316">
        <f>IFERROR(INDEX(PP_Grid[#Data],$DD316,103),0)</f>
        <v/>
      </c>
      <c r="DB316">
        <f>IFERROR(INDEX(PP_Grid[#Data],$DD316,104),0)</f>
        <v/>
      </c>
      <c r="DC316">
        <f>IFERROR(INDEX(PP_Grid[#Data],$DD316,105),0)</f>
        <v/>
      </c>
      <c r="DD316" s="7">
        <f>IFERROR(MATCH($B316,PP_Grid[Intermediate],0),99999)</f>
        <v/>
      </c>
    </row>
    <row r="317">
      <c r="B317" t="inlineStr">
        <is>
          <t>使用量(kg)</t>
        </is>
      </c>
      <c r="C317">
        <f>SUMIFS(M_BOM[RM_Qty_Per_Batch],M_BOM[Intermediate],$B316,M_BOM[Part Name],$A219)</f>
        <v/>
      </c>
      <c r="D317">
        <f>$C317*D316</f>
        <v/>
      </c>
      <c r="E317">
        <f>$C317*E316</f>
        <v/>
      </c>
      <c r="F317">
        <f>$C317*F316</f>
        <v/>
      </c>
      <c r="G317">
        <f>$C317*G316</f>
        <v/>
      </c>
      <c r="H317">
        <f>$C317*H316</f>
        <v/>
      </c>
      <c r="I317">
        <f>$C317*I316</f>
        <v/>
      </c>
      <c r="J317">
        <f>$C317*J316</f>
        <v/>
      </c>
      <c r="K317">
        <f>$C317*K316</f>
        <v/>
      </c>
      <c r="L317">
        <f>$C317*L316</f>
        <v/>
      </c>
      <c r="M317">
        <f>$C317*M316</f>
        <v/>
      </c>
      <c r="N317">
        <f>$C317*N316</f>
        <v/>
      </c>
      <c r="O317">
        <f>$C317*O316</f>
        <v/>
      </c>
      <c r="P317">
        <f>$C317*P316</f>
        <v/>
      </c>
      <c r="Q317">
        <f>$C317*Q316</f>
        <v/>
      </c>
      <c r="R317">
        <f>$C317*R316</f>
        <v/>
      </c>
      <c r="S317">
        <f>$C317*S316</f>
        <v/>
      </c>
      <c r="T317">
        <f>$C317*T316</f>
        <v/>
      </c>
      <c r="U317">
        <f>$C317*U316</f>
        <v/>
      </c>
      <c r="V317">
        <f>$C317*V316</f>
        <v/>
      </c>
      <c r="W317">
        <f>$C317*W316</f>
        <v/>
      </c>
      <c r="X317">
        <f>$C317*X316</f>
        <v/>
      </c>
      <c r="Y317">
        <f>$C317*Y316</f>
        <v/>
      </c>
      <c r="Z317">
        <f>$C317*Z316</f>
        <v/>
      </c>
      <c r="AA317">
        <f>$C317*AA316</f>
        <v/>
      </c>
      <c r="AB317">
        <f>$C317*AB316</f>
        <v/>
      </c>
      <c r="AC317">
        <f>$C317*AC316</f>
        <v/>
      </c>
      <c r="AD317">
        <f>$C317*AD316</f>
        <v/>
      </c>
      <c r="AE317">
        <f>$C317*AE316</f>
        <v/>
      </c>
      <c r="AF317">
        <f>$C317*AF316</f>
        <v/>
      </c>
      <c r="AG317">
        <f>$C317*AG316</f>
        <v/>
      </c>
      <c r="AH317">
        <f>$C317*AH316</f>
        <v/>
      </c>
      <c r="AI317">
        <f>$C317*AI316</f>
        <v/>
      </c>
      <c r="AJ317">
        <f>$C317*AJ316</f>
        <v/>
      </c>
      <c r="AK317">
        <f>$C317*AK316</f>
        <v/>
      </c>
      <c r="AL317">
        <f>$C317*AL316</f>
        <v/>
      </c>
      <c r="AM317">
        <f>$C317*AM316</f>
        <v/>
      </c>
      <c r="AN317">
        <f>$C317*AN316</f>
        <v/>
      </c>
      <c r="AO317">
        <f>$C317*AO316</f>
        <v/>
      </c>
      <c r="AP317">
        <f>$C317*AP316</f>
        <v/>
      </c>
      <c r="AQ317">
        <f>$C317*AQ316</f>
        <v/>
      </c>
      <c r="AR317">
        <f>$C317*AR316</f>
        <v/>
      </c>
      <c r="AS317">
        <f>$C317*AS316</f>
        <v/>
      </c>
      <c r="AT317">
        <f>$C317*AT316</f>
        <v/>
      </c>
      <c r="AU317">
        <f>$C317*AU316</f>
        <v/>
      </c>
      <c r="AV317">
        <f>$C317*AV316</f>
        <v/>
      </c>
      <c r="AW317">
        <f>$C317*AW316</f>
        <v/>
      </c>
      <c r="AX317">
        <f>$C317*AX316</f>
        <v/>
      </c>
      <c r="AY317">
        <f>$C317*AY316</f>
        <v/>
      </c>
      <c r="AZ317">
        <f>$C317*AZ316</f>
        <v/>
      </c>
      <c r="BA317">
        <f>$C317*BA316</f>
        <v/>
      </c>
      <c r="BB317">
        <f>$C317*BB316</f>
        <v/>
      </c>
      <c r="BC317">
        <f>$C317*BC316</f>
        <v/>
      </c>
      <c r="BD317">
        <f>$C317*BD316</f>
        <v/>
      </c>
      <c r="BE317">
        <f>$C317*BE316</f>
        <v/>
      </c>
      <c r="BF317">
        <f>$C317*BF316</f>
        <v/>
      </c>
      <c r="BG317">
        <f>$C317*BG316</f>
        <v/>
      </c>
      <c r="BH317">
        <f>$C317*BH316</f>
        <v/>
      </c>
      <c r="BI317">
        <f>$C317*BI316</f>
        <v/>
      </c>
      <c r="BJ317">
        <f>$C317*BJ316</f>
        <v/>
      </c>
      <c r="BK317">
        <f>$C317*BK316</f>
        <v/>
      </c>
      <c r="BL317">
        <f>$C317*BL316</f>
        <v/>
      </c>
      <c r="BM317">
        <f>$C317*BM316</f>
        <v/>
      </c>
      <c r="BN317">
        <f>$C317*BN316</f>
        <v/>
      </c>
      <c r="BO317">
        <f>$C317*BO316</f>
        <v/>
      </c>
      <c r="BP317">
        <f>$C317*BP316</f>
        <v/>
      </c>
      <c r="BQ317">
        <f>$C317*BQ316</f>
        <v/>
      </c>
      <c r="BR317">
        <f>$C317*BR316</f>
        <v/>
      </c>
      <c r="BS317">
        <f>$C317*BS316</f>
        <v/>
      </c>
      <c r="BT317">
        <f>$C317*BT316</f>
        <v/>
      </c>
      <c r="BU317">
        <f>$C317*BU316</f>
        <v/>
      </c>
      <c r="BV317">
        <f>$C317*BV316</f>
        <v/>
      </c>
      <c r="BW317">
        <f>$C317*BW316</f>
        <v/>
      </c>
      <c r="BX317">
        <f>$C317*BX316</f>
        <v/>
      </c>
      <c r="BY317">
        <f>$C317*BY316</f>
        <v/>
      </c>
      <c r="BZ317">
        <f>$C317*BZ316</f>
        <v/>
      </c>
      <c r="CA317">
        <f>$C317*CA316</f>
        <v/>
      </c>
      <c r="CB317">
        <f>$C317*CB316</f>
        <v/>
      </c>
      <c r="CC317">
        <f>$C317*CC316</f>
        <v/>
      </c>
      <c r="CD317">
        <f>$C317*CD316</f>
        <v/>
      </c>
      <c r="CE317">
        <f>$C317*CE316</f>
        <v/>
      </c>
      <c r="CF317">
        <f>$C317*CF316</f>
        <v/>
      </c>
      <c r="CG317">
        <f>$C317*CG316</f>
        <v/>
      </c>
      <c r="CH317">
        <f>$C317*CH316</f>
        <v/>
      </c>
      <c r="CI317">
        <f>$C317*CI316</f>
        <v/>
      </c>
      <c r="CJ317">
        <f>$C317*CJ316</f>
        <v/>
      </c>
      <c r="CK317">
        <f>$C317*CK316</f>
        <v/>
      </c>
      <c r="CL317">
        <f>$C317*CL316</f>
        <v/>
      </c>
      <c r="CM317">
        <f>$C317*CM316</f>
        <v/>
      </c>
      <c r="CN317">
        <f>$C317*CN316</f>
        <v/>
      </c>
      <c r="CO317">
        <f>$C317*CO316</f>
        <v/>
      </c>
      <c r="CP317">
        <f>$C317*CP316</f>
        <v/>
      </c>
      <c r="CQ317">
        <f>$C317*CQ316</f>
        <v/>
      </c>
      <c r="CR317">
        <f>$C317*CR316</f>
        <v/>
      </c>
      <c r="CS317">
        <f>$C317*CS316</f>
        <v/>
      </c>
      <c r="CT317">
        <f>$C317*CT316</f>
        <v/>
      </c>
      <c r="CU317">
        <f>$C317*CU316</f>
        <v/>
      </c>
      <c r="CV317">
        <f>$C317*CV316</f>
        <v/>
      </c>
      <c r="CW317">
        <f>$C317*CW316</f>
        <v/>
      </c>
      <c r="CX317">
        <f>$C317*CX316</f>
        <v/>
      </c>
      <c r="CY317">
        <f>$C317*CY316</f>
        <v/>
      </c>
      <c r="CZ317">
        <f>$C317*CZ316</f>
        <v/>
      </c>
      <c r="DA317">
        <f>$C317*DA316</f>
        <v/>
      </c>
      <c r="DB317">
        <f>$C317*DB316</f>
        <v/>
      </c>
      <c r="DC317">
        <f>$C317*DC316</f>
        <v/>
      </c>
    </row>
    <row r="318">
      <c r="B318" t="inlineStr">
        <is>
          <t>VSP-746</t>
        </is>
      </c>
      <c r="C318" t="inlineStr">
        <is>
          <t>No. of batches</t>
        </is>
      </c>
      <c r="D318">
        <f>IFERROR(INDEX(PP_Grid[#Data],$DD318,2),0)</f>
        <v/>
      </c>
      <c r="E318">
        <f>IFERROR(INDEX(PP_Grid[#Data],$DD318,3),0)</f>
        <v/>
      </c>
      <c r="F318">
        <f>IFERROR(INDEX(PP_Grid[#Data],$DD318,4),0)</f>
        <v/>
      </c>
      <c r="G318">
        <f>IFERROR(INDEX(PP_Grid[#Data],$DD318,5),0)</f>
        <v/>
      </c>
      <c r="H318">
        <f>IFERROR(INDEX(PP_Grid[#Data],$DD318,6),0)</f>
        <v/>
      </c>
      <c r="I318">
        <f>IFERROR(INDEX(PP_Grid[#Data],$DD318,7),0)</f>
        <v/>
      </c>
      <c r="J318">
        <f>IFERROR(INDEX(PP_Grid[#Data],$DD318,8),0)</f>
        <v/>
      </c>
      <c r="K318">
        <f>IFERROR(INDEX(PP_Grid[#Data],$DD318,9),0)</f>
        <v/>
      </c>
      <c r="L318">
        <f>IFERROR(INDEX(PP_Grid[#Data],$DD318,10),0)</f>
        <v/>
      </c>
      <c r="M318">
        <f>IFERROR(INDEX(PP_Grid[#Data],$DD318,11),0)</f>
        <v/>
      </c>
      <c r="N318">
        <f>IFERROR(INDEX(PP_Grid[#Data],$DD318,12),0)</f>
        <v/>
      </c>
      <c r="O318">
        <f>IFERROR(INDEX(PP_Grid[#Data],$DD318,13),0)</f>
        <v/>
      </c>
      <c r="P318">
        <f>IFERROR(INDEX(PP_Grid[#Data],$DD318,14),0)</f>
        <v/>
      </c>
      <c r="Q318">
        <f>IFERROR(INDEX(PP_Grid[#Data],$DD318,15),0)</f>
        <v/>
      </c>
      <c r="R318">
        <f>IFERROR(INDEX(PP_Grid[#Data],$DD318,16),0)</f>
        <v/>
      </c>
      <c r="S318">
        <f>IFERROR(INDEX(PP_Grid[#Data],$DD318,17),0)</f>
        <v/>
      </c>
      <c r="T318">
        <f>IFERROR(INDEX(PP_Grid[#Data],$DD318,18),0)</f>
        <v/>
      </c>
      <c r="U318">
        <f>IFERROR(INDEX(PP_Grid[#Data],$DD318,19),0)</f>
        <v/>
      </c>
      <c r="V318">
        <f>IFERROR(INDEX(PP_Grid[#Data],$DD318,20),0)</f>
        <v/>
      </c>
      <c r="W318">
        <f>IFERROR(INDEX(PP_Grid[#Data],$DD318,21),0)</f>
        <v/>
      </c>
      <c r="X318">
        <f>IFERROR(INDEX(PP_Grid[#Data],$DD318,22),0)</f>
        <v/>
      </c>
      <c r="Y318">
        <f>IFERROR(INDEX(PP_Grid[#Data],$DD318,23),0)</f>
        <v/>
      </c>
      <c r="Z318">
        <f>IFERROR(INDEX(PP_Grid[#Data],$DD318,24),0)</f>
        <v/>
      </c>
      <c r="AA318">
        <f>IFERROR(INDEX(PP_Grid[#Data],$DD318,25),0)</f>
        <v/>
      </c>
      <c r="AB318">
        <f>IFERROR(INDEX(PP_Grid[#Data],$DD318,26),0)</f>
        <v/>
      </c>
      <c r="AC318">
        <f>IFERROR(INDEX(PP_Grid[#Data],$DD318,27),0)</f>
        <v/>
      </c>
      <c r="AD318">
        <f>IFERROR(INDEX(PP_Grid[#Data],$DD318,28),0)</f>
        <v/>
      </c>
      <c r="AE318">
        <f>IFERROR(INDEX(PP_Grid[#Data],$DD318,29),0)</f>
        <v/>
      </c>
      <c r="AF318">
        <f>IFERROR(INDEX(PP_Grid[#Data],$DD318,30),0)</f>
        <v/>
      </c>
      <c r="AG318">
        <f>IFERROR(INDEX(PP_Grid[#Data],$DD318,31),0)</f>
        <v/>
      </c>
      <c r="AH318">
        <f>IFERROR(INDEX(PP_Grid[#Data],$DD318,32),0)</f>
        <v/>
      </c>
      <c r="AI318">
        <f>IFERROR(INDEX(PP_Grid[#Data],$DD318,33),0)</f>
        <v/>
      </c>
      <c r="AJ318">
        <f>IFERROR(INDEX(PP_Grid[#Data],$DD318,34),0)</f>
        <v/>
      </c>
      <c r="AK318">
        <f>IFERROR(INDEX(PP_Grid[#Data],$DD318,35),0)</f>
        <v/>
      </c>
      <c r="AL318">
        <f>IFERROR(INDEX(PP_Grid[#Data],$DD318,36),0)</f>
        <v/>
      </c>
      <c r="AM318">
        <f>IFERROR(INDEX(PP_Grid[#Data],$DD318,37),0)</f>
        <v/>
      </c>
      <c r="AN318">
        <f>IFERROR(INDEX(PP_Grid[#Data],$DD318,38),0)</f>
        <v/>
      </c>
      <c r="AO318">
        <f>IFERROR(INDEX(PP_Grid[#Data],$DD318,39),0)</f>
        <v/>
      </c>
      <c r="AP318">
        <f>IFERROR(INDEX(PP_Grid[#Data],$DD318,40),0)</f>
        <v/>
      </c>
      <c r="AQ318">
        <f>IFERROR(INDEX(PP_Grid[#Data],$DD318,41),0)</f>
        <v/>
      </c>
      <c r="AR318">
        <f>IFERROR(INDEX(PP_Grid[#Data],$DD318,42),0)</f>
        <v/>
      </c>
      <c r="AS318">
        <f>IFERROR(INDEX(PP_Grid[#Data],$DD318,43),0)</f>
        <v/>
      </c>
      <c r="AT318">
        <f>IFERROR(INDEX(PP_Grid[#Data],$DD318,44),0)</f>
        <v/>
      </c>
      <c r="AU318">
        <f>IFERROR(INDEX(PP_Grid[#Data],$DD318,45),0)</f>
        <v/>
      </c>
      <c r="AV318">
        <f>IFERROR(INDEX(PP_Grid[#Data],$DD318,46),0)</f>
        <v/>
      </c>
      <c r="AW318">
        <f>IFERROR(INDEX(PP_Grid[#Data],$DD318,47),0)</f>
        <v/>
      </c>
      <c r="AX318">
        <f>IFERROR(INDEX(PP_Grid[#Data],$DD318,48),0)</f>
        <v/>
      </c>
      <c r="AY318">
        <f>IFERROR(INDEX(PP_Grid[#Data],$DD318,49),0)</f>
        <v/>
      </c>
      <c r="AZ318">
        <f>IFERROR(INDEX(PP_Grid[#Data],$DD318,50),0)</f>
        <v/>
      </c>
      <c r="BA318">
        <f>IFERROR(INDEX(PP_Grid[#Data],$DD318,51),0)</f>
        <v/>
      </c>
      <c r="BB318">
        <f>IFERROR(INDEX(PP_Grid[#Data],$DD318,52),0)</f>
        <v/>
      </c>
      <c r="BC318">
        <f>IFERROR(INDEX(PP_Grid[#Data],$DD318,53),0)</f>
        <v/>
      </c>
      <c r="BD318">
        <f>IFERROR(INDEX(PP_Grid[#Data],$DD318,54),0)</f>
        <v/>
      </c>
      <c r="BE318">
        <f>IFERROR(INDEX(PP_Grid[#Data],$DD318,55),0)</f>
        <v/>
      </c>
      <c r="BF318">
        <f>IFERROR(INDEX(PP_Grid[#Data],$DD318,56),0)</f>
        <v/>
      </c>
      <c r="BG318">
        <f>IFERROR(INDEX(PP_Grid[#Data],$DD318,57),0)</f>
        <v/>
      </c>
      <c r="BH318">
        <f>IFERROR(INDEX(PP_Grid[#Data],$DD318,58),0)</f>
        <v/>
      </c>
      <c r="BI318">
        <f>IFERROR(INDEX(PP_Grid[#Data],$DD318,59),0)</f>
        <v/>
      </c>
      <c r="BJ318">
        <f>IFERROR(INDEX(PP_Grid[#Data],$DD318,60),0)</f>
        <v/>
      </c>
      <c r="BK318">
        <f>IFERROR(INDEX(PP_Grid[#Data],$DD318,61),0)</f>
        <v/>
      </c>
      <c r="BL318">
        <f>IFERROR(INDEX(PP_Grid[#Data],$DD318,62),0)</f>
        <v/>
      </c>
      <c r="BM318">
        <f>IFERROR(INDEX(PP_Grid[#Data],$DD318,63),0)</f>
        <v/>
      </c>
      <c r="BN318">
        <f>IFERROR(INDEX(PP_Grid[#Data],$DD318,64),0)</f>
        <v/>
      </c>
      <c r="BO318">
        <f>IFERROR(INDEX(PP_Grid[#Data],$DD318,65),0)</f>
        <v/>
      </c>
      <c r="BP318">
        <f>IFERROR(INDEX(PP_Grid[#Data],$DD318,66),0)</f>
        <v/>
      </c>
      <c r="BQ318">
        <f>IFERROR(INDEX(PP_Grid[#Data],$DD318,67),0)</f>
        <v/>
      </c>
      <c r="BR318">
        <f>IFERROR(INDEX(PP_Grid[#Data],$DD318,68),0)</f>
        <v/>
      </c>
      <c r="BS318">
        <f>IFERROR(INDEX(PP_Grid[#Data],$DD318,69),0)</f>
        <v/>
      </c>
      <c r="BT318">
        <f>IFERROR(INDEX(PP_Grid[#Data],$DD318,70),0)</f>
        <v/>
      </c>
      <c r="BU318">
        <f>IFERROR(INDEX(PP_Grid[#Data],$DD318,71),0)</f>
        <v/>
      </c>
      <c r="BV318">
        <f>IFERROR(INDEX(PP_Grid[#Data],$DD318,72),0)</f>
        <v/>
      </c>
      <c r="BW318">
        <f>IFERROR(INDEX(PP_Grid[#Data],$DD318,73),0)</f>
        <v/>
      </c>
      <c r="BX318">
        <f>IFERROR(INDEX(PP_Grid[#Data],$DD318,74),0)</f>
        <v/>
      </c>
      <c r="BY318">
        <f>IFERROR(INDEX(PP_Grid[#Data],$DD318,75),0)</f>
        <v/>
      </c>
      <c r="BZ318">
        <f>IFERROR(INDEX(PP_Grid[#Data],$DD318,76),0)</f>
        <v/>
      </c>
      <c r="CA318">
        <f>IFERROR(INDEX(PP_Grid[#Data],$DD318,77),0)</f>
        <v/>
      </c>
      <c r="CB318">
        <f>IFERROR(INDEX(PP_Grid[#Data],$DD318,78),0)</f>
        <v/>
      </c>
      <c r="CC318">
        <f>IFERROR(INDEX(PP_Grid[#Data],$DD318,79),0)</f>
        <v/>
      </c>
      <c r="CD318">
        <f>IFERROR(INDEX(PP_Grid[#Data],$DD318,80),0)</f>
        <v/>
      </c>
      <c r="CE318">
        <f>IFERROR(INDEX(PP_Grid[#Data],$DD318,81),0)</f>
        <v/>
      </c>
      <c r="CF318">
        <f>IFERROR(INDEX(PP_Grid[#Data],$DD318,82),0)</f>
        <v/>
      </c>
      <c r="CG318">
        <f>IFERROR(INDEX(PP_Grid[#Data],$DD318,83),0)</f>
        <v/>
      </c>
      <c r="CH318">
        <f>IFERROR(INDEX(PP_Grid[#Data],$DD318,84),0)</f>
        <v/>
      </c>
      <c r="CI318">
        <f>IFERROR(INDEX(PP_Grid[#Data],$DD318,85),0)</f>
        <v/>
      </c>
      <c r="CJ318">
        <f>IFERROR(INDEX(PP_Grid[#Data],$DD318,86),0)</f>
        <v/>
      </c>
      <c r="CK318">
        <f>IFERROR(INDEX(PP_Grid[#Data],$DD318,87),0)</f>
        <v/>
      </c>
      <c r="CL318">
        <f>IFERROR(INDEX(PP_Grid[#Data],$DD318,88),0)</f>
        <v/>
      </c>
      <c r="CM318">
        <f>IFERROR(INDEX(PP_Grid[#Data],$DD318,89),0)</f>
        <v/>
      </c>
      <c r="CN318">
        <f>IFERROR(INDEX(PP_Grid[#Data],$DD318,90),0)</f>
        <v/>
      </c>
      <c r="CO318">
        <f>IFERROR(INDEX(PP_Grid[#Data],$DD318,91),0)</f>
        <v/>
      </c>
      <c r="CP318">
        <f>IFERROR(INDEX(PP_Grid[#Data],$DD318,92),0)</f>
        <v/>
      </c>
      <c r="CQ318">
        <f>IFERROR(INDEX(PP_Grid[#Data],$DD318,93),0)</f>
        <v/>
      </c>
      <c r="CR318">
        <f>IFERROR(INDEX(PP_Grid[#Data],$DD318,94),0)</f>
        <v/>
      </c>
      <c r="CS318">
        <f>IFERROR(INDEX(PP_Grid[#Data],$DD318,95),0)</f>
        <v/>
      </c>
      <c r="CT318">
        <f>IFERROR(INDEX(PP_Grid[#Data],$DD318,96),0)</f>
        <v/>
      </c>
      <c r="CU318">
        <f>IFERROR(INDEX(PP_Grid[#Data],$DD318,97),0)</f>
        <v/>
      </c>
      <c r="CV318">
        <f>IFERROR(INDEX(PP_Grid[#Data],$DD318,98),0)</f>
        <v/>
      </c>
      <c r="CW318">
        <f>IFERROR(INDEX(PP_Grid[#Data],$DD318,99),0)</f>
        <v/>
      </c>
      <c r="CX318">
        <f>IFERROR(INDEX(PP_Grid[#Data],$DD318,100),0)</f>
        <v/>
      </c>
      <c r="CY318">
        <f>IFERROR(INDEX(PP_Grid[#Data],$DD318,101),0)</f>
        <v/>
      </c>
      <c r="CZ318">
        <f>IFERROR(INDEX(PP_Grid[#Data],$DD318,102),0)</f>
        <v/>
      </c>
      <c r="DA318">
        <f>IFERROR(INDEX(PP_Grid[#Data],$DD318,103),0)</f>
        <v/>
      </c>
      <c r="DB318">
        <f>IFERROR(INDEX(PP_Grid[#Data],$DD318,104),0)</f>
        <v/>
      </c>
      <c r="DC318">
        <f>IFERROR(INDEX(PP_Grid[#Data],$DD318,105),0)</f>
        <v/>
      </c>
      <c r="DD318" s="7">
        <f>IFERROR(MATCH($B318,PP_Grid[Intermediate],0),99999)</f>
        <v/>
      </c>
    </row>
    <row r="319">
      <c r="B319" t="inlineStr">
        <is>
          <t>使用量(kg)</t>
        </is>
      </c>
      <c r="C319">
        <f>SUMIFS(M_BOM[RM_Qty_Per_Batch],M_BOM[Intermediate],$B318,M_BOM[Part Name],$A219)</f>
        <v/>
      </c>
      <c r="D319">
        <f>$C319*D318</f>
        <v/>
      </c>
      <c r="E319">
        <f>$C319*E318</f>
        <v/>
      </c>
      <c r="F319">
        <f>$C319*F318</f>
        <v/>
      </c>
      <c r="G319">
        <f>$C319*G318</f>
        <v/>
      </c>
      <c r="H319">
        <f>$C319*H318</f>
        <v/>
      </c>
      <c r="I319">
        <f>$C319*I318</f>
        <v/>
      </c>
      <c r="J319">
        <f>$C319*J318</f>
        <v/>
      </c>
      <c r="K319">
        <f>$C319*K318</f>
        <v/>
      </c>
      <c r="L319">
        <f>$C319*L318</f>
        <v/>
      </c>
      <c r="M319">
        <f>$C319*M318</f>
        <v/>
      </c>
      <c r="N319">
        <f>$C319*N318</f>
        <v/>
      </c>
      <c r="O319">
        <f>$C319*O318</f>
        <v/>
      </c>
      <c r="P319">
        <f>$C319*P318</f>
        <v/>
      </c>
      <c r="Q319">
        <f>$C319*Q318</f>
        <v/>
      </c>
      <c r="R319">
        <f>$C319*R318</f>
        <v/>
      </c>
      <c r="S319">
        <f>$C319*S318</f>
        <v/>
      </c>
      <c r="T319">
        <f>$C319*T318</f>
        <v/>
      </c>
      <c r="U319">
        <f>$C319*U318</f>
        <v/>
      </c>
      <c r="V319">
        <f>$C319*V318</f>
        <v/>
      </c>
      <c r="W319">
        <f>$C319*W318</f>
        <v/>
      </c>
      <c r="X319">
        <f>$C319*X318</f>
        <v/>
      </c>
      <c r="Y319">
        <f>$C319*Y318</f>
        <v/>
      </c>
      <c r="Z319">
        <f>$C319*Z318</f>
        <v/>
      </c>
      <c r="AA319">
        <f>$C319*AA318</f>
        <v/>
      </c>
      <c r="AB319">
        <f>$C319*AB318</f>
        <v/>
      </c>
      <c r="AC319">
        <f>$C319*AC318</f>
        <v/>
      </c>
      <c r="AD319">
        <f>$C319*AD318</f>
        <v/>
      </c>
      <c r="AE319">
        <f>$C319*AE318</f>
        <v/>
      </c>
      <c r="AF319">
        <f>$C319*AF318</f>
        <v/>
      </c>
      <c r="AG319">
        <f>$C319*AG318</f>
        <v/>
      </c>
      <c r="AH319">
        <f>$C319*AH318</f>
        <v/>
      </c>
      <c r="AI319">
        <f>$C319*AI318</f>
        <v/>
      </c>
      <c r="AJ319">
        <f>$C319*AJ318</f>
        <v/>
      </c>
      <c r="AK319">
        <f>$C319*AK318</f>
        <v/>
      </c>
      <c r="AL319">
        <f>$C319*AL318</f>
        <v/>
      </c>
      <c r="AM319">
        <f>$C319*AM318</f>
        <v/>
      </c>
      <c r="AN319">
        <f>$C319*AN318</f>
        <v/>
      </c>
      <c r="AO319">
        <f>$C319*AO318</f>
        <v/>
      </c>
      <c r="AP319">
        <f>$C319*AP318</f>
        <v/>
      </c>
      <c r="AQ319">
        <f>$C319*AQ318</f>
        <v/>
      </c>
      <c r="AR319">
        <f>$C319*AR318</f>
        <v/>
      </c>
      <c r="AS319">
        <f>$C319*AS318</f>
        <v/>
      </c>
      <c r="AT319">
        <f>$C319*AT318</f>
        <v/>
      </c>
      <c r="AU319">
        <f>$C319*AU318</f>
        <v/>
      </c>
      <c r="AV319">
        <f>$C319*AV318</f>
        <v/>
      </c>
      <c r="AW319">
        <f>$C319*AW318</f>
        <v/>
      </c>
      <c r="AX319">
        <f>$C319*AX318</f>
        <v/>
      </c>
      <c r="AY319">
        <f>$C319*AY318</f>
        <v/>
      </c>
      <c r="AZ319">
        <f>$C319*AZ318</f>
        <v/>
      </c>
      <c r="BA319">
        <f>$C319*BA318</f>
        <v/>
      </c>
      <c r="BB319">
        <f>$C319*BB318</f>
        <v/>
      </c>
      <c r="BC319">
        <f>$C319*BC318</f>
        <v/>
      </c>
      <c r="BD319">
        <f>$C319*BD318</f>
        <v/>
      </c>
      <c r="BE319">
        <f>$C319*BE318</f>
        <v/>
      </c>
      <c r="BF319">
        <f>$C319*BF318</f>
        <v/>
      </c>
      <c r="BG319">
        <f>$C319*BG318</f>
        <v/>
      </c>
      <c r="BH319">
        <f>$C319*BH318</f>
        <v/>
      </c>
      <c r="BI319">
        <f>$C319*BI318</f>
        <v/>
      </c>
      <c r="BJ319">
        <f>$C319*BJ318</f>
        <v/>
      </c>
      <c r="BK319">
        <f>$C319*BK318</f>
        <v/>
      </c>
      <c r="BL319">
        <f>$C319*BL318</f>
        <v/>
      </c>
      <c r="BM319">
        <f>$C319*BM318</f>
        <v/>
      </c>
      <c r="BN319">
        <f>$C319*BN318</f>
        <v/>
      </c>
      <c r="BO319">
        <f>$C319*BO318</f>
        <v/>
      </c>
      <c r="BP319">
        <f>$C319*BP318</f>
        <v/>
      </c>
      <c r="BQ319">
        <f>$C319*BQ318</f>
        <v/>
      </c>
      <c r="BR319">
        <f>$C319*BR318</f>
        <v/>
      </c>
      <c r="BS319">
        <f>$C319*BS318</f>
        <v/>
      </c>
      <c r="BT319">
        <f>$C319*BT318</f>
        <v/>
      </c>
      <c r="BU319">
        <f>$C319*BU318</f>
        <v/>
      </c>
      <c r="BV319">
        <f>$C319*BV318</f>
        <v/>
      </c>
      <c r="BW319">
        <f>$C319*BW318</f>
        <v/>
      </c>
      <c r="BX319">
        <f>$C319*BX318</f>
        <v/>
      </c>
      <c r="BY319">
        <f>$C319*BY318</f>
        <v/>
      </c>
      <c r="BZ319">
        <f>$C319*BZ318</f>
        <v/>
      </c>
      <c r="CA319">
        <f>$C319*CA318</f>
        <v/>
      </c>
      <c r="CB319">
        <f>$C319*CB318</f>
        <v/>
      </c>
      <c r="CC319">
        <f>$C319*CC318</f>
        <v/>
      </c>
      <c r="CD319">
        <f>$C319*CD318</f>
        <v/>
      </c>
      <c r="CE319">
        <f>$C319*CE318</f>
        <v/>
      </c>
      <c r="CF319">
        <f>$C319*CF318</f>
        <v/>
      </c>
      <c r="CG319">
        <f>$C319*CG318</f>
        <v/>
      </c>
      <c r="CH319">
        <f>$C319*CH318</f>
        <v/>
      </c>
      <c r="CI319">
        <f>$C319*CI318</f>
        <v/>
      </c>
      <c r="CJ319">
        <f>$C319*CJ318</f>
        <v/>
      </c>
      <c r="CK319">
        <f>$C319*CK318</f>
        <v/>
      </c>
      <c r="CL319">
        <f>$C319*CL318</f>
        <v/>
      </c>
      <c r="CM319">
        <f>$C319*CM318</f>
        <v/>
      </c>
      <c r="CN319">
        <f>$C319*CN318</f>
        <v/>
      </c>
      <c r="CO319">
        <f>$C319*CO318</f>
        <v/>
      </c>
      <c r="CP319">
        <f>$C319*CP318</f>
        <v/>
      </c>
      <c r="CQ319">
        <f>$C319*CQ318</f>
        <v/>
      </c>
      <c r="CR319">
        <f>$C319*CR318</f>
        <v/>
      </c>
      <c r="CS319">
        <f>$C319*CS318</f>
        <v/>
      </c>
      <c r="CT319">
        <f>$C319*CT318</f>
        <v/>
      </c>
      <c r="CU319">
        <f>$C319*CU318</f>
        <v/>
      </c>
      <c r="CV319">
        <f>$C319*CV318</f>
        <v/>
      </c>
      <c r="CW319">
        <f>$C319*CW318</f>
        <v/>
      </c>
      <c r="CX319">
        <f>$C319*CX318</f>
        <v/>
      </c>
      <c r="CY319">
        <f>$C319*CY318</f>
        <v/>
      </c>
      <c r="CZ319">
        <f>$C319*CZ318</f>
        <v/>
      </c>
      <c r="DA319">
        <f>$C319*DA318</f>
        <v/>
      </c>
      <c r="DB319">
        <f>$C319*DB318</f>
        <v/>
      </c>
      <c r="DC319">
        <f>$C319*DC318</f>
        <v/>
      </c>
    </row>
    <row r="320">
      <c r="B320" t="inlineStr">
        <is>
          <t>VSP-822</t>
        </is>
      </c>
      <c r="C320" t="inlineStr">
        <is>
          <t>No. of batches</t>
        </is>
      </c>
      <c r="D320">
        <f>IFERROR(INDEX(PP_Grid[#Data],$DD320,2),0)</f>
        <v/>
      </c>
      <c r="E320">
        <f>IFERROR(INDEX(PP_Grid[#Data],$DD320,3),0)</f>
        <v/>
      </c>
      <c r="F320">
        <f>IFERROR(INDEX(PP_Grid[#Data],$DD320,4),0)</f>
        <v/>
      </c>
      <c r="G320">
        <f>IFERROR(INDEX(PP_Grid[#Data],$DD320,5),0)</f>
        <v/>
      </c>
      <c r="H320">
        <f>IFERROR(INDEX(PP_Grid[#Data],$DD320,6),0)</f>
        <v/>
      </c>
      <c r="I320">
        <f>IFERROR(INDEX(PP_Grid[#Data],$DD320,7),0)</f>
        <v/>
      </c>
      <c r="J320">
        <f>IFERROR(INDEX(PP_Grid[#Data],$DD320,8),0)</f>
        <v/>
      </c>
      <c r="K320">
        <f>IFERROR(INDEX(PP_Grid[#Data],$DD320,9),0)</f>
        <v/>
      </c>
      <c r="L320">
        <f>IFERROR(INDEX(PP_Grid[#Data],$DD320,10),0)</f>
        <v/>
      </c>
      <c r="M320">
        <f>IFERROR(INDEX(PP_Grid[#Data],$DD320,11),0)</f>
        <v/>
      </c>
      <c r="N320">
        <f>IFERROR(INDEX(PP_Grid[#Data],$DD320,12),0)</f>
        <v/>
      </c>
      <c r="O320">
        <f>IFERROR(INDEX(PP_Grid[#Data],$DD320,13),0)</f>
        <v/>
      </c>
      <c r="P320">
        <f>IFERROR(INDEX(PP_Grid[#Data],$DD320,14),0)</f>
        <v/>
      </c>
      <c r="Q320">
        <f>IFERROR(INDEX(PP_Grid[#Data],$DD320,15),0)</f>
        <v/>
      </c>
      <c r="R320">
        <f>IFERROR(INDEX(PP_Grid[#Data],$DD320,16),0)</f>
        <v/>
      </c>
      <c r="S320">
        <f>IFERROR(INDEX(PP_Grid[#Data],$DD320,17),0)</f>
        <v/>
      </c>
      <c r="T320">
        <f>IFERROR(INDEX(PP_Grid[#Data],$DD320,18),0)</f>
        <v/>
      </c>
      <c r="U320">
        <f>IFERROR(INDEX(PP_Grid[#Data],$DD320,19),0)</f>
        <v/>
      </c>
      <c r="V320">
        <f>IFERROR(INDEX(PP_Grid[#Data],$DD320,20),0)</f>
        <v/>
      </c>
      <c r="W320">
        <f>IFERROR(INDEX(PP_Grid[#Data],$DD320,21),0)</f>
        <v/>
      </c>
      <c r="X320">
        <f>IFERROR(INDEX(PP_Grid[#Data],$DD320,22),0)</f>
        <v/>
      </c>
      <c r="Y320">
        <f>IFERROR(INDEX(PP_Grid[#Data],$DD320,23),0)</f>
        <v/>
      </c>
      <c r="Z320">
        <f>IFERROR(INDEX(PP_Grid[#Data],$DD320,24),0)</f>
        <v/>
      </c>
      <c r="AA320">
        <f>IFERROR(INDEX(PP_Grid[#Data],$DD320,25),0)</f>
        <v/>
      </c>
      <c r="AB320">
        <f>IFERROR(INDEX(PP_Grid[#Data],$DD320,26),0)</f>
        <v/>
      </c>
      <c r="AC320">
        <f>IFERROR(INDEX(PP_Grid[#Data],$DD320,27),0)</f>
        <v/>
      </c>
      <c r="AD320">
        <f>IFERROR(INDEX(PP_Grid[#Data],$DD320,28),0)</f>
        <v/>
      </c>
      <c r="AE320">
        <f>IFERROR(INDEX(PP_Grid[#Data],$DD320,29),0)</f>
        <v/>
      </c>
      <c r="AF320">
        <f>IFERROR(INDEX(PP_Grid[#Data],$DD320,30),0)</f>
        <v/>
      </c>
      <c r="AG320">
        <f>IFERROR(INDEX(PP_Grid[#Data],$DD320,31),0)</f>
        <v/>
      </c>
      <c r="AH320">
        <f>IFERROR(INDEX(PP_Grid[#Data],$DD320,32),0)</f>
        <v/>
      </c>
      <c r="AI320">
        <f>IFERROR(INDEX(PP_Grid[#Data],$DD320,33),0)</f>
        <v/>
      </c>
      <c r="AJ320">
        <f>IFERROR(INDEX(PP_Grid[#Data],$DD320,34),0)</f>
        <v/>
      </c>
      <c r="AK320">
        <f>IFERROR(INDEX(PP_Grid[#Data],$DD320,35),0)</f>
        <v/>
      </c>
      <c r="AL320">
        <f>IFERROR(INDEX(PP_Grid[#Data],$DD320,36),0)</f>
        <v/>
      </c>
      <c r="AM320">
        <f>IFERROR(INDEX(PP_Grid[#Data],$DD320,37),0)</f>
        <v/>
      </c>
      <c r="AN320">
        <f>IFERROR(INDEX(PP_Grid[#Data],$DD320,38),0)</f>
        <v/>
      </c>
      <c r="AO320">
        <f>IFERROR(INDEX(PP_Grid[#Data],$DD320,39),0)</f>
        <v/>
      </c>
      <c r="AP320">
        <f>IFERROR(INDEX(PP_Grid[#Data],$DD320,40),0)</f>
        <v/>
      </c>
      <c r="AQ320">
        <f>IFERROR(INDEX(PP_Grid[#Data],$DD320,41),0)</f>
        <v/>
      </c>
      <c r="AR320">
        <f>IFERROR(INDEX(PP_Grid[#Data],$DD320,42),0)</f>
        <v/>
      </c>
      <c r="AS320">
        <f>IFERROR(INDEX(PP_Grid[#Data],$DD320,43),0)</f>
        <v/>
      </c>
      <c r="AT320">
        <f>IFERROR(INDEX(PP_Grid[#Data],$DD320,44),0)</f>
        <v/>
      </c>
      <c r="AU320">
        <f>IFERROR(INDEX(PP_Grid[#Data],$DD320,45),0)</f>
        <v/>
      </c>
      <c r="AV320">
        <f>IFERROR(INDEX(PP_Grid[#Data],$DD320,46),0)</f>
        <v/>
      </c>
      <c r="AW320">
        <f>IFERROR(INDEX(PP_Grid[#Data],$DD320,47),0)</f>
        <v/>
      </c>
      <c r="AX320">
        <f>IFERROR(INDEX(PP_Grid[#Data],$DD320,48),0)</f>
        <v/>
      </c>
      <c r="AY320">
        <f>IFERROR(INDEX(PP_Grid[#Data],$DD320,49),0)</f>
        <v/>
      </c>
      <c r="AZ320">
        <f>IFERROR(INDEX(PP_Grid[#Data],$DD320,50),0)</f>
        <v/>
      </c>
      <c r="BA320">
        <f>IFERROR(INDEX(PP_Grid[#Data],$DD320,51),0)</f>
        <v/>
      </c>
      <c r="BB320">
        <f>IFERROR(INDEX(PP_Grid[#Data],$DD320,52),0)</f>
        <v/>
      </c>
      <c r="BC320">
        <f>IFERROR(INDEX(PP_Grid[#Data],$DD320,53),0)</f>
        <v/>
      </c>
      <c r="BD320">
        <f>IFERROR(INDEX(PP_Grid[#Data],$DD320,54),0)</f>
        <v/>
      </c>
      <c r="BE320">
        <f>IFERROR(INDEX(PP_Grid[#Data],$DD320,55),0)</f>
        <v/>
      </c>
      <c r="BF320">
        <f>IFERROR(INDEX(PP_Grid[#Data],$DD320,56),0)</f>
        <v/>
      </c>
      <c r="BG320">
        <f>IFERROR(INDEX(PP_Grid[#Data],$DD320,57),0)</f>
        <v/>
      </c>
      <c r="BH320">
        <f>IFERROR(INDEX(PP_Grid[#Data],$DD320,58),0)</f>
        <v/>
      </c>
      <c r="BI320">
        <f>IFERROR(INDEX(PP_Grid[#Data],$DD320,59),0)</f>
        <v/>
      </c>
      <c r="BJ320">
        <f>IFERROR(INDEX(PP_Grid[#Data],$DD320,60),0)</f>
        <v/>
      </c>
      <c r="BK320">
        <f>IFERROR(INDEX(PP_Grid[#Data],$DD320,61),0)</f>
        <v/>
      </c>
      <c r="BL320">
        <f>IFERROR(INDEX(PP_Grid[#Data],$DD320,62),0)</f>
        <v/>
      </c>
      <c r="BM320">
        <f>IFERROR(INDEX(PP_Grid[#Data],$DD320,63),0)</f>
        <v/>
      </c>
      <c r="BN320">
        <f>IFERROR(INDEX(PP_Grid[#Data],$DD320,64),0)</f>
        <v/>
      </c>
      <c r="BO320">
        <f>IFERROR(INDEX(PP_Grid[#Data],$DD320,65),0)</f>
        <v/>
      </c>
      <c r="BP320">
        <f>IFERROR(INDEX(PP_Grid[#Data],$DD320,66),0)</f>
        <v/>
      </c>
      <c r="BQ320">
        <f>IFERROR(INDEX(PP_Grid[#Data],$DD320,67),0)</f>
        <v/>
      </c>
      <c r="BR320">
        <f>IFERROR(INDEX(PP_Grid[#Data],$DD320,68),0)</f>
        <v/>
      </c>
      <c r="BS320">
        <f>IFERROR(INDEX(PP_Grid[#Data],$DD320,69),0)</f>
        <v/>
      </c>
      <c r="BT320">
        <f>IFERROR(INDEX(PP_Grid[#Data],$DD320,70),0)</f>
        <v/>
      </c>
      <c r="BU320">
        <f>IFERROR(INDEX(PP_Grid[#Data],$DD320,71),0)</f>
        <v/>
      </c>
      <c r="BV320">
        <f>IFERROR(INDEX(PP_Grid[#Data],$DD320,72),0)</f>
        <v/>
      </c>
      <c r="BW320">
        <f>IFERROR(INDEX(PP_Grid[#Data],$DD320,73),0)</f>
        <v/>
      </c>
      <c r="BX320">
        <f>IFERROR(INDEX(PP_Grid[#Data],$DD320,74),0)</f>
        <v/>
      </c>
      <c r="BY320">
        <f>IFERROR(INDEX(PP_Grid[#Data],$DD320,75),0)</f>
        <v/>
      </c>
      <c r="BZ320">
        <f>IFERROR(INDEX(PP_Grid[#Data],$DD320,76),0)</f>
        <v/>
      </c>
      <c r="CA320">
        <f>IFERROR(INDEX(PP_Grid[#Data],$DD320,77),0)</f>
        <v/>
      </c>
      <c r="CB320">
        <f>IFERROR(INDEX(PP_Grid[#Data],$DD320,78),0)</f>
        <v/>
      </c>
      <c r="CC320">
        <f>IFERROR(INDEX(PP_Grid[#Data],$DD320,79),0)</f>
        <v/>
      </c>
      <c r="CD320">
        <f>IFERROR(INDEX(PP_Grid[#Data],$DD320,80),0)</f>
        <v/>
      </c>
      <c r="CE320">
        <f>IFERROR(INDEX(PP_Grid[#Data],$DD320,81),0)</f>
        <v/>
      </c>
      <c r="CF320">
        <f>IFERROR(INDEX(PP_Grid[#Data],$DD320,82),0)</f>
        <v/>
      </c>
      <c r="CG320">
        <f>IFERROR(INDEX(PP_Grid[#Data],$DD320,83),0)</f>
        <v/>
      </c>
      <c r="CH320">
        <f>IFERROR(INDEX(PP_Grid[#Data],$DD320,84),0)</f>
        <v/>
      </c>
      <c r="CI320">
        <f>IFERROR(INDEX(PP_Grid[#Data],$DD320,85),0)</f>
        <v/>
      </c>
      <c r="CJ320">
        <f>IFERROR(INDEX(PP_Grid[#Data],$DD320,86),0)</f>
        <v/>
      </c>
      <c r="CK320">
        <f>IFERROR(INDEX(PP_Grid[#Data],$DD320,87),0)</f>
        <v/>
      </c>
      <c r="CL320">
        <f>IFERROR(INDEX(PP_Grid[#Data],$DD320,88),0)</f>
        <v/>
      </c>
      <c r="CM320">
        <f>IFERROR(INDEX(PP_Grid[#Data],$DD320,89),0)</f>
        <v/>
      </c>
      <c r="CN320">
        <f>IFERROR(INDEX(PP_Grid[#Data],$DD320,90),0)</f>
        <v/>
      </c>
      <c r="CO320">
        <f>IFERROR(INDEX(PP_Grid[#Data],$DD320,91),0)</f>
        <v/>
      </c>
      <c r="CP320">
        <f>IFERROR(INDEX(PP_Grid[#Data],$DD320,92),0)</f>
        <v/>
      </c>
      <c r="CQ320">
        <f>IFERROR(INDEX(PP_Grid[#Data],$DD320,93),0)</f>
        <v/>
      </c>
      <c r="CR320">
        <f>IFERROR(INDEX(PP_Grid[#Data],$DD320,94),0)</f>
        <v/>
      </c>
      <c r="CS320">
        <f>IFERROR(INDEX(PP_Grid[#Data],$DD320,95),0)</f>
        <v/>
      </c>
      <c r="CT320">
        <f>IFERROR(INDEX(PP_Grid[#Data],$DD320,96),0)</f>
        <v/>
      </c>
      <c r="CU320">
        <f>IFERROR(INDEX(PP_Grid[#Data],$DD320,97),0)</f>
        <v/>
      </c>
      <c r="CV320">
        <f>IFERROR(INDEX(PP_Grid[#Data],$DD320,98),0)</f>
        <v/>
      </c>
      <c r="CW320">
        <f>IFERROR(INDEX(PP_Grid[#Data],$DD320,99),0)</f>
        <v/>
      </c>
      <c r="CX320">
        <f>IFERROR(INDEX(PP_Grid[#Data],$DD320,100),0)</f>
        <v/>
      </c>
      <c r="CY320">
        <f>IFERROR(INDEX(PP_Grid[#Data],$DD320,101),0)</f>
        <v/>
      </c>
      <c r="CZ320">
        <f>IFERROR(INDEX(PP_Grid[#Data],$DD320,102),0)</f>
        <v/>
      </c>
      <c r="DA320">
        <f>IFERROR(INDEX(PP_Grid[#Data],$DD320,103),0)</f>
        <v/>
      </c>
      <c r="DB320">
        <f>IFERROR(INDEX(PP_Grid[#Data],$DD320,104),0)</f>
        <v/>
      </c>
      <c r="DC320">
        <f>IFERROR(INDEX(PP_Grid[#Data],$DD320,105),0)</f>
        <v/>
      </c>
      <c r="DD320" s="7">
        <f>IFERROR(MATCH($B320,PP_Grid[Intermediate],0),99999)</f>
        <v/>
      </c>
    </row>
    <row r="321">
      <c r="B321" t="inlineStr">
        <is>
          <t>使用量(kg)</t>
        </is>
      </c>
      <c r="C321">
        <f>SUMIFS(M_BOM[RM_Qty_Per_Batch],M_BOM[Intermediate],$B320,M_BOM[Part Name],$A219)</f>
        <v/>
      </c>
      <c r="D321">
        <f>$C321*D320</f>
        <v/>
      </c>
      <c r="E321">
        <f>$C321*E320</f>
        <v/>
      </c>
      <c r="F321">
        <f>$C321*F320</f>
        <v/>
      </c>
      <c r="G321">
        <f>$C321*G320</f>
        <v/>
      </c>
      <c r="H321">
        <f>$C321*H320</f>
        <v/>
      </c>
      <c r="I321">
        <f>$C321*I320</f>
        <v/>
      </c>
      <c r="J321">
        <f>$C321*J320</f>
        <v/>
      </c>
      <c r="K321">
        <f>$C321*K320</f>
        <v/>
      </c>
      <c r="L321">
        <f>$C321*L320</f>
        <v/>
      </c>
      <c r="M321">
        <f>$C321*M320</f>
        <v/>
      </c>
      <c r="N321">
        <f>$C321*N320</f>
        <v/>
      </c>
      <c r="O321">
        <f>$C321*O320</f>
        <v/>
      </c>
      <c r="P321">
        <f>$C321*P320</f>
        <v/>
      </c>
      <c r="Q321">
        <f>$C321*Q320</f>
        <v/>
      </c>
      <c r="R321">
        <f>$C321*R320</f>
        <v/>
      </c>
      <c r="S321">
        <f>$C321*S320</f>
        <v/>
      </c>
      <c r="T321">
        <f>$C321*T320</f>
        <v/>
      </c>
      <c r="U321">
        <f>$C321*U320</f>
        <v/>
      </c>
      <c r="V321">
        <f>$C321*V320</f>
        <v/>
      </c>
      <c r="W321">
        <f>$C321*W320</f>
        <v/>
      </c>
      <c r="X321">
        <f>$C321*X320</f>
        <v/>
      </c>
      <c r="Y321">
        <f>$C321*Y320</f>
        <v/>
      </c>
      <c r="Z321">
        <f>$C321*Z320</f>
        <v/>
      </c>
      <c r="AA321">
        <f>$C321*AA320</f>
        <v/>
      </c>
      <c r="AB321">
        <f>$C321*AB320</f>
        <v/>
      </c>
      <c r="AC321">
        <f>$C321*AC320</f>
        <v/>
      </c>
      <c r="AD321">
        <f>$C321*AD320</f>
        <v/>
      </c>
      <c r="AE321">
        <f>$C321*AE320</f>
        <v/>
      </c>
      <c r="AF321">
        <f>$C321*AF320</f>
        <v/>
      </c>
      <c r="AG321">
        <f>$C321*AG320</f>
        <v/>
      </c>
      <c r="AH321">
        <f>$C321*AH320</f>
        <v/>
      </c>
      <c r="AI321">
        <f>$C321*AI320</f>
        <v/>
      </c>
      <c r="AJ321">
        <f>$C321*AJ320</f>
        <v/>
      </c>
      <c r="AK321">
        <f>$C321*AK320</f>
        <v/>
      </c>
      <c r="AL321">
        <f>$C321*AL320</f>
        <v/>
      </c>
      <c r="AM321">
        <f>$C321*AM320</f>
        <v/>
      </c>
      <c r="AN321">
        <f>$C321*AN320</f>
        <v/>
      </c>
      <c r="AO321">
        <f>$C321*AO320</f>
        <v/>
      </c>
      <c r="AP321">
        <f>$C321*AP320</f>
        <v/>
      </c>
      <c r="AQ321">
        <f>$C321*AQ320</f>
        <v/>
      </c>
      <c r="AR321">
        <f>$C321*AR320</f>
        <v/>
      </c>
      <c r="AS321">
        <f>$C321*AS320</f>
        <v/>
      </c>
      <c r="AT321">
        <f>$C321*AT320</f>
        <v/>
      </c>
      <c r="AU321">
        <f>$C321*AU320</f>
        <v/>
      </c>
      <c r="AV321">
        <f>$C321*AV320</f>
        <v/>
      </c>
      <c r="AW321">
        <f>$C321*AW320</f>
        <v/>
      </c>
      <c r="AX321">
        <f>$C321*AX320</f>
        <v/>
      </c>
      <c r="AY321">
        <f>$C321*AY320</f>
        <v/>
      </c>
      <c r="AZ321">
        <f>$C321*AZ320</f>
        <v/>
      </c>
      <c r="BA321">
        <f>$C321*BA320</f>
        <v/>
      </c>
      <c r="BB321">
        <f>$C321*BB320</f>
        <v/>
      </c>
      <c r="BC321">
        <f>$C321*BC320</f>
        <v/>
      </c>
      <c r="BD321">
        <f>$C321*BD320</f>
        <v/>
      </c>
      <c r="BE321">
        <f>$C321*BE320</f>
        <v/>
      </c>
      <c r="BF321">
        <f>$C321*BF320</f>
        <v/>
      </c>
      <c r="BG321">
        <f>$C321*BG320</f>
        <v/>
      </c>
      <c r="BH321">
        <f>$C321*BH320</f>
        <v/>
      </c>
      <c r="BI321">
        <f>$C321*BI320</f>
        <v/>
      </c>
      <c r="BJ321">
        <f>$C321*BJ320</f>
        <v/>
      </c>
      <c r="BK321">
        <f>$C321*BK320</f>
        <v/>
      </c>
      <c r="BL321">
        <f>$C321*BL320</f>
        <v/>
      </c>
      <c r="BM321">
        <f>$C321*BM320</f>
        <v/>
      </c>
      <c r="BN321">
        <f>$C321*BN320</f>
        <v/>
      </c>
      <c r="BO321">
        <f>$C321*BO320</f>
        <v/>
      </c>
      <c r="BP321">
        <f>$C321*BP320</f>
        <v/>
      </c>
      <c r="BQ321">
        <f>$C321*BQ320</f>
        <v/>
      </c>
      <c r="BR321">
        <f>$C321*BR320</f>
        <v/>
      </c>
      <c r="BS321">
        <f>$C321*BS320</f>
        <v/>
      </c>
      <c r="BT321">
        <f>$C321*BT320</f>
        <v/>
      </c>
      <c r="BU321">
        <f>$C321*BU320</f>
        <v/>
      </c>
      <c r="BV321">
        <f>$C321*BV320</f>
        <v/>
      </c>
      <c r="BW321">
        <f>$C321*BW320</f>
        <v/>
      </c>
      <c r="BX321">
        <f>$C321*BX320</f>
        <v/>
      </c>
      <c r="BY321">
        <f>$C321*BY320</f>
        <v/>
      </c>
      <c r="BZ321">
        <f>$C321*BZ320</f>
        <v/>
      </c>
      <c r="CA321">
        <f>$C321*CA320</f>
        <v/>
      </c>
      <c r="CB321">
        <f>$C321*CB320</f>
        <v/>
      </c>
      <c r="CC321">
        <f>$C321*CC320</f>
        <v/>
      </c>
      <c r="CD321">
        <f>$C321*CD320</f>
        <v/>
      </c>
      <c r="CE321">
        <f>$C321*CE320</f>
        <v/>
      </c>
      <c r="CF321">
        <f>$C321*CF320</f>
        <v/>
      </c>
      <c r="CG321">
        <f>$C321*CG320</f>
        <v/>
      </c>
      <c r="CH321">
        <f>$C321*CH320</f>
        <v/>
      </c>
      <c r="CI321">
        <f>$C321*CI320</f>
        <v/>
      </c>
      <c r="CJ321">
        <f>$C321*CJ320</f>
        <v/>
      </c>
      <c r="CK321">
        <f>$C321*CK320</f>
        <v/>
      </c>
      <c r="CL321">
        <f>$C321*CL320</f>
        <v/>
      </c>
      <c r="CM321">
        <f>$C321*CM320</f>
        <v/>
      </c>
      <c r="CN321">
        <f>$C321*CN320</f>
        <v/>
      </c>
      <c r="CO321">
        <f>$C321*CO320</f>
        <v/>
      </c>
      <c r="CP321">
        <f>$C321*CP320</f>
        <v/>
      </c>
      <c r="CQ321">
        <f>$C321*CQ320</f>
        <v/>
      </c>
      <c r="CR321">
        <f>$C321*CR320</f>
        <v/>
      </c>
      <c r="CS321">
        <f>$C321*CS320</f>
        <v/>
      </c>
      <c r="CT321">
        <f>$C321*CT320</f>
        <v/>
      </c>
      <c r="CU321">
        <f>$C321*CU320</f>
        <v/>
      </c>
      <c r="CV321">
        <f>$C321*CV320</f>
        <v/>
      </c>
      <c r="CW321">
        <f>$C321*CW320</f>
        <v/>
      </c>
      <c r="CX321">
        <f>$C321*CX320</f>
        <v/>
      </c>
      <c r="CY321">
        <f>$C321*CY320</f>
        <v/>
      </c>
      <c r="CZ321">
        <f>$C321*CZ320</f>
        <v/>
      </c>
      <c r="DA321">
        <f>$C321*DA320</f>
        <v/>
      </c>
      <c r="DB321">
        <f>$C321*DB320</f>
        <v/>
      </c>
      <c r="DC321">
        <f>$C321*DC320</f>
        <v/>
      </c>
    </row>
    <row r="322">
      <c r="B322" t="inlineStr">
        <is>
          <t>VSP-870</t>
        </is>
      </c>
      <c r="C322" t="inlineStr">
        <is>
          <t>No. of batches</t>
        </is>
      </c>
      <c r="D322">
        <f>IFERROR(INDEX(PP_Grid[#Data],$DD322,2),0)</f>
        <v/>
      </c>
      <c r="E322">
        <f>IFERROR(INDEX(PP_Grid[#Data],$DD322,3),0)</f>
        <v/>
      </c>
      <c r="F322">
        <f>IFERROR(INDEX(PP_Grid[#Data],$DD322,4),0)</f>
        <v/>
      </c>
      <c r="G322">
        <f>IFERROR(INDEX(PP_Grid[#Data],$DD322,5),0)</f>
        <v/>
      </c>
      <c r="H322">
        <f>IFERROR(INDEX(PP_Grid[#Data],$DD322,6),0)</f>
        <v/>
      </c>
      <c r="I322">
        <f>IFERROR(INDEX(PP_Grid[#Data],$DD322,7),0)</f>
        <v/>
      </c>
      <c r="J322">
        <f>IFERROR(INDEX(PP_Grid[#Data],$DD322,8),0)</f>
        <v/>
      </c>
      <c r="K322">
        <f>IFERROR(INDEX(PP_Grid[#Data],$DD322,9),0)</f>
        <v/>
      </c>
      <c r="L322">
        <f>IFERROR(INDEX(PP_Grid[#Data],$DD322,10),0)</f>
        <v/>
      </c>
      <c r="M322">
        <f>IFERROR(INDEX(PP_Grid[#Data],$DD322,11),0)</f>
        <v/>
      </c>
      <c r="N322">
        <f>IFERROR(INDEX(PP_Grid[#Data],$DD322,12),0)</f>
        <v/>
      </c>
      <c r="O322">
        <f>IFERROR(INDEX(PP_Grid[#Data],$DD322,13),0)</f>
        <v/>
      </c>
      <c r="P322">
        <f>IFERROR(INDEX(PP_Grid[#Data],$DD322,14),0)</f>
        <v/>
      </c>
      <c r="Q322">
        <f>IFERROR(INDEX(PP_Grid[#Data],$DD322,15),0)</f>
        <v/>
      </c>
      <c r="R322">
        <f>IFERROR(INDEX(PP_Grid[#Data],$DD322,16),0)</f>
        <v/>
      </c>
      <c r="S322">
        <f>IFERROR(INDEX(PP_Grid[#Data],$DD322,17),0)</f>
        <v/>
      </c>
      <c r="T322">
        <f>IFERROR(INDEX(PP_Grid[#Data],$DD322,18),0)</f>
        <v/>
      </c>
      <c r="U322">
        <f>IFERROR(INDEX(PP_Grid[#Data],$DD322,19),0)</f>
        <v/>
      </c>
      <c r="V322">
        <f>IFERROR(INDEX(PP_Grid[#Data],$DD322,20),0)</f>
        <v/>
      </c>
      <c r="W322">
        <f>IFERROR(INDEX(PP_Grid[#Data],$DD322,21),0)</f>
        <v/>
      </c>
      <c r="X322">
        <f>IFERROR(INDEX(PP_Grid[#Data],$DD322,22),0)</f>
        <v/>
      </c>
      <c r="Y322">
        <f>IFERROR(INDEX(PP_Grid[#Data],$DD322,23),0)</f>
        <v/>
      </c>
      <c r="Z322">
        <f>IFERROR(INDEX(PP_Grid[#Data],$DD322,24),0)</f>
        <v/>
      </c>
      <c r="AA322">
        <f>IFERROR(INDEX(PP_Grid[#Data],$DD322,25),0)</f>
        <v/>
      </c>
      <c r="AB322">
        <f>IFERROR(INDEX(PP_Grid[#Data],$DD322,26),0)</f>
        <v/>
      </c>
      <c r="AC322">
        <f>IFERROR(INDEX(PP_Grid[#Data],$DD322,27),0)</f>
        <v/>
      </c>
      <c r="AD322">
        <f>IFERROR(INDEX(PP_Grid[#Data],$DD322,28),0)</f>
        <v/>
      </c>
      <c r="AE322">
        <f>IFERROR(INDEX(PP_Grid[#Data],$DD322,29),0)</f>
        <v/>
      </c>
      <c r="AF322">
        <f>IFERROR(INDEX(PP_Grid[#Data],$DD322,30),0)</f>
        <v/>
      </c>
      <c r="AG322">
        <f>IFERROR(INDEX(PP_Grid[#Data],$DD322,31),0)</f>
        <v/>
      </c>
      <c r="AH322">
        <f>IFERROR(INDEX(PP_Grid[#Data],$DD322,32),0)</f>
        <v/>
      </c>
      <c r="AI322">
        <f>IFERROR(INDEX(PP_Grid[#Data],$DD322,33),0)</f>
        <v/>
      </c>
      <c r="AJ322">
        <f>IFERROR(INDEX(PP_Grid[#Data],$DD322,34),0)</f>
        <v/>
      </c>
      <c r="AK322">
        <f>IFERROR(INDEX(PP_Grid[#Data],$DD322,35),0)</f>
        <v/>
      </c>
      <c r="AL322">
        <f>IFERROR(INDEX(PP_Grid[#Data],$DD322,36),0)</f>
        <v/>
      </c>
      <c r="AM322">
        <f>IFERROR(INDEX(PP_Grid[#Data],$DD322,37),0)</f>
        <v/>
      </c>
      <c r="AN322">
        <f>IFERROR(INDEX(PP_Grid[#Data],$DD322,38),0)</f>
        <v/>
      </c>
      <c r="AO322">
        <f>IFERROR(INDEX(PP_Grid[#Data],$DD322,39),0)</f>
        <v/>
      </c>
      <c r="AP322">
        <f>IFERROR(INDEX(PP_Grid[#Data],$DD322,40),0)</f>
        <v/>
      </c>
      <c r="AQ322">
        <f>IFERROR(INDEX(PP_Grid[#Data],$DD322,41),0)</f>
        <v/>
      </c>
      <c r="AR322">
        <f>IFERROR(INDEX(PP_Grid[#Data],$DD322,42),0)</f>
        <v/>
      </c>
      <c r="AS322">
        <f>IFERROR(INDEX(PP_Grid[#Data],$DD322,43),0)</f>
        <v/>
      </c>
      <c r="AT322">
        <f>IFERROR(INDEX(PP_Grid[#Data],$DD322,44),0)</f>
        <v/>
      </c>
      <c r="AU322">
        <f>IFERROR(INDEX(PP_Grid[#Data],$DD322,45),0)</f>
        <v/>
      </c>
      <c r="AV322">
        <f>IFERROR(INDEX(PP_Grid[#Data],$DD322,46),0)</f>
        <v/>
      </c>
      <c r="AW322">
        <f>IFERROR(INDEX(PP_Grid[#Data],$DD322,47),0)</f>
        <v/>
      </c>
      <c r="AX322">
        <f>IFERROR(INDEX(PP_Grid[#Data],$DD322,48),0)</f>
        <v/>
      </c>
      <c r="AY322">
        <f>IFERROR(INDEX(PP_Grid[#Data],$DD322,49),0)</f>
        <v/>
      </c>
      <c r="AZ322">
        <f>IFERROR(INDEX(PP_Grid[#Data],$DD322,50),0)</f>
        <v/>
      </c>
      <c r="BA322">
        <f>IFERROR(INDEX(PP_Grid[#Data],$DD322,51),0)</f>
        <v/>
      </c>
      <c r="BB322">
        <f>IFERROR(INDEX(PP_Grid[#Data],$DD322,52),0)</f>
        <v/>
      </c>
      <c r="BC322">
        <f>IFERROR(INDEX(PP_Grid[#Data],$DD322,53),0)</f>
        <v/>
      </c>
      <c r="BD322">
        <f>IFERROR(INDEX(PP_Grid[#Data],$DD322,54),0)</f>
        <v/>
      </c>
      <c r="BE322">
        <f>IFERROR(INDEX(PP_Grid[#Data],$DD322,55),0)</f>
        <v/>
      </c>
      <c r="BF322">
        <f>IFERROR(INDEX(PP_Grid[#Data],$DD322,56),0)</f>
        <v/>
      </c>
      <c r="BG322">
        <f>IFERROR(INDEX(PP_Grid[#Data],$DD322,57),0)</f>
        <v/>
      </c>
      <c r="BH322">
        <f>IFERROR(INDEX(PP_Grid[#Data],$DD322,58),0)</f>
        <v/>
      </c>
      <c r="BI322">
        <f>IFERROR(INDEX(PP_Grid[#Data],$DD322,59),0)</f>
        <v/>
      </c>
      <c r="BJ322">
        <f>IFERROR(INDEX(PP_Grid[#Data],$DD322,60),0)</f>
        <v/>
      </c>
      <c r="BK322">
        <f>IFERROR(INDEX(PP_Grid[#Data],$DD322,61),0)</f>
        <v/>
      </c>
      <c r="BL322">
        <f>IFERROR(INDEX(PP_Grid[#Data],$DD322,62),0)</f>
        <v/>
      </c>
      <c r="BM322">
        <f>IFERROR(INDEX(PP_Grid[#Data],$DD322,63),0)</f>
        <v/>
      </c>
      <c r="BN322">
        <f>IFERROR(INDEX(PP_Grid[#Data],$DD322,64),0)</f>
        <v/>
      </c>
      <c r="BO322">
        <f>IFERROR(INDEX(PP_Grid[#Data],$DD322,65),0)</f>
        <v/>
      </c>
      <c r="BP322">
        <f>IFERROR(INDEX(PP_Grid[#Data],$DD322,66),0)</f>
        <v/>
      </c>
      <c r="BQ322">
        <f>IFERROR(INDEX(PP_Grid[#Data],$DD322,67),0)</f>
        <v/>
      </c>
      <c r="BR322">
        <f>IFERROR(INDEX(PP_Grid[#Data],$DD322,68),0)</f>
        <v/>
      </c>
      <c r="BS322">
        <f>IFERROR(INDEX(PP_Grid[#Data],$DD322,69),0)</f>
        <v/>
      </c>
      <c r="BT322">
        <f>IFERROR(INDEX(PP_Grid[#Data],$DD322,70),0)</f>
        <v/>
      </c>
      <c r="BU322">
        <f>IFERROR(INDEX(PP_Grid[#Data],$DD322,71),0)</f>
        <v/>
      </c>
      <c r="BV322">
        <f>IFERROR(INDEX(PP_Grid[#Data],$DD322,72),0)</f>
        <v/>
      </c>
      <c r="BW322">
        <f>IFERROR(INDEX(PP_Grid[#Data],$DD322,73),0)</f>
        <v/>
      </c>
      <c r="BX322">
        <f>IFERROR(INDEX(PP_Grid[#Data],$DD322,74),0)</f>
        <v/>
      </c>
      <c r="BY322">
        <f>IFERROR(INDEX(PP_Grid[#Data],$DD322,75),0)</f>
        <v/>
      </c>
      <c r="BZ322">
        <f>IFERROR(INDEX(PP_Grid[#Data],$DD322,76),0)</f>
        <v/>
      </c>
      <c r="CA322">
        <f>IFERROR(INDEX(PP_Grid[#Data],$DD322,77),0)</f>
        <v/>
      </c>
      <c r="CB322">
        <f>IFERROR(INDEX(PP_Grid[#Data],$DD322,78),0)</f>
        <v/>
      </c>
      <c r="CC322">
        <f>IFERROR(INDEX(PP_Grid[#Data],$DD322,79),0)</f>
        <v/>
      </c>
      <c r="CD322">
        <f>IFERROR(INDEX(PP_Grid[#Data],$DD322,80),0)</f>
        <v/>
      </c>
      <c r="CE322">
        <f>IFERROR(INDEX(PP_Grid[#Data],$DD322,81),0)</f>
        <v/>
      </c>
      <c r="CF322">
        <f>IFERROR(INDEX(PP_Grid[#Data],$DD322,82),0)</f>
        <v/>
      </c>
      <c r="CG322">
        <f>IFERROR(INDEX(PP_Grid[#Data],$DD322,83),0)</f>
        <v/>
      </c>
      <c r="CH322">
        <f>IFERROR(INDEX(PP_Grid[#Data],$DD322,84),0)</f>
        <v/>
      </c>
      <c r="CI322">
        <f>IFERROR(INDEX(PP_Grid[#Data],$DD322,85),0)</f>
        <v/>
      </c>
      <c r="CJ322">
        <f>IFERROR(INDEX(PP_Grid[#Data],$DD322,86),0)</f>
        <v/>
      </c>
      <c r="CK322">
        <f>IFERROR(INDEX(PP_Grid[#Data],$DD322,87),0)</f>
        <v/>
      </c>
      <c r="CL322">
        <f>IFERROR(INDEX(PP_Grid[#Data],$DD322,88),0)</f>
        <v/>
      </c>
      <c r="CM322">
        <f>IFERROR(INDEX(PP_Grid[#Data],$DD322,89),0)</f>
        <v/>
      </c>
      <c r="CN322">
        <f>IFERROR(INDEX(PP_Grid[#Data],$DD322,90),0)</f>
        <v/>
      </c>
      <c r="CO322">
        <f>IFERROR(INDEX(PP_Grid[#Data],$DD322,91),0)</f>
        <v/>
      </c>
      <c r="CP322">
        <f>IFERROR(INDEX(PP_Grid[#Data],$DD322,92),0)</f>
        <v/>
      </c>
      <c r="CQ322">
        <f>IFERROR(INDEX(PP_Grid[#Data],$DD322,93),0)</f>
        <v/>
      </c>
      <c r="CR322">
        <f>IFERROR(INDEX(PP_Grid[#Data],$DD322,94),0)</f>
        <v/>
      </c>
      <c r="CS322">
        <f>IFERROR(INDEX(PP_Grid[#Data],$DD322,95),0)</f>
        <v/>
      </c>
      <c r="CT322">
        <f>IFERROR(INDEX(PP_Grid[#Data],$DD322,96),0)</f>
        <v/>
      </c>
      <c r="CU322">
        <f>IFERROR(INDEX(PP_Grid[#Data],$DD322,97),0)</f>
        <v/>
      </c>
      <c r="CV322">
        <f>IFERROR(INDEX(PP_Grid[#Data],$DD322,98),0)</f>
        <v/>
      </c>
      <c r="CW322">
        <f>IFERROR(INDEX(PP_Grid[#Data],$DD322,99),0)</f>
        <v/>
      </c>
      <c r="CX322">
        <f>IFERROR(INDEX(PP_Grid[#Data],$DD322,100),0)</f>
        <v/>
      </c>
      <c r="CY322">
        <f>IFERROR(INDEX(PP_Grid[#Data],$DD322,101),0)</f>
        <v/>
      </c>
      <c r="CZ322">
        <f>IFERROR(INDEX(PP_Grid[#Data],$DD322,102),0)</f>
        <v/>
      </c>
      <c r="DA322">
        <f>IFERROR(INDEX(PP_Grid[#Data],$DD322,103),0)</f>
        <v/>
      </c>
      <c r="DB322">
        <f>IFERROR(INDEX(PP_Grid[#Data],$DD322,104),0)</f>
        <v/>
      </c>
      <c r="DC322">
        <f>IFERROR(INDEX(PP_Grid[#Data],$DD322,105),0)</f>
        <v/>
      </c>
      <c r="DD322" s="7">
        <f>IFERROR(MATCH($B322,PP_Grid[Intermediate],0),99999)</f>
        <v/>
      </c>
    </row>
    <row r="323">
      <c r="B323" t="inlineStr">
        <is>
          <t>使用量(kg)</t>
        </is>
      </c>
      <c r="C323">
        <f>SUMIFS(M_BOM[RM_Qty_Per_Batch],M_BOM[Intermediate],$B322,M_BOM[Part Name],$A219)</f>
        <v/>
      </c>
      <c r="D323">
        <f>$C323*D322</f>
        <v/>
      </c>
      <c r="E323">
        <f>$C323*E322</f>
        <v/>
      </c>
      <c r="F323">
        <f>$C323*F322</f>
        <v/>
      </c>
      <c r="G323">
        <f>$C323*G322</f>
        <v/>
      </c>
      <c r="H323">
        <f>$C323*H322</f>
        <v/>
      </c>
      <c r="I323">
        <f>$C323*I322</f>
        <v/>
      </c>
      <c r="J323">
        <f>$C323*J322</f>
        <v/>
      </c>
      <c r="K323">
        <f>$C323*K322</f>
        <v/>
      </c>
      <c r="L323">
        <f>$C323*L322</f>
        <v/>
      </c>
      <c r="M323">
        <f>$C323*M322</f>
        <v/>
      </c>
      <c r="N323">
        <f>$C323*N322</f>
        <v/>
      </c>
      <c r="O323">
        <f>$C323*O322</f>
        <v/>
      </c>
      <c r="P323">
        <f>$C323*P322</f>
        <v/>
      </c>
      <c r="Q323">
        <f>$C323*Q322</f>
        <v/>
      </c>
      <c r="R323">
        <f>$C323*R322</f>
        <v/>
      </c>
      <c r="S323">
        <f>$C323*S322</f>
        <v/>
      </c>
      <c r="T323">
        <f>$C323*T322</f>
        <v/>
      </c>
      <c r="U323">
        <f>$C323*U322</f>
        <v/>
      </c>
      <c r="V323">
        <f>$C323*V322</f>
        <v/>
      </c>
      <c r="W323">
        <f>$C323*W322</f>
        <v/>
      </c>
      <c r="X323">
        <f>$C323*X322</f>
        <v/>
      </c>
      <c r="Y323">
        <f>$C323*Y322</f>
        <v/>
      </c>
      <c r="Z323">
        <f>$C323*Z322</f>
        <v/>
      </c>
      <c r="AA323">
        <f>$C323*AA322</f>
        <v/>
      </c>
      <c r="AB323">
        <f>$C323*AB322</f>
        <v/>
      </c>
      <c r="AC323">
        <f>$C323*AC322</f>
        <v/>
      </c>
      <c r="AD323">
        <f>$C323*AD322</f>
        <v/>
      </c>
      <c r="AE323">
        <f>$C323*AE322</f>
        <v/>
      </c>
      <c r="AF323">
        <f>$C323*AF322</f>
        <v/>
      </c>
      <c r="AG323">
        <f>$C323*AG322</f>
        <v/>
      </c>
      <c r="AH323">
        <f>$C323*AH322</f>
        <v/>
      </c>
      <c r="AI323">
        <f>$C323*AI322</f>
        <v/>
      </c>
      <c r="AJ323">
        <f>$C323*AJ322</f>
        <v/>
      </c>
      <c r="AK323">
        <f>$C323*AK322</f>
        <v/>
      </c>
      <c r="AL323">
        <f>$C323*AL322</f>
        <v/>
      </c>
      <c r="AM323">
        <f>$C323*AM322</f>
        <v/>
      </c>
      <c r="AN323">
        <f>$C323*AN322</f>
        <v/>
      </c>
      <c r="AO323">
        <f>$C323*AO322</f>
        <v/>
      </c>
      <c r="AP323">
        <f>$C323*AP322</f>
        <v/>
      </c>
      <c r="AQ323">
        <f>$C323*AQ322</f>
        <v/>
      </c>
      <c r="AR323">
        <f>$C323*AR322</f>
        <v/>
      </c>
      <c r="AS323">
        <f>$C323*AS322</f>
        <v/>
      </c>
      <c r="AT323">
        <f>$C323*AT322</f>
        <v/>
      </c>
      <c r="AU323">
        <f>$C323*AU322</f>
        <v/>
      </c>
      <c r="AV323">
        <f>$C323*AV322</f>
        <v/>
      </c>
      <c r="AW323">
        <f>$C323*AW322</f>
        <v/>
      </c>
      <c r="AX323">
        <f>$C323*AX322</f>
        <v/>
      </c>
      <c r="AY323">
        <f>$C323*AY322</f>
        <v/>
      </c>
      <c r="AZ323">
        <f>$C323*AZ322</f>
        <v/>
      </c>
      <c r="BA323">
        <f>$C323*BA322</f>
        <v/>
      </c>
      <c r="BB323">
        <f>$C323*BB322</f>
        <v/>
      </c>
      <c r="BC323">
        <f>$C323*BC322</f>
        <v/>
      </c>
      <c r="BD323">
        <f>$C323*BD322</f>
        <v/>
      </c>
      <c r="BE323">
        <f>$C323*BE322</f>
        <v/>
      </c>
      <c r="BF323">
        <f>$C323*BF322</f>
        <v/>
      </c>
      <c r="BG323">
        <f>$C323*BG322</f>
        <v/>
      </c>
      <c r="BH323">
        <f>$C323*BH322</f>
        <v/>
      </c>
      <c r="BI323">
        <f>$C323*BI322</f>
        <v/>
      </c>
      <c r="BJ323">
        <f>$C323*BJ322</f>
        <v/>
      </c>
      <c r="BK323">
        <f>$C323*BK322</f>
        <v/>
      </c>
      <c r="BL323">
        <f>$C323*BL322</f>
        <v/>
      </c>
      <c r="BM323">
        <f>$C323*BM322</f>
        <v/>
      </c>
      <c r="BN323">
        <f>$C323*BN322</f>
        <v/>
      </c>
      <c r="BO323">
        <f>$C323*BO322</f>
        <v/>
      </c>
      <c r="BP323">
        <f>$C323*BP322</f>
        <v/>
      </c>
      <c r="BQ323">
        <f>$C323*BQ322</f>
        <v/>
      </c>
      <c r="BR323">
        <f>$C323*BR322</f>
        <v/>
      </c>
      <c r="BS323">
        <f>$C323*BS322</f>
        <v/>
      </c>
      <c r="BT323">
        <f>$C323*BT322</f>
        <v/>
      </c>
      <c r="BU323">
        <f>$C323*BU322</f>
        <v/>
      </c>
      <c r="BV323">
        <f>$C323*BV322</f>
        <v/>
      </c>
      <c r="BW323">
        <f>$C323*BW322</f>
        <v/>
      </c>
      <c r="BX323">
        <f>$C323*BX322</f>
        <v/>
      </c>
      <c r="BY323">
        <f>$C323*BY322</f>
        <v/>
      </c>
      <c r="BZ323">
        <f>$C323*BZ322</f>
        <v/>
      </c>
      <c r="CA323">
        <f>$C323*CA322</f>
        <v/>
      </c>
      <c r="CB323">
        <f>$C323*CB322</f>
        <v/>
      </c>
      <c r="CC323">
        <f>$C323*CC322</f>
        <v/>
      </c>
      <c r="CD323">
        <f>$C323*CD322</f>
        <v/>
      </c>
      <c r="CE323">
        <f>$C323*CE322</f>
        <v/>
      </c>
      <c r="CF323">
        <f>$C323*CF322</f>
        <v/>
      </c>
      <c r="CG323">
        <f>$C323*CG322</f>
        <v/>
      </c>
      <c r="CH323">
        <f>$C323*CH322</f>
        <v/>
      </c>
      <c r="CI323">
        <f>$C323*CI322</f>
        <v/>
      </c>
      <c r="CJ323">
        <f>$C323*CJ322</f>
        <v/>
      </c>
      <c r="CK323">
        <f>$C323*CK322</f>
        <v/>
      </c>
      <c r="CL323">
        <f>$C323*CL322</f>
        <v/>
      </c>
      <c r="CM323">
        <f>$C323*CM322</f>
        <v/>
      </c>
      <c r="CN323">
        <f>$C323*CN322</f>
        <v/>
      </c>
      <c r="CO323">
        <f>$C323*CO322</f>
        <v/>
      </c>
      <c r="CP323">
        <f>$C323*CP322</f>
        <v/>
      </c>
      <c r="CQ323">
        <f>$C323*CQ322</f>
        <v/>
      </c>
      <c r="CR323">
        <f>$C323*CR322</f>
        <v/>
      </c>
      <c r="CS323">
        <f>$C323*CS322</f>
        <v/>
      </c>
      <c r="CT323">
        <f>$C323*CT322</f>
        <v/>
      </c>
      <c r="CU323">
        <f>$C323*CU322</f>
        <v/>
      </c>
      <c r="CV323">
        <f>$C323*CV322</f>
        <v/>
      </c>
      <c r="CW323">
        <f>$C323*CW322</f>
        <v/>
      </c>
      <c r="CX323">
        <f>$C323*CX322</f>
        <v/>
      </c>
      <c r="CY323">
        <f>$C323*CY322</f>
        <v/>
      </c>
      <c r="CZ323">
        <f>$C323*CZ322</f>
        <v/>
      </c>
      <c r="DA323">
        <f>$C323*DA322</f>
        <v/>
      </c>
      <c r="DB323">
        <f>$C323*DB322</f>
        <v/>
      </c>
      <c r="DC323">
        <f>$C323*DC322</f>
        <v/>
      </c>
    </row>
    <row r="324">
      <c r="B324" t="inlineStr">
        <is>
          <t>VSP-910</t>
        </is>
      </c>
      <c r="C324" t="inlineStr">
        <is>
          <t>No. of batches</t>
        </is>
      </c>
      <c r="D324">
        <f>IFERROR(INDEX(PP_Grid[#Data],$DD324,2),0)</f>
        <v/>
      </c>
      <c r="E324">
        <f>IFERROR(INDEX(PP_Grid[#Data],$DD324,3),0)</f>
        <v/>
      </c>
      <c r="F324">
        <f>IFERROR(INDEX(PP_Grid[#Data],$DD324,4),0)</f>
        <v/>
      </c>
      <c r="G324">
        <f>IFERROR(INDEX(PP_Grid[#Data],$DD324,5),0)</f>
        <v/>
      </c>
      <c r="H324">
        <f>IFERROR(INDEX(PP_Grid[#Data],$DD324,6),0)</f>
        <v/>
      </c>
      <c r="I324">
        <f>IFERROR(INDEX(PP_Grid[#Data],$DD324,7),0)</f>
        <v/>
      </c>
      <c r="J324">
        <f>IFERROR(INDEX(PP_Grid[#Data],$DD324,8),0)</f>
        <v/>
      </c>
      <c r="K324">
        <f>IFERROR(INDEX(PP_Grid[#Data],$DD324,9),0)</f>
        <v/>
      </c>
      <c r="L324">
        <f>IFERROR(INDEX(PP_Grid[#Data],$DD324,10),0)</f>
        <v/>
      </c>
      <c r="M324">
        <f>IFERROR(INDEX(PP_Grid[#Data],$DD324,11),0)</f>
        <v/>
      </c>
      <c r="N324">
        <f>IFERROR(INDEX(PP_Grid[#Data],$DD324,12),0)</f>
        <v/>
      </c>
      <c r="O324">
        <f>IFERROR(INDEX(PP_Grid[#Data],$DD324,13),0)</f>
        <v/>
      </c>
      <c r="P324">
        <f>IFERROR(INDEX(PP_Grid[#Data],$DD324,14),0)</f>
        <v/>
      </c>
      <c r="Q324">
        <f>IFERROR(INDEX(PP_Grid[#Data],$DD324,15),0)</f>
        <v/>
      </c>
      <c r="R324">
        <f>IFERROR(INDEX(PP_Grid[#Data],$DD324,16),0)</f>
        <v/>
      </c>
      <c r="S324">
        <f>IFERROR(INDEX(PP_Grid[#Data],$DD324,17),0)</f>
        <v/>
      </c>
      <c r="T324">
        <f>IFERROR(INDEX(PP_Grid[#Data],$DD324,18),0)</f>
        <v/>
      </c>
      <c r="U324">
        <f>IFERROR(INDEX(PP_Grid[#Data],$DD324,19),0)</f>
        <v/>
      </c>
      <c r="V324">
        <f>IFERROR(INDEX(PP_Grid[#Data],$DD324,20),0)</f>
        <v/>
      </c>
      <c r="W324">
        <f>IFERROR(INDEX(PP_Grid[#Data],$DD324,21),0)</f>
        <v/>
      </c>
      <c r="X324">
        <f>IFERROR(INDEX(PP_Grid[#Data],$DD324,22),0)</f>
        <v/>
      </c>
      <c r="Y324">
        <f>IFERROR(INDEX(PP_Grid[#Data],$DD324,23),0)</f>
        <v/>
      </c>
      <c r="Z324">
        <f>IFERROR(INDEX(PP_Grid[#Data],$DD324,24),0)</f>
        <v/>
      </c>
      <c r="AA324">
        <f>IFERROR(INDEX(PP_Grid[#Data],$DD324,25),0)</f>
        <v/>
      </c>
      <c r="AB324">
        <f>IFERROR(INDEX(PP_Grid[#Data],$DD324,26),0)</f>
        <v/>
      </c>
      <c r="AC324">
        <f>IFERROR(INDEX(PP_Grid[#Data],$DD324,27),0)</f>
        <v/>
      </c>
      <c r="AD324">
        <f>IFERROR(INDEX(PP_Grid[#Data],$DD324,28),0)</f>
        <v/>
      </c>
      <c r="AE324">
        <f>IFERROR(INDEX(PP_Grid[#Data],$DD324,29),0)</f>
        <v/>
      </c>
      <c r="AF324">
        <f>IFERROR(INDEX(PP_Grid[#Data],$DD324,30),0)</f>
        <v/>
      </c>
      <c r="AG324">
        <f>IFERROR(INDEX(PP_Grid[#Data],$DD324,31),0)</f>
        <v/>
      </c>
      <c r="AH324">
        <f>IFERROR(INDEX(PP_Grid[#Data],$DD324,32),0)</f>
        <v/>
      </c>
      <c r="AI324">
        <f>IFERROR(INDEX(PP_Grid[#Data],$DD324,33),0)</f>
        <v/>
      </c>
      <c r="AJ324">
        <f>IFERROR(INDEX(PP_Grid[#Data],$DD324,34),0)</f>
        <v/>
      </c>
      <c r="AK324">
        <f>IFERROR(INDEX(PP_Grid[#Data],$DD324,35),0)</f>
        <v/>
      </c>
      <c r="AL324">
        <f>IFERROR(INDEX(PP_Grid[#Data],$DD324,36),0)</f>
        <v/>
      </c>
      <c r="AM324">
        <f>IFERROR(INDEX(PP_Grid[#Data],$DD324,37),0)</f>
        <v/>
      </c>
      <c r="AN324">
        <f>IFERROR(INDEX(PP_Grid[#Data],$DD324,38),0)</f>
        <v/>
      </c>
      <c r="AO324">
        <f>IFERROR(INDEX(PP_Grid[#Data],$DD324,39),0)</f>
        <v/>
      </c>
      <c r="AP324">
        <f>IFERROR(INDEX(PP_Grid[#Data],$DD324,40),0)</f>
        <v/>
      </c>
      <c r="AQ324">
        <f>IFERROR(INDEX(PP_Grid[#Data],$DD324,41),0)</f>
        <v/>
      </c>
      <c r="AR324">
        <f>IFERROR(INDEX(PP_Grid[#Data],$DD324,42),0)</f>
        <v/>
      </c>
      <c r="AS324">
        <f>IFERROR(INDEX(PP_Grid[#Data],$DD324,43),0)</f>
        <v/>
      </c>
      <c r="AT324">
        <f>IFERROR(INDEX(PP_Grid[#Data],$DD324,44),0)</f>
        <v/>
      </c>
      <c r="AU324">
        <f>IFERROR(INDEX(PP_Grid[#Data],$DD324,45),0)</f>
        <v/>
      </c>
      <c r="AV324">
        <f>IFERROR(INDEX(PP_Grid[#Data],$DD324,46),0)</f>
        <v/>
      </c>
      <c r="AW324">
        <f>IFERROR(INDEX(PP_Grid[#Data],$DD324,47),0)</f>
        <v/>
      </c>
      <c r="AX324">
        <f>IFERROR(INDEX(PP_Grid[#Data],$DD324,48),0)</f>
        <v/>
      </c>
      <c r="AY324">
        <f>IFERROR(INDEX(PP_Grid[#Data],$DD324,49),0)</f>
        <v/>
      </c>
      <c r="AZ324">
        <f>IFERROR(INDEX(PP_Grid[#Data],$DD324,50),0)</f>
        <v/>
      </c>
      <c r="BA324">
        <f>IFERROR(INDEX(PP_Grid[#Data],$DD324,51),0)</f>
        <v/>
      </c>
      <c r="BB324">
        <f>IFERROR(INDEX(PP_Grid[#Data],$DD324,52),0)</f>
        <v/>
      </c>
      <c r="BC324">
        <f>IFERROR(INDEX(PP_Grid[#Data],$DD324,53),0)</f>
        <v/>
      </c>
      <c r="BD324">
        <f>IFERROR(INDEX(PP_Grid[#Data],$DD324,54),0)</f>
        <v/>
      </c>
      <c r="BE324">
        <f>IFERROR(INDEX(PP_Grid[#Data],$DD324,55),0)</f>
        <v/>
      </c>
      <c r="BF324">
        <f>IFERROR(INDEX(PP_Grid[#Data],$DD324,56),0)</f>
        <v/>
      </c>
      <c r="BG324">
        <f>IFERROR(INDEX(PP_Grid[#Data],$DD324,57),0)</f>
        <v/>
      </c>
      <c r="BH324">
        <f>IFERROR(INDEX(PP_Grid[#Data],$DD324,58),0)</f>
        <v/>
      </c>
      <c r="BI324">
        <f>IFERROR(INDEX(PP_Grid[#Data],$DD324,59),0)</f>
        <v/>
      </c>
      <c r="BJ324">
        <f>IFERROR(INDEX(PP_Grid[#Data],$DD324,60),0)</f>
        <v/>
      </c>
      <c r="BK324">
        <f>IFERROR(INDEX(PP_Grid[#Data],$DD324,61),0)</f>
        <v/>
      </c>
      <c r="BL324">
        <f>IFERROR(INDEX(PP_Grid[#Data],$DD324,62),0)</f>
        <v/>
      </c>
      <c r="BM324">
        <f>IFERROR(INDEX(PP_Grid[#Data],$DD324,63),0)</f>
        <v/>
      </c>
      <c r="BN324">
        <f>IFERROR(INDEX(PP_Grid[#Data],$DD324,64),0)</f>
        <v/>
      </c>
      <c r="BO324">
        <f>IFERROR(INDEX(PP_Grid[#Data],$DD324,65),0)</f>
        <v/>
      </c>
      <c r="BP324">
        <f>IFERROR(INDEX(PP_Grid[#Data],$DD324,66),0)</f>
        <v/>
      </c>
      <c r="BQ324">
        <f>IFERROR(INDEX(PP_Grid[#Data],$DD324,67),0)</f>
        <v/>
      </c>
      <c r="BR324">
        <f>IFERROR(INDEX(PP_Grid[#Data],$DD324,68),0)</f>
        <v/>
      </c>
      <c r="BS324">
        <f>IFERROR(INDEX(PP_Grid[#Data],$DD324,69),0)</f>
        <v/>
      </c>
      <c r="BT324">
        <f>IFERROR(INDEX(PP_Grid[#Data],$DD324,70),0)</f>
        <v/>
      </c>
      <c r="BU324">
        <f>IFERROR(INDEX(PP_Grid[#Data],$DD324,71),0)</f>
        <v/>
      </c>
      <c r="BV324">
        <f>IFERROR(INDEX(PP_Grid[#Data],$DD324,72),0)</f>
        <v/>
      </c>
      <c r="BW324">
        <f>IFERROR(INDEX(PP_Grid[#Data],$DD324,73),0)</f>
        <v/>
      </c>
      <c r="BX324">
        <f>IFERROR(INDEX(PP_Grid[#Data],$DD324,74),0)</f>
        <v/>
      </c>
      <c r="BY324">
        <f>IFERROR(INDEX(PP_Grid[#Data],$DD324,75),0)</f>
        <v/>
      </c>
      <c r="BZ324">
        <f>IFERROR(INDEX(PP_Grid[#Data],$DD324,76),0)</f>
        <v/>
      </c>
      <c r="CA324">
        <f>IFERROR(INDEX(PP_Grid[#Data],$DD324,77),0)</f>
        <v/>
      </c>
      <c r="CB324">
        <f>IFERROR(INDEX(PP_Grid[#Data],$DD324,78),0)</f>
        <v/>
      </c>
      <c r="CC324">
        <f>IFERROR(INDEX(PP_Grid[#Data],$DD324,79),0)</f>
        <v/>
      </c>
      <c r="CD324">
        <f>IFERROR(INDEX(PP_Grid[#Data],$DD324,80),0)</f>
        <v/>
      </c>
      <c r="CE324">
        <f>IFERROR(INDEX(PP_Grid[#Data],$DD324,81),0)</f>
        <v/>
      </c>
      <c r="CF324">
        <f>IFERROR(INDEX(PP_Grid[#Data],$DD324,82),0)</f>
        <v/>
      </c>
      <c r="CG324">
        <f>IFERROR(INDEX(PP_Grid[#Data],$DD324,83),0)</f>
        <v/>
      </c>
      <c r="CH324">
        <f>IFERROR(INDEX(PP_Grid[#Data],$DD324,84),0)</f>
        <v/>
      </c>
      <c r="CI324">
        <f>IFERROR(INDEX(PP_Grid[#Data],$DD324,85),0)</f>
        <v/>
      </c>
      <c r="CJ324">
        <f>IFERROR(INDEX(PP_Grid[#Data],$DD324,86),0)</f>
        <v/>
      </c>
      <c r="CK324">
        <f>IFERROR(INDEX(PP_Grid[#Data],$DD324,87),0)</f>
        <v/>
      </c>
      <c r="CL324">
        <f>IFERROR(INDEX(PP_Grid[#Data],$DD324,88),0)</f>
        <v/>
      </c>
      <c r="CM324">
        <f>IFERROR(INDEX(PP_Grid[#Data],$DD324,89),0)</f>
        <v/>
      </c>
      <c r="CN324">
        <f>IFERROR(INDEX(PP_Grid[#Data],$DD324,90),0)</f>
        <v/>
      </c>
      <c r="CO324">
        <f>IFERROR(INDEX(PP_Grid[#Data],$DD324,91),0)</f>
        <v/>
      </c>
      <c r="CP324">
        <f>IFERROR(INDEX(PP_Grid[#Data],$DD324,92),0)</f>
        <v/>
      </c>
      <c r="CQ324">
        <f>IFERROR(INDEX(PP_Grid[#Data],$DD324,93),0)</f>
        <v/>
      </c>
      <c r="CR324">
        <f>IFERROR(INDEX(PP_Grid[#Data],$DD324,94),0)</f>
        <v/>
      </c>
      <c r="CS324">
        <f>IFERROR(INDEX(PP_Grid[#Data],$DD324,95),0)</f>
        <v/>
      </c>
      <c r="CT324">
        <f>IFERROR(INDEX(PP_Grid[#Data],$DD324,96),0)</f>
        <v/>
      </c>
      <c r="CU324">
        <f>IFERROR(INDEX(PP_Grid[#Data],$DD324,97),0)</f>
        <v/>
      </c>
      <c r="CV324">
        <f>IFERROR(INDEX(PP_Grid[#Data],$DD324,98),0)</f>
        <v/>
      </c>
      <c r="CW324">
        <f>IFERROR(INDEX(PP_Grid[#Data],$DD324,99),0)</f>
        <v/>
      </c>
      <c r="CX324">
        <f>IFERROR(INDEX(PP_Grid[#Data],$DD324,100),0)</f>
        <v/>
      </c>
      <c r="CY324">
        <f>IFERROR(INDEX(PP_Grid[#Data],$DD324,101),0)</f>
        <v/>
      </c>
      <c r="CZ324">
        <f>IFERROR(INDEX(PP_Grid[#Data],$DD324,102),0)</f>
        <v/>
      </c>
      <c r="DA324">
        <f>IFERROR(INDEX(PP_Grid[#Data],$DD324,103),0)</f>
        <v/>
      </c>
      <c r="DB324">
        <f>IFERROR(INDEX(PP_Grid[#Data],$DD324,104),0)</f>
        <v/>
      </c>
      <c r="DC324">
        <f>IFERROR(INDEX(PP_Grid[#Data],$DD324,105),0)</f>
        <v/>
      </c>
      <c r="DD324" s="7">
        <f>IFERROR(MATCH($B324,PP_Grid[Intermediate],0),99999)</f>
        <v/>
      </c>
    </row>
    <row r="325">
      <c r="B325" t="inlineStr">
        <is>
          <t>使用量(kg)</t>
        </is>
      </c>
      <c r="C325">
        <f>SUMIFS(M_BOM[RM_Qty_Per_Batch],M_BOM[Intermediate],$B324,M_BOM[Part Name],$A219)</f>
        <v/>
      </c>
      <c r="D325">
        <f>$C325*D324</f>
        <v/>
      </c>
      <c r="E325">
        <f>$C325*E324</f>
        <v/>
      </c>
      <c r="F325">
        <f>$C325*F324</f>
        <v/>
      </c>
      <c r="G325">
        <f>$C325*G324</f>
        <v/>
      </c>
      <c r="H325">
        <f>$C325*H324</f>
        <v/>
      </c>
      <c r="I325">
        <f>$C325*I324</f>
        <v/>
      </c>
      <c r="J325">
        <f>$C325*J324</f>
        <v/>
      </c>
      <c r="K325">
        <f>$C325*K324</f>
        <v/>
      </c>
      <c r="L325">
        <f>$C325*L324</f>
        <v/>
      </c>
      <c r="M325">
        <f>$C325*M324</f>
        <v/>
      </c>
      <c r="N325">
        <f>$C325*N324</f>
        <v/>
      </c>
      <c r="O325">
        <f>$C325*O324</f>
        <v/>
      </c>
      <c r="P325">
        <f>$C325*P324</f>
        <v/>
      </c>
      <c r="Q325">
        <f>$C325*Q324</f>
        <v/>
      </c>
      <c r="R325">
        <f>$C325*R324</f>
        <v/>
      </c>
      <c r="S325">
        <f>$C325*S324</f>
        <v/>
      </c>
      <c r="T325">
        <f>$C325*T324</f>
        <v/>
      </c>
      <c r="U325">
        <f>$C325*U324</f>
        <v/>
      </c>
      <c r="V325">
        <f>$C325*V324</f>
        <v/>
      </c>
      <c r="W325">
        <f>$C325*W324</f>
        <v/>
      </c>
      <c r="X325">
        <f>$C325*X324</f>
        <v/>
      </c>
      <c r="Y325">
        <f>$C325*Y324</f>
        <v/>
      </c>
      <c r="Z325">
        <f>$C325*Z324</f>
        <v/>
      </c>
      <c r="AA325">
        <f>$C325*AA324</f>
        <v/>
      </c>
      <c r="AB325">
        <f>$C325*AB324</f>
        <v/>
      </c>
      <c r="AC325">
        <f>$C325*AC324</f>
        <v/>
      </c>
      <c r="AD325">
        <f>$C325*AD324</f>
        <v/>
      </c>
      <c r="AE325">
        <f>$C325*AE324</f>
        <v/>
      </c>
      <c r="AF325">
        <f>$C325*AF324</f>
        <v/>
      </c>
      <c r="AG325">
        <f>$C325*AG324</f>
        <v/>
      </c>
      <c r="AH325">
        <f>$C325*AH324</f>
        <v/>
      </c>
      <c r="AI325">
        <f>$C325*AI324</f>
        <v/>
      </c>
      <c r="AJ325">
        <f>$C325*AJ324</f>
        <v/>
      </c>
      <c r="AK325">
        <f>$C325*AK324</f>
        <v/>
      </c>
      <c r="AL325">
        <f>$C325*AL324</f>
        <v/>
      </c>
      <c r="AM325">
        <f>$C325*AM324</f>
        <v/>
      </c>
      <c r="AN325">
        <f>$C325*AN324</f>
        <v/>
      </c>
      <c r="AO325">
        <f>$C325*AO324</f>
        <v/>
      </c>
      <c r="AP325">
        <f>$C325*AP324</f>
        <v/>
      </c>
      <c r="AQ325">
        <f>$C325*AQ324</f>
        <v/>
      </c>
      <c r="AR325">
        <f>$C325*AR324</f>
        <v/>
      </c>
      <c r="AS325">
        <f>$C325*AS324</f>
        <v/>
      </c>
      <c r="AT325">
        <f>$C325*AT324</f>
        <v/>
      </c>
      <c r="AU325">
        <f>$C325*AU324</f>
        <v/>
      </c>
      <c r="AV325">
        <f>$C325*AV324</f>
        <v/>
      </c>
      <c r="AW325">
        <f>$C325*AW324</f>
        <v/>
      </c>
      <c r="AX325">
        <f>$C325*AX324</f>
        <v/>
      </c>
      <c r="AY325">
        <f>$C325*AY324</f>
        <v/>
      </c>
      <c r="AZ325">
        <f>$C325*AZ324</f>
        <v/>
      </c>
      <c r="BA325">
        <f>$C325*BA324</f>
        <v/>
      </c>
      <c r="BB325">
        <f>$C325*BB324</f>
        <v/>
      </c>
      <c r="BC325">
        <f>$C325*BC324</f>
        <v/>
      </c>
      <c r="BD325">
        <f>$C325*BD324</f>
        <v/>
      </c>
      <c r="BE325">
        <f>$C325*BE324</f>
        <v/>
      </c>
      <c r="BF325">
        <f>$C325*BF324</f>
        <v/>
      </c>
      <c r="BG325">
        <f>$C325*BG324</f>
        <v/>
      </c>
      <c r="BH325">
        <f>$C325*BH324</f>
        <v/>
      </c>
      <c r="BI325">
        <f>$C325*BI324</f>
        <v/>
      </c>
      <c r="BJ325">
        <f>$C325*BJ324</f>
        <v/>
      </c>
      <c r="BK325">
        <f>$C325*BK324</f>
        <v/>
      </c>
      <c r="BL325">
        <f>$C325*BL324</f>
        <v/>
      </c>
      <c r="BM325">
        <f>$C325*BM324</f>
        <v/>
      </c>
      <c r="BN325">
        <f>$C325*BN324</f>
        <v/>
      </c>
      <c r="BO325">
        <f>$C325*BO324</f>
        <v/>
      </c>
      <c r="BP325">
        <f>$C325*BP324</f>
        <v/>
      </c>
      <c r="BQ325">
        <f>$C325*BQ324</f>
        <v/>
      </c>
      <c r="BR325">
        <f>$C325*BR324</f>
        <v/>
      </c>
      <c r="BS325">
        <f>$C325*BS324</f>
        <v/>
      </c>
      <c r="BT325">
        <f>$C325*BT324</f>
        <v/>
      </c>
      <c r="BU325">
        <f>$C325*BU324</f>
        <v/>
      </c>
      <c r="BV325">
        <f>$C325*BV324</f>
        <v/>
      </c>
      <c r="BW325">
        <f>$C325*BW324</f>
        <v/>
      </c>
      <c r="BX325">
        <f>$C325*BX324</f>
        <v/>
      </c>
      <c r="BY325">
        <f>$C325*BY324</f>
        <v/>
      </c>
      <c r="BZ325">
        <f>$C325*BZ324</f>
        <v/>
      </c>
      <c r="CA325">
        <f>$C325*CA324</f>
        <v/>
      </c>
      <c r="CB325">
        <f>$C325*CB324</f>
        <v/>
      </c>
      <c r="CC325">
        <f>$C325*CC324</f>
        <v/>
      </c>
      <c r="CD325">
        <f>$C325*CD324</f>
        <v/>
      </c>
      <c r="CE325">
        <f>$C325*CE324</f>
        <v/>
      </c>
      <c r="CF325">
        <f>$C325*CF324</f>
        <v/>
      </c>
      <c r="CG325">
        <f>$C325*CG324</f>
        <v/>
      </c>
      <c r="CH325">
        <f>$C325*CH324</f>
        <v/>
      </c>
      <c r="CI325">
        <f>$C325*CI324</f>
        <v/>
      </c>
      <c r="CJ325">
        <f>$C325*CJ324</f>
        <v/>
      </c>
      <c r="CK325">
        <f>$C325*CK324</f>
        <v/>
      </c>
      <c r="CL325">
        <f>$C325*CL324</f>
        <v/>
      </c>
      <c r="CM325">
        <f>$C325*CM324</f>
        <v/>
      </c>
      <c r="CN325">
        <f>$C325*CN324</f>
        <v/>
      </c>
      <c r="CO325">
        <f>$C325*CO324</f>
        <v/>
      </c>
      <c r="CP325">
        <f>$C325*CP324</f>
        <v/>
      </c>
      <c r="CQ325">
        <f>$C325*CQ324</f>
        <v/>
      </c>
      <c r="CR325">
        <f>$C325*CR324</f>
        <v/>
      </c>
      <c r="CS325">
        <f>$C325*CS324</f>
        <v/>
      </c>
      <c r="CT325">
        <f>$C325*CT324</f>
        <v/>
      </c>
      <c r="CU325">
        <f>$C325*CU324</f>
        <v/>
      </c>
      <c r="CV325">
        <f>$C325*CV324</f>
        <v/>
      </c>
      <c r="CW325">
        <f>$C325*CW324</f>
        <v/>
      </c>
      <c r="CX325">
        <f>$C325*CX324</f>
        <v/>
      </c>
      <c r="CY325">
        <f>$C325*CY324</f>
        <v/>
      </c>
      <c r="CZ325">
        <f>$C325*CZ324</f>
        <v/>
      </c>
      <c r="DA325">
        <f>$C325*DA324</f>
        <v/>
      </c>
      <c r="DB325">
        <f>$C325*DB324</f>
        <v/>
      </c>
      <c r="DC325">
        <f>$C325*DC324</f>
        <v/>
      </c>
    </row>
    <row r="326">
      <c r="B326" t="inlineStr">
        <is>
          <t>VSP-989</t>
        </is>
      </c>
      <c r="C326" t="inlineStr">
        <is>
          <t>No. of batches</t>
        </is>
      </c>
      <c r="D326">
        <f>IFERROR(INDEX(PP_Grid[#Data],$DD326,2),0)</f>
        <v/>
      </c>
      <c r="E326">
        <f>IFERROR(INDEX(PP_Grid[#Data],$DD326,3),0)</f>
        <v/>
      </c>
      <c r="F326">
        <f>IFERROR(INDEX(PP_Grid[#Data],$DD326,4),0)</f>
        <v/>
      </c>
      <c r="G326">
        <f>IFERROR(INDEX(PP_Grid[#Data],$DD326,5),0)</f>
        <v/>
      </c>
      <c r="H326">
        <f>IFERROR(INDEX(PP_Grid[#Data],$DD326,6),0)</f>
        <v/>
      </c>
      <c r="I326">
        <f>IFERROR(INDEX(PP_Grid[#Data],$DD326,7),0)</f>
        <v/>
      </c>
      <c r="J326">
        <f>IFERROR(INDEX(PP_Grid[#Data],$DD326,8),0)</f>
        <v/>
      </c>
      <c r="K326">
        <f>IFERROR(INDEX(PP_Grid[#Data],$DD326,9),0)</f>
        <v/>
      </c>
      <c r="L326">
        <f>IFERROR(INDEX(PP_Grid[#Data],$DD326,10),0)</f>
        <v/>
      </c>
      <c r="M326">
        <f>IFERROR(INDEX(PP_Grid[#Data],$DD326,11),0)</f>
        <v/>
      </c>
      <c r="N326">
        <f>IFERROR(INDEX(PP_Grid[#Data],$DD326,12),0)</f>
        <v/>
      </c>
      <c r="O326">
        <f>IFERROR(INDEX(PP_Grid[#Data],$DD326,13),0)</f>
        <v/>
      </c>
      <c r="P326">
        <f>IFERROR(INDEX(PP_Grid[#Data],$DD326,14),0)</f>
        <v/>
      </c>
      <c r="Q326">
        <f>IFERROR(INDEX(PP_Grid[#Data],$DD326,15),0)</f>
        <v/>
      </c>
      <c r="R326">
        <f>IFERROR(INDEX(PP_Grid[#Data],$DD326,16),0)</f>
        <v/>
      </c>
      <c r="S326">
        <f>IFERROR(INDEX(PP_Grid[#Data],$DD326,17),0)</f>
        <v/>
      </c>
      <c r="T326">
        <f>IFERROR(INDEX(PP_Grid[#Data],$DD326,18),0)</f>
        <v/>
      </c>
      <c r="U326">
        <f>IFERROR(INDEX(PP_Grid[#Data],$DD326,19),0)</f>
        <v/>
      </c>
      <c r="V326">
        <f>IFERROR(INDEX(PP_Grid[#Data],$DD326,20),0)</f>
        <v/>
      </c>
      <c r="W326">
        <f>IFERROR(INDEX(PP_Grid[#Data],$DD326,21),0)</f>
        <v/>
      </c>
      <c r="X326">
        <f>IFERROR(INDEX(PP_Grid[#Data],$DD326,22),0)</f>
        <v/>
      </c>
      <c r="Y326">
        <f>IFERROR(INDEX(PP_Grid[#Data],$DD326,23),0)</f>
        <v/>
      </c>
      <c r="Z326">
        <f>IFERROR(INDEX(PP_Grid[#Data],$DD326,24),0)</f>
        <v/>
      </c>
      <c r="AA326">
        <f>IFERROR(INDEX(PP_Grid[#Data],$DD326,25),0)</f>
        <v/>
      </c>
      <c r="AB326">
        <f>IFERROR(INDEX(PP_Grid[#Data],$DD326,26),0)</f>
        <v/>
      </c>
      <c r="AC326">
        <f>IFERROR(INDEX(PP_Grid[#Data],$DD326,27),0)</f>
        <v/>
      </c>
      <c r="AD326">
        <f>IFERROR(INDEX(PP_Grid[#Data],$DD326,28),0)</f>
        <v/>
      </c>
      <c r="AE326">
        <f>IFERROR(INDEX(PP_Grid[#Data],$DD326,29),0)</f>
        <v/>
      </c>
      <c r="AF326">
        <f>IFERROR(INDEX(PP_Grid[#Data],$DD326,30),0)</f>
        <v/>
      </c>
      <c r="AG326">
        <f>IFERROR(INDEX(PP_Grid[#Data],$DD326,31),0)</f>
        <v/>
      </c>
      <c r="AH326">
        <f>IFERROR(INDEX(PP_Grid[#Data],$DD326,32),0)</f>
        <v/>
      </c>
      <c r="AI326">
        <f>IFERROR(INDEX(PP_Grid[#Data],$DD326,33),0)</f>
        <v/>
      </c>
      <c r="AJ326">
        <f>IFERROR(INDEX(PP_Grid[#Data],$DD326,34),0)</f>
        <v/>
      </c>
      <c r="AK326">
        <f>IFERROR(INDEX(PP_Grid[#Data],$DD326,35),0)</f>
        <v/>
      </c>
      <c r="AL326">
        <f>IFERROR(INDEX(PP_Grid[#Data],$DD326,36),0)</f>
        <v/>
      </c>
      <c r="AM326">
        <f>IFERROR(INDEX(PP_Grid[#Data],$DD326,37),0)</f>
        <v/>
      </c>
      <c r="AN326">
        <f>IFERROR(INDEX(PP_Grid[#Data],$DD326,38),0)</f>
        <v/>
      </c>
      <c r="AO326">
        <f>IFERROR(INDEX(PP_Grid[#Data],$DD326,39),0)</f>
        <v/>
      </c>
      <c r="AP326">
        <f>IFERROR(INDEX(PP_Grid[#Data],$DD326,40),0)</f>
        <v/>
      </c>
      <c r="AQ326">
        <f>IFERROR(INDEX(PP_Grid[#Data],$DD326,41),0)</f>
        <v/>
      </c>
      <c r="AR326">
        <f>IFERROR(INDEX(PP_Grid[#Data],$DD326,42),0)</f>
        <v/>
      </c>
      <c r="AS326">
        <f>IFERROR(INDEX(PP_Grid[#Data],$DD326,43),0)</f>
        <v/>
      </c>
      <c r="AT326">
        <f>IFERROR(INDEX(PP_Grid[#Data],$DD326,44),0)</f>
        <v/>
      </c>
      <c r="AU326">
        <f>IFERROR(INDEX(PP_Grid[#Data],$DD326,45),0)</f>
        <v/>
      </c>
      <c r="AV326">
        <f>IFERROR(INDEX(PP_Grid[#Data],$DD326,46),0)</f>
        <v/>
      </c>
      <c r="AW326">
        <f>IFERROR(INDEX(PP_Grid[#Data],$DD326,47),0)</f>
        <v/>
      </c>
      <c r="AX326">
        <f>IFERROR(INDEX(PP_Grid[#Data],$DD326,48),0)</f>
        <v/>
      </c>
      <c r="AY326">
        <f>IFERROR(INDEX(PP_Grid[#Data],$DD326,49),0)</f>
        <v/>
      </c>
      <c r="AZ326">
        <f>IFERROR(INDEX(PP_Grid[#Data],$DD326,50),0)</f>
        <v/>
      </c>
      <c r="BA326">
        <f>IFERROR(INDEX(PP_Grid[#Data],$DD326,51),0)</f>
        <v/>
      </c>
      <c r="BB326">
        <f>IFERROR(INDEX(PP_Grid[#Data],$DD326,52),0)</f>
        <v/>
      </c>
      <c r="BC326">
        <f>IFERROR(INDEX(PP_Grid[#Data],$DD326,53),0)</f>
        <v/>
      </c>
      <c r="BD326">
        <f>IFERROR(INDEX(PP_Grid[#Data],$DD326,54),0)</f>
        <v/>
      </c>
      <c r="BE326">
        <f>IFERROR(INDEX(PP_Grid[#Data],$DD326,55),0)</f>
        <v/>
      </c>
      <c r="BF326">
        <f>IFERROR(INDEX(PP_Grid[#Data],$DD326,56),0)</f>
        <v/>
      </c>
      <c r="BG326">
        <f>IFERROR(INDEX(PP_Grid[#Data],$DD326,57),0)</f>
        <v/>
      </c>
      <c r="BH326">
        <f>IFERROR(INDEX(PP_Grid[#Data],$DD326,58),0)</f>
        <v/>
      </c>
      <c r="BI326">
        <f>IFERROR(INDEX(PP_Grid[#Data],$DD326,59),0)</f>
        <v/>
      </c>
      <c r="BJ326">
        <f>IFERROR(INDEX(PP_Grid[#Data],$DD326,60),0)</f>
        <v/>
      </c>
      <c r="BK326">
        <f>IFERROR(INDEX(PP_Grid[#Data],$DD326,61),0)</f>
        <v/>
      </c>
      <c r="BL326">
        <f>IFERROR(INDEX(PP_Grid[#Data],$DD326,62),0)</f>
        <v/>
      </c>
      <c r="BM326">
        <f>IFERROR(INDEX(PP_Grid[#Data],$DD326,63),0)</f>
        <v/>
      </c>
      <c r="BN326">
        <f>IFERROR(INDEX(PP_Grid[#Data],$DD326,64),0)</f>
        <v/>
      </c>
      <c r="BO326">
        <f>IFERROR(INDEX(PP_Grid[#Data],$DD326,65),0)</f>
        <v/>
      </c>
      <c r="BP326">
        <f>IFERROR(INDEX(PP_Grid[#Data],$DD326,66),0)</f>
        <v/>
      </c>
      <c r="BQ326">
        <f>IFERROR(INDEX(PP_Grid[#Data],$DD326,67),0)</f>
        <v/>
      </c>
      <c r="BR326">
        <f>IFERROR(INDEX(PP_Grid[#Data],$DD326,68),0)</f>
        <v/>
      </c>
      <c r="BS326">
        <f>IFERROR(INDEX(PP_Grid[#Data],$DD326,69),0)</f>
        <v/>
      </c>
      <c r="BT326">
        <f>IFERROR(INDEX(PP_Grid[#Data],$DD326,70),0)</f>
        <v/>
      </c>
      <c r="BU326">
        <f>IFERROR(INDEX(PP_Grid[#Data],$DD326,71),0)</f>
        <v/>
      </c>
      <c r="BV326">
        <f>IFERROR(INDEX(PP_Grid[#Data],$DD326,72),0)</f>
        <v/>
      </c>
      <c r="BW326">
        <f>IFERROR(INDEX(PP_Grid[#Data],$DD326,73),0)</f>
        <v/>
      </c>
      <c r="BX326">
        <f>IFERROR(INDEX(PP_Grid[#Data],$DD326,74),0)</f>
        <v/>
      </c>
      <c r="BY326">
        <f>IFERROR(INDEX(PP_Grid[#Data],$DD326,75),0)</f>
        <v/>
      </c>
      <c r="BZ326">
        <f>IFERROR(INDEX(PP_Grid[#Data],$DD326,76),0)</f>
        <v/>
      </c>
      <c r="CA326">
        <f>IFERROR(INDEX(PP_Grid[#Data],$DD326,77),0)</f>
        <v/>
      </c>
      <c r="CB326">
        <f>IFERROR(INDEX(PP_Grid[#Data],$DD326,78),0)</f>
        <v/>
      </c>
      <c r="CC326">
        <f>IFERROR(INDEX(PP_Grid[#Data],$DD326,79),0)</f>
        <v/>
      </c>
      <c r="CD326">
        <f>IFERROR(INDEX(PP_Grid[#Data],$DD326,80),0)</f>
        <v/>
      </c>
      <c r="CE326">
        <f>IFERROR(INDEX(PP_Grid[#Data],$DD326,81),0)</f>
        <v/>
      </c>
      <c r="CF326">
        <f>IFERROR(INDEX(PP_Grid[#Data],$DD326,82),0)</f>
        <v/>
      </c>
      <c r="CG326">
        <f>IFERROR(INDEX(PP_Grid[#Data],$DD326,83),0)</f>
        <v/>
      </c>
      <c r="CH326">
        <f>IFERROR(INDEX(PP_Grid[#Data],$DD326,84),0)</f>
        <v/>
      </c>
      <c r="CI326">
        <f>IFERROR(INDEX(PP_Grid[#Data],$DD326,85),0)</f>
        <v/>
      </c>
      <c r="CJ326">
        <f>IFERROR(INDEX(PP_Grid[#Data],$DD326,86),0)</f>
        <v/>
      </c>
      <c r="CK326">
        <f>IFERROR(INDEX(PP_Grid[#Data],$DD326,87),0)</f>
        <v/>
      </c>
      <c r="CL326">
        <f>IFERROR(INDEX(PP_Grid[#Data],$DD326,88),0)</f>
        <v/>
      </c>
      <c r="CM326">
        <f>IFERROR(INDEX(PP_Grid[#Data],$DD326,89),0)</f>
        <v/>
      </c>
      <c r="CN326">
        <f>IFERROR(INDEX(PP_Grid[#Data],$DD326,90),0)</f>
        <v/>
      </c>
      <c r="CO326">
        <f>IFERROR(INDEX(PP_Grid[#Data],$DD326,91),0)</f>
        <v/>
      </c>
      <c r="CP326">
        <f>IFERROR(INDEX(PP_Grid[#Data],$DD326,92),0)</f>
        <v/>
      </c>
      <c r="CQ326">
        <f>IFERROR(INDEX(PP_Grid[#Data],$DD326,93),0)</f>
        <v/>
      </c>
      <c r="CR326">
        <f>IFERROR(INDEX(PP_Grid[#Data],$DD326,94),0)</f>
        <v/>
      </c>
      <c r="CS326">
        <f>IFERROR(INDEX(PP_Grid[#Data],$DD326,95),0)</f>
        <v/>
      </c>
      <c r="CT326">
        <f>IFERROR(INDEX(PP_Grid[#Data],$DD326,96),0)</f>
        <v/>
      </c>
      <c r="CU326">
        <f>IFERROR(INDEX(PP_Grid[#Data],$DD326,97),0)</f>
        <v/>
      </c>
      <c r="CV326">
        <f>IFERROR(INDEX(PP_Grid[#Data],$DD326,98),0)</f>
        <v/>
      </c>
      <c r="CW326">
        <f>IFERROR(INDEX(PP_Grid[#Data],$DD326,99),0)</f>
        <v/>
      </c>
      <c r="CX326">
        <f>IFERROR(INDEX(PP_Grid[#Data],$DD326,100),0)</f>
        <v/>
      </c>
      <c r="CY326">
        <f>IFERROR(INDEX(PP_Grid[#Data],$DD326,101),0)</f>
        <v/>
      </c>
      <c r="CZ326">
        <f>IFERROR(INDEX(PP_Grid[#Data],$DD326,102),0)</f>
        <v/>
      </c>
      <c r="DA326">
        <f>IFERROR(INDEX(PP_Grid[#Data],$DD326,103),0)</f>
        <v/>
      </c>
      <c r="DB326">
        <f>IFERROR(INDEX(PP_Grid[#Data],$DD326,104),0)</f>
        <v/>
      </c>
      <c r="DC326">
        <f>IFERROR(INDEX(PP_Grid[#Data],$DD326,105),0)</f>
        <v/>
      </c>
      <c r="DD326" s="7">
        <f>IFERROR(MATCH($B326,PP_Grid[Intermediate],0),99999)</f>
        <v/>
      </c>
    </row>
    <row r="327">
      <c r="B327" t="inlineStr">
        <is>
          <t>使用量(kg)</t>
        </is>
      </c>
      <c r="C327">
        <f>SUMIFS(M_BOM[RM_Qty_Per_Batch],M_BOM[Intermediate],$B326,M_BOM[Part Name],$A219)</f>
        <v/>
      </c>
      <c r="D327">
        <f>$C327*D326</f>
        <v/>
      </c>
      <c r="E327">
        <f>$C327*E326</f>
        <v/>
      </c>
      <c r="F327">
        <f>$C327*F326</f>
        <v/>
      </c>
      <c r="G327">
        <f>$C327*G326</f>
        <v/>
      </c>
      <c r="H327">
        <f>$C327*H326</f>
        <v/>
      </c>
      <c r="I327">
        <f>$C327*I326</f>
        <v/>
      </c>
      <c r="J327">
        <f>$C327*J326</f>
        <v/>
      </c>
      <c r="K327">
        <f>$C327*K326</f>
        <v/>
      </c>
      <c r="L327">
        <f>$C327*L326</f>
        <v/>
      </c>
      <c r="M327">
        <f>$C327*M326</f>
        <v/>
      </c>
      <c r="N327">
        <f>$C327*N326</f>
        <v/>
      </c>
      <c r="O327">
        <f>$C327*O326</f>
        <v/>
      </c>
      <c r="P327">
        <f>$C327*P326</f>
        <v/>
      </c>
      <c r="Q327">
        <f>$C327*Q326</f>
        <v/>
      </c>
      <c r="R327">
        <f>$C327*R326</f>
        <v/>
      </c>
      <c r="S327">
        <f>$C327*S326</f>
        <v/>
      </c>
      <c r="T327">
        <f>$C327*T326</f>
        <v/>
      </c>
      <c r="U327">
        <f>$C327*U326</f>
        <v/>
      </c>
      <c r="V327">
        <f>$C327*V326</f>
        <v/>
      </c>
      <c r="W327">
        <f>$C327*W326</f>
        <v/>
      </c>
      <c r="X327">
        <f>$C327*X326</f>
        <v/>
      </c>
      <c r="Y327">
        <f>$C327*Y326</f>
        <v/>
      </c>
      <c r="Z327">
        <f>$C327*Z326</f>
        <v/>
      </c>
      <c r="AA327">
        <f>$C327*AA326</f>
        <v/>
      </c>
      <c r="AB327">
        <f>$C327*AB326</f>
        <v/>
      </c>
      <c r="AC327">
        <f>$C327*AC326</f>
        <v/>
      </c>
      <c r="AD327">
        <f>$C327*AD326</f>
        <v/>
      </c>
      <c r="AE327">
        <f>$C327*AE326</f>
        <v/>
      </c>
      <c r="AF327">
        <f>$C327*AF326</f>
        <v/>
      </c>
      <c r="AG327">
        <f>$C327*AG326</f>
        <v/>
      </c>
      <c r="AH327">
        <f>$C327*AH326</f>
        <v/>
      </c>
      <c r="AI327">
        <f>$C327*AI326</f>
        <v/>
      </c>
      <c r="AJ327">
        <f>$C327*AJ326</f>
        <v/>
      </c>
      <c r="AK327">
        <f>$C327*AK326</f>
        <v/>
      </c>
      <c r="AL327">
        <f>$C327*AL326</f>
        <v/>
      </c>
      <c r="AM327">
        <f>$C327*AM326</f>
        <v/>
      </c>
      <c r="AN327">
        <f>$C327*AN326</f>
        <v/>
      </c>
      <c r="AO327">
        <f>$C327*AO326</f>
        <v/>
      </c>
      <c r="AP327">
        <f>$C327*AP326</f>
        <v/>
      </c>
      <c r="AQ327">
        <f>$C327*AQ326</f>
        <v/>
      </c>
      <c r="AR327">
        <f>$C327*AR326</f>
        <v/>
      </c>
      <c r="AS327">
        <f>$C327*AS326</f>
        <v/>
      </c>
      <c r="AT327">
        <f>$C327*AT326</f>
        <v/>
      </c>
      <c r="AU327">
        <f>$C327*AU326</f>
        <v/>
      </c>
      <c r="AV327">
        <f>$C327*AV326</f>
        <v/>
      </c>
      <c r="AW327">
        <f>$C327*AW326</f>
        <v/>
      </c>
      <c r="AX327">
        <f>$C327*AX326</f>
        <v/>
      </c>
      <c r="AY327">
        <f>$C327*AY326</f>
        <v/>
      </c>
      <c r="AZ327">
        <f>$C327*AZ326</f>
        <v/>
      </c>
      <c r="BA327">
        <f>$C327*BA326</f>
        <v/>
      </c>
      <c r="BB327">
        <f>$C327*BB326</f>
        <v/>
      </c>
      <c r="BC327">
        <f>$C327*BC326</f>
        <v/>
      </c>
      <c r="BD327">
        <f>$C327*BD326</f>
        <v/>
      </c>
      <c r="BE327">
        <f>$C327*BE326</f>
        <v/>
      </c>
      <c r="BF327">
        <f>$C327*BF326</f>
        <v/>
      </c>
      <c r="BG327">
        <f>$C327*BG326</f>
        <v/>
      </c>
      <c r="BH327">
        <f>$C327*BH326</f>
        <v/>
      </c>
      <c r="BI327">
        <f>$C327*BI326</f>
        <v/>
      </c>
      <c r="BJ327">
        <f>$C327*BJ326</f>
        <v/>
      </c>
      <c r="BK327">
        <f>$C327*BK326</f>
        <v/>
      </c>
      <c r="BL327">
        <f>$C327*BL326</f>
        <v/>
      </c>
      <c r="BM327">
        <f>$C327*BM326</f>
        <v/>
      </c>
      <c r="BN327">
        <f>$C327*BN326</f>
        <v/>
      </c>
      <c r="BO327">
        <f>$C327*BO326</f>
        <v/>
      </c>
      <c r="BP327">
        <f>$C327*BP326</f>
        <v/>
      </c>
      <c r="BQ327">
        <f>$C327*BQ326</f>
        <v/>
      </c>
      <c r="BR327">
        <f>$C327*BR326</f>
        <v/>
      </c>
      <c r="BS327">
        <f>$C327*BS326</f>
        <v/>
      </c>
      <c r="BT327">
        <f>$C327*BT326</f>
        <v/>
      </c>
      <c r="BU327">
        <f>$C327*BU326</f>
        <v/>
      </c>
      <c r="BV327">
        <f>$C327*BV326</f>
        <v/>
      </c>
      <c r="BW327">
        <f>$C327*BW326</f>
        <v/>
      </c>
      <c r="BX327">
        <f>$C327*BX326</f>
        <v/>
      </c>
      <c r="BY327">
        <f>$C327*BY326</f>
        <v/>
      </c>
      <c r="BZ327">
        <f>$C327*BZ326</f>
        <v/>
      </c>
      <c r="CA327">
        <f>$C327*CA326</f>
        <v/>
      </c>
      <c r="CB327">
        <f>$C327*CB326</f>
        <v/>
      </c>
      <c r="CC327">
        <f>$C327*CC326</f>
        <v/>
      </c>
      <c r="CD327">
        <f>$C327*CD326</f>
        <v/>
      </c>
      <c r="CE327">
        <f>$C327*CE326</f>
        <v/>
      </c>
      <c r="CF327">
        <f>$C327*CF326</f>
        <v/>
      </c>
      <c r="CG327">
        <f>$C327*CG326</f>
        <v/>
      </c>
      <c r="CH327">
        <f>$C327*CH326</f>
        <v/>
      </c>
      <c r="CI327">
        <f>$C327*CI326</f>
        <v/>
      </c>
      <c r="CJ327">
        <f>$C327*CJ326</f>
        <v/>
      </c>
      <c r="CK327">
        <f>$C327*CK326</f>
        <v/>
      </c>
      <c r="CL327">
        <f>$C327*CL326</f>
        <v/>
      </c>
      <c r="CM327">
        <f>$C327*CM326</f>
        <v/>
      </c>
      <c r="CN327">
        <f>$C327*CN326</f>
        <v/>
      </c>
      <c r="CO327">
        <f>$C327*CO326</f>
        <v/>
      </c>
      <c r="CP327">
        <f>$C327*CP326</f>
        <v/>
      </c>
      <c r="CQ327">
        <f>$C327*CQ326</f>
        <v/>
      </c>
      <c r="CR327">
        <f>$C327*CR326</f>
        <v/>
      </c>
      <c r="CS327">
        <f>$C327*CS326</f>
        <v/>
      </c>
      <c r="CT327">
        <f>$C327*CT326</f>
        <v/>
      </c>
      <c r="CU327">
        <f>$C327*CU326</f>
        <v/>
      </c>
      <c r="CV327">
        <f>$C327*CV326</f>
        <v/>
      </c>
      <c r="CW327">
        <f>$C327*CW326</f>
        <v/>
      </c>
      <c r="CX327">
        <f>$C327*CX326</f>
        <v/>
      </c>
      <c r="CY327">
        <f>$C327*CY326</f>
        <v/>
      </c>
      <c r="CZ327">
        <f>$C327*CZ326</f>
        <v/>
      </c>
      <c r="DA327">
        <f>$C327*DA326</f>
        <v/>
      </c>
      <c r="DB327">
        <f>$C327*DB326</f>
        <v/>
      </c>
      <c r="DC327">
        <f>$C327*DC326</f>
        <v/>
      </c>
    </row>
    <row r="328">
      <c r="B328" t="inlineStr">
        <is>
          <t>VSP-990</t>
        </is>
      </c>
      <c r="C328" t="inlineStr">
        <is>
          <t>No. of batches</t>
        </is>
      </c>
      <c r="D328">
        <f>IFERROR(INDEX(PP_Grid[#Data],$DD328,2),0)</f>
        <v/>
      </c>
      <c r="E328">
        <f>IFERROR(INDEX(PP_Grid[#Data],$DD328,3),0)</f>
        <v/>
      </c>
      <c r="F328">
        <f>IFERROR(INDEX(PP_Grid[#Data],$DD328,4),0)</f>
        <v/>
      </c>
      <c r="G328">
        <f>IFERROR(INDEX(PP_Grid[#Data],$DD328,5),0)</f>
        <v/>
      </c>
      <c r="H328">
        <f>IFERROR(INDEX(PP_Grid[#Data],$DD328,6),0)</f>
        <v/>
      </c>
      <c r="I328">
        <f>IFERROR(INDEX(PP_Grid[#Data],$DD328,7),0)</f>
        <v/>
      </c>
      <c r="J328">
        <f>IFERROR(INDEX(PP_Grid[#Data],$DD328,8),0)</f>
        <v/>
      </c>
      <c r="K328">
        <f>IFERROR(INDEX(PP_Grid[#Data],$DD328,9),0)</f>
        <v/>
      </c>
      <c r="L328">
        <f>IFERROR(INDEX(PP_Grid[#Data],$DD328,10),0)</f>
        <v/>
      </c>
      <c r="M328">
        <f>IFERROR(INDEX(PP_Grid[#Data],$DD328,11),0)</f>
        <v/>
      </c>
      <c r="N328">
        <f>IFERROR(INDEX(PP_Grid[#Data],$DD328,12),0)</f>
        <v/>
      </c>
      <c r="O328">
        <f>IFERROR(INDEX(PP_Grid[#Data],$DD328,13),0)</f>
        <v/>
      </c>
      <c r="P328">
        <f>IFERROR(INDEX(PP_Grid[#Data],$DD328,14),0)</f>
        <v/>
      </c>
      <c r="Q328">
        <f>IFERROR(INDEX(PP_Grid[#Data],$DD328,15),0)</f>
        <v/>
      </c>
      <c r="R328">
        <f>IFERROR(INDEX(PP_Grid[#Data],$DD328,16),0)</f>
        <v/>
      </c>
      <c r="S328">
        <f>IFERROR(INDEX(PP_Grid[#Data],$DD328,17),0)</f>
        <v/>
      </c>
      <c r="T328">
        <f>IFERROR(INDEX(PP_Grid[#Data],$DD328,18),0)</f>
        <v/>
      </c>
      <c r="U328">
        <f>IFERROR(INDEX(PP_Grid[#Data],$DD328,19),0)</f>
        <v/>
      </c>
      <c r="V328">
        <f>IFERROR(INDEX(PP_Grid[#Data],$DD328,20),0)</f>
        <v/>
      </c>
      <c r="W328">
        <f>IFERROR(INDEX(PP_Grid[#Data],$DD328,21),0)</f>
        <v/>
      </c>
      <c r="X328">
        <f>IFERROR(INDEX(PP_Grid[#Data],$DD328,22),0)</f>
        <v/>
      </c>
      <c r="Y328">
        <f>IFERROR(INDEX(PP_Grid[#Data],$DD328,23),0)</f>
        <v/>
      </c>
      <c r="Z328">
        <f>IFERROR(INDEX(PP_Grid[#Data],$DD328,24),0)</f>
        <v/>
      </c>
      <c r="AA328">
        <f>IFERROR(INDEX(PP_Grid[#Data],$DD328,25),0)</f>
        <v/>
      </c>
      <c r="AB328">
        <f>IFERROR(INDEX(PP_Grid[#Data],$DD328,26),0)</f>
        <v/>
      </c>
      <c r="AC328">
        <f>IFERROR(INDEX(PP_Grid[#Data],$DD328,27),0)</f>
        <v/>
      </c>
      <c r="AD328">
        <f>IFERROR(INDEX(PP_Grid[#Data],$DD328,28),0)</f>
        <v/>
      </c>
      <c r="AE328">
        <f>IFERROR(INDEX(PP_Grid[#Data],$DD328,29),0)</f>
        <v/>
      </c>
      <c r="AF328">
        <f>IFERROR(INDEX(PP_Grid[#Data],$DD328,30),0)</f>
        <v/>
      </c>
      <c r="AG328">
        <f>IFERROR(INDEX(PP_Grid[#Data],$DD328,31),0)</f>
        <v/>
      </c>
      <c r="AH328">
        <f>IFERROR(INDEX(PP_Grid[#Data],$DD328,32),0)</f>
        <v/>
      </c>
      <c r="AI328">
        <f>IFERROR(INDEX(PP_Grid[#Data],$DD328,33),0)</f>
        <v/>
      </c>
      <c r="AJ328">
        <f>IFERROR(INDEX(PP_Grid[#Data],$DD328,34),0)</f>
        <v/>
      </c>
      <c r="AK328">
        <f>IFERROR(INDEX(PP_Grid[#Data],$DD328,35),0)</f>
        <v/>
      </c>
      <c r="AL328">
        <f>IFERROR(INDEX(PP_Grid[#Data],$DD328,36),0)</f>
        <v/>
      </c>
      <c r="AM328">
        <f>IFERROR(INDEX(PP_Grid[#Data],$DD328,37),0)</f>
        <v/>
      </c>
      <c r="AN328">
        <f>IFERROR(INDEX(PP_Grid[#Data],$DD328,38),0)</f>
        <v/>
      </c>
      <c r="AO328">
        <f>IFERROR(INDEX(PP_Grid[#Data],$DD328,39),0)</f>
        <v/>
      </c>
      <c r="AP328">
        <f>IFERROR(INDEX(PP_Grid[#Data],$DD328,40),0)</f>
        <v/>
      </c>
      <c r="AQ328">
        <f>IFERROR(INDEX(PP_Grid[#Data],$DD328,41),0)</f>
        <v/>
      </c>
      <c r="AR328">
        <f>IFERROR(INDEX(PP_Grid[#Data],$DD328,42),0)</f>
        <v/>
      </c>
      <c r="AS328">
        <f>IFERROR(INDEX(PP_Grid[#Data],$DD328,43),0)</f>
        <v/>
      </c>
      <c r="AT328">
        <f>IFERROR(INDEX(PP_Grid[#Data],$DD328,44),0)</f>
        <v/>
      </c>
      <c r="AU328">
        <f>IFERROR(INDEX(PP_Grid[#Data],$DD328,45),0)</f>
        <v/>
      </c>
      <c r="AV328">
        <f>IFERROR(INDEX(PP_Grid[#Data],$DD328,46),0)</f>
        <v/>
      </c>
      <c r="AW328">
        <f>IFERROR(INDEX(PP_Grid[#Data],$DD328,47),0)</f>
        <v/>
      </c>
      <c r="AX328">
        <f>IFERROR(INDEX(PP_Grid[#Data],$DD328,48),0)</f>
        <v/>
      </c>
      <c r="AY328">
        <f>IFERROR(INDEX(PP_Grid[#Data],$DD328,49),0)</f>
        <v/>
      </c>
      <c r="AZ328">
        <f>IFERROR(INDEX(PP_Grid[#Data],$DD328,50),0)</f>
        <v/>
      </c>
      <c r="BA328">
        <f>IFERROR(INDEX(PP_Grid[#Data],$DD328,51),0)</f>
        <v/>
      </c>
      <c r="BB328">
        <f>IFERROR(INDEX(PP_Grid[#Data],$DD328,52),0)</f>
        <v/>
      </c>
      <c r="BC328">
        <f>IFERROR(INDEX(PP_Grid[#Data],$DD328,53),0)</f>
        <v/>
      </c>
      <c r="BD328">
        <f>IFERROR(INDEX(PP_Grid[#Data],$DD328,54),0)</f>
        <v/>
      </c>
      <c r="BE328">
        <f>IFERROR(INDEX(PP_Grid[#Data],$DD328,55),0)</f>
        <v/>
      </c>
      <c r="BF328">
        <f>IFERROR(INDEX(PP_Grid[#Data],$DD328,56),0)</f>
        <v/>
      </c>
      <c r="BG328">
        <f>IFERROR(INDEX(PP_Grid[#Data],$DD328,57),0)</f>
        <v/>
      </c>
      <c r="BH328">
        <f>IFERROR(INDEX(PP_Grid[#Data],$DD328,58),0)</f>
        <v/>
      </c>
      <c r="BI328">
        <f>IFERROR(INDEX(PP_Grid[#Data],$DD328,59),0)</f>
        <v/>
      </c>
      <c r="BJ328">
        <f>IFERROR(INDEX(PP_Grid[#Data],$DD328,60),0)</f>
        <v/>
      </c>
      <c r="BK328">
        <f>IFERROR(INDEX(PP_Grid[#Data],$DD328,61),0)</f>
        <v/>
      </c>
      <c r="BL328">
        <f>IFERROR(INDEX(PP_Grid[#Data],$DD328,62),0)</f>
        <v/>
      </c>
      <c r="BM328">
        <f>IFERROR(INDEX(PP_Grid[#Data],$DD328,63),0)</f>
        <v/>
      </c>
      <c r="BN328">
        <f>IFERROR(INDEX(PP_Grid[#Data],$DD328,64),0)</f>
        <v/>
      </c>
      <c r="BO328">
        <f>IFERROR(INDEX(PP_Grid[#Data],$DD328,65),0)</f>
        <v/>
      </c>
      <c r="BP328">
        <f>IFERROR(INDEX(PP_Grid[#Data],$DD328,66),0)</f>
        <v/>
      </c>
      <c r="BQ328">
        <f>IFERROR(INDEX(PP_Grid[#Data],$DD328,67),0)</f>
        <v/>
      </c>
      <c r="BR328">
        <f>IFERROR(INDEX(PP_Grid[#Data],$DD328,68),0)</f>
        <v/>
      </c>
      <c r="BS328">
        <f>IFERROR(INDEX(PP_Grid[#Data],$DD328,69),0)</f>
        <v/>
      </c>
      <c r="BT328">
        <f>IFERROR(INDEX(PP_Grid[#Data],$DD328,70),0)</f>
        <v/>
      </c>
      <c r="BU328">
        <f>IFERROR(INDEX(PP_Grid[#Data],$DD328,71),0)</f>
        <v/>
      </c>
      <c r="BV328">
        <f>IFERROR(INDEX(PP_Grid[#Data],$DD328,72),0)</f>
        <v/>
      </c>
      <c r="BW328">
        <f>IFERROR(INDEX(PP_Grid[#Data],$DD328,73),0)</f>
        <v/>
      </c>
      <c r="BX328">
        <f>IFERROR(INDEX(PP_Grid[#Data],$DD328,74),0)</f>
        <v/>
      </c>
      <c r="BY328">
        <f>IFERROR(INDEX(PP_Grid[#Data],$DD328,75),0)</f>
        <v/>
      </c>
      <c r="BZ328">
        <f>IFERROR(INDEX(PP_Grid[#Data],$DD328,76),0)</f>
        <v/>
      </c>
      <c r="CA328">
        <f>IFERROR(INDEX(PP_Grid[#Data],$DD328,77),0)</f>
        <v/>
      </c>
      <c r="CB328">
        <f>IFERROR(INDEX(PP_Grid[#Data],$DD328,78),0)</f>
        <v/>
      </c>
      <c r="CC328">
        <f>IFERROR(INDEX(PP_Grid[#Data],$DD328,79),0)</f>
        <v/>
      </c>
      <c r="CD328">
        <f>IFERROR(INDEX(PP_Grid[#Data],$DD328,80),0)</f>
        <v/>
      </c>
      <c r="CE328">
        <f>IFERROR(INDEX(PP_Grid[#Data],$DD328,81),0)</f>
        <v/>
      </c>
      <c r="CF328">
        <f>IFERROR(INDEX(PP_Grid[#Data],$DD328,82),0)</f>
        <v/>
      </c>
      <c r="CG328">
        <f>IFERROR(INDEX(PP_Grid[#Data],$DD328,83),0)</f>
        <v/>
      </c>
      <c r="CH328">
        <f>IFERROR(INDEX(PP_Grid[#Data],$DD328,84),0)</f>
        <v/>
      </c>
      <c r="CI328">
        <f>IFERROR(INDEX(PP_Grid[#Data],$DD328,85),0)</f>
        <v/>
      </c>
      <c r="CJ328">
        <f>IFERROR(INDEX(PP_Grid[#Data],$DD328,86),0)</f>
        <v/>
      </c>
      <c r="CK328">
        <f>IFERROR(INDEX(PP_Grid[#Data],$DD328,87),0)</f>
        <v/>
      </c>
      <c r="CL328">
        <f>IFERROR(INDEX(PP_Grid[#Data],$DD328,88),0)</f>
        <v/>
      </c>
      <c r="CM328">
        <f>IFERROR(INDEX(PP_Grid[#Data],$DD328,89),0)</f>
        <v/>
      </c>
      <c r="CN328">
        <f>IFERROR(INDEX(PP_Grid[#Data],$DD328,90),0)</f>
        <v/>
      </c>
      <c r="CO328">
        <f>IFERROR(INDEX(PP_Grid[#Data],$DD328,91),0)</f>
        <v/>
      </c>
      <c r="CP328">
        <f>IFERROR(INDEX(PP_Grid[#Data],$DD328,92),0)</f>
        <v/>
      </c>
      <c r="CQ328">
        <f>IFERROR(INDEX(PP_Grid[#Data],$DD328,93),0)</f>
        <v/>
      </c>
      <c r="CR328">
        <f>IFERROR(INDEX(PP_Grid[#Data],$DD328,94),0)</f>
        <v/>
      </c>
      <c r="CS328">
        <f>IFERROR(INDEX(PP_Grid[#Data],$DD328,95),0)</f>
        <v/>
      </c>
      <c r="CT328">
        <f>IFERROR(INDEX(PP_Grid[#Data],$DD328,96),0)</f>
        <v/>
      </c>
      <c r="CU328">
        <f>IFERROR(INDEX(PP_Grid[#Data],$DD328,97),0)</f>
        <v/>
      </c>
      <c r="CV328">
        <f>IFERROR(INDEX(PP_Grid[#Data],$DD328,98),0)</f>
        <v/>
      </c>
      <c r="CW328">
        <f>IFERROR(INDEX(PP_Grid[#Data],$DD328,99),0)</f>
        <v/>
      </c>
      <c r="CX328">
        <f>IFERROR(INDEX(PP_Grid[#Data],$DD328,100),0)</f>
        <v/>
      </c>
      <c r="CY328">
        <f>IFERROR(INDEX(PP_Grid[#Data],$DD328,101),0)</f>
        <v/>
      </c>
      <c r="CZ328">
        <f>IFERROR(INDEX(PP_Grid[#Data],$DD328,102),0)</f>
        <v/>
      </c>
      <c r="DA328">
        <f>IFERROR(INDEX(PP_Grid[#Data],$DD328,103),0)</f>
        <v/>
      </c>
      <c r="DB328">
        <f>IFERROR(INDEX(PP_Grid[#Data],$DD328,104),0)</f>
        <v/>
      </c>
      <c r="DC328">
        <f>IFERROR(INDEX(PP_Grid[#Data],$DD328,105),0)</f>
        <v/>
      </c>
      <c r="DD328" s="7">
        <f>IFERROR(MATCH($B328,PP_Grid[Intermediate],0),99999)</f>
        <v/>
      </c>
    </row>
    <row r="329">
      <c r="B329" t="inlineStr">
        <is>
          <t>使用量(kg)</t>
        </is>
      </c>
      <c r="C329">
        <f>SUMIFS(M_BOM[RM_Qty_Per_Batch],M_BOM[Intermediate],$B328,M_BOM[Part Name],$A219)</f>
        <v/>
      </c>
      <c r="D329">
        <f>$C329*D328</f>
        <v/>
      </c>
      <c r="E329">
        <f>$C329*E328</f>
        <v/>
      </c>
      <c r="F329">
        <f>$C329*F328</f>
        <v/>
      </c>
      <c r="G329">
        <f>$C329*G328</f>
        <v/>
      </c>
      <c r="H329">
        <f>$C329*H328</f>
        <v/>
      </c>
      <c r="I329">
        <f>$C329*I328</f>
        <v/>
      </c>
      <c r="J329">
        <f>$C329*J328</f>
        <v/>
      </c>
      <c r="K329">
        <f>$C329*K328</f>
        <v/>
      </c>
      <c r="L329">
        <f>$C329*L328</f>
        <v/>
      </c>
      <c r="M329">
        <f>$C329*M328</f>
        <v/>
      </c>
      <c r="N329">
        <f>$C329*N328</f>
        <v/>
      </c>
      <c r="O329">
        <f>$C329*O328</f>
        <v/>
      </c>
      <c r="P329">
        <f>$C329*P328</f>
        <v/>
      </c>
      <c r="Q329">
        <f>$C329*Q328</f>
        <v/>
      </c>
      <c r="R329">
        <f>$C329*R328</f>
        <v/>
      </c>
      <c r="S329">
        <f>$C329*S328</f>
        <v/>
      </c>
      <c r="T329">
        <f>$C329*T328</f>
        <v/>
      </c>
      <c r="U329">
        <f>$C329*U328</f>
        <v/>
      </c>
      <c r="V329">
        <f>$C329*V328</f>
        <v/>
      </c>
      <c r="W329">
        <f>$C329*W328</f>
        <v/>
      </c>
      <c r="X329">
        <f>$C329*X328</f>
        <v/>
      </c>
      <c r="Y329">
        <f>$C329*Y328</f>
        <v/>
      </c>
      <c r="Z329">
        <f>$C329*Z328</f>
        <v/>
      </c>
      <c r="AA329">
        <f>$C329*AA328</f>
        <v/>
      </c>
      <c r="AB329">
        <f>$C329*AB328</f>
        <v/>
      </c>
      <c r="AC329">
        <f>$C329*AC328</f>
        <v/>
      </c>
      <c r="AD329">
        <f>$C329*AD328</f>
        <v/>
      </c>
      <c r="AE329">
        <f>$C329*AE328</f>
        <v/>
      </c>
      <c r="AF329">
        <f>$C329*AF328</f>
        <v/>
      </c>
      <c r="AG329">
        <f>$C329*AG328</f>
        <v/>
      </c>
      <c r="AH329">
        <f>$C329*AH328</f>
        <v/>
      </c>
      <c r="AI329">
        <f>$C329*AI328</f>
        <v/>
      </c>
      <c r="AJ329">
        <f>$C329*AJ328</f>
        <v/>
      </c>
      <c r="AK329">
        <f>$C329*AK328</f>
        <v/>
      </c>
      <c r="AL329">
        <f>$C329*AL328</f>
        <v/>
      </c>
      <c r="AM329">
        <f>$C329*AM328</f>
        <v/>
      </c>
      <c r="AN329">
        <f>$C329*AN328</f>
        <v/>
      </c>
      <c r="AO329">
        <f>$C329*AO328</f>
        <v/>
      </c>
      <c r="AP329">
        <f>$C329*AP328</f>
        <v/>
      </c>
      <c r="AQ329">
        <f>$C329*AQ328</f>
        <v/>
      </c>
      <c r="AR329">
        <f>$C329*AR328</f>
        <v/>
      </c>
      <c r="AS329">
        <f>$C329*AS328</f>
        <v/>
      </c>
      <c r="AT329">
        <f>$C329*AT328</f>
        <v/>
      </c>
      <c r="AU329">
        <f>$C329*AU328</f>
        <v/>
      </c>
      <c r="AV329">
        <f>$C329*AV328</f>
        <v/>
      </c>
      <c r="AW329">
        <f>$C329*AW328</f>
        <v/>
      </c>
      <c r="AX329">
        <f>$C329*AX328</f>
        <v/>
      </c>
      <c r="AY329">
        <f>$C329*AY328</f>
        <v/>
      </c>
      <c r="AZ329">
        <f>$C329*AZ328</f>
        <v/>
      </c>
      <c r="BA329">
        <f>$C329*BA328</f>
        <v/>
      </c>
      <c r="BB329">
        <f>$C329*BB328</f>
        <v/>
      </c>
      <c r="BC329">
        <f>$C329*BC328</f>
        <v/>
      </c>
      <c r="BD329">
        <f>$C329*BD328</f>
        <v/>
      </c>
      <c r="BE329">
        <f>$C329*BE328</f>
        <v/>
      </c>
      <c r="BF329">
        <f>$C329*BF328</f>
        <v/>
      </c>
      <c r="BG329">
        <f>$C329*BG328</f>
        <v/>
      </c>
      <c r="BH329">
        <f>$C329*BH328</f>
        <v/>
      </c>
      <c r="BI329">
        <f>$C329*BI328</f>
        <v/>
      </c>
      <c r="BJ329">
        <f>$C329*BJ328</f>
        <v/>
      </c>
      <c r="BK329">
        <f>$C329*BK328</f>
        <v/>
      </c>
      <c r="BL329">
        <f>$C329*BL328</f>
        <v/>
      </c>
      <c r="BM329">
        <f>$C329*BM328</f>
        <v/>
      </c>
      <c r="BN329">
        <f>$C329*BN328</f>
        <v/>
      </c>
      <c r="BO329">
        <f>$C329*BO328</f>
        <v/>
      </c>
      <c r="BP329">
        <f>$C329*BP328</f>
        <v/>
      </c>
      <c r="BQ329">
        <f>$C329*BQ328</f>
        <v/>
      </c>
      <c r="BR329">
        <f>$C329*BR328</f>
        <v/>
      </c>
      <c r="BS329">
        <f>$C329*BS328</f>
        <v/>
      </c>
      <c r="BT329">
        <f>$C329*BT328</f>
        <v/>
      </c>
      <c r="BU329">
        <f>$C329*BU328</f>
        <v/>
      </c>
      <c r="BV329">
        <f>$C329*BV328</f>
        <v/>
      </c>
      <c r="BW329">
        <f>$C329*BW328</f>
        <v/>
      </c>
      <c r="BX329">
        <f>$C329*BX328</f>
        <v/>
      </c>
      <c r="BY329">
        <f>$C329*BY328</f>
        <v/>
      </c>
      <c r="BZ329">
        <f>$C329*BZ328</f>
        <v/>
      </c>
      <c r="CA329">
        <f>$C329*CA328</f>
        <v/>
      </c>
      <c r="CB329">
        <f>$C329*CB328</f>
        <v/>
      </c>
      <c r="CC329">
        <f>$C329*CC328</f>
        <v/>
      </c>
      <c r="CD329">
        <f>$C329*CD328</f>
        <v/>
      </c>
      <c r="CE329">
        <f>$C329*CE328</f>
        <v/>
      </c>
      <c r="CF329">
        <f>$C329*CF328</f>
        <v/>
      </c>
      <c r="CG329">
        <f>$C329*CG328</f>
        <v/>
      </c>
      <c r="CH329">
        <f>$C329*CH328</f>
        <v/>
      </c>
      <c r="CI329">
        <f>$C329*CI328</f>
        <v/>
      </c>
      <c r="CJ329">
        <f>$C329*CJ328</f>
        <v/>
      </c>
      <c r="CK329">
        <f>$C329*CK328</f>
        <v/>
      </c>
      <c r="CL329">
        <f>$C329*CL328</f>
        <v/>
      </c>
      <c r="CM329">
        <f>$C329*CM328</f>
        <v/>
      </c>
      <c r="CN329">
        <f>$C329*CN328</f>
        <v/>
      </c>
      <c r="CO329">
        <f>$C329*CO328</f>
        <v/>
      </c>
      <c r="CP329">
        <f>$C329*CP328</f>
        <v/>
      </c>
      <c r="CQ329">
        <f>$C329*CQ328</f>
        <v/>
      </c>
      <c r="CR329">
        <f>$C329*CR328</f>
        <v/>
      </c>
      <c r="CS329">
        <f>$C329*CS328</f>
        <v/>
      </c>
      <c r="CT329">
        <f>$C329*CT328</f>
        <v/>
      </c>
      <c r="CU329">
        <f>$C329*CU328</f>
        <v/>
      </c>
      <c r="CV329">
        <f>$C329*CV328</f>
        <v/>
      </c>
      <c r="CW329">
        <f>$C329*CW328</f>
        <v/>
      </c>
      <c r="CX329">
        <f>$C329*CX328</f>
        <v/>
      </c>
      <c r="CY329">
        <f>$C329*CY328</f>
        <v/>
      </c>
      <c r="CZ329">
        <f>$C329*CZ328</f>
        <v/>
      </c>
      <c r="DA329">
        <f>$C329*DA328</f>
        <v/>
      </c>
      <c r="DB329">
        <f>$C329*DB328</f>
        <v/>
      </c>
      <c r="DC329">
        <f>$C329*DC328</f>
        <v/>
      </c>
    </row>
    <row r="330">
      <c r="B330" t="inlineStr">
        <is>
          <t>VSZ-745</t>
        </is>
      </c>
      <c r="C330" t="inlineStr">
        <is>
          <t>No. of batches</t>
        </is>
      </c>
      <c r="D330">
        <f>IFERROR(INDEX(PP_Grid[#Data],$DD330,2),0)</f>
        <v/>
      </c>
      <c r="E330">
        <f>IFERROR(INDEX(PP_Grid[#Data],$DD330,3),0)</f>
        <v/>
      </c>
      <c r="F330">
        <f>IFERROR(INDEX(PP_Grid[#Data],$DD330,4),0)</f>
        <v/>
      </c>
      <c r="G330">
        <f>IFERROR(INDEX(PP_Grid[#Data],$DD330,5),0)</f>
        <v/>
      </c>
      <c r="H330">
        <f>IFERROR(INDEX(PP_Grid[#Data],$DD330,6),0)</f>
        <v/>
      </c>
      <c r="I330">
        <f>IFERROR(INDEX(PP_Grid[#Data],$DD330,7),0)</f>
        <v/>
      </c>
      <c r="J330">
        <f>IFERROR(INDEX(PP_Grid[#Data],$DD330,8),0)</f>
        <v/>
      </c>
      <c r="K330">
        <f>IFERROR(INDEX(PP_Grid[#Data],$DD330,9),0)</f>
        <v/>
      </c>
      <c r="L330">
        <f>IFERROR(INDEX(PP_Grid[#Data],$DD330,10),0)</f>
        <v/>
      </c>
      <c r="M330">
        <f>IFERROR(INDEX(PP_Grid[#Data],$DD330,11),0)</f>
        <v/>
      </c>
      <c r="N330">
        <f>IFERROR(INDEX(PP_Grid[#Data],$DD330,12),0)</f>
        <v/>
      </c>
      <c r="O330">
        <f>IFERROR(INDEX(PP_Grid[#Data],$DD330,13),0)</f>
        <v/>
      </c>
      <c r="P330">
        <f>IFERROR(INDEX(PP_Grid[#Data],$DD330,14),0)</f>
        <v/>
      </c>
      <c r="Q330">
        <f>IFERROR(INDEX(PP_Grid[#Data],$DD330,15),0)</f>
        <v/>
      </c>
      <c r="R330">
        <f>IFERROR(INDEX(PP_Grid[#Data],$DD330,16),0)</f>
        <v/>
      </c>
      <c r="S330">
        <f>IFERROR(INDEX(PP_Grid[#Data],$DD330,17),0)</f>
        <v/>
      </c>
      <c r="T330">
        <f>IFERROR(INDEX(PP_Grid[#Data],$DD330,18),0)</f>
        <v/>
      </c>
      <c r="U330">
        <f>IFERROR(INDEX(PP_Grid[#Data],$DD330,19),0)</f>
        <v/>
      </c>
      <c r="V330">
        <f>IFERROR(INDEX(PP_Grid[#Data],$DD330,20),0)</f>
        <v/>
      </c>
      <c r="W330">
        <f>IFERROR(INDEX(PP_Grid[#Data],$DD330,21),0)</f>
        <v/>
      </c>
      <c r="X330">
        <f>IFERROR(INDEX(PP_Grid[#Data],$DD330,22),0)</f>
        <v/>
      </c>
      <c r="Y330">
        <f>IFERROR(INDEX(PP_Grid[#Data],$DD330,23),0)</f>
        <v/>
      </c>
      <c r="Z330">
        <f>IFERROR(INDEX(PP_Grid[#Data],$DD330,24),0)</f>
        <v/>
      </c>
      <c r="AA330">
        <f>IFERROR(INDEX(PP_Grid[#Data],$DD330,25),0)</f>
        <v/>
      </c>
      <c r="AB330">
        <f>IFERROR(INDEX(PP_Grid[#Data],$DD330,26),0)</f>
        <v/>
      </c>
      <c r="AC330">
        <f>IFERROR(INDEX(PP_Grid[#Data],$DD330,27),0)</f>
        <v/>
      </c>
      <c r="AD330">
        <f>IFERROR(INDEX(PP_Grid[#Data],$DD330,28),0)</f>
        <v/>
      </c>
      <c r="AE330">
        <f>IFERROR(INDEX(PP_Grid[#Data],$DD330,29),0)</f>
        <v/>
      </c>
      <c r="AF330">
        <f>IFERROR(INDEX(PP_Grid[#Data],$DD330,30),0)</f>
        <v/>
      </c>
      <c r="AG330">
        <f>IFERROR(INDEX(PP_Grid[#Data],$DD330,31),0)</f>
        <v/>
      </c>
      <c r="AH330">
        <f>IFERROR(INDEX(PP_Grid[#Data],$DD330,32),0)</f>
        <v/>
      </c>
      <c r="AI330">
        <f>IFERROR(INDEX(PP_Grid[#Data],$DD330,33),0)</f>
        <v/>
      </c>
      <c r="AJ330">
        <f>IFERROR(INDEX(PP_Grid[#Data],$DD330,34),0)</f>
        <v/>
      </c>
      <c r="AK330">
        <f>IFERROR(INDEX(PP_Grid[#Data],$DD330,35),0)</f>
        <v/>
      </c>
      <c r="AL330">
        <f>IFERROR(INDEX(PP_Grid[#Data],$DD330,36),0)</f>
        <v/>
      </c>
      <c r="AM330">
        <f>IFERROR(INDEX(PP_Grid[#Data],$DD330,37),0)</f>
        <v/>
      </c>
      <c r="AN330">
        <f>IFERROR(INDEX(PP_Grid[#Data],$DD330,38),0)</f>
        <v/>
      </c>
      <c r="AO330">
        <f>IFERROR(INDEX(PP_Grid[#Data],$DD330,39),0)</f>
        <v/>
      </c>
      <c r="AP330">
        <f>IFERROR(INDEX(PP_Grid[#Data],$DD330,40),0)</f>
        <v/>
      </c>
      <c r="AQ330">
        <f>IFERROR(INDEX(PP_Grid[#Data],$DD330,41),0)</f>
        <v/>
      </c>
      <c r="AR330">
        <f>IFERROR(INDEX(PP_Grid[#Data],$DD330,42),0)</f>
        <v/>
      </c>
      <c r="AS330">
        <f>IFERROR(INDEX(PP_Grid[#Data],$DD330,43),0)</f>
        <v/>
      </c>
      <c r="AT330">
        <f>IFERROR(INDEX(PP_Grid[#Data],$DD330,44),0)</f>
        <v/>
      </c>
      <c r="AU330">
        <f>IFERROR(INDEX(PP_Grid[#Data],$DD330,45),0)</f>
        <v/>
      </c>
      <c r="AV330">
        <f>IFERROR(INDEX(PP_Grid[#Data],$DD330,46),0)</f>
        <v/>
      </c>
      <c r="AW330">
        <f>IFERROR(INDEX(PP_Grid[#Data],$DD330,47),0)</f>
        <v/>
      </c>
      <c r="AX330">
        <f>IFERROR(INDEX(PP_Grid[#Data],$DD330,48),0)</f>
        <v/>
      </c>
      <c r="AY330">
        <f>IFERROR(INDEX(PP_Grid[#Data],$DD330,49),0)</f>
        <v/>
      </c>
      <c r="AZ330">
        <f>IFERROR(INDEX(PP_Grid[#Data],$DD330,50),0)</f>
        <v/>
      </c>
      <c r="BA330">
        <f>IFERROR(INDEX(PP_Grid[#Data],$DD330,51),0)</f>
        <v/>
      </c>
      <c r="BB330">
        <f>IFERROR(INDEX(PP_Grid[#Data],$DD330,52),0)</f>
        <v/>
      </c>
      <c r="BC330">
        <f>IFERROR(INDEX(PP_Grid[#Data],$DD330,53),0)</f>
        <v/>
      </c>
      <c r="BD330">
        <f>IFERROR(INDEX(PP_Grid[#Data],$DD330,54),0)</f>
        <v/>
      </c>
      <c r="BE330">
        <f>IFERROR(INDEX(PP_Grid[#Data],$DD330,55),0)</f>
        <v/>
      </c>
      <c r="BF330">
        <f>IFERROR(INDEX(PP_Grid[#Data],$DD330,56),0)</f>
        <v/>
      </c>
      <c r="BG330">
        <f>IFERROR(INDEX(PP_Grid[#Data],$DD330,57),0)</f>
        <v/>
      </c>
      <c r="BH330">
        <f>IFERROR(INDEX(PP_Grid[#Data],$DD330,58),0)</f>
        <v/>
      </c>
      <c r="BI330">
        <f>IFERROR(INDEX(PP_Grid[#Data],$DD330,59),0)</f>
        <v/>
      </c>
      <c r="BJ330">
        <f>IFERROR(INDEX(PP_Grid[#Data],$DD330,60),0)</f>
        <v/>
      </c>
      <c r="BK330">
        <f>IFERROR(INDEX(PP_Grid[#Data],$DD330,61),0)</f>
        <v/>
      </c>
      <c r="BL330">
        <f>IFERROR(INDEX(PP_Grid[#Data],$DD330,62),0)</f>
        <v/>
      </c>
      <c r="BM330">
        <f>IFERROR(INDEX(PP_Grid[#Data],$DD330,63),0)</f>
        <v/>
      </c>
      <c r="BN330">
        <f>IFERROR(INDEX(PP_Grid[#Data],$DD330,64),0)</f>
        <v/>
      </c>
      <c r="BO330">
        <f>IFERROR(INDEX(PP_Grid[#Data],$DD330,65),0)</f>
        <v/>
      </c>
      <c r="BP330">
        <f>IFERROR(INDEX(PP_Grid[#Data],$DD330,66),0)</f>
        <v/>
      </c>
      <c r="BQ330">
        <f>IFERROR(INDEX(PP_Grid[#Data],$DD330,67),0)</f>
        <v/>
      </c>
      <c r="BR330">
        <f>IFERROR(INDEX(PP_Grid[#Data],$DD330,68),0)</f>
        <v/>
      </c>
      <c r="BS330">
        <f>IFERROR(INDEX(PP_Grid[#Data],$DD330,69),0)</f>
        <v/>
      </c>
      <c r="BT330">
        <f>IFERROR(INDEX(PP_Grid[#Data],$DD330,70),0)</f>
        <v/>
      </c>
      <c r="BU330">
        <f>IFERROR(INDEX(PP_Grid[#Data],$DD330,71),0)</f>
        <v/>
      </c>
      <c r="BV330">
        <f>IFERROR(INDEX(PP_Grid[#Data],$DD330,72),0)</f>
        <v/>
      </c>
      <c r="BW330">
        <f>IFERROR(INDEX(PP_Grid[#Data],$DD330,73),0)</f>
        <v/>
      </c>
      <c r="BX330">
        <f>IFERROR(INDEX(PP_Grid[#Data],$DD330,74),0)</f>
        <v/>
      </c>
      <c r="BY330">
        <f>IFERROR(INDEX(PP_Grid[#Data],$DD330,75),0)</f>
        <v/>
      </c>
      <c r="BZ330">
        <f>IFERROR(INDEX(PP_Grid[#Data],$DD330,76),0)</f>
        <v/>
      </c>
      <c r="CA330">
        <f>IFERROR(INDEX(PP_Grid[#Data],$DD330,77),0)</f>
        <v/>
      </c>
      <c r="CB330">
        <f>IFERROR(INDEX(PP_Grid[#Data],$DD330,78),0)</f>
        <v/>
      </c>
      <c r="CC330">
        <f>IFERROR(INDEX(PP_Grid[#Data],$DD330,79),0)</f>
        <v/>
      </c>
      <c r="CD330">
        <f>IFERROR(INDEX(PP_Grid[#Data],$DD330,80),0)</f>
        <v/>
      </c>
      <c r="CE330">
        <f>IFERROR(INDEX(PP_Grid[#Data],$DD330,81),0)</f>
        <v/>
      </c>
      <c r="CF330">
        <f>IFERROR(INDEX(PP_Grid[#Data],$DD330,82),0)</f>
        <v/>
      </c>
      <c r="CG330">
        <f>IFERROR(INDEX(PP_Grid[#Data],$DD330,83),0)</f>
        <v/>
      </c>
      <c r="CH330">
        <f>IFERROR(INDEX(PP_Grid[#Data],$DD330,84),0)</f>
        <v/>
      </c>
      <c r="CI330">
        <f>IFERROR(INDEX(PP_Grid[#Data],$DD330,85),0)</f>
        <v/>
      </c>
      <c r="CJ330">
        <f>IFERROR(INDEX(PP_Grid[#Data],$DD330,86),0)</f>
        <v/>
      </c>
      <c r="CK330">
        <f>IFERROR(INDEX(PP_Grid[#Data],$DD330,87),0)</f>
        <v/>
      </c>
      <c r="CL330">
        <f>IFERROR(INDEX(PP_Grid[#Data],$DD330,88),0)</f>
        <v/>
      </c>
      <c r="CM330">
        <f>IFERROR(INDEX(PP_Grid[#Data],$DD330,89),0)</f>
        <v/>
      </c>
      <c r="CN330">
        <f>IFERROR(INDEX(PP_Grid[#Data],$DD330,90),0)</f>
        <v/>
      </c>
      <c r="CO330">
        <f>IFERROR(INDEX(PP_Grid[#Data],$DD330,91),0)</f>
        <v/>
      </c>
      <c r="CP330">
        <f>IFERROR(INDEX(PP_Grid[#Data],$DD330,92),0)</f>
        <v/>
      </c>
      <c r="CQ330">
        <f>IFERROR(INDEX(PP_Grid[#Data],$DD330,93),0)</f>
        <v/>
      </c>
      <c r="CR330">
        <f>IFERROR(INDEX(PP_Grid[#Data],$DD330,94),0)</f>
        <v/>
      </c>
      <c r="CS330">
        <f>IFERROR(INDEX(PP_Grid[#Data],$DD330,95),0)</f>
        <v/>
      </c>
      <c r="CT330">
        <f>IFERROR(INDEX(PP_Grid[#Data],$DD330,96),0)</f>
        <v/>
      </c>
      <c r="CU330">
        <f>IFERROR(INDEX(PP_Grid[#Data],$DD330,97),0)</f>
        <v/>
      </c>
      <c r="CV330">
        <f>IFERROR(INDEX(PP_Grid[#Data],$DD330,98),0)</f>
        <v/>
      </c>
      <c r="CW330">
        <f>IFERROR(INDEX(PP_Grid[#Data],$DD330,99),0)</f>
        <v/>
      </c>
      <c r="CX330">
        <f>IFERROR(INDEX(PP_Grid[#Data],$DD330,100),0)</f>
        <v/>
      </c>
      <c r="CY330">
        <f>IFERROR(INDEX(PP_Grid[#Data],$DD330,101),0)</f>
        <v/>
      </c>
      <c r="CZ330">
        <f>IFERROR(INDEX(PP_Grid[#Data],$DD330,102),0)</f>
        <v/>
      </c>
      <c r="DA330">
        <f>IFERROR(INDEX(PP_Grid[#Data],$DD330,103),0)</f>
        <v/>
      </c>
      <c r="DB330">
        <f>IFERROR(INDEX(PP_Grid[#Data],$DD330,104),0)</f>
        <v/>
      </c>
      <c r="DC330">
        <f>IFERROR(INDEX(PP_Grid[#Data],$DD330,105),0)</f>
        <v/>
      </c>
      <c r="DD330" s="7">
        <f>IFERROR(MATCH($B330,PP_Grid[Intermediate],0),99999)</f>
        <v/>
      </c>
    </row>
    <row r="331">
      <c r="B331" t="inlineStr">
        <is>
          <t>使用量(kg)</t>
        </is>
      </c>
      <c r="C331">
        <f>SUMIFS(M_BOM[RM_Qty_Per_Batch],M_BOM[Intermediate],$B330,M_BOM[Part Name],$A219)</f>
        <v/>
      </c>
      <c r="D331">
        <f>$C331*D330</f>
        <v/>
      </c>
      <c r="E331">
        <f>$C331*E330</f>
        <v/>
      </c>
      <c r="F331">
        <f>$C331*F330</f>
        <v/>
      </c>
      <c r="G331">
        <f>$C331*G330</f>
        <v/>
      </c>
      <c r="H331">
        <f>$C331*H330</f>
        <v/>
      </c>
      <c r="I331">
        <f>$C331*I330</f>
        <v/>
      </c>
      <c r="J331">
        <f>$C331*J330</f>
        <v/>
      </c>
      <c r="K331">
        <f>$C331*K330</f>
        <v/>
      </c>
      <c r="L331">
        <f>$C331*L330</f>
        <v/>
      </c>
      <c r="M331">
        <f>$C331*M330</f>
        <v/>
      </c>
      <c r="N331">
        <f>$C331*N330</f>
        <v/>
      </c>
      <c r="O331">
        <f>$C331*O330</f>
        <v/>
      </c>
      <c r="P331">
        <f>$C331*P330</f>
        <v/>
      </c>
      <c r="Q331">
        <f>$C331*Q330</f>
        <v/>
      </c>
      <c r="R331">
        <f>$C331*R330</f>
        <v/>
      </c>
      <c r="S331">
        <f>$C331*S330</f>
        <v/>
      </c>
      <c r="T331">
        <f>$C331*T330</f>
        <v/>
      </c>
      <c r="U331">
        <f>$C331*U330</f>
        <v/>
      </c>
      <c r="V331">
        <f>$C331*V330</f>
        <v/>
      </c>
      <c r="W331">
        <f>$C331*W330</f>
        <v/>
      </c>
      <c r="X331">
        <f>$C331*X330</f>
        <v/>
      </c>
      <c r="Y331">
        <f>$C331*Y330</f>
        <v/>
      </c>
      <c r="Z331">
        <f>$C331*Z330</f>
        <v/>
      </c>
      <c r="AA331">
        <f>$C331*AA330</f>
        <v/>
      </c>
      <c r="AB331">
        <f>$C331*AB330</f>
        <v/>
      </c>
      <c r="AC331">
        <f>$C331*AC330</f>
        <v/>
      </c>
      <c r="AD331">
        <f>$C331*AD330</f>
        <v/>
      </c>
      <c r="AE331">
        <f>$C331*AE330</f>
        <v/>
      </c>
      <c r="AF331">
        <f>$C331*AF330</f>
        <v/>
      </c>
      <c r="AG331">
        <f>$C331*AG330</f>
        <v/>
      </c>
      <c r="AH331">
        <f>$C331*AH330</f>
        <v/>
      </c>
      <c r="AI331">
        <f>$C331*AI330</f>
        <v/>
      </c>
      <c r="AJ331">
        <f>$C331*AJ330</f>
        <v/>
      </c>
      <c r="AK331">
        <f>$C331*AK330</f>
        <v/>
      </c>
      <c r="AL331">
        <f>$C331*AL330</f>
        <v/>
      </c>
      <c r="AM331">
        <f>$C331*AM330</f>
        <v/>
      </c>
      <c r="AN331">
        <f>$C331*AN330</f>
        <v/>
      </c>
      <c r="AO331">
        <f>$C331*AO330</f>
        <v/>
      </c>
      <c r="AP331">
        <f>$C331*AP330</f>
        <v/>
      </c>
      <c r="AQ331">
        <f>$C331*AQ330</f>
        <v/>
      </c>
      <c r="AR331">
        <f>$C331*AR330</f>
        <v/>
      </c>
      <c r="AS331">
        <f>$C331*AS330</f>
        <v/>
      </c>
      <c r="AT331">
        <f>$C331*AT330</f>
        <v/>
      </c>
      <c r="AU331">
        <f>$C331*AU330</f>
        <v/>
      </c>
      <c r="AV331">
        <f>$C331*AV330</f>
        <v/>
      </c>
      <c r="AW331">
        <f>$C331*AW330</f>
        <v/>
      </c>
      <c r="AX331">
        <f>$C331*AX330</f>
        <v/>
      </c>
      <c r="AY331">
        <f>$C331*AY330</f>
        <v/>
      </c>
      <c r="AZ331">
        <f>$C331*AZ330</f>
        <v/>
      </c>
      <c r="BA331">
        <f>$C331*BA330</f>
        <v/>
      </c>
      <c r="BB331">
        <f>$C331*BB330</f>
        <v/>
      </c>
      <c r="BC331">
        <f>$C331*BC330</f>
        <v/>
      </c>
      <c r="BD331">
        <f>$C331*BD330</f>
        <v/>
      </c>
      <c r="BE331">
        <f>$C331*BE330</f>
        <v/>
      </c>
      <c r="BF331">
        <f>$C331*BF330</f>
        <v/>
      </c>
      <c r="BG331">
        <f>$C331*BG330</f>
        <v/>
      </c>
      <c r="BH331">
        <f>$C331*BH330</f>
        <v/>
      </c>
      <c r="BI331">
        <f>$C331*BI330</f>
        <v/>
      </c>
      <c r="BJ331">
        <f>$C331*BJ330</f>
        <v/>
      </c>
      <c r="BK331">
        <f>$C331*BK330</f>
        <v/>
      </c>
      <c r="BL331">
        <f>$C331*BL330</f>
        <v/>
      </c>
      <c r="BM331">
        <f>$C331*BM330</f>
        <v/>
      </c>
      <c r="BN331">
        <f>$C331*BN330</f>
        <v/>
      </c>
      <c r="BO331">
        <f>$C331*BO330</f>
        <v/>
      </c>
      <c r="BP331">
        <f>$C331*BP330</f>
        <v/>
      </c>
      <c r="BQ331">
        <f>$C331*BQ330</f>
        <v/>
      </c>
      <c r="BR331">
        <f>$C331*BR330</f>
        <v/>
      </c>
      <c r="BS331">
        <f>$C331*BS330</f>
        <v/>
      </c>
      <c r="BT331">
        <f>$C331*BT330</f>
        <v/>
      </c>
      <c r="BU331">
        <f>$C331*BU330</f>
        <v/>
      </c>
      <c r="BV331">
        <f>$C331*BV330</f>
        <v/>
      </c>
      <c r="BW331">
        <f>$C331*BW330</f>
        <v/>
      </c>
      <c r="BX331">
        <f>$C331*BX330</f>
        <v/>
      </c>
      <c r="BY331">
        <f>$C331*BY330</f>
        <v/>
      </c>
      <c r="BZ331">
        <f>$C331*BZ330</f>
        <v/>
      </c>
      <c r="CA331">
        <f>$C331*CA330</f>
        <v/>
      </c>
      <c r="CB331">
        <f>$C331*CB330</f>
        <v/>
      </c>
      <c r="CC331">
        <f>$C331*CC330</f>
        <v/>
      </c>
      <c r="CD331">
        <f>$C331*CD330</f>
        <v/>
      </c>
      <c r="CE331">
        <f>$C331*CE330</f>
        <v/>
      </c>
      <c r="CF331">
        <f>$C331*CF330</f>
        <v/>
      </c>
      <c r="CG331">
        <f>$C331*CG330</f>
        <v/>
      </c>
      <c r="CH331">
        <f>$C331*CH330</f>
        <v/>
      </c>
      <c r="CI331">
        <f>$C331*CI330</f>
        <v/>
      </c>
      <c r="CJ331">
        <f>$C331*CJ330</f>
        <v/>
      </c>
      <c r="CK331">
        <f>$C331*CK330</f>
        <v/>
      </c>
      <c r="CL331">
        <f>$C331*CL330</f>
        <v/>
      </c>
      <c r="CM331">
        <f>$C331*CM330</f>
        <v/>
      </c>
      <c r="CN331">
        <f>$C331*CN330</f>
        <v/>
      </c>
      <c r="CO331">
        <f>$C331*CO330</f>
        <v/>
      </c>
      <c r="CP331">
        <f>$C331*CP330</f>
        <v/>
      </c>
      <c r="CQ331">
        <f>$C331*CQ330</f>
        <v/>
      </c>
      <c r="CR331">
        <f>$C331*CR330</f>
        <v/>
      </c>
      <c r="CS331">
        <f>$C331*CS330</f>
        <v/>
      </c>
      <c r="CT331">
        <f>$C331*CT330</f>
        <v/>
      </c>
      <c r="CU331">
        <f>$C331*CU330</f>
        <v/>
      </c>
      <c r="CV331">
        <f>$C331*CV330</f>
        <v/>
      </c>
      <c r="CW331">
        <f>$C331*CW330</f>
        <v/>
      </c>
      <c r="CX331">
        <f>$C331*CX330</f>
        <v/>
      </c>
      <c r="CY331">
        <f>$C331*CY330</f>
        <v/>
      </c>
      <c r="CZ331">
        <f>$C331*CZ330</f>
        <v/>
      </c>
      <c r="DA331">
        <f>$C331*DA330</f>
        <v/>
      </c>
      <c r="DB331">
        <f>$C331*DB330</f>
        <v/>
      </c>
      <c r="DC331">
        <f>$C331*DC330</f>
        <v/>
      </c>
    </row>
    <row r="332">
      <c r="B332" t="inlineStr">
        <is>
          <t>TSP-1558</t>
        </is>
      </c>
      <c r="C332" t="inlineStr">
        <is>
          <t>No. of batches</t>
        </is>
      </c>
      <c r="D332">
        <f>IFERROR(INDEX(PP_Grid[#Data],$DD332,2),0)</f>
        <v/>
      </c>
      <c r="E332">
        <f>IFERROR(INDEX(PP_Grid[#Data],$DD332,3),0)</f>
        <v/>
      </c>
      <c r="F332">
        <f>IFERROR(INDEX(PP_Grid[#Data],$DD332,4),0)</f>
        <v/>
      </c>
      <c r="G332">
        <f>IFERROR(INDEX(PP_Grid[#Data],$DD332,5),0)</f>
        <v/>
      </c>
      <c r="H332">
        <f>IFERROR(INDEX(PP_Grid[#Data],$DD332,6),0)</f>
        <v/>
      </c>
      <c r="I332">
        <f>IFERROR(INDEX(PP_Grid[#Data],$DD332,7),0)</f>
        <v/>
      </c>
      <c r="J332">
        <f>IFERROR(INDEX(PP_Grid[#Data],$DD332,8),0)</f>
        <v/>
      </c>
      <c r="K332">
        <f>IFERROR(INDEX(PP_Grid[#Data],$DD332,9),0)</f>
        <v/>
      </c>
      <c r="L332">
        <f>IFERROR(INDEX(PP_Grid[#Data],$DD332,10),0)</f>
        <v/>
      </c>
      <c r="M332">
        <f>IFERROR(INDEX(PP_Grid[#Data],$DD332,11),0)</f>
        <v/>
      </c>
      <c r="N332">
        <f>IFERROR(INDEX(PP_Grid[#Data],$DD332,12),0)</f>
        <v/>
      </c>
      <c r="O332">
        <f>IFERROR(INDEX(PP_Grid[#Data],$DD332,13),0)</f>
        <v/>
      </c>
      <c r="P332">
        <f>IFERROR(INDEX(PP_Grid[#Data],$DD332,14),0)</f>
        <v/>
      </c>
      <c r="Q332">
        <f>IFERROR(INDEX(PP_Grid[#Data],$DD332,15),0)</f>
        <v/>
      </c>
      <c r="R332">
        <f>IFERROR(INDEX(PP_Grid[#Data],$DD332,16),0)</f>
        <v/>
      </c>
      <c r="S332">
        <f>IFERROR(INDEX(PP_Grid[#Data],$DD332,17),0)</f>
        <v/>
      </c>
      <c r="T332">
        <f>IFERROR(INDEX(PP_Grid[#Data],$DD332,18),0)</f>
        <v/>
      </c>
      <c r="U332">
        <f>IFERROR(INDEX(PP_Grid[#Data],$DD332,19),0)</f>
        <v/>
      </c>
      <c r="V332">
        <f>IFERROR(INDEX(PP_Grid[#Data],$DD332,20),0)</f>
        <v/>
      </c>
      <c r="W332">
        <f>IFERROR(INDEX(PP_Grid[#Data],$DD332,21),0)</f>
        <v/>
      </c>
      <c r="X332">
        <f>IFERROR(INDEX(PP_Grid[#Data],$DD332,22),0)</f>
        <v/>
      </c>
      <c r="Y332">
        <f>IFERROR(INDEX(PP_Grid[#Data],$DD332,23),0)</f>
        <v/>
      </c>
      <c r="Z332">
        <f>IFERROR(INDEX(PP_Grid[#Data],$DD332,24),0)</f>
        <v/>
      </c>
      <c r="AA332">
        <f>IFERROR(INDEX(PP_Grid[#Data],$DD332,25),0)</f>
        <v/>
      </c>
      <c r="AB332">
        <f>IFERROR(INDEX(PP_Grid[#Data],$DD332,26),0)</f>
        <v/>
      </c>
      <c r="AC332">
        <f>IFERROR(INDEX(PP_Grid[#Data],$DD332,27),0)</f>
        <v/>
      </c>
      <c r="AD332">
        <f>IFERROR(INDEX(PP_Grid[#Data],$DD332,28),0)</f>
        <v/>
      </c>
      <c r="AE332">
        <f>IFERROR(INDEX(PP_Grid[#Data],$DD332,29),0)</f>
        <v/>
      </c>
      <c r="AF332">
        <f>IFERROR(INDEX(PP_Grid[#Data],$DD332,30),0)</f>
        <v/>
      </c>
      <c r="AG332">
        <f>IFERROR(INDEX(PP_Grid[#Data],$DD332,31),0)</f>
        <v/>
      </c>
      <c r="AH332">
        <f>IFERROR(INDEX(PP_Grid[#Data],$DD332,32),0)</f>
        <v/>
      </c>
      <c r="AI332">
        <f>IFERROR(INDEX(PP_Grid[#Data],$DD332,33),0)</f>
        <v/>
      </c>
      <c r="AJ332">
        <f>IFERROR(INDEX(PP_Grid[#Data],$DD332,34),0)</f>
        <v/>
      </c>
      <c r="AK332">
        <f>IFERROR(INDEX(PP_Grid[#Data],$DD332,35),0)</f>
        <v/>
      </c>
      <c r="AL332">
        <f>IFERROR(INDEX(PP_Grid[#Data],$DD332,36),0)</f>
        <v/>
      </c>
      <c r="AM332">
        <f>IFERROR(INDEX(PP_Grid[#Data],$DD332,37),0)</f>
        <v/>
      </c>
      <c r="AN332">
        <f>IFERROR(INDEX(PP_Grid[#Data],$DD332,38),0)</f>
        <v/>
      </c>
      <c r="AO332">
        <f>IFERROR(INDEX(PP_Grid[#Data],$DD332,39),0)</f>
        <v/>
      </c>
      <c r="AP332">
        <f>IFERROR(INDEX(PP_Grid[#Data],$DD332,40),0)</f>
        <v/>
      </c>
      <c r="AQ332">
        <f>IFERROR(INDEX(PP_Grid[#Data],$DD332,41),0)</f>
        <v/>
      </c>
      <c r="AR332">
        <f>IFERROR(INDEX(PP_Grid[#Data],$DD332,42),0)</f>
        <v/>
      </c>
      <c r="AS332">
        <f>IFERROR(INDEX(PP_Grid[#Data],$DD332,43),0)</f>
        <v/>
      </c>
      <c r="AT332">
        <f>IFERROR(INDEX(PP_Grid[#Data],$DD332,44),0)</f>
        <v/>
      </c>
      <c r="AU332">
        <f>IFERROR(INDEX(PP_Grid[#Data],$DD332,45),0)</f>
        <v/>
      </c>
      <c r="AV332">
        <f>IFERROR(INDEX(PP_Grid[#Data],$DD332,46),0)</f>
        <v/>
      </c>
      <c r="AW332">
        <f>IFERROR(INDEX(PP_Grid[#Data],$DD332,47),0)</f>
        <v/>
      </c>
      <c r="AX332">
        <f>IFERROR(INDEX(PP_Grid[#Data],$DD332,48),0)</f>
        <v/>
      </c>
      <c r="AY332">
        <f>IFERROR(INDEX(PP_Grid[#Data],$DD332,49),0)</f>
        <v/>
      </c>
      <c r="AZ332">
        <f>IFERROR(INDEX(PP_Grid[#Data],$DD332,50),0)</f>
        <v/>
      </c>
      <c r="BA332">
        <f>IFERROR(INDEX(PP_Grid[#Data],$DD332,51),0)</f>
        <v/>
      </c>
      <c r="BB332">
        <f>IFERROR(INDEX(PP_Grid[#Data],$DD332,52),0)</f>
        <v/>
      </c>
      <c r="BC332">
        <f>IFERROR(INDEX(PP_Grid[#Data],$DD332,53),0)</f>
        <v/>
      </c>
      <c r="BD332">
        <f>IFERROR(INDEX(PP_Grid[#Data],$DD332,54),0)</f>
        <v/>
      </c>
      <c r="BE332">
        <f>IFERROR(INDEX(PP_Grid[#Data],$DD332,55),0)</f>
        <v/>
      </c>
      <c r="BF332">
        <f>IFERROR(INDEX(PP_Grid[#Data],$DD332,56),0)</f>
        <v/>
      </c>
      <c r="BG332">
        <f>IFERROR(INDEX(PP_Grid[#Data],$DD332,57),0)</f>
        <v/>
      </c>
      <c r="BH332">
        <f>IFERROR(INDEX(PP_Grid[#Data],$DD332,58),0)</f>
        <v/>
      </c>
      <c r="BI332">
        <f>IFERROR(INDEX(PP_Grid[#Data],$DD332,59),0)</f>
        <v/>
      </c>
      <c r="BJ332">
        <f>IFERROR(INDEX(PP_Grid[#Data],$DD332,60),0)</f>
        <v/>
      </c>
      <c r="BK332">
        <f>IFERROR(INDEX(PP_Grid[#Data],$DD332,61),0)</f>
        <v/>
      </c>
      <c r="BL332">
        <f>IFERROR(INDEX(PP_Grid[#Data],$DD332,62),0)</f>
        <v/>
      </c>
      <c r="BM332">
        <f>IFERROR(INDEX(PP_Grid[#Data],$DD332,63),0)</f>
        <v/>
      </c>
      <c r="BN332">
        <f>IFERROR(INDEX(PP_Grid[#Data],$DD332,64),0)</f>
        <v/>
      </c>
      <c r="BO332">
        <f>IFERROR(INDEX(PP_Grid[#Data],$DD332,65),0)</f>
        <v/>
      </c>
      <c r="BP332">
        <f>IFERROR(INDEX(PP_Grid[#Data],$DD332,66),0)</f>
        <v/>
      </c>
      <c r="BQ332">
        <f>IFERROR(INDEX(PP_Grid[#Data],$DD332,67),0)</f>
        <v/>
      </c>
      <c r="BR332">
        <f>IFERROR(INDEX(PP_Grid[#Data],$DD332,68),0)</f>
        <v/>
      </c>
      <c r="BS332">
        <f>IFERROR(INDEX(PP_Grid[#Data],$DD332,69),0)</f>
        <v/>
      </c>
      <c r="BT332">
        <f>IFERROR(INDEX(PP_Grid[#Data],$DD332,70),0)</f>
        <v/>
      </c>
      <c r="BU332">
        <f>IFERROR(INDEX(PP_Grid[#Data],$DD332,71),0)</f>
        <v/>
      </c>
      <c r="BV332">
        <f>IFERROR(INDEX(PP_Grid[#Data],$DD332,72),0)</f>
        <v/>
      </c>
      <c r="BW332">
        <f>IFERROR(INDEX(PP_Grid[#Data],$DD332,73),0)</f>
        <v/>
      </c>
      <c r="BX332">
        <f>IFERROR(INDEX(PP_Grid[#Data],$DD332,74),0)</f>
        <v/>
      </c>
      <c r="BY332">
        <f>IFERROR(INDEX(PP_Grid[#Data],$DD332,75),0)</f>
        <v/>
      </c>
      <c r="BZ332">
        <f>IFERROR(INDEX(PP_Grid[#Data],$DD332,76),0)</f>
        <v/>
      </c>
      <c r="CA332">
        <f>IFERROR(INDEX(PP_Grid[#Data],$DD332,77),0)</f>
        <v/>
      </c>
      <c r="CB332">
        <f>IFERROR(INDEX(PP_Grid[#Data],$DD332,78),0)</f>
        <v/>
      </c>
      <c r="CC332">
        <f>IFERROR(INDEX(PP_Grid[#Data],$DD332,79),0)</f>
        <v/>
      </c>
      <c r="CD332">
        <f>IFERROR(INDEX(PP_Grid[#Data],$DD332,80),0)</f>
        <v/>
      </c>
      <c r="CE332">
        <f>IFERROR(INDEX(PP_Grid[#Data],$DD332,81),0)</f>
        <v/>
      </c>
      <c r="CF332">
        <f>IFERROR(INDEX(PP_Grid[#Data],$DD332,82),0)</f>
        <v/>
      </c>
      <c r="CG332">
        <f>IFERROR(INDEX(PP_Grid[#Data],$DD332,83),0)</f>
        <v/>
      </c>
      <c r="CH332">
        <f>IFERROR(INDEX(PP_Grid[#Data],$DD332,84),0)</f>
        <v/>
      </c>
      <c r="CI332">
        <f>IFERROR(INDEX(PP_Grid[#Data],$DD332,85),0)</f>
        <v/>
      </c>
      <c r="CJ332">
        <f>IFERROR(INDEX(PP_Grid[#Data],$DD332,86),0)</f>
        <v/>
      </c>
      <c r="CK332">
        <f>IFERROR(INDEX(PP_Grid[#Data],$DD332,87),0)</f>
        <v/>
      </c>
      <c r="CL332">
        <f>IFERROR(INDEX(PP_Grid[#Data],$DD332,88),0)</f>
        <v/>
      </c>
      <c r="CM332">
        <f>IFERROR(INDEX(PP_Grid[#Data],$DD332,89),0)</f>
        <v/>
      </c>
      <c r="CN332">
        <f>IFERROR(INDEX(PP_Grid[#Data],$DD332,90),0)</f>
        <v/>
      </c>
      <c r="CO332">
        <f>IFERROR(INDEX(PP_Grid[#Data],$DD332,91),0)</f>
        <v/>
      </c>
      <c r="CP332">
        <f>IFERROR(INDEX(PP_Grid[#Data],$DD332,92),0)</f>
        <v/>
      </c>
      <c r="CQ332">
        <f>IFERROR(INDEX(PP_Grid[#Data],$DD332,93),0)</f>
        <v/>
      </c>
      <c r="CR332">
        <f>IFERROR(INDEX(PP_Grid[#Data],$DD332,94),0)</f>
        <v/>
      </c>
      <c r="CS332">
        <f>IFERROR(INDEX(PP_Grid[#Data],$DD332,95),0)</f>
        <v/>
      </c>
      <c r="CT332">
        <f>IFERROR(INDEX(PP_Grid[#Data],$DD332,96),0)</f>
        <v/>
      </c>
      <c r="CU332">
        <f>IFERROR(INDEX(PP_Grid[#Data],$DD332,97),0)</f>
        <v/>
      </c>
      <c r="CV332">
        <f>IFERROR(INDEX(PP_Grid[#Data],$DD332,98),0)</f>
        <v/>
      </c>
      <c r="CW332">
        <f>IFERROR(INDEX(PP_Grid[#Data],$DD332,99),0)</f>
        <v/>
      </c>
      <c r="CX332">
        <f>IFERROR(INDEX(PP_Grid[#Data],$DD332,100),0)</f>
        <v/>
      </c>
      <c r="CY332">
        <f>IFERROR(INDEX(PP_Grid[#Data],$DD332,101),0)</f>
        <v/>
      </c>
      <c r="CZ332">
        <f>IFERROR(INDEX(PP_Grid[#Data],$DD332,102),0)</f>
        <v/>
      </c>
      <c r="DA332">
        <f>IFERROR(INDEX(PP_Grid[#Data],$DD332,103),0)</f>
        <v/>
      </c>
      <c r="DB332">
        <f>IFERROR(INDEX(PP_Grid[#Data],$DD332,104),0)</f>
        <v/>
      </c>
      <c r="DC332">
        <f>IFERROR(INDEX(PP_Grid[#Data],$DD332,105),0)</f>
        <v/>
      </c>
      <c r="DD332" s="7">
        <f>IFERROR(MATCH($B332,PP_Grid[Intermediate],0),99999)</f>
        <v/>
      </c>
    </row>
    <row r="333">
      <c r="B333" t="inlineStr">
        <is>
          <t>使用量(kg)</t>
        </is>
      </c>
      <c r="C333">
        <f>SUMIFS(M_BOM[RM_Qty_Per_Batch],M_BOM[Intermediate],$B332,M_BOM[Part Name],$A219)</f>
        <v/>
      </c>
      <c r="D333">
        <f>$C333*D332</f>
        <v/>
      </c>
      <c r="E333">
        <f>$C333*E332</f>
        <v/>
      </c>
      <c r="F333">
        <f>$C333*F332</f>
        <v/>
      </c>
      <c r="G333">
        <f>$C333*G332</f>
        <v/>
      </c>
      <c r="H333">
        <f>$C333*H332</f>
        <v/>
      </c>
      <c r="I333">
        <f>$C333*I332</f>
        <v/>
      </c>
      <c r="J333">
        <f>$C333*J332</f>
        <v/>
      </c>
      <c r="K333">
        <f>$C333*K332</f>
        <v/>
      </c>
      <c r="L333">
        <f>$C333*L332</f>
        <v/>
      </c>
      <c r="M333">
        <f>$C333*M332</f>
        <v/>
      </c>
      <c r="N333">
        <f>$C333*N332</f>
        <v/>
      </c>
      <c r="O333">
        <f>$C333*O332</f>
        <v/>
      </c>
      <c r="P333">
        <f>$C333*P332</f>
        <v/>
      </c>
      <c r="Q333">
        <f>$C333*Q332</f>
        <v/>
      </c>
      <c r="R333">
        <f>$C333*R332</f>
        <v/>
      </c>
      <c r="S333">
        <f>$C333*S332</f>
        <v/>
      </c>
      <c r="T333">
        <f>$C333*T332</f>
        <v/>
      </c>
      <c r="U333">
        <f>$C333*U332</f>
        <v/>
      </c>
      <c r="V333">
        <f>$C333*V332</f>
        <v/>
      </c>
      <c r="W333">
        <f>$C333*W332</f>
        <v/>
      </c>
      <c r="X333">
        <f>$C333*X332</f>
        <v/>
      </c>
      <c r="Y333">
        <f>$C333*Y332</f>
        <v/>
      </c>
      <c r="Z333">
        <f>$C333*Z332</f>
        <v/>
      </c>
      <c r="AA333">
        <f>$C333*AA332</f>
        <v/>
      </c>
      <c r="AB333">
        <f>$C333*AB332</f>
        <v/>
      </c>
      <c r="AC333">
        <f>$C333*AC332</f>
        <v/>
      </c>
      <c r="AD333">
        <f>$C333*AD332</f>
        <v/>
      </c>
      <c r="AE333">
        <f>$C333*AE332</f>
        <v/>
      </c>
      <c r="AF333">
        <f>$C333*AF332</f>
        <v/>
      </c>
      <c r="AG333">
        <f>$C333*AG332</f>
        <v/>
      </c>
      <c r="AH333">
        <f>$C333*AH332</f>
        <v/>
      </c>
      <c r="AI333">
        <f>$C333*AI332</f>
        <v/>
      </c>
      <c r="AJ333">
        <f>$C333*AJ332</f>
        <v/>
      </c>
      <c r="AK333">
        <f>$C333*AK332</f>
        <v/>
      </c>
      <c r="AL333">
        <f>$C333*AL332</f>
        <v/>
      </c>
      <c r="AM333">
        <f>$C333*AM332</f>
        <v/>
      </c>
      <c r="AN333">
        <f>$C333*AN332</f>
        <v/>
      </c>
      <c r="AO333">
        <f>$C333*AO332</f>
        <v/>
      </c>
      <c r="AP333">
        <f>$C333*AP332</f>
        <v/>
      </c>
      <c r="AQ333">
        <f>$C333*AQ332</f>
        <v/>
      </c>
      <c r="AR333">
        <f>$C333*AR332</f>
        <v/>
      </c>
      <c r="AS333">
        <f>$C333*AS332</f>
        <v/>
      </c>
      <c r="AT333">
        <f>$C333*AT332</f>
        <v/>
      </c>
      <c r="AU333">
        <f>$C333*AU332</f>
        <v/>
      </c>
      <c r="AV333">
        <f>$C333*AV332</f>
        <v/>
      </c>
      <c r="AW333">
        <f>$C333*AW332</f>
        <v/>
      </c>
      <c r="AX333">
        <f>$C333*AX332</f>
        <v/>
      </c>
      <c r="AY333">
        <f>$C333*AY332</f>
        <v/>
      </c>
      <c r="AZ333">
        <f>$C333*AZ332</f>
        <v/>
      </c>
      <c r="BA333">
        <f>$C333*BA332</f>
        <v/>
      </c>
      <c r="BB333">
        <f>$C333*BB332</f>
        <v/>
      </c>
      <c r="BC333">
        <f>$C333*BC332</f>
        <v/>
      </c>
      <c r="BD333">
        <f>$C333*BD332</f>
        <v/>
      </c>
      <c r="BE333">
        <f>$C333*BE332</f>
        <v/>
      </c>
      <c r="BF333">
        <f>$C333*BF332</f>
        <v/>
      </c>
      <c r="BG333">
        <f>$C333*BG332</f>
        <v/>
      </c>
      <c r="BH333">
        <f>$C333*BH332</f>
        <v/>
      </c>
      <c r="BI333">
        <f>$C333*BI332</f>
        <v/>
      </c>
      <c r="BJ333">
        <f>$C333*BJ332</f>
        <v/>
      </c>
      <c r="BK333">
        <f>$C333*BK332</f>
        <v/>
      </c>
      <c r="BL333">
        <f>$C333*BL332</f>
        <v/>
      </c>
      <c r="BM333">
        <f>$C333*BM332</f>
        <v/>
      </c>
      <c r="BN333">
        <f>$C333*BN332</f>
        <v/>
      </c>
      <c r="BO333">
        <f>$C333*BO332</f>
        <v/>
      </c>
      <c r="BP333">
        <f>$C333*BP332</f>
        <v/>
      </c>
      <c r="BQ333">
        <f>$C333*BQ332</f>
        <v/>
      </c>
      <c r="BR333">
        <f>$C333*BR332</f>
        <v/>
      </c>
      <c r="BS333">
        <f>$C333*BS332</f>
        <v/>
      </c>
      <c r="BT333">
        <f>$C333*BT332</f>
        <v/>
      </c>
      <c r="BU333">
        <f>$C333*BU332</f>
        <v/>
      </c>
      <c r="BV333">
        <f>$C333*BV332</f>
        <v/>
      </c>
      <c r="BW333">
        <f>$C333*BW332</f>
        <v/>
      </c>
      <c r="BX333">
        <f>$C333*BX332</f>
        <v/>
      </c>
      <c r="BY333">
        <f>$C333*BY332</f>
        <v/>
      </c>
      <c r="BZ333">
        <f>$C333*BZ332</f>
        <v/>
      </c>
      <c r="CA333">
        <f>$C333*CA332</f>
        <v/>
      </c>
      <c r="CB333">
        <f>$C333*CB332</f>
        <v/>
      </c>
      <c r="CC333">
        <f>$C333*CC332</f>
        <v/>
      </c>
      <c r="CD333">
        <f>$C333*CD332</f>
        <v/>
      </c>
      <c r="CE333">
        <f>$C333*CE332</f>
        <v/>
      </c>
      <c r="CF333">
        <f>$C333*CF332</f>
        <v/>
      </c>
      <c r="CG333">
        <f>$C333*CG332</f>
        <v/>
      </c>
      <c r="CH333">
        <f>$C333*CH332</f>
        <v/>
      </c>
      <c r="CI333">
        <f>$C333*CI332</f>
        <v/>
      </c>
      <c r="CJ333">
        <f>$C333*CJ332</f>
        <v/>
      </c>
      <c r="CK333">
        <f>$C333*CK332</f>
        <v/>
      </c>
      <c r="CL333">
        <f>$C333*CL332</f>
        <v/>
      </c>
      <c r="CM333">
        <f>$C333*CM332</f>
        <v/>
      </c>
      <c r="CN333">
        <f>$C333*CN332</f>
        <v/>
      </c>
      <c r="CO333">
        <f>$C333*CO332</f>
        <v/>
      </c>
      <c r="CP333">
        <f>$C333*CP332</f>
        <v/>
      </c>
      <c r="CQ333">
        <f>$C333*CQ332</f>
        <v/>
      </c>
      <c r="CR333">
        <f>$C333*CR332</f>
        <v/>
      </c>
      <c r="CS333">
        <f>$C333*CS332</f>
        <v/>
      </c>
      <c r="CT333">
        <f>$C333*CT332</f>
        <v/>
      </c>
      <c r="CU333">
        <f>$C333*CU332</f>
        <v/>
      </c>
      <c r="CV333">
        <f>$C333*CV332</f>
        <v/>
      </c>
      <c r="CW333">
        <f>$C333*CW332</f>
        <v/>
      </c>
      <c r="CX333">
        <f>$C333*CX332</f>
        <v/>
      </c>
      <c r="CY333">
        <f>$C333*CY332</f>
        <v/>
      </c>
      <c r="CZ333">
        <f>$C333*CZ332</f>
        <v/>
      </c>
      <c r="DA333">
        <f>$C333*DA332</f>
        <v/>
      </c>
      <c r="DB333">
        <f>$C333*DB332</f>
        <v/>
      </c>
      <c r="DC333">
        <f>$C333*DC332</f>
        <v/>
      </c>
    </row>
    <row r="334">
      <c r="B334" s="4" t="inlineStr">
        <is>
          <t>合計使用量(kg)/週</t>
        </is>
      </c>
      <c r="D334">
        <f>'Grid_Requirement'!B10</f>
        <v/>
      </c>
      <c r="E334">
        <f>'Grid_Requirement'!C10</f>
        <v/>
      </c>
      <c r="F334">
        <f>'Grid_Requirement'!D10</f>
        <v/>
      </c>
      <c r="G334">
        <f>'Grid_Requirement'!E10</f>
        <v/>
      </c>
      <c r="H334">
        <f>'Grid_Requirement'!F10</f>
        <v/>
      </c>
      <c r="I334">
        <f>'Grid_Requirement'!G10</f>
        <v/>
      </c>
      <c r="J334">
        <f>'Grid_Requirement'!H10</f>
        <v/>
      </c>
      <c r="K334">
        <f>'Grid_Requirement'!I10</f>
        <v/>
      </c>
      <c r="L334">
        <f>'Grid_Requirement'!J10</f>
        <v/>
      </c>
      <c r="M334">
        <f>'Grid_Requirement'!K10</f>
        <v/>
      </c>
      <c r="N334">
        <f>'Grid_Requirement'!L10</f>
        <v/>
      </c>
      <c r="O334">
        <f>'Grid_Requirement'!M10</f>
        <v/>
      </c>
      <c r="P334">
        <f>'Grid_Requirement'!N10</f>
        <v/>
      </c>
      <c r="Q334">
        <f>'Grid_Requirement'!O10</f>
        <v/>
      </c>
      <c r="R334">
        <f>'Grid_Requirement'!P10</f>
        <v/>
      </c>
      <c r="S334">
        <f>'Grid_Requirement'!Q10</f>
        <v/>
      </c>
      <c r="T334">
        <f>'Grid_Requirement'!R10</f>
        <v/>
      </c>
      <c r="U334">
        <f>'Grid_Requirement'!S10</f>
        <v/>
      </c>
      <c r="V334">
        <f>'Grid_Requirement'!T10</f>
        <v/>
      </c>
      <c r="W334">
        <f>'Grid_Requirement'!U10</f>
        <v/>
      </c>
      <c r="X334">
        <f>'Grid_Requirement'!V10</f>
        <v/>
      </c>
      <c r="Y334">
        <f>'Grid_Requirement'!W10</f>
        <v/>
      </c>
      <c r="Z334">
        <f>'Grid_Requirement'!X10</f>
        <v/>
      </c>
      <c r="AA334">
        <f>'Grid_Requirement'!Y10</f>
        <v/>
      </c>
      <c r="AB334">
        <f>'Grid_Requirement'!Z10</f>
        <v/>
      </c>
      <c r="AC334">
        <f>'Grid_Requirement'!AA10</f>
        <v/>
      </c>
      <c r="AD334">
        <f>'Grid_Requirement'!AB10</f>
        <v/>
      </c>
      <c r="AE334">
        <f>'Grid_Requirement'!AC10</f>
        <v/>
      </c>
      <c r="AF334">
        <f>'Grid_Requirement'!AD10</f>
        <v/>
      </c>
      <c r="AG334">
        <f>'Grid_Requirement'!AE10</f>
        <v/>
      </c>
      <c r="AH334">
        <f>'Grid_Requirement'!AF10</f>
        <v/>
      </c>
      <c r="AI334">
        <f>'Grid_Requirement'!AG10</f>
        <v/>
      </c>
      <c r="AJ334">
        <f>'Grid_Requirement'!AH10</f>
        <v/>
      </c>
      <c r="AK334">
        <f>'Grid_Requirement'!AI10</f>
        <v/>
      </c>
      <c r="AL334">
        <f>'Grid_Requirement'!AJ10</f>
        <v/>
      </c>
      <c r="AM334">
        <f>'Grid_Requirement'!AK10</f>
        <v/>
      </c>
      <c r="AN334">
        <f>'Grid_Requirement'!AL10</f>
        <v/>
      </c>
      <c r="AO334">
        <f>'Grid_Requirement'!AM10</f>
        <v/>
      </c>
      <c r="AP334">
        <f>'Grid_Requirement'!AN10</f>
        <v/>
      </c>
      <c r="AQ334">
        <f>'Grid_Requirement'!AO10</f>
        <v/>
      </c>
      <c r="AR334">
        <f>'Grid_Requirement'!AP10</f>
        <v/>
      </c>
      <c r="AS334">
        <f>'Grid_Requirement'!AQ10</f>
        <v/>
      </c>
      <c r="AT334">
        <f>'Grid_Requirement'!AR10</f>
        <v/>
      </c>
      <c r="AU334">
        <f>'Grid_Requirement'!AS10</f>
        <v/>
      </c>
      <c r="AV334">
        <f>'Grid_Requirement'!AT10</f>
        <v/>
      </c>
      <c r="AW334">
        <f>'Grid_Requirement'!AU10</f>
        <v/>
      </c>
      <c r="AX334">
        <f>'Grid_Requirement'!AV10</f>
        <v/>
      </c>
      <c r="AY334">
        <f>'Grid_Requirement'!AW10</f>
        <v/>
      </c>
      <c r="AZ334">
        <f>'Grid_Requirement'!AX10</f>
        <v/>
      </c>
      <c r="BA334">
        <f>'Grid_Requirement'!AY10</f>
        <v/>
      </c>
      <c r="BB334">
        <f>'Grid_Requirement'!AZ10</f>
        <v/>
      </c>
      <c r="BC334">
        <f>'Grid_Requirement'!BA10</f>
        <v/>
      </c>
      <c r="BD334">
        <f>'Grid_Requirement'!BB10</f>
        <v/>
      </c>
      <c r="BE334">
        <f>'Grid_Requirement'!BC10</f>
        <v/>
      </c>
      <c r="BF334">
        <f>'Grid_Requirement'!BD10</f>
        <v/>
      </c>
      <c r="BG334">
        <f>'Grid_Requirement'!BE10</f>
        <v/>
      </c>
      <c r="BH334">
        <f>'Grid_Requirement'!BF10</f>
        <v/>
      </c>
      <c r="BI334">
        <f>'Grid_Requirement'!BG10</f>
        <v/>
      </c>
      <c r="BJ334">
        <f>'Grid_Requirement'!BH10</f>
        <v/>
      </c>
      <c r="BK334">
        <f>'Grid_Requirement'!BI10</f>
        <v/>
      </c>
      <c r="BL334">
        <f>'Grid_Requirement'!BJ10</f>
        <v/>
      </c>
      <c r="BM334">
        <f>'Grid_Requirement'!BK10</f>
        <v/>
      </c>
      <c r="BN334">
        <f>'Grid_Requirement'!BL10</f>
        <v/>
      </c>
      <c r="BO334">
        <f>'Grid_Requirement'!BM10</f>
        <v/>
      </c>
      <c r="BP334">
        <f>'Grid_Requirement'!BN10</f>
        <v/>
      </c>
      <c r="BQ334">
        <f>'Grid_Requirement'!BO10</f>
        <v/>
      </c>
      <c r="BR334">
        <f>'Grid_Requirement'!BP10</f>
        <v/>
      </c>
      <c r="BS334">
        <f>'Grid_Requirement'!BQ10</f>
        <v/>
      </c>
      <c r="BT334">
        <f>'Grid_Requirement'!BR10</f>
        <v/>
      </c>
      <c r="BU334">
        <f>'Grid_Requirement'!BS10</f>
        <v/>
      </c>
      <c r="BV334">
        <f>'Grid_Requirement'!BT10</f>
        <v/>
      </c>
      <c r="BW334">
        <f>'Grid_Requirement'!BU10</f>
        <v/>
      </c>
      <c r="BX334">
        <f>'Grid_Requirement'!BV10</f>
        <v/>
      </c>
      <c r="BY334">
        <f>'Grid_Requirement'!BW10</f>
        <v/>
      </c>
      <c r="BZ334">
        <f>'Grid_Requirement'!BX10</f>
        <v/>
      </c>
      <c r="CA334">
        <f>'Grid_Requirement'!BY10</f>
        <v/>
      </c>
      <c r="CB334">
        <f>'Grid_Requirement'!BZ10</f>
        <v/>
      </c>
      <c r="CC334">
        <f>'Grid_Requirement'!CA10</f>
        <v/>
      </c>
      <c r="CD334">
        <f>'Grid_Requirement'!CB10</f>
        <v/>
      </c>
      <c r="CE334">
        <f>'Grid_Requirement'!CC10</f>
        <v/>
      </c>
      <c r="CF334">
        <f>'Grid_Requirement'!CD10</f>
        <v/>
      </c>
      <c r="CG334">
        <f>'Grid_Requirement'!CE10</f>
        <v/>
      </c>
      <c r="CH334">
        <f>'Grid_Requirement'!CF10</f>
        <v/>
      </c>
      <c r="CI334">
        <f>'Grid_Requirement'!CG10</f>
        <v/>
      </c>
      <c r="CJ334">
        <f>'Grid_Requirement'!CH10</f>
        <v/>
      </c>
      <c r="CK334">
        <f>'Grid_Requirement'!CI10</f>
        <v/>
      </c>
      <c r="CL334">
        <f>'Grid_Requirement'!CJ10</f>
        <v/>
      </c>
      <c r="CM334">
        <f>'Grid_Requirement'!CK10</f>
        <v/>
      </c>
      <c r="CN334">
        <f>'Grid_Requirement'!CL10</f>
        <v/>
      </c>
      <c r="CO334">
        <f>'Grid_Requirement'!CM10</f>
        <v/>
      </c>
      <c r="CP334">
        <f>'Grid_Requirement'!CN10</f>
        <v/>
      </c>
      <c r="CQ334">
        <f>'Grid_Requirement'!CO10</f>
        <v/>
      </c>
      <c r="CR334">
        <f>'Grid_Requirement'!CP10</f>
        <v/>
      </c>
      <c r="CS334">
        <f>'Grid_Requirement'!CQ10</f>
        <v/>
      </c>
      <c r="CT334">
        <f>'Grid_Requirement'!CR10</f>
        <v/>
      </c>
      <c r="CU334">
        <f>'Grid_Requirement'!CS10</f>
        <v/>
      </c>
      <c r="CV334">
        <f>'Grid_Requirement'!CT10</f>
        <v/>
      </c>
      <c r="CW334">
        <f>'Grid_Requirement'!CU10</f>
        <v/>
      </c>
      <c r="CX334">
        <f>'Grid_Requirement'!CV10</f>
        <v/>
      </c>
      <c r="CY334">
        <f>'Grid_Requirement'!CW10</f>
        <v/>
      </c>
      <c r="CZ334">
        <f>'Grid_Requirement'!CX10</f>
        <v/>
      </c>
      <c r="DA334">
        <f>'Grid_Requirement'!CY10</f>
        <v/>
      </c>
      <c r="DB334">
        <f>'Grid_Requirement'!CZ10</f>
        <v/>
      </c>
      <c r="DC334">
        <f>'Grid_Requirement'!DA10</f>
        <v/>
      </c>
    </row>
    <row r="335">
      <c r="B335" t="inlineStr">
        <is>
          <t>TTAF在庫(実績,kg)</t>
        </is>
      </c>
      <c r="D335">
        <f>'T_TTAFStock'!B14</f>
        <v/>
      </c>
      <c r="E335">
        <f>'T_TTAFStock'!C14</f>
        <v/>
      </c>
      <c r="F335">
        <f>'T_TTAFStock'!D14</f>
        <v/>
      </c>
      <c r="G335">
        <f>'T_TTAFStock'!E14</f>
        <v/>
      </c>
      <c r="H335">
        <f>'T_TTAFStock'!F14</f>
        <v/>
      </c>
      <c r="I335">
        <f>'T_TTAFStock'!G14</f>
        <v/>
      </c>
      <c r="J335">
        <f>'T_TTAFStock'!H14</f>
        <v/>
      </c>
      <c r="K335">
        <f>'T_TTAFStock'!I14</f>
        <v/>
      </c>
      <c r="L335">
        <f>'T_TTAFStock'!J14</f>
        <v/>
      </c>
      <c r="M335">
        <f>'T_TTAFStock'!K14</f>
        <v/>
      </c>
      <c r="N335">
        <f>'T_TTAFStock'!L14</f>
        <v/>
      </c>
      <c r="O335">
        <f>'T_TTAFStock'!M14</f>
        <v/>
      </c>
      <c r="P335">
        <f>'T_TTAFStock'!N14</f>
        <v/>
      </c>
      <c r="Q335">
        <f>'T_TTAFStock'!O14</f>
        <v/>
      </c>
      <c r="R335">
        <f>'T_TTAFStock'!P14</f>
        <v/>
      </c>
      <c r="S335">
        <f>'T_TTAFStock'!Q14</f>
        <v/>
      </c>
      <c r="T335">
        <f>'T_TTAFStock'!R14</f>
        <v/>
      </c>
      <c r="U335">
        <f>'T_TTAFStock'!S14</f>
        <v/>
      </c>
      <c r="V335">
        <f>'T_TTAFStock'!T14</f>
        <v/>
      </c>
      <c r="W335">
        <f>'T_TTAFStock'!U14</f>
        <v/>
      </c>
      <c r="X335">
        <f>'T_TTAFStock'!V14</f>
        <v/>
      </c>
      <c r="Y335">
        <f>'T_TTAFStock'!W14</f>
        <v/>
      </c>
      <c r="Z335">
        <f>'T_TTAFStock'!X14</f>
        <v/>
      </c>
      <c r="AA335">
        <f>'T_TTAFStock'!Y14</f>
        <v/>
      </c>
      <c r="AB335">
        <f>'T_TTAFStock'!Z14</f>
        <v/>
      </c>
      <c r="AC335">
        <f>'T_TTAFStock'!AA14</f>
        <v/>
      </c>
      <c r="AD335">
        <f>'T_TTAFStock'!AB14</f>
        <v/>
      </c>
      <c r="AE335">
        <f>'T_TTAFStock'!AC14</f>
        <v/>
      </c>
      <c r="AF335">
        <f>'T_TTAFStock'!AD14</f>
        <v/>
      </c>
      <c r="AG335">
        <f>'T_TTAFStock'!AE14</f>
        <v/>
      </c>
      <c r="AH335">
        <f>'T_TTAFStock'!AF14</f>
        <v/>
      </c>
      <c r="AI335">
        <f>'T_TTAFStock'!AG14</f>
        <v/>
      </c>
      <c r="AJ335">
        <f>'T_TTAFStock'!AH14</f>
        <v/>
      </c>
      <c r="AK335">
        <f>'T_TTAFStock'!AI14</f>
        <v/>
      </c>
      <c r="AL335">
        <f>'T_TTAFStock'!AJ14</f>
        <v/>
      </c>
      <c r="AM335">
        <f>'T_TTAFStock'!AK14</f>
        <v/>
      </c>
      <c r="AN335">
        <f>'T_TTAFStock'!AL14</f>
        <v/>
      </c>
      <c r="AO335">
        <f>'T_TTAFStock'!AM14</f>
        <v/>
      </c>
      <c r="AP335">
        <f>'T_TTAFStock'!AN14</f>
        <v/>
      </c>
      <c r="AQ335">
        <f>'T_TTAFStock'!AO14</f>
        <v/>
      </c>
      <c r="AR335">
        <f>'T_TTAFStock'!AP14</f>
        <v/>
      </c>
      <c r="AS335">
        <f>'T_TTAFStock'!AQ14</f>
        <v/>
      </c>
      <c r="AT335">
        <f>'T_TTAFStock'!AR14</f>
        <v/>
      </c>
      <c r="AU335">
        <f>'T_TTAFStock'!AS14</f>
        <v/>
      </c>
      <c r="AV335">
        <f>'T_TTAFStock'!AT14</f>
        <v/>
      </c>
      <c r="AW335">
        <f>'T_TTAFStock'!AU14</f>
        <v/>
      </c>
      <c r="AX335">
        <f>'T_TTAFStock'!AV14</f>
        <v/>
      </c>
      <c r="AY335">
        <f>'T_TTAFStock'!AW14</f>
        <v/>
      </c>
      <c r="AZ335">
        <f>'T_TTAFStock'!AX14</f>
        <v/>
      </c>
      <c r="BA335">
        <f>'T_TTAFStock'!AY14</f>
        <v/>
      </c>
      <c r="BB335">
        <f>'T_TTAFStock'!AZ14</f>
        <v/>
      </c>
      <c r="BC335">
        <f>'T_TTAFStock'!BA14</f>
        <v/>
      </c>
      <c r="BD335">
        <f>'T_TTAFStock'!BB14</f>
        <v/>
      </c>
      <c r="BE335">
        <f>'T_TTAFStock'!BC14</f>
        <v/>
      </c>
      <c r="BF335">
        <f>'T_TTAFStock'!BD14</f>
        <v/>
      </c>
      <c r="BG335">
        <f>'T_TTAFStock'!BE14</f>
        <v/>
      </c>
      <c r="BH335">
        <f>'T_TTAFStock'!BF14</f>
        <v/>
      </c>
      <c r="BI335">
        <f>'T_TTAFStock'!BG14</f>
        <v/>
      </c>
      <c r="BJ335">
        <f>'T_TTAFStock'!BH14</f>
        <v/>
      </c>
      <c r="BK335">
        <f>'T_TTAFStock'!BI14</f>
        <v/>
      </c>
      <c r="BL335">
        <f>'T_TTAFStock'!BJ14</f>
        <v/>
      </c>
      <c r="BM335">
        <f>'T_TTAFStock'!BK14</f>
        <v/>
      </c>
      <c r="BN335">
        <f>'T_TTAFStock'!BL14</f>
        <v/>
      </c>
      <c r="BO335">
        <f>'T_TTAFStock'!BM14</f>
        <v/>
      </c>
      <c r="BP335">
        <f>'T_TTAFStock'!BN14</f>
        <v/>
      </c>
      <c r="BQ335">
        <f>'T_TTAFStock'!BO14</f>
        <v/>
      </c>
      <c r="BR335">
        <f>'T_TTAFStock'!BP14</f>
        <v/>
      </c>
      <c r="BS335">
        <f>'T_TTAFStock'!BQ14</f>
        <v/>
      </c>
      <c r="BT335">
        <f>'T_TTAFStock'!BR14</f>
        <v/>
      </c>
      <c r="BU335">
        <f>'T_TTAFStock'!BS14</f>
        <v/>
      </c>
      <c r="BV335">
        <f>'T_TTAFStock'!BT14</f>
        <v/>
      </c>
      <c r="BW335">
        <f>'T_TTAFStock'!BU14</f>
        <v/>
      </c>
      <c r="BX335">
        <f>'T_TTAFStock'!BV14</f>
        <v/>
      </c>
      <c r="BY335">
        <f>'T_TTAFStock'!BW14</f>
        <v/>
      </c>
      <c r="BZ335">
        <f>'T_TTAFStock'!BX14</f>
        <v/>
      </c>
      <c r="CA335">
        <f>'T_TTAFStock'!BY14</f>
        <v/>
      </c>
      <c r="CB335">
        <f>'T_TTAFStock'!BZ14</f>
        <v/>
      </c>
      <c r="CC335">
        <f>'T_TTAFStock'!CA14</f>
        <v/>
      </c>
      <c r="CD335">
        <f>'T_TTAFStock'!CB14</f>
        <v/>
      </c>
      <c r="CE335">
        <f>'T_TTAFStock'!CC14</f>
        <v/>
      </c>
      <c r="CF335">
        <f>'T_TTAFStock'!CD14</f>
        <v/>
      </c>
      <c r="CG335">
        <f>'T_TTAFStock'!CE14</f>
        <v/>
      </c>
      <c r="CH335">
        <f>'T_TTAFStock'!CF14</f>
        <v/>
      </c>
      <c r="CI335">
        <f>'T_TTAFStock'!CG14</f>
        <v/>
      </c>
      <c r="CJ335">
        <f>'T_TTAFStock'!CH14</f>
        <v/>
      </c>
      <c r="CK335">
        <f>'T_TTAFStock'!CI14</f>
        <v/>
      </c>
      <c r="CL335">
        <f>'T_TTAFStock'!CJ14</f>
        <v/>
      </c>
      <c r="CM335">
        <f>'T_TTAFStock'!CK14</f>
        <v/>
      </c>
      <c r="CN335">
        <f>'T_TTAFStock'!CL14</f>
        <v/>
      </c>
      <c r="CO335">
        <f>'T_TTAFStock'!CM14</f>
        <v/>
      </c>
      <c r="CP335">
        <f>'T_TTAFStock'!CN14</f>
        <v/>
      </c>
      <c r="CQ335">
        <f>'T_TTAFStock'!CO14</f>
        <v/>
      </c>
      <c r="CR335">
        <f>'T_TTAFStock'!CP14</f>
        <v/>
      </c>
      <c r="CS335">
        <f>'T_TTAFStock'!CQ14</f>
        <v/>
      </c>
      <c r="CT335">
        <f>'T_TTAFStock'!CR14</f>
        <v/>
      </c>
      <c r="CU335">
        <f>'T_TTAFStock'!CS14</f>
        <v/>
      </c>
      <c r="CV335">
        <f>'T_TTAFStock'!CT14</f>
        <v/>
      </c>
      <c r="CW335">
        <f>'T_TTAFStock'!CU14</f>
        <v/>
      </c>
      <c r="CX335">
        <f>'T_TTAFStock'!CV14</f>
        <v/>
      </c>
      <c r="CY335">
        <f>'T_TTAFStock'!CW14</f>
        <v/>
      </c>
      <c r="CZ335">
        <f>'T_TTAFStock'!CX14</f>
        <v/>
      </c>
      <c r="DA335">
        <f>'T_TTAFStock'!CY14</f>
        <v/>
      </c>
      <c r="DB335">
        <f>'T_TTAFStock'!CZ14</f>
        <v/>
      </c>
      <c r="DC335">
        <f>'T_TTAFStock'!DA14</f>
        <v/>
      </c>
    </row>
    <row r="336">
      <c r="B336" t="inlineStr">
        <is>
          <t>自社在庫(実績,kg)</t>
        </is>
      </c>
      <c r="D336">
        <f>'T_SelfStock'!B14</f>
        <v/>
      </c>
      <c r="E336">
        <f>'T_SelfStock'!C14</f>
        <v/>
      </c>
      <c r="F336">
        <f>'T_SelfStock'!D14</f>
        <v/>
      </c>
      <c r="G336">
        <f>'T_SelfStock'!E14</f>
        <v/>
      </c>
      <c r="H336">
        <f>'T_SelfStock'!F14</f>
        <v/>
      </c>
      <c r="I336">
        <f>'T_SelfStock'!G14</f>
        <v/>
      </c>
      <c r="J336">
        <f>'T_SelfStock'!H14</f>
        <v/>
      </c>
      <c r="K336">
        <f>'T_SelfStock'!I14</f>
        <v/>
      </c>
      <c r="L336">
        <f>'T_SelfStock'!J14</f>
        <v/>
      </c>
      <c r="M336">
        <f>'T_SelfStock'!K14</f>
        <v/>
      </c>
      <c r="N336">
        <f>'T_SelfStock'!L14</f>
        <v/>
      </c>
      <c r="O336">
        <f>'T_SelfStock'!M14</f>
        <v/>
      </c>
      <c r="P336">
        <f>'T_SelfStock'!N14</f>
        <v/>
      </c>
      <c r="Q336">
        <f>'T_SelfStock'!O14</f>
        <v/>
      </c>
      <c r="R336">
        <f>'T_SelfStock'!P14</f>
        <v/>
      </c>
      <c r="S336">
        <f>'T_SelfStock'!Q14</f>
        <v/>
      </c>
      <c r="T336">
        <f>'T_SelfStock'!R14</f>
        <v/>
      </c>
      <c r="U336">
        <f>'T_SelfStock'!S14</f>
        <v/>
      </c>
      <c r="V336">
        <f>'T_SelfStock'!T14</f>
        <v/>
      </c>
      <c r="W336">
        <f>'T_SelfStock'!U14</f>
        <v/>
      </c>
      <c r="X336">
        <f>'T_SelfStock'!V14</f>
        <v/>
      </c>
      <c r="Y336">
        <f>'T_SelfStock'!W14</f>
        <v/>
      </c>
      <c r="Z336">
        <f>'T_SelfStock'!X14</f>
        <v/>
      </c>
      <c r="AA336">
        <f>'T_SelfStock'!Y14</f>
        <v/>
      </c>
      <c r="AB336">
        <f>'T_SelfStock'!Z14</f>
        <v/>
      </c>
      <c r="AC336">
        <f>'T_SelfStock'!AA14</f>
        <v/>
      </c>
      <c r="AD336">
        <f>'T_SelfStock'!AB14</f>
        <v/>
      </c>
      <c r="AE336">
        <f>'T_SelfStock'!AC14</f>
        <v/>
      </c>
      <c r="AF336">
        <f>'T_SelfStock'!AD14</f>
        <v/>
      </c>
      <c r="AG336">
        <f>'T_SelfStock'!AE14</f>
        <v/>
      </c>
      <c r="AH336">
        <f>'T_SelfStock'!AF14</f>
        <v/>
      </c>
      <c r="AI336">
        <f>'T_SelfStock'!AG14</f>
        <v/>
      </c>
      <c r="AJ336">
        <f>'T_SelfStock'!AH14</f>
        <v/>
      </c>
      <c r="AK336">
        <f>'T_SelfStock'!AI14</f>
        <v/>
      </c>
      <c r="AL336">
        <f>'T_SelfStock'!AJ14</f>
        <v/>
      </c>
      <c r="AM336">
        <f>'T_SelfStock'!AK14</f>
        <v/>
      </c>
      <c r="AN336">
        <f>'T_SelfStock'!AL14</f>
        <v/>
      </c>
      <c r="AO336">
        <f>'T_SelfStock'!AM14</f>
        <v/>
      </c>
      <c r="AP336">
        <f>'T_SelfStock'!AN14</f>
        <v/>
      </c>
      <c r="AQ336">
        <f>'T_SelfStock'!AO14</f>
        <v/>
      </c>
      <c r="AR336">
        <f>'T_SelfStock'!AP14</f>
        <v/>
      </c>
      <c r="AS336">
        <f>'T_SelfStock'!AQ14</f>
        <v/>
      </c>
      <c r="AT336">
        <f>'T_SelfStock'!AR14</f>
        <v/>
      </c>
      <c r="AU336">
        <f>'T_SelfStock'!AS14</f>
        <v/>
      </c>
      <c r="AV336">
        <f>'T_SelfStock'!AT14</f>
        <v/>
      </c>
      <c r="AW336">
        <f>'T_SelfStock'!AU14</f>
        <v/>
      </c>
      <c r="AX336">
        <f>'T_SelfStock'!AV14</f>
        <v/>
      </c>
      <c r="AY336">
        <f>'T_SelfStock'!AW14</f>
        <v/>
      </c>
      <c r="AZ336">
        <f>'T_SelfStock'!AX14</f>
        <v/>
      </c>
      <c r="BA336">
        <f>'T_SelfStock'!AY14</f>
        <v/>
      </c>
      <c r="BB336">
        <f>'T_SelfStock'!AZ14</f>
        <v/>
      </c>
      <c r="BC336">
        <f>'T_SelfStock'!BA14</f>
        <v/>
      </c>
      <c r="BD336">
        <f>'T_SelfStock'!BB14</f>
        <v/>
      </c>
      <c r="BE336">
        <f>'T_SelfStock'!BC14</f>
        <v/>
      </c>
      <c r="BF336">
        <f>'T_SelfStock'!BD14</f>
        <v/>
      </c>
      <c r="BG336">
        <f>'T_SelfStock'!BE14</f>
        <v/>
      </c>
      <c r="BH336">
        <f>'T_SelfStock'!BF14</f>
        <v/>
      </c>
      <c r="BI336">
        <f>'T_SelfStock'!BG14</f>
        <v/>
      </c>
      <c r="BJ336">
        <f>'T_SelfStock'!BH14</f>
        <v/>
      </c>
      <c r="BK336">
        <f>'T_SelfStock'!BI14</f>
        <v/>
      </c>
      <c r="BL336">
        <f>'T_SelfStock'!BJ14</f>
        <v/>
      </c>
      <c r="BM336">
        <f>'T_SelfStock'!BK14</f>
        <v/>
      </c>
      <c r="BN336">
        <f>'T_SelfStock'!BL14</f>
        <v/>
      </c>
      <c r="BO336">
        <f>'T_SelfStock'!BM14</f>
        <v/>
      </c>
      <c r="BP336">
        <f>'T_SelfStock'!BN14</f>
        <v/>
      </c>
      <c r="BQ336">
        <f>'T_SelfStock'!BO14</f>
        <v/>
      </c>
      <c r="BR336">
        <f>'T_SelfStock'!BP14</f>
        <v/>
      </c>
      <c r="BS336">
        <f>'T_SelfStock'!BQ14</f>
        <v/>
      </c>
      <c r="BT336">
        <f>'T_SelfStock'!BR14</f>
        <v/>
      </c>
      <c r="BU336">
        <f>'T_SelfStock'!BS14</f>
        <v/>
      </c>
      <c r="BV336">
        <f>'T_SelfStock'!BT14</f>
        <v/>
      </c>
      <c r="BW336">
        <f>'T_SelfStock'!BU14</f>
        <v/>
      </c>
      <c r="BX336">
        <f>'T_SelfStock'!BV14</f>
        <v/>
      </c>
      <c r="BY336">
        <f>'T_SelfStock'!BW14</f>
        <v/>
      </c>
      <c r="BZ336">
        <f>'T_SelfStock'!BX14</f>
        <v/>
      </c>
      <c r="CA336">
        <f>'T_SelfStock'!BY14</f>
        <v/>
      </c>
      <c r="CB336">
        <f>'T_SelfStock'!BZ14</f>
        <v/>
      </c>
      <c r="CC336">
        <f>'T_SelfStock'!CA14</f>
        <v/>
      </c>
      <c r="CD336">
        <f>'T_SelfStock'!CB14</f>
        <v/>
      </c>
      <c r="CE336">
        <f>'T_SelfStock'!CC14</f>
        <v/>
      </c>
      <c r="CF336">
        <f>'T_SelfStock'!CD14</f>
        <v/>
      </c>
      <c r="CG336">
        <f>'T_SelfStock'!CE14</f>
        <v/>
      </c>
      <c r="CH336">
        <f>'T_SelfStock'!CF14</f>
        <v/>
      </c>
      <c r="CI336">
        <f>'T_SelfStock'!CG14</f>
        <v/>
      </c>
      <c r="CJ336">
        <f>'T_SelfStock'!CH14</f>
        <v/>
      </c>
      <c r="CK336">
        <f>'T_SelfStock'!CI14</f>
        <v/>
      </c>
      <c r="CL336">
        <f>'T_SelfStock'!CJ14</f>
        <v/>
      </c>
      <c r="CM336">
        <f>'T_SelfStock'!CK14</f>
        <v/>
      </c>
      <c r="CN336">
        <f>'T_SelfStock'!CL14</f>
        <v/>
      </c>
      <c r="CO336">
        <f>'T_SelfStock'!CM14</f>
        <v/>
      </c>
      <c r="CP336">
        <f>'T_SelfStock'!CN14</f>
        <v/>
      </c>
      <c r="CQ336">
        <f>'T_SelfStock'!CO14</f>
        <v/>
      </c>
      <c r="CR336">
        <f>'T_SelfStock'!CP14</f>
        <v/>
      </c>
      <c r="CS336">
        <f>'T_SelfStock'!CQ14</f>
        <v/>
      </c>
      <c r="CT336">
        <f>'T_SelfStock'!CR14</f>
        <v/>
      </c>
      <c r="CU336">
        <f>'T_SelfStock'!CS14</f>
        <v/>
      </c>
      <c r="CV336">
        <f>'T_SelfStock'!CT14</f>
        <v/>
      </c>
      <c r="CW336">
        <f>'T_SelfStock'!CU14</f>
        <v/>
      </c>
      <c r="CX336">
        <f>'T_SelfStock'!CV14</f>
        <v/>
      </c>
      <c r="CY336">
        <f>'T_SelfStock'!CW14</f>
        <v/>
      </c>
      <c r="CZ336">
        <f>'T_SelfStock'!CX14</f>
        <v/>
      </c>
      <c r="DA336">
        <f>'T_SelfStock'!CY14</f>
        <v/>
      </c>
      <c r="DB336">
        <f>'T_SelfStock'!CZ14</f>
        <v/>
      </c>
      <c r="DC336">
        <f>'T_SelfStock'!DA14</f>
        <v/>
      </c>
    </row>
    <row r="337">
      <c r="B337" s="4" t="inlineStr">
        <is>
          <t>合計在庫(週末時点,kg)</t>
        </is>
      </c>
      <c r="D337">
        <f>'Grid_Stock'!B10</f>
        <v/>
      </c>
      <c r="E337">
        <f>'Grid_Stock'!C10</f>
        <v/>
      </c>
      <c r="F337">
        <f>'Grid_Stock'!D10</f>
        <v/>
      </c>
      <c r="G337">
        <f>'Grid_Stock'!E10</f>
        <v/>
      </c>
      <c r="H337">
        <f>'Grid_Stock'!F10</f>
        <v/>
      </c>
      <c r="I337">
        <f>'Grid_Stock'!G10</f>
        <v/>
      </c>
      <c r="J337">
        <f>'Grid_Stock'!H10</f>
        <v/>
      </c>
      <c r="K337">
        <f>'Grid_Stock'!I10</f>
        <v/>
      </c>
      <c r="L337">
        <f>'Grid_Stock'!J10</f>
        <v/>
      </c>
      <c r="M337">
        <f>'Grid_Stock'!K10</f>
        <v/>
      </c>
      <c r="N337">
        <f>'Grid_Stock'!L10</f>
        <v/>
      </c>
      <c r="O337">
        <f>'Grid_Stock'!M10</f>
        <v/>
      </c>
      <c r="P337">
        <f>'Grid_Stock'!N10</f>
        <v/>
      </c>
      <c r="Q337">
        <f>'Grid_Stock'!O10</f>
        <v/>
      </c>
      <c r="R337">
        <f>'Grid_Stock'!P10</f>
        <v/>
      </c>
      <c r="S337">
        <f>'Grid_Stock'!Q10</f>
        <v/>
      </c>
      <c r="T337">
        <f>'Grid_Stock'!R10</f>
        <v/>
      </c>
      <c r="U337">
        <f>'Grid_Stock'!S10</f>
        <v/>
      </c>
      <c r="V337">
        <f>'Grid_Stock'!T10</f>
        <v/>
      </c>
      <c r="W337">
        <f>'Grid_Stock'!U10</f>
        <v/>
      </c>
      <c r="X337">
        <f>'Grid_Stock'!V10</f>
        <v/>
      </c>
      <c r="Y337">
        <f>'Grid_Stock'!W10</f>
        <v/>
      </c>
      <c r="Z337">
        <f>'Grid_Stock'!X10</f>
        <v/>
      </c>
      <c r="AA337">
        <f>'Grid_Stock'!Y10</f>
        <v/>
      </c>
      <c r="AB337">
        <f>'Grid_Stock'!Z10</f>
        <v/>
      </c>
      <c r="AC337">
        <f>'Grid_Stock'!AA10</f>
        <v/>
      </c>
      <c r="AD337">
        <f>'Grid_Stock'!AB10</f>
        <v/>
      </c>
      <c r="AE337">
        <f>'Grid_Stock'!AC10</f>
        <v/>
      </c>
      <c r="AF337">
        <f>'Grid_Stock'!AD10</f>
        <v/>
      </c>
      <c r="AG337">
        <f>'Grid_Stock'!AE10</f>
        <v/>
      </c>
      <c r="AH337">
        <f>'Grid_Stock'!AF10</f>
        <v/>
      </c>
      <c r="AI337">
        <f>'Grid_Stock'!AG10</f>
        <v/>
      </c>
      <c r="AJ337">
        <f>'Grid_Stock'!AH10</f>
        <v/>
      </c>
      <c r="AK337">
        <f>'Grid_Stock'!AI10</f>
        <v/>
      </c>
      <c r="AL337">
        <f>'Grid_Stock'!AJ10</f>
        <v/>
      </c>
      <c r="AM337">
        <f>'Grid_Stock'!AK10</f>
        <v/>
      </c>
      <c r="AN337">
        <f>'Grid_Stock'!AL10</f>
        <v/>
      </c>
      <c r="AO337">
        <f>'Grid_Stock'!AM10</f>
        <v/>
      </c>
      <c r="AP337">
        <f>'Grid_Stock'!AN10</f>
        <v/>
      </c>
      <c r="AQ337">
        <f>'Grid_Stock'!AO10</f>
        <v/>
      </c>
      <c r="AR337">
        <f>'Grid_Stock'!AP10</f>
        <v/>
      </c>
      <c r="AS337">
        <f>'Grid_Stock'!AQ10</f>
        <v/>
      </c>
      <c r="AT337">
        <f>'Grid_Stock'!AR10</f>
        <v/>
      </c>
      <c r="AU337">
        <f>'Grid_Stock'!AS10</f>
        <v/>
      </c>
      <c r="AV337">
        <f>'Grid_Stock'!AT10</f>
        <v/>
      </c>
      <c r="AW337">
        <f>'Grid_Stock'!AU10</f>
        <v/>
      </c>
      <c r="AX337">
        <f>'Grid_Stock'!AV10</f>
        <v/>
      </c>
      <c r="AY337">
        <f>'Grid_Stock'!AW10</f>
        <v/>
      </c>
      <c r="AZ337">
        <f>'Grid_Stock'!AX10</f>
        <v/>
      </c>
      <c r="BA337">
        <f>'Grid_Stock'!AY10</f>
        <v/>
      </c>
      <c r="BB337">
        <f>'Grid_Stock'!AZ10</f>
        <v/>
      </c>
      <c r="BC337">
        <f>'Grid_Stock'!BA10</f>
        <v/>
      </c>
      <c r="BD337">
        <f>'Grid_Stock'!BB10</f>
        <v/>
      </c>
      <c r="BE337">
        <f>'Grid_Stock'!BC10</f>
        <v/>
      </c>
      <c r="BF337">
        <f>'Grid_Stock'!BD10</f>
        <v/>
      </c>
      <c r="BG337">
        <f>'Grid_Stock'!BE10</f>
        <v/>
      </c>
      <c r="BH337">
        <f>'Grid_Stock'!BF10</f>
        <v/>
      </c>
      <c r="BI337">
        <f>'Grid_Stock'!BG10</f>
        <v/>
      </c>
      <c r="BJ337">
        <f>'Grid_Stock'!BH10</f>
        <v/>
      </c>
      <c r="BK337">
        <f>'Grid_Stock'!BI10</f>
        <v/>
      </c>
      <c r="BL337">
        <f>'Grid_Stock'!BJ10</f>
        <v/>
      </c>
      <c r="BM337">
        <f>'Grid_Stock'!BK10</f>
        <v/>
      </c>
      <c r="BN337">
        <f>'Grid_Stock'!BL10</f>
        <v/>
      </c>
      <c r="BO337">
        <f>'Grid_Stock'!BM10</f>
        <v/>
      </c>
      <c r="BP337">
        <f>'Grid_Stock'!BN10</f>
        <v/>
      </c>
      <c r="BQ337">
        <f>'Grid_Stock'!BO10</f>
        <v/>
      </c>
      <c r="BR337">
        <f>'Grid_Stock'!BP10</f>
        <v/>
      </c>
      <c r="BS337">
        <f>'Grid_Stock'!BQ10</f>
        <v/>
      </c>
      <c r="BT337">
        <f>'Grid_Stock'!BR10</f>
        <v/>
      </c>
      <c r="BU337">
        <f>'Grid_Stock'!BS10</f>
        <v/>
      </c>
      <c r="BV337">
        <f>'Grid_Stock'!BT10</f>
        <v/>
      </c>
      <c r="BW337">
        <f>'Grid_Stock'!BU10</f>
        <v/>
      </c>
      <c r="BX337">
        <f>'Grid_Stock'!BV10</f>
        <v/>
      </c>
      <c r="BY337">
        <f>'Grid_Stock'!BW10</f>
        <v/>
      </c>
      <c r="BZ337">
        <f>'Grid_Stock'!BX10</f>
        <v/>
      </c>
      <c r="CA337">
        <f>'Grid_Stock'!BY10</f>
        <v/>
      </c>
      <c r="CB337">
        <f>'Grid_Stock'!BZ10</f>
        <v/>
      </c>
      <c r="CC337">
        <f>'Grid_Stock'!CA10</f>
        <v/>
      </c>
      <c r="CD337">
        <f>'Grid_Stock'!CB10</f>
        <v/>
      </c>
      <c r="CE337">
        <f>'Grid_Stock'!CC10</f>
        <v/>
      </c>
      <c r="CF337">
        <f>'Grid_Stock'!CD10</f>
        <v/>
      </c>
      <c r="CG337">
        <f>'Grid_Stock'!CE10</f>
        <v/>
      </c>
      <c r="CH337">
        <f>'Grid_Stock'!CF10</f>
        <v/>
      </c>
      <c r="CI337">
        <f>'Grid_Stock'!CG10</f>
        <v/>
      </c>
      <c r="CJ337">
        <f>'Grid_Stock'!CH10</f>
        <v/>
      </c>
      <c r="CK337">
        <f>'Grid_Stock'!CI10</f>
        <v/>
      </c>
      <c r="CL337">
        <f>'Grid_Stock'!CJ10</f>
        <v/>
      </c>
      <c r="CM337">
        <f>'Grid_Stock'!CK10</f>
        <v/>
      </c>
      <c r="CN337">
        <f>'Grid_Stock'!CL10</f>
        <v/>
      </c>
      <c r="CO337">
        <f>'Grid_Stock'!CM10</f>
        <v/>
      </c>
      <c r="CP337">
        <f>'Grid_Stock'!CN10</f>
        <v/>
      </c>
      <c r="CQ337">
        <f>'Grid_Stock'!CO10</f>
        <v/>
      </c>
      <c r="CR337">
        <f>'Grid_Stock'!CP10</f>
        <v/>
      </c>
      <c r="CS337">
        <f>'Grid_Stock'!CQ10</f>
        <v/>
      </c>
      <c r="CT337">
        <f>'Grid_Stock'!CR10</f>
        <v/>
      </c>
      <c r="CU337">
        <f>'Grid_Stock'!CS10</f>
        <v/>
      </c>
      <c r="CV337">
        <f>'Grid_Stock'!CT10</f>
        <v/>
      </c>
      <c r="CW337">
        <f>'Grid_Stock'!CU10</f>
        <v/>
      </c>
      <c r="CX337">
        <f>'Grid_Stock'!CV10</f>
        <v/>
      </c>
      <c r="CY337">
        <f>'Grid_Stock'!CW10</f>
        <v/>
      </c>
      <c r="CZ337">
        <f>'Grid_Stock'!CX10</f>
        <v/>
      </c>
      <c r="DA337">
        <f>'Grid_Stock'!CY10</f>
        <v/>
      </c>
      <c r="DB337">
        <f>'Grid_Stock'!CZ10</f>
        <v/>
      </c>
      <c r="DC337">
        <f>'Grid_Stock'!DA10</f>
        <v/>
      </c>
    </row>
    <row r="338">
      <c r="B338" s="16" t="inlineStr">
        <is>
          <t>（発注の目安はDashboardの基準在庫[下限/上限]と色分けを参照）</t>
        </is>
      </c>
    </row>
    <row r="340">
      <c r="A340" s="14" t="inlineStr">
        <is>
          <t>CHEM-1400</t>
        </is>
      </c>
      <c r="B340" s="14" t="inlineStr">
        <is>
          <t>DISPAL 23N4-80</t>
        </is>
      </c>
      <c r="C340" s="15" t="n"/>
      <c r="D340" s="14" t="n"/>
      <c r="E340" s="14" t="n"/>
      <c r="F340" s="14" t="n"/>
      <c r="G340" s="14" t="n"/>
      <c r="H340" s="14" t="n"/>
      <c r="I340" s="14" t="n"/>
      <c r="J340" s="14" t="n"/>
      <c r="K340" s="14" t="n"/>
      <c r="L340" s="14" t="n"/>
      <c r="M340" s="14" t="n"/>
      <c r="N340" s="14" t="n"/>
      <c r="O340" s="14" t="n"/>
      <c r="P340" s="14" t="n"/>
      <c r="Q340" s="14" t="n"/>
      <c r="R340" s="14" t="n"/>
      <c r="S340" s="14" t="n"/>
      <c r="T340" s="14" t="n"/>
      <c r="U340" s="14" t="n"/>
      <c r="V340" s="14" t="n"/>
      <c r="W340" s="14" t="n"/>
      <c r="X340" s="14" t="n"/>
      <c r="Y340" s="14" t="n"/>
      <c r="Z340" s="14" t="n"/>
      <c r="AA340" s="14" t="n"/>
      <c r="AB340" s="14" t="n"/>
      <c r="AC340" s="14" t="n"/>
      <c r="AD340" s="14" t="n"/>
      <c r="AE340" s="14" t="n"/>
      <c r="AF340" s="14" t="n"/>
      <c r="AG340" s="14" t="n"/>
      <c r="AH340" s="14" t="n"/>
      <c r="AI340" s="14" t="n"/>
      <c r="AJ340" s="14" t="n"/>
      <c r="AK340" s="14" t="n"/>
      <c r="AL340" s="14" t="n"/>
      <c r="AM340" s="14" t="n"/>
      <c r="AN340" s="14" t="n"/>
      <c r="AO340" s="14" t="n"/>
      <c r="AP340" s="14" t="n"/>
      <c r="AQ340" s="14" t="n"/>
      <c r="AR340" s="14" t="n"/>
      <c r="AS340" s="14" t="n"/>
      <c r="AT340" s="14" t="n"/>
      <c r="AU340" s="14" t="n"/>
      <c r="AV340" s="14" t="n"/>
      <c r="AW340" s="14" t="n"/>
      <c r="AX340" s="14" t="n"/>
      <c r="AY340" s="14" t="n"/>
      <c r="AZ340" s="14" t="n"/>
      <c r="BA340" s="14" t="n"/>
      <c r="BB340" s="14" t="n"/>
      <c r="BC340" s="14" t="n"/>
      <c r="BD340" s="14" t="n"/>
      <c r="BE340" s="14" t="n"/>
      <c r="BF340" s="14" t="n"/>
      <c r="BG340" s="14" t="n"/>
      <c r="BH340" s="14" t="n"/>
      <c r="BI340" s="14" t="n"/>
      <c r="BJ340" s="14" t="n"/>
      <c r="BK340" s="14" t="n"/>
      <c r="BL340" s="14" t="n"/>
      <c r="BM340" s="14" t="n"/>
      <c r="BN340" s="14" t="n"/>
      <c r="BO340" s="14" t="n"/>
      <c r="BP340" s="14" t="n"/>
      <c r="BQ340" s="14" t="n"/>
      <c r="BR340" s="14" t="n"/>
      <c r="BS340" s="14" t="n"/>
      <c r="BT340" s="14" t="n"/>
      <c r="BU340" s="14" t="n"/>
      <c r="BV340" s="14" t="n"/>
      <c r="BW340" s="14" t="n"/>
      <c r="BX340" s="14" t="n"/>
      <c r="BY340" s="14" t="n"/>
      <c r="BZ340" s="14" t="n"/>
      <c r="CA340" s="14" t="n"/>
      <c r="CB340" s="14" t="n"/>
      <c r="CC340" s="14" t="n"/>
      <c r="CD340" s="14" t="n"/>
      <c r="CE340" s="14" t="n"/>
      <c r="CF340" s="14" t="n"/>
      <c r="CG340" s="14" t="n"/>
      <c r="CH340" s="14" t="n"/>
      <c r="CI340" s="14" t="n"/>
      <c r="CJ340" s="14" t="n"/>
      <c r="CK340" s="14" t="n"/>
      <c r="CL340" s="14" t="n"/>
      <c r="CM340" s="14" t="n"/>
      <c r="CN340" s="14" t="n"/>
      <c r="CO340" s="14" t="n"/>
      <c r="CP340" s="14" t="n"/>
      <c r="CQ340" s="14" t="n"/>
      <c r="CR340" s="14" t="n"/>
      <c r="CS340" s="14" t="n"/>
      <c r="CT340" s="14" t="n"/>
      <c r="CU340" s="14" t="n"/>
      <c r="CV340" s="14" t="n"/>
      <c r="CW340" s="14" t="n"/>
      <c r="CX340" s="14" t="n"/>
      <c r="CY340" s="14" t="n"/>
      <c r="CZ340" s="14" t="n"/>
      <c r="DA340" s="14" t="n"/>
      <c r="DB340" s="14" t="n"/>
      <c r="DC340" s="14" t="n"/>
    </row>
    <row r="341">
      <c r="B341" t="inlineStr">
        <is>
          <t>TSP-050</t>
        </is>
      </c>
      <c r="C341" t="inlineStr">
        <is>
          <t>No. of batches</t>
        </is>
      </c>
      <c r="D341">
        <f>IFERROR(INDEX(PP_Grid[#Data],$DD341,2),0)</f>
        <v/>
      </c>
      <c r="E341">
        <f>IFERROR(INDEX(PP_Grid[#Data],$DD341,3),0)</f>
        <v/>
      </c>
      <c r="F341">
        <f>IFERROR(INDEX(PP_Grid[#Data],$DD341,4),0)</f>
        <v/>
      </c>
      <c r="G341">
        <f>IFERROR(INDEX(PP_Grid[#Data],$DD341,5),0)</f>
        <v/>
      </c>
      <c r="H341">
        <f>IFERROR(INDEX(PP_Grid[#Data],$DD341,6),0)</f>
        <v/>
      </c>
      <c r="I341">
        <f>IFERROR(INDEX(PP_Grid[#Data],$DD341,7),0)</f>
        <v/>
      </c>
      <c r="J341">
        <f>IFERROR(INDEX(PP_Grid[#Data],$DD341,8),0)</f>
        <v/>
      </c>
      <c r="K341">
        <f>IFERROR(INDEX(PP_Grid[#Data],$DD341,9),0)</f>
        <v/>
      </c>
      <c r="L341">
        <f>IFERROR(INDEX(PP_Grid[#Data],$DD341,10),0)</f>
        <v/>
      </c>
      <c r="M341">
        <f>IFERROR(INDEX(PP_Grid[#Data],$DD341,11),0)</f>
        <v/>
      </c>
      <c r="N341">
        <f>IFERROR(INDEX(PP_Grid[#Data],$DD341,12),0)</f>
        <v/>
      </c>
      <c r="O341">
        <f>IFERROR(INDEX(PP_Grid[#Data],$DD341,13),0)</f>
        <v/>
      </c>
      <c r="P341">
        <f>IFERROR(INDEX(PP_Grid[#Data],$DD341,14),0)</f>
        <v/>
      </c>
      <c r="Q341">
        <f>IFERROR(INDEX(PP_Grid[#Data],$DD341,15),0)</f>
        <v/>
      </c>
      <c r="R341">
        <f>IFERROR(INDEX(PP_Grid[#Data],$DD341,16),0)</f>
        <v/>
      </c>
      <c r="S341">
        <f>IFERROR(INDEX(PP_Grid[#Data],$DD341,17),0)</f>
        <v/>
      </c>
      <c r="T341">
        <f>IFERROR(INDEX(PP_Grid[#Data],$DD341,18),0)</f>
        <v/>
      </c>
      <c r="U341">
        <f>IFERROR(INDEX(PP_Grid[#Data],$DD341,19),0)</f>
        <v/>
      </c>
      <c r="V341">
        <f>IFERROR(INDEX(PP_Grid[#Data],$DD341,20),0)</f>
        <v/>
      </c>
      <c r="W341">
        <f>IFERROR(INDEX(PP_Grid[#Data],$DD341,21),0)</f>
        <v/>
      </c>
      <c r="X341">
        <f>IFERROR(INDEX(PP_Grid[#Data],$DD341,22),0)</f>
        <v/>
      </c>
      <c r="Y341">
        <f>IFERROR(INDEX(PP_Grid[#Data],$DD341,23),0)</f>
        <v/>
      </c>
      <c r="Z341">
        <f>IFERROR(INDEX(PP_Grid[#Data],$DD341,24),0)</f>
        <v/>
      </c>
      <c r="AA341">
        <f>IFERROR(INDEX(PP_Grid[#Data],$DD341,25),0)</f>
        <v/>
      </c>
      <c r="AB341">
        <f>IFERROR(INDEX(PP_Grid[#Data],$DD341,26),0)</f>
        <v/>
      </c>
      <c r="AC341">
        <f>IFERROR(INDEX(PP_Grid[#Data],$DD341,27),0)</f>
        <v/>
      </c>
      <c r="AD341">
        <f>IFERROR(INDEX(PP_Grid[#Data],$DD341,28),0)</f>
        <v/>
      </c>
      <c r="AE341">
        <f>IFERROR(INDEX(PP_Grid[#Data],$DD341,29),0)</f>
        <v/>
      </c>
      <c r="AF341">
        <f>IFERROR(INDEX(PP_Grid[#Data],$DD341,30),0)</f>
        <v/>
      </c>
      <c r="AG341">
        <f>IFERROR(INDEX(PP_Grid[#Data],$DD341,31),0)</f>
        <v/>
      </c>
      <c r="AH341">
        <f>IFERROR(INDEX(PP_Grid[#Data],$DD341,32),0)</f>
        <v/>
      </c>
      <c r="AI341">
        <f>IFERROR(INDEX(PP_Grid[#Data],$DD341,33),0)</f>
        <v/>
      </c>
      <c r="AJ341">
        <f>IFERROR(INDEX(PP_Grid[#Data],$DD341,34),0)</f>
        <v/>
      </c>
      <c r="AK341">
        <f>IFERROR(INDEX(PP_Grid[#Data],$DD341,35),0)</f>
        <v/>
      </c>
      <c r="AL341">
        <f>IFERROR(INDEX(PP_Grid[#Data],$DD341,36),0)</f>
        <v/>
      </c>
      <c r="AM341">
        <f>IFERROR(INDEX(PP_Grid[#Data],$DD341,37),0)</f>
        <v/>
      </c>
      <c r="AN341">
        <f>IFERROR(INDEX(PP_Grid[#Data],$DD341,38),0)</f>
        <v/>
      </c>
      <c r="AO341">
        <f>IFERROR(INDEX(PP_Grid[#Data],$DD341,39),0)</f>
        <v/>
      </c>
      <c r="AP341">
        <f>IFERROR(INDEX(PP_Grid[#Data],$DD341,40),0)</f>
        <v/>
      </c>
      <c r="AQ341">
        <f>IFERROR(INDEX(PP_Grid[#Data],$DD341,41),0)</f>
        <v/>
      </c>
      <c r="AR341">
        <f>IFERROR(INDEX(PP_Grid[#Data],$DD341,42),0)</f>
        <v/>
      </c>
      <c r="AS341">
        <f>IFERROR(INDEX(PP_Grid[#Data],$DD341,43),0)</f>
        <v/>
      </c>
      <c r="AT341">
        <f>IFERROR(INDEX(PP_Grid[#Data],$DD341,44),0)</f>
        <v/>
      </c>
      <c r="AU341">
        <f>IFERROR(INDEX(PP_Grid[#Data],$DD341,45),0)</f>
        <v/>
      </c>
      <c r="AV341">
        <f>IFERROR(INDEX(PP_Grid[#Data],$DD341,46),0)</f>
        <v/>
      </c>
      <c r="AW341">
        <f>IFERROR(INDEX(PP_Grid[#Data],$DD341,47),0)</f>
        <v/>
      </c>
      <c r="AX341">
        <f>IFERROR(INDEX(PP_Grid[#Data],$DD341,48),0)</f>
        <v/>
      </c>
      <c r="AY341">
        <f>IFERROR(INDEX(PP_Grid[#Data],$DD341,49),0)</f>
        <v/>
      </c>
      <c r="AZ341">
        <f>IFERROR(INDEX(PP_Grid[#Data],$DD341,50),0)</f>
        <v/>
      </c>
      <c r="BA341">
        <f>IFERROR(INDEX(PP_Grid[#Data],$DD341,51),0)</f>
        <v/>
      </c>
      <c r="BB341">
        <f>IFERROR(INDEX(PP_Grid[#Data],$DD341,52),0)</f>
        <v/>
      </c>
      <c r="BC341">
        <f>IFERROR(INDEX(PP_Grid[#Data],$DD341,53),0)</f>
        <v/>
      </c>
      <c r="BD341">
        <f>IFERROR(INDEX(PP_Grid[#Data],$DD341,54),0)</f>
        <v/>
      </c>
      <c r="BE341">
        <f>IFERROR(INDEX(PP_Grid[#Data],$DD341,55),0)</f>
        <v/>
      </c>
      <c r="BF341">
        <f>IFERROR(INDEX(PP_Grid[#Data],$DD341,56),0)</f>
        <v/>
      </c>
      <c r="BG341">
        <f>IFERROR(INDEX(PP_Grid[#Data],$DD341,57),0)</f>
        <v/>
      </c>
      <c r="BH341">
        <f>IFERROR(INDEX(PP_Grid[#Data],$DD341,58),0)</f>
        <v/>
      </c>
      <c r="BI341">
        <f>IFERROR(INDEX(PP_Grid[#Data],$DD341,59),0)</f>
        <v/>
      </c>
      <c r="BJ341">
        <f>IFERROR(INDEX(PP_Grid[#Data],$DD341,60),0)</f>
        <v/>
      </c>
      <c r="BK341">
        <f>IFERROR(INDEX(PP_Grid[#Data],$DD341,61),0)</f>
        <v/>
      </c>
      <c r="BL341">
        <f>IFERROR(INDEX(PP_Grid[#Data],$DD341,62),0)</f>
        <v/>
      </c>
      <c r="BM341">
        <f>IFERROR(INDEX(PP_Grid[#Data],$DD341,63),0)</f>
        <v/>
      </c>
      <c r="BN341">
        <f>IFERROR(INDEX(PP_Grid[#Data],$DD341,64),0)</f>
        <v/>
      </c>
      <c r="BO341">
        <f>IFERROR(INDEX(PP_Grid[#Data],$DD341,65),0)</f>
        <v/>
      </c>
      <c r="BP341">
        <f>IFERROR(INDEX(PP_Grid[#Data],$DD341,66),0)</f>
        <v/>
      </c>
      <c r="BQ341">
        <f>IFERROR(INDEX(PP_Grid[#Data],$DD341,67),0)</f>
        <v/>
      </c>
      <c r="BR341">
        <f>IFERROR(INDEX(PP_Grid[#Data],$DD341,68),0)</f>
        <v/>
      </c>
      <c r="BS341">
        <f>IFERROR(INDEX(PP_Grid[#Data],$DD341,69),0)</f>
        <v/>
      </c>
      <c r="BT341">
        <f>IFERROR(INDEX(PP_Grid[#Data],$DD341,70),0)</f>
        <v/>
      </c>
      <c r="BU341">
        <f>IFERROR(INDEX(PP_Grid[#Data],$DD341,71),0)</f>
        <v/>
      </c>
      <c r="BV341">
        <f>IFERROR(INDEX(PP_Grid[#Data],$DD341,72),0)</f>
        <v/>
      </c>
      <c r="BW341">
        <f>IFERROR(INDEX(PP_Grid[#Data],$DD341,73),0)</f>
        <v/>
      </c>
      <c r="BX341">
        <f>IFERROR(INDEX(PP_Grid[#Data],$DD341,74),0)</f>
        <v/>
      </c>
      <c r="BY341">
        <f>IFERROR(INDEX(PP_Grid[#Data],$DD341,75),0)</f>
        <v/>
      </c>
      <c r="BZ341">
        <f>IFERROR(INDEX(PP_Grid[#Data],$DD341,76),0)</f>
        <v/>
      </c>
      <c r="CA341">
        <f>IFERROR(INDEX(PP_Grid[#Data],$DD341,77),0)</f>
        <v/>
      </c>
      <c r="CB341">
        <f>IFERROR(INDEX(PP_Grid[#Data],$DD341,78),0)</f>
        <v/>
      </c>
      <c r="CC341">
        <f>IFERROR(INDEX(PP_Grid[#Data],$DD341,79),0)</f>
        <v/>
      </c>
      <c r="CD341">
        <f>IFERROR(INDEX(PP_Grid[#Data],$DD341,80),0)</f>
        <v/>
      </c>
      <c r="CE341">
        <f>IFERROR(INDEX(PP_Grid[#Data],$DD341,81),0)</f>
        <v/>
      </c>
      <c r="CF341">
        <f>IFERROR(INDEX(PP_Grid[#Data],$DD341,82),0)</f>
        <v/>
      </c>
      <c r="CG341">
        <f>IFERROR(INDEX(PP_Grid[#Data],$DD341,83),0)</f>
        <v/>
      </c>
      <c r="CH341">
        <f>IFERROR(INDEX(PP_Grid[#Data],$DD341,84),0)</f>
        <v/>
      </c>
      <c r="CI341">
        <f>IFERROR(INDEX(PP_Grid[#Data],$DD341,85),0)</f>
        <v/>
      </c>
      <c r="CJ341">
        <f>IFERROR(INDEX(PP_Grid[#Data],$DD341,86),0)</f>
        <v/>
      </c>
      <c r="CK341">
        <f>IFERROR(INDEX(PP_Grid[#Data],$DD341,87),0)</f>
        <v/>
      </c>
      <c r="CL341">
        <f>IFERROR(INDEX(PP_Grid[#Data],$DD341,88),0)</f>
        <v/>
      </c>
      <c r="CM341">
        <f>IFERROR(INDEX(PP_Grid[#Data],$DD341,89),0)</f>
        <v/>
      </c>
      <c r="CN341">
        <f>IFERROR(INDEX(PP_Grid[#Data],$DD341,90),0)</f>
        <v/>
      </c>
      <c r="CO341">
        <f>IFERROR(INDEX(PP_Grid[#Data],$DD341,91),0)</f>
        <v/>
      </c>
      <c r="CP341">
        <f>IFERROR(INDEX(PP_Grid[#Data],$DD341,92),0)</f>
        <v/>
      </c>
      <c r="CQ341">
        <f>IFERROR(INDEX(PP_Grid[#Data],$DD341,93),0)</f>
        <v/>
      </c>
      <c r="CR341">
        <f>IFERROR(INDEX(PP_Grid[#Data],$DD341,94),0)</f>
        <v/>
      </c>
      <c r="CS341">
        <f>IFERROR(INDEX(PP_Grid[#Data],$DD341,95),0)</f>
        <v/>
      </c>
      <c r="CT341">
        <f>IFERROR(INDEX(PP_Grid[#Data],$DD341,96),0)</f>
        <v/>
      </c>
      <c r="CU341">
        <f>IFERROR(INDEX(PP_Grid[#Data],$DD341,97),0)</f>
        <v/>
      </c>
      <c r="CV341">
        <f>IFERROR(INDEX(PP_Grid[#Data],$DD341,98),0)</f>
        <v/>
      </c>
      <c r="CW341">
        <f>IFERROR(INDEX(PP_Grid[#Data],$DD341,99),0)</f>
        <v/>
      </c>
      <c r="CX341">
        <f>IFERROR(INDEX(PP_Grid[#Data],$DD341,100),0)</f>
        <v/>
      </c>
      <c r="CY341">
        <f>IFERROR(INDEX(PP_Grid[#Data],$DD341,101),0)</f>
        <v/>
      </c>
      <c r="CZ341">
        <f>IFERROR(INDEX(PP_Grid[#Data],$DD341,102),0)</f>
        <v/>
      </c>
      <c r="DA341">
        <f>IFERROR(INDEX(PP_Grid[#Data],$DD341,103),0)</f>
        <v/>
      </c>
      <c r="DB341">
        <f>IFERROR(INDEX(PP_Grid[#Data],$DD341,104),0)</f>
        <v/>
      </c>
      <c r="DC341">
        <f>IFERROR(INDEX(PP_Grid[#Data],$DD341,105),0)</f>
        <v/>
      </c>
      <c r="DD341" s="7">
        <f>IFERROR(MATCH($B341,PP_Grid[Intermediate],0),99999)</f>
        <v/>
      </c>
    </row>
    <row r="342">
      <c r="B342" t="inlineStr">
        <is>
          <t>使用量(kg)</t>
        </is>
      </c>
      <c r="C342">
        <f>SUMIFS(M_BOM[RM_Qty_Per_Batch],M_BOM[Intermediate],$B341,M_BOM[Part Name],$A340)</f>
        <v/>
      </c>
      <c r="D342">
        <f>$C342*D341</f>
        <v/>
      </c>
      <c r="E342">
        <f>$C342*E341</f>
        <v/>
      </c>
      <c r="F342">
        <f>$C342*F341</f>
        <v/>
      </c>
      <c r="G342">
        <f>$C342*G341</f>
        <v/>
      </c>
      <c r="H342">
        <f>$C342*H341</f>
        <v/>
      </c>
      <c r="I342">
        <f>$C342*I341</f>
        <v/>
      </c>
      <c r="J342">
        <f>$C342*J341</f>
        <v/>
      </c>
      <c r="K342">
        <f>$C342*K341</f>
        <v/>
      </c>
      <c r="L342">
        <f>$C342*L341</f>
        <v/>
      </c>
      <c r="M342">
        <f>$C342*M341</f>
        <v/>
      </c>
      <c r="N342">
        <f>$C342*N341</f>
        <v/>
      </c>
      <c r="O342">
        <f>$C342*O341</f>
        <v/>
      </c>
      <c r="P342">
        <f>$C342*P341</f>
        <v/>
      </c>
      <c r="Q342">
        <f>$C342*Q341</f>
        <v/>
      </c>
      <c r="R342">
        <f>$C342*R341</f>
        <v/>
      </c>
      <c r="S342">
        <f>$C342*S341</f>
        <v/>
      </c>
      <c r="T342">
        <f>$C342*T341</f>
        <v/>
      </c>
      <c r="U342">
        <f>$C342*U341</f>
        <v/>
      </c>
      <c r="V342">
        <f>$C342*V341</f>
        <v/>
      </c>
      <c r="W342">
        <f>$C342*W341</f>
        <v/>
      </c>
      <c r="X342">
        <f>$C342*X341</f>
        <v/>
      </c>
      <c r="Y342">
        <f>$C342*Y341</f>
        <v/>
      </c>
      <c r="Z342">
        <f>$C342*Z341</f>
        <v/>
      </c>
      <c r="AA342">
        <f>$C342*AA341</f>
        <v/>
      </c>
      <c r="AB342">
        <f>$C342*AB341</f>
        <v/>
      </c>
      <c r="AC342">
        <f>$C342*AC341</f>
        <v/>
      </c>
      <c r="AD342">
        <f>$C342*AD341</f>
        <v/>
      </c>
      <c r="AE342">
        <f>$C342*AE341</f>
        <v/>
      </c>
      <c r="AF342">
        <f>$C342*AF341</f>
        <v/>
      </c>
      <c r="AG342">
        <f>$C342*AG341</f>
        <v/>
      </c>
      <c r="AH342">
        <f>$C342*AH341</f>
        <v/>
      </c>
      <c r="AI342">
        <f>$C342*AI341</f>
        <v/>
      </c>
      <c r="AJ342">
        <f>$C342*AJ341</f>
        <v/>
      </c>
      <c r="AK342">
        <f>$C342*AK341</f>
        <v/>
      </c>
      <c r="AL342">
        <f>$C342*AL341</f>
        <v/>
      </c>
      <c r="AM342">
        <f>$C342*AM341</f>
        <v/>
      </c>
      <c r="AN342">
        <f>$C342*AN341</f>
        <v/>
      </c>
      <c r="AO342">
        <f>$C342*AO341</f>
        <v/>
      </c>
      <c r="AP342">
        <f>$C342*AP341</f>
        <v/>
      </c>
      <c r="AQ342">
        <f>$C342*AQ341</f>
        <v/>
      </c>
      <c r="AR342">
        <f>$C342*AR341</f>
        <v/>
      </c>
      <c r="AS342">
        <f>$C342*AS341</f>
        <v/>
      </c>
      <c r="AT342">
        <f>$C342*AT341</f>
        <v/>
      </c>
      <c r="AU342">
        <f>$C342*AU341</f>
        <v/>
      </c>
      <c r="AV342">
        <f>$C342*AV341</f>
        <v/>
      </c>
      <c r="AW342">
        <f>$C342*AW341</f>
        <v/>
      </c>
      <c r="AX342">
        <f>$C342*AX341</f>
        <v/>
      </c>
      <c r="AY342">
        <f>$C342*AY341</f>
        <v/>
      </c>
      <c r="AZ342">
        <f>$C342*AZ341</f>
        <v/>
      </c>
      <c r="BA342">
        <f>$C342*BA341</f>
        <v/>
      </c>
      <c r="BB342">
        <f>$C342*BB341</f>
        <v/>
      </c>
      <c r="BC342">
        <f>$C342*BC341</f>
        <v/>
      </c>
      <c r="BD342">
        <f>$C342*BD341</f>
        <v/>
      </c>
      <c r="BE342">
        <f>$C342*BE341</f>
        <v/>
      </c>
      <c r="BF342">
        <f>$C342*BF341</f>
        <v/>
      </c>
      <c r="BG342">
        <f>$C342*BG341</f>
        <v/>
      </c>
      <c r="BH342">
        <f>$C342*BH341</f>
        <v/>
      </c>
      <c r="BI342">
        <f>$C342*BI341</f>
        <v/>
      </c>
      <c r="BJ342">
        <f>$C342*BJ341</f>
        <v/>
      </c>
      <c r="BK342">
        <f>$C342*BK341</f>
        <v/>
      </c>
      <c r="BL342">
        <f>$C342*BL341</f>
        <v/>
      </c>
      <c r="BM342">
        <f>$C342*BM341</f>
        <v/>
      </c>
      <c r="BN342">
        <f>$C342*BN341</f>
        <v/>
      </c>
      <c r="BO342">
        <f>$C342*BO341</f>
        <v/>
      </c>
      <c r="BP342">
        <f>$C342*BP341</f>
        <v/>
      </c>
      <c r="BQ342">
        <f>$C342*BQ341</f>
        <v/>
      </c>
      <c r="BR342">
        <f>$C342*BR341</f>
        <v/>
      </c>
      <c r="BS342">
        <f>$C342*BS341</f>
        <v/>
      </c>
      <c r="BT342">
        <f>$C342*BT341</f>
        <v/>
      </c>
      <c r="BU342">
        <f>$C342*BU341</f>
        <v/>
      </c>
      <c r="BV342">
        <f>$C342*BV341</f>
        <v/>
      </c>
      <c r="BW342">
        <f>$C342*BW341</f>
        <v/>
      </c>
      <c r="BX342">
        <f>$C342*BX341</f>
        <v/>
      </c>
      <c r="BY342">
        <f>$C342*BY341</f>
        <v/>
      </c>
      <c r="BZ342">
        <f>$C342*BZ341</f>
        <v/>
      </c>
      <c r="CA342">
        <f>$C342*CA341</f>
        <v/>
      </c>
      <c r="CB342">
        <f>$C342*CB341</f>
        <v/>
      </c>
      <c r="CC342">
        <f>$C342*CC341</f>
        <v/>
      </c>
      <c r="CD342">
        <f>$C342*CD341</f>
        <v/>
      </c>
      <c r="CE342">
        <f>$C342*CE341</f>
        <v/>
      </c>
      <c r="CF342">
        <f>$C342*CF341</f>
        <v/>
      </c>
      <c r="CG342">
        <f>$C342*CG341</f>
        <v/>
      </c>
      <c r="CH342">
        <f>$C342*CH341</f>
        <v/>
      </c>
      <c r="CI342">
        <f>$C342*CI341</f>
        <v/>
      </c>
      <c r="CJ342">
        <f>$C342*CJ341</f>
        <v/>
      </c>
      <c r="CK342">
        <f>$C342*CK341</f>
        <v/>
      </c>
      <c r="CL342">
        <f>$C342*CL341</f>
        <v/>
      </c>
      <c r="CM342">
        <f>$C342*CM341</f>
        <v/>
      </c>
      <c r="CN342">
        <f>$C342*CN341</f>
        <v/>
      </c>
      <c r="CO342">
        <f>$C342*CO341</f>
        <v/>
      </c>
      <c r="CP342">
        <f>$C342*CP341</f>
        <v/>
      </c>
      <c r="CQ342">
        <f>$C342*CQ341</f>
        <v/>
      </c>
      <c r="CR342">
        <f>$C342*CR341</f>
        <v/>
      </c>
      <c r="CS342">
        <f>$C342*CS341</f>
        <v/>
      </c>
      <c r="CT342">
        <f>$C342*CT341</f>
        <v/>
      </c>
      <c r="CU342">
        <f>$C342*CU341</f>
        <v/>
      </c>
      <c r="CV342">
        <f>$C342*CV341</f>
        <v/>
      </c>
      <c r="CW342">
        <f>$C342*CW341</f>
        <v/>
      </c>
      <c r="CX342">
        <f>$C342*CX341</f>
        <v/>
      </c>
      <c r="CY342">
        <f>$C342*CY341</f>
        <v/>
      </c>
      <c r="CZ342">
        <f>$C342*CZ341</f>
        <v/>
      </c>
      <c r="DA342">
        <f>$C342*DA341</f>
        <v/>
      </c>
      <c r="DB342">
        <f>$C342*DB341</f>
        <v/>
      </c>
      <c r="DC342">
        <f>$C342*DC341</f>
        <v/>
      </c>
    </row>
    <row r="343">
      <c r="B343" t="inlineStr">
        <is>
          <t>TSP-078</t>
        </is>
      </c>
      <c r="C343" t="inlineStr">
        <is>
          <t>No. of batches</t>
        </is>
      </c>
      <c r="D343">
        <f>IFERROR(INDEX(PP_Grid[#Data],$DD343,2),0)</f>
        <v/>
      </c>
      <c r="E343">
        <f>IFERROR(INDEX(PP_Grid[#Data],$DD343,3),0)</f>
        <v/>
      </c>
      <c r="F343">
        <f>IFERROR(INDEX(PP_Grid[#Data],$DD343,4),0)</f>
        <v/>
      </c>
      <c r="G343">
        <f>IFERROR(INDEX(PP_Grid[#Data],$DD343,5),0)</f>
        <v/>
      </c>
      <c r="H343">
        <f>IFERROR(INDEX(PP_Grid[#Data],$DD343,6),0)</f>
        <v/>
      </c>
      <c r="I343">
        <f>IFERROR(INDEX(PP_Grid[#Data],$DD343,7),0)</f>
        <v/>
      </c>
      <c r="J343">
        <f>IFERROR(INDEX(PP_Grid[#Data],$DD343,8),0)</f>
        <v/>
      </c>
      <c r="K343">
        <f>IFERROR(INDEX(PP_Grid[#Data],$DD343,9),0)</f>
        <v/>
      </c>
      <c r="L343">
        <f>IFERROR(INDEX(PP_Grid[#Data],$DD343,10),0)</f>
        <v/>
      </c>
      <c r="M343">
        <f>IFERROR(INDEX(PP_Grid[#Data],$DD343,11),0)</f>
        <v/>
      </c>
      <c r="N343">
        <f>IFERROR(INDEX(PP_Grid[#Data],$DD343,12),0)</f>
        <v/>
      </c>
      <c r="O343">
        <f>IFERROR(INDEX(PP_Grid[#Data],$DD343,13),0)</f>
        <v/>
      </c>
      <c r="P343">
        <f>IFERROR(INDEX(PP_Grid[#Data],$DD343,14),0)</f>
        <v/>
      </c>
      <c r="Q343">
        <f>IFERROR(INDEX(PP_Grid[#Data],$DD343,15),0)</f>
        <v/>
      </c>
      <c r="R343">
        <f>IFERROR(INDEX(PP_Grid[#Data],$DD343,16),0)</f>
        <v/>
      </c>
      <c r="S343">
        <f>IFERROR(INDEX(PP_Grid[#Data],$DD343,17),0)</f>
        <v/>
      </c>
      <c r="T343">
        <f>IFERROR(INDEX(PP_Grid[#Data],$DD343,18),0)</f>
        <v/>
      </c>
      <c r="U343">
        <f>IFERROR(INDEX(PP_Grid[#Data],$DD343,19),0)</f>
        <v/>
      </c>
      <c r="V343">
        <f>IFERROR(INDEX(PP_Grid[#Data],$DD343,20),0)</f>
        <v/>
      </c>
      <c r="W343">
        <f>IFERROR(INDEX(PP_Grid[#Data],$DD343,21),0)</f>
        <v/>
      </c>
      <c r="X343">
        <f>IFERROR(INDEX(PP_Grid[#Data],$DD343,22),0)</f>
        <v/>
      </c>
      <c r="Y343">
        <f>IFERROR(INDEX(PP_Grid[#Data],$DD343,23),0)</f>
        <v/>
      </c>
      <c r="Z343">
        <f>IFERROR(INDEX(PP_Grid[#Data],$DD343,24),0)</f>
        <v/>
      </c>
      <c r="AA343">
        <f>IFERROR(INDEX(PP_Grid[#Data],$DD343,25),0)</f>
        <v/>
      </c>
      <c r="AB343">
        <f>IFERROR(INDEX(PP_Grid[#Data],$DD343,26),0)</f>
        <v/>
      </c>
      <c r="AC343">
        <f>IFERROR(INDEX(PP_Grid[#Data],$DD343,27),0)</f>
        <v/>
      </c>
      <c r="AD343">
        <f>IFERROR(INDEX(PP_Grid[#Data],$DD343,28),0)</f>
        <v/>
      </c>
      <c r="AE343">
        <f>IFERROR(INDEX(PP_Grid[#Data],$DD343,29),0)</f>
        <v/>
      </c>
      <c r="AF343">
        <f>IFERROR(INDEX(PP_Grid[#Data],$DD343,30),0)</f>
        <v/>
      </c>
      <c r="AG343">
        <f>IFERROR(INDEX(PP_Grid[#Data],$DD343,31),0)</f>
        <v/>
      </c>
      <c r="AH343">
        <f>IFERROR(INDEX(PP_Grid[#Data],$DD343,32),0)</f>
        <v/>
      </c>
      <c r="AI343">
        <f>IFERROR(INDEX(PP_Grid[#Data],$DD343,33),0)</f>
        <v/>
      </c>
      <c r="AJ343">
        <f>IFERROR(INDEX(PP_Grid[#Data],$DD343,34),0)</f>
        <v/>
      </c>
      <c r="AK343">
        <f>IFERROR(INDEX(PP_Grid[#Data],$DD343,35),0)</f>
        <v/>
      </c>
      <c r="AL343">
        <f>IFERROR(INDEX(PP_Grid[#Data],$DD343,36),0)</f>
        <v/>
      </c>
      <c r="AM343">
        <f>IFERROR(INDEX(PP_Grid[#Data],$DD343,37),0)</f>
        <v/>
      </c>
      <c r="AN343">
        <f>IFERROR(INDEX(PP_Grid[#Data],$DD343,38),0)</f>
        <v/>
      </c>
      <c r="AO343">
        <f>IFERROR(INDEX(PP_Grid[#Data],$DD343,39),0)</f>
        <v/>
      </c>
      <c r="AP343">
        <f>IFERROR(INDEX(PP_Grid[#Data],$DD343,40),0)</f>
        <v/>
      </c>
      <c r="AQ343">
        <f>IFERROR(INDEX(PP_Grid[#Data],$DD343,41),0)</f>
        <v/>
      </c>
      <c r="AR343">
        <f>IFERROR(INDEX(PP_Grid[#Data],$DD343,42),0)</f>
        <v/>
      </c>
      <c r="AS343">
        <f>IFERROR(INDEX(PP_Grid[#Data],$DD343,43),0)</f>
        <v/>
      </c>
      <c r="AT343">
        <f>IFERROR(INDEX(PP_Grid[#Data],$DD343,44),0)</f>
        <v/>
      </c>
      <c r="AU343">
        <f>IFERROR(INDEX(PP_Grid[#Data],$DD343,45),0)</f>
        <v/>
      </c>
      <c r="AV343">
        <f>IFERROR(INDEX(PP_Grid[#Data],$DD343,46),0)</f>
        <v/>
      </c>
      <c r="AW343">
        <f>IFERROR(INDEX(PP_Grid[#Data],$DD343,47),0)</f>
        <v/>
      </c>
      <c r="AX343">
        <f>IFERROR(INDEX(PP_Grid[#Data],$DD343,48),0)</f>
        <v/>
      </c>
      <c r="AY343">
        <f>IFERROR(INDEX(PP_Grid[#Data],$DD343,49),0)</f>
        <v/>
      </c>
      <c r="AZ343">
        <f>IFERROR(INDEX(PP_Grid[#Data],$DD343,50),0)</f>
        <v/>
      </c>
      <c r="BA343">
        <f>IFERROR(INDEX(PP_Grid[#Data],$DD343,51),0)</f>
        <v/>
      </c>
      <c r="BB343">
        <f>IFERROR(INDEX(PP_Grid[#Data],$DD343,52),0)</f>
        <v/>
      </c>
      <c r="BC343">
        <f>IFERROR(INDEX(PP_Grid[#Data],$DD343,53),0)</f>
        <v/>
      </c>
      <c r="BD343">
        <f>IFERROR(INDEX(PP_Grid[#Data],$DD343,54),0)</f>
        <v/>
      </c>
      <c r="BE343">
        <f>IFERROR(INDEX(PP_Grid[#Data],$DD343,55),0)</f>
        <v/>
      </c>
      <c r="BF343">
        <f>IFERROR(INDEX(PP_Grid[#Data],$DD343,56),0)</f>
        <v/>
      </c>
      <c r="BG343">
        <f>IFERROR(INDEX(PP_Grid[#Data],$DD343,57),0)</f>
        <v/>
      </c>
      <c r="BH343">
        <f>IFERROR(INDEX(PP_Grid[#Data],$DD343,58),0)</f>
        <v/>
      </c>
      <c r="BI343">
        <f>IFERROR(INDEX(PP_Grid[#Data],$DD343,59),0)</f>
        <v/>
      </c>
      <c r="BJ343">
        <f>IFERROR(INDEX(PP_Grid[#Data],$DD343,60),0)</f>
        <v/>
      </c>
      <c r="BK343">
        <f>IFERROR(INDEX(PP_Grid[#Data],$DD343,61),0)</f>
        <v/>
      </c>
      <c r="BL343">
        <f>IFERROR(INDEX(PP_Grid[#Data],$DD343,62),0)</f>
        <v/>
      </c>
      <c r="BM343">
        <f>IFERROR(INDEX(PP_Grid[#Data],$DD343,63),0)</f>
        <v/>
      </c>
      <c r="BN343">
        <f>IFERROR(INDEX(PP_Grid[#Data],$DD343,64),0)</f>
        <v/>
      </c>
      <c r="BO343">
        <f>IFERROR(INDEX(PP_Grid[#Data],$DD343,65),0)</f>
        <v/>
      </c>
      <c r="BP343">
        <f>IFERROR(INDEX(PP_Grid[#Data],$DD343,66),0)</f>
        <v/>
      </c>
      <c r="BQ343">
        <f>IFERROR(INDEX(PP_Grid[#Data],$DD343,67),0)</f>
        <v/>
      </c>
      <c r="BR343">
        <f>IFERROR(INDEX(PP_Grid[#Data],$DD343,68),0)</f>
        <v/>
      </c>
      <c r="BS343">
        <f>IFERROR(INDEX(PP_Grid[#Data],$DD343,69),0)</f>
        <v/>
      </c>
      <c r="BT343">
        <f>IFERROR(INDEX(PP_Grid[#Data],$DD343,70),0)</f>
        <v/>
      </c>
      <c r="BU343">
        <f>IFERROR(INDEX(PP_Grid[#Data],$DD343,71),0)</f>
        <v/>
      </c>
      <c r="BV343">
        <f>IFERROR(INDEX(PP_Grid[#Data],$DD343,72),0)</f>
        <v/>
      </c>
      <c r="BW343">
        <f>IFERROR(INDEX(PP_Grid[#Data],$DD343,73),0)</f>
        <v/>
      </c>
      <c r="BX343">
        <f>IFERROR(INDEX(PP_Grid[#Data],$DD343,74),0)</f>
        <v/>
      </c>
      <c r="BY343">
        <f>IFERROR(INDEX(PP_Grid[#Data],$DD343,75),0)</f>
        <v/>
      </c>
      <c r="BZ343">
        <f>IFERROR(INDEX(PP_Grid[#Data],$DD343,76),0)</f>
        <v/>
      </c>
      <c r="CA343">
        <f>IFERROR(INDEX(PP_Grid[#Data],$DD343,77),0)</f>
        <v/>
      </c>
      <c r="CB343">
        <f>IFERROR(INDEX(PP_Grid[#Data],$DD343,78),0)</f>
        <v/>
      </c>
      <c r="CC343">
        <f>IFERROR(INDEX(PP_Grid[#Data],$DD343,79),0)</f>
        <v/>
      </c>
      <c r="CD343">
        <f>IFERROR(INDEX(PP_Grid[#Data],$DD343,80),0)</f>
        <v/>
      </c>
      <c r="CE343">
        <f>IFERROR(INDEX(PP_Grid[#Data],$DD343,81),0)</f>
        <v/>
      </c>
      <c r="CF343">
        <f>IFERROR(INDEX(PP_Grid[#Data],$DD343,82),0)</f>
        <v/>
      </c>
      <c r="CG343">
        <f>IFERROR(INDEX(PP_Grid[#Data],$DD343,83),0)</f>
        <v/>
      </c>
      <c r="CH343">
        <f>IFERROR(INDEX(PP_Grid[#Data],$DD343,84),0)</f>
        <v/>
      </c>
      <c r="CI343">
        <f>IFERROR(INDEX(PP_Grid[#Data],$DD343,85),0)</f>
        <v/>
      </c>
      <c r="CJ343">
        <f>IFERROR(INDEX(PP_Grid[#Data],$DD343,86),0)</f>
        <v/>
      </c>
      <c r="CK343">
        <f>IFERROR(INDEX(PP_Grid[#Data],$DD343,87),0)</f>
        <v/>
      </c>
      <c r="CL343">
        <f>IFERROR(INDEX(PP_Grid[#Data],$DD343,88),0)</f>
        <v/>
      </c>
      <c r="CM343">
        <f>IFERROR(INDEX(PP_Grid[#Data],$DD343,89),0)</f>
        <v/>
      </c>
      <c r="CN343">
        <f>IFERROR(INDEX(PP_Grid[#Data],$DD343,90),0)</f>
        <v/>
      </c>
      <c r="CO343">
        <f>IFERROR(INDEX(PP_Grid[#Data],$DD343,91),0)</f>
        <v/>
      </c>
      <c r="CP343">
        <f>IFERROR(INDEX(PP_Grid[#Data],$DD343,92),0)</f>
        <v/>
      </c>
      <c r="CQ343">
        <f>IFERROR(INDEX(PP_Grid[#Data],$DD343,93),0)</f>
        <v/>
      </c>
      <c r="CR343">
        <f>IFERROR(INDEX(PP_Grid[#Data],$DD343,94),0)</f>
        <v/>
      </c>
      <c r="CS343">
        <f>IFERROR(INDEX(PP_Grid[#Data],$DD343,95),0)</f>
        <v/>
      </c>
      <c r="CT343">
        <f>IFERROR(INDEX(PP_Grid[#Data],$DD343,96),0)</f>
        <v/>
      </c>
      <c r="CU343">
        <f>IFERROR(INDEX(PP_Grid[#Data],$DD343,97),0)</f>
        <v/>
      </c>
      <c r="CV343">
        <f>IFERROR(INDEX(PP_Grid[#Data],$DD343,98),0)</f>
        <v/>
      </c>
      <c r="CW343">
        <f>IFERROR(INDEX(PP_Grid[#Data],$DD343,99),0)</f>
        <v/>
      </c>
      <c r="CX343">
        <f>IFERROR(INDEX(PP_Grid[#Data],$DD343,100),0)</f>
        <v/>
      </c>
      <c r="CY343">
        <f>IFERROR(INDEX(PP_Grid[#Data],$DD343,101),0)</f>
        <v/>
      </c>
      <c r="CZ343">
        <f>IFERROR(INDEX(PP_Grid[#Data],$DD343,102),0)</f>
        <v/>
      </c>
      <c r="DA343">
        <f>IFERROR(INDEX(PP_Grid[#Data],$DD343,103),0)</f>
        <v/>
      </c>
      <c r="DB343">
        <f>IFERROR(INDEX(PP_Grid[#Data],$DD343,104),0)</f>
        <v/>
      </c>
      <c r="DC343">
        <f>IFERROR(INDEX(PP_Grid[#Data],$DD343,105),0)</f>
        <v/>
      </c>
      <c r="DD343" s="7">
        <f>IFERROR(MATCH($B343,PP_Grid[Intermediate],0),99999)</f>
        <v/>
      </c>
    </row>
    <row r="344">
      <c r="B344" t="inlineStr">
        <is>
          <t>使用量(kg)</t>
        </is>
      </c>
      <c r="C344">
        <f>SUMIFS(M_BOM[RM_Qty_Per_Batch],M_BOM[Intermediate],$B343,M_BOM[Part Name],$A340)</f>
        <v/>
      </c>
      <c r="D344">
        <f>$C344*D343</f>
        <v/>
      </c>
      <c r="E344">
        <f>$C344*E343</f>
        <v/>
      </c>
      <c r="F344">
        <f>$C344*F343</f>
        <v/>
      </c>
      <c r="G344">
        <f>$C344*G343</f>
        <v/>
      </c>
      <c r="H344">
        <f>$C344*H343</f>
        <v/>
      </c>
      <c r="I344">
        <f>$C344*I343</f>
        <v/>
      </c>
      <c r="J344">
        <f>$C344*J343</f>
        <v/>
      </c>
      <c r="K344">
        <f>$C344*K343</f>
        <v/>
      </c>
      <c r="L344">
        <f>$C344*L343</f>
        <v/>
      </c>
      <c r="M344">
        <f>$C344*M343</f>
        <v/>
      </c>
      <c r="N344">
        <f>$C344*N343</f>
        <v/>
      </c>
      <c r="O344">
        <f>$C344*O343</f>
        <v/>
      </c>
      <c r="P344">
        <f>$C344*P343</f>
        <v/>
      </c>
      <c r="Q344">
        <f>$C344*Q343</f>
        <v/>
      </c>
      <c r="R344">
        <f>$C344*R343</f>
        <v/>
      </c>
      <c r="S344">
        <f>$C344*S343</f>
        <v/>
      </c>
      <c r="T344">
        <f>$C344*T343</f>
        <v/>
      </c>
      <c r="U344">
        <f>$C344*U343</f>
        <v/>
      </c>
      <c r="V344">
        <f>$C344*V343</f>
        <v/>
      </c>
      <c r="W344">
        <f>$C344*W343</f>
        <v/>
      </c>
      <c r="X344">
        <f>$C344*X343</f>
        <v/>
      </c>
      <c r="Y344">
        <f>$C344*Y343</f>
        <v/>
      </c>
      <c r="Z344">
        <f>$C344*Z343</f>
        <v/>
      </c>
      <c r="AA344">
        <f>$C344*AA343</f>
        <v/>
      </c>
      <c r="AB344">
        <f>$C344*AB343</f>
        <v/>
      </c>
      <c r="AC344">
        <f>$C344*AC343</f>
        <v/>
      </c>
      <c r="AD344">
        <f>$C344*AD343</f>
        <v/>
      </c>
      <c r="AE344">
        <f>$C344*AE343</f>
        <v/>
      </c>
      <c r="AF344">
        <f>$C344*AF343</f>
        <v/>
      </c>
      <c r="AG344">
        <f>$C344*AG343</f>
        <v/>
      </c>
      <c r="AH344">
        <f>$C344*AH343</f>
        <v/>
      </c>
      <c r="AI344">
        <f>$C344*AI343</f>
        <v/>
      </c>
      <c r="AJ344">
        <f>$C344*AJ343</f>
        <v/>
      </c>
      <c r="AK344">
        <f>$C344*AK343</f>
        <v/>
      </c>
      <c r="AL344">
        <f>$C344*AL343</f>
        <v/>
      </c>
      <c r="AM344">
        <f>$C344*AM343</f>
        <v/>
      </c>
      <c r="AN344">
        <f>$C344*AN343</f>
        <v/>
      </c>
      <c r="AO344">
        <f>$C344*AO343</f>
        <v/>
      </c>
      <c r="AP344">
        <f>$C344*AP343</f>
        <v/>
      </c>
      <c r="AQ344">
        <f>$C344*AQ343</f>
        <v/>
      </c>
      <c r="AR344">
        <f>$C344*AR343</f>
        <v/>
      </c>
      <c r="AS344">
        <f>$C344*AS343</f>
        <v/>
      </c>
      <c r="AT344">
        <f>$C344*AT343</f>
        <v/>
      </c>
      <c r="AU344">
        <f>$C344*AU343</f>
        <v/>
      </c>
      <c r="AV344">
        <f>$C344*AV343</f>
        <v/>
      </c>
      <c r="AW344">
        <f>$C344*AW343</f>
        <v/>
      </c>
      <c r="AX344">
        <f>$C344*AX343</f>
        <v/>
      </c>
      <c r="AY344">
        <f>$C344*AY343</f>
        <v/>
      </c>
      <c r="AZ344">
        <f>$C344*AZ343</f>
        <v/>
      </c>
      <c r="BA344">
        <f>$C344*BA343</f>
        <v/>
      </c>
      <c r="BB344">
        <f>$C344*BB343</f>
        <v/>
      </c>
      <c r="BC344">
        <f>$C344*BC343</f>
        <v/>
      </c>
      <c r="BD344">
        <f>$C344*BD343</f>
        <v/>
      </c>
      <c r="BE344">
        <f>$C344*BE343</f>
        <v/>
      </c>
      <c r="BF344">
        <f>$C344*BF343</f>
        <v/>
      </c>
      <c r="BG344">
        <f>$C344*BG343</f>
        <v/>
      </c>
      <c r="BH344">
        <f>$C344*BH343</f>
        <v/>
      </c>
      <c r="BI344">
        <f>$C344*BI343</f>
        <v/>
      </c>
      <c r="BJ344">
        <f>$C344*BJ343</f>
        <v/>
      </c>
      <c r="BK344">
        <f>$C344*BK343</f>
        <v/>
      </c>
      <c r="BL344">
        <f>$C344*BL343</f>
        <v/>
      </c>
      <c r="BM344">
        <f>$C344*BM343</f>
        <v/>
      </c>
      <c r="BN344">
        <f>$C344*BN343</f>
        <v/>
      </c>
      <c r="BO344">
        <f>$C344*BO343</f>
        <v/>
      </c>
      <c r="BP344">
        <f>$C344*BP343</f>
        <v/>
      </c>
      <c r="BQ344">
        <f>$C344*BQ343</f>
        <v/>
      </c>
      <c r="BR344">
        <f>$C344*BR343</f>
        <v/>
      </c>
      <c r="BS344">
        <f>$C344*BS343</f>
        <v/>
      </c>
      <c r="BT344">
        <f>$C344*BT343</f>
        <v/>
      </c>
      <c r="BU344">
        <f>$C344*BU343</f>
        <v/>
      </c>
      <c r="BV344">
        <f>$C344*BV343</f>
        <v/>
      </c>
      <c r="BW344">
        <f>$C344*BW343</f>
        <v/>
      </c>
      <c r="BX344">
        <f>$C344*BX343</f>
        <v/>
      </c>
      <c r="BY344">
        <f>$C344*BY343</f>
        <v/>
      </c>
      <c r="BZ344">
        <f>$C344*BZ343</f>
        <v/>
      </c>
      <c r="CA344">
        <f>$C344*CA343</f>
        <v/>
      </c>
      <c r="CB344">
        <f>$C344*CB343</f>
        <v/>
      </c>
      <c r="CC344">
        <f>$C344*CC343</f>
        <v/>
      </c>
      <c r="CD344">
        <f>$C344*CD343</f>
        <v/>
      </c>
      <c r="CE344">
        <f>$C344*CE343</f>
        <v/>
      </c>
      <c r="CF344">
        <f>$C344*CF343</f>
        <v/>
      </c>
      <c r="CG344">
        <f>$C344*CG343</f>
        <v/>
      </c>
      <c r="CH344">
        <f>$C344*CH343</f>
        <v/>
      </c>
      <c r="CI344">
        <f>$C344*CI343</f>
        <v/>
      </c>
      <c r="CJ344">
        <f>$C344*CJ343</f>
        <v/>
      </c>
      <c r="CK344">
        <f>$C344*CK343</f>
        <v/>
      </c>
      <c r="CL344">
        <f>$C344*CL343</f>
        <v/>
      </c>
      <c r="CM344">
        <f>$C344*CM343</f>
        <v/>
      </c>
      <c r="CN344">
        <f>$C344*CN343</f>
        <v/>
      </c>
      <c r="CO344">
        <f>$C344*CO343</f>
        <v/>
      </c>
      <c r="CP344">
        <f>$C344*CP343</f>
        <v/>
      </c>
      <c r="CQ344">
        <f>$C344*CQ343</f>
        <v/>
      </c>
      <c r="CR344">
        <f>$C344*CR343</f>
        <v/>
      </c>
      <c r="CS344">
        <f>$C344*CS343</f>
        <v/>
      </c>
      <c r="CT344">
        <f>$C344*CT343</f>
        <v/>
      </c>
      <c r="CU344">
        <f>$C344*CU343</f>
        <v/>
      </c>
      <c r="CV344">
        <f>$C344*CV343</f>
        <v/>
      </c>
      <c r="CW344">
        <f>$C344*CW343</f>
        <v/>
      </c>
      <c r="CX344">
        <f>$C344*CX343</f>
        <v/>
      </c>
      <c r="CY344">
        <f>$C344*CY343</f>
        <v/>
      </c>
      <c r="CZ344">
        <f>$C344*CZ343</f>
        <v/>
      </c>
      <c r="DA344">
        <f>$C344*DA343</f>
        <v/>
      </c>
      <c r="DB344">
        <f>$C344*DB343</f>
        <v/>
      </c>
      <c r="DC344">
        <f>$C344*DC343</f>
        <v/>
      </c>
    </row>
    <row r="345">
      <c r="B345" t="inlineStr">
        <is>
          <t>TSP-105</t>
        </is>
      </c>
      <c r="C345" t="inlineStr">
        <is>
          <t>No. of batches</t>
        </is>
      </c>
      <c r="D345">
        <f>IFERROR(INDEX(PP_Grid[#Data],$DD345,2),0)</f>
        <v/>
      </c>
      <c r="E345">
        <f>IFERROR(INDEX(PP_Grid[#Data],$DD345,3),0)</f>
        <v/>
      </c>
      <c r="F345">
        <f>IFERROR(INDEX(PP_Grid[#Data],$DD345,4),0)</f>
        <v/>
      </c>
      <c r="G345">
        <f>IFERROR(INDEX(PP_Grid[#Data],$DD345,5),0)</f>
        <v/>
      </c>
      <c r="H345">
        <f>IFERROR(INDEX(PP_Grid[#Data],$DD345,6),0)</f>
        <v/>
      </c>
      <c r="I345">
        <f>IFERROR(INDEX(PP_Grid[#Data],$DD345,7),0)</f>
        <v/>
      </c>
      <c r="J345">
        <f>IFERROR(INDEX(PP_Grid[#Data],$DD345,8),0)</f>
        <v/>
      </c>
      <c r="K345">
        <f>IFERROR(INDEX(PP_Grid[#Data],$DD345,9),0)</f>
        <v/>
      </c>
      <c r="L345">
        <f>IFERROR(INDEX(PP_Grid[#Data],$DD345,10),0)</f>
        <v/>
      </c>
      <c r="M345">
        <f>IFERROR(INDEX(PP_Grid[#Data],$DD345,11),0)</f>
        <v/>
      </c>
      <c r="N345">
        <f>IFERROR(INDEX(PP_Grid[#Data],$DD345,12),0)</f>
        <v/>
      </c>
      <c r="O345">
        <f>IFERROR(INDEX(PP_Grid[#Data],$DD345,13),0)</f>
        <v/>
      </c>
      <c r="P345">
        <f>IFERROR(INDEX(PP_Grid[#Data],$DD345,14),0)</f>
        <v/>
      </c>
      <c r="Q345">
        <f>IFERROR(INDEX(PP_Grid[#Data],$DD345,15),0)</f>
        <v/>
      </c>
      <c r="R345">
        <f>IFERROR(INDEX(PP_Grid[#Data],$DD345,16),0)</f>
        <v/>
      </c>
      <c r="S345">
        <f>IFERROR(INDEX(PP_Grid[#Data],$DD345,17),0)</f>
        <v/>
      </c>
      <c r="T345">
        <f>IFERROR(INDEX(PP_Grid[#Data],$DD345,18),0)</f>
        <v/>
      </c>
      <c r="U345">
        <f>IFERROR(INDEX(PP_Grid[#Data],$DD345,19),0)</f>
        <v/>
      </c>
      <c r="V345">
        <f>IFERROR(INDEX(PP_Grid[#Data],$DD345,20),0)</f>
        <v/>
      </c>
      <c r="W345">
        <f>IFERROR(INDEX(PP_Grid[#Data],$DD345,21),0)</f>
        <v/>
      </c>
      <c r="X345">
        <f>IFERROR(INDEX(PP_Grid[#Data],$DD345,22),0)</f>
        <v/>
      </c>
      <c r="Y345">
        <f>IFERROR(INDEX(PP_Grid[#Data],$DD345,23),0)</f>
        <v/>
      </c>
      <c r="Z345">
        <f>IFERROR(INDEX(PP_Grid[#Data],$DD345,24),0)</f>
        <v/>
      </c>
      <c r="AA345">
        <f>IFERROR(INDEX(PP_Grid[#Data],$DD345,25),0)</f>
        <v/>
      </c>
      <c r="AB345">
        <f>IFERROR(INDEX(PP_Grid[#Data],$DD345,26),0)</f>
        <v/>
      </c>
      <c r="AC345">
        <f>IFERROR(INDEX(PP_Grid[#Data],$DD345,27),0)</f>
        <v/>
      </c>
      <c r="AD345">
        <f>IFERROR(INDEX(PP_Grid[#Data],$DD345,28),0)</f>
        <v/>
      </c>
      <c r="AE345">
        <f>IFERROR(INDEX(PP_Grid[#Data],$DD345,29),0)</f>
        <v/>
      </c>
      <c r="AF345">
        <f>IFERROR(INDEX(PP_Grid[#Data],$DD345,30),0)</f>
        <v/>
      </c>
      <c r="AG345">
        <f>IFERROR(INDEX(PP_Grid[#Data],$DD345,31),0)</f>
        <v/>
      </c>
      <c r="AH345">
        <f>IFERROR(INDEX(PP_Grid[#Data],$DD345,32),0)</f>
        <v/>
      </c>
      <c r="AI345">
        <f>IFERROR(INDEX(PP_Grid[#Data],$DD345,33),0)</f>
        <v/>
      </c>
      <c r="AJ345">
        <f>IFERROR(INDEX(PP_Grid[#Data],$DD345,34),0)</f>
        <v/>
      </c>
      <c r="AK345">
        <f>IFERROR(INDEX(PP_Grid[#Data],$DD345,35),0)</f>
        <v/>
      </c>
      <c r="AL345">
        <f>IFERROR(INDEX(PP_Grid[#Data],$DD345,36),0)</f>
        <v/>
      </c>
      <c r="AM345">
        <f>IFERROR(INDEX(PP_Grid[#Data],$DD345,37),0)</f>
        <v/>
      </c>
      <c r="AN345">
        <f>IFERROR(INDEX(PP_Grid[#Data],$DD345,38),0)</f>
        <v/>
      </c>
      <c r="AO345">
        <f>IFERROR(INDEX(PP_Grid[#Data],$DD345,39),0)</f>
        <v/>
      </c>
      <c r="AP345">
        <f>IFERROR(INDEX(PP_Grid[#Data],$DD345,40),0)</f>
        <v/>
      </c>
      <c r="AQ345">
        <f>IFERROR(INDEX(PP_Grid[#Data],$DD345,41),0)</f>
        <v/>
      </c>
      <c r="AR345">
        <f>IFERROR(INDEX(PP_Grid[#Data],$DD345,42),0)</f>
        <v/>
      </c>
      <c r="AS345">
        <f>IFERROR(INDEX(PP_Grid[#Data],$DD345,43),0)</f>
        <v/>
      </c>
      <c r="AT345">
        <f>IFERROR(INDEX(PP_Grid[#Data],$DD345,44),0)</f>
        <v/>
      </c>
      <c r="AU345">
        <f>IFERROR(INDEX(PP_Grid[#Data],$DD345,45),0)</f>
        <v/>
      </c>
      <c r="AV345">
        <f>IFERROR(INDEX(PP_Grid[#Data],$DD345,46),0)</f>
        <v/>
      </c>
      <c r="AW345">
        <f>IFERROR(INDEX(PP_Grid[#Data],$DD345,47),0)</f>
        <v/>
      </c>
      <c r="AX345">
        <f>IFERROR(INDEX(PP_Grid[#Data],$DD345,48),0)</f>
        <v/>
      </c>
      <c r="AY345">
        <f>IFERROR(INDEX(PP_Grid[#Data],$DD345,49),0)</f>
        <v/>
      </c>
      <c r="AZ345">
        <f>IFERROR(INDEX(PP_Grid[#Data],$DD345,50),0)</f>
        <v/>
      </c>
      <c r="BA345">
        <f>IFERROR(INDEX(PP_Grid[#Data],$DD345,51),0)</f>
        <v/>
      </c>
      <c r="BB345">
        <f>IFERROR(INDEX(PP_Grid[#Data],$DD345,52),0)</f>
        <v/>
      </c>
      <c r="BC345">
        <f>IFERROR(INDEX(PP_Grid[#Data],$DD345,53),0)</f>
        <v/>
      </c>
      <c r="BD345">
        <f>IFERROR(INDEX(PP_Grid[#Data],$DD345,54),0)</f>
        <v/>
      </c>
      <c r="BE345">
        <f>IFERROR(INDEX(PP_Grid[#Data],$DD345,55),0)</f>
        <v/>
      </c>
      <c r="BF345">
        <f>IFERROR(INDEX(PP_Grid[#Data],$DD345,56),0)</f>
        <v/>
      </c>
      <c r="BG345">
        <f>IFERROR(INDEX(PP_Grid[#Data],$DD345,57),0)</f>
        <v/>
      </c>
      <c r="BH345">
        <f>IFERROR(INDEX(PP_Grid[#Data],$DD345,58),0)</f>
        <v/>
      </c>
      <c r="BI345">
        <f>IFERROR(INDEX(PP_Grid[#Data],$DD345,59),0)</f>
        <v/>
      </c>
      <c r="BJ345">
        <f>IFERROR(INDEX(PP_Grid[#Data],$DD345,60),0)</f>
        <v/>
      </c>
      <c r="BK345">
        <f>IFERROR(INDEX(PP_Grid[#Data],$DD345,61),0)</f>
        <v/>
      </c>
      <c r="BL345">
        <f>IFERROR(INDEX(PP_Grid[#Data],$DD345,62),0)</f>
        <v/>
      </c>
      <c r="BM345">
        <f>IFERROR(INDEX(PP_Grid[#Data],$DD345,63),0)</f>
        <v/>
      </c>
      <c r="BN345">
        <f>IFERROR(INDEX(PP_Grid[#Data],$DD345,64),0)</f>
        <v/>
      </c>
      <c r="BO345">
        <f>IFERROR(INDEX(PP_Grid[#Data],$DD345,65),0)</f>
        <v/>
      </c>
      <c r="BP345">
        <f>IFERROR(INDEX(PP_Grid[#Data],$DD345,66),0)</f>
        <v/>
      </c>
      <c r="BQ345">
        <f>IFERROR(INDEX(PP_Grid[#Data],$DD345,67),0)</f>
        <v/>
      </c>
      <c r="BR345">
        <f>IFERROR(INDEX(PP_Grid[#Data],$DD345,68),0)</f>
        <v/>
      </c>
      <c r="BS345">
        <f>IFERROR(INDEX(PP_Grid[#Data],$DD345,69),0)</f>
        <v/>
      </c>
      <c r="BT345">
        <f>IFERROR(INDEX(PP_Grid[#Data],$DD345,70),0)</f>
        <v/>
      </c>
      <c r="BU345">
        <f>IFERROR(INDEX(PP_Grid[#Data],$DD345,71),0)</f>
        <v/>
      </c>
      <c r="BV345">
        <f>IFERROR(INDEX(PP_Grid[#Data],$DD345,72),0)</f>
        <v/>
      </c>
      <c r="BW345">
        <f>IFERROR(INDEX(PP_Grid[#Data],$DD345,73),0)</f>
        <v/>
      </c>
      <c r="BX345">
        <f>IFERROR(INDEX(PP_Grid[#Data],$DD345,74),0)</f>
        <v/>
      </c>
      <c r="BY345">
        <f>IFERROR(INDEX(PP_Grid[#Data],$DD345,75),0)</f>
        <v/>
      </c>
      <c r="BZ345">
        <f>IFERROR(INDEX(PP_Grid[#Data],$DD345,76),0)</f>
        <v/>
      </c>
      <c r="CA345">
        <f>IFERROR(INDEX(PP_Grid[#Data],$DD345,77),0)</f>
        <v/>
      </c>
      <c r="CB345">
        <f>IFERROR(INDEX(PP_Grid[#Data],$DD345,78),0)</f>
        <v/>
      </c>
      <c r="CC345">
        <f>IFERROR(INDEX(PP_Grid[#Data],$DD345,79),0)</f>
        <v/>
      </c>
      <c r="CD345">
        <f>IFERROR(INDEX(PP_Grid[#Data],$DD345,80),0)</f>
        <v/>
      </c>
      <c r="CE345">
        <f>IFERROR(INDEX(PP_Grid[#Data],$DD345,81),0)</f>
        <v/>
      </c>
      <c r="CF345">
        <f>IFERROR(INDEX(PP_Grid[#Data],$DD345,82),0)</f>
        <v/>
      </c>
      <c r="CG345">
        <f>IFERROR(INDEX(PP_Grid[#Data],$DD345,83),0)</f>
        <v/>
      </c>
      <c r="CH345">
        <f>IFERROR(INDEX(PP_Grid[#Data],$DD345,84),0)</f>
        <v/>
      </c>
      <c r="CI345">
        <f>IFERROR(INDEX(PP_Grid[#Data],$DD345,85),0)</f>
        <v/>
      </c>
      <c r="CJ345">
        <f>IFERROR(INDEX(PP_Grid[#Data],$DD345,86),0)</f>
        <v/>
      </c>
      <c r="CK345">
        <f>IFERROR(INDEX(PP_Grid[#Data],$DD345,87),0)</f>
        <v/>
      </c>
      <c r="CL345">
        <f>IFERROR(INDEX(PP_Grid[#Data],$DD345,88),0)</f>
        <v/>
      </c>
      <c r="CM345">
        <f>IFERROR(INDEX(PP_Grid[#Data],$DD345,89),0)</f>
        <v/>
      </c>
      <c r="CN345">
        <f>IFERROR(INDEX(PP_Grid[#Data],$DD345,90),0)</f>
        <v/>
      </c>
      <c r="CO345">
        <f>IFERROR(INDEX(PP_Grid[#Data],$DD345,91),0)</f>
        <v/>
      </c>
      <c r="CP345">
        <f>IFERROR(INDEX(PP_Grid[#Data],$DD345,92),0)</f>
        <v/>
      </c>
      <c r="CQ345">
        <f>IFERROR(INDEX(PP_Grid[#Data],$DD345,93),0)</f>
        <v/>
      </c>
      <c r="CR345">
        <f>IFERROR(INDEX(PP_Grid[#Data],$DD345,94),0)</f>
        <v/>
      </c>
      <c r="CS345">
        <f>IFERROR(INDEX(PP_Grid[#Data],$DD345,95),0)</f>
        <v/>
      </c>
      <c r="CT345">
        <f>IFERROR(INDEX(PP_Grid[#Data],$DD345,96),0)</f>
        <v/>
      </c>
      <c r="CU345">
        <f>IFERROR(INDEX(PP_Grid[#Data],$DD345,97),0)</f>
        <v/>
      </c>
      <c r="CV345">
        <f>IFERROR(INDEX(PP_Grid[#Data],$DD345,98),0)</f>
        <v/>
      </c>
      <c r="CW345">
        <f>IFERROR(INDEX(PP_Grid[#Data],$DD345,99),0)</f>
        <v/>
      </c>
      <c r="CX345">
        <f>IFERROR(INDEX(PP_Grid[#Data],$DD345,100),0)</f>
        <v/>
      </c>
      <c r="CY345">
        <f>IFERROR(INDEX(PP_Grid[#Data],$DD345,101),0)</f>
        <v/>
      </c>
      <c r="CZ345">
        <f>IFERROR(INDEX(PP_Grid[#Data],$DD345,102),0)</f>
        <v/>
      </c>
      <c r="DA345">
        <f>IFERROR(INDEX(PP_Grid[#Data],$DD345,103),0)</f>
        <v/>
      </c>
      <c r="DB345">
        <f>IFERROR(INDEX(PP_Grid[#Data],$DD345,104),0)</f>
        <v/>
      </c>
      <c r="DC345">
        <f>IFERROR(INDEX(PP_Grid[#Data],$DD345,105),0)</f>
        <v/>
      </c>
      <c r="DD345" s="7">
        <f>IFERROR(MATCH($B345,PP_Grid[Intermediate],0),99999)</f>
        <v/>
      </c>
    </row>
    <row r="346">
      <c r="B346" t="inlineStr">
        <is>
          <t>使用量(kg)</t>
        </is>
      </c>
      <c r="C346">
        <f>SUMIFS(M_BOM[RM_Qty_Per_Batch],M_BOM[Intermediate],$B345,M_BOM[Part Name],$A340)</f>
        <v/>
      </c>
      <c r="D346">
        <f>$C346*D345</f>
        <v/>
      </c>
      <c r="E346">
        <f>$C346*E345</f>
        <v/>
      </c>
      <c r="F346">
        <f>$C346*F345</f>
        <v/>
      </c>
      <c r="G346">
        <f>$C346*G345</f>
        <v/>
      </c>
      <c r="H346">
        <f>$C346*H345</f>
        <v/>
      </c>
      <c r="I346">
        <f>$C346*I345</f>
        <v/>
      </c>
      <c r="J346">
        <f>$C346*J345</f>
        <v/>
      </c>
      <c r="K346">
        <f>$C346*K345</f>
        <v/>
      </c>
      <c r="L346">
        <f>$C346*L345</f>
        <v/>
      </c>
      <c r="M346">
        <f>$C346*M345</f>
        <v/>
      </c>
      <c r="N346">
        <f>$C346*N345</f>
        <v/>
      </c>
      <c r="O346">
        <f>$C346*O345</f>
        <v/>
      </c>
      <c r="P346">
        <f>$C346*P345</f>
        <v/>
      </c>
      <c r="Q346">
        <f>$C346*Q345</f>
        <v/>
      </c>
      <c r="R346">
        <f>$C346*R345</f>
        <v/>
      </c>
      <c r="S346">
        <f>$C346*S345</f>
        <v/>
      </c>
      <c r="T346">
        <f>$C346*T345</f>
        <v/>
      </c>
      <c r="U346">
        <f>$C346*U345</f>
        <v/>
      </c>
      <c r="V346">
        <f>$C346*V345</f>
        <v/>
      </c>
      <c r="W346">
        <f>$C346*W345</f>
        <v/>
      </c>
      <c r="X346">
        <f>$C346*X345</f>
        <v/>
      </c>
      <c r="Y346">
        <f>$C346*Y345</f>
        <v/>
      </c>
      <c r="Z346">
        <f>$C346*Z345</f>
        <v/>
      </c>
      <c r="AA346">
        <f>$C346*AA345</f>
        <v/>
      </c>
      <c r="AB346">
        <f>$C346*AB345</f>
        <v/>
      </c>
      <c r="AC346">
        <f>$C346*AC345</f>
        <v/>
      </c>
      <c r="AD346">
        <f>$C346*AD345</f>
        <v/>
      </c>
      <c r="AE346">
        <f>$C346*AE345</f>
        <v/>
      </c>
      <c r="AF346">
        <f>$C346*AF345</f>
        <v/>
      </c>
      <c r="AG346">
        <f>$C346*AG345</f>
        <v/>
      </c>
      <c r="AH346">
        <f>$C346*AH345</f>
        <v/>
      </c>
      <c r="AI346">
        <f>$C346*AI345</f>
        <v/>
      </c>
      <c r="AJ346">
        <f>$C346*AJ345</f>
        <v/>
      </c>
      <c r="AK346">
        <f>$C346*AK345</f>
        <v/>
      </c>
      <c r="AL346">
        <f>$C346*AL345</f>
        <v/>
      </c>
      <c r="AM346">
        <f>$C346*AM345</f>
        <v/>
      </c>
      <c r="AN346">
        <f>$C346*AN345</f>
        <v/>
      </c>
      <c r="AO346">
        <f>$C346*AO345</f>
        <v/>
      </c>
      <c r="AP346">
        <f>$C346*AP345</f>
        <v/>
      </c>
      <c r="AQ346">
        <f>$C346*AQ345</f>
        <v/>
      </c>
      <c r="AR346">
        <f>$C346*AR345</f>
        <v/>
      </c>
      <c r="AS346">
        <f>$C346*AS345</f>
        <v/>
      </c>
      <c r="AT346">
        <f>$C346*AT345</f>
        <v/>
      </c>
      <c r="AU346">
        <f>$C346*AU345</f>
        <v/>
      </c>
      <c r="AV346">
        <f>$C346*AV345</f>
        <v/>
      </c>
      <c r="AW346">
        <f>$C346*AW345</f>
        <v/>
      </c>
      <c r="AX346">
        <f>$C346*AX345</f>
        <v/>
      </c>
      <c r="AY346">
        <f>$C346*AY345</f>
        <v/>
      </c>
      <c r="AZ346">
        <f>$C346*AZ345</f>
        <v/>
      </c>
      <c r="BA346">
        <f>$C346*BA345</f>
        <v/>
      </c>
      <c r="BB346">
        <f>$C346*BB345</f>
        <v/>
      </c>
      <c r="BC346">
        <f>$C346*BC345</f>
        <v/>
      </c>
      <c r="BD346">
        <f>$C346*BD345</f>
        <v/>
      </c>
      <c r="BE346">
        <f>$C346*BE345</f>
        <v/>
      </c>
      <c r="BF346">
        <f>$C346*BF345</f>
        <v/>
      </c>
      <c r="BG346">
        <f>$C346*BG345</f>
        <v/>
      </c>
      <c r="BH346">
        <f>$C346*BH345</f>
        <v/>
      </c>
      <c r="BI346">
        <f>$C346*BI345</f>
        <v/>
      </c>
      <c r="BJ346">
        <f>$C346*BJ345</f>
        <v/>
      </c>
      <c r="BK346">
        <f>$C346*BK345</f>
        <v/>
      </c>
      <c r="BL346">
        <f>$C346*BL345</f>
        <v/>
      </c>
      <c r="BM346">
        <f>$C346*BM345</f>
        <v/>
      </c>
      <c r="BN346">
        <f>$C346*BN345</f>
        <v/>
      </c>
      <c r="BO346">
        <f>$C346*BO345</f>
        <v/>
      </c>
      <c r="BP346">
        <f>$C346*BP345</f>
        <v/>
      </c>
      <c r="BQ346">
        <f>$C346*BQ345</f>
        <v/>
      </c>
      <c r="BR346">
        <f>$C346*BR345</f>
        <v/>
      </c>
      <c r="BS346">
        <f>$C346*BS345</f>
        <v/>
      </c>
      <c r="BT346">
        <f>$C346*BT345</f>
        <v/>
      </c>
      <c r="BU346">
        <f>$C346*BU345</f>
        <v/>
      </c>
      <c r="BV346">
        <f>$C346*BV345</f>
        <v/>
      </c>
      <c r="BW346">
        <f>$C346*BW345</f>
        <v/>
      </c>
      <c r="BX346">
        <f>$C346*BX345</f>
        <v/>
      </c>
      <c r="BY346">
        <f>$C346*BY345</f>
        <v/>
      </c>
      <c r="BZ346">
        <f>$C346*BZ345</f>
        <v/>
      </c>
      <c r="CA346">
        <f>$C346*CA345</f>
        <v/>
      </c>
      <c r="CB346">
        <f>$C346*CB345</f>
        <v/>
      </c>
      <c r="CC346">
        <f>$C346*CC345</f>
        <v/>
      </c>
      <c r="CD346">
        <f>$C346*CD345</f>
        <v/>
      </c>
      <c r="CE346">
        <f>$C346*CE345</f>
        <v/>
      </c>
      <c r="CF346">
        <f>$C346*CF345</f>
        <v/>
      </c>
      <c r="CG346">
        <f>$C346*CG345</f>
        <v/>
      </c>
      <c r="CH346">
        <f>$C346*CH345</f>
        <v/>
      </c>
      <c r="CI346">
        <f>$C346*CI345</f>
        <v/>
      </c>
      <c r="CJ346">
        <f>$C346*CJ345</f>
        <v/>
      </c>
      <c r="CK346">
        <f>$C346*CK345</f>
        <v/>
      </c>
      <c r="CL346">
        <f>$C346*CL345</f>
        <v/>
      </c>
      <c r="CM346">
        <f>$C346*CM345</f>
        <v/>
      </c>
      <c r="CN346">
        <f>$C346*CN345</f>
        <v/>
      </c>
      <c r="CO346">
        <f>$C346*CO345</f>
        <v/>
      </c>
      <c r="CP346">
        <f>$C346*CP345</f>
        <v/>
      </c>
      <c r="CQ346">
        <f>$C346*CQ345</f>
        <v/>
      </c>
      <c r="CR346">
        <f>$C346*CR345</f>
        <v/>
      </c>
      <c r="CS346">
        <f>$C346*CS345</f>
        <v/>
      </c>
      <c r="CT346">
        <f>$C346*CT345</f>
        <v/>
      </c>
      <c r="CU346">
        <f>$C346*CU345</f>
        <v/>
      </c>
      <c r="CV346">
        <f>$C346*CV345</f>
        <v/>
      </c>
      <c r="CW346">
        <f>$C346*CW345</f>
        <v/>
      </c>
      <c r="CX346">
        <f>$C346*CX345</f>
        <v/>
      </c>
      <c r="CY346">
        <f>$C346*CY345</f>
        <v/>
      </c>
      <c r="CZ346">
        <f>$C346*CZ345</f>
        <v/>
      </c>
      <c r="DA346">
        <f>$C346*DA345</f>
        <v/>
      </c>
      <c r="DB346">
        <f>$C346*DB345</f>
        <v/>
      </c>
      <c r="DC346">
        <f>$C346*DC345</f>
        <v/>
      </c>
    </row>
    <row r="347">
      <c r="B347" t="inlineStr">
        <is>
          <t>TSP-199</t>
        </is>
      </c>
      <c r="C347" t="inlineStr">
        <is>
          <t>No. of batches</t>
        </is>
      </c>
      <c r="D347">
        <f>IFERROR(INDEX(PP_Grid[#Data],$DD347,2),0)</f>
        <v/>
      </c>
      <c r="E347">
        <f>IFERROR(INDEX(PP_Grid[#Data],$DD347,3),0)</f>
        <v/>
      </c>
      <c r="F347">
        <f>IFERROR(INDEX(PP_Grid[#Data],$DD347,4),0)</f>
        <v/>
      </c>
      <c r="G347">
        <f>IFERROR(INDEX(PP_Grid[#Data],$DD347,5),0)</f>
        <v/>
      </c>
      <c r="H347">
        <f>IFERROR(INDEX(PP_Grid[#Data],$DD347,6),0)</f>
        <v/>
      </c>
      <c r="I347">
        <f>IFERROR(INDEX(PP_Grid[#Data],$DD347,7),0)</f>
        <v/>
      </c>
      <c r="J347">
        <f>IFERROR(INDEX(PP_Grid[#Data],$DD347,8),0)</f>
        <v/>
      </c>
      <c r="K347">
        <f>IFERROR(INDEX(PP_Grid[#Data],$DD347,9),0)</f>
        <v/>
      </c>
      <c r="L347">
        <f>IFERROR(INDEX(PP_Grid[#Data],$DD347,10),0)</f>
        <v/>
      </c>
      <c r="M347">
        <f>IFERROR(INDEX(PP_Grid[#Data],$DD347,11),0)</f>
        <v/>
      </c>
      <c r="N347">
        <f>IFERROR(INDEX(PP_Grid[#Data],$DD347,12),0)</f>
        <v/>
      </c>
      <c r="O347">
        <f>IFERROR(INDEX(PP_Grid[#Data],$DD347,13),0)</f>
        <v/>
      </c>
      <c r="P347">
        <f>IFERROR(INDEX(PP_Grid[#Data],$DD347,14),0)</f>
        <v/>
      </c>
      <c r="Q347">
        <f>IFERROR(INDEX(PP_Grid[#Data],$DD347,15),0)</f>
        <v/>
      </c>
      <c r="R347">
        <f>IFERROR(INDEX(PP_Grid[#Data],$DD347,16),0)</f>
        <v/>
      </c>
      <c r="S347">
        <f>IFERROR(INDEX(PP_Grid[#Data],$DD347,17),0)</f>
        <v/>
      </c>
      <c r="T347">
        <f>IFERROR(INDEX(PP_Grid[#Data],$DD347,18),0)</f>
        <v/>
      </c>
      <c r="U347">
        <f>IFERROR(INDEX(PP_Grid[#Data],$DD347,19),0)</f>
        <v/>
      </c>
      <c r="V347">
        <f>IFERROR(INDEX(PP_Grid[#Data],$DD347,20),0)</f>
        <v/>
      </c>
      <c r="W347">
        <f>IFERROR(INDEX(PP_Grid[#Data],$DD347,21),0)</f>
        <v/>
      </c>
      <c r="X347">
        <f>IFERROR(INDEX(PP_Grid[#Data],$DD347,22),0)</f>
        <v/>
      </c>
      <c r="Y347">
        <f>IFERROR(INDEX(PP_Grid[#Data],$DD347,23),0)</f>
        <v/>
      </c>
      <c r="Z347">
        <f>IFERROR(INDEX(PP_Grid[#Data],$DD347,24),0)</f>
        <v/>
      </c>
      <c r="AA347">
        <f>IFERROR(INDEX(PP_Grid[#Data],$DD347,25),0)</f>
        <v/>
      </c>
      <c r="AB347">
        <f>IFERROR(INDEX(PP_Grid[#Data],$DD347,26),0)</f>
        <v/>
      </c>
      <c r="AC347">
        <f>IFERROR(INDEX(PP_Grid[#Data],$DD347,27),0)</f>
        <v/>
      </c>
      <c r="AD347">
        <f>IFERROR(INDEX(PP_Grid[#Data],$DD347,28),0)</f>
        <v/>
      </c>
      <c r="AE347">
        <f>IFERROR(INDEX(PP_Grid[#Data],$DD347,29),0)</f>
        <v/>
      </c>
      <c r="AF347">
        <f>IFERROR(INDEX(PP_Grid[#Data],$DD347,30),0)</f>
        <v/>
      </c>
      <c r="AG347">
        <f>IFERROR(INDEX(PP_Grid[#Data],$DD347,31),0)</f>
        <v/>
      </c>
      <c r="AH347">
        <f>IFERROR(INDEX(PP_Grid[#Data],$DD347,32),0)</f>
        <v/>
      </c>
      <c r="AI347">
        <f>IFERROR(INDEX(PP_Grid[#Data],$DD347,33),0)</f>
        <v/>
      </c>
      <c r="AJ347">
        <f>IFERROR(INDEX(PP_Grid[#Data],$DD347,34),0)</f>
        <v/>
      </c>
      <c r="AK347">
        <f>IFERROR(INDEX(PP_Grid[#Data],$DD347,35),0)</f>
        <v/>
      </c>
      <c r="AL347">
        <f>IFERROR(INDEX(PP_Grid[#Data],$DD347,36),0)</f>
        <v/>
      </c>
      <c r="AM347">
        <f>IFERROR(INDEX(PP_Grid[#Data],$DD347,37),0)</f>
        <v/>
      </c>
      <c r="AN347">
        <f>IFERROR(INDEX(PP_Grid[#Data],$DD347,38),0)</f>
        <v/>
      </c>
      <c r="AO347">
        <f>IFERROR(INDEX(PP_Grid[#Data],$DD347,39),0)</f>
        <v/>
      </c>
      <c r="AP347">
        <f>IFERROR(INDEX(PP_Grid[#Data],$DD347,40),0)</f>
        <v/>
      </c>
      <c r="AQ347">
        <f>IFERROR(INDEX(PP_Grid[#Data],$DD347,41),0)</f>
        <v/>
      </c>
      <c r="AR347">
        <f>IFERROR(INDEX(PP_Grid[#Data],$DD347,42),0)</f>
        <v/>
      </c>
      <c r="AS347">
        <f>IFERROR(INDEX(PP_Grid[#Data],$DD347,43),0)</f>
        <v/>
      </c>
      <c r="AT347">
        <f>IFERROR(INDEX(PP_Grid[#Data],$DD347,44),0)</f>
        <v/>
      </c>
      <c r="AU347">
        <f>IFERROR(INDEX(PP_Grid[#Data],$DD347,45),0)</f>
        <v/>
      </c>
      <c r="AV347">
        <f>IFERROR(INDEX(PP_Grid[#Data],$DD347,46),0)</f>
        <v/>
      </c>
      <c r="AW347">
        <f>IFERROR(INDEX(PP_Grid[#Data],$DD347,47),0)</f>
        <v/>
      </c>
      <c r="AX347">
        <f>IFERROR(INDEX(PP_Grid[#Data],$DD347,48),0)</f>
        <v/>
      </c>
      <c r="AY347">
        <f>IFERROR(INDEX(PP_Grid[#Data],$DD347,49),0)</f>
        <v/>
      </c>
      <c r="AZ347">
        <f>IFERROR(INDEX(PP_Grid[#Data],$DD347,50),0)</f>
        <v/>
      </c>
      <c r="BA347">
        <f>IFERROR(INDEX(PP_Grid[#Data],$DD347,51),0)</f>
        <v/>
      </c>
      <c r="BB347">
        <f>IFERROR(INDEX(PP_Grid[#Data],$DD347,52),0)</f>
        <v/>
      </c>
      <c r="BC347">
        <f>IFERROR(INDEX(PP_Grid[#Data],$DD347,53),0)</f>
        <v/>
      </c>
      <c r="BD347">
        <f>IFERROR(INDEX(PP_Grid[#Data],$DD347,54),0)</f>
        <v/>
      </c>
      <c r="BE347">
        <f>IFERROR(INDEX(PP_Grid[#Data],$DD347,55),0)</f>
        <v/>
      </c>
      <c r="BF347">
        <f>IFERROR(INDEX(PP_Grid[#Data],$DD347,56),0)</f>
        <v/>
      </c>
      <c r="BG347">
        <f>IFERROR(INDEX(PP_Grid[#Data],$DD347,57),0)</f>
        <v/>
      </c>
      <c r="BH347">
        <f>IFERROR(INDEX(PP_Grid[#Data],$DD347,58),0)</f>
        <v/>
      </c>
      <c r="BI347">
        <f>IFERROR(INDEX(PP_Grid[#Data],$DD347,59),0)</f>
        <v/>
      </c>
      <c r="BJ347">
        <f>IFERROR(INDEX(PP_Grid[#Data],$DD347,60),0)</f>
        <v/>
      </c>
      <c r="BK347">
        <f>IFERROR(INDEX(PP_Grid[#Data],$DD347,61),0)</f>
        <v/>
      </c>
      <c r="BL347">
        <f>IFERROR(INDEX(PP_Grid[#Data],$DD347,62),0)</f>
        <v/>
      </c>
      <c r="BM347">
        <f>IFERROR(INDEX(PP_Grid[#Data],$DD347,63),0)</f>
        <v/>
      </c>
      <c r="BN347">
        <f>IFERROR(INDEX(PP_Grid[#Data],$DD347,64),0)</f>
        <v/>
      </c>
      <c r="BO347">
        <f>IFERROR(INDEX(PP_Grid[#Data],$DD347,65),0)</f>
        <v/>
      </c>
      <c r="BP347">
        <f>IFERROR(INDEX(PP_Grid[#Data],$DD347,66),0)</f>
        <v/>
      </c>
      <c r="BQ347">
        <f>IFERROR(INDEX(PP_Grid[#Data],$DD347,67),0)</f>
        <v/>
      </c>
      <c r="BR347">
        <f>IFERROR(INDEX(PP_Grid[#Data],$DD347,68),0)</f>
        <v/>
      </c>
      <c r="BS347">
        <f>IFERROR(INDEX(PP_Grid[#Data],$DD347,69),0)</f>
        <v/>
      </c>
      <c r="BT347">
        <f>IFERROR(INDEX(PP_Grid[#Data],$DD347,70),0)</f>
        <v/>
      </c>
      <c r="BU347">
        <f>IFERROR(INDEX(PP_Grid[#Data],$DD347,71),0)</f>
        <v/>
      </c>
      <c r="BV347">
        <f>IFERROR(INDEX(PP_Grid[#Data],$DD347,72),0)</f>
        <v/>
      </c>
      <c r="BW347">
        <f>IFERROR(INDEX(PP_Grid[#Data],$DD347,73),0)</f>
        <v/>
      </c>
      <c r="BX347">
        <f>IFERROR(INDEX(PP_Grid[#Data],$DD347,74),0)</f>
        <v/>
      </c>
      <c r="BY347">
        <f>IFERROR(INDEX(PP_Grid[#Data],$DD347,75),0)</f>
        <v/>
      </c>
      <c r="BZ347">
        <f>IFERROR(INDEX(PP_Grid[#Data],$DD347,76),0)</f>
        <v/>
      </c>
      <c r="CA347">
        <f>IFERROR(INDEX(PP_Grid[#Data],$DD347,77),0)</f>
        <v/>
      </c>
      <c r="CB347">
        <f>IFERROR(INDEX(PP_Grid[#Data],$DD347,78),0)</f>
        <v/>
      </c>
      <c r="CC347">
        <f>IFERROR(INDEX(PP_Grid[#Data],$DD347,79),0)</f>
        <v/>
      </c>
      <c r="CD347">
        <f>IFERROR(INDEX(PP_Grid[#Data],$DD347,80),0)</f>
        <v/>
      </c>
      <c r="CE347">
        <f>IFERROR(INDEX(PP_Grid[#Data],$DD347,81),0)</f>
        <v/>
      </c>
      <c r="CF347">
        <f>IFERROR(INDEX(PP_Grid[#Data],$DD347,82),0)</f>
        <v/>
      </c>
      <c r="CG347">
        <f>IFERROR(INDEX(PP_Grid[#Data],$DD347,83),0)</f>
        <v/>
      </c>
      <c r="CH347">
        <f>IFERROR(INDEX(PP_Grid[#Data],$DD347,84),0)</f>
        <v/>
      </c>
      <c r="CI347">
        <f>IFERROR(INDEX(PP_Grid[#Data],$DD347,85),0)</f>
        <v/>
      </c>
      <c r="CJ347">
        <f>IFERROR(INDEX(PP_Grid[#Data],$DD347,86),0)</f>
        <v/>
      </c>
      <c r="CK347">
        <f>IFERROR(INDEX(PP_Grid[#Data],$DD347,87),0)</f>
        <v/>
      </c>
      <c r="CL347">
        <f>IFERROR(INDEX(PP_Grid[#Data],$DD347,88),0)</f>
        <v/>
      </c>
      <c r="CM347">
        <f>IFERROR(INDEX(PP_Grid[#Data],$DD347,89),0)</f>
        <v/>
      </c>
      <c r="CN347">
        <f>IFERROR(INDEX(PP_Grid[#Data],$DD347,90),0)</f>
        <v/>
      </c>
      <c r="CO347">
        <f>IFERROR(INDEX(PP_Grid[#Data],$DD347,91),0)</f>
        <v/>
      </c>
      <c r="CP347">
        <f>IFERROR(INDEX(PP_Grid[#Data],$DD347,92),0)</f>
        <v/>
      </c>
      <c r="CQ347">
        <f>IFERROR(INDEX(PP_Grid[#Data],$DD347,93),0)</f>
        <v/>
      </c>
      <c r="CR347">
        <f>IFERROR(INDEX(PP_Grid[#Data],$DD347,94),0)</f>
        <v/>
      </c>
      <c r="CS347">
        <f>IFERROR(INDEX(PP_Grid[#Data],$DD347,95),0)</f>
        <v/>
      </c>
      <c r="CT347">
        <f>IFERROR(INDEX(PP_Grid[#Data],$DD347,96),0)</f>
        <v/>
      </c>
      <c r="CU347">
        <f>IFERROR(INDEX(PP_Grid[#Data],$DD347,97),0)</f>
        <v/>
      </c>
      <c r="CV347">
        <f>IFERROR(INDEX(PP_Grid[#Data],$DD347,98),0)</f>
        <v/>
      </c>
      <c r="CW347">
        <f>IFERROR(INDEX(PP_Grid[#Data],$DD347,99),0)</f>
        <v/>
      </c>
      <c r="CX347">
        <f>IFERROR(INDEX(PP_Grid[#Data],$DD347,100),0)</f>
        <v/>
      </c>
      <c r="CY347">
        <f>IFERROR(INDEX(PP_Grid[#Data],$DD347,101),0)</f>
        <v/>
      </c>
      <c r="CZ347">
        <f>IFERROR(INDEX(PP_Grid[#Data],$DD347,102),0)</f>
        <v/>
      </c>
      <c r="DA347">
        <f>IFERROR(INDEX(PP_Grid[#Data],$DD347,103),0)</f>
        <v/>
      </c>
      <c r="DB347">
        <f>IFERROR(INDEX(PP_Grid[#Data],$DD347,104),0)</f>
        <v/>
      </c>
      <c r="DC347">
        <f>IFERROR(INDEX(PP_Grid[#Data],$DD347,105),0)</f>
        <v/>
      </c>
      <c r="DD347" s="7">
        <f>IFERROR(MATCH($B347,PP_Grid[Intermediate],0),99999)</f>
        <v/>
      </c>
    </row>
    <row r="348">
      <c r="B348" t="inlineStr">
        <is>
          <t>使用量(kg)</t>
        </is>
      </c>
      <c r="C348">
        <f>SUMIFS(M_BOM[RM_Qty_Per_Batch],M_BOM[Intermediate],$B347,M_BOM[Part Name],$A340)</f>
        <v/>
      </c>
      <c r="D348">
        <f>$C348*D347</f>
        <v/>
      </c>
      <c r="E348">
        <f>$C348*E347</f>
        <v/>
      </c>
      <c r="F348">
        <f>$C348*F347</f>
        <v/>
      </c>
      <c r="G348">
        <f>$C348*G347</f>
        <v/>
      </c>
      <c r="H348">
        <f>$C348*H347</f>
        <v/>
      </c>
      <c r="I348">
        <f>$C348*I347</f>
        <v/>
      </c>
      <c r="J348">
        <f>$C348*J347</f>
        <v/>
      </c>
      <c r="K348">
        <f>$C348*K347</f>
        <v/>
      </c>
      <c r="L348">
        <f>$C348*L347</f>
        <v/>
      </c>
      <c r="M348">
        <f>$C348*M347</f>
        <v/>
      </c>
      <c r="N348">
        <f>$C348*N347</f>
        <v/>
      </c>
      <c r="O348">
        <f>$C348*O347</f>
        <v/>
      </c>
      <c r="P348">
        <f>$C348*P347</f>
        <v/>
      </c>
      <c r="Q348">
        <f>$C348*Q347</f>
        <v/>
      </c>
      <c r="R348">
        <f>$C348*R347</f>
        <v/>
      </c>
      <c r="S348">
        <f>$C348*S347</f>
        <v/>
      </c>
      <c r="T348">
        <f>$C348*T347</f>
        <v/>
      </c>
      <c r="U348">
        <f>$C348*U347</f>
        <v/>
      </c>
      <c r="V348">
        <f>$C348*V347</f>
        <v/>
      </c>
      <c r="W348">
        <f>$C348*W347</f>
        <v/>
      </c>
      <c r="X348">
        <f>$C348*X347</f>
        <v/>
      </c>
      <c r="Y348">
        <f>$C348*Y347</f>
        <v/>
      </c>
      <c r="Z348">
        <f>$C348*Z347</f>
        <v/>
      </c>
      <c r="AA348">
        <f>$C348*AA347</f>
        <v/>
      </c>
      <c r="AB348">
        <f>$C348*AB347</f>
        <v/>
      </c>
      <c r="AC348">
        <f>$C348*AC347</f>
        <v/>
      </c>
      <c r="AD348">
        <f>$C348*AD347</f>
        <v/>
      </c>
      <c r="AE348">
        <f>$C348*AE347</f>
        <v/>
      </c>
      <c r="AF348">
        <f>$C348*AF347</f>
        <v/>
      </c>
      <c r="AG348">
        <f>$C348*AG347</f>
        <v/>
      </c>
      <c r="AH348">
        <f>$C348*AH347</f>
        <v/>
      </c>
      <c r="AI348">
        <f>$C348*AI347</f>
        <v/>
      </c>
      <c r="AJ348">
        <f>$C348*AJ347</f>
        <v/>
      </c>
      <c r="AK348">
        <f>$C348*AK347</f>
        <v/>
      </c>
      <c r="AL348">
        <f>$C348*AL347</f>
        <v/>
      </c>
      <c r="AM348">
        <f>$C348*AM347</f>
        <v/>
      </c>
      <c r="AN348">
        <f>$C348*AN347</f>
        <v/>
      </c>
      <c r="AO348">
        <f>$C348*AO347</f>
        <v/>
      </c>
      <c r="AP348">
        <f>$C348*AP347</f>
        <v/>
      </c>
      <c r="AQ348">
        <f>$C348*AQ347</f>
        <v/>
      </c>
      <c r="AR348">
        <f>$C348*AR347</f>
        <v/>
      </c>
      <c r="AS348">
        <f>$C348*AS347</f>
        <v/>
      </c>
      <c r="AT348">
        <f>$C348*AT347</f>
        <v/>
      </c>
      <c r="AU348">
        <f>$C348*AU347</f>
        <v/>
      </c>
      <c r="AV348">
        <f>$C348*AV347</f>
        <v/>
      </c>
      <c r="AW348">
        <f>$C348*AW347</f>
        <v/>
      </c>
      <c r="AX348">
        <f>$C348*AX347</f>
        <v/>
      </c>
      <c r="AY348">
        <f>$C348*AY347</f>
        <v/>
      </c>
      <c r="AZ348">
        <f>$C348*AZ347</f>
        <v/>
      </c>
      <c r="BA348">
        <f>$C348*BA347</f>
        <v/>
      </c>
      <c r="BB348">
        <f>$C348*BB347</f>
        <v/>
      </c>
      <c r="BC348">
        <f>$C348*BC347</f>
        <v/>
      </c>
      <c r="BD348">
        <f>$C348*BD347</f>
        <v/>
      </c>
      <c r="BE348">
        <f>$C348*BE347</f>
        <v/>
      </c>
      <c r="BF348">
        <f>$C348*BF347</f>
        <v/>
      </c>
      <c r="BG348">
        <f>$C348*BG347</f>
        <v/>
      </c>
      <c r="BH348">
        <f>$C348*BH347</f>
        <v/>
      </c>
      <c r="BI348">
        <f>$C348*BI347</f>
        <v/>
      </c>
      <c r="BJ348">
        <f>$C348*BJ347</f>
        <v/>
      </c>
      <c r="BK348">
        <f>$C348*BK347</f>
        <v/>
      </c>
      <c r="BL348">
        <f>$C348*BL347</f>
        <v/>
      </c>
      <c r="BM348">
        <f>$C348*BM347</f>
        <v/>
      </c>
      <c r="BN348">
        <f>$C348*BN347</f>
        <v/>
      </c>
      <c r="BO348">
        <f>$C348*BO347</f>
        <v/>
      </c>
      <c r="BP348">
        <f>$C348*BP347</f>
        <v/>
      </c>
      <c r="BQ348">
        <f>$C348*BQ347</f>
        <v/>
      </c>
      <c r="BR348">
        <f>$C348*BR347</f>
        <v/>
      </c>
      <c r="BS348">
        <f>$C348*BS347</f>
        <v/>
      </c>
      <c r="BT348">
        <f>$C348*BT347</f>
        <v/>
      </c>
      <c r="BU348">
        <f>$C348*BU347</f>
        <v/>
      </c>
      <c r="BV348">
        <f>$C348*BV347</f>
        <v/>
      </c>
      <c r="BW348">
        <f>$C348*BW347</f>
        <v/>
      </c>
      <c r="BX348">
        <f>$C348*BX347</f>
        <v/>
      </c>
      <c r="BY348">
        <f>$C348*BY347</f>
        <v/>
      </c>
      <c r="BZ348">
        <f>$C348*BZ347</f>
        <v/>
      </c>
      <c r="CA348">
        <f>$C348*CA347</f>
        <v/>
      </c>
      <c r="CB348">
        <f>$C348*CB347</f>
        <v/>
      </c>
      <c r="CC348">
        <f>$C348*CC347</f>
        <v/>
      </c>
      <c r="CD348">
        <f>$C348*CD347</f>
        <v/>
      </c>
      <c r="CE348">
        <f>$C348*CE347</f>
        <v/>
      </c>
      <c r="CF348">
        <f>$C348*CF347</f>
        <v/>
      </c>
      <c r="CG348">
        <f>$C348*CG347</f>
        <v/>
      </c>
      <c r="CH348">
        <f>$C348*CH347</f>
        <v/>
      </c>
      <c r="CI348">
        <f>$C348*CI347</f>
        <v/>
      </c>
      <c r="CJ348">
        <f>$C348*CJ347</f>
        <v/>
      </c>
      <c r="CK348">
        <f>$C348*CK347</f>
        <v/>
      </c>
      <c r="CL348">
        <f>$C348*CL347</f>
        <v/>
      </c>
      <c r="CM348">
        <f>$C348*CM347</f>
        <v/>
      </c>
      <c r="CN348">
        <f>$C348*CN347</f>
        <v/>
      </c>
      <c r="CO348">
        <f>$C348*CO347</f>
        <v/>
      </c>
      <c r="CP348">
        <f>$C348*CP347</f>
        <v/>
      </c>
      <c r="CQ348">
        <f>$C348*CQ347</f>
        <v/>
      </c>
      <c r="CR348">
        <f>$C348*CR347</f>
        <v/>
      </c>
      <c r="CS348">
        <f>$C348*CS347</f>
        <v/>
      </c>
      <c r="CT348">
        <f>$C348*CT347</f>
        <v/>
      </c>
      <c r="CU348">
        <f>$C348*CU347</f>
        <v/>
      </c>
      <c r="CV348">
        <f>$C348*CV347</f>
        <v/>
      </c>
      <c r="CW348">
        <f>$C348*CW347</f>
        <v/>
      </c>
      <c r="CX348">
        <f>$C348*CX347</f>
        <v/>
      </c>
      <c r="CY348">
        <f>$C348*CY347</f>
        <v/>
      </c>
      <c r="CZ348">
        <f>$C348*CZ347</f>
        <v/>
      </c>
      <c r="DA348">
        <f>$C348*DA347</f>
        <v/>
      </c>
      <c r="DB348">
        <f>$C348*DB347</f>
        <v/>
      </c>
      <c r="DC348">
        <f>$C348*DC347</f>
        <v/>
      </c>
    </row>
    <row r="349">
      <c r="B349" t="inlineStr">
        <is>
          <t>TSP-205</t>
        </is>
      </c>
      <c r="C349" t="inlineStr">
        <is>
          <t>No. of batches</t>
        </is>
      </c>
      <c r="D349">
        <f>IFERROR(INDEX(PP_Grid[#Data],$DD349,2),0)</f>
        <v/>
      </c>
      <c r="E349">
        <f>IFERROR(INDEX(PP_Grid[#Data],$DD349,3),0)</f>
        <v/>
      </c>
      <c r="F349">
        <f>IFERROR(INDEX(PP_Grid[#Data],$DD349,4),0)</f>
        <v/>
      </c>
      <c r="G349">
        <f>IFERROR(INDEX(PP_Grid[#Data],$DD349,5),0)</f>
        <v/>
      </c>
      <c r="H349">
        <f>IFERROR(INDEX(PP_Grid[#Data],$DD349,6),0)</f>
        <v/>
      </c>
      <c r="I349">
        <f>IFERROR(INDEX(PP_Grid[#Data],$DD349,7),0)</f>
        <v/>
      </c>
      <c r="J349">
        <f>IFERROR(INDEX(PP_Grid[#Data],$DD349,8),0)</f>
        <v/>
      </c>
      <c r="K349">
        <f>IFERROR(INDEX(PP_Grid[#Data],$DD349,9),0)</f>
        <v/>
      </c>
      <c r="L349">
        <f>IFERROR(INDEX(PP_Grid[#Data],$DD349,10),0)</f>
        <v/>
      </c>
      <c r="M349">
        <f>IFERROR(INDEX(PP_Grid[#Data],$DD349,11),0)</f>
        <v/>
      </c>
      <c r="N349">
        <f>IFERROR(INDEX(PP_Grid[#Data],$DD349,12),0)</f>
        <v/>
      </c>
      <c r="O349">
        <f>IFERROR(INDEX(PP_Grid[#Data],$DD349,13),0)</f>
        <v/>
      </c>
      <c r="P349">
        <f>IFERROR(INDEX(PP_Grid[#Data],$DD349,14),0)</f>
        <v/>
      </c>
      <c r="Q349">
        <f>IFERROR(INDEX(PP_Grid[#Data],$DD349,15),0)</f>
        <v/>
      </c>
      <c r="R349">
        <f>IFERROR(INDEX(PP_Grid[#Data],$DD349,16),0)</f>
        <v/>
      </c>
      <c r="S349">
        <f>IFERROR(INDEX(PP_Grid[#Data],$DD349,17),0)</f>
        <v/>
      </c>
      <c r="T349">
        <f>IFERROR(INDEX(PP_Grid[#Data],$DD349,18),0)</f>
        <v/>
      </c>
      <c r="U349">
        <f>IFERROR(INDEX(PP_Grid[#Data],$DD349,19),0)</f>
        <v/>
      </c>
      <c r="V349">
        <f>IFERROR(INDEX(PP_Grid[#Data],$DD349,20),0)</f>
        <v/>
      </c>
      <c r="W349">
        <f>IFERROR(INDEX(PP_Grid[#Data],$DD349,21),0)</f>
        <v/>
      </c>
      <c r="X349">
        <f>IFERROR(INDEX(PP_Grid[#Data],$DD349,22),0)</f>
        <v/>
      </c>
      <c r="Y349">
        <f>IFERROR(INDEX(PP_Grid[#Data],$DD349,23),0)</f>
        <v/>
      </c>
      <c r="Z349">
        <f>IFERROR(INDEX(PP_Grid[#Data],$DD349,24),0)</f>
        <v/>
      </c>
      <c r="AA349">
        <f>IFERROR(INDEX(PP_Grid[#Data],$DD349,25),0)</f>
        <v/>
      </c>
      <c r="AB349">
        <f>IFERROR(INDEX(PP_Grid[#Data],$DD349,26),0)</f>
        <v/>
      </c>
      <c r="AC349">
        <f>IFERROR(INDEX(PP_Grid[#Data],$DD349,27),0)</f>
        <v/>
      </c>
      <c r="AD349">
        <f>IFERROR(INDEX(PP_Grid[#Data],$DD349,28),0)</f>
        <v/>
      </c>
      <c r="AE349">
        <f>IFERROR(INDEX(PP_Grid[#Data],$DD349,29),0)</f>
        <v/>
      </c>
      <c r="AF349">
        <f>IFERROR(INDEX(PP_Grid[#Data],$DD349,30),0)</f>
        <v/>
      </c>
      <c r="AG349">
        <f>IFERROR(INDEX(PP_Grid[#Data],$DD349,31),0)</f>
        <v/>
      </c>
      <c r="AH349">
        <f>IFERROR(INDEX(PP_Grid[#Data],$DD349,32),0)</f>
        <v/>
      </c>
      <c r="AI349">
        <f>IFERROR(INDEX(PP_Grid[#Data],$DD349,33),0)</f>
        <v/>
      </c>
      <c r="AJ349">
        <f>IFERROR(INDEX(PP_Grid[#Data],$DD349,34),0)</f>
        <v/>
      </c>
      <c r="AK349">
        <f>IFERROR(INDEX(PP_Grid[#Data],$DD349,35),0)</f>
        <v/>
      </c>
      <c r="AL349">
        <f>IFERROR(INDEX(PP_Grid[#Data],$DD349,36),0)</f>
        <v/>
      </c>
      <c r="AM349">
        <f>IFERROR(INDEX(PP_Grid[#Data],$DD349,37),0)</f>
        <v/>
      </c>
      <c r="AN349">
        <f>IFERROR(INDEX(PP_Grid[#Data],$DD349,38),0)</f>
        <v/>
      </c>
      <c r="AO349">
        <f>IFERROR(INDEX(PP_Grid[#Data],$DD349,39),0)</f>
        <v/>
      </c>
      <c r="AP349">
        <f>IFERROR(INDEX(PP_Grid[#Data],$DD349,40),0)</f>
        <v/>
      </c>
      <c r="AQ349">
        <f>IFERROR(INDEX(PP_Grid[#Data],$DD349,41),0)</f>
        <v/>
      </c>
      <c r="AR349">
        <f>IFERROR(INDEX(PP_Grid[#Data],$DD349,42),0)</f>
        <v/>
      </c>
      <c r="AS349">
        <f>IFERROR(INDEX(PP_Grid[#Data],$DD349,43),0)</f>
        <v/>
      </c>
      <c r="AT349">
        <f>IFERROR(INDEX(PP_Grid[#Data],$DD349,44),0)</f>
        <v/>
      </c>
      <c r="AU349">
        <f>IFERROR(INDEX(PP_Grid[#Data],$DD349,45),0)</f>
        <v/>
      </c>
      <c r="AV349">
        <f>IFERROR(INDEX(PP_Grid[#Data],$DD349,46),0)</f>
        <v/>
      </c>
      <c r="AW349">
        <f>IFERROR(INDEX(PP_Grid[#Data],$DD349,47),0)</f>
        <v/>
      </c>
      <c r="AX349">
        <f>IFERROR(INDEX(PP_Grid[#Data],$DD349,48),0)</f>
        <v/>
      </c>
      <c r="AY349">
        <f>IFERROR(INDEX(PP_Grid[#Data],$DD349,49),0)</f>
        <v/>
      </c>
      <c r="AZ349">
        <f>IFERROR(INDEX(PP_Grid[#Data],$DD349,50),0)</f>
        <v/>
      </c>
      <c r="BA349">
        <f>IFERROR(INDEX(PP_Grid[#Data],$DD349,51),0)</f>
        <v/>
      </c>
      <c r="BB349">
        <f>IFERROR(INDEX(PP_Grid[#Data],$DD349,52),0)</f>
        <v/>
      </c>
      <c r="BC349">
        <f>IFERROR(INDEX(PP_Grid[#Data],$DD349,53),0)</f>
        <v/>
      </c>
      <c r="BD349">
        <f>IFERROR(INDEX(PP_Grid[#Data],$DD349,54),0)</f>
        <v/>
      </c>
      <c r="BE349">
        <f>IFERROR(INDEX(PP_Grid[#Data],$DD349,55),0)</f>
        <v/>
      </c>
      <c r="BF349">
        <f>IFERROR(INDEX(PP_Grid[#Data],$DD349,56),0)</f>
        <v/>
      </c>
      <c r="BG349">
        <f>IFERROR(INDEX(PP_Grid[#Data],$DD349,57),0)</f>
        <v/>
      </c>
      <c r="BH349">
        <f>IFERROR(INDEX(PP_Grid[#Data],$DD349,58),0)</f>
        <v/>
      </c>
      <c r="BI349">
        <f>IFERROR(INDEX(PP_Grid[#Data],$DD349,59),0)</f>
        <v/>
      </c>
      <c r="BJ349">
        <f>IFERROR(INDEX(PP_Grid[#Data],$DD349,60),0)</f>
        <v/>
      </c>
      <c r="BK349">
        <f>IFERROR(INDEX(PP_Grid[#Data],$DD349,61),0)</f>
        <v/>
      </c>
      <c r="BL349">
        <f>IFERROR(INDEX(PP_Grid[#Data],$DD349,62),0)</f>
        <v/>
      </c>
      <c r="BM349">
        <f>IFERROR(INDEX(PP_Grid[#Data],$DD349,63),0)</f>
        <v/>
      </c>
      <c r="BN349">
        <f>IFERROR(INDEX(PP_Grid[#Data],$DD349,64),0)</f>
        <v/>
      </c>
      <c r="BO349">
        <f>IFERROR(INDEX(PP_Grid[#Data],$DD349,65),0)</f>
        <v/>
      </c>
      <c r="BP349">
        <f>IFERROR(INDEX(PP_Grid[#Data],$DD349,66),0)</f>
        <v/>
      </c>
      <c r="BQ349">
        <f>IFERROR(INDEX(PP_Grid[#Data],$DD349,67),0)</f>
        <v/>
      </c>
      <c r="BR349">
        <f>IFERROR(INDEX(PP_Grid[#Data],$DD349,68),0)</f>
        <v/>
      </c>
      <c r="BS349">
        <f>IFERROR(INDEX(PP_Grid[#Data],$DD349,69),0)</f>
        <v/>
      </c>
      <c r="BT349">
        <f>IFERROR(INDEX(PP_Grid[#Data],$DD349,70),0)</f>
        <v/>
      </c>
      <c r="BU349">
        <f>IFERROR(INDEX(PP_Grid[#Data],$DD349,71),0)</f>
        <v/>
      </c>
      <c r="BV349">
        <f>IFERROR(INDEX(PP_Grid[#Data],$DD349,72),0)</f>
        <v/>
      </c>
      <c r="BW349">
        <f>IFERROR(INDEX(PP_Grid[#Data],$DD349,73),0)</f>
        <v/>
      </c>
      <c r="BX349">
        <f>IFERROR(INDEX(PP_Grid[#Data],$DD349,74),0)</f>
        <v/>
      </c>
      <c r="BY349">
        <f>IFERROR(INDEX(PP_Grid[#Data],$DD349,75),0)</f>
        <v/>
      </c>
      <c r="BZ349">
        <f>IFERROR(INDEX(PP_Grid[#Data],$DD349,76),0)</f>
        <v/>
      </c>
      <c r="CA349">
        <f>IFERROR(INDEX(PP_Grid[#Data],$DD349,77),0)</f>
        <v/>
      </c>
      <c r="CB349">
        <f>IFERROR(INDEX(PP_Grid[#Data],$DD349,78),0)</f>
        <v/>
      </c>
      <c r="CC349">
        <f>IFERROR(INDEX(PP_Grid[#Data],$DD349,79),0)</f>
        <v/>
      </c>
      <c r="CD349">
        <f>IFERROR(INDEX(PP_Grid[#Data],$DD349,80),0)</f>
        <v/>
      </c>
      <c r="CE349">
        <f>IFERROR(INDEX(PP_Grid[#Data],$DD349,81),0)</f>
        <v/>
      </c>
      <c r="CF349">
        <f>IFERROR(INDEX(PP_Grid[#Data],$DD349,82),0)</f>
        <v/>
      </c>
      <c r="CG349">
        <f>IFERROR(INDEX(PP_Grid[#Data],$DD349,83),0)</f>
        <v/>
      </c>
      <c r="CH349">
        <f>IFERROR(INDEX(PP_Grid[#Data],$DD349,84),0)</f>
        <v/>
      </c>
      <c r="CI349">
        <f>IFERROR(INDEX(PP_Grid[#Data],$DD349,85),0)</f>
        <v/>
      </c>
      <c r="CJ349">
        <f>IFERROR(INDEX(PP_Grid[#Data],$DD349,86),0)</f>
        <v/>
      </c>
      <c r="CK349">
        <f>IFERROR(INDEX(PP_Grid[#Data],$DD349,87),0)</f>
        <v/>
      </c>
      <c r="CL349">
        <f>IFERROR(INDEX(PP_Grid[#Data],$DD349,88),0)</f>
        <v/>
      </c>
      <c r="CM349">
        <f>IFERROR(INDEX(PP_Grid[#Data],$DD349,89),0)</f>
        <v/>
      </c>
      <c r="CN349">
        <f>IFERROR(INDEX(PP_Grid[#Data],$DD349,90),0)</f>
        <v/>
      </c>
      <c r="CO349">
        <f>IFERROR(INDEX(PP_Grid[#Data],$DD349,91),0)</f>
        <v/>
      </c>
      <c r="CP349">
        <f>IFERROR(INDEX(PP_Grid[#Data],$DD349,92),0)</f>
        <v/>
      </c>
      <c r="CQ349">
        <f>IFERROR(INDEX(PP_Grid[#Data],$DD349,93),0)</f>
        <v/>
      </c>
      <c r="CR349">
        <f>IFERROR(INDEX(PP_Grid[#Data],$DD349,94),0)</f>
        <v/>
      </c>
      <c r="CS349">
        <f>IFERROR(INDEX(PP_Grid[#Data],$DD349,95),0)</f>
        <v/>
      </c>
      <c r="CT349">
        <f>IFERROR(INDEX(PP_Grid[#Data],$DD349,96),0)</f>
        <v/>
      </c>
      <c r="CU349">
        <f>IFERROR(INDEX(PP_Grid[#Data],$DD349,97),0)</f>
        <v/>
      </c>
      <c r="CV349">
        <f>IFERROR(INDEX(PP_Grid[#Data],$DD349,98),0)</f>
        <v/>
      </c>
      <c r="CW349">
        <f>IFERROR(INDEX(PP_Grid[#Data],$DD349,99),0)</f>
        <v/>
      </c>
      <c r="CX349">
        <f>IFERROR(INDEX(PP_Grid[#Data],$DD349,100),0)</f>
        <v/>
      </c>
      <c r="CY349">
        <f>IFERROR(INDEX(PP_Grid[#Data],$DD349,101),0)</f>
        <v/>
      </c>
      <c r="CZ349">
        <f>IFERROR(INDEX(PP_Grid[#Data],$DD349,102),0)</f>
        <v/>
      </c>
      <c r="DA349">
        <f>IFERROR(INDEX(PP_Grid[#Data],$DD349,103),0)</f>
        <v/>
      </c>
      <c r="DB349">
        <f>IFERROR(INDEX(PP_Grid[#Data],$DD349,104),0)</f>
        <v/>
      </c>
      <c r="DC349">
        <f>IFERROR(INDEX(PP_Grid[#Data],$DD349,105),0)</f>
        <v/>
      </c>
      <c r="DD349" s="7">
        <f>IFERROR(MATCH($B349,PP_Grid[Intermediate],0),99999)</f>
        <v/>
      </c>
    </row>
    <row r="350">
      <c r="B350" t="inlineStr">
        <is>
          <t>使用量(kg)</t>
        </is>
      </c>
      <c r="C350">
        <f>SUMIFS(M_BOM[RM_Qty_Per_Batch],M_BOM[Intermediate],$B349,M_BOM[Part Name],$A340)</f>
        <v/>
      </c>
      <c r="D350">
        <f>$C350*D349</f>
        <v/>
      </c>
      <c r="E350">
        <f>$C350*E349</f>
        <v/>
      </c>
      <c r="F350">
        <f>$C350*F349</f>
        <v/>
      </c>
      <c r="G350">
        <f>$C350*G349</f>
        <v/>
      </c>
      <c r="H350">
        <f>$C350*H349</f>
        <v/>
      </c>
      <c r="I350">
        <f>$C350*I349</f>
        <v/>
      </c>
      <c r="J350">
        <f>$C350*J349</f>
        <v/>
      </c>
      <c r="K350">
        <f>$C350*K349</f>
        <v/>
      </c>
      <c r="L350">
        <f>$C350*L349</f>
        <v/>
      </c>
      <c r="M350">
        <f>$C350*M349</f>
        <v/>
      </c>
      <c r="N350">
        <f>$C350*N349</f>
        <v/>
      </c>
      <c r="O350">
        <f>$C350*O349</f>
        <v/>
      </c>
      <c r="P350">
        <f>$C350*P349</f>
        <v/>
      </c>
      <c r="Q350">
        <f>$C350*Q349</f>
        <v/>
      </c>
      <c r="R350">
        <f>$C350*R349</f>
        <v/>
      </c>
      <c r="S350">
        <f>$C350*S349</f>
        <v/>
      </c>
      <c r="T350">
        <f>$C350*T349</f>
        <v/>
      </c>
      <c r="U350">
        <f>$C350*U349</f>
        <v/>
      </c>
      <c r="V350">
        <f>$C350*V349</f>
        <v/>
      </c>
      <c r="W350">
        <f>$C350*W349</f>
        <v/>
      </c>
      <c r="X350">
        <f>$C350*X349</f>
        <v/>
      </c>
      <c r="Y350">
        <f>$C350*Y349</f>
        <v/>
      </c>
      <c r="Z350">
        <f>$C350*Z349</f>
        <v/>
      </c>
      <c r="AA350">
        <f>$C350*AA349</f>
        <v/>
      </c>
      <c r="AB350">
        <f>$C350*AB349</f>
        <v/>
      </c>
      <c r="AC350">
        <f>$C350*AC349</f>
        <v/>
      </c>
      <c r="AD350">
        <f>$C350*AD349</f>
        <v/>
      </c>
      <c r="AE350">
        <f>$C350*AE349</f>
        <v/>
      </c>
      <c r="AF350">
        <f>$C350*AF349</f>
        <v/>
      </c>
      <c r="AG350">
        <f>$C350*AG349</f>
        <v/>
      </c>
      <c r="AH350">
        <f>$C350*AH349</f>
        <v/>
      </c>
      <c r="AI350">
        <f>$C350*AI349</f>
        <v/>
      </c>
      <c r="AJ350">
        <f>$C350*AJ349</f>
        <v/>
      </c>
      <c r="AK350">
        <f>$C350*AK349</f>
        <v/>
      </c>
      <c r="AL350">
        <f>$C350*AL349</f>
        <v/>
      </c>
      <c r="AM350">
        <f>$C350*AM349</f>
        <v/>
      </c>
      <c r="AN350">
        <f>$C350*AN349</f>
        <v/>
      </c>
      <c r="AO350">
        <f>$C350*AO349</f>
        <v/>
      </c>
      <c r="AP350">
        <f>$C350*AP349</f>
        <v/>
      </c>
      <c r="AQ350">
        <f>$C350*AQ349</f>
        <v/>
      </c>
      <c r="AR350">
        <f>$C350*AR349</f>
        <v/>
      </c>
      <c r="AS350">
        <f>$C350*AS349</f>
        <v/>
      </c>
      <c r="AT350">
        <f>$C350*AT349</f>
        <v/>
      </c>
      <c r="AU350">
        <f>$C350*AU349</f>
        <v/>
      </c>
      <c r="AV350">
        <f>$C350*AV349</f>
        <v/>
      </c>
      <c r="AW350">
        <f>$C350*AW349</f>
        <v/>
      </c>
      <c r="AX350">
        <f>$C350*AX349</f>
        <v/>
      </c>
      <c r="AY350">
        <f>$C350*AY349</f>
        <v/>
      </c>
      <c r="AZ350">
        <f>$C350*AZ349</f>
        <v/>
      </c>
      <c r="BA350">
        <f>$C350*BA349</f>
        <v/>
      </c>
      <c r="BB350">
        <f>$C350*BB349</f>
        <v/>
      </c>
      <c r="BC350">
        <f>$C350*BC349</f>
        <v/>
      </c>
      <c r="BD350">
        <f>$C350*BD349</f>
        <v/>
      </c>
      <c r="BE350">
        <f>$C350*BE349</f>
        <v/>
      </c>
      <c r="BF350">
        <f>$C350*BF349</f>
        <v/>
      </c>
      <c r="BG350">
        <f>$C350*BG349</f>
        <v/>
      </c>
      <c r="BH350">
        <f>$C350*BH349</f>
        <v/>
      </c>
      <c r="BI350">
        <f>$C350*BI349</f>
        <v/>
      </c>
      <c r="BJ350">
        <f>$C350*BJ349</f>
        <v/>
      </c>
      <c r="BK350">
        <f>$C350*BK349</f>
        <v/>
      </c>
      <c r="BL350">
        <f>$C350*BL349</f>
        <v/>
      </c>
      <c r="BM350">
        <f>$C350*BM349</f>
        <v/>
      </c>
      <c r="BN350">
        <f>$C350*BN349</f>
        <v/>
      </c>
      <c r="BO350">
        <f>$C350*BO349</f>
        <v/>
      </c>
      <c r="BP350">
        <f>$C350*BP349</f>
        <v/>
      </c>
      <c r="BQ350">
        <f>$C350*BQ349</f>
        <v/>
      </c>
      <c r="BR350">
        <f>$C350*BR349</f>
        <v/>
      </c>
      <c r="BS350">
        <f>$C350*BS349</f>
        <v/>
      </c>
      <c r="BT350">
        <f>$C350*BT349</f>
        <v/>
      </c>
      <c r="BU350">
        <f>$C350*BU349</f>
        <v/>
      </c>
      <c r="BV350">
        <f>$C350*BV349</f>
        <v/>
      </c>
      <c r="BW350">
        <f>$C350*BW349</f>
        <v/>
      </c>
      <c r="BX350">
        <f>$C350*BX349</f>
        <v/>
      </c>
      <c r="BY350">
        <f>$C350*BY349</f>
        <v/>
      </c>
      <c r="BZ350">
        <f>$C350*BZ349</f>
        <v/>
      </c>
      <c r="CA350">
        <f>$C350*CA349</f>
        <v/>
      </c>
      <c r="CB350">
        <f>$C350*CB349</f>
        <v/>
      </c>
      <c r="CC350">
        <f>$C350*CC349</f>
        <v/>
      </c>
      <c r="CD350">
        <f>$C350*CD349</f>
        <v/>
      </c>
      <c r="CE350">
        <f>$C350*CE349</f>
        <v/>
      </c>
      <c r="CF350">
        <f>$C350*CF349</f>
        <v/>
      </c>
      <c r="CG350">
        <f>$C350*CG349</f>
        <v/>
      </c>
      <c r="CH350">
        <f>$C350*CH349</f>
        <v/>
      </c>
      <c r="CI350">
        <f>$C350*CI349</f>
        <v/>
      </c>
      <c r="CJ350">
        <f>$C350*CJ349</f>
        <v/>
      </c>
      <c r="CK350">
        <f>$C350*CK349</f>
        <v/>
      </c>
      <c r="CL350">
        <f>$C350*CL349</f>
        <v/>
      </c>
      <c r="CM350">
        <f>$C350*CM349</f>
        <v/>
      </c>
      <c r="CN350">
        <f>$C350*CN349</f>
        <v/>
      </c>
      <c r="CO350">
        <f>$C350*CO349</f>
        <v/>
      </c>
      <c r="CP350">
        <f>$C350*CP349</f>
        <v/>
      </c>
      <c r="CQ350">
        <f>$C350*CQ349</f>
        <v/>
      </c>
      <c r="CR350">
        <f>$C350*CR349</f>
        <v/>
      </c>
      <c r="CS350">
        <f>$C350*CS349</f>
        <v/>
      </c>
      <c r="CT350">
        <f>$C350*CT349</f>
        <v/>
      </c>
      <c r="CU350">
        <f>$C350*CU349</f>
        <v/>
      </c>
      <c r="CV350">
        <f>$C350*CV349</f>
        <v/>
      </c>
      <c r="CW350">
        <f>$C350*CW349</f>
        <v/>
      </c>
      <c r="CX350">
        <f>$C350*CX349</f>
        <v/>
      </c>
      <c r="CY350">
        <f>$C350*CY349</f>
        <v/>
      </c>
      <c r="CZ350">
        <f>$C350*CZ349</f>
        <v/>
      </c>
      <c r="DA350">
        <f>$C350*DA349</f>
        <v/>
      </c>
      <c r="DB350">
        <f>$C350*DB349</f>
        <v/>
      </c>
      <c r="DC350">
        <f>$C350*DC349</f>
        <v/>
      </c>
    </row>
    <row r="351">
      <c r="B351" t="inlineStr">
        <is>
          <t>TSP-206</t>
        </is>
      </c>
      <c r="C351" t="inlineStr">
        <is>
          <t>No. of batches</t>
        </is>
      </c>
      <c r="D351">
        <f>IFERROR(INDEX(PP_Grid[#Data],$DD351,2),0)</f>
        <v/>
      </c>
      <c r="E351">
        <f>IFERROR(INDEX(PP_Grid[#Data],$DD351,3),0)</f>
        <v/>
      </c>
      <c r="F351">
        <f>IFERROR(INDEX(PP_Grid[#Data],$DD351,4),0)</f>
        <v/>
      </c>
      <c r="G351">
        <f>IFERROR(INDEX(PP_Grid[#Data],$DD351,5),0)</f>
        <v/>
      </c>
      <c r="H351">
        <f>IFERROR(INDEX(PP_Grid[#Data],$DD351,6),0)</f>
        <v/>
      </c>
      <c r="I351">
        <f>IFERROR(INDEX(PP_Grid[#Data],$DD351,7),0)</f>
        <v/>
      </c>
      <c r="J351">
        <f>IFERROR(INDEX(PP_Grid[#Data],$DD351,8),0)</f>
        <v/>
      </c>
      <c r="K351">
        <f>IFERROR(INDEX(PP_Grid[#Data],$DD351,9),0)</f>
        <v/>
      </c>
      <c r="L351">
        <f>IFERROR(INDEX(PP_Grid[#Data],$DD351,10),0)</f>
        <v/>
      </c>
      <c r="M351">
        <f>IFERROR(INDEX(PP_Grid[#Data],$DD351,11),0)</f>
        <v/>
      </c>
      <c r="N351">
        <f>IFERROR(INDEX(PP_Grid[#Data],$DD351,12),0)</f>
        <v/>
      </c>
      <c r="O351">
        <f>IFERROR(INDEX(PP_Grid[#Data],$DD351,13),0)</f>
        <v/>
      </c>
      <c r="P351">
        <f>IFERROR(INDEX(PP_Grid[#Data],$DD351,14),0)</f>
        <v/>
      </c>
      <c r="Q351">
        <f>IFERROR(INDEX(PP_Grid[#Data],$DD351,15),0)</f>
        <v/>
      </c>
      <c r="R351">
        <f>IFERROR(INDEX(PP_Grid[#Data],$DD351,16),0)</f>
        <v/>
      </c>
      <c r="S351">
        <f>IFERROR(INDEX(PP_Grid[#Data],$DD351,17),0)</f>
        <v/>
      </c>
      <c r="T351">
        <f>IFERROR(INDEX(PP_Grid[#Data],$DD351,18),0)</f>
        <v/>
      </c>
      <c r="U351">
        <f>IFERROR(INDEX(PP_Grid[#Data],$DD351,19),0)</f>
        <v/>
      </c>
      <c r="V351">
        <f>IFERROR(INDEX(PP_Grid[#Data],$DD351,20),0)</f>
        <v/>
      </c>
      <c r="W351">
        <f>IFERROR(INDEX(PP_Grid[#Data],$DD351,21),0)</f>
        <v/>
      </c>
      <c r="X351">
        <f>IFERROR(INDEX(PP_Grid[#Data],$DD351,22),0)</f>
        <v/>
      </c>
      <c r="Y351">
        <f>IFERROR(INDEX(PP_Grid[#Data],$DD351,23),0)</f>
        <v/>
      </c>
      <c r="Z351">
        <f>IFERROR(INDEX(PP_Grid[#Data],$DD351,24),0)</f>
        <v/>
      </c>
      <c r="AA351">
        <f>IFERROR(INDEX(PP_Grid[#Data],$DD351,25),0)</f>
        <v/>
      </c>
      <c r="AB351">
        <f>IFERROR(INDEX(PP_Grid[#Data],$DD351,26),0)</f>
        <v/>
      </c>
      <c r="AC351">
        <f>IFERROR(INDEX(PP_Grid[#Data],$DD351,27),0)</f>
        <v/>
      </c>
      <c r="AD351">
        <f>IFERROR(INDEX(PP_Grid[#Data],$DD351,28),0)</f>
        <v/>
      </c>
      <c r="AE351">
        <f>IFERROR(INDEX(PP_Grid[#Data],$DD351,29),0)</f>
        <v/>
      </c>
      <c r="AF351">
        <f>IFERROR(INDEX(PP_Grid[#Data],$DD351,30),0)</f>
        <v/>
      </c>
      <c r="AG351">
        <f>IFERROR(INDEX(PP_Grid[#Data],$DD351,31),0)</f>
        <v/>
      </c>
      <c r="AH351">
        <f>IFERROR(INDEX(PP_Grid[#Data],$DD351,32),0)</f>
        <v/>
      </c>
      <c r="AI351">
        <f>IFERROR(INDEX(PP_Grid[#Data],$DD351,33),0)</f>
        <v/>
      </c>
      <c r="AJ351">
        <f>IFERROR(INDEX(PP_Grid[#Data],$DD351,34),0)</f>
        <v/>
      </c>
      <c r="AK351">
        <f>IFERROR(INDEX(PP_Grid[#Data],$DD351,35),0)</f>
        <v/>
      </c>
      <c r="AL351">
        <f>IFERROR(INDEX(PP_Grid[#Data],$DD351,36),0)</f>
        <v/>
      </c>
      <c r="AM351">
        <f>IFERROR(INDEX(PP_Grid[#Data],$DD351,37),0)</f>
        <v/>
      </c>
      <c r="AN351">
        <f>IFERROR(INDEX(PP_Grid[#Data],$DD351,38),0)</f>
        <v/>
      </c>
      <c r="AO351">
        <f>IFERROR(INDEX(PP_Grid[#Data],$DD351,39),0)</f>
        <v/>
      </c>
      <c r="AP351">
        <f>IFERROR(INDEX(PP_Grid[#Data],$DD351,40),0)</f>
        <v/>
      </c>
      <c r="AQ351">
        <f>IFERROR(INDEX(PP_Grid[#Data],$DD351,41),0)</f>
        <v/>
      </c>
      <c r="AR351">
        <f>IFERROR(INDEX(PP_Grid[#Data],$DD351,42),0)</f>
        <v/>
      </c>
      <c r="AS351">
        <f>IFERROR(INDEX(PP_Grid[#Data],$DD351,43),0)</f>
        <v/>
      </c>
      <c r="AT351">
        <f>IFERROR(INDEX(PP_Grid[#Data],$DD351,44),0)</f>
        <v/>
      </c>
      <c r="AU351">
        <f>IFERROR(INDEX(PP_Grid[#Data],$DD351,45),0)</f>
        <v/>
      </c>
      <c r="AV351">
        <f>IFERROR(INDEX(PP_Grid[#Data],$DD351,46),0)</f>
        <v/>
      </c>
      <c r="AW351">
        <f>IFERROR(INDEX(PP_Grid[#Data],$DD351,47),0)</f>
        <v/>
      </c>
      <c r="AX351">
        <f>IFERROR(INDEX(PP_Grid[#Data],$DD351,48),0)</f>
        <v/>
      </c>
      <c r="AY351">
        <f>IFERROR(INDEX(PP_Grid[#Data],$DD351,49),0)</f>
        <v/>
      </c>
      <c r="AZ351">
        <f>IFERROR(INDEX(PP_Grid[#Data],$DD351,50),0)</f>
        <v/>
      </c>
      <c r="BA351">
        <f>IFERROR(INDEX(PP_Grid[#Data],$DD351,51),0)</f>
        <v/>
      </c>
      <c r="BB351">
        <f>IFERROR(INDEX(PP_Grid[#Data],$DD351,52),0)</f>
        <v/>
      </c>
      <c r="BC351">
        <f>IFERROR(INDEX(PP_Grid[#Data],$DD351,53),0)</f>
        <v/>
      </c>
      <c r="BD351">
        <f>IFERROR(INDEX(PP_Grid[#Data],$DD351,54),0)</f>
        <v/>
      </c>
      <c r="BE351">
        <f>IFERROR(INDEX(PP_Grid[#Data],$DD351,55),0)</f>
        <v/>
      </c>
      <c r="BF351">
        <f>IFERROR(INDEX(PP_Grid[#Data],$DD351,56),0)</f>
        <v/>
      </c>
      <c r="BG351">
        <f>IFERROR(INDEX(PP_Grid[#Data],$DD351,57),0)</f>
        <v/>
      </c>
      <c r="BH351">
        <f>IFERROR(INDEX(PP_Grid[#Data],$DD351,58),0)</f>
        <v/>
      </c>
      <c r="BI351">
        <f>IFERROR(INDEX(PP_Grid[#Data],$DD351,59),0)</f>
        <v/>
      </c>
      <c r="BJ351">
        <f>IFERROR(INDEX(PP_Grid[#Data],$DD351,60),0)</f>
        <v/>
      </c>
      <c r="BK351">
        <f>IFERROR(INDEX(PP_Grid[#Data],$DD351,61),0)</f>
        <v/>
      </c>
      <c r="BL351">
        <f>IFERROR(INDEX(PP_Grid[#Data],$DD351,62),0)</f>
        <v/>
      </c>
      <c r="BM351">
        <f>IFERROR(INDEX(PP_Grid[#Data],$DD351,63),0)</f>
        <v/>
      </c>
      <c r="BN351">
        <f>IFERROR(INDEX(PP_Grid[#Data],$DD351,64),0)</f>
        <v/>
      </c>
      <c r="BO351">
        <f>IFERROR(INDEX(PP_Grid[#Data],$DD351,65),0)</f>
        <v/>
      </c>
      <c r="BP351">
        <f>IFERROR(INDEX(PP_Grid[#Data],$DD351,66),0)</f>
        <v/>
      </c>
      <c r="BQ351">
        <f>IFERROR(INDEX(PP_Grid[#Data],$DD351,67),0)</f>
        <v/>
      </c>
      <c r="BR351">
        <f>IFERROR(INDEX(PP_Grid[#Data],$DD351,68),0)</f>
        <v/>
      </c>
      <c r="BS351">
        <f>IFERROR(INDEX(PP_Grid[#Data],$DD351,69),0)</f>
        <v/>
      </c>
      <c r="BT351">
        <f>IFERROR(INDEX(PP_Grid[#Data],$DD351,70),0)</f>
        <v/>
      </c>
      <c r="BU351">
        <f>IFERROR(INDEX(PP_Grid[#Data],$DD351,71),0)</f>
        <v/>
      </c>
      <c r="BV351">
        <f>IFERROR(INDEX(PP_Grid[#Data],$DD351,72),0)</f>
        <v/>
      </c>
      <c r="BW351">
        <f>IFERROR(INDEX(PP_Grid[#Data],$DD351,73),0)</f>
        <v/>
      </c>
      <c r="BX351">
        <f>IFERROR(INDEX(PP_Grid[#Data],$DD351,74),0)</f>
        <v/>
      </c>
      <c r="BY351">
        <f>IFERROR(INDEX(PP_Grid[#Data],$DD351,75),0)</f>
        <v/>
      </c>
      <c r="BZ351">
        <f>IFERROR(INDEX(PP_Grid[#Data],$DD351,76),0)</f>
        <v/>
      </c>
      <c r="CA351">
        <f>IFERROR(INDEX(PP_Grid[#Data],$DD351,77),0)</f>
        <v/>
      </c>
      <c r="CB351">
        <f>IFERROR(INDEX(PP_Grid[#Data],$DD351,78),0)</f>
        <v/>
      </c>
      <c r="CC351">
        <f>IFERROR(INDEX(PP_Grid[#Data],$DD351,79),0)</f>
        <v/>
      </c>
      <c r="CD351">
        <f>IFERROR(INDEX(PP_Grid[#Data],$DD351,80),0)</f>
        <v/>
      </c>
      <c r="CE351">
        <f>IFERROR(INDEX(PP_Grid[#Data],$DD351,81),0)</f>
        <v/>
      </c>
      <c r="CF351">
        <f>IFERROR(INDEX(PP_Grid[#Data],$DD351,82),0)</f>
        <v/>
      </c>
      <c r="CG351">
        <f>IFERROR(INDEX(PP_Grid[#Data],$DD351,83),0)</f>
        <v/>
      </c>
      <c r="CH351">
        <f>IFERROR(INDEX(PP_Grid[#Data],$DD351,84),0)</f>
        <v/>
      </c>
      <c r="CI351">
        <f>IFERROR(INDEX(PP_Grid[#Data],$DD351,85),0)</f>
        <v/>
      </c>
      <c r="CJ351">
        <f>IFERROR(INDEX(PP_Grid[#Data],$DD351,86),0)</f>
        <v/>
      </c>
      <c r="CK351">
        <f>IFERROR(INDEX(PP_Grid[#Data],$DD351,87),0)</f>
        <v/>
      </c>
      <c r="CL351">
        <f>IFERROR(INDEX(PP_Grid[#Data],$DD351,88),0)</f>
        <v/>
      </c>
      <c r="CM351">
        <f>IFERROR(INDEX(PP_Grid[#Data],$DD351,89),0)</f>
        <v/>
      </c>
      <c r="CN351">
        <f>IFERROR(INDEX(PP_Grid[#Data],$DD351,90),0)</f>
        <v/>
      </c>
      <c r="CO351">
        <f>IFERROR(INDEX(PP_Grid[#Data],$DD351,91),0)</f>
        <v/>
      </c>
      <c r="CP351">
        <f>IFERROR(INDEX(PP_Grid[#Data],$DD351,92),0)</f>
        <v/>
      </c>
      <c r="CQ351">
        <f>IFERROR(INDEX(PP_Grid[#Data],$DD351,93),0)</f>
        <v/>
      </c>
      <c r="CR351">
        <f>IFERROR(INDEX(PP_Grid[#Data],$DD351,94),0)</f>
        <v/>
      </c>
      <c r="CS351">
        <f>IFERROR(INDEX(PP_Grid[#Data],$DD351,95),0)</f>
        <v/>
      </c>
      <c r="CT351">
        <f>IFERROR(INDEX(PP_Grid[#Data],$DD351,96),0)</f>
        <v/>
      </c>
      <c r="CU351">
        <f>IFERROR(INDEX(PP_Grid[#Data],$DD351,97),0)</f>
        <v/>
      </c>
      <c r="CV351">
        <f>IFERROR(INDEX(PP_Grid[#Data],$DD351,98),0)</f>
        <v/>
      </c>
      <c r="CW351">
        <f>IFERROR(INDEX(PP_Grid[#Data],$DD351,99),0)</f>
        <v/>
      </c>
      <c r="CX351">
        <f>IFERROR(INDEX(PP_Grid[#Data],$DD351,100),0)</f>
        <v/>
      </c>
      <c r="CY351">
        <f>IFERROR(INDEX(PP_Grid[#Data],$DD351,101),0)</f>
        <v/>
      </c>
      <c r="CZ351">
        <f>IFERROR(INDEX(PP_Grid[#Data],$DD351,102),0)</f>
        <v/>
      </c>
      <c r="DA351">
        <f>IFERROR(INDEX(PP_Grid[#Data],$DD351,103),0)</f>
        <v/>
      </c>
      <c r="DB351">
        <f>IFERROR(INDEX(PP_Grid[#Data],$DD351,104),0)</f>
        <v/>
      </c>
      <c r="DC351">
        <f>IFERROR(INDEX(PP_Grid[#Data],$DD351,105),0)</f>
        <v/>
      </c>
      <c r="DD351" s="7">
        <f>IFERROR(MATCH($B351,PP_Grid[Intermediate],0),99999)</f>
        <v/>
      </c>
    </row>
    <row r="352">
      <c r="B352" t="inlineStr">
        <is>
          <t>使用量(kg)</t>
        </is>
      </c>
      <c r="C352">
        <f>SUMIFS(M_BOM[RM_Qty_Per_Batch],M_BOM[Intermediate],$B351,M_BOM[Part Name],$A340)</f>
        <v/>
      </c>
      <c r="D352">
        <f>$C352*D351</f>
        <v/>
      </c>
      <c r="E352">
        <f>$C352*E351</f>
        <v/>
      </c>
      <c r="F352">
        <f>$C352*F351</f>
        <v/>
      </c>
      <c r="G352">
        <f>$C352*G351</f>
        <v/>
      </c>
      <c r="H352">
        <f>$C352*H351</f>
        <v/>
      </c>
      <c r="I352">
        <f>$C352*I351</f>
        <v/>
      </c>
      <c r="J352">
        <f>$C352*J351</f>
        <v/>
      </c>
      <c r="K352">
        <f>$C352*K351</f>
        <v/>
      </c>
      <c r="L352">
        <f>$C352*L351</f>
        <v/>
      </c>
      <c r="M352">
        <f>$C352*M351</f>
        <v/>
      </c>
      <c r="N352">
        <f>$C352*N351</f>
        <v/>
      </c>
      <c r="O352">
        <f>$C352*O351</f>
        <v/>
      </c>
      <c r="P352">
        <f>$C352*P351</f>
        <v/>
      </c>
      <c r="Q352">
        <f>$C352*Q351</f>
        <v/>
      </c>
      <c r="R352">
        <f>$C352*R351</f>
        <v/>
      </c>
      <c r="S352">
        <f>$C352*S351</f>
        <v/>
      </c>
      <c r="T352">
        <f>$C352*T351</f>
        <v/>
      </c>
      <c r="U352">
        <f>$C352*U351</f>
        <v/>
      </c>
      <c r="V352">
        <f>$C352*V351</f>
        <v/>
      </c>
      <c r="W352">
        <f>$C352*W351</f>
        <v/>
      </c>
      <c r="X352">
        <f>$C352*X351</f>
        <v/>
      </c>
      <c r="Y352">
        <f>$C352*Y351</f>
        <v/>
      </c>
      <c r="Z352">
        <f>$C352*Z351</f>
        <v/>
      </c>
      <c r="AA352">
        <f>$C352*AA351</f>
        <v/>
      </c>
      <c r="AB352">
        <f>$C352*AB351</f>
        <v/>
      </c>
      <c r="AC352">
        <f>$C352*AC351</f>
        <v/>
      </c>
      <c r="AD352">
        <f>$C352*AD351</f>
        <v/>
      </c>
      <c r="AE352">
        <f>$C352*AE351</f>
        <v/>
      </c>
      <c r="AF352">
        <f>$C352*AF351</f>
        <v/>
      </c>
      <c r="AG352">
        <f>$C352*AG351</f>
        <v/>
      </c>
      <c r="AH352">
        <f>$C352*AH351</f>
        <v/>
      </c>
      <c r="AI352">
        <f>$C352*AI351</f>
        <v/>
      </c>
      <c r="AJ352">
        <f>$C352*AJ351</f>
        <v/>
      </c>
      <c r="AK352">
        <f>$C352*AK351</f>
        <v/>
      </c>
      <c r="AL352">
        <f>$C352*AL351</f>
        <v/>
      </c>
      <c r="AM352">
        <f>$C352*AM351</f>
        <v/>
      </c>
      <c r="AN352">
        <f>$C352*AN351</f>
        <v/>
      </c>
      <c r="AO352">
        <f>$C352*AO351</f>
        <v/>
      </c>
      <c r="AP352">
        <f>$C352*AP351</f>
        <v/>
      </c>
      <c r="AQ352">
        <f>$C352*AQ351</f>
        <v/>
      </c>
      <c r="AR352">
        <f>$C352*AR351</f>
        <v/>
      </c>
      <c r="AS352">
        <f>$C352*AS351</f>
        <v/>
      </c>
      <c r="AT352">
        <f>$C352*AT351</f>
        <v/>
      </c>
      <c r="AU352">
        <f>$C352*AU351</f>
        <v/>
      </c>
      <c r="AV352">
        <f>$C352*AV351</f>
        <v/>
      </c>
      <c r="AW352">
        <f>$C352*AW351</f>
        <v/>
      </c>
      <c r="AX352">
        <f>$C352*AX351</f>
        <v/>
      </c>
      <c r="AY352">
        <f>$C352*AY351</f>
        <v/>
      </c>
      <c r="AZ352">
        <f>$C352*AZ351</f>
        <v/>
      </c>
      <c r="BA352">
        <f>$C352*BA351</f>
        <v/>
      </c>
      <c r="BB352">
        <f>$C352*BB351</f>
        <v/>
      </c>
      <c r="BC352">
        <f>$C352*BC351</f>
        <v/>
      </c>
      <c r="BD352">
        <f>$C352*BD351</f>
        <v/>
      </c>
      <c r="BE352">
        <f>$C352*BE351</f>
        <v/>
      </c>
      <c r="BF352">
        <f>$C352*BF351</f>
        <v/>
      </c>
      <c r="BG352">
        <f>$C352*BG351</f>
        <v/>
      </c>
      <c r="BH352">
        <f>$C352*BH351</f>
        <v/>
      </c>
      <c r="BI352">
        <f>$C352*BI351</f>
        <v/>
      </c>
      <c r="BJ352">
        <f>$C352*BJ351</f>
        <v/>
      </c>
      <c r="BK352">
        <f>$C352*BK351</f>
        <v/>
      </c>
      <c r="BL352">
        <f>$C352*BL351</f>
        <v/>
      </c>
      <c r="BM352">
        <f>$C352*BM351</f>
        <v/>
      </c>
      <c r="BN352">
        <f>$C352*BN351</f>
        <v/>
      </c>
      <c r="BO352">
        <f>$C352*BO351</f>
        <v/>
      </c>
      <c r="BP352">
        <f>$C352*BP351</f>
        <v/>
      </c>
      <c r="BQ352">
        <f>$C352*BQ351</f>
        <v/>
      </c>
      <c r="BR352">
        <f>$C352*BR351</f>
        <v/>
      </c>
      <c r="BS352">
        <f>$C352*BS351</f>
        <v/>
      </c>
      <c r="BT352">
        <f>$C352*BT351</f>
        <v/>
      </c>
      <c r="BU352">
        <f>$C352*BU351</f>
        <v/>
      </c>
      <c r="BV352">
        <f>$C352*BV351</f>
        <v/>
      </c>
      <c r="BW352">
        <f>$C352*BW351</f>
        <v/>
      </c>
      <c r="BX352">
        <f>$C352*BX351</f>
        <v/>
      </c>
      <c r="BY352">
        <f>$C352*BY351</f>
        <v/>
      </c>
      <c r="BZ352">
        <f>$C352*BZ351</f>
        <v/>
      </c>
      <c r="CA352">
        <f>$C352*CA351</f>
        <v/>
      </c>
      <c r="CB352">
        <f>$C352*CB351</f>
        <v/>
      </c>
      <c r="CC352">
        <f>$C352*CC351</f>
        <v/>
      </c>
      <c r="CD352">
        <f>$C352*CD351</f>
        <v/>
      </c>
      <c r="CE352">
        <f>$C352*CE351</f>
        <v/>
      </c>
      <c r="CF352">
        <f>$C352*CF351</f>
        <v/>
      </c>
      <c r="CG352">
        <f>$C352*CG351</f>
        <v/>
      </c>
      <c r="CH352">
        <f>$C352*CH351</f>
        <v/>
      </c>
      <c r="CI352">
        <f>$C352*CI351</f>
        <v/>
      </c>
      <c r="CJ352">
        <f>$C352*CJ351</f>
        <v/>
      </c>
      <c r="CK352">
        <f>$C352*CK351</f>
        <v/>
      </c>
      <c r="CL352">
        <f>$C352*CL351</f>
        <v/>
      </c>
      <c r="CM352">
        <f>$C352*CM351</f>
        <v/>
      </c>
      <c r="CN352">
        <f>$C352*CN351</f>
        <v/>
      </c>
      <c r="CO352">
        <f>$C352*CO351</f>
        <v/>
      </c>
      <c r="CP352">
        <f>$C352*CP351</f>
        <v/>
      </c>
      <c r="CQ352">
        <f>$C352*CQ351</f>
        <v/>
      </c>
      <c r="CR352">
        <f>$C352*CR351</f>
        <v/>
      </c>
      <c r="CS352">
        <f>$C352*CS351</f>
        <v/>
      </c>
      <c r="CT352">
        <f>$C352*CT351</f>
        <v/>
      </c>
      <c r="CU352">
        <f>$C352*CU351</f>
        <v/>
      </c>
      <c r="CV352">
        <f>$C352*CV351</f>
        <v/>
      </c>
      <c r="CW352">
        <f>$C352*CW351</f>
        <v/>
      </c>
      <c r="CX352">
        <f>$C352*CX351</f>
        <v/>
      </c>
      <c r="CY352">
        <f>$C352*CY351</f>
        <v/>
      </c>
      <c r="CZ352">
        <f>$C352*CZ351</f>
        <v/>
      </c>
      <c r="DA352">
        <f>$C352*DA351</f>
        <v/>
      </c>
      <c r="DB352">
        <f>$C352*DB351</f>
        <v/>
      </c>
      <c r="DC352">
        <f>$C352*DC351</f>
        <v/>
      </c>
    </row>
    <row r="353">
      <c r="B353" t="inlineStr">
        <is>
          <t>TSP-218</t>
        </is>
      </c>
      <c r="C353" t="inlineStr">
        <is>
          <t>No. of batches</t>
        </is>
      </c>
      <c r="D353">
        <f>IFERROR(INDEX(PP_Grid[#Data],$DD353,2),0)</f>
        <v/>
      </c>
      <c r="E353">
        <f>IFERROR(INDEX(PP_Grid[#Data],$DD353,3),0)</f>
        <v/>
      </c>
      <c r="F353">
        <f>IFERROR(INDEX(PP_Grid[#Data],$DD353,4),0)</f>
        <v/>
      </c>
      <c r="G353">
        <f>IFERROR(INDEX(PP_Grid[#Data],$DD353,5),0)</f>
        <v/>
      </c>
      <c r="H353">
        <f>IFERROR(INDEX(PP_Grid[#Data],$DD353,6),0)</f>
        <v/>
      </c>
      <c r="I353">
        <f>IFERROR(INDEX(PP_Grid[#Data],$DD353,7),0)</f>
        <v/>
      </c>
      <c r="J353">
        <f>IFERROR(INDEX(PP_Grid[#Data],$DD353,8),0)</f>
        <v/>
      </c>
      <c r="K353">
        <f>IFERROR(INDEX(PP_Grid[#Data],$DD353,9),0)</f>
        <v/>
      </c>
      <c r="L353">
        <f>IFERROR(INDEX(PP_Grid[#Data],$DD353,10),0)</f>
        <v/>
      </c>
      <c r="M353">
        <f>IFERROR(INDEX(PP_Grid[#Data],$DD353,11),0)</f>
        <v/>
      </c>
      <c r="N353">
        <f>IFERROR(INDEX(PP_Grid[#Data],$DD353,12),0)</f>
        <v/>
      </c>
      <c r="O353">
        <f>IFERROR(INDEX(PP_Grid[#Data],$DD353,13),0)</f>
        <v/>
      </c>
      <c r="P353">
        <f>IFERROR(INDEX(PP_Grid[#Data],$DD353,14),0)</f>
        <v/>
      </c>
      <c r="Q353">
        <f>IFERROR(INDEX(PP_Grid[#Data],$DD353,15),0)</f>
        <v/>
      </c>
      <c r="R353">
        <f>IFERROR(INDEX(PP_Grid[#Data],$DD353,16),0)</f>
        <v/>
      </c>
      <c r="S353">
        <f>IFERROR(INDEX(PP_Grid[#Data],$DD353,17),0)</f>
        <v/>
      </c>
      <c r="T353">
        <f>IFERROR(INDEX(PP_Grid[#Data],$DD353,18),0)</f>
        <v/>
      </c>
      <c r="U353">
        <f>IFERROR(INDEX(PP_Grid[#Data],$DD353,19),0)</f>
        <v/>
      </c>
      <c r="V353">
        <f>IFERROR(INDEX(PP_Grid[#Data],$DD353,20),0)</f>
        <v/>
      </c>
      <c r="W353">
        <f>IFERROR(INDEX(PP_Grid[#Data],$DD353,21),0)</f>
        <v/>
      </c>
      <c r="X353">
        <f>IFERROR(INDEX(PP_Grid[#Data],$DD353,22),0)</f>
        <v/>
      </c>
      <c r="Y353">
        <f>IFERROR(INDEX(PP_Grid[#Data],$DD353,23),0)</f>
        <v/>
      </c>
      <c r="Z353">
        <f>IFERROR(INDEX(PP_Grid[#Data],$DD353,24),0)</f>
        <v/>
      </c>
      <c r="AA353">
        <f>IFERROR(INDEX(PP_Grid[#Data],$DD353,25),0)</f>
        <v/>
      </c>
      <c r="AB353">
        <f>IFERROR(INDEX(PP_Grid[#Data],$DD353,26),0)</f>
        <v/>
      </c>
      <c r="AC353">
        <f>IFERROR(INDEX(PP_Grid[#Data],$DD353,27),0)</f>
        <v/>
      </c>
      <c r="AD353">
        <f>IFERROR(INDEX(PP_Grid[#Data],$DD353,28),0)</f>
        <v/>
      </c>
      <c r="AE353">
        <f>IFERROR(INDEX(PP_Grid[#Data],$DD353,29),0)</f>
        <v/>
      </c>
      <c r="AF353">
        <f>IFERROR(INDEX(PP_Grid[#Data],$DD353,30),0)</f>
        <v/>
      </c>
      <c r="AG353">
        <f>IFERROR(INDEX(PP_Grid[#Data],$DD353,31),0)</f>
        <v/>
      </c>
      <c r="AH353">
        <f>IFERROR(INDEX(PP_Grid[#Data],$DD353,32),0)</f>
        <v/>
      </c>
      <c r="AI353">
        <f>IFERROR(INDEX(PP_Grid[#Data],$DD353,33),0)</f>
        <v/>
      </c>
      <c r="AJ353">
        <f>IFERROR(INDEX(PP_Grid[#Data],$DD353,34),0)</f>
        <v/>
      </c>
      <c r="AK353">
        <f>IFERROR(INDEX(PP_Grid[#Data],$DD353,35),0)</f>
        <v/>
      </c>
      <c r="AL353">
        <f>IFERROR(INDEX(PP_Grid[#Data],$DD353,36),0)</f>
        <v/>
      </c>
      <c r="AM353">
        <f>IFERROR(INDEX(PP_Grid[#Data],$DD353,37),0)</f>
        <v/>
      </c>
      <c r="AN353">
        <f>IFERROR(INDEX(PP_Grid[#Data],$DD353,38),0)</f>
        <v/>
      </c>
      <c r="AO353">
        <f>IFERROR(INDEX(PP_Grid[#Data],$DD353,39),0)</f>
        <v/>
      </c>
      <c r="AP353">
        <f>IFERROR(INDEX(PP_Grid[#Data],$DD353,40),0)</f>
        <v/>
      </c>
      <c r="AQ353">
        <f>IFERROR(INDEX(PP_Grid[#Data],$DD353,41),0)</f>
        <v/>
      </c>
      <c r="AR353">
        <f>IFERROR(INDEX(PP_Grid[#Data],$DD353,42),0)</f>
        <v/>
      </c>
      <c r="AS353">
        <f>IFERROR(INDEX(PP_Grid[#Data],$DD353,43),0)</f>
        <v/>
      </c>
      <c r="AT353">
        <f>IFERROR(INDEX(PP_Grid[#Data],$DD353,44),0)</f>
        <v/>
      </c>
      <c r="AU353">
        <f>IFERROR(INDEX(PP_Grid[#Data],$DD353,45),0)</f>
        <v/>
      </c>
      <c r="AV353">
        <f>IFERROR(INDEX(PP_Grid[#Data],$DD353,46),0)</f>
        <v/>
      </c>
      <c r="AW353">
        <f>IFERROR(INDEX(PP_Grid[#Data],$DD353,47),0)</f>
        <v/>
      </c>
      <c r="AX353">
        <f>IFERROR(INDEX(PP_Grid[#Data],$DD353,48),0)</f>
        <v/>
      </c>
      <c r="AY353">
        <f>IFERROR(INDEX(PP_Grid[#Data],$DD353,49),0)</f>
        <v/>
      </c>
      <c r="AZ353">
        <f>IFERROR(INDEX(PP_Grid[#Data],$DD353,50),0)</f>
        <v/>
      </c>
      <c r="BA353">
        <f>IFERROR(INDEX(PP_Grid[#Data],$DD353,51),0)</f>
        <v/>
      </c>
      <c r="BB353">
        <f>IFERROR(INDEX(PP_Grid[#Data],$DD353,52),0)</f>
        <v/>
      </c>
      <c r="BC353">
        <f>IFERROR(INDEX(PP_Grid[#Data],$DD353,53),0)</f>
        <v/>
      </c>
      <c r="BD353">
        <f>IFERROR(INDEX(PP_Grid[#Data],$DD353,54),0)</f>
        <v/>
      </c>
      <c r="BE353">
        <f>IFERROR(INDEX(PP_Grid[#Data],$DD353,55),0)</f>
        <v/>
      </c>
      <c r="BF353">
        <f>IFERROR(INDEX(PP_Grid[#Data],$DD353,56),0)</f>
        <v/>
      </c>
      <c r="BG353">
        <f>IFERROR(INDEX(PP_Grid[#Data],$DD353,57),0)</f>
        <v/>
      </c>
      <c r="BH353">
        <f>IFERROR(INDEX(PP_Grid[#Data],$DD353,58),0)</f>
        <v/>
      </c>
      <c r="BI353">
        <f>IFERROR(INDEX(PP_Grid[#Data],$DD353,59),0)</f>
        <v/>
      </c>
      <c r="BJ353">
        <f>IFERROR(INDEX(PP_Grid[#Data],$DD353,60),0)</f>
        <v/>
      </c>
      <c r="BK353">
        <f>IFERROR(INDEX(PP_Grid[#Data],$DD353,61),0)</f>
        <v/>
      </c>
      <c r="BL353">
        <f>IFERROR(INDEX(PP_Grid[#Data],$DD353,62),0)</f>
        <v/>
      </c>
      <c r="BM353">
        <f>IFERROR(INDEX(PP_Grid[#Data],$DD353,63),0)</f>
        <v/>
      </c>
      <c r="BN353">
        <f>IFERROR(INDEX(PP_Grid[#Data],$DD353,64),0)</f>
        <v/>
      </c>
      <c r="BO353">
        <f>IFERROR(INDEX(PP_Grid[#Data],$DD353,65),0)</f>
        <v/>
      </c>
      <c r="BP353">
        <f>IFERROR(INDEX(PP_Grid[#Data],$DD353,66),0)</f>
        <v/>
      </c>
      <c r="BQ353">
        <f>IFERROR(INDEX(PP_Grid[#Data],$DD353,67),0)</f>
        <v/>
      </c>
      <c r="BR353">
        <f>IFERROR(INDEX(PP_Grid[#Data],$DD353,68),0)</f>
        <v/>
      </c>
      <c r="BS353">
        <f>IFERROR(INDEX(PP_Grid[#Data],$DD353,69),0)</f>
        <v/>
      </c>
      <c r="BT353">
        <f>IFERROR(INDEX(PP_Grid[#Data],$DD353,70),0)</f>
        <v/>
      </c>
      <c r="BU353">
        <f>IFERROR(INDEX(PP_Grid[#Data],$DD353,71),0)</f>
        <v/>
      </c>
      <c r="BV353">
        <f>IFERROR(INDEX(PP_Grid[#Data],$DD353,72),0)</f>
        <v/>
      </c>
      <c r="BW353">
        <f>IFERROR(INDEX(PP_Grid[#Data],$DD353,73),0)</f>
        <v/>
      </c>
      <c r="BX353">
        <f>IFERROR(INDEX(PP_Grid[#Data],$DD353,74),0)</f>
        <v/>
      </c>
      <c r="BY353">
        <f>IFERROR(INDEX(PP_Grid[#Data],$DD353,75),0)</f>
        <v/>
      </c>
      <c r="BZ353">
        <f>IFERROR(INDEX(PP_Grid[#Data],$DD353,76),0)</f>
        <v/>
      </c>
      <c r="CA353">
        <f>IFERROR(INDEX(PP_Grid[#Data],$DD353,77),0)</f>
        <v/>
      </c>
      <c r="CB353">
        <f>IFERROR(INDEX(PP_Grid[#Data],$DD353,78),0)</f>
        <v/>
      </c>
      <c r="CC353">
        <f>IFERROR(INDEX(PP_Grid[#Data],$DD353,79),0)</f>
        <v/>
      </c>
      <c r="CD353">
        <f>IFERROR(INDEX(PP_Grid[#Data],$DD353,80),0)</f>
        <v/>
      </c>
      <c r="CE353">
        <f>IFERROR(INDEX(PP_Grid[#Data],$DD353,81),0)</f>
        <v/>
      </c>
      <c r="CF353">
        <f>IFERROR(INDEX(PP_Grid[#Data],$DD353,82),0)</f>
        <v/>
      </c>
      <c r="CG353">
        <f>IFERROR(INDEX(PP_Grid[#Data],$DD353,83),0)</f>
        <v/>
      </c>
      <c r="CH353">
        <f>IFERROR(INDEX(PP_Grid[#Data],$DD353,84),0)</f>
        <v/>
      </c>
      <c r="CI353">
        <f>IFERROR(INDEX(PP_Grid[#Data],$DD353,85),0)</f>
        <v/>
      </c>
      <c r="CJ353">
        <f>IFERROR(INDEX(PP_Grid[#Data],$DD353,86),0)</f>
        <v/>
      </c>
      <c r="CK353">
        <f>IFERROR(INDEX(PP_Grid[#Data],$DD353,87),0)</f>
        <v/>
      </c>
      <c r="CL353">
        <f>IFERROR(INDEX(PP_Grid[#Data],$DD353,88),0)</f>
        <v/>
      </c>
      <c r="CM353">
        <f>IFERROR(INDEX(PP_Grid[#Data],$DD353,89),0)</f>
        <v/>
      </c>
      <c r="CN353">
        <f>IFERROR(INDEX(PP_Grid[#Data],$DD353,90),0)</f>
        <v/>
      </c>
      <c r="CO353">
        <f>IFERROR(INDEX(PP_Grid[#Data],$DD353,91),0)</f>
        <v/>
      </c>
      <c r="CP353">
        <f>IFERROR(INDEX(PP_Grid[#Data],$DD353,92),0)</f>
        <v/>
      </c>
      <c r="CQ353">
        <f>IFERROR(INDEX(PP_Grid[#Data],$DD353,93),0)</f>
        <v/>
      </c>
      <c r="CR353">
        <f>IFERROR(INDEX(PP_Grid[#Data],$DD353,94),0)</f>
        <v/>
      </c>
      <c r="CS353">
        <f>IFERROR(INDEX(PP_Grid[#Data],$DD353,95),0)</f>
        <v/>
      </c>
      <c r="CT353">
        <f>IFERROR(INDEX(PP_Grid[#Data],$DD353,96),0)</f>
        <v/>
      </c>
      <c r="CU353">
        <f>IFERROR(INDEX(PP_Grid[#Data],$DD353,97),0)</f>
        <v/>
      </c>
      <c r="CV353">
        <f>IFERROR(INDEX(PP_Grid[#Data],$DD353,98),0)</f>
        <v/>
      </c>
      <c r="CW353">
        <f>IFERROR(INDEX(PP_Grid[#Data],$DD353,99),0)</f>
        <v/>
      </c>
      <c r="CX353">
        <f>IFERROR(INDEX(PP_Grid[#Data],$DD353,100),0)</f>
        <v/>
      </c>
      <c r="CY353">
        <f>IFERROR(INDEX(PP_Grid[#Data],$DD353,101),0)</f>
        <v/>
      </c>
      <c r="CZ353">
        <f>IFERROR(INDEX(PP_Grid[#Data],$DD353,102),0)</f>
        <v/>
      </c>
      <c r="DA353">
        <f>IFERROR(INDEX(PP_Grid[#Data],$DD353,103),0)</f>
        <v/>
      </c>
      <c r="DB353">
        <f>IFERROR(INDEX(PP_Grid[#Data],$DD353,104),0)</f>
        <v/>
      </c>
      <c r="DC353">
        <f>IFERROR(INDEX(PP_Grid[#Data],$DD353,105),0)</f>
        <v/>
      </c>
      <c r="DD353" s="7">
        <f>IFERROR(MATCH($B353,PP_Grid[Intermediate],0),99999)</f>
        <v/>
      </c>
    </row>
    <row r="354">
      <c r="B354" t="inlineStr">
        <is>
          <t>使用量(kg)</t>
        </is>
      </c>
      <c r="C354">
        <f>SUMIFS(M_BOM[RM_Qty_Per_Batch],M_BOM[Intermediate],$B353,M_BOM[Part Name],$A340)</f>
        <v/>
      </c>
      <c r="D354">
        <f>$C354*D353</f>
        <v/>
      </c>
      <c r="E354">
        <f>$C354*E353</f>
        <v/>
      </c>
      <c r="F354">
        <f>$C354*F353</f>
        <v/>
      </c>
      <c r="G354">
        <f>$C354*G353</f>
        <v/>
      </c>
      <c r="H354">
        <f>$C354*H353</f>
        <v/>
      </c>
      <c r="I354">
        <f>$C354*I353</f>
        <v/>
      </c>
      <c r="J354">
        <f>$C354*J353</f>
        <v/>
      </c>
      <c r="K354">
        <f>$C354*K353</f>
        <v/>
      </c>
      <c r="L354">
        <f>$C354*L353</f>
        <v/>
      </c>
      <c r="M354">
        <f>$C354*M353</f>
        <v/>
      </c>
      <c r="N354">
        <f>$C354*N353</f>
        <v/>
      </c>
      <c r="O354">
        <f>$C354*O353</f>
        <v/>
      </c>
      <c r="P354">
        <f>$C354*P353</f>
        <v/>
      </c>
      <c r="Q354">
        <f>$C354*Q353</f>
        <v/>
      </c>
      <c r="R354">
        <f>$C354*R353</f>
        <v/>
      </c>
      <c r="S354">
        <f>$C354*S353</f>
        <v/>
      </c>
      <c r="T354">
        <f>$C354*T353</f>
        <v/>
      </c>
      <c r="U354">
        <f>$C354*U353</f>
        <v/>
      </c>
      <c r="V354">
        <f>$C354*V353</f>
        <v/>
      </c>
      <c r="W354">
        <f>$C354*W353</f>
        <v/>
      </c>
      <c r="X354">
        <f>$C354*X353</f>
        <v/>
      </c>
      <c r="Y354">
        <f>$C354*Y353</f>
        <v/>
      </c>
      <c r="Z354">
        <f>$C354*Z353</f>
        <v/>
      </c>
      <c r="AA354">
        <f>$C354*AA353</f>
        <v/>
      </c>
      <c r="AB354">
        <f>$C354*AB353</f>
        <v/>
      </c>
      <c r="AC354">
        <f>$C354*AC353</f>
        <v/>
      </c>
      <c r="AD354">
        <f>$C354*AD353</f>
        <v/>
      </c>
      <c r="AE354">
        <f>$C354*AE353</f>
        <v/>
      </c>
      <c r="AF354">
        <f>$C354*AF353</f>
        <v/>
      </c>
      <c r="AG354">
        <f>$C354*AG353</f>
        <v/>
      </c>
      <c r="AH354">
        <f>$C354*AH353</f>
        <v/>
      </c>
      <c r="AI354">
        <f>$C354*AI353</f>
        <v/>
      </c>
      <c r="AJ354">
        <f>$C354*AJ353</f>
        <v/>
      </c>
      <c r="AK354">
        <f>$C354*AK353</f>
        <v/>
      </c>
      <c r="AL354">
        <f>$C354*AL353</f>
        <v/>
      </c>
      <c r="AM354">
        <f>$C354*AM353</f>
        <v/>
      </c>
      <c r="AN354">
        <f>$C354*AN353</f>
        <v/>
      </c>
      <c r="AO354">
        <f>$C354*AO353</f>
        <v/>
      </c>
      <c r="AP354">
        <f>$C354*AP353</f>
        <v/>
      </c>
      <c r="AQ354">
        <f>$C354*AQ353</f>
        <v/>
      </c>
      <c r="AR354">
        <f>$C354*AR353</f>
        <v/>
      </c>
      <c r="AS354">
        <f>$C354*AS353</f>
        <v/>
      </c>
      <c r="AT354">
        <f>$C354*AT353</f>
        <v/>
      </c>
      <c r="AU354">
        <f>$C354*AU353</f>
        <v/>
      </c>
      <c r="AV354">
        <f>$C354*AV353</f>
        <v/>
      </c>
      <c r="AW354">
        <f>$C354*AW353</f>
        <v/>
      </c>
      <c r="AX354">
        <f>$C354*AX353</f>
        <v/>
      </c>
      <c r="AY354">
        <f>$C354*AY353</f>
        <v/>
      </c>
      <c r="AZ354">
        <f>$C354*AZ353</f>
        <v/>
      </c>
      <c r="BA354">
        <f>$C354*BA353</f>
        <v/>
      </c>
      <c r="BB354">
        <f>$C354*BB353</f>
        <v/>
      </c>
      <c r="BC354">
        <f>$C354*BC353</f>
        <v/>
      </c>
      <c r="BD354">
        <f>$C354*BD353</f>
        <v/>
      </c>
      <c r="BE354">
        <f>$C354*BE353</f>
        <v/>
      </c>
      <c r="BF354">
        <f>$C354*BF353</f>
        <v/>
      </c>
      <c r="BG354">
        <f>$C354*BG353</f>
        <v/>
      </c>
      <c r="BH354">
        <f>$C354*BH353</f>
        <v/>
      </c>
      <c r="BI354">
        <f>$C354*BI353</f>
        <v/>
      </c>
      <c r="BJ354">
        <f>$C354*BJ353</f>
        <v/>
      </c>
      <c r="BK354">
        <f>$C354*BK353</f>
        <v/>
      </c>
      <c r="BL354">
        <f>$C354*BL353</f>
        <v/>
      </c>
      <c r="BM354">
        <f>$C354*BM353</f>
        <v/>
      </c>
      <c r="BN354">
        <f>$C354*BN353</f>
        <v/>
      </c>
      <c r="BO354">
        <f>$C354*BO353</f>
        <v/>
      </c>
      <c r="BP354">
        <f>$C354*BP353</f>
        <v/>
      </c>
      <c r="BQ354">
        <f>$C354*BQ353</f>
        <v/>
      </c>
      <c r="BR354">
        <f>$C354*BR353</f>
        <v/>
      </c>
      <c r="BS354">
        <f>$C354*BS353</f>
        <v/>
      </c>
      <c r="BT354">
        <f>$C354*BT353</f>
        <v/>
      </c>
      <c r="BU354">
        <f>$C354*BU353</f>
        <v/>
      </c>
      <c r="BV354">
        <f>$C354*BV353</f>
        <v/>
      </c>
      <c r="BW354">
        <f>$C354*BW353</f>
        <v/>
      </c>
      <c r="BX354">
        <f>$C354*BX353</f>
        <v/>
      </c>
      <c r="BY354">
        <f>$C354*BY353</f>
        <v/>
      </c>
      <c r="BZ354">
        <f>$C354*BZ353</f>
        <v/>
      </c>
      <c r="CA354">
        <f>$C354*CA353</f>
        <v/>
      </c>
      <c r="CB354">
        <f>$C354*CB353</f>
        <v/>
      </c>
      <c r="CC354">
        <f>$C354*CC353</f>
        <v/>
      </c>
      <c r="CD354">
        <f>$C354*CD353</f>
        <v/>
      </c>
      <c r="CE354">
        <f>$C354*CE353</f>
        <v/>
      </c>
      <c r="CF354">
        <f>$C354*CF353</f>
        <v/>
      </c>
      <c r="CG354">
        <f>$C354*CG353</f>
        <v/>
      </c>
      <c r="CH354">
        <f>$C354*CH353</f>
        <v/>
      </c>
      <c r="CI354">
        <f>$C354*CI353</f>
        <v/>
      </c>
      <c r="CJ354">
        <f>$C354*CJ353</f>
        <v/>
      </c>
      <c r="CK354">
        <f>$C354*CK353</f>
        <v/>
      </c>
      <c r="CL354">
        <f>$C354*CL353</f>
        <v/>
      </c>
      <c r="CM354">
        <f>$C354*CM353</f>
        <v/>
      </c>
      <c r="CN354">
        <f>$C354*CN353</f>
        <v/>
      </c>
      <c r="CO354">
        <f>$C354*CO353</f>
        <v/>
      </c>
      <c r="CP354">
        <f>$C354*CP353</f>
        <v/>
      </c>
      <c r="CQ354">
        <f>$C354*CQ353</f>
        <v/>
      </c>
      <c r="CR354">
        <f>$C354*CR353</f>
        <v/>
      </c>
      <c r="CS354">
        <f>$C354*CS353</f>
        <v/>
      </c>
      <c r="CT354">
        <f>$C354*CT353</f>
        <v/>
      </c>
      <c r="CU354">
        <f>$C354*CU353</f>
        <v/>
      </c>
      <c r="CV354">
        <f>$C354*CV353</f>
        <v/>
      </c>
      <c r="CW354">
        <f>$C354*CW353</f>
        <v/>
      </c>
      <c r="CX354">
        <f>$C354*CX353</f>
        <v/>
      </c>
      <c r="CY354">
        <f>$C354*CY353</f>
        <v/>
      </c>
      <c r="CZ354">
        <f>$C354*CZ353</f>
        <v/>
      </c>
      <c r="DA354">
        <f>$C354*DA353</f>
        <v/>
      </c>
      <c r="DB354">
        <f>$C354*DB353</f>
        <v/>
      </c>
      <c r="DC354">
        <f>$C354*DC353</f>
        <v/>
      </c>
    </row>
    <row r="355">
      <c r="B355" t="inlineStr">
        <is>
          <t>TSP-219</t>
        </is>
      </c>
      <c r="C355" t="inlineStr">
        <is>
          <t>No. of batches</t>
        </is>
      </c>
      <c r="D355">
        <f>IFERROR(INDEX(PP_Grid[#Data],$DD355,2),0)</f>
        <v/>
      </c>
      <c r="E355">
        <f>IFERROR(INDEX(PP_Grid[#Data],$DD355,3),0)</f>
        <v/>
      </c>
      <c r="F355">
        <f>IFERROR(INDEX(PP_Grid[#Data],$DD355,4),0)</f>
        <v/>
      </c>
      <c r="G355">
        <f>IFERROR(INDEX(PP_Grid[#Data],$DD355,5),0)</f>
        <v/>
      </c>
      <c r="H355">
        <f>IFERROR(INDEX(PP_Grid[#Data],$DD355,6),0)</f>
        <v/>
      </c>
      <c r="I355">
        <f>IFERROR(INDEX(PP_Grid[#Data],$DD355,7),0)</f>
        <v/>
      </c>
      <c r="J355">
        <f>IFERROR(INDEX(PP_Grid[#Data],$DD355,8),0)</f>
        <v/>
      </c>
      <c r="K355">
        <f>IFERROR(INDEX(PP_Grid[#Data],$DD355,9),0)</f>
        <v/>
      </c>
      <c r="L355">
        <f>IFERROR(INDEX(PP_Grid[#Data],$DD355,10),0)</f>
        <v/>
      </c>
      <c r="M355">
        <f>IFERROR(INDEX(PP_Grid[#Data],$DD355,11),0)</f>
        <v/>
      </c>
      <c r="N355">
        <f>IFERROR(INDEX(PP_Grid[#Data],$DD355,12),0)</f>
        <v/>
      </c>
      <c r="O355">
        <f>IFERROR(INDEX(PP_Grid[#Data],$DD355,13),0)</f>
        <v/>
      </c>
      <c r="P355">
        <f>IFERROR(INDEX(PP_Grid[#Data],$DD355,14),0)</f>
        <v/>
      </c>
      <c r="Q355">
        <f>IFERROR(INDEX(PP_Grid[#Data],$DD355,15),0)</f>
        <v/>
      </c>
      <c r="R355">
        <f>IFERROR(INDEX(PP_Grid[#Data],$DD355,16),0)</f>
        <v/>
      </c>
      <c r="S355">
        <f>IFERROR(INDEX(PP_Grid[#Data],$DD355,17),0)</f>
        <v/>
      </c>
      <c r="T355">
        <f>IFERROR(INDEX(PP_Grid[#Data],$DD355,18),0)</f>
        <v/>
      </c>
      <c r="U355">
        <f>IFERROR(INDEX(PP_Grid[#Data],$DD355,19),0)</f>
        <v/>
      </c>
      <c r="V355">
        <f>IFERROR(INDEX(PP_Grid[#Data],$DD355,20),0)</f>
        <v/>
      </c>
      <c r="W355">
        <f>IFERROR(INDEX(PP_Grid[#Data],$DD355,21),0)</f>
        <v/>
      </c>
      <c r="X355">
        <f>IFERROR(INDEX(PP_Grid[#Data],$DD355,22),0)</f>
        <v/>
      </c>
      <c r="Y355">
        <f>IFERROR(INDEX(PP_Grid[#Data],$DD355,23),0)</f>
        <v/>
      </c>
      <c r="Z355">
        <f>IFERROR(INDEX(PP_Grid[#Data],$DD355,24),0)</f>
        <v/>
      </c>
      <c r="AA355">
        <f>IFERROR(INDEX(PP_Grid[#Data],$DD355,25),0)</f>
        <v/>
      </c>
      <c r="AB355">
        <f>IFERROR(INDEX(PP_Grid[#Data],$DD355,26),0)</f>
        <v/>
      </c>
      <c r="AC355">
        <f>IFERROR(INDEX(PP_Grid[#Data],$DD355,27),0)</f>
        <v/>
      </c>
      <c r="AD355">
        <f>IFERROR(INDEX(PP_Grid[#Data],$DD355,28),0)</f>
        <v/>
      </c>
      <c r="AE355">
        <f>IFERROR(INDEX(PP_Grid[#Data],$DD355,29),0)</f>
        <v/>
      </c>
      <c r="AF355">
        <f>IFERROR(INDEX(PP_Grid[#Data],$DD355,30),0)</f>
        <v/>
      </c>
      <c r="AG355">
        <f>IFERROR(INDEX(PP_Grid[#Data],$DD355,31),0)</f>
        <v/>
      </c>
      <c r="AH355">
        <f>IFERROR(INDEX(PP_Grid[#Data],$DD355,32),0)</f>
        <v/>
      </c>
      <c r="AI355">
        <f>IFERROR(INDEX(PP_Grid[#Data],$DD355,33),0)</f>
        <v/>
      </c>
      <c r="AJ355">
        <f>IFERROR(INDEX(PP_Grid[#Data],$DD355,34),0)</f>
        <v/>
      </c>
      <c r="AK355">
        <f>IFERROR(INDEX(PP_Grid[#Data],$DD355,35),0)</f>
        <v/>
      </c>
      <c r="AL355">
        <f>IFERROR(INDEX(PP_Grid[#Data],$DD355,36),0)</f>
        <v/>
      </c>
      <c r="AM355">
        <f>IFERROR(INDEX(PP_Grid[#Data],$DD355,37),0)</f>
        <v/>
      </c>
      <c r="AN355">
        <f>IFERROR(INDEX(PP_Grid[#Data],$DD355,38),0)</f>
        <v/>
      </c>
      <c r="AO355">
        <f>IFERROR(INDEX(PP_Grid[#Data],$DD355,39),0)</f>
        <v/>
      </c>
      <c r="AP355">
        <f>IFERROR(INDEX(PP_Grid[#Data],$DD355,40),0)</f>
        <v/>
      </c>
      <c r="AQ355">
        <f>IFERROR(INDEX(PP_Grid[#Data],$DD355,41),0)</f>
        <v/>
      </c>
      <c r="AR355">
        <f>IFERROR(INDEX(PP_Grid[#Data],$DD355,42),0)</f>
        <v/>
      </c>
      <c r="AS355">
        <f>IFERROR(INDEX(PP_Grid[#Data],$DD355,43),0)</f>
        <v/>
      </c>
      <c r="AT355">
        <f>IFERROR(INDEX(PP_Grid[#Data],$DD355,44),0)</f>
        <v/>
      </c>
      <c r="AU355">
        <f>IFERROR(INDEX(PP_Grid[#Data],$DD355,45),0)</f>
        <v/>
      </c>
      <c r="AV355">
        <f>IFERROR(INDEX(PP_Grid[#Data],$DD355,46),0)</f>
        <v/>
      </c>
      <c r="AW355">
        <f>IFERROR(INDEX(PP_Grid[#Data],$DD355,47),0)</f>
        <v/>
      </c>
      <c r="AX355">
        <f>IFERROR(INDEX(PP_Grid[#Data],$DD355,48),0)</f>
        <v/>
      </c>
      <c r="AY355">
        <f>IFERROR(INDEX(PP_Grid[#Data],$DD355,49),0)</f>
        <v/>
      </c>
      <c r="AZ355">
        <f>IFERROR(INDEX(PP_Grid[#Data],$DD355,50),0)</f>
        <v/>
      </c>
      <c r="BA355">
        <f>IFERROR(INDEX(PP_Grid[#Data],$DD355,51),0)</f>
        <v/>
      </c>
      <c r="BB355">
        <f>IFERROR(INDEX(PP_Grid[#Data],$DD355,52),0)</f>
        <v/>
      </c>
      <c r="BC355">
        <f>IFERROR(INDEX(PP_Grid[#Data],$DD355,53),0)</f>
        <v/>
      </c>
      <c r="BD355">
        <f>IFERROR(INDEX(PP_Grid[#Data],$DD355,54),0)</f>
        <v/>
      </c>
      <c r="BE355">
        <f>IFERROR(INDEX(PP_Grid[#Data],$DD355,55),0)</f>
        <v/>
      </c>
      <c r="BF355">
        <f>IFERROR(INDEX(PP_Grid[#Data],$DD355,56),0)</f>
        <v/>
      </c>
      <c r="BG355">
        <f>IFERROR(INDEX(PP_Grid[#Data],$DD355,57),0)</f>
        <v/>
      </c>
      <c r="BH355">
        <f>IFERROR(INDEX(PP_Grid[#Data],$DD355,58),0)</f>
        <v/>
      </c>
      <c r="BI355">
        <f>IFERROR(INDEX(PP_Grid[#Data],$DD355,59),0)</f>
        <v/>
      </c>
      <c r="BJ355">
        <f>IFERROR(INDEX(PP_Grid[#Data],$DD355,60),0)</f>
        <v/>
      </c>
      <c r="BK355">
        <f>IFERROR(INDEX(PP_Grid[#Data],$DD355,61),0)</f>
        <v/>
      </c>
      <c r="BL355">
        <f>IFERROR(INDEX(PP_Grid[#Data],$DD355,62),0)</f>
        <v/>
      </c>
      <c r="BM355">
        <f>IFERROR(INDEX(PP_Grid[#Data],$DD355,63),0)</f>
        <v/>
      </c>
      <c r="BN355">
        <f>IFERROR(INDEX(PP_Grid[#Data],$DD355,64),0)</f>
        <v/>
      </c>
      <c r="BO355">
        <f>IFERROR(INDEX(PP_Grid[#Data],$DD355,65),0)</f>
        <v/>
      </c>
      <c r="BP355">
        <f>IFERROR(INDEX(PP_Grid[#Data],$DD355,66),0)</f>
        <v/>
      </c>
      <c r="BQ355">
        <f>IFERROR(INDEX(PP_Grid[#Data],$DD355,67),0)</f>
        <v/>
      </c>
      <c r="BR355">
        <f>IFERROR(INDEX(PP_Grid[#Data],$DD355,68),0)</f>
        <v/>
      </c>
      <c r="BS355">
        <f>IFERROR(INDEX(PP_Grid[#Data],$DD355,69),0)</f>
        <v/>
      </c>
      <c r="BT355">
        <f>IFERROR(INDEX(PP_Grid[#Data],$DD355,70),0)</f>
        <v/>
      </c>
      <c r="BU355">
        <f>IFERROR(INDEX(PP_Grid[#Data],$DD355,71),0)</f>
        <v/>
      </c>
      <c r="BV355">
        <f>IFERROR(INDEX(PP_Grid[#Data],$DD355,72),0)</f>
        <v/>
      </c>
      <c r="BW355">
        <f>IFERROR(INDEX(PP_Grid[#Data],$DD355,73),0)</f>
        <v/>
      </c>
      <c r="BX355">
        <f>IFERROR(INDEX(PP_Grid[#Data],$DD355,74),0)</f>
        <v/>
      </c>
      <c r="BY355">
        <f>IFERROR(INDEX(PP_Grid[#Data],$DD355,75),0)</f>
        <v/>
      </c>
      <c r="BZ355">
        <f>IFERROR(INDEX(PP_Grid[#Data],$DD355,76),0)</f>
        <v/>
      </c>
      <c r="CA355">
        <f>IFERROR(INDEX(PP_Grid[#Data],$DD355,77),0)</f>
        <v/>
      </c>
      <c r="CB355">
        <f>IFERROR(INDEX(PP_Grid[#Data],$DD355,78),0)</f>
        <v/>
      </c>
      <c r="CC355">
        <f>IFERROR(INDEX(PP_Grid[#Data],$DD355,79),0)</f>
        <v/>
      </c>
      <c r="CD355">
        <f>IFERROR(INDEX(PP_Grid[#Data],$DD355,80),0)</f>
        <v/>
      </c>
      <c r="CE355">
        <f>IFERROR(INDEX(PP_Grid[#Data],$DD355,81),0)</f>
        <v/>
      </c>
      <c r="CF355">
        <f>IFERROR(INDEX(PP_Grid[#Data],$DD355,82),0)</f>
        <v/>
      </c>
      <c r="CG355">
        <f>IFERROR(INDEX(PP_Grid[#Data],$DD355,83),0)</f>
        <v/>
      </c>
      <c r="CH355">
        <f>IFERROR(INDEX(PP_Grid[#Data],$DD355,84),0)</f>
        <v/>
      </c>
      <c r="CI355">
        <f>IFERROR(INDEX(PP_Grid[#Data],$DD355,85),0)</f>
        <v/>
      </c>
      <c r="CJ355">
        <f>IFERROR(INDEX(PP_Grid[#Data],$DD355,86),0)</f>
        <v/>
      </c>
      <c r="CK355">
        <f>IFERROR(INDEX(PP_Grid[#Data],$DD355,87),0)</f>
        <v/>
      </c>
      <c r="CL355">
        <f>IFERROR(INDEX(PP_Grid[#Data],$DD355,88),0)</f>
        <v/>
      </c>
      <c r="CM355">
        <f>IFERROR(INDEX(PP_Grid[#Data],$DD355,89),0)</f>
        <v/>
      </c>
      <c r="CN355">
        <f>IFERROR(INDEX(PP_Grid[#Data],$DD355,90),0)</f>
        <v/>
      </c>
      <c r="CO355">
        <f>IFERROR(INDEX(PP_Grid[#Data],$DD355,91),0)</f>
        <v/>
      </c>
      <c r="CP355">
        <f>IFERROR(INDEX(PP_Grid[#Data],$DD355,92),0)</f>
        <v/>
      </c>
      <c r="CQ355">
        <f>IFERROR(INDEX(PP_Grid[#Data],$DD355,93),0)</f>
        <v/>
      </c>
      <c r="CR355">
        <f>IFERROR(INDEX(PP_Grid[#Data],$DD355,94),0)</f>
        <v/>
      </c>
      <c r="CS355">
        <f>IFERROR(INDEX(PP_Grid[#Data],$DD355,95),0)</f>
        <v/>
      </c>
      <c r="CT355">
        <f>IFERROR(INDEX(PP_Grid[#Data],$DD355,96),0)</f>
        <v/>
      </c>
      <c r="CU355">
        <f>IFERROR(INDEX(PP_Grid[#Data],$DD355,97),0)</f>
        <v/>
      </c>
      <c r="CV355">
        <f>IFERROR(INDEX(PP_Grid[#Data],$DD355,98),0)</f>
        <v/>
      </c>
      <c r="CW355">
        <f>IFERROR(INDEX(PP_Grid[#Data],$DD355,99),0)</f>
        <v/>
      </c>
      <c r="CX355">
        <f>IFERROR(INDEX(PP_Grid[#Data],$DD355,100),0)</f>
        <v/>
      </c>
      <c r="CY355">
        <f>IFERROR(INDEX(PP_Grid[#Data],$DD355,101),0)</f>
        <v/>
      </c>
      <c r="CZ355">
        <f>IFERROR(INDEX(PP_Grid[#Data],$DD355,102),0)</f>
        <v/>
      </c>
      <c r="DA355">
        <f>IFERROR(INDEX(PP_Grid[#Data],$DD355,103),0)</f>
        <v/>
      </c>
      <c r="DB355">
        <f>IFERROR(INDEX(PP_Grid[#Data],$DD355,104),0)</f>
        <v/>
      </c>
      <c r="DC355">
        <f>IFERROR(INDEX(PP_Grid[#Data],$DD355,105),0)</f>
        <v/>
      </c>
      <c r="DD355" s="7">
        <f>IFERROR(MATCH($B355,PP_Grid[Intermediate],0),99999)</f>
        <v/>
      </c>
    </row>
    <row r="356">
      <c r="B356" t="inlineStr">
        <is>
          <t>使用量(kg)</t>
        </is>
      </c>
      <c r="C356">
        <f>SUMIFS(M_BOM[RM_Qty_Per_Batch],M_BOM[Intermediate],$B355,M_BOM[Part Name],$A340)</f>
        <v/>
      </c>
      <c r="D356">
        <f>$C356*D355</f>
        <v/>
      </c>
      <c r="E356">
        <f>$C356*E355</f>
        <v/>
      </c>
      <c r="F356">
        <f>$C356*F355</f>
        <v/>
      </c>
      <c r="G356">
        <f>$C356*G355</f>
        <v/>
      </c>
      <c r="H356">
        <f>$C356*H355</f>
        <v/>
      </c>
      <c r="I356">
        <f>$C356*I355</f>
        <v/>
      </c>
      <c r="J356">
        <f>$C356*J355</f>
        <v/>
      </c>
      <c r="K356">
        <f>$C356*K355</f>
        <v/>
      </c>
      <c r="L356">
        <f>$C356*L355</f>
        <v/>
      </c>
      <c r="M356">
        <f>$C356*M355</f>
        <v/>
      </c>
      <c r="N356">
        <f>$C356*N355</f>
        <v/>
      </c>
      <c r="O356">
        <f>$C356*O355</f>
        <v/>
      </c>
      <c r="P356">
        <f>$C356*P355</f>
        <v/>
      </c>
      <c r="Q356">
        <f>$C356*Q355</f>
        <v/>
      </c>
      <c r="R356">
        <f>$C356*R355</f>
        <v/>
      </c>
      <c r="S356">
        <f>$C356*S355</f>
        <v/>
      </c>
      <c r="T356">
        <f>$C356*T355</f>
        <v/>
      </c>
      <c r="U356">
        <f>$C356*U355</f>
        <v/>
      </c>
      <c r="V356">
        <f>$C356*V355</f>
        <v/>
      </c>
      <c r="W356">
        <f>$C356*W355</f>
        <v/>
      </c>
      <c r="X356">
        <f>$C356*X355</f>
        <v/>
      </c>
      <c r="Y356">
        <f>$C356*Y355</f>
        <v/>
      </c>
      <c r="Z356">
        <f>$C356*Z355</f>
        <v/>
      </c>
      <c r="AA356">
        <f>$C356*AA355</f>
        <v/>
      </c>
      <c r="AB356">
        <f>$C356*AB355</f>
        <v/>
      </c>
      <c r="AC356">
        <f>$C356*AC355</f>
        <v/>
      </c>
      <c r="AD356">
        <f>$C356*AD355</f>
        <v/>
      </c>
      <c r="AE356">
        <f>$C356*AE355</f>
        <v/>
      </c>
      <c r="AF356">
        <f>$C356*AF355</f>
        <v/>
      </c>
      <c r="AG356">
        <f>$C356*AG355</f>
        <v/>
      </c>
      <c r="AH356">
        <f>$C356*AH355</f>
        <v/>
      </c>
      <c r="AI356">
        <f>$C356*AI355</f>
        <v/>
      </c>
      <c r="AJ356">
        <f>$C356*AJ355</f>
        <v/>
      </c>
      <c r="AK356">
        <f>$C356*AK355</f>
        <v/>
      </c>
      <c r="AL356">
        <f>$C356*AL355</f>
        <v/>
      </c>
      <c r="AM356">
        <f>$C356*AM355</f>
        <v/>
      </c>
      <c r="AN356">
        <f>$C356*AN355</f>
        <v/>
      </c>
      <c r="AO356">
        <f>$C356*AO355</f>
        <v/>
      </c>
      <c r="AP356">
        <f>$C356*AP355</f>
        <v/>
      </c>
      <c r="AQ356">
        <f>$C356*AQ355</f>
        <v/>
      </c>
      <c r="AR356">
        <f>$C356*AR355</f>
        <v/>
      </c>
      <c r="AS356">
        <f>$C356*AS355</f>
        <v/>
      </c>
      <c r="AT356">
        <f>$C356*AT355</f>
        <v/>
      </c>
      <c r="AU356">
        <f>$C356*AU355</f>
        <v/>
      </c>
      <c r="AV356">
        <f>$C356*AV355</f>
        <v/>
      </c>
      <c r="AW356">
        <f>$C356*AW355</f>
        <v/>
      </c>
      <c r="AX356">
        <f>$C356*AX355</f>
        <v/>
      </c>
      <c r="AY356">
        <f>$C356*AY355</f>
        <v/>
      </c>
      <c r="AZ356">
        <f>$C356*AZ355</f>
        <v/>
      </c>
      <c r="BA356">
        <f>$C356*BA355</f>
        <v/>
      </c>
      <c r="BB356">
        <f>$C356*BB355</f>
        <v/>
      </c>
      <c r="BC356">
        <f>$C356*BC355</f>
        <v/>
      </c>
      <c r="BD356">
        <f>$C356*BD355</f>
        <v/>
      </c>
      <c r="BE356">
        <f>$C356*BE355</f>
        <v/>
      </c>
      <c r="BF356">
        <f>$C356*BF355</f>
        <v/>
      </c>
      <c r="BG356">
        <f>$C356*BG355</f>
        <v/>
      </c>
      <c r="BH356">
        <f>$C356*BH355</f>
        <v/>
      </c>
      <c r="BI356">
        <f>$C356*BI355</f>
        <v/>
      </c>
      <c r="BJ356">
        <f>$C356*BJ355</f>
        <v/>
      </c>
      <c r="BK356">
        <f>$C356*BK355</f>
        <v/>
      </c>
      <c r="BL356">
        <f>$C356*BL355</f>
        <v/>
      </c>
      <c r="BM356">
        <f>$C356*BM355</f>
        <v/>
      </c>
      <c r="BN356">
        <f>$C356*BN355</f>
        <v/>
      </c>
      <c r="BO356">
        <f>$C356*BO355</f>
        <v/>
      </c>
      <c r="BP356">
        <f>$C356*BP355</f>
        <v/>
      </c>
      <c r="BQ356">
        <f>$C356*BQ355</f>
        <v/>
      </c>
      <c r="BR356">
        <f>$C356*BR355</f>
        <v/>
      </c>
      <c r="BS356">
        <f>$C356*BS355</f>
        <v/>
      </c>
      <c r="BT356">
        <f>$C356*BT355</f>
        <v/>
      </c>
      <c r="BU356">
        <f>$C356*BU355</f>
        <v/>
      </c>
      <c r="BV356">
        <f>$C356*BV355</f>
        <v/>
      </c>
      <c r="BW356">
        <f>$C356*BW355</f>
        <v/>
      </c>
      <c r="BX356">
        <f>$C356*BX355</f>
        <v/>
      </c>
      <c r="BY356">
        <f>$C356*BY355</f>
        <v/>
      </c>
      <c r="BZ356">
        <f>$C356*BZ355</f>
        <v/>
      </c>
      <c r="CA356">
        <f>$C356*CA355</f>
        <v/>
      </c>
      <c r="CB356">
        <f>$C356*CB355</f>
        <v/>
      </c>
      <c r="CC356">
        <f>$C356*CC355</f>
        <v/>
      </c>
      <c r="CD356">
        <f>$C356*CD355</f>
        <v/>
      </c>
      <c r="CE356">
        <f>$C356*CE355</f>
        <v/>
      </c>
      <c r="CF356">
        <f>$C356*CF355</f>
        <v/>
      </c>
      <c r="CG356">
        <f>$C356*CG355</f>
        <v/>
      </c>
      <c r="CH356">
        <f>$C356*CH355</f>
        <v/>
      </c>
      <c r="CI356">
        <f>$C356*CI355</f>
        <v/>
      </c>
      <c r="CJ356">
        <f>$C356*CJ355</f>
        <v/>
      </c>
      <c r="CK356">
        <f>$C356*CK355</f>
        <v/>
      </c>
      <c r="CL356">
        <f>$C356*CL355</f>
        <v/>
      </c>
      <c r="CM356">
        <f>$C356*CM355</f>
        <v/>
      </c>
      <c r="CN356">
        <f>$C356*CN355</f>
        <v/>
      </c>
      <c r="CO356">
        <f>$C356*CO355</f>
        <v/>
      </c>
      <c r="CP356">
        <f>$C356*CP355</f>
        <v/>
      </c>
      <c r="CQ356">
        <f>$C356*CQ355</f>
        <v/>
      </c>
      <c r="CR356">
        <f>$C356*CR355</f>
        <v/>
      </c>
      <c r="CS356">
        <f>$C356*CS355</f>
        <v/>
      </c>
      <c r="CT356">
        <f>$C356*CT355</f>
        <v/>
      </c>
      <c r="CU356">
        <f>$C356*CU355</f>
        <v/>
      </c>
      <c r="CV356">
        <f>$C356*CV355</f>
        <v/>
      </c>
      <c r="CW356">
        <f>$C356*CW355</f>
        <v/>
      </c>
      <c r="CX356">
        <f>$C356*CX355</f>
        <v/>
      </c>
      <c r="CY356">
        <f>$C356*CY355</f>
        <v/>
      </c>
      <c r="CZ356">
        <f>$C356*CZ355</f>
        <v/>
      </c>
      <c r="DA356">
        <f>$C356*DA355</f>
        <v/>
      </c>
      <c r="DB356">
        <f>$C356*DB355</f>
        <v/>
      </c>
      <c r="DC356">
        <f>$C356*DC355</f>
        <v/>
      </c>
    </row>
    <row r="357">
      <c r="B357" t="inlineStr">
        <is>
          <t>TSP-225</t>
        </is>
      </c>
      <c r="C357" t="inlineStr">
        <is>
          <t>No. of batches</t>
        </is>
      </c>
      <c r="D357">
        <f>IFERROR(INDEX(PP_Grid[#Data],$DD357,2),0)</f>
        <v/>
      </c>
      <c r="E357">
        <f>IFERROR(INDEX(PP_Grid[#Data],$DD357,3),0)</f>
        <v/>
      </c>
      <c r="F357">
        <f>IFERROR(INDEX(PP_Grid[#Data],$DD357,4),0)</f>
        <v/>
      </c>
      <c r="G357">
        <f>IFERROR(INDEX(PP_Grid[#Data],$DD357,5),0)</f>
        <v/>
      </c>
      <c r="H357">
        <f>IFERROR(INDEX(PP_Grid[#Data],$DD357,6),0)</f>
        <v/>
      </c>
      <c r="I357">
        <f>IFERROR(INDEX(PP_Grid[#Data],$DD357,7),0)</f>
        <v/>
      </c>
      <c r="J357">
        <f>IFERROR(INDEX(PP_Grid[#Data],$DD357,8),0)</f>
        <v/>
      </c>
      <c r="K357">
        <f>IFERROR(INDEX(PP_Grid[#Data],$DD357,9),0)</f>
        <v/>
      </c>
      <c r="L357">
        <f>IFERROR(INDEX(PP_Grid[#Data],$DD357,10),0)</f>
        <v/>
      </c>
      <c r="M357">
        <f>IFERROR(INDEX(PP_Grid[#Data],$DD357,11),0)</f>
        <v/>
      </c>
      <c r="N357">
        <f>IFERROR(INDEX(PP_Grid[#Data],$DD357,12),0)</f>
        <v/>
      </c>
      <c r="O357">
        <f>IFERROR(INDEX(PP_Grid[#Data],$DD357,13),0)</f>
        <v/>
      </c>
      <c r="P357">
        <f>IFERROR(INDEX(PP_Grid[#Data],$DD357,14),0)</f>
        <v/>
      </c>
      <c r="Q357">
        <f>IFERROR(INDEX(PP_Grid[#Data],$DD357,15),0)</f>
        <v/>
      </c>
      <c r="R357">
        <f>IFERROR(INDEX(PP_Grid[#Data],$DD357,16),0)</f>
        <v/>
      </c>
      <c r="S357">
        <f>IFERROR(INDEX(PP_Grid[#Data],$DD357,17),0)</f>
        <v/>
      </c>
      <c r="T357">
        <f>IFERROR(INDEX(PP_Grid[#Data],$DD357,18),0)</f>
        <v/>
      </c>
      <c r="U357">
        <f>IFERROR(INDEX(PP_Grid[#Data],$DD357,19),0)</f>
        <v/>
      </c>
      <c r="V357">
        <f>IFERROR(INDEX(PP_Grid[#Data],$DD357,20),0)</f>
        <v/>
      </c>
      <c r="W357">
        <f>IFERROR(INDEX(PP_Grid[#Data],$DD357,21),0)</f>
        <v/>
      </c>
      <c r="X357">
        <f>IFERROR(INDEX(PP_Grid[#Data],$DD357,22),0)</f>
        <v/>
      </c>
      <c r="Y357">
        <f>IFERROR(INDEX(PP_Grid[#Data],$DD357,23),0)</f>
        <v/>
      </c>
      <c r="Z357">
        <f>IFERROR(INDEX(PP_Grid[#Data],$DD357,24),0)</f>
        <v/>
      </c>
      <c r="AA357">
        <f>IFERROR(INDEX(PP_Grid[#Data],$DD357,25),0)</f>
        <v/>
      </c>
      <c r="AB357">
        <f>IFERROR(INDEX(PP_Grid[#Data],$DD357,26),0)</f>
        <v/>
      </c>
      <c r="AC357">
        <f>IFERROR(INDEX(PP_Grid[#Data],$DD357,27),0)</f>
        <v/>
      </c>
      <c r="AD357">
        <f>IFERROR(INDEX(PP_Grid[#Data],$DD357,28),0)</f>
        <v/>
      </c>
      <c r="AE357">
        <f>IFERROR(INDEX(PP_Grid[#Data],$DD357,29),0)</f>
        <v/>
      </c>
      <c r="AF357">
        <f>IFERROR(INDEX(PP_Grid[#Data],$DD357,30),0)</f>
        <v/>
      </c>
      <c r="AG357">
        <f>IFERROR(INDEX(PP_Grid[#Data],$DD357,31),0)</f>
        <v/>
      </c>
      <c r="AH357">
        <f>IFERROR(INDEX(PP_Grid[#Data],$DD357,32),0)</f>
        <v/>
      </c>
      <c r="AI357">
        <f>IFERROR(INDEX(PP_Grid[#Data],$DD357,33),0)</f>
        <v/>
      </c>
      <c r="AJ357">
        <f>IFERROR(INDEX(PP_Grid[#Data],$DD357,34),0)</f>
        <v/>
      </c>
      <c r="AK357">
        <f>IFERROR(INDEX(PP_Grid[#Data],$DD357,35),0)</f>
        <v/>
      </c>
      <c r="AL357">
        <f>IFERROR(INDEX(PP_Grid[#Data],$DD357,36),0)</f>
        <v/>
      </c>
      <c r="AM357">
        <f>IFERROR(INDEX(PP_Grid[#Data],$DD357,37),0)</f>
        <v/>
      </c>
      <c r="AN357">
        <f>IFERROR(INDEX(PP_Grid[#Data],$DD357,38),0)</f>
        <v/>
      </c>
      <c r="AO357">
        <f>IFERROR(INDEX(PP_Grid[#Data],$DD357,39),0)</f>
        <v/>
      </c>
      <c r="AP357">
        <f>IFERROR(INDEX(PP_Grid[#Data],$DD357,40),0)</f>
        <v/>
      </c>
      <c r="AQ357">
        <f>IFERROR(INDEX(PP_Grid[#Data],$DD357,41),0)</f>
        <v/>
      </c>
      <c r="AR357">
        <f>IFERROR(INDEX(PP_Grid[#Data],$DD357,42),0)</f>
        <v/>
      </c>
      <c r="AS357">
        <f>IFERROR(INDEX(PP_Grid[#Data],$DD357,43),0)</f>
        <v/>
      </c>
      <c r="AT357">
        <f>IFERROR(INDEX(PP_Grid[#Data],$DD357,44),0)</f>
        <v/>
      </c>
      <c r="AU357">
        <f>IFERROR(INDEX(PP_Grid[#Data],$DD357,45),0)</f>
        <v/>
      </c>
      <c r="AV357">
        <f>IFERROR(INDEX(PP_Grid[#Data],$DD357,46),0)</f>
        <v/>
      </c>
      <c r="AW357">
        <f>IFERROR(INDEX(PP_Grid[#Data],$DD357,47),0)</f>
        <v/>
      </c>
      <c r="AX357">
        <f>IFERROR(INDEX(PP_Grid[#Data],$DD357,48),0)</f>
        <v/>
      </c>
      <c r="AY357">
        <f>IFERROR(INDEX(PP_Grid[#Data],$DD357,49),0)</f>
        <v/>
      </c>
      <c r="AZ357">
        <f>IFERROR(INDEX(PP_Grid[#Data],$DD357,50),0)</f>
        <v/>
      </c>
      <c r="BA357">
        <f>IFERROR(INDEX(PP_Grid[#Data],$DD357,51),0)</f>
        <v/>
      </c>
      <c r="BB357">
        <f>IFERROR(INDEX(PP_Grid[#Data],$DD357,52),0)</f>
        <v/>
      </c>
      <c r="BC357">
        <f>IFERROR(INDEX(PP_Grid[#Data],$DD357,53),0)</f>
        <v/>
      </c>
      <c r="BD357">
        <f>IFERROR(INDEX(PP_Grid[#Data],$DD357,54),0)</f>
        <v/>
      </c>
      <c r="BE357">
        <f>IFERROR(INDEX(PP_Grid[#Data],$DD357,55),0)</f>
        <v/>
      </c>
      <c r="BF357">
        <f>IFERROR(INDEX(PP_Grid[#Data],$DD357,56),0)</f>
        <v/>
      </c>
      <c r="BG357">
        <f>IFERROR(INDEX(PP_Grid[#Data],$DD357,57),0)</f>
        <v/>
      </c>
      <c r="BH357">
        <f>IFERROR(INDEX(PP_Grid[#Data],$DD357,58),0)</f>
        <v/>
      </c>
      <c r="BI357">
        <f>IFERROR(INDEX(PP_Grid[#Data],$DD357,59),0)</f>
        <v/>
      </c>
      <c r="BJ357">
        <f>IFERROR(INDEX(PP_Grid[#Data],$DD357,60),0)</f>
        <v/>
      </c>
      <c r="BK357">
        <f>IFERROR(INDEX(PP_Grid[#Data],$DD357,61),0)</f>
        <v/>
      </c>
      <c r="BL357">
        <f>IFERROR(INDEX(PP_Grid[#Data],$DD357,62),0)</f>
        <v/>
      </c>
      <c r="BM357">
        <f>IFERROR(INDEX(PP_Grid[#Data],$DD357,63),0)</f>
        <v/>
      </c>
      <c r="BN357">
        <f>IFERROR(INDEX(PP_Grid[#Data],$DD357,64),0)</f>
        <v/>
      </c>
      <c r="BO357">
        <f>IFERROR(INDEX(PP_Grid[#Data],$DD357,65),0)</f>
        <v/>
      </c>
      <c r="BP357">
        <f>IFERROR(INDEX(PP_Grid[#Data],$DD357,66),0)</f>
        <v/>
      </c>
      <c r="BQ357">
        <f>IFERROR(INDEX(PP_Grid[#Data],$DD357,67),0)</f>
        <v/>
      </c>
      <c r="BR357">
        <f>IFERROR(INDEX(PP_Grid[#Data],$DD357,68),0)</f>
        <v/>
      </c>
      <c r="BS357">
        <f>IFERROR(INDEX(PP_Grid[#Data],$DD357,69),0)</f>
        <v/>
      </c>
      <c r="BT357">
        <f>IFERROR(INDEX(PP_Grid[#Data],$DD357,70),0)</f>
        <v/>
      </c>
      <c r="BU357">
        <f>IFERROR(INDEX(PP_Grid[#Data],$DD357,71),0)</f>
        <v/>
      </c>
      <c r="BV357">
        <f>IFERROR(INDEX(PP_Grid[#Data],$DD357,72),0)</f>
        <v/>
      </c>
      <c r="BW357">
        <f>IFERROR(INDEX(PP_Grid[#Data],$DD357,73),0)</f>
        <v/>
      </c>
      <c r="BX357">
        <f>IFERROR(INDEX(PP_Grid[#Data],$DD357,74),0)</f>
        <v/>
      </c>
      <c r="BY357">
        <f>IFERROR(INDEX(PP_Grid[#Data],$DD357,75),0)</f>
        <v/>
      </c>
      <c r="BZ357">
        <f>IFERROR(INDEX(PP_Grid[#Data],$DD357,76),0)</f>
        <v/>
      </c>
      <c r="CA357">
        <f>IFERROR(INDEX(PP_Grid[#Data],$DD357,77),0)</f>
        <v/>
      </c>
      <c r="CB357">
        <f>IFERROR(INDEX(PP_Grid[#Data],$DD357,78),0)</f>
        <v/>
      </c>
      <c r="CC357">
        <f>IFERROR(INDEX(PP_Grid[#Data],$DD357,79),0)</f>
        <v/>
      </c>
      <c r="CD357">
        <f>IFERROR(INDEX(PP_Grid[#Data],$DD357,80),0)</f>
        <v/>
      </c>
      <c r="CE357">
        <f>IFERROR(INDEX(PP_Grid[#Data],$DD357,81),0)</f>
        <v/>
      </c>
      <c r="CF357">
        <f>IFERROR(INDEX(PP_Grid[#Data],$DD357,82),0)</f>
        <v/>
      </c>
      <c r="CG357">
        <f>IFERROR(INDEX(PP_Grid[#Data],$DD357,83),0)</f>
        <v/>
      </c>
      <c r="CH357">
        <f>IFERROR(INDEX(PP_Grid[#Data],$DD357,84),0)</f>
        <v/>
      </c>
      <c r="CI357">
        <f>IFERROR(INDEX(PP_Grid[#Data],$DD357,85),0)</f>
        <v/>
      </c>
      <c r="CJ357">
        <f>IFERROR(INDEX(PP_Grid[#Data],$DD357,86),0)</f>
        <v/>
      </c>
      <c r="CK357">
        <f>IFERROR(INDEX(PP_Grid[#Data],$DD357,87),0)</f>
        <v/>
      </c>
      <c r="CL357">
        <f>IFERROR(INDEX(PP_Grid[#Data],$DD357,88),0)</f>
        <v/>
      </c>
      <c r="CM357">
        <f>IFERROR(INDEX(PP_Grid[#Data],$DD357,89),0)</f>
        <v/>
      </c>
      <c r="CN357">
        <f>IFERROR(INDEX(PP_Grid[#Data],$DD357,90),0)</f>
        <v/>
      </c>
      <c r="CO357">
        <f>IFERROR(INDEX(PP_Grid[#Data],$DD357,91),0)</f>
        <v/>
      </c>
      <c r="CP357">
        <f>IFERROR(INDEX(PP_Grid[#Data],$DD357,92),0)</f>
        <v/>
      </c>
      <c r="CQ357">
        <f>IFERROR(INDEX(PP_Grid[#Data],$DD357,93),0)</f>
        <v/>
      </c>
      <c r="CR357">
        <f>IFERROR(INDEX(PP_Grid[#Data],$DD357,94),0)</f>
        <v/>
      </c>
      <c r="CS357">
        <f>IFERROR(INDEX(PP_Grid[#Data],$DD357,95),0)</f>
        <v/>
      </c>
      <c r="CT357">
        <f>IFERROR(INDEX(PP_Grid[#Data],$DD357,96),0)</f>
        <v/>
      </c>
      <c r="CU357">
        <f>IFERROR(INDEX(PP_Grid[#Data],$DD357,97),0)</f>
        <v/>
      </c>
      <c r="CV357">
        <f>IFERROR(INDEX(PP_Grid[#Data],$DD357,98),0)</f>
        <v/>
      </c>
      <c r="CW357">
        <f>IFERROR(INDEX(PP_Grid[#Data],$DD357,99),0)</f>
        <v/>
      </c>
      <c r="CX357">
        <f>IFERROR(INDEX(PP_Grid[#Data],$DD357,100),0)</f>
        <v/>
      </c>
      <c r="CY357">
        <f>IFERROR(INDEX(PP_Grid[#Data],$DD357,101),0)</f>
        <v/>
      </c>
      <c r="CZ357">
        <f>IFERROR(INDEX(PP_Grid[#Data],$DD357,102),0)</f>
        <v/>
      </c>
      <c r="DA357">
        <f>IFERROR(INDEX(PP_Grid[#Data],$DD357,103),0)</f>
        <v/>
      </c>
      <c r="DB357">
        <f>IFERROR(INDEX(PP_Grid[#Data],$DD357,104),0)</f>
        <v/>
      </c>
      <c r="DC357">
        <f>IFERROR(INDEX(PP_Grid[#Data],$DD357,105),0)</f>
        <v/>
      </c>
      <c r="DD357" s="7">
        <f>IFERROR(MATCH($B357,PP_Grid[Intermediate],0),99999)</f>
        <v/>
      </c>
    </row>
    <row r="358">
      <c r="B358" t="inlineStr">
        <is>
          <t>使用量(kg)</t>
        </is>
      </c>
      <c r="C358">
        <f>SUMIFS(M_BOM[RM_Qty_Per_Batch],M_BOM[Intermediate],$B357,M_BOM[Part Name],$A340)</f>
        <v/>
      </c>
      <c r="D358">
        <f>$C358*D357</f>
        <v/>
      </c>
      <c r="E358">
        <f>$C358*E357</f>
        <v/>
      </c>
      <c r="F358">
        <f>$C358*F357</f>
        <v/>
      </c>
      <c r="G358">
        <f>$C358*G357</f>
        <v/>
      </c>
      <c r="H358">
        <f>$C358*H357</f>
        <v/>
      </c>
      <c r="I358">
        <f>$C358*I357</f>
        <v/>
      </c>
      <c r="J358">
        <f>$C358*J357</f>
        <v/>
      </c>
      <c r="K358">
        <f>$C358*K357</f>
        <v/>
      </c>
      <c r="L358">
        <f>$C358*L357</f>
        <v/>
      </c>
      <c r="M358">
        <f>$C358*M357</f>
        <v/>
      </c>
      <c r="N358">
        <f>$C358*N357</f>
        <v/>
      </c>
      <c r="O358">
        <f>$C358*O357</f>
        <v/>
      </c>
      <c r="P358">
        <f>$C358*P357</f>
        <v/>
      </c>
      <c r="Q358">
        <f>$C358*Q357</f>
        <v/>
      </c>
      <c r="R358">
        <f>$C358*R357</f>
        <v/>
      </c>
      <c r="S358">
        <f>$C358*S357</f>
        <v/>
      </c>
      <c r="T358">
        <f>$C358*T357</f>
        <v/>
      </c>
      <c r="U358">
        <f>$C358*U357</f>
        <v/>
      </c>
      <c r="V358">
        <f>$C358*V357</f>
        <v/>
      </c>
      <c r="W358">
        <f>$C358*W357</f>
        <v/>
      </c>
      <c r="X358">
        <f>$C358*X357</f>
        <v/>
      </c>
      <c r="Y358">
        <f>$C358*Y357</f>
        <v/>
      </c>
      <c r="Z358">
        <f>$C358*Z357</f>
        <v/>
      </c>
      <c r="AA358">
        <f>$C358*AA357</f>
        <v/>
      </c>
      <c r="AB358">
        <f>$C358*AB357</f>
        <v/>
      </c>
      <c r="AC358">
        <f>$C358*AC357</f>
        <v/>
      </c>
      <c r="AD358">
        <f>$C358*AD357</f>
        <v/>
      </c>
      <c r="AE358">
        <f>$C358*AE357</f>
        <v/>
      </c>
      <c r="AF358">
        <f>$C358*AF357</f>
        <v/>
      </c>
      <c r="AG358">
        <f>$C358*AG357</f>
        <v/>
      </c>
      <c r="AH358">
        <f>$C358*AH357</f>
        <v/>
      </c>
      <c r="AI358">
        <f>$C358*AI357</f>
        <v/>
      </c>
      <c r="AJ358">
        <f>$C358*AJ357</f>
        <v/>
      </c>
      <c r="AK358">
        <f>$C358*AK357</f>
        <v/>
      </c>
      <c r="AL358">
        <f>$C358*AL357</f>
        <v/>
      </c>
      <c r="AM358">
        <f>$C358*AM357</f>
        <v/>
      </c>
      <c r="AN358">
        <f>$C358*AN357</f>
        <v/>
      </c>
      <c r="AO358">
        <f>$C358*AO357</f>
        <v/>
      </c>
      <c r="AP358">
        <f>$C358*AP357</f>
        <v/>
      </c>
      <c r="AQ358">
        <f>$C358*AQ357</f>
        <v/>
      </c>
      <c r="AR358">
        <f>$C358*AR357</f>
        <v/>
      </c>
      <c r="AS358">
        <f>$C358*AS357</f>
        <v/>
      </c>
      <c r="AT358">
        <f>$C358*AT357</f>
        <v/>
      </c>
      <c r="AU358">
        <f>$C358*AU357</f>
        <v/>
      </c>
      <c r="AV358">
        <f>$C358*AV357</f>
        <v/>
      </c>
      <c r="AW358">
        <f>$C358*AW357</f>
        <v/>
      </c>
      <c r="AX358">
        <f>$C358*AX357</f>
        <v/>
      </c>
      <c r="AY358">
        <f>$C358*AY357</f>
        <v/>
      </c>
      <c r="AZ358">
        <f>$C358*AZ357</f>
        <v/>
      </c>
      <c r="BA358">
        <f>$C358*BA357</f>
        <v/>
      </c>
      <c r="BB358">
        <f>$C358*BB357</f>
        <v/>
      </c>
      <c r="BC358">
        <f>$C358*BC357</f>
        <v/>
      </c>
      <c r="BD358">
        <f>$C358*BD357</f>
        <v/>
      </c>
      <c r="BE358">
        <f>$C358*BE357</f>
        <v/>
      </c>
      <c r="BF358">
        <f>$C358*BF357</f>
        <v/>
      </c>
      <c r="BG358">
        <f>$C358*BG357</f>
        <v/>
      </c>
      <c r="BH358">
        <f>$C358*BH357</f>
        <v/>
      </c>
      <c r="BI358">
        <f>$C358*BI357</f>
        <v/>
      </c>
      <c r="BJ358">
        <f>$C358*BJ357</f>
        <v/>
      </c>
      <c r="BK358">
        <f>$C358*BK357</f>
        <v/>
      </c>
      <c r="BL358">
        <f>$C358*BL357</f>
        <v/>
      </c>
      <c r="BM358">
        <f>$C358*BM357</f>
        <v/>
      </c>
      <c r="BN358">
        <f>$C358*BN357</f>
        <v/>
      </c>
      <c r="BO358">
        <f>$C358*BO357</f>
        <v/>
      </c>
      <c r="BP358">
        <f>$C358*BP357</f>
        <v/>
      </c>
      <c r="BQ358">
        <f>$C358*BQ357</f>
        <v/>
      </c>
      <c r="BR358">
        <f>$C358*BR357</f>
        <v/>
      </c>
      <c r="BS358">
        <f>$C358*BS357</f>
        <v/>
      </c>
      <c r="BT358">
        <f>$C358*BT357</f>
        <v/>
      </c>
      <c r="BU358">
        <f>$C358*BU357</f>
        <v/>
      </c>
      <c r="BV358">
        <f>$C358*BV357</f>
        <v/>
      </c>
      <c r="BW358">
        <f>$C358*BW357</f>
        <v/>
      </c>
      <c r="BX358">
        <f>$C358*BX357</f>
        <v/>
      </c>
      <c r="BY358">
        <f>$C358*BY357</f>
        <v/>
      </c>
      <c r="BZ358">
        <f>$C358*BZ357</f>
        <v/>
      </c>
      <c r="CA358">
        <f>$C358*CA357</f>
        <v/>
      </c>
      <c r="CB358">
        <f>$C358*CB357</f>
        <v/>
      </c>
      <c r="CC358">
        <f>$C358*CC357</f>
        <v/>
      </c>
      <c r="CD358">
        <f>$C358*CD357</f>
        <v/>
      </c>
      <c r="CE358">
        <f>$C358*CE357</f>
        <v/>
      </c>
      <c r="CF358">
        <f>$C358*CF357</f>
        <v/>
      </c>
      <c r="CG358">
        <f>$C358*CG357</f>
        <v/>
      </c>
      <c r="CH358">
        <f>$C358*CH357</f>
        <v/>
      </c>
      <c r="CI358">
        <f>$C358*CI357</f>
        <v/>
      </c>
      <c r="CJ358">
        <f>$C358*CJ357</f>
        <v/>
      </c>
      <c r="CK358">
        <f>$C358*CK357</f>
        <v/>
      </c>
      <c r="CL358">
        <f>$C358*CL357</f>
        <v/>
      </c>
      <c r="CM358">
        <f>$C358*CM357</f>
        <v/>
      </c>
      <c r="CN358">
        <f>$C358*CN357</f>
        <v/>
      </c>
      <c r="CO358">
        <f>$C358*CO357</f>
        <v/>
      </c>
      <c r="CP358">
        <f>$C358*CP357</f>
        <v/>
      </c>
      <c r="CQ358">
        <f>$C358*CQ357</f>
        <v/>
      </c>
      <c r="CR358">
        <f>$C358*CR357</f>
        <v/>
      </c>
      <c r="CS358">
        <f>$C358*CS357</f>
        <v/>
      </c>
      <c r="CT358">
        <f>$C358*CT357</f>
        <v/>
      </c>
      <c r="CU358">
        <f>$C358*CU357</f>
        <v/>
      </c>
      <c r="CV358">
        <f>$C358*CV357</f>
        <v/>
      </c>
      <c r="CW358">
        <f>$C358*CW357</f>
        <v/>
      </c>
      <c r="CX358">
        <f>$C358*CX357</f>
        <v/>
      </c>
      <c r="CY358">
        <f>$C358*CY357</f>
        <v/>
      </c>
      <c r="CZ358">
        <f>$C358*CZ357</f>
        <v/>
      </c>
      <c r="DA358">
        <f>$C358*DA357</f>
        <v/>
      </c>
      <c r="DB358">
        <f>$C358*DB357</f>
        <v/>
      </c>
      <c r="DC358">
        <f>$C358*DC357</f>
        <v/>
      </c>
    </row>
    <row r="359">
      <c r="B359" t="inlineStr">
        <is>
          <t>TSP-360</t>
        </is>
      </c>
      <c r="C359" t="inlineStr">
        <is>
          <t>No. of batches</t>
        </is>
      </c>
      <c r="D359">
        <f>IFERROR(INDEX(PP_Grid[#Data],$DD359,2),0)</f>
        <v/>
      </c>
      <c r="E359">
        <f>IFERROR(INDEX(PP_Grid[#Data],$DD359,3),0)</f>
        <v/>
      </c>
      <c r="F359">
        <f>IFERROR(INDEX(PP_Grid[#Data],$DD359,4),0)</f>
        <v/>
      </c>
      <c r="G359">
        <f>IFERROR(INDEX(PP_Grid[#Data],$DD359,5),0)</f>
        <v/>
      </c>
      <c r="H359">
        <f>IFERROR(INDEX(PP_Grid[#Data],$DD359,6),0)</f>
        <v/>
      </c>
      <c r="I359">
        <f>IFERROR(INDEX(PP_Grid[#Data],$DD359,7),0)</f>
        <v/>
      </c>
      <c r="J359">
        <f>IFERROR(INDEX(PP_Grid[#Data],$DD359,8),0)</f>
        <v/>
      </c>
      <c r="K359">
        <f>IFERROR(INDEX(PP_Grid[#Data],$DD359,9),0)</f>
        <v/>
      </c>
      <c r="L359">
        <f>IFERROR(INDEX(PP_Grid[#Data],$DD359,10),0)</f>
        <v/>
      </c>
      <c r="M359">
        <f>IFERROR(INDEX(PP_Grid[#Data],$DD359,11),0)</f>
        <v/>
      </c>
      <c r="N359">
        <f>IFERROR(INDEX(PP_Grid[#Data],$DD359,12),0)</f>
        <v/>
      </c>
      <c r="O359">
        <f>IFERROR(INDEX(PP_Grid[#Data],$DD359,13),0)</f>
        <v/>
      </c>
      <c r="P359">
        <f>IFERROR(INDEX(PP_Grid[#Data],$DD359,14),0)</f>
        <v/>
      </c>
      <c r="Q359">
        <f>IFERROR(INDEX(PP_Grid[#Data],$DD359,15),0)</f>
        <v/>
      </c>
      <c r="R359">
        <f>IFERROR(INDEX(PP_Grid[#Data],$DD359,16),0)</f>
        <v/>
      </c>
      <c r="S359">
        <f>IFERROR(INDEX(PP_Grid[#Data],$DD359,17),0)</f>
        <v/>
      </c>
      <c r="T359">
        <f>IFERROR(INDEX(PP_Grid[#Data],$DD359,18),0)</f>
        <v/>
      </c>
      <c r="U359">
        <f>IFERROR(INDEX(PP_Grid[#Data],$DD359,19),0)</f>
        <v/>
      </c>
      <c r="V359">
        <f>IFERROR(INDEX(PP_Grid[#Data],$DD359,20),0)</f>
        <v/>
      </c>
      <c r="W359">
        <f>IFERROR(INDEX(PP_Grid[#Data],$DD359,21),0)</f>
        <v/>
      </c>
      <c r="X359">
        <f>IFERROR(INDEX(PP_Grid[#Data],$DD359,22),0)</f>
        <v/>
      </c>
      <c r="Y359">
        <f>IFERROR(INDEX(PP_Grid[#Data],$DD359,23),0)</f>
        <v/>
      </c>
      <c r="Z359">
        <f>IFERROR(INDEX(PP_Grid[#Data],$DD359,24),0)</f>
        <v/>
      </c>
      <c r="AA359">
        <f>IFERROR(INDEX(PP_Grid[#Data],$DD359,25),0)</f>
        <v/>
      </c>
      <c r="AB359">
        <f>IFERROR(INDEX(PP_Grid[#Data],$DD359,26),0)</f>
        <v/>
      </c>
      <c r="AC359">
        <f>IFERROR(INDEX(PP_Grid[#Data],$DD359,27),0)</f>
        <v/>
      </c>
      <c r="AD359">
        <f>IFERROR(INDEX(PP_Grid[#Data],$DD359,28),0)</f>
        <v/>
      </c>
      <c r="AE359">
        <f>IFERROR(INDEX(PP_Grid[#Data],$DD359,29),0)</f>
        <v/>
      </c>
      <c r="AF359">
        <f>IFERROR(INDEX(PP_Grid[#Data],$DD359,30),0)</f>
        <v/>
      </c>
      <c r="AG359">
        <f>IFERROR(INDEX(PP_Grid[#Data],$DD359,31),0)</f>
        <v/>
      </c>
      <c r="AH359">
        <f>IFERROR(INDEX(PP_Grid[#Data],$DD359,32),0)</f>
        <v/>
      </c>
      <c r="AI359">
        <f>IFERROR(INDEX(PP_Grid[#Data],$DD359,33),0)</f>
        <v/>
      </c>
      <c r="AJ359">
        <f>IFERROR(INDEX(PP_Grid[#Data],$DD359,34),0)</f>
        <v/>
      </c>
      <c r="AK359">
        <f>IFERROR(INDEX(PP_Grid[#Data],$DD359,35),0)</f>
        <v/>
      </c>
      <c r="AL359">
        <f>IFERROR(INDEX(PP_Grid[#Data],$DD359,36),0)</f>
        <v/>
      </c>
      <c r="AM359">
        <f>IFERROR(INDEX(PP_Grid[#Data],$DD359,37),0)</f>
        <v/>
      </c>
      <c r="AN359">
        <f>IFERROR(INDEX(PP_Grid[#Data],$DD359,38),0)</f>
        <v/>
      </c>
      <c r="AO359">
        <f>IFERROR(INDEX(PP_Grid[#Data],$DD359,39),0)</f>
        <v/>
      </c>
      <c r="AP359">
        <f>IFERROR(INDEX(PP_Grid[#Data],$DD359,40),0)</f>
        <v/>
      </c>
      <c r="AQ359">
        <f>IFERROR(INDEX(PP_Grid[#Data],$DD359,41),0)</f>
        <v/>
      </c>
      <c r="AR359">
        <f>IFERROR(INDEX(PP_Grid[#Data],$DD359,42),0)</f>
        <v/>
      </c>
      <c r="AS359">
        <f>IFERROR(INDEX(PP_Grid[#Data],$DD359,43),0)</f>
        <v/>
      </c>
      <c r="AT359">
        <f>IFERROR(INDEX(PP_Grid[#Data],$DD359,44),0)</f>
        <v/>
      </c>
      <c r="AU359">
        <f>IFERROR(INDEX(PP_Grid[#Data],$DD359,45),0)</f>
        <v/>
      </c>
      <c r="AV359">
        <f>IFERROR(INDEX(PP_Grid[#Data],$DD359,46),0)</f>
        <v/>
      </c>
      <c r="AW359">
        <f>IFERROR(INDEX(PP_Grid[#Data],$DD359,47),0)</f>
        <v/>
      </c>
      <c r="AX359">
        <f>IFERROR(INDEX(PP_Grid[#Data],$DD359,48),0)</f>
        <v/>
      </c>
      <c r="AY359">
        <f>IFERROR(INDEX(PP_Grid[#Data],$DD359,49),0)</f>
        <v/>
      </c>
      <c r="AZ359">
        <f>IFERROR(INDEX(PP_Grid[#Data],$DD359,50),0)</f>
        <v/>
      </c>
      <c r="BA359">
        <f>IFERROR(INDEX(PP_Grid[#Data],$DD359,51),0)</f>
        <v/>
      </c>
      <c r="BB359">
        <f>IFERROR(INDEX(PP_Grid[#Data],$DD359,52),0)</f>
        <v/>
      </c>
      <c r="BC359">
        <f>IFERROR(INDEX(PP_Grid[#Data],$DD359,53),0)</f>
        <v/>
      </c>
      <c r="BD359">
        <f>IFERROR(INDEX(PP_Grid[#Data],$DD359,54),0)</f>
        <v/>
      </c>
      <c r="BE359">
        <f>IFERROR(INDEX(PP_Grid[#Data],$DD359,55),0)</f>
        <v/>
      </c>
      <c r="BF359">
        <f>IFERROR(INDEX(PP_Grid[#Data],$DD359,56),0)</f>
        <v/>
      </c>
      <c r="BG359">
        <f>IFERROR(INDEX(PP_Grid[#Data],$DD359,57),0)</f>
        <v/>
      </c>
      <c r="BH359">
        <f>IFERROR(INDEX(PP_Grid[#Data],$DD359,58),0)</f>
        <v/>
      </c>
      <c r="BI359">
        <f>IFERROR(INDEX(PP_Grid[#Data],$DD359,59),0)</f>
        <v/>
      </c>
      <c r="BJ359">
        <f>IFERROR(INDEX(PP_Grid[#Data],$DD359,60),0)</f>
        <v/>
      </c>
      <c r="BK359">
        <f>IFERROR(INDEX(PP_Grid[#Data],$DD359,61),0)</f>
        <v/>
      </c>
      <c r="BL359">
        <f>IFERROR(INDEX(PP_Grid[#Data],$DD359,62),0)</f>
        <v/>
      </c>
      <c r="BM359">
        <f>IFERROR(INDEX(PP_Grid[#Data],$DD359,63),0)</f>
        <v/>
      </c>
      <c r="BN359">
        <f>IFERROR(INDEX(PP_Grid[#Data],$DD359,64),0)</f>
        <v/>
      </c>
      <c r="BO359">
        <f>IFERROR(INDEX(PP_Grid[#Data],$DD359,65),0)</f>
        <v/>
      </c>
      <c r="BP359">
        <f>IFERROR(INDEX(PP_Grid[#Data],$DD359,66),0)</f>
        <v/>
      </c>
      <c r="BQ359">
        <f>IFERROR(INDEX(PP_Grid[#Data],$DD359,67),0)</f>
        <v/>
      </c>
      <c r="BR359">
        <f>IFERROR(INDEX(PP_Grid[#Data],$DD359,68),0)</f>
        <v/>
      </c>
      <c r="BS359">
        <f>IFERROR(INDEX(PP_Grid[#Data],$DD359,69),0)</f>
        <v/>
      </c>
      <c r="BT359">
        <f>IFERROR(INDEX(PP_Grid[#Data],$DD359,70),0)</f>
        <v/>
      </c>
      <c r="BU359">
        <f>IFERROR(INDEX(PP_Grid[#Data],$DD359,71),0)</f>
        <v/>
      </c>
      <c r="BV359">
        <f>IFERROR(INDEX(PP_Grid[#Data],$DD359,72),0)</f>
        <v/>
      </c>
      <c r="BW359">
        <f>IFERROR(INDEX(PP_Grid[#Data],$DD359,73),0)</f>
        <v/>
      </c>
      <c r="BX359">
        <f>IFERROR(INDEX(PP_Grid[#Data],$DD359,74),0)</f>
        <v/>
      </c>
      <c r="BY359">
        <f>IFERROR(INDEX(PP_Grid[#Data],$DD359,75),0)</f>
        <v/>
      </c>
      <c r="BZ359">
        <f>IFERROR(INDEX(PP_Grid[#Data],$DD359,76),0)</f>
        <v/>
      </c>
      <c r="CA359">
        <f>IFERROR(INDEX(PP_Grid[#Data],$DD359,77),0)</f>
        <v/>
      </c>
      <c r="CB359">
        <f>IFERROR(INDEX(PP_Grid[#Data],$DD359,78),0)</f>
        <v/>
      </c>
      <c r="CC359">
        <f>IFERROR(INDEX(PP_Grid[#Data],$DD359,79),0)</f>
        <v/>
      </c>
      <c r="CD359">
        <f>IFERROR(INDEX(PP_Grid[#Data],$DD359,80),0)</f>
        <v/>
      </c>
      <c r="CE359">
        <f>IFERROR(INDEX(PP_Grid[#Data],$DD359,81),0)</f>
        <v/>
      </c>
      <c r="CF359">
        <f>IFERROR(INDEX(PP_Grid[#Data],$DD359,82),0)</f>
        <v/>
      </c>
      <c r="CG359">
        <f>IFERROR(INDEX(PP_Grid[#Data],$DD359,83),0)</f>
        <v/>
      </c>
      <c r="CH359">
        <f>IFERROR(INDEX(PP_Grid[#Data],$DD359,84),0)</f>
        <v/>
      </c>
      <c r="CI359">
        <f>IFERROR(INDEX(PP_Grid[#Data],$DD359,85),0)</f>
        <v/>
      </c>
      <c r="CJ359">
        <f>IFERROR(INDEX(PP_Grid[#Data],$DD359,86),0)</f>
        <v/>
      </c>
      <c r="CK359">
        <f>IFERROR(INDEX(PP_Grid[#Data],$DD359,87),0)</f>
        <v/>
      </c>
      <c r="CL359">
        <f>IFERROR(INDEX(PP_Grid[#Data],$DD359,88),0)</f>
        <v/>
      </c>
      <c r="CM359">
        <f>IFERROR(INDEX(PP_Grid[#Data],$DD359,89),0)</f>
        <v/>
      </c>
      <c r="CN359">
        <f>IFERROR(INDEX(PP_Grid[#Data],$DD359,90),0)</f>
        <v/>
      </c>
      <c r="CO359">
        <f>IFERROR(INDEX(PP_Grid[#Data],$DD359,91),0)</f>
        <v/>
      </c>
      <c r="CP359">
        <f>IFERROR(INDEX(PP_Grid[#Data],$DD359,92),0)</f>
        <v/>
      </c>
      <c r="CQ359">
        <f>IFERROR(INDEX(PP_Grid[#Data],$DD359,93),0)</f>
        <v/>
      </c>
      <c r="CR359">
        <f>IFERROR(INDEX(PP_Grid[#Data],$DD359,94),0)</f>
        <v/>
      </c>
      <c r="CS359">
        <f>IFERROR(INDEX(PP_Grid[#Data],$DD359,95),0)</f>
        <v/>
      </c>
      <c r="CT359">
        <f>IFERROR(INDEX(PP_Grid[#Data],$DD359,96),0)</f>
        <v/>
      </c>
      <c r="CU359">
        <f>IFERROR(INDEX(PP_Grid[#Data],$DD359,97),0)</f>
        <v/>
      </c>
      <c r="CV359">
        <f>IFERROR(INDEX(PP_Grid[#Data],$DD359,98),0)</f>
        <v/>
      </c>
      <c r="CW359">
        <f>IFERROR(INDEX(PP_Grid[#Data],$DD359,99),0)</f>
        <v/>
      </c>
      <c r="CX359">
        <f>IFERROR(INDEX(PP_Grid[#Data],$DD359,100),0)</f>
        <v/>
      </c>
      <c r="CY359">
        <f>IFERROR(INDEX(PP_Grid[#Data],$DD359,101),0)</f>
        <v/>
      </c>
      <c r="CZ359">
        <f>IFERROR(INDEX(PP_Grid[#Data],$DD359,102),0)</f>
        <v/>
      </c>
      <c r="DA359">
        <f>IFERROR(INDEX(PP_Grid[#Data],$DD359,103),0)</f>
        <v/>
      </c>
      <c r="DB359">
        <f>IFERROR(INDEX(PP_Grid[#Data],$DD359,104),0)</f>
        <v/>
      </c>
      <c r="DC359">
        <f>IFERROR(INDEX(PP_Grid[#Data],$DD359,105),0)</f>
        <v/>
      </c>
      <c r="DD359" s="7">
        <f>IFERROR(MATCH($B359,PP_Grid[Intermediate],0),99999)</f>
        <v/>
      </c>
    </row>
    <row r="360">
      <c r="B360" t="inlineStr">
        <is>
          <t>使用量(kg)</t>
        </is>
      </c>
      <c r="C360">
        <f>SUMIFS(M_BOM[RM_Qty_Per_Batch],M_BOM[Intermediate],$B359,M_BOM[Part Name],$A340)</f>
        <v/>
      </c>
      <c r="D360">
        <f>$C360*D359</f>
        <v/>
      </c>
      <c r="E360">
        <f>$C360*E359</f>
        <v/>
      </c>
      <c r="F360">
        <f>$C360*F359</f>
        <v/>
      </c>
      <c r="G360">
        <f>$C360*G359</f>
        <v/>
      </c>
      <c r="H360">
        <f>$C360*H359</f>
        <v/>
      </c>
      <c r="I360">
        <f>$C360*I359</f>
        <v/>
      </c>
      <c r="J360">
        <f>$C360*J359</f>
        <v/>
      </c>
      <c r="K360">
        <f>$C360*K359</f>
        <v/>
      </c>
      <c r="L360">
        <f>$C360*L359</f>
        <v/>
      </c>
      <c r="M360">
        <f>$C360*M359</f>
        <v/>
      </c>
      <c r="N360">
        <f>$C360*N359</f>
        <v/>
      </c>
      <c r="O360">
        <f>$C360*O359</f>
        <v/>
      </c>
      <c r="P360">
        <f>$C360*P359</f>
        <v/>
      </c>
      <c r="Q360">
        <f>$C360*Q359</f>
        <v/>
      </c>
      <c r="R360">
        <f>$C360*R359</f>
        <v/>
      </c>
      <c r="S360">
        <f>$C360*S359</f>
        <v/>
      </c>
      <c r="T360">
        <f>$C360*T359</f>
        <v/>
      </c>
      <c r="U360">
        <f>$C360*U359</f>
        <v/>
      </c>
      <c r="V360">
        <f>$C360*V359</f>
        <v/>
      </c>
      <c r="W360">
        <f>$C360*W359</f>
        <v/>
      </c>
      <c r="X360">
        <f>$C360*X359</f>
        <v/>
      </c>
      <c r="Y360">
        <f>$C360*Y359</f>
        <v/>
      </c>
      <c r="Z360">
        <f>$C360*Z359</f>
        <v/>
      </c>
      <c r="AA360">
        <f>$C360*AA359</f>
        <v/>
      </c>
      <c r="AB360">
        <f>$C360*AB359</f>
        <v/>
      </c>
      <c r="AC360">
        <f>$C360*AC359</f>
        <v/>
      </c>
      <c r="AD360">
        <f>$C360*AD359</f>
        <v/>
      </c>
      <c r="AE360">
        <f>$C360*AE359</f>
        <v/>
      </c>
      <c r="AF360">
        <f>$C360*AF359</f>
        <v/>
      </c>
      <c r="AG360">
        <f>$C360*AG359</f>
        <v/>
      </c>
      <c r="AH360">
        <f>$C360*AH359</f>
        <v/>
      </c>
      <c r="AI360">
        <f>$C360*AI359</f>
        <v/>
      </c>
      <c r="AJ360">
        <f>$C360*AJ359</f>
        <v/>
      </c>
      <c r="AK360">
        <f>$C360*AK359</f>
        <v/>
      </c>
      <c r="AL360">
        <f>$C360*AL359</f>
        <v/>
      </c>
      <c r="AM360">
        <f>$C360*AM359</f>
        <v/>
      </c>
      <c r="AN360">
        <f>$C360*AN359</f>
        <v/>
      </c>
      <c r="AO360">
        <f>$C360*AO359</f>
        <v/>
      </c>
      <c r="AP360">
        <f>$C360*AP359</f>
        <v/>
      </c>
      <c r="AQ360">
        <f>$C360*AQ359</f>
        <v/>
      </c>
      <c r="AR360">
        <f>$C360*AR359</f>
        <v/>
      </c>
      <c r="AS360">
        <f>$C360*AS359</f>
        <v/>
      </c>
      <c r="AT360">
        <f>$C360*AT359</f>
        <v/>
      </c>
      <c r="AU360">
        <f>$C360*AU359</f>
        <v/>
      </c>
      <c r="AV360">
        <f>$C360*AV359</f>
        <v/>
      </c>
      <c r="AW360">
        <f>$C360*AW359</f>
        <v/>
      </c>
      <c r="AX360">
        <f>$C360*AX359</f>
        <v/>
      </c>
      <c r="AY360">
        <f>$C360*AY359</f>
        <v/>
      </c>
      <c r="AZ360">
        <f>$C360*AZ359</f>
        <v/>
      </c>
      <c r="BA360">
        <f>$C360*BA359</f>
        <v/>
      </c>
      <c r="BB360">
        <f>$C360*BB359</f>
        <v/>
      </c>
      <c r="BC360">
        <f>$C360*BC359</f>
        <v/>
      </c>
      <c r="BD360">
        <f>$C360*BD359</f>
        <v/>
      </c>
      <c r="BE360">
        <f>$C360*BE359</f>
        <v/>
      </c>
      <c r="BF360">
        <f>$C360*BF359</f>
        <v/>
      </c>
      <c r="BG360">
        <f>$C360*BG359</f>
        <v/>
      </c>
      <c r="BH360">
        <f>$C360*BH359</f>
        <v/>
      </c>
      <c r="BI360">
        <f>$C360*BI359</f>
        <v/>
      </c>
      <c r="BJ360">
        <f>$C360*BJ359</f>
        <v/>
      </c>
      <c r="BK360">
        <f>$C360*BK359</f>
        <v/>
      </c>
      <c r="BL360">
        <f>$C360*BL359</f>
        <v/>
      </c>
      <c r="BM360">
        <f>$C360*BM359</f>
        <v/>
      </c>
      <c r="BN360">
        <f>$C360*BN359</f>
        <v/>
      </c>
      <c r="BO360">
        <f>$C360*BO359</f>
        <v/>
      </c>
      <c r="BP360">
        <f>$C360*BP359</f>
        <v/>
      </c>
      <c r="BQ360">
        <f>$C360*BQ359</f>
        <v/>
      </c>
      <c r="BR360">
        <f>$C360*BR359</f>
        <v/>
      </c>
      <c r="BS360">
        <f>$C360*BS359</f>
        <v/>
      </c>
      <c r="BT360">
        <f>$C360*BT359</f>
        <v/>
      </c>
      <c r="BU360">
        <f>$C360*BU359</f>
        <v/>
      </c>
      <c r="BV360">
        <f>$C360*BV359</f>
        <v/>
      </c>
      <c r="BW360">
        <f>$C360*BW359</f>
        <v/>
      </c>
      <c r="BX360">
        <f>$C360*BX359</f>
        <v/>
      </c>
      <c r="BY360">
        <f>$C360*BY359</f>
        <v/>
      </c>
      <c r="BZ360">
        <f>$C360*BZ359</f>
        <v/>
      </c>
      <c r="CA360">
        <f>$C360*CA359</f>
        <v/>
      </c>
      <c r="CB360">
        <f>$C360*CB359</f>
        <v/>
      </c>
      <c r="CC360">
        <f>$C360*CC359</f>
        <v/>
      </c>
      <c r="CD360">
        <f>$C360*CD359</f>
        <v/>
      </c>
      <c r="CE360">
        <f>$C360*CE359</f>
        <v/>
      </c>
      <c r="CF360">
        <f>$C360*CF359</f>
        <v/>
      </c>
      <c r="CG360">
        <f>$C360*CG359</f>
        <v/>
      </c>
      <c r="CH360">
        <f>$C360*CH359</f>
        <v/>
      </c>
      <c r="CI360">
        <f>$C360*CI359</f>
        <v/>
      </c>
      <c r="CJ360">
        <f>$C360*CJ359</f>
        <v/>
      </c>
      <c r="CK360">
        <f>$C360*CK359</f>
        <v/>
      </c>
      <c r="CL360">
        <f>$C360*CL359</f>
        <v/>
      </c>
      <c r="CM360">
        <f>$C360*CM359</f>
        <v/>
      </c>
      <c r="CN360">
        <f>$C360*CN359</f>
        <v/>
      </c>
      <c r="CO360">
        <f>$C360*CO359</f>
        <v/>
      </c>
      <c r="CP360">
        <f>$C360*CP359</f>
        <v/>
      </c>
      <c r="CQ360">
        <f>$C360*CQ359</f>
        <v/>
      </c>
      <c r="CR360">
        <f>$C360*CR359</f>
        <v/>
      </c>
      <c r="CS360">
        <f>$C360*CS359</f>
        <v/>
      </c>
      <c r="CT360">
        <f>$C360*CT359</f>
        <v/>
      </c>
      <c r="CU360">
        <f>$C360*CU359</f>
        <v/>
      </c>
      <c r="CV360">
        <f>$C360*CV359</f>
        <v/>
      </c>
      <c r="CW360">
        <f>$C360*CW359</f>
        <v/>
      </c>
      <c r="CX360">
        <f>$C360*CX359</f>
        <v/>
      </c>
      <c r="CY360">
        <f>$C360*CY359</f>
        <v/>
      </c>
      <c r="CZ360">
        <f>$C360*CZ359</f>
        <v/>
      </c>
      <c r="DA360">
        <f>$C360*DA359</f>
        <v/>
      </c>
      <c r="DB360">
        <f>$C360*DB359</f>
        <v/>
      </c>
      <c r="DC360">
        <f>$C360*DC359</f>
        <v/>
      </c>
    </row>
    <row r="361">
      <c r="B361" t="inlineStr">
        <is>
          <t>TSP-367</t>
        </is>
      </c>
      <c r="C361" t="inlineStr">
        <is>
          <t>No. of batches</t>
        </is>
      </c>
      <c r="D361">
        <f>IFERROR(INDEX(PP_Grid[#Data],$DD361,2),0)</f>
        <v/>
      </c>
      <c r="E361">
        <f>IFERROR(INDEX(PP_Grid[#Data],$DD361,3),0)</f>
        <v/>
      </c>
      <c r="F361">
        <f>IFERROR(INDEX(PP_Grid[#Data],$DD361,4),0)</f>
        <v/>
      </c>
      <c r="G361">
        <f>IFERROR(INDEX(PP_Grid[#Data],$DD361,5),0)</f>
        <v/>
      </c>
      <c r="H361">
        <f>IFERROR(INDEX(PP_Grid[#Data],$DD361,6),0)</f>
        <v/>
      </c>
      <c r="I361">
        <f>IFERROR(INDEX(PP_Grid[#Data],$DD361,7),0)</f>
        <v/>
      </c>
      <c r="J361">
        <f>IFERROR(INDEX(PP_Grid[#Data],$DD361,8),0)</f>
        <v/>
      </c>
      <c r="K361">
        <f>IFERROR(INDEX(PP_Grid[#Data],$DD361,9),0)</f>
        <v/>
      </c>
      <c r="L361">
        <f>IFERROR(INDEX(PP_Grid[#Data],$DD361,10),0)</f>
        <v/>
      </c>
      <c r="M361">
        <f>IFERROR(INDEX(PP_Grid[#Data],$DD361,11),0)</f>
        <v/>
      </c>
      <c r="N361">
        <f>IFERROR(INDEX(PP_Grid[#Data],$DD361,12),0)</f>
        <v/>
      </c>
      <c r="O361">
        <f>IFERROR(INDEX(PP_Grid[#Data],$DD361,13),0)</f>
        <v/>
      </c>
      <c r="P361">
        <f>IFERROR(INDEX(PP_Grid[#Data],$DD361,14),0)</f>
        <v/>
      </c>
      <c r="Q361">
        <f>IFERROR(INDEX(PP_Grid[#Data],$DD361,15),0)</f>
        <v/>
      </c>
      <c r="R361">
        <f>IFERROR(INDEX(PP_Grid[#Data],$DD361,16),0)</f>
        <v/>
      </c>
      <c r="S361">
        <f>IFERROR(INDEX(PP_Grid[#Data],$DD361,17),0)</f>
        <v/>
      </c>
      <c r="T361">
        <f>IFERROR(INDEX(PP_Grid[#Data],$DD361,18),0)</f>
        <v/>
      </c>
      <c r="U361">
        <f>IFERROR(INDEX(PP_Grid[#Data],$DD361,19),0)</f>
        <v/>
      </c>
      <c r="V361">
        <f>IFERROR(INDEX(PP_Grid[#Data],$DD361,20),0)</f>
        <v/>
      </c>
      <c r="W361">
        <f>IFERROR(INDEX(PP_Grid[#Data],$DD361,21),0)</f>
        <v/>
      </c>
      <c r="X361">
        <f>IFERROR(INDEX(PP_Grid[#Data],$DD361,22),0)</f>
        <v/>
      </c>
      <c r="Y361">
        <f>IFERROR(INDEX(PP_Grid[#Data],$DD361,23),0)</f>
        <v/>
      </c>
      <c r="Z361">
        <f>IFERROR(INDEX(PP_Grid[#Data],$DD361,24),0)</f>
        <v/>
      </c>
      <c r="AA361">
        <f>IFERROR(INDEX(PP_Grid[#Data],$DD361,25),0)</f>
        <v/>
      </c>
      <c r="AB361">
        <f>IFERROR(INDEX(PP_Grid[#Data],$DD361,26),0)</f>
        <v/>
      </c>
      <c r="AC361">
        <f>IFERROR(INDEX(PP_Grid[#Data],$DD361,27),0)</f>
        <v/>
      </c>
      <c r="AD361">
        <f>IFERROR(INDEX(PP_Grid[#Data],$DD361,28),0)</f>
        <v/>
      </c>
      <c r="AE361">
        <f>IFERROR(INDEX(PP_Grid[#Data],$DD361,29),0)</f>
        <v/>
      </c>
      <c r="AF361">
        <f>IFERROR(INDEX(PP_Grid[#Data],$DD361,30),0)</f>
        <v/>
      </c>
      <c r="AG361">
        <f>IFERROR(INDEX(PP_Grid[#Data],$DD361,31),0)</f>
        <v/>
      </c>
      <c r="AH361">
        <f>IFERROR(INDEX(PP_Grid[#Data],$DD361,32),0)</f>
        <v/>
      </c>
      <c r="AI361">
        <f>IFERROR(INDEX(PP_Grid[#Data],$DD361,33),0)</f>
        <v/>
      </c>
      <c r="AJ361">
        <f>IFERROR(INDEX(PP_Grid[#Data],$DD361,34),0)</f>
        <v/>
      </c>
      <c r="AK361">
        <f>IFERROR(INDEX(PP_Grid[#Data],$DD361,35),0)</f>
        <v/>
      </c>
      <c r="AL361">
        <f>IFERROR(INDEX(PP_Grid[#Data],$DD361,36),0)</f>
        <v/>
      </c>
      <c r="AM361">
        <f>IFERROR(INDEX(PP_Grid[#Data],$DD361,37),0)</f>
        <v/>
      </c>
      <c r="AN361">
        <f>IFERROR(INDEX(PP_Grid[#Data],$DD361,38),0)</f>
        <v/>
      </c>
      <c r="AO361">
        <f>IFERROR(INDEX(PP_Grid[#Data],$DD361,39),0)</f>
        <v/>
      </c>
      <c r="AP361">
        <f>IFERROR(INDEX(PP_Grid[#Data],$DD361,40),0)</f>
        <v/>
      </c>
      <c r="AQ361">
        <f>IFERROR(INDEX(PP_Grid[#Data],$DD361,41),0)</f>
        <v/>
      </c>
      <c r="AR361">
        <f>IFERROR(INDEX(PP_Grid[#Data],$DD361,42),0)</f>
        <v/>
      </c>
      <c r="AS361">
        <f>IFERROR(INDEX(PP_Grid[#Data],$DD361,43),0)</f>
        <v/>
      </c>
      <c r="AT361">
        <f>IFERROR(INDEX(PP_Grid[#Data],$DD361,44),0)</f>
        <v/>
      </c>
      <c r="AU361">
        <f>IFERROR(INDEX(PP_Grid[#Data],$DD361,45),0)</f>
        <v/>
      </c>
      <c r="AV361">
        <f>IFERROR(INDEX(PP_Grid[#Data],$DD361,46),0)</f>
        <v/>
      </c>
      <c r="AW361">
        <f>IFERROR(INDEX(PP_Grid[#Data],$DD361,47),0)</f>
        <v/>
      </c>
      <c r="AX361">
        <f>IFERROR(INDEX(PP_Grid[#Data],$DD361,48),0)</f>
        <v/>
      </c>
      <c r="AY361">
        <f>IFERROR(INDEX(PP_Grid[#Data],$DD361,49),0)</f>
        <v/>
      </c>
      <c r="AZ361">
        <f>IFERROR(INDEX(PP_Grid[#Data],$DD361,50),0)</f>
        <v/>
      </c>
      <c r="BA361">
        <f>IFERROR(INDEX(PP_Grid[#Data],$DD361,51),0)</f>
        <v/>
      </c>
      <c r="BB361">
        <f>IFERROR(INDEX(PP_Grid[#Data],$DD361,52),0)</f>
        <v/>
      </c>
      <c r="BC361">
        <f>IFERROR(INDEX(PP_Grid[#Data],$DD361,53),0)</f>
        <v/>
      </c>
      <c r="BD361">
        <f>IFERROR(INDEX(PP_Grid[#Data],$DD361,54),0)</f>
        <v/>
      </c>
      <c r="BE361">
        <f>IFERROR(INDEX(PP_Grid[#Data],$DD361,55),0)</f>
        <v/>
      </c>
      <c r="BF361">
        <f>IFERROR(INDEX(PP_Grid[#Data],$DD361,56),0)</f>
        <v/>
      </c>
      <c r="BG361">
        <f>IFERROR(INDEX(PP_Grid[#Data],$DD361,57),0)</f>
        <v/>
      </c>
      <c r="BH361">
        <f>IFERROR(INDEX(PP_Grid[#Data],$DD361,58),0)</f>
        <v/>
      </c>
      <c r="BI361">
        <f>IFERROR(INDEX(PP_Grid[#Data],$DD361,59),0)</f>
        <v/>
      </c>
      <c r="BJ361">
        <f>IFERROR(INDEX(PP_Grid[#Data],$DD361,60),0)</f>
        <v/>
      </c>
      <c r="BK361">
        <f>IFERROR(INDEX(PP_Grid[#Data],$DD361,61),0)</f>
        <v/>
      </c>
      <c r="BL361">
        <f>IFERROR(INDEX(PP_Grid[#Data],$DD361,62),0)</f>
        <v/>
      </c>
      <c r="BM361">
        <f>IFERROR(INDEX(PP_Grid[#Data],$DD361,63),0)</f>
        <v/>
      </c>
      <c r="BN361">
        <f>IFERROR(INDEX(PP_Grid[#Data],$DD361,64),0)</f>
        <v/>
      </c>
      <c r="BO361">
        <f>IFERROR(INDEX(PP_Grid[#Data],$DD361,65),0)</f>
        <v/>
      </c>
      <c r="BP361">
        <f>IFERROR(INDEX(PP_Grid[#Data],$DD361,66),0)</f>
        <v/>
      </c>
      <c r="BQ361">
        <f>IFERROR(INDEX(PP_Grid[#Data],$DD361,67),0)</f>
        <v/>
      </c>
      <c r="BR361">
        <f>IFERROR(INDEX(PP_Grid[#Data],$DD361,68),0)</f>
        <v/>
      </c>
      <c r="BS361">
        <f>IFERROR(INDEX(PP_Grid[#Data],$DD361,69),0)</f>
        <v/>
      </c>
      <c r="BT361">
        <f>IFERROR(INDEX(PP_Grid[#Data],$DD361,70),0)</f>
        <v/>
      </c>
      <c r="BU361">
        <f>IFERROR(INDEX(PP_Grid[#Data],$DD361,71),0)</f>
        <v/>
      </c>
      <c r="BV361">
        <f>IFERROR(INDEX(PP_Grid[#Data],$DD361,72),0)</f>
        <v/>
      </c>
      <c r="BW361">
        <f>IFERROR(INDEX(PP_Grid[#Data],$DD361,73),0)</f>
        <v/>
      </c>
      <c r="BX361">
        <f>IFERROR(INDEX(PP_Grid[#Data],$DD361,74),0)</f>
        <v/>
      </c>
      <c r="BY361">
        <f>IFERROR(INDEX(PP_Grid[#Data],$DD361,75),0)</f>
        <v/>
      </c>
      <c r="BZ361">
        <f>IFERROR(INDEX(PP_Grid[#Data],$DD361,76),0)</f>
        <v/>
      </c>
      <c r="CA361">
        <f>IFERROR(INDEX(PP_Grid[#Data],$DD361,77),0)</f>
        <v/>
      </c>
      <c r="CB361">
        <f>IFERROR(INDEX(PP_Grid[#Data],$DD361,78),0)</f>
        <v/>
      </c>
      <c r="CC361">
        <f>IFERROR(INDEX(PP_Grid[#Data],$DD361,79),0)</f>
        <v/>
      </c>
      <c r="CD361">
        <f>IFERROR(INDEX(PP_Grid[#Data],$DD361,80),0)</f>
        <v/>
      </c>
      <c r="CE361">
        <f>IFERROR(INDEX(PP_Grid[#Data],$DD361,81),0)</f>
        <v/>
      </c>
      <c r="CF361">
        <f>IFERROR(INDEX(PP_Grid[#Data],$DD361,82),0)</f>
        <v/>
      </c>
      <c r="CG361">
        <f>IFERROR(INDEX(PP_Grid[#Data],$DD361,83),0)</f>
        <v/>
      </c>
      <c r="CH361">
        <f>IFERROR(INDEX(PP_Grid[#Data],$DD361,84),0)</f>
        <v/>
      </c>
      <c r="CI361">
        <f>IFERROR(INDEX(PP_Grid[#Data],$DD361,85),0)</f>
        <v/>
      </c>
      <c r="CJ361">
        <f>IFERROR(INDEX(PP_Grid[#Data],$DD361,86),0)</f>
        <v/>
      </c>
      <c r="CK361">
        <f>IFERROR(INDEX(PP_Grid[#Data],$DD361,87),0)</f>
        <v/>
      </c>
      <c r="CL361">
        <f>IFERROR(INDEX(PP_Grid[#Data],$DD361,88),0)</f>
        <v/>
      </c>
      <c r="CM361">
        <f>IFERROR(INDEX(PP_Grid[#Data],$DD361,89),0)</f>
        <v/>
      </c>
      <c r="CN361">
        <f>IFERROR(INDEX(PP_Grid[#Data],$DD361,90),0)</f>
        <v/>
      </c>
      <c r="CO361">
        <f>IFERROR(INDEX(PP_Grid[#Data],$DD361,91),0)</f>
        <v/>
      </c>
      <c r="CP361">
        <f>IFERROR(INDEX(PP_Grid[#Data],$DD361,92),0)</f>
        <v/>
      </c>
      <c r="CQ361">
        <f>IFERROR(INDEX(PP_Grid[#Data],$DD361,93),0)</f>
        <v/>
      </c>
      <c r="CR361">
        <f>IFERROR(INDEX(PP_Grid[#Data],$DD361,94),0)</f>
        <v/>
      </c>
      <c r="CS361">
        <f>IFERROR(INDEX(PP_Grid[#Data],$DD361,95),0)</f>
        <v/>
      </c>
      <c r="CT361">
        <f>IFERROR(INDEX(PP_Grid[#Data],$DD361,96),0)</f>
        <v/>
      </c>
      <c r="CU361">
        <f>IFERROR(INDEX(PP_Grid[#Data],$DD361,97),0)</f>
        <v/>
      </c>
      <c r="CV361">
        <f>IFERROR(INDEX(PP_Grid[#Data],$DD361,98),0)</f>
        <v/>
      </c>
      <c r="CW361">
        <f>IFERROR(INDEX(PP_Grid[#Data],$DD361,99),0)</f>
        <v/>
      </c>
      <c r="CX361">
        <f>IFERROR(INDEX(PP_Grid[#Data],$DD361,100),0)</f>
        <v/>
      </c>
      <c r="CY361">
        <f>IFERROR(INDEX(PP_Grid[#Data],$DD361,101),0)</f>
        <v/>
      </c>
      <c r="CZ361">
        <f>IFERROR(INDEX(PP_Grid[#Data],$DD361,102),0)</f>
        <v/>
      </c>
      <c r="DA361">
        <f>IFERROR(INDEX(PP_Grid[#Data],$DD361,103),0)</f>
        <v/>
      </c>
      <c r="DB361">
        <f>IFERROR(INDEX(PP_Grid[#Data],$DD361,104),0)</f>
        <v/>
      </c>
      <c r="DC361">
        <f>IFERROR(INDEX(PP_Grid[#Data],$DD361,105),0)</f>
        <v/>
      </c>
      <c r="DD361" s="7">
        <f>IFERROR(MATCH($B361,PP_Grid[Intermediate],0),99999)</f>
        <v/>
      </c>
    </row>
    <row r="362">
      <c r="B362" t="inlineStr">
        <is>
          <t>使用量(kg)</t>
        </is>
      </c>
      <c r="C362">
        <f>SUMIFS(M_BOM[RM_Qty_Per_Batch],M_BOM[Intermediate],$B361,M_BOM[Part Name],$A340)</f>
        <v/>
      </c>
      <c r="D362">
        <f>$C362*D361</f>
        <v/>
      </c>
      <c r="E362">
        <f>$C362*E361</f>
        <v/>
      </c>
      <c r="F362">
        <f>$C362*F361</f>
        <v/>
      </c>
      <c r="G362">
        <f>$C362*G361</f>
        <v/>
      </c>
      <c r="H362">
        <f>$C362*H361</f>
        <v/>
      </c>
      <c r="I362">
        <f>$C362*I361</f>
        <v/>
      </c>
      <c r="J362">
        <f>$C362*J361</f>
        <v/>
      </c>
      <c r="K362">
        <f>$C362*K361</f>
        <v/>
      </c>
      <c r="L362">
        <f>$C362*L361</f>
        <v/>
      </c>
      <c r="M362">
        <f>$C362*M361</f>
        <v/>
      </c>
      <c r="N362">
        <f>$C362*N361</f>
        <v/>
      </c>
      <c r="O362">
        <f>$C362*O361</f>
        <v/>
      </c>
      <c r="P362">
        <f>$C362*P361</f>
        <v/>
      </c>
      <c r="Q362">
        <f>$C362*Q361</f>
        <v/>
      </c>
      <c r="R362">
        <f>$C362*R361</f>
        <v/>
      </c>
      <c r="S362">
        <f>$C362*S361</f>
        <v/>
      </c>
      <c r="T362">
        <f>$C362*T361</f>
        <v/>
      </c>
      <c r="U362">
        <f>$C362*U361</f>
        <v/>
      </c>
      <c r="V362">
        <f>$C362*V361</f>
        <v/>
      </c>
      <c r="W362">
        <f>$C362*W361</f>
        <v/>
      </c>
      <c r="X362">
        <f>$C362*X361</f>
        <v/>
      </c>
      <c r="Y362">
        <f>$C362*Y361</f>
        <v/>
      </c>
      <c r="Z362">
        <f>$C362*Z361</f>
        <v/>
      </c>
      <c r="AA362">
        <f>$C362*AA361</f>
        <v/>
      </c>
      <c r="AB362">
        <f>$C362*AB361</f>
        <v/>
      </c>
      <c r="AC362">
        <f>$C362*AC361</f>
        <v/>
      </c>
      <c r="AD362">
        <f>$C362*AD361</f>
        <v/>
      </c>
      <c r="AE362">
        <f>$C362*AE361</f>
        <v/>
      </c>
      <c r="AF362">
        <f>$C362*AF361</f>
        <v/>
      </c>
      <c r="AG362">
        <f>$C362*AG361</f>
        <v/>
      </c>
      <c r="AH362">
        <f>$C362*AH361</f>
        <v/>
      </c>
      <c r="AI362">
        <f>$C362*AI361</f>
        <v/>
      </c>
      <c r="AJ362">
        <f>$C362*AJ361</f>
        <v/>
      </c>
      <c r="AK362">
        <f>$C362*AK361</f>
        <v/>
      </c>
      <c r="AL362">
        <f>$C362*AL361</f>
        <v/>
      </c>
      <c r="AM362">
        <f>$C362*AM361</f>
        <v/>
      </c>
      <c r="AN362">
        <f>$C362*AN361</f>
        <v/>
      </c>
      <c r="AO362">
        <f>$C362*AO361</f>
        <v/>
      </c>
      <c r="AP362">
        <f>$C362*AP361</f>
        <v/>
      </c>
      <c r="AQ362">
        <f>$C362*AQ361</f>
        <v/>
      </c>
      <c r="AR362">
        <f>$C362*AR361</f>
        <v/>
      </c>
      <c r="AS362">
        <f>$C362*AS361</f>
        <v/>
      </c>
      <c r="AT362">
        <f>$C362*AT361</f>
        <v/>
      </c>
      <c r="AU362">
        <f>$C362*AU361</f>
        <v/>
      </c>
      <c r="AV362">
        <f>$C362*AV361</f>
        <v/>
      </c>
      <c r="AW362">
        <f>$C362*AW361</f>
        <v/>
      </c>
      <c r="AX362">
        <f>$C362*AX361</f>
        <v/>
      </c>
      <c r="AY362">
        <f>$C362*AY361</f>
        <v/>
      </c>
      <c r="AZ362">
        <f>$C362*AZ361</f>
        <v/>
      </c>
      <c r="BA362">
        <f>$C362*BA361</f>
        <v/>
      </c>
      <c r="BB362">
        <f>$C362*BB361</f>
        <v/>
      </c>
      <c r="BC362">
        <f>$C362*BC361</f>
        <v/>
      </c>
      <c r="BD362">
        <f>$C362*BD361</f>
        <v/>
      </c>
      <c r="BE362">
        <f>$C362*BE361</f>
        <v/>
      </c>
      <c r="BF362">
        <f>$C362*BF361</f>
        <v/>
      </c>
      <c r="BG362">
        <f>$C362*BG361</f>
        <v/>
      </c>
      <c r="BH362">
        <f>$C362*BH361</f>
        <v/>
      </c>
      <c r="BI362">
        <f>$C362*BI361</f>
        <v/>
      </c>
      <c r="BJ362">
        <f>$C362*BJ361</f>
        <v/>
      </c>
      <c r="BK362">
        <f>$C362*BK361</f>
        <v/>
      </c>
      <c r="BL362">
        <f>$C362*BL361</f>
        <v/>
      </c>
      <c r="BM362">
        <f>$C362*BM361</f>
        <v/>
      </c>
      <c r="BN362">
        <f>$C362*BN361</f>
        <v/>
      </c>
      <c r="BO362">
        <f>$C362*BO361</f>
        <v/>
      </c>
      <c r="BP362">
        <f>$C362*BP361</f>
        <v/>
      </c>
      <c r="BQ362">
        <f>$C362*BQ361</f>
        <v/>
      </c>
      <c r="BR362">
        <f>$C362*BR361</f>
        <v/>
      </c>
      <c r="BS362">
        <f>$C362*BS361</f>
        <v/>
      </c>
      <c r="BT362">
        <f>$C362*BT361</f>
        <v/>
      </c>
      <c r="BU362">
        <f>$C362*BU361</f>
        <v/>
      </c>
      <c r="BV362">
        <f>$C362*BV361</f>
        <v/>
      </c>
      <c r="BW362">
        <f>$C362*BW361</f>
        <v/>
      </c>
      <c r="BX362">
        <f>$C362*BX361</f>
        <v/>
      </c>
      <c r="BY362">
        <f>$C362*BY361</f>
        <v/>
      </c>
      <c r="BZ362">
        <f>$C362*BZ361</f>
        <v/>
      </c>
      <c r="CA362">
        <f>$C362*CA361</f>
        <v/>
      </c>
      <c r="CB362">
        <f>$C362*CB361</f>
        <v/>
      </c>
      <c r="CC362">
        <f>$C362*CC361</f>
        <v/>
      </c>
      <c r="CD362">
        <f>$C362*CD361</f>
        <v/>
      </c>
      <c r="CE362">
        <f>$C362*CE361</f>
        <v/>
      </c>
      <c r="CF362">
        <f>$C362*CF361</f>
        <v/>
      </c>
      <c r="CG362">
        <f>$C362*CG361</f>
        <v/>
      </c>
      <c r="CH362">
        <f>$C362*CH361</f>
        <v/>
      </c>
      <c r="CI362">
        <f>$C362*CI361</f>
        <v/>
      </c>
      <c r="CJ362">
        <f>$C362*CJ361</f>
        <v/>
      </c>
      <c r="CK362">
        <f>$C362*CK361</f>
        <v/>
      </c>
      <c r="CL362">
        <f>$C362*CL361</f>
        <v/>
      </c>
      <c r="CM362">
        <f>$C362*CM361</f>
        <v/>
      </c>
      <c r="CN362">
        <f>$C362*CN361</f>
        <v/>
      </c>
      <c r="CO362">
        <f>$C362*CO361</f>
        <v/>
      </c>
      <c r="CP362">
        <f>$C362*CP361</f>
        <v/>
      </c>
      <c r="CQ362">
        <f>$C362*CQ361</f>
        <v/>
      </c>
      <c r="CR362">
        <f>$C362*CR361</f>
        <v/>
      </c>
      <c r="CS362">
        <f>$C362*CS361</f>
        <v/>
      </c>
      <c r="CT362">
        <f>$C362*CT361</f>
        <v/>
      </c>
      <c r="CU362">
        <f>$C362*CU361</f>
        <v/>
      </c>
      <c r="CV362">
        <f>$C362*CV361</f>
        <v/>
      </c>
      <c r="CW362">
        <f>$C362*CW361</f>
        <v/>
      </c>
      <c r="CX362">
        <f>$C362*CX361</f>
        <v/>
      </c>
      <c r="CY362">
        <f>$C362*CY361</f>
        <v/>
      </c>
      <c r="CZ362">
        <f>$C362*CZ361</f>
        <v/>
      </c>
      <c r="DA362">
        <f>$C362*DA361</f>
        <v/>
      </c>
      <c r="DB362">
        <f>$C362*DB361</f>
        <v/>
      </c>
      <c r="DC362">
        <f>$C362*DC361</f>
        <v/>
      </c>
    </row>
    <row r="363">
      <c r="B363" t="inlineStr">
        <is>
          <t>TSP-369</t>
        </is>
      </c>
      <c r="C363" t="inlineStr">
        <is>
          <t>No. of batches</t>
        </is>
      </c>
      <c r="D363">
        <f>IFERROR(INDEX(PP_Grid[#Data],$DD363,2),0)</f>
        <v/>
      </c>
      <c r="E363">
        <f>IFERROR(INDEX(PP_Grid[#Data],$DD363,3),0)</f>
        <v/>
      </c>
      <c r="F363">
        <f>IFERROR(INDEX(PP_Grid[#Data],$DD363,4),0)</f>
        <v/>
      </c>
      <c r="G363">
        <f>IFERROR(INDEX(PP_Grid[#Data],$DD363,5),0)</f>
        <v/>
      </c>
      <c r="H363">
        <f>IFERROR(INDEX(PP_Grid[#Data],$DD363,6),0)</f>
        <v/>
      </c>
      <c r="I363">
        <f>IFERROR(INDEX(PP_Grid[#Data],$DD363,7),0)</f>
        <v/>
      </c>
      <c r="J363">
        <f>IFERROR(INDEX(PP_Grid[#Data],$DD363,8),0)</f>
        <v/>
      </c>
      <c r="K363">
        <f>IFERROR(INDEX(PP_Grid[#Data],$DD363,9),0)</f>
        <v/>
      </c>
      <c r="L363">
        <f>IFERROR(INDEX(PP_Grid[#Data],$DD363,10),0)</f>
        <v/>
      </c>
      <c r="M363">
        <f>IFERROR(INDEX(PP_Grid[#Data],$DD363,11),0)</f>
        <v/>
      </c>
      <c r="N363">
        <f>IFERROR(INDEX(PP_Grid[#Data],$DD363,12),0)</f>
        <v/>
      </c>
      <c r="O363">
        <f>IFERROR(INDEX(PP_Grid[#Data],$DD363,13),0)</f>
        <v/>
      </c>
      <c r="P363">
        <f>IFERROR(INDEX(PP_Grid[#Data],$DD363,14),0)</f>
        <v/>
      </c>
      <c r="Q363">
        <f>IFERROR(INDEX(PP_Grid[#Data],$DD363,15),0)</f>
        <v/>
      </c>
      <c r="R363">
        <f>IFERROR(INDEX(PP_Grid[#Data],$DD363,16),0)</f>
        <v/>
      </c>
      <c r="S363">
        <f>IFERROR(INDEX(PP_Grid[#Data],$DD363,17),0)</f>
        <v/>
      </c>
      <c r="T363">
        <f>IFERROR(INDEX(PP_Grid[#Data],$DD363,18),0)</f>
        <v/>
      </c>
      <c r="U363">
        <f>IFERROR(INDEX(PP_Grid[#Data],$DD363,19),0)</f>
        <v/>
      </c>
      <c r="V363">
        <f>IFERROR(INDEX(PP_Grid[#Data],$DD363,20),0)</f>
        <v/>
      </c>
      <c r="W363">
        <f>IFERROR(INDEX(PP_Grid[#Data],$DD363,21),0)</f>
        <v/>
      </c>
      <c r="X363">
        <f>IFERROR(INDEX(PP_Grid[#Data],$DD363,22),0)</f>
        <v/>
      </c>
      <c r="Y363">
        <f>IFERROR(INDEX(PP_Grid[#Data],$DD363,23),0)</f>
        <v/>
      </c>
      <c r="Z363">
        <f>IFERROR(INDEX(PP_Grid[#Data],$DD363,24),0)</f>
        <v/>
      </c>
      <c r="AA363">
        <f>IFERROR(INDEX(PP_Grid[#Data],$DD363,25),0)</f>
        <v/>
      </c>
      <c r="AB363">
        <f>IFERROR(INDEX(PP_Grid[#Data],$DD363,26),0)</f>
        <v/>
      </c>
      <c r="AC363">
        <f>IFERROR(INDEX(PP_Grid[#Data],$DD363,27),0)</f>
        <v/>
      </c>
      <c r="AD363">
        <f>IFERROR(INDEX(PP_Grid[#Data],$DD363,28),0)</f>
        <v/>
      </c>
      <c r="AE363">
        <f>IFERROR(INDEX(PP_Grid[#Data],$DD363,29),0)</f>
        <v/>
      </c>
      <c r="AF363">
        <f>IFERROR(INDEX(PP_Grid[#Data],$DD363,30),0)</f>
        <v/>
      </c>
      <c r="AG363">
        <f>IFERROR(INDEX(PP_Grid[#Data],$DD363,31),0)</f>
        <v/>
      </c>
      <c r="AH363">
        <f>IFERROR(INDEX(PP_Grid[#Data],$DD363,32),0)</f>
        <v/>
      </c>
      <c r="AI363">
        <f>IFERROR(INDEX(PP_Grid[#Data],$DD363,33),0)</f>
        <v/>
      </c>
      <c r="AJ363">
        <f>IFERROR(INDEX(PP_Grid[#Data],$DD363,34),0)</f>
        <v/>
      </c>
      <c r="AK363">
        <f>IFERROR(INDEX(PP_Grid[#Data],$DD363,35),0)</f>
        <v/>
      </c>
      <c r="AL363">
        <f>IFERROR(INDEX(PP_Grid[#Data],$DD363,36),0)</f>
        <v/>
      </c>
      <c r="AM363">
        <f>IFERROR(INDEX(PP_Grid[#Data],$DD363,37),0)</f>
        <v/>
      </c>
      <c r="AN363">
        <f>IFERROR(INDEX(PP_Grid[#Data],$DD363,38),0)</f>
        <v/>
      </c>
      <c r="AO363">
        <f>IFERROR(INDEX(PP_Grid[#Data],$DD363,39),0)</f>
        <v/>
      </c>
      <c r="AP363">
        <f>IFERROR(INDEX(PP_Grid[#Data],$DD363,40),0)</f>
        <v/>
      </c>
      <c r="AQ363">
        <f>IFERROR(INDEX(PP_Grid[#Data],$DD363,41),0)</f>
        <v/>
      </c>
      <c r="AR363">
        <f>IFERROR(INDEX(PP_Grid[#Data],$DD363,42),0)</f>
        <v/>
      </c>
      <c r="AS363">
        <f>IFERROR(INDEX(PP_Grid[#Data],$DD363,43),0)</f>
        <v/>
      </c>
      <c r="AT363">
        <f>IFERROR(INDEX(PP_Grid[#Data],$DD363,44),0)</f>
        <v/>
      </c>
      <c r="AU363">
        <f>IFERROR(INDEX(PP_Grid[#Data],$DD363,45),0)</f>
        <v/>
      </c>
      <c r="AV363">
        <f>IFERROR(INDEX(PP_Grid[#Data],$DD363,46),0)</f>
        <v/>
      </c>
      <c r="AW363">
        <f>IFERROR(INDEX(PP_Grid[#Data],$DD363,47),0)</f>
        <v/>
      </c>
      <c r="AX363">
        <f>IFERROR(INDEX(PP_Grid[#Data],$DD363,48),0)</f>
        <v/>
      </c>
      <c r="AY363">
        <f>IFERROR(INDEX(PP_Grid[#Data],$DD363,49),0)</f>
        <v/>
      </c>
      <c r="AZ363">
        <f>IFERROR(INDEX(PP_Grid[#Data],$DD363,50),0)</f>
        <v/>
      </c>
      <c r="BA363">
        <f>IFERROR(INDEX(PP_Grid[#Data],$DD363,51),0)</f>
        <v/>
      </c>
      <c r="BB363">
        <f>IFERROR(INDEX(PP_Grid[#Data],$DD363,52),0)</f>
        <v/>
      </c>
      <c r="BC363">
        <f>IFERROR(INDEX(PP_Grid[#Data],$DD363,53),0)</f>
        <v/>
      </c>
      <c r="BD363">
        <f>IFERROR(INDEX(PP_Grid[#Data],$DD363,54),0)</f>
        <v/>
      </c>
      <c r="BE363">
        <f>IFERROR(INDEX(PP_Grid[#Data],$DD363,55),0)</f>
        <v/>
      </c>
      <c r="BF363">
        <f>IFERROR(INDEX(PP_Grid[#Data],$DD363,56),0)</f>
        <v/>
      </c>
      <c r="BG363">
        <f>IFERROR(INDEX(PP_Grid[#Data],$DD363,57),0)</f>
        <v/>
      </c>
      <c r="BH363">
        <f>IFERROR(INDEX(PP_Grid[#Data],$DD363,58),0)</f>
        <v/>
      </c>
      <c r="BI363">
        <f>IFERROR(INDEX(PP_Grid[#Data],$DD363,59),0)</f>
        <v/>
      </c>
      <c r="BJ363">
        <f>IFERROR(INDEX(PP_Grid[#Data],$DD363,60),0)</f>
        <v/>
      </c>
      <c r="BK363">
        <f>IFERROR(INDEX(PP_Grid[#Data],$DD363,61),0)</f>
        <v/>
      </c>
      <c r="BL363">
        <f>IFERROR(INDEX(PP_Grid[#Data],$DD363,62),0)</f>
        <v/>
      </c>
      <c r="BM363">
        <f>IFERROR(INDEX(PP_Grid[#Data],$DD363,63),0)</f>
        <v/>
      </c>
      <c r="BN363">
        <f>IFERROR(INDEX(PP_Grid[#Data],$DD363,64),0)</f>
        <v/>
      </c>
      <c r="BO363">
        <f>IFERROR(INDEX(PP_Grid[#Data],$DD363,65),0)</f>
        <v/>
      </c>
      <c r="BP363">
        <f>IFERROR(INDEX(PP_Grid[#Data],$DD363,66),0)</f>
        <v/>
      </c>
      <c r="BQ363">
        <f>IFERROR(INDEX(PP_Grid[#Data],$DD363,67),0)</f>
        <v/>
      </c>
      <c r="BR363">
        <f>IFERROR(INDEX(PP_Grid[#Data],$DD363,68),0)</f>
        <v/>
      </c>
      <c r="BS363">
        <f>IFERROR(INDEX(PP_Grid[#Data],$DD363,69),0)</f>
        <v/>
      </c>
      <c r="BT363">
        <f>IFERROR(INDEX(PP_Grid[#Data],$DD363,70),0)</f>
        <v/>
      </c>
      <c r="BU363">
        <f>IFERROR(INDEX(PP_Grid[#Data],$DD363,71),0)</f>
        <v/>
      </c>
      <c r="BV363">
        <f>IFERROR(INDEX(PP_Grid[#Data],$DD363,72),0)</f>
        <v/>
      </c>
      <c r="BW363">
        <f>IFERROR(INDEX(PP_Grid[#Data],$DD363,73),0)</f>
        <v/>
      </c>
      <c r="BX363">
        <f>IFERROR(INDEX(PP_Grid[#Data],$DD363,74),0)</f>
        <v/>
      </c>
      <c r="BY363">
        <f>IFERROR(INDEX(PP_Grid[#Data],$DD363,75),0)</f>
        <v/>
      </c>
      <c r="BZ363">
        <f>IFERROR(INDEX(PP_Grid[#Data],$DD363,76),0)</f>
        <v/>
      </c>
      <c r="CA363">
        <f>IFERROR(INDEX(PP_Grid[#Data],$DD363,77),0)</f>
        <v/>
      </c>
      <c r="CB363">
        <f>IFERROR(INDEX(PP_Grid[#Data],$DD363,78),0)</f>
        <v/>
      </c>
      <c r="CC363">
        <f>IFERROR(INDEX(PP_Grid[#Data],$DD363,79),0)</f>
        <v/>
      </c>
      <c r="CD363">
        <f>IFERROR(INDEX(PP_Grid[#Data],$DD363,80),0)</f>
        <v/>
      </c>
      <c r="CE363">
        <f>IFERROR(INDEX(PP_Grid[#Data],$DD363,81),0)</f>
        <v/>
      </c>
      <c r="CF363">
        <f>IFERROR(INDEX(PP_Grid[#Data],$DD363,82),0)</f>
        <v/>
      </c>
      <c r="CG363">
        <f>IFERROR(INDEX(PP_Grid[#Data],$DD363,83),0)</f>
        <v/>
      </c>
      <c r="CH363">
        <f>IFERROR(INDEX(PP_Grid[#Data],$DD363,84),0)</f>
        <v/>
      </c>
      <c r="CI363">
        <f>IFERROR(INDEX(PP_Grid[#Data],$DD363,85),0)</f>
        <v/>
      </c>
      <c r="CJ363">
        <f>IFERROR(INDEX(PP_Grid[#Data],$DD363,86),0)</f>
        <v/>
      </c>
      <c r="CK363">
        <f>IFERROR(INDEX(PP_Grid[#Data],$DD363,87),0)</f>
        <v/>
      </c>
      <c r="CL363">
        <f>IFERROR(INDEX(PP_Grid[#Data],$DD363,88),0)</f>
        <v/>
      </c>
      <c r="CM363">
        <f>IFERROR(INDEX(PP_Grid[#Data],$DD363,89),0)</f>
        <v/>
      </c>
      <c r="CN363">
        <f>IFERROR(INDEX(PP_Grid[#Data],$DD363,90),0)</f>
        <v/>
      </c>
      <c r="CO363">
        <f>IFERROR(INDEX(PP_Grid[#Data],$DD363,91),0)</f>
        <v/>
      </c>
      <c r="CP363">
        <f>IFERROR(INDEX(PP_Grid[#Data],$DD363,92),0)</f>
        <v/>
      </c>
      <c r="CQ363">
        <f>IFERROR(INDEX(PP_Grid[#Data],$DD363,93),0)</f>
        <v/>
      </c>
      <c r="CR363">
        <f>IFERROR(INDEX(PP_Grid[#Data],$DD363,94),0)</f>
        <v/>
      </c>
      <c r="CS363">
        <f>IFERROR(INDEX(PP_Grid[#Data],$DD363,95),0)</f>
        <v/>
      </c>
      <c r="CT363">
        <f>IFERROR(INDEX(PP_Grid[#Data],$DD363,96),0)</f>
        <v/>
      </c>
      <c r="CU363">
        <f>IFERROR(INDEX(PP_Grid[#Data],$DD363,97),0)</f>
        <v/>
      </c>
      <c r="CV363">
        <f>IFERROR(INDEX(PP_Grid[#Data],$DD363,98),0)</f>
        <v/>
      </c>
      <c r="CW363">
        <f>IFERROR(INDEX(PP_Grid[#Data],$DD363,99),0)</f>
        <v/>
      </c>
      <c r="CX363">
        <f>IFERROR(INDEX(PP_Grid[#Data],$DD363,100),0)</f>
        <v/>
      </c>
      <c r="CY363">
        <f>IFERROR(INDEX(PP_Grid[#Data],$DD363,101),0)</f>
        <v/>
      </c>
      <c r="CZ363">
        <f>IFERROR(INDEX(PP_Grid[#Data],$DD363,102),0)</f>
        <v/>
      </c>
      <c r="DA363">
        <f>IFERROR(INDEX(PP_Grid[#Data],$DD363,103),0)</f>
        <v/>
      </c>
      <c r="DB363">
        <f>IFERROR(INDEX(PP_Grid[#Data],$DD363,104),0)</f>
        <v/>
      </c>
      <c r="DC363">
        <f>IFERROR(INDEX(PP_Grid[#Data],$DD363,105),0)</f>
        <v/>
      </c>
      <c r="DD363" s="7">
        <f>IFERROR(MATCH($B363,PP_Grid[Intermediate],0),99999)</f>
        <v/>
      </c>
    </row>
    <row r="364">
      <c r="B364" t="inlineStr">
        <is>
          <t>使用量(kg)</t>
        </is>
      </c>
      <c r="C364">
        <f>SUMIFS(M_BOM[RM_Qty_Per_Batch],M_BOM[Intermediate],$B363,M_BOM[Part Name],$A340)</f>
        <v/>
      </c>
      <c r="D364">
        <f>$C364*D363</f>
        <v/>
      </c>
      <c r="E364">
        <f>$C364*E363</f>
        <v/>
      </c>
      <c r="F364">
        <f>$C364*F363</f>
        <v/>
      </c>
      <c r="G364">
        <f>$C364*G363</f>
        <v/>
      </c>
      <c r="H364">
        <f>$C364*H363</f>
        <v/>
      </c>
      <c r="I364">
        <f>$C364*I363</f>
        <v/>
      </c>
      <c r="J364">
        <f>$C364*J363</f>
        <v/>
      </c>
      <c r="K364">
        <f>$C364*K363</f>
        <v/>
      </c>
      <c r="L364">
        <f>$C364*L363</f>
        <v/>
      </c>
      <c r="M364">
        <f>$C364*M363</f>
        <v/>
      </c>
      <c r="N364">
        <f>$C364*N363</f>
        <v/>
      </c>
      <c r="O364">
        <f>$C364*O363</f>
        <v/>
      </c>
      <c r="P364">
        <f>$C364*P363</f>
        <v/>
      </c>
      <c r="Q364">
        <f>$C364*Q363</f>
        <v/>
      </c>
      <c r="R364">
        <f>$C364*R363</f>
        <v/>
      </c>
      <c r="S364">
        <f>$C364*S363</f>
        <v/>
      </c>
      <c r="T364">
        <f>$C364*T363</f>
        <v/>
      </c>
      <c r="U364">
        <f>$C364*U363</f>
        <v/>
      </c>
      <c r="V364">
        <f>$C364*V363</f>
        <v/>
      </c>
      <c r="W364">
        <f>$C364*W363</f>
        <v/>
      </c>
      <c r="X364">
        <f>$C364*X363</f>
        <v/>
      </c>
      <c r="Y364">
        <f>$C364*Y363</f>
        <v/>
      </c>
      <c r="Z364">
        <f>$C364*Z363</f>
        <v/>
      </c>
      <c r="AA364">
        <f>$C364*AA363</f>
        <v/>
      </c>
      <c r="AB364">
        <f>$C364*AB363</f>
        <v/>
      </c>
      <c r="AC364">
        <f>$C364*AC363</f>
        <v/>
      </c>
      <c r="AD364">
        <f>$C364*AD363</f>
        <v/>
      </c>
      <c r="AE364">
        <f>$C364*AE363</f>
        <v/>
      </c>
      <c r="AF364">
        <f>$C364*AF363</f>
        <v/>
      </c>
      <c r="AG364">
        <f>$C364*AG363</f>
        <v/>
      </c>
      <c r="AH364">
        <f>$C364*AH363</f>
        <v/>
      </c>
      <c r="AI364">
        <f>$C364*AI363</f>
        <v/>
      </c>
      <c r="AJ364">
        <f>$C364*AJ363</f>
        <v/>
      </c>
      <c r="AK364">
        <f>$C364*AK363</f>
        <v/>
      </c>
      <c r="AL364">
        <f>$C364*AL363</f>
        <v/>
      </c>
      <c r="AM364">
        <f>$C364*AM363</f>
        <v/>
      </c>
      <c r="AN364">
        <f>$C364*AN363</f>
        <v/>
      </c>
      <c r="AO364">
        <f>$C364*AO363</f>
        <v/>
      </c>
      <c r="AP364">
        <f>$C364*AP363</f>
        <v/>
      </c>
      <c r="AQ364">
        <f>$C364*AQ363</f>
        <v/>
      </c>
      <c r="AR364">
        <f>$C364*AR363</f>
        <v/>
      </c>
      <c r="AS364">
        <f>$C364*AS363</f>
        <v/>
      </c>
      <c r="AT364">
        <f>$C364*AT363</f>
        <v/>
      </c>
      <c r="AU364">
        <f>$C364*AU363</f>
        <v/>
      </c>
      <c r="AV364">
        <f>$C364*AV363</f>
        <v/>
      </c>
      <c r="AW364">
        <f>$C364*AW363</f>
        <v/>
      </c>
      <c r="AX364">
        <f>$C364*AX363</f>
        <v/>
      </c>
      <c r="AY364">
        <f>$C364*AY363</f>
        <v/>
      </c>
      <c r="AZ364">
        <f>$C364*AZ363</f>
        <v/>
      </c>
      <c r="BA364">
        <f>$C364*BA363</f>
        <v/>
      </c>
      <c r="BB364">
        <f>$C364*BB363</f>
        <v/>
      </c>
      <c r="BC364">
        <f>$C364*BC363</f>
        <v/>
      </c>
      <c r="BD364">
        <f>$C364*BD363</f>
        <v/>
      </c>
      <c r="BE364">
        <f>$C364*BE363</f>
        <v/>
      </c>
      <c r="BF364">
        <f>$C364*BF363</f>
        <v/>
      </c>
      <c r="BG364">
        <f>$C364*BG363</f>
        <v/>
      </c>
      <c r="BH364">
        <f>$C364*BH363</f>
        <v/>
      </c>
      <c r="BI364">
        <f>$C364*BI363</f>
        <v/>
      </c>
      <c r="BJ364">
        <f>$C364*BJ363</f>
        <v/>
      </c>
      <c r="BK364">
        <f>$C364*BK363</f>
        <v/>
      </c>
      <c r="BL364">
        <f>$C364*BL363</f>
        <v/>
      </c>
      <c r="BM364">
        <f>$C364*BM363</f>
        <v/>
      </c>
      <c r="BN364">
        <f>$C364*BN363</f>
        <v/>
      </c>
      <c r="BO364">
        <f>$C364*BO363</f>
        <v/>
      </c>
      <c r="BP364">
        <f>$C364*BP363</f>
        <v/>
      </c>
      <c r="BQ364">
        <f>$C364*BQ363</f>
        <v/>
      </c>
      <c r="BR364">
        <f>$C364*BR363</f>
        <v/>
      </c>
      <c r="BS364">
        <f>$C364*BS363</f>
        <v/>
      </c>
      <c r="BT364">
        <f>$C364*BT363</f>
        <v/>
      </c>
      <c r="BU364">
        <f>$C364*BU363</f>
        <v/>
      </c>
      <c r="BV364">
        <f>$C364*BV363</f>
        <v/>
      </c>
      <c r="BW364">
        <f>$C364*BW363</f>
        <v/>
      </c>
      <c r="BX364">
        <f>$C364*BX363</f>
        <v/>
      </c>
      <c r="BY364">
        <f>$C364*BY363</f>
        <v/>
      </c>
      <c r="BZ364">
        <f>$C364*BZ363</f>
        <v/>
      </c>
      <c r="CA364">
        <f>$C364*CA363</f>
        <v/>
      </c>
      <c r="CB364">
        <f>$C364*CB363</f>
        <v/>
      </c>
      <c r="CC364">
        <f>$C364*CC363</f>
        <v/>
      </c>
      <c r="CD364">
        <f>$C364*CD363</f>
        <v/>
      </c>
      <c r="CE364">
        <f>$C364*CE363</f>
        <v/>
      </c>
      <c r="CF364">
        <f>$C364*CF363</f>
        <v/>
      </c>
      <c r="CG364">
        <f>$C364*CG363</f>
        <v/>
      </c>
      <c r="CH364">
        <f>$C364*CH363</f>
        <v/>
      </c>
      <c r="CI364">
        <f>$C364*CI363</f>
        <v/>
      </c>
      <c r="CJ364">
        <f>$C364*CJ363</f>
        <v/>
      </c>
      <c r="CK364">
        <f>$C364*CK363</f>
        <v/>
      </c>
      <c r="CL364">
        <f>$C364*CL363</f>
        <v/>
      </c>
      <c r="CM364">
        <f>$C364*CM363</f>
        <v/>
      </c>
      <c r="CN364">
        <f>$C364*CN363</f>
        <v/>
      </c>
      <c r="CO364">
        <f>$C364*CO363</f>
        <v/>
      </c>
      <c r="CP364">
        <f>$C364*CP363</f>
        <v/>
      </c>
      <c r="CQ364">
        <f>$C364*CQ363</f>
        <v/>
      </c>
      <c r="CR364">
        <f>$C364*CR363</f>
        <v/>
      </c>
      <c r="CS364">
        <f>$C364*CS363</f>
        <v/>
      </c>
      <c r="CT364">
        <f>$C364*CT363</f>
        <v/>
      </c>
      <c r="CU364">
        <f>$C364*CU363</f>
        <v/>
      </c>
      <c r="CV364">
        <f>$C364*CV363</f>
        <v/>
      </c>
      <c r="CW364">
        <f>$C364*CW363</f>
        <v/>
      </c>
      <c r="CX364">
        <f>$C364*CX363</f>
        <v/>
      </c>
      <c r="CY364">
        <f>$C364*CY363</f>
        <v/>
      </c>
      <c r="CZ364">
        <f>$C364*CZ363</f>
        <v/>
      </c>
      <c r="DA364">
        <f>$C364*DA363</f>
        <v/>
      </c>
      <c r="DB364">
        <f>$C364*DB363</f>
        <v/>
      </c>
      <c r="DC364">
        <f>$C364*DC363</f>
        <v/>
      </c>
    </row>
    <row r="365">
      <c r="B365" t="inlineStr">
        <is>
          <t>TSP-402</t>
        </is>
      </c>
      <c r="C365" t="inlineStr">
        <is>
          <t>No. of batches</t>
        </is>
      </c>
      <c r="D365">
        <f>IFERROR(INDEX(PP_Grid[#Data],$DD365,2),0)</f>
        <v/>
      </c>
      <c r="E365">
        <f>IFERROR(INDEX(PP_Grid[#Data],$DD365,3),0)</f>
        <v/>
      </c>
      <c r="F365">
        <f>IFERROR(INDEX(PP_Grid[#Data],$DD365,4),0)</f>
        <v/>
      </c>
      <c r="G365">
        <f>IFERROR(INDEX(PP_Grid[#Data],$DD365,5),0)</f>
        <v/>
      </c>
      <c r="H365">
        <f>IFERROR(INDEX(PP_Grid[#Data],$DD365,6),0)</f>
        <v/>
      </c>
      <c r="I365">
        <f>IFERROR(INDEX(PP_Grid[#Data],$DD365,7),0)</f>
        <v/>
      </c>
      <c r="J365">
        <f>IFERROR(INDEX(PP_Grid[#Data],$DD365,8),0)</f>
        <v/>
      </c>
      <c r="K365">
        <f>IFERROR(INDEX(PP_Grid[#Data],$DD365,9),0)</f>
        <v/>
      </c>
      <c r="L365">
        <f>IFERROR(INDEX(PP_Grid[#Data],$DD365,10),0)</f>
        <v/>
      </c>
      <c r="M365">
        <f>IFERROR(INDEX(PP_Grid[#Data],$DD365,11),0)</f>
        <v/>
      </c>
      <c r="N365">
        <f>IFERROR(INDEX(PP_Grid[#Data],$DD365,12),0)</f>
        <v/>
      </c>
      <c r="O365">
        <f>IFERROR(INDEX(PP_Grid[#Data],$DD365,13),0)</f>
        <v/>
      </c>
      <c r="P365">
        <f>IFERROR(INDEX(PP_Grid[#Data],$DD365,14),0)</f>
        <v/>
      </c>
      <c r="Q365">
        <f>IFERROR(INDEX(PP_Grid[#Data],$DD365,15),0)</f>
        <v/>
      </c>
      <c r="R365">
        <f>IFERROR(INDEX(PP_Grid[#Data],$DD365,16),0)</f>
        <v/>
      </c>
      <c r="S365">
        <f>IFERROR(INDEX(PP_Grid[#Data],$DD365,17),0)</f>
        <v/>
      </c>
      <c r="T365">
        <f>IFERROR(INDEX(PP_Grid[#Data],$DD365,18),0)</f>
        <v/>
      </c>
      <c r="U365">
        <f>IFERROR(INDEX(PP_Grid[#Data],$DD365,19),0)</f>
        <v/>
      </c>
      <c r="V365">
        <f>IFERROR(INDEX(PP_Grid[#Data],$DD365,20),0)</f>
        <v/>
      </c>
      <c r="W365">
        <f>IFERROR(INDEX(PP_Grid[#Data],$DD365,21),0)</f>
        <v/>
      </c>
      <c r="X365">
        <f>IFERROR(INDEX(PP_Grid[#Data],$DD365,22),0)</f>
        <v/>
      </c>
      <c r="Y365">
        <f>IFERROR(INDEX(PP_Grid[#Data],$DD365,23),0)</f>
        <v/>
      </c>
      <c r="Z365">
        <f>IFERROR(INDEX(PP_Grid[#Data],$DD365,24),0)</f>
        <v/>
      </c>
      <c r="AA365">
        <f>IFERROR(INDEX(PP_Grid[#Data],$DD365,25),0)</f>
        <v/>
      </c>
      <c r="AB365">
        <f>IFERROR(INDEX(PP_Grid[#Data],$DD365,26),0)</f>
        <v/>
      </c>
      <c r="AC365">
        <f>IFERROR(INDEX(PP_Grid[#Data],$DD365,27),0)</f>
        <v/>
      </c>
      <c r="AD365">
        <f>IFERROR(INDEX(PP_Grid[#Data],$DD365,28),0)</f>
        <v/>
      </c>
      <c r="AE365">
        <f>IFERROR(INDEX(PP_Grid[#Data],$DD365,29),0)</f>
        <v/>
      </c>
      <c r="AF365">
        <f>IFERROR(INDEX(PP_Grid[#Data],$DD365,30),0)</f>
        <v/>
      </c>
      <c r="AG365">
        <f>IFERROR(INDEX(PP_Grid[#Data],$DD365,31),0)</f>
        <v/>
      </c>
      <c r="AH365">
        <f>IFERROR(INDEX(PP_Grid[#Data],$DD365,32),0)</f>
        <v/>
      </c>
      <c r="AI365">
        <f>IFERROR(INDEX(PP_Grid[#Data],$DD365,33),0)</f>
        <v/>
      </c>
      <c r="AJ365">
        <f>IFERROR(INDEX(PP_Grid[#Data],$DD365,34),0)</f>
        <v/>
      </c>
      <c r="AK365">
        <f>IFERROR(INDEX(PP_Grid[#Data],$DD365,35),0)</f>
        <v/>
      </c>
      <c r="AL365">
        <f>IFERROR(INDEX(PP_Grid[#Data],$DD365,36),0)</f>
        <v/>
      </c>
      <c r="AM365">
        <f>IFERROR(INDEX(PP_Grid[#Data],$DD365,37),0)</f>
        <v/>
      </c>
      <c r="AN365">
        <f>IFERROR(INDEX(PP_Grid[#Data],$DD365,38),0)</f>
        <v/>
      </c>
      <c r="AO365">
        <f>IFERROR(INDEX(PP_Grid[#Data],$DD365,39),0)</f>
        <v/>
      </c>
      <c r="AP365">
        <f>IFERROR(INDEX(PP_Grid[#Data],$DD365,40),0)</f>
        <v/>
      </c>
      <c r="AQ365">
        <f>IFERROR(INDEX(PP_Grid[#Data],$DD365,41),0)</f>
        <v/>
      </c>
      <c r="AR365">
        <f>IFERROR(INDEX(PP_Grid[#Data],$DD365,42),0)</f>
        <v/>
      </c>
      <c r="AS365">
        <f>IFERROR(INDEX(PP_Grid[#Data],$DD365,43),0)</f>
        <v/>
      </c>
      <c r="AT365">
        <f>IFERROR(INDEX(PP_Grid[#Data],$DD365,44),0)</f>
        <v/>
      </c>
      <c r="AU365">
        <f>IFERROR(INDEX(PP_Grid[#Data],$DD365,45),0)</f>
        <v/>
      </c>
      <c r="AV365">
        <f>IFERROR(INDEX(PP_Grid[#Data],$DD365,46),0)</f>
        <v/>
      </c>
      <c r="AW365">
        <f>IFERROR(INDEX(PP_Grid[#Data],$DD365,47),0)</f>
        <v/>
      </c>
      <c r="AX365">
        <f>IFERROR(INDEX(PP_Grid[#Data],$DD365,48),0)</f>
        <v/>
      </c>
      <c r="AY365">
        <f>IFERROR(INDEX(PP_Grid[#Data],$DD365,49),0)</f>
        <v/>
      </c>
      <c r="AZ365">
        <f>IFERROR(INDEX(PP_Grid[#Data],$DD365,50),0)</f>
        <v/>
      </c>
      <c r="BA365">
        <f>IFERROR(INDEX(PP_Grid[#Data],$DD365,51),0)</f>
        <v/>
      </c>
      <c r="BB365">
        <f>IFERROR(INDEX(PP_Grid[#Data],$DD365,52),0)</f>
        <v/>
      </c>
      <c r="BC365">
        <f>IFERROR(INDEX(PP_Grid[#Data],$DD365,53),0)</f>
        <v/>
      </c>
      <c r="BD365">
        <f>IFERROR(INDEX(PP_Grid[#Data],$DD365,54),0)</f>
        <v/>
      </c>
      <c r="BE365">
        <f>IFERROR(INDEX(PP_Grid[#Data],$DD365,55),0)</f>
        <v/>
      </c>
      <c r="BF365">
        <f>IFERROR(INDEX(PP_Grid[#Data],$DD365,56),0)</f>
        <v/>
      </c>
      <c r="BG365">
        <f>IFERROR(INDEX(PP_Grid[#Data],$DD365,57),0)</f>
        <v/>
      </c>
      <c r="BH365">
        <f>IFERROR(INDEX(PP_Grid[#Data],$DD365,58),0)</f>
        <v/>
      </c>
      <c r="BI365">
        <f>IFERROR(INDEX(PP_Grid[#Data],$DD365,59),0)</f>
        <v/>
      </c>
      <c r="BJ365">
        <f>IFERROR(INDEX(PP_Grid[#Data],$DD365,60),0)</f>
        <v/>
      </c>
      <c r="BK365">
        <f>IFERROR(INDEX(PP_Grid[#Data],$DD365,61),0)</f>
        <v/>
      </c>
      <c r="BL365">
        <f>IFERROR(INDEX(PP_Grid[#Data],$DD365,62),0)</f>
        <v/>
      </c>
      <c r="BM365">
        <f>IFERROR(INDEX(PP_Grid[#Data],$DD365,63),0)</f>
        <v/>
      </c>
      <c r="BN365">
        <f>IFERROR(INDEX(PP_Grid[#Data],$DD365,64),0)</f>
        <v/>
      </c>
      <c r="BO365">
        <f>IFERROR(INDEX(PP_Grid[#Data],$DD365,65),0)</f>
        <v/>
      </c>
      <c r="BP365">
        <f>IFERROR(INDEX(PP_Grid[#Data],$DD365,66),0)</f>
        <v/>
      </c>
      <c r="BQ365">
        <f>IFERROR(INDEX(PP_Grid[#Data],$DD365,67),0)</f>
        <v/>
      </c>
      <c r="BR365">
        <f>IFERROR(INDEX(PP_Grid[#Data],$DD365,68),0)</f>
        <v/>
      </c>
      <c r="BS365">
        <f>IFERROR(INDEX(PP_Grid[#Data],$DD365,69),0)</f>
        <v/>
      </c>
      <c r="BT365">
        <f>IFERROR(INDEX(PP_Grid[#Data],$DD365,70),0)</f>
        <v/>
      </c>
      <c r="BU365">
        <f>IFERROR(INDEX(PP_Grid[#Data],$DD365,71),0)</f>
        <v/>
      </c>
      <c r="BV365">
        <f>IFERROR(INDEX(PP_Grid[#Data],$DD365,72),0)</f>
        <v/>
      </c>
      <c r="BW365">
        <f>IFERROR(INDEX(PP_Grid[#Data],$DD365,73),0)</f>
        <v/>
      </c>
      <c r="BX365">
        <f>IFERROR(INDEX(PP_Grid[#Data],$DD365,74),0)</f>
        <v/>
      </c>
      <c r="BY365">
        <f>IFERROR(INDEX(PP_Grid[#Data],$DD365,75),0)</f>
        <v/>
      </c>
      <c r="BZ365">
        <f>IFERROR(INDEX(PP_Grid[#Data],$DD365,76),0)</f>
        <v/>
      </c>
      <c r="CA365">
        <f>IFERROR(INDEX(PP_Grid[#Data],$DD365,77),0)</f>
        <v/>
      </c>
      <c r="CB365">
        <f>IFERROR(INDEX(PP_Grid[#Data],$DD365,78),0)</f>
        <v/>
      </c>
      <c r="CC365">
        <f>IFERROR(INDEX(PP_Grid[#Data],$DD365,79),0)</f>
        <v/>
      </c>
      <c r="CD365">
        <f>IFERROR(INDEX(PP_Grid[#Data],$DD365,80),0)</f>
        <v/>
      </c>
      <c r="CE365">
        <f>IFERROR(INDEX(PP_Grid[#Data],$DD365,81),0)</f>
        <v/>
      </c>
      <c r="CF365">
        <f>IFERROR(INDEX(PP_Grid[#Data],$DD365,82),0)</f>
        <v/>
      </c>
      <c r="CG365">
        <f>IFERROR(INDEX(PP_Grid[#Data],$DD365,83),0)</f>
        <v/>
      </c>
      <c r="CH365">
        <f>IFERROR(INDEX(PP_Grid[#Data],$DD365,84),0)</f>
        <v/>
      </c>
      <c r="CI365">
        <f>IFERROR(INDEX(PP_Grid[#Data],$DD365,85),0)</f>
        <v/>
      </c>
      <c r="CJ365">
        <f>IFERROR(INDEX(PP_Grid[#Data],$DD365,86),0)</f>
        <v/>
      </c>
      <c r="CK365">
        <f>IFERROR(INDEX(PP_Grid[#Data],$DD365,87),0)</f>
        <v/>
      </c>
      <c r="CL365">
        <f>IFERROR(INDEX(PP_Grid[#Data],$DD365,88),0)</f>
        <v/>
      </c>
      <c r="CM365">
        <f>IFERROR(INDEX(PP_Grid[#Data],$DD365,89),0)</f>
        <v/>
      </c>
      <c r="CN365">
        <f>IFERROR(INDEX(PP_Grid[#Data],$DD365,90),0)</f>
        <v/>
      </c>
      <c r="CO365">
        <f>IFERROR(INDEX(PP_Grid[#Data],$DD365,91),0)</f>
        <v/>
      </c>
      <c r="CP365">
        <f>IFERROR(INDEX(PP_Grid[#Data],$DD365,92),0)</f>
        <v/>
      </c>
      <c r="CQ365">
        <f>IFERROR(INDEX(PP_Grid[#Data],$DD365,93),0)</f>
        <v/>
      </c>
      <c r="CR365">
        <f>IFERROR(INDEX(PP_Grid[#Data],$DD365,94),0)</f>
        <v/>
      </c>
      <c r="CS365">
        <f>IFERROR(INDEX(PP_Grid[#Data],$DD365,95),0)</f>
        <v/>
      </c>
      <c r="CT365">
        <f>IFERROR(INDEX(PP_Grid[#Data],$DD365,96),0)</f>
        <v/>
      </c>
      <c r="CU365">
        <f>IFERROR(INDEX(PP_Grid[#Data],$DD365,97),0)</f>
        <v/>
      </c>
      <c r="CV365">
        <f>IFERROR(INDEX(PP_Grid[#Data],$DD365,98),0)</f>
        <v/>
      </c>
      <c r="CW365">
        <f>IFERROR(INDEX(PP_Grid[#Data],$DD365,99),0)</f>
        <v/>
      </c>
      <c r="CX365">
        <f>IFERROR(INDEX(PP_Grid[#Data],$DD365,100),0)</f>
        <v/>
      </c>
      <c r="CY365">
        <f>IFERROR(INDEX(PP_Grid[#Data],$DD365,101),0)</f>
        <v/>
      </c>
      <c r="CZ365">
        <f>IFERROR(INDEX(PP_Grid[#Data],$DD365,102),0)</f>
        <v/>
      </c>
      <c r="DA365">
        <f>IFERROR(INDEX(PP_Grid[#Data],$DD365,103),0)</f>
        <v/>
      </c>
      <c r="DB365">
        <f>IFERROR(INDEX(PP_Grid[#Data],$DD365,104),0)</f>
        <v/>
      </c>
      <c r="DC365">
        <f>IFERROR(INDEX(PP_Grid[#Data],$DD365,105),0)</f>
        <v/>
      </c>
      <c r="DD365" s="7">
        <f>IFERROR(MATCH($B365,PP_Grid[Intermediate],0),99999)</f>
        <v/>
      </c>
    </row>
    <row r="366">
      <c r="B366" t="inlineStr">
        <is>
          <t>使用量(kg)</t>
        </is>
      </c>
      <c r="C366">
        <f>SUMIFS(M_BOM[RM_Qty_Per_Batch],M_BOM[Intermediate],$B365,M_BOM[Part Name],$A340)</f>
        <v/>
      </c>
      <c r="D366">
        <f>$C366*D365</f>
        <v/>
      </c>
      <c r="E366">
        <f>$C366*E365</f>
        <v/>
      </c>
      <c r="F366">
        <f>$C366*F365</f>
        <v/>
      </c>
      <c r="G366">
        <f>$C366*G365</f>
        <v/>
      </c>
      <c r="H366">
        <f>$C366*H365</f>
        <v/>
      </c>
      <c r="I366">
        <f>$C366*I365</f>
        <v/>
      </c>
      <c r="J366">
        <f>$C366*J365</f>
        <v/>
      </c>
      <c r="K366">
        <f>$C366*K365</f>
        <v/>
      </c>
      <c r="L366">
        <f>$C366*L365</f>
        <v/>
      </c>
      <c r="M366">
        <f>$C366*M365</f>
        <v/>
      </c>
      <c r="N366">
        <f>$C366*N365</f>
        <v/>
      </c>
      <c r="O366">
        <f>$C366*O365</f>
        <v/>
      </c>
      <c r="P366">
        <f>$C366*P365</f>
        <v/>
      </c>
      <c r="Q366">
        <f>$C366*Q365</f>
        <v/>
      </c>
      <c r="R366">
        <f>$C366*R365</f>
        <v/>
      </c>
      <c r="S366">
        <f>$C366*S365</f>
        <v/>
      </c>
      <c r="T366">
        <f>$C366*T365</f>
        <v/>
      </c>
      <c r="U366">
        <f>$C366*U365</f>
        <v/>
      </c>
      <c r="V366">
        <f>$C366*V365</f>
        <v/>
      </c>
      <c r="W366">
        <f>$C366*W365</f>
        <v/>
      </c>
      <c r="X366">
        <f>$C366*X365</f>
        <v/>
      </c>
      <c r="Y366">
        <f>$C366*Y365</f>
        <v/>
      </c>
      <c r="Z366">
        <f>$C366*Z365</f>
        <v/>
      </c>
      <c r="AA366">
        <f>$C366*AA365</f>
        <v/>
      </c>
      <c r="AB366">
        <f>$C366*AB365</f>
        <v/>
      </c>
      <c r="AC366">
        <f>$C366*AC365</f>
        <v/>
      </c>
      <c r="AD366">
        <f>$C366*AD365</f>
        <v/>
      </c>
      <c r="AE366">
        <f>$C366*AE365</f>
        <v/>
      </c>
      <c r="AF366">
        <f>$C366*AF365</f>
        <v/>
      </c>
      <c r="AG366">
        <f>$C366*AG365</f>
        <v/>
      </c>
      <c r="AH366">
        <f>$C366*AH365</f>
        <v/>
      </c>
      <c r="AI366">
        <f>$C366*AI365</f>
        <v/>
      </c>
      <c r="AJ366">
        <f>$C366*AJ365</f>
        <v/>
      </c>
      <c r="AK366">
        <f>$C366*AK365</f>
        <v/>
      </c>
      <c r="AL366">
        <f>$C366*AL365</f>
        <v/>
      </c>
      <c r="AM366">
        <f>$C366*AM365</f>
        <v/>
      </c>
      <c r="AN366">
        <f>$C366*AN365</f>
        <v/>
      </c>
      <c r="AO366">
        <f>$C366*AO365</f>
        <v/>
      </c>
      <c r="AP366">
        <f>$C366*AP365</f>
        <v/>
      </c>
      <c r="AQ366">
        <f>$C366*AQ365</f>
        <v/>
      </c>
      <c r="AR366">
        <f>$C366*AR365</f>
        <v/>
      </c>
      <c r="AS366">
        <f>$C366*AS365</f>
        <v/>
      </c>
      <c r="AT366">
        <f>$C366*AT365</f>
        <v/>
      </c>
      <c r="AU366">
        <f>$C366*AU365</f>
        <v/>
      </c>
      <c r="AV366">
        <f>$C366*AV365</f>
        <v/>
      </c>
      <c r="AW366">
        <f>$C366*AW365</f>
        <v/>
      </c>
      <c r="AX366">
        <f>$C366*AX365</f>
        <v/>
      </c>
      <c r="AY366">
        <f>$C366*AY365</f>
        <v/>
      </c>
      <c r="AZ366">
        <f>$C366*AZ365</f>
        <v/>
      </c>
      <c r="BA366">
        <f>$C366*BA365</f>
        <v/>
      </c>
      <c r="BB366">
        <f>$C366*BB365</f>
        <v/>
      </c>
      <c r="BC366">
        <f>$C366*BC365</f>
        <v/>
      </c>
      <c r="BD366">
        <f>$C366*BD365</f>
        <v/>
      </c>
      <c r="BE366">
        <f>$C366*BE365</f>
        <v/>
      </c>
      <c r="BF366">
        <f>$C366*BF365</f>
        <v/>
      </c>
      <c r="BG366">
        <f>$C366*BG365</f>
        <v/>
      </c>
      <c r="BH366">
        <f>$C366*BH365</f>
        <v/>
      </c>
      <c r="BI366">
        <f>$C366*BI365</f>
        <v/>
      </c>
      <c r="BJ366">
        <f>$C366*BJ365</f>
        <v/>
      </c>
      <c r="BK366">
        <f>$C366*BK365</f>
        <v/>
      </c>
      <c r="BL366">
        <f>$C366*BL365</f>
        <v/>
      </c>
      <c r="BM366">
        <f>$C366*BM365</f>
        <v/>
      </c>
      <c r="BN366">
        <f>$C366*BN365</f>
        <v/>
      </c>
      <c r="BO366">
        <f>$C366*BO365</f>
        <v/>
      </c>
      <c r="BP366">
        <f>$C366*BP365</f>
        <v/>
      </c>
      <c r="BQ366">
        <f>$C366*BQ365</f>
        <v/>
      </c>
      <c r="BR366">
        <f>$C366*BR365</f>
        <v/>
      </c>
      <c r="BS366">
        <f>$C366*BS365</f>
        <v/>
      </c>
      <c r="BT366">
        <f>$C366*BT365</f>
        <v/>
      </c>
      <c r="BU366">
        <f>$C366*BU365</f>
        <v/>
      </c>
      <c r="BV366">
        <f>$C366*BV365</f>
        <v/>
      </c>
      <c r="BW366">
        <f>$C366*BW365</f>
        <v/>
      </c>
      <c r="BX366">
        <f>$C366*BX365</f>
        <v/>
      </c>
      <c r="BY366">
        <f>$C366*BY365</f>
        <v/>
      </c>
      <c r="BZ366">
        <f>$C366*BZ365</f>
        <v/>
      </c>
      <c r="CA366">
        <f>$C366*CA365</f>
        <v/>
      </c>
      <c r="CB366">
        <f>$C366*CB365</f>
        <v/>
      </c>
      <c r="CC366">
        <f>$C366*CC365</f>
        <v/>
      </c>
      <c r="CD366">
        <f>$C366*CD365</f>
        <v/>
      </c>
      <c r="CE366">
        <f>$C366*CE365</f>
        <v/>
      </c>
      <c r="CF366">
        <f>$C366*CF365</f>
        <v/>
      </c>
      <c r="CG366">
        <f>$C366*CG365</f>
        <v/>
      </c>
      <c r="CH366">
        <f>$C366*CH365</f>
        <v/>
      </c>
      <c r="CI366">
        <f>$C366*CI365</f>
        <v/>
      </c>
      <c r="CJ366">
        <f>$C366*CJ365</f>
        <v/>
      </c>
      <c r="CK366">
        <f>$C366*CK365</f>
        <v/>
      </c>
      <c r="CL366">
        <f>$C366*CL365</f>
        <v/>
      </c>
      <c r="CM366">
        <f>$C366*CM365</f>
        <v/>
      </c>
      <c r="CN366">
        <f>$C366*CN365</f>
        <v/>
      </c>
      <c r="CO366">
        <f>$C366*CO365</f>
        <v/>
      </c>
      <c r="CP366">
        <f>$C366*CP365</f>
        <v/>
      </c>
      <c r="CQ366">
        <f>$C366*CQ365</f>
        <v/>
      </c>
      <c r="CR366">
        <f>$C366*CR365</f>
        <v/>
      </c>
      <c r="CS366">
        <f>$C366*CS365</f>
        <v/>
      </c>
      <c r="CT366">
        <f>$C366*CT365</f>
        <v/>
      </c>
      <c r="CU366">
        <f>$C366*CU365</f>
        <v/>
      </c>
      <c r="CV366">
        <f>$C366*CV365</f>
        <v/>
      </c>
      <c r="CW366">
        <f>$C366*CW365</f>
        <v/>
      </c>
      <c r="CX366">
        <f>$C366*CX365</f>
        <v/>
      </c>
      <c r="CY366">
        <f>$C366*CY365</f>
        <v/>
      </c>
      <c r="CZ366">
        <f>$C366*CZ365</f>
        <v/>
      </c>
      <c r="DA366">
        <f>$C366*DA365</f>
        <v/>
      </c>
      <c r="DB366">
        <f>$C366*DB365</f>
        <v/>
      </c>
      <c r="DC366">
        <f>$C366*DC365</f>
        <v/>
      </c>
    </row>
    <row r="367">
      <c r="B367" t="inlineStr">
        <is>
          <t>TSP-403</t>
        </is>
      </c>
      <c r="C367" t="inlineStr">
        <is>
          <t>No. of batches</t>
        </is>
      </c>
      <c r="D367">
        <f>IFERROR(INDEX(PP_Grid[#Data],$DD367,2),0)</f>
        <v/>
      </c>
      <c r="E367">
        <f>IFERROR(INDEX(PP_Grid[#Data],$DD367,3),0)</f>
        <v/>
      </c>
      <c r="F367">
        <f>IFERROR(INDEX(PP_Grid[#Data],$DD367,4),0)</f>
        <v/>
      </c>
      <c r="G367">
        <f>IFERROR(INDEX(PP_Grid[#Data],$DD367,5),0)</f>
        <v/>
      </c>
      <c r="H367">
        <f>IFERROR(INDEX(PP_Grid[#Data],$DD367,6),0)</f>
        <v/>
      </c>
      <c r="I367">
        <f>IFERROR(INDEX(PP_Grid[#Data],$DD367,7),0)</f>
        <v/>
      </c>
      <c r="J367">
        <f>IFERROR(INDEX(PP_Grid[#Data],$DD367,8),0)</f>
        <v/>
      </c>
      <c r="K367">
        <f>IFERROR(INDEX(PP_Grid[#Data],$DD367,9),0)</f>
        <v/>
      </c>
      <c r="L367">
        <f>IFERROR(INDEX(PP_Grid[#Data],$DD367,10),0)</f>
        <v/>
      </c>
      <c r="M367">
        <f>IFERROR(INDEX(PP_Grid[#Data],$DD367,11),0)</f>
        <v/>
      </c>
      <c r="N367">
        <f>IFERROR(INDEX(PP_Grid[#Data],$DD367,12),0)</f>
        <v/>
      </c>
      <c r="O367">
        <f>IFERROR(INDEX(PP_Grid[#Data],$DD367,13),0)</f>
        <v/>
      </c>
      <c r="P367">
        <f>IFERROR(INDEX(PP_Grid[#Data],$DD367,14),0)</f>
        <v/>
      </c>
      <c r="Q367">
        <f>IFERROR(INDEX(PP_Grid[#Data],$DD367,15),0)</f>
        <v/>
      </c>
      <c r="R367">
        <f>IFERROR(INDEX(PP_Grid[#Data],$DD367,16),0)</f>
        <v/>
      </c>
      <c r="S367">
        <f>IFERROR(INDEX(PP_Grid[#Data],$DD367,17),0)</f>
        <v/>
      </c>
      <c r="T367">
        <f>IFERROR(INDEX(PP_Grid[#Data],$DD367,18),0)</f>
        <v/>
      </c>
      <c r="U367">
        <f>IFERROR(INDEX(PP_Grid[#Data],$DD367,19),0)</f>
        <v/>
      </c>
      <c r="V367">
        <f>IFERROR(INDEX(PP_Grid[#Data],$DD367,20),0)</f>
        <v/>
      </c>
      <c r="W367">
        <f>IFERROR(INDEX(PP_Grid[#Data],$DD367,21),0)</f>
        <v/>
      </c>
      <c r="X367">
        <f>IFERROR(INDEX(PP_Grid[#Data],$DD367,22),0)</f>
        <v/>
      </c>
      <c r="Y367">
        <f>IFERROR(INDEX(PP_Grid[#Data],$DD367,23),0)</f>
        <v/>
      </c>
      <c r="Z367">
        <f>IFERROR(INDEX(PP_Grid[#Data],$DD367,24),0)</f>
        <v/>
      </c>
      <c r="AA367">
        <f>IFERROR(INDEX(PP_Grid[#Data],$DD367,25),0)</f>
        <v/>
      </c>
      <c r="AB367">
        <f>IFERROR(INDEX(PP_Grid[#Data],$DD367,26),0)</f>
        <v/>
      </c>
      <c r="AC367">
        <f>IFERROR(INDEX(PP_Grid[#Data],$DD367,27),0)</f>
        <v/>
      </c>
      <c r="AD367">
        <f>IFERROR(INDEX(PP_Grid[#Data],$DD367,28),0)</f>
        <v/>
      </c>
      <c r="AE367">
        <f>IFERROR(INDEX(PP_Grid[#Data],$DD367,29),0)</f>
        <v/>
      </c>
      <c r="AF367">
        <f>IFERROR(INDEX(PP_Grid[#Data],$DD367,30),0)</f>
        <v/>
      </c>
      <c r="AG367">
        <f>IFERROR(INDEX(PP_Grid[#Data],$DD367,31),0)</f>
        <v/>
      </c>
      <c r="AH367">
        <f>IFERROR(INDEX(PP_Grid[#Data],$DD367,32),0)</f>
        <v/>
      </c>
      <c r="AI367">
        <f>IFERROR(INDEX(PP_Grid[#Data],$DD367,33),0)</f>
        <v/>
      </c>
      <c r="AJ367">
        <f>IFERROR(INDEX(PP_Grid[#Data],$DD367,34),0)</f>
        <v/>
      </c>
      <c r="AK367">
        <f>IFERROR(INDEX(PP_Grid[#Data],$DD367,35),0)</f>
        <v/>
      </c>
      <c r="AL367">
        <f>IFERROR(INDEX(PP_Grid[#Data],$DD367,36),0)</f>
        <v/>
      </c>
      <c r="AM367">
        <f>IFERROR(INDEX(PP_Grid[#Data],$DD367,37),0)</f>
        <v/>
      </c>
      <c r="AN367">
        <f>IFERROR(INDEX(PP_Grid[#Data],$DD367,38),0)</f>
        <v/>
      </c>
      <c r="AO367">
        <f>IFERROR(INDEX(PP_Grid[#Data],$DD367,39),0)</f>
        <v/>
      </c>
      <c r="AP367">
        <f>IFERROR(INDEX(PP_Grid[#Data],$DD367,40),0)</f>
        <v/>
      </c>
      <c r="AQ367">
        <f>IFERROR(INDEX(PP_Grid[#Data],$DD367,41),0)</f>
        <v/>
      </c>
      <c r="AR367">
        <f>IFERROR(INDEX(PP_Grid[#Data],$DD367,42),0)</f>
        <v/>
      </c>
      <c r="AS367">
        <f>IFERROR(INDEX(PP_Grid[#Data],$DD367,43),0)</f>
        <v/>
      </c>
      <c r="AT367">
        <f>IFERROR(INDEX(PP_Grid[#Data],$DD367,44),0)</f>
        <v/>
      </c>
      <c r="AU367">
        <f>IFERROR(INDEX(PP_Grid[#Data],$DD367,45),0)</f>
        <v/>
      </c>
      <c r="AV367">
        <f>IFERROR(INDEX(PP_Grid[#Data],$DD367,46),0)</f>
        <v/>
      </c>
      <c r="AW367">
        <f>IFERROR(INDEX(PP_Grid[#Data],$DD367,47),0)</f>
        <v/>
      </c>
      <c r="AX367">
        <f>IFERROR(INDEX(PP_Grid[#Data],$DD367,48),0)</f>
        <v/>
      </c>
      <c r="AY367">
        <f>IFERROR(INDEX(PP_Grid[#Data],$DD367,49),0)</f>
        <v/>
      </c>
      <c r="AZ367">
        <f>IFERROR(INDEX(PP_Grid[#Data],$DD367,50),0)</f>
        <v/>
      </c>
      <c r="BA367">
        <f>IFERROR(INDEX(PP_Grid[#Data],$DD367,51),0)</f>
        <v/>
      </c>
      <c r="BB367">
        <f>IFERROR(INDEX(PP_Grid[#Data],$DD367,52),0)</f>
        <v/>
      </c>
      <c r="BC367">
        <f>IFERROR(INDEX(PP_Grid[#Data],$DD367,53),0)</f>
        <v/>
      </c>
      <c r="BD367">
        <f>IFERROR(INDEX(PP_Grid[#Data],$DD367,54),0)</f>
        <v/>
      </c>
      <c r="BE367">
        <f>IFERROR(INDEX(PP_Grid[#Data],$DD367,55),0)</f>
        <v/>
      </c>
      <c r="BF367">
        <f>IFERROR(INDEX(PP_Grid[#Data],$DD367,56),0)</f>
        <v/>
      </c>
      <c r="BG367">
        <f>IFERROR(INDEX(PP_Grid[#Data],$DD367,57),0)</f>
        <v/>
      </c>
      <c r="BH367">
        <f>IFERROR(INDEX(PP_Grid[#Data],$DD367,58),0)</f>
        <v/>
      </c>
      <c r="BI367">
        <f>IFERROR(INDEX(PP_Grid[#Data],$DD367,59),0)</f>
        <v/>
      </c>
      <c r="BJ367">
        <f>IFERROR(INDEX(PP_Grid[#Data],$DD367,60),0)</f>
        <v/>
      </c>
      <c r="BK367">
        <f>IFERROR(INDEX(PP_Grid[#Data],$DD367,61),0)</f>
        <v/>
      </c>
      <c r="BL367">
        <f>IFERROR(INDEX(PP_Grid[#Data],$DD367,62),0)</f>
        <v/>
      </c>
      <c r="BM367">
        <f>IFERROR(INDEX(PP_Grid[#Data],$DD367,63),0)</f>
        <v/>
      </c>
      <c r="BN367">
        <f>IFERROR(INDEX(PP_Grid[#Data],$DD367,64),0)</f>
        <v/>
      </c>
      <c r="BO367">
        <f>IFERROR(INDEX(PP_Grid[#Data],$DD367,65),0)</f>
        <v/>
      </c>
      <c r="BP367">
        <f>IFERROR(INDEX(PP_Grid[#Data],$DD367,66),0)</f>
        <v/>
      </c>
      <c r="BQ367">
        <f>IFERROR(INDEX(PP_Grid[#Data],$DD367,67),0)</f>
        <v/>
      </c>
      <c r="BR367">
        <f>IFERROR(INDEX(PP_Grid[#Data],$DD367,68),0)</f>
        <v/>
      </c>
      <c r="BS367">
        <f>IFERROR(INDEX(PP_Grid[#Data],$DD367,69),0)</f>
        <v/>
      </c>
      <c r="BT367">
        <f>IFERROR(INDEX(PP_Grid[#Data],$DD367,70),0)</f>
        <v/>
      </c>
      <c r="BU367">
        <f>IFERROR(INDEX(PP_Grid[#Data],$DD367,71),0)</f>
        <v/>
      </c>
      <c r="BV367">
        <f>IFERROR(INDEX(PP_Grid[#Data],$DD367,72),0)</f>
        <v/>
      </c>
      <c r="BW367">
        <f>IFERROR(INDEX(PP_Grid[#Data],$DD367,73),0)</f>
        <v/>
      </c>
      <c r="BX367">
        <f>IFERROR(INDEX(PP_Grid[#Data],$DD367,74),0)</f>
        <v/>
      </c>
      <c r="BY367">
        <f>IFERROR(INDEX(PP_Grid[#Data],$DD367,75),0)</f>
        <v/>
      </c>
      <c r="BZ367">
        <f>IFERROR(INDEX(PP_Grid[#Data],$DD367,76),0)</f>
        <v/>
      </c>
      <c r="CA367">
        <f>IFERROR(INDEX(PP_Grid[#Data],$DD367,77),0)</f>
        <v/>
      </c>
      <c r="CB367">
        <f>IFERROR(INDEX(PP_Grid[#Data],$DD367,78),0)</f>
        <v/>
      </c>
      <c r="CC367">
        <f>IFERROR(INDEX(PP_Grid[#Data],$DD367,79),0)</f>
        <v/>
      </c>
      <c r="CD367">
        <f>IFERROR(INDEX(PP_Grid[#Data],$DD367,80),0)</f>
        <v/>
      </c>
      <c r="CE367">
        <f>IFERROR(INDEX(PP_Grid[#Data],$DD367,81),0)</f>
        <v/>
      </c>
      <c r="CF367">
        <f>IFERROR(INDEX(PP_Grid[#Data],$DD367,82),0)</f>
        <v/>
      </c>
      <c r="CG367">
        <f>IFERROR(INDEX(PP_Grid[#Data],$DD367,83),0)</f>
        <v/>
      </c>
      <c r="CH367">
        <f>IFERROR(INDEX(PP_Grid[#Data],$DD367,84),0)</f>
        <v/>
      </c>
      <c r="CI367">
        <f>IFERROR(INDEX(PP_Grid[#Data],$DD367,85),0)</f>
        <v/>
      </c>
      <c r="CJ367">
        <f>IFERROR(INDEX(PP_Grid[#Data],$DD367,86),0)</f>
        <v/>
      </c>
      <c r="CK367">
        <f>IFERROR(INDEX(PP_Grid[#Data],$DD367,87),0)</f>
        <v/>
      </c>
      <c r="CL367">
        <f>IFERROR(INDEX(PP_Grid[#Data],$DD367,88),0)</f>
        <v/>
      </c>
      <c r="CM367">
        <f>IFERROR(INDEX(PP_Grid[#Data],$DD367,89),0)</f>
        <v/>
      </c>
      <c r="CN367">
        <f>IFERROR(INDEX(PP_Grid[#Data],$DD367,90),0)</f>
        <v/>
      </c>
      <c r="CO367">
        <f>IFERROR(INDEX(PP_Grid[#Data],$DD367,91),0)</f>
        <v/>
      </c>
      <c r="CP367">
        <f>IFERROR(INDEX(PP_Grid[#Data],$DD367,92),0)</f>
        <v/>
      </c>
      <c r="CQ367">
        <f>IFERROR(INDEX(PP_Grid[#Data],$DD367,93),0)</f>
        <v/>
      </c>
      <c r="CR367">
        <f>IFERROR(INDEX(PP_Grid[#Data],$DD367,94),0)</f>
        <v/>
      </c>
      <c r="CS367">
        <f>IFERROR(INDEX(PP_Grid[#Data],$DD367,95),0)</f>
        <v/>
      </c>
      <c r="CT367">
        <f>IFERROR(INDEX(PP_Grid[#Data],$DD367,96),0)</f>
        <v/>
      </c>
      <c r="CU367">
        <f>IFERROR(INDEX(PP_Grid[#Data],$DD367,97),0)</f>
        <v/>
      </c>
      <c r="CV367">
        <f>IFERROR(INDEX(PP_Grid[#Data],$DD367,98),0)</f>
        <v/>
      </c>
      <c r="CW367">
        <f>IFERROR(INDEX(PP_Grid[#Data],$DD367,99),0)</f>
        <v/>
      </c>
      <c r="CX367">
        <f>IFERROR(INDEX(PP_Grid[#Data],$DD367,100),0)</f>
        <v/>
      </c>
      <c r="CY367">
        <f>IFERROR(INDEX(PP_Grid[#Data],$DD367,101),0)</f>
        <v/>
      </c>
      <c r="CZ367">
        <f>IFERROR(INDEX(PP_Grid[#Data],$DD367,102),0)</f>
        <v/>
      </c>
      <c r="DA367">
        <f>IFERROR(INDEX(PP_Grid[#Data],$DD367,103),0)</f>
        <v/>
      </c>
      <c r="DB367">
        <f>IFERROR(INDEX(PP_Grid[#Data],$DD367,104),0)</f>
        <v/>
      </c>
      <c r="DC367">
        <f>IFERROR(INDEX(PP_Grid[#Data],$DD367,105),0)</f>
        <v/>
      </c>
      <c r="DD367" s="7">
        <f>IFERROR(MATCH($B367,PP_Grid[Intermediate],0),99999)</f>
        <v/>
      </c>
    </row>
    <row r="368">
      <c r="B368" t="inlineStr">
        <is>
          <t>使用量(kg)</t>
        </is>
      </c>
      <c r="C368">
        <f>SUMIFS(M_BOM[RM_Qty_Per_Batch],M_BOM[Intermediate],$B367,M_BOM[Part Name],$A340)</f>
        <v/>
      </c>
      <c r="D368">
        <f>$C368*D367</f>
        <v/>
      </c>
      <c r="E368">
        <f>$C368*E367</f>
        <v/>
      </c>
      <c r="F368">
        <f>$C368*F367</f>
        <v/>
      </c>
      <c r="G368">
        <f>$C368*G367</f>
        <v/>
      </c>
      <c r="H368">
        <f>$C368*H367</f>
        <v/>
      </c>
      <c r="I368">
        <f>$C368*I367</f>
        <v/>
      </c>
      <c r="J368">
        <f>$C368*J367</f>
        <v/>
      </c>
      <c r="K368">
        <f>$C368*K367</f>
        <v/>
      </c>
      <c r="L368">
        <f>$C368*L367</f>
        <v/>
      </c>
      <c r="M368">
        <f>$C368*M367</f>
        <v/>
      </c>
      <c r="N368">
        <f>$C368*N367</f>
        <v/>
      </c>
      <c r="O368">
        <f>$C368*O367</f>
        <v/>
      </c>
      <c r="P368">
        <f>$C368*P367</f>
        <v/>
      </c>
      <c r="Q368">
        <f>$C368*Q367</f>
        <v/>
      </c>
      <c r="R368">
        <f>$C368*R367</f>
        <v/>
      </c>
      <c r="S368">
        <f>$C368*S367</f>
        <v/>
      </c>
      <c r="T368">
        <f>$C368*T367</f>
        <v/>
      </c>
      <c r="U368">
        <f>$C368*U367</f>
        <v/>
      </c>
      <c r="V368">
        <f>$C368*V367</f>
        <v/>
      </c>
      <c r="W368">
        <f>$C368*W367</f>
        <v/>
      </c>
      <c r="X368">
        <f>$C368*X367</f>
        <v/>
      </c>
      <c r="Y368">
        <f>$C368*Y367</f>
        <v/>
      </c>
      <c r="Z368">
        <f>$C368*Z367</f>
        <v/>
      </c>
      <c r="AA368">
        <f>$C368*AA367</f>
        <v/>
      </c>
      <c r="AB368">
        <f>$C368*AB367</f>
        <v/>
      </c>
      <c r="AC368">
        <f>$C368*AC367</f>
        <v/>
      </c>
      <c r="AD368">
        <f>$C368*AD367</f>
        <v/>
      </c>
      <c r="AE368">
        <f>$C368*AE367</f>
        <v/>
      </c>
      <c r="AF368">
        <f>$C368*AF367</f>
        <v/>
      </c>
      <c r="AG368">
        <f>$C368*AG367</f>
        <v/>
      </c>
      <c r="AH368">
        <f>$C368*AH367</f>
        <v/>
      </c>
      <c r="AI368">
        <f>$C368*AI367</f>
        <v/>
      </c>
      <c r="AJ368">
        <f>$C368*AJ367</f>
        <v/>
      </c>
      <c r="AK368">
        <f>$C368*AK367</f>
        <v/>
      </c>
      <c r="AL368">
        <f>$C368*AL367</f>
        <v/>
      </c>
      <c r="AM368">
        <f>$C368*AM367</f>
        <v/>
      </c>
      <c r="AN368">
        <f>$C368*AN367</f>
        <v/>
      </c>
      <c r="AO368">
        <f>$C368*AO367</f>
        <v/>
      </c>
      <c r="AP368">
        <f>$C368*AP367</f>
        <v/>
      </c>
      <c r="AQ368">
        <f>$C368*AQ367</f>
        <v/>
      </c>
      <c r="AR368">
        <f>$C368*AR367</f>
        <v/>
      </c>
      <c r="AS368">
        <f>$C368*AS367</f>
        <v/>
      </c>
      <c r="AT368">
        <f>$C368*AT367</f>
        <v/>
      </c>
      <c r="AU368">
        <f>$C368*AU367</f>
        <v/>
      </c>
      <c r="AV368">
        <f>$C368*AV367</f>
        <v/>
      </c>
      <c r="AW368">
        <f>$C368*AW367</f>
        <v/>
      </c>
      <c r="AX368">
        <f>$C368*AX367</f>
        <v/>
      </c>
      <c r="AY368">
        <f>$C368*AY367</f>
        <v/>
      </c>
      <c r="AZ368">
        <f>$C368*AZ367</f>
        <v/>
      </c>
      <c r="BA368">
        <f>$C368*BA367</f>
        <v/>
      </c>
      <c r="BB368">
        <f>$C368*BB367</f>
        <v/>
      </c>
      <c r="BC368">
        <f>$C368*BC367</f>
        <v/>
      </c>
      <c r="BD368">
        <f>$C368*BD367</f>
        <v/>
      </c>
      <c r="BE368">
        <f>$C368*BE367</f>
        <v/>
      </c>
      <c r="BF368">
        <f>$C368*BF367</f>
        <v/>
      </c>
      <c r="BG368">
        <f>$C368*BG367</f>
        <v/>
      </c>
      <c r="BH368">
        <f>$C368*BH367</f>
        <v/>
      </c>
      <c r="BI368">
        <f>$C368*BI367</f>
        <v/>
      </c>
      <c r="BJ368">
        <f>$C368*BJ367</f>
        <v/>
      </c>
      <c r="BK368">
        <f>$C368*BK367</f>
        <v/>
      </c>
      <c r="BL368">
        <f>$C368*BL367</f>
        <v/>
      </c>
      <c r="BM368">
        <f>$C368*BM367</f>
        <v/>
      </c>
      <c r="BN368">
        <f>$C368*BN367</f>
        <v/>
      </c>
      <c r="BO368">
        <f>$C368*BO367</f>
        <v/>
      </c>
      <c r="BP368">
        <f>$C368*BP367</f>
        <v/>
      </c>
      <c r="BQ368">
        <f>$C368*BQ367</f>
        <v/>
      </c>
      <c r="BR368">
        <f>$C368*BR367</f>
        <v/>
      </c>
      <c r="BS368">
        <f>$C368*BS367</f>
        <v/>
      </c>
      <c r="BT368">
        <f>$C368*BT367</f>
        <v/>
      </c>
      <c r="BU368">
        <f>$C368*BU367</f>
        <v/>
      </c>
      <c r="BV368">
        <f>$C368*BV367</f>
        <v/>
      </c>
      <c r="BW368">
        <f>$C368*BW367</f>
        <v/>
      </c>
      <c r="BX368">
        <f>$C368*BX367</f>
        <v/>
      </c>
      <c r="BY368">
        <f>$C368*BY367</f>
        <v/>
      </c>
      <c r="BZ368">
        <f>$C368*BZ367</f>
        <v/>
      </c>
      <c r="CA368">
        <f>$C368*CA367</f>
        <v/>
      </c>
      <c r="CB368">
        <f>$C368*CB367</f>
        <v/>
      </c>
      <c r="CC368">
        <f>$C368*CC367</f>
        <v/>
      </c>
      <c r="CD368">
        <f>$C368*CD367</f>
        <v/>
      </c>
      <c r="CE368">
        <f>$C368*CE367</f>
        <v/>
      </c>
      <c r="CF368">
        <f>$C368*CF367</f>
        <v/>
      </c>
      <c r="CG368">
        <f>$C368*CG367</f>
        <v/>
      </c>
      <c r="CH368">
        <f>$C368*CH367</f>
        <v/>
      </c>
      <c r="CI368">
        <f>$C368*CI367</f>
        <v/>
      </c>
      <c r="CJ368">
        <f>$C368*CJ367</f>
        <v/>
      </c>
      <c r="CK368">
        <f>$C368*CK367</f>
        <v/>
      </c>
      <c r="CL368">
        <f>$C368*CL367</f>
        <v/>
      </c>
      <c r="CM368">
        <f>$C368*CM367</f>
        <v/>
      </c>
      <c r="CN368">
        <f>$C368*CN367</f>
        <v/>
      </c>
      <c r="CO368">
        <f>$C368*CO367</f>
        <v/>
      </c>
      <c r="CP368">
        <f>$C368*CP367</f>
        <v/>
      </c>
      <c r="CQ368">
        <f>$C368*CQ367</f>
        <v/>
      </c>
      <c r="CR368">
        <f>$C368*CR367</f>
        <v/>
      </c>
      <c r="CS368">
        <f>$C368*CS367</f>
        <v/>
      </c>
      <c r="CT368">
        <f>$C368*CT367</f>
        <v/>
      </c>
      <c r="CU368">
        <f>$C368*CU367</f>
        <v/>
      </c>
      <c r="CV368">
        <f>$C368*CV367</f>
        <v/>
      </c>
      <c r="CW368">
        <f>$C368*CW367</f>
        <v/>
      </c>
      <c r="CX368">
        <f>$C368*CX367</f>
        <v/>
      </c>
      <c r="CY368">
        <f>$C368*CY367</f>
        <v/>
      </c>
      <c r="CZ368">
        <f>$C368*CZ367</f>
        <v/>
      </c>
      <c r="DA368">
        <f>$C368*DA367</f>
        <v/>
      </c>
      <c r="DB368">
        <f>$C368*DB367</f>
        <v/>
      </c>
      <c r="DC368">
        <f>$C368*DC367</f>
        <v/>
      </c>
    </row>
    <row r="369">
      <c r="B369" t="inlineStr">
        <is>
          <t>TSP-404</t>
        </is>
      </c>
      <c r="C369" t="inlineStr">
        <is>
          <t>No. of batches</t>
        </is>
      </c>
      <c r="D369">
        <f>IFERROR(INDEX(PP_Grid[#Data],$DD369,2),0)</f>
        <v/>
      </c>
      <c r="E369">
        <f>IFERROR(INDEX(PP_Grid[#Data],$DD369,3),0)</f>
        <v/>
      </c>
      <c r="F369">
        <f>IFERROR(INDEX(PP_Grid[#Data],$DD369,4),0)</f>
        <v/>
      </c>
      <c r="G369">
        <f>IFERROR(INDEX(PP_Grid[#Data],$DD369,5),0)</f>
        <v/>
      </c>
      <c r="H369">
        <f>IFERROR(INDEX(PP_Grid[#Data],$DD369,6),0)</f>
        <v/>
      </c>
      <c r="I369">
        <f>IFERROR(INDEX(PP_Grid[#Data],$DD369,7),0)</f>
        <v/>
      </c>
      <c r="J369">
        <f>IFERROR(INDEX(PP_Grid[#Data],$DD369,8),0)</f>
        <v/>
      </c>
      <c r="K369">
        <f>IFERROR(INDEX(PP_Grid[#Data],$DD369,9),0)</f>
        <v/>
      </c>
      <c r="L369">
        <f>IFERROR(INDEX(PP_Grid[#Data],$DD369,10),0)</f>
        <v/>
      </c>
      <c r="M369">
        <f>IFERROR(INDEX(PP_Grid[#Data],$DD369,11),0)</f>
        <v/>
      </c>
      <c r="N369">
        <f>IFERROR(INDEX(PP_Grid[#Data],$DD369,12),0)</f>
        <v/>
      </c>
      <c r="O369">
        <f>IFERROR(INDEX(PP_Grid[#Data],$DD369,13),0)</f>
        <v/>
      </c>
      <c r="P369">
        <f>IFERROR(INDEX(PP_Grid[#Data],$DD369,14),0)</f>
        <v/>
      </c>
      <c r="Q369">
        <f>IFERROR(INDEX(PP_Grid[#Data],$DD369,15),0)</f>
        <v/>
      </c>
      <c r="R369">
        <f>IFERROR(INDEX(PP_Grid[#Data],$DD369,16),0)</f>
        <v/>
      </c>
      <c r="S369">
        <f>IFERROR(INDEX(PP_Grid[#Data],$DD369,17),0)</f>
        <v/>
      </c>
      <c r="T369">
        <f>IFERROR(INDEX(PP_Grid[#Data],$DD369,18),0)</f>
        <v/>
      </c>
      <c r="U369">
        <f>IFERROR(INDEX(PP_Grid[#Data],$DD369,19),0)</f>
        <v/>
      </c>
      <c r="V369">
        <f>IFERROR(INDEX(PP_Grid[#Data],$DD369,20),0)</f>
        <v/>
      </c>
      <c r="W369">
        <f>IFERROR(INDEX(PP_Grid[#Data],$DD369,21),0)</f>
        <v/>
      </c>
      <c r="X369">
        <f>IFERROR(INDEX(PP_Grid[#Data],$DD369,22),0)</f>
        <v/>
      </c>
      <c r="Y369">
        <f>IFERROR(INDEX(PP_Grid[#Data],$DD369,23),0)</f>
        <v/>
      </c>
      <c r="Z369">
        <f>IFERROR(INDEX(PP_Grid[#Data],$DD369,24),0)</f>
        <v/>
      </c>
      <c r="AA369">
        <f>IFERROR(INDEX(PP_Grid[#Data],$DD369,25),0)</f>
        <v/>
      </c>
      <c r="AB369">
        <f>IFERROR(INDEX(PP_Grid[#Data],$DD369,26),0)</f>
        <v/>
      </c>
      <c r="AC369">
        <f>IFERROR(INDEX(PP_Grid[#Data],$DD369,27),0)</f>
        <v/>
      </c>
      <c r="AD369">
        <f>IFERROR(INDEX(PP_Grid[#Data],$DD369,28),0)</f>
        <v/>
      </c>
      <c r="AE369">
        <f>IFERROR(INDEX(PP_Grid[#Data],$DD369,29),0)</f>
        <v/>
      </c>
      <c r="AF369">
        <f>IFERROR(INDEX(PP_Grid[#Data],$DD369,30),0)</f>
        <v/>
      </c>
      <c r="AG369">
        <f>IFERROR(INDEX(PP_Grid[#Data],$DD369,31),0)</f>
        <v/>
      </c>
      <c r="AH369">
        <f>IFERROR(INDEX(PP_Grid[#Data],$DD369,32),0)</f>
        <v/>
      </c>
      <c r="AI369">
        <f>IFERROR(INDEX(PP_Grid[#Data],$DD369,33),0)</f>
        <v/>
      </c>
      <c r="AJ369">
        <f>IFERROR(INDEX(PP_Grid[#Data],$DD369,34),0)</f>
        <v/>
      </c>
      <c r="AK369">
        <f>IFERROR(INDEX(PP_Grid[#Data],$DD369,35),0)</f>
        <v/>
      </c>
      <c r="AL369">
        <f>IFERROR(INDEX(PP_Grid[#Data],$DD369,36),0)</f>
        <v/>
      </c>
      <c r="AM369">
        <f>IFERROR(INDEX(PP_Grid[#Data],$DD369,37),0)</f>
        <v/>
      </c>
      <c r="AN369">
        <f>IFERROR(INDEX(PP_Grid[#Data],$DD369,38),0)</f>
        <v/>
      </c>
      <c r="AO369">
        <f>IFERROR(INDEX(PP_Grid[#Data],$DD369,39),0)</f>
        <v/>
      </c>
      <c r="AP369">
        <f>IFERROR(INDEX(PP_Grid[#Data],$DD369,40),0)</f>
        <v/>
      </c>
      <c r="AQ369">
        <f>IFERROR(INDEX(PP_Grid[#Data],$DD369,41),0)</f>
        <v/>
      </c>
      <c r="AR369">
        <f>IFERROR(INDEX(PP_Grid[#Data],$DD369,42),0)</f>
        <v/>
      </c>
      <c r="AS369">
        <f>IFERROR(INDEX(PP_Grid[#Data],$DD369,43),0)</f>
        <v/>
      </c>
      <c r="AT369">
        <f>IFERROR(INDEX(PP_Grid[#Data],$DD369,44),0)</f>
        <v/>
      </c>
      <c r="AU369">
        <f>IFERROR(INDEX(PP_Grid[#Data],$DD369,45),0)</f>
        <v/>
      </c>
      <c r="AV369">
        <f>IFERROR(INDEX(PP_Grid[#Data],$DD369,46),0)</f>
        <v/>
      </c>
      <c r="AW369">
        <f>IFERROR(INDEX(PP_Grid[#Data],$DD369,47),0)</f>
        <v/>
      </c>
      <c r="AX369">
        <f>IFERROR(INDEX(PP_Grid[#Data],$DD369,48),0)</f>
        <v/>
      </c>
      <c r="AY369">
        <f>IFERROR(INDEX(PP_Grid[#Data],$DD369,49),0)</f>
        <v/>
      </c>
      <c r="AZ369">
        <f>IFERROR(INDEX(PP_Grid[#Data],$DD369,50),0)</f>
        <v/>
      </c>
      <c r="BA369">
        <f>IFERROR(INDEX(PP_Grid[#Data],$DD369,51),0)</f>
        <v/>
      </c>
      <c r="BB369">
        <f>IFERROR(INDEX(PP_Grid[#Data],$DD369,52),0)</f>
        <v/>
      </c>
      <c r="BC369">
        <f>IFERROR(INDEX(PP_Grid[#Data],$DD369,53),0)</f>
        <v/>
      </c>
      <c r="BD369">
        <f>IFERROR(INDEX(PP_Grid[#Data],$DD369,54),0)</f>
        <v/>
      </c>
      <c r="BE369">
        <f>IFERROR(INDEX(PP_Grid[#Data],$DD369,55),0)</f>
        <v/>
      </c>
      <c r="BF369">
        <f>IFERROR(INDEX(PP_Grid[#Data],$DD369,56),0)</f>
        <v/>
      </c>
      <c r="BG369">
        <f>IFERROR(INDEX(PP_Grid[#Data],$DD369,57),0)</f>
        <v/>
      </c>
      <c r="BH369">
        <f>IFERROR(INDEX(PP_Grid[#Data],$DD369,58),0)</f>
        <v/>
      </c>
      <c r="BI369">
        <f>IFERROR(INDEX(PP_Grid[#Data],$DD369,59),0)</f>
        <v/>
      </c>
      <c r="BJ369">
        <f>IFERROR(INDEX(PP_Grid[#Data],$DD369,60),0)</f>
        <v/>
      </c>
      <c r="BK369">
        <f>IFERROR(INDEX(PP_Grid[#Data],$DD369,61),0)</f>
        <v/>
      </c>
      <c r="BL369">
        <f>IFERROR(INDEX(PP_Grid[#Data],$DD369,62),0)</f>
        <v/>
      </c>
      <c r="BM369">
        <f>IFERROR(INDEX(PP_Grid[#Data],$DD369,63),0)</f>
        <v/>
      </c>
      <c r="BN369">
        <f>IFERROR(INDEX(PP_Grid[#Data],$DD369,64),0)</f>
        <v/>
      </c>
      <c r="BO369">
        <f>IFERROR(INDEX(PP_Grid[#Data],$DD369,65),0)</f>
        <v/>
      </c>
      <c r="BP369">
        <f>IFERROR(INDEX(PP_Grid[#Data],$DD369,66),0)</f>
        <v/>
      </c>
      <c r="BQ369">
        <f>IFERROR(INDEX(PP_Grid[#Data],$DD369,67),0)</f>
        <v/>
      </c>
      <c r="BR369">
        <f>IFERROR(INDEX(PP_Grid[#Data],$DD369,68),0)</f>
        <v/>
      </c>
      <c r="BS369">
        <f>IFERROR(INDEX(PP_Grid[#Data],$DD369,69),0)</f>
        <v/>
      </c>
      <c r="BT369">
        <f>IFERROR(INDEX(PP_Grid[#Data],$DD369,70),0)</f>
        <v/>
      </c>
      <c r="BU369">
        <f>IFERROR(INDEX(PP_Grid[#Data],$DD369,71),0)</f>
        <v/>
      </c>
      <c r="BV369">
        <f>IFERROR(INDEX(PP_Grid[#Data],$DD369,72),0)</f>
        <v/>
      </c>
      <c r="BW369">
        <f>IFERROR(INDEX(PP_Grid[#Data],$DD369,73),0)</f>
        <v/>
      </c>
      <c r="BX369">
        <f>IFERROR(INDEX(PP_Grid[#Data],$DD369,74),0)</f>
        <v/>
      </c>
      <c r="BY369">
        <f>IFERROR(INDEX(PP_Grid[#Data],$DD369,75),0)</f>
        <v/>
      </c>
      <c r="BZ369">
        <f>IFERROR(INDEX(PP_Grid[#Data],$DD369,76),0)</f>
        <v/>
      </c>
      <c r="CA369">
        <f>IFERROR(INDEX(PP_Grid[#Data],$DD369,77),0)</f>
        <v/>
      </c>
      <c r="CB369">
        <f>IFERROR(INDEX(PP_Grid[#Data],$DD369,78),0)</f>
        <v/>
      </c>
      <c r="CC369">
        <f>IFERROR(INDEX(PP_Grid[#Data],$DD369,79),0)</f>
        <v/>
      </c>
      <c r="CD369">
        <f>IFERROR(INDEX(PP_Grid[#Data],$DD369,80),0)</f>
        <v/>
      </c>
      <c r="CE369">
        <f>IFERROR(INDEX(PP_Grid[#Data],$DD369,81),0)</f>
        <v/>
      </c>
      <c r="CF369">
        <f>IFERROR(INDEX(PP_Grid[#Data],$DD369,82),0)</f>
        <v/>
      </c>
      <c r="CG369">
        <f>IFERROR(INDEX(PP_Grid[#Data],$DD369,83),0)</f>
        <v/>
      </c>
      <c r="CH369">
        <f>IFERROR(INDEX(PP_Grid[#Data],$DD369,84),0)</f>
        <v/>
      </c>
      <c r="CI369">
        <f>IFERROR(INDEX(PP_Grid[#Data],$DD369,85),0)</f>
        <v/>
      </c>
      <c r="CJ369">
        <f>IFERROR(INDEX(PP_Grid[#Data],$DD369,86),0)</f>
        <v/>
      </c>
      <c r="CK369">
        <f>IFERROR(INDEX(PP_Grid[#Data],$DD369,87),0)</f>
        <v/>
      </c>
      <c r="CL369">
        <f>IFERROR(INDEX(PP_Grid[#Data],$DD369,88),0)</f>
        <v/>
      </c>
      <c r="CM369">
        <f>IFERROR(INDEX(PP_Grid[#Data],$DD369,89),0)</f>
        <v/>
      </c>
      <c r="CN369">
        <f>IFERROR(INDEX(PP_Grid[#Data],$DD369,90),0)</f>
        <v/>
      </c>
      <c r="CO369">
        <f>IFERROR(INDEX(PP_Grid[#Data],$DD369,91),0)</f>
        <v/>
      </c>
      <c r="CP369">
        <f>IFERROR(INDEX(PP_Grid[#Data],$DD369,92),0)</f>
        <v/>
      </c>
      <c r="CQ369">
        <f>IFERROR(INDEX(PP_Grid[#Data],$DD369,93),0)</f>
        <v/>
      </c>
      <c r="CR369">
        <f>IFERROR(INDEX(PP_Grid[#Data],$DD369,94),0)</f>
        <v/>
      </c>
      <c r="CS369">
        <f>IFERROR(INDEX(PP_Grid[#Data],$DD369,95),0)</f>
        <v/>
      </c>
      <c r="CT369">
        <f>IFERROR(INDEX(PP_Grid[#Data],$DD369,96),0)</f>
        <v/>
      </c>
      <c r="CU369">
        <f>IFERROR(INDEX(PP_Grid[#Data],$DD369,97),0)</f>
        <v/>
      </c>
      <c r="CV369">
        <f>IFERROR(INDEX(PP_Grid[#Data],$DD369,98),0)</f>
        <v/>
      </c>
      <c r="CW369">
        <f>IFERROR(INDEX(PP_Grid[#Data],$DD369,99),0)</f>
        <v/>
      </c>
      <c r="CX369">
        <f>IFERROR(INDEX(PP_Grid[#Data],$DD369,100),0)</f>
        <v/>
      </c>
      <c r="CY369">
        <f>IFERROR(INDEX(PP_Grid[#Data],$DD369,101),0)</f>
        <v/>
      </c>
      <c r="CZ369">
        <f>IFERROR(INDEX(PP_Grid[#Data],$DD369,102),0)</f>
        <v/>
      </c>
      <c r="DA369">
        <f>IFERROR(INDEX(PP_Grid[#Data],$DD369,103),0)</f>
        <v/>
      </c>
      <c r="DB369">
        <f>IFERROR(INDEX(PP_Grid[#Data],$DD369,104),0)</f>
        <v/>
      </c>
      <c r="DC369">
        <f>IFERROR(INDEX(PP_Grid[#Data],$DD369,105),0)</f>
        <v/>
      </c>
      <c r="DD369" s="7">
        <f>IFERROR(MATCH($B369,PP_Grid[Intermediate],0),99999)</f>
        <v/>
      </c>
    </row>
    <row r="370">
      <c r="B370" t="inlineStr">
        <is>
          <t>使用量(kg)</t>
        </is>
      </c>
      <c r="C370">
        <f>SUMIFS(M_BOM[RM_Qty_Per_Batch],M_BOM[Intermediate],$B369,M_BOM[Part Name],$A340)</f>
        <v/>
      </c>
      <c r="D370">
        <f>$C370*D369</f>
        <v/>
      </c>
      <c r="E370">
        <f>$C370*E369</f>
        <v/>
      </c>
      <c r="F370">
        <f>$C370*F369</f>
        <v/>
      </c>
      <c r="G370">
        <f>$C370*G369</f>
        <v/>
      </c>
      <c r="H370">
        <f>$C370*H369</f>
        <v/>
      </c>
      <c r="I370">
        <f>$C370*I369</f>
        <v/>
      </c>
      <c r="J370">
        <f>$C370*J369</f>
        <v/>
      </c>
      <c r="K370">
        <f>$C370*K369</f>
        <v/>
      </c>
      <c r="L370">
        <f>$C370*L369</f>
        <v/>
      </c>
      <c r="M370">
        <f>$C370*M369</f>
        <v/>
      </c>
      <c r="N370">
        <f>$C370*N369</f>
        <v/>
      </c>
      <c r="O370">
        <f>$C370*O369</f>
        <v/>
      </c>
      <c r="P370">
        <f>$C370*P369</f>
        <v/>
      </c>
      <c r="Q370">
        <f>$C370*Q369</f>
        <v/>
      </c>
      <c r="R370">
        <f>$C370*R369</f>
        <v/>
      </c>
      <c r="S370">
        <f>$C370*S369</f>
        <v/>
      </c>
      <c r="T370">
        <f>$C370*T369</f>
        <v/>
      </c>
      <c r="U370">
        <f>$C370*U369</f>
        <v/>
      </c>
      <c r="V370">
        <f>$C370*V369</f>
        <v/>
      </c>
      <c r="W370">
        <f>$C370*W369</f>
        <v/>
      </c>
      <c r="X370">
        <f>$C370*X369</f>
        <v/>
      </c>
      <c r="Y370">
        <f>$C370*Y369</f>
        <v/>
      </c>
      <c r="Z370">
        <f>$C370*Z369</f>
        <v/>
      </c>
      <c r="AA370">
        <f>$C370*AA369</f>
        <v/>
      </c>
      <c r="AB370">
        <f>$C370*AB369</f>
        <v/>
      </c>
      <c r="AC370">
        <f>$C370*AC369</f>
        <v/>
      </c>
      <c r="AD370">
        <f>$C370*AD369</f>
        <v/>
      </c>
      <c r="AE370">
        <f>$C370*AE369</f>
        <v/>
      </c>
      <c r="AF370">
        <f>$C370*AF369</f>
        <v/>
      </c>
      <c r="AG370">
        <f>$C370*AG369</f>
        <v/>
      </c>
      <c r="AH370">
        <f>$C370*AH369</f>
        <v/>
      </c>
      <c r="AI370">
        <f>$C370*AI369</f>
        <v/>
      </c>
      <c r="AJ370">
        <f>$C370*AJ369</f>
        <v/>
      </c>
      <c r="AK370">
        <f>$C370*AK369</f>
        <v/>
      </c>
      <c r="AL370">
        <f>$C370*AL369</f>
        <v/>
      </c>
      <c r="AM370">
        <f>$C370*AM369</f>
        <v/>
      </c>
      <c r="AN370">
        <f>$C370*AN369</f>
        <v/>
      </c>
      <c r="AO370">
        <f>$C370*AO369</f>
        <v/>
      </c>
      <c r="AP370">
        <f>$C370*AP369</f>
        <v/>
      </c>
      <c r="AQ370">
        <f>$C370*AQ369</f>
        <v/>
      </c>
      <c r="AR370">
        <f>$C370*AR369</f>
        <v/>
      </c>
      <c r="AS370">
        <f>$C370*AS369</f>
        <v/>
      </c>
      <c r="AT370">
        <f>$C370*AT369</f>
        <v/>
      </c>
      <c r="AU370">
        <f>$C370*AU369</f>
        <v/>
      </c>
      <c r="AV370">
        <f>$C370*AV369</f>
        <v/>
      </c>
      <c r="AW370">
        <f>$C370*AW369</f>
        <v/>
      </c>
      <c r="AX370">
        <f>$C370*AX369</f>
        <v/>
      </c>
      <c r="AY370">
        <f>$C370*AY369</f>
        <v/>
      </c>
      <c r="AZ370">
        <f>$C370*AZ369</f>
        <v/>
      </c>
      <c r="BA370">
        <f>$C370*BA369</f>
        <v/>
      </c>
      <c r="BB370">
        <f>$C370*BB369</f>
        <v/>
      </c>
      <c r="BC370">
        <f>$C370*BC369</f>
        <v/>
      </c>
      <c r="BD370">
        <f>$C370*BD369</f>
        <v/>
      </c>
      <c r="BE370">
        <f>$C370*BE369</f>
        <v/>
      </c>
      <c r="BF370">
        <f>$C370*BF369</f>
        <v/>
      </c>
      <c r="BG370">
        <f>$C370*BG369</f>
        <v/>
      </c>
      <c r="BH370">
        <f>$C370*BH369</f>
        <v/>
      </c>
      <c r="BI370">
        <f>$C370*BI369</f>
        <v/>
      </c>
      <c r="BJ370">
        <f>$C370*BJ369</f>
        <v/>
      </c>
      <c r="BK370">
        <f>$C370*BK369</f>
        <v/>
      </c>
      <c r="BL370">
        <f>$C370*BL369</f>
        <v/>
      </c>
      <c r="BM370">
        <f>$C370*BM369</f>
        <v/>
      </c>
      <c r="BN370">
        <f>$C370*BN369</f>
        <v/>
      </c>
      <c r="BO370">
        <f>$C370*BO369</f>
        <v/>
      </c>
      <c r="BP370">
        <f>$C370*BP369</f>
        <v/>
      </c>
      <c r="BQ370">
        <f>$C370*BQ369</f>
        <v/>
      </c>
      <c r="BR370">
        <f>$C370*BR369</f>
        <v/>
      </c>
      <c r="BS370">
        <f>$C370*BS369</f>
        <v/>
      </c>
      <c r="BT370">
        <f>$C370*BT369</f>
        <v/>
      </c>
      <c r="BU370">
        <f>$C370*BU369</f>
        <v/>
      </c>
      <c r="BV370">
        <f>$C370*BV369</f>
        <v/>
      </c>
      <c r="BW370">
        <f>$C370*BW369</f>
        <v/>
      </c>
      <c r="BX370">
        <f>$C370*BX369</f>
        <v/>
      </c>
      <c r="BY370">
        <f>$C370*BY369</f>
        <v/>
      </c>
      <c r="BZ370">
        <f>$C370*BZ369</f>
        <v/>
      </c>
      <c r="CA370">
        <f>$C370*CA369</f>
        <v/>
      </c>
      <c r="CB370">
        <f>$C370*CB369</f>
        <v/>
      </c>
      <c r="CC370">
        <f>$C370*CC369</f>
        <v/>
      </c>
      <c r="CD370">
        <f>$C370*CD369</f>
        <v/>
      </c>
      <c r="CE370">
        <f>$C370*CE369</f>
        <v/>
      </c>
      <c r="CF370">
        <f>$C370*CF369</f>
        <v/>
      </c>
      <c r="CG370">
        <f>$C370*CG369</f>
        <v/>
      </c>
      <c r="CH370">
        <f>$C370*CH369</f>
        <v/>
      </c>
      <c r="CI370">
        <f>$C370*CI369</f>
        <v/>
      </c>
      <c r="CJ370">
        <f>$C370*CJ369</f>
        <v/>
      </c>
      <c r="CK370">
        <f>$C370*CK369</f>
        <v/>
      </c>
      <c r="CL370">
        <f>$C370*CL369</f>
        <v/>
      </c>
      <c r="CM370">
        <f>$C370*CM369</f>
        <v/>
      </c>
      <c r="CN370">
        <f>$C370*CN369</f>
        <v/>
      </c>
      <c r="CO370">
        <f>$C370*CO369</f>
        <v/>
      </c>
      <c r="CP370">
        <f>$C370*CP369</f>
        <v/>
      </c>
      <c r="CQ370">
        <f>$C370*CQ369</f>
        <v/>
      </c>
      <c r="CR370">
        <f>$C370*CR369</f>
        <v/>
      </c>
      <c r="CS370">
        <f>$C370*CS369</f>
        <v/>
      </c>
      <c r="CT370">
        <f>$C370*CT369</f>
        <v/>
      </c>
      <c r="CU370">
        <f>$C370*CU369</f>
        <v/>
      </c>
      <c r="CV370">
        <f>$C370*CV369</f>
        <v/>
      </c>
      <c r="CW370">
        <f>$C370*CW369</f>
        <v/>
      </c>
      <c r="CX370">
        <f>$C370*CX369</f>
        <v/>
      </c>
      <c r="CY370">
        <f>$C370*CY369</f>
        <v/>
      </c>
      <c r="CZ370">
        <f>$C370*CZ369</f>
        <v/>
      </c>
      <c r="DA370">
        <f>$C370*DA369</f>
        <v/>
      </c>
      <c r="DB370">
        <f>$C370*DB369</f>
        <v/>
      </c>
      <c r="DC370">
        <f>$C370*DC369</f>
        <v/>
      </c>
    </row>
    <row r="371">
      <c r="B371" t="inlineStr">
        <is>
          <t>TSP-405</t>
        </is>
      </c>
      <c r="C371" t="inlineStr">
        <is>
          <t>No. of batches</t>
        </is>
      </c>
      <c r="D371">
        <f>IFERROR(INDEX(PP_Grid[#Data],$DD371,2),0)</f>
        <v/>
      </c>
      <c r="E371">
        <f>IFERROR(INDEX(PP_Grid[#Data],$DD371,3),0)</f>
        <v/>
      </c>
      <c r="F371">
        <f>IFERROR(INDEX(PP_Grid[#Data],$DD371,4),0)</f>
        <v/>
      </c>
      <c r="G371">
        <f>IFERROR(INDEX(PP_Grid[#Data],$DD371,5),0)</f>
        <v/>
      </c>
      <c r="H371">
        <f>IFERROR(INDEX(PP_Grid[#Data],$DD371,6),0)</f>
        <v/>
      </c>
      <c r="I371">
        <f>IFERROR(INDEX(PP_Grid[#Data],$DD371,7),0)</f>
        <v/>
      </c>
      <c r="J371">
        <f>IFERROR(INDEX(PP_Grid[#Data],$DD371,8),0)</f>
        <v/>
      </c>
      <c r="K371">
        <f>IFERROR(INDEX(PP_Grid[#Data],$DD371,9),0)</f>
        <v/>
      </c>
      <c r="L371">
        <f>IFERROR(INDEX(PP_Grid[#Data],$DD371,10),0)</f>
        <v/>
      </c>
      <c r="M371">
        <f>IFERROR(INDEX(PP_Grid[#Data],$DD371,11),0)</f>
        <v/>
      </c>
      <c r="N371">
        <f>IFERROR(INDEX(PP_Grid[#Data],$DD371,12),0)</f>
        <v/>
      </c>
      <c r="O371">
        <f>IFERROR(INDEX(PP_Grid[#Data],$DD371,13),0)</f>
        <v/>
      </c>
      <c r="P371">
        <f>IFERROR(INDEX(PP_Grid[#Data],$DD371,14),0)</f>
        <v/>
      </c>
      <c r="Q371">
        <f>IFERROR(INDEX(PP_Grid[#Data],$DD371,15),0)</f>
        <v/>
      </c>
      <c r="R371">
        <f>IFERROR(INDEX(PP_Grid[#Data],$DD371,16),0)</f>
        <v/>
      </c>
      <c r="S371">
        <f>IFERROR(INDEX(PP_Grid[#Data],$DD371,17),0)</f>
        <v/>
      </c>
      <c r="T371">
        <f>IFERROR(INDEX(PP_Grid[#Data],$DD371,18),0)</f>
        <v/>
      </c>
      <c r="U371">
        <f>IFERROR(INDEX(PP_Grid[#Data],$DD371,19),0)</f>
        <v/>
      </c>
      <c r="V371">
        <f>IFERROR(INDEX(PP_Grid[#Data],$DD371,20),0)</f>
        <v/>
      </c>
      <c r="W371">
        <f>IFERROR(INDEX(PP_Grid[#Data],$DD371,21),0)</f>
        <v/>
      </c>
      <c r="X371">
        <f>IFERROR(INDEX(PP_Grid[#Data],$DD371,22),0)</f>
        <v/>
      </c>
      <c r="Y371">
        <f>IFERROR(INDEX(PP_Grid[#Data],$DD371,23),0)</f>
        <v/>
      </c>
      <c r="Z371">
        <f>IFERROR(INDEX(PP_Grid[#Data],$DD371,24),0)</f>
        <v/>
      </c>
      <c r="AA371">
        <f>IFERROR(INDEX(PP_Grid[#Data],$DD371,25),0)</f>
        <v/>
      </c>
      <c r="AB371">
        <f>IFERROR(INDEX(PP_Grid[#Data],$DD371,26),0)</f>
        <v/>
      </c>
      <c r="AC371">
        <f>IFERROR(INDEX(PP_Grid[#Data],$DD371,27),0)</f>
        <v/>
      </c>
      <c r="AD371">
        <f>IFERROR(INDEX(PP_Grid[#Data],$DD371,28),0)</f>
        <v/>
      </c>
      <c r="AE371">
        <f>IFERROR(INDEX(PP_Grid[#Data],$DD371,29),0)</f>
        <v/>
      </c>
      <c r="AF371">
        <f>IFERROR(INDEX(PP_Grid[#Data],$DD371,30),0)</f>
        <v/>
      </c>
      <c r="AG371">
        <f>IFERROR(INDEX(PP_Grid[#Data],$DD371,31),0)</f>
        <v/>
      </c>
      <c r="AH371">
        <f>IFERROR(INDEX(PP_Grid[#Data],$DD371,32),0)</f>
        <v/>
      </c>
      <c r="AI371">
        <f>IFERROR(INDEX(PP_Grid[#Data],$DD371,33),0)</f>
        <v/>
      </c>
      <c r="AJ371">
        <f>IFERROR(INDEX(PP_Grid[#Data],$DD371,34),0)</f>
        <v/>
      </c>
      <c r="AK371">
        <f>IFERROR(INDEX(PP_Grid[#Data],$DD371,35),0)</f>
        <v/>
      </c>
      <c r="AL371">
        <f>IFERROR(INDEX(PP_Grid[#Data],$DD371,36),0)</f>
        <v/>
      </c>
      <c r="AM371">
        <f>IFERROR(INDEX(PP_Grid[#Data],$DD371,37),0)</f>
        <v/>
      </c>
      <c r="AN371">
        <f>IFERROR(INDEX(PP_Grid[#Data],$DD371,38),0)</f>
        <v/>
      </c>
      <c r="AO371">
        <f>IFERROR(INDEX(PP_Grid[#Data],$DD371,39),0)</f>
        <v/>
      </c>
      <c r="AP371">
        <f>IFERROR(INDEX(PP_Grid[#Data],$DD371,40),0)</f>
        <v/>
      </c>
      <c r="AQ371">
        <f>IFERROR(INDEX(PP_Grid[#Data],$DD371,41),0)</f>
        <v/>
      </c>
      <c r="AR371">
        <f>IFERROR(INDEX(PP_Grid[#Data],$DD371,42),0)</f>
        <v/>
      </c>
      <c r="AS371">
        <f>IFERROR(INDEX(PP_Grid[#Data],$DD371,43),0)</f>
        <v/>
      </c>
      <c r="AT371">
        <f>IFERROR(INDEX(PP_Grid[#Data],$DD371,44),0)</f>
        <v/>
      </c>
      <c r="AU371">
        <f>IFERROR(INDEX(PP_Grid[#Data],$DD371,45),0)</f>
        <v/>
      </c>
      <c r="AV371">
        <f>IFERROR(INDEX(PP_Grid[#Data],$DD371,46),0)</f>
        <v/>
      </c>
      <c r="AW371">
        <f>IFERROR(INDEX(PP_Grid[#Data],$DD371,47),0)</f>
        <v/>
      </c>
      <c r="AX371">
        <f>IFERROR(INDEX(PP_Grid[#Data],$DD371,48),0)</f>
        <v/>
      </c>
      <c r="AY371">
        <f>IFERROR(INDEX(PP_Grid[#Data],$DD371,49),0)</f>
        <v/>
      </c>
      <c r="AZ371">
        <f>IFERROR(INDEX(PP_Grid[#Data],$DD371,50),0)</f>
        <v/>
      </c>
      <c r="BA371">
        <f>IFERROR(INDEX(PP_Grid[#Data],$DD371,51),0)</f>
        <v/>
      </c>
      <c r="BB371">
        <f>IFERROR(INDEX(PP_Grid[#Data],$DD371,52),0)</f>
        <v/>
      </c>
      <c r="BC371">
        <f>IFERROR(INDEX(PP_Grid[#Data],$DD371,53),0)</f>
        <v/>
      </c>
      <c r="BD371">
        <f>IFERROR(INDEX(PP_Grid[#Data],$DD371,54),0)</f>
        <v/>
      </c>
      <c r="BE371">
        <f>IFERROR(INDEX(PP_Grid[#Data],$DD371,55),0)</f>
        <v/>
      </c>
      <c r="BF371">
        <f>IFERROR(INDEX(PP_Grid[#Data],$DD371,56),0)</f>
        <v/>
      </c>
      <c r="BG371">
        <f>IFERROR(INDEX(PP_Grid[#Data],$DD371,57),0)</f>
        <v/>
      </c>
      <c r="BH371">
        <f>IFERROR(INDEX(PP_Grid[#Data],$DD371,58),0)</f>
        <v/>
      </c>
      <c r="BI371">
        <f>IFERROR(INDEX(PP_Grid[#Data],$DD371,59),0)</f>
        <v/>
      </c>
      <c r="BJ371">
        <f>IFERROR(INDEX(PP_Grid[#Data],$DD371,60),0)</f>
        <v/>
      </c>
      <c r="BK371">
        <f>IFERROR(INDEX(PP_Grid[#Data],$DD371,61),0)</f>
        <v/>
      </c>
      <c r="BL371">
        <f>IFERROR(INDEX(PP_Grid[#Data],$DD371,62),0)</f>
        <v/>
      </c>
      <c r="BM371">
        <f>IFERROR(INDEX(PP_Grid[#Data],$DD371,63),0)</f>
        <v/>
      </c>
      <c r="BN371">
        <f>IFERROR(INDEX(PP_Grid[#Data],$DD371,64),0)</f>
        <v/>
      </c>
      <c r="BO371">
        <f>IFERROR(INDEX(PP_Grid[#Data],$DD371,65),0)</f>
        <v/>
      </c>
      <c r="BP371">
        <f>IFERROR(INDEX(PP_Grid[#Data],$DD371,66),0)</f>
        <v/>
      </c>
      <c r="BQ371">
        <f>IFERROR(INDEX(PP_Grid[#Data],$DD371,67),0)</f>
        <v/>
      </c>
      <c r="BR371">
        <f>IFERROR(INDEX(PP_Grid[#Data],$DD371,68),0)</f>
        <v/>
      </c>
      <c r="BS371">
        <f>IFERROR(INDEX(PP_Grid[#Data],$DD371,69),0)</f>
        <v/>
      </c>
      <c r="BT371">
        <f>IFERROR(INDEX(PP_Grid[#Data],$DD371,70),0)</f>
        <v/>
      </c>
      <c r="BU371">
        <f>IFERROR(INDEX(PP_Grid[#Data],$DD371,71),0)</f>
        <v/>
      </c>
      <c r="BV371">
        <f>IFERROR(INDEX(PP_Grid[#Data],$DD371,72),0)</f>
        <v/>
      </c>
      <c r="BW371">
        <f>IFERROR(INDEX(PP_Grid[#Data],$DD371,73),0)</f>
        <v/>
      </c>
      <c r="BX371">
        <f>IFERROR(INDEX(PP_Grid[#Data],$DD371,74),0)</f>
        <v/>
      </c>
      <c r="BY371">
        <f>IFERROR(INDEX(PP_Grid[#Data],$DD371,75),0)</f>
        <v/>
      </c>
      <c r="BZ371">
        <f>IFERROR(INDEX(PP_Grid[#Data],$DD371,76),0)</f>
        <v/>
      </c>
      <c r="CA371">
        <f>IFERROR(INDEX(PP_Grid[#Data],$DD371,77),0)</f>
        <v/>
      </c>
      <c r="CB371">
        <f>IFERROR(INDEX(PP_Grid[#Data],$DD371,78),0)</f>
        <v/>
      </c>
      <c r="CC371">
        <f>IFERROR(INDEX(PP_Grid[#Data],$DD371,79),0)</f>
        <v/>
      </c>
      <c r="CD371">
        <f>IFERROR(INDEX(PP_Grid[#Data],$DD371,80),0)</f>
        <v/>
      </c>
      <c r="CE371">
        <f>IFERROR(INDEX(PP_Grid[#Data],$DD371,81),0)</f>
        <v/>
      </c>
      <c r="CF371">
        <f>IFERROR(INDEX(PP_Grid[#Data],$DD371,82),0)</f>
        <v/>
      </c>
      <c r="CG371">
        <f>IFERROR(INDEX(PP_Grid[#Data],$DD371,83),0)</f>
        <v/>
      </c>
      <c r="CH371">
        <f>IFERROR(INDEX(PP_Grid[#Data],$DD371,84),0)</f>
        <v/>
      </c>
      <c r="CI371">
        <f>IFERROR(INDEX(PP_Grid[#Data],$DD371,85),0)</f>
        <v/>
      </c>
      <c r="CJ371">
        <f>IFERROR(INDEX(PP_Grid[#Data],$DD371,86),0)</f>
        <v/>
      </c>
      <c r="CK371">
        <f>IFERROR(INDEX(PP_Grid[#Data],$DD371,87),0)</f>
        <v/>
      </c>
      <c r="CL371">
        <f>IFERROR(INDEX(PP_Grid[#Data],$DD371,88),0)</f>
        <v/>
      </c>
      <c r="CM371">
        <f>IFERROR(INDEX(PP_Grid[#Data],$DD371,89),0)</f>
        <v/>
      </c>
      <c r="CN371">
        <f>IFERROR(INDEX(PP_Grid[#Data],$DD371,90),0)</f>
        <v/>
      </c>
      <c r="CO371">
        <f>IFERROR(INDEX(PP_Grid[#Data],$DD371,91),0)</f>
        <v/>
      </c>
      <c r="CP371">
        <f>IFERROR(INDEX(PP_Grid[#Data],$DD371,92),0)</f>
        <v/>
      </c>
      <c r="CQ371">
        <f>IFERROR(INDEX(PP_Grid[#Data],$DD371,93),0)</f>
        <v/>
      </c>
      <c r="CR371">
        <f>IFERROR(INDEX(PP_Grid[#Data],$DD371,94),0)</f>
        <v/>
      </c>
      <c r="CS371">
        <f>IFERROR(INDEX(PP_Grid[#Data],$DD371,95),0)</f>
        <v/>
      </c>
      <c r="CT371">
        <f>IFERROR(INDEX(PP_Grid[#Data],$DD371,96),0)</f>
        <v/>
      </c>
      <c r="CU371">
        <f>IFERROR(INDEX(PP_Grid[#Data],$DD371,97),0)</f>
        <v/>
      </c>
      <c r="CV371">
        <f>IFERROR(INDEX(PP_Grid[#Data],$DD371,98),0)</f>
        <v/>
      </c>
      <c r="CW371">
        <f>IFERROR(INDEX(PP_Grid[#Data],$DD371,99),0)</f>
        <v/>
      </c>
      <c r="CX371">
        <f>IFERROR(INDEX(PP_Grid[#Data],$DD371,100),0)</f>
        <v/>
      </c>
      <c r="CY371">
        <f>IFERROR(INDEX(PP_Grid[#Data],$DD371,101),0)</f>
        <v/>
      </c>
      <c r="CZ371">
        <f>IFERROR(INDEX(PP_Grid[#Data],$DD371,102),0)</f>
        <v/>
      </c>
      <c r="DA371">
        <f>IFERROR(INDEX(PP_Grid[#Data],$DD371,103),0)</f>
        <v/>
      </c>
      <c r="DB371">
        <f>IFERROR(INDEX(PP_Grid[#Data],$DD371,104),0)</f>
        <v/>
      </c>
      <c r="DC371">
        <f>IFERROR(INDEX(PP_Grid[#Data],$DD371,105),0)</f>
        <v/>
      </c>
      <c r="DD371" s="7">
        <f>IFERROR(MATCH($B371,PP_Grid[Intermediate],0),99999)</f>
        <v/>
      </c>
    </row>
    <row r="372">
      <c r="B372" t="inlineStr">
        <is>
          <t>使用量(kg)</t>
        </is>
      </c>
      <c r="C372">
        <f>SUMIFS(M_BOM[RM_Qty_Per_Batch],M_BOM[Intermediate],$B371,M_BOM[Part Name],$A340)</f>
        <v/>
      </c>
      <c r="D372">
        <f>$C372*D371</f>
        <v/>
      </c>
      <c r="E372">
        <f>$C372*E371</f>
        <v/>
      </c>
      <c r="F372">
        <f>$C372*F371</f>
        <v/>
      </c>
      <c r="G372">
        <f>$C372*G371</f>
        <v/>
      </c>
      <c r="H372">
        <f>$C372*H371</f>
        <v/>
      </c>
      <c r="I372">
        <f>$C372*I371</f>
        <v/>
      </c>
      <c r="J372">
        <f>$C372*J371</f>
        <v/>
      </c>
      <c r="K372">
        <f>$C372*K371</f>
        <v/>
      </c>
      <c r="L372">
        <f>$C372*L371</f>
        <v/>
      </c>
      <c r="M372">
        <f>$C372*M371</f>
        <v/>
      </c>
      <c r="N372">
        <f>$C372*N371</f>
        <v/>
      </c>
      <c r="O372">
        <f>$C372*O371</f>
        <v/>
      </c>
      <c r="P372">
        <f>$C372*P371</f>
        <v/>
      </c>
      <c r="Q372">
        <f>$C372*Q371</f>
        <v/>
      </c>
      <c r="R372">
        <f>$C372*R371</f>
        <v/>
      </c>
      <c r="S372">
        <f>$C372*S371</f>
        <v/>
      </c>
      <c r="T372">
        <f>$C372*T371</f>
        <v/>
      </c>
      <c r="U372">
        <f>$C372*U371</f>
        <v/>
      </c>
      <c r="V372">
        <f>$C372*V371</f>
        <v/>
      </c>
      <c r="W372">
        <f>$C372*W371</f>
        <v/>
      </c>
      <c r="X372">
        <f>$C372*X371</f>
        <v/>
      </c>
      <c r="Y372">
        <f>$C372*Y371</f>
        <v/>
      </c>
      <c r="Z372">
        <f>$C372*Z371</f>
        <v/>
      </c>
      <c r="AA372">
        <f>$C372*AA371</f>
        <v/>
      </c>
      <c r="AB372">
        <f>$C372*AB371</f>
        <v/>
      </c>
      <c r="AC372">
        <f>$C372*AC371</f>
        <v/>
      </c>
      <c r="AD372">
        <f>$C372*AD371</f>
        <v/>
      </c>
      <c r="AE372">
        <f>$C372*AE371</f>
        <v/>
      </c>
      <c r="AF372">
        <f>$C372*AF371</f>
        <v/>
      </c>
      <c r="AG372">
        <f>$C372*AG371</f>
        <v/>
      </c>
      <c r="AH372">
        <f>$C372*AH371</f>
        <v/>
      </c>
      <c r="AI372">
        <f>$C372*AI371</f>
        <v/>
      </c>
      <c r="AJ372">
        <f>$C372*AJ371</f>
        <v/>
      </c>
      <c r="AK372">
        <f>$C372*AK371</f>
        <v/>
      </c>
      <c r="AL372">
        <f>$C372*AL371</f>
        <v/>
      </c>
      <c r="AM372">
        <f>$C372*AM371</f>
        <v/>
      </c>
      <c r="AN372">
        <f>$C372*AN371</f>
        <v/>
      </c>
      <c r="AO372">
        <f>$C372*AO371</f>
        <v/>
      </c>
      <c r="AP372">
        <f>$C372*AP371</f>
        <v/>
      </c>
      <c r="AQ372">
        <f>$C372*AQ371</f>
        <v/>
      </c>
      <c r="AR372">
        <f>$C372*AR371</f>
        <v/>
      </c>
      <c r="AS372">
        <f>$C372*AS371</f>
        <v/>
      </c>
      <c r="AT372">
        <f>$C372*AT371</f>
        <v/>
      </c>
      <c r="AU372">
        <f>$C372*AU371</f>
        <v/>
      </c>
      <c r="AV372">
        <f>$C372*AV371</f>
        <v/>
      </c>
      <c r="AW372">
        <f>$C372*AW371</f>
        <v/>
      </c>
      <c r="AX372">
        <f>$C372*AX371</f>
        <v/>
      </c>
      <c r="AY372">
        <f>$C372*AY371</f>
        <v/>
      </c>
      <c r="AZ372">
        <f>$C372*AZ371</f>
        <v/>
      </c>
      <c r="BA372">
        <f>$C372*BA371</f>
        <v/>
      </c>
      <c r="BB372">
        <f>$C372*BB371</f>
        <v/>
      </c>
      <c r="BC372">
        <f>$C372*BC371</f>
        <v/>
      </c>
      <c r="BD372">
        <f>$C372*BD371</f>
        <v/>
      </c>
      <c r="BE372">
        <f>$C372*BE371</f>
        <v/>
      </c>
      <c r="BF372">
        <f>$C372*BF371</f>
        <v/>
      </c>
      <c r="BG372">
        <f>$C372*BG371</f>
        <v/>
      </c>
      <c r="BH372">
        <f>$C372*BH371</f>
        <v/>
      </c>
      <c r="BI372">
        <f>$C372*BI371</f>
        <v/>
      </c>
      <c r="BJ372">
        <f>$C372*BJ371</f>
        <v/>
      </c>
      <c r="BK372">
        <f>$C372*BK371</f>
        <v/>
      </c>
      <c r="BL372">
        <f>$C372*BL371</f>
        <v/>
      </c>
      <c r="BM372">
        <f>$C372*BM371</f>
        <v/>
      </c>
      <c r="BN372">
        <f>$C372*BN371</f>
        <v/>
      </c>
      <c r="BO372">
        <f>$C372*BO371</f>
        <v/>
      </c>
      <c r="BP372">
        <f>$C372*BP371</f>
        <v/>
      </c>
      <c r="BQ372">
        <f>$C372*BQ371</f>
        <v/>
      </c>
      <c r="BR372">
        <f>$C372*BR371</f>
        <v/>
      </c>
      <c r="BS372">
        <f>$C372*BS371</f>
        <v/>
      </c>
      <c r="BT372">
        <f>$C372*BT371</f>
        <v/>
      </c>
      <c r="BU372">
        <f>$C372*BU371</f>
        <v/>
      </c>
      <c r="BV372">
        <f>$C372*BV371</f>
        <v/>
      </c>
      <c r="BW372">
        <f>$C372*BW371</f>
        <v/>
      </c>
      <c r="BX372">
        <f>$C372*BX371</f>
        <v/>
      </c>
      <c r="BY372">
        <f>$C372*BY371</f>
        <v/>
      </c>
      <c r="BZ372">
        <f>$C372*BZ371</f>
        <v/>
      </c>
      <c r="CA372">
        <f>$C372*CA371</f>
        <v/>
      </c>
      <c r="CB372">
        <f>$C372*CB371</f>
        <v/>
      </c>
      <c r="CC372">
        <f>$C372*CC371</f>
        <v/>
      </c>
      <c r="CD372">
        <f>$C372*CD371</f>
        <v/>
      </c>
      <c r="CE372">
        <f>$C372*CE371</f>
        <v/>
      </c>
      <c r="CF372">
        <f>$C372*CF371</f>
        <v/>
      </c>
      <c r="CG372">
        <f>$C372*CG371</f>
        <v/>
      </c>
      <c r="CH372">
        <f>$C372*CH371</f>
        <v/>
      </c>
      <c r="CI372">
        <f>$C372*CI371</f>
        <v/>
      </c>
      <c r="CJ372">
        <f>$C372*CJ371</f>
        <v/>
      </c>
      <c r="CK372">
        <f>$C372*CK371</f>
        <v/>
      </c>
      <c r="CL372">
        <f>$C372*CL371</f>
        <v/>
      </c>
      <c r="CM372">
        <f>$C372*CM371</f>
        <v/>
      </c>
      <c r="CN372">
        <f>$C372*CN371</f>
        <v/>
      </c>
      <c r="CO372">
        <f>$C372*CO371</f>
        <v/>
      </c>
      <c r="CP372">
        <f>$C372*CP371</f>
        <v/>
      </c>
      <c r="CQ372">
        <f>$C372*CQ371</f>
        <v/>
      </c>
      <c r="CR372">
        <f>$C372*CR371</f>
        <v/>
      </c>
      <c r="CS372">
        <f>$C372*CS371</f>
        <v/>
      </c>
      <c r="CT372">
        <f>$C372*CT371</f>
        <v/>
      </c>
      <c r="CU372">
        <f>$C372*CU371</f>
        <v/>
      </c>
      <c r="CV372">
        <f>$C372*CV371</f>
        <v/>
      </c>
      <c r="CW372">
        <f>$C372*CW371</f>
        <v/>
      </c>
      <c r="CX372">
        <f>$C372*CX371</f>
        <v/>
      </c>
      <c r="CY372">
        <f>$C372*CY371</f>
        <v/>
      </c>
      <c r="CZ372">
        <f>$C372*CZ371</f>
        <v/>
      </c>
      <c r="DA372">
        <f>$C372*DA371</f>
        <v/>
      </c>
      <c r="DB372">
        <f>$C372*DB371</f>
        <v/>
      </c>
      <c r="DC372">
        <f>$C372*DC371</f>
        <v/>
      </c>
    </row>
    <row r="373">
      <c r="B373" t="inlineStr">
        <is>
          <t>TSP-544</t>
        </is>
      </c>
      <c r="C373" t="inlineStr">
        <is>
          <t>No. of batches</t>
        </is>
      </c>
      <c r="D373">
        <f>IFERROR(INDEX(PP_Grid[#Data],$DD373,2),0)</f>
        <v/>
      </c>
      <c r="E373">
        <f>IFERROR(INDEX(PP_Grid[#Data],$DD373,3),0)</f>
        <v/>
      </c>
      <c r="F373">
        <f>IFERROR(INDEX(PP_Grid[#Data],$DD373,4),0)</f>
        <v/>
      </c>
      <c r="G373">
        <f>IFERROR(INDEX(PP_Grid[#Data],$DD373,5),0)</f>
        <v/>
      </c>
      <c r="H373">
        <f>IFERROR(INDEX(PP_Grid[#Data],$DD373,6),0)</f>
        <v/>
      </c>
      <c r="I373">
        <f>IFERROR(INDEX(PP_Grid[#Data],$DD373,7),0)</f>
        <v/>
      </c>
      <c r="J373">
        <f>IFERROR(INDEX(PP_Grid[#Data],$DD373,8),0)</f>
        <v/>
      </c>
      <c r="K373">
        <f>IFERROR(INDEX(PP_Grid[#Data],$DD373,9),0)</f>
        <v/>
      </c>
      <c r="L373">
        <f>IFERROR(INDEX(PP_Grid[#Data],$DD373,10),0)</f>
        <v/>
      </c>
      <c r="M373">
        <f>IFERROR(INDEX(PP_Grid[#Data],$DD373,11),0)</f>
        <v/>
      </c>
      <c r="N373">
        <f>IFERROR(INDEX(PP_Grid[#Data],$DD373,12),0)</f>
        <v/>
      </c>
      <c r="O373">
        <f>IFERROR(INDEX(PP_Grid[#Data],$DD373,13),0)</f>
        <v/>
      </c>
      <c r="P373">
        <f>IFERROR(INDEX(PP_Grid[#Data],$DD373,14),0)</f>
        <v/>
      </c>
      <c r="Q373">
        <f>IFERROR(INDEX(PP_Grid[#Data],$DD373,15),0)</f>
        <v/>
      </c>
      <c r="R373">
        <f>IFERROR(INDEX(PP_Grid[#Data],$DD373,16),0)</f>
        <v/>
      </c>
      <c r="S373">
        <f>IFERROR(INDEX(PP_Grid[#Data],$DD373,17),0)</f>
        <v/>
      </c>
      <c r="T373">
        <f>IFERROR(INDEX(PP_Grid[#Data],$DD373,18),0)</f>
        <v/>
      </c>
      <c r="U373">
        <f>IFERROR(INDEX(PP_Grid[#Data],$DD373,19),0)</f>
        <v/>
      </c>
      <c r="V373">
        <f>IFERROR(INDEX(PP_Grid[#Data],$DD373,20),0)</f>
        <v/>
      </c>
      <c r="W373">
        <f>IFERROR(INDEX(PP_Grid[#Data],$DD373,21),0)</f>
        <v/>
      </c>
      <c r="X373">
        <f>IFERROR(INDEX(PP_Grid[#Data],$DD373,22),0)</f>
        <v/>
      </c>
      <c r="Y373">
        <f>IFERROR(INDEX(PP_Grid[#Data],$DD373,23),0)</f>
        <v/>
      </c>
      <c r="Z373">
        <f>IFERROR(INDEX(PP_Grid[#Data],$DD373,24),0)</f>
        <v/>
      </c>
      <c r="AA373">
        <f>IFERROR(INDEX(PP_Grid[#Data],$DD373,25),0)</f>
        <v/>
      </c>
      <c r="AB373">
        <f>IFERROR(INDEX(PP_Grid[#Data],$DD373,26),0)</f>
        <v/>
      </c>
      <c r="AC373">
        <f>IFERROR(INDEX(PP_Grid[#Data],$DD373,27),0)</f>
        <v/>
      </c>
      <c r="AD373">
        <f>IFERROR(INDEX(PP_Grid[#Data],$DD373,28),0)</f>
        <v/>
      </c>
      <c r="AE373">
        <f>IFERROR(INDEX(PP_Grid[#Data],$DD373,29),0)</f>
        <v/>
      </c>
      <c r="AF373">
        <f>IFERROR(INDEX(PP_Grid[#Data],$DD373,30),0)</f>
        <v/>
      </c>
      <c r="AG373">
        <f>IFERROR(INDEX(PP_Grid[#Data],$DD373,31),0)</f>
        <v/>
      </c>
      <c r="AH373">
        <f>IFERROR(INDEX(PP_Grid[#Data],$DD373,32),0)</f>
        <v/>
      </c>
      <c r="AI373">
        <f>IFERROR(INDEX(PP_Grid[#Data],$DD373,33),0)</f>
        <v/>
      </c>
      <c r="AJ373">
        <f>IFERROR(INDEX(PP_Grid[#Data],$DD373,34),0)</f>
        <v/>
      </c>
      <c r="AK373">
        <f>IFERROR(INDEX(PP_Grid[#Data],$DD373,35),0)</f>
        <v/>
      </c>
      <c r="AL373">
        <f>IFERROR(INDEX(PP_Grid[#Data],$DD373,36),0)</f>
        <v/>
      </c>
      <c r="AM373">
        <f>IFERROR(INDEX(PP_Grid[#Data],$DD373,37),0)</f>
        <v/>
      </c>
      <c r="AN373">
        <f>IFERROR(INDEX(PP_Grid[#Data],$DD373,38),0)</f>
        <v/>
      </c>
      <c r="AO373">
        <f>IFERROR(INDEX(PP_Grid[#Data],$DD373,39),0)</f>
        <v/>
      </c>
      <c r="AP373">
        <f>IFERROR(INDEX(PP_Grid[#Data],$DD373,40),0)</f>
        <v/>
      </c>
      <c r="AQ373">
        <f>IFERROR(INDEX(PP_Grid[#Data],$DD373,41),0)</f>
        <v/>
      </c>
      <c r="AR373">
        <f>IFERROR(INDEX(PP_Grid[#Data],$DD373,42),0)</f>
        <v/>
      </c>
      <c r="AS373">
        <f>IFERROR(INDEX(PP_Grid[#Data],$DD373,43),0)</f>
        <v/>
      </c>
      <c r="AT373">
        <f>IFERROR(INDEX(PP_Grid[#Data],$DD373,44),0)</f>
        <v/>
      </c>
      <c r="AU373">
        <f>IFERROR(INDEX(PP_Grid[#Data],$DD373,45),0)</f>
        <v/>
      </c>
      <c r="AV373">
        <f>IFERROR(INDEX(PP_Grid[#Data],$DD373,46),0)</f>
        <v/>
      </c>
      <c r="AW373">
        <f>IFERROR(INDEX(PP_Grid[#Data],$DD373,47),0)</f>
        <v/>
      </c>
      <c r="AX373">
        <f>IFERROR(INDEX(PP_Grid[#Data],$DD373,48),0)</f>
        <v/>
      </c>
      <c r="AY373">
        <f>IFERROR(INDEX(PP_Grid[#Data],$DD373,49),0)</f>
        <v/>
      </c>
      <c r="AZ373">
        <f>IFERROR(INDEX(PP_Grid[#Data],$DD373,50),0)</f>
        <v/>
      </c>
      <c r="BA373">
        <f>IFERROR(INDEX(PP_Grid[#Data],$DD373,51),0)</f>
        <v/>
      </c>
      <c r="BB373">
        <f>IFERROR(INDEX(PP_Grid[#Data],$DD373,52),0)</f>
        <v/>
      </c>
      <c r="BC373">
        <f>IFERROR(INDEX(PP_Grid[#Data],$DD373,53),0)</f>
        <v/>
      </c>
      <c r="BD373">
        <f>IFERROR(INDEX(PP_Grid[#Data],$DD373,54),0)</f>
        <v/>
      </c>
      <c r="BE373">
        <f>IFERROR(INDEX(PP_Grid[#Data],$DD373,55),0)</f>
        <v/>
      </c>
      <c r="BF373">
        <f>IFERROR(INDEX(PP_Grid[#Data],$DD373,56),0)</f>
        <v/>
      </c>
      <c r="BG373">
        <f>IFERROR(INDEX(PP_Grid[#Data],$DD373,57),0)</f>
        <v/>
      </c>
      <c r="BH373">
        <f>IFERROR(INDEX(PP_Grid[#Data],$DD373,58),0)</f>
        <v/>
      </c>
      <c r="BI373">
        <f>IFERROR(INDEX(PP_Grid[#Data],$DD373,59),0)</f>
        <v/>
      </c>
      <c r="BJ373">
        <f>IFERROR(INDEX(PP_Grid[#Data],$DD373,60),0)</f>
        <v/>
      </c>
      <c r="BK373">
        <f>IFERROR(INDEX(PP_Grid[#Data],$DD373,61),0)</f>
        <v/>
      </c>
      <c r="BL373">
        <f>IFERROR(INDEX(PP_Grid[#Data],$DD373,62),0)</f>
        <v/>
      </c>
      <c r="BM373">
        <f>IFERROR(INDEX(PP_Grid[#Data],$DD373,63),0)</f>
        <v/>
      </c>
      <c r="BN373">
        <f>IFERROR(INDEX(PP_Grid[#Data],$DD373,64),0)</f>
        <v/>
      </c>
      <c r="BO373">
        <f>IFERROR(INDEX(PP_Grid[#Data],$DD373,65),0)</f>
        <v/>
      </c>
      <c r="BP373">
        <f>IFERROR(INDEX(PP_Grid[#Data],$DD373,66),0)</f>
        <v/>
      </c>
      <c r="BQ373">
        <f>IFERROR(INDEX(PP_Grid[#Data],$DD373,67),0)</f>
        <v/>
      </c>
      <c r="BR373">
        <f>IFERROR(INDEX(PP_Grid[#Data],$DD373,68),0)</f>
        <v/>
      </c>
      <c r="BS373">
        <f>IFERROR(INDEX(PP_Grid[#Data],$DD373,69),0)</f>
        <v/>
      </c>
      <c r="BT373">
        <f>IFERROR(INDEX(PP_Grid[#Data],$DD373,70),0)</f>
        <v/>
      </c>
      <c r="BU373">
        <f>IFERROR(INDEX(PP_Grid[#Data],$DD373,71),0)</f>
        <v/>
      </c>
      <c r="BV373">
        <f>IFERROR(INDEX(PP_Grid[#Data],$DD373,72),0)</f>
        <v/>
      </c>
      <c r="BW373">
        <f>IFERROR(INDEX(PP_Grid[#Data],$DD373,73),0)</f>
        <v/>
      </c>
      <c r="BX373">
        <f>IFERROR(INDEX(PP_Grid[#Data],$DD373,74),0)</f>
        <v/>
      </c>
      <c r="BY373">
        <f>IFERROR(INDEX(PP_Grid[#Data],$DD373,75),0)</f>
        <v/>
      </c>
      <c r="BZ373">
        <f>IFERROR(INDEX(PP_Grid[#Data],$DD373,76),0)</f>
        <v/>
      </c>
      <c r="CA373">
        <f>IFERROR(INDEX(PP_Grid[#Data],$DD373,77),0)</f>
        <v/>
      </c>
      <c r="CB373">
        <f>IFERROR(INDEX(PP_Grid[#Data],$DD373,78),0)</f>
        <v/>
      </c>
      <c r="CC373">
        <f>IFERROR(INDEX(PP_Grid[#Data],$DD373,79),0)</f>
        <v/>
      </c>
      <c r="CD373">
        <f>IFERROR(INDEX(PP_Grid[#Data],$DD373,80),0)</f>
        <v/>
      </c>
      <c r="CE373">
        <f>IFERROR(INDEX(PP_Grid[#Data],$DD373,81),0)</f>
        <v/>
      </c>
      <c r="CF373">
        <f>IFERROR(INDEX(PP_Grid[#Data],$DD373,82),0)</f>
        <v/>
      </c>
      <c r="CG373">
        <f>IFERROR(INDEX(PP_Grid[#Data],$DD373,83),0)</f>
        <v/>
      </c>
      <c r="CH373">
        <f>IFERROR(INDEX(PP_Grid[#Data],$DD373,84),0)</f>
        <v/>
      </c>
      <c r="CI373">
        <f>IFERROR(INDEX(PP_Grid[#Data],$DD373,85),0)</f>
        <v/>
      </c>
      <c r="CJ373">
        <f>IFERROR(INDEX(PP_Grid[#Data],$DD373,86),0)</f>
        <v/>
      </c>
      <c r="CK373">
        <f>IFERROR(INDEX(PP_Grid[#Data],$DD373,87),0)</f>
        <v/>
      </c>
      <c r="CL373">
        <f>IFERROR(INDEX(PP_Grid[#Data],$DD373,88),0)</f>
        <v/>
      </c>
      <c r="CM373">
        <f>IFERROR(INDEX(PP_Grid[#Data],$DD373,89),0)</f>
        <v/>
      </c>
      <c r="CN373">
        <f>IFERROR(INDEX(PP_Grid[#Data],$DD373,90),0)</f>
        <v/>
      </c>
      <c r="CO373">
        <f>IFERROR(INDEX(PP_Grid[#Data],$DD373,91),0)</f>
        <v/>
      </c>
      <c r="CP373">
        <f>IFERROR(INDEX(PP_Grid[#Data],$DD373,92),0)</f>
        <v/>
      </c>
      <c r="CQ373">
        <f>IFERROR(INDEX(PP_Grid[#Data],$DD373,93),0)</f>
        <v/>
      </c>
      <c r="CR373">
        <f>IFERROR(INDEX(PP_Grid[#Data],$DD373,94),0)</f>
        <v/>
      </c>
      <c r="CS373">
        <f>IFERROR(INDEX(PP_Grid[#Data],$DD373,95),0)</f>
        <v/>
      </c>
      <c r="CT373">
        <f>IFERROR(INDEX(PP_Grid[#Data],$DD373,96),0)</f>
        <v/>
      </c>
      <c r="CU373">
        <f>IFERROR(INDEX(PP_Grid[#Data],$DD373,97),0)</f>
        <v/>
      </c>
      <c r="CV373">
        <f>IFERROR(INDEX(PP_Grid[#Data],$DD373,98),0)</f>
        <v/>
      </c>
      <c r="CW373">
        <f>IFERROR(INDEX(PP_Grid[#Data],$DD373,99),0)</f>
        <v/>
      </c>
      <c r="CX373">
        <f>IFERROR(INDEX(PP_Grid[#Data],$DD373,100),0)</f>
        <v/>
      </c>
      <c r="CY373">
        <f>IFERROR(INDEX(PP_Grid[#Data],$DD373,101),0)</f>
        <v/>
      </c>
      <c r="CZ373">
        <f>IFERROR(INDEX(PP_Grid[#Data],$DD373,102),0)</f>
        <v/>
      </c>
      <c r="DA373">
        <f>IFERROR(INDEX(PP_Grid[#Data],$DD373,103),0)</f>
        <v/>
      </c>
      <c r="DB373">
        <f>IFERROR(INDEX(PP_Grid[#Data],$DD373,104),0)</f>
        <v/>
      </c>
      <c r="DC373">
        <f>IFERROR(INDEX(PP_Grid[#Data],$DD373,105),0)</f>
        <v/>
      </c>
      <c r="DD373" s="7">
        <f>IFERROR(MATCH($B373,PP_Grid[Intermediate],0),99999)</f>
        <v/>
      </c>
    </row>
    <row r="374">
      <c r="B374" t="inlineStr">
        <is>
          <t>使用量(kg)</t>
        </is>
      </c>
      <c r="C374">
        <f>SUMIFS(M_BOM[RM_Qty_Per_Batch],M_BOM[Intermediate],$B373,M_BOM[Part Name],$A340)</f>
        <v/>
      </c>
      <c r="D374">
        <f>$C374*D373</f>
        <v/>
      </c>
      <c r="E374">
        <f>$C374*E373</f>
        <v/>
      </c>
      <c r="F374">
        <f>$C374*F373</f>
        <v/>
      </c>
      <c r="G374">
        <f>$C374*G373</f>
        <v/>
      </c>
      <c r="H374">
        <f>$C374*H373</f>
        <v/>
      </c>
      <c r="I374">
        <f>$C374*I373</f>
        <v/>
      </c>
      <c r="J374">
        <f>$C374*J373</f>
        <v/>
      </c>
      <c r="K374">
        <f>$C374*K373</f>
        <v/>
      </c>
      <c r="L374">
        <f>$C374*L373</f>
        <v/>
      </c>
      <c r="M374">
        <f>$C374*M373</f>
        <v/>
      </c>
      <c r="N374">
        <f>$C374*N373</f>
        <v/>
      </c>
      <c r="O374">
        <f>$C374*O373</f>
        <v/>
      </c>
      <c r="P374">
        <f>$C374*P373</f>
        <v/>
      </c>
      <c r="Q374">
        <f>$C374*Q373</f>
        <v/>
      </c>
      <c r="R374">
        <f>$C374*R373</f>
        <v/>
      </c>
      <c r="S374">
        <f>$C374*S373</f>
        <v/>
      </c>
      <c r="T374">
        <f>$C374*T373</f>
        <v/>
      </c>
      <c r="U374">
        <f>$C374*U373</f>
        <v/>
      </c>
      <c r="V374">
        <f>$C374*V373</f>
        <v/>
      </c>
      <c r="W374">
        <f>$C374*W373</f>
        <v/>
      </c>
      <c r="X374">
        <f>$C374*X373</f>
        <v/>
      </c>
      <c r="Y374">
        <f>$C374*Y373</f>
        <v/>
      </c>
      <c r="Z374">
        <f>$C374*Z373</f>
        <v/>
      </c>
      <c r="AA374">
        <f>$C374*AA373</f>
        <v/>
      </c>
      <c r="AB374">
        <f>$C374*AB373</f>
        <v/>
      </c>
      <c r="AC374">
        <f>$C374*AC373</f>
        <v/>
      </c>
      <c r="AD374">
        <f>$C374*AD373</f>
        <v/>
      </c>
      <c r="AE374">
        <f>$C374*AE373</f>
        <v/>
      </c>
      <c r="AF374">
        <f>$C374*AF373</f>
        <v/>
      </c>
      <c r="AG374">
        <f>$C374*AG373</f>
        <v/>
      </c>
      <c r="AH374">
        <f>$C374*AH373</f>
        <v/>
      </c>
      <c r="AI374">
        <f>$C374*AI373</f>
        <v/>
      </c>
      <c r="AJ374">
        <f>$C374*AJ373</f>
        <v/>
      </c>
      <c r="AK374">
        <f>$C374*AK373</f>
        <v/>
      </c>
      <c r="AL374">
        <f>$C374*AL373</f>
        <v/>
      </c>
      <c r="AM374">
        <f>$C374*AM373</f>
        <v/>
      </c>
      <c r="AN374">
        <f>$C374*AN373</f>
        <v/>
      </c>
      <c r="AO374">
        <f>$C374*AO373</f>
        <v/>
      </c>
      <c r="AP374">
        <f>$C374*AP373</f>
        <v/>
      </c>
      <c r="AQ374">
        <f>$C374*AQ373</f>
        <v/>
      </c>
      <c r="AR374">
        <f>$C374*AR373</f>
        <v/>
      </c>
      <c r="AS374">
        <f>$C374*AS373</f>
        <v/>
      </c>
      <c r="AT374">
        <f>$C374*AT373</f>
        <v/>
      </c>
      <c r="AU374">
        <f>$C374*AU373</f>
        <v/>
      </c>
      <c r="AV374">
        <f>$C374*AV373</f>
        <v/>
      </c>
      <c r="AW374">
        <f>$C374*AW373</f>
        <v/>
      </c>
      <c r="AX374">
        <f>$C374*AX373</f>
        <v/>
      </c>
      <c r="AY374">
        <f>$C374*AY373</f>
        <v/>
      </c>
      <c r="AZ374">
        <f>$C374*AZ373</f>
        <v/>
      </c>
      <c r="BA374">
        <f>$C374*BA373</f>
        <v/>
      </c>
      <c r="BB374">
        <f>$C374*BB373</f>
        <v/>
      </c>
      <c r="BC374">
        <f>$C374*BC373</f>
        <v/>
      </c>
      <c r="BD374">
        <f>$C374*BD373</f>
        <v/>
      </c>
      <c r="BE374">
        <f>$C374*BE373</f>
        <v/>
      </c>
      <c r="BF374">
        <f>$C374*BF373</f>
        <v/>
      </c>
      <c r="BG374">
        <f>$C374*BG373</f>
        <v/>
      </c>
      <c r="BH374">
        <f>$C374*BH373</f>
        <v/>
      </c>
      <c r="BI374">
        <f>$C374*BI373</f>
        <v/>
      </c>
      <c r="BJ374">
        <f>$C374*BJ373</f>
        <v/>
      </c>
      <c r="BK374">
        <f>$C374*BK373</f>
        <v/>
      </c>
      <c r="BL374">
        <f>$C374*BL373</f>
        <v/>
      </c>
      <c r="BM374">
        <f>$C374*BM373</f>
        <v/>
      </c>
      <c r="BN374">
        <f>$C374*BN373</f>
        <v/>
      </c>
      <c r="BO374">
        <f>$C374*BO373</f>
        <v/>
      </c>
      <c r="BP374">
        <f>$C374*BP373</f>
        <v/>
      </c>
      <c r="BQ374">
        <f>$C374*BQ373</f>
        <v/>
      </c>
      <c r="BR374">
        <f>$C374*BR373</f>
        <v/>
      </c>
      <c r="BS374">
        <f>$C374*BS373</f>
        <v/>
      </c>
      <c r="BT374">
        <f>$C374*BT373</f>
        <v/>
      </c>
      <c r="BU374">
        <f>$C374*BU373</f>
        <v/>
      </c>
      <c r="BV374">
        <f>$C374*BV373</f>
        <v/>
      </c>
      <c r="BW374">
        <f>$C374*BW373</f>
        <v/>
      </c>
      <c r="BX374">
        <f>$C374*BX373</f>
        <v/>
      </c>
      <c r="BY374">
        <f>$C374*BY373</f>
        <v/>
      </c>
      <c r="BZ374">
        <f>$C374*BZ373</f>
        <v/>
      </c>
      <c r="CA374">
        <f>$C374*CA373</f>
        <v/>
      </c>
      <c r="CB374">
        <f>$C374*CB373</f>
        <v/>
      </c>
      <c r="CC374">
        <f>$C374*CC373</f>
        <v/>
      </c>
      <c r="CD374">
        <f>$C374*CD373</f>
        <v/>
      </c>
      <c r="CE374">
        <f>$C374*CE373</f>
        <v/>
      </c>
      <c r="CF374">
        <f>$C374*CF373</f>
        <v/>
      </c>
      <c r="CG374">
        <f>$C374*CG373</f>
        <v/>
      </c>
      <c r="CH374">
        <f>$C374*CH373</f>
        <v/>
      </c>
      <c r="CI374">
        <f>$C374*CI373</f>
        <v/>
      </c>
      <c r="CJ374">
        <f>$C374*CJ373</f>
        <v/>
      </c>
      <c r="CK374">
        <f>$C374*CK373</f>
        <v/>
      </c>
      <c r="CL374">
        <f>$C374*CL373</f>
        <v/>
      </c>
      <c r="CM374">
        <f>$C374*CM373</f>
        <v/>
      </c>
      <c r="CN374">
        <f>$C374*CN373</f>
        <v/>
      </c>
      <c r="CO374">
        <f>$C374*CO373</f>
        <v/>
      </c>
      <c r="CP374">
        <f>$C374*CP373</f>
        <v/>
      </c>
      <c r="CQ374">
        <f>$C374*CQ373</f>
        <v/>
      </c>
      <c r="CR374">
        <f>$C374*CR373</f>
        <v/>
      </c>
      <c r="CS374">
        <f>$C374*CS373</f>
        <v/>
      </c>
      <c r="CT374">
        <f>$C374*CT373</f>
        <v/>
      </c>
      <c r="CU374">
        <f>$C374*CU373</f>
        <v/>
      </c>
      <c r="CV374">
        <f>$C374*CV373</f>
        <v/>
      </c>
      <c r="CW374">
        <f>$C374*CW373</f>
        <v/>
      </c>
      <c r="CX374">
        <f>$C374*CX373</f>
        <v/>
      </c>
      <c r="CY374">
        <f>$C374*CY373</f>
        <v/>
      </c>
      <c r="CZ374">
        <f>$C374*CZ373</f>
        <v/>
      </c>
      <c r="DA374">
        <f>$C374*DA373</f>
        <v/>
      </c>
      <c r="DB374">
        <f>$C374*DB373</f>
        <v/>
      </c>
      <c r="DC374">
        <f>$C374*DC373</f>
        <v/>
      </c>
    </row>
    <row r="375">
      <c r="B375" t="inlineStr">
        <is>
          <t>TSP-558</t>
        </is>
      </c>
      <c r="C375" t="inlineStr">
        <is>
          <t>No. of batches</t>
        </is>
      </c>
      <c r="D375">
        <f>IFERROR(INDEX(PP_Grid[#Data],$DD375,2),0)</f>
        <v/>
      </c>
      <c r="E375">
        <f>IFERROR(INDEX(PP_Grid[#Data],$DD375,3),0)</f>
        <v/>
      </c>
      <c r="F375">
        <f>IFERROR(INDEX(PP_Grid[#Data],$DD375,4),0)</f>
        <v/>
      </c>
      <c r="G375">
        <f>IFERROR(INDEX(PP_Grid[#Data],$DD375,5),0)</f>
        <v/>
      </c>
      <c r="H375">
        <f>IFERROR(INDEX(PP_Grid[#Data],$DD375,6),0)</f>
        <v/>
      </c>
      <c r="I375">
        <f>IFERROR(INDEX(PP_Grid[#Data],$DD375,7),0)</f>
        <v/>
      </c>
      <c r="J375">
        <f>IFERROR(INDEX(PP_Grid[#Data],$DD375,8),0)</f>
        <v/>
      </c>
      <c r="K375">
        <f>IFERROR(INDEX(PP_Grid[#Data],$DD375,9),0)</f>
        <v/>
      </c>
      <c r="L375">
        <f>IFERROR(INDEX(PP_Grid[#Data],$DD375,10),0)</f>
        <v/>
      </c>
      <c r="M375">
        <f>IFERROR(INDEX(PP_Grid[#Data],$DD375,11),0)</f>
        <v/>
      </c>
      <c r="N375">
        <f>IFERROR(INDEX(PP_Grid[#Data],$DD375,12),0)</f>
        <v/>
      </c>
      <c r="O375">
        <f>IFERROR(INDEX(PP_Grid[#Data],$DD375,13),0)</f>
        <v/>
      </c>
      <c r="P375">
        <f>IFERROR(INDEX(PP_Grid[#Data],$DD375,14),0)</f>
        <v/>
      </c>
      <c r="Q375">
        <f>IFERROR(INDEX(PP_Grid[#Data],$DD375,15),0)</f>
        <v/>
      </c>
      <c r="R375">
        <f>IFERROR(INDEX(PP_Grid[#Data],$DD375,16),0)</f>
        <v/>
      </c>
      <c r="S375">
        <f>IFERROR(INDEX(PP_Grid[#Data],$DD375,17),0)</f>
        <v/>
      </c>
      <c r="T375">
        <f>IFERROR(INDEX(PP_Grid[#Data],$DD375,18),0)</f>
        <v/>
      </c>
      <c r="U375">
        <f>IFERROR(INDEX(PP_Grid[#Data],$DD375,19),0)</f>
        <v/>
      </c>
      <c r="V375">
        <f>IFERROR(INDEX(PP_Grid[#Data],$DD375,20),0)</f>
        <v/>
      </c>
      <c r="W375">
        <f>IFERROR(INDEX(PP_Grid[#Data],$DD375,21),0)</f>
        <v/>
      </c>
      <c r="X375">
        <f>IFERROR(INDEX(PP_Grid[#Data],$DD375,22),0)</f>
        <v/>
      </c>
      <c r="Y375">
        <f>IFERROR(INDEX(PP_Grid[#Data],$DD375,23),0)</f>
        <v/>
      </c>
      <c r="Z375">
        <f>IFERROR(INDEX(PP_Grid[#Data],$DD375,24),0)</f>
        <v/>
      </c>
      <c r="AA375">
        <f>IFERROR(INDEX(PP_Grid[#Data],$DD375,25),0)</f>
        <v/>
      </c>
      <c r="AB375">
        <f>IFERROR(INDEX(PP_Grid[#Data],$DD375,26),0)</f>
        <v/>
      </c>
      <c r="AC375">
        <f>IFERROR(INDEX(PP_Grid[#Data],$DD375,27),0)</f>
        <v/>
      </c>
      <c r="AD375">
        <f>IFERROR(INDEX(PP_Grid[#Data],$DD375,28),0)</f>
        <v/>
      </c>
      <c r="AE375">
        <f>IFERROR(INDEX(PP_Grid[#Data],$DD375,29),0)</f>
        <v/>
      </c>
      <c r="AF375">
        <f>IFERROR(INDEX(PP_Grid[#Data],$DD375,30),0)</f>
        <v/>
      </c>
      <c r="AG375">
        <f>IFERROR(INDEX(PP_Grid[#Data],$DD375,31),0)</f>
        <v/>
      </c>
      <c r="AH375">
        <f>IFERROR(INDEX(PP_Grid[#Data],$DD375,32),0)</f>
        <v/>
      </c>
      <c r="AI375">
        <f>IFERROR(INDEX(PP_Grid[#Data],$DD375,33),0)</f>
        <v/>
      </c>
      <c r="AJ375">
        <f>IFERROR(INDEX(PP_Grid[#Data],$DD375,34),0)</f>
        <v/>
      </c>
      <c r="AK375">
        <f>IFERROR(INDEX(PP_Grid[#Data],$DD375,35),0)</f>
        <v/>
      </c>
      <c r="AL375">
        <f>IFERROR(INDEX(PP_Grid[#Data],$DD375,36),0)</f>
        <v/>
      </c>
      <c r="AM375">
        <f>IFERROR(INDEX(PP_Grid[#Data],$DD375,37),0)</f>
        <v/>
      </c>
      <c r="AN375">
        <f>IFERROR(INDEX(PP_Grid[#Data],$DD375,38),0)</f>
        <v/>
      </c>
      <c r="AO375">
        <f>IFERROR(INDEX(PP_Grid[#Data],$DD375,39),0)</f>
        <v/>
      </c>
      <c r="AP375">
        <f>IFERROR(INDEX(PP_Grid[#Data],$DD375,40),0)</f>
        <v/>
      </c>
      <c r="AQ375">
        <f>IFERROR(INDEX(PP_Grid[#Data],$DD375,41),0)</f>
        <v/>
      </c>
      <c r="AR375">
        <f>IFERROR(INDEX(PP_Grid[#Data],$DD375,42),0)</f>
        <v/>
      </c>
      <c r="AS375">
        <f>IFERROR(INDEX(PP_Grid[#Data],$DD375,43),0)</f>
        <v/>
      </c>
      <c r="AT375">
        <f>IFERROR(INDEX(PP_Grid[#Data],$DD375,44),0)</f>
        <v/>
      </c>
      <c r="AU375">
        <f>IFERROR(INDEX(PP_Grid[#Data],$DD375,45),0)</f>
        <v/>
      </c>
      <c r="AV375">
        <f>IFERROR(INDEX(PP_Grid[#Data],$DD375,46),0)</f>
        <v/>
      </c>
      <c r="AW375">
        <f>IFERROR(INDEX(PP_Grid[#Data],$DD375,47),0)</f>
        <v/>
      </c>
      <c r="AX375">
        <f>IFERROR(INDEX(PP_Grid[#Data],$DD375,48),0)</f>
        <v/>
      </c>
      <c r="AY375">
        <f>IFERROR(INDEX(PP_Grid[#Data],$DD375,49),0)</f>
        <v/>
      </c>
      <c r="AZ375">
        <f>IFERROR(INDEX(PP_Grid[#Data],$DD375,50),0)</f>
        <v/>
      </c>
      <c r="BA375">
        <f>IFERROR(INDEX(PP_Grid[#Data],$DD375,51),0)</f>
        <v/>
      </c>
      <c r="BB375">
        <f>IFERROR(INDEX(PP_Grid[#Data],$DD375,52),0)</f>
        <v/>
      </c>
      <c r="BC375">
        <f>IFERROR(INDEX(PP_Grid[#Data],$DD375,53),0)</f>
        <v/>
      </c>
      <c r="BD375">
        <f>IFERROR(INDEX(PP_Grid[#Data],$DD375,54),0)</f>
        <v/>
      </c>
      <c r="BE375">
        <f>IFERROR(INDEX(PP_Grid[#Data],$DD375,55),0)</f>
        <v/>
      </c>
      <c r="BF375">
        <f>IFERROR(INDEX(PP_Grid[#Data],$DD375,56),0)</f>
        <v/>
      </c>
      <c r="BG375">
        <f>IFERROR(INDEX(PP_Grid[#Data],$DD375,57),0)</f>
        <v/>
      </c>
      <c r="BH375">
        <f>IFERROR(INDEX(PP_Grid[#Data],$DD375,58),0)</f>
        <v/>
      </c>
      <c r="BI375">
        <f>IFERROR(INDEX(PP_Grid[#Data],$DD375,59),0)</f>
        <v/>
      </c>
      <c r="BJ375">
        <f>IFERROR(INDEX(PP_Grid[#Data],$DD375,60),0)</f>
        <v/>
      </c>
      <c r="BK375">
        <f>IFERROR(INDEX(PP_Grid[#Data],$DD375,61),0)</f>
        <v/>
      </c>
      <c r="BL375">
        <f>IFERROR(INDEX(PP_Grid[#Data],$DD375,62),0)</f>
        <v/>
      </c>
      <c r="BM375">
        <f>IFERROR(INDEX(PP_Grid[#Data],$DD375,63),0)</f>
        <v/>
      </c>
      <c r="BN375">
        <f>IFERROR(INDEX(PP_Grid[#Data],$DD375,64),0)</f>
        <v/>
      </c>
      <c r="BO375">
        <f>IFERROR(INDEX(PP_Grid[#Data],$DD375,65),0)</f>
        <v/>
      </c>
      <c r="BP375">
        <f>IFERROR(INDEX(PP_Grid[#Data],$DD375,66),0)</f>
        <v/>
      </c>
      <c r="BQ375">
        <f>IFERROR(INDEX(PP_Grid[#Data],$DD375,67),0)</f>
        <v/>
      </c>
      <c r="BR375">
        <f>IFERROR(INDEX(PP_Grid[#Data],$DD375,68),0)</f>
        <v/>
      </c>
      <c r="BS375">
        <f>IFERROR(INDEX(PP_Grid[#Data],$DD375,69),0)</f>
        <v/>
      </c>
      <c r="BT375">
        <f>IFERROR(INDEX(PP_Grid[#Data],$DD375,70),0)</f>
        <v/>
      </c>
      <c r="BU375">
        <f>IFERROR(INDEX(PP_Grid[#Data],$DD375,71),0)</f>
        <v/>
      </c>
      <c r="BV375">
        <f>IFERROR(INDEX(PP_Grid[#Data],$DD375,72),0)</f>
        <v/>
      </c>
      <c r="BW375">
        <f>IFERROR(INDEX(PP_Grid[#Data],$DD375,73),0)</f>
        <v/>
      </c>
      <c r="BX375">
        <f>IFERROR(INDEX(PP_Grid[#Data],$DD375,74),0)</f>
        <v/>
      </c>
      <c r="BY375">
        <f>IFERROR(INDEX(PP_Grid[#Data],$DD375,75),0)</f>
        <v/>
      </c>
      <c r="BZ375">
        <f>IFERROR(INDEX(PP_Grid[#Data],$DD375,76),0)</f>
        <v/>
      </c>
      <c r="CA375">
        <f>IFERROR(INDEX(PP_Grid[#Data],$DD375,77),0)</f>
        <v/>
      </c>
      <c r="CB375">
        <f>IFERROR(INDEX(PP_Grid[#Data],$DD375,78),0)</f>
        <v/>
      </c>
      <c r="CC375">
        <f>IFERROR(INDEX(PP_Grid[#Data],$DD375,79),0)</f>
        <v/>
      </c>
      <c r="CD375">
        <f>IFERROR(INDEX(PP_Grid[#Data],$DD375,80),0)</f>
        <v/>
      </c>
      <c r="CE375">
        <f>IFERROR(INDEX(PP_Grid[#Data],$DD375,81),0)</f>
        <v/>
      </c>
      <c r="CF375">
        <f>IFERROR(INDEX(PP_Grid[#Data],$DD375,82),0)</f>
        <v/>
      </c>
      <c r="CG375">
        <f>IFERROR(INDEX(PP_Grid[#Data],$DD375,83),0)</f>
        <v/>
      </c>
      <c r="CH375">
        <f>IFERROR(INDEX(PP_Grid[#Data],$DD375,84),0)</f>
        <v/>
      </c>
      <c r="CI375">
        <f>IFERROR(INDEX(PP_Grid[#Data],$DD375,85),0)</f>
        <v/>
      </c>
      <c r="CJ375">
        <f>IFERROR(INDEX(PP_Grid[#Data],$DD375,86),0)</f>
        <v/>
      </c>
      <c r="CK375">
        <f>IFERROR(INDEX(PP_Grid[#Data],$DD375,87),0)</f>
        <v/>
      </c>
      <c r="CL375">
        <f>IFERROR(INDEX(PP_Grid[#Data],$DD375,88),0)</f>
        <v/>
      </c>
      <c r="CM375">
        <f>IFERROR(INDEX(PP_Grid[#Data],$DD375,89),0)</f>
        <v/>
      </c>
      <c r="CN375">
        <f>IFERROR(INDEX(PP_Grid[#Data],$DD375,90),0)</f>
        <v/>
      </c>
      <c r="CO375">
        <f>IFERROR(INDEX(PP_Grid[#Data],$DD375,91),0)</f>
        <v/>
      </c>
      <c r="CP375">
        <f>IFERROR(INDEX(PP_Grid[#Data],$DD375,92),0)</f>
        <v/>
      </c>
      <c r="CQ375">
        <f>IFERROR(INDEX(PP_Grid[#Data],$DD375,93),0)</f>
        <v/>
      </c>
      <c r="CR375">
        <f>IFERROR(INDEX(PP_Grid[#Data],$DD375,94),0)</f>
        <v/>
      </c>
      <c r="CS375">
        <f>IFERROR(INDEX(PP_Grid[#Data],$DD375,95),0)</f>
        <v/>
      </c>
      <c r="CT375">
        <f>IFERROR(INDEX(PP_Grid[#Data],$DD375,96),0)</f>
        <v/>
      </c>
      <c r="CU375">
        <f>IFERROR(INDEX(PP_Grid[#Data],$DD375,97),0)</f>
        <v/>
      </c>
      <c r="CV375">
        <f>IFERROR(INDEX(PP_Grid[#Data],$DD375,98),0)</f>
        <v/>
      </c>
      <c r="CW375">
        <f>IFERROR(INDEX(PP_Grid[#Data],$DD375,99),0)</f>
        <v/>
      </c>
      <c r="CX375">
        <f>IFERROR(INDEX(PP_Grid[#Data],$DD375,100),0)</f>
        <v/>
      </c>
      <c r="CY375">
        <f>IFERROR(INDEX(PP_Grid[#Data],$DD375,101),0)</f>
        <v/>
      </c>
      <c r="CZ375">
        <f>IFERROR(INDEX(PP_Grid[#Data],$DD375,102),0)</f>
        <v/>
      </c>
      <c r="DA375">
        <f>IFERROR(INDEX(PP_Grid[#Data],$DD375,103),0)</f>
        <v/>
      </c>
      <c r="DB375">
        <f>IFERROR(INDEX(PP_Grid[#Data],$DD375,104),0)</f>
        <v/>
      </c>
      <c r="DC375">
        <f>IFERROR(INDEX(PP_Grid[#Data],$DD375,105),0)</f>
        <v/>
      </c>
      <c r="DD375" s="7">
        <f>IFERROR(MATCH($B375,PP_Grid[Intermediate],0),99999)</f>
        <v/>
      </c>
    </row>
    <row r="376">
      <c r="B376" t="inlineStr">
        <is>
          <t>使用量(kg)</t>
        </is>
      </c>
      <c r="C376">
        <f>SUMIFS(M_BOM[RM_Qty_Per_Batch],M_BOM[Intermediate],$B375,M_BOM[Part Name],$A340)</f>
        <v/>
      </c>
      <c r="D376">
        <f>$C376*D375</f>
        <v/>
      </c>
      <c r="E376">
        <f>$C376*E375</f>
        <v/>
      </c>
      <c r="F376">
        <f>$C376*F375</f>
        <v/>
      </c>
      <c r="G376">
        <f>$C376*G375</f>
        <v/>
      </c>
      <c r="H376">
        <f>$C376*H375</f>
        <v/>
      </c>
      <c r="I376">
        <f>$C376*I375</f>
        <v/>
      </c>
      <c r="J376">
        <f>$C376*J375</f>
        <v/>
      </c>
      <c r="K376">
        <f>$C376*K375</f>
        <v/>
      </c>
      <c r="L376">
        <f>$C376*L375</f>
        <v/>
      </c>
      <c r="M376">
        <f>$C376*M375</f>
        <v/>
      </c>
      <c r="N376">
        <f>$C376*N375</f>
        <v/>
      </c>
      <c r="O376">
        <f>$C376*O375</f>
        <v/>
      </c>
      <c r="P376">
        <f>$C376*P375</f>
        <v/>
      </c>
      <c r="Q376">
        <f>$C376*Q375</f>
        <v/>
      </c>
      <c r="R376">
        <f>$C376*R375</f>
        <v/>
      </c>
      <c r="S376">
        <f>$C376*S375</f>
        <v/>
      </c>
      <c r="T376">
        <f>$C376*T375</f>
        <v/>
      </c>
      <c r="U376">
        <f>$C376*U375</f>
        <v/>
      </c>
      <c r="V376">
        <f>$C376*V375</f>
        <v/>
      </c>
      <c r="W376">
        <f>$C376*W375</f>
        <v/>
      </c>
      <c r="X376">
        <f>$C376*X375</f>
        <v/>
      </c>
      <c r="Y376">
        <f>$C376*Y375</f>
        <v/>
      </c>
      <c r="Z376">
        <f>$C376*Z375</f>
        <v/>
      </c>
      <c r="AA376">
        <f>$C376*AA375</f>
        <v/>
      </c>
      <c r="AB376">
        <f>$C376*AB375</f>
        <v/>
      </c>
      <c r="AC376">
        <f>$C376*AC375</f>
        <v/>
      </c>
      <c r="AD376">
        <f>$C376*AD375</f>
        <v/>
      </c>
      <c r="AE376">
        <f>$C376*AE375</f>
        <v/>
      </c>
      <c r="AF376">
        <f>$C376*AF375</f>
        <v/>
      </c>
      <c r="AG376">
        <f>$C376*AG375</f>
        <v/>
      </c>
      <c r="AH376">
        <f>$C376*AH375</f>
        <v/>
      </c>
      <c r="AI376">
        <f>$C376*AI375</f>
        <v/>
      </c>
      <c r="AJ376">
        <f>$C376*AJ375</f>
        <v/>
      </c>
      <c r="AK376">
        <f>$C376*AK375</f>
        <v/>
      </c>
      <c r="AL376">
        <f>$C376*AL375</f>
        <v/>
      </c>
      <c r="AM376">
        <f>$C376*AM375</f>
        <v/>
      </c>
      <c r="AN376">
        <f>$C376*AN375</f>
        <v/>
      </c>
      <c r="AO376">
        <f>$C376*AO375</f>
        <v/>
      </c>
      <c r="AP376">
        <f>$C376*AP375</f>
        <v/>
      </c>
      <c r="AQ376">
        <f>$C376*AQ375</f>
        <v/>
      </c>
      <c r="AR376">
        <f>$C376*AR375</f>
        <v/>
      </c>
      <c r="AS376">
        <f>$C376*AS375</f>
        <v/>
      </c>
      <c r="AT376">
        <f>$C376*AT375</f>
        <v/>
      </c>
      <c r="AU376">
        <f>$C376*AU375</f>
        <v/>
      </c>
      <c r="AV376">
        <f>$C376*AV375</f>
        <v/>
      </c>
      <c r="AW376">
        <f>$C376*AW375</f>
        <v/>
      </c>
      <c r="AX376">
        <f>$C376*AX375</f>
        <v/>
      </c>
      <c r="AY376">
        <f>$C376*AY375</f>
        <v/>
      </c>
      <c r="AZ376">
        <f>$C376*AZ375</f>
        <v/>
      </c>
      <c r="BA376">
        <f>$C376*BA375</f>
        <v/>
      </c>
      <c r="BB376">
        <f>$C376*BB375</f>
        <v/>
      </c>
      <c r="BC376">
        <f>$C376*BC375</f>
        <v/>
      </c>
      <c r="BD376">
        <f>$C376*BD375</f>
        <v/>
      </c>
      <c r="BE376">
        <f>$C376*BE375</f>
        <v/>
      </c>
      <c r="BF376">
        <f>$C376*BF375</f>
        <v/>
      </c>
      <c r="BG376">
        <f>$C376*BG375</f>
        <v/>
      </c>
      <c r="BH376">
        <f>$C376*BH375</f>
        <v/>
      </c>
      <c r="BI376">
        <f>$C376*BI375</f>
        <v/>
      </c>
      <c r="BJ376">
        <f>$C376*BJ375</f>
        <v/>
      </c>
      <c r="BK376">
        <f>$C376*BK375</f>
        <v/>
      </c>
      <c r="BL376">
        <f>$C376*BL375</f>
        <v/>
      </c>
      <c r="BM376">
        <f>$C376*BM375</f>
        <v/>
      </c>
      <c r="BN376">
        <f>$C376*BN375</f>
        <v/>
      </c>
      <c r="BO376">
        <f>$C376*BO375</f>
        <v/>
      </c>
      <c r="BP376">
        <f>$C376*BP375</f>
        <v/>
      </c>
      <c r="BQ376">
        <f>$C376*BQ375</f>
        <v/>
      </c>
      <c r="BR376">
        <f>$C376*BR375</f>
        <v/>
      </c>
      <c r="BS376">
        <f>$C376*BS375</f>
        <v/>
      </c>
      <c r="BT376">
        <f>$C376*BT375</f>
        <v/>
      </c>
      <c r="BU376">
        <f>$C376*BU375</f>
        <v/>
      </c>
      <c r="BV376">
        <f>$C376*BV375</f>
        <v/>
      </c>
      <c r="BW376">
        <f>$C376*BW375</f>
        <v/>
      </c>
      <c r="BX376">
        <f>$C376*BX375</f>
        <v/>
      </c>
      <c r="BY376">
        <f>$C376*BY375</f>
        <v/>
      </c>
      <c r="BZ376">
        <f>$C376*BZ375</f>
        <v/>
      </c>
      <c r="CA376">
        <f>$C376*CA375</f>
        <v/>
      </c>
      <c r="CB376">
        <f>$C376*CB375</f>
        <v/>
      </c>
      <c r="CC376">
        <f>$C376*CC375</f>
        <v/>
      </c>
      <c r="CD376">
        <f>$C376*CD375</f>
        <v/>
      </c>
      <c r="CE376">
        <f>$C376*CE375</f>
        <v/>
      </c>
      <c r="CF376">
        <f>$C376*CF375</f>
        <v/>
      </c>
      <c r="CG376">
        <f>$C376*CG375</f>
        <v/>
      </c>
      <c r="CH376">
        <f>$C376*CH375</f>
        <v/>
      </c>
      <c r="CI376">
        <f>$C376*CI375</f>
        <v/>
      </c>
      <c r="CJ376">
        <f>$C376*CJ375</f>
        <v/>
      </c>
      <c r="CK376">
        <f>$C376*CK375</f>
        <v/>
      </c>
      <c r="CL376">
        <f>$C376*CL375</f>
        <v/>
      </c>
      <c r="CM376">
        <f>$C376*CM375</f>
        <v/>
      </c>
      <c r="CN376">
        <f>$C376*CN375</f>
        <v/>
      </c>
      <c r="CO376">
        <f>$C376*CO375</f>
        <v/>
      </c>
      <c r="CP376">
        <f>$C376*CP375</f>
        <v/>
      </c>
      <c r="CQ376">
        <f>$C376*CQ375</f>
        <v/>
      </c>
      <c r="CR376">
        <f>$C376*CR375</f>
        <v/>
      </c>
      <c r="CS376">
        <f>$C376*CS375</f>
        <v/>
      </c>
      <c r="CT376">
        <f>$C376*CT375</f>
        <v/>
      </c>
      <c r="CU376">
        <f>$C376*CU375</f>
        <v/>
      </c>
      <c r="CV376">
        <f>$C376*CV375</f>
        <v/>
      </c>
      <c r="CW376">
        <f>$C376*CW375</f>
        <v/>
      </c>
      <c r="CX376">
        <f>$C376*CX375</f>
        <v/>
      </c>
      <c r="CY376">
        <f>$C376*CY375</f>
        <v/>
      </c>
      <c r="CZ376">
        <f>$C376*CZ375</f>
        <v/>
      </c>
      <c r="DA376">
        <f>$C376*DA375</f>
        <v/>
      </c>
      <c r="DB376">
        <f>$C376*DB375</f>
        <v/>
      </c>
      <c r="DC376">
        <f>$C376*DC375</f>
        <v/>
      </c>
    </row>
    <row r="377">
      <c r="B377" t="inlineStr">
        <is>
          <t>TSP-618</t>
        </is>
      </c>
      <c r="C377" t="inlineStr">
        <is>
          <t>No. of batches</t>
        </is>
      </c>
      <c r="D377">
        <f>IFERROR(INDEX(PP_Grid[#Data],$DD377,2),0)</f>
        <v/>
      </c>
      <c r="E377">
        <f>IFERROR(INDEX(PP_Grid[#Data],$DD377,3),0)</f>
        <v/>
      </c>
      <c r="F377">
        <f>IFERROR(INDEX(PP_Grid[#Data],$DD377,4),0)</f>
        <v/>
      </c>
      <c r="G377">
        <f>IFERROR(INDEX(PP_Grid[#Data],$DD377,5),0)</f>
        <v/>
      </c>
      <c r="H377">
        <f>IFERROR(INDEX(PP_Grid[#Data],$DD377,6),0)</f>
        <v/>
      </c>
      <c r="I377">
        <f>IFERROR(INDEX(PP_Grid[#Data],$DD377,7),0)</f>
        <v/>
      </c>
      <c r="J377">
        <f>IFERROR(INDEX(PP_Grid[#Data],$DD377,8),0)</f>
        <v/>
      </c>
      <c r="K377">
        <f>IFERROR(INDEX(PP_Grid[#Data],$DD377,9),0)</f>
        <v/>
      </c>
      <c r="L377">
        <f>IFERROR(INDEX(PP_Grid[#Data],$DD377,10),0)</f>
        <v/>
      </c>
      <c r="M377">
        <f>IFERROR(INDEX(PP_Grid[#Data],$DD377,11),0)</f>
        <v/>
      </c>
      <c r="N377">
        <f>IFERROR(INDEX(PP_Grid[#Data],$DD377,12),0)</f>
        <v/>
      </c>
      <c r="O377">
        <f>IFERROR(INDEX(PP_Grid[#Data],$DD377,13),0)</f>
        <v/>
      </c>
      <c r="P377">
        <f>IFERROR(INDEX(PP_Grid[#Data],$DD377,14),0)</f>
        <v/>
      </c>
      <c r="Q377">
        <f>IFERROR(INDEX(PP_Grid[#Data],$DD377,15),0)</f>
        <v/>
      </c>
      <c r="R377">
        <f>IFERROR(INDEX(PP_Grid[#Data],$DD377,16),0)</f>
        <v/>
      </c>
      <c r="S377">
        <f>IFERROR(INDEX(PP_Grid[#Data],$DD377,17),0)</f>
        <v/>
      </c>
      <c r="T377">
        <f>IFERROR(INDEX(PP_Grid[#Data],$DD377,18),0)</f>
        <v/>
      </c>
      <c r="U377">
        <f>IFERROR(INDEX(PP_Grid[#Data],$DD377,19),0)</f>
        <v/>
      </c>
      <c r="V377">
        <f>IFERROR(INDEX(PP_Grid[#Data],$DD377,20),0)</f>
        <v/>
      </c>
      <c r="W377">
        <f>IFERROR(INDEX(PP_Grid[#Data],$DD377,21),0)</f>
        <v/>
      </c>
      <c r="X377">
        <f>IFERROR(INDEX(PP_Grid[#Data],$DD377,22),0)</f>
        <v/>
      </c>
      <c r="Y377">
        <f>IFERROR(INDEX(PP_Grid[#Data],$DD377,23),0)</f>
        <v/>
      </c>
      <c r="Z377">
        <f>IFERROR(INDEX(PP_Grid[#Data],$DD377,24),0)</f>
        <v/>
      </c>
      <c r="AA377">
        <f>IFERROR(INDEX(PP_Grid[#Data],$DD377,25),0)</f>
        <v/>
      </c>
      <c r="AB377">
        <f>IFERROR(INDEX(PP_Grid[#Data],$DD377,26),0)</f>
        <v/>
      </c>
      <c r="AC377">
        <f>IFERROR(INDEX(PP_Grid[#Data],$DD377,27),0)</f>
        <v/>
      </c>
      <c r="AD377">
        <f>IFERROR(INDEX(PP_Grid[#Data],$DD377,28),0)</f>
        <v/>
      </c>
      <c r="AE377">
        <f>IFERROR(INDEX(PP_Grid[#Data],$DD377,29),0)</f>
        <v/>
      </c>
      <c r="AF377">
        <f>IFERROR(INDEX(PP_Grid[#Data],$DD377,30),0)</f>
        <v/>
      </c>
      <c r="AG377">
        <f>IFERROR(INDEX(PP_Grid[#Data],$DD377,31),0)</f>
        <v/>
      </c>
      <c r="AH377">
        <f>IFERROR(INDEX(PP_Grid[#Data],$DD377,32),0)</f>
        <v/>
      </c>
      <c r="AI377">
        <f>IFERROR(INDEX(PP_Grid[#Data],$DD377,33),0)</f>
        <v/>
      </c>
      <c r="AJ377">
        <f>IFERROR(INDEX(PP_Grid[#Data],$DD377,34),0)</f>
        <v/>
      </c>
      <c r="AK377">
        <f>IFERROR(INDEX(PP_Grid[#Data],$DD377,35),0)</f>
        <v/>
      </c>
      <c r="AL377">
        <f>IFERROR(INDEX(PP_Grid[#Data],$DD377,36),0)</f>
        <v/>
      </c>
      <c r="AM377">
        <f>IFERROR(INDEX(PP_Grid[#Data],$DD377,37),0)</f>
        <v/>
      </c>
      <c r="AN377">
        <f>IFERROR(INDEX(PP_Grid[#Data],$DD377,38),0)</f>
        <v/>
      </c>
      <c r="AO377">
        <f>IFERROR(INDEX(PP_Grid[#Data],$DD377,39),0)</f>
        <v/>
      </c>
      <c r="AP377">
        <f>IFERROR(INDEX(PP_Grid[#Data],$DD377,40),0)</f>
        <v/>
      </c>
      <c r="AQ377">
        <f>IFERROR(INDEX(PP_Grid[#Data],$DD377,41),0)</f>
        <v/>
      </c>
      <c r="AR377">
        <f>IFERROR(INDEX(PP_Grid[#Data],$DD377,42),0)</f>
        <v/>
      </c>
      <c r="AS377">
        <f>IFERROR(INDEX(PP_Grid[#Data],$DD377,43),0)</f>
        <v/>
      </c>
      <c r="AT377">
        <f>IFERROR(INDEX(PP_Grid[#Data],$DD377,44),0)</f>
        <v/>
      </c>
      <c r="AU377">
        <f>IFERROR(INDEX(PP_Grid[#Data],$DD377,45),0)</f>
        <v/>
      </c>
      <c r="AV377">
        <f>IFERROR(INDEX(PP_Grid[#Data],$DD377,46),0)</f>
        <v/>
      </c>
      <c r="AW377">
        <f>IFERROR(INDEX(PP_Grid[#Data],$DD377,47),0)</f>
        <v/>
      </c>
      <c r="AX377">
        <f>IFERROR(INDEX(PP_Grid[#Data],$DD377,48),0)</f>
        <v/>
      </c>
      <c r="AY377">
        <f>IFERROR(INDEX(PP_Grid[#Data],$DD377,49),0)</f>
        <v/>
      </c>
      <c r="AZ377">
        <f>IFERROR(INDEX(PP_Grid[#Data],$DD377,50),0)</f>
        <v/>
      </c>
      <c r="BA377">
        <f>IFERROR(INDEX(PP_Grid[#Data],$DD377,51),0)</f>
        <v/>
      </c>
      <c r="BB377">
        <f>IFERROR(INDEX(PP_Grid[#Data],$DD377,52),0)</f>
        <v/>
      </c>
      <c r="BC377">
        <f>IFERROR(INDEX(PP_Grid[#Data],$DD377,53),0)</f>
        <v/>
      </c>
      <c r="BD377">
        <f>IFERROR(INDEX(PP_Grid[#Data],$DD377,54),0)</f>
        <v/>
      </c>
      <c r="BE377">
        <f>IFERROR(INDEX(PP_Grid[#Data],$DD377,55),0)</f>
        <v/>
      </c>
      <c r="BF377">
        <f>IFERROR(INDEX(PP_Grid[#Data],$DD377,56),0)</f>
        <v/>
      </c>
      <c r="BG377">
        <f>IFERROR(INDEX(PP_Grid[#Data],$DD377,57),0)</f>
        <v/>
      </c>
      <c r="BH377">
        <f>IFERROR(INDEX(PP_Grid[#Data],$DD377,58),0)</f>
        <v/>
      </c>
      <c r="BI377">
        <f>IFERROR(INDEX(PP_Grid[#Data],$DD377,59),0)</f>
        <v/>
      </c>
      <c r="BJ377">
        <f>IFERROR(INDEX(PP_Grid[#Data],$DD377,60),0)</f>
        <v/>
      </c>
      <c r="BK377">
        <f>IFERROR(INDEX(PP_Grid[#Data],$DD377,61),0)</f>
        <v/>
      </c>
      <c r="BL377">
        <f>IFERROR(INDEX(PP_Grid[#Data],$DD377,62),0)</f>
        <v/>
      </c>
      <c r="BM377">
        <f>IFERROR(INDEX(PP_Grid[#Data],$DD377,63),0)</f>
        <v/>
      </c>
      <c r="BN377">
        <f>IFERROR(INDEX(PP_Grid[#Data],$DD377,64),0)</f>
        <v/>
      </c>
      <c r="BO377">
        <f>IFERROR(INDEX(PP_Grid[#Data],$DD377,65),0)</f>
        <v/>
      </c>
      <c r="BP377">
        <f>IFERROR(INDEX(PP_Grid[#Data],$DD377,66),0)</f>
        <v/>
      </c>
      <c r="BQ377">
        <f>IFERROR(INDEX(PP_Grid[#Data],$DD377,67),0)</f>
        <v/>
      </c>
      <c r="BR377">
        <f>IFERROR(INDEX(PP_Grid[#Data],$DD377,68),0)</f>
        <v/>
      </c>
      <c r="BS377">
        <f>IFERROR(INDEX(PP_Grid[#Data],$DD377,69),0)</f>
        <v/>
      </c>
      <c r="BT377">
        <f>IFERROR(INDEX(PP_Grid[#Data],$DD377,70),0)</f>
        <v/>
      </c>
      <c r="BU377">
        <f>IFERROR(INDEX(PP_Grid[#Data],$DD377,71),0)</f>
        <v/>
      </c>
      <c r="BV377">
        <f>IFERROR(INDEX(PP_Grid[#Data],$DD377,72),0)</f>
        <v/>
      </c>
      <c r="BW377">
        <f>IFERROR(INDEX(PP_Grid[#Data],$DD377,73),0)</f>
        <v/>
      </c>
      <c r="BX377">
        <f>IFERROR(INDEX(PP_Grid[#Data],$DD377,74),0)</f>
        <v/>
      </c>
      <c r="BY377">
        <f>IFERROR(INDEX(PP_Grid[#Data],$DD377,75),0)</f>
        <v/>
      </c>
      <c r="BZ377">
        <f>IFERROR(INDEX(PP_Grid[#Data],$DD377,76),0)</f>
        <v/>
      </c>
      <c r="CA377">
        <f>IFERROR(INDEX(PP_Grid[#Data],$DD377,77),0)</f>
        <v/>
      </c>
      <c r="CB377">
        <f>IFERROR(INDEX(PP_Grid[#Data],$DD377,78),0)</f>
        <v/>
      </c>
      <c r="CC377">
        <f>IFERROR(INDEX(PP_Grid[#Data],$DD377,79),0)</f>
        <v/>
      </c>
      <c r="CD377">
        <f>IFERROR(INDEX(PP_Grid[#Data],$DD377,80),0)</f>
        <v/>
      </c>
      <c r="CE377">
        <f>IFERROR(INDEX(PP_Grid[#Data],$DD377,81),0)</f>
        <v/>
      </c>
      <c r="CF377">
        <f>IFERROR(INDEX(PP_Grid[#Data],$DD377,82),0)</f>
        <v/>
      </c>
      <c r="CG377">
        <f>IFERROR(INDEX(PP_Grid[#Data],$DD377,83),0)</f>
        <v/>
      </c>
      <c r="CH377">
        <f>IFERROR(INDEX(PP_Grid[#Data],$DD377,84),0)</f>
        <v/>
      </c>
      <c r="CI377">
        <f>IFERROR(INDEX(PP_Grid[#Data],$DD377,85),0)</f>
        <v/>
      </c>
      <c r="CJ377">
        <f>IFERROR(INDEX(PP_Grid[#Data],$DD377,86),0)</f>
        <v/>
      </c>
      <c r="CK377">
        <f>IFERROR(INDEX(PP_Grid[#Data],$DD377,87),0)</f>
        <v/>
      </c>
      <c r="CL377">
        <f>IFERROR(INDEX(PP_Grid[#Data],$DD377,88),0)</f>
        <v/>
      </c>
      <c r="CM377">
        <f>IFERROR(INDEX(PP_Grid[#Data],$DD377,89),0)</f>
        <v/>
      </c>
      <c r="CN377">
        <f>IFERROR(INDEX(PP_Grid[#Data],$DD377,90),0)</f>
        <v/>
      </c>
      <c r="CO377">
        <f>IFERROR(INDEX(PP_Grid[#Data],$DD377,91),0)</f>
        <v/>
      </c>
      <c r="CP377">
        <f>IFERROR(INDEX(PP_Grid[#Data],$DD377,92),0)</f>
        <v/>
      </c>
      <c r="CQ377">
        <f>IFERROR(INDEX(PP_Grid[#Data],$DD377,93),0)</f>
        <v/>
      </c>
      <c r="CR377">
        <f>IFERROR(INDEX(PP_Grid[#Data],$DD377,94),0)</f>
        <v/>
      </c>
      <c r="CS377">
        <f>IFERROR(INDEX(PP_Grid[#Data],$DD377,95),0)</f>
        <v/>
      </c>
      <c r="CT377">
        <f>IFERROR(INDEX(PP_Grid[#Data],$DD377,96),0)</f>
        <v/>
      </c>
      <c r="CU377">
        <f>IFERROR(INDEX(PP_Grid[#Data],$DD377,97),0)</f>
        <v/>
      </c>
      <c r="CV377">
        <f>IFERROR(INDEX(PP_Grid[#Data],$DD377,98),0)</f>
        <v/>
      </c>
      <c r="CW377">
        <f>IFERROR(INDEX(PP_Grid[#Data],$DD377,99),0)</f>
        <v/>
      </c>
      <c r="CX377">
        <f>IFERROR(INDEX(PP_Grid[#Data],$DD377,100),0)</f>
        <v/>
      </c>
      <c r="CY377">
        <f>IFERROR(INDEX(PP_Grid[#Data],$DD377,101),0)</f>
        <v/>
      </c>
      <c r="CZ377">
        <f>IFERROR(INDEX(PP_Grid[#Data],$DD377,102),0)</f>
        <v/>
      </c>
      <c r="DA377">
        <f>IFERROR(INDEX(PP_Grid[#Data],$DD377,103),0)</f>
        <v/>
      </c>
      <c r="DB377">
        <f>IFERROR(INDEX(PP_Grid[#Data],$DD377,104),0)</f>
        <v/>
      </c>
      <c r="DC377">
        <f>IFERROR(INDEX(PP_Grid[#Data],$DD377,105),0)</f>
        <v/>
      </c>
      <c r="DD377" s="7">
        <f>IFERROR(MATCH($B377,PP_Grid[Intermediate],0),99999)</f>
        <v/>
      </c>
    </row>
    <row r="378">
      <c r="B378" t="inlineStr">
        <is>
          <t>使用量(kg)</t>
        </is>
      </c>
      <c r="C378">
        <f>SUMIFS(M_BOM[RM_Qty_Per_Batch],M_BOM[Intermediate],$B377,M_BOM[Part Name],$A340)</f>
        <v/>
      </c>
      <c r="D378">
        <f>$C378*D377</f>
        <v/>
      </c>
      <c r="E378">
        <f>$C378*E377</f>
        <v/>
      </c>
      <c r="F378">
        <f>$C378*F377</f>
        <v/>
      </c>
      <c r="G378">
        <f>$C378*G377</f>
        <v/>
      </c>
      <c r="H378">
        <f>$C378*H377</f>
        <v/>
      </c>
      <c r="I378">
        <f>$C378*I377</f>
        <v/>
      </c>
      <c r="J378">
        <f>$C378*J377</f>
        <v/>
      </c>
      <c r="K378">
        <f>$C378*K377</f>
        <v/>
      </c>
      <c r="L378">
        <f>$C378*L377</f>
        <v/>
      </c>
      <c r="M378">
        <f>$C378*M377</f>
        <v/>
      </c>
      <c r="N378">
        <f>$C378*N377</f>
        <v/>
      </c>
      <c r="O378">
        <f>$C378*O377</f>
        <v/>
      </c>
      <c r="P378">
        <f>$C378*P377</f>
        <v/>
      </c>
      <c r="Q378">
        <f>$C378*Q377</f>
        <v/>
      </c>
      <c r="R378">
        <f>$C378*R377</f>
        <v/>
      </c>
      <c r="S378">
        <f>$C378*S377</f>
        <v/>
      </c>
      <c r="T378">
        <f>$C378*T377</f>
        <v/>
      </c>
      <c r="U378">
        <f>$C378*U377</f>
        <v/>
      </c>
      <c r="V378">
        <f>$C378*V377</f>
        <v/>
      </c>
      <c r="W378">
        <f>$C378*W377</f>
        <v/>
      </c>
      <c r="X378">
        <f>$C378*X377</f>
        <v/>
      </c>
      <c r="Y378">
        <f>$C378*Y377</f>
        <v/>
      </c>
      <c r="Z378">
        <f>$C378*Z377</f>
        <v/>
      </c>
      <c r="AA378">
        <f>$C378*AA377</f>
        <v/>
      </c>
      <c r="AB378">
        <f>$C378*AB377</f>
        <v/>
      </c>
      <c r="AC378">
        <f>$C378*AC377</f>
        <v/>
      </c>
      <c r="AD378">
        <f>$C378*AD377</f>
        <v/>
      </c>
      <c r="AE378">
        <f>$C378*AE377</f>
        <v/>
      </c>
      <c r="AF378">
        <f>$C378*AF377</f>
        <v/>
      </c>
      <c r="AG378">
        <f>$C378*AG377</f>
        <v/>
      </c>
      <c r="AH378">
        <f>$C378*AH377</f>
        <v/>
      </c>
      <c r="AI378">
        <f>$C378*AI377</f>
        <v/>
      </c>
      <c r="AJ378">
        <f>$C378*AJ377</f>
        <v/>
      </c>
      <c r="AK378">
        <f>$C378*AK377</f>
        <v/>
      </c>
      <c r="AL378">
        <f>$C378*AL377</f>
        <v/>
      </c>
      <c r="AM378">
        <f>$C378*AM377</f>
        <v/>
      </c>
      <c r="AN378">
        <f>$C378*AN377</f>
        <v/>
      </c>
      <c r="AO378">
        <f>$C378*AO377</f>
        <v/>
      </c>
      <c r="AP378">
        <f>$C378*AP377</f>
        <v/>
      </c>
      <c r="AQ378">
        <f>$C378*AQ377</f>
        <v/>
      </c>
      <c r="AR378">
        <f>$C378*AR377</f>
        <v/>
      </c>
      <c r="AS378">
        <f>$C378*AS377</f>
        <v/>
      </c>
      <c r="AT378">
        <f>$C378*AT377</f>
        <v/>
      </c>
      <c r="AU378">
        <f>$C378*AU377</f>
        <v/>
      </c>
      <c r="AV378">
        <f>$C378*AV377</f>
        <v/>
      </c>
      <c r="AW378">
        <f>$C378*AW377</f>
        <v/>
      </c>
      <c r="AX378">
        <f>$C378*AX377</f>
        <v/>
      </c>
      <c r="AY378">
        <f>$C378*AY377</f>
        <v/>
      </c>
      <c r="AZ378">
        <f>$C378*AZ377</f>
        <v/>
      </c>
      <c r="BA378">
        <f>$C378*BA377</f>
        <v/>
      </c>
      <c r="BB378">
        <f>$C378*BB377</f>
        <v/>
      </c>
      <c r="BC378">
        <f>$C378*BC377</f>
        <v/>
      </c>
      <c r="BD378">
        <f>$C378*BD377</f>
        <v/>
      </c>
      <c r="BE378">
        <f>$C378*BE377</f>
        <v/>
      </c>
      <c r="BF378">
        <f>$C378*BF377</f>
        <v/>
      </c>
      <c r="BG378">
        <f>$C378*BG377</f>
        <v/>
      </c>
      <c r="BH378">
        <f>$C378*BH377</f>
        <v/>
      </c>
      <c r="BI378">
        <f>$C378*BI377</f>
        <v/>
      </c>
      <c r="BJ378">
        <f>$C378*BJ377</f>
        <v/>
      </c>
      <c r="BK378">
        <f>$C378*BK377</f>
        <v/>
      </c>
      <c r="BL378">
        <f>$C378*BL377</f>
        <v/>
      </c>
      <c r="BM378">
        <f>$C378*BM377</f>
        <v/>
      </c>
      <c r="BN378">
        <f>$C378*BN377</f>
        <v/>
      </c>
      <c r="BO378">
        <f>$C378*BO377</f>
        <v/>
      </c>
      <c r="BP378">
        <f>$C378*BP377</f>
        <v/>
      </c>
      <c r="BQ378">
        <f>$C378*BQ377</f>
        <v/>
      </c>
      <c r="BR378">
        <f>$C378*BR377</f>
        <v/>
      </c>
      <c r="BS378">
        <f>$C378*BS377</f>
        <v/>
      </c>
      <c r="BT378">
        <f>$C378*BT377</f>
        <v/>
      </c>
      <c r="BU378">
        <f>$C378*BU377</f>
        <v/>
      </c>
      <c r="BV378">
        <f>$C378*BV377</f>
        <v/>
      </c>
      <c r="BW378">
        <f>$C378*BW377</f>
        <v/>
      </c>
      <c r="BX378">
        <f>$C378*BX377</f>
        <v/>
      </c>
      <c r="BY378">
        <f>$C378*BY377</f>
        <v/>
      </c>
      <c r="BZ378">
        <f>$C378*BZ377</f>
        <v/>
      </c>
      <c r="CA378">
        <f>$C378*CA377</f>
        <v/>
      </c>
      <c r="CB378">
        <f>$C378*CB377</f>
        <v/>
      </c>
      <c r="CC378">
        <f>$C378*CC377</f>
        <v/>
      </c>
      <c r="CD378">
        <f>$C378*CD377</f>
        <v/>
      </c>
      <c r="CE378">
        <f>$C378*CE377</f>
        <v/>
      </c>
      <c r="CF378">
        <f>$C378*CF377</f>
        <v/>
      </c>
      <c r="CG378">
        <f>$C378*CG377</f>
        <v/>
      </c>
      <c r="CH378">
        <f>$C378*CH377</f>
        <v/>
      </c>
      <c r="CI378">
        <f>$C378*CI377</f>
        <v/>
      </c>
      <c r="CJ378">
        <f>$C378*CJ377</f>
        <v/>
      </c>
      <c r="CK378">
        <f>$C378*CK377</f>
        <v/>
      </c>
      <c r="CL378">
        <f>$C378*CL377</f>
        <v/>
      </c>
      <c r="CM378">
        <f>$C378*CM377</f>
        <v/>
      </c>
      <c r="CN378">
        <f>$C378*CN377</f>
        <v/>
      </c>
      <c r="CO378">
        <f>$C378*CO377</f>
        <v/>
      </c>
      <c r="CP378">
        <f>$C378*CP377</f>
        <v/>
      </c>
      <c r="CQ378">
        <f>$C378*CQ377</f>
        <v/>
      </c>
      <c r="CR378">
        <f>$C378*CR377</f>
        <v/>
      </c>
      <c r="CS378">
        <f>$C378*CS377</f>
        <v/>
      </c>
      <c r="CT378">
        <f>$C378*CT377</f>
        <v/>
      </c>
      <c r="CU378">
        <f>$C378*CU377</f>
        <v/>
      </c>
      <c r="CV378">
        <f>$C378*CV377</f>
        <v/>
      </c>
      <c r="CW378">
        <f>$C378*CW377</f>
        <v/>
      </c>
      <c r="CX378">
        <f>$C378*CX377</f>
        <v/>
      </c>
      <c r="CY378">
        <f>$C378*CY377</f>
        <v/>
      </c>
      <c r="CZ378">
        <f>$C378*CZ377</f>
        <v/>
      </c>
      <c r="DA378">
        <f>$C378*DA377</f>
        <v/>
      </c>
      <c r="DB378">
        <f>$C378*DB377</f>
        <v/>
      </c>
      <c r="DC378">
        <f>$C378*DC377</f>
        <v/>
      </c>
    </row>
    <row r="379">
      <c r="B379" t="inlineStr">
        <is>
          <t>TSP-620</t>
        </is>
      </c>
      <c r="C379" t="inlineStr">
        <is>
          <t>No. of batches</t>
        </is>
      </c>
      <c r="D379">
        <f>IFERROR(INDEX(PP_Grid[#Data],$DD379,2),0)</f>
        <v/>
      </c>
      <c r="E379">
        <f>IFERROR(INDEX(PP_Grid[#Data],$DD379,3),0)</f>
        <v/>
      </c>
      <c r="F379">
        <f>IFERROR(INDEX(PP_Grid[#Data],$DD379,4),0)</f>
        <v/>
      </c>
      <c r="G379">
        <f>IFERROR(INDEX(PP_Grid[#Data],$DD379,5),0)</f>
        <v/>
      </c>
      <c r="H379">
        <f>IFERROR(INDEX(PP_Grid[#Data],$DD379,6),0)</f>
        <v/>
      </c>
      <c r="I379">
        <f>IFERROR(INDEX(PP_Grid[#Data],$DD379,7),0)</f>
        <v/>
      </c>
      <c r="J379">
        <f>IFERROR(INDEX(PP_Grid[#Data],$DD379,8),0)</f>
        <v/>
      </c>
      <c r="K379">
        <f>IFERROR(INDEX(PP_Grid[#Data],$DD379,9),0)</f>
        <v/>
      </c>
      <c r="L379">
        <f>IFERROR(INDEX(PP_Grid[#Data],$DD379,10),0)</f>
        <v/>
      </c>
      <c r="M379">
        <f>IFERROR(INDEX(PP_Grid[#Data],$DD379,11),0)</f>
        <v/>
      </c>
      <c r="N379">
        <f>IFERROR(INDEX(PP_Grid[#Data],$DD379,12),0)</f>
        <v/>
      </c>
      <c r="O379">
        <f>IFERROR(INDEX(PP_Grid[#Data],$DD379,13),0)</f>
        <v/>
      </c>
      <c r="P379">
        <f>IFERROR(INDEX(PP_Grid[#Data],$DD379,14),0)</f>
        <v/>
      </c>
      <c r="Q379">
        <f>IFERROR(INDEX(PP_Grid[#Data],$DD379,15),0)</f>
        <v/>
      </c>
      <c r="R379">
        <f>IFERROR(INDEX(PP_Grid[#Data],$DD379,16),0)</f>
        <v/>
      </c>
      <c r="S379">
        <f>IFERROR(INDEX(PP_Grid[#Data],$DD379,17),0)</f>
        <v/>
      </c>
      <c r="T379">
        <f>IFERROR(INDEX(PP_Grid[#Data],$DD379,18),0)</f>
        <v/>
      </c>
      <c r="U379">
        <f>IFERROR(INDEX(PP_Grid[#Data],$DD379,19),0)</f>
        <v/>
      </c>
      <c r="V379">
        <f>IFERROR(INDEX(PP_Grid[#Data],$DD379,20),0)</f>
        <v/>
      </c>
      <c r="W379">
        <f>IFERROR(INDEX(PP_Grid[#Data],$DD379,21),0)</f>
        <v/>
      </c>
      <c r="X379">
        <f>IFERROR(INDEX(PP_Grid[#Data],$DD379,22),0)</f>
        <v/>
      </c>
      <c r="Y379">
        <f>IFERROR(INDEX(PP_Grid[#Data],$DD379,23),0)</f>
        <v/>
      </c>
      <c r="Z379">
        <f>IFERROR(INDEX(PP_Grid[#Data],$DD379,24),0)</f>
        <v/>
      </c>
      <c r="AA379">
        <f>IFERROR(INDEX(PP_Grid[#Data],$DD379,25),0)</f>
        <v/>
      </c>
      <c r="AB379">
        <f>IFERROR(INDEX(PP_Grid[#Data],$DD379,26),0)</f>
        <v/>
      </c>
      <c r="AC379">
        <f>IFERROR(INDEX(PP_Grid[#Data],$DD379,27),0)</f>
        <v/>
      </c>
      <c r="AD379">
        <f>IFERROR(INDEX(PP_Grid[#Data],$DD379,28),0)</f>
        <v/>
      </c>
      <c r="AE379">
        <f>IFERROR(INDEX(PP_Grid[#Data],$DD379,29),0)</f>
        <v/>
      </c>
      <c r="AF379">
        <f>IFERROR(INDEX(PP_Grid[#Data],$DD379,30),0)</f>
        <v/>
      </c>
      <c r="AG379">
        <f>IFERROR(INDEX(PP_Grid[#Data],$DD379,31),0)</f>
        <v/>
      </c>
      <c r="AH379">
        <f>IFERROR(INDEX(PP_Grid[#Data],$DD379,32),0)</f>
        <v/>
      </c>
      <c r="AI379">
        <f>IFERROR(INDEX(PP_Grid[#Data],$DD379,33),0)</f>
        <v/>
      </c>
      <c r="AJ379">
        <f>IFERROR(INDEX(PP_Grid[#Data],$DD379,34),0)</f>
        <v/>
      </c>
      <c r="AK379">
        <f>IFERROR(INDEX(PP_Grid[#Data],$DD379,35),0)</f>
        <v/>
      </c>
      <c r="AL379">
        <f>IFERROR(INDEX(PP_Grid[#Data],$DD379,36),0)</f>
        <v/>
      </c>
      <c r="AM379">
        <f>IFERROR(INDEX(PP_Grid[#Data],$DD379,37),0)</f>
        <v/>
      </c>
      <c r="AN379">
        <f>IFERROR(INDEX(PP_Grid[#Data],$DD379,38),0)</f>
        <v/>
      </c>
      <c r="AO379">
        <f>IFERROR(INDEX(PP_Grid[#Data],$DD379,39),0)</f>
        <v/>
      </c>
      <c r="AP379">
        <f>IFERROR(INDEX(PP_Grid[#Data],$DD379,40),0)</f>
        <v/>
      </c>
      <c r="AQ379">
        <f>IFERROR(INDEX(PP_Grid[#Data],$DD379,41),0)</f>
        <v/>
      </c>
      <c r="AR379">
        <f>IFERROR(INDEX(PP_Grid[#Data],$DD379,42),0)</f>
        <v/>
      </c>
      <c r="AS379">
        <f>IFERROR(INDEX(PP_Grid[#Data],$DD379,43),0)</f>
        <v/>
      </c>
      <c r="AT379">
        <f>IFERROR(INDEX(PP_Grid[#Data],$DD379,44),0)</f>
        <v/>
      </c>
      <c r="AU379">
        <f>IFERROR(INDEX(PP_Grid[#Data],$DD379,45),0)</f>
        <v/>
      </c>
      <c r="AV379">
        <f>IFERROR(INDEX(PP_Grid[#Data],$DD379,46),0)</f>
        <v/>
      </c>
      <c r="AW379">
        <f>IFERROR(INDEX(PP_Grid[#Data],$DD379,47),0)</f>
        <v/>
      </c>
      <c r="AX379">
        <f>IFERROR(INDEX(PP_Grid[#Data],$DD379,48),0)</f>
        <v/>
      </c>
      <c r="AY379">
        <f>IFERROR(INDEX(PP_Grid[#Data],$DD379,49),0)</f>
        <v/>
      </c>
      <c r="AZ379">
        <f>IFERROR(INDEX(PP_Grid[#Data],$DD379,50),0)</f>
        <v/>
      </c>
      <c r="BA379">
        <f>IFERROR(INDEX(PP_Grid[#Data],$DD379,51),0)</f>
        <v/>
      </c>
      <c r="BB379">
        <f>IFERROR(INDEX(PP_Grid[#Data],$DD379,52),0)</f>
        <v/>
      </c>
      <c r="BC379">
        <f>IFERROR(INDEX(PP_Grid[#Data],$DD379,53),0)</f>
        <v/>
      </c>
      <c r="BD379">
        <f>IFERROR(INDEX(PP_Grid[#Data],$DD379,54),0)</f>
        <v/>
      </c>
      <c r="BE379">
        <f>IFERROR(INDEX(PP_Grid[#Data],$DD379,55),0)</f>
        <v/>
      </c>
      <c r="BF379">
        <f>IFERROR(INDEX(PP_Grid[#Data],$DD379,56),0)</f>
        <v/>
      </c>
      <c r="BG379">
        <f>IFERROR(INDEX(PP_Grid[#Data],$DD379,57),0)</f>
        <v/>
      </c>
      <c r="BH379">
        <f>IFERROR(INDEX(PP_Grid[#Data],$DD379,58),0)</f>
        <v/>
      </c>
      <c r="BI379">
        <f>IFERROR(INDEX(PP_Grid[#Data],$DD379,59),0)</f>
        <v/>
      </c>
      <c r="BJ379">
        <f>IFERROR(INDEX(PP_Grid[#Data],$DD379,60),0)</f>
        <v/>
      </c>
      <c r="BK379">
        <f>IFERROR(INDEX(PP_Grid[#Data],$DD379,61),0)</f>
        <v/>
      </c>
      <c r="BL379">
        <f>IFERROR(INDEX(PP_Grid[#Data],$DD379,62),0)</f>
        <v/>
      </c>
      <c r="BM379">
        <f>IFERROR(INDEX(PP_Grid[#Data],$DD379,63),0)</f>
        <v/>
      </c>
      <c r="BN379">
        <f>IFERROR(INDEX(PP_Grid[#Data],$DD379,64),0)</f>
        <v/>
      </c>
      <c r="BO379">
        <f>IFERROR(INDEX(PP_Grid[#Data],$DD379,65),0)</f>
        <v/>
      </c>
      <c r="BP379">
        <f>IFERROR(INDEX(PP_Grid[#Data],$DD379,66),0)</f>
        <v/>
      </c>
      <c r="BQ379">
        <f>IFERROR(INDEX(PP_Grid[#Data],$DD379,67),0)</f>
        <v/>
      </c>
      <c r="BR379">
        <f>IFERROR(INDEX(PP_Grid[#Data],$DD379,68),0)</f>
        <v/>
      </c>
      <c r="BS379">
        <f>IFERROR(INDEX(PP_Grid[#Data],$DD379,69),0)</f>
        <v/>
      </c>
      <c r="BT379">
        <f>IFERROR(INDEX(PP_Grid[#Data],$DD379,70),0)</f>
        <v/>
      </c>
      <c r="BU379">
        <f>IFERROR(INDEX(PP_Grid[#Data],$DD379,71),0)</f>
        <v/>
      </c>
      <c r="BV379">
        <f>IFERROR(INDEX(PP_Grid[#Data],$DD379,72),0)</f>
        <v/>
      </c>
      <c r="BW379">
        <f>IFERROR(INDEX(PP_Grid[#Data],$DD379,73),0)</f>
        <v/>
      </c>
      <c r="BX379">
        <f>IFERROR(INDEX(PP_Grid[#Data],$DD379,74),0)</f>
        <v/>
      </c>
      <c r="BY379">
        <f>IFERROR(INDEX(PP_Grid[#Data],$DD379,75),0)</f>
        <v/>
      </c>
      <c r="BZ379">
        <f>IFERROR(INDEX(PP_Grid[#Data],$DD379,76),0)</f>
        <v/>
      </c>
      <c r="CA379">
        <f>IFERROR(INDEX(PP_Grid[#Data],$DD379,77),0)</f>
        <v/>
      </c>
      <c r="CB379">
        <f>IFERROR(INDEX(PP_Grid[#Data],$DD379,78),0)</f>
        <v/>
      </c>
      <c r="CC379">
        <f>IFERROR(INDEX(PP_Grid[#Data],$DD379,79),0)</f>
        <v/>
      </c>
      <c r="CD379">
        <f>IFERROR(INDEX(PP_Grid[#Data],$DD379,80),0)</f>
        <v/>
      </c>
      <c r="CE379">
        <f>IFERROR(INDEX(PP_Grid[#Data],$DD379,81),0)</f>
        <v/>
      </c>
      <c r="CF379">
        <f>IFERROR(INDEX(PP_Grid[#Data],$DD379,82),0)</f>
        <v/>
      </c>
      <c r="CG379">
        <f>IFERROR(INDEX(PP_Grid[#Data],$DD379,83),0)</f>
        <v/>
      </c>
      <c r="CH379">
        <f>IFERROR(INDEX(PP_Grid[#Data],$DD379,84),0)</f>
        <v/>
      </c>
      <c r="CI379">
        <f>IFERROR(INDEX(PP_Grid[#Data],$DD379,85),0)</f>
        <v/>
      </c>
      <c r="CJ379">
        <f>IFERROR(INDEX(PP_Grid[#Data],$DD379,86),0)</f>
        <v/>
      </c>
      <c r="CK379">
        <f>IFERROR(INDEX(PP_Grid[#Data],$DD379,87),0)</f>
        <v/>
      </c>
      <c r="CL379">
        <f>IFERROR(INDEX(PP_Grid[#Data],$DD379,88),0)</f>
        <v/>
      </c>
      <c r="CM379">
        <f>IFERROR(INDEX(PP_Grid[#Data],$DD379,89),0)</f>
        <v/>
      </c>
      <c r="CN379">
        <f>IFERROR(INDEX(PP_Grid[#Data],$DD379,90),0)</f>
        <v/>
      </c>
      <c r="CO379">
        <f>IFERROR(INDEX(PP_Grid[#Data],$DD379,91),0)</f>
        <v/>
      </c>
      <c r="CP379">
        <f>IFERROR(INDEX(PP_Grid[#Data],$DD379,92),0)</f>
        <v/>
      </c>
      <c r="CQ379">
        <f>IFERROR(INDEX(PP_Grid[#Data],$DD379,93),0)</f>
        <v/>
      </c>
      <c r="CR379">
        <f>IFERROR(INDEX(PP_Grid[#Data],$DD379,94),0)</f>
        <v/>
      </c>
      <c r="CS379">
        <f>IFERROR(INDEX(PP_Grid[#Data],$DD379,95),0)</f>
        <v/>
      </c>
      <c r="CT379">
        <f>IFERROR(INDEX(PP_Grid[#Data],$DD379,96),0)</f>
        <v/>
      </c>
      <c r="CU379">
        <f>IFERROR(INDEX(PP_Grid[#Data],$DD379,97),0)</f>
        <v/>
      </c>
      <c r="CV379">
        <f>IFERROR(INDEX(PP_Grid[#Data],$DD379,98),0)</f>
        <v/>
      </c>
      <c r="CW379">
        <f>IFERROR(INDEX(PP_Grid[#Data],$DD379,99),0)</f>
        <v/>
      </c>
      <c r="CX379">
        <f>IFERROR(INDEX(PP_Grid[#Data],$DD379,100),0)</f>
        <v/>
      </c>
      <c r="CY379">
        <f>IFERROR(INDEX(PP_Grid[#Data],$DD379,101),0)</f>
        <v/>
      </c>
      <c r="CZ379">
        <f>IFERROR(INDEX(PP_Grid[#Data],$DD379,102),0)</f>
        <v/>
      </c>
      <c r="DA379">
        <f>IFERROR(INDEX(PP_Grid[#Data],$DD379,103),0)</f>
        <v/>
      </c>
      <c r="DB379">
        <f>IFERROR(INDEX(PP_Grid[#Data],$DD379,104),0)</f>
        <v/>
      </c>
      <c r="DC379">
        <f>IFERROR(INDEX(PP_Grid[#Data],$DD379,105),0)</f>
        <v/>
      </c>
      <c r="DD379" s="7">
        <f>IFERROR(MATCH($B379,PP_Grid[Intermediate],0),99999)</f>
        <v/>
      </c>
    </row>
    <row r="380">
      <c r="B380" t="inlineStr">
        <is>
          <t>使用量(kg)</t>
        </is>
      </c>
      <c r="C380">
        <f>SUMIFS(M_BOM[RM_Qty_Per_Batch],M_BOM[Intermediate],$B379,M_BOM[Part Name],$A340)</f>
        <v/>
      </c>
      <c r="D380">
        <f>$C380*D379</f>
        <v/>
      </c>
      <c r="E380">
        <f>$C380*E379</f>
        <v/>
      </c>
      <c r="F380">
        <f>$C380*F379</f>
        <v/>
      </c>
      <c r="G380">
        <f>$C380*G379</f>
        <v/>
      </c>
      <c r="H380">
        <f>$C380*H379</f>
        <v/>
      </c>
      <c r="I380">
        <f>$C380*I379</f>
        <v/>
      </c>
      <c r="J380">
        <f>$C380*J379</f>
        <v/>
      </c>
      <c r="K380">
        <f>$C380*K379</f>
        <v/>
      </c>
      <c r="L380">
        <f>$C380*L379</f>
        <v/>
      </c>
      <c r="M380">
        <f>$C380*M379</f>
        <v/>
      </c>
      <c r="N380">
        <f>$C380*N379</f>
        <v/>
      </c>
      <c r="O380">
        <f>$C380*O379</f>
        <v/>
      </c>
      <c r="P380">
        <f>$C380*P379</f>
        <v/>
      </c>
      <c r="Q380">
        <f>$C380*Q379</f>
        <v/>
      </c>
      <c r="R380">
        <f>$C380*R379</f>
        <v/>
      </c>
      <c r="S380">
        <f>$C380*S379</f>
        <v/>
      </c>
      <c r="T380">
        <f>$C380*T379</f>
        <v/>
      </c>
      <c r="U380">
        <f>$C380*U379</f>
        <v/>
      </c>
      <c r="V380">
        <f>$C380*V379</f>
        <v/>
      </c>
      <c r="W380">
        <f>$C380*W379</f>
        <v/>
      </c>
      <c r="X380">
        <f>$C380*X379</f>
        <v/>
      </c>
      <c r="Y380">
        <f>$C380*Y379</f>
        <v/>
      </c>
      <c r="Z380">
        <f>$C380*Z379</f>
        <v/>
      </c>
      <c r="AA380">
        <f>$C380*AA379</f>
        <v/>
      </c>
      <c r="AB380">
        <f>$C380*AB379</f>
        <v/>
      </c>
      <c r="AC380">
        <f>$C380*AC379</f>
        <v/>
      </c>
      <c r="AD380">
        <f>$C380*AD379</f>
        <v/>
      </c>
      <c r="AE380">
        <f>$C380*AE379</f>
        <v/>
      </c>
      <c r="AF380">
        <f>$C380*AF379</f>
        <v/>
      </c>
      <c r="AG380">
        <f>$C380*AG379</f>
        <v/>
      </c>
      <c r="AH380">
        <f>$C380*AH379</f>
        <v/>
      </c>
      <c r="AI380">
        <f>$C380*AI379</f>
        <v/>
      </c>
      <c r="AJ380">
        <f>$C380*AJ379</f>
        <v/>
      </c>
      <c r="AK380">
        <f>$C380*AK379</f>
        <v/>
      </c>
      <c r="AL380">
        <f>$C380*AL379</f>
        <v/>
      </c>
      <c r="AM380">
        <f>$C380*AM379</f>
        <v/>
      </c>
      <c r="AN380">
        <f>$C380*AN379</f>
        <v/>
      </c>
      <c r="AO380">
        <f>$C380*AO379</f>
        <v/>
      </c>
      <c r="AP380">
        <f>$C380*AP379</f>
        <v/>
      </c>
      <c r="AQ380">
        <f>$C380*AQ379</f>
        <v/>
      </c>
      <c r="AR380">
        <f>$C380*AR379</f>
        <v/>
      </c>
      <c r="AS380">
        <f>$C380*AS379</f>
        <v/>
      </c>
      <c r="AT380">
        <f>$C380*AT379</f>
        <v/>
      </c>
      <c r="AU380">
        <f>$C380*AU379</f>
        <v/>
      </c>
      <c r="AV380">
        <f>$C380*AV379</f>
        <v/>
      </c>
      <c r="AW380">
        <f>$C380*AW379</f>
        <v/>
      </c>
      <c r="AX380">
        <f>$C380*AX379</f>
        <v/>
      </c>
      <c r="AY380">
        <f>$C380*AY379</f>
        <v/>
      </c>
      <c r="AZ380">
        <f>$C380*AZ379</f>
        <v/>
      </c>
      <c r="BA380">
        <f>$C380*BA379</f>
        <v/>
      </c>
      <c r="BB380">
        <f>$C380*BB379</f>
        <v/>
      </c>
      <c r="BC380">
        <f>$C380*BC379</f>
        <v/>
      </c>
      <c r="BD380">
        <f>$C380*BD379</f>
        <v/>
      </c>
      <c r="BE380">
        <f>$C380*BE379</f>
        <v/>
      </c>
      <c r="BF380">
        <f>$C380*BF379</f>
        <v/>
      </c>
      <c r="BG380">
        <f>$C380*BG379</f>
        <v/>
      </c>
      <c r="BH380">
        <f>$C380*BH379</f>
        <v/>
      </c>
      <c r="BI380">
        <f>$C380*BI379</f>
        <v/>
      </c>
      <c r="BJ380">
        <f>$C380*BJ379</f>
        <v/>
      </c>
      <c r="BK380">
        <f>$C380*BK379</f>
        <v/>
      </c>
      <c r="BL380">
        <f>$C380*BL379</f>
        <v/>
      </c>
      <c r="BM380">
        <f>$C380*BM379</f>
        <v/>
      </c>
      <c r="BN380">
        <f>$C380*BN379</f>
        <v/>
      </c>
      <c r="BO380">
        <f>$C380*BO379</f>
        <v/>
      </c>
      <c r="BP380">
        <f>$C380*BP379</f>
        <v/>
      </c>
      <c r="BQ380">
        <f>$C380*BQ379</f>
        <v/>
      </c>
      <c r="BR380">
        <f>$C380*BR379</f>
        <v/>
      </c>
      <c r="BS380">
        <f>$C380*BS379</f>
        <v/>
      </c>
      <c r="BT380">
        <f>$C380*BT379</f>
        <v/>
      </c>
      <c r="BU380">
        <f>$C380*BU379</f>
        <v/>
      </c>
      <c r="BV380">
        <f>$C380*BV379</f>
        <v/>
      </c>
      <c r="BW380">
        <f>$C380*BW379</f>
        <v/>
      </c>
      <c r="BX380">
        <f>$C380*BX379</f>
        <v/>
      </c>
      <c r="BY380">
        <f>$C380*BY379</f>
        <v/>
      </c>
      <c r="BZ380">
        <f>$C380*BZ379</f>
        <v/>
      </c>
      <c r="CA380">
        <f>$C380*CA379</f>
        <v/>
      </c>
      <c r="CB380">
        <f>$C380*CB379</f>
        <v/>
      </c>
      <c r="CC380">
        <f>$C380*CC379</f>
        <v/>
      </c>
      <c r="CD380">
        <f>$C380*CD379</f>
        <v/>
      </c>
      <c r="CE380">
        <f>$C380*CE379</f>
        <v/>
      </c>
      <c r="CF380">
        <f>$C380*CF379</f>
        <v/>
      </c>
      <c r="CG380">
        <f>$C380*CG379</f>
        <v/>
      </c>
      <c r="CH380">
        <f>$C380*CH379</f>
        <v/>
      </c>
      <c r="CI380">
        <f>$C380*CI379</f>
        <v/>
      </c>
      <c r="CJ380">
        <f>$C380*CJ379</f>
        <v/>
      </c>
      <c r="CK380">
        <f>$C380*CK379</f>
        <v/>
      </c>
      <c r="CL380">
        <f>$C380*CL379</f>
        <v/>
      </c>
      <c r="CM380">
        <f>$C380*CM379</f>
        <v/>
      </c>
      <c r="CN380">
        <f>$C380*CN379</f>
        <v/>
      </c>
      <c r="CO380">
        <f>$C380*CO379</f>
        <v/>
      </c>
      <c r="CP380">
        <f>$C380*CP379</f>
        <v/>
      </c>
      <c r="CQ380">
        <f>$C380*CQ379</f>
        <v/>
      </c>
      <c r="CR380">
        <f>$C380*CR379</f>
        <v/>
      </c>
      <c r="CS380">
        <f>$C380*CS379</f>
        <v/>
      </c>
      <c r="CT380">
        <f>$C380*CT379</f>
        <v/>
      </c>
      <c r="CU380">
        <f>$C380*CU379</f>
        <v/>
      </c>
      <c r="CV380">
        <f>$C380*CV379</f>
        <v/>
      </c>
      <c r="CW380">
        <f>$C380*CW379</f>
        <v/>
      </c>
      <c r="CX380">
        <f>$C380*CX379</f>
        <v/>
      </c>
      <c r="CY380">
        <f>$C380*CY379</f>
        <v/>
      </c>
      <c r="CZ380">
        <f>$C380*CZ379</f>
        <v/>
      </c>
      <c r="DA380">
        <f>$C380*DA379</f>
        <v/>
      </c>
      <c r="DB380">
        <f>$C380*DB379</f>
        <v/>
      </c>
      <c r="DC380">
        <f>$C380*DC379</f>
        <v/>
      </c>
    </row>
    <row r="381">
      <c r="B381" t="inlineStr">
        <is>
          <t>TSP-623</t>
        </is>
      </c>
      <c r="C381" t="inlineStr">
        <is>
          <t>No. of batches</t>
        </is>
      </c>
      <c r="D381">
        <f>IFERROR(INDEX(PP_Grid[#Data],$DD381,2),0)</f>
        <v/>
      </c>
      <c r="E381">
        <f>IFERROR(INDEX(PP_Grid[#Data],$DD381,3),0)</f>
        <v/>
      </c>
      <c r="F381">
        <f>IFERROR(INDEX(PP_Grid[#Data],$DD381,4),0)</f>
        <v/>
      </c>
      <c r="G381">
        <f>IFERROR(INDEX(PP_Grid[#Data],$DD381,5),0)</f>
        <v/>
      </c>
      <c r="H381">
        <f>IFERROR(INDEX(PP_Grid[#Data],$DD381,6),0)</f>
        <v/>
      </c>
      <c r="I381">
        <f>IFERROR(INDEX(PP_Grid[#Data],$DD381,7),0)</f>
        <v/>
      </c>
      <c r="J381">
        <f>IFERROR(INDEX(PP_Grid[#Data],$DD381,8),0)</f>
        <v/>
      </c>
      <c r="K381">
        <f>IFERROR(INDEX(PP_Grid[#Data],$DD381,9),0)</f>
        <v/>
      </c>
      <c r="L381">
        <f>IFERROR(INDEX(PP_Grid[#Data],$DD381,10),0)</f>
        <v/>
      </c>
      <c r="M381">
        <f>IFERROR(INDEX(PP_Grid[#Data],$DD381,11),0)</f>
        <v/>
      </c>
      <c r="N381">
        <f>IFERROR(INDEX(PP_Grid[#Data],$DD381,12),0)</f>
        <v/>
      </c>
      <c r="O381">
        <f>IFERROR(INDEX(PP_Grid[#Data],$DD381,13),0)</f>
        <v/>
      </c>
      <c r="P381">
        <f>IFERROR(INDEX(PP_Grid[#Data],$DD381,14),0)</f>
        <v/>
      </c>
      <c r="Q381">
        <f>IFERROR(INDEX(PP_Grid[#Data],$DD381,15),0)</f>
        <v/>
      </c>
      <c r="R381">
        <f>IFERROR(INDEX(PP_Grid[#Data],$DD381,16),0)</f>
        <v/>
      </c>
      <c r="S381">
        <f>IFERROR(INDEX(PP_Grid[#Data],$DD381,17),0)</f>
        <v/>
      </c>
      <c r="T381">
        <f>IFERROR(INDEX(PP_Grid[#Data],$DD381,18),0)</f>
        <v/>
      </c>
      <c r="U381">
        <f>IFERROR(INDEX(PP_Grid[#Data],$DD381,19),0)</f>
        <v/>
      </c>
      <c r="V381">
        <f>IFERROR(INDEX(PP_Grid[#Data],$DD381,20),0)</f>
        <v/>
      </c>
      <c r="W381">
        <f>IFERROR(INDEX(PP_Grid[#Data],$DD381,21),0)</f>
        <v/>
      </c>
      <c r="X381">
        <f>IFERROR(INDEX(PP_Grid[#Data],$DD381,22),0)</f>
        <v/>
      </c>
      <c r="Y381">
        <f>IFERROR(INDEX(PP_Grid[#Data],$DD381,23),0)</f>
        <v/>
      </c>
      <c r="Z381">
        <f>IFERROR(INDEX(PP_Grid[#Data],$DD381,24),0)</f>
        <v/>
      </c>
      <c r="AA381">
        <f>IFERROR(INDEX(PP_Grid[#Data],$DD381,25),0)</f>
        <v/>
      </c>
      <c r="AB381">
        <f>IFERROR(INDEX(PP_Grid[#Data],$DD381,26),0)</f>
        <v/>
      </c>
      <c r="AC381">
        <f>IFERROR(INDEX(PP_Grid[#Data],$DD381,27),0)</f>
        <v/>
      </c>
      <c r="AD381">
        <f>IFERROR(INDEX(PP_Grid[#Data],$DD381,28),0)</f>
        <v/>
      </c>
      <c r="AE381">
        <f>IFERROR(INDEX(PP_Grid[#Data],$DD381,29),0)</f>
        <v/>
      </c>
      <c r="AF381">
        <f>IFERROR(INDEX(PP_Grid[#Data],$DD381,30),0)</f>
        <v/>
      </c>
      <c r="AG381">
        <f>IFERROR(INDEX(PP_Grid[#Data],$DD381,31),0)</f>
        <v/>
      </c>
      <c r="AH381">
        <f>IFERROR(INDEX(PP_Grid[#Data],$DD381,32),0)</f>
        <v/>
      </c>
      <c r="AI381">
        <f>IFERROR(INDEX(PP_Grid[#Data],$DD381,33),0)</f>
        <v/>
      </c>
      <c r="AJ381">
        <f>IFERROR(INDEX(PP_Grid[#Data],$DD381,34),0)</f>
        <v/>
      </c>
      <c r="AK381">
        <f>IFERROR(INDEX(PP_Grid[#Data],$DD381,35),0)</f>
        <v/>
      </c>
      <c r="AL381">
        <f>IFERROR(INDEX(PP_Grid[#Data],$DD381,36),0)</f>
        <v/>
      </c>
      <c r="AM381">
        <f>IFERROR(INDEX(PP_Grid[#Data],$DD381,37),0)</f>
        <v/>
      </c>
      <c r="AN381">
        <f>IFERROR(INDEX(PP_Grid[#Data],$DD381,38),0)</f>
        <v/>
      </c>
      <c r="AO381">
        <f>IFERROR(INDEX(PP_Grid[#Data],$DD381,39),0)</f>
        <v/>
      </c>
      <c r="AP381">
        <f>IFERROR(INDEX(PP_Grid[#Data],$DD381,40),0)</f>
        <v/>
      </c>
      <c r="AQ381">
        <f>IFERROR(INDEX(PP_Grid[#Data],$DD381,41),0)</f>
        <v/>
      </c>
      <c r="AR381">
        <f>IFERROR(INDEX(PP_Grid[#Data],$DD381,42),0)</f>
        <v/>
      </c>
      <c r="AS381">
        <f>IFERROR(INDEX(PP_Grid[#Data],$DD381,43),0)</f>
        <v/>
      </c>
      <c r="AT381">
        <f>IFERROR(INDEX(PP_Grid[#Data],$DD381,44),0)</f>
        <v/>
      </c>
      <c r="AU381">
        <f>IFERROR(INDEX(PP_Grid[#Data],$DD381,45),0)</f>
        <v/>
      </c>
      <c r="AV381">
        <f>IFERROR(INDEX(PP_Grid[#Data],$DD381,46),0)</f>
        <v/>
      </c>
      <c r="AW381">
        <f>IFERROR(INDEX(PP_Grid[#Data],$DD381,47),0)</f>
        <v/>
      </c>
      <c r="AX381">
        <f>IFERROR(INDEX(PP_Grid[#Data],$DD381,48),0)</f>
        <v/>
      </c>
      <c r="AY381">
        <f>IFERROR(INDEX(PP_Grid[#Data],$DD381,49),0)</f>
        <v/>
      </c>
      <c r="AZ381">
        <f>IFERROR(INDEX(PP_Grid[#Data],$DD381,50),0)</f>
        <v/>
      </c>
      <c r="BA381">
        <f>IFERROR(INDEX(PP_Grid[#Data],$DD381,51),0)</f>
        <v/>
      </c>
      <c r="BB381">
        <f>IFERROR(INDEX(PP_Grid[#Data],$DD381,52),0)</f>
        <v/>
      </c>
      <c r="BC381">
        <f>IFERROR(INDEX(PP_Grid[#Data],$DD381,53),0)</f>
        <v/>
      </c>
      <c r="BD381">
        <f>IFERROR(INDEX(PP_Grid[#Data],$DD381,54),0)</f>
        <v/>
      </c>
      <c r="BE381">
        <f>IFERROR(INDEX(PP_Grid[#Data],$DD381,55),0)</f>
        <v/>
      </c>
      <c r="BF381">
        <f>IFERROR(INDEX(PP_Grid[#Data],$DD381,56),0)</f>
        <v/>
      </c>
      <c r="BG381">
        <f>IFERROR(INDEX(PP_Grid[#Data],$DD381,57),0)</f>
        <v/>
      </c>
      <c r="BH381">
        <f>IFERROR(INDEX(PP_Grid[#Data],$DD381,58),0)</f>
        <v/>
      </c>
      <c r="BI381">
        <f>IFERROR(INDEX(PP_Grid[#Data],$DD381,59),0)</f>
        <v/>
      </c>
      <c r="BJ381">
        <f>IFERROR(INDEX(PP_Grid[#Data],$DD381,60),0)</f>
        <v/>
      </c>
      <c r="BK381">
        <f>IFERROR(INDEX(PP_Grid[#Data],$DD381,61),0)</f>
        <v/>
      </c>
      <c r="BL381">
        <f>IFERROR(INDEX(PP_Grid[#Data],$DD381,62),0)</f>
        <v/>
      </c>
      <c r="BM381">
        <f>IFERROR(INDEX(PP_Grid[#Data],$DD381,63),0)</f>
        <v/>
      </c>
      <c r="BN381">
        <f>IFERROR(INDEX(PP_Grid[#Data],$DD381,64),0)</f>
        <v/>
      </c>
      <c r="BO381">
        <f>IFERROR(INDEX(PP_Grid[#Data],$DD381,65),0)</f>
        <v/>
      </c>
      <c r="BP381">
        <f>IFERROR(INDEX(PP_Grid[#Data],$DD381,66),0)</f>
        <v/>
      </c>
      <c r="BQ381">
        <f>IFERROR(INDEX(PP_Grid[#Data],$DD381,67),0)</f>
        <v/>
      </c>
      <c r="BR381">
        <f>IFERROR(INDEX(PP_Grid[#Data],$DD381,68),0)</f>
        <v/>
      </c>
      <c r="BS381">
        <f>IFERROR(INDEX(PP_Grid[#Data],$DD381,69),0)</f>
        <v/>
      </c>
      <c r="BT381">
        <f>IFERROR(INDEX(PP_Grid[#Data],$DD381,70),0)</f>
        <v/>
      </c>
      <c r="BU381">
        <f>IFERROR(INDEX(PP_Grid[#Data],$DD381,71),0)</f>
        <v/>
      </c>
      <c r="BV381">
        <f>IFERROR(INDEX(PP_Grid[#Data],$DD381,72),0)</f>
        <v/>
      </c>
      <c r="BW381">
        <f>IFERROR(INDEX(PP_Grid[#Data],$DD381,73),0)</f>
        <v/>
      </c>
      <c r="BX381">
        <f>IFERROR(INDEX(PP_Grid[#Data],$DD381,74),0)</f>
        <v/>
      </c>
      <c r="BY381">
        <f>IFERROR(INDEX(PP_Grid[#Data],$DD381,75),0)</f>
        <v/>
      </c>
      <c r="BZ381">
        <f>IFERROR(INDEX(PP_Grid[#Data],$DD381,76),0)</f>
        <v/>
      </c>
      <c r="CA381">
        <f>IFERROR(INDEX(PP_Grid[#Data],$DD381,77),0)</f>
        <v/>
      </c>
      <c r="CB381">
        <f>IFERROR(INDEX(PP_Grid[#Data],$DD381,78),0)</f>
        <v/>
      </c>
      <c r="CC381">
        <f>IFERROR(INDEX(PP_Grid[#Data],$DD381,79),0)</f>
        <v/>
      </c>
      <c r="CD381">
        <f>IFERROR(INDEX(PP_Grid[#Data],$DD381,80),0)</f>
        <v/>
      </c>
      <c r="CE381">
        <f>IFERROR(INDEX(PP_Grid[#Data],$DD381,81),0)</f>
        <v/>
      </c>
      <c r="CF381">
        <f>IFERROR(INDEX(PP_Grid[#Data],$DD381,82),0)</f>
        <v/>
      </c>
      <c r="CG381">
        <f>IFERROR(INDEX(PP_Grid[#Data],$DD381,83),0)</f>
        <v/>
      </c>
      <c r="CH381">
        <f>IFERROR(INDEX(PP_Grid[#Data],$DD381,84),0)</f>
        <v/>
      </c>
      <c r="CI381">
        <f>IFERROR(INDEX(PP_Grid[#Data],$DD381,85),0)</f>
        <v/>
      </c>
      <c r="CJ381">
        <f>IFERROR(INDEX(PP_Grid[#Data],$DD381,86),0)</f>
        <v/>
      </c>
      <c r="CK381">
        <f>IFERROR(INDEX(PP_Grid[#Data],$DD381,87),0)</f>
        <v/>
      </c>
      <c r="CL381">
        <f>IFERROR(INDEX(PP_Grid[#Data],$DD381,88),0)</f>
        <v/>
      </c>
      <c r="CM381">
        <f>IFERROR(INDEX(PP_Grid[#Data],$DD381,89),0)</f>
        <v/>
      </c>
      <c r="CN381">
        <f>IFERROR(INDEX(PP_Grid[#Data],$DD381,90),0)</f>
        <v/>
      </c>
      <c r="CO381">
        <f>IFERROR(INDEX(PP_Grid[#Data],$DD381,91),0)</f>
        <v/>
      </c>
      <c r="CP381">
        <f>IFERROR(INDEX(PP_Grid[#Data],$DD381,92),0)</f>
        <v/>
      </c>
      <c r="CQ381">
        <f>IFERROR(INDEX(PP_Grid[#Data],$DD381,93),0)</f>
        <v/>
      </c>
      <c r="CR381">
        <f>IFERROR(INDEX(PP_Grid[#Data],$DD381,94),0)</f>
        <v/>
      </c>
      <c r="CS381">
        <f>IFERROR(INDEX(PP_Grid[#Data],$DD381,95),0)</f>
        <v/>
      </c>
      <c r="CT381">
        <f>IFERROR(INDEX(PP_Grid[#Data],$DD381,96),0)</f>
        <v/>
      </c>
      <c r="CU381">
        <f>IFERROR(INDEX(PP_Grid[#Data],$DD381,97),0)</f>
        <v/>
      </c>
      <c r="CV381">
        <f>IFERROR(INDEX(PP_Grid[#Data],$DD381,98),0)</f>
        <v/>
      </c>
      <c r="CW381">
        <f>IFERROR(INDEX(PP_Grid[#Data],$DD381,99),0)</f>
        <v/>
      </c>
      <c r="CX381">
        <f>IFERROR(INDEX(PP_Grid[#Data],$DD381,100),0)</f>
        <v/>
      </c>
      <c r="CY381">
        <f>IFERROR(INDEX(PP_Grid[#Data],$DD381,101),0)</f>
        <v/>
      </c>
      <c r="CZ381">
        <f>IFERROR(INDEX(PP_Grid[#Data],$DD381,102),0)</f>
        <v/>
      </c>
      <c r="DA381">
        <f>IFERROR(INDEX(PP_Grid[#Data],$DD381,103),0)</f>
        <v/>
      </c>
      <c r="DB381">
        <f>IFERROR(INDEX(PP_Grid[#Data],$DD381,104),0)</f>
        <v/>
      </c>
      <c r="DC381">
        <f>IFERROR(INDEX(PP_Grid[#Data],$DD381,105),0)</f>
        <v/>
      </c>
      <c r="DD381" s="7">
        <f>IFERROR(MATCH($B381,PP_Grid[Intermediate],0),99999)</f>
        <v/>
      </c>
    </row>
    <row r="382">
      <c r="B382" t="inlineStr">
        <is>
          <t>使用量(kg)</t>
        </is>
      </c>
      <c r="C382">
        <f>SUMIFS(M_BOM[RM_Qty_Per_Batch],M_BOM[Intermediate],$B381,M_BOM[Part Name],$A340)</f>
        <v/>
      </c>
      <c r="D382">
        <f>$C382*D381</f>
        <v/>
      </c>
      <c r="E382">
        <f>$C382*E381</f>
        <v/>
      </c>
      <c r="F382">
        <f>$C382*F381</f>
        <v/>
      </c>
      <c r="G382">
        <f>$C382*G381</f>
        <v/>
      </c>
      <c r="H382">
        <f>$C382*H381</f>
        <v/>
      </c>
      <c r="I382">
        <f>$C382*I381</f>
        <v/>
      </c>
      <c r="J382">
        <f>$C382*J381</f>
        <v/>
      </c>
      <c r="K382">
        <f>$C382*K381</f>
        <v/>
      </c>
      <c r="L382">
        <f>$C382*L381</f>
        <v/>
      </c>
      <c r="M382">
        <f>$C382*M381</f>
        <v/>
      </c>
      <c r="N382">
        <f>$C382*N381</f>
        <v/>
      </c>
      <c r="O382">
        <f>$C382*O381</f>
        <v/>
      </c>
      <c r="P382">
        <f>$C382*P381</f>
        <v/>
      </c>
      <c r="Q382">
        <f>$C382*Q381</f>
        <v/>
      </c>
      <c r="R382">
        <f>$C382*R381</f>
        <v/>
      </c>
      <c r="S382">
        <f>$C382*S381</f>
        <v/>
      </c>
      <c r="T382">
        <f>$C382*T381</f>
        <v/>
      </c>
      <c r="U382">
        <f>$C382*U381</f>
        <v/>
      </c>
      <c r="V382">
        <f>$C382*V381</f>
        <v/>
      </c>
      <c r="W382">
        <f>$C382*W381</f>
        <v/>
      </c>
      <c r="X382">
        <f>$C382*X381</f>
        <v/>
      </c>
      <c r="Y382">
        <f>$C382*Y381</f>
        <v/>
      </c>
      <c r="Z382">
        <f>$C382*Z381</f>
        <v/>
      </c>
      <c r="AA382">
        <f>$C382*AA381</f>
        <v/>
      </c>
      <c r="AB382">
        <f>$C382*AB381</f>
        <v/>
      </c>
      <c r="AC382">
        <f>$C382*AC381</f>
        <v/>
      </c>
      <c r="AD382">
        <f>$C382*AD381</f>
        <v/>
      </c>
      <c r="AE382">
        <f>$C382*AE381</f>
        <v/>
      </c>
      <c r="AF382">
        <f>$C382*AF381</f>
        <v/>
      </c>
      <c r="AG382">
        <f>$C382*AG381</f>
        <v/>
      </c>
      <c r="AH382">
        <f>$C382*AH381</f>
        <v/>
      </c>
      <c r="AI382">
        <f>$C382*AI381</f>
        <v/>
      </c>
      <c r="AJ382">
        <f>$C382*AJ381</f>
        <v/>
      </c>
      <c r="AK382">
        <f>$C382*AK381</f>
        <v/>
      </c>
      <c r="AL382">
        <f>$C382*AL381</f>
        <v/>
      </c>
      <c r="AM382">
        <f>$C382*AM381</f>
        <v/>
      </c>
      <c r="AN382">
        <f>$C382*AN381</f>
        <v/>
      </c>
      <c r="AO382">
        <f>$C382*AO381</f>
        <v/>
      </c>
      <c r="AP382">
        <f>$C382*AP381</f>
        <v/>
      </c>
      <c r="AQ382">
        <f>$C382*AQ381</f>
        <v/>
      </c>
      <c r="AR382">
        <f>$C382*AR381</f>
        <v/>
      </c>
      <c r="AS382">
        <f>$C382*AS381</f>
        <v/>
      </c>
      <c r="AT382">
        <f>$C382*AT381</f>
        <v/>
      </c>
      <c r="AU382">
        <f>$C382*AU381</f>
        <v/>
      </c>
      <c r="AV382">
        <f>$C382*AV381</f>
        <v/>
      </c>
      <c r="AW382">
        <f>$C382*AW381</f>
        <v/>
      </c>
      <c r="AX382">
        <f>$C382*AX381</f>
        <v/>
      </c>
      <c r="AY382">
        <f>$C382*AY381</f>
        <v/>
      </c>
      <c r="AZ382">
        <f>$C382*AZ381</f>
        <v/>
      </c>
      <c r="BA382">
        <f>$C382*BA381</f>
        <v/>
      </c>
      <c r="BB382">
        <f>$C382*BB381</f>
        <v/>
      </c>
      <c r="BC382">
        <f>$C382*BC381</f>
        <v/>
      </c>
      <c r="BD382">
        <f>$C382*BD381</f>
        <v/>
      </c>
      <c r="BE382">
        <f>$C382*BE381</f>
        <v/>
      </c>
      <c r="BF382">
        <f>$C382*BF381</f>
        <v/>
      </c>
      <c r="BG382">
        <f>$C382*BG381</f>
        <v/>
      </c>
      <c r="BH382">
        <f>$C382*BH381</f>
        <v/>
      </c>
      <c r="BI382">
        <f>$C382*BI381</f>
        <v/>
      </c>
      <c r="BJ382">
        <f>$C382*BJ381</f>
        <v/>
      </c>
      <c r="BK382">
        <f>$C382*BK381</f>
        <v/>
      </c>
      <c r="BL382">
        <f>$C382*BL381</f>
        <v/>
      </c>
      <c r="BM382">
        <f>$C382*BM381</f>
        <v/>
      </c>
      <c r="BN382">
        <f>$C382*BN381</f>
        <v/>
      </c>
      <c r="BO382">
        <f>$C382*BO381</f>
        <v/>
      </c>
      <c r="BP382">
        <f>$C382*BP381</f>
        <v/>
      </c>
      <c r="BQ382">
        <f>$C382*BQ381</f>
        <v/>
      </c>
      <c r="BR382">
        <f>$C382*BR381</f>
        <v/>
      </c>
      <c r="BS382">
        <f>$C382*BS381</f>
        <v/>
      </c>
      <c r="BT382">
        <f>$C382*BT381</f>
        <v/>
      </c>
      <c r="BU382">
        <f>$C382*BU381</f>
        <v/>
      </c>
      <c r="BV382">
        <f>$C382*BV381</f>
        <v/>
      </c>
      <c r="BW382">
        <f>$C382*BW381</f>
        <v/>
      </c>
      <c r="BX382">
        <f>$C382*BX381</f>
        <v/>
      </c>
      <c r="BY382">
        <f>$C382*BY381</f>
        <v/>
      </c>
      <c r="BZ382">
        <f>$C382*BZ381</f>
        <v/>
      </c>
      <c r="CA382">
        <f>$C382*CA381</f>
        <v/>
      </c>
      <c r="CB382">
        <f>$C382*CB381</f>
        <v/>
      </c>
      <c r="CC382">
        <f>$C382*CC381</f>
        <v/>
      </c>
      <c r="CD382">
        <f>$C382*CD381</f>
        <v/>
      </c>
      <c r="CE382">
        <f>$C382*CE381</f>
        <v/>
      </c>
      <c r="CF382">
        <f>$C382*CF381</f>
        <v/>
      </c>
      <c r="CG382">
        <f>$C382*CG381</f>
        <v/>
      </c>
      <c r="CH382">
        <f>$C382*CH381</f>
        <v/>
      </c>
      <c r="CI382">
        <f>$C382*CI381</f>
        <v/>
      </c>
      <c r="CJ382">
        <f>$C382*CJ381</f>
        <v/>
      </c>
      <c r="CK382">
        <f>$C382*CK381</f>
        <v/>
      </c>
      <c r="CL382">
        <f>$C382*CL381</f>
        <v/>
      </c>
      <c r="CM382">
        <f>$C382*CM381</f>
        <v/>
      </c>
      <c r="CN382">
        <f>$C382*CN381</f>
        <v/>
      </c>
      <c r="CO382">
        <f>$C382*CO381</f>
        <v/>
      </c>
      <c r="CP382">
        <f>$C382*CP381</f>
        <v/>
      </c>
      <c r="CQ382">
        <f>$C382*CQ381</f>
        <v/>
      </c>
      <c r="CR382">
        <f>$C382*CR381</f>
        <v/>
      </c>
      <c r="CS382">
        <f>$C382*CS381</f>
        <v/>
      </c>
      <c r="CT382">
        <f>$C382*CT381</f>
        <v/>
      </c>
      <c r="CU382">
        <f>$C382*CU381</f>
        <v/>
      </c>
      <c r="CV382">
        <f>$C382*CV381</f>
        <v/>
      </c>
      <c r="CW382">
        <f>$C382*CW381</f>
        <v/>
      </c>
      <c r="CX382">
        <f>$C382*CX381</f>
        <v/>
      </c>
      <c r="CY382">
        <f>$C382*CY381</f>
        <v/>
      </c>
      <c r="CZ382">
        <f>$C382*CZ381</f>
        <v/>
      </c>
      <c r="DA382">
        <f>$C382*DA381</f>
        <v/>
      </c>
      <c r="DB382">
        <f>$C382*DB381</f>
        <v/>
      </c>
      <c r="DC382">
        <f>$C382*DC381</f>
        <v/>
      </c>
    </row>
    <row r="383">
      <c r="B383" t="inlineStr">
        <is>
          <t>TSP-655</t>
        </is>
      </c>
      <c r="C383" t="inlineStr">
        <is>
          <t>No. of batches</t>
        </is>
      </c>
      <c r="D383">
        <f>IFERROR(INDEX(PP_Grid[#Data],$DD383,2),0)</f>
        <v/>
      </c>
      <c r="E383">
        <f>IFERROR(INDEX(PP_Grid[#Data],$DD383,3),0)</f>
        <v/>
      </c>
      <c r="F383">
        <f>IFERROR(INDEX(PP_Grid[#Data],$DD383,4),0)</f>
        <v/>
      </c>
      <c r="G383">
        <f>IFERROR(INDEX(PP_Grid[#Data],$DD383,5),0)</f>
        <v/>
      </c>
      <c r="H383">
        <f>IFERROR(INDEX(PP_Grid[#Data],$DD383,6),0)</f>
        <v/>
      </c>
      <c r="I383">
        <f>IFERROR(INDEX(PP_Grid[#Data],$DD383,7),0)</f>
        <v/>
      </c>
      <c r="J383">
        <f>IFERROR(INDEX(PP_Grid[#Data],$DD383,8),0)</f>
        <v/>
      </c>
      <c r="K383">
        <f>IFERROR(INDEX(PP_Grid[#Data],$DD383,9),0)</f>
        <v/>
      </c>
      <c r="L383">
        <f>IFERROR(INDEX(PP_Grid[#Data],$DD383,10),0)</f>
        <v/>
      </c>
      <c r="M383">
        <f>IFERROR(INDEX(PP_Grid[#Data],$DD383,11),0)</f>
        <v/>
      </c>
      <c r="N383">
        <f>IFERROR(INDEX(PP_Grid[#Data],$DD383,12),0)</f>
        <v/>
      </c>
      <c r="O383">
        <f>IFERROR(INDEX(PP_Grid[#Data],$DD383,13),0)</f>
        <v/>
      </c>
      <c r="P383">
        <f>IFERROR(INDEX(PP_Grid[#Data],$DD383,14),0)</f>
        <v/>
      </c>
      <c r="Q383">
        <f>IFERROR(INDEX(PP_Grid[#Data],$DD383,15),0)</f>
        <v/>
      </c>
      <c r="R383">
        <f>IFERROR(INDEX(PP_Grid[#Data],$DD383,16),0)</f>
        <v/>
      </c>
      <c r="S383">
        <f>IFERROR(INDEX(PP_Grid[#Data],$DD383,17),0)</f>
        <v/>
      </c>
      <c r="T383">
        <f>IFERROR(INDEX(PP_Grid[#Data],$DD383,18),0)</f>
        <v/>
      </c>
      <c r="U383">
        <f>IFERROR(INDEX(PP_Grid[#Data],$DD383,19),0)</f>
        <v/>
      </c>
      <c r="V383">
        <f>IFERROR(INDEX(PP_Grid[#Data],$DD383,20),0)</f>
        <v/>
      </c>
      <c r="W383">
        <f>IFERROR(INDEX(PP_Grid[#Data],$DD383,21),0)</f>
        <v/>
      </c>
      <c r="X383">
        <f>IFERROR(INDEX(PP_Grid[#Data],$DD383,22),0)</f>
        <v/>
      </c>
      <c r="Y383">
        <f>IFERROR(INDEX(PP_Grid[#Data],$DD383,23),0)</f>
        <v/>
      </c>
      <c r="Z383">
        <f>IFERROR(INDEX(PP_Grid[#Data],$DD383,24),0)</f>
        <v/>
      </c>
      <c r="AA383">
        <f>IFERROR(INDEX(PP_Grid[#Data],$DD383,25),0)</f>
        <v/>
      </c>
      <c r="AB383">
        <f>IFERROR(INDEX(PP_Grid[#Data],$DD383,26),0)</f>
        <v/>
      </c>
      <c r="AC383">
        <f>IFERROR(INDEX(PP_Grid[#Data],$DD383,27),0)</f>
        <v/>
      </c>
      <c r="AD383">
        <f>IFERROR(INDEX(PP_Grid[#Data],$DD383,28),0)</f>
        <v/>
      </c>
      <c r="AE383">
        <f>IFERROR(INDEX(PP_Grid[#Data],$DD383,29),0)</f>
        <v/>
      </c>
      <c r="AF383">
        <f>IFERROR(INDEX(PP_Grid[#Data],$DD383,30),0)</f>
        <v/>
      </c>
      <c r="AG383">
        <f>IFERROR(INDEX(PP_Grid[#Data],$DD383,31),0)</f>
        <v/>
      </c>
      <c r="AH383">
        <f>IFERROR(INDEX(PP_Grid[#Data],$DD383,32),0)</f>
        <v/>
      </c>
      <c r="AI383">
        <f>IFERROR(INDEX(PP_Grid[#Data],$DD383,33),0)</f>
        <v/>
      </c>
      <c r="AJ383">
        <f>IFERROR(INDEX(PP_Grid[#Data],$DD383,34),0)</f>
        <v/>
      </c>
      <c r="AK383">
        <f>IFERROR(INDEX(PP_Grid[#Data],$DD383,35),0)</f>
        <v/>
      </c>
      <c r="AL383">
        <f>IFERROR(INDEX(PP_Grid[#Data],$DD383,36),0)</f>
        <v/>
      </c>
      <c r="AM383">
        <f>IFERROR(INDEX(PP_Grid[#Data],$DD383,37),0)</f>
        <v/>
      </c>
      <c r="AN383">
        <f>IFERROR(INDEX(PP_Grid[#Data],$DD383,38),0)</f>
        <v/>
      </c>
      <c r="AO383">
        <f>IFERROR(INDEX(PP_Grid[#Data],$DD383,39),0)</f>
        <v/>
      </c>
      <c r="AP383">
        <f>IFERROR(INDEX(PP_Grid[#Data],$DD383,40),0)</f>
        <v/>
      </c>
      <c r="AQ383">
        <f>IFERROR(INDEX(PP_Grid[#Data],$DD383,41),0)</f>
        <v/>
      </c>
      <c r="AR383">
        <f>IFERROR(INDEX(PP_Grid[#Data],$DD383,42),0)</f>
        <v/>
      </c>
      <c r="AS383">
        <f>IFERROR(INDEX(PP_Grid[#Data],$DD383,43),0)</f>
        <v/>
      </c>
      <c r="AT383">
        <f>IFERROR(INDEX(PP_Grid[#Data],$DD383,44),0)</f>
        <v/>
      </c>
      <c r="AU383">
        <f>IFERROR(INDEX(PP_Grid[#Data],$DD383,45),0)</f>
        <v/>
      </c>
      <c r="AV383">
        <f>IFERROR(INDEX(PP_Grid[#Data],$DD383,46),0)</f>
        <v/>
      </c>
      <c r="AW383">
        <f>IFERROR(INDEX(PP_Grid[#Data],$DD383,47),0)</f>
        <v/>
      </c>
      <c r="AX383">
        <f>IFERROR(INDEX(PP_Grid[#Data],$DD383,48),0)</f>
        <v/>
      </c>
      <c r="AY383">
        <f>IFERROR(INDEX(PP_Grid[#Data],$DD383,49),0)</f>
        <v/>
      </c>
      <c r="AZ383">
        <f>IFERROR(INDEX(PP_Grid[#Data],$DD383,50),0)</f>
        <v/>
      </c>
      <c r="BA383">
        <f>IFERROR(INDEX(PP_Grid[#Data],$DD383,51),0)</f>
        <v/>
      </c>
      <c r="BB383">
        <f>IFERROR(INDEX(PP_Grid[#Data],$DD383,52),0)</f>
        <v/>
      </c>
      <c r="BC383">
        <f>IFERROR(INDEX(PP_Grid[#Data],$DD383,53),0)</f>
        <v/>
      </c>
      <c r="BD383">
        <f>IFERROR(INDEX(PP_Grid[#Data],$DD383,54),0)</f>
        <v/>
      </c>
      <c r="BE383">
        <f>IFERROR(INDEX(PP_Grid[#Data],$DD383,55),0)</f>
        <v/>
      </c>
      <c r="BF383">
        <f>IFERROR(INDEX(PP_Grid[#Data],$DD383,56),0)</f>
        <v/>
      </c>
      <c r="BG383">
        <f>IFERROR(INDEX(PP_Grid[#Data],$DD383,57),0)</f>
        <v/>
      </c>
      <c r="BH383">
        <f>IFERROR(INDEX(PP_Grid[#Data],$DD383,58),0)</f>
        <v/>
      </c>
      <c r="BI383">
        <f>IFERROR(INDEX(PP_Grid[#Data],$DD383,59),0)</f>
        <v/>
      </c>
      <c r="BJ383">
        <f>IFERROR(INDEX(PP_Grid[#Data],$DD383,60),0)</f>
        <v/>
      </c>
      <c r="BK383">
        <f>IFERROR(INDEX(PP_Grid[#Data],$DD383,61),0)</f>
        <v/>
      </c>
      <c r="BL383">
        <f>IFERROR(INDEX(PP_Grid[#Data],$DD383,62),0)</f>
        <v/>
      </c>
      <c r="BM383">
        <f>IFERROR(INDEX(PP_Grid[#Data],$DD383,63),0)</f>
        <v/>
      </c>
      <c r="BN383">
        <f>IFERROR(INDEX(PP_Grid[#Data],$DD383,64),0)</f>
        <v/>
      </c>
      <c r="BO383">
        <f>IFERROR(INDEX(PP_Grid[#Data],$DD383,65),0)</f>
        <v/>
      </c>
      <c r="BP383">
        <f>IFERROR(INDEX(PP_Grid[#Data],$DD383,66),0)</f>
        <v/>
      </c>
      <c r="BQ383">
        <f>IFERROR(INDEX(PP_Grid[#Data],$DD383,67),0)</f>
        <v/>
      </c>
      <c r="BR383">
        <f>IFERROR(INDEX(PP_Grid[#Data],$DD383,68),0)</f>
        <v/>
      </c>
      <c r="BS383">
        <f>IFERROR(INDEX(PP_Grid[#Data],$DD383,69),0)</f>
        <v/>
      </c>
      <c r="BT383">
        <f>IFERROR(INDEX(PP_Grid[#Data],$DD383,70),0)</f>
        <v/>
      </c>
      <c r="BU383">
        <f>IFERROR(INDEX(PP_Grid[#Data],$DD383,71),0)</f>
        <v/>
      </c>
      <c r="BV383">
        <f>IFERROR(INDEX(PP_Grid[#Data],$DD383,72),0)</f>
        <v/>
      </c>
      <c r="BW383">
        <f>IFERROR(INDEX(PP_Grid[#Data],$DD383,73),0)</f>
        <v/>
      </c>
      <c r="BX383">
        <f>IFERROR(INDEX(PP_Grid[#Data],$DD383,74),0)</f>
        <v/>
      </c>
      <c r="BY383">
        <f>IFERROR(INDEX(PP_Grid[#Data],$DD383,75),0)</f>
        <v/>
      </c>
      <c r="BZ383">
        <f>IFERROR(INDEX(PP_Grid[#Data],$DD383,76),0)</f>
        <v/>
      </c>
      <c r="CA383">
        <f>IFERROR(INDEX(PP_Grid[#Data],$DD383,77),0)</f>
        <v/>
      </c>
      <c r="CB383">
        <f>IFERROR(INDEX(PP_Grid[#Data],$DD383,78),0)</f>
        <v/>
      </c>
      <c r="CC383">
        <f>IFERROR(INDEX(PP_Grid[#Data],$DD383,79),0)</f>
        <v/>
      </c>
      <c r="CD383">
        <f>IFERROR(INDEX(PP_Grid[#Data],$DD383,80),0)</f>
        <v/>
      </c>
      <c r="CE383">
        <f>IFERROR(INDEX(PP_Grid[#Data],$DD383,81),0)</f>
        <v/>
      </c>
      <c r="CF383">
        <f>IFERROR(INDEX(PP_Grid[#Data],$DD383,82),0)</f>
        <v/>
      </c>
      <c r="CG383">
        <f>IFERROR(INDEX(PP_Grid[#Data],$DD383,83),0)</f>
        <v/>
      </c>
      <c r="CH383">
        <f>IFERROR(INDEX(PP_Grid[#Data],$DD383,84),0)</f>
        <v/>
      </c>
      <c r="CI383">
        <f>IFERROR(INDEX(PP_Grid[#Data],$DD383,85),0)</f>
        <v/>
      </c>
      <c r="CJ383">
        <f>IFERROR(INDEX(PP_Grid[#Data],$DD383,86),0)</f>
        <v/>
      </c>
      <c r="CK383">
        <f>IFERROR(INDEX(PP_Grid[#Data],$DD383,87),0)</f>
        <v/>
      </c>
      <c r="CL383">
        <f>IFERROR(INDEX(PP_Grid[#Data],$DD383,88),0)</f>
        <v/>
      </c>
      <c r="CM383">
        <f>IFERROR(INDEX(PP_Grid[#Data],$DD383,89),0)</f>
        <v/>
      </c>
      <c r="CN383">
        <f>IFERROR(INDEX(PP_Grid[#Data],$DD383,90),0)</f>
        <v/>
      </c>
      <c r="CO383">
        <f>IFERROR(INDEX(PP_Grid[#Data],$DD383,91),0)</f>
        <v/>
      </c>
      <c r="CP383">
        <f>IFERROR(INDEX(PP_Grid[#Data],$DD383,92),0)</f>
        <v/>
      </c>
      <c r="CQ383">
        <f>IFERROR(INDEX(PP_Grid[#Data],$DD383,93),0)</f>
        <v/>
      </c>
      <c r="CR383">
        <f>IFERROR(INDEX(PP_Grid[#Data],$DD383,94),0)</f>
        <v/>
      </c>
      <c r="CS383">
        <f>IFERROR(INDEX(PP_Grid[#Data],$DD383,95),0)</f>
        <v/>
      </c>
      <c r="CT383">
        <f>IFERROR(INDEX(PP_Grid[#Data],$DD383,96),0)</f>
        <v/>
      </c>
      <c r="CU383">
        <f>IFERROR(INDEX(PP_Grid[#Data],$DD383,97),0)</f>
        <v/>
      </c>
      <c r="CV383">
        <f>IFERROR(INDEX(PP_Grid[#Data],$DD383,98),0)</f>
        <v/>
      </c>
      <c r="CW383">
        <f>IFERROR(INDEX(PP_Grid[#Data],$DD383,99),0)</f>
        <v/>
      </c>
      <c r="CX383">
        <f>IFERROR(INDEX(PP_Grid[#Data],$DD383,100),0)</f>
        <v/>
      </c>
      <c r="CY383">
        <f>IFERROR(INDEX(PP_Grid[#Data],$DD383,101),0)</f>
        <v/>
      </c>
      <c r="CZ383">
        <f>IFERROR(INDEX(PP_Grid[#Data],$DD383,102),0)</f>
        <v/>
      </c>
      <c r="DA383">
        <f>IFERROR(INDEX(PP_Grid[#Data],$DD383,103),0)</f>
        <v/>
      </c>
      <c r="DB383">
        <f>IFERROR(INDEX(PP_Grid[#Data],$DD383,104),0)</f>
        <v/>
      </c>
      <c r="DC383">
        <f>IFERROR(INDEX(PP_Grid[#Data],$DD383,105),0)</f>
        <v/>
      </c>
      <c r="DD383" s="7">
        <f>IFERROR(MATCH($B383,PP_Grid[Intermediate],0),99999)</f>
        <v/>
      </c>
    </row>
    <row r="384">
      <c r="B384" t="inlineStr">
        <is>
          <t>使用量(kg)</t>
        </is>
      </c>
      <c r="C384">
        <f>SUMIFS(M_BOM[RM_Qty_Per_Batch],M_BOM[Intermediate],$B383,M_BOM[Part Name],$A340)</f>
        <v/>
      </c>
      <c r="D384">
        <f>$C384*D383</f>
        <v/>
      </c>
      <c r="E384">
        <f>$C384*E383</f>
        <v/>
      </c>
      <c r="F384">
        <f>$C384*F383</f>
        <v/>
      </c>
      <c r="G384">
        <f>$C384*G383</f>
        <v/>
      </c>
      <c r="H384">
        <f>$C384*H383</f>
        <v/>
      </c>
      <c r="I384">
        <f>$C384*I383</f>
        <v/>
      </c>
      <c r="J384">
        <f>$C384*J383</f>
        <v/>
      </c>
      <c r="K384">
        <f>$C384*K383</f>
        <v/>
      </c>
      <c r="L384">
        <f>$C384*L383</f>
        <v/>
      </c>
      <c r="M384">
        <f>$C384*M383</f>
        <v/>
      </c>
      <c r="N384">
        <f>$C384*N383</f>
        <v/>
      </c>
      <c r="O384">
        <f>$C384*O383</f>
        <v/>
      </c>
      <c r="P384">
        <f>$C384*P383</f>
        <v/>
      </c>
      <c r="Q384">
        <f>$C384*Q383</f>
        <v/>
      </c>
      <c r="R384">
        <f>$C384*R383</f>
        <v/>
      </c>
      <c r="S384">
        <f>$C384*S383</f>
        <v/>
      </c>
      <c r="T384">
        <f>$C384*T383</f>
        <v/>
      </c>
      <c r="U384">
        <f>$C384*U383</f>
        <v/>
      </c>
      <c r="V384">
        <f>$C384*V383</f>
        <v/>
      </c>
      <c r="W384">
        <f>$C384*W383</f>
        <v/>
      </c>
      <c r="X384">
        <f>$C384*X383</f>
        <v/>
      </c>
      <c r="Y384">
        <f>$C384*Y383</f>
        <v/>
      </c>
      <c r="Z384">
        <f>$C384*Z383</f>
        <v/>
      </c>
      <c r="AA384">
        <f>$C384*AA383</f>
        <v/>
      </c>
      <c r="AB384">
        <f>$C384*AB383</f>
        <v/>
      </c>
      <c r="AC384">
        <f>$C384*AC383</f>
        <v/>
      </c>
      <c r="AD384">
        <f>$C384*AD383</f>
        <v/>
      </c>
      <c r="AE384">
        <f>$C384*AE383</f>
        <v/>
      </c>
      <c r="AF384">
        <f>$C384*AF383</f>
        <v/>
      </c>
      <c r="AG384">
        <f>$C384*AG383</f>
        <v/>
      </c>
      <c r="AH384">
        <f>$C384*AH383</f>
        <v/>
      </c>
      <c r="AI384">
        <f>$C384*AI383</f>
        <v/>
      </c>
      <c r="AJ384">
        <f>$C384*AJ383</f>
        <v/>
      </c>
      <c r="AK384">
        <f>$C384*AK383</f>
        <v/>
      </c>
      <c r="AL384">
        <f>$C384*AL383</f>
        <v/>
      </c>
      <c r="AM384">
        <f>$C384*AM383</f>
        <v/>
      </c>
      <c r="AN384">
        <f>$C384*AN383</f>
        <v/>
      </c>
      <c r="AO384">
        <f>$C384*AO383</f>
        <v/>
      </c>
      <c r="AP384">
        <f>$C384*AP383</f>
        <v/>
      </c>
      <c r="AQ384">
        <f>$C384*AQ383</f>
        <v/>
      </c>
      <c r="AR384">
        <f>$C384*AR383</f>
        <v/>
      </c>
      <c r="AS384">
        <f>$C384*AS383</f>
        <v/>
      </c>
      <c r="AT384">
        <f>$C384*AT383</f>
        <v/>
      </c>
      <c r="AU384">
        <f>$C384*AU383</f>
        <v/>
      </c>
      <c r="AV384">
        <f>$C384*AV383</f>
        <v/>
      </c>
      <c r="AW384">
        <f>$C384*AW383</f>
        <v/>
      </c>
      <c r="AX384">
        <f>$C384*AX383</f>
        <v/>
      </c>
      <c r="AY384">
        <f>$C384*AY383</f>
        <v/>
      </c>
      <c r="AZ384">
        <f>$C384*AZ383</f>
        <v/>
      </c>
      <c r="BA384">
        <f>$C384*BA383</f>
        <v/>
      </c>
      <c r="BB384">
        <f>$C384*BB383</f>
        <v/>
      </c>
      <c r="BC384">
        <f>$C384*BC383</f>
        <v/>
      </c>
      <c r="BD384">
        <f>$C384*BD383</f>
        <v/>
      </c>
      <c r="BE384">
        <f>$C384*BE383</f>
        <v/>
      </c>
      <c r="BF384">
        <f>$C384*BF383</f>
        <v/>
      </c>
      <c r="BG384">
        <f>$C384*BG383</f>
        <v/>
      </c>
      <c r="BH384">
        <f>$C384*BH383</f>
        <v/>
      </c>
      <c r="BI384">
        <f>$C384*BI383</f>
        <v/>
      </c>
      <c r="BJ384">
        <f>$C384*BJ383</f>
        <v/>
      </c>
      <c r="BK384">
        <f>$C384*BK383</f>
        <v/>
      </c>
      <c r="BL384">
        <f>$C384*BL383</f>
        <v/>
      </c>
      <c r="BM384">
        <f>$C384*BM383</f>
        <v/>
      </c>
      <c r="BN384">
        <f>$C384*BN383</f>
        <v/>
      </c>
      <c r="BO384">
        <f>$C384*BO383</f>
        <v/>
      </c>
      <c r="BP384">
        <f>$C384*BP383</f>
        <v/>
      </c>
      <c r="BQ384">
        <f>$C384*BQ383</f>
        <v/>
      </c>
      <c r="BR384">
        <f>$C384*BR383</f>
        <v/>
      </c>
      <c r="BS384">
        <f>$C384*BS383</f>
        <v/>
      </c>
      <c r="BT384">
        <f>$C384*BT383</f>
        <v/>
      </c>
      <c r="BU384">
        <f>$C384*BU383</f>
        <v/>
      </c>
      <c r="BV384">
        <f>$C384*BV383</f>
        <v/>
      </c>
      <c r="BW384">
        <f>$C384*BW383</f>
        <v/>
      </c>
      <c r="BX384">
        <f>$C384*BX383</f>
        <v/>
      </c>
      <c r="BY384">
        <f>$C384*BY383</f>
        <v/>
      </c>
      <c r="BZ384">
        <f>$C384*BZ383</f>
        <v/>
      </c>
      <c r="CA384">
        <f>$C384*CA383</f>
        <v/>
      </c>
      <c r="CB384">
        <f>$C384*CB383</f>
        <v/>
      </c>
      <c r="CC384">
        <f>$C384*CC383</f>
        <v/>
      </c>
      <c r="CD384">
        <f>$C384*CD383</f>
        <v/>
      </c>
      <c r="CE384">
        <f>$C384*CE383</f>
        <v/>
      </c>
      <c r="CF384">
        <f>$C384*CF383</f>
        <v/>
      </c>
      <c r="CG384">
        <f>$C384*CG383</f>
        <v/>
      </c>
      <c r="CH384">
        <f>$C384*CH383</f>
        <v/>
      </c>
      <c r="CI384">
        <f>$C384*CI383</f>
        <v/>
      </c>
      <c r="CJ384">
        <f>$C384*CJ383</f>
        <v/>
      </c>
      <c r="CK384">
        <f>$C384*CK383</f>
        <v/>
      </c>
      <c r="CL384">
        <f>$C384*CL383</f>
        <v/>
      </c>
      <c r="CM384">
        <f>$C384*CM383</f>
        <v/>
      </c>
      <c r="CN384">
        <f>$C384*CN383</f>
        <v/>
      </c>
      <c r="CO384">
        <f>$C384*CO383</f>
        <v/>
      </c>
      <c r="CP384">
        <f>$C384*CP383</f>
        <v/>
      </c>
      <c r="CQ384">
        <f>$C384*CQ383</f>
        <v/>
      </c>
      <c r="CR384">
        <f>$C384*CR383</f>
        <v/>
      </c>
      <c r="CS384">
        <f>$C384*CS383</f>
        <v/>
      </c>
      <c r="CT384">
        <f>$C384*CT383</f>
        <v/>
      </c>
      <c r="CU384">
        <f>$C384*CU383</f>
        <v/>
      </c>
      <c r="CV384">
        <f>$C384*CV383</f>
        <v/>
      </c>
      <c r="CW384">
        <f>$C384*CW383</f>
        <v/>
      </c>
      <c r="CX384">
        <f>$C384*CX383</f>
        <v/>
      </c>
      <c r="CY384">
        <f>$C384*CY383</f>
        <v/>
      </c>
      <c r="CZ384">
        <f>$C384*CZ383</f>
        <v/>
      </c>
      <c r="DA384">
        <f>$C384*DA383</f>
        <v/>
      </c>
      <c r="DB384">
        <f>$C384*DB383</f>
        <v/>
      </c>
      <c r="DC384">
        <f>$C384*DC383</f>
        <v/>
      </c>
    </row>
    <row r="385">
      <c r="B385" t="inlineStr">
        <is>
          <t>TSP-656</t>
        </is>
      </c>
      <c r="C385" t="inlineStr">
        <is>
          <t>No. of batches</t>
        </is>
      </c>
      <c r="D385">
        <f>IFERROR(INDEX(PP_Grid[#Data],$DD385,2),0)</f>
        <v/>
      </c>
      <c r="E385">
        <f>IFERROR(INDEX(PP_Grid[#Data],$DD385,3),0)</f>
        <v/>
      </c>
      <c r="F385">
        <f>IFERROR(INDEX(PP_Grid[#Data],$DD385,4),0)</f>
        <v/>
      </c>
      <c r="G385">
        <f>IFERROR(INDEX(PP_Grid[#Data],$DD385,5),0)</f>
        <v/>
      </c>
      <c r="H385">
        <f>IFERROR(INDEX(PP_Grid[#Data],$DD385,6),0)</f>
        <v/>
      </c>
      <c r="I385">
        <f>IFERROR(INDEX(PP_Grid[#Data],$DD385,7),0)</f>
        <v/>
      </c>
      <c r="J385">
        <f>IFERROR(INDEX(PP_Grid[#Data],$DD385,8),0)</f>
        <v/>
      </c>
      <c r="K385">
        <f>IFERROR(INDEX(PP_Grid[#Data],$DD385,9),0)</f>
        <v/>
      </c>
      <c r="L385">
        <f>IFERROR(INDEX(PP_Grid[#Data],$DD385,10),0)</f>
        <v/>
      </c>
      <c r="M385">
        <f>IFERROR(INDEX(PP_Grid[#Data],$DD385,11),0)</f>
        <v/>
      </c>
      <c r="N385">
        <f>IFERROR(INDEX(PP_Grid[#Data],$DD385,12),0)</f>
        <v/>
      </c>
      <c r="O385">
        <f>IFERROR(INDEX(PP_Grid[#Data],$DD385,13),0)</f>
        <v/>
      </c>
      <c r="P385">
        <f>IFERROR(INDEX(PP_Grid[#Data],$DD385,14),0)</f>
        <v/>
      </c>
      <c r="Q385">
        <f>IFERROR(INDEX(PP_Grid[#Data],$DD385,15),0)</f>
        <v/>
      </c>
      <c r="R385">
        <f>IFERROR(INDEX(PP_Grid[#Data],$DD385,16),0)</f>
        <v/>
      </c>
      <c r="S385">
        <f>IFERROR(INDEX(PP_Grid[#Data],$DD385,17),0)</f>
        <v/>
      </c>
      <c r="T385">
        <f>IFERROR(INDEX(PP_Grid[#Data],$DD385,18),0)</f>
        <v/>
      </c>
      <c r="U385">
        <f>IFERROR(INDEX(PP_Grid[#Data],$DD385,19),0)</f>
        <v/>
      </c>
      <c r="V385">
        <f>IFERROR(INDEX(PP_Grid[#Data],$DD385,20),0)</f>
        <v/>
      </c>
      <c r="W385">
        <f>IFERROR(INDEX(PP_Grid[#Data],$DD385,21),0)</f>
        <v/>
      </c>
      <c r="X385">
        <f>IFERROR(INDEX(PP_Grid[#Data],$DD385,22),0)</f>
        <v/>
      </c>
      <c r="Y385">
        <f>IFERROR(INDEX(PP_Grid[#Data],$DD385,23),0)</f>
        <v/>
      </c>
      <c r="Z385">
        <f>IFERROR(INDEX(PP_Grid[#Data],$DD385,24),0)</f>
        <v/>
      </c>
      <c r="AA385">
        <f>IFERROR(INDEX(PP_Grid[#Data],$DD385,25),0)</f>
        <v/>
      </c>
      <c r="AB385">
        <f>IFERROR(INDEX(PP_Grid[#Data],$DD385,26),0)</f>
        <v/>
      </c>
      <c r="AC385">
        <f>IFERROR(INDEX(PP_Grid[#Data],$DD385,27),0)</f>
        <v/>
      </c>
      <c r="AD385">
        <f>IFERROR(INDEX(PP_Grid[#Data],$DD385,28),0)</f>
        <v/>
      </c>
      <c r="AE385">
        <f>IFERROR(INDEX(PP_Grid[#Data],$DD385,29),0)</f>
        <v/>
      </c>
      <c r="AF385">
        <f>IFERROR(INDEX(PP_Grid[#Data],$DD385,30),0)</f>
        <v/>
      </c>
      <c r="AG385">
        <f>IFERROR(INDEX(PP_Grid[#Data],$DD385,31),0)</f>
        <v/>
      </c>
      <c r="AH385">
        <f>IFERROR(INDEX(PP_Grid[#Data],$DD385,32),0)</f>
        <v/>
      </c>
      <c r="AI385">
        <f>IFERROR(INDEX(PP_Grid[#Data],$DD385,33),0)</f>
        <v/>
      </c>
      <c r="AJ385">
        <f>IFERROR(INDEX(PP_Grid[#Data],$DD385,34),0)</f>
        <v/>
      </c>
      <c r="AK385">
        <f>IFERROR(INDEX(PP_Grid[#Data],$DD385,35),0)</f>
        <v/>
      </c>
      <c r="AL385">
        <f>IFERROR(INDEX(PP_Grid[#Data],$DD385,36),0)</f>
        <v/>
      </c>
      <c r="AM385">
        <f>IFERROR(INDEX(PP_Grid[#Data],$DD385,37),0)</f>
        <v/>
      </c>
      <c r="AN385">
        <f>IFERROR(INDEX(PP_Grid[#Data],$DD385,38),0)</f>
        <v/>
      </c>
      <c r="AO385">
        <f>IFERROR(INDEX(PP_Grid[#Data],$DD385,39),0)</f>
        <v/>
      </c>
      <c r="AP385">
        <f>IFERROR(INDEX(PP_Grid[#Data],$DD385,40),0)</f>
        <v/>
      </c>
      <c r="AQ385">
        <f>IFERROR(INDEX(PP_Grid[#Data],$DD385,41),0)</f>
        <v/>
      </c>
      <c r="AR385">
        <f>IFERROR(INDEX(PP_Grid[#Data],$DD385,42),0)</f>
        <v/>
      </c>
      <c r="AS385">
        <f>IFERROR(INDEX(PP_Grid[#Data],$DD385,43),0)</f>
        <v/>
      </c>
      <c r="AT385">
        <f>IFERROR(INDEX(PP_Grid[#Data],$DD385,44),0)</f>
        <v/>
      </c>
      <c r="AU385">
        <f>IFERROR(INDEX(PP_Grid[#Data],$DD385,45),0)</f>
        <v/>
      </c>
      <c r="AV385">
        <f>IFERROR(INDEX(PP_Grid[#Data],$DD385,46),0)</f>
        <v/>
      </c>
      <c r="AW385">
        <f>IFERROR(INDEX(PP_Grid[#Data],$DD385,47),0)</f>
        <v/>
      </c>
      <c r="AX385">
        <f>IFERROR(INDEX(PP_Grid[#Data],$DD385,48),0)</f>
        <v/>
      </c>
      <c r="AY385">
        <f>IFERROR(INDEX(PP_Grid[#Data],$DD385,49),0)</f>
        <v/>
      </c>
      <c r="AZ385">
        <f>IFERROR(INDEX(PP_Grid[#Data],$DD385,50),0)</f>
        <v/>
      </c>
      <c r="BA385">
        <f>IFERROR(INDEX(PP_Grid[#Data],$DD385,51),0)</f>
        <v/>
      </c>
      <c r="BB385">
        <f>IFERROR(INDEX(PP_Grid[#Data],$DD385,52),0)</f>
        <v/>
      </c>
      <c r="BC385">
        <f>IFERROR(INDEX(PP_Grid[#Data],$DD385,53),0)</f>
        <v/>
      </c>
      <c r="BD385">
        <f>IFERROR(INDEX(PP_Grid[#Data],$DD385,54),0)</f>
        <v/>
      </c>
      <c r="BE385">
        <f>IFERROR(INDEX(PP_Grid[#Data],$DD385,55),0)</f>
        <v/>
      </c>
      <c r="BF385">
        <f>IFERROR(INDEX(PP_Grid[#Data],$DD385,56),0)</f>
        <v/>
      </c>
      <c r="BG385">
        <f>IFERROR(INDEX(PP_Grid[#Data],$DD385,57),0)</f>
        <v/>
      </c>
      <c r="BH385">
        <f>IFERROR(INDEX(PP_Grid[#Data],$DD385,58),0)</f>
        <v/>
      </c>
      <c r="BI385">
        <f>IFERROR(INDEX(PP_Grid[#Data],$DD385,59),0)</f>
        <v/>
      </c>
      <c r="BJ385">
        <f>IFERROR(INDEX(PP_Grid[#Data],$DD385,60),0)</f>
        <v/>
      </c>
      <c r="BK385">
        <f>IFERROR(INDEX(PP_Grid[#Data],$DD385,61),0)</f>
        <v/>
      </c>
      <c r="BL385">
        <f>IFERROR(INDEX(PP_Grid[#Data],$DD385,62),0)</f>
        <v/>
      </c>
      <c r="BM385">
        <f>IFERROR(INDEX(PP_Grid[#Data],$DD385,63),0)</f>
        <v/>
      </c>
      <c r="BN385">
        <f>IFERROR(INDEX(PP_Grid[#Data],$DD385,64),0)</f>
        <v/>
      </c>
      <c r="BO385">
        <f>IFERROR(INDEX(PP_Grid[#Data],$DD385,65),0)</f>
        <v/>
      </c>
      <c r="BP385">
        <f>IFERROR(INDEX(PP_Grid[#Data],$DD385,66),0)</f>
        <v/>
      </c>
      <c r="BQ385">
        <f>IFERROR(INDEX(PP_Grid[#Data],$DD385,67),0)</f>
        <v/>
      </c>
      <c r="BR385">
        <f>IFERROR(INDEX(PP_Grid[#Data],$DD385,68),0)</f>
        <v/>
      </c>
      <c r="BS385">
        <f>IFERROR(INDEX(PP_Grid[#Data],$DD385,69),0)</f>
        <v/>
      </c>
      <c r="BT385">
        <f>IFERROR(INDEX(PP_Grid[#Data],$DD385,70),0)</f>
        <v/>
      </c>
      <c r="BU385">
        <f>IFERROR(INDEX(PP_Grid[#Data],$DD385,71),0)</f>
        <v/>
      </c>
      <c r="BV385">
        <f>IFERROR(INDEX(PP_Grid[#Data],$DD385,72),0)</f>
        <v/>
      </c>
      <c r="BW385">
        <f>IFERROR(INDEX(PP_Grid[#Data],$DD385,73),0)</f>
        <v/>
      </c>
      <c r="BX385">
        <f>IFERROR(INDEX(PP_Grid[#Data],$DD385,74),0)</f>
        <v/>
      </c>
      <c r="BY385">
        <f>IFERROR(INDEX(PP_Grid[#Data],$DD385,75),0)</f>
        <v/>
      </c>
      <c r="BZ385">
        <f>IFERROR(INDEX(PP_Grid[#Data],$DD385,76),0)</f>
        <v/>
      </c>
      <c r="CA385">
        <f>IFERROR(INDEX(PP_Grid[#Data],$DD385,77),0)</f>
        <v/>
      </c>
      <c r="CB385">
        <f>IFERROR(INDEX(PP_Grid[#Data],$DD385,78),0)</f>
        <v/>
      </c>
      <c r="CC385">
        <f>IFERROR(INDEX(PP_Grid[#Data],$DD385,79),0)</f>
        <v/>
      </c>
      <c r="CD385">
        <f>IFERROR(INDEX(PP_Grid[#Data],$DD385,80),0)</f>
        <v/>
      </c>
      <c r="CE385">
        <f>IFERROR(INDEX(PP_Grid[#Data],$DD385,81),0)</f>
        <v/>
      </c>
      <c r="CF385">
        <f>IFERROR(INDEX(PP_Grid[#Data],$DD385,82),0)</f>
        <v/>
      </c>
      <c r="CG385">
        <f>IFERROR(INDEX(PP_Grid[#Data],$DD385,83),0)</f>
        <v/>
      </c>
      <c r="CH385">
        <f>IFERROR(INDEX(PP_Grid[#Data],$DD385,84),0)</f>
        <v/>
      </c>
      <c r="CI385">
        <f>IFERROR(INDEX(PP_Grid[#Data],$DD385,85),0)</f>
        <v/>
      </c>
      <c r="CJ385">
        <f>IFERROR(INDEX(PP_Grid[#Data],$DD385,86),0)</f>
        <v/>
      </c>
      <c r="CK385">
        <f>IFERROR(INDEX(PP_Grid[#Data],$DD385,87),0)</f>
        <v/>
      </c>
      <c r="CL385">
        <f>IFERROR(INDEX(PP_Grid[#Data],$DD385,88),0)</f>
        <v/>
      </c>
      <c r="CM385">
        <f>IFERROR(INDEX(PP_Grid[#Data],$DD385,89),0)</f>
        <v/>
      </c>
      <c r="CN385">
        <f>IFERROR(INDEX(PP_Grid[#Data],$DD385,90),0)</f>
        <v/>
      </c>
      <c r="CO385">
        <f>IFERROR(INDEX(PP_Grid[#Data],$DD385,91),0)</f>
        <v/>
      </c>
      <c r="CP385">
        <f>IFERROR(INDEX(PP_Grid[#Data],$DD385,92),0)</f>
        <v/>
      </c>
      <c r="CQ385">
        <f>IFERROR(INDEX(PP_Grid[#Data],$DD385,93),0)</f>
        <v/>
      </c>
      <c r="CR385">
        <f>IFERROR(INDEX(PP_Grid[#Data],$DD385,94),0)</f>
        <v/>
      </c>
      <c r="CS385">
        <f>IFERROR(INDEX(PP_Grid[#Data],$DD385,95),0)</f>
        <v/>
      </c>
      <c r="CT385">
        <f>IFERROR(INDEX(PP_Grid[#Data],$DD385,96),0)</f>
        <v/>
      </c>
      <c r="CU385">
        <f>IFERROR(INDEX(PP_Grid[#Data],$DD385,97),0)</f>
        <v/>
      </c>
      <c r="CV385">
        <f>IFERROR(INDEX(PP_Grid[#Data],$DD385,98),0)</f>
        <v/>
      </c>
      <c r="CW385">
        <f>IFERROR(INDEX(PP_Grid[#Data],$DD385,99),0)</f>
        <v/>
      </c>
      <c r="CX385">
        <f>IFERROR(INDEX(PP_Grid[#Data],$DD385,100),0)</f>
        <v/>
      </c>
      <c r="CY385">
        <f>IFERROR(INDEX(PP_Grid[#Data],$DD385,101),0)</f>
        <v/>
      </c>
      <c r="CZ385">
        <f>IFERROR(INDEX(PP_Grid[#Data],$DD385,102),0)</f>
        <v/>
      </c>
      <c r="DA385">
        <f>IFERROR(INDEX(PP_Grid[#Data],$DD385,103),0)</f>
        <v/>
      </c>
      <c r="DB385">
        <f>IFERROR(INDEX(PP_Grid[#Data],$DD385,104),0)</f>
        <v/>
      </c>
      <c r="DC385">
        <f>IFERROR(INDEX(PP_Grid[#Data],$DD385,105),0)</f>
        <v/>
      </c>
      <c r="DD385" s="7">
        <f>IFERROR(MATCH($B385,PP_Grid[Intermediate],0),99999)</f>
        <v/>
      </c>
    </row>
    <row r="386">
      <c r="B386" t="inlineStr">
        <is>
          <t>使用量(kg)</t>
        </is>
      </c>
      <c r="C386">
        <f>SUMIFS(M_BOM[RM_Qty_Per_Batch],M_BOM[Intermediate],$B385,M_BOM[Part Name],$A340)</f>
        <v/>
      </c>
      <c r="D386">
        <f>$C386*D385</f>
        <v/>
      </c>
      <c r="E386">
        <f>$C386*E385</f>
        <v/>
      </c>
      <c r="F386">
        <f>$C386*F385</f>
        <v/>
      </c>
      <c r="G386">
        <f>$C386*G385</f>
        <v/>
      </c>
      <c r="H386">
        <f>$C386*H385</f>
        <v/>
      </c>
      <c r="I386">
        <f>$C386*I385</f>
        <v/>
      </c>
      <c r="J386">
        <f>$C386*J385</f>
        <v/>
      </c>
      <c r="K386">
        <f>$C386*K385</f>
        <v/>
      </c>
      <c r="L386">
        <f>$C386*L385</f>
        <v/>
      </c>
      <c r="M386">
        <f>$C386*M385</f>
        <v/>
      </c>
      <c r="N386">
        <f>$C386*N385</f>
        <v/>
      </c>
      <c r="O386">
        <f>$C386*O385</f>
        <v/>
      </c>
      <c r="P386">
        <f>$C386*P385</f>
        <v/>
      </c>
      <c r="Q386">
        <f>$C386*Q385</f>
        <v/>
      </c>
      <c r="R386">
        <f>$C386*R385</f>
        <v/>
      </c>
      <c r="S386">
        <f>$C386*S385</f>
        <v/>
      </c>
      <c r="T386">
        <f>$C386*T385</f>
        <v/>
      </c>
      <c r="U386">
        <f>$C386*U385</f>
        <v/>
      </c>
      <c r="V386">
        <f>$C386*V385</f>
        <v/>
      </c>
      <c r="W386">
        <f>$C386*W385</f>
        <v/>
      </c>
      <c r="X386">
        <f>$C386*X385</f>
        <v/>
      </c>
      <c r="Y386">
        <f>$C386*Y385</f>
        <v/>
      </c>
      <c r="Z386">
        <f>$C386*Z385</f>
        <v/>
      </c>
      <c r="AA386">
        <f>$C386*AA385</f>
        <v/>
      </c>
      <c r="AB386">
        <f>$C386*AB385</f>
        <v/>
      </c>
      <c r="AC386">
        <f>$C386*AC385</f>
        <v/>
      </c>
      <c r="AD386">
        <f>$C386*AD385</f>
        <v/>
      </c>
      <c r="AE386">
        <f>$C386*AE385</f>
        <v/>
      </c>
      <c r="AF386">
        <f>$C386*AF385</f>
        <v/>
      </c>
      <c r="AG386">
        <f>$C386*AG385</f>
        <v/>
      </c>
      <c r="AH386">
        <f>$C386*AH385</f>
        <v/>
      </c>
      <c r="AI386">
        <f>$C386*AI385</f>
        <v/>
      </c>
      <c r="AJ386">
        <f>$C386*AJ385</f>
        <v/>
      </c>
      <c r="AK386">
        <f>$C386*AK385</f>
        <v/>
      </c>
      <c r="AL386">
        <f>$C386*AL385</f>
        <v/>
      </c>
      <c r="AM386">
        <f>$C386*AM385</f>
        <v/>
      </c>
      <c r="AN386">
        <f>$C386*AN385</f>
        <v/>
      </c>
      <c r="AO386">
        <f>$C386*AO385</f>
        <v/>
      </c>
      <c r="AP386">
        <f>$C386*AP385</f>
        <v/>
      </c>
      <c r="AQ386">
        <f>$C386*AQ385</f>
        <v/>
      </c>
      <c r="AR386">
        <f>$C386*AR385</f>
        <v/>
      </c>
      <c r="AS386">
        <f>$C386*AS385</f>
        <v/>
      </c>
      <c r="AT386">
        <f>$C386*AT385</f>
        <v/>
      </c>
      <c r="AU386">
        <f>$C386*AU385</f>
        <v/>
      </c>
      <c r="AV386">
        <f>$C386*AV385</f>
        <v/>
      </c>
      <c r="AW386">
        <f>$C386*AW385</f>
        <v/>
      </c>
      <c r="AX386">
        <f>$C386*AX385</f>
        <v/>
      </c>
      <c r="AY386">
        <f>$C386*AY385</f>
        <v/>
      </c>
      <c r="AZ386">
        <f>$C386*AZ385</f>
        <v/>
      </c>
      <c r="BA386">
        <f>$C386*BA385</f>
        <v/>
      </c>
      <c r="BB386">
        <f>$C386*BB385</f>
        <v/>
      </c>
      <c r="BC386">
        <f>$C386*BC385</f>
        <v/>
      </c>
      <c r="BD386">
        <f>$C386*BD385</f>
        <v/>
      </c>
      <c r="BE386">
        <f>$C386*BE385</f>
        <v/>
      </c>
      <c r="BF386">
        <f>$C386*BF385</f>
        <v/>
      </c>
      <c r="BG386">
        <f>$C386*BG385</f>
        <v/>
      </c>
      <c r="BH386">
        <f>$C386*BH385</f>
        <v/>
      </c>
      <c r="BI386">
        <f>$C386*BI385</f>
        <v/>
      </c>
      <c r="BJ386">
        <f>$C386*BJ385</f>
        <v/>
      </c>
      <c r="BK386">
        <f>$C386*BK385</f>
        <v/>
      </c>
      <c r="BL386">
        <f>$C386*BL385</f>
        <v/>
      </c>
      <c r="BM386">
        <f>$C386*BM385</f>
        <v/>
      </c>
      <c r="BN386">
        <f>$C386*BN385</f>
        <v/>
      </c>
      <c r="BO386">
        <f>$C386*BO385</f>
        <v/>
      </c>
      <c r="BP386">
        <f>$C386*BP385</f>
        <v/>
      </c>
      <c r="BQ386">
        <f>$C386*BQ385</f>
        <v/>
      </c>
      <c r="BR386">
        <f>$C386*BR385</f>
        <v/>
      </c>
      <c r="BS386">
        <f>$C386*BS385</f>
        <v/>
      </c>
      <c r="BT386">
        <f>$C386*BT385</f>
        <v/>
      </c>
      <c r="BU386">
        <f>$C386*BU385</f>
        <v/>
      </c>
      <c r="BV386">
        <f>$C386*BV385</f>
        <v/>
      </c>
      <c r="BW386">
        <f>$C386*BW385</f>
        <v/>
      </c>
      <c r="BX386">
        <f>$C386*BX385</f>
        <v/>
      </c>
      <c r="BY386">
        <f>$C386*BY385</f>
        <v/>
      </c>
      <c r="BZ386">
        <f>$C386*BZ385</f>
        <v/>
      </c>
      <c r="CA386">
        <f>$C386*CA385</f>
        <v/>
      </c>
      <c r="CB386">
        <f>$C386*CB385</f>
        <v/>
      </c>
      <c r="CC386">
        <f>$C386*CC385</f>
        <v/>
      </c>
      <c r="CD386">
        <f>$C386*CD385</f>
        <v/>
      </c>
      <c r="CE386">
        <f>$C386*CE385</f>
        <v/>
      </c>
      <c r="CF386">
        <f>$C386*CF385</f>
        <v/>
      </c>
      <c r="CG386">
        <f>$C386*CG385</f>
        <v/>
      </c>
      <c r="CH386">
        <f>$C386*CH385</f>
        <v/>
      </c>
      <c r="CI386">
        <f>$C386*CI385</f>
        <v/>
      </c>
      <c r="CJ386">
        <f>$C386*CJ385</f>
        <v/>
      </c>
      <c r="CK386">
        <f>$C386*CK385</f>
        <v/>
      </c>
      <c r="CL386">
        <f>$C386*CL385</f>
        <v/>
      </c>
      <c r="CM386">
        <f>$C386*CM385</f>
        <v/>
      </c>
      <c r="CN386">
        <f>$C386*CN385</f>
        <v/>
      </c>
      <c r="CO386">
        <f>$C386*CO385</f>
        <v/>
      </c>
      <c r="CP386">
        <f>$C386*CP385</f>
        <v/>
      </c>
      <c r="CQ386">
        <f>$C386*CQ385</f>
        <v/>
      </c>
      <c r="CR386">
        <f>$C386*CR385</f>
        <v/>
      </c>
      <c r="CS386">
        <f>$C386*CS385</f>
        <v/>
      </c>
      <c r="CT386">
        <f>$C386*CT385</f>
        <v/>
      </c>
      <c r="CU386">
        <f>$C386*CU385</f>
        <v/>
      </c>
      <c r="CV386">
        <f>$C386*CV385</f>
        <v/>
      </c>
      <c r="CW386">
        <f>$C386*CW385</f>
        <v/>
      </c>
      <c r="CX386">
        <f>$C386*CX385</f>
        <v/>
      </c>
      <c r="CY386">
        <f>$C386*CY385</f>
        <v/>
      </c>
      <c r="CZ386">
        <f>$C386*CZ385</f>
        <v/>
      </c>
      <c r="DA386">
        <f>$C386*DA385</f>
        <v/>
      </c>
      <c r="DB386">
        <f>$C386*DB385</f>
        <v/>
      </c>
      <c r="DC386">
        <f>$C386*DC385</f>
        <v/>
      </c>
    </row>
    <row r="387">
      <c r="B387" t="inlineStr">
        <is>
          <t>TSP-710</t>
        </is>
      </c>
      <c r="C387" t="inlineStr">
        <is>
          <t>No. of batches</t>
        </is>
      </c>
      <c r="D387">
        <f>IFERROR(INDEX(PP_Grid[#Data],$DD387,2),0)</f>
        <v/>
      </c>
      <c r="E387">
        <f>IFERROR(INDEX(PP_Grid[#Data],$DD387,3),0)</f>
        <v/>
      </c>
      <c r="F387">
        <f>IFERROR(INDEX(PP_Grid[#Data],$DD387,4),0)</f>
        <v/>
      </c>
      <c r="G387">
        <f>IFERROR(INDEX(PP_Grid[#Data],$DD387,5),0)</f>
        <v/>
      </c>
      <c r="H387">
        <f>IFERROR(INDEX(PP_Grid[#Data],$DD387,6),0)</f>
        <v/>
      </c>
      <c r="I387">
        <f>IFERROR(INDEX(PP_Grid[#Data],$DD387,7),0)</f>
        <v/>
      </c>
      <c r="J387">
        <f>IFERROR(INDEX(PP_Grid[#Data],$DD387,8),0)</f>
        <v/>
      </c>
      <c r="K387">
        <f>IFERROR(INDEX(PP_Grid[#Data],$DD387,9),0)</f>
        <v/>
      </c>
      <c r="L387">
        <f>IFERROR(INDEX(PP_Grid[#Data],$DD387,10),0)</f>
        <v/>
      </c>
      <c r="M387">
        <f>IFERROR(INDEX(PP_Grid[#Data],$DD387,11),0)</f>
        <v/>
      </c>
      <c r="N387">
        <f>IFERROR(INDEX(PP_Grid[#Data],$DD387,12),0)</f>
        <v/>
      </c>
      <c r="O387">
        <f>IFERROR(INDEX(PP_Grid[#Data],$DD387,13),0)</f>
        <v/>
      </c>
      <c r="P387">
        <f>IFERROR(INDEX(PP_Grid[#Data],$DD387,14),0)</f>
        <v/>
      </c>
      <c r="Q387">
        <f>IFERROR(INDEX(PP_Grid[#Data],$DD387,15),0)</f>
        <v/>
      </c>
      <c r="R387">
        <f>IFERROR(INDEX(PP_Grid[#Data],$DD387,16),0)</f>
        <v/>
      </c>
      <c r="S387">
        <f>IFERROR(INDEX(PP_Grid[#Data],$DD387,17),0)</f>
        <v/>
      </c>
      <c r="T387">
        <f>IFERROR(INDEX(PP_Grid[#Data],$DD387,18),0)</f>
        <v/>
      </c>
      <c r="U387">
        <f>IFERROR(INDEX(PP_Grid[#Data],$DD387,19),0)</f>
        <v/>
      </c>
      <c r="V387">
        <f>IFERROR(INDEX(PP_Grid[#Data],$DD387,20),0)</f>
        <v/>
      </c>
      <c r="W387">
        <f>IFERROR(INDEX(PP_Grid[#Data],$DD387,21),0)</f>
        <v/>
      </c>
      <c r="X387">
        <f>IFERROR(INDEX(PP_Grid[#Data],$DD387,22),0)</f>
        <v/>
      </c>
      <c r="Y387">
        <f>IFERROR(INDEX(PP_Grid[#Data],$DD387,23),0)</f>
        <v/>
      </c>
      <c r="Z387">
        <f>IFERROR(INDEX(PP_Grid[#Data],$DD387,24),0)</f>
        <v/>
      </c>
      <c r="AA387">
        <f>IFERROR(INDEX(PP_Grid[#Data],$DD387,25),0)</f>
        <v/>
      </c>
      <c r="AB387">
        <f>IFERROR(INDEX(PP_Grid[#Data],$DD387,26),0)</f>
        <v/>
      </c>
      <c r="AC387">
        <f>IFERROR(INDEX(PP_Grid[#Data],$DD387,27),0)</f>
        <v/>
      </c>
      <c r="AD387">
        <f>IFERROR(INDEX(PP_Grid[#Data],$DD387,28),0)</f>
        <v/>
      </c>
      <c r="AE387">
        <f>IFERROR(INDEX(PP_Grid[#Data],$DD387,29),0)</f>
        <v/>
      </c>
      <c r="AF387">
        <f>IFERROR(INDEX(PP_Grid[#Data],$DD387,30),0)</f>
        <v/>
      </c>
      <c r="AG387">
        <f>IFERROR(INDEX(PP_Grid[#Data],$DD387,31),0)</f>
        <v/>
      </c>
      <c r="AH387">
        <f>IFERROR(INDEX(PP_Grid[#Data],$DD387,32),0)</f>
        <v/>
      </c>
      <c r="AI387">
        <f>IFERROR(INDEX(PP_Grid[#Data],$DD387,33),0)</f>
        <v/>
      </c>
      <c r="AJ387">
        <f>IFERROR(INDEX(PP_Grid[#Data],$DD387,34),0)</f>
        <v/>
      </c>
      <c r="AK387">
        <f>IFERROR(INDEX(PP_Grid[#Data],$DD387,35),0)</f>
        <v/>
      </c>
      <c r="AL387">
        <f>IFERROR(INDEX(PP_Grid[#Data],$DD387,36),0)</f>
        <v/>
      </c>
      <c r="AM387">
        <f>IFERROR(INDEX(PP_Grid[#Data],$DD387,37),0)</f>
        <v/>
      </c>
      <c r="AN387">
        <f>IFERROR(INDEX(PP_Grid[#Data],$DD387,38),0)</f>
        <v/>
      </c>
      <c r="AO387">
        <f>IFERROR(INDEX(PP_Grid[#Data],$DD387,39),0)</f>
        <v/>
      </c>
      <c r="AP387">
        <f>IFERROR(INDEX(PP_Grid[#Data],$DD387,40),0)</f>
        <v/>
      </c>
      <c r="AQ387">
        <f>IFERROR(INDEX(PP_Grid[#Data],$DD387,41),0)</f>
        <v/>
      </c>
      <c r="AR387">
        <f>IFERROR(INDEX(PP_Grid[#Data],$DD387,42),0)</f>
        <v/>
      </c>
      <c r="AS387">
        <f>IFERROR(INDEX(PP_Grid[#Data],$DD387,43),0)</f>
        <v/>
      </c>
      <c r="AT387">
        <f>IFERROR(INDEX(PP_Grid[#Data],$DD387,44),0)</f>
        <v/>
      </c>
      <c r="AU387">
        <f>IFERROR(INDEX(PP_Grid[#Data],$DD387,45),0)</f>
        <v/>
      </c>
      <c r="AV387">
        <f>IFERROR(INDEX(PP_Grid[#Data],$DD387,46),0)</f>
        <v/>
      </c>
      <c r="AW387">
        <f>IFERROR(INDEX(PP_Grid[#Data],$DD387,47),0)</f>
        <v/>
      </c>
      <c r="AX387">
        <f>IFERROR(INDEX(PP_Grid[#Data],$DD387,48),0)</f>
        <v/>
      </c>
      <c r="AY387">
        <f>IFERROR(INDEX(PP_Grid[#Data],$DD387,49),0)</f>
        <v/>
      </c>
      <c r="AZ387">
        <f>IFERROR(INDEX(PP_Grid[#Data],$DD387,50),0)</f>
        <v/>
      </c>
      <c r="BA387">
        <f>IFERROR(INDEX(PP_Grid[#Data],$DD387,51),0)</f>
        <v/>
      </c>
      <c r="BB387">
        <f>IFERROR(INDEX(PP_Grid[#Data],$DD387,52),0)</f>
        <v/>
      </c>
      <c r="BC387">
        <f>IFERROR(INDEX(PP_Grid[#Data],$DD387,53),0)</f>
        <v/>
      </c>
      <c r="BD387">
        <f>IFERROR(INDEX(PP_Grid[#Data],$DD387,54),0)</f>
        <v/>
      </c>
      <c r="BE387">
        <f>IFERROR(INDEX(PP_Grid[#Data],$DD387,55),0)</f>
        <v/>
      </c>
      <c r="BF387">
        <f>IFERROR(INDEX(PP_Grid[#Data],$DD387,56),0)</f>
        <v/>
      </c>
      <c r="BG387">
        <f>IFERROR(INDEX(PP_Grid[#Data],$DD387,57),0)</f>
        <v/>
      </c>
      <c r="BH387">
        <f>IFERROR(INDEX(PP_Grid[#Data],$DD387,58),0)</f>
        <v/>
      </c>
      <c r="BI387">
        <f>IFERROR(INDEX(PP_Grid[#Data],$DD387,59),0)</f>
        <v/>
      </c>
      <c r="BJ387">
        <f>IFERROR(INDEX(PP_Grid[#Data],$DD387,60),0)</f>
        <v/>
      </c>
      <c r="BK387">
        <f>IFERROR(INDEX(PP_Grid[#Data],$DD387,61),0)</f>
        <v/>
      </c>
      <c r="BL387">
        <f>IFERROR(INDEX(PP_Grid[#Data],$DD387,62),0)</f>
        <v/>
      </c>
      <c r="BM387">
        <f>IFERROR(INDEX(PP_Grid[#Data],$DD387,63),0)</f>
        <v/>
      </c>
      <c r="BN387">
        <f>IFERROR(INDEX(PP_Grid[#Data],$DD387,64),0)</f>
        <v/>
      </c>
      <c r="BO387">
        <f>IFERROR(INDEX(PP_Grid[#Data],$DD387,65),0)</f>
        <v/>
      </c>
      <c r="BP387">
        <f>IFERROR(INDEX(PP_Grid[#Data],$DD387,66),0)</f>
        <v/>
      </c>
      <c r="BQ387">
        <f>IFERROR(INDEX(PP_Grid[#Data],$DD387,67),0)</f>
        <v/>
      </c>
      <c r="BR387">
        <f>IFERROR(INDEX(PP_Grid[#Data],$DD387,68),0)</f>
        <v/>
      </c>
      <c r="BS387">
        <f>IFERROR(INDEX(PP_Grid[#Data],$DD387,69),0)</f>
        <v/>
      </c>
      <c r="BT387">
        <f>IFERROR(INDEX(PP_Grid[#Data],$DD387,70),0)</f>
        <v/>
      </c>
      <c r="BU387">
        <f>IFERROR(INDEX(PP_Grid[#Data],$DD387,71),0)</f>
        <v/>
      </c>
      <c r="BV387">
        <f>IFERROR(INDEX(PP_Grid[#Data],$DD387,72),0)</f>
        <v/>
      </c>
      <c r="BW387">
        <f>IFERROR(INDEX(PP_Grid[#Data],$DD387,73),0)</f>
        <v/>
      </c>
      <c r="BX387">
        <f>IFERROR(INDEX(PP_Grid[#Data],$DD387,74),0)</f>
        <v/>
      </c>
      <c r="BY387">
        <f>IFERROR(INDEX(PP_Grid[#Data],$DD387,75),0)</f>
        <v/>
      </c>
      <c r="BZ387">
        <f>IFERROR(INDEX(PP_Grid[#Data],$DD387,76),0)</f>
        <v/>
      </c>
      <c r="CA387">
        <f>IFERROR(INDEX(PP_Grid[#Data],$DD387,77),0)</f>
        <v/>
      </c>
      <c r="CB387">
        <f>IFERROR(INDEX(PP_Grid[#Data],$DD387,78),0)</f>
        <v/>
      </c>
      <c r="CC387">
        <f>IFERROR(INDEX(PP_Grid[#Data],$DD387,79),0)</f>
        <v/>
      </c>
      <c r="CD387">
        <f>IFERROR(INDEX(PP_Grid[#Data],$DD387,80),0)</f>
        <v/>
      </c>
      <c r="CE387">
        <f>IFERROR(INDEX(PP_Grid[#Data],$DD387,81),0)</f>
        <v/>
      </c>
      <c r="CF387">
        <f>IFERROR(INDEX(PP_Grid[#Data],$DD387,82),0)</f>
        <v/>
      </c>
      <c r="CG387">
        <f>IFERROR(INDEX(PP_Grid[#Data],$DD387,83),0)</f>
        <v/>
      </c>
      <c r="CH387">
        <f>IFERROR(INDEX(PP_Grid[#Data],$DD387,84),0)</f>
        <v/>
      </c>
      <c r="CI387">
        <f>IFERROR(INDEX(PP_Grid[#Data],$DD387,85),0)</f>
        <v/>
      </c>
      <c r="CJ387">
        <f>IFERROR(INDEX(PP_Grid[#Data],$DD387,86),0)</f>
        <v/>
      </c>
      <c r="CK387">
        <f>IFERROR(INDEX(PP_Grid[#Data],$DD387,87),0)</f>
        <v/>
      </c>
      <c r="CL387">
        <f>IFERROR(INDEX(PP_Grid[#Data],$DD387,88),0)</f>
        <v/>
      </c>
      <c r="CM387">
        <f>IFERROR(INDEX(PP_Grid[#Data],$DD387,89),0)</f>
        <v/>
      </c>
      <c r="CN387">
        <f>IFERROR(INDEX(PP_Grid[#Data],$DD387,90),0)</f>
        <v/>
      </c>
      <c r="CO387">
        <f>IFERROR(INDEX(PP_Grid[#Data],$DD387,91),0)</f>
        <v/>
      </c>
      <c r="CP387">
        <f>IFERROR(INDEX(PP_Grid[#Data],$DD387,92),0)</f>
        <v/>
      </c>
      <c r="CQ387">
        <f>IFERROR(INDEX(PP_Grid[#Data],$DD387,93),0)</f>
        <v/>
      </c>
      <c r="CR387">
        <f>IFERROR(INDEX(PP_Grid[#Data],$DD387,94),0)</f>
        <v/>
      </c>
      <c r="CS387">
        <f>IFERROR(INDEX(PP_Grid[#Data],$DD387,95),0)</f>
        <v/>
      </c>
      <c r="CT387">
        <f>IFERROR(INDEX(PP_Grid[#Data],$DD387,96),0)</f>
        <v/>
      </c>
      <c r="CU387">
        <f>IFERROR(INDEX(PP_Grid[#Data],$DD387,97),0)</f>
        <v/>
      </c>
      <c r="CV387">
        <f>IFERROR(INDEX(PP_Grid[#Data],$DD387,98),0)</f>
        <v/>
      </c>
      <c r="CW387">
        <f>IFERROR(INDEX(PP_Grid[#Data],$DD387,99),0)</f>
        <v/>
      </c>
      <c r="CX387">
        <f>IFERROR(INDEX(PP_Grid[#Data],$DD387,100),0)</f>
        <v/>
      </c>
      <c r="CY387">
        <f>IFERROR(INDEX(PP_Grid[#Data],$DD387,101),0)</f>
        <v/>
      </c>
      <c r="CZ387">
        <f>IFERROR(INDEX(PP_Grid[#Data],$DD387,102),0)</f>
        <v/>
      </c>
      <c r="DA387">
        <f>IFERROR(INDEX(PP_Grid[#Data],$DD387,103),0)</f>
        <v/>
      </c>
      <c r="DB387">
        <f>IFERROR(INDEX(PP_Grid[#Data],$DD387,104),0)</f>
        <v/>
      </c>
      <c r="DC387">
        <f>IFERROR(INDEX(PP_Grid[#Data],$DD387,105),0)</f>
        <v/>
      </c>
      <c r="DD387" s="7">
        <f>IFERROR(MATCH($B387,PP_Grid[Intermediate],0),99999)</f>
        <v/>
      </c>
    </row>
    <row r="388">
      <c r="B388" t="inlineStr">
        <is>
          <t>使用量(kg)</t>
        </is>
      </c>
      <c r="C388">
        <f>SUMIFS(M_BOM[RM_Qty_Per_Batch],M_BOM[Intermediate],$B387,M_BOM[Part Name],$A340)</f>
        <v/>
      </c>
      <c r="D388">
        <f>$C388*D387</f>
        <v/>
      </c>
      <c r="E388">
        <f>$C388*E387</f>
        <v/>
      </c>
      <c r="F388">
        <f>$C388*F387</f>
        <v/>
      </c>
      <c r="G388">
        <f>$C388*G387</f>
        <v/>
      </c>
      <c r="H388">
        <f>$C388*H387</f>
        <v/>
      </c>
      <c r="I388">
        <f>$C388*I387</f>
        <v/>
      </c>
      <c r="J388">
        <f>$C388*J387</f>
        <v/>
      </c>
      <c r="K388">
        <f>$C388*K387</f>
        <v/>
      </c>
      <c r="L388">
        <f>$C388*L387</f>
        <v/>
      </c>
      <c r="M388">
        <f>$C388*M387</f>
        <v/>
      </c>
      <c r="N388">
        <f>$C388*N387</f>
        <v/>
      </c>
      <c r="O388">
        <f>$C388*O387</f>
        <v/>
      </c>
      <c r="P388">
        <f>$C388*P387</f>
        <v/>
      </c>
      <c r="Q388">
        <f>$C388*Q387</f>
        <v/>
      </c>
      <c r="R388">
        <f>$C388*R387</f>
        <v/>
      </c>
      <c r="S388">
        <f>$C388*S387</f>
        <v/>
      </c>
      <c r="T388">
        <f>$C388*T387</f>
        <v/>
      </c>
      <c r="U388">
        <f>$C388*U387</f>
        <v/>
      </c>
      <c r="V388">
        <f>$C388*V387</f>
        <v/>
      </c>
      <c r="W388">
        <f>$C388*W387</f>
        <v/>
      </c>
      <c r="X388">
        <f>$C388*X387</f>
        <v/>
      </c>
      <c r="Y388">
        <f>$C388*Y387</f>
        <v/>
      </c>
      <c r="Z388">
        <f>$C388*Z387</f>
        <v/>
      </c>
      <c r="AA388">
        <f>$C388*AA387</f>
        <v/>
      </c>
      <c r="AB388">
        <f>$C388*AB387</f>
        <v/>
      </c>
      <c r="AC388">
        <f>$C388*AC387</f>
        <v/>
      </c>
      <c r="AD388">
        <f>$C388*AD387</f>
        <v/>
      </c>
      <c r="AE388">
        <f>$C388*AE387</f>
        <v/>
      </c>
      <c r="AF388">
        <f>$C388*AF387</f>
        <v/>
      </c>
      <c r="AG388">
        <f>$C388*AG387</f>
        <v/>
      </c>
      <c r="AH388">
        <f>$C388*AH387</f>
        <v/>
      </c>
      <c r="AI388">
        <f>$C388*AI387</f>
        <v/>
      </c>
      <c r="AJ388">
        <f>$C388*AJ387</f>
        <v/>
      </c>
      <c r="AK388">
        <f>$C388*AK387</f>
        <v/>
      </c>
      <c r="AL388">
        <f>$C388*AL387</f>
        <v/>
      </c>
      <c r="AM388">
        <f>$C388*AM387</f>
        <v/>
      </c>
      <c r="AN388">
        <f>$C388*AN387</f>
        <v/>
      </c>
      <c r="AO388">
        <f>$C388*AO387</f>
        <v/>
      </c>
      <c r="AP388">
        <f>$C388*AP387</f>
        <v/>
      </c>
      <c r="AQ388">
        <f>$C388*AQ387</f>
        <v/>
      </c>
      <c r="AR388">
        <f>$C388*AR387</f>
        <v/>
      </c>
      <c r="AS388">
        <f>$C388*AS387</f>
        <v/>
      </c>
      <c r="AT388">
        <f>$C388*AT387</f>
        <v/>
      </c>
      <c r="AU388">
        <f>$C388*AU387</f>
        <v/>
      </c>
      <c r="AV388">
        <f>$C388*AV387</f>
        <v/>
      </c>
      <c r="AW388">
        <f>$C388*AW387</f>
        <v/>
      </c>
      <c r="AX388">
        <f>$C388*AX387</f>
        <v/>
      </c>
      <c r="AY388">
        <f>$C388*AY387</f>
        <v/>
      </c>
      <c r="AZ388">
        <f>$C388*AZ387</f>
        <v/>
      </c>
      <c r="BA388">
        <f>$C388*BA387</f>
        <v/>
      </c>
      <c r="BB388">
        <f>$C388*BB387</f>
        <v/>
      </c>
      <c r="BC388">
        <f>$C388*BC387</f>
        <v/>
      </c>
      <c r="BD388">
        <f>$C388*BD387</f>
        <v/>
      </c>
      <c r="BE388">
        <f>$C388*BE387</f>
        <v/>
      </c>
      <c r="BF388">
        <f>$C388*BF387</f>
        <v/>
      </c>
      <c r="BG388">
        <f>$C388*BG387</f>
        <v/>
      </c>
      <c r="BH388">
        <f>$C388*BH387</f>
        <v/>
      </c>
      <c r="BI388">
        <f>$C388*BI387</f>
        <v/>
      </c>
      <c r="BJ388">
        <f>$C388*BJ387</f>
        <v/>
      </c>
      <c r="BK388">
        <f>$C388*BK387</f>
        <v/>
      </c>
      <c r="BL388">
        <f>$C388*BL387</f>
        <v/>
      </c>
      <c r="BM388">
        <f>$C388*BM387</f>
        <v/>
      </c>
      <c r="BN388">
        <f>$C388*BN387</f>
        <v/>
      </c>
      <c r="BO388">
        <f>$C388*BO387</f>
        <v/>
      </c>
      <c r="BP388">
        <f>$C388*BP387</f>
        <v/>
      </c>
      <c r="BQ388">
        <f>$C388*BQ387</f>
        <v/>
      </c>
      <c r="BR388">
        <f>$C388*BR387</f>
        <v/>
      </c>
      <c r="BS388">
        <f>$C388*BS387</f>
        <v/>
      </c>
      <c r="BT388">
        <f>$C388*BT387</f>
        <v/>
      </c>
      <c r="BU388">
        <f>$C388*BU387</f>
        <v/>
      </c>
      <c r="BV388">
        <f>$C388*BV387</f>
        <v/>
      </c>
      <c r="BW388">
        <f>$C388*BW387</f>
        <v/>
      </c>
      <c r="BX388">
        <f>$C388*BX387</f>
        <v/>
      </c>
      <c r="BY388">
        <f>$C388*BY387</f>
        <v/>
      </c>
      <c r="BZ388">
        <f>$C388*BZ387</f>
        <v/>
      </c>
      <c r="CA388">
        <f>$C388*CA387</f>
        <v/>
      </c>
      <c r="CB388">
        <f>$C388*CB387</f>
        <v/>
      </c>
      <c r="CC388">
        <f>$C388*CC387</f>
        <v/>
      </c>
      <c r="CD388">
        <f>$C388*CD387</f>
        <v/>
      </c>
      <c r="CE388">
        <f>$C388*CE387</f>
        <v/>
      </c>
      <c r="CF388">
        <f>$C388*CF387</f>
        <v/>
      </c>
      <c r="CG388">
        <f>$C388*CG387</f>
        <v/>
      </c>
      <c r="CH388">
        <f>$C388*CH387</f>
        <v/>
      </c>
      <c r="CI388">
        <f>$C388*CI387</f>
        <v/>
      </c>
      <c r="CJ388">
        <f>$C388*CJ387</f>
        <v/>
      </c>
      <c r="CK388">
        <f>$C388*CK387</f>
        <v/>
      </c>
      <c r="CL388">
        <f>$C388*CL387</f>
        <v/>
      </c>
      <c r="CM388">
        <f>$C388*CM387</f>
        <v/>
      </c>
      <c r="CN388">
        <f>$C388*CN387</f>
        <v/>
      </c>
      <c r="CO388">
        <f>$C388*CO387</f>
        <v/>
      </c>
      <c r="CP388">
        <f>$C388*CP387</f>
        <v/>
      </c>
      <c r="CQ388">
        <f>$C388*CQ387</f>
        <v/>
      </c>
      <c r="CR388">
        <f>$C388*CR387</f>
        <v/>
      </c>
      <c r="CS388">
        <f>$C388*CS387</f>
        <v/>
      </c>
      <c r="CT388">
        <f>$C388*CT387</f>
        <v/>
      </c>
      <c r="CU388">
        <f>$C388*CU387</f>
        <v/>
      </c>
      <c r="CV388">
        <f>$C388*CV387</f>
        <v/>
      </c>
      <c r="CW388">
        <f>$C388*CW387</f>
        <v/>
      </c>
      <c r="CX388">
        <f>$C388*CX387</f>
        <v/>
      </c>
      <c r="CY388">
        <f>$C388*CY387</f>
        <v/>
      </c>
      <c r="CZ388">
        <f>$C388*CZ387</f>
        <v/>
      </c>
      <c r="DA388">
        <f>$C388*DA387</f>
        <v/>
      </c>
      <c r="DB388">
        <f>$C388*DB387</f>
        <v/>
      </c>
      <c r="DC388">
        <f>$C388*DC387</f>
        <v/>
      </c>
    </row>
    <row r="389">
      <c r="B389" t="inlineStr">
        <is>
          <t>TSP-828</t>
        </is>
      </c>
      <c r="C389" t="inlineStr">
        <is>
          <t>No. of batches</t>
        </is>
      </c>
      <c r="D389">
        <f>IFERROR(INDEX(PP_Grid[#Data],$DD389,2),0)</f>
        <v/>
      </c>
      <c r="E389">
        <f>IFERROR(INDEX(PP_Grid[#Data],$DD389,3),0)</f>
        <v/>
      </c>
      <c r="F389">
        <f>IFERROR(INDEX(PP_Grid[#Data],$DD389,4),0)</f>
        <v/>
      </c>
      <c r="G389">
        <f>IFERROR(INDEX(PP_Grid[#Data],$DD389,5),0)</f>
        <v/>
      </c>
      <c r="H389">
        <f>IFERROR(INDEX(PP_Grid[#Data],$DD389,6),0)</f>
        <v/>
      </c>
      <c r="I389">
        <f>IFERROR(INDEX(PP_Grid[#Data],$DD389,7),0)</f>
        <v/>
      </c>
      <c r="J389">
        <f>IFERROR(INDEX(PP_Grid[#Data],$DD389,8),0)</f>
        <v/>
      </c>
      <c r="K389">
        <f>IFERROR(INDEX(PP_Grid[#Data],$DD389,9),0)</f>
        <v/>
      </c>
      <c r="L389">
        <f>IFERROR(INDEX(PP_Grid[#Data],$DD389,10),0)</f>
        <v/>
      </c>
      <c r="M389">
        <f>IFERROR(INDEX(PP_Grid[#Data],$DD389,11),0)</f>
        <v/>
      </c>
      <c r="N389">
        <f>IFERROR(INDEX(PP_Grid[#Data],$DD389,12),0)</f>
        <v/>
      </c>
      <c r="O389">
        <f>IFERROR(INDEX(PP_Grid[#Data],$DD389,13),0)</f>
        <v/>
      </c>
      <c r="P389">
        <f>IFERROR(INDEX(PP_Grid[#Data],$DD389,14),0)</f>
        <v/>
      </c>
      <c r="Q389">
        <f>IFERROR(INDEX(PP_Grid[#Data],$DD389,15),0)</f>
        <v/>
      </c>
      <c r="R389">
        <f>IFERROR(INDEX(PP_Grid[#Data],$DD389,16),0)</f>
        <v/>
      </c>
      <c r="S389">
        <f>IFERROR(INDEX(PP_Grid[#Data],$DD389,17),0)</f>
        <v/>
      </c>
      <c r="T389">
        <f>IFERROR(INDEX(PP_Grid[#Data],$DD389,18),0)</f>
        <v/>
      </c>
      <c r="U389">
        <f>IFERROR(INDEX(PP_Grid[#Data],$DD389,19),0)</f>
        <v/>
      </c>
      <c r="V389">
        <f>IFERROR(INDEX(PP_Grid[#Data],$DD389,20),0)</f>
        <v/>
      </c>
      <c r="W389">
        <f>IFERROR(INDEX(PP_Grid[#Data],$DD389,21),0)</f>
        <v/>
      </c>
      <c r="X389">
        <f>IFERROR(INDEX(PP_Grid[#Data],$DD389,22),0)</f>
        <v/>
      </c>
      <c r="Y389">
        <f>IFERROR(INDEX(PP_Grid[#Data],$DD389,23),0)</f>
        <v/>
      </c>
      <c r="Z389">
        <f>IFERROR(INDEX(PP_Grid[#Data],$DD389,24),0)</f>
        <v/>
      </c>
      <c r="AA389">
        <f>IFERROR(INDEX(PP_Grid[#Data],$DD389,25),0)</f>
        <v/>
      </c>
      <c r="AB389">
        <f>IFERROR(INDEX(PP_Grid[#Data],$DD389,26),0)</f>
        <v/>
      </c>
      <c r="AC389">
        <f>IFERROR(INDEX(PP_Grid[#Data],$DD389,27),0)</f>
        <v/>
      </c>
      <c r="AD389">
        <f>IFERROR(INDEX(PP_Grid[#Data],$DD389,28),0)</f>
        <v/>
      </c>
      <c r="AE389">
        <f>IFERROR(INDEX(PP_Grid[#Data],$DD389,29),0)</f>
        <v/>
      </c>
      <c r="AF389">
        <f>IFERROR(INDEX(PP_Grid[#Data],$DD389,30),0)</f>
        <v/>
      </c>
      <c r="AG389">
        <f>IFERROR(INDEX(PP_Grid[#Data],$DD389,31),0)</f>
        <v/>
      </c>
      <c r="AH389">
        <f>IFERROR(INDEX(PP_Grid[#Data],$DD389,32),0)</f>
        <v/>
      </c>
      <c r="AI389">
        <f>IFERROR(INDEX(PP_Grid[#Data],$DD389,33),0)</f>
        <v/>
      </c>
      <c r="AJ389">
        <f>IFERROR(INDEX(PP_Grid[#Data],$DD389,34),0)</f>
        <v/>
      </c>
      <c r="AK389">
        <f>IFERROR(INDEX(PP_Grid[#Data],$DD389,35),0)</f>
        <v/>
      </c>
      <c r="AL389">
        <f>IFERROR(INDEX(PP_Grid[#Data],$DD389,36),0)</f>
        <v/>
      </c>
      <c r="AM389">
        <f>IFERROR(INDEX(PP_Grid[#Data],$DD389,37),0)</f>
        <v/>
      </c>
      <c r="AN389">
        <f>IFERROR(INDEX(PP_Grid[#Data],$DD389,38),0)</f>
        <v/>
      </c>
      <c r="AO389">
        <f>IFERROR(INDEX(PP_Grid[#Data],$DD389,39),0)</f>
        <v/>
      </c>
      <c r="AP389">
        <f>IFERROR(INDEX(PP_Grid[#Data],$DD389,40),0)</f>
        <v/>
      </c>
      <c r="AQ389">
        <f>IFERROR(INDEX(PP_Grid[#Data],$DD389,41),0)</f>
        <v/>
      </c>
      <c r="AR389">
        <f>IFERROR(INDEX(PP_Grid[#Data],$DD389,42),0)</f>
        <v/>
      </c>
      <c r="AS389">
        <f>IFERROR(INDEX(PP_Grid[#Data],$DD389,43),0)</f>
        <v/>
      </c>
      <c r="AT389">
        <f>IFERROR(INDEX(PP_Grid[#Data],$DD389,44),0)</f>
        <v/>
      </c>
      <c r="AU389">
        <f>IFERROR(INDEX(PP_Grid[#Data],$DD389,45),0)</f>
        <v/>
      </c>
      <c r="AV389">
        <f>IFERROR(INDEX(PP_Grid[#Data],$DD389,46),0)</f>
        <v/>
      </c>
      <c r="AW389">
        <f>IFERROR(INDEX(PP_Grid[#Data],$DD389,47),0)</f>
        <v/>
      </c>
      <c r="AX389">
        <f>IFERROR(INDEX(PP_Grid[#Data],$DD389,48),0)</f>
        <v/>
      </c>
      <c r="AY389">
        <f>IFERROR(INDEX(PP_Grid[#Data],$DD389,49),0)</f>
        <v/>
      </c>
      <c r="AZ389">
        <f>IFERROR(INDEX(PP_Grid[#Data],$DD389,50),0)</f>
        <v/>
      </c>
      <c r="BA389">
        <f>IFERROR(INDEX(PP_Grid[#Data],$DD389,51),0)</f>
        <v/>
      </c>
      <c r="BB389">
        <f>IFERROR(INDEX(PP_Grid[#Data],$DD389,52),0)</f>
        <v/>
      </c>
      <c r="BC389">
        <f>IFERROR(INDEX(PP_Grid[#Data],$DD389,53),0)</f>
        <v/>
      </c>
      <c r="BD389">
        <f>IFERROR(INDEX(PP_Grid[#Data],$DD389,54),0)</f>
        <v/>
      </c>
      <c r="BE389">
        <f>IFERROR(INDEX(PP_Grid[#Data],$DD389,55),0)</f>
        <v/>
      </c>
      <c r="BF389">
        <f>IFERROR(INDEX(PP_Grid[#Data],$DD389,56),0)</f>
        <v/>
      </c>
      <c r="BG389">
        <f>IFERROR(INDEX(PP_Grid[#Data],$DD389,57),0)</f>
        <v/>
      </c>
      <c r="BH389">
        <f>IFERROR(INDEX(PP_Grid[#Data],$DD389,58),0)</f>
        <v/>
      </c>
      <c r="BI389">
        <f>IFERROR(INDEX(PP_Grid[#Data],$DD389,59),0)</f>
        <v/>
      </c>
      <c r="BJ389">
        <f>IFERROR(INDEX(PP_Grid[#Data],$DD389,60),0)</f>
        <v/>
      </c>
      <c r="BK389">
        <f>IFERROR(INDEX(PP_Grid[#Data],$DD389,61),0)</f>
        <v/>
      </c>
      <c r="BL389">
        <f>IFERROR(INDEX(PP_Grid[#Data],$DD389,62),0)</f>
        <v/>
      </c>
      <c r="BM389">
        <f>IFERROR(INDEX(PP_Grid[#Data],$DD389,63),0)</f>
        <v/>
      </c>
      <c r="BN389">
        <f>IFERROR(INDEX(PP_Grid[#Data],$DD389,64),0)</f>
        <v/>
      </c>
      <c r="BO389">
        <f>IFERROR(INDEX(PP_Grid[#Data],$DD389,65),0)</f>
        <v/>
      </c>
      <c r="BP389">
        <f>IFERROR(INDEX(PP_Grid[#Data],$DD389,66),0)</f>
        <v/>
      </c>
      <c r="BQ389">
        <f>IFERROR(INDEX(PP_Grid[#Data],$DD389,67),0)</f>
        <v/>
      </c>
      <c r="BR389">
        <f>IFERROR(INDEX(PP_Grid[#Data],$DD389,68),0)</f>
        <v/>
      </c>
      <c r="BS389">
        <f>IFERROR(INDEX(PP_Grid[#Data],$DD389,69),0)</f>
        <v/>
      </c>
      <c r="BT389">
        <f>IFERROR(INDEX(PP_Grid[#Data],$DD389,70),0)</f>
        <v/>
      </c>
      <c r="BU389">
        <f>IFERROR(INDEX(PP_Grid[#Data],$DD389,71),0)</f>
        <v/>
      </c>
      <c r="BV389">
        <f>IFERROR(INDEX(PP_Grid[#Data],$DD389,72),0)</f>
        <v/>
      </c>
      <c r="BW389">
        <f>IFERROR(INDEX(PP_Grid[#Data],$DD389,73),0)</f>
        <v/>
      </c>
      <c r="BX389">
        <f>IFERROR(INDEX(PP_Grid[#Data],$DD389,74),0)</f>
        <v/>
      </c>
      <c r="BY389">
        <f>IFERROR(INDEX(PP_Grid[#Data],$DD389,75),0)</f>
        <v/>
      </c>
      <c r="BZ389">
        <f>IFERROR(INDEX(PP_Grid[#Data],$DD389,76),0)</f>
        <v/>
      </c>
      <c r="CA389">
        <f>IFERROR(INDEX(PP_Grid[#Data],$DD389,77),0)</f>
        <v/>
      </c>
      <c r="CB389">
        <f>IFERROR(INDEX(PP_Grid[#Data],$DD389,78),0)</f>
        <v/>
      </c>
      <c r="CC389">
        <f>IFERROR(INDEX(PP_Grid[#Data],$DD389,79),0)</f>
        <v/>
      </c>
      <c r="CD389">
        <f>IFERROR(INDEX(PP_Grid[#Data],$DD389,80),0)</f>
        <v/>
      </c>
      <c r="CE389">
        <f>IFERROR(INDEX(PP_Grid[#Data],$DD389,81),0)</f>
        <v/>
      </c>
      <c r="CF389">
        <f>IFERROR(INDEX(PP_Grid[#Data],$DD389,82),0)</f>
        <v/>
      </c>
      <c r="CG389">
        <f>IFERROR(INDEX(PP_Grid[#Data],$DD389,83),0)</f>
        <v/>
      </c>
      <c r="CH389">
        <f>IFERROR(INDEX(PP_Grid[#Data],$DD389,84),0)</f>
        <v/>
      </c>
      <c r="CI389">
        <f>IFERROR(INDEX(PP_Grid[#Data],$DD389,85),0)</f>
        <v/>
      </c>
      <c r="CJ389">
        <f>IFERROR(INDEX(PP_Grid[#Data],$DD389,86),0)</f>
        <v/>
      </c>
      <c r="CK389">
        <f>IFERROR(INDEX(PP_Grid[#Data],$DD389,87),0)</f>
        <v/>
      </c>
      <c r="CL389">
        <f>IFERROR(INDEX(PP_Grid[#Data],$DD389,88),0)</f>
        <v/>
      </c>
      <c r="CM389">
        <f>IFERROR(INDEX(PP_Grid[#Data],$DD389,89),0)</f>
        <v/>
      </c>
      <c r="CN389">
        <f>IFERROR(INDEX(PP_Grid[#Data],$DD389,90),0)</f>
        <v/>
      </c>
      <c r="CO389">
        <f>IFERROR(INDEX(PP_Grid[#Data],$DD389,91),0)</f>
        <v/>
      </c>
      <c r="CP389">
        <f>IFERROR(INDEX(PP_Grid[#Data],$DD389,92),0)</f>
        <v/>
      </c>
      <c r="CQ389">
        <f>IFERROR(INDEX(PP_Grid[#Data],$DD389,93),0)</f>
        <v/>
      </c>
      <c r="CR389">
        <f>IFERROR(INDEX(PP_Grid[#Data],$DD389,94),0)</f>
        <v/>
      </c>
      <c r="CS389">
        <f>IFERROR(INDEX(PP_Grid[#Data],$DD389,95),0)</f>
        <v/>
      </c>
      <c r="CT389">
        <f>IFERROR(INDEX(PP_Grid[#Data],$DD389,96),0)</f>
        <v/>
      </c>
      <c r="CU389">
        <f>IFERROR(INDEX(PP_Grid[#Data],$DD389,97),0)</f>
        <v/>
      </c>
      <c r="CV389">
        <f>IFERROR(INDEX(PP_Grid[#Data],$DD389,98),0)</f>
        <v/>
      </c>
      <c r="CW389">
        <f>IFERROR(INDEX(PP_Grid[#Data],$DD389,99),0)</f>
        <v/>
      </c>
      <c r="CX389">
        <f>IFERROR(INDEX(PP_Grid[#Data],$DD389,100),0)</f>
        <v/>
      </c>
      <c r="CY389">
        <f>IFERROR(INDEX(PP_Grid[#Data],$DD389,101),0)</f>
        <v/>
      </c>
      <c r="CZ389">
        <f>IFERROR(INDEX(PP_Grid[#Data],$DD389,102),0)</f>
        <v/>
      </c>
      <c r="DA389">
        <f>IFERROR(INDEX(PP_Grid[#Data],$DD389,103),0)</f>
        <v/>
      </c>
      <c r="DB389">
        <f>IFERROR(INDEX(PP_Grid[#Data],$DD389,104),0)</f>
        <v/>
      </c>
      <c r="DC389">
        <f>IFERROR(INDEX(PP_Grid[#Data],$DD389,105),0)</f>
        <v/>
      </c>
      <c r="DD389" s="7">
        <f>IFERROR(MATCH($B389,PP_Grid[Intermediate],0),99999)</f>
        <v/>
      </c>
    </row>
    <row r="390">
      <c r="B390" t="inlineStr">
        <is>
          <t>使用量(kg)</t>
        </is>
      </c>
      <c r="C390">
        <f>SUMIFS(M_BOM[RM_Qty_Per_Batch],M_BOM[Intermediate],$B389,M_BOM[Part Name],$A340)</f>
        <v/>
      </c>
      <c r="D390">
        <f>$C390*D389</f>
        <v/>
      </c>
      <c r="E390">
        <f>$C390*E389</f>
        <v/>
      </c>
      <c r="F390">
        <f>$C390*F389</f>
        <v/>
      </c>
      <c r="G390">
        <f>$C390*G389</f>
        <v/>
      </c>
      <c r="H390">
        <f>$C390*H389</f>
        <v/>
      </c>
      <c r="I390">
        <f>$C390*I389</f>
        <v/>
      </c>
      <c r="J390">
        <f>$C390*J389</f>
        <v/>
      </c>
      <c r="K390">
        <f>$C390*K389</f>
        <v/>
      </c>
      <c r="L390">
        <f>$C390*L389</f>
        <v/>
      </c>
      <c r="M390">
        <f>$C390*M389</f>
        <v/>
      </c>
      <c r="N390">
        <f>$C390*N389</f>
        <v/>
      </c>
      <c r="O390">
        <f>$C390*O389</f>
        <v/>
      </c>
      <c r="P390">
        <f>$C390*P389</f>
        <v/>
      </c>
      <c r="Q390">
        <f>$C390*Q389</f>
        <v/>
      </c>
      <c r="R390">
        <f>$C390*R389</f>
        <v/>
      </c>
      <c r="S390">
        <f>$C390*S389</f>
        <v/>
      </c>
      <c r="T390">
        <f>$C390*T389</f>
        <v/>
      </c>
      <c r="U390">
        <f>$C390*U389</f>
        <v/>
      </c>
      <c r="V390">
        <f>$C390*V389</f>
        <v/>
      </c>
      <c r="W390">
        <f>$C390*W389</f>
        <v/>
      </c>
      <c r="X390">
        <f>$C390*X389</f>
        <v/>
      </c>
      <c r="Y390">
        <f>$C390*Y389</f>
        <v/>
      </c>
      <c r="Z390">
        <f>$C390*Z389</f>
        <v/>
      </c>
      <c r="AA390">
        <f>$C390*AA389</f>
        <v/>
      </c>
      <c r="AB390">
        <f>$C390*AB389</f>
        <v/>
      </c>
      <c r="AC390">
        <f>$C390*AC389</f>
        <v/>
      </c>
      <c r="AD390">
        <f>$C390*AD389</f>
        <v/>
      </c>
      <c r="AE390">
        <f>$C390*AE389</f>
        <v/>
      </c>
      <c r="AF390">
        <f>$C390*AF389</f>
        <v/>
      </c>
      <c r="AG390">
        <f>$C390*AG389</f>
        <v/>
      </c>
      <c r="AH390">
        <f>$C390*AH389</f>
        <v/>
      </c>
      <c r="AI390">
        <f>$C390*AI389</f>
        <v/>
      </c>
      <c r="AJ390">
        <f>$C390*AJ389</f>
        <v/>
      </c>
      <c r="AK390">
        <f>$C390*AK389</f>
        <v/>
      </c>
      <c r="AL390">
        <f>$C390*AL389</f>
        <v/>
      </c>
      <c r="AM390">
        <f>$C390*AM389</f>
        <v/>
      </c>
      <c r="AN390">
        <f>$C390*AN389</f>
        <v/>
      </c>
      <c r="AO390">
        <f>$C390*AO389</f>
        <v/>
      </c>
      <c r="AP390">
        <f>$C390*AP389</f>
        <v/>
      </c>
      <c r="AQ390">
        <f>$C390*AQ389</f>
        <v/>
      </c>
      <c r="AR390">
        <f>$C390*AR389</f>
        <v/>
      </c>
      <c r="AS390">
        <f>$C390*AS389</f>
        <v/>
      </c>
      <c r="AT390">
        <f>$C390*AT389</f>
        <v/>
      </c>
      <c r="AU390">
        <f>$C390*AU389</f>
        <v/>
      </c>
      <c r="AV390">
        <f>$C390*AV389</f>
        <v/>
      </c>
      <c r="AW390">
        <f>$C390*AW389</f>
        <v/>
      </c>
      <c r="AX390">
        <f>$C390*AX389</f>
        <v/>
      </c>
      <c r="AY390">
        <f>$C390*AY389</f>
        <v/>
      </c>
      <c r="AZ390">
        <f>$C390*AZ389</f>
        <v/>
      </c>
      <c r="BA390">
        <f>$C390*BA389</f>
        <v/>
      </c>
      <c r="BB390">
        <f>$C390*BB389</f>
        <v/>
      </c>
      <c r="BC390">
        <f>$C390*BC389</f>
        <v/>
      </c>
      <c r="BD390">
        <f>$C390*BD389</f>
        <v/>
      </c>
      <c r="BE390">
        <f>$C390*BE389</f>
        <v/>
      </c>
      <c r="BF390">
        <f>$C390*BF389</f>
        <v/>
      </c>
      <c r="BG390">
        <f>$C390*BG389</f>
        <v/>
      </c>
      <c r="BH390">
        <f>$C390*BH389</f>
        <v/>
      </c>
      <c r="BI390">
        <f>$C390*BI389</f>
        <v/>
      </c>
      <c r="BJ390">
        <f>$C390*BJ389</f>
        <v/>
      </c>
      <c r="BK390">
        <f>$C390*BK389</f>
        <v/>
      </c>
      <c r="BL390">
        <f>$C390*BL389</f>
        <v/>
      </c>
      <c r="BM390">
        <f>$C390*BM389</f>
        <v/>
      </c>
      <c r="BN390">
        <f>$C390*BN389</f>
        <v/>
      </c>
      <c r="BO390">
        <f>$C390*BO389</f>
        <v/>
      </c>
      <c r="BP390">
        <f>$C390*BP389</f>
        <v/>
      </c>
      <c r="BQ390">
        <f>$C390*BQ389</f>
        <v/>
      </c>
      <c r="BR390">
        <f>$C390*BR389</f>
        <v/>
      </c>
      <c r="BS390">
        <f>$C390*BS389</f>
        <v/>
      </c>
      <c r="BT390">
        <f>$C390*BT389</f>
        <v/>
      </c>
      <c r="BU390">
        <f>$C390*BU389</f>
        <v/>
      </c>
      <c r="BV390">
        <f>$C390*BV389</f>
        <v/>
      </c>
      <c r="BW390">
        <f>$C390*BW389</f>
        <v/>
      </c>
      <c r="BX390">
        <f>$C390*BX389</f>
        <v/>
      </c>
      <c r="BY390">
        <f>$C390*BY389</f>
        <v/>
      </c>
      <c r="BZ390">
        <f>$C390*BZ389</f>
        <v/>
      </c>
      <c r="CA390">
        <f>$C390*CA389</f>
        <v/>
      </c>
      <c r="CB390">
        <f>$C390*CB389</f>
        <v/>
      </c>
      <c r="CC390">
        <f>$C390*CC389</f>
        <v/>
      </c>
      <c r="CD390">
        <f>$C390*CD389</f>
        <v/>
      </c>
      <c r="CE390">
        <f>$C390*CE389</f>
        <v/>
      </c>
      <c r="CF390">
        <f>$C390*CF389</f>
        <v/>
      </c>
      <c r="CG390">
        <f>$C390*CG389</f>
        <v/>
      </c>
      <c r="CH390">
        <f>$C390*CH389</f>
        <v/>
      </c>
      <c r="CI390">
        <f>$C390*CI389</f>
        <v/>
      </c>
      <c r="CJ390">
        <f>$C390*CJ389</f>
        <v/>
      </c>
      <c r="CK390">
        <f>$C390*CK389</f>
        <v/>
      </c>
      <c r="CL390">
        <f>$C390*CL389</f>
        <v/>
      </c>
      <c r="CM390">
        <f>$C390*CM389</f>
        <v/>
      </c>
      <c r="CN390">
        <f>$C390*CN389</f>
        <v/>
      </c>
      <c r="CO390">
        <f>$C390*CO389</f>
        <v/>
      </c>
      <c r="CP390">
        <f>$C390*CP389</f>
        <v/>
      </c>
      <c r="CQ390">
        <f>$C390*CQ389</f>
        <v/>
      </c>
      <c r="CR390">
        <f>$C390*CR389</f>
        <v/>
      </c>
      <c r="CS390">
        <f>$C390*CS389</f>
        <v/>
      </c>
      <c r="CT390">
        <f>$C390*CT389</f>
        <v/>
      </c>
      <c r="CU390">
        <f>$C390*CU389</f>
        <v/>
      </c>
      <c r="CV390">
        <f>$C390*CV389</f>
        <v/>
      </c>
      <c r="CW390">
        <f>$C390*CW389</f>
        <v/>
      </c>
      <c r="CX390">
        <f>$C390*CX389</f>
        <v/>
      </c>
      <c r="CY390">
        <f>$C390*CY389</f>
        <v/>
      </c>
      <c r="CZ390">
        <f>$C390*CZ389</f>
        <v/>
      </c>
      <c r="DA390">
        <f>$C390*DA389</f>
        <v/>
      </c>
      <c r="DB390">
        <f>$C390*DB389</f>
        <v/>
      </c>
      <c r="DC390">
        <f>$C390*DC389</f>
        <v/>
      </c>
    </row>
    <row r="391">
      <c r="B391" t="inlineStr">
        <is>
          <t>TSP-903</t>
        </is>
      </c>
      <c r="C391" t="inlineStr">
        <is>
          <t>No. of batches</t>
        </is>
      </c>
      <c r="D391">
        <f>IFERROR(INDEX(PP_Grid[#Data],$DD391,2),0)</f>
        <v/>
      </c>
      <c r="E391">
        <f>IFERROR(INDEX(PP_Grid[#Data],$DD391,3),0)</f>
        <v/>
      </c>
      <c r="F391">
        <f>IFERROR(INDEX(PP_Grid[#Data],$DD391,4),0)</f>
        <v/>
      </c>
      <c r="G391">
        <f>IFERROR(INDEX(PP_Grid[#Data],$DD391,5),0)</f>
        <v/>
      </c>
      <c r="H391">
        <f>IFERROR(INDEX(PP_Grid[#Data],$DD391,6),0)</f>
        <v/>
      </c>
      <c r="I391">
        <f>IFERROR(INDEX(PP_Grid[#Data],$DD391,7),0)</f>
        <v/>
      </c>
      <c r="J391">
        <f>IFERROR(INDEX(PP_Grid[#Data],$DD391,8),0)</f>
        <v/>
      </c>
      <c r="K391">
        <f>IFERROR(INDEX(PP_Grid[#Data],$DD391,9),0)</f>
        <v/>
      </c>
      <c r="L391">
        <f>IFERROR(INDEX(PP_Grid[#Data],$DD391,10),0)</f>
        <v/>
      </c>
      <c r="M391">
        <f>IFERROR(INDEX(PP_Grid[#Data],$DD391,11),0)</f>
        <v/>
      </c>
      <c r="N391">
        <f>IFERROR(INDEX(PP_Grid[#Data],$DD391,12),0)</f>
        <v/>
      </c>
      <c r="O391">
        <f>IFERROR(INDEX(PP_Grid[#Data],$DD391,13),0)</f>
        <v/>
      </c>
      <c r="P391">
        <f>IFERROR(INDEX(PP_Grid[#Data],$DD391,14),0)</f>
        <v/>
      </c>
      <c r="Q391">
        <f>IFERROR(INDEX(PP_Grid[#Data],$DD391,15),0)</f>
        <v/>
      </c>
      <c r="R391">
        <f>IFERROR(INDEX(PP_Grid[#Data],$DD391,16),0)</f>
        <v/>
      </c>
      <c r="S391">
        <f>IFERROR(INDEX(PP_Grid[#Data],$DD391,17),0)</f>
        <v/>
      </c>
      <c r="T391">
        <f>IFERROR(INDEX(PP_Grid[#Data],$DD391,18),0)</f>
        <v/>
      </c>
      <c r="U391">
        <f>IFERROR(INDEX(PP_Grid[#Data],$DD391,19),0)</f>
        <v/>
      </c>
      <c r="V391">
        <f>IFERROR(INDEX(PP_Grid[#Data],$DD391,20),0)</f>
        <v/>
      </c>
      <c r="W391">
        <f>IFERROR(INDEX(PP_Grid[#Data],$DD391,21),0)</f>
        <v/>
      </c>
      <c r="X391">
        <f>IFERROR(INDEX(PP_Grid[#Data],$DD391,22),0)</f>
        <v/>
      </c>
      <c r="Y391">
        <f>IFERROR(INDEX(PP_Grid[#Data],$DD391,23),0)</f>
        <v/>
      </c>
      <c r="Z391">
        <f>IFERROR(INDEX(PP_Grid[#Data],$DD391,24),0)</f>
        <v/>
      </c>
      <c r="AA391">
        <f>IFERROR(INDEX(PP_Grid[#Data],$DD391,25),0)</f>
        <v/>
      </c>
      <c r="AB391">
        <f>IFERROR(INDEX(PP_Grid[#Data],$DD391,26),0)</f>
        <v/>
      </c>
      <c r="AC391">
        <f>IFERROR(INDEX(PP_Grid[#Data],$DD391,27),0)</f>
        <v/>
      </c>
      <c r="AD391">
        <f>IFERROR(INDEX(PP_Grid[#Data],$DD391,28),0)</f>
        <v/>
      </c>
      <c r="AE391">
        <f>IFERROR(INDEX(PP_Grid[#Data],$DD391,29),0)</f>
        <v/>
      </c>
      <c r="AF391">
        <f>IFERROR(INDEX(PP_Grid[#Data],$DD391,30),0)</f>
        <v/>
      </c>
      <c r="AG391">
        <f>IFERROR(INDEX(PP_Grid[#Data],$DD391,31),0)</f>
        <v/>
      </c>
      <c r="AH391">
        <f>IFERROR(INDEX(PP_Grid[#Data],$DD391,32),0)</f>
        <v/>
      </c>
      <c r="AI391">
        <f>IFERROR(INDEX(PP_Grid[#Data],$DD391,33),0)</f>
        <v/>
      </c>
      <c r="AJ391">
        <f>IFERROR(INDEX(PP_Grid[#Data],$DD391,34),0)</f>
        <v/>
      </c>
      <c r="AK391">
        <f>IFERROR(INDEX(PP_Grid[#Data],$DD391,35),0)</f>
        <v/>
      </c>
      <c r="AL391">
        <f>IFERROR(INDEX(PP_Grid[#Data],$DD391,36),0)</f>
        <v/>
      </c>
      <c r="AM391">
        <f>IFERROR(INDEX(PP_Grid[#Data],$DD391,37),0)</f>
        <v/>
      </c>
      <c r="AN391">
        <f>IFERROR(INDEX(PP_Grid[#Data],$DD391,38),0)</f>
        <v/>
      </c>
      <c r="AO391">
        <f>IFERROR(INDEX(PP_Grid[#Data],$DD391,39),0)</f>
        <v/>
      </c>
      <c r="AP391">
        <f>IFERROR(INDEX(PP_Grid[#Data],$DD391,40),0)</f>
        <v/>
      </c>
      <c r="AQ391">
        <f>IFERROR(INDEX(PP_Grid[#Data],$DD391,41),0)</f>
        <v/>
      </c>
      <c r="AR391">
        <f>IFERROR(INDEX(PP_Grid[#Data],$DD391,42),0)</f>
        <v/>
      </c>
      <c r="AS391">
        <f>IFERROR(INDEX(PP_Grid[#Data],$DD391,43),0)</f>
        <v/>
      </c>
      <c r="AT391">
        <f>IFERROR(INDEX(PP_Grid[#Data],$DD391,44),0)</f>
        <v/>
      </c>
      <c r="AU391">
        <f>IFERROR(INDEX(PP_Grid[#Data],$DD391,45),0)</f>
        <v/>
      </c>
      <c r="AV391">
        <f>IFERROR(INDEX(PP_Grid[#Data],$DD391,46),0)</f>
        <v/>
      </c>
      <c r="AW391">
        <f>IFERROR(INDEX(PP_Grid[#Data],$DD391,47),0)</f>
        <v/>
      </c>
      <c r="AX391">
        <f>IFERROR(INDEX(PP_Grid[#Data],$DD391,48),0)</f>
        <v/>
      </c>
      <c r="AY391">
        <f>IFERROR(INDEX(PP_Grid[#Data],$DD391,49),0)</f>
        <v/>
      </c>
      <c r="AZ391">
        <f>IFERROR(INDEX(PP_Grid[#Data],$DD391,50),0)</f>
        <v/>
      </c>
      <c r="BA391">
        <f>IFERROR(INDEX(PP_Grid[#Data],$DD391,51),0)</f>
        <v/>
      </c>
      <c r="BB391">
        <f>IFERROR(INDEX(PP_Grid[#Data],$DD391,52),0)</f>
        <v/>
      </c>
      <c r="BC391">
        <f>IFERROR(INDEX(PP_Grid[#Data],$DD391,53),0)</f>
        <v/>
      </c>
      <c r="BD391">
        <f>IFERROR(INDEX(PP_Grid[#Data],$DD391,54),0)</f>
        <v/>
      </c>
      <c r="BE391">
        <f>IFERROR(INDEX(PP_Grid[#Data],$DD391,55),0)</f>
        <v/>
      </c>
      <c r="BF391">
        <f>IFERROR(INDEX(PP_Grid[#Data],$DD391,56),0)</f>
        <v/>
      </c>
      <c r="BG391">
        <f>IFERROR(INDEX(PP_Grid[#Data],$DD391,57),0)</f>
        <v/>
      </c>
      <c r="BH391">
        <f>IFERROR(INDEX(PP_Grid[#Data],$DD391,58),0)</f>
        <v/>
      </c>
      <c r="BI391">
        <f>IFERROR(INDEX(PP_Grid[#Data],$DD391,59),0)</f>
        <v/>
      </c>
      <c r="BJ391">
        <f>IFERROR(INDEX(PP_Grid[#Data],$DD391,60),0)</f>
        <v/>
      </c>
      <c r="BK391">
        <f>IFERROR(INDEX(PP_Grid[#Data],$DD391,61),0)</f>
        <v/>
      </c>
      <c r="BL391">
        <f>IFERROR(INDEX(PP_Grid[#Data],$DD391,62),0)</f>
        <v/>
      </c>
      <c r="BM391">
        <f>IFERROR(INDEX(PP_Grid[#Data],$DD391,63),0)</f>
        <v/>
      </c>
      <c r="BN391">
        <f>IFERROR(INDEX(PP_Grid[#Data],$DD391,64),0)</f>
        <v/>
      </c>
      <c r="BO391">
        <f>IFERROR(INDEX(PP_Grid[#Data],$DD391,65),0)</f>
        <v/>
      </c>
      <c r="BP391">
        <f>IFERROR(INDEX(PP_Grid[#Data],$DD391,66),0)</f>
        <v/>
      </c>
      <c r="BQ391">
        <f>IFERROR(INDEX(PP_Grid[#Data],$DD391,67),0)</f>
        <v/>
      </c>
      <c r="BR391">
        <f>IFERROR(INDEX(PP_Grid[#Data],$DD391,68),0)</f>
        <v/>
      </c>
      <c r="BS391">
        <f>IFERROR(INDEX(PP_Grid[#Data],$DD391,69),0)</f>
        <v/>
      </c>
      <c r="BT391">
        <f>IFERROR(INDEX(PP_Grid[#Data],$DD391,70),0)</f>
        <v/>
      </c>
      <c r="BU391">
        <f>IFERROR(INDEX(PP_Grid[#Data],$DD391,71),0)</f>
        <v/>
      </c>
      <c r="BV391">
        <f>IFERROR(INDEX(PP_Grid[#Data],$DD391,72),0)</f>
        <v/>
      </c>
      <c r="BW391">
        <f>IFERROR(INDEX(PP_Grid[#Data],$DD391,73),0)</f>
        <v/>
      </c>
      <c r="BX391">
        <f>IFERROR(INDEX(PP_Grid[#Data],$DD391,74),0)</f>
        <v/>
      </c>
      <c r="BY391">
        <f>IFERROR(INDEX(PP_Grid[#Data],$DD391,75),0)</f>
        <v/>
      </c>
      <c r="BZ391">
        <f>IFERROR(INDEX(PP_Grid[#Data],$DD391,76),0)</f>
        <v/>
      </c>
      <c r="CA391">
        <f>IFERROR(INDEX(PP_Grid[#Data],$DD391,77),0)</f>
        <v/>
      </c>
      <c r="CB391">
        <f>IFERROR(INDEX(PP_Grid[#Data],$DD391,78),0)</f>
        <v/>
      </c>
      <c r="CC391">
        <f>IFERROR(INDEX(PP_Grid[#Data],$DD391,79),0)</f>
        <v/>
      </c>
      <c r="CD391">
        <f>IFERROR(INDEX(PP_Grid[#Data],$DD391,80),0)</f>
        <v/>
      </c>
      <c r="CE391">
        <f>IFERROR(INDEX(PP_Grid[#Data],$DD391,81),0)</f>
        <v/>
      </c>
      <c r="CF391">
        <f>IFERROR(INDEX(PP_Grid[#Data],$DD391,82),0)</f>
        <v/>
      </c>
      <c r="CG391">
        <f>IFERROR(INDEX(PP_Grid[#Data],$DD391,83),0)</f>
        <v/>
      </c>
      <c r="CH391">
        <f>IFERROR(INDEX(PP_Grid[#Data],$DD391,84),0)</f>
        <v/>
      </c>
      <c r="CI391">
        <f>IFERROR(INDEX(PP_Grid[#Data],$DD391,85),0)</f>
        <v/>
      </c>
      <c r="CJ391">
        <f>IFERROR(INDEX(PP_Grid[#Data],$DD391,86),0)</f>
        <v/>
      </c>
      <c r="CK391">
        <f>IFERROR(INDEX(PP_Grid[#Data],$DD391,87),0)</f>
        <v/>
      </c>
      <c r="CL391">
        <f>IFERROR(INDEX(PP_Grid[#Data],$DD391,88),0)</f>
        <v/>
      </c>
      <c r="CM391">
        <f>IFERROR(INDEX(PP_Grid[#Data],$DD391,89),0)</f>
        <v/>
      </c>
      <c r="CN391">
        <f>IFERROR(INDEX(PP_Grid[#Data],$DD391,90),0)</f>
        <v/>
      </c>
      <c r="CO391">
        <f>IFERROR(INDEX(PP_Grid[#Data],$DD391,91),0)</f>
        <v/>
      </c>
      <c r="CP391">
        <f>IFERROR(INDEX(PP_Grid[#Data],$DD391,92),0)</f>
        <v/>
      </c>
      <c r="CQ391">
        <f>IFERROR(INDEX(PP_Grid[#Data],$DD391,93),0)</f>
        <v/>
      </c>
      <c r="CR391">
        <f>IFERROR(INDEX(PP_Grid[#Data],$DD391,94),0)</f>
        <v/>
      </c>
      <c r="CS391">
        <f>IFERROR(INDEX(PP_Grid[#Data],$DD391,95),0)</f>
        <v/>
      </c>
      <c r="CT391">
        <f>IFERROR(INDEX(PP_Grid[#Data],$DD391,96),0)</f>
        <v/>
      </c>
      <c r="CU391">
        <f>IFERROR(INDEX(PP_Grid[#Data],$DD391,97),0)</f>
        <v/>
      </c>
      <c r="CV391">
        <f>IFERROR(INDEX(PP_Grid[#Data],$DD391,98),0)</f>
        <v/>
      </c>
      <c r="CW391">
        <f>IFERROR(INDEX(PP_Grid[#Data],$DD391,99),0)</f>
        <v/>
      </c>
      <c r="CX391">
        <f>IFERROR(INDEX(PP_Grid[#Data],$DD391,100),0)</f>
        <v/>
      </c>
      <c r="CY391">
        <f>IFERROR(INDEX(PP_Grid[#Data],$DD391,101),0)</f>
        <v/>
      </c>
      <c r="CZ391">
        <f>IFERROR(INDEX(PP_Grid[#Data],$DD391,102),0)</f>
        <v/>
      </c>
      <c r="DA391">
        <f>IFERROR(INDEX(PP_Grid[#Data],$DD391,103),0)</f>
        <v/>
      </c>
      <c r="DB391">
        <f>IFERROR(INDEX(PP_Grid[#Data],$DD391,104),0)</f>
        <v/>
      </c>
      <c r="DC391">
        <f>IFERROR(INDEX(PP_Grid[#Data],$DD391,105),0)</f>
        <v/>
      </c>
      <c r="DD391" s="7">
        <f>IFERROR(MATCH($B391,PP_Grid[Intermediate],0),99999)</f>
        <v/>
      </c>
    </row>
    <row r="392">
      <c r="B392" t="inlineStr">
        <is>
          <t>使用量(kg)</t>
        </is>
      </c>
      <c r="C392">
        <f>SUMIFS(M_BOM[RM_Qty_Per_Batch],M_BOM[Intermediate],$B391,M_BOM[Part Name],$A340)</f>
        <v/>
      </c>
      <c r="D392">
        <f>$C392*D391</f>
        <v/>
      </c>
      <c r="E392">
        <f>$C392*E391</f>
        <v/>
      </c>
      <c r="F392">
        <f>$C392*F391</f>
        <v/>
      </c>
      <c r="G392">
        <f>$C392*G391</f>
        <v/>
      </c>
      <c r="H392">
        <f>$C392*H391</f>
        <v/>
      </c>
      <c r="I392">
        <f>$C392*I391</f>
        <v/>
      </c>
      <c r="J392">
        <f>$C392*J391</f>
        <v/>
      </c>
      <c r="K392">
        <f>$C392*K391</f>
        <v/>
      </c>
      <c r="L392">
        <f>$C392*L391</f>
        <v/>
      </c>
      <c r="M392">
        <f>$C392*M391</f>
        <v/>
      </c>
      <c r="N392">
        <f>$C392*N391</f>
        <v/>
      </c>
      <c r="O392">
        <f>$C392*O391</f>
        <v/>
      </c>
      <c r="P392">
        <f>$C392*P391</f>
        <v/>
      </c>
      <c r="Q392">
        <f>$C392*Q391</f>
        <v/>
      </c>
      <c r="R392">
        <f>$C392*R391</f>
        <v/>
      </c>
      <c r="S392">
        <f>$C392*S391</f>
        <v/>
      </c>
      <c r="T392">
        <f>$C392*T391</f>
        <v/>
      </c>
      <c r="U392">
        <f>$C392*U391</f>
        <v/>
      </c>
      <c r="V392">
        <f>$C392*V391</f>
        <v/>
      </c>
      <c r="W392">
        <f>$C392*W391</f>
        <v/>
      </c>
      <c r="X392">
        <f>$C392*X391</f>
        <v/>
      </c>
      <c r="Y392">
        <f>$C392*Y391</f>
        <v/>
      </c>
      <c r="Z392">
        <f>$C392*Z391</f>
        <v/>
      </c>
      <c r="AA392">
        <f>$C392*AA391</f>
        <v/>
      </c>
      <c r="AB392">
        <f>$C392*AB391</f>
        <v/>
      </c>
      <c r="AC392">
        <f>$C392*AC391</f>
        <v/>
      </c>
      <c r="AD392">
        <f>$C392*AD391</f>
        <v/>
      </c>
      <c r="AE392">
        <f>$C392*AE391</f>
        <v/>
      </c>
      <c r="AF392">
        <f>$C392*AF391</f>
        <v/>
      </c>
      <c r="AG392">
        <f>$C392*AG391</f>
        <v/>
      </c>
      <c r="AH392">
        <f>$C392*AH391</f>
        <v/>
      </c>
      <c r="AI392">
        <f>$C392*AI391</f>
        <v/>
      </c>
      <c r="AJ392">
        <f>$C392*AJ391</f>
        <v/>
      </c>
      <c r="AK392">
        <f>$C392*AK391</f>
        <v/>
      </c>
      <c r="AL392">
        <f>$C392*AL391</f>
        <v/>
      </c>
      <c r="AM392">
        <f>$C392*AM391</f>
        <v/>
      </c>
      <c r="AN392">
        <f>$C392*AN391</f>
        <v/>
      </c>
      <c r="AO392">
        <f>$C392*AO391</f>
        <v/>
      </c>
      <c r="AP392">
        <f>$C392*AP391</f>
        <v/>
      </c>
      <c r="AQ392">
        <f>$C392*AQ391</f>
        <v/>
      </c>
      <c r="AR392">
        <f>$C392*AR391</f>
        <v/>
      </c>
      <c r="AS392">
        <f>$C392*AS391</f>
        <v/>
      </c>
      <c r="AT392">
        <f>$C392*AT391</f>
        <v/>
      </c>
      <c r="AU392">
        <f>$C392*AU391</f>
        <v/>
      </c>
      <c r="AV392">
        <f>$C392*AV391</f>
        <v/>
      </c>
      <c r="AW392">
        <f>$C392*AW391</f>
        <v/>
      </c>
      <c r="AX392">
        <f>$C392*AX391</f>
        <v/>
      </c>
      <c r="AY392">
        <f>$C392*AY391</f>
        <v/>
      </c>
      <c r="AZ392">
        <f>$C392*AZ391</f>
        <v/>
      </c>
      <c r="BA392">
        <f>$C392*BA391</f>
        <v/>
      </c>
      <c r="BB392">
        <f>$C392*BB391</f>
        <v/>
      </c>
      <c r="BC392">
        <f>$C392*BC391</f>
        <v/>
      </c>
      <c r="BD392">
        <f>$C392*BD391</f>
        <v/>
      </c>
      <c r="BE392">
        <f>$C392*BE391</f>
        <v/>
      </c>
      <c r="BF392">
        <f>$C392*BF391</f>
        <v/>
      </c>
      <c r="BG392">
        <f>$C392*BG391</f>
        <v/>
      </c>
      <c r="BH392">
        <f>$C392*BH391</f>
        <v/>
      </c>
      <c r="BI392">
        <f>$C392*BI391</f>
        <v/>
      </c>
      <c r="BJ392">
        <f>$C392*BJ391</f>
        <v/>
      </c>
      <c r="BK392">
        <f>$C392*BK391</f>
        <v/>
      </c>
      <c r="BL392">
        <f>$C392*BL391</f>
        <v/>
      </c>
      <c r="BM392">
        <f>$C392*BM391</f>
        <v/>
      </c>
      <c r="BN392">
        <f>$C392*BN391</f>
        <v/>
      </c>
      <c r="BO392">
        <f>$C392*BO391</f>
        <v/>
      </c>
      <c r="BP392">
        <f>$C392*BP391</f>
        <v/>
      </c>
      <c r="BQ392">
        <f>$C392*BQ391</f>
        <v/>
      </c>
      <c r="BR392">
        <f>$C392*BR391</f>
        <v/>
      </c>
      <c r="BS392">
        <f>$C392*BS391</f>
        <v/>
      </c>
      <c r="BT392">
        <f>$C392*BT391</f>
        <v/>
      </c>
      <c r="BU392">
        <f>$C392*BU391</f>
        <v/>
      </c>
      <c r="BV392">
        <f>$C392*BV391</f>
        <v/>
      </c>
      <c r="BW392">
        <f>$C392*BW391</f>
        <v/>
      </c>
      <c r="BX392">
        <f>$C392*BX391</f>
        <v/>
      </c>
      <c r="BY392">
        <f>$C392*BY391</f>
        <v/>
      </c>
      <c r="BZ392">
        <f>$C392*BZ391</f>
        <v/>
      </c>
      <c r="CA392">
        <f>$C392*CA391</f>
        <v/>
      </c>
      <c r="CB392">
        <f>$C392*CB391</f>
        <v/>
      </c>
      <c r="CC392">
        <f>$C392*CC391</f>
        <v/>
      </c>
      <c r="CD392">
        <f>$C392*CD391</f>
        <v/>
      </c>
      <c r="CE392">
        <f>$C392*CE391</f>
        <v/>
      </c>
      <c r="CF392">
        <f>$C392*CF391</f>
        <v/>
      </c>
      <c r="CG392">
        <f>$C392*CG391</f>
        <v/>
      </c>
      <c r="CH392">
        <f>$C392*CH391</f>
        <v/>
      </c>
      <c r="CI392">
        <f>$C392*CI391</f>
        <v/>
      </c>
      <c r="CJ392">
        <f>$C392*CJ391</f>
        <v/>
      </c>
      <c r="CK392">
        <f>$C392*CK391</f>
        <v/>
      </c>
      <c r="CL392">
        <f>$C392*CL391</f>
        <v/>
      </c>
      <c r="CM392">
        <f>$C392*CM391</f>
        <v/>
      </c>
      <c r="CN392">
        <f>$C392*CN391</f>
        <v/>
      </c>
      <c r="CO392">
        <f>$C392*CO391</f>
        <v/>
      </c>
      <c r="CP392">
        <f>$C392*CP391</f>
        <v/>
      </c>
      <c r="CQ392">
        <f>$C392*CQ391</f>
        <v/>
      </c>
      <c r="CR392">
        <f>$C392*CR391</f>
        <v/>
      </c>
      <c r="CS392">
        <f>$C392*CS391</f>
        <v/>
      </c>
      <c r="CT392">
        <f>$C392*CT391</f>
        <v/>
      </c>
      <c r="CU392">
        <f>$C392*CU391</f>
        <v/>
      </c>
      <c r="CV392">
        <f>$C392*CV391</f>
        <v/>
      </c>
      <c r="CW392">
        <f>$C392*CW391</f>
        <v/>
      </c>
      <c r="CX392">
        <f>$C392*CX391</f>
        <v/>
      </c>
      <c r="CY392">
        <f>$C392*CY391</f>
        <v/>
      </c>
      <c r="CZ392">
        <f>$C392*CZ391</f>
        <v/>
      </c>
      <c r="DA392">
        <f>$C392*DA391</f>
        <v/>
      </c>
      <c r="DB392">
        <f>$C392*DB391</f>
        <v/>
      </c>
      <c r="DC392">
        <f>$C392*DC391</f>
        <v/>
      </c>
    </row>
    <row r="393">
      <c r="B393" t="inlineStr">
        <is>
          <t>TSP-959</t>
        </is>
      </c>
      <c r="C393" t="inlineStr">
        <is>
          <t>No. of batches</t>
        </is>
      </c>
      <c r="D393">
        <f>IFERROR(INDEX(PP_Grid[#Data],$DD393,2),0)</f>
        <v/>
      </c>
      <c r="E393">
        <f>IFERROR(INDEX(PP_Grid[#Data],$DD393,3),0)</f>
        <v/>
      </c>
      <c r="F393">
        <f>IFERROR(INDEX(PP_Grid[#Data],$DD393,4),0)</f>
        <v/>
      </c>
      <c r="G393">
        <f>IFERROR(INDEX(PP_Grid[#Data],$DD393,5),0)</f>
        <v/>
      </c>
      <c r="H393">
        <f>IFERROR(INDEX(PP_Grid[#Data],$DD393,6),0)</f>
        <v/>
      </c>
      <c r="I393">
        <f>IFERROR(INDEX(PP_Grid[#Data],$DD393,7),0)</f>
        <v/>
      </c>
      <c r="J393">
        <f>IFERROR(INDEX(PP_Grid[#Data],$DD393,8),0)</f>
        <v/>
      </c>
      <c r="K393">
        <f>IFERROR(INDEX(PP_Grid[#Data],$DD393,9),0)</f>
        <v/>
      </c>
      <c r="L393">
        <f>IFERROR(INDEX(PP_Grid[#Data],$DD393,10),0)</f>
        <v/>
      </c>
      <c r="M393">
        <f>IFERROR(INDEX(PP_Grid[#Data],$DD393,11),0)</f>
        <v/>
      </c>
      <c r="N393">
        <f>IFERROR(INDEX(PP_Grid[#Data],$DD393,12),0)</f>
        <v/>
      </c>
      <c r="O393">
        <f>IFERROR(INDEX(PP_Grid[#Data],$DD393,13),0)</f>
        <v/>
      </c>
      <c r="P393">
        <f>IFERROR(INDEX(PP_Grid[#Data],$DD393,14),0)</f>
        <v/>
      </c>
      <c r="Q393">
        <f>IFERROR(INDEX(PP_Grid[#Data],$DD393,15),0)</f>
        <v/>
      </c>
      <c r="R393">
        <f>IFERROR(INDEX(PP_Grid[#Data],$DD393,16),0)</f>
        <v/>
      </c>
      <c r="S393">
        <f>IFERROR(INDEX(PP_Grid[#Data],$DD393,17),0)</f>
        <v/>
      </c>
      <c r="T393">
        <f>IFERROR(INDEX(PP_Grid[#Data],$DD393,18),0)</f>
        <v/>
      </c>
      <c r="U393">
        <f>IFERROR(INDEX(PP_Grid[#Data],$DD393,19),0)</f>
        <v/>
      </c>
      <c r="V393">
        <f>IFERROR(INDEX(PP_Grid[#Data],$DD393,20),0)</f>
        <v/>
      </c>
      <c r="W393">
        <f>IFERROR(INDEX(PP_Grid[#Data],$DD393,21),0)</f>
        <v/>
      </c>
      <c r="X393">
        <f>IFERROR(INDEX(PP_Grid[#Data],$DD393,22),0)</f>
        <v/>
      </c>
      <c r="Y393">
        <f>IFERROR(INDEX(PP_Grid[#Data],$DD393,23),0)</f>
        <v/>
      </c>
      <c r="Z393">
        <f>IFERROR(INDEX(PP_Grid[#Data],$DD393,24),0)</f>
        <v/>
      </c>
      <c r="AA393">
        <f>IFERROR(INDEX(PP_Grid[#Data],$DD393,25),0)</f>
        <v/>
      </c>
      <c r="AB393">
        <f>IFERROR(INDEX(PP_Grid[#Data],$DD393,26),0)</f>
        <v/>
      </c>
      <c r="AC393">
        <f>IFERROR(INDEX(PP_Grid[#Data],$DD393,27),0)</f>
        <v/>
      </c>
      <c r="AD393">
        <f>IFERROR(INDEX(PP_Grid[#Data],$DD393,28),0)</f>
        <v/>
      </c>
      <c r="AE393">
        <f>IFERROR(INDEX(PP_Grid[#Data],$DD393,29),0)</f>
        <v/>
      </c>
      <c r="AF393">
        <f>IFERROR(INDEX(PP_Grid[#Data],$DD393,30),0)</f>
        <v/>
      </c>
      <c r="AG393">
        <f>IFERROR(INDEX(PP_Grid[#Data],$DD393,31),0)</f>
        <v/>
      </c>
      <c r="AH393">
        <f>IFERROR(INDEX(PP_Grid[#Data],$DD393,32),0)</f>
        <v/>
      </c>
      <c r="AI393">
        <f>IFERROR(INDEX(PP_Grid[#Data],$DD393,33),0)</f>
        <v/>
      </c>
      <c r="AJ393">
        <f>IFERROR(INDEX(PP_Grid[#Data],$DD393,34),0)</f>
        <v/>
      </c>
      <c r="AK393">
        <f>IFERROR(INDEX(PP_Grid[#Data],$DD393,35),0)</f>
        <v/>
      </c>
      <c r="AL393">
        <f>IFERROR(INDEX(PP_Grid[#Data],$DD393,36),0)</f>
        <v/>
      </c>
      <c r="AM393">
        <f>IFERROR(INDEX(PP_Grid[#Data],$DD393,37),0)</f>
        <v/>
      </c>
      <c r="AN393">
        <f>IFERROR(INDEX(PP_Grid[#Data],$DD393,38),0)</f>
        <v/>
      </c>
      <c r="AO393">
        <f>IFERROR(INDEX(PP_Grid[#Data],$DD393,39),0)</f>
        <v/>
      </c>
      <c r="AP393">
        <f>IFERROR(INDEX(PP_Grid[#Data],$DD393,40),0)</f>
        <v/>
      </c>
      <c r="AQ393">
        <f>IFERROR(INDEX(PP_Grid[#Data],$DD393,41),0)</f>
        <v/>
      </c>
      <c r="AR393">
        <f>IFERROR(INDEX(PP_Grid[#Data],$DD393,42),0)</f>
        <v/>
      </c>
      <c r="AS393">
        <f>IFERROR(INDEX(PP_Grid[#Data],$DD393,43),0)</f>
        <v/>
      </c>
      <c r="AT393">
        <f>IFERROR(INDEX(PP_Grid[#Data],$DD393,44),0)</f>
        <v/>
      </c>
      <c r="AU393">
        <f>IFERROR(INDEX(PP_Grid[#Data],$DD393,45),0)</f>
        <v/>
      </c>
      <c r="AV393">
        <f>IFERROR(INDEX(PP_Grid[#Data],$DD393,46),0)</f>
        <v/>
      </c>
      <c r="AW393">
        <f>IFERROR(INDEX(PP_Grid[#Data],$DD393,47),0)</f>
        <v/>
      </c>
      <c r="AX393">
        <f>IFERROR(INDEX(PP_Grid[#Data],$DD393,48),0)</f>
        <v/>
      </c>
      <c r="AY393">
        <f>IFERROR(INDEX(PP_Grid[#Data],$DD393,49),0)</f>
        <v/>
      </c>
      <c r="AZ393">
        <f>IFERROR(INDEX(PP_Grid[#Data],$DD393,50),0)</f>
        <v/>
      </c>
      <c r="BA393">
        <f>IFERROR(INDEX(PP_Grid[#Data],$DD393,51),0)</f>
        <v/>
      </c>
      <c r="BB393">
        <f>IFERROR(INDEX(PP_Grid[#Data],$DD393,52),0)</f>
        <v/>
      </c>
      <c r="BC393">
        <f>IFERROR(INDEX(PP_Grid[#Data],$DD393,53),0)</f>
        <v/>
      </c>
      <c r="BD393">
        <f>IFERROR(INDEX(PP_Grid[#Data],$DD393,54),0)</f>
        <v/>
      </c>
      <c r="BE393">
        <f>IFERROR(INDEX(PP_Grid[#Data],$DD393,55),0)</f>
        <v/>
      </c>
      <c r="BF393">
        <f>IFERROR(INDEX(PP_Grid[#Data],$DD393,56),0)</f>
        <v/>
      </c>
      <c r="BG393">
        <f>IFERROR(INDEX(PP_Grid[#Data],$DD393,57),0)</f>
        <v/>
      </c>
      <c r="BH393">
        <f>IFERROR(INDEX(PP_Grid[#Data],$DD393,58),0)</f>
        <v/>
      </c>
      <c r="BI393">
        <f>IFERROR(INDEX(PP_Grid[#Data],$DD393,59),0)</f>
        <v/>
      </c>
      <c r="BJ393">
        <f>IFERROR(INDEX(PP_Grid[#Data],$DD393,60),0)</f>
        <v/>
      </c>
      <c r="BK393">
        <f>IFERROR(INDEX(PP_Grid[#Data],$DD393,61),0)</f>
        <v/>
      </c>
      <c r="BL393">
        <f>IFERROR(INDEX(PP_Grid[#Data],$DD393,62),0)</f>
        <v/>
      </c>
      <c r="BM393">
        <f>IFERROR(INDEX(PP_Grid[#Data],$DD393,63),0)</f>
        <v/>
      </c>
      <c r="BN393">
        <f>IFERROR(INDEX(PP_Grid[#Data],$DD393,64),0)</f>
        <v/>
      </c>
      <c r="BO393">
        <f>IFERROR(INDEX(PP_Grid[#Data],$DD393,65),0)</f>
        <v/>
      </c>
      <c r="BP393">
        <f>IFERROR(INDEX(PP_Grid[#Data],$DD393,66),0)</f>
        <v/>
      </c>
      <c r="BQ393">
        <f>IFERROR(INDEX(PP_Grid[#Data],$DD393,67),0)</f>
        <v/>
      </c>
      <c r="BR393">
        <f>IFERROR(INDEX(PP_Grid[#Data],$DD393,68),0)</f>
        <v/>
      </c>
      <c r="BS393">
        <f>IFERROR(INDEX(PP_Grid[#Data],$DD393,69),0)</f>
        <v/>
      </c>
      <c r="BT393">
        <f>IFERROR(INDEX(PP_Grid[#Data],$DD393,70),0)</f>
        <v/>
      </c>
      <c r="BU393">
        <f>IFERROR(INDEX(PP_Grid[#Data],$DD393,71),0)</f>
        <v/>
      </c>
      <c r="BV393">
        <f>IFERROR(INDEX(PP_Grid[#Data],$DD393,72),0)</f>
        <v/>
      </c>
      <c r="BW393">
        <f>IFERROR(INDEX(PP_Grid[#Data],$DD393,73),0)</f>
        <v/>
      </c>
      <c r="BX393">
        <f>IFERROR(INDEX(PP_Grid[#Data],$DD393,74),0)</f>
        <v/>
      </c>
      <c r="BY393">
        <f>IFERROR(INDEX(PP_Grid[#Data],$DD393,75),0)</f>
        <v/>
      </c>
      <c r="BZ393">
        <f>IFERROR(INDEX(PP_Grid[#Data],$DD393,76),0)</f>
        <v/>
      </c>
      <c r="CA393">
        <f>IFERROR(INDEX(PP_Grid[#Data],$DD393,77),0)</f>
        <v/>
      </c>
      <c r="CB393">
        <f>IFERROR(INDEX(PP_Grid[#Data],$DD393,78),0)</f>
        <v/>
      </c>
      <c r="CC393">
        <f>IFERROR(INDEX(PP_Grid[#Data],$DD393,79),0)</f>
        <v/>
      </c>
      <c r="CD393">
        <f>IFERROR(INDEX(PP_Grid[#Data],$DD393,80),0)</f>
        <v/>
      </c>
      <c r="CE393">
        <f>IFERROR(INDEX(PP_Grid[#Data],$DD393,81),0)</f>
        <v/>
      </c>
      <c r="CF393">
        <f>IFERROR(INDEX(PP_Grid[#Data],$DD393,82),0)</f>
        <v/>
      </c>
      <c r="CG393">
        <f>IFERROR(INDEX(PP_Grid[#Data],$DD393,83),0)</f>
        <v/>
      </c>
      <c r="CH393">
        <f>IFERROR(INDEX(PP_Grid[#Data],$DD393,84),0)</f>
        <v/>
      </c>
      <c r="CI393">
        <f>IFERROR(INDEX(PP_Grid[#Data],$DD393,85),0)</f>
        <v/>
      </c>
      <c r="CJ393">
        <f>IFERROR(INDEX(PP_Grid[#Data],$DD393,86),0)</f>
        <v/>
      </c>
      <c r="CK393">
        <f>IFERROR(INDEX(PP_Grid[#Data],$DD393,87),0)</f>
        <v/>
      </c>
      <c r="CL393">
        <f>IFERROR(INDEX(PP_Grid[#Data],$DD393,88),0)</f>
        <v/>
      </c>
      <c r="CM393">
        <f>IFERROR(INDEX(PP_Grid[#Data],$DD393,89),0)</f>
        <v/>
      </c>
      <c r="CN393">
        <f>IFERROR(INDEX(PP_Grid[#Data],$DD393,90),0)</f>
        <v/>
      </c>
      <c r="CO393">
        <f>IFERROR(INDEX(PP_Grid[#Data],$DD393,91),0)</f>
        <v/>
      </c>
      <c r="CP393">
        <f>IFERROR(INDEX(PP_Grid[#Data],$DD393,92),0)</f>
        <v/>
      </c>
      <c r="CQ393">
        <f>IFERROR(INDEX(PP_Grid[#Data],$DD393,93),0)</f>
        <v/>
      </c>
      <c r="CR393">
        <f>IFERROR(INDEX(PP_Grid[#Data],$DD393,94),0)</f>
        <v/>
      </c>
      <c r="CS393">
        <f>IFERROR(INDEX(PP_Grid[#Data],$DD393,95),0)</f>
        <v/>
      </c>
      <c r="CT393">
        <f>IFERROR(INDEX(PP_Grid[#Data],$DD393,96),0)</f>
        <v/>
      </c>
      <c r="CU393">
        <f>IFERROR(INDEX(PP_Grid[#Data],$DD393,97),0)</f>
        <v/>
      </c>
      <c r="CV393">
        <f>IFERROR(INDEX(PP_Grid[#Data],$DD393,98),0)</f>
        <v/>
      </c>
      <c r="CW393">
        <f>IFERROR(INDEX(PP_Grid[#Data],$DD393,99),0)</f>
        <v/>
      </c>
      <c r="CX393">
        <f>IFERROR(INDEX(PP_Grid[#Data],$DD393,100),0)</f>
        <v/>
      </c>
      <c r="CY393">
        <f>IFERROR(INDEX(PP_Grid[#Data],$DD393,101),0)</f>
        <v/>
      </c>
      <c r="CZ393">
        <f>IFERROR(INDEX(PP_Grid[#Data],$DD393,102),0)</f>
        <v/>
      </c>
      <c r="DA393">
        <f>IFERROR(INDEX(PP_Grid[#Data],$DD393,103),0)</f>
        <v/>
      </c>
      <c r="DB393">
        <f>IFERROR(INDEX(PP_Grid[#Data],$DD393,104),0)</f>
        <v/>
      </c>
      <c r="DC393">
        <f>IFERROR(INDEX(PP_Grid[#Data],$DD393,105),0)</f>
        <v/>
      </c>
      <c r="DD393" s="7">
        <f>IFERROR(MATCH($B393,PP_Grid[Intermediate],0),99999)</f>
        <v/>
      </c>
    </row>
    <row r="394">
      <c r="B394" t="inlineStr">
        <is>
          <t>使用量(kg)</t>
        </is>
      </c>
      <c r="C394">
        <f>SUMIFS(M_BOM[RM_Qty_Per_Batch],M_BOM[Intermediate],$B393,M_BOM[Part Name],$A340)</f>
        <v/>
      </c>
      <c r="D394">
        <f>$C394*D393</f>
        <v/>
      </c>
      <c r="E394">
        <f>$C394*E393</f>
        <v/>
      </c>
      <c r="F394">
        <f>$C394*F393</f>
        <v/>
      </c>
      <c r="G394">
        <f>$C394*G393</f>
        <v/>
      </c>
      <c r="H394">
        <f>$C394*H393</f>
        <v/>
      </c>
      <c r="I394">
        <f>$C394*I393</f>
        <v/>
      </c>
      <c r="J394">
        <f>$C394*J393</f>
        <v/>
      </c>
      <c r="K394">
        <f>$C394*K393</f>
        <v/>
      </c>
      <c r="L394">
        <f>$C394*L393</f>
        <v/>
      </c>
      <c r="M394">
        <f>$C394*M393</f>
        <v/>
      </c>
      <c r="N394">
        <f>$C394*N393</f>
        <v/>
      </c>
      <c r="O394">
        <f>$C394*O393</f>
        <v/>
      </c>
      <c r="P394">
        <f>$C394*P393</f>
        <v/>
      </c>
      <c r="Q394">
        <f>$C394*Q393</f>
        <v/>
      </c>
      <c r="R394">
        <f>$C394*R393</f>
        <v/>
      </c>
      <c r="S394">
        <f>$C394*S393</f>
        <v/>
      </c>
      <c r="T394">
        <f>$C394*T393</f>
        <v/>
      </c>
      <c r="U394">
        <f>$C394*U393</f>
        <v/>
      </c>
      <c r="V394">
        <f>$C394*V393</f>
        <v/>
      </c>
      <c r="W394">
        <f>$C394*W393</f>
        <v/>
      </c>
      <c r="X394">
        <f>$C394*X393</f>
        <v/>
      </c>
      <c r="Y394">
        <f>$C394*Y393</f>
        <v/>
      </c>
      <c r="Z394">
        <f>$C394*Z393</f>
        <v/>
      </c>
      <c r="AA394">
        <f>$C394*AA393</f>
        <v/>
      </c>
      <c r="AB394">
        <f>$C394*AB393</f>
        <v/>
      </c>
      <c r="AC394">
        <f>$C394*AC393</f>
        <v/>
      </c>
      <c r="AD394">
        <f>$C394*AD393</f>
        <v/>
      </c>
      <c r="AE394">
        <f>$C394*AE393</f>
        <v/>
      </c>
      <c r="AF394">
        <f>$C394*AF393</f>
        <v/>
      </c>
      <c r="AG394">
        <f>$C394*AG393</f>
        <v/>
      </c>
      <c r="AH394">
        <f>$C394*AH393</f>
        <v/>
      </c>
      <c r="AI394">
        <f>$C394*AI393</f>
        <v/>
      </c>
      <c r="AJ394">
        <f>$C394*AJ393</f>
        <v/>
      </c>
      <c r="AK394">
        <f>$C394*AK393</f>
        <v/>
      </c>
      <c r="AL394">
        <f>$C394*AL393</f>
        <v/>
      </c>
      <c r="AM394">
        <f>$C394*AM393</f>
        <v/>
      </c>
      <c r="AN394">
        <f>$C394*AN393</f>
        <v/>
      </c>
      <c r="AO394">
        <f>$C394*AO393</f>
        <v/>
      </c>
      <c r="AP394">
        <f>$C394*AP393</f>
        <v/>
      </c>
      <c r="AQ394">
        <f>$C394*AQ393</f>
        <v/>
      </c>
      <c r="AR394">
        <f>$C394*AR393</f>
        <v/>
      </c>
      <c r="AS394">
        <f>$C394*AS393</f>
        <v/>
      </c>
      <c r="AT394">
        <f>$C394*AT393</f>
        <v/>
      </c>
      <c r="AU394">
        <f>$C394*AU393</f>
        <v/>
      </c>
      <c r="AV394">
        <f>$C394*AV393</f>
        <v/>
      </c>
      <c r="AW394">
        <f>$C394*AW393</f>
        <v/>
      </c>
      <c r="AX394">
        <f>$C394*AX393</f>
        <v/>
      </c>
      <c r="AY394">
        <f>$C394*AY393</f>
        <v/>
      </c>
      <c r="AZ394">
        <f>$C394*AZ393</f>
        <v/>
      </c>
      <c r="BA394">
        <f>$C394*BA393</f>
        <v/>
      </c>
      <c r="BB394">
        <f>$C394*BB393</f>
        <v/>
      </c>
      <c r="BC394">
        <f>$C394*BC393</f>
        <v/>
      </c>
      <c r="BD394">
        <f>$C394*BD393</f>
        <v/>
      </c>
      <c r="BE394">
        <f>$C394*BE393</f>
        <v/>
      </c>
      <c r="BF394">
        <f>$C394*BF393</f>
        <v/>
      </c>
      <c r="BG394">
        <f>$C394*BG393</f>
        <v/>
      </c>
      <c r="BH394">
        <f>$C394*BH393</f>
        <v/>
      </c>
      <c r="BI394">
        <f>$C394*BI393</f>
        <v/>
      </c>
      <c r="BJ394">
        <f>$C394*BJ393</f>
        <v/>
      </c>
      <c r="BK394">
        <f>$C394*BK393</f>
        <v/>
      </c>
      <c r="BL394">
        <f>$C394*BL393</f>
        <v/>
      </c>
      <c r="BM394">
        <f>$C394*BM393</f>
        <v/>
      </c>
      <c r="BN394">
        <f>$C394*BN393</f>
        <v/>
      </c>
      <c r="BO394">
        <f>$C394*BO393</f>
        <v/>
      </c>
      <c r="BP394">
        <f>$C394*BP393</f>
        <v/>
      </c>
      <c r="BQ394">
        <f>$C394*BQ393</f>
        <v/>
      </c>
      <c r="BR394">
        <f>$C394*BR393</f>
        <v/>
      </c>
      <c r="BS394">
        <f>$C394*BS393</f>
        <v/>
      </c>
      <c r="BT394">
        <f>$C394*BT393</f>
        <v/>
      </c>
      <c r="BU394">
        <f>$C394*BU393</f>
        <v/>
      </c>
      <c r="BV394">
        <f>$C394*BV393</f>
        <v/>
      </c>
      <c r="BW394">
        <f>$C394*BW393</f>
        <v/>
      </c>
      <c r="BX394">
        <f>$C394*BX393</f>
        <v/>
      </c>
      <c r="BY394">
        <f>$C394*BY393</f>
        <v/>
      </c>
      <c r="BZ394">
        <f>$C394*BZ393</f>
        <v/>
      </c>
      <c r="CA394">
        <f>$C394*CA393</f>
        <v/>
      </c>
      <c r="CB394">
        <f>$C394*CB393</f>
        <v/>
      </c>
      <c r="CC394">
        <f>$C394*CC393</f>
        <v/>
      </c>
      <c r="CD394">
        <f>$C394*CD393</f>
        <v/>
      </c>
      <c r="CE394">
        <f>$C394*CE393</f>
        <v/>
      </c>
      <c r="CF394">
        <f>$C394*CF393</f>
        <v/>
      </c>
      <c r="CG394">
        <f>$C394*CG393</f>
        <v/>
      </c>
      <c r="CH394">
        <f>$C394*CH393</f>
        <v/>
      </c>
      <c r="CI394">
        <f>$C394*CI393</f>
        <v/>
      </c>
      <c r="CJ394">
        <f>$C394*CJ393</f>
        <v/>
      </c>
      <c r="CK394">
        <f>$C394*CK393</f>
        <v/>
      </c>
      <c r="CL394">
        <f>$C394*CL393</f>
        <v/>
      </c>
      <c r="CM394">
        <f>$C394*CM393</f>
        <v/>
      </c>
      <c r="CN394">
        <f>$C394*CN393</f>
        <v/>
      </c>
      <c r="CO394">
        <f>$C394*CO393</f>
        <v/>
      </c>
      <c r="CP394">
        <f>$C394*CP393</f>
        <v/>
      </c>
      <c r="CQ394">
        <f>$C394*CQ393</f>
        <v/>
      </c>
      <c r="CR394">
        <f>$C394*CR393</f>
        <v/>
      </c>
      <c r="CS394">
        <f>$C394*CS393</f>
        <v/>
      </c>
      <c r="CT394">
        <f>$C394*CT393</f>
        <v/>
      </c>
      <c r="CU394">
        <f>$C394*CU393</f>
        <v/>
      </c>
      <c r="CV394">
        <f>$C394*CV393</f>
        <v/>
      </c>
      <c r="CW394">
        <f>$C394*CW393</f>
        <v/>
      </c>
      <c r="CX394">
        <f>$C394*CX393</f>
        <v/>
      </c>
      <c r="CY394">
        <f>$C394*CY393</f>
        <v/>
      </c>
      <c r="CZ394">
        <f>$C394*CZ393</f>
        <v/>
      </c>
      <c r="DA394">
        <f>$C394*DA393</f>
        <v/>
      </c>
      <c r="DB394">
        <f>$C394*DB393</f>
        <v/>
      </c>
      <c r="DC394">
        <f>$C394*DC393</f>
        <v/>
      </c>
    </row>
    <row r="395">
      <c r="B395" t="inlineStr">
        <is>
          <t>TSP-966</t>
        </is>
      </c>
      <c r="C395" t="inlineStr">
        <is>
          <t>No. of batches</t>
        </is>
      </c>
      <c r="D395">
        <f>IFERROR(INDEX(PP_Grid[#Data],$DD395,2),0)</f>
        <v/>
      </c>
      <c r="E395">
        <f>IFERROR(INDEX(PP_Grid[#Data],$DD395,3),0)</f>
        <v/>
      </c>
      <c r="F395">
        <f>IFERROR(INDEX(PP_Grid[#Data],$DD395,4),0)</f>
        <v/>
      </c>
      <c r="G395">
        <f>IFERROR(INDEX(PP_Grid[#Data],$DD395,5),0)</f>
        <v/>
      </c>
      <c r="H395">
        <f>IFERROR(INDEX(PP_Grid[#Data],$DD395,6),0)</f>
        <v/>
      </c>
      <c r="I395">
        <f>IFERROR(INDEX(PP_Grid[#Data],$DD395,7),0)</f>
        <v/>
      </c>
      <c r="J395">
        <f>IFERROR(INDEX(PP_Grid[#Data],$DD395,8),0)</f>
        <v/>
      </c>
      <c r="K395">
        <f>IFERROR(INDEX(PP_Grid[#Data],$DD395,9),0)</f>
        <v/>
      </c>
      <c r="L395">
        <f>IFERROR(INDEX(PP_Grid[#Data],$DD395,10),0)</f>
        <v/>
      </c>
      <c r="M395">
        <f>IFERROR(INDEX(PP_Grid[#Data],$DD395,11),0)</f>
        <v/>
      </c>
      <c r="N395">
        <f>IFERROR(INDEX(PP_Grid[#Data],$DD395,12),0)</f>
        <v/>
      </c>
      <c r="O395">
        <f>IFERROR(INDEX(PP_Grid[#Data],$DD395,13),0)</f>
        <v/>
      </c>
      <c r="P395">
        <f>IFERROR(INDEX(PP_Grid[#Data],$DD395,14),0)</f>
        <v/>
      </c>
      <c r="Q395">
        <f>IFERROR(INDEX(PP_Grid[#Data],$DD395,15),0)</f>
        <v/>
      </c>
      <c r="R395">
        <f>IFERROR(INDEX(PP_Grid[#Data],$DD395,16),0)</f>
        <v/>
      </c>
      <c r="S395">
        <f>IFERROR(INDEX(PP_Grid[#Data],$DD395,17),0)</f>
        <v/>
      </c>
      <c r="T395">
        <f>IFERROR(INDEX(PP_Grid[#Data],$DD395,18),0)</f>
        <v/>
      </c>
      <c r="U395">
        <f>IFERROR(INDEX(PP_Grid[#Data],$DD395,19),0)</f>
        <v/>
      </c>
      <c r="V395">
        <f>IFERROR(INDEX(PP_Grid[#Data],$DD395,20),0)</f>
        <v/>
      </c>
      <c r="W395">
        <f>IFERROR(INDEX(PP_Grid[#Data],$DD395,21),0)</f>
        <v/>
      </c>
      <c r="X395">
        <f>IFERROR(INDEX(PP_Grid[#Data],$DD395,22),0)</f>
        <v/>
      </c>
      <c r="Y395">
        <f>IFERROR(INDEX(PP_Grid[#Data],$DD395,23),0)</f>
        <v/>
      </c>
      <c r="Z395">
        <f>IFERROR(INDEX(PP_Grid[#Data],$DD395,24),0)</f>
        <v/>
      </c>
      <c r="AA395">
        <f>IFERROR(INDEX(PP_Grid[#Data],$DD395,25),0)</f>
        <v/>
      </c>
      <c r="AB395">
        <f>IFERROR(INDEX(PP_Grid[#Data],$DD395,26),0)</f>
        <v/>
      </c>
      <c r="AC395">
        <f>IFERROR(INDEX(PP_Grid[#Data],$DD395,27),0)</f>
        <v/>
      </c>
      <c r="AD395">
        <f>IFERROR(INDEX(PP_Grid[#Data],$DD395,28),0)</f>
        <v/>
      </c>
      <c r="AE395">
        <f>IFERROR(INDEX(PP_Grid[#Data],$DD395,29),0)</f>
        <v/>
      </c>
      <c r="AF395">
        <f>IFERROR(INDEX(PP_Grid[#Data],$DD395,30),0)</f>
        <v/>
      </c>
      <c r="AG395">
        <f>IFERROR(INDEX(PP_Grid[#Data],$DD395,31),0)</f>
        <v/>
      </c>
      <c r="AH395">
        <f>IFERROR(INDEX(PP_Grid[#Data],$DD395,32),0)</f>
        <v/>
      </c>
      <c r="AI395">
        <f>IFERROR(INDEX(PP_Grid[#Data],$DD395,33),0)</f>
        <v/>
      </c>
      <c r="AJ395">
        <f>IFERROR(INDEX(PP_Grid[#Data],$DD395,34),0)</f>
        <v/>
      </c>
      <c r="AK395">
        <f>IFERROR(INDEX(PP_Grid[#Data],$DD395,35),0)</f>
        <v/>
      </c>
      <c r="AL395">
        <f>IFERROR(INDEX(PP_Grid[#Data],$DD395,36),0)</f>
        <v/>
      </c>
      <c r="AM395">
        <f>IFERROR(INDEX(PP_Grid[#Data],$DD395,37),0)</f>
        <v/>
      </c>
      <c r="AN395">
        <f>IFERROR(INDEX(PP_Grid[#Data],$DD395,38),0)</f>
        <v/>
      </c>
      <c r="AO395">
        <f>IFERROR(INDEX(PP_Grid[#Data],$DD395,39),0)</f>
        <v/>
      </c>
      <c r="AP395">
        <f>IFERROR(INDEX(PP_Grid[#Data],$DD395,40),0)</f>
        <v/>
      </c>
      <c r="AQ395">
        <f>IFERROR(INDEX(PP_Grid[#Data],$DD395,41),0)</f>
        <v/>
      </c>
      <c r="AR395">
        <f>IFERROR(INDEX(PP_Grid[#Data],$DD395,42),0)</f>
        <v/>
      </c>
      <c r="AS395">
        <f>IFERROR(INDEX(PP_Grid[#Data],$DD395,43),0)</f>
        <v/>
      </c>
      <c r="AT395">
        <f>IFERROR(INDEX(PP_Grid[#Data],$DD395,44),0)</f>
        <v/>
      </c>
      <c r="AU395">
        <f>IFERROR(INDEX(PP_Grid[#Data],$DD395,45),0)</f>
        <v/>
      </c>
      <c r="AV395">
        <f>IFERROR(INDEX(PP_Grid[#Data],$DD395,46),0)</f>
        <v/>
      </c>
      <c r="AW395">
        <f>IFERROR(INDEX(PP_Grid[#Data],$DD395,47),0)</f>
        <v/>
      </c>
      <c r="AX395">
        <f>IFERROR(INDEX(PP_Grid[#Data],$DD395,48),0)</f>
        <v/>
      </c>
      <c r="AY395">
        <f>IFERROR(INDEX(PP_Grid[#Data],$DD395,49),0)</f>
        <v/>
      </c>
      <c r="AZ395">
        <f>IFERROR(INDEX(PP_Grid[#Data],$DD395,50),0)</f>
        <v/>
      </c>
      <c r="BA395">
        <f>IFERROR(INDEX(PP_Grid[#Data],$DD395,51),0)</f>
        <v/>
      </c>
      <c r="BB395">
        <f>IFERROR(INDEX(PP_Grid[#Data],$DD395,52),0)</f>
        <v/>
      </c>
      <c r="BC395">
        <f>IFERROR(INDEX(PP_Grid[#Data],$DD395,53),0)</f>
        <v/>
      </c>
      <c r="BD395">
        <f>IFERROR(INDEX(PP_Grid[#Data],$DD395,54),0)</f>
        <v/>
      </c>
      <c r="BE395">
        <f>IFERROR(INDEX(PP_Grid[#Data],$DD395,55),0)</f>
        <v/>
      </c>
      <c r="BF395">
        <f>IFERROR(INDEX(PP_Grid[#Data],$DD395,56),0)</f>
        <v/>
      </c>
      <c r="BG395">
        <f>IFERROR(INDEX(PP_Grid[#Data],$DD395,57),0)</f>
        <v/>
      </c>
      <c r="BH395">
        <f>IFERROR(INDEX(PP_Grid[#Data],$DD395,58),0)</f>
        <v/>
      </c>
      <c r="BI395">
        <f>IFERROR(INDEX(PP_Grid[#Data],$DD395,59),0)</f>
        <v/>
      </c>
      <c r="BJ395">
        <f>IFERROR(INDEX(PP_Grid[#Data],$DD395,60),0)</f>
        <v/>
      </c>
      <c r="BK395">
        <f>IFERROR(INDEX(PP_Grid[#Data],$DD395,61),0)</f>
        <v/>
      </c>
      <c r="BL395">
        <f>IFERROR(INDEX(PP_Grid[#Data],$DD395,62),0)</f>
        <v/>
      </c>
      <c r="BM395">
        <f>IFERROR(INDEX(PP_Grid[#Data],$DD395,63),0)</f>
        <v/>
      </c>
      <c r="BN395">
        <f>IFERROR(INDEX(PP_Grid[#Data],$DD395,64),0)</f>
        <v/>
      </c>
      <c r="BO395">
        <f>IFERROR(INDEX(PP_Grid[#Data],$DD395,65),0)</f>
        <v/>
      </c>
      <c r="BP395">
        <f>IFERROR(INDEX(PP_Grid[#Data],$DD395,66),0)</f>
        <v/>
      </c>
      <c r="BQ395">
        <f>IFERROR(INDEX(PP_Grid[#Data],$DD395,67),0)</f>
        <v/>
      </c>
      <c r="BR395">
        <f>IFERROR(INDEX(PP_Grid[#Data],$DD395,68),0)</f>
        <v/>
      </c>
      <c r="BS395">
        <f>IFERROR(INDEX(PP_Grid[#Data],$DD395,69),0)</f>
        <v/>
      </c>
      <c r="BT395">
        <f>IFERROR(INDEX(PP_Grid[#Data],$DD395,70),0)</f>
        <v/>
      </c>
      <c r="BU395">
        <f>IFERROR(INDEX(PP_Grid[#Data],$DD395,71),0)</f>
        <v/>
      </c>
      <c r="BV395">
        <f>IFERROR(INDEX(PP_Grid[#Data],$DD395,72),0)</f>
        <v/>
      </c>
      <c r="BW395">
        <f>IFERROR(INDEX(PP_Grid[#Data],$DD395,73),0)</f>
        <v/>
      </c>
      <c r="BX395">
        <f>IFERROR(INDEX(PP_Grid[#Data],$DD395,74),0)</f>
        <v/>
      </c>
      <c r="BY395">
        <f>IFERROR(INDEX(PP_Grid[#Data],$DD395,75),0)</f>
        <v/>
      </c>
      <c r="BZ395">
        <f>IFERROR(INDEX(PP_Grid[#Data],$DD395,76),0)</f>
        <v/>
      </c>
      <c r="CA395">
        <f>IFERROR(INDEX(PP_Grid[#Data],$DD395,77),0)</f>
        <v/>
      </c>
      <c r="CB395">
        <f>IFERROR(INDEX(PP_Grid[#Data],$DD395,78),0)</f>
        <v/>
      </c>
      <c r="CC395">
        <f>IFERROR(INDEX(PP_Grid[#Data],$DD395,79),0)</f>
        <v/>
      </c>
      <c r="CD395">
        <f>IFERROR(INDEX(PP_Grid[#Data],$DD395,80),0)</f>
        <v/>
      </c>
      <c r="CE395">
        <f>IFERROR(INDEX(PP_Grid[#Data],$DD395,81),0)</f>
        <v/>
      </c>
      <c r="CF395">
        <f>IFERROR(INDEX(PP_Grid[#Data],$DD395,82),0)</f>
        <v/>
      </c>
      <c r="CG395">
        <f>IFERROR(INDEX(PP_Grid[#Data],$DD395,83),0)</f>
        <v/>
      </c>
      <c r="CH395">
        <f>IFERROR(INDEX(PP_Grid[#Data],$DD395,84),0)</f>
        <v/>
      </c>
      <c r="CI395">
        <f>IFERROR(INDEX(PP_Grid[#Data],$DD395,85),0)</f>
        <v/>
      </c>
      <c r="CJ395">
        <f>IFERROR(INDEX(PP_Grid[#Data],$DD395,86),0)</f>
        <v/>
      </c>
      <c r="CK395">
        <f>IFERROR(INDEX(PP_Grid[#Data],$DD395,87),0)</f>
        <v/>
      </c>
      <c r="CL395">
        <f>IFERROR(INDEX(PP_Grid[#Data],$DD395,88),0)</f>
        <v/>
      </c>
      <c r="CM395">
        <f>IFERROR(INDEX(PP_Grid[#Data],$DD395,89),0)</f>
        <v/>
      </c>
      <c r="CN395">
        <f>IFERROR(INDEX(PP_Grid[#Data],$DD395,90),0)</f>
        <v/>
      </c>
      <c r="CO395">
        <f>IFERROR(INDEX(PP_Grid[#Data],$DD395,91),0)</f>
        <v/>
      </c>
      <c r="CP395">
        <f>IFERROR(INDEX(PP_Grid[#Data],$DD395,92),0)</f>
        <v/>
      </c>
      <c r="CQ395">
        <f>IFERROR(INDEX(PP_Grid[#Data],$DD395,93),0)</f>
        <v/>
      </c>
      <c r="CR395">
        <f>IFERROR(INDEX(PP_Grid[#Data],$DD395,94),0)</f>
        <v/>
      </c>
      <c r="CS395">
        <f>IFERROR(INDEX(PP_Grid[#Data],$DD395,95),0)</f>
        <v/>
      </c>
      <c r="CT395">
        <f>IFERROR(INDEX(PP_Grid[#Data],$DD395,96),0)</f>
        <v/>
      </c>
      <c r="CU395">
        <f>IFERROR(INDEX(PP_Grid[#Data],$DD395,97),0)</f>
        <v/>
      </c>
      <c r="CV395">
        <f>IFERROR(INDEX(PP_Grid[#Data],$DD395,98),0)</f>
        <v/>
      </c>
      <c r="CW395">
        <f>IFERROR(INDEX(PP_Grid[#Data],$DD395,99),0)</f>
        <v/>
      </c>
      <c r="CX395">
        <f>IFERROR(INDEX(PP_Grid[#Data],$DD395,100),0)</f>
        <v/>
      </c>
      <c r="CY395">
        <f>IFERROR(INDEX(PP_Grid[#Data],$DD395,101),0)</f>
        <v/>
      </c>
      <c r="CZ395">
        <f>IFERROR(INDEX(PP_Grid[#Data],$DD395,102),0)</f>
        <v/>
      </c>
      <c r="DA395">
        <f>IFERROR(INDEX(PP_Grid[#Data],$DD395,103),0)</f>
        <v/>
      </c>
      <c r="DB395">
        <f>IFERROR(INDEX(PP_Grid[#Data],$DD395,104),0)</f>
        <v/>
      </c>
      <c r="DC395">
        <f>IFERROR(INDEX(PP_Grid[#Data],$DD395,105),0)</f>
        <v/>
      </c>
      <c r="DD395" s="7">
        <f>IFERROR(MATCH($B395,PP_Grid[Intermediate],0),99999)</f>
        <v/>
      </c>
    </row>
    <row r="396">
      <c r="B396" t="inlineStr">
        <is>
          <t>使用量(kg)</t>
        </is>
      </c>
      <c r="C396">
        <f>SUMIFS(M_BOM[RM_Qty_Per_Batch],M_BOM[Intermediate],$B395,M_BOM[Part Name],$A340)</f>
        <v/>
      </c>
      <c r="D396">
        <f>$C396*D395</f>
        <v/>
      </c>
      <c r="E396">
        <f>$C396*E395</f>
        <v/>
      </c>
      <c r="F396">
        <f>$C396*F395</f>
        <v/>
      </c>
      <c r="G396">
        <f>$C396*G395</f>
        <v/>
      </c>
      <c r="H396">
        <f>$C396*H395</f>
        <v/>
      </c>
      <c r="I396">
        <f>$C396*I395</f>
        <v/>
      </c>
      <c r="J396">
        <f>$C396*J395</f>
        <v/>
      </c>
      <c r="K396">
        <f>$C396*K395</f>
        <v/>
      </c>
      <c r="L396">
        <f>$C396*L395</f>
        <v/>
      </c>
      <c r="M396">
        <f>$C396*M395</f>
        <v/>
      </c>
      <c r="N396">
        <f>$C396*N395</f>
        <v/>
      </c>
      <c r="O396">
        <f>$C396*O395</f>
        <v/>
      </c>
      <c r="P396">
        <f>$C396*P395</f>
        <v/>
      </c>
      <c r="Q396">
        <f>$C396*Q395</f>
        <v/>
      </c>
      <c r="R396">
        <f>$C396*R395</f>
        <v/>
      </c>
      <c r="S396">
        <f>$C396*S395</f>
        <v/>
      </c>
      <c r="T396">
        <f>$C396*T395</f>
        <v/>
      </c>
      <c r="U396">
        <f>$C396*U395</f>
        <v/>
      </c>
      <c r="V396">
        <f>$C396*V395</f>
        <v/>
      </c>
      <c r="W396">
        <f>$C396*W395</f>
        <v/>
      </c>
      <c r="X396">
        <f>$C396*X395</f>
        <v/>
      </c>
      <c r="Y396">
        <f>$C396*Y395</f>
        <v/>
      </c>
      <c r="Z396">
        <f>$C396*Z395</f>
        <v/>
      </c>
      <c r="AA396">
        <f>$C396*AA395</f>
        <v/>
      </c>
      <c r="AB396">
        <f>$C396*AB395</f>
        <v/>
      </c>
      <c r="AC396">
        <f>$C396*AC395</f>
        <v/>
      </c>
      <c r="AD396">
        <f>$C396*AD395</f>
        <v/>
      </c>
      <c r="AE396">
        <f>$C396*AE395</f>
        <v/>
      </c>
      <c r="AF396">
        <f>$C396*AF395</f>
        <v/>
      </c>
      <c r="AG396">
        <f>$C396*AG395</f>
        <v/>
      </c>
      <c r="AH396">
        <f>$C396*AH395</f>
        <v/>
      </c>
      <c r="AI396">
        <f>$C396*AI395</f>
        <v/>
      </c>
      <c r="AJ396">
        <f>$C396*AJ395</f>
        <v/>
      </c>
      <c r="AK396">
        <f>$C396*AK395</f>
        <v/>
      </c>
      <c r="AL396">
        <f>$C396*AL395</f>
        <v/>
      </c>
      <c r="AM396">
        <f>$C396*AM395</f>
        <v/>
      </c>
      <c r="AN396">
        <f>$C396*AN395</f>
        <v/>
      </c>
      <c r="AO396">
        <f>$C396*AO395</f>
        <v/>
      </c>
      <c r="AP396">
        <f>$C396*AP395</f>
        <v/>
      </c>
      <c r="AQ396">
        <f>$C396*AQ395</f>
        <v/>
      </c>
      <c r="AR396">
        <f>$C396*AR395</f>
        <v/>
      </c>
      <c r="AS396">
        <f>$C396*AS395</f>
        <v/>
      </c>
      <c r="AT396">
        <f>$C396*AT395</f>
        <v/>
      </c>
      <c r="AU396">
        <f>$C396*AU395</f>
        <v/>
      </c>
      <c r="AV396">
        <f>$C396*AV395</f>
        <v/>
      </c>
      <c r="AW396">
        <f>$C396*AW395</f>
        <v/>
      </c>
      <c r="AX396">
        <f>$C396*AX395</f>
        <v/>
      </c>
      <c r="AY396">
        <f>$C396*AY395</f>
        <v/>
      </c>
      <c r="AZ396">
        <f>$C396*AZ395</f>
        <v/>
      </c>
      <c r="BA396">
        <f>$C396*BA395</f>
        <v/>
      </c>
      <c r="BB396">
        <f>$C396*BB395</f>
        <v/>
      </c>
      <c r="BC396">
        <f>$C396*BC395</f>
        <v/>
      </c>
      <c r="BD396">
        <f>$C396*BD395</f>
        <v/>
      </c>
      <c r="BE396">
        <f>$C396*BE395</f>
        <v/>
      </c>
      <c r="BF396">
        <f>$C396*BF395</f>
        <v/>
      </c>
      <c r="BG396">
        <f>$C396*BG395</f>
        <v/>
      </c>
      <c r="BH396">
        <f>$C396*BH395</f>
        <v/>
      </c>
      <c r="BI396">
        <f>$C396*BI395</f>
        <v/>
      </c>
      <c r="BJ396">
        <f>$C396*BJ395</f>
        <v/>
      </c>
      <c r="BK396">
        <f>$C396*BK395</f>
        <v/>
      </c>
      <c r="BL396">
        <f>$C396*BL395</f>
        <v/>
      </c>
      <c r="BM396">
        <f>$C396*BM395</f>
        <v/>
      </c>
      <c r="BN396">
        <f>$C396*BN395</f>
        <v/>
      </c>
      <c r="BO396">
        <f>$C396*BO395</f>
        <v/>
      </c>
      <c r="BP396">
        <f>$C396*BP395</f>
        <v/>
      </c>
      <c r="BQ396">
        <f>$C396*BQ395</f>
        <v/>
      </c>
      <c r="BR396">
        <f>$C396*BR395</f>
        <v/>
      </c>
      <c r="BS396">
        <f>$C396*BS395</f>
        <v/>
      </c>
      <c r="BT396">
        <f>$C396*BT395</f>
        <v/>
      </c>
      <c r="BU396">
        <f>$C396*BU395</f>
        <v/>
      </c>
      <c r="BV396">
        <f>$C396*BV395</f>
        <v/>
      </c>
      <c r="BW396">
        <f>$C396*BW395</f>
        <v/>
      </c>
      <c r="BX396">
        <f>$C396*BX395</f>
        <v/>
      </c>
      <c r="BY396">
        <f>$C396*BY395</f>
        <v/>
      </c>
      <c r="BZ396">
        <f>$C396*BZ395</f>
        <v/>
      </c>
      <c r="CA396">
        <f>$C396*CA395</f>
        <v/>
      </c>
      <c r="CB396">
        <f>$C396*CB395</f>
        <v/>
      </c>
      <c r="CC396">
        <f>$C396*CC395</f>
        <v/>
      </c>
      <c r="CD396">
        <f>$C396*CD395</f>
        <v/>
      </c>
      <c r="CE396">
        <f>$C396*CE395</f>
        <v/>
      </c>
      <c r="CF396">
        <f>$C396*CF395</f>
        <v/>
      </c>
      <c r="CG396">
        <f>$C396*CG395</f>
        <v/>
      </c>
      <c r="CH396">
        <f>$C396*CH395</f>
        <v/>
      </c>
      <c r="CI396">
        <f>$C396*CI395</f>
        <v/>
      </c>
      <c r="CJ396">
        <f>$C396*CJ395</f>
        <v/>
      </c>
      <c r="CK396">
        <f>$C396*CK395</f>
        <v/>
      </c>
      <c r="CL396">
        <f>$C396*CL395</f>
        <v/>
      </c>
      <c r="CM396">
        <f>$C396*CM395</f>
        <v/>
      </c>
      <c r="CN396">
        <f>$C396*CN395</f>
        <v/>
      </c>
      <c r="CO396">
        <f>$C396*CO395</f>
        <v/>
      </c>
      <c r="CP396">
        <f>$C396*CP395</f>
        <v/>
      </c>
      <c r="CQ396">
        <f>$C396*CQ395</f>
        <v/>
      </c>
      <c r="CR396">
        <f>$C396*CR395</f>
        <v/>
      </c>
      <c r="CS396">
        <f>$C396*CS395</f>
        <v/>
      </c>
      <c r="CT396">
        <f>$C396*CT395</f>
        <v/>
      </c>
      <c r="CU396">
        <f>$C396*CU395</f>
        <v/>
      </c>
      <c r="CV396">
        <f>$C396*CV395</f>
        <v/>
      </c>
      <c r="CW396">
        <f>$C396*CW395</f>
        <v/>
      </c>
      <c r="CX396">
        <f>$C396*CX395</f>
        <v/>
      </c>
      <c r="CY396">
        <f>$C396*CY395</f>
        <v/>
      </c>
      <c r="CZ396">
        <f>$C396*CZ395</f>
        <v/>
      </c>
      <c r="DA396">
        <f>$C396*DA395</f>
        <v/>
      </c>
      <c r="DB396">
        <f>$C396*DB395</f>
        <v/>
      </c>
      <c r="DC396">
        <f>$C396*DC395</f>
        <v/>
      </c>
    </row>
    <row r="397">
      <c r="B397" t="inlineStr">
        <is>
          <t>TSP-1449</t>
        </is>
      </c>
      <c r="C397" t="inlineStr">
        <is>
          <t>No. of batches</t>
        </is>
      </c>
      <c r="D397">
        <f>IFERROR(INDEX(PP_Grid[#Data],$DD397,2),0)</f>
        <v/>
      </c>
      <c r="E397">
        <f>IFERROR(INDEX(PP_Grid[#Data],$DD397,3),0)</f>
        <v/>
      </c>
      <c r="F397">
        <f>IFERROR(INDEX(PP_Grid[#Data],$DD397,4),0)</f>
        <v/>
      </c>
      <c r="G397">
        <f>IFERROR(INDEX(PP_Grid[#Data],$DD397,5),0)</f>
        <v/>
      </c>
      <c r="H397">
        <f>IFERROR(INDEX(PP_Grid[#Data],$DD397,6),0)</f>
        <v/>
      </c>
      <c r="I397">
        <f>IFERROR(INDEX(PP_Grid[#Data],$DD397,7),0)</f>
        <v/>
      </c>
      <c r="J397">
        <f>IFERROR(INDEX(PP_Grid[#Data],$DD397,8),0)</f>
        <v/>
      </c>
      <c r="K397">
        <f>IFERROR(INDEX(PP_Grid[#Data],$DD397,9),0)</f>
        <v/>
      </c>
      <c r="L397">
        <f>IFERROR(INDEX(PP_Grid[#Data],$DD397,10),0)</f>
        <v/>
      </c>
      <c r="M397">
        <f>IFERROR(INDEX(PP_Grid[#Data],$DD397,11),0)</f>
        <v/>
      </c>
      <c r="N397">
        <f>IFERROR(INDEX(PP_Grid[#Data],$DD397,12),0)</f>
        <v/>
      </c>
      <c r="O397">
        <f>IFERROR(INDEX(PP_Grid[#Data],$DD397,13),0)</f>
        <v/>
      </c>
      <c r="P397">
        <f>IFERROR(INDEX(PP_Grid[#Data],$DD397,14),0)</f>
        <v/>
      </c>
      <c r="Q397">
        <f>IFERROR(INDEX(PP_Grid[#Data],$DD397,15),0)</f>
        <v/>
      </c>
      <c r="R397">
        <f>IFERROR(INDEX(PP_Grid[#Data],$DD397,16),0)</f>
        <v/>
      </c>
      <c r="S397">
        <f>IFERROR(INDEX(PP_Grid[#Data],$DD397,17),0)</f>
        <v/>
      </c>
      <c r="T397">
        <f>IFERROR(INDEX(PP_Grid[#Data],$DD397,18),0)</f>
        <v/>
      </c>
      <c r="U397">
        <f>IFERROR(INDEX(PP_Grid[#Data],$DD397,19),0)</f>
        <v/>
      </c>
      <c r="V397">
        <f>IFERROR(INDEX(PP_Grid[#Data],$DD397,20),0)</f>
        <v/>
      </c>
      <c r="W397">
        <f>IFERROR(INDEX(PP_Grid[#Data],$DD397,21),0)</f>
        <v/>
      </c>
      <c r="X397">
        <f>IFERROR(INDEX(PP_Grid[#Data],$DD397,22),0)</f>
        <v/>
      </c>
      <c r="Y397">
        <f>IFERROR(INDEX(PP_Grid[#Data],$DD397,23),0)</f>
        <v/>
      </c>
      <c r="Z397">
        <f>IFERROR(INDEX(PP_Grid[#Data],$DD397,24),0)</f>
        <v/>
      </c>
      <c r="AA397">
        <f>IFERROR(INDEX(PP_Grid[#Data],$DD397,25),0)</f>
        <v/>
      </c>
      <c r="AB397">
        <f>IFERROR(INDEX(PP_Grid[#Data],$DD397,26),0)</f>
        <v/>
      </c>
      <c r="AC397">
        <f>IFERROR(INDEX(PP_Grid[#Data],$DD397,27),0)</f>
        <v/>
      </c>
      <c r="AD397">
        <f>IFERROR(INDEX(PP_Grid[#Data],$DD397,28),0)</f>
        <v/>
      </c>
      <c r="AE397">
        <f>IFERROR(INDEX(PP_Grid[#Data],$DD397,29),0)</f>
        <v/>
      </c>
      <c r="AF397">
        <f>IFERROR(INDEX(PP_Grid[#Data],$DD397,30),0)</f>
        <v/>
      </c>
      <c r="AG397">
        <f>IFERROR(INDEX(PP_Grid[#Data],$DD397,31),0)</f>
        <v/>
      </c>
      <c r="AH397">
        <f>IFERROR(INDEX(PP_Grid[#Data],$DD397,32),0)</f>
        <v/>
      </c>
      <c r="AI397">
        <f>IFERROR(INDEX(PP_Grid[#Data],$DD397,33),0)</f>
        <v/>
      </c>
      <c r="AJ397">
        <f>IFERROR(INDEX(PP_Grid[#Data],$DD397,34),0)</f>
        <v/>
      </c>
      <c r="AK397">
        <f>IFERROR(INDEX(PP_Grid[#Data],$DD397,35),0)</f>
        <v/>
      </c>
      <c r="AL397">
        <f>IFERROR(INDEX(PP_Grid[#Data],$DD397,36),0)</f>
        <v/>
      </c>
      <c r="AM397">
        <f>IFERROR(INDEX(PP_Grid[#Data],$DD397,37),0)</f>
        <v/>
      </c>
      <c r="AN397">
        <f>IFERROR(INDEX(PP_Grid[#Data],$DD397,38),0)</f>
        <v/>
      </c>
      <c r="AO397">
        <f>IFERROR(INDEX(PP_Grid[#Data],$DD397,39),0)</f>
        <v/>
      </c>
      <c r="AP397">
        <f>IFERROR(INDEX(PP_Grid[#Data],$DD397,40),0)</f>
        <v/>
      </c>
      <c r="AQ397">
        <f>IFERROR(INDEX(PP_Grid[#Data],$DD397,41),0)</f>
        <v/>
      </c>
      <c r="AR397">
        <f>IFERROR(INDEX(PP_Grid[#Data],$DD397,42),0)</f>
        <v/>
      </c>
      <c r="AS397">
        <f>IFERROR(INDEX(PP_Grid[#Data],$DD397,43),0)</f>
        <v/>
      </c>
      <c r="AT397">
        <f>IFERROR(INDEX(PP_Grid[#Data],$DD397,44),0)</f>
        <v/>
      </c>
      <c r="AU397">
        <f>IFERROR(INDEX(PP_Grid[#Data],$DD397,45),0)</f>
        <v/>
      </c>
      <c r="AV397">
        <f>IFERROR(INDEX(PP_Grid[#Data],$DD397,46),0)</f>
        <v/>
      </c>
      <c r="AW397">
        <f>IFERROR(INDEX(PP_Grid[#Data],$DD397,47),0)</f>
        <v/>
      </c>
      <c r="AX397">
        <f>IFERROR(INDEX(PP_Grid[#Data],$DD397,48),0)</f>
        <v/>
      </c>
      <c r="AY397">
        <f>IFERROR(INDEX(PP_Grid[#Data],$DD397,49),0)</f>
        <v/>
      </c>
      <c r="AZ397">
        <f>IFERROR(INDEX(PP_Grid[#Data],$DD397,50),0)</f>
        <v/>
      </c>
      <c r="BA397">
        <f>IFERROR(INDEX(PP_Grid[#Data],$DD397,51),0)</f>
        <v/>
      </c>
      <c r="BB397">
        <f>IFERROR(INDEX(PP_Grid[#Data],$DD397,52),0)</f>
        <v/>
      </c>
      <c r="BC397">
        <f>IFERROR(INDEX(PP_Grid[#Data],$DD397,53),0)</f>
        <v/>
      </c>
      <c r="BD397">
        <f>IFERROR(INDEX(PP_Grid[#Data],$DD397,54),0)</f>
        <v/>
      </c>
      <c r="BE397">
        <f>IFERROR(INDEX(PP_Grid[#Data],$DD397,55),0)</f>
        <v/>
      </c>
      <c r="BF397">
        <f>IFERROR(INDEX(PP_Grid[#Data],$DD397,56),0)</f>
        <v/>
      </c>
      <c r="BG397">
        <f>IFERROR(INDEX(PP_Grid[#Data],$DD397,57),0)</f>
        <v/>
      </c>
      <c r="BH397">
        <f>IFERROR(INDEX(PP_Grid[#Data],$DD397,58),0)</f>
        <v/>
      </c>
      <c r="BI397">
        <f>IFERROR(INDEX(PP_Grid[#Data],$DD397,59),0)</f>
        <v/>
      </c>
      <c r="BJ397">
        <f>IFERROR(INDEX(PP_Grid[#Data],$DD397,60),0)</f>
        <v/>
      </c>
      <c r="BK397">
        <f>IFERROR(INDEX(PP_Grid[#Data],$DD397,61),0)</f>
        <v/>
      </c>
      <c r="BL397">
        <f>IFERROR(INDEX(PP_Grid[#Data],$DD397,62),0)</f>
        <v/>
      </c>
      <c r="BM397">
        <f>IFERROR(INDEX(PP_Grid[#Data],$DD397,63),0)</f>
        <v/>
      </c>
      <c r="BN397">
        <f>IFERROR(INDEX(PP_Grid[#Data],$DD397,64),0)</f>
        <v/>
      </c>
      <c r="BO397">
        <f>IFERROR(INDEX(PP_Grid[#Data],$DD397,65),0)</f>
        <v/>
      </c>
      <c r="BP397">
        <f>IFERROR(INDEX(PP_Grid[#Data],$DD397,66),0)</f>
        <v/>
      </c>
      <c r="BQ397">
        <f>IFERROR(INDEX(PP_Grid[#Data],$DD397,67),0)</f>
        <v/>
      </c>
      <c r="BR397">
        <f>IFERROR(INDEX(PP_Grid[#Data],$DD397,68),0)</f>
        <v/>
      </c>
      <c r="BS397">
        <f>IFERROR(INDEX(PP_Grid[#Data],$DD397,69),0)</f>
        <v/>
      </c>
      <c r="BT397">
        <f>IFERROR(INDEX(PP_Grid[#Data],$DD397,70),0)</f>
        <v/>
      </c>
      <c r="BU397">
        <f>IFERROR(INDEX(PP_Grid[#Data],$DD397,71),0)</f>
        <v/>
      </c>
      <c r="BV397">
        <f>IFERROR(INDEX(PP_Grid[#Data],$DD397,72),0)</f>
        <v/>
      </c>
      <c r="BW397">
        <f>IFERROR(INDEX(PP_Grid[#Data],$DD397,73),0)</f>
        <v/>
      </c>
      <c r="BX397">
        <f>IFERROR(INDEX(PP_Grid[#Data],$DD397,74),0)</f>
        <v/>
      </c>
      <c r="BY397">
        <f>IFERROR(INDEX(PP_Grid[#Data],$DD397,75),0)</f>
        <v/>
      </c>
      <c r="BZ397">
        <f>IFERROR(INDEX(PP_Grid[#Data],$DD397,76),0)</f>
        <v/>
      </c>
      <c r="CA397">
        <f>IFERROR(INDEX(PP_Grid[#Data],$DD397,77),0)</f>
        <v/>
      </c>
      <c r="CB397">
        <f>IFERROR(INDEX(PP_Grid[#Data],$DD397,78),0)</f>
        <v/>
      </c>
      <c r="CC397">
        <f>IFERROR(INDEX(PP_Grid[#Data],$DD397,79),0)</f>
        <v/>
      </c>
      <c r="CD397">
        <f>IFERROR(INDEX(PP_Grid[#Data],$DD397,80),0)</f>
        <v/>
      </c>
      <c r="CE397">
        <f>IFERROR(INDEX(PP_Grid[#Data],$DD397,81),0)</f>
        <v/>
      </c>
      <c r="CF397">
        <f>IFERROR(INDEX(PP_Grid[#Data],$DD397,82),0)</f>
        <v/>
      </c>
      <c r="CG397">
        <f>IFERROR(INDEX(PP_Grid[#Data],$DD397,83),0)</f>
        <v/>
      </c>
      <c r="CH397">
        <f>IFERROR(INDEX(PP_Grid[#Data],$DD397,84),0)</f>
        <v/>
      </c>
      <c r="CI397">
        <f>IFERROR(INDEX(PP_Grid[#Data],$DD397,85),0)</f>
        <v/>
      </c>
      <c r="CJ397">
        <f>IFERROR(INDEX(PP_Grid[#Data],$DD397,86),0)</f>
        <v/>
      </c>
      <c r="CK397">
        <f>IFERROR(INDEX(PP_Grid[#Data],$DD397,87),0)</f>
        <v/>
      </c>
      <c r="CL397">
        <f>IFERROR(INDEX(PP_Grid[#Data],$DD397,88),0)</f>
        <v/>
      </c>
      <c r="CM397">
        <f>IFERROR(INDEX(PP_Grid[#Data],$DD397,89),0)</f>
        <v/>
      </c>
      <c r="CN397">
        <f>IFERROR(INDEX(PP_Grid[#Data],$DD397,90),0)</f>
        <v/>
      </c>
      <c r="CO397">
        <f>IFERROR(INDEX(PP_Grid[#Data],$DD397,91),0)</f>
        <v/>
      </c>
      <c r="CP397">
        <f>IFERROR(INDEX(PP_Grid[#Data],$DD397,92),0)</f>
        <v/>
      </c>
      <c r="CQ397">
        <f>IFERROR(INDEX(PP_Grid[#Data],$DD397,93),0)</f>
        <v/>
      </c>
      <c r="CR397">
        <f>IFERROR(INDEX(PP_Grid[#Data],$DD397,94),0)</f>
        <v/>
      </c>
      <c r="CS397">
        <f>IFERROR(INDEX(PP_Grid[#Data],$DD397,95),0)</f>
        <v/>
      </c>
      <c r="CT397">
        <f>IFERROR(INDEX(PP_Grid[#Data],$DD397,96),0)</f>
        <v/>
      </c>
      <c r="CU397">
        <f>IFERROR(INDEX(PP_Grid[#Data],$DD397,97),0)</f>
        <v/>
      </c>
      <c r="CV397">
        <f>IFERROR(INDEX(PP_Grid[#Data],$DD397,98),0)</f>
        <v/>
      </c>
      <c r="CW397">
        <f>IFERROR(INDEX(PP_Grid[#Data],$DD397,99),0)</f>
        <v/>
      </c>
      <c r="CX397">
        <f>IFERROR(INDEX(PP_Grid[#Data],$DD397,100),0)</f>
        <v/>
      </c>
      <c r="CY397">
        <f>IFERROR(INDEX(PP_Grid[#Data],$DD397,101),0)</f>
        <v/>
      </c>
      <c r="CZ397">
        <f>IFERROR(INDEX(PP_Grid[#Data],$DD397,102),0)</f>
        <v/>
      </c>
      <c r="DA397">
        <f>IFERROR(INDEX(PP_Grid[#Data],$DD397,103),0)</f>
        <v/>
      </c>
      <c r="DB397">
        <f>IFERROR(INDEX(PP_Grid[#Data],$DD397,104),0)</f>
        <v/>
      </c>
      <c r="DC397">
        <f>IFERROR(INDEX(PP_Grid[#Data],$DD397,105),0)</f>
        <v/>
      </c>
      <c r="DD397" s="7">
        <f>IFERROR(MATCH($B397,PP_Grid[Intermediate],0),99999)</f>
        <v/>
      </c>
    </row>
    <row r="398">
      <c r="B398" t="inlineStr">
        <is>
          <t>使用量(kg)</t>
        </is>
      </c>
      <c r="C398">
        <f>SUMIFS(M_BOM[RM_Qty_Per_Batch],M_BOM[Intermediate],$B397,M_BOM[Part Name],$A340)</f>
        <v/>
      </c>
      <c r="D398">
        <f>$C398*D397</f>
        <v/>
      </c>
      <c r="E398">
        <f>$C398*E397</f>
        <v/>
      </c>
      <c r="F398">
        <f>$C398*F397</f>
        <v/>
      </c>
      <c r="G398">
        <f>$C398*G397</f>
        <v/>
      </c>
      <c r="H398">
        <f>$C398*H397</f>
        <v/>
      </c>
      <c r="I398">
        <f>$C398*I397</f>
        <v/>
      </c>
      <c r="J398">
        <f>$C398*J397</f>
        <v/>
      </c>
      <c r="K398">
        <f>$C398*K397</f>
        <v/>
      </c>
      <c r="L398">
        <f>$C398*L397</f>
        <v/>
      </c>
      <c r="M398">
        <f>$C398*M397</f>
        <v/>
      </c>
      <c r="N398">
        <f>$C398*N397</f>
        <v/>
      </c>
      <c r="O398">
        <f>$C398*O397</f>
        <v/>
      </c>
      <c r="P398">
        <f>$C398*P397</f>
        <v/>
      </c>
      <c r="Q398">
        <f>$C398*Q397</f>
        <v/>
      </c>
      <c r="R398">
        <f>$C398*R397</f>
        <v/>
      </c>
      <c r="S398">
        <f>$C398*S397</f>
        <v/>
      </c>
      <c r="T398">
        <f>$C398*T397</f>
        <v/>
      </c>
      <c r="U398">
        <f>$C398*U397</f>
        <v/>
      </c>
      <c r="V398">
        <f>$C398*V397</f>
        <v/>
      </c>
      <c r="W398">
        <f>$C398*W397</f>
        <v/>
      </c>
      <c r="X398">
        <f>$C398*X397</f>
        <v/>
      </c>
      <c r="Y398">
        <f>$C398*Y397</f>
        <v/>
      </c>
      <c r="Z398">
        <f>$C398*Z397</f>
        <v/>
      </c>
      <c r="AA398">
        <f>$C398*AA397</f>
        <v/>
      </c>
      <c r="AB398">
        <f>$C398*AB397</f>
        <v/>
      </c>
      <c r="AC398">
        <f>$C398*AC397</f>
        <v/>
      </c>
      <c r="AD398">
        <f>$C398*AD397</f>
        <v/>
      </c>
      <c r="AE398">
        <f>$C398*AE397</f>
        <v/>
      </c>
      <c r="AF398">
        <f>$C398*AF397</f>
        <v/>
      </c>
      <c r="AG398">
        <f>$C398*AG397</f>
        <v/>
      </c>
      <c r="AH398">
        <f>$C398*AH397</f>
        <v/>
      </c>
      <c r="AI398">
        <f>$C398*AI397</f>
        <v/>
      </c>
      <c r="AJ398">
        <f>$C398*AJ397</f>
        <v/>
      </c>
      <c r="AK398">
        <f>$C398*AK397</f>
        <v/>
      </c>
      <c r="AL398">
        <f>$C398*AL397</f>
        <v/>
      </c>
      <c r="AM398">
        <f>$C398*AM397</f>
        <v/>
      </c>
      <c r="AN398">
        <f>$C398*AN397</f>
        <v/>
      </c>
      <c r="AO398">
        <f>$C398*AO397</f>
        <v/>
      </c>
      <c r="AP398">
        <f>$C398*AP397</f>
        <v/>
      </c>
      <c r="AQ398">
        <f>$C398*AQ397</f>
        <v/>
      </c>
      <c r="AR398">
        <f>$C398*AR397</f>
        <v/>
      </c>
      <c r="AS398">
        <f>$C398*AS397</f>
        <v/>
      </c>
      <c r="AT398">
        <f>$C398*AT397</f>
        <v/>
      </c>
      <c r="AU398">
        <f>$C398*AU397</f>
        <v/>
      </c>
      <c r="AV398">
        <f>$C398*AV397</f>
        <v/>
      </c>
      <c r="AW398">
        <f>$C398*AW397</f>
        <v/>
      </c>
      <c r="AX398">
        <f>$C398*AX397</f>
        <v/>
      </c>
      <c r="AY398">
        <f>$C398*AY397</f>
        <v/>
      </c>
      <c r="AZ398">
        <f>$C398*AZ397</f>
        <v/>
      </c>
      <c r="BA398">
        <f>$C398*BA397</f>
        <v/>
      </c>
      <c r="BB398">
        <f>$C398*BB397</f>
        <v/>
      </c>
      <c r="BC398">
        <f>$C398*BC397</f>
        <v/>
      </c>
      <c r="BD398">
        <f>$C398*BD397</f>
        <v/>
      </c>
      <c r="BE398">
        <f>$C398*BE397</f>
        <v/>
      </c>
      <c r="BF398">
        <f>$C398*BF397</f>
        <v/>
      </c>
      <c r="BG398">
        <f>$C398*BG397</f>
        <v/>
      </c>
      <c r="BH398">
        <f>$C398*BH397</f>
        <v/>
      </c>
      <c r="BI398">
        <f>$C398*BI397</f>
        <v/>
      </c>
      <c r="BJ398">
        <f>$C398*BJ397</f>
        <v/>
      </c>
      <c r="BK398">
        <f>$C398*BK397</f>
        <v/>
      </c>
      <c r="BL398">
        <f>$C398*BL397</f>
        <v/>
      </c>
      <c r="BM398">
        <f>$C398*BM397</f>
        <v/>
      </c>
      <c r="BN398">
        <f>$C398*BN397</f>
        <v/>
      </c>
      <c r="BO398">
        <f>$C398*BO397</f>
        <v/>
      </c>
      <c r="BP398">
        <f>$C398*BP397</f>
        <v/>
      </c>
      <c r="BQ398">
        <f>$C398*BQ397</f>
        <v/>
      </c>
      <c r="BR398">
        <f>$C398*BR397</f>
        <v/>
      </c>
      <c r="BS398">
        <f>$C398*BS397</f>
        <v/>
      </c>
      <c r="BT398">
        <f>$C398*BT397</f>
        <v/>
      </c>
      <c r="BU398">
        <f>$C398*BU397</f>
        <v/>
      </c>
      <c r="BV398">
        <f>$C398*BV397</f>
        <v/>
      </c>
      <c r="BW398">
        <f>$C398*BW397</f>
        <v/>
      </c>
      <c r="BX398">
        <f>$C398*BX397</f>
        <v/>
      </c>
      <c r="BY398">
        <f>$C398*BY397</f>
        <v/>
      </c>
      <c r="BZ398">
        <f>$C398*BZ397</f>
        <v/>
      </c>
      <c r="CA398">
        <f>$C398*CA397</f>
        <v/>
      </c>
      <c r="CB398">
        <f>$C398*CB397</f>
        <v/>
      </c>
      <c r="CC398">
        <f>$C398*CC397</f>
        <v/>
      </c>
      <c r="CD398">
        <f>$C398*CD397</f>
        <v/>
      </c>
      <c r="CE398">
        <f>$C398*CE397</f>
        <v/>
      </c>
      <c r="CF398">
        <f>$C398*CF397</f>
        <v/>
      </c>
      <c r="CG398">
        <f>$C398*CG397</f>
        <v/>
      </c>
      <c r="CH398">
        <f>$C398*CH397</f>
        <v/>
      </c>
      <c r="CI398">
        <f>$C398*CI397</f>
        <v/>
      </c>
      <c r="CJ398">
        <f>$C398*CJ397</f>
        <v/>
      </c>
      <c r="CK398">
        <f>$C398*CK397</f>
        <v/>
      </c>
      <c r="CL398">
        <f>$C398*CL397</f>
        <v/>
      </c>
      <c r="CM398">
        <f>$C398*CM397</f>
        <v/>
      </c>
      <c r="CN398">
        <f>$C398*CN397</f>
        <v/>
      </c>
      <c r="CO398">
        <f>$C398*CO397</f>
        <v/>
      </c>
      <c r="CP398">
        <f>$C398*CP397</f>
        <v/>
      </c>
      <c r="CQ398">
        <f>$C398*CQ397</f>
        <v/>
      </c>
      <c r="CR398">
        <f>$C398*CR397</f>
        <v/>
      </c>
      <c r="CS398">
        <f>$C398*CS397</f>
        <v/>
      </c>
      <c r="CT398">
        <f>$C398*CT397</f>
        <v/>
      </c>
      <c r="CU398">
        <f>$C398*CU397</f>
        <v/>
      </c>
      <c r="CV398">
        <f>$C398*CV397</f>
        <v/>
      </c>
      <c r="CW398">
        <f>$C398*CW397</f>
        <v/>
      </c>
      <c r="CX398">
        <f>$C398*CX397</f>
        <v/>
      </c>
      <c r="CY398">
        <f>$C398*CY397</f>
        <v/>
      </c>
      <c r="CZ398">
        <f>$C398*CZ397</f>
        <v/>
      </c>
      <c r="DA398">
        <f>$C398*DA397</f>
        <v/>
      </c>
      <c r="DB398">
        <f>$C398*DB397</f>
        <v/>
      </c>
      <c r="DC398">
        <f>$C398*DC397</f>
        <v/>
      </c>
    </row>
    <row r="399">
      <c r="B399" t="inlineStr">
        <is>
          <t>VSP-567</t>
        </is>
      </c>
      <c r="C399" t="inlineStr">
        <is>
          <t>No. of batches</t>
        </is>
      </c>
      <c r="D399">
        <f>IFERROR(INDEX(PP_Grid[#Data],$DD399,2),0)</f>
        <v/>
      </c>
      <c r="E399">
        <f>IFERROR(INDEX(PP_Grid[#Data],$DD399,3),0)</f>
        <v/>
      </c>
      <c r="F399">
        <f>IFERROR(INDEX(PP_Grid[#Data],$DD399,4),0)</f>
        <v/>
      </c>
      <c r="G399">
        <f>IFERROR(INDEX(PP_Grid[#Data],$DD399,5),0)</f>
        <v/>
      </c>
      <c r="H399">
        <f>IFERROR(INDEX(PP_Grid[#Data],$DD399,6),0)</f>
        <v/>
      </c>
      <c r="I399">
        <f>IFERROR(INDEX(PP_Grid[#Data],$DD399,7),0)</f>
        <v/>
      </c>
      <c r="J399">
        <f>IFERROR(INDEX(PP_Grid[#Data],$DD399,8),0)</f>
        <v/>
      </c>
      <c r="K399">
        <f>IFERROR(INDEX(PP_Grid[#Data],$DD399,9),0)</f>
        <v/>
      </c>
      <c r="L399">
        <f>IFERROR(INDEX(PP_Grid[#Data],$DD399,10),0)</f>
        <v/>
      </c>
      <c r="M399">
        <f>IFERROR(INDEX(PP_Grid[#Data],$DD399,11),0)</f>
        <v/>
      </c>
      <c r="N399">
        <f>IFERROR(INDEX(PP_Grid[#Data],$DD399,12),0)</f>
        <v/>
      </c>
      <c r="O399">
        <f>IFERROR(INDEX(PP_Grid[#Data],$DD399,13),0)</f>
        <v/>
      </c>
      <c r="P399">
        <f>IFERROR(INDEX(PP_Grid[#Data],$DD399,14),0)</f>
        <v/>
      </c>
      <c r="Q399">
        <f>IFERROR(INDEX(PP_Grid[#Data],$DD399,15),0)</f>
        <v/>
      </c>
      <c r="R399">
        <f>IFERROR(INDEX(PP_Grid[#Data],$DD399,16),0)</f>
        <v/>
      </c>
      <c r="S399">
        <f>IFERROR(INDEX(PP_Grid[#Data],$DD399,17),0)</f>
        <v/>
      </c>
      <c r="T399">
        <f>IFERROR(INDEX(PP_Grid[#Data],$DD399,18),0)</f>
        <v/>
      </c>
      <c r="U399">
        <f>IFERROR(INDEX(PP_Grid[#Data],$DD399,19),0)</f>
        <v/>
      </c>
      <c r="V399">
        <f>IFERROR(INDEX(PP_Grid[#Data],$DD399,20),0)</f>
        <v/>
      </c>
      <c r="W399">
        <f>IFERROR(INDEX(PP_Grid[#Data],$DD399,21),0)</f>
        <v/>
      </c>
      <c r="X399">
        <f>IFERROR(INDEX(PP_Grid[#Data],$DD399,22),0)</f>
        <v/>
      </c>
      <c r="Y399">
        <f>IFERROR(INDEX(PP_Grid[#Data],$DD399,23),0)</f>
        <v/>
      </c>
      <c r="Z399">
        <f>IFERROR(INDEX(PP_Grid[#Data],$DD399,24),0)</f>
        <v/>
      </c>
      <c r="AA399">
        <f>IFERROR(INDEX(PP_Grid[#Data],$DD399,25),0)</f>
        <v/>
      </c>
      <c r="AB399">
        <f>IFERROR(INDEX(PP_Grid[#Data],$DD399,26),0)</f>
        <v/>
      </c>
      <c r="AC399">
        <f>IFERROR(INDEX(PP_Grid[#Data],$DD399,27),0)</f>
        <v/>
      </c>
      <c r="AD399">
        <f>IFERROR(INDEX(PP_Grid[#Data],$DD399,28),0)</f>
        <v/>
      </c>
      <c r="AE399">
        <f>IFERROR(INDEX(PP_Grid[#Data],$DD399,29),0)</f>
        <v/>
      </c>
      <c r="AF399">
        <f>IFERROR(INDEX(PP_Grid[#Data],$DD399,30),0)</f>
        <v/>
      </c>
      <c r="AG399">
        <f>IFERROR(INDEX(PP_Grid[#Data],$DD399,31),0)</f>
        <v/>
      </c>
      <c r="AH399">
        <f>IFERROR(INDEX(PP_Grid[#Data],$DD399,32),0)</f>
        <v/>
      </c>
      <c r="AI399">
        <f>IFERROR(INDEX(PP_Grid[#Data],$DD399,33),0)</f>
        <v/>
      </c>
      <c r="AJ399">
        <f>IFERROR(INDEX(PP_Grid[#Data],$DD399,34),0)</f>
        <v/>
      </c>
      <c r="AK399">
        <f>IFERROR(INDEX(PP_Grid[#Data],$DD399,35),0)</f>
        <v/>
      </c>
      <c r="AL399">
        <f>IFERROR(INDEX(PP_Grid[#Data],$DD399,36),0)</f>
        <v/>
      </c>
      <c r="AM399">
        <f>IFERROR(INDEX(PP_Grid[#Data],$DD399,37),0)</f>
        <v/>
      </c>
      <c r="AN399">
        <f>IFERROR(INDEX(PP_Grid[#Data],$DD399,38),0)</f>
        <v/>
      </c>
      <c r="AO399">
        <f>IFERROR(INDEX(PP_Grid[#Data],$DD399,39),0)</f>
        <v/>
      </c>
      <c r="AP399">
        <f>IFERROR(INDEX(PP_Grid[#Data],$DD399,40),0)</f>
        <v/>
      </c>
      <c r="AQ399">
        <f>IFERROR(INDEX(PP_Grid[#Data],$DD399,41),0)</f>
        <v/>
      </c>
      <c r="AR399">
        <f>IFERROR(INDEX(PP_Grid[#Data],$DD399,42),0)</f>
        <v/>
      </c>
      <c r="AS399">
        <f>IFERROR(INDEX(PP_Grid[#Data],$DD399,43),0)</f>
        <v/>
      </c>
      <c r="AT399">
        <f>IFERROR(INDEX(PP_Grid[#Data],$DD399,44),0)</f>
        <v/>
      </c>
      <c r="AU399">
        <f>IFERROR(INDEX(PP_Grid[#Data],$DD399,45),0)</f>
        <v/>
      </c>
      <c r="AV399">
        <f>IFERROR(INDEX(PP_Grid[#Data],$DD399,46),0)</f>
        <v/>
      </c>
      <c r="AW399">
        <f>IFERROR(INDEX(PP_Grid[#Data],$DD399,47),0)</f>
        <v/>
      </c>
      <c r="AX399">
        <f>IFERROR(INDEX(PP_Grid[#Data],$DD399,48),0)</f>
        <v/>
      </c>
      <c r="AY399">
        <f>IFERROR(INDEX(PP_Grid[#Data],$DD399,49),0)</f>
        <v/>
      </c>
      <c r="AZ399">
        <f>IFERROR(INDEX(PP_Grid[#Data],$DD399,50),0)</f>
        <v/>
      </c>
      <c r="BA399">
        <f>IFERROR(INDEX(PP_Grid[#Data],$DD399,51),0)</f>
        <v/>
      </c>
      <c r="BB399">
        <f>IFERROR(INDEX(PP_Grid[#Data],$DD399,52),0)</f>
        <v/>
      </c>
      <c r="BC399">
        <f>IFERROR(INDEX(PP_Grid[#Data],$DD399,53),0)</f>
        <v/>
      </c>
      <c r="BD399">
        <f>IFERROR(INDEX(PP_Grid[#Data],$DD399,54),0)</f>
        <v/>
      </c>
      <c r="BE399">
        <f>IFERROR(INDEX(PP_Grid[#Data],$DD399,55),0)</f>
        <v/>
      </c>
      <c r="BF399">
        <f>IFERROR(INDEX(PP_Grid[#Data],$DD399,56),0)</f>
        <v/>
      </c>
      <c r="BG399">
        <f>IFERROR(INDEX(PP_Grid[#Data],$DD399,57),0)</f>
        <v/>
      </c>
      <c r="BH399">
        <f>IFERROR(INDEX(PP_Grid[#Data],$DD399,58),0)</f>
        <v/>
      </c>
      <c r="BI399">
        <f>IFERROR(INDEX(PP_Grid[#Data],$DD399,59),0)</f>
        <v/>
      </c>
      <c r="BJ399">
        <f>IFERROR(INDEX(PP_Grid[#Data],$DD399,60),0)</f>
        <v/>
      </c>
      <c r="BK399">
        <f>IFERROR(INDEX(PP_Grid[#Data],$DD399,61),0)</f>
        <v/>
      </c>
      <c r="BL399">
        <f>IFERROR(INDEX(PP_Grid[#Data],$DD399,62),0)</f>
        <v/>
      </c>
      <c r="BM399">
        <f>IFERROR(INDEX(PP_Grid[#Data],$DD399,63),0)</f>
        <v/>
      </c>
      <c r="BN399">
        <f>IFERROR(INDEX(PP_Grid[#Data],$DD399,64),0)</f>
        <v/>
      </c>
      <c r="BO399">
        <f>IFERROR(INDEX(PP_Grid[#Data],$DD399,65),0)</f>
        <v/>
      </c>
      <c r="BP399">
        <f>IFERROR(INDEX(PP_Grid[#Data],$DD399,66),0)</f>
        <v/>
      </c>
      <c r="BQ399">
        <f>IFERROR(INDEX(PP_Grid[#Data],$DD399,67),0)</f>
        <v/>
      </c>
      <c r="BR399">
        <f>IFERROR(INDEX(PP_Grid[#Data],$DD399,68),0)</f>
        <v/>
      </c>
      <c r="BS399">
        <f>IFERROR(INDEX(PP_Grid[#Data],$DD399,69),0)</f>
        <v/>
      </c>
      <c r="BT399">
        <f>IFERROR(INDEX(PP_Grid[#Data],$DD399,70),0)</f>
        <v/>
      </c>
      <c r="BU399">
        <f>IFERROR(INDEX(PP_Grid[#Data],$DD399,71),0)</f>
        <v/>
      </c>
      <c r="BV399">
        <f>IFERROR(INDEX(PP_Grid[#Data],$DD399,72),0)</f>
        <v/>
      </c>
      <c r="BW399">
        <f>IFERROR(INDEX(PP_Grid[#Data],$DD399,73),0)</f>
        <v/>
      </c>
      <c r="BX399">
        <f>IFERROR(INDEX(PP_Grid[#Data],$DD399,74),0)</f>
        <v/>
      </c>
      <c r="BY399">
        <f>IFERROR(INDEX(PP_Grid[#Data],$DD399,75),0)</f>
        <v/>
      </c>
      <c r="BZ399">
        <f>IFERROR(INDEX(PP_Grid[#Data],$DD399,76),0)</f>
        <v/>
      </c>
      <c r="CA399">
        <f>IFERROR(INDEX(PP_Grid[#Data],$DD399,77),0)</f>
        <v/>
      </c>
      <c r="CB399">
        <f>IFERROR(INDEX(PP_Grid[#Data],$DD399,78),0)</f>
        <v/>
      </c>
      <c r="CC399">
        <f>IFERROR(INDEX(PP_Grid[#Data],$DD399,79),0)</f>
        <v/>
      </c>
      <c r="CD399">
        <f>IFERROR(INDEX(PP_Grid[#Data],$DD399,80),0)</f>
        <v/>
      </c>
      <c r="CE399">
        <f>IFERROR(INDEX(PP_Grid[#Data],$DD399,81),0)</f>
        <v/>
      </c>
      <c r="CF399">
        <f>IFERROR(INDEX(PP_Grid[#Data],$DD399,82),0)</f>
        <v/>
      </c>
      <c r="CG399">
        <f>IFERROR(INDEX(PP_Grid[#Data],$DD399,83),0)</f>
        <v/>
      </c>
      <c r="CH399">
        <f>IFERROR(INDEX(PP_Grid[#Data],$DD399,84),0)</f>
        <v/>
      </c>
      <c r="CI399">
        <f>IFERROR(INDEX(PP_Grid[#Data],$DD399,85),0)</f>
        <v/>
      </c>
      <c r="CJ399">
        <f>IFERROR(INDEX(PP_Grid[#Data],$DD399,86),0)</f>
        <v/>
      </c>
      <c r="CK399">
        <f>IFERROR(INDEX(PP_Grid[#Data],$DD399,87),0)</f>
        <v/>
      </c>
      <c r="CL399">
        <f>IFERROR(INDEX(PP_Grid[#Data],$DD399,88),0)</f>
        <v/>
      </c>
      <c r="CM399">
        <f>IFERROR(INDEX(PP_Grid[#Data],$DD399,89),0)</f>
        <v/>
      </c>
      <c r="CN399">
        <f>IFERROR(INDEX(PP_Grid[#Data],$DD399,90),0)</f>
        <v/>
      </c>
      <c r="CO399">
        <f>IFERROR(INDEX(PP_Grid[#Data],$DD399,91),0)</f>
        <v/>
      </c>
      <c r="CP399">
        <f>IFERROR(INDEX(PP_Grid[#Data],$DD399,92),0)</f>
        <v/>
      </c>
      <c r="CQ399">
        <f>IFERROR(INDEX(PP_Grid[#Data],$DD399,93),0)</f>
        <v/>
      </c>
      <c r="CR399">
        <f>IFERROR(INDEX(PP_Grid[#Data],$DD399,94),0)</f>
        <v/>
      </c>
      <c r="CS399">
        <f>IFERROR(INDEX(PP_Grid[#Data],$DD399,95),0)</f>
        <v/>
      </c>
      <c r="CT399">
        <f>IFERROR(INDEX(PP_Grid[#Data],$DD399,96),0)</f>
        <v/>
      </c>
      <c r="CU399">
        <f>IFERROR(INDEX(PP_Grid[#Data],$DD399,97),0)</f>
        <v/>
      </c>
      <c r="CV399">
        <f>IFERROR(INDEX(PP_Grid[#Data],$DD399,98),0)</f>
        <v/>
      </c>
      <c r="CW399">
        <f>IFERROR(INDEX(PP_Grid[#Data],$DD399,99),0)</f>
        <v/>
      </c>
      <c r="CX399">
        <f>IFERROR(INDEX(PP_Grid[#Data],$DD399,100),0)</f>
        <v/>
      </c>
      <c r="CY399">
        <f>IFERROR(INDEX(PP_Grid[#Data],$DD399,101),0)</f>
        <v/>
      </c>
      <c r="CZ399">
        <f>IFERROR(INDEX(PP_Grid[#Data],$DD399,102),0)</f>
        <v/>
      </c>
      <c r="DA399">
        <f>IFERROR(INDEX(PP_Grid[#Data],$DD399,103),0)</f>
        <v/>
      </c>
      <c r="DB399">
        <f>IFERROR(INDEX(PP_Grid[#Data],$DD399,104),0)</f>
        <v/>
      </c>
      <c r="DC399">
        <f>IFERROR(INDEX(PP_Grid[#Data],$DD399,105),0)</f>
        <v/>
      </c>
      <c r="DD399" s="7">
        <f>IFERROR(MATCH($B399,PP_Grid[Intermediate],0),99999)</f>
        <v/>
      </c>
    </row>
    <row r="400">
      <c r="B400" t="inlineStr">
        <is>
          <t>使用量(kg)</t>
        </is>
      </c>
      <c r="C400">
        <f>SUMIFS(M_BOM[RM_Qty_Per_Batch],M_BOM[Intermediate],$B399,M_BOM[Part Name],$A340)</f>
        <v/>
      </c>
      <c r="D400">
        <f>$C400*D399</f>
        <v/>
      </c>
      <c r="E400">
        <f>$C400*E399</f>
        <v/>
      </c>
      <c r="F400">
        <f>$C400*F399</f>
        <v/>
      </c>
      <c r="G400">
        <f>$C400*G399</f>
        <v/>
      </c>
      <c r="H400">
        <f>$C400*H399</f>
        <v/>
      </c>
      <c r="I400">
        <f>$C400*I399</f>
        <v/>
      </c>
      <c r="J400">
        <f>$C400*J399</f>
        <v/>
      </c>
      <c r="K400">
        <f>$C400*K399</f>
        <v/>
      </c>
      <c r="L400">
        <f>$C400*L399</f>
        <v/>
      </c>
      <c r="M400">
        <f>$C400*M399</f>
        <v/>
      </c>
      <c r="N400">
        <f>$C400*N399</f>
        <v/>
      </c>
      <c r="O400">
        <f>$C400*O399</f>
        <v/>
      </c>
      <c r="P400">
        <f>$C400*P399</f>
        <v/>
      </c>
      <c r="Q400">
        <f>$C400*Q399</f>
        <v/>
      </c>
      <c r="R400">
        <f>$C400*R399</f>
        <v/>
      </c>
      <c r="S400">
        <f>$C400*S399</f>
        <v/>
      </c>
      <c r="T400">
        <f>$C400*T399</f>
        <v/>
      </c>
      <c r="U400">
        <f>$C400*U399</f>
        <v/>
      </c>
      <c r="V400">
        <f>$C400*V399</f>
        <v/>
      </c>
      <c r="W400">
        <f>$C400*W399</f>
        <v/>
      </c>
      <c r="X400">
        <f>$C400*X399</f>
        <v/>
      </c>
      <c r="Y400">
        <f>$C400*Y399</f>
        <v/>
      </c>
      <c r="Z400">
        <f>$C400*Z399</f>
        <v/>
      </c>
      <c r="AA400">
        <f>$C400*AA399</f>
        <v/>
      </c>
      <c r="AB400">
        <f>$C400*AB399</f>
        <v/>
      </c>
      <c r="AC400">
        <f>$C400*AC399</f>
        <v/>
      </c>
      <c r="AD400">
        <f>$C400*AD399</f>
        <v/>
      </c>
      <c r="AE400">
        <f>$C400*AE399</f>
        <v/>
      </c>
      <c r="AF400">
        <f>$C400*AF399</f>
        <v/>
      </c>
      <c r="AG400">
        <f>$C400*AG399</f>
        <v/>
      </c>
      <c r="AH400">
        <f>$C400*AH399</f>
        <v/>
      </c>
      <c r="AI400">
        <f>$C400*AI399</f>
        <v/>
      </c>
      <c r="AJ400">
        <f>$C400*AJ399</f>
        <v/>
      </c>
      <c r="AK400">
        <f>$C400*AK399</f>
        <v/>
      </c>
      <c r="AL400">
        <f>$C400*AL399</f>
        <v/>
      </c>
      <c r="AM400">
        <f>$C400*AM399</f>
        <v/>
      </c>
      <c r="AN400">
        <f>$C400*AN399</f>
        <v/>
      </c>
      <c r="AO400">
        <f>$C400*AO399</f>
        <v/>
      </c>
      <c r="AP400">
        <f>$C400*AP399</f>
        <v/>
      </c>
      <c r="AQ400">
        <f>$C400*AQ399</f>
        <v/>
      </c>
      <c r="AR400">
        <f>$C400*AR399</f>
        <v/>
      </c>
      <c r="AS400">
        <f>$C400*AS399</f>
        <v/>
      </c>
      <c r="AT400">
        <f>$C400*AT399</f>
        <v/>
      </c>
      <c r="AU400">
        <f>$C400*AU399</f>
        <v/>
      </c>
      <c r="AV400">
        <f>$C400*AV399</f>
        <v/>
      </c>
      <c r="AW400">
        <f>$C400*AW399</f>
        <v/>
      </c>
      <c r="AX400">
        <f>$C400*AX399</f>
        <v/>
      </c>
      <c r="AY400">
        <f>$C400*AY399</f>
        <v/>
      </c>
      <c r="AZ400">
        <f>$C400*AZ399</f>
        <v/>
      </c>
      <c r="BA400">
        <f>$C400*BA399</f>
        <v/>
      </c>
      <c r="BB400">
        <f>$C400*BB399</f>
        <v/>
      </c>
      <c r="BC400">
        <f>$C400*BC399</f>
        <v/>
      </c>
      <c r="BD400">
        <f>$C400*BD399</f>
        <v/>
      </c>
      <c r="BE400">
        <f>$C400*BE399</f>
        <v/>
      </c>
      <c r="BF400">
        <f>$C400*BF399</f>
        <v/>
      </c>
      <c r="BG400">
        <f>$C400*BG399</f>
        <v/>
      </c>
      <c r="BH400">
        <f>$C400*BH399</f>
        <v/>
      </c>
      <c r="BI400">
        <f>$C400*BI399</f>
        <v/>
      </c>
      <c r="BJ400">
        <f>$C400*BJ399</f>
        <v/>
      </c>
      <c r="BK400">
        <f>$C400*BK399</f>
        <v/>
      </c>
      <c r="BL400">
        <f>$C400*BL399</f>
        <v/>
      </c>
      <c r="BM400">
        <f>$C400*BM399</f>
        <v/>
      </c>
      <c r="BN400">
        <f>$C400*BN399</f>
        <v/>
      </c>
      <c r="BO400">
        <f>$C400*BO399</f>
        <v/>
      </c>
      <c r="BP400">
        <f>$C400*BP399</f>
        <v/>
      </c>
      <c r="BQ400">
        <f>$C400*BQ399</f>
        <v/>
      </c>
      <c r="BR400">
        <f>$C400*BR399</f>
        <v/>
      </c>
      <c r="BS400">
        <f>$C400*BS399</f>
        <v/>
      </c>
      <c r="BT400">
        <f>$C400*BT399</f>
        <v/>
      </c>
      <c r="BU400">
        <f>$C400*BU399</f>
        <v/>
      </c>
      <c r="BV400">
        <f>$C400*BV399</f>
        <v/>
      </c>
      <c r="BW400">
        <f>$C400*BW399</f>
        <v/>
      </c>
      <c r="BX400">
        <f>$C400*BX399</f>
        <v/>
      </c>
      <c r="BY400">
        <f>$C400*BY399</f>
        <v/>
      </c>
      <c r="BZ400">
        <f>$C400*BZ399</f>
        <v/>
      </c>
      <c r="CA400">
        <f>$C400*CA399</f>
        <v/>
      </c>
      <c r="CB400">
        <f>$C400*CB399</f>
        <v/>
      </c>
      <c r="CC400">
        <f>$C400*CC399</f>
        <v/>
      </c>
      <c r="CD400">
        <f>$C400*CD399</f>
        <v/>
      </c>
      <c r="CE400">
        <f>$C400*CE399</f>
        <v/>
      </c>
      <c r="CF400">
        <f>$C400*CF399</f>
        <v/>
      </c>
      <c r="CG400">
        <f>$C400*CG399</f>
        <v/>
      </c>
      <c r="CH400">
        <f>$C400*CH399</f>
        <v/>
      </c>
      <c r="CI400">
        <f>$C400*CI399</f>
        <v/>
      </c>
      <c r="CJ400">
        <f>$C400*CJ399</f>
        <v/>
      </c>
      <c r="CK400">
        <f>$C400*CK399</f>
        <v/>
      </c>
      <c r="CL400">
        <f>$C400*CL399</f>
        <v/>
      </c>
      <c r="CM400">
        <f>$C400*CM399</f>
        <v/>
      </c>
      <c r="CN400">
        <f>$C400*CN399</f>
        <v/>
      </c>
      <c r="CO400">
        <f>$C400*CO399</f>
        <v/>
      </c>
      <c r="CP400">
        <f>$C400*CP399</f>
        <v/>
      </c>
      <c r="CQ400">
        <f>$C400*CQ399</f>
        <v/>
      </c>
      <c r="CR400">
        <f>$C400*CR399</f>
        <v/>
      </c>
      <c r="CS400">
        <f>$C400*CS399</f>
        <v/>
      </c>
      <c r="CT400">
        <f>$C400*CT399</f>
        <v/>
      </c>
      <c r="CU400">
        <f>$C400*CU399</f>
        <v/>
      </c>
      <c r="CV400">
        <f>$C400*CV399</f>
        <v/>
      </c>
      <c r="CW400">
        <f>$C400*CW399</f>
        <v/>
      </c>
      <c r="CX400">
        <f>$C400*CX399</f>
        <v/>
      </c>
      <c r="CY400">
        <f>$C400*CY399</f>
        <v/>
      </c>
      <c r="CZ400">
        <f>$C400*CZ399</f>
        <v/>
      </c>
      <c r="DA400">
        <f>$C400*DA399</f>
        <v/>
      </c>
      <c r="DB400">
        <f>$C400*DB399</f>
        <v/>
      </c>
      <c r="DC400">
        <f>$C400*DC399</f>
        <v/>
      </c>
    </row>
    <row r="401">
      <c r="B401" t="inlineStr">
        <is>
          <t>VSP-600</t>
        </is>
      </c>
      <c r="C401" t="inlineStr">
        <is>
          <t>No. of batches</t>
        </is>
      </c>
      <c r="D401">
        <f>IFERROR(INDEX(PP_Grid[#Data],$DD401,2),0)</f>
        <v/>
      </c>
      <c r="E401">
        <f>IFERROR(INDEX(PP_Grid[#Data],$DD401,3),0)</f>
        <v/>
      </c>
      <c r="F401">
        <f>IFERROR(INDEX(PP_Grid[#Data],$DD401,4),0)</f>
        <v/>
      </c>
      <c r="G401">
        <f>IFERROR(INDEX(PP_Grid[#Data],$DD401,5),0)</f>
        <v/>
      </c>
      <c r="H401">
        <f>IFERROR(INDEX(PP_Grid[#Data],$DD401,6),0)</f>
        <v/>
      </c>
      <c r="I401">
        <f>IFERROR(INDEX(PP_Grid[#Data],$DD401,7),0)</f>
        <v/>
      </c>
      <c r="J401">
        <f>IFERROR(INDEX(PP_Grid[#Data],$DD401,8),0)</f>
        <v/>
      </c>
      <c r="K401">
        <f>IFERROR(INDEX(PP_Grid[#Data],$DD401,9),0)</f>
        <v/>
      </c>
      <c r="L401">
        <f>IFERROR(INDEX(PP_Grid[#Data],$DD401,10),0)</f>
        <v/>
      </c>
      <c r="M401">
        <f>IFERROR(INDEX(PP_Grid[#Data],$DD401,11),0)</f>
        <v/>
      </c>
      <c r="N401">
        <f>IFERROR(INDEX(PP_Grid[#Data],$DD401,12),0)</f>
        <v/>
      </c>
      <c r="O401">
        <f>IFERROR(INDEX(PP_Grid[#Data],$DD401,13),0)</f>
        <v/>
      </c>
      <c r="P401">
        <f>IFERROR(INDEX(PP_Grid[#Data],$DD401,14),0)</f>
        <v/>
      </c>
      <c r="Q401">
        <f>IFERROR(INDEX(PP_Grid[#Data],$DD401,15),0)</f>
        <v/>
      </c>
      <c r="R401">
        <f>IFERROR(INDEX(PP_Grid[#Data],$DD401,16),0)</f>
        <v/>
      </c>
      <c r="S401">
        <f>IFERROR(INDEX(PP_Grid[#Data],$DD401,17),0)</f>
        <v/>
      </c>
      <c r="T401">
        <f>IFERROR(INDEX(PP_Grid[#Data],$DD401,18),0)</f>
        <v/>
      </c>
      <c r="U401">
        <f>IFERROR(INDEX(PP_Grid[#Data],$DD401,19),0)</f>
        <v/>
      </c>
      <c r="V401">
        <f>IFERROR(INDEX(PP_Grid[#Data],$DD401,20),0)</f>
        <v/>
      </c>
      <c r="W401">
        <f>IFERROR(INDEX(PP_Grid[#Data],$DD401,21),0)</f>
        <v/>
      </c>
      <c r="X401">
        <f>IFERROR(INDEX(PP_Grid[#Data],$DD401,22),0)</f>
        <v/>
      </c>
      <c r="Y401">
        <f>IFERROR(INDEX(PP_Grid[#Data],$DD401,23),0)</f>
        <v/>
      </c>
      <c r="Z401">
        <f>IFERROR(INDEX(PP_Grid[#Data],$DD401,24),0)</f>
        <v/>
      </c>
      <c r="AA401">
        <f>IFERROR(INDEX(PP_Grid[#Data],$DD401,25),0)</f>
        <v/>
      </c>
      <c r="AB401">
        <f>IFERROR(INDEX(PP_Grid[#Data],$DD401,26),0)</f>
        <v/>
      </c>
      <c r="AC401">
        <f>IFERROR(INDEX(PP_Grid[#Data],$DD401,27),0)</f>
        <v/>
      </c>
      <c r="AD401">
        <f>IFERROR(INDEX(PP_Grid[#Data],$DD401,28),0)</f>
        <v/>
      </c>
      <c r="AE401">
        <f>IFERROR(INDEX(PP_Grid[#Data],$DD401,29),0)</f>
        <v/>
      </c>
      <c r="AF401">
        <f>IFERROR(INDEX(PP_Grid[#Data],$DD401,30),0)</f>
        <v/>
      </c>
      <c r="AG401">
        <f>IFERROR(INDEX(PP_Grid[#Data],$DD401,31),0)</f>
        <v/>
      </c>
      <c r="AH401">
        <f>IFERROR(INDEX(PP_Grid[#Data],$DD401,32),0)</f>
        <v/>
      </c>
      <c r="AI401">
        <f>IFERROR(INDEX(PP_Grid[#Data],$DD401,33),0)</f>
        <v/>
      </c>
      <c r="AJ401">
        <f>IFERROR(INDEX(PP_Grid[#Data],$DD401,34),0)</f>
        <v/>
      </c>
      <c r="AK401">
        <f>IFERROR(INDEX(PP_Grid[#Data],$DD401,35),0)</f>
        <v/>
      </c>
      <c r="AL401">
        <f>IFERROR(INDEX(PP_Grid[#Data],$DD401,36),0)</f>
        <v/>
      </c>
      <c r="AM401">
        <f>IFERROR(INDEX(PP_Grid[#Data],$DD401,37),0)</f>
        <v/>
      </c>
      <c r="AN401">
        <f>IFERROR(INDEX(PP_Grid[#Data],$DD401,38),0)</f>
        <v/>
      </c>
      <c r="AO401">
        <f>IFERROR(INDEX(PP_Grid[#Data],$DD401,39),0)</f>
        <v/>
      </c>
      <c r="AP401">
        <f>IFERROR(INDEX(PP_Grid[#Data],$DD401,40),0)</f>
        <v/>
      </c>
      <c r="AQ401">
        <f>IFERROR(INDEX(PP_Grid[#Data],$DD401,41),0)</f>
        <v/>
      </c>
      <c r="AR401">
        <f>IFERROR(INDEX(PP_Grid[#Data],$DD401,42),0)</f>
        <v/>
      </c>
      <c r="AS401">
        <f>IFERROR(INDEX(PP_Grid[#Data],$DD401,43),0)</f>
        <v/>
      </c>
      <c r="AT401">
        <f>IFERROR(INDEX(PP_Grid[#Data],$DD401,44),0)</f>
        <v/>
      </c>
      <c r="AU401">
        <f>IFERROR(INDEX(PP_Grid[#Data],$DD401,45),0)</f>
        <v/>
      </c>
      <c r="AV401">
        <f>IFERROR(INDEX(PP_Grid[#Data],$DD401,46),0)</f>
        <v/>
      </c>
      <c r="AW401">
        <f>IFERROR(INDEX(PP_Grid[#Data],$DD401,47),0)</f>
        <v/>
      </c>
      <c r="AX401">
        <f>IFERROR(INDEX(PP_Grid[#Data],$DD401,48),0)</f>
        <v/>
      </c>
      <c r="AY401">
        <f>IFERROR(INDEX(PP_Grid[#Data],$DD401,49),0)</f>
        <v/>
      </c>
      <c r="AZ401">
        <f>IFERROR(INDEX(PP_Grid[#Data],$DD401,50),0)</f>
        <v/>
      </c>
      <c r="BA401">
        <f>IFERROR(INDEX(PP_Grid[#Data],$DD401,51),0)</f>
        <v/>
      </c>
      <c r="BB401">
        <f>IFERROR(INDEX(PP_Grid[#Data],$DD401,52),0)</f>
        <v/>
      </c>
      <c r="BC401">
        <f>IFERROR(INDEX(PP_Grid[#Data],$DD401,53),0)</f>
        <v/>
      </c>
      <c r="BD401">
        <f>IFERROR(INDEX(PP_Grid[#Data],$DD401,54),0)</f>
        <v/>
      </c>
      <c r="BE401">
        <f>IFERROR(INDEX(PP_Grid[#Data],$DD401,55),0)</f>
        <v/>
      </c>
      <c r="BF401">
        <f>IFERROR(INDEX(PP_Grid[#Data],$DD401,56),0)</f>
        <v/>
      </c>
      <c r="BG401">
        <f>IFERROR(INDEX(PP_Grid[#Data],$DD401,57),0)</f>
        <v/>
      </c>
      <c r="BH401">
        <f>IFERROR(INDEX(PP_Grid[#Data],$DD401,58),0)</f>
        <v/>
      </c>
      <c r="BI401">
        <f>IFERROR(INDEX(PP_Grid[#Data],$DD401,59),0)</f>
        <v/>
      </c>
      <c r="BJ401">
        <f>IFERROR(INDEX(PP_Grid[#Data],$DD401,60),0)</f>
        <v/>
      </c>
      <c r="BK401">
        <f>IFERROR(INDEX(PP_Grid[#Data],$DD401,61),0)</f>
        <v/>
      </c>
      <c r="BL401">
        <f>IFERROR(INDEX(PP_Grid[#Data],$DD401,62),0)</f>
        <v/>
      </c>
      <c r="BM401">
        <f>IFERROR(INDEX(PP_Grid[#Data],$DD401,63),0)</f>
        <v/>
      </c>
      <c r="BN401">
        <f>IFERROR(INDEX(PP_Grid[#Data],$DD401,64),0)</f>
        <v/>
      </c>
      <c r="BO401">
        <f>IFERROR(INDEX(PP_Grid[#Data],$DD401,65),0)</f>
        <v/>
      </c>
      <c r="BP401">
        <f>IFERROR(INDEX(PP_Grid[#Data],$DD401,66),0)</f>
        <v/>
      </c>
      <c r="BQ401">
        <f>IFERROR(INDEX(PP_Grid[#Data],$DD401,67),0)</f>
        <v/>
      </c>
      <c r="BR401">
        <f>IFERROR(INDEX(PP_Grid[#Data],$DD401,68),0)</f>
        <v/>
      </c>
      <c r="BS401">
        <f>IFERROR(INDEX(PP_Grid[#Data],$DD401,69),0)</f>
        <v/>
      </c>
      <c r="BT401">
        <f>IFERROR(INDEX(PP_Grid[#Data],$DD401,70),0)</f>
        <v/>
      </c>
      <c r="BU401">
        <f>IFERROR(INDEX(PP_Grid[#Data],$DD401,71),0)</f>
        <v/>
      </c>
      <c r="BV401">
        <f>IFERROR(INDEX(PP_Grid[#Data],$DD401,72),0)</f>
        <v/>
      </c>
      <c r="BW401">
        <f>IFERROR(INDEX(PP_Grid[#Data],$DD401,73),0)</f>
        <v/>
      </c>
      <c r="BX401">
        <f>IFERROR(INDEX(PP_Grid[#Data],$DD401,74),0)</f>
        <v/>
      </c>
      <c r="BY401">
        <f>IFERROR(INDEX(PP_Grid[#Data],$DD401,75),0)</f>
        <v/>
      </c>
      <c r="BZ401">
        <f>IFERROR(INDEX(PP_Grid[#Data],$DD401,76),0)</f>
        <v/>
      </c>
      <c r="CA401">
        <f>IFERROR(INDEX(PP_Grid[#Data],$DD401,77),0)</f>
        <v/>
      </c>
      <c r="CB401">
        <f>IFERROR(INDEX(PP_Grid[#Data],$DD401,78),0)</f>
        <v/>
      </c>
      <c r="CC401">
        <f>IFERROR(INDEX(PP_Grid[#Data],$DD401,79),0)</f>
        <v/>
      </c>
      <c r="CD401">
        <f>IFERROR(INDEX(PP_Grid[#Data],$DD401,80),0)</f>
        <v/>
      </c>
      <c r="CE401">
        <f>IFERROR(INDEX(PP_Grid[#Data],$DD401,81),0)</f>
        <v/>
      </c>
      <c r="CF401">
        <f>IFERROR(INDEX(PP_Grid[#Data],$DD401,82),0)</f>
        <v/>
      </c>
      <c r="CG401">
        <f>IFERROR(INDEX(PP_Grid[#Data],$DD401,83),0)</f>
        <v/>
      </c>
      <c r="CH401">
        <f>IFERROR(INDEX(PP_Grid[#Data],$DD401,84),0)</f>
        <v/>
      </c>
      <c r="CI401">
        <f>IFERROR(INDEX(PP_Grid[#Data],$DD401,85),0)</f>
        <v/>
      </c>
      <c r="CJ401">
        <f>IFERROR(INDEX(PP_Grid[#Data],$DD401,86),0)</f>
        <v/>
      </c>
      <c r="CK401">
        <f>IFERROR(INDEX(PP_Grid[#Data],$DD401,87),0)</f>
        <v/>
      </c>
      <c r="CL401">
        <f>IFERROR(INDEX(PP_Grid[#Data],$DD401,88),0)</f>
        <v/>
      </c>
      <c r="CM401">
        <f>IFERROR(INDEX(PP_Grid[#Data],$DD401,89),0)</f>
        <v/>
      </c>
      <c r="CN401">
        <f>IFERROR(INDEX(PP_Grid[#Data],$DD401,90),0)</f>
        <v/>
      </c>
      <c r="CO401">
        <f>IFERROR(INDEX(PP_Grid[#Data],$DD401,91),0)</f>
        <v/>
      </c>
      <c r="CP401">
        <f>IFERROR(INDEX(PP_Grid[#Data],$DD401,92),0)</f>
        <v/>
      </c>
      <c r="CQ401">
        <f>IFERROR(INDEX(PP_Grid[#Data],$DD401,93),0)</f>
        <v/>
      </c>
      <c r="CR401">
        <f>IFERROR(INDEX(PP_Grid[#Data],$DD401,94),0)</f>
        <v/>
      </c>
      <c r="CS401">
        <f>IFERROR(INDEX(PP_Grid[#Data],$DD401,95),0)</f>
        <v/>
      </c>
      <c r="CT401">
        <f>IFERROR(INDEX(PP_Grid[#Data],$DD401,96),0)</f>
        <v/>
      </c>
      <c r="CU401">
        <f>IFERROR(INDEX(PP_Grid[#Data],$DD401,97),0)</f>
        <v/>
      </c>
      <c r="CV401">
        <f>IFERROR(INDEX(PP_Grid[#Data],$DD401,98),0)</f>
        <v/>
      </c>
      <c r="CW401">
        <f>IFERROR(INDEX(PP_Grid[#Data],$DD401,99),0)</f>
        <v/>
      </c>
      <c r="CX401">
        <f>IFERROR(INDEX(PP_Grid[#Data],$DD401,100),0)</f>
        <v/>
      </c>
      <c r="CY401">
        <f>IFERROR(INDEX(PP_Grid[#Data],$DD401,101),0)</f>
        <v/>
      </c>
      <c r="CZ401">
        <f>IFERROR(INDEX(PP_Grid[#Data],$DD401,102),0)</f>
        <v/>
      </c>
      <c r="DA401">
        <f>IFERROR(INDEX(PP_Grid[#Data],$DD401,103),0)</f>
        <v/>
      </c>
      <c r="DB401">
        <f>IFERROR(INDEX(PP_Grid[#Data],$DD401,104),0)</f>
        <v/>
      </c>
      <c r="DC401">
        <f>IFERROR(INDEX(PP_Grid[#Data],$DD401,105),0)</f>
        <v/>
      </c>
      <c r="DD401" s="7">
        <f>IFERROR(MATCH($B401,PP_Grid[Intermediate],0),99999)</f>
        <v/>
      </c>
    </row>
    <row r="402">
      <c r="B402" t="inlineStr">
        <is>
          <t>使用量(kg)</t>
        </is>
      </c>
      <c r="C402">
        <f>SUMIFS(M_BOM[RM_Qty_Per_Batch],M_BOM[Intermediate],$B401,M_BOM[Part Name],$A340)</f>
        <v/>
      </c>
      <c r="D402">
        <f>$C402*D401</f>
        <v/>
      </c>
      <c r="E402">
        <f>$C402*E401</f>
        <v/>
      </c>
      <c r="F402">
        <f>$C402*F401</f>
        <v/>
      </c>
      <c r="G402">
        <f>$C402*G401</f>
        <v/>
      </c>
      <c r="H402">
        <f>$C402*H401</f>
        <v/>
      </c>
      <c r="I402">
        <f>$C402*I401</f>
        <v/>
      </c>
      <c r="J402">
        <f>$C402*J401</f>
        <v/>
      </c>
      <c r="K402">
        <f>$C402*K401</f>
        <v/>
      </c>
      <c r="L402">
        <f>$C402*L401</f>
        <v/>
      </c>
      <c r="M402">
        <f>$C402*M401</f>
        <v/>
      </c>
      <c r="N402">
        <f>$C402*N401</f>
        <v/>
      </c>
      <c r="O402">
        <f>$C402*O401</f>
        <v/>
      </c>
      <c r="P402">
        <f>$C402*P401</f>
        <v/>
      </c>
      <c r="Q402">
        <f>$C402*Q401</f>
        <v/>
      </c>
      <c r="R402">
        <f>$C402*R401</f>
        <v/>
      </c>
      <c r="S402">
        <f>$C402*S401</f>
        <v/>
      </c>
      <c r="T402">
        <f>$C402*T401</f>
        <v/>
      </c>
      <c r="U402">
        <f>$C402*U401</f>
        <v/>
      </c>
      <c r="V402">
        <f>$C402*V401</f>
        <v/>
      </c>
      <c r="W402">
        <f>$C402*W401</f>
        <v/>
      </c>
      <c r="X402">
        <f>$C402*X401</f>
        <v/>
      </c>
      <c r="Y402">
        <f>$C402*Y401</f>
        <v/>
      </c>
      <c r="Z402">
        <f>$C402*Z401</f>
        <v/>
      </c>
      <c r="AA402">
        <f>$C402*AA401</f>
        <v/>
      </c>
      <c r="AB402">
        <f>$C402*AB401</f>
        <v/>
      </c>
      <c r="AC402">
        <f>$C402*AC401</f>
        <v/>
      </c>
      <c r="AD402">
        <f>$C402*AD401</f>
        <v/>
      </c>
      <c r="AE402">
        <f>$C402*AE401</f>
        <v/>
      </c>
      <c r="AF402">
        <f>$C402*AF401</f>
        <v/>
      </c>
      <c r="AG402">
        <f>$C402*AG401</f>
        <v/>
      </c>
      <c r="AH402">
        <f>$C402*AH401</f>
        <v/>
      </c>
      <c r="AI402">
        <f>$C402*AI401</f>
        <v/>
      </c>
      <c r="AJ402">
        <f>$C402*AJ401</f>
        <v/>
      </c>
      <c r="AK402">
        <f>$C402*AK401</f>
        <v/>
      </c>
      <c r="AL402">
        <f>$C402*AL401</f>
        <v/>
      </c>
      <c r="AM402">
        <f>$C402*AM401</f>
        <v/>
      </c>
      <c r="AN402">
        <f>$C402*AN401</f>
        <v/>
      </c>
      <c r="AO402">
        <f>$C402*AO401</f>
        <v/>
      </c>
      <c r="AP402">
        <f>$C402*AP401</f>
        <v/>
      </c>
      <c r="AQ402">
        <f>$C402*AQ401</f>
        <v/>
      </c>
      <c r="AR402">
        <f>$C402*AR401</f>
        <v/>
      </c>
      <c r="AS402">
        <f>$C402*AS401</f>
        <v/>
      </c>
      <c r="AT402">
        <f>$C402*AT401</f>
        <v/>
      </c>
      <c r="AU402">
        <f>$C402*AU401</f>
        <v/>
      </c>
      <c r="AV402">
        <f>$C402*AV401</f>
        <v/>
      </c>
      <c r="AW402">
        <f>$C402*AW401</f>
        <v/>
      </c>
      <c r="AX402">
        <f>$C402*AX401</f>
        <v/>
      </c>
      <c r="AY402">
        <f>$C402*AY401</f>
        <v/>
      </c>
      <c r="AZ402">
        <f>$C402*AZ401</f>
        <v/>
      </c>
      <c r="BA402">
        <f>$C402*BA401</f>
        <v/>
      </c>
      <c r="BB402">
        <f>$C402*BB401</f>
        <v/>
      </c>
      <c r="BC402">
        <f>$C402*BC401</f>
        <v/>
      </c>
      <c r="BD402">
        <f>$C402*BD401</f>
        <v/>
      </c>
      <c r="BE402">
        <f>$C402*BE401</f>
        <v/>
      </c>
      <c r="BF402">
        <f>$C402*BF401</f>
        <v/>
      </c>
      <c r="BG402">
        <f>$C402*BG401</f>
        <v/>
      </c>
      <c r="BH402">
        <f>$C402*BH401</f>
        <v/>
      </c>
      <c r="BI402">
        <f>$C402*BI401</f>
        <v/>
      </c>
      <c r="BJ402">
        <f>$C402*BJ401</f>
        <v/>
      </c>
      <c r="BK402">
        <f>$C402*BK401</f>
        <v/>
      </c>
      <c r="BL402">
        <f>$C402*BL401</f>
        <v/>
      </c>
      <c r="BM402">
        <f>$C402*BM401</f>
        <v/>
      </c>
      <c r="BN402">
        <f>$C402*BN401</f>
        <v/>
      </c>
      <c r="BO402">
        <f>$C402*BO401</f>
        <v/>
      </c>
      <c r="BP402">
        <f>$C402*BP401</f>
        <v/>
      </c>
      <c r="BQ402">
        <f>$C402*BQ401</f>
        <v/>
      </c>
      <c r="BR402">
        <f>$C402*BR401</f>
        <v/>
      </c>
      <c r="BS402">
        <f>$C402*BS401</f>
        <v/>
      </c>
      <c r="BT402">
        <f>$C402*BT401</f>
        <v/>
      </c>
      <c r="BU402">
        <f>$C402*BU401</f>
        <v/>
      </c>
      <c r="BV402">
        <f>$C402*BV401</f>
        <v/>
      </c>
      <c r="BW402">
        <f>$C402*BW401</f>
        <v/>
      </c>
      <c r="BX402">
        <f>$C402*BX401</f>
        <v/>
      </c>
      <c r="BY402">
        <f>$C402*BY401</f>
        <v/>
      </c>
      <c r="BZ402">
        <f>$C402*BZ401</f>
        <v/>
      </c>
      <c r="CA402">
        <f>$C402*CA401</f>
        <v/>
      </c>
      <c r="CB402">
        <f>$C402*CB401</f>
        <v/>
      </c>
      <c r="CC402">
        <f>$C402*CC401</f>
        <v/>
      </c>
      <c r="CD402">
        <f>$C402*CD401</f>
        <v/>
      </c>
      <c r="CE402">
        <f>$C402*CE401</f>
        <v/>
      </c>
      <c r="CF402">
        <f>$C402*CF401</f>
        <v/>
      </c>
      <c r="CG402">
        <f>$C402*CG401</f>
        <v/>
      </c>
      <c r="CH402">
        <f>$C402*CH401</f>
        <v/>
      </c>
      <c r="CI402">
        <f>$C402*CI401</f>
        <v/>
      </c>
      <c r="CJ402">
        <f>$C402*CJ401</f>
        <v/>
      </c>
      <c r="CK402">
        <f>$C402*CK401</f>
        <v/>
      </c>
      <c r="CL402">
        <f>$C402*CL401</f>
        <v/>
      </c>
      <c r="CM402">
        <f>$C402*CM401</f>
        <v/>
      </c>
      <c r="CN402">
        <f>$C402*CN401</f>
        <v/>
      </c>
      <c r="CO402">
        <f>$C402*CO401</f>
        <v/>
      </c>
      <c r="CP402">
        <f>$C402*CP401</f>
        <v/>
      </c>
      <c r="CQ402">
        <f>$C402*CQ401</f>
        <v/>
      </c>
      <c r="CR402">
        <f>$C402*CR401</f>
        <v/>
      </c>
      <c r="CS402">
        <f>$C402*CS401</f>
        <v/>
      </c>
      <c r="CT402">
        <f>$C402*CT401</f>
        <v/>
      </c>
      <c r="CU402">
        <f>$C402*CU401</f>
        <v/>
      </c>
      <c r="CV402">
        <f>$C402*CV401</f>
        <v/>
      </c>
      <c r="CW402">
        <f>$C402*CW401</f>
        <v/>
      </c>
      <c r="CX402">
        <f>$C402*CX401</f>
        <v/>
      </c>
      <c r="CY402">
        <f>$C402*CY401</f>
        <v/>
      </c>
      <c r="CZ402">
        <f>$C402*CZ401</f>
        <v/>
      </c>
      <c r="DA402">
        <f>$C402*DA401</f>
        <v/>
      </c>
      <c r="DB402">
        <f>$C402*DB401</f>
        <v/>
      </c>
      <c r="DC402">
        <f>$C402*DC401</f>
        <v/>
      </c>
    </row>
    <row r="403">
      <c r="B403" t="inlineStr">
        <is>
          <t>VSP-601</t>
        </is>
      </c>
      <c r="C403" t="inlineStr">
        <is>
          <t>No. of batches</t>
        </is>
      </c>
      <c r="D403">
        <f>IFERROR(INDEX(PP_Grid[#Data],$DD403,2),0)</f>
        <v/>
      </c>
      <c r="E403">
        <f>IFERROR(INDEX(PP_Grid[#Data],$DD403,3),0)</f>
        <v/>
      </c>
      <c r="F403">
        <f>IFERROR(INDEX(PP_Grid[#Data],$DD403,4),0)</f>
        <v/>
      </c>
      <c r="G403">
        <f>IFERROR(INDEX(PP_Grid[#Data],$DD403,5),0)</f>
        <v/>
      </c>
      <c r="H403">
        <f>IFERROR(INDEX(PP_Grid[#Data],$DD403,6),0)</f>
        <v/>
      </c>
      <c r="I403">
        <f>IFERROR(INDEX(PP_Grid[#Data],$DD403,7),0)</f>
        <v/>
      </c>
      <c r="J403">
        <f>IFERROR(INDEX(PP_Grid[#Data],$DD403,8),0)</f>
        <v/>
      </c>
      <c r="K403">
        <f>IFERROR(INDEX(PP_Grid[#Data],$DD403,9),0)</f>
        <v/>
      </c>
      <c r="L403">
        <f>IFERROR(INDEX(PP_Grid[#Data],$DD403,10),0)</f>
        <v/>
      </c>
      <c r="M403">
        <f>IFERROR(INDEX(PP_Grid[#Data],$DD403,11),0)</f>
        <v/>
      </c>
      <c r="N403">
        <f>IFERROR(INDEX(PP_Grid[#Data],$DD403,12),0)</f>
        <v/>
      </c>
      <c r="O403">
        <f>IFERROR(INDEX(PP_Grid[#Data],$DD403,13),0)</f>
        <v/>
      </c>
      <c r="P403">
        <f>IFERROR(INDEX(PP_Grid[#Data],$DD403,14),0)</f>
        <v/>
      </c>
      <c r="Q403">
        <f>IFERROR(INDEX(PP_Grid[#Data],$DD403,15),0)</f>
        <v/>
      </c>
      <c r="R403">
        <f>IFERROR(INDEX(PP_Grid[#Data],$DD403,16),0)</f>
        <v/>
      </c>
      <c r="S403">
        <f>IFERROR(INDEX(PP_Grid[#Data],$DD403,17),0)</f>
        <v/>
      </c>
      <c r="T403">
        <f>IFERROR(INDEX(PP_Grid[#Data],$DD403,18),0)</f>
        <v/>
      </c>
      <c r="U403">
        <f>IFERROR(INDEX(PP_Grid[#Data],$DD403,19),0)</f>
        <v/>
      </c>
      <c r="V403">
        <f>IFERROR(INDEX(PP_Grid[#Data],$DD403,20),0)</f>
        <v/>
      </c>
      <c r="W403">
        <f>IFERROR(INDEX(PP_Grid[#Data],$DD403,21),0)</f>
        <v/>
      </c>
      <c r="X403">
        <f>IFERROR(INDEX(PP_Grid[#Data],$DD403,22),0)</f>
        <v/>
      </c>
      <c r="Y403">
        <f>IFERROR(INDEX(PP_Grid[#Data],$DD403,23),0)</f>
        <v/>
      </c>
      <c r="Z403">
        <f>IFERROR(INDEX(PP_Grid[#Data],$DD403,24),0)</f>
        <v/>
      </c>
      <c r="AA403">
        <f>IFERROR(INDEX(PP_Grid[#Data],$DD403,25),0)</f>
        <v/>
      </c>
      <c r="AB403">
        <f>IFERROR(INDEX(PP_Grid[#Data],$DD403,26),0)</f>
        <v/>
      </c>
      <c r="AC403">
        <f>IFERROR(INDEX(PP_Grid[#Data],$DD403,27),0)</f>
        <v/>
      </c>
      <c r="AD403">
        <f>IFERROR(INDEX(PP_Grid[#Data],$DD403,28),0)</f>
        <v/>
      </c>
      <c r="AE403">
        <f>IFERROR(INDEX(PP_Grid[#Data],$DD403,29),0)</f>
        <v/>
      </c>
      <c r="AF403">
        <f>IFERROR(INDEX(PP_Grid[#Data],$DD403,30),0)</f>
        <v/>
      </c>
      <c r="AG403">
        <f>IFERROR(INDEX(PP_Grid[#Data],$DD403,31),0)</f>
        <v/>
      </c>
      <c r="AH403">
        <f>IFERROR(INDEX(PP_Grid[#Data],$DD403,32),0)</f>
        <v/>
      </c>
      <c r="AI403">
        <f>IFERROR(INDEX(PP_Grid[#Data],$DD403,33),0)</f>
        <v/>
      </c>
      <c r="AJ403">
        <f>IFERROR(INDEX(PP_Grid[#Data],$DD403,34),0)</f>
        <v/>
      </c>
      <c r="AK403">
        <f>IFERROR(INDEX(PP_Grid[#Data],$DD403,35),0)</f>
        <v/>
      </c>
      <c r="AL403">
        <f>IFERROR(INDEX(PP_Grid[#Data],$DD403,36),0)</f>
        <v/>
      </c>
      <c r="AM403">
        <f>IFERROR(INDEX(PP_Grid[#Data],$DD403,37),0)</f>
        <v/>
      </c>
      <c r="AN403">
        <f>IFERROR(INDEX(PP_Grid[#Data],$DD403,38),0)</f>
        <v/>
      </c>
      <c r="AO403">
        <f>IFERROR(INDEX(PP_Grid[#Data],$DD403,39),0)</f>
        <v/>
      </c>
      <c r="AP403">
        <f>IFERROR(INDEX(PP_Grid[#Data],$DD403,40),0)</f>
        <v/>
      </c>
      <c r="AQ403">
        <f>IFERROR(INDEX(PP_Grid[#Data],$DD403,41),0)</f>
        <v/>
      </c>
      <c r="AR403">
        <f>IFERROR(INDEX(PP_Grid[#Data],$DD403,42),0)</f>
        <v/>
      </c>
      <c r="AS403">
        <f>IFERROR(INDEX(PP_Grid[#Data],$DD403,43),0)</f>
        <v/>
      </c>
      <c r="AT403">
        <f>IFERROR(INDEX(PP_Grid[#Data],$DD403,44),0)</f>
        <v/>
      </c>
      <c r="AU403">
        <f>IFERROR(INDEX(PP_Grid[#Data],$DD403,45),0)</f>
        <v/>
      </c>
      <c r="AV403">
        <f>IFERROR(INDEX(PP_Grid[#Data],$DD403,46),0)</f>
        <v/>
      </c>
      <c r="AW403">
        <f>IFERROR(INDEX(PP_Grid[#Data],$DD403,47),0)</f>
        <v/>
      </c>
      <c r="AX403">
        <f>IFERROR(INDEX(PP_Grid[#Data],$DD403,48),0)</f>
        <v/>
      </c>
      <c r="AY403">
        <f>IFERROR(INDEX(PP_Grid[#Data],$DD403,49),0)</f>
        <v/>
      </c>
      <c r="AZ403">
        <f>IFERROR(INDEX(PP_Grid[#Data],$DD403,50),0)</f>
        <v/>
      </c>
      <c r="BA403">
        <f>IFERROR(INDEX(PP_Grid[#Data],$DD403,51),0)</f>
        <v/>
      </c>
      <c r="BB403">
        <f>IFERROR(INDEX(PP_Grid[#Data],$DD403,52),0)</f>
        <v/>
      </c>
      <c r="BC403">
        <f>IFERROR(INDEX(PP_Grid[#Data],$DD403,53),0)</f>
        <v/>
      </c>
      <c r="BD403">
        <f>IFERROR(INDEX(PP_Grid[#Data],$DD403,54),0)</f>
        <v/>
      </c>
      <c r="BE403">
        <f>IFERROR(INDEX(PP_Grid[#Data],$DD403,55),0)</f>
        <v/>
      </c>
      <c r="BF403">
        <f>IFERROR(INDEX(PP_Grid[#Data],$DD403,56),0)</f>
        <v/>
      </c>
      <c r="BG403">
        <f>IFERROR(INDEX(PP_Grid[#Data],$DD403,57),0)</f>
        <v/>
      </c>
      <c r="BH403">
        <f>IFERROR(INDEX(PP_Grid[#Data],$DD403,58),0)</f>
        <v/>
      </c>
      <c r="BI403">
        <f>IFERROR(INDEX(PP_Grid[#Data],$DD403,59),0)</f>
        <v/>
      </c>
      <c r="BJ403">
        <f>IFERROR(INDEX(PP_Grid[#Data],$DD403,60),0)</f>
        <v/>
      </c>
      <c r="BK403">
        <f>IFERROR(INDEX(PP_Grid[#Data],$DD403,61),0)</f>
        <v/>
      </c>
      <c r="BL403">
        <f>IFERROR(INDEX(PP_Grid[#Data],$DD403,62),0)</f>
        <v/>
      </c>
      <c r="BM403">
        <f>IFERROR(INDEX(PP_Grid[#Data],$DD403,63),0)</f>
        <v/>
      </c>
      <c r="BN403">
        <f>IFERROR(INDEX(PP_Grid[#Data],$DD403,64),0)</f>
        <v/>
      </c>
      <c r="BO403">
        <f>IFERROR(INDEX(PP_Grid[#Data],$DD403,65),0)</f>
        <v/>
      </c>
      <c r="BP403">
        <f>IFERROR(INDEX(PP_Grid[#Data],$DD403,66),0)</f>
        <v/>
      </c>
      <c r="BQ403">
        <f>IFERROR(INDEX(PP_Grid[#Data],$DD403,67),0)</f>
        <v/>
      </c>
      <c r="BR403">
        <f>IFERROR(INDEX(PP_Grid[#Data],$DD403,68),0)</f>
        <v/>
      </c>
      <c r="BS403">
        <f>IFERROR(INDEX(PP_Grid[#Data],$DD403,69),0)</f>
        <v/>
      </c>
      <c r="BT403">
        <f>IFERROR(INDEX(PP_Grid[#Data],$DD403,70),0)</f>
        <v/>
      </c>
      <c r="BU403">
        <f>IFERROR(INDEX(PP_Grid[#Data],$DD403,71),0)</f>
        <v/>
      </c>
      <c r="BV403">
        <f>IFERROR(INDEX(PP_Grid[#Data],$DD403,72),0)</f>
        <v/>
      </c>
      <c r="BW403">
        <f>IFERROR(INDEX(PP_Grid[#Data],$DD403,73),0)</f>
        <v/>
      </c>
      <c r="BX403">
        <f>IFERROR(INDEX(PP_Grid[#Data],$DD403,74),0)</f>
        <v/>
      </c>
      <c r="BY403">
        <f>IFERROR(INDEX(PP_Grid[#Data],$DD403,75),0)</f>
        <v/>
      </c>
      <c r="BZ403">
        <f>IFERROR(INDEX(PP_Grid[#Data],$DD403,76),0)</f>
        <v/>
      </c>
      <c r="CA403">
        <f>IFERROR(INDEX(PP_Grid[#Data],$DD403,77),0)</f>
        <v/>
      </c>
      <c r="CB403">
        <f>IFERROR(INDEX(PP_Grid[#Data],$DD403,78),0)</f>
        <v/>
      </c>
      <c r="CC403">
        <f>IFERROR(INDEX(PP_Grid[#Data],$DD403,79),0)</f>
        <v/>
      </c>
      <c r="CD403">
        <f>IFERROR(INDEX(PP_Grid[#Data],$DD403,80),0)</f>
        <v/>
      </c>
      <c r="CE403">
        <f>IFERROR(INDEX(PP_Grid[#Data],$DD403,81),0)</f>
        <v/>
      </c>
      <c r="CF403">
        <f>IFERROR(INDEX(PP_Grid[#Data],$DD403,82),0)</f>
        <v/>
      </c>
      <c r="CG403">
        <f>IFERROR(INDEX(PP_Grid[#Data],$DD403,83),0)</f>
        <v/>
      </c>
      <c r="CH403">
        <f>IFERROR(INDEX(PP_Grid[#Data],$DD403,84),0)</f>
        <v/>
      </c>
      <c r="CI403">
        <f>IFERROR(INDEX(PP_Grid[#Data],$DD403,85),0)</f>
        <v/>
      </c>
      <c r="CJ403">
        <f>IFERROR(INDEX(PP_Grid[#Data],$DD403,86),0)</f>
        <v/>
      </c>
      <c r="CK403">
        <f>IFERROR(INDEX(PP_Grid[#Data],$DD403,87),0)</f>
        <v/>
      </c>
      <c r="CL403">
        <f>IFERROR(INDEX(PP_Grid[#Data],$DD403,88),0)</f>
        <v/>
      </c>
      <c r="CM403">
        <f>IFERROR(INDEX(PP_Grid[#Data],$DD403,89),0)</f>
        <v/>
      </c>
      <c r="CN403">
        <f>IFERROR(INDEX(PP_Grid[#Data],$DD403,90),0)</f>
        <v/>
      </c>
      <c r="CO403">
        <f>IFERROR(INDEX(PP_Grid[#Data],$DD403,91),0)</f>
        <v/>
      </c>
      <c r="CP403">
        <f>IFERROR(INDEX(PP_Grid[#Data],$DD403,92),0)</f>
        <v/>
      </c>
      <c r="CQ403">
        <f>IFERROR(INDEX(PP_Grid[#Data],$DD403,93),0)</f>
        <v/>
      </c>
      <c r="CR403">
        <f>IFERROR(INDEX(PP_Grid[#Data],$DD403,94),0)</f>
        <v/>
      </c>
      <c r="CS403">
        <f>IFERROR(INDEX(PP_Grid[#Data],$DD403,95),0)</f>
        <v/>
      </c>
      <c r="CT403">
        <f>IFERROR(INDEX(PP_Grid[#Data],$DD403,96),0)</f>
        <v/>
      </c>
      <c r="CU403">
        <f>IFERROR(INDEX(PP_Grid[#Data],$DD403,97),0)</f>
        <v/>
      </c>
      <c r="CV403">
        <f>IFERROR(INDEX(PP_Grid[#Data],$DD403,98),0)</f>
        <v/>
      </c>
      <c r="CW403">
        <f>IFERROR(INDEX(PP_Grid[#Data],$DD403,99),0)</f>
        <v/>
      </c>
      <c r="CX403">
        <f>IFERROR(INDEX(PP_Grid[#Data],$DD403,100),0)</f>
        <v/>
      </c>
      <c r="CY403">
        <f>IFERROR(INDEX(PP_Grid[#Data],$DD403,101),0)</f>
        <v/>
      </c>
      <c r="CZ403">
        <f>IFERROR(INDEX(PP_Grid[#Data],$DD403,102),0)</f>
        <v/>
      </c>
      <c r="DA403">
        <f>IFERROR(INDEX(PP_Grid[#Data],$DD403,103),0)</f>
        <v/>
      </c>
      <c r="DB403">
        <f>IFERROR(INDEX(PP_Grid[#Data],$DD403,104),0)</f>
        <v/>
      </c>
      <c r="DC403">
        <f>IFERROR(INDEX(PP_Grid[#Data],$DD403,105),0)</f>
        <v/>
      </c>
      <c r="DD403" s="7">
        <f>IFERROR(MATCH($B403,PP_Grid[Intermediate],0),99999)</f>
        <v/>
      </c>
    </row>
    <row r="404">
      <c r="B404" t="inlineStr">
        <is>
          <t>使用量(kg)</t>
        </is>
      </c>
      <c r="C404">
        <f>SUMIFS(M_BOM[RM_Qty_Per_Batch],M_BOM[Intermediate],$B403,M_BOM[Part Name],$A340)</f>
        <v/>
      </c>
      <c r="D404">
        <f>$C404*D403</f>
        <v/>
      </c>
      <c r="E404">
        <f>$C404*E403</f>
        <v/>
      </c>
      <c r="F404">
        <f>$C404*F403</f>
        <v/>
      </c>
      <c r="G404">
        <f>$C404*G403</f>
        <v/>
      </c>
      <c r="H404">
        <f>$C404*H403</f>
        <v/>
      </c>
      <c r="I404">
        <f>$C404*I403</f>
        <v/>
      </c>
      <c r="J404">
        <f>$C404*J403</f>
        <v/>
      </c>
      <c r="K404">
        <f>$C404*K403</f>
        <v/>
      </c>
      <c r="L404">
        <f>$C404*L403</f>
        <v/>
      </c>
      <c r="M404">
        <f>$C404*M403</f>
        <v/>
      </c>
      <c r="N404">
        <f>$C404*N403</f>
        <v/>
      </c>
      <c r="O404">
        <f>$C404*O403</f>
        <v/>
      </c>
      <c r="P404">
        <f>$C404*P403</f>
        <v/>
      </c>
      <c r="Q404">
        <f>$C404*Q403</f>
        <v/>
      </c>
      <c r="R404">
        <f>$C404*R403</f>
        <v/>
      </c>
      <c r="S404">
        <f>$C404*S403</f>
        <v/>
      </c>
      <c r="T404">
        <f>$C404*T403</f>
        <v/>
      </c>
      <c r="U404">
        <f>$C404*U403</f>
        <v/>
      </c>
      <c r="V404">
        <f>$C404*V403</f>
        <v/>
      </c>
      <c r="W404">
        <f>$C404*W403</f>
        <v/>
      </c>
      <c r="X404">
        <f>$C404*X403</f>
        <v/>
      </c>
      <c r="Y404">
        <f>$C404*Y403</f>
        <v/>
      </c>
      <c r="Z404">
        <f>$C404*Z403</f>
        <v/>
      </c>
      <c r="AA404">
        <f>$C404*AA403</f>
        <v/>
      </c>
      <c r="AB404">
        <f>$C404*AB403</f>
        <v/>
      </c>
      <c r="AC404">
        <f>$C404*AC403</f>
        <v/>
      </c>
      <c r="AD404">
        <f>$C404*AD403</f>
        <v/>
      </c>
      <c r="AE404">
        <f>$C404*AE403</f>
        <v/>
      </c>
      <c r="AF404">
        <f>$C404*AF403</f>
        <v/>
      </c>
      <c r="AG404">
        <f>$C404*AG403</f>
        <v/>
      </c>
      <c r="AH404">
        <f>$C404*AH403</f>
        <v/>
      </c>
      <c r="AI404">
        <f>$C404*AI403</f>
        <v/>
      </c>
      <c r="AJ404">
        <f>$C404*AJ403</f>
        <v/>
      </c>
      <c r="AK404">
        <f>$C404*AK403</f>
        <v/>
      </c>
      <c r="AL404">
        <f>$C404*AL403</f>
        <v/>
      </c>
      <c r="AM404">
        <f>$C404*AM403</f>
        <v/>
      </c>
      <c r="AN404">
        <f>$C404*AN403</f>
        <v/>
      </c>
      <c r="AO404">
        <f>$C404*AO403</f>
        <v/>
      </c>
      <c r="AP404">
        <f>$C404*AP403</f>
        <v/>
      </c>
      <c r="AQ404">
        <f>$C404*AQ403</f>
        <v/>
      </c>
      <c r="AR404">
        <f>$C404*AR403</f>
        <v/>
      </c>
      <c r="AS404">
        <f>$C404*AS403</f>
        <v/>
      </c>
      <c r="AT404">
        <f>$C404*AT403</f>
        <v/>
      </c>
      <c r="AU404">
        <f>$C404*AU403</f>
        <v/>
      </c>
      <c r="AV404">
        <f>$C404*AV403</f>
        <v/>
      </c>
      <c r="AW404">
        <f>$C404*AW403</f>
        <v/>
      </c>
      <c r="AX404">
        <f>$C404*AX403</f>
        <v/>
      </c>
      <c r="AY404">
        <f>$C404*AY403</f>
        <v/>
      </c>
      <c r="AZ404">
        <f>$C404*AZ403</f>
        <v/>
      </c>
      <c r="BA404">
        <f>$C404*BA403</f>
        <v/>
      </c>
      <c r="BB404">
        <f>$C404*BB403</f>
        <v/>
      </c>
      <c r="BC404">
        <f>$C404*BC403</f>
        <v/>
      </c>
      <c r="BD404">
        <f>$C404*BD403</f>
        <v/>
      </c>
      <c r="BE404">
        <f>$C404*BE403</f>
        <v/>
      </c>
      <c r="BF404">
        <f>$C404*BF403</f>
        <v/>
      </c>
      <c r="BG404">
        <f>$C404*BG403</f>
        <v/>
      </c>
      <c r="BH404">
        <f>$C404*BH403</f>
        <v/>
      </c>
      <c r="BI404">
        <f>$C404*BI403</f>
        <v/>
      </c>
      <c r="BJ404">
        <f>$C404*BJ403</f>
        <v/>
      </c>
      <c r="BK404">
        <f>$C404*BK403</f>
        <v/>
      </c>
      <c r="BL404">
        <f>$C404*BL403</f>
        <v/>
      </c>
      <c r="BM404">
        <f>$C404*BM403</f>
        <v/>
      </c>
      <c r="BN404">
        <f>$C404*BN403</f>
        <v/>
      </c>
      <c r="BO404">
        <f>$C404*BO403</f>
        <v/>
      </c>
      <c r="BP404">
        <f>$C404*BP403</f>
        <v/>
      </c>
      <c r="BQ404">
        <f>$C404*BQ403</f>
        <v/>
      </c>
      <c r="BR404">
        <f>$C404*BR403</f>
        <v/>
      </c>
      <c r="BS404">
        <f>$C404*BS403</f>
        <v/>
      </c>
      <c r="BT404">
        <f>$C404*BT403</f>
        <v/>
      </c>
      <c r="BU404">
        <f>$C404*BU403</f>
        <v/>
      </c>
      <c r="BV404">
        <f>$C404*BV403</f>
        <v/>
      </c>
      <c r="BW404">
        <f>$C404*BW403</f>
        <v/>
      </c>
      <c r="BX404">
        <f>$C404*BX403</f>
        <v/>
      </c>
      <c r="BY404">
        <f>$C404*BY403</f>
        <v/>
      </c>
      <c r="BZ404">
        <f>$C404*BZ403</f>
        <v/>
      </c>
      <c r="CA404">
        <f>$C404*CA403</f>
        <v/>
      </c>
      <c r="CB404">
        <f>$C404*CB403</f>
        <v/>
      </c>
      <c r="CC404">
        <f>$C404*CC403</f>
        <v/>
      </c>
      <c r="CD404">
        <f>$C404*CD403</f>
        <v/>
      </c>
      <c r="CE404">
        <f>$C404*CE403</f>
        <v/>
      </c>
      <c r="CF404">
        <f>$C404*CF403</f>
        <v/>
      </c>
      <c r="CG404">
        <f>$C404*CG403</f>
        <v/>
      </c>
      <c r="CH404">
        <f>$C404*CH403</f>
        <v/>
      </c>
      <c r="CI404">
        <f>$C404*CI403</f>
        <v/>
      </c>
      <c r="CJ404">
        <f>$C404*CJ403</f>
        <v/>
      </c>
      <c r="CK404">
        <f>$C404*CK403</f>
        <v/>
      </c>
      <c r="CL404">
        <f>$C404*CL403</f>
        <v/>
      </c>
      <c r="CM404">
        <f>$C404*CM403</f>
        <v/>
      </c>
      <c r="CN404">
        <f>$C404*CN403</f>
        <v/>
      </c>
      <c r="CO404">
        <f>$C404*CO403</f>
        <v/>
      </c>
      <c r="CP404">
        <f>$C404*CP403</f>
        <v/>
      </c>
      <c r="CQ404">
        <f>$C404*CQ403</f>
        <v/>
      </c>
      <c r="CR404">
        <f>$C404*CR403</f>
        <v/>
      </c>
      <c r="CS404">
        <f>$C404*CS403</f>
        <v/>
      </c>
      <c r="CT404">
        <f>$C404*CT403</f>
        <v/>
      </c>
      <c r="CU404">
        <f>$C404*CU403</f>
        <v/>
      </c>
      <c r="CV404">
        <f>$C404*CV403</f>
        <v/>
      </c>
      <c r="CW404">
        <f>$C404*CW403</f>
        <v/>
      </c>
      <c r="CX404">
        <f>$C404*CX403</f>
        <v/>
      </c>
      <c r="CY404">
        <f>$C404*CY403</f>
        <v/>
      </c>
      <c r="CZ404">
        <f>$C404*CZ403</f>
        <v/>
      </c>
      <c r="DA404">
        <f>$C404*DA403</f>
        <v/>
      </c>
      <c r="DB404">
        <f>$C404*DB403</f>
        <v/>
      </c>
      <c r="DC404">
        <f>$C404*DC403</f>
        <v/>
      </c>
    </row>
    <row r="405">
      <c r="B405" t="inlineStr">
        <is>
          <t>VSP-602</t>
        </is>
      </c>
      <c r="C405" t="inlineStr">
        <is>
          <t>No. of batches</t>
        </is>
      </c>
      <c r="D405">
        <f>IFERROR(INDEX(PP_Grid[#Data],$DD405,2),0)</f>
        <v/>
      </c>
      <c r="E405">
        <f>IFERROR(INDEX(PP_Grid[#Data],$DD405,3),0)</f>
        <v/>
      </c>
      <c r="F405">
        <f>IFERROR(INDEX(PP_Grid[#Data],$DD405,4),0)</f>
        <v/>
      </c>
      <c r="G405">
        <f>IFERROR(INDEX(PP_Grid[#Data],$DD405,5),0)</f>
        <v/>
      </c>
      <c r="H405">
        <f>IFERROR(INDEX(PP_Grid[#Data],$DD405,6),0)</f>
        <v/>
      </c>
      <c r="I405">
        <f>IFERROR(INDEX(PP_Grid[#Data],$DD405,7),0)</f>
        <v/>
      </c>
      <c r="J405">
        <f>IFERROR(INDEX(PP_Grid[#Data],$DD405,8),0)</f>
        <v/>
      </c>
      <c r="K405">
        <f>IFERROR(INDEX(PP_Grid[#Data],$DD405,9),0)</f>
        <v/>
      </c>
      <c r="L405">
        <f>IFERROR(INDEX(PP_Grid[#Data],$DD405,10),0)</f>
        <v/>
      </c>
      <c r="M405">
        <f>IFERROR(INDEX(PP_Grid[#Data],$DD405,11),0)</f>
        <v/>
      </c>
      <c r="N405">
        <f>IFERROR(INDEX(PP_Grid[#Data],$DD405,12),0)</f>
        <v/>
      </c>
      <c r="O405">
        <f>IFERROR(INDEX(PP_Grid[#Data],$DD405,13),0)</f>
        <v/>
      </c>
      <c r="P405">
        <f>IFERROR(INDEX(PP_Grid[#Data],$DD405,14),0)</f>
        <v/>
      </c>
      <c r="Q405">
        <f>IFERROR(INDEX(PP_Grid[#Data],$DD405,15),0)</f>
        <v/>
      </c>
      <c r="R405">
        <f>IFERROR(INDEX(PP_Grid[#Data],$DD405,16),0)</f>
        <v/>
      </c>
      <c r="S405">
        <f>IFERROR(INDEX(PP_Grid[#Data],$DD405,17),0)</f>
        <v/>
      </c>
      <c r="T405">
        <f>IFERROR(INDEX(PP_Grid[#Data],$DD405,18),0)</f>
        <v/>
      </c>
      <c r="U405">
        <f>IFERROR(INDEX(PP_Grid[#Data],$DD405,19),0)</f>
        <v/>
      </c>
      <c r="V405">
        <f>IFERROR(INDEX(PP_Grid[#Data],$DD405,20),0)</f>
        <v/>
      </c>
      <c r="W405">
        <f>IFERROR(INDEX(PP_Grid[#Data],$DD405,21),0)</f>
        <v/>
      </c>
      <c r="X405">
        <f>IFERROR(INDEX(PP_Grid[#Data],$DD405,22),0)</f>
        <v/>
      </c>
      <c r="Y405">
        <f>IFERROR(INDEX(PP_Grid[#Data],$DD405,23),0)</f>
        <v/>
      </c>
      <c r="Z405">
        <f>IFERROR(INDEX(PP_Grid[#Data],$DD405,24),0)</f>
        <v/>
      </c>
      <c r="AA405">
        <f>IFERROR(INDEX(PP_Grid[#Data],$DD405,25),0)</f>
        <v/>
      </c>
      <c r="AB405">
        <f>IFERROR(INDEX(PP_Grid[#Data],$DD405,26),0)</f>
        <v/>
      </c>
      <c r="AC405">
        <f>IFERROR(INDEX(PP_Grid[#Data],$DD405,27),0)</f>
        <v/>
      </c>
      <c r="AD405">
        <f>IFERROR(INDEX(PP_Grid[#Data],$DD405,28),0)</f>
        <v/>
      </c>
      <c r="AE405">
        <f>IFERROR(INDEX(PP_Grid[#Data],$DD405,29),0)</f>
        <v/>
      </c>
      <c r="AF405">
        <f>IFERROR(INDEX(PP_Grid[#Data],$DD405,30),0)</f>
        <v/>
      </c>
      <c r="AG405">
        <f>IFERROR(INDEX(PP_Grid[#Data],$DD405,31),0)</f>
        <v/>
      </c>
      <c r="AH405">
        <f>IFERROR(INDEX(PP_Grid[#Data],$DD405,32),0)</f>
        <v/>
      </c>
      <c r="AI405">
        <f>IFERROR(INDEX(PP_Grid[#Data],$DD405,33),0)</f>
        <v/>
      </c>
      <c r="AJ405">
        <f>IFERROR(INDEX(PP_Grid[#Data],$DD405,34),0)</f>
        <v/>
      </c>
      <c r="AK405">
        <f>IFERROR(INDEX(PP_Grid[#Data],$DD405,35),0)</f>
        <v/>
      </c>
      <c r="AL405">
        <f>IFERROR(INDEX(PP_Grid[#Data],$DD405,36),0)</f>
        <v/>
      </c>
      <c r="AM405">
        <f>IFERROR(INDEX(PP_Grid[#Data],$DD405,37),0)</f>
        <v/>
      </c>
      <c r="AN405">
        <f>IFERROR(INDEX(PP_Grid[#Data],$DD405,38),0)</f>
        <v/>
      </c>
      <c r="AO405">
        <f>IFERROR(INDEX(PP_Grid[#Data],$DD405,39),0)</f>
        <v/>
      </c>
      <c r="AP405">
        <f>IFERROR(INDEX(PP_Grid[#Data],$DD405,40),0)</f>
        <v/>
      </c>
      <c r="AQ405">
        <f>IFERROR(INDEX(PP_Grid[#Data],$DD405,41),0)</f>
        <v/>
      </c>
      <c r="AR405">
        <f>IFERROR(INDEX(PP_Grid[#Data],$DD405,42),0)</f>
        <v/>
      </c>
      <c r="AS405">
        <f>IFERROR(INDEX(PP_Grid[#Data],$DD405,43),0)</f>
        <v/>
      </c>
      <c r="AT405">
        <f>IFERROR(INDEX(PP_Grid[#Data],$DD405,44),0)</f>
        <v/>
      </c>
      <c r="AU405">
        <f>IFERROR(INDEX(PP_Grid[#Data],$DD405,45),0)</f>
        <v/>
      </c>
      <c r="AV405">
        <f>IFERROR(INDEX(PP_Grid[#Data],$DD405,46),0)</f>
        <v/>
      </c>
      <c r="AW405">
        <f>IFERROR(INDEX(PP_Grid[#Data],$DD405,47),0)</f>
        <v/>
      </c>
      <c r="AX405">
        <f>IFERROR(INDEX(PP_Grid[#Data],$DD405,48),0)</f>
        <v/>
      </c>
      <c r="AY405">
        <f>IFERROR(INDEX(PP_Grid[#Data],$DD405,49),0)</f>
        <v/>
      </c>
      <c r="AZ405">
        <f>IFERROR(INDEX(PP_Grid[#Data],$DD405,50),0)</f>
        <v/>
      </c>
      <c r="BA405">
        <f>IFERROR(INDEX(PP_Grid[#Data],$DD405,51),0)</f>
        <v/>
      </c>
      <c r="BB405">
        <f>IFERROR(INDEX(PP_Grid[#Data],$DD405,52),0)</f>
        <v/>
      </c>
      <c r="BC405">
        <f>IFERROR(INDEX(PP_Grid[#Data],$DD405,53),0)</f>
        <v/>
      </c>
      <c r="BD405">
        <f>IFERROR(INDEX(PP_Grid[#Data],$DD405,54),0)</f>
        <v/>
      </c>
      <c r="BE405">
        <f>IFERROR(INDEX(PP_Grid[#Data],$DD405,55),0)</f>
        <v/>
      </c>
      <c r="BF405">
        <f>IFERROR(INDEX(PP_Grid[#Data],$DD405,56),0)</f>
        <v/>
      </c>
      <c r="BG405">
        <f>IFERROR(INDEX(PP_Grid[#Data],$DD405,57),0)</f>
        <v/>
      </c>
      <c r="BH405">
        <f>IFERROR(INDEX(PP_Grid[#Data],$DD405,58),0)</f>
        <v/>
      </c>
      <c r="BI405">
        <f>IFERROR(INDEX(PP_Grid[#Data],$DD405,59),0)</f>
        <v/>
      </c>
      <c r="BJ405">
        <f>IFERROR(INDEX(PP_Grid[#Data],$DD405,60),0)</f>
        <v/>
      </c>
      <c r="BK405">
        <f>IFERROR(INDEX(PP_Grid[#Data],$DD405,61),0)</f>
        <v/>
      </c>
      <c r="BL405">
        <f>IFERROR(INDEX(PP_Grid[#Data],$DD405,62),0)</f>
        <v/>
      </c>
      <c r="BM405">
        <f>IFERROR(INDEX(PP_Grid[#Data],$DD405,63),0)</f>
        <v/>
      </c>
      <c r="BN405">
        <f>IFERROR(INDEX(PP_Grid[#Data],$DD405,64),0)</f>
        <v/>
      </c>
      <c r="BO405">
        <f>IFERROR(INDEX(PP_Grid[#Data],$DD405,65),0)</f>
        <v/>
      </c>
      <c r="BP405">
        <f>IFERROR(INDEX(PP_Grid[#Data],$DD405,66),0)</f>
        <v/>
      </c>
      <c r="BQ405">
        <f>IFERROR(INDEX(PP_Grid[#Data],$DD405,67),0)</f>
        <v/>
      </c>
      <c r="BR405">
        <f>IFERROR(INDEX(PP_Grid[#Data],$DD405,68),0)</f>
        <v/>
      </c>
      <c r="BS405">
        <f>IFERROR(INDEX(PP_Grid[#Data],$DD405,69),0)</f>
        <v/>
      </c>
      <c r="BT405">
        <f>IFERROR(INDEX(PP_Grid[#Data],$DD405,70),0)</f>
        <v/>
      </c>
      <c r="BU405">
        <f>IFERROR(INDEX(PP_Grid[#Data],$DD405,71),0)</f>
        <v/>
      </c>
      <c r="BV405">
        <f>IFERROR(INDEX(PP_Grid[#Data],$DD405,72),0)</f>
        <v/>
      </c>
      <c r="BW405">
        <f>IFERROR(INDEX(PP_Grid[#Data],$DD405,73),0)</f>
        <v/>
      </c>
      <c r="BX405">
        <f>IFERROR(INDEX(PP_Grid[#Data],$DD405,74),0)</f>
        <v/>
      </c>
      <c r="BY405">
        <f>IFERROR(INDEX(PP_Grid[#Data],$DD405,75),0)</f>
        <v/>
      </c>
      <c r="BZ405">
        <f>IFERROR(INDEX(PP_Grid[#Data],$DD405,76),0)</f>
        <v/>
      </c>
      <c r="CA405">
        <f>IFERROR(INDEX(PP_Grid[#Data],$DD405,77),0)</f>
        <v/>
      </c>
      <c r="CB405">
        <f>IFERROR(INDEX(PP_Grid[#Data],$DD405,78),0)</f>
        <v/>
      </c>
      <c r="CC405">
        <f>IFERROR(INDEX(PP_Grid[#Data],$DD405,79),0)</f>
        <v/>
      </c>
      <c r="CD405">
        <f>IFERROR(INDEX(PP_Grid[#Data],$DD405,80),0)</f>
        <v/>
      </c>
      <c r="CE405">
        <f>IFERROR(INDEX(PP_Grid[#Data],$DD405,81),0)</f>
        <v/>
      </c>
      <c r="CF405">
        <f>IFERROR(INDEX(PP_Grid[#Data],$DD405,82),0)</f>
        <v/>
      </c>
      <c r="CG405">
        <f>IFERROR(INDEX(PP_Grid[#Data],$DD405,83),0)</f>
        <v/>
      </c>
      <c r="CH405">
        <f>IFERROR(INDEX(PP_Grid[#Data],$DD405,84),0)</f>
        <v/>
      </c>
      <c r="CI405">
        <f>IFERROR(INDEX(PP_Grid[#Data],$DD405,85),0)</f>
        <v/>
      </c>
      <c r="CJ405">
        <f>IFERROR(INDEX(PP_Grid[#Data],$DD405,86),0)</f>
        <v/>
      </c>
      <c r="CK405">
        <f>IFERROR(INDEX(PP_Grid[#Data],$DD405,87),0)</f>
        <v/>
      </c>
      <c r="CL405">
        <f>IFERROR(INDEX(PP_Grid[#Data],$DD405,88),0)</f>
        <v/>
      </c>
      <c r="CM405">
        <f>IFERROR(INDEX(PP_Grid[#Data],$DD405,89),0)</f>
        <v/>
      </c>
      <c r="CN405">
        <f>IFERROR(INDEX(PP_Grid[#Data],$DD405,90),0)</f>
        <v/>
      </c>
      <c r="CO405">
        <f>IFERROR(INDEX(PP_Grid[#Data],$DD405,91),0)</f>
        <v/>
      </c>
      <c r="CP405">
        <f>IFERROR(INDEX(PP_Grid[#Data],$DD405,92),0)</f>
        <v/>
      </c>
      <c r="CQ405">
        <f>IFERROR(INDEX(PP_Grid[#Data],$DD405,93),0)</f>
        <v/>
      </c>
      <c r="CR405">
        <f>IFERROR(INDEX(PP_Grid[#Data],$DD405,94),0)</f>
        <v/>
      </c>
      <c r="CS405">
        <f>IFERROR(INDEX(PP_Grid[#Data],$DD405,95),0)</f>
        <v/>
      </c>
      <c r="CT405">
        <f>IFERROR(INDEX(PP_Grid[#Data],$DD405,96),0)</f>
        <v/>
      </c>
      <c r="CU405">
        <f>IFERROR(INDEX(PP_Grid[#Data],$DD405,97),0)</f>
        <v/>
      </c>
      <c r="CV405">
        <f>IFERROR(INDEX(PP_Grid[#Data],$DD405,98),0)</f>
        <v/>
      </c>
      <c r="CW405">
        <f>IFERROR(INDEX(PP_Grid[#Data],$DD405,99),0)</f>
        <v/>
      </c>
      <c r="CX405">
        <f>IFERROR(INDEX(PP_Grid[#Data],$DD405,100),0)</f>
        <v/>
      </c>
      <c r="CY405">
        <f>IFERROR(INDEX(PP_Grid[#Data],$DD405,101),0)</f>
        <v/>
      </c>
      <c r="CZ405">
        <f>IFERROR(INDEX(PP_Grid[#Data],$DD405,102),0)</f>
        <v/>
      </c>
      <c r="DA405">
        <f>IFERROR(INDEX(PP_Grid[#Data],$DD405,103),0)</f>
        <v/>
      </c>
      <c r="DB405">
        <f>IFERROR(INDEX(PP_Grid[#Data],$DD405,104),0)</f>
        <v/>
      </c>
      <c r="DC405">
        <f>IFERROR(INDEX(PP_Grid[#Data],$DD405,105),0)</f>
        <v/>
      </c>
      <c r="DD405" s="7">
        <f>IFERROR(MATCH($B405,PP_Grid[Intermediate],0),99999)</f>
        <v/>
      </c>
    </row>
    <row r="406">
      <c r="B406" t="inlineStr">
        <is>
          <t>使用量(kg)</t>
        </is>
      </c>
      <c r="C406">
        <f>SUMIFS(M_BOM[RM_Qty_Per_Batch],M_BOM[Intermediate],$B405,M_BOM[Part Name],$A340)</f>
        <v/>
      </c>
      <c r="D406">
        <f>$C406*D405</f>
        <v/>
      </c>
      <c r="E406">
        <f>$C406*E405</f>
        <v/>
      </c>
      <c r="F406">
        <f>$C406*F405</f>
        <v/>
      </c>
      <c r="G406">
        <f>$C406*G405</f>
        <v/>
      </c>
      <c r="H406">
        <f>$C406*H405</f>
        <v/>
      </c>
      <c r="I406">
        <f>$C406*I405</f>
        <v/>
      </c>
      <c r="J406">
        <f>$C406*J405</f>
        <v/>
      </c>
      <c r="K406">
        <f>$C406*K405</f>
        <v/>
      </c>
      <c r="L406">
        <f>$C406*L405</f>
        <v/>
      </c>
      <c r="M406">
        <f>$C406*M405</f>
        <v/>
      </c>
      <c r="N406">
        <f>$C406*N405</f>
        <v/>
      </c>
      <c r="O406">
        <f>$C406*O405</f>
        <v/>
      </c>
      <c r="P406">
        <f>$C406*P405</f>
        <v/>
      </c>
      <c r="Q406">
        <f>$C406*Q405</f>
        <v/>
      </c>
      <c r="R406">
        <f>$C406*R405</f>
        <v/>
      </c>
      <c r="S406">
        <f>$C406*S405</f>
        <v/>
      </c>
      <c r="T406">
        <f>$C406*T405</f>
        <v/>
      </c>
      <c r="U406">
        <f>$C406*U405</f>
        <v/>
      </c>
      <c r="V406">
        <f>$C406*V405</f>
        <v/>
      </c>
      <c r="W406">
        <f>$C406*W405</f>
        <v/>
      </c>
      <c r="X406">
        <f>$C406*X405</f>
        <v/>
      </c>
      <c r="Y406">
        <f>$C406*Y405</f>
        <v/>
      </c>
      <c r="Z406">
        <f>$C406*Z405</f>
        <v/>
      </c>
      <c r="AA406">
        <f>$C406*AA405</f>
        <v/>
      </c>
      <c r="AB406">
        <f>$C406*AB405</f>
        <v/>
      </c>
      <c r="AC406">
        <f>$C406*AC405</f>
        <v/>
      </c>
      <c r="AD406">
        <f>$C406*AD405</f>
        <v/>
      </c>
      <c r="AE406">
        <f>$C406*AE405</f>
        <v/>
      </c>
      <c r="AF406">
        <f>$C406*AF405</f>
        <v/>
      </c>
      <c r="AG406">
        <f>$C406*AG405</f>
        <v/>
      </c>
      <c r="AH406">
        <f>$C406*AH405</f>
        <v/>
      </c>
      <c r="AI406">
        <f>$C406*AI405</f>
        <v/>
      </c>
      <c r="AJ406">
        <f>$C406*AJ405</f>
        <v/>
      </c>
      <c r="AK406">
        <f>$C406*AK405</f>
        <v/>
      </c>
      <c r="AL406">
        <f>$C406*AL405</f>
        <v/>
      </c>
      <c r="AM406">
        <f>$C406*AM405</f>
        <v/>
      </c>
      <c r="AN406">
        <f>$C406*AN405</f>
        <v/>
      </c>
      <c r="AO406">
        <f>$C406*AO405</f>
        <v/>
      </c>
      <c r="AP406">
        <f>$C406*AP405</f>
        <v/>
      </c>
      <c r="AQ406">
        <f>$C406*AQ405</f>
        <v/>
      </c>
      <c r="AR406">
        <f>$C406*AR405</f>
        <v/>
      </c>
      <c r="AS406">
        <f>$C406*AS405</f>
        <v/>
      </c>
      <c r="AT406">
        <f>$C406*AT405</f>
        <v/>
      </c>
      <c r="AU406">
        <f>$C406*AU405</f>
        <v/>
      </c>
      <c r="AV406">
        <f>$C406*AV405</f>
        <v/>
      </c>
      <c r="AW406">
        <f>$C406*AW405</f>
        <v/>
      </c>
      <c r="AX406">
        <f>$C406*AX405</f>
        <v/>
      </c>
      <c r="AY406">
        <f>$C406*AY405</f>
        <v/>
      </c>
      <c r="AZ406">
        <f>$C406*AZ405</f>
        <v/>
      </c>
      <c r="BA406">
        <f>$C406*BA405</f>
        <v/>
      </c>
      <c r="BB406">
        <f>$C406*BB405</f>
        <v/>
      </c>
      <c r="BC406">
        <f>$C406*BC405</f>
        <v/>
      </c>
      <c r="BD406">
        <f>$C406*BD405</f>
        <v/>
      </c>
      <c r="BE406">
        <f>$C406*BE405</f>
        <v/>
      </c>
      <c r="BF406">
        <f>$C406*BF405</f>
        <v/>
      </c>
      <c r="BG406">
        <f>$C406*BG405</f>
        <v/>
      </c>
      <c r="BH406">
        <f>$C406*BH405</f>
        <v/>
      </c>
      <c r="BI406">
        <f>$C406*BI405</f>
        <v/>
      </c>
      <c r="BJ406">
        <f>$C406*BJ405</f>
        <v/>
      </c>
      <c r="BK406">
        <f>$C406*BK405</f>
        <v/>
      </c>
      <c r="BL406">
        <f>$C406*BL405</f>
        <v/>
      </c>
      <c r="BM406">
        <f>$C406*BM405</f>
        <v/>
      </c>
      <c r="BN406">
        <f>$C406*BN405</f>
        <v/>
      </c>
      <c r="BO406">
        <f>$C406*BO405</f>
        <v/>
      </c>
      <c r="BP406">
        <f>$C406*BP405</f>
        <v/>
      </c>
      <c r="BQ406">
        <f>$C406*BQ405</f>
        <v/>
      </c>
      <c r="BR406">
        <f>$C406*BR405</f>
        <v/>
      </c>
      <c r="BS406">
        <f>$C406*BS405</f>
        <v/>
      </c>
      <c r="BT406">
        <f>$C406*BT405</f>
        <v/>
      </c>
      <c r="BU406">
        <f>$C406*BU405</f>
        <v/>
      </c>
      <c r="BV406">
        <f>$C406*BV405</f>
        <v/>
      </c>
      <c r="BW406">
        <f>$C406*BW405</f>
        <v/>
      </c>
      <c r="BX406">
        <f>$C406*BX405</f>
        <v/>
      </c>
      <c r="BY406">
        <f>$C406*BY405</f>
        <v/>
      </c>
      <c r="BZ406">
        <f>$C406*BZ405</f>
        <v/>
      </c>
      <c r="CA406">
        <f>$C406*CA405</f>
        <v/>
      </c>
      <c r="CB406">
        <f>$C406*CB405</f>
        <v/>
      </c>
      <c r="CC406">
        <f>$C406*CC405</f>
        <v/>
      </c>
      <c r="CD406">
        <f>$C406*CD405</f>
        <v/>
      </c>
      <c r="CE406">
        <f>$C406*CE405</f>
        <v/>
      </c>
      <c r="CF406">
        <f>$C406*CF405</f>
        <v/>
      </c>
      <c r="CG406">
        <f>$C406*CG405</f>
        <v/>
      </c>
      <c r="CH406">
        <f>$C406*CH405</f>
        <v/>
      </c>
      <c r="CI406">
        <f>$C406*CI405</f>
        <v/>
      </c>
      <c r="CJ406">
        <f>$C406*CJ405</f>
        <v/>
      </c>
      <c r="CK406">
        <f>$C406*CK405</f>
        <v/>
      </c>
      <c r="CL406">
        <f>$C406*CL405</f>
        <v/>
      </c>
      <c r="CM406">
        <f>$C406*CM405</f>
        <v/>
      </c>
      <c r="CN406">
        <f>$C406*CN405</f>
        <v/>
      </c>
      <c r="CO406">
        <f>$C406*CO405</f>
        <v/>
      </c>
      <c r="CP406">
        <f>$C406*CP405</f>
        <v/>
      </c>
      <c r="CQ406">
        <f>$C406*CQ405</f>
        <v/>
      </c>
      <c r="CR406">
        <f>$C406*CR405</f>
        <v/>
      </c>
      <c r="CS406">
        <f>$C406*CS405</f>
        <v/>
      </c>
      <c r="CT406">
        <f>$C406*CT405</f>
        <v/>
      </c>
      <c r="CU406">
        <f>$C406*CU405</f>
        <v/>
      </c>
      <c r="CV406">
        <f>$C406*CV405</f>
        <v/>
      </c>
      <c r="CW406">
        <f>$C406*CW405</f>
        <v/>
      </c>
      <c r="CX406">
        <f>$C406*CX405</f>
        <v/>
      </c>
      <c r="CY406">
        <f>$C406*CY405</f>
        <v/>
      </c>
      <c r="CZ406">
        <f>$C406*CZ405</f>
        <v/>
      </c>
      <c r="DA406">
        <f>$C406*DA405</f>
        <v/>
      </c>
      <c r="DB406">
        <f>$C406*DB405</f>
        <v/>
      </c>
      <c r="DC406">
        <f>$C406*DC405</f>
        <v/>
      </c>
    </row>
    <row r="407">
      <c r="B407" t="inlineStr">
        <is>
          <t>VSP-603</t>
        </is>
      </c>
      <c r="C407" t="inlineStr">
        <is>
          <t>No. of batches</t>
        </is>
      </c>
      <c r="D407">
        <f>IFERROR(INDEX(PP_Grid[#Data],$DD407,2),0)</f>
        <v/>
      </c>
      <c r="E407">
        <f>IFERROR(INDEX(PP_Grid[#Data],$DD407,3),0)</f>
        <v/>
      </c>
      <c r="F407">
        <f>IFERROR(INDEX(PP_Grid[#Data],$DD407,4),0)</f>
        <v/>
      </c>
      <c r="G407">
        <f>IFERROR(INDEX(PP_Grid[#Data],$DD407,5),0)</f>
        <v/>
      </c>
      <c r="H407">
        <f>IFERROR(INDEX(PP_Grid[#Data],$DD407,6),0)</f>
        <v/>
      </c>
      <c r="I407">
        <f>IFERROR(INDEX(PP_Grid[#Data],$DD407,7),0)</f>
        <v/>
      </c>
      <c r="J407">
        <f>IFERROR(INDEX(PP_Grid[#Data],$DD407,8),0)</f>
        <v/>
      </c>
      <c r="K407">
        <f>IFERROR(INDEX(PP_Grid[#Data],$DD407,9),0)</f>
        <v/>
      </c>
      <c r="L407">
        <f>IFERROR(INDEX(PP_Grid[#Data],$DD407,10),0)</f>
        <v/>
      </c>
      <c r="M407">
        <f>IFERROR(INDEX(PP_Grid[#Data],$DD407,11),0)</f>
        <v/>
      </c>
      <c r="N407">
        <f>IFERROR(INDEX(PP_Grid[#Data],$DD407,12),0)</f>
        <v/>
      </c>
      <c r="O407">
        <f>IFERROR(INDEX(PP_Grid[#Data],$DD407,13),0)</f>
        <v/>
      </c>
      <c r="P407">
        <f>IFERROR(INDEX(PP_Grid[#Data],$DD407,14),0)</f>
        <v/>
      </c>
      <c r="Q407">
        <f>IFERROR(INDEX(PP_Grid[#Data],$DD407,15),0)</f>
        <v/>
      </c>
      <c r="R407">
        <f>IFERROR(INDEX(PP_Grid[#Data],$DD407,16),0)</f>
        <v/>
      </c>
      <c r="S407">
        <f>IFERROR(INDEX(PP_Grid[#Data],$DD407,17),0)</f>
        <v/>
      </c>
      <c r="T407">
        <f>IFERROR(INDEX(PP_Grid[#Data],$DD407,18),0)</f>
        <v/>
      </c>
      <c r="U407">
        <f>IFERROR(INDEX(PP_Grid[#Data],$DD407,19),0)</f>
        <v/>
      </c>
      <c r="V407">
        <f>IFERROR(INDEX(PP_Grid[#Data],$DD407,20),0)</f>
        <v/>
      </c>
      <c r="W407">
        <f>IFERROR(INDEX(PP_Grid[#Data],$DD407,21),0)</f>
        <v/>
      </c>
      <c r="X407">
        <f>IFERROR(INDEX(PP_Grid[#Data],$DD407,22),0)</f>
        <v/>
      </c>
      <c r="Y407">
        <f>IFERROR(INDEX(PP_Grid[#Data],$DD407,23),0)</f>
        <v/>
      </c>
      <c r="Z407">
        <f>IFERROR(INDEX(PP_Grid[#Data],$DD407,24),0)</f>
        <v/>
      </c>
      <c r="AA407">
        <f>IFERROR(INDEX(PP_Grid[#Data],$DD407,25),0)</f>
        <v/>
      </c>
      <c r="AB407">
        <f>IFERROR(INDEX(PP_Grid[#Data],$DD407,26),0)</f>
        <v/>
      </c>
      <c r="AC407">
        <f>IFERROR(INDEX(PP_Grid[#Data],$DD407,27),0)</f>
        <v/>
      </c>
      <c r="AD407">
        <f>IFERROR(INDEX(PP_Grid[#Data],$DD407,28),0)</f>
        <v/>
      </c>
      <c r="AE407">
        <f>IFERROR(INDEX(PP_Grid[#Data],$DD407,29),0)</f>
        <v/>
      </c>
      <c r="AF407">
        <f>IFERROR(INDEX(PP_Grid[#Data],$DD407,30),0)</f>
        <v/>
      </c>
      <c r="AG407">
        <f>IFERROR(INDEX(PP_Grid[#Data],$DD407,31),0)</f>
        <v/>
      </c>
      <c r="AH407">
        <f>IFERROR(INDEX(PP_Grid[#Data],$DD407,32),0)</f>
        <v/>
      </c>
      <c r="AI407">
        <f>IFERROR(INDEX(PP_Grid[#Data],$DD407,33),0)</f>
        <v/>
      </c>
      <c r="AJ407">
        <f>IFERROR(INDEX(PP_Grid[#Data],$DD407,34),0)</f>
        <v/>
      </c>
      <c r="AK407">
        <f>IFERROR(INDEX(PP_Grid[#Data],$DD407,35),0)</f>
        <v/>
      </c>
      <c r="AL407">
        <f>IFERROR(INDEX(PP_Grid[#Data],$DD407,36),0)</f>
        <v/>
      </c>
      <c r="AM407">
        <f>IFERROR(INDEX(PP_Grid[#Data],$DD407,37),0)</f>
        <v/>
      </c>
      <c r="AN407">
        <f>IFERROR(INDEX(PP_Grid[#Data],$DD407,38),0)</f>
        <v/>
      </c>
      <c r="AO407">
        <f>IFERROR(INDEX(PP_Grid[#Data],$DD407,39),0)</f>
        <v/>
      </c>
      <c r="AP407">
        <f>IFERROR(INDEX(PP_Grid[#Data],$DD407,40),0)</f>
        <v/>
      </c>
      <c r="AQ407">
        <f>IFERROR(INDEX(PP_Grid[#Data],$DD407,41),0)</f>
        <v/>
      </c>
      <c r="AR407">
        <f>IFERROR(INDEX(PP_Grid[#Data],$DD407,42),0)</f>
        <v/>
      </c>
      <c r="AS407">
        <f>IFERROR(INDEX(PP_Grid[#Data],$DD407,43),0)</f>
        <v/>
      </c>
      <c r="AT407">
        <f>IFERROR(INDEX(PP_Grid[#Data],$DD407,44),0)</f>
        <v/>
      </c>
      <c r="AU407">
        <f>IFERROR(INDEX(PP_Grid[#Data],$DD407,45),0)</f>
        <v/>
      </c>
      <c r="AV407">
        <f>IFERROR(INDEX(PP_Grid[#Data],$DD407,46),0)</f>
        <v/>
      </c>
      <c r="AW407">
        <f>IFERROR(INDEX(PP_Grid[#Data],$DD407,47),0)</f>
        <v/>
      </c>
      <c r="AX407">
        <f>IFERROR(INDEX(PP_Grid[#Data],$DD407,48),0)</f>
        <v/>
      </c>
      <c r="AY407">
        <f>IFERROR(INDEX(PP_Grid[#Data],$DD407,49),0)</f>
        <v/>
      </c>
      <c r="AZ407">
        <f>IFERROR(INDEX(PP_Grid[#Data],$DD407,50),0)</f>
        <v/>
      </c>
      <c r="BA407">
        <f>IFERROR(INDEX(PP_Grid[#Data],$DD407,51),0)</f>
        <v/>
      </c>
      <c r="BB407">
        <f>IFERROR(INDEX(PP_Grid[#Data],$DD407,52),0)</f>
        <v/>
      </c>
      <c r="BC407">
        <f>IFERROR(INDEX(PP_Grid[#Data],$DD407,53),0)</f>
        <v/>
      </c>
      <c r="BD407">
        <f>IFERROR(INDEX(PP_Grid[#Data],$DD407,54),0)</f>
        <v/>
      </c>
      <c r="BE407">
        <f>IFERROR(INDEX(PP_Grid[#Data],$DD407,55),0)</f>
        <v/>
      </c>
      <c r="BF407">
        <f>IFERROR(INDEX(PP_Grid[#Data],$DD407,56),0)</f>
        <v/>
      </c>
      <c r="BG407">
        <f>IFERROR(INDEX(PP_Grid[#Data],$DD407,57),0)</f>
        <v/>
      </c>
      <c r="BH407">
        <f>IFERROR(INDEX(PP_Grid[#Data],$DD407,58),0)</f>
        <v/>
      </c>
      <c r="BI407">
        <f>IFERROR(INDEX(PP_Grid[#Data],$DD407,59),0)</f>
        <v/>
      </c>
      <c r="BJ407">
        <f>IFERROR(INDEX(PP_Grid[#Data],$DD407,60),0)</f>
        <v/>
      </c>
      <c r="BK407">
        <f>IFERROR(INDEX(PP_Grid[#Data],$DD407,61),0)</f>
        <v/>
      </c>
      <c r="BL407">
        <f>IFERROR(INDEX(PP_Grid[#Data],$DD407,62),0)</f>
        <v/>
      </c>
      <c r="BM407">
        <f>IFERROR(INDEX(PP_Grid[#Data],$DD407,63),0)</f>
        <v/>
      </c>
      <c r="BN407">
        <f>IFERROR(INDEX(PP_Grid[#Data],$DD407,64),0)</f>
        <v/>
      </c>
      <c r="BO407">
        <f>IFERROR(INDEX(PP_Grid[#Data],$DD407,65),0)</f>
        <v/>
      </c>
      <c r="BP407">
        <f>IFERROR(INDEX(PP_Grid[#Data],$DD407,66),0)</f>
        <v/>
      </c>
      <c r="BQ407">
        <f>IFERROR(INDEX(PP_Grid[#Data],$DD407,67),0)</f>
        <v/>
      </c>
      <c r="BR407">
        <f>IFERROR(INDEX(PP_Grid[#Data],$DD407,68),0)</f>
        <v/>
      </c>
      <c r="BS407">
        <f>IFERROR(INDEX(PP_Grid[#Data],$DD407,69),0)</f>
        <v/>
      </c>
      <c r="BT407">
        <f>IFERROR(INDEX(PP_Grid[#Data],$DD407,70),0)</f>
        <v/>
      </c>
      <c r="BU407">
        <f>IFERROR(INDEX(PP_Grid[#Data],$DD407,71),0)</f>
        <v/>
      </c>
      <c r="BV407">
        <f>IFERROR(INDEX(PP_Grid[#Data],$DD407,72),0)</f>
        <v/>
      </c>
      <c r="BW407">
        <f>IFERROR(INDEX(PP_Grid[#Data],$DD407,73),0)</f>
        <v/>
      </c>
      <c r="BX407">
        <f>IFERROR(INDEX(PP_Grid[#Data],$DD407,74),0)</f>
        <v/>
      </c>
      <c r="BY407">
        <f>IFERROR(INDEX(PP_Grid[#Data],$DD407,75),0)</f>
        <v/>
      </c>
      <c r="BZ407">
        <f>IFERROR(INDEX(PP_Grid[#Data],$DD407,76),0)</f>
        <v/>
      </c>
      <c r="CA407">
        <f>IFERROR(INDEX(PP_Grid[#Data],$DD407,77),0)</f>
        <v/>
      </c>
      <c r="CB407">
        <f>IFERROR(INDEX(PP_Grid[#Data],$DD407,78),0)</f>
        <v/>
      </c>
      <c r="CC407">
        <f>IFERROR(INDEX(PP_Grid[#Data],$DD407,79),0)</f>
        <v/>
      </c>
      <c r="CD407">
        <f>IFERROR(INDEX(PP_Grid[#Data],$DD407,80),0)</f>
        <v/>
      </c>
      <c r="CE407">
        <f>IFERROR(INDEX(PP_Grid[#Data],$DD407,81),0)</f>
        <v/>
      </c>
      <c r="CF407">
        <f>IFERROR(INDEX(PP_Grid[#Data],$DD407,82),0)</f>
        <v/>
      </c>
      <c r="CG407">
        <f>IFERROR(INDEX(PP_Grid[#Data],$DD407,83),0)</f>
        <v/>
      </c>
      <c r="CH407">
        <f>IFERROR(INDEX(PP_Grid[#Data],$DD407,84),0)</f>
        <v/>
      </c>
      <c r="CI407">
        <f>IFERROR(INDEX(PP_Grid[#Data],$DD407,85),0)</f>
        <v/>
      </c>
      <c r="CJ407">
        <f>IFERROR(INDEX(PP_Grid[#Data],$DD407,86),0)</f>
        <v/>
      </c>
      <c r="CK407">
        <f>IFERROR(INDEX(PP_Grid[#Data],$DD407,87),0)</f>
        <v/>
      </c>
      <c r="CL407">
        <f>IFERROR(INDEX(PP_Grid[#Data],$DD407,88),0)</f>
        <v/>
      </c>
      <c r="CM407">
        <f>IFERROR(INDEX(PP_Grid[#Data],$DD407,89),0)</f>
        <v/>
      </c>
      <c r="CN407">
        <f>IFERROR(INDEX(PP_Grid[#Data],$DD407,90),0)</f>
        <v/>
      </c>
      <c r="CO407">
        <f>IFERROR(INDEX(PP_Grid[#Data],$DD407,91),0)</f>
        <v/>
      </c>
      <c r="CP407">
        <f>IFERROR(INDEX(PP_Grid[#Data],$DD407,92),0)</f>
        <v/>
      </c>
      <c r="CQ407">
        <f>IFERROR(INDEX(PP_Grid[#Data],$DD407,93),0)</f>
        <v/>
      </c>
      <c r="CR407">
        <f>IFERROR(INDEX(PP_Grid[#Data],$DD407,94),0)</f>
        <v/>
      </c>
      <c r="CS407">
        <f>IFERROR(INDEX(PP_Grid[#Data],$DD407,95),0)</f>
        <v/>
      </c>
      <c r="CT407">
        <f>IFERROR(INDEX(PP_Grid[#Data],$DD407,96),0)</f>
        <v/>
      </c>
      <c r="CU407">
        <f>IFERROR(INDEX(PP_Grid[#Data],$DD407,97),0)</f>
        <v/>
      </c>
      <c r="CV407">
        <f>IFERROR(INDEX(PP_Grid[#Data],$DD407,98),0)</f>
        <v/>
      </c>
      <c r="CW407">
        <f>IFERROR(INDEX(PP_Grid[#Data],$DD407,99),0)</f>
        <v/>
      </c>
      <c r="CX407">
        <f>IFERROR(INDEX(PP_Grid[#Data],$DD407,100),0)</f>
        <v/>
      </c>
      <c r="CY407">
        <f>IFERROR(INDEX(PP_Grid[#Data],$DD407,101),0)</f>
        <v/>
      </c>
      <c r="CZ407">
        <f>IFERROR(INDEX(PP_Grid[#Data],$DD407,102),0)</f>
        <v/>
      </c>
      <c r="DA407">
        <f>IFERROR(INDEX(PP_Grid[#Data],$DD407,103),0)</f>
        <v/>
      </c>
      <c r="DB407">
        <f>IFERROR(INDEX(PP_Grid[#Data],$DD407,104),0)</f>
        <v/>
      </c>
      <c r="DC407">
        <f>IFERROR(INDEX(PP_Grid[#Data],$DD407,105),0)</f>
        <v/>
      </c>
      <c r="DD407" s="7">
        <f>IFERROR(MATCH($B407,PP_Grid[Intermediate],0),99999)</f>
        <v/>
      </c>
    </row>
    <row r="408">
      <c r="B408" t="inlineStr">
        <is>
          <t>使用量(kg)</t>
        </is>
      </c>
      <c r="C408">
        <f>SUMIFS(M_BOM[RM_Qty_Per_Batch],M_BOM[Intermediate],$B407,M_BOM[Part Name],$A340)</f>
        <v/>
      </c>
      <c r="D408">
        <f>$C408*D407</f>
        <v/>
      </c>
      <c r="E408">
        <f>$C408*E407</f>
        <v/>
      </c>
      <c r="F408">
        <f>$C408*F407</f>
        <v/>
      </c>
      <c r="G408">
        <f>$C408*G407</f>
        <v/>
      </c>
      <c r="H408">
        <f>$C408*H407</f>
        <v/>
      </c>
      <c r="I408">
        <f>$C408*I407</f>
        <v/>
      </c>
      <c r="J408">
        <f>$C408*J407</f>
        <v/>
      </c>
      <c r="K408">
        <f>$C408*K407</f>
        <v/>
      </c>
      <c r="L408">
        <f>$C408*L407</f>
        <v/>
      </c>
      <c r="M408">
        <f>$C408*M407</f>
        <v/>
      </c>
      <c r="N408">
        <f>$C408*N407</f>
        <v/>
      </c>
      <c r="O408">
        <f>$C408*O407</f>
        <v/>
      </c>
      <c r="P408">
        <f>$C408*P407</f>
        <v/>
      </c>
      <c r="Q408">
        <f>$C408*Q407</f>
        <v/>
      </c>
      <c r="R408">
        <f>$C408*R407</f>
        <v/>
      </c>
      <c r="S408">
        <f>$C408*S407</f>
        <v/>
      </c>
      <c r="T408">
        <f>$C408*T407</f>
        <v/>
      </c>
      <c r="U408">
        <f>$C408*U407</f>
        <v/>
      </c>
      <c r="V408">
        <f>$C408*V407</f>
        <v/>
      </c>
      <c r="W408">
        <f>$C408*W407</f>
        <v/>
      </c>
      <c r="X408">
        <f>$C408*X407</f>
        <v/>
      </c>
      <c r="Y408">
        <f>$C408*Y407</f>
        <v/>
      </c>
      <c r="Z408">
        <f>$C408*Z407</f>
        <v/>
      </c>
      <c r="AA408">
        <f>$C408*AA407</f>
        <v/>
      </c>
      <c r="AB408">
        <f>$C408*AB407</f>
        <v/>
      </c>
      <c r="AC408">
        <f>$C408*AC407</f>
        <v/>
      </c>
      <c r="AD408">
        <f>$C408*AD407</f>
        <v/>
      </c>
      <c r="AE408">
        <f>$C408*AE407</f>
        <v/>
      </c>
      <c r="AF408">
        <f>$C408*AF407</f>
        <v/>
      </c>
      <c r="AG408">
        <f>$C408*AG407</f>
        <v/>
      </c>
      <c r="AH408">
        <f>$C408*AH407</f>
        <v/>
      </c>
      <c r="AI408">
        <f>$C408*AI407</f>
        <v/>
      </c>
      <c r="AJ408">
        <f>$C408*AJ407</f>
        <v/>
      </c>
      <c r="AK408">
        <f>$C408*AK407</f>
        <v/>
      </c>
      <c r="AL408">
        <f>$C408*AL407</f>
        <v/>
      </c>
      <c r="AM408">
        <f>$C408*AM407</f>
        <v/>
      </c>
      <c r="AN408">
        <f>$C408*AN407</f>
        <v/>
      </c>
      <c r="AO408">
        <f>$C408*AO407</f>
        <v/>
      </c>
      <c r="AP408">
        <f>$C408*AP407</f>
        <v/>
      </c>
      <c r="AQ408">
        <f>$C408*AQ407</f>
        <v/>
      </c>
      <c r="AR408">
        <f>$C408*AR407</f>
        <v/>
      </c>
      <c r="AS408">
        <f>$C408*AS407</f>
        <v/>
      </c>
      <c r="AT408">
        <f>$C408*AT407</f>
        <v/>
      </c>
      <c r="AU408">
        <f>$C408*AU407</f>
        <v/>
      </c>
      <c r="AV408">
        <f>$C408*AV407</f>
        <v/>
      </c>
      <c r="AW408">
        <f>$C408*AW407</f>
        <v/>
      </c>
      <c r="AX408">
        <f>$C408*AX407</f>
        <v/>
      </c>
      <c r="AY408">
        <f>$C408*AY407</f>
        <v/>
      </c>
      <c r="AZ408">
        <f>$C408*AZ407</f>
        <v/>
      </c>
      <c r="BA408">
        <f>$C408*BA407</f>
        <v/>
      </c>
      <c r="BB408">
        <f>$C408*BB407</f>
        <v/>
      </c>
      <c r="BC408">
        <f>$C408*BC407</f>
        <v/>
      </c>
      <c r="BD408">
        <f>$C408*BD407</f>
        <v/>
      </c>
      <c r="BE408">
        <f>$C408*BE407</f>
        <v/>
      </c>
      <c r="BF408">
        <f>$C408*BF407</f>
        <v/>
      </c>
      <c r="BG408">
        <f>$C408*BG407</f>
        <v/>
      </c>
      <c r="BH408">
        <f>$C408*BH407</f>
        <v/>
      </c>
      <c r="BI408">
        <f>$C408*BI407</f>
        <v/>
      </c>
      <c r="BJ408">
        <f>$C408*BJ407</f>
        <v/>
      </c>
      <c r="BK408">
        <f>$C408*BK407</f>
        <v/>
      </c>
      <c r="BL408">
        <f>$C408*BL407</f>
        <v/>
      </c>
      <c r="BM408">
        <f>$C408*BM407</f>
        <v/>
      </c>
      <c r="BN408">
        <f>$C408*BN407</f>
        <v/>
      </c>
      <c r="BO408">
        <f>$C408*BO407</f>
        <v/>
      </c>
      <c r="BP408">
        <f>$C408*BP407</f>
        <v/>
      </c>
      <c r="BQ408">
        <f>$C408*BQ407</f>
        <v/>
      </c>
      <c r="BR408">
        <f>$C408*BR407</f>
        <v/>
      </c>
      <c r="BS408">
        <f>$C408*BS407</f>
        <v/>
      </c>
      <c r="BT408">
        <f>$C408*BT407</f>
        <v/>
      </c>
      <c r="BU408">
        <f>$C408*BU407</f>
        <v/>
      </c>
      <c r="BV408">
        <f>$C408*BV407</f>
        <v/>
      </c>
      <c r="BW408">
        <f>$C408*BW407</f>
        <v/>
      </c>
      <c r="BX408">
        <f>$C408*BX407</f>
        <v/>
      </c>
      <c r="BY408">
        <f>$C408*BY407</f>
        <v/>
      </c>
      <c r="BZ408">
        <f>$C408*BZ407</f>
        <v/>
      </c>
      <c r="CA408">
        <f>$C408*CA407</f>
        <v/>
      </c>
      <c r="CB408">
        <f>$C408*CB407</f>
        <v/>
      </c>
      <c r="CC408">
        <f>$C408*CC407</f>
        <v/>
      </c>
      <c r="CD408">
        <f>$C408*CD407</f>
        <v/>
      </c>
      <c r="CE408">
        <f>$C408*CE407</f>
        <v/>
      </c>
      <c r="CF408">
        <f>$C408*CF407</f>
        <v/>
      </c>
      <c r="CG408">
        <f>$C408*CG407</f>
        <v/>
      </c>
      <c r="CH408">
        <f>$C408*CH407</f>
        <v/>
      </c>
      <c r="CI408">
        <f>$C408*CI407</f>
        <v/>
      </c>
      <c r="CJ408">
        <f>$C408*CJ407</f>
        <v/>
      </c>
      <c r="CK408">
        <f>$C408*CK407</f>
        <v/>
      </c>
      <c r="CL408">
        <f>$C408*CL407</f>
        <v/>
      </c>
      <c r="CM408">
        <f>$C408*CM407</f>
        <v/>
      </c>
      <c r="CN408">
        <f>$C408*CN407</f>
        <v/>
      </c>
      <c r="CO408">
        <f>$C408*CO407</f>
        <v/>
      </c>
      <c r="CP408">
        <f>$C408*CP407</f>
        <v/>
      </c>
      <c r="CQ408">
        <f>$C408*CQ407</f>
        <v/>
      </c>
      <c r="CR408">
        <f>$C408*CR407</f>
        <v/>
      </c>
      <c r="CS408">
        <f>$C408*CS407</f>
        <v/>
      </c>
      <c r="CT408">
        <f>$C408*CT407</f>
        <v/>
      </c>
      <c r="CU408">
        <f>$C408*CU407</f>
        <v/>
      </c>
      <c r="CV408">
        <f>$C408*CV407</f>
        <v/>
      </c>
      <c r="CW408">
        <f>$C408*CW407</f>
        <v/>
      </c>
      <c r="CX408">
        <f>$C408*CX407</f>
        <v/>
      </c>
      <c r="CY408">
        <f>$C408*CY407</f>
        <v/>
      </c>
      <c r="CZ408">
        <f>$C408*CZ407</f>
        <v/>
      </c>
      <c r="DA408">
        <f>$C408*DA407</f>
        <v/>
      </c>
      <c r="DB408">
        <f>$C408*DB407</f>
        <v/>
      </c>
      <c r="DC408">
        <f>$C408*DC407</f>
        <v/>
      </c>
    </row>
    <row r="409">
      <c r="B409" t="inlineStr">
        <is>
          <t>VSP-604</t>
        </is>
      </c>
      <c r="C409" t="inlineStr">
        <is>
          <t>No. of batches</t>
        </is>
      </c>
      <c r="D409">
        <f>IFERROR(INDEX(PP_Grid[#Data],$DD409,2),0)</f>
        <v/>
      </c>
      <c r="E409">
        <f>IFERROR(INDEX(PP_Grid[#Data],$DD409,3),0)</f>
        <v/>
      </c>
      <c r="F409">
        <f>IFERROR(INDEX(PP_Grid[#Data],$DD409,4),0)</f>
        <v/>
      </c>
      <c r="G409">
        <f>IFERROR(INDEX(PP_Grid[#Data],$DD409,5),0)</f>
        <v/>
      </c>
      <c r="H409">
        <f>IFERROR(INDEX(PP_Grid[#Data],$DD409,6),0)</f>
        <v/>
      </c>
      <c r="I409">
        <f>IFERROR(INDEX(PP_Grid[#Data],$DD409,7),0)</f>
        <v/>
      </c>
      <c r="J409">
        <f>IFERROR(INDEX(PP_Grid[#Data],$DD409,8),0)</f>
        <v/>
      </c>
      <c r="K409">
        <f>IFERROR(INDEX(PP_Grid[#Data],$DD409,9),0)</f>
        <v/>
      </c>
      <c r="L409">
        <f>IFERROR(INDEX(PP_Grid[#Data],$DD409,10),0)</f>
        <v/>
      </c>
      <c r="M409">
        <f>IFERROR(INDEX(PP_Grid[#Data],$DD409,11),0)</f>
        <v/>
      </c>
      <c r="N409">
        <f>IFERROR(INDEX(PP_Grid[#Data],$DD409,12),0)</f>
        <v/>
      </c>
      <c r="O409">
        <f>IFERROR(INDEX(PP_Grid[#Data],$DD409,13),0)</f>
        <v/>
      </c>
      <c r="P409">
        <f>IFERROR(INDEX(PP_Grid[#Data],$DD409,14),0)</f>
        <v/>
      </c>
      <c r="Q409">
        <f>IFERROR(INDEX(PP_Grid[#Data],$DD409,15),0)</f>
        <v/>
      </c>
      <c r="R409">
        <f>IFERROR(INDEX(PP_Grid[#Data],$DD409,16),0)</f>
        <v/>
      </c>
      <c r="S409">
        <f>IFERROR(INDEX(PP_Grid[#Data],$DD409,17),0)</f>
        <v/>
      </c>
      <c r="T409">
        <f>IFERROR(INDEX(PP_Grid[#Data],$DD409,18),0)</f>
        <v/>
      </c>
      <c r="U409">
        <f>IFERROR(INDEX(PP_Grid[#Data],$DD409,19),0)</f>
        <v/>
      </c>
      <c r="V409">
        <f>IFERROR(INDEX(PP_Grid[#Data],$DD409,20),0)</f>
        <v/>
      </c>
      <c r="W409">
        <f>IFERROR(INDEX(PP_Grid[#Data],$DD409,21),0)</f>
        <v/>
      </c>
      <c r="X409">
        <f>IFERROR(INDEX(PP_Grid[#Data],$DD409,22),0)</f>
        <v/>
      </c>
      <c r="Y409">
        <f>IFERROR(INDEX(PP_Grid[#Data],$DD409,23),0)</f>
        <v/>
      </c>
      <c r="Z409">
        <f>IFERROR(INDEX(PP_Grid[#Data],$DD409,24),0)</f>
        <v/>
      </c>
      <c r="AA409">
        <f>IFERROR(INDEX(PP_Grid[#Data],$DD409,25),0)</f>
        <v/>
      </c>
      <c r="AB409">
        <f>IFERROR(INDEX(PP_Grid[#Data],$DD409,26),0)</f>
        <v/>
      </c>
      <c r="AC409">
        <f>IFERROR(INDEX(PP_Grid[#Data],$DD409,27),0)</f>
        <v/>
      </c>
      <c r="AD409">
        <f>IFERROR(INDEX(PP_Grid[#Data],$DD409,28),0)</f>
        <v/>
      </c>
      <c r="AE409">
        <f>IFERROR(INDEX(PP_Grid[#Data],$DD409,29),0)</f>
        <v/>
      </c>
      <c r="AF409">
        <f>IFERROR(INDEX(PP_Grid[#Data],$DD409,30),0)</f>
        <v/>
      </c>
      <c r="AG409">
        <f>IFERROR(INDEX(PP_Grid[#Data],$DD409,31),0)</f>
        <v/>
      </c>
      <c r="AH409">
        <f>IFERROR(INDEX(PP_Grid[#Data],$DD409,32),0)</f>
        <v/>
      </c>
      <c r="AI409">
        <f>IFERROR(INDEX(PP_Grid[#Data],$DD409,33),0)</f>
        <v/>
      </c>
      <c r="AJ409">
        <f>IFERROR(INDEX(PP_Grid[#Data],$DD409,34),0)</f>
        <v/>
      </c>
      <c r="AK409">
        <f>IFERROR(INDEX(PP_Grid[#Data],$DD409,35),0)</f>
        <v/>
      </c>
      <c r="AL409">
        <f>IFERROR(INDEX(PP_Grid[#Data],$DD409,36),0)</f>
        <v/>
      </c>
      <c r="AM409">
        <f>IFERROR(INDEX(PP_Grid[#Data],$DD409,37),0)</f>
        <v/>
      </c>
      <c r="AN409">
        <f>IFERROR(INDEX(PP_Grid[#Data],$DD409,38),0)</f>
        <v/>
      </c>
      <c r="AO409">
        <f>IFERROR(INDEX(PP_Grid[#Data],$DD409,39),0)</f>
        <v/>
      </c>
      <c r="AP409">
        <f>IFERROR(INDEX(PP_Grid[#Data],$DD409,40),0)</f>
        <v/>
      </c>
      <c r="AQ409">
        <f>IFERROR(INDEX(PP_Grid[#Data],$DD409,41),0)</f>
        <v/>
      </c>
      <c r="AR409">
        <f>IFERROR(INDEX(PP_Grid[#Data],$DD409,42),0)</f>
        <v/>
      </c>
      <c r="AS409">
        <f>IFERROR(INDEX(PP_Grid[#Data],$DD409,43),0)</f>
        <v/>
      </c>
      <c r="AT409">
        <f>IFERROR(INDEX(PP_Grid[#Data],$DD409,44),0)</f>
        <v/>
      </c>
      <c r="AU409">
        <f>IFERROR(INDEX(PP_Grid[#Data],$DD409,45),0)</f>
        <v/>
      </c>
      <c r="AV409">
        <f>IFERROR(INDEX(PP_Grid[#Data],$DD409,46),0)</f>
        <v/>
      </c>
      <c r="AW409">
        <f>IFERROR(INDEX(PP_Grid[#Data],$DD409,47),0)</f>
        <v/>
      </c>
      <c r="AX409">
        <f>IFERROR(INDEX(PP_Grid[#Data],$DD409,48),0)</f>
        <v/>
      </c>
      <c r="AY409">
        <f>IFERROR(INDEX(PP_Grid[#Data],$DD409,49),0)</f>
        <v/>
      </c>
      <c r="AZ409">
        <f>IFERROR(INDEX(PP_Grid[#Data],$DD409,50),0)</f>
        <v/>
      </c>
      <c r="BA409">
        <f>IFERROR(INDEX(PP_Grid[#Data],$DD409,51),0)</f>
        <v/>
      </c>
      <c r="BB409">
        <f>IFERROR(INDEX(PP_Grid[#Data],$DD409,52),0)</f>
        <v/>
      </c>
      <c r="BC409">
        <f>IFERROR(INDEX(PP_Grid[#Data],$DD409,53),0)</f>
        <v/>
      </c>
      <c r="BD409">
        <f>IFERROR(INDEX(PP_Grid[#Data],$DD409,54),0)</f>
        <v/>
      </c>
      <c r="BE409">
        <f>IFERROR(INDEX(PP_Grid[#Data],$DD409,55),0)</f>
        <v/>
      </c>
      <c r="BF409">
        <f>IFERROR(INDEX(PP_Grid[#Data],$DD409,56),0)</f>
        <v/>
      </c>
      <c r="BG409">
        <f>IFERROR(INDEX(PP_Grid[#Data],$DD409,57),0)</f>
        <v/>
      </c>
      <c r="BH409">
        <f>IFERROR(INDEX(PP_Grid[#Data],$DD409,58),0)</f>
        <v/>
      </c>
      <c r="BI409">
        <f>IFERROR(INDEX(PP_Grid[#Data],$DD409,59),0)</f>
        <v/>
      </c>
      <c r="BJ409">
        <f>IFERROR(INDEX(PP_Grid[#Data],$DD409,60),0)</f>
        <v/>
      </c>
      <c r="BK409">
        <f>IFERROR(INDEX(PP_Grid[#Data],$DD409,61),0)</f>
        <v/>
      </c>
      <c r="BL409">
        <f>IFERROR(INDEX(PP_Grid[#Data],$DD409,62),0)</f>
        <v/>
      </c>
      <c r="BM409">
        <f>IFERROR(INDEX(PP_Grid[#Data],$DD409,63),0)</f>
        <v/>
      </c>
      <c r="BN409">
        <f>IFERROR(INDEX(PP_Grid[#Data],$DD409,64),0)</f>
        <v/>
      </c>
      <c r="BO409">
        <f>IFERROR(INDEX(PP_Grid[#Data],$DD409,65),0)</f>
        <v/>
      </c>
      <c r="BP409">
        <f>IFERROR(INDEX(PP_Grid[#Data],$DD409,66),0)</f>
        <v/>
      </c>
      <c r="BQ409">
        <f>IFERROR(INDEX(PP_Grid[#Data],$DD409,67),0)</f>
        <v/>
      </c>
      <c r="BR409">
        <f>IFERROR(INDEX(PP_Grid[#Data],$DD409,68),0)</f>
        <v/>
      </c>
      <c r="BS409">
        <f>IFERROR(INDEX(PP_Grid[#Data],$DD409,69),0)</f>
        <v/>
      </c>
      <c r="BT409">
        <f>IFERROR(INDEX(PP_Grid[#Data],$DD409,70),0)</f>
        <v/>
      </c>
      <c r="BU409">
        <f>IFERROR(INDEX(PP_Grid[#Data],$DD409,71),0)</f>
        <v/>
      </c>
      <c r="BV409">
        <f>IFERROR(INDEX(PP_Grid[#Data],$DD409,72),0)</f>
        <v/>
      </c>
      <c r="BW409">
        <f>IFERROR(INDEX(PP_Grid[#Data],$DD409,73),0)</f>
        <v/>
      </c>
      <c r="BX409">
        <f>IFERROR(INDEX(PP_Grid[#Data],$DD409,74),0)</f>
        <v/>
      </c>
      <c r="BY409">
        <f>IFERROR(INDEX(PP_Grid[#Data],$DD409,75),0)</f>
        <v/>
      </c>
      <c r="BZ409">
        <f>IFERROR(INDEX(PP_Grid[#Data],$DD409,76),0)</f>
        <v/>
      </c>
      <c r="CA409">
        <f>IFERROR(INDEX(PP_Grid[#Data],$DD409,77),0)</f>
        <v/>
      </c>
      <c r="CB409">
        <f>IFERROR(INDEX(PP_Grid[#Data],$DD409,78),0)</f>
        <v/>
      </c>
      <c r="CC409">
        <f>IFERROR(INDEX(PP_Grid[#Data],$DD409,79),0)</f>
        <v/>
      </c>
      <c r="CD409">
        <f>IFERROR(INDEX(PP_Grid[#Data],$DD409,80),0)</f>
        <v/>
      </c>
      <c r="CE409">
        <f>IFERROR(INDEX(PP_Grid[#Data],$DD409,81),0)</f>
        <v/>
      </c>
      <c r="CF409">
        <f>IFERROR(INDEX(PP_Grid[#Data],$DD409,82),0)</f>
        <v/>
      </c>
      <c r="CG409">
        <f>IFERROR(INDEX(PP_Grid[#Data],$DD409,83),0)</f>
        <v/>
      </c>
      <c r="CH409">
        <f>IFERROR(INDEX(PP_Grid[#Data],$DD409,84),0)</f>
        <v/>
      </c>
      <c r="CI409">
        <f>IFERROR(INDEX(PP_Grid[#Data],$DD409,85),0)</f>
        <v/>
      </c>
      <c r="CJ409">
        <f>IFERROR(INDEX(PP_Grid[#Data],$DD409,86),0)</f>
        <v/>
      </c>
      <c r="CK409">
        <f>IFERROR(INDEX(PP_Grid[#Data],$DD409,87),0)</f>
        <v/>
      </c>
      <c r="CL409">
        <f>IFERROR(INDEX(PP_Grid[#Data],$DD409,88),0)</f>
        <v/>
      </c>
      <c r="CM409">
        <f>IFERROR(INDEX(PP_Grid[#Data],$DD409,89),0)</f>
        <v/>
      </c>
      <c r="CN409">
        <f>IFERROR(INDEX(PP_Grid[#Data],$DD409,90),0)</f>
        <v/>
      </c>
      <c r="CO409">
        <f>IFERROR(INDEX(PP_Grid[#Data],$DD409,91),0)</f>
        <v/>
      </c>
      <c r="CP409">
        <f>IFERROR(INDEX(PP_Grid[#Data],$DD409,92),0)</f>
        <v/>
      </c>
      <c r="CQ409">
        <f>IFERROR(INDEX(PP_Grid[#Data],$DD409,93),0)</f>
        <v/>
      </c>
      <c r="CR409">
        <f>IFERROR(INDEX(PP_Grid[#Data],$DD409,94),0)</f>
        <v/>
      </c>
      <c r="CS409">
        <f>IFERROR(INDEX(PP_Grid[#Data],$DD409,95),0)</f>
        <v/>
      </c>
      <c r="CT409">
        <f>IFERROR(INDEX(PP_Grid[#Data],$DD409,96),0)</f>
        <v/>
      </c>
      <c r="CU409">
        <f>IFERROR(INDEX(PP_Grid[#Data],$DD409,97),0)</f>
        <v/>
      </c>
      <c r="CV409">
        <f>IFERROR(INDEX(PP_Grid[#Data],$DD409,98),0)</f>
        <v/>
      </c>
      <c r="CW409">
        <f>IFERROR(INDEX(PP_Grid[#Data],$DD409,99),0)</f>
        <v/>
      </c>
      <c r="CX409">
        <f>IFERROR(INDEX(PP_Grid[#Data],$DD409,100),0)</f>
        <v/>
      </c>
      <c r="CY409">
        <f>IFERROR(INDEX(PP_Grid[#Data],$DD409,101),0)</f>
        <v/>
      </c>
      <c r="CZ409">
        <f>IFERROR(INDEX(PP_Grid[#Data],$DD409,102),0)</f>
        <v/>
      </c>
      <c r="DA409">
        <f>IFERROR(INDEX(PP_Grid[#Data],$DD409,103),0)</f>
        <v/>
      </c>
      <c r="DB409">
        <f>IFERROR(INDEX(PP_Grid[#Data],$DD409,104),0)</f>
        <v/>
      </c>
      <c r="DC409">
        <f>IFERROR(INDEX(PP_Grid[#Data],$DD409,105),0)</f>
        <v/>
      </c>
      <c r="DD409" s="7">
        <f>IFERROR(MATCH($B409,PP_Grid[Intermediate],0),99999)</f>
        <v/>
      </c>
    </row>
    <row r="410">
      <c r="B410" t="inlineStr">
        <is>
          <t>使用量(kg)</t>
        </is>
      </c>
      <c r="C410">
        <f>SUMIFS(M_BOM[RM_Qty_Per_Batch],M_BOM[Intermediate],$B409,M_BOM[Part Name],$A340)</f>
        <v/>
      </c>
      <c r="D410">
        <f>$C410*D409</f>
        <v/>
      </c>
      <c r="E410">
        <f>$C410*E409</f>
        <v/>
      </c>
      <c r="F410">
        <f>$C410*F409</f>
        <v/>
      </c>
      <c r="G410">
        <f>$C410*G409</f>
        <v/>
      </c>
      <c r="H410">
        <f>$C410*H409</f>
        <v/>
      </c>
      <c r="I410">
        <f>$C410*I409</f>
        <v/>
      </c>
      <c r="J410">
        <f>$C410*J409</f>
        <v/>
      </c>
      <c r="K410">
        <f>$C410*K409</f>
        <v/>
      </c>
      <c r="L410">
        <f>$C410*L409</f>
        <v/>
      </c>
      <c r="M410">
        <f>$C410*M409</f>
        <v/>
      </c>
      <c r="N410">
        <f>$C410*N409</f>
        <v/>
      </c>
      <c r="O410">
        <f>$C410*O409</f>
        <v/>
      </c>
      <c r="P410">
        <f>$C410*P409</f>
        <v/>
      </c>
      <c r="Q410">
        <f>$C410*Q409</f>
        <v/>
      </c>
      <c r="R410">
        <f>$C410*R409</f>
        <v/>
      </c>
      <c r="S410">
        <f>$C410*S409</f>
        <v/>
      </c>
      <c r="T410">
        <f>$C410*T409</f>
        <v/>
      </c>
      <c r="U410">
        <f>$C410*U409</f>
        <v/>
      </c>
      <c r="V410">
        <f>$C410*V409</f>
        <v/>
      </c>
      <c r="W410">
        <f>$C410*W409</f>
        <v/>
      </c>
      <c r="X410">
        <f>$C410*X409</f>
        <v/>
      </c>
      <c r="Y410">
        <f>$C410*Y409</f>
        <v/>
      </c>
      <c r="Z410">
        <f>$C410*Z409</f>
        <v/>
      </c>
      <c r="AA410">
        <f>$C410*AA409</f>
        <v/>
      </c>
      <c r="AB410">
        <f>$C410*AB409</f>
        <v/>
      </c>
      <c r="AC410">
        <f>$C410*AC409</f>
        <v/>
      </c>
      <c r="AD410">
        <f>$C410*AD409</f>
        <v/>
      </c>
      <c r="AE410">
        <f>$C410*AE409</f>
        <v/>
      </c>
      <c r="AF410">
        <f>$C410*AF409</f>
        <v/>
      </c>
      <c r="AG410">
        <f>$C410*AG409</f>
        <v/>
      </c>
      <c r="AH410">
        <f>$C410*AH409</f>
        <v/>
      </c>
      <c r="AI410">
        <f>$C410*AI409</f>
        <v/>
      </c>
      <c r="AJ410">
        <f>$C410*AJ409</f>
        <v/>
      </c>
      <c r="AK410">
        <f>$C410*AK409</f>
        <v/>
      </c>
      <c r="AL410">
        <f>$C410*AL409</f>
        <v/>
      </c>
      <c r="AM410">
        <f>$C410*AM409</f>
        <v/>
      </c>
      <c r="AN410">
        <f>$C410*AN409</f>
        <v/>
      </c>
      <c r="AO410">
        <f>$C410*AO409</f>
        <v/>
      </c>
      <c r="AP410">
        <f>$C410*AP409</f>
        <v/>
      </c>
      <c r="AQ410">
        <f>$C410*AQ409</f>
        <v/>
      </c>
      <c r="AR410">
        <f>$C410*AR409</f>
        <v/>
      </c>
      <c r="AS410">
        <f>$C410*AS409</f>
        <v/>
      </c>
      <c r="AT410">
        <f>$C410*AT409</f>
        <v/>
      </c>
      <c r="AU410">
        <f>$C410*AU409</f>
        <v/>
      </c>
      <c r="AV410">
        <f>$C410*AV409</f>
        <v/>
      </c>
      <c r="AW410">
        <f>$C410*AW409</f>
        <v/>
      </c>
      <c r="AX410">
        <f>$C410*AX409</f>
        <v/>
      </c>
      <c r="AY410">
        <f>$C410*AY409</f>
        <v/>
      </c>
      <c r="AZ410">
        <f>$C410*AZ409</f>
        <v/>
      </c>
      <c r="BA410">
        <f>$C410*BA409</f>
        <v/>
      </c>
      <c r="BB410">
        <f>$C410*BB409</f>
        <v/>
      </c>
      <c r="BC410">
        <f>$C410*BC409</f>
        <v/>
      </c>
      <c r="BD410">
        <f>$C410*BD409</f>
        <v/>
      </c>
      <c r="BE410">
        <f>$C410*BE409</f>
        <v/>
      </c>
      <c r="BF410">
        <f>$C410*BF409</f>
        <v/>
      </c>
      <c r="BG410">
        <f>$C410*BG409</f>
        <v/>
      </c>
      <c r="BH410">
        <f>$C410*BH409</f>
        <v/>
      </c>
      <c r="BI410">
        <f>$C410*BI409</f>
        <v/>
      </c>
      <c r="BJ410">
        <f>$C410*BJ409</f>
        <v/>
      </c>
      <c r="BK410">
        <f>$C410*BK409</f>
        <v/>
      </c>
      <c r="BL410">
        <f>$C410*BL409</f>
        <v/>
      </c>
      <c r="BM410">
        <f>$C410*BM409</f>
        <v/>
      </c>
      <c r="BN410">
        <f>$C410*BN409</f>
        <v/>
      </c>
      <c r="BO410">
        <f>$C410*BO409</f>
        <v/>
      </c>
      <c r="BP410">
        <f>$C410*BP409</f>
        <v/>
      </c>
      <c r="BQ410">
        <f>$C410*BQ409</f>
        <v/>
      </c>
      <c r="BR410">
        <f>$C410*BR409</f>
        <v/>
      </c>
      <c r="BS410">
        <f>$C410*BS409</f>
        <v/>
      </c>
      <c r="BT410">
        <f>$C410*BT409</f>
        <v/>
      </c>
      <c r="BU410">
        <f>$C410*BU409</f>
        <v/>
      </c>
      <c r="BV410">
        <f>$C410*BV409</f>
        <v/>
      </c>
      <c r="BW410">
        <f>$C410*BW409</f>
        <v/>
      </c>
      <c r="BX410">
        <f>$C410*BX409</f>
        <v/>
      </c>
      <c r="BY410">
        <f>$C410*BY409</f>
        <v/>
      </c>
      <c r="BZ410">
        <f>$C410*BZ409</f>
        <v/>
      </c>
      <c r="CA410">
        <f>$C410*CA409</f>
        <v/>
      </c>
      <c r="CB410">
        <f>$C410*CB409</f>
        <v/>
      </c>
      <c r="CC410">
        <f>$C410*CC409</f>
        <v/>
      </c>
      <c r="CD410">
        <f>$C410*CD409</f>
        <v/>
      </c>
      <c r="CE410">
        <f>$C410*CE409</f>
        <v/>
      </c>
      <c r="CF410">
        <f>$C410*CF409</f>
        <v/>
      </c>
      <c r="CG410">
        <f>$C410*CG409</f>
        <v/>
      </c>
      <c r="CH410">
        <f>$C410*CH409</f>
        <v/>
      </c>
      <c r="CI410">
        <f>$C410*CI409</f>
        <v/>
      </c>
      <c r="CJ410">
        <f>$C410*CJ409</f>
        <v/>
      </c>
      <c r="CK410">
        <f>$C410*CK409</f>
        <v/>
      </c>
      <c r="CL410">
        <f>$C410*CL409</f>
        <v/>
      </c>
      <c r="CM410">
        <f>$C410*CM409</f>
        <v/>
      </c>
      <c r="CN410">
        <f>$C410*CN409</f>
        <v/>
      </c>
      <c r="CO410">
        <f>$C410*CO409</f>
        <v/>
      </c>
      <c r="CP410">
        <f>$C410*CP409</f>
        <v/>
      </c>
      <c r="CQ410">
        <f>$C410*CQ409</f>
        <v/>
      </c>
      <c r="CR410">
        <f>$C410*CR409</f>
        <v/>
      </c>
      <c r="CS410">
        <f>$C410*CS409</f>
        <v/>
      </c>
      <c r="CT410">
        <f>$C410*CT409</f>
        <v/>
      </c>
      <c r="CU410">
        <f>$C410*CU409</f>
        <v/>
      </c>
      <c r="CV410">
        <f>$C410*CV409</f>
        <v/>
      </c>
      <c r="CW410">
        <f>$C410*CW409</f>
        <v/>
      </c>
      <c r="CX410">
        <f>$C410*CX409</f>
        <v/>
      </c>
      <c r="CY410">
        <f>$C410*CY409</f>
        <v/>
      </c>
      <c r="CZ410">
        <f>$C410*CZ409</f>
        <v/>
      </c>
      <c r="DA410">
        <f>$C410*DA409</f>
        <v/>
      </c>
      <c r="DB410">
        <f>$C410*DB409</f>
        <v/>
      </c>
      <c r="DC410">
        <f>$C410*DC409</f>
        <v/>
      </c>
    </row>
    <row r="411">
      <c r="B411" t="inlineStr">
        <is>
          <t>VSP-605</t>
        </is>
      </c>
      <c r="C411" t="inlineStr">
        <is>
          <t>No. of batches</t>
        </is>
      </c>
      <c r="D411">
        <f>IFERROR(INDEX(PP_Grid[#Data],$DD411,2),0)</f>
        <v/>
      </c>
      <c r="E411">
        <f>IFERROR(INDEX(PP_Grid[#Data],$DD411,3),0)</f>
        <v/>
      </c>
      <c r="F411">
        <f>IFERROR(INDEX(PP_Grid[#Data],$DD411,4),0)</f>
        <v/>
      </c>
      <c r="G411">
        <f>IFERROR(INDEX(PP_Grid[#Data],$DD411,5),0)</f>
        <v/>
      </c>
      <c r="H411">
        <f>IFERROR(INDEX(PP_Grid[#Data],$DD411,6),0)</f>
        <v/>
      </c>
      <c r="I411">
        <f>IFERROR(INDEX(PP_Grid[#Data],$DD411,7),0)</f>
        <v/>
      </c>
      <c r="J411">
        <f>IFERROR(INDEX(PP_Grid[#Data],$DD411,8),0)</f>
        <v/>
      </c>
      <c r="K411">
        <f>IFERROR(INDEX(PP_Grid[#Data],$DD411,9),0)</f>
        <v/>
      </c>
      <c r="L411">
        <f>IFERROR(INDEX(PP_Grid[#Data],$DD411,10),0)</f>
        <v/>
      </c>
      <c r="M411">
        <f>IFERROR(INDEX(PP_Grid[#Data],$DD411,11),0)</f>
        <v/>
      </c>
      <c r="N411">
        <f>IFERROR(INDEX(PP_Grid[#Data],$DD411,12),0)</f>
        <v/>
      </c>
      <c r="O411">
        <f>IFERROR(INDEX(PP_Grid[#Data],$DD411,13),0)</f>
        <v/>
      </c>
      <c r="P411">
        <f>IFERROR(INDEX(PP_Grid[#Data],$DD411,14),0)</f>
        <v/>
      </c>
      <c r="Q411">
        <f>IFERROR(INDEX(PP_Grid[#Data],$DD411,15),0)</f>
        <v/>
      </c>
      <c r="R411">
        <f>IFERROR(INDEX(PP_Grid[#Data],$DD411,16),0)</f>
        <v/>
      </c>
      <c r="S411">
        <f>IFERROR(INDEX(PP_Grid[#Data],$DD411,17),0)</f>
        <v/>
      </c>
      <c r="T411">
        <f>IFERROR(INDEX(PP_Grid[#Data],$DD411,18),0)</f>
        <v/>
      </c>
      <c r="U411">
        <f>IFERROR(INDEX(PP_Grid[#Data],$DD411,19),0)</f>
        <v/>
      </c>
      <c r="V411">
        <f>IFERROR(INDEX(PP_Grid[#Data],$DD411,20),0)</f>
        <v/>
      </c>
      <c r="W411">
        <f>IFERROR(INDEX(PP_Grid[#Data],$DD411,21),0)</f>
        <v/>
      </c>
      <c r="X411">
        <f>IFERROR(INDEX(PP_Grid[#Data],$DD411,22),0)</f>
        <v/>
      </c>
      <c r="Y411">
        <f>IFERROR(INDEX(PP_Grid[#Data],$DD411,23),0)</f>
        <v/>
      </c>
      <c r="Z411">
        <f>IFERROR(INDEX(PP_Grid[#Data],$DD411,24),0)</f>
        <v/>
      </c>
      <c r="AA411">
        <f>IFERROR(INDEX(PP_Grid[#Data],$DD411,25),0)</f>
        <v/>
      </c>
      <c r="AB411">
        <f>IFERROR(INDEX(PP_Grid[#Data],$DD411,26),0)</f>
        <v/>
      </c>
      <c r="AC411">
        <f>IFERROR(INDEX(PP_Grid[#Data],$DD411,27),0)</f>
        <v/>
      </c>
      <c r="AD411">
        <f>IFERROR(INDEX(PP_Grid[#Data],$DD411,28),0)</f>
        <v/>
      </c>
      <c r="AE411">
        <f>IFERROR(INDEX(PP_Grid[#Data],$DD411,29),0)</f>
        <v/>
      </c>
      <c r="AF411">
        <f>IFERROR(INDEX(PP_Grid[#Data],$DD411,30),0)</f>
        <v/>
      </c>
      <c r="AG411">
        <f>IFERROR(INDEX(PP_Grid[#Data],$DD411,31),0)</f>
        <v/>
      </c>
      <c r="AH411">
        <f>IFERROR(INDEX(PP_Grid[#Data],$DD411,32),0)</f>
        <v/>
      </c>
      <c r="AI411">
        <f>IFERROR(INDEX(PP_Grid[#Data],$DD411,33),0)</f>
        <v/>
      </c>
      <c r="AJ411">
        <f>IFERROR(INDEX(PP_Grid[#Data],$DD411,34),0)</f>
        <v/>
      </c>
      <c r="AK411">
        <f>IFERROR(INDEX(PP_Grid[#Data],$DD411,35),0)</f>
        <v/>
      </c>
      <c r="AL411">
        <f>IFERROR(INDEX(PP_Grid[#Data],$DD411,36),0)</f>
        <v/>
      </c>
      <c r="AM411">
        <f>IFERROR(INDEX(PP_Grid[#Data],$DD411,37),0)</f>
        <v/>
      </c>
      <c r="AN411">
        <f>IFERROR(INDEX(PP_Grid[#Data],$DD411,38),0)</f>
        <v/>
      </c>
      <c r="AO411">
        <f>IFERROR(INDEX(PP_Grid[#Data],$DD411,39),0)</f>
        <v/>
      </c>
      <c r="AP411">
        <f>IFERROR(INDEX(PP_Grid[#Data],$DD411,40),0)</f>
        <v/>
      </c>
      <c r="AQ411">
        <f>IFERROR(INDEX(PP_Grid[#Data],$DD411,41),0)</f>
        <v/>
      </c>
      <c r="AR411">
        <f>IFERROR(INDEX(PP_Grid[#Data],$DD411,42),0)</f>
        <v/>
      </c>
      <c r="AS411">
        <f>IFERROR(INDEX(PP_Grid[#Data],$DD411,43),0)</f>
        <v/>
      </c>
      <c r="AT411">
        <f>IFERROR(INDEX(PP_Grid[#Data],$DD411,44),0)</f>
        <v/>
      </c>
      <c r="AU411">
        <f>IFERROR(INDEX(PP_Grid[#Data],$DD411,45),0)</f>
        <v/>
      </c>
      <c r="AV411">
        <f>IFERROR(INDEX(PP_Grid[#Data],$DD411,46),0)</f>
        <v/>
      </c>
      <c r="AW411">
        <f>IFERROR(INDEX(PP_Grid[#Data],$DD411,47),0)</f>
        <v/>
      </c>
      <c r="AX411">
        <f>IFERROR(INDEX(PP_Grid[#Data],$DD411,48),0)</f>
        <v/>
      </c>
      <c r="AY411">
        <f>IFERROR(INDEX(PP_Grid[#Data],$DD411,49),0)</f>
        <v/>
      </c>
      <c r="AZ411">
        <f>IFERROR(INDEX(PP_Grid[#Data],$DD411,50),0)</f>
        <v/>
      </c>
      <c r="BA411">
        <f>IFERROR(INDEX(PP_Grid[#Data],$DD411,51),0)</f>
        <v/>
      </c>
      <c r="BB411">
        <f>IFERROR(INDEX(PP_Grid[#Data],$DD411,52),0)</f>
        <v/>
      </c>
      <c r="BC411">
        <f>IFERROR(INDEX(PP_Grid[#Data],$DD411,53),0)</f>
        <v/>
      </c>
      <c r="BD411">
        <f>IFERROR(INDEX(PP_Grid[#Data],$DD411,54),0)</f>
        <v/>
      </c>
      <c r="BE411">
        <f>IFERROR(INDEX(PP_Grid[#Data],$DD411,55),0)</f>
        <v/>
      </c>
      <c r="BF411">
        <f>IFERROR(INDEX(PP_Grid[#Data],$DD411,56),0)</f>
        <v/>
      </c>
      <c r="BG411">
        <f>IFERROR(INDEX(PP_Grid[#Data],$DD411,57),0)</f>
        <v/>
      </c>
      <c r="BH411">
        <f>IFERROR(INDEX(PP_Grid[#Data],$DD411,58),0)</f>
        <v/>
      </c>
      <c r="BI411">
        <f>IFERROR(INDEX(PP_Grid[#Data],$DD411,59),0)</f>
        <v/>
      </c>
      <c r="BJ411">
        <f>IFERROR(INDEX(PP_Grid[#Data],$DD411,60),0)</f>
        <v/>
      </c>
      <c r="BK411">
        <f>IFERROR(INDEX(PP_Grid[#Data],$DD411,61),0)</f>
        <v/>
      </c>
      <c r="BL411">
        <f>IFERROR(INDEX(PP_Grid[#Data],$DD411,62),0)</f>
        <v/>
      </c>
      <c r="BM411">
        <f>IFERROR(INDEX(PP_Grid[#Data],$DD411,63),0)</f>
        <v/>
      </c>
      <c r="BN411">
        <f>IFERROR(INDEX(PP_Grid[#Data],$DD411,64),0)</f>
        <v/>
      </c>
      <c r="BO411">
        <f>IFERROR(INDEX(PP_Grid[#Data],$DD411,65),0)</f>
        <v/>
      </c>
      <c r="BP411">
        <f>IFERROR(INDEX(PP_Grid[#Data],$DD411,66),0)</f>
        <v/>
      </c>
      <c r="BQ411">
        <f>IFERROR(INDEX(PP_Grid[#Data],$DD411,67),0)</f>
        <v/>
      </c>
      <c r="BR411">
        <f>IFERROR(INDEX(PP_Grid[#Data],$DD411,68),0)</f>
        <v/>
      </c>
      <c r="BS411">
        <f>IFERROR(INDEX(PP_Grid[#Data],$DD411,69),0)</f>
        <v/>
      </c>
      <c r="BT411">
        <f>IFERROR(INDEX(PP_Grid[#Data],$DD411,70),0)</f>
        <v/>
      </c>
      <c r="BU411">
        <f>IFERROR(INDEX(PP_Grid[#Data],$DD411,71),0)</f>
        <v/>
      </c>
      <c r="BV411">
        <f>IFERROR(INDEX(PP_Grid[#Data],$DD411,72),0)</f>
        <v/>
      </c>
      <c r="BW411">
        <f>IFERROR(INDEX(PP_Grid[#Data],$DD411,73),0)</f>
        <v/>
      </c>
      <c r="BX411">
        <f>IFERROR(INDEX(PP_Grid[#Data],$DD411,74),0)</f>
        <v/>
      </c>
      <c r="BY411">
        <f>IFERROR(INDEX(PP_Grid[#Data],$DD411,75),0)</f>
        <v/>
      </c>
      <c r="BZ411">
        <f>IFERROR(INDEX(PP_Grid[#Data],$DD411,76),0)</f>
        <v/>
      </c>
      <c r="CA411">
        <f>IFERROR(INDEX(PP_Grid[#Data],$DD411,77),0)</f>
        <v/>
      </c>
      <c r="CB411">
        <f>IFERROR(INDEX(PP_Grid[#Data],$DD411,78),0)</f>
        <v/>
      </c>
      <c r="CC411">
        <f>IFERROR(INDEX(PP_Grid[#Data],$DD411,79),0)</f>
        <v/>
      </c>
      <c r="CD411">
        <f>IFERROR(INDEX(PP_Grid[#Data],$DD411,80),0)</f>
        <v/>
      </c>
      <c r="CE411">
        <f>IFERROR(INDEX(PP_Grid[#Data],$DD411,81),0)</f>
        <v/>
      </c>
      <c r="CF411">
        <f>IFERROR(INDEX(PP_Grid[#Data],$DD411,82),0)</f>
        <v/>
      </c>
      <c r="CG411">
        <f>IFERROR(INDEX(PP_Grid[#Data],$DD411,83),0)</f>
        <v/>
      </c>
      <c r="CH411">
        <f>IFERROR(INDEX(PP_Grid[#Data],$DD411,84),0)</f>
        <v/>
      </c>
      <c r="CI411">
        <f>IFERROR(INDEX(PP_Grid[#Data],$DD411,85),0)</f>
        <v/>
      </c>
      <c r="CJ411">
        <f>IFERROR(INDEX(PP_Grid[#Data],$DD411,86),0)</f>
        <v/>
      </c>
      <c r="CK411">
        <f>IFERROR(INDEX(PP_Grid[#Data],$DD411,87),0)</f>
        <v/>
      </c>
      <c r="CL411">
        <f>IFERROR(INDEX(PP_Grid[#Data],$DD411,88),0)</f>
        <v/>
      </c>
      <c r="CM411">
        <f>IFERROR(INDEX(PP_Grid[#Data],$DD411,89),0)</f>
        <v/>
      </c>
      <c r="CN411">
        <f>IFERROR(INDEX(PP_Grid[#Data],$DD411,90),0)</f>
        <v/>
      </c>
      <c r="CO411">
        <f>IFERROR(INDEX(PP_Grid[#Data],$DD411,91),0)</f>
        <v/>
      </c>
      <c r="CP411">
        <f>IFERROR(INDEX(PP_Grid[#Data],$DD411,92),0)</f>
        <v/>
      </c>
      <c r="CQ411">
        <f>IFERROR(INDEX(PP_Grid[#Data],$DD411,93),0)</f>
        <v/>
      </c>
      <c r="CR411">
        <f>IFERROR(INDEX(PP_Grid[#Data],$DD411,94),0)</f>
        <v/>
      </c>
      <c r="CS411">
        <f>IFERROR(INDEX(PP_Grid[#Data],$DD411,95),0)</f>
        <v/>
      </c>
      <c r="CT411">
        <f>IFERROR(INDEX(PP_Grid[#Data],$DD411,96),0)</f>
        <v/>
      </c>
      <c r="CU411">
        <f>IFERROR(INDEX(PP_Grid[#Data],$DD411,97),0)</f>
        <v/>
      </c>
      <c r="CV411">
        <f>IFERROR(INDEX(PP_Grid[#Data],$DD411,98),0)</f>
        <v/>
      </c>
      <c r="CW411">
        <f>IFERROR(INDEX(PP_Grid[#Data],$DD411,99),0)</f>
        <v/>
      </c>
      <c r="CX411">
        <f>IFERROR(INDEX(PP_Grid[#Data],$DD411,100),0)</f>
        <v/>
      </c>
      <c r="CY411">
        <f>IFERROR(INDEX(PP_Grid[#Data],$DD411,101),0)</f>
        <v/>
      </c>
      <c r="CZ411">
        <f>IFERROR(INDEX(PP_Grid[#Data],$DD411,102),0)</f>
        <v/>
      </c>
      <c r="DA411">
        <f>IFERROR(INDEX(PP_Grid[#Data],$DD411,103),0)</f>
        <v/>
      </c>
      <c r="DB411">
        <f>IFERROR(INDEX(PP_Grid[#Data],$DD411,104),0)</f>
        <v/>
      </c>
      <c r="DC411">
        <f>IFERROR(INDEX(PP_Grid[#Data],$DD411,105),0)</f>
        <v/>
      </c>
      <c r="DD411" s="7">
        <f>IFERROR(MATCH($B411,PP_Grid[Intermediate],0),99999)</f>
        <v/>
      </c>
    </row>
    <row r="412">
      <c r="B412" t="inlineStr">
        <is>
          <t>使用量(kg)</t>
        </is>
      </c>
      <c r="C412">
        <f>SUMIFS(M_BOM[RM_Qty_Per_Batch],M_BOM[Intermediate],$B411,M_BOM[Part Name],$A340)</f>
        <v/>
      </c>
      <c r="D412">
        <f>$C412*D411</f>
        <v/>
      </c>
      <c r="E412">
        <f>$C412*E411</f>
        <v/>
      </c>
      <c r="F412">
        <f>$C412*F411</f>
        <v/>
      </c>
      <c r="G412">
        <f>$C412*G411</f>
        <v/>
      </c>
      <c r="H412">
        <f>$C412*H411</f>
        <v/>
      </c>
      <c r="I412">
        <f>$C412*I411</f>
        <v/>
      </c>
      <c r="J412">
        <f>$C412*J411</f>
        <v/>
      </c>
      <c r="K412">
        <f>$C412*K411</f>
        <v/>
      </c>
      <c r="L412">
        <f>$C412*L411</f>
        <v/>
      </c>
      <c r="M412">
        <f>$C412*M411</f>
        <v/>
      </c>
      <c r="N412">
        <f>$C412*N411</f>
        <v/>
      </c>
      <c r="O412">
        <f>$C412*O411</f>
        <v/>
      </c>
      <c r="P412">
        <f>$C412*P411</f>
        <v/>
      </c>
      <c r="Q412">
        <f>$C412*Q411</f>
        <v/>
      </c>
      <c r="R412">
        <f>$C412*R411</f>
        <v/>
      </c>
      <c r="S412">
        <f>$C412*S411</f>
        <v/>
      </c>
      <c r="T412">
        <f>$C412*T411</f>
        <v/>
      </c>
      <c r="U412">
        <f>$C412*U411</f>
        <v/>
      </c>
      <c r="V412">
        <f>$C412*V411</f>
        <v/>
      </c>
      <c r="W412">
        <f>$C412*W411</f>
        <v/>
      </c>
      <c r="X412">
        <f>$C412*X411</f>
        <v/>
      </c>
      <c r="Y412">
        <f>$C412*Y411</f>
        <v/>
      </c>
      <c r="Z412">
        <f>$C412*Z411</f>
        <v/>
      </c>
      <c r="AA412">
        <f>$C412*AA411</f>
        <v/>
      </c>
      <c r="AB412">
        <f>$C412*AB411</f>
        <v/>
      </c>
      <c r="AC412">
        <f>$C412*AC411</f>
        <v/>
      </c>
      <c r="AD412">
        <f>$C412*AD411</f>
        <v/>
      </c>
      <c r="AE412">
        <f>$C412*AE411</f>
        <v/>
      </c>
      <c r="AF412">
        <f>$C412*AF411</f>
        <v/>
      </c>
      <c r="AG412">
        <f>$C412*AG411</f>
        <v/>
      </c>
      <c r="AH412">
        <f>$C412*AH411</f>
        <v/>
      </c>
      <c r="AI412">
        <f>$C412*AI411</f>
        <v/>
      </c>
      <c r="AJ412">
        <f>$C412*AJ411</f>
        <v/>
      </c>
      <c r="AK412">
        <f>$C412*AK411</f>
        <v/>
      </c>
      <c r="AL412">
        <f>$C412*AL411</f>
        <v/>
      </c>
      <c r="AM412">
        <f>$C412*AM411</f>
        <v/>
      </c>
      <c r="AN412">
        <f>$C412*AN411</f>
        <v/>
      </c>
      <c r="AO412">
        <f>$C412*AO411</f>
        <v/>
      </c>
      <c r="AP412">
        <f>$C412*AP411</f>
        <v/>
      </c>
      <c r="AQ412">
        <f>$C412*AQ411</f>
        <v/>
      </c>
      <c r="AR412">
        <f>$C412*AR411</f>
        <v/>
      </c>
      <c r="AS412">
        <f>$C412*AS411</f>
        <v/>
      </c>
      <c r="AT412">
        <f>$C412*AT411</f>
        <v/>
      </c>
      <c r="AU412">
        <f>$C412*AU411</f>
        <v/>
      </c>
      <c r="AV412">
        <f>$C412*AV411</f>
        <v/>
      </c>
      <c r="AW412">
        <f>$C412*AW411</f>
        <v/>
      </c>
      <c r="AX412">
        <f>$C412*AX411</f>
        <v/>
      </c>
      <c r="AY412">
        <f>$C412*AY411</f>
        <v/>
      </c>
      <c r="AZ412">
        <f>$C412*AZ411</f>
        <v/>
      </c>
      <c r="BA412">
        <f>$C412*BA411</f>
        <v/>
      </c>
      <c r="BB412">
        <f>$C412*BB411</f>
        <v/>
      </c>
      <c r="BC412">
        <f>$C412*BC411</f>
        <v/>
      </c>
      <c r="BD412">
        <f>$C412*BD411</f>
        <v/>
      </c>
      <c r="BE412">
        <f>$C412*BE411</f>
        <v/>
      </c>
      <c r="BF412">
        <f>$C412*BF411</f>
        <v/>
      </c>
      <c r="BG412">
        <f>$C412*BG411</f>
        <v/>
      </c>
      <c r="BH412">
        <f>$C412*BH411</f>
        <v/>
      </c>
      <c r="BI412">
        <f>$C412*BI411</f>
        <v/>
      </c>
      <c r="BJ412">
        <f>$C412*BJ411</f>
        <v/>
      </c>
      <c r="BK412">
        <f>$C412*BK411</f>
        <v/>
      </c>
      <c r="BL412">
        <f>$C412*BL411</f>
        <v/>
      </c>
      <c r="BM412">
        <f>$C412*BM411</f>
        <v/>
      </c>
      <c r="BN412">
        <f>$C412*BN411</f>
        <v/>
      </c>
      <c r="BO412">
        <f>$C412*BO411</f>
        <v/>
      </c>
      <c r="BP412">
        <f>$C412*BP411</f>
        <v/>
      </c>
      <c r="BQ412">
        <f>$C412*BQ411</f>
        <v/>
      </c>
      <c r="BR412">
        <f>$C412*BR411</f>
        <v/>
      </c>
      <c r="BS412">
        <f>$C412*BS411</f>
        <v/>
      </c>
      <c r="BT412">
        <f>$C412*BT411</f>
        <v/>
      </c>
      <c r="BU412">
        <f>$C412*BU411</f>
        <v/>
      </c>
      <c r="BV412">
        <f>$C412*BV411</f>
        <v/>
      </c>
      <c r="BW412">
        <f>$C412*BW411</f>
        <v/>
      </c>
      <c r="BX412">
        <f>$C412*BX411</f>
        <v/>
      </c>
      <c r="BY412">
        <f>$C412*BY411</f>
        <v/>
      </c>
      <c r="BZ412">
        <f>$C412*BZ411</f>
        <v/>
      </c>
      <c r="CA412">
        <f>$C412*CA411</f>
        <v/>
      </c>
      <c r="CB412">
        <f>$C412*CB411</f>
        <v/>
      </c>
      <c r="CC412">
        <f>$C412*CC411</f>
        <v/>
      </c>
      <c r="CD412">
        <f>$C412*CD411</f>
        <v/>
      </c>
      <c r="CE412">
        <f>$C412*CE411</f>
        <v/>
      </c>
      <c r="CF412">
        <f>$C412*CF411</f>
        <v/>
      </c>
      <c r="CG412">
        <f>$C412*CG411</f>
        <v/>
      </c>
      <c r="CH412">
        <f>$C412*CH411</f>
        <v/>
      </c>
      <c r="CI412">
        <f>$C412*CI411</f>
        <v/>
      </c>
      <c r="CJ412">
        <f>$C412*CJ411</f>
        <v/>
      </c>
      <c r="CK412">
        <f>$C412*CK411</f>
        <v/>
      </c>
      <c r="CL412">
        <f>$C412*CL411</f>
        <v/>
      </c>
      <c r="CM412">
        <f>$C412*CM411</f>
        <v/>
      </c>
      <c r="CN412">
        <f>$C412*CN411</f>
        <v/>
      </c>
      <c r="CO412">
        <f>$C412*CO411</f>
        <v/>
      </c>
      <c r="CP412">
        <f>$C412*CP411</f>
        <v/>
      </c>
      <c r="CQ412">
        <f>$C412*CQ411</f>
        <v/>
      </c>
      <c r="CR412">
        <f>$C412*CR411</f>
        <v/>
      </c>
      <c r="CS412">
        <f>$C412*CS411</f>
        <v/>
      </c>
      <c r="CT412">
        <f>$C412*CT411</f>
        <v/>
      </c>
      <c r="CU412">
        <f>$C412*CU411</f>
        <v/>
      </c>
      <c r="CV412">
        <f>$C412*CV411</f>
        <v/>
      </c>
      <c r="CW412">
        <f>$C412*CW411</f>
        <v/>
      </c>
      <c r="CX412">
        <f>$C412*CX411</f>
        <v/>
      </c>
      <c r="CY412">
        <f>$C412*CY411</f>
        <v/>
      </c>
      <c r="CZ412">
        <f>$C412*CZ411</f>
        <v/>
      </c>
      <c r="DA412">
        <f>$C412*DA411</f>
        <v/>
      </c>
      <c r="DB412">
        <f>$C412*DB411</f>
        <v/>
      </c>
      <c r="DC412">
        <f>$C412*DC411</f>
        <v/>
      </c>
    </row>
    <row r="413">
      <c r="B413" t="inlineStr">
        <is>
          <t>VSP-606</t>
        </is>
      </c>
      <c r="C413" t="inlineStr">
        <is>
          <t>No. of batches</t>
        </is>
      </c>
      <c r="D413">
        <f>IFERROR(INDEX(PP_Grid[#Data],$DD413,2),0)</f>
        <v/>
      </c>
      <c r="E413">
        <f>IFERROR(INDEX(PP_Grid[#Data],$DD413,3),0)</f>
        <v/>
      </c>
      <c r="F413">
        <f>IFERROR(INDEX(PP_Grid[#Data],$DD413,4),0)</f>
        <v/>
      </c>
      <c r="G413">
        <f>IFERROR(INDEX(PP_Grid[#Data],$DD413,5),0)</f>
        <v/>
      </c>
      <c r="H413">
        <f>IFERROR(INDEX(PP_Grid[#Data],$DD413,6),0)</f>
        <v/>
      </c>
      <c r="I413">
        <f>IFERROR(INDEX(PP_Grid[#Data],$DD413,7),0)</f>
        <v/>
      </c>
      <c r="J413">
        <f>IFERROR(INDEX(PP_Grid[#Data],$DD413,8),0)</f>
        <v/>
      </c>
      <c r="K413">
        <f>IFERROR(INDEX(PP_Grid[#Data],$DD413,9),0)</f>
        <v/>
      </c>
      <c r="L413">
        <f>IFERROR(INDEX(PP_Grid[#Data],$DD413,10),0)</f>
        <v/>
      </c>
      <c r="M413">
        <f>IFERROR(INDEX(PP_Grid[#Data],$DD413,11),0)</f>
        <v/>
      </c>
      <c r="N413">
        <f>IFERROR(INDEX(PP_Grid[#Data],$DD413,12),0)</f>
        <v/>
      </c>
      <c r="O413">
        <f>IFERROR(INDEX(PP_Grid[#Data],$DD413,13),0)</f>
        <v/>
      </c>
      <c r="P413">
        <f>IFERROR(INDEX(PP_Grid[#Data],$DD413,14),0)</f>
        <v/>
      </c>
      <c r="Q413">
        <f>IFERROR(INDEX(PP_Grid[#Data],$DD413,15),0)</f>
        <v/>
      </c>
      <c r="R413">
        <f>IFERROR(INDEX(PP_Grid[#Data],$DD413,16),0)</f>
        <v/>
      </c>
      <c r="S413">
        <f>IFERROR(INDEX(PP_Grid[#Data],$DD413,17),0)</f>
        <v/>
      </c>
      <c r="T413">
        <f>IFERROR(INDEX(PP_Grid[#Data],$DD413,18),0)</f>
        <v/>
      </c>
      <c r="U413">
        <f>IFERROR(INDEX(PP_Grid[#Data],$DD413,19),0)</f>
        <v/>
      </c>
      <c r="V413">
        <f>IFERROR(INDEX(PP_Grid[#Data],$DD413,20),0)</f>
        <v/>
      </c>
      <c r="W413">
        <f>IFERROR(INDEX(PP_Grid[#Data],$DD413,21),0)</f>
        <v/>
      </c>
      <c r="X413">
        <f>IFERROR(INDEX(PP_Grid[#Data],$DD413,22),0)</f>
        <v/>
      </c>
      <c r="Y413">
        <f>IFERROR(INDEX(PP_Grid[#Data],$DD413,23),0)</f>
        <v/>
      </c>
      <c r="Z413">
        <f>IFERROR(INDEX(PP_Grid[#Data],$DD413,24),0)</f>
        <v/>
      </c>
      <c r="AA413">
        <f>IFERROR(INDEX(PP_Grid[#Data],$DD413,25),0)</f>
        <v/>
      </c>
      <c r="AB413">
        <f>IFERROR(INDEX(PP_Grid[#Data],$DD413,26),0)</f>
        <v/>
      </c>
      <c r="AC413">
        <f>IFERROR(INDEX(PP_Grid[#Data],$DD413,27),0)</f>
        <v/>
      </c>
      <c r="AD413">
        <f>IFERROR(INDEX(PP_Grid[#Data],$DD413,28),0)</f>
        <v/>
      </c>
      <c r="AE413">
        <f>IFERROR(INDEX(PP_Grid[#Data],$DD413,29),0)</f>
        <v/>
      </c>
      <c r="AF413">
        <f>IFERROR(INDEX(PP_Grid[#Data],$DD413,30),0)</f>
        <v/>
      </c>
      <c r="AG413">
        <f>IFERROR(INDEX(PP_Grid[#Data],$DD413,31),0)</f>
        <v/>
      </c>
      <c r="AH413">
        <f>IFERROR(INDEX(PP_Grid[#Data],$DD413,32),0)</f>
        <v/>
      </c>
      <c r="AI413">
        <f>IFERROR(INDEX(PP_Grid[#Data],$DD413,33),0)</f>
        <v/>
      </c>
      <c r="AJ413">
        <f>IFERROR(INDEX(PP_Grid[#Data],$DD413,34),0)</f>
        <v/>
      </c>
      <c r="AK413">
        <f>IFERROR(INDEX(PP_Grid[#Data],$DD413,35),0)</f>
        <v/>
      </c>
      <c r="AL413">
        <f>IFERROR(INDEX(PP_Grid[#Data],$DD413,36),0)</f>
        <v/>
      </c>
      <c r="AM413">
        <f>IFERROR(INDEX(PP_Grid[#Data],$DD413,37),0)</f>
        <v/>
      </c>
      <c r="AN413">
        <f>IFERROR(INDEX(PP_Grid[#Data],$DD413,38),0)</f>
        <v/>
      </c>
      <c r="AO413">
        <f>IFERROR(INDEX(PP_Grid[#Data],$DD413,39),0)</f>
        <v/>
      </c>
      <c r="AP413">
        <f>IFERROR(INDEX(PP_Grid[#Data],$DD413,40),0)</f>
        <v/>
      </c>
      <c r="AQ413">
        <f>IFERROR(INDEX(PP_Grid[#Data],$DD413,41),0)</f>
        <v/>
      </c>
      <c r="AR413">
        <f>IFERROR(INDEX(PP_Grid[#Data],$DD413,42),0)</f>
        <v/>
      </c>
      <c r="AS413">
        <f>IFERROR(INDEX(PP_Grid[#Data],$DD413,43),0)</f>
        <v/>
      </c>
      <c r="AT413">
        <f>IFERROR(INDEX(PP_Grid[#Data],$DD413,44),0)</f>
        <v/>
      </c>
      <c r="AU413">
        <f>IFERROR(INDEX(PP_Grid[#Data],$DD413,45),0)</f>
        <v/>
      </c>
      <c r="AV413">
        <f>IFERROR(INDEX(PP_Grid[#Data],$DD413,46),0)</f>
        <v/>
      </c>
      <c r="AW413">
        <f>IFERROR(INDEX(PP_Grid[#Data],$DD413,47),0)</f>
        <v/>
      </c>
      <c r="AX413">
        <f>IFERROR(INDEX(PP_Grid[#Data],$DD413,48),0)</f>
        <v/>
      </c>
      <c r="AY413">
        <f>IFERROR(INDEX(PP_Grid[#Data],$DD413,49),0)</f>
        <v/>
      </c>
      <c r="AZ413">
        <f>IFERROR(INDEX(PP_Grid[#Data],$DD413,50),0)</f>
        <v/>
      </c>
      <c r="BA413">
        <f>IFERROR(INDEX(PP_Grid[#Data],$DD413,51),0)</f>
        <v/>
      </c>
      <c r="BB413">
        <f>IFERROR(INDEX(PP_Grid[#Data],$DD413,52),0)</f>
        <v/>
      </c>
      <c r="BC413">
        <f>IFERROR(INDEX(PP_Grid[#Data],$DD413,53),0)</f>
        <v/>
      </c>
      <c r="BD413">
        <f>IFERROR(INDEX(PP_Grid[#Data],$DD413,54),0)</f>
        <v/>
      </c>
      <c r="BE413">
        <f>IFERROR(INDEX(PP_Grid[#Data],$DD413,55),0)</f>
        <v/>
      </c>
      <c r="BF413">
        <f>IFERROR(INDEX(PP_Grid[#Data],$DD413,56),0)</f>
        <v/>
      </c>
      <c r="BG413">
        <f>IFERROR(INDEX(PP_Grid[#Data],$DD413,57),0)</f>
        <v/>
      </c>
      <c r="BH413">
        <f>IFERROR(INDEX(PP_Grid[#Data],$DD413,58),0)</f>
        <v/>
      </c>
      <c r="BI413">
        <f>IFERROR(INDEX(PP_Grid[#Data],$DD413,59),0)</f>
        <v/>
      </c>
      <c r="BJ413">
        <f>IFERROR(INDEX(PP_Grid[#Data],$DD413,60),0)</f>
        <v/>
      </c>
      <c r="BK413">
        <f>IFERROR(INDEX(PP_Grid[#Data],$DD413,61),0)</f>
        <v/>
      </c>
      <c r="BL413">
        <f>IFERROR(INDEX(PP_Grid[#Data],$DD413,62),0)</f>
        <v/>
      </c>
      <c r="BM413">
        <f>IFERROR(INDEX(PP_Grid[#Data],$DD413,63),0)</f>
        <v/>
      </c>
      <c r="BN413">
        <f>IFERROR(INDEX(PP_Grid[#Data],$DD413,64),0)</f>
        <v/>
      </c>
      <c r="BO413">
        <f>IFERROR(INDEX(PP_Grid[#Data],$DD413,65),0)</f>
        <v/>
      </c>
      <c r="BP413">
        <f>IFERROR(INDEX(PP_Grid[#Data],$DD413,66),0)</f>
        <v/>
      </c>
      <c r="BQ413">
        <f>IFERROR(INDEX(PP_Grid[#Data],$DD413,67),0)</f>
        <v/>
      </c>
      <c r="BR413">
        <f>IFERROR(INDEX(PP_Grid[#Data],$DD413,68),0)</f>
        <v/>
      </c>
      <c r="BS413">
        <f>IFERROR(INDEX(PP_Grid[#Data],$DD413,69),0)</f>
        <v/>
      </c>
      <c r="BT413">
        <f>IFERROR(INDEX(PP_Grid[#Data],$DD413,70),0)</f>
        <v/>
      </c>
      <c r="BU413">
        <f>IFERROR(INDEX(PP_Grid[#Data],$DD413,71),0)</f>
        <v/>
      </c>
      <c r="BV413">
        <f>IFERROR(INDEX(PP_Grid[#Data],$DD413,72),0)</f>
        <v/>
      </c>
      <c r="BW413">
        <f>IFERROR(INDEX(PP_Grid[#Data],$DD413,73),0)</f>
        <v/>
      </c>
      <c r="BX413">
        <f>IFERROR(INDEX(PP_Grid[#Data],$DD413,74),0)</f>
        <v/>
      </c>
      <c r="BY413">
        <f>IFERROR(INDEX(PP_Grid[#Data],$DD413,75),0)</f>
        <v/>
      </c>
      <c r="BZ413">
        <f>IFERROR(INDEX(PP_Grid[#Data],$DD413,76),0)</f>
        <v/>
      </c>
      <c r="CA413">
        <f>IFERROR(INDEX(PP_Grid[#Data],$DD413,77),0)</f>
        <v/>
      </c>
      <c r="CB413">
        <f>IFERROR(INDEX(PP_Grid[#Data],$DD413,78),0)</f>
        <v/>
      </c>
      <c r="CC413">
        <f>IFERROR(INDEX(PP_Grid[#Data],$DD413,79),0)</f>
        <v/>
      </c>
      <c r="CD413">
        <f>IFERROR(INDEX(PP_Grid[#Data],$DD413,80),0)</f>
        <v/>
      </c>
      <c r="CE413">
        <f>IFERROR(INDEX(PP_Grid[#Data],$DD413,81),0)</f>
        <v/>
      </c>
      <c r="CF413">
        <f>IFERROR(INDEX(PP_Grid[#Data],$DD413,82),0)</f>
        <v/>
      </c>
      <c r="CG413">
        <f>IFERROR(INDEX(PP_Grid[#Data],$DD413,83),0)</f>
        <v/>
      </c>
      <c r="CH413">
        <f>IFERROR(INDEX(PP_Grid[#Data],$DD413,84),0)</f>
        <v/>
      </c>
      <c r="CI413">
        <f>IFERROR(INDEX(PP_Grid[#Data],$DD413,85),0)</f>
        <v/>
      </c>
      <c r="CJ413">
        <f>IFERROR(INDEX(PP_Grid[#Data],$DD413,86),0)</f>
        <v/>
      </c>
      <c r="CK413">
        <f>IFERROR(INDEX(PP_Grid[#Data],$DD413,87),0)</f>
        <v/>
      </c>
      <c r="CL413">
        <f>IFERROR(INDEX(PP_Grid[#Data],$DD413,88),0)</f>
        <v/>
      </c>
      <c r="CM413">
        <f>IFERROR(INDEX(PP_Grid[#Data],$DD413,89),0)</f>
        <v/>
      </c>
      <c r="CN413">
        <f>IFERROR(INDEX(PP_Grid[#Data],$DD413,90),0)</f>
        <v/>
      </c>
      <c r="CO413">
        <f>IFERROR(INDEX(PP_Grid[#Data],$DD413,91),0)</f>
        <v/>
      </c>
      <c r="CP413">
        <f>IFERROR(INDEX(PP_Grid[#Data],$DD413,92),0)</f>
        <v/>
      </c>
      <c r="CQ413">
        <f>IFERROR(INDEX(PP_Grid[#Data],$DD413,93),0)</f>
        <v/>
      </c>
      <c r="CR413">
        <f>IFERROR(INDEX(PP_Grid[#Data],$DD413,94),0)</f>
        <v/>
      </c>
      <c r="CS413">
        <f>IFERROR(INDEX(PP_Grid[#Data],$DD413,95),0)</f>
        <v/>
      </c>
      <c r="CT413">
        <f>IFERROR(INDEX(PP_Grid[#Data],$DD413,96),0)</f>
        <v/>
      </c>
      <c r="CU413">
        <f>IFERROR(INDEX(PP_Grid[#Data],$DD413,97),0)</f>
        <v/>
      </c>
      <c r="CV413">
        <f>IFERROR(INDEX(PP_Grid[#Data],$DD413,98),0)</f>
        <v/>
      </c>
      <c r="CW413">
        <f>IFERROR(INDEX(PP_Grid[#Data],$DD413,99),0)</f>
        <v/>
      </c>
      <c r="CX413">
        <f>IFERROR(INDEX(PP_Grid[#Data],$DD413,100),0)</f>
        <v/>
      </c>
      <c r="CY413">
        <f>IFERROR(INDEX(PP_Grid[#Data],$DD413,101),0)</f>
        <v/>
      </c>
      <c r="CZ413">
        <f>IFERROR(INDEX(PP_Grid[#Data],$DD413,102),0)</f>
        <v/>
      </c>
      <c r="DA413">
        <f>IFERROR(INDEX(PP_Grid[#Data],$DD413,103),0)</f>
        <v/>
      </c>
      <c r="DB413">
        <f>IFERROR(INDEX(PP_Grid[#Data],$DD413,104),0)</f>
        <v/>
      </c>
      <c r="DC413">
        <f>IFERROR(INDEX(PP_Grid[#Data],$DD413,105),0)</f>
        <v/>
      </c>
      <c r="DD413" s="7">
        <f>IFERROR(MATCH($B413,PP_Grid[Intermediate],0),99999)</f>
        <v/>
      </c>
    </row>
    <row r="414">
      <c r="B414" t="inlineStr">
        <is>
          <t>使用量(kg)</t>
        </is>
      </c>
      <c r="C414">
        <f>SUMIFS(M_BOM[RM_Qty_Per_Batch],M_BOM[Intermediate],$B413,M_BOM[Part Name],$A340)</f>
        <v/>
      </c>
      <c r="D414">
        <f>$C414*D413</f>
        <v/>
      </c>
      <c r="E414">
        <f>$C414*E413</f>
        <v/>
      </c>
      <c r="F414">
        <f>$C414*F413</f>
        <v/>
      </c>
      <c r="G414">
        <f>$C414*G413</f>
        <v/>
      </c>
      <c r="H414">
        <f>$C414*H413</f>
        <v/>
      </c>
      <c r="I414">
        <f>$C414*I413</f>
        <v/>
      </c>
      <c r="J414">
        <f>$C414*J413</f>
        <v/>
      </c>
      <c r="K414">
        <f>$C414*K413</f>
        <v/>
      </c>
      <c r="L414">
        <f>$C414*L413</f>
        <v/>
      </c>
      <c r="M414">
        <f>$C414*M413</f>
        <v/>
      </c>
      <c r="N414">
        <f>$C414*N413</f>
        <v/>
      </c>
      <c r="O414">
        <f>$C414*O413</f>
        <v/>
      </c>
      <c r="P414">
        <f>$C414*P413</f>
        <v/>
      </c>
      <c r="Q414">
        <f>$C414*Q413</f>
        <v/>
      </c>
      <c r="R414">
        <f>$C414*R413</f>
        <v/>
      </c>
      <c r="S414">
        <f>$C414*S413</f>
        <v/>
      </c>
      <c r="T414">
        <f>$C414*T413</f>
        <v/>
      </c>
      <c r="U414">
        <f>$C414*U413</f>
        <v/>
      </c>
      <c r="V414">
        <f>$C414*V413</f>
        <v/>
      </c>
      <c r="W414">
        <f>$C414*W413</f>
        <v/>
      </c>
      <c r="X414">
        <f>$C414*X413</f>
        <v/>
      </c>
      <c r="Y414">
        <f>$C414*Y413</f>
        <v/>
      </c>
      <c r="Z414">
        <f>$C414*Z413</f>
        <v/>
      </c>
      <c r="AA414">
        <f>$C414*AA413</f>
        <v/>
      </c>
      <c r="AB414">
        <f>$C414*AB413</f>
        <v/>
      </c>
      <c r="AC414">
        <f>$C414*AC413</f>
        <v/>
      </c>
      <c r="AD414">
        <f>$C414*AD413</f>
        <v/>
      </c>
      <c r="AE414">
        <f>$C414*AE413</f>
        <v/>
      </c>
      <c r="AF414">
        <f>$C414*AF413</f>
        <v/>
      </c>
      <c r="AG414">
        <f>$C414*AG413</f>
        <v/>
      </c>
      <c r="AH414">
        <f>$C414*AH413</f>
        <v/>
      </c>
      <c r="AI414">
        <f>$C414*AI413</f>
        <v/>
      </c>
      <c r="AJ414">
        <f>$C414*AJ413</f>
        <v/>
      </c>
      <c r="AK414">
        <f>$C414*AK413</f>
        <v/>
      </c>
      <c r="AL414">
        <f>$C414*AL413</f>
        <v/>
      </c>
      <c r="AM414">
        <f>$C414*AM413</f>
        <v/>
      </c>
      <c r="AN414">
        <f>$C414*AN413</f>
        <v/>
      </c>
      <c r="AO414">
        <f>$C414*AO413</f>
        <v/>
      </c>
      <c r="AP414">
        <f>$C414*AP413</f>
        <v/>
      </c>
      <c r="AQ414">
        <f>$C414*AQ413</f>
        <v/>
      </c>
      <c r="AR414">
        <f>$C414*AR413</f>
        <v/>
      </c>
      <c r="AS414">
        <f>$C414*AS413</f>
        <v/>
      </c>
      <c r="AT414">
        <f>$C414*AT413</f>
        <v/>
      </c>
      <c r="AU414">
        <f>$C414*AU413</f>
        <v/>
      </c>
      <c r="AV414">
        <f>$C414*AV413</f>
        <v/>
      </c>
      <c r="AW414">
        <f>$C414*AW413</f>
        <v/>
      </c>
      <c r="AX414">
        <f>$C414*AX413</f>
        <v/>
      </c>
      <c r="AY414">
        <f>$C414*AY413</f>
        <v/>
      </c>
      <c r="AZ414">
        <f>$C414*AZ413</f>
        <v/>
      </c>
      <c r="BA414">
        <f>$C414*BA413</f>
        <v/>
      </c>
      <c r="BB414">
        <f>$C414*BB413</f>
        <v/>
      </c>
      <c r="BC414">
        <f>$C414*BC413</f>
        <v/>
      </c>
      <c r="BD414">
        <f>$C414*BD413</f>
        <v/>
      </c>
      <c r="BE414">
        <f>$C414*BE413</f>
        <v/>
      </c>
      <c r="BF414">
        <f>$C414*BF413</f>
        <v/>
      </c>
      <c r="BG414">
        <f>$C414*BG413</f>
        <v/>
      </c>
      <c r="BH414">
        <f>$C414*BH413</f>
        <v/>
      </c>
      <c r="BI414">
        <f>$C414*BI413</f>
        <v/>
      </c>
      <c r="BJ414">
        <f>$C414*BJ413</f>
        <v/>
      </c>
      <c r="BK414">
        <f>$C414*BK413</f>
        <v/>
      </c>
      <c r="BL414">
        <f>$C414*BL413</f>
        <v/>
      </c>
      <c r="BM414">
        <f>$C414*BM413</f>
        <v/>
      </c>
      <c r="BN414">
        <f>$C414*BN413</f>
        <v/>
      </c>
      <c r="BO414">
        <f>$C414*BO413</f>
        <v/>
      </c>
      <c r="BP414">
        <f>$C414*BP413</f>
        <v/>
      </c>
      <c r="BQ414">
        <f>$C414*BQ413</f>
        <v/>
      </c>
      <c r="BR414">
        <f>$C414*BR413</f>
        <v/>
      </c>
      <c r="BS414">
        <f>$C414*BS413</f>
        <v/>
      </c>
      <c r="BT414">
        <f>$C414*BT413</f>
        <v/>
      </c>
      <c r="BU414">
        <f>$C414*BU413</f>
        <v/>
      </c>
      <c r="BV414">
        <f>$C414*BV413</f>
        <v/>
      </c>
      <c r="BW414">
        <f>$C414*BW413</f>
        <v/>
      </c>
      <c r="BX414">
        <f>$C414*BX413</f>
        <v/>
      </c>
      <c r="BY414">
        <f>$C414*BY413</f>
        <v/>
      </c>
      <c r="BZ414">
        <f>$C414*BZ413</f>
        <v/>
      </c>
      <c r="CA414">
        <f>$C414*CA413</f>
        <v/>
      </c>
      <c r="CB414">
        <f>$C414*CB413</f>
        <v/>
      </c>
      <c r="CC414">
        <f>$C414*CC413</f>
        <v/>
      </c>
      <c r="CD414">
        <f>$C414*CD413</f>
        <v/>
      </c>
      <c r="CE414">
        <f>$C414*CE413</f>
        <v/>
      </c>
      <c r="CF414">
        <f>$C414*CF413</f>
        <v/>
      </c>
      <c r="CG414">
        <f>$C414*CG413</f>
        <v/>
      </c>
      <c r="CH414">
        <f>$C414*CH413</f>
        <v/>
      </c>
      <c r="CI414">
        <f>$C414*CI413</f>
        <v/>
      </c>
      <c r="CJ414">
        <f>$C414*CJ413</f>
        <v/>
      </c>
      <c r="CK414">
        <f>$C414*CK413</f>
        <v/>
      </c>
      <c r="CL414">
        <f>$C414*CL413</f>
        <v/>
      </c>
      <c r="CM414">
        <f>$C414*CM413</f>
        <v/>
      </c>
      <c r="CN414">
        <f>$C414*CN413</f>
        <v/>
      </c>
      <c r="CO414">
        <f>$C414*CO413</f>
        <v/>
      </c>
      <c r="CP414">
        <f>$C414*CP413</f>
        <v/>
      </c>
      <c r="CQ414">
        <f>$C414*CQ413</f>
        <v/>
      </c>
      <c r="CR414">
        <f>$C414*CR413</f>
        <v/>
      </c>
      <c r="CS414">
        <f>$C414*CS413</f>
        <v/>
      </c>
      <c r="CT414">
        <f>$C414*CT413</f>
        <v/>
      </c>
      <c r="CU414">
        <f>$C414*CU413</f>
        <v/>
      </c>
      <c r="CV414">
        <f>$C414*CV413</f>
        <v/>
      </c>
      <c r="CW414">
        <f>$C414*CW413</f>
        <v/>
      </c>
      <c r="CX414">
        <f>$C414*CX413</f>
        <v/>
      </c>
      <c r="CY414">
        <f>$C414*CY413</f>
        <v/>
      </c>
      <c r="CZ414">
        <f>$C414*CZ413</f>
        <v/>
      </c>
      <c r="DA414">
        <f>$C414*DA413</f>
        <v/>
      </c>
      <c r="DB414">
        <f>$C414*DB413</f>
        <v/>
      </c>
      <c r="DC414">
        <f>$C414*DC413</f>
        <v/>
      </c>
    </row>
    <row r="415">
      <c r="B415" t="inlineStr">
        <is>
          <t>VSP-607</t>
        </is>
      </c>
      <c r="C415" t="inlineStr">
        <is>
          <t>No. of batches</t>
        </is>
      </c>
      <c r="D415">
        <f>IFERROR(INDEX(PP_Grid[#Data],$DD415,2),0)</f>
        <v/>
      </c>
      <c r="E415">
        <f>IFERROR(INDEX(PP_Grid[#Data],$DD415,3),0)</f>
        <v/>
      </c>
      <c r="F415">
        <f>IFERROR(INDEX(PP_Grid[#Data],$DD415,4),0)</f>
        <v/>
      </c>
      <c r="G415">
        <f>IFERROR(INDEX(PP_Grid[#Data],$DD415,5),0)</f>
        <v/>
      </c>
      <c r="H415">
        <f>IFERROR(INDEX(PP_Grid[#Data],$DD415,6),0)</f>
        <v/>
      </c>
      <c r="I415">
        <f>IFERROR(INDEX(PP_Grid[#Data],$DD415,7),0)</f>
        <v/>
      </c>
      <c r="J415">
        <f>IFERROR(INDEX(PP_Grid[#Data],$DD415,8),0)</f>
        <v/>
      </c>
      <c r="K415">
        <f>IFERROR(INDEX(PP_Grid[#Data],$DD415,9),0)</f>
        <v/>
      </c>
      <c r="L415">
        <f>IFERROR(INDEX(PP_Grid[#Data],$DD415,10),0)</f>
        <v/>
      </c>
      <c r="M415">
        <f>IFERROR(INDEX(PP_Grid[#Data],$DD415,11),0)</f>
        <v/>
      </c>
      <c r="N415">
        <f>IFERROR(INDEX(PP_Grid[#Data],$DD415,12),0)</f>
        <v/>
      </c>
      <c r="O415">
        <f>IFERROR(INDEX(PP_Grid[#Data],$DD415,13),0)</f>
        <v/>
      </c>
      <c r="P415">
        <f>IFERROR(INDEX(PP_Grid[#Data],$DD415,14),0)</f>
        <v/>
      </c>
      <c r="Q415">
        <f>IFERROR(INDEX(PP_Grid[#Data],$DD415,15),0)</f>
        <v/>
      </c>
      <c r="R415">
        <f>IFERROR(INDEX(PP_Grid[#Data],$DD415,16),0)</f>
        <v/>
      </c>
      <c r="S415">
        <f>IFERROR(INDEX(PP_Grid[#Data],$DD415,17),0)</f>
        <v/>
      </c>
      <c r="T415">
        <f>IFERROR(INDEX(PP_Grid[#Data],$DD415,18),0)</f>
        <v/>
      </c>
      <c r="U415">
        <f>IFERROR(INDEX(PP_Grid[#Data],$DD415,19),0)</f>
        <v/>
      </c>
      <c r="V415">
        <f>IFERROR(INDEX(PP_Grid[#Data],$DD415,20),0)</f>
        <v/>
      </c>
      <c r="W415">
        <f>IFERROR(INDEX(PP_Grid[#Data],$DD415,21),0)</f>
        <v/>
      </c>
      <c r="X415">
        <f>IFERROR(INDEX(PP_Grid[#Data],$DD415,22),0)</f>
        <v/>
      </c>
      <c r="Y415">
        <f>IFERROR(INDEX(PP_Grid[#Data],$DD415,23),0)</f>
        <v/>
      </c>
      <c r="Z415">
        <f>IFERROR(INDEX(PP_Grid[#Data],$DD415,24),0)</f>
        <v/>
      </c>
      <c r="AA415">
        <f>IFERROR(INDEX(PP_Grid[#Data],$DD415,25),0)</f>
        <v/>
      </c>
      <c r="AB415">
        <f>IFERROR(INDEX(PP_Grid[#Data],$DD415,26),0)</f>
        <v/>
      </c>
      <c r="AC415">
        <f>IFERROR(INDEX(PP_Grid[#Data],$DD415,27),0)</f>
        <v/>
      </c>
      <c r="AD415">
        <f>IFERROR(INDEX(PP_Grid[#Data],$DD415,28),0)</f>
        <v/>
      </c>
      <c r="AE415">
        <f>IFERROR(INDEX(PP_Grid[#Data],$DD415,29),0)</f>
        <v/>
      </c>
      <c r="AF415">
        <f>IFERROR(INDEX(PP_Grid[#Data],$DD415,30),0)</f>
        <v/>
      </c>
      <c r="AG415">
        <f>IFERROR(INDEX(PP_Grid[#Data],$DD415,31),0)</f>
        <v/>
      </c>
      <c r="AH415">
        <f>IFERROR(INDEX(PP_Grid[#Data],$DD415,32),0)</f>
        <v/>
      </c>
      <c r="AI415">
        <f>IFERROR(INDEX(PP_Grid[#Data],$DD415,33),0)</f>
        <v/>
      </c>
      <c r="AJ415">
        <f>IFERROR(INDEX(PP_Grid[#Data],$DD415,34),0)</f>
        <v/>
      </c>
      <c r="AK415">
        <f>IFERROR(INDEX(PP_Grid[#Data],$DD415,35),0)</f>
        <v/>
      </c>
      <c r="AL415">
        <f>IFERROR(INDEX(PP_Grid[#Data],$DD415,36),0)</f>
        <v/>
      </c>
      <c r="AM415">
        <f>IFERROR(INDEX(PP_Grid[#Data],$DD415,37),0)</f>
        <v/>
      </c>
      <c r="AN415">
        <f>IFERROR(INDEX(PP_Grid[#Data],$DD415,38),0)</f>
        <v/>
      </c>
      <c r="AO415">
        <f>IFERROR(INDEX(PP_Grid[#Data],$DD415,39),0)</f>
        <v/>
      </c>
      <c r="AP415">
        <f>IFERROR(INDEX(PP_Grid[#Data],$DD415,40),0)</f>
        <v/>
      </c>
      <c r="AQ415">
        <f>IFERROR(INDEX(PP_Grid[#Data],$DD415,41),0)</f>
        <v/>
      </c>
      <c r="AR415">
        <f>IFERROR(INDEX(PP_Grid[#Data],$DD415,42),0)</f>
        <v/>
      </c>
      <c r="AS415">
        <f>IFERROR(INDEX(PP_Grid[#Data],$DD415,43),0)</f>
        <v/>
      </c>
      <c r="AT415">
        <f>IFERROR(INDEX(PP_Grid[#Data],$DD415,44),0)</f>
        <v/>
      </c>
      <c r="AU415">
        <f>IFERROR(INDEX(PP_Grid[#Data],$DD415,45),0)</f>
        <v/>
      </c>
      <c r="AV415">
        <f>IFERROR(INDEX(PP_Grid[#Data],$DD415,46),0)</f>
        <v/>
      </c>
      <c r="AW415">
        <f>IFERROR(INDEX(PP_Grid[#Data],$DD415,47),0)</f>
        <v/>
      </c>
      <c r="AX415">
        <f>IFERROR(INDEX(PP_Grid[#Data],$DD415,48),0)</f>
        <v/>
      </c>
      <c r="AY415">
        <f>IFERROR(INDEX(PP_Grid[#Data],$DD415,49),0)</f>
        <v/>
      </c>
      <c r="AZ415">
        <f>IFERROR(INDEX(PP_Grid[#Data],$DD415,50),0)</f>
        <v/>
      </c>
      <c r="BA415">
        <f>IFERROR(INDEX(PP_Grid[#Data],$DD415,51),0)</f>
        <v/>
      </c>
      <c r="BB415">
        <f>IFERROR(INDEX(PP_Grid[#Data],$DD415,52),0)</f>
        <v/>
      </c>
      <c r="BC415">
        <f>IFERROR(INDEX(PP_Grid[#Data],$DD415,53),0)</f>
        <v/>
      </c>
      <c r="BD415">
        <f>IFERROR(INDEX(PP_Grid[#Data],$DD415,54),0)</f>
        <v/>
      </c>
      <c r="BE415">
        <f>IFERROR(INDEX(PP_Grid[#Data],$DD415,55),0)</f>
        <v/>
      </c>
      <c r="BF415">
        <f>IFERROR(INDEX(PP_Grid[#Data],$DD415,56),0)</f>
        <v/>
      </c>
      <c r="BG415">
        <f>IFERROR(INDEX(PP_Grid[#Data],$DD415,57),0)</f>
        <v/>
      </c>
      <c r="BH415">
        <f>IFERROR(INDEX(PP_Grid[#Data],$DD415,58),0)</f>
        <v/>
      </c>
      <c r="BI415">
        <f>IFERROR(INDEX(PP_Grid[#Data],$DD415,59),0)</f>
        <v/>
      </c>
      <c r="BJ415">
        <f>IFERROR(INDEX(PP_Grid[#Data],$DD415,60),0)</f>
        <v/>
      </c>
      <c r="BK415">
        <f>IFERROR(INDEX(PP_Grid[#Data],$DD415,61),0)</f>
        <v/>
      </c>
      <c r="BL415">
        <f>IFERROR(INDEX(PP_Grid[#Data],$DD415,62),0)</f>
        <v/>
      </c>
      <c r="BM415">
        <f>IFERROR(INDEX(PP_Grid[#Data],$DD415,63),0)</f>
        <v/>
      </c>
      <c r="BN415">
        <f>IFERROR(INDEX(PP_Grid[#Data],$DD415,64),0)</f>
        <v/>
      </c>
      <c r="BO415">
        <f>IFERROR(INDEX(PP_Grid[#Data],$DD415,65),0)</f>
        <v/>
      </c>
      <c r="BP415">
        <f>IFERROR(INDEX(PP_Grid[#Data],$DD415,66),0)</f>
        <v/>
      </c>
      <c r="BQ415">
        <f>IFERROR(INDEX(PP_Grid[#Data],$DD415,67),0)</f>
        <v/>
      </c>
      <c r="BR415">
        <f>IFERROR(INDEX(PP_Grid[#Data],$DD415,68),0)</f>
        <v/>
      </c>
      <c r="BS415">
        <f>IFERROR(INDEX(PP_Grid[#Data],$DD415,69),0)</f>
        <v/>
      </c>
      <c r="BT415">
        <f>IFERROR(INDEX(PP_Grid[#Data],$DD415,70),0)</f>
        <v/>
      </c>
      <c r="BU415">
        <f>IFERROR(INDEX(PP_Grid[#Data],$DD415,71),0)</f>
        <v/>
      </c>
      <c r="BV415">
        <f>IFERROR(INDEX(PP_Grid[#Data],$DD415,72),0)</f>
        <v/>
      </c>
      <c r="BW415">
        <f>IFERROR(INDEX(PP_Grid[#Data],$DD415,73),0)</f>
        <v/>
      </c>
      <c r="BX415">
        <f>IFERROR(INDEX(PP_Grid[#Data],$DD415,74),0)</f>
        <v/>
      </c>
      <c r="BY415">
        <f>IFERROR(INDEX(PP_Grid[#Data],$DD415,75),0)</f>
        <v/>
      </c>
      <c r="BZ415">
        <f>IFERROR(INDEX(PP_Grid[#Data],$DD415,76),0)</f>
        <v/>
      </c>
      <c r="CA415">
        <f>IFERROR(INDEX(PP_Grid[#Data],$DD415,77),0)</f>
        <v/>
      </c>
      <c r="CB415">
        <f>IFERROR(INDEX(PP_Grid[#Data],$DD415,78),0)</f>
        <v/>
      </c>
      <c r="CC415">
        <f>IFERROR(INDEX(PP_Grid[#Data],$DD415,79),0)</f>
        <v/>
      </c>
      <c r="CD415">
        <f>IFERROR(INDEX(PP_Grid[#Data],$DD415,80),0)</f>
        <v/>
      </c>
      <c r="CE415">
        <f>IFERROR(INDEX(PP_Grid[#Data],$DD415,81),0)</f>
        <v/>
      </c>
      <c r="CF415">
        <f>IFERROR(INDEX(PP_Grid[#Data],$DD415,82),0)</f>
        <v/>
      </c>
      <c r="CG415">
        <f>IFERROR(INDEX(PP_Grid[#Data],$DD415,83),0)</f>
        <v/>
      </c>
      <c r="CH415">
        <f>IFERROR(INDEX(PP_Grid[#Data],$DD415,84),0)</f>
        <v/>
      </c>
      <c r="CI415">
        <f>IFERROR(INDEX(PP_Grid[#Data],$DD415,85),0)</f>
        <v/>
      </c>
      <c r="CJ415">
        <f>IFERROR(INDEX(PP_Grid[#Data],$DD415,86),0)</f>
        <v/>
      </c>
      <c r="CK415">
        <f>IFERROR(INDEX(PP_Grid[#Data],$DD415,87),0)</f>
        <v/>
      </c>
      <c r="CL415">
        <f>IFERROR(INDEX(PP_Grid[#Data],$DD415,88),0)</f>
        <v/>
      </c>
      <c r="CM415">
        <f>IFERROR(INDEX(PP_Grid[#Data],$DD415,89),0)</f>
        <v/>
      </c>
      <c r="CN415">
        <f>IFERROR(INDEX(PP_Grid[#Data],$DD415,90),0)</f>
        <v/>
      </c>
      <c r="CO415">
        <f>IFERROR(INDEX(PP_Grid[#Data],$DD415,91),0)</f>
        <v/>
      </c>
      <c r="CP415">
        <f>IFERROR(INDEX(PP_Grid[#Data],$DD415,92),0)</f>
        <v/>
      </c>
      <c r="CQ415">
        <f>IFERROR(INDEX(PP_Grid[#Data],$DD415,93),0)</f>
        <v/>
      </c>
      <c r="CR415">
        <f>IFERROR(INDEX(PP_Grid[#Data],$DD415,94),0)</f>
        <v/>
      </c>
      <c r="CS415">
        <f>IFERROR(INDEX(PP_Grid[#Data],$DD415,95),0)</f>
        <v/>
      </c>
      <c r="CT415">
        <f>IFERROR(INDEX(PP_Grid[#Data],$DD415,96),0)</f>
        <v/>
      </c>
      <c r="CU415">
        <f>IFERROR(INDEX(PP_Grid[#Data],$DD415,97),0)</f>
        <v/>
      </c>
      <c r="CV415">
        <f>IFERROR(INDEX(PP_Grid[#Data],$DD415,98),0)</f>
        <v/>
      </c>
      <c r="CW415">
        <f>IFERROR(INDEX(PP_Grid[#Data],$DD415,99),0)</f>
        <v/>
      </c>
      <c r="CX415">
        <f>IFERROR(INDEX(PP_Grid[#Data],$DD415,100),0)</f>
        <v/>
      </c>
      <c r="CY415">
        <f>IFERROR(INDEX(PP_Grid[#Data],$DD415,101),0)</f>
        <v/>
      </c>
      <c r="CZ415">
        <f>IFERROR(INDEX(PP_Grid[#Data],$DD415,102),0)</f>
        <v/>
      </c>
      <c r="DA415">
        <f>IFERROR(INDEX(PP_Grid[#Data],$DD415,103),0)</f>
        <v/>
      </c>
      <c r="DB415">
        <f>IFERROR(INDEX(PP_Grid[#Data],$DD415,104),0)</f>
        <v/>
      </c>
      <c r="DC415">
        <f>IFERROR(INDEX(PP_Grid[#Data],$DD415,105),0)</f>
        <v/>
      </c>
      <c r="DD415" s="7">
        <f>IFERROR(MATCH($B415,PP_Grid[Intermediate],0),99999)</f>
        <v/>
      </c>
    </row>
    <row r="416">
      <c r="B416" t="inlineStr">
        <is>
          <t>使用量(kg)</t>
        </is>
      </c>
      <c r="C416">
        <f>SUMIFS(M_BOM[RM_Qty_Per_Batch],M_BOM[Intermediate],$B415,M_BOM[Part Name],$A340)</f>
        <v/>
      </c>
      <c r="D416">
        <f>$C416*D415</f>
        <v/>
      </c>
      <c r="E416">
        <f>$C416*E415</f>
        <v/>
      </c>
      <c r="F416">
        <f>$C416*F415</f>
        <v/>
      </c>
      <c r="G416">
        <f>$C416*G415</f>
        <v/>
      </c>
      <c r="H416">
        <f>$C416*H415</f>
        <v/>
      </c>
      <c r="I416">
        <f>$C416*I415</f>
        <v/>
      </c>
      <c r="J416">
        <f>$C416*J415</f>
        <v/>
      </c>
      <c r="K416">
        <f>$C416*K415</f>
        <v/>
      </c>
      <c r="L416">
        <f>$C416*L415</f>
        <v/>
      </c>
      <c r="M416">
        <f>$C416*M415</f>
        <v/>
      </c>
      <c r="N416">
        <f>$C416*N415</f>
        <v/>
      </c>
      <c r="O416">
        <f>$C416*O415</f>
        <v/>
      </c>
      <c r="P416">
        <f>$C416*P415</f>
        <v/>
      </c>
      <c r="Q416">
        <f>$C416*Q415</f>
        <v/>
      </c>
      <c r="R416">
        <f>$C416*R415</f>
        <v/>
      </c>
      <c r="S416">
        <f>$C416*S415</f>
        <v/>
      </c>
      <c r="T416">
        <f>$C416*T415</f>
        <v/>
      </c>
      <c r="U416">
        <f>$C416*U415</f>
        <v/>
      </c>
      <c r="V416">
        <f>$C416*V415</f>
        <v/>
      </c>
      <c r="W416">
        <f>$C416*W415</f>
        <v/>
      </c>
      <c r="X416">
        <f>$C416*X415</f>
        <v/>
      </c>
      <c r="Y416">
        <f>$C416*Y415</f>
        <v/>
      </c>
      <c r="Z416">
        <f>$C416*Z415</f>
        <v/>
      </c>
      <c r="AA416">
        <f>$C416*AA415</f>
        <v/>
      </c>
      <c r="AB416">
        <f>$C416*AB415</f>
        <v/>
      </c>
      <c r="AC416">
        <f>$C416*AC415</f>
        <v/>
      </c>
      <c r="AD416">
        <f>$C416*AD415</f>
        <v/>
      </c>
      <c r="AE416">
        <f>$C416*AE415</f>
        <v/>
      </c>
      <c r="AF416">
        <f>$C416*AF415</f>
        <v/>
      </c>
      <c r="AG416">
        <f>$C416*AG415</f>
        <v/>
      </c>
      <c r="AH416">
        <f>$C416*AH415</f>
        <v/>
      </c>
      <c r="AI416">
        <f>$C416*AI415</f>
        <v/>
      </c>
      <c r="AJ416">
        <f>$C416*AJ415</f>
        <v/>
      </c>
      <c r="AK416">
        <f>$C416*AK415</f>
        <v/>
      </c>
      <c r="AL416">
        <f>$C416*AL415</f>
        <v/>
      </c>
      <c r="AM416">
        <f>$C416*AM415</f>
        <v/>
      </c>
      <c r="AN416">
        <f>$C416*AN415</f>
        <v/>
      </c>
      <c r="AO416">
        <f>$C416*AO415</f>
        <v/>
      </c>
      <c r="AP416">
        <f>$C416*AP415</f>
        <v/>
      </c>
      <c r="AQ416">
        <f>$C416*AQ415</f>
        <v/>
      </c>
      <c r="AR416">
        <f>$C416*AR415</f>
        <v/>
      </c>
      <c r="AS416">
        <f>$C416*AS415</f>
        <v/>
      </c>
      <c r="AT416">
        <f>$C416*AT415</f>
        <v/>
      </c>
      <c r="AU416">
        <f>$C416*AU415</f>
        <v/>
      </c>
      <c r="AV416">
        <f>$C416*AV415</f>
        <v/>
      </c>
      <c r="AW416">
        <f>$C416*AW415</f>
        <v/>
      </c>
      <c r="AX416">
        <f>$C416*AX415</f>
        <v/>
      </c>
      <c r="AY416">
        <f>$C416*AY415</f>
        <v/>
      </c>
      <c r="AZ416">
        <f>$C416*AZ415</f>
        <v/>
      </c>
      <c r="BA416">
        <f>$C416*BA415</f>
        <v/>
      </c>
      <c r="BB416">
        <f>$C416*BB415</f>
        <v/>
      </c>
      <c r="BC416">
        <f>$C416*BC415</f>
        <v/>
      </c>
      <c r="BD416">
        <f>$C416*BD415</f>
        <v/>
      </c>
      <c r="BE416">
        <f>$C416*BE415</f>
        <v/>
      </c>
      <c r="BF416">
        <f>$C416*BF415</f>
        <v/>
      </c>
      <c r="BG416">
        <f>$C416*BG415</f>
        <v/>
      </c>
      <c r="BH416">
        <f>$C416*BH415</f>
        <v/>
      </c>
      <c r="BI416">
        <f>$C416*BI415</f>
        <v/>
      </c>
      <c r="BJ416">
        <f>$C416*BJ415</f>
        <v/>
      </c>
      <c r="BK416">
        <f>$C416*BK415</f>
        <v/>
      </c>
      <c r="BL416">
        <f>$C416*BL415</f>
        <v/>
      </c>
      <c r="BM416">
        <f>$C416*BM415</f>
        <v/>
      </c>
      <c r="BN416">
        <f>$C416*BN415</f>
        <v/>
      </c>
      <c r="BO416">
        <f>$C416*BO415</f>
        <v/>
      </c>
      <c r="BP416">
        <f>$C416*BP415</f>
        <v/>
      </c>
      <c r="BQ416">
        <f>$C416*BQ415</f>
        <v/>
      </c>
      <c r="BR416">
        <f>$C416*BR415</f>
        <v/>
      </c>
      <c r="BS416">
        <f>$C416*BS415</f>
        <v/>
      </c>
      <c r="BT416">
        <f>$C416*BT415</f>
        <v/>
      </c>
      <c r="BU416">
        <f>$C416*BU415</f>
        <v/>
      </c>
      <c r="BV416">
        <f>$C416*BV415</f>
        <v/>
      </c>
      <c r="BW416">
        <f>$C416*BW415</f>
        <v/>
      </c>
      <c r="BX416">
        <f>$C416*BX415</f>
        <v/>
      </c>
      <c r="BY416">
        <f>$C416*BY415</f>
        <v/>
      </c>
      <c r="BZ416">
        <f>$C416*BZ415</f>
        <v/>
      </c>
      <c r="CA416">
        <f>$C416*CA415</f>
        <v/>
      </c>
      <c r="CB416">
        <f>$C416*CB415</f>
        <v/>
      </c>
      <c r="CC416">
        <f>$C416*CC415</f>
        <v/>
      </c>
      <c r="CD416">
        <f>$C416*CD415</f>
        <v/>
      </c>
      <c r="CE416">
        <f>$C416*CE415</f>
        <v/>
      </c>
      <c r="CF416">
        <f>$C416*CF415</f>
        <v/>
      </c>
      <c r="CG416">
        <f>$C416*CG415</f>
        <v/>
      </c>
      <c r="CH416">
        <f>$C416*CH415</f>
        <v/>
      </c>
      <c r="CI416">
        <f>$C416*CI415</f>
        <v/>
      </c>
      <c r="CJ416">
        <f>$C416*CJ415</f>
        <v/>
      </c>
      <c r="CK416">
        <f>$C416*CK415</f>
        <v/>
      </c>
      <c r="CL416">
        <f>$C416*CL415</f>
        <v/>
      </c>
      <c r="CM416">
        <f>$C416*CM415</f>
        <v/>
      </c>
      <c r="CN416">
        <f>$C416*CN415</f>
        <v/>
      </c>
      <c r="CO416">
        <f>$C416*CO415</f>
        <v/>
      </c>
      <c r="CP416">
        <f>$C416*CP415</f>
        <v/>
      </c>
      <c r="CQ416">
        <f>$C416*CQ415</f>
        <v/>
      </c>
      <c r="CR416">
        <f>$C416*CR415</f>
        <v/>
      </c>
      <c r="CS416">
        <f>$C416*CS415</f>
        <v/>
      </c>
      <c r="CT416">
        <f>$C416*CT415</f>
        <v/>
      </c>
      <c r="CU416">
        <f>$C416*CU415</f>
        <v/>
      </c>
      <c r="CV416">
        <f>$C416*CV415</f>
        <v/>
      </c>
      <c r="CW416">
        <f>$C416*CW415</f>
        <v/>
      </c>
      <c r="CX416">
        <f>$C416*CX415</f>
        <v/>
      </c>
      <c r="CY416">
        <f>$C416*CY415</f>
        <v/>
      </c>
      <c r="CZ416">
        <f>$C416*CZ415</f>
        <v/>
      </c>
      <c r="DA416">
        <f>$C416*DA415</f>
        <v/>
      </c>
      <c r="DB416">
        <f>$C416*DB415</f>
        <v/>
      </c>
      <c r="DC416">
        <f>$C416*DC415</f>
        <v/>
      </c>
    </row>
    <row r="417">
      <c r="B417" t="inlineStr">
        <is>
          <t>VSP-738</t>
        </is>
      </c>
      <c r="C417" t="inlineStr">
        <is>
          <t>No. of batches</t>
        </is>
      </c>
      <c r="D417">
        <f>IFERROR(INDEX(PP_Grid[#Data],$DD417,2),0)</f>
        <v/>
      </c>
      <c r="E417">
        <f>IFERROR(INDEX(PP_Grid[#Data],$DD417,3),0)</f>
        <v/>
      </c>
      <c r="F417">
        <f>IFERROR(INDEX(PP_Grid[#Data],$DD417,4),0)</f>
        <v/>
      </c>
      <c r="G417">
        <f>IFERROR(INDEX(PP_Grid[#Data],$DD417,5),0)</f>
        <v/>
      </c>
      <c r="H417">
        <f>IFERROR(INDEX(PP_Grid[#Data],$DD417,6),0)</f>
        <v/>
      </c>
      <c r="I417">
        <f>IFERROR(INDEX(PP_Grid[#Data],$DD417,7),0)</f>
        <v/>
      </c>
      <c r="J417">
        <f>IFERROR(INDEX(PP_Grid[#Data],$DD417,8),0)</f>
        <v/>
      </c>
      <c r="K417">
        <f>IFERROR(INDEX(PP_Grid[#Data],$DD417,9),0)</f>
        <v/>
      </c>
      <c r="L417">
        <f>IFERROR(INDEX(PP_Grid[#Data],$DD417,10),0)</f>
        <v/>
      </c>
      <c r="M417">
        <f>IFERROR(INDEX(PP_Grid[#Data],$DD417,11),0)</f>
        <v/>
      </c>
      <c r="N417">
        <f>IFERROR(INDEX(PP_Grid[#Data],$DD417,12),0)</f>
        <v/>
      </c>
      <c r="O417">
        <f>IFERROR(INDEX(PP_Grid[#Data],$DD417,13),0)</f>
        <v/>
      </c>
      <c r="P417">
        <f>IFERROR(INDEX(PP_Grid[#Data],$DD417,14),0)</f>
        <v/>
      </c>
      <c r="Q417">
        <f>IFERROR(INDEX(PP_Grid[#Data],$DD417,15),0)</f>
        <v/>
      </c>
      <c r="R417">
        <f>IFERROR(INDEX(PP_Grid[#Data],$DD417,16),0)</f>
        <v/>
      </c>
      <c r="S417">
        <f>IFERROR(INDEX(PP_Grid[#Data],$DD417,17),0)</f>
        <v/>
      </c>
      <c r="T417">
        <f>IFERROR(INDEX(PP_Grid[#Data],$DD417,18),0)</f>
        <v/>
      </c>
      <c r="U417">
        <f>IFERROR(INDEX(PP_Grid[#Data],$DD417,19),0)</f>
        <v/>
      </c>
      <c r="V417">
        <f>IFERROR(INDEX(PP_Grid[#Data],$DD417,20),0)</f>
        <v/>
      </c>
      <c r="W417">
        <f>IFERROR(INDEX(PP_Grid[#Data],$DD417,21),0)</f>
        <v/>
      </c>
      <c r="X417">
        <f>IFERROR(INDEX(PP_Grid[#Data],$DD417,22),0)</f>
        <v/>
      </c>
      <c r="Y417">
        <f>IFERROR(INDEX(PP_Grid[#Data],$DD417,23),0)</f>
        <v/>
      </c>
      <c r="Z417">
        <f>IFERROR(INDEX(PP_Grid[#Data],$DD417,24),0)</f>
        <v/>
      </c>
      <c r="AA417">
        <f>IFERROR(INDEX(PP_Grid[#Data],$DD417,25),0)</f>
        <v/>
      </c>
      <c r="AB417">
        <f>IFERROR(INDEX(PP_Grid[#Data],$DD417,26),0)</f>
        <v/>
      </c>
      <c r="AC417">
        <f>IFERROR(INDEX(PP_Grid[#Data],$DD417,27),0)</f>
        <v/>
      </c>
      <c r="AD417">
        <f>IFERROR(INDEX(PP_Grid[#Data],$DD417,28),0)</f>
        <v/>
      </c>
      <c r="AE417">
        <f>IFERROR(INDEX(PP_Grid[#Data],$DD417,29),0)</f>
        <v/>
      </c>
      <c r="AF417">
        <f>IFERROR(INDEX(PP_Grid[#Data],$DD417,30),0)</f>
        <v/>
      </c>
      <c r="AG417">
        <f>IFERROR(INDEX(PP_Grid[#Data],$DD417,31),0)</f>
        <v/>
      </c>
      <c r="AH417">
        <f>IFERROR(INDEX(PP_Grid[#Data],$DD417,32),0)</f>
        <v/>
      </c>
      <c r="AI417">
        <f>IFERROR(INDEX(PP_Grid[#Data],$DD417,33),0)</f>
        <v/>
      </c>
      <c r="AJ417">
        <f>IFERROR(INDEX(PP_Grid[#Data],$DD417,34),0)</f>
        <v/>
      </c>
      <c r="AK417">
        <f>IFERROR(INDEX(PP_Grid[#Data],$DD417,35),0)</f>
        <v/>
      </c>
      <c r="AL417">
        <f>IFERROR(INDEX(PP_Grid[#Data],$DD417,36),0)</f>
        <v/>
      </c>
      <c r="AM417">
        <f>IFERROR(INDEX(PP_Grid[#Data],$DD417,37),0)</f>
        <v/>
      </c>
      <c r="AN417">
        <f>IFERROR(INDEX(PP_Grid[#Data],$DD417,38),0)</f>
        <v/>
      </c>
      <c r="AO417">
        <f>IFERROR(INDEX(PP_Grid[#Data],$DD417,39),0)</f>
        <v/>
      </c>
      <c r="AP417">
        <f>IFERROR(INDEX(PP_Grid[#Data],$DD417,40),0)</f>
        <v/>
      </c>
      <c r="AQ417">
        <f>IFERROR(INDEX(PP_Grid[#Data],$DD417,41),0)</f>
        <v/>
      </c>
      <c r="AR417">
        <f>IFERROR(INDEX(PP_Grid[#Data],$DD417,42),0)</f>
        <v/>
      </c>
      <c r="AS417">
        <f>IFERROR(INDEX(PP_Grid[#Data],$DD417,43),0)</f>
        <v/>
      </c>
      <c r="AT417">
        <f>IFERROR(INDEX(PP_Grid[#Data],$DD417,44),0)</f>
        <v/>
      </c>
      <c r="AU417">
        <f>IFERROR(INDEX(PP_Grid[#Data],$DD417,45),0)</f>
        <v/>
      </c>
      <c r="AV417">
        <f>IFERROR(INDEX(PP_Grid[#Data],$DD417,46),0)</f>
        <v/>
      </c>
      <c r="AW417">
        <f>IFERROR(INDEX(PP_Grid[#Data],$DD417,47),0)</f>
        <v/>
      </c>
      <c r="AX417">
        <f>IFERROR(INDEX(PP_Grid[#Data],$DD417,48),0)</f>
        <v/>
      </c>
      <c r="AY417">
        <f>IFERROR(INDEX(PP_Grid[#Data],$DD417,49),0)</f>
        <v/>
      </c>
      <c r="AZ417">
        <f>IFERROR(INDEX(PP_Grid[#Data],$DD417,50),0)</f>
        <v/>
      </c>
      <c r="BA417">
        <f>IFERROR(INDEX(PP_Grid[#Data],$DD417,51),0)</f>
        <v/>
      </c>
      <c r="BB417">
        <f>IFERROR(INDEX(PP_Grid[#Data],$DD417,52),0)</f>
        <v/>
      </c>
      <c r="BC417">
        <f>IFERROR(INDEX(PP_Grid[#Data],$DD417,53),0)</f>
        <v/>
      </c>
      <c r="BD417">
        <f>IFERROR(INDEX(PP_Grid[#Data],$DD417,54),0)</f>
        <v/>
      </c>
      <c r="BE417">
        <f>IFERROR(INDEX(PP_Grid[#Data],$DD417,55),0)</f>
        <v/>
      </c>
      <c r="BF417">
        <f>IFERROR(INDEX(PP_Grid[#Data],$DD417,56),0)</f>
        <v/>
      </c>
      <c r="BG417">
        <f>IFERROR(INDEX(PP_Grid[#Data],$DD417,57),0)</f>
        <v/>
      </c>
      <c r="BH417">
        <f>IFERROR(INDEX(PP_Grid[#Data],$DD417,58),0)</f>
        <v/>
      </c>
      <c r="BI417">
        <f>IFERROR(INDEX(PP_Grid[#Data],$DD417,59),0)</f>
        <v/>
      </c>
      <c r="BJ417">
        <f>IFERROR(INDEX(PP_Grid[#Data],$DD417,60),0)</f>
        <v/>
      </c>
      <c r="BK417">
        <f>IFERROR(INDEX(PP_Grid[#Data],$DD417,61),0)</f>
        <v/>
      </c>
      <c r="BL417">
        <f>IFERROR(INDEX(PP_Grid[#Data],$DD417,62),0)</f>
        <v/>
      </c>
      <c r="BM417">
        <f>IFERROR(INDEX(PP_Grid[#Data],$DD417,63),0)</f>
        <v/>
      </c>
      <c r="BN417">
        <f>IFERROR(INDEX(PP_Grid[#Data],$DD417,64),0)</f>
        <v/>
      </c>
      <c r="BO417">
        <f>IFERROR(INDEX(PP_Grid[#Data],$DD417,65),0)</f>
        <v/>
      </c>
      <c r="BP417">
        <f>IFERROR(INDEX(PP_Grid[#Data],$DD417,66),0)</f>
        <v/>
      </c>
      <c r="BQ417">
        <f>IFERROR(INDEX(PP_Grid[#Data],$DD417,67),0)</f>
        <v/>
      </c>
      <c r="BR417">
        <f>IFERROR(INDEX(PP_Grid[#Data],$DD417,68),0)</f>
        <v/>
      </c>
      <c r="BS417">
        <f>IFERROR(INDEX(PP_Grid[#Data],$DD417,69),0)</f>
        <v/>
      </c>
      <c r="BT417">
        <f>IFERROR(INDEX(PP_Grid[#Data],$DD417,70),0)</f>
        <v/>
      </c>
      <c r="BU417">
        <f>IFERROR(INDEX(PP_Grid[#Data],$DD417,71),0)</f>
        <v/>
      </c>
      <c r="BV417">
        <f>IFERROR(INDEX(PP_Grid[#Data],$DD417,72),0)</f>
        <v/>
      </c>
      <c r="BW417">
        <f>IFERROR(INDEX(PP_Grid[#Data],$DD417,73),0)</f>
        <v/>
      </c>
      <c r="BX417">
        <f>IFERROR(INDEX(PP_Grid[#Data],$DD417,74),0)</f>
        <v/>
      </c>
      <c r="BY417">
        <f>IFERROR(INDEX(PP_Grid[#Data],$DD417,75),0)</f>
        <v/>
      </c>
      <c r="BZ417">
        <f>IFERROR(INDEX(PP_Grid[#Data],$DD417,76),0)</f>
        <v/>
      </c>
      <c r="CA417">
        <f>IFERROR(INDEX(PP_Grid[#Data],$DD417,77),0)</f>
        <v/>
      </c>
      <c r="CB417">
        <f>IFERROR(INDEX(PP_Grid[#Data],$DD417,78),0)</f>
        <v/>
      </c>
      <c r="CC417">
        <f>IFERROR(INDEX(PP_Grid[#Data],$DD417,79),0)</f>
        <v/>
      </c>
      <c r="CD417">
        <f>IFERROR(INDEX(PP_Grid[#Data],$DD417,80),0)</f>
        <v/>
      </c>
      <c r="CE417">
        <f>IFERROR(INDEX(PP_Grid[#Data],$DD417,81),0)</f>
        <v/>
      </c>
      <c r="CF417">
        <f>IFERROR(INDEX(PP_Grid[#Data],$DD417,82),0)</f>
        <v/>
      </c>
      <c r="CG417">
        <f>IFERROR(INDEX(PP_Grid[#Data],$DD417,83),0)</f>
        <v/>
      </c>
      <c r="CH417">
        <f>IFERROR(INDEX(PP_Grid[#Data],$DD417,84),0)</f>
        <v/>
      </c>
      <c r="CI417">
        <f>IFERROR(INDEX(PP_Grid[#Data],$DD417,85),0)</f>
        <v/>
      </c>
      <c r="CJ417">
        <f>IFERROR(INDEX(PP_Grid[#Data],$DD417,86),0)</f>
        <v/>
      </c>
      <c r="CK417">
        <f>IFERROR(INDEX(PP_Grid[#Data],$DD417,87),0)</f>
        <v/>
      </c>
      <c r="CL417">
        <f>IFERROR(INDEX(PP_Grid[#Data],$DD417,88),0)</f>
        <v/>
      </c>
      <c r="CM417">
        <f>IFERROR(INDEX(PP_Grid[#Data],$DD417,89),0)</f>
        <v/>
      </c>
      <c r="CN417">
        <f>IFERROR(INDEX(PP_Grid[#Data],$DD417,90),0)</f>
        <v/>
      </c>
      <c r="CO417">
        <f>IFERROR(INDEX(PP_Grid[#Data],$DD417,91),0)</f>
        <v/>
      </c>
      <c r="CP417">
        <f>IFERROR(INDEX(PP_Grid[#Data],$DD417,92),0)</f>
        <v/>
      </c>
      <c r="CQ417">
        <f>IFERROR(INDEX(PP_Grid[#Data],$DD417,93),0)</f>
        <v/>
      </c>
      <c r="CR417">
        <f>IFERROR(INDEX(PP_Grid[#Data],$DD417,94),0)</f>
        <v/>
      </c>
      <c r="CS417">
        <f>IFERROR(INDEX(PP_Grid[#Data],$DD417,95),0)</f>
        <v/>
      </c>
      <c r="CT417">
        <f>IFERROR(INDEX(PP_Grid[#Data],$DD417,96),0)</f>
        <v/>
      </c>
      <c r="CU417">
        <f>IFERROR(INDEX(PP_Grid[#Data],$DD417,97),0)</f>
        <v/>
      </c>
      <c r="CV417">
        <f>IFERROR(INDEX(PP_Grid[#Data],$DD417,98),0)</f>
        <v/>
      </c>
      <c r="CW417">
        <f>IFERROR(INDEX(PP_Grid[#Data],$DD417,99),0)</f>
        <v/>
      </c>
      <c r="CX417">
        <f>IFERROR(INDEX(PP_Grid[#Data],$DD417,100),0)</f>
        <v/>
      </c>
      <c r="CY417">
        <f>IFERROR(INDEX(PP_Grid[#Data],$DD417,101),0)</f>
        <v/>
      </c>
      <c r="CZ417">
        <f>IFERROR(INDEX(PP_Grid[#Data],$DD417,102),0)</f>
        <v/>
      </c>
      <c r="DA417">
        <f>IFERROR(INDEX(PP_Grid[#Data],$DD417,103),0)</f>
        <v/>
      </c>
      <c r="DB417">
        <f>IFERROR(INDEX(PP_Grid[#Data],$DD417,104),0)</f>
        <v/>
      </c>
      <c r="DC417">
        <f>IFERROR(INDEX(PP_Grid[#Data],$DD417,105),0)</f>
        <v/>
      </c>
      <c r="DD417" s="7">
        <f>IFERROR(MATCH($B417,PP_Grid[Intermediate],0),99999)</f>
        <v/>
      </c>
    </row>
    <row r="418">
      <c r="B418" t="inlineStr">
        <is>
          <t>使用量(kg)</t>
        </is>
      </c>
      <c r="C418">
        <f>SUMIFS(M_BOM[RM_Qty_Per_Batch],M_BOM[Intermediate],$B417,M_BOM[Part Name],$A340)</f>
        <v/>
      </c>
      <c r="D418">
        <f>$C418*D417</f>
        <v/>
      </c>
      <c r="E418">
        <f>$C418*E417</f>
        <v/>
      </c>
      <c r="F418">
        <f>$C418*F417</f>
        <v/>
      </c>
      <c r="G418">
        <f>$C418*G417</f>
        <v/>
      </c>
      <c r="H418">
        <f>$C418*H417</f>
        <v/>
      </c>
      <c r="I418">
        <f>$C418*I417</f>
        <v/>
      </c>
      <c r="J418">
        <f>$C418*J417</f>
        <v/>
      </c>
      <c r="K418">
        <f>$C418*K417</f>
        <v/>
      </c>
      <c r="L418">
        <f>$C418*L417</f>
        <v/>
      </c>
      <c r="M418">
        <f>$C418*M417</f>
        <v/>
      </c>
      <c r="N418">
        <f>$C418*N417</f>
        <v/>
      </c>
      <c r="O418">
        <f>$C418*O417</f>
        <v/>
      </c>
      <c r="P418">
        <f>$C418*P417</f>
        <v/>
      </c>
      <c r="Q418">
        <f>$C418*Q417</f>
        <v/>
      </c>
      <c r="R418">
        <f>$C418*R417</f>
        <v/>
      </c>
      <c r="S418">
        <f>$C418*S417</f>
        <v/>
      </c>
      <c r="T418">
        <f>$C418*T417</f>
        <v/>
      </c>
      <c r="U418">
        <f>$C418*U417</f>
        <v/>
      </c>
      <c r="V418">
        <f>$C418*V417</f>
        <v/>
      </c>
      <c r="W418">
        <f>$C418*W417</f>
        <v/>
      </c>
      <c r="X418">
        <f>$C418*X417</f>
        <v/>
      </c>
      <c r="Y418">
        <f>$C418*Y417</f>
        <v/>
      </c>
      <c r="Z418">
        <f>$C418*Z417</f>
        <v/>
      </c>
      <c r="AA418">
        <f>$C418*AA417</f>
        <v/>
      </c>
      <c r="AB418">
        <f>$C418*AB417</f>
        <v/>
      </c>
      <c r="AC418">
        <f>$C418*AC417</f>
        <v/>
      </c>
      <c r="AD418">
        <f>$C418*AD417</f>
        <v/>
      </c>
      <c r="AE418">
        <f>$C418*AE417</f>
        <v/>
      </c>
      <c r="AF418">
        <f>$C418*AF417</f>
        <v/>
      </c>
      <c r="AG418">
        <f>$C418*AG417</f>
        <v/>
      </c>
      <c r="AH418">
        <f>$C418*AH417</f>
        <v/>
      </c>
      <c r="AI418">
        <f>$C418*AI417</f>
        <v/>
      </c>
      <c r="AJ418">
        <f>$C418*AJ417</f>
        <v/>
      </c>
      <c r="AK418">
        <f>$C418*AK417</f>
        <v/>
      </c>
      <c r="AL418">
        <f>$C418*AL417</f>
        <v/>
      </c>
      <c r="AM418">
        <f>$C418*AM417</f>
        <v/>
      </c>
      <c r="AN418">
        <f>$C418*AN417</f>
        <v/>
      </c>
      <c r="AO418">
        <f>$C418*AO417</f>
        <v/>
      </c>
      <c r="AP418">
        <f>$C418*AP417</f>
        <v/>
      </c>
      <c r="AQ418">
        <f>$C418*AQ417</f>
        <v/>
      </c>
      <c r="AR418">
        <f>$C418*AR417</f>
        <v/>
      </c>
      <c r="AS418">
        <f>$C418*AS417</f>
        <v/>
      </c>
      <c r="AT418">
        <f>$C418*AT417</f>
        <v/>
      </c>
      <c r="AU418">
        <f>$C418*AU417</f>
        <v/>
      </c>
      <c r="AV418">
        <f>$C418*AV417</f>
        <v/>
      </c>
      <c r="AW418">
        <f>$C418*AW417</f>
        <v/>
      </c>
      <c r="AX418">
        <f>$C418*AX417</f>
        <v/>
      </c>
      <c r="AY418">
        <f>$C418*AY417</f>
        <v/>
      </c>
      <c r="AZ418">
        <f>$C418*AZ417</f>
        <v/>
      </c>
      <c r="BA418">
        <f>$C418*BA417</f>
        <v/>
      </c>
      <c r="BB418">
        <f>$C418*BB417</f>
        <v/>
      </c>
      <c r="BC418">
        <f>$C418*BC417</f>
        <v/>
      </c>
      <c r="BD418">
        <f>$C418*BD417</f>
        <v/>
      </c>
      <c r="BE418">
        <f>$C418*BE417</f>
        <v/>
      </c>
      <c r="BF418">
        <f>$C418*BF417</f>
        <v/>
      </c>
      <c r="BG418">
        <f>$C418*BG417</f>
        <v/>
      </c>
      <c r="BH418">
        <f>$C418*BH417</f>
        <v/>
      </c>
      <c r="BI418">
        <f>$C418*BI417</f>
        <v/>
      </c>
      <c r="BJ418">
        <f>$C418*BJ417</f>
        <v/>
      </c>
      <c r="BK418">
        <f>$C418*BK417</f>
        <v/>
      </c>
      <c r="BL418">
        <f>$C418*BL417</f>
        <v/>
      </c>
      <c r="BM418">
        <f>$C418*BM417</f>
        <v/>
      </c>
      <c r="BN418">
        <f>$C418*BN417</f>
        <v/>
      </c>
      <c r="BO418">
        <f>$C418*BO417</f>
        <v/>
      </c>
      <c r="BP418">
        <f>$C418*BP417</f>
        <v/>
      </c>
      <c r="BQ418">
        <f>$C418*BQ417</f>
        <v/>
      </c>
      <c r="BR418">
        <f>$C418*BR417</f>
        <v/>
      </c>
      <c r="BS418">
        <f>$C418*BS417</f>
        <v/>
      </c>
      <c r="BT418">
        <f>$C418*BT417</f>
        <v/>
      </c>
      <c r="BU418">
        <f>$C418*BU417</f>
        <v/>
      </c>
      <c r="BV418">
        <f>$C418*BV417</f>
        <v/>
      </c>
      <c r="BW418">
        <f>$C418*BW417</f>
        <v/>
      </c>
      <c r="BX418">
        <f>$C418*BX417</f>
        <v/>
      </c>
      <c r="BY418">
        <f>$C418*BY417</f>
        <v/>
      </c>
      <c r="BZ418">
        <f>$C418*BZ417</f>
        <v/>
      </c>
      <c r="CA418">
        <f>$C418*CA417</f>
        <v/>
      </c>
      <c r="CB418">
        <f>$C418*CB417</f>
        <v/>
      </c>
      <c r="CC418">
        <f>$C418*CC417</f>
        <v/>
      </c>
      <c r="CD418">
        <f>$C418*CD417</f>
        <v/>
      </c>
      <c r="CE418">
        <f>$C418*CE417</f>
        <v/>
      </c>
      <c r="CF418">
        <f>$C418*CF417</f>
        <v/>
      </c>
      <c r="CG418">
        <f>$C418*CG417</f>
        <v/>
      </c>
      <c r="CH418">
        <f>$C418*CH417</f>
        <v/>
      </c>
      <c r="CI418">
        <f>$C418*CI417</f>
        <v/>
      </c>
      <c r="CJ418">
        <f>$C418*CJ417</f>
        <v/>
      </c>
      <c r="CK418">
        <f>$C418*CK417</f>
        <v/>
      </c>
      <c r="CL418">
        <f>$C418*CL417</f>
        <v/>
      </c>
      <c r="CM418">
        <f>$C418*CM417</f>
        <v/>
      </c>
      <c r="CN418">
        <f>$C418*CN417</f>
        <v/>
      </c>
      <c r="CO418">
        <f>$C418*CO417</f>
        <v/>
      </c>
      <c r="CP418">
        <f>$C418*CP417</f>
        <v/>
      </c>
      <c r="CQ418">
        <f>$C418*CQ417</f>
        <v/>
      </c>
      <c r="CR418">
        <f>$C418*CR417</f>
        <v/>
      </c>
      <c r="CS418">
        <f>$C418*CS417</f>
        <v/>
      </c>
      <c r="CT418">
        <f>$C418*CT417</f>
        <v/>
      </c>
      <c r="CU418">
        <f>$C418*CU417</f>
        <v/>
      </c>
      <c r="CV418">
        <f>$C418*CV417</f>
        <v/>
      </c>
      <c r="CW418">
        <f>$C418*CW417</f>
        <v/>
      </c>
      <c r="CX418">
        <f>$C418*CX417</f>
        <v/>
      </c>
      <c r="CY418">
        <f>$C418*CY417</f>
        <v/>
      </c>
      <c r="CZ418">
        <f>$C418*CZ417</f>
        <v/>
      </c>
      <c r="DA418">
        <f>$C418*DA417</f>
        <v/>
      </c>
      <c r="DB418">
        <f>$C418*DB417</f>
        <v/>
      </c>
      <c r="DC418">
        <f>$C418*DC417</f>
        <v/>
      </c>
    </row>
    <row r="419">
      <c r="B419" t="inlineStr">
        <is>
          <t>VSP-739</t>
        </is>
      </c>
      <c r="C419" t="inlineStr">
        <is>
          <t>No. of batches</t>
        </is>
      </c>
      <c r="D419">
        <f>IFERROR(INDEX(PP_Grid[#Data],$DD419,2),0)</f>
        <v/>
      </c>
      <c r="E419">
        <f>IFERROR(INDEX(PP_Grid[#Data],$DD419,3),0)</f>
        <v/>
      </c>
      <c r="F419">
        <f>IFERROR(INDEX(PP_Grid[#Data],$DD419,4),0)</f>
        <v/>
      </c>
      <c r="G419">
        <f>IFERROR(INDEX(PP_Grid[#Data],$DD419,5),0)</f>
        <v/>
      </c>
      <c r="H419">
        <f>IFERROR(INDEX(PP_Grid[#Data],$DD419,6),0)</f>
        <v/>
      </c>
      <c r="I419">
        <f>IFERROR(INDEX(PP_Grid[#Data],$DD419,7),0)</f>
        <v/>
      </c>
      <c r="J419">
        <f>IFERROR(INDEX(PP_Grid[#Data],$DD419,8),0)</f>
        <v/>
      </c>
      <c r="K419">
        <f>IFERROR(INDEX(PP_Grid[#Data],$DD419,9),0)</f>
        <v/>
      </c>
      <c r="L419">
        <f>IFERROR(INDEX(PP_Grid[#Data],$DD419,10),0)</f>
        <v/>
      </c>
      <c r="M419">
        <f>IFERROR(INDEX(PP_Grid[#Data],$DD419,11),0)</f>
        <v/>
      </c>
      <c r="N419">
        <f>IFERROR(INDEX(PP_Grid[#Data],$DD419,12),0)</f>
        <v/>
      </c>
      <c r="O419">
        <f>IFERROR(INDEX(PP_Grid[#Data],$DD419,13),0)</f>
        <v/>
      </c>
      <c r="P419">
        <f>IFERROR(INDEX(PP_Grid[#Data],$DD419,14),0)</f>
        <v/>
      </c>
      <c r="Q419">
        <f>IFERROR(INDEX(PP_Grid[#Data],$DD419,15),0)</f>
        <v/>
      </c>
      <c r="R419">
        <f>IFERROR(INDEX(PP_Grid[#Data],$DD419,16),0)</f>
        <v/>
      </c>
      <c r="S419">
        <f>IFERROR(INDEX(PP_Grid[#Data],$DD419,17),0)</f>
        <v/>
      </c>
      <c r="T419">
        <f>IFERROR(INDEX(PP_Grid[#Data],$DD419,18),0)</f>
        <v/>
      </c>
      <c r="U419">
        <f>IFERROR(INDEX(PP_Grid[#Data],$DD419,19),0)</f>
        <v/>
      </c>
      <c r="V419">
        <f>IFERROR(INDEX(PP_Grid[#Data],$DD419,20),0)</f>
        <v/>
      </c>
      <c r="W419">
        <f>IFERROR(INDEX(PP_Grid[#Data],$DD419,21),0)</f>
        <v/>
      </c>
      <c r="X419">
        <f>IFERROR(INDEX(PP_Grid[#Data],$DD419,22),0)</f>
        <v/>
      </c>
      <c r="Y419">
        <f>IFERROR(INDEX(PP_Grid[#Data],$DD419,23),0)</f>
        <v/>
      </c>
      <c r="Z419">
        <f>IFERROR(INDEX(PP_Grid[#Data],$DD419,24),0)</f>
        <v/>
      </c>
      <c r="AA419">
        <f>IFERROR(INDEX(PP_Grid[#Data],$DD419,25),0)</f>
        <v/>
      </c>
      <c r="AB419">
        <f>IFERROR(INDEX(PP_Grid[#Data],$DD419,26),0)</f>
        <v/>
      </c>
      <c r="AC419">
        <f>IFERROR(INDEX(PP_Grid[#Data],$DD419,27),0)</f>
        <v/>
      </c>
      <c r="AD419">
        <f>IFERROR(INDEX(PP_Grid[#Data],$DD419,28),0)</f>
        <v/>
      </c>
      <c r="AE419">
        <f>IFERROR(INDEX(PP_Grid[#Data],$DD419,29),0)</f>
        <v/>
      </c>
      <c r="AF419">
        <f>IFERROR(INDEX(PP_Grid[#Data],$DD419,30),0)</f>
        <v/>
      </c>
      <c r="AG419">
        <f>IFERROR(INDEX(PP_Grid[#Data],$DD419,31),0)</f>
        <v/>
      </c>
      <c r="AH419">
        <f>IFERROR(INDEX(PP_Grid[#Data],$DD419,32),0)</f>
        <v/>
      </c>
      <c r="AI419">
        <f>IFERROR(INDEX(PP_Grid[#Data],$DD419,33),0)</f>
        <v/>
      </c>
      <c r="AJ419">
        <f>IFERROR(INDEX(PP_Grid[#Data],$DD419,34),0)</f>
        <v/>
      </c>
      <c r="AK419">
        <f>IFERROR(INDEX(PP_Grid[#Data],$DD419,35),0)</f>
        <v/>
      </c>
      <c r="AL419">
        <f>IFERROR(INDEX(PP_Grid[#Data],$DD419,36),0)</f>
        <v/>
      </c>
      <c r="AM419">
        <f>IFERROR(INDEX(PP_Grid[#Data],$DD419,37),0)</f>
        <v/>
      </c>
      <c r="AN419">
        <f>IFERROR(INDEX(PP_Grid[#Data],$DD419,38),0)</f>
        <v/>
      </c>
      <c r="AO419">
        <f>IFERROR(INDEX(PP_Grid[#Data],$DD419,39),0)</f>
        <v/>
      </c>
      <c r="AP419">
        <f>IFERROR(INDEX(PP_Grid[#Data],$DD419,40),0)</f>
        <v/>
      </c>
      <c r="AQ419">
        <f>IFERROR(INDEX(PP_Grid[#Data],$DD419,41),0)</f>
        <v/>
      </c>
      <c r="AR419">
        <f>IFERROR(INDEX(PP_Grid[#Data],$DD419,42),0)</f>
        <v/>
      </c>
      <c r="AS419">
        <f>IFERROR(INDEX(PP_Grid[#Data],$DD419,43),0)</f>
        <v/>
      </c>
      <c r="AT419">
        <f>IFERROR(INDEX(PP_Grid[#Data],$DD419,44),0)</f>
        <v/>
      </c>
      <c r="AU419">
        <f>IFERROR(INDEX(PP_Grid[#Data],$DD419,45),0)</f>
        <v/>
      </c>
      <c r="AV419">
        <f>IFERROR(INDEX(PP_Grid[#Data],$DD419,46),0)</f>
        <v/>
      </c>
      <c r="AW419">
        <f>IFERROR(INDEX(PP_Grid[#Data],$DD419,47),0)</f>
        <v/>
      </c>
      <c r="AX419">
        <f>IFERROR(INDEX(PP_Grid[#Data],$DD419,48),0)</f>
        <v/>
      </c>
      <c r="AY419">
        <f>IFERROR(INDEX(PP_Grid[#Data],$DD419,49),0)</f>
        <v/>
      </c>
      <c r="AZ419">
        <f>IFERROR(INDEX(PP_Grid[#Data],$DD419,50),0)</f>
        <v/>
      </c>
      <c r="BA419">
        <f>IFERROR(INDEX(PP_Grid[#Data],$DD419,51),0)</f>
        <v/>
      </c>
      <c r="BB419">
        <f>IFERROR(INDEX(PP_Grid[#Data],$DD419,52),0)</f>
        <v/>
      </c>
      <c r="BC419">
        <f>IFERROR(INDEX(PP_Grid[#Data],$DD419,53),0)</f>
        <v/>
      </c>
      <c r="BD419">
        <f>IFERROR(INDEX(PP_Grid[#Data],$DD419,54),0)</f>
        <v/>
      </c>
      <c r="BE419">
        <f>IFERROR(INDEX(PP_Grid[#Data],$DD419,55),0)</f>
        <v/>
      </c>
      <c r="BF419">
        <f>IFERROR(INDEX(PP_Grid[#Data],$DD419,56),0)</f>
        <v/>
      </c>
      <c r="BG419">
        <f>IFERROR(INDEX(PP_Grid[#Data],$DD419,57),0)</f>
        <v/>
      </c>
      <c r="BH419">
        <f>IFERROR(INDEX(PP_Grid[#Data],$DD419,58),0)</f>
        <v/>
      </c>
      <c r="BI419">
        <f>IFERROR(INDEX(PP_Grid[#Data],$DD419,59),0)</f>
        <v/>
      </c>
      <c r="BJ419">
        <f>IFERROR(INDEX(PP_Grid[#Data],$DD419,60),0)</f>
        <v/>
      </c>
      <c r="BK419">
        <f>IFERROR(INDEX(PP_Grid[#Data],$DD419,61),0)</f>
        <v/>
      </c>
      <c r="BL419">
        <f>IFERROR(INDEX(PP_Grid[#Data],$DD419,62),0)</f>
        <v/>
      </c>
      <c r="BM419">
        <f>IFERROR(INDEX(PP_Grid[#Data],$DD419,63),0)</f>
        <v/>
      </c>
      <c r="BN419">
        <f>IFERROR(INDEX(PP_Grid[#Data],$DD419,64),0)</f>
        <v/>
      </c>
      <c r="BO419">
        <f>IFERROR(INDEX(PP_Grid[#Data],$DD419,65),0)</f>
        <v/>
      </c>
      <c r="BP419">
        <f>IFERROR(INDEX(PP_Grid[#Data],$DD419,66),0)</f>
        <v/>
      </c>
      <c r="BQ419">
        <f>IFERROR(INDEX(PP_Grid[#Data],$DD419,67),0)</f>
        <v/>
      </c>
      <c r="BR419">
        <f>IFERROR(INDEX(PP_Grid[#Data],$DD419,68),0)</f>
        <v/>
      </c>
      <c r="BS419">
        <f>IFERROR(INDEX(PP_Grid[#Data],$DD419,69),0)</f>
        <v/>
      </c>
      <c r="BT419">
        <f>IFERROR(INDEX(PP_Grid[#Data],$DD419,70),0)</f>
        <v/>
      </c>
      <c r="BU419">
        <f>IFERROR(INDEX(PP_Grid[#Data],$DD419,71),0)</f>
        <v/>
      </c>
      <c r="BV419">
        <f>IFERROR(INDEX(PP_Grid[#Data],$DD419,72),0)</f>
        <v/>
      </c>
      <c r="BW419">
        <f>IFERROR(INDEX(PP_Grid[#Data],$DD419,73),0)</f>
        <v/>
      </c>
      <c r="BX419">
        <f>IFERROR(INDEX(PP_Grid[#Data],$DD419,74),0)</f>
        <v/>
      </c>
      <c r="BY419">
        <f>IFERROR(INDEX(PP_Grid[#Data],$DD419,75),0)</f>
        <v/>
      </c>
      <c r="BZ419">
        <f>IFERROR(INDEX(PP_Grid[#Data],$DD419,76),0)</f>
        <v/>
      </c>
      <c r="CA419">
        <f>IFERROR(INDEX(PP_Grid[#Data],$DD419,77),0)</f>
        <v/>
      </c>
      <c r="CB419">
        <f>IFERROR(INDEX(PP_Grid[#Data],$DD419,78),0)</f>
        <v/>
      </c>
      <c r="CC419">
        <f>IFERROR(INDEX(PP_Grid[#Data],$DD419,79),0)</f>
        <v/>
      </c>
      <c r="CD419">
        <f>IFERROR(INDEX(PP_Grid[#Data],$DD419,80),0)</f>
        <v/>
      </c>
      <c r="CE419">
        <f>IFERROR(INDEX(PP_Grid[#Data],$DD419,81),0)</f>
        <v/>
      </c>
      <c r="CF419">
        <f>IFERROR(INDEX(PP_Grid[#Data],$DD419,82),0)</f>
        <v/>
      </c>
      <c r="CG419">
        <f>IFERROR(INDEX(PP_Grid[#Data],$DD419,83),0)</f>
        <v/>
      </c>
      <c r="CH419">
        <f>IFERROR(INDEX(PP_Grid[#Data],$DD419,84),0)</f>
        <v/>
      </c>
      <c r="CI419">
        <f>IFERROR(INDEX(PP_Grid[#Data],$DD419,85),0)</f>
        <v/>
      </c>
      <c r="CJ419">
        <f>IFERROR(INDEX(PP_Grid[#Data],$DD419,86),0)</f>
        <v/>
      </c>
      <c r="CK419">
        <f>IFERROR(INDEX(PP_Grid[#Data],$DD419,87),0)</f>
        <v/>
      </c>
      <c r="CL419">
        <f>IFERROR(INDEX(PP_Grid[#Data],$DD419,88),0)</f>
        <v/>
      </c>
      <c r="CM419">
        <f>IFERROR(INDEX(PP_Grid[#Data],$DD419,89),0)</f>
        <v/>
      </c>
      <c r="CN419">
        <f>IFERROR(INDEX(PP_Grid[#Data],$DD419,90),0)</f>
        <v/>
      </c>
      <c r="CO419">
        <f>IFERROR(INDEX(PP_Grid[#Data],$DD419,91),0)</f>
        <v/>
      </c>
      <c r="CP419">
        <f>IFERROR(INDEX(PP_Grid[#Data],$DD419,92),0)</f>
        <v/>
      </c>
      <c r="CQ419">
        <f>IFERROR(INDEX(PP_Grid[#Data],$DD419,93),0)</f>
        <v/>
      </c>
      <c r="CR419">
        <f>IFERROR(INDEX(PP_Grid[#Data],$DD419,94),0)</f>
        <v/>
      </c>
      <c r="CS419">
        <f>IFERROR(INDEX(PP_Grid[#Data],$DD419,95),0)</f>
        <v/>
      </c>
      <c r="CT419">
        <f>IFERROR(INDEX(PP_Grid[#Data],$DD419,96),0)</f>
        <v/>
      </c>
      <c r="CU419">
        <f>IFERROR(INDEX(PP_Grid[#Data],$DD419,97),0)</f>
        <v/>
      </c>
      <c r="CV419">
        <f>IFERROR(INDEX(PP_Grid[#Data],$DD419,98),0)</f>
        <v/>
      </c>
      <c r="CW419">
        <f>IFERROR(INDEX(PP_Grid[#Data],$DD419,99),0)</f>
        <v/>
      </c>
      <c r="CX419">
        <f>IFERROR(INDEX(PP_Grid[#Data],$DD419,100),0)</f>
        <v/>
      </c>
      <c r="CY419">
        <f>IFERROR(INDEX(PP_Grid[#Data],$DD419,101),0)</f>
        <v/>
      </c>
      <c r="CZ419">
        <f>IFERROR(INDEX(PP_Grid[#Data],$DD419,102),0)</f>
        <v/>
      </c>
      <c r="DA419">
        <f>IFERROR(INDEX(PP_Grid[#Data],$DD419,103),0)</f>
        <v/>
      </c>
      <c r="DB419">
        <f>IFERROR(INDEX(PP_Grid[#Data],$DD419,104),0)</f>
        <v/>
      </c>
      <c r="DC419">
        <f>IFERROR(INDEX(PP_Grid[#Data],$DD419,105),0)</f>
        <v/>
      </c>
      <c r="DD419" s="7">
        <f>IFERROR(MATCH($B419,PP_Grid[Intermediate],0),99999)</f>
        <v/>
      </c>
    </row>
    <row r="420">
      <c r="B420" t="inlineStr">
        <is>
          <t>使用量(kg)</t>
        </is>
      </c>
      <c r="C420">
        <f>SUMIFS(M_BOM[RM_Qty_Per_Batch],M_BOM[Intermediate],$B419,M_BOM[Part Name],$A340)</f>
        <v/>
      </c>
      <c r="D420">
        <f>$C420*D419</f>
        <v/>
      </c>
      <c r="E420">
        <f>$C420*E419</f>
        <v/>
      </c>
      <c r="F420">
        <f>$C420*F419</f>
        <v/>
      </c>
      <c r="G420">
        <f>$C420*G419</f>
        <v/>
      </c>
      <c r="H420">
        <f>$C420*H419</f>
        <v/>
      </c>
      <c r="I420">
        <f>$C420*I419</f>
        <v/>
      </c>
      <c r="J420">
        <f>$C420*J419</f>
        <v/>
      </c>
      <c r="K420">
        <f>$C420*K419</f>
        <v/>
      </c>
      <c r="L420">
        <f>$C420*L419</f>
        <v/>
      </c>
      <c r="M420">
        <f>$C420*M419</f>
        <v/>
      </c>
      <c r="N420">
        <f>$C420*N419</f>
        <v/>
      </c>
      <c r="O420">
        <f>$C420*O419</f>
        <v/>
      </c>
      <c r="P420">
        <f>$C420*P419</f>
        <v/>
      </c>
      <c r="Q420">
        <f>$C420*Q419</f>
        <v/>
      </c>
      <c r="R420">
        <f>$C420*R419</f>
        <v/>
      </c>
      <c r="S420">
        <f>$C420*S419</f>
        <v/>
      </c>
      <c r="T420">
        <f>$C420*T419</f>
        <v/>
      </c>
      <c r="U420">
        <f>$C420*U419</f>
        <v/>
      </c>
      <c r="V420">
        <f>$C420*V419</f>
        <v/>
      </c>
      <c r="W420">
        <f>$C420*W419</f>
        <v/>
      </c>
      <c r="X420">
        <f>$C420*X419</f>
        <v/>
      </c>
      <c r="Y420">
        <f>$C420*Y419</f>
        <v/>
      </c>
      <c r="Z420">
        <f>$C420*Z419</f>
        <v/>
      </c>
      <c r="AA420">
        <f>$C420*AA419</f>
        <v/>
      </c>
      <c r="AB420">
        <f>$C420*AB419</f>
        <v/>
      </c>
      <c r="AC420">
        <f>$C420*AC419</f>
        <v/>
      </c>
      <c r="AD420">
        <f>$C420*AD419</f>
        <v/>
      </c>
      <c r="AE420">
        <f>$C420*AE419</f>
        <v/>
      </c>
      <c r="AF420">
        <f>$C420*AF419</f>
        <v/>
      </c>
      <c r="AG420">
        <f>$C420*AG419</f>
        <v/>
      </c>
      <c r="AH420">
        <f>$C420*AH419</f>
        <v/>
      </c>
      <c r="AI420">
        <f>$C420*AI419</f>
        <v/>
      </c>
      <c r="AJ420">
        <f>$C420*AJ419</f>
        <v/>
      </c>
      <c r="AK420">
        <f>$C420*AK419</f>
        <v/>
      </c>
      <c r="AL420">
        <f>$C420*AL419</f>
        <v/>
      </c>
      <c r="AM420">
        <f>$C420*AM419</f>
        <v/>
      </c>
      <c r="AN420">
        <f>$C420*AN419</f>
        <v/>
      </c>
      <c r="AO420">
        <f>$C420*AO419</f>
        <v/>
      </c>
      <c r="AP420">
        <f>$C420*AP419</f>
        <v/>
      </c>
      <c r="AQ420">
        <f>$C420*AQ419</f>
        <v/>
      </c>
      <c r="AR420">
        <f>$C420*AR419</f>
        <v/>
      </c>
      <c r="AS420">
        <f>$C420*AS419</f>
        <v/>
      </c>
      <c r="AT420">
        <f>$C420*AT419</f>
        <v/>
      </c>
      <c r="AU420">
        <f>$C420*AU419</f>
        <v/>
      </c>
      <c r="AV420">
        <f>$C420*AV419</f>
        <v/>
      </c>
      <c r="AW420">
        <f>$C420*AW419</f>
        <v/>
      </c>
      <c r="AX420">
        <f>$C420*AX419</f>
        <v/>
      </c>
      <c r="AY420">
        <f>$C420*AY419</f>
        <v/>
      </c>
      <c r="AZ420">
        <f>$C420*AZ419</f>
        <v/>
      </c>
      <c r="BA420">
        <f>$C420*BA419</f>
        <v/>
      </c>
      <c r="BB420">
        <f>$C420*BB419</f>
        <v/>
      </c>
      <c r="BC420">
        <f>$C420*BC419</f>
        <v/>
      </c>
      <c r="BD420">
        <f>$C420*BD419</f>
        <v/>
      </c>
      <c r="BE420">
        <f>$C420*BE419</f>
        <v/>
      </c>
      <c r="BF420">
        <f>$C420*BF419</f>
        <v/>
      </c>
      <c r="BG420">
        <f>$C420*BG419</f>
        <v/>
      </c>
      <c r="BH420">
        <f>$C420*BH419</f>
        <v/>
      </c>
      <c r="BI420">
        <f>$C420*BI419</f>
        <v/>
      </c>
      <c r="BJ420">
        <f>$C420*BJ419</f>
        <v/>
      </c>
      <c r="BK420">
        <f>$C420*BK419</f>
        <v/>
      </c>
      <c r="BL420">
        <f>$C420*BL419</f>
        <v/>
      </c>
      <c r="BM420">
        <f>$C420*BM419</f>
        <v/>
      </c>
      <c r="BN420">
        <f>$C420*BN419</f>
        <v/>
      </c>
      <c r="BO420">
        <f>$C420*BO419</f>
        <v/>
      </c>
      <c r="BP420">
        <f>$C420*BP419</f>
        <v/>
      </c>
      <c r="BQ420">
        <f>$C420*BQ419</f>
        <v/>
      </c>
      <c r="BR420">
        <f>$C420*BR419</f>
        <v/>
      </c>
      <c r="BS420">
        <f>$C420*BS419</f>
        <v/>
      </c>
      <c r="BT420">
        <f>$C420*BT419</f>
        <v/>
      </c>
      <c r="BU420">
        <f>$C420*BU419</f>
        <v/>
      </c>
      <c r="BV420">
        <f>$C420*BV419</f>
        <v/>
      </c>
      <c r="BW420">
        <f>$C420*BW419</f>
        <v/>
      </c>
      <c r="BX420">
        <f>$C420*BX419</f>
        <v/>
      </c>
      <c r="BY420">
        <f>$C420*BY419</f>
        <v/>
      </c>
      <c r="BZ420">
        <f>$C420*BZ419</f>
        <v/>
      </c>
      <c r="CA420">
        <f>$C420*CA419</f>
        <v/>
      </c>
      <c r="CB420">
        <f>$C420*CB419</f>
        <v/>
      </c>
      <c r="CC420">
        <f>$C420*CC419</f>
        <v/>
      </c>
      <c r="CD420">
        <f>$C420*CD419</f>
        <v/>
      </c>
      <c r="CE420">
        <f>$C420*CE419</f>
        <v/>
      </c>
      <c r="CF420">
        <f>$C420*CF419</f>
        <v/>
      </c>
      <c r="CG420">
        <f>$C420*CG419</f>
        <v/>
      </c>
      <c r="CH420">
        <f>$C420*CH419</f>
        <v/>
      </c>
      <c r="CI420">
        <f>$C420*CI419</f>
        <v/>
      </c>
      <c r="CJ420">
        <f>$C420*CJ419</f>
        <v/>
      </c>
      <c r="CK420">
        <f>$C420*CK419</f>
        <v/>
      </c>
      <c r="CL420">
        <f>$C420*CL419</f>
        <v/>
      </c>
      <c r="CM420">
        <f>$C420*CM419</f>
        <v/>
      </c>
      <c r="CN420">
        <f>$C420*CN419</f>
        <v/>
      </c>
      <c r="CO420">
        <f>$C420*CO419</f>
        <v/>
      </c>
      <c r="CP420">
        <f>$C420*CP419</f>
        <v/>
      </c>
      <c r="CQ420">
        <f>$C420*CQ419</f>
        <v/>
      </c>
      <c r="CR420">
        <f>$C420*CR419</f>
        <v/>
      </c>
      <c r="CS420">
        <f>$C420*CS419</f>
        <v/>
      </c>
      <c r="CT420">
        <f>$C420*CT419</f>
        <v/>
      </c>
      <c r="CU420">
        <f>$C420*CU419</f>
        <v/>
      </c>
      <c r="CV420">
        <f>$C420*CV419</f>
        <v/>
      </c>
      <c r="CW420">
        <f>$C420*CW419</f>
        <v/>
      </c>
      <c r="CX420">
        <f>$C420*CX419</f>
        <v/>
      </c>
      <c r="CY420">
        <f>$C420*CY419</f>
        <v/>
      </c>
      <c r="CZ420">
        <f>$C420*CZ419</f>
        <v/>
      </c>
      <c r="DA420">
        <f>$C420*DA419</f>
        <v/>
      </c>
      <c r="DB420">
        <f>$C420*DB419</f>
        <v/>
      </c>
      <c r="DC420">
        <f>$C420*DC419</f>
        <v/>
      </c>
    </row>
    <row r="421">
      <c r="B421" t="inlineStr">
        <is>
          <t>VSP-740</t>
        </is>
      </c>
      <c r="C421" t="inlineStr">
        <is>
          <t>No. of batches</t>
        </is>
      </c>
      <c r="D421">
        <f>IFERROR(INDEX(PP_Grid[#Data],$DD421,2),0)</f>
        <v/>
      </c>
      <c r="E421">
        <f>IFERROR(INDEX(PP_Grid[#Data],$DD421,3),0)</f>
        <v/>
      </c>
      <c r="F421">
        <f>IFERROR(INDEX(PP_Grid[#Data],$DD421,4),0)</f>
        <v/>
      </c>
      <c r="G421">
        <f>IFERROR(INDEX(PP_Grid[#Data],$DD421,5),0)</f>
        <v/>
      </c>
      <c r="H421">
        <f>IFERROR(INDEX(PP_Grid[#Data],$DD421,6),0)</f>
        <v/>
      </c>
      <c r="I421">
        <f>IFERROR(INDEX(PP_Grid[#Data],$DD421,7),0)</f>
        <v/>
      </c>
      <c r="J421">
        <f>IFERROR(INDEX(PP_Grid[#Data],$DD421,8),0)</f>
        <v/>
      </c>
      <c r="K421">
        <f>IFERROR(INDEX(PP_Grid[#Data],$DD421,9),0)</f>
        <v/>
      </c>
      <c r="L421">
        <f>IFERROR(INDEX(PP_Grid[#Data],$DD421,10),0)</f>
        <v/>
      </c>
      <c r="M421">
        <f>IFERROR(INDEX(PP_Grid[#Data],$DD421,11),0)</f>
        <v/>
      </c>
      <c r="N421">
        <f>IFERROR(INDEX(PP_Grid[#Data],$DD421,12),0)</f>
        <v/>
      </c>
      <c r="O421">
        <f>IFERROR(INDEX(PP_Grid[#Data],$DD421,13),0)</f>
        <v/>
      </c>
      <c r="P421">
        <f>IFERROR(INDEX(PP_Grid[#Data],$DD421,14),0)</f>
        <v/>
      </c>
      <c r="Q421">
        <f>IFERROR(INDEX(PP_Grid[#Data],$DD421,15),0)</f>
        <v/>
      </c>
      <c r="R421">
        <f>IFERROR(INDEX(PP_Grid[#Data],$DD421,16),0)</f>
        <v/>
      </c>
      <c r="S421">
        <f>IFERROR(INDEX(PP_Grid[#Data],$DD421,17),0)</f>
        <v/>
      </c>
      <c r="T421">
        <f>IFERROR(INDEX(PP_Grid[#Data],$DD421,18),0)</f>
        <v/>
      </c>
      <c r="U421">
        <f>IFERROR(INDEX(PP_Grid[#Data],$DD421,19),0)</f>
        <v/>
      </c>
      <c r="V421">
        <f>IFERROR(INDEX(PP_Grid[#Data],$DD421,20),0)</f>
        <v/>
      </c>
      <c r="W421">
        <f>IFERROR(INDEX(PP_Grid[#Data],$DD421,21),0)</f>
        <v/>
      </c>
      <c r="X421">
        <f>IFERROR(INDEX(PP_Grid[#Data],$DD421,22),0)</f>
        <v/>
      </c>
      <c r="Y421">
        <f>IFERROR(INDEX(PP_Grid[#Data],$DD421,23),0)</f>
        <v/>
      </c>
      <c r="Z421">
        <f>IFERROR(INDEX(PP_Grid[#Data],$DD421,24),0)</f>
        <v/>
      </c>
      <c r="AA421">
        <f>IFERROR(INDEX(PP_Grid[#Data],$DD421,25),0)</f>
        <v/>
      </c>
      <c r="AB421">
        <f>IFERROR(INDEX(PP_Grid[#Data],$DD421,26),0)</f>
        <v/>
      </c>
      <c r="AC421">
        <f>IFERROR(INDEX(PP_Grid[#Data],$DD421,27),0)</f>
        <v/>
      </c>
      <c r="AD421">
        <f>IFERROR(INDEX(PP_Grid[#Data],$DD421,28),0)</f>
        <v/>
      </c>
      <c r="AE421">
        <f>IFERROR(INDEX(PP_Grid[#Data],$DD421,29),0)</f>
        <v/>
      </c>
      <c r="AF421">
        <f>IFERROR(INDEX(PP_Grid[#Data],$DD421,30),0)</f>
        <v/>
      </c>
      <c r="AG421">
        <f>IFERROR(INDEX(PP_Grid[#Data],$DD421,31),0)</f>
        <v/>
      </c>
      <c r="AH421">
        <f>IFERROR(INDEX(PP_Grid[#Data],$DD421,32),0)</f>
        <v/>
      </c>
      <c r="AI421">
        <f>IFERROR(INDEX(PP_Grid[#Data],$DD421,33),0)</f>
        <v/>
      </c>
      <c r="AJ421">
        <f>IFERROR(INDEX(PP_Grid[#Data],$DD421,34),0)</f>
        <v/>
      </c>
      <c r="AK421">
        <f>IFERROR(INDEX(PP_Grid[#Data],$DD421,35),0)</f>
        <v/>
      </c>
      <c r="AL421">
        <f>IFERROR(INDEX(PP_Grid[#Data],$DD421,36),0)</f>
        <v/>
      </c>
      <c r="AM421">
        <f>IFERROR(INDEX(PP_Grid[#Data],$DD421,37),0)</f>
        <v/>
      </c>
      <c r="AN421">
        <f>IFERROR(INDEX(PP_Grid[#Data],$DD421,38),0)</f>
        <v/>
      </c>
      <c r="AO421">
        <f>IFERROR(INDEX(PP_Grid[#Data],$DD421,39),0)</f>
        <v/>
      </c>
      <c r="AP421">
        <f>IFERROR(INDEX(PP_Grid[#Data],$DD421,40),0)</f>
        <v/>
      </c>
      <c r="AQ421">
        <f>IFERROR(INDEX(PP_Grid[#Data],$DD421,41),0)</f>
        <v/>
      </c>
      <c r="AR421">
        <f>IFERROR(INDEX(PP_Grid[#Data],$DD421,42),0)</f>
        <v/>
      </c>
      <c r="AS421">
        <f>IFERROR(INDEX(PP_Grid[#Data],$DD421,43),0)</f>
        <v/>
      </c>
      <c r="AT421">
        <f>IFERROR(INDEX(PP_Grid[#Data],$DD421,44),0)</f>
        <v/>
      </c>
      <c r="AU421">
        <f>IFERROR(INDEX(PP_Grid[#Data],$DD421,45),0)</f>
        <v/>
      </c>
      <c r="AV421">
        <f>IFERROR(INDEX(PP_Grid[#Data],$DD421,46),0)</f>
        <v/>
      </c>
      <c r="AW421">
        <f>IFERROR(INDEX(PP_Grid[#Data],$DD421,47),0)</f>
        <v/>
      </c>
      <c r="AX421">
        <f>IFERROR(INDEX(PP_Grid[#Data],$DD421,48),0)</f>
        <v/>
      </c>
      <c r="AY421">
        <f>IFERROR(INDEX(PP_Grid[#Data],$DD421,49),0)</f>
        <v/>
      </c>
      <c r="AZ421">
        <f>IFERROR(INDEX(PP_Grid[#Data],$DD421,50),0)</f>
        <v/>
      </c>
      <c r="BA421">
        <f>IFERROR(INDEX(PP_Grid[#Data],$DD421,51),0)</f>
        <v/>
      </c>
      <c r="BB421">
        <f>IFERROR(INDEX(PP_Grid[#Data],$DD421,52),0)</f>
        <v/>
      </c>
      <c r="BC421">
        <f>IFERROR(INDEX(PP_Grid[#Data],$DD421,53),0)</f>
        <v/>
      </c>
      <c r="BD421">
        <f>IFERROR(INDEX(PP_Grid[#Data],$DD421,54),0)</f>
        <v/>
      </c>
      <c r="BE421">
        <f>IFERROR(INDEX(PP_Grid[#Data],$DD421,55),0)</f>
        <v/>
      </c>
      <c r="BF421">
        <f>IFERROR(INDEX(PP_Grid[#Data],$DD421,56),0)</f>
        <v/>
      </c>
      <c r="BG421">
        <f>IFERROR(INDEX(PP_Grid[#Data],$DD421,57),0)</f>
        <v/>
      </c>
      <c r="BH421">
        <f>IFERROR(INDEX(PP_Grid[#Data],$DD421,58),0)</f>
        <v/>
      </c>
      <c r="BI421">
        <f>IFERROR(INDEX(PP_Grid[#Data],$DD421,59),0)</f>
        <v/>
      </c>
      <c r="BJ421">
        <f>IFERROR(INDEX(PP_Grid[#Data],$DD421,60),0)</f>
        <v/>
      </c>
      <c r="BK421">
        <f>IFERROR(INDEX(PP_Grid[#Data],$DD421,61),0)</f>
        <v/>
      </c>
      <c r="BL421">
        <f>IFERROR(INDEX(PP_Grid[#Data],$DD421,62),0)</f>
        <v/>
      </c>
      <c r="BM421">
        <f>IFERROR(INDEX(PP_Grid[#Data],$DD421,63),0)</f>
        <v/>
      </c>
      <c r="BN421">
        <f>IFERROR(INDEX(PP_Grid[#Data],$DD421,64),0)</f>
        <v/>
      </c>
      <c r="BO421">
        <f>IFERROR(INDEX(PP_Grid[#Data],$DD421,65),0)</f>
        <v/>
      </c>
      <c r="BP421">
        <f>IFERROR(INDEX(PP_Grid[#Data],$DD421,66),0)</f>
        <v/>
      </c>
      <c r="BQ421">
        <f>IFERROR(INDEX(PP_Grid[#Data],$DD421,67),0)</f>
        <v/>
      </c>
      <c r="BR421">
        <f>IFERROR(INDEX(PP_Grid[#Data],$DD421,68),0)</f>
        <v/>
      </c>
      <c r="BS421">
        <f>IFERROR(INDEX(PP_Grid[#Data],$DD421,69),0)</f>
        <v/>
      </c>
      <c r="BT421">
        <f>IFERROR(INDEX(PP_Grid[#Data],$DD421,70),0)</f>
        <v/>
      </c>
      <c r="BU421">
        <f>IFERROR(INDEX(PP_Grid[#Data],$DD421,71),0)</f>
        <v/>
      </c>
      <c r="BV421">
        <f>IFERROR(INDEX(PP_Grid[#Data],$DD421,72),0)</f>
        <v/>
      </c>
      <c r="BW421">
        <f>IFERROR(INDEX(PP_Grid[#Data],$DD421,73),0)</f>
        <v/>
      </c>
      <c r="BX421">
        <f>IFERROR(INDEX(PP_Grid[#Data],$DD421,74),0)</f>
        <v/>
      </c>
      <c r="BY421">
        <f>IFERROR(INDEX(PP_Grid[#Data],$DD421,75),0)</f>
        <v/>
      </c>
      <c r="BZ421">
        <f>IFERROR(INDEX(PP_Grid[#Data],$DD421,76),0)</f>
        <v/>
      </c>
      <c r="CA421">
        <f>IFERROR(INDEX(PP_Grid[#Data],$DD421,77),0)</f>
        <v/>
      </c>
      <c r="CB421">
        <f>IFERROR(INDEX(PP_Grid[#Data],$DD421,78),0)</f>
        <v/>
      </c>
      <c r="CC421">
        <f>IFERROR(INDEX(PP_Grid[#Data],$DD421,79),0)</f>
        <v/>
      </c>
      <c r="CD421">
        <f>IFERROR(INDEX(PP_Grid[#Data],$DD421,80),0)</f>
        <v/>
      </c>
      <c r="CE421">
        <f>IFERROR(INDEX(PP_Grid[#Data],$DD421,81),0)</f>
        <v/>
      </c>
      <c r="CF421">
        <f>IFERROR(INDEX(PP_Grid[#Data],$DD421,82),0)</f>
        <v/>
      </c>
      <c r="CG421">
        <f>IFERROR(INDEX(PP_Grid[#Data],$DD421,83),0)</f>
        <v/>
      </c>
      <c r="CH421">
        <f>IFERROR(INDEX(PP_Grid[#Data],$DD421,84),0)</f>
        <v/>
      </c>
      <c r="CI421">
        <f>IFERROR(INDEX(PP_Grid[#Data],$DD421,85),0)</f>
        <v/>
      </c>
      <c r="CJ421">
        <f>IFERROR(INDEX(PP_Grid[#Data],$DD421,86),0)</f>
        <v/>
      </c>
      <c r="CK421">
        <f>IFERROR(INDEX(PP_Grid[#Data],$DD421,87),0)</f>
        <v/>
      </c>
      <c r="CL421">
        <f>IFERROR(INDEX(PP_Grid[#Data],$DD421,88),0)</f>
        <v/>
      </c>
      <c r="CM421">
        <f>IFERROR(INDEX(PP_Grid[#Data],$DD421,89),0)</f>
        <v/>
      </c>
      <c r="CN421">
        <f>IFERROR(INDEX(PP_Grid[#Data],$DD421,90),0)</f>
        <v/>
      </c>
      <c r="CO421">
        <f>IFERROR(INDEX(PP_Grid[#Data],$DD421,91),0)</f>
        <v/>
      </c>
      <c r="CP421">
        <f>IFERROR(INDEX(PP_Grid[#Data],$DD421,92),0)</f>
        <v/>
      </c>
      <c r="CQ421">
        <f>IFERROR(INDEX(PP_Grid[#Data],$DD421,93),0)</f>
        <v/>
      </c>
      <c r="CR421">
        <f>IFERROR(INDEX(PP_Grid[#Data],$DD421,94),0)</f>
        <v/>
      </c>
      <c r="CS421">
        <f>IFERROR(INDEX(PP_Grid[#Data],$DD421,95),0)</f>
        <v/>
      </c>
      <c r="CT421">
        <f>IFERROR(INDEX(PP_Grid[#Data],$DD421,96),0)</f>
        <v/>
      </c>
      <c r="CU421">
        <f>IFERROR(INDEX(PP_Grid[#Data],$DD421,97),0)</f>
        <v/>
      </c>
      <c r="CV421">
        <f>IFERROR(INDEX(PP_Grid[#Data],$DD421,98),0)</f>
        <v/>
      </c>
      <c r="CW421">
        <f>IFERROR(INDEX(PP_Grid[#Data],$DD421,99),0)</f>
        <v/>
      </c>
      <c r="CX421">
        <f>IFERROR(INDEX(PP_Grid[#Data],$DD421,100),0)</f>
        <v/>
      </c>
      <c r="CY421">
        <f>IFERROR(INDEX(PP_Grid[#Data],$DD421,101),0)</f>
        <v/>
      </c>
      <c r="CZ421">
        <f>IFERROR(INDEX(PP_Grid[#Data],$DD421,102),0)</f>
        <v/>
      </c>
      <c r="DA421">
        <f>IFERROR(INDEX(PP_Grid[#Data],$DD421,103),0)</f>
        <v/>
      </c>
      <c r="DB421">
        <f>IFERROR(INDEX(PP_Grid[#Data],$DD421,104),0)</f>
        <v/>
      </c>
      <c r="DC421">
        <f>IFERROR(INDEX(PP_Grid[#Data],$DD421,105),0)</f>
        <v/>
      </c>
      <c r="DD421" s="7">
        <f>IFERROR(MATCH($B421,PP_Grid[Intermediate],0),99999)</f>
        <v/>
      </c>
    </row>
    <row r="422">
      <c r="B422" t="inlineStr">
        <is>
          <t>使用量(kg)</t>
        </is>
      </c>
      <c r="C422">
        <f>SUMIFS(M_BOM[RM_Qty_Per_Batch],M_BOM[Intermediate],$B421,M_BOM[Part Name],$A340)</f>
        <v/>
      </c>
      <c r="D422">
        <f>$C422*D421</f>
        <v/>
      </c>
      <c r="E422">
        <f>$C422*E421</f>
        <v/>
      </c>
      <c r="F422">
        <f>$C422*F421</f>
        <v/>
      </c>
      <c r="G422">
        <f>$C422*G421</f>
        <v/>
      </c>
      <c r="H422">
        <f>$C422*H421</f>
        <v/>
      </c>
      <c r="I422">
        <f>$C422*I421</f>
        <v/>
      </c>
      <c r="J422">
        <f>$C422*J421</f>
        <v/>
      </c>
      <c r="K422">
        <f>$C422*K421</f>
        <v/>
      </c>
      <c r="L422">
        <f>$C422*L421</f>
        <v/>
      </c>
      <c r="M422">
        <f>$C422*M421</f>
        <v/>
      </c>
      <c r="N422">
        <f>$C422*N421</f>
        <v/>
      </c>
      <c r="O422">
        <f>$C422*O421</f>
        <v/>
      </c>
      <c r="P422">
        <f>$C422*P421</f>
        <v/>
      </c>
      <c r="Q422">
        <f>$C422*Q421</f>
        <v/>
      </c>
      <c r="R422">
        <f>$C422*R421</f>
        <v/>
      </c>
      <c r="S422">
        <f>$C422*S421</f>
        <v/>
      </c>
      <c r="T422">
        <f>$C422*T421</f>
        <v/>
      </c>
      <c r="U422">
        <f>$C422*U421</f>
        <v/>
      </c>
      <c r="V422">
        <f>$C422*V421</f>
        <v/>
      </c>
      <c r="W422">
        <f>$C422*W421</f>
        <v/>
      </c>
      <c r="X422">
        <f>$C422*X421</f>
        <v/>
      </c>
      <c r="Y422">
        <f>$C422*Y421</f>
        <v/>
      </c>
      <c r="Z422">
        <f>$C422*Z421</f>
        <v/>
      </c>
      <c r="AA422">
        <f>$C422*AA421</f>
        <v/>
      </c>
      <c r="AB422">
        <f>$C422*AB421</f>
        <v/>
      </c>
      <c r="AC422">
        <f>$C422*AC421</f>
        <v/>
      </c>
      <c r="AD422">
        <f>$C422*AD421</f>
        <v/>
      </c>
      <c r="AE422">
        <f>$C422*AE421</f>
        <v/>
      </c>
      <c r="AF422">
        <f>$C422*AF421</f>
        <v/>
      </c>
      <c r="AG422">
        <f>$C422*AG421</f>
        <v/>
      </c>
      <c r="AH422">
        <f>$C422*AH421</f>
        <v/>
      </c>
      <c r="AI422">
        <f>$C422*AI421</f>
        <v/>
      </c>
      <c r="AJ422">
        <f>$C422*AJ421</f>
        <v/>
      </c>
      <c r="AK422">
        <f>$C422*AK421</f>
        <v/>
      </c>
      <c r="AL422">
        <f>$C422*AL421</f>
        <v/>
      </c>
      <c r="AM422">
        <f>$C422*AM421</f>
        <v/>
      </c>
      <c r="AN422">
        <f>$C422*AN421</f>
        <v/>
      </c>
      <c r="AO422">
        <f>$C422*AO421</f>
        <v/>
      </c>
      <c r="AP422">
        <f>$C422*AP421</f>
        <v/>
      </c>
      <c r="AQ422">
        <f>$C422*AQ421</f>
        <v/>
      </c>
      <c r="AR422">
        <f>$C422*AR421</f>
        <v/>
      </c>
      <c r="AS422">
        <f>$C422*AS421</f>
        <v/>
      </c>
      <c r="AT422">
        <f>$C422*AT421</f>
        <v/>
      </c>
      <c r="AU422">
        <f>$C422*AU421</f>
        <v/>
      </c>
      <c r="AV422">
        <f>$C422*AV421</f>
        <v/>
      </c>
      <c r="AW422">
        <f>$C422*AW421</f>
        <v/>
      </c>
      <c r="AX422">
        <f>$C422*AX421</f>
        <v/>
      </c>
      <c r="AY422">
        <f>$C422*AY421</f>
        <v/>
      </c>
      <c r="AZ422">
        <f>$C422*AZ421</f>
        <v/>
      </c>
      <c r="BA422">
        <f>$C422*BA421</f>
        <v/>
      </c>
      <c r="BB422">
        <f>$C422*BB421</f>
        <v/>
      </c>
      <c r="BC422">
        <f>$C422*BC421</f>
        <v/>
      </c>
      <c r="BD422">
        <f>$C422*BD421</f>
        <v/>
      </c>
      <c r="BE422">
        <f>$C422*BE421</f>
        <v/>
      </c>
      <c r="BF422">
        <f>$C422*BF421</f>
        <v/>
      </c>
      <c r="BG422">
        <f>$C422*BG421</f>
        <v/>
      </c>
      <c r="BH422">
        <f>$C422*BH421</f>
        <v/>
      </c>
      <c r="BI422">
        <f>$C422*BI421</f>
        <v/>
      </c>
      <c r="BJ422">
        <f>$C422*BJ421</f>
        <v/>
      </c>
      <c r="BK422">
        <f>$C422*BK421</f>
        <v/>
      </c>
      <c r="BL422">
        <f>$C422*BL421</f>
        <v/>
      </c>
      <c r="BM422">
        <f>$C422*BM421</f>
        <v/>
      </c>
      <c r="BN422">
        <f>$C422*BN421</f>
        <v/>
      </c>
      <c r="BO422">
        <f>$C422*BO421</f>
        <v/>
      </c>
      <c r="BP422">
        <f>$C422*BP421</f>
        <v/>
      </c>
      <c r="BQ422">
        <f>$C422*BQ421</f>
        <v/>
      </c>
      <c r="BR422">
        <f>$C422*BR421</f>
        <v/>
      </c>
      <c r="BS422">
        <f>$C422*BS421</f>
        <v/>
      </c>
      <c r="BT422">
        <f>$C422*BT421</f>
        <v/>
      </c>
      <c r="BU422">
        <f>$C422*BU421</f>
        <v/>
      </c>
      <c r="BV422">
        <f>$C422*BV421</f>
        <v/>
      </c>
      <c r="BW422">
        <f>$C422*BW421</f>
        <v/>
      </c>
      <c r="BX422">
        <f>$C422*BX421</f>
        <v/>
      </c>
      <c r="BY422">
        <f>$C422*BY421</f>
        <v/>
      </c>
      <c r="BZ422">
        <f>$C422*BZ421</f>
        <v/>
      </c>
      <c r="CA422">
        <f>$C422*CA421</f>
        <v/>
      </c>
      <c r="CB422">
        <f>$C422*CB421</f>
        <v/>
      </c>
      <c r="CC422">
        <f>$C422*CC421</f>
        <v/>
      </c>
      <c r="CD422">
        <f>$C422*CD421</f>
        <v/>
      </c>
      <c r="CE422">
        <f>$C422*CE421</f>
        <v/>
      </c>
      <c r="CF422">
        <f>$C422*CF421</f>
        <v/>
      </c>
      <c r="CG422">
        <f>$C422*CG421</f>
        <v/>
      </c>
      <c r="CH422">
        <f>$C422*CH421</f>
        <v/>
      </c>
      <c r="CI422">
        <f>$C422*CI421</f>
        <v/>
      </c>
      <c r="CJ422">
        <f>$C422*CJ421</f>
        <v/>
      </c>
      <c r="CK422">
        <f>$C422*CK421</f>
        <v/>
      </c>
      <c r="CL422">
        <f>$C422*CL421</f>
        <v/>
      </c>
      <c r="CM422">
        <f>$C422*CM421</f>
        <v/>
      </c>
      <c r="CN422">
        <f>$C422*CN421</f>
        <v/>
      </c>
      <c r="CO422">
        <f>$C422*CO421</f>
        <v/>
      </c>
      <c r="CP422">
        <f>$C422*CP421</f>
        <v/>
      </c>
      <c r="CQ422">
        <f>$C422*CQ421</f>
        <v/>
      </c>
      <c r="CR422">
        <f>$C422*CR421</f>
        <v/>
      </c>
      <c r="CS422">
        <f>$C422*CS421</f>
        <v/>
      </c>
      <c r="CT422">
        <f>$C422*CT421</f>
        <v/>
      </c>
      <c r="CU422">
        <f>$C422*CU421</f>
        <v/>
      </c>
      <c r="CV422">
        <f>$C422*CV421</f>
        <v/>
      </c>
      <c r="CW422">
        <f>$C422*CW421</f>
        <v/>
      </c>
      <c r="CX422">
        <f>$C422*CX421</f>
        <v/>
      </c>
      <c r="CY422">
        <f>$C422*CY421</f>
        <v/>
      </c>
      <c r="CZ422">
        <f>$C422*CZ421</f>
        <v/>
      </c>
      <c r="DA422">
        <f>$C422*DA421</f>
        <v/>
      </c>
      <c r="DB422">
        <f>$C422*DB421</f>
        <v/>
      </c>
      <c r="DC422">
        <f>$C422*DC421</f>
        <v/>
      </c>
    </row>
    <row r="423">
      <c r="B423" t="inlineStr">
        <is>
          <t>VSP-746</t>
        </is>
      </c>
      <c r="C423" t="inlineStr">
        <is>
          <t>No. of batches</t>
        </is>
      </c>
      <c r="D423">
        <f>IFERROR(INDEX(PP_Grid[#Data],$DD423,2),0)</f>
        <v/>
      </c>
      <c r="E423">
        <f>IFERROR(INDEX(PP_Grid[#Data],$DD423,3),0)</f>
        <v/>
      </c>
      <c r="F423">
        <f>IFERROR(INDEX(PP_Grid[#Data],$DD423,4),0)</f>
        <v/>
      </c>
      <c r="G423">
        <f>IFERROR(INDEX(PP_Grid[#Data],$DD423,5),0)</f>
        <v/>
      </c>
      <c r="H423">
        <f>IFERROR(INDEX(PP_Grid[#Data],$DD423,6),0)</f>
        <v/>
      </c>
      <c r="I423">
        <f>IFERROR(INDEX(PP_Grid[#Data],$DD423,7),0)</f>
        <v/>
      </c>
      <c r="J423">
        <f>IFERROR(INDEX(PP_Grid[#Data],$DD423,8),0)</f>
        <v/>
      </c>
      <c r="K423">
        <f>IFERROR(INDEX(PP_Grid[#Data],$DD423,9),0)</f>
        <v/>
      </c>
      <c r="L423">
        <f>IFERROR(INDEX(PP_Grid[#Data],$DD423,10),0)</f>
        <v/>
      </c>
      <c r="M423">
        <f>IFERROR(INDEX(PP_Grid[#Data],$DD423,11),0)</f>
        <v/>
      </c>
      <c r="N423">
        <f>IFERROR(INDEX(PP_Grid[#Data],$DD423,12),0)</f>
        <v/>
      </c>
      <c r="O423">
        <f>IFERROR(INDEX(PP_Grid[#Data],$DD423,13),0)</f>
        <v/>
      </c>
      <c r="P423">
        <f>IFERROR(INDEX(PP_Grid[#Data],$DD423,14),0)</f>
        <v/>
      </c>
      <c r="Q423">
        <f>IFERROR(INDEX(PP_Grid[#Data],$DD423,15),0)</f>
        <v/>
      </c>
      <c r="R423">
        <f>IFERROR(INDEX(PP_Grid[#Data],$DD423,16),0)</f>
        <v/>
      </c>
      <c r="S423">
        <f>IFERROR(INDEX(PP_Grid[#Data],$DD423,17),0)</f>
        <v/>
      </c>
      <c r="T423">
        <f>IFERROR(INDEX(PP_Grid[#Data],$DD423,18),0)</f>
        <v/>
      </c>
      <c r="U423">
        <f>IFERROR(INDEX(PP_Grid[#Data],$DD423,19),0)</f>
        <v/>
      </c>
      <c r="V423">
        <f>IFERROR(INDEX(PP_Grid[#Data],$DD423,20),0)</f>
        <v/>
      </c>
      <c r="W423">
        <f>IFERROR(INDEX(PP_Grid[#Data],$DD423,21),0)</f>
        <v/>
      </c>
      <c r="X423">
        <f>IFERROR(INDEX(PP_Grid[#Data],$DD423,22),0)</f>
        <v/>
      </c>
      <c r="Y423">
        <f>IFERROR(INDEX(PP_Grid[#Data],$DD423,23),0)</f>
        <v/>
      </c>
      <c r="Z423">
        <f>IFERROR(INDEX(PP_Grid[#Data],$DD423,24),0)</f>
        <v/>
      </c>
      <c r="AA423">
        <f>IFERROR(INDEX(PP_Grid[#Data],$DD423,25),0)</f>
        <v/>
      </c>
      <c r="AB423">
        <f>IFERROR(INDEX(PP_Grid[#Data],$DD423,26),0)</f>
        <v/>
      </c>
      <c r="AC423">
        <f>IFERROR(INDEX(PP_Grid[#Data],$DD423,27),0)</f>
        <v/>
      </c>
      <c r="AD423">
        <f>IFERROR(INDEX(PP_Grid[#Data],$DD423,28),0)</f>
        <v/>
      </c>
      <c r="AE423">
        <f>IFERROR(INDEX(PP_Grid[#Data],$DD423,29),0)</f>
        <v/>
      </c>
      <c r="AF423">
        <f>IFERROR(INDEX(PP_Grid[#Data],$DD423,30),0)</f>
        <v/>
      </c>
      <c r="AG423">
        <f>IFERROR(INDEX(PP_Grid[#Data],$DD423,31),0)</f>
        <v/>
      </c>
      <c r="AH423">
        <f>IFERROR(INDEX(PP_Grid[#Data],$DD423,32),0)</f>
        <v/>
      </c>
      <c r="AI423">
        <f>IFERROR(INDEX(PP_Grid[#Data],$DD423,33),0)</f>
        <v/>
      </c>
      <c r="AJ423">
        <f>IFERROR(INDEX(PP_Grid[#Data],$DD423,34),0)</f>
        <v/>
      </c>
      <c r="AK423">
        <f>IFERROR(INDEX(PP_Grid[#Data],$DD423,35),0)</f>
        <v/>
      </c>
      <c r="AL423">
        <f>IFERROR(INDEX(PP_Grid[#Data],$DD423,36),0)</f>
        <v/>
      </c>
      <c r="AM423">
        <f>IFERROR(INDEX(PP_Grid[#Data],$DD423,37),0)</f>
        <v/>
      </c>
      <c r="AN423">
        <f>IFERROR(INDEX(PP_Grid[#Data],$DD423,38),0)</f>
        <v/>
      </c>
      <c r="AO423">
        <f>IFERROR(INDEX(PP_Grid[#Data],$DD423,39),0)</f>
        <v/>
      </c>
      <c r="AP423">
        <f>IFERROR(INDEX(PP_Grid[#Data],$DD423,40),0)</f>
        <v/>
      </c>
      <c r="AQ423">
        <f>IFERROR(INDEX(PP_Grid[#Data],$DD423,41),0)</f>
        <v/>
      </c>
      <c r="AR423">
        <f>IFERROR(INDEX(PP_Grid[#Data],$DD423,42),0)</f>
        <v/>
      </c>
      <c r="AS423">
        <f>IFERROR(INDEX(PP_Grid[#Data],$DD423,43),0)</f>
        <v/>
      </c>
      <c r="AT423">
        <f>IFERROR(INDEX(PP_Grid[#Data],$DD423,44),0)</f>
        <v/>
      </c>
      <c r="AU423">
        <f>IFERROR(INDEX(PP_Grid[#Data],$DD423,45),0)</f>
        <v/>
      </c>
      <c r="AV423">
        <f>IFERROR(INDEX(PP_Grid[#Data],$DD423,46),0)</f>
        <v/>
      </c>
      <c r="AW423">
        <f>IFERROR(INDEX(PP_Grid[#Data],$DD423,47),0)</f>
        <v/>
      </c>
      <c r="AX423">
        <f>IFERROR(INDEX(PP_Grid[#Data],$DD423,48),0)</f>
        <v/>
      </c>
      <c r="AY423">
        <f>IFERROR(INDEX(PP_Grid[#Data],$DD423,49),0)</f>
        <v/>
      </c>
      <c r="AZ423">
        <f>IFERROR(INDEX(PP_Grid[#Data],$DD423,50),0)</f>
        <v/>
      </c>
      <c r="BA423">
        <f>IFERROR(INDEX(PP_Grid[#Data],$DD423,51),0)</f>
        <v/>
      </c>
      <c r="BB423">
        <f>IFERROR(INDEX(PP_Grid[#Data],$DD423,52),0)</f>
        <v/>
      </c>
      <c r="BC423">
        <f>IFERROR(INDEX(PP_Grid[#Data],$DD423,53),0)</f>
        <v/>
      </c>
      <c r="BD423">
        <f>IFERROR(INDEX(PP_Grid[#Data],$DD423,54),0)</f>
        <v/>
      </c>
      <c r="BE423">
        <f>IFERROR(INDEX(PP_Grid[#Data],$DD423,55),0)</f>
        <v/>
      </c>
      <c r="BF423">
        <f>IFERROR(INDEX(PP_Grid[#Data],$DD423,56),0)</f>
        <v/>
      </c>
      <c r="BG423">
        <f>IFERROR(INDEX(PP_Grid[#Data],$DD423,57),0)</f>
        <v/>
      </c>
      <c r="BH423">
        <f>IFERROR(INDEX(PP_Grid[#Data],$DD423,58),0)</f>
        <v/>
      </c>
      <c r="BI423">
        <f>IFERROR(INDEX(PP_Grid[#Data],$DD423,59),0)</f>
        <v/>
      </c>
      <c r="BJ423">
        <f>IFERROR(INDEX(PP_Grid[#Data],$DD423,60),0)</f>
        <v/>
      </c>
      <c r="BK423">
        <f>IFERROR(INDEX(PP_Grid[#Data],$DD423,61),0)</f>
        <v/>
      </c>
      <c r="BL423">
        <f>IFERROR(INDEX(PP_Grid[#Data],$DD423,62),0)</f>
        <v/>
      </c>
      <c r="BM423">
        <f>IFERROR(INDEX(PP_Grid[#Data],$DD423,63),0)</f>
        <v/>
      </c>
      <c r="BN423">
        <f>IFERROR(INDEX(PP_Grid[#Data],$DD423,64),0)</f>
        <v/>
      </c>
      <c r="BO423">
        <f>IFERROR(INDEX(PP_Grid[#Data],$DD423,65),0)</f>
        <v/>
      </c>
      <c r="BP423">
        <f>IFERROR(INDEX(PP_Grid[#Data],$DD423,66),0)</f>
        <v/>
      </c>
      <c r="BQ423">
        <f>IFERROR(INDEX(PP_Grid[#Data],$DD423,67),0)</f>
        <v/>
      </c>
      <c r="BR423">
        <f>IFERROR(INDEX(PP_Grid[#Data],$DD423,68),0)</f>
        <v/>
      </c>
      <c r="BS423">
        <f>IFERROR(INDEX(PP_Grid[#Data],$DD423,69),0)</f>
        <v/>
      </c>
      <c r="BT423">
        <f>IFERROR(INDEX(PP_Grid[#Data],$DD423,70),0)</f>
        <v/>
      </c>
      <c r="BU423">
        <f>IFERROR(INDEX(PP_Grid[#Data],$DD423,71),0)</f>
        <v/>
      </c>
      <c r="BV423">
        <f>IFERROR(INDEX(PP_Grid[#Data],$DD423,72),0)</f>
        <v/>
      </c>
      <c r="BW423">
        <f>IFERROR(INDEX(PP_Grid[#Data],$DD423,73),0)</f>
        <v/>
      </c>
      <c r="BX423">
        <f>IFERROR(INDEX(PP_Grid[#Data],$DD423,74),0)</f>
        <v/>
      </c>
      <c r="BY423">
        <f>IFERROR(INDEX(PP_Grid[#Data],$DD423,75),0)</f>
        <v/>
      </c>
      <c r="BZ423">
        <f>IFERROR(INDEX(PP_Grid[#Data],$DD423,76),0)</f>
        <v/>
      </c>
      <c r="CA423">
        <f>IFERROR(INDEX(PP_Grid[#Data],$DD423,77),0)</f>
        <v/>
      </c>
      <c r="CB423">
        <f>IFERROR(INDEX(PP_Grid[#Data],$DD423,78),0)</f>
        <v/>
      </c>
      <c r="CC423">
        <f>IFERROR(INDEX(PP_Grid[#Data],$DD423,79),0)</f>
        <v/>
      </c>
      <c r="CD423">
        <f>IFERROR(INDEX(PP_Grid[#Data],$DD423,80),0)</f>
        <v/>
      </c>
      <c r="CE423">
        <f>IFERROR(INDEX(PP_Grid[#Data],$DD423,81),0)</f>
        <v/>
      </c>
      <c r="CF423">
        <f>IFERROR(INDEX(PP_Grid[#Data],$DD423,82),0)</f>
        <v/>
      </c>
      <c r="CG423">
        <f>IFERROR(INDEX(PP_Grid[#Data],$DD423,83),0)</f>
        <v/>
      </c>
      <c r="CH423">
        <f>IFERROR(INDEX(PP_Grid[#Data],$DD423,84),0)</f>
        <v/>
      </c>
      <c r="CI423">
        <f>IFERROR(INDEX(PP_Grid[#Data],$DD423,85),0)</f>
        <v/>
      </c>
      <c r="CJ423">
        <f>IFERROR(INDEX(PP_Grid[#Data],$DD423,86),0)</f>
        <v/>
      </c>
      <c r="CK423">
        <f>IFERROR(INDEX(PP_Grid[#Data],$DD423,87),0)</f>
        <v/>
      </c>
      <c r="CL423">
        <f>IFERROR(INDEX(PP_Grid[#Data],$DD423,88),0)</f>
        <v/>
      </c>
      <c r="CM423">
        <f>IFERROR(INDEX(PP_Grid[#Data],$DD423,89),0)</f>
        <v/>
      </c>
      <c r="CN423">
        <f>IFERROR(INDEX(PP_Grid[#Data],$DD423,90),0)</f>
        <v/>
      </c>
      <c r="CO423">
        <f>IFERROR(INDEX(PP_Grid[#Data],$DD423,91),0)</f>
        <v/>
      </c>
      <c r="CP423">
        <f>IFERROR(INDEX(PP_Grid[#Data],$DD423,92),0)</f>
        <v/>
      </c>
      <c r="CQ423">
        <f>IFERROR(INDEX(PP_Grid[#Data],$DD423,93),0)</f>
        <v/>
      </c>
      <c r="CR423">
        <f>IFERROR(INDEX(PP_Grid[#Data],$DD423,94),0)</f>
        <v/>
      </c>
      <c r="CS423">
        <f>IFERROR(INDEX(PP_Grid[#Data],$DD423,95),0)</f>
        <v/>
      </c>
      <c r="CT423">
        <f>IFERROR(INDEX(PP_Grid[#Data],$DD423,96),0)</f>
        <v/>
      </c>
      <c r="CU423">
        <f>IFERROR(INDEX(PP_Grid[#Data],$DD423,97),0)</f>
        <v/>
      </c>
      <c r="CV423">
        <f>IFERROR(INDEX(PP_Grid[#Data],$DD423,98),0)</f>
        <v/>
      </c>
      <c r="CW423">
        <f>IFERROR(INDEX(PP_Grid[#Data],$DD423,99),0)</f>
        <v/>
      </c>
      <c r="CX423">
        <f>IFERROR(INDEX(PP_Grid[#Data],$DD423,100),0)</f>
        <v/>
      </c>
      <c r="CY423">
        <f>IFERROR(INDEX(PP_Grid[#Data],$DD423,101),0)</f>
        <v/>
      </c>
      <c r="CZ423">
        <f>IFERROR(INDEX(PP_Grid[#Data],$DD423,102),0)</f>
        <v/>
      </c>
      <c r="DA423">
        <f>IFERROR(INDEX(PP_Grid[#Data],$DD423,103),0)</f>
        <v/>
      </c>
      <c r="DB423">
        <f>IFERROR(INDEX(PP_Grid[#Data],$DD423,104),0)</f>
        <v/>
      </c>
      <c r="DC423">
        <f>IFERROR(INDEX(PP_Grid[#Data],$DD423,105),0)</f>
        <v/>
      </c>
      <c r="DD423" s="7">
        <f>IFERROR(MATCH($B423,PP_Grid[Intermediate],0),99999)</f>
        <v/>
      </c>
    </row>
    <row r="424">
      <c r="B424" t="inlineStr">
        <is>
          <t>使用量(kg)</t>
        </is>
      </c>
      <c r="C424">
        <f>SUMIFS(M_BOM[RM_Qty_Per_Batch],M_BOM[Intermediate],$B423,M_BOM[Part Name],$A340)</f>
        <v/>
      </c>
      <c r="D424">
        <f>$C424*D423</f>
        <v/>
      </c>
      <c r="E424">
        <f>$C424*E423</f>
        <v/>
      </c>
      <c r="F424">
        <f>$C424*F423</f>
        <v/>
      </c>
      <c r="G424">
        <f>$C424*G423</f>
        <v/>
      </c>
      <c r="H424">
        <f>$C424*H423</f>
        <v/>
      </c>
      <c r="I424">
        <f>$C424*I423</f>
        <v/>
      </c>
      <c r="J424">
        <f>$C424*J423</f>
        <v/>
      </c>
      <c r="K424">
        <f>$C424*K423</f>
        <v/>
      </c>
      <c r="L424">
        <f>$C424*L423</f>
        <v/>
      </c>
      <c r="M424">
        <f>$C424*M423</f>
        <v/>
      </c>
      <c r="N424">
        <f>$C424*N423</f>
        <v/>
      </c>
      <c r="O424">
        <f>$C424*O423</f>
        <v/>
      </c>
      <c r="P424">
        <f>$C424*P423</f>
        <v/>
      </c>
      <c r="Q424">
        <f>$C424*Q423</f>
        <v/>
      </c>
      <c r="R424">
        <f>$C424*R423</f>
        <v/>
      </c>
      <c r="S424">
        <f>$C424*S423</f>
        <v/>
      </c>
      <c r="T424">
        <f>$C424*T423</f>
        <v/>
      </c>
      <c r="U424">
        <f>$C424*U423</f>
        <v/>
      </c>
      <c r="V424">
        <f>$C424*V423</f>
        <v/>
      </c>
      <c r="W424">
        <f>$C424*W423</f>
        <v/>
      </c>
      <c r="X424">
        <f>$C424*X423</f>
        <v/>
      </c>
      <c r="Y424">
        <f>$C424*Y423</f>
        <v/>
      </c>
      <c r="Z424">
        <f>$C424*Z423</f>
        <v/>
      </c>
      <c r="AA424">
        <f>$C424*AA423</f>
        <v/>
      </c>
      <c r="AB424">
        <f>$C424*AB423</f>
        <v/>
      </c>
      <c r="AC424">
        <f>$C424*AC423</f>
        <v/>
      </c>
      <c r="AD424">
        <f>$C424*AD423</f>
        <v/>
      </c>
      <c r="AE424">
        <f>$C424*AE423</f>
        <v/>
      </c>
      <c r="AF424">
        <f>$C424*AF423</f>
        <v/>
      </c>
      <c r="AG424">
        <f>$C424*AG423</f>
        <v/>
      </c>
      <c r="AH424">
        <f>$C424*AH423</f>
        <v/>
      </c>
      <c r="AI424">
        <f>$C424*AI423</f>
        <v/>
      </c>
      <c r="AJ424">
        <f>$C424*AJ423</f>
        <v/>
      </c>
      <c r="AK424">
        <f>$C424*AK423</f>
        <v/>
      </c>
      <c r="AL424">
        <f>$C424*AL423</f>
        <v/>
      </c>
      <c r="AM424">
        <f>$C424*AM423</f>
        <v/>
      </c>
      <c r="AN424">
        <f>$C424*AN423</f>
        <v/>
      </c>
      <c r="AO424">
        <f>$C424*AO423</f>
        <v/>
      </c>
      <c r="AP424">
        <f>$C424*AP423</f>
        <v/>
      </c>
      <c r="AQ424">
        <f>$C424*AQ423</f>
        <v/>
      </c>
      <c r="AR424">
        <f>$C424*AR423</f>
        <v/>
      </c>
      <c r="AS424">
        <f>$C424*AS423</f>
        <v/>
      </c>
      <c r="AT424">
        <f>$C424*AT423</f>
        <v/>
      </c>
      <c r="AU424">
        <f>$C424*AU423</f>
        <v/>
      </c>
      <c r="AV424">
        <f>$C424*AV423</f>
        <v/>
      </c>
      <c r="AW424">
        <f>$C424*AW423</f>
        <v/>
      </c>
      <c r="AX424">
        <f>$C424*AX423</f>
        <v/>
      </c>
      <c r="AY424">
        <f>$C424*AY423</f>
        <v/>
      </c>
      <c r="AZ424">
        <f>$C424*AZ423</f>
        <v/>
      </c>
      <c r="BA424">
        <f>$C424*BA423</f>
        <v/>
      </c>
      <c r="BB424">
        <f>$C424*BB423</f>
        <v/>
      </c>
      <c r="BC424">
        <f>$C424*BC423</f>
        <v/>
      </c>
      <c r="BD424">
        <f>$C424*BD423</f>
        <v/>
      </c>
      <c r="BE424">
        <f>$C424*BE423</f>
        <v/>
      </c>
      <c r="BF424">
        <f>$C424*BF423</f>
        <v/>
      </c>
      <c r="BG424">
        <f>$C424*BG423</f>
        <v/>
      </c>
      <c r="BH424">
        <f>$C424*BH423</f>
        <v/>
      </c>
      <c r="BI424">
        <f>$C424*BI423</f>
        <v/>
      </c>
      <c r="BJ424">
        <f>$C424*BJ423</f>
        <v/>
      </c>
      <c r="BK424">
        <f>$C424*BK423</f>
        <v/>
      </c>
      <c r="BL424">
        <f>$C424*BL423</f>
        <v/>
      </c>
      <c r="BM424">
        <f>$C424*BM423</f>
        <v/>
      </c>
      <c r="BN424">
        <f>$C424*BN423</f>
        <v/>
      </c>
      <c r="BO424">
        <f>$C424*BO423</f>
        <v/>
      </c>
      <c r="BP424">
        <f>$C424*BP423</f>
        <v/>
      </c>
      <c r="BQ424">
        <f>$C424*BQ423</f>
        <v/>
      </c>
      <c r="BR424">
        <f>$C424*BR423</f>
        <v/>
      </c>
      <c r="BS424">
        <f>$C424*BS423</f>
        <v/>
      </c>
      <c r="BT424">
        <f>$C424*BT423</f>
        <v/>
      </c>
      <c r="BU424">
        <f>$C424*BU423</f>
        <v/>
      </c>
      <c r="BV424">
        <f>$C424*BV423</f>
        <v/>
      </c>
      <c r="BW424">
        <f>$C424*BW423</f>
        <v/>
      </c>
      <c r="BX424">
        <f>$C424*BX423</f>
        <v/>
      </c>
      <c r="BY424">
        <f>$C424*BY423</f>
        <v/>
      </c>
      <c r="BZ424">
        <f>$C424*BZ423</f>
        <v/>
      </c>
      <c r="CA424">
        <f>$C424*CA423</f>
        <v/>
      </c>
      <c r="CB424">
        <f>$C424*CB423</f>
        <v/>
      </c>
      <c r="CC424">
        <f>$C424*CC423</f>
        <v/>
      </c>
      <c r="CD424">
        <f>$C424*CD423</f>
        <v/>
      </c>
      <c r="CE424">
        <f>$C424*CE423</f>
        <v/>
      </c>
      <c r="CF424">
        <f>$C424*CF423</f>
        <v/>
      </c>
      <c r="CG424">
        <f>$C424*CG423</f>
        <v/>
      </c>
      <c r="CH424">
        <f>$C424*CH423</f>
        <v/>
      </c>
      <c r="CI424">
        <f>$C424*CI423</f>
        <v/>
      </c>
      <c r="CJ424">
        <f>$C424*CJ423</f>
        <v/>
      </c>
      <c r="CK424">
        <f>$C424*CK423</f>
        <v/>
      </c>
      <c r="CL424">
        <f>$C424*CL423</f>
        <v/>
      </c>
      <c r="CM424">
        <f>$C424*CM423</f>
        <v/>
      </c>
      <c r="CN424">
        <f>$C424*CN423</f>
        <v/>
      </c>
      <c r="CO424">
        <f>$C424*CO423</f>
        <v/>
      </c>
      <c r="CP424">
        <f>$C424*CP423</f>
        <v/>
      </c>
      <c r="CQ424">
        <f>$C424*CQ423</f>
        <v/>
      </c>
      <c r="CR424">
        <f>$C424*CR423</f>
        <v/>
      </c>
      <c r="CS424">
        <f>$C424*CS423</f>
        <v/>
      </c>
      <c r="CT424">
        <f>$C424*CT423</f>
        <v/>
      </c>
      <c r="CU424">
        <f>$C424*CU423</f>
        <v/>
      </c>
      <c r="CV424">
        <f>$C424*CV423</f>
        <v/>
      </c>
      <c r="CW424">
        <f>$C424*CW423</f>
        <v/>
      </c>
      <c r="CX424">
        <f>$C424*CX423</f>
        <v/>
      </c>
      <c r="CY424">
        <f>$C424*CY423</f>
        <v/>
      </c>
      <c r="CZ424">
        <f>$C424*CZ423</f>
        <v/>
      </c>
      <c r="DA424">
        <f>$C424*DA423</f>
        <v/>
      </c>
      <c r="DB424">
        <f>$C424*DB423</f>
        <v/>
      </c>
      <c r="DC424">
        <f>$C424*DC423</f>
        <v/>
      </c>
    </row>
    <row r="425">
      <c r="B425" t="inlineStr">
        <is>
          <t>VSP-820</t>
        </is>
      </c>
      <c r="C425" t="inlineStr">
        <is>
          <t>No. of batches</t>
        </is>
      </c>
      <c r="D425">
        <f>IFERROR(INDEX(PP_Grid[#Data],$DD425,2),0)</f>
        <v/>
      </c>
      <c r="E425">
        <f>IFERROR(INDEX(PP_Grid[#Data],$DD425,3),0)</f>
        <v/>
      </c>
      <c r="F425">
        <f>IFERROR(INDEX(PP_Grid[#Data],$DD425,4),0)</f>
        <v/>
      </c>
      <c r="G425">
        <f>IFERROR(INDEX(PP_Grid[#Data],$DD425,5),0)</f>
        <v/>
      </c>
      <c r="H425">
        <f>IFERROR(INDEX(PP_Grid[#Data],$DD425,6),0)</f>
        <v/>
      </c>
      <c r="I425">
        <f>IFERROR(INDEX(PP_Grid[#Data],$DD425,7),0)</f>
        <v/>
      </c>
      <c r="J425">
        <f>IFERROR(INDEX(PP_Grid[#Data],$DD425,8),0)</f>
        <v/>
      </c>
      <c r="K425">
        <f>IFERROR(INDEX(PP_Grid[#Data],$DD425,9),0)</f>
        <v/>
      </c>
      <c r="L425">
        <f>IFERROR(INDEX(PP_Grid[#Data],$DD425,10),0)</f>
        <v/>
      </c>
      <c r="M425">
        <f>IFERROR(INDEX(PP_Grid[#Data],$DD425,11),0)</f>
        <v/>
      </c>
      <c r="N425">
        <f>IFERROR(INDEX(PP_Grid[#Data],$DD425,12),0)</f>
        <v/>
      </c>
      <c r="O425">
        <f>IFERROR(INDEX(PP_Grid[#Data],$DD425,13),0)</f>
        <v/>
      </c>
      <c r="P425">
        <f>IFERROR(INDEX(PP_Grid[#Data],$DD425,14),0)</f>
        <v/>
      </c>
      <c r="Q425">
        <f>IFERROR(INDEX(PP_Grid[#Data],$DD425,15),0)</f>
        <v/>
      </c>
      <c r="R425">
        <f>IFERROR(INDEX(PP_Grid[#Data],$DD425,16),0)</f>
        <v/>
      </c>
      <c r="S425">
        <f>IFERROR(INDEX(PP_Grid[#Data],$DD425,17),0)</f>
        <v/>
      </c>
      <c r="T425">
        <f>IFERROR(INDEX(PP_Grid[#Data],$DD425,18),0)</f>
        <v/>
      </c>
      <c r="U425">
        <f>IFERROR(INDEX(PP_Grid[#Data],$DD425,19),0)</f>
        <v/>
      </c>
      <c r="V425">
        <f>IFERROR(INDEX(PP_Grid[#Data],$DD425,20),0)</f>
        <v/>
      </c>
      <c r="W425">
        <f>IFERROR(INDEX(PP_Grid[#Data],$DD425,21),0)</f>
        <v/>
      </c>
      <c r="X425">
        <f>IFERROR(INDEX(PP_Grid[#Data],$DD425,22),0)</f>
        <v/>
      </c>
      <c r="Y425">
        <f>IFERROR(INDEX(PP_Grid[#Data],$DD425,23),0)</f>
        <v/>
      </c>
      <c r="Z425">
        <f>IFERROR(INDEX(PP_Grid[#Data],$DD425,24),0)</f>
        <v/>
      </c>
      <c r="AA425">
        <f>IFERROR(INDEX(PP_Grid[#Data],$DD425,25),0)</f>
        <v/>
      </c>
      <c r="AB425">
        <f>IFERROR(INDEX(PP_Grid[#Data],$DD425,26),0)</f>
        <v/>
      </c>
      <c r="AC425">
        <f>IFERROR(INDEX(PP_Grid[#Data],$DD425,27),0)</f>
        <v/>
      </c>
      <c r="AD425">
        <f>IFERROR(INDEX(PP_Grid[#Data],$DD425,28),0)</f>
        <v/>
      </c>
      <c r="AE425">
        <f>IFERROR(INDEX(PP_Grid[#Data],$DD425,29),0)</f>
        <v/>
      </c>
      <c r="AF425">
        <f>IFERROR(INDEX(PP_Grid[#Data],$DD425,30),0)</f>
        <v/>
      </c>
      <c r="AG425">
        <f>IFERROR(INDEX(PP_Grid[#Data],$DD425,31),0)</f>
        <v/>
      </c>
      <c r="AH425">
        <f>IFERROR(INDEX(PP_Grid[#Data],$DD425,32),0)</f>
        <v/>
      </c>
      <c r="AI425">
        <f>IFERROR(INDEX(PP_Grid[#Data],$DD425,33),0)</f>
        <v/>
      </c>
      <c r="AJ425">
        <f>IFERROR(INDEX(PP_Grid[#Data],$DD425,34),0)</f>
        <v/>
      </c>
      <c r="AK425">
        <f>IFERROR(INDEX(PP_Grid[#Data],$DD425,35),0)</f>
        <v/>
      </c>
      <c r="AL425">
        <f>IFERROR(INDEX(PP_Grid[#Data],$DD425,36),0)</f>
        <v/>
      </c>
      <c r="AM425">
        <f>IFERROR(INDEX(PP_Grid[#Data],$DD425,37),0)</f>
        <v/>
      </c>
      <c r="AN425">
        <f>IFERROR(INDEX(PP_Grid[#Data],$DD425,38),0)</f>
        <v/>
      </c>
      <c r="AO425">
        <f>IFERROR(INDEX(PP_Grid[#Data],$DD425,39),0)</f>
        <v/>
      </c>
      <c r="AP425">
        <f>IFERROR(INDEX(PP_Grid[#Data],$DD425,40),0)</f>
        <v/>
      </c>
      <c r="AQ425">
        <f>IFERROR(INDEX(PP_Grid[#Data],$DD425,41),0)</f>
        <v/>
      </c>
      <c r="AR425">
        <f>IFERROR(INDEX(PP_Grid[#Data],$DD425,42),0)</f>
        <v/>
      </c>
      <c r="AS425">
        <f>IFERROR(INDEX(PP_Grid[#Data],$DD425,43),0)</f>
        <v/>
      </c>
      <c r="AT425">
        <f>IFERROR(INDEX(PP_Grid[#Data],$DD425,44),0)</f>
        <v/>
      </c>
      <c r="AU425">
        <f>IFERROR(INDEX(PP_Grid[#Data],$DD425,45),0)</f>
        <v/>
      </c>
      <c r="AV425">
        <f>IFERROR(INDEX(PP_Grid[#Data],$DD425,46),0)</f>
        <v/>
      </c>
      <c r="AW425">
        <f>IFERROR(INDEX(PP_Grid[#Data],$DD425,47),0)</f>
        <v/>
      </c>
      <c r="AX425">
        <f>IFERROR(INDEX(PP_Grid[#Data],$DD425,48),0)</f>
        <v/>
      </c>
      <c r="AY425">
        <f>IFERROR(INDEX(PP_Grid[#Data],$DD425,49),0)</f>
        <v/>
      </c>
      <c r="AZ425">
        <f>IFERROR(INDEX(PP_Grid[#Data],$DD425,50),0)</f>
        <v/>
      </c>
      <c r="BA425">
        <f>IFERROR(INDEX(PP_Grid[#Data],$DD425,51),0)</f>
        <v/>
      </c>
      <c r="BB425">
        <f>IFERROR(INDEX(PP_Grid[#Data],$DD425,52),0)</f>
        <v/>
      </c>
      <c r="BC425">
        <f>IFERROR(INDEX(PP_Grid[#Data],$DD425,53),0)</f>
        <v/>
      </c>
      <c r="BD425">
        <f>IFERROR(INDEX(PP_Grid[#Data],$DD425,54),0)</f>
        <v/>
      </c>
      <c r="BE425">
        <f>IFERROR(INDEX(PP_Grid[#Data],$DD425,55),0)</f>
        <v/>
      </c>
      <c r="BF425">
        <f>IFERROR(INDEX(PP_Grid[#Data],$DD425,56),0)</f>
        <v/>
      </c>
      <c r="BG425">
        <f>IFERROR(INDEX(PP_Grid[#Data],$DD425,57),0)</f>
        <v/>
      </c>
      <c r="BH425">
        <f>IFERROR(INDEX(PP_Grid[#Data],$DD425,58),0)</f>
        <v/>
      </c>
      <c r="BI425">
        <f>IFERROR(INDEX(PP_Grid[#Data],$DD425,59),0)</f>
        <v/>
      </c>
      <c r="BJ425">
        <f>IFERROR(INDEX(PP_Grid[#Data],$DD425,60),0)</f>
        <v/>
      </c>
      <c r="BK425">
        <f>IFERROR(INDEX(PP_Grid[#Data],$DD425,61),0)</f>
        <v/>
      </c>
      <c r="BL425">
        <f>IFERROR(INDEX(PP_Grid[#Data],$DD425,62),0)</f>
        <v/>
      </c>
      <c r="BM425">
        <f>IFERROR(INDEX(PP_Grid[#Data],$DD425,63),0)</f>
        <v/>
      </c>
      <c r="BN425">
        <f>IFERROR(INDEX(PP_Grid[#Data],$DD425,64),0)</f>
        <v/>
      </c>
      <c r="BO425">
        <f>IFERROR(INDEX(PP_Grid[#Data],$DD425,65),0)</f>
        <v/>
      </c>
      <c r="BP425">
        <f>IFERROR(INDEX(PP_Grid[#Data],$DD425,66),0)</f>
        <v/>
      </c>
      <c r="BQ425">
        <f>IFERROR(INDEX(PP_Grid[#Data],$DD425,67),0)</f>
        <v/>
      </c>
      <c r="BR425">
        <f>IFERROR(INDEX(PP_Grid[#Data],$DD425,68),0)</f>
        <v/>
      </c>
      <c r="BS425">
        <f>IFERROR(INDEX(PP_Grid[#Data],$DD425,69),0)</f>
        <v/>
      </c>
      <c r="BT425">
        <f>IFERROR(INDEX(PP_Grid[#Data],$DD425,70),0)</f>
        <v/>
      </c>
      <c r="BU425">
        <f>IFERROR(INDEX(PP_Grid[#Data],$DD425,71),0)</f>
        <v/>
      </c>
      <c r="BV425">
        <f>IFERROR(INDEX(PP_Grid[#Data],$DD425,72),0)</f>
        <v/>
      </c>
      <c r="BW425">
        <f>IFERROR(INDEX(PP_Grid[#Data],$DD425,73),0)</f>
        <v/>
      </c>
      <c r="BX425">
        <f>IFERROR(INDEX(PP_Grid[#Data],$DD425,74),0)</f>
        <v/>
      </c>
      <c r="BY425">
        <f>IFERROR(INDEX(PP_Grid[#Data],$DD425,75),0)</f>
        <v/>
      </c>
      <c r="BZ425">
        <f>IFERROR(INDEX(PP_Grid[#Data],$DD425,76),0)</f>
        <v/>
      </c>
      <c r="CA425">
        <f>IFERROR(INDEX(PP_Grid[#Data],$DD425,77),0)</f>
        <v/>
      </c>
      <c r="CB425">
        <f>IFERROR(INDEX(PP_Grid[#Data],$DD425,78),0)</f>
        <v/>
      </c>
      <c r="CC425">
        <f>IFERROR(INDEX(PP_Grid[#Data],$DD425,79),0)</f>
        <v/>
      </c>
      <c r="CD425">
        <f>IFERROR(INDEX(PP_Grid[#Data],$DD425,80),0)</f>
        <v/>
      </c>
      <c r="CE425">
        <f>IFERROR(INDEX(PP_Grid[#Data],$DD425,81),0)</f>
        <v/>
      </c>
      <c r="CF425">
        <f>IFERROR(INDEX(PP_Grid[#Data],$DD425,82),0)</f>
        <v/>
      </c>
      <c r="CG425">
        <f>IFERROR(INDEX(PP_Grid[#Data],$DD425,83),0)</f>
        <v/>
      </c>
      <c r="CH425">
        <f>IFERROR(INDEX(PP_Grid[#Data],$DD425,84),0)</f>
        <v/>
      </c>
      <c r="CI425">
        <f>IFERROR(INDEX(PP_Grid[#Data],$DD425,85),0)</f>
        <v/>
      </c>
      <c r="CJ425">
        <f>IFERROR(INDEX(PP_Grid[#Data],$DD425,86),0)</f>
        <v/>
      </c>
      <c r="CK425">
        <f>IFERROR(INDEX(PP_Grid[#Data],$DD425,87),0)</f>
        <v/>
      </c>
      <c r="CL425">
        <f>IFERROR(INDEX(PP_Grid[#Data],$DD425,88),0)</f>
        <v/>
      </c>
      <c r="CM425">
        <f>IFERROR(INDEX(PP_Grid[#Data],$DD425,89),0)</f>
        <v/>
      </c>
      <c r="CN425">
        <f>IFERROR(INDEX(PP_Grid[#Data],$DD425,90),0)</f>
        <v/>
      </c>
      <c r="CO425">
        <f>IFERROR(INDEX(PP_Grid[#Data],$DD425,91),0)</f>
        <v/>
      </c>
      <c r="CP425">
        <f>IFERROR(INDEX(PP_Grid[#Data],$DD425,92),0)</f>
        <v/>
      </c>
      <c r="CQ425">
        <f>IFERROR(INDEX(PP_Grid[#Data],$DD425,93),0)</f>
        <v/>
      </c>
      <c r="CR425">
        <f>IFERROR(INDEX(PP_Grid[#Data],$DD425,94),0)</f>
        <v/>
      </c>
      <c r="CS425">
        <f>IFERROR(INDEX(PP_Grid[#Data],$DD425,95),0)</f>
        <v/>
      </c>
      <c r="CT425">
        <f>IFERROR(INDEX(PP_Grid[#Data],$DD425,96),0)</f>
        <v/>
      </c>
      <c r="CU425">
        <f>IFERROR(INDEX(PP_Grid[#Data],$DD425,97),0)</f>
        <v/>
      </c>
      <c r="CV425">
        <f>IFERROR(INDEX(PP_Grid[#Data],$DD425,98),0)</f>
        <v/>
      </c>
      <c r="CW425">
        <f>IFERROR(INDEX(PP_Grid[#Data],$DD425,99),0)</f>
        <v/>
      </c>
      <c r="CX425">
        <f>IFERROR(INDEX(PP_Grid[#Data],$DD425,100),0)</f>
        <v/>
      </c>
      <c r="CY425">
        <f>IFERROR(INDEX(PP_Grid[#Data],$DD425,101),0)</f>
        <v/>
      </c>
      <c r="CZ425">
        <f>IFERROR(INDEX(PP_Grid[#Data],$DD425,102),0)</f>
        <v/>
      </c>
      <c r="DA425">
        <f>IFERROR(INDEX(PP_Grid[#Data],$DD425,103),0)</f>
        <v/>
      </c>
      <c r="DB425">
        <f>IFERROR(INDEX(PP_Grid[#Data],$DD425,104),0)</f>
        <v/>
      </c>
      <c r="DC425">
        <f>IFERROR(INDEX(PP_Grid[#Data],$DD425,105),0)</f>
        <v/>
      </c>
      <c r="DD425" s="7">
        <f>IFERROR(MATCH($B425,PP_Grid[Intermediate],0),99999)</f>
        <v/>
      </c>
    </row>
    <row r="426">
      <c r="B426" t="inlineStr">
        <is>
          <t>使用量(kg)</t>
        </is>
      </c>
      <c r="C426">
        <f>SUMIFS(M_BOM[RM_Qty_Per_Batch],M_BOM[Intermediate],$B425,M_BOM[Part Name],$A340)</f>
        <v/>
      </c>
      <c r="D426">
        <f>$C426*D425</f>
        <v/>
      </c>
      <c r="E426">
        <f>$C426*E425</f>
        <v/>
      </c>
      <c r="F426">
        <f>$C426*F425</f>
        <v/>
      </c>
      <c r="G426">
        <f>$C426*G425</f>
        <v/>
      </c>
      <c r="H426">
        <f>$C426*H425</f>
        <v/>
      </c>
      <c r="I426">
        <f>$C426*I425</f>
        <v/>
      </c>
      <c r="J426">
        <f>$C426*J425</f>
        <v/>
      </c>
      <c r="K426">
        <f>$C426*K425</f>
        <v/>
      </c>
      <c r="L426">
        <f>$C426*L425</f>
        <v/>
      </c>
      <c r="M426">
        <f>$C426*M425</f>
        <v/>
      </c>
      <c r="N426">
        <f>$C426*N425</f>
        <v/>
      </c>
      <c r="O426">
        <f>$C426*O425</f>
        <v/>
      </c>
      <c r="P426">
        <f>$C426*P425</f>
        <v/>
      </c>
      <c r="Q426">
        <f>$C426*Q425</f>
        <v/>
      </c>
      <c r="R426">
        <f>$C426*R425</f>
        <v/>
      </c>
      <c r="S426">
        <f>$C426*S425</f>
        <v/>
      </c>
      <c r="T426">
        <f>$C426*T425</f>
        <v/>
      </c>
      <c r="U426">
        <f>$C426*U425</f>
        <v/>
      </c>
      <c r="V426">
        <f>$C426*V425</f>
        <v/>
      </c>
      <c r="W426">
        <f>$C426*W425</f>
        <v/>
      </c>
      <c r="X426">
        <f>$C426*X425</f>
        <v/>
      </c>
      <c r="Y426">
        <f>$C426*Y425</f>
        <v/>
      </c>
      <c r="Z426">
        <f>$C426*Z425</f>
        <v/>
      </c>
      <c r="AA426">
        <f>$C426*AA425</f>
        <v/>
      </c>
      <c r="AB426">
        <f>$C426*AB425</f>
        <v/>
      </c>
      <c r="AC426">
        <f>$C426*AC425</f>
        <v/>
      </c>
      <c r="AD426">
        <f>$C426*AD425</f>
        <v/>
      </c>
      <c r="AE426">
        <f>$C426*AE425</f>
        <v/>
      </c>
      <c r="AF426">
        <f>$C426*AF425</f>
        <v/>
      </c>
      <c r="AG426">
        <f>$C426*AG425</f>
        <v/>
      </c>
      <c r="AH426">
        <f>$C426*AH425</f>
        <v/>
      </c>
      <c r="AI426">
        <f>$C426*AI425</f>
        <v/>
      </c>
      <c r="AJ426">
        <f>$C426*AJ425</f>
        <v/>
      </c>
      <c r="AK426">
        <f>$C426*AK425</f>
        <v/>
      </c>
      <c r="AL426">
        <f>$C426*AL425</f>
        <v/>
      </c>
      <c r="AM426">
        <f>$C426*AM425</f>
        <v/>
      </c>
      <c r="AN426">
        <f>$C426*AN425</f>
        <v/>
      </c>
      <c r="AO426">
        <f>$C426*AO425</f>
        <v/>
      </c>
      <c r="AP426">
        <f>$C426*AP425</f>
        <v/>
      </c>
      <c r="AQ426">
        <f>$C426*AQ425</f>
        <v/>
      </c>
      <c r="AR426">
        <f>$C426*AR425</f>
        <v/>
      </c>
      <c r="AS426">
        <f>$C426*AS425</f>
        <v/>
      </c>
      <c r="AT426">
        <f>$C426*AT425</f>
        <v/>
      </c>
      <c r="AU426">
        <f>$C426*AU425</f>
        <v/>
      </c>
      <c r="AV426">
        <f>$C426*AV425</f>
        <v/>
      </c>
      <c r="AW426">
        <f>$C426*AW425</f>
        <v/>
      </c>
      <c r="AX426">
        <f>$C426*AX425</f>
        <v/>
      </c>
      <c r="AY426">
        <f>$C426*AY425</f>
        <v/>
      </c>
      <c r="AZ426">
        <f>$C426*AZ425</f>
        <v/>
      </c>
      <c r="BA426">
        <f>$C426*BA425</f>
        <v/>
      </c>
      <c r="BB426">
        <f>$C426*BB425</f>
        <v/>
      </c>
      <c r="BC426">
        <f>$C426*BC425</f>
        <v/>
      </c>
      <c r="BD426">
        <f>$C426*BD425</f>
        <v/>
      </c>
      <c r="BE426">
        <f>$C426*BE425</f>
        <v/>
      </c>
      <c r="BF426">
        <f>$C426*BF425</f>
        <v/>
      </c>
      <c r="BG426">
        <f>$C426*BG425</f>
        <v/>
      </c>
      <c r="BH426">
        <f>$C426*BH425</f>
        <v/>
      </c>
      <c r="BI426">
        <f>$C426*BI425</f>
        <v/>
      </c>
      <c r="BJ426">
        <f>$C426*BJ425</f>
        <v/>
      </c>
      <c r="BK426">
        <f>$C426*BK425</f>
        <v/>
      </c>
      <c r="BL426">
        <f>$C426*BL425</f>
        <v/>
      </c>
      <c r="BM426">
        <f>$C426*BM425</f>
        <v/>
      </c>
      <c r="BN426">
        <f>$C426*BN425</f>
        <v/>
      </c>
      <c r="BO426">
        <f>$C426*BO425</f>
        <v/>
      </c>
      <c r="BP426">
        <f>$C426*BP425</f>
        <v/>
      </c>
      <c r="BQ426">
        <f>$C426*BQ425</f>
        <v/>
      </c>
      <c r="BR426">
        <f>$C426*BR425</f>
        <v/>
      </c>
      <c r="BS426">
        <f>$C426*BS425</f>
        <v/>
      </c>
      <c r="BT426">
        <f>$C426*BT425</f>
        <v/>
      </c>
      <c r="BU426">
        <f>$C426*BU425</f>
        <v/>
      </c>
      <c r="BV426">
        <f>$C426*BV425</f>
        <v/>
      </c>
      <c r="BW426">
        <f>$C426*BW425</f>
        <v/>
      </c>
      <c r="BX426">
        <f>$C426*BX425</f>
        <v/>
      </c>
      <c r="BY426">
        <f>$C426*BY425</f>
        <v/>
      </c>
      <c r="BZ426">
        <f>$C426*BZ425</f>
        <v/>
      </c>
      <c r="CA426">
        <f>$C426*CA425</f>
        <v/>
      </c>
      <c r="CB426">
        <f>$C426*CB425</f>
        <v/>
      </c>
      <c r="CC426">
        <f>$C426*CC425</f>
        <v/>
      </c>
      <c r="CD426">
        <f>$C426*CD425</f>
        <v/>
      </c>
      <c r="CE426">
        <f>$C426*CE425</f>
        <v/>
      </c>
      <c r="CF426">
        <f>$C426*CF425</f>
        <v/>
      </c>
      <c r="CG426">
        <f>$C426*CG425</f>
        <v/>
      </c>
      <c r="CH426">
        <f>$C426*CH425</f>
        <v/>
      </c>
      <c r="CI426">
        <f>$C426*CI425</f>
        <v/>
      </c>
      <c r="CJ426">
        <f>$C426*CJ425</f>
        <v/>
      </c>
      <c r="CK426">
        <f>$C426*CK425</f>
        <v/>
      </c>
      <c r="CL426">
        <f>$C426*CL425</f>
        <v/>
      </c>
      <c r="CM426">
        <f>$C426*CM425</f>
        <v/>
      </c>
      <c r="CN426">
        <f>$C426*CN425</f>
        <v/>
      </c>
      <c r="CO426">
        <f>$C426*CO425</f>
        <v/>
      </c>
      <c r="CP426">
        <f>$C426*CP425</f>
        <v/>
      </c>
      <c r="CQ426">
        <f>$C426*CQ425</f>
        <v/>
      </c>
      <c r="CR426">
        <f>$C426*CR425</f>
        <v/>
      </c>
      <c r="CS426">
        <f>$C426*CS425</f>
        <v/>
      </c>
      <c r="CT426">
        <f>$C426*CT425</f>
        <v/>
      </c>
      <c r="CU426">
        <f>$C426*CU425</f>
        <v/>
      </c>
      <c r="CV426">
        <f>$C426*CV425</f>
        <v/>
      </c>
      <c r="CW426">
        <f>$C426*CW425</f>
        <v/>
      </c>
      <c r="CX426">
        <f>$C426*CX425</f>
        <v/>
      </c>
      <c r="CY426">
        <f>$C426*CY425</f>
        <v/>
      </c>
      <c r="CZ426">
        <f>$C426*CZ425</f>
        <v/>
      </c>
      <c r="DA426">
        <f>$C426*DA425</f>
        <v/>
      </c>
      <c r="DB426">
        <f>$C426*DB425</f>
        <v/>
      </c>
      <c r="DC426">
        <f>$C426*DC425</f>
        <v/>
      </c>
    </row>
    <row r="427">
      <c r="B427" t="inlineStr">
        <is>
          <t>VSP-822</t>
        </is>
      </c>
      <c r="C427" t="inlineStr">
        <is>
          <t>No. of batches</t>
        </is>
      </c>
      <c r="D427">
        <f>IFERROR(INDEX(PP_Grid[#Data],$DD427,2),0)</f>
        <v/>
      </c>
      <c r="E427">
        <f>IFERROR(INDEX(PP_Grid[#Data],$DD427,3),0)</f>
        <v/>
      </c>
      <c r="F427">
        <f>IFERROR(INDEX(PP_Grid[#Data],$DD427,4),0)</f>
        <v/>
      </c>
      <c r="G427">
        <f>IFERROR(INDEX(PP_Grid[#Data],$DD427,5),0)</f>
        <v/>
      </c>
      <c r="H427">
        <f>IFERROR(INDEX(PP_Grid[#Data],$DD427,6),0)</f>
        <v/>
      </c>
      <c r="I427">
        <f>IFERROR(INDEX(PP_Grid[#Data],$DD427,7),0)</f>
        <v/>
      </c>
      <c r="J427">
        <f>IFERROR(INDEX(PP_Grid[#Data],$DD427,8),0)</f>
        <v/>
      </c>
      <c r="K427">
        <f>IFERROR(INDEX(PP_Grid[#Data],$DD427,9),0)</f>
        <v/>
      </c>
      <c r="L427">
        <f>IFERROR(INDEX(PP_Grid[#Data],$DD427,10),0)</f>
        <v/>
      </c>
      <c r="M427">
        <f>IFERROR(INDEX(PP_Grid[#Data],$DD427,11),0)</f>
        <v/>
      </c>
      <c r="N427">
        <f>IFERROR(INDEX(PP_Grid[#Data],$DD427,12),0)</f>
        <v/>
      </c>
      <c r="O427">
        <f>IFERROR(INDEX(PP_Grid[#Data],$DD427,13),0)</f>
        <v/>
      </c>
      <c r="P427">
        <f>IFERROR(INDEX(PP_Grid[#Data],$DD427,14),0)</f>
        <v/>
      </c>
      <c r="Q427">
        <f>IFERROR(INDEX(PP_Grid[#Data],$DD427,15),0)</f>
        <v/>
      </c>
      <c r="R427">
        <f>IFERROR(INDEX(PP_Grid[#Data],$DD427,16),0)</f>
        <v/>
      </c>
      <c r="S427">
        <f>IFERROR(INDEX(PP_Grid[#Data],$DD427,17),0)</f>
        <v/>
      </c>
      <c r="T427">
        <f>IFERROR(INDEX(PP_Grid[#Data],$DD427,18),0)</f>
        <v/>
      </c>
      <c r="U427">
        <f>IFERROR(INDEX(PP_Grid[#Data],$DD427,19),0)</f>
        <v/>
      </c>
      <c r="V427">
        <f>IFERROR(INDEX(PP_Grid[#Data],$DD427,20),0)</f>
        <v/>
      </c>
      <c r="W427">
        <f>IFERROR(INDEX(PP_Grid[#Data],$DD427,21),0)</f>
        <v/>
      </c>
      <c r="X427">
        <f>IFERROR(INDEX(PP_Grid[#Data],$DD427,22),0)</f>
        <v/>
      </c>
      <c r="Y427">
        <f>IFERROR(INDEX(PP_Grid[#Data],$DD427,23),0)</f>
        <v/>
      </c>
      <c r="Z427">
        <f>IFERROR(INDEX(PP_Grid[#Data],$DD427,24),0)</f>
        <v/>
      </c>
      <c r="AA427">
        <f>IFERROR(INDEX(PP_Grid[#Data],$DD427,25),0)</f>
        <v/>
      </c>
      <c r="AB427">
        <f>IFERROR(INDEX(PP_Grid[#Data],$DD427,26),0)</f>
        <v/>
      </c>
      <c r="AC427">
        <f>IFERROR(INDEX(PP_Grid[#Data],$DD427,27),0)</f>
        <v/>
      </c>
      <c r="AD427">
        <f>IFERROR(INDEX(PP_Grid[#Data],$DD427,28),0)</f>
        <v/>
      </c>
      <c r="AE427">
        <f>IFERROR(INDEX(PP_Grid[#Data],$DD427,29),0)</f>
        <v/>
      </c>
      <c r="AF427">
        <f>IFERROR(INDEX(PP_Grid[#Data],$DD427,30),0)</f>
        <v/>
      </c>
      <c r="AG427">
        <f>IFERROR(INDEX(PP_Grid[#Data],$DD427,31),0)</f>
        <v/>
      </c>
      <c r="AH427">
        <f>IFERROR(INDEX(PP_Grid[#Data],$DD427,32),0)</f>
        <v/>
      </c>
      <c r="AI427">
        <f>IFERROR(INDEX(PP_Grid[#Data],$DD427,33),0)</f>
        <v/>
      </c>
      <c r="AJ427">
        <f>IFERROR(INDEX(PP_Grid[#Data],$DD427,34),0)</f>
        <v/>
      </c>
      <c r="AK427">
        <f>IFERROR(INDEX(PP_Grid[#Data],$DD427,35),0)</f>
        <v/>
      </c>
      <c r="AL427">
        <f>IFERROR(INDEX(PP_Grid[#Data],$DD427,36),0)</f>
        <v/>
      </c>
      <c r="AM427">
        <f>IFERROR(INDEX(PP_Grid[#Data],$DD427,37),0)</f>
        <v/>
      </c>
      <c r="AN427">
        <f>IFERROR(INDEX(PP_Grid[#Data],$DD427,38),0)</f>
        <v/>
      </c>
      <c r="AO427">
        <f>IFERROR(INDEX(PP_Grid[#Data],$DD427,39),0)</f>
        <v/>
      </c>
      <c r="AP427">
        <f>IFERROR(INDEX(PP_Grid[#Data],$DD427,40),0)</f>
        <v/>
      </c>
      <c r="AQ427">
        <f>IFERROR(INDEX(PP_Grid[#Data],$DD427,41),0)</f>
        <v/>
      </c>
      <c r="AR427">
        <f>IFERROR(INDEX(PP_Grid[#Data],$DD427,42),0)</f>
        <v/>
      </c>
      <c r="AS427">
        <f>IFERROR(INDEX(PP_Grid[#Data],$DD427,43),0)</f>
        <v/>
      </c>
      <c r="AT427">
        <f>IFERROR(INDEX(PP_Grid[#Data],$DD427,44),0)</f>
        <v/>
      </c>
      <c r="AU427">
        <f>IFERROR(INDEX(PP_Grid[#Data],$DD427,45),0)</f>
        <v/>
      </c>
      <c r="AV427">
        <f>IFERROR(INDEX(PP_Grid[#Data],$DD427,46),0)</f>
        <v/>
      </c>
      <c r="AW427">
        <f>IFERROR(INDEX(PP_Grid[#Data],$DD427,47),0)</f>
        <v/>
      </c>
      <c r="AX427">
        <f>IFERROR(INDEX(PP_Grid[#Data],$DD427,48),0)</f>
        <v/>
      </c>
      <c r="AY427">
        <f>IFERROR(INDEX(PP_Grid[#Data],$DD427,49),0)</f>
        <v/>
      </c>
      <c r="AZ427">
        <f>IFERROR(INDEX(PP_Grid[#Data],$DD427,50),0)</f>
        <v/>
      </c>
      <c r="BA427">
        <f>IFERROR(INDEX(PP_Grid[#Data],$DD427,51),0)</f>
        <v/>
      </c>
      <c r="BB427">
        <f>IFERROR(INDEX(PP_Grid[#Data],$DD427,52),0)</f>
        <v/>
      </c>
      <c r="BC427">
        <f>IFERROR(INDEX(PP_Grid[#Data],$DD427,53),0)</f>
        <v/>
      </c>
      <c r="BD427">
        <f>IFERROR(INDEX(PP_Grid[#Data],$DD427,54),0)</f>
        <v/>
      </c>
      <c r="BE427">
        <f>IFERROR(INDEX(PP_Grid[#Data],$DD427,55),0)</f>
        <v/>
      </c>
      <c r="BF427">
        <f>IFERROR(INDEX(PP_Grid[#Data],$DD427,56),0)</f>
        <v/>
      </c>
      <c r="BG427">
        <f>IFERROR(INDEX(PP_Grid[#Data],$DD427,57),0)</f>
        <v/>
      </c>
      <c r="BH427">
        <f>IFERROR(INDEX(PP_Grid[#Data],$DD427,58),0)</f>
        <v/>
      </c>
      <c r="BI427">
        <f>IFERROR(INDEX(PP_Grid[#Data],$DD427,59),0)</f>
        <v/>
      </c>
      <c r="BJ427">
        <f>IFERROR(INDEX(PP_Grid[#Data],$DD427,60),0)</f>
        <v/>
      </c>
      <c r="BK427">
        <f>IFERROR(INDEX(PP_Grid[#Data],$DD427,61),0)</f>
        <v/>
      </c>
      <c r="BL427">
        <f>IFERROR(INDEX(PP_Grid[#Data],$DD427,62),0)</f>
        <v/>
      </c>
      <c r="BM427">
        <f>IFERROR(INDEX(PP_Grid[#Data],$DD427,63),0)</f>
        <v/>
      </c>
      <c r="BN427">
        <f>IFERROR(INDEX(PP_Grid[#Data],$DD427,64),0)</f>
        <v/>
      </c>
      <c r="BO427">
        <f>IFERROR(INDEX(PP_Grid[#Data],$DD427,65),0)</f>
        <v/>
      </c>
      <c r="BP427">
        <f>IFERROR(INDEX(PP_Grid[#Data],$DD427,66),0)</f>
        <v/>
      </c>
      <c r="BQ427">
        <f>IFERROR(INDEX(PP_Grid[#Data],$DD427,67),0)</f>
        <v/>
      </c>
      <c r="BR427">
        <f>IFERROR(INDEX(PP_Grid[#Data],$DD427,68),0)</f>
        <v/>
      </c>
      <c r="BS427">
        <f>IFERROR(INDEX(PP_Grid[#Data],$DD427,69),0)</f>
        <v/>
      </c>
      <c r="BT427">
        <f>IFERROR(INDEX(PP_Grid[#Data],$DD427,70),0)</f>
        <v/>
      </c>
      <c r="BU427">
        <f>IFERROR(INDEX(PP_Grid[#Data],$DD427,71),0)</f>
        <v/>
      </c>
      <c r="BV427">
        <f>IFERROR(INDEX(PP_Grid[#Data],$DD427,72),0)</f>
        <v/>
      </c>
      <c r="BW427">
        <f>IFERROR(INDEX(PP_Grid[#Data],$DD427,73),0)</f>
        <v/>
      </c>
      <c r="BX427">
        <f>IFERROR(INDEX(PP_Grid[#Data],$DD427,74),0)</f>
        <v/>
      </c>
      <c r="BY427">
        <f>IFERROR(INDEX(PP_Grid[#Data],$DD427,75),0)</f>
        <v/>
      </c>
      <c r="BZ427">
        <f>IFERROR(INDEX(PP_Grid[#Data],$DD427,76),0)</f>
        <v/>
      </c>
      <c r="CA427">
        <f>IFERROR(INDEX(PP_Grid[#Data],$DD427,77),0)</f>
        <v/>
      </c>
      <c r="CB427">
        <f>IFERROR(INDEX(PP_Grid[#Data],$DD427,78),0)</f>
        <v/>
      </c>
      <c r="CC427">
        <f>IFERROR(INDEX(PP_Grid[#Data],$DD427,79),0)</f>
        <v/>
      </c>
      <c r="CD427">
        <f>IFERROR(INDEX(PP_Grid[#Data],$DD427,80),0)</f>
        <v/>
      </c>
      <c r="CE427">
        <f>IFERROR(INDEX(PP_Grid[#Data],$DD427,81),0)</f>
        <v/>
      </c>
      <c r="CF427">
        <f>IFERROR(INDEX(PP_Grid[#Data],$DD427,82),0)</f>
        <v/>
      </c>
      <c r="CG427">
        <f>IFERROR(INDEX(PP_Grid[#Data],$DD427,83),0)</f>
        <v/>
      </c>
      <c r="CH427">
        <f>IFERROR(INDEX(PP_Grid[#Data],$DD427,84),0)</f>
        <v/>
      </c>
      <c r="CI427">
        <f>IFERROR(INDEX(PP_Grid[#Data],$DD427,85),0)</f>
        <v/>
      </c>
      <c r="CJ427">
        <f>IFERROR(INDEX(PP_Grid[#Data],$DD427,86),0)</f>
        <v/>
      </c>
      <c r="CK427">
        <f>IFERROR(INDEX(PP_Grid[#Data],$DD427,87),0)</f>
        <v/>
      </c>
      <c r="CL427">
        <f>IFERROR(INDEX(PP_Grid[#Data],$DD427,88),0)</f>
        <v/>
      </c>
      <c r="CM427">
        <f>IFERROR(INDEX(PP_Grid[#Data],$DD427,89),0)</f>
        <v/>
      </c>
      <c r="CN427">
        <f>IFERROR(INDEX(PP_Grid[#Data],$DD427,90),0)</f>
        <v/>
      </c>
      <c r="CO427">
        <f>IFERROR(INDEX(PP_Grid[#Data],$DD427,91),0)</f>
        <v/>
      </c>
      <c r="CP427">
        <f>IFERROR(INDEX(PP_Grid[#Data],$DD427,92),0)</f>
        <v/>
      </c>
      <c r="CQ427">
        <f>IFERROR(INDEX(PP_Grid[#Data],$DD427,93),0)</f>
        <v/>
      </c>
      <c r="CR427">
        <f>IFERROR(INDEX(PP_Grid[#Data],$DD427,94),0)</f>
        <v/>
      </c>
      <c r="CS427">
        <f>IFERROR(INDEX(PP_Grid[#Data],$DD427,95),0)</f>
        <v/>
      </c>
      <c r="CT427">
        <f>IFERROR(INDEX(PP_Grid[#Data],$DD427,96),0)</f>
        <v/>
      </c>
      <c r="CU427">
        <f>IFERROR(INDEX(PP_Grid[#Data],$DD427,97),0)</f>
        <v/>
      </c>
      <c r="CV427">
        <f>IFERROR(INDEX(PP_Grid[#Data],$DD427,98),0)</f>
        <v/>
      </c>
      <c r="CW427">
        <f>IFERROR(INDEX(PP_Grid[#Data],$DD427,99),0)</f>
        <v/>
      </c>
      <c r="CX427">
        <f>IFERROR(INDEX(PP_Grid[#Data],$DD427,100),0)</f>
        <v/>
      </c>
      <c r="CY427">
        <f>IFERROR(INDEX(PP_Grid[#Data],$DD427,101),0)</f>
        <v/>
      </c>
      <c r="CZ427">
        <f>IFERROR(INDEX(PP_Grid[#Data],$DD427,102),0)</f>
        <v/>
      </c>
      <c r="DA427">
        <f>IFERROR(INDEX(PP_Grid[#Data],$DD427,103),0)</f>
        <v/>
      </c>
      <c r="DB427">
        <f>IFERROR(INDEX(PP_Grid[#Data],$DD427,104),0)</f>
        <v/>
      </c>
      <c r="DC427">
        <f>IFERROR(INDEX(PP_Grid[#Data],$DD427,105),0)</f>
        <v/>
      </c>
      <c r="DD427" s="7">
        <f>IFERROR(MATCH($B427,PP_Grid[Intermediate],0),99999)</f>
        <v/>
      </c>
    </row>
    <row r="428">
      <c r="B428" t="inlineStr">
        <is>
          <t>使用量(kg)</t>
        </is>
      </c>
      <c r="C428">
        <f>SUMIFS(M_BOM[RM_Qty_Per_Batch],M_BOM[Intermediate],$B427,M_BOM[Part Name],$A340)</f>
        <v/>
      </c>
      <c r="D428">
        <f>$C428*D427</f>
        <v/>
      </c>
      <c r="E428">
        <f>$C428*E427</f>
        <v/>
      </c>
      <c r="F428">
        <f>$C428*F427</f>
        <v/>
      </c>
      <c r="G428">
        <f>$C428*G427</f>
        <v/>
      </c>
      <c r="H428">
        <f>$C428*H427</f>
        <v/>
      </c>
      <c r="I428">
        <f>$C428*I427</f>
        <v/>
      </c>
      <c r="J428">
        <f>$C428*J427</f>
        <v/>
      </c>
      <c r="K428">
        <f>$C428*K427</f>
        <v/>
      </c>
      <c r="L428">
        <f>$C428*L427</f>
        <v/>
      </c>
      <c r="M428">
        <f>$C428*M427</f>
        <v/>
      </c>
      <c r="N428">
        <f>$C428*N427</f>
        <v/>
      </c>
      <c r="O428">
        <f>$C428*O427</f>
        <v/>
      </c>
      <c r="P428">
        <f>$C428*P427</f>
        <v/>
      </c>
      <c r="Q428">
        <f>$C428*Q427</f>
        <v/>
      </c>
      <c r="R428">
        <f>$C428*R427</f>
        <v/>
      </c>
      <c r="S428">
        <f>$C428*S427</f>
        <v/>
      </c>
      <c r="T428">
        <f>$C428*T427</f>
        <v/>
      </c>
      <c r="U428">
        <f>$C428*U427</f>
        <v/>
      </c>
      <c r="V428">
        <f>$C428*V427</f>
        <v/>
      </c>
      <c r="W428">
        <f>$C428*W427</f>
        <v/>
      </c>
      <c r="X428">
        <f>$C428*X427</f>
        <v/>
      </c>
      <c r="Y428">
        <f>$C428*Y427</f>
        <v/>
      </c>
      <c r="Z428">
        <f>$C428*Z427</f>
        <v/>
      </c>
      <c r="AA428">
        <f>$C428*AA427</f>
        <v/>
      </c>
      <c r="AB428">
        <f>$C428*AB427</f>
        <v/>
      </c>
      <c r="AC428">
        <f>$C428*AC427</f>
        <v/>
      </c>
      <c r="AD428">
        <f>$C428*AD427</f>
        <v/>
      </c>
      <c r="AE428">
        <f>$C428*AE427</f>
        <v/>
      </c>
      <c r="AF428">
        <f>$C428*AF427</f>
        <v/>
      </c>
      <c r="AG428">
        <f>$C428*AG427</f>
        <v/>
      </c>
      <c r="AH428">
        <f>$C428*AH427</f>
        <v/>
      </c>
      <c r="AI428">
        <f>$C428*AI427</f>
        <v/>
      </c>
      <c r="AJ428">
        <f>$C428*AJ427</f>
        <v/>
      </c>
      <c r="AK428">
        <f>$C428*AK427</f>
        <v/>
      </c>
      <c r="AL428">
        <f>$C428*AL427</f>
        <v/>
      </c>
      <c r="AM428">
        <f>$C428*AM427</f>
        <v/>
      </c>
      <c r="AN428">
        <f>$C428*AN427</f>
        <v/>
      </c>
      <c r="AO428">
        <f>$C428*AO427</f>
        <v/>
      </c>
      <c r="AP428">
        <f>$C428*AP427</f>
        <v/>
      </c>
      <c r="AQ428">
        <f>$C428*AQ427</f>
        <v/>
      </c>
      <c r="AR428">
        <f>$C428*AR427</f>
        <v/>
      </c>
      <c r="AS428">
        <f>$C428*AS427</f>
        <v/>
      </c>
      <c r="AT428">
        <f>$C428*AT427</f>
        <v/>
      </c>
      <c r="AU428">
        <f>$C428*AU427</f>
        <v/>
      </c>
      <c r="AV428">
        <f>$C428*AV427</f>
        <v/>
      </c>
      <c r="AW428">
        <f>$C428*AW427</f>
        <v/>
      </c>
      <c r="AX428">
        <f>$C428*AX427</f>
        <v/>
      </c>
      <c r="AY428">
        <f>$C428*AY427</f>
        <v/>
      </c>
      <c r="AZ428">
        <f>$C428*AZ427</f>
        <v/>
      </c>
      <c r="BA428">
        <f>$C428*BA427</f>
        <v/>
      </c>
      <c r="BB428">
        <f>$C428*BB427</f>
        <v/>
      </c>
      <c r="BC428">
        <f>$C428*BC427</f>
        <v/>
      </c>
      <c r="BD428">
        <f>$C428*BD427</f>
        <v/>
      </c>
      <c r="BE428">
        <f>$C428*BE427</f>
        <v/>
      </c>
      <c r="BF428">
        <f>$C428*BF427</f>
        <v/>
      </c>
      <c r="BG428">
        <f>$C428*BG427</f>
        <v/>
      </c>
      <c r="BH428">
        <f>$C428*BH427</f>
        <v/>
      </c>
      <c r="BI428">
        <f>$C428*BI427</f>
        <v/>
      </c>
      <c r="BJ428">
        <f>$C428*BJ427</f>
        <v/>
      </c>
      <c r="BK428">
        <f>$C428*BK427</f>
        <v/>
      </c>
      <c r="BL428">
        <f>$C428*BL427</f>
        <v/>
      </c>
      <c r="BM428">
        <f>$C428*BM427</f>
        <v/>
      </c>
      <c r="BN428">
        <f>$C428*BN427</f>
        <v/>
      </c>
      <c r="BO428">
        <f>$C428*BO427</f>
        <v/>
      </c>
      <c r="BP428">
        <f>$C428*BP427</f>
        <v/>
      </c>
      <c r="BQ428">
        <f>$C428*BQ427</f>
        <v/>
      </c>
      <c r="BR428">
        <f>$C428*BR427</f>
        <v/>
      </c>
      <c r="BS428">
        <f>$C428*BS427</f>
        <v/>
      </c>
      <c r="BT428">
        <f>$C428*BT427</f>
        <v/>
      </c>
      <c r="BU428">
        <f>$C428*BU427</f>
        <v/>
      </c>
      <c r="BV428">
        <f>$C428*BV427</f>
        <v/>
      </c>
      <c r="BW428">
        <f>$C428*BW427</f>
        <v/>
      </c>
      <c r="BX428">
        <f>$C428*BX427</f>
        <v/>
      </c>
      <c r="BY428">
        <f>$C428*BY427</f>
        <v/>
      </c>
      <c r="BZ428">
        <f>$C428*BZ427</f>
        <v/>
      </c>
      <c r="CA428">
        <f>$C428*CA427</f>
        <v/>
      </c>
      <c r="CB428">
        <f>$C428*CB427</f>
        <v/>
      </c>
      <c r="CC428">
        <f>$C428*CC427</f>
        <v/>
      </c>
      <c r="CD428">
        <f>$C428*CD427</f>
        <v/>
      </c>
      <c r="CE428">
        <f>$C428*CE427</f>
        <v/>
      </c>
      <c r="CF428">
        <f>$C428*CF427</f>
        <v/>
      </c>
      <c r="CG428">
        <f>$C428*CG427</f>
        <v/>
      </c>
      <c r="CH428">
        <f>$C428*CH427</f>
        <v/>
      </c>
      <c r="CI428">
        <f>$C428*CI427</f>
        <v/>
      </c>
      <c r="CJ428">
        <f>$C428*CJ427</f>
        <v/>
      </c>
      <c r="CK428">
        <f>$C428*CK427</f>
        <v/>
      </c>
      <c r="CL428">
        <f>$C428*CL427</f>
        <v/>
      </c>
      <c r="CM428">
        <f>$C428*CM427</f>
        <v/>
      </c>
      <c r="CN428">
        <f>$C428*CN427</f>
        <v/>
      </c>
      <c r="CO428">
        <f>$C428*CO427</f>
        <v/>
      </c>
      <c r="CP428">
        <f>$C428*CP427</f>
        <v/>
      </c>
      <c r="CQ428">
        <f>$C428*CQ427</f>
        <v/>
      </c>
      <c r="CR428">
        <f>$C428*CR427</f>
        <v/>
      </c>
      <c r="CS428">
        <f>$C428*CS427</f>
        <v/>
      </c>
      <c r="CT428">
        <f>$C428*CT427</f>
        <v/>
      </c>
      <c r="CU428">
        <f>$C428*CU427</f>
        <v/>
      </c>
      <c r="CV428">
        <f>$C428*CV427</f>
        <v/>
      </c>
      <c r="CW428">
        <f>$C428*CW427</f>
        <v/>
      </c>
      <c r="CX428">
        <f>$C428*CX427</f>
        <v/>
      </c>
      <c r="CY428">
        <f>$C428*CY427</f>
        <v/>
      </c>
      <c r="CZ428">
        <f>$C428*CZ427</f>
        <v/>
      </c>
      <c r="DA428">
        <f>$C428*DA427</f>
        <v/>
      </c>
      <c r="DB428">
        <f>$C428*DB427</f>
        <v/>
      </c>
      <c r="DC428">
        <f>$C428*DC427</f>
        <v/>
      </c>
    </row>
    <row r="429">
      <c r="B429" t="inlineStr">
        <is>
          <t>VSP-869</t>
        </is>
      </c>
      <c r="C429" t="inlineStr">
        <is>
          <t>No. of batches</t>
        </is>
      </c>
      <c r="D429">
        <f>IFERROR(INDEX(PP_Grid[#Data],$DD429,2),0)</f>
        <v/>
      </c>
      <c r="E429">
        <f>IFERROR(INDEX(PP_Grid[#Data],$DD429,3),0)</f>
        <v/>
      </c>
      <c r="F429">
        <f>IFERROR(INDEX(PP_Grid[#Data],$DD429,4),0)</f>
        <v/>
      </c>
      <c r="G429">
        <f>IFERROR(INDEX(PP_Grid[#Data],$DD429,5),0)</f>
        <v/>
      </c>
      <c r="H429">
        <f>IFERROR(INDEX(PP_Grid[#Data],$DD429,6),0)</f>
        <v/>
      </c>
      <c r="I429">
        <f>IFERROR(INDEX(PP_Grid[#Data],$DD429,7),0)</f>
        <v/>
      </c>
      <c r="J429">
        <f>IFERROR(INDEX(PP_Grid[#Data],$DD429,8),0)</f>
        <v/>
      </c>
      <c r="K429">
        <f>IFERROR(INDEX(PP_Grid[#Data],$DD429,9),0)</f>
        <v/>
      </c>
      <c r="L429">
        <f>IFERROR(INDEX(PP_Grid[#Data],$DD429,10),0)</f>
        <v/>
      </c>
      <c r="M429">
        <f>IFERROR(INDEX(PP_Grid[#Data],$DD429,11),0)</f>
        <v/>
      </c>
      <c r="N429">
        <f>IFERROR(INDEX(PP_Grid[#Data],$DD429,12),0)</f>
        <v/>
      </c>
      <c r="O429">
        <f>IFERROR(INDEX(PP_Grid[#Data],$DD429,13),0)</f>
        <v/>
      </c>
      <c r="P429">
        <f>IFERROR(INDEX(PP_Grid[#Data],$DD429,14),0)</f>
        <v/>
      </c>
      <c r="Q429">
        <f>IFERROR(INDEX(PP_Grid[#Data],$DD429,15),0)</f>
        <v/>
      </c>
      <c r="R429">
        <f>IFERROR(INDEX(PP_Grid[#Data],$DD429,16),0)</f>
        <v/>
      </c>
      <c r="S429">
        <f>IFERROR(INDEX(PP_Grid[#Data],$DD429,17),0)</f>
        <v/>
      </c>
      <c r="T429">
        <f>IFERROR(INDEX(PP_Grid[#Data],$DD429,18),0)</f>
        <v/>
      </c>
      <c r="U429">
        <f>IFERROR(INDEX(PP_Grid[#Data],$DD429,19),0)</f>
        <v/>
      </c>
      <c r="V429">
        <f>IFERROR(INDEX(PP_Grid[#Data],$DD429,20),0)</f>
        <v/>
      </c>
      <c r="W429">
        <f>IFERROR(INDEX(PP_Grid[#Data],$DD429,21),0)</f>
        <v/>
      </c>
      <c r="X429">
        <f>IFERROR(INDEX(PP_Grid[#Data],$DD429,22),0)</f>
        <v/>
      </c>
      <c r="Y429">
        <f>IFERROR(INDEX(PP_Grid[#Data],$DD429,23),0)</f>
        <v/>
      </c>
      <c r="Z429">
        <f>IFERROR(INDEX(PP_Grid[#Data],$DD429,24),0)</f>
        <v/>
      </c>
      <c r="AA429">
        <f>IFERROR(INDEX(PP_Grid[#Data],$DD429,25),0)</f>
        <v/>
      </c>
      <c r="AB429">
        <f>IFERROR(INDEX(PP_Grid[#Data],$DD429,26),0)</f>
        <v/>
      </c>
      <c r="AC429">
        <f>IFERROR(INDEX(PP_Grid[#Data],$DD429,27),0)</f>
        <v/>
      </c>
      <c r="AD429">
        <f>IFERROR(INDEX(PP_Grid[#Data],$DD429,28),0)</f>
        <v/>
      </c>
      <c r="AE429">
        <f>IFERROR(INDEX(PP_Grid[#Data],$DD429,29),0)</f>
        <v/>
      </c>
      <c r="AF429">
        <f>IFERROR(INDEX(PP_Grid[#Data],$DD429,30),0)</f>
        <v/>
      </c>
      <c r="AG429">
        <f>IFERROR(INDEX(PP_Grid[#Data],$DD429,31),0)</f>
        <v/>
      </c>
      <c r="AH429">
        <f>IFERROR(INDEX(PP_Grid[#Data],$DD429,32),0)</f>
        <v/>
      </c>
      <c r="AI429">
        <f>IFERROR(INDEX(PP_Grid[#Data],$DD429,33),0)</f>
        <v/>
      </c>
      <c r="AJ429">
        <f>IFERROR(INDEX(PP_Grid[#Data],$DD429,34),0)</f>
        <v/>
      </c>
      <c r="AK429">
        <f>IFERROR(INDEX(PP_Grid[#Data],$DD429,35),0)</f>
        <v/>
      </c>
      <c r="AL429">
        <f>IFERROR(INDEX(PP_Grid[#Data],$DD429,36),0)</f>
        <v/>
      </c>
      <c r="AM429">
        <f>IFERROR(INDEX(PP_Grid[#Data],$DD429,37),0)</f>
        <v/>
      </c>
      <c r="AN429">
        <f>IFERROR(INDEX(PP_Grid[#Data],$DD429,38),0)</f>
        <v/>
      </c>
      <c r="AO429">
        <f>IFERROR(INDEX(PP_Grid[#Data],$DD429,39),0)</f>
        <v/>
      </c>
      <c r="AP429">
        <f>IFERROR(INDEX(PP_Grid[#Data],$DD429,40),0)</f>
        <v/>
      </c>
      <c r="AQ429">
        <f>IFERROR(INDEX(PP_Grid[#Data],$DD429,41),0)</f>
        <v/>
      </c>
      <c r="AR429">
        <f>IFERROR(INDEX(PP_Grid[#Data],$DD429,42),0)</f>
        <v/>
      </c>
      <c r="AS429">
        <f>IFERROR(INDEX(PP_Grid[#Data],$DD429,43),0)</f>
        <v/>
      </c>
      <c r="AT429">
        <f>IFERROR(INDEX(PP_Grid[#Data],$DD429,44),0)</f>
        <v/>
      </c>
      <c r="AU429">
        <f>IFERROR(INDEX(PP_Grid[#Data],$DD429,45),0)</f>
        <v/>
      </c>
      <c r="AV429">
        <f>IFERROR(INDEX(PP_Grid[#Data],$DD429,46),0)</f>
        <v/>
      </c>
      <c r="AW429">
        <f>IFERROR(INDEX(PP_Grid[#Data],$DD429,47),0)</f>
        <v/>
      </c>
      <c r="AX429">
        <f>IFERROR(INDEX(PP_Grid[#Data],$DD429,48),0)</f>
        <v/>
      </c>
      <c r="AY429">
        <f>IFERROR(INDEX(PP_Grid[#Data],$DD429,49),0)</f>
        <v/>
      </c>
      <c r="AZ429">
        <f>IFERROR(INDEX(PP_Grid[#Data],$DD429,50),0)</f>
        <v/>
      </c>
      <c r="BA429">
        <f>IFERROR(INDEX(PP_Grid[#Data],$DD429,51),0)</f>
        <v/>
      </c>
      <c r="BB429">
        <f>IFERROR(INDEX(PP_Grid[#Data],$DD429,52),0)</f>
        <v/>
      </c>
      <c r="BC429">
        <f>IFERROR(INDEX(PP_Grid[#Data],$DD429,53),0)</f>
        <v/>
      </c>
      <c r="BD429">
        <f>IFERROR(INDEX(PP_Grid[#Data],$DD429,54),0)</f>
        <v/>
      </c>
      <c r="BE429">
        <f>IFERROR(INDEX(PP_Grid[#Data],$DD429,55),0)</f>
        <v/>
      </c>
      <c r="BF429">
        <f>IFERROR(INDEX(PP_Grid[#Data],$DD429,56),0)</f>
        <v/>
      </c>
      <c r="BG429">
        <f>IFERROR(INDEX(PP_Grid[#Data],$DD429,57),0)</f>
        <v/>
      </c>
      <c r="BH429">
        <f>IFERROR(INDEX(PP_Grid[#Data],$DD429,58),0)</f>
        <v/>
      </c>
      <c r="BI429">
        <f>IFERROR(INDEX(PP_Grid[#Data],$DD429,59),0)</f>
        <v/>
      </c>
      <c r="BJ429">
        <f>IFERROR(INDEX(PP_Grid[#Data],$DD429,60),0)</f>
        <v/>
      </c>
      <c r="BK429">
        <f>IFERROR(INDEX(PP_Grid[#Data],$DD429,61),0)</f>
        <v/>
      </c>
      <c r="BL429">
        <f>IFERROR(INDEX(PP_Grid[#Data],$DD429,62),0)</f>
        <v/>
      </c>
      <c r="BM429">
        <f>IFERROR(INDEX(PP_Grid[#Data],$DD429,63),0)</f>
        <v/>
      </c>
      <c r="BN429">
        <f>IFERROR(INDEX(PP_Grid[#Data],$DD429,64),0)</f>
        <v/>
      </c>
      <c r="BO429">
        <f>IFERROR(INDEX(PP_Grid[#Data],$DD429,65),0)</f>
        <v/>
      </c>
      <c r="BP429">
        <f>IFERROR(INDEX(PP_Grid[#Data],$DD429,66),0)</f>
        <v/>
      </c>
      <c r="BQ429">
        <f>IFERROR(INDEX(PP_Grid[#Data],$DD429,67),0)</f>
        <v/>
      </c>
      <c r="BR429">
        <f>IFERROR(INDEX(PP_Grid[#Data],$DD429,68),0)</f>
        <v/>
      </c>
      <c r="BS429">
        <f>IFERROR(INDEX(PP_Grid[#Data],$DD429,69),0)</f>
        <v/>
      </c>
      <c r="BT429">
        <f>IFERROR(INDEX(PP_Grid[#Data],$DD429,70),0)</f>
        <v/>
      </c>
      <c r="BU429">
        <f>IFERROR(INDEX(PP_Grid[#Data],$DD429,71),0)</f>
        <v/>
      </c>
      <c r="BV429">
        <f>IFERROR(INDEX(PP_Grid[#Data],$DD429,72),0)</f>
        <v/>
      </c>
      <c r="BW429">
        <f>IFERROR(INDEX(PP_Grid[#Data],$DD429,73),0)</f>
        <v/>
      </c>
      <c r="BX429">
        <f>IFERROR(INDEX(PP_Grid[#Data],$DD429,74),0)</f>
        <v/>
      </c>
      <c r="BY429">
        <f>IFERROR(INDEX(PP_Grid[#Data],$DD429,75),0)</f>
        <v/>
      </c>
      <c r="BZ429">
        <f>IFERROR(INDEX(PP_Grid[#Data],$DD429,76),0)</f>
        <v/>
      </c>
      <c r="CA429">
        <f>IFERROR(INDEX(PP_Grid[#Data],$DD429,77),0)</f>
        <v/>
      </c>
      <c r="CB429">
        <f>IFERROR(INDEX(PP_Grid[#Data],$DD429,78),0)</f>
        <v/>
      </c>
      <c r="CC429">
        <f>IFERROR(INDEX(PP_Grid[#Data],$DD429,79),0)</f>
        <v/>
      </c>
      <c r="CD429">
        <f>IFERROR(INDEX(PP_Grid[#Data],$DD429,80),0)</f>
        <v/>
      </c>
      <c r="CE429">
        <f>IFERROR(INDEX(PP_Grid[#Data],$DD429,81),0)</f>
        <v/>
      </c>
      <c r="CF429">
        <f>IFERROR(INDEX(PP_Grid[#Data],$DD429,82),0)</f>
        <v/>
      </c>
      <c r="CG429">
        <f>IFERROR(INDEX(PP_Grid[#Data],$DD429,83),0)</f>
        <v/>
      </c>
      <c r="CH429">
        <f>IFERROR(INDEX(PP_Grid[#Data],$DD429,84),0)</f>
        <v/>
      </c>
      <c r="CI429">
        <f>IFERROR(INDEX(PP_Grid[#Data],$DD429,85),0)</f>
        <v/>
      </c>
      <c r="CJ429">
        <f>IFERROR(INDEX(PP_Grid[#Data],$DD429,86),0)</f>
        <v/>
      </c>
      <c r="CK429">
        <f>IFERROR(INDEX(PP_Grid[#Data],$DD429,87),0)</f>
        <v/>
      </c>
      <c r="CL429">
        <f>IFERROR(INDEX(PP_Grid[#Data],$DD429,88),0)</f>
        <v/>
      </c>
      <c r="CM429">
        <f>IFERROR(INDEX(PP_Grid[#Data],$DD429,89),0)</f>
        <v/>
      </c>
      <c r="CN429">
        <f>IFERROR(INDEX(PP_Grid[#Data],$DD429,90),0)</f>
        <v/>
      </c>
      <c r="CO429">
        <f>IFERROR(INDEX(PP_Grid[#Data],$DD429,91),0)</f>
        <v/>
      </c>
      <c r="CP429">
        <f>IFERROR(INDEX(PP_Grid[#Data],$DD429,92),0)</f>
        <v/>
      </c>
      <c r="CQ429">
        <f>IFERROR(INDEX(PP_Grid[#Data],$DD429,93),0)</f>
        <v/>
      </c>
      <c r="CR429">
        <f>IFERROR(INDEX(PP_Grid[#Data],$DD429,94),0)</f>
        <v/>
      </c>
      <c r="CS429">
        <f>IFERROR(INDEX(PP_Grid[#Data],$DD429,95),0)</f>
        <v/>
      </c>
      <c r="CT429">
        <f>IFERROR(INDEX(PP_Grid[#Data],$DD429,96),0)</f>
        <v/>
      </c>
      <c r="CU429">
        <f>IFERROR(INDEX(PP_Grid[#Data],$DD429,97),0)</f>
        <v/>
      </c>
      <c r="CV429">
        <f>IFERROR(INDEX(PP_Grid[#Data],$DD429,98),0)</f>
        <v/>
      </c>
      <c r="CW429">
        <f>IFERROR(INDEX(PP_Grid[#Data],$DD429,99),0)</f>
        <v/>
      </c>
      <c r="CX429">
        <f>IFERROR(INDEX(PP_Grid[#Data],$DD429,100),0)</f>
        <v/>
      </c>
      <c r="CY429">
        <f>IFERROR(INDEX(PP_Grid[#Data],$DD429,101),0)</f>
        <v/>
      </c>
      <c r="CZ429">
        <f>IFERROR(INDEX(PP_Grid[#Data],$DD429,102),0)</f>
        <v/>
      </c>
      <c r="DA429">
        <f>IFERROR(INDEX(PP_Grid[#Data],$DD429,103),0)</f>
        <v/>
      </c>
      <c r="DB429">
        <f>IFERROR(INDEX(PP_Grid[#Data],$DD429,104),0)</f>
        <v/>
      </c>
      <c r="DC429">
        <f>IFERROR(INDEX(PP_Grid[#Data],$DD429,105),0)</f>
        <v/>
      </c>
      <c r="DD429" s="7">
        <f>IFERROR(MATCH($B429,PP_Grid[Intermediate],0),99999)</f>
        <v/>
      </c>
    </row>
    <row r="430">
      <c r="B430" t="inlineStr">
        <is>
          <t>使用量(kg)</t>
        </is>
      </c>
      <c r="C430">
        <f>SUMIFS(M_BOM[RM_Qty_Per_Batch],M_BOM[Intermediate],$B429,M_BOM[Part Name],$A340)</f>
        <v/>
      </c>
      <c r="D430">
        <f>$C430*D429</f>
        <v/>
      </c>
      <c r="E430">
        <f>$C430*E429</f>
        <v/>
      </c>
      <c r="F430">
        <f>$C430*F429</f>
        <v/>
      </c>
      <c r="G430">
        <f>$C430*G429</f>
        <v/>
      </c>
      <c r="H430">
        <f>$C430*H429</f>
        <v/>
      </c>
      <c r="I430">
        <f>$C430*I429</f>
        <v/>
      </c>
      <c r="J430">
        <f>$C430*J429</f>
        <v/>
      </c>
      <c r="K430">
        <f>$C430*K429</f>
        <v/>
      </c>
      <c r="L430">
        <f>$C430*L429</f>
        <v/>
      </c>
      <c r="M430">
        <f>$C430*M429</f>
        <v/>
      </c>
      <c r="N430">
        <f>$C430*N429</f>
        <v/>
      </c>
      <c r="O430">
        <f>$C430*O429</f>
        <v/>
      </c>
      <c r="P430">
        <f>$C430*P429</f>
        <v/>
      </c>
      <c r="Q430">
        <f>$C430*Q429</f>
        <v/>
      </c>
      <c r="R430">
        <f>$C430*R429</f>
        <v/>
      </c>
      <c r="S430">
        <f>$C430*S429</f>
        <v/>
      </c>
      <c r="T430">
        <f>$C430*T429</f>
        <v/>
      </c>
      <c r="U430">
        <f>$C430*U429</f>
        <v/>
      </c>
      <c r="V430">
        <f>$C430*V429</f>
        <v/>
      </c>
      <c r="W430">
        <f>$C430*W429</f>
        <v/>
      </c>
      <c r="X430">
        <f>$C430*X429</f>
        <v/>
      </c>
      <c r="Y430">
        <f>$C430*Y429</f>
        <v/>
      </c>
      <c r="Z430">
        <f>$C430*Z429</f>
        <v/>
      </c>
      <c r="AA430">
        <f>$C430*AA429</f>
        <v/>
      </c>
      <c r="AB430">
        <f>$C430*AB429</f>
        <v/>
      </c>
      <c r="AC430">
        <f>$C430*AC429</f>
        <v/>
      </c>
      <c r="AD430">
        <f>$C430*AD429</f>
        <v/>
      </c>
      <c r="AE430">
        <f>$C430*AE429</f>
        <v/>
      </c>
      <c r="AF430">
        <f>$C430*AF429</f>
        <v/>
      </c>
      <c r="AG430">
        <f>$C430*AG429</f>
        <v/>
      </c>
      <c r="AH430">
        <f>$C430*AH429</f>
        <v/>
      </c>
      <c r="AI430">
        <f>$C430*AI429</f>
        <v/>
      </c>
      <c r="AJ430">
        <f>$C430*AJ429</f>
        <v/>
      </c>
      <c r="AK430">
        <f>$C430*AK429</f>
        <v/>
      </c>
      <c r="AL430">
        <f>$C430*AL429</f>
        <v/>
      </c>
      <c r="AM430">
        <f>$C430*AM429</f>
        <v/>
      </c>
      <c r="AN430">
        <f>$C430*AN429</f>
        <v/>
      </c>
      <c r="AO430">
        <f>$C430*AO429</f>
        <v/>
      </c>
      <c r="AP430">
        <f>$C430*AP429</f>
        <v/>
      </c>
      <c r="AQ430">
        <f>$C430*AQ429</f>
        <v/>
      </c>
      <c r="AR430">
        <f>$C430*AR429</f>
        <v/>
      </c>
      <c r="AS430">
        <f>$C430*AS429</f>
        <v/>
      </c>
      <c r="AT430">
        <f>$C430*AT429</f>
        <v/>
      </c>
      <c r="AU430">
        <f>$C430*AU429</f>
        <v/>
      </c>
      <c r="AV430">
        <f>$C430*AV429</f>
        <v/>
      </c>
      <c r="AW430">
        <f>$C430*AW429</f>
        <v/>
      </c>
      <c r="AX430">
        <f>$C430*AX429</f>
        <v/>
      </c>
      <c r="AY430">
        <f>$C430*AY429</f>
        <v/>
      </c>
      <c r="AZ430">
        <f>$C430*AZ429</f>
        <v/>
      </c>
      <c r="BA430">
        <f>$C430*BA429</f>
        <v/>
      </c>
      <c r="BB430">
        <f>$C430*BB429</f>
        <v/>
      </c>
      <c r="BC430">
        <f>$C430*BC429</f>
        <v/>
      </c>
      <c r="BD430">
        <f>$C430*BD429</f>
        <v/>
      </c>
      <c r="BE430">
        <f>$C430*BE429</f>
        <v/>
      </c>
      <c r="BF430">
        <f>$C430*BF429</f>
        <v/>
      </c>
      <c r="BG430">
        <f>$C430*BG429</f>
        <v/>
      </c>
      <c r="BH430">
        <f>$C430*BH429</f>
        <v/>
      </c>
      <c r="BI430">
        <f>$C430*BI429</f>
        <v/>
      </c>
      <c r="BJ430">
        <f>$C430*BJ429</f>
        <v/>
      </c>
      <c r="BK430">
        <f>$C430*BK429</f>
        <v/>
      </c>
      <c r="BL430">
        <f>$C430*BL429</f>
        <v/>
      </c>
      <c r="BM430">
        <f>$C430*BM429</f>
        <v/>
      </c>
      <c r="BN430">
        <f>$C430*BN429</f>
        <v/>
      </c>
      <c r="BO430">
        <f>$C430*BO429</f>
        <v/>
      </c>
      <c r="BP430">
        <f>$C430*BP429</f>
        <v/>
      </c>
      <c r="BQ430">
        <f>$C430*BQ429</f>
        <v/>
      </c>
      <c r="BR430">
        <f>$C430*BR429</f>
        <v/>
      </c>
      <c r="BS430">
        <f>$C430*BS429</f>
        <v/>
      </c>
      <c r="BT430">
        <f>$C430*BT429</f>
        <v/>
      </c>
      <c r="BU430">
        <f>$C430*BU429</f>
        <v/>
      </c>
      <c r="BV430">
        <f>$C430*BV429</f>
        <v/>
      </c>
      <c r="BW430">
        <f>$C430*BW429</f>
        <v/>
      </c>
      <c r="BX430">
        <f>$C430*BX429</f>
        <v/>
      </c>
      <c r="BY430">
        <f>$C430*BY429</f>
        <v/>
      </c>
      <c r="BZ430">
        <f>$C430*BZ429</f>
        <v/>
      </c>
      <c r="CA430">
        <f>$C430*CA429</f>
        <v/>
      </c>
      <c r="CB430">
        <f>$C430*CB429</f>
        <v/>
      </c>
      <c r="CC430">
        <f>$C430*CC429</f>
        <v/>
      </c>
      <c r="CD430">
        <f>$C430*CD429</f>
        <v/>
      </c>
      <c r="CE430">
        <f>$C430*CE429</f>
        <v/>
      </c>
      <c r="CF430">
        <f>$C430*CF429</f>
        <v/>
      </c>
      <c r="CG430">
        <f>$C430*CG429</f>
        <v/>
      </c>
      <c r="CH430">
        <f>$C430*CH429</f>
        <v/>
      </c>
      <c r="CI430">
        <f>$C430*CI429</f>
        <v/>
      </c>
      <c r="CJ430">
        <f>$C430*CJ429</f>
        <v/>
      </c>
      <c r="CK430">
        <f>$C430*CK429</f>
        <v/>
      </c>
      <c r="CL430">
        <f>$C430*CL429</f>
        <v/>
      </c>
      <c r="CM430">
        <f>$C430*CM429</f>
        <v/>
      </c>
      <c r="CN430">
        <f>$C430*CN429</f>
        <v/>
      </c>
      <c r="CO430">
        <f>$C430*CO429</f>
        <v/>
      </c>
      <c r="CP430">
        <f>$C430*CP429</f>
        <v/>
      </c>
      <c r="CQ430">
        <f>$C430*CQ429</f>
        <v/>
      </c>
      <c r="CR430">
        <f>$C430*CR429</f>
        <v/>
      </c>
      <c r="CS430">
        <f>$C430*CS429</f>
        <v/>
      </c>
      <c r="CT430">
        <f>$C430*CT429</f>
        <v/>
      </c>
      <c r="CU430">
        <f>$C430*CU429</f>
        <v/>
      </c>
      <c r="CV430">
        <f>$C430*CV429</f>
        <v/>
      </c>
      <c r="CW430">
        <f>$C430*CW429</f>
        <v/>
      </c>
      <c r="CX430">
        <f>$C430*CX429</f>
        <v/>
      </c>
      <c r="CY430">
        <f>$C430*CY429</f>
        <v/>
      </c>
      <c r="CZ430">
        <f>$C430*CZ429</f>
        <v/>
      </c>
      <c r="DA430">
        <f>$C430*DA429</f>
        <v/>
      </c>
      <c r="DB430">
        <f>$C430*DB429</f>
        <v/>
      </c>
      <c r="DC430">
        <f>$C430*DC429</f>
        <v/>
      </c>
    </row>
    <row r="431">
      <c r="B431" t="inlineStr">
        <is>
          <t>VSP-870</t>
        </is>
      </c>
      <c r="C431" t="inlineStr">
        <is>
          <t>No. of batches</t>
        </is>
      </c>
      <c r="D431">
        <f>IFERROR(INDEX(PP_Grid[#Data],$DD431,2),0)</f>
        <v/>
      </c>
      <c r="E431">
        <f>IFERROR(INDEX(PP_Grid[#Data],$DD431,3),0)</f>
        <v/>
      </c>
      <c r="F431">
        <f>IFERROR(INDEX(PP_Grid[#Data],$DD431,4),0)</f>
        <v/>
      </c>
      <c r="G431">
        <f>IFERROR(INDEX(PP_Grid[#Data],$DD431,5),0)</f>
        <v/>
      </c>
      <c r="H431">
        <f>IFERROR(INDEX(PP_Grid[#Data],$DD431,6),0)</f>
        <v/>
      </c>
      <c r="I431">
        <f>IFERROR(INDEX(PP_Grid[#Data],$DD431,7),0)</f>
        <v/>
      </c>
      <c r="J431">
        <f>IFERROR(INDEX(PP_Grid[#Data],$DD431,8),0)</f>
        <v/>
      </c>
      <c r="K431">
        <f>IFERROR(INDEX(PP_Grid[#Data],$DD431,9),0)</f>
        <v/>
      </c>
      <c r="L431">
        <f>IFERROR(INDEX(PP_Grid[#Data],$DD431,10),0)</f>
        <v/>
      </c>
      <c r="M431">
        <f>IFERROR(INDEX(PP_Grid[#Data],$DD431,11),0)</f>
        <v/>
      </c>
      <c r="N431">
        <f>IFERROR(INDEX(PP_Grid[#Data],$DD431,12),0)</f>
        <v/>
      </c>
      <c r="O431">
        <f>IFERROR(INDEX(PP_Grid[#Data],$DD431,13),0)</f>
        <v/>
      </c>
      <c r="P431">
        <f>IFERROR(INDEX(PP_Grid[#Data],$DD431,14),0)</f>
        <v/>
      </c>
      <c r="Q431">
        <f>IFERROR(INDEX(PP_Grid[#Data],$DD431,15),0)</f>
        <v/>
      </c>
      <c r="R431">
        <f>IFERROR(INDEX(PP_Grid[#Data],$DD431,16),0)</f>
        <v/>
      </c>
      <c r="S431">
        <f>IFERROR(INDEX(PP_Grid[#Data],$DD431,17),0)</f>
        <v/>
      </c>
      <c r="T431">
        <f>IFERROR(INDEX(PP_Grid[#Data],$DD431,18),0)</f>
        <v/>
      </c>
      <c r="U431">
        <f>IFERROR(INDEX(PP_Grid[#Data],$DD431,19),0)</f>
        <v/>
      </c>
      <c r="V431">
        <f>IFERROR(INDEX(PP_Grid[#Data],$DD431,20),0)</f>
        <v/>
      </c>
      <c r="W431">
        <f>IFERROR(INDEX(PP_Grid[#Data],$DD431,21),0)</f>
        <v/>
      </c>
      <c r="X431">
        <f>IFERROR(INDEX(PP_Grid[#Data],$DD431,22),0)</f>
        <v/>
      </c>
      <c r="Y431">
        <f>IFERROR(INDEX(PP_Grid[#Data],$DD431,23),0)</f>
        <v/>
      </c>
      <c r="Z431">
        <f>IFERROR(INDEX(PP_Grid[#Data],$DD431,24),0)</f>
        <v/>
      </c>
      <c r="AA431">
        <f>IFERROR(INDEX(PP_Grid[#Data],$DD431,25),0)</f>
        <v/>
      </c>
      <c r="AB431">
        <f>IFERROR(INDEX(PP_Grid[#Data],$DD431,26),0)</f>
        <v/>
      </c>
      <c r="AC431">
        <f>IFERROR(INDEX(PP_Grid[#Data],$DD431,27),0)</f>
        <v/>
      </c>
      <c r="AD431">
        <f>IFERROR(INDEX(PP_Grid[#Data],$DD431,28),0)</f>
        <v/>
      </c>
      <c r="AE431">
        <f>IFERROR(INDEX(PP_Grid[#Data],$DD431,29),0)</f>
        <v/>
      </c>
      <c r="AF431">
        <f>IFERROR(INDEX(PP_Grid[#Data],$DD431,30),0)</f>
        <v/>
      </c>
      <c r="AG431">
        <f>IFERROR(INDEX(PP_Grid[#Data],$DD431,31),0)</f>
        <v/>
      </c>
      <c r="AH431">
        <f>IFERROR(INDEX(PP_Grid[#Data],$DD431,32),0)</f>
        <v/>
      </c>
      <c r="AI431">
        <f>IFERROR(INDEX(PP_Grid[#Data],$DD431,33),0)</f>
        <v/>
      </c>
      <c r="AJ431">
        <f>IFERROR(INDEX(PP_Grid[#Data],$DD431,34),0)</f>
        <v/>
      </c>
      <c r="AK431">
        <f>IFERROR(INDEX(PP_Grid[#Data],$DD431,35),0)</f>
        <v/>
      </c>
      <c r="AL431">
        <f>IFERROR(INDEX(PP_Grid[#Data],$DD431,36),0)</f>
        <v/>
      </c>
      <c r="AM431">
        <f>IFERROR(INDEX(PP_Grid[#Data],$DD431,37),0)</f>
        <v/>
      </c>
      <c r="AN431">
        <f>IFERROR(INDEX(PP_Grid[#Data],$DD431,38),0)</f>
        <v/>
      </c>
      <c r="AO431">
        <f>IFERROR(INDEX(PP_Grid[#Data],$DD431,39),0)</f>
        <v/>
      </c>
      <c r="AP431">
        <f>IFERROR(INDEX(PP_Grid[#Data],$DD431,40),0)</f>
        <v/>
      </c>
      <c r="AQ431">
        <f>IFERROR(INDEX(PP_Grid[#Data],$DD431,41),0)</f>
        <v/>
      </c>
      <c r="AR431">
        <f>IFERROR(INDEX(PP_Grid[#Data],$DD431,42),0)</f>
        <v/>
      </c>
      <c r="AS431">
        <f>IFERROR(INDEX(PP_Grid[#Data],$DD431,43),0)</f>
        <v/>
      </c>
      <c r="AT431">
        <f>IFERROR(INDEX(PP_Grid[#Data],$DD431,44),0)</f>
        <v/>
      </c>
      <c r="AU431">
        <f>IFERROR(INDEX(PP_Grid[#Data],$DD431,45),0)</f>
        <v/>
      </c>
      <c r="AV431">
        <f>IFERROR(INDEX(PP_Grid[#Data],$DD431,46),0)</f>
        <v/>
      </c>
      <c r="AW431">
        <f>IFERROR(INDEX(PP_Grid[#Data],$DD431,47),0)</f>
        <v/>
      </c>
      <c r="AX431">
        <f>IFERROR(INDEX(PP_Grid[#Data],$DD431,48),0)</f>
        <v/>
      </c>
      <c r="AY431">
        <f>IFERROR(INDEX(PP_Grid[#Data],$DD431,49),0)</f>
        <v/>
      </c>
      <c r="AZ431">
        <f>IFERROR(INDEX(PP_Grid[#Data],$DD431,50),0)</f>
        <v/>
      </c>
      <c r="BA431">
        <f>IFERROR(INDEX(PP_Grid[#Data],$DD431,51),0)</f>
        <v/>
      </c>
      <c r="BB431">
        <f>IFERROR(INDEX(PP_Grid[#Data],$DD431,52),0)</f>
        <v/>
      </c>
      <c r="BC431">
        <f>IFERROR(INDEX(PP_Grid[#Data],$DD431,53),0)</f>
        <v/>
      </c>
      <c r="BD431">
        <f>IFERROR(INDEX(PP_Grid[#Data],$DD431,54),0)</f>
        <v/>
      </c>
      <c r="BE431">
        <f>IFERROR(INDEX(PP_Grid[#Data],$DD431,55),0)</f>
        <v/>
      </c>
      <c r="BF431">
        <f>IFERROR(INDEX(PP_Grid[#Data],$DD431,56),0)</f>
        <v/>
      </c>
      <c r="BG431">
        <f>IFERROR(INDEX(PP_Grid[#Data],$DD431,57),0)</f>
        <v/>
      </c>
      <c r="BH431">
        <f>IFERROR(INDEX(PP_Grid[#Data],$DD431,58),0)</f>
        <v/>
      </c>
      <c r="BI431">
        <f>IFERROR(INDEX(PP_Grid[#Data],$DD431,59),0)</f>
        <v/>
      </c>
      <c r="BJ431">
        <f>IFERROR(INDEX(PP_Grid[#Data],$DD431,60),0)</f>
        <v/>
      </c>
      <c r="BK431">
        <f>IFERROR(INDEX(PP_Grid[#Data],$DD431,61),0)</f>
        <v/>
      </c>
      <c r="BL431">
        <f>IFERROR(INDEX(PP_Grid[#Data],$DD431,62),0)</f>
        <v/>
      </c>
      <c r="BM431">
        <f>IFERROR(INDEX(PP_Grid[#Data],$DD431,63),0)</f>
        <v/>
      </c>
      <c r="BN431">
        <f>IFERROR(INDEX(PP_Grid[#Data],$DD431,64),0)</f>
        <v/>
      </c>
      <c r="BO431">
        <f>IFERROR(INDEX(PP_Grid[#Data],$DD431,65),0)</f>
        <v/>
      </c>
      <c r="BP431">
        <f>IFERROR(INDEX(PP_Grid[#Data],$DD431,66),0)</f>
        <v/>
      </c>
      <c r="BQ431">
        <f>IFERROR(INDEX(PP_Grid[#Data],$DD431,67),0)</f>
        <v/>
      </c>
      <c r="BR431">
        <f>IFERROR(INDEX(PP_Grid[#Data],$DD431,68),0)</f>
        <v/>
      </c>
      <c r="BS431">
        <f>IFERROR(INDEX(PP_Grid[#Data],$DD431,69),0)</f>
        <v/>
      </c>
      <c r="BT431">
        <f>IFERROR(INDEX(PP_Grid[#Data],$DD431,70),0)</f>
        <v/>
      </c>
      <c r="BU431">
        <f>IFERROR(INDEX(PP_Grid[#Data],$DD431,71),0)</f>
        <v/>
      </c>
      <c r="BV431">
        <f>IFERROR(INDEX(PP_Grid[#Data],$DD431,72),0)</f>
        <v/>
      </c>
      <c r="BW431">
        <f>IFERROR(INDEX(PP_Grid[#Data],$DD431,73),0)</f>
        <v/>
      </c>
      <c r="BX431">
        <f>IFERROR(INDEX(PP_Grid[#Data],$DD431,74),0)</f>
        <v/>
      </c>
      <c r="BY431">
        <f>IFERROR(INDEX(PP_Grid[#Data],$DD431,75),0)</f>
        <v/>
      </c>
      <c r="BZ431">
        <f>IFERROR(INDEX(PP_Grid[#Data],$DD431,76),0)</f>
        <v/>
      </c>
      <c r="CA431">
        <f>IFERROR(INDEX(PP_Grid[#Data],$DD431,77),0)</f>
        <v/>
      </c>
      <c r="CB431">
        <f>IFERROR(INDEX(PP_Grid[#Data],$DD431,78),0)</f>
        <v/>
      </c>
      <c r="CC431">
        <f>IFERROR(INDEX(PP_Grid[#Data],$DD431,79),0)</f>
        <v/>
      </c>
      <c r="CD431">
        <f>IFERROR(INDEX(PP_Grid[#Data],$DD431,80),0)</f>
        <v/>
      </c>
      <c r="CE431">
        <f>IFERROR(INDEX(PP_Grid[#Data],$DD431,81),0)</f>
        <v/>
      </c>
      <c r="CF431">
        <f>IFERROR(INDEX(PP_Grid[#Data],$DD431,82),0)</f>
        <v/>
      </c>
      <c r="CG431">
        <f>IFERROR(INDEX(PP_Grid[#Data],$DD431,83),0)</f>
        <v/>
      </c>
      <c r="CH431">
        <f>IFERROR(INDEX(PP_Grid[#Data],$DD431,84),0)</f>
        <v/>
      </c>
      <c r="CI431">
        <f>IFERROR(INDEX(PP_Grid[#Data],$DD431,85),0)</f>
        <v/>
      </c>
      <c r="CJ431">
        <f>IFERROR(INDEX(PP_Grid[#Data],$DD431,86),0)</f>
        <v/>
      </c>
      <c r="CK431">
        <f>IFERROR(INDEX(PP_Grid[#Data],$DD431,87),0)</f>
        <v/>
      </c>
      <c r="CL431">
        <f>IFERROR(INDEX(PP_Grid[#Data],$DD431,88),0)</f>
        <v/>
      </c>
      <c r="CM431">
        <f>IFERROR(INDEX(PP_Grid[#Data],$DD431,89),0)</f>
        <v/>
      </c>
      <c r="CN431">
        <f>IFERROR(INDEX(PP_Grid[#Data],$DD431,90),0)</f>
        <v/>
      </c>
      <c r="CO431">
        <f>IFERROR(INDEX(PP_Grid[#Data],$DD431,91),0)</f>
        <v/>
      </c>
      <c r="CP431">
        <f>IFERROR(INDEX(PP_Grid[#Data],$DD431,92),0)</f>
        <v/>
      </c>
      <c r="CQ431">
        <f>IFERROR(INDEX(PP_Grid[#Data],$DD431,93),0)</f>
        <v/>
      </c>
      <c r="CR431">
        <f>IFERROR(INDEX(PP_Grid[#Data],$DD431,94),0)</f>
        <v/>
      </c>
      <c r="CS431">
        <f>IFERROR(INDEX(PP_Grid[#Data],$DD431,95),0)</f>
        <v/>
      </c>
      <c r="CT431">
        <f>IFERROR(INDEX(PP_Grid[#Data],$DD431,96),0)</f>
        <v/>
      </c>
      <c r="CU431">
        <f>IFERROR(INDEX(PP_Grid[#Data],$DD431,97),0)</f>
        <v/>
      </c>
      <c r="CV431">
        <f>IFERROR(INDEX(PP_Grid[#Data],$DD431,98),0)</f>
        <v/>
      </c>
      <c r="CW431">
        <f>IFERROR(INDEX(PP_Grid[#Data],$DD431,99),0)</f>
        <v/>
      </c>
      <c r="CX431">
        <f>IFERROR(INDEX(PP_Grid[#Data],$DD431,100),0)</f>
        <v/>
      </c>
      <c r="CY431">
        <f>IFERROR(INDEX(PP_Grid[#Data],$DD431,101),0)</f>
        <v/>
      </c>
      <c r="CZ431">
        <f>IFERROR(INDEX(PP_Grid[#Data],$DD431,102),0)</f>
        <v/>
      </c>
      <c r="DA431">
        <f>IFERROR(INDEX(PP_Grid[#Data],$DD431,103),0)</f>
        <v/>
      </c>
      <c r="DB431">
        <f>IFERROR(INDEX(PP_Grid[#Data],$DD431,104),0)</f>
        <v/>
      </c>
      <c r="DC431">
        <f>IFERROR(INDEX(PP_Grid[#Data],$DD431,105),0)</f>
        <v/>
      </c>
      <c r="DD431" s="7">
        <f>IFERROR(MATCH($B431,PP_Grid[Intermediate],0),99999)</f>
        <v/>
      </c>
    </row>
    <row r="432">
      <c r="B432" t="inlineStr">
        <is>
          <t>使用量(kg)</t>
        </is>
      </c>
      <c r="C432">
        <f>SUMIFS(M_BOM[RM_Qty_Per_Batch],M_BOM[Intermediate],$B431,M_BOM[Part Name],$A340)</f>
        <v/>
      </c>
      <c r="D432">
        <f>$C432*D431</f>
        <v/>
      </c>
      <c r="E432">
        <f>$C432*E431</f>
        <v/>
      </c>
      <c r="F432">
        <f>$C432*F431</f>
        <v/>
      </c>
      <c r="G432">
        <f>$C432*G431</f>
        <v/>
      </c>
      <c r="H432">
        <f>$C432*H431</f>
        <v/>
      </c>
      <c r="I432">
        <f>$C432*I431</f>
        <v/>
      </c>
      <c r="J432">
        <f>$C432*J431</f>
        <v/>
      </c>
      <c r="K432">
        <f>$C432*K431</f>
        <v/>
      </c>
      <c r="L432">
        <f>$C432*L431</f>
        <v/>
      </c>
      <c r="M432">
        <f>$C432*M431</f>
        <v/>
      </c>
      <c r="N432">
        <f>$C432*N431</f>
        <v/>
      </c>
      <c r="O432">
        <f>$C432*O431</f>
        <v/>
      </c>
      <c r="P432">
        <f>$C432*P431</f>
        <v/>
      </c>
      <c r="Q432">
        <f>$C432*Q431</f>
        <v/>
      </c>
      <c r="R432">
        <f>$C432*R431</f>
        <v/>
      </c>
      <c r="S432">
        <f>$C432*S431</f>
        <v/>
      </c>
      <c r="T432">
        <f>$C432*T431</f>
        <v/>
      </c>
      <c r="U432">
        <f>$C432*U431</f>
        <v/>
      </c>
      <c r="V432">
        <f>$C432*V431</f>
        <v/>
      </c>
      <c r="W432">
        <f>$C432*W431</f>
        <v/>
      </c>
      <c r="X432">
        <f>$C432*X431</f>
        <v/>
      </c>
      <c r="Y432">
        <f>$C432*Y431</f>
        <v/>
      </c>
      <c r="Z432">
        <f>$C432*Z431</f>
        <v/>
      </c>
      <c r="AA432">
        <f>$C432*AA431</f>
        <v/>
      </c>
      <c r="AB432">
        <f>$C432*AB431</f>
        <v/>
      </c>
      <c r="AC432">
        <f>$C432*AC431</f>
        <v/>
      </c>
      <c r="AD432">
        <f>$C432*AD431</f>
        <v/>
      </c>
      <c r="AE432">
        <f>$C432*AE431</f>
        <v/>
      </c>
      <c r="AF432">
        <f>$C432*AF431</f>
        <v/>
      </c>
      <c r="AG432">
        <f>$C432*AG431</f>
        <v/>
      </c>
      <c r="AH432">
        <f>$C432*AH431</f>
        <v/>
      </c>
      <c r="AI432">
        <f>$C432*AI431</f>
        <v/>
      </c>
      <c r="AJ432">
        <f>$C432*AJ431</f>
        <v/>
      </c>
      <c r="AK432">
        <f>$C432*AK431</f>
        <v/>
      </c>
      <c r="AL432">
        <f>$C432*AL431</f>
        <v/>
      </c>
      <c r="AM432">
        <f>$C432*AM431</f>
        <v/>
      </c>
      <c r="AN432">
        <f>$C432*AN431</f>
        <v/>
      </c>
      <c r="AO432">
        <f>$C432*AO431</f>
        <v/>
      </c>
      <c r="AP432">
        <f>$C432*AP431</f>
        <v/>
      </c>
      <c r="AQ432">
        <f>$C432*AQ431</f>
        <v/>
      </c>
      <c r="AR432">
        <f>$C432*AR431</f>
        <v/>
      </c>
      <c r="AS432">
        <f>$C432*AS431</f>
        <v/>
      </c>
      <c r="AT432">
        <f>$C432*AT431</f>
        <v/>
      </c>
      <c r="AU432">
        <f>$C432*AU431</f>
        <v/>
      </c>
      <c r="AV432">
        <f>$C432*AV431</f>
        <v/>
      </c>
      <c r="AW432">
        <f>$C432*AW431</f>
        <v/>
      </c>
      <c r="AX432">
        <f>$C432*AX431</f>
        <v/>
      </c>
      <c r="AY432">
        <f>$C432*AY431</f>
        <v/>
      </c>
      <c r="AZ432">
        <f>$C432*AZ431</f>
        <v/>
      </c>
      <c r="BA432">
        <f>$C432*BA431</f>
        <v/>
      </c>
      <c r="BB432">
        <f>$C432*BB431</f>
        <v/>
      </c>
      <c r="BC432">
        <f>$C432*BC431</f>
        <v/>
      </c>
      <c r="BD432">
        <f>$C432*BD431</f>
        <v/>
      </c>
      <c r="BE432">
        <f>$C432*BE431</f>
        <v/>
      </c>
      <c r="BF432">
        <f>$C432*BF431</f>
        <v/>
      </c>
      <c r="BG432">
        <f>$C432*BG431</f>
        <v/>
      </c>
      <c r="BH432">
        <f>$C432*BH431</f>
        <v/>
      </c>
      <c r="BI432">
        <f>$C432*BI431</f>
        <v/>
      </c>
      <c r="BJ432">
        <f>$C432*BJ431</f>
        <v/>
      </c>
      <c r="BK432">
        <f>$C432*BK431</f>
        <v/>
      </c>
      <c r="BL432">
        <f>$C432*BL431</f>
        <v/>
      </c>
      <c r="BM432">
        <f>$C432*BM431</f>
        <v/>
      </c>
      <c r="BN432">
        <f>$C432*BN431</f>
        <v/>
      </c>
      <c r="BO432">
        <f>$C432*BO431</f>
        <v/>
      </c>
      <c r="BP432">
        <f>$C432*BP431</f>
        <v/>
      </c>
      <c r="BQ432">
        <f>$C432*BQ431</f>
        <v/>
      </c>
      <c r="BR432">
        <f>$C432*BR431</f>
        <v/>
      </c>
      <c r="BS432">
        <f>$C432*BS431</f>
        <v/>
      </c>
      <c r="BT432">
        <f>$C432*BT431</f>
        <v/>
      </c>
      <c r="BU432">
        <f>$C432*BU431</f>
        <v/>
      </c>
      <c r="BV432">
        <f>$C432*BV431</f>
        <v/>
      </c>
      <c r="BW432">
        <f>$C432*BW431</f>
        <v/>
      </c>
      <c r="BX432">
        <f>$C432*BX431</f>
        <v/>
      </c>
      <c r="BY432">
        <f>$C432*BY431</f>
        <v/>
      </c>
      <c r="BZ432">
        <f>$C432*BZ431</f>
        <v/>
      </c>
      <c r="CA432">
        <f>$C432*CA431</f>
        <v/>
      </c>
      <c r="CB432">
        <f>$C432*CB431</f>
        <v/>
      </c>
      <c r="CC432">
        <f>$C432*CC431</f>
        <v/>
      </c>
      <c r="CD432">
        <f>$C432*CD431</f>
        <v/>
      </c>
      <c r="CE432">
        <f>$C432*CE431</f>
        <v/>
      </c>
      <c r="CF432">
        <f>$C432*CF431</f>
        <v/>
      </c>
      <c r="CG432">
        <f>$C432*CG431</f>
        <v/>
      </c>
      <c r="CH432">
        <f>$C432*CH431</f>
        <v/>
      </c>
      <c r="CI432">
        <f>$C432*CI431</f>
        <v/>
      </c>
      <c r="CJ432">
        <f>$C432*CJ431</f>
        <v/>
      </c>
      <c r="CK432">
        <f>$C432*CK431</f>
        <v/>
      </c>
      <c r="CL432">
        <f>$C432*CL431</f>
        <v/>
      </c>
      <c r="CM432">
        <f>$C432*CM431</f>
        <v/>
      </c>
      <c r="CN432">
        <f>$C432*CN431</f>
        <v/>
      </c>
      <c r="CO432">
        <f>$C432*CO431</f>
        <v/>
      </c>
      <c r="CP432">
        <f>$C432*CP431</f>
        <v/>
      </c>
      <c r="CQ432">
        <f>$C432*CQ431</f>
        <v/>
      </c>
      <c r="CR432">
        <f>$C432*CR431</f>
        <v/>
      </c>
      <c r="CS432">
        <f>$C432*CS431</f>
        <v/>
      </c>
      <c r="CT432">
        <f>$C432*CT431</f>
        <v/>
      </c>
      <c r="CU432">
        <f>$C432*CU431</f>
        <v/>
      </c>
      <c r="CV432">
        <f>$C432*CV431</f>
        <v/>
      </c>
      <c r="CW432">
        <f>$C432*CW431</f>
        <v/>
      </c>
      <c r="CX432">
        <f>$C432*CX431</f>
        <v/>
      </c>
      <c r="CY432">
        <f>$C432*CY431</f>
        <v/>
      </c>
      <c r="CZ432">
        <f>$C432*CZ431</f>
        <v/>
      </c>
      <c r="DA432">
        <f>$C432*DA431</f>
        <v/>
      </c>
      <c r="DB432">
        <f>$C432*DB431</f>
        <v/>
      </c>
      <c r="DC432">
        <f>$C432*DC431</f>
        <v/>
      </c>
    </row>
    <row r="433">
      <c r="B433" t="inlineStr">
        <is>
          <t>VSP-910</t>
        </is>
      </c>
      <c r="C433" t="inlineStr">
        <is>
          <t>No. of batches</t>
        </is>
      </c>
      <c r="D433">
        <f>IFERROR(INDEX(PP_Grid[#Data],$DD433,2),0)</f>
        <v/>
      </c>
      <c r="E433">
        <f>IFERROR(INDEX(PP_Grid[#Data],$DD433,3),0)</f>
        <v/>
      </c>
      <c r="F433">
        <f>IFERROR(INDEX(PP_Grid[#Data],$DD433,4),0)</f>
        <v/>
      </c>
      <c r="G433">
        <f>IFERROR(INDEX(PP_Grid[#Data],$DD433,5),0)</f>
        <v/>
      </c>
      <c r="H433">
        <f>IFERROR(INDEX(PP_Grid[#Data],$DD433,6),0)</f>
        <v/>
      </c>
      <c r="I433">
        <f>IFERROR(INDEX(PP_Grid[#Data],$DD433,7),0)</f>
        <v/>
      </c>
      <c r="J433">
        <f>IFERROR(INDEX(PP_Grid[#Data],$DD433,8),0)</f>
        <v/>
      </c>
      <c r="K433">
        <f>IFERROR(INDEX(PP_Grid[#Data],$DD433,9),0)</f>
        <v/>
      </c>
      <c r="L433">
        <f>IFERROR(INDEX(PP_Grid[#Data],$DD433,10),0)</f>
        <v/>
      </c>
      <c r="M433">
        <f>IFERROR(INDEX(PP_Grid[#Data],$DD433,11),0)</f>
        <v/>
      </c>
      <c r="N433">
        <f>IFERROR(INDEX(PP_Grid[#Data],$DD433,12),0)</f>
        <v/>
      </c>
      <c r="O433">
        <f>IFERROR(INDEX(PP_Grid[#Data],$DD433,13),0)</f>
        <v/>
      </c>
      <c r="P433">
        <f>IFERROR(INDEX(PP_Grid[#Data],$DD433,14),0)</f>
        <v/>
      </c>
      <c r="Q433">
        <f>IFERROR(INDEX(PP_Grid[#Data],$DD433,15),0)</f>
        <v/>
      </c>
      <c r="R433">
        <f>IFERROR(INDEX(PP_Grid[#Data],$DD433,16),0)</f>
        <v/>
      </c>
      <c r="S433">
        <f>IFERROR(INDEX(PP_Grid[#Data],$DD433,17),0)</f>
        <v/>
      </c>
      <c r="T433">
        <f>IFERROR(INDEX(PP_Grid[#Data],$DD433,18),0)</f>
        <v/>
      </c>
      <c r="U433">
        <f>IFERROR(INDEX(PP_Grid[#Data],$DD433,19),0)</f>
        <v/>
      </c>
      <c r="V433">
        <f>IFERROR(INDEX(PP_Grid[#Data],$DD433,20),0)</f>
        <v/>
      </c>
      <c r="W433">
        <f>IFERROR(INDEX(PP_Grid[#Data],$DD433,21),0)</f>
        <v/>
      </c>
      <c r="X433">
        <f>IFERROR(INDEX(PP_Grid[#Data],$DD433,22),0)</f>
        <v/>
      </c>
      <c r="Y433">
        <f>IFERROR(INDEX(PP_Grid[#Data],$DD433,23),0)</f>
        <v/>
      </c>
      <c r="Z433">
        <f>IFERROR(INDEX(PP_Grid[#Data],$DD433,24),0)</f>
        <v/>
      </c>
      <c r="AA433">
        <f>IFERROR(INDEX(PP_Grid[#Data],$DD433,25),0)</f>
        <v/>
      </c>
      <c r="AB433">
        <f>IFERROR(INDEX(PP_Grid[#Data],$DD433,26),0)</f>
        <v/>
      </c>
      <c r="AC433">
        <f>IFERROR(INDEX(PP_Grid[#Data],$DD433,27),0)</f>
        <v/>
      </c>
      <c r="AD433">
        <f>IFERROR(INDEX(PP_Grid[#Data],$DD433,28),0)</f>
        <v/>
      </c>
      <c r="AE433">
        <f>IFERROR(INDEX(PP_Grid[#Data],$DD433,29),0)</f>
        <v/>
      </c>
      <c r="AF433">
        <f>IFERROR(INDEX(PP_Grid[#Data],$DD433,30),0)</f>
        <v/>
      </c>
      <c r="AG433">
        <f>IFERROR(INDEX(PP_Grid[#Data],$DD433,31),0)</f>
        <v/>
      </c>
      <c r="AH433">
        <f>IFERROR(INDEX(PP_Grid[#Data],$DD433,32),0)</f>
        <v/>
      </c>
      <c r="AI433">
        <f>IFERROR(INDEX(PP_Grid[#Data],$DD433,33),0)</f>
        <v/>
      </c>
      <c r="AJ433">
        <f>IFERROR(INDEX(PP_Grid[#Data],$DD433,34),0)</f>
        <v/>
      </c>
      <c r="AK433">
        <f>IFERROR(INDEX(PP_Grid[#Data],$DD433,35),0)</f>
        <v/>
      </c>
      <c r="AL433">
        <f>IFERROR(INDEX(PP_Grid[#Data],$DD433,36),0)</f>
        <v/>
      </c>
      <c r="AM433">
        <f>IFERROR(INDEX(PP_Grid[#Data],$DD433,37),0)</f>
        <v/>
      </c>
      <c r="AN433">
        <f>IFERROR(INDEX(PP_Grid[#Data],$DD433,38),0)</f>
        <v/>
      </c>
      <c r="AO433">
        <f>IFERROR(INDEX(PP_Grid[#Data],$DD433,39),0)</f>
        <v/>
      </c>
      <c r="AP433">
        <f>IFERROR(INDEX(PP_Grid[#Data],$DD433,40),0)</f>
        <v/>
      </c>
      <c r="AQ433">
        <f>IFERROR(INDEX(PP_Grid[#Data],$DD433,41),0)</f>
        <v/>
      </c>
      <c r="AR433">
        <f>IFERROR(INDEX(PP_Grid[#Data],$DD433,42),0)</f>
        <v/>
      </c>
      <c r="AS433">
        <f>IFERROR(INDEX(PP_Grid[#Data],$DD433,43),0)</f>
        <v/>
      </c>
      <c r="AT433">
        <f>IFERROR(INDEX(PP_Grid[#Data],$DD433,44),0)</f>
        <v/>
      </c>
      <c r="AU433">
        <f>IFERROR(INDEX(PP_Grid[#Data],$DD433,45),0)</f>
        <v/>
      </c>
      <c r="AV433">
        <f>IFERROR(INDEX(PP_Grid[#Data],$DD433,46),0)</f>
        <v/>
      </c>
      <c r="AW433">
        <f>IFERROR(INDEX(PP_Grid[#Data],$DD433,47),0)</f>
        <v/>
      </c>
      <c r="AX433">
        <f>IFERROR(INDEX(PP_Grid[#Data],$DD433,48),0)</f>
        <v/>
      </c>
      <c r="AY433">
        <f>IFERROR(INDEX(PP_Grid[#Data],$DD433,49),0)</f>
        <v/>
      </c>
      <c r="AZ433">
        <f>IFERROR(INDEX(PP_Grid[#Data],$DD433,50),0)</f>
        <v/>
      </c>
      <c r="BA433">
        <f>IFERROR(INDEX(PP_Grid[#Data],$DD433,51),0)</f>
        <v/>
      </c>
      <c r="BB433">
        <f>IFERROR(INDEX(PP_Grid[#Data],$DD433,52),0)</f>
        <v/>
      </c>
      <c r="BC433">
        <f>IFERROR(INDEX(PP_Grid[#Data],$DD433,53),0)</f>
        <v/>
      </c>
      <c r="BD433">
        <f>IFERROR(INDEX(PP_Grid[#Data],$DD433,54),0)</f>
        <v/>
      </c>
      <c r="BE433">
        <f>IFERROR(INDEX(PP_Grid[#Data],$DD433,55),0)</f>
        <v/>
      </c>
      <c r="BF433">
        <f>IFERROR(INDEX(PP_Grid[#Data],$DD433,56),0)</f>
        <v/>
      </c>
      <c r="BG433">
        <f>IFERROR(INDEX(PP_Grid[#Data],$DD433,57),0)</f>
        <v/>
      </c>
      <c r="BH433">
        <f>IFERROR(INDEX(PP_Grid[#Data],$DD433,58),0)</f>
        <v/>
      </c>
      <c r="BI433">
        <f>IFERROR(INDEX(PP_Grid[#Data],$DD433,59),0)</f>
        <v/>
      </c>
      <c r="BJ433">
        <f>IFERROR(INDEX(PP_Grid[#Data],$DD433,60),0)</f>
        <v/>
      </c>
      <c r="BK433">
        <f>IFERROR(INDEX(PP_Grid[#Data],$DD433,61),0)</f>
        <v/>
      </c>
      <c r="BL433">
        <f>IFERROR(INDEX(PP_Grid[#Data],$DD433,62),0)</f>
        <v/>
      </c>
      <c r="BM433">
        <f>IFERROR(INDEX(PP_Grid[#Data],$DD433,63),0)</f>
        <v/>
      </c>
      <c r="BN433">
        <f>IFERROR(INDEX(PP_Grid[#Data],$DD433,64),0)</f>
        <v/>
      </c>
      <c r="BO433">
        <f>IFERROR(INDEX(PP_Grid[#Data],$DD433,65),0)</f>
        <v/>
      </c>
      <c r="BP433">
        <f>IFERROR(INDEX(PP_Grid[#Data],$DD433,66),0)</f>
        <v/>
      </c>
      <c r="BQ433">
        <f>IFERROR(INDEX(PP_Grid[#Data],$DD433,67),0)</f>
        <v/>
      </c>
      <c r="BR433">
        <f>IFERROR(INDEX(PP_Grid[#Data],$DD433,68),0)</f>
        <v/>
      </c>
      <c r="BS433">
        <f>IFERROR(INDEX(PP_Grid[#Data],$DD433,69),0)</f>
        <v/>
      </c>
      <c r="BT433">
        <f>IFERROR(INDEX(PP_Grid[#Data],$DD433,70),0)</f>
        <v/>
      </c>
      <c r="BU433">
        <f>IFERROR(INDEX(PP_Grid[#Data],$DD433,71),0)</f>
        <v/>
      </c>
      <c r="BV433">
        <f>IFERROR(INDEX(PP_Grid[#Data],$DD433,72),0)</f>
        <v/>
      </c>
      <c r="BW433">
        <f>IFERROR(INDEX(PP_Grid[#Data],$DD433,73),0)</f>
        <v/>
      </c>
      <c r="BX433">
        <f>IFERROR(INDEX(PP_Grid[#Data],$DD433,74),0)</f>
        <v/>
      </c>
      <c r="BY433">
        <f>IFERROR(INDEX(PP_Grid[#Data],$DD433,75),0)</f>
        <v/>
      </c>
      <c r="BZ433">
        <f>IFERROR(INDEX(PP_Grid[#Data],$DD433,76),0)</f>
        <v/>
      </c>
      <c r="CA433">
        <f>IFERROR(INDEX(PP_Grid[#Data],$DD433,77),0)</f>
        <v/>
      </c>
      <c r="CB433">
        <f>IFERROR(INDEX(PP_Grid[#Data],$DD433,78),0)</f>
        <v/>
      </c>
      <c r="CC433">
        <f>IFERROR(INDEX(PP_Grid[#Data],$DD433,79),0)</f>
        <v/>
      </c>
      <c r="CD433">
        <f>IFERROR(INDEX(PP_Grid[#Data],$DD433,80),0)</f>
        <v/>
      </c>
      <c r="CE433">
        <f>IFERROR(INDEX(PP_Grid[#Data],$DD433,81),0)</f>
        <v/>
      </c>
      <c r="CF433">
        <f>IFERROR(INDEX(PP_Grid[#Data],$DD433,82),0)</f>
        <v/>
      </c>
      <c r="CG433">
        <f>IFERROR(INDEX(PP_Grid[#Data],$DD433,83),0)</f>
        <v/>
      </c>
      <c r="CH433">
        <f>IFERROR(INDEX(PP_Grid[#Data],$DD433,84),0)</f>
        <v/>
      </c>
      <c r="CI433">
        <f>IFERROR(INDEX(PP_Grid[#Data],$DD433,85),0)</f>
        <v/>
      </c>
      <c r="CJ433">
        <f>IFERROR(INDEX(PP_Grid[#Data],$DD433,86),0)</f>
        <v/>
      </c>
      <c r="CK433">
        <f>IFERROR(INDEX(PP_Grid[#Data],$DD433,87),0)</f>
        <v/>
      </c>
      <c r="CL433">
        <f>IFERROR(INDEX(PP_Grid[#Data],$DD433,88),0)</f>
        <v/>
      </c>
      <c r="CM433">
        <f>IFERROR(INDEX(PP_Grid[#Data],$DD433,89),0)</f>
        <v/>
      </c>
      <c r="CN433">
        <f>IFERROR(INDEX(PP_Grid[#Data],$DD433,90),0)</f>
        <v/>
      </c>
      <c r="CO433">
        <f>IFERROR(INDEX(PP_Grid[#Data],$DD433,91),0)</f>
        <v/>
      </c>
      <c r="CP433">
        <f>IFERROR(INDEX(PP_Grid[#Data],$DD433,92),0)</f>
        <v/>
      </c>
      <c r="CQ433">
        <f>IFERROR(INDEX(PP_Grid[#Data],$DD433,93),0)</f>
        <v/>
      </c>
      <c r="CR433">
        <f>IFERROR(INDEX(PP_Grid[#Data],$DD433,94),0)</f>
        <v/>
      </c>
      <c r="CS433">
        <f>IFERROR(INDEX(PP_Grid[#Data],$DD433,95),0)</f>
        <v/>
      </c>
      <c r="CT433">
        <f>IFERROR(INDEX(PP_Grid[#Data],$DD433,96),0)</f>
        <v/>
      </c>
      <c r="CU433">
        <f>IFERROR(INDEX(PP_Grid[#Data],$DD433,97),0)</f>
        <v/>
      </c>
      <c r="CV433">
        <f>IFERROR(INDEX(PP_Grid[#Data],$DD433,98),0)</f>
        <v/>
      </c>
      <c r="CW433">
        <f>IFERROR(INDEX(PP_Grid[#Data],$DD433,99),0)</f>
        <v/>
      </c>
      <c r="CX433">
        <f>IFERROR(INDEX(PP_Grid[#Data],$DD433,100),0)</f>
        <v/>
      </c>
      <c r="CY433">
        <f>IFERROR(INDEX(PP_Grid[#Data],$DD433,101),0)</f>
        <v/>
      </c>
      <c r="CZ433">
        <f>IFERROR(INDEX(PP_Grid[#Data],$DD433,102),0)</f>
        <v/>
      </c>
      <c r="DA433">
        <f>IFERROR(INDEX(PP_Grid[#Data],$DD433,103),0)</f>
        <v/>
      </c>
      <c r="DB433">
        <f>IFERROR(INDEX(PP_Grid[#Data],$DD433,104),0)</f>
        <v/>
      </c>
      <c r="DC433">
        <f>IFERROR(INDEX(PP_Grid[#Data],$DD433,105),0)</f>
        <v/>
      </c>
      <c r="DD433" s="7">
        <f>IFERROR(MATCH($B433,PP_Grid[Intermediate],0),99999)</f>
        <v/>
      </c>
    </row>
    <row r="434">
      <c r="B434" t="inlineStr">
        <is>
          <t>使用量(kg)</t>
        </is>
      </c>
      <c r="C434">
        <f>SUMIFS(M_BOM[RM_Qty_Per_Batch],M_BOM[Intermediate],$B433,M_BOM[Part Name],$A340)</f>
        <v/>
      </c>
      <c r="D434">
        <f>$C434*D433</f>
        <v/>
      </c>
      <c r="E434">
        <f>$C434*E433</f>
        <v/>
      </c>
      <c r="F434">
        <f>$C434*F433</f>
        <v/>
      </c>
      <c r="G434">
        <f>$C434*G433</f>
        <v/>
      </c>
      <c r="H434">
        <f>$C434*H433</f>
        <v/>
      </c>
      <c r="I434">
        <f>$C434*I433</f>
        <v/>
      </c>
      <c r="J434">
        <f>$C434*J433</f>
        <v/>
      </c>
      <c r="K434">
        <f>$C434*K433</f>
        <v/>
      </c>
      <c r="L434">
        <f>$C434*L433</f>
        <v/>
      </c>
      <c r="M434">
        <f>$C434*M433</f>
        <v/>
      </c>
      <c r="N434">
        <f>$C434*N433</f>
        <v/>
      </c>
      <c r="O434">
        <f>$C434*O433</f>
        <v/>
      </c>
      <c r="P434">
        <f>$C434*P433</f>
        <v/>
      </c>
      <c r="Q434">
        <f>$C434*Q433</f>
        <v/>
      </c>
      <c r="R434">
        <f>$C434*R433</f>
        <v/>
      </c>
      <c r="S434">
        <f>$C434*S433</f>
        <v/>
      </c>
      <c r="T434">
        <f>$C434*T433</f>
        <v/>
      </c>
      <c r="U434">
        <f>$C434*U433</f>
        <v/>
      </c>
      <c r="V434">
        <f>$C434*V433</f>
        <v/>
      </c>
      <c r="W434">
        <f>$C434*W433</f>
        <v/>
      </c>
      <c r="X434">
        <f>$C434*X433</f>
        <v/>
      </c>
      <c r="Y434">
        <f>$C434*Y433</f>
        <v/>
      </c>
      <c r="Z434">
        <f>$C434*Z433</f>
        <v/>
      </c>
      <c r="AA434">
        <f>$C434*AA433</f>
        <v/>
      </c>
      <c r="AB434">
        <f>$C434*AB433</f>
        <v/>
      </c>
      <c r="AC434">
        <f>$C434*AC433</f>
        <v/>
      </c>
      <c r="AD434">
        <f>$C434*AD433</f>
        <v/>
      </c>
      <c r="AE434">
        <f>$C434*AE433</f>
        <v/>
      </c>
      <c r="AF434">
        <f>$C434*AF433</f>
        <v/>
      </c>
      <c r="AG434">
        <f>$C434*AG433</f>
        <v/>
      </c>
      <c r="AH434">
        <f>$C434*AH433</f>
        <v/>
      </c>
      <c r="AI434">
        <f>$C434*AI433</f>
        <v/>
      </c>
      <c r="AJ434">
        <f>$C434*AJ433</f>
        <v/>
      </c>
      <c r="AK434">
        <f>$C434*AK433</f>
        <v/>
      </c>
      <c r="AL434">
        <f>$C434*AL433</f>
        <v/>
      </c>
      <c r="AM434">
        <f>$C434*AM433</f>
        <v/>
      </c>
      <c r="AN434">
        <f>$C434*AN433</f>
        <v/>
      </c>
      <c r="AO434">
        <f>$C434*AO433</f>
        <v/>
      </c>
      <c r="AP434">
        <f>$C434*AP433</f>
        <v/>
      </c>
      <c r="AQ434">
        <f>$C434*AQ433</f>
        <v/>
      </c>
      <c r="AR434">
        <f>$C434*AR433</f>
        <v/>
      </c>
      <c r="AS434">
        <f>$C434*AS433</f>
        <v/>
      </c>
      <c r="AT434">
        <f>$C434*AT433</f>
        <v/>
      </c>
      <c r="AU434">
        <f>$C434*AU433</f>
        <v/>
      </c>
      <c r="AV434">
        <f>$C434*AV433</f>
        <v/>
      </c>
      <c r="AW434">
        <f>$C434*AW433</f>
        <v/>
      </c>
      <c r="AX434">
        <f>$C434*AX433</f>
        <v/>
      </c>
      <c r="AY434">
        <f>$C434*AY433</f>
        <v/>
      </c>
      <c r="AZ434">
        <f>$C434*AZ433</f>
        <v/>
      </c>
      <c r="BA434">
        <f>$C434*BA433</f>
        <v/>
      </c>
      <c r="BB434">
        <f>$C434*BB433</f>
        <v/>
      </c>
      <c r="BC434">
        <f>$C434*BC433</f>
        <v/>
      </c>
      <c r="BD434">
        <f>$C434*BD433</f>
        <v/>
      </c>
      <c r="BE434">
        <f>$C434*BE433</f>
        <v/>
      </c>
      <c r="BF434">
        <f>$C434*BF433</f>
        <v/>
      </c>
      <c r="BG434">
        <f>$C434*BG433</f>
        <v/>
      </c>
      <c r="BH434">
        <f>$C434*BH433</f>
        <v/>
      </c>
      <c r="BI434">
        <f>$C434*BI433</f>
        <v/>
      </c>
      <c r="BJ434">
        <f>$C434*BJ433</f>
        <v/>
      </c>
      <c r="BK434">
        <f>$C434*BK433</f>
        <v/>
      </c>
      <c r="BL434">
        <f>$C434*BL433</f>
        <v/>
      </c>
      <c r="BM434">
        <f>$C434*BM433</f>
        <v/>
      </c>
      <c r="BN434">
        <f>$C434*BN433</f>
        <v/>
      </c>
      <c r="BO434">
        <f>$C434*BO433</f>
        <v/>
      </c>
      <c r="BP434">
        <f>$C434*BP433</f>
        <v/>
      </c>
      <c r="BQ434">
        <f>$C434*BQ433</f>
        <v/>
      </c>
      <c r="BR434">
        <f>$C434*BR433</f>
        <v/>
      </c>
      <c r="BS434">
        <f>$C434*BS433</f>
        <v/>
      </c>
      <c r="BT434">
        <f>$C434*BT433</f>
        <v/>
      </c>
      <c r="BU434">
        <f>$C434*BU433</f>
        <v/>
      </c>
      <c r="BV434">
        <f>$C434*BV433</f>
        <v/>
      </c>
      <c r="BW434">
        <f>$C434*BW433</f>
        <v/>
      </c>
      <c r="BX434">
        <f>$C434*BX433</f>
        <v/>
      </c>
      <c r="BY434">
        <f>$C434*BY433</f>
        <v/>
      </c>
      <c r="BZ434">
        <f>$C434*BZ433</f>
        <v/>
      </c>
      <c r="CA434">
        <f>$C434*CA433</f>
        <v/>
      </c>
      <c r="CB434">
        <f>$C434*CB433</f>
        <v/>
      </c>
      <c r="CC434">
        <f>$C434*CC433</f>
        <v/>
      </c>
      <c r="CD434">
        <f>$C434*CD433</f>
        <v/>
      </c>
      <c r="CE434">
        <f>$C434*CE433</f>
        <v/>
      </c>
      <c r="CF434">
        <f>$C434*CF433</f>
        <v/>
      </c>
      <c r="CG434">
        <f>$C434*CG433</f>
        <v/>
      </c>
      <c r="CH434">
        <f>$C434*CH433</f>
        <v/>
      </c>
      <c r="CI434">
        <f>$C434*CI433</f>
        <v/>
      </c>
      <c r="CJ434">
        <f>$C434*CJ433</f>
        <v/>
      </c>
      <c r="CK434">
        <f>$C434*CK433</f>
        <v/>
      </c>
      <c r="CL434">
        <f>$C434*CL433</f>
        <v/>
      </c>
      <c r="CM434">
        <f>$C434*CM433</f>
        <v/>
      </c>
      <c r="CN434">
        <f>$C434*CN433</f>
        <v/>
      </c>
      <c r="CO434">
        <f>$C434*CO433</f>
        <v/>
      </c>
      <c r="CP434">
        <f>$C434*CP433</f>
        <v/>
      </c>
      <c r="CQ434">
        <f>$C434*CQ433</f>
        <v/>
      </c>
      <c r="CR434">
        <f>$C434*CR433</f>
        <v/>
      </c>
      <c r="CS434">
        <f>$C434*CS433</f>
        <v/>
      </c>
      <c r="CT434">
        <f>$C434*CT433</f>
        <v/>
      </c>
      <c r="CU434">
        <f>$C434*CU433</f>
        <v/>
      </c>
      <c r="CV434">
        <f>$C434*CV433</f>
        <v/>
      </c>
      <c r="CW434">
        <f>$C434*CW433</f>
        <v/>
      </c>
      <c r="CX434">
        <f>$C434*CX433</f>
        <v/>
      </c>
      <c r="CY434">
        <f>$C434*CY433</f>
        <v/>
      </c>
      <c r="CZ434">
        <f>$C434*CZ433</f>
        <v/>
      </c>
      <c r="DA434">
        <f>$C434*DA433</f>
        <v/>
      </c>
      <c r="DB434">
        <f>$C434*DB433</f>
        <v/>
      </c>
      <c r="DC434">
        <f>$C434*DC433</f>
        <v/>
      </c>
    </row>
    <row r="435">
      <c r="B435" t="inlineStr">
        <is>
          <t>VSP-989</t>
        </is>
      </c>
      <c r="C435" t="inlineStr">
        <is>
          <t>No. of batches</t>
        </is>
      </c>
      <c r="D435">
        <f>IFERROR(INDEX(PP_Grid[#Data],$DD435,2),0)</f>
        <v/>
      </c>
      <c r="E435">
        <f>IFERROR(INDEX(PP_Grid[#Data],$DD435,3),0)</f>
        <v/>
      </c>
      <c r="F435">
        <f>IFERROR(INDEX(PP_Grid[#Data],$DD435,4),0)</f>
        <v/>
      </c>
      <c r="G435">
        <f>IFERROR(INDEX(PP_Grid[#Data],$DD435,5),0)</f>
        <v/>
      </c>
      <c r="H435">
        <f>IFERROR(INDEX(PP_Grid[#Data],$DD435,6),0)</f>
        <v/>
      </c>
      <c r="I435">
        <f>IFERROR(INDEX(PP_Grid[#Data],$DD435,7),0)</f>
        <v/>
      </c>
      <c r="J435">
        <f>IFERROR(INDEX(PP_Grid[#Data],$DD435,8),0)</f>
        <v/>
      </c>
      <c r="K435">
        <f>IFERROR(INDEX(PP_Grid[#Data],$DD435,9),0)</f>
        <v/>
      </c>
      <c r="L435">
        <f>IFERROR(INDEX(PP_Grid[#Data],$DD435,10),0)</f>
        <v/>
      </c>
      <c r="M435">
        <f>IFERROR(INDEX(PP_Grid[#Data],$DD435,11),0)</f>
        <v/>
      </c>
      <c r="N435">
        <f>IFERROR(INDEX(PP_Grid[#Data],$DD435,12),0)</f>
        <v/>
      </c>
      <c r="O435">
        <f>IFERROR(INDEX(PP_Grid[#Data],$DD435,13),0)</f>
        <v/>
      </c>
      <c r="P435">
        <f>IFERROR(INDEX(PP_Grid[#Data],$DD435,14),0)</f>
        <v/>
      </c>
      <c r="Q435">
        <f>IFERROR(INDEX(PP_Grid[#Data],$DD435,15),0)</f>
        <v/>
      </c>
      <c r="R435">
        <f>IFERROR(INDEX(PP_Grid[#Data],$DD435,16),0)</f>
        <v/>
      </c>
      <c r="S435">
        <f>IFERROR(INDEX(PP_Grid[#Data],$DD435,17),0)</f>
        <v/>
      </c>
      <c r="T435">
        <f>IFERROR(INDEX(PP_Grid[#Data],$DD435,18),0)</f>
        <v/>
      </c>
      <c r="U435">
        <f>IFERROR(INDEX(PP_Grid[#Data],$DD435,19),0)</f>
        <v/>
      </c>
      <c r="V435">
        <f>IFERROR(INDEX(PP_Grid[#Data],$DD435,20),0)</f>
        <v/>
      </c>
      <c r="W435">
        <f>IFERROR(INDEX(PP_Grid[#Data],$DD435,21),0)</f>
        <v/>
      </c>
      <c r="X435">
        <f>IFERROR(INDEX(PP_Grid[#Data],$DD435,22),0)</f>
        <v/>
      </c>
      <c r="Y435">
        <f>IFERROR(INDEX(PP_Grid[#Data],$DD435,23),0)</f>
        <v/>
      </c>
      <c r="Z435">
        <f>IFERROR(INDEX(PP_Grid[#Data],$DD435,24),0)</f>
        <v/>
      </c>
      <c r="AA435">
        <f>IFERROR(INDEX(PP_Grid[#Data],$DD435,25),0)</f>
        <v/>
      </c>
      <c r="AB435">
        <f>IFERROR(INDEX(PP_Grid[#Data],$DD435,26),0)</f>
        <v/>
      </c>
      <c r="AC435">
        <f>IFERROR(INDEX(PP_Grid[#Data],$DD435,27),0)</f>
        <v/>
      </c>
      <c r="AD435">
        <f>IFERROR(INDEX(PP_Grid[#Data],$DD435,28),0)</f>
        <v/>
      </c>
      <c r="AE435">
        <f>IFERROR(INDEX(PP_Grid[#Data],$DD435,29),0)</f>
        <v/>
      </c>
      <c r="AF435">
        <f>IFERROR(INDEX(PP_Grid[#Data],$DD435,30),0)</f>
        <v/>
      </c>
      <c r="AG435">
        <f>IFERROR(INDEX(PP_Grid[#Data],$DD435,31),0)</f>
        <v/>
      </c>
      <c r="AH435">
        <f>IFERROR(INDEX(PP_Grid[#Data],$DD435,32),0)</f>
        <v/>
      </c>
      <c r="AI435">
        <f>IFERROR(INDEX(PP_Grid[#Data],$DD435,33),0)</f>
        <v/>
      </c>
      <c r="AJ435">
        <f>IFERROR(INDEX(PP_Grid[#Data],$DD435,34),0)</f>
        <v/>
      </c>
      <c r="AK435">
        <f>IFERROR(INDEX(PP_Grid[#Data],$DD435,35),0)</f>
        <v/>
      </c>
      <c r="AL435">
        <f>IFERROR(INDEX(PP_Grid[#Data],$DD435,36),0)</f>
        <v/>
      </c>
      <c r="AM435">
        <f>IFERROR(INDEX(PP_Grid[#Data],$DD435,37),0)</f>
        <v/>
      </c>
      <c r="AN435">
        <f>IFERROR(INDEX(PP_Grid[#Data],$DD435,38),0)</f>
        <v/>
      </c>
      <c r="AO435">
        <f>IFERROR(INDEX(PP_Grid[#Data],$DD435,39),0)</f>
        <v/>
      </c>
      <c r="AP435">
        <f>IFERROR(INDEX(PP_Grid[#Data],$DD435,40),0)</f>
        <v/>
      </c>
      <c r="AQ435">
        <f>IFERROR(INDEX(PP_Grid[#Data],$DD435,41),0)</f>
        <v/>
      </c>
      <c r="AR435">
        <f>IFERROR(INDEX(PP_Grid[#Data],$DD435,42),0)</f>
        <v/>
      </c>
      <c r="AS435">
        <f>IFERROR(INDEX(PP_Grid[#Data],$DD435,43),0)</f>
        <v/>
      </c>
      <c r="AT435">
        <f>IFERROR(INDEX(PP_Grid[#Data],$DD435,44),0)</f>
        <v/>
      </c>
      <c r="AU435">
        <f>IFERROR(INDEX(PP_Grid[#Data],$DD435,45),0)</f>
        <v/>
      </c>
      <c r="AV435">
        <f>IFERROR(INDEX(PP_Grid[#Data],$DD435,46),0)</f>
        <v/>
      </c>
      <c r="AW435">
        <f>IFERROR(INDEX(PP_Grid[#Data],$DD435,47),0)</f>
        <v/>
      </c>
      <c r="AX435">
        <f>IFERROR(INDEX(PP_Grid[#Data],$DD435,48),0)</f>
        <v/>
      </c>
      <c r="AY435">
        <f>IFERROR(INDEX(PP_Grid[#Data],$DD435,49),0)</f>
        <v/>
      </c>
      <c r="AZ435">
        <f>IFERROR(INDEX(PP_Grid[#Data],$DD435,50),0)</f>
        <v/>
      </c>
      <c r="BA435">
        <f>IFERROR(INDEX(PP_Grid[#Data],$DD435,51),0)</f>
        <v/>
      </c>
      <c r="BB435">
        <f>IFERROR(INDEX(PP_Grid[#Data],$DD435,52),0)</f>
        <v/>
      </c>
      <c r="BC435">
        <f>IFERROR(INDEX(PP_Grid[#Data],$DD435,53),0)</f>
        <v/>
      </c>
      <c r="BD435">
        <f>IFERROR(INDEX(PP_Grid[#Data],$DD435,54),0)</f>
        <v/>
      </c>
      <c r="BE435">
        <f>IFERROR(INDEX(PP_Grid[#Data],$DD435,55),0)</f>
        <v/>
      </c>
      <c r="BF435">
        <f>IFERROR(INDEX(PP_Grid[#Data],$DD435,56),0)</f>
        <v/>
      </c>
      <c r="BG435">
        <f>IFERROR(INDEX(PP_Grid[#Data],$DD435,57),0)</f>
        <v/>
      </c>
      <c r="BH435">
        <f>IFERROR(INDEX(PP_Grid[#Data],$DD435,58),0)</f>
        <v/>
      </c>
      <c r="BI435">
        <f>IFERROR(INDEX(PP_Grid[#Data],$DD435,59),0)</f>
        <v/>
      </c>
      <c r="BJ435">
        <f>IFERROR(INDEX(PP_Grid[#Data],$DD435,60),0)</f>
        <v/>
      </c>
      <c r="BK435">
        <f>IFERROR(INDEX(PP_Grid[#Data],$DD435,61),0)</f>
        <v/>
      </c>
      <c r="BL435">
        <f>IFERROR(INDEX(PP_Grid[#Data],$DD435,62),0)</f>
        <v/>
      </c>
      <c r="BM435">
        <f>IFERROR(INDEX(PP_Grid[#Data],$DD435,63),0)</f>
        <v/>
      </c>
      <c r="BN435">
        <f>IFERROR(INDEX(PP_Grid[#Data],$DD435,64),0)</f>
        <v/>
      </c>
      <c r="BO435">
        <f>IFERROR(INDEX(PP_Grid[#Data],$DD435,65),0)</f>
        <v/>
      </c>
      <c r="BP435">
        <f>IFERROR(INDEX(PP_Grid[#Data],$DD435,66),0)</f>
        <v/>
      </c>
      <c r="BQ435">
        <f>IFERROR(INDEX(PP_Grid[#Data],$DD435,67),0)</f>
        <v/>
      </c>
      <c r="BR435">
        <f>IFERROR(INDEX(PP_Grid[#Data],$DD435,68),0)</f>
        <v/>
      </c>
      <c r="BS435">
        <f>IFERROR(INDEX(PP_Grid[#Data],$DD435,69),0)</f>
        <v/>
      </c>
      <c r="BT435">
        <f>IFERROR(INDEX(PP_Grid[#Data],$DD435,70),0)</f>
        <v/>
      </c>
      <c r="BU435">
        <f>IFERROR(INDEX(PP_Grid[#Data],$DD435,71),0)</f>
        <v/>
      </c>
      <c r="BV435">
        <f>IFERROR(INDEX(PP_Grid[#Data],$DD435,72),0)</f>
        <v/>
      </c>
      <c r="BW435">
        <f>IFERROR(INDEX(PP_Grid[#Data],$DD435,73),0)</f>
        <v/>
      </c>
      <c r="BX435">
        <f>IFERROR(INDEX(PP_Grid[#Data],$DD435,74),0)</f>
        <v/>
      </c>
      <c r="BY435">
        <f>IFERROR(INDEX(PP_Grid[#Data],$DD435,75),0)</f>
        <v/>
      </c>
      <c r="BZ435">
        <f>IFERROR(INDEX(PP_Grid[#Data],$DD435,76),0)</f>
        <v/>
      </c>
      <c r="CA435">
        <f>IFERROR(INDEX(PP_Grid[#Data],$DD435,77),0)</f>
        <v/>
      </c>
      <c r="CB435">
        <f>IFERROR(INDEX(PP_Grid[#Data],$DD435,78),0)</f>
        <v/>
      </c>
      <c r="CC435">
        <f>IFERROR(INDEX(PP_Grid[#Data],$DD435,79),0)</f>
        <v/>
      </c>
      <c r="CD435">
        <f>IFERROR(INDEX(PP_Grid[#Data],$DD435,80),0)</f>
        <v/>
      </c>
      <c r="CE435">
        <f>IFERROR(INDEX(PP_Grid[#Data],$DD435,81),0)</f>
        <v/>
      </c>
      <c r="CF435">
        <f>IFERROR(INDEX(PP_Grid[#Data],$DD435,82),0)</f>
        <v/>
      </c>
      <c r="CG435">
        <f>IFERROR(INDEX(PP_Grid[#Data],$DD435,83),0)</f>
        <v/>
      </c>
      <c r="CH435">
        <f>IFERROR(INDEX(PP_Grid[#Data],$DD435,84),0)</f>
        <v/>
      </c>
      <c r="CI435">
        <f>IFERROR(INDEX(PP_Grid[#Data],$DD435,85),0)</f>
        <v/>
      </c>
      <c r="CJ435">
        <f>IFERROR(INDEX(PP_Grid[#Data],$DD435,86),0)</f>
        <v/>
      </c>
      <c r="CK435">
        <f>IFERROR(INDEX(PP_Grid[#Data],$DD435,87),0)</f>
        <v/>
      </c>
      <c r="CL435">
        <f>IFERROR(INDEX(PP_Grid[#Data],$DD435,88),0)</f>
        <v/>
      </c>
      <c r="CM435">
        <f>IFERROR(INDEX(PP_Grid[#Data],$DD435,89),0)</f>
        <v/>
      </c>
      <c r="CN435">
        <f>IFERROR(INDEX(PP_Grid[#Data],$DD435,90),0)</f>
        <v/>
      </c>
      <c r="CO435">
        <f>IFERROR(INDEX(PP_Grid[#Data],$DD435,91),0)</f>
        <v/>
      </c>
      <c r="CP435">
        <f>IFERROR(INDEX(PP_Grid[#Data],$DD435,92),0)</f>
        <v/>
      </c>
      <c r="CQ435">
        <f>IFERROR(INDEX(PP_Grid[#Data],$DD435,93),0)</f>
        <v/>
      </c>
      <c r="CR435">
        <f>IFERROR(INDEX(PP_Grid[#Data],$DD435,94),0)</f>
        <v/>
      </c>
      <c r="CS435">
        <f>IFERROR(INDEX(PP_Grid[#Data],$DD435,95),0)</f>
        <v/>
      </c>
      <c r="CT435">
        <f>IFERROR(INDEX(PP_Grid[#Data],$DD435,96),0)</f>
        <v/>
      </c>
      <c r="CU435">
        <f>IFERROR(INDEX(PP_Grid[#Data],$DD435,97),0)</f>
        <v/>
      </c>
      <c r="CV435">
        <f>IFERROR(INDEX(PP_Grid[#Data],$DD435,98),0)</f>
        <v/>
      </c>
      <c r="CW435">
        <f>IFERROR(INDEX(PP_Grid[#Data],$DD435,99),0)</f>
        <v/>
      </c>
      <c r="CX435">
        <f>IFERROR(INDEX(PP_Grid[#Data],$DD435,100),0)</f>
        <v/>
      </c>
      <c r="CY435">
        <f>IFERROR(INDEX(PP_Grid[#Data],$DD435,101),0)</f>
        <v/>
      </c>
      <c r="CZ435">
        <f>IFERROR(INDEX(PP_Grid[#Data],$DD435,102),0)</f>
        <v/>
      </c>
      <c r="DA435">
        <f>IFERROR(INDEX(PP_Grid[#Data],$DD435,103),0)</f>
        <v/>
      </c>
      <c r="DB435">
        <f>IFERROR(INDEX(PP_Grid[#Data],$DD435,104),0)</f>
        <v/>
      </c>
      <c r="DC435">
        <f>IFERROR(INDEX(PP_Grid[#Data],$DD435,105),0)</f>
        <v/>
      </c>
      <c r="DD435" s="7">
        <f>IFERROR(MATCH($B435,PP_Grid[Intermediate],0),99999)</f>
        <v/>
      </c>
    </row>
    <row r="436">
      <c r="B436" t="inlineStr">
        <is>
          <t>使用量(kg)</t>
        </is>
      </c>
      <c r="C436">
        <f>SUMIFS(M_BOM[RM_Qty_Per_Batch],M_BOM[Intermediate],$B435,M_BOM[Part Name],$A340)</f>
        <v/>
      </c>
      <c r="D436">
        <f>$C436*D435</f>
        <v/>
      </c>
      <c r="E436">
        <f>$C436*E435</f>
        <v/>
      </c>
      <c r="F436">
        <f>$C436*F435</f>
        <v/>
      </c>
      <c r="G436">
        <f>$C436*G435</f>
        <v/>
      </c>
      <c r="H436">
        <f>$C436*H435</f>
        <v/>
      </c>
      <c r="I436">
        <f>$C436*I435</f>
        <v/>
      </c>
      <c r="J436">
        <f>$C436*J435</f>
        <v/>
      </c>
      <c r="K436">
        <f>$C436*K435</f>
        <v/>
      </c>
      <c r="L436">
        <f>$C436*L435</f>
        <v/>
      </c>
      <c r="M436">
        <f>$C436*M435</f>
        <v/>
      </c>
      <c r="N436">
        <f>$C436*N435</f>
        <v/>
      </c>
      <c r="O436">
        <f>$C436*O435</f>
        <v/>
      </c>
      <c r="P436">
        <f>$C436*P435</f>
        <v/>
      </c>
      <c r="Q436">
        <f>$C436*Q435</f>
        <v/>
      </c>
      <c r="R436">
        <f>$C436*R435</f>
        <v/>
      </c>
      <c r="S436">
        <f>$C436*S435</f>
        <v/>
      </c>
      <c r="T436">
        <f>$C436*T435</f>
        <v/>
      </c>
      <c r="U436">
        <f>$C436*U435</f>
        <v/>
      </c>
      <c r="V436">
        <f>$C436*V435</f>
        <v/>
      </c>
      <c r="W436">
        <f>$C436*W435</f>
        <v/>
      </c>
      <c r="X436">
        <f>$C436*X435</f>
        <v/>
      </c>
      <c r="Y436">
        <f>$C436*Y435</f>
        <v/>
      </c>
      <c r="Z436">
        <f>$C436*Z435</f>
        <v/>
      </c>
      <c r="AA436">
        <f>$C436*AA435</f>
        <v/>
      </c>
      <c r="AB436">
        <f>$C436*AB435</f>
        <v/>
      </c>
      <c r="AC436">
        <f>$C436*AC435</f>
        <v/>
      </c>
      <c r="AD436">
        <f>$C436*AD435</f>
        <v/>
      </c>
      <c r="AE436">
        <f>$C436*AE435</f>
        <v/>
      </c>
      <c r="AF436">
        <f>$C436*AF435</f>
        <v/>
      </c>
      <c r="AG436">
        <f>$C436*AG435</f>
        <v/>
      </c>
      <c r="AH436">
        <f>$C436*AH435</f>
        <v/>
      </c>
      <c r="AI436">
        <f>$C436*AI435</f>
        <v/>
      </c>
      <c r="AJ436">
        <f>$C436*AJ435</f>
        <v/>
      </c>
      <c r="AK436">
        <f>$C436*AK435</f>
        <v/>
      </c>
      <c r="AL436">
        <f>$C436*AL435</f>
        <v/>
      </c>
      <c r="AM436">
        <f>$C436*AM435</f>
        <v/>
      </c>
      <c r="AN436">
        <f>$C436*AN435</f>
        <v/>
      </c>
      <c r="AO436">
        <f>$C436*AO435</f>
        <v/>
      </c>
      <c r="AP436">
        <f>$C436*AP435</f>
        <v/>
      </c>
      <c r="AQ436">
        <f>$C436*AQ435</f>
        <v/>
      </c>
      <c r="AR436">
        <f>$C436*AR435</f>
        <v/>
      </c>
      <c r="AS436">
        <f>$C436*AS435</f>
        <v/>
      </c>
      <c r="AT436">
        <f>$C436*AT435</f>
        <v/>
      </c>
      <c r="AU436">
        <f>$C436*AU435</f>
        <v/>
      </c>
      <c r="AV436">
        <f>$C436*AV435</f>
        <v/>
      </c>
      <c r="AW436">
        <f>$C436*AW435</f>
        <v/>
      </c>
      <c r="AX436">
        <f>$C436*AX435</f>
        <v/>
      </c>
      <c r="AY436">
        <f>$C436*AY435</f>
        <v/>
      </c>
      <c r="AZ436">
        <f>$C436*AZ435</f>
        <v/>
      </c>
      <c r="BA436">
        <f>$C436*BA435</f>
        <v/>
      </c>
      <c r="BB436">
        <f>$C436*BB435</f>
        <v/>
      </c>
      <c r="BC436">
        <f>$C436*BC435</f>
        <v/>
      </c>
      <c r="BD436">
        <f>$C436*BD435</f>
        <v/>
      </c>
      <c r="BE436">
        <f>$C436*BE435</f>
        <v/>
      </c>
      <c r="BF436">
        <f>$C436*BF435</f>
        <v/>
      </c>
      <c r="BG436">
        <f>$C436*BG435</f>
        <v/>
      </c>
      <c r="BH436">
        <f>$C436*BH435</f>
        <v/>
      </c>
      <c r="BI436">
        <f>$C436*BI435</f>
        <v/>
      </c>
      <c r="BJ436">
        <f>$C436*BJ435</f>
        <v/>
      </c>
      <c r="BK436">
        <f>$C436*BK435</f>
        <v/>
      </c>
      <c r="BL436">
        <f>$C436*BL435</f>
        <v/>
      </c>
      <c r="BM436">
        <f>$C436*BM435</f>
        <v/>
      </c>
      <c r="BN436">
        <f>$C436*BN435</f>
        <v/>
      </c>
      <c r="BO436">
        <f>$C436*BO435</f>
        <v/>
      </c>
      <c r="BP436">
        <f>$C436*BP435</f>
        <v/>
      </c>
      <c r="BQ436">
        <f>$C436*BQ435</f>
        <v/>
      </c>
      <c r="BR436">
        <f>$C436*BR435</f>
        <v/>
      </c>
      <c r="BS436">
        <f>$C436*BS435</f>
        <v/>
      </c>
      <c r="BT436">
        <f>$C436*BT435</f>
        <v/>
      </c>
      <c r="BU436">
        <f>$C436*BU435</f>
        <v/>
      </c>
      <c r="BV436">
        <f>$C436*BV435</f>
        <v/>
      </c>
      <c r="BW436">
        <f>$C436*BW435</f>
        <v/>
      </c>
      <c r="BX436">
        <f>$C436*BX435</f>
        <v/>
      </c>
      <c r="BY436">
        <f>$C436*BY435</f>
        <v/>
      </c>
      <c r="BZ436">
        <f>$C436*BZ435</f>
        <v/>
      </c>
      <c r="CA436">
        <f>$C436*CA435</f>
        <v/>
      </c>
      <c r="CB436">
        <f>$C436*CB435</f>
        <v/>
      </c>
      <c r="CC436">
        <f>$C436*CC435</f>
        <v/>
      </c>
      <c r="CD436">
        <f>$C436*CD435</f>
        <v/>
      </c>
      <c r="CE436">
        <f>$C436*CE435</f>
        <v/>
      </c>
      <c r="CF436">
        <f>$C436*CF435</f>
        <v/>
      </c>
      <c r="CG436">
        <f>$C436*CG435</f>
        <v/>
      </c>
      <c r="CH436">
        <f>$C436*CH435</f>
        <v/>
      </c>
      <c r="CI436">
        <f>$C436*CI435</f>
        <v/>
      </c>
      <c r="CJ436">
        <f>$C436*CJ435</f>
        <v/>
      </c>
      <c r="CK436">
        <f>$C436*CK435</f>
        <v/>
      </c>
      <c r="CL436">
        <f>$C436*CL435</f>
        <v/>
      </c>
      <c r="CM436">
        <f>$C436*CM435</f>
        <v/>
      </c>
      <c r="CN436">
        <f>$C436*CN435</f>
        <v/>
      </c>
      <c r="CO436">
        <f>$C436*CO435</f>
        <v/>
      </c>
      <c r="CP436">
        <f>$C436*CP435</f>
        <v/>
      </c>
      <c r="CQ436">
        <f>$C436*CQ435</f>
        <v/>
      </c>
      <c r="CR436">
        <f>$C436*CR435</f>
        <v/>
      </c>
      <c r="CS436">
        <f>$C436*CS435</f>
        <v/>
      </c>
      <c r="CT436">
        <f>$C436*CT435</f>
        <v/>
      </c>
      <c r="CU436">
        <f>$C436*CU435</f>
        <v/>
      </c>
      <c r="CV436">
        <f>$C436*CV435</f>
        <v/>
      </c>
      <c r="CW436">
        <f>$C436*CW435</f>
        <v/>
      </c>
      <c r="CX436">
        <f>$C436*CX435</f>
        <v/>
      </c>
      <c r="CY436">
        <f>$C436*CY435</f>
        <v/>
      </c>
      <c r="CZ436">
        <f>$C436*CZ435</f>
        <v/>
      </c>
      <c r="DA436">
        <f>$C436*DA435</f>
        <v/>
      </c>
      <c r="DB436">
        <f>$C436*DB435</f>
        <v/>
      </c>
      <c r="DC436">
        <f>$C436*DC435</f>
        <v/>
      </c>
    </row>
    <row r="437">
      <c r="B437" t="inlineStr">
        <is>
          <t>VSP-990</t>
        </is>
      </c>
      <c r="C437" t="inlineStr">
        <is>
          <t>No. of batches</t>
        </is>
      </c>
      <c r="D437">
        <f>IFERROR(INDEX(PP_Grid[#Data],$DD437,2),0)</f>
        <v/>
      </c>
      <c r="E437">
        <f>IFERROR(INDEX(PP_Grid[#Data],$DD437,3),0)</f>
        <v/>
      </c>
      <c r="F437">
        <f>IFERROR(INDEX(PP_Grid[#Data],$DD437,4),0)</f>
        <v/>
      </c>
      <c r="G437">
        <f>IFERROR(INDEX(PP_Grid[#Data],$DD437,5),0)</f>
        <v/>
      </c>
      <c r="H437">
        <f>IFERROR(INDEX(PP_Grid[#Data],$DD437,6),0)</f>
        <v/>
      </c>
      <c r="I437">
        <f>IFERROR(INDEX(PP_Grid[#Data],$DD437,7),0)</f>
        <v/>
      </c>
      <c r="J437">
        <f>IFERROR(INDEX(PP_Grid[#Data],$DD437,8),0)</f>
        <v/>
      </c>
      <c r="K437">
        <f>IFERROR(INDEX(PP_Grid[#Data],$DD437,9),0)</f>
        <v/>
      </c>
      <c r="L437">
        <f>IFERROR(INDEX(PP_Grid[#Data],$DD437,10),0)</f>
        <v/>
      </c>
      <c r="M437">
        <f>IFERROR(INDEX(PP_Grid[#Data],$DD437,11),0)</f>
        <v/>
      </c>
      <c r="N437">
        <f>IFERROR(INDEX(PP_Grid[#Data],$DD437,12),0)</f>
        <v/>
      </c>
      <c r="O437">
        <f>IFERROR(INDEX(PP_Grid[#Data],$DD437,13),0)</f>
        <v/>
      </c>
      <c r="P437">
        <f>IFERROR(INDEX(PP_Grid[#Data],$DD437,14),0)</f>
        <v/>
      </c>
      <c r="Q437">
        <f>IFERROR(INDEX(PP_Grid[#Data],$DD437,15),0)</f>
        <v/>
      </c>
      <c r="R437">
        <f>IFERROR(INDEX(PP_Grid[#Data],$DD437,16),0)</f>
        <v/>
      </c>
      <c r="S437">
        <f>IFERROR(INDEX(PP_Grid[#Data],$DD437,17),0)</f>
        <v/>
      </c>
      <c r="T437">
        <f>IFERROR(INDEX(PP_Grid[#Data],$DD437,18),0)</f>
        <v/>
      </c>
      <c r="U437">
        <f>IFERROR(INDEX(PP_Grid[#Data],$DD437,19),0)</f>
        <v/>
      </c>
      <c r="V437">
        <f>IFERROR(INDEX(PP_Grid[#Data],$DD437,20),0)</f>
        <v/>
      </c>
      <c r="W437">
        <f>IFERROR(INDEX(PP_Grid[#Data],$DD437,21),0)</f>
        <v/>
      </c>
      <c r="X437">
        <f>IFERROR(INDEX(PP_Grid[#Data],$DD437,22),0)</f>
        <v/>
      </c>
      <c r="Y437">
        <f>IFERROR(INDEX(PP_Grid[#Data],$DD437,23),0)</f>
        <v/>
      </c>
      <c r="Z437">
        <f>IFERROR(INDEX(PP_Grid[#Data],$DD437,24),0)</f>
        <v/>
      </c>
      <c r="AA437">
        <f>IFERROR(INDEX(PP_Grid[#Data],$DD437,25),0)</f>
        <v/>
      </c>
      <c r="AB437">
        <f>IFERROR(INDEX(PP_Grid[#Data],$DD437,26),0)</f>
        <v/>
      </c>
      <c r="AC437">
        <f>IFERROR(INDEX(PP_Grid[#Data],$DD437,27),0)</f>
        <v/>
      </c>
      <c r="AD437">
        <f>IFERROR(INDEX(PP_Grid[#Data],$DD437,28),0)</f>
        <v/>
      </c>
      <c r="AE437">
        <f>IFERROR(INDEX(PP_Grid[#Data],$DD437,29),0)</f>
        <v/>
      </c>
      <c r="AF437">
        <f>IFERROR(INDEX(PP_Grid[#Data],$DD437,30),0)</f>
        <v/>
      </c>
      <c r="AG437">
        <f>IFERROR(INDEX(PP_Grid[#Data],$DD437,31),0)</f>
        <v/>
      </c>
      <c r="AH437">
        <f>IFERROR(INDEX(PP_Grid[#Data],$DD437,32),0)</f>
        <v/>
      </c>
      <c r="AI437">
        <f>IFERROR(INDEX(PP_Grid[#Data],$DD437,33),0)</f>
        <v/>
      </c>
      <c r="AJ437">
        <f>IFERROR(INDEX(PP_Grid[#Data],$DD437,34),0)</f>
        <v/>
      </c>
      <c r="AK437">
        <f>IFERROR(INDEX(PP_Grid[#Data],$DD437,35),0)</f>
        <v/>
      </c>
      <c r="AL437">
        <f>IFERROR(INDEX(PP_Grid[#Data],$DD437,36),0)</f>
        <v/>
      </c>
      <c r="AM437">
        <f>IFERROR(INDEX(PP_Grid[#Data],$DD437,37),0)</f>
        <v/>
      </c>
      <c r="AN437">
        <f>IFERROR(INDEX(PP_Grid[#Data],$DD437,38),0)</f>
        <v/>
      </c>
      <c r="AO437">
        <f>IFERROR(INDEX(PP_Grid[#Data],$DD437,39),0)</f>
        <v/>
      </c>
      <c r="AP437">
        <f>IFERROR(INDEX(PP_Grid[#Data],$DD437,40),0)</f>
        <v/>
      </c>
      <c r="AQ437">
        <f>IFERROR(INDEX(PP_Grid[#Data],$DD437,41),0)</f>
        <v/>
      </c>
      <c r="AR437">
        <f>IFERROR(INDEX(PP_Grid[#Data],$DD437,42),0)</f>
        <v/>
      </c>
      <c r="AS437">
        <f>IFERROR(INDEX(PP_Grid[#Data],$DD437,43),0)</f>
        <v/>
      </c>
      <c r="AT437">
        <f>IFERROR(INDEX(PP_Grid[#Data],$DD437,44),0)</f>
        <v/>
      </c>
      <c r="AU437">
        <f>IFERROR(INDEX(PP_Grid[#Data],$DD437,45),0)</f>
        <v/>
      </c>
      <c r="AV437">
        <f>IFERROR(INDEX(PP_Grid[#Data],$DD437,46),0)</f>
        <v/>
      </c>
      <c r="AW437">
        <f>IFERROR(INDEX(PP_Grid[#Data],$DD437,47),0)</f>
        <v/>
      </c>
      <c r="AX437">
        <f>IFERROR(INDEX(PP_Grid[#Data],$DD437,48),0)</f>
        <v/>
      </c>
      <c r="AY437">
        <f>IFERROR(INDEX(PP_Grid[#Data],$DD437,49),0)</f>
        <v/>
      </c>
      <c r="AZ437">
        <f>IFERROR(INDEX(PP_Grid[#Data],$DD437,50),0)</f>
        <v/>
      </c>
      <c r="BA437">
        <f>IFERROR(INDEX(PP_Grid[#Data],$DD437,51),0)</f>
        <v/>
      </c>
      <c r="BB437">
        <f>IFERROR(INDEX(PP_Grid[#Data],$DD437,52),0)</f>
        <v/>
      </c>
      <c r="BC437">
        <f>IFERROR(INDEX(PP_Grid[#Data],$DD437,53),0)</f>
        <v/>
      </c>
      <c r="BD437">
        <f>IFERROR(INDEX(PP_Grid[#Data],$DD437,54),0)</f>
        <v/>
      </c>
      <c r="BE437">
        <f>IFERROR(INDEX(PP_Grid[#Data],$DD437,55),0)</f>
        <v/>
      </c>
      <c r="BF437">
        <f>IFERROR(INDEX(PP_Grid[#Data],$DD437,56),0)</f>
        <v/>
      </c>
      <c r="BG437">
        <f>IFERROR(INDEX(PP_Grid[#Data],$DD437,57),0)</f>
        <v/>
      </c>
      <c r="BH437">
        <f>IFERROR(INDEX(PP_Grid[#Data],$DD437,58),0)</f>
        <v/>
      </c>
      <c r="BI437">
        <f>IFERROR(INDEX(PP_Grid[#Data],$DD437,59),0)</f>
        <v/>
      </c>
      <c r="BJ437">
        <f>IFERROR(INDEX(PP_Grid[#Data],$DD437,60),0)</f>
        <v/>
      </c>
      <c r="BK437">
        <f>IFERROR(INDEX(PP_Grid[#Data],$DD437,61),0)</f>
        <v/>
      </c>
      <c r="BL437">
        <f>IFERROR(INDEX(PP_Grid[#Data],$DD437,62),0)</f>
        <v/>
      </c>
      <c r="BM437">
        <f>IFERROR(INDEX(PP_Grid[#Data],$DD437,63),0)</f>
        <v/>
      </c>
      <c r="BN437">
        <f>IFERROR(INDEX(PP_Grid[#Data],$DD437,64),0)</f>
        <v/>
      </c>
      <c r="BO437">
        <f>IFERROR(INDEX(PP_Grid[#Data],$DD437,65),0)</f>
        <v/>
      </c>
      <c r="BP437">
        <f>IFERROR(INDEX(PP_Grid[#Data],$DD437,66),0)</f>
        <v/>
      </c>
      <c r="BQ437">
        <f>IFERROR(INDEX(PP_Grid[#Data],$DD437,67),0)</f>
        <v/>
      </c>
      <c r="BR437">
        <f>IFERROR(INDEX(PP_Grid[#Data],$DD437,68),0)</f>
        <v/>
      </c>
      <c r="BS437">
        <f>IFERROR(INDEX(PP_Grid[#Data],$DD437,69),0)</f>
        <v/>
      </c>
      <c r="BT437">
        <f>IFERROR(INDEX(PP_Grid[#Data],$DD437,70),0)</f>
        <v/>
      </c>
      <c r="BU437">
        <f>IFERROR(INDEX(PP_Grid[#Data],$DD437,71),0)</f>
        <v/>
      </c>
      <c r="BV437">
        <f>IFERROR(INDEX(PP_Grid[#Data],$DD437,72),0)</f>
        <v/>
      </c>
      <c r="BW437">
        <f>IFERROR(INDEX(PP_Grid[#Data],$DD437,73),0)</f>
        <v/>
      </c>
      <c r="BX437">
        <f>IFERROR(INDEX(PP_Grid[#Data],$DD437,74),0)</f>
        <v/>
      </c>
      <c r="BY437">
        <f>IFERROR(INDEX(PP_Grid[#Data],$DD437,75),0)</f>
        <v/>
      </c>
      <c r="BZ437">
        <f>IFERROR(INDEX(PP_Grid[#Data],$DD437,76),0)</f>
        <v/>
      </c>
      <c r="CA437">
        <f>IFERROR(INDEX(PP_Grid[#Data],$DD437,77),0)</f>
        <v/>
      </c>
      <c r="CB437">
        <f>IFERROR(INDEX(PP_Grid[#Data],$DD437,78),0)</f>
        <v/>
      </c>
      <c r="CC437">
        <f>IFERROR(INDEX(PP_Grid[#Data],$DD437,79),0)</f>
        <v/>
      </c>
      <c r="CD437">
        <f>IFERROR(INDEX(PP_Grid[#Data],$DD437,80),0)</f>
        <v/>
      </c>
      <c r="CE437">
        <f>IFERROR(INDEX(PP_Grid[#Data],$DD437,81),0)</f>
        <v/>
      </c>
      <c r="CF437">
        <f>IFERROR(INDEX(PP_Grid[#Data],$DD437,82),0)</f>
        <v/>
      </c>
      <c r="CG437">
        <f>IFERROR(INDEX(PP_Grid[#Data],$DD437,83),0)</f>
        <v/>
      </c>
      <c r="CH437">
        <f>IFERROR(INDEX(PP_Grid[#Data],$DD437,84),0)</f>
        <v/>
      </c>
      <c r="CI437">
        <f>IFERROR(INDEX(PP_Grid[#Data],$DD437,85),0)</f>
        <v/>
      </c>
      <c r="CJ437">
        <f>IFERROR(INDEX(PP_Grid[#Data],$DD437,86),0)</f>
        <v/>
      </c>
      <c r="CK437">
        <f>IFERROR(INDEX(PP_Grid[#Data],$DD437,87),0)</f>
        <v/>
      </c>
      <c r="CL437">
        <f>IFERROR(INDEX(PP_Grid[#Data],$DD437,88),0)</f>
        <v/>
      </c>
      <c r="CM437">
        <f>IFERROR(INDEX(PP_Grid[#Data],$DD437,89),0)</f>
        <v/>
      </c>
      <c r="CN437">
        <f>IFERROR(INDEX(PP_Grid[#Data],$DD437,90),0)</f>
        <v/>
      </c>
      <c r="CO437">
        <f>IFERROR(INDEX(PP_Grid[#Data],$DD437,91),0)</f>
        <v/>
      </c>
      <c r="CP437">
        <f>IFERROR(INDEX(PP_Grid[#Data],$DD437,92),0)</f>
        <v/>
      </c>
      <c r="CQ437">
        <f>IFERROR(INDEX(PP_Grid[#Data],$DD437,93),0)</f>
        <v/>
      </c>
      <c r="CR437">
        <f>IFERROR(INDEX(PP_Grid[#Data],$DD437,94),0)</f>
        <v/>
      </c>
      <c r="CS437">
        <f>IFERROR(INDEX(PP_Grid[#Data],$DD437,95),0)</f>
        <v/>
      </c>
      <c r="CT437">
        <f>IFERROR(INDEX(PP_Grid[#Data],$DD437,96),0)</f>
        <v/>
      </c>
      <c r="CU437">
        <f>IFERROR(INDEX(PP_Grid[#Data],$DD437,97),0)</f>
        <v/>
      </c>
      <c r="CV437">
        <f>IFERROR(INDEX(PP_Grid[#Data],$DD437,98),0)</f>
        <v/>
      </c>
      <c r="CW437">
        <f>IFERROR(INDEX(PP_Grid[#Data],$DD437,99),0)</f>
        <v/>
      </c>
      <c r="CX437">
        <f>IFERROR(INDEX(PP_Grid[#Data],$DD437,100),0)</f>
        <v/>
      </c>
      <c r="CY437">
        <f>IFERROR(INDEX(PP_Grid[#Data],$DD437,101),0)</f>
        <v/>
      </c>
      <c r="CZ437">
        <f>IFERROR(INDEX(PP_Grid[#Data],$DD437,102),0)</f>
        <v/>
      </c>
      <c r="DA437">
        <f>IFERROR(INDEX(PP_Grid[#Data],$DD437,103),0)</f>
        <v/>
      </c>
      <c r="DB437">
        <f>IFERROR(INDEX(PP_Grid[#Data],$DD437,104),0)</f>
        <v/>
      </c>
      <c r="DC437">
        <f>IFERROR(INDEX(PP_Grid[#Data],$DD437,105),0)</f>
        <v/>
      </c>
      <c r="DD437" s="7">
        <f>IFERROR(MATCH($B437,PP_Grid[Intermediate],0),99999)</f>
        <v/>
      </c>
    </row>
    <row r="438">
      <c r="B438" t="inlineStr">
        <is>
          <t>使用量(kg)</t>
        </is>
      </c>
      <c r="C438">
        <f>SUMIFS(M_BOM[RM_Qty_Per_Batch],M_BOM[Intermediate],$B437,M_BOM[Part Name],$A340)</f>
        <v/>
      </c>
      <c r="D438">
        <f>$C438*D437</f>
        <v/>
      </c>
      <c r="E438">
        <f>$C438*E437</f>
        <v/>
      </c>
      <c r="F438">
        <f>$C438*F437</f>
        <v/>
      </c>
      <c r="G438">
        <f>$C438*G437</f>
        <v/>
      </c>
      <c r="H438">
        <f>$C438*H437</f>
        <v/>
      </c>
      <c r="I438">
        <f>$C438*I437</f>
        <v/>
      </c>
      <c r="J438">
        <f>$C438*J437</f>
        <v/>
      </c>
      <c r="K438">
        <f>$C438*K437</f>
        <v/>
      </c>
      <c r="L438">
        <f>$C438*L437</f>
        <v/>
      </c>
      <c r="M438">
        <f>$C438*M437</f>
        <v/>
      </c>
      <c r="N438">
        <f>$C438*N437</f>
        <v/>
      </c>
      <c r="O438">
        <f>$C438*O437</f>
        <v/>
      </c>
      <c r="P438">
        <f>$C438*P437</f>
        <v/>
      </c>
      <c r="Q438">
        <f>$C438*Q437</f>
        <v/>
      </c>
      <c r="R438">
        <f>$C438*R437</f>
        <v/>
      </c>
      <c r="S438">
        <f>$C438*S437</f>
        <v/>
      </c>
      <c r="T438">
        <f>$C438*T437</f>
        <v/>
      </c>
      <c r="U438">
        <f>$C438*U437</f>
        <v/>
      </c>
      <c r="V438">
        <f>$C438*V437</f>
        <v/>
      </c>
      <c r="W438">
        <f>$C438*W437</f>
        <v/>
      </c>
      <c r="X438">
        <f>$C438*X437</f>
        <v/>
      </c>
      <c r="Y438">
        <f>$C438*Y437</f>
        <v/>
      </c>
      <c r="Z438">
        <f>$C438*Z437</f>
        <v/>
      </c>
      <c r="AA438">
        <f>$C438*AA437</f>
        <v/>
      </c>
      <c r="AB438">
        <f>$C438*AB437</f>
        <v/>
      </c>
      <c r="AC438">
        <f>$C438*AC437</f>
        <v/>
      </c>
      <c r="AD438">
        <f>$C438*AD437</f>
        <v/>
      </c>
      <c r="AE438">
        <f>$C438*AE437</f>
        <v/>
      </c>
      <c r="AF438">
        <f>$C438*AF437</f>
        <v/>
      </c>
      <c r="AG438">
        <f>$C438*AG437</f>
        <v/>
      </c>
      <c r="AH438">
        <f>$C438*AH437</f>
        <v/>
      </c>
      <c r="AI438">
        <f>$C438*AI437</f>
        <v/>
      </c>
      <c r="AJ438">
        <f>$C438*AJ437</f>
        <v/>
      </c>
      <c r="AK438">
        <f>$C438*AK437</f>
        <v/>
      </c>
      <c r="AL438">
        <f>$C438*AL437</f>
        <v/>
      </c>
      <c r="AM438">
        <f>$C438*AM437</f>
        <v/>
      </c>
      <c r="AN438">
        <f>$C438*AN437</f>
        <v/>
      </c>
      <c r="AO438">
        <f>$C438*AO437</f>
        <v/>
      </c>
      <c r="AP438">
        <f>$C438*AP437</f>
        <v/>
      </c>
      <c r="AQ438">
        <f>$C438*AQ437</f>
        <v/>
      </c>
      <c r="AR438">
        <f>$C438*AR437</f>
        <v/>
      </c>
      <c r="AS438">
        <f>$C438*AS437</f>
        <v/>
      </c>
      <c r="AT438">
        <f>$C438*AT437</f>
        <v/>
      </c>
      <c r="AU438">
        <f>$C438*AU437</f>
        <v/>
      </c>
      <c r="AV438">
        <f>$C438*AV437</f>
        <v/>
      </c>
      <c r="AW438">
        <f>$C438*AW437</f>
        <v/>
      </c>
      <c r="AX438">
        <f>$C438*AX437</f>
        <v/>
      </c>
      <c r="AY438">
        <f>$C438*AY437</f>
        <v/>
      </c>
      <c r="AZ438">
        <f>$C438*AZ437</f>
        <v/>
      </c>
      <c r="BA438">
        <f>$C438*BA437</f>
        <v/>
      </c>
      <c r="BB438">
        <f>$C438*BB437</f>
        <v/>
      </c>
      <c r="BC438">
        <f>$C438*BC437</f>
        <v/>
      </c>
      <c r="BD438">
        <f>$C438*BD437</f>
        <v/>
      </c>
      <c r="BE438">
        <f>$C438*BE437</f>
        <v/>
      </c>
      <c r="BF438">
        <f>$C438*BF437</f>
        <v/>
      </c>
      <c r="BG438">
        <f>$C438*BG437</f>
        <v/>
      </c>
      <c r="BH438">
        <f>$C438*BH437</f>
        <v/>
      </c>
      <c r="BI438">
        <f>$C438*BI437</f>
        <v/>
      </c>
      <c r="BJ438">
        <f>$C438*BJ437</f>
        <v/>
      </c>
      <c r="BK438">
        <f>$C438*BK437</f>
        <v/>
      </c>
      <c r="BL438">
        <f>$C438*BL437</f>
        <v/>
      </c>
      <c r="BM438">
        <f>$C438*BM437</f>
        <v/>
      </c>
      <c r="BN438">
        <f>$C438*BN437</f>
        <v/>
      </c>
      <c r="BO438">
        <f>$C438*BO437</f>
        <v/>
      </c>
      <c r="BP438">
        <f>$C438*BP437</f>
        <v/>
      </c>
      <c r="BQ438">
        <f>$C438*BQ437</f>
        <v/>
      </c>
      <c r="BR438">
        <f>$C438*BR437</f>
        <v/>
      </c>
      <c r="BS438">
        <f>$C438*BS437</f>
        <v/>
      </c>
      <c r="BT438">
        <f>$C438*BT437</f>
        <v/>
      </c>
      <c r="BU438">
        <f>$C438*BU437</f>
        <v/>
      </c>
      <c r="BV438">
        <f>$C438*BV437</f>
        <v/>
      </c>
      <c r="BW438">
        <f>$C438*BW437</f>
        <v/>
      </c>
      <c r="BX438">
        <f>$C438*BX437</f>
        <v/>
      </c>
      <c r="BY438">
        <f>$C438*BY437</f>
        <v/>
      </c>
      <c r="BZ438">
        <f>$C438*BZ437</f>
        <v/>
      </c>
      <c r="CA438">
        <f>$C438*CA437</f>
        <v/>
      </c>
      <c r="CB438">
        <f>$C438*CB437</f>
        <v/>
      </c>
      <c r="CC438">
        <f>$C438*CC437</f>
        <v/>
      </c>
      <c r="CD438">
        <f>$C438*CD437</f>
        <v/>
      </c>
      <c r="CE438">
        <f>$C438*CE437</f>
        <v/>
      </c>
      <c r="CF438">
        <f>$C438*CF437</f>
        <v/>
      </c>
      <c r="CG438">
        <f>$C438*CG437</f>
        <v/>
      </c>
      <c r="CH438">
        <f>$C438*CH437</f>
        <v/>
      </c>
      <c r="CI438">
        <f>$C438*CI437</f>
        <v/>
      </c>
      <c r="CJ438">
        <f>$C438*CJ437</f>
        <v/>
      </c>
      <c r="CK438">
        <f>$C438*CK437</f>
        <v/>
      </c>
      <c r="CL438">
        <f>$C438*CL437</f>
        <v/>
      </c>
      <c r="CM438">
        <f>$C438*CM437</f>
        <v/>
      </c>
      <c r="CN438">
        <f>$C438*CN437</f>
        <v/>
      </c>
      <c r="CO438">
        <f>$C438*CO437</f>
        <v/>
      </c>
      <c r="CP438">
        <f>$C438*CP437</f>
        <v/>
      </c>
      <c r="CQ438">
        <f>$C438*CQ437</f>
        <v/>
      </c>
      <c r="CR438">
        <f>$C438*CR437</f>
        <v/>
      </c>
      <c r="CS438">
        <f>$C438*CS437</f>
        <v/>
      </c>
      <c r="CT438">
        <f>$C438*CT437</f>
        <v/>
      </c>
      <c r="CU438">
        <f>$C438*CU437</f>
        <v/>
      </c>
      <c r="CV438">
        <f>$C438*CV437</f>
        <v/>
      </c>
      <c r="CW438">
        <f>$C438*CW437</f>
        <v/>
      </c>
      <c r="CX438">
        <f>$C438*CX437</f>
        <v/>
      </c>
      <c r="CY438">
        <f>$C438*CY437</f>
        <v/>
      </c>
      <c r="CZ438">
        <f>$C438*CZ437</f>
        <v/>
      </c>
      <c r="DA438">
        <f>$C438*DA437</f>
        <v/>
      </c>
      <c r="DB438">
        <f>$C438*DB437</f>
        <v/>
      </c>
      <c r="DC438">
        <f>$C438*DC437</f>
        <v/>
      </c>
    </row>
    <row r="439">
      <c r="B439" t="inlineStr">
        <is>
          <t>VSZ-745</t>
        </is>
      </c>
      <c r="C439" t="inlineStr">
        <is>
          <t>No. of batches</t>
        </is>
      </c>
      <c r="D439">
        <f>IFERROR(INDEX(PP_Grid[#Data],$DD439,2),0)</f>
        <v/>
      </c>
      <c r="E439">
        <f>IFERROR(INDEX(PP_Grid[#Data],$DD439,3),0)</f>
        <v/>
      </c>
      <c r="F439">
        <f>IFERROR(INDEX(PP_Grid[#Data],$DD439,4),0)</f>
        <v/>
      </c>
      <c r="G439">
        <f>IFERROR(INDEX(PP_Grid[#Data],$DD439,5),0)</f>
        <v/>
      </c>
      <c r="H439">
        <f>IFERROR(INDEX(PP_Grid[#Data],$DD439,6),0)</f>
        <v/>
      </c>
      <c r="I439">
        <f>IFERROR(INDEX(PP_Grid[#Data],$DD439,7),0)</f>
        <v/>
      </c>
      <c r="J439">
        <f>IFERROR(INDEX(PP_Grid[#Data],$DD439,8),0)</f>
        <v/>
      </c>
      <c r="K439">
        <f>IFERROR(INDEX(PP_Grid[#Data],$DD439,9),0)</f>
        <v/>
      </c>
      <c r="L439">
        <f>IFERROR(INDEX(PP_Grid[#Data],$DD439,10),0)</f>
        <v/>
      </c>
      <c r="M439">
        <f>IFERROR(INDEX(PP_Grid[#Data],$DD439,11),0)</f>
        <v/>
      </c>
      <c r="N439">
        <f>IFERROR(INDEX(PP_Grid[#Data],$DD439,12),0)</f>
        <v/>
      </c>
      <c r="O439">
        <f>IFERROR(INDEX(PP_Grid[#Data],$DD439,13),0)</f>
        <v/>
      </c>
      <c r="P439">
        <f>IFERROR(INDEX(PP_Grid[#Data],$DD439,14),0)</f>
        <v/>
      </c>
      <c r="Q439">
        <f>IFERROR(INDEX(PP_Grid[#Data],$DD439,15),0)</f>
        <v/>
      </c>
      <c r="R439">
        <f>IFERROR(INDEX(PP_Grid[#Data],$DD439,16),0)</f>
        <v/>
      </c>
      <c r="S439">
        <f>IFERROR(INDEX(PP_Grid[#Data],$DD439,17),0)</f>
        <v/>
      </c>
      <c r="T439">
        <f>IFERROR(INDEX(PP_Grid[#Data],$DD439,18),0)</f>
        <v/>
      </c>
      <c r="U439">
        <f>IFERROR(INDEX(PP_Grid[#Data],$DD439,19),0)</f>
        <v/>
      </c>
      <c r="V439">
        <f>IFERROR(INDEX(PP_Grid[#Data],$DD439,20),0)</f>
        <v/>
      </c>
      <c r="W439">
        <f>IFERROR(INDEX(PP_Grid[#Data],$DD439,21),0)</f>
        <v/>
      </c>
      <c r="X439">
        <f>IFERROR(INDEX(PP_Grid[#Data],$DD439,22),0)</f>
        <v/>
      </c>
      <c r="Y439">
        <f>IFERROR(INDEX(PP_Grid[#Data],$DD439,23),0)</f>
        <v/>
      </c>
      <c r="Z439">
        <f>IFERROR(INDEX(PP_Grid[#Data],$DD439,24),0)</f>
        <v/>
      </c>
      <c r="AA439">
        <f>IFERROR(INDEX(PP_Grid[#Data],$DD439,25),0)</f>
        <v/>
      </c>
      <c r="AB439">
        <f>IFERROR(INDEX(PP_Grid[#Data],$DD439,26),0)</f>
        <v/>
      </c>
      <c r="AC439">
        <f>IFERROR(INDEX(PP_Grid[#Data],$DD439,27),0)</f>
        <v/>
      </c>
      <c r="AD439">
        <f>IFERROR(INDEX(PP_Grid[#Data],$DD439,28),0)</f>
        <v/>
      </c>
      <c r="AE439">
        <f>IFERROR(INDEX(PP_Grid[#Data],$DD439,29),0)</f>
        <v/>
      </c>
      <c r="AF439">
        <f>IFERROR(INDEX(PP_Grid[#Data],$DD439,30),0)</f>
        <v/>
      </c>
      <c r="AG439">
        <f>IFERROR(INDEX(PP_Grid[#Data],$DD439,31),0)</f>
        <v/>
      </c>
      <c r="AH439">
        <f>IFERROR(INDEX(PP_Grid[#Data],$DD439,32),0)</f>
        <v/>
      </c>
      <c r="AI439">
        <f>IFERROR(INDEX(PP_Grid[#Data],$DD439,33),0)</f>
        <v/>
      </c>
      <c r="AJ439">
        <f>IFERROR(INDEX(PP_Grid[#Data],$DD439,34),0)</f>
        <v/>
      </c>
      <c r="AK439">
        <f>IFERROR(INDEX(PP_Grid[#Data],$DD439,35),0)</f>
        <v/>
      </c>
      <c r="AL439">
        <f>IFERROR(INDEX(PP_Grid[#Data],$DD439,36),0)</f>
        <v/>
      </c>
      <c r="AM439">
        <f>IFERROR(INDEX(PP_Grid[#Data],$DD439,37),0)</f>
        <v/>
      </c>
      <c r="AN439">
        <f>IFERROR(INDEX(PP_Grid[#Data],$DD439,38),0)</f>
        <v/>
      </c>
      <c r="AO439">
        <f>IFERROR(INDEX(PP_Grid[#Data],$DD439,39),0)</f>
        <v/>
      </c>
      <c r="AP439">
        <f>IFERROR(INDEX(PP_Grid[#Data],$DD439,40),0)</f>
        <v/>
      </c>
      <c r="AQ439">
        <f>IFERROR(INDEX(PP_Grid[#Data],$DD439,41),0)</f>
        <v/>
      </c>
      <c r="AR439">
        <f>IFERROR(INDEX(PP_Grid[#Data],$DD439,42),0)</f>
        <v/>
      </c>
      <c r="AS439">
        <f>IFERROR(INDEX(PP_Grid[#Data],$DD439,43),0)</f>
        <v/>
      </c>
      <c r="AT439">
        <f>IFERROR(INDEX(PP_Grid[#Data],$DD439,44),0)</f>
        <v/>
      </c>
      <c r="AU439">
        <f>IFERROR(INDEX(PP_Grid[#Data],$DD439,45),0)</f>
        <v/>
      </c>
      <c r="AV439">
        <f>IFERROR(INDEX(PP_Grid[#Data],$DD439,46),0)</f>
        <v/>
      </c>
      <c r="AW439">
        <f>IFERROR(INDEX(PP_Grid[#Data],$DD439,47),0)</f>
        <v/>
      </c>
      <c r="AX439">
        <f>IFERROR(INDEX(PP_Grid[#Data],$DD439,48),0)</f>
        <v/>
      </c>
      <c r="AY439">
        <f>IFERROR(INDEX(PP_Grid[#Data],$DD439,49),0)</f>
        <v/>
      </c>
      <c r="AZ439">
        <f>IFERROR(INDEX(PP_Grid[#Data],$DD439,50),0)</f>
        <v/>
      </c>
      <c r="BA439">
        <f>IFERROR(INDEX(PP_Grid[#Data],$DD439,51),0)</f>
        <v/>
      </c>
      <c r="BB439">
        <f>IFERROR(INDEX(PP_Grid[#Data],$DD439,52),0)</f>
        <v/>
      </c>
      <c r="BC439">
        <f>IFERROR(INDEX(PP_Grid[#Data],$DD439,53),0)</f>
        <v/>
      </c>
      <c r="BD439">
        <f>IFERROR(INDEX(PP_Grid[#Data],$DD439,54),0)</f>
        <v/>
      </c>
      <c r="BE439">
        <f>IFERROR(INDEX(PP_Grid[#Data],$DD439,55),0)</f>
        <v/>
      </c>
      <c r="BF439">
        <f>IFERROR(INDEX(PP_Grid[#Data],$DD439,56),0)</f>
        <v/>
      </c>
      <c r="BG439">
        <f>IFERROR(INDEX(PP_Grid[#Data],$DD439,57),0)</f>
        <v/>
      </c>
      <c r="BH439">
        <f>IFERROR(INDEX(PP_Grid[#Data],$DD439,58),0)</f>
        <v/>
      </c>
      <c r="BI439">
        <f>IFERROR(INDEX(PP_Grid[#Data],$DD439,59),0)</f>
        <v/>
      </c>
      <c r="BJ439">
        <f>IFERROR(INDEX(PP_Grid[#Data],$DD439,60),0)</f>
        <v/>
      </c>
      <c r="BK439">
        <f>IFERROR(INDEX(PP_Grid[#Data],$DD439,61),0)</f>
        <v/>
      </c>
      <c r="BL439">
        <f>IFERROR(INDEX(PP_Grid[#Data],$DD439,62),0)</f>
        <v/>
      </c>
      <c r="BM439">
        <f>IFERROR(INDEX(PP_Grid[#Data],$DD439,63),0)</f>
        <v/>
      </c>
      <c r="BN439">
        <f>IFERROR(INDEX(PP_Grid[#Data],$DD439,64),0)</f>
        <v/>
      </c>
      <c r="BO439">
        <f>IFERROR(INDEX(PP_Grid[#Data],$DD439,65),0)</f>
        <v/>
      </c>
      <c r="BP439">
        <f>IFERROR(INDEX(PP_Grid[#Data],$DD439,66),0)</f>
        <v/>
      </c>
      <c r="BQ439">
        <f>IFERROR(INDEX(PP_Grid[#Data],$DD439,67),0)</f>
        <v/>
      </c>
      <c r="BR439">
        <f>IFERROR(INDEX(PP_Grid[#Data],$DD439,68),0)</f>
        <v/>
      </c>
      <c r="BS439">
        <f>IFERROR(INDEX(PP_Grid[#Data],$DD439,69),0)</f>
        <v/>
      </c>
      <c r="BT439">
        <f>IFERROR(INDEX(PP_Grid[#Data],$DD439,70),0)</f>
        <v/>
      </c>
      <c r="BU439">
        <f>IFERROR(INDEX(PP_Grid[#Data],$DD439,71),0)</f>
        <v/>
      </c>
      <c r="BV439">
        <f>IFERROR(INDEX(PP_Grid[#Data],$DD439,72),0)</f>
        <v/>
      </c>
      <c r="BW439">
        <f>IFERROR(INDEX(PP_Grid[#Data],$DD439,73),0)</f>
        <v/>
      </c>
      <c r="BX439">
        <f>IFERROR(INDEX(PP_Grid[#Data],$DD439,74),0)</f>
        <v/>
      </c>
      <c r="BY439">
        <f>IFERROR(INDEX(PP_Grid[#Data],$DD439,75),0)</f>
        <v/>
      </c>
      <c r="BZ439">
        <f>IFERROR(INDEX(PP_Grid[#Data],$DD439,76),0)</f>
        <v/>
      </c>
      <c r="CA439">
        <f>IFERROR(INDEX(PP_Grid[#Data],$DD439,77),0)</f>
        <v/>
      </c>
      <c r="CB439">
        <f>IFERROR(INDEX(PP_Grid[#Data],$DD439,78),0)</f>
        <v/>
      </c>
      <c r="CC439">
        <f>IFERROR(INDEX(PP_Grid[#Data],$DD439,79),0)</f>
        <v/>
      </c>
      <c r="CD439">
        <f>IFERROR(INDEX(PP_Grid[#Data],$DD439,80),0)</f>
        <v/>
      </c>
      <c r="CE439">
        <f>IFERROR(INDEX(PP_Grid[#Data],$DD439,81),0)</f>
        <v/>
      </c>
      <c r="CF439">
        <f>IFERROR(INDEX(PP_Grid[#Data],$DD439,82),0)</f>
        <v/>
      </c>
      <c r="CG439">
        <f>IFERROR(INDEX(PP_Grid[#Data],$DD439,83),0)</f>
        <v/>
      </c>
      <c r="CH439">
        <f>IFERROR(INDEX(PP_Grid[#Data],$DD439,84),0)</f>
        <v/>
      </c>
      <c r="CI439">
        <f>IFERROR(INDEX(PP_Grid[#Data],$DD439,85),0)</f>
        <v/>
      </c>
      <c r="CJ439">
        <f>IFERROR(INDEX(PP_Grid[#Data],$DD439,86),0)</f>
        <v/>
      </c>
      <c r="CK439">
        <f>IFERROR(INDEX(PP_Grid[#Data],$DD439,87),0)</f>
        <v/>
      </c>
      <c r="CL439">
        <f>IFERROR(INDEX(PP_Grid[#Data],$DD439,88),0)</f>
        <v/>
      </c>
      <c r="CM439">
        <f>IFERROR(INDEX(PP_Grid[#Data],$DD439,89),0)</f>
        <v/>
      </c>
      <c r="CN439">
        <f>IFERROR(INDEX(PP_Grid[#Data],$DD439,90),0)</f>
        <v/>
      </c>
      <c r="CO439">
        <f>IFERROR(INDEX(PP_Grid[#Data],$DD439,91),0)</f>
        <v/>
      </c>
      <c r="CP439">
        <f>IFERROR(INDEX(PP_Grid[#Data],$DD439,92),0)</f>
        <v/>
      </c>
      <c r="CQ439">
        <f>IFERROR(INDEX(PP_Grid[#Data],$DD439,93),0)</f>
        <v/>
      </c>
      <c r="CR439">
        <f>IFERROR(INDEX(PP_Grid[#Data],$DD439,94),0)</f>
        <v/>
      </c>
      <c r="CS439">
        <f>IFERROR(INDEX(PP_Grid[#Data],$DD439,95),0)</f>
        <v/>
      </c>
      <c r="CT439">
        <f>IFERROR(INDEX(PP_Grid[#Data],$DD439,96),0)</f>
        <v/>
      </c>
      <c r="CU439">
        <f>IFERROR(INDEX(PP_Grid[#Data],$DD439,97),0)</f>
        <v/>
      </c>
      <c r="CV439">
        <f>IFERROR(INDEX(PP_Grid[#Data],$DD439,98),0)</f>
        <v/>
      </c>
      <c r="CW439">
        <f>IFERROR(INDEX(PP_Grid[#Data],$DD439,99),0)</f>
        <v/>
      </c>
      <c r="CX439">
        <f>IFERROR(INDEX(PP_Grid[#Data],$DD439,100),0)</f>
        <v/>
      </c>
      <c r="CY439">
        <f>IFERROR(INDEX(PP_Grid[#Data],$DD439,101),0)</f>
        <v/>
      </c>
      <c r="CZ439">
        <f>IFERROR(INDEX(PP_Grid[#Data],$DD439,102),0)</f>
        <v/>
      </c>
      <c r="DA439">
        <f>IFERROR(INDEX(PP_Grid[#Data],$DD439,103),0)</f>
        <v/>
      </c>
      <c r="DB439">
        <f>IFERROR(INDEX(PP_Grid[#Data],$DD439,104),0)</f>
        <v/>
      </c>
      <c r="DC439">
        <f>IFERROR(INDEX(PP_Grid[#Data],$DD439,105),0)</f>
        <v/>
      </c>
      <c r="DD439" s="7">
        <f>IFERROR(MATCH($B439,PP_Grid[Intermediate],0),99999)</f>
        <v/>
      </c>
    </row>
    <row r="440">
      <c r="B440" t="inlineStr">
        <is>
          <t>使用量(kg)</t>
        </is>
      </c>
      <c r="C440">
        <f>SUMIFS(M_BOM[RM_Qty_Per_Batch],M_BOM[Intermediate],$B439,M_BOM[Part Name],$A340)</f>
        <v/>
      </c>
      <c r="D440">
        <f>$C440*D439</f>
        <v/>
      </c>
      <c r="E440">
        <f>$C440*E439</f>
        <v/>
      </c>
      <c r="F440">
        <f>$C440*F439</f>
        <v/>
      </c>
      <c r="G440">
        <f>$C440*G439</f>
        <v/>
      </c>
      <c r="H440">
        <f>$C440*H439</f>
        <v/>
      </c>
      <c r="I440">
        <f>$C440*I439</f>
        <v/>
      </c>
      <c r="J440">
        <f>$C440*J439</f>
        <v/>
      </c>
      <c r="K440">
        <f>$C440*K439</f>
        <v/>
      </c>
      <c r="L440">
        <f>$C440*L439</f>
        <v/>
      </c>
      <c r="M440">
        <f>$C440*M439</f>
        <v/>
      </c>
      <c r="N440">
        <f>$C440*N439</f>
        <v/>
      </c>
      <c r="O440">
        <f>$C440*O439</f>
        <v/>
      </c>
      <c r="P440">
        <f>$C440*P439</f>
        <v/>
      </c>
      <c r="Q440">
        <f>$C440*Q439</f>
        <v/>
      </c>
      <c r="R440">
        <f>$C440*R439</f>
        <v/>
      </c>
      <c r="S440">
        <f>$C440*S439</f>
        <v/>
      </c>
      <c r="T440">
        <f>$C440*T439</f>
        <v/>
      </c>
      <c r="U440">
        <f>$C440*U439</f>
        <v/>
      </c>
      <c r="V440">
        <f>$C440*V439</f>
        <v/>
      </c>
      <c r="W440">
        <f>$C440*W439</f>
        <v/>
      </c>
      <c r="X440">
        <f>$C440*X439</f>
        <v/>
      </c>
      <c r="Y440">
        <f>$C440*Y439</f>
        <v/>
      </c>
      <c r="Z440">
        <f>$C440*Z439</f>
        <v/>
      </c>
      <c r="AA440">
        <f>$C440*AA439</f>
        <v/>
      </c>
      <c r="AB440">
        <f>$C440*AB439</f>
        <v/>
      </c>
      <c r="AC440">
        <f>$C440*AC439</f>
        <v/>
      </c>
      <c r="AD440">
        <f>$C440*AD439</f>
        <v/>
      </c>
      <c r="AE440">
        <f>$C440*AE439</f>
        <v/>
      </c>
      <c r="AF440">
        <f>$C440*AF439</f>
        <v/>
      </c>
      <c r="AG440">
        <f>$C440*AG439</f>
        <v/>
      </c>
      <c r="AH440">
        <f>$C440*AH439</f>
        <v/>
      </c>
      <c r="AI440">
        <f>$C440*AI439</f>
        <v/>
      </c>
      <c r="AJ440">
        <f>$C440*AJ439</f>
        <v/>
      </c>
      <c r="AK440">
        <f>$C440*AK439</f>
        <v/>
      </c>
      <c r="AL440">
        <f>$C440*AL439</f>
        <v/>
      </c>
      <c r="AM440">
        <f>$C440*AM439</f>
        <v/>
      </c>
      <c r="AN440">
        <f>$C440*AN439</f>
        <v/>
      </c>
      <c r="AO440">
        <f>$C440*AO439</f>
        <v/>
      </c>
      <c r="AP440">
        <f>$C440*AP439</f>
        <v/>
      </c>
      <c r="AQ440">
        <f>$C440*AQ439</f>
        <v/>
      </c>
      <c r="AR440">
        <f>$C440*AR439</f>
        <v/>
      </c>
      <c r="AS440">
        <f>$C440*AS439</f>
        <v/>
      </c>
      <c r="AT440">
        <f>$C440*AT439</f>
        <v/>
      </c>
      <c r="AU440">
        <f>$C440*AU439</f>
        <v/>
      </c>
      <c r="AV440">
        <f>$C440*AV439</f>
        <v/>
      </c>
      <c r="AW440">
        <f>$C440*AW439</f>
        <v/>
      </c>
      <c r="AX440">
        <f>$C440*AX439</f>
        <v/>
      </c>
      <c r="AY440">
        <f>$C440*AY439</f>
        <v/>
      </c>
      <c r="AZ440">
        <f>$C440*AZ439</f>
        <v/>
      </c>
      <c r="BA440">
        <f>$C440*BA439</f>
        <v/>
      </c>
      <c r="BB440">
        <f>$C440*BB439</f>
        <v/>
      </c>
      <c r="BC440">
        <f>$C440*BC439</f>
        <v/>
      </c>
      <c r="BD440">
        <f>$C440*BD439</f>
        <v/>
      </c>
      <c r="BE440">
        <f>$C440*BE439</f>
        <v/>
      </c>
      <c r="BF440">
        <f>$C440*BF439</f>
        <v/>
      </c>
      <c r="BG440">
        <f>$C440*BG439</f>
        <v/>
      </c>
      <c r="BH440">
        <f>$C440*BH439</f>
        <v/>
      </c>
      <c r="BI440">
        <f>$C440*BI439</f>
        <v/>
      </c>
      <c r="BJ440">
        <f>$C440*BJ439</f>
        <v/>
      </c>
      <c r="BK440">
        <f>$C440*BK439</f>
        <v/>
      </c>
      <c r="BL440">
        <f>$C440*BL439</f>
        <v/>
      </c>
      <c r="BM440">
        <f>$C440*BM439</f>
        <v/>
      </c>
      <c r="BN440">
        <f>$C440*BN439</f>
        <v/>
      </c>
      <c r="BO440">
        <f>$C440*BO439</f>
        <v/>
      </c>
      <c r="BP440">
        <f>$C440*BP439</f>
        <v/>
      </c>
      <c r="BQ440">
        <f>$C440*BQ439</f>
        <v/>
      </c>
      <c r="BR440">
        <f>$C440*BR439</f>
        <v/>
      </c>
      <c r="BS440">
        <f>$C440*BS439</f>
        <v/>
      </c>
      <c r="BT440">
        <f>$C440*BT439</f>
        <v/>
      </c>
      <c r="BU440">
        <f>$C440*BU439</f>
        <v/>
      </c>
      <c r="BV440">
        <f>$C440*BV439</f>
        <v/>
      </c>
      <c r="BW440">
        <f>$C440*BW439</f>
        <v/>
      </c>
      <c r="BX440">
        <f>$C440*BX439</f>
        <v/>
      </c>
      <c r="BY440">
        <f>$C440*BY439</f>
        <v/>
      </c>
      <c r="BZ440">
        <f>$C440*BZ439</f>
        <v/>
      </c>
      <c r="CA440">
        <f>$C440*CA439</f>
        <v/>
      </c>
      <c r="CB440">
        <f>$C440*CB439</f>
        <v/>
      </c>
      <c r="CC440">
        <f>$C440*CC439</f>
        <v/>
      </c>
      <c r="CD440">
        <f>$C440*CD439</f>
        <v/>
      </c>
      <c r="CE440">
        <f>$C440*CE439</f>
        <v/>
      </c>
      <c r="CF440">
        <f>$C440*CF439</f>
        <v/>
      </c>
      <c r="CG440">
        <f>$C440*CG439</f>
        <v/>
      </c>
      <c r="CH440">
        <f>$C440*CH439</f>
        <v/>
      </c>
      <c r="CI440">
        <f>$C440*CI439</f>
        <v/>
      </c>
      <c r="CJ440">
        <f>$C440*CJ439</f>
        <v/>
      </c>
      <c r="CK440">
        <f>$C440*CK439</f>
        <v/>
      </c>
      <c r="CL440">
        <f>$C440*CL439</f>
        <v/>
      </c>
      <c r="CM440">
        <f>$C440*CM439</f>
        <v/>
      </c>
      <c r="CN440">
        <f>$C440*CN439</f>
        <v/>
      </c>
      <c r="CO440">
        <f>$C440*CO439</f>
        <v/>
      </c>
      <c r="CP440">
        <f>$C440*CP439</f>
        <v/>
      </c>
      <c r="CQ440">
        <f>$C440*CQ439</f>
        <v/>
      </c>
      <c r="CR440">
        <f>$C440*CR439</f>
        <v/>
      </c>
      <c r="CS440">
        <f>$C440*CS439</f>
        <v/>
      </c>
      <c r="CT440">
        <f>$C440*CT439</f>
        <v/>
      </c>
      <c r="CU440">
        <f>$C440*CU439</f>
        <v/>
      </c>
      <c r="CV440">
        <f>$C440*CV439</f>
        <v/>
      </c>
      <c r="CW440">
        <f>$C440*CW439</f>
        <v/>
      </c>
      <c r="CX440">
        <f>$C440*CX439</f>
        <v/>
      </c>
      <c r="CY440">
        <f>$C440*CY439</f>
        <v/>
      </c>
      <c r="CZ440">
        <f>$C440*CZ439</f>
        <v/>
      </c>
      <c r="DA440">
        <f>$C440*DA439</f>
        <v/>
      </c>
      <c r="DB440">
        <f>$C440*DB439</f>
        <v/>
      </c>
      <c r="DC440">
        <f>$C440*DC439</f>
        <v/>
      </c>
    </row>
    <row r="441">
      <c r="B441" t="inlineStr">
        <is>
          <t>TSP-1499</t>
        </is>
      </c>
      <c r="C441" t="inlineStr">
        <is>
          <t>No. of batches</t>
        </is>
      </c>
      <c r="D441">
        <f>IFERROR(INDEX(PP_Grid[#Data],$DD441,2),0)</f>
        <v/>
      </c>
      <c r="E441">
        <f>IFERROR(INDEX(PP_Grid[#Data],$DD441,3),0)</f>
        <v/>
      </c>
      <c r="F441">
        <f>IFERROR(INDEX(PP_Grid[#Data],$DD441,4),0)</f>
        <v/>
      </c>
      <c r="G441">
        <f>IFERROR(INDEX(PP_Grid[#Data],$DD441,5),0)</f>
        <v/>
      </c>
      <c r="H441">
        <f>IFERROR(INDEX(PP_Grid[#Data],$DD441,6),0)</f>
        <v/>
      </c>
      <c r="I441">
        <f>IFERROR(INDEX(PP_Grid[#Data],$DD441,7),0)</f>
        <v/>
      </c>
      <c r="J441">
        <f>IFERROR(INDEX(PP_Grid[#Data],$DD441,8),0)</f>
        <v/>
      </c>
      <c r="K441">
        <f>IFERROR(INDEX(PP_Grid[#Data],$DD441,9),0)</f>
        <v/>
      </c>
      <c r="L441">
        <f>IFERROR(INDEX(PP_Grid[#Data],$DD441,10),0)</f>
        <v/>
      </c>
      <c r="M441">
        <f>IFERROR(INDEX(PP_Grid[#Data],$DD441,11),0)</f>
        <v/>
      </c>
      <c r="N441">
        <f>IFERROR(INDEX(PP_Grid[#Data],$DD441,12),0)</f>
        <v/>
      </c>
      <c r="O441">
        <f>IFERROR(INDEX(PP_Grid[#Data],$DD441,13),0)</f>
        <v/>
      </c>
      <c r="P441">
        <f>IFERROR(INDEX(PP_Grid[#Data],$DD441,14),0)</f>
        <v/>
      </c>
      <c r="Q441">
        <f>IFERROR(INDEX(PP_Grid[#Data],$DD441,15),0)</f>
        <v/>
      </c>
      <c r="R441">
        <f>IFERROR(INDEX(PP_Grid[#Data],$DD441,16),0)</f>
        <v/>
      </c>
      <c r="S441">
        <f>IFERROR(INDEX(PP_Grid[#Data],$DD441,17),0)</f>
        <v/>
      </c>
      <c r="T441">
        <f>IFERROR(INDEX(PP_Grid[#Data],$DD441,18),0)</f>
        <v/>
      </c>
      <c r="U441">
        <f>IFERROR(INDEX(PP_Grid[#Data],$DD441,19),0)</f>
        <v/>
      </c>
      <c r="V441">
        <f>IFERROR(INDEX(PP_Grid[#Data],$DD441,20),0)</f>
        <v/>
      </c>
      <c r="W441">
        <f>IFERROR(INDEX(PP_Grid[#Data],$DD441,21),0)</f>
        <v/>
      </c>
      <c r="X441">
        <f>IFERROR(INDEX(PP_Grid[#Data],$DD441,22),0)</f>
        <v/>
      </c>
      <c r="Y441">
        <f>IFERROR(INDEX(PP_Grid[#Data],$DD441,23),0)</f>
        <v/>
      </c>
      <c r="Z441">
        <f>IFERROR(INDEX(PP_Grid[#Data],$DD441,24),0)</f>
        <v/>
      </c>
      <c r="AA441">
        <f>IFERROR(INDEX(PP_Grid[#Data],$DD441,25),0)</f>
        <v/>
      </c>
      <c r="AB441">
        <f>IFERROR(INDEX(PP_Grid[#Data],$DD441,26),0)</f>
        <v/>
      </c>
      <c r="AC441">
        <f>IFERROR(INDEX(PP_Grid[#Data],$DD441,27),0)</f>
        <v/>
      </c>
      <c r="AD441">
        <f>IFERROR(INDEX(PP_Grid[#Data],$DD441,28),0)</f>
        <v/>
      </c>
      <c r="AE441">
        <f>IFERROR(INDEX(PP_Grid[#Data],$DD441,29),0)</f>
        <v/>
      </c>
      <c r="AF441">
        <f>IFERROR(INDEX(PP_Grid[#Data],$DD441,30),0)</f>
        <v/>
      </c>
      <c r="AG441">
        <f>IFERROR(INDEX(PP_Grid[#Data],$DD441,31),0)</f>
        <v/>
      </c>
      <c r="AH441">
        <f>IFERROR(INDEX(PP_Grid[#Data],$DD441,32),0)</f>
        <v/>
      </c>
      <c r="AI441">
        <f>IFERROR(INDEX(PP_Grid[#Data],$DD441,33),0)</f>
        <v/>
      </c>
      <c r="AJ441">
        <f>IFERROR(INDEX(PP_Grid[#Data],$DD441,34),0)</f>
        <v/>
      </c>
      <c r="AK441">
        <f>IFERROR(INDEX(PP_Grid[#Data],$DD441,35),0)</f>
        <v/>
      </c>
      <c r="AL441">
        <f>IFERROR(INDEX(PP_Grid[#Data],$DD441,36),0)</f>
        <v/>
      </c>
      <c r="AM441">
        <f>IFERROR(INDEX(PP_Grid[#Data],$DD441,37),0)</f>
        <v/>
      </c>
      <c r="AN441">
        <f>IFERROR(INDEX(PP_Grid[#Data],$DD441,38),0)</f>
        <v/>
      </c>
      <c r="AO441">
        <f>IFERROR(INDEX(PP_Grid[#Data],$DD441,39),0)</f>
        <v/>
      </c>
      <c r="AP441">
        <f>IFERROR(INDEX(PP_Grid[#Data],$DD441,40),0)</f>
        <v/>
      </c>
      <c r="AQ441">
        <f>IFERROR(INDEX(PP_Grid[#Data],$DD441,41),0)</f>
        <v/>
      </c>
      <c r="AR441">
        <f>IFERROR(INDEX(PP_Grid[#Data],$DD441,42),0)</f>
        <v/>
      </c>
      <c r="AS441">
        <f>IFERROR(INDEX(PP_Grid[#Data],$DD441,43),0)</f>
        <v/>
      </c>
      <c r="AT441">
        <f>IFERROR(INDEX(PP_Grid[#Data],$DD441,44),0)</f>
        <v/>
      </c>
      <c r="AU441">
        <f>IFERROR(INDEX(PP_Grid[#Data],$DD441,45),0)</f>
        <v/>
      </c>
      <c r="AV441">
        <f>IFERROR(INDEX(PP_Grid[#Data],$DD441,46),0)</f>
        <v/>
      </c>
      <c r="AW441">
        <f>IFERROR(INDEX(PP_Grid[#Data],$DD441,47),0)</f>
        <v/>
      </c>
      <c r="AX441">
        <f>IFERROR(INDEX(PP_Grid[#Data],$DD441,48),0)</f>
        <v/>
      </c>
      <c r="AY441">
        <f>IFERROR(INDEX(PP_Grid[#Data],$DD441,49),0)</f>
        <v/>
      </c>
      <c r="AZ441">
        <f>IFERROR(INDEX(PP_Grid[#Data],$DD441,50),0)</f>
        <v/>
      </c>
      <c r="BA441">
        <f>IFERROR(INDEX(PP_Grid[#Data],$DD441,51),0)</f>
        <v/>
      </c>
      <c r="BB441">
        <f>IFERROR(INDEX(PP_Grid[#Data],$DD441,52),0)</f>
        <v/>
      </c>
      <c r="BC441">
        <f>IFERROR(INDEX(PP_Grid[#Data],$DD441,53),0)</f>
        <v/>
      </c>
      <c r="BD441">
        <f>IFERROR(INDEX(PP_Grid[#Data],$DD441,54),0)</f>
        <v/>
      </c>
      <c r="BE441">
        <f>IFERROR(INDEX(PP_Grid[#Data],$DD441,55),0)</f>
        <v/>
      </c>
      <c r="BF441">
        <f>IFERROR(INDEX(PP_Grid[#Data],$DD441,56),0)</f>
        <v/>
      </c>
      <c r="BG441">
        <f>IFERROR(INDEX(PP_Grid[#Data],$DD441,57),0)</f>
        <v/>
      </c>
      <c r="BH441">
        <f>IFERROR(INDEX(PP_Grid[#Data],$DD441,58),0)</f>
        <v/>
      </c>
      <c r="BI441">
        <f>IFERROR(INDEX(PP_Grid[#Data],$DD441,59),0)</f>
        <v/>
      </c>
      <c r="BJ441">
        <f>IFERROR(INDEX(PP_Grid[#Data],$DD441,60),0)</f>
        <v/>
      </c>
      <c r="BK441">
        <f>IFERROR(INDEX(PP_Grid[#Data],$DD441,61),0)</f>
        <v/>
      </c>
      <c r="BL441">
        <f>IFERROR(INDEX(PP_Grid[#Data],$DD441,62),0)</f>
        <v/>
      </c>
      <c r="BM441">
        <f>IFERROR(INDEX(PP_Grid[#Data],$DD441,63),0)</f>
        <v/>
      </c>
      <c r="BN441">
        <f>IFERROR(INDEX(PP_Grid[#Data],$DD441,64),0)</f>
        <v/>
      </c>
      <c r="BO441">
        <f>IFERROR(INDEX(PP_Grid[#Data],$DD441,65),0)</f>
        <v/>
      </c>
      <c r="BP441">
        <f>IFERROR(INDEX(PP_Grid[#Data],$DD441,66),0)</f>
        <v/>
      </c>
      <c r="BQ441">
        <f>IFERROR(INDEX(PP_Grid[#Data],$DD441,67),0)</f>
        <v/>
      </c>
      <c r="BR441">
        <f>IFERROR(INDEX(PP_Grid[#Data],$DD441,68),0)</f>
        <v/>
      </c>
      <c r="BS441">
        <f>IFERROR(INDEX(PP_Grid[#Data],$DD441,69),0)</f>
        <v/>
      </c>
      <c r="BT441">
        <f>IFERROR(INDEX(PP_Grid[#Data],$DD441,70),0)</f>
        <v/>
      </c>
      <c r="BU441">
        <f>IFERROR(INDEX(PP_Grid[#Data],$DD441,71),0)</f>
        <v/>
      </c>
      <c r="BV441">
        <f>IFERROR(INDEX(PP_Grid[#Data],$DD441,72),0)</f>
        <v/>
      </c>
      <c r="BW441">
        <f>IFERROR(INDEX(PP_Grid[#Data],$DD441,73),0)</f>
        <v/>
      </c>
      <c r="BX441">
        <f>IFERROR(INDEX(PP_Grid[#Data],$DD441,74),0)</f>
        <v/>
      </c>
      <c r="BY441">
        <f>IFERROR(INDEX(PP_Grid[#Data],$DD441,75),0)</f>
        <v/>
      </c>
      <c r="BZ441">
        <f>IFERROR(INDEX(PP_Grid[#Data],$DD441,76),0)</f>
        <v/>
      </c>
      <c r="CA441">
        <f>IFERROR(INDEX(PP_Grid[#Data],$DD441,77),0)</f>
        <v/>
      </c>
      <c r="CB441">
        <f>IFERROR(INDEX(PP_Grid[#Data],$DD441,78),0)</f>
        <v/>
      </c>
      <c r="CC441">
        <f>IFERROR(INDEX(PP_Grid[#Data],$DD441,79),0)</f>
        <v/>
      </c>
      <c r="CD441">
        <f>IFERROR(INDEX(PP_Grid[#Data],$DD441,80),0)</f>
        <v/>
      </c>
      <c r="CE441">
        <f>IFERROR(INDEX(PP_Grid[#Data],$DD441,81),0)</f>
        <v/>
      </c>
      <c r="CF441">
        <f>IFERROR(INDEX(PP_Grid[#Data],$DD441,82),0)</f>
        <v/>
      </c>
      <c r="CG441">
        <f>IFERROR(INDEX(PP_Grid[#Data],$DD441,83),0)</f>
        <v/>
      </c>
      <c r="CH441">
        <f>IFERROR(INDEX(PP_Grid[#Data],$DD441,84),0)</f>
        <v/>
      </c>
      <c r="CI441">
        <f>IFERROR(INDEX(PP_Grid[#Data],$DD441,85),0)</f>
        <v/>
      </c>
      <c r="CJ441">
        <f>IFERROR(INDEX(PP_Grid[#Data],$DD441,86),0)</f>
        <v/>
      </c>
      <c r="CK441">
        <f>IFERROR(INDEX(PP_Grid[#Data],$DD441,87),0)</f>
        <v/>
      </c>
      <c r="CL441">
        <f>IFERROR(INDEX(PP_Grid[#Data],$DD441,88),0)</f>
        <v/>
      </c>
      <c r="CM441">
        <f>IFERROR(INDEX(PP_Grid[#Data],$DD441,89),0)</f>
        <v/>
      </c>
      <c r="CN441">
        <f>IFERROR(INDEX(PP_Grid[#Data],$DD441,90),0)</f>
        <v/>
      </c>
      <c r="CO441">
        <f>IFERROR(INDEX(PP_Grid[#Data],$DD441,91),0)</f>
        <v/>
      </c>
      <c r="CP441">
        <f>IFERROR(INDEX(PP_Grid[#Data],$DD441,92),0)</f>
        <v/>
      </c>
      <c r="CQ441">
        <f>IFERROR(INDEX(PP_Grid[#Data],$DD441,93),0)</f>
        <v/>
      </c>
      <c r="CR441">
        <f>IFERROR(INDEX(PP_Grid[#Data],$DD441,94),0)</f>
        <v/>
      </c>
      <c r="CS441">
        <f>IFERROR(INDEX(PP_Grid[#Data],$DD441,95),0)</f>
        <v/>
      </c>
      <c r="CT441">
        <f>IFERROR(INDEX(PP_Grid[#Data],$DD441,96),0)</f>
        <v/>
      </c>
      <c r="CU441">
        <f>IFERROR(INDEX(PP_Grid[#Data],$DD441,97),0)</f>
        <v/>
      </c>
      <c r="CV441">
        <f>IFERROR(INDEX(PP_Grid[#Data],$DD441,98),0)</f>
        <v/>
      </c>
      <c r="CW441">
        <f>IFERROR(INDEX(PP_Grid[#Data],$DD441,99),0)</f>
        <v/>
      </c>
      <c r="CX441">
        <f>IFERROR(INDEX(PP_Grid[#Data],$DD441,100),0)</f>
        <v/>
      </c>
      <c r="CY441">
        <f>IFERROR(INDEX(PP_Grid[#Data],$DD441,101),0)</f>
        <v/>
      </c>
      <c r="CZ441">
        <f>IFERROR(INDEX(PP_Grid[#Data],$DD441,102),0)</f>
        <v/>
      </c>
      <c r="DA441">
        <f>IFERROR(INDEX(PP_Grid[#Data],$DD441,103),0)</f>
        <v/>
      </c>
      <c r="DB441">
        <f>IFERROR(INDEX(PP_Grid[#Data],$DD441,104),0)</f>
        <v/>
      </c>
      <c r="DC441">
        <f>IFERROR(INDEX(PP_Grid[#Data],$DD441,105),0)</f>
        <v/>
      </c>
      <c r="DD441" s="7">
        <f>IFERROR(MATCH($B441,PP_Grid[Intermediate],0),99999)</f>
        <v/>
      </c>
    </row>
    <row r="442">
      <c r="B442" t="inlineStr">
        <is>
          <t>使用量(kg)</t>
        </is>
      </c>
      <c r="C442">
        <f>SUMIFS(M_BOM[RM_Qty_Per_Batch],M_BOM[Intermediate],$B441,M_BOM[Part Name],$A340)</f>
        <v/>
      </c>
      <c r="D442">
        <f>$C442*D441</f>
        <v/>
      </c>
      <c r="E442">
        <f>$C442*E441</f>
        <v/>
      </c>
      <c r="F442">
        <f>$C442*F441</f>
        <v/>
      </c>
      <c r="G442">
        <f>$C442*G441</f>
        <v/>
      </c>
      <c r="H442">
        <f>$C442*H441</f>
        <v/>
      </c>
      <c r="I442">
        <f>$C442*I441</f>
        <v/>
      </c>
      <c r="J442">
        <f>$C442*J441</f>
        <v/>
      </c>
      <c r="K442">
        <f>$C442*K441</f>
        <v/>
      </c>
      <c r="L442">
        <f>$C442*L441</f>
        <v/>
      </c>
      <c r="M442">
        <f>$C442*M441</f>
        <v/>
      </c>
      <c r="N442">
        <f>$C442*N441</f>
        <v/>
      </c>
      <c r="O442">
        <f>$C442*O441</f>
        <v/>
      </c>
      <c r="P442">
        <f>$C442*P441</f>
        <v/>
      </c>
      <c r="Q442">
        <f>$C442*Q441</f>
        <v/>
      </c>
      <c r="R442">
        <f>$C442*R441</f>
        <v/>
      </c>
      <c r="S442">
        <f>$C442*S441</f>
        <v/>
      </c>
      <c r="T442">
        <f>$C442*T441</f>
        <v/>
      </c>
      <c r="U442">
        <f>$C442*U441</f>
        <v/>
      </c>
      <c r="V442">
        <f>$C442*V441</f>
        <v/>
      </c>
      <c r="W442">
        <f>$C442*W441</f>
        <v/>
      </c>
      <c r="X442">
        <f>$C442*X441</f>
        <v/>
      </c>
      <c r="Y442">
        <f>$C442*Y441</f>
        <v/>
      </c>
      <c r="Z442">
        <f>$C442*Z441</f>
        <v/>
      </c>
      <c r="AA442">
        <f>$C442*AA441</f>
        <v/>
      </c>
      <c r="AB442">
        <f>$C442*AB441</f>
        <v/>
      </c>
      <c r="AC442">
        <f>$C442*AC441</f>
        <v/>
      </c>
      <c r="AD442">
        <f>$C442*AD441</f>
        <v/>
      </c>
      <c r="AE442">
        <f>$C442*AE441</f>
        <v/>
      </c>
      <c r="AF442">
        <f>$C442*AF441</f>
        <v/>
      </c>
      <c r="AG442">
        <f>$C442*AG441</f>
        <v/>
      </c>
      <c r="AH442">
        <f>$C442*AH441</f>
        <v/>
      </c>
      <c r="AI442">
        <f>$C442*AI441</f>
        <v/>
      </c>
      <c r="AJ442">
        <f>$C442*AJ441</f>
        <v/>
      </c>
      <c r="AK442">
        <f>$C442*AK441</f>
        <v/>
      </c>
      <c r="AL442">
        <f>$C442*AL441</f>
        <v/>
      </c>
      <c r="AM442">
        <f>$C442*AM441</f>
        <v/>
      </c>
      <c r="AN442">
        <f>$C442*AN441</f>
        <v/>
      </c>
      <c r="AO442">
        <f>$C442*AO441</f>
        <v/>
      </c>
      <c r="AP442">
        <f>$C442*AP441</f>
        <v/>
      </c>
      <c r="AQ442">
        <f>$C442*AQ441</f>
        <v/>
      </c>
      <c r="AR442">
        <f>$C442*AR441</f>
        <v/>
      </c>
      <c r="AS442">
        <f>$C442*AS441</f>
        <v/>
      </c>
      <c r="AT442">
        <f>$C442*AT441</f>
        <v/>
      </c>
      <c r="AU442">
        <f>$C442*AU441</f>
        <v/>
      </c>
      <c r="AV442">
        <f>$C442*AV441</f>
        <v/>
      </c>
      <c r="AW442">
        <f>$C442*AW441</f>
        <v/>
      </c>
      <c r="AX442">
        <f>$C442*AX441</f>
        <v/>
      </c>
      <c r="AY442">
        <f>$C442*AY441</f>
        <v/>
      </c>
      <c r="AZ442">
        <f>$C442*AZ441</f>
        <v/>
      </c>
      <c r="BA442">
        <f>$C442*BA441</f>
        <v/>
      </c>
      <c r="BB442">
        <f>$C442*BB441</f>
        <v/>
      </c>
      <c r="BC442">
        <f>$C442*BC441</f>
        <v/>
      </c>
      <c r="BD442">
        <f>$C442*BD441</f>
        <v/>
      </c>
      <c r="BE442">
        <f>$C442*BE441</f>
        <v/>
      </c>
      <c r="BF442">
        <f>$C442*BF441</f>
        <v/>
      </c>
      <c r="BG442">
        <f>$C442*BG441</f>
        <v/>
      </c>
      <c r="BH442">
        <f>$C442*BH441</f>
        <v/>
      </c>
      <c r="BI442">
        <f>$C442*BI441</f>
        <v/>
      </c>
      <c r="BJ442">
        <f>$C442*BJ441</f>
        <v/>
      </c>
      <c r="BK442">
        <f>$C442*BK441</f>
        <v/>
      </c>
      <c r="BL442">
        <f>$C442*BL441</f>
        <v/>
      </c>
      <c r="BM442">
        <f>$C442*BM441</f>
        <v/>
      </c>
      <c r="BN442">
        <f>$C442*BN441</f>
        <v/>
      </c>
      <c r="BO442">
        <f>$C442*BO441</f>
        <v/>
      </c>
      <c r="BP442">
        <f>$C442*BP441</f>
        <v/>
      </c>
      <c r="BQ442">
        <f>$C442*BQ441</f>
        <v/>
      </c>
      <c r="BR442">
        <f>$C442*BR441</f>
        <v/>
      </c>
      <c r="BS442">
        <f>$C442*BS441</f>
        <v/>
      </c>
      <c r="BT442">
        <f>$C442*BT441</f>
        <v/>
      </c>
      <c r="BU442">
        <f>$C442*BU441</f>
        <v/>
      </c>
      <c r="BV442">
        <f>$C442*BV441</f>
        <v/>
      </c>
      <c r="BW442">
        <f>$C442*BW441</f>
        <v/>
      </c>
      <c r="BX442">
        <f>$C442*BX441</f>
        <v/>
      </c>
      <c r="BY442">
        <f>$C442*BY441</f>
        <v/>
      </c>
      <c r="BZ442">
        <f>$C442*BZ441</f>
        <v/>
      </c>
      <c r="CA442">
        <f>$C442*CA441</f>
        <v/>
      </c>
      <c r="CB442">
        <f>$C442*CB441</f>
        <v/>
      </c>
      <c r="CC442">
        <f>$C442*CC441</f>
        <v/>
      </c>
      <c r="CD442">
        <f>$C442*CD441</f>
        <v/>
      </c>
      <c r="CE442">
        <f>$C442*CE441</f>
        <v/>
      </c>
      <c r="CF442">
        <f>$C442*CF441</f>
        <v/>
      </c>
      <c r="CG442">
        <f>$C442*CG441</f>
        <v/>
      </c>
      <c r="CH442">
        <f>$C442*CH441</f>
        <v/>
      </c>
      <c r="CI442">
        <f>$C442*CI441</f>
        <v/>
      </c>
      <c r="CJ442">
        <f>$C442*CJ441</f>
        <v/>
      </c>
      <c r="CK442">
        <f>$C442*CK441</f>
        <v/>
      </c>
      <c r="CL442">
        <f>$C442*CL441</f>
        <v/>
      </c>
      <c r="CM442">
        <f>$C442*CM441</f>
        <v/>
      </c>
      <c r="CN442">
        <f>$C442*CN441</f>
        <v/>
      </c>
      <c r="CO442">
        <f>$C442*CO441</f>
        <v/>
      </c>
      <c r="CP442">
        <f>$C442*CP441</f>
        <v/>
      </c>
      <c r="CQ442">
        <f>$C442*CQ441</f>
        <v/>
      </c>
      <c r="CR442">
        <f>$C442*CR441</f>
        <v/>
      </c>
      <c r="CS442">
        <f>$C442*CS441</f>
        <v/>
      </c>
      <c r="CT442">
        <f>$C442*CT441</f>
        <v/>
      </c>
      <c r="CU442">
        <f>$C442*CU441</f>
        <v/>
      </c>
      <c r="CV442">
        <f>$C442*CV441</f>
        <v/>
      </c>
      <c r="CW442">
        <f>$C442*CW441</f>
        <v/>
      </c>
      <c r="CX442">
        <f>$C442*CX441</f>
        <v/>
      </c>
      <c r="CY442">
        <f>$C442*CY441</f>
        <v/>
      </c>
      <c r="CZ442">
        <f>$C442*CZ441</f>
        <v/>
      </c>
      <c r="DA442">
        <f>$C442*DA441</f>
        <v/>
      </c>
      <c r="DB442">
        <f>$C442*DB441</f>
        <v/>
      </c>
      <c r="DC442">
        <f>$C442*DC441</f>
        <v/>
      </c>
    </row>
    <row r="443">
      <c r="B443" s="4" t="inlineStr">
        <is>
          <t>合計使用量(kg)/週</t>
        </is>
      </c>
      <c r="D443">
        <f>'Grid_Requirement'!B15</f>
        <v/>
      </c>
      <c r="E443">
        <f>'Grid_Requirement'!C15</f>
        <v/>
      </c>
      <c r="F443">
        <f>'Grid_Requirement'!D15</f>
        <v/>
      </c>
      <c r="G443">
        <f>'Grid_Requirement'!E15</f>
        <v/>
      </c>
      <c r="H443">
        <f>'Grid_Requirement'!F15</f>
        <v/>
      </c>
      <c r="I443">
        <f>'Grid_Requirement'!G15</f>
        <v/>
      </c>
      <c r="J443">
        <f>'Grid_Requirement'!H15</f>
        <v/>
      </c>
      <c r="K443">
        <f>'Grid_Requirement'!I15</f>
        <v/>
      </c>
      <c r="L443">
        <f>'Grid_Requirement'!J15</f>
        <v/>
      </c>
      <c r="M443">
        <f>'Grid_Requirement'!K15</f>
        <v/>
      </c>
      <c r="N443">
        <f>'Grid_Requirement'!L15</f>
        <v/>
      </c>
      <c r="O443">
        <f>'Grid_Requirement'!M15</f>
        <v/>
      </c>
      <c r="P443">
        <f>'Grid_Requirement'!N15</f>
        <v/>
      </c>
      <c r="Q443">
        <f>'Grid_Requirement'!O15</f>
        <v/>
      </c>
      <c r="R443">
        <f>'Grid_Requirement'!P15</f>
        <v/>
      </c>
      <c r="S443">
        <f>'Grid_Requirement'!Q15</f>
        <v/>
      </c>
      <c r="T443">
        <f>'Grid_Requirement'!R15</f>
        <v/>
      </c>
      <c r="U443">
        <f>'Grid_Requirement'!S15</f>
        <v/>
      </c>
      <c r="V443">
        <f>'Grid_Requirement'!T15</f>
        <v/>
      </c>
      <c r="W443">
        <f>'Grid_Requirement'!U15</f>
        <v/>
      </c>
      <c r="X443">
        <f>'Grid_Requirement'!V15</f>
        <v/>
      </c>
      <c r="Y443">
        <f>'Grid_Requirement'!W15</f>
        <v/>
      </c>
      <c r="Z443">
        <f>'Grid_Requirement'!X15</f>
        <v/>
      </c>
      <c r="AA443">
        <f>'Grid_Requirement'!Y15</f>
        <v/>
      </c>
      <c r="AB443">
        <f>'Grid_Requirement'!Z15</f>
        <v/>
      </c>
      <c r="AC443">
        <f>'Grid_Requirement'!AA15</f>
        <v/>
      </c>
      <c r="AD443">
        <f>'Grid_Requirement'!AB15</f>
        <v/>
      </c>
      <c r="AE443">
        <f>'Grid_Requirement'!AC15</f>
        <v/>
      </c>
      <c r="AF443">
        <f>'Grid_Requirement'!AD15</f>
        <v/>
      </c>
      <c r="AG443">
        <f>'Grid_Requirement'!AE15</f>
        <v/>
      </c>
      <c r="AH443">
        <f>'Grid_Requirement'!AF15</f>
        <v/>
      </c>
      <c r="AI443">
        <f>'Grid_Requirement'!AG15</f>
        <v/>
      </c>
      <c r="AJ443">
        <f>'Grid_Requirement'!AH15</f>
        <v/>
      </c>
      <c r="AK443">
        <f>'Grid_Requirement'!AI15</f>
        <v/>
      </c>
      <c r="AL443">
        <f>'Grid_Requirement'!AJ15</f>
        <v/>
      </c>
      <c r="AM443">
        <f>'Grid_Requirement'!AK15</f>
        <v/>
      </c>
      <c r="AN443">
        <f>'Grid_Requirement'!AL15</f>
        <v/>
      </c>
      <c r="AO443">
        <f>'Grid_Requirement'!AM15</f>
        <v/>
      </c>
      <c r="AP443">
        <f>'Grid_Requirement'!AN15</f>
        <v/>
      </c>
      <c r="AQ443">
        <f>'Grid_Requirement'!AO15</f>
        <v/>
      </c>
      <c r="AR443">
        <f>'Grid_Requirement'!AP15</f>
        <v/>
      </c>
      <c r="AS443">
        <f>'Grid_Requirement'!AQ15</f>
        <v/>
      </c>
      <c r="AT443">
        <f>'Grid_Requirement'!AR15</f>
        <v/>
      </c>
      <c r="AU443">
        <f>'Grid_Requirement'!AS15</f>
        <v/>
      </c>
      <c r="AV443">
        <f>'Grid_Requirement'!AT15</f>
        <v/>
      </c>
      <c r="AW443">
        <f>'Grid_Requirement'!AU15</f>
        <v/>
      </c>
      <c r="AX443">
        <f>'Grid_Requirement'!AV15</f>
        <v/>
      </c>
      <c r="AY443">
        <f>'Grid_Requirement'!AW15</f>
        <v/>
      </c>
      <c r="AZ443">
        <f>'Grid_Requirement'!AX15</f>
        <v/>
      </c>
      <c r="BA443">
        <f>'Grid_Requirement'!AY15</f>
        <v/>
      </c>
      <c r="BB443">
        <f>'Grid_Requirement'!AZ15</f>
        <v/>
      </c>
      <c r="BC443">
        <f>'Grid_Requirement'!BA15</f>
        <v/>
      </c>
      <c r="BD443">
        <f>'Grid_Requirement'!BB15</f>
        <v/>
      </c>
      <c r="BE443">
        <f>'Grid_Requirement'!BC15</f>
        <v/>
      </c>
      <c r="BF443">
        <f>'Grid_Requirement'!BD15</f>
        <v/>
      </c>
      <c r="BG443">
        <f>'Grid_Requirement'!BE15</f>
        <v/>
      </c>
      <c r="BH443">
        <f>'Grid_Requirement'!BF15</f>
        <v/>
      </c>
      <c r="BI443">
        <f>'Grid_Requirement'!BG15</f>
        <v/>
      </c>
      <c r="BJ443">
        <f>'Grid_Requirement'!BH15</f>
        <v/>
      </c>
      <c r="BK443">
        <f>'Grid_Requirement'!BI15</f>
        <v/>
      </c>
      <c r="BL443">
        <f>'Grid_Requirement'!BJ15</f>
        <v/>
      </c>
      <c r="BM443">
        <f>'Grid_Requirement'!BK15</f>
        <v/>
      </c>
      <c r="BN443">
        <f>'Grid_Requirement'!BL15</f>
        <v/>
      </c>
      <c r="BO443">
        <f>'Grid_Requirement'!BM15</f>
        <v/>
      </c>
      <c r="BP443">
        <f>'Grid_Requirement'!BN15</f>
        <v/>
      </c>
      <c r="BQ443">
        <f>'Grid_Requirement'!BO15</f>
        <v/>
      </c>
      <c r="BR443">
        <f>'Grid_Requirement'!BP15</f>
        <v/>
      </c>
      <c r="BS443">
        <f>'Grid_Requirement'!BQ15</f>
        <v/>
      </c>
      <c r="BT443">
        <f>'Grid_Requirement'!BR15</f>
        <v/>
      </c>
      <c r="BU443">
        <f>'Grid_Requirement'!BS15</f>
        <v/>
      </c>
      <c r="BV443">
        <f>'Grid_Requirement'!BT15</f>
        <v/>
      </c>
      <c r="BW443">
        <f>'Grid_Requirement'!BU15</f>
        <v/>
      </c>
      <c r="BX443">
        <f>'Grid_Requirement'!BV15</f>
        <v/>
      </c>
      <c r="BY443">
        <f>'Grid_Requirement'!BW15</f>
        <v/>
      </c>
      <c r="BZ443">
        <f>'Grid_Requirement'!BX15</f>
        <v/>
      </c>
      <c r="CA443">
        <f>'Grid_Requirement'!BY15</f>
        <v/>
      </c>
      <c r="CB443">
        <f>'Grid_Requirement'!BZ15</f>
        <v/>
      </c>
      <c r="CC443">
        <f>'Grid_Requirement'!CA15</f>
        <v/>
      </c>
      <c r="CD443">
        <f>'Grid_Requirement'!CB15</f>
        <v/>
      </c>
      <c r="CE443">
        <f>'Grid_Requirement'!CC15</f>
        <v/>
      </c>
      <c r="CF443">
        <f>'Grid_Requirement'!CD15</f>
        <v/>
      </c>
      <c r="CG443">
        <f>'Grid_Requirement'!CE15</f>
        <v/>
      </c>
      <c r="CH443">
        <f>'Grid_Requirement'!CF15</f>
        <v/>
      </c>
      <c r="CI443">
        <f>'Grid_Requirement'!CG15</f>
        <v/>
      </c>
      <c r="CJ443">
        <f>'Grid_Requirement'!CH15</f>
        <v/>
      </c>
      <c r="CK443">
        <f>'Grid_Requirement'!CI15</f>
        <v/>
      </c>
      <c r="CL443">
        <f>'Grid_Requirement'!CJ15</f>
        <v/>
      </c>
      <c r="CM443">
        <f>'Grid_Requirement'!CK15</f>
        <v/>
      </c>
      <c r="CN443">
        <f>'Grid_Requirement'!CL15</f>
        <v/>
      </c>
      <c r="CO443">
        <f>'Grid_Requirement'!CM15</f>
        <v/>
      </c>
      <c r="CP443">
        <f>'Grid_Requirement'!CN15</f>
        <v/>
      </c>
      <c r="CQ443">
        <f>'Grid_Requirement'!CO15</f>
        <v/>
      </c>
      <c r="CR443">
        <f>'Grid_Requirement'!CP15</f>
        <v/>
      </c>
      <c r="CS443">
        <f>'Grid_Requirement'!CQ15</f>
        <v/>
      </c>
      <c r="CT443">
        <f>'Grid_Requirement'!CR15</f>
        <v/>
      </c>
      <c r="CU443">
        <f>'Grid_Requirement'!CS15</f>
        <v/>
      </c>
      <c r="CV443">
        <f>'Grid_Requirement'!CT15</f>
        <v/>
      </c>
      <c r="CW443">
        <f>'Grid_Requirement'!CU15</f>
        <v/>
      </c>
      <c r="CX443">
        <f>'Grid_Requirement'!CV15</f>
        <v/>
      </c>
      <c r="CY443">
        <f>'Grid_Requirement'!CW15</f>
        <v/>
      </c>
      <c r="CZ443">
        <f>'Grid_Requirement'!CX15</f>
        <v/>
      </c>
      <c r="DA443">
        <f>'Grid_Requirement'!CY15</f>
        <v/>
      </c>
      <c r="DB443">
        <f>'Grid_Requirement'!CZ15</f>
        <v/>
      </c>
      <c r="DC443">
        <f>'Grid_Requirement'!DA15</f>
        <v/>
      </c>
    </row>
    <row r="444">
      <c r="B444" t="inlineStr">
        <is>
          <t>TTAF在庫(実績,kg)</t>
        </is>
      </c>
      <c r="D444">
        <f>'T_TTAFStock'!B19</f>
        <v/>
      </c>
      <c r="E444">
        <f>'T_TTAFStock'!C19</f>
        <v/>
      </c>
      <c r="F444">
        <f>'T_TTAFStock'!D19</f>
        <v/>
      </c>
      <c r="G444">
        <f>'T_TTAFStock'!E19</f>
        <v/>
      </c>
      <c r="H444">
        <f>'T_TTAFStock'!F19</f>
        <v/>
      </c>
      <c r="I444">
        <f>'T_TTAFStock'!G19</f>
        <v/>
      </c>
      <c r="J444">
        <f>'T_TTAFStock'!H19</f>
        <v/>
      </c>
      <c r="K444">
        <f>'T_TTAFStock'!I19</f>
        <v/>
      </c>
      <c r="L444">
        <f>'T_TTAFStock'!J19</f>
        <v/>
      </c>
      <c r="M444">
        <f>'T_TTAFStock'!K19</f>
        <v/>
      </c>
      <c r="N444">
        <f>'T_TTAFStock'!L19</f>
        <v/>
      </c>
      <c r="O444">
        <f>'T_TTAFStock'!M19</f>
        <v/>
      </c>
      <c r="P444">
        <f>'T_TTAFStock'!N19</f>
        <v/>
      </c>
      <c r="Q444">
        <f>'T_TTAFStock'!O19</f>
        <v/>
      </c>
      <c r="R444">
        <f>'T_TTAFStock'!P19</f>
        <v/>
      </c>
      <c r="S444">
        <f>'T_TTAFStock'!Q19</f>
        <v/>
      </c>
      <c r="T444">
        <f>'T_TTAFStock'!R19</f>
        <v/>
      </c>
      <c r="U444">
        <f>'T_TTAFStock'!S19</f>
        <v/>
      </c>
      <c r="V444">
        <f>'T_TTAFStock'!T19</f>
        <v/>
      </c>
      <c r="W444">
        <f>'T_TTAFStock'!U19</f>
        <v/>
      </c>
      <c r="X444">
        <f>'T_TTAFStock'!V19</f>
        <v/>
      </c>
      <c r="Y444">
        <f>'T_TTAFStock'!W19</f>
        <v/>
      </c>
      <c r="Z444">
        <f>'T_TTAFStock'!X19</f>
        <v/>
      </c>
      <c r="AA444">
        <f>'T_TTAFStock'!Y19</f>
        <v/>
      </c>
      <c r="AB444">
        <f>'T_TTAFStock'!Z19</f>
        <v/>
      </c>
      <c r="AC444">
        <f>'T_TTAFStock'!AA19</f>
        <v/>
      </c>
      <c r="AD444">
        <f>'T_TTAFStock'!AB19</f>
        <v/>
      </c>
      <c r="AE444">
        <f>'T_TTAFStock'!AC19</f>
        <v/>
      </c>
      <c r="AF444">
        <f>'T_TTAFStock'!AD19</f>
        <v/>
      </c>
      <c r="AG444">
        <f>'T_TTAFStock'!AE19</f>
        <v/>
      </c>
      <c r="AH444">
        <f>'T_TTAFStock'!AF19</f>
        <v/>
      </c>
      <c r="AI444">
        <f>'T_TTAFStock'!AG19</f>
        <v/>
      </c>
      <c r="AJ444">
        <f>'T_TTAFStock'!AH19</f>
        <v/>
      </c>
      <c r="AK444">
        <f>'T_TTAFStock'!AI19</f>
        <v/>
      </c>
      <c r="AL444">
        <f>'T_TTAFStock'!AJ19</f>
        <v/>
      </c>
      <c r="AM444">
        <f>'T_TTAFStock'!AK19</f>
        <v/>
      </c>
      <c r="AN444">
        <f>'T_TTAFStock'!AL19</f>
        <v/>
      </c>
      <c r="AO444">
        <f>'T_TTAFStock'!AM19</f>
        <v/>
      </c>
      <c r="AP444">
        <f>'T_TTAFStock'!AN19</f>
        <v/>
      </c>
      <c r="AQ444">
        <f>'T_TTAFStock'!AO19</f>
        <v/>
      </c>
      <c r="AR444">
        <f>'T_TTAFStock'!AP19</f>
        <v/>
      </c>
      <c r="AS444">
        <f>'T_TTAFStock'!AQ19</f>
        <v/>
      </c>
      <c r="AT444">
        <f>'T_TTAFStock'!AR19</f>
        <v/>
      </c>
      <c r="AU444">
        <f>'T_TTAFStock'!AS19</f>
        <v/>
      </c>
      <c r="AV444">
        <f>'T_TTAFStock'!AT19</f>
        <v/>
      </c>
      <c r="AW444">
        <f>'T_TTAFStock'!AU19</f>
        <v/>
      </c>
      <c r="AX444">
        <f>'T_TTAFStock'!AV19</f>
        <v/>
      </c>
      <c r="AY444">
        <f>'T_TTAFStock'!AW19</f>
        <v/>
      </c>
      <c r="AZ444">
        <f>'T_TTAFStock'!AX19</f>
        <v/>
      </c>
      <c r="BA444">
        <f>'T_TTAFStock'!AY19</f>
        <v/>
      </c>
      <c r="BB444">
        <f>'T_TTAFStock'!AZ19</f>
        <v/>
      </c>
      <c r="BC444">
        <f>'T_TTAFStock'!BA19</f>
        <v/>
      </c>
      <c r="BD444">
        <f>'T_TTAFStock'!BB19</f>
        <v/>
      </c>
      <c r="BE444">
        <f>'T_TTAFStock'!BC19</f>
        <v/>
      </c>
      <c r="BF444">
        <f>'T_TTAFStock'!BD19</f>
        <v/>
      </c>
      <c r="BG444">
        <f>'T_TTAFStock'!BE19</f>
        <v/>
      </c>
      <c r="BH444">
        <f>'T_TTAFStock'!BF19</f>
        <v/>
      </c>
      <c r="BI444">
        <f>'T_TTAFStock'!BG19</f>
        <v/>
      </c>
      <c r="BJ444">
        <f>'T_TTAFStock'!BH19</f>
        <v/>
      </c>
      <c r="BK444">
        <f>'T_TTAFStock'!BI19</f>
        <v/>
      </c>
      <c r="BL444">
        <f>'T_TTAFStock'!BJ19</f>
        <v/>
      </c>
      <c r="BM444">
        <f>'T_TTAFStock'!BK19</f>
        <v/>
      </c>
      <c r="BN444">
        <f>'T_TTAFStock'!BL19</f>
        <v/>
      </c>
      <c r="BO444">
        <f>'T_TTAFStock'!BM19</f>
        <v/>
      </c>
      <c r="BP444">
        <f>'T_TTAFStock'!BN19</f>
        <v/>
      </c>
      <c r="BQ444">
        <f>'T_TTAFStock'!BO19</f>
        <v/>
      </c>
      <c r="BR444">
        <f>'T_TTAFStock'!BP19</f>
        <v/>
      </c>
      <c r="BS444">
        <f>'T_TTAFStock'!BQ19</f>
        <v/>
      </c>
      <c r="BT444">
        <f>'T_TTAFStock'!BR19</f>
        <v/>
      </c>
      <c r="BU444">
        <f>'T_TTAFStock'!BS19</f>
        <v/>
      </c>
      <c r="BV444">
        <f>'T_TTAFStock'!BT19</f>
        <v/>
      </c>
      <c r="BW444">
        <f>'T_TTAFStock'!BU19</f>
        <v/>
      </c>
      <c r="BX444">
        <f>'T_TTAFStock'!BV19</f>
        <v/>
      </c>
      <c r="BY444">
        <f>'T_TTAFStock'!BW19</f>
        <v/>
      </c>
      <c r="BZ444">
        <f>'T_TTAFStock'!BX19</f>
        <v/>
      </c>
      <c r="CA444">
        <f>'T_TTAFStock'!BY19</f>
        <v/>
      </c>
      <c r="CB444">
        <f>'T_TTAFStock'!BZ19</f>
        <v/>
      </c>
      <c r="CC444">
        <f>'T_TTAFStock'!CA19</f>
        <v/>
      </c>
      <c r="CD444">
        <f>'T_TTAFStock'!CB19</f>
        <v/>
      </c>
      <c r="CE444">
        <f>'T_TTAFStock'!CC19</f>
        <v/>
      </c>
      <c r="CF444">
        <f>'T_TTAFStock'!CD19</f>
        <v/>
      </c>
      <c r="CG444">
        <f>'T_TTAFStock'!CE19</f>
        <v/>
      </c>
      <c r="CH444">
        <f>'T_TTAFStock'!CF19</f>
        <v/>
      </c>
      <c r="CI444">
        <f>'T_TTAFStock'!CG19</f>
        <v/>
      </c>
      <c r="CJ444">
        <f>'T_TTAFStock'!CH19</f>
        <v/>
      </c>
      <c r="CK444">
        <f>'T_TTAFStock'!CI19</f>
        <v/>
      </c>
      <c r="CL444">
        <f>'T_TTAFStock'!CJ19</f>
        <v/>
      </c>
      <c r="CM444">
        <f>'T_TTAFStock'!CK19</f>
        <v/>
      </c>
      <c r="CN444">
        <f>'T_TTAFStock'!CL19</f>
        <v/>
      </c>
      <c r="CO444">
        <f>'T_TTAFStock'!CM19</f>
        <v/>
      </c>
      <c r="CP444">
        <f>'T_TTAFStock'!CN19</f>
        <v/>
      </c>
      <c r="CQ444">
        <f>'T_TTAFStock'!CO19</f>
        <v/>
      </c>
      <c r="CR444">
        <f>'T_TTAFStock'!CP19</f>
        <v/>
      </c>
      <c r="CS444">
        <f>'T_TTAFStock'!CQ19</f>
        <v/>
      </c>
      <c r="CT444">
        <f>'T_TTAFStock'!CR19</f>
        <v/>
      </c>
      <c r="CU444">
        <f>'T_TTAFStock'!CS19</f>
        <v/>
      </c>
      <c r="CV444">
        <f>'T_TTAFStock'!CT19</f>
        <v/>
      </c>
      <c r="CW444">
        <f>'T_TTAFStock'!CU19</f>
        <v/>
      </c>
      <c r="CX444">
        <f>'T_TTAFStock'!CV19</f>
        <v/>
      </c>
      <c r="CY444">
        <f>'T_TTAFStock'!CW19</f>
        <v/>
      </c>
      <c r="CZ444">
        <f>'T_TTAFStock'!CX19</f>
        <v/>
      </c>
      <c r="DA444">
        <f>'T_TTAFStock'!CY19</f>
        <v/>
      </c>
      <c r="DB444">
        <f>'T_TTAFStock'!CZ19</f>
        <v/>
      </c>
      <c r="DC444">
        <f>'T_TTAFStock'!DA19</f>
        <v/>
      </c>
    </row>
    <row r="445">
      <c r="B445" t="inlineStr">
        <is>
          <t>自社在庫(実績,kg)</t>
        </is>
      </c>
      <c r="D445">
        <f>'T_SelfStock'!B19</f>
        <v/>
      </c>
      <c r="E445">
        <f>'T_SelfStock'!C19</f>
        <v/>
      </c>
      <c r="F445">
        <f>'T_SelfStock'!D19</f>
        <v/>
      </c>
      <c r="G445">
        <f>'T_SelfStock'!E19</f>
        <v/>
      </c>
      <c r="H445">
        <f>'T_SelfStock'!F19</f>
        <v/>
      </c>
      <c r="I445">
        <f>'T_SelfStock'!G19</f>
        <v/>
      </c>
      <c r="J445">
        <f>'T_SelfStock'!H19</f>
        <v/>
      </c>
      <c r="K445">
        <f>'T_SelfStock'!I19</f>
        <v/>
      </c>
      <c r="L445">
        <f>'T_SelfStock'!J19</f>
        <v/>
      </c>
      <c r="M445">
        <f>'T_SelfStock'!K19</f>
        <v/>
      </c>
      <c r="N445">
        <f>'T_SelfStock'!L19</f>
        <v/>
      </c>
      <c r="O445">
        <f>'T_SelfStock'!M19</f>
        <v/>
      </c>
      <c r="P445">
        <f>'T_SelfStock'!N19</f>
        <v/>
      </c>
      <c r="Q445">
        <f>'T_SelfStock'!O19</f>
        <v/>
      </c>
      <c r="R445">
        <f>'T_SelfStock'!P19</f>
        <v/>
      </c>
      <c r="S445">
        <f>'T_SelfStock'!Q19</f>
        <v/>
      </c>
      <c r="T445">
        <f>'T_SelfStock'!R19</f>
        <v/>
      </c>
      <c r="U445">
        <f>'T_SelfStock'!S19</f>
        <v/>
      </c>
      <c r="V445">
        <f>'T_SelfStock'!T19</f>
        <v/>
      </c>
      <c r="W445">
        <f>'T_SelfStock'!U19</f>
        <v/>
      </c>
      <c r="X445">
        <f>'T_SelfStock'!V19</f>
        <v/>
      </c>
      <c r="Y445">
        <f>'T_SelfStock'!W19</f>
        <v/>
      </c>
      <c r="Z445">
        <f>'T_SelfStock'!X19</f>
        <v/>
      </c>
      <c r="AA445">
        <f>'T_SelfStock'!Y19</f>
        <v/>
      </c>
      <c r="AB445">
        <f>'T_SelfStock'!Z19</f>
        <v/>
      </c>
      <c r="AC445">
        <f>'T_SelfStock'!AA19</f>
        <v/>
      </c>
      <c r="AD445">
        <f>'T_SelfStock'!AB19</f>
        <v/>
      </c>
      <c r="AE445">
        <f>'T_SelfStock'!AC19</f>
        <v/>
      </c>
      <c r="AF445">
        <f>'T_SelfStock'!AD19</f>
        <v/>
      </c>
      <c r="AG445">
        <f>'T_SelfStock'!AE19</f>
        <v/>
      </c>
      <c r="AH445">
        <f>'T_SelfStock'!AF19</f>
        <v/>
      </c>
      <c r="AI445">
        <f>'T_SelfStock'!AG19</f>
        <v/>
      </c>
      <c r="AJ445">
        <f>'T_SelfStock'!AH19</f>
        <v/>
      </c>
      <c r="AK445">
        <f>'T_SelfStock'!AI19</f>
        <v/>
      </c>
      <c r="AL445">
        <f>'T_SelfStock'!AJ19</f>
        <v/>
      </c>
      <c r="AM445">
        <f>'T_SelfStock'!AK19</f>
        <v/>
      </c>
      <c r="AN445">
        <f>'T_SelfStock'!AL19</f>
        <v/>
      </c>
      <c r="AO445">
        <f>'T_SelfStock'!AM19</f>
        <v/>
      </c>
      <c r="AP445">
        <f>'T_SelfStock'!AN19</f>
        <v/>
      </c>
      <c r="AQ445">
        <f>'T_SelfStock'!AO19</f>
        <v/>
      </c>
      <c r="AR445">
        <f>'T_SelfStock'!AP19</f>
        <v/>
      </c>
      <c r="AS445">
        <f>'T_SelfStock'!AQ19</f>
        <v/>
      </c>
      <c r="AT445">
        <f>'T_SelfStock'!AR19</f>
        <v/>
      </c>
      <c r="AU445">
        <f>'T_SelfStock'!AS19</f>
        <v/>
      </c>
      <c r="AV445">
        <f>'T_SelfStock'!AT19</f>
        <v/>
      </c>
      <c r="AW445">
        <f>'T_SelfStock'!AU19</f>
        <v/>
      </c>
      <c r="AX445">
        <f>'T_SelfStock'!AV19</f>
        <v/>
      </c>
      <c r="AY445">
        <f>'T_SelfStock'!AW19</f>
        <v/>
      </c>
      <c r="AZ445">
        <f>'T_SelfStock'!AX19</f>
        <v/>
      </c>
      <c r="BA445">
        <f>'T_SelfStock'!AY19</f>
        <v/>
      </c>
      <c r="BB445">
        <f>'T_SelfStock'!AZ19</f>
        <v/>
      </c>
      <c r="BC445">
        <f>'T_SelfStock'!BA19</f>
        <v/>
      </c>
      <c r="BD445">
        <f>'T_SelfStock'!BB19</f>
        <v/>
      </c>
      <c r="BE445">
        <f>'T_SelfStock'!BC19</f>
        <v/>
      </c>
      <c r="BF445">
        <f>'T_SelfStock'!BD19</f>
        <v/>
      </c>
      <c r="BG445">
        <f>'T_SelfStock'!BE19</f>
        <v/>
      </c>
      <c r="BH445">
        <f>'T_SelfStock'!BF19</f>
        <v/>
      </c>
      <c r="BI445">
        <f>'T_SelfStock'!BG19</f>
        <v/>
      </c>
      <c r="BJ445">
        <f>'T_SelfStock'!BH19</f>
        <v/>
      </c>
      <c r="BK445">
        <f>'T_SelfStock'!BI19</f>
        <v/>
      </c>
      <c r="BL445">
        <f>'T_SelfStock'!BJ19</f>
        <v/>
      </c>
      <c r="BM445">
        <f>'T_SelfStock'!BK19</f>
        <v/>
      </c>
      <c r="BN445">
        <f>'T_SelfStock'!BL19</f>
        <v/>
      </c>
      <c r="BO445">
        <f>'T_SelfStock'!BM19</f>
        <v/>
      </c>
      <c r="BP445">
        <f>'T_SelfStock'!BN19</f>
        <v/>
      </c>
      <c r="BQ445">
        <f>'T_SelfStock'!BO19</f>
        <v/>
      </c>
      <c r="BR445">
        <f>'T_SelfStock'!BP19</f>
        <v/>
      </c>
      <c r="BS445">
        <f>'T_SelfStock'!BQ19</f>
        <v/>
      </c>
      <c r="BT445">
        <f>'T_SelfStock'!BR19</f>
        <v/>
      </c>
      <c r="BU445">
        <f>'T_SelfStock'!BS19</f>
        <v/>
      </c>
      <c r="BV445">
        <f>'T_SelfStock'!BT19</f>
        <v/>
      </c>
      <c r="BW445">
        <f>'T_SelfStock'!BU19</f>
        <v/>
      </c>
      <c r="BX445">
        <f>'T_SelfStock'!BV19</f>
        <v/>
      </c>
      <c r="BY445">
        <f>'T_SelfStock'!BW19</f>
        <v/>
      </c>
      <c r="BZ445">
        <f>'T_SelfStock'!BX19</f>
        <v/>
      </c>
      <c r="CA445">
        <f>'T_SelfStock'!BY19</f>
        <v/>
      </c>
      <c r="CB445">
        <f>'T_SelfStock'!BZ19</f>
        <v/>
      </c>
      <c r="CC445">
        <f>'T_SelfStock'!CA19</f>
        <v/>
      </c>
      <c r="CD445">
        <f>'T_SelfStock'!CB19</f>
        <v/>
      </c>
      <c r="CE445">
        <f>'T_SelfStock'!CC19</f>
        <v/>
      </c>
      <c r="CF445">
        <f>'T_SelfStock'!CD19</f>
        <v/>
      </c>
      <c r="CG445">
        <f>'T_SelfStock'!CE19</f>
        <v/>
      </c>
      <c r="CH445">
        <f>'T_SelfStock'!CF19</f>
        <v/>
      </c>
      <c r="CI445">
        <f>'T_SelfStock'!CG19</f>
        <v/>
      </c>
      <c r="CJ445">
        <f>'T_SelfStock'!CH19</f>
        <v/>
      </c>
      <c r="CK445">
        <f>'T_SelfStock'!CI19</f>
        <v/>
      </c>
      <c r="CL445">
        <f>'T_SelfStock'!CJ19</f>
        <v/>
      </c>
      <c r="CM445">
        <f>'T_SelfStock'!CK19</f>
        <v/>
      </c>
      <c r="CN445">
        <f>'T_SelfStock'!CL19</f>
        <v/>
      </c>
      <c r="CO445">
        <f>'T_SelfStock'!CM19</f>
        <v/>
      </c>
      <c r="CP445">
        <f>'T_SelfStock'!CN19</f>
        <v/>
      </c>
      <c r="CQ445">
        <f>'T_SelfStock'!CO19</f>
        <v/>
      </c>
      <c r="CR445">
        <f>'T_SelfStock'!CP19</f>
        <v/>
      </c>
      <c r="CS445">
        <f>'T_SelfStock'!CQ19</f>
        <v/>
      </c>
      <c r="CT445">
        <f>'T_SelfStock'!CR19</f>
        <v/>
      </c>
      <c r="CU445">
        <f>'T_SelfStock'!CS19</f>
        <v/>
      </c>
      <c r="CV445">
        <f>'T_SelfStock'!CT19</f>
        <v/>
      </c>
      <c r="CW445">
        <f>'T_SelfStock'!CU19</f>
        <v/>
      </c>
      <c r="CX445">
        <f>'T_SelfStock'!CV19</f>
        <v/>
      </c>
      <c r="CY445">
        <f>'T_SelfStock'!CW19</f>
        <v/>
      </c>
      <c r="CZ445">
        <f>'T_SelfStock'!CX19</f>
        <v/>
      </c>
      <c r="DA445">
        <f>'T_SelfStock'!CY19</f>
        <v/>
      </c>
      <c r="DB445">
        <f>'T_SelfStock'!CZ19</f>
        <v/>
      </c>
      <c r="DC445">
        <f>'T_SelfStock'!DA19</f>
        <v/>
      </c>
    </row>
    <row r="446">
      <c r="B446" s="4" t="inlineStr">
        <is>
          <t>合計在庫(週末時点,kg)</t>
        </is>
      </c>
      <c r="D446">
        <f>'Grid_Stock'!B15</f>
        <v/>
      </c>
      <c r="E446">
        <f>'Grid_Stock'!C15</f>
        <v/>
      </c>
      <c r="F446">
        <f>'Grid_Stock'!D15</f>
        <v/>
      </c>
      <c r="G446">
        <f>'Grid_Stock'!E15</f>
        <v/>
      </c>
      <c r="H446">
        <f>'Grid_Stock'!F15</f>
        <v/>
      </c>
      <c r="I446">
        <f>'Grid_Stock'!G15</f>
        <v/>
      </c>
      <c r="J446">
        <f>'Grid_Stock'!H15</f>
        <v/>
      </c>
      <c r="K446">
        <f>'Grid_Stock'!I15</f>
        <v/>
      </c>
      <c r="L446">
        <f>'Grid_Stock'!J15</f>
        <v/>
      </c>
      <c r="M446">
        <f>'Grid_Stock'!K15</f>
        <v/>
      </c>
      <c r="N446">
        <f>'Grid_Stock'!L15</f>
        <v/>
      </c>
      <c r="O446">
        <f>'Grid_Stock'!M15</f>
        <v/>
      </c>
      <c r="P446">
        <f>'Grid_Stock'!N15</f>
        <v/>
      </c>
      <c r="Q446">
        <f>'Grid_Stock'!O15</f>
        <v/>
      </c>
      <c r="R446">
        <f>'Grid_Stock'!P15</f>
        <v/>
      </c>
      <c r="S446">
        <f>'Grid_Stock'!Q15</f>
        <v/>
      </c>
      <c r="T446">
        <f>'Grid_Stock'!R15</f>
        <v/>
      </c>
      <c r="U446">
        <f>'Grid_Stock'!S15</f>
        <v/>
      </c>
      <c r="V446">
        <f>'Grid_Stock'!T15</f>
        <v/>
      </c>
      <c r="W446">
        <f>'Grid_Stock'!U15</f>
        <v/>
      </c>
      <c r="X446">
        <f>'Grid_Stock'!V15</f>
        <v/>
      </c>
      <c r="Y446">
        <f>'Grid_Stock'!W15</f>
        <v/>
      </c>
      <c r="Z446">
        <f>'Grid_Stock'!X15</f>
        <v/>
      </c>
      <c r="AA446">
        <f>'Grid_Stock'!Y15</f>
        <v/>
      </c>
      <c r="AB446">
        <f>'Grid_Stock'!Z15</f>
        <v/>
      </c>
      <c r="AC446">
        <f>'Grid_Stock'!AA15</f>
        <v/>
      </c>
      <c r="AD446">
        <f>'Grid_Stock'!AB15</f>
        <v/>
      </c>
      <c r="AE446">
        <f>'Grid_Stock'!AC15</f>
        <v/>
      </c>
      <c r="AF446">
        <f>'Grid_Stock'!AD15</f>
        <v/>
      </c>
      <c r="AG446">
        <f>'Grid_Stock'!AE15</f>
        <v/>
      </c>
      <c r="AH446">
        <f>'Grid_Stock'!AF15</f>
        <v/>
      </c>
      <c r="AI446">
        <f>'Grid_Stock'!AG15</f>
        <v/>
      </c>
      <c r="AJ446">
        <f>'Grid_Stock'!AH15</f>
        <v/>
      </c>
      <c r="AK446">
        <f>'Grid_Stock'!AI15</f>
        <v/>
      </c>
      <c r="AL446">
        <f>'Grid_Stock'!AJ15</f>
        <v/>
      </c>
      <c r="AM446">
        <f>'Grid_Stock'!AK15</f>
        <v/>
      </c>
      <c r="AN446">
        <f>'Grid_Stock'!AL15</f>
        <v/>
      </c>
      <c r="AO446">
        <f>'Grid_Stock'!AM15</f>
        <v/>
      </c>
      <c r="AP446">
        <f>'Grid_Stock'!AN15</f>
        <v/>
      </c>
      <c r="AQ446">
        <f>'Grid_Stock'!AO15</f>
        <v/>
      </c>
      <c r="AR446">
        <f>'Grid_Stock'!AP15</f>
        <v/>
      </c>
      <c r="AS446">
        <f>'Grid_Stock'!AQ15</f>
        <v/>
      </c>
      <c r="AT446">
        <f>'Grid_Stock'!AR15</f>
        <v/>
      </c>
      <c r="AU446">
        <f>'Grid_Stock'!AS15</f>
        <v/>
      </c>
      <c r="AV446">
        <f>'Grid_Stock'!AT15</f>
        <v/>
      </c>
      <c r="AW446">
        <f>'Grid_Stock'!AU15</f>
        <v/>
      </c>
      <c r="AX446">
        <f>'Grid_Stock'!AV15</f>
        <v/>
      </c>
      <c r="AY446">
        <f>'Grid_Stock'!AW15</f>
        <v/>
      </c>
      <c r="AZ446">
        <f>'Grid_Stock'!AX15</f>
        <v/>
      </c>
      <c r="BA446">
        <f>'Grid_Stock'!AY15</f>
        <v/>
      </c>
      <c r="BB446">
        <f>'Grid_Stock'!AZ15</f>
        <v/>
      </c>
      <c r="BC446">
        <f>'Grid_Stock'!BA15</f>
        <v/>
      </c>
      <c r="BD446">
        <f>'Grid_Stock'!BB15</f>
        <v/>
      </c>
      <c r="BE446">
        <f>'Grid_Stock'!BC15</f>
        <v/>
      </c>
      <c r="BF446">
        <f>'Grid_Stock'!BD15</f>
        <v/>
      </c>
      <c r="BG446">
        <f>'Grid_Stock'!BE15</f>
        <v/>
      </c>
      <c r="BH446">
        <f>'Grid_Stock'!BF15</f>
        <v/>
      </c>
      <c r="BI446">
        <f>'Grid_Stock'!BG15</f>
        <v/>
      </c>
      <c r="BJ446">
        <f>'Grid_Stock'!BH15</f>
        <v/>
      </c>
      <c r="BK446">
        <f>'Grid_Stock'!BI15</f>
        <v/>
      </c>
      <c r="BL446">
        <f>'Grid_Stock'!BJ15</f>
        <v/>
      </c>
      <c r="BM446">
        <f>'Grid_Stock'!BK15</f>
        <v/>
      </c>
      <c r="BN446">
        <f>'Grid_Stock'!BL15</f>
        <v/>
      </c>
      <c r="BO446">
        <f>'Grid_Stock'!BM15</f>
        <v/>
      </c>
      <c r="BP446">
        <f>'Grid_Stock'!BN15</f>
        <v/>
      </c>
      <c r="BQ446">
        <f>'Grid_Stock'!BO15</f>
        <v/>
      </c>
      <c r="BR446">
        <f>'Grid_Stock'!BP15</f>
        <v/>
      </c>
      <c r="BS446">
        <f>'Grid_Stock'!BQ15</f>
        <v/>
      </c>
      <c r="BT446">
        <f>'Grid_Stock'!BR15</f>
        <v/>
      </c>
      <c r="BU446">
        <f>'Grid_Stock'!BS15</f>
        <v/>
      </c>
      <c r="BV446">
        <f>'Grid_Stock'!BT15</f>
        <v/>
      </c>
      <c r="BW446">
        <f>'Grid_Stock'!BU15</f>
        <v/>
      </c>
      <c r="BX446">
        <f>'Grid_Stock'!BV15</f>
        <v/>
      </c>
      <c r="BY446">
        <f>'Grid_Stock'!BW15</f>
        <v/>
      </c>
      <c r="BZ446">
        <f>'Grid_Stock'!BX15</f>
        <v/>
      </c>
      <c r="CA446">
        <f>'Grid_Stock'!BY15</f>
        <v/>
      </c>
      <c r="CB446">
        <f>'Grid_Stock'!BZ15</f>
        <v/>
      </c>
      <c r="CC446">
        <f>'Grid_Stock'!CA15</f>
        <v/>
      </c>
      <c r="CD446">
        <f>'Grid_Stock'!CB15</f>
        <v/>
      </c>
      <c r="CE446">
        <f>'Grid_Stock'!CC15</f>
        <v/>
      </c>
      <c r="CF446">
        <f>'Grid_Stock'!CD15</f>
        <v/>
      </c>
      <c r="CG446">
        <f>'Grid_Stock'!CE15</f>
        <v/>
      </c>
      <c r="CH446">
        <f>'Grid_Stock'!CF15</f>
        <v/>
      </c>
      <c r="CI446">
        <f>'Grid_Stock'!CG15</f>
        <v/>
      </c>
      <c r="CJ446">
        <f>'Grid_Stock'!CH15</f>
        <v/>
      </c>
      <c r="CK446">
        <f>'Grid_Stock'!CI15</f>
        <v/>
      </c>
      <c r="CL446">
        <f>'Grid_Stock'!CJ15</f>
        <v/>
      </c>
      <c r="CM446">
        <f>'Grid_Stock'!CK15</f>
        <v/>
      </c>
      <c r="CN446">
        <f>'Grid_Stock'!CL15</f>
        <v/>
      </c>
      <c r="CO446">
        <f>'Grid_Stock'!CM15</f>
        <v/>
      </c>
      <c r="CP446">
        <f>'Grid_Stock'!CN15</f>
        <v/>
      </c>
      <c r="CQ446">
        <f>'Grid_Stock'!CO15</f>
        <v/>
      </c>
      <c r="CR446">
        <f>'Grid_Stock'!CP15</f>
        <v/>
      </c>
      <c r="CS446">
        <f>'Grid_Stock'!CQ15</f>
        <v/>
      </c>
      <c r="CT446">
        <f>'Grid_Stock'!CR15</f>
        <v/>
      </c>
      <c r="CU446">
        <f>'Grid_Stock'!CS15</f>
        <v/>
      </c>
      <c r="CV446">
        <f>'Grid_Stock'!CT15</f>
        <v/>
      </c>
      <c r="CW446">
        <f>'Grid_Stock'!CU15</f>
        <v/>
      </c>
      <c r="CX446">
        <f>'Grid_Stock'!CV15</f>
        <v/>
      </c>
      <c r="CY446">
        <f>'Grid_Stock'!CW15</f>
        <v/>
      </c>
      <c r="CZ446">
        <f>'Grid_Stock'!CX15</f>
        <v/>
      </c>
      <c r="DA446">
        <f>'Grid_Stock'!CY15</f>
        <v/>
      </c>
      <c r="DB446">
        <f>'Grid_Stock'!CZ15</f>
        <v/>
      </c>
      <c r="DC446">
        <f>'Grid_Stock'!DA15</f>
        <v/>
      </c>
    </row>
    <row r="447">
      <c r="B447" s="16" t="inlineStr">
        <is>
          <t>（発注の目安はDashboardの基準在庫[下限/上限]と色分けを参照）</t>
        </is>
      </c>
    </row>
    <row r="449">
      <c r="A449" s="14" t="inlineStr">
        <is>
          <t>CHEM-1430</t>
        </is>
      </c>
      <c r="B449" s="14" t="inlineStr">
        <is>
          <t>RCT22</t>
        </is>
      </c>
      <c r="C449" s="15" t="n"/>
      <c r="D449" s="14" t="n"/>
      <c r="E449" s="14" t="n"/>
      <c r="F449" s="14" t="n"/>
      <c r="G449" s="14" t="n"/>
      <c r="H449" s="14" t="n"/>
      <c r="I449" s="14" t="n"/>
      <c r="J449" s="14" t="n"/>
      <c r="K449" s="14" t="n"/>
      <c r="L449" s="14" t="n"/>
      <c r="M449" s="14" t="n"/>
      <c r="N449" s="14" t="n"/>
      <c r="O449" s="14" t="n"/>
      <c r="P449" s="14" t="n"/>
      <c r="Q449" s="14" t="n"/>
      <c r="R449" s="14" t="n"/>
      <c r="S449" s="14" t="n"/>
      <c r="T449" s="14" t="n"/>
      <c r="U449" s="14" t="n"/>
      <c r="V449" s="14" t="n"/>
      <c r="W449" s="14" t="n"/>
      <c r="X449" s="14" t="n"/>
      <c r="Y449" s="14" t="n"/>
      <c r="Z449" s="14" t="n"/>
      <c r="AA449" s="14" t="n"/>
      <c r="AB449" s="14" t="n"/>
      <c r="AC449" s="14" t="n"/>
      <c r="AD449" s="14" t="n"/>
      <c r="AE449" s="14" t="n"/>
      <c r="AF449" s="14" t="n"/>
      <c r="AG449" s="14" t="n"/>
      <c r="AH449" s="14" t="n"/>
      <c r="AI449" s="14" t="n"/>
      <c r="AJ449" s="14" t="n"/>
      <c r="AK449" s="14" t="n"/>
      <c r="AL449" s="14" t="n"/>
      <c r="AM449" s="14" t="n"/>
      <c r="AN449" s="14" t="n"/>
      <c r="AO449" s="14" t="n"/>
      <c r="AP449" s="14" t="n"/>
      <c r="AQ449" s="14" t="n"/>
      <c r="AR449" s="14" t="n"/>
      <c r="AS449" s="14" t="n"/>
      <c r="AT449" s="14" t="n"/>
      <c r="AU449" s="14" t="n"/>
      <c r="AV449" s="14" t="n"/>
      <c r="AW449" s="14" t="n"/>
      <c r="AX449" s="14" t="n"/>
      <c r="AY449" s="14" t="n"/>
      <c r="AZ449" s="14" t="n"/>
      <c r="BA449" s="14" t="n"/>
      <c r="BB449" s="14" t="n"/>
      <c r="BC449" s="14" t="n"/>
      <c r="BD449" s="14" t="n"/>
      <c r="BE449" s="14" t="n"/>
      <c r="BF449" s="14" t="n"/>
      <c r="BG449" s="14" t="n"/>
      <c r="BH449" s="14" t="n"/>
      <c r="BI449" s="14" t="n"/>
      <c r="BJ449" s="14" t="n"/>
      <c r="BK449" s="14" t="n"/>
      <c r="BL449" s="14" t="n"/>
      <c r="BM449" s="14" t="n"/>
      <c r="BN449" s="14" t="n"/>
      <c r="BO449" s="14" t="n"/>
      <c r="BP449" s="14" t="n"/>
      <c r="BQ449" s="14" t="n"/>
      <c r="BR449" s="14" t="n"/>
      <c r="BS449" s="14" t="n"/>
      <c r="BT449" s="14" t="n"/>
      <c r="BU449" s="14" t="n"/>
      <c r="BV449" s="14" t="n"/>
      <c r="BW449" s="14" t="n"/>
      <c r="BX449" s="14" t="n"/>
      <c r="BY449" s="14" t="n"/>
      <c r="BZ449" s="14" t="n"/>
      <c r="CA449" s="14" t="n"/>
      <c r="CB449" s="14" t="n"/>
      <c r="CC449" s="14" t="n"/>
      <c r="CD449" s="14" t="n"/>
      <c r="CE449" s="14" t="n"/>
      <c r="CF449" s="14" t="n"/>
      <c r="CG449" s="14" t="n"/>
      <c r="CH449" s="14" t="n"/>
      <c r="CI449" s="14" t="n"/>
      <c r="CJ449" s="14" t="n"/>
      <c r="CK449" s="14" t="n"/>
      <c r="CL449" s="14" t="n"/>
      <c r="CM449" s="14" t="n"/>
      <c r="CN449" s="14" t="n"/>
      <c r="CO449" s="14" t="n"/>
      <c r="CP449" s="14" t="n"/>
      <c r="CQ449" s="14" t="n"/>
      <c r="CR449" s="14" t="n"/>
      <c r="CS449" s="14" t="n"/>
      <c r="CT449" s="14" t="n"/>
      <c r="CU449" s="14" t="n"/>
      <c r="CV449" s="14" t="n"/>
      <c r="CW449" s="14" t="n"/>
      <c r="CX449" s="14" t="n"/>
      <c r="CY449" s="14" t="n"/>
      <c r="CZ449" s="14" t="n"/>
      <c r="DA449" s="14" t="n"/>
      <c r="DB449" s="14" t="n"/>
      <c r="DC449" s="14" t="n"/>
    </row>
    <row r="450">
      <c r="B450" t="inlineStr">
        <is>
          <t>TSP-050</t>
        </is>
      </c>
      <c r="C450" t="inlineStr">
        <is>
          <t>No. of batches</t>
        </is>
      </c>
      <c r="D450">
        <f>IFERROR(INDEX(PP_Grid[#Data],$DD450,2),0)</f>
        <v/>
      </c>
      <c r="E450">
        <f>IFERROR(INDEX(PP_Grid[#Data],$DD450,3),0)</f>
        <v/>
      </c>
      <c r="F450">
        <f>IFERROR(INDEX(PP_Grid[#Data],$DD450,4),0)</f>
        <v/>
      </c>
      <c r="G450">
        <f>IFERROR(INDEX(PP_Grid[#Data],$DD450,5),0)</f>
        <v/>
      </c>
      <c r="H450">
        <f>IFERROR(INDEX(PP_Grid[#Data],$DD450,6),0)</f>
        <v/>
      </c>
      <c r="I450">
        <f>IFERROR(INDEX(PP_Grid[#Data],$DD450,7),0)</f>
        <v/>
      </c>
      <c r="J450">
        <f>IFERROR(INDEX(PP_Grid[#Data],$DD450,8),0)</f>
        <v/>
      </c>
      <c r="K450">
        <f>IFERROR(INDEX(PP_Grid[#Data],$DD450,9),0)</f>
        <v/>
      </c>
      <c r="L450">
        <f>IFERROR(INDEX(PP_Grid[#Data],$DD450,10),0)</f>
        <v/>
      </c>
      <c r="M450">
        <f>IFERROR(INDEX(PP_Grid[#Data],$DD450,11),0)</f>
        <v/>
      </c>
      <c r="N450">
        <f>IFERROR(INDEX(PP_Grid[#Data],$DD450,12),0)</f>
        <v/>
      </c>
      <c r="O450">
        <f>IFERROR(INDEX(PP_Grid[#Data],$DD450,13),0)</f>
        <v/>
      </c>
      <c r="P450">
        <f>IFERROR(INDEX(PP_Grid[#Data],$DD450,14),0)</f>
        <v/>
      </c>
      <c r="Q450">
        <f>IFERROR(INDEX(PP_Grid[#Data],$DD450,15),0)</f>
        <v/>
      </c>
      <c r="R450">
        <f>IFERROR(INDEX(PP_Grid[#Data],$DD450,16),0)</f>
        <v/>
      </c>
      <c r="S450">
        <f>IFERROR(INDEX(PP_Grid[#Data],$DD450,17),0)</f>
        <v/>
      </c>
      <c r="T450">
        <f>IFERROR(INDEX(PP_Grid[#Data],$DD450,18),0)</f>
        <v/>
      </c>
      <c r="U450">
        <f>IFERROR(INDEX(PP_Grid[#Data],$DD450,19),0)</f>
        <v/>
      </c>
      <c r="V450">
        <f>IFERROR(INDEX(PP_Grid[#Data],$DD450,20),0)</f>
        <v/>
      </c>
      <c r="W450">
        <f>IFERROR(INDEX(PP_Grid[#Data],$DD450,21),0)</f>
        <v/>
      </c>
      <c r="X450">
        <f>IFERROR(INDEX(PP_Grid[#Data],$DD450,22),0)</f>
        <v/>
      </c>
      <c r="Y450">
        <f>IFERROR(INDEX(PP_Grid[#Data],$DD450,23),0)</f>
        <v/>
      </c>
      <c r="Z450">
        <f>IFERROR(INDEX(PP_Grid[#Data],$DD450,24),0)</f>
        <v/>
      </c>
      <c r="AA450">
        <f>IFERROR(INDEX(PP_Grid[#Data],$DD450,25),0)</f>
        <v/>
      </c>
      <c r="AB450">
        <f>IFERROR(INDEX(PP_Grid[#Data],$DD450,26),0)</f>
        <v/>
      </c>
      <c r="AC450">
        <f>IFERROR(INDEX(PP_Grid[#Data],$DD450,27),0)</f>
        <v/>
      </c>
      <c r="AD450">
        <f>IFERROR(INDEX(PP_Grid[#Data],$DD450,28),0)</f>
        <v/>
      </c>
      <c r="AE450">
        <f>IFERROR(INDEX(PP_Grid[#Data],$DD450,29),0)</f>
        <v/>
      </c>
      <c r="AF450">
        <f>IFERROR(INDEX(PP_Grid[#Data],$DD450,30),0)</f>
        <v/>
      </c>
      <c r="AG450">
        <f>IFERROR(INDEX(PP_Grid[#Data],$DD450,31),0)</f>
        <v/>
      </c>
      <c r="AH450">
        <f>IFERROR(INDEX(PP_Grid[#Data],$DD450,32),0)</f>
        <v/>
      </c>
      <c r="AI450">
        <f>IFERROR(INDEX(PP_Grid[#Data],$DD450,33),0)</f>
        <v/>
      </c>
      <c r="AJ450">
        <f>IFERROR(INDEX(PP_Grid[#Data],$DD450,34),0)</f>
        <v/>
      </c>
      <c r="AK450">
        <f>IFERROR(INDEX(PP_Grid[#Data],$DD450,35),0)</f>
        <v/>
      </c>
      <c r="AL450">
        <f>IFERROR(INDEX(PP_Grid[#Data],$DD450,36),0)</f>
        <v/>
      </c>
      <c r="AM450">
        <f>IFERROR(INDEX(PP_Grid[#Data],$DD450,37),0)</f>
        <v/>
      </c>
      <c r="AN450">
        <f>IFERROR(INDEX(PP_Grid[#Data],$DD450,38),0)</f>
        <v/>
      </c>
      <c r="AO450">
        <f>IFERROR(INDEX(PP_Grid[#Data],$DD450,39),0)</f>
        <v/>
      </c>
      <c r="AP450">
        <f>IFERROR(INDEX(PP_Grid[#Data],$DD450,40),0)</f>
        <v/>
      </c>
      <c r="AQ450">
        <f>IFERROR(INDEX(PP_Grid[#Data],$DD450,41),0)</f>
        <v/>
      </c>
      <c r="AR450">
        <f>IFERROR(INDEX(PP_Grid[#Data],$DD450,42),0)</f>
        <v/>
      </c>
      <c r="AS450">
        <f>IFERROR(INDEX(PP_Grid[#Data],$DD450,43),0)</f>
        <v/>
      </c>
      <c r="AT450">
        <f>IFERROR(INDEX(PP_Grid[#Data],$DD450,44),0)</f>
        <v/>
      </c>
      <c r="AU450">
        <f>IFERROR(INDEX(PP_Grid[#Data],$DD450,45),0)</f>
        <v/>
      </c>
      <c r="AV450">
        <f>IFERROR(INDEX(PP_Grid[#Data],$DD450,46),0)</f>
        <v/>
      </c>
      <c r="AW450">
        <f>IFERROR(INDEX(PP_Grid[#Data],$DD450,47),0)</f>
        <v/>
      </c>
      <c r="AX450">
        <f>IFERROR(INDEX(PP_Grid[#Data],$DD450,48),0)</f>
        <v/>
      </c>
      <c r="AY450">
        <f>IFERROR(INDEX(PP_Grid[#Data],$DD450,49),0)</f>
        <v/>
      </c>
      <c r="AZ450">
        <f>IFERROR(INDEX(PP_Grid[#Data],$DD450,50),0)</f>
        <v/>
      </c>
      <c r="BA450">
        <f>IFERROR(INDEX(PP_Grid[#Data],$DD450,51),0)</f>
        <v/>
      </c>
      <c r="BB450">
        <f>IFERROR(INDEX(PP_Grid[#Data],$DD450,52),0)</f>
        <v/>
      </c>
      <c r="BC450">
        <f>IFERROR(INDEX(PP_Grid[#Data],$DD450,53),0)</f>
        <v/>
      </c>
      <c r="BD450">
        <f>IFERROR(INDEX(PP_Grid[#Data],$DD450,54),0)</f>
        <v/>
      </c>
      <c r="BE450">
        <f>IFERROR(INDEX(PP_Grid[#Data],$DD450,55),0)</f>
        <v/>
      </c>
      <c r="BF450">
        <f>IFERROR(INDEX(PP_Grid[#Data],$DD450,56),0)</f>
        <v/>
      </c>
      <c r="BG450">
        <f>IFERROR(INDEX(PP_Grid[#Data],$DD450,57),0)</f>
        <v/>
      </c>
      <c r="BH450">
        <f>IFERROR(INDEX(PP_Grid[#Data],$DD450,58),0)</f>
        <v/>
      </c>
      <c r="BI450">
        <f>IFERROR(INDEX(PP_Grid[#Data],$DD450,59),0)</f>
        <v/>
      </c>
      <c r="BJ450">
        <f>IFERROR(INDEX(PP_Grid[#Data],$DD450,60),0)</f>
        <v/>
      </c>
      <c r="BK450">
        <f>IFERROR(INDEX(PP_Grid[#Data],$DD450,61),0)</f>
        <v/>
      </c>
      <c r="BL450">
        <f>IFERROR(INDEX(PP_Grid[#Data],$DD450,62),0)</f>
        <v/>
      </c>
      <c r="BM450">
        <f>IFERROR(INDEX(PP_Grid[#Data],$DD450,63),0)</f>
        <v/>
      </c>
      <c r="BN450">
        <f>IFERROR(INDEX(PP_Grid[#Data],$DD450,64),0)</f>
        <v/>
      </c>
      <c r="BO450">
        <f>IFERROR(INDEX(PP_Grid[#Data],$DD450,65),0)</f>
        <v/>
      </c>
      <c r="BP450">
        <f>IFERROR(INDEX(PP_Grid[#Data],$DD450,66),0)</f>
        <v/>
      </c>
      <c r="BQ450">
        <f>IFERROR(INDEX(PP_Grid[#Data],$DD450,67),0)</f>
        <v/>
      </c>
      <c r="BR450">
        <f>IFERROR(INDEX(PP_Grid[#Data],$DD450,68),0)</f>
        <v/>
      </c>
      <c r="BS450">
        <f>IFERROR(INDEX(PP_Grid[#Data],$DD450,69),0)</f>
        <v/>
      </c>
      <c r="BT450">
        <f>IFERROR(INDEX(PP_Grid[#Data],$DD450,70),0)</f>
        <v/>
      </c>
      <c r="BU450">
        <f>IFERROR(INDEX(PP_Grid[#Data],$DD450,71),0)</f>
        <v/>
      </c>
      <c r="BV450">
        <f>IFERROR(INDEX(PP_Grid[#Data],$DD450,72),0)</f>
        <v/>
      </c>
      <c r="BW450">
        <f>IFERROR(INDEX(PP_Grid[#Data],$DD450,73),0)</f>
        <v/>
      </c>
      <c r="BX450">
        <f>IFERROR(INDEX(PP_Grid[#Data],$DD450,74),0)</f>
        <v/>
      </c>
      <c r="BY450">
        <f>IFERROR(INDEX(PP_Grid[#Data],$DD450,75),0)</f>
        <v/>
      </c>
      <c r="BZ450">
        <f>IFERROR(INDEX(PP_Grid[#Data],$DD450,76),0)</f>
        <v/>
      </c>
      <c r="CA450">
        <f>IFERROR(INDEX(PP_Grid[#Data],$DD450,77),0)</f>
        <v/>
      </c>
      <c r="CB450">
        <f>IFERROR(INDEX(PP_Grid[#Data],$DD450,78),0)</f>
        <v/>
      </c>
      <c r="CC450">
        <f>IFERROR(INDEX(PP_Grid[#Data],$DD450,79),0)</f>
        <v/>
      </c>
      <c r="CD450">
        <f>IFERROR(INDEX(PP_Grid[#Data],$DD450,80),0)</f>
        <v/>
      </c>
      <c r="CE450">
        <f>IFERROR(INDEX(PP_Grid[#Data],$DD450,81),0)</f>
        <v/>
      </c>
      <c r="CF450">
        <f>IFERROR(INDEX(PP_Grid[#Data],$DD450,82),0)</f>
        <v/>
      </c>
      <c r="CG450">
        <f>IFERROR(INDEX(PP_Grid[#Data],$DD450,83),0)</f>
        <v/>
      </c>
      <c r="CH450">
        <f>IFERROR(INDEX(PP_Grid[#Data],$DD450,84),0)</f>
        <v/>
      </c>
      <c r="CI450">
        <f>IFERROR(INDEX(PP_Grid[#Data],$DD450,85),0)</f>
        <v/>
      </c>
      <c r="CJ450">
        <f>IFERROR(INDEX(PP_Grid[#Data],$DD450,86),0)</f>
        <v/>
      </c>
      <c r="CK450">
        <f>IFERROR(INDEX(PP_Grid[#Data],$DD450,87),0)</f>
        <v/>
      </c>
      <c r="CL450">
        <f>IFERROR(INDEX(PP_Grid[#Data],$DD450,88),0)</f>
        <v/>
      </c>
      <c r="CM450">
        <f>IFERROR(INDEX(PP_Grid[#Data],$DD450,89),0)</f>
        <v/>
      </c>
      <c r="CN450">
        <f>IFERROR(INDEX(PP_Grid[#Data],$DD450,90),0)</f>
        <v/>
      </c>
      <c r="CO450">
        <f>IFERROR(INDEX(PP_Grid[#Data],$DD450,91),0)</f>
        <v/>
      </c>
      <c r="CP450">
        <f>IFERROR(INDEX(PP_Grid[#Data],$DD450,92),0)</f>
        <v/>
      </c>
      <c r="CQ450">
        <f>IFERROR(INDEX(PP_Grid[#Data],$DD450,93),0)</f>
        <v/>
      </c>
      <c r="CR450">
        <f>IFERROR(INDEX(PP_Grid[#Data],$DD450,94),0)</f>
        <v/>
      </c>
      <c r="CS450">
        <f>IFERROR(INDEX(PP_Grid[#Data],$DD450,95),0)</f>
        <v/>
      </c>
      <c r="CT450">
        <f>IFERROR(INDEX(PP_Grid[#Data],$DD450,96),0)</f>
        <v/>
      </c>
      <c r="CU450">
        <f>IFERROR(INDEX(PP_Grid[#Data],$DD450,97),0)</f>
        <v/>
      </c>
      <c r="CV450">
        <f>IFERROR(INDEX(PP_Grid[#Data],$DD450,98),0)</f>
        <v/>
      </c>
      <c r="CW450">
        <f>IFERROR(INDEX(PP_Grid[#Data],$DD450,99),0)</f>
        <v/>
      </c>
      <c r="CX450">
        <f>IFERROR(INDEX(PP_Grid[#Data],$DD450,100),0)</f>
        <v/>
      </c>
      <c r="CY450">
        <f>IFERROR(INDEX(PP_Grid[#Data],$DD450,101),0)</f>
        <v/>
      </c>
      <c r="CZ450">
        <f>IFERROR(INDEX(PP_Grid[#Data],$DD450,102),0)</f>
        <v/>
      </c>
      <c r="DA450">
        <f>IFERROR(INDEX(PP_Grid[#Data],$DD450,103),0)</f>
        <v/>
      </c>
      <c r="DB450">
        <f>IFERROR(INDEX(PP_Grid[#Data],$DD450,104),0)</f>
        <v/>
      </c>
      <c r="DC450">
        <f>IFERROR(INDEX(PP_Grid[#Data],$DD450,105),0)</f>
        <v/>
      </c>
      <c r="DD450" s="7">
        <f>IFERROR(MATCH($B450,PP_Grid[Intermediate],0),99999)</f>
        <v/>
      </c>
    </row>
    <row r="451">
      <c r="B451" t="inlineStr">
        <is>
          <t>使用量(kg)</t>
        </is>
      </c>
      <c r="C451">
        <f>SUMIFS(M_BOM[RM_Qty_Per_Batch],M_BOM[Intermediate],$B450,M_BOM[Part Name],$A449)</f>
        <v/>
      </c>
      <c r="D451">
        <f>$C451*D450</f>
        <v/>
      </c>
      <c r="E451">
        <f>$C451*E450</f>
        <v/>
      </c>
      <c r="F451">
        <f>$C451*F450</f>
        <v/>
      </c>
      <c r="G451">
        <f>$C451*G450</f>
        <v/>
      </c>
      <c r="H451">
        <f>$C451*H450</f>
        <v/>
      </c>
      <c r="I451">
        <f>$C451*I450</f>
        <v/>
      </c>
      <c r="J451">
        <f>$C451*J450</f>
        <v/>
      </c>
      <c r="K451">
        <f>$C451*K450</f>
        <v/>
      </c>
      <c r="L451">
        <f>$C451*L450</f>
        <v/>
      </c>
      <c r="M451">
        <f>$C451*M450</f>
        <v/>
      </c>
      <c r="N451">
        <f>$C451*N450</f>
        <v/>
      </c>
      <c r="O451">
        <f>$C451*O450</f>
        <v/>
      </c>
      <c r="P451">
        <f>$C451*P450</f>
        <v/>
      </c>
      <c r="Q451">
        <f>$C451*Q450</f>
        <v/>
      </c>
      <c r="R451">
        <f>$C451*R450</f>
        <v/>
      </c>
      <c r="S451">
        <f>$C451*S450</f>
        <v/>
      </c>
      <c r="T451">
        <f>$C451*T450</f>
        <v/>
      </c>
      <c r="U451">
        <f>$C451*U450</f>
        <v/>
      </c>
      <c r="V451">
        <f>$C451*V450</f>
        <v/>
      </c>
      <c r="W451">
        <f>$C451*W450</f>
        <v/>
      </c>
      <c r="X451">
        <f>$C451*X450</f>
        <v/>
      </c>
      <c r="Y451">
        <f>$C451*Y450</f>
        <v/>
      </c>
      <c r="Z451">
        <f>$C451*Z450</f>
        <v/>
      </c>
      <c r="AA451">
        <f>$C451*AA450</f>
        <v/>
      </c>
      <c r="AB451">
        <f>$C451*AB450</f>
        <v/>
      </c>
      <c r="AC451">
        <f>$C451*AC450</f>
        <v/>
      </c>
      <c r="AD451">
        <f>$C451*AD450</f>
        <v/>
      </c>
      <c r="AE451">
        <f>$C451*AE450</f>
        <v/>
      </c>
      <c r="AF451">
        <f>$C451*AF450</f>
        <v/>
      </c>
      <c r="AG451">
        <f>$C451*AG450</f>
        <v/>
      </c>
      <c r="AH451">
        <f>$C451*AH450</f>
        <v/>
      </c>
      <c r="AI451">
        <f>$C451*AI450</f>
        <v/>
      </c>
      <c r="AJ451">
        <f>$C451*AJ450</f>
        <v/>
      </c>
      <c r="AK451">
        <f>$C451*AK450</f>
        <v/>
      </c>
      <c r="AL451">
        <f>$C451*AL450</f>
        <v/>
      </c>
      <c r="AM451">
        <f>$C451*AM450</f>
        <v/>
      </c>
      <c r="AN451">
        <f>$C451*AN450</f>
        <v/>
      </c>
      <c r="AO451">
        <f>$C451*AO450</f>
        <v/>
      </c>
      <c r="AP451">
        <f>$C451*AP450</f>
        <v/>
      </c>
      <c r="AQ451">
        <f>$C451*AQ450</f>
        <v/>
      </c>
      <c r="AR451">
        <f>$C451*AR450</f>
        <v/>
      </c>
      <c r="AS451">
        <f>$C451*AS450</f>
        <v/>
      </c>
      <c r="AT451">
        <f>$C451*AT450</f>
        <v/>
      </c>
      <c r="AU451">
        <f>$C451*AU450</f>
        <v/>
      </c>
      <c r="AV451">
        <f>$C451*AV450</f>
        <v/>
      </c>
      <c r="AW451">
        <f>$C451*AW450</f>
        <v/>
      </c>
      <c r="AX451">
        <f>$C451*AX450</f>
        <v/>
      </c>
      <c r="AY451">
        <f>$C451*AY450</f>
        <v/>
      </c>
      <c r="AZ451">
        <f>$C451*AZ450</f>
        <v/>
      </c>
      <c r="BA451">
        <f>$C451*BA450</f>
        <v/>
      </c>
      <c r="BB451">
        <f>$C451*BB450</f>
        <v/>
      </c>
      <c r="BC451">
        <f>$C451*BC450</f>
        <v/>
      </c>
      <c r="BD451">
        <f>$C451*BD450</f>
        <v/>
      </c>
      <c r="BE451">
        <f>$C451*BE450</f>
        <v/>
      </c>
      <c r="BF451">
        <f>$C451*BF450</f>
        <v/>
      </c>
      <c r="BG451">
        <f>$C451*BG450</f>
        <v/>
      </c>
      <c r="BH451">
        <f>$C451*BH450</f>
        <v/>
      </c>
      <c r="BI451">
        <f>$C451*BI450</f>
        <v/>
      </c>
      <c r="BJ451">
        <f>$C451*BJ450</f>
        <v/>
      </c>
      <c r="BK451">
        <f>$C451*BK450</f>
        <v/>
      </c>
      <c r="BL451">
        <f>$C451*BL450</f>
        <v/>
      </c>
      <c r="BM451">
        <f>$C451*BM450</f>
        <v/>
      </c>
      <c r="BN451">
        <f>$C451*BN450</f>
        <v/>
      </c>
      <c r="BO451">
        <f>$C451*BO450</f>
        <v/>
      </c>
      <c r="BP451">
        <f>$C451*BP450</f>
        <v/>
      </c>
      <c r="BQ451">
        <f>$C451*BQ450</f>
        <v/>
      </c>
      <c r="BR451">
        <f>$C451*BR450</f>
        <v/>
      </c>
      <c r="BS451">
        <f>$C451*BS450</f>
        <v/>
      </c>
      <c r="BT451">
        <f>$C451*BT450</f>
        <v/>
      </c>
      <c r="BU451">
        <f>$C451*BU450</f>
        <v/>
      </c>
      <c r="BV451">
        <f>$C451*BV450</f>
        <v/>
      </c>
      <c r="BW451">
        <f>$C451*BW450</f>
        <v/>
      </c>
      <c r="BX451">
        <f>$C451*BX450</f>
        <v/>
      </c>
      <c r="BY451">
        <f>$C451*BY450</f>
        <v/>
      </c>
      <c r="BZ451">
        <f>$C451*BZ450</f>
        <v/>
      </c>
      <c r="CA451">
        <f>$C451*CA450</f>
        <v/>
      </c>
      <c r="CB451">
        <f>$C451*CB450</f>
        <v/>
      </c>
      <c r="CC451">
        <f>$C451*CC450</f>
        <v/>
      </c>
      <c r="CD451">
        <f>$C451*CD450</f>
        <v/>
      </c>
      <c r="CE451">
        <f>$C451*CE450</f>
        <v/>
      </c>
      <c r="CF451">
        <f>$C451*CF450</f>
        <v/>
      </c>
      <c r="CG451">
        <f>$C451*CG450</f>
        <v/>
      </c>
      <c r="CH451">
        <f>$C451*CH450</f>
        <v/>
      </c>
      <c r="CI451">
        <f>$C451*CI450</f>
        <v/>
      </c>
      <c r="CJ451">
        <f>$C451*CJ450</f>
        <v/>
      </c>
      <c r="CK451">
        <f>$C451*CK450</f>
        <v/>
      </c>
      <c r="CL451">
        <f>$C451*CL450</f>
        <v/>
      </c>
      <c r="CM451">
        <f>$C451*CM450</f>
        <v/>
      </c>
      <c r="CN451">
        <f>$C451*CN450</f>
        <v/>
      </c>
      <c r="CO451">
        <f>$C451*CO450</f>
        <v/>
      </c>
      <c r="CP451">
        <f>$C451*CP450</f>
        <v/>
      </c>
      <c r="CQ451">
        <f>$C451*CQ450</f>
        <v/>
      </c>
      <c r="CR451">
        <f>$C451*CR450</f>
        <v/>
      </c>
      <c r="CS451">
        <f>$C451*CS450</f>
        <v/>
      </c>
      <c r="CT451">
        <f>$C451*CT450</f>
        <v/>
      </c>
      <c r="CU451">
        <f>$C451*CU450</f>
        <v/>
      </c>
      <c r="CV451">
        <f>$C451*CV450</f>
        <v/>
      </c>
      <c r="CW451">
        <f>$C451*CW450</f>
        <v/>
      </c>
      <c r="CX451">
        <f>$C451*CX450</f>
        <v/>
      </c>
      <c r="CY451">
        <f>$C451*CY450</f>
        <v/>
      </c>
      <c r="CZ451">
        <f>$C451*CZ450</f>
        <v/>
      </c>
      <c r="DA451">
        <f>$C451*DA450</f>
        <v/>
      </c>
      <c r="DB451">
        <f>$C451*DB450</f>
        <v/>
      </c>
      <c r="DC451">
        <f>$C451*DC450</f>
        <v/>
      </c>
    </row>
    <row r="452">
      <c r="B452" t="inlineStr">
        <is>
          <t>TSP-078</t>
        </is>
      </c>
      <c r="C452" t="inlineStr">
        <is>
          <t>No. of batches</t>
        </is>
      </c>
      <c r="D452">
        <f>IFERROR(INDEX(PP_Grid[#Data],$DD452,2),0)</f>
        <v/>
      </c>
      <c r="E452">
        <f>IFERROR(INDEX(PP_Grid[#Data],$DD452,3),0)</f>
        <v/>
      </c>
      <c r="F452">
        <f>IFERROR(INDEX(PP_Grid[#Data],$DD452,4),0)</f>
        <v/>
      </c>
      <c r="G452">
        <f>IFERROR(INDEX(PP_Grid[#Data],$DD452,5),0)</f>
        <v/>
      </c>
      <c r="H452">
        <f>IFERROR(INDEX(PP_Grid[#Data],$DD452,6),0)</f>
        <v/>
      </c>
      <c r="I452">
        <f>IFERROR(INDEX(PP_Grid[#Data],$DD452,7),0)</f>
        <v/>
      </c>
      <c r="J452">
        <f>IFERROR(INDEX(PP_Grid[#Data],$DD452,8),0)</f>
        <v/>
      </c>
      <c r="K452">
        <f>IFERROR(INDEX(PP_Grid[#Data],$DD452,9),0)</f>
        <v/>
      </c>
      <c r="L452">
        <f>IFERROR(INDEX(PP_Grid[#Data],$DD452,10),0)</f>
        <v/>
      </c>
      <c r="M452">
        <f>IFERROR(INDEX(PP_Grid[#Data],$DD452,11),0)</f>
        <v/>
      </c>
      <c r="N452">
        <f>IFERROR(INDEX(PP_Grid[#Data],$DD452,12),0)</f>
        <v/>
      </c>
      <c r="O452">
        <f>IFERROR(INDEX(PP_Grid[#Data],$DD452,13),0)</f>
        <v/>
      </c>
      <c r="P452">
        <f>IFERROR(INDEX(PP_Grid[#Data],$DD452,14),0)</f>
        <v/>
      </c>
      <c r="Q452">
        <f>IFERROR(INDEX(PP_Grid[#Data],$DD452,15),0)</f>
        <v/>
      </c>
      <c r="R452">
        <f>IFERROR(INDEX(PP_Grid[#Data],$DD452,16),0)</f>
        <v/>
      </c>
      <c r="S452">
        <f>IFERROR(INDEX(PP_Grid[#Data],$DD452,17),0)</f>
        <v/>
      </c>
      <c r="T452">
        <f>IFERROR(INDEX(PP_Grid[#Data],$DD452,18),0)</f>
        <v/>
      </c>
      <c r="U452">
        <f>IFERROR(INDEX(PP_Grid[#Data],$DD452,19),0)</f>
        <v/>
      </c>
      <c r="V452">
        <f>IFERROR(INDEX(PP_Grid[#Data],$DD452,20),0)</f>
        <v/>
      </c>
      <c r="W452">
        <f>IFERROR(INDEX(PP_Grid[#Data],$DD452,21),0)</f>
        <v/>
      </c>
      <c r="X452">
        <f>IFERROR(INDEX(PP_Grid[#Data],$DD452,22),0)</f>
        <v/>
      </c>
      <c r="Y452">
        <f>IFERROR(INDEX(PP_Grid[#Data],$DD452,23),0)</f>
        <v/>
      </c>
      <c r="Z452">
        <f>IFERROR(INDEX(PP_Grid[#Data],$DD452,24),0)</f>
        <v/>
      </c>
      <c r="AA452">
        <f>IFERROR(INDEX(PP_Grid[#Data],$DD452,25),0)</f>
        <v/>
      </c>
      <c r="AB452">
        <f>IFERROR(INDEX(PP_Grid[#Data],$DD452,26),0)</f>
        <v/>
      </c>
      <c r="AC452">
        <f>IFERROR(INDEX(PP_Grid[#Data],$DD452,27),0)</f>
        <v/>
      </c>
      <c r="AD452">
        <f>IFERROR(INDEX(PP_Grid[#Data],$DD452,28),0)</f>
        <v/>
      </c>
      <c r="AE452">
        <f>IFERROR(INDEX(PP_Grid[#Data],$DD452,29),0)</f>
        <v/>
      </c>
      <c r="AF452">
        <f>IFERROR(INDEX(PP_Grid[#Data],$DD452,30),0)</f>
        <v/>
      </c>
      <c r="AG452">
        <f>IFERROR(INDEX(PP_Grid[#Data],$DD452,31),0)</f>
        <v/>
      </c>
      <c r="AH452">
        <f>IFERROR(INDEX(PP_Grid[#Data],$DD452,32),0)</f>
        <v/>
      </c>
      <c r="AI452">
        <f>IFERROR(INDEX(PP_Grid[#Data],$DD452,33),0)</f>
        <v/>
      </c>
      <c r="AJ452">
        <f>IFERROR(INDEX(PP_Grid[#Data],$DD452,34),0)</f>
        <v/>
      </c>
      <c r="AK452">
        <f>IFERROR(INDEX(PP_Grid[#Data],$DD452,35),0)</f>
        <v/>
      </c>
      <c r="AL452">
        <f>IFERROR(INDEX(PP_Grid[#Data],$DD452,36),0)</f>
        <v/>
      </c>
      <c r="AM452">
        <f>IFERROR(INDEX(PP_Grid[#Data],$DD452,37),0)</f>
        <v/>
      </c>
      <c r="AN452">
        <f>IFERROR(INDEX(PP_Grid[#Data],$DD452,38),0)</f>
        <v/>
      </c>
      <c r="AO452">
        <f>IFERROR(INDEX(PP_Grid[#Data],$DD452,39),0)</f>
        <v/>
      </c>
      <c r="AP452">
        <f>IFERROR(INDEX(PP_Grid[#Data],$DD452,40),0)</f>
        <v/>
      </c>
      <c r="AQ452">
        <f>IFERROR(INDEX(PP_Grid[#Data],$DD452,41),0)</f>
        <v/>
      </c>
      <c r="AR452">
        <f>IFERROR(INDEX(PP_Grid[#Data],$DD452,42),0)</f>
        <v/>
      </c>
      <c r="AS452">
        <f>IFERROR(INDEX(PP_Grid[#Data],$DD452,43),0)</f>
        <v/>
      </c>
      <c r="AT452">
        <f>IFERROR(INDEX(PP_Grid[#Data],$DD452,44),0)</f>
        <v/>
      </c>
      <c r="AU452">
        <f>IFERROR(INDEX(PP_Grid[#Data],$DD452,45),0)</f>
        <v/>
      </c>
      <c r="AV452">
        <f>IFERROR(INDEX(PP_Grid[#Data],$DD452,46),0)</f>
        <v/>
      </c>
      <c r="AW452">
        <f>IFERROR(INDEX(PP_Grid[#Data],$DD452,47),0)</f>
        <v/>
      </c>
      <c r="AX452">
        <f>IFERROR(INDEX(PP_Grid[#Data],$DD452,48),0)</f>
        <v/>
      </c>
      <c r="AY452">
        <f>IFERROR(INDEX(PP_Grid[#Data],$DD452,49),0)</f>
        <v/>
      </c>
      <c r="AZ452">
        <f>IFERROR(INDEX(PP_Grid[#Data],$DD452,50),0)</f>
        <v/>
      </c>
      <c r="BA452">
        <f>IFERROR(INDEX(PP_Grid[#Data],$DD452,51),0)</f>
        <v/>
      </c>
      <c r="BB452">
        <f>IFERROR(INDEX(PP_Grid[#Data],$DD452,52),0)</f>
        <v/>
      </c>
      <c r="BC452">
        <f>IFERROR(INDEX(PP_Grid[#Data],$DD452,53),0)</f>
        <v/>
      </c>
      <c r="BD452">
        <f>IFERROR(INDEX(PP_Grid[#Data],$DD452,54),0)</f>
        <v/>
      </c>
      <c r="BE452">
        <f>IFERROR(INDEX(PP_Grid[#Data],$DD452,55),0)</f>
        <v/>
      </c>
      <c r="BF452">
        <f>IFERROR(INDEX(PP_Grid[#Data],$DD452,56),0)</f>
        <v/>
      </c>
      <c r="BG452">
        <f>IFERROR(INDEX(PP_Grid[#Data],$DD452,57),0)</f>
        <v/>
      </c>
      <c r="BH452">
        <f>IFERROR(INDEX(PP_Grid[#Data],$DD452,58),0)</f>
        <v/>
      </c>
      <c r="BI452">
        <f>IFERROR(INDEX(PP_Grid[#Data],$DD452,59),0)</f>
        <v/>
      </c>
      <c r="BJ452">
        <f>IFERROR(INDEX(PP_Grid[#Data],$DD452,60),0)</f>
        <v/>
      </c>
      <c r="BK452">
        <f>IFERROR(INDEX(PP_Grid[#Data],$DD452,61),0)</f>
        <v/>
      </c>
      <c r="BL452">
        <f>IFERROR(INDEX(PP_Grid[#Data],$DD452,62),0)</f>
        <v/>
      </c>
      <c r="BM452">
        <f>IFERROR(INDEX(PP_Grid[#Data],$DD452,63),0)</f>
        <v/>
      </c>
      <c r="BN452">
        <f>IFERROR(INDEX(PP_Grid[#Data],$DD452,64),0)</f>
        <v/>
      </c>
      <c r="BO452">
        <f>IFERROR(INDEX(PP_Grid[#Data],$DD452,65),0)</f>
        <v/>
      </c>
      <c r="BP452">
        <f>IFERROR(INDEX(PP_Grid[#Data],$DD452,66),0)</f>
        <v/>
      </c>
      <c r="BQ452">
        <f>IFERROR(INDEX(PP_Grid[#Data],$DD452,67),0)</f>
        <v/>
      </c>
      <c r="BR452">
        <f>IFERROR(INDEX(PP_Grid[#Data],$DD452,68),0)</f>
        <v/>
      </c>
      <c r="BS452">
        <f>IFERROR(INDEX(PP_Grid[#Data],$DD452,69),0)</f>
        <v/>
      </c>
      <c r="BT452">
        <f>IFERROR(INDEX(PP_Grid[#Data],$DD452,70),0)</f>
        <v/>
      </c>
      <c r="BU452">
        <f>IFERROR(INDEX(PP_Grid[#Data],$DD452,71),0)</f>
        <v/>
      </c>
      <c r="BV452">
        <f>IFERROR(INDEX(PP_Grid[#Data],$DD452,72),0)</f>
        <v/>
      </c>
      <c r="BW452">
        <f>IFERROR(INDEX(PP_Grid[#Data],$DD452,73),0)</f>
        <v/>
      </c>
      <c r="BX452">
        <f>IFERROR(INDEX(PP_Grid[#Data],$DD452,74),0)</f>
        <v/>
      </c>
      <c r="BY452">
        <f>IFERROR(INDEX(PP_Grid[#Data],$DD452,75),0)</f>
        <v/>
      </c>
      <c r="BZ452">
        <f>IFERROR(INDEX(PP_Grid[#Data],$DD452,76),0)</f>
        <v/>
      </c>
      <c r="CA452">
        <f>IFERROR(INDEX(PP_Grid[#Data],$DD452,77),0)</f>
        <v/>
      </c>
      <c r="CB452">
        <f>IFERROR(INDEX(PP_Grid[#Data],$DD452,78),0)</f>
        <v/>
      </c>
      <c r="CC452">
        <f>IFERROR(INDEX(PP_Grid[#Data],$DD452,79),0)</f>
        <v/>
      </c>
      <c r="CD452">
        <f>IFERROR(INDEX(PP_Grid[#Data],$DD452,80),0)</f>
        <v/>
      </c>
      <c r="CE452">
        <f>IFERROR(INDEX(PP_Grid[#Data],$DD452,81),0)</f>
        <v/>
      </c>
      <c r="CF452">
        <f>IFERROR(INDEX(PP_Grid[#Data],$DD452,82),0)</f>
        <v/>
      </c>
      <c r="CG452">
        <f>IFERROR(INDEX(PP_Grid[#Data],$DD452,83),0)</f>
        <v/>
      </c>
      <c r="CH452">
        <f>IFERROR(INDEX(PP_Grid[#Data],$DD452,84),0)</f>
        <v/>
      </c>
      <c r="CI452">
        <f>IFERROR(INDEX(PP_Grid[#Data],$DD452,85),0)</f>
        <v/>
      </c>
      <c r="CJ452">
        <f>IFERROR(INDEX(PP_Grid[#Data],$DD452,86),0)</f>
        <v/>
      </c>
      <c r="CK452">
        <f>IFERROR(INDEX(PP_Grid[#Data],$DD452,87),0)</f>
        <v/>
      </c>
      <c r="CL452">
        <f>IFERROR(INDEX(PP_Grid[#Data],$DD452,88),0)</f>
        <v/>
      </c>
      <c r="CM452">
        <f>IFERROR(INDEX(PP_Grid[#Data],$DD452,89),0)</f>
        <v/>
      </c>
      <c r="CN452">
        <f>IFERROR(INDEX(PP_Grid[#Data],$DD452,90),0)</f>
        <v/>
      </c>
      <c r="CO452">
        <f>IFERROR(INDEX(PP_Grid[#Data],$DD452,91),0)</f>
        <v/>
      </c>
      <c r="CP452">
        <f>IFERROR(INDEX(PP_Grid[#Data],$DD452,92),0)</f>
        <v/>
      </c>
      <c r="CQ452">
        <f>IFERROR(INDEX(PP_Grid[#Data],$DD452,93),0)</f>
        <v/>
      </c>
      <c r="CR452">
        <f>IFERROR(INDEX(PP_Grid[#Data],$DD452,94),0)</f>
        <v/>
      </c>
      <c r="CS452">
        <f>IFERROR(INDEX(PP_Grid[#Data],$DD452,95),0)</f>
        <v/>
      </c>
      <c r="CT452">
        <f>IFERROR(INDEX(PP_Grid[#Data],$DD452,96),0)</f>
        <v/>
      </c>
      <c r="CU452">
        <f>IFERROR(INDEX(PP_Grid[#Data],$DD452,97),0)</f>
        <v/>
      </c>
      <c r="CV452">
        <f>IFERROR(INDEX(PP_Grid[#Data],$DD452,98),0)</f>
        <v/>
      </c>
      <c r="CW452">
        <f>IFERROR(INDEX(PP_Grid[#Data],$DD452,99),0)</f>
        <v/>
      </c>
      <c r="CX452">
        <f>IFERROR(INDEX(PP_Grid[#Data],$DD452,100),0)</f>
        <v/>
      </c>
      <c r="CY452">
        <f>IFERROR(INDEX(PP_Grid[#Data],$DD452,101),0)</f>
        <v/>
      </c>
      <c r="CZ452">
        <f>IFERROR(INDEX(PP_Grid[#Data],$DD452,102),0)</f>
        <v/>
      </c>
      <c r="DA452">
        <f>IFERROR(INDEX(PP_Grid[#Data],$DD452,103),0)</f>
        <v/>
      </c>
      <c r="DB452">
        <f>IFERROR(INDEX(PP_Grid[#Data],$DD452,104),0)</f>
        <v/>
      </c>
      <c r="DC452">
        <f>IFERROR(INDEX(PP_Grid[#Data],$DD452,105),0)</f>
        <v/>
      </c>
      <c r="DD452" s="7">
        <f>IFERROR(MATCH($B452,PP_Grid[Intermediate],0),99999)</f>
        <v/>
      </c>
    </row>
    <row r="453">
      <c r="B453" t="inlineStr">
        <is>
          <t>使用量(kg)</t>
        </is>
      </c>
      <c r="C453">
        <f>SUMIFS(M_BOM[RM_Qty_Per_Batch],M_BOM[Intermediate],$B452,M_BOM[Part Name],$A449)</f>
        <v/>
      </c>
      <c r="D453">
        <f>$C453*D452</f>
        <v/>
      </c>
      <c r="E453">
        <f>$C453*E452</f>
        <v/>
      </c>
      <c r="F453">
        <f>$C453*F452</f>
        <v/>
      </c>
      <c r="G453">
        <f>$C453*G452</f>
        <v/>
      </c>
      <c r="H453">
        <f>$C453*H452</f>
        <v/>
      </c>
      <c r="I453">
        <f>$C453*I452</f>
        <v/>
      </c>
      <c r="J453">
        <f>$C453*J452</f>
        <v/>
      </c>
      <c r="K453">
        <f>$C453*K452</f>
        <v/>
      </c>
      <c r="L453">
        <f>$C453*L452</f>
        <v/>
      </c>
      <c r="M453">
        <f>$C453*M452</f>
        <v/>
      </c>
      <c r="N453">
        <f>$C453*N452</f>
        <v/>
      </c>
      <c r="O453">
        <f>$C453*O452</f>
        <v/>
      </c>
      <c r="P453">
        <f>$C453*P452</f>
        <v/>
      </c>
      <c r="Q453">
        <f>$C453*Q452</f>
        <v/>
      </c>
      <c r="R453">
        <f>$C453*R452</f>
        <v/>
      </c>
      <c r="S453">
        <f>$C453*S452</f>
        <v/>
      </c>
      <c r="T453">
        <f>$C453*T452</f>
        <v/>
      </c>
      <c r="U453">
        <f>$C453*U452</f>
        <v/>
      </c>
      <c r="V453">
        <f>$C453*V452</f>
        <v/>
      </c>
      <c r="W453">
        <f>$C453*W452</f>
        <v/>
      </c>
      <c r="X453">
        <f>$C453*X452</f>
        <v/>
      </c>
      <c r="Y453">
        <f>$C453*Y452</f>
        <v/>
      </c>
      <c r="Z453">
        <f>$C453*Z452</f>
        <v/>
      </c>
      <c r="AA453">
        <f>$C453*AA452</f>
        <v/>
      </c>
      <c r="AB453">
        <f>$C453*AB452</f>
        <v/>
      </c>
      <c r="AC453">
        <f>$C453*AC452</f>
        <v/>
      </c>
      <c r="AD453">
        <f>$C453*AD452</f>
        <v/>
      </c>
      <c r="AE453">
        <f>$C453*AE452</f>
        <v/>
      </c>
      <c r="AF453">
        <f>$C453*AF452</f>
        <v/>
      </c>
      <c r="AG453">
        <f>$C453*AG452</f>
        <v/>
      </c>
      <c r="AH453">
        <f>$C453*AH452</f>
        <v/>
      </c>
      <c r="AI453">
        <f>$C453*AI452</f>
        <v/>
      </c>
      <c r="AJ453">
        <f>$C453*AJ452</f>
        <v/>
      </c>
      <c r="AK453">
        <f>$C453*AK452</f>
        <v/>
      </c>
      <c r="AL453">
        <f>$C453*AL452</f>
        <v/>
      </c>
      <c r="AM453">
        <f>$C453*AM452</f>
        <v/>
      </c>
      <c r="AN453">
        <f>$C453*AN452</f>
        <v/>
      </c>
      <c r="AO453">
        <f>$C453*AO452</f>
        <v/>
      </c>
      <c r="AP453">
        <f>$C453*AP452</f>
        <v/>
      </c>
      <c r="AQ453">
        <f>$C453*AQ452</f>
        <v/>
      </c>
      <c r="AR453">
        <f>$C453*AR452</f>
        <v/>
      </c>
      <c r="AS453">
        <f>$C453*AS452</f>
        <v/>
      </c>
      <c r="AT453">
        <f>$C453*AT452</f>
        <v/>
      </c>
      <c r="AU453">
        <f>$C453*AU452</f>
        <v/>
      </c>
      <c r="AV453">
        <f>$C453*AV452</f>
        <v/>
      </c>
      <c r="AW453">
        <f>$C453*AW452</f>
        <v/>
      </c>
      <c r="AX453">
        <f>$C453*AX452</f>
        <v/>
      </c>
      <c r="AY453">
        <f>$C453*AY452</f>
        <v/>
      </c>
      <c r="AZ453">
        <f>$C453*AZ452</f>
        <v/>
      </c>
      <c r="BA453">
        <f>$C453*BA452</f>
        <v/>
      </c>
      <c r="BB453">
        <f>$C453*BB452</f>
        <v/>
      </c>
      <c r="BC453">
        <f>$C453*BC452</f>
        <v/>
      </c>
      <c r="BD453">
        <f>$C453*BD452</f>
        <v/>
      </c>
      <c r="BE453">
        <f>$C453*BE452</f>
        <v/>
      </c>
      <c r="BF453">
        <f>$C453*BF452</f>
        <v/>
      </c>
      <c r="BG453">
        <f>$C453*BG452</f>
        <v/>
      </c>
      <c r="BH453">
        <f>$C453*BH452</f>
        <v/>
      </c>
      <c r="BI453">
        <f>$C453*BI452</f>
        <v/>
      </c>
      <c r="BJ453">
        <f>$C453*BJ452</f>
        <v/>
      </c>
      <c r="BK453">
        <f>$C453*BK452</f>
        <v/>
      </c>
      <c r="BL453">
        <f>$C453*BL452</f>
        <v/>
      </c>
      <c r="BM453">
        <f>$C453*BM452</f>
        <v/>
      </c>
      <c r="BN453">
        <f>$C453*BN452</f>
        <v/>
      </c>
      <c r="BO453">
        <f>$C453*BO452</f>
        <v/>
      </c>
      <c r="BP453">
        <f>$C453*BP452</f>
        <v/>
      </c>
      <c r="BQ453">
        <f>$C453*BQ452</f>
        <v/>
      </c>
      <c r="BR453">
        <f>$C453*BR452</f>
        <v/>
      </c>
      <c r="BS453">
        <f>$C453*BS452</f>
        <v/>
      </c>
      <c r="BT453">
        <f>$C453*BT452</f>
        <v/>
      </c>
      <c r="BU453">
        <f>$C453*BU452</f>
        <v/>
      </c>
      <c r="BV453">
        <f>$C453*BV452</f>
        <v/>
      </c>
      <c r="BW453">
        <f>$C453*BW452</f>
        <v/>
      </c>
      <c r="BX453">
        <f>$C453*BX452</f>
        <v/>
      </c>
      <c r="BY453">
        <f>$C453*BY452</f>
        <v/>
      </c>
      <c r="BZ453">
        <f>$C453*BZ452</f>
        <v/>
      </c>
      <c r="CA453">
        <f>$C453*CA452</f>
        <v/>
      </c>
      <c r="CB453">
        <f>$C453*CB452</f>
        <v/>
      </c>
      <c r="CC453">
        <f>$C453*CC452</f>
        <v/>
      </c>
      <c r="CD453">
        <f>$C453*CD452</f>
        <v/>
      </c>
      <c r="CE453">
        <f>$C453*CE452</f>
        <v/>
      </c>
      <c r="CF453">
        <f>$C453*CF452</f>
        <v/>
      </c>
      <c r="CG453">
        <f>$C453*CG452</f>
        <v/>
      </c>
      <c r="CH453">
        <f>$C453*CH452</f>
        <v/>
      </c>
      <c r="CI453">
        <f>$C453*CI452</f>
        <v/>
      </c>
      <c r="CJ453">
        <f>$C453*CJ452</f>
        <v/>
      </c>
      <c r="CK453">
        <f>$C453*CK452</f>
        <v/>
      </c>
      <c r="CL453">
        <f>$C453*CL452</f>
        <v/>
      </c>
      <c r="CM453">
        <f>$C453*CM452</f>
        <v/>
      </c>
      <c r="CN453">
        <f>$C453*CN452</f>
        <v/>
      </c>
      <c r="CO453">
        <f>$C453*CO452</f>
        <v/>
      </c>
      <c r="CP453">
        <f>$C453*CP452</f>
        <v/>
      </c>
      <c r="CQ453">
        <f>$C453*CQ452</f>
        <v/>
      </c>
      <c r="CR453">
        <f>$C453*CR452</f>
        <v/>
      </c>
      <c r="CS453">
        <f>$C453*CS452</f>
        <v/>
      </c>
      <c r="CT453">
        <f>$C453*CT452</f>
        <v/>
      </c>
      <c r="CU453">
        <f>$C453*CU452</f>
        <v/>
      </c>
      <c r="CV453">
        <f>$C453*CV452</f>
        <v/>
      </c>
      <c r="CW453">
        <f>$C453*CW452</f>
        <v/>
      </c>
      <c r="CX453">
        <f>$C453*CX452</f>
        <v/>
      </c>
      <c r="CY453">
        <f>$C453*CY452</f>
        <v/>
      </c>
      <c r="CZ453">
        <f>$C453*CZ452</f>
        <v/>
      </c>
      <c r="DA453">
        <f>$C453*DA452</f>
        <v/>
      </c>
      <c r="DB453">
        <f>$C453*DB452</f>
        <v/>
      </c>
      <c r="DC453">
        <f>$C453*DC452</f>
        <v/>
      </c>
    </row>
    <row r="454">
      <c r="B454" t="inlineStr">
        <is>
          <t>TSP-080</t>
        </is>
      </c>
      <c r="C454" t="inlineStr">
        <is>
          <t>No. of batches</t>
        </is>
      </c>
      <c r="D454">
        <f>IFERROR(INDEX(PP_Grid[#Data],$DD454,2),0)</f>
        <v/>
      </c>
      <c r="E454">
        <f>IFERROR(INDEX(PP_Grid[#Data],$DD454,3),0)</f>
        <v/>
      </c>
      <c r="F454">
        <f>IFERROR(INDEX(PP_Grid[#Data],$DD454,4),0)</f>
        <v/>
      </c>
      <c r="G454">
        <f>IFERROR(INDEX(PP_Grid[#Data],$DD454,5),0)</f>
        <v/>
      </c>
      <c r="H454">
        <f>IFERROR(INDEX(PP_Grid[#Data],$DD454,6),0)</f>
        <v/>
      </c>
      <c r="I454">
        <f>IFERROR(INDEX(PP_Grid[#Data],$DD454,7),0)</f>
        <v/>
      </c>
      <c r="J454">
        <f>IFERROR(INDEX(PP_Grid[#Data],$DD454,8),0)</f>
        <v/>
      </c>
      <c r="K454">
        <f>IFERROR(INDEX(PP_Grid[#Data],$DD454,9),0)</f>
        <v/>
      </c>
      <c r="L454">
        <f>IFERROR(INDEX(PP_Grid[#Data],$DD454,10),0)</f>
        <v/>
      </c>
      <c r="M454">
        <f>IFERROR(INDEX(PP_Grid[#Data],$DD454,11),0)</f>
        <v/>
      </c>
      <c r="N454">
        <f>IFERROR(INDEX(PP_Grid[#Data],$DD454,12),0)</f>
        <v/>
      </c>
      <c r="O454">
        <f>IFERROR(INDEX(PP_Grid[#Data],$DD454,13),0)</f>
        <v/>
      </c>
      <c r="P454">
        <f>IFERROR(INDEX(PP_Grid[#Data],$DD454,14),0)</f>
        <v/>
      </c>
      <c r="Q454">
        <f>IFERROR(INDEX(PP_Grid[#Data],$DD454,15),0)</f>
        <v/>
      </c>
      <c r="R454">
        <f>IFERROR(INDEX(PP_Grid[#Data],$DD454,16),0)</f>
        <v/>
      </c>
      <c r="S454">
        <f>IFERROR(INDEX(PP_Grid[#Data],$DD454,17),0)</f>
        <v/>
      </c>
      <c r="T454">
        <f>IFERROR(INDEX(PP_Grid[#Data],$DD454,18),0)</f>
        <v/>
      </c>
      <c r="U454">
        <f>IFERROR(INDEX(PP_Grid[#Data],$DD454,19),0)</f>
        <v/>
      </c>
      <c r="V454">
        <f>IFERROR(INDEX(PP_Grid[#Data],$DD454,20),0)</f>
        <v/>
      </c>
      <c r="W454">
        <f>IFERROR(INDEX(PP_Grid[#Data],$DD454,21),0)</f>
        <v/>
      </c>
      <c r="X454">
        <f>IFERROR(INDEX(PP_Grid[#Data],$DD454,22),0)</f>
        <v/>
      </c>
      <c r="Y454">
        <f>IFERROR(INDEX(PP_Grid[#Data],$DD454,23),0)</f>
        <v/>
      </c>
      <c r="Z454">
        <f>IFERROR(INDEX(PP_Grid[#Data],$DD454,24),0)</f>
        <v/>
      </c>
      <c r="AA454">
        <f>IFERROR(INDEX(PP_Grid[#Data],$DD454,25),0)</f>
        <v/>
      </c>
      <c r="AB454">
        <f>IFERROR(INDEX(PP_Grid[#Data],$DD454,26),0)</f>
        <v/>
      </c>
      <c r="AC454">
        <f>IFERROR(INDEX(PP_Grid[#Data],$DD454,27),0)</f>
        <v/>
      </c>
      <c r="AD454">
        <f>IFERROR(INDEX(PP_Grid[#Data],$DD454,28),0)</f>
        <v/>
      </c>
      <c r="AE454">
        <f>IFERROR(INDEX(PP_Grid[#Data],$DD454,29),0)</f>
        <v/>
      </c>
      <c r="AF454">
        <f>IFERROR(INDEX(PP_Grid[#Data],$DD454,30),0)</f>
        <v/>
      </c>
      <c r="AG454">
        <f>IFERROR(INDEX(PP_Grid[#Data],$DD454,31),0)</f>
        <v/>
      </c>
      <c r="AH454">
        <f>IFERROR(INDEX(PP_Grid[#Data],$DD454,32),0)</f>
        <v/>
      </c>
      <c r="AI454">
        <f>IFERROR(INDEX(PP_Grid[#Data],$DD454,33),0)</f>
        <v/>
      </c>
      <c r="AJ454">
        <f>IFERROR(INDEX(PP_Grid[#Data],$DD454,34),0)</f>
        <v/>
      </c>
      <c r="AK454">
        <f>IFERROR(INDEX(PP_Grid[#Data],$DD454,35),0)</f>
        <v/>
      </c>
      <c r="AL454">
        <f>IFERROR(INDEX(PP_Grid[#Data],$DD454,36),0)</f>
        <v/>
      </c>
      <c r="AM454">
        <f>IFERROR(INDEX(PP_Grid[#Data],$DD454,37),0)</f>
        <v/>
      </c>
      <c r="AN454">
        <f>IFERROR(INDEX(PP_Grid[#Data],$DD454,38),0)</f>
        <v/>
      </c>
      <c r="AO454">
        <f>IFERROR(INDEX(PP_Grid[#Data],$DD454,39),0)</f>
        <v/>
      </c>
      <c r="AP454">
        <f>IFERROR(INDEX(PP_Grid[#Data],$DD454,40),0)</f>
        <v/>
      </c>
      <c r="AQ454">
        <f>IFERROR(INDEX(PP_Grid[#Data],$DD454,41),0)</f>
        <v/>
      </c>
      <c r="AR454">
        <f>IFERROR(INDEX(PP_Grid[#Data],$DD454,42),0)</f>
        <v/>
      </c>
      <c r="AS454">
        <f>IFERROR(INDEX(PP_Grid[#Data],$DD454,43),0)</f>
        <v/>
      </c>
      <c r="AT454">
        <f>IFERROR(INDEX(PP_Grid[#Data],$DD454,44),0)</f>
        <v/>
      </c>
      <c r="AU454">
        <f>IFERROR(INDEX(PP_Grid[#Data],$DD454,45),0)</f>
        <v/>
      </c>
      <c r="AV454">
        <f>IFERROR(INDEX(PP_Grid[#Data],$DD454,46),0)</f>
        <v/>
      </c>
      <c r="AW454">
        <f>IFERROR(INDEX(PP_Grid[#Data],$DD454,47),0)</f>
        <v/>
      </c>
      <c r="AX454">
        <f>IFERROR(INDEX(PP_Grid[#Data],$DD454,48),0)</f>
        <v/>
      </c>
      <c r="AY454">
        <f>IFERROR(INDEX(PP_Grid[#Data],$DD454,49),0)</f>
        <v/>
      </c>
      <c r="AZ454">
        <f>IFERROR(INDEX(PP_Grid[#Data],$DD454,50),0)</f>
        <v/>
      </c>
      <c r="BA454">
        <f>IFERROR(INDEX(PP_Grid[#Data],$DD454,51),0)</f>
        <v/>
      </c>
      <c r="BB454">
        <f>IFERROR(INDEX(PP_Grid[#Data],$DD454,52),0)</f>
        <v/>
      </c>
      <c r="BC454">
        <f>IFERROR(INDEX(PP_Grid[#Data],$DD454,53),0)</f>
        <v/>
      </c>
      <c r="BD454">
        <f>IFERROR(INDEX(PP_Grid[#Data],$DD454,54),0)</f>
        <v/>
      </c>
      <c r="BE454">
        <f>IFERROR(INDEX(PP_Grid[#Data],$DD454,55),0)</f>
        <v/>
      </c>
      <c r="BF454">
        <f>IFERROR(INDEX(PP_Grid[#Data],$DD454,56),0)</f>
        <v/>
      </c>
      <c r="BG454">
        <f>IFERROR(INDEX(PP_Grid[#Data],$DD454,57),0)</f>
        <v/>
      </c>
      <c r="BH454">
        <f>IFERROR(INDEX(PP_Grid[#Data],$DD454,58),0)</f>
        <v/>
      </c>
      <c r="BI454">
        <f>IFERROR(INDEX(PP_Grid[#Data],$DD454,59),0)</f>
        <v/>
      </c>
      <c r="BJ454">
        <f>IFERROR(INDEX(PP_Grid[#Data],$DD454,60),0)</f>
        <v/>
      </c>
      <c r="BK454">
        <f>IFERROR(INDEX(PP_Grid[#Data],$DD454,61),0)</f>
        <v/>
      </c>
      <c r="BL454">
        <f>IFERROR(INDEX(PP_Grid[#Data],$DD454,62),0)</f>
        <v/>
      </c>
      <c r="BM454">
        <f>IFERROR(INDEX(PP_Grid[#Data],$DD454,63),0)</f>
        <v/>
      </c>
      <c r="BN454">
        <f>IFERROR(INDEX(PP_Grid[#Data],$DD454,64),0)</f>
        <v/>
      </c>
      <c r="BO454">
        <f>IFERROR(INDEX(PP_Grid[#Data],$DD454,65),0)</f>
        <v/>
      </c>
      <c r="BP454">
        <f>IFERROR(INDEX(PP_Grid[#Data],$DD454,66),0)</f>
        <v/>
      </c>
      <c r="BQ454">
        <f>IFERROR(INDEX(PP_Grid[#Data],$DD454,67),0)</f>
        <v/>
      </c>
      <c r="BR454">
        <f>IFERROR(INDEX(PP_Grid[#Data],$DD454,68),0)</f>
        <v/>
      </c>
      <c r="BS454">
        <f>IFERROR(INDEX(PP_Grid[#Data],$DD454,69),0)</f>
        <v/>
      </c>
      <c r="BT454">
        <f>IFERROR(INDEX(PP_Grid[#Data],$DD454,70),0)</f>
        <v/>
      </c>
      <c r="BU454">
        <f>IFERROR(INDEX(PP_Grid[#Data],$DD454,71),0)</f>
        <v/>
      </c>
      <c r="BV454">
        <f>IFERROR(INDEX(PP_Grid[#Data],$DD454,72),0)</f>
        <v/>
      </c>
      <c r="BW454">
        <f>IFERROR(INDEX(PP_Grid[#Data],$DD454,73),0)</f>
        <v/>
      </c>
      <c r="BX454">
        <f>IFERROR(INDEX(PP_Grid[#Data],$DD454,74),0)</f>
        <v/>
      </c>
      <c r="BY454">
        <f>IFERROR(INDEX(PP_Grid[#Data],$DD454,75),0)</f>
        <v/>
      </c>
      <c r="BZ454">
        <f>IFERROR(INDEX(PP_Grid[#Data],$DD454,76),0)</f>
        <v/>
      </c>
      <c r="CA454">
        <f>IFERROR(INDEX(PP_Grid[#Data],$DD454,77),0)</f>
        <v/>
      </c>
      <c r="CB454">
        <f>IFERROR(INDEX(PP_Grid[#Data],$DD454,78),0)</f>
        <v/>
      </c>
      <c r="CC454">
        <f>IFERROR(INDEX(PP_Grid[#Data],$DD454,79),0)</f>
        <v/>
      </c>
      <c r="CD454">
        <f>IFERROR(INDEX(PP_Grid[#Data],$DD454,80),0)</f>
        <v/>
      </c>
      <c r="CE454">
        <f>IFERROR(INDEX(PP_Grid[#Data],$DD454,81),0)</f>
        <v/>
      </c>
      <c r="CF454">
        <f>IFERROR(INDEX(PP_Grid[#Data],$DD454,82),0)</f>
        <v/>
      </c>
      <c r="CG454">
        <f>IFERROR(INDEX(PP_Grid[#Data],$DD454,83),0)</f>
        <v/>
      </c>
      <c r="CH454">
        <f>IFERROR(INDEX(PP_Grid[#Data],$DD454,84),0)</f>
        <v/>
      </c>
      <c r="CI454">
        <f>IFERROR(INDEX(PP_Grid[#Data],$DD454,85),0)</f>
        <v/>
      </c>
      <c r="CJ454">
        <f>IFERROR(INDEX(PP_Grid[#Data],$DD454,86),0)</f>
        <v/>
      </c>
      <c r="CK454">
        <f>IFERROR(INDEX(PP_Grid[#Data],$DD454,87),0)</f>
        <v/>
      </c>
      <c r="CL454">
        <f>IFERROR(INDEX(PP_Grid[#Data],$DD454,88),0)</f>
        <v/>
      </c>
      <c r="CM454">
        <f>IFERROR(INDEX(PP_Grid[#Data],$DD454,89),0)</f>
        <v/>
      </c>
      <c r="CN454">
        <f>IFERROR(INDEX(PP_Grid[#Data],$DD454,90),0)</f>
        <v/>
      </c>
      <c r="CO454">
        <f>IFERROR(INDEX(PP_Grid[#Data],$DD454,91),0)</f>
        <v/>
      </c>
      <c r="CP454">
        <f>IFERROR(INDEX(PP_Grid[#Data],$DD454,92),0)</f>
        <v/>
      </c>
      <c r="CQ454">
        <f>IFERROR(INDEX(PP_Grid[#Data],$DD454,93),0)</f>
        <v/>
      </c>
      <c r="CR454">
        <f>IFERROR(INDEX(PP_Grid[#Data],$DD454,94),0)</f>
        <v/>
      </c>
      <c r="CS454">
        <f>IFERROR(INDEX(PP_Grid[#Data],$DD454,95),0)</f>
        <v/>
      </c>
      <c r="CT454">
        <f>IFERROR(INDEX(PP_Grid[#Data],$DD454,96),0)</f>
        <v/>
      </c>
      <c r="CU454">
        <f>IFERROR(INDEX(PP_Grid[#Data],$DD454,97),0)</f>
        <v/>
      </c>
      <c r="CV454">
        <f>IFERROR(INDEX(PP_Grid[#Data],$DD454,98),0)</f>
        <v/>
      </c>
      <c r="CW454">
        <f>IFERROR(INDEX(PP_Grid[#Data],$DD454,99),0)</f>
        <v/>
      </c>
      <c r="CX454">
        <f>IFERROR(INDEX(PP_Grid[#Data],$DD454,100),0)</f>
        <v/>
      </c>
      <c r="CY454">
        <f>IFERROR(INDEX(PP_Grid[#Data],$DD454,101),0)</f>
        <v/>
      </c>
      <c r="CZ454">
        <f>IFERROR(INDEX(PP_Grid[#Data],$DD454,102),0)</f>
        <v/>
      </c>
      <c r="DA454">
        <f>IFERROR(INDEX(PP_Grid[#Data],$DD454,103),0)</f>
        <v/>
      </c>
      <c r="DB454">
        <f>IFERROR(INDEX(PP_Grid[#Data],$DD454,104),0)</f>
        <v/>
      </c>
      <c r="DC454">
        <f>IFERROR(INDEX(PP_Grid[#Data],$DD454,105),0)</f>
        <v/>
      </c>
      <c r="DD454" s="7">
        <f>IFERROR(MATCH($B454,PP_Grid[Intermediate],0),99999)</f>
        <v/>
      </c>
    </row>
    <row r="455">
      <c r="B455" t="inlineStr">
        <is>
          <t>使用量(kg)</t>
        </is>
      </c>
      <c r="C455">
        <f>SUMIFS(M_BOM[RM_Qty_Per_Batch],M_BOM[Intermediate],$B454,M_BOM[Part Name],$A449)</f>
        <v/>
      </c>
      <c r="D455">
        <f>$C455*D454</f>
        <v/>
      </c>
      <c r="E455">
        <f>$C455*E454</f>
        <v/>
      </c>
      <c r="F455">
        <f>$C455*F454</f>
        <v/>
      </c>
      <c r="G455">
        <f>$C455*G454</f>
        <v/>
      </c>
      <c r="H455">
        <f>$C455*H454</f>
        <v/>
      </c>
      <c r="I455">
        <f>$C455*I454</f>
        <v/>
      </c>
      <c r="J455">
        <f>$C455*J454</f>
        <v/>
      </c>
      <c r="K455">
        <f>$C455*K454</f>
        <v/>
      </c>
      <c r="L455">
        <f>$C455*L454</f>
        <v/>
      </c>
      <c r="M455">
        <f>$C455*M454</f>
        <v/>
      </c>
      <c r="N455">
        <f>$C455*N454</f>
        <v/>
      </c>
      <c r="O455">
        <f>$C455*O454</f>
        <v/>
      </c>
      <c r="P455">
        <f>$C455*P454</f>
        <v/>
      </c>
      <c r="Q455">
        <f>$C455*Q454</f>
        <v/>
      </c>
      <c r="R455">
        <f>$C455*R454</f>
        <v/>
      </c>
      <c r="S455">
        <f>$C455*S454</f>
        <v/>
      </c>
      <c r="T455">
        <f>$C455*T454</f>
        <v/>
      </c>
      <c r="U455">
        <f>$C455*U454</f>
        <v/>
      </c>
      <c r="V455">
        <f>$C455*V454</f>
        <v/>
      </c>
      <c r="W455">
        <f>$C455*W454</f>
        <v/>
      </c>
      <c r="X455">
        <f>$C455*X454</f>
        <v/>
      </c>
      <c r="Y455">
        <f>$C455*Y454</f>
        <v/>
      </c>
      <c r="Z455">
        <f>$C455*Z454</f>
        <v/>
      </c>
      <c r="AA455">
        <f>$C455*AA454</f>
        <v/>
      </c>
      <c r="AB455">
        <f>$C455*AB454</f>
        <v/>
      </c>
      <c r="AC455">
        <f>$C455*AC454</f>
        <v/>
      </c>
      <c r="AD455">
        <f>$C455*AD454</f>
        <v/>
      </c>
      <c r="AE455">
        <f>$C455*AE454</f>
        <v/>
      </c>
      <c r="AF455">
        <f>$C455*AF454</f>
        <v/>
      </c>
      <c r="AG455">
        <f>$C455*AG454</f>
        <v/>
      </c>
      <c r="AH455">
        <f>$C455*AH454</f>
        <v/>
      </c>
      <c r="AI455">
        <f>$C455*AI454</f>
        <v/>
      </c>
      <c r="AJ455">
        <f>$C455*AJ454</f>
        <v/>
      </c>
      <c r="AK455">
        <f>$C455*AK454</f>
        <v/>
      </c>
      <c r="AL455">
        <f>$C455*AL454</f>
        <v/>
      </c>
      <c r="AM455">
        <f>$C455*AM454</f>
        <v/>
      </c>
      <c r="AN455">
        <f>$C455*AN454</f>
        <v/>
      </c>
      <c r="AO455">
        <f>$C455*AO454</f>
        <v/>
      </c>
      <c r="AP455">
        <f>$C455*AP454</f>
        <v/>
      </c>
      <c r="AQ455">
        <f>$C455*AQ454</f>
        <v/>
      </c>
      <c r="AR455">
        <f>$C455*AR454</f>
        <v/>
      </c>
      <c r="AS455">
        <f>$C455*AS454</f>
        <v/>
      </c>
      <c r="AT455">
        <f>$C455*AT454</f>
        <v/>
      </c>
      <c r="AU455">
        <f>$C455*AU454</f>
        <v/>
      </c>
      <c r="AV455">
        <f>$C455*AV454</f>
        <v/>
      </c>
      <c r="AW455">
        <f>$C455*AW454</f>
        <v/>
      </c>
      <c r="AX455">
        <f>$C455*AX454</f>
        <v/>
      </c>
      <c r="AY455">
        <f>$C455*AY454</f>
        <v/>
      </c>
      <c r="AZ455">
        <f>$C455*AZ454</f>
        <v/>
      </c>
      <c r="BA455">
        <f>$C455*BA454</f>
        <v/>
      </c>
      <c r="BB455">
        <f>$C455*BB454</f>
        <v/>
      </c>
      <c r="BC455">
        <f>$C455*BC454</f>
        <v/>
      </c>
      <c r="BD455">
        <f>$C455*BD454</f>
        <v/>
      </c>
      <c r="BE455">
        <f>$C455*BE454</f>
        <v/>
      </c>
      <c r="BF455">
        <f>$C455*BF454</f>
        <v/>
      </c>
      <c r="BG455">
        <f>$C455*BG454</f>
        <v/>
      </c>
      <c r="BH455">
        <f>$C455*BH454</f>
        <v/>
      </c>
      <c r="BI455">
        <f>$C455*BI454</f>
        <v/>
      </c>
      <c r="BJ455">
        <f>$C455*BJ454</f>
        <v/>
      </c>
      <c r="BK455">
        <f>$C455*BK454</f>
        <v/>
      </c>
      <c r="BL455">
        <f>$C455*BL454</f>
        <v/>
      </c>
      <c r="BM455">
        <f>$C455*BM454</f>
        <v/>
      </c>
      <c r="BN455">
        <f>$C455*BN454</f>
        <v/>
      </c>
      <c r="BO455">
        <f>$C455*BO454</f>
        <v/>
      </c>
      <c r="BP455">
        <f>$C455*BP454</f>
        <v/>
      </c>
      <c r="BQ455">
        <f>$C455*BQ454</f>
        <v/>
      </c>
      <c r="BR455">
        <f>$C455*BR454</f>
        <v/>
      </c>
      <c r="BS455">
        <f>$C455*BS454</f>
        <v/>
      </c>
      <c r="BT455">
        <f>$C455*BT454</f>
        <v/>
      </c>
      <c r="BU455">
        <f>$C455*BU454</f>
        <v/>
      </c>
      <c r="BV455">
        <f>$C455*BV454</f>
        <v/>
      </c>
      <c r="BW455">
        <f>$C455*BW454</f>
        <v/>
      </c>
      <c r="BX455">
        <f>$C455*BX454</f>
        <v/>
      </c>
      <c r="BY455">
        <f>$C455*BY454</f>
        <v/>
      </c>
      <c r="BZ455">
        <f>$C455*BZ454</f>
        <v/>
      </c>
      <c r="CA455">
        <f>$C455*CA454</f>
        <v/>
      </c>
      <c r="CB455">
        <f>$C455*CB454</f>
        <v/>
      </c>
      <c r="CC455">
        <f>$C455*CC454</f>
        <v/>
      </c>
      <c r="CD455">
        <f>$C455*CD454</f>
        <v/>
      </c>
      <c r="CE455">
        <f>$C455*CE454</f>
        <v/>
      </c>
      <c r="CF455">
        <f>$C455*CF454</f>
        <v/>
      </c>
      <c r="CG455">
        <f>$C455*CG454</f>
        <v/>
      </c>
      <c r="CH455">
        <f>$C455*CH454</f>
        <v/>
      </c>
      <c r="CI455">
        <f>$C455*CI454</f>
        <v/>
      </c>
      <c r="CJ455">
        <f>$C455*CJ454</f>
        <v/>
      </c>
      <c r="CK455">
        <f>$C455*CK454</f>
        <v/>
      </c>
      <c r="CL455">
        <f>$C455*CL454</f>
        <v/>
      </c>
      <c r="CM455">
        <f>$C455*CM454</f>
        <v/>
      </c>
      <c r="CN455">
        <f>$C455*CN454</f>
        <v/>
      </c>
      <c r="CO455">
        <f>$C455*CO454</f>
        <v/>
      </c>
      <c r="CP455">
        <f>$C455*CP454</f>
        <v/>
      </c>
      <c r="CQ455">
        <f>$C455*CQ454</f>
        <v/>
      </c>
      <c r="CR455">
        <f>$C455*CR454</f>
        <v/>
      </c>
      <c r="CS455">
        <f>$C455*CS454</f>
        <v/>
      </c>
      <c r="CT455">
        <f>$C455*CT454</f>
        <v/>
      </c>
      <c r="CU455">
        <f>$C455*CU454</f>
        <v/>
      </c>
      <c r="CV455">
        <f>$C455*CV454</f>
        <v/>
      </c>
      <c r="CW455">
        <f>$C455*CW454</f>
        <v/>
      </c>
      <c r="CX455">
        <f>$C455*CX454</f>
        <v/>
      </c>
      <c r="CY455">
        <f>$C455*CY454</f>
        <v/>
      </c>
      <c r="CZ455">
        <f>$C455*CZ454</f>
        <v/>
      </c>
      <c r="DA455">
        <f>$C455*DA454</f>
        <v/>
      </c>
      <c r="DB455">
        <f>$C455*DB454</f>
        <v/>
      </c>
      <c r="DC455">
        <f>$C455*DC454</f>
        <v/>
      </c>
    </row>
    <row r="456">
      <c r="B456" t="inlineStr">
        <is>
          <t>TSP-088</t>
        </is>
      </c>
      <c r="C456" t="inlineStr">
        <is>
          <t>No. of batches</t>
        </is>
      </c>
      <c r="D456">
        <f>IFERROR(INDEX(PP_Grid[#Data],$DD456,2),0)</f>
        <v/>
      </c>
      <c r="E456">
        <f>IFERROR(INDEX(PP_Grid[#Data],$DD456,3),0)</f>
        <v/>
      </c>
      <c r="F456">
        <f>IFERROR(INDEX(PP_Grid[#Data],$DD456,4),0)</f>
        <v/>
      </c>
      <c r="G456">
        <f>IFERROR(INDEX(PP_Grid[#Data],$DD456,5),0)</f>
        <v/>
      </c>
      <c r="H456">
        <f>IFERROR(INDEX(PP_Grid[#Data],$DD456,6),0)</f>
        <v/>
      </c>
      <c r="I456">
        <f>IFERROR(INDEX(PP_Grid[#Data],$DD456,7),0)</f>
        <v/>
      </c>
      <c r="J456">
        <f>IFERROR(INDEX(PP_Grid[#Data],$DD456,8),0)</f>
        <v/>
      </c>
      <c r="K456">
        <f>IFERROR(INDEX(PP_Grid[#Data],$DD456,9),0)</f>
        <v/>
      </c>
      <c r="L456">
        <f>IFERROR(INDEX(PP_Grid[#Data],$DD456,10),0)</f>
        <v/>
      </c>
      <c r="M456">
        <f>IFERROR(INDEX(PP_Grid[#Data],$DD456,11),0)</f>
        <v/>
      </c>
      <c r="N456">
        <f>IFERROR(INDEX(PP_Grid[#Data],$DD456,12),0)</f>
        <v/>
      </c>
      <c r="O456">
        <f>IFERROR(INDEX(PP_Grid[#Data],$DD456,13),0)</f>
        <v/>
      </c>
      <c r="P456">
        <f>IFERROR(INDEX(PP_Grid[#Data],$DD456,14),0)</f>
        <v/>
      </c>
      <c r="Q456">
        <f>IFERROR(INDEX(PP_Grid[#Data],$DD456,15),0)</f>
        <v/>
      </c>
      <c r="R456">
        <f>IFERROR(INDEX(PP_Grid[#Data],$DD456,16),0)</f>
        <v/>
      </c>
      <c r="S456">
        <f>IFERROR(INDEX(PP_Grid[#Data],$DD456,17),0)</f>
        <v/>
      </c>
      <c r="T456">
        <f>IFERROR(INDEX(PP_Grid[#Data],$DD456,18),0)</f>
        <v/>
      </c>
      <c r="U456">
        <f>IFERROR(INDEX(PP_Grid[#Data],$DD456,19),0)</f>
        <v/>
      </c>
      <c r="V456">
        <f>IFERROR(INDEX(PP_Grid[#Data],$DD456,20),0)</f>
        <v/>
      </c>
      <c r="W456">
        <f>IFERROR(INDEX(PP_Grid[#Data],$DD456,21),0)</f>
        <v/>
      </c>
      <c r="X456">
        <f>IFERROR(INDEX(PP_Grid[#Data],$DD456,22),0)</f>
        <v/>
      </c>
      <c r="Y456">
        <f>IFERROR(INDEX(PP_Grid[#Data],$DD456,23),0)</f>
        <v/>
      </c>
      <c r="Z456">
        <f>IFERROR(INDEX(PP_Grid[#Data],$DD456,24),0)</f>
        <v/>
      </c>
      <c r="AA456">
        <f>IFERROR(INDEX(PP_Grid[#Data],$DD456,25),0)</f>
        <v/>
      </c>
      <c r="AB456">
        <f>IFERROR(INDEX(PP_Grid[#Data],$DD456,26),0)</f>
        <v/>
      </c>
      <c r="AC456">
        <f>IFERROR(INDEX(PP_Grid[#Data],$DD456,27),0)</f>
        <v/>
      </c>
      <c r="AD456">
        <f>IFERROR(INDEX(PP_Grid[#Data],$DD456,28),0)</f>
        <v/>
      </c>
      <c r="AE456">
        <f>IFERROR(INDEX(PP_Grid[#Data],$DD456,29),0)</f>
        <v/>
      </c>
      <c r="AF456">
        <f>IFERROR(INDEX(PP_Grid[#Data],$DD456,30),0)</f>
        <v/>
      </c>
      <c r="AG456">
        <f>IFERROR(INDEX(PP_Grid[#Data],$DD456,31),0)</f>
        <v/>
      </c>
      <c r="AH456">
        <f>IFERROR(INDEX(PP_Grid[#Data],$DD456,32),0)</f>
        <v/>
      </c>
      <c r="AI456">
        <f>IFERROR(INDEX(PP_Grid[#Data],$DD456,33),0)</f>
        <v/>
      </c>
      <c r="AJ456">
        <f>IFERROR(INDEX(PP_Grid[#Data],$DD456,34),0)</f>
        <v/>
      </c>
      <c r="AK456">
        <f>IFERROR(INDEX(PP_Grid[#Data],$DD456,35),0)</f>
        <v/>
      </c>
      <c r="AL456">
        <f>IFERROR(INDEX(PP_Grid[#Data],$DD456,36),0)</f>
        <v/>
      </c>
      <c r="AM456">
        <f>IFERROR(INDEX(PP_Grid[#Data],$DD456,37),0)</f>
        <v/>
      </c>
      <c r="AN456">
        <f>IFERROR(INDEX(PP_Grid[#Data],$DD456,38),0)</f>
        <v/>
      </c>
      <c r="AO456">
        <f>IFERROR(INDEX(PP_Grid[#Data],$DD456,39),0)</f>
        <v/>
      </c>
      <c r="AP456">
        <f>IFERROR(INDEX(PP_Grid[#Data],$DD456,40),0)</f>
        <v/>
      </c>
      <c r="AQ456">
        <f>IFERROR(INDEX(PP_Grid[#Data],$DD456,41),0)</f>
        <v/>
      </c>
      <c r="AR456">
        <f>IFERROR(INDEX(PP_Grid[#Data],$DD456,42),0)</f>
        <v/>
      </c>
      <c r="AS456">
        <f>IFERROR(INDEX(PP_Grid[#Data],$DD456,43),0)</f>
        <v/>
      </c>
      <c r="AT456">
        <f>IFERROR(INDEX(PP_Grid[#Data],$DD456,44),0)</f>
        <v/>
      </c>
      <c r="AU456">
        <f>IFERROR(INDEX(PP_Grid[#Data],$DD456,45),0)</f>
        <v/>
      </c>
      <c r="AV456">
        <f>IFERROR(INDEX(PP_Grid[#Data],$DD456,46),0)</f>
        <v/>
      </c>
      <c r="AW456">
        <f>IFERROR(INDEX(PP_Grid[#Data],$DD456,47),0)</f>
        <v/>
      </c>
      <c r="AX456">
        <f>IFERROR(INDEX(PP_Grid[#Data],$DD456,48),0)</f>
        <v/>
      </c>
      <c r="AY456">
        <f>IFERROR(INDEX(PP_Grid[#Data],$DD456,49),0)</f>
        <v/>
      </c>
      <c r="AZ456">
        <f>IFERROR(INDEX(PP_Grid[#Data],$DD456,50),0)</f>
        <v/>
      </c>
      <c r="BA456">
        <f>IFERROR(INDEX(PP_Grid[#Data],$DD456,51),0)</f>
        <v/>
      </c>
      <c r="BB456">
        <f>IFERROR(INDEX(PP_Grid[#Data],$DD456,52),0)</f>
        <v/>
      </c>
      <c r="BC456">
        <f>IFERROR(INDEX(PP_Grid[#Data],$DD456,53),0)</f>
        <v/>
      </c>
      <c r="BD456">
        <f>IFERROR(INDEX(PP_Grid[#Data],$DD456,54),0)</f>
        <v/>
      </c>
      <c r="BE456">
        <f>IFERROR(INDEX(PP_Grid[#Data],$DD456,55),0)</f>
        <v/>
      </c>
      <c r="BF456">
        <f>IFERROR(INDEX(PP_Grid[#Data],$DD456,56),0)</f>
        <v/>
      </c>
      <c r="BG456">
        <f>IFERROR(INDEX(PP_Grid[#Data],$DD456,57),0)</f>
        <v/>
      </c>
      <c r="BH456">
        <f>IFERROR(INDEX(PP_Grid[#Data],$DD456,58),0)</f>
        <v/>
      </c>
      <c r="BI456">
        <f>IFERROR(INDEX(PP_Grid[#Data],$DD456,59),0)</f>
        <v/>
      </c>
      <c r="BJ456">
        <f>IFERROR(INDEX(PP_Grid[#Data],$DD456,60),0)</f>
        <v/>
      </c>
      <c r="BK456">
        <f>IFERROR(INDEX(PP_Grid[#Data],$DD456,61),0)</f>
        <v/>
      </c>
      <c r="BL456">
        <f>IFERROR(INDEX(PP_Grid[#Data],$DD456,62),0)</f>
        <v/>
      </c>
      <c r="BM456">
        <f>IFERROR(INDEX(PP_Grid[#Data],$DD456,63),0)</f>
        <v/>
      </c>
      <c r="BN456">
        <f>IFERROR(INDEX(PP_Grid[#Data],$DD456,64),0)</f>
        <v/>
      </c>
      <c r="BO456">
        <f>IFERROR(INDEX(PP_Grid[#Data],$DD456,65),0)</f>
        <v/>
      </c>
      <c r="BP456">
        <f>IFERROR(INDEX(PP_Grid[#Data],$DD456,66),0)</f>
        <v/>
      </c>
      <c r="BQ456">
        <f>IFERROR(INDEX(PP_Grid[#Data],$DD456,67),0)</f>
        <v/>
      </c>
      <c r="BR456">
        <f>IFERROR(INDEX(PP_Grid[#Data],$DD456,68),0)</f>
        <v/>
      </c>
      <c r="BS456">
        <f>IFERROR(INDEX(PP_Grid[#Data],$DD456,69),0)</f>
        <v/>
      </c>
      <c r="BT456">
        <f>IFERROR(INDEX(PP_Grid[#Data],$DD456,70),0)</f>
        <v/>
      </c>
      <c r="BU456">
        <f>IFERROR(INDEX(PP_Grid[#Data],$DD456,71),0)</f>
        <v/>
      </c>
      <c r="BV456">
        <f>IFERROR(INDEX(PP_Grid[#Data],$DD456,72),0)</f>
        <v/>
      </c>
      <c r="BW456">
        <f>IFERROR(INDEX(PP_Grid[#Data],$DD456,73),0)</f>
        <v/>
      </c>
      <c r="BX456">
        <f>IFERROR(INDEX(PP_Grid[#Data],$DD456,74),0)</f>
        <v/>
      </c>
      <c r="BY456">
        <f>IFERROR(INDEX(PP_Grid[#Data],$DD456,75),0)</f>
        <v/>
      </c>
      <c r="BZ456">
        <f>IFERROR(INDEX(PP_Grid[#Data],$DD456,76),0)</f>
        <v/>
      </c>
      <c r="CA456">
        <f>IFERROR(INDEX(PP_Grid[#Data],$DD456,77),0)</f>
        <v/>
      </c>
      <c r="CB456">
        <f>IFERROR(INDEX(PP_Grid[#Data],$DD456,78),0)</f>
        <v/>
      </c>
      <c r="CC456">
        <f>IFERROR(INDEX(PP_Grid[#Data],$DD456,79),0)</f>
        <v/>
      </c>
      <c r="CD456">
        <f>IFERROR(INDEX(PP_Grid[#Data],$DD456,80),0)</f>
        <v/>
      </c>
      <c r="CE456">
        <f>IFERROR(INDEX(PP_Grid[#Data],$DD456,81),0)</f>
        <v/>
      </c>
      <c r="CF456">
        <f>IFERROR(INDEX(PP_Grid[#Data],$DD456,82),0)</f>
        <v/>
      </c>
      <c r="CG456">
        <f>IFERROR(INDEX(PP_Grid[#Data],$DD456,83),0)</f>
        <v/>
      </c>
      <c r="CH456">
        <f>IFERROR(INDEX(PP_Grid[#Data],$DD456,84),0)</f>
        <v/>
      </c>
      <c r="CI456">
        <f>IFERROR(INDEX(PP_Grid[#Data],$DD456,85),0)</f>
        <v/>
      </c>
      <c r="CJ456">
        <f>IFERROR(INDEX(PP_Grid[#Data],$DD456,86),0)</f>
        <v/>
      </c>
      <c r="CK456">
        <f>IFERROR(INDEX(PP_Grid[#Data],$DD456,87),0)</f>
        <v/>
      </c>
      <c r="CL456">
        <f>IFERROR(INDEX(PP_Grid[#Data],$DD456,88),0)</f>
        <v/>
      </c>
      <c r="CM456">
        <f>IFERROR(INDEX(PP_Grid[#Data],$DD456,89),0)</f>
        <v/>
      </c>
      <c r="CN456">
        <f>IFERROR(INDEX(PP_Grid[#Data],$DD456,90),0)</f>
        <v/>
      </c>
      <c r="CO456">
        <f>IFERROR(INDEX(PP_Grid[#Data],$DD456,91),0)</f>
        <v/>
      </c>
      <c r="CP456">
        <f>IFERROR(INDEX(PP_Grid[#Data],$DD456,92),0)</f>
        <v/>
      </c>
      <c r="CQ456">
        <f>IFERROR(INDEX(PP_Grid[#Data],$DD456,93),0)</f>
        <v/>
      </c>
      <c r="CR456">
        <f>IFERROR(INDEX(PP_Grid[#Data],$DD456,94),0)</f>
        <v/>
      </c>
      <c r="CS456">
        <f>IFERROR(INDEX(PP_Grid[#Data],$DD456,95),0)</f>
        <v/>
      </c>
      <c r="CT456">
        <f>IFERROR(INDEX(PP_Grid[#Data],$DD456,96),0)</f>
        <v/>
      </c>
      <c r="CU456">
        <f>IFERROR(INDEX(PP_Grid[#Data],$DD456,97),0)</f>
        <v/>
      </c>
      <c r="CV456">
        <f>IFERROR(INDEX(PP_Grid[#Data],$DD456,98),0)</f>
        <v/>
      </c>
      <c r="CW456">
        <f>IFERROR(INDEX(PP_Grid[#Data],$DD456,99),0)</f>
        <v/>
      </c>
      <c r="CX456">
        <f>IFERROR(INDEX(PP_Grid[#Data],$DD456,100),0)</f>
        <v/>
      </c>
      <c r="CY456">
        <f>IFERROR(INDEX(PP_Grid[#Data],$DD456,101),0)</f>
        <v/>
      </c>
      <c r="CZ456">
        <f>IFERROR(INDEX(PP_Grid[#Data],$DD456,102),0)</f>
        <v/>
      </c>
      <c r="DA456">
        <f>IFERROR(INDEX(PP_Grid[#Data],$DD456,103),0)</f>
        <v/>
      </c>
      <c r="DB456">
        <f>IFERROR(INDEX(PP_Grid[#Data],$DD456,104),0)</f>
        <v/>
      </c>
      <c r="DC456">
        <f>IFERROR(INDEX(PP_Grid[#Data],$DD456,105),0)</f>
        <v/>
      </c>
      <c r="DD456" s="7">
        <f>IFERROR(MATCH($B456,PP_Grid[Intermediate],0),99999)</f>
        <v/>
      </c>
    </row>
    <row r="457">
      <c r="B457" t="inlineStr">
        <is>
          <t>使用量(kg)</t>
        </is>
      </c>
      <c r="C457">
        <f>SUMIFS(M_BOM[RM_Qty_Per_Batch],M_BOM[Intermediate],$B456,M_BOM[Part Name],$A449)</f>
        <v/>
      </c>
      <c r="D457">
        <f>$C457*D456</f>
        <v/>
      </c>
      <c r="E457">
        <f>$C457*E456</f>
        <v/>
      </c>
      <c r="F457">
        <f>$C457*F456</f>
        <v/>
      </c>
      <c r="G457">
        <f>$C457*G456</f>
        <v/>
      </c>
      <c r="H457">
        <f>$C457*H456</f>
        <v/>
      </c>
      <c r="I457">
        <f>$C457*I456</f>
        <v/>
      </c>
      <c r="J457">
        <f>$C457*J456</f>
        <v/>
      </c>
      <c r="K457">
        <f>$C457*K456</f>
        <v/>
      </c>
      <c r="L457">
        <f>$C457*L456</f>
        <v/>
      </c>
      <c r="M457">
        <f>$C457*M456</f>
        <v/>
      </c>
      <c r="N457">
        <f>$C457*N456</f>
        <v/>
      </c>
      <c r="O457">
        <f>$C457*O456</f>
        <v/>
      </c>
      <c r="P457">
        <f>$C457*P456</f>
        <v/>
      </c>
      <c r="Q457">
        <f>$C457*Q456</f>
        <v/>
      </c>
      <c r="R457">
        <f>$C457*R456</f>
        <v/>
      </c>
      <c r="S457">
        <f>$C457*S456</f>
        <v/>
      </c>
      <c r="T457">
        <f>$C457*T456</f>
        <v/>
      </c>
      <c r="U457">
        <f>$C457*U456</f>
        <v/>
      </c>
      <c r="V457">
        <f>$C457*V456</f>
        <v/>
      </c>
      <c r="W457">
        <f>$C457*W456</f>
        <v/>
      </c>
      <c r="X457">
        <f>$C457*X456</f>
        <v/>
      </c>
      <c r="Y457">
        <f>$C457*Y456</f>
        <v/>
      </c>
      <c r="Z457">
        <f>$C457*Z456</f>
        <v/>
      </c>
      <c r="AA457">
        <f>$C457*AA456</f>
        <v/>
      </c>
      <c r="AB457">
        <f>$C457*AB456</f>
        <v/>
      </c>
      <c r="AC457">
        <f>$C457*AC456</f>
        <v/>
      </c>
      <c r="AD457">
        <f>$C457*AD456</f>
        <v/>
      </c>
      <c r="AE457">
        <f>$C457*AE456</f>
        <v/>
      </c>
      <c r="AF457">
        <f>$C457*AF456</f>
        <v/>
      </c>
      <c r="AG457">
        <f>$C457*AG456</f>
        <v/>
      </c>
      <c r="AH457">
        <f>$C457*AH456</f>
        <v/>
      </c>
      <c r="AI457">
        <f>$C457*AI456</f>
        <v/>
      </c>
      <c r="AJ457">
        <f>$C457*AJ456</f>
        <v/>
      </c>
      <c r="AK457">
        <f>$C457*AK456</f>
        <v/>
      </c>
      <c r="AL457">
        <f>$C457*AL456</f>
        <v/>
      </c>
      <c r="AM457">
        <f>$C457*AM456</f>
        <v/>
      </c>
      <c r="AN457">
        <f>$C457*AN456</f>
        <v/>
      </c>
      <c r="AO457">
        <f>$C457*AO456</f>
        <v/>
      </c>
      <c r="AP457">
        <f>$C457*AP456</f>
        <v/>
      </c>
      <c r="AQ457">
        <f>$C457*AQ456</f>
        <v/>
      </c>
      <c r="AR457">
        <f>$C457*AR456</f>
        <v/>
      </c>
      <c r="AS457">
        <f>$C457*AS456</f>
        <v/>
      </c>
      <c r="AT457">
        <f>$C457*AT456</f>
        <v/>
      </c>
      <c r="AU457">
        <f>$C457*AU456</f>
        <v/>
      </c>
      <c r="AV457">
        <f>$C457*AV456</f>
        <v/>
      </c>
      <c r="AW457">
        <f>$C457*AW456</f>
        <v/>
      </c>
      <c r="AX457">
        <f>$C457*AX456</f>
        <v/>
      </c>
      <c r="AY457">
        <f>$C457*AY456</f>
        <v/>
      </c>
      <c r="AZ457">
        <f>$C457*AZ456</f>
        <v/>
      </c>
      <c r="BA457">
        <f>$C457*BA456</f>
        <v/>
      </c>
      <c r="BB457">
        <f>$C457*BB456</f>
        <v/>
      </c>
      <c r="BC457">
        <f>$C457*BC456</f>
        <v/>
      </c>
      <c r="BD457">
        <f>$C457*BD456</f>
        <v/>
      </c>
      <c r="BE457">
        <f>$C457*BE456</f>
        <v/>
      </c>
      <c r="BF457">
        <f>$C457*BF456</f>
        <v/>
      </c>
      <c r="BG457">
        <f>$C457*BG456</f>
        <v/>
      </c>
      <c r="BH457">
        <f>$C457*BH456</f>
        <v/>
      </c>
      <c r="BI457">
        <f>$C457*BI456</f>
        <v/>
      </c>
      <c r="BJ457">
        <f>$C457*BJ456</f>
        <v/>
      </c>
      <c r="BK457">
        <f>$C457*BK456</f>
        <v/>
      </c>
      <c r="BL457">
        <f>$C457*BL456</f>
        <v/>
      </c>
      <c r="BM457">
        <f>$C457*BM456</f>
        <v/>
      </c>
      <c r="BN457">
        <f>$C457*BN456</f>
        <v/>
      </c>
      <c r="BO457">
        <f>$C457*BO456</f>
        <v/>
      </c>
      <c r="BP457">
        <f>$C457*BP456</f>
        <v/>
      </c>
      <c r="BQ457">
        <f>$C457*BQ456</f>
        <v/>
      </c>
      <c r="BR457">
        <f>$C457*BR456</f>
        <v/>
      </c>
      <c r="BS457">
        <f>$C457*BS456</f>
        <v/>
      </c>
      <c r="BT457">
        <f>$C457*BT456</f>
        <v/>
      </c>
      <c r="BU457">
        <f>$C457*BU456</f>
        <v/>
      </c>
      <c r="BV457">
        <f>$C457*BV456</f>
        <v/>
      </c>
      <c r="BW457">
        <f>$C457*BW456</f>
        <v/>
      </c>
      <c r="BX457">
        <f>$C457*BX456</f>
        <v/>
      </c>
      <c r="BY457">
        <f>$C457*BY456</f>
        <v/>
      </c>
      <c r="BZ457">
        <f>$C457*BZ456</f>
        <v/>
      </c>
      <c r="CA457">
        <f>$C457*CA456</f>
        <v/>
      </c>
      <c r="CB457">
        <f>$C457*CB456</f>
        <v/>
      </c>
      <c r="CC457">
        <f>$C457*CC456</f>
        <v/>
      </c>
      <c r="CD457">
        <f>$C457*CD456</f>
        <v/>
      </c>
      <c r="CE457">
        <f>$C457*CE456</f>
        <v/>
      </c>
      <c r="CF457">
        <f>$C457*CF456</f>
        <v/>
      </c>
      <c r="CG457">
        <f>$C457*CG456</f>
        <v/>
      </c>
      <c r="CH457">
        <f>$C457*CH456</f>
        <v/>
      </c>
      <c r="CI457">
        <f>$C457*CI456</f>
        <v/>
      </c>
      <c r="CJ457">
        <f>$C457*CJ456</f>
        <v/>
      </c>
      <c r="CK457">
        <f>$C457*CK456</f>
        <v/>
      </c>
      <c r="CL457">
        <f>$C457*CL456</f>
        <v/>
      </c>
      <c r="CM457">
        <f>$C457*CM456</f>
        <v/>
      </c>
      <c r="CN457">
        <f>$C457*CN456</f>
        <v/>
      </c>
      <c r="CO457">
        <f>$C457*CO456</f>
        <v/>
      </c>
      <c r="CP457">
        <f>$C457*CP456</f>
        <v/>
      </c>
      <c r="CQ457">
        <f>$C457*CQ456</f>
        <v/>
      </c>
      <c r="CR457">
        <f>$C457*CR456</f>
        <v/>
      </c>
      <c r="CS457">
        <f>$C457*CS456</f>
        <v/>
      </c>
      <c r="CT457">
        <f>$C457*CT456</f>
        <v/>
      </c>
      <c r="CU457">
        <f>$C457*CU456</f>
        <v/>
      </c>
      <c r="CV457">
        <f>$C457*CV456</f>
        <v/>
      </c>
      <c r="CW457">
        <f>$C457*CW456</f>
        <v/>
      </c>
      <c r="CX457">
        <f>$C457*CX456</f>
        <v/>
      </c>
      <c r="CY457">
        <f>$C457*CY456</f>
        <v/>
      </c>
      <c r="CZ457">
        <f>$C457*CZ456</f>
        <v/>
      </c>
      <c r="DA457">
        <f>$C457*DA456</f>
        <v/>
      </c>
      <c r="DB457">
        <f>$C457*DB456</f>
        <v/>
      </c>
      <c r="DC457">
        <f>$C457*DC456</f>
        <v/>
      </c>
    </row>
    <row r="458">
      <c r="B458" t="inlineStr">
        <is>
          <t>TSP-089</t>
        </is>
      </c>
      <c r="C458" t="inlineStr">
        <is>
          <t>No. of batches</t>
        </is>
      </c>
      <c r="D458">
        <f>IFERROR(INDEX(PP_Grid[#Data],$DD458,2),0)</f>
        <v/>
      </c>
      <c r="E458">
        <f>IFERROR(INDEX(PP_Grid[#Data],$DD458,3),0)</f>
        <v/>
      </c>
      <c r="F458">
        <f>IFERROR(INDEX(PP_Grid[#Data],$DD458,4),0)</f>
        <v/>
      </c>
      <c r="G458">
        <f>IFERROR(INDEX(PP_Grid[#Data],$DD458,5),0)</f>
        <v/>
      </c>
      <c r="H458">
        <f>IFERROR(INDEX(PP_Grid[#Data],$DD458,6),0)</f>
        <v/>
      </c>
      <c r="I458">
        <f>IFERROR(INDEX(PP_Grid[#Data],$DD458,7),0)</f>
        <v/>
      </c>
      <c r="J458">
        <f>IFERROR(INDEX(PP_Grid[#Data],$DD458,8),0)</f>
        <v/>
      </c>
      <c r="K458">
        <f>IFERROR(INDEX(PP_Grid[#Data],$DD458,9),0)</f>
        <v/>
      </c>
      <c r="L458">
        <f>IFERROR(INDEX(PP_Grid[#Data],$DD458,10),0)</f>
        <v/>
      </c>
      <c r="M458">
        <f>IFERROR(INDEX(PP_Grid[#Data],$DD458,11),0)</f>
        <v/>
      </c>
      <c r="N458">
        <f>IFERROR(INDEX(PP_Grid[#Data],$DD458,12),0)</f>
        <v/>
      </c>
      <c r="O458">
        <f>IFERROR(INDEX(PP_Grid[#Data],$DD458,13),0)</f>
        <v/>
      </c>
      <c r="P458">
        <f>IFERROR(INDEX(PP_Grid[#Data],$DD458,14),0)</f>
        <v/>
      </c>
      <c r="Q458">
        <f>IFERROR(INDEX(PP_Grid[#Data],$DD458,15),0)</f>
        <v/>
      </c>
      <c r="R458">
        <f>IFERROR(INDEX(PP_Grid[#Data],$DD458,16),0)</f>
        <v/>
      </c>
      <c r="S458">
        <f>IFERROR(INDEX(PP_Grid[#Data],$DD458,17),0)</f>
        <v/>
      </c>
      <c r="T458">
        <f>IFERROR(INDEX(PP_Grid[#Data],$DD458,18),0)</f>
        <v/>
      </c>
      <c r="U458">
        <f>IFERROR(INDEX(PP_Grid[#Data],$DD458,19),0)</f>
        <v/>
      </c>
      <c r="V458">
        <f>IFERROR(INDEX(PP_Grid[#Data],$DD458,20),0)</f>
        <v/>
      </c>
      <c r="W458">
        <f>IFERROR(INDEX(PP_Grid[#Data],$DD458,21),0)</f>
        <v/>
      </c>
      <c r="X458">
        <f>IFERROR(INDEX(PP_Grid[#Data],$DD458,22),0)</f>
        <v/>
      </c>
      <c r="Y458">
        <f>IFERROR(INDEX(PP_Grid[#Data],$DD458,23),0)</f>
        <v/>
      </c>
      <c r="Z458">
        <f>IFERROR(INDEX(PP_Grid[#Data],$DD458,24),0)</f>
        <v/>
      </c>
      <c r="AA458">
        <f>IFERROR(INDEX(PP_Grid[#Data],$DD458,25),0)</f>
        <v/>
      </c>
      <c r="AB458">
        <f>IFERROR(INDEX(PP_Grid[#Data],$DD458,26),0)</f>
        <v/>
      </c>
      <c r="AC458">
        <f>IFERROR(INDEX(PP_Grid[#Data],$DD458,27),0)</f>
        <v/>
      </c>
      <c r="AD458">
        <f>IFERROR(INDEX(PP_Grid[#Data],$DD458,28),0)</f>
        <v/>
      </c>
      <c r="AE458">
        <f>IFERROR(INDEX(PP_Grid[#Data],$DD458,29),0)</f>
        <v/>
      </c>
      <c r="AF458">
        <f>IFERROR(INDEX(PP_Grid[#Data],$DD458,30),0)</f>
        <v/>
      </c>
      <c r="AG458">
        <f>IFERROR(INDEX(PP_Grid[#Data],$DD458,31),0)</f>
        <v/>
      </c>
      <c r="AH458">
        <f>IFERROR(INDEX(PP_Grid[#Data],$DD458,32),0)</f>
        <v/>
      </c>
      <c r="AI458">
        <f>IFERROR(INDEX(PP_Grid[#Data],$DD458,33),0)</f>
        <v/>
      </c>
      <c r="AJ458">
        <f>IFERROR(INDEX(PP_Grid[#Data],$DD458,34),0)</f>
        <v/>
      </c>
      <c r="AK458">
        <f>IFERROR(INDEX(PP_Grid[#Data],$DD458,35),0)</f>
        <v/>
      </c>
      <c r="AL458">
        <f>IFERROR(INDEX(PP_Grid[#Data],$DD458,36),0)</f>
        <v/>
      </c>
      <c r="AM458">
        <f>IFERROR(INDEX(PP_Grid[#Data],$DD458,37),0)</f>
        <v/>
      </c>
      <c r="AN458">
        <f>IFERROR(INDEX(PP_Grid[#Data],$DD458,38),0)</f>
        <v/>
      </c>
      <c r="AO458">
        <f>IFERROR(INDEX(PP_Grid[#Data],$DD458,39),0)</f>
        <v/>
      </c>
      <c r="AP458">
        <f>IFERROR(INDEX(PP_Grid[#Data],$DD458,40),0)</f>
        <v/>
      </c>
      <c r="AQ458">
        <f>IFERROR(INDEX(PP_Grid[#Data],$DD458,41),0)</f>
        <v/>
      </c>
      <c r="AR458">
        <f>IFERROR(INDEX(PP_Grid[#Data],$DD458,42),0)</f>
        <v/>
      </c>
      <c r="AS458">
        <f>IFERROR(INDEX(PP_Grid[#Data],$DD458,43),0)</f>
        <v/>
      </c>
      <c r="AT458">
        <f>IFERROR(INDEX(PP_Grid[#Data],$DD458,44),0)</f>
        <v/>
      </c>
      <c r="AU458">
        <f>IFERROR(INDEX(PP_Grid[#Data],$DD458,45),0)</f>
        <v/>
      </c>
      <c r="AV458">
        <f>IFERROR(INDEX(PP_Grid[#Data],$DD458,46),0)</f>
        <v/>
      </c>
      <c r="AW458">
        <f>IFERROR(INDEX(PP_Grid[#Data],$DD458,47),0)</f>
        <v/>
      </c>
      <c r="AX458">
        <f>IFERROR(INDEX(PP_Grid[#Data],$DD458,48),0)</f>
        <v/>
      </c>
      <c r="AY458">
        <f>IFERROR(INDEX(PP_Grid[#Data],$DD458,49),0)</f>
        <v/>
      </c>
      <c r="AZ458">
        <f>IFERROR(INDEX(PP_Grid[#Data],$DD458,50),0)</f>
        <v/>
      </c>
      <c r="BA458">
        <f>IFERROR(INDEX(PP_Grid[#Data],$DD458,51),0)</f>
        <v/>
      </c>
      <c r="BB458">
        <f>IFERROR(INDEX(PP_Grid[#Data],$DD458,52),0)</f>
        <v/>
      </c>
      <c r="BC458">
        <f>IFERROR(INDEX(PP_Grid[#Data],$DD458,53),0)</f>
        <v/>
      </c>
      <c r="BD458">
        <f>IFERROR(INDEX(PP_Grid[#Data],$DD458,54),0)</f>
        <v/>
      </c>
      <c r="BE458">
        <f>IFERROR(INDEX(PP_Grid[#Data],$DD458,55),0)</f>
        <v/>
      </c>
      <c r="BF458">
        <f>IFERROR(INDEX(PP_Grid[#Data],$DD458,56),0)</f>
        <v/>
      </c>
      <c r="BG458">
        <f>IFERROR(INDEX(PP_Grid[#Data],$DD458,57),0)</f>
        <v/>
      </c>
      <c r="BH458">
        <f>IFERROR(INDEX(PP_Grid[#Data],$DD458,58),0)</f>
        <v/>
      </c>
      <c r="BI458">
        <f>IFERROR(INDEX(PP_Grid[#Data],$DD458,59),0)</f>
        <v/>
      </c>
      <c r="BJ458">
        <f>IFERROR(INDEX(PP_Grid[#Data],$DD458,60),0)</f>
        <v/>
      </c>
      <c r="BK458">
        <f>IFERROR(INDEX(PP_Grid[#Data],$DD458,61),0)</f>
        <v/>
      </c>
      <c r="BL458">
        <f>IFERROR(INDEX(PP_Grid[#Data],$DD458,62),0)</f>
        <v/>
      </c>
      <c r="BM458">
        <f>IFERROR(INDEX(PP_Grid[#Data],$DD458,63),0)</f>
        <v/>
      </c>
      <c r="BN458">
        <f>IFERROR(INDEX(PP_Grid[#Data],$DD458,64),0)</f>
        <v/>
      </c>
      <c r="BO458">
        <f>IFERROR(INDEX(PP_Grid[#Data],$DD458,65),0)</f>
        <v/>
      </c>
      <c r="BP458">
        <f>IFERROR(INDEX(PP_Grid[#Data],$DD458,66),0)</f>
        <v/>
      </c>
      <c r="BQ458">
        <f>IFERROR(INDEX(PP_Grid[#Data],$DD458,67),0)</f>
        <v/>
      </c>
      <c r="BR458">
        <f>IFERROR(INDEX(PP_Grid[#Data],$DD458,68),0)</f>
        <v/>
      </c>
      <c r="BS458">
        <f>IFERROR(INDEX(PP_Grid[#Data],$DD458,69),0)</f>
        <v/>
      </c>
      <c r="BT458">
        <f>IFERROR(INDEX(PP_Grid[#Data],$DD458,70),0)</f>
        <v/>
      </c>
      <c r="BU458">
        <f>IFERROR(INDEX(PP_Grid[#Data],$DD458,71),0)</f>
        <v/>
      </c>
      <c r="BV458">
        <f>IFERROR(INDEX(PP_Grid[#Data],$DD458,72),0)</f>
        <v/>
      </c>
      <c r="BW458">
        <f>IFERROR(INDEX(PP_Grid[#Data],$DD458,73),0)</f>
        <v/>
      </c>
      <c r="BX458">
        <f>IFERROR(INDEX(PP_Grid[#Data],$DD458,74),0)</f>
        <v/>
      </c>
      <c r="BY458">
        <f>IFERROR(INDEX(PP_Grid[#Data],$DD458,75),0)</f>
        <v/>
      </c>
      <c r="BZ458">
        <f>IFERROR(INDEX(PP_Grid[#Data],$DD458,76),0)</f>
        <v/>
      </c>
      <c r="CA458">
        <f>IFERROR(INDEX(PP_Grid[#Data],$DD458,77),0)</f>
        <v/>
      </c>
      <c r="CB458">
        <f>IFERROR(INDEX(PP_Grid[#Data],$DD458,78),0)</f>
        <v/>
      </c>
      <c r="CC458">
        <f>IFERROR(INDEX(PP_Grid[#Data],$DD458,79),0)</f>
        <v/>
      </c>
      <c r="CD458">
        <f>IFERROR(INDEX(PP_Grid[#Data],$DD458,80),0)</f>
        <v/>
      </c>
      <c r="CE458">
        <f>IFERROR(INDEX(PP_Grid[#Data],$DD458,81),0)</f>
        <v/>
      </c>
      <c r="CF458">
        <f>IFERROR(INDEX(PP_Grid[#Data],$DD458,82),0)</f>
        <v/>
      </c>
      <c r="CG458">
        <f>IFERROR(INDEX(PP_Grid[#Data],$DD458,83),0)</f>
        <v/>
      </c>
      <c r="CH458">
        <f>IFERROR(INDEX(PP_Grid[#Data],$DD458,84),0)</f>
        <v/>
      </c>
      <c r="CI458">
        <f>IFERROR(INDEX(PP_Grid[#Data],$DD458,85),0)</f>
        <v/>
      </c>
      <c r="CJ458">
        <f>IFERROR(INDEX(PP_Grid[#Data],$DD458,86),0)</f>
        <v/>
      </c>
      <c r="CK458">
        <f>IFERROR(INDEX(PP_Grid[#Data],$DD458,87),0)</f>
        <v/>
      </c>
      <c r="CL458">
        <f>IFERROR(INDEX(PP_Grid[#Data],$DD458,88),0)</f>
        <v/>
      </c>
      <c r="CM458">
        <f>IFERROR(INDEX(PP_Grid[#Data],$DD458,89),0)</f>
        <v/>
      </c>
      <c r="CN458">
        <f>IFERROR(INDEX(PP_Grid[#Data],$DD458,90),0)</f>
        <v/>
      </c>
      <c r="CO458">
        <f>IFERROR(INDEX(PP_Grid[#Data],$DD458,91),0)</f>
        <v/>
      </c>
      <c r="CP458">
        <f>IFERROR(INDEX(PP_Grid[#Data],$DD458,92),0)</f>
        <v/>
      </c>
      <c r="CQ458">
        <f>IFERROR(INDEX(PP_Grid[#Data],$DD458,93),0)</f>
        <v/>
      </c>
      <c r="CR458">
        <f>IFERROR(INDEX(PP_Grid[#Data],$DD458,94),0)</f>
        <v/>
      </c>
      <c r="CS458">
        <f>IFERROR(INDEX(PP_Grid[#Data],$DD458,95),0)</f>
        <v/>
      </c>
      <c r="CT458">
        <f>IFERROR(INDEX(PP_Grid[#Data],$DD458,96),0)</f>
        <v/>
      </c>
      <c r="CU458">
        <f>IFERROR(INDEX(PP_Grid[#Data],$DD458,97),0)</f>
        <v/>
      </c>
      <c r="CV458">
        <f>IFERROR(INDEX(PP_Grid[#Data],$DD458,98),0)</f>
        <v/>
      </c>
      <c r="CW458">
        <f>IFERROR(INDEX(PP_Grid[#Data],$DD458,99),0)</f>
        <v/>
      </c>
      <c r="CX458">
        <f>IFERROR(INDEX(PP_Grid[#Data],$DD458,100),0)</f>
        <v/>
      </c>
      <c r="CY458">
        <f>IFERROR(INDEX(PP_Grid[#Data],$DD458,101),0)</f>
        <v/>
      </c>
      <c r="CZ458">
        <f>IFERROR(INDEX(PP_Grid[#Data],$DD458,102),0)</f>
        <v/>
      </c>
      <c r="DA458">
        <f>IFERROR(INDEX(PP_Grid[#Data],$DD458,103),0)</f>
        <v/>
      </c>
      <c r="DB458">
        <f>IFERROR(INDEX(PP_Grid[#Data],$DD458,104),0)</f>
        <v/>
      </c>
      <c r="DC458">
        <f>IFERROR(INDEX(PP_Grid[#Data],$DD458,105),0)</f>
        <v/>
      </c>
      <c r="DD458" s="7">
        <f>IFERROR(MATCH($B458,PP_Grid[Intermediate],0),99999)</f>
        <v/>
      </c>
    </row>
    <row r="459">
      <c r="B459" t="inlineStr">
        <is>
          <t>使用量(kg)</t>
        </is>
      </c>
      <c r="C459">
        <f>SUMIFS(M_BOM[RM_Qty_Per_Batch],M_BOM[Intermediate],$B458,M_BOM[Part Name],$A449)</f>
        <v/>
      </c>
      <c r="D459">
        <f>$C459*D458</f>
        <v/>
      </c>
      <c r="E459">
        <f>$C459*E458</f>
        <v/>
      </c>
      <c r="F459">
        <f>$C459*F458</f>
        <v/>
      </c>
      <c r="G459">
        <f>$C459*G458</f>
        <v/>
      </c>
      <c r="H459">
        <f>$C459*H458</f>
        <v/>
      </c>
      <c r="I459">
        <f>$C459*I458</f>
        <v/>
      </c>
      <c r="J459">
        <f>$C459*J458</f>
        <v/>
      </c>
      <c r="K459">
        <f>$C459*K458</f>
        <v/>
      </c>
      <c r="L459">
        <f>$C459*L458</f>
        <v/>
      </c>
      <c r="M459">
        <f>$C459*M458</f>
        <v/>
      </c>
      <c r="N459">
        <f>$C459*N458</f>
        <v/>
      </c>
      <c r="O459">
        <f>$C459*O458</f>
        <v/>
      </c>
      <c r="P459">
        <f>$C459*P458</f>
        <v/>
      </c>
      <c r="Q459">
        <f>$C459*Q458</f>
        <v/>
      </c>
      <c r="R459">
        <f>$C459*R458</f>
        <v/>
      </c>
      <c r="S459">
        <f>$C459*S458</f>
        <v/>
      </c>
      <c r="T459">
        <f>$C459*T458</f>
        <v/>
      </c>
      <c r="U459">
        <f>$C459*U458</f>
        <v/>
      </c>
      <c r="V459">
        <f>$C459*V458</f>
        <v/>
      </c>
      <c r="W459">
        <f>$C459*W458</f>
        <v/>
      </c>
      <c r="X459">
        <f>$C459*X458</f>
        <v/>
      </c>
      <c r="Y459">
        <f>$C459*Y458</f>
        <v/>
      </c>
      <c r="Z459">
        <f>$C459*Z458</f>
        <v/>
      </c>
      <c r="AA459">
        <f>$C459*AA458</f>
        <v/>
      </c>
      <c r="AB459">
        <f>$C459*AB458</f>
        <v/>
      </c>
      <c r="AC459">
        <f>$C459*AC458</f>
        <v/>
      </c>
      <c r="AD459">
        <f>$C459*AD458</f>
        <v/>
      </c>
      <c r="AE459">
        <f>$C459*AE458</f>
        <v/>
      </c>
      <c r="AF459">
        <f>$C459*AF458</f>
        <v/>
      </c>
      <c r="AG459">
        <f>$C459*AG458</f>
        <v/>
      </c>
      <c r="AH459">
        <f>$C459*AH458</f>
        <v/>
      </c>
      <c r="AI459">
        <f>$C459*AI458</f>
        <v/>
      </c>
      <c r="AJ459">
        <f>$C459*AJ458</f>
        <v/>
      </c>
      <c r="AK459">
        <f>$C459*AK458</f>
        <v/>
      </c>
      <c r="AL459">
        <f>$C459*AL458</f>
        <v/>
      </c>
      <c r="AM459">
        <f>$C459*AM458</f>
        <v/>
      </c>
      <c r="AN459">
        <f>$C459*AN458</f>
        <v/>
      </c>
      <c r="AO459">
        <f>$C459*AO458</f>
        <v/>
      </c>
      <c r="AP459">
        <f>$C459*AP458</f>
        <v/>
      </c>
      <c r="AQ459">
        <f>$C459*AQ458</f>
        <v/>
      </c>
      <c r="AR459">
        <f>$C459*AR458</f>
        <v/>
      </c>
      <c r="AS459">
        <f>$C459*AS458</f>
        <v/>
      </c>
      <c r="AT459">
        <f>$C459*AT458</f>
        <v/>
      </c>
      <c r="AU459">
        <f>$C459*AU458</f>
        <v/>
      </c>
      <c r="AV459">
        <f>$C459*AV458</f>
        <v/>
      </c>
      <c r="AW459">
        <f>$C459*AW458</f>
        <v/>
      </c>
      <c r="AX459">
        <f>$C459*AX458</f>
        <v/>
      </c>
      <c r="AY459">
        <f>$C459*AY458</f>
        <v/>
      </c>
      <c r="AZ459">
        <f>$C459*AZ458</f>
        <v/>
      </c>
      <c r="BA459">
        <f>$C459*BA458</f>
        <v/>
      </c>
      <c r="BB459">
        <f>$C459*BB458</f>
        <v/>
      </c>
      <c r="BC459">
        <f>$C459*BC458</f>
        <v/>
      </c>
      <c r="BD459">
        <f>$C459*BD458</f>
        <v/>
      </c>
      <c r="BE459">
        <f>$C459*BE458</f>
        <v/>
      </c>
      <c r="BF459">
        <f>$C459*BF458</f>
        <v/>
      </c>
      <c r="BG459">
        <f>$C459*BG458</f>
        <v/>
      </c>
      <c r="BH459">
        <f>$C459*BH458</f>
        <v/>
      </c>
      <c r="BI459">
        <f>$C459*BI458</f>
        <v/>
      </c>
      <c r="BJ459">
        <f>$C459*BJ458</f>
        <v/>
      </c>
      <c r="BK459">
        <f>$C459*BK458</f>
        <v/>
      </c>
      <c r="BL459">
        <f>$C459*BL458</f>
        <v/>
      </c>
      <c r="BM459">
        <f>$C459*BM458</f>
        <v/>
      </c>
      <c r="BN459">
        <f>$C459*BN458</f>
        <v/>
      </c>
      <c r="BO459">
        <f>$C459*BO458</f>
        <v/>
      </c>
      <c r="BP459">
        <f>$C459*BP458</f>
        <v/>
      </c>
      <c r="BQ459">
        <f>$C459*BQ458</f>
        <v/>
      </c>
      <c r="BR459">
        <f>$C459*BR458</f>
        <v/>
      </c>
      <c r="BS459">
        <f>$C459*BS458</f>
        <v/>
      </c>
      <c r="BT459">
        <f>$C459*BT458</f>
        <v/>
      </c>
      <c r="BU459">
        <f>$C459*BU458</f>
        <v/>
      </c>
      <c r="BV459">
        <f>$C459*BV458</f>
        <v/>
      </c>
      <c r="BW459">
        <f>$C459*BW458</f>
        <v/>
      </c>
      <c r="BX459">
        <f>$C459*BX458</f>
        <v/>
      </c>
      <c r="BY459">
        <f>$C459*BY458</f>
        <v/>
      </c>
      <c r="BZ459">
        <f>$C459*BZ458</f>
        <v/>
      </c>
      <c r="CA459">
        <f>$C459*CA458</f>
        <v/>
      </c>
      <c r="CB459">
        <f>$C459*CB458</f>
        <v/>
      </c>
      <c r="CC459">
        <f>$C459*CC458</f>
        <v/>
      </c>
      <c r="CD459">
        <f>$C459*CD458</f>
        <v/>
      </c>
      <c r="CE459">
        <f>$C459*CE458</f>
        <v/>
      </c>
      <c r="CF459">
        <f>$C459*CF458</f>
        <v/>
      </c>
      <c r="CG459">
        <f>$C459*CG458</f>
        <v/>
      </c>
      <c r="CH459">
        <f>$C459*CH458</f>
        <v/>
      </c>
      <c r="CI459">
        <f>$C459*CI458</f>
        <v/>
      </c>
      <c r="CJ459">
        <f>$C459*CJ458</f>
        <v/>
      </c>
      <c r="CK459">
        <f>$C459*CK458</f>
        <v/>
      </c>
      <c r="CL459">
        <f>$C459*CL458</f>
        <v/>
      </c>
      <c r="CM459">
        <f>$C459*CM458</f>
        <v/>
      </c>
      <c r="CN459">
        <f>$C459*CN458</f>
        <v/>
      </c>
      <c r="CO459">
        <f>$C459*CO458</f>
        <v/>
      </c>
      <c r="CP459">
        <f>$C459*CP458</f>
        <v/>
      </c>
      <c r="CQ459">
        <f>$C459*CQ458</f>
        <v/>
      </c>
      <c r="CR459">
        <f>$C459*CR458</f>
        <v/>
      </c>
      <c r="CS459">
        <f>$C459*CS458</f>
        <v/>
      </c>
      <c r="CT459">
        <f>$C459*CT458</f>
        <v/>
      </c>
      <c r="CU459">
        <f>$C459*CU458</f>
        <v/>
      </c>
      <c r="CV459">
        <f>$C459*CV458</f>
        <v/>
      </c>
      <c r="CW459">
        <f>$C459*CW458</f>
        <v/>
      </c>
      <c r="CX459">
        <f>$C459*CX458</f>
        <v/>
      </c>
      <c r="CY459">
        <f>$C459*CY458</f>
        <v/>
      </c>
      <c r="CZ459">
        <f>$C459*CZ458</f>
        <v/>
      </c>
      <c r="DA459">
        <f>$C459*DA458</f>
        <v/>
      </c>
      <c r="DB459">
        <f>$C459*DB458</f>
        <v/>
      </c>
      <c r="DC459">
        <f>$C459*DC458</f>
        <v/>
      </c>
    </row>
    <row r="460">
      <c r="B460" t="inlineStr">
        <is>
          <t>TSP-105</t>
        </is>
      </c>
      <c r="C460" t="inlineStr">
        <is>
          <t>No. of batches</t>
        </is>
      </c>
      <c r="D460">
        <f>IFERROR(INDEX(PP_Grid[#Data],$DD460,2),0)</f>
        <v/>
      </c>
      <c r="E460">
        <f>IFERROR(INDEX(PP_Grid[#Data],$DD460,3),0)</f>
        <v/>
      </c>
      <c r="F460">
        <f>IFERROR(INDEX(PP_Grid[#Data],$DD460,4),0)</f>
        <v/>
      </c>
      <c r="G460">
        <f>IFERROR(INDEX(PP_Grid[#Data],$DD460,5),0)</f>
        <v/>
      </c>
      <c r="H460">
        <f>IFERROR(INDEX(PP_Grid[#Data],$DD460,6),0)</f>
        <v/>
      </c>
      <c r="I460">
        <f>IFERROR(INDEX(PP_Grid[#Data],$DD460,7),0)</f>
        <v/>
      </c>
      <c r="J460">
        <f>IFERROR(INDEX(PP_Grid[#Data],$DD460,8),0)</f>
        <v/>
      </c>
      <c r="K460">
        <f>IFERROR(INDEX(PP_Grid[#Data],$DD460,9),0)</f>
        <v/>
      </c>
      <c r="L460">
        <f>IFERROR(INDEX(PP_Grid[#Data],$DD460,10),0)</f>
        <v/>
      </c>
      <c r="M460">
        <f>IFERROR(INDEX(PP_Grid[#Data],$DD460,11),0)</f>
        <v/>
      </c>
      <c r="N460">
        <f>IFERROR(INDEX(PP_Grid[#Data],$DD460,12),0)</f>
        <v/>
      </c>
      <c r="O460">
        <f>IFERROR(INDEX(PP_Grid[#Data],$DD460,13),0)</f>
        <v/>
      </c>
      <c r="P460">
        <f>IFERROR(INDEX(PP_Grid[#Data],$DD460,14),0)</f>
        <v/>
      </c>
      <c r="Q460">
        <f>IFERROR(INDEX(PP_Grid[#Data],$DD460,15),0)</f>
        <v/>
      </c>
      <c r="R460">
        <f>IFERROR(INDEX(PP_Grid[#Data],$DD460,16),0)</f>
        <v/>
      </c>
      <c r="S460">
        <f>IFERROR(INDEX(PP_Grid[#Data],$DD460,17),0)</f>
        <v/>
      </c>
      <c r="T460">
        <f>IFERROR(INDEX(PP_Grid[#Data],$DD460,18),0)</f>
        <v/>
      </c>
      <c r="U460">
        <f>IFERROR(INDEX(PP_Grid[#Data],$DD460,19),0)</f>
        <v/>
      </c>
      <c r="V460">
        <f>IFERROR(INDEX(PP_Grid[#Data],$DD460,20),0)</f>
        <v/>
      </c>
      <c r="W460">
        <f>IFERROR(INDEX(PP_Grid[#Data],$DD460,21),0)</f>
        <v/>
      </c>
      <c r="X460">
        <f>IFERROR(INDEX(PP_Grid[#Data],$DD460,22),0)</f>
        <v/>
      </c>
      <c r="Y460">
        <f>IFERROR(INDEX(PP_Grid[#Data],$DD460,23),0)</f>
        <v/>
      </c>
      <c r="Z460">
        <f>IFERROR(INDEX(PP_Grid[#Data],$DD460,24),0)</f>
        <v/>
      </c>
      <c r="AA460">
        <f>IFERROR(INDEX(PP_Grid[#Data],$DD460,25),0)</f>
        <v/>
      </c>
      <c r="AB460">
        <f>IFERROR(INDEX(PP_Grid[#Data],$DD460,26),0)</f>
        <v/>
      </c>
      <c r="AC460">
        <f>IFERROR(INDEX(PP_Grid[#Data],$DD460,27),0)</f>
        <v/>
      </c>
      <c r="AD460">
        <f>IFERROR(INDEX(PP_Grid[#Data],$DD460,28),0)</f>
        <v/>
      </c>
      <c r="AE460">
        <f>IFERROR(INDEX(PP_Grid[#Data],$DD460,29),0)</f>
        <v/>
      </c>
      <c r="AF460">
        <f>IFERROR(INDEX(PP_Grid[#Data],$DD460,30),0)</f>
        <v/>
      </c>
      <c r="AG460">
        <f>IFERROR(INDEX(PP_Grid[#Data],$DD460,31),0)</f>
        <v/>
      </c>
      <c r="AH460">
        <f>IFERROR(INDEX(PP_Grid[#Data],$DD460,32),0)</f>
        <v/>
      </c>
      <c r="AI460">
        <f>IFERROR(INDEX(PP_Grid[#Data],$DD460,33),0)</f>
        <v/>
      </c>
      <c r="AJ460">
        <f>IFERROR(INDEX(PP_Grid[#Data],$DD460,34),0)</f>
        <v/>
      </c>
      <c r="AK460">
        <f>IFERROR(INDEX(PP_Grid[#Data],$DD460,35),0)</f>
        <v/>
      </c>
      <c r="AL460">
        <f>IFERROR(INDEX(PP_Grid[#Data],$DD460,36),0)</f>
        <v/>
      </c>
      <c r="AM460">
        <f>IFERROR(INDEX(PP_Grid[#Data],$DD460,37),0)</f>
        <v/>
      </c>
      <c r="AN460">
        <f>IFERROR(INDEX(PP_Grid[#Data],$DD460,38),0)</f>
        <v/>
      </c>
      <c r="AO460">
        <f>IFERROR(INDEX(PP_Grid[#Data],$DD460,39),0)</f>
        <v/>
      </c>
      <c r="AP460">
        <f>IFERROR(INDEX(PP_Grid[#Data],$DD460,40),0)</f>
        <v/>
      </c>
      <c r="AQ460">
        <f>IFERROR(INDEX(PP_Grid[#Data],$DD460,41),0)</f>
        <v/>
      </c>
      <c r="AR460">
        <f>IFERROR(INDEX(PP_Grid[#Data],$DD460,42),0)</f>
        <v/>
      </c>
      <c r="AS460">
        <f>IFERROR(INDEX(PP_Grid[#Data],$DD460,43),0)</f>
        <v/>
      </c>
      <c r="AT460">
        <f>IFERROR(INDEX(PP_Grid[#Data],$DD460,44),0)</f>
        <v/>
      </c>
      <c r="AU460">
        <f>IFERROR(INDEX(PP_Grid[#Data],$DD460,45),0)</f>
        <v/>
      </c>
      <c r="AV460">
        <f>IFERROR(INDEX(PP_Grid[#Data],$DD460,46),0)</f>
        <v/>
      </c>
      <c r="AW460">
        <f>IFERROR(INDEX(PP_Grid[#Data],$DD460,47),0)</f>
        <v/>
      </c>
      <c r="AX460">
        <f>IFERROR(INDEX(PP_Grid[#Data],$DD460,48),0)</f>
        <v/>
      </c>
      <c r="AY460">
        <f>IFERROR(INDEX(PP_Grid[#Data],$DD460,49),0)</f>
        <v/>
      </c>
      <c r="AZ460">
        <f>IFERROR(INDEX(PP_Grid[#Data],$DD460,50),0)</f>
        <v/>
      </c>
      <c r="BA460">
        <f>IFERROR(INDEX(PP_Grid[#Data],$DD460,51),0)</f>
        <v/>
      </c>
      <c r="BB460">
        <f>IFERROR(INDEX(PP_Grid[#Data],$DD460,52),0)</f>
        <v/>
      </c>
      <c r="BC460">
        <f>IFERROR(INDEX(PP_Grid[#Data],$DD460,53),0)</f>
        <v/>
      </c>
      <c r="BD460">
        <f>IFERROR(INDEX(PP_Grid[#Data],$DD460,54),0)</f>
        <v/>
      </c>
      <c r="BE460">
        <f>IFERROR(INDEX(PP_Grid[#Data],$DD460,55),0)</f>
        <v/>
      </c>
      <c r="BF460">
        <f>IFERROR(INDEX(PP_Grid[#Data],$DD460,56),0)</f>
        <v/>
      </c>
      <c r="BG460">
        <f>IFERROR(INDEX(PP_Grid[#Data],$DD460,57),0)</f>
        <v/>
      </c>
      <c r="BH460">
        <f>IFERROR(INDEX(PP_Grid[#Data],$DD460,58),0)</f>
        <v/>
      </c>
      <c r="BI460">
        <f>IFERROR(INDEX(PP_Grid[#Data],$DD460,59),0)</f>
        <v/>
      </c>
      <c r="BJ460">
        <f>IFERROR(INDEX(PP_Grid[#Data],$DD460,60),0)</f>
        <v/>
      </c>
      <c r="BK460">
        <f>IFERROR(INDEX(PP_Grid[#Data],$DD460,61),0)</f>
        <v/>
      </c>
      <c r="BL460">
        <f>IFERROR(INDEX(PP_Grid[#Data],$DD460,62),0)</f>
        <v/>
      </c>
      <c r="BM460">
        <f>IFERROR(INDEX(PP_Grid[#Data],$DD460,63),0)</f>
        <v/>
      </c>
      <c r="BN460">
        <f>IFERROR(INDEX(PP_Grid[#Data],$DD460,64),0)</f>
        <v/>
      </c>
      <c r="BO460">
        <f>IFERROR(INDEX(PP_Grid[#Data],$DD460,65),0)</f>
        <v/>
      </c>
      <c r="BP460">
        <f>IFERROR(INDEX(PP_Grid[#Data],$DD460,66),0)</f>
        <v/>
      </c>
      <c r="BQ460">
        <f>IFERROR(INDEX(PP_Grid[#Data],$DD460,67),0)</f>
        <v/>
      </c>
      <c r="BR460">
        <f>IFERROR(INDEX(PP_Grid[#Data],$DD460,68),0)</f>
        <v/>
      </c>
      <c r="BS460">
        <f>IFERROR(INDEX(PP_Grid[#Data],$DD460,69),0)</f>
        <v/>
      </c>
      <c r="BT460">
        <f>IFERROR(INDEX(PP_Grid[#Data],$DD460,70),0)</f>
        <v/>
      </c>
      <c r="BU460">
        <f>IFERROR(INDEX(PP_Grid[#Data],$DD460,71),0)</f>
        <v/>
      </c>
      <c r="BV460">
        <f>IFERROR(INDEX(PP_Grid[#Data],$DD460,72),0)</f>
        <v/>
      </c>
      <c r="BW460">
        <f>IFERROR(INDEX(PP_Grid[#Data],$DD460,73),0)</f>
        <v/>
      </c>
      <c r="BX460">
        <f>IFERROR(INDEX(PP_Grid[#Data],$DD460,74),0)</f>
        <v/>
      </c>
      <c r="BY460">
        <f>IFERROR(INDEX(PP_Grid[#Data],$DD460,75),0)</f>
        <v/>
      </c>
      <c r="BZ460">
        <f>IFERROR(INDEX(PP_Grid[#Data],$DD460,76),0)</f>
        <v/>
      </c>
      <c r="CA460">
        <f>IFERROR(INDEX(PP_Grid[#Data],$DD460,77),0)</f>
        <v/>
      </c>
      <c r="CB460">
        <f>IFERROR(INDEX(PP_Grid[#Data],$DD460,78),0)</f>
        <v/>
      </c>
      <c r="CC460">
        <f>IFERROR(INDEX(PP_Grid[#Data],$DD460,79),0)</f>
        <v/>
      </c>
      <c r="CD460">
        <f>IFERROR(INDEX(PP_Grid[#Data],$DD460,80),0)</f>
        <v/>
      </c>
      <c r="CE460">
        <f>IFERROR(INDEX(PP_Grid[#Data],$DD460,81),0)</f>
        <v/>
      </c>
      <c r="CF460">
        <f>IFERROR(INDEX(PP_Grid[#Data],$DD460,82),0)</f>
        <v/>
      </c>
      <c r="CG460">
        <f>IFERROR(INDEX(PP_Grid[#Data],$DD460,83),0)</f>
        <v/>
      </c>
      <c r="CH460">
        <f>IFERROR(INDEX(PP_Grid[#Data],$DD460,84),0)</f>
        <v/>
      </c>
      <c r="CI460">
        <f>IFERROR(INDEX(PP_Grid[#Data],$DD460,85),0)</f>
        <v/>
      </c>
      <c r="CJ460">
        <f>IFERROR(INDEX(PP_Grid[#Data],$DD460,86),0)</f>
        <v/>
      </c>
      <c r="CK460">
        <f>IFERROR(INDEX(PP_Grid[#Data],$DD460,87),0)</f>
        <v/>
      </c>
      <c r="CL460">
        <f>IFERROR(INDEX(PP_Grid[#Data],$DD460,88),0)</f>
        <v/>
      </c>
      <c r="CM460">
        <f>IFERROR(INDEX(PP_Grid[#Data],$DD460,89),0)</f>
        <v/>
      </c>
      <c r="CN460">
        <f>IFERROR(INDEX(PP_Grid[#Data],$DD460,90),0)</f>
        <v/>
      </c>
      <c r="CO460">
        <f>IFERROR(INDEX(PP_Grid[#Data],$DD460,91),0)</f>
        <v/>
      </c>
      <c r="CP460">
        <f>IFERROR(INDEX(PP_Grid[#Data],$DD460,92),0)</f>
        <v/>
      </c>
      <c r="CQ460">
        <f>IFERROR(INDEX(PP_Grid[#Data],$DD460,93),0)</f>
        <v/>
      </c>
      <c r="CR460">
        <f>IFERROR(INDEX(PP_Grid[#Data],$DD460,94),0)</f>
        <v/>
      </c>
      <c r="CS460">
        <f>IFERROR(INDEX(PP_Grid[#Data],$DD460,95),0)</f>
        <v/>
      </c>
      <c r="CT460">
        <f>IFERROR(INDEX(PP_Grid[#Data],$DD460,96),0)</f>
        <v/>
      </c>
      <c r="CU460">
        <f>IFERROR(INDEX(PP_Grid[#Data],$DD460,97),0)</f>
        <v/>
      </c>
      <c r="CV460">
        <f>IFERROR(INDEX(PP_Grid[#Data],$DD460,98),0)</f>
        <v/>
      </c>
      <c r="CW460">
        <f>IFERROR(INDEX(PP_Grid[#Data],$DD460,99),0)</f>
        <v/>
      </c>
      <c r="CX460">
        <f>IFERROR(INDEX(PP_Grid[#Data],$DD460,100),0)</f>
        <v/>
      </c>
      <c r="CY460">
        <f>IFERROR(INDEX(PP_Grid[#Data],$DD460,101),0)</f>
        <v/>
      </c>
      <c r="CZ460">
        <f>IFERROR(INDEX(PP_Grid[#Data],$DD460,102),0)</f>
        <v/>
      </c>
      <c r="DA460">
        <f>IFERROR(INDEX(PP_Grid[#Data],$DD460,103),0)</f>
        <v/>
      </c>
      <c r="DB460">
        <f>IFERROR(INDEX(PP_Grid[#Data],$DD460,104),0)</f>
        <v/>
      </c>
      <c r="DC460">
        <f>IFERROR(INDEX(PP_Grid[#Data],$DD460,105),0)</f>
        <v/>
      </c>
      <c r="DD460" s="7">
        <f>IFERROR(MATCH($B460,PP_Grid[Intermediate],0),99999)</f>
        <v/>
      </c>
    </row>
    <row r="461">
      <c r="B461" t="inlineStr">
        <is>
          <t>使用量(kg)</t>
        </is>
      </c>
      <c r="C461">
        <f>SUMIFS(M_BOM[RM_Qty_Per_Batch],M_BOM[Intermediate],$B460,M_BOM[Part Name],$A449)</f>
        <v/>
      </c>
      <c r="D461">
        <f>$C461*D460</f>
        <v/>
      </c>
      <c r="E461">
        <f>$C461*E460</f>
        <v/>
      </c>
      <c r="F461">
        <f>$C461*F460</f>
        <v/>
      </c>
      <c r="G461">
        <f>$C461*G460</f>
        <v/>
      </c>
      <c r="H461">
        <f>$C461*H460</f>
        <v/>
      </c>
      <c r="I461">
        <f>$C461*I460</f>
        <v/>
      </c>
      <c r="J461">
        <f>$C461*J460</f>
        <v/>
      </c>
      <c r="K461">
        <f>$C461*K460</f>
        <v/>
      </c>
      <c r="L461">
        <f>$C461*L460</f>
        <v/>
      </c>
      <c r="M461">
        <f>$C461*M460</f>
        <v/>
      </c>
      <c r="N461">
        <f>$C461*N460</f>
        <v/>
      </c>
      <c r="O461">
        <f>$C461*O460</f>
        <v/>
      </c>
      <c r="P461">
        <f>$C461*P460</f>
        <v/>
      </c>
      <c r="Q461">
        <f>$C461*Q460</f>
        <v/>
      </c>
      <c r="R461">
        <f>$C461*R460</f>
        <v/>
      </c>
      <c r="S461">
        <f>$C461*S460</f>
        <v/>
      </c>
      <c r="T461">
        <f>$C461*T460</f>
        <v/>
      </c>
      <c r="U461">
        <f>$C461*U460</f>
        <v/>
      </c>
      <c r="V461">
        <f>$C461*V460</f>
        <v/>
      </c>
      <c r="W461">
        <f>$C461*W460</f>
        <v/>
      </c>
      <c r="X461">
        <f>$C461*X460</f>
        <v/>
      </c>
      <c r="Y461">
        <f>$C461*Y460</f>
        <v/>
      </c>
      <c r="Z461">
        <f>$C461*Z460</f>
        <v/>
      </c>
      <c r="AA461">
        <f>$C461*AA460</f>
        <v/>
      </c>
      <c r="AB461">
        <f>$C461*AB460</f>
        <v/>
      </c>
      <c r="AC461">
        <f>$C461*AC460</f>
        <v/>
      </c>
      <c r="AD461">
        <f>$C461*AD460</f>
        <v/>
      </c>
      <c r="AE461">
        <f>$C461*AE460</f>
        <v/>
      </c>
      <c r="AF461">
        <f>$C461*AF460</f>
        <v/>
      </c>
      <c r="AG461">
        <f>$C461*AG460</f>
        <v/>
      </c>
      <c r="AH461">
        <f>$C461*AH460</f>
        <v/>
      </c>
      <c r="AI461">
        <f>$C461*AI460</f>
        <v/>
      </c>
      <c r="AJ461">
        <f>$C461*AJ460</f>
        <v/>
      </c>
      <c r="AK461">
        <f>$C461*AK460</f>
        <v/>
      </c>
      <c r="AL461">
        <f>$C461*AL460</f>
        <v/>
      </c>
      <c r="AM461">
        <f>$C461*AM460</f>
        <v/>
      </c>
      <c r="AN461">
        <f>$C461*AN460</f>
        <v/>
      </c>
      <c r="AO461">
        <f>$C461*AO460</f>
        <v/>
      </c>
      <c r="AP461">
        <f>$C461*AP460</f>
        <v/>
      </c>
      <c r="AQ461">
        <f>$C461*AQ460</f>
        <v/>
      </c>
      <c r="AR461">
        <f>$C461*AR460</f>
        <v/>
      </c>
      <c r="AS461">
        <f>$C461*AS460</f>
        <v/>
      </c>
      <c r="AT461">
        <f>$C461*AT460</f>
        <v/>
      </c>
      <c r="AU461">
        <f>$C461*AU460</f>
        <v/>
      </c>
      <c r="AV461">
        <f>$C461*AV460</f>
        <v/>
      </c>
      <c r="AW461">
        <f>$C461*AW460</f>
        <v/>
      </c>
      <c r="AX461">
        <f>$C461*AX460</f>
        <v/>
      </c>
      <c r="AY461">
        <f>$C461*AY460</f>
        <v/>
      </c>
      <c r="AZ461">
        <f>$C461*AZ460</f>
        <v/>
      </c>
      <c r="BA461">
        <f>$C461*BA460</f>
        <v/>
      </c>
      <c r="BB461">
        <f>$C461*BB460</f>
        <v/>
      </c>
      <c r="BC461">
        <f>$C461*BC460</f>
        <v/>
      </c>
      <c r="BD461">
        <f>$C461*BD460</f>
        <v/>
      </c>
      <c r="BE461">
        <f>$C461*BE460</f>
        <v/>
      </c>
      <c r="BF461">
        <f>$C461*BF460</f>
        <v/>
      </c>
      <c r="BG461">
        <f>$C461*BG460</f>
        <v/>
      </c>
      <c r="BH461">
        <f>$C461*BH460</f>
        <v/>
      </c>
      <c r="BI461">
        <f>$C461*BI460</f>
        <v/>
      </c>
      <c r="BJ461">
        <f>$C461*BJ460</f>
        <v/>
      </c>
      <c r="BK461">
        <f>$C461*BK460</f>
        <v/>
      </c>
      <c r="BL461">
        <f>$C461*BL460</f>
        <v/>
      </c>
      <c r="BM461">
        <f>$C461*BM460</f>
        <v/>
      </c>
      <c r="BN461">
        <f>$C461*BN460</f>
        <v/>
      </c>
      <c r="BO461">
        <f>$C461*BO460</f>
        <v/>
      </c>
      <c r="BP461">
        <f>$C461*BP460</f>
        <v/>
      </c>
      <c r="BQ461">
        <f>$C461*BQ460</f>
        <v/>
      </c>
      <c r="BR461">
        <f>$C461*BR460</f>
        <v/>
      </c>
      <c r="BS461">
        <f>$C461*BS460</f>
        <v/>
      </c>
      <c r="BT461">
        <f>$C461*BT460</f>
        <v/>
      </c>
      <c r="BU461">
        <f>$C461*BU460</f>
        <v/>
      </c>
      <c r="BV461">
        <f>$C461*BV460</f>
        <v/>
      </c>
      <c r="BW461">
        <f>$C461*BW460</f>
        <v/>
      </c>
      <c r="BX461">
        <f>$C461*BX460</f>
        <v/>
      </c>
      <c r="BY461">
        <f>$C461*BY460</f>
        <v/>
      </c>
      <c r="BZ461">
        <f>$C461*BZ460</f>
        <v/>
      </c>
      <c r="CA461">
        <f>$C461*CA460</f>
        <v/>
      </c>
      <c r="CB461">
        <f>$C461*CB460</f>
        <v/>
      </c>
      <c r="CC461">
        <f>$C461*CC460</f>
        <v/>
      </c>
      <c r="CD461">
        <f>$C461*CD460</f>
        <v/>
      </c>
      <c r="CE461">
        <f>$C461*CE460</f>
        <v/>
      </c>
      <c r="CF461">
        <f>$C461*CF460</f>
        <v/>
      </c>
      <c r="CG461">
        <f>$C461*CG460</f>
        <v/>
      </c>
      <c r="CH461">
        <f>$C461*CH460</f>
        <v/>
      </c>
      <c r="CI461">
        <f>$C461*CI460</f>
        <v/>
      </c>
      <c r="CJ461">
        <f>$C461*CJ460</f>
        <v/>
      </c>
      <c r="CK461">
        <f>$C461*CK460</f>
        <v/>
      </c>
      <c r="CL461">
        <f>$C461*CL460</f>
        <v/>
      </c>
      <c r="CM461">
        <f>$C461*CM460</f>
        <v/>
      </c>
      <c r="CN461">
        <f>$C461*CN460</f>
        <v/>
      </c>
      <c r="CO461">
        <f>$C461*CO460</f>
        <v/>
      </c>
      <c r="CP461">
        <f>$C461*CP460</f>
        <v/>
      </c>
      <c r="CQ461">
        <f>$C461*CQ460</f>
        <v/>
      </c>
      <c r="CR461">
        <f>$C461*CR460</f>
        <v/>
      </c>
      <c r="CS461">
        <f>$C461*CS460</f>
        <v/>
      </c>
      <c r="CT461">
        <f>$C461*CT460</f>
        <v/>
      </c>
      <c r="CU461">
        <f>$C461*CU460</f>
        <v/>
      </c>
      <c r="CV461">
        <f>$C461*CV460</f>
        <v/>
      </c>
      <c r="CW461">
        <f>$C461*CW460</f>
        <v/>
      </c>
      <c r="CX461">
        <f>$C461*CX460</f>
        <v/>
      </c>
      <c r="CY461">
        <f>$C461*CY460</f>
        <v/>
      </c>
      <c r="CZ461">
        <f>$C461*CZ460</f>
        <v/>
      </c>
      <c r="DA461">
        <f>$C461*DA460</f>
        <v/>
      </c>
      <c r="DB461">
        <f>$C461*DB460</f>
        <v/>
      </c>
      <c r="DC461">
        <f>$C461*DC460</f>
        <v/>
      </c>
    </row>
    <row r="462">
      <c r="B462" t="inlineStr">
        <is>
          <t>TSP-225</t>
        </is>
      </c>
      <c r="C462" t="inlineStr">
        <is>
          <t>No. of batches</t>
        </is>
      </c>
      <c r="D462">
        <f>IFERROR(INDEX(PP_Grid[#Data],$DD462,2),0)</f>
        <v/>
      </c>
      <c r="E462">
        <f>IFERROR(INDEX(PP_Grid[#Data],$DD462,3),0)</f>
        <v/>
      </c>
      <c r="F462">
        <f>IFERROR(INDEX(PP_Grid[#Data],$DD462,4),0)</f>
        <v/>
      </c>
      <c r="G462">
        <f>IFERROR(INDEX(PP_Grid[#Data],$DD462,5),0)</f>
        <v/>
      </c>
      <c r="H462">
        <f>IFERROR(INDEX(PP_Grid[#Data],$DD462,6),0)</f>
        <v/>
      </c>
      <c r="I462">
        <f>IFERROR(INDEX(PP_Grid[#Data],$DD462,7),0)</f>
        <v/>
      </c>
      <c r="J462">
        <f>IFERROR(INDEX(PP_Grid[#Data],$DD462,8),0)</f>
        <v/>
      </c>
      <c r="K462">
        <f>IFERROR(INDEX(PP_Grid[#Data],$DD462,9),0)</f>
        <v/>
      </c>
      <c r="L462">
        <f>IFERROR(INDEX(PP_Grid[#Data],$DD462,10),0)</f>
        <v/>
      </c>
      <c r="M462">
        <f>IFERROR(INDEX(PP_Grid[#Data],$DD462,11),0)</f>
        <v/>
      </c>
      <c r="N462">
        <f>IFERROR(INDEX(PP_Grid[#Data],$DD462,12),0)</f>
        <v/>
      </c>
      <c r="O462">
        <f>IFERROR(INDEX(PP_Grid[#Data],$DD462,13),0)</f>
        <v/>
      </c>
      <c r="P462">
        <f>IFERROR(INDEX(PP_Grid[#Data],$DD462,14),0)</f>
        <v/>
      </c>
      <c r="Q462">
        <f>IFERROR(INDEX(PP_Grid[#Data],$DD462,15),0)</f>
        <v/>
      </c>
      <c r="R462">
        <f>IFERROR(INDEX(PP_Grid[#Data],$DD462,16),0)</f>
        <v/>
      </c>
      <c r="S462">
        <f>IFERROR(INDEX(PP_Grid[#Data],$DD462,17),0)</f>
        <v/>
      </c>
      <c r="T462">
        <f>IFERROR(INDEX(PP_Grid[#Data],$DD462,18),0)</f>
        <v/>
      </c>
      <c r="U462">
        <f>IFERROR(INDEX(PP_Grid[#Data],$DD462,19),0)</f>
        <v/>
      </c>
      <c r="V462">
        <f>IFERROR(INDEX(PP_Grid[#Data],$DD462,20),0)</f>
        <v/>
      </c>
      <c r="W462">
        <f>IFERROR(INDEX(PP_Grid[#Data],$DD462,21),0)</f>
        <v/>
      </c>
      <c r="X462">
        <f>IFERROR(INDEX(PP_Grid[#Data],$DD462,22),0)</f>
        <v/>
      </c>
      <c r="Y462">
        <f>IFERROR(INDEX(PP_Grid[#Data],$DD462,23),0)</f>
        <v/>
      </c>
      <c r="Z462">
        <f>IFERROR(INDEX(PP_Grid[#Data],$DD462,24),0)</f>
        <v/>
      </c>
      <c r="AA462">
        <f>IFERROR(INDEX(PP_Grid[#Data],$DD462,25),0)</f>
        <v/>
      </c>
      <c r="AB462">
        <f>IFERROR(INDEX(PP_Grid[#Data],$DD462,26),0)</f>
        <v/>
      </c>
      <c r="AC462">
        <f>IFERROR(INDEX(PP_Grid[#Data],$DD462,27),0)</f>
        <v/>
      </c>
      <c r="AD462">
        <f>IFERROR(INDEX(PP_Grid[#Data],$DD462,28),0)</f>
        <v/>
      </c>
      <c r="AE462">
        <f>IFERROR(INDEX(PP_Grid[#Data],$DD462,29),0)</f>
        <v/>
      </c>
      <c r="AF462">
        <f>IFERROR(INDEX(PP_Grid[#Data],$DD462,30),0)</f>
        <v/>
      </c>
      <c r="AG462">
        <f>IFERROR(INDEX(PP_Grid[#Data],$DD462,31),0)</f>
        <v/>
      </c>
      <c r="AH462">
        <f>IFERROR(INDEX(PP_Grid[#Data],$DD462,32),0)</f>
        <v/>
      </c>
      <c r="AI462">
        <f>IFERROR(INDEX(PP_Grid[#Data],$DD462,33),0)</f>
        <v/>
      </c>
      <c r="AJ462">
        <f>IFERROR(INDEX(PP_Grid[#Data],$DD462,34),0)</f>
        <v/>
      </c>
      <c r="AK462">
        <f>IFERROR(INDEX(PP_Grid[#Data],$DD462,35),0)</f>
        <v/>
      </c>
      <c r="AL462">
        <f>IFERROR(INDEX(PP_Grid[#Data],$DD462,36),0)</f>
        <v/>
      </c>
      <c r="AM462">
        <f>IFERROR(INDEX(PP_Grid[#Data],$DD462,37),0)</f>
        <v/>
      </c>
      <c r="AN462">
        <f>IFERROR(INDEX(PP_Grid[#Data],$DD462,38),0)</f>
        <v/>
      </c>
      <c r="AO462">
        <f>IFERROR(INDEX(PP_Grid[#Data],$DD462,39),0)</f>
        <v/>
      </c>
      <c r="AP462">
        <f>IFERROR(INDEX(PP_Grid[#Data],$DD462,40),0)</f>
        <v/>
      </c>
      <c r="AQ462">
        <f>IFERROR(INDEX(PP_Grid[#Data],$DD462,41),0)</f>
        <v/>
      </c>
      <c r="AR462">
        <f>IFERROR(INDEX(PP_Grid[#Data],$DD462,42),0)</f>
        <v/>
      </c>
      <c r="AS462">
        <f>IFERROR(INDEX(PP_Grid[#Data],$DD462,43),0)</f>
        <v/>
      </c>
      <c r="AT462">
        <f>IFERROR(INDEX(PP_Grid[#Data],$DD462,44),0)</f>
        <v/>
      </c>
      <c r="AU462">
        <f>IFERROR(INDEX(PP_Grid[#Data],$DD462,45),0)</f>
        <v/>
      </c>
      <c r="AV462">
        <f>IFERROR(INDEX(PP_Grid[#Data],$DD462,46),0)</f>
        <v/>
      </c>
      <c r="AW462">
        <f>IFERROR(INDEX(PP_Grid[#Data],$DD462,47),0)</f>
        <v/>
      </c>
      <c r="AX462">
        <f>IFERROR(INDEX(PP_Grid[#Data],$DD462,48),0)</f>
        <v/>
      </c>
      <c r="AY462">
        <f>IFERROR(INDEX(PP_Grid[#Data],$DD462,49),0)</f>
        <v/>
      </c>
      <c r="AZ462">
        <f>IFERROR(INDEX(PP_Grid[#Data],$DD462,50),0)</f>
        <v/>
      </c>
      <c r="BA462">
        <f>IFERROR(INDEX(PP_Grid[#Data],$DD462,51),0)</f>
        <v/>
      </c>
      <c r="BB462">
        <f>IFERROR(INDEX(PP_Grid[#Data],$DD462,52),0)</f>
        <v/>
      </c>
      <c r="BC462">
        <f>IFERROR(INDEX(PP_Grid[#Data],$DD462,53),0)</f>
        <v/>
      </c>
      <c r="BD462">
        <f>IFERROR(INDEX(PP_Grid[#Data],$DD462,54),0)</f>
        <v/>
      </c>
      <c r="BE462">
        <f>IFERROR(INDEX(PP_Grid[#Data],$DD462,55),0)</f>
        <v/>
      </c>
      <c r="BF462">
        <f>IFERROR(INDEX(PP_Grid[#Data],$DD462,56),0)</f>
        <v/>
      </c>
      <c r="BG462">
        <f>IFERROR(INDEX(PP_Grid[#Data],$DD462,57),0)</f>
        <v/>
      </c>
      <c r="BH462">
        <f>IFERROR(INDEX(PP_Grid[#Data],$DD462,58),0)</f>
        <v/>
      </c>
      <c r="BI462">
        <f>IFERROR(INDEX(PP_Grid[#Data],$DD462,59),0)</f>
        <v/>
      </c>
      <c r="BJ462">
        <f>IFERROR(INDEX(PP_Grid[#Data],$DD462,60),0)</f>
        <v/>
      </c>
      <c r="BK462">
        <f>IFERROR(INDEX(PP_Grid[#Data],$DD462,61),0)</f>
        <v/>
      </c>
      <c r="BL462">
        <f>IFERROR(INDEX(PP_Grid[#Data],$DD462,62),0)</f>
        <v/>
      </c>
      <c r="BM462">
        <f>IFERROR(INDEX(PP_Grid[#Data],$DD462,63),0)</f>
        <v/>
      </c>
      <c r="BN462">
        <f>IFERROR(INDEX(PP_Grid[#Data],$DD462,64),0)</f>
        <v/>
      </c>
      <c r="BO462">
        <f>IFERROR(INDEX(PP_Grid[#Data],$DD462,65),0)</f>
        <v/>
      </c>
      <c r="BP462">
        <f>IFERROR(INDEX(PP_Grid[#Data],$DD462,66),0)</f>
        <v/>
      </c>
      <c r="BQ462">
        <f>IFERROR(INDEX(PP_Grid[#Data],$DD462,67),0)</f>
        <v/>
      </c>
      <c r="BR462">
        <f>IFERROR(INDEX(PP_Grid[#Data],$DD462,68),0)</f>
        <v/>
      </c>
      <c r="BS462">
        <f>IFERROR(INDEX(PP_Grid[#Data],$DD462,69),0)</f>
        <v/>
      </c>
      <c r="BT462">
        <f>IFERROR(INDEX(PP_Grid[#Data],$DD462,70),0)</f>
        <v/>
      </c>
      <c r="BU462">
        <f>IFERROR(INDEX(PP_Grid[#Data],$DD462,71),0)</f>
        <v/>
      </c>
      <c r="BV462">
        <f>IFERROR(INDEX(PP_Grid[#Data],$DD462,72),0)</f>
        <v/>
      </c>
      <c r="BW462">
        <f>IFERROR(INDEX(PP_Grid[#Data],$DD462,73),0)</f>
        <v/>
      </c>
      <c r="BX462">
        <f>IFERROR(INDEX(PP_Grid[#Data],$DD462,74),0)</f>
        <v/>
      </c>
      <c r="BY462">
        <f>IFERROR(INDEX(PP_Grid[#Data],$DD462,75),0)</f>
        <v/>
      </c>
      <c r="BZ462">
        <f>IFERROR(INDEX(PP_Grid[#Data],$DD462,76),0)</f>
        <v/>
      </c>
      <c r="CA462">
        <f>IFERROR(INDEX(PP_Grid[#Data],$DD462,77),0)</f>
        <v/>
      </c>
      <c r="CB462">
        <f>IFERROR(INDEX(PP_Grid[#Data],$DD462,78),0)</f>
        <v/>
      </c>
      <c r="CC462">
        <f>IFERROR(INDEX(PP_Grid[#Data],$DD462,79),0)</f>
        <v/>
      </c>
      <c r="CD462">
        <f>IFERROR(INDEX(PP_Grid[#Data],$DD462,80),0)</f>
        <v/>
      </c>
      <c r="CE462">
        <f>IFERROR(INDEX(PP_Grid[#Data],$DD462,81),0)</f>
        <v/>
      </c>
      <c r="CF462">
        <f>IFERROR(INDEX(PP_Grid[#Data],$DD462,82),0)</f>
        <v/>
      </c>
      <c r="CG462">
        <f>IFERROR(INDEX(PP_Grid[#Data],$DD462,83),0)</f>
        <v/>
      </c>
      <c r="CH462">
        <f>IFERROR(INDEX(PP_Grid[#Data],$DD462,84),0)</f>
        <v/>
      </c>
      <c r="CI462">
        <f>IFERROR(INDEX(PP_Grid[#Data],$DD462,85),0)</f>
        <v/>
      </c>
      <c r="CJ462">
        <f>IFERROR(INDEX(PP_Grid[#Data],$DD462,86),0)</f>
        <v/>
      </c>
      <c r="CK462">
        <f>IFERROR(INDEX(PP_Grid[#Data],$DD462,87),0)</f>
        <v/>
      </c>
      <c r="CL462">
        <f>IFERROR(INDEX(PP_Grid[#Data],$DD462,88),0)</f>
        <v/>
      </c>
      <c r="CM462">
        <f>IFERROR(INDEX(PP_Grid[#Data],$DD462,89),0)</f>
        <v/>
      </c>
      <c r="CN462">
        <f>IFERROR(INDEX(PP_Grid[#Data],$DD462,90),0)</f>
        <v/>
      </c>
      <c r="CO462">
        <f>IFERROR(INDEX(PP_Grid[#Data],$DD462,91),0)</f>
        <v/>
      </c>
      <c r="CP462">
        <f>IFERROR(INDEX(PP_Grid[#Data],$DD462,92),0)</f>
        <v/>
      </c>
      <c r="CQ462">
        <f>IFERROR(INDEX(PP_Grid[#Data],$DD462,93),0)</f>
        <v/>
      </c>
      <c r="CR462">
        <f>IFERROR(INDEX(PP_Grid[#Data],$DD462,94),0)</f>
        <v/>
      </c>
      <c r="CS462">
        <f>IFERROR(INDEX(PP_Grid[#Data],$DD462,95),0)</f>
        <v/>
      </c>
      <c r="CT462">
        <f>IFERROR(INDEX(PP_Grid[#Data],$DD462,96),0)</f>
        <v/>
      </c>
      <c r="CU462">
        <f>IFERROR(INDEX(PP_Grid[#Data],$DD462,97),0)</f>
        <v/>
      </c>
      <c r="CV462">
        <f>IFERROR(INDEX(PP_Grid[#Data],$DD462,98),0)</f>
        <v/>
      </c>
      <c r="CW462">
        <f>IFERROR(INDEX(PP_Grid[#Data],$DD462,99),0)</f>
        <v/>
      </c>
      <c r="CX462">
        <f>IFERROR(INDEX(PP_Grid[#Data],$DD462,100),0)</f>
        <v/>
      </c>
      <c r="CY462">
        <f>IFERROR(INDEX(PP_Grid[#Data],$DD462,101),0)</f>
        <v/>
      </c>
      <c r="CZ462">
        <f>IFERROR(INDEX(PP_Grid[#Data],$DD462,102),0)</f>
        <v/>
      </c>
      <c r="DA462">
        <f>IFERROR(INDEX(PP_Grid[#Data],$DD462,103),0)</f>
        <v/>
      </c>
      <c r="DB462">
        <f>IFERROR(INDEX(PP_Grid[#Data],$DD462,104),0)</f>
        <v/>
      </c>
      <c r="DC462">
        <f>IFERROR(INDEX(PP_Grid[#Data],$DD462,105),0)</f>
        <v/>
      </c>
      <c r="DD462" s="7">
        <f>IFERROR(MATCH($B462,PP_Grid[Intermediate],0),99999)</f>
        <v/>
      </c>
    </row>
    <row r="463">
      <c r="B463" t="inlineStr">
        <is>
          <t>使用量(kg)</t>
        </is>
      </c>
      <c r="C463">
        <f>SUMIFS(M_BOM[RM_Qty_Per_Batch],M_BOM[Intermediate],$B462,M_BOM[Part Name],$A449)</f>
        <v/>
      </c>
      <c r="D463">
        <f>$C463*D462</f>
        <v/>
      </c>
      <c r="E463">
        <f>$C463*E462</f>
        <v/>
      </c>
      <c r="F463">
        <f>$C463*F462</f>
        <v/>
      </c>
      <c r="G463">
        <f>$C463*G462</f>
        <v/>
      </c>
      <c r="H463">
        <f>$C463*H462</f>
        <v/>
      </c>
      <c r="I463">
        <f>$C463*I462</f>
        <v/>
      </c>
      <c r="J463">
        <f>$C463*J462</f>
        <v/>
      </c>
      <c r="K463">
        <f>$C463*K462</f>
        <v/>
      </c>
      <c r="L463">
        <f>$C463*L462</f>
        <v/>
      </c>
      <c r="M463">
        <f>$C463*M462</f>
        <v/>
      </c>
      <c r="N463">
        <f>$C463*N462</f>
        <v/>
      </c>
      <c r="O463">
        <f>$C463*O462</f>
        <v/>
      </c>
      <c r="P463">
        <f>$C463*P462</f>
        <v/>
      </c>
      <c r="Q463">
        <f>$C463*Q462</f>
        <v/>
      </c>
      <c r="R463">
        <f>$C463*R462</f>
        <v/>
      </c>
      <c r="S463">
        <f>$C463*S462</f>
        <v/>
      </c>
      <c r="T463">
        <f>$C463*T462</f>
        <v/>
      </c>
      <c r="U463">
        <f>$C463*U462</f>
        <v/>
      </c>
      <c r="V463">
        <f>$C463*V462</f>
        <v/>
      </c>
      <c r="W463">
        <f>$C463*W462</f>
        <v/>
      </c>
      <c r="X463">
        <f>$C463*X462</f>
        <v/>
      </c>
      <c r="Y463">
        <f>$C463*Y462</f>
        <v/>
      </c>
      <c r="Z463">
        <f>$C463*Z462</f>
        <v/>
      </c>
      <c r="AA463">
        <f>$C463*AA462</f>
        <v/>
      </c>
      <c r="AB463">
        <f>$C463*AB462</f>
        <v/>
      </c>
      <c r="AC463">
        <f>$C463*AC462</f>
        <v/>
      </c>
      <c r="AD463">
        <f>$C463*AD462</f>
        <v/>
      </c>
      <c r="AE463">
        <f>$C463*AE462</f>
        <v/>
      </c>
      <c r="AF463">
        <f>$C463*AF462</f>
        <v/>
      </c>
      <c r="AG463">
        <f>$C463*AG462</f>
        <v/>
      </c>
      <c r="AH463">
        <f>$C463*AH462</f>
        <v/>
      </c>
      <c r="AI463">
        <f>$C463*AI462</f>
        <v/>
      </c>
      <c r="AJ463">
        <f>$C463*AJ462</f>
        <v/>
      </c>
      <c r="AK463">
        <f>$C463*AK462</f>
        <v/>
      </c>
      <c r="AL463">
        <f>$C463*AL462</f>
        <v/>
      </c>
      <c r="AM463">
        <f>$C463*AM462</f>
        <v/>
      </c>
      <c r="AN463">
        <f>$C463*AN462</f>
        <v/>
      </c>
      <c r="AO463">
        <f>$C463*AO462</f>
        <v/>
      </c>
      <c r="AP463">
        <f>$C463*AP462</f>
        <v/>
      </c>
      <c r="AQ463">
        <f>$C463*AQ462</f>
        <v/>
      </c>
      <c r="AR463">
        <f>$C463*AR462</f>
        <v/>
      </c>
      <c r="AS463">
        <f>$C463*AS462</f>
        <v/>
      </c>
      <c r="AT463">
        <f>$C463*AT462</f>
        <v/>
      </c>
      <c r="AU463">
        <f>$C463*AU462</f>
        <v/>
      </c>
      <c r="AV463">
        <f>$C463*AV462</f>
        <v/>
      </c>
      <c r="AW463">
        <f>$C463*AW462</f>
        <v/>
      </c>
      <c r="AX463">
        <f>$C463*AX462</f>
        <v/>
      </c>
      <c r="AY463">
        <f>$C463*AY462</f>
        <v/>
      </c>
      <c r="AZ463">
        <f>$C463*AZ462</f>
        <v/>
      </c>
      <c r="BA463">
        <f>$C463*BA462</f>
        <v/>
      </c>
      <c r="BB463">
        <f>$C463*BB462</f>
        <v/>
      </c>
      <c r="BC463">
        <f>$C463*BC462</f>
        <v/>
      </c>
      <c r="BD463">
        <f>$C463*BD462</f>
        <v/>
      </c>
      <c r="BE463">
        <f>$C463*BE462</f>
        <v/>
      </c>
      <c r="BF463">
        <f>$C463*BF462</f>
        <v/>
      </c>
      <c r="BG463">
        <f>$C463*BG462</f>
        <v/>
      </c>
      <c r="BH463">
        <f>$C463*BH462</f>
        <v/>
      </c>
      <c r="BI463">
        <f>$C463*BI462</f>
        <v/>
      </c>
      <c r="BJ463">
        <f>$C463*BJ462</f>
        <v/>
      </c>
      <c r="BK463">
        <f>$C463*BK462</f>
        <v/>
      </c>
      <c r="BL463">
        <f>$C463*BL462</f>
        <v/>
      </c>
      <c r="BM463">
        <f>$C463*BM462</f>
        <v/>
      </c>
      <c r="BN463">
        <f>$C463*BN462</f>
        <v/>
      </c>
      <c r="BO463">
        <f>$C463*BO462</f>
        <v/>
      </c>
      <c r="BP463">
        <f>$C463*BP462</f>
        <v/>
      </c>
      <c r="BQ463">
        <f>$C463*BQ462</f>
        <v/>
      </c>
      <c r="BR463">
        <f>$C463*BR462</f>
        <v/>
      </c>
      <c r="BS463">
        <f>$C463*BS462</f>
        <v/>
      </c>
      <c r="BT463">
        <f>$C463*BT462</f>
        <v/>
      </c>
      <c r="BU463">
        <f>$C463*BU462</f>
        <v/>
      </c>
      <c r="BV463">
        <f>$C463*BV462</f>
        <v/>
      </c>
      <c r="BW463">
        <f>$C463*BW462</f>
        <v/>
      </c>
      <c r="BX463">
        <f>$C463*BX462</f>
        <v/>
      </c>
      <c r="BY463">
        <f>$C463*BY462</f>
        <v/>
      </c>
      <c r="BZ463">
        <f>$C463*BZ462</f>
        <v/>
      </c>
      <c r="CA463">
        <f>$C463*CA462</f>
        <v/>
      </c>
      <c r="CB463">
        <f>$C463*CB462</f>
        <v/>
      </c>
      <c r="CC463">
        <f>$C463*CC462</f>
        <v/>
      </c>
      <c r="CD463">
        <f>$C463*CD462</f>
        <v/>
      </c>
      <c r="CE463">
        <f>$C463*CE462</f>
        <v/>
      </c>
      <c r="CF463">
        <f>$C463*CF462</f>
        <v/>
      </c>
      <c r="CG463">
        <f>$C463*CG462</f>
        <v/>
      </c>
      <c r="CH463">
        <f>$C463*CH462</f>
        <v/>
      </c>
      <c r="CI463">
        <f>$C463*CI462</f>
        <v/>
      </c>
      <c r="CJ463">
        <f>$C463*CJ462</f>
        <v/>
      </c>
      <c r="CK463">
        <f>$C463*CK462</f>
        <v/>
      </c>
      <c r="CL463">
        <f>$C463*CL462</f>
        <v/>
      </c>
      <c r="CM463">
        <f>$C463*CM462</f>
        <v/>
      </c>
      <c r="CN463">
        <f>$C463*CN462</f>
        <v/>
      </c>
      <c r="CO463">
        <f>$C463*CO462</f>
        <v/>
      </c>
      <c r="CP463">
        <f>$C463*CP462</f>
        <v/>
      </c>
      <c r="CQ463">
        <f>$C463*CQ462</f>
        <v/>
      </c>
      <c r="CR463">
        <f>$C463*CR462</f>
        <v/>
      </c>
      <c r="CS463">
        <f>$C463*CS462</f>
        <v/>
      </c>
      <c r="CT463">
        <f>$C463*CT462</f>
        <v/>
      </c>
      <c r="CU463">
        <f>$C463*CU462</f>
        <v/>
      </c>
      <c r="CV463">
        <f>$C463*CV462</f>
        <v/>
      </c>
      <c r="CW463">
        <f>$C463*CW462</f>
        <v/>
      </c>
      <c r="CX463">
        <f>$C463*CX462</f>
        <v/>
      </c>
      <c r="CY463">
        <f>$C463*CY462</f>
        <v/>
      </c>
      <c r="CZ463">
        <f>$C463*CZ462</f>
        <v/>
      </c>
      <c r="DA463">
        <f>$C463*DA462</f>
        <v/>
      </c>
      <c r="DB463">
        <f>$C463*DB462</f>
        <v/>
      </c>
      <c r="DC463">
        <f>$C463*DC462</f>
        <v/>
      </c>
    </row>
    <row r="464">
      <c r="B464" s="4" t="inlineStr">
        <is>
          <t>合計使用量(kg)/週</t>
        </is>
      </c>
      <c r="D464">
        <f>'Grid_Requirement'!B32</f>
        <v/>
      </c>
      <c r="E464">
        <f>'Grid_Requirement'!C32</f>
        <v/>
      </c>
      <c r="F464">
        <f>'Grid_Requirement'!D32</f>
        <v/>
      </c>
      <c r="G464">
        <f>'Grid_Requirement'!E32</f>
        <v/>
      </c>
      <c r="H464">
        <f>'Grid_Requirement'!F32</f>
        <v/>
      </c>
      <c r="I464">
        <f>'Grid_Requirement'!G32</f>
        <v/>
      </c>
      <c r="J464">
        <f>'Grid_Requirement'!H32</f>
        <v/>
      </c>
      <c r="K464">
        <f>'Grid_Requirement'!I32</f>
        <v/>
      </c>
      <c r="L464">
        <f>'Grid_Requirement'!J32</f>
        <v/>
      </c>
      <c r="M464">
        <f>'Grid_Requirement'!K32</f>
        <v/>
      </c>
      <c r="N464">
        <f>'Grid_Requirement'!L32</f>
        <v/>
      </c>
      <c r="O464">
        <f>'Grid_Requirement'!M32</f>
        <v/>
      </c>
      <c r="P464">
        <f>'Grid_Requirement'!N32</f>
        <v/>
      </c>
      <c r="Q464">
        <f>'Grid_Requirement'!O32</f>
        <v/>
      </c>
      <c r="R464">
        <f>'Grid_Requirement'!P32</f>
        <v/>
      </c>
      <c r="S464">
        <f>'Grid_Requirement'!Q32</f>
        <v/>
      </c>
      <c r="T464">
        <f>'Grid_Requirement'!R32</f>
        <v/>
      </c>
      <c r="U464">
        <f>'Grid_Requirement'!S32</f>
        <v/>
      </c>
      <c r="V464">
        <f>'Grid_Requirement'!T32</f>
        <v/>
      </c>
      <c r="W464">
        <f>'Grid_Requirement'!U32</f>
        <v/>
      </c>
      <c r="X464">
        <f>'Grid_Requirement'!V32</f>
        <v/>
      </c>
      <c r="Y464">
        <f>'Grid_Requirement'!W32</f>
        <v/>
      </c>
      <c r="Z464">
        <f>'Grid_Requirement'!X32</f>
        <v/>
      </c>
      <c r="AA464">
        <f>'Grid_Requirement'!Y32</f>
        <v/>
      </c>
      <c r="AB464">
        <f>'Grid_Requirement'!Z32</f>
        <v/>
      </c>
      <c r="AC464">
        <f>'Grid_Requirement'!AA32</f>
        <v/>
      </c>
      <c r="AD464">
        <f>'Grid_Requirement'!AB32</f>
        <v/>
      </c>
      <c r="AE464">
        <f>'Grid_Requirement'!AC32</f>
        <v/>
      </c>
      <c r="AF464">
        <f>'Grid_Requirement'!AD32</f>
        <v/>
      </c>
      <c r="AG464">
        <f>'Grid_Requirement'!AE32</f>
        <v/>
      </c>
      <c r="AH464">
        <f>'Grid_Requirement'!AF32</f>
        <v/>
      </c>
      <c r="AI464">
        <f>'Grid_Requirement'!AG32</f>
        <v/>
      </c>
      <c r="AJ464">
        <f>'Grid_Requirement'!AH32</f>
        <v/>
      </c>
      <c r="AK464">
        <f>'Grid_Requirement'!AI32</f>
        <v/>
      </c>
      <c r="AL464">
        <f>'Grid_Requirement'!AJ32</f>
        <v/>
      </c>
      <c r="AM464">
        <f>'Grid_Requirement'!AK32</f>
        <v/>
      </c>
      <c r="AN464">
        <f>'Grid_Requirement'!AL32</f>
        <v/>
      </c>
      <c r="AO464">
        <f>'Grid_Requirement'!AM32</f>
        <v/>
      </c>
      <c r="AP464">
        <f>'Grid_Requirement'!AN32</f>
        <v/>
      </c>
      <c r="AQ464">
        <f>'Grid_Requirement'!AO32</f>
        <v/>
      </c>
      <c r="AR464">
        <f>'Grid_Requirement'!AP32</f>
        <v/>
      </c>
      <c r="AS464">
        <f>'Grid_Requirement'!AQ32</f>
        <v/>
      </c>
      <c r="AT464">
        <f>'Grid_Requirement'!AR32</f>
        <v/>
      </c>
      <c r="AU464">
        <f>'Grid_Requirement'!AS32</f>
        <v/>
      </c>
      <c r="AV464">
        <f>'Grid_Requirement'!AT32</f>
        <v/>
      </c>
      <c r="AW464">
        <f>'Grid_Requirement'!AU32</f>
        <v/>
      </c>
      <c r="AX464">
        <f>'Grid_Requirement'!AV32</f>
        <v/>
      </c>
      <c r="AY464">
        <f>'Grid_Requirement'!AW32</f>
        <v/>
      </c>
      <c r="AZ464">
        <f>'Grid_Requirement'!AX32</f>
        <v/>
      </c>
      <c r="BA464">
        <f>'Grid_Requirement'!AY32</f>
        <v/>
      </c>
      <c r="BB464">
        <f>'Grid_Requirement'!AZ32</f>
        <v/>
      </c>
      <c r="BC464">
        <f>'Grid_Requirement'!BA32</f>
        <v/>
      </c>
      <c r="BD464">
        <f>'Grid_Requirement'!BB32</f>
        <v/>
      </c>
      <c r="BE464">
        <f>'Grid_Requirement'!BC32</f>
        <v/>
      </c>
      <c r="BF464">
        <f>'Grid_Requirement'!BD32</f>
        <v/>
      </c>
      <c r="BG464">
        <f>'Grid_Requirement'!BE32</f>
        <v/>
      </c>
      <c r="BH464">
        <f>'Grid_Requirement'!BF32</f>
        <v/>
      </c>
      <c r="BI464">
        <f>'Grid_Requirement'!BG32</f>
        <v/>
      </c>
      <c r="BJ464">
        <f>'Grid_Requirement'!BH32</f>
        <v/>
      </c>
      <c r="BK464">
        <f>'Grid_Requirement'!BI32</f>
        <v/>
      </c>
      <c r="BL464">
        <f>'Grid_Requirement'!BJ32</f>
        <v/>
      </c>
      <c r="BM464">
        <f>'Grid_Requirement'!BK32</f>
        <v/>
      </c>
      <c r="BN464">
        <f>'Grid_Requirement'!BL32</f>
        <v/>
      </c>
      <c r="BO464">
        <f>'Grid_Requirement'!BM32</f>
        <v/>
      </c>
      <c r="BP464">
        <f>'Grid_Requirement'!BN32</f>
        <v/>
      </c>
      <c r="BQ464">
        <f>'Grid_Requirement'!BO32</f>
        <v/>
      </c>
      <c r="BR464">
        <f>'Grid_Requirement'!BP32</f>
        <v/>
      </c>
      <c r="BS464">
        <f>'Grid_Requirement'!BQ32</f>
        <v/>
      </c>
      <c r="BT464">
        <f>'Grid_Requirement'!BR32</f>
        <v/>
      </c>
      <c r="BU464">
        <f>'Grid_Requirement'!BS32</f>
        <v/>
      </c>
      <c r="BV464">
        <f>'Grid_Requirement'!BT32</f>
        <v/>
      </c>
      <c r="BW464">
        <f>'Grid_Requirement'!BU32</f>
        <v/>
      </c>
      <c r="BX464">
        <f>'Grid_Requirement'!BV32</f>
        <v/>
      </c>
      <c r="BY464">
        <f>'Grid_Requirement'!BW32</f>
        <v/>
      </c>
      <c r="BZ464">
        <f>'Grid_Requirement'!BX32</f>
        <v/>
      </c>
      <c r="CA464">
        <f>'Grid_Requirement'!BY32</f>
        <v/>
      </c>
      <c r="CB464">
        <f>'Grid_Requirement'!BZ32</f>
        <v/>
      </c>
      <c r="CC464">
        <f>'Grid_Requirement'!CA32</f>
        <v/>
      </c>
      <c r="CD464">
        <f>'Grid_Requirement'!CB32</f>
        <v/>
      </c>
      <c r="CE464">
        <f>'Grid_Requirement'!CC32</f>
        <v/>
      </c>
      <c r="CF464">
        <f>'Grid_Requirement'!CD32</f>
        <v/>
      </c>
      <c r="CG464">
        <f>'Grid_Requirement'!CE32</f>
        <v/>
      </c>
      <c r="CH464">
        <f>'Grid_Requirement'!CF32</f>
        <v/>
      </c>
      <c r="CI464">
        <f>'Grid_Requirement'!CG32</f>
        <v/>
      </c>
      <c r="CJ464">
        <f>'Grid_Requirement'!CH32</f>
        <v/>
      </c>
      <c r="CK464">
        <f>'Grid_Requirement'!CI32</f>
        <v/>
      </c>
      <c r="CL464">
        <f>'Grid_Requirement'!CJ32</f>
        <v/>
      </c>
      <c r="CM464">
        <f>'Grid_Requirement'!CK32</f>
        <v/>
      </c>
      <c r="CN464">
        <f>'Grid_Requirement'!CL32</f>
        <v/>
      </c>
      <c r="CO464">
        <f>'Grid_Requirement'!CM32</f>
        <v/>
      </c>
      <c r="CP464">
        <f>'Grid_Requirement'!CN32</f>
        <v/>
      </c>
      <c r="CQ464">
        <f>'Grid_Requirement'!CO32</f>
        <v/>
      </c>
      <c r="CR464">
        <f>'Grid_Requirement'!CP32</f>
        <v/>
      </c>
      <c r="CS464">
        <f>'Grid_Requirement'!CQ32</f>
        <v/>
      </c>
      <c r="CT464">
        <f>'Grid_Requirement'!CR32</f>
        <v/>
      </c>
      <c r="CU464">
        <f>'Grid_Requirement'!CS32</f>
        <v/>
      </c>
      <c r="CV464">
        <f>'Grid_Requirement'!CT32</f>
        <v/>
      </c>
      <c r="CW464">
        <f>'Grid_Requirement'!CU32</f>
        <v/>
      </c>
      <c r="CX464">
        <f>'Grid_Requirement'!CV32</f>
        <v/>
      </c>
      <c r="CY464">
        <f>'Grid_Requirement'!CW32</f>
        <v/>
      </c>
      <c r="CZ464">
        <f>'Grid_Requirement'!CX32</f>
        <v/>
      </c>
      <c r="DA464">
        <f>'Grid_Requirement'!CY32</f>
        <v/>
      </c>
      <c r="DB464">
        <f>'Grid_Requirement'!CZ32</f>
        <v/>
      </c>
      <c r="DC464">
        <f>'Grid_Requirement'!DA32</f>
        <v/>
      </c>
    </row>
    <row r="465">
      <c r="B465" t="inlineStr">
        <is>
          <t>TTAF在庫(実績,kg)</t>
        </is>
      </c>
      <c r="D465">
        <f>'T_TTAFStock'!B36</f>
        <v/>
      </c>
      <c r="E465">
        <f>'T_TTAFStock'!C36</f>
        <v/>
      </c>
      <c r="F465">
        <f>'T_TTAFStock'!D36</f>
        <v/>
      </c>
      <c r="G465">
        <f>'T_TTAFStock'!E36</f>
        <v/>
      </c>
      <c r="H465">
        <f>'T_TTAFStock'!F36</f>
        <v/>
      </c>
      <c r="I465">
        <f>'T_TTAFStock'!G36</f>
        <v/>
      </c>
      <c r="J465">
        <f>'T_TTAFStock'!H36</f>
        <v/>
      </c>
      <c r="K465">
        <f>'T_TTAFStock'!I36</f>
        <v/>
      </c>
      <c r="L465">
        <f>'T_TTAFStock'!J36</f>
        <v/>
      </c>
      <c r="M465">
        <f>'T_TTAFStock'!K36</f>
        <v/>
      </c>
      <c r="N465">
        <f>'T_TTAFStock'!L36</f>
        <v/>
      </c>
      <c r="O465">
        <f>'T_TTAFStock'!M36</f>
        <v/>
      </c>
      <c r="P465">
        <f>'T_TTAFStock'!N36</f>
        <v/>
      </c>
      <c r="Q465">
        <f>'T_TTAFStock'!O36</f>
        <v/>
      </c>
      <c r="R465">
        <f>'T_TTAFStock'!P36</f>
        <v/>
      </c>
      <c r="S465">
        <f>'T_TTAFStock'!Q36</f>
        <v/>
      </c>
      <c r="T465">
        <f>'T_TTAFStock'!R36</f>
        <v/>
      </c>
      <c r="U465">
        <f>'T_TTAFStock'!S36</f>
        <v/>
      </c>
      <c r="V465">
        <f>'T_TTAFStock'!T36</f>
        <v/>
      </c>
      <c r="W465">
        <f>'T_TTAFStock'!U36</f>
        <v/>
      </c>
      <c r="X465">
        <f>'T_TTAFStock'!V36</f>
        <v/>
      </c>
      <c r="Y465">
        <f>'T_TTAFStock'!W36</f>
        <v/>
      </c>
      <c r="Z465">
        <f>'T_TTAFStock'!X36</f>
        <v/>
      </c>
      <c r="AA465">
        <f>'T_TTAFStock'!Y36</f>
        <v/>
      </c>
      <c r="AB465">
        <f>'T_TTAFStock'!Z36</f>
        <v/>
      </c>
      <c r="AC465">
        <f>'T_TTAFStock'!AA36</f>
        <v/>
      </c>
      <c r="AD465">
        <f>'T_TTAFStock'!AB36</f>
        <v/>
      </c>
      <c r="AE465">
        <f>'T_TTAFStock'!AC36</f>
        <v/>
      </c>
      <c r="AF465">
        <f>'T_TTAFStock'!AD36</f>
        <v/>
      </c>
      <c r="AG465">
        <f>'T_TTAFStock'!AE36</f>
        <v/>
      </c>
      <c r="AH465">
        <f>'T_TTAFStock'!AF36</f>
        <v/>
      </c>
      <c r="AI465">
        <f>'T_TTAFStock'!AG36</f>
        <v/>
      </c>
      <c r="AJ465">
        <f>'T_TTAFStock'!AH36</f>
        <v/>
      </c>
      <c r="AK465">
        <f>'T_TTAFStock'!AI36</f>
        <v/>
      </c>
      <c r="AL465">
        <f>'T_TTAFStock'!AJ36</f>
        <v/>
      </c>
      <c r="AM465">
        <f>'T_TTAFStock'!AK36</f>
        <v/>
      </c>
      <c r="AN465">
        <f>'T_TTAFStock'!AL36</f>
        <v/>
      </c>
      <c r="AO465">
        <f>'T_TTAFStock'!AM36</f>
        <v/>
      </c>
      <c r="AP465">
        <f>'T_TTAFStock'!AN36</f>
        <v/>
      </c>
      <c r="AQ465">
        <f>'T_TTAFStock'!AO36</f>
        <v/>
      </c>
      <c r="AR465">
        <f>'T_TTAFStock'!AP36</f>
        <v/>
      </c>
      <c r="AS465">
        <f>'T_TTAFStock'!AQ36</f>
        <v/>
      </c>
      <c r="AT465">
        <f>'T_TTAFStock'!AR36</f>
        <v/>
      </c>
      <c r="AU465">
        <f>'T_TTAFStock'!AS36</f>
        <v/>
      </c>
      <c r="AV465">
        <f>'T_TTAFStock'!AT36</f>
        <v/>
      </c>
      <c r="AW465">
        <f>'T_TTAFStock'!AU36</f>
        <v/>
      </c>
      <c r="AX465">
        <f>'T_TTAFStock'!AV36</f>
        <v/>
      </c>
      <c r="AY465">
        <f>'T_TTAFStock'!AW36</f>
        <v/>
      </c>
      <c r="AZ465">
        <f>'T_TTAFStock'!AX36</f>
        <v/>
      </c>
      <c r="BA465">
        <f>'T_TTAFStock'!AY36</f>
        <v/>
      </c>
      <c r="BB465">
        <f>'T_TTAFStock'!AZ36</f>
        <v/>
      </c>
      <c r="BC465">
        <f>'T_TTAFStock'!BA36</f>
        <v/>
      </c>
      <c r="BD465">
        <f>'T_TTAFStock'!BB36</f>
        <v/>
      </c>
      <c r="BE465">
        <f>'T_TTAFStock'!BC36</f>
        <v/>
      </c>
      <c r="BF465">
        <f>'T_TTAFStock'!BD36</f>
        <v/>
      </c>
      <c r="BG465">
        <f>'T_TTAFStock'!BE36</f>
        <v/>
      </c>
      <c r="BH465">
        <f>'T_TTAFStock'!BF36</f>
        <v/>
      </c>
      <c r="BI465">
        <f>'T_TTAFStock'!BG36</f>
        <v/>
      </c>
      <c r="BJ465">
        <f>'T_TTAFStock'!BH36</f>
        <v/>
      </c>
      <c r="BK465">
        <f>'T_TTAFStock'!BI36</f>
        <v/>
      </c>
      <c r="BL465">
        <f>'T_TTAFStock'!BJ36</f>
        <v/>
      </c>
      <c r="BM465">
        <f>'T_TTAFStock'!BK36</f>
        <v/>
      </c>
      <c r="BN465">
        <f>'T_TTAFStock'!BL36</f>
        <v/>
      </c>
      <c r="BO465">
        <f>'T_TTAFStock'!BM36</f>
        <v/>
      </c>
      <c r="BP465">
        <f>'T_TTAFStock'!BN36</f>
        <v/>
      </c>
      <c r="BQ465">
        <f>'T_TTAFStock'!BO36</f>
        <v/>
      </c>
      <c r="BR465">
        <f>'T_TTAFStock'!BP36</f>
        <v/>
      </c>
      <c r="BS465">
        <f>'T_TTAFStock'!BQ36</f>
        <v/>
      </c>
      <c r="BT465">
        <f>'T_TTAFStock'!BR36</f>
        <v/>
      </c>
      <c r="BU465">
        <f>'T_TTAFStock'!BS36</f>
        <v/>
      </c>
      <c r="BV465">
        <f>'T_TTAFStock'!BT36</f>
        <v/>
      </c>
      <c r="BW465">
        <f>'T_TTAFStock'!BU36</f>
        <v/>
      </c>
      <c r="BX465">
        <f>'T_TTAFStock'!BV36</f>
        <v/>
      </c>
      <c r="BY465">
        <f>'T_TTAFStock'!BW36</f>
        <v/>
      </c>
      <c r="BZ465">
        <f>'T_TTAFStock'!BX36</f>
        <v/>
      </c>
      <c r="CA465">
        <f>'T_TTAFStock'!BY36</f>
        <v/>
      </c>
      <c r="CB465">
        <f>'T_TTAFStock'!BZ36</f>
        <v/>
      </c>
      <c r="CC465">
        <f>'T_TTAFStock'!CA36</f>
        <v/>
      </c>
      <c r="CD465">
        <f>'T_TTAFStock'!CB36</f>
        <v/>
      </c>
      <c r="CE465">
        <f>'T_TTAFStock'!CC36</f>
        <v/>
      </c>
      <c r="CF465">
        <f>'T_TTAFStock'!CD36</f>
        <v/>
      </c>
      <c r="CG465">
        <f>'T_TTAFStock'!CE36</f>
        <v/>
      </c>
      <c r="CH465">
        <f>'T_TTAFStock'!CF36</f>
        <v/>
      </c>
      <c r="CI465">
        <f>'T_TTAFStock'!CG36</f>
        <v/>
      </c>
      <c r="CJ465">
        <f>'T_TTAFStock'!CH36</f>
        <v/>
      </c>
      <c r="CK465">
        <f>'T_TTAFStock'!CI36</f>
        <v/>
      </c>
      <c r="CL465">
        <f>'T_TTAFStock'!CJ36</f>
        <v/>
      </c>
      <c r="CM465">
        <f>'T_TTAFStock'!CK36</f>
        <v/>
      </c>
      <c r="CN465">
        <f>'T_TTAFStock'!CL36</f>
        <v/>
      </c>
      <c r="CO465">
        <f>'T_TTAFStock'!CM36</f>
        <v/>
      </c>
      <c r="CP465">
        <f>'T_TTAFStock'!CN36</f>
        <v/>
      </c>
      <c r="CQ465">
        <f>'T_TTAFStock'!CO36</f>
        <v/>
      </c>
      <c r="CR465">
        <f>'T_TTAFStock'!CP36</f>
        <v/>
      </c>
      <c r="CS465">
        <f>'T_TTAFStock'!CQ36</f>
        <v/>
      </c>
      <c r="CT465">
        <f>'T_TTAFStock'!CR36</f>
        <v/>
      </c>
      <c r="CU465">
        <f>'T_TTAFStock'!CS36</f>
        <v/>
      </c>
      <c r="CV465">
        <f>'T_TTAFStock'!CT36</f>
        <v/>
      </c>
      <c r="CW465">
        <f>'T_TTAFStock'!CU36</f>
        <v/>
      </c>
      <c r="CX465">
        <f>'T_TTAFStock'!CV36</f>
        <v/>
      </c>
      <c r="CY465">
        <f>'T_TTAFStock'!CW36</f>
        <v/>
      </c>
      <c r="CZ465">
        <f>'T_TTAFStock'!CX36</f>
        <v/>
      </c>
      <c r="DA465">
        <f>'T_TTAFStock'!CY36</f>
        <v/>
      </c>
      <c r="DB465">
        <f>'T_TTAFStock'!CZ36</f>
        <v/>
      </c>
      <c r="DC465">
        <f>'T_TTAFStock'!DA36</f>
        <v/>
      </c>
    </row>
    <row r="466">
      <c r="B466" t="inlineStr">
        <is>
          <t>自社在庫(実績,kg)</t>
        </is>
      </c>
      <c r="D466">
        <f>'T_SelfStock'!B36</f>
        <v/>
      </c>
      <c r="E466">
        <f>'T_SelfStock'!C36</f>
        <v/>
      </c>
      <c r="F466">
        <f>'T_SelfStock'!D36</f>
        <v/>
      </c>
      <c r="G466">
        <f>'T_SelfStock'!E36</f>
        <v/>
      </c>
      <c r="H466">
        <f>'T_SelfStock'!F36</f>
        <v/>
      </c>
      <c r="I466">
        <f>'T_SelfStock'!G36</f>
        <v/>
      </c>
      <c r="J466">
        <f>'T_SelfStock'!H36</f>
        <v/>
      </c>
      <c r="K466">
        <f>'T_SelfStock'!I36</f>
        <v/>
      </c>
      <c r="L466">
        <f>'T_SelfStock'!J36</f>
        <v/>
      </c>
      <c r="M466">
        <f>'T_SelfStock'!K36</f>
        <v/>
      </c>
      <c r="N466">
        <f>'T_SelfStock'!L36</f>
        <v/>
      </c>
      <c r="O466">
        <f>'T_SelfStock'!M36</f>
        <v/>
      </c>
      <c r="P466">
        <f>'T_SelfStock'!N36</f>
        <v/>
      </c>
      <c r="Q466">
        <f>'T_SelfStock'!O36</f>
        <v/>
      </c>
      <c r="R466">
        <f>'T_SelfStock'!P36</f>
        <v/>
      </c>
      <c r="S466">
        <f>'T_SelfStock'!Q36</f>
        <v/>
      </c>
      <c r="T466">
        <f>'T_SelfStock'!R36</f>
        <v/>
      </c>
      <c r="U466">
        <f>'T_SelfStock'!S36</f>
        <v/>
      </c>
      <c r="V466">
        <f>'T_SelfStock'!T36</f>
        <v/>
      </c>
      <c r="W466">
        <f>'T_SelfStock'!U36</f>
        <v/>
      </c>
      <c r="X466">
        <f>'T_SelfStock'!V36</f>
        <v/>
      </c>
      <c r="Y466">
        <f>'T_SelfStock'!W36</f>
        <v/>
      </c>
      <c r="Z466">
        <f>'T_SelfStock'!X36</f>
        <v/>
      </c>
      <c r="AA466">
        <f>'T_SelfStock'!Y36</f>
        <v/>
      </c>
      <c r="AB466">
        <f>'T_SelfStock'!Z36</f>
        <v/>
      </c>
      <c r="AC466">
        <f>'T_SelfStock'!AA36</f>
        <v/>
      </c>
      <c r="AD466">
        <f>'T_SelfStock'!AB36</f>
        <v/>
      </c>
      <c r="AE466">
        <f>'T_SelfStock'!AC36</f>
        <v/>
      </c>
      <c r="AF466">
        <f>'T_SelfStock'!AD36</f>
        <v/>
      </c>
      <c r="AG466">
        <f>'T_SelfStock'!AE36</f>
        <v/>
      </c>
      <c r="AH466">
        <f>'T_SelfStock'!AF36</f>
        <v/>
      </c>
      <c r="AI466">
        <f>'T_SelfStock'!AG36</f>
        <v/>
      </c>
      <c r="AJ466">
        <f>'T_SelfStock'!AH36</f>
        <v/>
      </c>
      <c r="AK466">
        <f>'T_SelfStock'!AI36</f>
        <v/>
      </c>
      <c r="AL466">
        <f>'T_SelfStock'!AJ36</f>
        <v/>
      </c>
      <c r="AM466">
        <f>'T_SelfStock'!AK36</f>
        <v/>
      </c>
      <c r="AN466">
        <f>'T_SelfStock'!AL36</f>
        <v/>
      </c>
      <c r="AO466">
        <f>'T_SelfStock'!AM36</f>
        <v/>
      </c>
      <c r="AP466">
        <f>'T_SelfStock'!AN36</f>
        <v/>
      </c>
      <c r="AQ466">
        <f>'T_SelfStock'!AO36</f>
        <v/>
      </c>
      <c r="AR466">
        <f>'T_SelfStock'!AP36</f>
        <v/>
      </c>
      <c r="AS466">
        <f>'T_SelfStock'!AQ36</f>
        <v/>
      </c>
      <c r="AT466">
        <f>'T_SelfStock'!AR36</f>
        <v/>
      </c>
      <c r="AU466">
        <f>'T_SelfStock'!AS36</f>
        <v/>
      </c>
      <c r="AV466">
        <f>'T_SelfStock'!AT36</f>
        <v/>
      </c>
      <c r="AW466">
        <f>'T_SelfStock'!AU36</f>
        <v/>
      </c>
      <c r="AX466">
        <f>'T_SelfStock'!AV36</f>
        <v/>
      </c>
      <c r="AY466">
        <f>'T_SelfStock'!AW36</f>
        <v/>
      </c>
      <c r="AZ466">
        <f>'T_SelfStock'!AX36</f>
        <v/>
      </c>
      <c r="BA466">
        <f>'T_SelfStock'!AY36</f>
        <v/>
      </c>
      <c r="BB466">
        <f>'T_SelfStock'!AZ36</f>
        <v/>
      </c>
      <c r="BC466">
        <f>'T_SelfStock'!BA36</f>
        <v/>
      </c>
      <c r="BD466">
        <f>'T_SelfStock'!BB36</f>
        <v/>
      </c>
      <c r="BE466">
        <f>'T_SelfStock'!BC36</f>
        <v/>
      </c>
      <c r="BF466">
        <f>'T_SelfStock'!BD36</f>
        <v/>
      </c>
      <c r="BG466">
        <f>'T_SelfStock'!BE36</f>
        <v/>
      </c>
      <c r="BH466">
        <f>'T_SelfStock'!BF36</f>
        <v/>
      </c>
      <c r="BI466">
        <f>'T_SelfStock'!BG36</f>
        <v/>
      </c>
      <c r="BJ466">
        <f>'T_SelfStock'!BH36</f>
        <v/>
      </c>
      <c r="BK466">
        <f>'T_SelfStock'!BI36</f>
        <v/>
      </c>
      <c r="BL466">
        <f>'T_SelfStock'!BJ36</f>
        <v/>
      </c>
      <c r="BM466">
        <f>'T_SelfStock'!BK36</f>
        <v/>
      </c>
      <c r="BN466">
        <f>'T_SelfStock'!BL36</f>
        <v/>
      </c>
      <c r="BO466">
        <f>'T_SelfStock'!BM36</f>
        <v/>
      </c>
      <c r="BP466">
        <f>'T_SelfStock'!BN36</f>
        <v/>
      </c>
      <c r="BQ466">
        <f>'T_SelfStock'!BO36</f>
        <v/>
      </c>
      <c r="BR466">
        <f>'T_SelfStock'!BP36</f>
        <v/>
      </c>
      <c r="BS466">
        <f>'T_SelfStock'!BQ36</f>
        <v/>
      </c>
      <c r="BT466">
        <f>'T_SelfStock'!BR36</f>
        <v/>
      </c>
      <c r="BU466">
        <f>'T_SelfStock'!BS36</f>
        <v/>
      </c>
      <c r="BV466">
        <f>'T_SelfStock'!BT36</f>
        <v/>
      </c>
      <c r="BW466">
        <f>'T_SelfStock'!BU36</f>
        <v/>
      </c>
      <c r="BX466">
        <f>'T_SelfStock'!BV36</f>
        <v/>
      </c>
      <c r="BY466">
        <f>'T_SelfStock'!BW36</f>
        <v/>
      </c>
      <c r="BZ466">
        <f>'T_SelfStock'!BX36</f>
        <v/>
      </c>
      <c r="CA466">
        <f>'T_SelfStock'!BY36</f>
        <v/>
      </c>
      <c r="CB466">
        <f>'T_SelfStock'!BZ36</f>
        <v/>
      </c>
      <c r="CC466">
        <f>'T_SelfStock'!CA36</f>
        <v/>
      </c>
      <c r="CD466">
        <f>'T_SelfStock'!CB36</f>
        <v/>
      </c>
      <c r="CE466">
        <f>'T_SelfStock'!CC36</f>
        <v/>
      </c>
      <c r="CF466">
        <f>'T_SelfStock'!CD36</f>
        <v/>
      </c>
      <c r="CG466">
        <f>'T_SelfStock'!CE36</f>
        <v/>
      </c>
      <c r="CH466">
        <f>'T_SelfStock'!CF36</f>
        <v/>
      </c>
      <c r="CI466">
        <f>'T_SelfStock'!CG36</f>
        <v/>
      </c>
      <c r="CJ466">
        <f>'T_SelfStock'!CH36</f>
        <v/>
      </c>
      <c r="CK466">
        <f>'T_SelfStock'!CI36</f>
        <v/>
      </c>
      <c r="CL466">
        <f>'T_SelfStock'!CJ36</f>
        <v/>
      </c>
      <c r="CM466">
        <f>'T_SelfStock'!CK36</f>
        <v/>
      </c>
      <c r="CN466">
        <f>'T_SelfStock'!CL36</f>
        <v/>
      </c>
      <c r="CO466">
        <f>'T_SelfStock'!CM36</f>
        <v/>
      </c>
      <c r="CP466">
        <f>'T_SelfStock'!CN36</f>
        <v/>
      </c>
      <c r="CQ466">
        <f>'T_SelfStock'!CO36</f>
        <v/>
      </c>
      <c r="CR466">
        <f>'T_SelfStock'!CP36</f>
        <v/>
      </c>
      <c r="CS466">
        <f>'T_SelfStock'!CQ36</f>
        <v/>
      </c>
      <c r="CT466">
        <f>'T_SelfStock'!CR36</f>
        <v/>
      </c>
      <c r="CU466">
        <f>'T_SelfStock'!CS36</f>
        <v/>
      </c>
      <c r="CV466">
        <f>'T_SelfStock'!CT36</f>
        <v/>
      </c>
      <c r="CW466">
        <f>'T_SelfStock'!CU36</f>
        <v/>
      </c>
      <c r="CX466">
        <f>'T_SelfStock'!CV36</f>
        <v/>
      </c>
      <c r="CY466">
        <f>'T_SelfStock'!CW36</f>
        <v/>
      </c>
      <c r="CZ466">
        <f>'T_SelfStock'!CX36</f>
        <v/>
      </c>
      <c r="DA466">
        <f>'T_SelfStock'!CY36</f>
        <v/>
      </c>
      <c r="DB466">
        <f>'T_SelfStock'!CZ36</f>
        <v/>
      </c>
      <c r="DC466">
        <f>'T_SelfStock'!DA36</f>
        <v/>
      </c>
    </row>
    <row r="467">
      <c r="B467" s="4" t="inlineStr">
        <is>
          <t>合計在庫(週末時点,kg)</t>
        </is>
      </c>
      <c r="D467">
        <f>'Grid_Stock'!B32</f>
        <v/>
      </c>
      <c r="E467">
        <f>'Grid_Stock'!C32</f>
        <v/>
      </c>
      <c r="F467">
        <f>'Grid_Stock'!D32</f>
        <v/>
      </c>
      <c r="G467">
        <f>'Grid_Stock'!E32</f>
        <v/>
      </c>
      <c r="H467">
        <f>'Grid_Stock'!F32</f>
        <v/>
      </c>
      <c r="I467">
        <f>'Grid_Stock'!G32</f>
        <v/>
      </c>
      <c r="J467">
        <f>'Grid_Stock'!H32</f>
        <v/>
      </c>
      <c r="K467">
        <f>'Grid_Stock'!I32</f>
        <v/>
      </c>
      <c r="L467">
        <f>'Grid_Stock'!J32</f>
        <v/>
      </c>
      <c r="M467">
        <f>'Grid_Stock'!K32</f>
        <v/>
      </c>
      <c r="N467">
        <f>'Grid_Stock'!L32</f>
        <v/>
      </c>
      <c r="O467">
        <f>'Grid_Stock'!M32</f>
        <v/>
      </c>
      <c r="P467">
        <f>'Grid_Stock'!N32</f>
        <v/>
      </c>
      <c r="Q467">
        <f>'Grid_Stock'!O32</f>
        <v/>
      </c>
      <c r="R467">
        <f>'Grid_Stock'!P32</f>
        <v/>
      </c>
      <c r="S467">
        <f>'Grid_Stock'!Q32</f>
        <v/>
      </c>
      <c r="T467">
        <f>'Grid_Stock'!R32</f>
        <v/>
      </c>
      <c r="U467">
        <f>'Grid_Stock'!S32</f>
        <v/>
      </c>
      <c r="V467">
        <f>'Grid_Stock'!T32</f>
        <v/>
      </c>
      <c r="W467">
        <f>'Grid_Stock'!U32</f>
        <v/>
      </c>
      <c r="X467">
        <f>'Grid_Stock'!V32</f>
        <v/>
      </c>
      <c r="Y467">
        <f>'Grid_Stock'!W32</f>
        <v/>
      </c>
      <c r="Z467">
        <f>'Grid_Stock'!X32</f>
        <v/>
      </c>
      <c r="AA467">
        <f>'Grid_Stock'!Y32</f>
        <v/>
      </c>
      <c r="AB467">
        <f>'Grid_Stock'!Z32</f>
        <v/>
      </c>
      <c r="AC467">
        <f>'Grid_Stock'!AA32</f>
        <v/>
      </c>
      <c r="AD467">
        <f>'Grid_Stock'!AB32</f>
        <v/>
      </c>
      <c r="AE467">
        <f>'Grid_Stock'!AC32</f>
        <v/>
      </c>
      <c r="AF467">
        <f>'Grid_Stock'!AD32</f>
        <v/>
      </c>
      <c r="AG467">
        <f>'Grid_Stock'!AE32</f>
        <v/>
      </c>
      <c r="AH467">
        <f>'Grid_Stock'!AF32</f>
        <v/>
      </c>
      <c r="AI467">
        <f>'Grid_Stock'!AG32</f>
        <v/>
      </c>
      <c r="AJ467">
        <f>'Grid_Stock'!AH32</f>
        <v/>
      </c>
      <c r="AK467">
        <f>'Grid_Stock'!AI32</f>
        <v/>
      </c>
      <c r="AL467">
        <f>'Grid_Stock'!AJ32</f>
        <v/>
      </c>
      <c r="AM467">
        <f>'Grid_Stock'!AK32</f>
        <v/>
      </c>
      <c r="AN467">
        <f>'Grid_Stock'!AL32</f>
        <v/>
      </c>
      <c r="AO467">
        <f>'Grid_Stock'!AM32</f>
        <v/>
      </c>
      <c r="AP467">
        <f>'Grid_Stock'!AN32</f>
        <v/>
      </c>
      <c r="AQ467">
        <f>'Grid_Stock'!AO32</f>
        <v/>
      </c>
      <c r="AR467">
        <f>'Grid_Stock'!AP32</f>
        <v/>
      </c>
      <c r="AS467">
        <f>'Grid_Stock'!AQ32</f>
        <v/>
      </c>
      <c r="AT467">
        <f>'Grid_Stock'!AR32</f>
        <v/>
      </c>
      <c r="AU467">
        <f>'Grid_Stock'!AS32</f>
        <v/>
      </c>
      <c r="AV467">
        <f>'Grid_Stock'!AT32</f>
        <v/>
      </c>
      <c r="AW467">
        <f>'Grid_Stock'!AU32</f>
        <v/>
      </c>
      <c r="AX467">
        <f>'Grid_Stock'!AV32</f>
        <v/>
      </c>
      <c r="AY467">
        <f>'Grid_Stock'!AW32</f>
        <v/>
      </c>
      <c r="AZ467">
        <f>'Grid_Stock'!AX32</f>
        <v/>
      </c>
      <c r="BA467">
        <f>'Grid_Stock'!AY32</f>
        <v/>
      </c>
      <c r="BB467">
        <f>'Grid_Stock'!AZ32</f>
        <v/>
      </c>
      <c r="BC467">
        <f>'Grid_Stock'!BA32</f>
        <v/>
      </c>
      <c r="BD467">
        <f>'Grid_Stock'!BB32</f>
        <v/>
      </c>
      <c r="BE467">
        <f>'Grid_Stock'!BC32</f>
        <v/>
      </c>
      <c r="BF467">
        <f>'Grid_Stock'!BD32</f>
        <v/>
      </c>
      <c r="BG467">
        <f>'Grid_Stock'!BE32</f>
        <v/>
      </c>
      <c r="BH467">
        <f>'Grid_Stock'!BF32</f>
        <v/>
      </c>
      <c r="BI467">
        <f>'Grid_Stock'!BG32</f>
        <v/>
      </c>
      <c r="BJ467">
        <f>'Grid_Stock'!BH32</f>
        <v/>
      </c>
      <c r="BK467">
        <f>'Grid_Stock'!BI32</f>
        <v/>
      </c>
      <c r="BL467">
        <f>'Grid_Stock'!BJ32</f>
        <v/>
      </c>
      <c r="BM467">
        <f>'Grid_Stock'!BK32</f>
        <v/>
      </c>
      <c r="BN467">
        <f>'Grid_Stock'!BL32</f>
        <v/>
      </c>
      <c r="BO467">
        <f>'Grid_Stock'!BM32</f>
        <v/>
      </c>
      <c r="BP467">
        <f>'Grid_Stock'!BN32</f>
        <v/>
      </c>
      <c r="BQ467">
        <f>'Grid_Stock'!BO32</f>
        <v/>
      </c>
      <c r="BR467">
        <f>'Grid_Stock'!BP32</f>
        <v/>
      </c>
      <c r="BS467">
        <f>'Grid_Stock'!BQ32</f>
        <v/>
      </c>
      <c r="BT467">
        <f>'Grid_Stock'!BR32</f>
        <v/>
      </c>
      <c r="BU467">
        <f>'Grid_Stock'!BS32</f>
        <v/>
      </c>
      <c r="BV467">
        <f>'Grid_Stock'!BT32</f>
        <v/>
      </c>
      <c r="BW467">
        <f>'Grid_Stock'!BU32</f>
        <v/>
      </c>
      <c r="BX467">
        <f>'Grid_Stock'!BV32</f>
        <v/>
      </c>
      <c r="BY467">
        <f>'Grid_Stock'!BW32</f>
        <v/>
      </c>
      <c r="BZ467">
        <f>'Grid_Stock'!BX32</f>
        <v/>
      </c>
      <c r="CA467">
        <f>'Grid_Stock'!BY32</f>
        <v/>
      </c>
      <c r="CB467">
        <f>'Grid_Stock'!BZ32</f>
        <v/>
      </c>
      <c r="CC467">
        <f>'Grid_Stock'!CA32</f>
        <v/>
      </c>
      <c r="CD467">
        <f>'Grid_Stock'!CB32</f>
        <v/>
      </c>
      <c r="CE467">
        <f>'Grid_Stock'!CC32</f>
        <v/>
      </c>
      <c r="CF467">
        <f>'Grid_Stock'!CD32</f>
        <v/>
      </c>
      <c r="CG467">
        <f>'Grid_Stock'!CE32</f>
        <v/>
      </c>
      <c r="CH467">
        <f>'Grid_Stock'!CF32</f>
        <v/>
      </c>
      <c r="CI467">
        <f>'Grid_Stock'!CG32</f>
        <v/>
      </c>
      <c r="CJ467">
        <f>'Grid_Stock'!CH32</f>
        <v/>
      </c>
      <c r="CK467">
        <f>'Grid_Stock'!CI32</f>
        <v/>
      </c>
      <c r="CL467">
        <f>'Grid_Stock'!CJ32</f>
        <v/>
      </c>
      <c r="CM467">
        <f>'Grid_Stock'!CK32</f>
        <v/>
      </c>
      <c r="CN467">
        <f>'Grid_Stock'!CL32</f>
        <v/>
      </c>
      <c r="CO467">
        <f>'Grid_Stock'!CM32</f>
        <v/>
      </c>
      <c r="CP467">
        <f>'Grid_Stock'!CN32</f>
        <v/>
      </c>
      <c r="CQ467">
        <f>'Grid_Stock'!CO32</f>
        <v/>
      </c>
      <c r="CR467">
        <f>'Grid_Stock'!CP32</f>
        <v/>
      </c>
      <c r="CS467">
        <f>'Grid_Stock'!CQ32</f>
        <v/>
      </c>
      <c r="CT467">
        <f>'Grid_Stock'!CR32</f>
        <v/>
      </c>
      <c r="CU467">
        <f>'Grid_Stock'!CS32</f>
        <v/>
      </c>
      <c r="CV467">
        <f>'Grid_Stock'!CT32</f>
        <v/>
      </c>
      <c r="CW467">
        <f>'Grid_Stock'!CU32</f>
        <v/>
      </c>
      <c r="CX467">
        <f>'Grid_Stock'!CV32</f>
        <v/>
      </c>
      <c r="CY467">
        <f>'Grid_Stock'!CW32</f>
        <v/>
      </c>
      <c r="CZ467">
        <f>'Grid_Stock'!CX32</f>
        <v/>
      </c>
      <c r="DA467">
        <f>'Grid_Stock'!CY32</f>
        <v/>
      </c>
      <c r="DB467">
        <f>'Grid_Stock'!CZ32</f>
        <v/>
      </c>
      <c r="DC467">
        <f>'Grid_Stock'!DA32</f>
        <v/>
      </c>
    </row>
    <row r="468">
      <c r="B468" s="16" t="inlineStr">
        <is>
          <t>（発注の目安はDashboardの基準在庫[下限/上限]と色分けを参照）</t>
        </is>
      </c>
    </row>
    <row r="470">
      <c r="A470" s="14" t="inlineStr">
        <is>
          <t>CHEM-1480</t>
        </is>
      </c>
      <c r="B470" s="14" t="inlineStr">
        <is>
          <t>NAT-30</t>
        </is>
      </c>
      <c r="C470" s="15" t="n"/>
      <c r="D470" s="14" t="n"/>
      <c r="E470" s="14" t="n"/>
      <c r="F470" s="14" t="n"/>
      <c r="G470" s="14" t="n"/>
      <c r="H470" s="14" t="n"/>
      <c r="I470" s="14" t="n"/>
      <c r="J470" s="14" t="n"/>
      <c r="K470" s="14" t="n"/>
      <c r="L470" s="14" t="n"/>
      <c r="M470" s="14" t="n"/>
      <c r="N470" s="14" t="n"/>
      <c r="O470" s="14" t="n"/>
      <c r="P470" s="14" t="n"/>
      <c r="Q470" s="14" t="n"/>
      <c r="R470" s="14" t="n"/>
      <c r="S470" s="14" t="n"/>
      <c r="T470" s="14" t="n"/>
      <c r="U470" s="14" t="n"/>
      <c r="V470" s="14" t="n"/>
      <c r="W470" s="14" t="n"/>
      <c r="X470" s="14" t="n"/>
      <c r="Y470" s="14" t="n"/>
      <c r="Z470" s="14" t="n"/>
      <c r="AA470" s="14" t="n"/>
      <c r="AB470" s="14" t="n"/>
      <c r="AC470" s="14" t="n"/>
      <c r="AD470" s="14" t="n"/>
      <c r="AE470" s="14" t="n"/>
      <c r="AF470" s="14" t="n"/>
      <c r="AG470" s="14" t="n"/>
      <c r="AH470" s="14" t="n"/>
      <c r="AI470" s="14" t="n"/>
      <c r="AJ470" s="14" t="n"/>
      <c r="AK470" s="14" t="n"/>
      <c r="AL470" s="14" t="n"/>
      <c r="AM470" s="14" t="n"/>
      <c r="AN470" s="14" t="n"/>
      <c r="AO470" s="14" t="n"/>
      <c r="AP470" s="14" t="n"/>
      <c r="AQ470" s="14" t="n"/>
      <c r="AR470" s="14" t="n"/>
      <c r="AS470" s="14" t="n"/>
      <c r="AT470" s="14" t="n"/>
      <c r="AU470" s="14" t="n"/>
      <c r="AV470" s="14" t="n"/>
      <c r="AW470" s="14" t="n"/>
      <c r="AX470" s="14" t="n"/>
      <c r="AY470" s="14" t="n"/>
      <c r="AZ470" s="14" t="n"/>
      <c r="BA470" s="14" t="n"/>
      <c r="BB470" s="14" t="n"/>
      <c r="BC470" s="14" t="n"/>
      <c r="BD470" s="14" t="n"/>
      <c r="BE470" s="14" t="n"/>
      <c r="BF470" s="14" t="n"/>
      <c r="BG470" s="14" t="n"/>
      <c r="BH470" s="14" t="n"/>
      <c r="BI470" s="14" t="n"/>
      <c r="BJ470" s="14" t="n"/>
      <c r="BK470" s="14" t="n"/>
      <c r="BL470" s="14" t="n"/>
      <c r="BM470" s="14" t="n"/>
      <c r="BN470" s="14" t="n"/>
      <c r="BO470" s="14" t="n"/>
      <c r="BP470" s="14" t="n"/>
      <c r="BQ470" s="14" t="n"/>
      <c r="BR470" s="14" t="n"/>
      <c r="BS470" s="14" t="n"/>
      <c r="BT470" s="14" t="n"/>
      <c r="BU470" s="14" t="n"/>
      <c r="BV470" s="14" t="n"/>
      <c r="BW470" s="14" t="n"/>
      <c r="BX470" s="14" t="n"/>
      <c r="BY470" s="14" t="n"/>
      <c r="BZ470" s="14" t="n"/>
      <c r="CA470" s="14" t="n"/>
      <c r="CB470" s="14" t="n"/>
      <c r="CC470" s="14" t="n"/>
      <c r="CD470" s="14" t="n"/>
      <c r="CE470" s="14" t="n"/>
      <c r="CF470" s="14" t="n"/>
      <c r="CG470" s="14" t="n"/>
      <c r="CH470" s="14" t="n"/>
      <c r="CI470" s="14" t="n"/>
      <c r="CJ470" s="14" t="n"/>
      <c r="CK470" s="14" t="n"/>
      <c r="CL470" s="14" t="n"/>
      <c r="CM470" s="14" t="n"/>
      <c r="CN470" s="14" t="n"/>
      <c r="CO470" s="14" t="n"/>
      <c r="CP470" s="14" t="n"/>
      <c r="CQ470" s="14" t="n"/>
      <c r="CR470" s="14" t="n"/>
      <c r="CS470" s="14" t="n"/>
      <c r="CT470" s="14" t="n"/>
      <c r="CU470" s="14" t="n"/>
      <c r="CV470" s="14" t="n"/>
      <c r="CW470" s="14" t="n"/>
      <c r="CX470" s="14" t="n"/>
      <c r="CY470" s="14" t="n"/>
      <c r="CZ470" s="14" t="n"/>
      <c r="DA470" s="14" t="n"/>
      <c r="DB470" s="14" t="n"/>
      <c r="DC470" s="14" t="n"/>
    </row>
    <row r="471">
      <c r="B471" t="inlineStr">
        <is>
          <t>TSP-206</t>
        </is>
      </c>
      <c r="C471" t="inlineStr">
        <is>
          <t>No. of batches</t>
        </is>
      </c>
      <c r="D471">
        <f>IFERROR(INDEX(PP_Grid[#Data],$DD471,2),0)</f>
        <v/>
      </c>
      <c r="E471">
        <f>IFERROR(INDEX(PP_Grid[#Data],$DD471,3),0)</f>
        <v/>
      </c>
      <c r="F471">
        <f>IFERROR(INDEX(PP_Grid[#Data],$DD471,4),0)</f>
        <v/>
      </c>
      <c r="G471">
        <f>IFERROR(INDEX(PP_Grid[#Data],$DD471,5),0)</f>
        <v/>
      </c>
      <c r="H471">
        <f>IFERROR(INDEX(PP_Grid[#Data],$DD471,6),0)</f>
        <v/>
      </c>
      <c r="I471">
        <f>IFERROR(INDEX(PP_Grid[#Data],$DD471,7),0)</f>
        <v/>
      </c>
      <c r="J471">
        <f>IFERROR(INDEX(PP_Grid[#Data],$DD471,8),0)</f>
        <v/>
      </c>
      <c r="K471">
        <f>IFERROR(INDEX(PP_Grid[#Data],$DD471,9),0)</f>
        <v/>
      </c>
      <c r="L471">
        <f>IFERROR(INDEX(PP_Grid[#Data],$DD471,10),0)</f>
        <v/>
      </c>
      <c r="M471">
        <f>IFERROR(INDEX(PP_Grid[#Data],$DD471,11),0)</f>
        <v/>
      </c>
      <c r="N471">
        <f>IFERROR(INDEX(PP_Grid[#Data],$DD471,12),0)</f>
        <v/>
      </c>
      <c r="O471">
        <f>IFERROR(INDEX(PP_Grid[#Data],$DD471,13),0)</f>
        <v/>
      </c>
      <c r="P471">
        <f>IFERROR(INDEX(PP_Grid[#Data],$DD471,14),0)</f>
        <v/>
      </c>
      <c r="Q471">
        <f>IFERROR(INDEX(PP_Grid[#Data],$DD471,15),0)</f>
        <v/>
      </c>
      <c r="R471">
        <f>IFERROR(INDEX(PP_Grid[#Data],$DD471,16),0)</f>
        <v/>
      </c>
      <c r="S471">
        <f>IFERROR(INDEX(PP_Grid[#Data],$DD471,17),0)</f>
        <v/>
      </c>
      <c r="T471">
        <f>IFERROR(INDEX(PP_Grid[#Data],$DD471,18),0)</f>
        <v/>
      </c>
      <c r="U471">
        <f>IFERROR(INDEX(PP_Grid[#Data],$DD471,19),0)</f>
        <v/>
      </c>
      <c r="V471">
        <f>IFERROR(INDEX(PP_Grid[#Data],$DD471,20),0)</f>
        <v/>
      </c>
      <c r="W471">
        <f>IFERROR(INDEX(PP_Grid[#Data],$DD471,21),0)</f>
        <v/>
      </c>
      <c r="X471">
        <f>IFERROR(INDEX(PP_Grid[#Data],$DD471,22),0)</f>
        <v/>
      </c>
      <c r="Y471">
        <f>IFERROR(INDEX(PP_Grid[#Data],$DD471,23),0)</f>
        <v/>
      </c>
      <c r="Z471">
        <f>IFERROR(INDEX(PP_Grid[#Data],$DD471,24),0)</f>
        <v/>
      </c>
      <c r="AA471">
        <f>IFERROR(INDEX(PP_Grid[#Data],$DD471,25),0)</f>
        <v/>
      </c>
      <c r="AB471">
        <f>IFERROR(INDEX(PP_Grid[#Data],$DD471,26),0)</f>
        <v/>
      </c>
      <c r="AC471">
        <f>IFERROR(INDEX(PP_Grid[#Data],$DD471,27),0)</f>
        <v/>
      </c>
      <c r="AD471">
        <f>IFERROR(INDEX(PP_Grid[#Data],$DD471,28),0)</f>
        <v/>
      </c>
      <c r="AE471">
        <f>IFERROR(INDEX(PP_Grid[#Data],$DD471,29),0)</f>
        <v/>
      </c>
      <c r="AF471">
        <f>IFERROR(INDEX(PP_Grid[#Data],$DD471,30),0)</f>
        <v/>
      </c>
      <c r="AG471">
        <f>IFERROR(INDEX(PP_Grid[#Data],$DD471,31),0)</f>
        <v/>
      </c>
      <c r="AH471">
        <f>IFERROR(INDEX(PP_Grid[#Data],$DD471,32),0)</f>
        <v/>
      </c>
      <c r="AI471">
        <f>IFERROR(INDEX(PP_Grid[#Data],$DD471,33),0)</f>
        <v/>
      </c>
      <c r="AJ471">
        <f>IFERROR(INDEX(PP_Grid[#Data],$DD471,34),0)</f>
        <v/>
      </c>
      <c r="AK471">
        <f>IFERROR(INDEX(PP_Grid[#Data],$DD471,35),0)</f>
        <v/>
      </c>
      <c r="AL471">
        <f>IFERROR(INDEX(PP_Grid[#Data],$DD471,36),0)</f>
        <v/>
      </c>
      <c r="AM471">
        <f>IFERROR(INDEX(PP_Grid[#Data],$DD471,37),0)</f>
        <v/>
      </c>
      <c r="AN471">
        <f>IFERROR(INDEX(PP_Grid[#Data],$DD471,38),0)</f>
        <v/>
      </c>
      <c r="AO471">
        <f>IFERROR(INDEX(PP_Grid[#Data],$DD471,39),0)</f>
        <v/>
      </c>
      <c r="AP471">
        <f>IFERROR(INDEX(PP_Grid[#Data],$DD471,40),0)</f>
        <v/>
      </c>
      <c r="AQ471">
        <f>IFERROR(INDEX(PP_Grid[#Data],$DD471,41),0)</f>
        <v/>
      </c>
      <c r="AR471">
        <f>IFERROR(INDEX(PP_Grid[#Data],$DD471,42),0)</f>
        <v/>
      </c>
      <c r="AS471">
        <f>IFERROR(INDEX(PP_Grid[#Data],$DD471,43),0)</f>
        <v/>
      </c>
      <c r="AT471">
        <f>IFERROR(INDEX(PP_Grid[#Data],$DD471,44),0)</f>
        <v/>
      </c>
      <c r="AU471">
        <f>IFERROR(INDEX(PP_Grid[#Data],$DD471,45),0)</f>
        <v/>
      </c>
      <c r="AV471">
        <f>IFERROR(INDEX(PP_Grid[#Data],$DD471,46),0)</f>
        <v/>
      </c>
      <c r="AW471">
        <f>IFERROR(INDEX(PP_Grid[#Data],$DD471,47),0)</f>
        <v/>
      </c>
      <c r="AX471">
        <f>IFERROR(INDEX(PP_Grid[#Data],$DD471,48),0)</f>
        <v/>
      </c>
      <c r="AY471">
        <f>IFERROR(INDEX(PP_Grid[#Data],$DD471,49),0)</f>
        <v/>
      </c>
      <c r="AZ471">
        <f>IFERROR(INDEX(PP_Grid[#Data],$DD471,50),0)</f>
        <v/>
      </c>
      <c r="BA471">
        <f>IFERROR(INDEX(PP_Grid[#Data],$DD471,51),0)</f>
        <v/>
      </c>
      <c r="BB471">
        <f>IFERROR(INDEX(PP_Grid[#Data],$DD471,52),0)</f>
        <v/>
      </c>
      <c r="BC471">
        <f>IFERROR(INDEX(PP_Grid[#Data],$DD471,53),0)</f>
        <v/>
      </c>
      <c r="BD471">
        <f>IFERROR(INDEX(PP_Grid[#Data],$DD471,54),0)</f>
        <v/>
      </c>
      <c r="BE471">
        <f>IFERROR(INDEX(PP_Grid[#Data],$DD471,55),0)</f>
        <v/>
      </c>
      <c r="BF471">
        <f>IFERROR(INDEX(PP_Grid[#Data],$DD471,56),0)</f>
        <v/>
      </c>
      <c r="BG471">
        <f>IFERROR(INDEX(PP_Grid[#Data],$DD471,57),0)</f>
        <v/>
      </c>
      <c r="BH471">
        <f>IFERROR(INDEX(PP_Grid[#Data],$DD471,58),0)</f>
        <v/>
      </c>
      <c r="BI471">
        <f>IFERROR(INDEX(PP_Grid[#Data],$DD471,59),0)</f>
        <v/>
      </c>
      <c r="BJ471">
        <f>IFERROR(INDEX(PP_Grid[#Data],$DD471,60),0)</f>
        <v/>
      </c>
      <c r="BK471">
        <f>IFERROR(INDEX(PP_Grid[#Data],$DD471,61),0)</f>
        <v/>
      </c>
      <c r="BL471">
        <f>IFERROR(INDEX(PP_Grid[#Data],$DD471,62),0)</f>
        <v/>
      </c>
      <c r="BM471">
        <f>IFERROR(INDEX(PP_Grid[#Data],$DD471,63),0)</f>
        <v/>
      </c>
      <c r="BN471">
        <f>IFERROR(INDEX(PP_Grid[#Data],$DD471,64),0)</f>
        <v/>
      </c>
      <c r="BO471">
        <f>IFERROR(INDEX(PP_Grid[#Data],$DD471,65),0)</f>
        <v/>
      </c>
      <c r="BP471">
        <f>IFERROR(INDEX(PP_Grid[#Data],$DD471,66),0)</f>
        <v/>
      </c>
      <c r="BQ471">
        <f>IFERROR(INDEX(PP_Grid[#Data],$DD471,67),0)</f>
        <v/>
      </c>
      <c r="BR471">
        <f>IFERROR(INDEX(PP_Grid[#Data],$DD471,68),0)</f>
        <v/>
      </c>
      <c r="BS471">
        <f>IFERROR(INDEX(PP_Grid[#Data],$DD471,69),0)</f>
        <v/>
      </c>
      <c r="BT471">
        <f>IFERROR(INDEX(PP_Grid[#Data],$DD471,70),0)</f>
        <v/>
      </c>
      <c r="BU471">
        <f>IFERROR(INDEX(PP_Grid[#Data],$DD471,71),0)</f>
        <v/>
      </c>
      <c r="BV471">
        <f>IFERROR(INDEX(PP_Grid[#Data],$DD471,72),0)</f>
        <v/>
      </c>
      <c r="BW471">
        <f>IFERROR(INDEX(PP_Grid[#Data],$DD471,73),0)</f>
        <v/>
      </c>
      <c r="BX471">
        <f>IFERROR(INDEX(PP_Grid[#Data],$DD471,74),0)</f>
        <v/>
      </c>
      <c r="BY471">
        <f>IFERROR(INDEX(PP_Grid[#Data],$DD471,75),0)</f>
        <v/>
      </c>
      <c r="BZ471">
        <f>IFERROR(INDEX(PP_Grid[#Data],$DD471,76),0)</f>
        <v/>
      </c>
      <c r="CA471">
        <f>IFERROR(INDEX(PP_Grid[#Data],$DD471,77),0)</f>
        <v/>
      </c>
      <c r="CB471">
        <f>IFERROR(INDEX(PP_Grid[#Data],$DD471,78),0)</f>
        <v/>
      </c>
      <c r="CC471">
        <f>IFERROR(INDEX(PP_Grid[#Data],$DD471,79),0)</f>
        <v/>
      </c>
      <c r="CD471">
        <f>IFERROR(INDEX(PP_Grid[#Data],$DD471,80),0)</f>
        <v/>
      </c>
      <c r="CE471">
        <f>IFERROR(INDEX(PP_Grid[#Data],$DD471,81),0)</f>
        <v/>
      </c>
      <c r="CF471">
        <f>IFERROR(INDEX(PP_Grid[#Data],$DD471,82),0)</f>
        <v/>
      </c>
      <c r="CG471">
        <f>IFERROR(INDEX(PP_Grid[#Data],$DD471,83),0)</f>
        <v/>
      </c>
      <c r="CH471">
        <f>IFERROR(INDEX(PP_Grid[#Data],$DD471,84),0)</f>
        <v/>
      </c>
      <c r="CI471">
        <f>IFERROR(INDEX(PP_Grid[#Data],$DD471,85),0)</f>
        <v/>
      </c>
      <c r="CJ471">
        <f>IFERROR(INDEX(PP_Grid[#Data],$DD471,86),0)</f>
        <v/>
      </c>
      <c r="CK471">
        <f>IFERROR(INDEX(PP_Grid[#Data],$DD471,87),0)</f>
        <v/>
      </c>
      <c r="CL471">
        <f>IFERROR(INDEX(PP_Grid[#Data],$DD471,88),0)</f>
        <v/>
      </c>
      <c r="CM471">
        <f>IFERROR(INDEX(PP_Grid[#Data],$DD471,89),0)</f>
        <v/>
      </c>
      <c r="CN471">
        <f>IFERROR(INDEX(PP_Grid[#Data],$DD471,90),0)</f>
        <v/>
      </c>
      <c r="CO471">
        <f>IFERROR(INDEX(PP_Grid[#Data],$DD471,91),0)</f>
        <v/>
      </c>
      <c r="CP471">
        <f>IFERROR(INDEX(PP_Grid[#Data],$DD471,92),0)</f>
        <v/>
      </c>
      <c r="CQ471">
        <f>IFERROR(INDEX(PP_Grid[#Data],$DD471,93),0)</f>
        <v/>
      </c>
      <c r="CR471">
        <f>IFERROR(INDEX(PP_Grid[#Data],$DD471,94),0)</f>
        <v/>
      </c>
      <c r="CS471">
        <f>IFERROR(INDEX(PP_Grid[#Data],$DD471,95),0)</f>
        <v/>
      </c>
      <c r="CT471">
        <f>IFERROR(INDEX(PP_Grid[#Data],$DD471,96),0)</f>
        <v/>
      </c>
      <c r="CU471">
        <f>IFERROR(INDEX(PP_Grid[#Data],$DD471,97),0)</f>
        <v/>
      </c>
      <c r="CV471">
        <f>IFERROR(INDEX(PP_Grid[#Data],$DD471,98),0)</f>
        <v/>
      </c>
      <c r="CW471">
        <f>IFERROR(INDEX(PP_Grid[#Data],$DD471,99),0)</f>
        <v/>
      </c>
      <c r="CX471">
        <f>IFERROR(INDEX(PP_Grid[#Data],$DD471,100),0)</f>
        <v/>
      </c>
      <c r="CY471">
        <f>IFERROR(INDEX(PP_Grid[#Data],$DD471,101),0)</f>
        <v/>
      </c>
      <c r="CZ471">
        <f>IFERROR(INDEX(PP_Grid[#Data],$DD471,102),0)</f>
        <v/>
      </c>
      <c r="DA471">
        <f>IFERROR(INDEX(PP_Grid[#Data],$DD471,103),0)</f>
        <v/>
      </c>
      <c r="DB471">
        <f>IFERROR(INDEX(PP_Grid[#Data],$DD471,104),0)</f>
        <v/>
      </c>
      <c r="DC471">
        <f>IFERROR(INDEX(PP_Grid[#Data],$DD471,105),0)</f>
        <v/>
      </c>
      <c r="DD471" s="7">
        <f>IFERROR(MATCH($B471,PP_Grid[Intermediate],0),99999)</f>
        <v/>
      </c>
    </row>
    <row r="472">
      <c r="B472" t="inlineStr">
        <is>
          <t>使用量(kg)</t>
        </is>
      </c>
      <c r="C472">
        <f>SUMIFS(M_BOM[RM_Qty_Per_Batch],M_BOM[Intermediate],$B471,M_BOM[Part Name],$A470)</f>
        <v/>
      </c>
      <c r="D472">
        <f>$C472*D471</f>
        <v/>
      </c>
      <c r="E472">
        <f>$C472*E471</f>
        <v/>
      </c>
      <c r="F472">
        <f>$C472*F471</f>
        <v/>
      </c>
      <c r="G472">
        <f>$C472*G471</f>
        <v/>
      </c>
      <c r="H472">
        <f>$C472*H471</f>
        <v/>
      </c>
      <c r="I472">
        <f>$C472*I471</f>
        <v/>
      </c>
      <c r="J472">
        <f>$C472*J471</f>
        <v/>
      </c>
      <c r="K472">
        <f>$C472*K471</f>
        <v/>
      </c>
      <c r="L472">
        <f>$C472*L471</f>
        <v/>
      </c>
      <c r="M472">
        <f>$C472*M471</f>
        <v/>
      </c>
      <c r="N472">
        <f>$C472*N471</f>
        <v/>
      </c>
      <c r="O472">
        <f>$C472*O471</f>
        <v/>
      </c>
      <c r="P472">
        <f>$C472*P471</f>
        <v/>
      </c>
      <c r="Q472">
        <f>$C472*Q471</f>
        <v/>
      </c>
      <c r="R472">
        <f>$C472*R471</f>
        <v/>
      </c>
      <c r="S472">
        <f>$C472*S471</f>
        <v/>
      </c>
      <c r="T472">
        <f>$C472*T471</f>
        <v/>
      </c>
      <c r="U472">
        <f>$C472*U471</f>
        <v/>
      </c>
      <c r="V472">
        <f>$C472*V471</f>
        <v/>
      </c>
      <c r="W472">
        <f>$C472*W471</f>
        <v/>
      </c>
      <c r="X472">
        <f>$C472*X471</f>
        <v/>
      </c>
      <c r="Y472">
        <f>$C472*Y471</f>
        <v/>
      </c>
      <c r="Z472">
        <f>$C472*Z471</f>
        <v/>
      </c>
      <c r="AA472">
        <f>$C472*AA471</f>
        <v/>
      </c>
      <c r="AB472">
        <f>$C472*AB471</f>
        <v/>
      </c>
      <c r="AC472">
        <f>$C472*AC471</f>
        <v/>
      </c>
      <c r="AD472">
        <f>$C472*AD471</f>
        <v/>
      </c>
      <c r="AE472">
        <f>$C472*AE471</f>
        <v/>
      </c>
      <c r="AF472">
        <f>$C472*AF471</f>
        <v/>
      </c>
      <c r="AG472">
        <f>$C472*AG471</f>
        <v/>
      </c>
      <c r="AH472">
        <f>$C472*AH471</f>
        <v/>
      </c>
      <c r="AI472">
        <f>$C472*AI471</f>
        <v/>
      </c>
      <c r="AJ472">
        <f>$C472*AJ471</f>
        <v/>
      </c>
      <c r="AK472">
        <f>$C472*AK471</f>
        <v/>
      </c>
      <c r="AL472">
        <f>$C472*AL471</f>
        <v/>
      </c>
      <c r="AM472">
        <f>$C472*AM471</f>
        <v/>
      </c>
      <c r="AN472">
        <f>$C472*AN471</f>
        <v/>
      </c>
      <c r="AO472">
        <f>$C472*AO471</f>
        <v/>
      </c>
      <c r="AP472">
        <f>$C472*AP471</f>
        <v/>
      </c>
      <c r="AQ472">
        <f>$C472*AQ471</f>
        <v/>
      </c>
      <c r="AR472">
        <f>$C472*AR471</f>
        <v/>
      </c>
      <c r="AS472">
        <f>$C472*AS471</f>
        <v/>
      </c>
      <c r="AT472">
        <f>$C472*AT471</f>
        <v/>
      </c>
      <c r="AU472">
        <f>$C472*AU471</f>
        <v/>
      </c>
      <c r="AV472">
        <f>$C472*AV471</f>
        <v/>
      </c>
      <c r="AW472">
        <f>$C472*AW471</f>
        <v/>
      </c>
      <c r="AX472">
        <f>$C472*AX471</f>
        <v/>
      </c>
      <c r="AY472">
        <f>$C472*AY471</f>
        <v/>
      </c>
      <c r="AZ472">
        <f>$C472*AZ471</f>
        <v/>
      </c>
      <c r="BA472">
        <f>$C472*BA471</f>
        <v/>
      </c>
      <c r="BB472">
        <f>$C472*BB471</f>
        <v/>
      </c>
      <c r="BC472">
        <f>$C472*BC471</f>
        <v/>
      </c>
      <c r="BD472">
        <f>$C472*BD471</f>
        <v/>
      </c>
      <c r="BE472">
        <f>$C472*BE471</f>
        <v/>
      </c>
      <c r="BF472">
        <f>$C472*BF471</f>
        <v/>
      </c>
      <c r="BG472">
        <f>$C472*BG471</f>
        <v/>
      </c>
      <c r="BH472">
        <f>$C472*BH471</f>
        <v/>
      </c>
      <c r="BI472">
        <f>$C472*BI471</f>
        <v/>
      </c>
      <c r="BJ472">
        <f>$C472*BJ471</f>
        <v/>
      </c>
      <c r="BK472">
        <f>$C472*BK471</f>
        <v/>
      </c>
      <c r="BL472">
        <f>$C472*BL471</f>
        <v/>
      </c>
      <c r="BM472">
        <f>$C472*BM471</f>
        <v/>
      </c>
      <c r="BN472">
        <f>$C472*BN471</f>
        <v/>
      </c>
      <c r="BO472">
        <f>$C472*BO471</f>
        <v/>
      </c>
      <c r="BP472">
        <f>$C472*BP471</f>
        <v/>
      </c>
      <c r="BQ472">
        <f>$C472*BQ471</f>
        <v/>
      </c>
      <c r="BR472">
        <f>$C472*BR471</f>
        <v/>
      </c>
      <c r="BS472">
        <f>$C472*BS471</f>
        <v/>
      </c>
      <c r="BT472">
        <f>$C472*BT471</f>
        <v/>
      </c>
      <c r="BU472">
        <f>$C472*BU471</f>
        <v/>
      </c>
      <c r="BV472">
        <f>$C472*BV471</f>
        <v/>
      </c>
      <c r="BW472">
        <f>$C472*BW471</f>
        <v/>
      </c>
      <c r="BX472">
        <f>$C472*BX471</f>
        <v/>
      </c>
      <c r="BY472">
        <f>$C472*BY471</f>
        <v/>
      </c>
      <c r="BZ472">
        <f>$C472*BZ471</f>
        <v/>
      </c>
      <c r="CA472">
        <f>$C472*CA471</f>
        <v/>
      </c>
      <c r="CB472">
        <f>$C472*CB471</f>
        <v/>
      </c>
      <c r="CC472">
        <f>$C472*CC471</f>
        <v/>
      </c>
      <c r="CD472">
        <f>$C472*CD471</f>
        <v/>
      </c>
      <c r="CE472">
        <f>$C472*CE471</f>
        <v/>
      </c>
      <c r="CF472">
        <f>$C472*CF471</f>
        <v/>
      </c>
      <c r="CG472">
        <f>$C472*CG471</f>
        <v/>
      </c>
      <c r="CH472">
        <f>$C472*CH471</f>
        <v/>
      </c>
      <c r="CI472">
        <f>$C472*CI471</f>
        <v/>
      </c>
      <c r="CJ472">
        <f>$C472*CJ471</f>
        <v/>
      </c>
      <c r="CK472">
        <f>$C472*CK471</f>
        <v/>
      </c>
      <c r="CL472">
        <f>$C472*CL471</f>
        <v/>
      </c>
      <c r="CM472">
        <f>$C472*CM471</f>
        <v/>
      </c>
      <c r="CN472">
        <f>$C472*CN471</f>
        <v/>
      </c>
      <c r="CO472">
        <f>$C472*CO471</f>
        <v/>
      </c>
      <c r="CP472">
        <f>$C472*CP471</f>
        <v/>
      </c>
      <c r="CQ472">
        <f>$C472*CQ471</f>
        <v/>
      </c>
      <c r="CR472">
        <f>$C472*CR471</f>
        <v/>
      </c>
      <c r="CS472">
        <f>$C472*CS471</f>
        <v/>
      </c>
      <c r="CT472">
        <f>$C472*CT471</f>
        <v/>
      </c>
      <c r="CU472">
        <f>$C472*CU471</f>
        <v/>
      </c>
      <c r="CV472">
        <f>$C472*CV471</f>
        <v/>
      </c>
      <c r="CW472">
        <f>$C472*CW471</f>
        <v/>
      </c>
      <c r="CX472">
        <f>$C472*CX471</f>
        <v/>
      </c>
      <c r="CY472">
        <f>$C472*CY471</f>
        <v/>
      </c>
      <c r="CZ472">
        <f>$C472*CZ471</f>
        <v/>
      </c>
      <c r="DA472">
        <f>$C472*DA471</f>
        <v/>
      </c>
      <c r="DB472">
        <f>$C472*DB471</f>
        <v/>
      </c>
      <c r="DC472">
        <f>$C472*DC471</f>
        <v/>
      </c>
    </row>
    <row r="473">
      <c r="B473" s="4" t="inlineStr">
        <is>
          <t>合計使用量(kg)/週</t>
        </is>
      </c>
      <c r="D473">
        <f>'Grid_Requirement'!B33</f>
        <v/>
      </c>
      <c r="E473">
        <f>'Grid_Requirement'!C33</f>
        <v/>
      </c>
      <c r="F473">
        <f>'Grid_Requirement'!D33</f>
        <v/>
      </c>
      <c r="G473">
        <f>'Grid_Requirement'!E33</f>
        <v/>
      </c>
      <c r="H473">
        <f>'Grid_Requirement'!F33</f>
        <v/>
      </c>
      <c r="I473">
        <f>'Grid_Requirement'!G33</f>
        <v/>
      </c>
      <c r="J473">
        <f>'Grid_Requirement'!H33</f>
        <v/>
      </c>
      <c r="K473">
        <f>'Grid_Requirement'!I33</f>
        <v/>
      </c>
      <c r="L473">
        <f>'Grid_Requirement'!J33</f>
        <v/>
      </c>
      <c r="M473">
        <f>'Grid_Requirement'!K33</f>
        <v/>
      </c>
      <c r="N473">
        <f>'Grid_Requirement'!L33</f>
        <v/>
      </c>
      <c r="O473">
        <f>'Grid_Requirement'!M33</f>
        <v/>
      </c>
      <c r="P473">
        <f>'Grid_Requirement'!N33</f>
        <v/>
      </c>
      <c r="Q473">
        <f>'Grid_Requirement'!O33</f>
        <v/>
      </c>
      <c r="R473">
        <f>'Grid_Requirement'!P33</f>
        <v/>
      </c>
      <c r="S473">
        <f>'Grid_Requirement'!Q33</f>
        <v/>
      </c>
      <c r="T473">
        <f>'Grid_Requirement'!R33</f>
        <v/>
      </c>
      <c r="U473">
        <f>'Grid_Requirement'!S33</f>
        <v/>
      </c>
      <c r="V473">
        <f>'Grid_Requirement'!T33</f>
        <v/>
      </c>
      <c r="W473">
        <f>'Grid_Requirement'!U33</f>
        <v/>
      </c>
      <c r="X473">
        <f>'Grid_Requirement'!V33</f>
        <v/>
      </c>
      <c r="Y473">
        <f>'Grid_Requirement'!W33</f>
        <v/>
      </c>
      <c r="Z473">
        <f>'Grid_Requirement'!X33</f>
        <v/>
      </c>
      <c r="AA473">
        <f>'Grid_Requirement'!Y33</f>
        <v/>
      </c>
      <c r="AB473">
        <f>'Grid_Requirement'!Z33</f>
        <v/>
      </c>
      <c r="AC473">
        <f>'Grid_Requirement'!AA33</f>
        <v/>
      </c>
      <c r="AD473">
        <f>'Grid_Requirement'!AB33</f>
        <v/>
      </c>
      <c r="AE473">
        <f>'Grid_Requirement'!AC33</f>
        <v/>
      </c>
      <c r="AF473">
        <f>'Grid_Requirement'!AD33</f>
        <v/>
      </c>
      <c r="AG473">
        <f>'Grid_Requirement'!AE33</f>
        <v/>
      </c>
      <c r="AH473">
        <f>'Grid_Requirement'!AF33</f>
        <v/>
      </c>
      <c r="AI473">
        <f>'Grid_Requirement'!AG33</f>
        <v/>
      </c>
      <c r="AJ473">
        <f>'Grid_Requirement'!AH33</f>
        <v/>
      </c>
      <c r="AK473">
        <f>'Grid_Requirement'!AI33</f>
        <v/>
      </c>
      <c r="AL473">
        <f>'Grid_Requirement'!AJ33</f>
        <v/>
      </c>
      <c r="AM473">
        <f>'Grid_Requirement'!AK33</f>
        <v/>
      </c>
      <c r="AN473">
        <f>'Grid_Requirement'!AL33</f>
        <v/>
      </c>
      <c r="AO473">
        <f>'Grid_Requirement'!AM33</f>
        <v/>
      </c>
      <c r="AP473">
        <f>'Grid_Requirement'!AN33</f>
        <v/>
      </c>
      <c r="AQ473">
        <f>'Grid_Requirement'!AO33</f>
        <v/>
      </c>
      <c r="AR473">
        <f>'Grid_Requirement'!AP33</f>
        <v/>
      </c>
      <c r="AS473">
        <f>'Grid_Requirement'!AQ33</f>
        <v/>
      </c>
      <c r="AT473">
        <f>'Grid_Requirement'!AR33</f>
        <v/>
      </c>
      <c r="AU473">
        <f>'Grid_Requirement'!AS33</f>
        <v/>
      </c>
      <c r="AV473">
        <f>'Grid_Requirement'!AT33</f>
        <v/>
      </c>
      <c r="AW473">
        <f>'Grid_Requirement'!AU33</f>
        <v/>
      </c>
      <c r="AX473">
        <f>'Grid_Requirement'!AV33</f>
        <v/>
      </c>
      <c r="AY473">
        <f>'Grid_Requirement'!AW33</f>
        <v/>
      </c>
      <c r="AZ473">
        <f>'Grid_Requirement'!AX33</f>
        <v/>
      </c>
      <c r="BA473">
        <f>'Grid_Requirement'!AY33</f>
        <v/>
      </c>
      <c r="BB473">
        <f>'Grid_Requirement'!AZ33</f>
        <v/>
      </c>
      <c r="BC473">
        <f>'Grid_Requirement'!BA33</f>
        <v/>
      </c>
      <c r="BD473">
        <f>'Grid_Requirement'!BB33</f>
        <v/>
      </c>
      <c r="BE473">
        <f>'Grid_Requirement'!BC33</f>
        <v/>
      </c>
      <c r="BF473">
        <f>'Grid_Requirement'!BD33</f>
        <v/>
      </c>
      <c r="BG473">
        <f>'Grid_Requirement'!BE33</f>
        <v/>
      </c>
      <c r="BH473">
        <f>'Grid_Requirement'!BF33</f>
        <v/>
      </c>
      <c r="BI473">
        <f>'Grid_Requirement'!BG33</f>
        <v/>
      </c>
      <c r="BJ473">
        <f>'Grid_Requirement'!BH33</f>
        <v/>
      </c>
      <c r="BK473">
        <f>'Grid_Requirement'!BI33</f>
        <v/>
      </c>
      <c r="BL473">
        <f>'Grid_Requirement'!BJ33</f>
        <v/>
      </c>
      <c r="BM473">
        <f>'Grid_Requirement'!BK33</f>
        <v/>
      </c>
      <c r="BN473">
        <f>'Grid_Requirement'!BL33</f>
        <v/>
      </c>
      <c r="BO473">
        <f>'Grid_Requirement'!BM33</f>
        <v/>
      </c>
      <c r="BP473">
        <f>'Grid_Requirement'!BN33</f>
        <v/>
      </c>
      <c r="BQ473">
        <f>'Grid_Requirement'!BO33</f>
        <v/>
      </c>
      <c r="BR473">
        <f>'Grid_Requirement'!BP33</f>
        <v/>
      </c>
      <c r="BS473">
        <f>'Grid_Requirement'!BQ33</f>
        <v/>
      </c>
      <c r="BT473">
        <f>'Grid_Requirement'!BR33</f>
        <v/>
      </c>
      <c r="BU473">
        <f>'Grid_Requirement'!BS33</f>
        <v/>
      </c>
      <c r="BV473">
        <f>'Grid_Requirement'!BT33</f>
        <v/>
      </c>
      <c r="BW473">
        <f>'Grid_Requirement'!BU33</f>
        <v/>
      </c>
      <c r="BX473">
        <f>'Grid_Requirement'!BV33</f>
        <v/>
      </c>
      <c r="BY473">
        <f>'Grid_Requirement'!BW33</f>
        <v/>
      </c>
      <c r="BZ473">
        <f>'Grid_Requirement'!BX33</f>
        <v/>
      </c>
      <c r="CA473">
        <f>'Grid_Requirement'!BY33</f>
        <v/>
      </c>
      <c r="CB473">
        <f>'Grid_Requirement'!BZ33</f>
        <v/>
      </c>
      <c r="CC473">
        <f>'Grid_Requirement'!CA33</f>
        <v/>
      </c>
      <c r="CD473">
        <f>'Grid_Requirement'!CB33</f>
        <v/>
      </c>
      <c r="CE473">
        <f>'Grid_Requirement'!CC33</f>
        <v/>
      </c>
      <c r="CF473">
        <f>'Grid_Requirement'!CD33</f>
        <v/>
      </c>
      <c r="CG473">
        <f>'Grid_Requirement'!CE33</f>
        <v/>
      </c>
      <c r="CH473">
        <f>'Grid_Requirement'!CF33</f>
        <v/>
      </c>
      <c r="CI473">
        <f>'Grid_Requirement'!CG33</f>
        <v/>
      </c>
      <c r="CJ473">
        <f>'Grid_Requirement'!CH33</f>
        <v/>
      </c>
      <c r="CK473">
        <f>'Grid_Requirement'!CI33</f>
        <v/>
      </c>
      <c r="CL473">
        <f>'Grid_Requirement'!CJ33</f>
        <v/>
      </c>
      <c r="CM473">
        <f>'Grid_Requirement'!CK33</f>
        <v/>
      </c>
      <c r="CN473">
        <f>'Grid_Requirement'!CL33</f>
        <v/>
      </c>
      <c r="CO473">
        <f>'Grid_Requirement'!CM33</f>
        <v/>
      </c>
      <c r="CP473">
        <f>'Grid_Requirement'!CN33</f>
        <v/>
      </c>
      <c r="CQ473">
        <f>'Grid_Requirement'!CO33</f>
        <v/>
      </c>
      <c r="CR473">
        <f>'Grid_Requirement'!CP33</f>
        <v/>
      </c>
      <c r="CS473">
        <f>'Grid_Requirement'!CQ33</f>
        <v/>
      </c>
      <c r="CT473">
        <f>'Grid_Requirement'!CR33</f>
        <v/>
      </c>
      <c r="CU473">
        <f>'Grid_Requirement'!CS33</f>
        <v/>
      </c>
      <c r="CV473">
        <f>'Grid_Requirement'!CT33</f>
        <v/>
      </c>
      <c r="CW473">
        <f>'Grid_Requirement'!CU33</f>
        <v/>
      </c>
      <c r="CX473">
        <f>'Grid_Requirement'!CV33</f>
        <v/>
      </c>
      <c r="CY473">
        <f>'Grid_Requirement'!CW33</f>
        <v/>
      </c>
      <c r="CZ473">
        <f>'Grid_Requirement'!CX33</f>
        <v/>
      </c>
      <c r="DA473">
        <f>'Grid_Requirement'!CY33</f>
        <v/>
      </c>
      <c r="DB473">
        <f>'Grid_Requirement'!CZ33</f>
        <v/>
      </c>
      <c r="DC473">
        <f>'Grid_Requirement'!DA33</f>
        <v/>
      </c>
    </row>
    <row r="474">
      <c r="B474" t="inlineStr">
        <is>
          <t>TTAF在庫(実績,kg)</t>
        </is>
      </c>
      <c r="D474">
        <f>'T_TTAFStock'!B37</f>
        <v/>
      </c>
      <c r="E474">
        <f>'T_TTAFStock'!C37</f>
        <v/>
      </c>
      <c r="F474">
        <f>'T_TTAFStock'!D37</f>
        <v/>
      </c>
      <c r="G474">
        <f>'T_TTAFStock'!E37</f>
        <v/>
      </c>
      <c r="H474">
        <f>'T_TTAFStock'!F37</f>
        <v/>
      </c>
      <c r="I474">
        <f>'T_TTAFStock'!G37</f>
        <v/>
      </c>
      <c r="J474">
        <f>'T_TTAFStock'!H37</f>
        <v/>
      </c>
      <c r="K474">
        <f>'T_TTAFStock'!I37</f>
        <v/>
      </c>
      <c r="L474">
        <f>'T_TTAFStock'!J37</f>
        <v/>
      </c>
      <c r="M474">
        <f>'T_TTAFStock'!K37</f>
        <v/>
      </c>
      <c r="N474">
        <f>'T_TTAFStock'!L37</f>
        <v/>
      </c>
      <c r="O474">
        <f>'T_TTAFStock'!M37</f>
        <v/>
      </c>
      <c r="P474">
        <f>'T_TTAFStock'!N37</f>
        <v/>
      </c>
      <c r="Q474">
        <f>'T_TTAFStock'!O37</f>
        <v/>
      </c>
      <c r="R474">
        <f>'T_TTAFStock'!P37</f>
        <v/>
      </c>
      <c r="S474">
        <f>'T_TTAFStock'!Q37</f>
        <v/>
      </c>
      <c r="T474">
        <f>'T_TTAFStock'!R37</f>
        <v/>
      </c>
      <c r="U474">
        <f>'T_TTAFStock'!S37</f>
        <v/>
      </c>
      <c r="V474">
        <f>'T_TTAFStock'!T37</f>
        <v/>
      </c>
      <c r="W474">
        <f>'T_TTAFStock'!U37</f>
        <v/>
      </c>
      <c r="X474">
        <f>'T_TTAFStock'!V37</f>
        <v/>
      </c>
      <c r="Y474">
        <f>'T_TTAFStock'!W37</f>
        <v/>
      </c>
      <c r="Z474">
        <f>'T_TTAFStock'!X37</f>
        <v/>
      </c>
      <c r="AA474">
        <f>'T_TTAFStock'!Y37</f>
        <v/>
      </c>
      <c r="AB474">
        <f>'T_TTAFStock'!Z37</f>
        <v/>
      </c>
      <c r="AC474">
        <f>'T_TTAFStock'!AA37</f>
        <v/>
      </c>
      <c r="AD474">
        <f>'T_TTAFStock'!AB37</f>
        <v/>
      </c>
      <c r="AE474">
        <f>'T_TTAFStock'!AC37</f>
        <v/>
      </c>
      <c r="AF474">
        <f>'T_TTAFStock'!AD37</f>
        <v/>
      </c>
      <c r="AG474">
        <f>'T_TTAFStock'!AE37</f>
        <v/>
      </c>
      <c r="AH474">
        <f>'T_TTAFStock'!AF37</f>
        <v/>
      </c>
      <c r="AI474">
        <f>'T_TTAFStock'!AG37</f>
        <v/>
      </c>
      <c r="AJ474">
        <f>'T_TTAFStock'!AH37</f>
        <v/>
      </c>
      <c r="AK474">
        <f>'T_TTAFStock'!AI37</f>
        <v/>
      </c>
      <c r="AL474">
        <f>'T_TTAFStock'!AJ37</f>
        <v/>
      </c>
      <c r="AM474">
        <f>'T_TTAFStock'!AK37</f>
        <v/>
      </c>
      <c r="AN474">
        <f>'T_TTAFStock'!AL37</f>
        <v/>
      </c>
      <c r="AO474">
        <f>'T_TTAFStock'!AM37</f>
        <v/>
      </c>
      <c r="AP474">
        <f>'T_TTAFStock'!AN37</f>
        <v/>
      </c>
      <c r="AQ474">
        <f>'T_TTAFStock'!AO37</f>
        <v/>
      </c>
      <c r="AR474">
        <f>'T_TTAFStock'!AP37</f>
        <v/>
      </c>
      <c r="AS474">
        <f>'T_TTAFStock'!AQ37</f>
        <v/>
      </c>
      <c r="AT474">
        <f>'T_TTAFStock'!AR37</f>
        <v/>
      </c>
      <c r="AU474">
        <f>'T_TTAFStock'!AS37</f>
        <v/>
      </c>
      <c r="AV474">
        <f>'T_TTAFStock'!AT37</f>
        <v/>
      </c>
      <c r="AW474">
        <f>'T_TTAFStock'!AU37</f>
        <v/>
      </c>
      <c r="AX474">
        <f>'T_TTAFStock'!AV37</f>
        <v/>
      </c>
      <c r="AY474">
        <f>'T_TTAFStock'!AW37</f>
        <v/>
      </c>
      <c r="AZ474">
        <f>'T_TTAFStock'!AX37</f>
        <v/>
      </c>
      <c r="BA474">
        <f>'T_TTAFStock'!AY37</f>
        <v/>
      </c>
      <c r="BB474">
        <f>'T_TTAFStock'!AZ37</f>
        <v/>
      </c>
      <c r="BC474">
        <f>'T_TTAFStock'!BA37</f>
        <v/>
      </c>
      <c r="BD474">
        <f>'T_TTAFStock'!BB37</f>
        <v/>
      </c>
      <c r="BE474">
        <f>'T_TTAFStock'!BC37</f>
        <v/>
      </c>
      <c r="BF474">
        <f>'T_TTAFStock'!BD37</f>
        <v/>
      </c>
      <c r="BG474">
        <f>'T_TTAFStock'!BE37</f>
        <v/>
      </c>
      <c r="BH474">
        <f>'T_TTAFStock'!BF37</f>
        <v/>
      </c>
      <c r="BI474">
        <f>'T_TTAFStock'!BG37</f>
        <v/>
      </c>
      <c r="BJ474">
        <f>'T_TTAFStock'!BH37</f>
        <v/>
      </c>
      <c r="BK474">
        <f>'T_TTAFStock'!BI37</f>
        <v/>
      </c>
      <c r="BL474">
        <f>'T_TTAFStock'!BJ37</f>
        <v/>
      </c>
      <c r="BM474">
        <f>'T_TTAFStock'!BK37</f>
        <v/>
      </c>
      <c r="BN474">
        <f>'T_TTAFStock'!BL37</f>
        <v/>
      </c>
      <c r="BO474">
        <f>'T_TTAFStock'!BM37</f>
        <v/>
      </c>
      <c r="BP474">
        <f>'T_TTAFStock'!BN37</f>
        <v/>
      </c>
      <c r="BQ474">
        <f>'T_TTAFStock'!BO37</f>
        <v/>
      </c>
      <c r="BR474">
        <f>'T_TTAFStock'!BP37</f>
        <v/>
      </c>
      <c r="BS474">
        <f>'T_TTAFStock'!BQ37</f>
        <v/>
      </c>
      <c r="BT474">
        <f>'T_TTAFStock'!BR37</f>
        <v/>
      </c>
      <c r="BU474">
        <f>'T_TTAFStock'!BS37</f>
        <v/>
      </c>
      <c r="BV474">
        <f>'T_TTAFStock'!BT37</f>
        <v/>
      </c>
      <c r="BW474">
        <f>'T_TTAFStock'!BU37</f>
        <v/>
      </c>
      <c r="BX474">
        <f>'T_TTAFStock'!BV37</f>
        <v/>
      </c>
      <c r="BY474">
        <f>'T_TTAFStock'!BW37</f>
        <v/>
      </c>
      <c r="BZ474">
        <f>'T_TTAFStock'!BX37</f>
        <v/>
      </c>
      <c r="CA474">
        <f>'T_TTAFStock'!BY37</f>
        <v/>
      </c>
      <c r="CB474">
        <f>'T_TTAFStock'!BZ37</f>
        <v/>
      </c>
      <c r="CC474">
        <f>'T_TTAFStock'!CA37</f>
        <v/>
      </c>
      <c r="CD474">
        <f>'T_TTAFStock'!CB37</f>
        <v/>
      </c>
      <c r="CE474">
        <f>'T_TTAFStock'!CC37</f>
        <v/>
      </c>
      <c r="CF474">
        <f>'T_TTAFStock'!CD37</f>
        <v/>
      </c>
      <c r="CG474">
        <f>'T_TTAFStock'!CE37</f>
        <v/>
      </c>
      <c r="CH474">
        <f>'T_TTAFStock'!CF37</f>
        <v/>
      </c>
      <c r="CI474">
        <f>'T_TTAFStock'!CG37</f>
        <v/>
      </c>
      <c r="CJ474">
        <f>'T_TTAFStock'!CH37</f>
        <v/>
      </c>
      <c r="CK474">
        <f>'T_TTAFStock'!CI37</f>
        <v/>
      </c>
      <c r="CL474">
        <f>'T_TTAFStock'!CJ37</f>
        <v/>
      </c>
      <c r="CM474">
        <f>'T_TTAFStock'!CK37</f>
        <v/>
      </c>
      <c r="CN474">
        <f>'T_TTAFStock'!CL37</f>
        <v/>
      </c>
      <c r="CO474">
        <f>'T_TTAFStock'!CM37</f>
        <v/>
      </c>
      <c r="CP474">
        <f>'T_TTAFStock'!CN37</f>
        <v/>
      </c>
      <c r="CQ474">
        <f>'T_TTAFStock'!CO37</f>
        <v/>
      </c>
      <c r="CR474">
        <f>'T_TTAFStock'!CP37</f>
        <v/>
      </c>
      <c r="CS474">
        <f>'T_TTAFStock'!CQ37</f>
        <v/>
      </c>
      <c r="CT474">
        <f>'T_TTAFStock'!CR37</f>
        <v/>
      </c>
      <c r="CU474">
        <f>'T_TTAFStock'!CS37</f>
        <v/>
      </c>
      <c r="CV474">
        <f>'T_TTAFStock'!CT37</f>
        <v/>
      </c>
      <c r="CW474">
        <f>'T_TTAFStock'!CU37</f>
        <v/>
      </c>
      <c r="CX474">
        <f>'T_TTAFStock'!CV37</f>
        <v/>
      </c>
      <c r="CY474">
        <f>'T_TTAFStock'!CW37</f>
        <v/>
      </c>
      <c r="CZ474">
        <f>'T_TTAFStock'!CX37</f>
        <v/>
      </c>
      <c r="DA474">
        <f>'T_TTAFStock'!CY37</f>
        <v/>
      </c>
      <c r="DB474">
        <f>'T_TTAFStock'!CZ37</f>
        <v/>
      </c>
      <c r="DC474">
        <f>'T_TTAFStock'!DA37</f>
        <v/>
      </c>
    </row>
    <row r="475">
      <c r="B475" t="inlineStr">
        <is>
          <t>自社在庫(実績,kg)</t>
        </is>
      </c>
      <c r="D475">
        <f>'T_SelfStock'!B37</f>
        <v/>
      </c>
      <c r="E475">
        <f>'T_SelfStock'!C37</f>
        <v/>
      </c>
      <c r="F475">
        <f>'T_SelfStock'!D37</f>
        <v/>
      </c>
      <c r="G475">
        <f>'T_SelfStock'!E37</f>
        <v/>
      </c>
      <c r="H475">
        <f>'T_SelfStock'!F37</f>
        <v/>
      </c>
      <c r="I475">
        <f>'T_SelfStock'!G37</f>
        <v/>
      </c>
      <c r="J475">
        <f>'T_SelfStock'!H37</f>
        <v/>
      </c>
      <c r="K475">
        <f>'T_SelfStock'!I37</f>
        <v/>
      </c>
      <c r="L475">
        <f>'T_SelfStock'!J37</f>
        <v/>
      </c>
      <c r="M475">
        <f>'T_SelfStock'!K37</f>
        <v/>
      </c>
      <c r="N475">
        <f>'T_SelfStock'!L37</f>
        <v/>
      </c>
      <c r="O475">
        <f>'T_SelfStock'!M37</f>
        <v/>
      </c>
      <c r="P475">
        <f>'T_SelfStock'!N37</f>
        <v/>
      </c>
      <c r="Q475">
        <f>'T_SelfStock'!O37</f>
        <v/>
      </c>
      <c r="R475">
        <f>'T_SelfStock'!P37</f>
        <v/>
      </c>
      <c r="S475">
        <f>'T_SelfStock'!Q37</f>
        <v/>
      </c>
      <c r="T475">
        <f>'T_SelfStock'!R37</f>
        <v/>
      </c>
      <c r="U475">
        <f>'T_SelfStock'!S37</f>
        <v/>
      </c>
      <c r="V475">
        <f>'T_SelfStock'!T37</f>
        <v/>
      </c>
      <c r="W475">
        <f>'T_SelfStock'!U37</f>
        <v/>
      </c>
      <c r="X475">
        <f>'T_SelfStock'!V37</f>
        <v/>
      </c>
      <c r="Y475">
        <f>'T_SelfStock'!W37</f>
        <v/>
      </c>
      <c r="Z475">
        <f>'T_SelfStock'!X37</f>
        <v/>
      </c>
      <c r="AA475">
        <f>'T_SelfStock'!Y37</f>
        <v/>
      </c>
      <c r="AB475">
        <f>'T_SelfStock'!Z37</f>
        <v/>
      </c>
      <c r="AC475">
        <f>'T_SelfStock'!AA37</f>
        <v/>
      </c>
      <c r="AD475">
        <f>'T_SelfStock'!AB37</f>
        <v/>
      </c>
      <c r="AE475">
        <f>'T_SelfStock'!AC37</f>
        <v/>
      </c>
      <c r="AF475">
        <f>'T_SelfStock'!AD37</f>
        <v/>
      </c>
      <c r="AG475">
        <f>'T_SelfStock'!AE37</f>
        <v/>
      </c>
      <c r="AH475">
        <f>'T_SelfStock'!AF37</f>
        <v/>
      </c>
      <c r="AI475">
        <f>'T_SelfStock'!AG37</f>
        <v/>
      </c>
      <c r="AJ475">
        <f>'T_SelfStock'!AH37</f>
        <v/>
      </c>
      <c r="AK475">
        <f>'T_SelfStock'!AI37</f>
        <v/>
      </c>
      <c r="AL475">
        <f>'T_SelfStock'!AJ37</f>
        <v/>
      </c>
      <c r="AM475">
        <f>'T_SelfStock'!AK37</f>
        <v/>
      </c>
      <c r="AN475">
        <f>'T_SelfStock'!AL37</f>
        <v/>
      </c>
      <c r="AO475">
        <f>'T_SelfStock'!AM37</f>
        <v/>
      </c>
      <c r="AP475">
        <f>'T_SelfStock'!AN37</f>
        <v/>
      </c>
      <c r="AQ475">
        <f>'T_SelfStock'!AO37</f>
        <v/>
      </c>
      <c r="AR475">
        <f>'T_SelfStock'!AP37</f>
        <v/>
      </c>
      <c r="AS475">
        <f>'T_SelfStock'!AQ37</f>
        <v/>
      </c>
      <c r="AT475">
        <f>'T_SelfStock'!AR37</f>
        <v/>
      </c>
      <c r="AU475">
        <f>'T_SelfStock'!AS37</f>
        <v/>
      </c>
      <c r="AV475">
        <f>'T_SelfStock'!AT37</f>
        <v/>
      </c>
      <c r="AW475">
        <f>'T_SelfStock'!AU37</f>
        <v/>
      </c>
      <c r="AX475">
        <f>'T_SelfStock'!AV37</f>
        <v/>
      </c>
      <c r="AY475">
        <f>'T_SelfStock'!AW37</f>
        <v/>
      </c>
      <c r="AZ475">
        <f>'T_SelfStock'!AX37</f>
        <v/>
      </c>
      <c r="BA475">
        <f>'T_SelfStock'!AY37</f>
        <v/>
      </c>
      <c r="BB475">
        <f>'T_SelfStock'!AZ37</f>
        <v/>
      </c>
      <c r="BC475">
        <f>'T_SelfStock'!BA37</f>
        <v/>
      </c>
      <c r="BD475">
        <f>'T_SelfStock'!BB37</f>
        <v/>
      </c>
      <c r="BE475">
        <f>'T_SelfStock'!BC37</f>
        <v/>
      </c>
      <c r="BF475">
        <f>'T_SelfStock'!BD37</f>
        <v/>
      </c>
      <c r="BG475">
        <f>'T_SelfStock'!BE37</f>
        <v/>
      </c>
      <c r="BH475">
        <f>'T_SelfStock'!BF37</f>
        <v/>
      </c>
      <c r="BI475">
        <f>'T_SelfStock'!BG37</f>
        <v/>
      </c>
      <c r="BJ475">
        <f>'T_SelfStock'!BH37</f>
        <v/>
      </c>
      <c r="BK475">
        <f>'T_SelfStock'!BI37</f>
        <v/>
      </c>
      <c r="BL475">
        <f>'T_SelfStock'!BJ37</f>
        <v/>
      </c>
      <c r="BM475">
        <f>'T_SelfStock'!BK37</f>
        <v/>
      </c>
      <c r="BN475">
        <f>'T_SelfStock'!BL37</f>
        <v/>
      </c>
      <c r="BO475">
        <f>'T_SelfStock'!BM37</f>
        <v/>
      </c>
      <c r="BP475">
        <f>'T_SelfStock'!BN37</f>
        <v/>
      </c>
      <c r="BQ475">
        <f>'T_SelfStock'!BO37</f>
        <v/>
      </c>
      <c r="BR475">
        <f>'T_SelfStock'!BP37</f>
        <v/>
      </c>
      <c r="BS475">
        <f>'T_SelfStock'!BQ37</f>
        <v/>
      </c>
      <c r="BT475">
        <f>'T_SelfStock'!BR37</f>
        <v/>
      </c>
      <c r="BU475">
        <f>'T_SelfStock'!BS37</f>
        <v/>
      </c>
      <c r="BV475">
        <f>'T_SelfStock'!BT37</f>
        <v/>
      </c>
      <c r="BW475">
        <f>'T_SelfStock'!BU37</f>
        <v/>
      </c>
      <c r="BX475">
        <f>'T_SelfStock'!BV37</f>
        <v/>
      </c>
      <c r="BY475">
        <f>'T_SelfStock'!BW37</f>
        <v/>
      </c>
      <c r="BZ475">
        <f>'T_SelfStock'!BX37</f>
        <v/>
      </c>
      <c r="CA475">
        <f>'T_SelfStock'!BY37</f>
        <v/>
      </c>
      <c r="CB475">
        <f>'T_SelfStock'!BZ37</f>
        <v/>
      </c>
      <c r="CC475">
        <f>'T_SelfStock'!CA37</f>
        <v/>
      </c>
      <c r="CD475">
        <f>'T_SelfStock'!CB37</f>
        <v/>
      </c>
      <c r="CE475">
        <f>'T_SelfStock'!CC37</f>
        <v/>
      </c>
      <c r="CF475">
        <f>'T_SelfStock'!CD37</f>
        <v/>
      </c>
      <c r="CG475">
        <f>'T_SelfStock'!CE37</f>
        <v/>
      </c>
      <c r="CH475">
        <f>'T_SelfStock'!CF37</f>
        <v/>
      </c>
      <c r="CI475">
        <f>'T_SelfStock'!CG37</f>
        <v/>
      </c>
      <c r="CJ475">
        <f>'T_SelfStock'!CH37</f>
        <v/>
      </c>
      <c r="CK475">
        <f>'T_SelfStock'!CI37</f>
        <v/>
      </c>
      <c r="CL475">
        <f>'T_SelfStock'!CJ37</f>
        <v/>
      </c>
      <c r="CM475">
        <f>'T_SelfStock'!CK37</f>
        <v/>
      </c>
      <c r="CN475">
        <f>'T_SelfStock'!CL37</f>
        <v/>
      </c>
      <c r="CO475">
        <f>'T_SelfStock'!CM37</f>
        <v/>
      </c>
      <c r="CP475">
        <f>'T_SelfStock'!CN37</f>
        <v/>
      </c>
      <c r="CQ475">
        <f>'T_SelfStock'!CO37</f>
        <v/>
      </c>
      <c r="CR475">
        <f>'T_SelfStock'!CP37</f>
        <v/>
      </c>
      <c r="CS475">
        <f>'T_SelfStock'!CQ37</f>
        <v/>
      </c>
      <c r="CT475">
        <f>'T_SelfStock'!CR37</f>
        <v/>
      </c>
      <c r="CU475">
        <f>'T_SelfStock'!CS37</f>
        <v/>
      </c>
      <c r="CV475">
        <f>'T_SelfStock'!CT37</f>
        <v/>
      </c>
      <c r="CW475">
        <f>'T_SelfStock'!CU37</f>
        <v/>
      </c>
      <c r="CX475">
        <f>'T_SelfStock'!CV37</f>
        <v/>
      </c>
      <c r="CY475">
        <f>'T_SelfStock'!CW37</f>
        <v/>
      </c>
      <c r="CZ475">
        <f>'T_SelfStock'!CX37</f>
        <v/>
      </c>
      <c r="DA475">
        <f>'T_SelfStock'!CY37</f>
        <v/>
      </c>
      <c r="DB475">
        <f>'T_SelfStock'!CZ37</f>
        <v/>
      </c>
      <c r="DC475">
        <f>'T_SelfStock'!DA37</f>
        <v/>
      </c>
    </row>
    <row r="476">
      <c r="B476" s="4" t="inlineStr">
        <is>
          <t>合計在庫(週末時点,kg)</t>
        </is>
      </c>
      <c r="D476">
        <f>'Grid_Stock'!B33</f>
        <v/>
      </c>
      <c r="E476">
        <f>'Grid_Stock'!C33</f>
        <v/>
      </c>
      <c r="F476">
        <f>'Grid_Stock'!D33</f>
        <v/>
      </c>
      <c r="G476">
        <f>'Grid_Stock'!E33</f>
        <v/>
      </c>
      <c r="H476">
        <f>'Grid_Stock'!F33</f>
        <v/>
      </c>
      <c r="I476">
        <f>'Grid_Stock'!G33</f>
        <v/>
      </c>
      <c r="J476">
        <f>'Grid_Stock'!H33</f>
        <v/>
      </c>
      <c r="K476">
        <f>'Grid_Stock'!I33</f>
        <v/>
      </c>
      <c r="L476">
        <f>'Grid_Stock'!J33</f>
        <v/>
      </c>
      <c r="M476">
        <f>'Grid_Stock'!K33</f>
        <v/>
      </c>
      <c r="N476">
        <f>'Grid_Stock'!L33</f>
        <v/>
      </c>
      <c r="O476">
        <f>'Grid_Stock'!M33</f>
        <v/>
      </c>
      <c r="P476">
        <f>'Grid_Stock'!N33</f>
        <v/>
      </c>
      <c r="Q476">
        <f>'Grid_Stock'!O33</f>
        <v/>
      </c>
      <c r="R476">
        <f>'Grid_Stock'!P33</f>
        <v/>
      </c>
      <c r="S476">
        <f>'Grid_Stock'!Q33</f>
        <v/>
      </c>
      <c r="T476">
        <f>'Grid_Stock'!R33</f>
        <v/>
      </c>
      <c r="U476">
        <f>'Grid_Stock'!S33</f>
        <v/>
      </c>
      <c r="V476">
        <f>'Grid_Stock'!T33</f>
        <v/>
      </c>
      <c r="W476">
        <f>'Grid_Stock'!U33</f>
        <v/>
      </c>
      <c r="X476">
        <f>'Grid_Stock'!V33</f>
        <v/>
      </c>
      <c r="Y476">
        <f>'Grid_Stock'!W33</f>
        <v/>
      </c>
      <c r="Z476">
        <f>'Grid_Stock'!X33</f>
        <v/>
      </c>
      <c r="AA476">
        <f>'Grid_Stock'!Y33</f>
        <v/>
      </c>
      <c r="AB476">
        <f>'Grid_Stock'!Z33</f>
        <v/>
      </c>
      <c r="AC476">
        <f>'Grid_Stock'!AA33</f>
        <v/>
      </c>
      <c r="AD476">
        <f>'Grid_Stock'!AB33</f>
        <v/>
      </c>
      <c r="AE476">
        <f>'Grid_Stock'!AC33</f>
        <v/>
      </c>
      <c r="AF476">
        <f>'Grid_Stock'!AD33</f>
        <v/>
      </c>
      <c r="AG476">
        <f>'Grid_Stock'!AE33</f>
        <v/>
      </c>
      <c r="AH476">
        <f>'Grid_Stock'!AF33</f>
        <v/>
      </c>
      <c r="AI476">
        <f>'Grid_Stock'!AG33</f>
        <v/>
      </c>
      <c r="AJ476">
        <f>'Grid_Stock'!AH33</f>
        <v/>
      </c>
      <c r="AK476">
        <f>'Grid_Stock'!AI33</f>
        <v/>
      </c>
      <c r="AL476">
        <f>'Grid_Stock'!AJ33</f>
        <v/>
      </c>
      <c r="AM476">
        <f>'Grid_Stock'!AK33</f>
        <v/>
      </c>
      <c r="AN476">
        <f>'Grid_Stock'!AL33</f>
        <v/>
      </c>
      <c r="AO476">
        <f>'Grid_Stock'!AM33</f>
        <v/>
      </c>
      <c r="AP476">
        <f>'Grid_Stock'!AN33</f>
        <v/>
      </c>
      <c r="AQ476">
        <f>'Grid_Stock'!AO33</f>
        <v/>
      </c>
      <c r="AR476">
        <f>'Grid_Stock'!AP33</f>
        <v/>
      </c>
      <c r="AS476">
        <f>'Grid_Stock'!AQ33</f>
        <v/>
      </c>
      <c r="AT476">
        <f>'Grid_Stock'!AR33</f>
        <v/>
      </c>
      <c r="AU476">
        <f>'Grid_Stock'!AS33</f>
        <v/>
      </c>
      <c r="AV476">
        <f>'Grid_Stock'!AT33</f>
        <v/>
      </c>
      <c r="AW476">
        <f>'Grid_Stock'!AU33</f>
        <v/>
      </c>
      <c r="AX476">
        <f>'Grid_Stock'!AV33</f>
        <v/>
      </c>
      <c r="AY476">
        <f>'Grid_Stock'!AW33</f>
        <v/>
      </c>
      <c r="AZ476">
        <f>'Grid_Stock'!AX33</f>
        <v/>
      </c>
      <c r="BA476">
        <f>'Grid_Stock'!AY33</f>
        <v/>
      </c>
      <c r="BB476">
        <f>'Grid_Stock'!AZ33</f>
        <v/>
      </c>
      <c r="BC476">
        <f>'Grid_Stock'!BA33</f>
        <v/>
      </c>
      <c r="BD476">
        <f>'Grid_Stock'!BB33</f>
        <v/>
      </c>
      <c r="BE476">
        <f>'Grid_Stock'!BC33</f>
        <v/>
      </c>
      <c r="BF476">
        <f>'Grid_Stock'!BD33</f>
        <v/>
      </c>
      <c r="BG476">
        <f>'Grid_Stock'!BE33</f>
        <v/>
      </c>
      <c r="BH476">
        <f>'Grid_Stock'!BF33</f>
        <v/>
      </c>
      <c r="BI476">
        <f>'Grid_Stock'!BG33</f>
        <v/>
      </c>
      <c r="BJ476">
        <f>'Grid_Stock'!BH33</f>
        <v/>
      </c>
      <c r="BK476">
        <f>'Grid_Stock'!BI33</f>
        <v/>
      </c>
      <c r="BL476">
        <f>'Grid_Stock'!BJ33</f>
        <v/>
      </c>
      <c r="BM476">
        <f>'Grid_Stock'!BK33</f>
        <v/>
      </c>
      <c r="BN476">
        <f>'Grid_Stock'!BL33</f>
        <v/>
      </c>
      <c r="BO476">
        <f>'Grid_Stock'!BM33</f>
        <v/>
      </c>
      <c r="BP476">
        <f>'Grid_Stock'!BN33</f>
        <v/>
      </c>
      <c r="BQ476">
        <f>'Grid_Stock'!BO33</f>
        <v/>
      </c>
      <c r="BR476">
        <f>'Grid_Stock'!BP33</f>
        <v/>
      </c>
      <c r="BS476">
        <f>'Grid_Stock'!BQ33</f>
        <v/>
      </c>
      <c r="BT476">
        <f>'Grid_Stock'!BR33</f>
        <v/>
      </c>
      <c r="BU476">
        <f>'Grid_Stock'!BS33</f>
        <v/>
      </c>
      <c r="BV476">
        <f>'Grid_Stock'!BT33</f>
        <v/>
      </c>
      <c r="BW476">
        <f>'Grid_Stock'!BU33</f>
        <v/>
      </c>
      <c r="BX476">
        <f>'Grid_Stock'!BV33</f>
        <v/>
      </c>
      <c r="BY476">
        <f>'Grid_Stock'!BW33</f>
        <v/>
      </c>
      <c r="BZ476">
        <f>'Grid_Stock'!BX33</f>
        <v/>
      </c>
      <c r="CA476">
        <f>'Grid_Stock'!BY33</f>
        <v/>
      </c>
      <c r="CB476">
        <f>'Grid_Stock'!BZ33</f>
        <v/>
      </c>
      <c r="CC476">
        <f>'Grid_Stock'!CA33</f>
        <v/>
      </c>
      <c r="CD476">
        <f>'Grid_Stock'!CB33</f>
        <v/>
      </c>
      <c r="CE476">
        <f>'Grid_Stock'!CC33</f>
        <v/>
      </c>
      <c r="CF476">
        <f>'Grid_Stock'!CD33</f>
        <v/>
      </c>
      <c r="CG476">
        <f>'Grid_Stock'!CE33</f>
        <v/>
      </c>
      <c r="CH476">
        <f>'Grid_Stock'!CF33</f>
        <v/>
      </c>
      <c r="CI476">
        <f>'Grid_Stock'!CG33</f>
        <v/>
      </c>
      <c r="CJ476">
        <f>'Grid_Stock'!CH33</f>
        <v/>
      </c>
      <c r="CK476">
        <f>'Grid_Stock'!CI33</f>
        <v/>
      </c>
      <c r="CL476">
        <f>'Grid_Stock'!CJ33</f>
        <v/>
      </c>
      <c r="CM476">
        <f>'Grid_Stock'!CK33</f>
        <v/>
      </c>
      <c r="CN476">
        <f>'Grid_Stock'!CL33</f>
        <v/>
      </c>
      <c r="CO476">
        <f>'Grid_Stock'!CM33</f>
        <v/>
      </c>
      <c r="CP476">
        <f>'Grid_Stock'!CN33</f>
        <v/>
      </c>
      <c r="CQ476">
        <f>'Grid_Stock'!CO33</f>
        <v/>
      </c>
      <c r="CR476">
        <f>'Grid_Stock'!CP33</f>
        <v/>
      </c>
      <c r="CS476">
        <f>'Grid_Stock'!CQ33</f>
        <v/>
      </c>
      <c r="CT476">
        <f>'Grid_Stock'!CR33</f>
        <v/>
      </c>
      <c r="CU476">
        <f>'Grid_Stock'!CS33</f>
        <v/>
      </c>
      <c r="CV476">
        <f>'Grid_Stock'!CT33</f>
        <v/>
      </c>
      <c r="CW476">
        <f>'Grid_Stock'!CU33</f>
        <v/>
      </c>
      <c r="CX476">
        <f>'Grid_Stock'!CV33</f>
        <v/>
      </c>
      <c r="CY476">
        <f>'Grid_Stock'!CW33</f>
        <v/>
      </c>
      <c r="CZ476">
        <f>'Grid_Stock'!CX33</f>
        <v/>
      </c>
      <c r="DA476">
        <f>'Grid_Stock'!CY33</f>
        <v/>
      </c>
      <c r="DB476">
        <f>'Grid_Stock'!CZ33</f>
        <v/>
      </c>
      <c r="DC476">
        <f>'Grid_Stock'!DA33</f>
        <v/>
      </c>
    </row>
    <row r="477">
      <c r="B477" s="16" t="inlineStr">
        <is>
          <t>（発注の目安はDashboardの基準在庫[下限/上限]と色分けを参照）</t>
        </is>
      </c>
    </row>
    <row r="479">
      <c r="A479" s="14" t="inlineStr">
        <is>
          <t>CHEM-1670</t>
        </is>
      </c>
      <c r="B479" s="14" t="inlineStr">
        <is>
          <t>ALESPER 1065</t>
        </is>
      </c>
      <c r="C479" s="15" t="n"/>
      <c r="D479" s="14" t="n"/>
      <c r="E479" s="14" t="n"/>
      <c r="F479" s="14" t="n"/>
      <c r="G479" s="14" t="n"/>
      <c r="H479" s="14" t="n"/>
      <c r="I479" s="14" t="n"/>
      <c r="J479" s="14" t="n"/>
      <c r="K479" s="14" t="n"/>
      <c r="L479" s="14" t="n"/>
      <c r="M479" s="14" t="n"/>
      <c r="N479" s="14" t="n"/>
      <c r="O479" s="14" t="n"/>
      <c r="P479" s="14" t="n"/>
      <c r="Q479" s="14" t="n"/>
      <c r="R479" s="14" t="n"/>
      <c r="S479" s="14" t="n"/>
      <c r="T479" s="14" t="n"/>
      <c r="U479" s="14" t="n"/>
      <c r="V479" s="14" t="n"/>
      <c r="W479" s="14" t="n"/>
      <c r="X479" s="14" t="n"/>
      <c r="Y479" s="14" t="n"/>
      <c r="Z479" s="14" t="n"/>
      <c r="AA479" s="14" t="n"/>
      <c r="AB479" s="14" t="n"/>
      <c r="AC479" s="14" t="n"/>
      <c r="AD479" s="14" t="n"/>
      <c r="AE479" s="14" t="n"/>
      <c r="AF479" s="14" t="n"/>
      <c r="AG479" s="14" t="n"/>
      <c r="AH479" s="14" t="n"/>
      <c r="AI479" s="14" t="n"/>
      <c r="AJ479" s="14" t="n"/>
      <c r="AK479" s="14" t="n"/>
      <c r="AL479" s="14" t="n"/>
      <c r="AM479" s="14" t="n"/>
      <c r="AN479" s="14" t="n"/>
      <c r="AO479" s="14" t="n"/>
      <c r="AP479" s="14" t="n"/>
      <c r="AQ479" s="14" t="n"/>
      <c r="AR479" s="14" t="n"/>
      <c r="AS479" s="14" t="n"/>
      <c r="AT479" s="14" t="n"/>
      <c r="AU479" s="14" t="n"/>
      <c r="AV479" s="14" t="n"/>
      <c r="AW479" s="14" t="n"/>
      <c r="AX479" s="14" t="n"/>
      <c r="AY479" s="14" t="n"/>
      <c r="AZ479" s="14" t="n"/>
      <c r="BA479" s="14" t="n"/>
      <c r="BB479" s="14" t="n"/>
      <c r="BC479" s="14" t="n"/>
      <c r="BD479" s="14" t="n"/>
      <c r="BE479" s="14" t="n"/>
      <c r="BF479" s="14" t="n"/>
      <c r="BG479" s="14" t="n"/>
      <c r="BH479" s="14" t="n"/>
      <c r="BI479" s="14" t="n"/>
      <c r="BJ479" s="14" t="n"/>
      <c r="BK479" s="14" t="n"/>
      <c r="BL479" s="14" t="n"/>
      <c r="BM479" s="14" t="n"/>
      <c r="BN479" s="14" t="n"/>
      <c r="BO479" s="14" t="n"/>
      <c r="BP479" s="14" t="n"/>
      <c r="BQ479" s="14" t="n"/>
      <c r="BR479" s="14" t="n"/>
      <c r="BS479" s="14" t="n"/>
      <c r="BT479" s="14" t="n"/>
      <c r="BU479" s="14" t="n"/>
      <c r="BV479" s="14" t="n"/>
      <c r="BW479" s="14" t="n"/>
      <c r="BX479" s="14" t="n"/>
      <c r="BY479" s="14" t="n"/>
      <c r="BZ479" s="14" t="n"/>
      <c r="CA479" s="14" t="n"/>
      <c r="CB479" s="14" t="n"/>
      <c r="CC479" s="14" t="n"/>
      <c r="CD479" s="14" t="n"/>
      <c r="CE479" s="14" t="n"/>
      <c r="CF479" s="14" t="n"/>
      <c r="CG479" s="14" t="n"/>
      <c r="CH479" s="14" t="n"/>
      <c r="CI479" s="14" t="n"/>
      <c r="CJ479" s="14" t="n"/>
      <c r="CK479" s="14" t="n"/>
      <c r="CL479" s="14" t="n"/>
      <c r="CM479" s="14" t="n"/>
      <c r="CN479" s="14" t="n"/>
      <c r="CO479" s="14" t="n"/>
      <c r="CP479" s="14" t="n"/>
      <c r="CQ479" s="14" t="n"/>
      <c r="CR479" s="14" t="n"/>
      <c r="CS479" s="14" t="n"/>
      <c r="CT479" s="14" t="n"/>
      <c r="CU479" s="14" t="n"/>
      <c r="CV479" s="14" t="n"/>
      <c r="CW479" s="14" t="n"/>
      <c r="CX479" s="14" t="n"/>
      <c r="CY479" s="14" t="n"/>
      <c r="CZ479" s="14" t="n"/>
      <c r="DA479" s="14" t="n"/>
      <c r="DB479" s="14" t="n"/>
      <c r="DC479" s="14" t="n"/>
    </row>
    <row r="480">
      <c r="B480" t="inlineStr">
        <is>
          <t>TSP-218</t>
        </is>
      </c>
      <c r="C480" t="inlineStr">
        <is>
          <t>No. of batches</t>
        </is>
      </c>
      <c r="D480">
        <f>IFERROR(INDEX(PP_Grid[#Data],$DD480,2),0)</f>
        <v/>
      </c>
      <c r="E480">
        <f>IFERROR(INDEX(PP_Grid[#Data],$DD480,3),0)</f>
        <v/>
      </c>
      <c r="F480">
        <f>IFERROR(INDEX(PP_Grid[#Data],$DD480,4),0)</f>
        <v/>
      </c>
      <c r="G480">
        <f>IFERROR(INDEX(PP_Grid[#Data],$DD480,5),0)</f>
        <v/>
      </c>
      <c r="H480">
        <f>IFERROR(INDEX(PP_Grid[#Data],$DD480,6),0)</f>
        <v/>
      </c>
      <c r="I480">
        <f>IFERROR(INDEX(PP_Grid[#Data],$DD480,7),0)</f>
        <v/>
      </c>
      <c r="J480">
        <f>IFERROR(INDEX(PP_Grid[#Data],$DD480,8),0)</f>
        <v/>
      </c>
      <c r="K480">
        <f>IFERROR(INDEX(PP_Grid[#Data],$DD480,9),0)</f>
        <v/>
      </c>
      <c r="L480">
        <f>IFERROR(INDEX(PP_Grid[#Data],$DD480,10),0)</f>
        <v/>
      </c>
      <c r="M480">
        <f>IFERROR(INDEX(PP_Grid[#Data],$DD480,11),0)</f>
        <v/>
      </c>
      <c r="N480">
        <f>IFERROR(INDEX(PP_Grid[#Data],$DD480,12),0)</f>
        <v/>
      </c>
      <c r="O480">
        <f>IFERROR(INDEX(PP_Grid[#Data],$DD480,13),0)</f>
        <v/>
      </c>
      <c r="P480">
        <f>IFERROR(INDEX(PP_Grid[#Data],$DD480,14),0)</f>
        <v/>
      </c>
      <c r="Q480">
        <f>IFERROR(INDEX(PP_Grid[#Data],$DD480,15),0)</f>
        <v/>
      </c>
      <c r="R480">
        <f>IFERROR(INDEX(PP_Grid[#Data],$DD480,16),0)</f>
        <v/>
      </c>
      <c r="S480">
        <f>IFERROR(INDEX(PP_Grid[#Data],$DD480,17),0)</f>
        <v/>
      </c>
      <c r="T480">
        <f>IFERROR(INDEX(PP_Grid[#Data],$DD480,18),0)</f>
        <v/>
      </c>
      <c r="U480">
        <f>IFERROR(INDEX(PP_Grid[#Data],$DD480,19),0)</f>
        <v/>
      </c>
      <c r="V480">
        <f>IFERROR(INDEX(PP_Grid[#Data],$DD480,20),0)</f>
        <v/>
      </c>
      <c r="W480">
        <f>IFERROR(INDEX(PP_Grid[#Data],$DD480,21),0)</f>
        <v/>
      </c>
      <c r="X480">
        <f>IFERROR(INDEX(PP_Grid[#Data],$DD480,22),0)</f>
        <v/>
      </c>
      <c r="Y480">
        <f>IFERROR(INDEX(PP_Grid[#Data],$DD480,23),0)</f>
        <v/>
      </c>
      <c r="Z480">
        <f>IFERROR(INDEX(PP_Grid[#Data],$DD480,24),0)</f>
        <v/>
      </c>
      <c r="AA480">
        <f>IFERROR(INDEX(PP_Grid[#Data],$DD480,25),0)</f>
        <v/>
      </c>
      <c r="AB480">
        <f>IFERROR(INDEX(PP_Grid[#Data],$DD480,26),0)</f>
        <v/>
      </c>
      <c r="AC480">
        <f>IFERROR(INDEX(PP_Grid[#Data],$DD480,27),0)</f>
        <v/>
      </c>
      <c r="AD480">
        <f>IFERROR(INDEX(PP_Grid[#Data],$DD480,28),0)</f>
        <v/>
      </c>
      <c r="AE480">
        <f>IFERROR(INDEX(PP_Grid[#Data],$DD480,29),0)</f>
        <v/>
      </c>
      <c r="AF480">
        <f>IFERROR(INDEX(PP_Grid[#Data],$DD480,30),0)</f>
        <v/>
      </c>
      <c r="AG480">
        <f>IFERROR(INDEX(PP_Grid[#Data],$DD480,31),0)</f>
        <v/>
      </c>
      <c r="AH480">
        <f>IFERROR(INDEX(PP_Grid[#Data],$DD480,32),0)</f>
        <v/>
      </c>
      <c r="AI480">
        <f>IFERROR(INDEX(PP_Grid[#Data],$DD480,33),0)</f>
        <v/>
      </c>
      <c r="AJ480">
        <f>IFERROR(INDEX(PP_Grid[#Data],$DD480,34),0)</f>
        <v/>
      </c>
      <c r="AK480">
        <f>IFERROR(INDEX(PP_Grid[#Data],$DD480,35),0)</f>
        <v/>
      </c>
      <c r="AL480">
        <f>IFERROR(INDEX(PP_Grid[#Data],$DD480,36),0)</f>
        <v/>
      </c>
      <c r="AM480">
        <f>IFERROR(INDEX(PP_Grid[#Data],$DD480,37),0)</f>
        <v/>
      </c>
      <c r="AN480">
        <f>IFERROR(INDEX(PP_Grid[#Data],$DD480,38),0)</f>
        <v/>
      </c>
      <c r="AO480">
        <f>IFERROR(INDEX(PP_Grid[#Data],$DD480,39),0)</f>
        <v/>
      </c>
      <c r="AP480">
        <f>IFERROR(INDEX(PP_Grid[#Data],$DD480,40),0)</f>
        <v/>
      </c>
      <c r="AQ480">
        <f>IFERROR(INDEX(PP_Grid[#Data],$DD480,41),0)</f>
        <v/>
      </c>
      <c r="AR480">
        <f>IFERROR(INDEX(PP_Grid[#Data],$DD480,42),0)</f>
        <v/>
      </c>
      <c r="AS480">
        <f>IFERROR(INDEX(PP_Grid[#Data],$DD480,43),0)</f>
        <v/>
      </c>
      <c r="AT480">
        <f>IFERROR(INDEX(PP_Grid[#Data],$DD480,44),0)</f>
        <v/>
      </c>
      <c r="AU480">
        <f>IFERROR(INDEX(PP_Grid[#Data],$DD480,45),0)</f>
        <v/>
      </c>
      <c r="AV480">
        <f>IFERROR(INDEX(PP_Grid[#Data],$DD480,46),0)</f>
        <v/>
      </c>
      <c r="AW480">
        <f>IFERROR(INDEX(PP_Grid[#Data],$DD480,47),0)</f>
        <v/>
      </c>
      <c r="AX480">
        <f>IFERROR(INDEX(PP_Grid[#Data],$DD480,48),0)</f>
        <v/>
      </c>
      <c r="AY480">
        <f>IFERROR(INDEX(PP_Grid[#Data],$DD480,49),0)</f>
        <v/>
      </c>
      <c r="AZ480">
        <f>IFERROR(INDEX(PP_Grid[#Data],$DD480,50),0)</f>
        <v/>
      </c>
      <c r="BA480">
        <f>IFERROR(INDEX(PP_Grid[#Data],$DD480,51),0)</f>
        <v/>
      </c>
      <c r="BB480">
        <f>IFERROR(INDEX(PP_Grid[#Data],$DD480,52),0)</f>
        <v/>
      </c>
      <c r="BC480">
        <f>IFERROR(INDEX(PP_Grid[#Data],$DD480,53),0)</f>
        <v/>
      </c>
      <c r="BD480">
        <f>IFERROR(INDEX(PP_Grid[#Data],$DD480,54),0)</f>
        <v/>
      </c>
      <c r="BE480">
        <f>IFERROR(INDEX(PP_Grid[#Data],$DD480,55),0)</f>
        <v/>
      </c>
      <c r="BF480">
        <f>IFERROR(INDEX(PP_Grid[#Data],$DD480,56),0)</f>
        <v/>
      </c>
      <c r="BG480">
        <f>IFERROR(INDEX(PP_Grid[#Data],$DD480,57),0)</f>
        <v/>
      </c>
      <c r="BH480">
        <f>IFERROR(INDEX(PP_Grid[#Data],$DD480,58),0)</f>
        <v/>
      </c>
      <c r="BI480">
        <f>IFERROR(INDEX(PP_Grid[#Data],$DD480,59),0)</f>
        <v/>
      </c>
      <c r="BJ480">
        <f>IFERROR(INDEX(PP_Grid[#Data],$DD480,60),0)</f>
        <v/>
      </c>
      <c r="BK480">
        <f>IFERROR(INDEX(PP_Grid[#Data],$DD480,61),0)</f>
        <v/>
      </c>
      <c r="BL480">
        <f>IFERROR(INDEX(PP_Grid[#Data],$DD480,62),0)</f>
        <v/>
      </c>
      <c r="BM480">
        <f>IFERROR(INDEX(PP_Grid[#Data],$DD480,63),0)</f>
        <v/>
      </c>
      <c r="BN480">
        <f>IFERROR(INDEX(PP_Grid[#Data],$DD480,64),0)</f>
        <v/>
      </c>
      <c r="BO480">
        <f>IFERROR(INDEX(PP_Grid[#Data],$DD480,65),0)</f>
        <v/>
      </c>
      <c r="BP480">
        <f>IFERROR(INDEX(PP_Grid[#Data],$DD480,66),0)</f>
        <v/>
      </c>
      <c r="BQ480">
        <f>IFERROR(INDEX(PP_Grid[#Data],$DD480,67),0)</f>
        <v/>
      </c>
      <c r="BR480">
        <f>IFERROR(INDEX(PP_Grid[#Data],$DD480,68),0)</f>
        <v/>
      </c>
      <c r="BS480">
        <f>IFERROR(INDEX(PP_Grid[#Data],$DD480,69),0)</f>
        <v/>
      </c>
      <c r="BT480">
        <f>IFERROR(INDEX(PP_Grid[#Data],$DD480,70),0)</f>
        <v/>
      </c>
      <c r="BU480">
        <f>IFERROR(INDEX(PP_Grid[#Data],$DD480,71),0)</f>
        <v/>
      </c>
      <c r="BV480">
        <f>IFERROR(INDEX(PP_Grid[#Data],$DD480,72),0)</f>
        <v/>
      </c>
      <c r="BW480">
        <f>IFERROR(INDEX(PP_Grid[#Data],$DD480,73),0)</f>
        <v/>
      </c>
      <c r="BX480">
        <f>IFERROR(INDEX(PP_Grid[#Data],$DD480,74),0)</f>
        <v/>
      </c>
      <c r="BY480">
        <f>IFERROR(INDEX(PP_Grid[#Data],$DD480,75),0)</f>
        <v/>
      </c>
      <c r="BZ480">
        <f>IFERROR(INDEX(PP_Grid[#Data],$DD480,76),0)</f>
        <v/>
      </c>
      <c r="CA480">
        <f>IFERROR(INDEX(PP_Grid[#Data],$DD480,77),0)</f>
        <v/>
      </c>
      <c r="CB480">
        <f>IFERROR(INDEX(PP_Grid[#Data],$DD480,78),0)</f>
        <v/>
      </c>
      <c r="CC480">
        <f>IFERROR(INDEX(PP_Grid[#Data],$DD480,79),0)</f>
        <v/>
      </c>
      <c r="CD480">
        <f>IFERROR(INDEX(PP_Grid[#Data],$DD480,80),0)</f>
        <v/>
      </c>
      <c r="CE480">
        <f>IFERROR(INDEX(PP_Grid[#Data],$DD480,81),0)</f>
        <v/>
      </c>
      <c r="CF480">
        <f>IFERROR(INDEX(PP_Grid[#Data],$DD480,82),0)</f>
        <v/>
      </c>
      <c r="CG480">
        <f>IFERROR(INDEX(PP_Grid[#Data],$DD480,83),0)</f>
        <v/>
      </c>
      <c r="CH480">
        <f>IFERROR(INDEX(PP_Grid[#Data],$DD480,84),0)</f>
        <v/>
      </c>
      <c r="CI480">
        <f>IFERROR(INDEX(PP_Grid[#Data],$DD480,85),0)</f>
        <v/>
      </c>
      <c r="CJ480">
        <f>IFERROR(INDEX(PP_Grid[#Data],$DD480,86),0)</f>
        <v/>
      </c>
      <c r="CK480">
        <f>IFERROR(INDEX(PP_Grid[#Data],$DD480,87),0)</f>
        <v/>
      </c>
      <c r="CL480">
        <f>IFERROR(INDEX(PP_Grid[#Data],$DD480,88),0)</f>
        <v/>
      </c>
      <c r="CM480">
        <f>IFERROR(INDEX(PP_Grid[#Data],$DD480,89),0)</f>
        <v/>
      </c>
      <c r="CN480">
        <f>IFERROR(INDEX(PP_Grid[#Data],$DD480,90),0)</f>
        <v/>
      </c>
      <c r="CO480">
        <f>IFERROR(INDEX(PP_Grid[#Data],$DD480,91),0)</f>
        <v/>
      </c>
      <c r="CP480">
        <f>IFERROR(INDEX(PP_Grid[#Data],$DD480,92),0)</f>
        <v/>
      </c>
      <c r="CQ480">
        <f>IFERROR(INDEX(PP_Grid[#Data],$DD480,93),0)</f>
        <v/>
      </c>
      <c r="CR480">
        <f>IFERROR(INDEX(PP_Grid[#Data],$DD480,94),0)</f>
        <v/>
      </c>
      <c r="CS480">
        <f>IFERROR(INDEX(PP_Grid[#Data],$DD480,95),0)</f>
        <v/>
      </c>
      <c r="CT480">
        <f>IFERROR(INDEX(PP_Grid[#Data],$DD480,96),0)</f>
        <v/>
      </c>
      <c r="CU480">
        <f>IFERROR(INDEX(PP_Grid[#Data],$DD480,97),0)</f>
        <v/>
      </c>
      <c r="CV480">
        <f>IFERROR(INDEX(PP_Grid[#Data],$DD480,98),0)</f>
        <v/>
      </c>
      <c r="CW480">
        <f>IFERROR(INDEX(PP_Grid[#Data],$DD480,99),0)</f>
        <v/>
      </c>
      <c r="CX480">
        <f>IFERROR(INDEX(PP_Grid[#Data],$DD480,100),0)</f>
        <v/>
      </c>
      <c r="CY480">
        <f>IFERROR(INDEX(PP_Grid[#Data],$DD480,101),0)</f>
        <v/>
      </c>
      <c r="CZ480">
        <f>IFERROR(INDEX(PP_Grid[#Data],$DD480,102),0)</f>
        <v/>
      </c>
      <c r="DA480">
        <f>IFERROR(INDEX(PP_Grid[#Data],$DD480,103),0)</f>
        <v/>
      </c>
      <c r="DB480">
        <f>IFERROR(INDEX(PP_Grid[#Data],$DD480,104),0)</f>
        <v/>
      </c>
      <c r="DC480">
        <f>IFERROR(INDEX(PP_Grid[#Data],$DD480,105),0)</f>
        <v/>
      </c>
      <c r="DD480" s="7">
        <f>IFERROR(MATCH($B480,PP_Grid[Intermediate],0),99999)</f>
        <v/>
      </c>
    </row>
    <row r="481">
      <c r="B481" t="inlineStr">
        <is>
          <t>使用量(kg)</t>
        </is>
      </c>
      <c r="C481">
        <f>SUMIFS(M_BOM[RM_Qty_Per_Batch],M_BOM[Intermediate],$B480,M_BOM[Part Name],$A479)</f>
        <v/>
      </c>
      <c r="D481">
        <f>$C481*D480</f>
        <v/>
      </c>
      <c r="E481">
        <f>$C481*E480</f>
        <v/>
      </c>
      <c r="F481">
        <f>$C481*F480</f>
        <v/>
      </c>
      <c r="G481">
        <f>$C481*G480</f>
        <v/>
      </c>
      <c r="H481">
        <f>$C481*H480</f>
        <v/>
      </c>
      <c r="I481">
        <f>$C481*I480</f>
        <v/>
      </c>
      <c r="J481">
        <f>$C481*J480</f>
        <v/>
      </c>
      <c r="K481">
        <f>$C481*K480</f>
        <v/>
      </c>
      <c r="L481">
        <f>$C481*L480</f>
        <v/>
      </c>
      <c r="M481">
        <f>$C481*M480</f>
        <v/>
      </c>
      <c r="N481">
        <f>$C481*N480</f>
        <v/>
      </c>
      <c r="O481">
        <f>$C481*O480</f>
        <v/>
      </c>
      <c r="P481">
        <f>$C481*P480</f>
        <v/>
      </c>
      <c r="Q481">
        <f>$C481*Q480</f>
        <v/>
      </c>
      <c r="R481">
        <f>$C481*R480</f>
        <v/>
      </c>
      <c r="S481">
        <f>$C481*S480</f>
        <v/>
      </c>
      <c r="T481">
        <f>$C481*T480</f>
        <v/>
      </c>
      <c r="U481">
        <f>$C481*U480</f>
        <v/>
      </c>
      <c r="V481">
        <f>$C481*V480</f>
        <v/>
      </c>
      <c r="W481">
        <f>$C481*W480</f>
        <v/>
      </c>
      <c r="X481">
        <f>$C481*X480</f>
        <v/>
      </c>
      <c r="Y481">
        <f>$C481*Y480</f>
        <v/>
      </c>
      <c r="Z481">
        <f>$C481*Z480</f>
        <v/>
      </c>
      <c r="AA481">
        <f>$C481*AA480</f>
        <v/>
      </c>
      <c r="AB481">
        <f>$C481*AB480</f>
        <v/>
      </c>
      <c r="AC481">
        <f>$C481*AC480</f>
        <v/>
      </c>
      <c r="AD481">
        <f>$C481*AD480</f>
        <v/>
      </c>
      <c r="AE481">
        <f>$C481*AE480</f>
        <v/>
      </c>
      <c r="AF481">
        <f>$C481*AF480</f>
        <v/>
      </c>
      <c r="AG481">
        <f>$C481*AG480</f>
        <v/>
      </c>
      <c r="AH481">
        <f>$C481*AH480</f>
        <v/>
      </c>
      <c r="AI481">
        <f>$C481*AI480</f>
        <v/>
      </c>
      <c r="AJ481">
        <f>$C481*AJ480</f>
        <v/>
      </c>
      <c r="AK481">
        <f>$C481*AK480</f>
        <v/>
      </c>
      <c r="AL481">
        <f>$C481*AL480</f>
        <v/>
      </c>
      <c r="AM481">
        <f>$C481*AM480</f>
        <v/>
      </c>
      <c r="AN481">
        <f>$C481*AN480</f>
        <v/>
      </c>
      <c r="AO481">
        <f>$C481*AO480</f>
        <v/>
      </c>
      <c r="AP481">
        <f>$C481*AP480</f>
        <v/>
      </c>
      <c r="AQ481">
        <f>$C481*AQ480</f>
        <v/>
      </c>
      <c r="AR481">
        <f>$C481*AR480</f>
        <v/>
      </c>
      <c r="AS481">
        <f>$C481*AS480</f>
        <v/>
      </c>
      <c r="AT481">
        <f>$C481*AT480</f>
        <v/>
      </c>
      <c r="AU481">
        <f>$C481*AU480</f>
        <v/>
      </c>
      <c r="AV481">
        <f>$C481*AV480</f>
        <v/>
      </c>
      <c r="AW481">
        <f>$C481*AW480</f>
        <v/>
      </c>
      <c r="AX481">
        <f>$C481*AX480</f>
        <v/>
      </c>
      <c r="AY481">
        <f>$C481*AY480</f>
        <v/>
      </c>
      <c r="AZ481">
        <f>$C481*AZ480</f>
        <v/>
      </c>
      <c r="BA481">
        <f>$C481*BA480</f>
        <v/>
      </c>
      <c r="BB481">
        <f>$C481*BB480</f>
        <v/>
      </c>
      <c r="BC481">
        <f>$C481*BC480</f>
        <v/>
      </c>
      <c r="BD481">
        <f>$C481*BD480</f>
        <v/>
      </c>
      <c r="BE481">
        <f>$C481*BE480</f>
        <v/>
      </c>
      <c r="BF481">
        <f>$C481*BF480</f>
        <v/>
      </c>
      <c r="BG481">
        <f>$C481*BG480</f>
        <v/>
      </c>
      <c r="BH481">
        <f>$C481*BH480</f>
        <v/>
      </c>
      <c r="BI481">
        <f>$C481*BI480</f>
        <v/>
      </c>
      <c r="BJ481">
        <f>$C481*BJ480</f>
        <v/>
      </c>
      <c r="BK481">
        <f>$C481*BK480</f>
        <v/>
      </c>
      <c r="BL481">
        <f>$C481*BL480</f>
        <v/>
      </c>
      <c r="BM481">
        <f>$C481*BM480</f>
        <v/>
      </c>
      <c r="BN481">
        <f>$C481*BN480</f>
        <v/>
      </c>
      <c r="BO481">
        <f>$C481*BO480</f>
        <v/>
      </c>
      <c r="BP481">
        <f>$C481*BP480</f>
        <v/>
      </c>
      <c r="BQ481">
        <f>$C481*BQ480</f>
        <v/>
      </c>
      <c r="BR481">
        <f>$C481*BR480</f>
        <v/>
      </c>
      <c r="BS481">
        <f>$C481*BS480</f>
        <v/>
      </c>
      <c r="BT481">
        <f>$C481*BT480</f>
        <v/>
      </c>
      <c r="BU481">
        <f>$C481*BU480</f>
        <v/>
      </c>
      <c r="BV481">
        <f>$C481*BV480</f>
        <v/>
      </c>
      <c r="BW481">
        <f>$C481*BW480</f>
        <v/>
      </c>
      <c r="BX481">
        <f>$C481*BX480</f>
        <v/>
      </c>
      <c r="BY481">
        <f>$C481*BY480</f>
        <v/>
      </c>
      <c r="BZ481">
        <f>$C481*BZ480</f>
        <v/>
      </c>
      <c r="CA481">
        <f>$C481*CA480</f>
        <v/>
      </c>
      <c r="CB481">
        <f>$C481*CB480</f>
        <v/>
      </c>
      <c r="CC481">
        <f>$C481*CC480</f>
        <v/>
      </c>
      <c r="CD481">
        <f>$C481*CD480</f>
        <v/>
      </c>
      <c r="CE481">
        <f>$C481*CE480</f>
        <v/>
      </c>
      <c r="CF481">
        <f>$C481*CF480</f>
        <v/>
      </c>
      <c r="CG481">
        <f>$C481*CG480</f>
        <v/>
      </c>
      <c r="CH481">
        <f>$C481*CH480</f>
        <v/>
      </c>
      <c r="CI481">
        <f>$C481*CI480</f>
        <v/>
      </c>
      <c r="CJ481">
        <f>$C481*CJ480</f>
        <v/>
      </c>
      <c r="CK481">
        <f>$C481*CK480</f>
        <v/>
      </c>
      <c r="CL481">
        <f>$C481*CL480</f>
        <v/>
      </c>
      <c r="CM481">
        <f>$C481*CM480</f>
        <v/>
      </c>
      <c r="CN481">
        <f>$C481*CN480</f>
        <v/>
      </c>
      <c r="CO481">
        <f>$C481*CO480</f>
        <v/>
      </c>
      <c r="CP481">
        <f>$C481*CP480</f>
        <v/>
      </c>
      <c r="CQ481">
        <f>$C481*CQ480</f>
        <v/>
      </c>
      <c r="CR481">
        <f>$C481*CR480</f>
        <v/>
      </c>
      <c r="CS481">
        <f>$C481*CS480</f>
        <v/>
      </c>
      <c r="CT481">
        <f>$C481*CT480</f>
        <v/>
      </c>
      <c r="CU481">
        <f>$C481*CU480</f>
        <v/>
      </c>
      <c r="CV481">
        <f>$C481*CV480</f>
        <v/>
      </c>
      <c r="CW481">
        <f>$C481*CW480</f>
        <v/>
      </c>
      <c r="CX481">
        <f>$C481*CX480</f>
        <v/>
      </c>
      <c r="CY481">
        <f>$C481*CY480</f>
        <v/>
      </c>
      <c r="CZ481">
        <f>$C481*CZ480</f>
        <v/>
      </c>
      <c r="DA481">
        <f>$C481*DA480</f>
        <v/>
      </c>
      <c r="DB481">
        <f>$C481*DB480</f>
        <v/>
      </c>
      <c r="DC481">
        <f>$C481*DC480</f>
        <v/>
      </c>
    </row>
    <row r="482">
      <c r="B482" t="inlineStr">
        <is>
          <t>TSP-558</t>
        </is>
      </c>
      <c r="C482" t="inlineStr">
        <is>
          <t>No. of batches</t>
        </is>
      </c>
      <c r="D482">
        <f>IFERROR(INDEX(PP_Grid[#Data],$DD482,2),0)</f>
        <v/>
      </c>
      <c r="E482">
        <f>IFERROR(INDEX(PP_Grid[#Data],$DD482,3),0)</f>
        <v/>
      </c>
      <c r="F482">
        <f>IFERROR(INDEX(PP_Grid[#Data],$DD482,4),0)</f>
        <v/>
      </c>
      <c r="G482">
        <f>IFERROR(INDEX(PP_Grid[#Data],$DD482,5),0)</f>
        <v/>
      </c>
      <c r="H482">
        <f>IFERROR(INDEX(PP_Grid[#Data],$DD482,6),0)</f>
        <v/>
      </c>
      <c r="I482">
        <f>IFERROR(INDEX(PP_Grid[#Data],$DD482,7),0)</f>
        <v/>
      </c>
      <c r="J482">
        <f>IFERROR(INDEX(PP_Grid[#Data],$DD482,8),0)</f>
        <v/>
      </c>
      <c r="K482">
        <f>IFERROR(INDEX(PP_Grid[#Data],$DD482,9),0)</f>
        <v/>
      </c>
      <c r="L482">
        <f>IFERROR(INDEX(PP_Grid[#Data],$DD482,10),0)</f>
        <v/>
      </c>
      <c r="M482">
        <f>IFERROR(INDEX(PP_Grid[#Data],$DD482,11),0)</f>
        <v/>
      </c>
      <c r="N482">
        <f>IFERROR(INDEX(PP_Grid[#Data],$DD482,12),0)</f>
        <v/>
      </c>
      <c r="O482">
        <f>IFERROR(INDEX(PP_Grid[#Data],$DD482,13),0)</f>
        <v/>
      </c>
      <c r="P482">
        <f>IFERROR(INDEX(PP_Grid[#Data],$DD482,14),0)</f>
        <v/>
      </c>
      <c r="Q482">
        <f>IFERROR(INDEX(PP_Grid[#Data],$DD482,15),0)</f>
        <v/>
      </c>
      <c r="R482">
        <f>IFERROR(INDEX(PP_Grid[#Data],$DD482,16),0)</f>
        <v/>
      </c>
      <c r="S482">
        <f>IFERROR(INDEX(PP_Grid[#Data],$DD482,17),0)</f>
        <v/>
      </c>
      <c r="T482">
        <f>IFERROR(INDEX(PP_Grid[#Data],$DD482,18),0)</f>
        <v/>
      </c>
      <c r="U482">
        <f>IFERROR(INDEX(PP_Grid[#Data],$DD482,19),0)</f>
        <v/>
      </c>
      <c r="V482">
        <f>IFERROR(INDEX(PP_Grid[#Data],$DD482,20),0)</f>
        <v/>
      </c>
      <c r="W482">
        <f>IFERROR(INDEX(PP_Grid[#Data],$DD482,21),0)</f>
        <v/>
      </c>
      <c r="X482">
        <f>IFERROR(INDEX(PP_Grid[#Data],$DD482,22),0)</f>
        <v/>
      </c>
      <c r="Y482">
        <f>IFERROR(INDEX(PP_Grid[#Data],$DD482,23),0)</f>
        <v/>
      </c>
      <c r="Z482">
        <f>IFERROR(INDEX(PP_Grid[#Data],$DD482,24),0)</f>
        <v/>
      </c>
      <c r="AA482">
        <f>IFERROR(INDEX(PP_Grid[#Data],$DD482,25),0)</f>
        <v/>
      </c>
      <c r="AB482">
        <f>IFERROR(INDEX(PP_Grid[#Data],$DD482,26),0)</f>
        <v/>
      </c>
      <c r="AC482">
        <f>IFERROR(INDEX(PP_Grid[#Data],$DD482,27),0)</f>
        <v/>
      </c>
      <c r="AD482">
        <f>IFERROR(INDEX(PP_Grid[#Data],$DD482,28),0)</f>
        <v/>
      </c>
      <c r="AE482">
        <f>IFERROR(INDEX(PP_Grid[#Data],$DD482,29),0)</f>
        <v/>
      </c>
      <c r="AF482">
        <f>IFERROR(INDEX(PP_Grid[#Data],$DD482,30),0)</f>
        <v/>
      </c>
      <c r="AG482">
        <f>IFERROR(INDEX(PP_Grid[#Data],$DD482,31),0)</f>
        <v/>
      </c>
      <c r="AH482">
        <f>IFERROR(INDEX(PP_Grid[#Data],$DD482,32),0)</f>
        <v/>
      </c>
      <c r="AI482">
        <f>IFERROR(INDEX(PP_Grid[#Data],$DD482,33),0)</f>
        <v/>
      </c>
      <c r="AJ482">
        <f>IFERROR(INDEX(PP_Grid[#Data],$DD482,34),0)</f>
        <v/>
      </c>
      <c r="AK482">
        <f>IFERROR(INDEX(PP_Grid[#Data],$DD482,35),0)</f>
        <v/>
      </c>
      <c r="AL482">
        <f>IFERROR(INDEX(PP_Grid[#Data],$DD482,36),0)</f>
        <v/>
      </c>
      <c r="AM482">
        <f>IFERROR(INDEX(PP_Grid[#Data],$DD482,37),0)</f>
        <v/>
      </c>
      <c r="AN482">
        <f>IFERROR(INDEX(PP_Grid[#Data],$DD482,38),0)</f>
        <v/>
      </c>
      <c r="AO482">
        <f>IFERROR(INDEX(PP_Grid[#Data],$DD482,39),0)</f>
        <v/>
      </c>
      <c r="AP482">
        <f>IFERROR(INDEX(PP_Grid[#Data],$DD482,40),0)</f>
        <v/>
      </c>
      <c r="AQ482">
        <f>IFERROR(INDEX(PP_Grid[#Data],$DD482,41),0)</f>
        <v/>
      </c>
      <c r="AR482">
        <f>IFERROR(INDEX(PP_Grid[#Data],$DD482,42),0)</f>
        <v/>
      </c>
      <c r="AS482">
        <f>IFERROR(INDEX(PP_Grid[#Data],$DD482,43),0)</f>
        <v/>
      </c>
      <c r="AT482">
        <f>IFERROR(INDEX(PP_Grid[#Data],$DD482,44),0)</f>
        <v/>
      </c>
      <c r="AU482">
        <f>IFERROR(INDEX(PP_Grid[#Data],$DD482,45),0)</f>
        <v/>
      </c>
      <c r="AV482">
        <f>IFERROR(INDEX(PP_Grid[#Data],$DD482,46),0)</f>
        <v/>
      </c>
      <c r="AW482">
        <f>IFERROR(INDEX(PP_Grid[#Data],$DD482,47),0)</f>
        <v/>
      </c>
      <c r="AX482">
        <f>IFERROR(INDEX(PP_Grid[#Data],$DD482,48),0)</f>
        <v/>
      </c>
      <c r="AY482">
        <f>IFERROR(INDEX(PP_Grid[#Data],$DD482,49),0)</f>
        <v/>
      </c>
      <c r="AZ482">
        <f>IFERROR(INDEX(PP_Grid[#Data],$DD482,50),0)</f>
        <v/>
      </c>
      <c r="BA482">
        <f>IFERROR(INDEX(PP_Grid[#Data],$DD482,51),0)</f>
        <v/>
      </c>
      <c r="BB482">
        <f>IFERROR(INDEX(PP_Grid[#Data],$DD482,52),0)</f>
        <v/>
      </c>
      <c r="BC482">
        <f>IFERROR(INDEX(PP_Grid[#Data],$DD482,53),0)</f>
        <v/>
      </c>
      <c r="BD482">
        <f>IFERROR(INDEX(PP_Grid[#Data],$DD482,54),0)</f>
        <v/>
      </c>
      <c r="BE482">
        <f>IFERROR(INDEX(PP_Grid[#Data],$DD482,55),0)</f>
        <v/>
      </c>
      <c r="BF482">
        <f>IFERROR(INDEX(PP_Grid[#Data],$DD482,56),0)</f>
        <v/>
      </c>
      <c r="BG482">
        <f>IFERROR(INDEX(PP_Grid[#Data],$DD482,57),0)</f>
        <v/>
      </c>
      <c r="BH482">
        <f>IFERROR(INDEX(PP_Grid[#Data],$DD482,58),0)</f>
        <v/>
      </c>
      <c r="BI482">
        <f>IFERROR(INDEX(PP_Grid[#Data],$DD482,59),0)</f>
        <v/>
      </c>
      <c r="BJ482">
        <f>IFERROR(INDEX(PP_Grid[#Data],$DD482,60),0)</f>
        <v/>
      </c>
      <c r="BK482">
        <f>IFERROR(INDEX(PP_Grid[#Data],$DD482,61),0)</f>
        <v/>
      </c>
      <c r="BL482">
        <f>IFERROR(INDEX(PP_Grid[#Data],$DD482,62),0)</f>
        <v/>
      </c>
      <c r="BM482">
        <f>IFERROR(INDEX(PP_Grid[#Data],$DD482,63),0)</f>
        <v/>
      </c>
      <c r="BN482">
        <f>IFERROR(INDEX(PP_Grid[#Data],$DD482,64),0)</f>
        <v/>
      </c>
      <c r="BO482">
        <f>IFERROR(INDEX(PP_Grid[#Data],$DD482,65),0)</f>
        <v/>
      </c>
      <c r="BP482">
        <f>IFERROR(INDEX(PP_Grid[#Data],$DD482,66),0)</f>
        <v/>
      </c>
      <c r="BQ482">
        <f>IFERROR(INDEX(PP_Grid[#Data],$DD482,67),0)</f>
        <v/>
      </c>
      <c r="BR482">
        <f>IFERROR(INDEX(PP_Grid[#Data],$DD482,68),0)</f>
        <v/>
      </c>
      <c r="BS482">
        <f>IFERROR(INDEX(PP_Grid[#Data],$DD482,69),0)</f>
        <v/>
      </c>
      <c r="BT482">
        <f>IFERROR(INDEX(PP_Grid[#Data],$DD482,70),0)</f>
        <v/>
      </c>
      <c r="BU482">
        <f>IFERROR(INDEX(PP_Grid[#Data],$DD482,71),0)</f>
        <v/>
      </c>
      <c r="BV482">
        <f>IFERROR(INDEX(PP_Grid[#Data],$DD482,72),0)</f>
        <v/>
      </c>
      <c r="BW482">
        <f>IFERROR(INDEX(PP_Grid[#Data],$DD482,73),0)</f>
        <v/>
      </c>
      <c r="BX482">
        <f>IFERROR(INDEX(PP_Grid[#Data],$DD482,74),0)</f>
        <v/>
      </c>
      <c r="BY482">
        <f>IFERROR(INDEX(PP_Grid[#Data],$DD482,75),0)</f>
        <v/>
      </c>
      <c r="BZ482">
        <f>IFERROR(INDEX(PP_Grid[#Data],$DD482,76),0)</f>
        <v/>
      </c>
      <c r="CA482">
        <f>IFERROR(INDEX(PP_Grid[#Data],$DD482,77),0)</f>
        <v/>
      </c>
      <c r="CB482">
        <f>IFERROR(INDEX(PP_Grid[#Data],$DD482,78),0)</f>
        <v/>
      </c>
      <c r="CC482">
        <f>IFERROR(INDEX(PP_Grid[#Data],$DD482,79),0)</f>
        <v/>
      </c>
      <c r="CD482">
        <f>IFERROR(INDEX(PP_Grid[#Data],$DD482,80),0)</f>
        <v/>
      </c>
      <c r="CE482">
        <f>IFERROR(INDEX(PP_Grid[#Data],$DD482,81),0)</f>
        <v/>
      </c>
      <c r="CF482">
        <f>IFERROR(INDEX(PP_Grid[#Data],$DD482,82),0)</f>
        <v/>
      </c>
      <c r="CG482">
        <f>IFERROR(INDEX(PP_Grid[#Data],$DD482,83),0)</f>
        <v/>
      </c>
      <c r="CH482">
        <f>IFERROR(INDEX(PP_Grid[#Data],$DD482,84),0)</f>
        <v/>
      </c>
      <c r="CI482">
        <f>IFERROR(INDEX(PP_Grid[#Data],$DD482,85),0)</f>
        <v/>
      </c>
      <c r="CJ482">
        <f>IFERROR(INDEX(PP_Grid[#Data],$DD482,86),0)</f>
        <v/>
      </c>
      <c r="CK482">
        <f>IFERROR(INDEX(PP_Grid[#Data],$DD482,87),0)</f>
        <v/>
      </c>
      <c r="CL482">
        <f>IFERROR(INDEX(PP_Grid[#Data],$DD482,88),0)</f>
        <v/>
      </c>
      <c r="CM482">
        <f>IFERROR(INDEX(PP_Grid[#Data],$DD482,89),0)</f>
        <v/>
      </c>
      <c r="CN482">
        <f>IFERROR(INDEX(PP_Grid[#Data],$DD482,90),0)</f>
        <v/>
      </c>
      <c r="CO482">
        <f>IFERROR(INDEX(PP_Grid[#Data],$DD482,91),0)</f>
        <v/>
      </c>
      <c r="CP482">
        <f>IFERROR(INDEX(PP_Grid[#Data],$DD482,92),0)</f>
        <v/>
      </c>
      <c r="CQ482">
        <f>IFERROR(INDEX(PP_Grid[#Data],$DD482,93),0)</f>
        <v/>
      </c>
      <c r="CR482">
        <f>IFERROR(INDEX(PP_Grid[#Data],$DD482,94),0)</f>
        <v/>
      </c>
      <c r="CS482">
        <f>IFERROR(INDEX(PP_Grid[#Data],$DD482,95),0)</f>
        <v/>
      </c>
      <c r="CT482">
        <f>IFERROR(INDEX(PP_Grid[#Data],$DD482,96),0)</f>
        <v/>
      </c>
      <c r="CU482">
        <f>IFERROR(INDEX(PP_Grid[#Data],$DD482,97),0)</f>
        <v/>
      </c>
      <c r="CV482">
        <f>IFERROR(INDEX(PP_Grid[#Data],$DD482,98),0)</f>
        <v/>
      </c>
      <c r="CW482">
        <f>IFERROR(INDEX(PP_Grid[#Data],$DD482,99),0)</f>
        <v/>
      </c>
      <c r="CX482">
        <f>IFERROR(INDEX(PP_Grid[#Data],$DD482,100),0)</f>
        <v/>
      </c>
      <c r="CY482">
        <f>IFERROR(INDEX(PP_Grid[#Data],$DD482,101),0)</f>
        <v/>
      </c>
      <c r="CZ482">
        <f>IFERROR(INDEX(PP_Grid[#Data],$DD482,102),0)</f>
        <v/>
      </c>
      <c r="DA482">
        <f>IFERROR(INDEX(PP_Grid[#Data],$DD482,103),0)</f>
        <v/>
      </c>
      <c r="DB482">
        <f>IFERROR(INDEX(PP_Grid[#Data],$DD482,104),0)</f>
        <v/>
      </c>
      <c r="DC482">
        <f>IFERROR(INDEX(PP_Grid[#Data],$DD482,105),0)</f>
        <v/>
      </c>
      <c r="DD482" s="7">
        <f>IFERROR(MATCH($B482,PP_Grid[Intermediate],0),99999)</f>
        <v/>
      </c>
    </row>
    <row r="483">
      <c r="B483" t="inlineStr">
        <is>
          <t>使用量(kg)</t>
        </is>
      </c>
      <c r="C483">
        <f>SUMIFS(M_BOM[RM_Qty_Per_Batch],M_BOM[Intermediate],$B482,M_BOM[Part Name],$A479)</f>
        <v/>
      </c>
      <c r="D483">
        <f>$C483*D482</f>
        <v/>
      </c>
      <c r="E483">
        <f>$C483*E482</f>
        <v/>
      </c>
      <c r="F483">
        <f>$C483*F482</f>
        <v/>
      </c>
      <c r="G483">
        <f>$C483*G482</f>
        <v/>
      </c>
      <c r="H483">
        <f>$C483*H482</f>
        <v/>
      </c>
      <c r="I483">
        <f>$C483*I482</f>
        <v/>
      </c>
      <c r="J483">
        <f>$C483*J482</f>
        <v/>
      </c>
      <c r="K483">
        <f>$C483*K482</f>
        <v/>
      </c>
      <c r="L483">
        <f>$C483*L482</f>
        <v/>
      </c>
      <c r="M483">
        <f>$C483*M482</f>
        <v/>
      </c>
      <c r="N483">
        <f>$C483*N482</f>
        <v/>
      </c>
      <c r="O483">
        <f>$C483*O482</f>
        <v/>
      </c>
      <c r="P483">
        <f>$C483*P482</f>
        <v/>
      </c>
      <c r="Q483">
        <f>$C483*Q482</f>
        <v/>
      </c>
      <c r="R483">
        <f>$C483*R482</f>
        <v/>
      </c>
      <c r="S483">
        <f>$C483*S482</f>
        <v/>
      </c>
      <c r="T483">
        <f>$C483*T482</f>
        <v/>
      </c>
      <c r="U483">
        <f>$C483*U482</f>
        <v/>
      </c>
      <c r="V483">
        <f>$C483*V482</f>
        <v/>
      </c>
      <c r="W483">
        <f>$C483*W482</f>
        <v/>
      </c>
      <c r="X483">
        <f>$C483*X482</f>
        <v/>
      </c>
      <c r="Y483">
        <f>$C483*Y482</f>
        <v/>
      </c>
      <c r="Z483">
        <f>$C483*Z482</f>
        <v/>
      </c>
      <c r="AA483">
        <f>$C483*AA482</f>
        <v/>
      </c>
      <c r="AB483">
        <f>$C483*AB482</f>
        <v/>
      </c>
      <c r="AC483">
        <f>$C483*AC482</f>
        <v/>
      </c>
      <c r="AD483">
        <f>$C483*AD482</f>
        <v/>
      </c>
      <c r="AE483">
        <f>$C483*AE482</f>
        <v/>
      </c>
      <c r="AF483">
        <f>$C483*AF482</f>
        <v/>
      </c>
      <c r="AG483">
        <f>$C483*AG482</f>
        <v/>
      </c>
      <c r="AH483">
        <f>$C483*AH482</f>
        <v/>
      </c>
      <c r="AI483">
        <f>$C483*AI482</f>
        <v/>
      </c>
      <c r="AJ483">
        <f>$C483*AJ482</f>
        <v/>
      </c>
      <c r="AK483">
        <f>$C483*AK482</f>
        <v/>
      </c>
      <c r="AL483">
        <f>$C483*AL482</f>
        <v/>
      </c>
      <c r="AM483">
        <f>$C483*AM482</f>
        <v/>
      </c>
      <c r="AN483">
        <f>$C483*AN482</f>
        <v/>
      </c>
      <c r="AO483">
        <f>$C483*AO482</f>
        <v/>
      </c>
      <c r="AP483">
        <f>$C483*AP482</f>
        <v/>
      </c>
      <c r="AQ483">
        <f>$C483*AQ482</f>
        <v/>
      </c>
      <c r="AR483">
        <f>$C483*AR482</f>
        <v/>
      </c>
      <c r="AS483">
        <f>$C483*AS482</f>
        <v/>
      </c>
      <c r="AT483">
        <f>$C483*AT482</f>
        <v/>
      </c>
      <c r="AU483">
        <f>$C483*AU482</f>
        <v/>
      </c>
      <c r="AV483">
        <f>$C483*AV482</f>
        <v/>
      </c>
      <c r="AW483">
        <f>$C483*AW482</f>
        <v/>
      </c>
      <c r="AX483">
        <f>$C483*AX482</f>
        <v/>
      </c>
      <c r="AY483">
        <f>$C483*AY482</f>
        <v/>
      </c>
      <c r="AZ483">
        <f>$C483*AZ482</f>
        <v/>
      </c>
      <c r="BA483">
        <f>$C483*BA482</f>
        <v/>
      </c>
      <c r="BB483">
        <f>$C483*BB482</f>
        <v/>
      </c>
      <c r="BC483">
        <f>$C483*BC482</f>
        <v/>
      </c>
      <c r="BD483">
        <f>$C483*BD482</f>
        <v/>
      </c>
      <c r="BE483">
        <f>$C483*BE482</f>
        <v/>
      </c>
      <c r="BF483">
        <f>$C483*BF482</f>
        <v/>
      </c>
      <c r="BG483">
        <f>$C483*BG482</f>
        <v/>
      </c>
      <c r="BH483">
        <f>$C483*BH482</f>
        <v/>
      </c>
      <c r="BI483">
        <f>$C483*BI482</f>
        <v/>
      </c>
      <c r="BJ483">
        <f>$C483*BJ482</f>
        <v/>
      </c>
      <c r="BK483">
        <f>$C483*BK482</f>
        <v/>
      </c>
      <c r="BL483">
        <f>$C483*BL482</f>
        <v/>
      </c>
      <c r="BM483">
        <f>$C483*BM482</f>
        <v/>
      </c>
      <c r="BN483">
        <f>$C483*BN482</f>
        <v/>
      </c>
      <c r="BO483">
        <f>$C483*BO482</f>
        <v/>
      </c>
      <c r="BP483">
        <f>$C483*BP482</f>
        <v/>
      </c>
      <c r="BQ483">
        <f>$C483*BQ482</f>
        <v/>
      </c>
      <c r="BR483">
        <f>$C483*BR482</f>
        <v/>
      </c>
      <c r="BS483">
        <f>$C483*BS482</f>
        <v/>
      </c>
      <c r="BT483">
        <f>$C483*BT482</f>
        <v/>
      </c>
      <c r="BU483">
        <f>$C483*BU482</f>
        <v/>
      </c>
      <c r="BV483">
        <f>$C483*BV482</f>
        <v/>
      </c>
      <c r="BW483">
        <f>$C483*BW482</f>
        <v/>
      </c>
      <c r="BX483">
        <f>$C483*BX482</f>
        <v/>
      </c>
      <c r="BY483">
        <f>$C483*BY482</f>
        <v/>
      </c>
      <c r="BZ483">
        <f>$C483*BZ482</f>
        <v/>
      </c>
      <c r="CA483">
        <f>$C483*CA482</f>
        <v/>
      </c>
      <c r="CB483">
        <f>$C483*CB482</f>
        <v/>
      </c>
      <c r="CC483">
        <f>$C483*CC482</f>
        <v/>
      </c>
      <c r="CD483">
        <f>$C483*CD482</f>
        <v/>
      </c>
      <c r="CE483">
        <f>$C483*CE482</f>
        <v/>
      </c>
      <c r="CF483">
        <f>$C483*CF482</f>
        <v/>
      </c>
      <c r="CG483">
        <f>$C483*CG482</f>
        <v/>
      </c>
      <c r="CH483">
        <f>$C483*CH482</f>
        <v/>
      </c>
      <c r="CI483">
        <f>$C483*CI482</f>
        <v/>
      </c>
      <c r="CJ483">
        <f>$C483*CJ482</f>
        <v/>
      </c>
      <c r="CK483">
        <f>$C483*CK482</f>
        <v/>
      </c>
      <c r="CL483">
        <f>$C483*CL482</f>
        <v/>
      </c>
      <c r="CM483">
        <f>$C483*CM482</f>
        <v/>
      </c>
      <c r="CN483">
        <f>$C483*CN482</f>
        <v/>
      </c>
      <c r="CO483">
        <f>$C483*CO482</f>
        <v/>
      </c>
      <c r="CP483">
        <f>$C483*CP482</f>
        <v/>
      </c>
      <c r="CQ483">
        <f>$C483*CQ482</f>
        <v/>
      </c>
      <c r="CR483">
        <f>$C483*CR482</f>
        <v/>
      </c>
      <c r="CS483">
        <f>$C483*CS482</f>
        <v/>
      </c>
      <c r="CT483">
        <f>$C483*CT482</f>
        <v/>
      </c>
      <c r="CU483">
        <f>$C483*CU482</f>
        <v/>
      </c>
      <c r="CV483">
        <f>$C483*CV482</f>
        <v/>
      </c>
      <c r="CW483">
        <f>$C483*CW482</f>
        <v/>
      </c>
      <c r="CX483">
        <f>$C483*CX482</f>
        <v/>
      </c>
      <c r="CY483">
        <f>$C483*CY482</f>
        <v/>
      </c>
      <c r="CZ483">
        <f>$C483*CZ482</f>
        <v/>
      </c>
      <c r="DA483">
        <f>$C483*DA482</f>
        <v/>
      </c>
      <c r="DB483">
        <f>$C483*DB482</f>
        <v/>
      </c>
      <c r="DC483">
        <f>$C483*DC482</f>
        <v/>
      </c>
    </row>
    <row r="484">
      <c r="B484" t="inlineStr">
        <is>
          <t>TSP-903</t>
        </is>
      </c>
      <c r="C484" t="inlineStr">
        <is>
          <t>No. of batches</t>
        </is>
      </c>
      <c r="D484">
        <f>IFERROR(INDEX(PP_Grid[#Data],$DD484,2),0)</f>
        <v/>
      </c>
      <c r="E484">
        <f>IFERROR(INDEX(PP_Grid[#Data],$DD484,3),0)</f>
        <v/>
      </c>
      <c r="F484">
        <f>IFERROR(INDEX(PP_Grid[#Data],$DD484,4),0)</f>
        <v/>
      </c>
      <c r="G484">
        <f>IFERROR(INDEX(PP_Grid[#Data],$DD484,5),0)</f>
        <v/>
      </c>
      <c r="H484">
        <f>IFERROR(INDEX(PP_Grid[#Data],$DD484,6),0)</f>
        <v/>
      </c>
      <c r="I484">
        <f>IFERROR(INDEX(PP_Grid[#Data],$DD484,7),0)</f>
        <v/>
      </c>
      <c r="J484">
        <f>IFERROR(INDEX(PP_Grid[#Data],$DD484,8),0)</f>
        <v/>
      </c>
      <c r="K484">
        <f>IFERROR(INDEX(PP_Grid[#Data],$DD484,9),0)</f>
        <v/>
      </c>
      <c r="L484">
        <f>IFERROR(INDEX(PP_Grid[#Data],$DD484,10),0)</f>
        <v/>
      </c>
      <c r="M484">
        <f>IFERROR(INDEX(PP_Grid[#Data],$DD484,11),0)</f>
        <v/>
      </c>
      <c r="N484">
        <f>IFERROR(INDEX(PP_Grid[#Data],$DD484,12),0)</f>
        <v/>
      </c>
      <c r="O484">
        <f>IFERROR(INDEX(PP_Grid[#Data],$DD484,13),0)</f>
        <v/>
      </c>
      <c r="P484">
        <f>IFERROR(INDEX(PP_Grid[#Data],$DD484,14),0)</f>
        <v/>
      </c>
      <c r="Q484">
        <f>IFERROR(INDEX(PP_Grid[#Data],$DD484,15),0)</f>
        <v/>
      </c>
      <c r="R484">
        <f>IFERROR(INDEX(PP_Grid[#Data],$DD484,16),0)</f>
        <v/>
      </c>
      <c r="S484">
        <f>IFERROR(INDEX(PP_Grid[#Data],$DD484,17),0)</f>
        <v/>
      </c>
      <c r="T484">
        <f>IFERROR(INDEX(PP_Grid[#Data],$DD484,18),0)</f>
        <v/>
      </c>
      <c r="U484">
        <f>IFERROR(INDEX(PP_Grid[#Data],$DD484,19),0)</f>
        <v/>
      </c>
      <c r="V484">
        <f>IFERROR(INDEX(PP_Grid[#Data],$DD484,20),0)</f>
        <v/>
      </c>
      <c r="W484">
        <f>IFERROR(INDEX(PP_Grid[#Data],$DD484,21),0)</f>
        <v/>
      </c>
      <c r="X484">
        <f>IFERROR(INDEX(PP_Grid[#Data],$DD484,22),0)</f>
        <v/>
      </c>
      <c r="Y484">
        <f>IFERROR(INDEX(PP_Grid[#Data],$DD484,23),0)</f>
        <v/>
      </c>
      <c r="Z484">
        <f>IFERROR(INDEX(PP_Grid[#Data],$DD484,24),0)</f>
        <v/>
      </c>
      <c r="AA484">
        <f>IFERROR(INDEX(PP_Grid[#Data],$DD484,25),0)</f>
        <v/>
      </c>
      <c r="AB484">
        <f>IFERROR(INDEX(PP_Grid[#Data],$DD484,26),0)</f>
        <v/>
      </c>
      <c r="AC484">
        <f>IFERROR(INDEX(PP_Grid[#Data],$DD484,27),0)</f>
        <v/>
      </c>
      <c r="AD484">
        <f>IFERROR(INDEX(PP_Grid[#Data],$DD484,28),0)</f>
        <v/>
      </c>
      <c r="AE484">
        <f>IFERROR(INDEX(PP_Grid[#Data],$DD484,29),0)</f>
        <v/>
      </c>
      <c r="AF484">
        <f>IFERROR(INDEX(PP_Grid[#Data],$DD484,30),0)</f>
        <v/>
      </c>
      <c r="AG484">
        <f>IFERROR(INDEX(PP_Grid[#Data],$DD484,31),0)</f>
        <v/>
      </c>
      <c r="AH484">
        <f>IFERROR(INDEX(PP_Grid[#Data],$DD484,32),0)</f>
        <v/>
      </c>
      <c r="AI484">
        <f>IFERROR(INDEX(PP_Grid[#Data],$DD484,33),0)</f>
        <v/>
      </c>
      <c r="AJ484">
        <f>IFERROR(INDEX(PP_Grid[#Data],$DD484,34),0)</f>
        <v/>
      </c>
      <c r="AK484">
        <f>IFERROR(INDEX(PP_Grid[#Data],$DD484,35),0)</f>
        <v/>
      </c>
      <c r="AL484">
        <f>IFERROR(INDEX(PP_Grid[#Data],$DD484,36),0)</f>
        <v/>
      </c>
      <c r="AM484">
        <f>IFERROR(INDEX(PP_Grid[#Data],$DD484,37),0)</f>
        <v/>
      </c>
      <c r="AN484">
        <f>IFERROR(INDEX(PP_Grid[#Data],$DD484,38),0)</f>
        <v/>
      </c>
      <c r="AO484">
        <f>IFERROR(INDEX(PP_Grid[#Data],$DD484,39),0)</f>
        <v/>
      </c>
      <c r="AP484">
        <f>IFERROR(INDEX(PP_Grid[#Data],$DD484,40),0)</f>
        <v/>
      </c>
      <c r="AQ484">
        <f>IFERROR(INDEX(PP_Grid[#Data],$DD484,41),0)</f>
        <v/>
      </c>
      <c r="AR484">
        <f>IFERROR(INDEX(PP_Grid[#Data],$DD484,42),0)</f>
        <v/>
      </c>
      <c r="AS484">
        <f>IFERROR(INDEX(PP_Grid[#Data],$DD484,43),0)</f>
        <v/>
      </c>
      <c r="AT484">
        <f>IFERROR(INDEX(PP_Grid[#Data],$DD484,44),0)</f>
        <v/>
      </c>
      <c r="AU484">
        <f>IFERROR(INDEX(PP_Grid[#Data],$DD484,45),0)</f>
        <v/>
      </c>
      <c r="AV484">
        <f>IFERROR(INDEX(PP_Grid[#Data],$DD484,46),0)</f>
        <v/>
      </c>
      <c r="AW484">
        <f>IFERROR(INDEX(PP_Grid[#Data],$DD484,47),0)</f>
        <v/>
      </c>
      <c r="AX484">
        <f>IFERROR(INDEX(PP_Grid[#Data],$DD484,48),0)</f>
        <v/>
      </c>
      <c r="AY484">
        <f>IFERROR(INDEX(PP_Grid[#Data],$DD484,49),0)</f>
        <v/>
      </c>
      <c r="AZ484">
        <f>IFERROR(INDEX(PP_Grid[#Data],$DD484,50),0)</f>
        <v/>
      </c>
      <c r="BA484">
        <f>IFERROR(INDEX(PP_Grid[#Data],$DD484,51),0)</f>
        <v/>
      </c>
      <c r="BB484">
        <f>IFERROR(INDEX(PP_Grid[#Data],$DD484,52),0)</f>
        <v/>
      </c>
      <c r="BC484">
        <f>IFERROR(INDEX(PP_Grid[#Data],$DD484,53),0)</f>
        <v/>
      </c>
      <c r="BD484">
        <f>IFERROR(INDEX(PP_Grid[#Data],$DD484,54),0)</f>
        <v/>
      </c>
      <c r="BE484">
        <f>IFERROR(INDEX(PP_Grid[#Data],$DD484,55),0)</f>
        <v/>
      </c>
      <c r="BF484">
        <f>IFERROR(INDEX(PP_Grid[#Data],$DD484,56),0)</f>
        <v/>
      </c>
      <c r="BG484">
        <f>IFERROR(INDEX(PP_Grid[#Data],$DD484,57),0)</f>
        <v/>
      </c>
      <c r="BH484">
        <f>IFERROR(INDEX(PP_Grid[#Data],$DD484,58),0)</f>
        <v/>
      </c>
      <c r="BI484">
        <f>IFERROR(INDEX(PP_Grid[#Data],$DD484,59),0)</f>
        <v/>
      </c>
      <c r="BJ484">
        <f>IFERROR(INDEX(PP_Grid[#Data],$DD484,60),0)</f>
        <v/>
      </c>
      <c r="BK484">
        <f>IFERROR(INDEX(PP_Grid[#Data],$DD484,61),0)</f>
        <v/>
      </c>
      <c r="BL484">
        <f>IFERROR(INDEX(PP_Grid[#Data],$DD484,62),0)</f>
        <v/>
      </c>
      <c r="BM484">
        <f>IFERROR(INDEX(PP_Grid[#Data],$DD484,63),0)</f>
        <v/>
      </c>
      <c r="BN484">
        <f>IFERROR(INDEX(PP_Grid[#Data],$DD484,64),0)</f>
        <v/>
      </c>
      <c r="BO484">
        <f>IFERROR(INDEX(PP_Grid[#Data],$DD484,65),0)</f>
        <v/>
      </c>
      <c r="BP484">
        <f>IFERROR(INDEX(PP_Grid[#Data],$DD484,66),0)</f>
        <v/>
      </c>
      <c r="BQ484">
        <f>IFERROR(INDEX(PP_Grid[#Data],$DD484,67),0)</f>
        <v/>
      </c>
      <c r="BR484">
        <f>IFERROR(INDEX(PP_Grid[#Data],$DD484,68),0)</f>
        <v/>
      </c>
      <c r="BS484">
        <f>IFERROR(INDEX(PP_Grid[#Data],$DD484,69),0)</f>
        <v/>
      </c>
      <c r="BT484">
        <f>IFERROR(INDEX(PP_Grid[#Data],$DD484,70),0)</f>
        <v/>
      </c>
      <c r="BU484">
        <f>IFERROR(INDEX(PP_Grid[#Data],$DD484,71),0)</f>
        <v/>
      </c>
      <c r="BV484">
        <f>IFERROR(INDEX(PP_Grid[#Data],$DD484,72),0)</f>
        <v/>
      </c>
      <c r="BW484">
        <f>IFERROR(INDEX(PP_Grid[#Data],$DD484,73),0)</f>
        <v/>
      </c>
      <c r="BX484">
        <f>IFERROR(INDEX(PP_Grid[#Data],$DD484,74),0)</f>
        <v/>
      </c>
      <c r="BY484">
        <f>IFERROR(INDEX(PP_Grid[#Data],$DD484,75),0)</f>
        <v/>
      </c>
      <c r="BZ484">
        <f>IFERROR(INDEX(PP_Grid[#Data],$DD484,76),0)</f>
        <v/>
      </c>
      <c r="CA484">
        <f>IFERROR(INDEX(PP_Grid[#Data],$DD484,77),0)</f>
        <v/>
      </c>
      <c r="CB484">
        <f>IFERROR(INDEX(PP_Grid[#Data],$DD484,78),0)</f>
        <v/>
      </c>
      <c r="CC484">
        <f>IFERROR(INDEX(PP_Grid[#Data],$DD484,79),0)</f>
        <v/>
      </c>
      <c r="CD484">
        <f>IFERROR(INDEX(PP_Grid[#Data],$DD484,80),0)</f>
        <v/>
      </c>
      <c r="CE484">
        <f>IFERROR(INDEX(PP_Grid[#Data],$DD484,81),0)</f>
        <v/>
      </c>
      <c r="CF484">
        <f>IFERROR(INDEX(PP_Grid[#Data],$DD484,82),0)</f>
        <v/>
      </c>
      <c r="CG484">
        <f>IFERROR(INDEX(PP_Grid[#Data],$DD484,83),0)</f>
        <v/>
      </c>
      <c r="CH484">
        <f>IFERROR(INDEX(PP_Grid[#Data],$DD484,84),0)</f>
        <v/>
      </c>
      <c r="CI484">
        <f>IFERROR(INDEX(PP_Grid[#Data],$DD484,85),0)</f>
        <v/>
      </c>
      <c r="CJ484">
        <f>IFERROR(INDEX(PP_Grid[#Data],$DD484,86),0)</f>
        <v/>
      </c>
      <c r="CK484">
        <f>IFERROR(INDEX(PP_Grid[#Data],$DD484,87),0)</f>
        <v/>
      </c>
      <c r="CL484">
        <f>IFERROR(INDEX(PP_Grid[#Data],$DD484,88),0)</f>
        <v/>
      </c>
      <c r="CM484">
        <f>IFERROR(INDEX(PP_Grid[#Data],$DD484,89),0)</f>
        <v/>
      </c>
      <c r="CN484">
        <f>IFERROR(INDEX(PP_Grid[#Data],$DD484,90),0)</f>
        <v/>
      </c>
      <c r="CO484">
        <f>IFERROR(INDEX(PP_Grid[#Data],$DD484,91),0)</f>
        <v/>
      </c>
      <c r="CP484">
        <f>IFERROR(INDEX(PP_Grid[#Data],$DD484,92),0)</f>
        <v/>
      </c>
      <c r="CQ484">
        <f>IFERROR(INDEX(PP_Grid[#Data],$DD484,93),0)</f>
        <v/>
      </c>
      <c r="CR484">
        <f>IFERROR(INDEX(PP_Grid[#Data],$DD484,94),0)</f>
        <v/>
      </c>
      <c r="CS484">
        <f>IFERROR(INDEX(PP_Grid[#Data],$DD484,95),0)</f>
        <v/>
      </c>
      <c r="CT484">
        <f>IFERROR(INDEX(PP_Grid[#Data],$DD484,96),0)</f>
        <v/>
      </c>
      <c r="CU484">
        <f>IFERROR(INDEX(PP_Grid[#Data],$DD484,97),0)</f>
        <v/>
      </c>
      <c r="CV484">
        <f>IFERROR(INDEX(PP_Grid[#Data],$DD484,98),0)</f>
        <v/>
      </c>
      <c r="CW484">
        <f>IFERROR(INDEX(PP_Grid[#Data],$DD484,99),0)</f>
        <v/>
      </c>
      <c r="CX484">
        <f>IFERROR(INDEX(PP_Grid[#Data],$DD484,100),0)</f>
        <v/>
      </c>
      <c r="CY484">
        <f>IFERROR(INDEX(PP_Grid[#Data],$DD484,101),0)</f>
        <v/>
      </c>
      <c r="CZ484">
        <f>IFERROR(INDEX(PP_Grid[#Data],$DD484,102),0)</f>
        <v/>
      </c>
      <c r="DA484">
        <f>IFERROR(INDEX(PP_Grid[#Data],$DD484,103),0)</f>
        <v/>
      </c>
      <c r="DB484">
        <f>IFERROR(INDEX(PP_Grid[#Data],$DD484,104),0)</f>
        <v/>
      </c>
      <c r="DC484">
        <f>IFERROR(INDEX(PP_Grid[#Data],$DD484,105),0)</f>
        <v/>
      </c>
      <c r="DD484" s="7">
        <f>IFERROR(MATCH($B484,PP_Grid[Intermediate],0),99999)</f>
        <v/>
      </c>
    </row>
    <row r="485">
      <c r="B485" t="inlineStr">
        <is>
          <t>使用量(kg)</t>
        </is>
      </c>
      <c r="C485">
        <f>SUMIFS(M_BOM[RM_Qty_Per_Batch],M_BOM[Intermediate],$B484,M_BOM[Part Name],$A479)</f>
        <v/>
      </c>
      <c r="D485">
        <f>$C485*D484</f>
        <v/>
      </c>
      <c r="E485">
        <f>$C485*E484</f>
        <v/>
      </c>
      <c r="F485">
        <f>$C485*F484</f>
        <v/>
      </c>
      <c r="G485">
        <f>$C485*G484</f>
        <v/>
      </c>
      <c r="H485">
        <f>$C485*H484</f>
        <v/>
      </c>
      <c r="I485">
        <f>$C485*I484</f>
        <v/>
      </c>
      <c r="J485">
        <f>$C485*J484</f>
        <v/>
      </c>
      <c r="K485">
        <f>$C485*K484</f>
        <v/>
      </c>
      <c r="L485">
        <f>$C485*L484</f>
        <v/>
      </c>
      <c r="M485">
        <f>$C485*M484</f>
        <v/>
      </c>
      <c r="N485">
        <f>$C485*N484</f>
        <v/>
      </c>
      <c r="O485">
        <f>$C485*O484</f>
        <v/>
      </c>
      <c r="P485">
        <f>$C485*P484</f>
        <v/>
      </c>
      <c r="Q485">
        <f>$C485*Q484</f>
        <v/>
      </c>
      <c r="R485">
        <f>$C485*R484</f>
        <v/>
      </c>
      <c r="S485">
        <f>$C485*S484</f>
        <v/>
      </c>
      <c r="T485">
        <f>$C485*T484</f>
        <v/>
      </c>
      <c r="U485">
        <f>$C485*U484</f>
        <v/>
      </c>
      <c r="V485">
        <f>$C485*V484</f>
        <v/>
      </c>
      <c r="W485">
        <f>$C485*W484</f>
        <v/>
      </c>
      <c r="X485">
        <f>$C485*X484</f>
        <v/>
      </c>
      <c r="Y485">
        <f>$C485*Y484</f>
        <v/>
      </c>
      <c r="Z485">
        <f>$C485*Z484</f>
        <v/>
      </c>
      <c r="AA485">
        <f>$C485*AA484</f>
        <v/>
      </c>
      <c r="AB485">
        <f>$C485*AB484</f>
        <v/>
      </c>
      <c r="AC485">
        <f>$C485*AC484</f>
        <v/>
      </c>
      <c r="AD485">
        <f>$C485*AD484</f>
        <v/>
      </c>
      <c r="AE485">
        <f>$C485*AE484</f>
        <v/>
      </c>
      <c r="AF485">
        <f>$C485*AF484</f>
        <v/>
      </c>
      <c r="AG485">
        <f>$C485*AG484</f>
        <v/>
      </c>
      <c r="AH485">
        <f>$C485*AH484</f>
        <v/>
      </c>
      <c r="AI485">
        <f>$C485*AI484</f>
        <v/>
      </c>
      <c r="AJ485">
        <f>$C485*AJ484</f>
        <v/>
      </c>
      <c r="AK485">
        <f>$C485*AK484</f>
        <v/>
      </c>
      <c r="AL485">
        <f>$C485*AL484</f>
        <v/>
      </c>
      <c r="AM485">
        <f>$C485*AM484</f>
        <v/>
      </c>
      <c r="AN485">
        <f>$C485*AN484</f>
        <v/>
      </c>
      <c r="AO485">
        <f>$C485*AO484</f>
        <v/>
      </c>
      <c r="AP485">
        <f>$C485*AP484</f>
        <v/>
      </c>
      <c r="AQ485">
        <f>$C485*AQ484</f>
        <v/>
      </c>
      <c r="AR485">
        <f>$C485*AR484</f>
        <v/>
      </c>
      <c r="AS485">
        <f>$C485*AS484</f>
        <v/>
      </c>
      <c r="AT485">
        <f>$C485*AT484</f>
        <v/>
      </c>
      <c r="AU485">
        <f>$C485*AU484</f>
        <v/>
      </c>
      <c r="AV485">
        <f>$C485*AV484</f>
        <v/>
      </c>
      <c r="AW485">
        <f>$C485*AW484</f>
        <v/>
      </c>
      <c r="AX485">
        <f>$C485*AX484</f>
        <v/>
      </c>
      <c r="AY485">
        <f>$C485*AY484</f>
        <v/>
      </c>
      <c r="AZ485">
        <f>$C485*AZ484</f>
        <v/>
      </c>
      <c r="BA485">
        <f>$C485*BA484</f>
        <v/>
      </c>
      <c r="BB485">
        <f>$C485*BB484</f>
        <v/>
      </c>
      <c r="BC485">
        <f>$C485*BC484</f>
        <v/>
      </c>
      <c r="BD485">
        <f>$C485*BD484</f>
        <v/>
      </c>
      <c r="BE485">
        <f>$C485*BE484</f>
        <v/>
      </c>
      <c r="BF485">
        <f>$C485*BF484</f>
        <v/>
      </c>
      <c r="BG485">
        <f>$C485*BG484</f>
        <v/>
      </c>
      <c r="BH485">
        <f>$C485*BH484</f>
        <v/>
      </c>
      <c r="BI485">
        <f>$C485*BI484</f>
        <v/>
      </c>
      <c r="BJ485">
        <f>$C485*BJ484</f>
        <v/>
      </c>
      <c r="BK485">
        <f>$C485*BK484</f>
        <v/>
      </c>
      <c r="BL485">
        <f>$C485*BL484</f>
        <v/>
      </c>
      <c r="BM485">
        <f>$C485*BM484</f>
        <v/>
      </c>
      <c r="BN485">
        <f>$C485*BN484</f>
        <v/>
      </c>
      <c r="BO485">
        <f>$C485*BO484</f>
        <v/>
      </c>
      <c r="BP485">
        <f>$C485*BP484</f>
        <v/>
      </c>
      <c r="BQ485">
        <f>$C485*BQ484</f>
        <v/>
      </c>
      <c r="BR485">
        <f>$C485*BR484</f>
        <v/>
      </c>
      <c r="BS485">
        <f>$C485*BS484</f>
        <v/>
      </c>
      <c r="BT485">
        <f>$C485*BT484</f>
        <v/>
      </c>
      <c r="BU485">
        <f>$C485*BU484</f>
        <v/>
      </c>
      <c r="BV485">
        <f>$C485*BV484</f>
        <v/>
      </c>
      <c r="BW485">
        <f>$C485*BW484</f>
        <v/>
      </c>
      <c r="BX485">
        <f>$C485*BX484</f>
        <v/>
      </c>
      <c r="BY485">
        <f>$C485*BY484</f>
        <v/>
      </c>
      <c r="BZ485">
        <f>$C485*BZ484</f>
        <v/>
      </c>
      <c r="CA485">
        <f>$C485*CA484</f>
        <v/>
      </c>
      <c r="CB485">
        <f>$C485*CB484</f>
        <v/>
      </c>
      <c r="CC485">
        <f>$C485*CC484</f>
        <v/>
      </c>
      <c r="CD485">
        <f>$C485*CD484</f>
        <v/>
      </c>
      <c r="CE485">
        <f>$C485*CE484</f>
        <v/>
      </c>
      <c r="CF485">
        <f>$C485*CF484</f>
        <v/>
      </c>
      <c r="CG485">
        <f>$C485*CG484</f>
        <v/>
      </c>
      <c r="CH485">
        <f>$C485*CH484</f>
        <v/>
      </c>
      <c r="CI485">
        <f>$C485*CI484</f>
        <v/>
      </c>
      <c r="CJ485">
        <f>$C485*CJ484</f>
        <v/>
      </c>
      <c r="CK485">
        <f>$C485*CK484</f>
        <v/>
      </c>
      <c r="CL485">
        <f>$C485*CL484</f>
        <v/>
      </c>
      <c r="CM485">
        <f>$C485*CM484</f>
        <v/>
      </c>
      <c r="CN485">
        <f>$C485*CN484</f>
        <v/>
      </c>
      <c r="CO485">
        <f>$C485*CO484</f>
        <v/>
      </c>
      <c r="CP485">
        <f>$C485*CP484</f>
        <v/>
      </c>
      <c r="CQ485">
        <f>$C485*CQ484</f>
        <v/>
      </c>
      <c r="CR485">
        <f>$C485*CR484</f>
        <v/>
      </c>
      <c r="CS485">
        <f>$C485*CS484</f>
        <v/>
      </c>
      <c r="CT485">
        <f>$C485*CT484</f>
        <v/>
      </c>
      <c r="CU485">
        <f>$C485*CU484</f>
        <v/>
      </c>
      <c r="CV485">
        <f>$C485*CV484</f>
        <v/>
      </c>
      <c r="CW485">
        <f>$C485*CW484</f>
        <v/>
      </c>
      <c r="CX485">
        <f>$C485*CX484</f>
        <v/>
      </c>
      <c r="CY485">
        <f>$C485*CY484</f>
        <v/>
      </c>
      <c r="CZ485">
        <f>$C485*CZ484</f>
        <v/>
      </c>
      <c r="DA485">
        <f>$C485*DA484</f>
        <v/>
      </c>
      <c r="DB485">
        <f>$C485*DB484</f>
        <v/>
      </c>
      <c r="DC485">
        <f>$C485*DC484</f>
        <v/>
      </c>
    </row>
    <row r="486">
      <c r="B486" t="inlineStr">
        <is>
          <t>TSP-1444</t>
        </is>
      </c>
      <c r="C486" t="inlineStr">
        <is>
          <t>No. of batches</t>
        </is>
      </c>
      <c r="D486">
        <f>IFERROR(INDEX(PP_Grid[#Data],$DD486,2),0)</f>
        <v/>
      </c>
      <c r="E486">
        <f>IFERROR(INDEX(PP_Grid[#Data],$DD486,3),0)</f>
        <v/>
      </c>
      <c r="F486">
        <f>IFERROR(INDEX(PP_Grid[#Data],$DD486,4),0)</f>
        <v/>
      </c>
      <c r="G486">
        <f>IFERROR(INDEX(PP_Grid[#Data],$DD486,5),0)</f>
        <v/>
      </c>
      <c r="H486">
        <f>IFERROR(INDEX(PP_Grid[#Data],$DD486,6),0)</f>
        <v/>
      </c>
      <c r="I486">
        <f>IFERROR(INDEX(PP_Grid[#Data],$DD486,7),0)</f>
        <v/>
      </c>
      <c r="J486">
        <f>IFERROR(INDEX(PP_Grid[#Data],$DD486,8),0)</f>
        <v/>
      </c>
      <c r="K486">
        <f>IFERROR(INDEX(PP_Grid[#Data],$DD486,9),0)</f>
        <v/>
      </c>
      <c r="L486">
        <f>IFERROR(INDEX(PP_Grid[#Data],$DD486,10),0)</f>
        <v/>
      </c>
      <c r="M486">
        <f>IFERROR(INDEX(PP_Grid[#Data],$DD486,11),0)</f>
        <v/>
      </c>
      <c r="N486">
        <f>IFERROR(INDEX(PP_Grid[#Data],$DD486,12),0)</f>
        <v/>
      </c>
      <c r="O486">
        <f>IFERROR(INDEX(PP_Grid[#Data],$DD486,13),0)</f>
        <v/>
      </c>
      <c r="P486">
        <f>IFERROR(INDEX(PP_Grid[#Data],$DD486,14),0)</f>
        <v/>
      </c>
      <c r="Q486">
        <f>IFERROR(INDEX(PP_Grid[#Data],$DD486,15),0)</f>
        <v/>
      </c>
      <c r="R486">
        <f>IFERROR(INDEX(PP_Grid[#Data],$DD486,16),0)</f>
        <v/>
      </c>
      <c r="S486">
        <f>IFERROR(INDEX(PP_Grid[#Data],$DD486,17),0)</f>
        <v/>
      </c>
      <c r="T486">
        <f>IFERROR(INDEX(PP_Grid[#Data],$DD486,18),0)</f>
        <v/>
      </c>
      <c r="U486">
        <f>IFERROR(INDEX(PP_Grid[#Data],$DD486,19),0)</f>
        <v/>
      </c>
      <c r="V486">
        <f>IFERROR(INDEX(PP_Grid[#Data],$DD486,20),0)</f>
        <v/>
      </c>
      <c r="W486">
        <f>IFERROR(INDEX(PP_Grid[#Data],$DD486,21),0)</f>
        <v/>
      </c>
      <c r="X486">
        <f>IFERROR(INDEX(PP_Grid[#Data],$DD486,22),0)</f>
        <v/>
      </c>
      <c r="Y486">
        <f>IFERROR(INDEX(PP_Grid[#Data],$DD486,23),0)</f>
        <v/>
      </c>
      <c r="Z486">
        <f>IFERROR(INDEX(PP_Grid[#Data],$DD486,24),0)</f>
        <v/>
      </c>
      <c r="AA486">
        <f>IFERROR(INDEX(PP_Grid[#Data],$DD486,25),0)</f>
        <v/>
      </c>
      <c r="AB486">
        <f>IFERROR(INDEX(PP_Grid[#Data],$DD486,26),0)</f>
        <v/>
      </c>
      <c r="AC486">
        <f>IFERROR(INDEX(PP_Grid[#Data],$DD486,27),0)</f>
        <v/>
      </c>
      <c r="AD486">
        <f>IFERROR(INDEX(PP_Grid[#Data],$DD486,28),0)</f>
        <v/>
      </c>
      <c r="AE486">
        <f>IFERROR(INDEX(PP_Grid[#Data],$DD486,29),0)</f>
        <v/>
      </c>
      <c r="AF486">
        <f>IFERROR(INDEX(PP_Grid[#Data],$DD486,30),0)</f>
        <v/>
      </c>
      <c r="AG486">
        <f>IFERROR(INDEX(PP_Grid[#Data],$DD486,31),0)</f>
        <v/>
      </c>
      <c r="AH486">
        <f>IFERROR(INDEX(PP_Grid[#Data],$DD486,32),0)</f>
        <v/>
      </c>
      <c r="AI486">
        <f>IFERROR(INDEX(PP_Grid[#Data],$DD486,33),0)</f>
        <v/>
      </c>
      <c r="AJ486">
        <f>IFERROR(INDEX(PP_Grid[#Data],$DD486,34),0)</f>
        <v/>
      </c>
      <c r="AK486">
        <f>IFERROR(INDEX(PP_Grid[#Data],$DD486,35),0)</f>
        <v/>
      </c>
      <c r="AL486">
        <f>IFERROR(INDEX(PP_Grid[#Data],$DD486,36),0)</f>
        <v/>
      </c>
      <c r="AM486">
        <f>IFERROR(INDEX(PP_Grid[#Data],$DD486,37),0)</f>
        <v/>
      </c>
      <c r="AN486">
        <f>IFERROR(INDEX(PP_Grid[#Data],$DD486,38),0)</f>
        <v/>
      </c>
      <c r="AO486">
        <f>IFERROR(INDEX(PP_Grid[#Data],$DD486,39),0)</f>
        <v/>
      </c>
      <c r="AP486">
        <f>IFERROR(INDEX(PP_Grid[#Data],$DD486,40),0)</f>
        <v/>
      </c>
      <c r="AQ486">
        <f>IFERROR(INDEX(PP_Grid[#Data],$DD486,41),0)</f>
        <v/>
      </c>
      <c r="AR486">
        <f>IFERROR(INDEX(PP_Grid[#Data],$DD486,42),0)</f>
        <v/>
      </c>
      <c r="AS486">
        <f>IFERROR(INDEX(PP_Grid[#Data],$DD486,43),0)</f>
        <v/>
      </c>
      <c r="AT486">
        <f>IFERROR(INDEX(PP_Grid[#Data],$DD486,44),0)</f>
        <v/>
      </c>
      <c r="AU486">
        <f>IFERROR(INDEX(PP_Grid[#Data],$DD486,45),0)</f>
        <v/>
      </c>
      <c r="AV486">
        <f>IFERROR(INDEX(PP_Grid[#Data],$DD486,46),0)</f>
        <v/>
      </c>
      <c r="AW486">
        <f>IFERROR(INDEX(PP_Grid[#Data],$DD486,47),0)</f>
        <v/>
      </c>
      <c r="AX486">
        <f>IFERROR(INDEX(PP_Grid[#Data],$DD486,48),0)</f>
        <v/>
      </c>
      <c r="AY486">
        <f>IFERROR(INDEX(PP_Grid[#Data],$DD486,49),0)</f>
        <v/>
      </c>
      <c r="AZ486">
        <f>IFERROR(INDEX(PP_Grid[#Data],$DD486,50),0)</f>
        <v/>
      </c>
      <c r="BA486">
        <f>IFERROR(INDEX(PP_Grid[#Data],$DD486,51),0)</f>
        <v/>
      </c>
      <c r="BB486">
        <f>IFERROR(INDEX(PP_Grid[#Data],$DD486,52),0)</f>
        <v/>
      </c>
      <c r="BC486">
        <f>IFERROR(INDEX(PP_Grid[#Data],$DD486,53),0)</f>
        <v/>
      </c>
      <c r="BD486">
        <f>IFERROR(INDEX(PP_Grid[#Data],$DD486,54),0)</f>
        <v/>
      </c>
      <c r="BE486">
        <f>IFERROR(INDEX(PP_Grid[#Data],$DD486,55),0)</f>
        <v/>
      </c>
      <c r="BF486">
        <f>IFERROR(INDEX(PP_Grid[#Data],$DD486,56),0)</f>
        <v/>
      </c>
      <c r="BG486">
        <f>IFERROR(INDEX(PP_Grid[#Data],$DD486,57),0)</f>
        <v/>
      </c>
      <c r="BH486">
        <f>IFERROR(INDEX(PP_Grid[#Data],$DD486,58),0)</f>
        <v/>
      </c>
      <c r="BI486">
        <f>IFERROR(INDEX(PP_Grid[#Data],$DD486,59),0)</f>
        <v/>
      </c>
      <c r="BJ486">
        <f>IFERROR(INDEX(PP_Grid[#Data],$DD486,60),0)</f>
        <v/>
      </c>
      <c r="BK486">
        <f>IFERROR(INDEX(PP_Grid[#Data],$DD486,61),0)</f>
        <v/>
      </c>
      <c r="BL486">
        <f>IFERROR(INDEX(PP_Grid[#Data],$DD486,62),0)</f>
        <v/>
      </c>
      <c r="BM486">
        <f>IFERROR(INDEX(PP_Grid[#Data],$DD486,63),0)</f>
        <v/>
      </c>
      <c r="BN486">
        <f>IFERROR(INDEX(PP_Grid[#Data],$DD486,64),0)</f>
        <v/>
      </c>
      <c r="BO486">
        <f>IFERROR(INDEX(PP_Grid[#Data],$DD486,65),0)</f>
        <v/>
      </c>
      <c r="BP486">
        <f>IFERROR(INDEX(PP_Grid[#Data],$DD486,66),0)</f>
        <v/>
      </c>
      <c r="BQ486">
        <f>IFERROR(INDEX(PP_Grid[#Data],$DD486,67),0)</f>
        <v/>
      </c>
      <c r="BR486">
        <f>IFERROR(INDEX(PP_Grid[#Data],$DD486,68),0)</f>
        <v/>
      </c>
      <c r="BS486">
        <f>IFERROR(INDEX(PP_Grid[#Data],$DD486,69),0)</f>
        <v/>
      </c>
      <c r="BT486">
        <f>IFERROR(INDEX(PP_Grid[#Data],$DD486,70),0)</f>
        <v/>
      </c>
      <c r="BU486">
        <f>IFERROR(INDEX(PP_Grid[#Data],$DD486,71),0)</f>
        <v/>
      </c>
      <c r="BV486">
        <f>IFERROR(INDEX(PP_Grid[#Data],$DD486,72),0)</f>
        <v/>
      </c>
      <c r="BW486">
        <f>IFERROR(INDEX(PP_Grid[#Data],$DD486,73),0)</f>
        <v/>
      </c>
      <c r="BX486">
        <f>IFERROR(INDEX(PP_Grid[#Data],$DD486,74),0)</f>
        <v/>
      </c>
      <c r="BY486">
        <f>IFERROR(INDEX(PP_Grid[#Data],$DD486,75),0)</f>
        <v/>
      </c>
      <c r="BZ486">
        <f>IFERROR(INDEX(PP_Grid[#Data],$DD486,76),0)</f>
        <v/>
      </c>
      <c r="CA486">
        <f>IFERROR(INDEX(PP_Grid[#Data],$DD486,77),0)</f>
        <v/>
      </c>
      <c r="CB486">
        <f>IFERROR(INDEX(PP_Grid[#Data],$DD486,78),0)</f>
        <v/>
      </c>
      <c r="CC486">
        <f>IFERROR(INDEX(PP_Grid[#Data],$DD486,79),0)</f>
        <v/>
      </c>
      <c r="CD486">
        <f>IFERROR(INDEX(PP_Grid[#Data],$DD486,80),0)</f>
        <v/>
      </c>
      <c r="CE486">
        <f>IFERROR(INDEX(PP_Grid[#Data],$DD486,81),0)</f>
        <v/>
      </c>
      <c r="CF486">
        <f>IFERROR(INDEX(PP_Grid[#Data],$DD486,82),0)</f>
        <v/>
      </c>
      <c r="CG486">
        <f>IFERROR(INDEX(PP_Grid[#Data],$DD486,83),0)</f>
        <v/>
      </c>
      <c r="CH486">
        <f>IFERROR(INDEX(PP_Grid[#Data],$DD486,84),0)</f>
        <v/>
      </c>
      <c r="CI486">
        <f>IFERROR(INDEX(PP_Grid[#Data],$DD486,85),0)</f>
        <v/>
      </c>
      <c r="CJ486">
        <f>IFERROR(INDEX(PP_Grid[#Data],$DD486,86),0)</f>
        <v/>
      </c>
      <c r="CK486">
        <f>IFERROR(INDEX(PP_Grid[#Data],$DD486,87),0)</f>
        <v/>
      </c>
      <c r="CL486">
        <f>IFERROR(INDEX(PP_Grid[#Data],$DD486,88),0)</f>
        <v/>
      </c>
      <c r="CM486">
        <f>IFERROR(INDEX(PP_Grid[#Data],$DD486,89),0)</f>
        <v/>
      </c>
      <c r="CN486">
        <f>IFERROR(INDEX(PP_Grid[#Data],$DD486,90),0)</f>
        <v/>
      </c>
      <c r="CO486">
        <f>IFERROR(INDEX(PP_Grid[#Data],$DD486,91),0)</f>
        <v/>
      </c>
      <c r="CP486">
        <f>IFERROR(INDEX(PP_Grid[#Data],$DD486,92),0)</f>
        <v/>
      </c>
      <c r="CQ486">
        <f>IFERROR(INDEX(PP_Grid[#Data],$DD486,93),0)</f>
        <v/>
      </c>
      <c r="CR486">
        <f>IFERROR(INDEX(PP_Grid[#Data],$DD486,94),0)</f>
        <v/>
      </c>
      <c r="CS486">
        <f>IFERROR(INDEX(PP_Grid[#Data],$DD486,95),0)</f>
        <v/>
      </c>
      <c r="CT486">
        <f>IFERROR(INDEX(PP_Grid[#Data],$DD486,96),0)</f>
        <v/>
      </c>
      <c r="CU486">
        <f>IFERROR(INDEX(PP_Grid[#Data],$DD486,97),0)</f>
        <v/>
      </c>
      <c r="CV486">
        <f>IFERROR(INDEX(PP_Grid[#Data],$DD486,98),0)</f>
        <v/>
      </c>
      <c r="CW486">
        <f>IFERROR(INDEX(PP_Grid[#Data],$DD486,99),0)</f>
        <v/>
      </c>
      <c r="CX486">
        <f>IFERROR(INDEX(PP_Grid[#Data],$DD486,100),0)</f>
        <v/>
      </c>
      <c r="CY486">
        <f>IFERROR(INDEX(PP_Grid[#Data],$DD486,101),0)</f>
        <v/>
      </c>
      <c r="CZ486">
        <f>IFERROR(INDEX(PP_Grid[#Data],$DD486,102),0)</f>
        <v/>
      </c>
      <c r="DA486">
        <f>IFERROR(INDEX(PP_Grid[#Data],$DD486,103),0)</f>
        <v/>
      </c>
      <c r="DB486">
        <f>IFERROR(INDEX(PP_Grid[#Data],$DD486,104),0)</f>
        <v/>
      </c>
      <c r="DC486">
        <f>IFERROR(INDEX(PP_Grid[#Data],$DD486,105),0)</f>
        <v/>
      </c>
      <c r="DD486" s="7">
        <f>IFERROR(MATCH($B486,PP_Grid[Intermediate],0),99999)</f>
        <v/>
      </c>
    </row>
    <row r="487">
      <c r="B487" t="inlineStr">
        <is>
          <t>使用量(kg)</t>
        </is>
      </c>
      <c r="C487">
        <f>SUMIFS(M_BOM[RM_Qty_Per_Batch],M_BOM[Intermediate],$B486,M_BOM[Part Name],$A479)</f>
        <v/>
      </c>
      <c r="D487">
        <f>$C487*D486</f>
        <v/>
      </c>
      <c r="E487">
        <f>$C487*E486</f>
        <v/>
      </c>
      <c r="F487">
        <f>$C487*F486</f>
        <v/>
      </c>
      <c r="G487">
        <f>$C487*G486</f>
        <v/>
      </c>
      <c r="H487">
        <f>$C487*H486</f>
        <v/>
      </c>
      <c r="I487">
        <f>$C487*I486</f>
        <v/>
      </c>
      <c r="J487">
        <f>$C487*J486</f>
        <v/>
      </c>
      <c r="K487">
        <f>$C487*K486</f>
        <v/>
      </c>
      <c r="L487">
        <f>$C487*L486</f>
        <v/>
      </c>
      <c r="M487">
        <f>$C487*M486</f>
        <v/>
      </c>
      <c r="N487">
        <f>$C487*N486</f>
        <v/>
      </c>
      <c r="O487">
        <f>$C487*O486</f>
        <v/>
      </c>
      <c r="P487">
        <f>$C487*P486</f>
        <v/>
      </c>
      <c r="Q487">
        <f>$C487*Q486</f>
        <v/>
      </c>
      <c r="R487">
        <f>$C487*R486</f>
        <v/>
      </c>
      <c r="S487">
        <f>$C487*S486</f>
        <v/>
      </c>
      <c r="T487">
        <f>$C487*T486</f>
        <v/>
      </c>
      <c r="U487">
        <f>$C487*U486</f>
        <v/>
      </c>
      <c r="V487">
        <f>$C487*V486</f>
        <v/>
      </c>
      <c r="W487">
        <f>$C487*W486</f>
        <v/>
      </c>
      <c r="X487">
        <f>$C487*X486</f>
        <v/>
      </c>
      <c r="Y487">
        <f>$C487*Y486</f>
        <v/>
      </c>
      <c r="Z487">
        <f>$C487*Z486</f>
        <v/>
      </c>
      <c r="AA487">
        <f>$C487*AA486</f>
        <v/>
      </c>
      <c r="AB487">
        <f>$C487*AB486</f>
        <v/>
      </c>
      <c r="AC487">
        <f>$C487*AC486</f>
        <v/>
      </c>
      <c r="AD487">
        <f>$C487*AD486</f>
        <v/>
      </c>
      <c r="AE487">
        <f>$C487*AE486</f>
        <v/>
      </c>
      <c r="AF487">
        <f>$C487*AF486</f>
        <v/>
      </c>
      <c r="AG487">
        <f>$C487*AG486</f>
        <v/>
      </c>
      <c r="AH487">
        <f>$C487*AH486</f>
        <v/>
      </c>
      <c r="AI487">
        <f>$C487*AI486</f>
        <v/>
      </c>
      <c r="AJ487">
        <f>$C487*AJ486</f>
        <v/>
      </c>
      <c r="AK487">
        <f>$C487*AK486</f>
        <v/>
      </c>
      <c r="AL487">
        <f>$C487*AL486</f>
        <v/>
      </c>
      <c r="AM487">
        <f>$C487*AM486</f>
        <v/>
      </c>
      <c r="AN487">
        <f>$C487*AN486</f>
        <v/>
      </c>
      <c r="AO487">
        <f>$C487*AO486</f>
        <v/>
      </c>
      <c r="AP487">
        <f>$C487*AP486</f>
        <v/>
      </c>
      <c r="AQ487">
        <f>$C487*AQ486</f>
        <v/>
      </c>
      <c r="AR487">
        <f>$C487*AR486</f>
        <v/>
      </c>
      <c r="AS487">
        <f>$C487*AS486</f>
        <v/>
      </c>
      <c r="AT487">
        <f>$C487*AT486</f>
        <v/>
      </c>
      <c r="AU487">
        <f>$C487*AU486</f>
        <v/>
      </c>
      <c r="AV487">
        <f>$C487*AV486</f>
        <v/>
      </c>
      <c r="AW487">
        <f>$C487*AW486</f>
        <v/>
      </c>
      <c r="AX487">
        <f>$C487*AX486</f>
        <v/>
      </c>
      <c r="AY487">
        <f>$C487*AY486</f>
        <v/>
      </c>
      <c r="AZ487">
        <f>$C487*AZ486</f>
        <v/>
      </c>
      <c r="BA487">
        <f>$C487*BA486</f>
        <v/>
      </c>
      <c r="BB487">
        <f>$C487*BB486</f>
        <v/>
      </c>
      <c r="BC487">
        <f>$C487*BC486</f>
        <v/>
      </c>
      <c r="BD487">
        <f>$C487*BD486</f>
        <v/>
      </c>
      <c r="BE487">
        <f>$C487*BE486</f>
        <v/>
      </c>
      <c r="BF487">
        <f>$C487*BF486</f>
        <v/>
      </c>
      <c r="BG487">
        <f>$C487*BG486</f>
        <v/>
      </c>
      <c r="BH487">
        <f>$C487*BH486</f>
        <v/>
      </c>
      <c r="BI487">
        <f>$C487*BI486</f>
        <v/>
      </c>
      <c r="BJ487">
        <f>$C487*BJ486</f>
        <v/>
      </c>
      <c r="BK487">
        <f>$C487*BK486</f>
        <v/>
      </c>
      <c r="BL487">
        <f>$C487*BL486</f>
        <v/>
      </c>
      <c r="BM487">
        <f>$C487*BM486</f>
        <v/>
      </c>
      <c r="BN487">
        <f>$C487*BN486</f>
        <v/>
      </c>
      <c r="BO487">
        <f>$C487*BO486</f>
        <v/>
      </c>
      <c r="BP487">
        <f>$C487*BP486</f>
        <v/>
      </c>
      <c r="BQ487">
        <f>$C487*BQ486</f>
        <v/>
      </c>
      <c r="BR487">
        <f>$C487*BR486</f>
        <v/>
      </c>
      <c r="BS487">
        <f>$C487*BS486</f>
        <v/>
      </c>
      <c r="BT487">
        <f>$C487*BT486</f>
        <v/>
      </c>
      <c r="BU487">
        <f>$C487*BU486</f>
        <v/>
      </c>
      <c r="BV487">
        <f>$C487*BV486</f>
        <v/>
      </c>
      <c r="BW487">
        <f>$C487*BW486</f>
        <v/>
      </c>
      <c r="BX487">
        <f>$C487*BX486</f>
        <v/>
      </c>
      <c r="BY487">
        <f>$C487*BY486</f>
        <v/>
      </c>
      <c r="BZ487">
        <f>$C487*BZ486</f>
        <v/>
      </c>
      <c r="CA487">
        <f>$C487*CA486</f>
        <v/>
      </c>
      <c r="CB487">
        <f>$C487*CB486</f>
        <v/>
      </c>
      <c r="CC487">
        <f>$C487*CC486</f>
        <v/>
      </c>
      <c r="CD487">
        <f>$C487*CD486</f>
        <v/>
      </c>
      <c r="CE487">
        <f>$C487*CE486</f>
        <v/>
      </c>
      <c r="CF487">
        <f>$C487*CF486</f>
        <v/>
      </c>
      <c r="CG487">
        <f>$C487*CG486</f>
        <v/>
      </c>
      <c r="CH487">
        <f>$C487*CH486</f>
        <v/>
      </c>
      <c r="CI487">
        <f>$C487*CI486</f>
        <v/>
      </c>
      <c r="CJ487">
        <f>$C487*CJ486</f>
        <v/>
      </c>
      <c r="CK487">
        <f>$C487*CK486</f>
        <v/>
      </c>
      <c r="CL487">
        <f>$C487*CL486</f>
        <v/>
      </c>
      <c r="CM487">
        <f>$C487*CM486</f>
        <v/>
      </c>
      <c r="CN487">
        <f>$C487*CN486</f>
        <v/>
      </c>
      <c r="CO487">
        <f>$C487*CO486</f>
        <v/>
      </c>
      <c r="CP487">
        <f>$C487*CP486</f>
        <v/>
      </c>
      <c r="CQ487">
        <f>$C487*CQ486</f>
        <v/>
      </c>
      <c r="CR487">
        <f>$C487*CR486</f>
        <v/>
      </c>
      <c r="CS487">
        <f>$C487*CS486</f>
        <v/>
      </c>
      <c r="CT487">
        <f>$C487*CT486</f>
        <v/>
      </c>
      <c r="CU487">
        <f>$C487*CU486</f>
        <v/>
      </c>
      <c r="CV487">
        <f>$C487*CV486</f>
        <v/>
      </c>
      <c r="CW487">
        <f>$C487*CW486</f>
        <v/>
      </c>
      <c r="CX487">
        <f>$C487*CX486</f>
        <v/>
      </c>
      <c r="CY487">
        <f>$C487*CY486</f>
        <v/>
      </c>
      <c r="CZ487">
        <f>$C487*CZ486</f>
        <v/>
      </c>
      <c r="DA487">
        <f>$C487*DA486</f>
        <v/>
      </c>
      <c r="DB487">
        <f>$C487*DB486</f>
        <v/>
      </c>
      <c r="DC487">
        <f>$C487*DC486</f>
        <v/>
      </c>
    </row>
    <row r="488">
      <c r="B488" t="inlineStr">
        <is>
          <t>TSP-1445</t>
        </is>
      </c>
      <c r="C488" t="inlineStr">
        <is>
          <t>No. of batches</t>
        </is>
      </c>
      <c r="D488">
        <f>IFERROR(INDEX(PP_Grid[#Data],$DD488,2),0)</f>
        <v/>
      </c>
      <c r="E488">
        <f>IFERROR(INDEX(PP_Grid[#Data],$DD488,3),0)</f>
        <v/>
      </c>
      <c r="F488">
        <f>IFERROR(INDEX(PP_Grid[#Data],$DD488,4),0)</f>
        <v/>
      </c>
      <c r="G488">
        <f>IFERROR(INDEX(PP_Grid[#Data],$DD488,5),0)</f>
        <v/>
      </c>
      <c r="H488">
        <f>IFERROR(INDEX(PP_Grid[#Data],$DD488,6),0)</f>
        <v/>
      </c>
      <c r="I488">
        <f>IFERROR(INDEX(PP_Grid[#Data],$DD488,7),0)</f>
        <v/>
      </c>
      <c r="J488">
        <f>IFERROR(INDEX(PP_Grid[#Data],$DD488,8),0)</f>
        <v/>
      </c>
      <c r="K488">
        <f>IFERROR(INDEX(PP_Grid[#Data],$DD488,9),0)</f>
        <v/>
      </c>
      <c r="L488">
        <f>IFERROR(INDEX(PP_Grid[#Data],$DD488,10),0)</f>
        <v/>
      </c>
      <c r="M488">
        <f>IFERROR(INDEX(PP_Grid[#Data],$DD488,11),0)</f>
        <v/>
      </c>
      <c r="N488">
        <f>IFERROR(INDEX(PP_Grid[#Data],$DD488,12),0)</f>
        <v/>
      </c>
      <c r="O488">
        <f>IFERROR(INDEX(PP_Grid[#Data],$DD488,13),0)</f>
        <v/>
      </c>
      <c r="P488">
        <f>IFERROR(INDEX(PP_Grid[#Data],$DD488,14),0)</f>
        <v/>
      </c>
      <c r="Q488">
        <f>IFERROR(INDEX(PP_Grid[#Data],$DD488,15),0)</f>
        <v/>
      </c>
      <c r="R488">
        <f>IFERROR(INDEX(PP_Grid[#Data],$DD488,16),0)</f>
        <v/>
      </c>
      <c r="S488">
        <f>IFERROR(INDEX(PP_Grid[#Data],$DD488,17),0)</f>
        <v/>
      </c>
      <c r="T488">
        <f>IFERROR(INDEX(PP_Grid[#Data],$DD488,18),0)</f>
        <v/>
      </c>
      <c r="U488">
        <f>IFERROR(INDEX(PP_Grid[#Data],$DD488,19),0)</f>
        <v/>
      </c>
      <c r="V488">
        <f>IFERROR(INDEX(PP_Grid[#Data],$DD488,20),0)</f>
        <v/>
      </c>
      <c r="W488">
        <f>IFERROR(INDEX(PP_Grid[#Data],$DD488,21),0)</f>
        <v/>
      </c>
      <c r="X488">
        <f>IFERROR(INDEX(PP_Grid[#Data],$DD488,22),0)</f>
        <v/>
      </c>
      <c r="Y488">
        <f>IFERROR(INDEX(PP_Grid[#Data],$DD488,23),0)</f>
        <v/>
      </c>
      <c r="Z488">
        <f>IFERROR(INDEX(PP_Grid[#Data],$DD488,24),0)</f>
        <v/>
      </c>
      <c r="AA488">
        <f>IFERROR(INDEX(PP_Grid[#Data],$DD488,25),0)</f>
        <v/>
      </c>
      <c r="AB488">
        <f>IFERROR(INDEX(PP_Grid[#Data],$DD488,26),0)</f>
        <v/>
      </c>
      <c r="AC488">
        <f>IFERROR(INDEX(PP_Grid[#Data],$DD488,27),0)</f>
        <v/>
      </c>
      <c r="AD488">
        <f>IFERROR(INDEX(PP_Grid[#Data],$DD488,28),0)</f>
        <v/>
      </c>
      <c r="AE488">
        <f>IFERROR(INDEX(PP_Grid[#Data],$DD488,29),0)</f>
        <v/>
      </c>
      <c r="AF488">
        <f>IFERROR(INDEX(PP_Grid[#Data],$DD488,30),0)</f>
        <v/>
      </c>
      <c r="AG488">
        <f>IFERROR(INDEX(PP_Grid[#Data],$DD488,31),0)</f>
        <v/>
      </c>
      <c r="AH488">
        <f>IFERROR(INDEX(PP_Grid[#Data],$DD488,32),0)</f>
        <v/>
      </c>
      <c r="AI488">
        <f>IFERROR(INDEX(PP_Grid[#Data],$DD488,33),0)</f>
        <v/>
      </c>
      <c r="AJ488">
        <f>IFERROR(INDEX(PP_Grid[#Data],$DD488,34),0)</f>
        <v/>
      </c>
      <c r="AK488">
        <f>IFERROR(INDEX(PP_Grid[#Data],$DD488,35),0)</f>
        <v/>
      </c>
      <c r="AL488">
        <f>IFERROR(INDEX(PP_Grid[#Data],$DD488,36),0)</f>
        <v/>
      </c>
      <c r="AM488">
        <f>IFERROR(INDEX(PP_Grid[#Data],$DD488,37),0)</f>
        <v/>
      </c>
      <c r="AN488">
        <f>IFERROR(INDEX(PP_Grid[#Data],$DD488,38),0)</f>
        <v/>
      </c>
      <c r="AO488">
        <f>IFERROR(INDEX(PP_Grid[#Data],$DD488,39),0)</f>
        <v/>
      </c>
      <c r="AP488">
        <f>IFERROR(INDEX(PP_Grid[#Data],$DD488,40),0)</f>
        <v/>
      </c>
      <c r="AQ488">
        <f>IFERROR(INDEX(PP_Grid[#Data],$DD488,41),0)</f>
        <v/>
      </c>
      <c r="AR488">
        <f>IFERROR(INDEX(PP_Grid[#Data],$DD488,42),0)</f>
        <v/>
      </c>
      <c r="AS488">
        <f>IFERROR(INDEX(PP_Grid[#Data],$DD488,43),0)</f>
        <v/>
      </c>
      <c r="AT488">
        <f>IFERROR(INDEX(PP_Grid[#Data],$DD488,44),0)</f>
        <v/>
      </c>
      <c r="AU488">
        <f>IFERROR(INDEX(PP_Grid[#Data],$DD488,45),0)</f>
        <v/>
      </c>
      <c r="AV488">
        <f>IFERROR(INDEX(PP_Grid[#Data],$DD488,46),0)</f>
        <v/>
      </c>
      <c r="AW488">
        <f>IFERROR(INDEX(PP_Grid[#Data],$DD488,47),0)</f>
        <v/>
      </c>
      <c r="AX488">
        <f>IFERROR(INDEX(PP_Grid[#Data],$DD488,48),0)</f>
        <v/>
      </c>
      <c r="AY488">
        <f>IFERROR(INDEX(PP_Grid[#Data],$DD488,49),0)</f>
        <v/>
      </c>
      <c r="AZ488">
        <f>IFERROR(INDEX(PP_Grid[#Data],$DD488,50),0)</f>
        <v/>
      </c>
      <c r="BA488">
        <f>IFERROR(INDEX(PP_Grid[#Data],$DD488,51),0)</f>
        <v/>
      </c>
      <c r="BB488">
        <f>IFERROR(INDEX(PP_Grid[#Data],$DD488,52),0)</f>
        <v/>
      </c>
      <c r="BC488">
        <f>IFERROR(INDEX(PP_Grid[#Data],$DD488,53),0)</f>
        <v/>
      </c>
      <c r="BD488">
        <f>IFERROR(INDEX(PP_Grid[#Data],$DD488,54),0)</f>
        <v/>
      </c>
      <c r="BE488">
        <f>IFERROR(INDEX(PP_Grid[#Data],$DD488,55),0)</f>
        <v/>
      </c>
      <c r="BF488">
        <f>IFERROR(INDEX(PP_Grid[#Data],$DD488,56),0)</f>
        <v/>
      </c>
      <c r="BG488">
        <f>IFERROR(INDEX(PP_Grid[#Data],$DD488,57),0)</f>
        <v/>
      </c>
      <c r="BH488">
        <f>IFERROR(INDEX(PP_Grid[#Data],$DD488,58),0)</f>
        <v/>
      </c>
      <c r="BI488">
        <f>IFERROR(INDEX(PP_Grid[#Data],$DD488,59),0)</f>
        <v/>
      </c>
      <c r="BJ488">
        <f>IFERROR(INDEX(PP_Grid[#Data],$DD488,60),0)</f>
        <v/>
      </c>
      <c r="BK488">
        <f>IFERROR(INDEX(PP_Grid[#Data],$DD488,61),0)</f>
        <v/>
      </c>
      <c r="BL488">
        <f>IFERROR(INDEX(PP_Grid[#Data],$DD488,62),0)</f>
        <v/>
      </c>
      <c r="BM488">
        <f>IFERROR(INDEX(PP_Grid[#Data],$DD488,63),0)</f>
        <v/>
      </c>
      <c r="BN488">
        <f>IFERROR(INDEX(PP_Grid[#Data],$DD488,64),0)</f>
        <v/>
      </c>
      <c r="BO488">
        <f>IFERROR(INDEX(PP_Grid[#Data],$DD488,65),0)</f>
        <v/>
      </c>
      <c r="BP488">
        <f>IFERROR(INDEX(PP_Grid[#Data],$DD488,66),0)</f>
        <v/>
      </c>
      <c r="BQ488">
        <f>IFERROR(INDEX(PP_Grid[#Data],$DD488,67),0)</f>
        <v/>
      </c>
      <c r="BR488">
        <f>IFERROR(INDEX(PP_Grid[#Data],$DD488,68),0)</f>
        <v/>
      </c>
      <c r="BS488">
        <f>IFERROR(INDEX(PP_Grid[#Data],$DD488,69),0)</f>
        <v/>
      </c>
      <c r="BT488">
        <f>IFERROR(INDEX(PP_Grid[#Data],$DD488,70),0)</f>
        <v/>
      </c>
      <c r="BU488">
        <f>IFERROR(INDEX(PP_Grid[#Data],$DD488,71),0)</f>
        <v/>
      </c>
      <c r="BV488">
        <f>IFERROR(INDEX(PP_Grid[#Data],$DD488,72),0)</f>
        <v/>
      </c>
      <c r="BW488">
        <f>IFERROR(INDEX(PP_Grid[#Data],$DD488,73),0)</f>
        <v/>
      </c>
      <c r="BX488">
        <f>IFERROR(INDEX(PP_Grid[#Data],$DD488,74),0)</f>
        <v/>
      </c>
      <c r="BY488">
        <f>IFERROR(INDEX(PP_Grid[#Data],$DD488,75),0)</f>
        <v/>
      </c>
      <c r="BZ488">
        <f>IFERROR(INDEX(PP_Grid[#Data],$DD488,76),0)</f>
        <v/>
      </c>
      <c r="CA488">
        <f>IFERROR(INDEX(PP_Grid[#Data],$DD488,77),0)</f>
        <v/>
      </c>
      <c r="CB488">
        <f>IFERROR(INDEX(PP_Grid[#Data],$DD488,78),0)</f>
        <v/>
      </c>
      <c r="CC488">
        <f>IFERROR(INDEX(PP_Grid[#Data],$DD488,79),0)</f>
        <v/>
      </c>
      <c r="CD488">
        <f>IFERROR(INDEX(PP_Grid[#Data],$DD488,80),0)</f>
        <v/>
      </c>
      <c r="CE488">
        <f>IFERROR(INDEX(PP_Grid[#Data],$DD488,81),0)</f>
        <v/>
      </c>
      <c r="CF488">
        <f>IFERROR(INDEX(PP_Grid[#Data],$DD488,82),0)</f>
        <v/>
      </c>
      <c r="CG488">
        <f>IFERROR(INDEX(PP_Grid[#Data],$DD488,83),0)</f>
        <v/>
      </c>
      <c r="CH488">
        <f>IFERROR(INDEX(PP_Grid[#Data],$DD488,84),0)</f>
        <v/>
      </c>
      <c r="CI488">
        <f>IFERROR(INDEX(PP_Grid[#Data],$DD488,85),0)</f>
        <v/>
      </c>
      <c r="CJ488">
        <f>IFERROR(INDEX(PP_Grid[#Data],$DD488,86),0)</f>
        <v/>
      </c>
      <c r="CK488">
        <f>IFERROR(INDEX(PP_Grid[#Data],$DD488,87),0)</f>
        <v/>
      </c>
      <c r="CL488">
        <f>IFERROR(INDEX(PP_Grid[#Data],$DD488,88),0)</f>
        <v/>
      </c>
      <c r="CM488">
        <f>IFERROR(INDEX(PP_Grid[#Data],$DD488,89),0)</f>
        <v/>
      </c>
      <c r="CN488">
        <f>IFERROR(INDEX(PP_Grid[#Data],$DD488,90),0)</f>
        <v/>
      </c>
      <c r="CO488">
        <f>IFERROR(INDEX(PP_Grid[#Data],$DD488,91),0)</f>
        <v/>
      </c>
      <c r="CP488">
        <f>IFERROR(INDEX(PP_Grid[#Data],$DD488,92),0)</f>
        <v/>
      </c>
      <c r="CQ488">
        <f>IFERROR(INDEX(PP_Grid[#Data],$DD488,93),0)</f>
        <v/>
      </c>
      <c r="CR488">
        <f>IFERROR(INDEX(PP_Grid[#Data],$DD488,94),0)</f>
        <v/>
      </c>
      <c r="CS488">
        <f>IFERROR(INDEX(PP_Grid[#Data],$DD488,95),0)</f>
        <v/>
      </c>
      <c r="CT488">
        <f>IFERROR(INDEX(PP_Grid[#Data],$DD488,96),0)</f>
        <v/>
      </c>
      <c r="CU488">
        <f>IFERROR(INDEX(PP_Grid[#Data],$DD488,97),0)</f>
        <v/>
      </c>
      <c r="CV488">
        <f>IFERROR(INDEX(PP_Grid[#Data],$DD488,98),0)</f>
        <v/>
      </c>
      <c r="CW488">
        <f>IFERROR(INDEX(PP_Grid[#Data],$DD488,99),0)</f>
        <v/>
      </c>
      <c r="CX488">
        <f>IFERROR(INDEX(PP_Grid[#Data],$DD488,100),0)</f>
        <v/>
      </c>
      <c r="CY488">
        <f>IFERROR(INDEX(PP_Grid[#Data],$DD488,101),0)</f>
        <v/>
      </c>
      <c r="CZ488">
        <f>IFERROR(INDEX(PP_Grid[#Data],$DD488,102),0)</f>
        <v/>
      </c>
      <c r="DA488">
        <f>IFERROR(INDEX(PP_Grid[#Data],$DD488,103),0)</f>
        <v/>
      </c>
      <c r="DB488">
        <f>IFERROR(INDEX(PP_Grid[#Data],$DD488,104),0)</f>
        <v/>
      </c>
      <c r="DC488">
        <f>IFERROR(INDEX(PP_Grid[#Data],$DD488,105),0)</f>
        <v/>
      </c>
      <c r="DD488" s="7">
        <f>IFERROR(MATCH($B488,PP_Grid[Intermediate],0),99999)</f>
        <v/>
      </c>
    </row>
    <row r="489">
      <c r="B489" t="inlineStr">
        <is>
          <t>使用量(kg)</t>
        </is>
      </c>
      <c r="C489">
        <f>SUMIFS(M_BOM[RM_Qty_Per_Batch],M_BOM[Intermediate],$B488,M_BOM[Part Name],$A479)</f>
        <v/>
      </c>
      <c r="D489">
        <f>$C489*D488</f>
        <v/>
      </c>
      <c r="E489">
        <f>$C489*E488</f>
        <v/>
      </c>
      <c r="F489">
        <f>$C489*F488</f>
        <v/>
      </c>
      <c r="G489">
        <f>$C489*G488</f>
        <v/>
      </c>
      <c r="H489">
        <f>$C489*H488</f>
        <v/>
      </c>
      <c r="I489">
        <f>$C489*I488</f>
        <v/>
      </c>
      <c r="J489">
        <f>$C489*J488</f>
        <v/>
      </c>
      <c r="K489">
        <f>$C489*K488</f>
        <v/>
      </c>
      <c r="L489">
        <f>$C489*L488</f>
        <v/>
      </c>
      <c r="M489">
        <f>$C489*M488</f>
        <v/>
      </c>
      <c r="N489">
        <f>$C489*N488</f>
        <v/>
      </c>
      <c r="O489">
        <f>$C489*O488</f>
        <v/>
      </c>
      <c r="P489">
        <f>$C489*P488</f>
        <v/>
      </c>
      <c r="Q489">
        <f>$C489*Q488</f>
        <v/>
      </c>
      <c r="R489">
        <f>$C489*R488</f>
        <v/>
      </c>
      <c r="S489">
        <f>$C489*S488</f>
        <v/>
      </c>
      <c r="T489">
        <f>$C489*T488</f>
        <v/>
      </c>
      <c r="U489">
        <f>$C489*U488</f>
        <v/>
      </c>
      <c r="V489">
        <f>$C489*V488</f>
        <v/>
      </c>
      <c r="W489">
        <f>$C489*W488</f>
        <v/>
      </c>
      <c r="X489">
        <f>$C489*X488</f>
        <v/>
      </c>
      <c r="Y489">
        <f>$C489*Y488</f>
        <v/>
      </c>
      <c r="Z489">
        <f>$C489*Z488</f>
        <v/>
      </c>
      <c r="AA489">
        <f>$C489*AA488</f>
        <v/>
      </c>
      <c r="AB489">
        <f>$C489*AB488</f>
        <v/>
      </c>
      <c r="AC489">
        <f>$C489*AC488</f>
        <v/>
      </c>
      <c r="AD489">
        <f>$C489*AD488</f>
        <v/>
      </c>
      <c r="AE489">
        <f>$C489*AE488</f>
        <v/>
      </c>
      <c r="AF489">
        <f>$C489*AF488</f>
        <v/>
      </c>
      <c r="AG489">
        <f>$C489*AG488</f>
        <v/>
      </c>
      <c r="AH489">
        <f>$C489*AH488</f>
        <v/>
      </c>
      <c r="AI489">
        <f>$C489*AI488</f>
        <v/>
      </c>
      <c r="AJ489">
        <f>$C489*AJ488</f>
        <v/>
      </c>
      <c r="AK489">
        <f>$C489*AK488</f>
        <v/>
      </c>
      <c r="AL489">
        <f>$C489*AL488</f>
        <v/>
      </c>
      <c r="AM489">
        <f>$C489*AM488</f>
        <v/>
      </c>
      <c r="AN489">
        <f>$C489*AN488</f>
        <v/>
      </c>
      <c r="AO489">
        <f>$C489*AO488</f>
        <v/>
      </c>
      <c r="AP489">
        <f>$C489*AP488</f>
        <v/>
      </c>
      <c r="AQ489">
        <f>$C489*AQ488</f>
        <v/>
      </c>
      <c r="AR489">
        <f>$C489*AR488</f>
        <v/>
      </c>
      <c r="AS489">
        <f>$C489*AS488</f>
        <v/>
      </c>
      <c r="AT489">
        <f>$C489*AT488</f>
        <v/>
      </c>
      <c r="AU489">
        <f>$C489*AU488</f>
        <v/>
      </c>
      <c r="AV489">
        <f>$C489*AV488</f>
        <v/>
      </c>
      <c r="AW489">
        <f>$C489*AW488</f>
        <v/>
      </c>
      <c r="AX489">
        <f>$C489*AX488</f>
        <v/>
      </c>
      <c r="AY489">
        <f>$C489*AY488</f>
        <v/>
      </c>
      <c r="AZ489">
        <f>$C489*AZ488</f>
        <v/>
      </c>
      <c r="BA489">
        <f>$C489*BA488</f>
        <v/>
      </c>
      <c r="BB489">
        <f>$C489*BB488</f>
        <v/>
      </c>
      <c r="BC489">
        <f>$C489*BC488</f>
        <v/>
      </c>
      <c r="BD489">
        <f>$C489*BD488</f>
        <v/>
      </c>
      <c r="BE489">
        <f>$C489*BE488</f>
        <v/>
      </c>
      <c r="BF489">
        <f>$C489*BF488</f>
        <v/>
      </c>
      <c r="BG489">
        <f>$C489*BG488</f>
        <v/>
      </c>
      <c r="BH489">
        <f>$C489*BH488</f>
        <v/>
      </c>
      <c r="BI489">
        <f>$C489*BI488</f>
        <v/>
      </c>
      <c r="BJ489">
        <f>$C489*BJ488</f>
        <v/>
      </c>
      <c r="BK489">
        <f>$C489*BK488</f>
        <v/>
      </c>
      <c r="BL489">
        <f>$C489*BL488</f>
        <v/>
      </c>
      <c r="BM489">
        <f>$C489*BM488</f>
        <v/>
      </c>
      <c r="BN489">
        <f>$C489*BN488</f>
        <v/>
      </c>
      <c r="BO489">
        <f>$C489*BO488</f>
        <v/>
      </c>
      <c r="BP489">
        <f>$C489*BP488</f>
        <v/>
      </c>
      <c r="BQ489">
        <f>$C489*BQ488</f>
        <v/>
      </c>
      <c r="BR489">
        <f>$C489*BR488</f>
        <v/>
      </c>
      <c r="BS489">
        <f>$C489*BS488</f>
        <v/>
      </c>
      <c r="BT489">
        <f>$C489*BT488</f>
        <v/>
      </c>
      <c r="BU489">
        <f>$C489*BU488</f>
        <v/>
      </c>
      <c r="BV489">
        <f>$C489*BV488</f>
        <v/>
      </c>
      <c r="BW489">
        <f>$C489*BW488</f>
        <v/>
      </c>
      <c r="BX489">
        <f>$C489*BX488</f>
        <v/>
      </c>
      <c r="BY489">
        <f>$C489*BY488</f>
        <v/>
      </c>
      <c r="BZ489">
        <f>$C489*BZ488</f>
        <v/>
      </c>
      <c r="CA489">
        <f>$C489*CA488</f>
        <v/>
      </c>
      <c r="CB489">
        <f>$C489*CB488</f>
        <v/>
      </c>
      <c r="CC489">
        <f>$C489*CC488</f>
        <v/>
      </c>
      <c r="CD489">
        <f>$C489*CD488</f>
        <v/>
      </c>
      <c r="CE489">
        <f>$C489*CE488</f>
        <v/>
      </c>
      <c r="CF489">
        <f>$C489*CF488</f>
        <v/>
      </c>
      <c r="CG489">
        <f>$C489*CG488</f>
        <v/>
      </c>
      <c r="CH489">
        <f>$C489*CH488</f>
        <v/>
      </c>
      <c r="CI489">
        <f>$C489*CI488</f>
        <v/>
      </c>
      <c r="CJ489">
        <f>$C489*CJ488</f>
        <v/>
      </c>
      <c r="CK489">
        <f>$C489*CK488</f>
        <v/>
      </c>
      <c r="CL489">
        <f>$C489*CL488</f>
        <v/>
      </c>
      <c r="CM489">
        <f>$C489*CM488</f>
        <v/>
      </c>
      <c r="CN489">
        <f>$C489*CN488</f>
        <v/>
      </c>
      <c r="CO489">
        <f>$C489*CO488</f>
        <v/>
      </c>
      <c r="CP489">
        <f>$C489*CP488</f>
        <v/>
      </c>
      <c r="CQ489">
        <f>$C489*CQ488</f>
        <v/>
      </c>
      <c r="CR489">
        <f>$C489*CR488</f>
        <v/>
      </c>
      <c r="CS489">
        <f>$C489*CS488</f>
        <v/>
      </c>
      <c r="CT489">
        <f>$C489*CT488</f>
        <v/>
      </c>
      <c r="CU489">
        <f>$C489*CU488</f>
        <v/>
      </c>
      <c r="CV489">
        <f>$C489*CV488</f>
        <v/>
      </c>
      <c r="CW489">
        <f>$C489*CW488</f>
        <v/>
      </c>
      <c r="CX489">
        <f>$C489*CX488</f>
        <v/>
      </c>
      <c r="CY489">
        <f>$C489*CY488</f>
        <v/>
      </c>
      <c r="CZ489">
        <f>$C489*CZ488</f>
        <v/>
      </c>
      <c r="DA489">
        <f>$C489*DA488</f>
        <v/>
      </c>
      <c r="DB489">
        <f>$C489*DB488</f>
        <v/>
      </c>
      <c r="DC489">
        <f>$C489*DC488</f>
        <v/>
      </c>
    </row>
    <row r="490">
      <c r="B490" t="inlineStr">
        <is>
          <t>TSP-1446</t>
        </is>
      </c>
      <c r="C490" t="inlineStr">
        <is>
          <t>No. of batches</t>
        </is>
      </c>
      <c r="D490">
        <f>IFERROR(INDEX(PP_Grid[#Data],$DD490,2),0)</f>
        <v/>
      </c>
      <c r="E490">
        <f>IFERROR(INDEX(PP_Grid[#Data],$DD490,3),0)</f>
        <v/>
      </c>
      <c r="F490">
        <f>IFERROR(INDEX(PP_Grid[#Data],$DD490,4),0)</f>
        <v/>
      </c>
      <c r="G490">
        <f>IFERROR(INDEX(PP_Grid[#Data],$DD490,5),0)</f>
        <v/>
      </c>
      <c r="H490">
        <f>IFERROR(INDEX(PP_Grid[#Data],$DD490,6),0)</f>
        <v/>
      </c>
      <c r="I490">
        <f>IFERROR(INDEX(PP_Grid[#Data],$DD490,7),0)</f>
        <v/>
      </c>
      <c r="J490">
        <f>IFERROR(INDEX(PP_Grid[#Data],$DD490,8),0)</f>
        <v/>
      </c>
      <c r="K490">
        <f>IFERROR(INDEX(PP_Grid[#Data],$DD490,9),0)</f>
        <v/>
      </c>
      <c r="L490">
        <f>IFERROR(INDEX(PP_Grid[#Data],$DD490,10),0)</f>
        <v/>
      </c>
      <c r="M490">
        <f>IFERROR(INDEX(PP_Grid[#Data],$DD490,11),0)</f>
        <v/>
      </c>
      <c r="N490">
        <f>IFERROR(INDEX(PP_Grid[#Data],$DD490,12),0)</f>
        <v/>
      </c>
      <c r="O490">
        <f>IFERROR(INDEX(PP_Grid[#Data],$DD490,13),0)</f>
        <v/>
      </c>
      <c r="P490">
        <f>IFERROR(INDEX(PP_Grid[#Data],$DD490,14),0)</f>
        <v/>
      </c>
      <c r="Q490">
        <f>IFERROR(INDEX(PP_Grid[#Data],$DD490,15),0)</f>
        <v/>
      </c>
      <c r="R490">
        <f>IFERROR(INDEX(PP_Grid[#Data],$DD490,16),0)</f>
        <v/>
      </c>
      <c r="S490">
        <f>IFERROR(INDEX(PP_Grid[#Data],$DD490,17),0)</f>
        <v/>
      </c>
      <c r="T490">
        <f>IFERROR(INDEX(PP_Grid[#Data],$DD490,18),0)</f>
        <v/>
      </c>
      <c r="U490">
        <f>IFERROR(INDEX(PP_Grid[#Data],$DD490,19),0)</f>
        <v/>
      </c>
      <c r="V490">
        <f>IFERROR(INDEX(PP_Grid[#Data],$DD490,20),0)</f>
        <v/>
      </c>
      <c r="W490">
        <f>IFERROR(INDEX(PP_Grid[#Data],$DD490,21),0)</f>
        <v/>
      </c>
      <c r="X490">
        <f>IFERROR(INDEX(PP_Grid[#Data],$DD490,22),0)</f>
        <v/>
      </c>
      <c r="Y490">
        <f>IFERROR(INDEX(PP_Grid[#Data],$DD490,23),0)</f>
        <v/>
      </c>
      <c r="Z490">
        <f>IFERROR(INDEX(PP_Grid[#Data],$DD490,24),0)</f>
        <v/>
      </c>
      <c r="AA490">
        <f>IFERROR(INDEX(PP_Grid[#Data],$DD490,25),0)</f>
        <v/>
      </c>
      <c r="AB490">
        <f>IFERROR(INDEX(PP_Grid[#Data],$DD490,26),0)</f>
        <v/>
      </c>
      <c r="AC490">
        <f>IFERROR(INDEX(PP_Grid[#Data],$DD490,27),0)</f>
        <v/>
      </c>
      <c r="AD490">
        <f>IFERROR(INDEX(PP_Grid[#Data],$DD490,28),0)</f>
        <v/>
      </c>
      <c r="AE490">
        <f>IFERROR(INDEX(PP_Grid[#Data],$DD490,29),0)</f>
        <v/>
      </c>
      <c r="AF490">
        <f>IFERROR(INDEX(PP_Grid[#Data],$DD490,30),0)</f>
        <v/>
      </c>
      <c r="AG490">
        <f>IFERROR(INDEX(PP_Grid[#Data],$DD490,31),0)</f>
        <v/>
      </c>
      <c r="AH490">
        <f>IFERROR(INDEX(PP_Grid[#Data],$DD490,32),0)</f>
        <v/>
      </c>
      <c r="AI490">
        <f>IFERROR(INDEX(PP_Grid[#Data],$DD490,33),0)</f>
        <v/>
      </c>
      <c r="AJ490">
        <f>IFERROR(INDEX(PP_Grid[#Data],$DD490,34),0)</f>
        <v/>
      </c>
      <c r="AK490">
        <f>IFERROR(INDEX(PP_Grid[#Data],$DD490,35),0)</f>
        <v/>
      </c>
      <c r="AL490">
        <f>IFERROR(INDEX(PP_Grid[#Data],$DD490,36),0)</f>
        <v/>
      </c>
      <c r="AM490">
        <f>IFERROR(INDEX(PP_Grid[#Data],$DD490,37),0)</f>
        <v/>
      </c>
      <c r="AN490">
        <f>IFERROR(INDEX(PP_Grid[#Data],$DD490,38),0)</f>
        <v/>
      </c>
      <c r="AO490">
        <f>IFERROR(INDEX(PP_Grid[#Data],$DD490,39),0)</f>
        <v/>
      </c>
      <c r="AP490">
        <f>IFERROR(INDEX(PP_Grid[#Data],$DD490,40),0)</f>
        <v/>
      </c>
      <c r="AQ490">
        <f>IFERROR(INDEX(PP_Grid[#Data],$DD490,41),0)</f>
        <v/>
      </c>
      <c r="AR490">
        <f>IFERROR(INDEX(PP_Grid[#Data],$DD490,42),0)</f>
        <v/>
      </c>
      <c r="AS490">
        <f>IFERROR(INDEX(PP_Grid[#Data],$DD490,43),0)</f>
        <v/>
      </c>
      <c r="AT490">
        <f>IFERROR(INDEX(PP_Grid[#Data],$DD490,44),0)</f>
        <v/>
      </c>
      <c r="AU490">
        <f>IFERROR(INDEX(PP_Grid[#Data],$DD490,45),0)</f>
        <v/>
      </c>
      <c r="AV490">
        <f>IFERROR(INDEX(PP_Grid[#Data],$DD490,46),0)</f>
        <v/>
      </c>
      <c r="AW490">
        <f>IFERROR(INDEX(PP_Grid[#Data],$DD490,47),0)</f>
        <v/>
      </c>
      <c r="AX490">
        <f>IFERROR(INDEX(PP_Grid[#Data],$DD490,48),0)</f>
        <v/>
      </c>
      <c r="AY490">
        <f>IFERROR(INDEX(PP_Grid[#Data],$DD490,49),0)</f>
        <v/>
      </c>
      <c r="AZ490">
        <f>IFERROR(INDEX(PP_Grid[#Data],$DD490,50),0)</f>
        <v/>
      </c>
      <c r="BA490">
        <f>IFERROR(INDEX(PP_Grid[#Data],$DD490,51),0)</f>
        <v/>
      </c>
      <c r="BB490">
        <f>IFERROR(INDEX(PP_Grid[#Data],$DD490,52),0)</f>
        <v/>
      </c>
      <c r="BC490">
        <f>IFERROR(INDEX(PP_Grid[#Data],$DD490,53),0)</f>
        <v/>
      </c>
      <c r="BD490">
        <f>IFERROR(INDEX(PP_Grid[#Data],$DD490,54),0)</f>
        <v/>
      </c>
      <c r="BE490">
        <f>IFERROR(INDEX(PP_Grid[#Data],$DD490,55),0)</f>
        <v/>
      </c>
      <c r="BF490">
        <f>IFERROR(INDEX(PP_Grid[#Data],$DD490,56),0)</f>
        <v/>
      </c>
      <c r="BG490">
        <f>IFERROR(INDEX(PP_Grid[#Data],$DD490,57),0)</f>
        <v/>
      </c>
      <c r="BH490">
        <f>IFERROR(INDEX(PP_Grid[#Data],$DD490,58),0)</f>
        <v/>
      </c>
      <c r="BI490">
        <f>IFERROR(INDEX(PP_Grid[#Data],$DD490,59),0)</f>
        <v/>
      </c>
      <c r="BJ490">
        <f>IFERROR(INDEX(PP_Grid[#Data],$DD490,60),0)</f>
        <v/>
      </c>
      <c r="BK490">
        <f>IFERROR(INDEX(PP_Grid[#Data],$DD490,61),0)</f>
        <v/>
      </c>
      <c r="BL490">
        <f>IFERROR(INDEX(PP_Grid[#Data],$DD490,62),0)</f>
        <v/>
      </c>
      <c r="BM490">
        <f>IFERROR(INDEX(PP_Grid[#Data],$DD490,63),0)</f>
        <v/>
      </c>
      <c r="BN490">
        <f>IFERROR(INDEX(PP_Grid[#Data],$DD490,64),0)</f>
        <v/>
      </c>
      <c r="BO490">
        <f>IFERROR(INDEX(PP_Grid[#Data],$DD490,65),0)</f>
        <v/>
      </c>
      <c r="BP490">
        <f>IFERROR(INDEX(PP_Grid[#Data],$DD490,66),0)</f>
        <v/>
      </c>
      <c r="BQ490">
        <f>IFERROR(INDEX(PP_Grid[#Data],$DD490,67),0)</f>
        <v/>
      </c>
      <c r="BR490">
        <f>IFERROR(INDEX(PP_Grid[#Data],$DD490,68),0)</f>
        <v/>
      </c>
      <c r="BS490">
        <f>IFERROR(INDEX(PP_Grid[#Data],$DD490,69),0)</f>
        <v/>
      </c>
      <c r="BT490">
        <f>IFERROR(INDEX(PP_Grid[#Data],$DD490,70),0)</f>
        <v/>
      </c>
      <c r="BU490">
        <f>IFERROR(INDEX(PP_Grid[#Data],$DD490,71),0)</f>
        <v/>
      </c>
      <c r="BV490">
        <f>IFERROR(INDEX(PP_Grid[#Data],$DD490,72),0)</f>
        <v/>
      </c>
      <c r="BW490">
        <f>IFERROR(INDEX(PP_Grid[#Data],$DD490,73),0)</f>
        <v/>
      </c>
      <c r="BX490">
        <f>IFERROR(INDEX(PP_Grid[#Data],$DD490,74),0)</f>
        <v/>
      </c>
      <c r="BY490">
        <f>IFERROR(INDEX(PP_Grid[#Data],$DD490,75),0)</f>
        <v/>
      </c>
      <c r="BZ490">
        <f>IFERROR(INDEX(PP_Grid[#Data],$DD490,76),0)</f>
        <v/>
      </c>
      <c r="CA490">
        <f>IFERROR(INDEX(PP_Grid[#Data],$DD490,77),0)</f>
        <v/>
      </c>
      <c r="CB490">
        <f>IFERROR(INDEX(PP_Grid[#Data],$DD490,78),0)</f>
        <v/>
      </c>
      <c r="CC490">
        <f>IFERROR(INDEX(PP_Grid[#Data],$DD490,79),0)</f>
        <v/>
      </c>
      <c r="CD490">
        <f>IFERROR(INDEX(PP_Grid[#Data],$DD490,80),0)</f>
        <v/>
      </c>
      <c r="CE490">
        <f>IFERROR(INDEX(PP_Grid[#Data],$DD490,81),0)</f>
        <v/>
      </c>
      <c r="CF490">
        <f>IFERROR(INDEX(PP_Grid[#Data],$DD490,82),0)</f>
        <v/>
      </c>
      <c r="CG490">
        <f>IFERROR(INDEX(PP_Grid[#Data],$DD490,83),0)</f>
        <v/>
      </c>
      <c r="CH490">
        <f>IFERROR(INDEX(PP_Grid[#Data],$DD490,84),0)</f>
        <v/>
      </c>
      <c r="CI490">
        <f>IFERROR(INDEX(PP_Grid[#Data],$DD490,85),0)</f>
        <v/>
      </c>
      <c r="CJ490">
        <f>IFERROR(INDEX(PP_Grid[#Data],$DD490,86),0)</f>
        <v/>
      </c>
      <c r="CK490">
        <f>IFERROR(INDEX(PP_Grid[#Data],$DD490,87),0)</f>
        <v/>
      </c>
      <c r="CL490">
        <f>IFERROR(INDEX(PP_Grid[#Data],$DD490,88),0)</f>
        <v/>
      </c>
      <c r="CM490">
        <f>IFERROR(INDEX(PP_Grid[#Data],$DD490,89),0)</f>
        <v/>
      </c>
      <c r="CN490">
        <f>IFERROR(INDEX(PP_Grid[#Data],$DD490,90),0)</f>
        <v/>
      </c>
      <c r="CO490">
        <f>IFERROR(INDEX(PP_Grid[#Data],$DD490,91),0)</f>
        <v/>
      </c>
      <c r="CP490">
        <f>IFERROR(INDEX(PP_Grid[#Data],$DD490,92),0)</f>
        <v/>
      </c>
      <c r="CQ490">
        <f>IFERROR(INDEX(PP_Grid[#Data],$DD490,93),0)</f>
        <v/>
      </c>
      <c r="CR490">
        <f>IFERROR(INDEX(PP_Grid[#Data],$DD490,94),0)</f>
        <v/>
      </c>
      <c r="CS490">
        <f>IFERROR(INDEX(PP_Grid[#Data],$DD490,95),0)</f>
        <v/>
      </c>
      <c r="CT490">
        <f>IFERROR(INDEX(PP_Grid[#Data],$DD490,96),0)</f>
        <v/>
      </c>
      <c r="CU490">
        <f>IFERROR(INDEX(PP_Grid[#Data],$DD490,97),0)</f>
        <v/>
      </c>
      <c r="CV490">
        <f>IFERROR(INDEX(PP_Grid[#Data],$DD490,98),0)</f>
        <v/>
      </c>
      <c r="CW490">
        <f>IFERROR(INDEX(PP_Grid[#Data],$DD490,99),0)</f>
        <v/>
      </c>
      <c r="CX490">
        <f>IFERROR(INDEX(PP_Grid[#Data],$DD490,100),0)</f>
        <v/>
      </c>
      <c r="CY490">
        <f>IFERROR(INDEX(PP_Grid[#Data],$DD490,101),0)</f>
        <v/>
      </c>
      <c r="CZ490">
        <f>IFERROR(INDEX(PP_Grid[#Data],$DD490,102),0)</f>
        <v/>
      </c>
      <c r="DA490">
        <f>IFERROR(INDEX(PP_Grid[#Data],$DD490,103),0)</f>
        <v/>
      </c>
      <c r="DB490">
        <f>IFERROR(INDEX(PP_Grid[#Data],$DD490,104),0)</f>
        <v/>
      </c>
      <c r="DC490">
        <f>IFERROR(INDEX(PP_Grid[#Data],$DD490,105),0)</f>
        <v/>
      </c>
      <c r="DD490" s="7">
        <f>IFERROR(MATCH($B490,PP_Grid[Intermediate],0),99999)</f>
        <v/>
      </c>
    </row>
    <row r="491">
      <c r="B491" t="inlineStr">
        <is>
          <t>使用量(kg)</t>
        </is>
      </c>
      <c r="C491">
        <f>SUMIFS(M_BOM[RM_Qty_Per_Batch],M_BOM[Intermediate],$B490,M_BOM[Part Name],$A479)</f>
        <v/>
      </c>
      <c r="D491">
        <f>$C491*D490</f>
        <v/>
      </c>
      <c r="E491">
        <f>$C491*E490</f>
        <v/>
      </c>
      <c r="F491">
        <f>$C491*F490</f>
        <v/>
      </c>
      <c r="G491">
        <f>$C491*G490</f>
        <v/>
      </c>
      <c r="H491">
        <f>$C491*H490</f>
        <v/>
      </c>
      <c r="I491">
        <f>$C491*I490</f>
        <v/>
      </c>
      <c r="J491">
        <f>$C491*J490</f>
        <v/>
      </c>
      <c r="K491">
        <f>$C491*K490</f>
        <v/>
      </c>
      <c r="L491">
        <f>$C491*L490</f>
        <v/>
      </c>
      <c r="M491">
        <f>$C491*M490</f>
        <v/>
      </c>
      <c r="N491">
        <f>$C491*N490</f>
        <v/>
      </c>
      <c r="O491">
        <f>$C491*O490</f>
        <v/>
      </c>
      <c r="P491">
        <f>$C491*P490</f>
        <v/>
      </c>
      <c r="Q491">
        <f>$C491*Q490</f>
        <v/>
      </c>
      <c r="R491">
        <f>$C491*R490</f>
        <v/>
      </c>
      <c r="S491">
        <f>$C491*S490</f>
        <v/>
      </c>
      <c r="T491">
        <f>$C491*T490</f>
        <v/>
      </c>
      <c r="U491">
        <f>$C491*U490</f>
        <v/>
      </c>
      <c r="V491">
        <f>$C491*V490</f>
        <v/>
      </c>
      <c r="W491">
        <f>$C491*W490</f>
        <v/>
      </c>
      <c r="X491">
        <f>$C491*X490</f>
        <v/>
      </c>
      <c r="Y491">
        <f>$C491*Y490</f>
        <v/>
      </c>
      <c r="Z491">
        <f>$C491*Z490</f>
        <v/>
      </c>
      <c r="AA491">
        <f>$C491*AA490</f>
        <v/>
      </c>
      <c r="AB491">
        <f>$C491*AB490</f>
        <v/>
      </c>
      <c r="AC491">
        <f>$C491*AC490</f>
        <v/>
      </c>
      <c r="AD491">
        <f>$C491*AD490</f>
        <v/>
      </c>
      <c r="AE491">
        <f>$C491*AE490</f>
        <v/>
      </c>
      <c r="AF491">
        <f>$C491*AF490</f>
        <v/>
      </c>
      <c r="AG491">
        <f>$C491*AG490</f>
        <v/>
      </c>
      <c r="AH491">
        <f>$C491*AH490</f>
        <v/>
      </c>
      <c r="AI491">
        <f>$C491*AI490</f>
        <v/>
      </c>
      <c r="AJ491">
        <f>$C491*AJ490</f>
        <v/>
      </c>
      <c r="AK491">
        <f>$C491*AK490</f>
        <v/>
      </c>
      <c r="AL491">
        <f>$C491*AL490</f>
        <v/>
      </c>
      <c r="AM491">
        <f>$C491*AM490</f>
        <v/>
      </c>
      <c r="AN491">
        <f>$C491*AN490</f>
        <v/>
      </c>
      <c r="AO491">
        <f>$C491*AO490</f>
        <v/>
      </c>
      <c r="AP491">
        <f>$C491*AP490</f>
        <v/>
      </c>
      <c r="AQ491">
        <f>$C491*AQ490</f>
        <v/>
      </c>
      <c r="AR491">
        <f>$C491*AR490</f>
        <v/>
      </c>
      <c r="AS491">
        <f>$C491*AS490</f>
        <v/>
      </c>
      <c r="AT491">
        <f>$C491*AT490</f>
        <v/>
      </c>
      <c r="AU491">
        <f>$C491*AU490</f>
        <v/>
      </c>
      <c r="AV491">
        <f>$C491*AV490</f>
        <v/>
      </c>
      <c r="AW491">
        <f>$C491*AW490</f>
        <v/>
      </c>
      <c r="AX491">
        <f>$C491*AX490</f>
        <v/>
      </c>
      <c r="AY491">
        <f>$C491*AY490</f>
        <v/>
      </c>
      <c r="AZ491">
        <f>$C491*AZ490</f>
        <v/>
      </c>
      <c r="BA491">
        <f>$C491*BA490</f>
        <v/>
      </c>
      <c r="BB491">
        <f>$C491*BB490</f>
        <v/>
      </c>
      <c r="BC491">
        <f>$C491*BC490</f>
        <v/>
      </c>
      <c r="BD491">
        <f>$C491*BD490</f>
        <v/>
      </c>
      <c r="BE491">
        <f>$C491*BE490</f>
        <v/>
      </c>
      <c r="BF491">
        <f>$C491*BF490</f>
        <v/>
      </c>
      <c r="BG491">
        <f>$C491*BG490</f>
        <v/>
      </c>
      <c r="BH491">
        <f>$C491*BH490</f>
        <v/>
      </c>
      <c r="BI491">
        <f>$C491*BI490</f>
        <v/>
      </c>
      <c r="BJ491">
        <f>$C491*BJ490</f>
        <v/>
      </c>
      <c r="BK491">
        <f>$C491*BK490</f>
        <v/>
      </c>
      <c r="BL491">
        <f>$C491*BL490</f>
        <v/>
      </c>
      <c r="BM491">
        <f>$C491*BM490</f>
        <v/>
      </c>
      <c r="BN491">
        <f>$C491*BN490</f>
        <v/>
      </c>
      <c r="BO491">
        <f>$C491*BO490</f>
        <v/>
      </c>
      <c r="BP491">
        <f>$C491*BP490</f>
        <v/>
      </c>
      <c r="BQ491">
        <f>$C491*BQ490</f>
        <v/>
      </c>
      <c r="BR491">
        <f>$C491*BR490</f>
        <v/>
      </c>
      <c r="BS491">
        <f>$C491*BS490</f>
        <v/>
      </c>
      <c r="BT491">
        <f>$C491*BT490</f>
        <v/>
      </c>
      <c r="BU491">
        <f>$C491*BU490</f>
        <v/>
      </c>
      <c r="BV491">
        <f>$C491*BV490</f>
        <v/>
      </c>
      <c r="BW491">
        <f>$C491*BW490</f>
        <v/>
      </c>
      <c r="BX491">
        <f>$C491*BX490</f>
        <v/>
      </c>
      <c r="BY491">
        <f>$C491*BY490</f>
        <v/>
      </c>
      <c r="BZ491">
        <f>$C491*BZ490</f>
        <v/>
      </c>
      <c r="CA491">
        <f>$C491*CA490</f>
        <v/>
      </c>
      <c r="CB491">
        <f>$C491*CB490</f>
        <v/>
      </c>
      <c r="CC491">
        <f>$C491*CC490</f>
        <v/>
      </c>
      <c r="CD491">
        <f>$C491*CD490</f>
        <v/>
      </c>
      <c r="CE491">
        <f>$C491*CE490</f>
        <v/>
      </c>
      <c r="CF491">
        <f>$C491*CF490</f>
        <v/>
      </c>
      <c r="CG491">
        <f>$C491*CG490</f>
        <v/>
      </c>
      <c r="CH491">
        <f>$C491*CH490</f>
        <v/>
      </c>
      <c r="CI491">
        <f>$C491*CI490</f>
        <v/>
      </c>
      <c r="CJ491">
        <f>$C491*CJ490</f>
        <v/>
      </c>
      <c r="CK491">
        <f>$C491*CK490</f>
        <v/>
      </c>
      <c r="CL491">
        <f>$C491*CL490</f>
        <v/>
      </c>
      <c r="CM491">
        <f>$C491*CM490</f>
        <v/>
      </c>
      <c r="CN491">
        <f>$C491*CN490</f>
        <v/>
      </c>
      <c r="CO491">
        <f>$C491*CO490</f>
        <v/>
      </c>
      <c r="CP491">
        <f>$C491*CP490</f>
        <v/>
      </c>
      <c r="CQ491">
        <f>$C491*CQ490</f>
        <v/>
      </c>
      <c r="CR491">
        <f>$C491*CR490</f>
        <v/>
      </c>
      <c r="CS491">
        <f>$C491*CS490</f>
        <v/>
      </c>
      <c r="CT491">
        <f>$C491*CT490</f>
        <v/>
      </c>
      <c r="CU491">
        <f>$C491*CU490</f>
        <v/>
      </c>
      <c r="CV491">
        <f>$C491*CV490</f>
        <v/>
      </c>
      <c r="CW491">
        <f>$C491*CW490</f>
        <v/>
      </c>
      <c r="CX491">
        <f>$C491*CX490</f>
        <v/>
      </c>
      <c r="CY491">
        <f>$C491*CY490</f>
        <v/>
      </c>
      <c r="CZ491">
        <f>$C491*CZ490</f>
        <v/>
      </c>
      <c r="DA491">
        <f>$C491*DA490</f>
        <v/>
      </c>
      <c r="DB491">
        <f>$C491*DB490</f>
        <v/>
      </c>
      <c r="DC491">
        <f>$C491*DC490</f>
        <v/>
      </c>
    </row>
    <row r="492">
      <c r="B492" t="inlineStr">
        <is>
          <t>TSP-1499</t>
        </is>
      </c>
      <c r="C492" t="inlineStr">
        <is>
          <t>No. of batches</t>
        </is>
      </c>
      <c r="D492">
        <f>IFERROR(INDEX(PP_Grid[#Data],$DD492,2),0)</f>
        <v/>
      </c>
      <c r="E492">
        <f>IFERROR(INDEX(PP_Grid[#Data],$DD492,3),0)</f>
        <v/>
      </c>
      <c r="F492">
        <f>IFERROR(INDEX(PP_Grid[#Data],$DD492,4),0)</f>
        <v/>
      </c>
      <c r="G492">
        <f>IFERROR(INDEX(PP_Grid[#Data],$DD492,5),0)</f>
        <v/>
      </c>
      <c r="H492">
        <f>IFERROR(INDEX(PP_Grid[#Data],$DD492,6),0)</f>
        <v/>
      </c>
      <c r="I492">
        <f>IFERROR(INDEX(PP_Grid[#Data],$DD492,7),0)</f>
        <v/>
      </c>
      <c r="J492">
        <f>IFERROR(INDEX(PP_Grid[#Data],$DD492,8),0)</f>
        <v/>
      </c>
      <c r="K492">
        <f>IFERROR(INDEX(PP_Grid[#Data],$DD492,9),0)</f>
        <v/>
      </c>
      <c r="L492">
        <f>IFERROR(INDEX(PP_Grid[#Data],$DD492,10),0)</f>
        <v/>
      </c>
      <c r="M492">
        <f>IFERROR(INDEX(PP_Grid[#Data],$DD492,11),0)</f>
        <v/>
      </c>
      <c r="N492">
        <f>IFERROR(INDEX(PP_Grid[#Data],$DD492,12),0)</f>
        <v/>
      </c>
      <c r="O492">
        <f>IFERROR(INDEX(PP_Grid[#Data],$DD492,13),0)</f>
        <v/>
      </c>
      <c r="P492">
        <f>IFERROR(INDEX(PP_Grid[#Data],$DD492,14),0)</f>
        <v/>
      </c>
      <c r="Q492">
        <f>IFERROR(INDEX(PP_Grid[#Data],$DD492,15),0)</f>
        <v/>
      </c>
      <c r="R492">
        <f>IFERROR(INDEX(PP_Grid[#Data],$DD492,16),0)</f>
        <v/>
      </c>
      <c r="S492">
        <f>IFERROR(INDEX(PP_Grid[#Data],$DD492,17),0)</f>
        <v/>
      </c>
      <c r="T492">
        <f>IFERROR(INDEX(PP_Grid[#Data],$DD492,18),0)</f>
        <v/>
      </c>
      <c r="U492">
        <f>IFERROR(INDEX(PP_Grid[#Data],$DD492,19),0)</f>
        <v/>
      </c>
      <c r="V492">
        <f>IFERROR(INDEX(PP_Grid[#Data],$DD492,20),0)</f>
        <v/>
      </c>
      <c r="W492">
        <f>IFERROR(INDEX(PP_Grid[#Data],$DD492,21),0)</f>
        <v/>
      </c>
      <c r="X492">
        <f>IFERROR(INDEX(PP_Grid[#Data],$DD492,22),0)</f>
        <v/>
      </c>
      <c r="Y492">
        <f>IFERROR(INDEX(PP_Grid[#Data],$DD492,23),0)</f>
        <v/>
      </c>
      <c r="Z492">
        <f>IFERROR(INDEX(PP_Grid[#Data],$DD492,24),0)</f>
        <v/>
      </c>
      <c r="AA492">
        <f>IFERROR(INDEX(PP_Grid[#Data],$DD492,25),0)</f>
        <v/>
      </c>
      <c r="AB492">
        <f>IFERROR(INDEX(PP_Grid[#Data],$DD492,26),0)</f>
        <v/>
      </c>
      <c r="AC492">
        <f>IFERROR(INDEX(PP_Grid[#Data],$DD492,27),0)</f>
        <v/>
      </c>
      <c r="AD492">
        <f>IFERROR(INDEX(PP_Grid[#Data],$DD492,28),0)</f>
        <v/>
      </c>
      <c r="AE492">
        <f>IFERROR(INDEX(PP_Grid[#Data],$DD492,29),0)</f>
        <v/>
      </c>
      <c r="AF492">
        <f>IFERROR(INDEX(PP_Grid[#Data],$DD492,30),0)</f>
        <v/>
      </c>
      <c r="AG492">
        <f>IFERROR(INDEX(PP_Grid[#Data],$DD492,31),0)</f>
        <v/>
      </c>
      <c r="AH492">
        <f>IFERROR(INDEX(PP_Grid[#Data],$DD492,32),0)</f>
        <v/>
      </c>
      <c r="AI492">
        <f>IFERROR(INDEX(PP_Grid[#Data],$DD492,33),0)</f>
        <v/>
      </c>
      <c r="AJ492">
        <f>IFERROR(INDEX(PP_Grid[#Data],$DD492,34),0)</f>
        <v/>
      </c>
      <c r="AK492">
        <f>IFERROR(INDEX(PP_Grid[#Data],$DD492,35),0)</f>
        <v/>
      </c>
      <c r="AL492">
        <f>IFERROR(INDEX(PP_Grid[#Data],$DD492,36),0)</f>
        <v/>
      </c>
      <c r="AM492">
        <f>IFERROR(INDEX(PP_Grid[#Data],$DD492,37),0)</f>
        <v/>
      </c>
      <c r="AN492">
        <f>IFERROR(INDEX(PP_Grid[#Data],$DD492,38),0)</f>
        <v/>
      </c>
      <c r="AO492">
        <f>IFERROR(INDEX(PP_Grid[#Data],$DD492,39),0)</f>
        <v/>
      </c>
      <c r="AP492">
        <f>IFERROR(INDEX(PP_Grid[#Data],$DD492,40),0)</f>
        <v/>
      </c>
      <c r="AQ492">
        <f>IFERROR(INDEX(PP_Grid[#Data],$DD492,41),0)</f>
        <v/>
      </c>
      <c r="AR492">
        <f>IFERROR(INDEX(PP_Grid[#Data],$DD492,42),0)</f>
        <v/>
      </c>
      <c r="AS492">
        <f>IFERROR(INDEX(PP_Grid[#Data],$DD492,43),0)</f>
        <v/>
      </c>
      <c r="AT492">
        <f>IFERROR(INDEX(PP_Grid[#Data],$DD492,44),0)</f>
        <v/>
      </c>
      <c r="AU492">
        <f>IFERROR(INDEX(PP_Grid[#Data],$DD492,45),0)</f>
        <v/>
      </c>
      <c r="AV492">
        <f>IFERROR(INDEX(PP_Grid[#Data],$DD492,46),0)</f>
        <v/>
      </c>
      <c r="AW492">
        <f>IFERROR(INDEX(PP_Grid[#Data],$DD492,47),0)</f>
        <v/>
      </c>
      <c r="AX492">
        <f>IFERROR(INDEX(PP_Grid[#Data],$DD492,48),0)</f>
        <v/>
      </c>
      <c r="AY492">
        <f>IFERROR(INDEX(PP_Grid[#Data],$DD492,49),0)</f>
        <v/>
      </c>
      <c r="AZ492">
        <f>IFERROR(INDEX(PP_Grid[#Data],$DD492,50),0)</f>
        <v/>
      </c>
      <c r="BA492">
        <f>IFERROR(INDEX(PP_Grid[#Data],$DD492,51),0)</f>
        <v/>
      </c>
      <c r="BB492">
        <f>IFERROR(INDEX(PP_Grid[#Data],$DD492,52),0)</f>
        <v/>
      </c>
      <c r="BC492">
        <f>IFERROR(INDEX(PP_Grid[#Data],$DD492,53),0)</f>
        <v/>
      </c>
      <c r="BD492">
        <f>IFERROR(INDEX(PP_Grid[#Data],$DD492,54),0)</f>
        <v/>
      </c>
      <c r="BE492">
        <f>IFERROR(INDEX(PP_Grid[#Data],$DD492,55),0)</f>
        <v/>
      </c>
      <c r="BF492">
        <f>IFERROR(INDEX(PP_Grid[#Data],$DD492,56),0)</f>
        <v/>
      </c>
      <c r="BG492">
        <f>IFERROR(INDEX(PP_Grid[#Data],$DD492,57),0)</f>
        <v/>
      </c>
      <c r="BH492">
        <f>IFERROR(INDEX(PP_Grid[#Data],$DD492,58),0)</f>
        <v/>
      </c>
      <c r="BI492">
        <f>IFERROR(INDEX(PP_Grid[#Data],$DD492,59),0)</f>
        <v/>
      </c>
      <c r="BJ492">
        <f>IFERROR(INDEX(PP_Grid[#Data],$DD492,60),0)</f>
        <v/>
      </c>
      <c r="BK492">
        <f>IFERROR(INDEX(PP_Grid[#Data],$DD492,61),0)</f>
        <v/>
      </c>
      <c r="BL492">
        <f>IFERROR(INDEX(PP_Grid[#Data],$DD492,62),0)</f>
        <v/>
      </c>
      <c r="BM492">
        <f>IFERROR(INDEX(PP_Grid[#Data],$DD492,63),0)</f>
        <v/>
      </c>
      <c r="BN492">
        <f>IFERROR(INDEX(PP_Grid[#Data],$DD492,64),0)</f>
        <v/>
      </c>
      <c r="BO492">
        <f>IFERROR(INDEX(PP_Grid[#Data],$DD492,65),0)</f>
        <v/>
      </c>
      <c r="BP492">
        <f>IFERROR(INDEX(PP_Grid[#Data],$DD492,66),0)</f>
        <v/>
      </c>
      <c r="BQ492">
        <f>IFERROR(INDEX(PP_Grid[#Data],$DD492,67),0)</f>
        <v/>
      </c>
      <c r="BR492">
        <f>IFERROR(INDEX(PP_Grid[#Data],$DD492,68),0)</f>
        <v/>
      </c>
      <c r="BS492">
        <f>IFERROR(INDEX(PP_Grid[#Data],$DD492,69),0)</f>
        <v/>
      </c>
      <c r="BT492">
        <f>IFERROR(INDEX(PP_Grid[#Data],$DD492,70),0)</f>
        <v/>
      </c>
      <c r="BU492">
        <f>IFERROR(INDEX(PP_Grid[#Data],$DD492,71),0)</f>
        <v/>
      </c>
      <c r="BV492">
        <f>IFERROR(INDEX(PP_Grid[#Data],$DD492,72),0)</f>
        <v/>
      </c>
      <c r="BW492">
        <f>IFERROR(INDEX(PP_Grid[#Data],$DD492,73),0)</f>
        <v/>
      </c>
      <c r="BX492">
        <f>IFERROR(INDEX(PP_Grid[#Data],$DD492,74),0)</f>
        <v/>
      </c>
      <c r="BY492">
        <f>IFERROR(INDEX(PP_Grid[#Data],$DD492,75),0)</f>
        <v/>
      </c>
      <c r="BZ492">
        <f>IFERROR(INDEX(PP_Grid[#Data],$DD492,76),0)</f>
        <v/>
      </c>
      <c r="CA492">
        <f>IFERROR(INDEX(PP_Grid[#Data],$DD492,77),0)</f>
        <v/>
      </c>
      <c r="CB492">
        <f>IFERROR(INDEX(PP_Grid[#Data],$DD492,78),0)</f>
        <v/>
      </c>
      <c r="CC492">
        <f>IFERROR(INDEX(PP_Grid[#Data],$DD492,79),0)</f>
        <v/>
      </c>
      <c r="CD492">
        <f>IFERROR(INDEX(PP_Grid[#Data],$DD492,80),0)</f>
        <v/>
      </c>
      <c r="CE492">
        <f>IFERROR(INDEX(PP_Grid[#Data],$DD492,81),0)</f>
        <v/>
      </c>
      <c r="CF492">
        <f>IFERROR(INDEX(PP_Grid[#Data],$DD492,82),0)</f>
        <v/>
      </c>
      <c r="CG492">
        <f>IFERROR(INDEX(PP_Grid[#Data],$DD492,83),0)</f>
        <v/>
      </c>
      <c r="CH492">
        <f>IFERROR(INDEX(PP_Grid[#Data],$DD492,84),0)</f>
        <v/>
      </c>
      <c r="CI492">
        <f>IFERROR(INDEX(PP_Grid[#Data],$DD492,85),0)</f>
        <v/>
      </c>
      <c r="CJ492">
        <f>IFERROR(INDEX(PP_Grid[#Data],$DD492,86),0)</f>
        <v/>
      </c>
      <c r="CK492">
        <f>IFERROR(INDEX(PP_Grid[#Data],$DD492,87),0)</f>
        <v/>
      </c>
      <c r="CL492">
        <f>IFERROR(INDEX(PP_Grid[#Data],$DD492,88),0)</f>
        <v/>
      </c>
      <c r="CM492">
        <f>IFERROR(INDEX(PP_Grid[#Data],$DD492,89),0)</f>
        <v/>
      </c>
      <c r="CN492">
        <f>IFERROR(INDEX(PP_Grid[#Data],$DD492,90),0)</f>
        <v/>
      </c>
      <c r="CO492">
        <f>IFERROR(INDEX(PP_Grid[#Data],$DD492,91),0)</f>
        <v/>
      </c>
      <c r="CP492">
        <f>IFERROR(INDEX(PP_Grid[#Data],$DD492,92),0)</f>
        <v/>
      </c>
      <c r="CQ492">
        <f>IFERROR(INDEX(PP_Grid[#Data],$DD492,93),0)</f>
        <v/>
      </c>
      <c r="CR492">
        <f>IFERROR(INDEX(PP_Grid[#Data],$DD492,94),0)</f>
        <v/>
      </c>
      <c r="CS492">
        <f>IFERROR(INDEX(PP_Grid[#Data],$DD492,95),0)</f>
        <v/>
      </c>
      <c r="CT492">
        <f>IFERROR(INDEX(PP_Grid[#Data],$DD492,96),0)</f>
        <v/>
      </c>
      <c r="CU492">
        <f>IFERROR(INDEX(PP_Grid[#Data],$DD492,97),0)</f>
        <v/>
      </c>
      <c r="CV492">
        <f>IFERROR(INDEX(PP_Grid[#Data],$DD492,98),0)</f>
        <v/>
      </c>
      <c r="CW492">
        <f>IFERROR(INDEX(PP_Grid[#Data],$DD492,99),0)</f>
        <v/>
      </c>
      <c r="CX492">
        <f>IFERROR(INDEX(PP_Grid[#Data],$DD492,100),0)</f>
        <v/>
      </c>
      <c r="CY492">
        <f>IFERROR(INDEX(PP_Grid[#Data],$DD492,101),0)</f>
        <v/>
      </c>
      <c r="CZ492">
        <f>IFERROR(INDEX(PP_Grid[#Data],$DD492,102),0)</f>
        <v/>
      </c>
      <c r="DA492">
        <f>IFERROR(INDEX(PP_Grid[#Data],$DD492,103),0)</f>
        <v/>
      </c>
      <c r="DB492">
        <f>IFERROR(INDEX(PP_Grid[#Data],$DD492,104),0)</f>
        <v/>
      </c>
      <c r="DC492">
        <f>IFERROR(INDEX(PP_Grid[#Data],$DD492,105),0)</f>
        <v/>
      </c>
      <c r="DD492" s="7">
        <f>IFERROR(MATCH($B492,PP_Grid[Intermediate],0),99999)</f>
        <v/>
      </c>
    </row>
    <row r="493">
      <c r="B493" t="inlineStr">
        <is>
          <t>使用量(kg)</t>
        </is>
      </c>
      <c r="C493">
        <f>SUMIFS(M_BOM[RM_Qty_Per_Batch],M_BOM[Intermediate],$B492,M_BOM[Part Name],$A479)</f>
        <v/>
      </c>
      <c r="D493">
        <f>$C493*D492</f>
        <v/>
      </c>
      <c r="E493">
        <f>$C493*E492</f>
        <v/>
      </c>
      <c r="F493">
        <f>$C493*F492</f>
        <v/>
      </c>
      <c r="G493">
        <f>$C493*G492</f>
        <v/>
      </c>
      <c r="H493">
        <f>$C493*H492</f>
        <v/>
      </c>
      <c r="I493">
        <f>$C493*I492</f>
        <v/>
      </c>
      <c r="J493">
        <f>$C493*J492</f>
        <v/>
      </c>
      <c r="K493">
        <f>$C493*K492</f>
        <v/>
      </c>
      <c r="L493">
        <f>$C493*L492</f>
        <v/>
      </c>
      <c r="M493">
        <f>$C493*M492</f>
        <v/>
      </c>
      <c r="N493">
        <f>$C493*N492</f>
        <v/>
      </c>
      <c r="O493">
        <f>$C493*O492</f>
        <v/>
      </c>
      <c r="P493">
        <f>$C493*P492</f>
        <v/>
      </c>
      <c r="Q493">
        <f>$C493*Q492</f>
        <v/>
      </c>
      <c r="R493">
        <f>$C493*R492</f>
        <v/>
      </c>
      <c r="S493">
        <f>$C493*S492</f>
        <v/>
      </c>
      <c r="T493">
        <f>$C493*T492</f>
        <v/>
      </c>
      <c r="U493">
        <f>$C493*U492</f>
        <v/>
      </c>
      <c r="V493">
        <f>$C493*V492</f>
        <v/>
      </c>
      <c r="W493">
        <f>$C493*W492</f>
        <v/>
      </c>
      <c r="X493">
        <f>$C493*X492</f>
        <v/>
      </c>
      <c r="Y493">
        <f>$C493*Y492</f>
        <v/>
      </c>
      <c r="Z493">
        <f>$C493*Z492</f>
        <v/>
      </c>
      <c r="AA493">
        <f>$C493*AA492</f>
        <v/>
      </c>
      <c r="AB493">
        <f>$C493*AB492</f>
        <v/>
      </c>
      <c r="AC493">
        <f>$C493*AC492</f>
        <v/>
      </c>
      <c r="AD493">
        <f>$C493*AD492</f>
        <v/>
      </c>
      <c r="AE493">
        <f>$C493*AE492</f>
        <v/>
      </c>
      <c r="AF493">
        <f>$C493*AF492</f>
        <v/>
      </c>
      <c r="AG493">
        <f>$C493*AG492</f>
        <v/>
      </c>
      <c r="AH493">
        <f>$C493*AH492</f>
        <v/>
      </c>
      <c r="AI493">
        <f>$C493*AI492</f>
        <v/>
      </c>
      <c r="AJ493">
        <f>$C493*AJ492</f>
        <v/>
      </c>
      <c r="AK493">
        <f>$C493*AK492</f>
        <v/>
      </c>
      <c r="AL493">
        <f>$C493*AL492</f>
        <v/>
      </c>
      <c r="AM493">
        <f>$C493*AM492</f>
        <v/>
      </c>
      <c r="AN493">
        <f>$C493*AN492</f>
        <v/>
      </c>
      <c r="AO493">
        <f>$C493*AO492</f>
        <v/>
      </c>
      <c r="AP493">
        <f>$C493*AP492</f>
        <v/>
      </c>
      <c r="AQ493">
        <f>$C493*AQ492</f>
        <v/>
      </c>
      <c r="AR493">
        <f>$C493*AR492</f>
        <v/>
      </c>
      <c r="AS493">
        <f>$C493*AS492</f>
        <v/>
      </c>
      <c r="AT493">
        <f>$C493*AT492</f>
        <v/>
      </c>
      <c r="AU493">
        <f>$C493*AU492</f>
        <v/>
      </c>
      <c r="AV493">
        <f>$C493*AV492</f>
        <v/>
      </c>
      <c r="AW493">
        <f>$C493*AW492</f>
        <v/>
      </c>
      <c r="AX493">
        <f>$C493*AX492</f>
        <v/>
      </c>
      <c r="AY493">
        <f>$C493*AY492</f>
        <v/>
      </c>
      <c r="AZ493">
        <f>$C493*AZ492</f>
        <v/>
      </c>
      <c r="BA493">
        <f>$C493*BA492</f>
        <v/>
      </c>
      <c r="BB493">
        <f>$C493*BB492</f>
        <v/>
      </c>
      <c r="BC493">
        <f>$C493*BC492</f>
        <v/>
      </c>
      <c r="BD493">
        <f>$C493*BD492</f>
        <v/>
      </c>
      <c r="BE493">
        <f>$C493*BE492</f>
        <v/>
      </c>
      <c r="BF493">
        <f>$C493*BF492</f>
        <v/>
      </c>
      <c r="BG493">
        <f>$C493*BG492</f>
        <v/>
      </c>
      <c r="BH493">
        <f>$C493*BH492</f>
        <v/>
      </c>
      <c r="BI493">
        <f>$C493*BI492</f>
        <v/>
      </c>
      <c r="BJ493">
        <f>$C493*BJ492</f>
        <v/>
      </c>
      <c r="BK493">
        <f>$C493*BK492</f>
        <v/>
      </c>
      <c r="BL493">
        <f>$C493*BL492</f>
        <v/>
      </c>
      <c r="BM493">
        <f>$C493*BM492</f>
        <v/>
      </c>
      <c r="BN493">
        <f>$C493*BN492</f>
        <v/>
      </c>
      <c r="BO493">
        <f>$C493*BO492</f>
        <v/>
      </c>
      <c r="BP493">
        <f>$C493*BP492</f>
        <v/>
      </c>
      <c r="BQ493">
        <f>$C493*BQ492</f>
        <v/>
      </c>
      <c r="BR493">
        <f>$C493*BR492</f>
        <v/>
      </c>
      <c r="BS493">
        <f>$C493*BS492</f>
        <v/>
      </c>
      <c r="BT493">
        <f>$C493*BT492</f>
        <v/>
      </c>
      <c r="BU493">
        <f>$C493*BU492</f>
        <v/>
      </c>
      <c r="BV493">
        <f>$C493*BV492</f>
        <v/>
      </c>
      <c r="BW493">
        <f>$C493*BW492</f>
        <v/>
      </c>
      <c r="BX493">
        <f>$C493*BX492</f>
        <v/>
      </c>
      <c r="BY493">
        <f>$C493*BY492</f>
        <v/>
      </c>
      <c r="BZ493">
        <f>$C493*BZ492</f>
        <v/>
      </c>
      <c r="CA493">
        <f>$C493*CA492</f>
        <v/>
      </c>
      <c r="CB493">
        <f>$C493*CB492</f>
        <v/>
      </c>
      <c r="CC493">
        <f>$C493*CC492</f>
        <v/>
      </c>
      <c r="CD493">
        <f>$C493*CD492</f>
        <v/>
      </c>
      <c r="CE493">
        <f>$C493*CE492</f>
        <v/>
      </c>
      <c r="CF493">
        <f>$C493*CF492</f>
        <v/>
      </c>
      <c r="CG493">
        <f>$C493*CG492</f>
        <v/>
      </c>
      <c r="CH493">
        <f>$C493*CH492</f>
        <v/>
      </c>
      <c r="CI493">
        <f>$C493*CI492</f>
        <v/>
      </c>
      <c r="CJ493">
        <f>$C493*CJ492</f>
        <v/>
      </c>
      <c r="CK493">
        <f>$C493*CK492</f>
        <v/>
      </c>
      <c r="CL493">
        <f>$C493*CL492</f>
        <v/>
      </c>
      <c r="CM493">
        <f>$C493*CM492</f>
        <v/>
      </c>
      <c r="CN493">
        <f>$C493*CN492</f>
        <v/>
      </c>
      <c r="CO493">
        <f>$C493*CO492</f>
        <v/>
      </c>
      <c r="CP493">
        <f>$C493*CP492</f>
        <v/>
      </c>
      <c r="CQ493">
        <f>$C493*CQ492</f>
        <v/>
      </c>
      <c r="CR493">
        <f>$C493*CR492</f>
        <v/>
      </c>
      <c r="CS493">
        <f>$C493*CS492</f>
        <v/>
      </c>
      <c r="CT493">
        <f>$C493*CT492</f>
        <v/>
      </c>
      <c r="CU493">
        <f>$C493*CU492</f>
        <v/>
      </c>
      <c r="CV493">
        <f>$C493*CV492</f>
        <v/>
      </c>
      <c r="CW493">
        <f>$C493*CW492</f>
        <v/>
      </c>
      <c r="CX493">
        <f>$C493*CX492</f>
        <v/>
      </c>
      <c r="CY493">
        <f>$C493*CY492</f>
        <v/>
      </c>
      <c r="CZ493">
        <f>$C493*CZ492</f>
        <v/>
      </c>
      <c r="DA493">
        <f>$C493*DA492</f>
        <v/>
      </c>
      <c r="DB493">
        <f>$C493*DB492</f>
        <v/>
      </c>
      <c r="DC493">
        <f>$C493*DC492</f>
        <v/>
      </c>
    </row>
    <row r="494">
      <c r="B494" s="4" t="inlineStr">
        <is>
          <t>合計使用量(kg)/週</t>
        </is>
      </c>
      <c r="D494">
        <f>'Grid_Requirement'!B3</f>
        <v/>
      </c>
      <c r="E494">
        <f>'Grid_Requirement'!C3</f>
        <v/>
      </c>
      <c r="F494">
        <f>'Grid_Requirement'!D3</f>
        <v/>
      </c>
      <c r="G494">
        <f>'Grid_Requirement'!E3</f>
        <v/>
      </c>
      <c r="H494">
        <f>'Grid_Requirement'!F3</f>
        <v/>
      </c>
      <c r="I494">
        <f>'Grid_Requirement'!G3</f>
        <v/>
      </c>
      <c r="J494">
        <f>'Grid_Requirement'!H3</f>
        <v/>
      </c>
      <c r="K494">
        <f>'Grid_Requirement'!I3</f>
        <v/>
      </c>
      <c r="L494">
        <f>'Grid_Requirement'!J3</f>
        <v/>
      </c>
      <c r="M494">
        <f>'Grid_Requirement'!K3</f>
        <v/>
      </c>
      <c r="N494">
        <f>'Grid_Requirement'!L3</f>
        <v/>
      </c>
      <c r="O494">
        <f>'Grid_Requirement'!M3</f>
        <v/>
      </c>
      <c r="P494">
        <f>'Grid_Requirement'!N3</f>
        <v/>
      </c>
      <c r="Q494">
        <f>'Grid_Requirement'!O3</f>
        <v/>
      </c>
      <c r="R494">
        <f>'Grid_Requirement'!P3</f>
        <v/>
      </c>
      <c r="S494">
        <f>'Grid_Requirement'!Q3</f>
        <v/>
      </c>
      <c r="T494">
        <f>'Grid_Requirement'!R3</f>
        <v/>
      </c>
      <c r="U494">
        <f>'Grid_Requirement'!S3</f>
        <v/>
      </c>
      <c r="V494">
        <f>'Grid_Requirement'!T3</f>
        <v/>
      </c>
      <c r="W494">
        <f>'Grid_Requirement'!U3</f>
        <v/>
      </c>
      <c r="X494">
        <f>'Grid_Requirement'!V3</f>
        <v/>
      </c>
      <c r="Y494">
        <f>'Grid_Requirement'!W3</f>
        <v/>
      </c>
      <c r="Z494">
        <f>'Grid_Requirement'!X3</f>
        <v/>
      </c>
      <c r="AA494">
        <f>'Grid_Requirement'!Y3</f>
        <v/>
      </c>
      <c r="AB494">
        <f>'Grid_Requirement'!Z3</f>
        <v/>
      </c>
      <c r="AC494">
        <f>'Grid_Requirement'!AA3</f>
        <v/>
      </c>
      <c r="AD494">
        <f>'Grid_Requirement'!AB3</f>
        <v/>
      </c>
      <c r="AE494">
        <f>'Grid_Requirement'!AC3</f>
        <v/>
      </c>
      <c r="AF494">
        <f>'Grid_Requirement'!AD3</f>
        <v/>
      </c>
      <c r="AG494">
        <f>'Grid_Requirement'!AE3</f>
        <v/>
      </c>
      <c r="AH494">
        <f>'Grid_Requirement'!AF3</f>
        <v/>
      </c>
      <c r="AI494">
        <f>'Grid_Requirement'!AG3</f>
        <v/>
      </c>
      <c r="AJ494">
        <f>'Grid_Requirement'!AH3</f>
        <v/>
      </c>
      <c r="AK494">
        <f>'Grid_Requirement'!AI3</f>
        <v/>
      </c>
      <c r="AL494">
        <f>'Grid_Requirement'!AJ3</f>
        <v/>
      </c>
      <c r="AM494">
        <f>'Grid_Requirement'!AK3</f>
        <v/>
      </c>
      <c r="AN494">
        <f>'Grid_Requirement'!AL3</f>
        <v/>
      </c>
      <c r="AO494">
        <f>'Grid_Requirement'!AM3</f>
        <v/>
      </c>
      <c r="AP494">
        <f>'Grid_Requirement'!AN3</f>
        <v/>
      </c>
      <c r="AQ494">
        <f>'Grid_Requirement'!AO3</f>
        <v/>
      </c>
      <c r="AR494">
        <f>'Grid_Requirement'!AP3</f>
        <v/>
      </c>
      <c r="AS494">
        <f>'Grid_Requirement'!AQ3</f>
        <v/>
      </c>
      <c r="AT494">
        <f>'Grid_Requirement'!AR3</f>
        <v/>
      </c>
      <c r="AU494">
        <f>'Grid_Requirement'!AS3</f>
        <v/>
      </c>
      <c r="AV494">
        <f>'Grid_Requirement'!AT3</f>
        <v/>
      </c>
      <c r="AW494">
        <f>'Grid_Requirement'!AU3</f>
        <v/>
      </c>
      <c r="AX494">
        <f>'Grid_Requirement'!AV3</f>
        <v/>
      </c>
      <c r="AY494">
        <f>'Grid_Requirement'!AW3</f>
        <v/>
      </c>
      <c r="AZ494">
        <f>'Grid_Requirement'!AX3</f>
        <v/>
      </c>
      <c r="BA494">
        <f>'Grid_Requirement'!AY3</f>
        <v/>
      </c>
      <c r="BB494">
        <f>'Grid_Requirement'!AZ3</f>
        <v/>
      </c>
      <c r="BC494">
        <f>'Grid_Requirement'!BA3</f>
        <v/>
      </c>
      <c r="BD494">
        <f>'Grid_Requirement'!BB3</f>
        <v/>
      </c>
      <c r="BE494">
        <f>'Grid_Requirement'!BC3</f>
        <v/>
      </c>
      <c r="BF494">
        <f>'Grid_Requirement'!BD3</f>
        <v/>
      </c>
      <c r="BG494">
        <f>'Grid_Requirement'!BE3</f>
        <v/>
      </c>
      <c r="BH494">
        <f>'Grid_Requirement'!BF3</f>
        <v/>
      </c>
      <c r="BI494">
        <f>'Grid_Requirement'!BG3</f>
        <v/>
      </c>
      <c r="BJ494">
        <f>'Grid_Requirement'!BH3</f>
        <v/>
      </c>
      <c r="BK494">
        <f>'Grid_Requirement'!BI3</f>
        <v/>
      </c>
      <c r="BL494">
        <f>'Grid_Requirement'!BJ3</f>
        <v/>
      </c>
      <c r="BM494">
        <f>'Grid_Requirement'!BK3</f>
        <v/>
      </c>
      <c r="BN494">
        <f>'Grid_Requirement'!BL3</f>
        <v/>
      </c>
      <c r="BO494">
        <f>'Grid_Requirement'!BM3</f>
        <v/>
      </c>
      <c r="BP494">
        <f>'Grid_Requirement'!BN3</f>
        <v/>
      </c>
      <c r="BQ494">
        <f>'Grid_Requirement'!BO3</f>
        <v/>
      </c>
      <c r="BR494">
        <f>'Grid_Requirement'!BP3</f>
        <v/>
      </c>
      <c r="BS494">
        <f>'Grid_Requirement'!BQ3</f>
        <v/>
      </c>
      <c r="BT494">
        <f>'Grid_Requirement'!BR3</f>
        <v/>
      </c>
      <c r="BU494">
        <f>'Grid_Requirement'!BS3</f>
        <v/>
      </c>
      <c r="BV494">
        <f>'Grid_Requirement'!BT3</f>
        <v/>
      </c>
      <c r="BW494">
        <f>'Grid_Requirement'!BU3</f>
        <v/>
      </c>
      <c r="BX494">
        <f>'Grid_Requirement'!BV3</f>
        <v/>
      </c>
      <c r="BY494">
        <f>'Grid_Requirement'!BW3</f>
        <v/>
      </c>
      <c r="BZ494">
        <f>'Grid_Requirement'!BX3</f>
        <v/>
      </c>
      <c r="CA494">
        <f>'Grid_Requirement'!BY3</f>
        <v/>
      </c>
      <c r="CB494">
        <f>'Grid_Requirement'!BZ3</f>
        <v/>
      </c>
      <c r="CC494">
        <f>'Grid_Requirement'!CA3</f>
        <v/>
      </c>
      <c r="CD494">
        <f>'Grid_Requirement'!CB3</f>
        <v/>
      </c>
      <c r="CE494">
        <f>'Grid_Requirement'!CC3</f>
        <v/>
      </c>
      <c r="CF494">
        <f>'Grid_Requirement'!CD3</f>
        <v/>
      </c>
      <c r="CG494">
        <f>'Grid_Requirement'!CE3</f>
        <v/>
      </c>
      <c r="CH494">
        <f>'Grid_Requirement'!CF3</f>
        <v/>
      </c>
      <c r="CI494">
        <f>'Grid_Requirement'!CG3</f>
        <v/>
      </c>
      <c r="CJ494">
        <f>'Grid_Requirement'!CH3</f>
        <v/>
      </c>
      <c r="CK494">
        <f>'Grid_Requirement'!CI3</f>
        <v/>
      </c>
      <c r="CL494">
        <f>'Grid_Requirement'!CJ3</f>
        <v/>
      </c>
      <c r="CM494">
        <f>'Grid_Requirement'!CK3</f>
        <v/>
      </c>
      <c r="CN494">
        <f>'Grid_Requirement'!CL3</f>
        <v/>
      </c>
      <c r="CO494">
        <f>'Grid_Requirement'!CM3</f>
        <v/>
      </c>
      <c r="CP494">
        <f>'Grid_Requirement'!CN3</f>
        <v/>
      </c>
      <c r="CQ494">
        <f>'Grid_Requirement'!CO3</f>
        <v/>
      </c>
      <c r="CR494">
        <f>'Grid_Requirement'!CP3</f>
        <v/>
      </c>
      <c r="CS494">
        <f>'Grid_Requirement'!CQ3</f>
        <v/>
      </c>
      <c r="CT494">
        <f>'Grid_Requirement'!CR3</f>
        <v/>
      </c>
      <c r="CU494">
        <f>'Grid_Requirement'!CS3</f>
        <v/>
      </c>
      <c r="CV494">
        <f>'Grid_Requirement'!CT3</f>
        <v/>
      </c>
      <c r="CW494">
        <f>'Grid_Requirement'!CU3</f>
        <v/>
      </c>
      <c r="CX494">
        <f>'Grid_Requirement'!CV3</f>
        <v/>
      </c>
      <c r="CY494">
        <f>'Grid_Requirement'!CW3</f>
        <v/>
      </c>
      <c r="CZ494">
        <f>'Grid_Requirement'!CX3</f>
        <v/>
      </c>
      <c r="DA494">
        <f>'Grid_Requirement'!CY3</f>
        <v/>
      </c>
      <c r="DB494">
        <f>'Grid_Requirement'!CZ3</f>
        <v/>
      </c>
      <c r="DC494">
        <f>'Grid_Requirement'!DA3</f>
        <v/>
      </c>
    </row>
    <row r="495">
      <c r="B495" t="inlineStr">
        <is>
          <t>TTAF在庫(実績,kg)</t>
        </is>
      </c>
      <c r="D495">
        <f>'T_TTAFStock'!B7</f>
        <v/>
      </c>
      <c r="E495">
        <f>'T_TTAFStock'!C7</f>
        <v/>
      </c>
      <c r="F495">
        <f>'T_TTAFStock'!D7</f>
        <v/>
      </c>
      <c r="G495">
        <f>'T_TTAFStock'!E7</f>
        <v/>
      </c>
      <c r="H495">
        <f>'T_TTAFStock'!F7</f>
        <v/>
      </c>
      <c r="I495">
        <f>'T_TTAFStock'!G7</f>
        <v/>
      </c>
      <c r="J495">
        <f>'T_TTAFStock'!H7</f>
        <v/>
      </c>
      <c r="K495">
        <f>'T_TTAFStock'!I7</f>
        <v/>
      </c>
      <c r="L495">
        <f>'T_TTAFStock'!J7</f>
        <v/>
      </c>
      <c r="M495">
        <f>'T_TTAFStock'!K7</f>
        <v/>
      </c>
      <c r="N495">
        <f>'T_TTAFStock'!L7</f>
        <v/>
      </c>
      <c r="O495">
        <f>'T_TTAFStock'!M7</f>
        <v/>
      </c>
      <c r="P495">
        <f>'T_TTAFStock'!N7</f>
        <v/>
      </c>
      <c r="Q495">
        <f>'T_TTAFStock'!O7</f>
        <v/>
      </c>
      <c r="R495">
        <f>'T_TTAFStock'!P7</f>
        <v/>
      </c>
      <c r="S495">
        <f>'T_TTAFStock'!Q7</f>
        <v/>
      </c>
      <c r="T495">
        <f>'T_TTAFStock'!R7</f>
        <v/>
      </c>
      <c r="U495">
        <f>'T_TTAFStock'!S7</f>
        <v/>
      </c>
      <c r="V495">
        <f>'T_TTAFStock'!T7</f>
        <v/>
      </c>
      <c r="W495">
        <f>'T_TTAFStock'!U7</f>
        <v/>
      </c>
      <c r="X495">
        <f>'T_TTAFStock'!V7</f>
        <v/>
      </c>
      <c r="Y495">
        <f>'T_TTAFStock'!W7</f>
        <v/>
      </c>
      <c r="Z495">
        <f>'T_TTAFStock'!X7</f>
        <v/>
      </c>
      <c r="AA495">
        <f>'T_TTAFStock'!Y7</f>
        <v/>
      </c>
      <c r="AB495">
        <f>'T_TTAFStock'!Z7</f>
        <v/>
      </c>
      <c r="AC495">
        <f>'T_TTAFStock'!AA7</f>
        <v/>
      </c>
      <c r="AD495">
        <f>'T_TTAFStock'!AB7</f>
        <v/>
      </c>
      <c r="AE495">
        <f>'T_TTAFStock'!AC7</f>
        <v/>
      </c>
      <c r="AF495">
        <f>'T_TTAFStock'!AD7</f>
        <v/>
      </c>
      <c r="AG495">
        <f>'T_TTAFStock'!AE7</f>
        <v/>
      </c>
      <c r="AH495">
        <f>'T_TTAFStock'!AF7</f>
        <v/>
      </c>
      <c r="AI495">
        <f>'T_TTAFStock'!AG7</f>
        <v/>
      </c>
      <c r="AJ495">
        <f>'T_TTAFStock'!AH7</f>
        <v/>
      </c>
      <c r="AK495">
        <f>'T_TTAFStock'!AI7</f>
        <v/>
      </c>
      <c r="AL495">
        <f>'T_TTAFStock'!AJ7</f>
        <v/>
      </c>
      <c r="AM495">
        <f>'T_TTAFStock'!AK7</f>
        <v/>
      </c>
      <c r="AN495">
        <f>'T_TTAFStock'!AL7</f>
        <v/>
      </c>
      <c r="AO495">
        <f>'T_TTAFStock'!AM7</f>
        <v/>
      </c>
      <c r="AP495">
        <f>'T_TTAFStock'!AN7</f>
        <v/>
      </c>
      <c r="AQ495">
        <f>'T_TTAFStock'!AO7</f>
        <v/>
      </c>
      <c r="AR495">
        <f>'T_TTAFStock'!AP7</f>
        <v/>
      </c>
      <c r="AS495">
        <f>'T_TTAFStock'!AQ7</f>
        <v/>
      </c>
      <c r="AT495">
        <f>'T_TTAFStock'!AR7</f>
        <v/>
      </c>
      <c r="AU495">
        <f>'T_TTAFStock'!AS7</f>
        <v/>
      </c>
      <c r="AV495">
        <f>'T_TTAFStock'!AT7</f>
        <v/>
      </c>
      <c r="AW495">
        <f>'T_TTAFStock'!AU7</f>
        <v/>
      </c>
      <c r="AX495">
        <f>'T_TTAFStock'!AV7</f>
        <v/>
      </c>
      <c r="AY495">
        <f>'T_TTAFStock'!AW7</f>
        <v/>
      </c>
      <c r="AZ495">
        <f>'T_TTAFStock'!AX7</f>
        <v/>
      </c>
      <c r="BA495">
        <f>'T_TTAFStock'!AY7</f>
        <v/>
      </c>
      <c r="BB495">
        <f>'T_TTAFStock'!AZ7</f>
        <v/>
      </c>
      <c r="BC495">
        <f>'T_TTAFStock'!BA7</f>
        <v/>
      </c>
      <c r="BD495">
        <f>'T_TTAFStock'!BB7</f>
        <v/>
      </c>
      <c r="BE495">
        <f>'T_TTAFStock'!BC7</f>
        <v/>
      </c>
      <c r="BF495">
        <f>'T_TTAFStock'!BD7</f>
        <v/>
      </c>
      <c r="BG495">
        <f>'T_TTAFStock'!BE7</f>
        <v/>
      </c>
      <c r="BH495">
        <f>'T_TTAFStock'!BF7</f>
        <v/>
      </c>
      <c r="BI495">
        <f>'T_TTAFStock'!BG7</f>
        <v/>
      </c>
      <c r="BJ495">
        <f>'T_TTAFStock'!BH7</f>
        <v/>
      </c>
      <c r="BK495">
        <f>'T_TTAFStock'!BI7</f>
        <v/>
      </c>
      <c r="BL495">
        <f>'T_TTAFStock'!BJ7</f>
        <v/>
      </c>
      <c r="BM495">
        <f>'T_TTAFStock'!BK7</f>
        <v/>
      </c>
      <c r="BN495">
        <f>'T_TTAFStock'!BL7</f>
        <v/>
      </c>
      <c r="BO495">
        <f>'T_TTAFStock'!BM7</f>
        <v/>
      </c>
      <c r="BP495">
        <f>'T_TTAFStock'!BN7</f>
        <v/>
      </c>
      <c r="BQ495">
        <f>'T_TTAFStock'!BO7</f>
        <v/>
      </c>
      <c r="BR495">
        <f>'T_TTAFStock'!BP7</f>
        <v/>
      </c>
      <c r="BS495">
        <f>'T_TTAFStock'!BQ7</f>
        <v/>
      </c>
      <c r="BT495">
        <f>'T_TTAFStock'!BR7</f>
        <v/>
      </c>
      <c r="BU495">
        <f>'T_TTAFStock'!BS7</f>
        <v/>
      </c>
      <c r="BV495">
        <f>'T_TTAFStock'!BT7</f>
        <v/>
      </c>
      <c r="BW495">
        <f>'T_TTAFStock'!BU7</f>
        <v/>
      </c>
      <c r="BX495">
        <f>'T_TTAFStock'!BV7</f>
        <v/>
      </c>
      <c r="BY495">
        <f>'T_TTAFStock'!BW7</f>
        <v/>
      </c>
      <c r="BZ495">
        <f>'T_TTAFStock'!BX7</f>
        <v/>
      </c>
      <c r="CA495">
        <f>'T_TTAFStock'!BY7</f>
        <v/>
      </c>
      <c r="CB495">
        <f>'T_TTAFStock'!BZ7</f>
        <v/>
      </c>
      <c r="CC495">
        <f>'T_TTAFStock'!CA7</f>
        <v/>
      </c>
      <c r="CD495">
        <f>'T_TTAFStock'!CB7</f>
        <v/>
      </c>
      <c r="CE495">
        <f>'T_TTAFStock'!CC7</f>
        <v/>
      </c>
      <c r="CF495">
        <f>'T_TTAFStock'!CD7</f>
        <v/>
      </c>
      <c r="CG495">
        <f>'T_TTAFStock'!CE7</f>
        <v/>
      </c>
      <c r="CH495">
        <f>'T_TTAFStock'!CF7</f>
        <v/>
      </c>
      <c r="CI495">
        <f>'T_TTAFStock'!CG7</f>
        <v/>
      </c>
      <c r="CJ495">
        <f>'T_TTAFStock'!CH7</f>
        <v/>
      </c>
      <c r="CK495">
        <f>'T_TTAFStock'!CI7</f>
        <v/>
      </c>
      <c r="CL495">
        <f>'T_TTAFStock'!CJ7</f>
        <v/>
      </c>
      <c r="CM495">
        <f>'T_TTAFStock'!CK7</f>
        <v/>
      </c>
      <c r="CN495">
        <f>'T_TTAFStock'!CL7</f>
        <v/>
      </c>
      <c r="CO495">
        <f>'T_TTAFStock'!CM7</f>
        <v/>
      </c>
      <c r="CP495">
        <f>'T_TTAFStock'!CN7</f>
        <v/>
      </c>
      <c r="CQ495">
        <f>'T_TTAFStock'!CO7</f>
        <v/>
      </c>
      <c r="CR495">
        <f>'T_TTAFStock'!CP7</f>
        <v/>
      </c>
      <c r="CS495">
        <f>'T_TTAFStock'!CQ7</f>
        <v/>
      </c>
      <c r="CT495">
        <f>'T_TTAFStock'!CR7</f>
        <v/>
      </c>
      <c r="CU495">
        <f>'T_TTAFStock'!CS7</f>
        <v/>
      </c>
      <c r="CV495">
        <f>'T_TTAFStock'!CT7</f>
        <v/>
      </c>
      <c r="CW495">
        <f>'T_TTAFStock'!CU7</f>
        <v/>
      </c>
      <c r="CX495">
        <f>'T_TTAFStock'!CV7</f>
        <v/>
      </c>
      <c r="CY495">
        <f>'T_TTAFStock'!CW7</f>
        <v/>
      </c>
      <c r="CZ495">
        <f>'T_TTAFStock'!CX7</f>
        <v/>
      </c>
      <c r="DA495">
        <f>'T_TTAFStock'!CY7</f>
        <v/>
      </c>
      <c r="DB495">
        <f>'T_TTAFStock'!CZ7</f>
        <v/>
      </c>
      <c r="DC495">
        <f>'T_TTAFStock'!DA7</f>
        <v/>
      </c>
    </row>
    <row r="496">
      <c r="B496" t="inlineStr">
        <is>
          <t>自社在庫(実績,kg)</t>
        </is>
      </c>
      <c r="D496">
        <f>'T_SelfStock'!B7</f>
        <v/>
      </c>
      <c r="E496">
        <f>'T_SelfStock'!C7</f>
        <v/>
      </c>
      <c r="F496">
        <f>'T_SelfStock'!D7</f>
        <v/>
      </c>
      <c r="G496">
        <f>'T_SelfStock'!E7</f>
        <v/>
      </c>
      <c r="H496">
        <f>'T_SelfStock'!F7</f>
        <v/>
      </c>
      <c r="I496">
        <f>'T_SelfStock'!G7</f>
        <v/>
      </c>
      <c r="J496">
        <f>'T_SelfStock'!H7</f>
        <v/>
      </c>
      <c r="K496">
        <f>'T_SelfStock'!I7</f>
        <v/>
      </c>
      <c r="L496">
        <f>'T_SelfStock'!J7</f>
        <v/>
      </c>
      <c r="M496">
        <f>'T_SelfStock'!K7</f>
        <v/>
      </c>
      <c r="N496">
        <f>'T_SelfStock'!L7</f>
        <v/>
      </c>
      <c r="O496">
        <f>'T_SelfStock'!M7</f>
        <v/>
      </c>
      <c r="P496">
        <f>'T_SelfStock'!N7</f>
        <v/>
      </c>
      <c r="Q496">
        <f>'T_SelfStock'!O7</f>
        <v/>
      </c>
      <c r="R496">
        <f>'T_SelfStock'!P7</f>
        <v/>
      </c>
      <c r="S496">
        <f>'T_SelfStock'!Q7</f>
        <v/>
      </c>
      <c r="T496">
        <f>'T_SelfStock'!R7</f>
        <v/>
      </c>
      <c r="U496">
        <f>'T_SelfStock'!S7</f>
        <v/>
      </c>
      <c r="V496">
        <f>'T_SelfStock'!T7</f>
        <v/>
      </c>
      <c r="W496">
        <f>'T_SelfStock'!U7</f>
        <v/>
      </c>
      <c r="X496">
        <f>'T_SelfStock'!V7</f>
        <v/>
      </c>
      <c r="Y496">
        <f>'T_SelfStock'!W7</f>
        <v/>
      </c>
      <c r="Z496">
        <f>'T_SelfStock'!X7</f>
        <v/>
      </c>
      <c r="AA496">
        <f>'T_SelfStock'!Y7</f>
        <v/>
      </c>
      <c r="AB496">
        <f>'T_SelfStock'!Z7</f>
        <v/>
      </c>
      <c r="AC496">
        <f>'T_SelfStock'!AA7</f>
        <v/>
      </c>
      <c r="AD496">
        <f>'T_SelfStock'!AB7</f>
        <v/>
      </c>
      <c r="AE496">
        <f>'T_SelfStock'!AC7</f>
        <v/>
      </c>
      <c r="AF496">
        <f>'T_SelfStock'!AD7</f>
        <v/>
      </c>
      <c r="AG496">
        <f>'T_SelfStock'!AE7</f>
        <v/>
      </c>
      <c r="AH496">
        <f>'T_SelfStock'!AF7</f>
        <v/>
      </c>
      <c r="AI496">
        <f>'T_SelfStock'!AG7</f>
        <v/>
      </c>
      <c r="AJ496">
        <f>'T_SelfStock'!AH7</f>
        <v/>
      </c>
      <c r="AK496">
        <f>'T_SelfStock'!AI7</f>
        <v/>
      </c>
      <c r="AL496">
        <f>'T_SelfStock'!AJ7</f>
        <v/>
      </c>
      <c r="AM496">
        <f>'T_SelfStock'!AK7</f>
        <v/>
      </c>
      <c r="AN496">
        <f>'T_SelfStock'!AL7</f>
        <v/>
      </c>
      <c r="AO496">
        <f>'T_SelfStock'!AM7</f>
        <v/>
      </c>
      <c r="AP496">
        <f>'T_SelfStock'!AN7</f>
        <v/>
      </c>
      <c r="AQ496">
        <f>'T_SelfStock'!AO7</f>
        <v/>
      </c>
      <c r="AR496">
        <f>'T_SelfStock'!AP7</f>
        <v/>
      </c>
      <c r="AS496">
        <f>'T_SelfStock'!AQ7</f>
        <v/>
      </c>
      <c r="AT496">
        <f>'T_SelfStock'!AR7</f>
        <v/>
      </c>
      <c r="AU496">
        <f>'T_SelfStock'!AS7</f>
        <v/>
      </c>
      <c r="AV496">
        <f>'T_SelfStock'!AT7</f>
        <v/>
      </c>
      <c r="AW496">
        <f>'T_SelfStock'!AU7</f>
        <v/>
      </c>
      <c r="AX496">
        <f>'T_SelfStock'!AV7</f>
        <v/>
      </c>
      <c r="AY496">
        <f>'T_SelfStock'!AW7</f>
        <v/>
      </c>
      <c r="AZ496">
        <f>'T_SelfStock'!AX7</f>
        <v/>
      </c>
      <c r="BA496">
        <f>'T_SelfStock'!AY7</f>
        <v/>
      </c>
      <c r="BB496">
        <f>'T_SelfStock'!AZ7</f>
        <v/>
      </c>
      <c r="BC496">
        <f>'T_SelfStock'!BA7</f>
        <v/>
      </c>
      <c r="BD496">
        <f>'T_SelfStock'!BB7</f>
        <v/>
      </c>
      <c r="BE496">
        <f>'T_SelfStock'!BC7</f>
        <v/>
      </c>
      <c r="BF496">
        <f>'T_SelfStock'!BD7</f>
        <v/>
      </c>
      <c r="BG496">
        <f>'T_SelfStock'!BE7</f>
        <v/>
      </c>
      <c r="BH496">
        <f>'T_SelfStock'!BF7</f>
        <v/>
      </c>
      <c r="BI496">
        <f>'T_SelfStock'!BG7</f>
        <v/>
      </c>
      <c r="BJ496">
        <f>'T_SelfStock'!BH7</f>
        <v/>
      </c>
      <c r="BK496">
        <f>'T_SelfStock'!BI7</f>
        <v/>
      </c>
      <c r="BL496">
        <f>'T_SelfStock'!BJ7</f>
        <v/>
      </c>
      <c r="BM496">
        <f>'T_SelfStock'!BK7</f>
        <v/>
      </c>
      <c r="BN496">
        <f>'T_SelfStock'!BL7</f>
        <v/>
      </c>
      <c r="BO496">
        <f>'T_SelfStock'!BM7</f>
        <v/>
      </c>
      <c r="BP496">
        <f>'T_SelfStock'!BN7</f>
        <v/>
      </c>
      <c r="BQ496">
        <f>'T_SelfStock'!BO7</f>
        <v/>
      </c>
      <c r="BR496">
        <f>'T_SelfStock'!BP7</f>
        <v/>
      </c>
      <c r="BS496">
        <f>'T_SelfStock'!BQ7</f>
        <v/>
      </c>
      <c r="BT496">
        <f>'T_SelfStock'!BR7</f>
        <v/>
      </c>
      <c r="BU496">
        <f>'T_SelfStock'!BS7</f>
        <v/>
      </c>
      <c r="BV496">
        <f>'T_SelfStock'!BT7</f>
        <v/>
      </c>
      <c r="BW496">
        <f>'T_SelfStock'!BU7</f>
        <v/>
      </c>
      <c r="BX496">
        <f>'T_SelfStock'!BV7</f>
        <v/>
      </c>
      <c r="BY496">
        <f>'T_SelfStock'!BW7</f>
        <v/>
      </c>
      <c r="BZ496">
        <f>'T_SelfStock'!BX7</f>
        <v/>
      </c>
      <c r="CA496">
        <f>'T_SelfStock'!BY7</f>
        <v/>
      </c>
      <c r="CB496">
        <f>'T_SelfStock'!BZ7</f>
        <v/>
      </c>
      <c r="CC496">
        <f>'T_SelfStock'!CA7</f>
        <v/>
      </c>
      <c r="CD496">
        <f>'T_SelfStock'!CB7</f>
        <v/>
      </c>
      <c r="CE496">
        <f>'T_SelfStock'!CC7</f>
        <v/>
      </c>
      <c r="CF496">
        <f>'T_SelfStock'!CD7</f>
        <v/>
      </c>
      <c r="CG496">
        <f>'T_SelfStock'!CE7</f>
        <v/>
      </c>
      <c r="CH496">
        <f>'T_SelfStock'!CF7</f>
        <v/>
      </c>
      <c r="CI496">
        <f>'T_SelfStock'!CG7</f>
        <v/>
      </c>
      <c r="CJ496">
        <f>'T_SelfStock'!CH7</f>
        <v/>
      </c>
      <c r="CK496">
        <f>'T_SelfStock'!CI7</f>
        <v/>
      </c>
      <c r="CL496">
        <f>'T_SelfStock'!CJ7</f>
        <v/>
      </c>
      <c r="CM496">
        <f>'T_SelfStock'!CK7</f>
        <v/>
      </c>
      <c r="CN496">
        <f>'T_SelfStock'!CL7</f>
        <v/>
      </c>
      <c r="CO496">
        <f>'T_SelfStock'!CM7</f>
        <v/>
      </c>
      <c r="CP496">
        <f>'T_SelfStock'!CN7</f>
        <v/>
      </c>
      <c r="CQ496">
        <f>'T_SelfStock'!CO7</f>
        <v/>
      </c>
      <c r="CR496">
        <f>'T_SelfStock'!CP7</f>
        <v/>
      </c>
      <c r="CS496">
        <f>'T_SelfStock'!CQ7</f>
        <v/>
      </c>
      <c r="CT496">
        <f>'T_SelfStock'!CR7</f>
        <v/>
      </c>
      <c r="CU496">
        <f>'T_SelfStock'!CS7</f>
        <v/>
      </c>
      <c r="CV496">
        <f>'T_SelfStock'!CT7</f>
        <v/>
      </c>
      <c r="CW496">
        <f>'T_SelfStock'!CU7</f>
        <v/>
      </c>
      <c r="CX496">
        <f>'T_SelfStock'!CV7</f>
        <v/>
      </c>
      <c r="CY496">
        <f>'T_SelfStock'!CW7</f>
        <v/>
      </c>
      <c r="CZ496">
        <f>'T_SelfStock'!CX7</f>
        <v/>
      </c>
      <c r="DA496">
        <f>'T_SelfStock'!CY7</f>
        <v/>
      </c>
      <c r="DB496">
        <f>'T_SelfStock'!CZ7</f>
        <v/>
      </c>
      <c r="DC496">
        <f>'T_SelfStock'!DA7</f>
        <v/>
      </c>
    </row>
    <row r="497">
      <c r="B497" s="4" t="inlineStr">
        <is>
          <t>合計在庫(週末時点,kg)</t>
        </is>
      </c>
      <c r="D497">
        <f>'Grid_Stock'!B3</f>
        <v/>
      </c>
      <c r="E497">
        <f>'Grid_Stock'!C3</f>
        <v/>
      </c>
      <c r="F497">
        <f>'Grid_Stock'!D3</f>
        <v/>
      </c>
      <c r="G497">
        <f>'Grid_Stock'!E3</f>
        <v/>
      </c>
      <c r="H497">
        <f>'Grid_Stock'!F3</f>
        <v/>
      </c>
      <c r="I497">
        <f>'Grid_Stock'!G3</f>
        <v/>
      </c>
      <c r="J497">
        <f>'Grid_Stock'!H3</f>
        <v/>
      </c>
      <c r="K497">
        <f>'Grid_Stock'!I3</f>
        <v/>
      </c>
      <c r="L497">
        <f>'Grid_Stock'!J3</f>
        <v/>
      </c>
      <c r="M497">
        <f>'Grid_Stock'!K3</f>
        <v/>
      </c>
      <c r="N497">
        <f>'Grid_Stock'!L3</f>
        <v/>
      </c>
      <c r="O497">
        <f>'Grid_Stock'!M3</f>
        <v/>
      </c>
      <c r="P497">
        <f>'Grid_Stock'!N3</f>
        <v/>
      </c>
      <c r="Q497">
        <f>'Grid_Stock'!O3</f>
        <v/>
      </c>
      <c r="R497">
        <f>'Grid_Stock'!P3</f>
        <v/>
      </c>
      <c r="S497">
        <f>'Grid_Stock'!Q3</f>
        <v/>
      </c>
      <c r="T497">
        <f>'Grid_Stock'!R3</f>
        <v/>
      </c>
      <c r="U497">
        <f>'Grid_Stock'!S3</f>
        <v/>
      </c>
      <c r="V497">
        <f>'Grid_Stock'!T3</f>
        <v/>
      </c>
      <c r="W497">
        <f>'Grid_Stock'!U3</f>
        <v/>
      </c>
      <c r="X497">
        <f>'Grid_Stock'!V3</f>
        <v/>
      </c>
      <c r="Y497">
        <f>'Grid_Stock'!W3</f>
        <v/>
      </c>
      <c r="Z497">
        <f>'Grid_Stock'!X3</f>
        <v/>
      </c>
      <c r="AA497">
        <f>'Grid_Stock'!Y3</f>
        <v/>
      </c>
      <c r="AB497">
        <f>'Grid_Stock'!Z3</f>
        <v/>
      </c>
      <c r="AC497">
        <f>'Grid_Stock'!AA3</f>
        <v/>
      </c>
      <c r="AD497">
        <f>'Grid_Stock'!AB3</f>
        <v/>
      </c>
      <c r="AE497">
        <f>'Grid_Stock'!AC3</f>
        <v/>
      </c>
      <c r="AF497">
        <f>'Grid_Stock'!AD3</f>
        <v/>
      </c>
      <c r="AG497">
        <f>'Grid_Stock'!AE3</f>
        <v/>
      </c>
      <c r="AH497">
        <f>'Grid_Stock'!AF3</f>
        <v/>
      </c>
      <c r="AI497">
        <f>'Grid_Stock'!AG3</f>
        <v/>
      </c>
      <c r="AJ497">
        <f>'Grid_Stock'!AH3</f>
        <v/>
      </c>
      <c r="AK497">
        <f>'Grid_Stock'!AI3</f>
        <v/>
      </c>
      <c r="AL497">
        <f>'Grid_Stock'!AJ3</f>
        <v/>
      </c>
      <c r="AM497">
        <f>'Grid_Stock'!AK3</f>
        <v/>
      </c>
      <c r="AN497">
        <f>'Grid_Stock'!AL3</f>
        <v/>
      </c>
      <c r="AO497">
        <f>'Grid_Stock'!AM3</f>
        <v/>
      </c>
      <c r="AP497">
        <f>'Grid_Stock'!AN3</f>
        <v/>
      </c>
      <c r="AQ497">
        <f>'Grid_Stock'!AO3</f>
        <v/>
      </c>
      <c r="AR497">
        <f>'Grid_Stock'!AP3</f>
        <v/>
      </c>
      <c r="AS497">
        <f>'Grid_Stock'!AQ3</f>
        <v/>
      </c>
      <c r="AT497">
        <f>'Grid_Stock'!AR3</f>
        <v/>
      </c>
      <c r="AU497">
        <f>'Grid_Stock'!AS3</f>
        <v/>
      </c>
      <c r="AV497">
        <f>'Grid_Stock'!AT3</f>
        <v/>
      </c>
      <c r="AW497">
        <f>'Grid_Stock'!AU3</f>
        <v/>
      </c>
      <c r="AX497">
        <f>'Grid_Stock'!AV3</f>
        <v/>
      </c>
      <c r="AY497">
        <f>'Grid_Stock'!AW3</f>
        <v/>
      </c>
      <c r="AZ497">
        <f>'Grid_Stock'!AX3</f>
        <v/>
      </c>
      <c r="BA497">
        <f>'Grid_Stock'!AY3</f>
        <v/>
      </c>
      <c r="BB497">
        <f>'Grid_Stock'!AZ3</f>
        <v/>
      </c>
      <c r="BC497">
        <f>'Grid_Stock'!BA3</f>
        <v/>
      </c>
      <c r="BD497">
        <f>'Grid_Stock'!BB3</f>
        <v/>
      </c>
      <c r="BE497">
        <f>'Grid_Stock'!BC3</f>
        <v/>
      </c>
      <c r="BF497">
        <f>'Grid_Stock'!BD3</f>
        <v/>
      </c>
      <c r="BG497">
        <f>'Grid_Stock'!BE3</f>
        <v/>
      </c>
      <c r="BH497">
        <f>'Grid_Stock'!BF3</f>
        <v/>
      </c>
      <c r="BI497">
        <f>'Grid_Stock'!BG3</f>
        <v/>
      </c>
      <c r="BJ497">
        <f>'Grid_Stock'!BH3</f>
        <v/>
      </c>
      <c r="BK497">
        <f>'Grid_Stock'!BI3</f>
        <v/>
      </c>
      <c r="BL497">
        <f>'Grid_Stock'!BJ3</f>
        <v/>
      </c>
      <c r="BM497">
        <f>'Grid_Stock'!BK3</f>
        <v/>
      </c>
      <c r="BN497">
        <f>'Grid_Stock'!BL3</f>
        <v/>
      </c>
      <c r="BO497">
        <f>'Grid_Stock'!BM3</f>
        <v/>
      </c>
      <c r="BP497">
        <f>'Grid_Stock'!BN3</f>
        <v/>
      </c>
      <c r="BQ497">
        <f>'Grid_Stock'!BO3</f>
        <v/>
      </c>
      <c r="BR497">
        <f>'Grid_Stock'!BP3</f>
        <v/>
      </c>
      <c r="BS497">
        <f>'Grid_Stock'!BQ3</f>
        <v/>
      </c>
      <c r="BT497">
        <f>'Grid_Stock'!BR3</f>
        <v/>
      </c>
      <c r="BU497">
        <f>'Grid_Stock'!BS3</f>
        <v/>
      </c>
      <c r="BV497">
        <f>'Grid_Stock'!BT3</f>
        <v/>
      </c>
      <c r="BW497">
        <f>'Grid_Stock'!BU3</f>
        <v/>
      </c>
      <c r="BX497">
        <f>'Grid_Stock'!BV3</f>
        <v/>
      </c>
      <c r="BY497">
        <f>'Grid_Stock'!BW3</f>
        <v/>
      </c>
      <c r="BZ497">
        <f>'Grid_Stock'!BX3</f>
        <v/>
      </c>
      <c r="CA497">
        <f>'Grid_Stock'!BY3</f>
        <v/>
      </c>
      <c r="CB497">
        <f>'Grid_Stock'!BZ3</f>
        <v/>
      </c>
      <c r="CC497">
        <f>'Grid_Stock'!CA3</f>
        <v/>
      </c>
      <c r="CD497">
        <f>'Grid_Stock'!CB3</f>
        <v/>
      </c>
      <c r="CE497">
        <f>'Grid_Stock'!CC3</f>
        <v/>
      </c>
      <c r="CF497">
        <f>'Grid_Stock'!CD3</f>
        <v/>
      </c>
      <c r="CG497">
        <f>'Grid_Stock'!CE3</f>
        <v/>
      </c>
      <c r="CH497">
        <f>'Grid_Stock'!CF3</f>
        <v/>
      </c>
      <c r="CI497">
        <f>'Grid_Stock'!CG3</f>
        <v/>
      </c>
      <c r="CJ497">
        <f>'Grid_Stock'!CH3</f>
        <v/>
      </c>
      <c r="CK497">
        <f>'Grid_Stock'!CI3</f>
        <v/>
      </c>
      <c r="CL497">
        <f>'Grid_Stock'!CJ3</f>
        <v/>
      </c>
      <c r="CM497">
        <f>'Grid_Stock'!CK3</f>
        <v/>
      </c>
      <c r="CN497">
        <f>'Grid_Stock'!CL3</f>
        <v/>
      </c>
      <c r="CO497">
        <f>'Grid_Stock'!CM3</f>
        <v/>
      </c>
      <c r="CP497">
        <f>'Grid_Stock'!CN3</f>
        <v/>
      </c>
      <c r="CQ497">
        <f>'Grid_Stock'!CO3</f>
        <v/>
      </c>
      <c r="CR497">
        <f>'Grid_Stock'!CP3</f>
        <v/>
      </c>
      <c r="CS497">
        <f>'Grid_Stock'!CQ3</f>
        <v/>
      </c>
      <c r="CT497">
        <f>'Grid_Stock'!CR3</f>
        <v/>
      </c>
      <c r="CU497">
        <f>'Grid_Stock'!CS3</f>
        <v/>
      </c>
      <c r="CV497">
        <f>'Grid_Stock'!CT3</f>
        <v/>
      </c>
      <c r="CW497">
        <f>'Grid_Stock'!CU3</f>
        <v/>
      </c>
      <c r="CX497">
        <f>'Grid_Stock'!CV3</f>
        <v/>
      </c>
      <c r="CY497">
        <f>'Grid_Stock'!CW3</f>
        <v/>
      </c>
      <c r="CZ497">
        <f>'Grid_Stock'!CX3</f>
        <v/>
      </c>
      <c r="DA497">
        <f>'Grid_Stock'!CY3</f>
        <v/>
      </c>
      <c r="DB497">
        <f>'Grid_Stock'!CZ3</f>
        <v/>
      </c>
      <c r="DC497">
        <f>'Grid_Stock'!DA3</f>
        <v/>
      </c>
    </row>
    <row r="498">
      <c r="B498" s="16" t="inlineStr">
        <is>
          <t>（発注の目安はDashboardの基準在庫[下限/上限]と色分けを参照）</t>
        </is>
      </c>
    </row>
    <row r="500">
      <c r="A500" s="14" t="inlineStr">
        <is>
          <t>CHEM-1600</t>
        </is>
      </c>
      <c r="B500" s="14" t="inlineStr">
        <is>
          <t>BF-1P</t>
        </is>
      </c>
      <c r="C500" s="15" t="n"/>
      <c r="D500" s="14" t="n"/>
      <c r="E500" s="14" t="n"/>
      <c r="F500" s="14" t="n"/>
      <c r="G500" s="14" t="n"/>
      <c r="H500" s="14" t="n"/>
      <c r="I500" s="14" t="n"/>
      <c r="J500" s="14" t="n"/>
      <c r="K500" s="14" t="n"/>
      <c r="L500" s="14" t="n"/>
      <c r="M500" s="14" t="n"/>
      <c r="N500" s="14" t="n"/>
      <c r="O500" s="14" t="n"/>
      <c r="P500" s="14" t="n"/>
      <c r="Q500" s="14" t="n"/>
      <c r="R500" s="14" t="n"/>
      <c r="S500" s="14" t="n"/>
      <c r="T500" s="14" t="n"/>
      <c r="U500" s="14" t="n"/>
      <c r="V500" s="14" t="n"/>
      <c r="W500" s="14" t="n"/>
      <c r="X500" s="14" t="n"/>
      <c r="Y500" s="14" t="n"/>
      <c r="Z500" s="14" t="n"/>
      <c r="AA500" s="14" t="n"/>
      <c r="AB500" s="14" t="n"/>
      <c r="AC500" s="14" t="n"/>
      <c r="AD500" s="14" t="n"/>
      <c r="AE500" s="14" t="n"/>
      <c r="AF500" s="14" t="n"/>
      <c r="AG500" s="14" t="n"/>
      <c r="AH500" s="14" t="n"/>
      <c r="AI500" s="14" t="n"/>
      <c r="AJ500" s="14" t="n"/>
      <c r="AK500" s="14" t="n"/>
      <c r="AL500" s="14" t="n"/>
      <c r="AM500" s="14" t="n"/>
      <c r="AN500" s="14" t="n"/>
      <c r="AO500" s="14" t="n"/>
      <c r="AP500" s="14" t="n"/>
      <c r="AQ500" s="14" t="n"/>
      <c r="AR500" s="14" t="n"/>
      <c r="AS500" s="14" t="n"/>
      <c r="AT500" s="14" t="n"/>
      <c r="AU500" s="14" t="n"/>
      <c r="AV500" s="14" t="n"/>
      <c r="AW500" s="14" t="n"/>
      <c r="AX500" s="14" t="n"/>
      <c r="AY500" s="14" t="n"/>
      <c r="AZ500" s="14" t="n"/>
      <c r="BA500" s="14" t="n"/>
      <c r="BB500" s="14" t="n"/>
      <c r="BC500" s="14" t="n"/>
      <c r="BD500" s="14" t="n"/>
      <c r="BE500" s="14" t="n"/>
      <c r="BF500" s="14" t="n"/>
      <c r="BG500" s="14" t="n"/>
      <c r="BH500" s="14" t="n"/>
      <c r="BI500" s="14" t="n"/>
      <c r="BJ500" s="14" t="n"/>
      <c r="BK500" s="14" t="n"/>
      <c r="BL500" s="14" t="n"/>
      <c r="BM500" s="14" t="n"/>
      <c r="BN500" s="14" t="n"/>
      <c r="BO500" s="14" t="n"/>
      <c r="BP500" s="14" t="n"/>
      <c r="BQ500" s="14" t="n"/>
      <c r="BR500" s="14" t="n"/>
      <c r="BS500" s="14" t="n"/>
      <c r="BT500" s="14" t="n"/>
      <c r="BU500" s="14" t="n"/>
      <c r="BV500" s="14" t="n"/>
      <c r="BW500" s="14" t="n"/>
      <c r="BX500" s="14" t="n"/>
      <c r="BY500" s="14" t="n"/>
      <c r="BZ500" s="14" t="n"/>
      <c r="CA500" s="14" t="n"/>
      <c r="CB500" s="14" t="n"/>
      <c r="CC500" s="14" t="n"/>
      <c r="CD500" s="14" t="n"/>
      <c r="CE500" s="14" t="n"/>
      <c r="CF500" s="14" t="n"/>
      <c r="CG500" s="14" t="n"/>
      <c r="CH500" s="14" t="n"/>
      <c r="CI500" s="14" t="n"/>
      <c r="CJ500" s="14" t="n"/>
      <c r="CK500" s="14" t="n"/>
      <c r="CL500" s="14" t="n"/>
      <c r="CM500" s="14" t="n"/>
      <c r="CN500" s="14" t="n"/>
      <c r="CO500" s="14" t="n"/>
      <c r="CP500" s="14" t="n"/>
      <c r="CQ500" s="14" t="n"/>
      <c r="CR500" s="14" t="n"/>
      <c r="CS500" s="14" t="n"/>
      <c r="CT500" s="14" t="n"/>
      <c r="CU500" s="14" t="n"/>
      <c r="CV500" s="14" t="n"/>
      <c r="CW500" s="14" t="n"/>
      <c r="CX500" s="14" t="n"/>
      <c r="CY500" s="14" t="n"/>
      <c r="CZ500" s="14" t="n"/>
      <c r="DA500" s="14" t="n"/>
      <c r="DB500" s="14" t="n"/>
      <c r="DC500" s="14" t="n"/>
    </row>
    <row r="501">
      <c r="B501" t="inlineStr">
        <is>
          <t>TSP-219</t>
        </is>
      </c>
      <c r="C501" t="inlineStr">
        <is>
          <t>No. of batches</t>
        </is>
      </c>
      <c r="D501">
        <f>IFERROR(INDEX(PP_Grid[#Data],$DD501,2),0)</f>
        <v/>
      </c>
      <c r="E501">
        <f>IFERROR(INDEX(PP_Grid[#Data],$DD501,3),0)</f>
        <v/>
      </c>
      <c r="F501">
        <f>IFERROR(INDEX(PP_Grid[#Data],$DD501,4),0)</f>
        <v/>
      </c>
      <c r="G501">
        <f>IFERROR(INDEX(PP_Grid[#Data],$DD501,5),0)</f>
        <v/>
      </c>
      <c r="H501">
        <f>IFERROR(INDEX(PP_Grid[#Data],$DD501,6),0)</f>
        <v/>
      </c>
      <c r="I501">
        <f>IFERROR(INDEX(PP_Grid[#Data],$DD501,7),0)</f>
        <v/>
      </c>
      <c r="J501">
        <f>IFERROR(INDEX(PP_Grid[#Data],$DD501,8),0)</f>
        <v/>
      </c>
      <c r="K501">
        <f>IFERROR(INDEX(PP_Grid[#Data],$DD501,9),0)</f>
        <v/>
      </c>
      <c r="L501">
        <f>IFERROR(INDEX(PP_Grid[#Data],$DD501,10),0)</f>
        <v/>
      </c>
      <c r="M501">
        <f>IFERROR(INDEX(PP_Grid[#Data],$DD501,11),0)</f>
        <v/>
      </c>
      <c r="N501">
        <f>IFERROR(INDEX(PP_Grid[#Data],$DD501,12),0)</f>
        <v/>
      </c>
      <c r="O501">
        <f>IFERROR(INDEX(PP_Grid[#Data],$DD501,13),0)</f>
        <v/>
      </c>
      <c r="P501">
        <f>IFERROR(INDEX(PP_Grid[#Data],$DD501,14),0)</f>
        <v/>
      </c>
      <c r="Q501">
        <f>IFERROR(INDEX(PP_Grid[#Data],$DD501,15),0)</f>
        <v/>
      </c>
      <c r="R501">
        <f>IFERROR(INDEX(PP_Grid[#Data],$DD501,16),0)</f>
        <v/>
      </c>
      <c r="S501">
        <f>IFERROR(INDEX(PP_Grid[#Data],$DD501,17),0)</f>
        <v/>
      </c>
      <c r="T501">
        <f>IFERROR(INDEX(PP_Grid[#Data],$DD501,18),0)</f>
        <v/>
      </c>
      <c r="U501">
        <f>IFERROR(INDEX(PP_Grid[#Data],$DD501,19),0)</f>
        <v/>
      </c>
      <c r="V501">
        <f>IFERROR(INDEX(PP_Grid[#Data],$DD501,20),0)</f>
        <v/>
      </c>
      <c r="W501">
        <f>IFERROR(INDEX(PP_Grid[#Data],$DD501,21),0)</f>
        <v/>
      </c>
      <c r="X501">
        <f>IFERROR(INDEX(PP_Grid[#Data],$DD501,22),0)</f>
        <v/>
      </c>
      <c r="Y501">
        <f>IFERROR(INDEX(PP_Grid[#Data],$DD501,23),0)</f>
        <v/>
      </c>
      <c r="Z501">
        <f>IFERROR(INDEX(PP_Grid[#Data],$DD501,24),0)</f>
        <v/>
      </c>
      <c r="AA501">
        <f>IFERROR(INDEX(PP_Grid[#Data],$DD501,25),0)</f>
        <v/>
      </c>
      <c r="AB501">
        <f>IFERROR(INDEX(PP_Grid[#Data],$DD501,26),0)</f>
        <v/>
      </c>
      <c r="AC501">
        <f>IFERROR(INDEX(PP_Grid[#Data],$DD501,27),0)</f>
        <v/>
      </c>
      <c r="AD501">
        <f>IFERROR(INDEX(PP_Grid[#Data],$DD501,28),0)</f>
        <v/>
      </c>
      <c r="AE501">
        <f>IFERROR(INDEX(PP_Grid[#Data],$DD501,29),0)</f>
        <v/>
      </c>
      <c r="AF501">
        <f>IFERROR(INDEX(PP_Grid[#Data],$DD501,30),0)</f>
        <v/>
      </c>
      <c r="AG501">
        <f>IFERROR(INDEX(PP_Grid[#Data],$DD501,31),0)</f>
        <v/>
      </c>
      <c r="AH501">
        <f>IFERROR(INDEX(PP_Grid[#Data],$DD501,32),0)</f>
        <v/>
      </c>
      <c r="AI501">
        <f>IFERROR(INDEX(PP_Grid[#Data],$DD501,33),0)</f>
        <v/>
      </c>
      <c r="AJ501">
        <f>IFERROR(INDEX(PP_Grid[#Data],$DD501,34),0)</f>
        <v/>
      </c>
      <c r="AK501">
        <f>IFERROR(INDEX(PP_Grid[#Data],$DD501,35),0)</f>
        <v/>
      </c>
      <c r="AL501">
        <f>IFERROR(INDEX(PP_Grid[#Data],$DD501,36),0)</f>
        <v/>
      </c>
      <c r="AM501">
        <f>IFERROR(INDEX(PP_Grid[#Data],$DD501,37),0)</f>
        <v/>
      </c>
      <c r="AN501">
        <f>IFERROR(INDEX(PP_Grid[#Data],$DD501,38),0)</f>
        <v/>
      </c>
      <c r="AO501">
        <f>IFERROR(INDEX(PP_Grid[#Data],$DD501,39),0)</f>
        <v/>
      </c>
      <c r="AP501">
        <f>IFERROR(INDEX(PP_Grid[#Data],$DD501,40),0)</f>
        <v/>
      </c>
      <c r="AQ501">
        <f>IFERROR(INDEX(PP_Grid[#Data],$DD501,41),0)</f>
        <v/>
      </c>
      <c r="AR501">
        <f>IFERROR(INDEX(PP_Grid[#Data],$DD501,42),0)</f>
        <v/>
      </c>
      <c r="AS501">
        <f>IFERROR(INDEX(PP_Grid[#Data],$DD501,43),0)</f>
        <v/>
      </c>
      <c r="AT501">
        <f>IFERROR(INDEX(PP_Grid[#Data],$DD501,44),0)</f>
        <v/>
      </c>
      <c r="AU501">
        <f>IFERROR(INDEX(PP_Grid[#Data],$DD501,45),0)</f>
        <v/>
      </c>
      <c r="AV501">
        <f>IFERROR(INDEX(PP_Grid[#Data],$DD501,46),0)</f>
        <v/>
      </c>
      <c r="AW501">
        <f>IFERROR(INDEX(PP_Grid[#Data],$DD501,47),0)</f>
        <v/>
      </c>
      <c r="AX501">
        <f>IFERROR(INDEX(PP_Grid[#Data],$DD501,48),0)</f>
        <v/>
      </c>
      <c r="AY501">
        <f>IFERROR(INDEX(PP_Grid[#Data],$DD501,49),0)</f>
        <v/>
      </c>
      <c r="AZ501">
        <f>IFERROR(INDEX(PP_Grid[#Data],$DD501,50),0)</f>
        <v/>
      </c>
      <c r="BA501">
        <f>IFERROR(INDEX(PP_Grid[#Data],$DD501,51),0)</f>
        <v/>
      </c>
      <c r="BB501">
        <f>IFERROR(INDEX(PP_Grid[#Data],$DD501,52),0)</f>
        <v/>
      </c>
      <c r="BC501">
        <f>IFERROR(INDEX(PP_Grid[#Data],$DD501,53),0)</f>
        <v/>
      </c>
      <c r="BD501">
        <f>IFERROR(INDEX(PP_Grid[#Data],$DD501,54),0)</f>
        <v/>
      </c>
      <c r="BE501">
        <f>IFERROR(INDEX(PP_Grid[#Data],$DD501,55),0)</f>
        <v/>
      </c>
      <c r="BF501">
        <f>IFERROR(INDEX(PP_Grid[#Data],$DD501,56),0)</f>
        <v/>
      </c>
      <c r="BG501">
        <f>IFERROR(INDEX(PP_Grid[#Data],$DD501,57),0)</f>
        <v/>
      </c>
      <c r="BH501">
        <f>IFERROR(INDEX(PP_Grid[#Data],$DD501,58),0)</f>
        <v/>
      </c>
      <c r="BI501">
        <f>IFERROR(INDEX(PP_Grid[#Data],$DD501,59),0)</f>
        <v/>
      </c>
      <c r="BJ501">
        <f>IFERROR(INDEX(PP_Grid[#Data],$DD501,60),0)</f>
        <v/>
      </c>
      <c r="BK501">
        <f>IFERROR(INDEX(PP_Grid[#Data],$DD501,61),0)</f>
        <v/>
      </c>
      <c r="BL501">
        <f>IFERROR(INDEX(PP_Grid[#Data],$DD501,62),0)</f>
        <v/>
      </c>
      <c r="BM501">
        <f>IFERROR(INDEX(PP_Grid[#Data],$DD501,63),0)</f>
        <v/>
      </c>
      <c r="BN501">
        <f>IFERROR(INDEX(PP_Grid[#Data],$DD501,64),0)</f>
        <v/>
      </c>
      <c r="BO501">
        <f>IFERROR(INDEX(PP_Grid[#Data],$DD501,65),0)</f>
        <v/>
      </c>
      <c r="BP501">
        <f>IFERROR(INDEX(PP_Grid[#Data],$DD501,66),0)</f>
        <v/>
      </c>
      <c r="BQ501">
        <f>IFERROR(INDEX(PP_Grid[#Data],$DD501,67),0)</f>
        <v/>
      </c>
      <c r="BR501">
        <f>IFERROR(INDEX(PP_Grid[#Data],$DD501,68),0)</f>
        <v/>
      </c>
      <c r="BS501">
        <f>IFERROR(INDEX(PP_Grid[#Data],$DD501,69),0)</f>
        <v/>
      </c>
      <c r="BT501">
        <f>IFERROR(INDEX(PP_Grid[#Data],$DD501,70),0)</f>
        <v/>
      </c>
      <c r="BU501">
        <f>IFERROR(INDEX(PP_Grid[#Data],$DD501,71),0)</f>
        <v/>
      </c>
      <c r="BV501">
        <f>IFERROR(INDEX(PP_Grid[#Data],$DD501,72),0)</f>
        <v/>
      </c>
      <c r="BW501">
        <f>IFERROR(INDEX(PP_Grid[#Data],$DD501,73),0)</f>
        <v/>
      </c>
      <c r="BX501">
        <f>IFERROR(INDEX(PP_Grid[#Data],$DD501,74),0)</f>
        <v/>
      </c>
      <c r="BY501">
        <f>IFERROR(INDEX(PP_Grid[#Data],$DD501,75),0)</f>
        <v/>
      </c>
      <c r="BZ501">
        <f>IFERROR(INDEX(PP_Grid[#Data],$DD501,76),0)</f>
        <v/>
      </c>
      <c r="CA501">
        <f>IFERROR(INDEX(PP_Grid[#Data],$DD501,77),0)</f>
        <v/>
      </c>
      <c r="CB501">
        <f>IFERROR(INDEX(PP_Grid[#Data],$DD501,78),0)</f>
        <v/>
      </c>
      <c r="CC501">
        <f>IFERROR(INDEX(PP_Grid[#Data],$DD501,79),0)</f>
        <v/>
      </c>
      <c r="CD501">
        <f>IFERROR(INDEX(PP_Grid[#Data],$DD501,80),0)</f>
        <v/>
      </c>
      <c r="CE501">
        <f>IFERROR(INDEX(PP_Grid[#Data],$DD501,81),0)</f>
        <v/>
      </c>
      <c r="CF501">
        <f>IFERROR(INDEX(PP_Grid[#Data],$DD501,82),0)</f>
        <v/>
      </c>
      <c r="CG501">
        <f>IFERROR(INDEX(PP_Grid[#Data],$DD501,83),0)</f>
        <v/>
      </c>
      <c r="CH501">
        <f>IFERROR(INDEX(PP_Grid[#Data],$DD501,84),0)</f>
        <v/>
      </c>
      <c r="CI501">
        <f>IFERROR(INDEX(PP_Grid[#Data],$DD501,85),0)</f>
        <v/>
      </c>
      <c r="CJ501">
        <f>IFERROR(INDEX(PP_Grid[#Data],$DD501,86),0)</f>
        <v/>
      </c>
      <c r="CK501">
        <f>IFERROR(INDEX(PP_Grid[#Data],$DD501,87),0)</f>
        <v/>
      </c>
      <c r="CL501">
        <f>IFERROR(INDEX(PP_Grid[#Data],$DD501,88),0)</f>
        <v/>
      </c>
      <c r="CM501">
        <f>IFERROR(INDEX(PP_Grid[#Data],$DD501,89),0)</f>
        <v/>
      </c>
      <c r="CN501">
        <f>IFERROR(INDEX(PP_Grid[#Data],$DD501,90),0)</f>
        <v/>
      </c>
      <c r="CO501">
        <f>IFERROR(INDEX(PP_Grid[#Data],$DD501,91),0)</f>
        <v/>
      </c>
      <c r="CP501">
        <f>IFERROR(INDEX(PP_Grid[#Data],$DD501,92),0)</f>
        <v/>
      </c>
      <c r="CQ501">
        <f>IFERROR(INDEX(PP_Grid[#Data],$DD501,93),0)</f>
        <v/>
      </c>
      <c r="CR501">
        <f>IFERROR(INDEX(PP_Grid[#Data],$DD501,94),0)</f>
        <v/>
      </c>
      <c r="CS501">
        <f>IFERROR(INDEX(PP_Grid[#Data],$DD501,95),0)</f>
        <v/>
      </c>
      <c r="CT501">
        <f>IFERROR(INDEX(PP_Grid[#Data],$DD501,96),0)</f>
        <v/>
      </c>
      <c r="CU501">
        <f>IFERROR(INDEX(PP_Grid[#Data],$DD501,97),0)</f>
        <v/>
      </c>
      <c r="CV501">
        <f>IFERROR(INDEX(PP_Grid[#Data],$DD501,98),0)</f>
        <v/>
      </c>
      <c r="CW501">
        <f>IFERROR(INDEX(PP_Grid[#Data],$DD501,99),0)</f>
        <v/>
      </c>
      <c r="CX501">
        <f>IFERROR(INDEX(PP_Grid[#Data],$DD501,100),0)</f>
        <v/>
      </c>
      <c r="CY501">
        <f>IFERROR(INDEX(PP_Grid[#Data],$DD501,101),0)</f>
        <v/>
      </c>
      <c r="CZ501">
        <f>IFERROR(INDEX(PP_Grid[#Data],$DD501,102),0)</f>
        <v/>
      </c>
      <c r="DA501">
        <f>IFERROR(INDEX(PP_Grid[#Data],$DD501,103),0)</f>
        <v/>
      </c>
      <c r="DB501">
        <f>IFERROR(INDEX(PP_Grid[#Data],$DD501,104),0)</f>
        <v/>
      </c>
      <c r="DC501">
        <f>IFERROR(INDEX(PP_Grid[#Data],$DD501,105),0)</f>
        <v/>
      </c>
      <c r="DD501" s="7">
        <f>IFERROR(MATCH($B501,PP_Grid[Intermediate],0),99999)</f>
        <v/>
      </c>
    </row>
    <row r="502">
      <c r="B502" t="inlineStr">
        <is>
          <t>使用量(kg)</t>
        </is>
      </c>
      <c r="C502">
        <f>SUMIFS(M_BOM[RM_Qty_Per_Batch],M_BOM[Intermediate],$B501,M_BOM[Part Name],$A500)</f>
        <v/>
      </c>
      <c r="D502">
        <f>$C502*D501</f>
        <v/>
      </c>
      <c r="E502">
        <f>$C502*E501</f>
        <v/>
      </c>
      <c r="F502">
        <f>$C502*F501</f>
        <v/>
      </c>
      <c r="G502">
        <f>$C502*G501</f>
        <v/>
      </c>
      <c r="H502">
        <f>$C502*H501</f>
        <v/>
      </c>
      <c r="I502">
        <f>$C502*I501</f>
        <v/>
      </c>
      <c r="J502">
        <f>$C502*J501</f>
        <v/>
      </c>
      <c r="K502">
        <f>$C502*K501</f>
        <v/>
      </c>
      <c r="L502">
        <f>$C502*L501</f>
        <v/>
      </c>
      <c r="M502">
        <f>$C502*M501</f>
        <v/>
      </c>
      <c r="N502">
        <f>$C502*N501</f>
        <v/>
      </c>
      <c r="O502">
        <f>$C502*O501</f>
        <v/>
      </c>
      <c r="P502">
        <f>$C502*P501</f>
        <v/>
      </c>
      <c r="Q502">
        <f>$C502*Q501</f>
        <v/>
      </c>
      <c r="R502">
        <f>$C502*R501</f>
        <v/>
      </c>
      <c r="S502">
        <f>$C502*S501</f>
        <v/>
      </c>
      <c r="T502">
        <f>$C502*T501</f>
        <v/>
      </c>
      <c r="U502">
        <f>$C502*U501</f>
        <v/>
      </c>
      <c r="V502">
        <f>$C502*V501</f>
        <v/>
      </c>
      <c r="W502">
        <f>$C502*W501</f>
        <v/>
      </c>
      <c r="X502">
        <f>$C502*X501</f>
        <v/>
      </c>
      <c r="Y502">
        <f>$C502*Y501</f>
        <v/>
      </c>
      <c r="Z502">
        <f>$C502*Z501</f>
        <v/>
      </c>
      <c r="AA502">
        <f>$C502*AA501</f>
        <v/>
      </c>
      <c r="AB502">
        <f>$C502*AB501</f>
        <v/>
      </c>
      <c r="AC502">
        <f>$C502*AC501</f>
        <v/>
      </c>
      <c r="AD502">
        <f>$C502*AD501</f>
        <v/>
      </c>
      <c r="AE502">
        <f>$C502*AE501</f>
        <v/>
      </c>
      <c r="AF502">
        <f>$C502*AF501</f>
        <v/>
      </c>
      <c r="AG502">
        <f>$C502*AG501</f>
        <v/>
      </c>
      <c r="AH502">
        <f>$C502*AH501</f>
        <v/>
      </c>
      <c r="AI502">
        <f>$C502*AI501</f>
        <v/>
      </c>
      <c r="AJ502">
        <f>$C502*AJ501</f>
        <v/>
      </c>
      <c r="AK502">
        <f>$C502*AK501</f>
        <v/>
      </c>
      <c r="AL502">
        <f>$C502*AL501</f>
        <v/>
      </c>
      <c r="AM502">
        <f>$C502*AM501</f>
        <v/>
      </c>
      <c r="AN502">
        <f>$C502*AN501</f>
        <v/>
      </c>
      <c r="AO502">
        <f>$C502*AO501</f>
        <v/>
      </c>
      <c r="AP502">
        <f>$C502*AP501</f>
        <v/>
      </c>
      <c r="AQ502">
        <f>$C502*AQ501</f>
        <v/>
      </c>
      <c r="AR502">
        <f>$C502*AR501</f>
        <v/>
      </c>
      <c r="AS502">
        <f>$C502*AS501</f>
        <v/>
      </c>
      <c r="AT502">
        <f>$C502*AT501</f>
        <v/>
      </c>
      <c r="AU502">
        <f>$C502*AU501</f>
        <v/>
      </c>
      <c r="AV502">
        <f>$C502*AV501</f>
        <v/>
      </c>
      <c r="AW502">
        <f>$C502*AW501</f>
        <v/>
      </c>
      <c r="AX502">
        <f>$C502*AX501</f>
        <v/>
      </c>
      <c r="AY502">
        <f>$C502*AY501</f>
        <v/>
      </c>
      <c r="AZ502">
        <f>$C502*AZ501</f>
        <v/>
      </c>
      <c r="BA502">
        <f>$C502*BA501</f>
        <v/>
      </c>
      <c r="BB502">
        <f>$C502*BB501</f>
        <v/>
      </c>
      <c r="BC502">
        <f>$C502*BC501</f>
        <v/>
      </c>
      <c r="BD502">
        <f>$C502*BD501</f>
        <v/>
      </c>
      <c r="BE502">
        <f>$C502*BE501</f>
        <v/>
      </c>
      <c r="BF502">
        <f>$C502*BF501</f>
        <v/>
      </c>
      <c r="BG502">
        <f>$C502*BG501</f>
        <v/>
      </c>
      <c r="BH502">
        <f>$C502*BH501</f>
        <v/>
      </c>
      <c r="BI502">
        <f>$C502*BI501</f>
        <v/>
      </c>
      <c r="BJ502">
        <f>$C502*BJ501</f>
        <v/>
      </c>
      <c r="BK502">
        <f>$C502*BK501</f>
        <v/>
      </c>
      <c r="BL502">
        <f>$C502*BL501</f>
        <v/>
      </c>
      <c r="BM502">
        <f>$C502*BM501</f>
        <v/>
      </c>
      <c r="BN502">
        <f>$C502*BN501</f>
        <v/>
      </c>
      <c r="BO502">
        <f>$C502*BO501</f>
        <v/>
      </c>
      <c r="BP502">
        <f>$C502*BP501</f>
        <v/>
      </c>
      <c r="BQ502">
        <f>$C502*BQ501</f>
        <v/>
      </c>
      <c r="BR502">
        <f>$C502*BR501</f>
        <v/>
      </c>
      <c r="BS502">
        <f>$C502*BS501</f>
        <v/>
      </c>
      <c r="BT502">
        <f>$C502*BT501</f>
        <v/>
      </c>
      <c r="BU502">
        <f>$C502*BU501</f>
        <v/>
      </c>
      <c r="BV502">
        <f>$C502*BV501</f>
        <v/>
      </c>
      <c r="BW502">
        <f>$C502*BW501</f>
        <v/>
      </c>
      <c r="BX502">
        <f>$C502*BX501</f>
        <v/>
      </c>
      <c r="BY502">
        <f>$C502*BY501</f>
        <v/>
      </c>
      <c r="BZ502">
        <f>$C502*BZ501</f>
        <v/>
      </c>
      <c r="CA502">
        <f>$C502*CA501</f>
        <v/>
      </c>
      <c r="CB502">
        <f>$C502*CB501</f>
        <v/>
      </c>
      <c r="CC502">
        <f>$C502*CC501</f>
        <v/>
      </c>
      <c r="CD502">
        <f>$C502*CD501</f>
        <v/>
      </c>
      <c r="CE502">
        <f>$C502*CE501</f>
        <v/>
      </c>
      <c r="CF502">
        <f>$C502*CF501</f>
        <v/>
      </c>
      <c r="CG502">
        <f>$C502*CG501</f>
        <v/>
      </c>
      <c r="CH502">
        <f>$C502*CH501</f>
        <v/>
      </c>
      <c r="CI502">
        <f>$C502*CI501</f>
        <v/>
      </c>
      <c r="CJ502">
        <f>$C502*CJ501</f>
        <v/>
      </c>
      <c r="CK502">
        <f>$C502*CK501</f>
        <v/>
      </c>
      <c r="CL502">
        <f>$C502*CL501</f>
        <v/>
      </c>
      <c r="CM502">
        <f>$C502*CM501</f>
        <v/>
      </c>
      <c r="CN502">
        <f>$C502*CN501</f>
        <v/>
      </c>
      <c r="CO502">
        <f>$C502*CO501</f>
        <v/>
      </c>
      <c r="CP502">
        <f>$C502*CP501</f>
        <v/>
      </c>
      <c r="CQ502">
        <f>$C502*CQ501</f>
        <v/>
      </c>
      <c r="CR502">
        <f>$C502*CR501</f>
        <v/>
      </c>
      <c r="CS502">
        <f>$C502*CS501</f>
        <v/>
      </c>
      <c r="CT502">
        <f>$C502*CT501</f>
        <v/>
      </c>
      <c r="CU502">
        <f>$C502*CU501</f>
        <v/>
      </c>
      <c r="CV502">
        <f>$C502*CV501</f>
        <v/>
      </c>
      <c r="CW502">
        <f>$C502*CW501</f>
        <v/>
      </c>
      <c r="CX502">
        <f>$C502*CX501</f>
        <v/>
      </c>
      <c r="CY502">
        <f>$C502*CY501</f>
        <v/>
      </c>
      <c r="CZ502">
        <f>$C502*CZ501</f>
        <v/>
      </c>
      <c r="DA502">
        <f>$C502*DA501</f>
        <v/>
      </c>
      <c r="DB502">
        <f>$C502*DB501</f>
        <v/>
      </c>
      <c r="DC502">
        <f>$C502*DC501</f>
        <v/>
      </c>
    </row>
    <row r="503">
      <c r="B503" t="inlineStr">
        <is>
          <t>TSP-828</t>
        </is>
      </c>
      <c r="C503" t="inlineStr">
        <is>
          <t>No. of batches</t>
        </is>
      </c>
      <c r="D503">
        <f>IFERROR(INDEX(PP_Grid[#Data],$DD503,2),0)</f>
        <v/>
      </c>
      <c r="E503">
        <f>IFERROR(INDEX(PP_Grid[#Data],$DD503,3),0)</f>
        <v/>
      </c>
      <c r="F503">
        <f>IFERROR(INDEX(PP_Grid[#Data],$DD503,4),0)</f>
        <v/>
      </c>
      <c r="G503">
        <f>IFERROR(INDEX(PP_Grid[#Data],$DD503,5),0)</f>
        <v/>
      </c>
      <c r="H503">
        <f>IFERROR(INDEX(PP_Grid[#Data],$DD503,6),0)</f>
        <v/>
      </c>
      <c r="I503">
        <f>IFERROR(INDEX(PP_Grid[#Data],$DD503,7),0)</f>
        <v/>
      </c>
      <c r="J503">
        <f>IFERROR(INDEX(PP_Grid[#Data],$DD503,8),0)</f>
        <v/>
      </c>
      <c r="K503">
        <f>IFERROR(INDEX(PP_Grid[#Data],$DD503,9),0)</f>
        <v/>
      </c>
      <c r="L503">
        <f>IFERROR(INDEX(PP_Grid[#Data],$DD503,10),0)</f>
        <v/>
      </c>
      <c r="M503">
        <f>IFERROR(INDEX(PP_Grid[#Data],$DD503,11),0)</f>
        <v/>
      </c>
      <c r="N503">
        <f>IFERROR(INDEX(PP_Grid[#Data],$DD503,12),0)</f>
        <v/>
      </c>
      <c r="O503">
        <f>IFERROR(INDEX(PP_Grid[#Data],$DD503,13),0)</f>
        <v/>
      </c>
      <c r="P503">
        <f>IFERROR(INDEX(PP_Grid[#Data],$DD503,14),0)</f>
        <v/>
      </c>
      <c r="Q503">
        <f>IFERROR(INDEX(PP_Grid[#Data],$DD503,15),0)</f>
        <v/>
      </c>
      <c r="R503">
        <f>IFERROR(INDEX(PP_Grid[#Data],$DD503,16),0)</f>
        <v/>
      </c>
      <c r="S503">
        <f>IFERROR(INDEX(PP_Grid[#Data],$DD503,17),0)</f>
        <v/>
      </c>
      <c r="T503">
        <f>IFERROR(INDEX(PP_Grid[#Data],$DD503,18),0)</f>
        <v/>
      </c>
      <c r="U503">
        <f>IFERROR(INDEX(PP_Grid[#Data],$DD503,19),0)</f>
        <v/>
      </c>
      <c r="V503">
        <f>IFERROR(INDEX(PP_Grid[#Data],$DD503,20),0)</f>
        <v/>
      </c>
      <c r="W503">
        <f>IFERROR(INDEX(PP_Grid[#Data],$DD503,21),0)</f>
        <v/>
      </c>
      <c r="X503">
        <f>IFERROR(INDEX(PP_Grid[#Data],$DD503,22),0)</f>
        <v/>
      </c>
      <c r="Y503">
        <f>IFERROR(INDEX(PP_Grid[#Data],$DD503,23),0)</f>
        <v/>
      </c>
      <c r="Z503">
        <f>IFERROR(INDEX(PP_Grid[#Data],$DD503,24),0)</f>
        <v/>
      </c>
      <c r="AA503">
        <f>IFERROR(INDEX(PP_Grid[#Data],$DD503,25),0)</f>
        <v/>
      </c>
      <c r="AB503">
        <f>IFERROR(INDEX(PP_Grid[#Data],$DD503,26),0)</f>
        <v/>
      </c>
      <c r="AC503">
        <f>IFERROR(INDEX(PP_Grid[#Data],$DD503,27),0)</f>
        <v/>
      </c>
      <c r="AD503">
        <f>IFERROR(INDEX(PP_Grid[#Data],$DD503,28),0)</f>
        <v/>
      </c>
      <c r="AE503">
        <f>IFERROR(INDEX(PP_Grid[#Data],$DD503,29),0)</f>
        <v/>
      </c>
      <c r="AF503">
        <f>IFERROR(INDEX(PP_Grid[#Data],$DD503,30),0)</f>
        <v/>
      </c>
      <c r="AG503">
        <f>IFERROR(INDEX(PP_Grid[#Data],$DD503,31),0)</f>
        <v/>
      </c>
      <c r="AH503">
        <f>IFERROR(INDEX(PP_Grid[#Data],$DD503,32),0)</f>
        <v/>
      </c>
      <c r="AI503">
        <f>IFERROR(INDEX(PP_Grid[#Data],$DD503,33),0)</f>
        <v/>
      </c>
      <c r="AJ503">
        <f>IFERROR(INDEX(PP_Grid[#Data],$DD503,34),0)</f>
        <v/>
      </c>
      <c r="AK503">
        <f>IFERROR(INDEX(PP_Grid[#Data],$DD503,35),0)</f>
        <v/>
      </c>
      <c r="AL503">
        <f>IFERROR(INDEX(PP_Grid[#Data],$DD503,36),0)</f>
        <v/>
      </c>
      <c r="AM503">
        <f>IFERROR(INDEX(PP_Grid[#Data],$DD503,37),0)</f>
        <v/>
      </c>
      <c r="AN503">
        <f>IFERROR(INDEX(PP_Grid[#Data],$DD503,38),0)</f>
        <v/>
      </c>
      <c r="AO503">
        <f>IFERROR(INDEX(PP_Grid[#Data],$DD503,39),0)</f>
        <v/>
      </c>
      <c r="AP503">
        <f>IFERROR(INDEX(PP_Grid[#Data],$DD503,40),0)</f>
        <v/>
      </c>
      <c r="AQ503">
        <f>IFERROR(INDEX(PP_Grid[#Data],$DD503,41),0)</f>
        <v/>
      </c>
      <c r="AR503">
        <f>IFERROR(INDEX(PP_Grid[#Data],$DD503,42),0)</f>
        <v/>
      </c>
      <c r="AS503">
        <f>IFERROR(INDEX(PP_Grid[#Data],$DD503,43),0)</f>
        <v/>
      </c>
      <c r="AT503">
        <f>IFERROR(INDEX(PP_Grid[#Data],$DD503,44),0)</f>
        <v/>
      </c>
      <c r="AU503">
        <f>IFERROR(INDEX(PP_Grid[#Data],$DD503,45),0)</f>
        <v/>
      </c>
      <c r="AV503">
        <f>IFERROR(INDEX(PP_Grid[#Data],$DD503,46),0)</f>
        <v/>
      </c>
      <c r="AW503">
        <f>IFERROR(INDEX(PP_Grid[#Data],$DD503,47),0)</f>
        <v/>
      </c>
      <c r="AX503">
        <f>IFERROR(INDEX(PP_Grid[#Data],$DD503,48),0)</f>
        <v/>
      </c>
      <c r="AY503">
        <f>IFERROR(INDEX(PP_Grid[#Data],$DD503,49),0)</f>
        <v/>
      </c>
      <c r="AZ503">
        <f>IFERROR(INDEX(PP_Grid[#Data],$DD503,50),0)</f>
        <v/>
      </c>
      <c r="BA503">
        <f>IFERROR(INDEX(PP_Grid[#Data],$DD503,51),0)</f>
        <v/>
      </c>
      <c r="BB503">
        <f>IFERROR(INDEX(PP_Grid[#Data],$DD503,52),0)</f>
        <v/>
      </c>
      <c r="BC503">
        <f>IFERROR(INDEX(PP_Grid[#Data],$DD503,53),0)</f>
        <v/>
      </c>
      <c r="BD503">
        <f>IFERROR(INDEX(PP_Grid[#Data],$DD503,54),0)</f>
        <v/>
      </c>
      <c r="BE503">
        <f>IFERROR(INDEX(PP_Grid[#Data],$DD503,55),0)</f>
        <v/>
      </c>
      <c r="BF503">
        <f>IFERROR(INDEX(PP_Grid[#Data],$DD503,56),0)</f>
        <v/>
      </c>
      <c r="BG503">
        <f>IFERROR(INDEX(PP_Grid[#Data],$DD503,57),0)</f>
        <v/>
      </c>
      <c r="BH503">
        <f>IFERROR(INDEX(PP_Grid[#Data],$DD503,58),0)</f>
        <v/>
      </c>
      <c r="BI503">
        <f>IFERROR(INDEX(PP_Grid[#Data],$DD503,59),0)</f>
        <v/>
      </c>
      <c r="BJ503">
        <f>IFERROR(INDEX(PP_Grid[#Data],$DD503,60),0)</f>
        <v/>
      </c>
      <c r="BK503">
        <f>IFERROR(INDEX(PP_Grid[#Data],$DD503,61),0)</f>
        <v/>
      </c>
      <c r="BL503">
        <f>IFERROR(INDEX(PP_Grid[#Data],$DD503,62),0)</f>
        <v/>
      </c>
      <c r="BM503">
        <f>IFERROR(INDEX(PP_Grid[#Data],$DD503,63),0)</f>
        <v/>
      </c>
      <c r="BN503">
        <f>IFERROR(INDEX(PP_Grid[#Data],$DD503,64),0)</f>
        <v/>
      </c>
      <c r="BO503">
        <f>IFERROR(INDEX(PP_Grid[#Data],$DD503,65),0)</f>
        <v/>
      </c>
      <c r="BP503">
        <f>IFERROR(INDEX(PP_Grid[#Data],$DD503,66),0)</f>
        <v/>
      </c>
      <c r="BQ503">
        <f>IFERROR(INDEX(PP_Grid[#Data],$DD503,67),0)</f>
        <v/>
      </c>
      <c r="BR503">
        <f>IFERROR(INDEX(PP_Grid[#Data],$DD503,68),0)</f>
        <v/>
      </c>
      <c r="BS503">
        <f>IFERROR(INDEX(PP_Grid[#Data],$DD503,69),0)</f>
        <v/>
      </c>
      <c r="BT503">
        <f>IFERROR(INDEX(PP_Grid[#Data],$DD503,70),0)</f>
        <v/>
      </c>
      <c r="BU503">
        <f>IFERROR(INDEX(PP_Grid[#Data],$DD503,71),0)</f>
        <v/>
      </c>
      <c r="BV503">
        <f>IFERROR(INDEX(PP_Grid[#Data],$DD503,72),0)</f>
        <v/>
      </c>
      <c r="BW503">
        <f>IFERROR(INDEX(PP_Grid[#Data],$DD503,73),0)</f>
        <v/>
      </c>
      <c r="BX503">
        <f>IFERROR(INDEX(PP_Grid[#Data],$DD503,74),0)</f>
        <v/>
      </c>
      <c r="BY503">
        <f>IFERROR(INDEX(PP_Grid[#Data],$DD503,75),0)</f>
        <v/>
      </c>
      <c r="BZ503">
        <f>IFERROR(INDEX(PP_Grid[#Data],$DD503,76),0)</f>
        <v/>
      </c>
      <c r="CA503">
        <f>IFERROR(INDEX(PP_Grid[#Data],$DD503,77),0)</f>
        <v/>
      </c>
      <c r="CB503">
        <f>IFERROR(INDEX(PP_Grid[#Data],$DD503,78),0)</f>
        <v/>
      </c>
      <c r="CC503">
        <f>IFERROR(INDEX(PP_Grid[#Data],$DD503,79),0)</f>
        <v/>
      </c>
      <c r="CD503">
        <f>IFERROR(INDEX(PP_Grid[#Data],$DD503,80),0)</f>
        <v/>
      </c>
      <c r="CE503">
        <f>IFERROR(INDEX(PP_Grid[#Data],$DD503,81),0)</f>
        <v/>
      </c>
      <c r="CF503">
        <f>IFERROR(INDEX(PP_Grid[#Data],$DD503,82),0)</f>
        <v/>
      </c>
      <c r="CG503">
        <f>IFERROR(INDEX(PP_Grid[#Data],$DD503,83),0)</f>
        <v/>
      </c>
      <c r="CH503">
        <f>IFERROR(INDEX(PP_Grid[#Data],$DD503,84),0)</f>
        <v/>
      </c>
      <c r="CI503">
        <f>IFERROR(INDEX(PP_Grid[#Data],$DD503,85),0)</f>
        <v/>
      </c>
      <c r="CJ503">
        <f>IFERROR(INDEX(PP_Grid[#Data],$DD503,86),0)</f>
        <v/>
      </c>
      <c r="CK503">
        <f>IFERROR(INDEX(PP_Grid[#Data],$DD503,87),0)</f>
        <v/>
      </c>
      <c r="CL503">
        <f>IFERROR(INDEX(PP_Grid[#Data],$DD503,88),0)</f>
        <v/>
      </c>
      <c r="CM503">
        <f>IFERROR(INDEX(PP_Grid[#Data],$DD503,89),0)</f>
        <v/>
      </c>
      <c r="CN503">
        <f>IFERROR(INDEX(PP_Grid[#Data],$DD503,90),0)</f>
        <v/>
      </c>
      <c r="CO503">
        <f>IFERROR(INDEX(PP_Grid[#Data],$DD503,91),0)</f>
        <v/>
      </c>
      <c r="CP503">
        <f>IFERROR(INDEX(PP_Grid[#Data],$DD503,92),0)</f>
        <v/>
      </c>
      <c r="CQ503">
        <f>IFERROR(INDEX(PP_Grid[#Data],$DD503,93),0)</f>
        <v/>
      </c>
      <c r="CR503">
        <f>IFERROR(INDEX(PP_Grid[#Data],$DD503,94),0)</f>
        <v/>
      </c>
      <c r="CS503">
        <f>IFERROR(INDEX(PP_Grid[#Data],$DD503,95),0)</f>
        <v/>
      </c>
      <c r="CT503">
        <f>IFERROR(INDEX(PP_Grid[#Data],$DD503,96),0)</f>
        <v/>
      </c>
      <c r="CU503">
        <f>IFERROR(INDEX(PP_Grid[#Data],$DD503,97),0)</f>
        <v/>
      </c>
      <c r="CV503">
        <f>IFERROR(INDEX(PP_Grid[#Data],$DD503,98),0)</f>
        <v/>
      </c>
      <c r="CW503">
        <f>IFERROR(INDEX(PP_Grid[#Data],$DD503,99),0)</f>
        <v/>
      </c>
      <c r="CX503">
        <f>IFERROR(INDEX(PP_Grid[#Data],$DD503,100),0)</f>
        <v/>
      </c>
      <c r="CY503">
        <f>IFERROR(INDEX(PP_Grid[#Data],$DD503,101),0)</f>
        <v/>
      </c>
      <c r="CZ503">
        <f>IFERROR(INDEX(PP_Grid[#Data],$DD503,102),0)</f>
        <v/>
      </c>
      <c r="DA503">
        <f>IFERROR(INDEX(PP_Grid[#Data],$DD503,103),0)</f>
        <v/>
      </c>
      <c r="DB503">
        <f>IFERROR(INDEX(PP_Grid[#Data],$DD503,104),0)</f>
        <v/>
      </c>
      <c r="DC503">
        <f>IFERROR(INDEX(PP_Grid[#Data],$DD503,105),0)</f>
        <v/>
      </c>
      <c r="DD503" s="7">
        <f>IFERROR(MATCH($B503,PP_Grid[Intermediate],0),99999)</f>
        <v/>
      </c>
    </row>
    <row r="504">
      <c r="B504" t="inlineStr">
        <is>
          <t>使用量(kg)</t>
        </is>
      </c>
      <c r="C504">
        <f>SUMIFS(M_BOM[RM_Qty_Per_Batch],M_BOM[Intermediate],$B503,M_BOM[Part Name],$A500)</f>
        <v/>
      </c>
      <c r="D504">
        <f>$C504*D503</f>
        <v/>
      </c>
      <c r="E504">
        <f>$C504*E503</f>
        <v/>
      </c>
      <c r="F504">
        <f>$C504*F503</f>
        <v/>
      </c>
      <c r="G504">
        <f>$C504*G503</f>
        <v/>
      </c>
      <c r="H504">
        <f>$C504*H503</f>
        <v/>
      </c>
      <c r="I504">
        <f>$C504*I503</f>
        <v/>
      </c>
      <c r="J504">
        <f>$C504*J503</f>
        <v/>
      </c>
      <c r="K504">
        <f>$C504*K503</f>
        <v/>
      </c>
      <c r="L504">
        <f>$C504*L503</f>
        <v/>
      </c>
      <c r="M504">
        <f>$C504*M503</f>
        <v/>
      </c>
      <c r="N504">
        <f>$C504*N503</f>
        <v/>
      </c>
      <c r="O504">
        <f>$C504*O503</f>
        <v/>
      </c>
      <c r="P504">
        <f>$C504*P503</f>
        <v/>
      </c>
      <c r="Q504">
        <f>$C504*Q503</f>
        <v/>
      </c>
      <c r="R504">
        <f>$C504*R503</f>
        <v/>
      </c>
      <c r="S504">
        <f>$C504*S503</f>
        <v/>
      </c>
      <c r="T504">
        <f>$C504*T503</f>
        <v/>
      </c>
      <c r="U504">
        <f>$C504*U503</f>
        <v/>
      </c>
      <c r="V504">
        <f>$C504*V503</f>
        <v/>
      </c>
      <c r="W504">
        <f>$C504*W503</f>
        <v/>
      </c>
      <c r="X504">
        <f>$C504*X503</f>
        <v/>
      </c>
      <c r="Y504">
        <f>$C504*Y503</f>
        <v/>
      </c>
      <c r="Z504">
        <f>$C504*Z503</f>
        <v/>
      </c>
      <c r="AA504">
        <f>$C504*AA503</f>
        <v/>
      </c>
      <c r="AB504">
        <f>$C504*AB503</f>
        <v/>
      </c>
      <c r="AC504">
        <f>$C504*AC503</f>
        <v/>
      </c>
      <c r="AD504">
        <f>$C504*AD503</f>
        <v/>
      </c>
      <c r="AE504">
        <f>$C504*AE503</f>
        <v/>
      </c>
      <c r="AF504">
        <f>$C504*AF503</f>
        <v/>
      </c>
      <c r="AG504">
        <f>$C504*AG503</f>
        <v/>
      </c>
      <c r="AH504">
        <f>$C504*AH503</f>
        <v/>
      </c>
      <c r="AI504">
        <f>$C504*AI503</f>
        <v/>
      </c>
      <c r="AJ504">
        <f>$C504*AJ503</f>
        <v/>
      </c>
      <c r="AK504">
        <f>$C504*AK503</f>
        <v/>
      </c>
      <c r="AL504">
        <f>$C504*AL503</f>
        <v/>
      </c>
      <c r="AM504">
        <f>$C504*AM503</f>
        <v/>
      </c>
      <c r="AN504">
        <f>$C504*AN503</f>
        <v/>
      </c>
      <c r="AO504">
        <f>$C504*AO503</f>
        <v/>
      </c>
      <c r="AP504">
        <f>$C504*AP503</f>
        <v/>
      </c>
      <c r="AQ504">
        <f>$C504*AQ503</f>
        <v/>
      </c>
      <c r="AR504">
        <f>$C504*AR503</f>
        <v/>
      </c>
      <c r="AS504">
        <f>$C504*AS503</f>
        <v/>
      </c>
      <c r="AT504">
        <f>$C504*AT503</f>
        <v/>
      </c>
      <c r="AU504">
        <f>$C504*AU503</f>
        <v/>
      </c>
      <c r="AV504">
        <f>$C504*AV503</f>
        <v/>
      </c>
      <c r="AW504">
        <f>$C504*AW503</f>
        <v/>
      </c>
      <c r="AX504">
        <f>$C504*AX503</f>
        <v/>
      </c>
      <c r="AY504">
        <f>$C504*AY503</f>
        <v/>
      </c>
      <c r="AZ504">
        <f>$C504*AZ503</f>
        <v/>
      </c>
      <c r="BA504">
        <f>$C504*BA503</f>
        <v/>
      </c>
      <c r="BB504">
        <f>$C504*BB503</f>
        <v/>
      </c>
      <c r="BC504">
        <f>$C504*BC503</f>
        <v/>
      </c>
      <c r="BD504">
        <f>$C504*BD503</f>
        <v/>
      </c>
      <c r="BE504">
        <f>$C504*BE503</f>
        <v/>
      </c>
      <c r="BF504">
        <f>$C504*BF503</f>
        <v/>
      </c>
      <c r="BG504">
        <f>$C504*BG503</f>
        <v/>
      </c>
      <c r="BH504">
        <f>$C504*BH503</f>
        <v/>
      </c>
      <c r="BI504">
        <f>$C504*BI503</f>
        <v/>
      </c>
      <c r="BJ504">
        <f>$C504*BJ503</f>
        <v/>
      </c>
      <c r="BK504">
        <f>$C504*BK503</f>
        <v/>
      </c>
      <c r="BL504">
        <f>$C504*BL503</f>
        <v/>
      </c>
      <c r="BM504">
        <f>$C504*BM503</f>
        <v/>
      </c>
      <c r="BN504">
        <f>$C504*BN503</f>
        <v/>
      </c>
      <c r="BO504">
        <f>$C504*BO503</f>
        <v/>
      </c>
      <c r="BP504">
        <f>$C504*BP503</f>
        <v/>
      </c>
      <c r="BQ504">
        <f>$C504*BQ503</f>
        <v/>
      </c>
      <c r="BR504">
        <f>$C504*BR503</f>
        <v/>
      </c>
      <c r="BS504">
        <f>$C504*BS503</f>
        <v/>
      </c>
      <c r="BT504">
        <f>$C504*BT503</f>
        <v/>
      </c>
      <c r="BU504">
        <f>$C504*BU503</f>
        <v/>
      </c>
      <c r="BV504">
        <f>$C504*BV503</f>
        <v/>
      </c>
      <c r="BW504">
        <f>$C504*BW503</f>
        <v/>
      </c>
      <c r="BX504">
        <f>$C504*BX503</f>
        <v/>
      </c>
      <c r="BY504">
        <f>$C504*BY503</f>
        <v/>
      </c>
      <c r="BZ504">
        <f>$C504*BZ503</f>
        <v/>
      </c>
      <c r="CA504">
        <f>$C504*CA503</f>
        <v/>
      </c>
      <c r="CB504">
        <f>$C504*CB503</f>
        <v/>
      </c>
      <c r="CC504">
        <f>$C504*CC503</f>
        <v/>
      </c>
      <c r="CD504">
        <f>$C504*CD503</f>
        <v/>
      </c>
      <c r="CE504">
        <f>$C504*CE503</f>
        <v/>
      </c>
      <c r="CF504">
        <f>$C504*CF503</f>
        <v/>
      </c>
      <c r="CG504">
        <f>$C504*CG503</f>
        <v/>
      </c>
      <c r="CH504">
        <f>$C504*CH503</f>
        <v/>
      </c>
      <c r="CI504">
        <f>$C504*CI503</f>
        <v/>
      </c>
      <c r="CJ504">
        <f>$C504*CJ503</f>
        <v/>
      </c>
      <c r="CK504">
        <f>$C504*CK503</f>
        <v/>
      </c>
      <c r="CL504">
        <f>$C504*CL503</f>
        <v/>
      </c>
      <c r="CM504">
        <f>$C504*CM503</f>
        <v/>
      </c>
      <c r="CN504">
        <f>$C504*CN503</f>
        <v/>
      </c>
      <c r="CO504">
        <f>$C504*CO503</f>
        <v/>
      </c>
      <c r="CP504">
        <f>$C504*CP503</f>
        <v/>
      </c>
      <c r="CQ504">
        <f>$C504*CQ503</f>
        <v/>
      </c>
      <c r="CR504">
        <f>$C504*CR503</f>
        <v/>
      </c>
      <c r="CS504">
        <f>$C504*CS503</f>
        <v/>
      </c>
      <c r="CT504">
        <f>$C504*CT503</f>
        <v/>
      </c>
      <c r="CU504">
        <f>$C504*CU503</f>
        <v/>
      </c>
      <c r="CV504">
        <f>$C504*CV503</f>
        <v/>
      </c>
      <c r="CW504">
        <f>$C504*CW503</f>
        <v/>
      </c>
      <c r="CX504">
        <f>$C504*CX503</f>
        <v/>
      </c>
      <c r="CY504">
        <f>$C504*CY503</f>
        <v/>
      </c>
      <c r="CZ504">
        <f>$C504*CZ503</f>
        <v/>
      </c>
      <c r="DA504">
        <f>$C504*DA503</f>
        <v/>
      </c>
      <c r="DB504">
        <f>$C504*DB503</f>
        <v/>
      </c>
      <c r="DC504">
        <f>$C504*DC503</f>
        <v/>
      </c>
    </row>
    <row r="505">
      <c r="B505" t="inlineStr">
        <is>
          <t>TSZ-616</t>
        </is>
      </c>
      <c r="C505" t="inlineStr">
        <is>
          <t>No. of batches</t>
        </is>
      </c>
      <c r="D505">
        <f>IFERROR(INDEX(PP_Grid[#Data],$DD505,2),0)</f>
        <v/>
      </c>
      <c r="E505">
        <f>IFERROR(INDEX(PP_Grid[#Data],$DD505,3),0)</f>
        <v/>
      </c>
      <c r="F505">
        <f>IFERROR(INDEX(PP_Grid[#Data],$DD505,4),0)</f>
        <v/>
      </c>
      <c r="G505">
        <f>IFERROR(INDEX(PP_Grid[#Data],$DD505,5),0)</f>
        <v/>
      </c>
      <c r="H505">
        <f>IFERROR(INDEX(PP_Grid[#Data],$DD505,6),0)</f>
        <v/>
      </c>
      <c r="I505">
        <f>IFERROR(INDEX(PP_Grid[#Data],$DD505,7),0)</f>
        <v/>
      </c>
      <c r="J505">
        <f>IFERROR(INDEX(PP_Grid[#Data],$DD505,8),0)</f>
        <v/>
      </c>
      <c r="K505">
        <f>IFERROR(INDEX(PP_Grid[#Data],$DD505,9),0)</f>
        <v/>
      </c>
      <c r="L505">
        <f>IFERROR(INDEX(PP_Grid[#Data],$DD505,10),0)</f>
        <v/>
      </c>
      <c r="M505">
        <f>IFERROR(INDEX(PP_Grid[#Data],$DD505,11),0)</f>
        <v/>
      </c>
      <c r="N505">
        <f>IFERROR(INDEX(PP_Grid[#Data],$DD505,12),0)</f>
        <v/>
      </c>
      <c r="O505">
        <f>IFERROR(INDEX(PP_Grid[#Data],$DD505,13),0)</f>
        <v/>
      </c>
      <c r="P505">
        <f>IFERROR(INDEX(PP_Grid[#Data],$DD505,14),0)</f>
        <v/>
      </c>
      <c r="Q505">
        <f>IFERROR(INDEX(PP_Grid[#Data],$DD505,15),0)</f>
        <v/>
      </c>
      <c r="R505">
        <f>IFERROR(INDEX(PP_Grid[#Data],$DD505,16),0)</f>
        <v/>
      </c>
      <c r="S505">
        <f>IFERROR(INDEX(PP_Grid[#Data],$DD505,17),0)</f>
        <v/>
      </c>
      <c r="T505">
        <f>IFERROR(INDEX(PP_Grid[#Data],$DD505,18),0)</f>
        <v/>
      </c>
      <c r="U505">
        <f>IFERROR(INDEX(PP_Grid[#Data],$DD505,19),0)</f>
        <v/>
      </c>
      <c r="V505">
        <f>IFERROR(INDEX(PP_Grid[#Data],$DD505,20),0)</f>
        <v/>
      </c>
      <c r="W505">
        <f>IFERROR(INDEX(PP_Grid[#Data],$DD505,21),0)</f>
        <v/>
      </c>
      <c r="X505">
        <f>IFERROR(INDEX(PP_Grid[#Data],$DD505,22),0)</f>
        <v/>
      </c>
      <c r="Y505">
        <f>IFERROR(INDEX(PP_Grid[#Data],$DD505,23),0)</f>
        <v/>
      </c>
      <c r="Z505">
        <f>IFERROR(INDEX(PP_Grid[#Data],$DD505,24),0)</f>
        <v/>
      </c>
      <c r="AA505">
        <f>IFERROR(INDEX(PP_Grid[#Data],$DD505,25),0)</f>
        <v/>
      </c>
      <c r="AB505">
        <f>IFERROR(INDEX(PP_Grid[#Data],$DD505,26),0)</f>
        <v/>
      </c>
      <c r="AC505">
        <f>IFERROR(INDEX(PP_Grid[#Data],$DD505,27),0)</f>
        <v/>
      </c>
      <c r="AD505">
        <f>IFERROR(INDEX(PP_Grid[#Data],$DD505,28),0)</f>
        <v/>
      </c>
      <c r="AE505">
        <f>IFERROR(INDEX(PP_Grid[#Data],$DD505,29),0)</f>
        <v/>
      </c>
      <c r="AF505">
        <f>IFERROR(INDEX(PP_Grid[#Data],$DD505,30),0)</f>
        <v/>
      </c>
      <c r="AG505">
        <f>IFERROR(INDEX(PP_Grid[#Data],$DD505,31),0)</f>
        <v/>
      </c>
      <c r="AH505">
        <f>IFERROR(INDEX(PP_Grid[#Data],$DD505,32),0)</f>
        <v/>
      </c>
      <c r="AI505">
        <f>IFERROR(INDEX(PP_Grid[#Data],$DD505,33),0)</f>
        <v/>
      </c>
      <c r="AJ505">
        <f>IFERROR(INDEX(PP_Grid[#Data],$DD505,34),0)</f>
        <v/>
      </c>
      <c r="AK505">
        <f>IFERROR(INDEX(PP_Grid[#Data],$DD505,35),0)</f>
        <v/>
      </c>
      <c r="AL505">
        <f>IFERROR(INDEX(PP_Grid[#Data],$DD505,36),0)</f>
        <v/>
      </c>
      <c r="AM505">
        <f>IFERROR(INDEX(PP_Grid[#Data],$DD505,37),0)</f>
        <v/>
      </c>
      <c r="AN505">
        <f>IFERROR(INDEX(PP_Grid[#Data],$DD505,38),0)</f>
        <v/>
      </c>
      <c r="AO505">
        <f>IFERROR(INDEX(PP_Grid[#Data],$DD505,39),0)</f>
        <v/>
      </c>
      <c r="AP505">
        <f>IFERROR(INDEX(PP_Grid[#Data],$DD505,40),0)</f>
        <v/>
      </c>
      <c r="AQ505">
        <f>IFERROR(INDEX(PP_Grid[#Data],$DD505,41),0)</f>
        <v/>
      </c>
      <c r="AR505">
        <f>IFERROR(INDEX(PP_Grid[#Data],$DD505,42),0)</f>
        <v/>
      </c>
      <c r="AS505">
        <f>IFERROR(INDEX(PP_Grid[#Data],$DD505,43),0)</f>
        <v/>
      </c>
      <c r="AT505">
        <f>IFERROR(INDEX(PP_Grid[#Data],$DD505,44),0)</f>
        <v/>
      </c>
      <c r="AU505">
        <f>IFERROR(INDEX(PP_Grid[#Data],$DD505,45),0)</f>
        <v/>
      </c>
      <c r="AV505">
        <f>IFERROR(INDEX(PP_Grid[#Data],$DD505,46),0)</f>
        <v/>
      </c>
      <c r="AW505">
        <f>IFERROR(INDEX(PP_Grid[#Data],$DD505,47),0)</f>
        <v/>
      </c>
      <c r="AX505">
        <f>IFERROR(INDEX(PP_Grid[#Data],$DD505,48),0)</f>
        <v/>
      </c>
      <c r="AY505">
        <f>IFERROR(INDEX(PP_Grid[#Data],$DD505,49),0)</f>
        <v/>
      </c>
      <c r="AZ505">
        <f>IFERROR(INDEX(PP_Grid[#Data],$DD505,50),0)</f>
        <v/>
      </c>
      <c r="BA505">
        <f>IFERROR(INDEX(PP_Grid[#Data],$DD505,51),0)</f>
        <v/>
      </c>
      <c r="BB505">
        <f>IFERROR(INDEX(PP_Grid[#Data],$DD505,52),0)</f>
        <v/>
      </c>
      <c r="BC505">
        <f>IFERROR(INDEX(PP_Grid[#Data],$DD505,53),0)</f>
        <v/>
      </c>
      <c r="BD505">
        <f>IFERROR(INDEX(PP_Grid[#Data],$DD505,54),0)</f>
        <v/>
      </c>
      <c r="BE505">
        <f>IFERROR(INDEX(PP_Grid[#Data],$DD505,55),0)</f>
        <v/>
      </c>
      <c r="BF505">
        <f>IFERROR(INDEX(PP_Grid[#Data],$DD505,56),0)</f>
        <v/>
      </c>
      <c r="BG505">
        <f>IFERROR(INDEX(PP_Grid[#Data],$DD505,57),0)</f>
        <v/>
      </c>
      <c r="BH505">
        <f>IFERROR(INDEX(PP_Grid[#Data],$DD505,58),0)</f>
        <v/>
      </c>
      <c r="BI505">
        <f>IFERROR(INDEX(PP_Grid[#Data],$DD505,59),0)</f>
        <v/>
      </c>
      <c r="BJ505">
        <f>IFERROR(INDEX(PP_Grid[#Data],$DD505,60),0)</f>
        <v/>
      </c>
      <c r="BK505">
        <f>IFERROR(INDEX(PP_Grid[#Data],$DD505,61),0)</f>
        <v/>
      </c>
      <c r="BL505">
        <f>IFERROR(INDEX(PP_Grid[#Data],$DD505,62),0)</f>
        <v/>
      </c>
      <c r="BM505">
        <f>IFERROR(INDEX(PP_Grid[#Data],$DD505,63),0)</f>
        <v/>
      </c>
      <c r="BN505">
        <f>IFERROR(INDEX(PP_Grid[#Data],$DD505,64),0)</f>
        <v/>
      </c>
      <c r="BO505">
        <f>IFERROR(INDEX(PP_Grid[#Data],$DD505,65),0)</f>
        <v/>
      </c>
      <c r="BP505">
        <f>IFERROR(INDEX(PP_Grid[#Data],$DD505,66),0)</f>
        <v/>
      </c>
      <c r="BQ505">
        <f>IFERROR(INDEX(PP_Grid[#Data],$DD505,67),0)</f>
        <v/>
      </c>
      <c r="BR505">
        <f>IFERROR(INDEX(PP_Grid[#Data],$DD505,68),0)</f>
        <v/>
      </c>
      <c r="BS505">
        <f>IFERROR(INDEX(PP_Grid[#Data],$DD505,69),0)</f>
        <v/>
      </c>
      <c r="BT505">
        <f>IFERROR(INDEX(PP_Grid[#Data],$DD505,70),0)</f>
        <v/>
      </c>
      <c r="BU505">
        <f>IFERROR(INDEX(PP_Grid[#Data],$DD505,71),0)</f>
        <v/>
      </c>
      <c r="BV505">
        <f>IFERROR(INDEX(PP_Grid[#Data],$DD505,72),0)</f>
        <v/>
      </c>
      <c r="BW505">
        <f>IFERROR(INDEX(PP_Grid[#Data],$DD505,73),0)</f>
        <v/>
      </c>
      <c r="BX505">
        <f>IFERROR(INDEX(PP_Grid[#Data],$DD505,74),0)</f>
        <v/>
      </c>
      <c r="BY505">
        <f>IFERROR(INDEX(PP_Grid[#Data],$DD505,75),0)</f>
        <v/>
      </c>
      <c r="BZ505">
        <f>IFERROR(INDEX(PP_Grid[#Data],$DD505,76),0)</f>
        <v/>
      </c>
      <c r="CA505">
        <f>IFERROR(INDEX(PP_Grid[#Data],$DD505,77),0)</f>
        <v/>
      </c>
      <c r="CB505">
        <f>IFERROR(INDEX(PP_Grid[#Data],$DD505,78),0)</f>
        <v/>
      </c>
      <c r="CC505">
        <f>IFERROR(INDEX(PP_Grid[#Data],$DD505,79),0)</f>
        <v/>
      </c>
      <c r="CD505">
        <f>IFERROR(INDEX(PP_Grid[#Data],$DD505,80),0)</f>
        <v/>
      </c>
      <c r="CE505">
        <f>IFERROR(INDEX(PP_Grid[#Data],$DD505,81),0)</f>
        <v/>
      </c>
      <c r="CF505">
        <f>IFERROR(INDEX(PP_Grid[#Data],$DD505,82),0)</f>
        <v/>
      </c>
      <c r="CG505">
        <f>IFERROR(INDEX(PP_Grid[#Data],$DD505,83),0)</f>
        <v/>
      </c>
      <c r="CH505">
        <f>IFERROR(INDEX(PP_Grid[#Data],$DD505,84),0)</f>
        <v/>
      </c>
      <c r="CI505">
        <f>IFERROR(INDEX(PP_Grid[#Data],$DD505,85),0)</f>
        <v/>
      </c>
      <c r="CJ505">
        <f>IFERROR(INDEX(PP_Grid[#Data],$DD505,86),0)</f>
        <v/>
      </c>
      <c r="CK505">
        <f>IFERROR(INDEX(PP_Grid[#Data],$DD505,87),0)</f>
        <v/>
      </c>
      <c r="CL505">
        <f>IFERROR(INDEX(PP_Grid[#Data],$DD505,88),0)</f>
        <v/>
      </c>
      <c r="CM505">
        <f>IFERROR(INDEX(PP_Grid[#Data],$DD505,89),0)</f>
        <v/>
      </c>
      <c r="CN505">
        <f>IFERROR(INDEX(PP_Grid[#Data],$DD505,90),0)</f>
        <v/>
      </c>
      <c r="CO505">
        <f>IFERROR(INDEX(PP_Grid[#Data],$DD505,91),0)</f>
        <v/>
      </c>
      <c r="CP505">
        <f>IFERROR(INDEX(PP_Grid[#Data],$DD505,92),0)</f>
        <v/>
      </c>
      <c r="CQ505">
        <f>IFERROR(INDEX(PP_Grid[#Data],$DD505,93),0)</f>
        <v/>
      </c>
      <c r="CR505">
        <f>IFERROR(INDEX(PP_Grid[#Data],$DD505,94),0)</f>
        <v/>
      </c>
      <c r="CS505">
        <f>IFERROR(INDEX(PP_Grid[#Data],$DD505,95),0)</f>
        <v/>
      </c>
      <c r="CT505">
        <f>IFERROR(INDEX(PP_Grid[#Data],$DD505,96),0)</f>
        <v/>
      </c>
      <c r="CU505">
        <f>IFERROR(INDEX(PP_Grid[#Data],$DD505,97),0)</f>
        <v/>
      </c>
      <c r="CV505">
        <f>IFERROR(INDEX(PP_Grid[#Data],$DD505,98),0)</f>
        <v/>
      </c>
      <c r="CW505">
        <f>IFERROR(INDEX(PP_Grid[#Data],$DD505,99),0)</f>
        <v/>
      </c>
      <c r="CX505">
        <f>IFERROR(INDEX(PP_Grid[#Data],$DD505,100),0)</f>
        <v/>
      </c>
      <c r="CY505">
        <f>IFERROR(INDEX(PP_Grid[#Data],$DD505,101),0)</f>
        <v/>
      </c>
      <c r="CZ505">
        <f>IFERROR(INDEX(PP_Grid[#Data],$DD505,102),0)</f>
        <v/>
      </c>
      <c r="DA505">
        <f>IFERROR(INDEX(PP_Grid[#Data],$DD505,103),0)</f>
        <v/>
      </c>
      <c r="DB505">
        <f>IFERROR(INDEX(PP_Grid[#Data],$DD505,104),0)</f>
        <v/>
      </c>
      <c r="DC505">
        <f>IFERROR(INDEX(PP_Grid[#Data],$DD505,105),0)</f>
        <v/>
      </c>
      <c r="DD505" s="7">
        <f>IFERROR(MATCH($B505,PP_Grid[Intermediate],0),99999)</f>
        <v/>
      </c>
    </row>
    <row r="506">
      <c r="B506" t="inlineStr">
        <is>
          <t>使用量(kg)</t>
        </is>
      </c>
      <c r="C506">
        <f>SUMIFS(M_BOM[RM_Qty_Per_Batch],M_BOM[Intermediate],$B505,M_BOM[Part Name],$A500)</f>
        <v/>
      </c>
      <c r="D506">
        <f>$C506*D505</f>
        <v/>
      </c>
      <c r="E506">
        <f>$C506*E505</f>
        <v/>
      </c>
      <c r="F506">
        <f>$C506*F505</f>
        <v/>
      </c>
      <c r="G506">
        <f>$C506*G505</f>
        <v/>
      </c>
      <c r="H506">
        <f>$C506*H505</f>
        <v/>
      </c>
      <c r="I506">
        <f>$C506*I505</f>
        <v/>
      </c>
      <c r="J506">
        <f>$C506*J505</f>
        <v/>
      </c>
      <c r="K506">
        <f>$C506*K505</f>
        <v/>
      </c>
      <c r="L506">
        <f>$C506*L505</f>
        <v/>
      </c>
      <c r="M506">
        <f>$C506*M505</f>
        <v/>
      </c>
      <c r="N506">
        <f>$C506*N505</f>
        <v/>
      </c>
      <c r="O506">
        <f>$C506*O505</f>
        <v/>
      </c>
      <c r="P506">
        <f>$C506*P505</f>
        <v/>
      </c>
      <c r="Q506">
        <f>$C506*Q505</f>
        <v/>
      </c>
      <c r="R506">
        <f>$C506*R505</f>
        <v/>
      </c>
      <c r="S506">
        <f>$C506*S505</f>
        <v/>
      </c>
      <c r="T506">
        <f>$C506*T505</f>
        <v/>
      </c>
      <c r="U506">
        <f>$C506*U505</f>
        <v/>
      </c>
      <c r="V506">
        <f>$C506*V505</f>
        <v/>
      </c>
      <c r="W506">
        <f>$C506*W505</f>
        <v/>
      </c>
      <c r="X506">
        <f>$C506*X505</f>
        <v/>
      </c>
      <c r="Y506">
        <f>$C506*Y505</f>
        <v/>
      </c>
      <c r="Z506">
        <f>$C506*Z505</f>
        <v/>
      </c>
      <c r="AA506">
        <f>$C506*AA505</f>
        <v/>
      </c>
      <c r="AB506">
        <f>$C506*AB505</f>
        <v/>
      </c>
      <c r="AC506">
        <f>$C506*AC505</f>
        <v/>
      </c>
      <c r="AD506">
        <f>$C506*AD505</f>
        <v/>
      </c>
      <c r="AE506">
        <f>$C506*AE505</f>
        <v/>
      </c>
      <c r="AF506">
        <f>$C506*AF505</f>
        <v/>
      </c>
      <c r="AG506">
        <f>$C506*AG505</f>
        <v/>
      </c>
      <c r="AH506">
        <f>$C506*AH505</f>
        <v/>
      </c>
      <c r="AI506">
        <f>$C506*AI505</f>
        <v/>
      </c>
      <c r="AJ506">
        <f>$C506*AJ505</f>
        <v/>
      </c>
      <c r="AK506">
        <f>$C506*AK505</f>
        <v/>
      </c>
      <c r="AL506">
        <f>$C506*AL505</f>
        <v/>
      </c>
      <c r="AM506">
        <f>$C506*AM505</f>
        <v/>
      </c>
      <c r="AN506">
        <f>$C506*AN505</f>
        <v/>
      </c>
      <c r="AO506">
        <f>$C506*AO505</f>
        <v/>
      </c>
      <c r="AP506">
        <f>$C506*AP505</f>
        <v/>
      </c>
      <c r="AQ506">
        <f>$C506*AQ505</f>
        <v/>
      </c>
      <c r="AR506">
        <f>$C506*AR505</f>
        <v/>
      </c>
      <c r="AS506">
        <f>$C506*AS505</f>
        <v/>
      </c>
      <c r="AT506">
        <f>$C506*AT505</f>
        <v/>
      </c>
      <c r="AU506">
        <f>$C506*AU505</f>
        <v/>
      </c>
      <c r="AV506">
        <f>$C506*AV505</f>
        <v/>
      </c>
      <c r="AW506">
        <f>$C506*AW505</f>
        <v/>
      </c>
      <c r="AX506">
        <f>$C506*AX505</f>
        <v/>
      </c>
      <c r="AY506">
        <f>$C506*AY505</f>
        <v/>
      </c>
      <c r="AZ506">
        <f>$C506*AZ505</f>
        <v/>
      </c>
      <c r="BA506">
        <f>$C506*BA505</f>
        <v/>
      </c>
      <c r="BB506">
        <f>$C506*BB505</f>
        <v/>
      </c>
      <c r="BC506">
        <f>$C506*BC505</f>
        <v/>
      </c>
      <c r="BD506">
        <f>$C506*BD505</f>
        <v/>
      </c>
      <c r="BE506">
        <f>$C506*BE505</f>
        <v/>
      </c>
      <c r="BF506">
        <f>$C506*BF505</f>
        <v/>
      </c>
      <c r="BG506">
        <f>$C506*BG505</f>
        <v/>
      </c>
      <c r="BH506">
        <f>$C506*BH505</f>
        <v/>
      </c>
      <c r="BI506">
        <f>$C506*BI505</f>
        <v/>
      </c>
      <c r="BJ506">
        <f>$C506*BJ505</f>
        <v/>
      </c>
      <c r="BK506">
        <f>$C506*BK505</f>
        <v/>
      </c>
      <c r="BL506">
        <f>$C506*BL505</f>
        <v/>
      </c>
      <c r="BM506">
        <f>$C506*BM505</f>
        <v/>
      </c>
      <c r="BN506">
        <f>$C506*BN505</f>
        <v/>
      </c>
      <c r="BO506">
        <f>$C506*BO505</f>
        <v/>
      </c>
      <c r="BP506">
        <f>$C506*BP505</f>
        <v/>
      </c>
      <c r="BQ506">
        <f>$C506*BQ505</f>
        <v/>
      </c>
      <c r="BR506">
        <f>$C506*BR505</f>
        <v/>
      </c>
      <c r="BS506">
        <f>$C506*BS505</f>
        <v/>
      </c>
      <c r="BT506">
        <f>$C506*BT505</f>
        <v/>
      </c>
      <c r="BU506">
        <f>$C506*BU505</f>
        <v/>
      </c>
      <c r="BV506">
        <f>$C506*BV505</f>
        <v/>
      </c>
      <c r="BW506">
        <f>$C506*BW505</f>
        <v/>
      </c>
      <c r="BX506">
        <f>$C506*BX505</f>
        <v/>
      </c>
      <c r="BY506">
        <f>$C506*BY505</f>
        <v/>
      </c>
      <c r="BZ506">
        <f>$C506*BZ505</f>
        <v/>
      </c>
      <c r="CA506">
        <f>$C506*CA505</f>
        <v/>
      </c>
      <c r="CB506">
        <f>$C506*CB505</f>
        <v/>
      </c>
      <c r="CC506">
        <f>$C506*CC505</f>
        <v/>
      </c>
      <c r="CD506">
        <f>$C506*CD505</f>
        <v/>
      </c>
      <c r="CE506">
        <f>$C506*CE505</f>
        <v/>
      </c>
      <c r="CF506">
        <f>$C506*CF505</f>
        <v/>
      </c>
      <c r="CG506">
        <f>$C506*CG505</f>
        <v/>
      </c>
      <c r="CH506">
        <f>$C506*CH505</f>
        <v/>
      </c>
      <c r="CI506">
        <f>$C506*CI505</f>
        <v/>
      </c>
      <c r="CJ506">
        <f>$C506*CJ505</f>
        <v/>
      </c>
      <c r="CK506">
        <f>$C506*CK505</f>
        <v/>
      </c>
      <c r="CL506">
        <f>$C506*CL505</f>
        <v/>
      </c>
      <c r="CM506">
        <f>$C506*CM505</f>
        <v/>
      </c>
      <c r="CN506">
        <f>$C506*CN505</f>
        <v/>
      </c>
      <c r="CO506">
        <f>$C506*CO505</f>
        <v/>
      </c>
      <c r="CP506">
        <f>$C506*CP505</f>
        <v/>
      </c>
      <c r="CQ506">
        <f>$C506*CQ505</f>
        <v/>
      </c>
      <c r="CR506">
        <f>$C506*CR505</f>
        <v/>
      </c>
      <c r="CS506">
        <f>$C506*CS505</f>
        <v/>
      </c>
      <c r="CT506">
        <f>$C506*CT505</f>
        <v/>
      </c>
      <c r="CU506">
        <f>$C506*CU505</f>
        <v/>
      </c>
      <c r="CV506">
        <f>$C506*CV505</f>
        <v/>
      </c>
      <c r="CW506">
        <f>$C506*CW505</f>
        <v/>
      </c>
      <c r="CX506">
        <f>$C506*CX505</f>
        <v/>
      </c>
      <c r="CY506">
        <f>$C506*CY505</f>
        <v/>
      </c>
      <c r="CZ506">
        <f>$C506*CZ505</f>
        <v/>
      </c>
      <c r="DA506">
        <f>$C506*DA505</f>
        <v/>
      </c>
      <c r="DB506">
        <f>$C506*DB505</f>
        <v/>
      </c>
      <c r="DC506">
        <f>$C506*DC505</f>
        <v/>
      </c>
    </row>
    <row r="507">
      <c r="B507" t="inlineStr">
        <is>
          <t>TSP-1449</t>
        </is>
      </c>
      <c r="C507" t="inlineStr">
        <is>
          <t>No. of batches</t>
        </is>
      </c>
      <c r="D507">
        <f>IFERROR(INDEX(PP_Grid[#Data],$DD507,2),0)</f>
        <v/>
      </c>
      <c r="E507">
        <f>IFERROR(INDEX(PP_Grid[#Data],$DD507,3),0)</f>
        <v/>
      </c>
      <c r="F507">
        <f>IFERROR(INDEX(PP_Grid[#Data],$DD507,4),0)</f>
        <v/>
      </c>
      <c r="G507">
        <f>IFERROR(INDEX(PP_Grid[#Data],$DD507,5),0)</f>
        <v/>
      </c>
      <c r="H507">
        <f>IFERROR(INDEX(PP_Grid[#Data],$DD507,6),0)</f>
        <v/>
      </c>
      <c r="I507">
        <f>IFERROR(INDEX(PP_Grid[#Data],$DD507,7),0)</f>
        <v/>
      </c>
      <c r="J507">
        <f>IFERROR(INDEX(PP_Grid[#Data],$DD507,8),0)</f>
        <v/>
      </c>
      <c r="K507">
        <f>IFERROR(INDEX(PP_Grid[#Data],$DD507,9),0)</f>
        <v/>
      </c>
      <c r="L507">
        <f>IFERROR(INDEX(PP_Grid[#Data],$DD507,10),0)</f>
        <v/>
      </c>
      <c r="M507">
        <f>IFERROR(INDEX(PP_Grid[#Data],$DD507,11),0)</f>
        <v/>
      </c>
      <c r="N507">
        <f>IFERROR(INDEX(PP_Grid[#Data],$DD507,12),0)</f>
        <v/>
      </c>
      <c r="O507">
        <f>IFERROR(INDEX(PP_Grid[#Data],$DD507,13),0)</f>
        <v/>
      </c>
      <c r="P507">
        <f>IFERROR(INDEX(PP_Grid[#Data],$DD507,14),0)</f>
        <v/>
      </c>
      <c r="Q507">
        <f>IFERROR(INDEX(PP_Grid[#Data],$DD507,15),0)</f>
        <v/>
      </c>
      <c r="R507">
        <f>IFERROR(INDEX(PP_Grid[#Data],$DD507,16),0)</f>
        <v/>
      </c>
      <c r="S507">
        <f>IFERROR(INDEX(PP_Grid[#Data],$DD507,17),0)</f>
        <v/>
      </c>
      <c r="T507">
        <f>IFERROR(INDEX(PP_Grid[#Data],$DD507,18),0)</f>
        <v/>
      </c>
      <c r="U507">
        <f>IFERROR(INDEX(PP_Grid[#Data],$DD507,19),0)</f>
        <v/>
      </c>
      <c r="V507">
        <f>IFERROR(INDEX(PP_Grid[#Data],$DD507,20),0)</f>
        <v/>
      </c>
      <c r="W507">
        <f>IFERROR(INDEX(PP_Grid[#Data],$DD507,21),0)</f>
        <v/>
      </c>
      <c r="X507">
        <f>IFERROR(INDEX(PP_Grid[#Data],$DD507,22),0)</f>
        <v/>
      </c>
      <c r="Y507">
        <f>IFERROR(INDEX(PP_Grid[#Data],$DD507,23),0)</f>
        <v/>
      </c>
      <c r="Z507">
        <f>IFERROR(INDEX(PP_Grid[#Data],$DD507,24),0)</f>
        <v/>
      </c>
      <c r="AA507">
        <f>IFERROR(INDEX(PP_Grid[#Data],$DD507,25),0)</f>
        <v/>
      </c>
      <c r="AB507">
        <f>IFERROR(INDEX(PP_Grid[#Data],$DD507,26),0)</f>
        <v/>
      </c>
      <c r="AC507">
        <f>IFERROR(INDEX(PP_Grid[#Data],$DD507,27),0)</f>
        <v/>
      </c>
      <c r="AD507">
        <f>IFERROR(INDEX(PP_Grid[#Data],$DD507,28),0)</f>
        <v/>
      </c>
      <c r="AE507">
        <f>IFERROR(INDEX(PP_Grid[#Data],$DD507,29),0)</f>
        <v/>
      </c>
      <c r="AF507">
        <f>IFERROR(INDEX(PP_Grid[#Data],$DD507,30),0)</f>
        <v/>
      </c>
      <c r="AG507">
        <f>IFERROR(INDEX(PP_Grid[#Data],$DD507,31),0)</f>
        <v/>
      </c>
      <c r="AH507">
        <f>IFERROR(INDEX(PP_Grid[#Data],$DD507,32),0)</f>
        <v/>
      </c>
      <c r="AI507">
        <f>IFERROR(INDEX(PP_Grid[#Data],$DD507,33),0)</f>
        <v/>
      </c>
      <c r="AJ507">
        <f>IFERROR(INDEX(PP_Grid[#Data],$DD507,34),0)</f>
        <v/>
      </c>
      <c r="AK507">
        <f>IFERROR(INDEX(PP_Grid[#Data],$DD507,35),0)</f>
        <v/>
      </c>
      <c r="AL507">
        <f>IFERROR(INDEX(PP_Grid[#Data],$DD507,36),0)</f>
        <v/>
      </c>
      <c r="AM507">
        <f>IFERROR(INDEX(PP_Grid[#Data],$DD507,37),0)</f>
        <v/>
      </c>
      <c r="AN507">
        <f>IFERROR(INDEX(PP_Grid[#Data],$DD507,38),0)</f>
        <v/>
      </c>
      <c r="AO507">
        <f>IFERROR(INDEX(PP_Grid[#Data],$DD507,39),0)</f>
        <v/>
      </c>
      <c r="AP507">
        <f>IFERROR(INDEX(PP_Grid[#Data],$DD507,40),0)</f>
        <v/>
      </c>
      <c r="AQ507">
        <f>IFERROR(INDEX(PP_Grid[#Data],$DD507,41),0)</f>
        <v/>
      </c>
      <c r="AR507">
        <f>IFERROR(INDEX(PP_Grid[#Data],$DD507,42),0)</f>
        <v/>
      </c>
      <c r="AS507">
        <f>IFERROR(INDEX(PP_Grid[#Data],$DD507,43),0)</f>
        <v/>
      </c>
      <c r="AT507">
        <f>IFERROR(INDEX(PP_Grid[#Data],$DD507,44),0)</f>
        <v/>
      </c>
      <c r="AU507">
        <f>IFERROR(INDEX(PP_Grid[#Data],$DD507,45),0)</f>
        <v/>
      </c>
      <c r="AV507">
        <f>IFERROR(INDEX(PP_Grid[#Data],$DD507,46),0)</f>
        <v/>
      </c>
      <c r="AW507">
        <f>IFERROR(INDEX(PP_Grid[#Data],$DD507,47),0)</f>
        <v/>
      </c>
      <c r="AX507">
        <f>IFERROR(INDEX(PP_Grid[#Data],$DD507,48),0)</f>
        <v/>
      </c>
      <c r="AY507">
        <f>IFERROR(INDEX(PP_Grid[#Data],$DD507,49),0)</f>
        <v/>
      </c>
      <c r="AZ507">
        <f>IFERROR(INDEX(PP_Grid[#Data],$DD507,50),0)</f>
        <v/>
      </c>
      <c r="BA507">
        <f>IFERROR(INDEX(PP_Grid[#Data],$DD507,51),0)</f>
        <v/>
      </c>
      <c r="BB507">
        <f>IFERROR(INDEX(PP_Grid[#Data],$DD507,52),0)</f>
        <v/>
      </c>
      <c r="BC507">
        <f>IFERROR(INDEX(PP_Grid[#Data],$DD507,53),0)</f>
        <v/>
      </c>
      <c r="BD507">
        <f>IFERROR(INDEX(PP_Grid[#Data],$DD507,54),0)</f>
        <v/>
      </c>
      <c r="BE507">
        <f>IFERROR(INDEX(PP_Grid[#Data],$DD507,55),0)</f>
        <v/>
      </c>
      <c r="BF507">
        <f>IFERROR(INDEX(PP_Grid[#Data],$DD507,56),0)</f>
        <v/>
      </c>
      <c r="BG507">
        <f>IFERROR(INDEX(PP_Grid[#Data],$DD507,57),0)</f>
        <v/>
      </c>
      <c r="BH507">
        <f>IFERROR(INDEX(PP_Grid[#Data],$DD507,58),0)</f>
        <v/>
      </c>
      <c r="BI507">
        <f>IFERROR(INDEX(PP_Grid[#Data],$DD507,59),0)</f>
        <v/>
      </c>
      <c r="BJ507">
        <f>IFERROR(INDEX(PP_Grid[#Data],$DD507,60),0)</f>
        <v/>
      </c>
      <c r="BK507">
        <f>IFERROR(INDEX(PP_Grid[#Data],$DD507,61),0)</f>
        <v/>
      </c>
      <c r="BL507">
        <f>IFERROR(INDEX(PP_Grid[#Data],$DD507,62),0)</f>
        <v/>
      </c>
      <c r="BM507">
        <f>IFERROR(INDEX(PP_Grid[#Data],$DD507,63),0)</f>
        <v/>
      </c>
      <c r="BN507">
        <f>IFERROR(INDEX(PP_Grid[#Data],$DD507,64),0)</f>
        <v/>
      </c>
      <c r="BO507">
        <f>IFERROR(INDEX(PP_Grid[#Data],$DD507,65),0)</f>
        <v/>
      </c>
      <c r="BP507">
        <f>IFERROR(INDEX(PP_Grid[#Data],$DD507,66),0)</f>
        <v/>
      </c>
      <c r="BQ507">
        <f>IFERROR(INDEX(PP_Grid[#Data],$DD507,67),0)</f>
        <v/>
      </c>
      <c r="BR507">
        <f>IFERROR(INDEX(PP_Grid[#Data],$DD507,68),0)</f>
        <v/>
      </c>
      <c r="BS507">
        <f>IFERROR(INDEX(PP_Grid[#Data],$DD507,69),0)</f>
        <v/>
      </c>
      <c r="BT507">
        <f>IFERROR(INDEX(PP_Grid[#Data],$DD507,70),0)</f>
        <v/>
      </c>
      <c r="BU507">
        <f>IFERROR(INDEX(PP_Grid[#Data],$DD507,71),0)</f>
        <v/>
      </c>
      <c r="BV507">
        <f>IFERROR(INDEX(PP_Grid[#Data],$DD507,72),0)</f>
        <v/>
      </c>
      <c r="BW507">
        <f>IFERROR(INDEX(PP_Grid[#Data],$DD507,73),0)</f>
        <v/>
      </c>
      <c r="BX507">
        <f>IFERROR(INDEX(PP_Grid[#Data],$DD507,74),0)</f>
        <v/>
      </c>
      <c r="BY507">
        <f>IFERROR(INDEX(PP_Grid[#Data],$DD507,75),0)</f>
        <v/>
      </c>
      <c r="BZ507">
        <f>IFERROR(INDEX(PP_Grid[#Data],$DD507,76),0)</f>
        <v/>
      </c>
      <c r="CA507">
        <f>IFERROR(INDEX(PP_Grid[#Data],$DD507,77),0)</f>
        <v/>
      </c>
      <c r="CB507">
        <f>IFERROR(INDEX(PP_Grid[#Data],$DD507,78),0)</f>
        <v/>
      </c>
      <c r="CC507">
        <f>IFERROR(INDEX(PP_Grid[#Data],$DD507,79),0)</f>
        <v/>
      </c>
      <c r="CD507">
        <f>IFERROR(INDEX(PP_Grid[#Data],$DD507,80),0)</f>
        <v/>
      </c>
      <c r="CE507">
        <f>IFERROR(INDEX(PP_Grid[#Data],$DD507,81),0)</f>
        <v/>
      </c>
      <c r="CF507">
        <f>IFERROR(INDEX(PP_Grid[#Data],$DD507,82),0)</f>
        <v/>
      </c>
      <c r="CG507">
        <f>IFERROR(INDEX(PP_Grid[#Data],$DD507,83),0)</f>
        <v/>
      </c>
      <c r="CH507">
        <f>IFERROR(INDEX(PP_Grid[#Data],$DD507,84),0)</f>
        <v/>
      </c>
      <c r="CI507">
        <f>IFERROR(INDEX(PP_Grid[#Data],$DD507,85),0)</f>
        <v/>
      </c>
      <c r="CJ507">
        <f>IFERROR(INDEX(PP_Grid[#Data],$DD507,86),0)</f>
        <v/>
      </c>
      <c r="CK507">
        <f>IFERROR(INDEX(PP_Grid[#Data],$DD507,87),0)</f>
        <v/>
      </c>
      <c r="CL507">
        <f>IFERROR(INDEX(PP_Grid[#Data],$DD507,88),0)</f>
        <v/>
      </c>
      <c r="CM507">
        <f>IFERROR(INDEX(PP_Grid[#Data],$DD507,89),0)</f>
        <v/>
      </c>
      <c r="CN507">
        <f>IFERROR(INDEX(PP_Grid[#Data],$DD507,90),0)</f>
        <v/>
      </c>
      <c r="CO507">
        <f>IFERROR(INDEX(PP_Grid[#Data],$DD507,91),0)</f>
        <v/>
      </c>
      <c r="CP507">
        <f>IFERROR(INDEX(PP_Grid[#Data],$DD507,92),0)</f>
        <v/>
      </c>
      <c r="CQ507">
        <f>IFERROR(INDEX(PP_Grid[#Data],$DD507,93),0)</f>
        <v/>
      </c>
      <c r="CR507">
        <f>IFERROR(INDEX(PP_Grid[#Data],$DD507,94),0)</f>
        <v/>
      </c>
      <c r="CS507">
        <f>IFERROR(INDEX(PP_Grid[#Data],$DD507,95),0)</f>
        <v/>
      </c>
      <c r="CT507">
        <f>IFERROR(INDEX(PP_Grid[#Data],$DD507,96),0)</f>
        <v/>
      </c>
      <c r="CU507">
        <f>IFERROR(INDEX(PP_Grid[#Data],$DD507,97),0)</f>
        <v/>
      </c>
      <c r="CV507">
        <f>IFERROR(INDEX(PP_Grid[#Data],$DD507,98),0)</f>
        <v/>
      </c>
      <c r="CW507">
        <f>IFERROR(INDEX(PP_Grid[#Data],$DD507,99),0)</f>
        <v/>
      </c>
      <c r="CX507">
        <f>IFERROR(INDEX(PP_Grid[#Data],$DD507,100),0)</f>
        <v/>
      </c>
      <c r="CY507">
        <f>IFERROR(INDEX(PP_Grid[#Data],$DD507,101),0)</f>
        <v/>
      </c>
      <c r="CZ507">
        <f>IFERROR(INDEX(PP_Grid[#Data],$DD507,102),0)</f>
        <v/>
      </c>
      <c r="DA507">
        <f>IFERROR(INDEX(PP_Grid[#Data],$DD507,103),0)</f>
        <v/>
      </c>
      <c r="DB507">
        <f>IFERROR(INDEX(PP_Grid[#Data],$DD507,104),0)</f>
        <v/>
      </c>
      <c r="DC507">
        <f>IFERROR(INDEX(PP_Grid[#Data],$DD507,105),0)</f>
        <v/>
      </c>
      <c r="DD507" s="7">
        <f>IFERROR(MATCH($B507,PP_Grid[Intermediate],0),99999)</f>
        <v/>
      </c>
    </row>
    <row r="508">
      <c r="B508" t="inlineStr">
        <is>
          <t>使用量(kg)</t>
        </is>
      </c>
      <c r="C508">
        <f>SUMIFS(M_BOM[RM_Qty_Per_Batch],M_BOM[Intermediate],$B507,M_BOM[Part Name],$A500)</f>
        <v/>
      </c>
      <c r="D508">
        <f>$C508*D507</f>
        <v/>
      </c>
      <c r="E508">
        <f>$C508*E507</f>
        <v/>
      </c>
      <c r="F508">
        <f>$C508*F507</f>
        <v/>
      </c>
      <c r="G508">
        <f>$C508*G507</f>
        <v/>
      </c>
      <c r="H508">
        <f>$C508*H507</f>
        <v/>
      </c>
      <c r="I508">
        <f>$C508*I507</f>
        <v/>
      </c>
      <c r="J508">
        <f>$C508*J507</f>
        <v/>
      </c>
      <c r="K508">
        <f>$C508*K507</f>
        <v/>
      </c>
      <c r="L508">
        <f>$C508*L507</f>
        <v/>
      </c>
      <c r="M508">
        <f>$C508*M507</f>
        <v/>
      </c>
      <c r="N508">
        <f>$C508*N507</f>
        <v/>
      </c>
      <c r="O508">
        <f>$C508*O507</f>
        <v/>
      </c>
      <c r="P508">
        <f>$C508*P507</f>
        <v/>
      </c>
      <c r="Q508">
        <f>$C508*Q507</f>
        <v/>
      </c>
      <c r="R508">
        <f>$C508*R507</f>
        <v/>
      </c>
      <c r="S508">
        <f>$C508*S507</f>
        <v/>
      </c>
      <c r="T508">
        <f>$C508*T507</f>
        <v/>
      </c>
      <c r="U508">
        <f>$C508*U507</f>
        <v/>
      </c>
      <c r="V508">
        <f>$C508*V507</f>
        <v/>
      </c>
      <c r="W508">
        <f>$C508*W507</f>
        <v/>
      </c>
      <c r="X508">
        <f>$C508*X507</f>
        <v/>
      </c>
      <c r="Y508">
        <f>$C508*Y507</f>
        <v/>
      </c>
      <c r="Z508">
        <f>$C508*Z507</f>
        <v/>
      </c>
      <c r="AA508">
        <f>$C508*AA507</f>
        <v/>
      </c>
      <c r="AB508">
        <f>$C508*AB507</f>
        <v/>
      </c>
      <c r="AC508">
        <f>$C508*AC507</f>
        <v/>
      </c>
      <c r="AD508">
        <f>$C508*AD507</f>
        <v/>
      </c>
      <c r="AE508">
        <f>$C508*AE507</f>
        <v/>
      </c>
      <c r="AF508">
        <f>$C508*AF507</f>
        <v/>
      </c>
      <c r="AG508">
        <f>$C508*AG507</f>
        <v/>
      </c>
      <c r="AH508">
        <f>$C508*AH507</f>
        <v/>
      </c>
      <c r="AI508">
        <f>$C508*AI507</f>
        <v/>
      </c>
      <c r="AJ508">
        <f>$C508*AJ507</f>
        <v/>
      </c>
      <c r="AK508">
        <f>$C508*AK507</f>
        <v/>
      </c>
      <c r="AL508">
        <f>$C508*AL507</f>
        <v/>
      </c>
      <c r="AM508">
        <f>$C508*AM507</f>
        <v/>
      </c>
      <c r="AN508">
        <f>$C508*AN507</f>
        <v/>
      </c>
      <c r="AO508">
        <f>$C508*AO507</f>
        <v/>
      </c>
      <c r="AP508">
        <f>$C508*AP507</f>
        <v/>
      </c>
      <c r="AQ508">
        <f>$C508*AQ507</f>
        <v/>
      </c>
      <c r="AR508">
        <f>$C508*AR507</f>
        <v/>
      </c>
      <c r="AS508">
        <f>$C508*AS507</f>
        <v/>
      </c>
      <c r="AT508">
        <f>$C508*AT507</f>
        <v/>
      </c>
      <c r="AU508">
        <f>$C508*AU507</f>
        <v/>
      </c>
      <c r="AV508">
        <f>$C508*AV507</f>
        <v/>
      </c>
      <c r="AW508">
        <f>$C508*AW507</f>
        <v/>
      </c>
      <c r="AX508">
        <f>$C508*AX507</f>
        <v/>
      </c>
      <c r="AY508">
        <f>$C508*AY507</f>
        <v/>
      </c>
      <c r="AZ508">
        <f>$C508*AZ507</f>
        <v/>
      </c>
      <c r="BA508">
        <f>$C508*BA507</f>
        <v/>
      </c>
      <c r="BB508">
        <f>$C508*BB507</f>
        <v/>
      </c>
      <c r="BC508">
        <f>$C508*BC507</f>
        <v/>
      </c>
      <c r="BD508">
        <f>$C508*BD507</f>
        <v/>
      </c>
      <c r="BE508">
        <f>$C508*BE507</f>
        <v/>
      </c>
      <c r="BF508">
        <f>$C508*BF507</f>
        <v/>
      </c>
      <c r="BG508">
        <f>$C508*BG507</f>
        <v/>
      </c>
      <c r="BH508">
        <f>$C508*BH507</f>
        <v/>
      </c>
      <c r="BI508">
        <f>$C508*BI507</f>
        <v/>
      </c>
      <c r="BJ508">
        <f>$C508*BJ507</f>
        <v/>
      </c>
      <c r="BK508">
        <f>$C508*BK507</f>
        <v/>
      </c>
      <c r="BL508">
        <f>$C508*BL507</f>
        <v/>
      </c>
      <c r="BM508">
        <f>$C508*BM507</f>
        <v/>
      </c>
      <c r="BN508">
        <f>$C508*BN507</f>
        <v/>
      </c>
      <c r="BO508">
        <f>$C508*BO507</f>
        <v/>
      </c>
      <c r="BP508">
        <f>$C508*BP507</f>
        <v/>
      </c>
      <c r="BQ508">
        <f>$C508*BQ507</f>
        <v/>
      </c>
      <c r="BR508">
        <f>$C508*BR507</f>
        <v/>
      </c>
      <c r="BS508">
        <f>$C508*BS507</f>
        <v/>
      </c>
      <c r="BT508">
        <f>$C508*BT507</f>
        <v/>
      </c>
      <c r="BU508">
        <f>$C508*BU507</f>
        <v/>
      </c>
      <c r="BV508">
        <f>$C508*BV507</f>
        <v/>
      </c>
      <c r="BW508">
        <f>$C508*BW507</f>
        <v/>
      </c>
      <c r="BX508">
        <f>$C508*BX507</f>
        <v/>
      </c>
      <c r="BY508">
        <f>$C508*BY507</f>
        <v/>
      </c>
      <c r="BZ508">
        <f>$C508*BZ507</f>
        <v/>
      </c>
      <c r="CA508">
        <f>$C508*CA507</f>
        <v/>
      </c>
      <c r="CB508">
        <f>$C508*CB507</f>
        <v/>
      </c>
      <c r="CC508">
        <f>$C508*CC507</f>
        <v/>
      </c>
      <c r="CD508">
        <f>$C508*CD507</f>
        <v/>
      </c>
      <c r="CE508">
        <f>$C508*CE507</f>
        <v/>
      </c>
      <c r="CF508">
        <f>$C508*CF507</f>
        <v/>
      </c>
      <c r="CG508">
        <f>$C508*CG507</f>
        <v/>
      </c>
      <c r="CH508">
        <f>$C508*CH507</f>
        <v/>
      </c>
      <c r="CI508">
        <f>$C508*CI507</f>
        <v/>
      </c>
      <c r="CJ508">
        <f>$C508*CJ507</f>
        <v/>
      </c>
      <c r="CK508">
        <f>$C508*CK507</f>
        <v/>
      </c>
      <c r="CL508">
        <f>$C508*CL507</f>
        <v/>
      </c>
      <c r="CM508">
        <f>$C508*CM507</f>
        <v/>
      </c>
      <c r="CN508">
        <f>$C508*CN507</f>
        <v/>
      </c>
      <c r="CO508">
        <f>$C508*CO507</f>
        <v/>
      </c>
      <c r="CP508">
        <f>$C508*CP507</f>
        <v/>
      </c>
      <c r="CQ508">
        <f>$C508*CQ507</f>
        <v/>
      </c>
      <c r="CR508">
        <f>$C508*CR507</f>
        <v/>
      </c>
      <c r="CS508">
        <f>$C508*CS507</f>
        <v/>
      </c>
      <c r="CT508">
        <f>$C508*CT507</f>
        <v/>
      </c>
      <c r="CU508">
        <f>$C508*CU507</f>
        <v/>
      </c>
      <c r="CV508">
        <f>$C508*CV507</f>
        <v/>
      </c>
      <c r="CW508">
        <f>$C508*CW507</f>
        <v/>
      </c>
      <c r="CX508">
        <f>$C508*CX507</f>
        <v/>
      </c>
      <c r="CY508">
        <f>$C508*CY507</f>
        <v/>
      </c>
      <c r="CZ508">
        <f>$C508*CZ507</f>
        <v/>
      </c>
      <c r="DA508">
        <f>$C508*DA507</f>
        <v/>
      </c>
      <c r="DB508">
        <f>$C508*DB507</f>
        <v/>
      </c>
      <c r="DC508">
        <f>$C508*DC507</f>
        <v/>
      </c>
    </row>
    <row r="509">
      <c r="B509" t="inlineStr">
        <is>
          <t>VSP-567</t>
        </is>
      </c>
      <c r="C509" t="inlineStr">
        <is>
          <t>No. of batches</t>
        </is>
      </c>
      <c r="D509">
        <f>IFERROR(INDEX(PP_Grid[#Data],$DD509,2),0)</f>
        <v/>
      </c>
      <c r="E509">
        <f>IFERROR(INDEX(PP_Grid[#Data],$DD509,3),0)</f>
        <v/>
      </c>
      <c r="F509">
        <f>IFERROR(INDEX(PP_Grid[#Data],$DD509,4),0)</f>
        <v/>
      </c>
      <c r="G509">
        <f>IFERROR(INDEX(PP_Grid[#Data],$DD509,5),0)</f>
        <v/>
      </c>
      <c r="H509">
        <f>IFERROR(INDEX(PP_Grid[#Data],$DD509,6),0)</f>
        <v/>
      </c>
      <c r="I509">
        <f>IFERROR(INDEX(PP_Grid[#Data],$DD509,7),0)</f>
        <v/>
      </c>
      <c r="J509">
        <f>IFERROR(INDEX(PP_Grid[#Data],$DD509,8),0)</f>
        <v/>
      </c>
      <c r="K509">
        <f>IFERROR(INDEX(PP_Grid[#Data],$DD509,9),0)</f>
        <v/>
      </c>
      <c r="L509">
        <f>IFERROR(INDEX(PP_Grid[#Data],$DD509,10),0)</f>
        <v/>
      </c>
      <c r="M509">
        <f>IFERROR(INDEX(PP_Grid[#Data],$DD509,11),0)</f>
        <v/>
      </c>
      <c r="N509">
        <f>IFERROR(INDEX(PP_Grid[#Data],$DD509,12),0)</f>
        <v/>
      </c>
      <c r="O509">
        <f>IFERROR(INDEX(PP_Grid[#Data],$DD509,13),0)</f>
        <v/>
      </c>
      <c r="P509">
        <f>IFERROR(INDEX(PP_Grid[#Data],$DD509,14),0)</f>
        <v/>
      </c>
      <c r="Q509">
        <f>IFERROR(INDEX(PP_Grid[#Data],$DD509,15),0)</f>
        <v/>
      </c>
      <c r="R509">
        <f>IFERROR(INDEX(PP_Grid[#Data],$DD509,16),0)</f>
        <v/>
      </c>
      <c r="S509">
        <f>IFERROR(INDEX(PP_Grid[#Data],$DD509,17),0)</f>
        <v/>
      </c>
      <c r="T509">
        <f>IFERROR(INDEX(PP_Grid[#Data],$DD509,18),0)</f>
        <v/>
      </c>
      <c r="U509">
        <f>IFERROR(INDEX(PP_Grid[#Data],$DD509,19),0)</f>
        <v/>
      </c>
      <c r="V509">
        <f>IFERROR(INDEX(PP_Grid[#Data],$DD509,20),0)</f>
        <v/>
      </c>
      <c r="W509">
        <f>IFERROR(INDEX(PP_Grid[#Data],$DD509,21),0)</f>
        <v/>
      </c>
      <c r="X509">
        <f>IFERROR(INDEX(PP_Grid[#Data],$DD509,22),0)</f>
        <v/>
      </c>
      <c r="Y509">
        <f>IFERROR(INDEX(PP_Grid[#Data],$DD509,23),0)</f>
        <v/>
      </c>
      <c r="Z509">
        <f>IFERROR(INDEX(PP_Grid[#Data],$DD509,24),0)</f>
        <v/>
      </c>
      <c r="AA509">
        <f>IFERROR(INDEX(PP_Grid[#Data],$DD509,25),0)</f>
        <v/>
      </c>
      <c r="AB509">
        <f>IFERROR(INDEX(PP_Grid[#Data],$DD509,26),0)</f>
        <v/>
      </c>
      <c r="AC509">
        <f>IFERROR(INDEX(PP_Grid[#Data],$DD509,27),0)</f>
        <v/>
      </c>
      <c r="AD509">
        <f>IFERROR(INDEX(PP_Grid[#Data],$DD509,28),0)</f>
        <v/>
      </c>
      <c r="AE509">
        <f>IFERROR(INDEX(PP_Grid[#Data],$DD509,29),0)</f>
        <v/>
      </c>
      <c r="AF509">
        <f>IFERROR(INDEX(PP_Grid[#Data],$DD509,30),0)</f>
        <v/>
      </c>
      <c r="AG509">
        <f>IFERROR(INDEX(PP_Grid[#Data],$DD509,31),0)</f>
        <v/>
      </c>
      <c r="AH509">
        <f>IFERROR(INDEX(PP_Grid[#Data],$DD509,32),0)</f>
        <v/>
      </c>
      <c r="AI509">
        <f>IFERROR(INDEX(PP_Grid[#Data],$DD509,33),0)</f>
        <v/>
      </c>
      <c r="AJ509">
        <f>IFERROR(INDEX(PP_Grid[#Data],$DD509,34),0)</f>
        <v/>
      </c>
      <c r="AK509">
        <f>IFERROR(INDEX(PP_Grid[#Data],$DD509,35),0)</f>
        <v/>
      </c>
      <c r="AL509">
        <f>IFERROR(INDEX(PP_Grid[#Data],$DD509,36),0)</f>
        <v/>
      </c>
      <c r="AM509">
        <f>IFERROR(INDEX(PP_Grid[#Data],$DD509,37),0)</f>
        <v/>
      </c>
      <c r="AN509">
        <f>IFERROR(INDEX(PP_Grid[#Data],$DD509,38),0)</f>
        <v/>
      </c>
      <c r="AO509">
        <f>IFERROR(INDEX(PP_Grid[#Data],$DD509,39),0)</f>
        <v/>
      </c>
      <c r="AP509">
        <f>IFERROR(INDEX(PP_Grid[#Data],$DD509,40),0)</f>
        <v/>
      </c>
      <c r="AQ509">
        <f>IFERROR(INDEX(PP_Grid[#Data],$DD509,41),0)</f>
        <v/>
      </c>
      <c r="AR509">
        <f>IFERROR(INDEX(PP_Grid[#Data],$DD509,42),0)</f>
        <v/>
      </c>
      <c r="AS509">
        <f>IFERROR(INDEX(PP_Grid[#Data],$DD509,43),0)</f>
        <v/>
      </c>
      <c r="AT509">
        <f>IFERROR(INDEX(PP_Grid[#Data],$DD509,44),0)</f>
        <v/>
      </c>
      <c r="AU509">
        <f>IFERROR(INDEX(PP_Grid[#Data],$DD509,45),0)</f>
        <v/>
      </c>
      <c r="AV509">
        <f>IFERROR(INDEX(PP_Grid[#Data],$DD509,46),0)</f>
        <v/>
      </c>
      <c r="AW509">
        <f>IFERROR(INDEX(PP_Grid[#Data],$DD509,47),0)</f>
        <v/>
      </c>
      <c r="AX509">
        <f>IFERROR(INDEX(PP_Grid[#Data],$DD509,48),0)</f>
        <v/>
      </c>
      <c r="AY509">
        <f>IFERROR(INDEX(PP_Grid[#Data],$DD509,49),0)</f>
        <v/>
      </c>
      <c r="AZ509">
        <f>IFERROR(INDEX(PP_Grid[#Data],$DD509,50),0)</f>
        <v/>
      </c>
      <c r="BA509">
        <f>IFERROR(INDEX(PP_Grid[#Data],$DD509,51),0)</f>
        <v/>
      </c>
      <c r="BB509">
        <f>IFERROR(INDEX(PP_Grid[#Data],$DD509,52),0)</f>
        <v/>
      </c>
      <c r="BC509">
        <f>IFERROR(INDEX(PP_Grid[#Data],$DD509,53),0)</f>
        <v/>
      </c>
      <c r="BD509">
        <f>IFERROR(INDEX(PP_Grid[#Data],$DD509,54),0)</f>
        <v/>
      </c>
      <c r="BE509">
        <f>IFERROR(INDEX(PP_Grid[#Data],$DD509,55),0)</f>
        <v/>
      </c>
      <c r="BF509">
        <f>IFERROR(INDEX(PP_Grid[#Data],$DD509,56),0)</f>
        <v/>
      </c>
      <c r="BG509">
        <f>IFERROR(INDEX(PP_Grid[#Data],$DD509,57),0)</f>
        <v/>
      </c>
      <c r="BH509">
        <f>IFERROR(INDEX(PP_Grid[#Data],$DD509,58),0)</f>
        <v/>
      </c>
      <c r="BI509">
        <f>IFERROR(INDEX(PP_Grid[#Data],$DD509,59),0)</f>
        <v/>
      </c>
      <c r="BJ509">
        <f>IFERROR(INDEX(PP_Grid[#Data],$DD509,60),0)</f>
        <v/>
      </c>
      <c r="BK509">
        <f>IFERROR(INDEX(PP_Grid[#Data],$DD509,61),0)</f>
        <v/>
      </c>
      <c r="BL509">
        <f>IFERROR(INDEX(PP_Grid[#Data],$DD509,62),0)</f>
        <v/>
      </c>
      <c r="BM509">
        <f>IFERROR(INDEX(PP_Grid[#Data],$DD509,63),0)</f>
        <v/>
      </c>
      <c r="BN509">
        <f>IFERROR(INDEX(PP_Grid[#Data],$DD509,64),0)</f>
        <v/>
      </c>
      <c r="BO509">
        <f>IFERROR(INDEX(PP_Grid[#Data],$DD509,65),0)</f>
        <v/>
      </c>
      <c r="BP509">
        <f>IFERROR(INDEX(PP_Grid[#Data],$DD509,66),0)</f>
        <v/>
      </c>
      <c r="BQ509">
        <f>IFERROR(INDEX(PP_Grid[#Data],$DD509,67),0)</f>
        <v/>
      </c>
      <c r="BR509">
        <f>IFERROR(INDEX(PP_Grid[#Data],$DD509,68),0)</f>
        <v/>
      </c>
      <c r="BS509">
        <f>IFERROR(INDEX(PP_Grid[#Data],$DD509,69),0)</f>
        <v/>
      </c>
      <c r="BT509">
        <f>IFERROR(INDEX(PP_Grid[#Data],$DD509,70),0)</f>
        <v/>
      </c>
      <c r="BU509">
        <f>IFERROR(INDEX(PP_Grid[#Data],$DD509,71),0)</f>
        <v/>
      </c>
      <c r="BV509">
        <f>IFERROR(INDEX(PP_Grid[#Data],$DD509,72),0)</f>
        <v/>
      </c>
      <c r="BW509">
        <f>IFERROR(INDEX(PP_Grid[#Data],$DD509,73),0)</f>
        <v/>
      </c>
      <c r="BX509">
        <f>IFERROR(INDEX(PP_Grid[#Data],$DD509,74),0)</f>
        <v/>
      </c>
      <c r="BY509">
        <f>IFERROR(INDEX(PP_Grid[#Data],$DD509,75),0)</f>
        <v/>
      </c>
      <c r="BZ509">
        <f>IFERROR(INDEX(PP_Grid[#Data],$DD509,76),0)</f>
        <v/>
      </c>
      <c r="CA509">
        <f>IFERROR(INDEX(PP_Grid[#Data],$DD509,77),0)</f>
        <v/>
      </c>
      <c r="CB509">
        <f>IFERROR(INDEX(PP_Grid[#Data],$DD509,78),0)</f>
        <v/>
      </c>
      <c r="CC509">
        <f>IFERROR(INDEX(PP_Grid[#Data],$DD509,79),0)</f>
        <v/>
      </c>
      <c r="CD509">
        <f>IFERROR(INDEX(PP_Grid[#Data],$DD509,80),0)</f>
        <v/>
      </c>
      <c r="CE509">
        <f>IFERROR(INDEX(PP_Grid[#Data],$DD509,81),0)</f>
        <v/>
      </c>
      <c r="CF509">
        <f>IFERROR(INDEX(PP_Grid[#Data],$DD509,82),0)</f>
        <v/>
      </c>
      <c r="CG509">
        <f>IFERROR(INDEX(PP_Grid[#Data],$DD509,83),0)</f>
        <v/>
      </c>
      <c r="CH509">
        <f>IFERROR(INDEX(PP_Grid[#Data],$DD509,84),0)</f>
        <v/>
      </c>
      <c r="CI509">
        <f>IFERROR(INDEX(PP_Grid[#Data],$DD509,85),0)</f>
        <v/>
      </c>
      <c r="CJ509">
        <f>IFERROR(INDEX(PP_Grid[#Data],$DD509,86),0)</f>
        <v/>
      </c>
      <c r="CK509">
        <f>IFERROR(INDEX(PP_Grid[#Data],$DD509,87),0)</f>
        <v/>
      </c>
      <c r="CL509">
        <f>IFERROR(INDEX(PP_Grid[#Data],$DD509,88),0)</f>
        <v/>
      </c>
      <c r="CM509">
        <f>IFERROR(INDEX(PP_Grid[#Data],$DD509,89),0)</f>
        <v/>
      </c>
      <c r="CN509">
        <f>IFERROR(INDEX(PP_Grid[#Data],$DD509,90),0)</f>
        <v/>
      </c>
      <c r="CO509">
        <f>IFERROR(INDEX(PP_Grid[#Data],$DD509,91),0)</f>
        <v/>
      </c>
      <c r="CP509">
        <f>IFERROR(INDEX(PP_Grid[#Data],$DD509,92),0)</f>
        <v/>
      </c>
      <c r="CQ509">
        <f>IFERROR(INDEX(PP_Grid[#Data],$DD509,93),0)</f>
        <v/>
      </c>
      <c r="CR509">
        <f>IFERROR(INDEX(PP_Grid[#Data],$DD509,94),0)</f>
        <v/>
      </c>
      <c r="CS509">
        <f>IFERROR(INDEX(PP_Grid[#Data],$DD509,95),0)</f>
        <v/>
      </c>
      <c r="CT509">
        <f>IFERROR(INDEX(PP_Grid[#Data],$DD509,96),0)</f>
        <v/>
      </c>
      <c r="CU509">
        <f>IFERROR(INDEX(PP_Grid[#Data],$DD509,97),0)</f>
        <v/>
      </c>
      <c r="CV509">
        <f>IFERROR(INDEX(PP_Grid[#Data],$DD509,98),0)</f>
        <v/>
      </c>
      <c r="CW509">
        <f>IFERROR(INDEX(PP_Grid[#Data],$DD509,99),0)</f>
        <v/>
      </c>
      <c r="CX509">
        <f>IFERROR(INDEX(PP_Grid[#Data],$DD509,100),0)</f>
        <v/>
      </c>
      <c r="CY509">
        <f>IFERROR(INDEX(PP_Grid[#Data],$DD509,101),0)</f>
        <v/>
      </c>
      <c r="CZ509">
        <f>IFERROR(INDEX(PP_Grid[#Data],$DD509,102),0)</f>
        <v/>
      </c>
      <c r="DA509">
        <f>IFERROR(INDEX(PP_Grid[#Data],$DD509,103),0)</f>
        <v/>
      </c>
      <c r="DB509">
        <f>IFERROR(INDEX(PP_Grid[#Data],$DD509,104),0)</f>
        <v/>
      </c>
      <c r="DC509">
        <f>IFERROR(INDEX(PP_Grid[#Data],$DD509,105),0)</f>
        <v/>
      </c>
      <c r="DD509" s="7">
        <f>IFERROR(MATCH($B509,PP_Grid[Intermediate],0),99999)</f>
        <v/>
      </c>
    </row>
    <row r="510">
      <c r="B510" t="inlineStr">
        <is>
          <t>使用量(kg)</t>
        </is>
      </c>
      <c r="C510">
        <f>SUMIFS(M_BOM[RM_Qty_Per_Batch],M_BOM[Intermediate],$B509,M_BOM[Part Name],$A500)</f>
        <v/>
      </c>
      <c r="D510">
        <f>$C510*D509</f>
        <v/>
      </c>
      <c r="E510">
        <f>$C510*E509</f>
        <v/>
      </c>
      <c r="F510">
        <f>$C510*F509</f>
        <v/>
      </c>
      <c r="G510">
        <f>$C510*G509</f>
        <v/>
      </c>
      <c r="H510">
        <f>$C510*H509</f>
        <v/>
      </c>
      <c r="I510">
        <f>$C510*I509</f>
        <v/>
      </c>
      <c r="J510">
        <f>$C510*J509</f>
        <v/>
      </c>
      <c r="K510">
        <f>$C510*K509</f>
        <v/>
      </c>
      <c r="L510">
        <f>$C510*L509</f>
        <v/>
      </c>
      <c r="M510">
        <f>$C510*M509</f>
        <v/>
      </c>
      <c r="N510">
        <f>$C510*N509</f>
        <v/>
      </c>
      <c r="O510">
        <f>$C510*O509</f>
        <v/>
      </c>
      <c r="P510">
        <f>$C510*P509</f>
        <v/>
      </c>
      <c r="Q510">
        <f>$C510*Q509</f>
        <v/>
      </c>
      <c r="R510">
        <f>$C510*R509</f>
        <v/>
      </c>
      <c r="S510">
        <f>$C510*S509</f>
        <v/>
      </c>
      <c r="T510">
        <f>$C510*T509</f>
        <v/>
      </c>
      <c r="U510">
        <f>$C510*U509</f>
        <v/>
      </c>
      <c r="V510">
        <f>$C510*V509</f>
        <v/>
      </c>
      <c r="W510">
        <f>$C510*W509</f>
        <v/>
      </c>
      <c r="X510">
        <f>$C510*X509</f>
        <v/>
      </c>
      <c r="Y510">
        <f>$C510*Y509</f>
        <v/>
      </c>
      <c r="Z510">
        <f>$C510*Z509</f>
        <v/>
      </c>
      <c r="AA510">
        <f>$C510*AA509</f>
        <v/>
      </c>
      <c r="AB510">
        <f>$C510*AB509</f>
        <v/>
      </c>
      <c r="AC510">
        <f>$C510*AC509</f>
        <v/>
      </c>
      <c r="AD510">
        <f>$C510*AD509</f>
        <v/>
      </c>
      <c r="AE510">
        <f>$C510*AE509</f>
        <v/>
      </c>
      <c r="AF510">
        <f>$C510*AF509</f>
        <v/>
      </c>
      <c r="AG510">
        <f>$C510*AG509</f>
        <v/>
      </c>
      <c r="AH510">
        <f>$C510*AH509</f>
        <v/>
      </c>
      <c r="AI510">
        <f>$C510*AI509</f>
        <v/>
      </c>
      <c r="AJ510">
        <f>$C510*AJ509</f>
        <v/>
      </c>
      <c r="AK510">
        <f>$C510*AK509</f>
        <v/>
      </c>
      <c r="AL510">
        <f>$C510*AL509</f>
        <v/>
      </c>
      <c r="AM510">
        <f>$C510*AM509</f>
        <v/>
      </c>
      <c r="AN510">
        <f>$C510*AN509</f>
        <v/>
      </c>
      <c r="AO510">
        <f>$C510*AO509</f>
        <v/>
      </c>
      <c r="AP510">
        <f>$C510*AP509</f>
        <v/>
      </c>
      <c r="AQ510">
        <f>$C510*AQ509</f>
        <v/>
      </c>
      <c r="AR510">
        <f>$C510*AR509</f>
        <v/>
      </c>
      <c r="AS510">
        <f>$C510*AS509</f>
        <v/>
      </c>
      <c r="AT510">
        <f>$C510*AT509</f>
        <v/>
      </c>
      <c r="AU510">
        <f>$C510*AU509</f>
        <v/>
      </c>
      <c r="AV510">
        <f>$C510*AV509</f>
        <v/>
      </c>
      <c r="AW510">
        <f>$C510*AW509</f>
        <v/>
      </c>
      <c r="AX510">
        <f>$C510*AX509</f>
        <v/>
      </c>
      <c r="AY510">
        <f>$C510*AY509</f>
        <v/>
      </c>
      <c r="AZ510">
        <f>$C510*AZ509</f>
        <v/>
      </c>
      <c r="BA510">
        <f>$C510*BA509</f>
        <v/>
      </c>
      <c r="BB510">
        <f>$C510*BB509</f>
        <v/>
      </c>
      <c r="BC510">
        <f>$C510*BC509</f>
        <v/>
      </c>
      <c r="BD510">
        <f>$C510*BD509</f>
        <v/>
      </c>
      <c r="BE510">
        <f>$C510*BE509</f>
        <v/>
      </c>
      <c r="BF510">
        <f>$C510*BF509</f>
        <v/>
      </c>
      <c r="BG510">
        <f>$C510*BG509</f>
        <v/>
      </c>
      <c r="BH510">
        <f>$C510*BH509</f>
        <v/>
      </c>
      <c r="BI510">
        <f>$C510*BI509</f>
        <v/>
      </c>
      <c r="BJ510">
        <f>$C510*BJ509</f>
        <v/>
      </c>
      <c r="BK510">
        <f>$C510*BK509</f>
        <v/>
      </c>
      <c r="BL510">
        <f>$C510*BL509</f>
        <v/>
      </c>
      <c r="BM510">
        <f>$C510*BM509</f>
        <v/>
      </c>
      <c r="BN510">
        <f>$C510*BN509</f>
        <v/>
      </c>
      <c r="BO510">
        <f>$C510*BO509</f>
        <v/>
      </c>
      <c r="BP510">
        <f>$C510*BP509</f>
        <v/>
      </c>
      <c r="BQ510">
        <f>$C510*BQ509</f>
        <v/>
      </c>
      <c r="BR510">
        <f>$C510*BR509</f>
        <v/>
      </c>
      <c r="BS510">
        <f>$C510*BS509</f>
        <v/>
      </c>
      <c r="BT510">
        <f>$C510*BT509</f>
        <v/>
      </c>
      <c r="BU510">
        <f>$C510*BU509</f>
        <v/>
      </c>
      <c r="BV510">
        <f>$C510*BV509</f>
        <v/>
      </c>
      <c r="BW510">
        <f>$C510*BW509</f>
        <v/>
      </c>
      <c r="BX510">
        <f>$C510*BX509</f>
        <v/>
      </c>
      <c r="BY510">
        <f>$C510*BY509</f>
        <v/>
      </c>
      <c r="BZ510">
        <f>$C510*BZ509</f>
        <v/>
      </c>
      <c r="CA510">
        <f>$C510*CA509</f>
        <v/>
      </c>
      <c r="CB510">
        <f>$C510*CB509</f>
        <v/>
      </c>
      <c r="CC510">
        <f>$C510*CC509</f>
        <v/>
      </c>
      <c r="CD510">
        <f>$C510*CD509</f>
        <v/>
      </c>
      <c r="CE510">
        <f>$C510*CE509</f>
        <v/>
      </c>
      <c r="CF510">
        <f>$C510*CF509</f>
        <v/>
      </c>
      <c r="CG510">
        <f>$C510*CG509</f>
        <v/>
      </c>
      <c r="CH510">
        <f>$C510*CH509</f>
        <v/>
      </c>
      <c r="CI510">
        <f>$C510*CI509</f>
        <v/>
      </c>
      <c r="CJ510">
        <f>$C510*CJ509</f>
        <v/>
      </c>
      <c r="CK510">
        <f>$C510*CK509</f>
        <v/>
      </c>
      <c r="CL510">
        <f>$C510*CL509</f>
        <v/>
      </c>
      <c r="CM510">
        <f>$C510*CM509</f>
        <v/>
      </c>
      <c r="CN510">
        <f>$C510*CN509</f>
        <v/>
      </c>
      <c r="CO510">
        <f>$C510*CO509</f>
        <v/>
      </c>
      <c r="CP510">
        <f>$C510*CP509</f>
        <v/>
      </c>
      <c r="CQ510">
        <f>$C510*CQ509</f>
        <v/>
      </c>
      <c r="CR510">
        <f>$C510*CR509</f>
        <v/>
      </c>
      <c r="CS510">
        <f>$C510*CS509</f>
        <v/>
      </c>
      <c r="CT510">
        <f>$C510*CT509</f>
        <v/>
      </c>
      <c r="CU510">
        <f>$C510*CU509</f>
        <v/>
      </c>
      <c r="CV510">
        <f>$C510*CV509</f>
        <v/>
      </c>
      <c r="CW510">
        <f>$C510*CW509</f>
        <v/>
      </c>
      <c r="CX510">
        <f>$C510*CX509</f>
        <v/>
      </c>
      <c r="CY510">
        <f>$C510*CY509</f>
        <v/>
      </c>
      <c r="CZ510">
        <f>$C510*CZ509</f>
        <v/>
      </c>
      <c r="DA510">
        <f>$C510*DA509</f>
        <v/>
      </c>
      <c r="DB510">
        <f>$C510*DB509</f>
        <v/>
      </c>
      <c r="DC510">
        <f>$C510*DC509</f>
        <v/>
      </c>
    </row>
    <row r="511">
      <c r="B511" t="inlineStr">
        <is>
          <t>VSP-600</t>
        </is>
      </c>
      <c r="C511" t="inlineStr">
        <is>
          <t>No. of batches</t>
        </is>
      </c>
      <c r="D511">
        <f>IFERROR(INDEX(PP_Grid[#Data],$DD511,2),0)</f>
        <v/>
      </c>
      <c r="E511">
        <f>IFERROR(INDEX(PP_Grid[#Data],$DD511,3),0)</f>
        <v/>
      </c>
      <c r="F511">
        <f>IFERROR(INDEX(PP_Grid[#Data],$DD511,4),0)</f>
        <v/>
      </c>
      <c r="G511">
        <f>IFERROR(INDEX(PP_Grid[#Data],$DD511,5),0)</f>
        <v/>
      </c>
      <c r="H511">
        <f>IFERROR(INDEX(PP_Grid[#Data],$DD511,6),0)</f>
        <v/>
      </c>
      <c r="I511">
        <f>IFERROR(INDEX(PP_Grid[#Data],$DD511,7),0)</f>
        <v/>
      </c>
      <c r="J511">
        <f>IFERROR(INDEX(PP_Grid[#Data],$DD511,8),0)</f>
        <v/>
      </c>
      <c r="K511">
        <f>IFERROR(INDEX(PP_Grid[#Data],$DD511,9),0)</f>
        <v/>
      </c>
      <c r="L511">
        <f>IFERROR(INDEX(PP_Grid[#Data],$DD511,10),0)</f>
        <v/>
      </c>
      <c r="M511">
        <f>IFERROR(INDEX(PP_Grid[#Data],$DD511,11),0)</f>
        <v/>
      </c>
      <c r="N511">
        <f>IFERROR(INDEX(PP_Grid[#Data],$DD511,12),0)</f>
        <v/>
      </c>
      <c r="O511">
        <f>IFERROR(INDEX(PP_Grid[#Data],$DD511,13),0)</f>
        <v/>
      </c>
      <c r="P511">
        <f>IFERROR(INDEX(PP_Grid[#Data],$DD511,14),0)</f>
        <v/>
      </c>
      <c r="Q511">
        <f>IFERROR(INDEX(PP_Grid[#Data],$DD511,15),0)</f>
        <v/>
      </c>
      <c r="R511">
        <f>IFERROR(INDEX(PP_Grid[#Data],$DD511,16),0)</f>
        <v/>
      </c>
      <c r="S511">
        <f>IFERROR(INDEX(PP_Grid[#Data],$DD511,17),0)</f>
        <v/>
      </c>
      <c r="T511">
        <f>IFERROR(INDEX(PP_Grid[#Data],$DD511,18),0)</f>
        <v/>
      </c>
      <c r="U511">
        <f>IFERROR(INDEX(PP_Grid[#Data],$DD511,19),0)</f>
        <v/>
      </c>
      <c r="V511">
        <f>IFERROR(INDEX(PP_Grid[#Data],$DD511,20),0)</f>
        <v/>
      </c>
      <c r="W511">
        <f>IFERROR(INDEX(PP_Grid[#Data],$DD511,21),0)</f>
        <v/>
      </c>
      <c r="X511">
        <f>IFERROR(INDEX(PP_Grid[#Data],$DD511,22),0)</f>
        <v/>
      </c>
      <c r="Y511">
        <f>IFERROR(INDEX(PP_Grid[#Data],$DD511,23),0)</f>
        <v/>
      </c>
      <c r="Z511">
        <f>IFERROR(INDEX(PP_Grid[#Data],$DD511,24),0)</f>
        <v/>
      </c>
      <c r="AA511">
        <f>IFERROR(INDEX(PP_Grid[#Data],$DD511,25),0)</f>
        <v/>
      </c>
      <c r="AB511">
        <f>IFERROR(INDEX(PP_Grid[#Data],$DD511,26),0)</f>
        <v/>
      </c>
      <c r="AC511">
        <f>IFERROR(INDEX(PP_Grid[#Data],$DD511,27),0)</f>
        <v/>
      </c>
      <c r="AD511">
        <f>IFERROR(INDEX(PP_Grid[#Data],$DD511,28),0)</f>
        <v/>
      </c>
      <c r="AE511">
        <f>IFERROR(INDEX(PP_Grid[#Data],$DD511,29),0)</f>
        <v/>
      </c>
      <c r="AF511">
        <f>IFERROR(INDEX(PP_Grid[#Data],$DD511,30),0)</f>
        <v/>
      </c>
      <c r="AG511">
        <f>IFERROR(INDEX(PP_Grid[#Data],$DD511,31),0)</f>
        <v/>
      </c>
      <c r="AH511">
        <f>IFERROR(INDEX(PP_Grid[#Data],$DD511,32),0)</f>
        <v/>
      </c>
      <c r="AI511">
        <f>IFERROR(INDEX(PP_Grid[#Data],$DD511,33),0)</f>
        <v/>
      </c>
      <c r="AJ511">
        <f>IFERROR(INDEX(PP_Grid[#Data],$DD511,34),0)</f>
        <v/>
      </c>
      <c r="AK511">
        <f>IFERROR(INDEX(PP_Grid[#Data],$DD511,35),0)</f>
        <v/>
      </c>
      <c r="AL511">
        <f>IFERROR(INDEX(PP_Grid[#Data],$DD511,36),0)</f>
        <v/>
      </c>
      <c r="AM511">
        <f>IFERROR(INDEX(PP_Grid[#Data],$DD511,37),0)</f>
        <v/>
      </c>
      <c r="AN511">
        <f>IFERROR(INDEX(PP_Grid[#Data],$DD511,38),0)</f>
        <v/>
      </c>
      <c r="AO511">
        <f>IFERROR(INDEX(PP_Grid[#Data],$DD511,39),0)</f>
        <v/>
      </c>
      <c r="AP511">
        <f>IFERROR(INDEX(PP_Grid[#Data],$DD511,40),0)</f>
        <v/>
      </c>
      <c r="AQ511">
        <f>IFERROR(INDEX(PP_Grid[#Data],$DD511,41),0)</f>
        <v/>
      </c>
      <c r="AR511">
        <f>IFERROR(INDEX(PP_Grid[#Data],$DD511,42),0)</f>
        <v/>
      </c>
      <c r="AS511">
        <f>IFERROR(INDEX(PP_Grid[#Data],$DD511,43),0)</f>
        <v/>
      </c>
      <c r="AT511">
        <f>IFERROR(INDEX(PP_Grid[#Data],$DD511,44),0)</f>
        <v/>
      </c>
      <c r="AU511">
        <f>IFERROR(INDEX(PP_Grid[#Data],$DD511,45),0)</f>
        <v/>
      </c>
      <c r="AV511">
        <f>IFERROR(INDEX(PP_Grid[#Data],$DD511,46),0)</f>
        <v/>
      </c>
      <c r="AW511">
        <f>IFERROR(INDEX(PP_Grid[#Data],$DD511,47),0)</f>
        <v/>
      </c>
      <c r="AX511">
        <f>IFERROR(INDEX(PP_Grid[#Data],$DD511,48),0)</f>
        <v/>
      </c>
      <c r="AY511">
        <f>IFERROR(INDEX(PP_Grid[#Data],$DD511,49),0)</f>
        <v/>
      </c>
      <c r="AZ511">
        <f>IFERROR(INDEX(PP_Grid[#Data],$DD511,50),0)</f>
        <v/>
      </c>
      <c r="BA511">
        <f>IFERROR(INDEX(PP_Grid[#Data],$DD511,51),0)</f>
        <v/>
      </c>
      <c r="BB511">
        <f>IFERROR(INDEX(PP_Grid[#Data],$DD511,52),0)</f>
        <v/>
      </c>
      <c r="BC511">
        <f>IFERROR(INDEX(PP_Grid[#Data],$DD511,53),0)</f>
        <v/>
      </c>
      <c r="BD511">
        <f>IFERROR(INDEX(PP_Grid[#Data],$DD511,54),0)</f>
        <v/>
      </c>
      <c r="BE511">
        <f>IFERROR(INDEX(PP_Grid[#Data],$DD511,55),0)</f>
        <v/>
      </c>
      <c r="BF511">
        <f>IFERROR(INDEX(PP_Grid[#Data],$DD511,56),0)</f>
        <v/>
      </c>
      <c r="BG511">
        <f>IFERROR(INDEX(PP_Grid[#Data],$DD511,57),0)</f>
        <v/>
      </c>
      <c r="BH511">
        <f>IFERROR(INDEX(PP_Grid[#Data],$DD511,58),0)</f>
        <v/>
      </c>
      <c r="BI511">
        <f>IFERROR(INDEX(PP_Grid[#Data],$DD511,59),0)</f>
        <v/>
      </c>
      <c r="BJ511">
        <f>IFERROR(INDEX(PP_Grid[#Data],$DD511,60),0)</f>
        <v/>
      </c>
      <c r="BK511">
        <f>IFERROR(INDEX(PP_Grid[#Data],$DD511,61),0)</f>
        <v/>
      </c>
      <c r="BL511">
        <f>IFERROR(INDEX(PP_Grid[#Data],$DD511,62),0)</f>
        <v/>
      </c>
      <c r="BM511">
        <f>IFERROR(INDEX(PP_Grid[#Data],$DD511,63),0)</f>
        <v/>
      </c>
      <c r="BN511">
        <f>IFERROR(INDEX(PP_Grid[#Data],$DD511,64),0)</f>
        <v/>
      </c>
      <c r="BO511">
        <f>IFERROR(INDEX(PP_Grid[#Data],$DD511,65),0)</f>
        <v/>
      </c>
      <c r="BP511">
        <f>IFERROR(INDEX(PP_Grid[#Data],$DD511,66),0)</f>
        <v/>
      </c>
      <c r="BQ511">
        <f>IFERROR(INDEX(PP_Grid[#Data],$DD511,67),0)</f>
        <v/>
      </c>
      <c r="BR511">
        <f>IFERROR(INDEX(PP_Grid[#Data],$DD511,68),0)</f>
        <v/>
      </c>
      <c r="BS511">
        <f>IFERROR(INDEX(PP_Grid[#Data],$DD511,69),0)</f>
        <v/>
      </c>
      <c r="BT511">
        <f>IFERROR(INDEX(PP_Grid[#Data],$DD511,70),0)</f>
        <v/>
      </c>
      <c r="BU511">
        <f>IFERROR(INDEX(PP_Grid[#Data],$DD511,71),0)</f>
        <v/>
      </c>
      <c r="BV511">
        <f>IFERROR(INDEX(PP_Grid[#Data],$DD511,72),0)</f>
        <v/>
      </c>
      <c r="BW511">
        <f>IFERROR(INDEX(PP_Grid[#Data],$DD511,73),0)</f>
        <v/>
      </c>
      <c r="BX511">
        <f>IFERROR(INDEX(PP_Grid[#Data],$DD511,74),0)</f>
        <v/>
      </c>
      <c r="BY511">
        <f>IFERROR(INDEX(PP_Grid[#Data],$DD511,75),0)</f>
        <v/>
      </c>
      <c r="BZ511">
        <f>IFERROR(INDEX(PP_Grid[#Data],$DD511,76),0)</f>
        <v/>
      </c>
      <c r="CA511">
        <f>IFERROR(INDEX(PP_Grid[#Data],$DD511,77),0)</f>
        <v/>
      </c>
      <c r="CB511">
        <f>IFERROR(INDEX(PP_Grid[#Data],$DD511,78),0)</f>
        <v/>
      </c>
      <c r="CC511">
        <f>IFERROR(INDEX(PP_Grid[#Data],$DD511,79),0)</f>
        <v/>
      </c>
      <c r="CD511">
        <f>IFERROR(INDEX(PP_Grid[#Data],$DD511,80),0)</f>
        <v/>
      </c>
      <c r="CE511">
        <f>IFERROR(INDEX(PP_Grid[#Data],$DD511,81),0)</f>
        <v/>
      </c>
      <c r="CF511">
        <f>IFERROR(INDEX(PP_Grid[#Data],$DD511,82),0)</f>
        <v/>
      </c>
      <c r="CG511">
        <f>IFERROR(INDEX(PP_Grid[#Data],$DD511,83),0)</f>
        <v/>
      </c>
      <c r="CH511">
        <f>IFERROR(INDEX(PP_Grid[#Data],$DD511,84),0)</f>
        <v/>
      </c>
      <c r="CI511">
        <f>IFERROR(INDEX(PP_Grid[#Data],$DD511,85),0)</f>
        <v/>
      </c>
      <c r="CJ511">
        <f>IFERROR(INDEX(PP_Grid[#Data],$DD511,86),0)</f>
        <v/>
      </c>
      <c r="CK511">
        <f>IFERROR(INDEX(PP_Grid[#Data],$DD511,87),0)</f>
        <v/>
      </c>
      <c r="CL511">
        <f>IFERROR(INDEX(PP_Grid[#Data],$DD511,88),0)</f>
        <v/>
      </c>
      <c r="CM511">
        <f>IFERROR(INDEX(PP_Grid[#Data],$DD511,89),0)</f>
        <v/>
      </c>
      <c r="CN511">
        <f>IFERROR(INDEX(PP_Grid[#Data],$DD511,90),0)</f>
        <v/>
      </c>
      <c r="CO511">
        <f>IFERROR(INDEX(PP_Grid[#Data],$DD511,91),0)</f>
        <v/>
      </c>
      <c r="CP511">
        <f>IFERROR(INDEX(PP_Grid[#Data],$DD511,92),0)</f>
        <v/>
      </c>
      <c r="CQ511">
        <f>IFERROR(INDEX(PP_Grid[#Data],$DD511,93),0)</f>
        <v/>
      </c>
      <c r="CR511">
        <f>IFERROR(INDEX(PP_Grid[#Data],$DD511,94),0)</f>
        <v/>
      </c>
      <c r="CS511">
        <f>IFERROR(INDEX(PP_Grid[#Data],$DD511,95),0)</f>
        <v/>
      </c>
      <c r="CT511">
        <f>IFERROR(INDEX(PP_Grid[#Data],$DD511,96),0)</f>
        <v/>
      </c>
      <c r="CU511">
        <f>IFERROR(INDEX(PP_Grid[#Data],$DD511,97),0)</f>
        <v/>
      </c>
      <c r="CV511">
        <f>IFERROR(INDEX(PP_Grid[#Data],$DD511,98),0)</f>
        <v/>
      </c>
      <c r="CW511">
        <f>IFERROR(INDEX(PP_Grid[#Data],$DD511,99),0)</f>
        <v/>
      </c>
      <c r="CX511">
        <f>IFERROR(INDEX(PP_Grid[#Data],$DD511,100),0)</f>
        <v/>
      </c>
      <c r="CY511">
        <f>IFERROR(INDEX(PP_Grid[#Data],$DD511,101),0)</f>
        <v/>
      </c>
      <c r="CZ511">
        <f>IFERROR(INDEX(PP_Grid[#Data],$DD511,102),0)</f>
        <v/>
      </c>
      <c r="DA511">
        <f>IFERROR(INDEX(PP_Grid[#Data],$DD511,103),0)</f>
        <v/>
      </c>
      <c r="DB511">
        <f>IFERROR(INDEX(PP_Grid[#Data],$DD511,104),0)</f>
        <v/>
      </c>
      <c r="DC511">
        <f>IFERROR(INDEX(PP_Grid[#Data],$DD511,105),0)</f>
        <v/>
      </c>
      <c r="DD511" s="7">
        <f>IFERROR(MATCH($B511,PP_Grid[Intermediate],0),99999)</f>
        <v/>
      </c>
    </row>
    <row r="512">
      <c r="B512" t="inlineStr">
        <is>
          <t>使用量(kg)</t>
        </is>
      </c>
      <c r="C512">
        <f>SUMIFS(M_BOM[RM_Qty_Per_Batch],M_BOM[Intermediate],$B511,M_BOM[Part Name],$A500)</f>
        <v/>
      </c>
      <c r="D512">
        <f>$C512*D511</f>
        <v/>
      </c>
      <c r="E512">
        <f>$C512*E511</f>
        <v/>
      </c>
      <c r="F512">
        <f>$C512*F511</f>
        <v/>
      </c>
      <c r="G512">
        <f>$C512*G511</f>
        <v/>
      </c>
      <c r="H512">
        <f>$C512*H511</f>
        <v/>
      </c>
      <c r="I512">
        <f>$C512*I511</f>
        <v/>
      </c>
      <c r="J512">
        <f>$C512*J511</f>
        <v/>
      </c>
      <c r="K512">
        <f>$C512*K511</f>
        <v/>
      </c>
      <c r="L512">
        <f>$C512*L511</f>
        <v/>
      </c>
      <c r="M512">
        <f>$C512*M511</f>
        <v/>
      </c>
      <c r="N512">
        <f>$C512*N511</f>
        <v/>
      </c>
      <c r="O512">
        <f>$C512*O511</f>
        <v/>
      </c>
      <c r="P512">
        <f>$C512*P511</f>
        <v/>
      </c>
      <c r="Q512">
        <f>$C512*Q511</f>
        <v/>
      </c>
      <c r="R512">
        <f>$C512*R511</f>
        <v/>
      </c>
      <c r="S512">
        <f>$C512*S511</f>
        <v/>
      </c>
      <c r="T512">
        <f>$C512*T511</f>
        <v/>
      </c>
      <c r="U512">
        <f>$C512*U511</f>
        <v/>
      </c>
      <c r="V512">
        <f>$C512*V511</f>
        <v/>
      </c>
      <c r="W512">
        <f>$C512*W511</f>
        <v/>
      </c>
      <c r="X512">
        <f>$C512*X511</f>
        <v/>
      </c>
      <c r="Y512">
        <f>$C512*Y511</f>
        <v/>
      </c>
      <c r="Z512">
        <f>$C512*Z511</f>
        <v/>
      </c>
      <c r="AA512">
        <f>$C512*AA511</f>
        <v/>
      </c>
      <c r="AB512">
        <f>$C512*AB511</f>
        <v/>
      </c>
      <c r="AC512">
        <f>$C512*AC511</f>
        <v/>
      </c>
      <c r="AD512">
        <f>$C512*AD511</f>
        <v/>
      </c>
      <c r="AE512">
        <f>$C512*AE511</f>
        <v/>
      </c>
      <c r="AF512">
        <f>$C512*AF511</f>
        <v/>
      </c>
      <c r="AG512">
        <f>$C512*AG511</f>
        <v/>
      </c>
      <c r="AH512">
        <f>$C512*AH511</f>
        <v/>
      </c>
      <c r="AI512">
        <f>$C512*AI511</f>
        <v/>
      </c>
      <c r="AJ512">
        <f>$C512*AJ511</f>
        <v/>
      </c>
      <c r="AK512">
        <f>$C512*AK511</f>
        <v/>
      </c>
      <c r="AL512">
        <f>$C512*AL511</f>
        <v/>
      </c>
      <c r="AM512">
        <f>$C512*AM511</f>
        <v/>
      </c>
      <c r="AN512">
        <f>$C512*AN511</f>
        <v/>
      </c>
      <c r="AO512">
        <f>$C512*AO511</f>
        <v/>
      </c>
      <c r="AP512">
        <f>$C512*AP511</f>
        <v/>
      </c>
      <c r="AQ512">
        <f>$C512*AQ511</f>
        <v/>
      </c>
      <c r="AR512">
        <f>$C512*AR511</f>
        <v/>
      </c>
      <c r="AS512">
        <f>$C512*AS511</f>
        <v/>
      </c>
      <c r="AT512">
        <f>$C512*AT511</f>
        <v/>
      </c>
      <c r="AU512">
        <f>$C512*AU511</f>
        <v/>
      </c>
      <c r="AV512">
        <f>$C512*AV511</f>
        <v/>
      </c>
      <c r="AW512">
        <f>$C512*AW511</f>
        <v/>
      </c>
      <c r="AX512">
        <f>$C512*AX511</f>
        <v/>
      </c>
      <c r="AY512">
        <f>$C512*AY511</f>
        <v/>
      </c>
      <c r="AZ512">
        <f>$C512*AZ511</f>
        <v/>
      </c>
      <c r="BA512">
        <f>$C512*BA511</f>
        <v/>
      </c>
      <c r="BB512">
        <f>$C512*BB511</f>
        <v/>
      </c>
      <c r="BC512">
        <f>$C512*BC511</f>
        <v/>
      </c>
      <c r="BD512">
        <f>$C512*BD511</f>
        <v/>
      </c>
      <c r="BE512">
        <f>$C512*BE511</f>
        <v/>
      </c>
      <c r="BF512">
        <f>$C512*BF511</f>
        <v/>
      </c>
      <c r="BG512">
        <f>$C512*BG511</f>
        <v/>
      </c>
      <c r="BH512">
        <f>$C512*BH511</f>
        <v/>
      </c>
      <c r="BI512">
        <f>$C512*BI511</f>
        <v/>
      </c>
      <c r="BJ512">
        <f>$C512*BJ511</f>
        <v/>
      </c>
      <c r="BK512">
        <f>$C512*BK511</f>
        <v/>
      </c>
      <c r="BL512">
        <f>$C512*BL511</f>
        <v/>
      </c>
      <c r="BM512">
        <f>$C512*BM511</f>
        <v/>
      </c>
      <c r="BN512">
        <f>$C512*BN511</f>
        <v/>
      </c>
      <c r="BO512">
        <f>$C512*BO511</f>
        <v/>
      </c>
      <c r="BP512">
        <f>$C512*BP511</f>
        <v/>
      </c>
      <c r="BQ512">
        <f>$C512*BQ511</f>
        <v/>
      </c>
      <c r="BR512">
        <f>$C512*BR511</f>
        <v/>
      </c>
      <c r="BS512">
        <f>$C512*BS511</f>
        <v/>
      </c>
      <c r="BT512">
        <f>$C512*BT511</f>
        <v/>
      </c>
      <c r="BU512">
        <f>$C512*BU511</f>
        <v/>
      </c>
      <c r="BV512">
        <f>$C512*BV511</f>
        <v/>
      </c>
      <c r="BW512">
        <f>$C512*BW511</f>
        <v/>
      </c>
      <c r="BX512">
        <f>$C512*BX511</f>
        <v/>
      </c>
      <c r="BY512">
        <f>$C512*BY511</f>
        <v/>
      </c>
      <c r="BZ512">
        <f>$C512*BZ511</f>
        <v/>
      </c>
      <c r="CA512">
        <f>$C512*CA511</f>
        <v/>
      </c>
      <c r="CB512">
        <f>$C512*CB511</f>
        <v/>
      </c>
      <c r="CC512">
        <f>$C512*CC511</f>
        <v/>
      </c>
      <c r="CD512">
        <f>$C512*CD511</f>
        <v/>
      </c>
      <c r="CE512">
        <f>$C512*CE511</f>
        <v/>
      </c>
      <c r="CF512">
        <f>$C512*CF511</f>
        <v/>
      </c>
      <c r="CG512">
        <f>$C512*CG511</f>
        <v/>
      </c>
      <c r="CH512">
        <f>$C512*CH511</f>
        <v/>
      </c>
      <c r="CI512">
        <f>$C512*CI511</f>
        <v/>
      </c>
      <c r="CJ512">
        <f>$C512*CJ511</f>
        <v/>
      </c>
      <c r="CK512">
        <f>$C512*CK511</f>
        <v/>
      </c>
      <c r="CL512">
        <f>$C512*CL511</f>
        <v/>
      </c>
      <c r="CM512">
        <f>$C512*CM511</f>
        <v/>
      </c>
      <c r="CN512">
        <f>$C512*CN511</f>
        <v/>
      </c>
      <c r="CO512">
        <f>$C512*CO511</f>
        <v/>
      </c>
      <c r="CP512">
        <f>$C512*CP511</f>
        <v/>
      </c>
      <c r="CQ512">
        <f>$C512*CQ511</f>
        <v/>
      </c>
      <c r="CR512">
        <f>$C512*CR511</f>
        <v/>
      </c>
      <c r="CS512">
        <f>$C512*CS511</f>
        <v/>
      </c>
      <c r="CT512">
        <f>$C512*CT511</f>
        <v/>
      </c>
      <c r="CU512">
        <f>$C512*CU511</f>
        <v/>
      </c>
      <c r="CV512">
        <f>$C512*CV511</f>
        <v/>
      </c>
      <c r="CW512">
        <f>$C512*CW511</f>
        <v/>
      </c>
      <c r="CX512">
        <f>$C512*CX511</f>
        <v/>
      </c>
      <c r="CY512">
        <f>$C512*CY511</f>
        <v/>
      </c>
      <c r="CZ512">
        <f>$C512*CZ511</f>
        <v/>
      </c>
      <c r="DA512">
        <f>$C512*DA511</f>
        <v/>
      </c>
      <c r="DB512">
        <f>$C512*DB511</f>
        <v/>
      </c>
      <c r="DC512">
        <f>$C512*DC511</f>
        <v/>
      </c>
    </row>
    <row r="513">
      <c r="B513" t="inlineStr">
        <is>
          <t>VSP-601</t>
        </is>
      </c>
      <c r="C513" t="inlineStr">
        <is>
          <t>No. of batches</t>
        </is>
      </c>
      <c r="D513">
        <f>IFERROR(INDEX(PP_Grid[#Data],$DD513,2),0)</f>
        <v/>
      </c>
      <c r="E513">
        <f>IFERROR(INDEX(PP_Grid[#Data],$DD513,3),0)</f>
        <v/>
      </c>
      <c r="F513">
        <f>IFERROR(INDEX(PP_Grid[#Data],$DD513,4),0)</f>
        <v/>
      </c>
      <c r="G513">
        <f>IFERROR(INDEX(PP_Grid[#Data],$DD513,5),0)</f>
        <v/>
      </c>
      <c r="H513">
        <f>IFERROR(INDEX(PP_Grid[#Data],$DD513,6),0)</f>
        <v/>
      </c>
      <c r="I513">
        <f>IFERROR(INDEX(PP_Grid[#Data],$DD513,7),0)</f>
        <v/>
      </c>
      <c r="J513">
        <f>IFERROR(INDEX(PP_Grid[#Data],$DD513,8),0)</f>
        <v/>
      </c>
      <c r="K513">
        <f>IFERROR(INDEX(PP_Grid[#Data],$DD513,9),0)</f>
        <v/>
      </c>
      <c r="L513">
        <f>IFERROR(INDEX(PP_Grid[#Data],$DD513,10),0)</f>
        <v/>
      </c>
      <c r="M513">
        <f>IFERROR(INDEX(PP_Grid[#Data],$DD513,11),0)</f>
        <v/>
      </c>
      <c r="N513">
        <f>IFERROR(INDEX(PP_Grid[#Data],$DD513,12),0)</f>
        <v/>
      </c>
      <c r="O513">
        <f>IFERROR(INDEX(PP_Grid[#Data],$DD513,13),0)</f>
        <v/>
      </c>
      <c r="P513">
        <f>IFERROR(INDEX(PP_Grid[#Data],$DD513,14),0)</f>
        <v/>
      </c>
      <c r="Q513">
        <f>IFERROR(INDEX(PP_Grid[#Data],$DD513,15),0)</f>
        <v/>
      </c>
      <c r="R513">
        <f>IFERROR(INDEX(PP_Grid[#Data],$DD513,16),0)</f>
        <v/>
      </c>
      <c r="S513">
        <f>IFERROR(INDEX(PP_Grid[#Data],$DD513,17),0)</f>
        <v/>
      </c>
      <c r="T513">
        <f>IFERROR(INDEX(PP_Grid[#Data],$DD513,18),0)</f>
        <v/>
      </c>
      <c r="U513">
        <f>IFERROR(INDEX(PP_Grid[#Data],$DD513,19),0)</f>
        <v/>
      </c>
      <c r="V513">
        <f>IFERROR(INDEX(PP_Grid[#Data],$DD513,20),0)</f>
        <v/>
      </c>
      <c r="W513">
        <f>IFERROR(INDEX(PP_Grid[#Data],$DD513,21),0)</f>
        <v/>
      </c>
      <c r="X513">
        <f>IFERROR(INDEX(PP_Grid[#Data],$DD513,22),0)</f>
        <v/>
      </c>
      <c r="Y513">
        <f>IFERROR(INDEX(PP_Grid[#Data],$DD513,23),0)</f>
        <v/>
      </c>
      <c r="Z513">
        <f>IFERROR(INDEX(PP_Grid[#Data],$DD513,24),0)</f>
        <v/>
      </c>
      <c r="AA513">
        <f>IFERROR(INDEX(PP_Grid[#Data],$DD513,25),0)</f>
        <v/>
      </c>
      <c r="AB513">
        <f>IFERROR(INDEX(PP_Grid[#Data],$DD513,26),0)</f>
        <v/>
      </c>
      <c r="AC513">
        <f>IFERROR(INDEX(PP_Grid[#Data],$DD513,27),0)</f>
        <v/>
      </c>
      <c r="AD513">
        <f>IFERROR(INDEX(PP_Grid[#Data],$DD513,28),0)</f>
        <v/>
      </c>
      <c r="AE513">
        <f>IFERROR(INDEX(PP_Grid[#Data],$DD513,29),0)</f>
        <v/>
      </c>
      <c r="AF513">
        <f>IFERROR(INDEX(PP_Grid[#Data],$DD513,30),0)</f>
        <v/>
      </c>
      <c r="AG513">
        <f>IFERROR(INDEX(PP_Grid[#Data],$DD513,31),0)</f>
        <v/>
      </c>
      <c r="AH513">
        <f>IFERROR(INDEX(PP_Grid[#Data],$DD513,32),0)</f>
        <v/>
      </c>
      <c r="AI513">
        <f>IFERROR(INDEX(PP_Grid[#Data],$DD513,33),0)</f>
        <v/>
      </c>
      <c r="AJ513">
        <f>IFERROR(INDEX(PP_Grid[#Data],$DD513,34),0)</f>
        <v/>
      </c>
      <c r="AK513">
        <f>IFERROR(INDEX(PP_Grid[#Data],$DD513,35),0)</f>
        <v/>
      </c>
      <c r="AL513">
        <f>IFERROR(INDEX(PP_Grid[#Data],$DD513,36),0)</f>
        <v/>
      </c>
      <c r="AM513">
        <f>IFERROR(INDEX(PP_Grid[#Data],$DD513,37),0)</f>
        <v/>
      </c>
      <c r="AN513">
        <f>IFERROR(INDEX(PP_Grid[#Data],$DD513,38),0)</f>
        <v/>
      </c>
      <c r="AO513">
        <f>IFERROR(INDEX(PP_Grid[#Data],$DD513,39),0)</f>
        <v/>
      </c>
      <c r="AP513">
        <f>IFERROR(INDEX(PP_Grid[#Data],$DD513,40),0)</f>
        <v/>
      </c>
      <c r="AQ513">
        <f>IFERROR(INDEX(PP_Grid[#Data],$DD513,41),0)</f>
        <v/>
      </c>
      <c r="AR513">
        <f>IFERROR(INDEX(PP_Grid[#Data],$DD513,42),0)</f>
        <v/>
      </c>
      <c r="AS513">
        <f>IFERROR(INDEX(PP_Grid[#Data],$DD513,43),0)</f>
        <v/>
      </c>
      <c r="AT513">
        <f>IFERROR(INDEX(PP_Grid[#Data],$DD513,44),0)</f>
        <v/>
      </c>
      <c r="AU513">
        <f>IFERROR(INDEX(PP_Grid[#Data],$DD513,45),0)</f>
        <v/>
      </c>
      <c r="AV513">
        <f>IFERROR(INDEX(PP_Grid[#Data],$DD513,46),0)</f>
        <v/>
      </c>
      <c r="AW513">
        <f>IFERROR(INDEX(PP_Grid[#Data],$DD513,47),0)</f>
        <v/>
      </c>
      <c r="AX513">
        <f>IFERROR(INDEX(PP_Grid[#Data],$DD513,48),0)</f>
        <v/>
      </c>
      <c r="AY513">
        <f>IFERROR(INDEX(PP_Grid[#Data],$DD513,49),0)</f>
        <v/>
      </c>
      <c r="AZ513">
        <f>IFERROR(INDEX(PP_Grid[#Data],$DD513,50),0)</f>
        <v/>
      </c>
      <c r="BA513">
        <f>IFERROR(INDEX(PP_Grid[#Data],$DD513,51),0)</f>
        <v/>
      </c>
      <c r="BB513">
        <f>IFERROR(INDEX(PP_Grid[#Data],$DD513,52),0)</f>
        <v/>
      </c>
      <c r="BC513">
        <f>IFERROR(INDEX(PP_Grid[#Data],$DD513,53),0)</f>
        <v/>
      </c>
      <c r="BD513">
        <f>IFERROR(INDEX(PP_Grid[#Data],$DD513,54),0)</f>
        <v/>
      </c>
      <c r="BE513">
        <f>IFERROR(INDEX(PP_Grid[#Data],$DD513,55),0)</f>
        <v/>
      </c>
      <c r="BF513">
        <f>IFERROR(INDEX(PP_Grid[#Data],$DD513,56),0)</f>
        <v/>
      </c>
      <c r="BG513">
        <f>IFERROR(INDEX(PP_Grid[#Data],$DD513,57),0)</f>
        <v/>
      </c>
      <c r="BH513">
        <f>IFERROR(INDEX(PP_Grid[#Data],$DD513,58),0)</f>
        <v/>
      </c>
      <c r="BI513">
        <f>IFERROR(INDEX(PP_Grid[#Data],$DD513,59),0)</f>
        <v/>
      </c>
      <c r="BJ513">
        <f>IFERROR(INDEX(PP_Grid[#Data],$DD513,60),0)</f>
        <v/>
      </c>
      <c r="BK513">
        <f>IFERROR(INDEX(PP_Grid[#Data],$DD513,61),0)</f>
        <v/>
      </c>
      <c r="BL513">
        <f>IFERROR(INDEX(PP_Grid[#Data],$DD513,62),0)</f>
        <v/>
      </c>
      <c r="BM513">
        <f>IFERROR(INDEX(PP_Grid[#Data],$DD513,63),0)</f>
        <v/>
      </c>
      <c r="BN513">
        <f>IFERROR(INDEX(PP_Grid[#Data],$DD513,64),0)</f>
        <v/>
      </c>
      <c r="BO513">
        <f>IFERROR(INDEX(PP_Grid[#Data],$DD513,65),0)</f>
        <v/>
      </c>
      <c r="BP513">
        <f>IFERROR(INDEX(PP_Grid[#Data],$DD513,66),0)</f>
        <v/>
      </c>
      <c r="BQ513">
        <f>IFERROR(INDEX(PP_Grid[#Data],$DD513,67),0)</f>
        <v/>
      </c>
      <c r="BR513">
        <f>IFERROR(INDEX(PP_Grid[#Data],$DD513,68),0)</f>
        <v/>
      </c>
      <c r="BS513">
        <f>IFERROR(INDEX(PP_Grid[#Data],$DD513,69),0)</f>
        <v/>
      </c>
      <c r="BT513">
        <f>IFERROR(INDEX(PP_Grid[#Data],$DD513,70),0)</f>
        <v/>
      </c>
      <c r="BU513">
        <f>IFERROR(INDEX(PP_Grid[#Data],$DD513,71),0)</f>
        <v/>
      </c>
      <c r="BV513">
        <f>IFERROR(INDEX(PP_Grid[#Data],$DD513,72),0)</f>
        <v/>
      </c>
      <c r="BW513">
        <f>IFERROR(INDEX(PP_Grid[#Data],$DD513,73),0)</f>
        <v/>
      </c>
      <c r="BX513">
        <f>IFERROR(INDEX(PP_Grid[#Data],$DD513,74),0)</f>
        <v/>
      </c>
      <c r="BY513">
        <f>IFERROR(INDEX(PP_Grid[#Data],$DD513,75),0)</f>
        <v/>
      </c>
      <c r="BZ513">
        <f>IFERROR(INDEX(PP_Grid[#Data],$DD513,76),0)</f>
        <v/>
      </c>
      <c r="CA513">
        <f>IFERROR(INDEX(PP_Grid[#Data],$DD513,77),0)</f>
        <v/>
      </c>
      <c r="CB513">
        <f>IFERROR(INDEX(PP_Grid[#Data],$DD513,78),0)</f>
        <v/>
      </c>
      <c r="CC513">
        <f>IFERROR(INDEX(PP_Grid[#Data],$DD513,79),0)</f>
        <v/>
      </c>
      <c r="CD513">
        <f>IFERROR(INDEX(PP_Grid[#Data],$DD513,80),0)</f>
        <v/>
      </c>
      <c r="CE513">
        <f>IFERROR(INDEX(PP_Grid[#Data],$DD513,81),0)</f>
        <v/>
      </c>
      <c r="CF513">
        <f>IFERROR(INDEX(PP_Grid[#Data],$DD513,82),0)</f>
        <v/>
      </c>
      <c r="CG513">
        <f>IFERROR(INDEX(PP_Grid[#Data],$DD513,83),0)</f>
        <v/>
      </c>
      <c r="CH513">
        <f>IFERROR(INDEX(PP_Grid[#Data],$DD513,84),0)</f>
        <v/>
      </c>
      <c r="CI513">
        <f>IFERROR(INDEX(PP_Grid[#Data],$DD513,85),0)</f>
        <v/>
      </c>
      <c r="CJ513">
        <f>IFERROR(INDEX(PP_Grid[#Data],$DD513,86),0)</f>
        <v/>
      </c>
      <c r="CK513">
        <f>IFERROR(INDEX(PP_Grid[#Data],$DD513,87),0)</f>
        <v/>
      </c>
      <c r="CL513">
        <f>IFERROR(INDEX(PP_Grid[#Data],$DD513,88),0)</f>
        <v/>
      </c>
      <c r="CM513">
        <f>IFERROR(INDEX(PP_Grid[#Data],$DD513,89),0)</f>
        <v/>
      </c>
      <c r="CN513">
        <f>IFERROR(INDEX(PP_Grid[#Data],$DD513,90),0)</f>
        <v/>
      </c>
      <c r="CO513">
        <f>IFERROR(INDEX(PP_Grid[#Data],$DD513,91),0)</f>
        <v/>
      </c>
      <c r="CP513">
        <f>IFERROR(INDEX(PP_Grid[#Data],$DD513,92),0)</f>
        <v/>
      </c>
      <c r="CQ513">
        <f>IFERROR(INDEX(PP_Grid[#Data],$DD513,93),0)</f>
        <v/>
      </c>
      <c r="CR513">
        <f>IFERROR(INDEX(PP_Grid[#Data],$DD513,94),0)</f>
        <v/>
      </c>
      <c r="CS513">
        <f>IFERROR(INDEX(PP_Grid[#Data],$DD513,95),0)</f>
        <v/>
      </c>
      <c r="CT513">
        <f>IFERROR(INDEX(PP_Grid[#Data],$DD513,96),0)</f>
        <v/>
      </c>
      <c r="CU513">
        <f>IFERROR(INDEX(PP_Grid[#Data],$DD513,97),0)</f>
        <v/>
      </c>
      <c r="CV513">
        <f>IFERROR(INDEX(PP_Grid[#Data],$DD513,98),0)</f>
        <v/>
      </c>
      <c r="CW513">
        <f>IFERROR(INDEX(PP_Grid[#Data],$DD513,99),0)</f>
        <v/>
      </c>
      <c r="CX513">
        <f>IFERROR(INDEX(PP_Grid[#Data],$DD513,100),0)</f>
        <v/>
      </c>
      <c r="CY513">
        <f>IFERROR(INDEX(PP_Grid[#Data],$DD513,101),0)</f>
        <v/>
      </c>
      <c r="CZ513">
        <f>IFERROR(INDEX(PP_Grid[#Data],$DD513,102),0)</f>
        <v/>
      </c>
      <c r="DA513">
        <f>IFERROR(INDEX(PP_Grid[#Data],$DD513,103),0)</f>
        <v/>
      </c>
      <c r="DB513">
        <f>IFERROR(INDEX(PP_Grid[#Data],$DD513,104),0)</f>
        <v/>
      </c>
      <c r="DC513">
        <f>IFERROR(INDEX(PP_Grid[#Data],$DD513,105),0)</f>
        <v/>
      </c>
      <c r="DD513" s="7">
        <f>IFERROR(MATCH($B513,PP_Grid[Intermediate],0),99999)</f>
        <v/>
      </c>
    </row>
    <row r="514">
      <c r="B514" t="inlineStr">
        <is>
          <t>使用量(kg)</t>
        </is>
      </c>
      <c r="C514">
        <f>SUMIFS(M_BOM[RM_Qty_Per_Batch],M_BOM[Intermediate],$B513,M_BOM[Part Name],$A500)</f>
        <v/>
      </c>
      <c r="D514">
        <f>$C514*D513</f>
        <v/>
      </c>
      <c r="E514">
        <f>$C514*E513</f>
        <v/>
      </c>
      <c r="F514">
        <f>$C514*F513</f>
        <v/>
      </c>
      <c r="G514">
        <f>$C514*G513</f>
        <v/>
      </c>
      <c r="H514">
        <f>$C514*H513</f>
        <v/>
      </c>
      <c r="I514">
        <f>$C514*I513</f>
        <v/>
      </c>
      <c r="J514">
        <f>$C514*J513</f>
        <v/>
      </c>
      <c r="K514">
        <f>$C514*K513</f>
        <v/>
      </c>
      <c r="L514">
        <f>$C514*L513</f>
        <v/>
      </c>
      <c r="M514">
        <f>$C514*M513</f>
        <v/>
      </c>
      <c r="N514">
        <f>$C514*N513</f>
        <v/>
      </c>
      <c r="O514">
        <f>$C514*O513</f>
        <v/>
      </c>
      <c r="P514">
        <f>$C514*P513</f>
        <v/>
      </c>
      <c r="Q514">
        <f>$C514*Q513</f>
        <v/>
      </c>
      <c r="R514">
        <f>$C514*R513</f>
        <v/>
      </c>
      <c r="S514">
        <f>$C514*S513</f>
        <v/>
      </c>
      <c r="T514">
        <f>$C514*T513</f>
        <v/>
      </c>
      <c r="U514">
        <f>$C514*U513</f>
        <v/>
      </c>
      <c r="V514">
        <f>$C514*V513</f>
        <v/>
      </c>
      <c r="W514">
        <f>$C514*W513</f>
        <v/>
      </c>
      <c r="X514">
        <f>$C514*X513</f>
        <v/>
      </c>
      <c r="Y514">
        <f>$C514*Y513</f>
        <v/>
      </c>
      <c r="Z514">
        <f>$C514*Z513</f>
        <v/>
      </c>
      <c r="AA514">
        <f>$C514*AA513</f>
        <v/>
      </c>
      <c r="AB514">
        <f>$C514*AB513</f>
        <v/>
      </c>
      <c r="AC514">
        <f>$C514*AC513</f>
        <v/>
      </c>
      <c r="AD514">
        <f>$C514*AD513</f>
        <v/>
      </c>
      <c r="AE514">
        <f>$C514*AE513</f>
        <v/>
      </c>
      <c r="AF514">
        <f>$C514*AF513</f>
        <v/>
      </c>
      <c r="AG514">
        <f>$C514*AG513</f>
        <v/>
      </c>
      <c r="AH514">
        <f>$C514*AH513</f>
        <v/>
      </c>
      <c r="AI514">
        <f>$C514*AI513</f>
        <v/>
      </c>
      <c r="AJ514">
        <f>$C514*AJ513</f>
        <v/>
      </c>
      <c r="AK514">
        <f>$C514*AK513</f>
        <v/>
      </c>
      <c r="AL514">
        <f>$C514*AL513</f>
        <v/>
      </c>
      <c r="AM514">
        <f>$C514*AM513</f>
        <v/>
      </c>
      <c r="AN514">
        <f>$C514*AN513</f>
        <v/>
      </c>
      <c r="AO514">
        <f>$C514*AO513</f>
        <v/>
      </c>
      <c r="AP514">
        <f>$C514*AP513</f>
        <v/>
      </c>
      <c r="AQ514">
        <f>$C514*AQ513</f>
        <v/>
      </c>
      <c r="AR514">
        <f>$C514*AR513</f>
        <v/>
      </c>
      <c r="AS514">
        <f>$C514*AS513</f>
        <v/>
      </c>
      <c r="AT514">
        <f>$C514*AT513</f>
        <v/>
      </c>
      <c r="AU514">
        <f>$C514*AU513</f>
        <v/>
      </c>
      <c r="AV514">
        <f>$C514*AV513</f>
        <v/>
      </c>
      <c r="AW514">
        <f>$C514*AW513</f>
        <v/>
      </c>
      <c r="AX514">
        <f>$C514*AX513</f>
        <v/>
      </c>
      <c r="AY514">
        <f>$C514*AY513</f>
        <v/>
      </c>
      <c r="AZ514">
        <f>$C514*AZ513</f>
        <v/>
      </c>
      <c r="BA514">
        <f>$C514*BA513</f>
        <v/>
      </c>
      <c r="BB514">
        <f>$C514*BB513</f>
        <v/>
      </c>
      <c r="BC514">
        <f>$C514*BC513</f>
        <v/>
      </c>
      <c r="BD514">
        <f>$C514*BD513</f>
        <v/>
      </c>
      <c r="BE514">
        <f>$C514*BE513</f>
        <v/>
      </c>
      <c r="BF514">
        <f>$C514*BF513</f>
        <v/>
      </c>
      <c r="BG514">
        <f>$C514*BG513</f>
        <v/>
      </c>
      <c r="BH514">
        <f>$C514*BH513</f>
        <v/>
      </c>
      <c r="BI514">
        <f>$C514*BI513</f>
        <v/>
      </c>
      <c r="BJ514">
        <f>$C514*BJ513</f>
        <v/>
      </c>
      <c r="BK514">
        <f>$C514*BK513</f>
        <v/>
      </c>
      <c r="BL514">
        <f>$C514*BL513</f>
        <v/>
      </c>
      <c r="BM514">
        <f>$C514*BM513</f>
        <v/>
      </c>
      <c r="BN514">
        <f>$C514*BN513</f>
        <v/>
      </c>
      <c r="BO514">
        <f>$C514*BO513</f>
        <v/>
      </c>
      <c r="BP514">
        <f>$C514*BP513</f>
        <v/>
      </c>
      <c r="BQ514">
        <f>$C514*BQ513</f>
        <v/>
      </c>
      <c r="BR514">
        <f>$C514*BR513</f>
        <v/>
      </c>
      <c r="BS514">
        <f>$C514*BS513</f>
        <v/>
      </c>
      <c r="BT514">
        <f>$C514*BT513</f>
        <v/>
      </c>
      <c r="BU514">
        <f>$C514*BU513</f>
        <v/>
      </c>
      <c r="BV514">
        <f>$C514*BV513</f>
        <v/>
      </c>
      <c r="BW514">
        <f>$C514*BW513</f>
        <v/>
      </c>
      <c r="BX514">
        <f>$C514*BX513</f>
        <v/>
      </c>
      <c r="BY514">
        <f>$C514*BY513</f>
        <v/>
      </c>
      <c r="BZ514">
        <f>$C514*BZ513</f>
        <v/>
      </c>
      <c r="CA514">
        <f>$C514*CA513</f>
        <v/>
      </c>
      <c r="CB514">
        <f>$C514*CB513</f>
        <v/>
      </c>
      <c r="CC514">
        <f>$C514*CC513</f>
        <v/>
      </c>
      <c r="CD514">
        <f>$C514*CD513</f>
        <v/>
      </c>
      <c r="CE514">
        <f>$C514*CE513</f>
        <v/>
      </c>
      <c r="CF514">
        <f>$C514*CF513</f>
        <v/>
      </c>
      <c r="CG514">
        <f>$C514*CG513</f>
        <v/>
      </c>
      <c r="CH514">
        <f>$C514*CH513</f>
        <v/>
      </c>
      <c r="CI514">
        <f>$C514*CI513</f>
        <v/>
      </c>
      <c r="CJ514">
        <f>$C514*CJ513</f>
        <v/>
      </c>
      <c r="CK514">
        <f>$C514*CK513</f>
        <v/>
      </c>
      <c r="CL514">
        <f>$C514*CL513</f>
        <v/>
      </c>
      <c r="CM514">
        <f>$C514*CM513</f>
        <v/>
      </c>
      <c r="CN514">
        <f>$C514*CN513</f>
        <v/>
      </c>
      <c r="CO514">
        <f>$C514*CO513</f>
        <v/>
      </c>
      <c r="CP514">
        <f>$C514*CP513</f>
        <v/>
      </c>
      <c r="CQ514">
        <f>$C514*CQ513</f>
        <v/>
      </c>
      <c r="CR514">
        <f>$C514*CR513</f>
        <v/>
      </c>
      <c r="CS514">
        <f>$C514*CS513</f>
        <v/>
      </c>
      <c r="CT514">
        <f>$C514*CT513</f>
        <v/>
      </c>
      <c r="CU514">
        <f>$C514*CU513</f>
        <v/>
      </c>
      <c r="CV514">
        <f>$C514*CV513</f>
        <v/>
      </c>
      <c r="CW514">
        <f>$C514*CW513</f>
        <v/>
      </c>
      <c r="CX514">
        <f>$C514*CX513</f>
        <v/>
      </c>
      <c r="CY514">
        <f>$C514*CY513</f>
        <v/>
      </c>
      <c r="CZ514">
        <f>$C514*CZ513</f>
        <v/>
      </c>
      <c r="DA514">
        <f>$C514*DA513</f>
        <v/>
      </c>
      <c r="DB514">
        <f>$C514*DB513</f>
        <v/>
      </c>
      <c r="DC514">
        <f>$C514*DC513</f>
        <v/>
      </c>
    </row>
    <row r="515">
      <c r="B515" t="inlineStr">
        <is>
          <t>VSP-603</t>
        </is>
      </c>
      <c r="C515" t="inlineStr">
        <is>
          <t>No. of batches</t>
        </is>
      </c>
      <c r="D515">
        <f>IFERROR(INDEX(PP_Grid[#Data],$DD515,2),0)</f>
        <v/>
      </c>
      <c r="E515">
        <f>IFERROR(INDEX(PP_Grid[#Data],$DD515,3),0)</f>
        <v/>
      </c>
      <c r="F515">
        <f>IFERROR(INDEX(PP_Grid[#Data],$DD515,4),0)</f>
        <v/>
      </c>
      <c r="G515">
        <f>IFERROR(INDEX(PP_Grid[#Data],$DD515,5),0)</f>
        <v/>
      </c>
      <c r="H515">
        <f>IFERROR(INDEX(PP_Grid[#Data],$DD515,6),0)</f>
        <v/>
      </c>
      <c r="I515">
        <f>IFERROR(INDEX(PP_Grid[#Data],$DD515,7),0)</f>
        <v/>
      </c>
      <c r="J515">
        <f>IFERROR(INDEX(PP_Grid[#Data],$DD515,8),0)</f>
        <v/>
      </c>
      <c r="K515">
        <f>IFERROR(INDEX(PP_Grid[#Data],$DD515,9),0)</f>
        <v/>
      </c>
      <c r="L515">
        <f>IFERROR(INDEX(PP_Grid[#Data],$DD515,10),0)</f>
        <v/>
      </c>
      <c r="M515">
        <f>IFERROR(INDEX(PP_Grid[#Data],$DD515,11),0)</f>
        <v/>
      </c>
      <c r="N515">
        <f>IFERROR(INDEX(PP_Grid[#Data],$DD515,12),0)</f>
        <v/>
      </c>
      <c r="O515">
        <f>IFERROR(INDEX(PP_Grid[#Data],$DD515,13),0)</f>
        <v/>
      </c>
      <c r="P515">
        <f>IFERROR(INDEX(PP_Grid[#Data],$DD515,14),0)</f>
        <v/>
      </c>
      <c r="Q515">
        <f>IFERROR(INDEX(PP_Grid[#Data],$DD515,15),0)</f>
        <v/>
      </c>
      <c r="R515">
        <f>IFERROR(INDEX(PP_Grid[#Data],$DD515,16),0)</f>
        <v/>
      </c>
      <c r="S515">
        <f>IFERROR(INDEX(PP_Grid[#Data],$DD515,17),0)</f>
        <v/>
      </c>
      <c r="T515">
        <f>IFERROR(INDEX(PP_Grid[#Data],$DD515,18),0)</f>
        <v/>
      </c>
      <c r="U515">
        <f>IFERROR(INDEX(PP_Grid[#Data],$DD515,19),0)</f>
        <v/>
      </c>
      <c r="V515">
        <f>IFERROR(INDEX(PP_Grid[#Data],$DD515,20),0)</f>
        <v/>
      </c>
      <c r="W515">
        <f>IFERROR(INDEX(PP_Grid[#Data],$DD515,21),0)</f>
        <v/>
      </c>
      <c r="X515">
        <f>IFERROR(INDEX(PP_Grid[#Data],$DD515,22),0)</f>
        <v/>
      </c>
      <c r="Y515">
        <f>IFERROR(INDEX(PP_Grid[#Data],$DD515,23),0)</f>
        <v/>
      </c>
      <c r="Z515">
        <f>IFERROR(INDEX(PP_Grid[#Data],$DD515,24),0)</f>
        <v/>
      </c>
      <c r="AA515">
        <f>IFERROR(INDEX(PP_Grid[#Data],$DD515,25),0)</f>
        <v/>
      </c>
      <c r="AB515">
        <f>IFERROR(INDEX(PP_Grid[#Data],$DD515,26),0)</f>
        <v/>
      </c>
      <c r="AC515">
        <f>IFERROR(INDEX(PP_Grid[#Data],$DD515,27),0)</f>
        <v/>
      </c>
      <c r="AD515">
        <f>IFERROR(INDEX(PP_Grid[#Data],$DD515,28),0)</f>
        <v/>
      </c>
      <c r="AE515">
        <f>IFERROR(INDEX(PP_Grid[#Data],$DD515,29),0)</f>
        <v/>
      </c>
      <c r="AF515">
        <f>IFERROR(INDEX(PP_Grid[#Data],$DD515,30),0)</f>
        <v/>
      </c>
      <c r="AG515">
        <f>IFERROR(INDEX(PP_Grid[#Data],$DD515,31),0)</f>
        <v/>
      </c>
      <c r="AH515">
        <f>IFERROR(INDEX(PP_Grid[#Data],$DD515,32),0)</f>
        <v/>
      </c>
      <c r="AI515">
        <f>IFERROR(INDEX(PP_Grid[#Data],$DD515,33),0)</f>
        <v/>
      </c>
      <c r="AJ515">
        <f>IFERROR(INDEX(PP_Grid[#Data],$DD515,34),0)</f>
        <v/>
      </c>
      <c r="AK515">
        <f>IFERROR(INDEX(PP_Grid[#Data],$DD515,35),0)</f>
        <v/>
      </c>
      <c r="AL515">
        <f>IFERROR(INDEX(PP_Grid[#Data],$DD515,36),0)</f>
        <v/>
      </c>
      <c r="AM515">
        <f>IFERROR(INDEX(PP_Grid[#Data],$DD515,37),0)</f>
        <v/>
      </c>
      <c r="AN515">
        <f>IFERROR(INDEX(PP_Grid[#Data],$DD515,38),0)</f>
        <v/>
      </c>
      <c r="AO515">
        <f>IFERROR(INDEX(PP_Grid[#Data],$DD515,39),0)</f>
        <v/>
      </c>
      <c r="AP515">
        <f>IFERROR(INDEX(PP_Grid[#Data],$DD515,40),0)</f>
        <v/>
      </c>
      <c r="AQ515">
        <f>IFERROR(INDEX(PP_Grid[#Data],$DD515,41),0)</f>
        <v/>
      </c>
      <c r="AR515">
        <f>IFERROR(INDEX(PP_Grid[#Data],$DD515,42),0)</f>
        <v/>
      </c>
      <c r="AS515">
        <f>IFERROR(INDEX(PP_Grid[#Data],$DD515,43),0)</f>
        <v/>
      </c>
      <c r="AT515">
        <f>IFERROR(INDEX(PP_Grid[#Data],$DD515,44),0)</f>
        <v/>
      </c>
      <c r="AU515">
        <f>IFERROR(INDEX(PP_Grid[#Data],$DD515,45),0)</f>
        <v/>
      </c>
      <c r="AV515">
        <f>IFERROR(INDEX(PP_Grid[#Data],$DD515,46),0)</f>
        <v/>
      </c>
      <c r="AW515">
        <f>IFERROR(INDEX(PP_Grid[#Data],$DD515,47),0)</f>
        <v/>
      </c>
      <c r="AX515">
        <f>IFERROR(INDEX(PP_Grid[#Data],$DD515,48),0)</f>
        <v/>
      </c>
      <c r="AY515">
        <f>IFERROR(INDEX(PP_Grid[#Data],$DD515,49),0)</f>
        <v/>
      </c>
      <c r="AZ515">
        <f>IFERROR(INDEX(PP_Grid[#Data],$DD515,50),0)</f>
        <v/>
      </c>
      <c r="BA515">
        <f>IFERROR(INDEX(PP_Grid[#Data],$DD515,51),0)</f>
        <v/>
      </c>
      <c r="BB515">
        <f>IFERROR(INDEX(PP_Grid[#Data],$DD515,52),0)</f>
        <v/>
      </c>
      <c r="BC515">
        <f>IFERROR(INDEX(PP_Grid[#Data],$DD515,53),0)</f>
        <v/>
      </c>
      <c r="BD515">
        <f>IFERROR(INDEX(PP_Grid[#Data],$DD515,54),0)</f>
        <v/>
      </c>
      <c r="BE515">
        <f>IFERROR(INDEX(PP_Grid[#Data],$DD515,55),0)</f>
        <v/>
      </c>
      <c r="BF515">
        <f>IFERROR(INDEX(PP_Grid[#Data],$DD515,56),0)</f>
        <v/>
      </c>
      <c r="BG515">
        <f>IFERROR(INDEX(PP_Grid[#Data],$DD515,57),0)</f>
        <v/>
      </c>
      <c r="BH515">
        <f>IFERROR(INDEX(PP_Grid[#Data],$DD515,58),0)</f>
        <v/>
      </c>
      <c r="BI515">
        <f>IFERROR(INDEX(PP_Grid[#Data],$DD515,59),0)</f>
        <v/>
      </c>
      <c r="BJ515">
        <f>IFERROR(INDEX(PP_Grid[#Data],$DD515,60),0)</f>
        <v/>
      </c>
      <c r="BK515">
        <f>IFERROR(INDEX(PP_Grid[#Data],$DD515,61),0)</f>
        <v/>
      </c>
      <c r="BL515">
        <f>IFERROR(INDEX(PP_Grid[#Data],$DD515,62),0)</f>
        <v/>
      </c>
      <c r="BM515">
        <f>IFERROR(INDEX(PP_Grid[#Data],$DD515,63),0)</f>
        <v/>
      </c>
      <c r="BN515">
        <f>IFERROR(INDEX(PP_Grid[#Data],$DD515,64),0)</f>
        <v/>
      </c>
      <c r="BO515">
        <f>IFERROR(INDEX(PP_Grid[#Data],$DD515,65),0)</f>
        <v/>
      </c>
      <c r="BP515">
        <f>IFERROR(INDEX(PP_Grid[#Data],$DD515,66),0)</f>
        <v/>
      </c>
      <c r="BQ515">
        <f>IFERROR(INDEX(PP_Grid[#Data],$DD515,67),0)</f>
        <v/>
      </c>
      <c r="BR515">
        <f>IFERROR(INDEX(PP_Grid[#Data],$DD515,68),0)</f>
        <v/>
      </c>
      <c r="BS515">
        <f>IFERROR(INDEX(PP_Grid[#Data],$DD515,69),0)</f>
        <v/>
      </c>
      <c r="BT515">
        <f>IFERROR(INDEX(PP_Grid[#Data],$DD515,70),0)</f>
        <v/>
      </c>
      <c r="BU515">
        <f>IFERROR(INDEX(PP_Grid[#Data],$DD515,71),0)</f>
        <v/>
      </c>
      <c r="BV515">
        <f>IFERROR(INDEX(PP_Grid[#Data],$DD515,72),0)</f>
        <v/>
      </c>
      <c r="BW515">
        <f>IFERROR(INDEX(PP_Grid[#Data],$DD515,73),0)</f>
        <v/>
      </c>
      <c r="BX515">
        <f>IFERROR(INDEX(PP_Grid[#Data],$DD515,74),0)</f>
        <v/>
      </c>
      <c r="BY515">
        <f>IFERROR(INDEX(PP_Grid[#Data],$DD515,75),0)</f>
        <v/>
      </c>
      <c r="BZ515">
        <f>IFERROR(INDEX(PP_Grid[#Data],$DD515,76),0)</f>
        <v/>
      </c>
      <c r="CA515">
        <f>IFERROR(INDEX(PP_Grid[#Data],$DD515,77),0)</f>
        <v/>
      </c>
      <c r="CB515">
        <f>IFERROR(INDEX(PP_Grid[#Data],$DD515,78),0)</f>
        <v/>
      </c>
      <c r="CC515">
        <f>IFERROR(INDEX(PP_Grid[#Data],$DD515,79),0)</f>
        <v/>
      </c>
      <c r="CD515">
        <f>IFERROR(INDEX(PP_Grid[#Data],$DD515,80),0)</f>
        <v/>
      </c>
      <c r="CE515">
        <f>IFERROR(INDEX(PP_Grid[#Data],$DD515,81),0)</f>
        <v/>
      </c>
      <c r="CF515">
        <f>IFERROR(INDEX(PP_Grid[#Data],$DD515,82),0)</f>
        <v/>
      </c>
      <c r="CG515">
        <f>IFERROR(INDEX(PP_Grid[#Data],$DD515,83),0)</f>
        <v/>
      </c>
      <c r="CH515">
        <f>IFERROR(INDEX(PP_Grid[#Data],$DD515,84),0)</f>
        <v/>
      </c>
      <c r="CI515">
        <f>IFERROR(INDEX(PP_Grid[#Data],$DD515,85),0)</f>
        <v/>
      </c>
      <c r="CJ515">
        <f>IFERROR(INDEX(PP_Grid[#Data],$DD515,86),0)</f>
        <v/>
      </c>
      <c r="CK515">
        <f>IFERROR(INDEX(PP_Grid[#Data],$DD515,87),0)</f>
        <v/>
      </c>
      <c r="CL515">
        <f>IFERROR(INDEX(PP_Grid[#Data],$DD515,88),0)</f>
        <v/>
      </c>
      <c r="CM515">
        <f>IFERROR(INDEX(PP_Grid[#Data],$DD515,89),0)</f>
        <v/>
      </c>
      <c r="CN515">
        <f>IFERROR(INDEX(PP_Grid[#Data],$DD515,90),0)</f>
        <v/>
      </c>
      <c r="CO515">
        <f>IFERROR(INDEX(PP_Grid[#Data],$DD515,91),0)</f>
        <v/>
      </c>
      <c r="CP515">
        <f>IFERROR(INDEX(PP_Grid[#Data],$DD515,92),0)</f>
        <v/>
      </c>
      <c r="CQ515">
        <f>IFERROR(INDEX(PP_Grid[#Data],$DD515,93),0)</f>
        <v/>
      </c>
      <c r="CR515">
        <f>IFERROR(INDEX(PP_Grid[#Data],$DD515,94),0)</f>
        <v/>
      </c>
      <c r="CS515">
        <f>IFERROR(INDEX(PP_Grid[#Data],$DD515,95),0)</f>
        <v/>
      </c>
      <c r="CT515">
        <f>IFERROR(INDEX(PP_Grid[#Data],$DD515,96),0)</f>
        <v/>
      </c>
      <c r="CU515">
        <f>IFERROR(INDEX(PP_Grid[#Data],$DD515,97),0)</f>
        <v/>
      </c>
      <c r="CV515">
        <f>IFERROR(INDEX(PP_Grid[#Data],$DD515,98),0)</f>
        <v/>
      </c>
      <c r="CW515">
        <f>IFERROR(INDEX(PP_Grid[#Data],$DD515,99),0)</f>
        <v/>
      </c>
      <c r="CX515">
        <f>IFERROR(INDEX(PP_Grid[#Data],$DD515,100),0)</f>
        <v/>
      </c>
      <c r="CY515">
        <f>IFERROR(INDEX(PP_Grid[#Data],$DD515,101),0)</f>
        <v/>
      </c>
      <c r="CZ515">
        <f>IFERROR(INDEX(PP_Grid[#Data],$DD515,102),0)</f>
        <v/>
      </c>
      <c r="DA515">
        <f>IFERROR(INDEX(PP_Grid[#Data],$DD515,103),0)</f>
        <v/>
      </c>
      <c r="DB515">
        <f>IFERROR(INDEX(PP_Grid[#Data],$DD515,104),0)</f>
        <v/>
      </c>
      <c r="DC515">
        <f>IFERROR(INDEX(PP_Grid[#Data],$DD515,105),0)</f>
        <v/>
      </c>
      <c r="DD515" s="7">
        <f>IFERROR(MATCH($B515,PP_Grid[Intermediate],0),99999)</f>
        <v/>
      </c>
    </row>
    <row r="516">
      <c r="B516" t="inlineStr">
        <is>
          <t>使用量(kg)</t>
        </is>
      </c>
      <c r="C516">
        <f>SUMIFS(M_BOM[RM_Qty_Per_Batch],M_BOM[Intermediate],$B515,M_BOM[Part Name],$A500)</f>
        <v/>
      </c>
      <c r="D516">
        <f>$C516*D515</f>
        <v/>
      </c>
      <c r="E516">
        <f>$C516*E515</f>
        <v/>
      </c>
      <c r="F516">
        <f>$C516*F515</f>
        <v/>
      </c>
      <c r="G516">
        <f>$C516*G515</f>
        <v/>
      </c>
      <c r="H516">
        <f>$C516*H515</f>
        <v/>
      </c>
      <c r="I516">
        <f>$C516*I515</f>
        <v/>
      </c>
      <c r="J516">
        <f>$C516*J515</f>
        <v/>
      </c>
      <c r="K516">
        <f>$C516*K515</f>
        <v/>
      </c>
      <c r="L516">
        <f>$C516*L515</f>
        <v/>
      </c>
      <c r="M516">
        <f>$C516*M515</f>
        <v/>
      </c>
      <c r="N516">
        <f>$C516*N515</f>
        <v/>
      </c>
      <c r="O516">
        <f>$C516*O515</f>
        <v/>
      </c>
      <c r="P516">
        <f>$C516*P515</f>
        <v/>
      </c>
      <c r="Q516">
        <f>$C516*Q515</f>
        <v/>
      </c>
      <c r="R516">
        <f>$C516*R515</f>
        <v/>
      </c>
      <c r="S516">
        <f>$C516*S515</f>
        <v/>
      </c>
      <c r="T516">
        <f>$C516*T515</f>
        <v/>
      </c>
      <c r="U516">
        <f>$C516*U515</f>
        <v/>
      </c>
      <c r="V516">
        <f>$C516*V515</f>
        <v/>
      </c>
      <c r="W516">
        <f>$C516*W515</f>
        <v/>
      </c>
      <c r="X516">
        <f>$C516*X515</f>
        <v/>
      </c>
      <c r="Y516">
        <f>$C516*Y515</f>
        <v/>
      </c>
      <c r="Z516">
        <f>$C516*Z515</f>
        <v/>
      </c>
      <c r="AA516">
        <f>$C516*AA515</f>
        <v/>
      </c>
      <c r="AB516">
        <f>$C516*AB515</f>
        <v/>
      </c>
      <c r="AC516">
        <f>$C516*AC515</f>
        <v/>
      </c>
      <c r="AD516">
        <f>$C516*AD515</f>
        <v/>
      </c>
      <c r="AE516">
        <f>$C516*AE515</f>
        <v/>
      </c>
      <c r="AF516">
        <f>$C516*AF515</f>
        <v/>
      </c>
      <c r="AG516">
        <f>$C516*AG515</f>
        <v/>
      </c>
      <c r="AH516">
        <f>$C516*AH515</f>
        <v/>
      </c>
      <c r="AI516">
        <f>$C516*AI515</f>
        <v/>
      </c>
      <c r="AJ516">
        <f>$C516*AJ515</f>
        <v/>
      </c>
      <c r="AK516">
        <f>$C516*AK515</f>
        <v/>
      </c>
      <c r="AL516">
        <f>$C516*AL515</f>
        <v/>
      </c>
      <c r="AM516">
        <f>$C516*AM515</f>
        <v/>
      </c>
      <c r="AN516">
        <f>$C516*AN515</f>
        <v/>
      </c>
      <c r="AO516">
        <f>$C516*AO515</f>
        <v/>
      </c>
      <c r="AP516">
        <f>$C516*AP515</f>
        <v/>
      </c>
      <c r="AQ516">
        <f>$C516*AQ515</f>
        <v/>
      </c>
      <c r="AR516">
        <f>$C516*AR515</f>
        <v/>
      </c>
      <c r="AS516">
        <f>$C516*AS515</f>
        <v/>
      </c>
      <c r="AT516">
        <f>$C516*AT515</f>
        <v/>
      </c>
      <c r="AU516">
        <f>$C516*AU515</f>
        <v/>
      </c>
      <c r="AV516">
        <f>$C516*AV515</f>
        <v/>
      </c>
      <c r="AW516">
        <f>$C516*AW515</f>
        <v/>
      </c>
      <c r="AX516">
        <f>$C516*AX515</f>
        <v/>
      </c>
      <c r="AY516">
        <f>$C516*AY515</f>
        <v/>
      </c>
      <c r="AZ516">
        <f>$C516*AZ515</f>
        <v/>
      </c>
      <c r="BA516">
        <f>$C516*BA515</f>
        <v/>
      </c>
      <c r="BB516">
        <f>$C516*BB515</f>
        <v/>
      </c>
      <c r="BC516">
        <f>$C516*BC515</f>
        <v/>
      </c>
      <c r="BD516">
        <f>$C516*BD515</f>
        <v/>
      </c>
      <c r="BE516">
        <f>$C516*BE515</f>
        <v/>
      </c>
      <c r="BF516">
        <f>$C516*BF515</f>
        <v/>
      </c>
      <c r="BG516">
        <f>$C516*BG515</f>
        <v/>
      </c>
      <c r="BH516">
        <f>$C516*BH515</f>
        <v/>
      </c>
      <c r="BI516">
        <f>$C516*BI515</f>
        <v/>
      </c>
      <c r="BJ516">
        <f>$C516*BJ515</f>
        <v/>
      </c>
      <c r="BK516">
        <f>$C516*BK515</f>
        <v/>
      </c>
      <c r="BL516">
        <f>$C516*BL515</f>
        <v/>
      </c>
      <c r="BM516">
        <f>$C516*BM515</f>
        <v/>
      </c>
      <c r="BN516">
        <f>$C516*BN515</f>
        <v/>
      </c>
      <c r="BO516">
        <f>$C516*BO515</f>
        <v/>
      </c>
      <c r="BP516">
        <f>$C516*BP515</f>
        <v/>
      </c>
      <c r="BQ516">
        <f>$C516*BQ515</f>
        <v/>
      </c>
      <c r="BR516">
        <f>$C516*BR515</f>
        <v/>
      </c>
      <c r="BS516">
        <f>$C516*BS515</f>
        <v/>
      </c>
      <c r="BT516">
        <f>$C516*BT515</f>
        <v/>
      </c>
      <c r="BU516">
        <f>$C516*BU515</f>
        <v/>
      </c>
      <c r="BV516">
        <f>$C516*BV515</f>
        <v/>
      </c>
      <c r="BW516">
        <f>$C516*BW515</f>
        <v/>
      </c>
      <c r="BX516">
        <f>$C516*BX515</f>
        <v/>
      </c>
      <c r="BY516">
        <f>$C516*BY515</f>
        <v/>
      </c>
      <c r="BZ516">
        <f>$C516*BZ515</f>
        <v/>
      </c>
      <c r="CA516">
        <f>$C516*CA515</f>
        <v/>
      </c>
      <c r="CB516">
        <f>$C516*CB515</f>
        <v/>
      </c>
      <c r="CC516">
        <f>$C516*CC515</f>
        <v/>
      </c>
      <c r="CD516">
        <f>$C516*CD515</f>
        <v/>
      </c>
      <c r="CE516">
        <f>$C516*CE515</f>
        <v/>
      </c>
      <c r="CF516">
        <f>$C516*CF515</f>
        <v/>
      </c>
      <c r="CG516">
        <f>$C516*CG515</f>
        <v/>
      </c>
      <c r="CH516">
        <f>$C516*CH515</f>
        <v/>
      </c>
      <c r="CI516">
        <f>$C516*CI515</f>
        <v/>
      </c>
      <c r="CJ516">
        <f>$C516*CJ515</f>
        <v/>
      </c>
      <c r="CK516">
        <f>$C516*CK515</f>
        <v/>
      </c>
      <c r="CL516">
        <f>$C516*CL515</f>
        <v/>
      </c>
      <c r="CM516">
        <f>$C516*CM515</f>
        <v/>
      </c>
      <c r="CN516">
        <f>$C516*CN515</f>
        <v/>
      </c>
      <c r="CO516">
        <f>$C516*CO515</f>
        <v/>
      </c>
      <c r="CP516">
        <f>$C516*CP515</f>
        <v/>
      </c>
      <c r="CQ516">
        <f>$C516*CQ515</f>
        <v/>
      </c>
      <c r="CR516">
        <f>$C516*CR515</f>
        <v/>
      </c>
      <c r="CS516">
        <f>$C516*CS515</f>
        <v/>
      </c>
      <c r="CT516">
        <f>$C516*CT515</f>
        <v/>
      </c>
      <c r="CU516">
        <f>$C516*CU515</f>
        <v/>
      </c>
      <c r="CV516">
        <f>$C516*CV515</f>
        <v/>
      </c>
      <c r="CW516">
        <f>$C516*CW515</f>
        <v/>
      </c>
      <c r="CX516">
        <f>$C516*CX515</f>
        <v/>
      </c>
      <c r="CY516">
        <f>$C516*CY515</f>
        <v/>
      </c>
      <c r="CZ516">
        <f>$C516*CZ515</f>
        <v/>
      </c>
      <c r="DA516">
        <f>$C516*DA515</f>
        <v/>
      </c>
      <c r="DB516">
        <f>$C516*DB515</f>
        <v/>
      </c>
      <c r="DC516">
        <f>$C516*DC515</f>
        <v/>
      </c>
    </row>
    <row r="517">
      <c r="B517" t="inlineStr">
        <is>
          <t>VSP-604</t>
        </is>
      </c>
      <c r="C517" t="inlineStr">
        <is>
          <t>No. of batches</t>
        </is>
      </c>
      <c r="D517">
        <f>IFERROR(INDEX(PP_Grid[#Data],$DD517,2),0)</f>
        <v/>
      </c>
      <c r="E517">
        <f>IFERROR(INDEX(PP_Grid[#Data],$DD517,3),0)</f>
        <v/>
      </c>
      <c r="F517">
        <f>IFERROR(INDEX(PP_Grid[#Data],$DD517,4),0)</f>
        <v/>
      </c>
      <c r="G517">
        <f>IFERROR(INDEX(PP_Grid[#Data],$DD517,5),0)</f>
        <v/>
      </c>
      <c r="H517">
        <f>IFERROR(INDEX(PP_Grid[#Data],$DD517,6),0)</f>
        <v/>
      </c>
      <c r="I517">
        <f>IFERROR(INDEX(PP_Grid[#Data],$DD517,7),0)</f>
        <v/>
      </c>
      <c r="J517">
        <f>IFERROR(INDEX(PP_Grid[#Data],$DD517,8),0)</f>
        <v/>
      </c>
      <c r="K517">
        <f>IFERROR(INDEX(PP_Grid[#Data],$DD517,9),0)</f>
        <v/>
      </c>
      <c r="L517">
        <f>IFERROR(INDEX(PP_Grid[#Data],$DD517,10),0)</f>
        <v/>
      </c>
      <c r="M517">
        <f>IFERROR(INDEX(PP_Grid[#Data],$DD517,11),0)</f>
        <v/>
      </c>
      <c r="N517">
        <f>IFERROR(INDEX(PP_Grid[#Data],$DD517,12),0)</f>
        <v/>
      </c>
      <c r="O517">
        <f>IFERROR(INDEX(PP_Grid[#Data],$DD517,13),0)</f>
        <v/>
      </c>
      <c r="P517">
        <f>IFERROR(INDEX(PP_Grid[#Data],$DD517,14),0)</f>
        <v/>
      </c>
      <c r="Q517">
        <f>IFERROR(INDEX(PP_Grid[#Data],$DD517,15),0)</f>
        <v/>
      </c>
      <c r="R517">
        <f>IFERROR(INDEX(PP_Grid[#Data],$DD517,16),0)</f>
        <v/>
      </c>
      <c r="S517">
        <f>IFERROR(INDEX(PP_Grid[#Data],$DD517,17),0)</f>
        <v/>
      </c>
      <c r="T517">
        <f>IFERROR(INDEX(PP_Grid[#Data],$DD517,18),0)</f>
        <v/>
      </c>
      <c r="U517">
        <f>IFERROR(INDEX(PP_Grid[#Data],$DD517,19),0)</f>
        <v/>
      </c>
      <c r="V517">
        <f>IFERROR(INDEX(PP_Grid[#Data],$DD517,20),0)</f>
        <v/>
      </c>
      <c r="W517">
        <f>IFERROR(INDEX(PP_Grid[#Data],$DD517,21),0)</f>
        <v/>
      </c>
      <c r="X517">
        <f>IFERROR(INDEX(PP_Grid[#Data],$DD517,22),0)</f>
        <v/>
      </c>
      <c r="Y517">
        <f>IFERROR(INDEX(PP_Grid[#Data],$DD517,23),0)</f>
        <v/>
      </c>
      <c r="Z517">
        <f>IFERROR(INDEX(PP_Grid[#Data],$DD517,24),0)</f>
        <v/>
      </c>
      <c r="AA517">
        <f>IFERROR(INDEX(PP_Grid[#Data],$DD517,25),0)</f>
        <v/>
      </c>
      <c r="AB517">
        <f>IFERROR(INDEX(PP_Grid[#Data],$DD517,26),0)</f>
        <v/>
      </c>
      <c r="AC517">
        <f>IFERROR(INDEX(PP_Grid[#Data],$DD517,27),0)</f>
        <v/>
      </c>
      <c r="AD517">
        <f>IFERROR(INDEX(PP_Grid[#Data],$DD517,28),0)</f>
        <v/>
      </c>
      <c r="AE517">
        <f>IFERROR(INDEX(PP_Grid[#Data],$DD517,29),0)</f>
        <v/>
      </c>
      <c r="AF517">
        <f>IFERROR(INDEX(PP_Grid[#Data],$DD517,30),0)</f>
        <v/>
      </c>
      <c r="AG517">
        <f>IFERROR(INDEX(PP_Grid[#Data],$DD517,31),0)</f>
        <v/>
      </c>
      <c r="AH517">
        <f>IFERROR(INDEX(PP_Grid[#Data],$DD517,32),0)</f>
        <v/>
      </c>
      <c r="AI517">
        <f>IFERROR(INDEX(PP_Grid[#Data],$DD517,33),0)</f>
        <v/>
      </c>
      <c r="AJ517">
        <f>IFERROR(INDEX(PP_Grid[#Data],$DD517,34),0)</f>
        <v/>
      </c>
      <c r="AK517">
        <f>IFERROR(INDEX(PP_Grid[#Data],$DD517,35),0)</f>
        <v/>
      </c>
      <c r="AL517">
        <f>IFERROR(INDEX(PP_Grid[#Data],$DD517,36),0)</f>
        <v/>
      </c>
      <c r="AM517">
        <f>IFERROR(INDEX(PP_Grid[#Data],$DD517,37),0)</f>
        <v/>
      </c>
      <c r="AN517">
        <f>IFERROR(INDEX(PP_Grid[#Data],$DD517,38),0)</f>
        <v/>
      </c>
      <c r="AO517">
        <f>IFERROR(INDEX(PP_Grid[#Data],$DD517,39),0)</f>
        <v/>
      </c>
      <c r="AP517">
        <f>IFERROR(INDEX(PP_Grid[#Data],$DD517,40),0)</f>
        <v/>
      </c>
      <c r="AQ517">
        <f>IFERROR(INDEX(PP_Grid[#Data],$DD517,41),0)</f>
        <v/>
      </c>
      <c r="AR517">
        <f>IFERROR(INDEX(PP_Grid[#Data],$DD517,42),0)</f>
        <v/>
      </c>
      <c r="AS517">
        <f>IFERROR(INDEX(PP_Grid[#Data],$DD517,43),0)</f>
        <v/>
      </c>
      <c r="AT517">
        <f>IFERROR(INDEX(PP_Grid[#Data],$DD517,44),0)</f>
        <v/>
      </c>
      <c r="AU517">
        <f>IFERROR(INDEX(PP_Grid[#Data],$DD517,45),0)</f>
        <v/>
      </c>
      <c r="AV517">
        <f>IFERROR(INDEX(PP_Grid[#Data],$DD517,46),0)</f>
        <v/>
      </c>
      <c r="AW517">
        <f>IFERROR(INDEX(PP_Grid[#Data],$DD517,47),0)</f>
        <v/>
      </c>
      <c r="AX517">
        <f>IFERROR(INDEX(PP_Grid[#Data],$DD517,48),0)</f>
        <v/>
      </c>
      <c r="AY517">
        <f>IFERROR(INDEX(PP_Grid[#Data],$DD517,49),0)</f>
        <v/>
      </c>
      <c r="AZ517">
        <f>IFERROR(INDEX(PP_Grid[#Data],$DD517,50),0)</f>
        <v/>
      </c>
      <c r="BA517">
        <f>IFERROR(INDEX(PP_Grid[#Data],$DD517,51),0)</f>
        <v/>
      </c>
      <c r="BB517">
        <f>IFERROR(INDEX(PP_Grid[#Data],$DD517,52),0)</f>
        <v/>
      </c>
      <c r="BC517">
        <f>IFERROR(INDEX(PP_Grid[#Data],$DD517,53),0)</f>
        <v/>
      </c>
      <c r="BD517">
        <f>IFERROR(INDEX(PP_Grid[#Data],$DD517,54),0)</f>
        <v/>
      </c>
      <c r="BE517">
        <f>IFERROR(INDEX(PP_Grid[#Data],$DD517,55),0)</f>
        <v/>
      </c>
      <c r="BF517">
        <f>IFERROR(INDEX(PP_Grid[#Data],$DD517,56),0)</f>
        <v/>
      </c>
      <c r="BG517">
        <f>IFERROR(INDEX(PP_Grid[#Data],$DD517,57),0)</f>
        <v/>
      </c>
      <c r="BH517">
        <f>IFERROR(INDEX(PP_Grid[#Data],$DD517,58),0)</f>
        <v/>
      </c>
      <c r="BI517">
        <f>IFERROR(INDEX(PP_Grid[#Data],$DD517,59),0)</f>
        <v/>
      </c>
      <c r="BJ517">
        <f>IFERROR(INDEX(PP_Grid[#Data],$DD517,60),0)</f>
        <v/>
      </c>
      <c r="BK517">
        <f>IFERROR(INDEX(PP_Grid[#Data],$DD517,61),0)</f>
        <v/>
      </c>
      <c r="BL517">
        <f>IFERROR(INDEX(PP_Grid[#Data],$DD517,62),0)</f>
        <v/>
      </c>
      <c r="BM517">
        <f>IFERROR(INDEX(PP_Grid[#Data],$DD517,63),0)</f>
        <v/>
      </c>
      <c r="BN517">
        <f>IFERROR(INDEX(PP_Grid[#Data],$DD517,64),0)</f>
        <v/>
      </c>
      <c r="BO517">
        <f>IFERROR(INDEX(PP_Grid[#Data],$DD517,65),0)</f>
        <v/>
      </c>
      <c r="BP517">
        <f>IFERROR(INDEX(PP_Grid[#Data],$DD517,66),0)</f>
        <v/>
      </c>
      <c r="BQ517">
        <f>IFERROR(INDEX(PP_Grid[#Data],$DD517,67),0)</f>
        <v/>
      </c>
      <c r="BR517">
        <f>IFERROR(INDEX(PP_Grid[#Data],$DD517,68),0)</f>
        <v/>
      </c>
      <c r="BS517">
        <f>IFERROR(INDEX(PP_Grid[#Data],$DD517,69),0)</f>
        <v/>
      </c>
      <c r="BT517">
        <f>IFERROR(INDEX(PP_Grid[#Data],$DD517,70),0)</f>
        <v/>
      </c>
      <c r="BU517">
        <f>IFERROR(INDEX(PP_Grid[#Data],$DD517,71),0)</f>
        <v/>
      </c>
      <c r="BV517">
        <f>IFERROR(INDEX(PP_Grid[#Data],$DD517,72),0)</f>
        <v/>
      </c>
      <c r="BW517">
        <f>IFERROR(INDEX(PP_Grid[#Data],$DD517,73),0)</f>
        <v/>
      </c>
      <c r="BX517">
        <f>IFERROR(INDEX(PP_Grid[#Data],$DD517,74),0)</f>
        <v/>
      </c>
      <c r="BY517">
        <f>IFERROR(INDEX(PP_Grid[#Data],$DD517,75),0)</f>
        <v/>
      </c>
      <c r="BZ517">
        <f>IFERROR(INDEX(PP_Grid[#Data],$DD517,76),0)</f>
        <v/>
      </c>
      <c r="CA517">
        <f>IFERROR(INDEX(PP_Grid[#Data],$DD517,77),0)</f>
        <v/>
      </c>
      <c r="CB517">
        <f>IFERROR(INDEX(PP_Grid[#Data],$DD517,78),0)</f>
        <v/>
      </c>
      <c r="CC517">
        <f>IFERROR(INDEX(PP_Grid[#Data],$DD517,79),0)</f>
        <v/>
      </c>
      <c r="CD517">
        <f>IFERROR(INDEX(PP_Grid[#Data],$DD517,80),0)</f>
        <v/>
      </c>
      <c r="CE517">
        <f>IFERROR(INDEX(PP_Grid[#Data],$DD517,81),0)</f>
        <v/>
      </c>
      <c r="CF517">
        <f>IFERROR(INDEX(PP_Grid[#Data],$DD517,82),0)</f>
        <v/>
      </c>
      <c r="CG517">
        <f>IFERROR(INDEX(PP_Grid[#Data],$DD517,83),0)</f>
        <v/>
      </c>
      <c r="CH517">
        <f>IFERROR(INDEX(PP_Grid[#Data],$DD517,84),0)</f>
        <v/>
      </c>
      <c r="CI517">
        <f>IFERROR(INDEX(PP_Grid[#Data],$DD517,85),0)</f>
        <v/>
      </c>
      <c r="CJ517">
        <f>IFERROR(INDEX(PP_Grid[#Data],$DD517,86),0)</f>
        <v/>
      </c>
      <c r="CK517">
        <f>IFERROR(INDEX(PP_Grid[#Data],$DD517,87),0)</f>
        <v/>
      </c>
      <c r="CL517">
        <f>IFERROR(INDEX(PP_Grid[#Data],$DD517,88),0)</f>
        <v/>
      </c>
      <c r="CM517">
        <f>IFERROR(INDEX(PP_Grid[#Data],$DD517,89),0)</f>
        <v/>
      </c>
      <c r="CN517">
        <f>IFERROR(INDEX(PP_Grid[#Data],$DD517,90),0)</f>
        <v/>
      </c>
      <c r="CO517">
        <f>IFERROR(INDEX(PP_Grid[#Data],$DD517,91),0)</f>
        <v/>
      </c>
      <c r="CP517">
        <f>IFERROR(INDEX(PP_Grid[#Data],$DD517,92),0)</f>
        <v/>
      </c>
      <c r="CQ517">
        <f>IFERROR(INDEX(PP_Grid[#Data],$DD517,93),0)</f>
        <v/>
      </c>
      <c r="CR517">
        <f>IFERROR(INDEX(PP_Grid[#Data],$DD517,94),0)</f>
        <v/>
      </c>
      <c r="CS517">
        <f>IFERROR(INDEX(PP_Grid[#Data],$DD517,95),0)</f>
        <v/>
      </c>
      <c r="CT517">
        <f>IFERROR(INDEX(PP_Grid[#Data],$DD517,96),0)</f>
        <v/>
      </c>
      <c r="CU517">
        <f>IFERROR(INDEX(PP_Grid[#Data],$DD517,97),0)</f>
        <v/>
      </c>
      <c r="CV517">
        <f>IFERROR(INDEX(PP_Grid[#Data],$DD517,98),0)</f>
        <v/>
      </c>
      <c r="CW517">
        <f>IFERROR(INDEX(PP_Grid[#Data],$DD517,99),0)</f>
        <v/>
      </c>
      <c r="CX517">
        <f>IFERROR(INDEX(PP_Grid[#Data],$DD517,100),0)</f>
        <v/>
      </c>
      <c r="CY517">
        <f>IFERROR(INDEX(PP_Grid[#Data],$DD517,101),0)</f>
        <v/>
      </c>
      <c r="CZ517">
        <f>IFERROR(INDEX(PP_Grid[#Data],$DD517,102),0)</f>
        <v/>
      </c>
      <c r="DA517">
        <f>IFERROR(INDEX(PP_Grid[#Data],$DD517,103),0)</f>
        <v/>
      </c>
      <c r="DB517">
        <f>IFERROR(INDEX(PP_Grid[#Data],$DD517,104),0)</f>
        <v/>
      </c>
      <c r="DC517">
        <f>IFERROR(INDEX(PP_Grid[#Data],$DD517,105),0)</f>
        <v/>
      </c>
      <c r="DD517" s="7">
        <f>IFERROR(MATCH($B517,PP_Grid[Intermediate],0),99999)</f>
        <v/>
      </c>
    </row>
    <row r="518">
      <c r="B518" t="inlineStr">
        <is>
          <t>使用量(kg)</t>
        </is>
      </c>
      <c r="C518">
        <f>SUMIFS(M_BOM[RM_Qty_Per_Batch],M_BOM[Intermediate],$B517,M_BOM[Part Name],$A500)</f>
        <v/>
      </c>
      <c r="D518">
        <f>$C518*D517</f>
        <v/>
      </c>
      <c r="E518">
        <f>$C518*E517</f>
        <v/>
      </c>
      <c r="F518">
        <f>$C518*F517</f>
        <v/>
      </c>
      <c r="G518">
        <f>$C518*G517</f>
        <v/>
      </c>
      <c r="H518">
        <f>$C518*H517</f>
        <v/>
      </c>
      <c r="I518">
        <f>$C518*I517</f>
        <v/>
      </c>
      <c r="J518">
        <f>$C518*J517</f>
        <v/>
      </c>
      <c r="K518">
        <f>$C518*K517</f>
        <v/>
      </c>
      <c r="L518">
        <f>$C518*L517</f>
        <v/>
      </c>
      <c r="M518">
        <f>$C518*M517</f>
        <v/>
      </c>
      <c r="N518">
        <f>$C518*N517</f>
        <v/>
      </c>
      <c r="O518">
        <f>$C518*O517</f>
        <v/>
      </c>
      <c r="P518">
        <f>$C518*P517</f>
        <v/>
      </c>
      <c r="Q518">
        <f>$C518*Q517</f>
        <v/>
      </c>
      <c r="R518">
        <f>$C518*R517</f>
        <v/>
      </c>
      <c r="S518">
        <f>$C518*S517</f>
        <v/>
      </c>
      <c r="T518">
        <f>$C518*T517</f>
        <v/>
      </c>
      <c r="U518">
        <f>$C518*U517</f>
        <v/>
      </c>
      <c r="V518">
        <f>$C518*V517</f>
        <v/>
      </c>
      <c r="W518">
        <f>$C518*W517</f>
        <v/>
      </c>
      <c r="X518">
        <f>$C518*X517</f>
        <v/>
      </c>
      <c r="Y518">
        <f>$C518*Y517</f>
        <v/>
      </c>
      <c r="Z518">
        <f>$C518*Z517</f>
        <v/>
      </c>
      <c r="AA518">
        <f>$C518*AA517</f>
        <v/>
      </c>
      <c r="AB518">
        <f>$C518*AB517</f>
        <v/>
      </c>
      <c r="AC518">
        <f>$C518*AC517</f>
        <v/>
      </c>
      <c r="AD518">
        <f>$C518*AD517</f>
        <v/>
      </c>
      <c r="AE518">
        <f>$C518*AE517</f>
        <v/>
      </c>
      <c r="AF518">
        <f>$C518*AF517</f>
        <v/>
      </c>
      <c r="AG518">
        <f>$C518*AG517</f>
        <v/>
      </c>
      <c r="AH518">
        <f>$C518*AH517</f>
        <v/>
      </c>
      <c r="AI518">
        <f>$C518*AI517</f>
        <v/>
      </c>
      <c r="AJ518">
        <f>$C518*AJ517</f>
        <v/>
      </c>
      <c r="AK518">
        <f>$C518*AK517</f>
        <v/>
      </c>
      <c r="AL518">
        <f>$C518*AL517</f>
        <v/>
      </c>
      <c r="AM518">
        <f>$C518*AM517</f>
        <v/>
      </c>
      <c r="AN518">
        <f>$C518*AN517</f>
        <v/>
      </c>
      <c r="AO518">
        <f>$C518*AO517</f>
        <v/>
      </c>
      <c r="AP518">
        <f>$C518*AP517</f>
        <v/>
      </c>
      <c r="AQ518">
        <f>$C518*AQ517</f>
        <v/>
      </c>
      <c r="AR518">
        <f>$C518*AR517</f>
        <v/>
      </c>
      <c r="AS518">
        <f>$C518*AS517</f>
        <v/>
      </c>
      <c r="AT518">
        <f>$C518*AT517</f>
        <v/>
      </c>
      <c r="AU518">
        <f>$C518*AU517</f>
        <v/>
      </c>
      <c r="AV518">
        <f>$C518*AV517</f>
        <v/>
      </c>
      <c r="AW518">
        <f>$C518*AW517</f>
        <v/>
      </c>
      <c r="AX518">
        <f>$C518*AX517</f>
        <v/>
      </c>
      <c r="AY518">
        <f>$C518*AY517</f>
        <v/>
      </c>
      <c r="AZ518">
        <f>$C518*AZ517</f>
        <v/>
      </c>
      <c r="BA518">
        <f>$C518*BA517</f>
        <v/>
      </c>
      <c r="BB518">
        <f>$C518*BB517</f>
        <v/>
      </c>
      <c r="BC518">
        <f>$C518*BC517</f>
        <v/>
      </c>
      <c r="BD518">
        <f>$C518*BD517</f>
        <v/>
      </c>
      <c r="BE518">
        <f>$C518*BE517</f>
        <v/>
      </c>
      <c r="BF518">
        <f>$C518*BF517</f>
        <v/>
      </c>
      <c r="BG518">
        <f>$C518*BG517</f>
        <v/>
      </c>
      <c r="BH518">
        <f>$C518*BH517</f>
        <v/>
      </c>
      <c r="BI518">
        <f>$C518*BI517</f>
        <v/>
      </c>
      <c r="BJ518">
        <f>$C518*BJ517</f>
        <v/>
      </c>
      <c r="BK518">
        <f>$C518*BK517</f>
        <v/>
      </c>
      <c r="BL518">
        <f>$C518*BL517</f>
        <v/>
      </c>
      <c r="BM518">
        <f>$C518*BM517</f>
        <v/>
      </c>
      <c r="BN518">
        <f>$C518*BN517</f>
        <v/>
      </c>
      <c r="BO518">
        <f>$C518*BO517</f>
        <v/>
      </c>
      <c r="BP518">
        <f>$C518*BP517</f>
        <v/>
      </c>
      <c r="BQ518">
        <f>$C518*BQ517</f>
        <v/>
      </c>
      <c r="BR518">
        <f>$C518*BR517</f>
        <v/>
      </c>
      <c r="BS518">
        <f>$C518*BS517</f>
        <v/>
      </c>
      <c r="BT518">
        <f>$C518*BT517</f>
        <v/>
      </c>
      <c r="BU518">
        <f>$C518*BU517</f>
        <v/>
      </c>
      <c r="BV518">
        <f>$C518*BV517</f>
        <v/>
      </c>
      <c r="BW518">
        <f>$C518*BW517</f>
        <v/>
      </c>
      <c r="BX518">
        <f>$C518*BX517</f>
        <v/>
      </c>
      <c r="BY518">
        <f>$C518*BY517</f>
        <v/>
      </c>
      <c r="BZ518">
        <f>$C518*BZ517</f>
        <v/>
      </c>
      <c r="CA518">
        <f>$C518*CA517</f>
        <v/>
      </c>
      <c r="CB518">
        <f>$C518*CB517</f>
        <v/>
      </c>
      <c r="CC518">
        <f>$C518*CC517</f>
        <v/>
      </c>
      <c r="CD518">
        <f>$C518*CD517</f>
        <v/>
      </c>
      <c r="CE518">
        <f>$C518*CE517</f>
        <v/>
      </c>
      <c r="CF518">
        <f>$C518*CF517</f>
        <v/>
      </c>
      <c r="CG518">
        <f>$C518*CG517</f>
        <v/>
      </c>
      <c r="CH518">
        <f>$C518*CH517</f>
        <v/>
      </c>
      <c r="CI518">
        <f>$C518*CI517</f>
        <v/>
      </c>
      <c r="CJ518">
        <f>$C518*CJ517</f>
        <v/>
      </c>
      <c r="CK518">
        <f>$C518*CK517</f>
        <v/>
      </c>
      <c r="CL518">
        <f>$C518*CL517</f>
        <v/>
      </c>
      <c r="CM518">
        <f>$C518*CM517</f>
        <v/>
      </c>
      <c r="CN518">
        <f>$C518*CN517</f>
        <v/>
      </c>
      <c r="CO518">
        <f>$C518*CO517</f>
        <v/>
      </c>
      <c r="CP518">
        <f>$C518*CP517</f>
        <v/>
      </c>
      <c r="CQ518">
        <f>$C518*CQ517</f>
        <v/>
      </c>
      <c r="CR518">
        <f>$C518*CR517</f>
        <v/>
      </c>
      <c r="CS518">
        <f>$C518*CS517</f>
        <v/>
      </c>
      <c r="CT518">
        <f>$C518*CT517</f>
        <v/>
      </c>
      <c r="CU518">
        <f>$C518*CU517</f>
        <v/>
      </c>
      <c r="CV518">
        <f>$C518*CV517</f>
        <v/>
      </c>
      <c r="CW518">
        <f>$C518*CW517</f>
        <v/>
      </c>
      <c r="CX518">
        <f>$C518*CX517</f>
        <v/>
      </c>
      <c r="CY518">
        <f>$C518*CY517</f>
        <v/>
      </c>
      <c r="CZ518">
        <f>$C518*CZ517</f>
        <v/>
      </c>
      <c r="DA518">
        <f>$C518*DA517</f>
        <v/>
      </c>
      <c r="DB518">
        <f>$C518*DB517</f>
        <v/>
      </c>
      <c r="DC518">
        <f>$C518*DC517</f>
        <v/>
      </c>
    </row>
    <row r="519">
      <c r="B519" t="inlineStr">
        <is>
          <t>VSP-606</t>
        </is>
      </c>
      <c r="C519" t="inlineStr">
        <is>
          <t>No. of batches</t>
        </is>
      </c>
      <c r="D519">
        <f>IFERROR(INDEX(PP_Grid[#Data],$DD519,2),0)</f>
        <v/>
      </c>
      <c r="E519">
        <f>IFERROR(INDEX(PP_Grid[#Data],$DD519,3),0)</f>
        <v/>
      </c>
      <c r="F519">
        <f>IFERROR(INDEX(PP_Grid[#Data],$DD519,4),0)</f>
        <v/>
      </c>
      <c r="G519">
        <f>IFERROR(INDEX(PP_Grid[#Data],$DD519,5),0)</f>
        <v/>
      </c>
      <c r="H519">
        <f>IFERROR(INDEX(PP_Grid[#Data],$DD519,6),0)</f>
        <v/>
      </c>
      <c r="I519">
        <f>IFERROR(INDEX(PP_Grid[#Data],$DD519,7),0)</f>
        <v/>
      </c>
      <c r="J519">
        <f>IFERROR(INDEX(PP_Grid[#Data],$DD519,8),0)</f>
        <v/>
      </c>
      <c r="K519">
        <f>IFERROR(INDEX(PP_Grid[#Data],$DD519,9),0)</f>
        <v/>
      </c>
      <c r="L519">
        <f>IFERROR(INDEX(PP_Grid[#Data],$DD519,10),0)</f>
        <v/>
      </c>
      <c r="M519">
        <f>IFERROR(INDEX(PP_Grid[#Data],$DD519,11),0)</f>
        <v/>
      </c>
      <c r="N519">
        <f>IFERROR(INDEX(PP_Grid[#Data],$DD519,12),0)</f>
        <v/>
      </c>
      <c r="O519">
        <f>IFERROR(INDEX(PP_Grid[#Data],$DD519,13),0)</f>
        <v/>
      </c>
      <c r="P519">
        <f>IFERROR(INDEX(PP_Grid[#Data],$DD519,14),0)</f>
        <v/>
      </c>
      <c r="Q519">
        <f>IFERROR(INDEX(PP_Grid[#Data],$DD519,15),0)</f>
        <v/>
      </c>
      <c r="R519">
        <f>IFERROR(INDEX(PP_Grid[#Data],$DD519,16),0)</f>
        <v/>
      </c>
      <c r="S519">
        <f>IFERROR(INDEX(PP_Grid[#Data],$DD519,17),0)</f>
        <v/>
      </c>
      <c r="T519">
        <f>IFERROR(INDEX(PP_Grid[#Data],$DD519,18),0)</f>
        <v/>
      </c>
      <c r="U519">
        <f>IFERROR(INDEX(PP_Grid[#Data],$DD519,19),0)</f>
        <v/>
      </c>
      <c r="V519">
        <f>IFERROR(INDEX(PP_Grid[#Data],$DD519,20),0)</f>
        <v/>
      </c>
      <c r="W519">
        <f>IFERROR(INDEX(PP_Grid[#Data],$DD519,21),0)</f>
        <v/>
      </c>
      <c r="X519">
        <f>IFERROR(INDEX(PP_Grid[#Data],$DD519,22),0)</f>
        <v/>
      </c>
      <c r="Y519">
        <f>IFERROR(INDEX(PP_Grid[#Data],$DD519,23),0)</f>
        <v/>
      </c>
      <c r="Z519">
        <f>IFERROR(INDEX(PP_Grid[#Data],$DD519,24),0)</f>
        <v/>
      </c>
      <c r="AA519">
        <f>IFERROR(INDEX(PP_Grid[#Data],$DD519,25),0)</f>
        <v/>
      </c>
      <c r="AB519">
        <f>IFERROR(INDEX(PP_Grid[#Data],$DD519,26),0)</f>
        <v/>
      </c>
      <c r="AC519">
        <f>IFERROR(INDEX(PP_Grid[#Data],$DD519,27),0)</f>
        <v/>
      </c>
      <c r="AD519">
        <f>IFERROR(INDEX(PP_Grid[#Data],$DD519,28),0)</f>
        <v/>
      </c>
      <c r="AE519">
        <f>IFERROR(INDEX(PP_Grid[#Data],$DD519,29),0)</f>
        <v/>
      </c>
      <c r="AF519">
        <f>IFERROR(INDEX(PP_Grid[#Data],$DD519,30),0)</f>
        <v/>
      </c>
      <c r="AG519">
        <f>IFERROR(INDEX(PP_Grid[#Data],$DD519,31),0)</f>
        <v/>
      </c>
      <c r="AH519">
        <f>IFERROR(INDEX(PP_Grid[#Data],$DD519,32),0)</f>
        <v/>
      </c>
      <c r="AI519">
        <f>IFERROR(INDEX(PP_Grid[#Data],$DD519,33),0)</f>
        <v/>
      </c>
      <c r="AJ519">
        <f>IFERROR(INDEX(PP_Grid[#Data],$DD519,34),0)</f>
        <v/>
      </c>
      <c r="AK519">
        <f>IFERROR(INDEX(PP_Grid[#Data],$DD519,35),0)</f>
        <v/>
      </c>
      <c r="AL519">
        <f>IFERROR(INDEX(PP_Grid[#Data],$DD519,36),0)</f>
        <v/>
      </c>
      <c r="AM519">
        <f>IFERROR(INDEX(PP_Grid[#Data],$DD519,37),0)</f>
        <v/>
      </c>
      <c r="AN519">
        <f>IFERROR(INDEX(PP_Grid[#Data],$DD519,38),0)</f>
        <v/>
      </c>
      <c r="AO519">
        <f>IFERROR(INDEX(PP_Grid[#Data],$DD519,39),0)</f>
        <v/>
      </c>
      <c r="AP519">
        <f>IFERROR(INDEX(PP_Grid[#Data],$DD519,40),0)</f>
        <v/>
      </c>
      <c r="AQ519">
        <f>IFERROR(INDEX(PP_Grid[#Data],$DD519,41),0)</f>
        <v/>
      </c>
      <c r="AR519">
        <f>IFERROR(INDEX(PP_Grid[#Data],$DD519,42),0)</f>
        <v/>
      </c>
      <c r="AS519">
        <f>IFERROR(INDEX(PP_Grid[#Data],$DD519,43),0)</f>
        <v/>
      </c>
      <c r="AT519">
        <f>IFERROR(INDEX(PP_Grid[#Data],$DD519,44),0)</f>
        <v/>
      </c>
      <c r="AU519">
        <f>IFERROR(INDEX(PP_Grid[#Data],$DD519,45),0)</f>
        <v/>
      </c>
      <c r="AV519">
        <f>IFERROR(INDEX(PP_Grid[#Data],$DD519,46),0)</f>
        <v/>
      </c>
      <c r="AW519">
        <f>IFERROR(INDEX(PP_Grid[#Data],$DD519,47),0)</f>
        <v/>
      </c>
      <c r="AX519">
        <f>IFERROR(INDEX(PP_Grid[#Data],$DD519,48),0)</f>
        <v/>
      </c>
      <c r="AY519">
        <f>IFERROR(INDEX(PP_Grid[#Data],$DD519,49),0)</f>
        <v/>
      </c>
      <c r="AZ519">
        <f>IFERROR(INDEX(PP_Grid[#Data],$DD519,50),0)</f>
        <v/>
      </c>
      <c r="BA519">
        <f>IFERROR(INDEX(PP_Grid[#Data],$DD519,51),0)</f>
        <v/>
      </c>
      <c r="BB519">
        <f>IFERROR(INDEX(PP_Grid[#Data],$DD519,52),0)</f>
        <v/>
      </c>
      <c r="BC519">
        <f>IFERROR(INDEX(PP_Grid[#Data],$DD519,53),0)</f>
        <v/>
      </c>
      <c r="BD519">
        <f>IFERROR(INDEX(PP_Grid[#Data],$DD519,54),0)</f>
        <v/>
      </c>
      <c r="BE519">
        <f>IFERROR(INDEX(PP_Grid[#Data],$DD519,55),0)</f>
        <v/>
      </c>
      <c r="BF519">
        <f>IFERROR(INDEX(PP_Grid[#Data],$DD519,56),0)</f>
        <v/>
      </c>
      <c r="BG519">
        <f>IFERROR(INDEX(PP_Grid[#Data],$DD519,57),0)</f>
        <v/>
      </c>
      <c r="BH519">
        <f>IFERROR(INDEX(PP_Grid[#Data],$DD519,58),0)</f>
        <v/>
      </c>
      <c r="BI519">
        <f>IFERROR(INDEX(PP_Grid[#Data],$DD519,59),0)</f>
        <v/>
      </c>
      <c r="BJ519">
        <f>IFERROR(INDEX(PP_Grid[#Data],$DD519,60),0)</f>
        <v/>
      </c>
      <c r="BK519">
        <f>IFERROR(INDEX(PP_Grid[#Data],$DD519,61),0)</f>
        <v/>
      </c>
      <c r="BL519">
        <f>IFERROR(INDEX(PP_Grid[#Data],$DD519,62),0)</f>
        <v/>
      </c>
      <c r="BM519">
        <f>IFERROR(INDEX(PP_Grid[#Data],$DD519,63),0)</f>
        <v/>
      </c>
      <c r="BN519">
        <f>IFERROR(INDEX(PP_Grid[#Data],$DD519,64),0)</f>
        <v/>
      </c>
      <c r="BO519">
        <f>IFERROR(INDEX(PP_Grid[#Data],$DD519,65),0)</f>
        <v/>
      </c>
      <c r="BP519">
        <f>IFERROR(INDEX(PP_Grid[#Data],$DD519,66),0)</f>
        <v/>
      </c>
      <c r="BQ519">
        <f>IFERROR(INDEX(PP_Grid[#Data],$DD519,67),0)</f>
        <v/>
      </c>
      <c r="BR519">
        <f>IFERROR(INDEX(PP_Grid[#Data],$DD519,68),0)</f>
        <v/>
      </c>
      <c r="BS519">
        <f>IFERROR(INDEX(PP_Grid[#Data],$DD519,69),0)</f>
        <v/>
      </c>
      <c r="BT519">
        <f>IFERROR(INDEX(PP_Grid[#Data],$DD519,70),0)</f>
        <v/>
      </c>
      <c r="BU519">
        <f>IFERROR(INDEX(PP_Grid[#Data],$DD519,71),0)</f>
        <v/>
      </c>
      <c r="BV519">
        <f>IFERROR(INDEX(PP_Grid[#Data],$DD519,72),0)</f>
        <v/>
      </c>
      <c r="BW519">
        <f>IFERROR(INDEX(PP_Grid[#Data],$DD519,73),0)</f>
        <v/>
      </c>
      <c r="BX519">
        <f>IFERROR(INDEX(PP_Grid[#Data],$DD519,74),0)</f>
        <v/>
      </c>
      <c r="BY519">
        <f>IFERROR(INDEX(PP_Grid[#Data],$DD519,75),0)</f>
        <v/>
      </c>
      <c r="BZ519">
        <f>IFERROR(INDEX(PP_Grid[#Data],$DD519,76),0)</f>
        <v/>
      </c>
      <c r="CA519">
        <f>IFERROR(INDEX(PP_Grid[#Data],$DD519,77),0)</f>
        <v/>
      </c>
      <c r="CB519">
        <f>IFERROR(INDEX(PP_Grid[#Data],$DD519,78),0)</f>
        <v/>
      </c>
      <c r="CC519">
        <f>IFERROR(INDEX(PP_Grid[#Data],$DD519,79),0)</f>
        <v/>
      </c>
      <c r="CD519">
        <f>IFERROR(INDEX(PP_Grid[#Data],$DD519,80),0)</f>
        <v/>
      </c>
      <c r="CE519">
        <f>IFERROR(INDEX(PP_Grid[#Data],$DD519,81),0)</f>
        <v/>
      </c>
      <c r="CF519">
        <f>IFERROR(INDEX(PP_Grid[#Data],$DD519,82),0)</f>
        <v/>
      </c>
      <c r="CG519">
        <f>IFERROR(INDEX(PP_Grid[#Data],$DD519,83),0)</f>
        <v/>
      </c>
      <c r="CH519">
        <f>IFERROR(INDEX(PP_Grid[#Data],$DD519,84),0)</f>
        <v/>
      </c>
      <c r="CI519">
        <f>IFERROR(INDEX(PP_Grid[#Data],$DD519,85),0)</f>
        <v/>
      </c>
      <c r="CJ519">
        <f>IFERROR(INDEX(PP_Grid[#Data],$DD519,86),0)</f>
        <v/>
      </c>
      <c r="CK519">
        <f>IFERROR(INDEX(PP_Grid[#Data],$DD519,87),0)</f>
        <v/>
      </c>
      <c r="CL519">
        <f>IFERROR(INDEX(PP_Grid[#Data],$DD519,88),0)</f>
        <v/>
      </c>
      <c r="CM519">
        <f>IFERROR(INDEX(PP_Grid[#Data],$DD519,89),0)</f>
        <v/>
      </c>
      <c r="CN519">
        <f>IFERROR(INDEX(PP_Grid[#Data],$DD519,90),0)</f>
        <v/>
      </c>
      <c r="CO519">
        <f>IFERROR(INDEX(PP_Grid[#Data],$DD519,91),0)</f>
        <v/>
      </c>
      <c r="CP519">
        <f>IFERROR(INDEX(PP_Grid[#Data],$DD519,92),0)</f>
        <v/>
      </c>
      <c r="CQ519">
        <f>IFERROR(INDEX(PP_Grid[#Data],$DD519,93),0)</f>
        <v/>
      </c>
      <c r="CR519">
        <f>IFERROR(INDEX(PP_Grid[#Data],$DD519,94),0)</f>
        <v/>
      </c>
      <c r="CS519">
        <f>IFERROR(INDEX(PP_Grid[#Data],$DD519,95),0)</f>
        <v/>
      </c>
      <c r="CT519">
        <f>IFERROR(INDEX(PP_Grid[#Data],$DD519,96),0)</f>
        <v/>
      </c>
      <c r="CU519">
        <f>IFERROR(INDEX(PP_Grid[#Data],$DD519,97),0)</f>
        <v/>
      </c>
      <c r="CV519">
        <f>IFERROR(INDEX(PP_Grid[#Data],$DD519,98),0)</f>
        <v/>
      </c>
      <c r="CW519">
        <f>IFERROR(INDEX(PP_Grid[#Data],$DD519,99),0)</f>
        <v/>
      </c>
      <c r="CX519">
        <f>IFERROR(INDEX(PP_Grid[#Data],$DD519,100),0)</f>
        <v/>
      </c>
      <c r="CY519">
        <f>IFERROR(INDEX(PP_Grid[#Data],$DD519,101),0)</f>
        <v/>
      </c>
      <c r="CZ519">
        <f>IFERROR(INDEX(PP_Grid[#Data],$DD519,102),0)</f>
        <v/>
      </c>
      <c r="DA519">
        <f>IFERROR(INDEX(PP_Grid[#Data],$DD519,103),0)</f>
        <v/>
      </c>
      <c r="DB519">
        <f>IFERROR(INDEX(PP_Grid[#Data],$DD519,104),0)</f>
        <v/>
      </c>
      <c r="DC519">
        <f>IFERROR(INDEX(PP_Grid[#Data],$DD519,105),0)</f>
        <v/>
      </c>
      <c r="DD519" s="7">
        <f>IFERROR(MATCH($B519,PP_Grid[Intermediate],0),99999)</f>
        <v/>
      </c>
    </row>
    <row r="520">
      <c r="B520" t="inlineStr">
        <is>
          <t>使用量(kg)</t>
        </is>
      </c>
      <c r="C520">
        <f>SUMIFS(M_BOM[RM_Qty_Per_Batch],M_BOM[Intermediate],$B519,M_BOM[Part Name],$A500)</f>
        <v/>
      </c>
      <c r="D520">
        <f>$C520*D519</f>
        <v/>
      </c>
      <c r="E520">
        <f>$C520*E519</f>
        <v/>
      </c>
      <c r="F520">
        <f>$C520*F519</f>
        <v/>
      </c>
      <c r="G520">
        <f>$C520*G519</f>
        <v/>
      </c>
      <c r="H520">
        <f>$C520*H519</f>
        <v/>
      </c>
      <c r="I520">
        <f>$C520*I519</f>
        <v/>
      </c>
      <c r="J520">
        <f>$C520*J519</f>
        <v/>
      </c>
      <c r="K520">
        <f>$C520*K519</f>
        <v/>
      </c>
      <c r="L520">
        <f>$C520*L519</f>
        <v/>
      </c>
      <c r="M520">
        <f>$C520*M519</f>
        <v/>
      </c>
      <c r="N520">
        <f>$C520*N519</f>
        <v/>
      </c>
      <c r="O520">
        <f>$C520*O519</f>
        <v/>
      </c>
      <c r="P520">
        <f>$C520*P519</f>
        <v/>
      </c>
      <c r="Q520">
        <f>$C520*Q519</f>
        <v/>
      </c>
      <c r="R520">
        <f>$C520*R519</f>
        <v/>
      </c>
      <c r="S520">
        <f>$C520*S519</f>
        <v/>
      </c>
      <c r="T520">
        <f>$C520*T519</f>
        <v/>
      </c>
      <c r="U520">
        <f>$C520*U519</f>
        <v/>
      </c>
      <c r="V520">
        <f>$C520*V519</f>
        <v/>
      </c>
      <c r="W520">
        <f>$C520*W519</f>
        <v/>
      </c>
      <c r="X520">
        <f>$C520*X519</f>
        <v/>
      </c>
      <c r="Y520">
        <f>$C520*Y519</f>
        <v/>
      </c>
      <c r="Z520">
        <f>$C520*Z519</f>
        <v/>
      </c>
      <c r="AA520">
        <f>$C520*AA519</f>
        <v/>
      </c>
      <c r="AB520">
        <f>$C520*AB519</f>
        <v/>
      </c>
      <c r="AC520">
        <f>$C520*AC519</f>
        <v/>
      </c>
      <c r="AD520">
        <f>$C520*AD519</f>
        <v/>
      </c>
      <c r="AE520">
        <f>$C520*AE519</f>
        <v/>
      </c>
      <c r="AF520">
        <f>$C520*AF519</f>
        <v/>
      </c>
      <c r="AG520">
        <f>$C520*AG519</f>
        <v/>
      </c>
      <c r="AH520">
        <f>$C520*AH519</f>
        <v/>
      </c>
      <c r="AI520">
        <f>$C520*AI519</f>
        <v/>
      </c>
      <c r="AJ520">
        <f>$C520*AJ519</f>
        <v/>
      </c>
      <c r="AK520">
        <f>$C520*AK519</f>
        <v/>
      </c>
      <c r="AL520">
        <f>$C520*AL519</f>
        <v/>
      </c>
      <c r="AM520">
        <f>$C520*AM519</f>
        <v/>
      </c>
      <c r="AN520">
        <f>$C520*AN519</f>
        <v/>
      </c>
      <c r="AO520">
        <f>$C520*AO519</f>
        <v/>
      </c>
      <c r="AP520">
        <f>$C520*AP519</f>
        <v/>
      </c>
      <c r="AQ520">
        <f>$C520*AQ519</f>
        <v/>
      </c>
      <c r="AR520">
        <f>$C520*AR519</f>
        <v/>
      </c>
      <c r="AS520">
        <f>$C520*AS519</f>
        <v/>
      </c>
      <c r="AT520">
        <f>$C520*AT519</f>
        <v/>
      </c>
      <c r="AU520">
        <f>$C520*AU519</f>
        <v/>
      </c>
      <c r="AV520">
        <f>$C520*AV519</f>
        <v/>
      </c>
      <c r="AW520">
        <f>$C520*AW519</f>
        <v/>
      </c>
      <c r="AX520">
        <f>$C520*AX519</f>
        <v/>
      </c>
      <c r="AY520">
        <f>$C520*AY519</f>
        <v/>
      </c>
      <c r="AZ520">
        <f>$C520*AZ519</f>
        <v/>
      </c>
      <c r="BA520">
        <f>$C520*BA519</f>
        <v/>
      </c>
      <c r="BB520">
        <f>$C520*BB519</f>
        <v/>
      </c>
      <c r="BC520">
        <f>$C520*BC519</f>
        <v/>
      </c>
      <c r="BD520">
        <f>$C520*BD519</f>
        <v/>
      </c>
      <c r="BE520">
        <f>$C520*BE519</f>
        <v/>
      </c>
      <c r="BF520">
        <f>$C520*BF519</f>
        <v/>
      </c>
      <c r="BG520">
        <f>$C520*BG519</f>
        <v/>
      </c>
      <c r="BH520">
        <f>$C520*BH519</f>
        <v/>
      </c>
      <c r="BI520">
        <f>$C520*BI519</f>
        <v/>
      </c>
      <c r="BJ520">
        <f>$C520*BJ519</f>
        <v/>
      </c>
      <c r="BK520">
        <f>$C520*BK519</f>
        <v/>
      </c>
      <c r="BL520">
        <f>$C520*BL519</f>
        <v/>
      </c>
      <c r="BM520">
        <f>$C520*BM519</f>
        <v/>
      </c>
      <c r="BN520">
        <f>$C520*BN519</f>
        <v/>
      </c>
      <c r="BO520">
        <f>$C520*BO519</f>
        <v/>
      </c>
      <c r="BP520">
        <f>$C520*BP519</f>
        <v/>
      </c>
      <c r="BQ520">
        <f>$C520*BQ519</f>
        <v/>
      </c>
      <c r="BR520">
        <f>$C520*BR519</f>
        <v/>
      </c>
      <c r="BS520">
        <f>$C520*BS519</f>
        <v/>
      </c>
      <c r="BT520">
        <f>$C520*BT519</f>
        <v/>
      </c>
      <c r="BU520">
        <f>$C520*BU519</f>
        <v/>
      </c>
      <c r="BV520">
        <f>$C520*BV519</f>
        <v/>
      </c>
      <c r="BW520">
        <f>$C520*BW519</f>
        <v/>
      </c>
      <c r="BX520">
        <f>$C520*BX519</f>
        <v/>
      </c>
      <c r="BY520">
        <f>$C520*BY519</f>
        <v/>
      </c>
      <c r="BZ520">
        <f>$C520*BZ519</f>
        <v/>
      </c>
      <c r="CA520">
        <f>$C520*CA519</f>
        <v/>
      </c>
      <c r="CB520">
        <f>$C520*CB519</f>
        <v/>
      </c>
      <c r="CC520">
        <f>$C520*CC519</f>
        <v/>
      </c>
      <c r="CD520">
        <f>$C520*CD519</f>
        <v/>
      </c>
      <c r="CE520">
        <f>$C520*CE519</f>
        <v/>
      </c>
      <c r="CF520">
        <f>$C520*CF519</f>
        <v/>
      </c>
      <c r="CG520">
        <f>$C520*CG519</f>
        <v/>
      </c>
      <c r="CH520">
        <f>$C520*CH519</f>
        <v/>
      </c>
      <c r="CI520">
        <f>$C520*CI519</f>
        <v/>
      </c>
      <c r="CJ520">
        <f>$C520*CJ519</f>
        <v/>
      </c>
      <c r="CK520">
        <f>$C520*CK519</f>
        <v/>
      </c>
      <c r="CL520">
        <f>$C520*CL519</f>
        <v/>
      </c>
      <c r="CM520">
        <f>$C520*CM519</f>
        <v/>
      </c>
      <c r="CN520">
        <f>$C520*CN519</f>
        <v/>
      </c>
      <c r="CO520">
        <f>$C520*CO519</f>
        <v/>
      </c>
      <c r="CP520">
        <f>$C520*CP519</f>
        <v/>
      </c>
      <c r="CQ520">
        <f>$C520*CQ519</f>
        <v/>
      </c>
      <c r="CR520">
        <f>$C520*CR519</f>
        <v/>
      </c>
      <c r="CS520">
        <f>$C520*CS519</f>
        <v/>
      </c>
      <c r="CT520">
        <f>$C520*CT519</f>
        <v/>
      </c>
      <c r="CU520">
        <f>$C520*CU519</f>
        <v/>
      </c>
      <c r="CV520">
        <f>$C520*CV519</f>
        <v/>
      </c>
      <c r="CW520">
        <f>$C520*CW519</f>
        <v/>
      </c>
      <c r="CX520">
        <f>$C520*CX519</f>
        <v/>
      </c>
      <c r="CY520">
        <f>$C520*CY519</f>
        <v/>
      </c>
      <c r="CZ520">
        <f>$C520*CZ519</f>
        <v/>
      </c>
      <c r="DA520">
        <f>$C520*DA519</f>
        <v/>
      </c>
      <c r="DB520">
        <f>$C520*DB519</f>
        <v/>
      </c>
      <c r="DC520">
        <f>$C520*DC519</f>
        <v/>
      </c>
    </row>
    <row r="521">
      <c r="B521" t="inlineStr">
        <is>
          <t>VSP-607</t>
        </is>
      </c>
      <c r="C521" t="inlineStr">
        <is>
          <t>No. of batches</t>
        </is>
      </c>
      <c r="D521">
        <f>IFERROR(INDEX(PP_Grid[#Data],$DD521,2),0)</f>
        <v/>
      </c>
      <c r="E521">
        <f>IFERROR(INDEX(PP_Grid[#Data],$DD521,3),0)</f>
        <v/>
      </c>
      <c r="F521">
        <f>IFERROR(INDEX(PP_Grid[#Data],$DD521,4),0)</f>
        <v/>
      </c>
      <c r="G521">
        <f>IFERROR(INDEX(PP_Grid[#Data],$DD521,5),0)</f>
        <v/>
      </c>
      <c r="H521">
        <f>IFERROR(INDEX(PP_Grid[#Data],$DD521,6),0)</f>
        <v/>
      </c>
      <c r="I521">
        <f>IFERROR(INDEX(PP_Grid[#Data],$DD521,7),0)</f>
        <v/>
      </c>
      <c r="J521">
        <f>IFERROR(INDEX(PP_Grid[#Data],$DD521,8),0)</f>
        <v/>
      </c>
      <c r="K521">
        <f>IFERROR(INDEX(PP_Grid[#Data],$DD521,9),0)</f>
        <v/>
      </c>
      <c r="L521">
        <f>IFERROR(INDEX(PP_Grid[#Data],$DD521,10),0)</f>
        <v/>
      </c>
      <c r="M521">
        <f>IFERROR(INDEX(PP_Grid[#Data],$DD521,11),0)</f>
        <v/>
      </c>
      <c r="N521">
        <f>IFERROR(INDEX(PP_Grid[#Data],$DD521,12),0)</f>
        <v/>
      </c>
      <c r="O521">
        <f>IFERROR(INDEX(PP_Grid[#Data],$DD521,13),0)</f>
        <v/>
      </c>
      <c r="P521">
        <f>IFERROR(INDEX(PP_Grid[#Data],$DD521,14),0)</f>
        <v/>
      </c>
      <c r="Q521">
        <f>IFERROR(INDEX(PP_Grid[#Data],$DD521,15),0)</f>
        <v/>
      </c>
      <c r="R521">
        <f>IFERROR(INDEX(PP_Grid[#Data],$DD521,16),0)</f>
        <v/>
      </c>
      <c r="S521">
        <f>IFERROR(INDEX(PP_Grid[#Data],$DD521,17),0)</f>
        <v/>
      </c>
      <c r="T521">
        <f>IFERROR(INDEX(PP_Grid[#Data],$DD521,18),0)</f>
        <v/>
      </c>
      <c r="U521">
        <f>IFERROR(INDEX(PP_Grid[#Data],$DD521,19),0)</f>
        <v/>
      </c>
      <c r="V521">
        <f>IFERROR(INDEX(PP_Grid[#Data],$DD521,20),0)</f>
        <v/>
      </c>
      <c r="W521">
        <f>IFERROR(INDEX(PP_Grid[#Data],$DD521,21),0)</f>
        <v/>
      </c>
      <c r="X521">
        <f>IFERROR(INDEX(PP_Grid[#Data],$DD521,22),0)</f>
        <v/>
      </c>
      <c r="Y521">
        <f>IFERROR(INDEX(PP_Grid[#Data],$DD521,23),0)</f>
        <v/>
      </c>
      <c r="Z521">
        <f>IFERROR(INDEX(PP_Grid[#Data],$DD521,24),0)</f>
        <v/>
      </c>
      <c r="AA521">
        <f>IFERROR(INDEX(PP_Grid[#Data],$DD521,25),0)</f>
        <v/>
      </c>
      <c r="AB521">
        <f>IFERROR(INDEX(PP_Grid[#Data],$DD521,26),0)</f>
        <v/>
      </c>
      <c r="AC521">
        <f>IFERROR(INDEX(PP_Grid[#Data],$DD521,27),0)</f>
        <v/>
      </c>
      <c r="AD521">
        <f>IFERROR(INDEX(PP_Grid[#Data],$DD521,28),0)</f>
        <v/>
      </c>
      <c r="AE521">
        <f>IFERROR(INDEX(PP_Grid[#Data],$DD521,29),0)</f>
        <v/>
      </c>
      <c r="AF521">
        <f>IFERROR(INDEX(PP_Grid[#Data],$DD521,30),0)</f>
        <v/>
      </c>
      <c r="AG521">
        <f>IFERROR(INDEX(PP_Grid[#Data],$DD521,31),0)</f>
        <v/>
      </c>
      <c r="AH521">
        <f>IFERROR(INDEX(PP_Grid[#Data],$DD521,32),0)</f>
        <v/>
      </c>
      <c r="AI521">
        <f>IFERROR(INDEX(PP_Grid[#Data],$DD521,33),0)</f>
        <v/>
      </c>
      <c r="AJ521">
        <f>IFERROR(INDEX(PP_Grid[#Data],$DD521,34),0)</f>
        <v/>
      </c>
      <c r="AK521">
        <f>IFERROR(INDEX(PP_Grid[#Data],$DD521,35),0)</f>
        <v/>
      </c>
      <c r="AL521">
        <f>IFERROR(INDEX(PP_Grid[#Data],$DD521,36),0)</f>
        <v/>
      </c>
      <c r="AM521">
        <f>IFERROR(INDEX(PP_Grid[#Data],$DD521,37),0)</f>
        <v/>
      </c>
      <c r="AN521">
        <f>IFERROR(INDEX(PP_Grid[#Data],$DD521,38),0)</f>
        <v/>
      </c>
      <c r="AO521">
        <f>IFERROR(INDEX(PP_Grid[#Data],$DD521,39),0)</f>
        <v/>
      </c>
      <c r="AP521">
        <f>IFERROR(INDEX(PP_Grid[#Data],$DD521,40),0)</f>
        <v/>
      </c>
      <c r="AQ521">
        <f>IFERROR(INDEX(PP_Grid[#Data],$DD521,41),0)</f>
        <v/>
      </c>
      <c r="AR521">
        <f>IFERROR(INDEX(PP_Grid[#Data],$DD521,42),0)</f>
        <v/>
      </c>
      <c r="AS521">
        <f>IFERROR(INDEX(PP_Grid[#Data],$DD521,43),0)</f>
        <v/>
      </c>
      <c r="AT521">
        <f>IFERROR(INDEX(PP_Grid[#Data],$DD521,44),0)</f>
        <v/>
      </c>
      <c r="AU521">
        <f>IFERROR(INDEX(PP_Grid[#Data],$DD521,45),0)</f>
        <v/>
      </c>
      <c r="AV521">
        <f>IFERROR(INDEX(PP_Grid[#Data],$DD521,46),0)</f>
        <v/>
      </c>
      <c r="AW521">
        <f>IFERROR(INDEX(PP_Grid[#Data],$DD521,47),0)</f>
        <v/>
      </c>
      <c r="AX521">
        <f>IFERROR(INDEX(PP_Grid[#Data],$DD521,48),0)</f>
        <v/>
      </c>
      <c r="AY521">
        <f>IFERROR(INDEX(PP_Grid[#Data],$DD521,49),0)</f>
        <v/>
      </c>
      <c r="AZ521">
        <f>IFERROR(INDEX(PP_Grid[#Data],$DD521,50),0)</f>
        <v/>
      </c>
      <c r="BA521">
        <f>IFERROR(INDEX(PP_Grid[#Data],$DD521,51),0)</f>
        <v/>
      </c>
      <c r="BB521">
        <f>IFERROR(INDEX(PP_Grid[#Data],$DD521,52),0)</f>
        <v/>
      </c>
      <c r="BC521">
        <f>IFERROR(INDEX(PP_Grid[#Data],$DD521,53),0)</f>
        <v/>
      </c>
      <c r="BD521">
        <f>IFERROR(INDEX(PP_Grid[#Data],$DD521,54),0)</f>
        <v/>
      </c>
      <c r="BE521">
        <f>IFERROR(INDEX(PP_Grid[#Data],$DD521,55),0)</f>
        <v/>
      </c>
      <c r="BF521">
        <f>IFERROR(INDEX(PP_Grid[#Data],$DD521,56),0)</f>
        <v/>
      </c>
      <c r="BG521">
        <f>IFERROR(INDEX(PP_Grid[#Data],$DD521,57),0)</f>
        <v/>
      </c>
      <c r="BH521">
        <f>IFERROR(INDEX(PP_Grid[#Data],$DD521,58),0)</f>
        <v/>
      </c>
      <c r="BI521">
        <f>IFERROR(INDEX(PP_Grid[#Data],$DD521,59),0)</f>
        <v/>
      </c>
      <c r="BJ521">
        <f>IFERROR(INDEX(PP_Grid[#Data],$DD521,60),0)</f>
        <v/>
      </c>
      <c r="BK521">
        <f>IFERROR(INDEX(PP_Grid[#Data],$DD521,61),0)</f>
        <v/>
      </c>
      <c r="BL521">
        <f>IFERROR(INDEX(PP_Grid[#Data],$DD521,62),0)</f>
        <v/>
      </c>
      <c r="BM521">
        <f>IFERROR(INDEX(PP_Grid[#Data],$DD521,63),0)</f>
        <v/>
      </c>
      <c r="BN521">
        <f>IFERROR(INDEX(PP_Grid[#Data],$DD521,64),0)</f>
        <v/>
      </c>
      <c r="BO521">
        <f>IFERROR(INDEX(PP_Grid[#Data],$DD521,65),0)</f>
        <v/>
      </c>
      <c r="BP521">
        <f>IFERROR(INDEX(PP_Grid[#Data],$DD521,66),0)</f>
        <v/>
      </c>
      <c r="BQ521">
        <f>IFERROR(INDEX(PP_Grid[#Data],$DD521,67),0)</f>
        <v/>
      </c>
      <c r="BR521">
        <f>IFERROR(INDEX(PP_Grid[#Data],$DD521,68),0)</f>
        <v/>
      </c>
      <c r="BS521">
        <f>IFERROR(INDEX(PP_Grid[#Data],$DD521,69),0)</f>
        <v/>
      </c>
      <c r="BT521">
        <f>IFERROR(INDEX(PP_Grid[#Data],$DD521,70),0)</f>
        <v/>
      </c>
      <c r="BU521">
        <f>IFERROR(INDEX(PP_Grid[#Data],$DD521,71),0)</f>
        <v/>
      </c>
      <c r="BV521">
        <f>IFERROR(INDEX(PP_Grid[#Data],$DD521,72),0)</f>
        <v/>
      </c>
      <c r="BW521">
        <f>IFERROR(INDEX(PP_Grid[#Data],$DD521,73),0)</f>
        <v/>
      </c>
      <c r="BX521">
        <f>IFERROR(INDEX(PP_Grid[#Data],$DD521,74),0)</f>
        <v/>
      </c>
      <c r="BY521">
        <f>IFERROR(INDEX(PP_Grid[#Data],$DD521,75),0)</f>
        <v/>
      </c>
      <c r="BZ521">
        <f>IFERROR(INDEX(PP_Grid[#Data],$DD521,76),0)</f>
        <v/>
      </c>
      <c r="CA521">
        <f>IFERROR(INDEX(PP_Grid[#Data],$DD521,77),0)</f>
        <v/>
      </c>
      <c r="CB521">
        <f>IFERROR(INDEX(PP_Grid[#Data],$DD521,78),0)</f>
        <v/>
      </c>
      <c r="CC521">
        <f>IFERROR(INDEX(PP_Grid[#Data],$DD521,79),0)</f>
        <v/>
      </c>
      <c r="CD521">
        <f>IFERROR(INDEX(PP_Grid[#Data],$DD521,80),0)</f>
        <v/>
      </c>
      <c r="CE521">
        <f>IFERROR(INDEX(PP_Grid[#Data],$DD521,81),0)</f>
        <v/>
      </c>
      <c r="CF521">
        <f>IFERROR(INDEX(PP_Grid[#Data],$DD521,82),0)</f>
        <v/>
      </c>
      <c r="CG521">
        <f>IFERROR(INDEX(PP_Grid[#Data],$DD521,83),0)</f>
        <v/>
      </c>
      <c r="CH521">
        <f>IFERROR(INDEX(PP_Grid[#Data],$DD521,84),0)</f>
        <v/>
      </c>
      <c r="CI521">
        <f>IFERROR(INDEX(PP_Grid[#Data],$DD521,85),0)</f>
        <v/>
      </c>
      <c r="CJ521">
        <f>IFERROR(INDEX(PP_Grid[#Data],$DD521,86),0)</f>
        <v/>
      </c>
      <c r="CK521">
        <f>IFERROR(INDEX(PP_Grid[#Data],$DD521,87),0)</f>
        <v/>
      </c>
      <c r="CL521">
        <f>IFERROR(INDEX(PP_Grid[#Data],$DD521,88),0)</f>
        <v/>
      </c>
      <c r="CM521">
        <f>IFERROR(INDEX(PP_Grid[#Data],$DD521,89),0)</f>
        <v/>
      </c>
      <c r="CN521">
        <f>IFERROR(INDEX(PP_Grid[#Data],$DD521,90),0)</f>
        <v/>
      </c>
      <c r="CO521">
        <f>IFERROR(INDEX(PP_Grid[#Data],$DD521,91),0)</f>
        <v/>
      </c>
      <c r="CP521">
        <f>IFERROR(INDEX(PP_Grid[#Data],$DD521,92),0)</f>
        <v/>
      </c>
      <c r="CQ521">
        <f>IFERROR(INDEX(PP_Grid[#Data],$DD521,93),0)</f>
        <v/>
      </c>
      <c r="CR521">
        <f>IFERROR(INDEX(PP_Grid[#Data],$DD521,94),0)</f>
        <v/>
      </c>
      <c r="CS521">
        <f>IFERROR(INDEX(PP_Grid[#Data],$DD521,95),0)</f>
        <v/>
      </c>
      <c r="CT521">
        <f>IFERROR(INDEX(PP_Grid[#Data],$DD521,96),0)</f>
        <v/>
      </c>
      <c r="CU521">
        <f>IFERROR(INDEX(PP_Grid[#Data],$DD521,97),0)</f>
        <v/>
      </c>
      <c r="CV521">
        <f>IFERROR(INDEX(PP_Grid[#Data],$DD521,98),0)</f>
        <v/>
      </c>
      <c r="CW521">
        <f>IFERROR(INDEX(PP_Grid[#Data],$DD521,99),0)</f>
        <v/>
      </c>
      <c r="CX521">
        <f>IFERROR(INDEX(PP_Grid[#Data],$DD521,100),0)</f>
        <v/>
      </c>
      <c r="CY521">
        <f>IFERROR(INDEX(PP_Grid[#Data],$DD521,101),0)</f>
        <v/>
      </c>
      <c r="CZ521">
        <f>IFERROR(INDEX(PP_Grid[#Data],$DD521,102),0)</f>
        <v/>
      </c>
      <c r="DA521">
        <f>IFERROR(INDEX(PP_Grid[#Data],$DD521,103),0)</f>
        <v/>
      </c>
      <c r="DB521">
        <f>IFERROR(INDEX(PP_Grid[#Data],$DD521,104),0)</f>
        <v/>
      </c>
      <c r="DC521">
        <f>IFERROR(INDEX(PP_Grid[#Data],$DD521,105),0)</f>
        <v/>
      </c>
      <c r="DD521" s="7">
        <f>IFERROR(MATCH($B521,PP_Grid[Intermediate],0),99999)</f>
        <v/>
      </c>
    </row>
    <row r="522">
      <c r="B522" t="inlineStr">
        <is>
          <t>使用量(kg)</t>
        </is>
      </c>
      <c r="C522">
        <f>SUMIFS(M_BOM[RM_Qty_Per_Batch],M_BOM[Intermediate],$B521,M_BOM[Part Name],$A500)</f>
        <v/>
      </c>
      <c r="D522">
        <f>$C522*D521</f>
        <v/>
      </c>
      <c r="E522">
        <f>$C522*E521</f>
        <v/>
      </c>
      <c r="F522">
        <f>$C522*F521</f>
        <v/>
      </c>
      <c r="G522">
        <f>$C522*G521</f>
        <v/>
      </c>
      <c r="H522">
        <f>$C522*H521</f>
        <v/>
      </c>
      <c r="I522">
        <f>$C522*I521</f>
        <v/>
      </c>
      <c r="J522">
        <f>$C522*J521</f>
        <v/>
      </c>
      <c r="K522">
        <f>$C522*K521</f>
        <v/>
      </c>
      <c r="L522">
        <f>$C522*L521</f>
        <v/>
      </c>
      <c r="M522">
        <f>$C522*M521</f>
        <v/>
      </c>
      <c r="N522">
        <f>$C522*N521</f>
        <v/>
      </c>
      <c r="O522">
        <f>$C522*O521</f>
        <v/>
      </c>
      <c r="P522">
        <f>$C522*P521</f>
        <v/>
      </c>
      <c r="Q522">
        <f>$C522*Q521</f>
        <v/>
      </c>
      <c r="R522">
        <f>$C522*R521</f>
        <v/>
      </c>
      <c r="S522">
        <f>$C522*S521</f>
        <v/>
      </c>
      <c r="T522">
        <f>$C522*T521</f>
        <v/>
      </c>
      <c r="U522">
        <f>$C522*U521</f>
        <v/>
      </c>
      <c r="V522">
        <f>$C522*V521</f>
        <v/>
      </c>
      <c r="W522">
        <f>$C522*W521</f>
        <v/>
      </c>
      <c r="X522">
        <f>$C522*X521</f>
        <v/>
      </c>
      <c r="Y522">
        <f>$C522*Y521</f>
        <v/>
      </c>
      <c r="Z522">
        <f>$C522*Z521</f>
        <v/>
      </c>
      <c r="AA522">
        <f>$C522*AA521</f>
        <v/>
      </c>
      <c r="AB522">
        <f>$C522*AB521</f>
        <v/>
      </c>
      <c r="AC522">
        <f>$C522*AC521</f>
        <v/>
      </c>
      <c r="AD522">
        <f>$C522*AD521</f>
        <v/>
      </c>
      <c r="AE522">
        <f>$C522*AE521</f>
        <v/>
      </c>
      <c r="AF522">
        <f>$C522*AF521</f>
        <v/>
      </c>
      <c r="AG522">
        <f>$C522*AG521</f>
        <v/>
      </c>
      <c r="AH522">
        <f>$C522*AH521</f>
        <v/>
      </c>
      <c r="AI522">
        <f>$C522*AI521</f>
        <v/>
      </c>
      <c r="AJ522">
        <f>$C522*AJ521</f>
        <v/>
      </c>
      <c r="AK522">
        <f>$C522*AK521</f>
        <v/>
      </c>
      <c r="AL522">
        <f>$C522*AL521</f>
        <v/>
      </c>
      <c r="AM522">
        <f>$C522*AM521</f>
        <v/>
      </c>
      <c r="AN522">
        <f>$C522*AN521</f>
        <v/>
      </c>
      <c r="AO522">
        <f>$C522*AO521</f>
        <v/>
      </c>
      <c r="AP522">
        <f>$C522*AP521</f>
        <v/>
      </c>
      <c r="AQ522">
        <f>$C522*AQ521</f>
        <v/>
      </c>
      <c r="AR522">
        <f>$C522*AR521</f>
        <v/>
      </c>
      <c r="AS522">
        <f>$C522*AS521</f>
        <v/>
      </c>
      <c r="AT522">
        <f>$C522*AT521</f>
        <v/>
      </c>
      <c r="AU522">
        <f>$C522*AU521</f>
        <v/>
      </c>
      <c r="AV522">
        <f>$C522*AV521</f>
        <v/>
      </c>
      <c r="AW522">
        <f>$C522*AW521</f>
        <v/>
      </c>
      <c r="AX522">
        <f>$C522*AX521</f>
        <v/>
      </c>
      <c r="AY522">
        <f>$C522*AY521</f>
        <v/>
      </c>
      <c r="AZ522">
        <f>$C522*AZ521</f>
        <v/>
      </c>
      <c r="BA522">
        <f>$C522*BA521</f>
        <v/>
      </c>
      <c r="BB522">
        <f>$C522*BB521</f>
        <v/>
      </c>
      <c r="BC522">
        <f>$C522*BC521</f>
        <v/>
      </c>
      <c r="BD522">
        <f>$C522*BD521</f>
        <v/>
      </c>
      <c r="BE522">
        <f>$C522*BE521</f>
        <v/>
      </c>
      <c r="BF522">
        <f>$C522*BF521</f>
        <v/>
      </c>
      <c r="BG522">
        <f>$C522*BG521</f>
        <v/>
      </c>
      <c r="BH522">
        <f>$C522*BH521</f>
        <v/>
      </c>
      <c r="BI522">
        <f>$C522*BI521</f>
        <v/>
      </c>
      <c r="BJ522">
        <f>$C522*BJ521</f>
        <v/>
      </c>
      <c r="BK522">
        <f>$C522*BK521</f>
        <v/>
      </c>
      <c r="BL522">
        <f>$C522*BL521</f>
        <v/>
      </c>
      <c r="BM522">
        <f>$C522*BM521</f>
        <v/>
      </c>
      <c r="BN522">
        <f>$C522*BN521</f>
        <v/>
      </c>
      <c r="BO522">
        <f>$C522*BO521</f>
        <v/>
      </c>
      <c r="BP522">
        <f>$C522*BP521</f>
        <v/>
      </c>
      <c r="BQ522">
        <f>$C522*BQ521</f>
        <v/>
      </c>
      <c r="BR522">
        <f>$C522*BR521</f>
        <v/>
      </c>
      <c r="BS522">
        <f>$C522*BS521</f>
        <v/>
      </c>
      <c r="BT522">
        <f>$C522*BT521</f>
        <v/>
      </c>
      <c r="BU522">
        <f>$C522*BU521</f>
        <v/>
      </c>
      <c r="BV522">
        <f>$C522*BV521</f>
        <v/>
      </c>
      <c r="BW522">
        <f>$C522*BW521</f>
        <v/>
      </c>
      <c r="BX522">
        <f>$C522*BX521</f>
        <v/>
      </c>
      <c r="BY522">
        <f>$C522*BY521</f>
        <v/>
      </c>
      <c r="BZ522">
        <f>$C522*BZ521</f>
        <v/>
      </c>
      <c r="CA522">
        <f>$C522*CA521</f>
        <v/>
      </c>
      <c r="CB522">
        <f>$C522*CB521</f>
        <v/>
      </c>
      <c r="CC522">
        <f>$C522*CC521</f>
        <v/>
      </c>
      <c r="CD522">
        <f>$C522*CD521</f>
        <v/>
      </c>
      <c r="CE522">
        <f>$C522*CE521</f>
        <v/>
      </c>
      <c r="CF522">
        <f>$C522*CF521</f>
        <v/>
      </c>
      <c r="CG522">
        <f>$C522*CG521</f>
        <v/>
      </c>
      <c r="CH522">
        <f>$C522*CH521</f>
        <v/>
      </c>
      <c r="CI522">
        <f>$C522*CI521</f>
        <v/>
      </c>
      <c r="CJ522">
        <f>$C522*CJ521</f>
        <v/>
      </c>
      <c r="CK522">
        <f>$C522*CK521</f>
        <v/>
      </c>
      <c r="CL522">
        <f>$C522*CL521</f>
        <v/>
      </c>
      <c r="CM522">
        <f>$C522*CM521</f>
        <v/>
      </c>
      <c r="CN522">
        <f>$C522*CN521</f>
        <v/>
      </c>
      <c r="CO522">
        <f>$C522*CO521</f>
        <v/>
      </c>
      <c r="CP522">
        <f>$C522*CP521</f>
        <v/>
      </c>
      <c r="CQ522">
        <f>$C522*CQ521</f>
        <v/>
      </c>
      <c r="CR522">
        <f>$C522*CR521</f>
        <v/>
      </c>
      <c r="CS522">
        <f>$C522*CS521</f>
        <v/>
      </c>
      <c r="CT522">
        <f>$C522*CT521</f>
        <v/>
      </c>
      <c r="CU522">
        <f>$C522*CU521</f>
        <v/>
      </c>
      <c r="CV522">
        <f>$C522*CV521</f>
        <v/>
      </c>
      <c r="CW522">
        <f>$C522*CW521</f>
        <v/>
      </c>
      <c r="CX522">
        <f>$C522*CX521</f>
        <v/>
      </c>
      <c r="CY522">
        <f>$C522*CY521</f>
        <v/>
      </c>
      <c r="CZ522">
        <f>$C522*CZ521</f>
        <v/>
      </c>
      <c r="DA522">
        <f>$C522*DA521</f>
        <v/>
      </c>
      <c r="DB522">
        <f>$C522*DB521</f>
        <v/>
      </c>
      <c r="DC522">
        <f>$C522*DC521</f>
        <v/>
      </c>
    </row>
    <row r="523">
      <c r="B523" t="inlineStr">
        <is>
          <t>VSP-738</t>
        </is>
      </c>
      <c r="C523" t="inlineStr">
        <is>
          <t>No. of batches</t>
        </is>
      </c>
      <c r="D523">
        <f>IFERROR(INDEX(PP_Grid[#Data],$DD523,2),0)</f>
        <v/>
      </c>
      <c r="E523">
        <f>IFERROR(INDEX(PP_Grid[#Data],$DD523,3),0)</f>
        <v/>
      </c>
      <c r="F523">
        <f>IFERROR(INDEX(PP_Grid[#Data],$DD523,4),0)</f>
        <v/>
      </c>
      <c r="G523">
        <f>IFERROR(INDEX(PP_Grid[#Data],$DD523,5),0)</f>
        <v/>
      </c>
      <c r="H523">
        <f>IFERROR(INDEX(PP_Grid[#Data],$DD523,6),0)</f>
        <v/>
      </c>
      <c r="I523">
        <f>IFERROR(INDEX(PP_Grid[#Data],$DD523,7),0)</f>
        <v/>
      </c>
      <c r="J523">
        <f>IFERROR(INDEX(PP_Grid[#Data],$DD523,8),0)</f>
        <v/>
      </c>
      <c r="K523">
        <f>IFERROR(INDEX(PP_Grid[#Data],$DD523,9),0)</f>
        <v/>
      </c>
      <c r="L523">
        <f>IFERROR(INDEX(PP_Grid[#Data],$DD523,10),0)</f>
        <v/>
      </c>
      <c r="M523">
        <f>IFERROR(INDEX(PP_Grid[#Data],$DD523,11),0)</f>
        <v/>
      </c>
      <c r="N523">
        <f>IFERROR(INDEX(PP_Grid[#Data],$DD523,12),0)</f>
        <v/>
      </c>
      <c r="O523">
        <f>IFERROR(INDEX(PP_Grid[#Data],$DD523,13),0)</f>
        <v/>
      </c>
      <c r="P523">
        <f>IFERROR(INDEX(PP_Grid[#Data],$DD523,14),0)</f>
        <v/>
      </c>
      <c r="Q523">
        <f>IFERROR(INDEX(PP_Grid[#Data],$DD523,15),0)</f>
        <v/>
      </c>
      <c r="R523">
        <f>IFERROR(INDEX(PP_Grid[#Data],$DD523,16),0)</f>
        <v/>
      </c>
      <c r="S523">
        <f>IFERROR(INDEX(PP_Grid[#Data],$DD523,17),0)</f>
        <v/>
      </c>
      <c r="T523">
        <f>IFERROR(INDEX(PP_Grid[#Data],$DD523,18),0)</f>
        <v/>
      </c>
      <c r="U523">
        <f>IFERROR(INDEX(PP_Grid[#Data],$DD523,19),0)</f>
        <v/>
      </c>
      <c r="V523">
        <f>IFERROR(INDEX(PP_Grid[#Data],$DD523,20),0)</f>
        <v/>
      </c>
      <c r="W523">
        <f>IFERROR(INDEX(PP_Grid[#Data],$DD523,21),0)</f>
        <v/>
      </c>
      <c r="X523">
        <f>IFERROR(INDEX(PP_Grid[#Data],$DD523,22),0)</f>
        <v/>
      </c>
      <c r="Y523">
        <f>IFERROR(INDEX(PP_Grid[#Data],$DD523,23),0)</f>
        <v/>
      </c>
      <c r="Z523">
        <f>IFERROR(INDEX(PP_Grid[#Data],$DD523,24),0)</f>
        <v/>
      </c>
      <c r="AA523">
        <f>IFERROR(INDEX(PP_Grid[#Data],$DD523,25),0)</f>
        <v/>
      </c>
      <c r="AB523">
        <f>IFERROR(INDEX(PP_Grid[#Data],$DD523,26),0)</f>
        <v/>
      </c>
      <c r="AC523">
        <f>IFERROR(INDEX(PP_Grid[#Data],$DD523,27),0)</f>
        <v/>
      </c>
      <c r="AD523">
        <f>IFERROR(INDEX(PP_Grid[#Data],$DD523,28),0)</f>
        <v/>
      </c>
      <c r="AE523">
        <f>IFERROR(INDEX(PP_Grid[#Data],$DD523,29),0)</f>
        <v/>
      </c>
      <c r="AF523">
        <f>IFERROR(INDEX(PP_Grid[#Data],$DD523,30),0)</f>
        <v/>
      </c>
      <c r="AG523">
        <f>IFERROR(INDEX(PP_Grid[#Data],$DD523,31),0)</f>
        <v/>
      </c>
      <c r="AH523">
        <f>IFERROR(INDEX(PP_Grid[#Data],$DD523,32),0)</f>
        <v/>
      </c>
      <c r="AI523">
        <f>IFERROR(INDEX(PP_Grid[#Data],$DD523,33),0)</f>
        <v/>
      </c>
      <c r="AJ523">
        <f>IFERROR(INDEX(PP_Grid[#Data],$DD523,34),0)</f>
        <v/>
      </c>
      <c r="AK523">
        <f>IFERROR(INDEX(PP_Grid[#Data],$DD523,35),0)</f>
        <v/>
      </c>
      <c r="AL523">
        <f>IFERROR(INDEX(PP_Grid[#Data],$DD523,36),0)</f>
        <v/>
      </c>
      <c r="AM523">
        <f>IFERROR(INDEX(PP_Grid[#Data],$DD523,37),0)</f>
        <v/>
      </c>
      <c r="AN523">
        <f>IFERROR(INDEX(PP_Grid[#Data],$DD523,38),0)</f>
        <v/>
      </c>
      <c r="AO523">
        <f>IFERROR(INDEX(PP_Grid[#Data],$DD523,39),0)</f>
        <v/>
      </c>
      <c r="AP523">
        <f>IFERROR(INDEX(PP_Grid[#Data],$DD523,40),0)</f>
        <v/>
      </c>
      <c r="AQ523">
        <f>IFERROR(INDEX(PP_Grid[#Data],$DD523,41),0)</f>
        <v/>
      </c>
      <c r="AR523">
        <f>IFERROR(INDEX(PP_Grid[#Data],$DD523,42),0)</f>
        <v/>
      </c>
      <c r="AS523">
        <f>IFERROR(INDEX(PP_Grid[#Data],$DD523,43),0)</f>
        <v/>
      </c>
      <c r="AT523">
        <f>IFERROR(INDEX(PP_Grid[#Data],$DD523,44),0)</f>
        <v/>
      </c>
      <c r="AU523">
        <f>IFERROR(INDEX(PP_Grid[#Data],$DD523,45),0)</f>
        <v/>
      </c>
      <c r="AV523">
        <f>IFERROR(INDEX(PP_Grid[#Data],$DD523,46),0)</f>
        <v/>
      </c>
      <c r="AW523">
        <f>IFERROR(INDEX(PP_Grid[#Data],$DD523,47),0)</f>
        <v/>
      </c>
      <c r="AX523">
        <f>IFERROR(INDEX(PP_Grid[#Data],$DD523,48),0)</f>
        <v/>
      </c>
      <c r="AY523">
        <f>IFERROR(INDEX(PP_Grid[#Data],$DD523,49),0)</f>
        <v/>
      </c>
      <c r="AZ523">
        <f>IFERROR(INDEX(PP_Grid[#Data],$DD523,50),0)</f>
        <v/>
      </c>
      <c r="BA523">
        <f>IFERROR(INDEX(PP_Grid[#Data],$DD523,51),0)</f>
        <v/>
      </c>
      <c r="BB523">
        <f>IFERROR(INDEX(PP_Grid[#Data],$DD523,52),0)</f>
        <v/>
      </c>
      <c r="BC523">
        <f>IFERROR(INDEX(PP_Grid[#Data],$DD523,53),0)</f>
        <v/>
      </c>
      <c r="BD523">
        <f>IFERROR(INDEX(PP_Grid[#Data],$DD523,54),0)</f>
        <v/>
      </c>
      <c r="BE523">
        <f>IFERROR(INDEX(PP_Grid[#Data],$DD523,55),0)</f>
        <v/>
      </c>
      <c r="BF523">
        <f>IFERROR(INDEX(PP_Grid[#Data],$DD523,56),0)</f>
        <v/>
      </c>
      <c r="BG523">
        <f>IFERROR(INDEX(PP_Grid[#Data],$DD523,57),0)</f>
        <v/>
      </c>
      <c r="BH523">
        <f>IFERROR(INDEX(PP_Grid[#Data],$DD523,58),0)</f>
        <v/>
      </c>
      <c r="BI523">
        <f>IFERROR(INDEX(PP_Grid[#Data],$DD523,59),0)</f>
        <v/>
      </c>
      <c r="BJ523">
        <f>IFERROR(INDEX(PP_Grid[#Data],$DD523,60),0)</f>
        <v/>
      </c>
      <c r="BK523">
        <f>IFERROR(INDEX(PP_Grid[#Data],$DD523,61),0)</f>
        <v/>
      </c>
      <c r="BL523">
        <f>IFERROR(INDEX(PP_Grid[#Data],$DD523,62),0)</f>
        <v/>
      </c>
      <c r="BM523">
        <f>IFERROR(INDEX(PP_Grid[#Data],$DD523,63),0)</f>
        <v/>
      </c>
      <c r="BN523">
        <f>IFERROR(INDEX(PP_Grid[#Data],$DD523,64),0)</f>
        <v/>
      </c>
      <c r="BO523">
        <f>IFERROR(INDEX(PP_Grid[#Data],$DD523,65),0)</f>
        <v/>
      </c>
      <c r="BP523">
        <f>IFERROR(INDEX(PP_Grid[#Data],$DD523,66),0)</f>
        <v/>
      </c>
      <c r="BQ523">
        <f>IFERROR(INDEX(PP_Grid[#Data],$DD523,67),0)</f>
        <v/>
      </c>
      <c r="BR523">
        <f>IFERROR(INDEX(PP_Grid[#Data],$DD523,68),0)</f>
        <v/>
      </c>
      <c r="BS523">
        <f>IFERROR(INDEX(PP_Grid[#Data],$DD523,69),0)</f>
        <v/>
      </c>
      <c r="BT523">
        <f>IFERROR(INDEX(PP_Grid[#Data],$DD523,70),0)</f>
        <v/>
      </c>
      <c r="BU523">
        <f>IFERROR(INDEX(PP_Grid[#Data],$DD523,71),0)</f>
        <v/>
      </c>
      <c r="BV523">
        <f>IFERROR(INDEX(PP_Grid[#Data],$DD523,72),0)</f>
        <v/>
      </c>
      <c r="BW523">
        <f>IFERROR(INDEX(PP_Grid[#Data],$DD523,73),0)</f>
        <v/>
      </c>
      <c r="BX523">
        <f>IFERROR(INDEX(PP_Grid[#Data],$DD523,74),0)</f>
        <v/>
      </c>
      <c r="BY523">
        <f>IFERROR(INDEX(PP_Grid[#Data],$DD523,75),0)</f>
        <v/>
      </c>
      <c r="BZ523">
        <f>IFERROR(INDEX(PP_Grid[#Data],$DD523,76),0)</f>
        <v/>
      </c>
      <c r="CA523">
        <f>IFERROR(INDEX(PP_Grid[#Data],$DD523,77),0)</f>
        <v/>
      </c>
      <c r="CB523">
        <f>IFERROR(INDEX(PP_Grid[#Data],$DD523,78),0)</f>
        <v/>
      </c>
      <c r="CC523">
        <f>IFERROR(INDEX(PP_Grid[#Data],$DD523,79),0)</f>
        <v/>
      </c>
      <c r="CD523">
        <f>IFERROR(INDEX(PP_Grid[#Data],$DD523,80),0)</f>
        <v/>
      </c>
      <c r="CE523">
        <f>IFERROR(INDEX(PP_Grid[#Data],$DD523,81),0)</f>
        <v/>
      </c>
      <c r="CF523">
        <f>IFERROR(INDEX(PP_Grid[#Data],$DD523,82),0)</f>
        <v/>
      </c>
      <c r="CG523">
        <f>IFERROR(INDEX(PP_Grid[#Data],$DD523,83),0)</f>
        <v/>
      </c>
      <c r="CH523">
        <f>IFERROR(INDEX(PP_Grid[#Data],$DD523,84),0)</f>
        <v/>
      </c>
      <c r="CI523">
        <f>IFERROR(INDEX(PP_Grid[#Data],$DD523,85),0)</f>
        <v/>
      </c>
      <c r="CJ523">
        <f>IFERROR(INDEX(PP_Grid[#Data],$DD523,86),0)</f>
        <v/>
      </c>
      <c r="CK523">
        <f>IFERROR(INDEX(PP_Grid[#Data],$DD523,87),0)</f>
        <v/>
      </c>
      <c r="CL523">
        <f>IFERROR(INDEX(PP_Grid[#Data],$DD523,88),0)</f>
        <v/>
      </c>
      <c r="CM523">
        <f>IFERROR(INDEX(PP_Grid[#Data],$DD523,89),0)</f>
        <v/>
      </c>
      <c r="CN523">
        <f>IFERROR(INDEX(PP_Grid[#Data],$DD523,90),0)</f>
        <v/>
      </c>
      <c r="CO523">
        <f>IFERROR(INDEX(PP_Grid[#Data],$DD523,91),0)</f>
        <v/>
      </c>
      <c r="CP523">
        <f>IFERROR(INDEX(PP_Grid[#Data],$DD523,92),0)</f>
        <v/>
      </c>
      <c r="CQ523">
        <f>IFERROR(INDEX(PP_Grid[#Data],$DD523,93),0)</f>
        <v/>
      </c>
      <c r="CR523">
        <f>IFERROR(INDEX(PP_Grid[#Data],$DD523,94),0)</f>
        <v/>
      </c>
      <c r="CS523">
        <f>IFERROR(INDEX(PP_Grid[#Data],$DD523,95),0)</f>
        <v/>
      </c>
      <c r="CT523">
        <f>IFERROR(INDEX(PP_Grid[#Data],$DD523,96),0)</f>
        <v/>
      </c>
      <c r="CU523">
        <f>IFERROR(INDEX(PP_Grid[#Data],$DD523,97),0)</f>
        <v/>
      </c>
      <c r="CV523">
        <f>IFERROR(INDEX(PP_Grid[#Data],$DD523,98),0)</f>
        <v/>
      </c>
      <c r="CW523">
        <f>IFERROR(INDEX(PP_Grid[#Data],$DD523,99),0)</f>
        <v/>
      </c>
      <c r="CX523">
        <f>IFERROR(INDEX(PP_Grid[#Data],$DD523,100),0)</f>
        <v/>
      </c>
      <c r="CY523">
        <f>IFERROR(INDEX(PP_Grid[#Data],$DD523,101),0)</f>
        <v/>
      </c>
      <c r="CZ523">
        <f>IFERROR(INDEX(PP_Grid[#Data],$DD523,102),0)</f>
        <v/>
      </c>
      <c r="DA523">
        <f>IFERROR(INDEX(PP_Grid[#Data],$DD523,103),0)</f>
        <v/>
      </c>
      <c r="DB523">
        <f>IFERROR(INDEX(PP_Grid[#Data],$DD523,104),0)</f>
        <v/>
      </c>
      <c r="DC523">
        <f>IFERROR(INDEX(PP_Grid[#Data],$DD523,105),0)</f>
        <v/>
      </c>
      <c r="DD523" s="7">
        <f>IFERROR(MATCH($B523,PP_Grid[Intermediate],0),99999)</f>
        <v/>
      </c>
    </row>
    <row r="524">
      <c r="B524" t="inlineStr">
        <is>
          <t>使用量(kg)</t>
        </is>
      </c>
      <c r="C524">
        <f>SUMIFS(M_BOM[RM_Qty_Per_Batch],M_BOM[Intermediate],$B523,M_BOM[Part Name],$A500)</f>
        <v/>
      </c>
      <c r="D524">
        <f>$C524*D523</f>
        <v/>
      </c>
      <c r="E524">
        <f>$C524*E523</f>
        <v/>
      </c>
      <c r="F524">
        <f>$C524*F523</f>
        <v/>
      </c>
      <c r="G524">
        <f>$C524*G523</f>
        <v/>
      </c>
      <c r="H524">
        <f>$C524*H523</f>
        <v/>
      </c>
      <c r="I524">
        <f>$C524*I523</f>
        <v/>
      </c>
      <c r="J524">
        <f>$C524*J523</f>
        <v/>
      </c>
      <c r="K524">
        <f>$C524*K523</f>
        <v/>
      </c>
      <c r="L524">
        <f>$C524*L523</f>
        <v/>
      </c>
      <c r="M524">
        <f>$C524*M523</f>
        <v/>
      </c>
      <c r="N524">
        <f>$C524*N523</f>
        <v/>
      </c>
      <c r="O524">
        <f>$C524*O523</f>
        <v/>
      </c>
      <c r="P524">
        <f>$C524*P523</f>
        <v/>
      </c>
      <c r="Q524">
        <f>$C524*Q523</f>
        <v/>
      </c>
      <c r="R524">
        <f>$C524*R523</f>
        <v/>
      </c>
      <c r="S524">
        <f>$C524*S523</f>
        <v/>
      </c>
      <c r="T524">
        <f>$C524*T523</f>
        <v/>
      </c>
      <c r="U524">
        <f>$C524*U523</f>
        <v/>
      </c>
      <c r="V524">
        <f>$C524*V523</f>
        <v/>
      </c>
      <c r="W524">
        <f>$C524*W523</f>
        <v/>
      </c>
      <c r="X524">
        <f>$C524*X523</f>
        <v/>
      </c>
      <c r="Y524">
        <f>$C524*Y523</f>
        <v/>
      </c>
      <c r="Z524">
        <f>$C524*Z523</f>
        <v/>
      </c>
      <c r="AA524">
        <f>$C524*AA523</f>
        <v/>
      </c>
      <c r="AB524">
        <f>$C524*AB523</f>
        <v/>
      </c>
      <c r="AC524">
        <f>$C524*AC523</f>
        <v/>
      </c>
      <c r="AD524">
        <f>$C524*AD523</f>
        <v/>
      </c>
      <c r="AE524">
        <f>$C524*AE523</f>
        <v/>
      </c>
      <c r="AF524">
        <f>$C524*AF523</f>
        <v/>
      </c>
      <c r="AG524">
        <f>$C524*AG523</f>
        <v/>
      </c>
      <c r="AH524">
        <f>$C524*AH523</f>
        <v/>
      </c>
      <c r="AI524">
        <f>$C524*AI523</f>
        <v/>
      </c>
      <c r="AJ524">
        <f>$C524*AJ523</f>
        <v/>
      </c>
      <c r="AK524">
        <f>$C524*AK523</f>
        <v/>
      </c>
      <c r="AL524">
        <f>$C524*AL523</f>
        <v/>
      </c>
      <c r="AM524">
        <f>$C524*AM523</f>
        <v/>
      </c>
      <c r="AN524">
        <f>$C524*AN523</f>
        <v/>
      </c>
      <c r="AO524">
        <f>$C524*AO523</f>
        <v/>
      </c>
      <c r="AP524">
        <f>$C524*AP523</f>
        <v/>
      </c>
      <c r="AQ524">
        <f>$C524*AQ523</f>
        <v/>
      </c>
      <c r="AR524">
        <f>$C524*AR523</f>
        <v/>
      </c>
      <c r="AS524">
        <f>$C524*AS523</f>
        <v/>
      </c>
      <c r="AT524">
        <f>$C524*AT523</f>
        <v/>
      </c>
      <c r="AU524">
        <f>$C524*AU523</f>
        <v/>
      </c>
      <c r="AV524">
        <f>$C524*AV523</f>
        <v/>
      </c>
      <c r="AW524">
        <f>$C524*AW523</f>
        <v/>
      </c>
      <c r="AX524">
        <f>$C524*AX523</f>
        <v/>
      </c>
      <c r="AY524">
        <f>$C524*AY523</f>
        <v/>
      </c>
      <c r="AZ524">
        <f>$C524*AZ523</f>
        <v/>
      </c>
      <c r="BA524">
        <f>$C524*BA523</f>
        <v/>
      </c>
      <c r="BB524">
        <f>$C524*BB523</f>
        <v/>
      </c>
      <c r="BC524">
        <f>$C524*BC523</f>
        <v/>
      </c>
      <c r="BD524">
        <f>$C524*BD523</f>
        <v/>
      </c>
      <c r="BE524">
        <f>$C524*BE523</f>
        <v/>
      </c>
      <c r="BF524">
        <f>$C524*BF523</f>
        <v/>
      </c>
      <c r="BG524">
        <f>$C524*BG523</f>
        <v/>
      </c>
      <c r="BH524">
        <f>$C524*BH523</f>
        <v/>
      </c>
      <c r="BI524">
        <f>$C524*BI523</f>
        <v/>
      </c>
      <c r="BJ524">
        <f>$C524*BJ523</f>
        <v/>
      </c>
      <c r="BK524">
        <f>$C524*BK523</f>
        <v/>
      </c>
      <c r="BL524">
        <f>$C524*BL523</f>
        <v/>
      </c>
      <c r="BM524">
        <f>$C524*BM523</f>
        <v/>
      </c>
      <c r="BN524">
        <f>$C524*BN523</f>
        <v/>
      </c>
      <c r="BO524">
        <f>$C524*BO523</f>
        <v/>
      </c>
      <c r="BP524">
        <f>$C524*BP523</f>
        <v/>
      </c>
      <c r="BQ524">
        <f>$C524*BQ523</f>
        <v/>
      </c>
      <c r="BR524">
        <f>$C524*BR523</f>
        <v/>
      </c>
      <c r="BS524">
        <f>$C524*BS523</f>
        <v/>
      </c>
      <c r="BT524">
        <f>$C524*BT523</f>
        <v/>
      </c>
      <c r="BU524">
        <f>$C524*BU523</f>
        <v/>
      </c>
      <c r="BV524">
        <f>$C524*BV523</f>
        <v/>
      </c>
      <c r="BW524">
        <f>$C524*BW523</f>
        <v/>
      </c>
      <c r="BX524">
        <f>$C524*BX523</f>
        <v/>
      </c>
      <c r="BY524">
        <f>$C524*BY523</f>
        <v/>
      </c>
      <c r="BZ524">
        <f>$C524*BZ523</f>
        <v/>
      </c>
      <c r="CA524">
        <f>$C524*CA523</f>
        <v/>
      </c>
      <c r="CB524">
        <f>$C524*CB523</f>
        <v/>
      </c>
      <c r="CC524">
        <f>$C524*CC523</f>
        <v/>
      </c>
      <c r="CD524">
        <f>$C524*CD523</f>
        <v/>
      </c>
      <c r="CE524">
        <f>$C524*CE523</f>
        <v/>
      </c>
      <c r="CF524">
        <f>$C524*CF523</f>
        <v/>
      </c>
      <c r="CG524">
        <f>$C524*CG523</f>
        <v/>
      </c>
      <c r="CH524">
        <f>$C524*CH523</f>
        <v/>
      </c>
      <c r="CI524">
        <f>$C524*CI523</f>
        <v/>
      </c>
      <c r="CJ524">
        <f>$C524*CJ523</f>
        <v/>
      </c>
      <c r="CK524">
        <f>$C524*CK523</f>
        <v/>
      </c>
      <c r="CL524">
        <f>$C524*CL523</f>
        <v/>
      </c>
      <c r="CM524">
        <f>$C524*CM523</f>
        <v/>
      </c>
      <c r="CN524">
        <f>$C524*CN523</f>
        <v/>
      </c>
      <c r="CO524">
        <f>$C524*CO523</f>
        <v/>
      </c>
      <c r="CP524">
        <f>$C524*CP523</f>
        <v/>
      </c>
      <c r="CQ524">
        <f>$C524*CQ523</f>
        <v/>
      </c>
      <c r="CR524">
        <f>$C524*CR523</f>
        <v/>
      </c>
      <c r="CS524">
        <f>$C524*CS523</f>
        <v/>
      </c>
      <c r="CT524">
        <f>$C524*CT523</f>
        <v/>
      </c>
      <c r="CU524">
        <f>$C524*CU523</f>
        <v/>
      </c>
      <c r="CV524">
        <f>$C524*CV523</f>
        <v/>
      </c>
      <c r="CW524">
        <f>$C524*CW523</f>
        <v/>
      </c>
      <c r="CX524">
        <f>$C524*CX523</f>
        <v/>
      </c>
      <c r="CY524">
        <f>$C524*CY523</f>
        <v/>
      </c>
      <c r="CZ524">
        <f>$C524*CZ523</f>
        <v/>
      </c>
      <c r="DA524">
        <f>$C524*DA523</f>
        <v/>
      </c>
      <c r="DB524">
        <f>$C524*DB523</f>
        <v/>
      </c>
      <c r="DC524">
        <f>$C524*DC523</f>
        <v/>
      </c>
    </row>
    <row r="525">
      <c r="B525" t="inlineStr">
        <is>
          <t>VSP-739</t>
        </is>
      </c>
      <c r="C525" t="inlineStr">
        <is>
          <t>No. of batches</t>
        </is>
      </c>
      <c r="D525">
        <f>IFERROR(INDEX(PP_Grid[#Data],$DD525,2),0)</f>
        <v/>
      </c>
      <c r="E525">
        <f>IFERROR(INDEX(PP_Grid[#Data],$DD525,3),0)</f>
        <v/>
      </c>
      <c r="F525">
        <f>IFERROR(INDEX(PP_Grid[#Data],$DD525,4),0)</f>
        <v/>
      </c>
      <c r="G525">
        <f>IFERROR(INDEX(PP_Grid[#Data],$DD525,5),0)</f>
        <v/>
      </c>
      <c r="H525">
        <f>IFERROR(INDEX(PP_Grid[#Data],$DD525,6),0)</f>
        <v/>
      </c>
      <c r="I525">
        <f>IFERROR(INDEX(PP_Grid[#Data],$DD525,7),0)</f>
        <v/>
      </c>
      <c r="J525">
        <f>IFERROR(INDEX(PP_Grid[#Data],$DD525,8),0)</f>
        <v/>
      </c>
      <c r="K525">
        <f>IFERROR(INDEX(PP_Grid[#Data],$DD525,9),0)</f>
        <v/>
      </c>
      <c r="L525">
        <f>IFERROR(INDEX(PP_Grid[#Data],$DD525,10),0)</f>
        <v/>
      </c>
      <c r="M525">
        <f>IFERROR(INDEX(PP_Grid[#Data],$DD525,11),0)</f>
        <v/>
      </c>
      <c r="N525">
        <f>IFERROR(INDEX(PP_Grid[#Data],$DD525,12),0)</f>
        <v/>
      </c>
      <c r="O525">
        <f>IFERROR(INDEX(PP_Grid[#Data],$DD525,13),0)</f>
        <v/>
      </c>
      <c r="P525">
        <f>IFERROR(INDEX(PP_Grid[#Data],$DD525,14),0)</f>
        <v/>
      </c>
      <c r="Q525">
        <f>IFERROR(INDEX(PP_Grid[#Data],$DD525,15),0)</f>
        <v/>
      </c>
      <c r="R525">
        <f>IFERROR(INDEX(PP_Grid[#Data],$DD525,16),0)</f>
        <v/>
      </c>
      <c r="S525">
        <f>IFERROR(INDEX(PP_Grid[#Data],$DD525,17),0)</f>
        <v/>
      </c>
      <c r="T525">
        <f>IFERROR(INDEX(PP_Grid[#Data],$DD525,18),0)</f>
        <v/>
      </c>
      <c r="U525">
        <f>IFERROR(INDEX(PP_Grid[#Data],$DD525,19),0)</f>
        <v/>
      </c>
      <c r="V525">
        <f>IFERROR(INDEX(PP_Grid[#Data],$DD525,20),0)</f>
        <v/>
      </c>
      <c r="W525">
        <f>IFERROR(INDEX(PP_Grid[#Data],$DD525,21),0)</f>
        <v/>
      </c>
      <c r="X525">
        <f>IFERROR(INDEX(PP_Grid[#Data],$DD525,22),0)</f>
        <v/>
      </c>
      <c r="Y525">
        <f>IFERROR(INDEX(PP_Grid[#Data],$DD525,23),0)</f>
        <v/>
      </c>
      <c r="Z525">
        <f>IFERROR(INDEX(PP_Grid[#Data],$DD525,24),0)</f>
        <v/>
      </c>
      <c r="AA525">
        <f>IFERROR(INDEX(PP_Grid[#Data],$DD525,25),0)</f>
        <v/>
      </c>
      <c r="AB525">
        <f>IFERROR(INDEX(PP_Grid[#Data],$DD525,26),0)</f>
        <v/>
      </c>
      <c r="AC525">
        <f>IFERROR(INDEX(PP_Grid[#Data],$DD525,27),0)</f>
        <v/>
      </c>
      <c r="AD525">
        <f>IFERROR(INDEX(PP_Grid[#Data],$DD525,28),0)</f>
        <v/>
      </c>
      <c r="AE525">
        <f>IFERROR(INDEX(PP_Grid[#Data],$DD525,29),0)</f>
        <v/>
      </c>
      <c r="AF525">
        <f>IFERROR(INDEX(PP_Grid[#Data],$DD525,30),0)</f>
        <v/>
      </c>
      <c r="AG525">
        <f>IFERROR(INDEX(PP_Grid[#Data],$DD525,31),0)</f>
        <v/>
      </c>
      <c r="AH525">
        <f>IFERROR(INDEX(PP_Grid[#Data],$DD525,32),0)</f>
        <v/>
      </c>
      <c r="AI525">
        <f>IFERROR(INDEX(PP_Grid[#Data],$DD525,33),0)</f>
        <v/>
      </c>
      <c r="AJ525">
        <f>IFERROR(INDEX(PP_Grid[#Data],$DD525,34),0)</f>
        <v/>
      </c>
      <c r="AK525">
        <f>IFERROR(INDEX(PP_Grid[#Data],$DD525,35),0)</f>
        <v/>
      </c>
      <c r="AL525">
        <f>IFERROR(INDEX(PP_Grid[#Data],$DD525,36),0)</f>
        <v/>
      </c>
      <c r="AM525">
        <f>IFERROR(INDEX(PP_Grid[#Data],$DD525,37),0)</f>
        <v/>
      </c>
      <c r="AN525">
        <f>IFERROR(INDEX(PP_Grid[#Data],$DD525,38),0)</f>
        <v/>
      </c>
      <c r="AO525">
        <f>IFERROR(INDEX(PP_Grid[#Data],$DD525,39),0)</f>
        <v/>
      </c>
      <c r="AP525">
        <f>IFERROR(INDEX(PP_Grid[#Data],$DD525,40),0)</f>
        <v/>
      </c>
      <c r="AQ525">
        <f>IFERROR(INDEX(PP_Grid[#Data],$DD525,41),0)</f>
        <v/>
      </c>
      <c r="AR525">
        <f>IFERROR(INDEX(PP_Grid[#Data],$DD525,42),0)</f>
        <v/>
      </c>
      <c r="AS525">
        <f>IFERROR(INDEX(PP_Grid[#Data],$DD525,43),0)</f>
        <v/>
      </c>
      <c r="AT525">
        <f>IFERROR(INDEX(PP_Grid[#Data],$DD525,44),0)</f>
        <v/>
      </c>
      <c r="AU525">
        <f>IFERROR(INDEX(PP_Grid[#Data],$DD525,45),0)</f>
        <v/>
      </c>
      <c r="AV525">
        <f>IFERROR(INDEX(PP_Grid[#Data],$DD525,46),0)</f>
        <v/>
      </c>
      <c r="AW525">
        <f>IFERROR(INDEX(PP_Grid[#Data],$DD525,47),0)</f>
        <v/>
      </c>
      <c r="AX525">
        <f>IFERROR(INDEX(PP_Grid[#Data],$DD525,48),0)</f>
        <v/>
      </c>
      <c r="AY525">
        <f>IFERROR(INDEX(PP_Grid[#Data],$DD525,49),0)</f>
        <v/>
      </c>
      <c r="AZ525">
        <f>IFERROR(INDEX(PP_Grid[#Data],$DD525,50),0)</f>
        <v/>
      </c>
      <c r="BA525">
        <f>IFERROR(INDEX(PP_Grid[#Data],$DD525,51),0)</f>
        <v/>
      </c>
      <c r="BB525">
        <f>IFERROR(INDEX(PP_Grid[#Data],$DD525,52),0)</f>
        <v/>
      </c>
      <c r="BC525">
        <f>IFERROR(INDEX(PP_Grid[#Data],$DD525,53),0)</f>
        <v/>
      </c>
      <c r="BD525">
        <f>IFERROR(INDEX(PP_Grid[#Data],$DD525,54),0)</f>
        <v/>
      </c>
      <c r="BE525">
        <f>IFERROR(INDEX(PP_Grid[#Data],$DD525,55),0)</f>
        <v/>
      </c>
      <c r="BF525">
        <f>IFERROR(INDEX(PP_Grid[#Data],$DD525,56),0)</f>
        <v/>
      </c>
      <c r="BG525">
        <f>IFERROR(INDEX(PP_Grid[#Data],$DD525,57),0)</f>
        <v/>
      </c>
      <c r="BH525">
        <f>IFERROR(INDEX(PP_Grid[#Data],$DD525,58),0)</f>
        <v/>
      </c>
      <c r="BI525">
        <f>IFERROR(INDEX(PP_Grid[#Data],$DD525,59),0)</f>
        <v/>
      </c>
      <c r="BJ525">
        <f>IFERROR(INDEX(PP_Grid[#Data],$DD525,60),0)</f>
        <v/>
      </c>
      <c r="BK525">
        <f>IFERROR(INDEX(PP_Grid[#Data],$DD525,61),0)</f>
        <v/>
      </c>
      <c r="BL525">
        <f>IFERROR(INDEX(PP_Grid[#Data],$DD525,62),0)</f>
        <v/>
      </c>
      <c r="BM525">
        <f>IFERROR(INDEX(PP_Grid[#Data],$DD525,63),0)</f>
        <v/>
      </c>
      <c r="BN525">
        <f>IFERROR(INDEX(PP_Grid[#Data],$DD525,64),0)</f>
        <v/>
      </c>
      <c r="BO525">
        <f>IFERROR(INDEX(PP_Grid[#Data],$DD525,65),0)</f>
        <v/>
      </c>
      <c r="BP525">
        <f>IFERROR(INDEX(PP_Grid[#Data],$DD525,66),0)</f>
        <v/>
      </c>
      <c r="BQ525">
        <f>IFERROR(INDEX(PP_Grid[#Data],$DD525,67),0)</f>
        <v/>
      </c>
      <c r="BR525">
        <f>IFERROR(INDEX(PP_Grid[#Data],$DD525,68),0)</f>
        <v/>
      </c>
      <c r="BS525">
        <f>IFERROR(INDEX(PP_Grid[#Data],$DD525,69),0)</f>
        <v/>
      </c>
      <c r="BT525">
        <f>IFERROR(INDEX(PP_Grid[#Data],$DD525,70),0)</f>
        <v/>
      </c>
      <c r="BU525">
        <f>IFERROR(INDEX(PP_Grid[#Data],$DD525,71),0)</f>
        <v/>
      </c>
      <c r="BV525">
        <f>IFERROR(INDEX(PP_Grid[#Data],$DD525,72),0)</f>
        <v/>
      </c>
      <c r="BW525">
        <f>IFERROR(INDEX(PP_Grid[#Data],$DD525,73),0)</f>
        <v/>
      </c>
      <c r="BX525">
        <f>IFERROR(INDEX(PP_Grid[#Data],$DD525,74),0)</f>
        <v/>
      </c>
      <c r="BY525">
        <f>IFERROR(INDEX(PP_Grid[#Data],$DD525,75),0)</f>
        <v/>
      </c>
      <c r="BZ525">
        <f>IFERROR(INDEX(PP_Grid[#Data],$DD525,76),0)</f>
        <v/>
      </c>
      <c r="CA525">
        <f>IFERROR(INDEX(PP_Grid[#Data],$DD525,77),0)</f>
        <v/>
      </c>
      <c r="CB525">
        <f>IFERROR(INDEX(PP_Grid[#Data],$DD525,78),0)</f>
        <v/>
      </c>
      <c r="CC525">
        <f>IFERROR(INDEX(PP_Grid[#Data],$DD525,79),0)</f>
        <v/>
      </c>
      <c r="CD525">
        <f>IFERROR(INDEX(PP_Grid[#Data],$DD525,80),0)</f>
        <v/>
      </c>
      <c r="CE525">
        <f>IFERROR(INDEX(PP_Grid[#Data],$DD525,81),0)</f>
        <v/>
      </c>
      <c r="CF525">
        <f>IFERROR(INDEX(PP_Grid[#Data],$DD525,82),0)</f>
        <v/>
      </c>
      <c r="CG525">
        <f>IFERROR(INDEX(PP_Grid[#Data],$DD525,83),0)</f>
        <v/>
      </c>
      <c r="CH525">
        <f>IFERROR(INDEX(PP_Grid[#Data],$DD525,84),0)</f>
        <v/>
      </c>
      <c r="CI525">
        <f>IFERROR(INDEX(PP_Grid[#Data],$DD525,85),0)</f>
        <v/>
      </c>
      <c r="CJ525">
        <f>IFERROR(INDEX(PP_Grid[#Data],$DD525,86),0)</f>
        <v/>
      </c>
      <c r="CK525">
        <f>IFERROR(INDEX(PP_Grid[#Data],$DD525,87),0)</f>
        <v/>
      </c>
      <c r="CL525">
        <f>IFERROR(INDEX(PP_Grid[#Data],$DD525,88),0)</f>
        <v/>
      </c>
      <c r="CM525">
        <f>IFERROR(INDEX(PP_Grid[#Data],$DD525,89),0)</f>
        <v/>
      </c>
      <c r="CN525">
        <f>IFERROR(INDEX(PP_Grid[#Data],$DD525,90),0)</f>
        <v/>
      </c>
      <c r="CO525">
        <f>IFERROR(INDEX(PP_Grid[#Data],$DD525,91),0)</f>
        <v/>
      </c>
      <c r="CP525">
        <f>IFERROR(INDEX(PP_Grid[#Data],$DD525,92),0)</f>
        <v/>
      </c>
      <c r="CQ525">
        <f>IFERROR(INDEX(PP_Grid[#Data],$DD525,93),0)</f>
        <v/>
      </c>
      <c r="CR525">
        <f>IFERROR(INDEX(PP_Grid[#Data],$DD525,94),0)</f>
        <v/>
      </c>
      <c r="CS525">
        <f>IFERROR(INDEX(PP_Grid[#Data],$DD525,95),0)</f>
        <v/>
      </c>
      <c r="CT525">
        <f>IFERROR(INDEX(PP_Grid[#Data],$DD525,96),0)</f>
        <v/>
      </c>
      <c r="CU525">
        <f>IFERROR(INDEX(PP_Grid[#Data],$DD525,97),0)</f>
        <v/>
      </c>
      <c r="CV525">
        <f>IFERROR(INDEX(PP_Grid[#Data],$DD525,98),0)</f>
        <v/>
      </c>
      <c r="CW525">
        <f>IFERROR(INDEX(PP_Grid[#Data],$DD525,99),0)</f>
        <v/>
      </c>
      <c r="CX525">
        <f>IFERROR(INDEX(PP_Grid[#Data],$DD525,100),0)</f>
        <v/>
      </c>
      <c r="CY525">
        <f>IFERROR(INDEX(PP_Grid[#Data],$DD525,101),0)</f>
        <v/>
      </c>
      <c r="CZ525">
        <f>IFERROR(INDEX(PP_Grid[#Data],$DD525,102),0)</f>
        <v/>
      </c>
      <c r="DA525">
        <f>IFERROR(INDEX(PP_Grid[#Data],$DD525,103),0)</f>
        <v/>
      </c>
      <c r="DB525">
        <f>IFERROR(INDEX(PP_Grid[#Data],$DD525,104),0)</f>
        <v/>
      </c>
      <c r="DC525">
        <f>IFERROR(INDEX(PP_Grid[#Data],$DD525,105),0)</f>
        <v/>
      </c>
      <c r="DD525" s="7">
        <f>IFERROR(MATCH($B525,PP_Grid[Intermediate],0),99999)</f>
        <v/>
      </c>
    </row>
    <row r="526">
      <c r="B526" t="inlineStr">
        <is>
          <t>使用量(kg)</t>
        </is>
      </c>
      <c r="C526">
        <f>SUMIFS(M_BOM[RM_Qty_Per_Batch],M_BOM[Intermediate],$B525,M_BOM[Part Name],$A500)</f>
        <v/>
      </c>
      <c r="D526">
        <f>$C526*D525</f>
        <v/>
      </c>
      <c r="E526">
        <f>$C526*E525</f>
        <v/>
      </c>
      <c r="F526">
        <f>$C526*F525</f>
        <v/>
      </c>
      <c r="G526">
        <f>$C526*G525</f>
        <v/>
      </c>
      <c r="H526">
        <f>$C526*H525</f>
        <v/>
      </c>
      <c r="I526">
        <f>$C526*I525</f>
        <v/>
      </c>
      <c r="J526">
        <f>$C526*J525</f>
        <v/>
      </c>
      <c r="K526">
        <f>$C526*K525</f>
        <v/>
      </c>
      <c r="L526">
        <f>$C526*L525</f>
        <v/>
      </c>
      <c r="M526">
        <f>$C526*M525</f>
        <v/>
      </c>
      <c r="N526">
        <f>$C526*N525</f>
        <v/>
      </c>
      <c r="O526">
        <f>$C526*O525</f>
        <v/>
      </c>
      <c r="P526">
        <f>$C526*P525</f>
        <v/>
      </c>
      <c r="Q526">
        <f>$C526*Q525</f>
        <v/>
      </c>
      <c r="R526">
        <f>$C526*R525</f>
        <v/>
      </c>
      <c r="S526">
        <f>$C526*S525</f>
        <v/>
      </c>
      <c r="T526">
        <f>$C526*T525</f>
        <v/>
      </c>
      <c r="U526">
        <f>$C526*U525</f>
        <v/>
      </c>
      <c r="V526">
        <f>$C526*V525</f>
        <v/>
      </c>
      <c r="W526">
        <f>$C526*W525</f>
        <v/>
      </c>
      <c r="X526">
        <f>$C526*X525</f>
        <v/>
      </c>
      <c r="Y526">
        <f>$C526*Y525</f>
        <v/>
      </c>
      <c r="Z526">
        <f>$C526*Z525</f>
        <v/>
      </c>
      <c r="AA526">
        <f>$C526*AA525</f>
        <v/>
      </c>
      <c r="AB526">
        <f>$C526*AB525</f>
        <v/>
      </c>
      <c r="AC526">
        <f>$C526*AC525</f>
        <v/>
      </c>
      <c r="AD526">
        <f>$C526*AD525</f>
        <v/>
      </c>
      <c r="AE526">
        <f>$C526*AE525</f>
        <v/>
      </c>
      <c r="AF526">
        <f>$C526*AF525</f>
        <v/>
      </c>
      <c r="AG526">
        <f>$C526*AG525</f>
        <v/>
      </c>
      <c r="AH526">
        <f>$C526*AH525</f>
        <v/>
      </c>
      <c r="AI526">
        <f>$C526*AI525</f>
        <v/>
      </c>
      <c r="AJ526">
        <f>$C526*AJ525</f>
        <v/>
      </c>
      <c r="AK526">
        <f>$C526*AK525</f>
        <v/>
      </c>
      <c r="AL526">
        <f>$C526*AL525</f>
        <v/>
      </c>
      <c r="AM526">
        <f>$C526*AM525</f>
        <v/>
      </c>
      <c r="AN526">
        <f>$C526*AN525</f>
        <v/>
      </c>
      <c r="AO526">
        <f>$C526*AO525</f>
        <v/>
      </c>
      <c r="AP526">
        <f>$C526*AP525</f>
        <v/>
      </c>
      <c r="AQ526">
        <f>$C526*AQ525</f>
        <v/>
      </c>
      <c r="AR526">
        <f>$C526*AR525</f>
        <v/>
      </c>
      <c r="AS526">
        <f>$C526*AS525</f>
        <v/>
      </c>
      <c r="AT526">
        <f>$C526*AT525</f>
        <v/>
      </c>
      <c r="AU526">
        <f>$C526*AU525</f>
        <v/>
      </c>
      <c r="AV526">
        <f>$C526*AV525</f>
        <v/>
      </c>
      <c r="AW526">
        <f>$C526*AW525</f>
        <v/>
      </c>
      <c r="AX526">
        <f>$C526*AX525</f>
        <v/>
      </c>
      <c r="AY526">
        <f>$C526*AY525</f>
        <v/>
      </c>
      <c r="AZ526">
        <f>$C526*AZ525</f>
        <v/>
      </c>
      <c r="BA526">
        <f>$C526*BA525</f>
        <v/>
      </c>
      <c r="BB526">
        <f>$C526*BB525</f>
        <v/>
      </c>
      <c r="BC526">
        <f>$C526*BC525</f>
        <v/>
      </c>
      <c r="BD526">
        <f>$C526*BD525</f>
        <v/>
      </c>
      <c r="BE526">
        <f>$C526*BE525</f>
        <v/>
      </c>
      <c r="BF526">
        <f>$C526*BF525</f>
        <v/>
      </c>
      <c r="BG526">
        <f>$C526*BG525</f>
        <v/>
      </c>
      <c r="BH526">
        <f>$C526*BH525</f>
        <v/>
      </c>
      <c r="BI526">
        <f>$C526*BI525</f>
        <v/>
      </c>
      <c r="BJ526">
        <f>$C526*BJ525</f>
        <v/>
      </c>
      <c r="BK526">
        <f>$C526*BK525</f>
        <v/>
      </c>
      <c r="BL526">
        <f>$C526*BL525</f>
        <v/>
      </c>
      <c r="BM526">
        <f>$C526*BM525</f>
        <v/>
      </c>
      <c r="BN526">
        <f>$C526*BN525</f>
        <v/>
      </c>
      <c r="BO526">
        <f>$C526*BO525</f>
        <v/>
      </c>
      <c r="BP526">
        <f>$C526*BP525</f>
        <v/>
      </c>
      <c r="BQ526">
        <f>$C526*BQ525</f>
        <v/>
      </c>
      <c r="BR526">
        <f>$C526*BR525</f>
        <v/>
      </c>
      <c r="BS526">
        <f>$C526*BS525</f>
        <v/>
      </c>
      <c r="BT526">
        <f>$C526*BT525</f>
        <v/>
      </c>
      <c r="BU526">
        <f>$C526*BU525</f>
        <v/>
      </c>
      <c r="BV526">
        <f>$C526*BV525</f>
        <v/>
      </c>
      <c r="BW526">
        <f>$C526*BW525</f>
        <v/>
      </c>
      <c r="BX526">
        <f>$C526*BX525</f>
        <v/>
      </c>
      <c r="BY526">
        <f>$C526*BY525</f>
        <v/>
      </c>
      <c r="BZ526">
        <f>$C526*BZ525</f>
        <v/>
      </c>
      <c r="CA526">
        <f>$C526*CA525</f>
        <v/>
      </c>
      <c r="CB526">
        <f>$C526*CB525</f>
        <v/>
      </c>
      <c r="CC526">
        <f>$C526*CC525</f>
        <v/>
      </c>
      <c r="CD526">
        <f>$C526*CD525</f>
        <v/>
      </c>
      <c r="CE526">
        <f>$C526*CE525</f>
        <v/>
      </c>
      <c r="CF526">
        <f>$C526*CF525</f>
        <v/>
      </c>
      <c r="CG526">
        <f>$C526*CG525</f>
        <v/>
      </c>
      <c r="CH526">
        <f>$C526*CH525</f>
        <v/>
      </c>
      <c r="CI526">
        <f>$C526*CI525</f>
        <v/>
      </c>
      <c r="CJ526">
        <f>$C526*CJ525</f>
        <v/>
      </c>
      <c r="CK526">
        <f>$C526*CK525</f>
        <v/>
      </c>
      <c r="CL526">
        <f>$C526*CL525</f>
        <v/>
      </c>
      <c r="CM526">
        <f>$C526*CM525</f>
        <v/>
      </c>
      <c r="CN526">
        <f>$C526*CN525</f>
        <v/>
      </c>
      <c r="CO526">
        <f>$C526*CO525</f>
        <v/>
      </c>
      <c r="CP526">
        <f>$C526*CP525</f>
        <v/>
      </c>
      <c r="CQ526">
        <f>$C526*CQ525</f>
        <v/>
      </c>
      <c r="CR526">
        <f>$C526*CR525</f>
        <v/>
      </c>
      <c r="CS526">
        <f>$C526*CS525</f>
        <v/>
      </c>
      <c r="CT526">
        <f>$C526*CT525</f>
        <v/>
      </c>
      <c r="CU526">
        <f>$C526*CU525</f>
        <v/>
      </c>
      <c r="CV526">
        <f>$C526*CV525</f>
        <v/>
      </c>
      <c r="CW526">
        <f>$C526*CW525</f>
        <v/>
      </c>
      <c r="CX526">
        <f>$C526*CX525</f>
        <v/>
      </c>
      <c r="CY526">
        <f>$C526*CY525</f>
        <v/>
      </c>
      <c r="CZ526">
        <f>$C526*CZ525</f>
        <v/>
      </c>
      <c r="DA526">
        <f>$C526*DA525</f>
        <v/>
      </c>
      <c r="DB526">
        <f>$C526*DB525</f>
        <v/>
      </c>
      <c r="DC526">
        <f>$C526*DC525</f>
        <v/>
      </c>
    </row>
    <row r="527">
      <c r="B527" t="inlineStr">
        <is>
          <t>VSP-820</t>
        </is>
      </c>
      <c r="C527" t="inlineStr">
        <is>
          <t>No. of batches</t>
        </is>
      </c>
      <c r="D527">
        <f>IFERROR(INDEX(PP_Grid[#Data],$DD527,2),0)</f>
        <v/>
      </c>
      <c r="E527">
        <f>IFERROR(INDEX(PP_Grid[#Data],$DD527,3),0)</f>
        <v/>
      </c>
      <c r="F527">
        <f>IFERROR(INDEX(PP_Grid[#Data],$DD527,4),0)</f>
        <v/>
      </c>
      <c r="G527">
        <f>IFERROR(INDEX(PP_Grid[#Data],$DD527,5),0)</f>
        <v/>
      </c>
      <c r="H527">
        <f>IFERROR(INDEX(PP_Grid[#Data],$DD527,6),0)</f>
        <v/>
      </c>
      <c r="I527">
        <f>IFERROR(INDEX(PP_Grid[#Data],$DD527,7),0)</f>
        <v/>
      </c>
      <c r="J527">
        <f>IFERROR(INDEX(PP_Grid[#Data],$DD527,8),0)</f>
        <v/>
      </c>
      <c r="K527">
        <f>IFERROR(INDEX(PP_Grid[#Data],$DD527,9),0)</f>
        <v/>
      </c>
      <c r="L527">
        <f>IFERROR(INDEX(PP_Grid[#Data],$DD527,10),0)</f>
        <v/>
      </c>
      <c r="M527">
        <f>IFERROR(INDEX(PP_Grid[#Data],$DD527,11),0)</f>
        <v/>
      </c>
      <c r="N527">
        <f>IFERROR(INDEX(PP_Grid[#Data],$DD527,12),0)</f>
        <v/>
      </c>
      <c r="O527">
        <f>IFERROR(INDEX(PP_Grid[#Data],$DD527,13),0)</f>
        <v/>
      </c>
      <c r="P527">
        <f>IFERROR(INDEX(PP_Grid[#Data],$DD527,14),0)</f>
        <v/>
      </c>
      <c r="Q527">
        <f>IFERROR(INDEX(PP_Grid[#Data],$DD527,15),0)</f>
        <v/>
      </c>
      <c r="R527">
        <f>IFERROR(INDEX(PP_Grid[#Data],$DD527,16),0)</f>
        <v/>
      </c>
      <c r="S527">
        <f>IFERROR(INDEX(PP_Grid[#Data],$DD527,17),0)</f>
        <v/>
      </c>
      <c r="T527">
        <f>IFERROR(INDEX(PP_Grid[#Data],$DD527,18),0)</f>
        <v/>
      </c>
      <c r="U527">
        <f>IFERROR(INDEX(PP_Grid[#Data],$DD527,19),0)</f>
        <v/>
      </c>
      <c r="V527">
        <f>IFERROR(INDEX(PP_Grid[#Data],$DD527,20),0)</f>
        <v/>
      </c>
      <c r="W527">
        <f>IFERROR(INDEX(PP_Grid[#Data],$DD527,21),0)</f>
        <v/>
      </c>
      <c r="X527">
        <f>IFERROR(INDEX(PP_Grid[#Data],$DD527,22),0)</f>
        <v/>
      </c>
      <c r="Y527">
        <f>IFERROR(INDEX(PP_Grid[#Data],$DD527,23),0)</f>
        <v/>
      </c>
      <c r="Z527">
        <f>IFERROR(INDEX(PP_Grid[#Data],$DD527,24),0)</f>
        <v/>
      </c>
      <c r="AA527">
        <f>IFERROR(INDEX(PP_Grid[#Data],$DD527,25),0)</f>
        <v/>
      </c>
      <c r="AB527">
        <f>IFERROR(INDEX(PP_Grid[#Data],$DD527,26),0)</f>
        <v/>
      </c>
      <c r="AC527">
        <f>IFERROR(INDEX(PP_Grid[#Data],$DD527,27),0)</f>
        <v/>
      </c>
      <c r="AD527">
        <f>IFERROR(INDEX(PP_Grid[#Data],$DD527,28),0)</f>
        <v/>
      </c>
      <c r="AE527">
        <f>IFERROR(INDEX(PP_Grid[#Data],$DD527,29),0)</f>
        <v/>
      </c>
      <c r="AF527">
        <f>IFERROR(INDEX(PP_Grid[#Data],$DD527,30),0)</f>
        <v/>
      </c>
      <c r="AG527">
        <f>IFERROR(INDEX(PP_Grid[#Data],$DD527,31),0)</f>
        <v/>
      </c>
      <c r="AH527">
        <f>IFERROR(INDEX(PP_Grid[#Data],$DD527,32),0)</f>
        <v/>
      </c>
      <c r="AI527">
        <f>IFERROR(INDEX(PP_Grid[#Data],$DD527,33),0)</f>
        <v/>
      </c>
      <c r="AJ527">
        <f>IFERROR(INDEX(PP_Grid[#Data],$DD527,34),0)</f>
        <v/>
      </c>
      <c r="AK527">
        <f>IFERROR(INDEX(PP_Grid[#Data],$DD527,35),0)</f>
        <v/>
      </c>
      <c r="AL527">
        <f>IFERROR(INDEX(PP_Grid[#Data],$DD527,36),0)</f>
        <v/>
      </c>
      <c r="AM527">
        <f>IFERROR(INDEX(PP_Grid[#Data],$DD527,37),0)</f>
        <v/>
      </c>
      <c r="AN527">
        <f>IFERROR(INDEX(PP_Grid[#Data],$DD527,38),0)</f>
        <v/>
      </c>
      <c r="AO527">
        <f>IFERROR(INDEX(PP_Grid[#Data],$DD527,39),0)</f>
        <v/>
      </c>
      <c r="AP527">
        <f>IFERROR(INDEX(PP_Grid[#Data],$DD527,40),0)</f>
        <v/>
      </c>
      <c r="AQ527">
        <f>IFERROR(INDEX(PP_Grid[#Data],$DD527,41),0)</f>
        <v/>
      </c>
      <c r="AR527">
        <f>IFERROR(INDEX(PP_Grid[#Data],$DD527,42),0)</f>
        <v/>
      </c>
      <c r="AS527">
        <f>IFERROR(INDEX(PP_Grid[#Data],$DD527,43),0)</f>
        <v/>
      </c>
      <c r="AT527">
        <f>IFERROR(INDEX(PP_Grid[#Data],$DD527,44),0)</f>
        <v/>
      </c>
      <c r="AU527">
        <f>IFERROR(INDEX(PP_Grid[#Data],$DD527,45),0)</f>
        <v/>
      </c>
      <c r="AV527">
        <f>IFERROR(INDEX(PP_Grid[#Data],$DD527,46),0)</f>
        <v/>
      </c>
      <c r="AW527">
        <f>IFERROR(INDEX(PP_Grid[#Data],$DD527,47),0)</f>
        <v/>
      </c>
      <c r="AX527">
        <f>IFERROR(INDEX(PP_Grid[#Data],$DD527,48),0)</f>
        <v/>
      </c>
      <c r="AY527">
        <f>IFERROR(INDEX(PP_Grid[#Data],$DD527,49),0)</f>
        <v/>
      </c>
      <c r="AZ527">
        <f>IFERROR(INDEX(PP_Grid[#Data],$DD527,50),0)</f>
        <v/>
      </c>
      <c r="BA527">
        <f>IFERROR(INDEX(PP_Grid[#Data],$DD527,51),0)</f>
        <v/>
      </c>
      <c r="BB527">
        <f>IFERROR(INDEX(PP_Grid[#Data],$DD527,52),0)</f>
        <v/>
      </c>
      <c r="BC527">
        <f>IFERROR(INDEX(PP_Grid[#Data],$DD527,53),0)</f>
        <v/>
      </c>
      <c r="BD527">
        <f>IFERROR(INDEX(PP_Grid[#Data],$DD527,54),0)</f>
        <v/>
      </c>
      <c r="BE527">
        <f>IFERROR(INDEX(PP_Grid[#Data],$DD527,55),0)</f>
        <v/>
      </c>
      <c r="BF527">
        <f>IFERROR(INDEX(PP_Grid[#Data],$DD527,56),0)</f>
        <v/>
      </c>
      <c r="BG527">
        <f>IFERROR(INDEX(PP_Grid[#Data],$DD527,57),0)</f>
        <v/>
      </c>
      <c r="BH527">
        <f>IFERROR(INDEX(PP_Grid[#Data],$DD527,58),0)</f>
        <v/>
      </c>
      <c r="BI527">
        <f>IFERROR(INDEX(PP_Grid[#Data],$DD527,59),0)</f>
        <v/>
      </c>
      <c r="BJ527">
        <f>IFERROR(INDEX(PP_Grid[#Data],$DD527,60),0)</f>
        <v/>
      </c>
      <c r="BK527">
        <f>IFERROR(INDEX(PP_Grid[#Data],$DD527,61),0)</f>
        <v/>
      </c>
      <c r="BL527">
        <f>IFERROR(INDEX(PP_Grid[#Data],$DD527,62),0)</f>
        <v/>
      </c>
      <c r="BM527">
        <f>IFERROR(INDEX(PP_Grid[#Data],$DD527,63),0)</f>
        <v/>
      </c>
      <c r="BN527">
        <f>IFERROR(INDEX(PP_Grid[#Data],$DD527,64),0)</f>
        <v/>
      </c>
      <c r="BO527">
        <f>IFERROR(INDEX(PP_Grid[#Data],$DD527,65),0)</f>
        <v/>
      </c>
      <c r="BP527">
        <f>IFERROR(INDEX(PP_Grid[#Data],$DD527,66),0)</f>
        <v/>
      </c>
      <c r="BQ527">
        <f>IFERROR(INDEX(PP_Grid[#Data],$DD527,67),0)</f>
        <v/>
      </c>
      <c r="BR527">
        <f>IFERROR(INDEX(PP_Grid[#Data],$DD527,68),0)</f>
        <v/>
      </c>
      <c r="BS527">
        <f>IFERROR(INDEX(PP_Grid[#Data],$DD527,69),0)</f>
        <v/>
      </c>
      <c r="BT527">
        <f>IFERROR(INDEX(PP_Grid[#Data],$DD527,70),0)</f>
        <v/>
      </c>
      <c r="BU527">
        <f>IFERROR(INDEX(PP_Grid[#Data],$DD527,71),0)</f>
        <v/>
      </c>
      <c r="BV527">
        <f>IFERROR(INDEX(PP_Grid[#Data],$DD527,72),0)</f>
        <v/>
      </c>
      <c r="BW527">
        <f>IFERROR(INDEX(PP_Grid[#Data],$DD527,73),0)</f>
        <v/>
      </c>
      <c r="BX527">
        <f>IFERROR(INDEX(PP_Grid[#Data],$DD527,74),0)</f>
        <v/>
      </c>
      <c r="BY527">
        <f>IFERROR(INDEX(PP_Grid[#Data],$DD527,75),0)</f>
        <v/>
      </c>
      <c r="BZ527">
        <f>IFERROR(INDEX(PP_Grid[#Data],$DD527,76),0)</f>
        <v/>
      </c>
      <c r="CA527">
        <f>IFERROR(INDEX(PP_Grid[#Data],$DD527,77),0)</f>
        <v/>
      </c>
      <c r="CB527">
        <f>IFERROR(INDEX(PP_Grid[#Data],$DD527,78),0)</f>
        <v/>
      </c>
      <c r="CC527">
        <f>IFERROR(INDEX(PP_Grid[#Data],$DD527,79),0)</f>
        <v/>
      </c>
      <c r="CD527">
        <f>IFERROR(INDEX(PP_Grid[#Data],$DD527,80),0)</f>
        <v/>
      </c>
      <c r="CE527">
        <f>IFERROR(INDEX(PP_Grid[#Data],$DD527,81),0)</f>
        <v/>
      </c>
      <c r="CF527">
        <f>IFERROR(INDEX(PP_Grid[#Data],$DD527,82),0)</f>
        <v/>
      </c>
      <c r="CG527">
        <f>IFERROR(INDEX(PP_Grid[#Data],$DD527,83),0)</f>
        <v/>
      </c>
      <c r="CH527">
        <f>IFERROR(INDEX(PP_Grid[#Data],$DD527,84),0)</f>
        <v/>
      </c>
      <c r="CI527">
        <f>IFERROR(INDEX(PP_Grid[#Data],$DD527,85),0)</f>
        <v/>
      </c>
      <c r="CJ527">
        <f>IFERROR(INDEX(PP_Grid[#Data],$DD527,86),0)</f>
        <v/>
      </c>
      <c r="CK527">
        <f>IFERROR(INDEX(PP_Grid[#Data],$DD527,87),0)</f>
        <v/>
      </c>
      <c r="CL527">
        <f>IFERROR(INDEX(PP_Grid[#Data],$DD527,88),0)</f>
        <v/>
      </c>
      <c r="CM527">
        <f>IFERROR(INDEX(PP_Grid[#Data],$DD527,89),0)</f>
        <v/>
      </c>
      <c r="CN527">
        <f>IFERROR(INDEX(PP_Grid[#Data],$DD527,90),0)</f>
        <v/>
      </c>
      <c r="CO527">
        <f>IFERROR(INDEX(PP_Grid[#Data],$DD527,91),0)</f>
        <v/>
      </c>
      <c r="CP527">
        <f>IFERROR(INDEX(PP_Grid[#Data],$DD527,92),0)</f>
        <v/>
      </c>
      <c r="CQ527">
        <f>IFERROR(INDEX(PP_Grid[#Data],$DD527,93),0)</f>
        <v/>
      </c>
      <c r="CR527">
        <f>IFERROR(INDEX(PP_Grid[#Data],$DD527,94),0)</f>
        <v/>
      </c>
      <c r="CS527">
        <f>IFERROR(INDEX(PP_Grid[#Data],$DD527,95),0)</f>
        <v/>
      </c>
      <c r="CT527">
        <f>IFERROR(INDEX(PP_Grid[#Data],$DD527,96),0)</f>
        <v/>
      </c>
      <c r="CU527">
        <f>IFERROR(INDEX(PP_Grid[#Data],$DD527,97),0)</f>
        <v/>
      </c>
      <c r="CV527">
        <f>IFERROR(INDEX(PP_Grid[#Data],$DD527,98),0)</f>
        <v/>
      </c>
      <c r="CW527">
        <f>IFERROR(INDEX(PP_Grid[#Data],$DD527,99),0)</f>
        <v/>
      </c>
      <c r="CX527">
        <f>IFERROR(INDEX(PP_Grid[#Data],$DD527,100),0)</f>
        <v/>
      </c>
      <c r="CY527">
        <f>IFERROR(INDEX(PP_Grid[#Data],$DD527,101),0)</f>
        <v/>
      </c>
      <c r="CZ527">
        <f>IFERROR(INDEX(PP_Grid[#Data],$DD527,102),0)</f>
        <v/>
      </c>
      <c r="DA527">
        <f>IFERROR(INDEX(PP_Grid[#Data],$DD527,103),0)</f>
        <v/>
      </c>
      <c r="DB527">
        <f>IFERROR(INDEX(PP_Grid[#Data],$DD527,104),0)</f>
        <v/>
      </c>
      <c r="DC527">
        <f>IFERROR(INDEX(PP_Grid[#Data],$DD527,105),0)</f>
        <v/>
      </c>
      <c r="DD527" s="7">
        <f>IFERROR(MATCH($B527,PP_Grid[Intermediate],0),99999)</f>
        <v/>
      </c>
    </row>
    <row r="528">
      <c r="B528" t="inlineStr">
        <is>
          <t>使用量(kg)</t>
        </is>
      </c>
      <c r="C528">
        <f>SUMIFS(M_BOM[RM_Qty_Per_Batch],M_BOM[Intermediate],$B527,M_BOM[Part Name],$A500)</f>
        <v/>
      </c>
      <c r="D528">
        <f>$C528*D527</f>
        <v/>
      </c>
      <c r="E528">
        <f>$C528*E527</f>
        <v/>
      </c>
      <c r="F528">
        <f>$C528*F527</f>
        <v/>
      </c>
      <c r="G528">
        <f>$C528*G527</f>
        <v/>
      </c>
      <c r="H528">
        <f>$C528*H527</f>
        <v/>
      </c>
      <c r="I528">
        <f>$C528*I527</f>
        <v/>
      </c>
      <c r="J528">
        <f>$C528*J527</f>
        <v/>
      </c>
      <c r="K528">
        <f>$C528*K527</f>
        <v/>
      </c>
      <c r="L528">
        <f>$C528*L527</f>
        <v/>
      </c>
      <c r="M528">
        <f>$C528*M527</f>
        <v/>
      </c>
      <c r="N528">
        <f>$C528*N527</f>
        <v/>
      </c>
      <c r="O528">
        <f>$C528*O527</f>
        <v/>
      </c>
      <c r="P528">
        <f>$C528*P527</f>
        <v/>
      </c>
      <c r="Q528">
        <f>$C528*Q527</f>
        <v/>
      </c>
      <c r="R528">
        <f>$C528*R527</f>
        <v/>
      </c>
      <c r="S528">
        <f>$C528*S527</f>
        <v/>
      </c>
      <c r="T528">
        <f>$C528*T527</f>
        <v/>
      </c>
      <c r="U528">
        <f>$C528*U527</f>
        <v/>
      </c>
      <c r="V528">
        <f>$C528*V527</f>
        <v/>
      </c>
      <c r="W528">
        <f>$C528*W527</f>
        <v/>
      </c>
      <c r="X528">
        <f>$C528*X527</f>
        <v/>
      </c>
      <c r="Y528">
        <f>$C528*Y527</f>
        <v/>
      </c>
      <c r="Z528">
        <f>$C528*Z527</f>
        <v/>
      </c>
      <c r="AA528">
        <f>$C528*AA527</f>
        <v/>
      </c>
      <c r="AB528">
        <f>$C528*AB527</f>
        <v/>
      </c>
      <c r="AC528">
        <f>$C528*AC527</f>
        <v/>
      </c>
      <c r="AD528">
        <f>$C528*AD527</f>
        <v/>
      </c>
      <c r="AE528">
        <f>$C528*AE527</f>
        <v/>
      </c>
      <c r="AF528">
        <f>$C528*AF527</f>
        <v/>
      </c>
      <c r="AG528">
        <f>$C528*AG527</f>
        <v/>
      </c>
      <c r="AH528">
        <f>$C528*AH527</f>
        <v/>
      </c>
      <c r="AI528">
        <f>$C528*AI527</f>
        <v/>
      </c>
      <c r="AJ528">
        <f>$C528*AJ527</f>
        <v/>
      </c>
      <c r="AK528">
        <f>$C528*AK527</f>
        <v/>
      </c>
      <c r="AL528">
        <f>$C528*AL527</f>
        <v/>
      </c>
      <c r="AM528">
        <f>$C528*AM527</f>
        <v/>
      </c>
      <c r="AN528">
        <f>$C528*AN527</f>
        <v/>
      </c>
      <c r="AO528">
        <f>$C528*AO527</f>
        <v/>
      </c>
      <c r="AP528">
        <f>$C528*AP527</f>
        <v/>
      </c>
      <c r="AQ528">
        <f>$C528*AQ527</f>
        <v/>
      </c>
      <c r="AR528">
        <f>$C528*AR527</f>
        <v/>
      </c>
      <c r="AS528">
        <f>$C528*AS527</f>
        <v/>
      </c>
      <c r="AT528">
        <f>$C528*AT527</f>
        <v/>
      </c>
      <c r="AU528">
        <f>$C528*AU527</f>
        <v/>
      </c>
      <c r="AV528">
        <f>$C528*AV527</f>
        <v/>
      </c>
      <c r="AW528">
        <f>$C528*AW527</f>
        <v/>
      </c>
      <c r="AX528">
        <f>$C528*AX527</f>
        <v/>
      </c>
      <c r="AY528">
        <f>$C528*AY527</f>
        <v/>
      </c>
      <c r="AZ528">
        <f>$C528*AZ527</f>
        <v/>
      </c>
      <c r="BA528">
        <f>$C528*BA527</f>
        <v/>
      </c>
      <c r="BB528">
        <f>$C528*BB527</f>
        <v/>
      </c>
      <c r="BC528">
        <f>$C528*BC527</f>
        <v/>
      </c>
      <c r="BD528">
        <f>$C528*BD527</f>
        <v/>
      </c>
      <c r="BE528">
        <f>$C528*BE527</f>
        <v/>
      </c>
      <c r="BF528">
        <f>$C528*BF527</f>
        <v/>
      </c>
      <c r="BG528">
        <f>$C528*BG527</f>
        <v/>
      </c>
      <c r="BH528">
        <f>$C528*BH527</f>
        <v/>
      </c>
      <c r="BI528">
        <f>$C528*BI527</f>
        <v/>
      </c>
      <c r="BJ528">
        <f>$C528*BJ527</f>
        <v/>
      </c>
      <c r="BK528">
        <f>$C528*BK527</f>
        <v/>
      </c>
      <c r="BL528">
        <f>$C528*BL527</f>
        <v/>
      </c>
      <c r="BM528">
        <f>$C528*BM527</f>
        <v/>
      </c>
      <c r="BN528">
        <f>$C528*BN527</f>
        <v/>
      </c>
      <c r="BO528">
        <f>$C528*BO527</f>
        <v/>
      </c>
      <c r="BP528">
        <f>$C528*BP527</f>
        <v/>
      </c>
      <c r="BQ528">
        <f>$C528*BQ527</f>
        <v/>
      </c>
      <c r="BR528">
        <f>$C528*BR527</f>
        <v/>
      </c>
      <c r="BS528">
        <f>$C528*BS527</f>
        <v/>
      </c>
      <c r="BT528">
        <f>$C528*BT527</f>
        <v/>
      </c>
      <c r="BU528">
        <f>$C528*BU527</f>
        <v/>
      </c>
      <c r="BV528">
        <f>$C528*BV527</f>
        <v/>
      </c>
      <c r="BW528">
        <f>$C528*BW527</f>
        <v/>
      </c>
      <c r="BX528">
        <f>$C528*BX527</f>
        <v/>
      </c>
      <c r="BY528">
        <f>$C528*BY527</f>
        <v/>
      </c>
      <c r="BZ528">
        <f>$C528*BZ527</f>
        <v/>
      </c>
      <c r="CA528">
        <f>$C528*CA527</f>
        <v/>
      </c>
      <c r="CB528">
        <f>$C528*CB527</f>
        <v/>
      </c>
      <c r="CC528">
        <f>$C528*CC527</f>
        <v/>
      </c>
      <c r="CD528">
        <f>$C528*CD527</f>
        <v/>
      </c>
      <c r="CE528">
        <f>$C528*CE527</f>
        <v/>
      </c>
      <c r="CF528">
        <f>$C528*CF527</f>
        <v/>
      </c>
      <c r="CG528">
        <f>$C528*CG527</f>
        <v/>
      </c>
      <c r="CH528">
        <f>$C528*CH527</f>
        <v/>
      </c>
      <c r="CI528">
        <f>$C528*CI527</f>
        <v/>
      </c>
      <c r="CJ528">
        <f>$C528*CJ527</f>
        <v/>
      </c>
      <c r="CK528">
        <f>$C528*CK527</f>
        <v/>
      </c>
      <c r="CL528">
        <f>$C528*CL527</f>
        <v/>
      </c>
      <c r="CM528">
        <f>$C528*CM527</f>
        <v/>
      </c>
      <c r="CN528">
        <f>$C528*CN527</f>
        <v/>
      </c>
      <c r="CO528">
        <f>$C528*CO527</f>
        <v/>
      </c>
      <c r="CP528">
        <f>$C528*CP527</f>
        <v/>
      </c>
      <c r="CQ528">
        <f>$C528*CQ527</f>
        <v/>
      </c>
      <c r="CR528">
        <f>$C528*CR527</f>
        <v/>
      </c>
      <c r="CS528">
        <f>$C528*CS527</f>
        <v/>
      </c>
      <c r="CT528">
        <f>$C528*CT527</f>
        <v/>
      </c>
      <c r="CU528">
        <f>$C528*CU527</f>
        <v/>
      </c>
      <c r="CV528">
        <f>$C528*CV527</f>
        <v/>
      </c>
      <c r="CW528">
        <f>$C528*CW527</f>
        <v/>
      </c>
      <c r="CX528">
        <f>$C528*CX527</f>
        <v/>
      </c>
      <c r="CY528">
        <f>$C528*CY527</f>
        <v/>
      </c>
      <c r="CZ528">
        <f>$C528*CZ527</f>
        <v/>
      </c>
      <c r="DA528">
        <f>$C528*DA527</f>
        <v/>
      </c>
      <c r="DB528">
        <f>$C528*DB527</f>
        <v/>
      </c>
      <c r="DC528">
        <f>$C528*DC527</f>
        <v/>
      </c>
    </row>
    <row r="529">
      <c r="B529" t="inlineStr">
        <is>
          <t>VSP-869</t>
        </is>
      </c>
      <c r="C529" t="inlineStr">
        <is>
          <t>No. of batches</t>
        </is>
      </c>
      <c r="D529">
        <f>IFERROR(INDEX(PP_Grid[#Data],$DD529,2),0)</f>
        <v/>
      </c>
      <c r="E529">
        <f>IFERROR(INDEX(PP_Grid[#Data],$DD529,3),0)</f>
        <v/>
      </c>
      <c r="F529">
        <f>IFERROR(INDEX(PP_Grid[#Data],$DD529,4),0)</f>
        <v/>
      </c>
      <c r="G529">
        <f>IFERROR(INDEX(PP_Grid[#Data],$DD529,5),0)</f>
        <v/>
      </c>
      <c r="H529">
        <f>IFERROR(INDEX(PP_Grid[#Data],$DD529,6),0)</f>
        <v/>
      </c>
      <c r="I529">
        <f>IFERROR(INDEX(PP_Grid[#Data],$DD529,7),0)</f>
        <v/>
      </c>
      <c r="J529">
        <f>IFERROR(INDEX(PP_Grid[#Data],$DD529,8),0)</f>
        <v/>
      </c>
      <c r="K529">
        <f>IFERROR(INDEX(PP_Grid[#Data],$DD529,9),0)</f>
        <v/>
      </c>
      <c r="L529">
        <f>IFERROR(INDEX(PP_Grid[#Data],$DD529,10),0)</f>
        <v/>
      </c>
      <c r="M529">
        <f>IFERROR(INDEX(PP_Grid[#Data],$DD529,11),0)</f>
        <v/>
      </c>
      <c r="N529">
        <f>IFERROR(INDEX(PP_Grid[#Data],$DD529,12),0)</f>
        <v/>
      </c>
      <c r="O529">
        <f>IFERROR(INDEX(PP_Grid[#Data],$DD529,13),0)</f>
        <v/>
      </c>
      <c r="P529">
        <f>IFERROR(INDEX(PP_Grid[#Data],$DD529,14),0)</f>
        <v/>
      </c>
      <c r="Q529">
        <f>IFERROR(INDEX(PP_Grid[#Data],$DD529,15),0)</f>
        <v/>
      </c>
      <c r="R529">
        <f>IFERROR(INDEX(PP_Grid[#Data],$DD529,16),0)</f>
        <v/>
      </c>
      <c r="S529">
        <f>IFERROR(INDEX(PP_Grid[#Data],$DD529,17),0)</f>
        <v/>
      </c>
      <c r="T529">
        <f>IFERROR(INDEX(PP_Grid[#Data],$DD529,18),0)</f>
        <v/>
      </c>
      <c r="U529">
        <f>IFERROR(INDEX(PP_Grid[#Data],$DD529,19),0)</f>
        <v/>
      </c>
      <c r="V529">
        <f>IFERROR(INDEX(PP_Grid[#Data],$DD529,20),0)</f>
        <v/>
      </c>
      <c r="W529">
        <f>IFERROR(INDEX(PP_Grid[#Data],$DD529,21),0)</f>
        <v/>
      </c>
      <c r="X529">
        <f>IFERROR(INDEX(PP_Grid[#Data],$DD529,22),0)</f>
        <v/>
      </c>
      <c r="Y529">
        <f>IFERROR(INDEX(PP_Grid[#Data],$DD529,23),0)</f>
        <v/>
      </c>
      <c r="Z529">
        <f>IFERROR(INDEX(PP_Grid[#Data],$DD529,24),0)</f>
        <v/>
      </c>
      <c r="AA529">
        <f>IFERROR(INDEX(PP_Grid[#Data],$DD529,25),0)</f>
        <v/>
      </c>
      <c r="AB529">
        <f>IFERROR(INDEX(PP_Grid[#Data],$DD529,26),0)</f>
        <v/>
      </c>
      <c r="AC529">
        <f>IFERROR(INDEX(PP_Grid[#Data],$DD529,27),0)</f>
        <v/>
      </c>
      <c r="AD529">
        <f>IFERROR(INDEX(PP_Grid[#Data],$DD529,28),0)</f>
        <v/>
      </c>
      <c r="AE529">
        <f>IFERROR(INDEX(PP_Grid[#Data],$DD529,29),0)</f>
        <v/>
      </c>
      <c r="AF529">
        <f>IFERROR(INDEX(PP_Grid[#Data],$DD529,30),0)</f>
        <v/>
      </c>
      <c r="AG529">
        <f>IFERROR(INDEX(PP_Grid[#Data],$DD529,31),0)</f>
        <v/>
      </c>
      <c r="AH529">
        <f>IFERROR(INDEX(PP_Grid[#Data],$DD529,32),0)</f>
        <v/>
      </c>
      <c r="AI529">
        <f>IFERROR(INDEX(PP_Grid[#Data],$DD529,33),0)</f>
        <v/>
      </c>
      <c r="AJ529">
        <f>IFERROR(INDEX(PP_Grid[#Data],$DD529,34),0)</f>
        <v/>
      </c>
      <c r="AK529">
        <f>IFERROR(INDEX(PP_Grid[#Data],$DD529,35),0)</f>
        <v/>
      </c>
      <c r="AL529">
        <f>IFERROR(INDEX(PP_Grid[#Data],$DD529,36),0)</f>
        <v/>
      </c>
      <c r="AM529">
        <f>IFERROR(INDEX(PP_Grid[#Data],$DD529,37),0)</f>
        <v/>
      </c>
      <c r="AN529">
        <f>IFERROR(INDEX(PP_Grid[#Data],$DD529,38),0)</f>
        <v/>
      </c>
      <c r="AO529">
        <f>IFERROR(INDEX(PP_Grid[#Data],$DD529,39),0)</f>
        <v/>
      </c>
      <c r="AP529">
        <f>IFERROR(INDEX(PP_Grid[#Data],$DD529,40),0)</f>
        <v/>
      </c>
      <c r="AQ529">
        <f>IFERROR(INDEX(PP_Grid[#Data],$DD529,41),0)</f>
        <v/>
      </c>
      <c r="AR529">
        <f>IFERROR(INDEX(PP_Grid[#Data],$DD529,42),0)</f>
        <v/>
      </c>
      <c r="AS529">
        <f>IFERROR(INDEX(PP_Grid[#Data],$DD529,43),0)</f>
        <v/>
      </c>
      <c r="AT529">
        <f>IFERROR(INDEX(PP_Grid[#Data],$DD529,44),0)</f>
        <v/>
      </c>
      <c r="AU529">
        <f>IFERROR(INDEX(PP_Grid[#Data],$DD529,45),0)</f>
        <v/>
      </c>
      <c r="AV529">
        <f>IFERROR(INDEX(PP_Grid[#Data],$DD529,46),0)</f>
        <v/>
      </c>
      <c r="AW529">
        <f>IFERROR(INDEX(PP_Grid[#Data],$DD529,47),0)</f>
        <v/>
      </c>
      <c r="AX529">
        <f>IFERROR(INDEX(PP_Grid[#Data],$DD529,48),0)</f>
        <v/>
      </c>
      <c r="AY529">
        <f>IFERROR(INDEX(PP_Grid[#Data],$DD529,49),0)</f>
        <v/>
      </c>
      <c r="AZ529">
        <f>IFERROR(INDEX(PP_Grid[#Data],$DD529,50),0)</f>
        <v/>
      </c>
      <c r="BA529">
        <f>IFERROR(INDEX(PP_Grid[#Data],$DD529,51),0)</f>
        <v/>
      </c>
      <c r="BB529">
        <f>IFERROR(INDEX(PP_Grid[#Data],$DD529,52),0)</f>
        <v/>
      </c>
      <c r="BC529">
        <f>IFERROR(INDEX(PP_Grid[#Data],$DD529,53),0)</f>
        <v/>
      </c>
      <c r="BD529">
        <f>IFERROR(INDEX(PP_Grid[#Data],$DD529,54),0)</f>
        <v/>
      </c>
      <c r="BE529">
        <f>IFERROR(INDEX(PP_Grid[#Data],$DD529,55),0)</f>
        <v/>
      </c>
      <c r="BF529">
        <f>IFERROR(INDEX(PP_Grid[#Data],$DD529,56),0)</f>
        <v/>
      </c>
      <c r="BG529">
        <f>IFERROR(INDEX(PP_Grid[#Data],$DD529,57),0)</f>
        <v/>
      </c>
      <c r="BH529">
        <f>IFERROR(INDEX(PP_Grid[#Data],$DD529,58),0)</f>
        <v/>
      </c>
      <c r="BI529">
        <f>IFERROR(INDEX(PP_Grid[#Data],$DD529,59),0)</f>
        <v/>
      </c>
      <c r="BJ529">
        <f>IFERROR(INDEX(PP_Grid[#Data],$DD529,60),0)</f>
        <v/>
      </c>
      <c r="BK529">
        <f>IFERROR(INDEX(PP_Grid[#Data],$DD529,61),0)</f>
        <v/>
      </c>
      <c r="BL529">
        <f>IFERROR(INDEX(PP_Grid[#Data],$DD529,62),0)</f>
        <v/>
      </c>
      <c r="BM529">
        <f>IFERROR(INDEX(PP_Grid[#Data],$DD529,63),0)</f>
        <v/>
      </c>
      <c r="BN529">
        <f>IFERROR(INDEX(PP_Grid[#Data],$DD529,64),0)</f>
        <v/>
      </c>
      <c r="BO529">
        <f>IFERROR(INDEX(PP_Grid[#Data],$DD529,65),0)</f>
        <v/>
      </c>
      <c r="BP529">
        <f>IFERROR(INDEX(PP_Grid[#Data],$DD529,66),0)</f>
        <v/>
      </c>
      <c r="BQ529">
        <f>IFERROR(INDEX(PP_Grid[#Data],$DD529,67),0)</f>
        <v/>
      </c>
      <c r="BR529">
        <f>IFERROR(INDEX(PP_Grid[#Data],$DD529,68),0)</f>
        <v/>
      </c>
      <c r="BS529">
        <f>IFERROR(INDEX(PP_Grid[#Data],$DD529,69),0)</f>
        <v/>
      </c>
      <c r="BT529">
        <f>IFERROR(INDEX(PP_Grid[#Data],$DD529,70),0)</f>
        <v/>
      </c>
      <c r="BU529">
        <f>IFERROR(INDEX(PP_Grid[#Data],$DD529,71),0)</f>
        <v/>
      </c>
      <c r="BV529">
        <f>IFERROR(INDEX(PP_Grid[#Data],$DD529,72),0)</f>
        <v/>
      </c>
      <c r="BW529">
        <f>IFERROR(INDEX(PP_Grid[#Data],$DD529,73),0)</f>
        <v/>
      </c>
      <c r="BX529">
        <f>IFERROR(INDEX(PP_Grid[#Data],$DD529,74),0)</f>
        <v/>
      </c>
      <c r="BY529">
        <f>IFERROR(INDEX(PP_Grid[#Data],$DD529,75),0)</f>
        <v/>
      </c>
      <c r="BZ529">
        <f>IFERROR(INDEX(PP_Grid[#Data],$DD529,76),0)</f>
        <v/>
      </c>
      <c r="CA529">
        <f>IFERROR(INDEX(PP_Grid[#Data],$DD529,77),0)</f>
        <v/>
      </c>
      <c r="CB529">
        <f>IFERROR(INDEX(PP_Grid[#Data],$DD529,78),0)</f>
        <v/>
      </c>
      <c r="CC529">
        <f>IFERROR(INDEX(PP_Grid[#Data],$DD529,79),0)</f>
        <v/>
      </c>
      <c r="CD529">
        <f>IFERROR(INDEX(PP_Grid[#Data],$DD529,80),0)</f>
        <v/>
      </c>
      <c r="CE529">
        <f>IFERROR(INDEX(PP_Grid[#Data],$DD529,81),0)</f>
        <v/>
      </c>
      <c r="CF529">
        <f>IFERROR(INDEX(PP_Grid[#Data],$DD529,82),0)</f>
        <v/>
      </c>
      <c r="CG529">
        <f>IFERROR(INDEX(PP_Grid[#Data],$DD529,83),0)</f>
        <v/>
      </c>
      <c r="CH529">
        <f>IFERROR(INDEX(PP_Grid[#Data],$DD529,84),0)</f>
        <v/>
      </c>
      <c r="CI529">
        <f>IFERROR(INDEX(PP_Grid[#Data],$DD529,85),0)</f>
        <v/>
      </c>
      <c r="CJ529">
        <f>IFERROR(INDEX(PP_Grid[#Data],$DD529,86),0)</f>
        <v/>
      </c>
      <c r="CK529">
        <f>IFERROR(INDEX(PP_Grid[#Data],$DD529,87),0)</f>
        <v/>
      </c>
      <c r="CL529">
        <f>IFERROR(INDEX(PP_Grid[#Data],$DD529,88),0)</f>
        <v/>
      </c>
      <c r="CM529">
        <f>IFERROR(INDEX(PP_Grid[#Data],$DD529,89),0)</f>
        <v/>
      </c>
      <c r="CN529">
        <f>IFERROR(INDEX(PP_Grid[#Data],$DD529,90),0)</f>
        <v/>
      </c>
      <c r="CO529">
        <f>IFERROR(INDEX(PP_Grid[#Data],$DD529,91),0)</f>
        <v/>
      </c>
      <c r="CP529">
        <f>IFERROR(INDEX(PP_Grid[#Data],$DD529,92),0)</f>
        <v/>
      </c>
      <c r="CQ529">
        <f>IFERROR(INDEX(PP_Grid[#Data],$DD529,93),0)</f>
        <v/>
      </c>
      <c r="CR529">
        <f>IFERROR(INDEX(PP_Grid[#Data],$DD529,94),0)</f>
        <v/>
      </c>
      <c r="CS529">
        <f>IFERROR(INDEX(PP_Grid[#Data],$DD529,95),0)</f>
        <v/>
      </c>
      <c r="CT529">
        <f>IFERROR(INDEX(PP_Grid[#Data],$DD529,96),0)</f>
        <v/>
      </c>
      <c r="CU529">
        <f>IFERROR(INDEX(PP_Grid[#Data],$DD529,97),0)</f>
        <v/>
      </c>
      <c r="CV529">
        <f>IFERROR(INDEX(PP_Grid[#Data],$DD529,98),0)</f>
        <v/>
      </c>
      <c r="CW529">
        <f>IFERROR(INDEX(PP_Grid[#Data],$DD529,99),0)</f>
        <v/>
      </c>
      <c r="CX529">
        <f>IFERROR(INDEX(PP_Grid[#Data],$DD529,100),0)</f>
        <v/>
      </c>
      <c r="CY529">
        <f>IFERROR(INDEX(PP_Grid[#Data],$DD529,101),0)</f>
        <v/>
      </c>
      <c r="CZ529">
        <f>IFERROR(INDEX(PP_Grid[#Data],$DD529,102),0)</f>
        <v/>
      </c>
      <c r="DA529">
        <f>IFERROR(INDEX(PP_Grid[#Data],$DD529,103),0)</f>
        <v/>
      </c>
      <c r="DB529">
        <f>IFERROR(INDEX(PP_Grid[#Data],$DD529,104),0)</f>
        <v/>
      </c>
      <c r="DC529">
        <f>IFERROR(INDEX(PP_Grid[#Data],$DD529,105),0)</f>
        <v/>
      </c>
      <c r="DD529" s="7">
        <f>IFERROR(MATCH($B529,PP_Grid[Intermediate],0),99999)</f>
        <v/>
      </c>
    </row>
    <row r="530">
      <c r="B530" t="inlineStr">
        <is>
          <t>使用量(kg)</t>
        </is>
      </c>
      <c r="C530">
        <f>SUMIFS(M_BOM[RM_Qty_Per_Batch],M_BOM[Intermediate],$B529,M_BOM[Part Name],$A500)</f>
        <v/>
      </c>
      <c r="D530">
        <f>$C530*D529</f>
        <v/>
      </c>
      <c r="E530">
        <f>$C530*E529</f>
        <v/>
      </c>
      <c r="F530">
        <f>$C530*F529</f>
        <v/>
      </c>
      <c r="G530">
        <f>$C530*G529</f>
        <v/>
      </c>
      <c r="H530">
        <f>$C530*H529</f>
        <v/>
      </c>
      <c r="I530">
        <f>$C530*I529</f>
        <v/>
      </c>
      <c r="J530">
        <f>$C530*J529</f>
        <v/>
      </c>
      <c r="K530">
        <f>$C530*K529</f>
        <v/>
      </c>
      <c r="L530">
        <f>$C530*L529</f>
        <v/>
      </c>
      <c r="M530">
        <f>$C530*M529</f>
        <v/>
      </c>
      <c r="N530">
        <f>$C530*N529</f>
        <v/>
      </c>
      <c r="O530">
        <f>$C530*O529</f>
        <v/>
      </c>
      <c r="P530">
        <f>$C530*P529</f>
        <v/>
      </c>
      <c r="Q530">
        <f>$C530*Q529</f>
        <v/>
      </c>
      <c r="R530">
        <f>$C530*R529</f>
        <v/>
      </c>
      <c r="S530">
        <f>$C530*S529</f>
        <v/>
      </c>
      <c r="T530">
        <f>$C530*T529</f>
        <v/>
      </c>
      <c r="U530">
        <f>$C530*U529</f>
        <v/>
      </c>
      <c r="V530">
        <f>$C530*V529</f>
        <v/>
      </c>
      <c r="W530">
        <f>$C530*W529</f>
        <v/>
      </c>
      <c r="X530">
        <f>$C530*X529</f>
        <v/>
      </c>
      <c r="Y530">
        <f>$C530*Y529</f>
        <v/>
      </c>
      <c r="Z530">
        <f>$C530*Z529</f>
        <v/>
      </c>
      <c r="AA530">
        <f>$C530*AA529</f>
        <v/>
      </c>
      <c r="AB530">
        <f>$C530*AB529</f>
        <v/>
      </c>
      <c r="AC530">
        <f>$C530*AC529</f>
        <v/>
      </c>
      <c r="AD530">
        <f>$C530*AD529</f>
        <v/>
      </c>
      <c r="AE530">
        <f>$C530*AE529</f>
        <v/>
      </c>
      <c r="AF530">
        <f>$C530*AF529</f>
        <v/>
      </c>
      <c r="AG530">
        <f>$C530*AG529</f>
        <v/>
      </c>
      <c r="AH530">
        <f>$C530*AH529</f>
        <v/>
      </c>
      <c r="AI530">
        <f>$C530*AI529</f>
        <v/>
      </c>
      <c r="AJ530">
        <f>$C530*AJ529</f>
        <v/>
      </c>
      <c r="AK530">
        <f>$C530*AK529</f>
        <v/>
      </c>
      <c r="AL530">
        <f>$C530*AL529</f>
        <v/>
      </c>
      <c r="AM530">
        <f>$C530*AM529</f>
        <v/>
      </c>
      <c r="AN530">
        <f>$C530*AN529</f>
        <v/>
      </c>
      <c r="AO530">
        <f>$C530*AO529</f>
        <v/>
      </c>
      <c r="AP530">
        <f>$C530*AP529</f>
        <v/>
      </c>
      <c r="AQ530">
        <f>$C530*AQ529</f>
        <v/>
      </c>
      <c r="AR530">
        <f>$C530*AR529</f>
        <v/>
      </c>
      <c r="AS530">
        <f>$C530*AS529</f>
        <v/>
      </c>
      <c r="AT530">
        <f>$C530*AT529</f>
        <v/>
      </c>
      <c r="AU530">
        <f>$C530*AU529</f>
        <v/>
      </c>
      <c r="AV530">
        <f>$C530*AV529</f>
        <v/>
      </c>
      <c r="AW530">
        <f>$C530*AW529</f>
        <v/>
      </c>
      <c r="AX530">
        <f>$C530*AX529</f>
        <v/>
      </c>
      <c r="AY530">
        <f>$C530*AY529</f>
        <v/>
      </c>
      <c r="AZ530">
        <f>$C530*AZ529</f>
        <v/>
      </c>
      <c r="BA530">
        <f>$C530*BA529</f>
        <v/>
      </c>
      <c r="BB530">
        <f>$C530*BB529</f>
        <v/>
      </c>
      <c r="BC530">
        <f>$C530*BC529</f>
        <v/>
      </c>
      <c r="BD530">
        <f>$C530*BD529</f>
        <v/>
      </c>
      <c r="BE530">
        <f>$C530*BE529</f>
        <v/>
      </c>
      <c r="BF530">
        <f>$C530*BF529</f>
        <v/>
      </c>
      <c r="BG530">
        <f>$C530*BG529</f>
        <v/>
      </c>
      <c r="BH530">
        <f>$C530*BH529</f>
        <v/>
      </c>
      <c r="BI530">
        <f>$C530*BI529</f>
        <v/>
      </c>
      <c r="BJ530">
        <f>$C530*BJ529</f>
        <v/>
      </c>
      <c r="BK530">
        <f>$C530*BK529</f>
        <v/>
      </c>
      <c r="BL530">
        <f>$C530*BL529</f>
        <v/>
      </c>
      <c r="BM530">
        <f>$C530*BM529</f>
        <v/>
      </c>
      <c r="BN530">
        <f>$C530*BN529</f>
        <v/>
      </c>
      <c r="BO530">
        <f>$C530*BO529</f>
        <v/>
      </c>
      <c r="BP530">
        <f>$C530*BP529</f>
        <v/>
      </c>
      <c r="BQ530">
        <f>$C530*BQ529</f>
        <v/>
      </c>
      <c r="BR530">
        <f>$C530*BR529</f>
        <v/>
      </c>
      <c r="BS530">
        <f>$C530*BS529</f>
        <v/>
      </c>
      <c r="BT530">
        <f>$C530*BT529</f>
        <v/>
      </c>
      <c r="BU530">
        <f>$C530*BU529</f>
        <v/>
      </c>
      <c r="BV530">
        <f>$C530*BV529</f>
        <v/>
      </c>
      <c r="BW530">
        <f>$C530*BW529</f>
        <v/>
      </c>
      <c r="BX530">
        <f>$C530*BX529</f>
        <v/>
      </c>
      <c r="BY530">
        <f>$C530*BY529</f>
        <v/>
      </c>
      <c r="BZ530">
        <f>$C530*BZ529</f>
        <v/>
      </c>
      <c r="CA530">
        <f>$C530*CA529</f>
        <v/>
      </c>
      <c r="CB530">
        <f>$C530*CB529</f>
        <v/>
      </c>
      <c r="CC530">
        <f>$C530*CC529</f>
        <v/>
      </c>
      <c r="CD530">
        <f>$C530*CD529</f>
        <v/>
      </c>
      <c r="CE530">
        <f>$C530*CE529</f>
        <v/>
      </c>
      <c r="CF530">
        <f>$C530*CF529</f>
        <v/>
      </c>
      <c r="CG530">
        <f>$C530*CG529</f>
        <v/>
      </c>
      <c r="CH530">
        <f>$C530*CH529</f>
        <v/>
      </c>
      <c r="CI530">
        <f>$C530*CI529</f>
        <v/>
      </c>
      <c r="CJ530">
        <f>$C530*CJ529</f>
        <v/>
      </c>
      <c r="CK530">
        <f>$C530*CK529</f>
        <v/>
      </c>
      <c r="CL530">
        <f>$C530*CL529</f>
        <v/>
      </c>
      <c r="CM530">
        <f>$C530*CM529</f>
        <v/>
      </c>
      <c r="CN530">
        <f>$C530*CN529</f>
        <v/>
      </c>
      <c r="CO530">
        <f>$C530*CO529</f>
        <v/>
      </c>
      <c r="CP530">
        <f>$C530*CP529</f>
        <v/>
      </c>
      <c r="CQ530">
        <f>$C530*CQ529</f>
        <v/>
      </c>
      <c r="CR530">
        <f>$C530*CR529</f>
        <v/>
      </c>
      <c r="CS530">
        <f>$C530*CS529</f>
        <v/>
      </c>
      <c r="CT530">
        <f>$C530*CT529</f>
        <v/>
      </c>
      <c r="CU530">
        <f>$C530*CU529</f>
        <v/>
      </c>
      <c r="CV530">
        <f>$C530*CV529</f>
        <v/>
      </c>
      <c r="CW530">
        <f>$C530*CW529</f>
        <v/>
      </c>
      <c r="CX530">
        <f>$C530*CX529</f>
        <v/>
      </c>
      <c r="CY530">
        <f>$C530*CY529</f>
        <v/>
      </c>
      <c r="CZ530">
        <f>$C530*CZ529</f>
        <v/>
      </c>
      <c r="DA530">
        <f>$C530*DA529</f>
        <v/>
      </c>
      <c r="DB530">
        <f>$C530*DB529</f>
        <v/>
      </c>
      <c r="DC530">
        <f>$C530*DC529</f>
        <v/>
      </c>
    </row>
    <row r="531">
      <c r="B531" t="inlineStr">
        <is>
          <t>VSP-989</t>
        </is>
      </c>
      <c r="C531" t="inlineStr">
        <is>
          <t>No. of batches</t>
        </is>
      </c>
      <c r="D531">
        <f>IFERROR(INDEX(PP_Grid[#Data],$DD531,2),0)</f>
        <v/>
      </c>
      <c r="E531">
        <f>IFERROR(INDEX(PP_Grid[#Data],$DD531,3),0)</f>
        <v/>
      </c>
      <c r="F531">
        <f>IFERROR(INDEX(PP_Grid[#Data],$DD531,4),0)</f>
        <v/>
      </c>
      <c r="G531">
        <f>IFERROR(INDEX(PP_Grid[#Data],$DD531,5),0)</f>
        <v/>
      </c>
      <c r="H531">
        <f>IFERROR(INDEX(PP_Grid[#Data],$DD531,6),0)</f>
        <v/>
      </c>
      <c r="I531">
        <f>IFERROR(INDEX(PP_Grid[#Data],$DD531,7),0)</f>
        <v/>
      </c>
      <c r="J531">
        <f>IFERROR(INDEX(PP_Grid[#Data],$DD531,8),0)</f>
        <v/>
      </c>
      <c r="K531">
        <f>IFERROR(INDEX(PP_Grid[#Data],$DD531,9),0)</f>
        <v/>
      </c>
      <c r="L531">
        <f>IFERROR(INDEX(PP_Grid[#Data],$DD531,10),0)</f>
        <v/>
      </c>
      <c r="M531">
        <f>IFERROR(INDEX(PP_Grid[#Data],$DD531,11),0)</f>
        <v/>
      </c>
      <c r="N531">
        <f>IFERROR(INDEX(PP_Grid[#Data],$DD531,12),0)</f>
        <v/>
      </c>
      <c r="O531">
        <f>IFERROR(INDEX(PP_Grid[#Data],$DD531,13),0)</f>
        <v/>
      </c>
      <c r="P531">
        <f>IFERROR(INDEX(PP_Grid[#Data],$DD531,14),0)</f>
        <v/>
      </c>
      <c r="Q531">
        <f>IFERROR(INDEX(PP_Grid[#Data],$DD531,15),0)</f>
        <v/>
      </c>
      <c r="R531">
        <f>IFERROR(INDEX(PP_Grid[#Data],$DD531,16),0)</f>
        <v/>
      </c>
      <c r="S531">
        <f>IFERROR(INDEX(PP_Grid[#Data],$DD531,17),0)</f>
        <v/>
      </c>
      <c r="T531">
        <f>IFERROR(INDEX(PP_Grid[#Data],$DD531,18),0)</f>
        <v/>
      </c>
      <c r="U531">
        <f>IFERROR(INDEX(PP_Grid[#Data],$DD531,19),0)</f>
        <v/>
      </c>
      <c r="V531">
        <f>IFERROR(INDEX(PP_Grid[#Data],$DD531,20),0)</f>
        <v/>
      </c>
      <c r="W531">
        <f>IFERROR(INDEX(PP_Grid[#Data],$DD531,21),0)</f>
        <v/>
      </c>
      <c r="X531">
        <f>IFERROR(INDEX(PP_Grid[#Data],$DD531,22),0)</f>
        <v/>
      </c>
      <c r="Y531">
        <f>IFERROR(INDEX(PP_Grid[#Data],$DD531,23),0)</f>
        <v/>
      </c>
      <c r="Z531">
        <f>IFERROR(INDEX(PP_Grid[#Data],$DD531,24),0)</f>
        <v/>
      </c>
      <c r="AA531">
        <f>IFERROR(INDEX(PP_Grid[#Data],$DD531,25),0)</f>
        <v/>
      </c>
      <c r="AB531">
        <f>IFERROR(INDEX(PP_Grid[#Data],$DD531,26),0)</f>
        <v/>
      </c>
      <c r="AC531">
        <f>IFERROR(INDEX(PP_Grid[#Data],$DD531,27),0)</f>
        <v/>
      </c>
      <c r="AD531">
        <f>IFERROR(INDEX(PP_Grid[#Data],$DD531,28),0)</f>
        <v/>
      </c>
      <c r="AE531">
        <f>IFERROR(INDEX(PP_Grid[#Data],$DD531,29),0)</f>
        <v/>
      </c>
      <c r="AF531">
        <f>IFERROR(INDEX(PP_Grid[#Data],$DD531,30),0)</f>
        <v/>
      </c>
      <c r="AG531">
        <f>IFERROR(INDEX(PP_Grid[#Data],$DD531,31),0)</f>
        <v/>
      </c>
      <c r="AH531">
        <f>IFERROR(INDEX(PP_Grid[#Data],$DD531,32),0)</f>
        <v/>
      </c>
      <c r="AI531">
        <f>IFERROR(INDEX(PP_Grid[#Data],$DD531,33),0)</f>
        <v/>
      </c>
      <c r="AJ531">
        <f>IFERROR(INDEX(PP_Grid[#Data],$DD531,34),0)</f>
        <v/>
      </c>
      <c r="AK531">
        <f>IFERROR(INDEX(PP_Grid[#Data],$DD531,35),0)</f>
        <v/>
      </c>
      <c r="AL531">
        <f>IFERROR(INDEX(PP_Grid[#Data],$DD531,36),0)</f>
        <v/>
      </c>
      <c r="AM531">
        <f>IFERROR(INDEX(PP_Grid[#Data],$DD531,37),0)</f>
        <v/>
      </c>
      <c r="AN531">
        <f>IFERROR(INDEX(PP_Grid[#Data],$DD531,38),0)</f>
        <v/>
      </c>
      <c r="AO531">
        <f>IFERROR(INDEX(PP_Grid[#Data],$DD531,39),0)</f>
        <v/>
      </c>
      <c r="AP531">
        <f>IFERROR(INDEX(PP_Grid[#Data],$DD531,40),0)</f>
        <v/>
      </c>
      <c r="AQ531">
        <f>IFERROR(INDEX(PP_Grid[#Data],$DD531,41),0)</f>
        <v/>
      </c>
      <c r="AR531">
        <f>IFERROR(INDEX(PP_Grid[#Data],$DD531,42),0)</f>
        <v/>
      </c>
      <c r="AS531">
        <f>IFERROR(INDEX(PP_Grid[#Data],$DD531,43),0)</f>
        <v/>
      </c>
      <c r="AT531">
        <f>IFERROR(INDEX(PP_Grid[#Data],$DD531,44),0)</f>
        <v/>
      </c>
      <c r="AU531">
        <f>IFERROR(INDEX(PP_Grid[#Data],$DD531,45),0)</f>
        <v/>
      </c>
      <c r="AV531">
        <f>IFERROR(INDEX(PP_Grid[#Data],$DD531,46),0)</f>
        <v/>
      </c>
      <c r="AW531">
        <f>IFERROR(INDEX(PP_Grid[#Data],$DD531,47),0)</f>
        <v/>
      </c>
      <c r="AX531">
        <f>IFERROR(INDEX(PP_Grid[#Data],$DD531,48),0)</f>
        <v/>
      </c>
      <c r="AY531">
        <f>IFERROR(INDEX(PP_Grid[#Data],$DD531,49),0)</f>
        <v/>
      </c>
      <c r="AZ531">
        <f>IFERROR(INDEX(PP_Grid[#Data],$DD531,50),0)</f>
        <v/>
      </c>
      <c r="BA531">
        <f>IFERROR(INDEX(PP_Grid[#Data],$DD531,51),0)</f>
        <v/>
      </c>
      <c r="BB531">
        <f>IFERROR(INDEX(PP_Grid[#Data],$DD531,52),0)</f>
        <v/>
      </c>
      <c r="BC531">
        <f>IFERROR(INDEX(PP_Grid[#Data],$DD531,53),0)</f>
        <v/>
      </c>
      <c r="BD531">
        <f>IFERROR(INDEX(PP_Grid[#Data],$DD531,54),0)</f>
        <v/>
      </c>
      <c r="BE531">
        <f>IFERROR(INDEX(PP_Grid[#Data],$DD531,55),0)</f>
        <v/>
      </c>
      <c r="BF531">
        <f>IFERROR(INDEX(PP_Grid[#Data],$DD531,56),0)</f>
        <v/>
      </c>
      <c r="BG531">
        <f>IFERROR(INDEX(PP_Grid[#Data],$DD531,57),0)</f>
        <v/>
      </c>
      <c r="BH531">
        <f>IFERROR(INDEX(PP_Grid[#Data],$DD531,58),0)</f>
        <v/>
      </c>
      <c r="BI531">
        <f>IFERROR(INDEX(PP_Grid[#Data],$DD531,59),0)</f>
        <v/>
      </c>
      <c r="BJ531">
        <f>IFERROR(INDEX(PP_Grid[#Data],$DD531,60),0)</f>
        <v/>
      </c>
      <c r="BK531">
        <f>IFERROR(INDEX(PP_Grid[#Data],$DD531,61),0)</f>
        <v/>
      </c>
      <c r="BL531">
        <f>IFERROR(INDEX(PP_Grid[#Data],$DD531,62),0)</f>
        <v/>
      </c>
      <c r="BM531">
        <f>IFERROR(INDEX(PP_Grid[#Data],$DD531,63),0)</f>
        <v/>
      </c>
      <c r="BN531">
        <f>IFERROR(INDEX(PP_Grid[#Data],$DD531,64),0)</f>
        <v/>
      </c>
      <c r="BO531">
        <f>IFERROR(INDEX(PP_Grid[#Data],$DD531,65),0)</f>
        <v/>
      </c>
      <c r="BP531">
        <f>IFERROR(INDEX(PP_Grid[#Data],$DD531,66),0)</f>
        <v/>
      </c>
      <c r="BQ531">
        <f>IFERROR(INDEX(PP_Grid[#Data],$DD531,67),0)</f>
        <v/>
      </c>
      <c r="BR531">
        <f>IFERROR(INDEX(PP_Grid[#Data],$DD531,68),0)</f>
        <v/>
      </c>
      <c r="BS531">
        <f>IFERROR(INDEX(PP_Grid[#Data],$DD531,69),0)</f>
        <v/>
      </c>
      <c r="BT531">
        <f>IFERROR(INDEX(PP_Grid[#Data],$DD531,70),0)</f>
        <v/>
      </c>
      <c r="BU531">
        <f>IFERROR(INDEX(PP_Grid[#Data],$DD531,71),0)</f>
        <v/>
      </c>
      <c r="BV531">
        <f>IFERROR(INDEX(PP_Grid[#Data],$DD531,72),0)</f>
        <v/>
      </c>
      <c r="BW531">
        <f>IFERROR(INDEX(PP_Grid[#Data],$DD531,73),0)</f>
        <v/>
      </c>
      <c r="BX531">
        <f>IFERROR(INDEX(PP_Grid[#Data],$DD531,74),0)</f>
        <v/>
      </c>
      <c r="BY531">
        <f>IFERROR(INDEX(PP_Grid[#Data],$DD531,75),0)</f>
        <v/>
      </c>
      <c r="BZ531">
        <f>IFERROR(INDEX(PP_Grid[#Data],$DD531,76),0)</f>
        <v/>
      </c>
      <c r="CA531">
        <f>IFERROR(INDEX(PP_Grid[#Data],$DD531,77),0)</f>
        <v/>
      </c>
      <c r="CB531">
        <f>IFERROR(INDEX(PP_Grid[#Data],$DD531,78),0)</f>
        <v/>
      </c>
      <c r="CC531">
        <f>IFERROR(INDEX(PP_Grid[#Data],$DD531,79),0)</f>
        <v/>
      </c>
      <c r="CD531">
        <f>IFERROR(INDEX(PP_Grid[#Data],$DD531,80),0)</f>
        <v/>
      </c>
      <c r="CE531">
        <f>IFERROR(INDEX(PP_Grid[#Data],$DD531,81),0)</f>
        <v/>
      </c>
      <c r="CF531">
        <f>IFERROR(INDEX(PP_Grid[#Data],$DD531,82),0)</f>
        <v/>
      </c>
      <c r="CG531">
        <f>IFERROR(INDEX(PP_Grid[#Data],$DD531,83),0)</f>
        <v/>
      </c>
      <c r="CH531">
        <f>IFERROR(INDEX(PP_Grid[#Data],$DD531,84),0)</f>
        <v/>
      </c>
      <c r="CI531">
        <f>IFERROR(INDEX(PP_Grid[#Data],$DD531,85),0)</f>
        <v/>
      </c>
      <c r="CJ531">
        <f>IFERROR(INDEX(PP_Grid[#Data],$DD531,86),0)</f>
        <v/>
      </c>
      <c r="CK531">
        <f>IFERROR(INDEX(PP_Grid[#Data],$DD531,87),0)</f>
        <v/>
      </c>
      <c r="CL531">
        <f>IFERROR(INDEX(PP_Grid[#Data],$DD531,88),0)</f>
        <v/>
      </c>
      <c r="CM531">
        <f>IFERROR(INDEX(PP_Grid[#Data],$DD531,89),0)</f>
        <v/>
      </c>
      <c r="CN531">
        <f>IFERROR(INDEX(PP_Grid[#Data],$DD531,90),0)</f>
        <v/>
      </c>
      <c r="CO531">
        <f>IFERROR(INDEX(PP_Grid[#Data],$DD531,91),0)</f>
        <v/>
      </c>
      <c r="CP531">
        <f>IFERROR(INDEX(PP_Grid[#Data],$DD531,92),0)</f>
        <v/>
      </c>
      <c r="CQ531">
        <f>IFERROR(INDEX(PP_Grid[#Data],$DD531,93),0)</f>
        <v/>
      </c>
      <c r="CR531">
        <f>IFERROR(INDEX(PP_Grid[#Data],$DD531,94),0)</f>
        <v/>
      </c>
      <c r="CS531">
        <f>IFERROR(INDEX(PP_Grid[#Data],$DD531,95),0)</f>
        <v/>
      </c>
      <c r="CT531">
        <f>IFERROR(INDEX(PP_Grid[#Data],$DD531,96),0)</f>
        <v/>
      </c>
      <c r="CU531">
        <f>IFERROR(INDEX(PP_Grid[#Data],$DD531,97),0)</f>
        <v/>
      </c>
      <c r="CV531">
        <f>IFERROR(INDEX(PP_Grid[#Data],$DD531,98),0)</f>
        <v/>
      </c>
      <c r="CW531">
        <f>IFERROR(INDEX(PP_Grid[#Data],$DD531,99),0)</f>
        <v/>
      </c>
      <c r="CX531">
        <f>IFERROR(INDEX(PP_Grid[#Data],$DD531,100),0)</f>
        <v/>
      </c>
      <c r="CY531">
        <f>IFERROR(INDEX(PP_Grid[#Data],$DD531,101),0)</f>
        <v/>
      </c>
      <c r="CZ531">
        <f>IFERROR(INDEX(PP_Grid[#Data],$DD531,102),0)</f>
        <v/>
      </c>
      <c r="DA531">
        <f>IFERROR(INDEX(PP_Grid[#Data],$DD531,103),0)</f>
        <v/>
      </c>
      <c r="DB531">
        <f>IFERROR(INDEX(PP_Grid[#Data],$DD531,104),0)</f>
        <v/>
      </c>
      <c r="DC531">
        <f>IFERROR(INDEX(PP_Grid[#Data],$DD531,105),0)</f>
        <v/>
      </c>
      <c r="DD531" s="7">
        <f>IFERROR(MATCH($B531,PP_Grid[Intermediate],0),99999)</f>
        <v/>
      </c>
    </row>
    <row r="532">
      <c r="B532" t="inlineStr">
        <is>
          <t>使用量(kg)</t>
        </is>
      </c>
      <c r="C532">
        <f>SUMIFS(M_BOM[RM_Qty_Per_Batch],M_BOM[Intermediate],$B531,M_BOM[Part Name],$A500)</f>
        <v/>
      </c>
      <c r="D532">
        <f>$C532*D531</f>
        <v/>
      </c>
      <c r="E532">
        <f>$C532*E531</f>
        <v/>
      </c>
      <c r="F532">
        <f>$C532*F531</f>
        <v/>
      </c>
      <c r="G532">
        <f>$C532*G531</f>
        <v/>
      </c>
      <c r="H532">
        <f>$C532*H531</f>
        <v/>
      </c>
      <c r="I532">
        <f>$C532*I531</f>
        <v/>
      </c>
      <c r="J532">
        <f>$C532*J531</f>
        <v/>
      </c>
      <c r="K532">
        <f>$C532*K531</f>
        <v/>
      </c>
      <c r="L532">
        <f>$C532*L531</f>
        <v/>
      </c>
      <c r="M532">
        <f>$C532*M531</f>
        <v/>
      </c>
      <c r="N532">
        <f>$C532*N531</f>
        <v/>
      </c>
      <c r="O532">
        <f>$C532*O531</f>
        <v/>
      </c>
      <c r="P532">
        <f>$C532*P531</f>
        <v/>
      </c>
      <c r="Q532">
        <f>$C532*Q531</f>
        <v/>
      </c>
      <c r="R532">
        <f>$C532*R531</f>
        <v/>
      </c>
      <c r="S532">
        <f>$C532*S531</f>
        <v/>
      </c>
      <c r="T532">
        <f>$C532*T531</f>
        <v/>
      </c>
      <c r="U532">
        <f>$C532*U531</f>
        <v/>
      </c>
      <c r="V532">
        <f>$C532*V531</f>
        <v/>
      </c>
      <c r="W532">
        <f>$C532*W531</f>
        <v/>
      </c>
      <c r="X532">
        <f>$C532*X531</f>
        <v/>
      </c>
      <c r="Y532">
        <f>$C532*Y531</f>
        <v/>
      </c>
      <c r="Z532">
        <f>$C532*Z531</f>
        <v/>
      </c>
      <c r="AA532">
        <f>$C532*AA531</f>
        <v/>
      </c>
      <c r="AB532">
        <f>$C532*AB531</f>
        <v/>
      </c>
      <c r="AC532">
        <f>$C532*AC531</f>
        <v/>
      </c>
      <c r="AD532">
        <f>$C532*AD531</f>
        <v/>
      </c>
      <c r="AE532">
        <f>$C532*AE531</f>
        <v/>
      </c>
      <c r="AF532">
        <f>$C532*AF531</f>
        <v/>
      </c>
      <c r="AG532">
        <f>$C532*AG531</f>
        <v/>
      </c>
      <c r="AH532">
        <f>$C532*AH531</f>
        <v/>
      </c>
      <c r="AI532">
        <f>$C532*AI531</f>
        <v/>
      </c>
      <c r="AJ532">
        <f>$C532*AJ531</f>
        <v/>
      </c>
      <c r="AK532">
        <f>$C532*AK531</f>
        <v/>
      </c>
      <c r="AL532">
        <f>$C532*AL531</f>
        <v/>
      </c>
      <c r="AM532">
        <f>$C532*AM531</f>
        <v/>
      </c>
      <c r="AN532">
        <f>$C532*AN531</f>
        <v/>
      </c>
      <c r="AO532">
        <f>$C532*AO531</f>
        <v/>
      </c>
      <c r="AP532">
        <f>$C532*AP531</f>
        <v/>
      </c>
      <c r="AQ532">
        <f>$C532*AQ531</f>
        <v/>
      </c>
      <c r="AR532">
        <f>$C532*AR531</f>
        <v/>
      </c>
      <c r="AS532">
        <f>$C532*AS531</f>
        <v/>
      </c>
      <c r="AT532">
        <f>$C532*AT531</f>
        <v/>
      </c>
      <c r="AU532">
        <f>$C532*AU531</f>
        <v/>
      </c>
      <c r="AV532">
        <f>$C532*AV531</f>
        <v/>
      </c>
      <c r="AW532">
        <f>$C532*AW531</f>
        <v/>
      </c>
      <c r="AX532">
        <f>$C532*AX531</f>
        <v/>
      </c>
      <c r="AY532">
        <f>$C532*AY531</f>
        <v/>
      </c>
      <c r="AZ532">
        <f>$C532*AZ531</f>
        <v/>
      </c>
      <c r="BA532">
        <f>$C532*BA531</f>
        <v/>
      </c>
      <c r="BB532">
        <f>$C532*BB531</f>
        <v/>
      </c>
      <c r="BC532">
        <f>$C532*BC531</f>
        <v/>
      </c>
      <c r="BD532">
        <f>$C532*BD531</f>
        <v/>
      </c>
      <c r="BE532">
        <f>$C532*BE531</f>
        <v/>
      </c>
      <c r="BF532">
        <f>$C532*BF531</f>
        <v/>
      </c>
      <c r="BG532">
        <f>$C532*BG531</f>
        <v/>
      </c>
      <c r="BH532">
        <f>$C532*BH531</f>
        <v/>
      </c>
      <c r="BI532">
        <f>$C532*BI531</f>
        <v/>
      </c>
      <c r="BJ532">
        <f>$C532*BJ531</f>
        <v/>
      </c>
      <c r="BK532">
        <f>$C532*BK531</f>
        <v/>
      </c>
      <c r="BL532">
        <f>$C532*BL531</f>
        <v/>
      </c>
      <c r="BM532">
        <f>$C532*BM531</f>
        <v/>
      </c>
      <c r="BN532">
        <f>$C532*BN531</f>
        <v/>
      </c>
      <c r="BO532">
        <f>$C532*BO531</f>
        <v/>
      </c>
      <c r="BP532">
        <f>$C532*BP531</f>
        <v/>
      </c>
      <c r="BQ532">
        <f>$C532*BQ531</f>
        <v/>
      </c>
      <c r="BR532">
        <f>$C532*BR531</f>
        <v/>
      </c>
      <c r="BS532">
        <f>$C532*BS531</f>
        <v/>
      </c>
      <c r="BT532">
        <f>$C532*BT531</f>
        <v/>
      </c>
      <c r="BU532">
        <f>$C532*BU531</f>
        <v/>
      </c>
      <c r="BV532">
        <f>$C532*BV531</f>
        <v/>
      </c>
      <c r="BW532">
        <f>$C532*BW531</f>
        <v/>
      </c>
      <c r="BX532">
        <f>$C532*BX531</f>
        <v/>
      </c>
      <c r="BY532">
        <f>$C532*BY531</f>
        <v/>
      </c>
      <c r="BZ532">
        <f>$C532*BZ531</f>
        <v/>
      </c>
      <c r="CA532">
        <f>$C532*CA531</f>
        <v/>
      </c>
      <c r="CB532">
        <f>$C532*CB531</f>
        <v/>
      </c>
      <c r="CC532">
        <f>$C532*CC531</f>
        <v/>
      </c>
      <c r="CD532">
        <f>$C532*CD531</f>
        <v/>
      </c>
      <c r="CE532">
        <f>$C532*CE531</f>
        <v/>
      </c>
      <c r="CF532">
        <f>$C532*CF531</f>
        <v/>
      </c>
      <c r="CG532">
        <f>$C532*CG531</f>
        <v/>
      </c>
      <c r="CH532">
        <f>$C532*CH531</f>
        <v/>
      </c>
      <c r="CI532">
        <f>$C532*CI531</f>
        <v/>
      </c>
      <c r="CJ532">
        <f>$C532*CJ531</f>
        <v/>
      </c>
      <c r="CK532">
        <f>$C532*CK531</f>
        <v/>
      </c>
      <c r="CL532">
        <f>$C532*CL531</f>
        <v/>
      </c>
      <c r="CM532">
        <f>$C532*CM531</f>
        <v/>
      </c>
      <c r="CN532">
        <f>$C532*CN531</f>
        <v/>
      </c>
      <c r="CO532">
        <f>$C532*CO531</f>
        <v/>
      </c>
      <c r="CP532">
        <f>$C532*CP531</f>
        <v/>
      </c>
      <c r="CQ532">
        <f>$C532*CQ531</f>
        <v/>
      </c>
      <c r="CR532">
        <f>$C532*CR531</f>
        <v/>
      </c>
      <c r="CS532">
        <f>$C532*CS531</f>
        <v/>
      </c>
      <c r="CT532">
        <f>$C532*CT531</f>
        <v/>
      </c>
      <c r="CU532">
        <f>$C532*CU531</f>
        <v/>
      </c>
      <c r="CV532">
        <f>$C532*CV531</f>
        <v/>
      </c>
      <c r="CW532">
        <f>$C532*CW531</f>
        <v/>
      </c>
      <c r="CX532">
        <f>$C532*CX531</f>
        <v/>
      </c>
      <c r="CY532">
        <f>$C532*CY531</f>
        <v/>
      </c>
      <c r="CZ532">
        <f>$C532*CZ531</f>
        <v/>
      </c>
      <c r="DA532">
        <f>$C532*DA531</f>
        <v/>
      </c>
      <c r="DB532">
        <f>$C532*DB531</f>
        <v/>
      </c>
      <c r="DC532">
        <f>$C532*DC531</f>
        <v/>
      </c>
    </row>
    <row r="533">
      <c r="B533" t="inlineStr">
        <is>
          <t>VSZ-745</t>
        </is>
      </c>
      <c r="C533" t="inlineStr">
        <is>
          <t>No. of batches</t>
        </is>
      </c>
      <c r="D533">
        <f>IFERROR(INDEX(PP_Grid[#Data],$DD533,2),0)</f>
        <v/>
      </c>
      <c r="E533">
        <f>IFERROR(INDEX(PP_Grid[#Data],$DD533,3),0)</f>
        <v/>
      </c>
      <c r="F533">
        <f>IFERROR(INDEX(PP_Grid[#Data],$DD533,4),0)</f>
        <v/>
      </c>
      <c r="G533">
        <f>IFERROR(INDEX(PP_Grid[#Data],$DD533,5),0)</f>
        <v/>
      </c>
      <c r="H533">
        <f>IFERROR(INDEX(PP_Grid[#Data],$DD533,6),0)</f>
        <v/>
      </c>
      <c r="I533">
        <f>IFERROR(INDEX(PP_Grid[#Data],$DD533,7),0)</f>
        <v/>
      </c>
      <c r="J533">
        <f>IFERROR(INDEX(PP_Grid[#Data],$DD533,8),0)</f>
        <v/>
      </c>
      <c r="K533">
        <f>IFERROR(INDEX(PP_Grid[#Data],$DD533,9),0)</f>
        <v/>
      </c>
      <c r="L533">
        <f>IFERROR(INDEX(PP_Grid[#Data],$DD533,10),0)</f>
        <v/>
      </c>
      <c r="M533">
        <f>IFERROR(INDEX(PP_Grid[#Data],$DD533,11),0)</f>
        <v/>
      </c>
      <c r="N533">
        <f>IFERROR(INDEX(PP_Grid[#Data],$DD533,12),0)</f>
        <v/>
      </c>
      <c r="O533">
        <f>IFERROR(INDEX(PP_Grid[#Data],$DD533,13),0)</f>
        <v/>
      </c>
      <c r="P533">
        <f>IFERROR(INDEX(PP_Grid[#Data],$DD533,14),0)</f>
        <v/>
      </c>
      <c r="Q533">
        <f>IFERROR(INDEX(PP_Grid[#Data],$DD533,15),0)</f>
        <v/>
      </c>
      <c r="R533">
        <f>IFERROR(INDEX(PP_Grid[#Data],$DD533,16),0)</f>
        <v/>
      </c>
      <c r="S533">
        <f>IFERROR(INDEX(PP_Grid[#Data],$DD533,17),0)</f>
        <v/>
      </c>
      <c r="T533">
        <f>IFERROR(INDEX(PP_Grid[#Data],$DD533,18),0)</f>
        <v/>
      </c>
      <c r="U533">
        <f>IFERROR(INDEX(PP_Grid[#Data],$DD533,19),0)</f>
        <v/>
      </c>
      <c r="V533">
        <f>IFERROR(INDEX(PP_Grid[#Data],$DD533,20),0)</f>
        <v/>
      </c>
      <c r="W533">
        <f>IFERROR(INDEX(PP_Grid[#Data],$DD533,21),0)</f>
        <v/>
      </c>
      <c r="X533">
        <f>IFERROR(INDEX(PP_Grid[#Data],$DD533,22),0)</f>
        <v/>
      </c>
      <c r="Y533">
        <f>IFERROR(INDEX(PP_Grid[#Data],$DD533,23),0)</f>
        <v/>
      </c>
      <c r="Z533">
        <f>IFERROR(INDEX(PP_Grid[#Data],$DD533,24),0)</f>
        <v/>
      </c>
      <c r="AA533">
        <f>IFERROR(INDEX(PP_Grid[#Data],$DD533,25),0)</f>
        <v/>
      </c>
      <c r="AB533">
        <f>IFERROR(INDEX(PP_Grid[#Data],$DD533,26),0)</f>
        <v/>
      </c>
      <c r="AC533">
        <f>IFERROR(INDEX(PP_Grid[#Data],$DD533,27),0)</f>
        <v/>
      </c>
      <c r="AD533">
        <f>IFERROR(INDEX(PP_Grid[#Data],$DD533,28),0)</f>
        <v/>
      </c>
      <c r="AE533">
        <f>IFERROR(INDEX(PP_Grid[#Data],$DD533,29),0)</f>
        <v/>
      </c>
      <c r="AF533">
        <f>IFERROR(INDEX(PP_Grid[#Data],$DD533,30),0)</f>
        <v/>
      </c>
      <c r="AG533">
        <f>IFERROR(INDEX(PP_Grid[#Data],$DD533,31),0)</f>
        <v/>
      </c>
      <c r="AH533">
        <f>IFERROR(INDEX(PP_Grid[#Data],$DD533,32),0)</f>
        <v/>
      </c>
      <c r="AI533">
        <f>IFERROR(INDEX(PP_Grid[#Data],$DD533,33),0)</f>
        <v/>
      </c>
      <c r="AJ533">
        <f>IFERROR(INDEX(PP_Grid[#Data],$DD533,34),0)</f>
        <v/>
      </c>
      <c r="AK533">
        <f>IFERROR(INDEX(PP_Grid[#Data],$DD533,35),0)</f>
        <v/>
      </c>
      <c r="AL533">
        <f>IFERROR(INDEX(PP_Grid[#Data],$DD533,36),0)</f>
        <v/>
      </c>
      <c r="AM533">
        <f>IFERROR(INDEX(PP_Grid[#Data],$DD533,37),0)</f>
        <v/>
      </c>
      <c r="AN533">
        <f>IFERROR(INDEX(PP_Grid[#Data],$DD533,38),0)</f>
        <v/>
      </c>
      <c r="AO533">
        <f>IFERROR(INDEX(PP_Grid[#Data],$DD533,39),0)</f>
        <v/>
      </c>
      <c r="AP533">
        <f>IFERROR(INDEX(PP_Grid[#Data],$DD533,40),0)</f>
        <v/>
      </c>
      <c r="AQ533">
        <f>IFERROR(INDEX(PP_Grid[#Data],$DD533,41),0)</f>
        <v/>
      </c>
      <c r="AR533">
        <f>IFERROR(INDEX(PP_Grid[#Data],$DD533,42),0)</f>
        <v/>
      </c>
      <c r="AS533">
        <f>IFERROR(INDEX(PP_Grid[#Data],$DD533,43),0)</f>
        <v/>
      </c>
      <c r="AT533">
        <f>IFERROR(INDEX(PP_Grid[#Data],$DD533,44),0)</f>
        <v/>
      </c>
      <c r="AU533">
        <f>IFERROR(INDEX(PP_Grid[#Data],$DD533,45),0)</f>
        <v/>
      </c>
      <c r="AV533">
        <f>IFERROR(INDEX(PP_Grid[#Data],$DD533,46),0)</f>
        <v/>
      </c>
      <c r="AW533">
        <f>IFERROR(INDEX(PP_Grid[#Data],$DD533,47),0)</f>
        <v/>
      </c>
      <c r="AX533">
        <f>IFERROR(INDEX(PP_Grid[#Data],$DD533,48),0)</f>
        <v/>
      </c>
      <c r="AY533">
        <f>IFERROR(INDEX(PP_Grid[#Data],$DD533,49),0)</f>
        <v/>
      </c>
      <c r="AZ533">
        <f>IFERROR(INDEX(PP_Grid[#Data],$DD533,50),0)</f>
        <v/>
      </c>
      <c r="BA533">
        <f>IFERROR(INDEX(PP_Grid[#Data],$DD533,51),0)</f>
        <v/>
      </c>
      <c r="BB533">
        <f>IFERROR(INDEX(PP_Grid[#Data],$DD533,52),0)</f>
        <v/>
      </c>
      <c r="BC533">
        <f>IFERROR(INDEX(PP_Grid[#Data],$DD533,53),0)</f>
        <v/>
      </c>
      <c r="BD533">
        <f>IFERROR(INDEX(PP_Grid[#Data],$DD533,54),0)</f>
        <v/>
      </c>
      <c r="BE533">
        <f>IFERROR(INDEX(PP_Grid[#Data],$DD533,55),0)</f>
        <v/>
      </c>
      <c r="BF533">
        <f>IFERROR(INDEX(PP_Grid[#Data],$DD533,56),0)</f>
        <v/>
      </c>
      <c r="BG533">
        <f>IFERROR(INDEX(PP_Grid[#Data],$DD533,57),0)</f>
        <v/>
      </c>
      <c r="BH533">
        <f>IFERROR(INDEX(PP_Grid[#Data],$DD533,58),0)</f>
        <v/>
      </c>
      <c r="BI533">
        <f>IFERROR(INDEX(PP_Grid[#Data],$DD533,59),0)</f>
        <v/>
      </c>
      <c r="BJ533">
        <f>IFERROR(INDEX(PP_Grid[#Data],$DD533,60),0)</f>
        <v/>
      </c>
      <c r="BK533">
        <f>IFERROR(INDEX(PP_Grid[#Data],$DD533,61),0)</f>
        <v/>
      </c>
      <c r="BL533">
        <f>IFERROR(INDEX(PP_Grid[#Data],$DD533,62),0)</f>
        <v/>
      </c>
      <c r="BM533">
        <f>IFERROR(INDEX(PP_Grid[#Data],$DD533,63),0)</f>
        <v/>
      </c>
      <c r="BN533">
        <f>IFERROR(INDEX(PP_Grid[#Data],$DD533,64),0)</f>
        <v/>
      </c>
      <c r="BO533">
        <f>IFERROR(INDEX(PP_Grid[#Data],$DD533,65),0)</f>
        <v/>
      </c>
      <c r="BP533">
        <f>IFERROR(INDEX(PP_Grid[#Data],$DD533,66),0)</f>
        <v/>
      </c>
      <c r="BQ533">
        <f>IFERROR(INDEX(PP_Grid[#Data],$DD533,67),0)</f>
        <v/>
      </c>
      <c r="BR533">
        <f>IFERROR(INDEX(PP_Grid[#Data],$DD533,68),0)</f>
        <v/>
      </c>
      <c r="BS533">
        <f>IFERROR(INDEX(PP_Grid[#Data],$DD533,69),0)</f>
        <v/>
      </c>
      <c r="BT533">
        <f>IFERROR(INDEX(PP_Grid[#Data],$DD533,70),0)</f>
        <v/>
      </c>
      <c r="BU533">
        <f>IFERROR(INDEX(PP_Grid[#Data],$DD533,71),0)</f>
        <v/>
      </c>
      <c r="BV533">
        <f>IFERROR(INDEX(PP_Grid[#Data],$DD533,72),0)</f>
        <v/>
      </c>
      <c r="BW533">
        <f>IFERROR(INDEX(PP_Grid[#Data],$DD533,73),0)</f>
        <v/>
      </c>
      <c r="BX533">
        <f>IFERROR(INDEX(PP_Grid[#Data],$DD533,74),0)</f>
        <v/>
      </c>
      <c r="BY533">
        <f>IFERROR(INDEX(PP_Grid[#Data],$DD533,75),0)</f>
        <v/>
      </c>
      <c r="BZ533">
        <f>IFERROR(INDEX(PP_Grid[#Data],$DD533,76),0)</f>
        <v/>
      </c>
      <c r="CA533">
        <f>IFERROR(INDEX(PP_Grid[#Data],$DD533,77),0)</f>
        <v/>
      </c>
      <c r="CB533">
        <f>IFERROR(INDEX(PP_Grid[#Data],$DD533,78),0)</f>
        <v/>
      </c>
      <c r="CC533">
        <f>IFERROR(INDEX(PP_Grid[#Data],$DD533,79),0)</f>
        <v/>
      </c>
      <c r="CD533">
        <f>IFERROR(INDEX(PP_Grid[#Data],$DD533,80),0)</f>
        <v/>
      </c>
      <c r="CE533">
        <f>IFERROR(INDEX(PP_Grid[#Data],$DD533,81),0)</f>
        <v/>
      </c>
      <c r="CF533">
        <f>IFERROR(INDEX(PP_Grid[#Data],$DD533,82),0)</f>
        <v/>
      </c>
      <c r="CG533">
        <f>IFERROR(INDEX(PP_Grid[#Data],$DD533,83),0)</f>
        <v/>
      </c>
      <c r="CH533">
        <f>IFERROR(INDEX(PP_Grid[#Data],$DD533,84),0)</f>
        <v/>
      </c>
      <c r="CI533">
        <f>IFERROR(INDEX(PP_Grid[#Data],$DD533,85),0)</f>
        <v/>
      </c>
      <c r="CJ533">
        <f>IFERROR(INDEX(PP_Grid[#Data],$DD533,86),0)</f>
        <v/>
      </c>
      <c r="CK533">
        <f>IFERROR(INDEX(PP_Grid[#Data],$DD533,87),0)</f>
        <v/>
      </c>
      <c r="CL533">
        <f>IFERROR(INDEX(PP_Grid[#Data],$DD533,88),0)</f>
        <v/>
      </c>
      <c r="CM533">
        <f>IFERROR(INDEX(PP_Grid[#Data],$DD533,89),0)</f>
        <v/>
      </c>
      <c r="CN533">
        <f>IFERROR(INDEX(PP_Grid[#Data],$DD533,90),0)</f>
        <v/>
      </c>
      <c r="CO533">
        <f>IFERROR(INDEX(PP_Grid[#Data],$DD533,91),0)</f>
        <v/>
      </c>
      <c r="CP533">
        <f>IFERROR(INDEX(PP_Grid[#Data],$DD533,92),0)</f>
        <v/>
      </c>
      <c r="CQ533">
        <f>IFERROR(INDEX(PP_Grid[#Data],$DD533,93),0)</f>
        <v/>
      </c>
      <c r="CR533">
        <f>IFERROR(INDEX(PP_Grid[#Data],$DD533,94),0)</f>
        <v/>
      </c>
      <c r="CS533">
        <f>IFERROR(INDEX(PP_Grid[#Data],$DD533,95),0)</f>
        <v/>
      </c>
      <c r="CT533">
        <f>IFERROR(INDEX(PP_Grid[#Data],$DD533,96),0)</f>
        <v/>
      </c>
      <c r="CU533">
        <f>IFERROR(INDEX(PP_Grid[#Data],$DD533,97),0)</f>
        <v/>
      </c>
      <c r="CV533">
        <f>IFERROR(INDEX(PP_Grid[#Data],$DD533,98),0)</f>
        <v/>
      </c>
      <c r="CW533">
        <f>IFERROR(INDEX(PP_Grid[#Data],$DD533,99),0)</f>
        <v/>
      </c>
      <c r="CX533">
        <f>IFERROR(INDEX(PP_Grid[#Data],$DD533,100),0)</f>
        <v/>
      </c>
      <c r="CY533">
        <f>IFERROR(INDEX(PP_Grid[#Data],$DD533,101),0)</f>
        <v/>
      </c>
      <c r="CZ533">
        <f>IFERROR(INDEX(PP_Grid[#Data],$DD533,102),0)</f>
        <v/>
      </c>
      <c r="DA533">
        <f>IFERROR(INDEX(PP_Grid[#Data],$DD533,103),0)</f>
        <v/>
      </c>
      <c r="DB533">
        <f>IFERROR(INDEX(PP_Grid[#Data],$DD533,104),0)</f>
        <v/>
      </c>
      <c r="DC533">
        <f>IFERROR(INDEX(PP_Grid[#Data],$DD533,105),0)</f>
        <v/>
      </c>
      <c r="DD533" s="7">
        <f>IFERROR(MATCH($B533,PP_Grid[Intermediate],0),99999)</f>
        <v/>
      </c>
    </row>
    <row r="534">
      <c r="B534" t="inlineStr">
        <is>
          <t>使用量(kg)</t>
        </is>
      </c>
      <c r="C534">
        <f>SUMIFS(M_BOM[RM_Qty_Per_Batch],M_BOM[Intermediate],$B533,M_BOM[Part Name],$A500)</f>
        <v/>
      </c>
      <c r="D534">
        <f>$C534*D533</f>
        <v/>
      </c>
      <c r="E534">
        <f>$C534*E533</f>
        <v/>
      </c>
      <c r="F534">
        <f>$C534*F533</f>
        <v/>
      </c>
      <c r="G534">
        <f>$C534*G533</f>
        <v/>
      </c>
      <c r="H534">
        <f>$C534*H533</f>
        <v/>
      </c>
      <c r="I534">
        <f>$C534*I533</f>
        <v/>
      </c>
      <c r="J534">
        <f>$C534*J533</f>
        <v/>
      </c>
      <c r="K534">
        <f>$C534*K533</f>
        <v/>
      </c>
      <c r="L534">
        <f>$C534*L533</f>
        <v/>
      </c>
      <c r="M534">
        <f>$C534*M533</f>
        <v/>
      </c>
      <c r="N534">
        <f>$C534*N533</f>
        <v/>
      </c>
      <c r="O534">
        <f>$C534*O533</f>
        <v/>
      </c>
      <c r="P534">
        <f>$C534*P533</f>
        <v/>
      </c>
      <c r="Q534">
        <f>$C534*Q533</f>
        <v/>
      </c>
      <c r="R534">
        <f>$C534*R533</f>
        <v/>
      </c>
      <c r="S534">
        <f>$C534*S533</f>
        <v/>
      </c>
      <c r="T534">
        <f>$C534*T533</f>
        <v/>
      </c>
      <c r="U534">
        <f>$C534*U533</f>
        <v/>
      </c>
      <c r="V534">
        <f>$C534*V533</f>
        <v/>
      </c>
      <c r="W534">
        <f>$C534*W533</f>
        <v/>
      </c>
      <c r="X534">
        <f>$C534*X533</f>
        <v/>
      </c>
      <c r="Y534">
        <f>$C534*Y533</f>
        <v/>
      </c>
      <c r="Z534">
        <f>$C534*Z533</f>
        <v/>
      </c>
      <c r="AA534">
        <f>$C534*AA533</f>
        <v/>
      </c>
      <c r="AB534">
        <f>$C534*AB533</f>
        <v/>
      </c>
      <c r="AC534">
        <f>$C534*AC533</f>
        <v/>
      </c>
      <c r="AD534">
        <f>$C534*AD533</f>
        <v/>
      </c>
      <c r="AE534">
        <f>$C534*AE533</f>
        <v/>
      </c>
      <c r="AF534">
        <f>$C534*AF533</f>
        <v/>
      </c>
      <c r="AG534">
        <f>$C534*AG533</f>
        <v/>
      </c>
      <c r="AH534">
        <f>$C534*AH533</f>
        <v/>
      </c>
      <c r="AI534">
        <f>$C534*AI533</f>
        <v/>
      </c>
      <c r="AJ534">
        <f>$C534*AJ533</f>
        <v/>
      </c>
      <c r="AK534">
        <f>$C534*AK533</f>
        <v/>
      </c>
      <c r="AL534">
        <f>$C534*AL533</f>
        <v/>
      </c>
      <c r="AM534">
        <f>$C534*AM533</f>
        <v/>
      </c>
      <c r="AN534">
        <f>$C534*AN533</f>
        <v/>
      </c>
      <c r="AO534">
        <f>$C534*AO533</f>
        <v/>
      </c>
      <c r="AP534">
        <f>$C534*AP533</f>
        <v/>
      </c>
      <c r="AQ534">
        <f>$C534*AQ533</f>
        <v/>
      </c>
      <c r="AR534">
        <f>$C534*AR533</f>
        <v/>
      </c>
      <c r="AS534">
        <f>$C534*AS533</f>
        <v/>
      </c>
      <c r="AT534">
        <f>$C534*AT533</f>
        <v/>
      </c>
      <c r="AU534">
        <f>$C534*AU533</f>
        <v/>
      </c>
      <c r="AV534">
        <f>$C534*AV533</f>
        <v/>
      </c>
      <c r="AW534">
        <f>$C534*AW533</f>
        <v/>
      </c>
      <c r="AX534">
        <f>$C534*AX533</f>
        <v/>
      </c>
      <c r="AY534">
        <f>$C534*AY533</f>
        <v/>
      </c>
      <c r="AZ534">
        <f>$C534*AZ533</f>
        <v/>
      </c>
      <c r="BA534">
        <f>$C534*BA533</f>
        <v/>
      </c>
      <c r="BB534">
        <f>$C534*BB533</f>
        <v/>
      </c>
      <c r="BC534">
        <f>$C534*BC533</f>
        <v/>
      </c>
      <c r="BD534">
        <f>$C534*BD533</f>
        <v/>
      </c>
      <c r="BE534">
        <f>$C534*BE533</f>
        <v/>
      </c>
      <c r="BF534">
        <f>$C534*BF533</f>
        <v/>
      </c>
      <c r="BG534">
        <f>$C534*BG533</f>
        <v/>
      </c>
      <c r="BH534">
        <f>$C534*BH533</f>
        <v/>
      </c>
      <c r="BI534">
        <f>$C534*BI533</f>
        <v/>
      </c>
      <c r="BJ534">
        <f>$C534*BJ533</f>
        <v/>
      </c>
      <c r="BK534">
        <f>$C534*BK533</f>
        <v/>
      </c>
      <c r="BL534">
        <f>$C534*BL533</f>
        <v/>
      </c>
      <c r="BM534">
        <f>$C534*BM533</f>
        <v/>
      </c>
      <c r="BN534">
        <f>$C534*BN533</f>
        <v/>
      </c>
      <c r="BO534">
        <f>$C534*BO533</f>
        <v/>
      </c>
      <c r="BP534">
        <f>$C534*BP533</f>
        <v/>
      </c>
      <c r="BQ534">
        <f>$C534*BQ533</f>
        <v/>
      </c>
      <c r="BR534">
        <f>$C534*BR533</f>
        <v/>
      </c>
      <c r="BS534">
        <f>$C534*BS533</f>
        <v/>
      </c>
      <c r="BT534">
        <f>$C534*BT533</f>
        <v/>
      </c>
      <c r="BU534">
        <f>$C534*BU533</f>
        <v/>
      </c>
      <c r="BV534">
        <f>$C534*BV533</f>
        <v/>
      </c>
      <c r="BW534">
        <f>$C534*BW533</f>
        <v/>
      </c>
      <c r="BX534">
        <f>$C534*BX533</f>
        <v/>
      </c>
      <c r="BY534">
        <f>$C534*BY533</f>
        <v/>
      </c>
      <c r="BZ534">
        <f>$C534*BZ533</f>
        <v/>
      </c>
      <c r="CA534">
        <f>$C534*CA533</f>
        <v/>
      </c>
      <c r="CB534">
        <f>$C534*CB533</f>
        <v/>
      </c>
      <c r="CC534">
        <f>$C534*CC533</f>
        <v/>
      </c>
      <c r="CD534">
        <f>$C534*CD533</f>
        <v/>
      </c>
      <c r="CE534">
        <f>$C534*CE533</f>
        <v/>
      </c>
      <c r="CF534">
        <f>$C534*CF533</f>
        <v/>
      </c>
      <c r="CG534">
        <f>$C534*CG533</f>
        <v/>
      </c>
      <c r="CH534">
        <f>$C534*CH533</f>
        <v/>
      </c>
      <c r="CI534">
        <f>$C534*CI533</f>
        <v/>
      </c>
      <c r="CJ534">
        <f>$C534*CJ533</f>
        <v/>
      </c>
      <c r="CK534">
        <f>$C534*CK533</f>
        <v/>
      </c>
      <c r="CL534">
        <f>$C534*CL533</f>
        <v/>
      </c>
      <c r="CM534">
        <f>$C534*CM533</f>
        <v/>
      </c>
      <c r="CN534">
        <f>$C534*CN533</f>
        <v/>
      </c>
      <c r="CO534">
        <f>$C534*CO533</f>
        <v/>
      </c>
      <c r="CP534">
        <f>$C534*CP533</f>
        <v/>
      </c>
      <c r="CQ534">
        <f>$C534*CQ533</f>
        <v/>
      </c>
      <c r="CR534">
        <f>$C534*CR533</f>
        <v/>
      </c>
      <c r="CS534">
        <f>$C534*CS533</f>
        <v/>
      </c>
      <c r="CT534">
        <f>$C534*CT533</f>
        <v/>
      </c>
      <c r="CU534">
        <f>$C534*CU533</f>
        <v/>
      </c>
      <c r="CV534">
        <f>$C534*CV533</f>
        <v/>
      </c>
      <c r="CW534">
        <f>$C534*CW533</f>
        <v/>
      </c>
      <c r="CX534">
        <f>$C534*CX533</f>
        <v/>
      </c>
      <c r="CY534">
        <f>$C534*CY533</f>
        <v/>
      </c>
      <c r="CZ534">
        <f>$C534*CZ533</f>
        <v/>
      </c>
      <c r="DA534">
        <f>$C534*DA533</f>
        <v/>
      </c>
      <c r="DB534">
        <f>$C534*DB533</f>
        <v/>
      </c>
      <c r="DC534">
        <f>$C534*DC533</f>
        <v/>
      </c>
    </row>
    <row r="535">
      <c r="B535" t="inlineStr">
        <is>
          <t>TSP-1388</t>
        </is>
      </c>
      <c r="C535" t="inlineStr">
        <is>
          <t>No. of batches</t>
        </is>
      </c>
      <c r="D535">
        <f>IFERROR(INDEX(PP_Grid[#Data],$DD535,2),0)</f>
        <v/>
      </c>
      <c r="E535">
        <f>IFERROR(INDEX(PP_Grid[#Data],$DD535,3),0)</f>
        <v/>
      </c>
      <c r="F535">
        <f>IFERROR(INDEX(PP_Grid[#Data],$DD535,4),0)</f>
        <v/>
      </c>
      <c r="G535">
        <f>IFERROR(INDEX(PP_Grid[#Data],$DD535,5),0)</f>
        <v/>
      </c>
      <c r="H535">
        <f>IFERROR(INDEX(PP_Grid[#Data],$DD535,6),0)</f>
        <v/>
      </c>
      <c r="I535">
        <f>IFERROR(INDEX(PP_Grid[#Data],$DD535,7),0)</f>
        <v/>
      </c>
      <c r="J535">
        <f>IFERROR(INDEX(PP_Grid[#Data],$DD535,8),0)</f>
        <v/>
      </c>
      <c r="K535">
        <f>IFERROR(INDEX(PP_Grid[#Data],$DD535,9),0)</f>
        <v/>
      </c>
      <c r="L535">
        <f>IFERROR(INDEX(PP_Grid[#Data],$DD535,10),0)</f>
        <v/>
      </c>
      <c r="M535">
        <f>IFERROR(INDEX(PP_Grid[#Data],$DD535,11),0)</f>
        <v/>
      </c>
      <c r="N535">
        <f>IFERROR(INDEX(PP_Grid[#Data],$DD535,12),0)</f>
        <v/>
      </c>
      <c r="O535">
        <f>IFERROR(INDEX(PP_Grid[#Data],$DD535,13),0)</f>
        <v/>
      </c>
      <c r="P535">
        <f>IFERROR(INDEX(PP_Grid[#Data],$DD535,14),0)</f>
        <v/>
      </c>
      <c r="Q535">
        <f>IFERROR(INDEX(PP_Grid[#Data],$DD535,15),0)</f>
        <v/>
      </c>
      <c r="R535">
        <f>IFERROR(INDEX(PP_Grid[#Data],$DD535,16),0)</f>
        <v/>
      </c>
      <c r="S535">
        <f>IFERROR(INDEX(PP_Grid[#Data],$DD535,17),0)</f>
        <v/>
      </c>
      <c r="T535">
        <f>IFERROR(INDEX(PP_Grid[#Data],$DD535,18),0)</f>
        <v/>
      </c>
      <c r="U535">
        <f>IFERROR(INDEX(PP_Grid[#Data],$DD535,19),0)</f>
        <v/>
      </c>
      <c r="V535">
        <f>IFERROR(INDEX(PP_Grid[#Data],$DD535,20),0)</f>
        <v/>
      </c>
      <c r="W535">
        <f>IFERROR(INDEX(PP_Grid[#Data],$DD535,21),0)</f>
        <v/>
      </c>
      <c r="X535">
        <f>IFERROR(INDEX(PP_Grid[#Data],$DD535,22),0)</f>
        <v/>
      </c>
      <c r="Y535">
        <f>IFERROR(INDEX(PP_Grid[#Data],$DD535,23),0)</f>
        <v/>
      </c>
      <c r="Z535">
        <f>IFERROR(INDEX(PP_Grid[#Data],$DD535,24),0)</f>
        <v/>
      </c>
      <c r="AA535">
        <f>IFERROR(INDEX(PP_Grid[#Data],$DD535,25),0)</f>
        <v/>
      </c>
      <c r="AB535">
        <f>IFERROR(INDEX(PP_Grid[#Data],$DD535,26),0)</f>
        <v/>
      </c>
      <c r="AC535">
        <f>IFERROR(INDEX(PP_Grid[#Data],$DD535,27),0)</f>
        <v/>
      </c>
      <c r="AD535">
        <f>IFERROR(INDEX(PP_Grid[#Data],$DD535,28),0)</f>
        <v/>
      </c>
      <c r="AE535">
        <f>IFERROR(INDEX(PP_Grid[#Data],$DD535,29),0)</f>
        <v/>
      </c>
      <c r="AF535">
        <f>IFERROR(INDEX(PP_Grid[#Data],$DD535,30),0)</f>
        <v/>
      </c>
      <c r="AG535">
        <f>IFERROR(INDEX(PP_Grid[#Data],$DD535,31),0)</f>
        <v/>
      </c>
      <c r="AH535">
        <f>IFERROR(INDEX(PP_Grid[#Data],$DD535,32),0)</f>
        <v/>
      </c>
      <c r="AI535">
        <f>IFERROR(INDEX(PP_Grid[#Data],$DD535,33),0)</f>
        <v/>
      </c>
      <c r="AJ535">
        <f>IFERROR(INDEX(PP_Grid[#Data],$DD535,34),0)</f>
        <v/>
      </c>
      <c r="AK535">
        <f>IFERROR(INDEX(PP_Grid[#Data],$DD535,35),0)</f>
        <v/>
      </c>
      <c r="AL535">
        <f>IFERROR(INDEX(PP_Grid[#Data],$DD535,36),0)</f>
        <v/>
      </c>
      <c r="AM535">
        <f>IFERROR(INDEX(PP_Grid[#Data],$DD535,37),0)</f>
        <v/>
      </c>
      <c r="AN535">
        <f>IFERROR(INDEX(PP_Grid[#Data],$DD535,38),0)</f>
        <v/>
      </c>
      <c r="AO535">
        <f>IFERROR(INDEX(PP_Grid[#Data],$DD535,39),0)</f>
        <v/>
      </c>
      <c r="AP535">
        <f>IFERROR(INDEX(PP_Grid[#Data],$DD535,40),0)</f>
        <v/>
      </c>
      <c r="AQ535">
        <f>IFERROR(INDEX(PP_Grid[#Data],$DD535,41),0)</f>
        <v/>
      </c>
      <c r="AR535">
        <f>IFERROR(INDEX(PP_Grid[#Data],$DD535,42),0)</f>
        <v/>
      </c>
      <c r="AS535">
        <f>IFERROR(INDEX(PP_Grid[#Data],$DD535,43),0)</f>
        <v/>
      </c>
      <c r="AT535">
        <f>IFERROR(INDEX(PP_Grid[#Data],$DD535,44),0)</f>
        <v/>
      </c>
      <c r="AU535">
        <f>IFERROR(INDEX(PP_Grid[#Data],$DD535,45),0)</f>
        <v/>
      </c>
      <c r="AV535">
        <f>IFERROR(INDEX(PP_Grid[#Data],$DD535,46),0)</f>
        <v/>
      </c>
      <c r="AW535">
        <f>IFERROR(INDEX(PP_Grid[#Data],$DD535,47),0)</f>
        <v/>
      </c>
      <c r="AX535">
        <f>IFERROR(INDEX(PP_Grid[#Data],$DD535,48),0)</f>
        <v/>
      </c>
      <c r="AY535">
        <f>IFERROR(INDEX(PP_Grid[#Data],$DD535,49),0)</f>
        <v/>
      </c>
      <c r="AZ535">
        <f>IFERROR(INDEX(PP_Grid[#Data],$DD535,50),0)</f>
        <v/>
      </c>
      <c r="BA535">
        <f>IFERROR(INDEX(PP_Grid[#Data],$DD535,51),0)</f>
        <v/>
      </c>
      <c r="BB535">
        <f>IFERROR(INDEX(PP_Grid[#Data],$DD535,52),0)</f>
        <v/>
      </c>
      <c r="BC535">
        <f>IFERROR(INDEX(PP_Grid[#Data],$DD535,53),0)</f>
        <v/>
      </c>
      <c r="BD535">
        <f>IFERROR(INDEX(PP_Grid[#Data],$DD535,54),0)</f>
        <v/>
      </c>
      <c r="BE535">
        <f>IFERROR(INDEX(PP_Grid[#Data],$DD535,55),0)</f>
        <v/>
      </c>
      <c r="BF535">
        <f>IFERROR(INDEX(PP_Grid[#Data],$DD535,56),0)</f>
        <v/>
      </c>
      <c r="BG535">
        <f>IFERROR(INDEX(PP_Grid[#Data],$DD535,57),0)</f>
        <v/>
      </c>
      <c r="BH535">
        <f>IFERROR(INDEX(PP_Grid[#Data],$DD535,58),0)</f>
        <v/>
      </c>
      <c r="BI535">
        <f>IFERROR(INDEX(PP_Grid[#Data],$DD535,59),0)</f>
        <v/>
      </c>
      <c r="BJ535">
        <f>IFERROR(INDEX(PP_Grid[#Data],$DD535,60),0)</f>
        <v/>
      </c>
      <c r="BK535">
        <f>IFERROR(INDEX(PP_Grid[#Data],$DD535,61),0)</f>
        <v/>
      </c>
      <c r="BL535">
        <f>IFERROR(INDEX(PP_Grid[#Data],$DD535,62),0)</f>
        <v/>
      </c>
      <c r="BM535">
        <f>IFERROR(INDEX(PP_Grid[#Data],$DD535,63),0)</f>
        <v/>
      </c>
      <c r="BN535">
        <f>IFERROR(INDEX(PP_Grid[#Data],$DD535,64),0)</f>
        <v/>
      </c>
      <c r="BO535">
        <f>IFERROR(INDEX(PP_Grid[#Data],$DD535,65),0)</f>
        <v/>
      </c>
      <c r="BP535">
        <f>IFERROR(INDEX(PP_Grid[#Data],$DD535,66),0)</f>
        <v/>
      </c>
      <c r="BQ535">
        <f>IFERROR(INDEX(PP_Grid[#Data],$DD535,67),0)</f>
        <v/>
      </c>
      <c r="BR535">
        <f>IFERROR(INDEX(PP_Grid[#Data],$DD535,68),0)</f>
        <v/>
      </c>
      <c r="BS535">
        <f>IFERROR(INDEX(PP_Grid[#Data],$DD535,69),0)</f>
        <v/>
      </c>
      <c r="BT535">
        <f>IFERROR(INDEX(PP_Grid[#Data],$DD535,70),0)</f>
        <v/>
      </c>
      <c r="BU535">
        <f>IFERROR(INDEX(PP_Grid[#Data],$DD535,71),0)</f>
        <v/>
      </c>
      <c r="BV535">
        <f>IFERROR(INDEX(PP_Grid[#Data],$DD535,72),0)</f>
        <v/>
      </c>
      <c r="BW535">
        <f>IFERROR(INDEX(PP_Grid[#Data],$DD535,73),0)</f>
        <v/>
      </c>
      <c r="BX535">
        <f>IFERROR(INDEX(PP_Grid[#Data],$DD535,74),0)</f>
        <v/>
      </c>
      <c r="BY535">
        <f>IFERROR(INDEX(PP_Grid[#Data],$DD535,75),0)</f>
        <v/>
      </c>
      <c r="BZ535">
        <f>IFERROR(INDEX(PP_Grid[#Data],$DD535,76),0)</f>
        <v/>
      </c>
      <c r="CA535">
        <f>IFERROR(INDEX(PP_Grid[#Data],$DD535,77),0)</f>
        <v/>
      </c>
      <c r="CB535">
        <f>IFERROR(INDEX(PP_Grid[#Data],$DD535,78),0)</f>
        <v/>
      </c>
      <c r="CC535">
        <f>IFERROR(INDEX(PP_Grid[#Data],$DD535,79),0)</f>
        <v/>
      </c>
      <c r="CD535">
        <f>IFERROR(INDEX(PP_Grid[#Data],$DD535,80),0)</f>
        <v/>
      </c>
      <c r="CE535">
        <f>IFERROR(INDEX(PP_Grid[#Data],$DD535,81),0)</f>
        <v/>
      </c>
      <c r="CF535">
        <f>IFERROR(INDEX(PP_Grid[#Data],$DD535,82),0)</f>
        <v/>
      </c>
      <c r="CG535">
        <f>IFERROR(INDEX(PP_Grid[#Data],$DD535,83),0)</f>
        <v/>
      </c>
      <c r="CH535">
        <f>IFERROR(INDEX(PP_Grid[#Data],$DD535,84),0)</f>
        <v/>
      </c>
      <c r="CI535">
        <f>IFERROR(INDEX(PP_Grid[#Data],$DD535,85),0)</f>
        <v/>
      </c>
      <c r="CJ535">
        <f>IFERROR(INDEX(PP_Grid[#Data],$DD535,86),0)</f>
        <v/>
      </c>
      <c r="CK535">
        <f>IFERROR(INDEX(PP_Grid[#Data],$DD535,87),0)</f>
        <v/>
      </c>
      <c r="CL535">
        <f>IFERROR(INDEX(PP_Grid[#Data],$DD535,88),0)</f>
        <v/>
      </c>
      <c r="CM535">
        <f>IFERROR(INDEX(PP_Grid[#Data],$DD535,89),0)</f>
        <v/>
      </c>
      <c r="CN535">
        <f>IFERROR(INDEX(PP_Grid[#Data],$DD535,90),0)</f>
        <v/>
      </c>
      <c r="CO535">
        <f>IFERROR(INDEX(PP_Grid[#Data],$DD535,91),0)</f>
        <v/>
      </c>
      <c r="CP535">
        <f>IFERROR(INDEX(PP_Grid[#Data],$DD535,92),0)</f>
        <v/>
      </c>
      <c r="CQ535">
        <f>IFERROR(INDEX(PP_Grid[#Data],$DD535,93),0)</f>
        <v/>
      </c>
      <c r="CR535">
        <f>IFERROR(INDEX(PP_Grid[#Data],$DD535,94),0)</f>
        <v/>
      </c>
      <c r="CS535">
        <f>IFERROR(INDEX(PP_Grid[#Data],$DD535,95),0)</f>
        <v/>
      </c>
      <c r="CT535">
        <f>IFERROR(INDEX(PP_Grid[#Data],$DD535,96),0)</f>
        <v/>
      </c>
      <c r="CU535">
        <f>IFERROR(INDEX(PP_Grid[#Data],$DD535,97),0)</f>
        <v/>
      </c>
      <c r="CV535">
        <f>IFERROR(INDEX(PP_Grid[#Data],$DD535,98),0)</f>
        <v/>
      </c>
      <c r="CW535">
        <f>IFERROR(INDEX(PP_Grid[#Data],$DD535,99),0)</f>
        <v/>
      </c>
      <c r="CX535">
        <f>IFERROR(INDEX(PP_Grid[#Data],$DD535,100),0)</f>
        <v/>
      </c>
      <c r="CY535">
        <f>IFERROR(INDEX(PP_Grid[#Data],$DD535,101),0)</f>
        <v/>
      </c>
      <c r="CZ535">
        <f>IFERROR(INDEX(PP_Grid[#Data],$DD535,102),0)</f>
        <v/>
      </c>
      <c r="DA535">
        <f>IFERROR(INDEX(PP_Grid[#Data],$DD535,103),0)</f>
        <v/>
      </c>
      <c r="DB535">
        <f>IFERROR(INDEX(PP_Grid[#Data],$DD535,104),0)</f>
        <v/>
      </c>
      <c r="DC535">
        <f>IFERROR(INDEX(PP_Grid[#Data],$DD535,105),0)</f>
        <v/>
      </c>
      <c r="DD535" s="7">
        <f>IFERROR(MATCH($B535,PP_Grid[Intermediate],0),99999)</f>
        <v/>
      </c>
    </row>
    <row r="536">
      <c r="B536" t="inlineStr">
        <is>
          <t>使用量(kg)</t>
        </is>
      </c>
      <c r="C536">
        <f>SUMIFS(M_BOM[RM_Qty_Per_Batch],M_BOM[Intermediate],$B535,M_BOM[Part Name],$A500)</f>
        <v/>
      </c>
      <c r="D536">
        <f>$C536*D535</f>
        <v/>
      </c>
      <c r="E536">
        <f>$C536*E535</f>
        <v/>
      </c>
      <c r="F536">
        <f>$C536*F535</f>
        <v/>
      </c>
      <c r="G536">
        <f>$C536*G535</f>
        <v/>
      </c>
      <c r="H536">
        <f>$C536*H535</f>
        <v/>
      </c>
      <c r="I536">
        <f>$C536*I535</f>
        <v/>
      </c>
      <c r="J536">
        <f>$C536*J535</f>
        <v/>
      </c>
      <c r="K536">
        <f>$C536*K535</f>
        <v/>
      </c>
      <c r="L536">
        <f>$C536*L535</f>
        <v/>
      </c>
      <c r="M536">
        <f>$C536*M535</f>
        <v/>
      </c>
      <c r="N536">
        <f>$C536*N535</f>
        <v/>
      </c>
      <c r="O536">
        <f>$C536*O535</f>
        <v/>
      </c>
      <c r="P536">
        <f>$C536*P535</f>
        <v/>
      </c>
      <c r="Q536">
        <f>$C536*Q535</f>
        <v/>
      </c>
      <c r="R536">
        <f>$C536*R535</f>
        <v/>
      </c>
      <c r="S536">
        <f>$C536*S535</f>
        <v/>
      </c>
      <c r="T536">
        <f>$C536*T535</f>
        <v/>
      </c>
      <c r="U536">
        <f>$C536*U535</f>
        <v/>
      </c>
      <c r="V536">
        <f>$C536*V535</f>
        <v/>
      </c>
      <c r="W536">
        <f>$C536*W535</f>
        <v/>
      </c>
      <c r="X536">
        <f>$C536*X535</f>
        <v/>
      </c>
      <c r="Y536">
        <f>$C536*Y535</f>
        <v/>
      </c>
      <c r="Z536">
        <f>$C536*Z535</f>
        <v/>
      </c>
      <c r="AA536">
        <f>$C536*AA535</f>
        <v/>
      </c>
      <c r="AB536">
        <f>$C536*AB535</f>
        <v/>
      </c>
      <c r="AC536">
        <f>$C536*AC535</f>
        <v/>
      </c>
      <c r="AD536">
        <f>$C536*AD535</f>
        <v/>
      </c>
      <c r="AE536">
        <f>$C536*AE535</f>
        <v/>
      </c>
      <c r="AF536">
        <f>$C536*AF535</f>
        <v/>
      </c>
      <c r="AG536">
        <f>$C536*AG535</f>
        <v/>
      </c>
      <c r="AH536">
        <f>$C536*AH535</f>
        <v/>
      </c>
      <c r="AI536">
        <f>$C536*AI535</f>
        <v/>
      </c>
      <c r="AJ536">
        <f>$C536*AJ535</f>
        <v/>
      </c>
      <c r="AK536">
        <f>$C536*AK535</f>
        <v/>
      </c>
      <c r="AL536">
        <f>$C536*AL535</f>
        <v/>
      </c>
      <c r="AM536">
        <f>$C536*AM535</f>
        <v/>
      </c>
      <c r="AN536">
        <f>$C536*AN535</f>
        <v/>
      </c>
      <c r="AO536">
        <f>$C536*AO535</f>
        <v/>
      </c>
      <c r="AP536">
        <f>$C536*AP535</f>
        <v/>
      </c>
      <c r="AQ536">
        <f>$C536*AQ535</f>
        <v/>
      </c>
      <c r="AR536">
        <f>$C536*AR535</f>
        <v/>
      </c>
      <c r="AS536">
        <f>$C536*AS535</f>
        <v/>
      </c>
      <c r="AT536">
        <f>$C536*AT535</f>
        <v/>
      </c>
      <c r="AU536">
        <f>$C536*AU535</f>
        <v/>
      </c>
      <c r="AV536">
        <f>$C536*AV535</f>
        <v/>
      </c>
      <c r="AW536">
        <f>$C536*AW535</f>
        <v/>
      </c>
      <c r="AX536">
        <f>$C536*AX535</f>
        <v/>
      </c>
      <c r="AY536">
        <f>$C536*AY535</f>
        <v/>
      </c>
      <c r="AZ536">
        <f>$C536*AZ535</f>
        <v/>
      </c>
      <c r="BA536">
        <f>$C536*BA535</f>
        <v/>
      </c>
      <c r="BB536">
        <f>$C536*BB535</f>
        <v/>
      </c>
      <c r="BC536">
        <f>$C536*BC535</f>
        <v/>
      </c>
      <c r="BD536">
        <f>$C536*BD535</f>
        <v/>
      </c>
      <c r="BE536">
        <f>$C536*BE535</f>
        <v/>
      </c>
      <c r="BF536">
        <f>$C536*BF535</f>
        <v/>
      </c>
      <c r="BG536">
        <f>$C536*BG535</f>
        <v/>
      </c>
      <c r="BH536">
        <f>$C536*BH535</f>
        <v/>
      </c>
      <c r="BI536">
        <f>$C536*BI535</f>
        <v/>
      </c>
      <c r="BJ536">
        <f>$C536*BJ535</f>
        <v/>
      </c>
      <c r="BK536">
        <f>$C536*BK535</f>
        <v/>
      </c>
      <c r="BL536">
        <f>$C536*BL535</f>
        <v/>
      </c>
      <c r="BM536">
        <f>$C536*BM535</f>
        <v/>
      </c>
      <c r="BN536">
        <f>$C536*BN535</f>
        <v/>
      </c>
      <c r="BO536">
        <f>$C536*BO535</f>
        <v/>
      </c>
      <c r="BP536">
        <f>$C536*BP535</f>
        <v/>
      </c>
      <c r="BQ536">
        <f>$C536*BQ535</f>
        <v/>
      </c>
      <c r="BR536">
        <f>$C536*BR535</f>
        <v/>
      </c>
      <c r="BS536">
        <f>$C536*BS535</f>
        <v/>
      </c>
      <c r="BT536">
        <f>$C536*BT535</f>
        <v/>
      </c>
      <c r="BU536">
        <f>$C536*BU535</f>
        <v/>
      </c>
      <c r="BV536">
        <f>$C536*BV535</f>
        <v/>
      </c>
      <c r="BW536">
        <f>$C536*BW535</f>
        <v/>
      </c>
      <c r="BX536">
        <f>$C536*BX535</f>
        <v/>
      </c>
      <c r="BY536">
        <f>$C536*BY535</f>
        <v/>
      </c>
      <c r="BZ536">
        <f>$C536*BZ535</f>
        <v/>
      </c>
      <c r="CA536">
        <f>$C536*CA535</f>
        <v/>
      </c>
      <c r="CB536">
        <f>$C536*CB535</f>
        <v/>
      </c>
      <c r="CC536">
        <f>$C536*CC535</f>
        <v/>
      </c>
      <c r="CD536">
        <f>$C536*CD535</f>
        <v/>
      </c>
      <c r="CE536">
        <f>$C536*CE535</f>
        <v/>
      </c>
      <c r="CF536">
        <f>$C536*CF535</f>
        <v/>
      </c>
      <c r="CG536">
        <f>$C536*CG535</f>
        <v/>
      </c>
      <c r="CH536">
        <f>$C536*CH535</f>
        <v/>
      </c>
      <c r="CI536">
        <f>$C536*CI535</f>
        <v/>
      </c>
      <c r="CJ536">
        <f>$C536*CJ535</f>
        <v/>
      </c>
      <c r="CK536">
        <f>$C536*CK535</f>
        <v/>
      </c>
      <c r="CL536">
        <f>$C536*CL535</f>
        <v/>
      </c>
      <c r="CM536">
        <f>$C536*CM535</f>
        <v/>
      </c>
      <c r="CN536">
        <f>$C536*CN535</f>
        <v/>
      </c>
      <c r="CO536">
        <f>$C536*CO535</f>
        <v/>
      </c>
      <c r="CP536">
        <f>$C536*CP535</f>
        <v/>
      </c>
      <c r="CQ536">
        <f>$C536*CQ535</f>
        <v/>
      </c>
      <c r="CR536">
        <f>$C536*CR535</f>
        <v/>
      </c>
      <c r="CS536">
        <f>$C536*CS535</f>
        <v/>
      </c>
      <c r="CT536">
        <f>$C536*CT535</f>
        <v/>
      </c>
      <c r="CU536">
        <f>$C536*CU535</f>
        <v/>
      </c>
      <c r="CV536">
        <f>$C536*CV535</f>
        <v/>
      </c>
      <c r="CW536">
        <f>$C536*CW535</f>
        <v/>
      </c>
      <c r="CX536">
        <f>$C536*CX535</f>
        <v/>
      </c>
      <c r="CY536">
        <f>$C536*CY535</f>
        <v/>
      </c>
      <c r="CZ536">
        <f>$C536*CZ535</f>
        <v/>
      </c>
      <c r="DA536">
        <f>$C536*DA535</f>
        <v/>
      </c>
      <c r="DB536">
        <f>$C536*DB535</f>
        <v/>
      </c>
      <c r="DC536">
        <f>$C536*DC535</f>
        <v/>
      </c>
    </row>
    <row r="537">
      <c r="B537" t="inlineStr">
        <is>
          <t>TSP-924</t>
        </is>
      </c>
      <c r="C537" t="inlineStr">
        <is>
          <t>No. of batches</t>
        </is>
      </c>
      <c r="D537">
        <f>IFERROR(INDEX(PP_Grid[#Data],$DD537,2),0)</f>
        <v/>
      </c>
      <c r="E537">
        <f>IFERROR(INDEX(PP_Grid[#Data],$DD537,3),0)</f>
        <v/>
      </c>
      <c r="F537">
        <f>IFERROR(INDEX(PP_Grid[#Data],$DD537,4),0)</f>
        <v/>
      </c>
      <c r="G537">
        <f>IFERROR(INDEX(PP_Grid[#Data],$DD537,5),0)</f>
        <v/>
      </c>
      <c r="H537">
        <f>IFERROR(INDEX(PP_Grid[#Data],$DD537,6),0)</f>
        <v/>
      </c>
      <c r="I537">
        <f>IFERROR(INDEX(PP_Grid[#Data],$DD537,7),0)</f>
        <v/>
      </c>
      <c r="J537">
        <f>IFERROR(INDEX(PP_Grid[#Data],$DD537,8),0)</f>
        <v/>
      </c>
      <c r="K537">
        <f>IFERROR(INDEX(PP_Grid[#Data],$DD537,9),0)</f>
        <v/>
      </c>
      <c r="L537">
        <f>IFERROR(INDEX(PP_Grid[#Data],$DD537,10),0)</f>
        <v/>
      </c>
      <c r="M537">
        <f>IFERROR(INDEX(PP_Grid[#Data],$DD537,11),0)</f>
        <v/>
      </c>
      <c r="N537">
        <f>IFERROR(INDEX(PP_Grid[#Data],$DD537,12),0)</f>
        <v/>
      </c>
      <c r="O537">
        <f>IFERROR(INDEX(PP_Grid[#Data],$DD537,13),0)</f>
        <v/>
      </c>
      <c r="P537">
        <f>IFERROR(INDEX(PP_Grid[#Data],$DD537,14),0)</f>
        <v/>
      </c>
      <c r="Q537">
        <f>IFERROR(INDEX(PP_Grid[#Data],$DD537,15),0)</f>
        <v/>
      </c>
      <c r="R537">
        <f>IFERROR(INDEX(PP_Grid[#Data],$DD537,16),0)</f>
        <v/>
      </c>
      <c r="S537">
        <f>IFERROR(INDEX(PP_Grid[#Data],$DD537,17),0)</f>
        <v/>
      </c>
      <c r="T537">
        <f>IFERROR(INDEX(PP_Grid[#Data],$DD537,18),0)</f>
        <v/>
      </c>
      <c r="U537">
        <f>IFERROR(INDEX(PP_Grid[#Data],$DD537,19),0)</f>
        <v/>
      </c>
      <c r="V537">
        <f>IFERROR(INDEX(PP_Grid[#Data],$DD537,20),0)</f>
        <v/>
      </c>
      <c r="W537">
        <f>IFERROR(INDEX(PP_Grid[#Data],$DD537,21),0)</f>
        <v/>
      </c>
      <c r="X537">
        <f>IFERROR(INDEX(PP_Grid[#Data],$DD537,22),0)</f>
        <v/>
      </c>
      <c r="Y537">
        <f>IFERROR(INDEX(PP_Grid[#Data],$DD537,23),0)</f>
        <v/>
      </c>
      <c r="Z537">
        <f>IFERROR(INDEX(PP_Grid[#Data],$DD537,24),0)</f>
        <v/>
      </c>
      <c r="AA537">
        <f>IFERROR(INDEX(PP_Grid[#Data],$DD537,25),0)</f>
        <v/>
      </c>
      <c r="AB537">
        <f>IFERROR(INDEX(PP_Grid[#Data],$DD537,26),0)</f>
        <v/>
      </c>
      <c r="AC537">
        <f>IFERROR(INDEX(PP_Grid[#Data],$DD537,27),0)</f>
        <v/>
      </c>
      <c r="AD537">
        <f>IFERROR(INDEX(PP_Grid[#Data],$DD537,28),0)</f>
        <v/>
      </c>
      <c r="AE537">
        <f>IFERROR(INDEX(PP_Grid[#Data],$DD537,29),0)</f>
        <v/>
      </c>
      <c r="AF537">
        <f>IFERROR(INDEX(PP_Grid[#Data],$DD537,30),0)</f>
        <v/>
      </c>
      <c r="AG537">
        <f>IFERROR(INDEX(PP_Grid[#Data],$DD537,31),0)</f>
        <v/>
      </c>
      <c r="AH537">
        <f>IFERROR(INDEX(PP_Grid[#Data],$DD537,32),0)</f>
        <v/>
      </c>
      <c r="AI537">
        <f>IFERROR(INDEX(PP_Grid[#Data],$DD537,33),0)</f>
        <v/>
      </c>
      <c r="AJ537">
        <f>IFERROR(INDEX(PP_Grid[#Data],$DD537,34),0)</f>
        <v/>
      </c>
      <c r="AK537">
        <f>IFERROR(INDEX(PP_Grid[#Data],$DD537,35),0)</f>
        <v/>
      </c>
      <c r="AL537">
        <f>IFERROR(INDEX(PP_Grid[#Data],$DD537,36),0)</f>
        <v/>
      </c>
      <c r="AM537">
        <f>IFERROR(INDEX(PP_Grid[#Data],$DD537,37),0)</f>
        <v/>
      </c>
      <c r="AN537">
        <f>IFERROR(INDEX(PP_Grid[#Data],$DD537,38),0)</f>
        <v/>
      </c>
      <c r="AO537">
        <f>IFERROR(INDEX(PP_Grid[#Data],$DD537,39),0)</f>
        <v/>
      </c>
      <c r="AP537">
        <f>IFERROR(INDEX(PP_Grid[#Data],$DD537,40),0)</f>
        <v/>
      </c>
      <c r="AQ537">
        <f>IFERROR(INDEX(PP_Grid[#Data],$DD537,41),0)</f>
        <v/>
      </c>
      <c r="AR537">
        <f>IFERROR(INDEX(PP_Grid[#Data],$DD537,42),0)</f>
        <v/>
      </c>
      <c r="AS537">
        <f>IFERROR(INDEX(PP_Grid[#Data],$DD537,43),0)</f>
        <v/>
      </c>
      <c r="AT537">
        <f>IFERROR(INDEX(PP_Grid[#Data],$DD537,44),0)</f>
        <v/>
      </c>
      <c r="AU537">
        <f>IFERROR(INDEX(PP_Grid[#Data],$DD537,45),0)</f>
        <v/>
      </c>
      <c r="AV537">
        <f>IFERROR(INDEX(PP_Grid[#Data],$DD537,46),0)</f>
        <v/>
      </c>
      <c r="AW537">
        <f>IFERROR(INDEX(PP_Grid[#Data],$DD537,47),0)</f>
        <v/>
      </c>
      <c r="AX537">
        <f>IFERROR(INDEX(PP_Grid[#Data],$DD537,48),0)</f>
        <v/>
      </c>
      <c r="AY537">
        <f>IFERROR(INDEX(PP_Grid[#Data],$DD537,49),0)</f>
        <v/>
      </c>
      <c r="AZ537">
        <f>IFERROR(INDEX(PP_Grid[#Data],$DD537,50),0)</f>
        <v/>
      </c>
      <c r="BA537">
        <f>IFERROR(INDEX(PP_Grid[#Data],$DD537,51),0)</f>
        <v/>
      </c>
      <c r="BB537">
        <f>IFERROR(INDEX(PP_Grid[#Data],$DD537,52),0)</f>
        <v/>
      </c>
      <c r="BC537">
        <f>IFERROR(INDEX(PP_Grid[#Data],$DD537,53),0)</f>
        <v/>
      </c>
      <c r="BD537">
        <f>IFERROR(INDEX(PP_Grid[#Data],$DD537,54),0)</f>
        <v/>
      </c>
      <c r="BE537">
        <f>IFERROR(INDEX(PP_Grid[#Data],$DD537,55),0)</f>
        <v/>
      </c>
      <c r="BF537">
        <f>IFERROR(INDEX(PP_Grid[#Data],$DD537,56),0)</f>
        <v/>
      </c>
      <c r="BG537">
        <f>IFERROR(INDEX(PP_Grid[#Data],$DD537,57),0)</f>
        <v/>
      </c>
      <c r="BH537">
        <f>IFERROR(INDEX(PP_Grid[#Data],$DD537,58),0)</f>
        <v/>
      </c>
      <c r="BI537">
        <f>IFERROR(INDEX(PP_Grid[#Data],$DD537,59),0)</f>
        <v/>
      </c>
      <c r="BJ537">
        <f>IFERROR(INDEX(PP_Grid[#Data],$DD537,60),0)</f>
        <v/>
      </c>
      <c r="BK537">
        <f>IFERROR(INDEX(PP_Grid[#Data],$DD537,61),0)</f>
        <v/>
      </c>
      <c r="BL537">
        <f>IFERROR(INDEX(PP_Grid[#Data],$DD537,62),0)</f>
        <v/>
      </c>
      <c r="BM537">
        <f>IFERROR(INDEX(PP_Grid[#Data],$DD537,63),0)</f>
        <v/>
      </c>
      <c r="BN537">
        <f>IFERROR(INDEX(PP_Grid[#Data],$DD537,64),0)</f>
        <v/>
      </c>
      <c r="BO537">
        <f>IFERROR(INDEX(PP_Grid[#Data],$DD537,65),0)</f>
        <v/>
      </c>
      <c r="BP537">
        <f>IFERROR(INDEX(PP_Grid[#Data],$DD537,66),0)</f>
        <v/>
      </c>
      <c r="BQ537">
        <f>IFERROR(INDEX(PP_Grid[#Data],$DD537,67),0)</f>
        <v/>
      </c>
      <c r="BR537">
        <f>IFERROR(INDEX(PP_Grid[#Data],$DD537,68),0)</f>
        <v/>
      </c>
      <c r="BS537">
        <f>IFERROR(INDEX(PP_Grid[#Data],$DD537,69),0)</f>
        <v/>
      </c>
      <c r="BT537">
        <f>IFERROR(INDEX(PP_Grid[#Data],$DD537,70),0)</f>
        <v/>
      </c>
      <c r="BU537">
        <f>IFERROR(INDEX(PP_Grid[#Data],$DD537,71),0)</f>
        <v/>
      </c>
      <c r="BV537">
        <f>IFERROR(INDEX(PP_Grid[#Data],$DD537,72),0)</f>
        <v/>
      </c>
      <c r="BW537">
        <f>IFERROR(INDEX(PP_Grid[#Data],$DD537,73),0)</f>
        <v/>
      </c>
      <c r="BX537">
        <f>IFERROR(INDEX(PP_Grid[#Data],$DD537,74),0)</f>
        <v/>
      </c>
      <c r="BY537">
        <f>IFERROR(INDEX(PP_Grid[#Data],$DD537,75),0)</f>
        <v/>
      </c>
      <c r="BZ537">
        <f>IFERROR(INDEX(PP_Grid[#Data],$DD537,76),0)</f>
        <v/>
      </c>
      <c r="CA537">
        <f>IFERROR(INDEX(PP_Grid[#Data],$DD537,77),0)</f>
        <v/>
      </c>
      <c r="CB537">
        <f>IFERROR(INDEX(PP_Grid[#Data],$DD537,78),0)</f>
        <v/>
      </c>
      <c r="CC537">
        <f>IFERROR(INDEX(PP_Grid[#Data],$DD537,79),0)</f>
        <v/>
      </c>
      <c r="CD537">
        <f>IFERROR(INDEX(PP_Grid[#Data],$DD537,80),0)</f>
        <v/>
      </c>
      <c r="CE537">
        <f>IFERROR(INDEX(PP_Grid[#Data],$DD537,81),0)</f>
        <v/>
      </c>
      <c r="CF537">
        <f>IFERROR(INDEX(PP_Grid[#Data],$DD537,82),0)</f>
        <v/>
      </c>
      <c r="CG537">
        <f>IFERROR(INDEX(PP_Grid[#Data],$DD537,83),0)</f>
        <v/>
      </c>
      <c r="CH537">
        <f>IFERROR(INDEX(PP_Grid[#Data],$DD537,84),0)</f>
        <v/>
      </c>
      <c r="CI537">
        <f>IFERROR(INDEX(PP_Grid[#Data],$DD537,85),0)</f>
        <v/>
      </c>
      <c r="CJ537">
        <f>IFERROR(INDEX(PP_Grid[#Data],$DD537,86),0)</f>
        <v/>
      </c>
      <c r="CK537">
        <f>IFERROR(INDEX(PP_Grid[#Data],$DD537,87),0)</f>
        <v/>
      </c>
      <c r="CL537">
        <f>IFERROR(INDEX(PP_Grid[#Data],$DD537,88),0)</f>
        <v/>
      </c>
      <c r="CM537">
        <f>IFERROR(INDEX(PP_Grid[#Data],$DD537,89),0)</f>
        <v/>
      </c>
      <c r="CN537">
        <f>IFERROR(INDEX(PP_Grid[#Data],$DD537,90),0)</f>
        <v/>
      </c>
      <c r="CO537">
        <f>IFERROR(INDEX(PP_Grid[#Data],$DD537,91),0)</f>
        <v/>
      </c>
      <c r="CP537">
        <f>IFERROR(INDEX(PP_Grid[#Data],$DD537,92),0)</f>
        <v/>
      </c>
      <c r="CQ537">
        <f>IFERROR(INDEX(PP_Grid[#Data],$DD537,93),0)</f>
        <v/>
      </c>
      <c r="CR537">
        <f>IFERROR(INDEX(PP_Grid[#Data],$DD537,94),0)</f>
        <v/>
      </c>
      <c r="CS537">
        <f>IFERROR(INDEX(PP_Grid[#Data],$DD537,95),0)</f>
        <v/>
      </c>
      <c r="CT537">
        <f>IFERROR(INDEX(PP_Grid[#Data],$DD537,96),0)</f>
        <v/>
      </c>
      <c r="CU537">
        <f>IFERROR(INDEX(PP_Grid[#Data],$DD537,97),0)</f>
        <v/>
      </c>
      <c r="CV537">
        <f>IFERROR(INDEX(PP_Grid[#Data],$DD537,98),0)</f>
        <v/>
      </c>
      <c r="CW537">
        <f>IFERROR(INDEX(PP_Grid[#Data],$DD537,99),0)</f>
        <v/>
      </c>
      <c r="CX537">
        <f>IFERROR(INDEX(PP_Grid[#Data],$DD537,100),0)</f>
        <v/>
      </c>
      <c r="CY537">
        <f>IFERROR(INDEX(PP_Grid[#Data],$DD537,101),0)</f>
        <v/>
      </c>
      <c r="CZ537">
        <f>IFERROR(INDEX(PP_Grid[#Data],$DD537,102),0)</f>
        <v/>
      </c>
      <c r="DA537">
        <f>IFERROR(INDEX(PP_Grid[#Data],$DD537,103),0)</f>
        <v/>
      </c>
      <c r="DB537">
        <f>IFERROR(INDEX(PP_Grid[#Data],$DD537,104),0)</f>
        <v/>
      </c>
      <c r="DC537">
        <f>IFERROR(INDEX(PP_Grid[#Data],$DD537,105),0)</f>
        <v/>
      </c>
      <c r="DD537" s="7">
        <f>IFERROR(MATCH($B537,PP_Grid[Intermediate],0),99999)</f>
        <v/>
      </c>
    </row>
    <row r="538">
      <c r="B538" t="inlineStr">
        <is>
          <t>使用量(kg)</t>
        </is>
      </c>
      <c r="C538">
        <f>SUMIFS(M_BOM[RM_Qty_Per_Batch],M_BOM[Intermediate],$B537,M_BOM[Part Name],$A500)</f>
        <v/>
      </c>
      <c r="D538">
        <f>$C538*D537</f>
        <v/>
      </c>
      <c r="E538">
        <f>$C538*E537</f>
        <v/>
      </c>
      <c r="F538">
        <f>$C538*F537</f>
        <v/>
      </c>
      <c r="G538">
        <f>$C538*G537</f>
        <v/>
      </c>
      <c r="H538">
        <f>$C538*H537</f>
        <v/>
      </c>
      <c r="I538">
        <f>$C538*I537</f>
        <v/>
      </c>
      <c r="J538">
        <f>$C538*J537</f>
        <v/>
      </c>
      <c r="K538">
        <f>$C538*K537</f>
        <v/>
      </c>
      <c r="L538">
        <f>$C538*L537</f>
        <v/>
      </c>
      <c r="M538">
        <f>$C538*M537</f>
        <v/>
      </c>
      <c r="N538">
        <f>$C538*N537</f>
        <v/>
      </c>
      <c r="O538">
        <f>$C538*O537</f>
        <v/>
      </c>
      <c r="P538">
        <f>$C538*P537</f>
        <v/>
      </c>
      <c r="Q538">
        <f>$C538*Q537</f>
        <v/>
      </c>
      <c r="R538">
        <f>$C538*R537</f>
        <v/>
      </c>
      <c r="S538">
        <f>$C538*S537</f>
        <v/>
      </c>
      <c r="T538">
        <f>$C538*T537</f>
        <v/>
      </c>
      <c r="U538">
        <f>$C538*U537</f>
        <v/>
      </c>
      <c r="V538">
        <f>$C538*V537</f>
        <v/>
      </c>
      <c r="W538">
        <f>$C538*W537</f>
        <v/>
      </c>
      <c r="X538">
        <f>$C538*X537</f>
        <v/>
      </c>
      <c r="Y538">
        <f>$C538*Y537</f>
        <v/>
      </c>
      <c r="Z538">
        <f>$C538*Z537</f>
        <v/>
      </c>
      <c r="AA538">
        <f>$C538*AA537</f>
        <v/>
      </c>
      <c r="AB538">
        <f>$C538*AB537</f>
        <v/>
      </c>
      <c r="AC538">
        <f>$C538*AC537</f>
        <v/>
      </c>
      <c r="AD538">
        <f>$C538*AD537</f>
        <v/>
      </c>
      <c r="AE538">
        <f>$C538*AE537</f>
        <v/>
      </c>
      <c r="AF538">
        <f>$C538*AF537</f>
        <v/>
      </c>
      <c r="AG538">
        <f>$C538*AG537</f>
        <v/>
      </c>
      <c r="AH538">
        <f>$C538*AH537</f>
        <v/>
      </c>
      <c r="AI538">
        <f>$C538*AI537</f>
        <v/>
      </c>
      <c r="AJ538">
        <f>$C538*AJ537</f>
        <v/>
      </c>
      <c r="AK538">
        <f>$C538*AK537</f>
        <v/>
      </c>
      <c r="AL538">
        <f>$C538*AL537</f>
        <v/>
      </c>
      <c r="AM538">
        <f>$C538*AM537</f>
        <v/>
      </c>
      <c r="AN538">
        <f>$C538*AN537</f>
        <v/>
      </c>
      <c r="AO538">
        <f>$C538*AO537</f>
        <v/>
      </c>
      <c r="AP538">
        <f>$C538*AP537</f>
        <v/>
      </c>
      <c r="AQ538">
        <f>$C538*AQ537</f>
        <v/>
      </c>
      <c r="AR538">
        <f>$C538*AR537</f>
        <v/>
      </c>
      <c r="AS538">
        <f>$C538*AS537</f>
        <v/>
      </c>
      <c r="AT538">
        <f>$C538*AT537</f>
        <v/>
      </c>
      <c r="AU538">
        <f>$C538*AU537</f>
        <v/>
      </c>
      <c r="AV538">
        <f>$C538*AV537</f>
        <v/>
      </c>
      <c r="AW538">
        <f>$C538*AW537</f>
        <v/>
      </c>
      <c r="AX538">
        <f>$C538*AX537</f>
        <v/>
      </c>
      <c r="AY538">
        <f>$C538*AY537</f>
        <v/>
      </c>
      <c r="AZ538">
        <f>$C538*AZ537</f>
        <v/>
      </c>
      <c r="BA538">
        <f>$C538*BA537</f>
        <v/>
      </c>
      <c r="BB538">
        <f>$C538*BB537</f>
        <v/>
      </c>
      <c r="BC538">
        <f>$C538*BC537</f>
        <v/>
      </c>
      <c r="BD538">
        <f>$C538*BD537</f>
        <v/>
      </c>
      <c r="BE538">
        <f>$C538*BE537</f>
        <v/>
      </c>
      <c r="BF538">
        <f>$C538*BF537</f>
        <v/>
      </c>
      <c r="BG538">
        <f>$C538*BG537</f>
        <v/>
      </c>
      <c r="BH538">
        <f>$C538*BH537</f>
        <v/>
      </c>
      <c r="BI538">
        <f>$C538*BI537</f>
        <v/>
      </c>
      <c r="BJ538">
        <f>$C538*BJ537</f>
        <v/>
      </c>
      <c r="BK538">
        <f>$C538*BK537</f>
        <v/>
      </c>
      <c r="BL538">
        <f>$C538*BL537</f>
        <v/>
      </c>
      <c r="BM538">
        <f>$C538*BM537</f>
        <v/>
      </c>
      <c r="BN538">
        <f>$C538*BN537</f>
        <v/>
      </c>
      <c r="BO538">
        <f>$C538*BO537</f>
        <v/>
      </c>
      <c r="BP538">
        <f>$C538*BP537</f>
        <v/>
      </c>
      <c r="BQ538">
        <f>$C538*BQ537</f>
        <v/>
      </c>
      <c r="BR538">
        <f>$C538*BR537</f>
        <v/>
      </c>
      <c r="BS538">
        <f>$C538*BS537</f>
        <v/>
      </c>
      <c r="BT538">
        <f>$C538*BT537</f>
        <v/>
      </c>
      <c r="BU538">
        <f>$C538*BU537</f>
        <v/>
      </c>
      <c r="BV538">
        <f>$C538*BV537</f>
        <v/>
      </c>
      <c r="BW538">
        <f>$C538*BW537</f>
        <v/>
      </c>
      <c r="BX538">
        <f>$C538*BX537</f>
        <v/>
      </c>
      <c r="BY538">
        <f>$C538*BY537</f>
        <v/>
      </c>
      <c r="BZ538">
        <f>$C538*BZ537</f>
        <v/>
      </c>
      <c r="CA538">
        <f>$C538*CA537</f>
        <v/>
      </c>
      <c r="CB538">
        <f>$C538*CB537</f>
        <v/>
      </c>
      <c r="CC538">
        <f>$C538*CC537</f>
        <v/>
      </c>
      <c r="CD538">
        <f>$C538*CD537</f>
        <v/>
      </c>
      <c r="CE538">
        <f>$C538*CE537</f>
        <v/>
      </c>
      <c r="CF538">
        <f>$C538*CF537</f>
        <v/>
      </c>
      <c r="CG538">
        <f>$C538*CG537</f>
        <v/>
      </c>
      <c r="CH538">
        <f>$C538*CH537</f>
        <v/>
      </c>
      <c r="CI538">
        <f>$C538*CI537</f>
        <v/>
      </c>
      <c r="CJ538">
        <f>$C538*CJ537</f>
        <v/>
      </c>
      <c r="CK538">
        <f>$C538*CK537</f>
        <v/>
      </c>
      <c r="CL538">
        <f>$C538*CL537</f>
        <v/>
      </c>
      <c r="CM538">
        <f>$C538*CM537</f>
        <v/>
      </c>
      <c r="CN538">
        <f>$C538*CN537</f>
        <v/>
      </c>
      <c r="CO538">
        <f>$C538*CO537</f>
        <v/>
      </c>
      <c r="CP538">
        <f>$C538*CP537</f>
        <v/>
      </c>
      <c r="CQ538">
        <f>$C538*CQ537</f>
        <v/>
      </c>
      <c r="CR538">
        <f>$C538*CR537</f>
        <v/>
      </c>
      <c r="CS538">
        <f>$C538*CS537</f>
        <v/>
      </c>
      <c r="CT538">
        <f>$C538*CT537</f>
        <v/>
      </c>
      <c r="CU538">
        <f>$C538*CU537</f>
        <v/>
      </c>
      <c r="CV538">
        <f>$C538*CV537</f>
        <v/>
      </c>
      <c r="CW538">
        <f>$C538*CW537</f>
        <v/>
      </c>
      <c r="CX538">
        <f>$C538*CX537</f>
        <v/>
      </c>
      <c r="CY538">
        <f>$C538*CY537</f>
        <v/>
      </c>
      <c r="CZ538">
        <f>$C538*CZ537</f>
        <v/>
      </c>
      <c r="DA538">
        <f>$C538*DA537</f>
        <v/>
      </c>
      <c r="DB538">
        <f>$C538*DB537</f>
        <v/>
      </c>
      <c r="DC538">
        <f>$C538*DC537</f>
        <v/>
      </c>
    </row>
    <row r="539">
      <c r="B539" t="inlineStr">
        <is>
          <t>TSP-925</t>
        </is>
      </c>
      <c r="C539" t="inlineStr">
        <is>
          <t>No. of batches</t>
        </is>
      </c>
      <c r="D539">
        <f>IFERROR(INDEX(PP_Grid[#Data],$DD539,2),0)</f>
        <v/>
      </c>
      <c r="E539">
        <f>IFERROR(INDEX(PP_Grid[#Data],$DD539,3),0)</f>
        <v/>
      </c>
      <c r="F539">
        <f>IFERROR(INDEX(PP_Grid[#Data],$DD539,4),0)</f>
        <v/>
      </c>
      <c r="G539">
        <f>IFERROR(INDEX(PP_Grid[#Data],$DD539,5),0)</f>
        <v/>
      </c>
      <c r="H539">
        <f>IFERROR(INDEX(PP_Grid[#Data],$DD539,6),0)</f>
        <v/>
      </c>
      <c r="I539">
        <f>IFERROR(INDEX(PP_Grid[#Data],$DD539,7),0)</f>
        <v/>
      </c>
      <c r="J539">
        <f>IFERROR(INDEX(PP_Grid[#Data],$DD539,8),0)</f>
        <v/>
      </c>
      <c r="K539">
        <f>IFERROR(INDEX(PP_Grid[#Data],$DD539,9),0)</f>
        <v/>
      </c>
      <c r="L539">
        <f>IFERROR(INDEX(PP_Grid[#Data],$DD539,10),0)</f>
        <v/>
      </c>
      <c r="M539">
        <f>IFERROR(INDEX(PP_Grid[#Data],$DD539,11),0)</f>
        <v/>
      </c>
      <c r="N539">
        <f>IFERROR(INDEX(PP_Grid[#Data],$DD539,12),0)</f>
        <v/>
      </c>
      <c r="O539">
        <f>IFERROR(INDEX(PP_Grid[#Data],$DD539,13),0)</f>
        <v/>
      </c>
      <c r="P539">
        <f>IFERROR(INDEX(PP_Grid[#Data],$DD539,14),0)</f>
        <v/>
      </c>
      <c r="Q539">
        <f>IFERROR(INDEX(PP_Grid[#Data],$DD539,15),0)</f>
        <v/>
      </c>
      <c r="R539">
        <f>IFERROR(INDEX(PP_Grid[#Data],$DD539,16),0)</f>
        <v/>
      </c>
      <c r="S539">
        <f>IFERROR(INDEX(PP_Grid[#Data],$DD539,17),0)</f>
        <v/>
      </c>
      <c r="T539">
        <f>IFERROR(INDEX(PP_Grid[#Data],$DD539,18),0)</f>
        <v/>
      </c>
      <c r="U539">
        <f>IFERROR(INDEX(PP_Grid[#Data],$DD539,19),0)</f>
        <v/>
      </c>
      <c r="V539">
        <f>IFERROR(INDEX(PP_Grid[#Data],$DD539,20),0)</f>
        <v/>
      </c>
      <c r="W539">
        <f>IFERROR(INDEX(PP_Grid[#Data],$DD539,21),0)</f>
        <v/>
      </c>
      <c r="X539">
        <f>IFERROR(INDEX(PP_Grid[#Data],$DD539,22),0)</f>
        <v/>
      </c>
      <c r="Y539">
        <f>IFERROR(INDEX(PP_Grid[#Data],$DD539,23),0)</f>
        <v/>
      </c>
      <c r="Z539">
        <f>IFERROR(INDEX(PP_Grid[#Data],$DD539,24),0)</f>
        <v/>
      </c>
      <c r="AA539">
        <f>IFERROR(INDEX(PP_Grid[#Data],$DD539,25),0)</f>
        <v/>
      </c>
      <c r="AB539">
        <f>IFERROR(INDEX(PP_Grid[#Data],$DD539,26),0)</f>
        <v/>
      </c>
      <c r="AC539">
        <f>IFERROR(INDEX(PP_Grid[#Data],$DD539,27),0)</f>
        <v/>
      </c>
      <c r="AD539">
        <f>IFERROR(INDEX(PP_Grid[#Data],$DD539,28),0)</f>
        <v/>
      </c>
      <c r="AE539">
        <f>IFERROR(INDEX(PP_Grid[#Data],$DD539,29),0)</f>
        <v/>
      </c>
      <c r="AF539">
        <f>IFERROR(INDEX(PP_Grid[#Data],$DD539,30),0)</f>
        <v/>
      </c>
      <c r="AG539">
        <f>IFERROR(INDEX(PP_Grid[#Data],$DD539,31),0)</f>
        <v/>
      </c>
      <c r="AH539">
        <f>IFERROR(INDEX(PP_Grid[#Data],$DD539,32),0)</f>
        <v/>
      </c>
      <c r="AI539">
        <f>IFERROR(INDEX(PP_Grid[#Data],$DD539,33),0)</f>
        <v/>
      </c>
      <c r="AJ539">
        <f>IFERROR(INDEX(PP_Grid[#Data],$DD539,34),0)</f>
        <v/>
      </c>
      <c r="AK539">
        <f>IFERROR(INDEX(PP_Grid[#Data],$DD539,35),0)</f>
        <v/>
      </c>
      <c r="AL539">
        <f>IFERROR(INDEX(PP_Grid[#Data],$DD539,36),0)</f>
        <v/>
      </c>
      <c r="AM539">
        <f>IFERROR(INDEX(PP_Grid[#Data],$DD539,37),0)</f>
        <v/>
      </c>
      <c r="AN539">
        <f>IFERROR(INDEX(PP_Grid[#Data],$DD539,38),0)</f>
        <v/>
      </c>
      <c r="AO539">
        <f>IFERROR(INDEX(PP_Grid[#Data],$DD539,39),0)</f>
        <v/>
      </c>
      <c r="AP539">
        <f>IFERROR(INDEX(PP_Grid[#Data],$DD539,40),0)</f>
        <v/>
      </c>
      <c r="AQ539">
        <f>IFERROR(INDEX(PP_Grid[#Data],$DD539,41),0)</f>
        <v/>
      </c>
      <c r="AR539">
        <f>IFERROR(INDEX(PP_Grid[#Data],$DD539,42),0)</f>
        <v/>
      </c>
      <c r="AS539">
        <f>IFERROR(INDEX(PP_Grid[#Data],$DD539,43),0)</f>
        <v/>
      </c>
      <c r="AT539">
        <f>IFERROR(INDEX(PP_Grid[#Data],$DD539,44),0)</f>
        <v/>
      </c>
      <c r="AU539">
        <f>IFERROR(INDEX(PP_Grid[#Data],$DD539,45),0)</f>
        <v/>
      </c>
      <c r="AV539">
        <f>IFERROR(INDEX(PP_Grid[#Data],$DD539,46),0)</f>
        <v/>
      </c>
      <c r="AW539">
        <f>IFERROR(INDEX(PP_Grid[#Data],$DD539,47),0)</f>
        <v/>
      </c>
      <c r="AX539">
        <f>IFERROR(INDEX(PP_Grid[#Data],$DD539,48),0)</f>
        <v/>
      </c>
      <c r="AY539">
        <f>IFERROR(INDEX(PP_Grid[#Data],$DD539,49),0)</f>
        <v/>
      </c>
      <c r="AZ539">
        <f>IFERROR(INDEX(PP_Grid[#Data],$DD539,50),0)</f>
        <v/>
      </c>
      <c r="BA539">
        <f>IFERROR(INDEX(PP_Grid[#Data],$DD539,51),0)</f>
        <v/>
      </c>
      <c r="BB539">
        <f>IFERROR(INDEX(PP_Grid[#Data],$DD539,52),0)</f>
        <v/>
      </c>
      <c r="BC539">
        <f>IFERROR(INDEX(PP_Grid[#Data],$DD539,53),0)</f>
        <v/>
      </c>
      <c r="BD539">
        <f>IFERROR(INDEX(PP_Grid[#Data],$DD539,54),0)</f>
        <v/>
      </c>
      <c r="BE539">
        <f>IFERROR(INDEX(PP_Grid[#Data],$DD539,55),0)</f>
        <v/>
      </c>
      <c r="BF539">
        <f>IFERROR(INDEX(PP_Grid[#Data],$DD539,56),0)</f>
        <v/>
      </c>
      <c r="BG539">
        <f>IFERROR(INDEX(PP_Grid[#Data],$DD539,57),0)</f>
        <v/>
      </c>
      <c r="BH539">
        <f>IFERROR(INDEX(PP_Grid[#Data],$DD539,58),0)</f>
        <v/>
      </c>
      <c r="BI539">
        <f>IFERROR(INDEX(PP_Grid[#Data],$DD539,59),0)</f>
        <v/>
      </c>
      <c r="BJ539">
        <f>IFERROR(INDEX(PP_Grid[#Data],$DD539,60),0)</f>
        <v/>
      </c>
      <c r="BK539">
        <f>IFERROR(INDEX(PP_Grid[#Data],$DD539,61),0)</f>
        <v/>
      </c>
      <c r="BL539">
        <f>IFERROR(INDEX(PP_Grid[#Data],$DD539,62),0)</f>
        <v/>
      </c>
      <c r="BM539">
        <f>IFERROR(INDEX(PP_Grid[#Data],$DD539,63),0)</f>
        <v/>
      </c>
      <c r="BN539">
        <f>IFERROR(INDEX(PP_Grid[#Data],$DD539,64),0)</f>
        <v/>
      </c>
      <c r="BO539">
        <f>IFERROR(INDEX(PP_Grid[#Data],$DD539,65),0)</f>
        <v/>
      </c>
      <c r="BP539">
        <f>IFERROR(INDEX(PP_Grid[#Data],$DD539,66),0)</f>
        <v/>
      </c>
      <c r="BQ539">
        <f>IFERROR(INDEX(PP_Grid[#Data],$DD539,67),0)</f>
        <v/>
      </c>
      <c r="BR539">
        <f>IFERROR(INDEX(PP_Grid[#Data],$DD539,68),0)</f>
        <v/>
      </c>
      <c r="BS539">
        <f>IFERROR(INDEX(PP_Grid[#Data],$DD539,69),0)</f>
        <v/>
      </c>
      <c r="BT539">
        <f>IFERROR(INDEX(PP_Grid[#Data],$DD539,70),0)</f>
        <v/>
      </c>
      <c r="BU539">
        <f>IFERROR(INDEX(PP_Grid[#Data],$DD539,71),0)</f>
        <v/>
      </c>
      <c r="BV539">
        <f>IFERROR(INDEX(PP_Grid[#Data],$DD539,72),0)</f>
        <v/>
      </c>
      <c r="BW539">
        <f>IFERROR(INDEX(PP_Grid[#Data],$DD539,73),0)</f>
        <v/>
      </c>
      <c r="BX539">
        <f>IFERROR(INDEX(PP_Grid[#Data],$DD539,74),0)</f>
        <v/>
      </c>
      <c r="BY539">
        <f>IFERROR(INDEX(PP_Grid[#Data],$DD539,75),0)</f>
        <v/>
      </c>
      <c r="BZ539">
        <f>IFERROR(INDEX(PP_Grid[#Data],$DD539,76),0)</f>
        <v/>
      </c>
      <c r="CA539">
        <f>IFERROR(INDEX(PP_Grid[#Data],$DD539,77),0)</f>
        <v/>
      </c>
      <c r="CB539">
        <f>IFERROR(INDEX(PP_Grid[#Data],$DD539,78),0)</f>
        <v/>
      </c>
      <c r="CC539">
        <f>IFERROR(INDEX(PP_Grid[#Data],$DD539,79),0)</f>
        <v/>
      </c>
      <c r="CD539">
        <f>IFERROR(INDEX(PP_Grid[#Data],$DD539,80),0)</f>
        <v/>
      </c>
      <c r="CE539">
        <f>IFERROR(INDEX(PP_Grid[#Data],$DD539,81),0)</f>
        <v/>
      </c>
      <c r="CF539">
        <f>IFERROR(INDEX(PP_Grid[#Data],$DD539,82),0)</f>
        <v/>
      </c>
      <c r="CG539">
        <f>IFERROR(INDEX(PP_Grid[#Data],$DD539,83),0)</f>
        <v/>
      </c>
      <c r="CH539">
        <f>IFERROR(INDEX(PP_Grid[#Data],$DD539,84),0)</f>
        <v/>
      </c>
      <c r="CI539">
        <f>IFERROR(INDEX(PP_Grid[#Data],$DD539,85),0)</f>
        <v/>
      </c>
      <c r="CJ539">
        <f>IFERROR(INDEX(PP_Grid[#Data],$DD539,86),0)</f>
        <v/>
      </c>
      <c r="CK539">
        <f>IFERROR(INDEX(PP_Grid[#Data],$DD539,87),0)</f>
        <v/>
      </c>
      <c r="CL539">
        <f>IFERROR(INDEX(PP_Grid[#Data],$DD539,88),0)</f>
        <v/>
      </c>
      <c r="CM539">
        <f>IFERROR(INDEX(PP_Grid[#Data],$DD539,89),0)</f>
        <v/>
      </c>
      <c r="CN539">
        <f>IFERROR(INDEX(PP_Grid[#Data],$DD539,90),0)</f>
        <v/>
      </c>
      <c r="CO539">
        <f>IFERROR(INDEX(PP_Grid[#Data],$DD539,91),0)</f>
        <v/>
      </c>
      <c r="CP539">
        <f>IFERROR(INDEX(PP_Grid[#Data],$DD539,92),0)</f>
        <v/>
      </c>
      <c r="CQ539">
        <f>IFERROR(INDEX(PP_Grid[#Data],$DD539,93),0)</f>
        <v/>
      </c>
      <c r="CR539">
        <f>IFERROR(INDEX(PP_Grid[#Data],$DD539,94),0)</f>
        <v/>
      </c>
      <c r="CS539">
        <f>IFERROR(INDEX(PP_Grid[#Data],$DD539,95),0)</f>
        <v/>
      </c>
      <c r="CT539">
        <f>IFERROR(INDEX(PP_Grid[#Data],$DD539,96),0)</f>
        <v/>
      </c>
      <c r="CU539">
        <f>IFERROR(INDEX(PP_Grid[#Data],$DD539,97),0)</f>
        <v/>
      </c>
      <c r="CV539">
        <f>IFERROR(INDEX(PP_Grid[#Data],$DD539,98),0)</f>
        <v/>
      </c>
      <c r="CW539">
        <f>IFERROR(INDEX(PP_Grid[#Data],$DD539,99),0)</f>
        <v/>
      </c>
      <c r="CX539">
        <f>IFERROR(INDEX(PP_Grid[#Data],$DD539,100),0)</f>
        <v/>
      </c>
      <c r="CY539">
        <f>IFERROR(INDEX(PP_Grid[#Data],$DD539,101),0)</f>
        <v/>
      </c>
      <c r="CZ539">
        <f>IFERROR(INDEX(PP_Grid[#Data],$DD539,102),0)</f>
        <v/>
      </c>
      <c r="DA539">
        <f>IFERROR(INDEX(PP_Grid[#Data],$DD539,103),0)</f>
        <v/>
      </c>
      <c r="DB539">
        <f>IFERROR(INDEX(PP_Grid[#Data],$DD539,104),0)</f>
        <v/>
      </c>
      <c r="DC539">
        <f>IFERROR(INDEX(PP_Grid[#Data],$DD539,105),0)</f>
        <v/>
      </c>
      <c r="DD539" s="7">
        <f>IFERROR(MATCH($B539,PP_Grid[Intermediate],0),99999)</f>
        <v/>
      </c>
    </row>
    <row r="540">
      <c r="B540" t="inlineStr">
        <is>
          <t>使用量(kg)</t>
        </is>
      </c>
      <c r="C540">
        <f>SUMIFS(M_BOM[RM_Qty_Per_Batch],M_BOM[Intermediate],$B539,M_BOM[Part Name],$A500)</f>
        <v/>
      </c>
      <c r="D540">
        <f>$C540*D539</f>
        <v/>
      </c>
      <c r="E540">
        <f>$C540*E539</f>
        <v/>
      </c>
      <c r="F540">
        <f>$C540*F539</f>
        <v/>
      </c>
      <c r="G540">
        <f>$C540*G539</f>
        <v/>
      </c>
      <c r="H540">
        <f>$C540*H539</f>
        <v/>
      </c>
      <c r="I540">
        <f>$C540*I539</f>
        <v/>
      </c>
      <c r="J540">
        <f>$C540*J539</f>
        <v/>
      </c>
      <c r="K540">
        <f>$C540*K539</f>
        <v/>
      </c>
      <c r="L540">
        <f>$C540*L539</f>
        <v/>
      </c>
      <c r="M540">
        <f>$C540*M539</f>
        <v/>
      </c>
      <c r="N540">
        <f>$C540*N539</f>
        <v/>
      </c>
      <c r="O540">
        <f>$C540*O539</f>
        <v/>
      </c>
      <c r="P540">
        <f>$C540*P539</f>
        <v/>
      </c>
      <c r="Q540">
        <f>$C540*Q539</f>
        <v/>
      </c>
      <c r="R540">
        <f>$C540*R539</f>
        <v/>
      </c>
      <c r="S540">
        <f>$C540*S539</f>
        <v/>
      </c>
      <c r="T540">
        <f>$C540*T539</f>
        <v/>
      </c>
      <c r="U540">
        <f>$C540*U539</f>
        <v/>
      </c>
      <c r="V540">
        <f>$C540*V539</f>
        <v/>
      </c>
      <c r="W540">
        <f>$C540*W539</f>
        <v/>
      </c>
      <c r="X540">
        <f>$C540*X539</f>
        <v/>
      </c>
      <c r="Y540">
        <f>$C540*Y539</f>
        <v/>
      </c>
      <c r="Z540">
        <f>$C540*Z539</f>
        <v/>
      </c>
      <c r="AA540">
        <f>$C540*AA539</f>
        <v/>
      </c>
      <c r="AB540">
        <f>$C540*AB539</f>
        <v/>
      </c>
      <c r="AC540">
        <f>$C540*AC539</f>
        <v/>
      </c>
      <c r="AD540">
        <f>$C540*AD539</f>
        <v/>
      </c>
      <c r="AE540">
        <f>$C540*AE539</f>
        <v/>
      </c>
      <c r="AF540">
        <f>$C540*AF539</f>
        <v/>
      </c>
      <c r="AG540">
        <f>$C540*AG539</f>
        <v/>
      </c>
      <c r="AH540">
        <f>$C540*AH539</f>
        <v/>
      </c>
      <c r="AI540">
        <f>$C540*AI539</f>
        <v/>
      </c>
      <c r="AJ540">
        <f>$C540*AJ539</f>
        <v/>
      </c>
      <c r="AK540">
        <f>$C540*AK539</f>
        <v/>
      </c>
      <c r="AL540">
        <f>$C540*AL539</f>
        <v/>
      </c>
      <c r="AM540">
        <f>$C540*AM539</f>
        <v/>
      </c>
      <c r="AN540">
        <f>$C540*AN539</f>
        <v/>
      </c>
      <c r="AO540">
        <f>$C540*AO539</f>
        <v/>
      </c>
      <c r="AP540">
        <f>$C540*AP539</f>
        <v/>
      </c>
      <c r="AQ540">
        <f>$C540*AQ539</f>
        <v/>
      </c>
      <c r="AR540">
        <f>$C540*AR539</f>
        <v/>
      </c>
      <c r="AS540">
        <f>$C540*AS539</f>
        <v/>
      </c>
      <c r="AT540">
        <f>$C540*AT539</f>
        <v/>
      </c>
      <c r="AU540">
        <f>$C540*AU539</f>
        <v/>
      </c>
      <c r="AV540">
        <f>$C540*AV539</f>
        <v/>
      </c>
      <c r="AW540">
        <f>$C540*AW539</f>
        <v/>
      </c>
      <c r="AX540">
        <f>$C540*AX539</f>
        <v/>
      </c>
      <c r="AY540">
        <f>$C540*AY539</f>
        <v/>
      </c>
      <c r="AZ540">
        <f>$C540*AZ539</f>
        <v/>
      </c>
      <c r="BA540">
        <f>$C540*BA539</f>
        <v/>
      </c>
      <c r="BB540">
        <f>$C540*BB539</f>
        <v/>
      </c>
      <c r="BC540">
        <f>$C540*BC539</f>
        <v/>
      </c>
      <c r="BD540">
        <f>$C540*BD539</f>
        <v/>
      </c>
      <c r="BE540">
        <f>$C540*BE539</f>
        <v/>
      </c>
      <c r="BF540">
        <f>$C540*BF539</f>
        <v/>
      </c>
      <c r="BG540">
        <f>$C540*BG539</f>
        <v/>
      </c>
      <c r="BH540">
        <f>$C540*BH539</f>
        <v/>
      </c>
      <c r="BI540">
        <f>$C540*BI539</f>
        <v/>
      </c>
      <c r="BJ540">
        <f>$C540*BJ539</f>
        <v/>
      </c>
      <c r="BK540">
        <f>$C540*BK539</f>
        <v/>
      </c>
      <c r="BL540">
        <f>$C540*BL539</f>
        <v/>
      </c>
      <c r="BM540">
        <f>$C540*BM539</f>
        <v/>
      </c>
      <c r="BN540">
        <f>$C540*BN539</f>
        <v/>
      </c>
      <c r="BO540">
        <f>$C540*BO539</f>
        <v/>
      </c>
      <c r="BP540">
        <f>$C540*BP539</f>
        <v/>
      </c>
      <c r="BQ540">
        <f>$C540*BQ539</f>
        <v/>
      </c>
      <c r="BR540">
        <f>$C540*BR539</f>
        <v/>
      </c>
      <c r="BS540">
        <f>$C540*BS539</f>
        <v/>
      </c>
      <c r="BT540">
        <f>$C540*BT539</f>
        <v/>
      </c>
      <c r="BU540">
        <f>$C540*BU539</f>
        <v/>
      </c>
      <c r="BV540">
        <f>$C540*BV539</f>
        <v/>
      </c>
      <c r="BW540">
        <f>$C540*BW539</f>
        <v/>
      </c>
      <c r="BX540">
        <f>$C540*BX539</f>
        <v/>
      </c>
      <c r="BY540">
        <f>$C540*BY539</f>
        <v/>
      </c>
      <c r="BZ540">
        <f>$C540*BZ539</f>
        <v/>
      </c>
      <c r="CA540">
        <f>$C540*CA539</f>
        <v/>
      </c>
      <c r="CB540">
        <f>$C540*CB539</f>
        <v/>
      </c>
      <c r="CC540">
        <f>$C540*CC539</f>
        <v/>
      </c>
      <c r="CD540">
        <f>$C540*CD539</f>
        <v/>
      </c>
      <c r="CE540">
        <f>$C540*CE539</f>
        <v/>
      </c>
      <c r="CF540">
        <f>$C540*CF539</f>
        <v/>
      </c>
      <c r="CG540">
        <f>$C540*CG539</f>
        <v/>
      </c>
      <c r="CH540">
        <f>$C540*CH539</f>
        <v/>
      </c>
      <c r="CI540">
        <f>$C540*CI539</f>
        <v/>
      </c>
      <c r="CJ540">
        <f>$C540*CJ539</f>
        <v/>
      </c>
      <c r="CK540">
        <f>$C540*CK539</f>
        <v/>
      </c>
      <c r="CL540">
        <f>$C540*CL539</f>
        <v/>
      </c>
      <c r="CM540">
        <f>$C540*CM539</f>
        <v/>
      </c>
      <c r="CN540">
        <f>$C540*CN539</f>
        <v/>
      </c>
      <c r="CO540">
        <f>$C540*CO539</f>
        <v/>
      </c>
      <c r="CP540">
        <f>$C540*CP539</f>
        <v/>
      </c>
      <c r="CQ540">
        <f>$C540*CQ539</f>
        <v/>
      </c>
      <c r="CR540">
        <f>$C540*CR539</f>
        <v/>
      </c>
      <c r="CS540">
        <f>$C540*CS539</f>
        <v/>
      </c>
      <c r="CT540">
        <f>$C540*CT539</f>
        <v/>
      </c>
      <c r="CU540">
        <f>$C540*CU539</f>
        <v/>
      </c>
      <c r="CV540">
        <f>$C540*CV539</f>
        <v/>
      </c>
      <c r="CW540">
        <f>$C540*CW539</f>
        <v/>
      </c>
      <c r="CX540">
        <f>$C540*CX539</f>
        <v/>
      </c>
      <c r="CY540">
        <f>$C540*CY539</f>
        <v/>
      </c>
      <c r="CZ540">
        <f>$C540*CZ539</f>
        <v/>
      </c>
      <c r="DA540">
        <f>$C540*DA539</f>
        <v/>
      </c>
      <c r="DB540">
        <f>$C540*DB539</f>
        <v/>
      </c>
      <c r="DC540">
        <f>$C540*DC539</f>
        <v/>
      </c>
    </row>
    <row r="541">
      <c r="B541" s="4" t="inlineStr">
        <is>
          <t>合計使用量(kg)/週</t>
        </is>
      </c>
      <c r="D541">
        <f>'Grid_Requirement'!B19</f>
        <v/>
      </c>
      <c r="E541">
        <f>'Grid_Requirement'!C19</f>
        <v/>
      </c>
      <c r="F541">
        <f>'Grid_Requirement'!D19</f>
        <v/>
      </c>
      <c r="G541">
        <f>'Grid_Requirement'!E19</f>
        <v/>
      </c>
      <c r="H541">
        <f>'Grid_Requirement'!F19</f>
        <v/>
      </c>
      <c r="I541">
        <f>'Grid_Requirement'!G19</f>
        <v/>
      </c>
      <c r="J541">
        <f>'Grid_Requirement'!H19</f>
        <v/>
      </c>
      <c r="K541">
        <f>'Grid_Requirement'!I19</f>
        <v/>
      </c>
      <c r="L541">
        <f>'Grid_Requirement'!J19</f>
        <v/>
      </c>
      <c r="M541">
        <f>'Grid_Requirement'!K19</f>
        <v/>
      </c>
      <c r="N541">
        <f>'Grid_Requirement'!L19</f>
        <v/>
      </c>
      <c r="O541">
        <f>'Grid_Requirement'!M19</f>
        <v/>
      </c>
      <c r="P541">
        <f>'Grid_Requirement'!N19</f>
        <v/>
      </c>
      <c r="Q541">
        <f>'Grid_Requirement'!O19</f>
        <v/>
      </c>
      <c r="R541">
        <f>'Grid_Requirement'!P19</f>
        <v/>
      </c>
      <c r="S541">
        <f>'Grid_Requirement'!Q19</f>
        <v/>
      </c>
      <c r="T541">
        <f>'Grid_Requirement'!R19</f>
        <v/>
      </c>
      <c r="U541">
        <f>'Grid_Requirement'!S19</f>
        <v/>
      </c>
      <c r="V541">
        <f>'Grid_Requirement'!T19</f>
        <v/>
      </c>
      <c r="W541">
        <f>'Grid_Requirement'!U19</f>
        <v/>
      </c>
      <c r="X541">
        <f>'Grid_Requirement'!V19</f>
        <v/>
      </c>
      <c r="Y541">
        <f>'Grid_Requirement'!W19</f>
        <v/>
      </c>
      <c r="Z541">
        <f>'Grid_Requirement'!X19</f>
        <v/>
      </c>
      <c r="AA541">
        <f>'Grid_Requirement'!Y19</f>
        <v/>
      </c>
      <c r="AB541">
        <f>'Grid_Requirement'!Z19</f>
        <v/>
      </c>
      <c r="AC541">
        <f>'Grid_Requirement'!AA19</f>
        <v/>
      </c>
      <c r="AD541">
        <f>'Grid_Requirement'!AB19</f>
        <v/>
      </c>
      <c r="AE541">
        <f>'Grid_Requirement'!AC19</f>
        <v/>
      </c>
      <c r="AF541">
        <f>'Grid_Requirement'!AD19</f>
        <v/>
      </c>
      <c r="AG541">
        <f>'Grid_Requirement'!AE19</f>
        <v/>
      </c>
      <c r="AH541">
        <f>'Grid_Requirement'!AF19</f>
        <v/>
      </c>
      <c r="AI541">
        <f>'Grid_Requirement'!AG19</f>
        <v/>
      </c>
      <c r="AJ541">
        <f>'Grid_Requirement'!AH19</f>
        <v/>
      </c>
      <c r="AK541">
        <f>'Grid_Requirement'!AI19</f>
        <v/>
      </c>
      <c r="AL541">
        <f>'Grid_Requirement'!AJ19</f>
        <v/>
      </c>
      <c r="AM541">
        <f>'Grid_Requirement'!AK19</f>
        <v/>
      </c>
      <c r="AN541">
        <f>'Grid_Requirement'!AL19</f>
        <v/>
      </c>
      <c r="AO541">
        <f>'Grid_Requirement'!AM19</f>
        <v/>
      </c>
      <c r="AP541">
        <f>'Grid_Requirement'!AN19</f>
        <v/>
      </c>
      <c r="AQ541">
        <f>'Grid_Requirement'!AO19</f>
        <v/>
      </c>
      <c r="AR541">
        <f>'Grid_Requirement'!AP19</f>
        <v/>
      </c>
      <c r="AS541">
        <f>'Grid_Requirement'!AQ19</f>
        <v/>
      </c>
      <c r="AT541">
        <f>'Grid_Requirement'!AR19</f>
        <v/>
      </c>
      <c r="AU541">
        <f>'Grid_Requirement'!AS19</f>
        <v/>
      </c>
      <c r="AV541">
        <f>'Grid_Requirement'!AT19</f>
        <v/>
      </c>
      <c r="AW541">
        <f>'Grid_Requirement'!AU19</f>
        <v/>
      </c>
      <c r="AX541">
        <f>'Grid_Requirement'!AV19</f>
        <v/>
      </c>
      <c r="AY541">
        <f>'Grid_Requirement'!AW19</f>
        <v/>
      </c>
      <c r="AZ541">
        <f>'Grid_Requirement'!AX19</f>
        <v/>
      </c>
      <c r="BA541">
        <f>'Grid_Requirement'!AY19</f>
        <v/>
      </c>
      <c r="BB541">
        <f>'Grid_Requirement'!AZ19</f>
        <v/>
      </c>
      <c r="BC541">
        <f>'Grid_Requirement'!BA19</f>
        <v/>
      </c>
      <c r="BD541">
        <f>'Grid_Requirement'!BB19</f>
        <v/>
      </c>
      <c r="BE541">
        <f>'Grid_Requirement'!BC19</f>
        <v/>
      </c>
      <c r="BF541">
        <f>'Grid_Requirement'!BD19</f>
        <v/>
      </c>
      <c r="BG541">
        <f>'Grid_Requirement'!BE19</f>
        <v/>
      </c>
      <c r="BH541">
        <f>'Grid_Requirement'!BF19</f>
        <v/>
      </c>
      <c r="BI541">
        <f>'Grid_Requirement'!BG19</f>
        <v/>
      </c>
      <c r="BJ541">
        <f>'Grid_Requirement'!BH19</f>
        <v/>
      </c>
      <c r="BK541">
        <f>'Grid_Requirement'!BI19</f>
        <v/>
      </c>
      <c r="BL541">
        <f>'Grid_Requirement'!BJ19</f>
        <v/>
      </c>
      <c r="BM541">
        <f>'Grid_Requirement'!BK19</f>
        <v/>
      </c>
      <c r="BN541">
        <f>'Grid_Requirement'!BL19</f>
        <v/>
      </c>
      <c r="BO541">
        <f>'Grid_Requirement'!BM19</f>
        <v/>
      </c>
      <c r="BP541">
        <f>'Grid_Requirement'!BN19</f>
        <v/>
      </c>
      <c r="BQ541">
        <f>'Grid_Requirement'!BO19</f>
        <v/>
      </c>
      <c r="BR541">
        <f>'Grid_Requirement'!BP19</f>
        <v/>
      </c>
      <c r="BS541">
        <f>'Grid_Requirement'!BQ19</f>
        <v/>
      </c>
      <c r="BT541">
        <f>'Grid_Requirement'!BR19</f>
        <v/>
      </c>
      <c r="BU541">
        <f>'Grid_Requirement'!BS19</f>
        <v/>
      </c>
      <c r="BV541">
        <f>'Grid_Requirement'!BT19</f>
        <v/>
      </c>
      <c r="BW541">
        <f>'Grid_Requirement'!BU19</f>
        <v/>
      </c>
      <c r="BX541">
        <f>'Grid_Requirement'!BV19</f>
        <v/>
      </c>
      <c r="BY541">
        <f>'Grid_Requirement'!BW19</f>
        <v/>
      </c>
      <c r="BZ541">
        <f>'Grid_Requirement'!BX19</f>
        <v/>
      </c>
      <c r="CA541">
        <f>'Grid_Requirement'!BY19</f>
        <v/>
      </c>
      <c r="CB541">
        <f>'Grid_Requirement'!BZ19</f>
        <v/>
      </c>
      <c r="CC541">
        <f>'Grid_Requirement'!CA19</f>
        <v/>
      </c>
      <c r="CD541">
        <f>'Grid_Requirement'!CB19</f>
        <v/>
      </c>
      <c r="CE541">
        <f>'Grid_Requirement'!CC19</f>
        <v/>
      </c>
      <c r="CF541">
        <f>'Grid_Requirement'!CD19</f>
        <v/>
      </c>
      <c r="CG541">
        <f>'Grid_Requirement'!CE19</f>
        <v/>
      </c>
      <c r="CH541">
        <f>'Grid_Requirement'!CF19</f>
        <v/>
      </c>
      <c r="CI541">
        <f>'Grid_Requirement'!CG19</f>
        <v/>
      </c>
      <c r="CJ541">
        <f>'Grid_Requirement'!CH19</f>
        <v/>
      </c>
      <c r="CK541">
        <f>'Grid_Requirement'!CI19</f>
        <v/>
      </c>
      <c r="CL541">
        <f>'Grid_Requirement'!CJ19</f>
        <v/>
      </c>
      <c r="CM541">
        <f>'Grid_Requirement'!CK19</f>
        <v/>
      </c>
      <c r="CN541">
        <f>'Grid_Requirement'!CL19</f>
        <v/>
      </c>
      <c r="CO541">
        <f>'Grid_Requirement'!CM19</f>
        <v/>
      </c>
      <c r="CP541">
        <f>'Grid_Requirement'!CN19</f>
        <v/>
      </c>
      <c r="CQ541">
        <f>'Grid_Requirement'!CO19</f>
        <v/>
      </c>
      <c r="CR541">
        <f>'Grid_Requirement'!CP19</f>
        <v/>
      </c>
      <c r="CS541">
        <f>'Grid_Requirement'!CQ19</f>
        <v/>
      </c>
      <c r="CT541">
        <f>'Grid_Requirement'!CR19</f>
        <v/>
      </c>
      <c r="CU541">
        <f>'Grid_Requirement'!CS19</f>
        <v/>
      </c>
      <c r="CV541">
        <f>'Grid_Requirement'!CT19</f>
        <v/>
      </c>
      <c r="CW541">
        <f>'Grid_Requirement'!CU19</f>
        <v/>
      </c>
      <c r="CX541">
        <f>'Grid_Requirement'!CV19</f>
        <v/>
      </c>
      <c r="CY541">
        <f>'Grid_Requirement'!CW19</f>
        <v/>
      </c>
      <c r="CZ541">
        <f>'Grid_Requirement'!CX19</f>
        <v/>
      </c>
      <c r="DA541">
        <f>'Grid_Requirement'!CY19</f>
        <v/>
      </c>
      <c r="DB541">
        <f>'Grid_Requirement'!CZ19</f>
        <v/>
      </c>
      <c r="DC541">
        <f>'Grid_Requirement'!DA19</f>
        <v/>
      </c>
    </row>
    <row r="542">
      <c r="B542" t="inlineStr">
        <is>
          <t>TTAF在庫(実績,kg)</t>
        </is>
      </c>
      <c r="D542">
        <f>'T_TTAFStock'!B23</f>
        <v/>
      </c>
      <c r="E542">
        <f>'T_TTAFStock'!C23</f>
        <v/>
      </c>
      <c r="F542">
        <f>'T_TTAFStock'!D23</f>
        <v/>
      </c>
      <c r="G542">
        <f>'T_TTAFStock'!E23</f>
        <v/>
      </c>
      <c r="H542">
        <f>'T_TTAFStock'!F23</f>
        <v/>
      </c>
      <c r="I542">
        <f>'T_TTAFStock'!G23</f>
        <v/>
      </c>
      <c r="J542">
        <f>'T_TTAFStock'!H23</f>
        <v/>
      </c>
      <c r="K542">
        <f>'T_TTAFStock'!I23</f>
        <v/>
      </c>
      <c r="L542">
        <f>'T_TTAFStock'!J23</f>
        <v/>
      </c>
      <c r="M542">
        <f>'T_TTAFStock'!K23</f>
        <v/>
      </c>
      <c r="N542">
        <f>'T_TTAFStock'!L23</f>
        <v/>
      </c>
      <c r="O542">
        <f>'T_TTAFStock'!M23</f>
        <v/>
      </c>
      <c r="P542">
        <f>'T_TTAFStock'!N23</f>
        <v/>
      </c>
      <c r="Q542">
        <f>'T_TTAFStock'!O23</f>
        <v/>
      </c>
      <c r="R542">
        <f>'T_TTAFStock'!P23</f>
        <v/>
      </c>
      <c r="S542">
        <f>'T_TTAFStock'!Q23</f>
        <v/>
      </c>
      <c r="T542">
        <f>'T_TTAFStock'!R23</f>
        <v/>
      </c>
      <c r="U542">
        <f>'T_TTAFStock'!S23</f>
        <v/>
      </c>
      <c r="V542">
        <f>'T_TTAFStock'!T23</f>
        <v/>
      </c>
      <c r="W542">
        <f>'T_TTAFStock'!U23</f>
        <v/>
      </c>
      <c r="X542">
        <f>'T_TTAFStock'!V23</f>
        <v/>
      </c>
      <c r="Y542">
        <f>'T_TTAFStock'!W23</f>
        <v/>
      </c>
      <c r="Z542">
        <f>'T_TTAFStock'!X23</f>
        <v/>
      </c>
      <c r="AA542">
        <f>'T_TTAFStock'!Y23</f>
        <v/>
      </c>
      <c r="AB542">
        <f>'T_TTAFStock'!Z23</f>
        <v/>
      </c>
      <c r="AC542">
        <f>'T_TTAFStock'!AA23</f>
        <v/>
      </c>
      <c r="AD542">
        <f>'T_TTAFStock'!AB23</f>
        <v/>
      </c>
      <c r="AE542">
        <f>'T_TTAFStock'!AC23</f>
        <v/>
      </c>
      <c r="AF542">
        <f>'T_TTAFStock'!AD23</f>
        <v/>
      </c>
      <c r="AG542">
        <f>'T_TTAFStock'!AE23</f>
        <v/>
      </c>
      <c r="AH542">
        <f>'T_TTAFStock'!AF23</f>
        <v/>
      </c>
      <c r="AI542">
        <f>'T_TTAFStock'!AG23</f>
        <v/>
      </c>
      <c r="AJ542">
        <f>'T_TTAFStock'!AH23</f>
        <v/>
      </c>
      <c r="AK542">
        <f>'T_TTAFStock'!AI23</f>
        <v/>
      </c>
      <c r="AL542">
        <f>'T_TTAFStock'!AJ23</f>
        <v/>
      </c>
      <c r="AM542">
        <f>'T_TTAFStock'!AK23</f>
        <v/>
      </c>
      <c r="AN542">
        <f>'T_TTAFStock'!AL23</f>
        <v/>
      </c>
      <c r="AO542">
        <f>'T_TTAFStock'!AM23</f>
        <v/>
      </c>
      <c r="AP542">
        <f>'T_TTAFStock'!AN23</f>
        <v/>
      </c>
      <c r="AQ542">
        <f>'T_TTAFStock'!AO23</f>
        <v/>
      </c>
      <c r="AR542">
        <f>'T_TTAFStock'!AP23</f>
        <v/>
      </c>
      <c r="AS542">
        <f>'T_TTAFStock'!AQ23</f>
        <v/>
      </c>
      <c r="AT542">
        <f>'T_TTAFStock'!AR23</f>
        <v/>
      </c>
      <c r="AU542">
        <f>'T_TTAFStock'!AS23</f>
        <v/>
      </c>
      <c r="AV542">
        <f>'T_TTAFStock'!AT23</f>
        <v/>
      </c>
      <c r="AW542">
        <f>'T_TTAFStock'!AU23</f>
        <v/>
      </c>
      <c r="AX542">
        <f>'T_TTAFStock'!AV23</f>
        <v/>
      </c>
      <c r="AY542">
        <f>'T_TTAFStock'!AW23</f>
        <v/>
      </c>
      <c r="AZ542">
        <f>'T_TTAFStock'!AX23</f>
        <v/>
      </c>
      <c r="BA542">
        <f>'T_TTAFStock'!AY23</f>
        <v/>
      </c>
      <c r="BB542">
        <f>'T_TTAFStock'!AZ23</f>
        <v/>
      </c>
      <c r="BC542">
        <f>'T_TTAFStock'!BA23</f>
        <v/>
      </c>
      <c r="BD542">
        <f>'T_TTAFStock'!BB23</f>
        <v/>
      </c>
      <c r="BE542">
        <f>'T_TTAFStock'!BC23</f>
        <v/>
      </c>
      <c r="BF542">
        <f>'T_TTAFStock'!BD23</f>
        <v/>
      </c>
      <c r="BG542">
        <f>'T_TTAFStock'!BE23</f>
        <v/>
      </c>
      <c r="BH542">
        <f>'T_TTAFStock'!BF23</f>
        <v/>
      </c>
      <c r="BI542">
        <f>'T_TTAFStock'!BG23</f>
        <v/>
      </c>
      <c r="BJ542">
        <f>'T_TTAFStock'!BH23</f>
        <v/>
      </c>
      <c r="BK542">
        <f>'T_TTAFStock'!BI23</f>
        <v/>
      </c>
      <c r="BL542">
        <f>'T_TTAFStock'!BJ23</f>
        <v/>
      </c>
      <c r="BM542">
        <f>'T_TTAFStock'!BK23</f>
        <v/>
      </c>
      <c r="BN542">
        <f>'T_TTAFStock'!BL23</f>
        <v/>
      </c>
      <c r="BO542">
        <f>'T_TTAFStock'!BM23</f>
        <v/>
      </c>
      <c r="BP542">
        <f>'T_TTAFStock'!BN23</f>
        <v/>
      </c>
      <c r="BQ542">
        <f>'T_TTAFStock'!BO23</f>
        <v/>
      </c>
      <c r="BR542">
        <f>'T_TTAFStock'!BP23</f>
        <v/>
      </c>
      <c r="BS542">
        <f>'T_TTAFStock'!BQ23</f>
        <v/>
      </c>
      <c r="BT542">
        <f>'T_TTAFStock'!BR23</f>
        <v/>
      </c>
      <c r="BU542">
        <f>'T_TTAFStock'!BS23</f>
        <v/>
      </c>
      <c r="BV542">
        <f>'T_TTAFStock'!BT23</f>
        <v/>
      </c>
      <c r="BW542">
        <f>'T_TTAFStock'!BU23</f>
        <v/>
      </c>
      <c r="BX542">
        <f>'T_TTAFStock'!BV23</f>
        <v/>
      </c>
      <c r="BY542">
        <f>'T_TTAFStock'!BW23</f>
        <v/>
      </c>
      <c r="BZ542">
        <f>'T_TTAFStock'!BX23</f>
        <v/>
      </c>
      <c r="CA542">
        <f>'T_TTAFStock'!BY23</f>
        <v/>
      </c>
      <c r="CB542">
        <f>'T_TTAFStock'!BZ23</f>
        <v/>
      </c>
      <c r="CC542">
        <f>'T_TTAFStock'!CA23</f>
        <v/>
      </c>
      <c r="CD542">
        <f>'T_TTAFStock'!CB23</f>
        <v/>
      </c>
      <c r="CE542">
        <f>'T_TTAFStock'!CC23</f>
        <v/>
      </c>
      <c r="CF542">
        <f>'T_TTAFStock'!CD23</f>
        <v/>
      </c>
      <c r="CG542">
        <f>'T_TTAFStock'!CE23</f>
        <v/>
      </c>
      <c r="CH542">
        <f>'T_TTAFStock'!CF23</f>
        <v/>
      </c>
      <c r="CI542">
        <f>'T_TTAFStock'!CG23</f>
        <v/>
      </c>
      <c r="CJ542">
        <f>'T_TTAFStock'!CH23</f>
        <v/>
      </c>
      <c r="CK542">
        <f>'T_TTAFStock'!CI23</f>
        <v/>
      </c>
      <c r="CL542">
        <f>'T_TTAFStock'!CJ23</f>
        <v/>
      </c>
      <c r="CM542">
        <f>'T_TTAFStock'!CK23</f>
        <v/>
      </c>
      <c r="CN542">
        <f>'T_TTAFStock'!CL23</f>
        <v/>
      </c>
      <c r="CO542">
        <f>'T_TTAFStock'!CM23</f>
        <v/>
      </c>
      <c r="CP542">
        <f>'T_TTAFStock'!CN23</f>
        <v/>
      </c>
      <c r="CQ542">
        <f>'T_TTAFStock'!CO23</f>
        <v/>
      </c>
      <c r="CR542">
        <f>'T_TTAFStock'!CP23</f>
        <v/>
      </c>
      <c r="CS542">
        <f>'T_TTAFStock'!CQ23</f>
        <v/>
      </c>
      <c r="CT542">
        <f>'T_TTAFStock'!CR23</f>
        <v/>
      </c>
      <c r="CU542">
        <f>'T_TTAFStock'!CS23</f>
        <v/>
      </c>
      <c r="CV542">
        <f>'T_TTAFStock'!CT23</f>
        <v/>
      </c>
      <c r="CW542">
        <f>'T_TTAFStock'!CU23</f>
        <v/>
      </c>
      <c r="CX542">
        <f>'T_TTAFStock'!CV23</f>
        <v/>
      </c>
      <c r="CY542">
        <f>'T_TTAFStock'!CW23</f>
        <v/>
      </c>
      <c r="CZ542">
        <f>'T_TTAFStock'!CX23</f>
        <v/>
      </c>
      <c r="DA542">
        <f>'T_TTAFStock'!CY23</f>
        <v/>
      </c>
      <c r="DB542">
        <f>'T_TTAFStock'!CZ23</f>
        <v/>
      </c>
      <c r="DC542">
        <f>'T_TTAFStock'!DA23</f>
        <v/>
      </c>
    </row>
    <row r="543">
      <c r="B543" t="inlineStr">
        <is>
          <t>自社在庫(実績,kg)</t>
        </is>
      </c>
      <c r="D543">
        <f>'T_SelfStock'!B23</f>
        <v/>
      </c>
      <c r="E543">
        <f>'T_SelfStock'!C23</f>
        <v/>
      </c>
      <c r="F543">
        <f>'T_SelfStock'!D23</f>
        <v/>
      </c>
      <c r="G543">
        <f>'T_SelfStock'!E23</f>
        <v/>
      </c>
      <c r="H543">
        <f>'T_SelfStock'!F23</f>
        <v/>
      </c>
      <c r="I543">
        <f>'T_SelfStock'!G23</f>
        <v/>
      </c>
      <c r="J543">
        <f>'T_SelfStock'!H23</f>
        <v/>
      </c>
      <c r="K543">
        <f>'T_SelfStock'!I23</f>
        <v/>
      </c>
      <c r="L543">
        <f>'T_SelfStock'!J23</f>
        <v/>
      </c>
      <c r="M543">
        <f>'T_SelfStock'!K23</f>
        <v/>
      </c>
      <c r="N543">
        <f>'T_SelfStock'!L23</f>
        <v/>
      </c>
      <c r="O543">
        <f>'T_SelfStock'!M23</f>
        <v/>
      </c>
      <c r="P543">
        <f>'T_SelfStock'!N23</f>
        <v/>
      </c>
      <c r="Q543">
        <f>'T_SelfStock'!O23</f>
        <v/>
      </c>
      <c r="R543">
        <f>'T_SelfStock'!P23</f>
        <v/>
      </c>
      <c r="S543">
        <f>'T_SelfStock'!Q23</f>
        <v/>
      </c>
      <c r="T543">
        <f>'T_SelfStock'!R23</f>
        <v/>
      </c>
      <c r="U543">
        <f>'T_SelfStock'!S23</f>
        <v/>
      </c>
      <c r="V543">
        <f>'T_SelfStock'!T23</f>
        <v/>
      </c>
      <c r="W543">
        <f>'T_SelfStock'!U23</f>
        <v/>
      </c>
      <c r="X543">
        <f>'T_SelfStock'!V23</f>
        <v/>
      </c>
      <c r="Y543">
        <f>'T_SelfStock'!W23</f>
        <v/>
      </c>
      <c r="Z543">
        <f>'T_SelfStock'!X23</f>
        <v/>
      </c>
      <c r="AA543">
        <f>'T_SelfStock'!Y23</f>
        <v/>
      </c>
      <c r="AB543">
        <f>'T_SelfStock'!Z23</f>
        <v/>
      </c>
      <c r="AC543">
        <f>'T_SelfStock'!AA23</f>
        <v/>
      </c>
      <c r="AD543">
        <f>'T_SelfStock'!AB23</f>
        <v/>
      </c>
      <c r="AE543">
        <f>'T_SelfStock'!AC23</f>
        <v/>
      </c>
      <c r="AF543">
        <f>'T_SelfStock'!AD23</f>
        <v/>
      </c>
      <c r="AG543">
        <f>'T_SelfStock'!AE23</f>
        <v/>
      </c>
      <c r="AH543">
        <f>'T_SelfStock'!AF23</f>
        <v/>
      </c>
      <c r="AI543">
        <f>'T_SelfStock'!AG23</f>
        <v/>
      </c>
      <c r="AJ543">
        <f>'T_SelfStock'!AH23</f>
        <v/>
      </c>
      <c r="AK543">
        <f>'T_SelfStock'!AI23</f>
        <v/>
      </c>
      <c r="AL543">
        <f>'T_SelfStock'!AJ23</f>
        <v/>
      </c>
      <c r="AM543">
        <f>'T_SelfStock'!AK23</f>
        <v/>
      </c>
      <c r="AN543">
        <f>'T_SelfStock'!AL23</f>
        <v/>
      </c>
      <c r="AO543">
        <f>'T_SelfStock'!AM23</f>
        <v/>
      </c>
      <c r="AP543">
        <f>'T_SelfStock'!AN23</f>
        <v/>
      </c>
      <c r="AQ543">
        <f>'T_SelfStock'!AO23</f>
        <v/>
      </c>
      <c r="AR543">
        <f>'T_SelfStock'!AP23</f>
        <v/>
      </c>
      <c r="AS543">
        <f>'T_SelfStock'!AQ23</f>
        <v/>
      </c>
      <c r="AT543">
        <f>'T_SelfStock'!AR23</f>
        <v/>
      </c>
      <c r="AU543">
        <f>'T_SelfStock'!AS23</f>
        <v/>
      </c>
      <c r="AV543">
        <f>'T_SelfStock'!AT23</f>
        <v/>
      </c>
      <c r="AW543">
        <f>'T_SelfStock'!AU23</f>
        <v/>
      </c>
      <c r="AX543">
        <f>'T_SelfStock'!AV23</f>
        <v/>
      </c>
      <c r="AY543">
        <f>'T_SelfStock'!AW23</f>
        <v/>
      </c>
      <c r="AZ543">
        <f>'T_SelfStock'!AX23</f>
        <v/>
      </c>
      <c r="BA543">
        <f>'T_SelfStock'!AY23</f>
        <v/>
      </c>
      <c r="BB543">
        <f>'T_SelfStock'!AZ23</f>
        <v/>
      </c>
      <c r="BC543">
        <f>'T_SelfStock'!BA23</f>
        <v/>
      </c>
      <c r="BD543">
        <f>'T_SelfStock'!BB23</f>
        <v/>
      </c>
      <c r="BE543">
        <f>'T_SelfStock'!BC23</f>
        <v/>
      </c>
      <c r="BF543">
        <f>'T_SelfStock'!BD23</f>
        <v/>
      </c>
      <c r="BG543">
        <f>'T_SelfStock'!BE23</f>
        <v/>
      </c>
      <c r="BH543">
        <f>'T_SelfStock'!BF23</f>
        <v/>
      </c>
      <c r="BI543">
        <f>'T_SelfStock'!BG23</f>
        <v/>
      </c>
      <c r="BJ543">
        <f>'T_SelfStock'!BH23</f>
        <v/>
      </c>
      <c r="BK543">
        <f>'T_SelfStock'!BI23</f>
        <v/>
      </c>
      <c r="BL543">
        <f>'T_SelfStock'!BJ23</f>
        <v/>
      </c>
      <c r="BM543">
        <f>'T_SelfStock'!BK23</f>
        <v/>
      </c>
      <c r="BN543">
        <f>'T_SelfStock'!BL23</f>
        <v/>
      </c>
      <c r="BO543">
        <f>'T_SelfStock'!BM23</f>
        <v/>
      </c>
      <c r="BP543">
        <f>'T_SelfStock'!BN23</f>
        <v/>
      </c>
      <c r="BQ543">
        <f>'T_SelfStock'!BO23</f>
        <v/>
      </c>
      <c r="BR543">
        <f>'T_SelfStock'!BP23</f>
        <v/>
      </c>
      <c r="BS543">
        <f>'T_SelfStock'!BQ23</f>
        <v/>
      </c>
      <c r="BT543">
        <f>'T_SelfStock'!BR23</f>
        <v/>
      </c>
      <c r="BU543">
        <f>'T_SelfStock'!BS23</f>
        <v/>
      </c>
      <c r="BV543">
        <f>'T_SelfStock'!BT23</f>
        <v/>
      </c>
      <c r="BW543">
        <f>'T_SelfStock'!BU23</f>
        <v/>
      </c>
      <c r="BX543">
        <f>'T_SelfStock'!BV23</f>
        <v/>
      </c>
      <c r="BY543">
        <f>'T_SelfStock'!BW23</f>
        <v/>
      </c>
      <c r="BZ543">
        <f>'T_SelfStock'!BX23</f>
        <v/>
      </c>
      <c r="CA543">
        <f>'T_SelfStock'!BY23</f>
        <v/>
      </c>
      <c r="CB543">
        <f>'T_SelfStock'!BZ23</f>
        <v/>
      </c>
      <c r="CC543">
        <f>'T_SelfStock'!CA23</f>
        <v/>
      </c>
      <c r="CD543">
        <f>'T_SelfStock'!CB23</f>
        <v/>
      </c>
      <c r="CE543">
        <f>'T_SelfStock'!CC23</f>
        <v/>
      </c>
      <c r="CF543">
        <f>'T_SelfStock'!CD23</f>
        <v/>
      </c>
      <c r="CG543">
        <f>'T_SelfStock'!CE23</f>
        <v/>
      </c>
      <c r="CH543">
        <f>'T_SelfStock'!CF23</f>
        <v/>
      </c>
      <c r="CI543">
        <f>'T_SelfStock'!CG23</f>
        <v/>
      </c>
      <c r="CJ543">
        <f>'T_SelfStock'!CH23</f>
        <v/>
      </c>
      <c r="CK543">
        <f>'T_SelfStock'!CI23</f>
        <v/>
      </c>
      <c r="CL543">
        <f>'T_SelfStock'!CJ23</f>
        <v/>
      </c>
      <c r="CM543">
        <f>'T_SelfStock'!CK23</f>
        <v/>
      </c>
      <c r="CN543">
        <f>'T_SelfStock'!CL23</f>
        <v/>
      </c>
      <c r="CO543">
        <f>'T_SelfStock'!CM23</f>
        <v/>
      </c>
      <c r="CP543">
        <f>'T_SelfStock'!CN23</f>
        <v/>
      </c>
      <c r="CQ543">
        <f>'T_SelfStock'!CO23</f>
        <v/>
      </c>
      <c r="CR543">
        <f>'T_SelfStock'!CP23</f>
        <v/>
      </c>
      <c r="CS543">
        <f>'T_SelfStock'!CQ23</f>
        <v/>
      </c>
      <c r="CT543">
        <f>'T_SelfStock'!CR23</f>
        <v/>
      </c>
      <c r="CU543">
        <f>'T_SelfStock'!CS23</f>
        <v/>
      </c>
      <c r="CV543">
        <f>'T_SelfStock'!CT23</f>
        <v/>
      </c>
      <c r="CW543">
        <f>'T_SelfStock'!CU23</f>
        <v/>
      </c>
      <c r="CX543">
        <f>'T_SelfStock'!CV23</f>
        <v/>
      </c>
      <c r="CY543">
        <f>'T_SelfStock'!CW23</f>
        <v/>
      </c>
      <c r="CZ543">
        <f>'T_SelfStock'!CX23</f>
        <v/>
      </c>
      <c r="DA543">
        <f>'T_SelfStock'!CY23</f>
        <v/>
      </c>
      <c r="DB543">
        <f>'T_SelfStock'!CZ23</f>
        <v/>
      </c>
      <c r="DC543">
        <f>'T_SelfStock'!DA23</f>
        <v/>
      </c>
    </row>
    <row r="544">
      <c r="B544" s="4" t="inlineStr">
        <is>
          <t>合計在庫(週末時点,kg)</t>
        </is>
      </c>
      <c r="D544">
        <f>'Grid_Stock'!B19</f>
        <v/>
      </c>
      <c r="E544">
        <f>'Grid_Stock'!C19</f>
        <v/>
      </c>
      <c r="F544">
        <f>'Grid_Stock'!D19</f>
        <v/>
      </c>
      <c r="G544">
        <f>'Grid_Stock'!E19</f>
        <v/>
      </c>
      <c r="H544">
        <f>'Grid_Stock'!F19</f>
        <v/>
      </c>
      <c r="I544">
        <f>'Grid_Stock'!G19</f>
        <v/>
      </c>
      <c r="J544">
        <f>'Grid_Stock'!H19</f>
        <v/>
      </c>
      <c r="K544">
        <f>'Grid_Stock'!I19</f>
        <v/>
      </c>
      <c r="L544">
        <f>'Grid_Stock'!J19</f>
        <v/>
      </c>
      <c r="M544">
        <f>'Grid_Stock'!K19</f>
        <v/>
      </c>
      <c r="N544">
        <f>'Grid_Stock'!L19</f>
        <v/>
      </c>
      <c r="O544">
        <f>'Grid_Stock'!M19</f>
        <v/>
      </c>
      <c r="P544">
        <f>'Grid_Stock'!N19</f>
        <v/>
      </c>
      <c r="Q544">
        <f>'Grid_Stock'!O19</f>
        <v/>
      </c>
      <c r="R544">
        <f>'Grid_Stock'!P19</f>
        <v/>
      </c>
      <c r="S544">
        <f>'Grid_Stock'!Q19</f>
        <v/>
      </c>
      <c r="T544">
        <f>'Grid_Stock'!R19</f>
        <v/>
      </c>
      <c r="U544">
        <f>'Grid_Stock'!S19</f>
        <v/>
      </c>
      <c r="V544">
        <f>'Grid_Stock'!T19</f>
        <v/>
      </c>
      <c r="W544">
        <f>'Grid_Stock'!U19</f>
        <v/>
      </c>
      <c r="X544">
        <f>'Grid_Stock'!V19</f>
        <v/>
      </c>
      <c r="Y544">
        <f>'Grid_Stock'!W19</f>
        <v/>
      </c>
      <c r="Z544">
        <f>'Grid_Stock'!X19</f>
        <v/>
      </c>
      <c r="AA544">
        <f>'Grid_Stock'!Y19</f>
        <v/>
      </c>
      <c r="AB544">
        <f>'Grid_Stock'!Z19</f>
        <v/>
      </c>
      <c r="AC544">
        <f>'Grid_Stock'!AA19</f>
        <v/>
      </c>
      <c r="AD544">
        <f>'Grid_Stock'!AB19</f>
        <v/>
      </c>
      <c r="AE544">
        <f>'Grid_Stock'!AC19</f>
        <v/>
      </c>
      <c r="AF544">
        <f>'Grid_Stock'!AD19</f>
        <v/>
      </c>
      <c r="AG544">
        <f>'Grid_Stock'!AE19</f>
        <v/>
      </c>
      <c r="AH544">
        <f>'Grid_Stock'!AF19</f>
        <v/>
      </c>
      <c r="AI544">
        <f>'Grid_Stock'!AG19</f>
        <v/>
      </c>
      <c r="AJ544">
        <f>'Grid_Stock'!AH19</f>
        <v/>
      </c>
      <c r="AK544">
        <f>'Grid_Stock'!AI19</f>
        <v/>
      </c>
      <c r="AL544">
        <f>'Grid_Stock'!AJ19</f>
        <v/>
      </c>
      <c r="AM544">
        <f>'Grid_Stock'!AK19</f>
        <v/>
      </c>
      <c r="AN544">
        <f>'Grid_Stock'!AL19</f>
        <v/>
      </c>
      <c r="AO544">
        <f>'Grid_Stock'!AM19</f>
        <v/>
      </c>
      <c r="AP544">
        <f>'Grid_Stock'!AN19</f>
        <v/>
      </c>
      <c r="AQ544">
        <f>'Grid_Stock'!AO19</f>
        <v/>
      </c>
      <c r="AR544">
        <f>'Grid_Stock'!AP19</f>
        <v/>
      </c>
      <c r="AS544">
        <f>'Grid_Stock'!AQ19</f>
        <v/>
      </c>
      <c r="AT544">
        <f>'Grid_Stock'!AR19</f>
        <v/>
      </c>
      <c r="AU544">
        <f>'Grid_Stock'!AS19</f>
        <v/>
      </c>
      <c r="AV544">
        <f>'Grid_Stock'!AT19</f>
        <v/>
      </c>
      <c r="AW544">
        <f>'Grid_Stock'!AU19</f>
        <v/>
      </c>
      <c r="AX544">
        <f>'Grid_Stock'!AV19</f>
        <v/>
      </c>
      <c r="AY544">
        <f>'Grid_Stock'!AW19</f>
        <v/>
      </c>
      <c r="AZ544">
        <f>'Grid_Stock'!AX19</f>
        <v/>
      </c>
      <c r="BA544">
        <f>'Grid_Stock'!AY19</f>
        <v/>
      </c>
      <c r="BB544">
        <f>'Grid_Stock'!AZ19</f>
        <v/>
      </c>
      <c r="BC544">
        <f>'Grid_Stock'!BA19</f>
        <v/>
      </c>
      <c r="BD544">
        <f>'Grid_Stock'!BB19</f>
        <v/>
      </c>
      <c r="BE544">
        <f>'Grid_Stock'!BC19</f>
        <v/>
      </c>
      <c r="BF544">
        <f>'Grid_Stock'!BD19</f>
        <v/>
      </c>
      <c r="BG544">
        <f>'Grid_Stock'!BE19</f>
        <v/>
      </c>
      <c r="BH544">
        <f>'Grid_Stock'!BF19</f>
        <v/>
      </c>
      <c r="BI544">
        <f>'Grid_Stock'!BG19</f>
        <v/>
      </c>
      <c r="BJ544">
        <f>'Grid_Stock'!BH19</f>
        <v/>
      </c>
      <c r="BK544">
        <f>'Grid_Stock'!BI19</f>
        <v/>
      </c>
      <c r="BL544">
        <f>'Grid_Stock'!BJ19</f>
        <v/>
      </c>
      <c r="BM544">
        <f>'Grid_Stock'!BK19</f>
        <v/>
      </c>
      <c r="BN544">
        <f>'Grid_Stock'!BL19</f>
        <v/>
      </c>
      <c r="BO544">
        <f>'Grid_Stock'!BM19</f>
        <v/>
      </c>
      <c r="BP544">
        <f>'Grid_Stock'!BN19</f>
        <v/>
      </c>
      <c r="BQ544">
        <f>'Grid_Stock'!BO19</f>
        <v/>
      </c>
      <c r="BR544">
        <f>'Grid_Stock'!BP19</f>
        <v/>
      </c>
      <c r="BS544">
        <f>'Grid_Stock'!BQ19</f>
        <v/>
      </c>
      <c r="BT544">
        <f>'Grid_Stock'!BR19</f>
        <v/>
      </c>
      <c r="BU544">
        <f>'Grid_Stock'!BS19</f>
        <v/>
      </c>
      <c r="BV544">
        <f>'Grid_Stock'!BT19</f>
        <v/>
      </c>
      <c r="BW544">
        <f>'Grid_Stock'!BU19</f>
        <v/>
      </c>
      <c r="BX544">
        <f>'Grid_Stock'!BV19</f>
        <v/>
      </c>
      <c r="BY544">
        <f>'Grid_Stock'!BW19</f>
        <v/>
      </c>
      <c r="BZ544">
        <f>'Grid_Stock'!BX19</f>
        <v/>
      </c>
      <c r="CA544">
        <f>'Grid_Stock'!BY19</f>
        <v/>
      </c>
      <c r="CB544">
        <f>'Grid_Stock'!BZ19</f>
        <v/>
      </c>
      <c r="CC544">
        <f>'Grid_Stock'!CA19</f>
        <v/>
      </c>
      <c r="CD544">
        <f>'Grid_Stock'!CB19</f>
        <v/>
      </c>
      <c r="CE544">
        <f>'Grid_Stock'!CC19</f>
        <v/>
      </c>
      <c r="CF544">
        <f>'Grid_Stock'!CD19</f>
        <v/>
      </c>
      <c r="CG544">
        <f>'Grid_Stock'!CE19</f>
        <v/>
      </c>
      <c r="CH544">
        <f>'Grid_Stock'!CF19</f>
        <v/>
      </c>
      <c r="CI544">
        <f>'Grid_Stock'!CG19</f>
        <v/>
      </c>
      <c r="CJ544">
        <f>'Grid_Stock'!CH19</f>
        <v/>
      </c>
      <c r="CK544">
        <f>'Grid_Stock'!CI19</f>
        <v/>
      </c>
      <c r="CL544">
        <f>'Grid_Stock'!CJ19</f>
        <v/>
      </c>
      <c r="CM544">
        <f>'Grid_Stock'!CK19</f>
        <v/>
      </c>
      <c r="CN544">
        <f>'Grid_Stock'!CL19</f>
        <v/>
      </c>
      <c r="CO544">
        <f>'Grid_Stock'!CM19</f>
        <v/>
      </c>
      <c r="CP544">
        <f>'Grid_Stock'!CN19</f>
        <v/>
      </c>
      <c r="CQ544">
        <f>'Grid_Stock'!CO19</f>
        <v/>
      </c>
      <c r="CR544">
        <f>'Grid_Stock'!CP19</f>
        <v/>
      </c>
      <c r="CS544">
        <f>'Grid_Stock'!CQ19</f>
        <v/>
      </c>
      <c r="CT544">
        <f>'Grid_Stock'!CR19</f>
        <v/>
      </c>
      <c r="CU544">
        <f>'Grid_Stock'!CS19</f>
        <v/>
      </c>
      <c r="CV544">
        <f>'Grid_Stock'!CT19</f>
        <v/>
      </c>
      <c r="CW544">
        <f>'Grid_Stock'!CU19</f>
        <v/>
      </c>
      <c r="CX544">
        <f>'Grid_Stock'!CV19</f>
        <v/>
      </c>
      <c r="CY544">
        <f>'Grid_Stock'!CW19</f>
        <v/>
      </c>
      <c r="CZ544">
        <f>'Grid_Stock'!CX19</f>
        <v/>
      </c>
      <c r="DA544">
        <f>'Grid_Stock'!CY19</f>
        <v/>
      </c>
      <c r="DB544">
        <f>'Grid_Stock'!CZ19</f>
        <v/>
      </c>
      <c r="DC544">
        <f>'Grid_Stock'!DA19</f>
        <v/>
      </c>
    </row>
    <row r="545">
      <c r="B545" s="16" t="inlineStr">
        <is>
          <t>（発注の目安はDashboardの基準在庫[下限/上限]と色分けを参照）</t>
        </is>
      </c>
    </row>
    <row r="547">
      <c r="A547" s="14" t="inlineStr">
        <is>
          <t>CHEM-1510</t>
        </is>
      </c>
      <c r="B547" s="14" t="inlineStr">
        <is>
          <t>BA-070</t>
        </is>
      </c>
      <c r="C547" s="15" t="n"/>
      <c r="D547" s="14" t="n"/>
      <c r="E547" s="14" t="n"/>
      <c r="F547" s="14" t="n"/>
      <c r="G547" s="14" t="n"/>
      <c r="H547" s="14" t="n"/>
      <c r="I547" s="14" t="n"/>
      <c r="J547" s="14" t="n"/>
      <c r="K547" s="14" t="n"/>
      <c r="L547" s="14" t="n"/>
      <c r="M547" s="14" t="n"/>
      <c r="N547" s="14" t="n"/>
      <c r="O547" s="14" t="n"/>
      <c r="P547" s="14" t="n"/>
      <c r="Q547" s="14" t="n"/>
      <c r="R547" s="14" t="n"/>
      <c r="S547" s="14" t="n"/>
      <c r="T547" s="14" t="n"/>
      <c r="U547" s="14" t="n"/>
      <c r="V547" s="14" t="n"/>
      <c r="W547" s="14" t="n"/>
      <c r="X547" s="14" t="n"/>
      <c r="Y547" s="14" t="n"/>
      <c r="Z547" s="14" t="n"/>
      <c r="AA547" s="14" t="n"/>
      <c r="AB547" s="14" t="n"/>
      <c r="AC547" s="14" t="n"/>
      <c r="AD547" s="14" t="n"/>
      <c r="AE547" s="14" t="n"/>
      <c r="AF547" s="14" t="n"/>
      <c r="AG547" s="14" t="n"/>
      <c r="AH547" s="14" t="n"/>
      <c r="AI547" s="14" t="n"/>
      <c r="AJ547" s="14" t="n"/>
      <c r="AK547" s="14" t="n"/>
      <c r="AL547" s="14" t="n"/>
      <c r="AM547" s="14" t="n"/>
      <c r="AN547" s="14" t="n"/>
      <c r="AO547" s="14" t="n"/>
      <c r="AP547" s="14" t="n"/>
      <c r="AQ547" s="14" t="n"/>
      <c r="AR547" s="14" t="n"/>
      <c r="AS547" s="14" t="n"/>
      <c r="AT547" s="14" t="n"/>
      <c r="AU547" s="14" t="n"/>
      <c r="AV547" s="14" t="n"/>
      <c r="AW547" s="14" t="n"/>
      <c r="AX547" s="14" t="n"/>
      <c r="AY547" s="14" t="n"/>
      <c r="AZ547" s="14" t="n"/>
      <c r="BA547" s="14" t="n"/>
      <c r="BB547" s="14" t="n"/>
      <c r="BC547" s="14" t="n"/>
      <c r="BD547" s="14" t="n"/>
      <c r="BE547" s="14" t="n"/>
      <c r="BF547" s="14" t="n"/>
      <c r="BG547" s="14" t="n"/>
      <c r="BH547" s="14" t="n"/>
      <c r="BI547" s="14" t="n"/>
      <c r="BJ547" s="14" t="n"/>
      <c r="BK547" s="14" t="n"/>
      <c r="BL547" s="14" t="n"/>
      <c r="BM547" s="14" t="n"/>
      <c r="BN547" s="14" t="n"/>
      <c r="BO547" s="14" t="n"/>
      <c r="BP547" s="14" t="n"/>
      <c r="BQ547" s="14" t="n"/>
      <c r="BR547" s="14" t="n"/>
      <c r="BS547" s="14" t="n"/>
      <c r="BT547" s="14" t="n"/>
      <c r="BU547" s="14" t="n"/>
      <c r="BV547" s="14" t="n"/>
      <c r="BW547" s="14" t="n"/>
      <c r="BX547" s="14" t="n"/>
      <c r="BY547" s="14" t="n"/>
      <c r="BZ547" s="14" t="n"/>
      <c r="CA547" s="14" t="n"/>
      <c r="CB547" s="14" t="n"/>
      <c r="CC547" s="14" t="n"/>
      <c r="CD547" s="14" t="n"/>
      <c r="CE547" s="14" t="n"/>
      <c r="CF547" s="14" t="n"/>
      <c r="CG547" s="14" t="n"/>
      <c r="CH547" s="14" t="n"/>
      <c r="CI547" s="14" t="n"/>
      <c r="CJ547" s="14" t="n"/>
      <c r="CK547" s="14" t="n"/>
      <c r="CL547" s="14" t="n"/>
      <c r="CM547" s="14" t="n"/>
      <c r="CN547" s="14" t="n"/>
      <c r="CO547" s="14" t="n"/>
      <c r="CP547" s="14" t="n"/>
      <c r="CQ547" s="14" t="n"/>
      <c r="CR547" s="14" t="n"/>
      <c r="CS547" s="14" t="n"/>
      <c r="CT547" s="14" t="n"/>
      <c r="CU547" s="14" t="n"/>
      <c r="CV547" s="14" t="n"/>
      <c r="CW547" s="14" t="n"/>
      <c r="CX547" s="14" t="n"/>
      <c r="CY547" s="14" t="n"/>
      <c r="CZ547" s="14" t="n"/>
      <c r="DA547" s="14" t="n"/>
      <c r="DB547" s="14" t="n"/>
      <c r="DC547" s="14" t="n"/>
    </row>
    <row r="548">
      <c r="B548" t="inlineStr">
        <is>
          <t>TSP-219</t>
        </is>
      </c>
      <c r="C548" t="inlineStr">
        <is>
          <t>No. of batches</t>
        </is>
      </c>
      <c r="D548">
        <f>IFERROR(INDEX(PP_Grid[#Data],$DD548,2),0)</f>
        <v/>
      </c>
      <c r="E548">
        <f>IFERROR(INDEX(PP_Grid[#Data],$DD548,3),0)</f>
        <v/>
      </c>
      <c r="F548">
        <f>IFERROR(INDEX(PP_Grid[#Data],$DD548,4),0)</f>
        <v/>
      </c>
      <c r="G548">
        <f>IFERROR(INDEX(PP_Grid[#Data],$DD548,5),0)</f>
        <v/>
      </c>
      <c r="H548">
        <f>IFERROR(INDEX(PP_Grid[#Data],$DD548,6),0)</f>
        <v/>
      </c>
      <c r="I548">
        <f>IFERROR(INDEX(PP_Grid[#Data],$DD548,7),0)</f>
        <v/>
      </c>
      <c r="J548">
        <f>IFERROR(INDEX(PP_Grid[#Data],$DD548,8),0)</f>
        <v/>
      </c>
      <c r="K548">
        <f>IFERROR(INDEX(PP_Grid[#Data],$DD548,9),0)</f>
        <v/>
      </c>
      <c r="L548">
        <f>IFERROR(INDEX(PP_Grid[#Data],$DD548,10),0)</f>
        <v/>
      </c>
      <c r="M548">
        <f>IFERROR(INDEX(PP_Grid[#Data],$DD548,11),0)</f>
        <v/>
      </c>
      <c r="N548">
        <f>IFERROR(INDEX(PP_Grid[#Data],$DD548,12),0)</f>
        <v/>
      </c>
      <c r="O548">
        <f>IFERROR(INDEX(PP_Grid[#Data],$DD548,13),0)</f>
        <v/>
      </c>
      <c r="P548">
        <f>IFERROR(INDEX(PP_Grid[#Data],$DD548,14),0)</f>
        <v/>
      </c>
      <c r="Q548">
        <f>IFERROR(INDEX(PP_Grid[#Data],$DD548,15),0)</f>
        <v/>
      </c>
      <c r="R548">
        <f>IFERROR(INDEX(PP_Grid[#Data],$DD548,16),0)</f>
        <v/>
      </c>
      <c r="S548">
        <f>IFERROR(INDEX(PP_Grid[#Data],$DD548,17),0)</f>
        <v/>
      </c>
      <c r="T548">
        <f>IFERROR(INDEX(PP_Grid[#Data],$DD548,18),0)</f>
        <v/>
      </c>
      <c r="U548">
        <f>IFERROR(INDEX(PP_Grid[#Data],$DD548,19),0)</f>
        <v/>
      </c>
      <c r="V548">
        <f>IFERROR(INDEX(PP_Grid[#Data],$DD548,20),0)</f>
        <v/>
      </c>
      <c r="W548">
        <f>IFERROR(INDEX(PP_Grid[#Data],$DD548,21),0)</f>
        <v/>
      </c>
      <c r="X548">
        <f>IFERROR(INDEX(PP_Grid[#Data],$DD548,22),0)</f>
        <v/>
      </c>
      <c r="Y548">
        <f>IFERROR(INDEX(PP_Grid[#Data],$DD548,23),0)</f>
        <v/>
      </c>
      <c r="Z548">
        <f>IFERROR(INDEX(PP_Grid[#Data],$DD548,24),0)</f>
        <v/>
      </c>
      <c r="AA548">
        <f>IFERROR(INDEX(PP_Grid[#Data],$DD548,25),0)</f>
        <v/>
      </c>
      <c r="AB548">
        <f>IFERROR(INDEX(PP_Grid[#Data],$DD548,26),0)</f>
        <v/>
      </c>
      <c r="AC548">
        <f>IFERROR(INDEX(PP_Grid[#Data],$DD548,27),0)</f>
        <v/>
      </c>
      <c r="AD548">
        <f>IFERROR(INDEX(PP_Grid[#Data],$DD548,28),0)</f>
        <v/>
      </c>
      <c r="AE548">
        <f>IFERROR(INDEX(PP_Grid[#Data],$DD548,29),0)</f>
        <v/>
      </c>
      <c r="AF548">
        <f>IFERROR(INDEX(PP_Grid[#Data],$DD548,30),0)</f>
        <v/>
      </c>
      <c r="AG548">
        <f>IFERROR(INDEX(PP_Grid[#Data],$DD548,31),0)</f>
        <v/>
      </c>
      <c r="AH548">
        <f>IFERROR(INDEX(PP_Grid[#Data],$DD548,32),0)</f>
        <v/>
      </c>
      <c r="AI548">
        <f>IFERROR(INDEX(PP_Grid[#Data],$DD548,33),0)</f>
        <v/>
      </c>
      <c r="AJ548">
        <f>IFERROR(INDEX(PP_Grid[#Data],$DD548,34),0)</f>
        <v/>
      </c>
      <c r="AK548">
        <f>IFERROR(INDEX(PP_Grid[#Data],$DD548,35),0)</f>
        <v/>
      </c>
      <c r="AL548">
        <f>IFERROR(INDEX(PP_Grid[#Data],$DD548,36),0)</f>
        <v/>
      </c>
      <c r="AM548">
        <f>IFERROR(INDEX(PP_Grid[#Data],$DD548,37),0)</f>
        <v/>
      </c>
      <c r="AN548">
        <f>IFERROR(INDEX(PP_Grid[#Data],$DD548,38),0)</f>
        <v/>
      </c>
      <c r="AO548">
        <f>IFERROR(INDEX(PP_Grid[#Data],$DD548,39),0)</f>
        <v/>
      </c>
      <c r="AP548">
        <f>IFERROR(INDEX(PP_Grid[#Data],$DD548,40),0)</f>
        <v/>
      </c>
      <c r="AQ548">
        <f>IFERROR(INDEX(PP_Grid[#Data],$DD548,41),0)</f>
        <v/>
      </c>
      <c r="AR548">
        <f>IFERROR(INDEX(PP_Grid[#Data],$DD548,42),0)</f>
        <v/>
      </c>
      <c r="AS548">
        <f>IFERROR(INDEX(PP_Grid[#Data],$DD548,43),0)</f>
        <v/>
      </c>
      <c r="AT548">
        <f>IFERROR(INDEX(PP_Grid[#Data],$DD548,44),0)</f>
        <v/>
      </c>
      <c r="AU548">
        <f>IFERROR(INDEX(PP_Grid[#Data],$DD548,45),0)</f>
        <v/>
      </c>
      <c r="AV548">
        <f>IFERROR(INDEX(PP_Grid[#Data],$DD548,46),0)</f>
        <v/>
      </c>
      <c r="AW548">
        <f>IFERROR(INDEX(PP_Grid[#Data],$DD548,47),0)</f>
        <v/>
      </c>
      <c r="AX548">
        <f>IFERROR(INDEX(PP_Grid[#Data],$DD548,48),0)</f>
        <v/>
      </c>
      <c r="AY548">
        <f>IFERROR(INDEX(PP_Grid[#Data],$DD548,49),0)</f>
        <v/>
      </c>
      <c r="AZ548">
        <f>IFERROR(INDEX(PP_Grid[#Data],$DD548,50),0)</f>
        <v/>
      </c>
      <c r="BA548">
        <f>IFERROR(INDEX(PP_Grid[#Data],$DD548,51),0)</f>
        <v/>
      </c>
      <c r="BB548">
        <f>IFERROR(INDEX(PP_Grid[#Data],$DD548,52),0)</f>
        <v/>
      </c>
      <c r="BC548">
        <f>IFERROR(INDEX(PP_Grid[#Data],$DD548,53),0)</f>
        <v/>
      </c>
      <c r="BD548">
        <f>IFERROR(INDEX(PP_Grid[#Data],$DD548,54),0)</f>
        <v/>
      </c>
      <c r="BE548">
        <f>IFERROR(INDEX(PP_Grid[#Data],$DD548,55),0)</f>
        <v/>
      </c>
      <c r="BF548">
        <f>IFERROR(INDEX(PP_Grid[#Data],$DD548,56),0)</f>
        <v/>
      </c>
      <c r="BG548">
        <f>IFERROR(INDEX(PP_Grid[#Data],$DD548,57),0)</f>
        <v/>
      </c>
      <c r="BH548">
        <f>IFERROR(INDEX(PP_Grid[#Data],$DD548,58),0)</f>
        <v/>
      </c>
      <c r="BI548">
        <f>IFERROR(INDEX(PP_Grid[#Data],$DD548,59),0)</f>
        <v/>
      </c>
      <c r="BJ548">
        <f>IFERROR(INDEX(PP_Grid[#Data],$DD548,60),0)</f>
        <v/>
      </c>
      <c r="BK548">
        <f>IFERROR(INDEX(PP_Grid[#Data],$DD548,61),0)</f>
        <v/>
      </c>
      <c r="BL548">
        <f>IFERROR(INDEX(PP_Grid[#Data],$DD548,62),0)</f>
        <v/>
      </c>
      <c r="BM548">
        <f>IFERROR(INDEX(PP_Grid[#Data],$DD548,63),0)</f>
        <v/>
      </c>
      <c r="BN548">
        <f>IFERROR(INDEX(PP_Grid[#Data],$DD548,64),0)</f>
        <v/>
      </c>
      <c r="BO548">
        <f>IFERROR(INDEX(PP_Grid[#Data],$DD548,65),0)</f>
        <v/>
      </c>
      <c r="BP548">
        <f>IFERROR(INDEX(PP_Grid[#Data],$DD548,66),0)</f>
        <v/>
      </c>
      <c r="BQ548">
        <f>IFERROR(INDEX(PP_Grid[#Data],$DD548,67),0)</f>
        <v/>
      </c>
      <c r="BR548">
        <f>IFERROR(INDEX(PP_Grid[#Data],$DD548,68),0)</f>
        <v/>
      </c>
      <c r="BS548">
        <f>IFERROR(INDEX(PP_Grid[#Data],$DD548,69),0)</f>
        <v/>
      </c>
      <c r="BT548">
        <f>IFERROR(INDEX(PP_Grid[#Data],$DD548,70),0)</f>
        <v/>
      </c>
      <c r="BU548">
        <f>IFERROR(INDEX(PP_Grid[#Data],$DD548,71),0)</f>
        <v/>
      </c>
      <c r="BV548">
        <f>IFERROR(INDEX(PP_Grid[#Data],$DD548,72),0)</f>
        <v/>
      </c>
      <c r="BW548">
        <f>IFERROR(INDEX(PP_Grid[#Data],$DD548,73),0)</f>
        <v/>
      </c>
      <c r="BX548">
        <f>IFERROR(INDEX(PP_Grid[#Data],$DD548,74),0)</f>
        <v/>
      </c>
      <c r="BY548">
        <f>IFERROR(INDEX(PP_Grid[#Data],$DD548,75),0)</f>
        <v/>
      </c>
      <c r="BZ548">
        <f>IFERROR(INDEX(PP_Grid[#Data],$DD548,76),0)</f>
        <v/>
      </c>
      <c r="CA548">
        <f>IFERROR(INDEX(PP_Grid[#Data],$DD548,77),0)</f>
        <v/>
      </c>
      <c r="CB548">
        <f>IFERROR(INDEX(PP_Grid[#Data],$DD548,78),0)</f>
        <v/>
      </c>
      <c r="CC548">
        <f>IFERROR(INDEX(PP_Grid[#Data],$DD548,79),0)</f>
        <v/>
      </c>
      <c r="CD548">
        <f>IFERROR(INDEX(PP_Grid[#Data],$DD548,80),0)</f>
        <v/>
      </c>
      <c r="CE548">
        <f>IFERROR(INDEX(PP_Grid[#Data],$DD548,81),0)</f>
        <v/>
      </c>
      <c r="CF548">
        <f>IFERROR(INDEX(PP_Grid[#Data],$DD548,82),0)</f>
        <v/>
      </c>
      <c r="CG548">
        <f>IFERROR(INDEX(PP_Grid[#Data],$DD548,83),0)</f>
        <v/>
      </c>
      <c r="CH548">
        <f>IFERROR(INDEX(PP_Grid[#Data],$DD548,84),0)</f>
        <v/>
      </c>
      <c r="CI548">
        <f>IFERROR(INDEX(PP_Grid[#Data],$DD548,85),0)</f>
        <v/>
      </c>
      <c r="CJ548">
        <f>IFERROR(INDEX(PP_Grid[#Data],$DD548,86),0)</f>
        <v/>
      </c>
      <c r="CK548">
        <f>IFERROR(INDEX(PP_Grid[#Data],$DD548,87),0)</f>
        <v/>
      </c>
      <c r="CL548">
        <f>IFERROR(INDEX(PP_Grid[#Data],$DD548,88),0)</f>
        <v/>
      </c>
      <c r="CM548">
        <f>IFERROR(INDEX(PP_Grid[#Data],$DD548,89),0)</f>
        <v/>
      </c>
      <c r="CN548">
        <f>IFERROR(INDEX(PP_Grid[#Data],$DD548,90),0)</f>
        <v/>
      </c>
      <c r="CO548">
        <f>IFERROR(INDEX(PP_Grid[#Data],$DD548,91),0)</f>
        <v/>
      </c>
      <c r="CP548">
        <f>IFERROR(INDEX(PP_Grid[#Data],$DD548,92),0)</f>
        <v/>
      </c>
      <c r="CQ548">
        <f>IFERROR(INDEX(PP_Grid[#Data],$DD548,93),0)</f>
        <v/>
      </c>
      <c r="CR548">
        <f>IFERROR(INDEX(PP_Grid[#Data],$DD548,94),0)</f>
        <v/>
      </c>
      <c r="CS548">
        <f>IFERROR(INDEX(PP_Grid[#Data],$DD548,95),0)</f>
        <v/>
      </c>
      <c r="CT548">
        <f>IFERROR(INDEX(PP_Grid[#Data],$DD548,96),0)</f>
        <v/>
      </c>
      <c r="CU548">
        <f>IFERROR(INDEX(PP_Grid[#Data],$DD548,97),0)</f>
        <v/>
      </c>
      <c r="CV548">
        <f>IFERROR(INDEX(PP_Grid[#Data],$DD548,98),0)</f>
        <v/>
      </c>
      <c r="CW548">
        <f>IFERROR(INDEX(PP_Grid[#Data],$DD548,99),0)</f>
        <v/>
      </c>
      <c r="CX548">
        <f>IFERROR(INDEX(PP_Grid[#Data],$DD548,100),0)</f>
        <v/>
      </c>
      <c r="CY548">
        <f>IFERROR(INDEX(PP_Grid[#Data],$DD548,101),0)</f>
        <v/>
      </c>
      <c r="CZ548">
        <f>IFERROR(INDEX(PP_Grid[#Data],$DD548,102),0)</f>
        <v/>
      </c>
      <c r="DA548">
        <f>IFERROR(INDEX(PP_Grid[#Data],$DD548,103),0)</f>
        <v/>
      </c>
      <c r="DB548">
        <f>IFERROR(INDEX(PP_Grid[#Data],$DD548,104),0)</f>
        <v/>
      </c>
      <c r="DC548">
        <f>IFERROR(INDEX(PP_Grid[#Data],$DD548,105),0)</f>
        <v/>
      </c>
      <c r="DD548" s="7">
        <f>IFERROR(MATCH($B548,PP_Grid[Intermediate],0),99999)</f>
        <v/>
      </c>
    </row>
    <row r="549">
      <c r="B549" t="inlineStr">
        <is>
          <t>使用量(kg)</t>
        </is>
      </c>
      <c r="C549">
        <f>SUMIFS(M_BOM[RM_Qty_Per_Batch],M_BOM[Intermediate],$B548,M_BOM[Part Name],$A547)</f>
        <v/>
      </c>
      <c r="D549">
        <f>$C549*D548</f>
        <v/>
      </c>
      <c r="E549">
        <f>$C549*E548</f>
        <v/>
      </c>
      <c r="F549">
        <f>$C549*F548</f>
        <v/>
      </c>
      <c r="G549">
        <f>$C549*G548</f>
        <v/>
      </c>
      <c r="H549">
        <f>$C549*H548</f>
        <v/>
      </c>
      <c r="I549">
        <f>$C549*I548</f>
        <v/>
      </c>
      <c r="J549">
        <f>$C549*J548</f>
        <v/>
      </c>
      <c r="K549">
        <f>$C549*K548</f>
        <v/>
      </c>
      <c r="L549">
        <f>$C549*L548</f>
        <v/>
      </c>
      <c r="M549">
        <f>$C549*M548</f>
        <v/>
      </c>
      <c r="N549">
        <f>$C549*N548</f>
        <v/>
      </c>
      <c r="O549">
        <f>$C549*O548</f>
        <v/>
      </c>
      <c r="P549">
        <f>$C549*P548</f>
        <v/>
      </c>
      <c r="Q549">
        <f>$C549*Q548</f>
        <v/>
      </c>
      <c r="R549">
        <f>$C549*R548</f>
        <v/>
      </c>
      <c r="S549">
        <f>$C549*S548</f>
        <v/>
      </c>
      <c r="T549">
        <f>$C549*T548</f>
        <v/>
      </c>
      <c r="U549">
        <f>$C549*U548</f>
        <v/>
      </c>
      <c r="V549">
        <f>$C549*V548</f>
        <v/>
      </c>
      <c r="W549">
        <f>$C549*W548</f>
        <v/>
      </c>
      <c r="X549">
        <f>$C549*X548</f>
        <v/>
      </c>
      <c r="Y549">
        <f>$C549*Y548</f>
        <v/>
      </c>
      <c r="Z549">
        <f>$C549*Z548</f>
        <v/>
      </c>
      <c r="AA549">
        <f>$C549*AA548</f>
        <v/>
      </c>
      <c r="AB549">
        <f>$C549*AB548</f>
        <v/>
      </c>
      <c r="AC549">
        <f>$C549*AC548</f>
        <v/>
      </c>
      <c r="AD549">
        <f>$C549*AD548</f>
        <v/>
      </c>
      <c r="AE549">
        <f>$C549*AE548</f>
        <v/>
      </c>
      <c r="AF549">
        <f>$C549*AF548</f>
        <v/>
      </c>
      <c r="AG549">
        <f>$C549*AG548</f>
        <v/>
      </c>
      <c r="AH549">
        <f>$C549*AH548</f>
        <v/>
      </c>
      <c r="AI549">
        <f>$C549*AI548</f>
        <v/>
      </c>
      <c r="AJ549">
        <f>$C549*AJ548</f>
        <v/>
      </c>
      <c r="AK549">
        <f>$C549*AK548</f>
        <v/>
      </c>
      <c r="AL549">
        <f>$C549*AL548</f>
        <v/>
      </c>
      <c r="AM549">
        <f>$C549*AM548</f>
        <v/>
      </c>
      <c r="AN549">
        <f>$C549*AN548</f>
        <v/>
      </c>
      <c r="AO549">
        <f>$C549*AO548</f>
        <v/>
      </c>
      <c r="AP549">
        <f>$C549*AP548</f>
        <v/>
      </c>
      <c r="AQ549">
        <f>$C549*AQ548</f>
        <v/>
      </c>
      <c r="AR549">
        <f>$C549*AR548</f>
        <v/>
      </c>
      <c r="AS549">
        <f>$C549*AS548</f>
        <v/>
      </c>
      <c r="AT549">
        <f>$C549*AT548</f>
        <v/>
      </c>
      <c r="AU549">
        <f>$C549*AU548</f>
        <v/>
      </c>
      <c r="AV549">
        <f>$C549*AV548</f>
        <v/>
      </c>
      <c r="AW549">
        <f>$C549*AW548</f>
        <v/>
      </c>
      <c r="AX549">
        <f>$C549*AX548</f>
        <v/>
      </c>
      <c r="AY549">
        <f>$C549*AY548</f>
        <v/>
      </c>
      <c r="AZ549">
        <f>$C549*AZ548</f>
        <v/>
      </c>
      <c r="BA549">
        <f>$C549*BA548</f>
        <v/>
      </c>
      <c r="BB549">
        <f>$C549*BB548</f>
        <v/>
      </c>
      <c r="BC549">
        <f>$C549*BC548</f>
        <v/>
      </c>
      <c r="BD549">
        <f>$C549*BD548</f>
        <v/>
      </c>
      <c r="BE549">
        <f>$C549*BE548</f>
        <v/>
      </c>
      <c r="BF549">
        <f>$C549*BF548</f>
        <v/>
      </c>
      <c r="BG549">
        <f>$C549*BG548</f>
        <v/>
      </c>
      <c r="BH549">
        <f>$C549*BH548</f>
        <v/>
      </c>
      <c r="BI549">
        <f>$C549*BI548</f>
        <v/>
      </c>
      <c r="BJ549">
        <f>$C549*BJ548</f>
        <v/>
      </c>
      <c r="BK549">
        <f>$C549*BK548</f>
        <v/>
      </c>
      <c r="BL549">
        <f>$C549*BL548</f>
        <v/>
      </c>
      <c r="BM549">
        <f>$C549*BM548</f>
        <v/>
      </c>
      <c r="BN549">
        <f>$C549*BN548</f>
        <v/>
      </c>
      <c r="BO549">
        <f>$C549*BO548</f>
        <v/>
      </c>
      <c r="BP549">
        <f>$C549*BP548</f>
        <v/>
      </c>
      <c r="BQ549">
        <f>$C549*BQ548</f>
        <v/>
      </c>
      <c r="BR549">
        <f>$C549*BR548</f>
        <v/>
      </c>
      <c r="BS549">
        <f>$C549*BS548</f>
        <v/>
      </c>
      <c r="BT549">
        <f>$C549*BT548</f>
        <v/>
      </c>
      <c r="BU549">
        <f>$C549*BU548</f>
        <v/>
      </c>
      <c r="BV549">
        <f>$C549*BV548</f>
        <v/>
      </c>
      <c r="BW549">
        <f>$C549*BW548</f>
        <v/>
      </c>
      <c r="BX549">
        <f>$C549*BX548</f>
        <v/>
      </c>
      <c r="BY549">
        <f>$C549*BY548</f>
        <v/>
      </c>
      <c r="BZ549">
        <f>$C549*BZ548</f>
        <v/>
      </c>
      <c r="CA549">
        <f>$C549*CA548</f>
        <v/>
      </c>
      <c r="CB549">
        <f>$C549*CB548</f>
        <v/>
      </c>
      <c r="CC549">
        <f>$C549*CC548</f>
        <v/>
      </c>
      <c r="CD549">
        <f>$C549*CD548</f>
        <v/>
      </c>
      <c r="CE549">
        <f>$C549*CE548</f>
        <v/>
      </c>
      <c r="CF549">
        <f>$C549*CF548</f>
        <v/>
      </c>
      <c r="CG549">
        <f>$C549*CG548</f>
        <v/>
      </c>
      <c r="CH549">
        <f>$C549*CH548</f>
        <v/>
      </c>
      <c r="CI549">
        <f>$C549*CI548</f>
        <v/>
      </c>
      <c r="CJ549">
        <f>$C549*CJ548</f>
        <v/>
      </c>
      <c r="CK549">
        <f>$C549*CK548</f>
        <v/>
      </c>
      <c r="CL549">
        <f>$C549*CL548</f>
        <v/>
      </c>
      <c r="CM549">
        <f>$C549*CM548</f>
        <v/>
      </c>
      <c r="CN549">
        <f>$C549*CN548</f>
        <v/>
      </c>
      <c r="CO549">
        <f>$C549*CO548</f>
        <v/>
      </c>
      <c r="CP549">
        <f>$C549*CP548</f>
        <v/>
      </c>
      <c r="CQ549">
        <f>$C549*CQ548</f>
        <v/>
      </c>
      <c r="CR549">
        <f>$C549*CR548</f>
        <v/>
      </c>
      <c r="CS549">
        <f>$C549*CS548</f>
        <v/>
      </c>
      <c r="CT549">
        <f>$C549*CT548</f>
        <v/>
      </c>
      <c r="CU549">
        <f>$C549*CU548</f>
        <v/>
      </c>
      <c r="CV549">
        <f>$C549*CV548</f>
        <v/>
      </c>
      <c r="CW549">
        <f>$C549*CW548</f>
        <v/>
      </c>
      <c r="CX549">
        <f>$C549*CX548</f>
        <v/>
      </c>
      <c r="CY549">
        <f>$C549*CY548</f>
        <v/>
      </c>
      <c r="CZ549">
        <f>$C549*CZ548</f>
        <v/>
      </c>
      <c r="DA549">
        <f>$C549*DA548</f>
        <v/>
      </c>
      <c r="DB549">
        <f>$C549*DB548</f>
        <v/>
      </c>
      <c r="DC549">
        <f>$C549*DC548</f>
        <v/>
      </c>
    </row>
    <row r="550">
      <c r="B550" t="inlineStr">
        <is>
          <t>TSP-360</t>
        </is>
      </c>
      <c r="C550" t="inlineStr">
        <is>
          <t>No. of batches</t>
        </is>
      </c>
      <c r="D550">
        <f>IFERROR(INDEX(PP_Grid[#Data],$DD550,2),0)</f>
        <v/>
      </c>
      <c r="E550">
        <f>IFERROR(INDEX(PP_Grid[#Data],$DD550,3),0)</f>
        <v/>
      </c>
      <c r="F550">
        <f>IFERROR(INDEX(PP_Grid[#Data],$DD550,4),0)</f>
        <v/>
      </c>
      <c r="G550">
        <f>IFERROR(INDEX(PP_Grid[#Data],$DD550,5),0)</f>
        <v/>
      </c>
      <c r="H550">
        <f>IFERROR(INDEX(PP_Grid[#Data],$DD550,6),0)</f>
        <v/>
      </c>
      <c r="I550">
        <f>IFERROR(INDEX(PP_Grid[#Data],$DD550,7),0)</f>
        <v/>
      </c>
      <c r="J550">
        <f>IFERROR(INDEX(PP_Grid[#Data],$DD550,8),0)</f>
        <v/>
      </c>
      <c r="K550">
        <f>IFERROR(INDEX(PP_Grid[#Data],$DD550,9),0)</f>
        <v/>
      </c>
      <c r="L550">
        <f>IFERROR(INDEX(PP_Grid[#Data],$DD550,10),0)</f>
        <v/>
      </c>
      <c r="M550">
        <f>IFERROR(INDEX(PP_Grid[#Data],$DD550,11),0)</f>
        <v/>
      </c>
      <c r="N550">
        <f>IFERROR(INDEX(PP_Grid[#Data],$DD550,12),0)</f>
        <v/>
      </c>
      <c r="O550">
        <f>IFERROR(INDEX(PP_Grid[#Data],$DD550,13),0)</f>
        <v/>
      </c>
      <c r="P550">
        <f>IFERROR(INDEX(PP_Grid[#Data],$DD550,14),0)</f>
        <v/>
      </c>
      <c r="Q550">
        <f>IFERROR(INDEX(PP_Grid[#Data],$DD550,15),0)</f>
        <v/>
      </c>
      <c r="R550">
        <f>IFERROR(INDEX(PP_Grid[#Data],$DD550,16),0)</f>
        <v/>
      </c>
      <c r="S550">
        <f>IFERROR(INDEX(PP_Grid[#Data],$DD550,17),0)</f>
        <v/>
      </c>
      <c r="T550">
        <f>IFERROR(INDEX(PP_Grid[#Data],$DD550,18),0)</f>
        <v/>
      </c>
      <c r="U550">
        <f>IFERROR(INDEX(PP_Grid[#Data],$DD550,19),0)</f>
        <v/>
      </c>
      <c r="V550">
        <f>IFERROR(INDEX(PP_Grid[#Data],$DD550,20),0)</f>
        <v/>
      </c>
      <c r="W550">
        <f>IFERROR(INDEX(PP_Grid[#Data],$DD550,21),0)</f>
        <v/>
      </c>
      <c r="X550">
        <f>IFERROR(INDEX(PP_Grid[#Data],$DD550,22),0)</f>
        <v/>
      </c>
      <c r="Y550">
        <f>IFERROR(INDEX(PP_Grid[#Data],$DD550,23),0)</f>
        <v/>
      </c>
      <c r="Z550">
        <f>IFERROR(INDEX(PP_Grid[#Data],$DD550,24),0)</f>
        <v/>
      </c>
      <c r="AA550">
        <f>IFERROR(INDEX(PP_Grid[#Data],$DD550,25),0)</f>
        <v/>
      </c>
      <c r="AB550">
        <f>IFERROR(INDEX(PP_Grid[#Data],$DD550,26),0)</f>
        <v/>
      </c>
      <c r="AC550">
        <f>IFERROR(INDEX(PP_Grid[#Data],$DD550,27),0)</f>
        <v/>
      </c>
      <c r="AD550">
        <f>IFERROR(INDEX(PP_Grid[#Data],$DD550,28),0)</f>
        <v/>
      </c>
      <c r="AE550">
        <f>IFERROR(INDEX(PP_Grid[#Data],$DD550,29),0)</f>
        <v/>
      </c>
      <c r="AF550">
        <f>IFERROR(INDEX(PP_Grid[#Data],$DD550,30),0)</f>
        <v/>
      </c>
      <c r="AG550">
        <f>IFERROR(INDEX(PP_Grid[#Data],$DD550,31),0)</f>
        <v/>
      </c>
      <c r="AH550">
        <f>IFERROR(INDEX(PP_Grid[#Data],$DD550,32),0)</f>
        <v/>
      </c>
      <c r="AI550">
        <f>IFERROR(INDEX(PP_Grid[#Data],$DD550,33),0)</f>
        <v/>
      </c>
      <c r="AJ550">
        <f>IFERROR(INDEX(PP_Grid[#Data],$DD550,34),0)</f>
        <v/>
      </c>
      <c r="AK550">
        <f>IFERROR(INDEX(PP_Grid[#Data],$DD550,35),0)</f>
        <v/>
      </c>
      <c r="AL550">
        <f>IFERROR(INDEX(PP_Grid[#Data],$DD550,36),0)</f>
        <v/>
      </c>
      <c r="AM550">
        <f>IFERROR(INDEX(PP_Grid[#Data],$DD550,37),0)</f>
        <v/>
      </c>
      <c r="AN550">
        <f>IFERROR(INDEX(PP_Grid[#Data],$DD550,38),0)</f>
        <v/>
      </c>
      <c r="AO550">
        <f>IFERROR(INDEX(PP_Grid[#Data],$DD550,39),0)</f>
        <v/>
      </c>
      <c r="AP550">
        <f>IFERROR(INDEX(PP_Grid[#Data],$DD550,40),0)</f>
        <v/>
      </c>
      <c r="AQ550">
        <f>IFERROR(INDEX(PP_Grid[#Data],$DD550,41),0)</f>
        <v/>
      </c>
      <c r="AR550">
        <f>IFERROR(INDEX(PP_Grid[#Data],$DD550,42),0)</f>
        <v/>
      </c>
      <c r="AS550">
        <f>IFERROR(INDEX(PP_Grid[#Data],$DD550,43),0)</f>
        <v/>
      </c>
      <c r="AT550">
        <f>IFERROR(INDEX(PP_Grid[#Data],$DD550,44),0)</f>
        <v/>
      </c>
      <c r="AU550">
        <f>IFERROR(INDEX(PP_Grid[#Data],$DD550,45),0)</f>
        <v/>
      </c>
      <c r="AV550">
        <f>IFERROR(INDEX(PP_Grid[#Data],$DD550,46),0)</f>
        <v/>
      </c>
      <c r="AW550">
        <f>IFERROR(INDEX(PP_Grid[#Data],$DD550,47),0)</f>
        <v/>
      </c>
      <c r="AX550">
        <f>IFERROR(INDEX(PP_Grid[#Data],$DD550,48),0)</f>
        <v/>
      </c>
      <c r="AY550">
        <f>IFERROR(INDEX(PP_Grid[#Data],$DD550,49),0)</f>
        <v/>
      </c>
      <c r="AZ550">
        <f>IFERROR(INDEX(PP_Grid[#Data],$DD550,50),0)</f>
        <v/>
      </c>
      <c r="BA550">
        <f>IFERROR(INDEX(PP_Grid[#Data],$DD550,51),0)</f>
        <v/>
      </c>
      <c r="BB550">
        <f>IFERROR(INDEX(PP_Grid[#Data],$DD550,52),0)</f>
        <v/>
      </c>
      <c r="BC550">
        <f>IFERROR(INDEX(PP_Grid[#Data],$DD550,53),0)</f>
        <v/>
      </c>
      <c r="BD550">
        <f>IFERROR(INDEX(PP_Grid[#Data],$DD550,54),0)</f>
        <v/>
      </c>
      <c r="BE550">
        <f>IFERROR(INDEX(PP_Grid[#Data],$DD550,55),0)</f>
        <v/>
      </c>
      <c r="BF550">
        <f>IFERROR(INDEX(PP_Grid[#Data],$DD550,56),0)</f>
        <v/>
      </c>
      <c r="BG550">
        <f>IFERROR(INDEX(PP_Grid[#Data],$DD550,57),0)</f>
        <v/>
      </c>
      <c r="BH550">
        <f>IFERROR(INDEX(PP_Grid[#Data],$DD550,58),0)</f>
        <v/>
      </c>
      <c r="BI550">
        <f>IFERROR(INDEX(PP_Grid[#Data],$DD550,59),0)</f>
        <v/>
      </c>
      <c r="BJ550">
        <f>IFERROR(INDEX(PP_Grid[#Data],$DD550,60),0)</f>
        <v/>
      </c>
      <c r="BK550">
        <f>IFERROR(INDEX(PP_Grid[#Data],$DD550,61),0)</f>
        <v/>
      </c>
      <c r="BL550">
        <f>IFERROR(INDEX(PP_Grid[#Data],$DD550,62),0)</f>
        <v/>
      </c>
      <c r="BM550">
        <f>IFERROR(INDEX(PP_Grid[#Data],$DD550,63),0)</f>
        <v/>
      </c>
      <c r="BN550">
        <f>IFERROR(INDEX(PP_Grid[#Data],$DD550,64),0)</f>
        <v/>
      </c>
      <c r="BO550">
        <f>IFERROR(INDEX(PP_Grid[#Data],$DD550,65),0)</f>
        <v/>
      </c>
      <c r="BP550">
        <f>IFERROR(INDEX(PP_Grid[#Data],$DD550,66),0)</f>
        <v/>
      </c>
      <c r="BQ550">
        <f>IFERROR(INDEX(PP_Grid[#Data],$DD550,67),0)</f>
        <v/>
      </c>
      <c r="BR550">
        <f>IFERROR(INDEX(PP_Grid[#Data],$DD550,68),0)</f>
        <v/>
      </c>
      <c r="BS550">
        <f>IFERROR(INDEX(PP_Grid[#Data],$DD550,69),0)</f>
        <v/>
      </c>
      <c r="BT550">
        <f>IFERROR(INDEX(PP_Grid[#Data],$DD550,70),0)</f>
        <v/>
      </c>
      <c r="BU550">
        <f>IFERROR(INDEX(PP_Grid[#Data],$DD550,71),0)</f>
        <v/>
      </c>
      <c r="BV550">
        <f>IFERROR(INDEX(PP_Grid[#Data],$DD550,72),0)</f>
        <v/>
      </c>
      <c r="BW550">
        <f>IFERROR(INDEX(PP_Grid[#Data],$DD550,73),0)</f>
        <v/>
      </c>
      <c r="BX550">
        <f>IFERROR(INDEX(PP_Grid[#Data],$DD550,74),0)</f>
        <v/>
      </c>
      <c r="BY550">
        <f>IFERROR(INDEX(PP_Grid[#Data],$DD550,75),0)</f>
        <v/>
      </c>
      <c r="BZ550">
        <f>IFERROR(INDEX(PP_Grid[#Data],$DD550,76),0)</f>
        <v/>
      </c>
      <c r="CA550">
        <f>IFERROR(INDEX(PP_Grid[#Data],$DD550,77),0)</f>
        <v/>
      </c>
      <c r="CB550">
        <f>IFERROR(INDEX(PP_Grid[#Data],$DD550,78),0)</f>
        <v/>
      </c>
      <c r="CC550">
        <f>IFERROR(INDEX(PP_Grid[#Data],$DD550,79),0)</f>
        <v/>
      </c>
      <c r="CD550">
        <f>IFERROR(INDEX(PP_Grid[#Data],$DD550,80),0)</f>
        <v/>
      </c>
      <c r="CE550">
        <f>IFERROR(INDEX(PP_Grid[#Data],$DD550,81),0)</f>
        <v/>
      </c>
      <c r="CF550">
        <f>IFERROR(INDEX(PP_Grid[#Data],$DD550,82),0)</f>
        <v/>
      </c>
      <c r="CG550">
        <f>IFERROR(INDEX(PP_Grid[#Data],$DD550,83),0)</f>
        <v/>
      </c>
      <c r="CH550">
        <f>IFERROR(INDEX(PP_Grid[#Data],$DD550,84),0)</f>
        <v/>
      </c>
      <c r="CI550">
        <f>IFERROR(INDEX(PP_Grid[#Data],$DD550,85),0)</f>
        <v/>
      </c>
      <c r="CJ550">
        <f>IFERROR(INDEX(PP_Grid[#Data],$DD550,86),0)</f>
        <v/>
      </c>
      <c r="CK550">
        <f>IFERROR(INDEX(PP_Grid[#Data],$DD550,87),0)</f>
        <v/>
      </c>
      <c r="CL550">
        <f>IFERROR(INDEX(PP_Grid[#Data],$DD550,88),0)</f>
        <v/>
      </c>
      <c r="CM550">
        <f>IFERROR(INDEX(PP_Grid[#Data],$DD550,89),0)</f>
        <v/>
      </c>
      <c r="CN550">
        <f>IFERROR(INDEX(PP_Grid[#Data],$DD550,90),0)</f>
        <v/>
      </c>
      <c r="CO550">
        <f>IFERROR(INDEX(PP_Grid[#Data],$DD550,91),0)</f>
        <v/>
      </c>
      <c r="CP550">
        <f>IFERROR(INDEX(PP_Grid[#Data],$DD550,92),0)</f>
        <v/>
      </c>
      <c r="CQ550">
        <f>IFERROR(INDEX(PP_Grid[#Data],$DD550,93),0)</f>
        <v/>
      </c>
      <c r="CR550">
        <f>IFERROR(INDEX(PP_Grid[#Data],$DD550,94),0)</f>
        <v/>
      </c>
      <c r="CS550">
        <f>IFERROR(INDEX(PP_Grid[#Data],$DD550,95),0)</f>
        <v/>
      </c>
      <c r="CT550">
        <f>IFERROR(INDEX(PP_Grid[#Data],$DD550,96),0)</f>
        <v/>
      </c>
      <c r="CU550">
        <f>IFERROR(INDEX(PP_Grid[#Data],$DD550,97),0)</f>
        <v/>
      </c>
      <c r="CV550">
        <f>IFERROR(INDEX(PP_Grid[#Data],$DD550,98),0)</f>
        <v/>
      </c>
      <c r="CW550">
        <f>IFERROR(INDEX(PP_Grid[#Data],$DD550,99),0)</f>
        <v/>
      </c>
      <c r="CX550">
        <f>IFERROR(INDEX(PP_Grid[#Data],$DD550,100),0)</f>
        <v/>
      </c>
      <c r="CY550">
        <f>IFERROR(INDEX(PP_Grid[#Data],$DD550,101),0)</f>
        <v/>
      </c>
      <c r="CZ550">
        <f>IFERROR(INDEX(PP_Grid[#Data],$DD550,102),0)</f>
        <v/>
      </c>
      <c r="DA550">
        <f>IFERROR(INDEX(PP_Grid[#Data],$DD550,103),0)</f>
        <v/>
      </c>
      <c r="DB550">
        <f>IFERROR(INDEX(PP_Grid[#Data],$DD550,104),0)</f>
        <v/>
      </c>
      <c r="DC550">
        <f>IFERROR(INDEX(PP_Grid[#Data],$DD550,105),0)</f>
        <v/>
      </c>
      <c r="DD550" s="7">
        <f>IFERROR(MATCH($B550,PP_Grid[Intermediate],0),99999)</f>
        <v/>
      </c>
    </row>
    <row r="551">
      <c r="B551" t="inlineStr">
        <is>
          <t>使用量(kg)</t>
        </is>
      </c>
      <c r="C551">
        <f>SUMIFS(M_BOM[RM_Qty_Per_Batch],M_BOM[Intermediate],$B550,M_BOM[Part Name],$A547)</f>
        <v/>
      </c>
      <c r="D551">
        <f>$C551*D550</f>
        <v/>
      </c>
      <c r="E551">
        <f>$C551*E550</f>
        <v/>
      </c>
      <c r="F551">
        <f>$C551*F550</f>
        <v/>
      </c>
      <c r="G551">
        <f>$C551*G550</f>
        <v/>
      </c>
      <c r="H551">
        <f>$C551*H550</f>
        <v/>
      </c>
      <c r="I551">
        <f>$C551*I550</f>
        <v/>
      </c>
      <c r="J551">
        <f>$C551*J550</f>
        <v/>
      </c>
      <c r="K551">
        <f>$C551*K550</f>
        <v/>
      </c>
      <c r="L551">
        <f>$C551*L550</f>
        <v/>
      </c>
      <c r="M551">
        <f>$C551*M550</f>
        <v/>
      </c>
      <c r="N551">
        <f>$C551*N550</f>
        <v/>
      </c>
      <c r="O551">
        <f>$C551*O550</f>
        <v/>
      </c>
      <c r="P551">
        <f>$C551*P550</f>
        <v/>
      </c>
      <c r="Q551">
        <f>$C551*Q550</f>
        <v/>
      </c>
      <c r="R551">
        <f>$C551*R550</f>
        <v/>
      </c>
      <c r="S551">
        <f>$C551*S550</f>
        <v/>
      </c>
      <c r="T551">
        <f>$C551*T550</f>
        <v/>
      </c>
      <c r="U551">
        <f>$C551*U550</f>
        <v/>
      </c>
      <c r="V551">
        <f>$C551*V550</f>
        <v/>
      </c>
      <c r="W551">
        <f>$C551*W550</f>
        <v/>
      </c>
      <c r="X551">
        <f>$C551*X550</f>
        <v/>
      </c>
      <c r="Y551">
        <f>$C551*Y550</f>
        <v/>
      </c>
      <c r="Z551">
        <f>$C551*Z550</f>
        <v/>
      </c>
      <c r="AA551">
        <f>$C551*AA550</f>
        <v/>
      </c>
      <c r="AB551">
        <f>$C551*AB550</f>
        <v/>
      </c>
      <c r="AC551">
        <f>$C551*AC550</f>
        <v/>
      </c>
      <c r="AD551">
        <f>$C551*AD550</f>
        <v/>
      </c>
      <c r="AE551">
        <f>$C551*AE550</f>
        <v/>
      </c>
      <c r="AF551">
        <f>$C551*AF550</f>
        <v/>
      </c>
      <c r="AG551">
        <f>$C551*AG550</f>
        <v/>
      </c>
      <c r="AH551">
        <f>$C551*AH550</f>
        <v/>
      </c>
      <c r="AI551">
        <f>$C551*AI550</f>
        <v/>
      </c>
      <c r="AJ551">
        <f>$C551*AJ550</f>
        <v/>
      </c>
      <c r="AK551">
        <f>$C551*AK550</f>
        <v/>
      </c>
      <c r="AL551">
        <f>$C551*AL550</f>
        <v/>
      </c>
      <c r="AM551">
        <f>$C551*AM550</f>
        <v/>
      </c>
      <c r="AN551">
        <f>$C551*AN550</f>
        <v/>
      </c>
      <c r="AO551">
        <f>$C551*AO550</f>
        <v/>
      </c>
      <c r="AP551">
        <f>$C551*AP550</f>
        <v/>
      </c>
      <c r="AQ551">
        <f>$C551*AQ550</f>
        <v/>
      </c>
      <c r="AR551">
        <f>$C551*AR550</f>
        <v/>
      </c>
      <c r="AS551">
        <f>$C551*AS550</f>
        <v/>
      </c>
      <c r="AT551">
        <f>$C551*AT550</f>
        <v/>
      </c>
      <c r="AU551">
        <f>$C551*AU550</f>
        <v/>
      </c>
      <c r="AV551">
        <f>$C551*AV550</f>
        <v/>
      </c>
      <c r="AW551">
        <f>$C551*AW550</f>
        <v/>
      </c>
      <c r="AX551">
        <f>$C551*AX550</f>
        <v/>
      </c>
      <c r="AY551">
        <f>$C551*AY550</f>
        <v/>
      </c>
      <c r="AZ551">
        <f>$C551*AZ550</f>
        <v/>
      </c>
      <c r="BA551">
        <f>$C551*BA550</f>
        <v/>
      </c>
      <c r="BB551">
        <f>$C551*BB550</f>
        <v/>
      </c>
      <c r="BC551">
        <f>$C551*BC550</f>
        <v/>
      </c>
      <c r="BD551">
        <f>$C551*BD550</f>
        <v/>
      </c>
      <c r="BE551">
        <f>$C551*BE550</f>
        <v/>
      </c>
      <c r="BF551">
        <f>$C551*BF550</f>
        <v/>
      </c>
      <c r="BG551">
        <f>$C551*BG550</f>
        <v/>
      </c>
      <c r="BH551">
        <f>$C551*BH550</f>
        <v/>
      </c>
      <c r="BI551">
        <f>$C551*BI550</f>
        <v/>
      </c>
      <c r="BJ551">
        <f>$C551*BJ550</f>
        <v/>
      </c>
      <c r="BK551">
        <f>$C551*BK550</f>
        <v/>
      </c>
      <c r="BL551">
        <f>$C551*BL550</f>
        <v/>
      </c>
      <c r="BM551">
        <f>$C551*BM550</f>
        <v/>
      </c>
      <c r="BN551">
        <f>$C551*BN550</f>
        <v/>
      </c>
      <c r="BO551">
        <f>$C551*BO550</f>
        <v/>
      </c>
      <c r="BP551">
        <f>$C551*BP550</f>
        <v/>
      </c>
      <c r="BQ551">
        <f>$C551*BQ550</f>
        <v/>
      </c>
      <c r="BR551">
        <f>$C551*BR550</f>
        <v/>
      </c>
      <c r="BS551">
        <f>$C551*BS550</f>
        <v/>
      </c>
      <c r="BT551">
        <f>$C551*BT550</f>
        <v/>
      </c>
      <c r="BU551">
        <f>$C551*BU550</f>
        <v/>
      </c>
      <c r="BV551">
        <f>$C551*BV550</f>
        <v/>
      </c>
      <c r="BW551">
        <f>$C551*BW550</f>
        <v/>
      </c>
      <c r="BX551">
        <f>$C551*BX550</f>
        <v/>
      </c>
      <c r="BY551">
        <f>$C551*BY550</f>
        <v/>
      </c>
      <c r="BZ551">
        <f>$C551*BZ550</f>
        <v/>
      </c>
      <c r="CA551">
        <f>$C551*CA550</f>
        <v/>
      </c>
      <c r="CB551">
        <f>$C551*CB550</f>
        <v/>
      </c>
      <c r="CC551">
        <f>$C551*CC550</f>
        <v/>
      </c>
      <c r="CD551">
        <f>$C551*CD550</f>
        <v/>
      </c>
      <c r="CE551">
        <f>$C551*CE550</f>
        <v/>
      </c>
      <c r="CF551">
        <f>$C551*CF550</f>
        <v/>
      </c>
      <c r="CG551">
        <f>$C551*CG550</f>
        <v/>
      </c>
      <c r="CH551">
        <f>$C551*CH550</f>
        <v/>
      </c>
      <c r="CI551">
        <f>$C551*CI550</f>
        <v/>
      </c>
      <c r="CJ551">
        <f>$C551*CJ550</f>
        <v/>
      </c>
      <c r="CK551">
        <f>$C551*CK550</f>
        <v/>
      </c>
      <c r="CL551">
        <f>$C551*CL550</f>
        <v/>
      </c>
      <c r="CM551">
        <f>$C551*CM550</f>
        <v/>
      </c>
      <c r="CN551">
        <f>$C551*CN550</f>
        <v/>
      </c>
      <c r="CO551">
        <f>$C551*CO550</f>
        <v/>
      </c>
      <c r="CP551">
        <f>$C551*CP550</f>
        <v/>
      </c>
      <c r="CQ551">
        <f>$C551*CQ550</f>
        <v/>
      </c>
      <c r="CR551">
        <f>$C551*CR550</f>
        <v/>
      </c>
      <c r="CS551">
        <f>$C551*CS550</f>
        <v/>
      </c>
      <c r="CT551">
        <f>$C551*CT550</f>
        <v/>
      </c>
      <c r="CU551">
        <f>$C551*CU550</f>
        <v/>
      </c>
      <c r="CV551">
        <f>$C551*CV550</f>
        <v/>
      </c>
      <c r="CW551">
        <f>$C551*CW550</f>
        <v/>
      </c>
      <c r="CX551">
        <f>$C551*CX550</f>
        <v/>
      </c>
      <c r="CY551">
        <f>$C551*CY550</f>
        <v/>
      </c>
      <c r="CZ551">
        <f>$C551*CZ550</f>
        <v/>
      </c>
      <c r="DA551">
        <f>$C551*DA550</f>
        <v/>
      </c>
      <c r="DB551">
        <f>$C551*DB550</f>
        <v/>
      </c>
      <c r="DC551">
        <f>$C551*DC550</f>
        <v/>
      </c>
    </row>
    <row r="552">
      <c r="B552" t="inlineStr">
        <is>
          <t>TSP-367</t>
        </is>
      </c>
      <c r="C552" t="inlineStr">
        <is>
          <t>No. of batches</t>
        </is>
      </c>
      <c r="D552">
        <f>IFERROR(INDEX(PP_Grid[#Data],$DD552,2),0)</f>
        <v/>
      </c>
      <c r="E552">
        <f>IFERROR(INDEX(PP_Grid[#Data],$DD552,3),0)</f>
        <v/>
      </c>
      <c r="F552">
        <f>IFERROR(INDEX(PP_Grid[#Data],$DD552,4),0)</f>
        <v/>
      </c>
      <c r="G552">
        <f>IFERROR(INDEX(PP_Grid[#Data],$DD552,5),0)</f>
        <v/>
      </c>
      <c r="H552">
        <f>IFERROR(INDEX(PP_Grid[#Data],$DD552,6),0)</f>
        <v/>
      </c>
      <c r="I552">
        <f>IFERROR(INDEX(PP_Grid[#Data],$DD552,7),0)</f>
        <v/>
      </c>
      <c r="J552">
        <f>IFERROR(INDEX(PP_Grid[#Data],$DD552,8),0)</f>
        <v/>
      </c>
      <c r="K552">
        <f>IFERROR(INDEX(PP_Grid[#Data],$DD552,9),0)</f>
        <v/>
      </c>
      <c r="L552">
        <f>IFERROR(INDEX(PP_Grid[#Data],$DD552,10),0)</f>
        <v/>
      </c>
      <c r="M552">
        <f>IFERROR(INDEX(PP_Grid[#Data],$DD552,11),0)</f>
        <v/>
      </c>
      <c r="N552">
        <f>IFERROR(INDEX(PP_Grid[#Data],$DD552,12),0)</f>
        <v/>
      </c>
      <c r="O552">
        <f>IFERROR(INDEX(PP_Grid[#Data],$DD552,13),0)</f>
        <v/>
      </c>
      <c r="P552">
        <f>IFERROR(INDEX(PP_Grid[#Data],$DD552,14),0)</f>
        <v/>
      </c>
      <c r="Q552">
        <f>IFERROR(INDEX(PP_Grid[#Data],$DD552,15),0)</f>
        <v/>
      </c>
      <c r="R552">
        <f>IFERROR(INDEX(PP_Grid[#Data],$DD552,16),0)</f>
        <v/>
      </c>
      <c r="S552">
        <f>IFERROR(INDEX(PP_Grid[#Data],$DD552,17),0)</f>
        <v/>
      </c>
      <c r="T552">
        <f>IFERROR(INDEX(PP_Grid[#Data],$DD552,18),0)</f>
        <v/>
      </c>
      <c r="U552">
        <f>IFERROR(INDEX(PP_Grid[#Data],$DD552,19),0)</f>
        <v/>
      </c>
      <c r="V552">
        <f>IFERROR(INDEX(PP_Grid[#Data],$DD552,20),0)</f>
        <v/>
      </c>
      <c r="W552">
        <f>IFERROR(INDEX(PP_Grid[#Data],$DD552,21),0)</f>
        <v/>
      </c>
      <c r="X552">
        <f>IFERROR(INDEX(PP_Grid[#Data],$DD552,22),0)</f>
        <v/>
      </c>
      <c r="Y552">
        <f>IFERROR(INDEX(PP_Grid[#Data],$DD552,23),0)</f>
        <v/>
      </c>
      <c r="Z552">
        <f>IFERROR(INDEX(PP_Grid[#Data],$DD552,24),0)</f>
        <v/>
      </c>
      <c r="AA552">
        <f>IFERROR(INDEX(PP_Grid[#Data],$DD552,25),0)</f>
        <v/>
      </c>
      <c r="AB552">
        <f>IFERROR(INDEX(PP_Grid[#Data],$DD552,26),0)</f>
        <v/>
      </c>
      <c r="AC552">
        <f>IFERROR(INDEX(PP_Grid[#Data],$DD552,27),0)</f>
        <v/>
      </c>
      <c r="AD552">
        <f>IFERROR(INDEX(PP_Grid[#Data],$DD552,28),0)</f>
        <v/>
      </c>
      <c r="AE552">
        <f>IFERROR(INDEX(PP_Grid[#Data],$DD552,29),0)</f>
        <v/>
      </c>
      <c r="AF552">
        <f>IFERROR(INDEX(PP_Grid[#Data],$DD552,30),0)</f>
        <v/>
      </c>
      <c r="AG552">
        <f>IFERROR(INDEX(PP_Grid[#Data],$DD552,31),0)</f>
        <v/>
      </c>
      <c r="AH552">
        <f>IFERROR(INDEX(PP_Grid[#Data],$DD552,32),0)</f>
        <v/>
      </c>
      <c r="AI552">
        <f>IFERROR(INDEX(PP_Grid[#Data],$DD552,33),0)</f>
        <v/>
      </c>
      <c r="AJ552">
        <f>IFERROR(INDEX(PP_Grid[#Data],$DD552,34),0)</f>
        <v/>
      </c>
      <c r="AK552">
        <f>IFERROR(INDEX(PP_Grid[#Data],$DD552,35),0)</f>
        <v/>
      </c>
      <c r="AL552">
        <f>IFERROR(INDEX(PP_Grid[#Data],$DD552,36),0)</f>
        <v/>
      </c>
      <c r="AM552">
        <f>IFERROR(INDEX(PP_Grid[#Data],$DD552,37),0)</f>
        <v/>
      </c>
      <c r="AN552">
        <f>IFERROR(INDEX(PP_Grid[#Data],$DD552,38),0)</f>
        <v/>
      </c>
      <c r="AO552">
        <f>IFERROR(INDEX(PP_Grid[#Data],$DD552,39),0)</f>
        <v/>
      </c>
      <c r="AP552">
        <f>IFERROR(INDEX(PP_Grid[#Data],$DD552,40),0)</f>
        <v/>
      </c>
      <c r="AQ552">
        <f>IFERROR(INDEX(PP_Grid[#Data],$DD552,41),0)</f>
        <v/>
      </c>
      <c r="AR552">
        <f>IFERROR(INDEX(PP_Grid[#Data],$DD552,42),0)</f>
        <v/>
      </c>
      <c r="AS552">
        <f>IFERROR(INDEX(PP_Grid[#Data],$DD552,43),0)</f>
        <v/>
      </c>
      <c r="AT552">
        <f>IFERROR(INDEX(PP_Grid[#Data],$DD552,44),0)</f>
        <v/>
      </c>
      <c r="AU552">
        <f>IFERROR(INDEX(PP_Grid[#Data],$DD552,45),0)</f>
        <v/>
      </c>
      <c r="AV552">
        <f>IFERROR(INDEX(PP_Grid[#Data],$DD552,46),0)</f>
        <v/>
      </c>
      <c r="AW552">
        <f>IFERROR(INDEX(PP_Grid[#Data],$DD552,47),0)</f>
        <v/>
      </c>
      <c r="AX552">
        <f>IFERROR(INDEX(PP_Grid[#Data],$DD552,48),0)</f>
        <v/>
      </c>
      <c r="AY552">
        <f>IFERROR(INDEX(PP_Grid[#Data],$DD552,49),0)</f>
        <v/>
      </c>
      <c r="AZ552">
        <f>IFERROR(INDEX(PP_Grid[#Data],$DD552,50),0)</f>
        <v/>
      </c>
      <c r="BA552">
        <f>IFERROR(INDEX(PP_Grid[#Data],$DD552,51),0)</f>
        <v/>
      </c>
      <c r="BB552">
        <f>IFERROR(INDEX(PP_Grid[#Data],$DD552,52),0)</f>
        <v/>
      </c>
      <c r="BC552">
        <f>IFERROR(INDEX(PP_Grid[#Data],$DD552,53),0)</f>
        <v/>
      </c>
      <c r="BD552">
        <f>IFERROR(INDEX(PP_Grid[#Data],$DD552,54),0)</f>
        <v/>
      </c>
      <c r="BE552">
        <f>IFERROR(INDEX(PP_Grid[#Data],$DD552,55),0)</f>
        <v/>
      </c>
      <c r="BF552">
        <f>IFERROR(INDEX(PP_Grid[#Data],$DD552,56),0)</f>
        <v/>
      </c>
      <c r="BG552">
        <f>IFERROR(INDEX(PP_Grid[#Data],$DD552,57),0)</f>
        <v/>
      </c>
      <c r="BH552">
        <f>IFERROR(INDEX(PP_Grid[#Data],$DD552,58),0)</f>
        <v/>
      </c>
      <c r="BI552">
        <f>IFERROR(INDEX(PP_Grid[#Data],$DD552,59),0)</f>
        <v/>
      </c>
      <c r="BJ552">
        <f>IFERROR(INDEX(PP_Grid[#Data],$DD552,60),0)</f>
        <v/>
      </c>
      <c r="BK552">
        <f>IFERROR(INDEX(PP_Grid[#Data],$DD552,61),0)</f>
        <v/>
      </c>
      <c r="BL552">
        <f>IFERROR(INDEX(PP_Grid[#Data],$DD552,62),0)</f>
        <v/>
      </c>
      <c r="BM552">
        <f>IFERROR(INDEX(PP_Grid[#Data],$DD552,63),0)</f>
        <v/>
      </c>
      <c r="BN552">
        <f>IFERROR(INDEX(PP_Grid[#Data],$DD552,64),0)</f>
        <v/>
      </c>
      <c r="BO552">
        <f>IFERROR(INDEX(PP_Grid[#Data],$DD552,65),0)</f>
        <v/>
      </c>
      <c r="BP552">
        <f>IFERROR(INDEX(PP_Grid[#Data],$DD552,66),0)</f>
        <v/>
      </c>
      <c r="BQ552">
        <f>IFERROR(INDEX(PP_Grid[#Data],$DD552,67),0)</f>
        <v/>
      </c>
      <c r="BR552">
        <f>IFERROR(INDEX(PP_Grid[#Data],$DD552,68),0)</f>
        <v/>
      </c>
      <c r="BS552">
        <f>IFERROR(INDEX(PP_Grid[#Data],$DD552,69),0)</f>
        <v/>
      </c>
      <c r="BT552">
        <f>IFERROR(INDEX(PP_Grid[#Data],$DD552,70),0)</f>
        <v/>
      </c>
      <c r="BU552">
        <f>IFERROR(INDEX(PP_Grid[#Data],$DD552,71),0)</f>
        <v/>
      </c>
      <c r="BV552">
        <f>IFERROR(INDEX(PP_Grid[#Data],$DD552,72),0)</f>
        <v/>
      </c>
      <c r="BW552">
        <f>IFERROR(INDEX(PP_Grid[#Data],$DD552,73),0)</f>
        <v/>
      </c>
      <c r="BX552">
        <f>IFERROR(INDEX(PP_Grid[#Data],$DD552,74),0)</f>
        <v/>
      </c>
      <c r="BY552">
        <f>IFERROR(INDEX(PP_Grid[#Data],$DD552,75),0)</f>
        <v/>
      </c>
      <c r="BZ552">
        <f>IFERROR(INDEX(PP_Grid[#Data],$DD552,76),0)</f>
        <v/>
      </c>
      <c r="CA552">
        <f>IFERROR(INDEX(PP_Grid[#Data],$DD552,77),0)</f>
        <v/>
      </c>
      <c r="CB552">
        <f>IFERROR(INDEX(PP_Grid[#Data],$DD552,78),0)</f>
        <v/>
      </c>
      <c r="CC552">
        <f>IFERROR(INDEX(PP_Grid[#Data],$DD552,79),0)</f>
        <v/>
      </c>
      <c r="CD552">
        <f>IFERROR(INDEX(PP_Grid[#Data],$DD552,80),0)</f>
        <v/>
      </c>
      <c r="CE552">
        <f>IFERROR(INDEX(PP_Grid[#Data],$DD552,81),0)</f>
        <v/>
      </c>
      <c r="CF552">
        <f>IFERROR(INDEX(PP_Grid[#Data],$DD552,82),0)</f>
        <v/>
      </c>
      <c r="CG552">
        <f>IFERROR(INDEX(PP_Grid[#Data],$DD552,83),0)</f>
        <v/>
      </c>
      <c r="CH552">
        <f>IFERROR(INDEX(PP_Grid[#Data],$DD552,84),0)</f>
        <v/>
      </c>
      <c r="CI552">
        <f>IFERROR(INDEX(PP_Grid[#Data],$DD552,85),0)</f>
        <v/>
      </c>
      <c r="CJ552">
        <f>IFERROR(INDEX(PP_Grid[#Data],$DD552,86),0)</f>
        <v/>
      </c>
      <c r="CK552">
        <f>IFERROR(INDEX(PP_Grid[#Data],$DD552,87),0)</f>
        <v/>
      </c>
      <c r="CL552">
        <f>IFERROR(INDEX(PP_Grid[#Data],$DD552,88),0)</f>
        <v/>
      </c>
      <c r="CM552">
        <f>IFERROR(INDEX(PP_Grid[#Data],$DD552,89),0)</f>
        <v/>
      </c>
      <c r="CN552">
        <f>IFERROR(INDEX(PP_Grid[#Data],$DD552,90),0)</f>
        <v/>
      </c>
      <c r="CO552">
        <f>IFERROR(INDEX(PP_Grid[#Data],$DD552,91),0)</f>
        <v/>
      </c>
      <c r="CP552">
        <f>IFERROR(INDEX(PP_Grid[#Data],$DD552,92),0)</f>
        <v/>
      </c>
      <c r="CQ552">
        <f>IFERROR(INDEX(PP_Grid[#Data],$DD552,93),0)</f>
        <v/>
      </c>
      <c r="CR552">
        <f>IFERROR(INDEX(PP_Grid[#Data],$DD552,94),0)</f>
        <v/>
      </c>
      <c r="CS552">
        <f>IFERROR(INDEX(PP_Grid[#Data],$DD552,95),0)</f>
        <v/>
      </c>
      <c r="CT552">
        <f>IFERROR(INDEX(PP_Grid[#Data],$DD552,96),0)</f>
        <v/>
      </c>
      <c r="CU552">
        <f>IFERROR(INDEX(PP_Grid[#Data],$DD552,97),0)</f>
        <v/>
      </c>
      <c r="CV552">
        <f>IFERROR(INDEX(PP_Grid[#Data],$DD552,98),0)</f>
        <v/>
      </c>
      <c r="CW552">
        <f>IFERROR(INDEX(PP_Grid[#Data],$DD552,99),0)</f>
        <v/>
      </c>
      <c r="CX552">
        <f>IFERROR(INDEX(PP_Grid[#Data],$DD552,100),0)</f>
        <v/>
      </c>
      <c r="CY552">
        <f>IFERROR(INDEX(PP_Grid[#Data],$DD552,101),0)</f>
        <v/>
      </c>
      <c r="CZ552">
        <f>IFERROR(INDEX(PP_Grid[#Data],$DD552,102),0)</f>
        <v/>
      </c>
      <c r="DA552">
        <f>IFERROR(INDEX(PP_Grid[#Data],$DD552,103),0)</f>
        <v/>
      </c>
      <c r="DB552">
        <f>IFERROR(INDEX(PP_Grid[#Data],$DD552,104),0)</f>
        <v/>
      </c>
      <c r="DC552">
        <f>IFERROR(INDEX(PP_Grid[#Data],$DD552,105),0)</f>
        <v/>
      </c>
      <c r="DD552" s="7">
        <f>IFERROR(MATCH($B552,PP_Grid[Intermediate],0),99999)</f>
        <v/>
      </c>
    </row>
    <row r="553">
      <c r="B553" t="inlineStr">
        <is>
          <t>使用量(kg)</t>
        </is>
      </c>
      <c r="C553">
        <f>SUMIFS(M_BOM[RM_Qty_Per_Batch],M_BOM[Intermediate],$B552,M_BOM[Part Name],$A547)</f>
        <v/>
      </c>
      <c r="D553">
        <f>$C553*D552</f>
        <v/>
      </c>
      <c r="E553">
        <f>$C553*E552</f>
        <v/>
      </c>
      <c r="F553">
        <f>$C553*F552</f>
        <v/>
      </c>
      <c r="G553">
        <f>$C553*G552</f>
        <v/>
      </c>
      <c r="H553">
        <f>$C553*H552</f>
        <v/>
      </c>
      <c r="I553">
        <f>$C553*I552</f>
        <v/>
      </c>
      <c r="J553">
        <f>$C553*J552</f>
        <v/>
      </c>
      <c r="K553">
        <f>$C553*K552</f>
        <v/>
      </c>
      <c r="L553">
        <f>$C553*L552</f>
        <v/>
      </c>
      <c r="M553">
        <f>$C553*M552</f>
        <v/>
      </c>
      <c r="N553">
        <f>$C553*N552</f>
        <v/>
      </c>
      <c r="O553">
        <f>$C553*O552</f>
        <v/>
      </c>
      <c r="P553">
        <f>$C553*P552</f>
        <v/>
      </c>
      <c r="Q553">
        <f>$C553*Q552</f>
        <v/>
      </c>
      <c r="R553">
        <f>$C553*R552</f>
        <v/>
      </c>
      <c r="S553">
        <f>$C553*S552</f>
        <v/>
      </c>
      <c r="T553">
        <f>$C553*T552</f>
        <v/>
      </c>
      <c r="U553">
        <f>$C553*U552</f>
        <v/>
      </c>
      <c r="V553">
        <f>$C553*V552</f>
        <v/>
      </c>
      <c r="W553">
        <f>$C553*W552</f>
        <v/>
      </c>
      <c r="X553">
        <f>$C553*X552</f>
        <v/>
      </c>
      <c r="Y553">
        <f>$C553*Y552</f>
        <v/>
      </c>
      <c r="Z553">
        <f>$C553*Z552</f>
        <v/>
      </c>
      <c r="AA553">
        <f>$C553*AA552</f>
        <v/>
      </c>
      <c r="AB553">
        <f>$C553*AB552</f>
        <v/>
      </c>
      <c r="AC553">
        <f>$C553*AC552</f>
        <v/>
      </c>
      <c r="AD553">
        <f>$C553*AD552</f>
        <v/>
      </c>
      <c r="AE553">
        <f>$C553*AE552</f>
        <v/>
      </c>
      <c r="AF553">
        <f>$C553*AF552</f>
        <v/>
      </c>
      <c r="AG553">
        <f>$C553*AG552</f>
        <v/>
      </c>
      <c r="AH553">
        <f>$C553*AH552</f>
        <v/>
      </c>
      <c r="AI553">
        <f>$C553*AI552</f>
        <v/>
      </c>
      <c r="AJ553">
        <f>$C553*AJ552</f>
        <v/>
      </c>
      <c r="AK553">
        <f>$C553*AK552</f>
        <v/>
      </c>
      <c r="AL553">
        <f>$C553*AL552</f>
        <v/>
      </c>
      <c r="AM553">
        <f>$C553*AM552</f>
        <v/>
      </c>
      <c r="AN553">
        <f>$C553*AN552</f>
        <v/>
      </c>
      <c r="AO553">
        <f>$C553*AO552</f>
        <v/>
      </c>
      <c r="AP553">
        <f>$C553*AP552</f>
        <v/>
      </c>
      <c r="AQ553">
        <f>$C553*AQ552</f>
        <v/>
      </c>
      <c r="AR553">
        <f>$C553*AR552</f>
        <v/>
      </c>
      <c r="AS553">
        <f>$C553*AS552</f>
        <v/>
      </c>
      <c r="AT553">
        <f>$C553*AT552</f>
        <v/>
      </c>
      <c r="AU553">
        <f>$C553*AU552</f>
        <v/>
      </c>
      <c r="AV553">
        <f>$C553*AV552</f>
        <v/>
      </c>
      <c r="AW553">
        <f>$C553*AW552</f>
        <v/>
      </c>
      <c r="AX553">
        <f>$C553*AX552</f>
        <v/>
      </c>
      <c r="AY553">
        <f>$C553*AY552</f>
        <v/>
      </c>
      <c r="AZ553">
        <f>$C553*AZ552</f>
        <v/>
      </c>
      <c r="BA553">
        <f>$C553*BA552</f>
        <v/>
      </c>
      <c r="BB553">
        <f>$C553*BB552</f>
        <v/>
      </c>
      <c r="BC553">
        <f>$C553*BC552</f>
        <v/>
      </c>
      <c r="BD553">
        <f>$C553*BD552</f>
        <v/>
      </c>
      <c r="BE553">
        <f>$C553*BE552</f>
        <v/>
      </c>
      <c r="BF553">
        <f>$C553*BF552</f>
        <v/>
      </c>
      <c r="BG553">
        <f>$C553*BG552</f>
        <v/>
      </c>
      <c r="BH553">
        <f>$C553*BH552</f>
        <v/>
      </c>
      <c r="BI553">
        <f>$C553*BI552</f>
        <v/>
      </c>
      <c r="BJ553">
        <f>$C553*BJ552</f>
        <v/>
      </c>
      <c r="BK553">
        <f>$C553*BK552</f>
        <v/>
      </c>
      <c r="BL553">
        <f>$C553*BL552</f>
        <v/>
      </c>
      <c r="BM553">
        <f>$C553*BM552</f>
        <v/>
      </c>
      <c r="BN553">
        <f>$C553*BN552</f>
        <v/>
      </c>
      <c r="BO553">
        <f>$C553*BO552</f>
        <v/>
      </c>
      <c r="BP553">
        <f>$C553*BP552</f>
        <v/>
      </c>
      <c r="BQ553">
        <f>$C553*BQ552</f>
        <v/>
      </c>
      <c r="BR553">
        <f>$C553*BR552</f>
        <v/>
      </c>
      <c r="BS553">
        <f>$C553*BS552</f>
        <v/>
      </c>
      <c r="BT553">
        <f>$C553*BT552</f>
        <v/>
      </c>
      <c r="BU553">
        <f>$C553*BU552</f>
        <v/>
      </c>
      <c r="BV553">
        <f>$C553*BV552</f>
        <v/>
      </c>
      <c r="BW553">
        <f>$C553*BW552</f>
        <v/>
      </c>
      <c r="BX553">
        <f>$C553*BX552</f>
        <v/>
      </c>
      <c r="BY553">
        <f>$C553*BY552</f>
        <v/>
      </c>
      <c r="BZ553">
        <f>$C553*BZ552</f>
        <v/>
      </c>
      <c r="CA553">
        <f>$C553*CA552</f>
        <v/>
      </c>
      <c r="CB553">
        <f>$C553*CB552</f>
        <v/>
      </c>
      <c r="CC553">
        <f>$C553*CC552</f>
        <v/>
      </c>
      <c r="CD553">
        <f>$C553*CD552</f>
        <v/>
      </c>
      <c r="CE553">
        <f>$C553*CE552</f>
        <v/>
      </c>
      <c r="CF553">
        <f>$C553*CF552</f>
        <v/>
      </c>
      <c r="CG553">
        <f>$C553*CG552</f>
        <v/>
      </c>
      <c r="CH553">
        <f>$C553*CH552</f>
        <v/>
      </c>
      <c r="CI553">
        <f>$C553*CI552</f>
        <v/>
      </c>
      <c r="CJ553">
        <f>$C553*CJ552</f>
        <v/>
      </c>
      <c r="CK553">
        <f>$C553*CK552</f>
        <v/>
      </c>
      <c r="CL553">
        <f>$C553*CL552</f>
        <v/>
      </c>
      <c r="CM553">
        <f>$C553*CM552</f>
        <v/>
      </c>
      <c r="CN553">
        <f>$C553*CN552</f>
        <v/>
      </c>
      <c r="CO553">
        <f>$C553*CO552</f>
        <v/>
      </c>
      <c r="CP553">
        <f>$C553*CP552</f>
        <v/>
      </c>
      <c r="CQ553">
        <f>$C553*CQ552</f>
        <v/>
      </c>
      <c r="CR553">
        <f>$C553*CR552</f>
        <v/>
      </c>
      <c r="CS553">
        <f>$C553*CS552</f>
        <v/>
      </c>
      <c r="CT553">
        <f>$C553*CT552</f>
        <v/>
      </c>
      <c r="CU553">
        <f>$C553*CU552</f>
        <v/>
      </c>
      <c r="CV553">
        <f>$C553*CV552</f>
        <v/>
      </c>
      <c r="CW553">
        <f>$C553*CW552</f>
        <v/>
      </c>
      <c r="CX553">
        <f>$C553*CX552</f>
        <v/>
      </c>
      <c r="CY553">
        <f>$C553*CY552</f>
        <v/>
      </c>
      <c r="CZ553">
        <f>$C553*CZ552</f>
        <v/>
      </c>
      <c r="DA553">
        <f>$C553*DA552</f>
        <v/>
      </c>
      <c r="DB553">
        <f>$C553*DB552</f>
        <v/>
      </c>
      <c r="DC553">
        <f>$C553*DC552</f>
        <v/>
      </c>
    </row>
    <row r="554">
      <c r="B554" t="inlineStr">
        <is>
          <t>TSP-544</t>
        </is>
      </c>
      <c r="C554" t="inlineStr">
        <is>
          <t>No. of batches</t>
        </is>
      </c>
      <c r="D554">
        <f>IFERROR(INDEX(PP_Grid[#Data],$DD554,2),0)</f>
        <v/>
      </c>
      <c r="E554">
        <f>IFERROR(INDEX(PP_Grid[#Data],$DD554,3),0)</f>
        <v/>
      </c>
      <c r="F554">
        <f>IFERROR(INDEX(PP_Grid[#Data],$DD554,4),0)</f>
        <v/>
      </c>
      <c r="G554">
        <f>IFERROR(INDEX(PP_Grid[#Data],$DD554,5),0)</f>
        <v/>
      </c>
      <c r="H554">
        <f>IFERROR(INDEX(PP_Grid[#Data],$DD554,6),0)</f>
        <v/>
      </c>
      <c r="I554">
        <f>IFERROR(INDEX(PP_Grid[#Data],$DD554,7),0)</f>
        <v/>
      </c>
      <c r="J554">
        <f>IFERROR(INDEX(PP_Grid[#Data],$DD554,8),0)</f>
        <v/>
      </c>
      <c r="K554">
        <f>IFERROR(INDEX(PP_Grid[#Data],$DD554,9),0)</f>
        <v/>
      </c>
      <c r="L554">
        <f>IFERROR(INDEX(PP_Grid[#Data],$DD554,10),0)</f>
        <v/>
      </c>
      <c r="M554">
        <f>IFERROR(INDEX(PP_Grid[#Data],$DD554,11),0)</f>
        <v/>
      </c>
      <c r="N554">
        <f>IFERROR(INDEX(PP_Grid[#Data],$DD554,12),0)</f>
        <v/>
      </c>
      <c r="O554">
        <f>IFERROR(INDEX(PP_Grid[#Data],$DD554,13),0)</f>
        <v/>
      </c>
      <c r="P554">
        <f>IFERROR(INDEX(PP_Grid[#Data],$DD554,14),0)</f>
        <v/>
      </c>
      <c r="Q554">
        <f>IFERROR(INDEX(PP_Grid[#Data],$DD554,15),0)</f>
        <v/>
      </c>
      <c r="R554">
        <f>IFERROR(INDEX(PP_Grid[#Data],$DD554,16),0)</f>
        <v/>
      </c>
      <c r="S554">
        <f>IFERROR(INDEX(PP_Grid[#Data],$DD554,17),0)</f>
        <v/>
      </c>
      <c r="T554">
        <f>IFERROR(INDEX(PP_Grid[#Data],$DD554,18),0)</f>
        <v/>
      </c>
      <c r="U554">
        <f>IFERROR(INDEX(PP_Grid[#Data],$DD554,19),0)</f>
        <v/>
      </c>
      <c r="V554">
        <f>IFERROR(INDEX(PP_Grid[#Data],$DD554,20),0)</f>
        <v/>
      </c>
      <c r="W554">
        <f>IFERROR(INDEX(PP_Grid[#Data],$DD554,21),0)</f>
        <v/>
      </c>
      <c r="X554">
        <f>IFERROR(INDEX(PP_Grid[#Data],$DD554,22),0)</f>
        <v/>
      </c>
      <c r="Y554">
        <f>IFERROR(INDEX(PP_Grid[#Data],$DD554,23),0)</f>
        <v/>
      </c>
      <c r="Z554">
        <f>IFERROR(INDEX(PP_Grid[#Data],$DD554,24),0)</f>
        <v/>
      </c>
      <c r="AA554">
        <f>IFERROR(INDEX(PP_Grid[#Data],$DD554,25),0)</f>
        <v/>
      </c>
      <c r="AB554">
        <f>IFERROR(INDEX(PP_Grid[#Data],$DD554,26),0)</f>
        <v/>
      </c>
      <c r="AC554">
        <f>IFERROR(INDEX(PP_Grid[#Data],$DD554,27),0)</f>
        <v/>
      </c>
      <c r="AD554">
        <f>IFERROR(INDEX(PP_Grid[#Data],$DD554,28),0)</f>
        <v/>
      </c>
      <c r="AE554">
        <f>IFERROR(INDEX(PP_Grid[#Data],$DD554,29),0)</f>
        <v/>
      </c>
      <c r="AF554">
        <f>IFERROR(INDEX(PP_Grid[#Data],$DD554,30),0)</f>
        <v/>
      </c>
      <c r="AG554">
        <f>IFERROR(INDEX(PP_Grid[#Data],$DD554,31),0)</f>
        <v/>
      </c>
      <c r="AH554">
        <f>IFERROR(INDEX(PP_Grid[#Data],$DD554,32),0)</f>
        <v/>
      </c>
      <c r="AI554">
        <f>IFERROR(INDEX(PP_Grid[#Data],$DD554,33),0)</f>
        <v/>
      </c>
      <c r="AJ554">
        <f>IFERROR(INDEX(PP_Grid[#Data],$DD554,34),0)</f>
        <v/>
      </c>
      <c r="AK554">
        <f>IFERROR(INDEX(PP_Grid[#Data],$DD554,35),0)</f>
        <v/>
      </c>
      <c r="AL554">
        <f>IFERROR(INDEX(PP_Grid[#Data],$DD554,36),0)</f>
        <v/>
      </c>
      <c r="AM554">
        <f>IFERROR(INDEX(PP_Grid[#Data],$DD554,37),0)</f>
        <v/>
      </c>
      <c r="AN554">
        <f>IFERROR(INDEX(PP_Grid[#Data],$DD554,38),0)</f>
        <v/>
      </c>
      <c r="AO554">
        <f>IFERROR(INDEX(PP_Grid[#Data],$DD554,39),0)</f>
        <v/>
      </c>
      <c r="AP554">
        <f>IFERROR(INDEX(PP_Grid[#Data],$DD554,40),0)</f>
        <v/>
      </c>
      <c r="AQ554">
        <f>IFERROR(INDEX(PP_Grid[#Data],$DD554,41),0)</f>
        <v/>
      </c>
      <c r="AR554">
        <f>IFERROR(INDEX(PP_Grid[#Data],$DD554,42),0)</f>
        <v/>
      </c>
      <c r="AS554">
        <f>IFERROR(INDEX(PP_Grid[#Data],$DD554,43),0)</f>
        <v/>
      </c>
      <c r="AT554">
        <f>IFERROR(INDEX(PP_Grid[#Data],$DD554,44),0)</f>
        <v/>
      </c>
      <c r="AU554">
        <f>IFERROR(INDEX(PP_Grid[#Data],$DD554,45),0)</f>
        <v/>
      </c>
      <c r="AV554">
        <f>IFERROR(INDEX(PP_Grid[#Data],$DD554,46),0)</f>
        <v/>
      </c>
      <c r="AW554">
        <f>IFERROR(INDEX(PP_Grid[#Data],$DD554,47),0)</f>
        <v/>
      </c>
      <c r="AX554">
        <f>IFERROR(INDEX(PP_Grid[#Data],$DD554,48),0)</f>
        <v/>
      </c>
      <c r="AY554">
        <f>IFERROR(INDEX(PP_Grid[#Data],$DD554,49),0)</f>
        <v/>
      </c>
      <c r="AZ554">
        <f>IFERROR(INDEX(PP_Grid[#Data],$DD554,50),0)</f>
        <v/>
      </c>
      <c r="BA554">
        <f>IFERROR(INDEX(PP_Grid[#Data],$DD554,51),0)</f>
        <v/>
      </c>
      <c r="BB554">
        <f>IFERROR(INDEX(PP_Grid[#Data],$DD554,52),0)</f>
        <v/>
      </c>
      <c r="BC554">
        <f>IFERROR(INDEX(PP_Grid[#Data],$DD554,53),0)</f>
        <v/>
      </c>
      <c r="BD554">
        <f>IFERROR(INDEX(PP_Grid[#Data],$DD554,54),0)</f>
        <v/>
      </c>
      <c r="BE554">
        <f>IFERROR(INDEX(PP_Grid[#Data],$DD554,55),0)</f>
        <v/>
      </c>
      <c r="BF554">
        <f>IFERROR(INDEX(PP_Grid[#Data],$DD554,56),0)</f>
        <v/>
      </c>
      <c r="BG554">
        <f>IFERROR(INDEX(PP_Grid[#Data],$DD554,57),0)</f>
        <v/>
      </c>
      <c r="BH554">
        <f>IFERROR(INDEX(PP_Grid[#Data],$DD554,58),0)</f>
        <v/>
      </c>
      <c r="BI554">
        <f>IFERROR(INDEX(PP_Grid[#Data],$DD554,59),0)</f>
        <v/>
      </c>
      <c r="BJ554">
        <f>IFERROR(INDEX(PP_Grid[#Data],$DD554,60),0)</f>
        <v/>
      </c>
      <c r="BK554">
        <f>IFERROR(INDEX(PP_Grid[#Data],$DD554,61),0)</f>
        <v/>
      </c>
      <c r="BL554">
        <f>IFERROR(INDEX(PP_Grid[#Data],$DD554,62),0)</f>
        <v/>
      </c>
      <c r="BM554">
        <f>IFERROR(INDEX(PP_Grid[#Data],$DD554,63),0)</f>
        <v/>
      </c>
      <c r="BN554">
        <f>IFERROR(INDEX(PP_Grid[#Data],$DD554,64),0)</f>
        <v/>
      </c>
      <c r="BO554">
        <f>IFERROR(INDEX(PP_Grid[#Data],$DD554,65),0)</f>
        <v/>
      </c>
      <c r="BP554">
        <f>IFERROR(INDEX(PP_Grid[#Data],$DD554,66),0)</f>
        <v/>
      </c>
      <c r="BQ554">
        <f>IFERROR(INDEX(PP_Grid[#Data],$DD554,67),0)</f>
        <v/>
      </c>
      <c r="BR554">
        <f>IFERROR(INDEX(PP_Grid[#Data],$DD554,68),0)</f>
        <v/>
      </c>
      <c r="BS554">
        <f>IFERROR(INDEX(PP_Grid[#Data],$DD554,69),0)</f>
        <v/>
      </c>
      <c r="BT554">
        <f>IFERROR(INDEX(PP_Grid[#Data],$DD554,70),0)</f>
        <v/>
      </c>
      <c r="BU554">
        <f>IFERROR(INDEX(PP_Grid[#Data],$DD554,71),0)</f>
        <v/>
      </c>
      <c r="BV554">
        <f>IFERROR(INDEX(PP_Grid[#Data],$DD554,72),0)</f>
        <v/>
      </c>
      <c r="BW554">
        <f>IFERROR(INDEX(PP_Grid[#Data],$DD554,73),0)</f>
        <v/>
      </c>
      <c r="BX554">
        <f>IFERROR(INDEX(PP_Grid[#Data],$DD554,74),0)</f>
        <v/>
      </c>
      <c r="BY554">
        <f>IFERROR(INDEX(PP_Grid[#Data],$DD554,75),0)</f>
        <v/>
      </c>
      <c r="BZ554">
        <f>IFERROR(INDEX(PP_Grid[#Data],$DD554,76),0)</f>
        <v/>
      </c>
      <c r="CA554">
        <f>IFERROR(INDEX(PP_Grid[#Data],$DD554,77),0)</f>
        <v/>
      </c>
      <c r="CB554">
        <f>IFERROR(INDEX(PP_Grid[#Data],$DD554,78),0)</f>
        <v/>
      </c>
      <c r="CC554">
        <f>IFERROR(INDEX(PP_Grid[#Data],$DD554,79),0)</f>
        <v/>
      </c>
      <c r="CD554">
        <f>IFERROR(INDEX(PP_Grid[#Data],$DD554,80),0)</f>
        <v/>
      </c>
      <c r="CE554">
        <f>IFERROR(INDEX(PP_Grid[#Data],$DD554,81),0)</f>
        <v/>
      </c>
      <c r="CF554">
        <f>IFERROR(INDEX(PP_Grid[#Data],$DD554,82),0)</f>
        <v/>
      </c>
      <c r="CG554">
        <f>IFERROR(INDEX(PP_Grid[#Data],$DD554,83),0)</f>
        <v/>
      </c>
      <c r="CH554">
        <f>IFERROR(INDEX(PP_Grid[#Data],$DD554,84),0)</f>
        <v/>
      </c>
      <c r="CI554">
        <f>IFERROR(INDEX(PP_Grid[#Data],$DD554,85),0)</f>
        <v/>
      </c>
      <c r="CJ554">
        <f>IFERROR(INDEX(PP_Grid[#Data],$DD554,86),0)</f>
        <v/>
      </c>
      <c r="CK554">
        <f>IFERROR(INDEX(PP_Grid[#Data],$DD554,87),0)</f>
        <v/>
      </c>
      <c r="CL554">
        <f>IFERROR(INDEX(PP_Grid[#Data],$DD554,88),0)</f>
        <v/>
      </c>
      <c r="CM554">
        <f>IFERROR(INDEX(PP_Grid[#Data],$DD554,89),0)</f>
        <v/>
      </c>
      <c r="CN554">
        <f>IFERROR(INDEX(PP_Grid[#Data],$DD554,90),0)</f>
        <v/>
      </c>
      <c r="CO554">
        <f>IFERROR(INDEX(PP_Grid[#Data],$DD554,91),0)</f>
        <v/>
      </c>
      <c r="CP554">
        <f>IFERROR(INDEX(PP_Grid[#Data],$DD554,92),0)</f>
        <v/>
      </c>
      <c r="CQ554">
        <f>IFERROR(INDEX(PP_Grid[#Data],$DD554,93),0)</f>
        <v/>
      </c>
      <c r="CR554">
        <f>IFERROR(INDEX(PP_Grid[#Data],$DD554,94),0)</f>
        <v/>
      </c>
      <c r="CS554">
        <f>IFERROR(INDEX(PP_Grid[#Data],$DD554,95),0)</f>
        <v/>
      </c>
      <c r="CT554">
        <f>IFERROR(INDEX(PP_Grid[#Data],$DD554,96),0)</f>
        <v/>
      </c>
      <c r="CU554">
        <f>IFERROR(INDEX(PP_Grid[#Data],$DD554,97),0)</f>
        <v/>
      </c>
      <c r="CV554">
        <f>IFERROR(INDEX(PP_Grid[#Data],$DD554,98),0)</f>
        <v/>
      </c>
      <c r="CW554">
        <f>IFERROR(INDEX(PP_Grid[#Data],$DD554,99),0)</f>
        <v/>
      </c>
      <c r="CX554">
        <f>IFERROR(INDEX(PP_Grid[#Data],$DD554,100),0)</f>
        <v/>
      </c>
      <c r="CY554">
        <f>IFERROR(INDEX(PP_Grid[#Data],$DD554,101),0)</f>
        <v/>
      </c>
      <c r="CZ554">
        <f>IFERROR(INDEX(PP_Grid[#Data],$DD554,102),0)</f>
        <v/>
      </c>
      <c r="DA554">
        <f>IFERROR(INDEX(PP_Grid[#Data],$DD554,103),0)</f>
        <v/>
      </c>
      <c r="DB554">
        <f>IFERROR(INDEX(PP_Grid[#Data],$DD554,104),0)</f>
        <v/>
      </c>
      <c r="DC554">
        <f>IFERROR(INDEX(PP_Grid[#Data],$DD554,105),0)</f>
        <v/>
      </c>
      <c r="DD554" s="7">
        <f>IFERROR(MATCH($B554,PP_Grid[Intermediate],0),99999)</f>
        <v/>
      </c>
    </row>
    <row r="555">
      <c r="B555" t="inlineStr">
        <is>
          <t>使用量(kg)</t>
        </is>
      </c>
      <c r="C555">
        <f>SUMIFS(M_BOM[RM_Qty_Per_Batch],M_BOM[Intermediate],$B554,M_BOM[Part Name],$A547)</f>
        <v/>
      </c>
      <c r="D555">
        <f>$C555*D554</f>
        <v/>
      </c>
      <c r="E555">
        <f>$C555*E554</f>
        <v/>
      </c>
      <c r="F555">
        <f>$C555*F554</f>
        <v/>
      </c>
      <c r="G555">
        <f>$C555*G554</f>
        <v/>
      </c>
      <c r="H555">
        <f>$C555*H554</f>
        <v/>
      </c>
      <c r="I555">
        <f>$C555*I554</f>
        <v/>
      </c>
      <c r="J555">
        <f>$C555*J554</f>
        <v/>
      </c>
      <c r="K555">
        <f>$C555*K554</f>
        <v/>
      </c>
      <c r="L555">
        <f>$C555*L554</f>
        <v/>
      </c>
      <c r="M555">
        <f>$C555*M554</f>
        <v/>
      </c>
      <c r="N555">
        <f>$C555*N554</f>
        <v/>
      </c>
      <c r="O555">
        <f>$C555*O554</f>
        <v/>
      </c>
      <c r="P555">
        <f>$C555*P554</f>
        <v/>
      </c>
      <c r="Q555">
        <f>$C555*Q554</f>
        <v/>
      </c>
      <c r="R555">
        <f>$C555*R554</f>
        <v/>
      </c>
      <c r="S555">
        <f>$C555*S554</f>
        <v/>
      </c>
      <c r="T555">
        <f>$C555*T554</f>
        <v/>
      </c>
      <c r="U555">
        <f>$C555*U554</f>
        <v/>
      </c>
      <c r="V555">
        <f>$C555*V554</f>
        <v/>
      </c>
      <c r="W555">
        <f>$C555*W554</f>
        <v/>
      </c>
      <c r="X555">
        <f>$C555*X554</f>
        <v/>
      </c>
      <c r="Y555">
        <f>$C555*Y554</f>
        <v/>
      </c>
      <c r="Z555">
        <f>$C555*Z554</f>
        <v/>
      </c>
      <c r="AA555">
        <f>$C555*AA554</f>
        <v/>
      </c>
      <c r="AB555">
        <f>$C555*AB554</f>
        <v/>
      </c>
      <c r="AC555">
        <f>$C555*AC554</f>
        <v/>
      </c>
      <c r="AD555">
        <f>$C555*AD554</f>
        <v/>
      </c>
      <c r="AE555">
        <f>$C555*AE554</f>
        <v/>
      </c>
      <c r="AF555">
        <f>$C555*AF554</f>
        <v/>
      </c>
      <c r="AG555">
        <f>$C555*AG554</f>
        <v/>
      </c>
      <c r="AH555">
        <f>$C555*AH554</f>
        <v/>
      </c>
      <c r="AI555">
        <f>$C555*AI554</f>
        <v/>
      </c>
      <c r="AJ555">
        <f>$C555*AJ554</f>
        <v/>
      </c>
      <c r="AK555">
        <f>$C555*AK554</f>
        <v/>
      </c>
      <c r="AL555">
        <f>$C555*AL554</f>
        <v/>
      </c>
      <c r="AM555">
        <f>$C555*AM554</f>
        <v/>
      </c>
      <c r="AN555">
        <f>$C555*AN554</f>
        <v/>
      </c>
      <c r="AO555">
        <f>$C555*AO554</f>
        <v/>
      </c>
      <c r="AP555">
        <f>$C555*AP554</f>
        <v/>
      </c>
      <c r="AQ555">
        <f>$C555*AQ554</f>
        <v/>
      </c>
      <c r="AR555">
        <f>$C555*AR554</f>
        <v/>
      </c>
      <c r="AS555">
        <f>$C555*AS554</f>
        <v/>
      </c>
      <c r="AT555">
        <f>$C555*AT554</f>
        <v/>
      </c>
      <c r="AU555">
        <f>$C555*AU554</f>
        <v/>
      </c>
      <c r="AV555">
        <f>$C555*AV554</f>
        <v/>
      </c>
      <c r="AW555">
        <f>$C555*AW554</f>
        <v/>
      </c>
      <c r="AX555">
        <f>$C555*AX554</f>
        <v/>
      </c>
      <c r="AY555">
        <f>$C555*AY554</f>
        <v/>
      </c>
      <c r="AZ555">
        <f>$C555*AZ554</f>
        <v/>
      </c>
      <c r="BA555">
        <f>$C555*BA554</f>
        <v/>
      </c>
      <c r="BB555">
        <f>$C555*BB554</f>
        <v/>
      </c>
      <c r="BC555">
        <f>$C555*BC554</f>
        <v/>
      </c>
      <c r="BD555">
        <f>$C555*BD554</f>
        <v/>
      </c>
      <c r="BE555">
        <f>$C555*BE554</f>
        <v/>
      </c>
      <c r="BF555">
        <f>$C555*BF554</f>
        <v/>
      </c>
      <c r="BG555">
        <f>$C555*BG554</f>
        <v/>
      </c>
      <c r="BH555">
        <f>$C555*BH554</f>
        <v/>
      </c>
      <c r="BI555">
        <f>$C555*BI554</f>
        <v/>
      </c>
      <c r="BJ555">
        <f>$C555*BJ554</f>
        <v/>
      </c>
      <c r="BK555">
        <f>$C555*BK554</f>
        <v/>
      </c>
      <c r="BL555">
        <f>$C555*BL554</f>
        <v/>
      </c>
      <c r="BM555">
        <f>$C555*BM554</f>
        <v/>
      </c>
      <c r="BN555">
        <f>$C555*BN554</f>
        <v/>
      </c>
      <c r="BO555">
        <f>$C555*BO554</f>
        <v/>
      </c>
      <c r="BP555">
        <f>$C555*BP554</f>
        <v/>
      </c>
      <c r="BQ555">
        <f>$C555*BQ554</f>
        <v/>
      </c>
      <c r="BR555">
        <f>$C555*BR554</f>
        <v/>
      </c>
      <c r="BS555">
        <f>$C555*BS554</f>
        <v/>
      </c>
      <c r="BT555">
        <f>$C555*BT554</f>
        <v/>
      </c>
      <c r="BU555">
        <f>$C555*BU554</f>
        <v/>
      </c>
      <c r="BV555">
        <f>$C555*BV554</f>
        <v/>
      </c>
      <c r="BW555">
        <f>$C555*BW554</f>
        <v/>
      </c>
      <c r="BX555">
        <f>$C555*BX554</f>
        <v/>
      </c>
      <c r="BY555">
        <f>$C555*BY554</f>
        <v/>
      </c>
      <c r="BZ555">
        <f>$C555*BZ554</f>
        <v/>
      </c>
      <c r="CA555">
        <f>$C555*CA554</f>
        <v/>
      </c>
      <c r="CB555">
        <f>$C555*CB554</f>
        <v/>
      </c>
      <c r="CC555">
        <f>$C555*CC554</f>
        <v/>
      </c>
      <c r="CD555">
        <f>$C555*CD554</f>
        <v/>
      </c>
      <c r="CE555">
        <f>$C555*CE554</f>
        <v/>
      </c>
      <c r="CF555">
        <f>$C555*CF554</f>
        <v/>
      </c>
      <c r="CG555">
        <f>$C555*CG554</f>
        <v/>
      </c>
      <c r="CH555">
        <f>$C555*CH554</f>
        <v/>
      </c>
      <c r="CI555">
        <f>$C555*CI554</f>
        <v/>
      </c>
      <c r="CJ555">
        <f>$C555*CJ554</f>
        <v/>
      </c>
      <c r="CK555">
        <f>$C555*CK554</f>
        <v/>
      </c>
      <c r="CL555">
        <f>$C555*CL554</f>
        <v/>
      </c>
      <c r="CM555">
        <f>$C555*CM554</f>
        <v/>
      </c>
      <c r="CN555">
        <f>$C555*CN554</f>
        <v/>
      </c>
      <c r="CO555">
        <f>$C555*CO554</f>
        <v/>
      </c>
      <c r="CP555">
        <f>$C555*CP554</f>
        <v/>
      </c>
      <c r="CQ555">
        <f>$C555*CQ554</f>
        <v/>
      </c>
      <c r="CR555">
        <f>$C555*CR554</f>
        <v/>
      </c>
      <c r="CS555">
        <f>$C555*CS554</f>
        <v/>
      </c>
      <c r="CT555">
        <f>$C555*CT554</f>
        <v/>
      </c>
      <c r="CU555">
        <f>$C555*CU554</f>
        <v/>
      </c>
      <c r="CV555">
        <f>$C555*CV554</f>
        <v/>
      </c>
      <c r="CW555">
        <f>$C555*CW554</f>
        <v/>
      </c>
      <c r="CX555">
        <f>$C555*CX554</f>
        <v/>
      </c>
      <c r="CY555">
        <f>$C555*CY554</f>
        <v/>
      </c>
      <c r="CZ555">
        <f>$C555*CZ554</f>
        <v/>
      </c>
      <c r="DA555">
        <f>$C555*DA554</f>
        <v/>
      </c>
      <c r="DB555">
        <f>$C555*DB554</f>
        <v/>
      </c>
      <c r="DC555">
        <f>$C555*DC554</f>
        <v/>
      </c>
    </row>
    <row r="556">
      <c r="B556" t="inlineStr">
        <is>
          <t>TSP-710</t>
        </is>
      </c>
      <c r="C556" t="inlineStr">
        <is>
          <t>No. of batches</t>
        </is>
      </c>
      <c r="D556">
        <f>IFERROR(INDEX(PP_Grid[#Data],$DD556,2),0)</f>
        <v/>
      </c>
      <c r="E556">
        <f>IFERROR(INDEX(PP_Grid[#Data],$DD556,3),0)</f>
        <v/>
      </c>
      <c r="F556">
        <f>IFERROR(INDEX(PP_Grid[#Data],$DD556,4),0)</f>
        <v/>
      </c>
      <c r="G556">
        <f>IFERROR(INDEX(PP_Grid[#Data],$DD556,5),0)</f>
        <v/>
      </c>
      <c r="H556">
        <f>IFERROR(INDEX(PP_Grid[#Data],$DD556,6),0)</f>
        <v/>
      </c>
      <c r="I556">
        <f>IFERROR(INDEX(PP_Grid[#Data],$DD556,7),0)</f>
        <v/>
      </c>
      <c r="J556">
        <f>IFERROR(INDEX(PP_Grid[#Data],$DD556,8),0)</f>
        <v/>
      </c>
      <c r="K556">
        <f>IFERROR(INDEX(PP_Grid[#Data],$DD556,9),0)</f>
        <v/>
      </c>
      <c r="L556">
        <f>IFERROR(INDEX(PP_Grid[#Data],$DD556,10),0)</f>
        <v/>
      </c>
      <c r="M556">
        <f>IFERROR(INDEX(PP_Grid[#Data],$DD556,11),0)</f>
        <v/>
      </c>
      <c r="N556">
        <f>IFERROR(INDEX(PP_Grid[#Data],$DD556,12),0)</f>
        <v/>
      </c>
      <c r="O556">
        <f>IFERROR(INDEX(PP_Grid[#Data],$DD556,13),0)</f>
        <v/>
      </c>
      <c r="P556">
        <f>IFERROR(INDEX(PP_Grid[#Data],$DD556,14),0)</f>
        <v/>
      </c>
      <c r="Q556">
        <f>IFERROR(INDEX(PP_Grid[#Data],$DD556,15),0)</f>
        <v/>
      </c>
      <c r="R556">
        <f>IFERROR(INDEX(PP_Grid[#Data],$DD556,16),0)</f>
        <v/>
      </c>
      <c r="S556">
        <f>IFERROR(INDEX(PP_Grid[#Data],$DD556,17),0)</f>
        <v/>
      </c>
      <c r="T556">
        <f>IFERROR(INDEX(PP_Grid[#Data],$DD556,18),0)</f>
        <v/>
      </c>
      <c r="U556">
        <f>IFERROR(INDEX(PP_Grid[#Data],$DD556,19),0)</f>
        <v/>
      </c>
      <c r="V556">
        <f>IFERROR(INDEX(PP_Grid[#Data],$DD556,20),0)</f>
        <v/>
      </c>
      <c r="W556">
        <f>IFERROR(INDEX(PP_Grid[#Data],$DD556,21),0)</f>
        <v/>
      </c>
      <c r="X556">
        <f>IFERROR(INDEX(PP_Grid[#Data],$DD556,22),0)</f>
        <v/>
      </c>
      <c r="Y556">
        <f>IFERROR(INDEX(PP_Grid[#Data],$DD556,23),0)</f>
        <v/>
      </c>
      <c r="Z556">
        <f>IFERROR(INDEX(PP_Grid[#Data],$DD556,24),0)</f>
        <v/>
      </c>
      <c r="AA556">
        <f>IFERROR(INDEX(PP_Grid[#Data],$DD556,25),0)</f>
        <v/>
      </c>
      <c r="AB556">
        <f>IFERROR(INDEX(PP_Grid[#Data],$DD556,26),0)</f>
        <v/>
      </c>
      <c r="AC556">
        <f>IFERROR(INDEX(PP_Grid[#Data],$DD556,27),0)</f>
        <v/>
      </c>
      <c r="AD556">
        <f>IFERROR(INDEX(PP_Grid[#Data],$DD556,28),0)</f>
        <v/>
      </c>
      <c r="AE556">
        <f>IFERROR(INDEX(PP_Grid[#Data],$DD556,29),0)</f>
        <v/>
      </c>
      <c r="AF556">
        <f>IFERROR(INDEX(PP_Grid[#Data],$DD556,30),0)</f>
        <v/>
      </c>
      <c r="AG556">
        <f>IFERROR(INDEX(PP_Grid[#Data],$DD556,31),0)</f>
        <v/>
      </c>
      <c r="AH556">
        <f>IFERROR(INDEX(PP_Grid[#Data],$DD556,32),0)</f>
        <v/>
      </c>
      <c r="AI556">
        <f>IFERROR(INDEX(PP_Grid[#Data],$DD556,33),0)</f>
        <v/>
      </c>
      <c r="AJ556">
        <f>IFERROR(INDEX(PP_Grid[#Data],$DD556,34),0)</f>
        <v/>
      </c>
      <c r="AK556">
        <f>IFERROR(INDEX(PP_Grid[#Data],$DD556,35),0)</f>
        <v/>
      </c>
      <c r="AL556">
        <f>IFERROR(INDEX(PP_Grid[#Data],$DD556,36),0)</f>
        <v/>
      </c>
      <c r="AM556">
        <f>IFERROR(INDEX(PP_Grid[#Data],$DD556,37),0)</f>
        <v/>
      </c>
      <c r="AN556">
        <f>IFERROR(INDEX(PP_Grid[#Data],$DD556,38),0)</f>
        <v/>
      </c>
      <c r="AO556">
        <f>IFERROR(INDEX(PP_Grid[#Data],$DD556,39),0)</f>
        <v/>
      </c>
      <c r="AP556">
        <f>IFERROR(INDEX(PP_Grid[#Data],$DD556,40),0)</f>
        <v/>
      </c>
      <c r="AQ556">
        <f>IFERROR(INDEX(PP_Grid[#Data],$DD556,41),0)</f>
        <v/>
      </c>
      <c r="AR556">
        <f>IFERROR(INDEX(PP_Grid[#Data],$DD556,42),0)</f>
        <v/>
      </c>
      <c r="AS556">
        <f>IFERROR(INDEX(PP_Grid[#Data],$DD556,43),0)</f>
        <v/>
      </c>
      <c r="AT556">
        <f>IFERROR(INDEX(PP_Grid[#Data],$DD556,44),0)</f>
        <v/>
      </c>
      <c r="AU556">
        <f>IFERROR(INDEX(PP_Grid[#Data],$DD556,45),0)</f>
        <v/>
      </c>
      <c r="AV556">
        <f>IFERROR(INDEX(PP_Grid[#Data],$DD556,46),0)</f>
        <v/>
      </c>
      <c r="AW556">
        <f>IFERROR(INDEX(PP_Grid[#Data],$DD556,47),0)</f>
        <v/>
      </c>
      <c r="AX556">
        <f>IFERROR(INDEX(PP_Grid[#Data],$DD556,48),0)</f>
        <v/>
      </c>
      <c r="AY556">
        <f>IFERROR(INDEX(PP_Grid[#Data],$DD556,49),0)</f>
        <v/>
      </c>
      <c r="AZ556">
        <f>IFERROR(INDEX(PP_Grid[#Data],$DD556,50),0)</f>
        <v/>
      </c>
      <c r="BA556">
        <f>IFERROR(INDEX(PP_Grid[#Data],$DD556,51),0)</f>
        <v/>
      </c>
      <c r="BB556">
        <f>IFERROR(INDEX(PP_Grid[#Data],$DD556,52),0)</f>
        <v/>
      </c>
      <c r="BC556">
        <f>IFERROR(INDEX(PP_Grid[#Data],$DD556,53),0)</f>
        <v/>
      </c>
      <c r="BD556">
        <f>IFERROR(INDEX(PP_Grid[#Data],$DD556,54),0)</f>
        <v/>
      </c>
      <c r="BE556">
        <f>IFERROR(INDEX(PP_Grid[#Data],$DD556,55),0)</f>
        <v/>
      </c>
      <c r="BF556">
        <f>IFERROR(INDEX(PP_Grid[#Data],$DD556,56),0)</f>
        <v/>
      </c>
      <c r="BG556">
        <f>IFERROR(INDEX(PP_Grid[#Data],$DD556,57),0)</f>
        <v/>
      </c>
      <c r="BH556">
        <f>IFERROR(INDEX(PP_Grid[#Data],$DD556,58),0)</f>
        <v/>
      </c>
      <c r="BI556">
        <f>IFERROR(INDEX(PP_Grid[#Data],$DD556,59),0)</f>
        <v/>
      </c>
      <c r="BJ556">
        <f>IFERROR(INDEX(PP_Grid[#Data],$DD556,60),0)</f>
        <v/>
      </c>
      <c r="BK556">
        <f>IFERROR(INDEX(PP_Grid[#Data],$DD556,61),0)</f>
        <v/>
      </c>
      <c r="BL556">
        <f>IFERROR(INDEX(PP_Grid[#Data],$DD556,62),0)</f>
        <v/>
      </c>
      <c r="BM556">
        <f>IFERROR(INDEX(PP_Grid[#Data],$DD556,63),0)</f>
        <v/>
      </c>
      <c r="BN556">
        <f>IFERROR(INDEX(PP_Grid[#Data],$DD556,64),0)</f>
        <v/>
      </c>
      <c r="BO556">
        <f>IFERROR(INDEX(PP_Grid[#Data],$DD556,65),0)</f>
        <v/>
      </c>
      <c r="BP556">
        <f>IFERROR(INDEX(PP_Grid[#Data],$DD556,66),0)</f>
        <v/>
      </c>
      <c r="BQ556">
        <f>IFERROR(INDEX(PP_Grid[#Data],$DD556,67),0)</f>
        <v/>
      </c>
      <c r="BR556">
        <f>IFERROR(INDEX(PP_Grid[#Data],$DD556,68),0)</f>
        <v/>
      </c>
      <c r="BS556">
        <f>IFERROR(INDEX(PP_Grid[#Data],$DD556,69),0)</f>
        <v/>
      </c>
      <c r="BT556">
        <f>IFERROR(INDEX(PP_Grid[#Data],$DD556,70),0)</f>
        <v/>
      </c>
      <c r="BU556">
        <f>IFERROR(INDEX(PP_Grid[#Data],$DD556,71),0)</f>
        <v/>
      </c>
      <c r="BV556">
        <f>IFERROR(INDEX(PP_Grid[#Data],$DD556,72),0)</f>
        <v/>
      </c>
      <c r="BW556">
        <f>IFERROR(INDEX(PP_Grid[#Data],$DD556,73),0)</f>
        <v/>
      </c>
      <c r="BX556">
        <f>IFERROR(INDEX(PP_Grid[#Data],$DD556,74),0)</f>
        <v/>
      </c>
      <c r="BY556">
        <f>IFERROR(INDEX(PP_Grid[#Data],$DD556,75),0)</f>
        <v/>
      </c>
      <c r="BZ556">
        <f>IFERROR(INDEX(PP_Grid[#Data],$DD556,76),0)</f>
        <v/>
      </c>
      <c r="CA556">
        <f>IFERROR(INDEX(PP_Grid[#Data],$DD556,77),0)</f>
        <v/>
      </c>
      <c r="CB556">
        <f>IFERROR(INDEX(PP_Grid[#Data],$DD556,78),0)</f>
        <v/>
      </c>
      <c r="CC556">
        <f>IFERROR(INDEX(PP_Grid[#Data],$DD556,79),0)</f>
        <v/>
      </c>
      <c r="CD556">
        <f>IFERROR(INDEX(PP_Grid[#Data],$DD556,80),0)</f>
        <v/>
      </c>
      <c r="CE556">
        <f>IFERROR(INDEX(PP_Grid[#Data],$DD556,81),0)</f>
        <v/>
      </c>
      <c r="CF556">
        <f>IFERROR(INDEX(PP_Grid[#Data],$DD556,82),0)</f>
        <v/>
      </c>
      <c r="CG556">
        <f>IFERROR(INDEX(PP_Grid[#Data],$DD556,83),0)</f>
        <v/>
      </c>
      <c r="CH556">
        <f>IFERROR(INDEX(PP_Grid[#Data],$DD556,84),0)</f>
        <v/>
      </c>
      <c r="CI556">
        <f>IFERROR(INDEX(PP_Grid[#Data],$DD556,85),0)</f>
        <v/>
      </c>
      <c r="CJ556">
        <f>IFERROR(INDEX(PP_Grid[#Data],$DD556,86),0)</f>
        <v/>
      </c>
      <c r="CK556">
        <f>IFERROR(INDEX(PP_Grid[#Data],$DD556,87),0)</f>
        <v/>
      </c>
      <c r="CL556">
        <f>IFERROR(INDEX(PP_Grid[#Data],$DD556,88),0)</f>
        <v/>
      </c>
      <c r="CM556">
        <f>IFERROR(INDEX(PP_Grid[#Data],$DD556,89),0)</f>
        <v/>
      </c>
      <c r="CN556">
        <f>IFERROR(INDEX(PP_Grid[#Data],$DD556,90),0)</f>
        <v/>
      </c>
      <c r="CO556">
        <f>IFERROR(INDEX(PP_Grid[#Data],$DD556,91),0)</f>
        <v/>
      </c>
      <c r="CP556">
        <f>IFERROR(INDEX(PP_Grid[#Data],$DD556,92),0)</f>
        <v/>
      </c>
      <c r="CQ556">
        <f>IFERROR(INDEX(PP_Grid[#Data],$DD556,93),0)</f>
        <v/>
      </c>
      <c r="CR556">
        <f>IFERROR(INDEX(PP_Grid[#Data],$DD556,94),0)</f>
        <v/>
      </c>
      <c r="CS556">
        <f>IFERROR(INDEX(PP_Grid[#Data],$DD556,95),0)</f>
        <v/>
      </c>
      <c r="CT556">
        <f>IFERROR(INDEX(PP_Grid[#Data],$DD556,96),0)</f>
        <v/>
      </c>
      <c r="CU556">
        <f>IFERROR(INDEX(PP_Grid[#Data],$DD556,97),0)</f>
        <v/>
      </c>
      <c r="CV556">
        <f>IFERROR(INDEX(PP_Grid[#Data],$DD556,98),0)</f>
        <v/>
      </c>
      <c r="CW556">
        <f>IFERROR(INDEX(PP_Grid[#Data],$DD556,99),0)</f>
        <v/>
      </c>
      <c r="CX556">
        <f>IFERROR(INDEX(PP_Grid[#Data],$DD556,100),0)</f>
        <v/>
      </c>
      <c r="CY556">
        <f>IFERROR(INDEX(PP_Grid[#Data],$DD556,101),0)</f>
        <v/>
      </c>
      <c r="CZ556">
        <f>IFERROR(INDEX(PP_Grid[#Data],$DD556,102),0)</f>
        <v/>
      </c>
      <c r="DA556">
        <f>IFERROR(INDEX(PP_Grid[#Data],$DD556,103),0)</f>
        <v/>
      </c>
      <c r="DB556">
        <f>IFERROR(INDEX(PP_Grid[#Data],$DD556,104),0)</f>
        <v/>
      </c>
      <c r="DC556">
        <f>IFERROR(INDEX(PP_Grid[#Data],$DD556,105),0)</f>
        <v/>
      </c>
      <c r="DD556" s="7">
        <f>IFERROR(MATCH($B556,PP_Grid[Intermediate],0),99999)</f>
        <v/>
      </c>
    </row>
    <row r="557">
      <c r="B557" t="inlineStr">
        <is>
          <t>使用量(kg)</t>
        </is>
      </c>
      <c r="C557">
        <f>SUMIFS(M_BOM[RM_Qty_Per_Batch],M_BOM[Intermediate],$B556,M_BOM[Part Name],$A547)</f>
        <v/>
      </c>
      <c r="D557">
        <f>$C557*D556</f>
        <v/>
      </c>
      <c r="E557">
        <f>$C557*E556</f>
        <v/>
      </c>
      <c r="F557">
        <f>$C557*F556</f>
        <v/>
      </c>
      <c r="G557">
        <f>$C557*G556</f>
        <v/>
      </c>
      <c r="H557">
        <f>$C557*H556</f>
        <v/>
      </c>
      <c r="I557">
        <f>$C557*I556</f>
        <v/>
      </c>
      <c r="J557">
        <f>$C557*J556</f>
        <v/>
      </c>
      <c r="K557">
        <f>$C557*K556</f>
        <v/>
      </c>
      <c r="L557">
        <f>$C557*L556</f>
        <v/>
      </c>
      <c r="M557">
        <f>$C557*M556</f>
        <v/>
      </c>
      <c r="N557">
        <f>$C557*N556</f>
        <v/>
      </c>
      <c r="O557">
        <f>$C557*O556</f>
        <v/>
      </c>
      <c r="P557">
        <f>$C557*P556</f>
        <v/>
      </c>
      <c r="Q557">
        <f>$C557*Q556</f>
        <v/>
      </c>
      <c r="R557">
        <f>$C557*R556</f>
        <v/>
      </c>
      <c r="S557">
        <f>$C557*S556</f>
        <v/>
      </c>
      <c r="T557">
        <f>$C557*T556</f>
        <v/>
      </c>
      <c r="U557">
        <f>$C557*U556</f>
        <v/>
      </c>
      <c r="V557">
        <f>$C557*V556</f>
        <v/>
      </c>
      <c r="W557">
        <f>$C557*W556</f>
        <v/>
      </c>
      <c r="X557">
        <f>$C557*X556</f>
        <v/>
      </c>
      <c r="Y557">
        <f>$C557*Y556</f>
        <v/>
      </c>
      <c r="Z557">
        <f>$C557*Z556</f>
        <v/>
      </c>
      <c r="AA557">
        <f>$C557*AA556</f>
        <v/>
      </c>
      <c r="AB557">
        <f>$C557*AB556</f>
        <v/>
      </c>
      <c r="AC557">
        <f>$C557*AC556</f>
        <v/>
      </c>
      <c r="AD557">
        <f>$C557*AD556</f>
        <v/>
      </c>
      <c r="AE557">
        <f>$C557*AE556</f>
        <v/>
      </c>
      <c r="AF557">
        <f>$C557*AF556</f>
        <v/>
      </c>
      <c r="AG557">
        <f>$C557*AG556</f>
        <v/>
      </c>
      <c r="AH557">
        <f>$C557*AH556</f>
        <v/>
      </c>
      <c r="AI557">
        <f>$C557*AI556</f>
        <v/>
      </c>
      <c r="AJ557">
        <f>$C557*AJ556</f>
        <v/>
      </c>
      <c r="AK557">
        <f>$C557*AK556</f>
        <v/>
      </c>
      <c r="AL557">
        <f>$C557*AL556</f>
        <v/>
      </c>
      <c r="AM557">
        <f>$C557*AM556</f>
        <v/>
      </c>
      <c r="AN557">
        <f>$C557*AN556</f>
        <v/>
      </c>
      <c r="AO557">
        <f>$C557*AO556</f>
        <v/>
      </c>
      <c r="AP557">
        <f>$C557*AP556</f>
        <v/>
      </c>
      <c r="AQ557">
        <f>$C557*AQ556</f>
        <v/>
      </c>
      <c r="AR557">
        <f>$C557*AR556</f>
        <v/>
      </c>
      <c r="AS557">
        <f>$C557*AS556</f>
        <v/>
      </c>
      <c r="AT557">
        <f>$C557*AT556</f>
        <v/>
      </c>
      <c r="AU557">
        <f>$C557*AU556</f>
        <v/>
      </c>
      <c r="AV557">
        <f>$C557*AV556</f>
        <v/>
      </c>
      <c r="AW557">
        <f>$C557*AW556</f>
        <v/>
      </c>
      <c r="AX557">
        <f>$C557*AX556</f>
        <v/>
      </c>
      <c r="AY557">
        <f>$C557*AY556</f>
        <v/>
      </c>
      <c r="AZ557">
        <f>$C557*AZ556</f>
        <v/>
      </c>
      <c r="BA557">
        <f>$C557*BA556</f>
        <v/>
      </c>
      <c r="BB557">
        <f>$C557*BB556</f>
        <v/>
      </c>
      <c r="BC557">
        <f>$C557*BC556</f>
        <v/>
      </c>
      <c r="BD557">
        <f>$C557*BD556</f>
        <v/>
      </c>
      <c r="BE557">
        <f>$C557*BE556</f>
        <v/>
      </c>
      <c r="BF557">
        <f>$C557*BF556</f>
        <v/>
      </c>
      <c r="BG557">
        <f>$C557*BG556</f>
        <v/>
      </c>
      <c r="BH557">
        <f>$C557*BH556</f>
        <v/>
      </c>
      <c r="BI557">
        <f>$C557*BI556</f>
        <v/>
      </c>
      <c r="BJ557">
        <f>$C557*BJ556</f>
        <v/>
      </c>
      <c r="BK557">
        <f>$C557*BK556</f>
        <v/>
      </c>
      <c r="BL557">
        <f>$C557*BL556</f>
        <v/>
      </c>
      <c r="BM557">
        <f>$C557*BM556</f>
        <v/>
      </c>
      <c r="BN557">
        <f>$C557*BN556</f>
        <v/>
      </c>
      <c r="BO557">
        <f>$C557*BO556</f>
        <v/>
      </c>
      <c r="BP557">
        <f>$C557*BP556</f>
        <v/>
      </c>
      <c r="BQ557">
        <f>$C557*BQ556</f>
        <v/>
      </c>
      <c r="BR557">
        <f>$C557*BR556</f>
        <v/>
      </c>
      <c r="BS557">
        <f>$C557*BS556</f>
        <v/>
      </c>
      <c r="BT557">
        <f>$C557*BT556</f>
        <v/>
      </c>
      <c r="BU557">
        <f>$C557*BU556</f>
        <v/>
      </c>
      <c r="BV557">
        <f>$C557*BV556</f>
        <v/>
      </c>
      <c r="BW557">
        <f>$C557*BW556</f>
        <v/>
      </c>
      <c r="BX557">
        <f>$C557*BX556</f>
        <v/>
      </c>
      <c r="BY557">
        <f>$C557*BY556</f>
        <v/>
      </c>
      <c r="BZ557">
        <f>$C557*BZ556</f>
        <v/>
      </c>
      <c r="CA557">
        <f>$C557*CA556</f>
        <v/>
      </c>
      <c r="CB557">
        <f>$C557*CB556</f>
        <v/>
      </c>
      <c r="CC557">
        <f>$C557*CC556</f>
        <v/>
      </c>
      <c r="CD557">
        <f>$C557*CD556</f>
        <v/>
      </c>
      <c r="CE557">
        <f>$C557*CE556</f>
        <v/>
      </c>
      <c r="CF557">
        <f>$C557*CF556</f>
        <v/>
      </c>
      <c r="CG557">
        <f>$C557*CG556</f>
        <v/>
      </c>
      <c r="CH557">
        <f>$C557*CH556</f>
        <v/>
      </c>
      <c r="CI557">
        <f>$C557*CI556</f>
        <v/>
      </c>
      <c r="CJ557">
        <f>$C557*CJ556</f>
        <v/>
      </c>
      <c r="CK557">
        <f>$C557*CK556</f>
        <v/>
      </c>
      <c r="CL557">
        <f>$C557*CL556</f>
        <v/>
      </c>
      <c r="CM557">
        <f>$C557*CM556</f>
        <v/>
      </c>
      <c r="CN557">
        <f>$C557*CN556</f>
        <v/>
      </c>
      <c r="CO557">
        <f>$C557*CO556</f>
        <v/>
      </c>
      <c r="CP557">
        <f>$C557*CP556</f>
        <v/>
      </c>
      <c r="CQ557">
        <f>$C557*CQ556</f>
        <v/>
      </c>
      <c r="CR557">
        <f>$C557*CR556</f>
        <v/>
      </c>
      <c r="CS557">
        <f>$C557*CS556</f>
        <v/>
      </c>
      <c r="CT557">
        <f>$C557*CT556</f>
        <v/>
      </c>
      <c r="CU557">
        <f>$C557*CU556</f>
        <v/>
      </c>
      <c r="CV557">
        <f>$C557*CV556</f>
        <v/>
      </c>
      <c r="CW557">
        <f>$C557*CW556</f>
        <v/>
      </c>
      <c r="CX557">
        <f>$C557*CX556</f>
        <v/>
      </c>
      <c r="CY557">
        <f>$C557*CY556</f>
        <v/>
      </c>
      <c r="CZ557">
        <f>$C557*CZ556</f>
        <v/>
      </c>
      <c r="DA557">
        <f>$C557*DA556</f>
        <v/>
      </c>
      <c r="DB557">
        <f>$C557*DB556</f>
        <v/>
      </c>
      <c r="DC557">
        <f>$C557*DC556</f>
        <v/>
      </c>
    </row>
    <row r="558">
      <c r="B558" t="inlineStr">
        <is>
          <t>TSZ-616</t>
        </is>
      </c>
      <c r="C558" t="inlineStr">
        <is>
          <t>No. of batches</t>
        </is>
      </c>
      <c r="D558">
        <f>IFERROR(INDEX(PP_Grid[#Data],$DD558,2),0)</f>
        <v/>
      </c>
      <c r="E558">
        <f>IFERROR(INDEX(PP_Grid[#Data],$DD558,3),0)</f>
        <v/>
      </c>
      <c r="F558">
        <f>IFERROR(INDEX(PP_Grid[#Data],$DD558,4),0)</f>
        <v/>
      </c>
      <c r="G558">
        <f>IFERROR(INDEX(PP_Grid[#Data],$DD558,5),0)</f>
        <v/>
      </c>
      <c r="H558">
        <f>IFERROR(INDEX(PP_Grid[#Data],$DD558,6),0)</f>
        <v/>
      </c>
      <c r="I558">
        <f>IFERROR(INDEX(PP_Grid[#Data],$DD558,7),0)</f>
        <v/>
      </c>
      <c r="J558">
        <f>IFERROR(INDEX(PP_Grid[#Data],$DD558,8),0)</f>
        <v/>
      </c>
      <c r="K558">
        <f>IFERROR(INDEX(PP_Grid[#Data],$DD558,9),0)</f>
        <v/>
      </c>
      <c r="L558">
        <f>IFERROR(INDEX(PP_Grid[#Data],$DD558,10),0)</f>
        <v/>
      </c>
      <c r="M558">
        <f>IFERROR(INDEX(PP_Grid[#Data],$DD558,11),0)</f>
        <v/>
      </c>
      <c r="N558">
        <f>IFERROR(INDEX(PP_Grid[#Data],$DD558,12),0)</f>
        <v/>
      </c>
      <c r="O558">
        <f>IFERROR(INDEX(PP_Grid[#Data],$DD558,13),0)</f>
        <v/>
      </c>
      <c r="P558">
        <f>IFERROR(INDEX(PP_Grid[#Data],$DD558,14),0)</f>
        <v/>
      </c>
      <c r="Q558">
        <f>IFERROR(INDEX(PP_Grid[#Data],$DD558,15),0)</f>
        <v/>
      </c>
      <c r="R558">
        <f>IFERROR(INDEX(PP_Grid[#Data],$DD558,16),0)</f>
        <v/>
      </c>
      <c r="S558">
        <f>IFERROR(INDEX(PP_Grid[#Data],$DD558,17),0)</f>
        <v/>
      </c>
      <c r="T558">
        <f>IFERROR(INDEX(PP_Grid[#Data],$DD558,18),0)</f>
        <v/>
      </c>
      <c r="U558">
        <f>IFERROR(INDEX(PP_Grid[#Data],$DD558,19),0)</f>
        <v/>
      </c>
      <c r="V558">
        <f>IFERROR(INDEX(PP_Grid[#Data],$DD558,20),0)</f>
        <v/>
      </c>
      <c r="W558">
        <f>IFERROR(INDEX(PP_Grid[#Data],$DD558,21),0)</f>
        <v/>
      </c>
      <c r="X558">
        <f>IFERROR(INDEX(PP_Grid[#Data],$DD558,22),0)</f>
        <v/>
      </c>
      <c r="Y558">
        <f>IFERROR(INDEX(PP_Grid[#Data],$DD558,23),0)</f>
        <v/>
      </c>
      <c r="Z558">
        <f>IFERROR(INDEX(PP_Grid[#Data],$DD558,24),0)</f>
        <v/>
      </c>
      <c r="AA558">
        <f>IFERROR(INDEX(PP_Grid[#Data],$DD558,25),0)</f>
        <v/>
      </c>
      <c r="AB558">
        <f>IFERROR(INDEX(PP_Grid[#Data],$DD558,26),0)</f>
        <v/>
      </c>
      <c r="AC558">
        <f>IFERROR(INDEX(PP_Grid[#Data],$DD558,27),0)</f>
        <v/>
      </c>
      <c r="AD558">
        <f>IFERROR(INDEX(PP_Grid[#Data],$DD558,28),0)</f>
        <v/>
      </c>
      <c r="AE558">
        <f>IFERROR(INDEX(PP_Grid[#Data],$DD558,29),0)</f>
        <v/>
      </c>
      <c r="AF558">
        <f>IFERROR(INDEX(PP_Grid[#Data],$DD558,30),0)</f>
        <v/>
      </c>
      <c r="AG558">
        <f>IFERROR(INDEX(PP_Grid[#Data],$DD558,31),0)</f>
        <v/>
      </c>
      <c r="AH558">
        <f>IFERROR(INDEX(PP_Grid[#Data],$DD558,32),0)</f>
        <v/>
      </c>
      <c r="AI558">
        <f>IFERROR(INDEX(PP_Grid[#Data],$DD558,33),0)</f>
        <v/>
      </c>
      <c r="AJ558">
        <f>IFERROR(INDEX(PP_Grid[#Data],$DD558,34),0)</f>
        <v/>
      </c>
      <c r="AK558">
        <f>IFERROR(INDEX(PP_Grid[#Data],$DD558,35),0)</f>
        <v/>
      </c>
      <c r="AL558">
        <f>IFERROR(INDEX(PP_Grid[#Data],$DD558,36),0)</f>
        <v/>
      </c>
      <c r="AM558">
        <f>IFERROR(INDEX(PP_Grid[#Data],$DD558,37),0)</f>
        <v/>
      </c>
      <c r="AN558">
        <f>IFERROR(INDEX(PP_Grid[#Data],$DD558,38),0)</f>
        <v/>
      </c>
      <c r="AO558">
        <f>IFERROR(INDEX(PP_Grid[#Data],$DD558,39),0)</f>
        <v/>
      </c>
      <c r="AP558">
        <f>IFERROR(INDEX(PP_Grid[#Data],$DD558,40),0)</f>
        <v/>
      </c>
      <c r="AQ558">
        <f>IFERROR(INDEX(PP_Grid[#Data],$DD558,41),0)</f>
        <v/>
      </c>
      <c r="AR558">
        <f>IFERROR(INDEX(PP_Grid[#Data],$DD558,42),0)</f>
        <v/>
      </c>
      <c r="AS558">
        <f>IFERROR(INDEX(PP_Grid[#Data],$DD558,43),0)</f>
        <v/>
      </c>
      <c r="AT558">
        <f>IFERROR(INDEX(PP_Grid[#Data],$DD558,44),0)</f>
        <v/>
      </c>
      <c r="AU558">
        <f>IFERROR(INDEX(PP_Grid[#Data],$DD558,45),0)</f>
        <v/>
      </c>
      <c r="AV558">
        <f>IFERROR(INDEX(PP_Grid[#Data],$DD558,46),0)</f>
        <v/>
      </c>
      <c r="AW558">
        <f>IFERROR(INDEX(PP_Grid[#Data],$DD558,47),0)</f>
        <v/>
      </c>
      <c r="AX558">
        <f>IFERROR(INDEX(PP_Grid[#Data],$DD558,48),0)</f>
        <v/>
      </c>
      <c r="AY558">
        <f>IFERROR(INDEX(PP_Grid[#Data],$DD558,49),0)</f>
        <v/>
      </c>
      <c r="AZ558">
        <f>IFERROR(INDEX(PP_Grid[#Data],$DD558,50),0)</f>
        <v/>
      </c>
      <c r="BA558">
        <f>IFERROR(INDEX(PP_Grid[#Data],$DD558,51),0)</f>
        <v/>
      </c>
      <c r="BB558">
        <f>IFERROR(INDEX(PP_Grid[#Data],$DD558,52),0)</f>
        <v/>
      </c>
      <c r="BC558">
        <f>IFERROR(INDEX(PP_Grid[#Data],$DD558,53),0)</f>
        <v/>
      </c>
      <c r="BD558">
        <f>IFERROR(INDEX(PP_Grid[#Data],$DD558,54),0)</f>
        <v/>
      </c>
      <c r="BE558">
        <f>IFERROR(INDEX(PP_Grid[#Data],$DD558,55),0)</f>
        <v/>
      </c>
      <c r="BF558">
        <f>IFERROR(INDEX(PP_Grid[#Data],$DD558,56),0)</f>
        <v/>
      </c>
      <c r="BG558">
        <f>IFERROR(INDEX(PP_Grid[#Data],$DD558,57),0)</f>
        <v/>
      </c>
      <c r="BH558">
        <f>IFERROR(INDEX(PP_Grid[#Data],$DD558,58),0)</f>
        <v/>
      </c>
      <c r="BI558">
        <f>IFERROR(INDEX(PP_Grid[#Data],$DD558,59),0)</f>
        <v/>
      </c>
      <c r="BJ558">
        <f>IFERROR(INDEX(PP_Grid[#Data],$DD558,60),0)</f>
        <v/>
      </c>
      <c r="BK558">
        <f>IFERROR(INDEX(PP_Grid[#Data],$DD558,61),0)</f>
        <v/>
      </c>
      <c r="BL558">
        <f>IFERROR(INDEX(PP_Grid[#Data],$DD558,62),0)</f>
        <v/>
      </c>
      <c r="BM558">
        <f>IFERROR(INDEX(PP_Grid[#Data],$DD558,63),0)</f>
        <v/>
      </c>
      <c r="BN558">
        <f>IFERROR(INDEX(PP_Grid[#Data],$DD558,64),0)</f>
        <v/>
      </c>
      <c r="BO558">
        <f>IFERROR(INDEX(PP_Grid[#Data],$DD558,65),0)</f>
        <v/>
      </c>
      <c r="BP558">
        <f>IFERROR(INDEX(PP_Grid[#Data],$DD558,66),0)</f>
        <v/>
      </c>
      <c r="BQ558">
        <f>IFERROR(INDEX(PP_Grid[#Data],$DD558,67),0)</f>
        <v/>
      </c>
      <c r="BR558">
        <f>IFERROR(INDEX(PP_Grid[#Data],$DD558,68),0)</f>
        <v/>
      </c>
      <c r="BS558">
        <f>IFERROR(INDEX(PP_Grid[#Data],$DD558,69),0)</f>
        <v/>
      </c>
      <c r="BT558">
        <f>IFERROR(INDEX(PP_Grid[#Data],$DD558,70),0)</f>
        <v/>
      </c>
      <c r="BU558">
        <f>IFERROR(INDEX(PP_Grid[#Data],$DD558,71),0)</f>
        <v/>
      </c>
      <c r="BV558">
        <f>IFERROR(INDEX(PP_Grid[#Data],$DD558,72),0)</f>
        <v/>
      </c>
      <c r="BW558">
        <f>IFERROR(INDEX(PP_Grid[#Data],$DD558,73),0)</f>
        <v/>
      </c>
      <c r="BX558">
        <f>IFERROR(INDEX(PP_Grid[#Data],$DD558,74),0)</f>
        <v/>
      </c>
      <c r="BY558">
        <f>IFERROR(INDEX(PP_Grid[#Data],$DD558,75),0)</f>
        <v/>
      </c>
      <c r="BZ558">
        <f>IFERROR(INDEX(PP_Grid[#Data],$DD558,76),0)</f>
        <v/>
      </c>
      <c r="CA558">
        <f>IFERROR(INDEX(PP_Grid[#Data],$DD558,77),0)</f>
        <v/>
      </c>
      <c r="CB558">
        <f>IFERROR(INDEX(PP_Grid[#Data],$DD558,78),0)</f>
        <v/>
      </c>
      <c r="CC558">
        <f>IFERROR(INDEX(PP_Grid[#Data],$DD558,79),0)</f>
        <v/>
      </c>
      <c r="CD558">
        <f>IFERROR(INDEX(PP_Grid[#Data],$DD558,80),0)</f>
        <v/>
      </c>
      <c r="CE558">
        <f>IFERROR(INDEX(PP_Grid[#Data],$DD558,81),0)</f>
        <v/>
      </c>
      <c r="CF558">
        <f>IFERROR(INDEX(PP_Grid[#Data],$DD558,82),0)</f>
        <v/>
      </c>
      <c r="CG558">
        <f>IFERROR(INDEX(PP_Grid[#Data],$DD558,83),0)</f>
        <v/>
      </c>
      <c r="CH558">
        <f>IFERROR(INDEX(PP_Grid[#Data],$DD558,84),0)</f>
        <v/>
      </c>
      <c r="CI558">
        <f>IFERROR(INDEX(PP_Grid[#Data],$DD558,85),0)</f>
        <v/>
      </c>
      <c r="CJ558">
        <f>IFERROR(INDEX(PP_Grid[#Data],$DD558,86),0)</f>
        <v/>
      </c>
      <c r="CK558">
        <f>IFERROR(INDEX(PP_Grid[#Data],$DD558,87),0)</f>
        <v/>
      </c>
      <c r="CL558">
        <f>IFERROR(INDEX(PP_Grid[#Data],$DD558,88),0)</f>
        <v/>
      </c>
      <c r="CM558">
        <f>IFERROR(INDEX(PP_Grid[#Data],$DD558,89),0)</f>
        <v/>
      </c>
      <c r="CN558">
        <f>IFERROR(INDEX(PP_Grid[#Data],$DD558,90),0)</f>
        <v/>
      </c>
      <c r="CO558">
        <f>IFERROR(INDEX(PP_Grid[#Data],$DD558,91),0)</f>
        <v/>
      </c>
      <c r="CP558">
        <f>IFERROR(INDEX(PP_Grid[#Data],$DD558,92),0)</f>
        <v/>
      </c>
      <c r="CQ558">
        <f>IFERROR(INDEX(PP_Grid[#Data],$DD558,93),0)</f>
        <v/>
      </c>
      <c r="CR558">
        <f>IFERROR(INDEX(PP_Grid[#Data],$DD558,94),0)</f>
        <v/>
      </c>
      <c r="CS558">
        <f>IFERROR(INDEX(PP_Grid[#Data],$DD558,95),0)</f>
        <v/>
      </c>
      <c r="CT558">
        <f>IFERROR(INDEX(PP_Grid[#Data],$DD558,96),0)</f>
        <v/>
      </c>
      <c r="CU558">
        <f>IFERROR(INDEX(PP_Grid[#Data],$DD558,97),0)</f>
        <v/>
      </c>
      <c r="CV558">
        <f>IFERROR(INDEX(PP_Grid[#Data],$DD558,98),0)</f>
        <v/>
      </c>
      <c r="CW558">
        <f>IFERROR(INDEX(PP_Grid[#Data],$DD558,99),0)</f>
        <v/>
      </c>
      <c r="CX558">
        <f>IFERROR(INDEX(PP_Grid[#Data],$DD558,100),0)</f>
        <v/>
      </c>
      <c r="CY558">
        <f>IFERROR(INDEX(PP_Grid[#Data],$DD558,101),0)</f>
        <v/>
      </c>
      <c r="CZ558">
        <f>IFERROR(INDEX(PP_Grid[#Data],$DD558,102),0)</f>
        <v/>
      </c>
      <c r="DA558">
        <f>IFERROR(INDEX(PP_Grid[#Data],$DD558,103),0)</f>
        <v/>
      </c>
      <c r="DB558">
        <f>IFERROR(INDEX(PP_Grid[#Data],$DD558,104),0)</f>
        <v/>
      </c>
      <c r="DC558">
        <f>IFERROR(INDEX(PP_Grid[#Data],$DD558,105),0)</f>
        <v/>
      </c>
      <c r="DD558" s="7">
        <f>IFERROR(MATCH($B558,PP_Grid[Intermediate],0),99999)</f>
        <v/>
      </c>
    </row>
    <row r="559">
      <c r="B559" t="inlineStr">
        <is>
          <t>使用量(kg)</t>
        </is>
      </c>
      <c r="C559">
        <f>SUMIFS(M_BOM[RM_Qty_Per_Batch],M_BOM[Intermediate],$B558,M_BOM[Part Name],$A547)</f>
        <v/>
      </c>
      <c r="D559">
        <f>$C559*D558</f>
        <v/>
      </c>
      <c r="E559">
        <f>$C559*E558</f>
        <v/>
      </c>
      <c r="F559">
        <f>$C559*F558</f>
        <v/>
      </c>
      <c r="G559">
        <f>$C559*G558</f>
        <v/>
      </c>
      <c r="H559">
        <f>$C559*H558</f>
        <v/>
      </c>
      <c r="I559">
        <f>$C559*I558</f>
        <v/>
      </c>
      <c r="J559">
        <f>$C559*J558</f>
        <v/>
      </c>
      <c r="K559">
        <f>$C559*K558</f>
        <v/>
      </c>
      <c r="L559">
        <f>$C559*L558</f>
        <v/>
      </c>
      <c r="M559">
        <f>$C559*M558</f>
        <v/>
      </c>
      <c r="N559">
        <f>$C559*N558</f>
        <v/>
      </c>
      <c r="O559">
        <f>$C559*O558</f>
        <v/>
      </c>
      <c r="P559">
        <f>$C559*P558</f>
        <v/>
      </c>
      <c r="Q559">
        <f>$C559*Q558</f>
        <v/>
      </c>
      <c r="R559">
        <f>$C559*R558</f>
        <v/>
      </c>
      <c r="S559">
        <f>$C559*S558</f>
        <v/>
      </c>
      <c r="T559">
        <f>$C559*T558</f>
        <v/>
      </c>
      <c r="U559">
        <f>$C559*U558</f>
        <v/>
      </c>
      <c r="V559">
        <f>$C559*V558</f>
        <v/>
      </c>
      <c r="W559">
        <f>$C559*W558</f>
        <v/>
      </c>
      <c r="X559">
        <f>$C559*X558</f>
        <v/>
      </c>
      <c r="Y559">
        <f>$C559*Y558</f>
        <v/>
      </c>
      <c r="Z559">
        <f>$C559*Z558</f>
        <v/>
      </c>
      <c r="AA559">
        <f>$C559*AA558</f>
        <v/>
      </c>
      <c r="AB559">
        <f>$C559*AB558</f>
        <v/>
      </c>
      <c r="AC559">
        <f>$C559*AC558</f>
        <v/>
      </c>
      <c r="AD559">
        <f>$C559*AD558</f>
        <v/>
      </c>
      <c r="AE559">
        <f>$C559*AE558</f>
        <v/>
      </c>
      <c r="AF559">
        <f>$C559*AF558</f>
        <v/>
      </c>
      <c r="AG559">
        <f>$C559*AG558</f>
        <v/>
      </c>
      <c r="AH559">
        <f>$C559*AH558</f>
        <v/>
      </c>
      <c r="AI559">
        <f>$C559*AI558</f>
        <v/>
      </c>
      <c r="AJ559">
        <f>$C559*AJ558</f>
        <v/>
      </c>
      <c r="AK559">
        <f>$C559*AK558</f>
        <v/>
      </c>
      <c r="AL559">
        <f>$C559*AL558</f>
        <v/>
      </c>
      <c r="AM559">
        <f>$C559*AM558</f>
        <v/>
      </c>
      <c r="AN559">
        <f>$C559*AN558</f>
        <v/>
      </c>
      <c r="AO559">
        <f>$C559*AO558</f>
        <v/>
      </c>
      <c r="AP559">
        <f>$C559*AP558</f>
        <v/>
      </c>
      <c r="AQ559">
        <f>$C559*AQ558</f>
        <v/>
      </c>
      <c r="AR559">
        <f>$C559*AR558</f>
        <v/>
      </c>
      <c r="AS559">
        <f>$C559*AS558</f>
        <v/>
      </c>
      <c r="AT559">
        <f>$C559*AT558</f>
        <v/>
      </c>
      <c r="AU559">
        <f>$C559*AU558</f>
        <v/>
      </c>
      <c r="AV559">
        <f>$C559*AV558</f>
        <v/>
      </c>
      <c r="AW559">
        <f>$C559*AW558</f>
        <v/>
      </c>
      <c r="AX559">
        <f>$C559*AX558</f>
        <v/>
      </c>
      <c r="AY559">
        <f>$C559*AY558</f>
        <v/>
      </c>
      <c r="AZ559">
        <f>$C559*AZ558</f>
        <v/>
      </c>
      <c r="BA559">
        <f>$C559*BA558</f>
        <v/>
      </c>
      <c r="BB559">
        <f>$C559*BB558</f>
        <v/>
      </c>
      <c r="BC559">
        <f>$C559*BC558</f>
        <v/>
      </c>
      <c r="BD559">
        <f>$C559*BD558</f>
        <v/>
      </c>
      <c r="BE559">
        <f>$C559*BE558</f>
        <v/>
      </c>
      <c r="BF559">
        <f>$C559*BF558</f>
        <v/>
      </c>
      <c r="BG559">
        <f>$C559*BG558</f>
        <v/>
      </c>
      <c r="BH559">
        <f>$C559*BH558</f>
        <v/>
      </c>
      <c r="BI559">
        <f>$C559*BI558</f>
        <v/>
      </c>
      <c r="BJ559">
        <f>$C559*BJ558</f>
        <v/>
      </c>
      <c r="BK559">
        <f>$C559*BK558</f>
        <v/>
      </c>
      <c r="BL559">
        <f>$C559*BL558</f>
        <v/>
      </c>
      <c r="BM559">
        <f>$C559*BM558</f>
        <v/>
      </c>
      <c r="BN559">
        <f>$C559*BN558</f>
        <v/>
      </c>
      <c r="BO559">
        <f>$C559*BO558</f>
        <v/>
      </c>
      <c r="BP559">
        <f>$C559*BP558</f>
        <v/>
      </c>
      <c r="BQ559">
        <f>$C559*BQ558</f>
        <v/>
      </c>
      <c r="BR559">
        <f>$C559*BR558</f>
        <v/>
      </c>
      <c r="BS559">
        <f>$C559*BS558</f>
        <v/>
      </c>
      <c r="BT559">
        <f>$C559*BT558</f>
        <v/>
      </c>
      <c r="BU559">
        <f>$C559*BU558</f>
        <v/>
      </c>
      <c r="BV559">
        <f>$C559*BV558</f>
        <v/>
      </c>
      <c r="BW559">
        <f>$C559*BW558</f>
        <v/>
      </c>
      <c r="BX559">
        <f>$C559*BX558</f>
        <v/>
      </c>
      <c r="BY559">
        <f>$C559*BY558</f>
        <v/>
      </c>
      <c r="BZ559">
        <f>$C559*BZ558</f>
        <v/>
      </c>
      <c r="CA559">
        <f>$C559*CA558</f>
        <v/>
      </c>
      <c r="CB559">
        <f>$C559*CB558</f>
        <v/>
      </c>
      <c r="CC559">
        <f>$C559*CC558</f>
        <v/>
      </c>
      <c r="CD559">
        <f>$C559*CD558</f>
        <v/>
      </c>
      <c r="CE559">
        <f>$C559*CE558</f>
        <v/>
      </c>
      <c r="CF559">
        <f>$C559*CF558</f>
        <v/>
      </c>
      <c r="CG559">
        <f>$C559*CG558</f>
        <v/>
      </c>
      <c r="CH559">
        <f>$C559*CH558</f>
        <v/>
      </c>
      <c r="CI559">
        <f>$C559*CI558</f>
        <v/>
      </c>
      <c r="CJ559">
        <f>$C559*CJ558</f>
        <v/>
      </c>
      <c r="CK559">
        <f>$C559*CK558</f>
        <v/>
      </c>
      <c r="CL559">
        <f>$C559*CL558</f>
        <v/>
      </c>
      <c r="CM559">
        <f>$C559*CM558</f>
        <v/>
      </c>
      <c r="CN559">
        <f>$C559*CN558</f>
        <v/>
      </c>
      <c r="CO559">
        <f>$C559*CO558</f>
        <v/>
      </c>
      <c r="CP559">
        <f>$C559*CP558</f>
        <v/>
      </c>
      <c r="CQ559">
        <f>$C559*CQ558</f>
        <v/>
      </c>
      <c r="CR559">
        <f>$C559*CR558</f>
        <v/>
      </c>
      <c r="CS559">
        <f>$C559*CS558</f>
        <v/>
      </c>
      <c r="CT559">
        <f>$C559*CT558</f>
        <v/>
      </c>
      <c r="CU559">
        <f>$C559*CU558</f>
        <v/>
      </c>
      <c r="CV559">
        <f>$C559*CV558</f>
        <v/>
      </c>
      <c r="CW559">
        <f>$C559*CW558</f>
        <v/>
      </c>
      <c r="CX559">
        <f>$C559*CX558</f>
        <v/>
      </c>
      <c r="CY559">
        <f>$C559*CY558</f>
        <v/>
      </c>
      <c r="CZ559">
        <f>$C559*CZ558</f>
        <v/>
      </c>
      <c r="DA559">
        <f>$C559*DA558</f>
        <v/>
      </c>
      <c r="DB559">
        <f>$C559*DB558</f>
        <v/>
      </c>
      <c r="DC559">
        <f>$C559*DC558</f>
        <v/>
      </c>
    </row>
    <row r="560">
      <c r="B560" t="inlineStr">
        <is>
          <t>VSP-739</t>
        </is>
      </c>
      <c r="C560" t="inlineStr">
        <is>
          <t>No. of batches</t>
        </is>
      </c>
      <c r="D560">
        <f>IFERROR(INDEX(PP_Grid[#Data],$DD560,2),0)</f>
        <v/>
      </c>
      <c r="E560">
        <f>IFERROR(INDEX(PP_Grid[#Data],$DD560,3),0)</f>
        <v/>
      </c>
      <c r="F560">
        <f>IFERROR(INDEX(PP_Grid[#Data],$DD560,4),0)</f>
        <v/>
      </c>
      <c r="G560">
        <f>IFERROR(INDEX(PP_Grid[#Data],$DD560,5),0)</f>
        <v/>
      </c>
      <c r="H560">
        <f>IFERROR(INDEX(PP_Grid[#Data],$DD560,6),0)</f>
        <v/>
      </c>
      <c r="I560">
        <f>IFERROR(INDEX(PP_Grid[#Data],$DD560,7),0)</f>
        <v/>
      </c>
      <c r="J560">
        <f>IFERROR(INDEX(PP_Grid[#Data],$DD560,8),0)</f>
        <v/>
      </c>
      <c r="K560">
        <f>IFERROR(INDEX(PP_Grid[#Data],$DD560,9),0)</f>
        <v/>
      </c>
      <c r="L560">
        <f>IFERROR(INDEX(PP_Grid[#Data],$DD560,10),0)</f>
        <v/>
      </c>
      <c r="M560">
        <f>IFERROR(INDEX(PP_Grid[#Data],$DD560,11),0)</f>
        <v/>
      </c>
      <c r="N560">
        <f>IFERROR(INDEX(PP_Grid[#Data],$DD560,12),0)</f>
        <v/>
      </c>
      <c r="O560">
        <f>IFERROR(INDEX(PP_Grid[#Data],$DD560,13),0)</f>
        <v/>
      </c>
      <c r="P560">
        <f>IFERROR(INDEX(PP_Grid[#Data],$DD560,14),0)</f>
        <v/>
      </c>
      <c r="Q560">
        <f>IFERROR(INDEX(PP_Grid[#Data],$DD560,15),0)</f>
        <v/>
      </c>
      <c r="R560">
        <f>IFERROR(INDEX(PP_Grid[#Data],$DD560,16),0)</f>
        <v/>
      </c>
      <c r="S560">
        <f>IFERROR(INDEX(PP_Grid[#Data],$DD560,17),0)</f>
        <v/>
      </c>
      <c r="T560">
        <f>IFERROR(INDEX(PP_Grid[#Data],$DD560,18),0)</f>
        <v/>
      </c>
      <c r="U560">
        <f>IFERROR(INDEX(PP_Grid[#Data],$DD560,19),0)</f>
        <v/>
      </c>
      <c r="V560">
        <f>IFERROR(INDEX(PP_Grid[#Data],$DD560,20),0)</f>
        <v/>
      </c>
      <c r="W560">
        <f>IFERROR(INDEX(PP_Grid[#Data],$DD560,21),0)</f>
        <v/>
      </c>
      <c r="X560">
        <f>IFERROR(INDEX(PP_Grid[#Data],$DD560,22),0)</f>
        <v/>
      </c>
      <c r="Y560">
        <f>IFERROR(INDEX(PP_Grid[#Data],$DD560,23),0)</f>
        <v/>
      </c>
      <c r="Z560">
        <f>IFERROR(INDEX(PP_Grid[#Data],$DD560,24),0)</f>
        <v/>
      </c>
      <c r="AA560">
        <f>IFERROR(INDEX(PP_Grid[#Data],$DD560,25),0)</f>
        <v/>
      </c>
      <c r="AB560">
        <f>IFERROR(INDEX(PP_Grid[#Data],$DD560,26),0)</f>
        <v/>
      </c>
      <c r="AC560">
        <f>IFERROR(INDEX(PP_Grid[#Data],$DD560,27),0)</f>
        <v/>
      </c>
      <c r="AD560">
        <f>IFERROR(INDEX(PP_Grid[#Data],$DD560,28),0)</f>
        <v/>
      </c>
      <c r="AE560">
        <f>IFERROR(INDEX(PP_Grid[#Data],$DD560,29),0)</f>
        <v/>
      </c>
      <c r="AF560">
        <f>IFERROR(INDEX(PP_Grid[#Data],$DD560,30),0)</f>
        <v/>
      </c>
      <c r="AG560">
        <f>IFERROR(INDEX(PP_Grid[#Data],$DD560,31),0)</f>
        <v/>
      </c>
      <c r="AH560">
        <f>IFERROR(INDEX(PP_Grid[#Data],$DD560,32),0)</f>
        <v/>
      </c>
      <c r="AI560">
        <f>IFERROR(INDEX(PP_Grid[#Data],$DD560,33),0)</f>
        <v/>
      </c>
      <c r="AJ560">
        <f>IFERROR(INDEX(PP_Grid[#Data],$DD560,34),0)</f>
        <v/>
      </c>
      <c r="AK560">
        <f>IFERROR(INDEX(PP_Grid[#Data],$DD560,35),0)</f>
        <v/>
      </c>
      <c r="AL560">
        <f>IFERROR(INDEX(PP_Grid[#Data],$DD560,36),0)</f>
        <v/>
      </c>
      <c r="AM560">
        <f>IFERROR(INDEX(PP_Grid[#Data],$DD560,37),0)</f>
        <v/>
      </c>
      <c r="AN560">
        <f>IFERROR(INDEX(PP_Grid[#Data],$DD560,38),0)</f>
        <v/>
      </c>
      <c r="AO560">
        <f>IFERROR(INDEX(PP_Grid[#Data],$DD560,39),0)</f>
        <v/>
      </c>
      <c r="AP560">
        <f>IFERROR(INDEX(PP_Grid[#Data],$DD560,40),0)</f>
        <v/>
      </c>
      <c r="AQ560">
        <f>IFERROR(INDEX(PP_Grid[#Data],$DD560,41),0)</f>
        <v/>
      </c>
      <c r="AR560">
        <f>IFERROR(INDEX(PP_Grid[#Data],$DD560,42),0)</f>
        <v/>
      </c>
      <c r="AS560">
        <f>IFERROR(INDEX(PP_Grid[#Data],$DD560,43),0)</f>
        <v/>
      </c>
      <c r="AT560">
        <f>IFERROR(INDEX(PP_Grid[#Data],$DD560,44),0)</f>
        <v/>
      </c>
      <c r="AU560">
        <f>IFERROR(INDEX(PP_Grid[#Data],$DD560,45),0)</f>
        <v/>
      </c>
      <c r="AV560">
        <f>IFERROR(INDEX(PP_Grid[#Data],$DD560,46),0)</f>
        <v/>
      </c>
      <c r="AW560">
        <f>IFERROR(INDEX(PP_Grid[#Data],$DD560,47),0)</f>
        <v/>
      </c>
      <c r="AX560">
        <f>IFERROR(INDEX(PP_Grid[#Data],$DD560,48),0)</f>
        <v/>
      </c>
      <c r="AY560">
        <f>IFERROR(INDEX(PP_Grid[#Data],$DD560,49),0)</f>
        <v/>
      </c>
      <c r="AZ560">
        <f>IFERROR(INDEX(PP_Grid[#Data],$DD560,50),0)</f>
        <v/>
      </c>
      <c r="BA560">
        <f>IFERROR(INDEX(PP_Grid[#Data],$DD560,51),0)</f>
        <v/>
      </c>
      <c r="BB560">
        <f>IFERROR(INDEX(PP_Grid[#Data],$DD560,52),0)</f>
        <v/>
      </c>
      <c r="BC560">
        <f>IFERROR(INDEX(PP_Grid[#Data],$DD560,53),0)</f>
        <v/>
      </c>
      <c r="BD560">
        <f>IFERROR(INDEX(PP_Grid[#Data],$DD560,54),0)</f>
        <v/>
      </c>
      <c r="BE560">
        <f>IFERROR(INDEX(PP_Grid[#Data],$DD560,55),0)</f>
        <v/>
      </c>
      <c r="BF560">
        <f>IFERROR(INDEX(PP_Grid[#Data],$DD560,56),0)</f>
        <v/>
      </c>
      <c r="BG560">
        <f>IFERROR(INDEX(PP_Grid[#Data],$DD560,57),0)</f>
        <v/>
      </c>
      <c r="BH560">
        <f>IFERROR(INDEX(PP_Grid[#Data],$DD560,58),0)</f>
        <v/>
      </c>
      <c r="BI560">
        <f>IFERROR(INDEX(PP_Grid[#Data],$DD560,59),0)</f>
        <v/>
      </c>
      <c r="BJ560">
        <f>IFERROR(INDEX(PP_Grid[#Data],$DD560,60),0)</f>
        <v/>
      </c>
      <c r="BK560">
        <f>IFERROR(INDEX(PP_Grid[#Data],$DD560,61),0)</f>
        <v/>
      </c>
      <c r="BL560">
        <f>IFERROR(INDEX(PP_Grid[#Data],$DD560,62),0)</f>
        <v/>
      </c>
      <c r="BM560">
        <f>IFERROR(INDEX(PP_Grid[#Data],$DD560,63),0)</f>
        <v/>
      </c>
      <c r="BN560">
        <f>IFERROR(INDEX(PP_Grid[#Data],$DD560,64),0)</f>
        <v/>
      </c>
      <c r="BO560">
        <f>IFERROR(INDEX(PP_Grid[#Data],$DD560,65),0)</f>
        <v/>
      </c>
      <c r="BP560">
        <f>IFERROR(INDEX(PP_Grid[#Data],$DD560,66),0)</f>
        <v/>
      </c>
      <c r="BQ560">
        <f>IFERROR(INDEX(PP_Grid[#Data],$DD560,67),0)</f>
        <v/>
      </c>
      <c r="BR560">
        <f>IFERROR(INDEX(PP_Grid[#Data],$DD560,68),0)</f>
        <v/>
      </c>
      <c r="BS560">
        <f>IFERROR(INDEX(PP_Grid[#Data],$DD560,69),0)</f>
        <v/>
      </c>
      <c r="BT560">
        <f>IFERROR(INDEX(PP_Grid[#Data],$DD560,70),0)</f>
        <v/>
      </c>
      <c r="BU560">
        <f>IFERROR(INDEX(PP_Grid[#Data],$DD560,71),0)</f>
        <v/>
      </c>
      <c r="BV560">
        <f>IFERROR(INDEX(PP_Grid[#Data],$DD560,72),0)</f>
        <v/>
      </c>
      <c r="BW560">
        <f>IFERROR(INDEX(PP_Grid[#Data],$DD560,73),0)</f>
        <v/>
      </c>
      <c r="BX560">
        <f>IFERROR(INDEX(PP_Grid[#Data],$DD560,74),0)</f>
        <v/>
      </c>
      <c r="BY560">
        <f>IFERROR(INDEX(PP_Grid[#Data],$DD560,75),0)</f>
        <v/>
      </c>
      <c r="BZ560">
        <f>IFERROR(INDEX(PP_Grid[#Data],$DD560,76),0)</f>
        <v/>
      </c>
      <c r="CA560">
        <f>IFERROR(INDEX(PP_Grid[#Data],$DD560,77),0)</f>
        <v/>
      </c>
      <c r="CB560">
        <f>IFERROR(INDEX(PP_Grid[#Data],$DD560,78),0)</f>
        <v/>
      </c>
      <c r="CC560">
        <f>IFERROR(INDEX(PP_Grid[#Data],$DD560,79),0)</f>
        <v/>
      </c>
      <c r="CD560">
        <f>IFERROR(INDEX(PP_Grid[#Data],$DD560,80),0)</f>
        <v/>
      </c>
      <c r="CE560">
        <f>IFERROR(INDEX(PP_Grid[#Data],$DD560,81),0)</f>
        <v/>
      </c>
      <c r="CF560">
        <f>IFERROR(INDEX(PP_Grid[#Data],$DD560,82),0)</f>
        <v/>
      </c>
      <c r="CG560">
        <f>IFERROR(INDEX(PP_Grid[#Data],$DD560,83),0)</f>
        <v/>
      </c>
      <c r="CH560">
        <f>IFERROR(INDEX(PP_Grid[#Data],$DD560,84),0)</f>
        <v/>
      </c>
      <c r="CI560">
        <f>IFERROR(INDEX(PP_Grid[#Data],$DD560,85),0)</f>
        <v/>
      </c>
      <c r="CJ560">
        <f>IFERROR(INDEX(PP_Grid[#Data],$DD560,86),0)</f>
        <v/>
      </c>
      <c r="CK560">
        <f>IFERROR(INDEX(PP_Grid[#Data],$DD560,87),0)</f>
        <v/>
      </c>
      <c r="CL560">
        <f>IFERROR(INDEX(PP_Grid[#Data],$DD560,88),0)</f>
        <v/>
      </c>
      <c r="CM560">
        <f>IFERROR(INDEX(PP_Grid[#Data],$DD560,89),0)</f>
        <v/>
      </c>
      <c r="CN560">
        <f>IFERROR(INDEX(PP_Grid[#Data],$DD560,90),0)</f>
        <v/>
      </c>
      <c r="CO560">
        <f>IFERROR(INDEX(PP_Grid[#Data],$DD560,91),0)</f>
        <v/>
      </c>
      <c r="CP560">
        <f>IFERROR(INDEX(PP_Grid[#Data],$DD560,92),0)</f>
        <v/>
      </c>
      <c r="CQ560">
        <f>IFERROR(INDEX(PP_Grid[#Data],$DD560,93),0)</f>
        <v/>
      </c>
      <c r="CR560">
        <f>IFERROR(INDEX(PP_Grid[#Data],$DD560,94),0)</f>
        <v/>
      </c>
      <c r="CS560">
        <f>IFERROR(INDEX(PP_Grid[#Data],$DD560,95),0)</f>
        <v/>
      </c>
      <c r="CT560">
        <f>IFERROR(INDEX(PP_Grid[#Data],$DD560,96),0)</f>
        <v/>
      </c>
      <c r="CU560">
        <f>IFERROR(INDEX(PP_Grid[#Data],$DD560,97),0)</f>
        <v/>
      </c>
      <c r="CV560">
        <f>IFERROR(INDEX(PP_Grid[#Data],$DD560,98),0)</f>
        <v/>
      </c>
      <c r="CW560">
        <f>IFERROR(INDEX(PP_Grid[#Data],$DD560,99),0)</f>
        <v/>
      </c>
      <c r="CX560">
        <f>IFERROR(INDEX(PP_Grid[#Data],$DD560,100),0)</f>
        <v/>
      </c>
      <c r="CY560">
        <f>IFERROR(INDEX(PP_Grid[#Data],$DD560,101),0)</f>
        <v/>
      </c>
      <c r="CZ560">
        <f>IFERROR(INDEX(PP_Grid[#Data],$DD560,102),0)</f>
        <v/>
      </c>
      <c r="DA560">
        <f>IFERROR(INDEX(PP_Grid[#Data],$DD560,103),0)</f>
        <v/>
      </c>
      <c r="DB560">
        <f>IFERROR(INDEX(PP_Grid[#Data],$DD560,104),0)</f>
        <v/>
      </c>
      <c r="DC560">
        <f>IFERROR(INDEX(PP_Grid[#Data],$DD560,105),0)</f>
        <v/>
      </c>
      <c r="DD560" s="7">
        <f>IFERROR(MATCH($B560,PP_Grid[Intermediate],0),99999)</f>
        <v/>
      </c>
    </row>
    <row r="561">
      <c r="B561" t="inlineStr">
        <is>
          <t>使用量(kg)</t>
        </is>
      </c>
      <c r="C561">
        <f>SUMIFS(M_BOM[RM_Qty_Per_Batch],M_BOM[Intermediate],$B560,M_BOM[Part Name],$A547)</f>
        <v/>
      </c>
      <c r="D561">
        <f>$C561*D560</f>
        <v/>
      </c>
      <c r="E561">
        <f>$C561*E560</f>
        <v/>
      </c>
      <c r="F561">
        <f>$C561*F560</f>
        <v/>
      </c>
      <c r="G561">
        <f>$C561*G560</f>
        <v/>
      </c>
      <c r="H561">
        <f>$C561*H560</f>
        <v/>
      </c>
      <c r="I561">
        <f>$C561*I560</f>
        <v/>
      </c>
      <c r="J561">
        <f>$C561*J560</f>
        <v/>
      </c>
      <c r="K561">
        <f>$C561*K560</f>
        <v/>
      </c>
      <c r="L561">
        <f>$C561*L560</f>
        <v/>
      </c>
      <c r="M561">
        <f>$C561*M560</f>
        <v/>
      </c>
      <c r="N561">
        <f>$C561*N560</f>
        <v/>
      </c>
      <c r="O561">
        <f>$C561*O560</f>
        <v/>
      </c>
      <c r="P561">
        <f>$C561*P560</f>
        <v/>
      </c>
      <c r="Q561">
        <f>$C561*Q560</f>
        <v/>
      </c>
      <c r="R561">
        <f>$C561*R560</f>
        <v/>
      </c>
      <c r="S561">
        <f>$C561*S560</f>
        <v/>
      </c>
      <c r="T561">
        <f>$C561*T560</f>
        <v/>
      </c>
      <c r="U561">
        <f>$C561*U560</f>
        <v/>
      </c>
      <c r="V561">
        <f>$C561*V560</f>
        <v/>
      </c>
      <c r="W561">
        <f>$C561*W560</f>
        <v/>
      </c>
      <c r="X561">
        <f>$C561*X560</f>
        <v/>
      </c>
      <c r="Y561">
        <f>$C561*Y560</f>
        <v/>
      </c>
      <c r="Z561">
        <f>$C561*Z560</f>
        <v/>
      </c>
      <c r="AA561">
        <f>$C561*AA560</f>
        <v/>
      </c>
      <c r="AB561">
        <f>$C561*AB560</f>
        <v/>
      </c>
      <c r="AC561">
        <f>$C561*AC560</f>
        <v/>
      </c>
      <c r="AD561">
        <f>$C561*AD560</f>
        <v/>
      </c>
      <c r="AE561">
        <f>$C561*AE560</f>
        <v/>
      </c>
      <c r="AF561">
        <f>$C561*AF560</f>
        <v/>
      </c>
      <c r="AG561">
        <f>$C561*AG560</f>
        <v/>
      </c>
      <c r="AH561">
        <f>$C561*AH560</f>
        <v/>
      </c>
      <c r="AI561">
        <f>$C561*AI560</f>
        <v/>
      </c>
      <c r="AJ561">
        <f>$C561*AJ560</f>
        <v/>
      </c>
      <c r="AK561">
        <f>$C561*AK560</f>
        <v/>
      </c>
      <c r="AL561">
        <f>$C561*AL560</f>
        <v/>
      </c>
      <c r="AM561">
        <f>$C561*AM560</f>
        <v/>
      </c>
      <c r="AN561">
        <f>$C561*AN560</f>
        <v/>
      </c>
      <c r="AO561">
        <f>$C561*AO560</f>
        <v/>
      </c>
      <c r="AP561">
        <f>$C561*AP560</f>
        <v/>
      </c>
      <c r="AQ561">
        <f>$C561*AQ560</f>
        <v/>
      </c>
      <c r="AR561">
        <f>$C561*AR560</f>
        <v/>
      </c>
      <c r="AS561">
        <f>$C561*AS560</f>
        <v/>
      </c>
      <c r="AT561">
        <f>$C561*AT560</f>
        <v/>
      </c>
      <c r="AU561">
        <f>$C561*AU560</f>
        <v/>
      </c>
      <c r="AV561">
        <f>$C561*AV560</f>
        <v/>
      </c>
      <c r="AW561">
        <f>$C561*AW560</f>
        <v/>
      </c>
      <c r="AX561">
        <f>$C561*AX560</f>
        <v/>
      </c>
      <c r="AY561">
        <f>$C561*AY560</f>
        <v/>
      </c>
      <c r="AZ561">
        <f>$C561*AZ560</f>
        <v/>
      </c>
      <c r="BA561">
        <f>$C561*BA560</f>
        <v/>
      </c>
      <c r="BB561">
        <f>$C561*BB560</f>
        <v/>
      </c>
      <c r="BC561">
        <f>$C561*BC560</f>
        <v/>
      </c>
      <c r="BD561">
        <f>$C561*BD560</f>
        <v/>
      </c>
      <c r="BE561">
        <f>$C561*BE560</f>
        <v/>
      </c>
      <c r="BF561">
        <f>$C561*BF560</f>
        <v/>
      </c>
      <c r="BG561">
        <f>$C561*BG560</f>
        <v/>
      </c>
      <c r="BH561">
        <f>$C561*BH560</f>
        <v/>
      </c>
      <c r="BI561">
        <f>$C561*BI560</f>
        <v/>
      </c>
      <c r="BJ561">
        <f>$C561*BJ560</f>
        <v/>
      </c>
      <c r="BK561">
        <f>$C561*BK560</f>
        <v/>
      </c>
      <c r="BL561">
        <f>$C561*BL560</f>
        <v/>
      </c>
      <c r="BM561">
        <f>$C561*BM560</f>
        <v/>
      </c>
      <c r="BN561">
        <f>$C561*BN560</f>
        <v/>
      </c>
      <c r="BO561">
        <f>$C561*BO560</f>
        <v/>
      </c>
      <c r="BP561">
        <f>$C561*BP560</f>
        <v/>
      </c>
      <c r="BQ561">
        <f>$C561*BQ560</f>
        <v/>
      </c>
      <c r="BR561">
        <f>$C561*BR560</f>
        <v/>
      </c>
      <c r="BS561">
        <f>$C561*BS560</f>
        <v/>
      </c>
      <c r="BT561">
        <f>$C561*BT560</f>
        <v/>
      </c>
      <c r="BU561">
        <f>$C561*BU560</f>
        <v/>
      </c>
      <c r="BV561">
        <f>$C561*BV560</f>
        <v/>
      </c>
      <c r="BW561">
        <f>$C561*BW560</f>
        <v/>
      </c>
      <c r="BX561">
        <f>$C561*BX560</f>
        <v/>
      </c>
      <c r="BY561">
        <f>$C561*BY560</f>
        <v/>
      </c>
      <c r="BZ561">
        <f>$C561*BZ560</f>
        <v/>
      </c>
      <c r="CA561">
        <f>$C561*CA560</f>
        <v/>
      </c>
      <c r="CB561">
        <f>$C561*CB560</f>
        <v/>
      </c>
      <c r="CC561">
        <f>$C561*CC560</f>
        <v/>
      </c>
      <c r="CD561">
        <f>$C561*CD560</f>
        <v/>
      </c>
      <c r="CE561">
        <f>$C561*CE560</f>
        <v/>
      </c>
      <c r="CF561">
        <f>$C561*CF560</f>
        <v/>
      </c>
      <c r="CG561">
        <f>$C561*CG560</f>
        <v/>
      </c>
      <c r="CH561">
        <f>$C561*CH560</f>
        <v/>
      </c>
      <c r="CI561">
        <f>$C561*CI560</f>
        <v/>
      </c>
      <c r="CJ561">
        <f>$C561*CJ560</f>
        <v/>
      </c>
      <c r="CK561">
        <f>$C561*CK560</f>
        <v/>
      </c>
      <c r="CL561">
        <f>$C561*CL560</f>
        <v/>
      </c>
      <c r="CM561">
        <f>$C561*CM560</f>
        <v/>
      </c>
      <c r="CN561">
        <f>$C561*CN560</f>
        <v/>
      </c>
      <c r="CO561">
        <f>$C561*CO560</f>
        <v/>
      </c>
      <c r="CP561">
        <f>$C561*CP560</f>
        <v/>
      </c>
      <c r="CQ561">
        <f>$C561*CQ560</f>
        <v/>
      </c>
      <c r="CR561">
        <f>$C561*CR560</f>
        <v/>
      </c>
      <c r="CS561">
        <f>$C561*CS560</f>
        <v/>
      </c>
      <c r="CT561">
        <f>$C561*CT560</f>
        <v/>
      </c>
      <c r="CU561">
        <f>$C561*CU560</f>
        <v/>
      </c>
      <c r="CV561">
        <f>$C561*CV560</f>
        <v/>
      </c>
      <c r="CW561">
        <f>$C561*CW560</f>
        <v/>
      </c>
      <c r="CX561">
        <f>$C561*CX560</f>
        <v/>
      </c>
      <c r="CY561">
        <f>$C561*CY560</f>
        <v/>
      </c>
      <c r="CZ561">
        <f>$C561*CZ560</f>
        <v/>
      </c>
      <c r="DA561">
        <f>$C561*DA560</f>
        <v/>
      </c>
      <c r="DB561">
        <f>$C561*DB560</f>
        <v/>
      </c>
      <c r="DC561">
        <f>$C561*DC560</f>
        <v/>
      </c>
    </row>
    <row r="562">
      <c r="B562" t="inlineStr">
        <is>
          <t>VSP-820</t>
        </is>
      </c>
      <c r="C562" t="inlineStr">
        <is>
          <t>No. of batches</t>
        </is>
      </c>
      <c r="D562">
        <f>IFERROR(INDEX(PP_Grid[#Data],$DD562,2),0)</f>
        <v/>
      </c>
      <c r="E562">
        <f>IFERROR(INDEX(PP_Grid[#Data],$DD562,3),0)</f>
        <v/>
      </c>
      <c r="F562">
        <f>IFERROR(INDEX(PP_Grid[#Data],$DD562,4),0)</f>
        <v/>
      </c>
      <c r="G562">
        <f>IFERROR(INDEX(PP_Grid[#Data],$DD562,5),0)</f>
        <v/>
      </c>
      <c r="H562">
        <f>IFERROR(INDEX(PP_Grid[#Data],$DD562,6),0)</f>
        <v/>
      </c>
      <c r="I562">
        <f>IFERROR(INDEX(PP_Grid[#Data],$DD562,7),0)</f>
        <v/>
      </c>
      <c r="J562">
        <f>IFERROR(INDEX(PP_Grid[#Data],$DD562,8),0)</f>
        <v/>
      </c>
      <c r="K562">
        <f>IFERROR(INDEX(PP_Grid[#Data],$DD562,9),0)</f>
        <v/>
      </c>
      <c r="L562">
        <f>IFERROR(INDEX(PP_Grid[#Data],$DD562,10),0)</f>
        <v/>
      </c>
      <c r="M562">
        <f>IFERROR(INDEX(PP_Grid[#Data],$DD562,11),0)</f>
        <v/>
      </c>
      <c r="N562">
        <f>IFERROR(INDEX(PP_Grid[#Data],$DD562,12),0)</f>
        <v/>
      </c>
      <c r="O562">
        <f>IFERROR(INDEX(PP_Grid[#Data],$DD562,13),0)</f>
        <v/>
      </c>
      <c r="P562">
        <f>IFERROR(INDEX(PP_Grid[#Data],$DD562,14),0)</f>
        <v/>
      </c>
      <c r="Q562">
        <f>IFERROR(INDEX(PP_Grid[#Data],$DD562,15),0)</f>
        <v/>
      </c>
      <c r="R562">
        <f>IFERROR(INDEX(PP_Grid[#Data],$DD562,16),0)</f>
        <v/>
      </c>
      <c r="S562">
        <f>IFERROR(INDEX(PP_Grid[#Data],$DD562,17),0)</f>
        <v/>
      </c>
      <c r="T562">
        <f>IFERROR(INDEX(PP_Grid[#Data],$DD562,18),0)</f>
        <v/>
      </c>
      <c r="U562">
        <f>IFERROR(INDEX(PP_Grid[#Data],$DD562,19),0)</f>
        <v/>
      </c>
      <c r="V562">
        <f>IFERROR(INDEX(PP_Grid[#Data],$DD562,20),0)</f>
        <v/>
      </c>
      <c r="W562">
        <f>IFERROR(INDEX(PP_Grid[#Data],$DD562,21),0)</f>
        <v/>
      </c>
      <c r="X562">
        <f>IFERROR(INDEX(PP_Grid[#Data],$DD562,22),0)</f>
        <v/>
      </c>
      <c r="Y562">
        <f>IFERROR(INDEX(PP_Grid[#Data],$DD562,23),0)</f>
        <v/>
      </c>
      <c r="Z562">
        <f>IFERROR(INDEX(PP_Grid[#Data],$DD562,24),0)</f>
        <v/>
      </c>
      <c r="AA562">
        <f>IFERROR(INDEX(PP_Grid[#Data],$DD562,25),0)</f>
        <v/>
      </c>
      <c r="AB562">
        <f>IFERROR(INDEX(PP_Grid[#Data],$DD562,26),0)</f>
        <v/>
      </c>
      <c r="AC562">
        <f>IFERROR(INDEX(PP_Grid[#Data],$DD562,27),0)</f>
        <v/>
      </c>
      <c r="AD562">
        <f>IFERROR(INDEX(PP_Grid[#Data],$DD562,28),0)</f>
        <v/>
      </c>
      <c r="AE562">
        <f>IFERROR(INDEX(PP_Grid[#Data],$DD562,29),0)</f>
        <v/>
      </c>
      <c r="AF562">
        <f>IFERROR(INDEX(PP_Grid[#Data],$DD562,30),0)</f>
        <v/>
      </c>
      <c r="AG562">
        <f>IFERROR(INDEX(PP_Grid[#Data],$DD562,31),0)</f>
        <v/>
      </c>
      <c r="AH562">
        <f>IFERROR(INDEX(PP_Grid[#Data],$DD562,32),0)</f>
        <v/>
      </c>
      <c r="AI562">
        <f>IFERROR(INDEX(PP_Grid[#Data],$DD562,33),0)</f>
        <v/>
      </c>
      <c r="AJ562">
        <f>IFERROR(INDEX(PP_Grid[#Data],$DD562,34),0)</f>
        <v/>
      </c>
      <c r="AK562">
        <f>IFERROR(INDEX(PP_Grid[#Data],$DD562,35),0)</f>
        <v/>
      </c>
      <c r="AL562">
        <f>IFERROR(INDEX(PP_Grid[#Data],$DD562,36),0)</f>
        <v/>
      </c>
      <c r="AM562">
        <f>IFERROR(INDEX(PP_Grid[#Data],$DD562,37),0)</f>
        <v/>
      </c>
      <c r="AN562">
        <f>IFERROR(INDEX(PP_Grid[#Data],$DD562,38),0)</f>
        <v/>
      </c>
      <c r="AO562">
        <f>IFERROR(INDEX(PP_Grid[#Data],$DD562,39),0)</f>
        <v/>
      </c>
      <c r="AP562">
        <f>IFERROR(INDEX(PP_Grid[#Data],$DD562,40),0)</f>
        <v/>
      </c>
      <c r="AQ562">
        <f>IFERROR(INDEX(PP_Grid[#Data],$DD562,41),0)</f>
        <v/>
      </c>
      <c r="AR562">
        <f>IFERROR(INDEX(PP_Grid[#Data],$DD562,42),0)</f>
        <v/>
      </c>
      <c r="AS562">
        <f>IFERROR(INDEX(PP_Grid[#Data],$DD562,43),0)</f>
        <v/>
      </c>
      <c r="AT562">
        <f>IFERROR(INDEX(PP_Grid[#Data],$DD562,44),0)</f>
        <v/>
      </c>
      <c r="AU562">
        <f>IFERROR(INDEX(PP_Grid[#Data],$DD562,45),0)</f>
        <v/>
      </c>
      <c r="AV562">
        <f>IFERROR(INDEX(PP_Grid[#Data],$DD562,46),0)</f>
        <v/>
      </c>
      <c r="AW562">
        <f>IFERROR(INDEX(PP_Grid[#Data],$DD562,47),0)</f>
        <v/>
      </c>
      <c r="AX562">
        <f>IFERROR(INDEX(PP_Grid[#Data],$DD562,48),0)</f>
        <v/>
      </c>
      <c r="AY562">
        <f>IFERROR(INDEX(PP_Grid[#Data],$DD562,49),0)</f>
        <v/>
      </c>
      <c r="AZ562">
        <f>IFERROR(INDEX(PP_Grid[#Data],$DD562,50),0)</f>
        <v/>
      </c>
      <c r="BA562">
        <f>IFERROR(INDEX(PP_Grid[#Data],$DD562,51),0)</f>
        <v/>
      </c>
      <c r="BB562">
        <f>IFERROR(INDEX(PP_Grid[#Data],$DD562,52),0)</f>
        <v/>
      </c>
      <c r="BC562">
        <f>IFERROR(INDEX(PP_Grid[#Data],$DD562,53),0)</f>
        <v/>
      </c>
      <c r="BD562">
        <f>IFERROR(INDEX(PP_Grid[#Data],$DD562,54),0)</f>
        <v/>
      </c>
      <c r="BE562">
        <f>IFERROR(INDEX(PP_Grid[#Data],$DD562,55),0)</f>
        <v/>
      </c>
      <c r="BF562">
        <f>IFERROR(INDEX(PP_Grid[#Data],$DD562,56),0)</f>
        <v/>
      </c>
      <c r="BG562">
        <f>IFERROR(INDEX(PP_Grid[#Data],$DD562,57),0)</f>
        <v/>
      </c>
      <c r="BH562">
        <f>IFERROR(INDEX(PP_Grid[#Data],$DD562,58),0)</f>
        <v/>
      </c>
      <c r="BI562">
        <f>IFERROR(INDEX(PP_Grid[#Data],$DD562,59),0)</f>
        <v/>
      </c>
      <c r="BJ562">
        <f>IFERROR(INDEX(PP_Grid[#Data],$DD562,60),0)</f>
        <v/>
      </c>
      <c r="BK562">
        <f>IFERROR(INDEX(PP_Grid[#Data],$DD562,61),0)</f>
        <v/>
      </c>
      <c r="BL562">
        <f>IFERROR(INDEX(PP_Grid[#Data],$DD562,62),0)</f>
        <v/>
      </c>
      <c r="BM562">
        <f>IFERROR(INDEX(PP_Grid[#Data],$DD562,63),0)</f>
        <v/>
      </c>
      <c r="BN562">
        <f>IFERROR(INDEX(PP_Grid[#Data],$DD562,64),0)</f>
        <v/>
      </c>
      <c r="BO562">
        <f>IFERROR(INDEX(PP_Grid[#Data],$DD562,65),0)</f>
        <v/>
      </c>
      <c r="BP562">
        <f>IFERROR(INDEX(PP_Grid[#Data],$DD562,66),0)</f>
        <v/>
      </c>
      <c r="BQ562">
        <f>IFERROR(INDEX(PP_Grid[#Data],$DD562,67),0)</f>
        <v/>
      </c>
      <c r="BR562">
        <f>IFERROR(INDEX(PP_Grid[#Data],$DD562,68),0)</f>
        <v/>
      </c>
      <c r="BS562">
        <f>IFERROR(INDEX(PP_Grid[#Data],$DD562,69),0)</f>
        <v/>
      </c>
      <c r="BT562">
        <f>IFERROR(INDEX(PP_Grid[#Data],$DD562,70),0)</f>
        <v/>
      </c>
      <c r="BU562">
        <f>IFERROR(INDEX(PP_Grid[#Data],$DD562,71),0)</f>
        <v/>
      </c>
      <c r="BV562">
        <f>IFERROR(INDEX(PP_Grid[#Data],$DD562,72),0)</f>
        <v/>
      </c>
      <c r="BW562">
        <f>IFERROR(INDEX(PP_Grid[#Data],$DD562,73),0)</f>
        <v/>
      </c>
      <c r="BX562">
        <f>IFERROR(INDEX(PP_Grid[#Data],$DD562,74),0)</f>
        <v/>
      </c>
      <c r="BY562">
        <f>IFERROR(INDEX(PP_Grid[#Data],$DD562,75),0)</f>
        <v/>
      </c>
      <c r="BZ562">
        <f>IFERROR(INDEX(PP_Grid[#Data],$DD562,76),0)</f>
        <v/>
      </c>
      <c r="CA562">
        <f>IFERROR(INDEX(PP_Grid[#Data],$DD562,77),0)</f>
        <v/>
      </c>
      <c r="CB562">
        <f>IFERROR(INDEX(PP_Grid[#Data],$DD562,78),0)</f>
        <v/>
      </c>
      <c r="CC562">
        <f>IFERROR(INDEX(PP_Grid[#Data],$DD562,79),0)</f>
        <v/>
      </c>
      <c r="CD562">
        <f>IFERROR(INDEX(PP_Grid[#Data],$DD562,80),0)</f>
        <v/>
      </c>
      <c r="CE562">
        <f>IFERROR(INDEX(PP_Grid[#Data],$DD562,81),0)</f>
        <v/>
      </c>
      <c r="CF562">
        <f>IFERROR(INDEX(PP_Grid[#Data],$DD562,82),0)</f>
        <v/>
      </c>
      <c r="CG562">
        <f>IFERROR(INDEX(PP_Grid[#Data],$DD562,83),0)</f>
        <v/>
      </c>
      <c r="CH562">
        <f>IFERROR(INDEX(PP_Grid[#Data],$DD562,84),0)</f>
        <v/>
      </c>
      <c r="CI562">
        <f>IFERROR(INDEX(PP_Grid[#Data],$DD562,85),0)</f>
        <v/>
      </c>
      <c r="CJ562">
        <f>IFERROR(INDEX(PP_Grid[#Data],$DD562,86),0)</f>
        <v/>
      </c>
      <c r="CK562">
        <f>IFERROR(INDEX(PP_Grid[#Data],$DD562,87),0)</f>
        <v/>
      </c>
      <c r="CL562">
        <f>IFERROR(INDEX(PP_Grid[#Data],$DD562,88),0)</f>
        <v/>
      </c>
      <c r="CM562">
        <f>IFERROR(INDEX(PP_Grid[#Data],$DD562,89),0)</f>
        <v/>
      </c>
      <c r="CN562">
        <f>IFERROR(INDEX(PP_Grid[#Data],$DD562,90),0)</f>
        <v/>
      </c>
      <c r="CO562">
        <f>IFERROR(INDEX(PP_Grid[#Data],$DD562,91),0)</f>
        <v/>
      </c>
      <c r="CP562">
        <f>IFERROR(INDEX(PP_Grid[#Data],$DD562,92),0)</f>
        <v/>
      </c>
      <c r="CQ562">
        <f>IFERROR(INDEX(PP_Grid[#Data],$DD562,93),0)</f>
        <v/>
      </c>
      <c r="CR562">
        <f>IFERROR(INDEX(PP_Grid[#Data],$DD562,94),0)</f>
        <v/>
      </c>
      <c r="CS562">
        <f>IFERROR(INDEX(PP_Grid[#Data],$DD562,95),0)</f>
        <v/>
      </c>
      <c r="CT562">
        <f>IFERROR(INDEX(PP_Grid[#Data],$DD562,96),0)</f>
        <v/>
      </c>
      <c r="CU562">
        <f>IFERROR(INDEX(PP_Grid[#Data],$DD562,97),0)</f>
        <v/>
      </c>
      <c r="CV562">
        <f>IFERROR(INDEX(PP_Grid[#Data],$DD562,98),0)</f>
        <v/>
      </c>
      <c r="CW562">
        <f>IFERROR(INDEX(PP_Grid[#Data],$DD562,99),0)</f>
        <v/>
      </c>
      <c r="CX562">
        <f>IFERROR(INDEX(PP_Grid[#Data],$DD562,100),0)</f>
        <v/>
      </c>
      <c r="CY562">
        <f>IFERROR(INDEX(PP_Grid[#Data],$DD562,101),0)</f>
        <v/>
      </c>
      <c r="CZ562">
        <f>IFERROR(INDEX(PP_Grid[#Data],$DD562,102),0)</f>
        <v/>
      </c>
      <c r="DA562">
        <f>IFERROR(INDEX(PP_Grid[#Data],$DD562,103),0)</f>
        <v/>
      </c>
      <c r="DB562">
        <f>IFERROR(INDEX(PP_Grid[#Data],$DD562,104),0)</f>
        <v/>
      </c>
      <c r="DC562">
        <f>IFERROR(INDEX(PP_Grid[#Data],$DD562,105),0)</f>
        <v/>
      </c>
      <c r="DD562" s="7">
        <f>IFERROR(MATCH($B562,PP_Grid[Intermediate],0),99999)</f>
        <v/>
      </c>
    </row>
    <row r="563">
      <c r="B563" t="inlineStr">
        <is>
          <t>使用量(kg)</t>
        </is>
      </c>
      <c r="C563">
        <f>SUMIFS(M_BOM[RM_Qty_Per_Batch],M_BOM[Intermediate],$B562,M_BOM[Part Name],$A547)</f>
        <v/>
      </c>
      <c r="D563">
        <f>$C563*D562</f>
        <v/>
      </c>
      <c r="E563">
        <f>$C563*E562</f>
        <v/>
      </c>
      <c r="F563">
        <f>$C563*F562</f>
        <v/>
      </c>
      <c r="G563">
        <f>$C563*G562</f>
        <v/>
      </c>
      <c r="H563">
        <f>$C563*H562</f>
        <v/>
      </c>
      <c r="I563">
        <f>$C563*I562</f>
        <v/>
      </c>
      <c r="J563">
        <f>$C563*J562</f>
        <v/>
      </c>
      <c r="K563">
        <f>$C563*K562</f>
        <v/>
      </c>
      <c r="L563">
        <f>$C563*L562</f>
        <v/>
      </c>
      <c r="M563">
        <f>$C563*M562</f>
        <v/>
      </c>
      <c r="N563">
        <f>$C563*N562</f>
        <v/>
      </c>
      <c r="O563">
        <f>$C563*O562</f>
        <v/>
      </c>
      <c r="P563">
        <f>$C563*P562</f>
        <v/>
      </c>
      <c r="Q563">
        <f>$C563*Q562</f>
        <v/>
      </c>
      <c r="R563">
        <f>$C563*R562</f>
        <v/>
      </c>
      <c r="S563">
        <f>$C563*S562</f>
        <v/>
      </c>
      <c r="T563">
        <f>$C563*T562</f>
        <v/>
      </c>
      <c r="U563">
        <f>$C563*U562</f>
        <v/>
      </c>
      <c r="V563">
        <f>$C563*V562</f>
        <v/>
      </c>
      <c r="W563">
        <f>$C563*W562</f>
        <v/>
      </c>
      <c r="X563">
        <f>$C563*X562</f>
        <v/>
      </c>
      <c r="Y563">
        <f>$C563*Y562</f>
        <v/>
      </c>
      <c r="Z563">
        <f>$C563*Z562</f>
        <v/>
      </c>
      <c r="AA563">
        <f>$C563*AA562</f>
        <v/>
      </c>
      <c r="AB563">
        <f>$C563*AB562</f>
        <v/>
      </c>
      <c r="AC563">
        <f>$C563*AC562</f>
        <v/>
      </c>
      <c r="AD563">
        <f>$C563*AD562</f>
        <v/>
      </c>
      <c r="AE563">
        <f>$C563*AE562</f>
        <v/>
      </c>
      <c r="AF563">
        <f>$C563*AF562</f>
        <v/>
      </c>
      <c r="AG563">
        <f>$C563*AG562</f>
        <v/>
      </c>
      <c r="AH563">
        <f>$C563*AH562</f>
        <v/>
      </c>
      <c r="AI563">
        <f>$C563*AI562</f>
        <v/>
      </c>
      <c r="AJ563">
        <f>$C563*AJ562</f>
        <v/>
      </c>
      <c r="AK563">
        <f>$C563*AK562</f>
        <v/>
      </c>
      <c r="AL563">
        <f>$C563*AL562</f>
        <v/>
      </c>
      <c r="AM563">
        <f>$C563*AM562</f>
        <v/>
      </c>
      <c r="AN563">
        <f>$C563*AN562</f>
        <v/>
      </c>
      <c r="AO563">
        <f>$C563*AO562</f>
        <v/>
      </c>
      <c r="AP563">
        <f>$C563*AP562</f>
        <v/>
      </c>
      <c r="AQ563">
        <f>$C563*AQ562</f>
        <v/>
      </c>
      <c r="AR563">
        <f>$C563*AR562</f>
        <v/>
      </c>
      <c r="AS563">
        <f>$C563*AS562</f>
        <v/>
      </c>
      <c r="AT563">
        <f>$C563*AT562</f>
        <v/>
      </c>
      <c r="AU563">
        <f>$C563*AU562</f>
        <v/>
      </c>
      <c r="AV563">
        <f>$C563*AV562</f>
        <v/>
      </c>
      <c r="AW563">
        <f>$C563*AW562</f>
        <v/>
      </c>
      <c r="AX563">
        <f>$C563*AX562</f>
        <v/>
      </c>
      <c r="AY563">
        <f>$C563*AY562</f>
        <v/>
      </c>
      <c r="AZ563">
        <f>$C563*AZ562</f>
        <v/>
      </c>
      <c r="BA563">
        <f>$C563*BA562</f>
        <v/>
      </c>
      <c r="BB563">
        <f>$C563*BB562</f>
        <v/>
      </c>
      <c r="BC563">
        <f>$C563*BC562</f>
        <v/>
      </c>
      <c r="BD563">
        <f>$C563*BD562</f>
        <v/>
      </c>
      <c r="BE563">
        <f>$C563*BE562</f>
        <v/>
      </c>
      <c r="BF563">
        <f>$C563*BF562</f>
        <v/>
      </c>
      <c r="BG563">
        <f>$C563*BG562</f>
        <v/>
      </c>
      <c r="BH563">
        <f>$C563*BH562</f>
        <v/>
      </c>
      <c r="BI563">
        <f>$C563*BI562</f>
        <v/>
      </c>
      <c r="BJ563">
        <f>$C563*BJ562</f>
        <v/>
      </c>
      <c r="BK563">
        <f>$C563*BK562</f>
        <v/>
      </c>
      <c r="BL563">
        <f>$C563*BL562</f>
        <v/>
      </c>
      <c r="BM563">
        <f>$C563*BM562</f>
        <v/>
      </c>
      <c r="BN563">
        <f>$C563*BN562</f>
        <v/>
      </c>
      <c r="BO563">
        <f>$C563*BO562</f>
        <v/>
      </c>
      <c r="BP563">
        <f>$C563*BP562</f>
        <v/>
      </c>
      <c r="BQ563">
        <f>$C563*BQ562</f>
        <v/>
      </c>
      <c r="BR563">
        <f>$C563*BR562</f>
        <v/>
      </c>
      <c r="BS563">
        <f>$C563*BS562</f>
        <v/>
      </c>
      <c r="BT563">
        <f>$C563*BT562</f>
        <v/>
      </c>
      <c r="BU563">
        <f>$C563*BU562</f>
        <v/>
      </c>
      <c r="BV563">
        <f>$C563*BV562</f>
        <v/>
      </c>
      <c r="BW563">
        <f>$C563*BW562</f>
        <v/>
      </c>
      <c r="BX563">
        <f>$C563*BX562</f>
        <v/>
      </c>
      <c r="BY563">
        <f>$C563*BY562</f>
        <v/>
      </c>
      <c r="BZ563">
        <f>$C563*BZ562</f>
        <v/>
      </c>
      <c r="CA563">
        <f>$C563*CA562</f>
        <v/>
      </c>
      <c r="CB563">
        <f>$C563*CB562</f>
        <v/>
      </c>
      <c r="CC563">
        <f>$C563*CC562</f>
        <v/>
      </c>
      <c r="CD563">
        <f>$C563*CD562</f>
        <v/>
      </c>
      <c r="CE563">
        <f>$C563*CE562</f>
        <v/>
      </c>
      <c r="CF563">
        <f>$C563*CF562</f>
        <v/>
      </c>
      <c r="CG563">
        <f>$C563*CG562</f>
        <v/>
      </c>
      <c r="CH563">
        <f>$C563*CH562</f>
        <v/>
      </c>
      <c r="CI563">
        <f>$C563*CI562</f>
        <v/>
      </c>
      <c r="CJ563">
        <f>$C563*CJ562</f>
        <v/>
      </c>
      <c r="CK563">
        <f>$C563*CK562</f>
        <v/>
      </c>
      <c r="CL563">
        <f>$C563*CL562</f>
        <v/>
      </c>
      <c r="CM563">
        <f>$C563*CM562</f>
        <v/>
      </c>
      <c r="CN563">
        <f>$C563*CN562</f>
        <v/>
      </c>
      <c r="CO563">
        <f>$C563*CO562</f>
        <v/>
      </c>
      <c r="CP563">
        <f>$C563*CP562</f>
        <v/>
      </c>
      <c r="CQ563">
        <f>$C563*CQ562</f>
        <v/>
      </c>
      <c r="CR563">
        <f>$C563*CR562</f>
        <v/>
      </c>
      <c r="CS563">
        <f>$C563*CS562</f>
        <v/>
      </c>
      <c r="CT563">
        <f>$C563*CT562</f>
        <v/>
      </c>
      <c r="CU563">
        <f>$C563*CU562</f>
        <v/>
      </c>
      <c r="CV563">
        <f>$C563*CV562</f>
        <v/>
      </c>
      <c r="CW563">
        <f>$C563*CW562</f>
        <v/>
      </c>
      <c r="CX563">
        <f>$C563*CX562</f>
        <v/>
      </c>
      <c r="CY563">
        <f>$C563*CY562</f>
        <v/>
      </c>
      <c r="CZ563">
        <f>$C563*CZ562</f>
        <v/>
      </c>
      <c r="DA563">
        <f>$C563*DA562</f>
        <v/>
      </c>
      <c r="DB563">
        <f>$C563*DB562</f>
        <v/>
      </c>
      <c r="DC563">
        <f>$C563*DC562</f>
        <v/>
      </c>
    </row>
    <row r="564">
      <c r="B564" t="inlineStr">
        <is>
          <t>VSP-869</t>
        </is>
      </c>
      <c r="C564" t="inlineStr">
        <is>
          <t>No. of batches</t>
        </is>
      </c>
      <c r="D564">
        <f>IFERROR(INDEX(PP_Grid[#Data],$DD564,2),0)</f>
        <v/>
      </c>
      <c r="E564">
        <f>IFERROR(INDEX(PP_Grid[#Data],$DD564,3),0)</f>
        <v/>
      </c>
      <c r="F564">
        <f>IFERROR(INDEX(PP_Grid[#Data],$DD564,4),0)</f>
        <v/>
      </c>
      <c r="G564">
        <f>IFERROR(INDEX(PP_Grid[#Data],$DD564,5),0)</f>
        <v/>
      </c>
      <c r="H564">
        <f>IFERROR(INDEX(PP_Grid[#Data],$DD564,6),0)</f>
        <v/>
      </c>
      <c r="I564">
        <f>IFERROR(INDEX(PP_Grid[#Data],$DD564,7),0)</f>
        <v/>
      </c>
      <c r="J564">
        <f>IFERROR(INDEX(PP_Grid[#Data],$DD564,8),0)</f>
        <v/>
      </c>
      <c r="K564">
        <f>IFERROR(INDEX(PP_Grid[#Data],$DD564,9),0)</f>
        <v/>
      </c>
      <c r="L564">
        <f>IFERROR(INDEX(PP_Grid[#Data],$DD564,10),0)</f>
        <v/>
      </c>
      <c r="M564">
        <f>IFERROR(INDEX(PP_Grid[#Data],$DD564,11),0)</f>
        <v/>
      </c>
      <c r="N564">
        <f>IFERROR(INDEX(PP_Grid[#Data],$DD564,12),0)</f>
        <v/>
      </c>
      <c r="O564">
        <f>IFERROR(INDEX(PP_Grid[#Data],$DD564,13),0)</f>
        <v/>
      </c>
      <c r="P564">
        <f>IFERROR(INDEX(PP_Grid[#Data],$DD564,14),0)</f>
        <v/>
      </c>
      <c r="Q564">
        <f>IFERROR(INDEX(PP_Grid[#Data],$DD564,15),0)</f>
        <v/>
      </c>
      <c r="R564">
        <f>IFERROR(INDEX(PP_Grid[#Data],$DD564,16),0)</f>
        <v/>
      </c>
      <c r="S564">
        <f>IFERROR(INDEX(PP_Grid[#Data],$DD564,17),0)</f>
        <v/>
      </c>
      <c r="T564">
        <f>IFERROR(INDEX(PP_Grid[#Data],$DD564,18),0)</f>
        <v/>
      </c>
      <c r="U564">
        <f>IFERROR(INDEX(PP_Grid[#Data],$DD564,19),0)</f>
        <v/>
      </c>
      <c r="V564">
        <f>IFERROR(INDEX(PP_Grid[#Data],$DD564,20),0)</f>
        <v/>
      </c>
      <c r="W564">
        <f>IFERROR(INDEX(PP_Grid[#Data],$DD564,21),0)</f>
        <v/>
      </c>
      <c r="X564">
        <f>IFERROR(INDEX(PP_Grid[#Data],$DD564,22),0)</f>
        <v/>
      </c>
      <c r="Y564">
        <f>IFERROR(INDEX(PP_Grid[#Data],$DD564,23),0)</f>
        <v/>
      </c>
      <c r="Z564">
        <f>IFERROR(INDEX(PP_Grid[#Data],$DD564,24),0)</f>
        <v/>
      </c>
      <c r="AA564">
        <f>IFERROR(INDEX(PP_Grid[#Data],$DD564,25),0)</f>
        <v/>
      </c>
      <c r="AB564">
        <f>IFERROR(INDEX(PP_Grid[#Data],$DD564,26),0)</f>
        <v/>
      </c>
      <c r="AC564">
        <f>IFERROR(INDEX(PP_Grid[#Data],$DD564,27),0)</f>
        <v/>
      </c>
      <c r="AD564">
        <f>IFERROR(INDEX(PP_Grid[#Data],$DD564,28),0)</f>
        <v/>
      </c>
      <c r="AE564">
        <f>IFERROR(INDEX(PP_Grid[#Data],$DD564,29),0)</f>
        <v/>
      </c>
      <c r="AF564">
        <f>IFERROR(INDEX(PP_Grid[#Data],$DD564,30),0)</f>
        <v/>
      </c>
      <c r="AG564">
        <f>IFERROR(INDEX(PP_Grid[#Data],$DD564,31),0)</f>
        <v/>
      </c>
      <c r="AH564">
        <f>IFERROR(INDEX(PP_Grid[#Data],$DD564,32),0)</f>
        <v/>
      </c>
      <c r="AI564">
        <f>IFERROR(INDEX(PP_Grid[#Data],$DD564,33),0)</f>
        <v/>
      </c>
      <c r="AJ564">
        <f>IFERROR(INDEX(PP_Grid[#Data],$DD564,34),0)</f>
        <v/>
      </c>
      <c r="AK564">
        <f>IFERROR(INDEX(PP_Grid[#Data],$DD564,35),0)</f>
        <v/>
      </c>
      <c r="AL564">
        <f>IFERROR(INDEX(PP_Grid[#Data],$DD564,36),0)</f>
        <v/>
      </c>
      <c r="AM564">
        <f>IFERROR(INDEX(PP_Grid[#Data],$DD564,37),0)</f>
        <v/>
      </c>
      <c r="AN564">
        <f>IFERROR(INDEX(PP_Grid[#Data],$DD564,38),0)</f>
        <v/>
      </c>
      <c r="AO564">
        <f>IFERROR(INDEX(PP_Grid[#Data],$DD564,39),0)</f>
        <v/>
      </c>
      <c r="AP564">
        <f>IFERROR(INDEX(PP_Grid[#Data],$DD564,40),0)</f>
        <v/>
      </c>
      <c r="AQ564">
        <f>IFERROR(INDEX(PP_Grid[#Data],$DD564,41),0)</f>
        <v/>
      </c>
      <c r="AR564">
        <f>IFERROR(INDEX(PP_Grid[#Data],$DD564,42),0)</f>
        <v/>
      </c>
      <c r="AS564">
        <f>IFERROR(INDEX(PP_Grid[#Data],$DD564,43),0)</f>
        <v/>
      </c>
      <c r="AT564">
        <f>IFERROR(INDEX(PP_Grid[#Data],$DD564,44),0)</f>
        <v/>
      </c>
      <c r="AU564">
        <f>IFERROR(INDEX(PP_Grid[#Data],$DD564,45),0)</f>
        <v/>
      </c>
      <c r="AV564">
        <f>IFERROR(INDEX(PP_Grid[#Data],$DD564,46),0)</f>
        <v/>
      </c>
      <c r="AW564">
        <f>IFERROR(INDEX(PP_Grid[#Data],$DD564,47),0)</f>
        <v/>
      </c>
      <c r="AX564">
        <f>IFERROR(INDEX(PP_Grid[#Data],$DD564,48),0)</f>
        <v/>
      </c>
      <c r="AY564">
        <f>IFERROR(INDEX(PP_Grid[#Data],$DD564,49),0)</f>
        <v/>
      </c>
      <c r="AZ564">
        <f>IFERROR(INDEX(PP_Grid[#Data],$DD564,50),0)</f>
        <v/>
      </c>
      <c r="BA564">
        <f>IFERROR(INDEX(PP_Grid[#Data],$DD564,51),0)</f>
        <v/>
      </c>
      <c r="BB564">
        <f>IFERROR(INDEX(PP_Grid[#Data],$DD564,52),0)</f>
        <v/>
      </c>
      <c r="BC564">
        <f>IFERROR(INDEX(PP_Grid[#Data],$DD564,53),0)</f>
        <v/>
      </c>
      <c r="BD564">
        <f>IFERROR(INDEX(PP_Grid[#Data],$DD564,54),0)</f>
        <v/>
      </c>
      <c r="BE564">
        <f>IFERROR(INDEX(PP_Grid[#Data],$DD564,55),0)</f>
        <v/>
      </c>
      <c r="BF564">
        <f>IFERROR(INDEX(PP_Grid[#Data],$DD564,56),0)</f>
        <v/>
      </c>
      <c r="BG564">
        <f>IFERROR(INDEX(PP_Grid[#Data],$DD564,57),0)</f>
        <v/>
      </c>
      <c r="BH564">
        <f>IFERROR(INDEX(PP_Grid[#Data],$DD564,58),0)</f>
        <v/>
      </c>
      <c r="BI564">
        <f>IFERROR(INDEX(PP_Grid[#Data],$DD564,59),0)</f>
        <v/>
      </c>
      <c r="BJ564">
        <f>IFERROR(INDEX(PP_Grid[#Data],$DD564,60),0)</f>
        <v/>
      </c>
      <c r="BK564">
        <f>IFERROR(INDEX(PP_Grid[#Data],$DD564,61),0)</f>
        <v/>
      </c>
      <c r="BL564">
        <f>IFERROR(INDEX(PP_Grid[#Data],$DD564,62),0)</f>
        <v/>
      </c>
      <c r="BM564">
        <f>IFERROR(INDEX(PP_Grid[#Data],$DD564,63),0)</f>
        <v/>
      </c>
      <c r="BN564">
        <f>IFERROR(INDEX(PP_Grid[#Data],$DD564,64),0)</f>
        <v/>
      </c>
      <c r="BO564">
        <f>IFERROR(INDEX(PP_Grid[#Data],$DD564,65),0)</f>
        <v/>
      </c>
      <c r="BP564">
        <f>IFERROR(INDEX(PP_Grid[#Data],$DD564,66),0)</f>
        <v/>
      </c>
      <c r="BQ564">
        <f>IFERROR(INDEX(PP_Grid[#Data],$DD564,67),0)</f>
        <v/>
      </c>
      <c r="BR564">
        <f>IFERROR(INDEX(PP_Grid[#Data],$DD564,68),0)</f>
        <v/>
      </c>
      <c r="BS564">
        <f>IFERROR(INDEX(PP_Grid[#Data],$DD564,69),0)</f>
        <v/>
      </c>
      <c r="BT564">
        <f>IFERROR(INDEX(PP_Grid[#Data],$DD564,70),0)</f>
        <v/>
      </c>
      <c r="BU564">
        <f>IFERROR(INDEX(PP_Grid[#Data],$DD564,71),0)</f>
        <v/>
      </c>
      <c r="BV564">
        <f>IFERROR(INDEX(PP_Grid[#Data],$DD564,72),0)</f>
        <v/>
      </c>
      <c r="BW564">
        <f>IFERROR(INDEX(PP_Grid[#Data],$DD564,73),0)</f>
        <v/>
      </c>
      <c r="BX564">
        <f>IFERROR(INDEX(PP_Grid[#Data],$DD564,74),0)</f>
        <v/>
      </c>
      <c r="BY564">
        <f>IFERROR(INDEX(PP_Grid[#Data],$DD564,75),0)</f>
        <v/>
      </c>
      <c r="BZ564">
        <f>IFERROR(INDEX(PP_Grid[#Data],$DD564,76),0)</f>
        <v/>
      </c>
      <c r="CA564">
        <f>IFERROR(INDEX(PP_Grid[#Data],$DD564,77),0)</f>
        <v/>
      </c>
      <c r="CB564">
        <f>IFERROR(INDEX(PP_Grid[#Data],$DD564,78),0)</f>
        <v/>
      </c>
      <c r="CC564">
        <f>IFERROR(INDEX(PP_Grid[#Data],$DD564,79),0)</f>
        <v/>
      </c>
      <c r="CD564">
        <f>IFERROR(INDEX(PP_Grid[#Data],$DD564,80),0)</f>
        <v/>
      </c>
      <c r="CE564">
        <f>IFERROR(INDEX(PP_Grid[#Data],$DD564,81),0)</f>
        <v/>
      </c>
      <c r="CF564">
        <f>IFERROR(INDEX(PP_Grid[#Data],$DD564,82),0)</f>
        <v/>
      </c>
      <c r="CG564">
        <f>IFERROR(INDEX(PP_Grid[#Data],$DD564,83),0)</f>
        <v/>
      </c>
      <c r="CH564">
        <f>IFERROR(INDEX(PP_Grid[#Data],$DD564,84),0)</f>
        <v/>
      </c>
      <c r="CI564">
        <f>IFERROR(INDEX(PP_Grid[#Data],$DD564,85),0)</f>
        <v/>
      </c>
      <c r="CJ564">
        <f>IFERROR(INDEX(PP_Grid[#Data],$DD564,86),0)</f>
        <v/>
      </c>
      <c r="CK564">
        <f>IFERROR(INDEX(PP_Grid[#Data],$DD564,87),0)</f>
        <v/>
      </c>
      <c r="CL564">
        <f>IFERROR(INDEX(PP_Grid[#Data],$DD564,88),0)</f>
        <v/>
      </c>
      <c r="CM564">
        <f>IFERROR(INDEX(PP_Grid[#Data],$DD564,89),0)</f>
        <v/>
      </c>
      <c r="CN564">
        <f>IFERROR(INDEX(PP_Grid[#Data],$DD564,90),0)</f>
        <v/>
      </c>
      <c r="CO564">
        <f>IFERROR(INDEX(PP_Grid[#Data],$DD564,91),0)</f>
        <v/>
      </c>
      <c r="CP564">
        <f>IFERROR(INDEX(PP_Grid[#Data],$DD564,92),0)</f>
        <v/>
      </c>
      <c r="CQ564">
        <f>IFERROR(INDEX(PP_Grid[#Data],$DD564,93),0)</f>
        <v/>
      </c>
      <c r="CR564">
        <f>IFERROR(INDEX(PP_Grid[#Data],$DD564,94),0)</f>
        <v/>
      </c>
      <c r="CS564">
        <f>IFERROR(INDEX(PP_Grid[#Data],$DD564,95),0)</f>
        <v/>
      </c>
      <c r="CT564">
        <f>IFERROR(INDEX(PP_Grid[#Data],$DD564,96),0)</f>
        <v/>
      </c>
      <c r="CU564">
        <f>IFERROR(INDEX(PP_Grid[#Data],$DD564,97),0)</f>
        <v/>
      </c>
      <c r="CV564">
        <f>IFERROR(INDEX(PP_Grid[#Data],$DD564,98),0)</f>
        <v/>
      </c>
      <c r="CW564">
        <f>IFERROR(INDEX(PP_Grid[#Data],$DD564,99),0)</f>
        <v/>
      </c>
      <c r="CX564">
        <f>IFERROR(INDEX(PP_Grid[#Data],$DD564,100),0)</f>
        <v/>
      </c>
      <c r="CY564">
        <f>IFERROR(INDEX(PP_Grid[#Data],$DD564,101),0)</f>
        <v/>
      </c>
      <c r="CZ564">
        <f>IFERROR(INDEX(PP_Grid[#Data],$DD564,102),0)</f>
        <v/>
      </c>
      <c r="DA564">
        <f>IFERROR(INDEX(PP_Grid[#Data],$DD564,103),0)</f>
        <v/>
      </c>
      <c r="DB564">
        <f>IFERROR(INDEX(PP_Grid[#Data],$DD564,104),0)</f>
        <v/>
      </c>
      <c r="DC564">
        <f>IFERROR(INDEX(PP_Grid[#Data],$DD564,105),0)</f>
        <v/>
      </c>
      <c r="DD564" s="7">
        <f>IFERROR(MATCH($B564,PP_Grid[Intermediate],0),99999)</f>
        <v/>
      </c>
    </row>
    <row r="565">
      <c r="B565" t="inlineStr">
        <is>
          <t>使用量(kg)</t>
        </is>
      </c>
      <c r="C565">
        <f>SUMIFS(M_BOM[RM_Qty_Per_Batch],M_BOM[Intermediate],$B564,M_BOM[Part Name],$A547)</f>
        <v/>
      </c>
      <c r="D565">
        <f>$C565*D564</f>
        <v/>
      </c>
      <c r="E565">
        <f>$C565*E564</f>
        <v/>
      </c>
      <c r="F565">
        <f>$C565*F564</f>
        <v/>
      </c>
      <c r="G565">
        <f>$C565*G564</f>
        <v/>
      </c>
      <c r="H565">
        <f>$C565*H564</f>
        <v/>
      </c>
      <c r="I565">
        <f>$C565*I564</f>
        <v/>
      </c>
      <c r="J565">
        <f>$C565*J564</f>
        <v/>
      </c>
      <c r="K565">
        <f>$C565*K564</f>
        <v/>
      </c>
      <c r="L565">
        <f>$C565*L564</f>
        <v/>
      </c>
      <c r="M565">
        <f>$C565*M564</f>
        <v/>
      </c>
      <c r="N565">
        <f>$C565*N564</f>
        <v/>
      </c>
      <c r="O565">
        <f>$C565*O564</f>
        <v/>
      </c>
      <c r="P565">
        <f>$C565*P564</f>
        <v/>
      </c>
      <c r="Q565">
        <f>$C565*Q564</f>
        <v/>
      </c>
      <c r="R565">
        <f>$C565*R564</f>
        <v/>
      </c>
      <c r="S565">
        <f>$C565*S564</f>
        <v/>
      </c>
      <c r="T565">
        <f>$C565*T564</f>
        <v/>
      </c>
      <c r="U565">
        <f>$C565*U564</f>
        <v/>
      </c>
      <c r="V565">
        <f>$C565*V564</f>
        <v/>
      </c>
      <c r="W565">
        <f>$C565*W564</f>
        <v/>
      </c>
      <c r="X565">
        <f>$C565*X564</f>
        <v/>
      </c>
      <c r="Y565">
        <f>$C565*Y564</f>
        <v/>
      </c>
      <c r="Z565">
        <f>$C565*Z564</f>
        <v/>
      </c>
      <c r="AA565">
        <f>$C565*AA564</f>
        <v/>
      </c>
      <c r="AB565">
        <f>$C565*AB564</f>
        <v/>
      </c>
      <c r="AC565">
        <f>$C565*AC564</f>
        <v/>
      </c>
      <c r="AD565">
        <f>$C565*AD564</f>
        <v/>
      </c>
      <c r="AE565">
        <f>$C565*AE564</f>
        <v/>
      </c>
      <c r="AF565">
        <f>$C565*AF564</f>
        <v/>
      </c>
      <c r="AG565">
        <f>$C565*AG564</f>
        <v/>
      </c>
      <c r="AH565">
        <f>$C565*AH564</f>
        <v/>
      </c>
      <c r="AI565">
        <f>$C565*AI564</f>
        <v/>
      </c>
      <c r="AJ565">
        <f>$C565*AJ564</f>
        <v/>
      </c>
      <c r="AK565">
        <f>$C565*AK564</f>
        <v/>
      </c>
      <c r="AL565">
        <f>$C565*AL564</f>
        <v/>
      </c>
      <c r="AM565">
        <f>$C565*AM564</f>
        <v/>
      </c>
      <c r="AN565">
        <f>$C565*AN564</f>
        <v/>
      </c>
      <c r="AO565">
        <f>$C565*AO564</f>
        <v/>
      </c>
      <c r="AP565">
        <f>$C565*AP564</f>
        <v/>
      </c>
      <c r="AQ565">
        <f>$C565*AQ564</f>
        <v/>
      </c>
      <c r="AR565">
        <f>$C565*AR564</f>
        <v/>
      </c>
      <c r="AS565">
        <f>$C565*AS564</f>
        <v/>
      </c>
      <c r="AT565">
        <f>$C565*AT564</f>
        <v/>
      </c>
      <c r="AU565">
        <f>$C565*AU564</f>
        <v/>
      </c>
      <c r="AV565">
        <f>$C565*AV564</f>
        <v/>
      </c>
      <c r="AW565">
        <f>$C565*AW564</f>
        <v/>
      </c>
      <c r="AX565">
        <f>$C565*AX564</f>
        <v/>
      </c>
      <c r="AY565">
        <f>$C565*AY564</f>
        <v/>
      </c>
      <c r="AZ565">
        <f>$C565*AZ564</f>
        <v/>
      </c>
      <c r="BA565">
        <f>$C565*BA564</f>
        <v/>
      </c>
      <c r="BB565">
        <f>$C565*BB564</f>
        <v/>
      </c>
      <c r="BC565">
        <f>$C565*BC564</f>
        <v/>
      </c>
      <c r="BD565">
        <f>$C565*BD564</f>
        <v/>
      </c>
      <c r="BE565">
        <f>$C565*BE564</f>
        <v/>
      </c>
      <c r="BF565">
        <f>$C565*BF564</f>
        <v/>
      </c>
      <c r="BG565">
        <f>$C565*BG564</f>
        <v/>
      </c>
      <c r="BH565">
        <f>$C565*BH564</f>
        <v/>
      </c>
      <c r="BI565">
        <f>$C565*BI564</f>
        <v/>
      </c>
      <c r="BJ565">
        <f>$C565*BJ564</f>
        <v/>
      </c>
      <c r="BK565">
        <f>$C565*BK564</f>
        <v/>
      </c>
      <c r="BL565">
        <f>$C565*BL564</f>
        <v/>
      </c>
      <c r="BM565">
        <f>$C565*BM564</f>
        <v/>
      </c>
      <c r="BN565">
        <f>$C565*BN564</f>
        <v/>
      </c>
      <c r="BO565">
        <f>$C565*BO564</f>
        <v/>
      </c>
      <c r="BP565">
        <f>$C565*BP564</f>
        <v/>
      </c>
      <c r="BQ565">
        <f>$C565*BQ564</f>
        <v/>
      </c>
      <c r="BR565">
        <f>$C565*BR564</f>
        <v/>
      </c>
      <c r="BS565">
        <f>$C565*BS564</f>
        <v/>
      </c>
      <c r="BT565">
        <f>$C565*BT564</f>
        <v/>
      </c>
      <c r="BU565">
        <f>$C565*BU564</f>
        <v/>
      </c>
      <c r="BV565">
        <f>$C565*BV564</f>
        <v/>
      </c>
      <c r="BW565">
        <f>$C565*BW564</f>
        <v/>
      </c>
      <c r="BX565">
        <f>$C565*BX564</f>
        <v/>
      </c>
      <c r="BY565">
        <f>$C565*BY564</f>
        <v/>
      </c>
      <c r="BZ565">
        <f>$C565*BZ564</f>
        <v/>
      </c>
      <c r="CA565">
        <f>$C565*CA564</f>
        <v/>
      </c>
      <c r="CB565">
        <f>$C565*CB564</f>
        <v/>
      </c>
      <c r="CC565">
        <f>$C565*CC564</f>
        <v/>
      </c>
      <c r="CD565">
        <f>$C565*CD564</f>
        <v/>
      </c>
      <c r="CE565">
        <f>$C565*CE564</f>
        <v/>
      </c>
      <c r="CF565">
        <f>$C565*CF564</f>
        <v/>
      </c>
      <c r="CG565">
        <f>$C565*CG564</f>
        <v/>
      </c>
      <c r="CH565">
        <f>$C565*CH564</f>
        <v/>
      </c>
      <c r="CI565">
        <f>$C565*CI564</f>
        <v/>
      </c>
      <c r="CJ565">
        <f>$C565*CJ564</f>
        <v/>
      </c>
      <c r="CK565">
        <f>$C565*CK564</f>
        <v/>
      </c>
      <c r="CL565">
        <f>$C565*CL564</f>
        <v/>
      </c>
      <c r="CM565">
        <f>$C565*CM564</f>
        <v/>
      </c>
      <c r="CN565">
        <f>$C565*CN564</f>
        <v/>
      </c>
      <c r="CO565">
        <f>$C565*CO564</f>
        <v/>
      </c>
      <c r="CP565">
        <f>$C565*CP564</f>
        <v/>
      </c>
      <c r="CQ565">
        <f>$C565*CQ564</f>
        <v/>
      </c>
      <c r="CR565">
        <f>$C565*CR564</f>
        <v/>
      </c>
      <c r="CS565">
        <f>$C565*CS564</f>
        <v/>
      </c>
      <c r="CT565">
        <f>$C565*CT564</f>
        <v/>
      </c>
      <c r="CU565">
        <f>$C565*CU564</f>
        <v/>
      </c>
      <c r="CV565">
        <f>$C565*CV564</f>
        <v/>
      </c>
      <c r="CW565">
        <f>$C565*CW564</f>
        <v/>
      </c>
      <c r="CX565">
        <f>$C565*CX564</f>
        <v/>
      </c>
      <c r="CY565">
        <f>$C565*CY564</f>
        <v/>
      </c>
      <c r="CZ565">
        <f>$C565*CZ564</f>
        <v/>
      </c>
      <c r="DA565">
        <f>$C565*DA564</f>
        <v/>
      </c>
      <c r="DB565">
        <f>$C565*DB564</f>
        <v/>
      </c>
      <c r="DC565">
        <f>$C565*DC564</f>
        <v/>
      </c>
    </row>
    <row r="566">
      <c r="B566" t="inlineStr">
        <is>
          <t>VSP-989</t>
        </is>
      </c>
      <c r="C566" t="inlineStr">
        <is>
          <t>No. of batches</t>
        </is>
      </c>
      <c r="D566">
        <f>IFERROR(INDEX(PP_Grid[#Data],$DD566,2),0)</f>
        <v/>
      </c>
      <c r="E566">
        <f>IFERROR(INDEX(PP_Grid[#Data],$DD566,3),0)</f>
        <v/>
      </c>
      <c r="F566">
        <f>IFERROR(INDEX(PP_Grid[#Data],$DD566,4),0)</f>
        <v/>
      </c>
      <c r="G566">
        <f>IFERROR(INDEX(PP_Grid[#Data],$DD566,5),0)</f>
        <v/>
      </c>
      <c r="H566">
        <f>IFERROR(INDEX(PP_Grid[#Data],$DD566,6),0)</f>
        <v/>
      </c>
      <c r="I566">
        <f>IFERROR(INDEX(PP_Grid[#Data],$DD566,7),0)</f>
        <v/>
      </c>
      <c r="J566">
        <f>IFERROR(INDEX(PP_Grid[#Data],$DD566,8),0)</f>
        <v/>
      </c>
      <c r="K566">
        <f>IFERROR(INDEX(PP_Grid[#Data],$DD566,9),0)</f>
        <v/>
      </c>
      <c r="L566">
        <f>IFERROR(INDEX(PP_Grid[#Data],$DD566,10),0)</f>
        <v/>
      </c>
      <c r="M566">
        <f>IFERROR(INDEX(PP_Grid[#Data],$DD566,11),0)</f>
        <v/>
      </c>
      <c r="N566">
        <f>IFERROR(INDEX(PP_Grid[#Data],$DD566,12),0)</f>
        <v/>
      </c>
      <c r="O566">
        <f>IFERROR(INDEX(PP_Grid[#Data],$DD566,13),0)</f>
        <v/>
      </c>
      <c r="P566">
        <f>IFERROR(INDEX(PP_Grid[#Data],$DD566,14),0)</f>
        <v/>
      </c>
      <c r="Q566">
        <f>IFERROR(INDEX(PP_Grid[#Data],$DD566,15),0)</f>
        <v/>
      </c>
      <c r="R566">
        <f>IFERROR(INDEX(PP_Grid[#Data],$DD566,16),0)</f>
        <v/>
      </c>
      <c r="S566">
        <f>IFERROR(INDEX(PP_Grid[#Data],$DD566,17),0)</f>
        <v/>
      </c>
      <c r="T566">
        <f>IFERROR(INDEX(PP_Grid[#Data],$DD566,18),0)</f>
        <v/>
      </c>
      <c r="U566">
        <f>IFERROR(INDEX(PP_Grid[#Data],$DD566,19),0)</f>
        <v/>
      </c>
      <c r="V566">
        <f>IFERROR(INDEX(PP_Grid[#Data],$DD566,20),0)</f>
        <v/>
      </c>
      <c r="W566">
        <f>IFERROR(INDEX(PP_Grid[#Data],$DD566,21),0)</f>
        <v/>
      </c>
      <c r="X566">
        <f>IFERROR(INDEX(PP_Grid[#Data],$DD566,22),0)</f>
        <v/>
      </c>
      <c r="Y566">
        <f>IFERROR(INDEX(PP_Grid[#Data],$DD566,23),0)</f>
        <v/>
      </c>
      <c r="Z566">
        <f>IFERROR(INDEX(PP_Grid[#Data],$DD566,24),0)</f>
        <v/>
      </c>
      <c r="AA566">
        <f>IFERROR(INDEX(PP_Grid[#Data],$DD566,25),0)</f>
        <v/>
      </c>
      <c r="AB566">
        <f>IFERROR(INDEX(PP_Grid[#Data],$DD566,26),0)</f>
        <v/>
      </c>
      <c r="AC566">
        <f>IFERROR(INDEX(PP_Grid[#Data],$DD566,27),0)</f>
        <v/>
      </c>
      <c r="AD566">
        <f>IFERROR(INDEX(PP_Grid[#Data],$DD566,28),0)</f>
        <v/>
      </c>
      <c r="AE566">
        <f>IFERROR(INDEX(PP_Grid[#Data],$DD566,29),0)</f>
        <v/>
      </c>
      <c r="AF566">
        <f>IFERROR(INDEX(PP_Grid[#Data],$DD566,30),0)</f>
        <v/>
      </c>
      <c r="AG566">
        <f>IFERROR(INDEX(PP_Grid[#Data],$DD566,31),0)</f>
        <v/>
      </c>
      <c r="AH566">
        <f>IFERROR(INDEX(PP_Grid[#Data],$DD566,32),0)</f>
        <v/>
      </c>
      <c r="AI566">
        <f>IFERROR(INDEX(PP_Grid[#Data],$DD566,33),0)</f>
        <v/>
      </c>
      <c r="AJ566">
        <f>IFERROR(INDEX(PP_Grid[#Data],$DD566,34),0)</f>
        <v/>
      </c>
      <c r="AK566">
        <f>IFERROR(INDEX(PP_Grid[#Data],$DD566,35),0)</f>
        <v/>
      </c>
      <c r="AL566">
        <f>IFERROR(INDEX(PP_Grid[#Data],$DD566,36),0)</f>
        <v/>
      </c>
      <c r="AM566">
        <f>IFERROR(INDEX(PP_Grid[#Data],$DD566,37),0)</f>
        <v/>
      </c>
      <c r="AN566">
        <f>IFERROR(INDEX(PP_Grid[#Data],$DD566,38),0)</f>
        <v/>
      </c>
      <c r="AO566">
        <f>IFERROR(INDEX(PP_Grid[#Data],$DD566,39),0)</f>
        <v/>
      </c>
      <c r="AP566">
        <f>IFERROR(INDEX(PP_Grid[#Data],$DD566,40),0)</f>
        <v/>
      </c>
      <c r="AQ566">
        <f>IFERROR(INDEX(PP_Grid[#Data],$DD566,41),0)</f>
        <v/>
      </c>
      <c r="AR566">
        <f>IFERROR(INDEX(PP_Grid[#Data],$DD566,42),0)</f>
        <v/>
      </c>
      <c r="AS566">
        <f>IFERROR(INDEX(PP_Grid[#Data],$DD566,43),0)</f>
        <v/>
      </c>
      <c r="AT566">
        <f>IFERROR(INDEX(PP_Grid[#Data],$DD566,44),0)</f>
        <v/>
      </c>
      <c r="AU566">
        <f>IFERROR(INDEX(PP_Grid[#Data],$DD566,45),0)</f>
        <v/>
      </c>
      <c r="AV566">
        <f>IFERROR(INDEX(PP_Grid[#Data],$DD566,46),0)</f>
        <v/>
      </c>
      <c r="AW566">
        <f>IFERROR(INDEX(PP_Grid[#Data],$DD566,47),0)</f>
        <v/>
      </c>
      <c r="AX566">
        <f>IFERROR(INDEX(PP_Grid[#Data],$DD566,48),0)</f>
        <v/>
      </c>
      <c r="AY566">
        <f>IFERROR(INDEX(PP_Grid[#Data],$DD566,49),0)</f>
        <v/>
      </c>
      <c r="AZ566">
        <f>IFERROR(INDEX(PP_Grid[#Data],$DD566,50),0)</f>
        <v/>
      </c>
      <c r="BA566">
        <f>IFERROR(INDEX(PP_Grid[#Data],$DD566,51),0)</f>
        <v/>
      </c>
      <c r="BB566">
        <f>IFERROR(INDEX(PP_Grid[#Data],$DD566,52),0)</f>
        <v/>
      </c>
      <c r="BC566">
        <f>IFERROR(INDEX(PP_Grid[#Data],$DD566,53),0)</f>
        <v/>
      </c>
      <c r="BD566">
        <f>IFERROR(INDEX(PP_Grid[#Data],$DD566,54),0)</f>
        <v/>
      </c>
      <c r="BE566">
        <f>IFERROR(INDEX(PP_Grid[#Data],$DD566,55),0)</f>
        <v/>
      </c>
      <c r="BF566">
        <f>IFERROR(INDEX(PP_Grid[#Data],$DD566,56),0)</f>
        <v/>
      </c>
      <c r="BG566">
        <f>IFERROR(INDEX(PP_Grid[#Data],$DD566,57),0)</f>
        <v/>
      </c>
      <c r="BH566">
        <f>IFERROR(INDEX(PP_Grid[#Data],$DD566,58),0)</f>
        <v/>
      </c>
      <c r="BI566">
        <f>IFERROR(INDEX(PP_Grid[#Data],$DD566,59),0)</f>
        <v/>
      </c>
      <c r="BJ566">
        <f>IFERROR(INDEX(PP_Grid[#Data],$DD566,60),0)</f>
        <v/>
      </c>
      <c r="BK566">
        <f>IFERROR(INDEX(PP_Grid[#Data],$DD566,61),0)</f>
        <v/>
      </c>
      <c r="BL566">
        <f>IFERROR(INDEX(PP_Grid[#Data],$DD566,62),0)</f>
        <v/>
      </c>
      <c r="BM566">
        <f>IFERROR(INDEX(PP_Grid[#Data],$DD566,63),0)</f>
        <v/>
      </c>
      <c r="BN566">
        <f>IFERROR(INDEX(PP_Grid[#Data],$DD566,64),0)</f>
        <v/>
      </c>
      <c r="BO566">
        <f>IFERROR(INDEX(PP_Grid[#Data],$DD566,65),0)</f>
        <v/>
      </c>
      <c r="BP566">
        <f>IFERROR(INDEX(PP_Grid[#Data],$DD566,66),0)</f>
        <v/>
      </c>
      <c r="BQ566">
        <f>IFERROR(INDEX(PP_Grid[#Data],$DD566,67),0)</f>
        <v/>
      </c>
      <c r="BR566">
        <f>IFERROR(INDEX(PP_Grid[#Data],$DD566,68),0)</f>
        <v/>
      </c>
      <c r="BS566">
        <f>IFERROR(INDEX(PP_Grid[#Data],$DD566,69),0)</f>
        <v/>
      </c>
      <c r="BT566">
        <f>IFERROR(INDEX(PP_Grid[#Data],$DD566,70),0)</f>
        <v/>
      </c>
      <c r="BU566">
        <f>IFERROR(INDEX(PP_Grid[#Data],$DD566,71),0)</f>
        <v/>
      </c>
      <c r="BV566">
        <f>IFERROR(INDEX(PP_Grid[#Data],$DD566,72),0)</f>
        <v/>
      </c>
      <c r="BW566">
        <f>IFERROR(INDEX(PP_Grid[#Data],$DD566,73),0)</f>
        <v/>
      </c>
      <c r="BX566">
        <f>IFERROR(INDEX(PP_Grid[#Data],$DD566,74),0)</f>
        <v/>
      </c>
      <c r="BY566">
        <f>IFERROR(INDEX(PP_Grid[#Data],$DD566,75),0)</f>
        <v/>
      </c>
      <c r="BZ566">
        <f>IFERROR(INDEX(PP_Grid[#Data],$DD566,76),0)</f>
        <v/>
      </c>
      <c r="CA566">
        <f>IFERROR(INDEX(PP_Grid[#Data],$DD566,77),0)</f>
        <v/>
      </c>
      <c r="CB566">
        <f>IFERROR(INDEX(PP_Grid[#Data],$DD566,78),0)</f>
        <v/>
      </c>
      <c r="CC566">
        <f>IFERROR(INDEX(PP_Grid[#Data],$DD566,79),0)</f>
        <v/>
      </c>
      <c r="CD566">
        <f>IFERROR(INDEX(PP_Grid[#Data],$DD566,80),0)</f>
        <v/>
      </c>
      <c r="CE566">
        <f>IFERROR(INDEX(PP_Grid[#Data],$DD566,81),0)</f>
        <v/>
      </c>
      <c r="CF566">
        <f>IFERROR(INDEX(PP_Grid[#Data],$DD566,82),0)</f>
        <v/>
      </c>
      <c r="CG566">
        <f>IFERROR(INDEX(PP_Grid[#Data],$DD566,83),0)</f>
        <v/>
      </c>
      <c r="CH566">
        <f>IFERROR(INDEX(PP_Grid[#Data],$DD566,84),0)</f>
        <v/>
      </c>
      <c r="CI566">
        <f>IFERROR(INDEX(PP_Grid[#Data],$DD566,85),0)</f>
        <v/>
      </c>
      <c r="CJ566">
        <f>IFERROR(INDEX(PP_Grid[#Data],$DD566,86),0)</f>
        <v/>
      </c>
      <c r="CK566">
        <f>IFERROR(INDEX(PP_Grid[#Data],$DD566,87),0)</f>
        <v/>
      </c>
      <c r="CL566">
        <f>IFERROR(INDEX(PP_Grid[#Data],$DD566,88),0)</f>
        <v/>
      </c>
      <c r="CM566">
        <f>IFERROR(INDEX(PP_Grid[#Data],$DD566,89),0)</f>
        <v/>
      </c>
      <c r="CN566">
        <f>IFERROR(INDEX(PP_Grid[#Data],$DD566,90),0)</f>
        <v/>
      </c>
      <c r="CO566">
        <f>IFERROR(INDEX(PP_Grid[#Data],$DD566,91),0)</f>
        <v/>
      </c>
      <c r="CP566">
        <f>IFERROR(INDEX(PP_Grid[#Data],$DD566,92),0)</f>
        <v/>
      </c>
      <c r="CQ566">
        <f>IFERROR(INDEX(PP_Grid[#Data],$DD566,93),0)</f>
        <v/>
      </c>
      <c r="CR566">
        <f>IFERROR(INDEX(PP_Grid[#Data],$DD566,94),0)</f>
        <v/>
      </c>
      <c r="CS566">
        <f>IFERROR(INDEX(PP_Grid[#Data],$DD566,95),0)</f>
        <v/>
      </c>
      <c r="CT566">
        <f>IFERROR(INDEX(PP_Grid[#Data],$DD566,96),0)</f>
        <v/>
      </c>
      <c r="CU566">
        <f>IFERROR(INDEX(PP_Grid[#Data],$DD566,97),0)</f>
        <v/>
      </c>
      <c r="CV566">
        <f>IFERROR(INDEX(PP_Grid[#Data],$DD566,98),0)</f>
        <v/>
      </c>
      <c r="CW566">
        <f>IFERROR(INDEX(PP_Grid[#Data],$DD566,99),0)</f>
        <v/>
      </c>
      <c r="CX566">
        <f>IFERROR(INDEX(PP_Grid[#Data],$DD566,100),0)</f>
        <v/>
      </c>
      <c r="CY566">
        <f>IFERROR(INDEX(PP_Grid[#Data],$DD566,101),0)</f>
        <v/>
      </c>
      <c r="CZ566">
        <f>IFERROR(INDEX(PP_Grid[#Data],$DD566,102),0)</f>
        <v/>
      </c>
      <c r="DA566">
        <f>IFERROR(INDEX(PP_Grid[#Data],$DD566,103),0)</f>
        <v/>
      </c>
      <c r="DB566">
        <f>IFERROR(INDEX(PP_Grid[#Data],$DD566,104),0)</f>
        <v/>
      </c>
      <c r="DC566">
        <f>IFERROR(INDEX(PP_Grid[#Data],$DD566,105),0)</f>
        <v/>
      </c>
      <c r="DD566" s="7">
        <f>IFERROR(MATCH($B566,PP_Grid[Intermediate],0),99999)</f>
        <v/>
      </c>
    </row>
    <row r="567">
      <c r="B567" t="inlineStr">
        <is>
          <t>使用量(kg)</t>
        </is>
      </c>
      <c r="C567">
        <f>SUMIFS(M_BOM[RM_Qty_Per_Batch],M_BOM[Intermediate],$B566,M_BOM[Part Name],$A547)</f>
        <v/>
      </c>
      <c r="D567">
        <f>$C567*D566</f>
        <v/>
      </c>
      <c r="E567">
        <f>$C567*E566</f>
        <v/>
      </c>
      <c r="F567">
        <f>$C567*F566</f>
        <v/>
      </c>
      <c r="G567">
        <f>$C567*G566</f>
        <v/>
      </c>
      <c r="H567">
        <f>$C567*H566</f>
        <v/>
      </c>
      <c r="I567">
        <f>$C567*I566</f>
        <v/>
      </c>
      <c r="J567">
        <f>$C567*J566</f>
        <v/>
      </c>
      <c r="K567">
        <f>$C567*K566</f>
        <v/>
      </c>
      <c r="L567">
        <f>$C567*L566</f>
        <v/>
      </c>
      <c r="M567">
        <f>$C567*M566</f>
        <v/>
      </c>
      <c r="N567">
        <f>$C567*N566</f>
        <v/>
      </c>
      <c r="O567">
        <f>$C567*O566</f>
        <v/>
      </c>
      <c r="P567">
        <f>$C567*P566</f>
        <v/>
      </c>
      <c r="Q567">
        <f>$C567*Q566</f>
        <v/>
      </c>
      <c r="R567">
        <f>$C567*R566</f>
        <v/>
      </c>
      <c r="S567">
        <f>$C567*S566</f>
        <v/>
      </c>
      <c r="T567">
        <f>$C567*T566</f>
        <v/>
      </c>
      <c r="U567">
        <f>$C567*U566</f>
        <v/>
      </c>
      <c r="V567">
        <f>$C567*V566</f>
        <v/>
      </c>
      <c r="W567">
        <f>$C567*W566</f>
        <v/>
      </c>
      <c r="X567">
        <f>$C567*X566</f>
        <v/>
      </c>
      <c r="Y567">
        <f>$C567*Y566</f>
        <v/>
      </c>
      <c r="Z567">
        <f>$C567*Z566</f>
        <v/>
      </c>
      <c r="AA567">
        <f>$C567*AA566</f>
        <v/>
      </c>
      <c r="AB567">
        <f>$C567*AB566</f>
        <v/>
      </c>
      <c r="AC567">
        <f>$C567*AC566</f>
        <v/>
      </c>
      <c r="AD567">
        <f>$C567*AD566</f>
        <v/>
      </c>
      <c r="AE567">
        <f>$C567*AE566</f>
        <v/>
      </c>
      <c r="AF567">
        <f>$C567*AF566</f>
        <v/>
      </c>
      <c r="AG567">
        <f>$C567*AG566</f>
        <v/>
      </c>
      <c r="AH567">
        <f>$C567*AH566</f>
        <v/>
      </c>
      <c r="AI567">
        <f>$C567*AI566</f>
        <v/>
      </c>
      <c r="AJ567">
        <f>$C567*AJ566</f>
        <v/>
      </c>
      <c r="AK567">
        <f>$C567*AK566</f>
        <v/>
      </c>
      <c r="AL567">
        <f>$C567*AL566</f>
        <v/>
      </c>
      <c r="AM567">
        <f>$C567*AM566</f>
        <v/>
      </c>
      <c r="AN567">
        <f>$C567*AN566</f>
        <v/>
      </c>
      <c r="AO567">
        <f>$C567*AO566</f>
        <v/>
      </c>
      <c r="AP567">
        <f>$C567*AP566</f>
        <v/>
      </c>
      <c r="AQ567">
        <f>$C567*AQ566</f>
        <v/>
      </c>
      <c r="AR567">
        <f>$C567*AR566</f>
        <v/>
      </c>
      <c r="AS567">
        <f>$C567*AS566</f>
        <v/>
      </c>
      <c r="AT567">
        <f>$C567*AT566</f>
        <v/>
      </c>
      <c r="AU567">
        <f>$C567*AU566</f>
        <v/>
      </c>
      <c r="AV567">
        <f>$C567*AV566</f>
        <v/>
      </c>
      <c r="AW567">
        <f>$C567*AW566</f>
        <v/>
      </c>
      <c r="AX567">
        <f>$C567*AX566</f>
        <v/>
      </c>
      <c r="AY567">
        <f>$C567*AY566</f>
        <v/>
      </c>
      <c r="AZ567">
        <f>$C567*AZ566</f>
        <v/>
      </c>
      <c r="BA567">
        <f>$C567*BA566</f>
        <v/>
      </c>
      <c r="BB567">
        <f>$C567*BB566</f>
        <v/>
      </c>
      <c r="BC567">
        <f>$C567*BC566</f>
        <v/>
      </c>
      <c r="BD567">
        <f>$C567*BD566</f>
        <v/>
      </c>
      <c r="BE567">
        <f>$C567*BE566</f>
        <v/>
      </c>
      <c r="BF567">
        <f>$C567*BF566</f>
        <v/>
      </c>
      <c r="BG567">
        <f>$C567*BG566</f>
        <v/>
      </c>
      <c r="BH567">
        <f>$C567*BH566</f>
        <v/>
      </c>
      <c r="BI567">
        <f>$C567*BI566</f>
        <v/>
      </c>
      <c r="BJ567">
        <f>$C567*BJ566</f>
        <v/>
      </c>
      <c r="BK567">
        <f>$C567*BK566</f>
        <v/>
      </c>
      <c r="BL567">
        <f>$C567*BL566</f>
        <v/>
      </c>
      <c r="BM567">
        <f>$C567*BM566</f>
        <v/>
      </c>
      <c r="BN567">
        <f>$C567*BN566</f>
        <v/>
      </c>
      <c r="BO567">
        <f>$C567*BO566</f>
        <v/>
      </c>
      <c r="BP567">
        <f>$C567*BP566</f>
        <v/>
      </c>
      <c r="BQ567">
        <f>$C567*BQ566</f>
        <v/>
      </c>
      <c r="BR567">
        <f>$C567*BR566</f>
        <v/>
      </c>
      <c r="BS567">
        <f>$C567*BS566</f>
        <v/>
      </c>
      <c r="BT567">
        <f>$C567*BT566</f>
        <v/>
      </c>
      <c r="BU567">
        <f>$C567*BU566</f>
        <v/>
      </c>
      <c r="BV567">
        <f>$C567*BV566</f>
        <v/>
      </c>
      <c r="BW567">
        <f>$C567*BW566</f>
        <v/>
      </c>
      <c r="BX567">
        <f>$C567*BX566</f>
        <v/>
      </c>
      <c r="BY567">
        <f>$C567*BY566</f>
        <v/>
      </c>
      <c r="BZ567">
        <f>$C567*BZ566</f>
        <v/>
      </c>
      <c r="CA567">
        <f>$C567*CA566</f>
        <v/>
      </c>
      <c r="CB567">
        <f>$C567*CB566</f>
        <v/>
      </c>
      <c r="CC567">
        <f>$C567*CC566</f>
        <v/>
      </c>
      <c r="CD567">
        <f>$C567*CD566</f>
        <v/>
      </c>
      <c r="CE567">
        <f>$C567*CE566</f>
        <v/>
      </c>
      <c r="CF567">
        <f>$C567*CF566</f>
        <v/>
      </c>
      <c r="CG567">
        <f>$C567*CG566</f>
        <v/>
      </c>
      <c r="CH567">
        <f>$C567*CH566</f>
        <v/>
      </c>
      <c r="CI567">
        <f>$C567*CI566</f>
        <v/>
      </c>
      <c r="CJ567">
        <f>$C567*CJ566</f>
        <v/>
      </c>
      <c r="CK567">
        <f>$C567*CK566</f>
        <v/>
      </c>
      <c r="CL567">
        <f>$C567*CL566</f>
        <v/>
      </c>
      <c r="CM567">
        <f>$C567*CM566</f>
        <v/>
      </c>
      <c r="CN567">
        <f>$C567*CN566</f>
        <v/>
      </c>
      <c r="CO567">
        <f>$C567*CO566</f>
        <v/>
      </c>
      <c r="CP567">
        <f>$C567*CP566</f>
        <v/>
      </c>
      <c r="CQ567">
        <f>$C567*CQ566</f>
        <v/>
      </c>
      <c r="CR567">
        <f>$C567*CR566</f>
        <v/>
      </c>
      <c r="CS567">
        <f>$C567*CS566</f>
        <v/>
      </c>
      <c r="CT567">
        <f>$C567*CT566</f>
        <v/>
      </c>
      <c r="CU567">
        <f>$C567*CU566</f>
        <v/>
      </c>
      <c r="CV567">
        <f>$C567*CV566</f>
        <v/>
      </c>
      <c r="CW567">
        <f>$C567*CW566</f>
        <v/>
      </c>
      <c r="CX567">
        <f>$C567*CX566</f>
        <v/>
      </c>
      <c r="CY567">
        <f>$C567*CY566</f>
        <v/>
      </c>
      <c r="CZ567">
        <f>$C567*CZ566</f>
        <v/>
      </c>
      <c r="DA567">
        <f>$C567*DA566</f>
        <v/>
      </c>
      <c r="DB567">
        <f>$C567*DB566</f>
        <v/>
      </c>
      <c r="DC567">
        <f>$C567*DC566</f>
        <v/>
      </c>
    </row>
    <row r="568">
      <c r="B568" t="inlineStr">
        <is>
          <t>TSP-1388</t>
        </is>
      </c>
      <c r="C568" t="inlineStr">
        <is>
          <t>No. of batches</t>
        </is>
      </c>
      <c r="D568">
        <f>IFERROR(INDEX(PP_Grid[#Data],$DD568,2),0)</f>
        <v/>
      </c>
      <c r="E568">
        <f>IFERROR(INDEX(PP_Grid[#Data],$DD568,3),0)</f>
        <v/>
      </c>
      <c r="F568">
        <f>IFERROR(INDEX(PP_Grid[#Data],$DD568,4),0)</f>
        <v/>
      </c>
      <c r="G568">
        <f>IFERROR(INDEX(PP_Grid[#Data],$DD568,5),0)</f>
        <v/>
      </c>
      <c r="H568">
        <f>IFERROR(INDEX(PP_Grid[#Data],$DD568,6),0)</f>
        <v/>
      </c>
      <c r="I568">
        <f>IFERROR(INDEX(PP_Grid[#Data],$DD568,7),0)</f>
        <v/>
      </c>
      <c r="J568">
        <f>IFERROR(INDEX(PP_Grid[#Data],$DD568,8),0)</f>
        <v/>
      </c>
      <c r="K568">
        <f>IFERROR(INDEX(PP_Grid[#Data],$DD568,9),0)</f>
        <v/>
      </c>
      <c r="L568">
        <f>IFERROR(INDEX(PP_Grid[#Data],$DD568,10),0)</f>
        <v/>
      </c>
      <c r="M568">
        <f>IFERROR(INDEX(PP_Grid[#Data],$DD568,11),0)</f>
        <v/>
      </c>
      <c r="N568">
        <f>IFERROR(INDEX(PP_Grid[#Data],$DD568,12),0)</f>
        <v/>
      </c>
      <c r="O568">
        <f>IFERROR(INDEX(PP_Grid[#Data],$DD568,13),0)</f>
        <v/>
      </c>
      <c r="P568">
        <f>IFERROR(INDEX(PP_Grid[#Data],$DD568,14),0)</f>
        <v/>
      </c>
      <c r="Q568">
        <f>IFERROR(INDEX(PP_Grid[#Data],$DD568,15),0)</f>
        <v/>
      </c>
      <c r="R568">
        <f>IFERROR(INDEX(PP_Grid[#Data],$DD568,16),0)</f>
        <v/>
      </c>
      <c r="S568">
        <f>IFERROR(INDEX(PP_Grid[#Data],$DD568,17),0)</f>
        <v/>
      </c>
      <c r="T568">
        <f>IFERROR(INDEX(PP_Grid[#Data],$DD568,18),0)</f>
        <v/>
      </c>
      <c r="U568">
        <f>IFERROR(INDEX(PP_Grid[#Data],$DD568,19),0)</f>
        <v/>
      </c>
      <c r="V568">
        <f>IFERROR(INDEX(PP_Grid[#Data],$DD568,20),0)</f>
        <v/>
      </c>
      <c r="W568">
        <f>IFERROR(INDEX(PP_Grid[#Data],$DD568,21),0)</f>
        <v/>
      </c>
      <c r="X568">
        <f>IFERROR(INDEX(PP_Grid[#Data],$DD568,22),0)</f>
        <v/>
      </c>
      <c r="Y568">
        <f>IFERROR(INDEX(PP_Grid[#Data],$DD568,23),0)</f>
        <v/>
      </c>
      <c r="Z568">
        <f>IFERROR(INDEX(PP_Grid[#Data],$DD568,24),0)</f>
        <v/>
      </c>
      <c r="AA568">
        <f>IFERROR(INDEX(PP_Grid[#Data],$DD568,25),0)</f>
        <v/>
      </c>
      <c r="AB568">
        <f>IFERROR(INDEX(PP_Grid[#Data],$DD568,26),0)</f>
        <v/>
      </c>
      <c r="AC568">
        <f>IFERROR(INDEX(PP_Grid[#Data],$DD568,27),0)</f>
        <v/>
      </c>
      <c r="AD568">
        <f>IFERROR(INDEX(PP_Grid[#Data],$DD568,28),0)</f>
        <v/>
      </c>
      <c r="AE568">
        <f>IFERROR(INDEX(PP_Grid[#Data],$DD568,29),0)</f>
        <v/>
      </c>
      <c r="AF568">
        <f>IFERROR(INDEX(PP_Grid[#Data],$DD568,30),0)</f>
        <v/>
      </c>
      <c r="AG568">
        <f>IFERROR(INDEX(PP_Grid[#Data],$DD568,31),0)</f>
        <v/>
      </c>
      <c r="AH568">
        <f>IFERROR(INDEX(PP_Grid[#Data],$DD568,32),0)</f>
        <v/>
      </c>
      <c r="AI568">
        <f>IFERROR(INDEX(PP_Grid[#Data],$DD568,33),0)</f>
        <v/>
      </c>
      <c r="AJ568">
        <f>IFERROR(INDEX(PP_Grid[#Data],$DD568,34),0)</f>
        <v/>
      </c>
      <c r="AK568">
        <f>IFERROR(INDEX(PP_Grid[#Data],$DD568,35),0)</f>
        <v/>
      </c>
      <c r="AL568">
        <f>IFERROR(INDEX(PP_Grid[#Data],$DD568,36),0)</f>
        <v/>
      </c>
      <c r="AM568">
        <f>IFERROR(INDEX(PP_Grid[#Data],$DD568,37),0)</f>
        <v/>
      </c>
      <c r="AN568">
        <f>IFERROR(INDEX(PP_Grid[#Data],$DD568,38),0)</f>
        <v/>
      </c>
      <c r="AO568">
        <f>IFERROR(INDEX(PP_Grid[#Data],$DD568,39),0)</f>
        <v/>
      </c>
      <c r="AP568">
        <f>IFERROR(INDEX(PP_Grid[#Data],$DD568,40),0)</f>
        <v/>
      </c>
      <c r="AQ568">
        <f>IFERROR(INDEX(PP_Grid[#Data],$DD568,41),0)</f>
        <v/>
      </c>
      <c r="AR568">
        <f>IFERROR(INDEX(PP_Grid[#Data],$DD568,42),0)</f>
        <v/>
      </c>
      <c r="AS568">
        <f>IFERROR(INDEX(PP_Grid[#Data],$DD568,43),0)</f>
        <v/>
      </c>
      <c r="AT568">
        <f>IFERROR(INDEX(PP_Grid[#Data],$DD568,44),0)</f>
        <v/>
      </c>
      <c r="AU568">
        <f>IFERROR(INDEX(PP_Grid[#Data],$DD568,45),0)</f>
        <v/>
      </c>
      <c r="AV568">
        <f>IFERROR(INDEX(PP_Grid[#Data],$DD568,46),0)</f>
        <v/>
      </c>
      <c r="AW568">
        <f>IFERROR(INDEX(PP_Grid[#Data],$DD568,47),0)</f>
        <v/>
      </c>
      <c r="AX568">
        <f>IFERROR(INDEX(PP_Grid[#Data],$DD568,48),0)</f>
        <v/>
      </c>
      <c r="AY568">
        <f>IFERROR(INDEX(PP_Grid[#Data],$DD568,49),0)</f>
        <v/>
      </c>
      <c r="AZ568">
        <f>IFERROR(INDEX(PP_Grid[#Data],$DD568,50),0)</f>
        <v/>
      </c>
      <c r="BA568">
        <f>IFERROR(INDEX(PP_Grid[#Data],$DD568,51),0)</f>
        <v/>
      </c>
      <c r="BB568">
        <f>IFERROR(INDEX(PP_Grid[#Data],$DD568,52),0)</f>
        <v/>
      </c>
      <c r="BC568">
        <f>IFERROR(INDEX(PP_Grid[#Data],$DD568,53),0)</f>
        <v/>
      </c>
      <c r="BD568">
        <f>IFERROR(INDEX(PP_Grid[#Data],$DD568,54),0)</f>
        <v/>
      </c>
      <c r="BE568">
        <f>IFERROR(INDEX(PP_Grid[#Data],$DD568,55),0)</f>
        <v/>
      </c>
      <c r="BF568">
        <f>IFERROR(INDEX(PP_Grid[#Data],$DD568,56),0)</f>
        <v/>
      </c>
      <c r="BG568">
        <f>IFERROR(INDEX(PP_Grid[#Data],$DD568,57),0)</f>
        <v/>
      </c>
      <c r="BH568">
        <f>IFERROR(INDEX(PP_Grid[#Data],$DD568,58),0)</f>
        <v/>
      </c>
      <c r="BI568">
        <f>IFERROR(INDEX(PP_Grid[#Data],$DD568,59),0)</f>
        <v/>
      </c>
      <c r="BJ568">
        <f>IFERROR(INDEX(PP_Grid[#Data],$DD568,60),0)</f>
        <v/>
      </c>
      <c r="BK568">
        <f>IFERROR(INDEX(PP_Grid[#Data],$DD568,61),0)</f>
        <v/>
      </c>
      <c r="BL568">
        <f>IFERROR(INDEX(PP_Grid[#Data],$DD568,62),0)</f>
        <v/>
      </c>
      <c r="BM568">
        <f>IFERROR(INDEX(PP_Grid[#Data],$DD568,63),0)</f>
        <v/>
      </c>
      <c r="BN568">
        <f>IFERROR(INDEX(PP_Grid[#Data],$DD568,64),0)</f>
        <v/>
      </c>
      <c r="BO568">
        <f>IFERROR(INDEX(PP_Grid[#Data],$DD568,65),0)</f>
        <v/>
      </c>
      <c r="BP568">
        <f>IFERROR(INDEX(PP_Grid[#Data],$DD568,66),0)</f>
        <v/>
      </c>
      <c r="BQ568">
        <f>IFERROR(INDEX(PP_Grid[#Data],$DD568,67),0)</f>
        <v/>
      </c>
      <c r="BR568">
        <f>IFERROR(INDEX(PP_Grid[#Data],$DD568,68),0)</f>
        <v/>
      </c>
      <c r="BS568">
        <f>IFERROR(INDEX(PP_Grid[#Data],$DD568,69),0)</f>
        <v/>
      </c>
      <c r="BT568">
        <f>IFERROR(INDEX(PP_Grid[#Data],$DD568,70),0)</f>
        <v/>
      </c>
      <c r="BU568">
        <f>IFERROR(INDEX(PP_Grid[#Data],$DD568,71),0)</f>
        <v/>
      </c>
      <c r="BV568">
        <f>IFERROR(INDEX(PP_Grid[#Data],$DD568,72),0)</f>
        <v/>
      </c>
      <c r="BW568">
        <f>IFERROR(INDEX(PP_Grid[#Data],$DD568,73),0)</f>
        <v/>
      </c>
      <c r="BX568">
        <f>IFERROR(INDEX(PP_Grid[#Data],$DD568,74),0)</f>
        <v/>
      </c>
      <c r="BY568">
        <f>IFERROR(INDEX(PP_Grid[#Data],$DD568,75),0)</f>
        <v/>
      </c>
      <c r="BZ568">
        <f>IFERROR(INDEX(PP_Grid[#Data],$DD568,76),0)</f>
        <v/>
      </c>
      <c r="CA568">
        <f>IFERROR(INDEX(PP_Grid[#Data],$DD568,77),0)</f>
        <v/>
      </c>
      <c r="CB568">
        <f>IFERROR(INDEX(PP_Grid[#Data],$DD568,78),0)</f>
        <v/>
      </c>
      <c r="CC568">
        <f>IFERROR(INDEX(PP_Grid[#Data],$DD568,79),0)</f>
        <v/>
      </c>
      <c r="CD568">
        <f>IFERROR(INDEX(PP_Grid[#Data],$DD568,80),0)</f>
        <v/>
      </c>
      <c r="CE568">
        <f>IFERROR(INDEX(PP_Grid[#Data],$DD568,81),0)</f>
        <v/>
      </c>
      <c r="CF568">
        <f>IFERROR(INDEX(PP_Grid[#Data],$DD568,82),0)</f>
        <v/>
      </c>
      <c r="CG568">
        <f>IFERROR(INDEX(PP_Grid[#Data],$DD568,83),0)</f>
        <v/>
      </c>
      <c r="CH568">
        <f>IFERROR(INDEX(PP_Grid[#Data],$DD568,84),0)</f>
        <v/>
      </c>
      <c r="CI568">
        <f>IFERROR(INDEX(PP_Grid[#Data],$DD568,85),0)</f>
        <v/>
      </c>
      <c r="CJ568">
        <f>IFERROR(INDEX(PP_Grid[#Data],$DD568,86),0)</f>
        <v/>
      </c>
      <c r="CK568">
        <f>IFERROR(INDEX(PP_Grid[#Data],$DD568,87),0)</f>
        <v/>
      </c>
      <c r="CL568">
        <f>IFERROR(INDEX(PP_Grid[#Data],$DD568,88),0)</f>
        <v/>
      </c>
      <c r="CM568">
        <f>IFERROR(INDEX(PP_Grid[#Data],$DD568,89),0)</f>
        <v/>
      </c>
      <c r="CN568">
        <f>IFERROR(INDEX(PP_Grid[#Data],$DD568,90),0)</f>
        <v/>
      </c>
      <c r="CO568">
        <f>IFERROR(INDEX(PP_Grid[#Data],$DD568,91),0)</f>
        <v/>
      </c>
      <c r="CP568">
        <f>IFERROR(INDEX(PP_Grid[#Data],$DD568,92),0)</f>
        <v/>
      </c>
      <c r="CQ568">
        <f>IFERROR(INDEX(PP_Grid[#Data],$DD568,93),0)</f>
        <v/>
      </c>
      <c r="CR568">
        <f>IFERROR(INDEX(PP_Grid[#Data],$DD568,94),0)</f>
        <v/>
      </c>
      <c r="CS568">
        <f>IFERROR(INDEX(PP_Grid[#Data],$DD568,95),0)</f>
        <v/>
      </c>
      <c r="CT568">
        <f>IFERROR(INDEX(PP_Grid[#Data],$DD568,96),0)</f>
        <v/>
      </c>
      <c r="CU568">
        <f>IFERROR(INDEX(PP_Grid[#Data],$DD568,97),0)</f>
        <v/>
      </c>
      <c r="CV568">
        <f>IFERROR(INDEX(PP_Grid[#Data],$DD568,98),0)</f>
        <v/>
      </c>
      <c r="CW568">
        <f>IFERROR(INDEX(PP_Grid[#Data],$DD568,99),0)</f>
        <v/>
      </c>
      <c r="CX568">
        <f>IFERROR(INDEX(PP_Grid[#Data],$DD568,100),0)</f>
        <v/>
      </c>
      <c r="CY568">
        <f>IFERROR(INDEX(PP_Grid[#Data],$DD568,101),0)</f>
        <v/>
      </c>
      <c r="CZ568">
        <f>IFERROR(INDEX(PP_Grid[#Data],$DD568,102),0)</f>
        <v/>
      </c>
      <c r="DA568">
        <f>IFERROR(INDEX(PP_Grid[#Data],$DD568,103),0)</f>
        <v/>
      </c>
      <c r="DB568">
        <f>IFERROR(INDEX(PP_Grid[#Data],$DD568,104),0)</f>
        <v/>
      </c>
      <c r="DC568">
        <f>IFERROR(INDEX(PP_Grid[#Data],$DD568,105),0)</f>
        <v/>
      </c>
      <c r="DD568" s="7">
        <f>IFERROR(MATCH($B568,PP_Grid[Intermediate],0),99999)</f>
        <v/>
      </c>
    </row>
    <row r="569">
      <c r="B569" t="inlineStr">
        <is>
          <t>使用量(kg)</t>
        </is>
      </c>
      <c r="C569">
        <f>SUMIFS(M_BOM[RM_Qty_Per_Batch],M_BOM[Intermediate],$B568,M_BOM[Part Name],$A547)</f>
        <v/>
      </c>
      <c r="D569">
        <f>$C569*D568</f>
        <v/>
      </c>
      <c r="E569">
        <f>$C569*E568</f>
        <v/>
      </c>
      <c r="F569">
        <f>$C569*F568</f>
        <v/>
      </c>
      <c r="G569">
        <f>$C569*G568</f>
        <v/>
      </c>
      <c r="H569">
        <f>$C569*H568</f>
        <v/>
      </c>
      <c r="I569">
        <f>$C569*I568</f>
        <v/>
      </c>
      <c r="J569">
        <f>$C569*J568</f>
        <v/>
      </c>
      <c r="K569">
        <f>$C569*K568</f>
        <v/>
      </c>
      <c r="L569">
        <f>$C569*L568</f>
        <v/>
      </c>
      <c r="M569">
        <f>$C569*M568</f>
        <v/>
      </c>
      <c r="N569">
        <f>$C569*N568</f>
        <v/>
      </c>
      <c r="O569">
        <f>$C569*O568</f>
        <v/>
      </c>
      <c r="P569">
        <f>$C569*P568</f>
        <v/>
      </c>
      <c r="Q569">
        <f>$C569*Q568</f>
        <v/>
      </c>
      <c r="R569">
        <f>$C569*R568</f>
        <v/>
      </c>
      <c r="S569">
        <f>$C569*S568</f>
        <v/>
      </c>
      <c r="T569">
        <f>$C569*T568</f>
        <v/>
      </c>
      <c r="U569">
        <f>$C569*U568</f>
        <v/>
      </c>
      <c r="V569">
        <f>$C569*V568</f>
        <v/>
      </c>
      <c r="W569">
        <f>$C569*W568</f>
        <v/>
      </c>
      <c r="X569">
        <f>$C569*X568</f>
        <v/>
      </c>
      <c r="Y569">
        <f>$C569*Y568</f>
        <v/>
      </c>
      <c r="Z569">
        <f>$C569*Z568</f>
        <v/>
      </c>
      <c r="AA569">
        <f>$C569*AA568</f>
        <v/>
      </c>
      <c r="AB569">
        <f>$C569*AB568</f>
        <v/>
      </c>
      <c r="AC569">
        <f>$C569*AC568</f>
        <v/>
      </c>
      <c r="AD569">
        <f>$C569*AD568</f>
        <v/>
      </c>
      <c r="AE569">
        <f>$C569*AE568</f>
        <v/>
      </c>
      <c r="AF569">
        <f>$C569*AF568</f>
        <v/>
      </c>
      <c r="AG569">
        <f>$C569*AG568</f>
        <v/>
      </c>
      <c r="AH569">
        <f>$C569*AH568</f>
        <v/>
      </c>
      <c r="AI569">
        <f>$C569*AI568</f>
        <v/>
      </c>
      <c r="AJ569">
        <f>$C569*AJ568</f>
        <v/>
      </c>
      <c r="AK569">
        <f>$C569*AK568</f>
        <v/>
      </c>
      <c r="AL569">
        <f>$C569*AL568</f>
        <v/>
      </c>
      <c r="AM569">
        <f>$C569*AM568</f>
        <v/>
      </c>
      <c r="AN569">
        <f>$C569*AN568</f>
        <v/>
      </c>
      <c r="AO569">
        <f>$C569*AO568</f>
        <v/>
      </c>
      <c r="AP569">
        <f>$C569*AP568</f>
        <v/>
      </c>
      <c r="AQ569">
        <f>$C569*AQ568</f>
        <v/>
      </c>
      <c r="AR569">
        <f>$C569*AR568</f>
        <v/>
      </c>
      <c r="AS569">
        <f>$C569*AS568</f>
        <v/>
      </c>
      <c r="AT569">
        <f>$C569*AT568</f>
        <v/>
      </c>
      <c r="AU569">
        <f>$C569*AU568</f>
        <v/>
      </c>
      <c r="AV569">
        <f>$C569*AV568</f>
        <v/>
      </c>
      <c r="AW569">
        <f>$C569*AW568</f>
        <v/>
      </c>
      <c r="AX569">
        <f>$C569*AX568</f>
        <v/>
      </c>
      <c r="AY569">
        <f>$C569*AY568</f>
        <v/>
      </c>
      <c r="AZ569">
        <f>$C569*AZ568</f>
        <v/>
      </c>
      <c r="BA569">
        <f>$C569*BA568</f>
        <v/>
      </c>
      <c r="BB569">
        <f>$C569*BB568</f>
        <v/>
      </c>
      <c r="BC569">
        <f>$C569*BC568</f>
        <v/>
      </c>
      <c r="BD569">
        <f>$C569*BD568</f>
        <v/>
      </c>
      <c r="BE569">
        <f>$C569*BE568</f>
        <v/>
      </c>
      <c r="BF569">
        <f>$C569*BF568</f>
        <v/>
      </c>
      <c r="BG569">
        <f>$C569*BG568</f>
        <v/>
      </c>
      <c r="BH569">
        <f>$C569*BH568</f>
        <v/>
      </c>
      <c r="BI569">
        <f>$C569*BI568</f>
        <v/>
      </c>
      <c r="BJ569">
        <f>$C569*BJ568</f>
        <v/>
      </c>
      <c r="BK569">
        <f>$C569*BK568</f>
        <v/>
      </c>
      <c r="BL569">
        <f>$C569*BL568</f>
        <v/>
      </c>
      <c r="BM569">
        <f>$C569*BM568</f>
        <v/>
      </c>
      <c r="BN569">
        <f>$C569*BN568</f>
        <v/>
      </c>
      <c r="BO569">
        <f>$C569*BO568</f>
        <v/>
      </c>
      <c r="BP569">
        <f>$C569*BP568</f>
        <v/>
      </c>
      <c r="BQ569">
        <f>$C569*BQ568</f>
        <v/>
      </c>
      <c r="BR569">
        <f>$C569*BR568</f>
        <v/>
      </c>
      <c r="BS569">
        <f>$C569*BS568</f>
        <v/>
      </c>
      <c r="BT569">
        <f>$C569*BT568</f>
        <v/>
      </c>
      <c r="BU569">
        <f>$C569*BU568</f>
        <v/>
      </c>
      <c r="BV569">
        <f>$C569*BV568</f>
        <v/>
      </c>
      <c r="BW569">
        <f>$C569*BW568</f>
        <v/>
      </c>
      <c r="BX569">
        <f>$C569*BX568</f>
        <v/>
      </c>
      <c r="BY569">
        <f>$C569*BY568</f>
        <v/>
      </c>
      <c r="BZ569">
        <f>$C569*BZ568</f>
        <v/>
      </c>
      <c r="CA569">
        <f>$C569*CA568</f>
        <v/>
      </c>
      <c r="CB569">
        <f>$C569*CB568</f>
        <v/>
      </c>
      <c r="CC569">
        <f>$C569*CC568</f>
        <v/>
      </c>
      <c r="CD569">
        <f>$C569*CD568</f>
        <v/>
      </c>
      <c r="CE569">
        <f>$C569*CE568</f>
        <v/>
      </c>
      <c r="CF569">
        <f>$C569*CF568</f>
        <v/>
      </c>
      <c r="CG569">
        <f>$C569*CG568</f>
        <v/>
      </c>
      <c r="CH569">
        <f>$C569*CH568</f>
        <v/>
      </c>
      <c r="CI569">
        <f>$C569*CI568</f>
        <v/>
      </c>
      <c r="CJ569">
        <f>$C569*CJ568</f>
        <v/>
      </c>
      <c r="CK569">
        <f>$C569*CK568</f>
        <v/>
      </c>
      <c r="CL569">
        <f>$C569*CL568</f>
        <v/>
      </c>
      <c r="CM569">
        <f>$C569*CM568</f>
        <v/>
      </c>
      <c r="CN569">
        <f>$C569*CN568</f>
        <v/>
      </c>
      <c r="CO569">
        <f>$C569*CO568</f>
        <v/>
      </c>
      <c r="CP569">
        <f>$C569*CP568</f>
        <v/>
      </c>
      <c r="CQ569">
        <f>$C569*CQ568</f>
        <v/>
      </c>
      <c r="CR569">
        <f>$C569*CR568</f>
        <v/>
      </c>
      <c r="CS569">
        <f>$C569*CS568</f>
        <v/>
      </c>
      <c r="CT569">
        <f>$C569*CT568</f>
        <v/>
      </c>
      <c r="CU569">
        <f>$C569*CU568</f>
        <v/>
      </c>
      <c r="CV569">
        <f>$C569*CV568</f>
        <v/>
      </c>
      <c r="CW569">
        <f>$C569*CW568</f>
        <v/>
      </c>
      <c r="CX569">
        <f>$C569*CX568</f>
        <v/>
      </c>
      <c r="CY569">
        <f>$C569*CY568</f>
        <v/>
      </c>
      <c r="CZ569">
        <f>$C569*CZ568</f>
        <v/>
      </c>
      <c r="DA569">
        <f>$C569*DA568</f>
        <v/>
      </c>
      <c r="DB569">
        <f>$C569*DB568</f>
        <v/>
      </c>
      <c r="DC569">
        <f>$C569*DC568</f>
        <v/>
      </c>
    </row>
    <row r="570">
      <c r="B570" t="inlineStr">
        <is>
          <t>TSP-924</t>
        </is>
      </c>
      <c r="C570" t="inlineStr">
        <is>
          <t>No. of batches</t>
        </is>
      </c>
      <c r="D570">
        <f>IFERROR(INDEX(PP_Grid[#Data],$DD570,2),0)</f>
        <v/>
      </c>
      <c r="E570">
        <f>IFERROR(INDEX(PP_Grid[#Data],$DD570,3),0)</f>
        <v/>
      </c>
      <c r="F570">
        <f>IFERROR(INDEX(PP_Grid[#Data],$DD570,4),0)</f>
        <v/>
      </c>
      <c r="G570">
        <f>IFERROR(INDEX(PP_Grid[#Data],$DD570,5),0)</f>
        <v/>
      </c>
      <c r="H570">
        <f>IFERROR(INDEX(PP_Grid[#Data],$DD570,6),0)</f>
        <v/>
      </c>
      <c r="I570">
        <f>IFERROR(INDEX(PP_Grid[#Data],$DD570,7),0)</f>
        <v/>
      </c>
      <c r="J570">
        <f>IFERROR(INDEX(PP_Grid[#Data],$DD570,8),0)</f>
        <v/>
      </c>
      <c r="K570">
        <f>IFERROR(INDEX(PP_Grid[#Data],$DD570,9),0)</f>
        <v/>
      </c>
      <c r="L570">
        <f>IFERROR(INDEX(PP_Grid[#Data],$DD570,10),0)</f>
        <v/>
      </c>
      <c r="M570">
        <f>IFERROR(INDEX(PP_Grid[#Data],$DD570,11),0)</f>
        <v/>
      </c>
      <c r="N570">
        <f>IFERROR(INDEX(PP_Grid[#Data],$DD570,12),0)</f>
        <v/>
      </c>
      <c r="O570">
        <f>IFERROR(INDEX(PP_Grid[#Data],$DD570,13),0)</f>
        <v/>
      </c>
      <c r="P570">
        <f>IFERROR(INDEX(PP_Grid[#Data],$DD570,14),0)</f>
        <v/>
      </c>
      <c r="Q570">
        <f>IFERROR(INDEX(PP_Grid[#Data],$DD570,15),0)</f>
        <v/>
      </c>
      <c r="R570">
        <f>IFERROR(INDEX(PP_Grid[#Data],$DD570,16),0)</f>
        <v/>
      </c>
      <c r="S570">
        <f>IFERROR(INDEX(PP_Grid[#Data],$DD570,17),0)</f>
        <v/>
      </c>
      <c r="T570">
        <f>IFERROR(INDEX(PP_Grid[#Data],$DD570,18),0)</f>
        <v/>
      </c>
      <c r="U570">
        <f>IFERROR(INDEX(PP_Grid[#Data],$DD570,19),0)</f>
        <v/>
      </c>
      <c r="V570">
        <f>IFERROR(INDEX(PP_Grid[#Data],$DD570,20),0)</f>
        <v/>
      </c>
      <c r="W570">
        <f>IFERROR(INDEX(PP_Grid[#Data],$DD570,21),0)</f>
        <v/>
      </c>
      <c r="X570">
        <f>IFERROR(INDEX(PP_Grid[#Data],$DD570,22),0)</f>
        <v/>
      </c>
      <c r="Y570">
        <f>IFERROR(INDEX(PP_Grid[#Data],$DD570,23),0)</f>
        <v/>
      </c>
      <c r="Z570">
        <f>IFERROR(INDEX(PP_Grid[#Data],$DD570,24),0)</f>
        <v/>
      </c>
      <c r="AA570">
        <f>IFERROR(INDEX(PP_Grid[#Data],$DD570,25),0)</f>
        <v/>
      </c>
      <c r="AB570">
        <f>IFERROR(INDEX(PP_Grid[#Data],$DD570,26),0)</f>
        <v/>
      </c>
      <c r="AC570">
        <f>IFERROR(INDEX(PP_Grid[#Data],$DD570,27),0)</f>
        <v/>
      </c>
      <c r="AD570">
        <f>IFERROR(INDEX(PP_Grid[#Data],$DD570,28),0)</f>
        <v/>
      </c>
      <c r="AE570">
        <f>IFERROR(INDEX(PP_Grid[#Data],$DD570,29),0)</f>
        <v/>
      </c>
      <c r="AF570">
        <f>IFERROR(INDEX(PP_Grid[#Data],$DD570,30),0)</f>
        <v/>
      </c>
      <c r="AG570">
        <f>IFERROR(INDEX(PP_Grid[#Data],$DD570,31),0)</f>
        <v/>
      </c>
      <c r="AH570">
        <f>IFERROR(INDEX(PP_Grid[#Data],$DD570,32),0)</f>
        <v/>
      </c>
      <c r="AI570">
        <f>IFERROR(INDEX(PP_Grid[#Data],$DD570,33),0)</f>
        <v/>
      </c>
      <c r="AJ570">
        <f>IFERROR(INDEX(PP_Grid[#Data],$DD570,34),0)</f>
        <v/>
      </c>
      <c r="AK570">
        <f>IFERROR(INDEX(PP_Grid[#Data],$DD570,35),0)</f>
        <v/>
      </c>
      <c r="AL570">
        <f>IFERROR(INDEX(PP_Grid[#Data],$DD570,36),0)</f>
        <v/>
      </c>
      <c r="AM570">
        <f>IFERROR(INDEX(PP_Grid[#Data],$DD570,37),0)</f>
        <v/>
      </c>
      <c r="AN570">
        <f>IFERROR(INDEX(PP_Grid[#Data],$DD570,38),0)</f>
        <v/>
      </c>
      <c r="AO570">
        <f>IFERROR(INDEX(PP_Grid[#Data],$DD570,39),0)</f>
        <v/>
      </c>
      <c r="AP570">
        <f>IFERROR(INDEX(PP_Grid[#Data],$DD570,40),0)</f>
        <v/>
      </c>
      <c r="AQ570">
        <f>IFERROR(INDEX(PP_Grid[#Data],$DD570,41),0)</f>
        <v/>
      </c>
      <c r="AR570">
        <f>IFERROR(INDEX(PP_Grid[#Data],$DD570,42),0)</f>
        <v/>
      </c>
      <c r="AS570">
        <f>IFERROR(INDEX(PP_Grid[#Data],$DD570,43),0)</f>
        <v/>
      </c>
      <c r="AT570">
        <f>IFERROR(INDEX(PP_Grid[#Data],$DD570,44),0)</f>
        <v/>
      </c>
      <c r="AU570">
        <f>IFERROR(INDEX(PP_Grid[#Data],$DD570,45),0)</f>
        <v/>
      </c>
      <c r="AV570">
        <f>IFERROR(INDEX(PP_Grid[#Data],$DD570,46),0)</f>
        <v/>
      </c>
      <c r="AW570">
        <f>IFERROR(INDEX(PP_Grid[#Data],$DD570,47),0)</f>
        <v/>
      </c>
      <c r="AX570">
        <f>IFERROR(INDEX(PP_Grid[#Data],$DD570,48),0)</f>
        <v/>
      </c>
      <c r="AY570">
        <f>IFERROR(INDEX(PP_Grid[#Data],$DD570,49),0)</f>
        <v/>
      </c>
      <c r="AZ570">
        <f>IFERROR(INDEX(PP_Grid[#Data],$DD570,50),0)</f>
        <v/>
      </c>
      <c r="BA570">
        <f>IFERROR(INDEX(PP_Grid[#Data],$DD570,51),0)</f>
        <v/>
      </c>
      <c r="BB570">
        <f>IFERROR(INDEX(PP_Grid[#Data],$DD570,52),0)</f>
        <v/>
      </c>
      <c r="BC570">
        <f>IFERROR(INDEX(PP_Grid[#Data],$DD570,53),0)</f>
        <v/>
      </c>
      <c r="BD570">
        <f>IFERROR(INDEX(PP_Grid[#Data],$DD570,54),0)</f>
        <v/>
      </c>
      <c r="BE570">
        <f>IFERROR(INDEX(PP_Grid[#Data],$DD570,55),0)</f>
        <v/>
      </c>
      <c r="BF570">
        <f>IFERROR(INDEX(PP_Grid[#Data],$DD570,56),0)</f>
        <v/>
      </c>
      <c r="BG570">
        <f>IFERROR(INDEX(PP_Grid[#Data],$DD570,57),0)</f>
        <v/>
      </c>
      <c r="BH570">
        <f>IFERROR(INDEX(PP_Grid[#Data],$DD570,58),0)</f>
        <v/>
      </c>
      <c r="BI570">
        <f>IFERROR(INDEX(PP_Grid[#Data],$DD570,59),0)</f>
        <v/>
      </c>
      <c r="BJ570">
        <f>IFERROR(INDEX(PP_Grid[#Data],$DD570,60),0)</f>
        <v/>
      </c>
      <c r="BK570">
        <f>IFERROR(INDEX(PP_Grid[#Data],$DD570,61),0)</f>
        <v/>
      </c>
      <c r="BL570">
        <f>IFERROR(INDEX(PP_Grid[#Data],$DD570,62),0)</f>
        <v/>
      </c>
      <c r="BM570">
        <f>IFERROR(INDEX(PP_Grid[#Data],$DD570,63),0)</f>
        <v/>
      </c>
      <c r="BN570">
        <f>IFERROR(INDEX(PP_Grid[#Data],$DD570,64),0)</f>
        <v/>
      </c>
      <c r="BO570">
        <f>IFERROR(INDEX(PP_Grid[#Data],$DD570,65),0)</f>
        <v/>
      </c>
      <c r="BP570">
        <f>IFERROR(INDEX(PP_Grid[#Data],$DD570,66),0)</f>
        <v/>
      </c>
      <c r="BQ570">
        <f>IFERROR(INDEX(PP_Grid[#Data],$DD570,67),0)</f>
        <v/>
      </c>
      <c r="BR570">
        <f>IFERROR(INDEX(PP_Grid[#Data],$DD570,68),0)</f>
        <v/>
      </c>
      <c r="BS570">
        <f>IFERROR(INDEX(PP_Grid[#Data],$DD570,69),0)</f>
        <v/>
      </c>
      <c r="BT570">
        <f>IFERROR(INDEX(PP_Grid[#Data],$DD570,70),0)</f>
        <v/>
      </c>
      <c r="BU570">
        <f>IFERROR(INDEX(PP_Grid[#Data],$DD570,71),0)</f>
        <v/>
      </c>
      <c r="BV570">
        <f>IFERROR(INDEX(PP_Grid[#Data],$DD570,72),0)</f>
        <v/>
      </c>
      <c r="BW570">
        <f>IFERROR(INDEX(PP_Grid[#Data],$DD570,73),0)</f>
        <v/>
      </c>
      <c r="BX570">
        <f>IFERROR(INDEX(PP_Grid[#Data],$DD570,74),0)</f>
        <v/>
      </c>
      <c r="BY570">
        <f>IFERROR(INDEX(PP_Grid[#Data],$DD570,75),0)</f>
        <v/>
      </c>
      <c r="BZ570">
        <f>IFERROR(INDEX(PP_Grid[#Data],$DD570,76),0)</f>
        <v/>
      </c>
      <c r="CA570">
        <f>IFERROR(INDEX(PP_Grid[#Data],$DD570,77),0)</f>
        <v/>
      </c>
      <c r="CB570">
        <f>IFERROR(INDEX(PP_Grid[#Data],$DD570,78),0)</f>
        <v/>
      </c>
      <c r="CC570">
        <f>IFERROR(INDEX(PP_Grid[#Data],$DD570,79),0)</f>
        <v/>
      </c>
      <c r="CD570">
        <f>IFERROR(INDEX(PP_Grid[#Data],$DD570,80),0)</f>
        <v/>
      </c>
      <c r="CE570">
        <f>IFERROR(INDEX(PP_Grid[#Data],$DD570,81),0)</f>
        <v/>
      </c>
      <c r="CF570">
        <f>IFERROR(INDEX(PP_Grid[#Data],$DD570,82),0)</f>
        <v/>
      </c>
      <c r="CG570">
        <f>IFERROR(INDEX(PP_Grid[#Data],$DD570,83),0)</f>
        <v/>
      </c>
      <c r="CH570">
        <f>IFERROR(INDEX(PP_Grid[#Data],$DD570,84),0)</f>
        <v/>
      </c>
      <c r="CI570">
        <f>IFERROR(INDEX(PP_Grid[#Data],$DD570,85),0)</f>
        <v/>
      </c>
      <c r="CJ570">
        <f>IFERROR(INDEX(PP_Grid[#Data],$DD570,86),0)</f>
        <v/>
      </c>
      <c r="CK570">
        <f>IFERROR(INDEX(PP_Grid[#Data],$DD570,87),0)</f>
        <v/>
      </c>
      <c r="CL570">
        <f>IFERROR(INDEX(PP_Grid[#Data],$DD570,88),0)</f>
        <v/>
      </c>
      <c r="CM570">
        <f>IFERROR(INDEX(PP_Grid[#Data],$DD570,89),0)</f>
        <v/>
      </c>
      <c r="CN570">
        <f>IFERROR(INDEX(PP_Grid[#Data],$DD570,90),0)</f>
        <v/>
      </c>
      <c r="CO570">
        <f>IFERROR(INDEX(PP_Grid[#Data],$DD570,91),0)</f>
        <v/>
      </c>
      <c r="CP570">
        <f>IFERROR(INDEX(PP_Grid[#Data],$DD570,92),0)</f>
        <v/>
      </c>
      <c r="CQ570">
        <f>IFERROR(INDEX(PP_Grid[#Data],$DD570,93),0)</f>
        <v/>
      </c>
      <c r="CR570">
        <f>IFERROR(INDEX(PP_Grid[#Data],$DD570,94),0)</f>
        <v/>
      </c>
      <c r="CS570">
        <f>IFERROR(INDEX(PP_Grid[#Data],$DD570,95),0)</f>
        <v/>
      </c>
      <c r="CT570">
        <f>IFERROR(INDEX(PP_Grid[#Data],$DD570,96),0)</f>
        <v/>
      </c>
      <c r="CU570">
        <f>IFERROR(INDEX(PP_Grid[#Data],$DD570,97),0)</f>
        <v/>
      </c>
      <c r="CV570">
        <f>IFERROR(INDEX(PP_Grid[#Data],$DD570,98),0)</f>
        <v/>
      </c>
      <c r="CW570">
        <f>IFERROR(INDEX(PP_Grid[#Data],$DD570,99),0)</f>
        <v/>
      </c>
      <c r="CX570">
        <f>IFERROR(INDEX(PP_Grid[#Data],$DD570,100),0)</f>
        <v/>
      </c>
      <c r="CY570">
        <f>IFERROR(INDEX(PP_Grid[#Data],$DD570,101),0)</f>
        <v/>
      </c>
      <c r="CZ570">
        <f>IFERROR(INDEX(PP_Grid[#Data],$DD570,102),0)</f>
        <v/>
      </c>
      <c r="DA570">
        <f>IFERROR(INDEX(PP_Grid[#Data],$DD570,103),0)</f>
        <v/>
      </c>
      <c r="DB570">
        <f>IFERROR(INDEX(PP_Grid[#Data],$DD570,104),0)</f>
        <v/>
      </c>
      <c r="DC570">
        <f>IFERROR(INDEX(PP_Grid[#Data],$DD570,105),0)</f>
        <v/>
      </c>
      <c r="DD570" s="7">
        <f>IFERROR(MATCH($B570,PP_Grid[Intermediate],0),99999)</f>
        <v/>
      </c>
    </row>
    <row r="571">
      <c r="B571" t="inlineStr">
        <is>
          <t>使用量(kg)</t>
        </is>
      </c>
      <c r="C571">
        <f>SUMIFS(M_BOM[RM_Qty_Per_Batch],M_BOM[Intermediate],$B570,M_BOM[Part Name],$A547)</f>
        <v/>
      </c>
      <c r="D571">
        <f>$C571*D570</f>
        <v/>
      </c>
      <c r="E571">
        <f>$C571*E570</f>
        <v/>
      </c>
      <c r="F571">
        <f>$C571*F570</f>
        <v/>
      </c>
      <c r="G571">
        <f>$C571*G570</f>
        <v/>
      </c>
      <c r="H571">
        <f>$C571*H570</f>
        <v/>
      </c>
      <c r="I571">
        <f>$C571*I570</f>
        <v/>
      </c>
      <c r="J571">
        <f>$C571*J570</f>
        <v/>
      </c>
      <c r="K571">
        <f>$C571*K570</f>
        <v/>
      </c>
      <c r="L571">
        <f>$C571*L570</f>
        <v/>
      </c>
      <c r="M571">
        <f>$C571*M570</f>
        <v/>
      </c>
      <c r="N571">
        <f>$C571*N570</f>
        <v/>
      </c>
      <c r="O571">
        <f>$C571*O570</f>
        <v/>
      </c>
      <c r="P571">
        <f>$C571*P570</f>
        <v/>
      </c>
      <c r="Q571">
        <f>$C571*Q570</f>
        <v/>
      </c>
      <c r="R571">
        <f>$C571*R570</f>
        <v/>
      </c>
      <c r="S571">
        <f>$C571*S570</f>
        <v/>
      </c>
      <c r="T571">
        <f>$C571*T570</f>
        <v/>
      </c>
      <c r="U571">
        <f>$C571*U570</f>
        <v/>
      </c>
      <c r="V571">
        <f>$C571*V570</f>
        <v/>
      </c>
      <c r="W571">
        <f>$C571*W570</f>
        <v/>
      </c>
      <c r="X571">
        <f>$C571*X570</f>
        <v/>
      </c>
      <c r="Y571">
        <f>$C571*Y570</f>
        <v/>
      </c>
      <c r="Z571">
        <f>$C571*Z570</f>
        <v/>
      </c>
      <c r="AA571">
        <f>$C571*AA570</f>
        <v/>
      </c>
      <c r="AB571">
        <f>$C571*AB570</f>
        <v/>
      </c>
      <c r="AC571">
        <f>$C571*AC570</f>
        <v/>
      </c>
      <c r="AD571">
        <f>$C571*AD570</f>
        <v/>
      </c>
      <c r="AE571">
        <f>$C571*AE570</f>
        <v/>
      </c>
      <c r="AF571">
        <f>$C571*AF570</f>
        <v/>
      </c>
      <c r="AG571">
        <f>$C571*AG570</f>
        <v/>
      </c>
      <c r="AH571">
        <f>$C571*AH570</f>
        <v/>
      </c>
      <c r="AI571">
        <f>$C571*AI570</f>
        <v/>
      </c>
      <c r="AJ571">
        <f>$C571*AJ570</f>
        <v/>
      </c>
      <c r="AK571">
        <f>$C571*AK570</f>
        <v/>
      </c>
      <c r="AL571">
        <f>$C571*AL570</f>
        <v/>
      </c>
      <c r="AM571">
        <f>$C571*AM570</f>
        <v/>
      </c>
      <c r="AN571">
        <f>$C571*AN570</f>
        <v/>
      </c>
      <c r="AO571">
        <f>$C571*AO570</f>
        <v/>
      </c>
      <c r="AP571">
        <f>$C571*AP570</f>
        <v/>
      </c>
      <c r="AQ571">
        <f>$C571*AQ570</f>
        <v/>
      </c>
      <c r="AR571">
        <f>$C571*AR570</f>
        <v/>
      </c>
      <c r="AS571">
        <f>$C571*AS570</f>
        <v/>
      </c>
      <c r="AT571">
        <f>$C571*AT570</f>
        <v/>
      </c>
      <c r="AU571">
        <f>$C571*AU570</f>
        <v/>
      </c>
      <c r="AV571">
        <f>$C571*AV570</f>
        <v/>
      </c>
      <c r="AW571">
        <f>$C571*AW570</f>
        <v/>
      </c>
      <c r="AX571">
        <f>$C571*AX570</f>
        <v/>
      </c>
      <c r="AY571">
        <f>$C571*AY570</f>
        <v/>
      </c>
      <c r="AZ571">
        <f>$C571*AZ570</f>
        <v/>
      </c>
      <c r="BA571">
        <f>$C571*BA570</f>
        <v/>
      </c>
      <c r="BB571">
        <f>$C571*BB570</f>
        <v/>
      </c>
      <c r="BC571">
        <f>$C571*BC570</f>
        <v/>
      </c>
      <c r="BD571">
        <f>$C571*BD570</f>
        <v/>
      </c>
      <c r="BE571">
        <f>$C571*BE570</f>
        <v/>
      </c>
      <c r="BF571">
        <f>$C571*BF570</f>
        <v/>
      </c>
      <c r="BG571">
        <f>$C571*BG570</f>
        <v/>
      </c>
      <c r="BH571">
        <f>$C571*BH570</f>
        <v/>
      </c>
      <c r="BI571">
        <f>$C571*BI570</f>
        <v/>
      </c>
      <c r="BJ571">
        <f>$C571*BJ570</f>
        <v/>
      </c>
      <c r="BK571">
        <f>$C571*BK570</f>
        <v/>
      </c>
      <c r="BL571">
        <f>$C571*BL570</f>
        <v/>
      </c>
      <c r="BM571">
        <f>$C571*BM570</f>
        <v/>
      </c>
      <c r="BN571">
        <f>$C571*BN570</f>
        <v/>
      </c>
      <c r="BO571">
        <f>$C571*BO570</f>
        <v/>
      </c>
      <c r="BP571">
        <f>$C571*BP570</f>
        <v/>
      </c>
      <c r="BQ571">
        <f>$C571*BQ570</f>
        <v/>
      </c>
      <c r="BR571">
        <f>$C571*BR570</f>
        <v/>
      </c>
      <c r="BS571">
        <f>$C571*BS570</f>
        <v/>
      </c>
      <c r="BT571">
        <f>$C571*BT570</f>
        <v/>
      </c>
      <c r="BU571">
        <f>$C571*BU570</f>
        <v/>
      </c>
      <c r="BV571">
        <f>$C571*BV570</f>
        <v/>
      </c>
      <c r="BW571">
        <f>$C571*BW570</f>
        <v/>
      </c>
      <c r="BX571">
        <f>$C571*BX570</f>
        <v/>
      </c>
      <c r="BY571">
        <f>$C571*BY570</f>
        <v/>
      </c>
      <c r="BZ571">
        <f>$C571*BZ570</f>
        <v/>
      </c>
      <c r="CA571">
        <f>$C571*CA570</f>
        <v/>
      </c>
      <c r="CB571">
        <f>$C571*CB570</f>
        <v/>
      </c>
      <c r="CC571">
        <f>$C571*CC570</f>
        <v/>
      </c>
      <c r="CD571">
        <f>$C571*CD570</f>
        <v/>
      </c>
      <c r="CE571">
        <f>$C571*CE570</f>
        <v/>
      </c>
      <c r="CF571">
        <f>$C571*CF570</f>
        <v/>
      </c>
      <c r="CG571">
        <f>$C571*CG570</f>
        <v/>
      </c>
      <c r="CH571">
        <f>$C571*CH570</f>
        <v/>
      </c>
      <c r="CI571">
        <f>$C571*CI570</f>
        <v/>
      </c>
      <c r="CJ571">
        <f>$C571*CJ570</f>
        <v/>
      </c>
      <c r="CK571">
        <f>$C571*CK570</f>
        <v/>
      </c>
      <c r="CL571">
        <f>$C571*CL570</f>
        <v/>
      </c>
      <c r="CM571">
        <f>$C571*CM570</f>
        <v/>
      </c>
      <c r="CN571">
        <f>$C571*CN570</f>
        <v/>
      </c>
      <c r="CO571">
        <f>$C571*CO570</f>
        <v/>
      </c>
      <c r="CP571">
        <f>$C571*CP570</f>
        <v/>
      </c>
      <c r="CQ571">
        <f>$C571*CQ570</f>
        <v/>
      </c>
      <c r="CR571">
        <f>$C571*CR570</f>
        <v/>
      </c>
      <c r="CS571">
        <f>$C571*CS570</f>
        <v/>
      </c>
      <c r="CT571">
        <f>$C571*CT570</f>
        <v/>
      </c>
      <c r="CU571">
        <f>$C571*CU570</f>
        <v/>
      </c>
      <c r="CV571">
        <f>$C571*CV570</f>
        <v/>
      </c>
      <c r="CW571">
        <f>$C571*CW570</f>
        <v/>
      </c>
      <c r="CX571">
        <f>$C571*CX570</f>
        <v/>
      </c>
      <c r="CY571">
        <f>$C571*CY570</f>
        <v/>
      </c>
      <c r="CZ571">
        <f>$C571*CZ570</f>
        <v/>
      </c>
      <c r="DA571">
        <f>$C571*DA570</f>
        <v/>
      </c>
      <c r="DB571">
        <f>$C571*DB570</f>
        <v/>
      </c>
      <c r="DC571">
        <f>$C571*DC570</f>
        <v/>
      </c>
    </row>
    <row r="572">
      <c r="B572" t="inlineStr">
        <is>
          <t>TSP-925</t>
        </is>
      </c>
      <c r="C572" t="inlineStr">
        <is>
          <t>No. of batches</t>
        </is>
      </c>
      <c r="D572">
        <f>IFERROR(INDEX(PP_Grid[#Data],$DD572,2),0)</f>
        <v/>
      </c>
      <c r="E572">
        <f>IFERROR(INDEX(PP_Grid[#Data],$DD572,3),0)</f>
        <v/>
      </c>
      <c r="F572">
        <f>IFERROR(INDEX(PP_Grid[#Data],$DD572,4),0)</f>
        <v/>
      </c>
      <c r="G572">
        <f>IFERROR(INDEX(PP_Grid[#Data],$DD572,5),0)</f>
        <v/>
      </c>
      <c r="H572">
        <f>IFERROR(INDEX(PP_Grid[#Data],$DD572,6),0)</f>
        <v/>
      </c>
      <c r="I572">
        <f>IFERROR(INDEX(PP_Grid[#Data],$DD572,7),0)</f>
        <v/>
      </c>
      <c r="J572">
        <f>IFERROR(INDEX(PP_Grid[#Data],$DD572,8),0)</f>
        <v/>
      </c>
      <c r="K572">
        <f>IFERROR(INDEX(PP_Grid[#Data],$DD572,9),0)</f>
        <v/>
      </c>
      <c r="L572">
        <f>IFERROR(INDEX(PP_Grid[#Data],$DD572,10),0)</f>
        <v/>
      </c>
      <c r="M572">
        <f>IFERROR(INDEX(PP_Grid[#Data],$DD572,11),0)</f>
        <v/>
      </c>
      <c r="N572">
        <f>IFERROR(INDEX(PP_Grid[#Data],$DD572,12),0)</f>
        <v/>
      </c>
      <c r="O572">
        <f>IFERROR(INDEX(PP_Grid[#Data],$DD572,13),0)</f>
        <v/>
      </c>
      <c r="P572">
        <f>IFERROR(INDEX(PP_Grid[#Data],$DD572,14),0)</f>
        <v/>
      </c>
      <c r="Q572">
        <f>IFERROR(INDEX(PP_Grid[#Data],$DD572,15),0)</f>
        <v/>
      </c>
      <c r="R572">
        <f>IFERROR(INDEX(PP_Grid[#Data],$DD572,16),0)</f>
        <v/>
      </c>
      <c r="S572">
        <f>IFERROR(INDEX(PP_Grid[#Data],$DD572,17),0)</f>
        <v/>
      </c>
      <c r="T572">
        <f>IFERROR(INDEX(PP_Grid[#Data],$DD572,18),0)</f>
        <v/>
      </c>
      <c r="U572">
        <f>IFERROR(INDEX(PP_Grid[#Data],$DD572,19),0)</f>
        <v/>
      </c>
      <c r="V572">
        <f>IFERROR(INDEX(PP_Grid[#Data],$DD572,20),0)</f>
        <v/>
      </c>
      <c r="W572">
        <f>IFERROR(INDEX(PP_Grid[#Data],$DD572,21),0)</f>
        <v/>
      </c>
      <c r="X572">
        <f>IFERROR(INDEX(PP_Grid[#Data],$DD572,22),0)</f>
        <v/>
      </c>
      <c r="Y572">
        <f>IFERROR(INDEX(PP_Grid[#Data],$DD572,23),0)</f>
        <v/>
      </c>
      <c r="Z572">
        <f>IFERROR(INDEX(PP_Grid[#Data],$DD572,24),0)</f>
        <v/>
      </c>
      <c r="AA572">
        <f>IFERROR(INDEX(PP_Grid[#Data],$DD572,25),0)</f>
        <v/>
      </c>
      <c r="AB572">
        <f>IFERROR(INDEX(PP_Grid[#Data],$DD572,26),0)</f>
        <v/>
      </c>
      <c r="AC572">
        <f>IFERROR(INDEX(PP_Grid[#Data],$DD572,27),0)</f>
        <v/>
      </c>
      <c r="AD572">
        <f>IFERROR(INDEX(PP_Grid[#Data],$DD572,28),0)</f>
        <v/>
      </c>
      <c r="AE572">
        <f>IFERROR(INDEX(PP_Grid[#Data],$DD572,29),0)</f>
        <v/>
      </c>
      <c r="AF572">
        <f>IFERROR(INDEX(PP_Grid[#Data],$DD572,30),0)</f>
        <v/>
      </c>
      <c r="AG572">
        <f>IFERROR(INDEX(PP_Grid[#Data],$DD572,31),0)</f>
        <v/>
      </c>
      <c r="AH572">
        <f>IFERROR(INDEX(PP_Grid[#Data],$DD572,32),0)</f>
        <v/>
      </c>
      <c r="AI572">
        <f>IFERROR(INDEX(PP_Grid[#Data],$DD572,33),0)</f>
        <v/>
      </c>
      <c r="AJ572">
        <f>IFERROR(INDEX(PP_Grid[#Data],$DD572,34),0)</f>
        <v/>
      </c>
      <c r="AK572">
        <f>IFERROR(INDEX(PP_Grid[#Data],$DD572,35),0)</f>
        <v/>
      </c>
      <c r="AL572">
        <f>IFERROR(INDEX(PP_Grid[#Data],$DD572,36),0)</f>
        <v/>
      </c>
      <c r="AM572">
        <f>IFERROR(INDEX(PP_Grid[#Data],$DD572,37),0)</f>
        <v/>
      </c>
      <c r="AN572">
        <f>IFERROR(INDEX(PP_Grid[#Data],$DD572,38),0)</f>
        <v/>
      </c>
      <c r="AO572">
        <f>IFERROR(INDEX(PP_Grid[#Data],$DD572,39),0)</f>
        <v/>
      </c>
      <c r="AP572">
        <f>IFERROR(INDEX(PP_Grid[#Data],$DD572,40),0)</f>
        <v/>
      </c>
      <c r="AQ572">
        <f>IFERROR(INDEX(PP_Grid[#Data],$DD572,41),0)</f>
        <v/>
      </c>
      <c r="AR572">
        <f>IFERROR(INDEX(PP_Grid[#Data],$DD572,42),0)</f>
        <v/>
      </c>
      <c r="AS572">
        <f>IFERROR(INDEX(PP_Grid[#Data],$DD572,43),0)</f>
        <v/>
      </c>
      <c r="AT572">
        <f>IFERROR(INDEX(PP_Grid[#Data],$DD572,44),0)</f>
        <v/>
      </c>
      <c r="AU572">
        <f>IFERROR(INDEX(PP_Grid[#Data],$DD572,45),0)</f>
        <v/>
      </c>
      <c r="AV572">
        <f>IFERROR(INDEX(PP_Grid[#Data],$DD572,46),0)</f>
        <v/>
      </c>
      <c r="AW572">
        <f>IFERROR(INDEX(PP_Grid[#Data],$DD572,47),0)</f>
        <v/>
      </c>
      <c r="AX572">
        <f>IFERROR(INDEX(PP_Grid[#Data],$DD572,48),0)</f>
        <v/>
      </c>
      <c r="AY572">
        <f>IFERROR(INDEX(PP_Grid[#Data],$DD572,49),0)</f>
        <v/>
      </c>
      <c r="AZ572">
        <f>IFERROR(INDEX(PP_Grid[#Data],$DD572,50),0)</f>
        <v/>
      </c>
      <c r="BA572">
        <f>IFERROR(INDEX(PP_Grid[#Data],$DD572,51),0)</f>
        <v/>
      </c>
      <c r="BB572">
        <f>IFERROR(INDEX(PP_Grid[#Data],$DD572,52),0)</f>
        <v/>
      </c>
      <c r="BC572">
        <f>IFERROR(INDEX(PP_Grid[#Data],$DD572,53),0)</f>
        <v/>
      </c>
      <c r="BD572">
        <f>IFERROR(INDEX(PP_Grid[#Data],$DD572,54),0)</f>
        <v/>
      </c>
      <c r="BE572">
        <f>IFERROR(INDEX(PP_Grid[#Data],$DD572,55),0)</f>
        <v/>
      </c>
      <c r="BF572">
        <f>IFERROR(INDEX(PP_Grid[#Data],$DD572,56),0)</f>
        <v/>
      </c>
      <c r="BG572">
        <f>IFERROR(INDEX(PP_Grid[#Data],$DD572,57),0)</f>
        <v/>
      </c>
      <c r="BH572">
        <f>IFERROR(INDEX(PP_Grid[#Data],$DD572,58),0)</f>
        <v/>
      </c>
      <c r="BI572">
        <f>IFERROR(INDEX(PP_Grid[#Data],$DD572,59),0)</f>
        <v/>
      </c>
      <c r="BJ572">
        <f>IFERROR(INDEX(PP_Grid[#Data],$DD572,60),0)</f>
        <v/>
      </c>
      <c r="BK572">
        <f>IFERROR(INDEX(PP_Grid[#Data],$DD572,61),0)</f>
        <v/>
      </c>
      <c r="BL572">
        <f>IFERROR(INDEX(PP_Grid[#Data],$DD572,62),0)</f>
        <v/>
      </c>
      <c r="BM572">
        <f>IFERROR(INDEX(PP_Grid[#Data],$DD572,63),0)</f>
        <v/>
      </c>
      <c r="BN572">
        <f>IFERROR(INDEX(PP_Grid[#Data],$DD572,64),0)</f>
        <v/>
      </c>
      <c r="BO572">
        <f>IFERROR(INDEX(PP_Grid[#Data],$DD572,65),0)</f>
        <v/>
      </c>
      <c r="BP572">
        <f>IFERROR(INDEX(PP_Grid[#Data],$DD572,66),0)</f>
        <v/>
      </c>
      <c r="BQ572">
        <f>IFERROR(INDEX(PP_Grid[#Data],$DD572,67),0)</f>
        <v/>
      </c>
      <c r="BR572">
        <f>IFERROR(INDEX(PP_Grid[#Data],$DD572,68),0)</f>
        <v/>
      </c>
      <c r="BS572">
        <f>IFERROR(INDEX(PP_Grid[#Data],$DD572,69),0)</f>
        <v/>
      </c>
      <c r="BT572">
        <f>IFERROR(INDEX(PP_Grid[#Data],$DD572,70),0)</f>
        <v/>
      </c>
      <c r="BU572">
        <f>IFERROR(INDEX(PP_Grid[#Data],$DD572,71),0)</f>
        <v/>
      </c>
      <c r="BV572">
        <f>IFERROR(INDEX(PP_Grid[#Data],$DD572,72),0)</f>
        <v/>
      </c>
      <c r="BW572">
        <f>IFERROR(INDEX(PP_Grid[#Data],$DD572,73),0)</f>
        <v/>
      </c>
      <c r="BX572">
        <f>IFERROR(INDEX(PP_Grid[#Data],$DD572,74),0)</f>
        <v/>
      </c>
      <c r="BY572">
        <f>IFERROR(INDEX(PP_Grid[#Data],$DD572,75),0)</f>
        <v/>
      </c>
      <c r="BZ572">
        <f>IFERROR(INDEX(PP_Grid[#Data],$DD572,76),0)</f>
        <v/>
      </c>
      <c r="CA572">
        <f>IFERROR(INDEX(PP_Grid[#Data],$DD572,77),0)</f>
        <v/>
      </c>
      <c r="CB572">
        <f>IFERROR(INDEX(PP_Grid[#Data],$DD572,78),0)</f>
        <v/>
      </c>
      <c r="CC572">
        <f>IFERROR(INDEX(PP_Grid[#Data],$DD572,79),0)</f>
        <v/>
      </c>
      <c r="CD572">
        <f>IFERROR(INDEX(PP_Grid[#Data],$DD572,80),0)</f>
        <v/>
      </c>
      <c r="CE572">
        <f>IFERROR(INDEX(PP_Grid[#Data],$DD572,81),0)</f>
        <v/>
      </c>
      <c r="CF572">
        <f>IFERROR(INDEX(PP_Grid[#Data],$DD572,82),0)</f>
        <v/>
      </c>
      <c r="CG572">
        <f>IFERROR(INDEX(PP_Grid[#Data],$DD572,83),0)</f>
        <v/>
      </c>
      <c r="CH572">
        <f>IFERROR(INDEX(PP_Grid[#Data],$DD572,84),0)</f>
        <v/>
      </c>
      <c r="CI572">
        <f>IFERROR(INDEX(PP_Grid[#Data],$DD572,85),0)</f>
        <v/>
      </c>
      <c r="CJ572">
        <f>IFERROR(INDEX(PP_Grid[#Data],$DD572,86),0)</f>
        <v/>
      </c>
      <c r="CK572">
        <f>IFERROR(INDEX(PP_Grid[#Data],$DD572,87),0)</f>
        <v/>
      </c>
      <c r="CL572">
        <f>IFERROR(INDEX(PP_Grid[#Data],$DD572,88),0)</f>
        <v/>
      </c>
      <c r="CM572">
        <f>IFERROR(INDEX(PP_Grid[#Data],$DD572,89),0)</f>
        <v/>
      </c>
      <c r="CN572">
        <f>IFERROR(INDEX(PP_Grid[#Data],$DD572,90),0)</f>
        <v/>
      </c>
      <c r="CO572">
        <f>IFERROR(INDEX(PP_Grid[#Data],$DD572,91),0)</f>
        <v/>
      </c>
      <c r="CP572">
        <f>IFERROR(INDEX(PP_Grid[#Data],$DD572,92),0)</f>
        <v/>
      </c>
      <c r="CQ572">
        <f>IFERROR(INDEX(PP_Grid[#Data],$DD572,93),0)</f>
        <v/>
      </c>
      <c r="CR572">
        <f>IFERROR(INDEX(PP_Grid[#Data],$DD572,94),0)</f>
        <v/>
      </c>
      <c r="CS572">
        <f>IFERROR(INDEX(PP_Grid[#Data],$DD572,95),0)</f>
        <v/>
      </c>
      <c r="CT572">
        <f>IFERROR(INDEX(PP_Grid[#Data],$DD572,96),0)</f>
        <v/>
      </c>
      <c r="CU572">
        <f>IFERROR(INDEX(PP_Grid[#Data],$DD572,97),0)</f>
        <v/>
      </c>
      <c r="CV572">
        <f>IFERROR(INDEX(PP_Grid[#Data],$DD572,98),0)</f>
        <v/>
      </c>
      <c r="CW572">
        <f>IFERROR(INDEX(PP_Grid[#Data],$DD572,99),0)</f>
        <v/>
      </c>
      <c r="CX572">
        <f>IFERROR(INDEX(PP_Grid[#Data],$DD572,100),0)</f>
        <v/>
      </c>
      <c r="CY572">
        <f>IFERROR(INDEX(PP_Grid[#Data],$DD572,101),0)</f>
        <v/>
      </c>
      <c r="CZ572">
        <f>IFERROR(INDEX(PP_Grid[#Data],$DD572,102),0)</f>
        <v/>
      </c>
      <c r="DA572">
        <f>IFERROR(INDEX(PP_Grid[#Data],$DD572,103),0)</f>
        <v/>
      </c>
      <c r="DB572">
        <f>IFERROR(INDEX(PP_Grid[#Data],$DD572,104),0)</f>
        <v/>
      </c>
      <c r="DC572">
        <f>IFERROR(INDEX(PP_Grid[#Data],$DD572,105),0)</f>
        <v/>
      </c>
      <c r="DD572" s="7">
        <f>IFERROR(MATCH($B572,PP_Grid[Intermediate],0),99999)</f>
        <v/>
      </c>
    </row>
    <row r="573">
      <c r="B573" t="inlineStr">
        <is>
          <t>使用量(kg)</t>
        </is>
      </c>
      <c r="C573">
        <f>SUMIFS(M_BOM[RM_Qty_Per_Batch],M_BOM[Intermediate],$B572,M_BOM[Part Name],$A547)</f>
        <v/>
      </c>
      <c r="D573">
        <f>$C573*D572</f>
        <v/>
      </c>
      <c r="E573">
        <f>$C573*E572</f>
        <v/>
      </c>
      <c r="F573">
        <f>$C573*F572</f>
        <v/>
      </c>
      <c r="G573">
        <f>$C573*G572</f>
        <v/>
      </c>
      <c r="H573">
        <f>$C573*H572</f>
        <v/>
      </c>
      <c r="I573">
        <f>$C573*I572</f>
        <v/>
      </c>
      <c r="J573">
        <f>$C573*J572</f>
        <v/>
      </c>
      <c r="K573">
        <f>$C573*K572</f>
        <v/>
      </c>
      <c r="L573">
        <f>$C573*L572</f>
        <v/>
      </c>
      <c r="M573">
        <f>$C573*M572</f>
        <v/>
      </c>
      <c r="N573">
        <f>$C573*N572</f>
        <v/>
      </c>
      <c r="O573">
        <f>$C573*O572</f>
        <v/>
      </c>
      <c r="P573">
        <f>$C573*P572</f>
        <v/>
      </c>
      <c r="Q573">
        <f>$C573*Q572</f>
        <v/>
      </c>
      <c r="R573">
        <f>$C573*R572</f>
        <v/>
      </c>
      <c r="S573">
        <f>$C573*S572</f>
        <v/>
      </c>
      <c r="T573">
        <f>$C573*T572</f>
        <v/>
      </c>
      <c r="U573">
        <f>$C573*U572</f>
        <v/>
      </c>
      <c r="V573">
        <f>$C573*V572</f>
        <v/>
      </c>
      <c r="W573">
        <f>$C573*W572</f>
        <v/>
      </c>
      <c r="X573">
        <f>$C573*X572</f>
        <v/>
      </c>
      <c r="Y573">
        <f>$C573*Y572</f>
        <v/>
      </c>
      <c r="Z573">
        <f>$C573*Z572</f>
        <v/>
      </c>
      <c r="AA573">
        <f>$C573*AA572</f>
        <v/>
      </c>
      <c r="AB573">
        <f>$C573*AB572</f>
        <v/>
      </c>
      <c r="AC573">
        <f>$C573*AC572</f>
        <v/>
      </c>
      <c r="AD573">
        <f>$C573*AD572</f>
        <v/>
      </c>
      <c r="AE573">
        <f>$C573*AE572</f>
        <v/>
      </c>
      <c r="AF573">
        <f>$C573*AF572</f>
        <v/>
      </c>
      <c r="AG573">
        <f>$C573*AG572</f>
        <v/>
      </c>
      <c r="AH573">
        <f>$C573*AH572</f>
        <v/>
      </c>
      <c r="AI573">
        <f>$C573*AI572</f>
        <v/>
      </c>
      <c r="AJ573">
        <f>$C573*AJ572</f>
        <v/>
      </c>
      <c r="AK573">
        <f>$C573*AK572</f>
        <v/>
      </c>
      <c r="AL573">
        <f>$C573*AL572</f>
        <v/>
      </c>
      <c r="AM573">
        <f>$C573*AM572</f>
        <v/>
      </c>
      <c r="AN573">
        <f>$C573*AN572</f>
        <v/>
      </c>
      <c r="AO573">
        <f>$C573*AO572</f>
        <v/>
      </c>
      <c r="AP573">
        <f>$C573*AP572</f>
        <v/>
      </c>
      <c r="AQ573">
        <f>$C573*AQ572</f>
        <v/>
      </c>
      <c r="AR573">
        <f>$C573*AR572</f>
        <v/>
      </c>
      <c r="AS573">
        <f>$C573*AS572</f>
        <v/>
      </c>
      <c r="AT573">
        <f>$C573*AT572</f>
        <v/>
      </c>
      <c r="AU573">
        <f>$C573*AU572</f>
        <v/>
      </c>
      <c r="AV573">
        <f>$C573*AV572</f>
        <v/>
      </c>
      <c r="AW573">
        <f>$C573*AW572</f>
        <v/>
      </c>
      <c r="AX573">
        <f>$C573*AX572</f>
        <v/>
      </c>
      <c r="AY573">
        <f>$C573*AY572</f>
        <v/>
      </c>
      <c r="AZ573">
        <f>$C573*AZ572</f>
        <v/>
      </c>
      <c r="BA573">
        <f>$C573*BA572</f>
        <v/>
      </c>
      <c r="BB573">
        <f>$C573*BB572</f>
        <v/>
      </c>
      <c r="BC573">
        <f>$C573*BC572</f>
        <v/>
      </c>
      <c r="BD573">
        <f>$C573*BD572</f>
        <v/>
      </c>
      <c r="BE573">
        <f>$C573*BE572</f>
        <v/>
      </c>
      <c r="BF573">
        <f>$C573*BF572</f>
        <v/>
      </c>
      <c r="BG573">
        <f>$C573*BG572</f>
        <v/>
      </c>
      <c r="BH573">
        <f>$C573*BH572</f>
        <v/>
      </c>
      <c r="BI573">
        <f>$C573*BI572</f>
        <v/>
      </c>
      <c r="BJ573">
        <f>$C573*BJ572</f>
        <v/>
      </c>
      <c r="BK573">
        <f>$C573*BK572</f>
        <v/>
      </c>
      <c r="BL573">
        <f>$C573*BL572</f>
        <v/>
      </c>
      <c r="BM573">
        <f>$C573*BM572</f>
        <v/>
      </c>
      <c r="BN573">
        <f>$C573*BN572</f>
        <v/>
      </c>
      <c r="BO573">
        <f>$C573*BO572</f>
        <v/>
      </c>
      <c r="BP573">
        <f>$C573*BP572</f>
        <v/>
      </c>
      <c r="BQ573">
        <f>$C573*BQ572</f>
        <v/>
      </c>
      <c r="BR573">
        <f>$C573*BR572</f>
        <v/>
      </c>
      <c r="BS573">
        <f>$C573*BS572</f>
        <v/>
      </c>
      <c r="BT573">
        <f>$C573*BT572</f>
        <v/>
      </c>
      <c r="BU573">
        <f>$C573*BU572</f>
        <v/>
      </c>
      <c r="BV573">
        <f>$C573*BV572</f>
        <v/>
      </c>
      <c r="BW573">
        <f>$C573*BW572</f>
        <v/>
      </c>
      <c r="BX573">
        <f>$C573*BX572</f>
        <v/>
      </c>
      <c r="BY573">
        <f>$C573*BY572</f>
        <v/>
      </c>
      <c r="BZ573">
        <f>$C573*BZ572</f>
        <v/>
      </c>
      <c r="CA573">
        <f>$C573*CA572</f>
        <v/>
      </c>
      <c r="CB573">
        <f>$C573*CB572</f>
        <v/>
      </c>
      <c r="CC573">
        <f>$C573*CC572</f>
        <v/>
      </c>
      <c r="CD573">
        <f>$C573*CD572</f>
        <v/>
      </c>
      <c r="CE573">
        <f>$C573*CE572</f>
        <v/>
      </c>
      <c r="CF573">
        <f>$C573*CF572</f>
        <v/>
      </c>
      <c r="CG573">
        <f>$C573*CG572</f>
        <v/>
      </c>
      <c r="CH573">
        <f>$C573*CH572</f>
        <v/>
      </c>
      <c r="CI573">
        <f>$C573*CI572</f>
        <v/>
      </c>
      <c r="CJ573">
        <f>$C573*CJ572</f>
        <v/>
      </c>
      <c r="CK573">
        <f>$C573*CK572</f>
        <v/>
      </c>
      <c r="CL573">
        <f>$C573*CL572</f>
        <v/>
      </c>
      <c r="CM573">
        <f>$C573*CM572</f>
        <v/>
      </c>
      <c r="CN573">
        <f>$C573*CN572</f>
        <v/>
      </c>
      <c r="CO573">
        <f>$C573*CO572</f>
        <v/>
      </c>
      <c r="CP573">
        <f>$C573*CP572</f>
        <v/>
      </c>
      <c r="CQ573">
        <f>$C573*CQ572</f>
        <v/>
      </c>
      <c r="CR573">
        <f>$C573*CR572</f>
        <v/>
      </c>
      <c r="CS573">
        <f>$C573*CS572</f>
        <v/>
      </c>
      <c r="CT573">
        <f>$C573*CT572</f>
        <v/>
      </c>
      <c r="CU573">
        <f>$C573*CU572</f>
        <v/>
      </c>
      <c r="CV573">
        <f>$C573*CV572</f>
        <v/>
      </c>
      <c r="CW573">
        <f>$C573*CW572</f>
        <v/>
      </c>
      <c r="CX573">
        <f>$C573*CX572</f>
        <v/>
      </c>
      <c r="CY573">
        <f>$C573*CY572</f>
        <v/>
      </c>
      <c r="CZ573">
        <f>$C573*CZ572</f>
        <v/>
      </c>
      <c r="DA573">
        <f>$C573*DA572</f>
        <v/>
      </c>
      <c r="DB573">
        <f>$C573*DB572</f>
        <v/>
      </c>
      <c r="DC573">
        <f>$C573*DC572</f>
        <v/>
      </c>
    </row>
    <row r="574">
      <c r="B574" s="4" t="inlineStr">
        <is>
          <t>合計使用量(kg)/週</t>
        </is>
      </c>
      <c r="D574">
        <f>'Grid_Requirement'!B35</f>
        <v/>
      </c>
      <c r="E574">
        <f>'Grid_Requirement'!C35</f>
        <v/>
      </c>
      <c r="F574">
        <f>'Grid_Requirement'!D35</f>
        <v/>
      </c>
      <c r="G574">
        <f>'Grid_Requirement'!E35</f>
        <v/>
      </c>
      <c r="H574">
        <f>'Grid_Requirement'!F35</f>
        <v/>
      </c>
      <c r="I574">
        <f>'Grid_Requirement'!G35</f>
        <v/>
      </c>
      <c r="J574">
        <f>'Grid_Requirement'!H35</f>
        <v/>
      </c>
      <c r="K574">
        <f>'Grid_Requirement'!I35</f>
        <v/>
      </c>
      <c r="L574">
        <f>'Grid_Requirement'!J35</f>
        <v/>
      </c>
      <c r="M574">
        <f>'Grid_Requirement'!K35</f>
        <v/>
      </c>
      <c r="N574">
        <f>'Grid_Requirement'!L35</f>
        <v/>
      </c>
      <c r="O574">
        <f>'Grid_Requirement'!M35</f>
        <v/>
      </c>
      <c r="P574">
        <f>'Grid_Requirement'!N35</f>
        <v/>
      </c>
      <c r="Q574">
        <f>'Grid_Requirement'!O35</f>
        <v/>
      </c>
      <c r="R574">
        <f>'Grid_Requirement'!P35</f>
        <v/>
      </c>
      <c r="S574">
        <f>'Grid_Requirement'!Q35</f>
        <v/>
      </c>
      <c r="T574">
        <f>'Grid_Requirement'!R35</f>
        <v/>
      </c>
      <c r="U574">
        <f>'Grid_Requirement'!S35</f>
        <v/>
      </c>
      <c r="V574">
        <f>'Grid_Requirement'!T35</f>
        <v/>
      </c>
      <c r="W574">
        <f>'Grid_Requirement'!U35</f>
        <v/>
      </c>
      <c r="X574">
        <f>'Grid_Requirement'!V35</f>
        <v/>
      </c>
      <c r="Y574">
        <f>'Grid_Requirement'!W35</f>
        <v/>
      </c>
      <c r="Z574">
        <f>'Grid_Requirement'!X35</f>
        <v/>
      </c>
      <c r="AA574">
        <f>'Grid_Requirement'!Y35</f>
        <v/>
      </c>
      <c r="AB574">
        <f>'Grid_Requirement'!Z35</f>
        <v/>
      </c>
      <c r="AC574">
        <f>'Grid_Requirement'!AA35</f>
        <v/>
      </c>
      <c r="AD574">
        <f>'Grid_Requirement'!AB35</f>
        <v/>
      </c>
      <c r="AE574">
        <f>'Grid_Requirement'!AC35</f>
        <v/>
      </c>
      <c r="AF574">
        <f>'Grid_Requirement'!AD35</f>
        <v/>
      </c>
      <c r="AG574">
        <f>'Grid_Requirement'!AE35</f>
        <v/>
      </c>
      <c r="AH574">
        <f>'Grid_Requirement'!AF35</f>
        <v/>
      </c>
      <c r="AI574">
        <f>'Grid_Requirement'!AG35</f>
        <v/>
      </c>
      <c r="AJ574">
        <f>'Grid_Requirement'!AH35</f>
        <v/>
      </c>
      <c r="AK574">
        <f>'Grid_Requirement'!AI35</f>
        <v/>
      </c>
      <c r="AL574">
        <f>'Grid_Requirement'!AJ35</f>
        <v/>
      </c>
      <c r="AM574">
        <f>'Grid_Requirement'!AK35</f>
        <v/>
      </c>
      <c r="AN574">
        <f>'Grid_Requirement'!AL35</f>
        <v/>
      </c>
      <c r="AO574">
        <f>'Grid_Requirement'!AM35</f>
        <v/>
      </c>
      <c r="AP574">
        <f>'Grid_Requirement'!AN35</f>
        <v/>
      </c>
      <c r="AQ574">
        <f>'Grid_Requirement'!AO35</f>
        <v/>
      </c>
      <c r="AR574">
        <f>'Grid_Requirement'!AP35</f>
        <v/>
      </c>
      <c r="AS574">
        <f>'Grid_Requirement'!AQ35</f>
        <v/>
      </c>
      <c r="AT574">
        <f>'Grid_Requirement'!AR35</f>
        <v/>
      </c>
      <c r="AU574">
        <f>'Grid_Requirement'!AS35</f>
        <v/>
      </c>
      <c r="AV574">
        <f>'Grid_Requirement'!AT35</f>
        <v/>
      </c>
      <c r="AW574">
        <f>'Grid_Requirement'!AU35</f>
        <v/>
      </c>
      <c r="AX574">
        <f>'Grid_Requirement'!AV35</f>
        <v/>
      </c>
      <c r="AY574">
        <f>'Grid_Requirement'!AW35</f>
        <v/>
      </c>
      <c r="AZ574">
        <f>'Grid_Requirement'!AX35</f>
        <v/>
      </c>
      <c r="BA574">
        <f>'Grid_Requirement'!AY35</f>
        <v/>
      </c>
      <c r="BB574">
        <f>'Grid_Requirement'!AZ35</f>
        <v/>
      </c>
      <c r="BC574">
        <f>'Grid_Requirement'!BA35</f>
        <v/>
      </c>
      <c r="BD574">
        <f>'Grid_Requirement'!BB35</f>
        <v/>
      </c>
      <c r="BE574">
        <f>'Grid_Requirement'!BC35</f>
        <v/>
      </c>
      <c r="BF574">
        <f>'Grid_Requirement'!BD35</f>
        <v/>
      </c>
      <c r="BG574">
        <f>'Grid_Requirement'!BE35</f>
        <v/>
      </c>
      <c r="BH574">
        <f>'Grid_Requirement'!BF35</f>
        <v/>
      </c>
      <c r="BI574">
        <f>'Grid_Requirement'!BG35</f>
        <v/>
      </c>
      <c r="BJ574">
        <f>'Grid_Requirement'!BH35</f>
        <v/>
      </c>
      <c r="BK574">
        <f>'Grid_Requirement'!BI35</f>
        <v/>
      </c>
      <c r="BL574">
        <f>'Grid_Requirement'!BJ35</f>
        <v/>
      </c>
      <c r="BM574">
        <f>'Grid_Requirement'!BK35</f>
        <v/>
      </c>
      <c r="BN574">
        <f>'Grid_Requirement'!BL35</f>
        <v/>
      </c>
      <c r="BO574">
        <f>'Grid_Requirement'!BM35</f>
        <v/>
      </c>
      <c r="BP574">
        <f>'Grid_Requirement'!BN35</f>
        <v/>
      </c>
      <c r="BQ574">
        <f>'Grid_Requirement'!BO35</f>
        <v/>
      </c>
      <c r="BR574">
        <f>'Grid_Requirement'!BP35</f>
        <v/>
      </c>
      <c r="BS574">
        <f>'Grid_Requirement'!BQ35</f>
        <v/>
      </c>
      <c r="BT574">
        <f>'Grid_Requirement'!BR35</f>
        <v/>
      </c>
      <c r="BU574">
        <f>'Grid_Requirement'!BS35</f>
        <v/>
      </c>
      <c r="BV574">
        <f>'Grid_Requirement'!BT35</f>
        <v/>
      </c>
      <c r="BW574">
        <f>'Grid_Requirement'!BU35</f>
        <v/>
      </c>
      <c r="BX574">
        <f>'Grid_Requirement'!BV35</f>
        <v/>
      </c>
      <c r="BY574">
        <f>'Grid_Requirement'!BW35</f>
        <v/>
      </c>
      <c r="BZ574">
        <f>'Grid_Requirement'!BX35</f>
        <v/>
      </c>
      <c r="CA574">
        <f>'Grid_Requirement'!BY35</f>
        <v/>
      </c>
      <c r="CB574">
        <f>'Grid_Requirement'!BZ35</f>
        <v/>
      </c>
      <c r="CC574">
        <f>'Grid_Requirement'!CA35</f>
        <v/>
      </c>
      <c r="CD574">
        <f>'Grid_Requirement'!CB35</f>
        <v/>
      </c>
      <c r="CE574">
        <f>'Grid_Requirement'!CC35</f>
        <v/>
      </c>
      <c r="CF574">
        <f>'Grid_Requirement'!CD35</f>
        <v/>
      </c>
      <c r="CG574">
        <f>'Grid_Requirement'!CE35</f>
        <v/>
      </c>
      <c r="CH574">
        <f>'Grid_Requirement'!CF35</f>
        <v/>
      </c>
      <c r="CI574">
        <f>'Grid_Requirement'!CG35</f>
        <v/>
      </c>
      <c r="CJ574">
        <f>'Grid_Requirement'!CH35</f>
        <v/>
      </c>
      <c r="CK574">
        <f>'Grid_Requirement'!CI35</f>
        <v/>
      </c>
      <c r="CL574">
        <f>'Grid_Requirement'!CJ35</f>
        <v/>
      </c>
      <c r="CM574">
        <f>'Grid_Requirement'!CK35</f>
        <v/>
      </c>
      <c r="CN574">
        <f>'Grid_Requirement'!CL35</f>
        <v/>
      </c>
      <c r="CO574">
        <f>'Grid_Requirement'!CM35</f>
        <v/>
      </c>
      <c r="CP574">
        <f>'Grid_Requirement'!CN35</f>
        <v/>
      </c>
      <c r="CQ574">
        <f>'Grid_Requirement'!CO35</f>
        <v/>
      </c>
      <c r="CR574">
        <f>'Grid_Requirement'!CP35</f>
        <v/>
      </c>
      <c r="CS574">
        <f>'Grid_Requirement'!CQ35</f>
        <v/>
      </c>
      <c r="CT574">
        <f>'Grid_Requirement'!CR35</f>
        <v/>
      </c>
      <c r="CU574">
        <f>'Grid_Requirement'!CS35</f>
        <v/>
      </c>
      <c r="CV574">
        <f>'Grid_Requirement'!CT35</f>
        <v/>
      </c>
      <c r="CW574">
        <f>'Grid_Requirement'!CU35</f>
        <v/>
      </c>
      <c r="CX574">
        <f>'Grid_Requirement'!CV35</f>
        <v/>
      </c>
      <c r="CY574">
        <f>'Grid_Requirement'!CW35</f>
        <v/>
      </c>
      <c r="CZ574">
        <f>'Grid_Requirement'!CX35</f>
        <v/>
      </c>
      <c r="DA574">
        <f>'Grid_Requirement'!CY35</f>
        <v/>
      </c>
      <c r="DB574">
        <f>'Grid_Requirement'!CZ35</f>
        <v/>
      </c>
      <c r="DC574">
        <f>'Grid_Requirement'!DA35</f>
        <v/>
      </c>
    </row>
    <row r="575">
      <c r="B575" t="inlineStr">
        <is>
          <t>TTAF在庫(実績,kg)</t>
        </is>
      </c>
      <c r="D575">
        <f>'T_TTAFStock'!B39</f>
        <v/>
      </c>
      <c r="E575">
        <f>'T_TTAFStock'!C39</f>
        <v/>
      </c>
      <c r="F575">
        <f>'T_TTAFStock'!D39</f>
        <v/>
      </c>
      <c r="G575">
        <f>'T_TTAFStock'!E39</f>
        <v/>
      </c>
      <c r="H575">
        <f>'T_TTAFStock'!F39</f>
        <v/>
      </c>
      <c r="I575">
        <f>'T_TTAFStock'!G39</f>
        <v/>
      </c>
      <c r="J575">
        <f>'T_TTAFStock'!H39</f>
        <v/>
      </c>
      <c r="K575">
        <f>'T_TTAFStock'!I39</f>
        <v/>
      </c>
      <c r="L575">
        <f>'T_TTAFStock'!J39</f>
        <v/>
      </c>
      <c r="M575">
        <f>'T_TTAFStock'!K39</f>
        <v/>
      </c>
      <c r="N575">
        <f>'T_TTAFStock'!L39</f>
        <v/>
      </c>
      <c r="O575">
        <f>'T_TTAFStock'!M39</f>
        <v/>
      </c>
      <c r="P575">
        <f>'T_TTAFStock'!N39</f>
        <v/>
      </c>
      <c r="Q575">
        <f>'T_TTAFStock'!O39</f>
        <v/>
      </c>
      <c r="R575">
        <f>'T_TTAFStock'!P39</f>
        <v/>
      </c>
      <c r="S575">
        <f>'T_TTAFStock'!Q39</f>
        <v/>
      </c>
      <c r="T575">
        <f>'T_TTAFStock'!R39</f>
        <v/>
      </c>
      <c r="U575">
        <f>'T_TTAFStock'!S39</f>
        <v/>
      </c>
      <c r="V575">
        <f>'T_TTAFStock'!T39</f>
        <v/>
      </c>
      <c r="W575">
        <f>'T_TTAFStock'!U39</f>
        <v/>
      </c>
      <c r="X575">
        <f>'T_TTAFStock'!V39</f>
        <v/>
      </c>
      <c r="Y575">
        <f>'T_TTAFStock'!W39</f>
        <v/>
      </c>
      <c r="Z575">
        <f>'T_TTAFStock'!X39</f>
        <v/>
      </c>
      <c r="AA575">
        <f>'T_TTAFStock'!Y39</f>
        <v/>
      </c>
      <c r="AB575">
        <f>'T_TTAFStock'!Z39</f>
        <v/>
      </c>
      <c r="AC575">
        <f>'T_TTAFStock'!AA39</f>
        <v/>
      </c>
      <c r="AD575">
        <f>'T_TTAFStock'!AB39</f>
        <v/>
      </c>
      <c r="AE575">
        <f>'T_TTAFStock'!AC39</f>
        <v/>
      </c>
      <c r="AF575">
        <f>'T_TTAFStock'!AD39</f>
        <v/>
      </c>
      <c r="AG575">
        <f>'T_TTAFStock'!AE39</f>
        <v/>
      </c>
      <c r="AH575">
        <f>'T_TTAFStock'!AF39</f>
        <v/>
      </c>
      <c r="AI575">
        <f>'T_TTAFStock'!AG39</f>
        <v/>
      </c>
      <c r="AJ575">
        <f>'T_TTAFStock'!AH39</f>
        <v/>
      </c>
      <c r="AK575">
        <f>'T_TTAFStock'!AI39</f>
        <v/>
      </c>
      <c r="AL575">
        <f>'T_TTAFStock'!AJ39</f>
        <v/>
      </c>
      <c r="AM575">
        <f>'T_TTAFStock'!AK39</f>
        <v/>
      </c>
      <c r="AN575">
        <f>'T_TTAFStock'!AL39</f>
        <v/>
      </c>
      <c r="AO575">
        <f>'T_TTAFStock'!AM39</f>
        <v/>
      </c>
      <c r="AP575">
        <f>'T_TTAFStock'!AN39</f>
        <v/>
      </c>
      <c r="AQ575">
        <f>'T_TTAFStock'!AO39</f>
        <v/>
      </c>
      <c r="AR575">
        <f>'T_TTAFStock'!AP39</f>
        <v/>
      </c>
      <c r="AS575">
        <f>'T_TTAFStock'!AQ39</f>
        <v/>
      </c>
      <c r="AT575">
        <f>'T_TTAFStock'!AR39</f>
        <v/>
      </c>
      <c r="AU575">
        <f>'T_TTAFStock'!AS39</f>
        <v/>
      </c>
      <c r="AV575">
        <f>'T_TTAFStock'!AT39</f>
        <v/>
      </c>
      <c r="AW575">
        <f>'T_TTAFStock'!AU39</f>
        <v/>
      </c>
      <c r="AX575">
        <f>'T_TTAFStock'!AV39</f>
        <v/>
      </c>
      <c r="AY575">
        <f>'T_TTAFStock'!AW39</f>
        <v/>
      </c>
      <c r="AZ575">
        <f>'T_TTAFStock'!AX39</f>
        <v/>
      </c>
      <c r="BA575">
        <f>'T_TTAFStock'!AY39</f>
        <v/>
      </c>
      <c r="BB575">
        <f>'T_TTAFStock'!AZ39</f>
        <v/>
      </c>
      <c r="BC575">
        <f>'T_TTAFStock'!BA39</f>
        <v/>
      </c>
      <c r="BD575">
        <f>'T_TTAFStock'!BB39</f>
        <v/>
      </c>
      <c r="BE575">
        <f>'T_TTAFStock'!BC39</f>
        <v/>
      </c>
      <c r="BF575">
        <f>'T_TTAFStock'!BD39</f>
        <v/>
      </c>
      <c r="BG575">
        <f>'T_TTAFStock'!BE39</f>
        <v/>
      </c>
      <c r="BH575">
        <f>'T_TTAFStock'!BF39</f>
        <v/>
      </c>
      <c r="BI575">
        <f>'T_TTAFStock'!BG39</f>
        <v/>
      </c>
      <c r="BJ575">
        <f>'T_TTAFStock'!BH39</f>
        <v/>
      </c>
      <c r="BK575">
        <f>'T_TTAFStock'!BI39</f>
        <v/>
      </c>
      <c r="BL575">
        <f>'T_TTAFStock'!BJ39</f>
        <v/>
      </c>
      <c r="BM575">
        <f>'T_TTAFStock'!BK39</f>
        <v/>
      </c>
      <c r="BN575">
        <f>'T_TTAFStock'!BL39</f>
        <v/>
      </c>
      <c r="BO575">
        <f>'T_TTAFStock'!BM39</f>
        <v/>
      </c>
      <c r="BP575">
        <f>'T_TTAFStock'!BN39</f>
        <v/>
      </c>
      <c r="BQ575">
        <f>'T_TTAFStock'!BO39</f>
        <v/>
      </c>
      <c r="BR575">
        <f>'T_TTAFStock'!BP39</f>
        <v/>
      </c>
      <c r="BS575">
        <f>'T_TTAFStock'!BQ39</f>
        <v/>
      </c>
      <c r="BT575">
        <f>'T_TTAFStock'!BR39</f>
        <v/>
      </c>
      <c r="BU575">
        <f>'T_TTAFStock'!BS39</f>
        <v/>
      </c>
      <c r="BV575">
        <f>'T_TTAFStock'!BT39</f>
        <v/>
      </c>
      <c r="BW575">
        <f>'T_TTAFStock'!BU39</f>
        <v/>
      </c>
      <c r="BX575">
        <f>'T_TTAFStock'!BV39</f>
        <v/>
      </c>
      <c r="BY575">
        <f>'T_TTAFStock'!BW39</f>
        <v/>
      </c>
      <c r="BZ575">
        <f>'T_TTAFStock'!BX39</f>
        <v/>
      </c>
      <c r="CA575">
        <f>'T_TTAFStock'!BY39</f>
        <v/>
      </c>
      <c r="CB575">
        <f>'T_TTAFStock'!BZ39</f>
        <v/>
      </c>
      <c r="CC575">
        <f>'T_TTAFStock'!CA39</f>
        <v/>
      </c>
      <c r="CD575">
        <f>'T_TTAFStock'!CB39</f>
        <v/>
      </c>
      <c r="CE575">
        <f>'T_TTAFStock'!CC39</f>
        <v/>
      </c>
      <c r="CF575">
        <f>'T_TTAFStock'!CD39</f>
        <v/>
      </c>
      <c r="CG575">
        <f>'T_TTAFStock'!CE39</f>
        <v/>
      </c>
      <c r="CH575">
        <f>'T_TTAFStock'!CF39</f>
        <v/>
      </c>
      <c r="CI575">
        <f>'T_TTAFStock'!CG39</f>
        <v/>
      </c>
      <c r="CJ575">
        <f>'T_TTAFStock'!CH39</f>
        <v/>
      </c>
      <c r="CK575">
        <f>'T_TTAFStock'!CI39</f>
        <v/>
      </c>
      <c r="CL575">
        <f>'T_TTAFStock'!CJ39</f>
        <v/>
      </c>
      <c r="CM575">
        <f>'T_TTAFStock'!CK39</f>
        <v/>
      </c>
      <c r="CN575">
        <f>'T_TTAFStock'!CL39</f>
        <v/>
      </c>
      <c r="CO575">
        <f>'T_TTAFStock'!CM39</f>
        <v/>
      </c>
      <c r="CP575">
        <f>'T_TTAFStock'!CN39</f>
        <v/>
      </c>
      <c r="CQ575">
        <f>'T_TTAFStock'!CO39</f>
        <v/>
      </c>
      <c r="CR575">
        <f>'T_TTAFStock'!CP39</f>
        <v/>
      </c>
      <c r="CS575">
        <f>'T_TTAFStock'!CQ39</f>
        <v/>
      </c>
      <c r="CT575">
        <f>'T_TTAFStock'!CR39</f>
        <v/>
      </c>
      <c r="CU575">
        <f>'T_TTAFStock'!CS39</f>
        <v/>
      </c>
      <c r="CV575">
        <f>'T_TTAFStock'!CT39</f>
        <v/>
      </c>
      <c r="CW575">
        <f>'T_TTAFStock'!CU39</f>
        <v/>
      </c>
      <c r="CX575">
        <f>'T_TTAFStock'!CV39</f>
        <v/>
      </c>
      <c r="CY575">
        <f>'T_TTAFStock'!CW39</f>
        <v/>
      </c>
      <c r="CZ575">
        <f>'T_TTAFStock'!CX39</f>
        <v/>
      </c>
      <c r="DA575">
        <f>'T_TTAFStock'!CY39</f>
        <v/>
      </c>
      <c r="DB575">
        <f>'T_TTAFStock'!CZ39</f>
        <v/>
      </c>
      <c r="DC575">
        <f>'T_TTAFStock'!DA39</f>
        <v/>
      </c>
    </row>
    <row r="576">
      <c r="B576" t="inlineStr">
        <is>
          <t>自社在庫(実績,kg)</t>
        </is>
      </c>
      <c r="D576">
        <f>'T_SelfStock'!B39</f>
        <v/>
      </c>
      <c r="E576">
        <f>'T_SelfStock'!C39</f>
        <v/>
      </c>
      <c r="F576">
        <f>'T_SelfStock'!D39</f>
        <v/>
      </c>
      <c r="G576">
        <f>'T_SelfStock'!E39</f>
        <v/>
      </c>
      <c r="H576">
        <f>'T_SelfStock'!F39</f>
        <v/>
      </c>
      <c r="I576">
        <f>'T_SelfStock'!G39</f>
        <v/>
      </c>
      <c r="J576">
        <f>'T_SelfStock'!H39</f>
        <v/>
      </c>
      <c r="K576">
        <f>'T_SelfStock'!I39</f>
        <v/>
      </c>
      <c r="L576">
        <f>'T_SelfStock'!J39</f>
        <v/>
      </c>
      <c r="M576">
        <f>'T_SelfStock'!K39</f>
        <v/>
      </c>
      <c r="N576">
        <f>'T_SelfStock'!L39</f>
        <v/>
      </c>
      <c r="O576">
        <f>'T_SelfStock'!M39</f>
        <v/>
      </c>
      <c r="P576">
        <f>'T_SelfStock'!N39</f>
        <v/>
      </c>
      <c r="Q576">
        <f>'T_SelfStock'!O39</f>
        <v/>
      </c>
      <c r="R576">
        <f>'T_SelfStock'!P39</f>
        <v/>
      </c>
      <c r="S576">
        <f>'T_SelfStock'!Q39</f>
        <v/>
      </c>
      <c r="T576">
        <f>'T_SelfStock'!R39</f>
        <v/>
      </c>
      <c r="U576">
        <f>'T_SelfStock'!S39</f>
        <v/>
      </c>
      <c r="V576">
        <f>'T_SelfStock'!T39</f>
        <v/>
      </c>
      <c r="W576">
        <f>'T_SelfStock'!U39</f>
        <v/>
      </c>
      <c r="X576">
        <f>'T_SelfStock'!V39</f>
        <v/>
      </c>
      <c r="Y576">
        <f>'T_SelfStock'!W39</f>
        <v/>
      </c>
      <c r="Z576">
        <f>'T_SelfStock'!X39</f>
        <v/>
      </c>
      <c r="AA576">
        <f>'T_SelfStock'!Y39</f>
        <v/>
      </c>
      <c r="AB576">
        <f>'T_SelfStock'!Z39</f>
        <v/>
      </c>
      <c r="AC576">
        <f>'T_SelfStock'!AA39</f>
        <v/>
      </c>
      <c r="AD576">
        <f>'T_SelfStock'!AB39</f>
        <v/>
      </c>
      <c r="AE576">
        <f>'T_SelfStock'!AC39</f>
        <v/>
      </c>
      <c r="AF576">
        <f>'T_SelfStock'!AD39</f>
        <v/>
      </c>
      <c r="AG576">
        <f>'T_SelfStock'!AE39</f>
        <v/>
      </c>
      <c r="AH576">
        <f>'T_SelfStock'!AF39</f>
        <v/>
      </c>
      <c r="AI576">
        <f>'T_SelfStock'!AG39</f>
        <v/>
      </c>
      <c r="AJ576">
        <f>'T_SelfStock'!AH39</f>
        <v/>
      </c>
      <c r="AK576">
        <f>'T_SelfStock'!AI39</f>
        <v/>
      </c>
      <c r="AL576">
        <f>'T_SelfStock'!AJ39</f>
        <v/>
      </c>
      <c r="AM576">
        <f>'T_SelfStock'!AK39</f>
        <v/>
      </c>
      <c r="AN576">
        <f>'T_SelfStock'!AL39</f>
        <v/>
      </c>
      <c r="AO576">
        <f>'T_SelfStock'!AM39</f>
        <v/>
      </c>
      <c r="AP576">
        <f>'T_SelfStock'!AN39</f>
        <v/>
      </c>
      <c r="AQ576">
        <f>'T_SelfStock'!AO39</f>
        <v/>
      </c>
      <c r="AR576">
        <f>'T_SelfStock'!AP39</f>
        <v/>
      </c>
      <c r="AS576">
        <f>'T_SelfStock'!AQ39</f>
        <v/>
      </c>
      <c r="AT576">
        <f>'T_SelfStock'!AR39</f>
        <v/>
      </c>
      <c r="AU576">
        <f>'T_SelfStock'!AS39</f>
        <v/>
      </c>
      <c r="AV576">
        <f>'T_SelfStock'!AT39</f>
        <v/>
      </c>
      <c r="AW576">
        <f>'T_SelfStock'!AU39</f>
        <v/>
      </c>
      <c r="AX576">
        <f>'T_SelfStock'!AV39</f>
        <v/>
      </c>
      <c r="AY576">
        <f>'T_SelfStock'!AW39</f>
        <v/>
      </c>
      <c r="AZ576">
        <f>'T_SelfStock'!AX39</f>
        <v/>
      </c>
      <c r="BA576">
        <f>'T_SelfStock'!AY39</f>
        <v/>
      </c>
      <c r="BB576">
        <f>'T_SelfStock'!AZ39</f>
        <v/>
      </c>
      <c r="BC576">
        <f>'T_SelfStock'!BA39</f>
        <v/>
      </c>
      <c r="BD576">
        <f>'T_SelfStock'!BB39</f>
        <v/>
      </c>
      <c r="BE576">
        <f>'T_SelfStock'!BC39</f>
        <v/>
      </c>
      <c r="BF576">
        <f>'T_SelfStock'!BD39</f>
        <v/>
      </c>
      <c r="BG576">
        <f>'T_SelfStock'!BE39</f>
        <v/>
      </c>
      <c r="BH576">
        <f>'T_SelfStock'!BF39</f>
        <v/>
      </c>
      <c r="BI576">
        <f>'T_SelfStock'!BG39</f>
        <v/>
      </c>
      <c r="BJ576">
        <f>'T_SelfStock'!BH39</f>
        <v/>
      </c>
      <c r="BK576">
        <f>'T_SelfStock'!BI39</f>
        <v/>
      </c>
      <c r="BL576">
        <f>'T_SelfStock'!BJ39</f>
        <v/>
      </c>
      <c r="BM576">
        <f>'T_SelfStock'!BK39</f>
        <v/>
      </c>
      <c r="BN576">
        <f>'T_SelfStock'!BL39</f>
        <v/>
      </c>
      <c r="BO576">
        <f>'T_SelfStock'!BM39</f>
        <v/>
      </c>
      <c r="BP576">
        <f>'T_SelfStock'!BN39</f>
        <v/>
      </c>
      <c r="BQ576">
        <f>'T_SelfStock'!BO39</f>
        <v/>
      </c>
      <c r="BR576">
        <f>'T_SelfStock'!BP39</f>
        <v/>
      </c>
      <c r="BS576">
        <f>'T_SelfStock'!BQ39</f>
        <v/>
      </c>
      <c r="BT576">
        <f>'T_SelfStock'!BR39</f>
        <v/>
      </c>
      <c r="BU576">
        <f>'T_SelfStock'!BS39</f>
        <v/>
      </c>
      <c r="BV576">
        <f>'T_SelfStock'!BT39</f>
        <v/>
      </c>
      <c r="BW576">
        <f>'T_SelfStock'!BU39</f>
        <v/>
      </c>
      <c r="BX576">
        <f>'T_SelfStock'!BV39</f>
        <v/>
      </c>
      <c r="BY576">
        <f>'T_SelfStock'!BW39</f>
        <v/>
      </c>
      <c r="BZ576">
        <f>'T_SelfStock'!BX39</f>
        <v/>
      </c>
      <c r="CA576">
        <f>'T_SelfStock'!BY39</f>
        <v/>
      </c>
      <c r="CB576">
        <f>'T_SelfStock'!BZ39</f>
        <v/>
      </c>
      <c r="CC576">
        <f>'T_SelfStock'!CA39</f>
        <v/>
      </c>
      <c r="CD576">
        <f>'T_SelfStock'!CB39</f>
        <v/>
      </c>
      <c r="CE576">
        <f>'T_SelfStock'!CC39</f>
        <v/>
      </c>
      <c r="CF576">
        <f>'T_SelfStock'!CD39</f>
        <v/>
      </c>
      <c r="CG576">
        <f>'T_SelfStock'!CE39</f>
        <v/>
      </c>
      <c r="CH576">
        <f>'T_SelfStock'!CF39</f>
        <v/>
      </c>
      <c r="CI576">
        <f>'T_SelfStock'!CG39</f>
        <v/>
      </c>
      <c r="CJ576">
        <f>'T_SelfStock'!CH39</f>
        <v/>
      </c>
      <c r="CK576">
        <f>'T_SelfStock'!CI39</f>
        <v/>
      </c>
      <c r="CL576">
        <f>'T_SelfStock'!CJ39</f>
        <v/>
      </c>
      <c r="CM576">
        <f>'T_SelfStock'!CK39</f>
        <v/>
      </c>
      <c r="CN576">
        <f>'T_SelfStock'!CL39</f>
        <v/>
      </c>
      <c r="CO576">
        <f>'T_SelfStock'!CM39</f>
        <v/>
      </c>
      <c r="CP576">
        <f>'T_SelfStock'!CN39</f>
        <v/>
      </c>
      <c r="CQ576">
        <f>'T_SelfStock'!CO39</f>
        <v/>
      </c>
      <c r="CR576">
        <f>'T_SelfStock'!CP39</f>
        <v/>
      </c>
      <c r="CS576">
        <f>'T_SelfStock'!CQ39</f>
        <v/>
      </c>
      <c r="CT576">
        <f>'T_SelfStock'!CR39</f>
        <v/>
      </c>
      <c r="CU576">
        <f>'T_SelfStock'!CS39</f>
        <v/>
      </c>
      <c r="CV576">
        <f>'T_SelfStock'!CT39</f>
        <v/>
      </c>
      <c r="CW576">
        <f>'T_SelfStock'!CU39</f>
        <v/>
      </c>
      <c r="CX576">
        <f>'T_SelfStock'!CV39</f>
        <v/>
      </c>
      <c r="CY576">
        <f>'T_SelfStock'!CW39</f>
        <v/>
      </c>
      <c r="CZ576">
        <f>'T_SelfStock'!CX39</f>
        <v/>
      </c>
      <c r="DA576">
        <f>'T_SelfStock'!CY39</f>
        <v/>
      </c>
      <c r="DB576">
        <f>'T_SelfStock'!CZ39</f>
        <v/>
      </c>
      <c r="DC576">
        <f>'T_SelfStock'!DA39</f>
        <v/>
      </c>
    </row>
    <row r="577">
      <c r="B577" s="4" t="inlineStr">
        <is>
          <t>合計在庫(週末時点,kg)</t>
        </is>
      </c>
      <c r="D577">
        <f>'Grid_Stock'!B35</f>
        <v/>
      </c>
      <c r="E577">
        <f>'Grid_Stock'!C35</f>
        <v/>
      </c>
      <c r="F577">
        <f>'Grid_Stock'!D35</f>
        <v/>
      </c>
      <c r="G577">
        <f>'Grid_Stock'!E35</f>
        <v/>
      </c>
      <c r="H577">
        <f>'Grid_Stock'!F35</f>
        <v/>
      </c>
      <c r="I577">
        <f>'Grid_Stock'!G35</f>
        <v/>
      </c>
      <c r="J577">
        <f>'Grid_Stock'!H35</f>
        <v/>
      </c>
      <c r="K577">
        <f>'Grid_Stock'!I35</f>
        <v/>
      </c>
      <c r="L577">
        <f>'Grid_Stock'!J35</f>
        <v/>
      </c>
      <c r="M577">
        <f>'Grid_Stock'!K35</f>
        <v/>
      </c>
      <c r="N577">
        <f>'Grid_Stock'!L35</f>
        <v/>
      </c>
      <c r="O577">
        <f>'Grid_Stock'!M35</f>
        <v/>
      </c>
      <c r="P577">
        <f>'Grid_Stock'!N35</f>
        <v/>
      </c>
      <c r="Q577">
        <f>'Grid_Stock'!O35</f>
        <v/>
      </c>
      <c r="R577">
        <f>'Grid_Stock'!P35</f>
        <v/>
      </c>
      <c r="S577">
        <f>'Grid_Stock'!Q35</f>
        <v/>
      </c>
      <c r="T577">
        <f>'Grid_Stock'!R35</f>
        <v/>
      </c>
      <c r="U577">
        <f>'Grid_Stock'!S35</f>
        <v/>
      </c>
      <c r="V577">
        <f>'Grid_Stock'!T35</f>
        <v/>
      </c>
      <c r="W577">
        <f>'Grid_Stock'!U35</f>
        <v/>
      </c>
      <c r="X577">
        <f>'Grid_Stock'!V35</f>
        <v/>
      </c>
      <c r="Y577">
        <f>'Grid_Stock'!W35</f>
        <v/>
      </c>
      <c r="Z577">
        <f>'Grid_Stock'!X35</f>
        <v/>
      </c>
      <c r="AA577">
        <f>'Grid_Stock'!Y35</f>
        <v/>
      </c>
      <c r="AB577">
        <f>'Grid_Stock'!Z35</f>
        <v/>
      </c>
      <c r="AC577">
        <f>'Grid_Stock'!AA35</f>
        <v/>
      </c>
      <c r="AD577">
        <f>'Grid_Stock'!AB35</f>
        <v/>
      </c>
      <c r="AE577">
        <f>'Grid_Stock'!AC35</f>
        <v/>
      </c>
      <c r="AF577">
        <f>'Grid_Stock'!AD35</f>
        <v/>
      </c>
      <c r="AG577">
        <f>'Grid_Stock'!AE35</f>
        <v/>
      </c>
      <c r="AH577">
        <f>'Grid_Stock'!AF35</f>
        <v/>
      </c>
      <c r="AI577">
        <f>'Grid_Stock'!AG35</f>
        <v/>
      </c>
      <c r="AJ577">
        <f>'Grid_Stock'!AH35</f>
        <v/>
      </c>
      <c r="AK577">
        <f>'Grid_Stock'!AI35</f>
        <v/>
      </c>
      <c r="AL577">
        <f>'Grid_Stock'!AJ35</f>
        <v/>
      </c>
      <c r="AM577">
        <f>'Grid_Stock'!AK35</f>
        <v/>
      </c>
      <c r="AN577">
        <f>'Grid_Stock'!AL35</f>
        <v/>
      </c>
      <c r="AO577">
        <f>'Grid_Stock'!AM35</f>
        <v/>
      </c>
      <c r="AP577">
        <f>'Grid_Stock'!AN35</f>
        <v/>
      </c>
      <c r="AQ577">
        <f>'Grid_Stock'!AO35</f>
        <v/>
      </c>
      <c r="AR577">
        <f>'Grid_Stock'!AP35</f>
        <v/>
      </c>
      <c r="AS577">
        <f>'Grid_Stock'!AQ35</f>
        <v/>
      </c>
      <c r="AT577">
        <f>'Grid_Stock'!AR35</f>
        <v/>
      </c>
      <c r="AU577">
        <f>'Grid_Stock'!AS35</f>
        <v/>
      </c>
      <c r="AV577">
        <f>'Grid_Stock'!AT35</f>
        <v/>
      </c>
      <c r="AW577">
        <f>'Grid_Stock'!AU35</f>
        <v/>
      </c>
      <c r="AX577">
        <f>'Grid_Stock'!AV35</f>
        <v/>
      </c>
      <c r="AY577">
        <f>'Grid_Stock'!AW35</f>
        <v/>
      </c>
      <c r="AZ577">
        <f>'Grid_Stock'!AX35</f>
        <v/>
      </c>
      <c r="BA577">
        <f>'Grid_Stock'!AY35</f>
        <v/>
      </c>
      <c r="BB577">
        <f>'Grid_Stock'!AZ35</f>
        <v/>
      </c>
      <c r="BC577">
        <f>'Grid_Stock'!BA35</f>
        <v/>
      </c>
      <c r="BD577">
        <f>'Grid_Stock'!BB35</f>
        <v/>
      </c>
      <c r="BE577">
        <f>'Grid_Stock'!BC35</f>
        <v/>
      </c>
      <c r="BF577">
        <f>'Grid_Stock'!BD35</f>
        <v/>
      </c>
      <c r="BG577">
        <f>'Grid_Stock'!BE35</f>
        <v/>
      </c>
      <c r="BH577">
        <f>'Grid_Stock'!BF35</f>
        <v/>
      </c>
      <c r="BI577">
        <f>'Grid_Stock'!BG35</f>
        <v/>
      </c>
      <c r="BJ577">
        <f>'Grid_Stock'!BH35</f>
        <v/>
      </c>
      <c r="BK577">
        <f>'Grid_Stock'!BI35</f>
        <v/>
      </c>
      <c r="BL577">
        <f>'Grid_Stock'!BJ35</f>
        <v/>
      </c>
      <c r="BM577">
        <f>'Grid_Stock'!BK35</f>
        <v/>
      </c>
      <c r="BN577">
        <f>'Grid_Stock'!BL35</f>
        <v/>
      </c>
      <c r="BO577">
        <f>'Grid_Stock'!BM35</f>
        <v/>
      </c>
      <c r="BP577">
        <f>'Grid_Stock'!BN35</f>
        <v/>
      </c>
      <c r="BQ577">
        <f>'Grid_Stock'!BO35</f>
        <v/>
      </c>
      <c r="BR577">
        <f>'Grid_Stock'!BP35</f>
        <v/>
      </c>
      <c r="BS577">
        <f>'Grid_Stock'!BQ35</f>
        <v/>
      </c>
      <c r="BT577">
        <f>'Grid_Stock'!BR35</f>
        <v/>
      </c>
      <c r="BU577">
        <f>'Grid_Stock'!BS35</f>
        <v/>
      </c>
      <c r="BV577">
        <f>'Grid_Stock'!BT35</f>
        <v/>
      </c>
      <c r="BW577">
        <f>'Grid_Stock'!BU35</f>
        <v/>
      </c>
      <c r="BX577">
        <f>'Grid_Stock'!BV35</f>
        <v/>
      </c>
      <c r="BY577">
        <f>'Grid_Stock'!BW35</f>
        <v/>
      </c>
      <c r="BZ577">
        <f>'Grid_Stock'!BX35</f>
        <v/>
      </c>
      <c r="CA577">
        <f>'Grid_Stock'!BY35</f>
        <v/>
      </c>
      <c r="CB577">
        <f>'Grid_Stock'!BZ35</f>
        <v/>
      </c>
      <c r="CC577">
        <f>'Grid_Stock'!CA35</f>
        <v/>
      </c>
      <c r="CD577">
        <f>'Grid_Stock'!CB35</f>
        <v/>
      </c>
      <c r="CE577">
        <f>'Grid_Stock'!CC35</f>
        <v/>
      </c>
      <c r="CF577">
        <f>'Grid_Stock'!CD35</f>
        <v/>
      </c>
      <c r="CG577">
        <f>'Grid_Stock'!CE35</f>
        <v/>
      </c>
      <c r="CH577">
        <f>'Grid_Stock'!CF35</f>
        <v/>
      </c>
      <c r="CI577">
        <f>'Grid_Stock'!CG35</f>
        <v/>
      </c>
      <c r="CJ577">
        <f>'Grid_Stock'!CH35</f>
        <v/>
      </c>
      <c r="CK577">
        <f>'Grid_Stock'!CI35</f>
        <v/>
      </c>
      <c r="CL577">
        <f>'Grid_Stock'!CJ35</f>
        <v/>
      </c>
      <c r="CM577">
        <f>'Grid_Stock'!CK35</f>
        <v/>
      </c>
      <c r="CN577">
        <f>'Grid_Stock'!CL35</f>
        <v/>
      </c>
      <c r="CO577">
        <f>'Grid_Stock'!CM35</f>
        <v/>
      </c>
      <c r="CP577">
        <f>'Grid_Stock'!CN35</f>
        <v/>
      </c>
      <c r="CQ577">
        <f>'Grid_Stock'!CO35</f>
        <v/>
      </c>
      <c r="CR577">
        <f>'Grid_Stock'!CP35</f>
        <v/>
      </c>
      <c r="CS577">
        <f>'Grid_Stock'!CQ35</f>
        <v/>
      </c>
      <c r="CT577">
        <f>'Grid_Stock'!CR35</f>
        <v/>
      </c>
      <c r="CU577">
        <f>'Grid_Stock'!CS35</f>
        <v/>
      </c>
      <c r="CV577">
        <f>'Grid_Stock'!CT35</f>
        <v/>
      </c>
      <c r="CW577">
        <f>'Grid_Stock'!CU35</f>
        <v/>
      </c>
      <c r="CX577">
        <f>'Grid_Stock'!CV35</f>
        <v/>
      </c>
      <c r="CY577">
        <f>'Grid_Stock'!CW35</f>
        <v/>
      </c>
      <c r="CZ577">
        <f>'Grid_Stock'!CX35</f>
        <v/>
      </c>
      <c r="DA577">
        <f>'Grid_Stock'!CY35</f>
        <v/>
      </c>
      <c r="DB577">
        <f>'Grid_Stock'!CZ35</f>
        <v/>
      </c>
      <c r="DC577">
        <f>'Grid_Stock'!DA35</f>
        <v/>
      </c>
    </row>
    <row r="578">
      <c r="B578" s="16" t="inlineStr">
        <is>
          <t>（発注の目安はDashboardの基準在庫[下限/上限]と色分けを参照）</t>
        </is>
      </c>
    </row>
    <row r="580">
      <c r="A580" s="14" t="inlineStr">
        <is>
          <t>0JN</t>
        </is>
      </c>
      <c r="B580" s="14" t="inlineStr">
        <is>
          <t>N30S/10 : 11R-11 (F2090) Poland</t>
        </is>
      </c>
      <c r="C580" s="15" t="n"/>
      <c r="D580" s="14" t="n"/>
      <c r="E580" s="14" t="n"/>
      <c r="F580" s="14" t="n"/>
      <c r="G580" s="14" t="n"/>
      <c r="H580" s="14" t="n"/>
      <c r="I580" s="14" t="n"/>
      <c r="J580" s="14" t="n"/>
      <c r="K580" s="14" t="n"/>
      <c r="L580" s="14" t="n"/>
      <c r="M580" s="14" t="n"/>
      <c r="N580" s="14" t="n"/>
      <c r="O580" s="14" t="n"/>
      <c r="P580" s="14" t="n"/>
      <c r="Q580" s="14" t="n"/>
      <c r="R580" s="14" t="n"/>
      <c r="S580" s="14" t="n"/>
      <c r="T580" s="14" t="n"/>
      <c r="U580" s="14" t="n"/>
      <c r="V580" s="14" t="n"/>
      <c r="W580" s="14" t="n"/>
      <c r="X580" s="14" t="n"/>
      <c r="Y580" s="14" t="n"/>
      <c r="Z580" s="14" t="n"/>
      <c r="AA580" s="14" t="n"/>
      <c r="AB580" s="14" t="n"/>
      <c r="AC580" s="14" t="n"/>
      <c r="AD580" s="14" t="n"/>
      <c r="AE580" s="14" t="n"/>
      <c r="AF580" s="14" t="n"/>
      <c r="AG580" s="14" t="n"/>
      <c r="AH580" s="14" t="n"/>
      <c r="AI580" s="14" t="n"/>
      <c r="AJ580" s="14" t="n"/>
      <c r="AK580" s="14" t="n"/>
      <c r="AL580" s="14" t="n"/>
      <c r="AM580" s="14" t="n"/>
      <c r="AN580" s="14" t="n"/>
      <c r="AO580" s="14" t="n"/>
      <c r="AP580" s="14" t="n"/>
      <c r="AQ580" s="14" t="n"/>
      <c r="AR580" s="14" t="n"/>
      <c r="AS580" s="14" t="n"/>
      <c r="AT580" s="14" t="n"/>
      <c r="AU580" s="14" t="n"/>
      <c r="AV580" s="14" t="n"/>
      <c r="AW580" s="14" t="n"/>
      <c r="AX580" s="14" t="n"/>
      <c r="AY580" s="14" t="n"/>
      <c r="AZ580" s="14" t="n"/>
      <c r="BA580" s="14" t="n"/>
      <c r="BB580" s="14" t="n"/>
      <c r="BC580" s="14" t="n"/>
      <c r="BD580" s="14" t="n"/>
      <c r="BE580" s="14" t="n"/>
      <c r="BF580" s="14" t="n"/>
      <c r="BG580" s="14" t="n"/>
      <c r="BH580" s="14" t="n"/>
      <c r="BI580" s="14" t="n"/>
      <c r="BJ580" s="14" t="n"/>
      <c r="BK580" s="14" t="n"/>
      <c r="BL580" s="14" t="n"/>
      <c r="BM580" s="14" t="n"/>
      <c r="BN580" s="14" t="n"/>
      <c r="BO580" s="14" t="n"/>
      <c r="BP580" s="14" t="n"/>
      <c r="BQ580" s="14" t="n"/>
      <c r="BR580" s="14" t="n"/>
      <c r="BS580" s="14" t="n"/>
      <c r="BT580" s="14" t="n"/>
      <c r="BU580" s="14" t="n"/>
      <c r="BV580" s="14" t="n"/>
      <c r="BW580" s="14" t="n"/>
      <c r="BX580" s="14" t="n"/>
      <c r="BY580" s="14" t="n"/>
      <c r="BZ580" s="14" t="n"/>
      <c r="CA580" s="14" t="n"/>
      <c r="CB580" s="14" t="n"/>
      <c r="CC580" s="14" t="n"/>
      <c r="CD580" s="14" t="n"/>
      <c r="CE580" s="14" t="n"/>
      <c r="CF580" s="14" t="n"/>
      <c r="CG580" s="14" t="n"/>
      <c r="CH580" s="14" t="n"/>
      <c r="CI580" s="14" t="n"/>
      <c r="CJ580" s="14" t="n"/>
      <c r="CK580" s="14" t="n"/>
      <c r="CL580" s="14" t="n"/>
      <c r="CM580" s="14" t="n"/>
      <c r="CN580" s="14" t="n"/>
      <c r="CO580" s="14" t="n"/>
      <c r="CP580" s="14" t="n"/>
      <c r="CQ580" s="14" t="n"/>
      <c r="CR580" s="14" t="n"/>
      <c r="CS580" s="14" t="n"/>
      <c r="CT580" s="14" t="n"/>
      <c r="CU580" s="14" t="n"/>
      <c r="CV580" s="14" t="n"/>
      <c r="CW580" s="14" t="n"/>
      <c r="CX580" s="14" t="n"/>
      <c r="CY580" s="14" t="n"/>
      <c r="CZ580" s="14" t="n"/>
      <c r="DA580" s="14" t="n"/>
      <c r="DB580" s="14" t="n"/>
      <c r="DC580" s="14" t="n"/>
    </row>
    <row r="581">
      <c r="B581" t="inlineStr">
        <is>
          <t>TSP-219</t>
        </is>
      </c>
      <c r="C581" t="inlineStr">
        <is>
          <t>No. of batches</t>
        </is>
      </c>
      <c r="D581">
        <f>IFERROR(INDEX(PP_Grid[#Data],$DD581,2),0)</f>
        <v/>
      </c>
      <c r="E581">
        <f>IFERROR(INDEX(PP_Grid[#Data],$DD581,3),0)</f>
        <v/>
      </c>
      <c r="F581">
        <f>IFERROR(INDEX(PP_Grid[#Data],$DD581,4),0)</f>
        <v/>
      </c>
      <c r="G581">
        <f>IFERROR(INDEX(PP_Grid[#Data],$DD581,5),0)</f>
        <v/>
      </c>
      <c r="H581">
        <f>IFERROR(INDEX(PP_Grid[#Data],$DD581,6),0)</f>
        <v/>
      </c>
      <c r="I581">
        <f>IFERROR(INDEX(PP_Grid[#Data],$DD581,7),0)</f>
        <v/>
      </c>
      <c r="J581">
        <f>IFERROR(INDEX(PP_Grid[#Data],$DD581,8),0)</f>
        <v/>
      </c>
      <c r="K581">
        <f>IFERROR(INDEX(PP_Grid[#Data],$DD581,9),0)</f>
        <v/>
      </c>
      <c r="L581">
        <f>IFERROR(INDEX(PP_Grid[#Data],$DD581,10),0)</f>
        <v/>
      </c>
      <c r="M581">
        <f>IFERROR(INDEX(PP_Grid[#Data],$DD581,11),0)</f>
        <v/>
      </c>
      <c r="N581">
        <f>IFERROR(INDEX(PP_Grid[#Data],$DD581,12),0)</f>
        <v/>
      </c>
      <c r="O581">
        <f>IFERROR(INDEX(PP_Grid[#Data],$DD581,13),0)</f>
        <v/>
      </c>
      <c r="P581">
        <f>IFERROR(INDEX(PP_Grid[#Data],$DD581,14),0)</f>
        <v/>
      </c>
      <c r="Q581">
        <f>IFERROR(INDEX(PP_Grid[#Data],$DD581,15),0)</f>
        <v/>
      </c>
      <c r="R581">
        <f>IFERROR(INDEX(PP_Grid[#Data],$DD581,16),0)</f>
        <v/>
      </c>
      <c r="S581">
        <f>IFERROR(INDEX(PP_Grid[#Data],$DD581,17),0)</f>
        <v/>
      </c>
      <c r="T581">
        <f>IFERROR(INDEX(PP_Grid[#Data],$DD581,18),0)</f>
        <v/>
      </c>
      <c r="U581">
        <f>IFERROR(INDEX(PP_Grid[#Data],$DD581,19),0)</f>
        <v/>
      </c>
      <c r="V581">
        <f>IFERROR(INDEX(PP_Grid[#Data],$DD581,20),0)</f>
        <v/>
      </c>
      <c r="W581">
        <f>IFERROR(INDEX(PP_Grid[#Data],$DD581,21),0)</f>
        <v/>
      </c>
      <c r="X581">
        <f>IFERROR(INDEX(PP_Grid[#Data],$DD581,22),0)</f>
        <v/>
      </c>
      <c r="Y581">
        <f>IFERROR(INDEX(PP_Grid[#Data],$DD581,23),0)</f>
        <v/>
      </c>
      <c r="Z581">
        <f>IFERROR(INDEX(PP_Grid[#Data],$DD581,24),0)</f>
        <v/>
      </c>
      <c r="AA581">
        <f>IFERROR(INDEX(PP_Grid[#Data],$DD581,25),0)</f>
        <v/>
      </c>
      <c r="AB581">
        <f>IFERROR(INDEX(PP_Grid[#Data],$DD581,26),0)</f>
        <v/>
      </c>
      <c r="AC581">
        <f>IFERROR(INDEX(PP_Grid[#Data],$DD581,27),0)</f>
        <v/>
      </c>
      <c r="AD581">
        <f>IFERROR(INDEX(PP_Grid[#Data],$DD581,28),0)</f>
        <v/>
      </c>
      <c r="AE581">
        <f>IFERROR(INDEX(PP_Grid[#Data],$DD581,29),0)</f>
        <v/>
      </c>
      <c r="AF581">
        <f>IFERROR(INDEX(PP_Grid[#Data],$DD581,30),0)</f>
        <v/>
      </c>
      <c r="AG581">
        <f>IFERROR(INDEX(PP_Grid[#Data],$DD581,31),0)</f>
        <v/>
      </c>
      <c r="AH581">
        <f>IFERROR(INDEX(PP_Grid[#Data],$DD581,32),0)</f>
        <v/>
      </c>
      <c r="AI581">
        <f>IFERROR(INDEX(PP_Grid[#Data],$DD581,33),0)</f>
        <v/>
      </c>
      <c r="AJ581">
        <f>IFERROR(INDEX(PP_Grid[#Data],$DD581,34),0)</f>
        <v/>
      </c>
      <c r="AK581">
        <f>IFERROR(INDEX(PP_Grid[#Data],$DD581,35),0)</f>
        <v/>
      </c>
      <c r="AL581">
        <f>IFERROR(INDEX(PP_Grid[#Data],$DD581,36),0)</f>
        <v/>
      </c>
      <c r="AM581">
        <f>IFERROR(INDEX(PP_Grid[#Data],$DD581,37),0)</f>
        <v/>
      </c>
      <c r="AN581">
        <f>IFERROR(INDEX(PP_Grid[#Data],$DD581,38),0)</f>
        <v/>
      </c>
      <c r="AO581">
        <f>IFERROR(INDEX(PP_Grid[#Data],$DD581,39),0)</f>
        <v/>
      </c>
      <c r="AP581">
        <f>IFERROR(INDEX(PP_Grid[#Data],$DD581,40),0)</f>
        <v/>
      </c>
      <c r="AQ581">
        <f>IFERROR(INDEX(PP_Grid[#Data],$DD581,41),0)</f>
        <v/>
      </c>
      <c r="AR581">
        <f>IFERROR(INDEX(PP_Grid[#Data],$DD581,42),0)</f>
        <v/>
      </c>
      <c r="AS581">
        <f>IFERROR(INDEX(PP_Grid[#Data],$DD581,43),0)</f>
        <v/>
      </c>
      <c r="AT581">
        <f>IFERROR(INDEX(PP_Grid[#Data],$DD581,44),0)</f>
        <v/>
      </c>
      <c r="AU581">
        <f>IFERROR(INDEX(PP_Grid[#Data],$DD581,45),0)</f>
        <v/>
      </c>
      <c r="AV581">
        <f>IFERROR(INDEX(PP_Grid[#Data],$DD581,46),0)</f>
        <v/>
      </c>
      <c r="AW581">
        <f>IFERROR(INDEX(PP_Grid[#Data],$DD581,47),0)</f>
        <v/>
      </c>
      <c r="AX581">
        <f>IFERROR(INDEX(PP_Grid[#Data],$DD581,48),0)</f>
        <v/>
      </c>
      <c r="AY581">
        <f>IFERROR(INDEX(PP_Grid[#Data],$DD581,49),0)</f>
        <v/>
      </c>
      <c r="AZ581">
        <f>IFERROR(INDEX(PP_Grid[#Data],$DD581,50),0)</f>
        <v/>
      </c>
      <c r="BA581">
        <f>IFERROR(INDEX(PP_Grid[#Data],$DD581,51),0)</f>
        <v/>
      </c>
      <c r="BB581">
        <f>IFERROR(INDEX(PP_Grid[#Data],$DD581,52),0)</f>
        <v/>
      </c>
      <c r="BC581">
        <f>IFERROR(INDEX(PP_Grid[#Data],$DD581,53),0)</f>
        <v/>
      </c>
      <c r="BD581">
        <f>IFERROR(INDEX(PP_Grid[#Data],$DD581,54),0)</f>
        <v/>
      </c>
      <c r="BE581">
        <f>IFERROR(INDEX(PP_Grid[#Data],$DD581,55),0)</f>
        <v/>
      </c>
      <c r="BF581">
        <f>IFERROR(INDEX(PP_Grid[#Data],$DD581,56),0)</f>
        <v/>
      </c>
      <c r="BG581">
        <f>IFERROR(INDEX(PP_Grid[#Data],$DD581,57),0)</f>
        <v/>
      </c>
      <c r="BH581">
        <f>IFERROR(INDEX(PP_Grid[#Data],$DD581,58),0)</f>
        <v/>
      </c>
      <c r="BI581">
        <f>IFERROR(INDEX(PP_Grid[#Data],$DD581,59),0)</f>
        <v/>
      </c>
      <c r="BJ581">
        <f>IFERROR(INDEX(PP_Grid[#Data],$DD581,60),0)</f>
        <v/>
      </c>
      <c r="BK581">
        <f>IFERROR(INDEX(PP_Grid[#Data],$DD581,61),0)</f>
        <v/>
      </c>
      <c r="BL581">
        <f>IFERROR(INDEX(PP_Grid[#Data],$DD581,62),0)</f>
        <v/>
      </c>
      <c r="BM581">
        <f>IFERROR(INDEX(PP_Grid[#Data],$DD581,63),0)</f>
        <v/>
      </c>
      <c r="BN581">
        <f>IFERROR(INDEX(PP_Grid[#Data],$DD581,64),0)</f>
        <v/>
      </c>
      <c r="BO581">
        <f>IFERROR(INDEX(PP_Grid[#Data],$DD581,65),0)</f>
        <v/>
      </c>
      <c r="BP581">
        <f>IFERROR(INDEX(PP_Grid[#Data],$DD581,66),0)</f>
        <v/>
      </c>
      <c r="BQ581">
        <f>IFERROR(INDEX(PP_Grid[#Data],$DD581,67),0)</f>
        <v/>
      </c>
      <c r="BR581">
        <f>IFERROR(INDEX(PP_Grid[#Data],$DD581,68),0)</f>
        <v/>
      </c>
      <c r="BS581">
        <f>IFERROR(INDEX(PP_Grid[#Data],$DD581,69),0)</f>
        <v/>
      </c>
      <c r="BT581">
        <f>IFERROR(INDEX(PP_Grid[#Data],$DD581,70),0)</f>
        <v/>
      </c>
      <c r="BU581">
        <f>IFERROR(INDEX(PP_Grid[#Data],$DD581,71),0)</f>
        <v/>
      </c>
      <c r="BV581">
        <f>IFERROR(INDEX(PP_Grid[#Data],$DD581,72),0)</f>
        <v/>
      </c>
      <c r="BW581">
        <f>IFERROR(INDEX(PP_Grid[#Data],$DD581,73),0)</f>
        <v/>
      </c>
      <c r="BX581">
        <f>IFERROR(INDEX(PP_Grid[#Data],$DD581,74),0)</f>
        <v/>
      </c>
      <c r="BY581">
        <f>IFERROR(INDEX(PP_Grid[#Data],$DD581,75),0)</f>
        <v/>
      </c>
      <c r="BZ581">
        <f>IFERROR(INDEX(PP_Grid[#Data],$DD581,76),0)</f>
        <v/>
      </c>
      <c r="CA581">
        <f>IFERROR(INDEX(PP_Grid[#Data],$DD581,77),0)</f>
        <v/>
      </c>
      <c r="CB581">
        <f>IFERROR(INDEX(PP_Grid[#Data],$DD581,78),0)</f>
        <v/>
      </c>
      <c r="CC581">
        <f>IFERROR(INDEX(PP_Grid[#Data],$DD581,79),0)</f>
        <v/>
      </c>
      <c r="CD581">
        <f>IFERROR(INDEX(PP_Grid[#Data],$DD581,80),0)</f>
        <v/>
      </c>
      <c r="CE581">
        <f>IFERROR(INDEX(PP_Grid[#Data],$DD581,81),0)</f>
        <v/>
      </c>
      <c r="CF581">
        <f>IFERROR(INDEX(PP_Grid[#Data],$DD581,82),0)</f>
        <v/>
      </c>
      <c r="CG581">
        <f>IFERROR(INDEX(PP_Grid[#Data],$DD581,83),0)</f>
        <v/>
      </c>
      <c r="CH581">
        <f>IFERROR(INDEX(PP_Grid[#Data],$DD581,84),0)</f>
        <v/>
      </c>
      <c r="CI581">
        <f>IFERROR(INDEX(PP_Grid[#Data],$DD581,85),0)</f>
        <v/>
      </c>
      <c r="CJ581">
        <f>IFERROR(INDEX(PP_Grid[#Data],$DD581,86),0)</f>
        <v/>
      </c>
      <c r="CK581">
        <f>IFERROR(INDEX(PP_Grid[#Data],$DD581,87),0)</f>
        <v/>
      </c>
      <c r="CL581">
        <f>IFERROR(INDEX(PP_Grid[#Data],$DD581,88),0)</f>
        <v/>
      </c>
      <c r="CM581">
        <f>IFERROR(INDEX(PP_Grid[#Data],$DD581,89),0)</f>
        <v/>
      </c>
      <c r="CN581">
        <f>IFERROR(INDEX(PP_Grid[#Data],$DD581,90),0)</f>
        <v/>
      </c>
      <c r="CO581">
        <f>IFERROR(INDEX(PP_Grid[#Data],$DD581,91),0)</f>
        <v/>
      </c>
      <c r="CP581">
        <f>IFERROR(INDEX(PP_Grid[#Data],$DD581,92),0)</f>
        <v/>
      </c>
      <c r="CQ581">
        <f>IFERROR(INDEX(PP_Grid[#Data],$DD581,93),0)</f>
        <v/>
      </c>
      <c r="CR581">
        <f>IFERROR(INDEX(PP_Grid[#Data],$DD581,94),0)</f>
        <v/>
      </c>
      <c r="CS581">
        <f>IFERROR(INDEX(PP_Grid[#Data],$DD581,95),0)</f>
        <v/>
      </c>
      <c r="CT581">
        <f>IFERROR(INDEX(PP_Grid[#Data],$DD581,96),0)</f>
        <v/>
      </c>
      <c r="CU581">
        <f>IFERROR(INDEX(PP_Grid[#Data],$DD581,97),0)</f>
        <v/>
      </c>
      <c r="CV581">
        <f>IFERROR(INDEX(PP_Grid[#Data],$DD581,98),0)</f>
        <v/>
      </c>
      <c r="CW581">
        <f>IFERROR(INDEX(PP_Grid[#Data],$DD581,99),0)</f>
        <v/>
      </c>
      <c r="CX581">
        <f>IFERROR(INDEX(PP_Grid[#Data],$DD581,100),0)</f>
        <v/>
      </c>
      <c r="CY581">
        <f>IFERROR(INDEX(PP_Grid[#Data],$DD581,101),0)</f>
        <v/>
      </c>
      <c r="CZ581">
        <f>IFERROR(INDEX(PP_Grid[#Data],$DD581,102),0)</f>
        <v/>
      </c>
      <c r="DA581">
        <f>IFERROR(INDEX(PP_Grid[#Data],$DD581,103),0)</f>
        <v/>
      </c>
      <c r="DB581">
        <f>IFERROR(INDEX(PP_Grid[#Data],$DD581,104),0)</f>
        <v/>
      </c>
      <c r="DC581">
        <f>IFERROR(INDEX(PP_Grid[#Data],$DD581,105),0)</f>
        <v/>
      </c>
      <c r="DD581" s="7">
        <f>IFERROR(MATCH($B581,PP_Grid[Intermediate],0),99999)</f>
        <v/>
      </c>
    </row>
    <row r="582">
      <c r="B582" t="inlineStr">
        <is>
          <t>使用量(kg)</t>
        </is>
      </c>
      <c r="C582">
        <f>SUMIFS(M_BOM[RM_Qty_Per_Batch],M_BOM[Intermediate],$B581,M_BOM[Part Name],$A580)</f>
        <v/>
      </c>
      <c r="D582">
        <f>$C582*D581</f>
        <v/>
      </c>
      <c r="E582">
        <f>$C582*E581</f>
        <v/>
      </c>
      <c r="F582">
        <f>$C582*F581</f>
        <v/>
      </c>
      <c r="G582">
        <f>$C582*G581</f>
        <v/>
      </c>
      <c r="H582">
        <f>$C582*H581</f>
        <v/>
      </c>
      <c r="I582">
        <f>$C582*I581</f>
        <v/>
      </c>
      <c r="J582">
        <f>$C582*J581</f>
        <v/>
      </c>
      <c r="K582">
        <f>$C582*K581</f>
        <v/>
      </c>
      <c r="L582">
        <f>$C582*L581</f>
        <v/>
      </c>
      <c r="M582">
        <f>$C582*M581</f>
        <v/>
      </c>
      <c r="N582">
        <f>$C582*N581</f>
        <v/>
      </c>
      <c r="O582">
        <f>$C582*O581</f>
        <v/>
      </c>
      <c r="P582">
        <f>$C582*P581</f>
        <v/>
      </c>
      <c r="Q582">
        <f>$C582*Q581</f>
        <v/>
      </c>
      <c r="R582">
        <f>$C582*R581</f>
        <v/>
      </c>
      <c r="S582">
        <f>$C582*S581</f>
        <v/>
      </c>
      <c r="T582">
        <f>$C582*T581</f>
        <v/>
      </c>
      <c r="U582">
        <f>$C582*U581</f>
        <v/>
      </c>
      <c r="V582">
        <f>$C582*V581</f>
        <v/>
      </c>
      <c r="W582">
        <f>$C582*W581</f>
        <v/>
      </c>
      <c r="X582">
        <f>$C582*X581</f>
        <v/>
      </c>
      <c r="Y582">
        <f>$C582*Y581</f>
        <v/>
      </c>
      <c r="Z582">
        <f>$C582*Z581</f>
        <v/>
      </c>
      <c r="AA582">
        <f>$C582*AA581</f>
        <v/>
      </c>
      <c r="AB582">
        <f>$C582*AB581</f>
        <v/>
      </c>
      <c r="AC582">
        <f>$C582*AC581</f>
        <v/>
      </c>
      <c r="AD582">
        <f>$C582*AD581</f>
        <v/>
      </c>
      <c r="AE582">
        <f>$C582*AE581</f>
        <v/>
      </c>
      <c r="AF582">
        <f>$C582*AF581</f>
        <v/>
      </c>
      <c r="AG582">
        <f>$C582*AG581</f>
        <v/>
      </c>
      <c r="AH582">
        <f>$C582*AH581</f>
        <v/>
      </c>
      <c r="AI582">
        <f>$C582*AI581</f>
        <v/>
      </c>
      <c r="AJ582">
        <f>$C582*AJ581</f>
        <v/>
      </c>
      <c r="AK582">
        <f>$C582*AK581</f>
        <v/>
      </c>
      <c r="AL582">
        <f>$C582*AL581</f>
        <v/>
      </c>
      <c r="AM582">
        <f>$C582*AM581</f>
        <v/>
      </c>
      <c r="AN582">
        <f>$C582*AN581</f>
        <v/>
      </c>
      <c r="AO582">
        <f>$C582*AO581</f>
        <v/>
      </c>
      <c r="AP582">
        <f>$C582*AP581</f>
        <v/>
      </c>
      <c r="AQ582">
        <f>$C582*AQ581</f>
        <v/>
      </c>
      <c r="AR582">
        <f>$C582*AR581</f>
        <v/>
      </c>
      <c r="AS582">
        <f>$C582*AS581</f>
        <v/>
      </c>
      <c r="AT582">
        <f>$C582*AT581</f>
        <v/>
      </c>
      <c r="AU582">
        <f>$C582*AU581</f>
        <v/>
      </c>
      <c r="AV582">
        <f>$C582*AV581</f>
        <v/>
      </c>
      <c r="AW582">
        <f>$C582*AW581</f>
        <v/>
      </c>
      <c r="AX582">
        <f>$C582*AX581</f>
        <v/>
      </c>
      <c r="AY582">
        <f>$C582*AY581</f>
        <v/>
      </c>
      <c r="AZ582">
        <f>$C582*AZ581</f>
        <v/>
      </c>
      <c r="BA582">
        <f>$C582*BA581</f>
        <v/>
      </c>
      <c r="BB582">
        <f>$C582*BB581</f>
        <v/>
      </c>
      <c r="BC582">
        <f>$C582*BC581</f>
        <v/>
      </c>
      <c r="BD582">
        <f>$C582*BD581</f>
        <v/>
      </c>
      <c r="BE582">
        <f>$C582*BE581</f>
        <v/>
      </c>
      <c r="BF582">
        <f>$C582*BF581</f>
        <v/>
      </c>
      <c r="BG582">
        <f>$C582*BG581</f>
        <v/>
      </c>
      <c r="BH582">
        <f>$C582*BH581</f>
        <v/>
      </c>
      <c r="BI582">
        <f>$C582*BI581</f>
        <v/>
      </c>
      <c r="BJ582">
        <f>$C582*BJ581</f>
        <v/>
      </c>
      <c r="BK582">
        <f>$C582*BK581</f>
        <v/>
      </c>
      <c r="BL582">
        <f>$C582*BL581</f>
        <v/>
      </c>
      <c r="BM582">
        <f>$C582*BM581</f>
        <v/>
      </c>
      <c r="BN582">
        <f>$C582*BN581</f>
        <v/>
      </c>
      <c r="BO582">
        <f>$C582*BO581</f>
        <v/>
      </c>
      <c r="BP582">
        <f>$C582*BP581</f>
        <v/>
      </c>
      <c r="BQ582">
        <f>$C582*BQ581</f>
        <v/>
      </c>
      <c r="BR582">
        <f>$C582*BR581</f>
        <v/>
      </c>
      <c r="BS582">
        <f>$C582*BS581</f>
        <v/>
      </c>
      <c r="BT582">
        <f>$C582*BT581</f>
        <v/>
      </c>
      <c r="BU582">
        <f>$C582*BU581</f>
        <v/>
      </c>
      <c r="BV582">
        <f>$C582*BV581</f>
        <v/>
      </c>
      <c r="BW582">
        <f>$C582*BW581</f>
        <v/>
      </c>
      <c r="BX582">
        <f>$C582*BX581</f>
        <v/>
      </c>
      <c r="BY582">
        <f>$C582*BY581</f>
        <v/>
      </c>
      <c r="BZ582">
        <f>$C582*BZ581</f>
        <v/>
      </c>
      <c r="CA582">
        <f>$C582*CA581</f>
        <v/>
      </c>
      <c r="CB582">
        <f>$C582*CB581</f>
        <v/>
      </c>
      <c r="CC582">
        <f>$C582*CC581</f>
        <v/>
      </c>
      <c r="CD582">
        <f>$C582*CD581</f>
        <v/>
      </c>
      <c r="CE582">
        <f>$C582*CE581</f>
        <v/>
      </c>
      <c r="CF582">
        <f>$C582*CF581</f>
        <v/>
      </c>
      <c r="CG582">
        <f>$C582*CG581</f>
        <v/>
      </c>
      <c r="CH582">
        <f>$C582*CH581</f>
        <v/>
      </c>
      <c r="CI582">
        <f>$C582*CI581</f>
        <v/>
      </c>
      <c r="CJ582">
        <f>$C582*CJ581</f>
        <v/>
      </c>
      <c r="CK582">
        <f>$C582*CK581</f>
        <v/>
      </c>
      <c r="CL582">
        <f>$C582*CL581</f>
        <v/>
      </c>
      <c r="CM582">
        <f>$C582*CM581</f>
        <v/>
      </c>
      <c r="CN582">
        <f>$C582*CN581</f>
        <v/>
      </c>
      <c r="CO582">
        <f>$C582*CO581</f>
        <v/>
      </c>
      <c r="CP582">
        <f>$C582*CP581</f>
        <v/>
      </c>
      <c r="CQ582">
        <f>$C582*CQ581</f>
        <v/>
      </c>
      <c r="CR582">
        <f>$C582*CR581</f>
        <v/>
      </c>
      <c r="CS582">
        <f>$C582*CS581</f>
        <v/>
      </c>
      <c r="CT582">
        <f>$C582*CT581</f>
        <v/>
      </c>
      <c r="CU582">
        <f>$C582*CU581</f>
        <v/>
      </c>
      <c r="CV582">
        <f>$C582*CV581</f>
        <v/>
      </c>
      <c r="CW582">
        <f>$C582*CW581</f>
        <v/>
      </c>
      <c r="CX582">
        <f>$C582*CX581</f>
        <v/>
      </c>
      <c r="CY582">
        <f>$C582*CY581</f>
        <v/>
      </c>
      <c r="CZ582">
        <f>$C582*CZ581</f>
        <v/>
      </c>
      <c r="DA582">
        <f>$C582*DA581</f>
        <v/>
      </c>
      <c r="DB582">
        <f>$C582*DB581</f>
        <v/>
      </c>
      <c r="DC582">
        <f>$C582*DC581</f>
        <v/>
      </c>
    </row>
    <row r="583">
      <c r="B583" t="inlineStr">
        <is>
          <t>TVS-833</t>
        </is>
      </c>
      <c r="C583" t="inlineStr">
        <is>
          <t>No. of batches</t>
        </is>
      </c>
      <c r="D583">
        <f>IFERROR(INDEX(PP_Grid[#Data],$DD583,2),0)</f>
        <v/>
      </c>
      <c r="E583">
        <f>IFERROR(INDEX(PP_Grid[#Data],$DD583,3),0)</f>
        <v/>
      </c>
      <c r="F583">
        <f>IFERROR(INDEX(PP_Grid[#Data],$DD583,4),0)</f>
        <v/>
      </c>
      <c r="G583">
        <f>IFERROR(INDEX(PP_Grid[#Data],$DD583,5),0)</f>
        <v/>
      </c>
      <c r="H583">
        <f>IFERROR(INDEX(PP_Grid[#Data],$DD583,6),0)</f>
        <v/>
      </c>
      <c r="I583">
        <f>IFERROR(INDEX(PP_Grid[#Data],$DD583,7),0)</f>
        <v/>
      </c>
      <c r="J583">
        <f>IFERROR(INDEX(PP_Grid[#Data],$DD583,8),0)</f>
        <v/>
      </c>
      <c r="K583">
        <f>IFERROR(INDEX(PP_Grid[#Data],$DD583,9),0)</f>
        <v/>
      </c>
      <c r="L583">
        <f>IFERROR(INDEX(PP_Grid[#Data],$DD583,10),0)</f>
        <v/>
      </c>
      <c r="M583">
        <f>IFERROR(INDEX(PP_Grid[#Data],$DD583,11),0)</f>
        <v/>
      </c>
      <c r="N583">
        <f>IFERROR(INDEX(PP_Grid[#Data],$DD583,12),0)</f>
        <v/>
      </c>
      <c r="O583">
        <f>IFERROR(INDEX(PP_Grid[#Data],$DD583,13),0)</f>
        <v/>
      </c>
      <c r="P583">
        <f>IFERROR(INDEX(PP_Grid[#Data],$DD583,14),0)</f>
        <v/>
      </c>
      <c r="Q583">
        <f>IFERROR(INDEX(PP_Grid[#Data],$DD583,15),0)</f>
        <v/>
      </c>
      <c r="R583">
        <f>IFERROR(INDEX(PP_Grid[#Data],$DD583,16),0)</f>
        <v/>
      </c>
      <c r="S583">
        <f>IFERROR(INDEX(PP_Grid[#Data],$DD583,17),0)</f>
        <v/>
      </c>
      <c r="T583">
        <f>IFERROR(INDEX(PP_Grid[#Data],$DD583,18),0)</f>
        <v/>
      </c>
      <c r="U583">
        <f>IFERROR(INDEX(PP_Grid[#Data],$DD583,19),0)</f>
        <v/>
      </c>
      <c r="V583">
        <f>IFERROR(INDEX(PP_Grid[#Data],$DD583,20),0)</f>
        <v/>
      </c>
      <c r="W583">
        <f>IFERROR(INDEX(PP_Grid[#Data],$DD583,21),0)</f>
        <v/>
      </c>
      <c r="X583">
        <f>IFERROR(INDEX(PP_Grid[#Data],$DD583,22),0)</f>
        <v/>
      </c>
      <c r="Y583">
        <f>IFERROR(INDEX(PP_Grid[#Data],$DD583,23),0)</f>
        <v/>
      </c>
      <c r="Z583">
        <f>IFERROR(INDEX(PP_Grid[#Data],$DD583,24),0)</f>
        <v/>
      </c>
      <c r="AA583">
        <f>IFERROR(INDEX(PP_Grid[#Data],$DD583,25),0)</f>
        <v/>
      </c>
      <c r="AB583">
        <f>IFERROR(INDEX(PP_Grid[#Data],$DD583,26),0)</f>
        <v/>
      </c>
      <c r="AC583">
        <f>IFERROR(INDEX(PP_Grid[#Data],$DD583,27),0)</f>
        <v/>
      </c>
      <c r="AD583">
        <f>IFERROR(INDEX(PP_Grid[#Data],$DD583,28),0)</f>
        <v/>
      </c>
      <c r="AE583">
        <f>IFERROR(INDEX(PP_Grid[#Data],$DD583,29),0)</f>
        <v/>
      </c>
      <c r="AF583">
        <f>IFERROR(INDEX(PP_Grid[#Data],$DD583,30),0)</f>
        <v/>
      </c>
      <c r="AG583">
        <f>IFERROR(INDEX(PP_Grid[#Data],$DD583,31),0)</f>
        <v/>
      </c>
      <c r="AH583">
        <f>IFERROR(INDEX(PP_Grid[#Data],$DD583,32),0)</f>
        <v/>
      </c>
      <c r="AI583">
        <f>IFERROR(INDEX(PP_Grid[#Data],$DD583,33),0)</f>
        <v/>
      </c>
      <c r="AJ583">
        <f>IFERROR(INDEX(PP_Grid[#Data],$DD583,34),0)</f>
        <v/>
      </c>
      <c r="AK583">
        <f>IFERROR(INDEX(PP_Grid[#Data],$DD583,35),0)</f>
        <v/>
      </c>
      <c r="AL583">
        <f>IFERROR(INDEX(PP_Grid[#Data],$DD583,36),0)</f>
        <v/>
      </c>
      <c r="AM583">
        <f>IFERROR(INDEX(PP_Grid[#Data],$DD583,37),0)</f>
        <v/>
      </c>
      <c r="AN583">
        <f>IFERROR(INDEX(PP_Grid[#Data],$DD583,38),0)</f>
        <v/>
      </c>
      <c r="AO583">
        <f>IFERROR(INDEX(PP_Grid[#Data],$DD583,39),0)</f>
        <v/>
      </c>
      <c r="AP583">
        <f>IFERROR(INDEX(PP_Grid[#Data],$DD583,40),0)</f>
        <v/>
      </c>
      <c r="AQ583">
        <f>IFERROR(INDEX(PP_Grid[#Data],$DD583,41),0)</f>
        <v/>
      </c>
      <c r="AR583">
        <f>IFERROR(INDEX(PP_Grid[#Data],$DD583,42),0)</f>
        <v/>
      </c>
      <c r="AS583">
        <f>IFERROR(INDEX(PP_Grid[#Data],$DD583,43),0)</f>
        <v/>
      </c>
      <c r="AT583">
        <f>IFERROR(INDEX(PP_Grid[#Data],$DD583,44),0)</f>
        <v/>
      </c>
      <c r="AU583">
        <f>IFERROR(INDEX(PP_Grid[#Data],$DD583,45),0)</f>
        <v/>
      </c>
      <c r="AV583">
        <f>IFERROR(INDEX(PP_Grid[#Data],$DD583,46),0)</f>
        <v/>
      </c>
      <c r="AW583">
        <f>IFERROR(INDEX(PP_Grid[#Data],$DD583,47),0)</f>
        <v/>
      </c>
      <c r="AX583">
        <f>IFERROR(INDEX(PP_Grid[#Data],$DD583,48),0)</f>
        <v/>
      </c>
      <c r="AY583">
        <f>IFERROR(INDEX(PP_Grid[#Data],$DD583,49),0)</f>
        <v/>
      </c>
      <c r="AZ583">
        <f>IFERROR(INDEX(PP_Grid[#Data],$DD583,50),0)</f>
        <v/>
      </c>
      <c r="BA583">
        <f>IFERROR(INDEX(PP_Grid[#Data],$DD583,51),0)</f>
        <v/>
      </c>
      <c r="BB583">
        <f>IFERROR(INDEX(PP_Grid[#Data],$DD583,52),0)</f>
        <v/>
      </c>
      <c r="BC583">
        <f>IFERROR(INDEX(PP_Grid[#Data],$DD583,53),0)</f>
        <v/>
      </c>
      <c r="BD583">
        <f>IFERROR(INDEX(PP_Grid[#Data],$DD583,54),0)</f>
        <v/>
      </c>
      <c r="BE583">
        <f>IFERROR(INDEX(PP_Grid[#Data],$DD583,55),0)</f>
        <v/>
      </c>
      <c r="BF583">
        <f>IFERROR(INDEX(PP_Grid[#Data],$DD583,56),0)</f>
        <v/>
      </c>
      <c r="BG583">
        <f>IFERROR(INDEX(PP_Grid[#Data],$DD583,57),0)</f>
        <v/>
      </c>
      <c r="BH583">
        <f>IFERROR(INDEX(PP_Grid[#Data],$DD583,58),0)</f>
        <v/>
      </c>
      <c r="BI583">
        <f>IFERROR(INDEX(PP_Grid[#Data],$DD583,59),0)</f>
        <v/>
      </c>
      <c r="BJ583">
        <f>IFERROR(INDEX(PP_Grid[#Data],$DD583,60),0)</f>
        <v/>
      </c>
      <c r="BK583">
        <f>IFERROR(INDEX(PP_Grid[#Data],$DD583,61),0)</f>
        <v/>
      </c>
      <c r="BL583">
        <f>IFERROR(INDEX(PP_Grid[#Data],$DD583,62),0)</f>
        <v/>
      </c>
      <c r="BM583">
        <f>IFERROR(INDEX(PP_Grid[#Data],$DD583,63),0)</f>
        <v/>
      </c>
      <c r="BN583">
        <f>IFERROR(INDEX(PP_Grid[#Data],$DD583,64),0)</f>
        <v/>
      </c>
      <c r="BO583">
        <f>IFERROR(INDEX(PP_Grid[#Data],$DD583,65),0)</f>
        <v/>
      </c>
      <c r="BP583">
        <f>IFERROR(INDEX(PP_Grid[#Data],$DD583,66),0)</f>
        <v/>
      </c>
      <c r="BQ583">
        <f>IFERROR(INDEX(PP_Grid[#Data],$DD583,67),0)</f>
        <v/>
      </c>
      <c r="BR583">
        <f>IFERROR(INDEX(PP_Grid[#Data],$DD583,68),0)</f>
        <v/>
      </c>
      <c r="BS583">
        <f>IFERROR(INDEX(PP_Grid[#Data],$DD583,69),0)</f>
        <v/>
      </c>
      <c r="BT583">
        <f>IFERROR(INDEX(PP_Grid[#Data],$DD583,70),0)</f>
        <v/>
      </c>
      <c r="BU583">
        <f>IFERROR(INDEX(PP_Grid[#Data],$DD583,71),0)</f>
        <v/>
      </c>
      <c r="BV583">
        <f>IFERROR(INDEX(PP_Grid[#Data],$DD583,72),0)</f>
        <v/>
      </c>
      <c r="BW583">
        <f>IFERROR(INDEX(PP_Grid[#Data],$DD583,73),0)</f>
        <v/>
      </c>
      <c r="BX583">
        <f>IFERROR(INDEX(PP_Grid[#Data],$DD583,74),0)</f>
        <v/>
      </c>
      <c r="BY583">
        <f>IFERROR(INDEX(PP_Grid[#Data],$DD583,75),0)</f>
        <v/>
      </c>
      <c r="BZ583">
        <f>IFERROR(INDEX(PP_Grid[#Data],$DD583,76),0)</f>
        <v/>
      </c>
      <c r="CA583">
        <f>IFERROR(INDEX(PP_Grid[#Data],$DD583,77),0)</f>
        <v/>
      </c>
      <c r="CB583">
        <f>IFERROR(INDEX(PP_Grid[#Data],$DD583,78),0)</f>
        <v/>
      </c>
      <c r="CC583">
        <f>IFERROR(INDEX(PP_Grid[#Data],$DD583,79),0)</f>
        <v/>
      </c>
      <c r="CD583">
        <f>IFERROR(INDEX(PP_Grid[#Data],$DD583,80),0)</f>
        <v/>
      </c>
      <c r="CE583">
        <f>IFERROR(INDEX(PP_Grid[#Data],$DD583,81),0)</f>
        <v/>
      </c>
      <c r="CF583">
        <f>IFERROR(INDEX(PP_Grid[#Data],$DD583,82),0)</f>
        <v/>
      </c>
      <c r="CG583">
        <f>IFERROR(INDEX(PP_Grid[#Data],$DD583,83),0)</f>
        <v/>
      </c>
      <c r="CH583">
        <f>IFERROR(INDEX(PP_Grid[#Data],$DD583,84),0)</f>
        <v/>
      </c>
      <c r="CI583">
        <f>IFERROR(INDEX(PP_Grid[#Data],$DD583,85),0)</f>
        <v/>
      </c>
      <c r="CJ583">
        <f>IFERROR(INDEX(PP_Grid[#Data],$DD583,86),0)</f>
        <v/>
      </c>
      <c r="CK583">
        <f>IFERROR(INDEX(PP_Grid[#Data],$DD583,87),0)</f>
        <v/>
      </c>
      <c r="CL583">
        <f>IFERROR(INDEX(PP_Grid[#Data],$DD583,88),0)</f>
        <v/>
      </c>
      <c r="CM583">
        <f>IFERROR(INDEX(PP_Grid[#Data],$DD583,89),0)</f>
        <v/>
      </c>
      <c r="CN583">
        <f>IFERROR(INDEX(PP_Grid[#Data],$DD583,90),0)</f>
        <v/>
      </c>
      <c r="CO583">
        <f>IFERROR(INDEX(PP_Grid[#Data],$DD583,91),0)</f>
        <v/>
      </c>
      <c r="CP583">
        <f>IFERROR(INDEX(PP_Grid[#Data],$DD583,92),0)</f>
        <v/>
      </c>
      <c r="CQ583">
        <f>IFERROR(INDEX(PP_Grid[#Data],$DD583,93),0)</f>
        <v/>
      </c>
      <c r="CR583">
        <f>IFERROR(INDEX(PP_Grid[#Data],$DD583,94),0)</f>
        <v/>
      </c>
      <c r="CS583">
        <f>IFERROR(INDEX(PP_Grid[#Data],$DD583,95),0)</f>
        <v/>
      </c>
      <c r="CT583">
        <f>IFERROR(INDEX(PP_Grid[#Data],$DD583,96),0)</f>
        <v/>
      </c>
      <c r="CU583">
        <f>IFERROR(INDEX(PP_Grid[#Data],$DD583,97),0)</f>
        <v/>
      </c>
      <c r="CV583">
        <f>IFERROR(INDEX(PP_Grid[#Data],$DD583,98),0)</f>
        <v/>
      </c>
      <c r="CW583">
        <f>IFERROR(INDEX(PP_Grid[#Data],$DD583,99),0)</f>
        <v/>
      </c>
      <c r="CX583">
        <f>IFERROR(INDEX(PP_Grid[#Data],$DD583,100),0)</f>
        <v/>
      </c>
      <c r="CY583">
        <f>IFERROR(INDEX(PP_Grid[#Data],$DD583,101),0)</f>
        <v/>
      </c>
      <c r="CZ583">
        <f>IFERROR(INDEX(PP_Grid[#Data],$DD583,102),0)</f>
        <v/>
      </c>
      <c r="DA583">
        <f>IFERROR(INDEX(PP_Grid[#Data],$DD583,103),0)</f>
        <v/>
      </c>
      <c r="DB583">
        <f>IFERROR(INDEX(PP_Grid[#Data],$DD583,104),0)</f>
        <v/>
      </c>
      <c r="DC583">
        <f>IFERROR(INDEX(PP_Grid[#Data],$DD583,105),0)</f>
        <v/>
      </c>
      <c r="DD583" s="7">
        <f>IFERROR(MATCH($B583,PP_Grid[Intermediate],0),99999)</f>
        <v/>
      </c>
    </row>
    <row r="584">
      <c r="B584" t="inlineStr">
        <is>
          <t>使用量(kg)</t>
        </is>
      </c>
      <c r="C584">
        <f>SUMIFS(M_BOM[RM_Qty_Per_Batch],M_BOM[Intermediate],$B583,M_BOM[Part Name],$A580)</f>
        <v/>
      </c>
      <c r="D584">
        <f>$C584*D583</f>
        <v/>
      </c>
      <c r="E584">
        <f>$C584*E583</f>
        <v/>
      </c>
      <c r="F584">
        <f>$C584*F583</f>
        <v/>
      </c>
      <c r="G584">
        <f>$C584*G583</f>
        <v/>
      </c>
      <c r="H584">
        <f>$C584*H583</f>
        <v/>
      </c>
      <c r="I584">
        <f>$C584*I583</f>
        <v/>
      </c>
      <c r="J584">
        <f>$C584*J583</f>
        <v/>
      </c>
      <c r="K584">
        <f>$C584*K583</f>
        <v/>
      </c>
      <c r="L584">
        <f>$C584*L583</f>
        <v/>
      </c>
      <c r="M584">
        <f>$C584*M583</f>
        <v/>
      </c>
      <c r="N584">
        <f>$C584*N583</f>
        <v/>
      </c>
      <c r="O584">
        <f>$C584*O583</f>
        <v/>
      </c>
      <c r="P584">
        <f>$C584*P583</f>
        <v/>
      </c>
      <c r="Q584">
        <f>$C584*Q583</f>
        <v/>
      </c>
      <c r="R584">
        <f>$C584*R583</f>
        <v/>
      </c>
      <c r="S584">
        <f>$C584*S583</f>
        <v/>
      </c>
      <c r="T584">
        <f>$C584*T583</f>
        <v/>
      </c>
      <c r="U584">
        <f>$C584*U583</f>
        <v/>
      </c>
      <c r="V584">
        <f>$C584*V583</f>
        <v/>
      </c>
      <c r="W584">
        <f>$C584*W583</f>
        <v/>
      </c>
      <c r="X584">
        <f>$C584*X583</f>
        <v/>
      </c>
      <c r="Y584">
        <f>$C584*Y583</f>
        <v/>
      </c>
      <c r="Z584">
        <f>$C584*Z583</f>
        <v/>
      </c>
      <c r="AA584">
        <f>$C584*AA583</f>
        <v/>
      </c>
      <c r="AB584">
        <f>$C584*AB583</f>
        <v/>
      </c>
      <c r="AC584">
        <f>$C584*AC583</f>
        <v/>
      </c>
      <c r="AD584">
        <f>$C584*AD583</f>
        <v/>
      </c>
      <c r="AE584">
        <f>$C584*AE583</f>
        <v/>
      </c>
      <c r="AF584">
        <f>$C584*AF583</f>
        <v/>
      </c>
      <c r="AG584">
        <f>$C584*AG583</f>
        <v/>
      </c>
      <c r="AH584">
        <f>$C584*AH583</f>
        <v/>
      </c>
      <c r="AI584">
        <f>$C584*AI583</f>
        <v/>
      </c>
      <c r="AJ584">
        <f>$C584*AJ583</f>
        <v/>
      </c>
      <c r="AK584">
        <f>$C584*AK583</f>
        <v/>
      </c>
      <c r="AL584">
        <f>$C584*AL583</f>
        <v/>
      </c>
      <c r="AM584">
        <f>$C584*AM583</f>
        <v/>
      </c>
      <c r="AN584">
        <f>$C584*AN583</f>
        <v/>
      </c>
      <c r="AO584">
        <f>$C584*AO583</f>
        <v/>
      </c>
      <c r="AP584">
        <f>$C584*AP583</f>
        <v/>
      </c>
      <c r="AQ584">
        <f>$C584*AQ583</f>
        <v/>
      </c>
      <c r="AR584">
        <f>$C584*AR583</f>
        <v/>
      </c>
      <c r="AS584">
        <f>$C584*AS583</f>
        <v/>
      </c>
      <c r="AT584">
        <f>$C584*AT583</f>
        <v/>
      </c>
      <c r="AU584">
        <f>$C584*AU583</f>
        <v/>
      </c>
      <c r="AV584">
        <f>$C584*AV583</f>
        <v/>
      </c>
      <c r="AW584">
        <f>$C584*AW583</f>
        <v/>
      </c>
      <c r="AX584">
        <f>$C584*AX583</f>
        <v/>
      </c>
      <c r="AY584">
        <f>$C584*AY583</f>
        <v/>
      </c>
      <c r="AZ584">
        <f>$C584*AZ583</f>
        <v/>
      </c>
      <c r="BA584">
        <f>$C584*BA583</f>
        <v/>
      </c>
      <c r="BB584">
        <f>$C584*BB583</f>
        <v/>
      </c>
      <c r="BC584">
        <f>$C584*BC583</f>
        <v/>
      </c>
      <c r="BD584">
        <f>$C584*BD583</f>
        <v/>
      </c>
      <c r="BE584">
        <f>$C584*BE583</f>
        <v/>
      </c>
      <c r="BF584">
        <f>$C584*BF583</f>
        <v/>
      </c>
      <c r="BG584">
        <f>$C584*BG583</f>
        <v/>
      </c>
      <c r="BH584">
        <f>$C584*BH583</f>
        <v/>
      </c>
      <c r="BI584">
        <f>$C584*BI583</f>
        <v/>
      </c>
      <c r="BJ584">
        <f>$C584*BJ583</f>
        <v/>
      </c>
      <c r="BK584">
        <f>$C584*BK583</f>
        <v/>
      </c>
      <c r="BL584">
        <f>$C584*BL583</f>
        <v/>
      </c>
      <c r="BM584">
        <f>$C584*BM583</f>
        <v/>
      </c>
      <c r="BN584">
        <f>$C584*BN583</f>
        <v/>
      </c>
      <c r="BO584">
        <f>$C584*BO583</f>
        <v/>
      </c>
      <c r="BP584">
        <f>$C584*BP583</f>
        <v/>
      </c>
      <c r="BQ584">
        <f>$C584*BQ583</f>
        <v/>
      </c>
      <c r="BR584">
        <f>$C584*BR583</f>
        <v/>
      </c>
      <c r="BS584">
        <f>$C584*BS583</f>
        <v/>
      </c>
      <c r="BT584">
        <f>$C584*BT583</f>
        <v/>
      </c>
      <c r="BU584">
        <f>$C584*BU583</f>
        <v/>
      </c>
      <c r="BV584">
        <f>$C584*BV583</f>
        <v/>
      </c>
      <c r="BW584">
        <f>$C584*BW583</f>
        <v/>
      </c>
      <c r="BX584">
        <f>$C584*BX583</f>
        <v/>
      </c>
      <c r="BY584">
        <f>$C584*BY583</f>
        <v/>
      </c>
      <c r="BZ584">
        <f>$C584*BZ583</f>
        <v/>
      </c>
      <c r="CA584">
        <f>$C584*CA583</f>
        <v/>
      </c>
      <c r="CB584">
        <f>$C584*CB583</f>
        <v/>
      </c>
      <c r="CC584">
        <f>$C584*CC583</f>
        <v/>
      </c>
      <c r="CD584">
        <f>$C584*CD583</f>
        <v/>
      </c>
      <c r="CE584">
        <f>$C584*CE583</f>
        <v/>
      </c>
      <c r="CF584">
        <f>$C584*CF583</f>
        <v/>
      </c>
      <c r="CG584">
        <f>$C584*CG583</f>
        <v/>
      </c>
      <c r="CH584">
        <f>$C584*CH583</f>
        <v/>
      </c>
      <c r="CI584">
        <f>$C584*CI583</f>
        <v/>
      </c>
      <c r="CJ584">
        <f>$C584*CJ583</f>
        <v/>
      </c>
      <c r="CK584">
        <f>$C584*CK583</f>
        <v/>
      </c>
      <c r="CL584">
        <f>$C584*CL583</f>
        <v/>
      </c>
      <c r="CM584">
        <f>$C584*CM583</f>
        <v/>
      </c>
      <c r="CN584">
        <f>$C584*CN583</f>
        <v/>
      </c>
      <c r="CO584">
        <f>$C584*CO583</f>
        <v/>
      </c>
      <c r="CP584">
        <f>$C584*CP583</f>
        <v/>
      </c>
      <c r="CQ584">
        <f>$C584*CQ583</f>
        <v/>
      </c>
      <c r="CR584">
        <f>$C584*CR583</f>
        <v/>
      </c>
      <c r="CS584">
        <f>$C584*CS583</f>
        <v/>
      </c>
      <c r="CT584">
        <f>$C584*CT583</f>
        <v/>
      </c>
      <c r="CU584">
        <f>$C584*CU583</f>
        <v/>
      </c>
      <c r="CV584">
        <f>$C584*CV583</f>
        <v/>
      </c>
      <c r="CW584">
        <f>$C584*CW583</f>
        <v/>
      </c>
      <c r="CX584">
        <f>$C584*CX583</f>
        <v/>
      </c>
      <c r="CY584">
        <f>$C584*CY583</f>
        <v/>
      </c>
      <c r="CZ584">
        <f>$C584*CZ583</f>
        <v/>
      </c>
      <c r="DA584">
        <f>$C584*DA583</f>
        <v/>
      </c>
      <c r="DB584">
        <f>$C584*DB583</f>
        <v/>
      </c>
      <c r="DC584">
        <f>$C584*DC583</f>
        <v/>
      </c>
    </row>
    <row r="585">
      <c r="B585" t="inlineStr">
        <is>
          <t>TSP-1449</t>
        </is>
      </c>
      <c r="C585" t="inlineStr">
        <is>
          <t>No. of batches</t>
        </is>
      </c>
      <c r="D585">
        <f>IFERROR(INDEX(PP_Grid[#Data],$DD585,2),0)</f>
        <v/>
      </c>
      <c r="E585">
        <f>IFERROR(INDEX(PP_Grid[#Data],$DD585,3),0)</f>
        <v/>
      </c>
      <c r="F585">
        <f>IFERROR(INDEX(PP_Grid[#Data],$DD585,4),0)</f>
        <v/>
      </c>
      <c r="G585">
        <f>IFERROR(INDEX(PP_Grid[#Data],$DD585,5),0)</f>
        <v/>
      </c>
      <c r="H585">
        <f>IFERROR(INDEX(PP_Grid[#Data],$DD585,6),0)</f>
        <v/>
      </c>
      <c r="I585">
        <f>IFERROR(INDEX(PP_Grid[#Data],$DD585,7),0)</f>
        <v/>
      </c>
      <c r="J585">
        <f>IFERROR(INDEX(PP_Grid[#Data],$DD585,8),0)</f>
        <v/>
      </c>
      <c r="K585">
        <f>IFERROR(INDEX(PP_Grid[#Data],$DD585,9),0)</f>
        <v/>
      </c>
      <c r="L585">
        <f>IFERROR(INDEX(PP_Grid[#Data],$DD585,10),0)</f>
        <v/>
      </c>
      <c r="M585">
        <f>IFERROR(INDEX(PP_Grid[#Data],$DD585,11),0)</f>
        <v/>
      </c>
      <c r="N585">
        <f>IFERROR(INDEX(PP_Grid[#Data],$DD585,12),0)</f>
        <v/>
      </c>
      <c r="O585">
        <f>IFERROR(INDEX(PP_Grid[#Data],$DD585,13),0)</f>
        <v/>
      </c>
      <c r="P585">
        <f>IFERROR(INDEX(PP_Grid[#Data],$DD585,14),0)</f>
        <v/>
      </c>
      <c r="Q585">
        <f>IFERROR(INDEX(PP_Grid[#Data],$DD585,15),0)</f>
        <v/>
      </c>
      <c r="R585">
        <f>IFERROR(INDEX(PP_Grid[#Data],$DD585,16),0)</f>
        <v/>
      </c>
      <c r="S585">
        <f>IFERROR(INDEX(PP_Grid[#Data],$DD585,17),0)</f>
        <v/>
      </c>
      <c r="T585">
        <f>IFERROR(INDEX(PP_Grid[#Data],$DD585,18),0)</f>
        <v/>
      </c>
      <c r="U585">
        <f>IFERROR(INDEX(PP_Grid[#Data],$DD585,19),0)</f>
        <v/>
      </c>
      <c r="V585">
        <f>IFERROR(INDEX(PP_Grid[#Data],$DD585,20),0)</f>
        <v/>
      </c>
      <c r="W585">
        <f>IFERROR(INDEX(PP_Grid[#Data],$DD585,21),0)</f>
        <v/>
      </c>
      <c r="X585">
        <f>IFERROR(INDEX(PP_Grid[#Data],$DD585,22),0)</f>
        <v/>
      </c>
      <c r="Y585">
        <f>IFERROR(INDEX(PP_Grid[#Data],$DD585,23),0)</f>
        <v/>
      </c>
      <c r="Z585">
        <f>IFERROR(INDEX(PP_Grid[#Data],$DD585,24),0)</f>
        <v/>
      </c>
      <c r="AA585">
        <f>IFERROR(INDEX(PP_Grid[#Data],$DD585,25),0)</f>
        <v/>
      </c>
      <c r="AB585">
        <f>IFERROR(INDEX(PP_Grid[#Data],$DD585,26),0)</f>
        <v/>
      </c>
      <c r="AC585">
        <f>IFERROR(INDEX(PP_Grid[#Data],$DD585,27),0)</f>
        <v/>
      </c>
      <c r="AD585">
        <f>IFERROR(INDEX(PP_Grid[#Data],$DD585,28),0)</f>
        <v/>
      </c>
      <c r="AE585">
        <f>IFERROR(INDEX(PP_Grid[#Data],$DD585,29),0)</f>
        <v/>
      </c>
      <c r="AF585">
        <f>IFERROR(INDEX(PP_Grid[#Data],$DD585,30),0)</f>
        <v/>
      </c>
      <c r="AG585">
        <f>IFERROR(INDEX(PP_Grid[#Data],$DD585,31),0)</f>
        <v/>
      </c>
      <c r="AH585">
        <f>IFERROR(INDEX(PP_Grid[#Data],$DD585,32),0)</f>
        <v/>
      </c>
      <c r="AI585">
        <f>IFERROR(INDEX(PP_Grid[#Data],$DD585,33),0)</f>
        <v/>
      </c>
      <c r="AJ585">
        <f>IFERROR(INDEX(PP_Grid[#Data],$DD585,34),0)</f>
        <v/>
      </c>
      <c r="AK585">
        <f>IFERROR(INDEX(PP_Grid[#Data],$DD585,35),0)</f>
        <v/>
      </c>
      <c r="AL585">
        <f>IFERROR(INDEX(PP_Grid[#Data],$DD585,36),0)</f>
        <v/>
      </c>
      <c r="AM585">
        <f>IFERROR(INDEX(PP_Grid[#Data],$DD585,37),0)</f>
        <v/>
      </c>
      <c r="AN585">
        <f>IFERROR(INDEX(PP_Grid[#Data],$DD585,38),0)</f>
        <v/>
      </c>
      <c r="AO585">
        <f>IFERROR(INDEX(PP_Grid[#Data],$DD585,39),0)</f>
        <v/>
      </c>
      <c r="AP585">
        <f>IFERROR(INDEX(PP_Grid[#Data],$DD585,40),0)</f>
        <v/>
      </c>
      <c r="AQ585">
        <f>IFERROR(INDEX(PP_Grid[#Data],$DD585,41),0)</f>
        <v/>
      </c>
      <c r="AR585">
        <f>IFERROR(INDEX(PP_Grid[#Data],$DD585,42),0)</f>
        <v/>
      </c>
      <c r="AS585">
        <f>IFERROR(INDEX(PP_Grid[#Data],$DD585,43),0)</f>
        <v/>
      </c>
      <c r="AT585">
        <f>IFERROR(INDEX(PP_Grid[#Data],$DD585,44),0)</f>
        <v/>
      </c>
      <c r="AU585">
        <f>IFERROR(INDEX(PP_Grid[#Data],$DD585,45),0)</f>
        <v/>
      </c>
      <c r="AV585">
        <f>IFERROR(INDEX(PP_Grid[#Data],$DD585,46),0)</f>
        <v/>
      </c>
      <c r="AW585">
        <f>IFERROR(INDEX(PP_Grid[#Data],$DD585,47),0)</f>
        <v/>
      </c>
      <c r="AX585">
        <f>IFERROR(INDEX(PP_Grid[#Data],$DD585,48),0)</f>
        <v/>
      </c>
      <c r="AY585">
        <f>IFERROR(INDEX(PP_Grid[#Data],$DD585,49),0)</f>
        <v/>
      </c>
      <c r="AZ585">
        <f>IFERROR(INDEX(PP_Grid[#Data],$DD585,50),0)</f>
        <v/>
      </c>
      <c r="BA585">
        <f>IFERROR(INDEX(PP_Grid[#Data],$DD585,51),0)</f>
        <v/>
      </c>
      <c r="BB585">
        <f>IFERROR(INDEX(PP_Grid[#Data],$DD585,52),0)</f>
        <v/>
      </c>
      <c r="BC585">
        <f>IFERROR(INDEX(PP_Grid[#Data],$DD585,53),0)</f>
        <v/>
      </c>
      <c r="BD585">
        <f>IFERROR(INDEX(PP_Grid[#Data],$DD585,54),0)</f>
        <v/>
      </c>
      <c r="BE585">
        <f>IFERROR(INDEX(PP_Grid[#Data],$DD585,55),0)</f>
        <v/>
      </c>
      <c r="BF585">
        <f>IFERROR(INDEX(PP_Grid[#Data],$DD585,56),0)</f>
        <v/>
      </c>
      <c r="BG585">
        <f>IFERROR(INDEX(PP_Grid[#Data],$DD585,57),0)</f>
        <v/>
      </c>
      <c r="BH585">
        <f>IFERROR(INDEX(PP_Grid[#Data],$DD585,58),0)</f>
        <v/>
      </c>
      <c r="BI585">
        <f>IFERROR(INDEX(PP_Grid[#Data],$DD585,59),0)</f>
        <v/>
      </c>
      <c r="BJ585">
        <f>IFERROR(INDEX(PP_Grid[#Data],$DD585,60),0)</f>
        <v/>
      </c>
      <c r="BK585">
        <f>IFERROR(INDEX(PP_Grid[#Data],$DD585,61),0)</f>
        <v/>
      </c>
      <c r="BL585">
        <f>IFERROR(INDEX(PP_Grid[#Data],$DD585,62),0)</f>
        <v/>
      </c>
      <c r="BM585">
        <f>IFERROR(INDEX(PP_Grid[#Data],$DD585,63),0)</f>
        <v/>
      </c>
      <c r="BN585">
        <f>IFERROR(INDEX(PP_Grid[#Data],$DD585,64),0)</f>
        <v/>
      </c>
      <c r="BO585">
        <f>IFERROR(INDEX(PP_Grid[#Data],$DD585,65),0)</f>
        <v/>
      </c>
      <c r="BP585">
        <f>IFERROR(INDEX(PP_Grid[#Data],$DD585,66),0)</f>
        <v/>
      </c>
      <c r="BQ585">
        <f>IFERROR(INDEX(PP_Grid[#Data],$DD585,67),0)</f>
        <v/>
      </c>
      <c r="BR585">
        <f>IFERROR(INDEX(PP_Grid[#Data],$DD585,68),0)</f>
        <v/>
      </c>
      <c r="BS585">
        <f>IFERROR(INDEX(PP_Grid[#Data],$DD585,69),0)</f>
        <v/>
      </c>
      <c r="BT585">
        <f>IFERROR(INDEX(PP_Grid[#Data],$DD585,70),0)</f>
        <v/>
      </c>
      <c r="BU585">
        <f>IFERROR(INDEX(PP_Grid[#Data],$DD585,71),0)</f>
        <v/>
      </c>
      <c r="BV585">
        <f>IFERROR(INDEX(PP_Grid[#Data],$DD585,72),0)</f>
        <v/>
      </c>
      <c r="BW585">
        <f>IFERROR(INDEX(PP_Grid[#Data],$DD585,73),0)</f>
        <v/>
      </c>
      <c r="BX585">
        <f>IFERROR(INDEX(PP_Grid[#Data],$DD585,74),0)</f>
        <v/>
      </c>
      <c r="BY585">
        <f>IFERROR(INDEX(PP_Grid[#Data],$DD585,75),0)</f>
        <v/>
      </c>
      <c r="BZ585">
        <f>IFERROR(INDEX(PP_Grid[#Data],$DD585,76),0)</f>
        <v/>
      </c>
      <c r="CA585">
        <f>IFERROR(INDEX(PP_Grid[#Data],$DD585,77),0)</f>
        <v/>
      </c>
      <c r="CB585">
        <f>IFERROR(INDEX(PP_Grid[#Data],$DD585,78),0)</f>
        <v/>
      </c>
      <c r="CC585">
        <f>IFERROR(INDEX(PP_Grid[#Data],$DD585,79),0)</f>
        <v/>
      </c>
      <c r="CD585">
        <f>IFERROR(INDEX(PP_Grid[#Data],$DD585,80),0)</f>
        <v/>
      </c>
      <c r="CE585">
        <f>IFERROR(INDEX(PP_Grid[#Data],$DD585,81),0)</f>
        <v/>
      </c>
      <c r="CF585">
        <f>IFERROR(INDEX(PP_Grid[#Data],$DD585,82),0)</f>
        <v/>
      </c>
      <c r="CG585">
        <f>IFERROR(INDEX(PP_Grid[#Data],$DD585,83),0)</f>
        <v/>
      </c>
      <c r="CH585">
        <f>IFERROR(INDEX(PP_Grid[#Data],$DD585,84),0)</f>
        <v/>
      </c>
      <c r="CI585">
        <f>IFERROR(INDEX(PP_Grid[#Data],$DD585,85),0)</f>
        <v/>
      </c>
      <c r="CJ585">
        <f>IFERROR(INDEX(PP_Grid[#Data],$DD585,86),0)</f>
        <v/>
      </c>
      <c r="CK585">
        <f>IFERROR(INDEX(PP_Grid[#Data],$DD585,87),0)</f>
        <v/>
      </c>
      <c r="CL585">
        <f>IFERROR(INDEX(PP_Grid[#Data],$DD585,88),0)</f>
        <v/>
      </c>
      <c r="CM585">
        <f>IFERROR(INDEX(PP_Grid[#Data],$DD585,89),0)</f>
        <v/>
      </c>
      <c r="CN585">
        <f>IFERROR(INDEX(PP_Grid[#Data],$DD585,90),0)</f>
        <v/>
      </c>
      <c r="CO585">
        <f>IFERROR(INDEX(PP_Grid[#Data],$DD585,91),0)</f>
        <v/>
      </c>
      <c r="CP585">
        <f>IFERROR(INDEX(PP_Grid[#Data],$DD585,92),0)</f>
        <v/>
      </c>
      <c r="CQ585">
        <f>IFERROR(INDEX(PP_Grid[#Data],$DD585,93),0)</f>
        <v/>
      </c>
      <c r="CR585">
        <f>IFERROR(INDEX(PP_Grid[#Data],$DD585,94),0)</f>
        <v/>
      </c>
      <c r="CS585">
        <f>IFERROR(INDEX(PP_Grid[#Data],$DD585,95),0)</f>
        <v/>
      </c>
      <c r="CT585">
        <f>IFERROR(INDEX(PP_Grid[#Data],$DD585,96),0)</f>
        <v/>
      </c>
      <c r="CU585">
        <f>IFERROR(INDEX(PP_Grid[#Data],$DD585,97),0)</f>
        <v/>
      </c>
      <c r="CV585">
        <f>IFERROR(INDEX(PP_Grid[#Data],$DD585,98),0)</f>
        <v/>
      </c>
      <c r="CW585">
        <f>IFERROR(INDEX(PP_Grid[#Data],$DD585,99),0)</f>
        <v/>
      </c>
      <c r="CX585">
        <f>IFERROR(INDEX(PP_Grid[#Data],$DD585,100),0)</f>
        <v/>
      </c>
      <c r="CY585">
        <f>IFERROR(INDEX(PP_Grid[#Data],$DD585,101),0)</f>
        <v/>
      </c>
      <c r="CZ585">
        <f>IFERROR(INDEX(PP_Grid[#Data],$DD585,102),0)</f>
        <v/>
      </c>
      <c r="DA585">
        <f>IFERROR(INDEX(PP_Grid[#Data],$DD585,103),0)</f>
        <v/>
      </c>
      <c r="DB585">
        <f>IFERROR(INDEX(PP_Grid[#Data],$DD585,104),0)</f>
        <v/>
      </c>
      <c r="DC585">
        <f>IFERROR(INDEX(PP_Grid[#Data],$DD585,105),0)</f>
        <v/>
      </c>
      <c r="DD585" s="7">
        <f>IFERROR(MATCH($B585,PP_Grid[Intermediate],0),99999)</f>
        <v/>
      </c>
    </row>
    <row r="586">
      <c r="B586" t="inlineStr">
        <is>
          <t>使用量(kg)</t>
        </is>
      </c>
      <c r="C586">
        <f>SUMIFS(M_BOM[RM_Qty_Per_Batch],M_BOM[Intermediate],$B585,M_BOM[Part Name],$A580)</f>
        <v/>
      </c>
      <c r="D586">
        <f>$C586*D585</f>
        <v/>
      </c>
      <c r="E586">
        <f>$C586*E585</f>
        <v/>
      </c>
      <c r="F586">
        <f>$C586*F585</f>
        <v/>
      </c>
      <c r="G586">
        <f>$C586*G585</f>
        <v/>
      </c>
      <c r="H586">
        <f>$C586*H585</f>
        <v/>
      </c>
      <c r="I586">
        <f>$C586*I585</f>
        <v/>
      </c>
      <c r="J586">
        <f>$C586*J585</f>
        <v/>
      </c>
      <c r="K586">
        <f>$C586*K585</f>
        <v/>
      </c>
      <c r="L586">
        <f>$C586*L585</f>
        <v/>
      </c>
      <c r="M586">
        <f>$C586*M585</f>
        <v/>
      </c>
      <c r="N586">
        <f>$C586*N585</f>
        <v/>
      </c>
      <c r="O586">
        <f>$C586*O585</f>
        <v/>
      </c>
      <c r="P586">
        <f>$C586*P585</f>
        <v/>
      </c>
      <c r="Q586">
        <f>$C586*Q585</f>
        <v/>
      </c>
      <c r="R586">
        <f>$C586*R585</f>
        <v/>
      </c>
      <c r="S586">
        <f>$C586*S585</f>
        <v/>
      </c>
      <c r="T586">
        <f>$C586*T585</f>
        <v/>
      </c>
      <c r="U586">
        <f>$C586*U585</f>
        <v/>
      </c>
      <c r="V586">
        <f>$C586*V585</f>
        <v/>
      </c>
      <c r="W586">
        <f>$C586*W585</f>
        <v/>
      </c>
      <c r="X586">
        <f>$C586*X585</f>
        <v/>
      </c>
      <c r="Y586">
        <f>$C586*Y585</f>
        <v/>
      </c>
      <c r="Z586">
        <f>$C586*Z585</f>
        <v/>
      </c>
      <c r="AA586">
        <f>$C586*AA585</f>
        <v/>
      </c>
      <c r="AB586">
        <f>$C586*AB585</f>
        <v/>
      </c>
      <c r="AC586">
        <f>$C586*AC585</f>
        <v/>
      </c>
      <c r="AD586">
        <f>$C586*AD585</f>
        <v/>
      </c>
      <c r="AE586">
        <f>$C586*AE585</f>
        <v/>
      </c>
      <c r="AF586">
        <f>$C586*AF585</f>
        <v/>
      </c>
      <c r="AG586">
        <f>$C586*AG585</f>
        <v/>
      </c>
      <c r="AH586">
        <f>$C586*AH585</f>
        <v/>
      </c>
      <c r="AI586">
        <f>$C586*AI585</f>
        <v/>
      </c>
      <c r="AJ586">
        <f>$C586*AJ585</f>
        <v/>
      </c>
      <c r="AK586">
        <f>$C586*AK585</f>
        <v/>
      </c>
      <c r="AL586">
        <f>$C586*AL585</f>
        <v/>
      </c>
      <c r="AM586">
        <f>$C586*AM585</f>
        <v/>
      </c>
      <c r="AN586">
        <f>$C586*AN585</f>
        <v/>
      </c>
      <c r="AO586">
        <f>$C586*AO585</f>
        <v/>
      </c>
      <c r="AP586">
        <f>$C586*AP585</f>
        <v/>
      </c>
      <c r="AQ586">
        <f>$C586*AQ585</f>
        <v/>
      </c>
      <c r="AR586">
        <f>$C586*AR585</f>
        <v/>
      </c>
      <c r="AS586">
        <f>$C586*AS585</f>
        <v/>
      </c>
      <c r="AT586">
        <f>$C586*AT585</f>
        <v/>
      </c>
      <c r="AU586">
        <f>$C586*AU585</f>
        <v/>
      </c>
      <c r="AV586">
        <f>$C586*AV585</f>
        <v/>
      </c>
      <c r="AW586">
        <f>$C586*AW585</f>
        <v/>
      </c>
      <c r="AX586">
        <f>$C586*AX585</f>
        <v/>
      </c>
      <c r="AY586">
        <f>$C586*AY585</f>
        <v/>
      </c>
      <c r="AZ586">
        <f>$C586*AZ585</f>
        <v/>
      </c>
      <c r="BA586">
        <f>$C586*BA585</f>
        <v/>
      </c>
      <c r="BB586">
        <f>$C586*BB585</f>
        <v/>
      </c>
      <c r="BC586">
        <f>$C586*BC585</f>
        <v/>
      </c>
      <c r="BD586">
        <f>$C586*BD585</f>
        <v/>
      </c>
      <c r="BE586">
        <f>$C586*BE585</f>
        <v/>
      </c>
      <c r="BF586">
        <f>$C586*BF585</f>
        <v/>
      </c>
      <c r="BG586">
        <f>$C586*BG585</f>
        <v/>
      </c>
      <c r="BH586">
        <f>$C586*BH585</f>
        <v/>
      </c>
      <c r="BI586">
        <f>$C586*BI585</f>
        <v/>
      </c>
      <c r="BJ586">
        <f>$C586*BJ585</f>
        <v/>
      </c>
      <c r="BK586">
        <f>$C586*BK585</f>
        <v/>
      </c>
      <c r="BL586">
        <f>$C586*BL585</f>
        <v/>
      </c>
      <c r="BM586">
        <f>$C586*BM585</f>
        <v/>
      </c>
      <c r="BN586">
        <f>$C586*BN585</f>
        <v/>
      </c>
      <c r="BO586">
        <f>$C586*BO585</f>
        <v/>
      </c>
      <c r="BP586">
        <f>$C586*BP585</f>
        <v/>
      </c>
      <c r="BQ586">
        <f>$C586*BQ585</f>
        <v/>
      </c>
      <c r="BR586">
        <f>$C586*BR585</f>
        <v/>
      </c>
      <c r="BS586">
        <f>$C586*BS585</f>
        <v/>
      </c>
      <c r="BT586">
        <f>$C586*BT585</f>
        <v/>
      </c>
      <c r="BU586">
        <f>$C586*BU585</f>
        <v/>
      </c>
      <c r="BV586">
        <f>$C586*BV585</f>
        <v/>
      </c>
      <c r="BW586">
        <f>$C586*BW585</f>
        <v/>
      </c>
      <c r="BX586">
        <f>$C586*BX585</f>
        <v/>
      </c>
      <c r="BY586">
        <f>$C586*BY585</f>
        <v/>
      </c>
      <c r="BZ586">
        <f>$C586*BZ585</f>
        <v/>
      </c>
      <c r="CA586">
        <f>$C586*CA585</f>
        <v/>
      </c>
      <c r="CB586">
        <f>$C586*CB585</f>
        <v/>
      </c>
      <c r="CC586">
        <f>$C586*CC585</f>
        <v/>
      </c>
      <c r="CD586">
        <f>$C586*CD585</f>
        <v/>
      </c>
      <c r="CE586">
        <f>$C586*CE585</f>
        <v/>
      </c>
      <c r="CF586">
        <f>$C586*CF585</f>
        <v/>
      </c>
      <c r="CG586">
        <f>$C586*CG585</f>
        <v/>
      </c>
      <c r="CH586">
        <f>$C586*CH585</f>
        <v/>
      </c>
      <c r="CI586">
        <f>$C586*CI585</f>
        <v/>
      </c>
      <c r="CJ586">
        <f>$C586*CJ585</f>
        <v/>
      </c>
      <c r="CK586">
        <f>$C586*CK585</f>
        <v/>
      </c>
      <c r="CL586">
        <f>$C586*CL585</f>
        <v/>
      </c>
      <c r="CM586">
        <f>$C586*CM585</f>
        <v/>
      </c>
      <c r="CN586">
        <f>$C586*CN585</f>
        <v/>
      </c>
      <c r="CO586">
        <f>$C586*CO585</f>
        <v/>
      </c>
      <c r="CP586">
        <f>$C586*CP585</f>
        <v/>
      </c>
      <c r="CQ586">
        <f>$C586*CQ585</f>
        <v/>
      </c>
      <c r="CR586">
        <f>$C586*CR585</f>
        <v/>
      </c>
      <c r="CS586">
        <f>$C586*CS585</f>
        <v/>
      </c>
      <c r="CT586">
        <f>$C586*CT585</f>
        <v/>
      </c>
      <c r="CU586">
        <f>$C586*CU585</f>
        <v/>
      </c>
      <c r="CV586">
        <f>$C586*CV585</f>
        <v/>
      </c>
      <c r="CW586">
        <f>$C586*CW585</f>
        <v/>
      </c>
      <c r="CX586">
        <f>$C586*CX585</f>
        <v/>
      </c>
      <c r="CY586">
        <f>$C586*CY585</f>
        <v/>
      </c>
      <c r="CZ586">
        <f>$C586*CZ585</f>
        <v/>
      </c>
      <c r="DA586">
        <f>$C586*DA585</f>
        <v/>
      </c>
      <c r="DB586">
        <f>$C586*DB585</f>
        <v/>
      </c>
      <c r="DC586">
        <f>$C586*DC585</f>
        <v/>
      </c>
    </row>
    <row r="587">
      <c r="B587" t="inlineStr">
        <is>
          <t>VSP-600</t>
        </is>
      </c>
      <c r="C587" t="inlineStr">
        <is>
          <t>No. of batches</t>
        </is>
      </c>
      <c r="D587">
        <f>IFERROR(INDEX(PP_Grid[#Data],$DD587,2),0)</f>
        <v/>
      </c>
      <c r="E587">
        <f>IFERROR(INDEX(PP_Grid[#Data],$DD587,3),0)</f>
        <v/>
      </c>
      <c r="F587">
        <f>IFERROR(INDEX(PP_Grid[#Data],$DD587,4),0)</f>
        <v/>
      </c>
      <c r="G587">
        <f>IFERROR(INDEX(PP_Grid[#Data],$DD587,5),0)</f>
        <v/>
      </c>
      <c r="H587">
        <f>IFERROR(INDEX(PP_Grid[#Data],$DD587,6),0)</f>
        <v/>
      </c>
      <c r="I587">
        <f>IFERROR(INDEX(PP_Grid[#Data],$DD587,7),0)</f>
        <v/>
      </c>
      <c r="J587">
        <f>IFERROR(INDEX(PP_Grid[#Data],$DD587,8),0)</f>
        <v/>
      </c>
      <c r="K587">
        <f>IFERROR(INDEX(PP_Grid[#Data],$DD587,9),0)</f>
        <v/>
      </c>
      <c r="L587">
        <f>IFERROR(INDEX(PP_Grid[#Data],$DD587,10),0)</f>
        <v/>
      </c>
      <c r="M587">
        <f>IFERROR(INDEX(PP_Grid[#Data],$DD587,11),0)</f>
        <v/>
      </c>
      <c r="N587">
        <f>IFERROR(INDEX(PP_Grid[#Data],$DD587,12),0)</f>
        <v/>
      </c>
      <c r="O587">
        <f>IFERROR(INDEX(PP_Grid[#Data],$DD587,13),0)</f>
        <v/>
      </c>
      <c r="P587">
        <f>IFERROR(INDEX(PP_Grid[#Data],$DD587,14),0)</f>
        <v/>
      </c>
      <c r="Q587">
        <f>IFERROR(INDEX(PP_Grid[#Data],$DD587,15),0)</f>
        <v/>
      </c>
      <c r="R587">
        <f>IFERROR(INDEX(PP_Grid[#Data],$DD587,16),0)</f>
        <v/>
      </c>
      <c r="S587">
        <f>IFERROR(INDEX(PP_Grid[#Data],$DD587,17),0)</f>
        <v/>
      </c>
      <c r="T587">
        <f>IFERROR(INDEX(PP_Grid[#Data],$DD587,18),0)</f>
        <v/>
      </c>
      <c r="U587">
        <f>IFERROR(INDEX(PP_Grid[#Data],$DD587,19),0)</f>
        <v/>
      </c>
      <c r="V587">
        <f>IFERROR(INDEX(PP_Grid[#Data],$DD587,20),0)</f>
        <v/>
      </c>
      <c r="W587">
        <f>IFERROR(INDEX(PP_Grid[#Data],$DD587,21),0)</f>
        <v/>
      </c>
      <c r="X587">
        <f>IFERROR(INDEX(PP_Grid[#Data],$DD587,22),0)</f>
        <v/>
      </c>
      <c r="Y587">
        <f>IFERROR(INDEX(PP_Grid[#Data],$DD587,23),0)</f>
        <v/>
      </c>
      <c r="Z587">
        <f>IFERROR(INDEX(PP_Grid[#Data],$DD587,24),0)</f>
        <v/>
      </c>
      <c r="AA587">
        <f>IFERROR(INDEX(PP_Grid[#Data],$DD587,25),0)</f>
        <v/>
      </c>
      <c r="AB587">
        <f>IFERROR(INDEX(PP_Grid[#Data],$DD587,26),0)</f>
        <v/>
      </c>
      <c r="AC587">
        <f>IFERROR(INDEX(PP_Grid[#Data],$DD587,27),0)</f>
        <v/>
      </c>
      <c r="AD587">
        <f>IFERROR(INDEX(PP_Grid[#Data],$DD587,28),0)</f>
        <v/>
      </c>
      <c r="AE587">
        <f>IFERROR(INDEX(PP_Grid[#Data],$DD587,29),0)</f>
        <v/>
      </c>
      <c r="AF587">
        <f>IFERROR(INDEX(PP_Grid[#Data],$DD587,30),0)</f>
        <v/>
      </c>
      <c r="AG587">
        <f>IFERROR(INDEX(PP_Grid[#Data],$DD587,31),0)</f>
        <v/>
      </c>
      <c r="AH587">
        <f>IFERROR(INDEX(PP_Grid[#Data],$DD587,32),0)</f>
        <v/>
      </c>
      <c r="AI587">
        <f>IFERROR(INDEX(PP_Grid[#Data],$DD587,33),0)</f>
        <v/>
      </c>
      <c r="AJ587">
        <f>IFERROR(INDEX(PP_Grid[#Data],$DD587,34),0)</f>
        <v/>
      </c>
      <c r="AK587">
        <f>IFERROR(INDEX(PP_Grid[#Data],$DD587,35),0)</f>
        <v/>
      </c>
      <c r="AL587">
        <f>IFERROR(INDEX(PP_Grid[#Data],$DD587,36),0)</f>
        <v/>
      </c>
      <c r="AM587">
        <f>IFERROR(INDEX(PP_Grid[#Data],$DD587,37),0)</f>
        <v/>
      </c>
      <c r="AN587">
        <f>IFERROR(INDEX(PP_Grid[#Data],$DD587,38),0)</f>
        <v/>
      </c>
      <c r="AO587">
        <f>IFERROR(INDEX(PP_Grid[#Data],$DD587,39),0)</f>
        <v/>
      </c>
      <c r="AP587">
        <f>IFERROR(INDEX(PP_Grid[#Data],$DD587,40),0)</f>
        <v/>
      </c>
      <c r="AQ587">
        <f>IFERROR(INDEX(PP_Grid[#Data],$DD587,41),0)</f>
        <v/>
      </c>
      <c r="AR587">
        <f>IFERROR(INDEX(PP_Grid[#Data],$DD587,42),0)</f>
        <v/>
      </c>
      <c r="AS587">
        <f>IFERROR(INDEX(PP_Grid[#Data],$DD587,43),0)</f>
        <v/>
      </c>
      <c r="AT587">
        <f>IFERROR(INDEX(PP_Grid[#Data],$DD587,44),0)</f>
        <v/>
      </c>
      <c r="AU587">
        <f>IFERROR(INDEX(PP_Grid[#Data],$DD587,45),0)</f>
        <v/>
      </c>
      <c r="AV587">
        <f>IFERROR(INDEX(PP_Grid[#Data],$DD587,46),0)</f>
        <v/>
      </c>
      <c r="AW587">
        <f>IFERROR(INDEX(PP_Grid[#Data],$DD587,47),0)</f>
        <v/>
      </c>
      <c r="AX587">
        <f>IFERROR(INDEX(PP_Grid[#Data],$DD587,48),0)</f>
        <v/>
      </c>
      <c r="AY587">
        <f>IFERROR(INDEX(PP_Grid[#Data],$DD587,49),0)</f>
        <v/>
      </c>
      <c r="AZ587">
        <f>IFERROR(INDEX(PP_Grid[#Data],$DD587,50),0)</f>
        <v/>
      </c>
      <c r="BA587">
        <f>IFERROR(INDEX(PP_Grid[#Data],$DD587,51),0)</f>
        <v/>
      </c>
      <c r="BB587">
        <f>IFERROR(INDEX(PP_Grid[#Data],$DD587,52),0)</f>
        <v/>
      </c>
      <c r="BC587">
        <f>IFERROR(INDEX(PP_Grid[#Data],$DD587,53),0)</f>
        <v/>
      </c>
      <c r="BD587">
        <f>IFERROR(INDEX(PP_Grid[#Data],$DD587,54),0)</f>
        <v/>
      </c>
      <c r="BE587">
        <f>IFERROR(INDEX(PP_Grid[#Data],$DD587,55),0)</f>
        <v/>
      </c>
      <c r="BF587">
        <f>IFERROR(INDEX(PP_Grid[#Data],$DD587,56),0)</f>
        <v/>
      </c>
      <c r="BG587">
        <f>IFERROR(INDEX(PP_Grid[#Data],$DD587,57),0)</f>
        <v/>
      </c>
      <c r="BH587">
        <f>IFERROR(INDEX(PP_Grid[#Data],$DD587,58),0)</f>
        <v/>
      </c>
      <c r="BI587">
        <f>IFERROR(INDEX(PP_Grid[#Data],$DD587,59),0)</f>
        <v/>
      </c>
      <c r="BJ587">
        <f>IFERROR(INDEX(PP_Grid[#Data],$DD587,60),0)</f>
        <v/>
      </c>
      <c r="BK587">
        <f>IFERROR(INDEX(PP_Grid[#Data],$DD587,61),0)</f>
        <v/>
      </c>
      <c r="BL587">
        <f>IFERROR(INDEX(PP_Grid[#Data],$DD587,62),0)</f>
        <v/>
      </c>
      <c r="BM587">
        <f>IFERROR(INDEX(PP_Grid[#Data],$DD587,63),0)</f>
        <v/>
      </c>
      <c r="BN587">
        <f>IFERROR(INDEX(PP_Grid[#Data],$DD587,64),0)</f>
        <v/>
      </c>
      <c r="BO587">
        <f>IFERROR(INDEX(PP_Grid[#Data],$DD587,65),0)</f>
        <v/>
      </c>
      <c r="BP587">
        <f>IFERROR(INDEX(PP_Grid[#Data],$DD587,66),0)</f>
        <v/>
      </c>
      <c r="BQ587">
        <f>IFERROR(INDEX(PP_Grid[#Data],$DD587,67),0)</f>
        <v/>
      </c>
      <c r="BR587">
        <f>IFERROR(INDEX(PP_Grid[#Data],$DD587,68),0)</f>
        <v/>
      </c>
      <c r="BS587">
        <f>IFERROR(INDEX(PP_Grid[#Data],$DD587,69),0)</f>
        <v/>
      </c>
      <c r="BT587">
        <f>IFERROR(INDEX(PP_Grid[#Data],$DD587,70),0)</f>
        <v/>
      </c>
      <c r="BU587">
        <f>IFERROR(INDEX(PP_Grid[#Data],$DD587,71),0)</f>
        <v/>
      </c>
      <c r="BV587">
        <f>IFERROR(INDEX(PP_Grid[#Data],$DD587,72),0)</f>
        <v/>
      </c>
      <c r="BW587">
        <f>IFERROR(INDEX(PP_Grid[#Data],$DD587,73),0)</f>
        <v/>
      </c>
      <c r="BX587">
        <f>IFERROR(INDEX(PP_Grid[#Data],$DD587,74),0)</f>
        <v/>
      </c>
      <c r="BY587">
        <f>IFERROR(INDEX(PP_Grid[#Data],$DD587,75),0)</f>
        <v/>
      </c>
      <c r="BZ587">
        <f>IFERROR(INDEX(PP_Grid[#Data],$DD587,76),0)</f>
        <v/>
      </c>
      <c r="CA587">
        <f>IFERROR(INDEX(PP_Grid[#Data],$DD587,77),0)</f>
        <v/>
      </c>
      <c r="CB587">
        <f>IFERROR(INDEX(PP_Grid[#Data],$DD587,78),0)</f>
        <v/>
      </c>
      <c r="CC587">
        <f>IFERROR(INDEX(PP_Grid[#Data],$DD587,79),0)</f>
        <v/>
      </c>
      <c r="CD587">
        <f>IFERROR(INDEX(PP_Grid[#Data],$DD587,80),0)</f>
        <v/>
      </c>
      <c r="CE587">
        <f>IFERROR(INDEX(PP_Grid[#Data],$DD587,81),0)</f>
        <v/>
      </c>
      <c r="CF587">
        <f>IFERROR(INDEX(PP_Grid[#Data],$DD587,82),0)</f>
        <v/>
      </c>
      <c r="CG587">
        <f>IFERROR(INDEX(PP_Grid[#Data],$DD587,83),0)</f>
        <v/>
      </c>
      <c r="CH587">
        <f>IFERROR(INDEX(PP_Grid[#Data],$DD587,84),0)</f>
        <v/>
      </c>
      <c r="CI587">
        <f>IFERROR(INDEX(PP_Grid[#Data],$DD587,85),0)</f>
        <v/>
      </c>
      <c r="CJ587">
        <f>IFERROR(INDEX(PP_Grid[#Data],$DD587,86),0)</f>
        <v/>
      </c>
      <c r="CK587">
        <f>IFERROR(INDEX(PP_Grid[#Data],$DD587,87),0)</f>
        <v/>
      </c>
      <c r="CL587">
        <f>IFERROR(INDEX(PP_Grid[#Data],$DD587,88),0)</f>
        <v/>
      </c>
      <c r="CM587">
        <f>IFERROR(INDEX(PP_Grid[#Data],$DD587,89),0)</f>
        <v/>
      </c>
      <c r="CN587">
        <f>IFERROR(INDEX(PP_Grid[#Data],$DD587,90),0)</f>
        <v/>
      </c>
      <c r="CO587">
        <f>IFERROR(INDEX(PP_Grid[#Data],$DD587,91),0)</f>
        <v/>
      </c>
      <c r="CP587">
        <f>IFERROR(INDEX(PP_Grid[#Data],$DD587,92),0)</f>
        <v/>
      </c>
      <c r="CQ587">
        <f>IFERROR(INDEX(PP_Grid[#Data],$DD587,93),0)</f>
        <v/>
      </c>
      <c r="CR587">
        <f>IFERROR(INDEX(PP_Grid[#Data],$DD587,94),0)</f>
        <v/>
      </c>
      <c r="CS587">
        <f>IFERROR(INDEX(PP_Grid[#Data],$DD587,95),0)</f>
        <v/>
      </c>
      <c r="CT587">
        <f>IFERROR(INDEX(PP_Grid[#Data],$DD587,96),0)</f>
        <v/>
      </c>
      <c r="CU587">
        <f>IFERROR(INDEX(PP_Grid[#Data],$DD587,97),0)</f>
        <v/>
      </c>
      <c r="CV587">
        <f>IFERROR(INDEX(PP_Grid[#Data],$DD587,98),0)</f>
        <v/>
      </c>
      <c r="CW587">
        <f>IFERROR(INDEX(PP_Grid[#Data],$DD587,99),0)</f>
        <v/>
      </c>
      <c r="CX587">
        <f>IFERROR(INDEX(PP_Grid[#Data],$DD587,100),0)</f>
        <v/>
      </c>
      <c r="CY587">
        <f>IFERROR(INDEX(PP_Grid[#Data],$DD587,101),0)</f>
        <v/>
      </c>
      <c r="CZ587">
        <f>IFERROR(INDEX(PP_Grid[#Data],$DD587,102),0)</f>
        <v/>
      </c>
      <c r="DA587">
        <f>IFERROR(INDEX(PP_Grid[#Data],$DD587,103),0)</f>
        <v/>
      </c>
      <c r="DB587">
        <f>IFERROR(INDEX(PP_Grid[#Data],$DD587,104),0)</f>
        <v/>
      </c>
      <c r="DC587">
        <f>IFERROR(INDEX(PP_Grid[#Data],$DD587,105),0)</f>
        <v/>
      </c>
      <c r="DD587" s="7">
        <f>IFERROR(MATCH($B587,PP_Grid[Intermediate],0),99999)</f>
        <v/>
      </c>
    </row>
    <row r="588">
      <c r="B588" t="inlineStr">
        <is>
          <t>使用量(kg)</t>
        </is>
      </c>
      <c r="C588">
        <f>SUMIFS(M_BOM[RM_Qty_Per_Batch],M_BOM[Intermediate],$B587,M_BOM[Part Name],$A580)</f>
        <v/>
      </c>
      <c r="D588">
        <f>$C588*D587</f>
        <v/>
      </c>
      <c r="E588">
        <f>$C588*E587</f>
        <v/>
      </c>
      <c r="F588">
        <f>$C588*F587</f>
        <v/>
      </c>
      <c r="G588">
        <f>$C588*G587</f>
        <v/>
      </c>
      <c r="H588">
        <f>$C588*H587</f>
        <v/>
      </c>
      <c r="I588">
        <f>$C588*I587</f>
        <v/>
      </c>
      <c r="J588">
        <f>$C588*J587</f>
        <v/>
      </c>
      <c r="K588">
        <f>$C588*K587</f>
        <v/>
      </c>
      <c r="L588">
        <f>$C588*L587</f>
        <v/>
      </c>
      <c r="M588">
        <f>$C588*M587</f>
        <v/>
      </c>
      <c r="N588">
        <f>$C588*N587</f>
        <v/>
      </c>
      <c r="O588">
        <f>$C588*O587</f>
        <v/>
      </c>
      <c r="P588">
        <f>$C588*P587</f>
        <v/>
      </c>
      <c r="Q588">
        <f>$C588*Q587</f>
        <v/>
      </c>
      <c r="R588">
        <f>$C588*R587</f>
        <v/>
      </c>
      <c r="S588">
        <f>$C588*S587</f>
        <v/>
      </c>
      <c r="T588">
        <f>$C588*T587</f>
        <v/>
      </c>
      <c r="U588">
        <f>$C588*U587</f>
        <v/>
      </c>
      <c r="V588">
        <f>$C588*V587</f>
        <v/>
      </c>
      <c r="W588">
        <f>$C588*W587</f>
        <v/>
      </c>
      <c r="X588">
        <f>$C588*X587</f>
        <v/>
      </c>
      <c r="Y588">
        <f>$C588*Y587</f>
        <v/>
      </c>
      <c r="Z588">
        <f>$C588*Z587</f>
        <v/>
      </c>
      <c r="AA588">
        <f>$C588*AA587</f>
        <v/>
      </c>
      <c r="AB588">
        <f>$C588*AB587</f>
        <v/>
      </c>
      <c r="AC588">
        <f>$C588*AC587</f>
        <v/>
      </c>
      <c r="AD588">
        <f>$C588*AD587</f>
        <v/>
      </c>
      <c r="AE588">
        <f>$C588*AE587</f>
        <v/>
      </c>
      <c r="AF588">
        <f>$C588*AF587</f>
        <v/>
      </c>
      <c r="AG588">
        <f>$C588*AG587</f>
        <v/>
      </c>
      <c r="AH588">
        <f>$C588*AH587</f>
        <v/>
      </c>
      <c r="AI588">
        <f>$C588*AI587</f>
        <v/>
      </c>
      <c r="AJ588">
        <f>$C588*AJ587</f>
        <v/>
      </c>
      <c r="AK588">
        <f>$C588*AK587</f>
        <v/>
      </c>
      <c r="AL588">
        <f>$C588*AL587</f>
        <v/>
      </c>
      <c r="AM588">
        <f>$C588*AM587</f>
        <v/>
      </c>
      <c r="AN588">
        <f>$C588*AN587</f>
        <v/>
      </c>
      <c r="AO588">
        <f>$C588*AO587</f>
        <v/>
      </c>
      <c r="AP588">
        <f>$C588*AP587</f>
        <v/>
      </c>
      <c r="AQ588">
        <f>$C588*AQ587</f>
        <v/>
      </c>
      <c r="AR588">
        <f>$C588*AR587</f>
        <v/>
      </c>
      <c r="AS588">
        <f>$C588*AS587</f>
        <v/>
      </c>
      <c r="AT588">
        <f>$C588*AT587</f>
        <v/>
      </c>
      <c r="AU588">
        <f>$C588*AU587</f>
        <v/>
      </c>
      <c r="AV588">
        <f>$C588*AV587</f>
        <v/>
      </c>
      <c r="AW588">
        <f>$C588*AW587</f>
        <v/>
      </c>
      <c r="AX588">
        <f>$C588*AX587</f>
        <v/>
      </c>
      <c r="AY588">
        <f>$C588*AY587</f>
        <v/>
      </c>
      <c r="AZ588">
        <f>$C588*AZ587</f>
        <v/>
      </c>
      <c r="BA588">
        <f>$C588*BA587</f>
        <v/>
      </c>
      <c r="BB588">
        <f>$C588*BB587</f>
        <v/>
      </c>
      <c r="BC588">
        <f>$C588*BC587</f>
        <v/>
      </c>
      <c r="BD588">
        <f>$C588*BD587</f>
        <v/>
      </c>
      <c r="BE588">
        <f>$C588*BE587</f>
        <v/>
      </c>
      <c r="BF588">
        <f>$C588*BF587</f>
        <v/>
      </c>
      <c r="BG588">
        <f>$C588*BG587</f>
        <v/>
      </c>
      <c r="BH588">
        <f>$C588*BH587</f>
        <v/>
      </c>
      <c r="BI588">
        <f>$C588*BI587</f>
        <v/>
      </c>
      <c r="BJ588">
        <f>$C588*BJ587</f>
        <v/>
      </c>
      <c r="BK588">
        <f>$C588*BK587</f>
        <v/>
      </c>
      <c r="BL588">
        <f>$C588*BL587</f>
        <v/>
      </c>
      <c r="BM588">
        <f>$C588*BM587</f>
        <v/>
      </c>
      <c r="BN588">
        <f>$C588*BN587</f>
        <v/>
      </c>
      <c r="BO588">
        <f>$C588*BO587</f>
        <v/>
      </c>
      <c r="BP588">
        <f>$C588*BP587</f>
        <v/>
      </c>
      <c r="BQ588">
        <f>$C588*BQ587</f>
        <v/>
      </c>
      <c r="BR588">
        <f>$C588*BR587</f>
        <v/>
      </c>
      <c r="BS588">
        <f>$C588*BS587</f>
        <v/>
      </c>
      <c r="BT588">
        <f>$C588*BT587</f>
        <v/>
      </c>
      <c r="BU588">
        <f>$C588*BU587</f>
        <v/>
      </c>
      <c r="BV588">
        <f>$C588*BV587</f>
        <v/>
      </c>
      <c r="BW588">
        <f>$C588*BW587</f>
        <v/>
      </c>
      <c r="BX588">
        <f>$C588*BX587</f>
        <v/>
      </c>
      <c r="BY588">
        <f>$C588*BY587</f>
        <v/>
      </c>
      <c r="BZ588">
        <f>$C588*BZ587</f>
        <v/>
      </c>
      <c r="CA588">
        <f>$C588*CA587</f>
        <v/>
      </c>
      <c r="CB588">
        <f>$C588*CB587</f>
        <v/>
      </c>
      <c r="CC588">
        <f>$C588*CC587</f>
        <v/>
      </c>
      <c r="CD588">
        <f>$C588*CD587</f>
        <v/>
      </c>
      <c r="CE588">
        <f>$C588*CE587</f>
        <v/>
      </c>
      <c r="CF588">
        <f>$C588*CF587</f>
        <v/>
      </c>
      <c r="CG588">
        <f>$C588*CG587</f>
        <v/>
      </c>
      <c r="CH588">
        <f>$C588*CH587</f>
        <v/>
      </c>
      <c r="CI588">
        <f>$C588*CI587</f>
        <v/>
      </c>
      <c r="CJ588">
        <f>$C588*CJ587</f>
        <v/>
      </c>
      <c r="CK588">
        <f>$C588*CK587</f>
        <v/>
      </c>
      <c r="CL588">
        <f>$C588*CL587</f>
        <v/>
      </c>
      <c r="CM588">
        <f>$C588*CM587</f>
        <v/>
      </c>
      <c r="CN588">
        <f>$C588*CN587</f>
        <v/>
      </c>
      <c r="CO588">
        <f>$C588*CO587</f>
        <v/>
      </c>
      <c r="CP588">
        <f>$C588*CP587</f>
        <v/>
      </c>
      <c r="CQ588">
        <f>$C588*CQ587</f>
        <v/>
      </c>
      <c r="CR588">
        <f>$C588*CR587</f>
        <v/>
      </c>
      <c r="CS588">
        <f>$C588*CS587</f>
        <v/>
      </c>
      <c r="CT588">
        <f>$C588*CT587</f>
        <v/>
      </c>
      <c r="CU588">
        <f>$C588*CU587</f>
        <v/>
      </c>
      <c r="CV588">
        <f>$C588*CV587</f>
        <v/>
      </c>
      <c r="CW588">
        <f>$C588*CW587</f>
        <v/>
      </c>
      <c r="CX588">
        <f>$C588*CX587</f>
        <v/>
      </c>
      <c r="CY588">
        <f>$C588*CY587</f>
        <v/>
      </c>
      <c r="CZ588">
        <f>$C588*CZ587</f>
        <v/>
      </c>
      <c r="DA588">
        <f>$C588*DA587</f>
        <v/>
      </c>
      <c r="DB588">
        <f>$C588*DB587</f>
        <v/>
      </c>
      <c r="DC588">
        <f>$C588*DC587</f>
        <v/>
      </c>
    </row>
    <row r="589">
      <c r="B589" t="inlineStr">
        <is>
          <t>VSP-601</t>
        </is>
      </c>
      <c r="C589" t="inlineStr">
        <is>
          <t>No. of batches</t>
        </is>
      </c>
      <c r="D589">
        <f>IFERROR(INDEX(PP_Grid[#Data],$DD589,2),0)</f>
        <v/>
      </c>
      <c r="E589">
        <f>IFERROR(INDEX(PP_Grid[#Data],$DD589,3),0)</f>
        <v/>
      </c>
      <c r="F589">
        <f>IFERROR(INDEX(PP_Grid[#Data],$DD589,4),0)</f>
        <v/>
      </c>
      <c r="G589">
        <f>IFERROR(INDEX(PP_Grid[#Data],$DD589,5),0)</f>
        <v/>
      </c>
      <c r="H589">
        <f>IFERROR(INDEX(PP_Grid[#Data],$DD589,6),0)</f>
        <v/>
      </c>
      <c r="I589">
        <f>IFERROR(INDEX(PP_Grid[#Data],$DD589,7),0)</f>
        <v/>
      </c>
      <c r="J589">
        <f>IFERROR(INDEX(PP_Grid[#Data],$DD589,8),0)</f>
        <v/>
      </c>
      <c r="K589">
        <f>IFERROR(INDEX(PP_Grid[#Data],$DD589,9),0)</f>
        <v/>
      </c>
      <c r="L589">
        <f>IFERROR(INDEX(PP_Grid[#Data],$DD589,10),0)</f>
        <v/>
      </c>
      <c r="M589">
        <f>IFERROR(INDEX(PP_Grid[#Data],$DD589,11),0)</f>
        <v/>
      </c>
      <c r="N589">
        <f>IFERROR(INDEX(PP_Grid[#Data],$DD589,12),0)</f>
        <v/>
      </c>
      <c r="O589">
        <f>IFERROR(INDEX(PP_Grid[#Data],$DD589,13),0)</f>
        <v/>
      </c>
      <c r="P589">
        <f>IFERROR(INDEX(PP_Grid[#Data],$DD589,14),0)</f>
        <v/>
      </c>
      <c r="Q589">
        <f>IFERROR(INDEX(PP_Grid[#Data],$DD589,15),0)</f>
        <v/>
      </c>
      <c r="R589">
        <f>IFERROR(INDEX(PP_Grid[#Data],$DD589,16),0)</f>
        <v/>
      </c>
      <c r="S589">
        <f>IFERROR(INDEX(PP_Grid[#Data],$DD589,17),0)</f>
        <v/>
      </c>
      <c r="T589">
        <f>IFERROR(INDEX(PP_Grid[#Data],$DD589,18),0)</f>
        <v/>
      </c>
      <c r="U589">
        <f>IFERROR(INDEX(PP_Grid[#Data],$DD589,19),0)</f>
        <v/>
      </c>
      <c r="V589">
        <f>IFERROR(INDEX(PP_Grid[#Data],$DD589,20),0)</f>
        <v/>
      </c>
      <c r="W589">
        <f>IFERROR(INDEX(PP_Grid[#Data],$DD589,21),0)</f>
        <v/>
      </c>
      <c r="X589">
        <f>IFERROR(INDEX(PP_Grid[#Data],$DD589,22),0)</f>
        <v/>
      </c>
      <c r="Y589">
        <f>IFERROR(INDEX(PP_Grid[#Data],$DD589,23),0)</f>
        <v/>
      </c>
      <c r="Z589">
        <f>IFERROR(INDEX(PP_Grid[#Data],$DD589,24),0)</f>
        <v/>
      </c>
      <c r="AA589">
        <f>IFERROR(INDEX(PP_Grid[#Data],$DD589,25),0)</f>
        <v/>
      </c>
      <c r="AB589">
        <f>IFERROR(INDEX(PP_Grid[#Data],$DD589,26),0)</f>
        <v/>
      </c>
      <c r="AC589">
        <f>IFERROR(INDEX(PP_Grid[#Data],$DD589,27),0)</f>
        <v/>
      </c>
      <c r="AD589">
        <f>IFERROR(INDEX(PP_Grid[#Data],$DD589,28),0)</f>
        <v/>
      </c>
      <c r="AE589">
        <f>IFERROR(INDEX(PP_Grid[#Data],$DD589,29),0)</f>
        <v/>
      </c>
      <c r="AF589">
        <f>IFERROR(INDEX(PP_Grid[#Data],$DD589,30),0)</f>
        <v/>
      </c>
      <c r="AG589">
        <f>IFERROR(INDEX(PP_Grid[#Data],$DD589,31),0)</f>
        <v/>
      </c>
      <c r="AH589">
        <f>IFERROR(INDEX(PP_Grid[#Data],$DD589,32),0)</f>
        <v/>
      </c>
      <c r="AI589">
        <f>IFERROR(INDEX(PP_Grid[#Data],$DD589,33),0)</f>
        <v/>
      </c>
      <c r="AJ589">
        <f>IFERROR(INDEX(PP_Grid[#Data],$DD589,34),0)</f>
        <v/>
      </c>
      <c r="AK589">
        <f>IFERROR(INDEX(PP_Grid[#Data],$DD589,35),0)</f>
        <v/>
      </c>
      <c r="AL589">
        <f>IFERROR(INDEX(PP_Grid[#Data],$DD589,36),0)</f>
        <v/>
      </c>
      <c r="AM589">
        <f>IFERROR(INDEX(PP_Grid[#Data],$DD589,37),0)</f>
        <v/>
      </c>
      <c r="AN589">
        <f>IFERROR(INDEX(PP_Grid[#Data],$DD589,38),0)</f>
        <v/>
      </c>
      <c r="AO589">
        <f>IFERROR(INDEX(PP_Grid[#Data],$DD589,39),0)</f>
        <v/>
      </c>
      <c r="AP589">
        <f>IFERROR(INDEX(PP_Grid[#Data],$DD589,40),0)</f>
        <v/>
      </c>
      <c r="AQ589">
        <f>IFERROR(INDEX(PP_Grid[#Data],$DD589,41),0)</f>
        <v/>
      </c>
      <c r="AR589">
        <f>IFERROR(INDEX(PP_Grid[#Data],$DD589,42),0)</f>
        <v/>
      </c>
      <c r="AS589">
        <f>IFERROR(INDEX(PP_Grid[#Data],$DD589,43),0)</f>
        <v/>
      </c>
      <c r="AT589">
        <f>IFERROR(INDEX(PP_Grid[#Data],$DD589,44),0)</f>
        <v/>
      </c>
      <c r="AU589">
        <f>IFERROR(INDEX(PP_Grid[#Data],$DD589,45),0)</f>
        <v/>
      </c>
      <c r="AV589">
        <f>IFERROR(INDEX(PP_Grid[#Data],$DD589,46),0)</f>
        <v/>
      </c>
      <c r="AW589">
        <f>IFERROR(INDEX(PP_Grid[#Data],$DD589,47),0)</f>
        <v/>
      </c>
      <c r="AX589">
        <f>IFERROR(INDEX(PP_Grid[#Data],$DD589,48),0)</f>
        <v/>
      </c>
      <c r="AY589">
        <f>IFERROR(INDEX(PP_Grid[#Data],$DD589,49),0)</f>
        <v/>
      </c>
      <c r="AZ589">
        <f>IFERROR(INDEX(PP_Grid[#Data],$DD589,50),0)</f>
        <v/>
      </c>
      <c r="BA589">
        <f>IFERROR(INDEX(PP_Grid[#Data],$DD589,51),0)</f>
        <v/>
      </c>
      <c r="BB589">
        <f>IFERROR(INDEX(PP_Grid[#Data],$DD589,52),0)</f>
        <v/>
      </c>
      <c r="BC589">
        <f>IFERROR(INDEX(PP_Grid[#Data],$DD589,53),0)</f>
        <v/>
      </c>
      <c r="BD589">
        <f>IFERROR(INDEX(PP_Grid[#Data],$DD589,54),0)</f>
        <v/>
      </c>
      <c r="BE589">
        <f>IFERROR(INDEX(PP_Grid[#Data],$DD589,55),0)</f>
        <v/>
      </c>
      <c r="BF589">
        <f>IFERROR(INDEX(PP_Grid[#Data],$DD589,56),0)</f>
        <v/>
      </c>
      <c r="BG589">
        <f>IFERROR(INDEX(PP_Grid[#Data],$DD589,57),0)</f>
        <v/>
      </c>
      <c r="BH589">
        <f>IFERROR(INDEX(PP_Grid[#Data],$DD589,58),0)</f>
        <v/>
      </c>
      <c r="BI589">
        <f>IFERROR(INDEX(PP_Grid[#Data],$DD589,59),0)</f>
        <v/>
      </c>
      <c r="BJ589">
        <f>IFERROR(INDEX(PP_Grid[#Data],$DD589,60),0)</f>
        <v/>
      </c>
      <c r="BK589">
        <f>IFERROR(INDEX(PP_Grid[#Data],$DD589,61),0)</f>
        <v/>
      </c>
      <c r="BL589">
        <f>IFERROR(INDEX(PP_Grid[#Data],$DD589,62),0)</f>
        <v/>
      </c>
      <c r="BM589">
        <f>IFERROR(INDEX(PP_Grid[#Data],$DD589,63),0)</f>
        <v/>
      </c>
      <c r="BN589">
        <f>IFERROR(INDEX(PP_Grid[#Data],$DD589,64),0)</f>
        <v/>
      </c>
      <c r="BO589">
        <f>IFERROR(INDEX(PP_Grid[#Data],$DD589,65),0)</f>
        <v/>
      </c>
      <c r="BP589">
        <f>IFERROR(INDEX(PP_Grid[#Data],$DD589,66),0)</f>
        <v/>
      </c>
      <c r="BQ589">
        <f>IFERROR(INDEX(PP_Grid[#Data],$DD589,67),0)</f>
        <v/>
      </c>
      <c r="BR589">
        <f>IFERROR(INDEX(PP_Grid[#Data],$DD589,68),0)</f>
        <v/>
      </c>
      <c r="BS589">
        <f>IFERROR(INDEX(PP_Grid[#Data],$DD589,69),0)</f>
        <v/>
      </c>
      <c r="BT589">
        <f>IFERROR(INDEX(PP_Grid[#Data],$DD589,70),0)</f>
        <v/>
      </c>
      <c r="BU589">
        <f>IFERROR(INDEX(PP_Grid[#Data],$DD589,71),0)</f>
        <v/>
      </c>
      <c r="BV589">
        <f>IFERROR(INDEX(PP_Grid[#Data],$DD589,72),0)</f>
        <v/>
      </c>
      <c r="BW589">
        <f>IFERROR(INDEX(PP_Grid[#Data],$DD589,73),0)</f>
        <v/>
      </c>
      <c r="BX589">
        <f>IFERROR(INDEX(PP_Grid[#Data],$DD589,74),0)</f>
        <v/>
      </c>
      <c r="BY589">
        <f>IFERROR(INDEX(PP_Grid[#Data],$DD589,75),0)</f>
        <v/>
      </c>
      <c r="BZ589">
        <f>IFERROR(INDEX(PP_Grid[#Data],$DD589,76),0)</f>
        <v/>
      </c>
      <c r="CA589">
        <f>IFERROR(INDEX(PP_Grid[#Data],$DD589,77),0)</f>
        <v/>
      </c>
      <c r="CB589">
        <f>IFERROR(INDEX(PP_Grid[#Data],$DD589,78),0)</f>
        <v/>
      </c>
      <c r="CC589">
        <f>IFERROR(INDEX(PP_Grid[#Data],$DD589,79),0)</f>
        <v/>
      </c>
      <c r="CD589">
        <f>IFERROR(INDEX(PP_Grid[#Data],$DD589,80),0)</f>
        <v/>
      </c>
      <c r="CE589">
        <f>IFERROR(INDEX(PP_Grid[#Data],$DD589,81),0)</f>
        <v/>
      </c>
      <c r="CF589">
        <f>IFERROR(INDEX(PP_Grid[#Data],$DD589,82),0)</f>
        <v/>
      </c>
      <c r="CG589">
        <f>IFERROR(INDEX(PP_Grid[#Data],$DD589,83),0)</f>
        <v/>
      </c>
      <c r="CH589">
        <f>IFERROR(INDEX(PP_Grid[#Data],$DD589,84),0)</f>
        <v/>
      </c>
      <c r="CI589">
        <f>IFERROR(INDEX(PP_Grid[#Data],$DD589,85),0)</f>
        <v/>
      </c>
      <c r="CJ589">
        <f>IFERROR(INDEX(PP_Grid[#Data],$DD589,86),0)</f>
        <v/>
      </c>
      <c r="CK589">
        <f>IFERROR(INDEX(PP_Grid[#Data],$DD589,87),0)</f>
        <v/>
      </c>
      <c r="CL589">
        <f>IFERROR(INDEX(PP_Grid[#Data],$DD589,88),0)</f>
        <v/>
      </c>
      <c r="CM589">
        <f>IFERROR(INDEX(PP_Grid[#Data],$DD589,89),0)</f>
        <v/>
      </c>
      <c r="CN589">
        <f>IFERROR(INDEX(PP_Grid[#Data],$DD589,90),0)</f>
        <v/>
      </c>
      <c r="CO589">
        <f>IFERROR(INDEX(PP_Grid[#Data],$DD589,91),0)</f>
        <v/>
      </c>
      <c r="CP589">
        <f>IFERROR(INDEX(PP_Grid[#Data],$DD589,92),0)</f>
        <v/>
      </c>
      <c r="CQ589">
        <f>IFERROR(INDEX(PP_Grid[#Data],$DD589,93),0)</f>
        <v/>
      </c>
      <c r="CR589">
        <f>IFERROR(INDEX(PP_Grid[#Data],$DD589,94),0)</f>
        <v/>
      </c>
      <c r="CS589">
        <f>IFERROR(INDEX(PP_Grid[#Data],$DD589,95),0)</f>
        <v/>
      </c>
      <c r="CT589">
        <f>IFERROR(INDEX(PP_Grid[#Data],$DD589,96),0)</f>
        <v/>
      </c>
      <c r="CU589">
        <f>IFERROR(INDEX(PP_Grid[#Data],$DD589,97),0)</f>
        <v/>
      </c>
      <c r="CV589">
        <f>IFERROR(INDEX(PP_Grid[#Data],$DD589,98),0)</f>
        <v/>
      </c>
      <c r="CW589">
        <f>IFERROR(INDEX(PP_Grid[#Data],$DD589,99),0)</f>
        <v/>
      </c>
      <c r="CX589">
        <f>IFERROR(INDEX(PP_Grid[#Data],$DD589,100),0)</f>
        <v/>
      </c>
      <c r="CY589">
        <f>IFERROR(INDEX(PP_Grid[#Data],$DD589,101),0)</f>
        <v/>
      </c>
      <c r="CZ589">
        <f>IFERROR(INDEX(PP_Grid[#Data],$DD589,102),0)</f>
        <v/>
      </c>
      <c r="DA589">
        <f>IFERROR(INDEX(PP_Grid[#Data],$DD589,103),0)</f>
        <v/>
      </c>
      <c r="DB589">
        <f>IFERROR(INDEX(PP_Grid[#Data],$DD589,104),0)</f>
        <v/>
      </c>
      <c r="DC589">
        <f>IFERROR(INDEX(PP_Grid[#Data],$DD589,105),0)</f>
        <v/>
      </c>
      <c r="DD589" s="7">
        <f>IFERROR(MATCH($B589,PP_Grid[Intermediate],0),99999)</f>
        <v/>
      </c>
    </row>
    <row r="590">
      <c r="B590" t="inlineStr">
        <is>
          <t>使用量(kg)</t>
        </is>
      </c>
      <c r="C590">
        <f>SUMIFS(M_BOM[RM_Qty_Per_Batch],M_BOM[Intermediate],$B589,M_BOM[Part Name],$A580)</f>
        <v/>
      </c>
      <c r="D590">
        <f>$C590*D589</f>
        <v/>
      </c>
      <c r="E590">
        <f>$C590*E589</f>
        <v/>
      </c>
      <c r="F590">
        <f>$C590*F589</f>
        <v/>
      </c>
      <c r="G590">
        <f>$C590*G589</f>
        <v/>
      </c>
      <c r="H590">
        <f>$C590*H589</f>
        <v/>
      </c>
      <c r="I590">
        <f>$C590*I589</f>
        <v/>
      </c>
      <c r="J590">
        <f>$C590*J589</f>
        <v/>
      </c>
      <c r="K590">
        <f>$C590*K589</f>
        <v/>
      </c>
      <c r="L590">
        <f>$C590*L589</f>
        <v/>
      </c>
      <c r="M590">
        <f>$C590*M589</f>
        <v/>
      </c>
      <c r="N590">
        <f>$C590*N589</f>
        <v/>
      </c>
      <c r="O590">
        <f>$C590*O589</f>
        <v/>
      </c>
      <c r="P590">
        <f>$C590*P589</f>
        <v/>
      </c>
      <c r="Q590">
        <f>$C590*Q589</f>
        <v/>
      </c>
      <c r="R590">
        <f>$C590*R589</f>
        <v/>
      </c>
      <c r="S590">
        <f>$C590*S589</f>
        <v/>
      </c>
      <c r="T590">
        <f>$C590*T589</f>
        <v/>
      </c>
      <c r="U590">
        <f>$C590*U589</f>
        <v/>
      </c>
      <c r="V590">
        <f>$C590*V589</f>
        <v/>
      </c>
      <c r="W590">
        <f>$C590*W589</f>
        <v/>
      </c>
      <c r="X590">
        <f>$C590*X589</f>
        <v/>
      </c>
      <c r="Y590">
        <f>$C590*Y589</f>
        <v/>
      </c>
      <c r="Z590">
        <f>$C590*Z589</f>
        <v/>
      </c>
      <c r="AA590">
        <f>$C590*AA589</f>
        <v/>
      </c>
      <c r="AB590">
        <f>$C590*AB589</f>
        <v/>
      </c>
      <c r="AC590">
        <f>$C590*AC589</f>
        <v/>
      </c>
      <c r="AD590">
        <f>$C590*AD589</f>
        <v/>
      </c>
      <c r="AE590">
        <f>$C590*AE589</f>
        <v/>
      </c>
      <c r="AF590">
        <f>$C590*AF589</f>
        <v/>
      </c>
      <c r="AG590">
        <f>$C590*AG589</f>
        <v/>
      </c>
      <c r="AH590">
        <f>$C590*AH589</f>
        <v/>
      </c>
      <c r="AI590">
        <f>$C590*AI589</f>
        <v/>
      </c>
      <c r="AJ590">
        <f>$C590*AJ589</f>
        <v/>
      </c>
      <c r="AK590">
        <f>$C590*AK589</f>
        <v/>
      </c>
      <c r="AL590">
        <f>$C590*AL589</f>
        <v/>
      </c>
      <c r="AM590">
        <f>$C590*AM589</f>
        <v/>
      </c>
      <c r="AN590">
        <f>$C590*AN589</f>
        <v/>
      </c>
      <c r="AO590">
        <f>$C590*AO589</f>
        <v/>
      </c>
      <c r="AP590">
        <f>$C590*AP589</f>
        <v/>
      </c>
      <c r="AQ590">
        <f>$C590*AQ589</f>
        <v/>
      </c>
      <c r="AR590">
        <f>$C590*AR589</f>
        <v/>
      </c>
      <c r="AS590">
        <f>$C590*AS589</f>
        <v/>
      </c>
      <c r="AT590">
        <f>$C590*AT589</f>
        <v/>
      </c>
      <c r="AU590">
        <f>$C590*AU589</f>
        <v/>
      </c>
      <c r="AV590">
        <f>$C590*AV589</f>
        <v/>
      </c>
      <c r="AW590">
        <f>$C590*AW589</f>
        <v/>
      </c>
      <c r="AX590">
        <f>$C590*AX589</f>
        <v/>
      </c>
      <c r="AY590">
        <f>$C590*AY589</f>
        <v/>
      </c>
      <c r="AZ590">
        <f>$C590*AZ589</f>
        <v/>
      </c>
      <c r="BA590">
        <f>$C590*BA589</f>
        <v/>
      </c>
      <c r="BB590">
        <f>$C590*BB589</f>
        <v/>
      </c>
      <c r="BC590">
        <f>$C590*BC589</f>
        <v/>
      </c>
      <c r="BD590">
        <f>$C590*BD589</f>
        <v/>
      </c>
      <c r="BE590">
        <f>$C590*BE589</f>
        <v/>
      </c>
      <c r="BF590">
        <f>$C590*BF589</f>
        <v/>
      </c>
      <c r="BG590">
        <f>$C590*BG589</f>
        <v/>
      </c>
      <c r="BH590">
        <f>$C590*BH589</f>
        <v/>
      </c>
      <c r="BI590">
        <f>$C590*BI589</f>
        <v/>
      </c>
      <c r="BJ590">
        <f>$C590*BJ589</f>
        <v/>
      </c>
      <c r="BK590">
        <f>$C590*BK589</f>
        <v/>
      </c>
      <c r="BL590">
        <f>$C590*BL589</f>
        <v/>
      </c>
      <c r="BM590">
        <f>$C590*BM589</f>
        <v/>
      </c>
      <c r="BN590">
        <f>$C590*BN589</f>
        <v/>
      </c>
      <c r="BO590">
        <f>$C590*BO589</f>
        <v/>
      </c>
      <c r="BP590">
        <f>$C590*BP589</f>
        <v/>
      </c>
      <c r="BQ590">
        <f>$C590*BQ589</f>
        <v/>
      </c>
      <c r="BR590">
        <f>$C590*BR589</f>
        <v/>
      </c>
      <c r="BS590">
        <f>$C590*BS589</f>
        <v/>
      </c>
      <c r="BT590">
        <f>$C590*BT589</f>
        <v/>
      </c>
      <c r="BU590">
        <f>$C590*BU589</f>
        <v/>
      </c>
      <c r="BV590">
        <f>$C590*BV589</f>
        <v/>
      </c>
      <c r="BW590">
        <f>$C590*BW589</f>
        <v/>
      </c>
      <c r="BX590">
        <f>$C590*BX589</f>
        <v/>
      </c>
      <c r="BY590">
        <f>$C590*BY589</f>
        <v/>
      </c>
      <c r="BZ590">
        <f>$C590*BZ589</f>
        <v/>
      </c>
      <c r="CA590">
        <f>$C590*CA589</f>
        <v/>
      </c>
      <c r="CB590">
        <f>$C590*CB589</f>
        <v/>
      </c>
      <c r="CC590">
        <f>$C590*CC589</f>
        <v/>
      </c>
      <c r="CD590">
        <f>$C590*CD589</f>
        <v/>
      </c>
      <c r="CE590">
        <f>$C590*CE589</f>
        <v/>
      </c>
      <c r="CF590">
        <f>$C590*CF589</f>
        <v/>
      </c>
      <c r="CG590">
        <f>$C590*CG589</f>
        <v/>
      </c>
      <c r="CH590">
        <f>$C590*CH589</f>
        <v/>
      </c>
      <c r="CI590">
        <f>$C590*CI589</f>
        <v/>
      </c>
      <c r="CJ590">
        <f>$C590*CJ589</f>
        <v/>
      </c>
      <c r="CK590">
        <f>$C590*CK589</f>
        <v/>
      </c>
      <c r="CL590">
        <f>$C590*CL589</f>
        <v/>
      </c>
      <c r="CM590">
        <f>$C590*CM589</f>
        <v/>
      </c>
      <c r="CN590">
        <f>$C590*CN589</f>
        <v/>
      </c>
      <c r="CO590">
        <f>$C590*CO589</f>
        <v/>
      </c>
      <c r="CP590">
        <f>$C590*CP589</f>
        <v/>
      </c>
      <c r="CQ590">
        <f>$C590*CQ589</f>
        <v/>
      </c>
      <c r="CR590">
        <f>$C590*CR589</f>
        <v/>
      </c>
      <c r="CS590">
        <f>$C590*CS589</f>
        <v/>
      </c>
      <c r="CT590">
        <f>$C590*CT589</f>
        <v/>
      </c>
      <c r="CU590">
        <f>$C590*CU589</f>
        <v/>
      </c>
      <c r="CV590">
        <f>$C590*CV589</f>
        <v/>
      </c>
      <c r="CW590">
        <f>$C590*CW589</f>
        <v/>
      </c>
      <c r="CX590">
        <f>$C590*CX589</f>
        <v/>
      </c>
      <c r="CY590">
        <f>$C590*CY589</f>
        <v/>
      </c>
      <c r="CZ590">
        <f>$C590*CZ589</f>
        <v/>
      </c>
      <c r="DA590">
        <f>$C590*DA589</f>
        <v/>
      </c>
      <c r="DB590">
        <f>$C590*DB589</f>
        <v/>
      </c>
      <c r="DC590">
        <f>$C590*DC589</f>
        <v/>
      </c>
    </row>
    <row r="591">
      <c r="B591" t="inlineStr">
        <is>
          <t>VSP-603</t>
        </is>
      </c>
      <c r="C591" t="inlineStr">
        <is>
          <t>No. of batches</t>
        </is>
      </c>
      <c r="D591">
        <f>IFERROR(INDEX(PP_Grid[#Data],$DD591,2),0)</f>
        <v/>
      </c>
      <c r="E591">
        <f>IFERROR(INDEX(PP_Grid[#Data],$DD591,3),0)</f>
        <v/>
      </c>
      <c r="F591">
        <f>IFERROR(INDEX(PP_Grid[#Data],$DD591,4),0)</f>
        <v/>
      </c>
      <c r="G591">
        <f>IFERROR(INDEX(PP_Grid[#Data],$DD591,5),0)</f>
        <v/>
      </c>
      <c r="H591">
        <f>IFERROR(INDEX(PP_Grid[#Data],$DD591,6),0)</f>
        <v/>
      </c>
      <c r="I591">
        <f>IFERROR(INDEX(PP_Grid[#Data],$DD591,7),0)</f>
        <v/>
      </c>
      <c r="J591">
        <f>IFERROR(INDEX(PP_Grid[#Data],$DD591,8),0)</f>
        <v/>
      </c>
      <c r="K591">
        <f>IFERROR(INDEX(PP_Grid[#Data],$DD591,9),0)</f>
        <v/>
      </c>
      <c r="L591">
        <f>IFERROR(INDEX(PP_Grid[#Data],$DD591,10),0)</f>
        <v/>
      </c>
      <c r="M591">
        <f>IFERROR(INDEX(PP_Grid[#Data],$DD591,11),0)</f>
        <v/>
      </c>
      <c r="N591">
        <f>IFERROR(INDEX(PP_Grid[#Data],$DD591,12),0)</f>
        <v/>
      </c>
      <c r="O591">
        <f>IFERROR(INDEX(PP_Grid[#Data],$DD591,13),0)</f>
        <v/>
      </c>
      <c r="P591">
        <f>IFERROR(INDEX(PP_Grid[#Data],$DD591,14),0)</f>
        <v/>
      </c>
      <c r="Q591">
        <f>IFERROR(INDEX(PP_Grid[#Data],$DD591,15),0)</f>
        <v/>
      </c>
      <c r="R591">
        <f>IFERROR(INDEX(PP_Grid[#Data],$DD591,16),0)</f>
        <v/>
      </c>
      <c r="S591">
        <f>IFERROR(INDEX(PP_Grid[#Data],$DD591,17),0)</f>
        <v/>
      </c>
      <c r="T591">
        <f>IFERROR(INDEX(PP_Grid[#Data],$DD591,18),0)</f>
        <v/>
      </c>
      <c r="U591">
        <f>IFERROR(INDEX(PP_Grid[#Data],$DD591,19),0)</f>
        <v/>
      </c>
      <c r="V591">
        <f>IFERROR(INDEX(PP_Grid[#Data],$DD591,20),0)</f>
        <v/>
      </c>
      <c r="W591">
        <f>IFERROR(INDEX(PP_Grid[#Data],$DD591,21),0)</f>
        <v/>
      </c>
      <c r="X591">
        <f>IFERROR(INDEX(PP_Grid[#Data],$DD591,22),0)</f>
        <v/>
      </c>
      <c r="Y591">
        <f>IFERROR(INDEX(PP_Grid[#Data],$DD591,23),0)</f>
        <v/>
      </c>
      <c r="Z591">
        <f>IFERROR(INDEX(PP_Grid[#Data],$DD591,24),0)</f>
        <v/>
      </c>
      <c r="AA591">
        <f>IFERROR(INDEX(PP_Grid[#Data],$DD591,25),0)</f>
        <v/>
      </c>
      <c r="AB591">
        <f>IFERROR(INDEX(PP_Grid[#Data],$DD591,26),0)</f>
        <v/>
      </c>
      <c r="AC591">
        <f>IFERROR(INDEX(PP_Grid[#Data],$DD591,27),0)</f>
        <v/>
      </c>
      <c r="AD591">
        <f>IFERROR(INDEX(PP_Grid[#Data],$DD591,28),0)</f>
        <v/>
      </c>
      <c r="AE591">
        <f>IFERROR(INDEX(PP_Grid[#Data],$DD591,29),0)</f>
        <v/>
      </c>
      <c r="AF591">
        <f>IFERROR(INDEX(PP_Grid[#Data],$DD591,30),0)</f>
        <v/>
      </c>
      <c r="AG591">
        <f>IFERROR(INDEX(PP_Grid[#Data],$DD591,31),0)</f>
        <v/>
      </c>
      <c r="AH591">
        <f>IFERROR(INDEX(PP_Grid[#Data],$DD591,32),0)</f>
        <v/>
      </c>
      <c r="AI591">
        <f>IFERROR(INDEX(PP_Grid[#Data],$DD591,33),0)</f>
        <v/>
      </c>
      <c r="AJ591">
        <f>IFERROR(INDEX(PP_Grid[#Data],$DD591,34),0)</f>
        <v/>
      </c>
      <c r="AK591">
        <f>IFERROR(INDEX(PP_Grid[#Data],$DD591,35),0)</f>
        <v/>
      </c>
      <c r="AL591">
        <f>IFERROR(INDEX(PP_Grid[#Data],$DD591,36),0)</f>
        <v/>
      </c>
      <c r="AM591">
        <f>IFERROR(INDEX(PP_Grid[#Data],$DD591,37),0)</f>
        <v/>
      </c>
      <c r="AN591">
        <f>IFERROR(INDEX(PP_Grid[#Data],$DD591,38),0)</f>
        <v/>
      </c>
      <c r="AO591">
        <f>IFERROR(INDEX(PP_Grid[#Data],$DD591,39),0)</f>
        <v/>
      </c>
      <c r="AP591">
        <f>IFERROR(INDEX(PP_Grid[#Data],$DD591,40),0)</f>
        <v/>
      </c>
      <c r="AQ591">
        <f>IFERROR(INDEX(PP_Grid[#Data],$DD591,41),0)</f>
        <v/>
      </c>
      <c r="AR591">
        <f>IFERROR(INDEX(PP_Grid[#Data],$DD591,42),0)</f>
        <v/>
      </c>
      <c r="AS591">
        <f>IFERROR(INDEX(PP_Grid[#Data],$DD591,43),0)</f>
        <v/>
      </c>
      <c r="AT591">
        <f>IFERROR(INDEX(PP_Grid[#Data],$DD591,44),0)</f>
        <v/>
      </c>
      <c r="AU591">
        <f>IFERROR(INDEX(PP_Grid[#Data],$DD591,45),0)</f>
        <v/>
      </c>
      <c r="AV591">
        <f>IFERROR(INDEX(PP_Grid[#Data],$DD591,46),0)</f>
        <v/>
      </c>
      <c r="AW591">
        <f>IFERROR(INDEX(PP_Grid[#Data],$DD591,47),0)</f>
        <v/>
      </c>
      <c r="AX591">
        <f>IFERROR(INDEX(PP_Grid[#Data],$DD591,48),0)</f>
        <v/>
      </c>
      <c r="AY591">
        <f>IFERROR(INDEX(PP_Grid[#Data],$DD591,49),0)</f>
        <v/>
      </c>
      <c r="AZ591">
        <f>IFERROR(INDEX(PP_Grid[#Data],$DD591,50),0)</f>
        <v/>
      </c>
      <c r="BA591">
        <f>IFERROR(INDEX(PP_Grid[#Data],$DD591,51),0)</f>
        <v/>
      </c>
      <c r="BB591">
        <f>IFERROR(INDEX(PP_Grid[#Data],$DD591,52),0)</f>
        <v/>
      </c>
      <c r="BC591">
        <f>IFERROR(INDEX(PP_Grid[#Data],$DD591,53),0)</f>
        <v/>
      </c>
      <c r="BD591">
        <f>IFERROR(INDEX(PP_Grid[#Data],$DD591,54),0)</f>
        <v/>
      </c>
      <c r="BE591">
        <f>IFERROR(INDEX(PP_Grid[#Data],$DD591,55),0)</f>
        <v/>
      </c>
      <c r="BF591">
        <f>IFERROR(INDEX(PP_Grid[#Data],$DD591,56),0)</f>
        <v/>
      </c>
      <c r="BG591">
        <f>IFERROR(INDEX(PP_Grid[#Data],$DD591,57),0)</f>
        <v/>
      </c>
      <c r="BH591">
        <f>IFERROR(INDEX(PP_Grid[#Data],$DD591,58),0)</f>
        <v/>
      </c>
      <c r="BI591">
        <f>IFERROR(INDEX(PP_Grid[#Data],$DD591,59),0)</f>
        <v/>
      </c>
      <c r="BJ591">
        <f>IFERROR(INDEX(PP_Grid[#Data],$DD591,60),0)</f>
        <v/>
      </c>
      <c r="BK591">
        <f>IFERROR(INDEX(PP_Grid[#Data],$DD591,61),0)</f>
        <v/>
      </c>
      <c r="BL591">
        <f>IFERROR(INDEX(PP_Grid[#Data],$DD591,62),0)</f>
        <v/>
      </c>
      <c r="BM591">
        <f>IFERROR(INDEX(PP_Grid[#Data],$DD591,63),0)</f>
        <v/>
      </c>
      <c r="BN591">
        <f>IFERROR(INDEX(PP_Grid[#Data],$DD591,64),0)</f>
        <v/>
      </c>
      <c r="BO591">
        <f>IFERROR(INDEX(PP_Grid[#Data],$DD591,65),0)</f>
        <v/>
      </c>
      <c r="BP591">
        <f>IFERROR(INDEX(PP_Grid[#Data],$DD591,66),0)</f>
        <v/>
      </c>
      <c r="BQ591">
        <f>IFERROR(INDEX(PP_Grid[#Data],$DD591,67),0)</f>
        <v/>
      </c>
      <c r="BR591">
        <f>IFERROR(INDEX(PP_Grid[#Data],$DD591,68),0)</f>
        <v/>
      </c>
      <c r="BS591">
        <f>IFERROR(INDEX(PP_Grid[#Data],$DD591,69),0)</f>
        <v/>
      </c>
      <c r="BT591">
        <f>IFERROR(INDEX(PP_Grid[#Data],$DD591,70),0)</f>
        <v/>
      </c>
      <c r="BU591">
        <f>IFERROR(INDEX(PP_Grid[#Data],$DD591,71),0)</f>
        <v/>
      </c>
      <c r="BV591">
        <f>IFERROR(INDEX(PP_Grid[#Data],$DD591,72),0)</f>
        <v/>
      </c>
      <c r="BW591">
        <f>IFERROR(INDEX(PP_Grid[#Data],$DD591,73),0)</f>
        <v/>
      </c>
      <c r="BX591">
        <f>IFERROR(INDEX(PP_Grid[#Data],$DD591,74),0)</f>
        <v/>
      </c>
      <c r="BY591">
        <f>IFERROR(INDEX(PP_Grid[#Data],$DD591,75),0)</f>
        <v/>
      </c>
      <c r="BZ591">
        <f>IFERROR(INDEX(PP_Grid[#Data],$DD591,76),0)</f>
        <v/>
      </c>
      <c r="CA591">
        <f>IFERROR(INDEX(PP_Grid[#Data],$DD591,77),0)</f>
        <v/>
      </c>
      <c r="CB591">
        <f>IFERROR(INDEX(PP_Grid[#Data],$DD591,78),0)</f>
        <v/>
      </c>
      <c r="CC591">
        <f>IFERROR(INDEX(PP_Grid[#Data],$DD591,79),0)</f>
        <v/>
      </c>
      <c r="CD591">
        <f>IFERROR(INDEX(PP_Grid[#Data],$DD591,80),0)</f>
        <v/>
      </c>
      <c r="CE591">
        <f>IFERROR(INDEX(PP_Grid[#Data],$DD591,81),0)</f>
        <v/>
      </c>
      <c r="CF591">
        <f>IFERROR(INDEX(PP_Grid[#Data],$DD591,82),0)</f>
        <v/>
      </c>
      <c r="CG591">
        <f>IFERROR(INDEX(PP_Grid[#Data],$DD591,83),0)</f>
        <v/>
      </c>
      <c r="CH591">
        <f>IFERROR(INDEX(PP_Grid[#Data],$DD591,84),0)</f>
        <v/>
      </c>
      <c r="CI591">
        <f>IFERROR(INDEX(PP_Grid[#Data],$DD591,85),0)</f>
        <v/>
      </c>
      <c r="CJ591">
        <f>IFERROR(INDEX(PP_Grid[#Data],$DD591,86),0)</f>
        <v/>
      </c>
      <c r="CK591">
        <f>IFERROR(INDEX(PP_Grid[#Data],$DD591,87),0)</f>
        <v/>
      </c>
      <c r="CL591">
        <f>IFERROR(INDEX(PP_Grid[#Data],$DD591,88),0)</f>
        <v/>
      </c>
      <c r="CM591">
        <f>IFERROR(INDEX(PP_Grid[#Data],$DD591,89),0)</f>
        <v/>
      </c>
      <c r="CN591">
        <f>IFERROR(INDEX(PP_Grid[#Data],$DD591,90),0)</f>
        <v/>
      </c>
      <c r="CO591">
        <f>IFERROR(INDEX(PP_Grid[#Data],$DD591,91),0)</f>
        <v/>
      </c>
      <c r="CP591">
        <f>IFERROR(INDEX(PP_Grid[#Data],$DD591,92),0)</f>
        <v/>
      </c>
      <c r="CQ591">
        <f>IFERROR(INDEX(PP_Grid[#Data],$DD591,93),0)</f>
        <v/>
      </c>
      <c r="CR591">
        <f>IFERROR(INDEX(PP_Grid[#Data],$DD591,94),0)</f>
        <v/>
      </c>
      <c r="CS591">
        <f>IFERROR(INDEX(PP_Grid[#Data],$DD591,95),0)</f>
        <v/>
      </c>
      <c r="CT591">
        <f>IFERROR(INDEX(PP_Grid[#Data],$DD591,96),0)</f>
        <v/>
      </c>
      <c r="CU591">
        <f>IFERROR(INDEX(PP_Grid[#Data],$DD591,97),0)</f>
        <v/>
      </c>
      <c r="CV591">
        <f>IFERROR(INDEX(PP_Grid[#Data],$DD591,98),0)</f>
        <v/>
      </c>
      <c r="CW591">
        <f>IFERROR(INDEX(PP_Grid[#Data],$DD591,99),0)</f>
        <v/>
      </c>
      <c r="CX591">
        <f>IFERROR(INDEX(PP_Grid[#Data],$DD591,100),0)</f>
        <v/>
      </c>
      <c r="CY591">
        <f>IFERROR(INDEX(PP_Grid[#Data],$DD591,101),0)</f>
        <v/>
      </c>
      <c r="CZ591">
        <f>IFERROR(INDEX(PP_Grid[#Data],$DD591,102),0)</f>
        <v/>
      </c>
      <c r="DA591">
        <f>IFERROR(INDEX(PP_Grid[#Data],$DD591,103),0)</f>
        <v/>
      </c>
      <c r="DB591">
        <f>IFERROR(INDEX(PP_Grid[#Data],$DD591,104),0)</f>
        <v/>
      </c>
      <c r="DC591">
        <f>IFERROR(INDEX(PP_Grid[#Data],$DD591,105),0)</f>
        <v/>
      </c>
      <c r="DD591" s="7">
        <f>IFERROR(MATCH($B591,PP_Grid[Intermediate],0),99999)</f>
        <v/>
      </c>
    </row>
    <row r="592">
      <c r="B592" t="inlineStr">
        <is>
          <t>使用量(kg)</t>
        </is>
      </c>
      <c r="C592">
        <f>SUMIFS(M_BOM[RM_Qty_Per_Batch],M_BOM[Intermediate],$B591,M_BOM[Part Name],$A580)</f>
        <v/>
      </c>
      <c r="D592">
        <f>$C592*D591</f>
        <v/>
      </c>
      <c r="E592">
        <f>$C592*E591</f>
        <v/>
      </c>
      <c r="F592">
        <f>$C592*F591</f>
        <v/>
      </c>
      <c r="G592">
        <f>$C592*G591</f>
        <v/>
      </c>
      <c r="H592">
        <f>$C592*H591</f>
        <v/>
      </c>
      <c r="I592">
        <f>$C592*I591</f>
        <v/>
      </c>
      <c r="J592">
        <f>$C592*J591</f>
        <v/>
      </c>
      <c r="K592">
        <f>$C592*K591</f>
        <v/>
      </c>
      <c r="L592">
        <f>$C592*L591</f>
        <v/>
      </c>
      <c r="M592">
        <f>$C592*M591</f>
        <v/>
      </c>
      <c r="N592">
        <f>$C592*N591</f>
        <v/>
      </c>
      <c r="O592">
        <f>$C592*O591</f>
        <v/>
      </c>
      <c r="P592">
        <f>$C592*P591</f>
        <v/>
      </c>
      <c r="Q592">
        <f>$C592*Q591</f>
        <v/>
      </c>
      <c r="R592">
        <f>$C592*R591</f>
        <v/>
      </c>
      <c r="S592">
        <f>$C592*S591</f>
        <v/>
      </c>
      <c r="T592">
        <f>$C592*T591</f>
        <v/>
      </c>
      <c r="U592">
        <f>$C592*U591</f>
        <v/>
      </c>
      <c r="V592">
        <f>$C592*V591</f>
        <v/>
      </c>
      <c r="W592">
        <f>$C592*W591</f>
        <v/>
      </c>
      <c r="X592">
        <f>$C592*X591</f>
        <v/>
      </c>
      <c r="Y592">
        <f>$C592*Y591</f>
        <v/>
      </c>
      <c r="Z592">
        <f>$C592*Z591</f>
        <v/>
      </c>
      <c r="AA592">
        <f>$C592*AA591</f>
        <v/>
      </c>
      <c r="AB592">
        <f>$C592*AB591</f>
        <v/>
      </c>
      <c r="AC592">
        <f>$C592*AC591</f>
        <v/>
      </c>
      <c r="AD592">
        <f>$C592*AD591</f>
        <v/>
      </c>
      <c r="AE592">
        <f>$C592*AE591</f>
        <v/>
      </c>
      <c r="AF592">
        <f>$C592*AF591</f>
        <v/>
      </c>
      <c r="AG592">
        <f>$C592*AG591</f>
        <v/>
      </c>
      <c r="AH592">
        <f>$C592*AH591</f>
        <v/>
      </c>
      <c r="AI592">
        <f>$C592*AI591</f>
        <v/>
      </c>
      <c r="AJ592">
        <f>$C592*AJ591</f>
        <v/>
      </c>
      <c r="AK592">
        <f>$C592*AK591</f>
        <v/>
      </c>
      <c r="AL592">
        <f>$C592*AL591</f>
        <v/>
      </c>
      <c r="AM592">
        <f>$C592*AM591</f>
        <v/>
      </c>
      <c r="AN592">
        <f>$C592*AN591</f>
        <v/>
      </c>
      <c r="AO592">
        <f>$C592*AO591</f>
        <v/>
      </c>
      <c r="AP592">
        <f>$C592*AP591</f>
        <v/>
      </c>
      <c r="AQ592">
        <f>$C592*AQ591</f>
        <v/>
      </c>
      <c r="AR592">
        <f>$C592*AR591</f>
        <v/>
      </c>
      <c r="AS592">
        <f>$C592*AS591</f>
        <v/>
      </c>
      <c r="AT592">
        <f>$C592*AT591</f>
        <v/>
      </c>
      <c r="AU592">
        <f>$C592*AU591</f>
        <v/>
      </c>
      <c r="AV592">
        <f>$C592*AV591</f>
        <v/>
      </c>
      <c r="AW592">
        <f>$C592*AW591</f>
        <v/>
      </c>
      <c r="AX592">
        <f>$C592*AX591</f>
        <v/>
      </c>
      <c r="AY592">
        <f>$C592*AY591</f>
        <v/>
      </c>
      <c r="AZ592">
        <f>$C592*AZ591</f>
        <v/>
      </c>
      <c r="BA592">
        <f>$C592*BA591</f>
        <v/>
      </c>
      <c r="BB592">
        <f>$C592*BB591</f>
        <v/>
      </c>
      <c r="BC592">
        <f>$C592*BC591</f>
        <v/>
      </c>
      <c r="BD592">
        <f>$C592*BD591</f>
        <v/>
      </c>
      <c r="BE592">
        <f>$C592*BE591</f>
        <v/>
      </c>
      <c r="BF592">
        <f>$C592*BF591</f>
        <v/>
      </c>
      <c r="BG592">
        <f>$C592*BG591</f>
        <v/>
      </c>
      <c r="BH592">
        <f>$C592*BH591</f>
        <v/>
      </c>
      <c r="BI592">
        <f>$C592*BI591</f>
        <v/>
      </c>
      <c r="BJ592">
        <f>$C592*BJ591</f>
        <v/>
      </c>
      <c r="BK592">
        <f>$C592*BK591</f>
        <v/>
      </c>
      <c r="BL592">
        <f>$C592*BL591</f>
        <v/>
      </c>
      <c r="BM592">
        <f>$C592*BM591</f>
        <v/>
      </c>
      <c r="BN592">
        <f>$C592*BN591</f>
        <v/>
      </c>
      <c r="BO592">
        <f>$C592*BO591</f>
        <v/>
      </c>
      <c r="BP592">
        <f>$C592*BP591</f>
        <v/>
      </c>
      <c r="BQ592">
        <f>$C592*BQ591</f>
        <v/>
      </c>
      <c r="BR592">
        <f>$C592*BR591</f>
        <v/>
      </c>
      <c r="BS592">
        <f>$C592*BS591</f>
        <v/>
      </c>
      <c r="BT592">
        <f>$C592*BT591</f>
        <v/>
      </c>
      <c r="BU592">
        <f>$C592*BU591</f>
        <v/>
      </c>
      <c r="BV592">
        <f>$C592*BV591</f>
        <v/>
      </c>
      <c r="BW592">
        <f>$C592*BW591</f>
        <v/>
      </c>
      <c r="BX592">
        <f>$C592*BX591</f>
        <v/>
      </c>
      <c r="BY592">
        <f>$C592*BY591</f>
        <v/>
      </c>
      <c r="BZ592">
        <f>$C592*BZ591</f>
        <v/>
      </c>
      <c r="CA592">
        <f>$C592*CA591</f>
        <v/>
      </c>
      <c r="CB592">
        <f>$C592*CB591</f>
        <v/>
      </c>
      <c r="CC592">
        <f>$C592*CC591</f>
        <v/>
      </c>
      <c r="CD592">
        <f>$C592*CD591</f>
        <v/>
      </c>
      <c r="CE592">
        <f>$C592*CE591</f>
        <v/>
      </c>
      <c r="CF592">
        <f>$C592*CF591</f>
        <v/>
      </c>
      <c r="CG592">
        <f>$C592*CG591</f>
        <v/>
      </c>
      <c r="CH592">
        <f>$C592*CH591</f>
        <v/>
      </c>
      <c r="CI592">
        <f>$C592*CI591</f>
        <v/>
      </c>
      <c r="CJ592">
        <f>$C592*CJ591</f>
        <v/>
      </c>
      <c r="CK592">
        <f>$C592*CK591</f>
        <v/>
      </c>
      <c r="CL592">
        <f>$C592*CL591</f>
        <v/>
      </c>
      <c r="CM592">
        <f>$C592*CM591</f>
        <v/>
      </c>
      <c r="CN592">
        <f>$C592*CN591</f>
        <v/>
      </c>
      <c r="CO592">
        <f>$C592*CO591</f>
        <v/>
      </c>
      <c r="CP592">
        <f>$C592*CP591</f>
        <v/>
      </c>
      <c r="CQ592">
        <f>$C592*CQ591</f>
        <v/>
      </c>
      <c r="CR592">
        <f>$C592*CR591</f>
        <v/>
      </c>
      <c r="CS592">
        <f>$C592*CS591</f>
        <v/>
      </c>
      <c r="CT592">
        <f>$C592*CT591</f>
        <v/>
      </c>
      <c r="CU592">
        <f>$C592*CU591</f>
        <v/>
      </c>
      <c r="CV592">
        <f>$C592*CV591</f>
        <v/>
      </c>
      <c r="CW592">
        <f>$C592*CW591</f>
        <v/>
      </c>
      <c r="CX592">
        <f>$C592*CX591</f>
        <v/>
      </c>
      <c r="CY592">
        <f>$C592*CY591</f>
        <v/>
      </c>
      <c r="CZ592">
        <f>$C592*CZ591</f>
        <v/>
      </c>
      <c r="DA592">
        <f>$C592*DA591</f>
        <v/>
      </c>
      <c r="DB592">
        <f>$C592*DB591</f>
        <v/>
      </c>
      <c r="DC592">
        <f>$C592*DC591</f>
        <v/>
      </c>
    </row>
    <row r="593">
      <c r="B593" t="inlineStr">
        <is>
          <t>VSP-604</t>
        </is>
      </c>
      <c r="C593" t="inlineStr">
        <is>
          <t>No. of batches</t>
        </is>
      </c>
      <c r="D593">
        <f>IFERROR(INDEX(PP_Grid[#Data],$DD593,2),0)</f>
        <v/>
      </c>
      <c r="E593">
        <f>IFERROR(INDEX(PP_Grid[#Data],$DD593,3),0)</f>
        <v/>
      </c>
      <c r="F593">
        <f>IFERROR(INDEX(PP_Grid[#Data],$DD593,4),0)</f>
        <v/>
      </c>
      <c r="G593">
        <f>IFERROR(INDEX(PP_Grid[#Data],$DD593,5),0)</f>
        <v/>
      </c>
      <c r="H593">
        <f>IFERROR(INDEX(PP_Grid[#Data],$DD593,6),0)</f>
        <v/>
      </c>
      <c r="I593">
        <f>IFERROR(INDEX(PP_Grid[#Data],$DD593,7),0)</f>
        <v/>
      </c>
      <c r="J593">
        <f>IFERROR(INDEX(PP_Grid[#Data],$DD593,8),0)</f>
        <v/>
      </c>
      <c r="K593">
        <f>IFERROR(INDEX(PP_Grid[#Data],$DD593,9),0)</f>
        <v/>
      </c>
      <c r="L593">
        <f>IFERROR(INDEX(PP_Grid[#Data],$DD593,10),0)</f>
        <v/>
      </c>
      <c r="M593">
        <f>IFERROR(INDEX(PP_Grid[#Data],$DD593,11),0)</f>
        <v/>
      </c>
      <c r="N593">
        <f>IFERROR(INDEX(PP_Grid[#Data],$DD593,12),0)</f>
        <v/>
      </c>
      <c r="O593">
        <f>IFERROR(INDEX(PP_Grid[#Data],$DD593,13),0)</f>
        <v/>
      </c>
      <c r="P593">
        <f>IFERROR(INDEX(PP_Grid[#Data],$DD593,14),0)</f>
        <v/>
      </c>
      <c r="Q593">
        <f>IFERROR(INDEX(PP_Grid[#Data],$DD593,15),0)</f>
        <v/>
      </c>
      <c r="R593">
        <f>IFERROR(INDEX(PP_Grid[#Data],$DD593,16),0)</f>
        <v/>
      </c>
      <c r="S593">
        <f>IFERROR(INDEX(PP_Grid[#Data],$DD593,17),0)</f>
        <v/>
      </c>
      <c r="T593">
        <f>IFERROR(INDEX(PP_Grid[#Data],$DD593,18),0)</f>
        <v/>
      </c>
      <c r="U593">
        <f>IFERROR(INDEX(PP_Grid[#Data],$DD593,19),0)</f>
        <v/>
      </c>
      <c r="V593">
        <f>IFERROR(INDEX(PP_Grid[#Data],$DD593,20),0)</f>
        <v/>
      </c>
      <c r="W593">
        <f>IFERROR(INDEX(PP_Grid[#Data],$DD593,21),0)</f>
        <v/>
      </c>
      <c r="X593">
        <f>IFERROR(INDEX(PP_Grid[#Data],$DD593,22),0)</f>
        <v/>
      </c>
      <c r="Y593">
        <f>IFERROR(INDEX(PP_Grid[#Data],$DD593,23),0)</f>
        <v/>
      </c>
      <c r="Z593">
        <f>IFERROR(INDEX(PP_Grid[#Data],$DD593,24),0)</f>
        <v/>
      </c>
      <c r="AA593">
        <f>IFERROR(INDEX(PP_Grid[#Data],$DD593,25),0)</f>
        <v/>
      </c>
      <c r="AB593">
        <f>IFERROR(INDEX(PP_Grid[#Data],$DD593,26),0)</f>
        <v/>
      </c>
      <c r="AC593">
        <f>IFERROR(INDEX(PP_Grid[#Data],$DD593,27),0)</f>
        <v/>
      </c>
      <c r="AD593">
        <f>IFERROR(INDEX(PP_Grid[#Data],$DD593,28),0)</f>
        <v/>
      </c>
      <c r="AE593">
        <f>IFERROR(INDEX(PP_Grid[#Data],$DD593,29),0)</f>
        <v/>
      </c>
      <c r="AF593">
        <f>IFERROR(INDEX(PP_Grid[#Data],$DD593,30),0)</f>
        <v/>
      </c>
      <c r="AG593">
        <f>IFERROR(INDEX(PP_Grid[#Data],$DD593,31),0)</f>
        <v/>
      </c>
      <c r="AH593">
        <f>IFERROR(INDEX(PP_Grid[#Data],$DD593,32),0)</f>
        <v/>
      </c>
      <c r="AI593">
        <f>IFERROR(INDEX(PP_Grid[#Data],$DD593,33),0)</f>
        <v/>
      </c>
      <c r="AJ593">
        <f>IFERROR(INDEX(PP_Grid[#Data],$DD593,34),0)</f>
        <v/>
      </c>
      <c r="AK593">
        <f>IFERROR(INDEX(PP_Grid[#Data],$DD593,35),0)</f>
        <v/>
      </c>
      <c r="AL593">
        <f>IFERROR(INDEX(PP_Grid[#Data],$DD593,36),0)</f>
        <v/>
      </c>
      <c r="AM593">
        <f>IFERROR(INDEX(PP_Grid[#Data],$DD593,37),0)</f>
        <v/>
      </c>
      <c r="AN593">
        <f>IFERROR(INDEX(PP_Grid[#Data],$DD593,38),0)</f>
        <v/>
      </c>
      <c r="AO593">
        <f>IFERROR(INDEX(PP_Grid[#Data],$DD593,39),0)</f>
        <v/>
      </c>
      <c r="AP593">
        <f>IFERROR(INDEX(PP_Grid[#Data],$DD593,40),0)</f>
        <v/>
      </c>
      <c r="AQ593">
        <f>IFERROR(INDEX(PP_Grid[#Data],$DD593,41),0)</f>
        <v/>
      </c>
      <c r="AR593">
        <f>IFERROR(INDEX(PP_Grid[#Data],$DD593,42),0)</f>
        <v/>
      </c>
      <c r="AS593">
        <f>IFERROR(INDEX(PP_Grid[#Data],$DD593,43),0)</f>
        <v/>
      </c>
      <c r="AT593">
        <f>IFERROR(INDEX(PP_Grid[#Data],$DD593,44),0)</f>
        <v/>
      </c>
      <c r="AU593">
        <f>IFERROR(INDEX(PP_Grid[#Data],$DD593,45),0)</f>
        <v/>
      </c>
      <c r="AV593">
        <f>IFERROR(INDEX(PP_Grid[#Data],$DD593,46),0)</f>
        <v/>
      </c>
      <c r="AW593">
        <f>IFERROR(INDEX(PP_Grid[#Data],$DD593,47),0)</f>
        <v/>
      </c>
      <c r="AX593">
        <f>IFERROR(INDEX(PP_Grid[#Data],$DD593,48),0)</f>
        <v/>
      </c>
      <c r="AY593">
        <f>IFERROR(INDEX(PP_Grid[#Data],$DD593,49),0)</f>
        <v/>
      </c>
      <c r="AZ593">
        <f>IFERROR(INDEX(PP_Grid[#Data],$DD593,50),0)</f>
        <v/>
      </c>
      <c r="BA593">
        <f>IFERROR(INDEX(PP_Grid[#Data],$DD593,51),0)</f>
        <v/>
      </c>
      <c r="BB593">
        <f>IFERROR(INDEX(PP_Grid[#Data],$DD593,52),0)</f>
        <v/>
      </c>
      <c r="BC593">
        <f>IFERROR(INDEX(PP_Grid[#Data],$DD593,53),0)</f>
        <v/>
      </c>
      <c r="BD593">
        <f>IFERROR(INDEX(PP_Grid[#Data],$DD593,54),0)</f>
        <v/>
      </c>
      <c r="BE593">
        <f>IFERROR(INDEX(PP_Grid[#Data],$DD593,55),0)</f>
        <v/>
      </c>
      <c r="BF593">
        <f>IFERROR(INDEX(PP_Grid[#Data],$DD593,56),0)</f>
        <v/>
      </c>
      <c r="BG593">
        <f>IFERROR(INDEX(PP_Grid[#Data],$DD593,57),0)</f>
        <v/>
      </c>
      <c r="BH593">
        <f>IFERROR(INDEX(PP_Grid[#Data],$DD593,58),0)</f>
        <v/>
      </c>
      <c r="BI593">
        <f>IFERROR(INDEX(PP_Grid[#Data],$DD593,59),0)</f>
        <v/>
      </c>
      <c r="BJ593">
        <f>IFERROR(INDEX(PP_Grid[#Data],$DD593,60),0)</f>
        <v/>
      </c>
      <c r="BK593">
        <f>IFERROR(INDEX(PP_Grid[#Data],$DD593,61),0)</f>
        <v/>
      </c>
      <c r="BL593">
        <f>IFERROR(INDEX(PP_Grid[#Data],$DD593,62),0)</f>
        <v/>
      </c>
      <c r="BM593">
        <f>IFERROR(INDEX(PP_Grid[#Data],$DD593,63),0)</f>
        <v/>
      </c>
      <c r="BN593">
        <f>IFERROR(INDEX(PP_Grid[#Data],$DD593,64),0)</f>
        <v/>
      </c>
      <c r="BO593">
        <f>IFERROR(INDEX(PP_Grid[#Data],$DD593,65),0)</f>
        <v/>
      </c>
      <c r="BP593">
        <f>IFERROR(INDEX(PP_Grid[#Data],$DD593,66),0)</f>
        <v/>
      </c>
      <c r="BQ593">
        <f>IFERROR(INDEX(PP_Grid[#Data],$DD593,67),0)</f>
        <v/>
      </c>
      <c r="BR593">
        <f>IFERROR(INDEX(PP_Grid[#Data],$DD593,68),0)</f>
        <v/>
      </c>
      <c r="BS593">
        <f>IFERROR(INDEX(PP_Grid[#Data],$DD593,69),0)</f>
        <v/>
      </c>
      <c r="BT593">
        <f>IFERROR(INDEX(PP_Grid[#Data],$DD593,70),0)</f>
        <v/>
      </c>
      <c r="BU593">
        <f>IFERROR(INDEX(PP_Grid[#Data],$DD593,71),0)</f>
        <v/>
      </c>
      <c r="BV593">
        <f>IFERROR(INDEX(PP_Grid[#Data],$DD593,72),0)</f>
        <v/>
      </c>
      <c r="BW593">
        <f>IFERROR(INDEX(PP_Grid[#Data],$DD593,73),0)</f>
        <v/>
      </c>
      <c r="BX593">
        <f>IFERROR(INDEX(PP_Grid[#Data],$DD593,74),0)</f>
        <v/>
      </c>
      <c r="BY593">
        <f>IFERROR(INDEX(PP_Grid[#Data],$DD593,75),0)</f>
        <v/>
      </c>
      <c r="BZ593">
        <f>IFERROR(INDEX(PP_Grid[#Data],$DD593,76),0)</f>
        <v/>
      </c>
      <c r="CA593">
        <f>IFERROR(INDEX(PP_Grid[#Data],$DD593,77),0)</f>
        <v/>
      </c>
      <c r="CB593">
        <f>IFERROR(INDEX(PP_Grid[#Data],$DD593,78),0)</f>
        <v/>
      </c>
      <c r="CC593">
        <f>IFERROR(INDEX(PP_Grid[#Data],$DD593,79),0)</f>
        <v/>
      </c>
      <c r="CD593">
        <f>IFERROR(INDEX(PP_Grid[#Data],$DD593,80),0)</f>
        <v/>
      </c>
      <c r="CE593">
        <f>IFERROR(INDEX(PP_Grid[#Data],$DD593,81),0)</f>
        <v/>
      </c>
      <c r="CF593">
        <f>IFERROR(INDEX(PP_Grid[#Data],$DD593,82),0)</f>
        <v/>
      </c>
      <c r="CG593">
        <f>IFERROR(INDEX(PP_Grid[#Data],$DD593,83),0)</f>
        <v/>
      </c>
      <c r="CH593">
        <f>IFERROR(INDEX(PP_Grid[#Data],$DD593,84),0)</f>
        <v/>
      </c>
      <c r="CI593">
        <f>IFERROR(INDEX(PP_Grid[#Data],$DD593,85),0)</f>
        <v/>
      </c>
      <c r="CJ593">
        <f>IFERROR(INDEX(PP_Grid[#Data],$DD593,86),0)</f>
        <v/>
      </c>
      <c r="CK593">
        <f>IFERROR(INDEX(PP_Grid[#Data],$DD593,87),0)</f>
        <v/>
      </c>
      <c r="CL593">
        <f>IFERROR(INDEX(PP_Grid[#Data],$DD593,88),0)</f>
        <v/>
      </c>
      <c r="CM593">
        <f>IFERROR(INDEX(PP_Grid[#Data],$DD593,89),0)</f>
        <v/>
      </c>
      <c r="CN593">
        <f>IFERROR(INDEX(PP_Grid[#Data],$DD593,90),0)</f>
        <v/>
      </c>
      <c r="CO593">
        <f>IFERROR(INDEX(PP_Grid[#Data],$DD593,91),0)</f>
        <v/>
      </c>
      <c r="CP593">
        <f>IFERROR(INDEX(PP_Grid[#Data],$DD593,92),0)</f>
        <v/>
      </c>
      <c r="CQ593">
        <f>IFERROR(INDEX(PP_Grid[#Data],$DD593,93),0)</f>
        <v/>
      </c>
      <c r="CR593">
        <f>IFERROR(INDEX(PP_Grid[#Data],$DD593,94),0)</f>
        <v/>
      </c>
      <c r="CS593">
        <f>IFERROR(INDEX(PP_Grid[#Data],$DD593,95),0)</f>
        <v/>
      </c>
      <c r="CT593">
        <f>IFERROR(INDEX(PP_Grid[#Data],$DD593,96),0)</f>
        <v/>
      </c>
      <c r="CU593">
        <f>IFERROR(INDEX(PP_Grid[#Data],$DD593,97),0)</f>
        <v/>
      </c>
      <c r="CV593">
        <f>IFERROR(INDEX(PP_Grid[#Data],$DD593,98),0)</f>
        <v/>
      </c>
      <c r="CW593">
        <f>IFERROR(INDEX(PP_Grid[#Data],$DD593,99),0)</f>
        <v/>
      </c>
      <c r="CX593">
        <f>IFERROR(INDEX(PP_Grid[#Data],$DD593,100),0)</f>
        <v/>
      </c>
      <c r="CY593">
        <f>IFERROR(INDEX(PP_Grid[#Data],$DD593,101),0)</f>
        <v/>
      </c>
      <c r="CZ593">
        <f>IFERROR(INDEX(PP_Grid[#Data],$DD593,102),0)</f>
        <v/>
      </c>
      <c r="DA593">
        <f>IFERROR(INDEX(PP_Grid[#Data],$DD593,103),0)</f>
        <v/>
      </c>
      <c r="DB593">
        <f>IFERROR(INDEX(PP_Grid[#Data],$DD593,104),0)</f>
        <v/>
      </c>
      <c r="DC593">
        <f>IFERROR(INDEX(PP_Grid[#Data],$DD593,105),0)</f>
        <v/>
      </c>
      <c r="DD593" s="7">
        <f>IFERROR(MATCH($B593,PP_Grid[Intermediate],0),99999)</f>
        <v/>
      </c>
    </row>
    <row r="594">
      <c r="B594" t="inlineStr">
        <is>
          <t>使用量(kg)</t>
        </is>
      </c>
      <c r="C594">
        <f>SUMIFS(M_BOM[RM_Qty_Per_Batch],M_BOM[Intermediate],$B593,M_BOM[Part Name],$A580)</f>
        <v/>
      </c>
      <c r="D594">
        <f>$C594*D593</f>
        <v/>
      </c>
      <c r="E594">
        <f>$C594*E593</f>
        <v/>
      </c>
      <c r="F594">
        <f>$C594*F593</f>
        <v/>
      </c>
      <c r="G594">
        <f>$C594*G593</f>
        <v/>
      </c>
      <c r="H594">
        <f>$C594*H593</f>
        <v/>
      </c>
      <c r="I594">
        <f>$C594*I593</f>
        <v/>
      </c>
      <c r="J594">
        <f>$C594*J593</f>
        <v/>
      </c>
      <c r="K594">
        <f>$C594*K593</f>
        <v/>
      </c>
      <c r="L594">
        <f>$C594*L593</f>
        <v/>
      </c>
      <c r="M594">
        <f>$C594*M593</f>
        <v/>
      </c>
      <c r="N594">
        <f>$C594*N593</f>
        <v/>
      </c>
      <c r="O594">
        <f>$C594*O593</f>
        <v/>
      </c>
      <c r="P594">
        <f>$C594*P593</f>
        <v/>
      </c>
      <c r="Q594">
        <f>$C594*Q593</f>
        <v/>
      </c>
      <c r="R594">
        <f>$C594*R593</f>
        <v/>
      </c>
      <c r="S594">
        <f>$C594*S593</f>
        <v/>
      </c>
      <c r="T594">
        <f>$C594*T593</f>
        <v/>
      </c>
      <c r="U594">
        <f>$C594*U593</f>
        <v/>
      </c>
      <c r="V594">
        <f>$C594*V593</f>
        <v/>
      </c>
      <c r="W594">
        <f>$C594*W593</f>
        <v/>
      </c>
      <c r="X594">
        <f>$C594*X593</f>
        <v/>
      </c>
      <c r="Y594">
        <f>$C594*Y593</f>
        <v/>
      </c>
      <c r="Z594">
        <f>$C594*Z593</f>
        <v/>
      </c>
      <c r="AA594">
        <f>$C594*AA593</f>
        <v/>
      </c>
      <c r="AB594">
        <f>$C594*AB593</f>
        <v/>
      </c>
      <c r="AC594">
        <f>$C594*AC593</f>
        <v/>
      </c>
      <c r="AD594">
        <f>$C594*AD593</f>
        <v/>
      </c>
      <c r="AE594">
        <f>$C594*AE593</f>
        <v/>
      </c>
      <c r="AF594">
        <f>$C594*AF593</f>
        <v/>
      </c>
      <c r="AG594">
        <f>$C594*AG593</f>
        <v/>
      </c>
      <c r="AH594">
        <f>$C594*AH593</f>
        <v/>
      </c>
      <c r="AI594">
        <f>$C594*AI593</f>
        <v/>
      </c>
      <c r="AJ594">
        <f>$C594*AJ593</f>
        <v/>
      </c>
      <c r="AK594">
        <f>$C594*AK593</f>
        <v/>
      </c>
      <c r="AL594">
        <f>$C594*AL593</f>
        <v/>
      </c>
      <c r="AM594">
        <f>$C594*AM593</f>
        <v/>
      </c>
      <c r="AN594">
        <f>$C594*AN593</f>
        <v/>
      </c>
      <c r="AO594">
        <f>$C594*AO593</f>
        <v/>
      </c>
      <c r="AP594">
        <f>$C594*AP593</f>
        <v/>
      </c>
      <c r="AQ594">
        <f>$C594*AQ593</f>
        <v/>
      </c>
      <c r="AR594">
        <f>$C594*AR593</f>
        <v/>
      </c>
      <c r="AS594">
        <f>$C594*AS593</f>
        <v/>
      </c>
      <c r="AT594">
        <f>$C594*AT593</f>
        <v/>
      </c>
      <c r="AU594">
        <f>$C594*AU593</f>
        <v/>
      </c>
      <c r="AV594">
        <f>$C594*AV593</f>
        <v/>
      </c>
      <c r="AW594">
        <f>$C594*AW593</f>
        <v/>
      </c>
      <c r="AX594">
        <f>$C594*AX593</f>
        <v/>
      </c>
      <c r="AY594">
        <f>$C594*AY593</f>
        <v/>
      </c>
      <c r="AZ594">
        <f>$C594*AZ593</f>
        <v/>
      </c>
      <c r="BA594">
        <f>$C594*BA593</f>
        <v/>
      </c>
      <c r="BB594">
        <f>$C594*BB593</f>
        <v/>
      </c>
      <c r="BC594">
        <f>$C594*BC593</f>
        <v/>
      </c>
      <c r="BD594">
        <f>$C594*BD593</f>
        <v/>
      </c>
      <c r="BE594">
        <f>$C594*BE593</f>
        <v/>
      </c>
      <c r="BF594">
        <f>$C594*BF593</f>
        <v/>
      </c>
      <c r="BG594">
        <f>$C594*BG593</f>
        <v/>
      </c>
      <c r="BH594">
        <f>$C594*BH593</f>
        <v/>
      </c>
      <c r="BI594">
        <f>$C594*BI593</f>
        <v/>
      </c>
      <c r="BJ594">
        <f>$C594*BJ593</f>
        <v/>
      </c>
      <c r="BK594">
        <f>$C594*BK593</f>
        <v/>
      </c>
      <c r="BL594">
        <f>$C594*BL593</f>
        <v/>
      </c>
      <c r="BM594">
        <f>$C594*BM593</f>
        <v/>
      </c>
      <c r="BN594">
        <f>$C594*BN593</f>
        <v/>
      </c>
      <c r="BO594">
        <f>$C594*BO593</f>
        <v/>
      </c>
      <c r="BP594">
        <f>$C594*BP593</f>
        <v/>
      </c>
      <c r="BQ594">
        <f>$C594*BQ593</f>
        <v/>
      </c>
      <c r="BR594">
        <f>$C594*BR593</f>
        <v/>
      </c>
      <c r="BS594">
        <f>$C594*BS593</f>
        <v/>
      </c>
      <c r="BT594">
        <f>$C594*BT593</f>
        <v/>
      </c>
      <c r="BU594">
        <f>$C594*BU593</f>
        <v/>
      </c>
      <c r="BV594">
        <f>$C594*BV593</f>
        <v/>
      </c>
      <c r="BW594">
        <f>$C594*BW593</f>
        <v/>
      </c>
      <c r="BX594">
        <f>$C594*BX593</f>
        <v/>
      </c>
      <c r="BY594">
        <f>$C594*BY593</f>
        <v/>
      </c>
      <c r="BZ594">
        <f>$C594*BZ593</f>
        <v/>
      </c>
      <c r="CA594">
        <f>$C594*CA593</f>
        <v/>
      </c>
      <c r="CB594">
        <f>$C594*CB593</f>
        <v/>
      </c>
      <c r="CC594">
        <f>$C594*CC593</f>
        <v/>
      </c>
      <c r="CD594">
        <f>$C594*CD593</f>
        <v/>
      </c>
      <c r="CE594">
        <f>$C594*CE593</f>
        <v/>
      </c>
      <c r="CF594">
        <f>$C594*CF593</f>
        <v/>
      </c>
      <c r="CG594">
        <f>$C594*CG593</f>
        <v/>
      </c>
      <c r="CH594">
        <f>$C594*CH593</f>
        <v/>
      </c>
      <c r="CI594">
        <f>$C594*CI593</f>
        <v/>
      </c>
      <c r="CJ594">
        <f>$C594*CJ593</f>
        <v/>
      </c>
      <c r="CK594">
        <f>$C594*CK593</f>
        <v/>
      </c>
      <c r="CL594">
        <f>$C594*CL593</f>
        <v/>
      </c>
      <c r="CM594">
        <f>$C594*CM593</f>
        <v/>
      </c>
      <c r="CN594">
        <f>$C594*CN593</f>
        <v/>
      </c>
      <c r="CO594">
        <f>$C594*CO593</f>
        <v/>
      </c>
      <c r="CP594">
        <f>$C594*CP593</f>
        <v/>
      </c>
      <c r="CQ594">
        <f>$C594*CQ593</f>
        <v/>
      </c>
      <c r="CR594">
        <f>$C594*CR593</f>
        <v/>
      </c>
      <c r="CS594">
        <f>$C594*CS593</f>
        <v/>
      </c>
      <c r="CT594">
        <f>$C594*CT593</f>
        <v/>
      </c>
      <c r="CU594">
        <f>$C594*CU593</f>
        <v/>
      </c>
      <c r="CV594">
        <f>$C594*CV593</f>
        <v/>
      </c>
      <c r="CW594">
        <f>$C594*CW593</f>
        <v/>
      </c>
      <c r="CX594">
        <f>$C594*CX593</f>
        <v/>
      </c>
      <c r="CY594">
        <f>$C594*CY593</f>
        <v/>
      </c>
      <c r="CZ594">
        <f>$C594*CZ593</f>
        <v/>
      </c>
      <c r="DA594">
        <f>$C594*DA593</f>
        <v/>
      </c>
      <c r="DB594">
        <f>$C594*DB593</f>
        <v/>
      </c>
      <c r="DC594">
        <f>$C594*DC593</f>
        <v/>
      </c>
    </row>
    <row r="595">
      <c r="B595" t="inlineStr">
        <is>
          <t>VSP-606</t>
        </is>
      </c>
      <c r="C595" t="inlineStr">
        <is>
          <t>No. of batches</t>
        </is>
      </c>
      <c r="D595">
        <f>IFERROR(INDEX(PP_Grid[#Data],$DD595,2),0)</f>
        <v/>
      </c>
      <c r="E595">
        <f>IFERROR(INDEX(PP_Grid[#Data],$DD595,3),0)</f>
        <v/>
      </c>
      <c r="F595">
        <f>IFERROR(INDEX(PP_Grid[#Data],$DD595,4),0)</f>
        <v/>
      </c>
      <c r="G595">
        <f>IFERROR(INDEX(PP_Grid[#Data],$DD595,5),0)</f>
        <v/>
      </c>
      <c r="H595">
        <f>IFERROR(INDEX(PP_Grid[#Data],$DD595,6),0)</f>
        <v/>
      </c>
      <c r="I595">
        <f>IFERROR(INDEX(PP_Grid[#Data],$DD595,7),0)</f>
        <v/>
      </c>
      <c r="J595">
        <f>IFERROR(INDEX(PP_Grid[#Data],$DD595,8),0)</f>
        <v/>
      </c>
      <c r="K595">
        <f>IFERROR(INDEX(PP_Grid[#Data],$DD595,9),0)</f>
        <v/>
      </c>
      <c r="L595">
        <f>IFERROR(INDEX(PP_Grid[#Data],$DD595,10),0)</f>
        <v/>
      </c>
      <c r="M595">
        <f>IFERROR(INDEX(PP_Grid[#Data],$DD595,11),0)</f>
        <v/>
      </c>
      <c r="N595">
        <f>IFERROR(INDEX(PP_Grid[#Data],$DD595,12),0)</f>
        <v/>
      </c>
      <c r="O595">
        <f>IFERROR(INDEX(PP_Grid[#Data],$DD595,13),0)</f>
        <v/>
      </c>
      <c r="P595">
        <f>IFERROR(INDEX(PP_Grid[#Data],$DD595,14),0)</f>
        <v/>
      </c>
      <c r="Q595">
        <f>IFERROR(INDEX(PP_Grid[#Data],$DD595,15),0)</f>
        <v/>
      </c>
      <c r="R595">
        <f>IFERROR(INDEX(PP_Grid[#Data],$DD595,16),0)</f>
        <v/>
      </c>
      <c r="S595">
        <f>IFERROR(INDEX(PP_Grid[#Data],$DD595,17),0)</f>
        <v/>
      </c>
      <c r="T595">
        <f>IFERROR(INDEX(PP_Grid[#Data],$DD595,18),0)</f>
        <v/>
      </c>
      <c r="U595">
        <f>IFERROR(INDEX(PP_Grid[#Data],$DD595,19),0)</f>
        <v/>
      </c>
      <c r="V595">
        <f>IFERROR(INDEX(PP_Grid[#Data],$DD595,20),0)</f>
        <v/>
      </c>
      <c r="W595">
        <f>IFERROR(INDEX(PP_Grid[#Data],$DD595,21),0)</f>
        <v/>
      </c>
      <c r="X595">
        <f>IFERROR(INDEX(PP_Grid[#Data],$DD595,22),0)</f>
        <v/>
      </c>
      <c r="Y595">
        <f>IFERROR(INDEX(PP_Grid[#Data],$DD595,23),0)</f>
        <v/>
      </c>
      <c r="Z595">
        <f>IFERROR(INDEX(PP_Grid[#Data],$DD595,24),0)</f>
        <v/>
      </c>
      <c r="AA595">
        <f>IFERROR(INDEX(PP_Grid[#Data],$DD595,25),0)</f>
        <v/>
      </c>
      <c r="AB595">
        <f>IFERROR(INDEX(PP_Grid[#Data],$DD595,26),0)</f>
        <v/>
      </c>
      <c r="AC595">
        <f>IFERROR(INDEX(PP_Grid[#Data],$DD595,27),0)</f>
        <v/>
      </c>
      <c r="AD595">
        <f>IFERROR(INDEX(PP_Grid[#Data],$DD595,28),0)</f>
        <v/>
      </c>
      <c r="AE595">
        <f>IFERROR(INDEX(PP_Grid[#Data],$DD595,29),0)</f>
        <v/>
      </c>
      <c r="AF595">
        <f>IFERROR(INDEX(PP_Grid[#Data],$DD595,30),0)</f>
        <v/>
      </c>
      <c r="AG595">
        <f>IFERROR(INDEX(PP_Grid[#Data],$DD595,31),0)</f>
        <v/>
      </c>
      <c r="AH595">
        <f>IFERROR(INDEX(PP_Grid[#Data],$DD595,32),0)</f>
        <v/>
      </c>
      <c r="AI595">
        <f>IFERROR(INDEX(PP_Grid[#Data],$DD595,33),0)</f>
        <v/>
      </c>
      <c r="AJ595">
        <f>IFERROR(INDEX(PP_Grid[#Data],$DD595,34),0)</f>
        <v/>
      </c>
      <c r="AK595">
        <f>IFERROR(INDEX(PP_Grid[#Data],$DD595,35),0)</f>
        <v/>
      </c>
      <c r="AL595">
        <f>IFERROR(INDEX(PP_Grid[#Data],$DD595,36),0)</f>
        <v/>
      </c>
      <c r="AM595">
        <f>IFERROR(INDEX(PP_Grid[#Data],$DD595,37),0)</f>
        <v/>
      </c>
      <c r="AN595">
        <f>IFERROR(INDEX(PP_Grid[#Data],$DD595,38),0)</f>
        <v/>
      </c>
      <c r="AO595">
        <f>IFERROR(INDEX(PP_Grid[#Data],$DD595,39),0)</f>
        <v/>
      </c>
      <c r="AP595">
        <f>IFERROR(INDEX(PP_Grid[#Data],$DD595,40),0)</f>
        <v/>
      </c>
      <c r="AQ595">
        <f>IFERROR(INDEX(PP_Grid[#Data],$DD595,41),0)</f>
        <v/>
      </c>
      <c r="AR595">
        <f>IFERROR(INDEX(PP_Grid[#Data],$DD595,42),0)</f>
        <v/>
      </c>
      <c r="AS595">
        <f>IFERROR(INDEX(PP_Grid[#Data],$DD595,43),0)</f>
        <v/>
      </c>
      <c r="AT595">
        <f>IFERROR(INDEX(PP_Grid[#Data],$DD595,44),0)</f>
        <v/>
      </c>
      <c r="AU595">
        <f>IFERROR(INDEX(PP_Grid[#Data],$DD595,45),0)</f>
        <v/>
      </c>
      <c r="AV595">
        <f>IFERROR(INDEX(PP_Grid[#Data],$DD595,46),0)</f>
        <v/>
      </c>
      <c r="AW595">
        <f>IFERROR(INDEX(PP_Grid[#Data],$DD595,47),0)</f>
        <v/>
      </c>
      <c r="AX595">
        <f>IFERROR(INDEX(PP_Grid[#Data],$DD595,48),0)</f>
        <v/>
      </c>
      <c r="AY595">
        <f>IFERROR(INDEX(PP_Grid[#Data],$DD595,49),0)</f>
        <v/>
      </c>
      <c r="AZ595">
        <f>IFERROR(INDEX(PP_Grid[#Data],$DD595,50),0)</f>
        <v/>
      </c>
      <c r="BA595">
        <f>IFERROR(INDEX(PP_Grid[#Data],$DD595,51),0)</f>
        <v/>
      </c>
      <c r="BB595">
        <f>IFERROR(INDEX(PP_Grid[#Data],$DD595,52),0)</f>
        <v/>
      </c>
      <c r="BC595">
        <f>IFERROR(INDEX(PP_Grid[#Data],$DD595,53),0)</f>
        <v/>
      </c>
      <c r="BD595">
        <f>IFERROR(INDEX(PP_Grid[#Data],$DD595,54),0)</f>
        <v/>
      </c>
      <c r="BE595">
        <f>IFERROR(INDEX(PP_Grid[#Data],$DD595,55),0)</f>
        <v/>
      </c>
      <c r="BF595">
        <f>IFERROR(INDEX(PP_Grid[#Data],$DD595,56),0)</f>
        <v/>
      </c>
      <c r="BG595">
        <f>IFERROR(INDEX(PP_Grid[#Data],$DD595,57),0)</f>
        <v/>
      </c>
      <c r="BH595">
        <f>IFERROR(INDEX(PP_Grid[#Data],$DD595,58),0)</f>
        <v/>
      </c>
      <c r="BI595">
        <f>IFERROR(INDEX(PP_Grid[#Data],$DD595,59),0)</f>
        <v/>
      </c>
      <c r="BJ595">
        <f>IFERROR(INDEX(PP_Grid[#Data],$DD595,60),0)</f>
        <v/>
      </c>
      <c r="BK595">
        <f>IFERROR(INDEX(PP_Grid[#Data],$DD595,61),0)</f>
        <v/>
      </c>
      <c r="BL595">
        <f>IFERROR(INDEX(PP_Grid[#Data],$DD595,62),0)</f>
        <v/>
      </c>
      <c r="BM595">
        <f>IFERROR(INDEX(PP_Grid[#Data],$DD595,63),0)</f>
        <v/>
      </c>
      <c r="BN595">
        <f>IFERROR(INDEX(PP_Grid[#Data],$DD595,64),0)</f>
        <v/>
      </c>
      <c r="BO595">
        <f>IFERROR(INDEX(PP_Grid[#Data],$DD595,65),0)</f>
        <v/>
      </c>
      <c r="BP595">
        <f>IFERROR(INDEX(PP_Grid[#Data],$DD595,66),0)</f>
        <v/>
      </c>
      <c r="BQ595">
        <f>IFERROR(INDEX(PP_Grid[#Data],$DD595,67),0)</f>
        <v/>
      </c>
      <c r="BR595">
        <f>IFERROR(INDEX(PP_Grid[#Data],$DD595,68),0)</f>
        <v/>
      </c>
      <c r="BS595">
        <f>IFERROR(INDEX(PP_Grid[#Data],$DD595,69),0)</f>
        <v/>
      </c>
      <c r="BT595">
        <f>IFERROR(INDEX(PP_Grid[#Data],$DD595,70),0)</f>
        <v/>
      </c>
      <c r="BU595">
        <f>IFERROR(INDEX(PP_Grid[#Data],$DD595,71),0)</f>
        <v/>
      </c>
      <c r="BV595">
        <f>IFERROR(INDEX(PP_Grid[#Data],$DD595,72),0)</f>
        <v/>
      </c>
      <c r="BW595">
        <f>IFERROR(INDEX(PP_Grid[#Data],$DD595,73),0)</f>
        <v/>
      </c>
      <c r="BX595">
        <f>IFERROR(INDEX(PP_Grid[#Data],$DD595,74),0)</f>
        <v/>
      </c>
      <c r="BY595">
        <f>IFERROR(INDEX(PP_Grid[#Data],$DD595,75),0)</f>
        <v/>
      </c>
      <c r="BZ595">
        <f>IFERROR(INDEX(PP_Grid[#Data],$DD595,76),0)</f>
        <v/>
      </c>
      <c r="CA595">
        <f>IFERROR(INDEX(PP_Grid[#Data],$DD595,77),0)</f>
        <v/>
      </c>
      <c r="CB595">
        <f>IFERROR(INDEX(PP_Grid[#Data],$DD595,78),0)</f>
        <v/>
      </c>
      <c r="CC595">
        <f>IFERROR(INDEX(PP_Grid[#Data],$DD595,79),0)</f>
        <v/>
      </c>
      <c r="CD595">
        <f>IFERROR(INDEX(PP_Grid[#Data],$DD595,80),0)</f>
        <v/>
      </c>
      <c r="CE595">
        <f>IFERROR(INDEX(PP_Grid[#Data],$DD595,81),0)</f>
        <v/>
      </c>
      <c r="CF595">
        <f>IFERROR(INDEX(PP_Grid[#Data],$DD595,82),0)</f>
        <v/>
      </c>
      <c r="CG595">
        <f>IFERROR(INDEX(PP_Grid[#Data],$DD595,83),0)</f>
        <v/>
      </c>
      <c r="CH595">
        <f>IFERROR(INDEX(PP_Grid[#Data],$DD595,84),0)</f>
        <v/>
      </c>
      <c r="CI595">
        <f>IFERROR(INDEX(PP_Grid[#Data],$DD595,85),0)</f>
        <v/>
      </c>
      <c r="CJ595">
        <f>IFERROR(INDEX(PP_Grid[#Data],$DD595,86),0)</f>
        <v/>
      </c>
      <c r="CK595">
        <f>IFERROR(INDEX(PP_Grid[#Data],$DD595,87),0)</f>
        <v/>
      </c>
      <c r="CL595">
        <f>IFERROR(INDEX(PP_Grid[#Data],$DD595,88),0)</f>
        <v/>
      </c>
      <c r="CM595">
        <f>IFERROR(INDEX(PP_Grid[#Data],$DD595,89),0)</f>
        <v/>
      </c>
      <c r="CN595">
        <f>IFERROR(INDEX(PP_Grid[#Data],$DD595,90),0)</f>
        <v/>
      </c>
      <c r="CO595">
        <f>IFERROR(INDEX(PP_Grid[#Data],$DD595,91),0)</f>
        <v/>
      </c>
      <c r="CP595">
        <f>IFERROR(INDEX(PP_Grid[#Data],$DD595,92),0)</f>
        <v/>
      </c>
      <c r="CQ595">
        <f>IFERROR(INDEX(PP_Grid[#Data],$DD595,93),0)</f>
        <v/>
      </c>
      <c r="CR595">
        <f>IFERROR(INDEX(PP_Grid[#Data],$DD595,94),0)</f>
        <v/>
      </c>
      <c r="CS595">
        <f>IFERROR(INDEX(PP_Grid[#Data],$DD595,95),0)</f>
        <v/>
      </c>
      <c r="CT595">
        <f>IFERROR(INDEX(PP_Grid[#Data],$DD595,96),0)</f>
        <v/>
      </c>
      <c r="CU595">
        <f>IFERROR(INDEX(PP_Grid[#Data],$DD595,97),0)</f>
        <v/>
      </c>
      <c r="CV595">
        <f>IFERROR(INDEX(PP_Grid[#Data],$DD595,98),0)</f>
        <v/>
      </c>
      <c r="CW595">
        <f>IFERROR(INDEX(PP_Grid[#Data],$DD595,99),0)</f>
        <v/>
      </c>
      <c r="CX595">
        <f>IFERROR(INDEX(PP_Grid[#Data],$DD595,100),0)</f>
        <v/>
      </c>
      <c r="CY595">
        <f>IFERROR(INDEX(PP_Grid[#Data],$DD595,101),0)</f>
        <v/>
      </c>
      <c r="CZ595">
        <f>IFERROR(INDEX(PP_Grid[#Data],$DD595,102),0)</f>
        <v/>
      </c>
      <c r="DA595">
        <f>IFERROR(INDEX(PP_Grid[#Data],$DD595,103),0)</f>
        <v/>
      </c>
      <c r="DB595">
        <f>IFERROR(INDEX(PP_Grid[#Data],$DD595,104),0)</f>
        <v/>
      </c>
      <c r="DC595">
        <f>IFERROR(INDEX(PP_Grid[#Data],$DD595,105),0)</f>
        <v/>
      </c>
      <c r="DD595" s="7">
        <f>IFERROR(MATCH($B595,PP_Grid[Intermediate],0),99999)</f>
        <v/>
      </c>
    </row>
    <row r="596">
      <c r="B596" t="inlineStr">
        <is>
          <t>使用量(kg)</t>
        </is>
      </c>
      <c r="C596">
        <f>SUMIFS(M_BOM[RM_Qty_Per_Batch],M_BOM[Intermediate],$B595,M_BOM[Part Name],$A580)</f>
        <v/>
      </c>
      <c r="D596">
        <f>$C596*D595</f>
        <v/>
      </c>
      <c r="E596">
        <f>$C596*E595</f>
        <v/>
      </c>
      <c r="F596">
        <f>$C596*F595</f>
        <v/>
      </c>
      <c r="G596">
        <f>$C596*G595</f>
        <v/>
      </c>
      <c r="H596">
        <f>$C596*H595</f>
        <v/>
      </c>
      <c r="I596">
        <f>$C596*I595</f>
        <v/>
      </c>
      <c r="J596">
        <f>$C596*J595</f>
        <v/>
      </c>
      <c r="K596">
        <f>$C596*K595</f>
        <v/>
      </c>
      <c r="L596">
        <f>$C596*L595</f>
        <v/>
      </c>
      <c r="M596">
        <f>$C596*M595</f>
        <v/>
      </c>
      <c r="N596">
        <f>$C596*N595</f>
        <v/>
      </c>
      <c r="O596">
        <f>$C596*O595</f>
        <v/>
      </c>
      <c r="P596">
        <f>$C596*P595</f>
        <v/>
      </c>
      <c r="Q596">
        <f>$C596*Q595</f>
        <v/>
      </c>
      <c r="R596">
        <f>$C596*R595</f>
        <v/>
      </c>
      <c r="S596">
        <f>$C596*S595</f>
        <v/>
      </c>
      <c r="T596">
        <f>$C596*T595</f>
        <v/>
      </c>
      <c r="U596">
        <f>$C596*U595</f>
        <v/>
      </c>
      <c r="V596">
        <f>$C596*V595</f>
        <v/>
      </c>
      <c r="W596">
        <f>$C596*W595</f>
        <v/>
      </c>
      <c r="X596">
        <f>$C596*X595</f>
        <v/>
      </c>
      <c r="Y596">
        <f>$C596*Y595</f>
        <v/>
      </c>
      <c r="Z596">
        <f>$C596*Z595</f>
        <v/>
      </c>
      <c r="AA596">
        <f>$C596*AA595</f>
        <v/>
      </c>
      <c r="AB596">
        <f>$C596*AB595</f>
        <v/>
      </c>
      <c r="AC596">
        <f>$C596*AC595</f>
        <v/>
      </c>
      <c r="AD596">
        <f>$C596*AD595</f>
        <v/>
      </c>
      <c r="AE596">
        <f>$C596*AE595</f>
        <v/>
      </c>
      <c r="AF596">
        <f>$C596*AF595</f>
        <v/>
      </c>
      <c r="AG596">
        <f>$C596*AG595</f>
        <v/>
      </c>
      <c r="AH596">
        <f>$C596*AH595</f>
        <v/>
      </c>
      <c r="AI596">
        <f>$C596*AI595</f>
        <v/>
      </c>
      <c r="AJ596">
        <f>$C596*AJ595</f>
        <v/>
      </c>
      <c r="AK596">
        <f>$C596*AK595</f>
        <v/>
      </c>
      <c r="AL596">
        <f>$C596*AL595</f>
        <v/>
      </c>
      <c r="AM596">
        <f>$C596*AM595</f>
        <v/>
      </c>
      <c r="AN596">
        <f>$C596*AN595</f>
        <v/>
      </c>
      <c r="AO596">
        <f>$C596*AO595</f>
        <v/>
      </c>
      <c r="AP596">
        <f>$C596*AP595</f>
        <v/>
      </c>
      <c r="AQ596">
        <f>$C596*AQ595</f>
        <v/>
      </c>
      <c r="AR596">
        <f>$C596*AR595</f>
        <v/>
      </c>
      <c r="AS596">
        <f>$C596*AS595</f>
        <v/>
      </c>
      <c r="AT596">
        <f>$C596*AT595</f>
        <v/>
      </c>
      <c r="AU596">
        <f>$C596*AU595</f>
        <v/>
      </c>
      <c r="AV596">
        <f>$C596*AV595</f>
        <v/>
      </c>
      <c r="AW596">
        <f>$C596*AW595</f>
        <v/>
      </c>
      <c r="AX596">
        <f>$C596*AX595</f>
        <v/>
      </c>
      <c r="AY596">
        <f>$C596*AY595</f>
        <v/>
      </c>
      <c r="AZ596">
        <f>$C596*AZ595</f>
        <v/>
      </c>
      <c r="BA596">
        <f>$C596*BA595</f>
        <v/>
      </c>
      <c r="BB596">
        <f>$C596*BB595</f>
        <v/>
      </c>
      <c r="BC596">
        <f>$C596*BC595</f>
        <v/>
      </c>
      <c r="BD596">
        <f>$C596*BD595</f>
        <v/>
      </c>
      <c r="BE596">
        <f>$C596*BE595</f>
        <v/>
      </c>
      <c r="BF596">
        <f>$C596*BF595</f>
        <v/>
      </c>
      <c r="BG596">
        <f>$C596*BG595</f>
        <v/>
      </c>
      <c r="BH596">
        <f>$C596*BH595</f>
        <v/>
      </c>
      <c r="BI596">
        <f>$C596*BI595</f>
        <v/>
      </c>
      <c r="BJ596">
        <f>$C596*BJ595</f>
        <v/>
      </c>
      <c r="BK596">
        <f>$C596*BK595</f>
        <v/>
      </c>
      <c r="BL596">
        <f>$C596*BL595</f>
        <v/>
      </c>
      <c r="BM596">
        <f>$C596*BM595</f>
        <v/>
      </c>
      <c r="BN596">
        <f>$C596*BN595</f>
        <v/>
      </c>
      <c r="BO596">
        <f>$C596*BO595</f>
        <v/>
      </c>
      <c r="BP596">
        <f>$C596*BP595</f>
        <v/>
      </c>
      <c r="BQ596">
        <f>$C596*BQ595</f>
        <v/>
      </c>
      <c r="BR596">
        <f>$C596*BR595</f>
        <v/>
      </c>
      <c r="BS596">
        <f>$C596*BS595</f>
        <v/>
      </c>
      <c r="BT596">
        <f>$C596*BT595</f>
        <v/>
      </c>
      <c r="BU596">
        <f>$C596*BU595</f>
        <v/>
      </c>
      <c r="BV596">
        <f>$C596*BV595</f>
        <v/>
      </c>
      <c r="BW596">
        <f>$C596*BW595</f>
        <v/>
      </c>
      <c r="BX596">
        <f>$C596*BX595</f>
        <v/>
      </c>
      <c r="BY596">
        <f>$C596*BY595</f>
        <v/>
      </c>
      <c r="BZ596">
        <f>$C596*BZ595</f>
        <v/>
      </c>
      <c r="CA596">
        <f>$C596*CA595</f>
        <v/>
      </c>
      <c r="CB596">
        <f>$C596*CB595</f>
        <v/>
      </c>
      <c r="CC596">
        <f>$C596*CC595</f>
        <v/>
      </c>
      <c r="CD596">
        <f>$C596*CD595</f>
        <v/>
      </c>
      <c r="CE596">
        <f>$C596*CE595</f>
        <v/>
      </c>
      <c r="CF596">
        <f>$C596*CF595</f>
        <v/>
      </c>
      <c r="CG596">
        <f>$C596*CG595</f>
        <v/>
      </c>
      <c r="CH596">
        <f>$C596*CH595</f>
        <v/>
      </c>
      <c r="CI596">
        <f>$C596*CI595</f>
        <v/>
      </c>
      <c r="CJ596">
        <f>$C596*CJ595</f>
        <v/>
      </c>
      <c r="CK596">
        <f>$C596*CK595</f>
        <v/>
      </c>
      <c r="CL596">
        <f>$C596*CL595</f>
        <v/>
      </c>
      <c r="CM596">
        <f>$C596*CM595</f>
        <v/>
      </c>
      <c r="CN596">
        <f>$C596*CN595</f>
        <v/>
      </c>
      <c r="CO596">
        <f>$C596*CO595</f>
        <v/>
      </c>
      <c r="CP596">
        <f>$C596*CP595</f>
        <v/>
      </c>
      <c r="CQ596">
        <f>$C596*CQ595</f>
        <v/>
      </c>
      <c r="CR596">
        <f>$C596*CR595</f>
        <v/>
      </c>
      <c r="CS596">
        <f>$C596*CS595</f>
        <v/>
      </c>
      <c r="CT596">
        <f>$C596*CT595</f>
        <v/>
      </c>
      <c r="CU596">
        <f>$C596*CU595</f>
        <v/>
      </c>
      <c r="CV596">
        <f>$C596*CV595</f>
        <v/>
      </c>
      <c r="CW596">
        <f>$C596*CW595</f>
        <v/>
      </c>
      <c r="CX596">
        <f>$C596*CX595</f>
        <v/>
      </c>
      <c r="CY596">
        <f>$C596*CY595</f>
        <v/>
      </c>
      <c r="CZ596">
        <f>$C596*CZ595</f>
        <v/>
      </c>
      <c r="DA596">
        <f>$C596*DA595</f>
        <v/>
      </c>
      <c r="DB596">
        <f>$C596*DB595</f>
        <v/>
      </c>
      <c r="DC596">
        <f>$C596*DC595</f>
        <v/>
      </c>
    </row>
    <row r="597">
      <c r="B597" t="inlineStr">
        <is>
          <t>VSP-607</t>
        </is>
      </c>
      <c r="C597" t="inlineStr">
        <is>
          <t>No. of batches</t>
        </is>
      </c>
      <c r="D597">
        <f>IFERROR(INDEX(PP_Grid[#Data],$DD597,2),0)</f>
        <v/>
      </c>
      <c r="E597">
        <f>IFERROR(INDEX(PP_Grid[#Data],$DD597,3),0)</f>
        <v/>
      </c>
      <c r="F597">
        <f>IFERROR(INDEX(PP_Grid[#Data],$DD597,4),0)</f>
        <v/>
      </c>
      <c r="G597">
        <f>IFERROR(INDEX(PP_Grid[#Data],$DD597,5),0)</f>
        <v/>
      </c>
      <c r="H597">
        <f>IFERROR(INDEX(PP_Grid[#Data],$DD597,6),0)</f>
        <v/>
      </c>
      <c r="I597">
        <f>IFERROR(INDEX(PP_Grid[#Data],$DD597,7),0)</f>
        <v/>
      </c>
      <c r="J597">
        <f>IFERROR(INDEX(PP_Grid[#Data],$DD597,8),0)</f>
        <v/>
      </c>
      <c r="K597">
        <f>IFERROR(INDEX(PP_Grid[#Data],$DD597,9),0)</f>
        <v/>
      </c>
      <c r="L597">
        <f>IFERROR(INDEX(PP_Grid[#Data],$DD597,10),0)</f>
        <v/>
      </c>
      <c r="M597">
        <f>IFERROR(INDEX(PP_Grid[#Data],$DD597,11),0)</f>
        <v/>
      </c>
      <c r="N597">
        <f>IFERROR(INDEX(PP_Grid[#Data],$DD597,12),0)</f>
        <v/>
      </c>
      <c r="O597">
        <f>IFERROR(INDEX(PP_Grid[#Data],$DD597,13),0)</f>
        <v/>
      </c>
      <c r="P597">
        <f>IFERROR(INDEX(PP_Grid[#Data],$DD597,14),0)</f>
        <v/>
      </c>
      <c r="Q597">
        <f>IFERROR(INDEX(PP_Grid[#Data],$DD597,15),0)</f>
        <v/>
      </c>
      <c r="R597">
        <f>IFERROR(INDEX(PP_Grid[#Data],$DD597,16),0)</f>
        <v/>
      </c>
      <c r="S597">
        <f>IFERROR(INDEX(PP_Grid[#Data],$DD597,17),0)</f>
        <v/>
      </c>
      <c r="T597">
        <f>IFERROR(INDEX(PP_Grid[#Data],$DD597,18),0)</f>
        <v/>
      </c>
      <c r="U597">
        <f>IFERROR(INDEX(PP_Grid[#Data],$DD597,19),0)</f>
        <v/>
      </c>
      <c r="V597">
        <f>IFERROR(INDEX(PP_Grid[#Data],$DD597,20),0)</f>
        <v/>
      </c>
      <c r="W597">
        <f>IFERROR(INDEX(PP_Grid[#Data],$DD597,21),0)</f>
        <v/>
      </c>
      <c r="X597">
        <f>IFERROR(INDEX(PP_Grid[#Data],$DD597,22),0)</f>
        <v/>
      </c>
      <c r="Y597">
        <f>IFERROR(INDEX(PP_Grid[#Data],$DD597,23),0)</f>
        <v/>
      </c>
      <c r="Z597">
        <f>IFERROR(INDEX(PP_Grid[#Data],$DD597,24),0)</f>
        <v/>
      </c>
      <c r="AA597">
        <f>IFERROR(INDEX(PP_Grid[#Data],$DD597,25),0)</f>
        <v/>
      </c>
      <c r="AB597">
        <f>IFERROR(INDEX(PP_Grid[#Data],$DD597,26),0)</f>
        <v/>
      </c>
      <c r="AC597">
        <f>IFERROR(INDEX(PP_Grid[#Data],$DD597,27),0)</f>
        <v/>
      </c>
      <c r="AD597">
        <f>IFERROR(INDEX(PP_Grid[#Data],$DD597,28),0)</f>
        <v/>
      </c>
      <c r="AE597">
        <f>IFERROR(INDEX(PP_Grid[#Data],$DD597,29),0)</f>
        <v/>
      </c>
      <c r="AF597">
        <f>IFERROR(INDEX(PP_Grid[#Data],$DD597,30),0)</f>
        <v/>
      </c>
      <c r="AG597">
        <f>IFERROR(INDEX(PP_Grid[#Data],$DD597,31),0)</f>
        <v/>
      </c>
      <c r="AH597">
        <f>IFERROR(INDEX(PP_Grid[#Data],$DD597,32),0)</f>
        <v/>
      </c>
      <c r="AI597">
        <f>IFERROR(INDEX(PP_Grid[#Data],$DD597,33),0)</f>
        <v/>
      </c>
      <c r="AJ597">
        <f>IFERROR(INDEX(PP_Grid[#Data],$DD597,34),0)</f>
        <v/>
      </c>
      <c r="AK597">
        <f>IFERROR(INDEX(PP_Grid[#Data],$DD597,35),0)</f>
        <v/>
      </c>
      <c r="AL597">
        <f>IFERROR(INDEX(PP_Grid[#Data],$DD597,36),0)</f>
        <v/>
      </c>
      <c r="AM597">
        <f>IFERROR(INDEX(PP_Grid[#Data],$DD597,37),0)</f>
        <v/>
      </c>
      <c r="AN597">
        <f>IFERROR(INDEX(PP_Grid[#Data],$DD597,38),0)</f>
        <v/>
      </c>
      <c r="AO597">
        <f>IFERROR(INDEX(PP_Grid[#Data],$DD597,39),0)</f>
        <v/>
      </c>
      <c r="AP597">
        <f>IFERROR(INDEX(PP_Grid[#Data],$DD597,40),0)</f>
        <v/>
      </c>
      <c r="AQ597">
        <f>IFERROR(INDEX(PP_Grid[#Data],$DD597,41),0)</f>
        <v/>
      </c>
      <c r="AR597">
        <f>IFERROR(INDEX(PP_Grid[#Data],$DD597,42),0)</f>
        <v/>
      </c>
      <c r="AS597">
        <f>IFERROR(INDEX(PP_Grid[#Data],$DD597,43),0)</f>
        <v/>
      </c>
      <c r="AT597">
        <f>IFERROR(INDEX(PP_Grid[#Data],$DD597,44),0)</f>
        <v/>
      </c>
      <c r="AU597">
        <f>IFERROR(INDEX(PP_Grid[#Data],$DD597,45),0)</f>
        <v/>
      </c>
      <c r="AV597">
        <f>IFERROR(INDEX(PP_Grid[#Data],$DD597,46),0)</f>
        <v/>
      </c>
      <c r="AW597">
        <f>IFERROR(INDEX(PP_Grid[#Data],$DD597,47),0)</f>
        <v/>
      </c>
      <c r="AX597">
        <f>IFERROR(INDEX(PP_Grid[#Data],$DD597,48),0)</f>
        <v/>
      </c>
      <c r="AY597">
        <f>IFERROR(INDEX(PP_Grid[#Data],$DD597,49),0)</f>
        <v/>
      </c>
      <c r="AZ597">
        <f>IFERROR(INDEX(PP_Grid[#Data],$DD597,50),0)</f>
        <v/>
      </c>
      <c r="BA597">
        <f>IFERROR(INDEX(PP_Grid[#Data],$DD597,51),0)</f>
        <v/>
      </c>
      <c r="BB597">
        <f>IFERROR(INDEX(PP_Grid[#Data],$DD597,52),0)</f>
        <v/>
      </c>
      <c r="BC597">
        <f>IFERROR(INDEX(PP_Grid[#Data],$DD597,53),0)</f>
        <v/>
      </c>
      <c r="BD597">
        <f>IFERROR(INDEX(PP_Grid[#Data],$DD597,54),0)</f>
        <v/>
      </c>
      <c r="BE597">
        <f>IFERROR(INDEX(PP_Grid[#Data],$DD597,55),0)</f>
        <v/>
      </c>
      <c r="BF597">
        <f>IFERROR(INDEX(PP_Grid[#Data],$DD597,56),0)</f>
        <v/>
      </c>
      <c r="BG597">
        <f>IFERROR(INDEX(PP_Grid[#Data],$DD597,57),0)</f>
        <v/>
      </c>
      <c r="BH597">
        <f>IFERROR(INDEX(PP_Grid[#Data],$DD597,58),0)</f>
        <v/>
      </c>
      <c r="BI597">
        <f>IFERROR(INDEX(PP_Grid[#Data],$DD597,59),0)</f>
        <v/>
      </c>
      <c r="BJ597">
        <f>IFERROR(INDEX(PP_Grid[#Data],$DD597,60),0)</f>
        <v/>
      </c>
      <c r="BK597">
        <f>IFERROR(INDEX(PP_Grid[#Data],$DD597,61),0)</f>
        <v/>
      </c>
      <c r="BL597">
        <f>IFERROR(INDEX(PP_Grid[#Data],$DD597,62),0)</f>
        <v/>
      </c>
      <c r="BM597">
        <f>IFERROR(INDEX(PP_Grid[#Data],$DD597,63),0)</f>
        <v/>
      </c>
      <c r="BN597">
        <f>IFERROR(INDEX(PP_Grid[#Data],$DD597,64),0)</f>
        <v/>
      </c>
      <c r="BO597">
        <f>IFERROR(INDEX(PP_Grid[#Data],$DD597,65),0)</f>
        <v/>
      </c>
      <c r="BP597">
        <f>IFERROR(INDEX(PP_Grid[#Data],$DD597,66),0)</f>
        <v/>
      </c>
      <c r="BQ597">
        <f>IFERROR(INDEX(PP_Grid[#Data],$DD597,67),0)</f>
        <v/>
      </c>
      <c r="BR597">
        <f>IFERROR(INDEX(PP_Grid[#Data],$DD597,68),0)</f>
        <v/>
      </c>
      <c r="BS597">
        <f>IFERROR(INDEX(PP_Grid[#Data],$DD597,69),0)</f>
        <v/>
      </c>
      <c r="BT597">
        <f>IFERROR(INDEX(PP_Grid[#Data],$DD597,70),0)</f>
        <v/>
      </c>
      <c r="BU597">
        <f>IFERROR(INDEX(PP_Grid[#Data],$DD597,71),0)</f>
        <v/>
      </c>
      <c r="BV597">
        <f>IFERROR(INDEX(PP_Grid[#Data],$DD597,72),0)</f>
        <v/>
      </c>
      <c r="BW597">
        <f>IFERROR(INDEX(PP_Grid[#Data],$DD597,73),0)</f>
        <v/>
      </c>
      <c r="BX597">
        <f>IFERROR(INDEX(PP_Grid[#Data],$DD597,74),0)</f>
        <v/>
      </c>
      <c r="BY597">
        <f>IFERROR(INDEX(PP_Grid[#Data],$DD597,75),0)</f>
        <v/>
      </c>
      <c r="BZ597">
        <f>IFERROR(INDEX(PP_Grid[#Data],$DD597,76),0)</f>
        <v/>
      </c>
      <c r="CA597">
        <f>IFERROR(INDEX(PP_Grid[#Data],$DD597,77),0)</f>
        <v/>
      </c>
      <c r="CB597">
        <f>IFERROR(INDEX(PP_Grid[#Data],$DD597,78),0)</f>
        <v/>
      </c>
      <c r="CC597">
        <f>IFERROR(INDEX(PP_Grid[#Data],$DD597,79),0)</f>
        <v/>
      </c>
      <c r="CD597">
        <f>IFERROR(INDEX(PP_Grid[#Data],$DD597,80),0)</f>
        <v/>
      </c>
      <c r="CE597">
        <f>IFERROR(INDEX(PP_Grid[#Data],$DD597,81),0)</f>
        <v/>
      </c>
      <c r="CF597">
        <f>IFERROR(INDEX(PP_Grid[#Data],$DD597,82),0)</f>
        <v/>
      </c>
      <c r="CG597">
        <f>IFERROR(INDEX(PP_Grid[#Data],$DD597,83),0)</f>
        <v/>
      </c>
      <c r="CH597">
        <f>IFERROR(INDEX(PP_Grid[#Data],$DD597,84),0)</f>
        <v/>
      </c>
      <c r="CI597">
        <f>IFERROR(INDEX(PP_Grid[#Data],$DD597,85),0)</f>
        <v/>
      </c>
      <c r="CJ597">
        <f>IFERROR(INDEX(PP_Grid[#Data],$DD597,86),0)</f>
        <v/>
      </c>
      <c r="CK597">
        <f>IFERROR(INDEX(PP_Grid[#Data],$DD597,87),0)</f>
        <v/>
      </c>
      <c r="CL597">
        <f>IFERROR(INDEX(PP_Grid[#Data],$DD597,88),0)</f>
        <v/>
      </c>
      <c r="CM597">
        <f>IFERROR(INDEX(PP_Grid[#Data],$DD597,89),0)</f>
        <v/>
      </c>
      <c r="CN597">
        <f>IFERROR(INDEX(PP_Grid[#Data],$DD597,90),0)</f>
        <v/>
      </c>
      <c r="CO597">
        <f>IFERROR(INDEX(PP_Grid[#Data],$DD597,91),0)</f>
        <v/>
      </c>
      <c r="CP597">
        <f>IFERROR(INDEX(PP_Grid[#Data],$DD597,92),0)</f>
        <v/>
      </c>
      <c r="CQ597">
        <f>IFERROR(INDEX(PP_Grid[#Data],$DD597,93),0)</f>
        <v/>
      </c>
      <c r="CR597">
        <f>IFERROR(INDEX(PP_Grid[#Data],$DD597,94),0)</f>
        <v/>
      </c>
      <c r="CS597">
        <f>IFERROR(INDEX(PP_Grid[#Data],$DD597,95),0)</f>
        <v/>
      </c>
      <c r="CT597">
        <f>IFERROR(INDEX(PP_Grid[#Data],$DD597,96),0)</f>
        <v/>
      </c>
      <c r="CU597">
        <f>IFERROR(INDEX(PP_Grid[#Data],$DD597,97),0)</f>
        <v/>
      </c>
      <c r="CV597">
        <f>IFERROR(INDEX(PP_Grid[#Data],$DD597,98),0)</f>
        <v/>
      </c>
      <c r="CW597">
        <f>IFERROR(INDEX(PP_Grid[#Data],$DD597,99),0)</f>
        <v/>
      </c>
      <c r="CX597">
        <f>IFERROR(INDEX(PP_Grid[#Data],$DD597,100),0)</f>
        <v/>
      </c>
      <c r="CY597">
        <f>IFERROR(INDEX(PP_Grid[#Data],$DD597,101),0)</f>
        <v/>
      </c>
      <c r="CZ597">
        <f>IFERROR(INDEX(PP_Grid[#Data],$DD597,102),0)</f>
        <v/>
      </c>
      <c r="DA597">
        <f>IFERROR(INDEX(PP_Grid[#Data],$DD597,103),0)</f>
        <v/>
      </c>
      <c r="DB597">
        <f>IFERROR(INDEX(PP_Grid[#Data],$DD597,104),0)</f>
        <v/>
      </c>
      <c r="DC597">
        <f>IFERROR(INDEX(PP_Grid[#Data],$DD597,105),0)</f>
        <v/>
      </c>
      <c r="DD597" s="7">
        <f>IFERROR(MATCH($B597,PP_Grid[Intermediate],0),99999)</f>
        <v/>
      </c>
    </row>
    <row r="598">
      <c r="B598" t="inlineStr">
        <is>
          <t>使用量(kg)</t>
        </is>
      </c>
      <c r="C598">
        <f>SUMIFS(M_BOM[RM_Qty_Per_Batch],M_BOM[Intermediate],$B597,M_BOM[Part Name],$A580)</f>
        <v/>
      </c>
      <c r="D598">
        <f>$C598*D597</f>
        <v/>
      </c>
      <c r="E598">
        <f>$C598*E597</f>
        <v/>
      </c>
      <c r="F598">
        <f>$C598*F597</f>
        <v/>
      </c>
      <c r="G598">
        <f>$C598*G597</f>
        <v/>
      </c>
      <c r="H598">
        <f>$C598*H597</f>
        <v/>
      </c>
      <c r="I598">
        <f>$C598*I597</f>
        <v/>
      </c>
      <c r="J598">
        <f>$C598*J597</f>
        <v/>
      </c>
      <c r="K598">
        <f>$C598*K597</f>
        <v/>
      </c>
      <c r="L598">
        <f>$C598*L597</f>
        <v/>
      </c>
      <c r="M598">
        <f>$C598*M597</f>
        <v/>
      </c>
      <c r="N598">
        <f>$C598*N597</f>
        <v/>
      </c>
      <c r="O598">
        <f>$C598*O597</f>
        <v/>
      </c>
      <c r="P598">
        <f>$C598*P597</f>
        <v/>
      </c>
      <c r="Q598">
        <f>$C598*Q597</f>
        <v/>
      </c>
      <c r="R598">
        <f>$C598*R597</f>
        <v/>
      </c>
      <c r="S598">
        <f>$C598*S597</f>
        <v/>
      </c>
      <c r="T598">
        <f>$C598*T597</f>
        <v/>
      </c>
      <c r="U598">
        <f>$C598*U597</f>
        <v/>
      </c>
      <c r="V598">
        <f>$C598*V597</f>
        <v/>
      </c>
      <c r="W598">
        <f>$C598*W597</f>
        <v/>
      </c>
      <c r="X598">
        <f>$C598*X597</f>
        <v/>
      </c>
      <c r="Y598">
        <f>$C598*Y597</f>
        <v/>
      </c>
      <c r="Z598">
        <f>$C598*Z597</f>
        <v/>
      </c>
      <c r="AA598">
        <f>$C598*AA597</f>
        <v/>
      </c>
      <c r="AB598">
        <f>$C598*AB597</f>
        <v/>
      </c>
      <c r="AC598">
        <f>$C598*AC597</f>
        <v/>
      </c>
      <c r="AD598">
        <f>$C598*AD597</f>
        <v/>
      </c>
      <c r="AE598">
        <f>$C598*AE597</f>
        <v/>
      </c>
      <c r="AF598">
        <f>$C598*AF597</f>
        <v/>
      </c>
      <c r="AG598">
        <f>$C598*AG597</f>
        <v/>
      </c>
      <c r="AH598">
        <f>$C598*AH597</f>
        <v/>
      </c>
      <c r="AI598">
        <f>$C598*AI597</f>
        <v/>
      </c>
      <c r="AJ598">
        <f>$C598*AJ597</f>
        <v/>
      </c>
      <c r="AK598">
        <f>$C598*AK597</f>
        <v/>
      </c>
      <c r="AL598">
        <f>$C598*AL597</f>
        <v/>
      </c>
      <c r="AM598">
        <f>$C598*AM597</f>
        <v/>
      </c>
      <c r="AN598">
        <f>$C598*AN597</f>
        <v/>
      </c>
      <c r="AO598">
        <f>$C598*AO597</f>
        <v/>
      </c>
      <c r="AP598">
        <f>$C598*AP597</f>
        <v/>
      </c>
      <c r="AQ598">
        <f>$C598*AQ597</f>
        <v/>
      </c>
      <c r="AR598">
        <f>$C598*AR597</f>
        <v/>
      </c>
      <c r="AS598">
        <f>$C598*AS597</f>
        <v/>
      </c>
      <c r="AT598">
        <f>$C598*AT597</f>
        <v/>
      </c>
      <c r="AU598">
        <f>$C598*AU597</f>
        <v/>
      </c>
      <c r="AV598">
        <f>$C598*AV597</f>
        <v/>
      </c>
      <c r="AW598">
        <f>$C598*AW597</f>
        <v/>
      </c>
      <c r="AX598">
        <f>$C598*AX597</f>
        <v/>
      </c>
      <c r="AY598">
        <f>$C598*AY597</f>
        <v/>
      </c>
      <c r="AZ598">
        <f>$C598*AZ597</f>
        <v/>
      </c>
      <c r="BA598">
        <f>$C598*BA597</f>
        <v/>
      </c>
      <c r="BB598">
        <f>$C598*BB597</f>
        <v/>
      </c>
      <c r="BC598">
        <f>$C598*BC597</f>
        <v/>
      </c>
      <c r="BD598">
        <f>$C598*BD597</f>
        <v/>
      </c>
      <c r="BE598">
        <f>$C598*BE597</f>
        <v/>
      </c>
      <c r="BF598">
        <f>$C598*BF597</f>
        <v/>
      </c>
      <c r="BG598">
        <f>$C598*BG597</f>
        <v/>
      </c>
      <c r="BH598">
        <f>$C598*BH597</f>
        <v/>
      </c>
      <c r="BI598">
        <f>$C598*BI597</f>
        <v/>
      </c>
      <c r="BJ598">
        <f>$C598*BJ597</f>
        <v/>
      </c>
      <c r="BK598">
        <f>$C598*BK597</f>
        <v/>
      </c>
      <c r="BL598">
        <f>$C598*BL597</f>
        <v/>
      </c>
      <c r="BM598">
        <f>$C598*BM597</f>
        <v/>
      </c>
      <c r="BN598">
        <f>$C598*BN597</f>
        <v/>
      </c>
      <c r="BO598">
        <f>$C598*BO597</f>
        <v/>
      </c>
      <c r="BP598">
        <f>$C598*BP597</f>
        <v/>
      </c>
      <c r="BQ598">
        <f>$C598*BQ597</f>
        <v/>
      </c>
      <c r="BR598">
        <f>$C598*BR597</f>
        <v/>
      </c>
      <c r="BS598">
        <f>$C598*BS597</f>
        <v/>
      </c>
      <c r="BT598">
        <f>$C598*BT597</f>
        <v/>
      </c>
      <c r="BU598">
        <f>$C598*BU597</f>
        <v/>
      </c>
      <c r="BV598">
        <f>$C598*BV597</f>
        <v/>
      </c>
      <c r="BW598">
        <f>$C598*BW597</f>
        <v/>
      </c>
      <c r="BX598">
        <f>$C598*BX597</f>
        <v/>
      </c>
      <c r="BY598">
        <f>$C598*BY597</f>
        <v/>
      </c>
      <c r="BZ598">
        <f>$C598*BZ597</f>
        <v/>
      </c>
      <c r="CA598">
        <f>$C598*CA597</f>
        <v/>
      </c>
      <c r="CB598">
        <f>$C598*CB597</f>
        <v/>
      </c>
      <c r="CC598">
        <f>$C598*CC597</f>
        <v/>
      </c>
      <c r="CD598">
        <f>$C598*CD597</f>
        <v/>
      </c>
      <c r="CE598">
        <f>$C598*CE597</f>
        <v/>
      </c>
      <c r="CF598">
        <f>$C598*CF597</f>
        <v/>
      </c>
      <c r="CG598">
        <f>$C598*CG597</f>
        <v/>
      </c>
      <c r="CH598">
        <f>$C598*CH597</f>
        <v/>
      </c>
      <c r="CI598">
        <f>$C598*CI597</f>
        <v/>
      </c>
      <c r="CJ598">
        <f>$C598*CJ597</f>
        <v/>
      </c>
      <c r="CK598">
        <f>$C598*CK597</f>
        <v/>
      </c>
      <c r="CL598">
        <f>$C598*CL597</f>
        <v/>
      </c>
      <c r="CM598">
        <f>$C598*CM597</f>
        <v/>
      </c>
      <c r="CN598">
        <f>$C598*CN597</f>
        <v/>
      </c>
      <c r="CO598">
        <f>$C598*CO597</f>
        <v/>
      </c>
      <c r="CP598">
        <f>$C598*CP597</f>
        <v/>
      </c>
      <c r="CQ598">
        <f>$C598*CQ597</f>
        <v/>
      </c>
      <c r="CR598">
        <f>$C598*CR597</f>
        <v/>
      </c>
      <c r="CS598">
        <f>$C598*CS597</f>
        <v/>
      </c>
      <c r="CT598">
        <f>$C598*CT597</f>
        <v/>
      </c>
      <c r="CU598">
        <f>$C598*CU597</f>
        <v/>
      </c>
      <c r="CV598">
        <f>$C598*CV597</f>
        <v/>
      </c>
      <c r="CW598">
        <f>$C598*CW597</f>
        <v/>
      </c>
      <c r="CX598">
        <f>$C598*CX597</f>
        <v/>
      </c>
      <c r="CY598">
        <f>$C598*CY597</f>
        <v/>
      </c>
      <c r="CZ598">
        <f>$C598*CZ597</f>
        <v/>
      </c>
      <c r="DA598">
        <f>$C598*DA597</f>
        <v/>
      </c>
      <c r="DB598">
        <f>$C598*DB597</f>
        <v/>
      </c>
      <c r="DC598">
        <f>$C598*DC597</f>
        <v/>
      </c>
    </row>
    <row r="599">
      <c r="B599" t="inlineStr">
        <is>
          <t>VSP-738</t>
        </is>
      </c>
      <c r="C599" t="inlineStr">
        <is>
          <t>No. of batches</t>
        </is>
      </c>
      <c r="D599">
        <f>IFERROR(INDEX(PP_Grid[#Data],$DD599,2),0)</f>
        <v/>
      </c>
      <c r="E599">
        <f>IFERROR(INDEX(PP_Grid[#Data],$DD599,3),0)</f>
        <v/>
      </c>
      <c r="F599">
        <f>IFERROR(INDEX(PP_Grid[#Data],$DD599,4),0)</f>
        <v/>
      </c>
      <c r="G599">
        <f>IFERROR(INDEX(PP_Grid[#Data],$DD599,5),0)</f>
        <v/>
      </c>
      <c r="H599">
        <f>IFERROR(INDEX(PP_Grid[#Data],$DD599,6),0)</f>
        <v/>
      </c>
      <c r="I599">
        <f>IFERROR(INDEX(PP_Grid[#Data],$DD599,7),0)</f>
        <v/>
      </c>
      <c r="J599">
        <f>IFERROR(INDEX(PP_Grid[#Data],$DD599,8),0)</f>
        <v/>
      </c>
      <c r="K599">
        <f>IFERROR(INDEX(PP_Grid[#Data],$DD599,9),0)</f>
        <v/>
      </c>
      <c r="L599">
        <f>IFERROR(INDEX(PP_Grid[#Data],$DD599,10),0)</f>
        <v/>
      </c>
      <c r="M599">
        <f>IFERROR(INDEX(PP_Grid[#Data],$DD599,11),0)</f>
        <v/>
      </c>
      <c r="N599">
        <f>IFERROR(INDEX(PP_Grid[#Data],$DD599,12),0)</f>
        <v/>
      </c>
      <c r="O599">
        <f>IFERROR(INDEX(PP_Grid[#Data],$DD599,13),0)</f>
        <v/>
      </c>
      <c r="P599">
        <f>IFERROR(INDEX(PP_Grid[#Data],$DD599,14),0)</f>
        <v/>
      </c>
      <c r="Q599">
        <f>IFERROR(INDEX(PP_Grid[#Data],$DD599,15),0)</f>
        <v/>
      </c>
      <c r="R599">
        <f>IFERROR(INDEX(PP_Grid[#Data],$DD599,16),0)</f>
        <v/>
      </c>
      <c r="S599">
        <f>IFERROR(INDEX(PP_Grid[#Data],$DD599,17),0)</f>
        <v/>
      </c>
      <c r="T599">
        <f>IFERROR(INDEX(PP_Grid[#Data],$DD599,18),0)</f>
        <v/>
      </c>
      <c r="U599">
        <f>IFERROR(INDEX(PP_Grid[#Data],$DD599,19),0)</f>
        <v/>
      </c>
      <c r="V599">
        <f>IFERROR(INDEX(PP_Grid[#Data],$DD599,20),0)</f>
        <v/>
      </c>
      <c r="W599">
        <f>IFERROR(INDEX(PP_Grid[#Data],$DD599,21),0)</f>
        <v/>
      </c>
      <c r="X599">
        <f>IFERROR(INDEX(PP_Grid[#Data],$DD599,22),0)</f>
        <v/>
      </c>
      <c r="Y599">
        <f>IFERROR(INDEX(PP_Grid[#Data],$DD599,23),0)</f>
        <v/>
      </c>
      <c r="Z599">
        <f>IFERROR(INDEX(PP_Grid[#Data],$DD599,24),0)</f>
        <v/>
      </c>
      <c r="AA599">
        <f>IFERROR(INDEX(PP_Grid[#Data],$DD599,25),0)</f>
        <v/>
      </c>
      <c r="AB599">
        <f>IFERROR(INDEX(PP_Grid[#Data],$DD599,26),0)</f>
        <v/>
      </c>
      <c r="AC599">
        <f>IFERROR(INDEX(PP_Grid[#Data],$DD599,27),0)</f>
        <v/>
      </c>
      <c r="AD599">
        <f>IFERROR(INDEX(PP_Grid[#Data],$DD599,28),0)</f>
        <v/>
      </c>
      <c r="AE599">
        <f>IFERROR(INDEX(PP_Grid[#Data],$DD599,29),0)</f>
        <v/>
      </c>
      <c r="AF599">
        <f>IFERROR(INDEX(PP_Grid[#Data],$DD599,30),0)</f>
        <v/>
      </c>
      <c r="AG599">
        <f>IFERROR(INDEX(PP_Grid[#Data],$DD599,31),0)</f>
        <v/>
      </c>
      <c r="AH599">
        <f>IFERROR(INDEX(PP_Grid[#Data],$DD599,32),0)</f>
        <v/>
      </c>
      <c r="AI599">
        <f>IFERROR(INDEX(PP_Grid[#Data],$DD599,33),0)</f>
        <v/>
      </c>
      <c r="AJ599">
        <f>IFERROR(INDEX(PP_Grid[#Data],$DD599,34),0)</f>
        <v/>
      </c>
      <c r="AK599">
        <f>IFERROR(INDEX(PP_Grid[#Data],$DD599,35),0)</f>
        <v/>
      </c>
      <c r="AL599">
        <f>IFERROR(INDEX(PP_Grid[#Data],$DD599,36),0)</f>
        <v/>
      </c>
      <c r="AM599">
        <f>IFERROR(INDEX(PP_Grid[#Data],$DD599,37),0)</f>
        <v/>
      </c>
      <c r="AN599">
        <f>IFERROR(INDEX(PP_Grid[#Data],$DD599,38),0)</f>
        <v/>
      </c>
      <c r="AO599">
        <f>IFERROR(INDEX(PP_Grid[#Data],$DD599,39),0)</f>
        <v/>
      </c>
      <c r="AP599">
        <f>IFERROR(INDEX(PP_Grid[#Data],$DD599,40),0)</f>
        <v/>
      </c>
      <c r="AQ599">
        <f>IFERROR(INDEX(PP_Grid[#Data],$DD599,41),0)</f>
        <v/>
      </c>
      <c r="AR599">
        <f>IFERROR(INDEX(PP_Grid[#Data],$DD599,42),0)</f>
        <v/>
      </c>
      <c r="AS599">
        <f>IFERROR(INDEX(PP_Grid[#Data],$DD599,43),0)</f>
        <v/>
      </c>
      <c r="AT599">
        <f>IFERROR(INDEX(PP_Grid[#Data],$DD599,44),0)</f>
        <v/>
      </c>
      <c r="AU599">
        <f>IFERROR(INDEX(PP_Grid[#Data],$DD599,45),0)</f>
        <v/>
      </c>
      <c r="AV599">
        <f>IFERROR(INDEX(PP_Grid[#Data],$DD599,46),0)</f>
        <v/>
      </c>
      <c r="AW599">
        <f>IFERROR(INDEX(PP_Grid[#Data],$DD599,47),0)</f>
        <v/>
      </c>
      <c r="AX599">
        <f>IFERROR(INDEX(PP_Grid[#Data],$DD599,48),0)</f>
        <v/>
      </c>
      <c r="AY599">
        <f>IFERROR(INDEX(PP_Grid[#Data],$DD599,49),0)</f>
        <v/>
      </c>
      <c r="AZ599">
        <f>IFERROR(INDEX(PP_Grid[#Data],$DD599,50),0)</f>
        <v/>
      </c>
      <c r="BA599">
        <f>IFERROR(INDEX(PP_Grid[#Data],$DD599,51),0)</f>
        <v/>
      </c>
      <c r="BB599">
        <f>IFERROR(INDEX(PP_Grid[#Data],$DD599,52),0)</f>
        <v/>
      </c>
      <c r="BC599">
        <f>IFERROR(INDEX(PP_Grid[#Data],$DD599,53),0)</f>
        <v/>
      </c>
      <c r="BD599">
        <f>IFERROR(INDEX(PP_Grid[#Data],$DD599,54),0)</f>
        <v/>
      </c>
      <c r="BE599">
        <f>IFERROR(INDEX(PP_Grid[#Data],$DD599,55),0)</f>
        <v/>
      </c>
      <c r="BF599">
        <f>IFERROR(INDEX(PP_Grid[#Data],$DD599,56),0)</f>
        <v/>
      </c>
      <c r="BG599">
        <f>IFERROR(INDEX(PP_Grid[#Data],$DD599,57),0)</f>
        <v/>
      </c>
      <c r="BH599">
        <f>IFERROR(INDEX(PP_Grid[#Data],$DD599,58),0)</f>
        <v/>
      </c>
      <c r="BI599">
        <f>IFERROR(INDEX(PP_Grid[#Data],$DD599,59),0)</f>
        <v/>
      </c>
      <c r="BJ599">
        <f>IFERROR(INDEX(PP_Grid[#Data],$DD599,60),0)</f>
        <v/>
      </c>
      <c r="BK599">
        <f>IFERROR(INDEX(PP_Grid[#Data],$DD599,61),0)</f>
        <v/>
      </c>
      <c r="BL599">
        <f>IFERROR(INDEX(PP_Grid[#Data],$DD599,62),0)</f>
        <v/>
      </c>
      <c r="BM599">
        <f>IFERROR(INDEX(PP_Grid[#Data],$DD599,63),0)</f>
        <v/>
      </c>
      <c r="BN599">
        <f>IFERROR(INDEX(PP_Grid[#Data],$DD599,64),0)</f>
        <v/>
      </c>
      <c r="BO599">
        <f>IFERROR(INDEX(PP_Grid[#Data],$DD599,65),0)</f>
        <v/>
      </c>
      <c r="BP599">
        <f>IFERROR(INDEX(PP_Grid[#Data],$DD599,66),0)</f>
        <v/>
      </c>
      <c r="BQ599">
        <f>IFERROR(INDEX(PP_Grid[#Data],$DD599,67),0)</f>
        <v/>
      </c>
      <c r="BR599">
        <f>IFERROR(INDEX(PP_Grid[#Data],$DD599,68),0)</f>
        <v/>
      </c>
      <c r="BS599">
        <f>IFERROR(INDEX(PP_Grid[#Data],$DD599,69),0)</f>
        <v/>
      </c>
      <c r="BT599">
        <f>IFERROR(INDEX(PP_Grid[#Data],$DD599,70),0)</f>
        <v/>
      </c>
      <c r="BU599">
        <f>IFERROR(INDEX(PP_Grid[#Data],$DD599,71),0)</f>
        <v/>
      </c>
      <c r="BV599">
        <f>IFERROR(INDEX(PP_Grid[#Data],$DD599,72),0)</f>
        <v/>
      </c>
      <c r="BW599">
        <f>IFERROR(INDEX(PP_Grid[#Data],$DD599,73),0)</f>
        <v/>
      </c>
      <c r="BX599">
        <f>IFERROR(INDEX(PP_Grid[#Data],$DD599,74),0)</f>
        <v/>
      </c>
      <c r="BY599">
        <f>IFERROR(INDEX(PP_Grid[#Data],$DD599,75),0)</f>
        <v/>
      </c>
      <c r="BZ599">
        <f>IFERROR(INDEX(PP_Grid[#Data],$DD599,76),0)</f>
        <v/>
      </c>
      <c r="CA599">
        <f>IFERROR(INDEX(PP_Grid[#Data],$DD599,77),0)</f>
        <v/>
      </c>
      <c r="CB599">
        <f>IFERROR(INDEX(PP_Grid[#Data],$DD599,78),0)</f>
        <v/>
      </c>
      <c r="CC599">
        <f>IFERROR(INDEX(PP_Grid[#Data],$DD599,79),0)</f>
        <v/>
      </c>
      <c r="CD599">
        <f>IFERROR(INDEX(PP_Grid[#Data],$DD599,80),0)</f>
        <v/>
      </c>
      <c r="CE599">
        <f>IFERROR(INDEX(PP_Grid[#Data],$DD599,81),0)</f>
        <v/>
      </c>
      <c r="CF599">
        <f>IFERROR(INDEX(PP_Grid[#Data],$DD599,82),0)</f>
        <v/>
      </c>
      <c r="CG599">
        <f>IFERROR(INDEX(PP_Grid[#Data],$DD599,83),0)</f>
        <v/>
      </c>
      <c r="CH599">
        <f>IFERROR(INDEX(PP_Grid[#Data],$DD599,84),0)</f>
        <v/>
      </c>
      <c r="CI599">
        <f>IFERROR(INDEX(PP_Grid[#Data],$DD599,85),0)</f>
        <v/>
      </c>
      <c r="CJ599">
        <f>IFERROR(INDEX(PP_Grid[#Data],$DD599,86),0)</f>
        <v/>
      </c>
      <c r="CK599">
        <f>IFERROR(INDEX(PP_Grid[#Data],$DD599,87),0)</f>
        <v/>
      </c>
      <c r="CL599">
        <f>IFERROR(INDEX(PP_Grid[#Data],$DD599,88),0)</f>
        <v/>
      </c>
      <c r="CM599">
        <f>IFERROR(INDEX(PP_Grid[#Data],$DD599,89),0)</f>
        <v/>
      </c>
      <c r="CN599">
        <f>IFERROR(INDEX(PP_Grid[#Data],$DD599,90),0)</f>
        <v/>
      </c>
      <c r="CO599">
        <f>IFERROR(INDEX(PP_Grid[#Data],$DD599,91),0)</f>
        <v/>
      </c>
      <c r="CP599">
        <f>IFERROR(INDEX(PP_Grid[#Data],$DD599,92),0)</f>
        <v/>
      </c>
      <c r="CQ599">
        <f>IFERROR(INDEX(PP_Grid[#Data],$DD599,93),0)</f>
        <v/>
      </c>
      <c r="CR599">
        <f>IFERROR(INDEX(PP_Grid[#Data],$DD599,94),0)</f>
        <v/>
      </c>
      <c r="CS599">
        <f>IFERROR(INDEX(PP_Grid[#Data],$DD599,95),0)</f>
        <v/>
      </c>
      <c r="CT599">
        <f>IFERROR(INDEX(PP_Grid[#Data],$DD599,96),0)</f>
        <v/>
      </c>
      <c r="CU599">
        <f>IFERROR(INDEX(PP_Grid[#Data],$DD599,97),0)</f>
        <v/>
      </c>
      <c r="CV599">
        <f>IFERROR(INDEX(PP_Grid[#Data],$DD599,98),0)</f>
        <v/>
      </c>
      <c r="CW599">
        <f>IFERROR(INDEX(PP_Grid[#Data],$DD599,99),0)</f>
        <v/>
      </c>
      <c r="CX599">
        <f>IFERROR(INDEX(PP_Grid[#Data],$DD599,100),0)</f>
        <v/>
      </c>
      <c r="CY599">
        <f>IFERROR(INDEX(PP_Grid[#Data],$DD599,101),0)</f>
        <v/>
      </c>
      <c r="CZ599">
        <f>IFERROR(INDEX(PP_Grid[#Data],$DD599,102),0)</f>
        <v/>
      </c>
      <c r="DA599">
        <f>IFERROR(INDEX(PP_Grid[#Data],$DD599,103),0)</f>
        <v/>
      </c>
      <c r="DB599">
        <f>IFERROR(INDEX(PP_Grid[#Data],$DD599,104),0)</f>
        <v/>
      </c>
      <c r="DC599">
        <f>IFERROR(INDEX(PP_Grid[#Data],$DD599,105),0)</f>
        <v/>
      </c>
      <c r="DD599" s="7">
        <f>IFERROR(MATCH($B599,PP_Grid[Intermediate],0),99999)</f>
        <v/>
      </c>
    </row>
    <row r="600">
      <c r="B600" t="inlineStr">
        <is>
          <t>使用量(kg)</t>
        </is>
      </c>
      <c r="C600">
        <f>SUMIFS(M_BOM[RM_Qty_Per_Batch],M_BOM[Intermediate],$B599,M_BOM[Part Name],$A580)</f>
        <v/>
      </c>
      <c r="D600">
        <f>$C600*D599</f>
        <v/>
      </c>
      <c r="E600">
        <f>$C600*E599</f>
        <v/>
      </c>
      <c r="F600">
        <f>$C600*F599</f>
        <v/>
      </c>
      <c r="G600">
        <f>$C600*G599</f>
        <v/>
      </c>
      <c r="H600">
        <f>$C600*H599</f>
        <v/>
      </c>
      <c r="I600">
        <f>$C600*I599</f>
        <v/>
      </c>
      <c r="J600">
        <f>$C600*J599</f>
        <v/>
      </c>
      <c r="K600">
        <f>$C600*K599</f>
        <v/>
      </c>
      <c r="L600">
        <f>$C600*L599</f>
        <v/>
      </c>
      <c r="M600">
        <f>$C600*M599</f>
        <v/>
      </c>
      <c r="N600">
        <f>$C600*N599</f>
        <v/>
      </c>
      <c r="O600">
        <f>$C600*O599</f>
        <v/>
      </c>
      <c r="P600">
        <f>$C600*P599</f>
        <v/>
      </c>
      <c r="Q600">
        <f>$C600*Q599</f>
        <v/>
      </c>
      <c r="R600">
        <f>$C600*R599</f>
        <v/>
      </c>
      <c r="S600">
        <f>$C600*S599</f>
        <v/>
      </c>
      <c r="T600">
        <f>$C600*T599</f>
        <v/>
      </c>
      <c r="U600">
        <f>$C600*U599</f>
        <v/>
      </c>
      <c r="V600">
        <f>$C600*V599</f>
        <v/>
      </c>
      <c r="W600">
        <f>$C600*W599</f>
        <v/>
      </c>
      <c r="X600">
        <f>$C600*X599</f>
        <v/>
      </c>
      <c r="Y600">
        <f>$C600*Y599</f>
        <v/>
      </c>
      <c r="Z600">
        <f>$C600*Z599</f>
        <v/>
      </c>
      <c r="AA600">
        <f>$C600*AA599</f>
        <v/>
      </c>
      <c r="AB600">
        <f>$C600*AB599</f>
        <v/>
      </c>
      <c r="AC600">
        <f>$C600*AC599</f>
        <v/>
      </c>
      <c r="AD600">
        <f>$C600*AD599</f>
        <v/>
      </c>
      <c r="AE600">
        <f>$C600*AE599</f>
        <v/>
      </c>
      <c r="AF600">
        <f>$C600*AF599</f>
        <v/>
      </c>
      <c r="AG600">
        <f>$C600*AG599</f>
        <v/>
      </c>
      <c r="AH600">
        <f>$C600*AH599</f>
        <v/>
      </c>
      <c r="AI600">
        <f>$C600*AI599</f>
        <v/>
      </c>
      <c r="AJ600">
        <f>$C600*AJ599</f>
        <v/>
      </c>
      <c r="AK600">
        <f>$C600*AK599</f>
        <v/>
      </c>
      <c r="AL600">
        <f>$C600*AL599</f>
        <v/>
      </c>
      <c r="AM600">
        <f>$C600*AM599</f>
        <v/>
      </c>
      <c r="AN600">
        <f>$C600*AN599</f>
        <v/>
      </c>
      <c r="AO600">
        <f>$C600*AO599</f>
        <v/>
      </c>
      <c r="AP600">
        <f>$C600*AP599</f>
        <v/>
      </c>
      <c r="AQ600">
        <f>$C600*AQ599</f>
        <v/>
      </c>
      <c r="AR600">
        <f>$C600*AR599</f>
        <v/>
      </c>
      <c r="AS600">
        <f>$C600*AS599</f>
        <v/>
      </c>
      <c r="AT600">
        <f>$C600*AT599</f>
        <v/>
      </c>
      <c r="AU600">
        <f>$C600*AU599</f>
        <v/>
      </c>
      <c r="AV600">
        <f>$C600*AV599</f>
        <v/>
      </c>
      <c r="AW600">
        <f>$C600*AW599</f>
        <v/>
      </c>
      <c r="AX600">
        <f>$C600*AX599</f>
        <v/>
      </c>
      <c r="AY600">
        <f>$C600*AY599</f>
        <v/>
      </c>
      <c r="AZ600">
        <f>$C600*AZ599</f>
        <v/>
      </c>
      <c r="BA600">
        <f>$C600*BA599</f>
        <v/>
      </c>
      <c r="BB600">
        <f>$C600*BB599</f>
        <v/>
      </c>
      <c r="BC600">
        <f>$C600*BC599</f>
        <v/>
      </c>
      <c r="BD600">
        <f>$C600*BD599</f>
        <v/>
      </c>
      <c r="BE600">
        <f>$C600*BE599</f>
        <v/>
      </c>
      <c r="BF600">
        <f>$C600*BF599</f>
        <v/>
      </c>
      <c r="BG600">
        <f>$C600*BG599</f>
        <v/>
      </c>
      <c r="BH600">
        <f>$C600*BH599</f>
        <v/>
      </c>
      <c r="BI600">
        <f>$C600*BI599</f>
        <v/>
      </c>
      <c r="BJ600">
        <f>$C600*BJ599</f>
        <v/>
      </c>
      <c r="BK600">
        <f>$C600*BK599</f>
        <v/>
      </c>
      <c r="BL600">
        <f>$C600*BL599</f>
        <v/>
      </c>
      <c r="BM600">
        <f>$C600*BM599</f>
        <v/>
      </c>
      <c r="BN600">
        <f>$C600*BN599</f>
        <v/>
      </c>
      <c r="BO600">
        <f>$C600*BO599</f>
        <v/>
      </c>
      <c r="BP600">
        <f>$C600*BP599</f>
        <v/>
      </c>
      <c r="BQ600">
        <f>$C600*BQ599</f>
        <v/>
      </c>
      <c r="BR600">
        <f>$C600*BR599</f>
        <v/>
      </c>
      <c r="BS600">
        <f>$C600*BS599</f>
        <v/>
      </c>
      <c r="BT600">
        <f>$C600*BT599</f>
        <v/>
      </c>
      <c r="BU600">
        <f>$C600*BU599</f>
        <v/>
      </c>
      <c r="BV600">
        <f>$C600*BV599</f>
        <v/>
      </c>
      <c r="BW600">
        <f>$C600*BW599</f>
        <v/>
      </c>
      <c r="BX600">
        <f>$C600*BX599</f>
        <v/>
      </c>
      <c r="BY600">
        <f>$C600*BY599</f>
        <v/>
      </c>
      <c r="BZ600">
        <f>$C600*BZ599</f>
        <v/>
      </c>
      <c r="CA600">
        <f>$C600*CA599</f>
        <v/>
      </c>
      <c r="CB600">
        <f>$C600*CB599</f>
        <v/>
      </c>
      <c r="CC600">
        <f>$C600*CC599</f>
        <v/>
      </c>
      <c r="CD600">
        <f>$C600*CD599</f>
        <v/>
      </c>
      <c r="CE600">
        <f>$C600*CE599</f>
        <v/>
      </c>
      <c r="CF600">
        <f>$C600*CF599</f>
        <v/>
      </c>
      <c r="CG600">
        <f>$C600*CG599</f>
        <v/>
      </c>
      <c r="CH600">
        <f>$C600*CH599</f>
        <v/>
      </c>
      <c r="CI600">
        <f>$C600*CI599</f>
        <v/>
      </c>
      <c r="CJ600">
        <f>$C600*CJ599</f>
        <v/>
      </c>
      <c r="CK600">
        <f>$C600*CK599</f>
        <v/>
      </c>
      <c r="CL600">
        <f>$C600*CL599</f>
        <v/>
      </c>
      <c r="CM600">
        <f>$C600*CM599</f>
        <v/>
      </c>
      <c r="CN600">
        <f>$C600*CN599</f>
        <v/>
      </c>
      <c r="CO600">
        <f>$C600*CO599</f>
        <v/>
      </c>
      <c r="CP600">
        <f>$C600*CP599</f>
        <v/>
      </c>
      <c r="CQ600">
        <f>$C600*CQ599</f>
        <v/>
      </c>
      <c r="CR600">
        <f>$C600*CR599</f>
        <v/>
      </c>
      <c r="CS600">
        <f>$C600*CS599</f>
        <v/>
      </c>
      <c r="CT600">
        <f>$C600*CT599</f>
        <v/>
      </c>
      <c r="CU600">
        <f>$C600*CU599</f>
        <v/>
      </c>
      <c r="CV600">
        <f>$C600*CV599</f>
        <v/>
      </c>
      <c r="CW600">
        <f>$C600*CW599</f>
        <v/>
      </c>
      <c r="CX600">
        <f>$C600*CX599</f>
        <v/>
      </c>
      <c r="CY600">
        <f>$C600*CY599</f>
        <v/>
      </c>
      <c r="CZ600">
        <f>$C600*CZ599</f>
        <v/>
      </c>
      <c r="DA600">
        <f>$C600*DA599</f>
        <v/>
      </c>
      <c r="DB600">
        <f>$C600*DB599</f>
        <v/>
      </c>
      <c r="DC600">
        <f>$C600*DC599</f>
        <v/>
      </c>
    </row>
    <row r="601">
      <c r="B601" t="inlineStr">
        <is>
          <t>VSP-739</t>
        </is>
      </c>
      <c r="C601" t="inlineStr">
        <is>
          <t>No. of batches</t>
        </is>
      </c>
      <c r="D601">
        <f>IFERROR(INDEX(PP_Grid[#Data],$DD601,2),0)</f>
        <v/>
      </c>
      <c r="E601">
        <f>IFERROR(INDEX(PP_Grid[#Data],$DD601,3),0)</f>
        <v/>
      </c>
      <c r="F601">
        <f>IFERROR(INDEX(PP_Grid[#Data],$DD601,4),0)</f>
        <v/>
      </c>
      <c r="G601">
        <f>IFERROR(INDEX(PP_Grid[#Data],$DD601,5),0)</f>
        <v/>
      </c>
      <c r="H601">
        <f>IFERROR(INDEX(PP_Grid[#Data],$DD601,6),0)</f>
        <v/>
      </c>
      <c r="I601">
        <f>IFERROR(INDEX(PP_Grid[#Data],$DD601,7),0)</f>
        <v/>
      </c>
      <c r="J601">
        <f>IFERROR(INDEX(PP_Grid[#Data],$DD601,8),0)</f>
        <v/>
      </c>
      <c r="K601">
        <f>IFERROR(INDEX(PP_Grid[#Data],$DD601,9),0)</f>
        <v/>
      </c>
      <c r="L601">
        <f>IFERROR(INDEX(PP_Grid[#Data],$DD601,10),0)</f>
        <v/>
      </c>
      <c r="M601">
        <f>IFERROR(INDEX(PP_Grid[#Data],$DD601,11),0)</f>
        <v/>
      </c>
      <c r="N601">
        <f>IFERROR(INDEX(PP_Grid[#Data],$DD601,12),0)</f>
        <v/>
      </c>
      <c r="O601">
        <f>IFERROR(INDEX(PP_Grid[#Data],$DD601,13),0)</f>
        <v/>
      </c>
      <c r="P601">
        <f>IFERROR(INDEX(PP_Grid[#Data],$DD601,14),0)</f>
        <v/>
      </c>
      <c r="Q601">
        <f>IFERROR(INDEX(PP_Grid[#Data],$DD601,15),0)</f>
        <v/>
      </c>
      <c r="R601">
        <f>IFERROR(INDEX(PP_Grid[#Data],$DD601,16),0)</f>
        <v/>
      </c>
      <c r="S601">
        <f>IFERROR(INDEX(PP_Grid[#Data],$DD601,17),0)</f>
        <v/>
      </c>
      <c r="T601">
        <f>IFERROR(INDEX(PP_Grid[#Data],$DD601,18),0)</f>
        <v/>
      </c>
      <c r="U601">
        <f>IFERROR(INDEX(PP_Grid[#Data],$DD601,19),0)</f>
        <v/>
      </c>
      <c r="V601">
        <f>IFERROR(INDEX(PP_Grid[#Data],$DD601,20),0)</f>
        <v/>
      </c>
      <c r="W601">
        <f>IFERROR(INDEX(PP_Grid[#Data],$DD601,21),0)</f>
        <v/>
      </c>
      <c r="X601">
        <f>IFERROR(INDEX(PP_Grid[#Data],$DD601,22),0)</f>
        <v/>
      </c>
      <c r="Y601">
        <f>IFERROR(INDEX(PP_Grid[#Data],$DD601,23),0)</f>
        <v/>
      </c>
      <c r="Z601">
        <f>IFERROR(INDEX(PP_Grid[#Data],$DD601,24),0)</f>
        <v/>
      </c>
      <c r="AA601">
        <f>IFERROR(INDEX(PP_Grid[#Data],$DD601,25),0)</f>
        <v/>
      </c>
      <c r="AB601">
        <f>IFERROR(INDEX(PP_Grid[#Data],$DD601,26),0)</f>
        <v/>
      </c>
      <c r="AC601">
        <f>IFERROR(INDEX(PP_Grid[#Data],$DD601,27),0)</f>
        <v/>
      </c>
      <c r="AD601">
        <f>IFERROR(INDEX(PP_Grid[#Data],$DD601,28),0)</f>
        <v/>
      </c>
      <c r="AE601">
        <f>IFERROR(INDEX(PP_Grid[#Data],$DD601,29),0)</f>
        <v/>
      </c>
      <c r="AF601">
        <f>IFERROR(INDEX(PP_Grid[#Data],$DD601,30),0)</f>
        <v/>
      </c>
      <c r="AG601">
        <f>IFERROR(INDEX(PP_Grid[#Data],$DD601,31),0)</f>
        <v/>
      </c>
      <c r="AH601">
        <f>IFERROR(INDEX(PP_Grid[#Data],$DD601,32),0)</f>
        <v/>
      </c>
      <c r="AI601">
        <f>IFERROR(INDEX(PP_Grid[#Data],$DD601,33),0)</f>
        <v/>
      </c>
      <c r="AJ601">
        <f>IFERROR(INDEX(PP_Grid[#Data],$DD601,34),0)</f>
        <v/>
      </c>
      <c r="AK601">
        <f>IFERROR(INDEX(PP_Grid[#Data],$DD601,35),0)</f>
        <v/>
      </c>
      <c r="AL601">
        <f>IFERROR(INDEX(PP_Grid[#Data],$DD601,36),0)</f>
        <v/>
      </c>
      <c r="AM601">
        <f>IFERROR(INDEX(PP_Grid[#Data],$DD601,37),0)</f>
        <v/>
      </c>
      <c r="AN601">
        <f>IFERROR(INDEX(PP_Grid[#Data],$DD601,38),0)</f>
        <v/>
      </c>
      <c r="AO601">
        <f>IFERROR(INDEX(PP_Grid[#Data],$DD601,39),0)</f>
        <v/>
      </c>
      <c r="AP601">
        <f>IFERROR(INDEX(PP_Grid[#Data],$DD601,40),0)</f>
        <v/>
      </c>
      <c r="AQ601">
        <f>IFERROR(INDEX(PP_Grid[#Data],$DD601,41),0)</f>
        <v/>
      </c>
      <c r="AR601">
        <f>IFERROR(INDEX(PP_Grid[#Data],$DD601,42),0)</f>
        <v/>
      </c>
      <c r="AS601">
        <f>IFERROR(INDEX(PP_Grid[#Data],$DD601,43),0)</f>
        <v/>
      </c>
      <c r="AT601">
        <f>IFERROR(INDEX(PP_Grid[#Data],$DD601,44),0)</f>
        <v/>
      </c>
      <c r="AU601">
        <f>IFERROR(INDEX(PP_Grid[#Data],$DD601,45),0)</f>
        <v/>
      </c>
      <c r="AV601">
        <f>IFERROR(INDEX(PP_Grid[#Data],$DD601,46),0)</f>
        <v/>
      </c>
      <c r="AW601">
        <f>IFERROR(INDEX(PP_Grid[#Data],$DD601,47),0)</f>
        <v/>
      </c>
      <c r="AX601">
        <f>IFERROR(INDEX(PP_Grid[#Data],$DD601,48),0)</f>
        <v/>
      </c>
      <c r="AY601">
        <f>IFERROR(INDEX(PP_Grid[#Data],$DD601,49),0)</f>
        <v/>
      </c>
      <c r="AZ601">
        <f>IFERROR(INDEX(PP_Grid[#Data],$DD601,50),0)</f>
        <v/>
      </c>
      <c r="BA601">
        <f>IFERROR(INDEX(PP_Grid[#Data],$DD601,51),0)</f>
        <v/>
      </c>
      <c r="BB601">
        <f>IFERROR(INDEX(PP_Grid[#Data],$DD601,52),0)</f>
        <v/>
      </c>
      <c r="BC601">
        <f>IFERROR(INDEX(PP_Grid[#Data],$DD601,53),0)</f>
        <v/>
      </c>
      <c r="BD601">
        <f>IFERROR(INDEX(PP_Grid[#Data],$DD601,54),0)</f>
        <v/>
      </c>
      <c r="BE601">
        <f>IFERROR(INDEX(PP_Grid[#Data],$DD601,55),0)</f>
        <v/>
      </c>
      <c r="BF601">
        <f>IFERROR(INDEX(PP_Grid[#Data],$DD601,56),0)</f>
        <v/>
      </c>
      <c r="BG601">
        <f>IFERROR(INDEX(PP_Grid[#Data],$DD601,57),0)</f>
        <v/>
      </c>
      <c r="BH601">
        <f>IFERROR(INDEX(PP_Grid[#Data],$DD601,58),0)</f>
        <v/>
      </c>
      <c r="BI601">
        <f>IFERROR(INDEX(PP_Grid[#Data],$DD601,59),0)</f>
        <v/>
      </c>
      <c r="BJ601">
        <f>IFERROR(INDEX(PP_Grid[#Data],$DD601,60),0)</f>
        <v/>
      </c>
      <c r="BK601">
        <f>IFERROR(INDEX(PP_Grid[#Data],$DD601,61),0)</f>
        <v/>
      </c>
      <c r="BL601">
        <f>IFERROR(INDEX(PP_Grid[#Data],$DD601,62),0)</f>
        <v/>
      </c>
      <c r="BM601">
        <f>IFERROR(INDEX(PP_Grid[#Data],$DD601,63),0)</f>
        <v/>
      </c>
      <c r="BN601">
        <f>IFERROR(INDEX(PP_Grid[#Data],$DD601,64),0)</f>
        <v/>
      </c>
      <c r="BO601">
        <f>IFERROR(INDEX(PP_Grid[#Data],$DD601,65),0)</f>
        <v/>
      </c>
      <c r="BP601">
        <f>IFERROR(INDEX(PP_Grid[#Data],$DD601,66),0)</f>
        <v/>
      </c>
      <c r="BQ601">
        <f>IFERROR(INDEX(PP_Grid[#Data],$DD601,67),0)</f>
        <v/>
      </c>
      <c r="BR601">
        <f>IFERROR(INDEX(PP_Grid[#Data],$DD601,68),0)</f>
        <v/>
      </c>
      <c r="BS601">
        <f>IFERROR(INDEX(PP_Grid[#Data],$DD601,69),0)</f>
        <v/>
      </c>
      <c r="BT601">
        <f>IFERROR(INDEX(PP_Grid[#Data],$DD601,70),0)</f>
        <v/>
      </c>
      <c r="BU601">
        <f>IFERROR(INDEX(PP_Grid[#Data],$DD601,71),0)</f>
        <v/>
      </c>
      <c r="BV601">
        <f>IFERROR(INDEX(PP_Grid[#Data],$DD601,72),0)</f>
        <v/>
      </c>
      <c r="BW601">
        <f>IFERROR(INDEX(PP_Grid[#Data],$DD601,73),0)</f>
        <v/>
      </c>
      <c r="BX601">
        <f>IFERROR(INDEX(PP_Grid[#Data],$DD601,74),0)</f>
        <v/>
      </c>
      <c r="BY601">
        <f>IFERROR(INDEX(PP_Grid[#Data],$DD601,75),0)</f>
        <v/>
      </c>
      <c r="BZ601">
        <f>IFERROR(INDEX(PP_Grid[#Data],$DD601,76),0)</f>
        <v/>
      </c>
      <c r="CA601">
        <f>IFERROR(INDEX(PP_Grid[#Data],$DD601,77),0)</f>
        <v/>
      </c>
      <c r="CB601">
        <f>IFERROR(INDEX(PP_Grid[#Data],$DD601,78),0)</f>
        <v/>
      </c>
      <c r="CC601">
        <f>IFERROR(INDEX(PP_Grid[#Data],$DD601,79),0)</f>
        <v/>
      </c>
      <c r="CD601">
        <f>IFERROR(INDEX(PP_Grid[#Data],$DD601,80),0)</f>
        <v/>
      </c>
      <c r="CE601">
        <f>IFERROR(INDEX(PP_Grid[#Data],$DD601,81),0)</f>
        <v/>
      </c>
      <c r="CF601">
        <f>IFERROR(INDEX(PP_Grid[#Data],$DD601,82),0)</f>
        <v/>
      </c>
      <c r="CG601">
        <f>IFERROR(INDEX(PP_Grid[#Data],$DD601,83),0)</f>
        <v/>
      </c>
      <c r="CH601">
        <f>IFERROR(INDEX(PP_Grid[#Data],$DD601,84),0)</f>
        <v/>
      </c>
      <c r="CI601">
        <f>IFERROR(INDEX(PP_Grid[#Data],$DD601,85),0)</f>
        <v/>
      </c>
      <c r="CJ601">
        <f>IFERROR(INDEX(PP_Grid[#Data],$DD601,86),0)</f>
        <v/>
      </c>
      <c r="CK601">
        <f>IFERROR(INDEX(PP_Grid[#Data],$DD601,87),0)</f>
        <v/>
      </c>
      <c r="CL601">
        <f>IFERROR(INDEX(PP_Grid[#Data],$DD601,88),0)</f>
        <v/>
      </c>
      <c r="CM601">
        <f>IFERROR(INDEX(PP_Grid[#Data],$DD601,89),0)</f>
        <v/>
      </c>
      <c r="CN601">
        <f>IFERROR(INDEX(PP_Grid[#Data],$DD601,90),0)</f>
        <v/>
      </c>
      <c r="CO601">
        <f>IFERROR(INDEX(PP_Grid[#Data],$DD601,91),0)</f>
        <v/>
      </c>
      <c r="CP601">
        <f>IFERROR(INDEX(PP_Grid[#Data],$DD601,92),0)</f>
        <v/>
      </c>
      <c r="CQ601">
        <f>IFERROR(INDEX(PP_Grid[#Data],$DD601,93),0)</f>
        <v/>
      </c>
      <c r="CR601">
        <f>IFERROR(INDEX(PP_Grid[#Data],$DD601,94),0)</f>
        <v/>
      </c>
      <c r="CS601">
        <f>IFERROR(INDEX(PP_Grid[#Data],$DD601,95),0)</f>
        <v/>
      </c>
      <c r="CT601">
        <f>IFERROR(INDEX(PP_Grid[#Data],$DD601,96),0)</f>
        <v/>
      </c>
      <c r="CU601">
        <f>IFERROR(INDEX(PP_Grid[#Data],$DD601,97),0)</f>
        <v/>
      </c>
      <c r="CV601">
        <f>IFERROR(INDEX(PP_Grid[#Data],$DD601,98),0)</f>
        <v/>
      </c>
      <c r="CW601">
        <f>IFERROR(INDEX(PP_Grid[#Data],$DD601,99),0)</f>
        <v/>
      </c>
      <c r="CX601">
        <f>IFERROR(INDEX(PP_Grid[#Data],$DD601,100),0)</f>
        <v/>
      </c>
      <c r="CY601">
        <f>IFERROR(INDEX(PP_Grid[#Data],$DD601,101),0)</f>
        <v/>
      </c>
      <c r="CZ601">
        <f>IFERROR(INDEX(PP_Grid[#Data],$DD601,102),0)</f>
        <v/>
      </c>
      <c r="DA601">
        <f>IFERROR(INDEX(PP_Grid[#Data],$DD601,103),0)</f>
        <v/>
      </c>
      <c r="DB601">
        <f>IFERROR(INDEX(PP_Grid[#Data],$DD601,104),0)</f>
        <v/>
      </c>
      <c r="DC601">
        <f>IFERROR(INDEX(PP_Grid[#Data],$DD601,105),0)</f>
        <v/>
      </c>
      <c r="DD601" s="7">
        <f>IFERROR(MATCH($B601,PP_Grid[Intermediate],0),99999)</f>
        <v/>
      </c>
    </row>
    <row r="602">
      <c r="B602" t="inlineStr">
        <is>
          <t>使用量(kg)</t>
        </is>
      </c>
      <c r="C602">
        <f>SUMIFS(M_BOM[RM_Qty_Per_Batch],M_BOM[Intermediate],$B601,M_BOM[Part Name],$A580)</f>
        <v/>
      </c>
      <c r="D602">
        <f>$C602*D601</f>
        <v/>
      </c>
      <c r="E602">
        <f>$C602*E601</f>
        <v/>
      </c>
      <c r="F602">
        <f>$C602*F601</f>
        <v/>
      </c>
      <c r="G602">
        <f>$C602*G601</f>
        <v/>
      </c>
      <c r="H602">
        <f>$C602*H601</f>
        <v/>
      </c>
      <c r="I602">
        <f>$C602*I601</f>
        <v/>
      </c>
      <c r="J602">
        <f>$C602*J601</f>
        <v/>
      </c>
      <c r="K602">
        <f>$C602*K601</f>
        <v/>
      </c>
      <c r="L602">
        <f>$C602*L601</f>
        <v/>
      </c>
      <c r="M602">
        <f>$C602*M601</f>
        <v/>
      </c>
      <c r="N602">
        <f>$C602*N601</f>
        <v/>
      </c>
      <c r="O602">
        <f>$C602*O601</f>
        <v/>
      </c>
      <c r="P602">
        <f>$C602*P601</f>
        <v/>
      </c>
      <c r="Q602">
        <f>$C602*Q601</f>
        <v/>
      </c>
      <c r="R602">
        <f>$C602*R601</f>
        <v/>
      </c>
      <c r="S602">
        <f>$C602*S601</f>
        <v/>
      </c>
      <c r="T602">
        <f>$C602*T601</f>
        <v/>
      </c>
      <c r="U602">
        <f>$C602*U601</f>
        <v/>
      </c>
      <c r="V602">
        <f>$C602*V601</f>
        <v/>
      </c>
      <c r="W602">
        <f>$C602*W601</f>
        <v/>
      </c>
      <c r="X602">
        <f>$C602*X601</f>
        <v/>
      </c>
      <c r="Y602">
        <f>$C602*Y601</f>
        <v/>
      </c>
      <c r="Z602">
        <f>$C602*Z601</f>
        <v/>
      </c>
      <c r="AA602">
        <f>$C602*AA601</f>
        <v/>
      </c>
      <c r="AB602">
        <f>$C602*AB601</f>
        <v/>
      </c>
      <c r="AC602">
        <f>$C602*AC601</f>
        <v/>
      </c>
      <c r="AD602">
        <f>$C602*AD601</f>
        <v/>
      </c>
      <c r="AE602">
        <f>$C602*AE601</f>
        <v/>
      </c>
      <c r="AF602">
        <f>$C602*AF601</f>
        <v/>
      </c>
      <c r="AG602">
        <f>$C602*AG601</f>
        <v/>
      </c>
      <c r="AH602">
        <f>$C602*AH601</f>
        <v/>
      </c>
      <c r="AI602">
        <f>$C602*AI601</f>
        <v/>
      </c>
      <c r="AJ602">
        <f>$C602*AJ601</f>
        <v/>
      </c>
      <c r="AK602">
        <f>$C602*AK601</f>
        <v/>
      </c>
      <c r="AL602">
        <f>$C602*AL601</f>
        <v/>
      </c>
      <c r="AM602">
        <f>$C602*AM601</f>
        <v/>
      </c>
      <c r="AN602">
        <f>$C602*AN601</f>
        <v/>
      </c>
      <c r="AO602">
        <f>$C602*AO601</f>
        <v/>
      </c>
      <c r="AP602">
        <f>$C602*AP601</f>
        <v/>
      </c>
      <c r="AQ602">
        <f>$C602*AQ601</f>
        <v/>
      </c>
      <c r="AR602">
        <f>$C602*AR601</f>
        <v/>
      </c>
      <c r="AS602">
        <f>$C602*AS601</f>
        <v/>
      </c>
      <c r="AT602">
        <f>$C602*AT601</f>
        <v/>
      </c>
      <c r="AU602">
        <f>$C602*AU601</f>
        <v/>
      </c>
      <c r="AV602">
        <f>$C602*AV601</f>
        <v/>
      </c>
      <c r="AW602">
        <f>$C602*AW601</f>
        <v/>
      </c>
      <c r="AX602">
        <f>$C602*AX601</f>
        <v/>
      </c>
      <c r="AY602">
        <f>$C602*AY601</f>
        <v/>
      </c>
      <c r="AZ602">
        <f>$C602*AZ601</f>
        <v/>
      </c>
      <c r="BA602">
        <f>$C602*BA601</f>
        <v/>
      </c>
      <c r="BB602">
        <f>$C602*BB601</f>
        <v/>
      </c>
      <c r="BC602">
        <f>$C602*BC601</f>
        <v/>
      </c>
      <c r="BD602">
        <f>$C602*BD601</f>
        <v/>
      </c>
      <c r="BE602">
        <f>$C602*BE601</f>
        <v/>
      </c>
      <c r="BF602">
        <f>$C602*BF601</f>
        <v/>
      </c>
      <c r="BG602">
        <f>$C602*BG601</f>
        <v/>
      </c>
      <c r="BH602">
        <f>$C602*BH601</f>
        <v/>
      </c>
      <c r="BI602">
        <f>$C602*BI601</f>
        <v/>
      </c>
      <c r="BJ602">
        <f>$C602*BJ601</f>
        <v/>
      </c>
      <c r="BK602">
        <f>$C602*BK601</f>
        <v/>
      </c>
      <c r="BL602">
        <f>$C602*BL601</f>
        <v/>
      </c>
      <c r="BM602">
        <f>$C602*BM601</f>
        <v/>
      </c>
      <c r="BN602">
        <f>$C602*BN601</f>
        <v/>
      </c>
      <c r="BO602">
        <f>$C602*BO601</f>
        <v/>
      </c>
      <c r="BP602">
        <f>$C602*BP601</f>
        <v/>
      </c>
      <c r="BQ602">
        <f>$C602*BQ601</f>
        <v/>
      </c>
      <c r="BR602">
        <f>$C602*BR601</f>
        <v/>
      </c>
      <c r="BS602">
        <f>$C602*BS601</f>
        <v/>
      </c>
      <c r="BT602">
        <f>$C602*BT601</f>
        <v/>
      </c>
      <c r="BU602">
        <f>$C602*BU601</f>
        <v/>
      </c>
      <c r="BV602">
        <f>$C602*BV601</f>
        <v/>
      </c>
      <c r="BW602">
        <f>$C602*BW601</f>
        <v/>
      </c>
      <c r="BX602">
        <f>$C602*BX601</f>
        <v/>
      </c>
      <c r="BY602">
        <f>$C602*BY601</f>
        <v/>
      </c>
      <c r="BZ602">
        <f>$C602*BZ601</f>
        <v/>
      </c>
      <c r="CA602">
        <f>$C602*CA601</f>
        <v/>
      </c>
      <c r="CB602">
        <f>$C602*CB601</f>
        <v/>
      </c>
      <c r="CC602">
        <f>$C602*CC601</f>
        <v/>
      </c>
      <c r="CD602">
        <f>$C602*CD601</f>
        <v/>
      </c>
      <c r="CE602">
        <f>$C602*CE601</f>
        <v/>
      </c>
      <c r="CF602">
        <f>$C602*CF601</f>
        <v/>
      </c>
      <c r="CG602">
        <f>$C602*CG601</f>
        <v/>
      </c>
      <c r="CH602">
        <f>$C602*CH601</f>
        <v/>
      </c>
      <c r="CI602">
        <f>$C602*CI601</f>
        <v/>
      </c>
      <c r="CJ602">
        <f>$C602*CJ601</f>
        <v/>
      </c>
      <c r="CK602">
        <f>$C602*CK601</f>
        <v/>
      </c>
      <c r="CL602">
        <f>$C602*CL601</f>
        <v/>
      </c>
      <c r="CM602">
        <f>$C602*CM601</f>
        <v/>
      </c>
      <c r="CN602">
        <f>$C602*CN601</f>
        <v/>
      </c>
      <c r="CO602">
        <f>$C602*CO601</f>
        <v/>
      </c>
      <c r="CP602">
        <f>$C602*CP601</f>
        <v/>
      </c>
      <c r="CQ602">
        <f>$C602*CQ601</f>
        <v/>
      </c>
      <c r="CR602">
        <f>$C602*CR601</f>
        <v/>
      </c>
      <c r="CS602">
        <f>$C602*CS601</f>
        <v/>
      </c>
      <c r="CT602">
        <f>$C602*CT601</f>
        <v/>
      </c>
      <c r="CU602">
        <f>$C602*CU601</f>
        <v/>
      </c>
      <c r="CV602">
        <f>$C602*CV601</f>
        <v/>
      </c>
      <c r="CW602">
        <f>$C602*CW601</f>
        <v/>
      </c>
      <c r="CX602">
        <f>$C602*CX601</f>
        <v/>
      </c>
      <c r="CY602">
        <f>$C602*CY601</f>
        <v/>
      </c>
      <c r="CZ602">
        <f>$C602*CZ601</f>
        <v/>
      </c>
      <c r="DA602">
        <f>$C602*DA601</f>
        <v/>
      </c>
      <c r="DB602">
        <f>$C602*DB601</f>
        <v/>
      </c>
      <c r="DC602">
        <f>$C602*DC601</f>
        <v/>
      </c>
    </row>
    <row r="603">
      <c r="B603" t="inlineStr">
        <is>
          <t>VSP-820</t>
        </is>
      </c>
      <c r="C603" t="inlineStr">
        <is>
          <t>No. of batches</t>
        </is>
      </c>
      <c r="D603">
        <f>IFERROR(INDEX(PP_Grid[#Data],$DD603,2),0)</f>
        <v/>
      </c>
      <c r="E603">
        <f>IFERROR(INDEX(PP_Grid[#Data],$DD603,3),0)</f>
        <v/>
      </c>
      <c r="F603">
        <f>IFERROR(INDEX(PP_Grid[#Data],$DD603,4),0)</f>
        <v/>
      </c>
      <c r="G603">
        <f>IFERROR(INDEX(PP_Grid[#Data],$DD603,5),0)</f>
        <v/>
      </c>
      <c r="H603">
        <f>IFERROR(INDEX(PP_Grid[#Data],$DD603,6),0)</f>
        <v/>
      </c>
      <c r="I603">
        <f>IFERROR(INDEX(PP_Grid[#Data],$DD603,7),0)</f>
        <v/>
      </c>
      <c r="J603">
        <f>IFERROR(INDEX(PP_Grid[#Data],$DD603,8),0)</f>
        <v/>
      </c>
      <c r="K603">
        <f>IFERROR(INDEX(PP_Grid[#Data],$DD603,9),0)</f>
        <v/>
      </c>
      <c r="L603">
        <f>IFERROR(INDEX(PP_Grid[#Data],$DD603,10),0)</f>
        <v/>
      </c>
      <c r="M603">
        <f>IFERROR(INDEX(PP_Grid[#Data],$DD603,11),0)</f>
        <v/>
      </c>
      <c r="N603">
        <f>IFERROR(INDEX(PP_Grid[#Data],$DD603,12),0)</f>
        <v/>
      </c>
      <c r="O603">
        <f>IFERROR(INDEX(PP_Grid[#Data],$DD603,13),0)</f>
        <v/>
      </c>
      <c r="P603">
        <f>IFERROR(INDEX(PP_Grid[#Data],$DD603,14),0)</f>
        <v/>
      </c>
      <c r="Q603">
        <f>IFERROR(INDEX(PP_Grid[#Data],$DD603,15),0)</f>
        <v/>
      </c>
      <c r="R603">
        <f>IFERROR(INDEX(PP_Grid[#Data],$DD603,16),0)</f>
        <v/>
      </c>
      <c r="S603">
        <f>IFERROR(INDEX(PP_Grid[#Data],$DD603,17),0)</f>
        <v/>
      </c>
      <c r="T603">
        <f>IFERROR(INDEX(PP_Grid[#Data],$DD603,18),0)</f>
        <v/>
      </c>
      <c r="U603">
        <f>IFERROR(INDEX(PP_Grid[#Data],$DD603,19),0)</f>
        <v/>
      </c>
      <c r="V603">
        <f>IFERROR(INDEX(PP_Grid[#Data],$DD603,20),0)</f>
        <v/>
      </c>
      <c r="W603">
        <f>IFERROR(INDEX(PP_Grid[#Data],$DD603,21),0)</f>
        <v/>
      </c>
      <c r="X603">
        <f>IFERROR(INDEX(PP_Grid[#Data],$DD603,22),0)</f>
        <v/>
      </c>
      <c r="Y603">
        <f>IFERROR(INDEX(PP_Grid[#Data],$DD603,23),0)</f>
        <v/>
      </c>
      <c r="Z603">
        <f>IFERROR(INDEX(PP_Grid[#Data],$DD603,24),0)</f>
        <v/>
      </c>
      <c r="AA603">
        <f>IFERROR(INDEX(PP_Grid[#Data],$DD603,25),0)</f>
        <v/>
      </c>
      <c r="AB603">
        <f>IFERROR(INDEX(PP_Grid[#Data],$DD603,26),0)</f>
        <v/>
      </c>
      <c r="AC603">
        <f>IFERROR(INDEX(PP_Grid[#Data],$DD603,27),0)</f>
        <v/>
      </c>
      <c r="AD603">
        <f>IFERROR(INDEX(PP_Grid[#Data],$DD603,28),0)</f>
        <v/>
      </c>
      <c r="AE603">
        <f>IFERROR(INDEX(PP_Grid[#Data],$DD603,29),0)</f>
        <v/>
      </c>
      <c r="AF603">
        <f>IFERROR(INDEX(PP_Grid[#Data],$DD603,30),0)</f>
        <v/>
      </c>
      <c r="AG603">
        <f>IFERROR(INDEX(PP_Grid[#Data],$DD603,31),0)</f>
        <v/>
      </c>
      <c r="AH603">
        <f>IFERROR(INDEX(PP_Grid[#Data],$DD603,32),0)</f>
        <v/>
      </c>
      <c r="AI603">
        <f>IFERROR(INDEX(PP_Grid[#Data],$DD603,33),0)</f>
        <v/>
      </c>
      <c r="AJ603">
        <f>IFERROR(INDEX(PP_Grid[#Data],$DD603,34),0)</f>
        <v/>
      </c>
      <c r="AK603">
        <f>IFERROR(INDEX(PP_Grid[#Data],$DD603,35),0)</f>
        <v/>
      </c>
      <c r="AL603">
        <f>IFERROR(INDEX(PP_Grid[#Data],$DD603,36),0)</f>
        <v/>
      </c>
      <c r="AM603">
        <f>IFERROR(INDEX(PP_Grid[#Data],$DD603,37),0)</f>
        <v/>
      </c>
      <c r="AN603">
        <f>IFERROR(INDEX(PP_Grid[#Data],$DD603,38),0)</f>
        <v/>
      </c>
      <c r="AO603">
        <f>IFERROR(INDEX(PP_Grid[#Data],$DD603,39),0)</f>
        <v/>
      </c>
      <c r="AP603">
        <f>IFERROR(INDEX(PP_Grid[#Data],$DD603,40),0)</f>
        <v/>
      </c>
      <c r="AQ603">
        <f>IFERROR(INDEX(PP_Grid[#Data],$DD603,41),0)</f>
        <v/>
      </c>
      <c r="AR603">
        <f>IFERROR(INDEX(PP_Grid[#Data],$DD603,42),0)</f>
        <v/>
      </c>
      <c r="AS603">
        <f>IFERROR(INDEX(PP_Grid[#Data],$DD603,43),0)</f>
        <v/>
      </c>
      <c r="AT603">
        <f>IFERROR(INDEX(PP_Grid[#Data],$DD603,44),0)</f>
        <v/>
      </c>
      <c r="AU603">
        <f>IFERROR(INDEX(PP_Grid[#Data],$DD603,45),0)</f>
        <v/>
      </c>
      <c r="AV603">
        <f>IFERROR(INDEX(PP_Grid[#Data],$DD603,46),0)</f>
        <v/>
      </c>
      <c r="AW603">
        <f>IFERROR(INDEX(PP_Grid[#Data],$DD603,47),0)</f>
        <v/>
      </c>
      <c r="AX603">
        <f>IFERROR(INDEX(PP_Grid[#Data],$DD603,48),0)</f>
        <v/>
      </c>
      <c r="AY603">
        <f>IFERROR(INDEX(PP_Grid[#Data],$DD603,49),0)</f>
        <v/>
      </c>
      <c r="AZ603">
        <f>IFERROR(INDEX(PP_Grid[#Data],$DD603,50),0)</f>
        <v/>
      </c>
      <c r="BA603">
        <f>IFERROR(INDEX(PP_Grid[#Data],$DD603,51),0)</f>
        <v/>
      </c>
      <c r="BB603">
        <f>IFERROR(INDEX(PP_Grid[#Data],$DD603,52),0)</f>
        <v/>
      </c>
      <c r="BC603">
        <f>IFERROR(INDEX(PP_Grid[#Data],$DD603,53),0)</f>
        <v/>
      </c>
      <c r="BD603">
        <f>IFERROR(INDEX(PP_Grid[#Data],$DD603,54),0)</f>
        <v/>
      </c>
      <c r="BE603">
        <f>IFERROR(INDEX(PP_Grid[#Data],$DD603,55),0)</f>
        <v/>
      </c>
      <c r="BF603">
        <f>IFERROR(INDEX(PP_Grid[#Data],$DD603,56),0)</f>
        <v/>
      </c>
      <c r="BG603">
        <f>IFERROR(INDEX(PP_Grid[#Data],$DD603,57),0)</f>
        <v/>
      </c>
      <c r="BH603">
        <f>IFERROR(INDEX(PP_Grid[#Data],$DD603,58),0)</f>
        <v/>
      </c>
      <c r="BI603">
        <f>IFERROR(INDEX(PP_Grid[#Data],$DD603,59),0)</f>
        <v/>
      </c>
      <c r="BJ603">
        <f>IFERROR(INDEX(PP_Grid[#Data],$DD603,60),0)</f>
        <v/>
      </c>
      <c r="BK603">
        <f>IFERROR(INDEX(PP_Grid[#Data],$DD603,61),0)</f>
        <v/>
      </c>
      <c r="BL603">
        <f>IFERROR(INDEX(PP_Grid[#Data],$DD603,62),0)</f>
        <v/>
      </c>
      <c r="BM603">
        <f>IFERROR(INDEX(PP_Grid[#Data],$DD603,63),0)</f>
        <v/>
      </c>
      <c r="BN603">
        <f>IFERROR(INDEX(PP_Grid[#Data],$DD603,64),0)</f>
        <v/>
      </c>
      <c r="BO603">
        <f>IFERROR(INDEX(PP_Grid[#Data],$DD603,65),0)</f>
        <v/>
      </c>
      <c r="BP603">
        <f>IFERROR(INDEX(PP_Grid[#Data],$DD603,66),0)</f>
        <v/>
      </c>
      <c r="BQ603">
        <f>IFERROR(INDEX(PP_Grid[#Data],$DD603,67),0)</f>
        <v/>
      </c>
      <c r="BR603">
        <f>IFERROR(INDEX(PP_Grid[#Data],$DD603,68),0)</f>
        <v/>
      </c>
      <c r="BS603">
        <f>IFERROR(INDEX(PP_Grid[#Data],$DD603,69),0)</f>
        <v/>
      </c>
      <c r="BT603">
        <f>IFERROR(INDEX(PP_Grid[#Data],$DD603,70),0)</f>
        <v/>
      </c>
      <c r="BU603">
        <f>IFERROR(INDEX(PP_Grid[#Data],$DD603,71),0)</f>
        <v/>
      </c>
      <c r="BV603">
        <f>IFERROR(INDEX(PP_Grid[#Data],$DD603,72),0)</f>
        <v/>
      </c>
      <c r="BW603">
        <f>IFERROR(INDEX(PP_Grid[#Data],$DD603,73),0)</f>
        <v/>
      </c>
      <c r="BX603">
        <f>IFERROR(INDEX(PP_Grid[#Data],$DD603,74),0)</f>
        <v/>
      </c>
      <c r="BY603">
        <f>IFERROR(INDEX(PP_Grid[#Data],$DD603,75),0)</f>
        <v/>
      </c>
      <c r="BZ603">
        <f>IFERROR(INDEX(PP_Grid[#Data],$DD603,76),0)</f>
        <v/>
      </c>
      <c r="CA603">
        <f>IFERROR(INDEX(PP_Grid[#Data],$DD603,77),0)</f>
        <v/>
      </c>
      <c r="CB603">
        <f>IFERROR(INDEX(PP_Grid[#Data],$DD603,78),0)</f>
        <v/>
      </c>
      <c r="CC603">
        <f>IFERROR(INDEX(PP_Grid[#Data],$DD603,79),0)</f>
        <v/>
      </c>
      <c r="CD603">
        <f>IFERROR(INDEX(PP_Grid[#Data],$DD603,80),0)</f>
        <v/>
      </c>
      <c r="CE603">
        <f>IFERROR(INDEX(PP_Grid[#Data],$DD603,81),0)</f>
        <v/>
      </c>
      <c r="CF603">
        <f>IFERROR(INDEX(PP_Grid[#Data],$DD603,82),0)</f>
        <v/>
      </c>
      <c r="CG603">
        <f>IFERROR(INDEX(PP_Grid[#Data],$DD603,83),0)</f>
        <v/>
      </c>
      <c r="CH603">
        <f>IFERROR(INDEX(PP_Grid[#Data],$DD603,84),0)</f>
        <v/>
      </c>
      <c r="CI603">
        <f>IFERROR(INDEX(PP_Grid[#Data],$DD603,85),0)</f>
        <v/>
      </c>
      <c r="CJ603">
        <f>IFERROR(INDEX(PP_Grid[#Data],$DD603,86),0)</f>
        <v/>
      </c>
      <c r="CK603">
        <f>IFERROR(INDEX(PP_Grid[#Data],$DD603,87),0)</f>
        <v/>
      </c>
      <c r="CL603">
        <f>IFERROR(INDEX(PP_Grid[#Data],$DD603,88),0)</f>
        <v/>
      </c>
      <c r="CM603">
        <f>IFERROR(INDEX(PP_Grid[#Data],$DD603,89),0)</f>
        <v/>
      </c>
      <c r="CN603">
        <f>IFERROR(INDEX(PP_Grid[#Data],$DD603,90),0)</f>
        <v/>
      </c>
      <c r="CO603">
        <f>IFERROR(INDEX(PP_Grid[#Data],$DD603,91),0)</f>
        <v/>
      </c>
      <c r="CP603">
        <f>IFERROR(INDEX(PP_Grid[#Data],$DD603,92),0)</f>
        <v/>
      </c>
      <c r="CQ603">
        <f>IFERROR(INDEX(PP_Grid[#Data],$DD603,93),0)</f>
        <v/>
      </c>
      <c r="CR603">
        <f>IFERROR(INDEX(PP_Grid[#Data],$DD603,94),0)</f>
        <v/>
      </c>
      <c r="CS603">
        <f>IFERROR(INDEX(PP_Grid[#Data],$DD603,95),0)</f>
        <v/>
      </c>
      <c r="CT603">
        <f>IFERROR(INDEX(PP_Grid[#Data],$DD603,96),0)</f>
        <v/>
      </c>
      <c r="CU603">
        <f>IFERROR(INDEX(PP_Grid[#Data],$DD603,97),0)</f>
        <v/>
      </c>
      <c r="CV603">
        <f>IFERROR(INDEX(PP_Grid[#Data],$DD603,98),0)</f>
        <v/>
      </c>
      <c r="CW603">
        <f>IFERROR(INDEX(PP_Grid[#Data],$DD603,99),0)</f>
        <v/>
      </c>
      <c r="CX603">
        <f>IFERROR(INDEX(PP_Grid[#Data],$DD603,100),0)</f>
        <v/>
      </c>
      <c r="CY603">
        <f>IFERROR(INDEX(PP_Grid[#Data],$DD603,101),0)</f>
        <v/>
      </c>
      <c r="CZ603">
        <f>IFERROR(INDEX(PP_Grid[#Data],$DD603,102),0)</f>
        <v/>
      </c>
      <c r="DA603">
        <f>IFERROR(INDEX(PP_Grid[#Data],$DD603,103),0)</f>
        <v/>
      </c>
      <c r="DB603">
        <f>IFERROR(INDEX(PP_Grid[#Data],$DD603,104),0)</f>
        <v/>
      </c>
      <c r="DC603">
        <f>IFERROR(INDEX(PP_Grid[#Data],$DD603,105),0)</f>
        <v/>
      </c>
      <c r="DD603" s="7">
        <f>IFERROR(MATCH($B603,PP_Grid[Intermediate],0),99999)</f>
        <v/>
      </c>
    </row>
    <row r="604">
      <c r="B604" t="inlineStr">
        <is>
          <t>使用量(kg)</t>
        </is>
      </c>
      <c r="C604">
        <f>SUMIFS(M_BOM[RM_Qty_Per_Batch],M_BOM[Intermediate],$B603,M_BOM[Part Name],$A580)</f>
        <v/>
      </c>
      <c r="D604">
        <f>$C604*D603</f>
        <v/>
      </c>
      <c r="E604">
        <f>$C604*E603</f>
        <v/>
      </c>
      <c r="F604">
        <f>$C604*F603</f>
        <v/>
      </c>
      <c r="G604">
        <f>$C604*G603</f>
        <v/>
      </c>
      <c r="H604">
        <f>$C604*H603</f>
        <v/>
      </c>
      <c r="I604">
        <f>$C604*I603</f>
        <v/>
      </c>
      <c r="J604">
        <f>$C604*J603</f>
        <v/>
      </c>
      <c r="K604">
        <f>$C604*K603</f>
        <v/>
      </c>
      <c r="L604">
        <f>$C604*L603</f>
        <v/>
      </c>
      <c r="M604">
        <f>$C604*M603</f>
        <v/>
      </c>
      <c r="N604">
        <f>$C604*N603</f>
        <v/>
      </c>
      <c r="O604">
        <f>$C604*O603</f>
        <v/>
      </c>
      <c r="P604">
        <f>$C604*P603</f>
        <v/>
      </c>
      <c r="Q604">
        <f>$C604*Q603</f>
        <v/>
      </c>
      <c r="R604">
        <f>$C604*R603</f>
        <v/>
      </c>
      <c r="S604">
        <f>$C604*S603</f>
        <v/>
      </c>
      <c r="T604">
        <f>$C604*T603</f>
        <v/>
      </c>
      <c r="U604">
        <f>$C604*U603</f>
        <v/>
      </c>
      <c r="V604">
        <f>$C604*V603</f>
        <v/>
      </c>
      <c r="W604">
        <f>$C604*W603</f>
        <v/>
      </c>
      <c r="X604">
        <f>$C604*X603</f>
        <v/>
      </c>
      <c r="Y604">
        <f>$C604*Y603</f>
        <v/>
      </c>
      <c r="Z604">
        <f>$C604*Z603</f>
        <v/>
      </c>
      <c r="AA604">
        <f>$C604*AA603</f>
        <v/>
      </c>
      <c r="AB604">
        <f>$C604*AB603</f>
        <v/>
      </c>
      <c r="AC604">
        <f>$C604*AC603</f>
        <v/>
      </c>
      <c r="AD604">
        <f>$C604*AD603</f>
        <v/>
      </c>
      <c r="AE604">
        <f>$C604*AE603</f>
        <v/>
      </c>
      <c r="AF604">
        <f>$C604*AF603</f>
        <v/>
      </c>
      <c r="AG604">
        <f>$C604*AG603</f>
        <v/>
      </c>
      <c r="AH604">
        <f>$C604*AH603</f>
        <v/>
      </c>
      <c r="AI604">
        <f>$C604*AI603</f>
        <v/>
      </c>
      <c r="AJ604">
        <f>$C604*AJ603</f>
        <v/>
      </c>
      <c r="AK604">
        <f>$C604*AK603</f>
        <v/>
      </c>
      <c r="AL604">
        <f>$C604*AL603</f>
        <v/>
      </c>
      <c r="AM604">
        <f>$C604*AM603</f>
        <v/>
      </c>
      <c r="AN604">
        <f>$C604*AN603</f>
        <v/>
      </c>
      <c r="AO604">
        <f>$C604*AO603</f>
        <v/>
      </c>
      <c r="AP604">
        <f>$C604*AP603</f>
        <v/>
      </c>
      <c r="AQ604">
        <f>$C604*AQ603</f>
        <v/>
      </c>
      <c r="AR604">
        <f>$C604*AR603</f>
        <v/>
      </c>
      <c r="AS604">
        <f>$C604*AS603</f>
        <v/>
      </c>
      <c r="AT604">
        <f>$C604*AT603</f>
        <v/>
      </c>
      <c r="AU604">
        <f>$C604*AU603</f>
        <v/>
      </c>
      <c r="AV604">
        <f>$C604*AV603</f>
        <v/>
      </c>
      <c r="AW604">
        <f>$C604*AW603</f>
        <v/>
      </c>
      <c r="AX604">
        <f>$C604*AX603</f>
        <v/>
      </c>
      <c r="AY604">
        <f>$C604*AY603</f>
        <v/>
      </c>
      <c r="AZ604">
        <f>$C604*AZ603</f>
        <v/>
      </c>
      <c r="BA604">
        <f>$C604*BA603</f>
        <v/>
      </c>
      <c r="BB604">
        <f>$C604*BB603</f>
        <v/>
      </c>
      <c r="BC604">
        <f>$C604*BC603</f>
        <v/>
      </c>
      <c r="BD604">
        <f>$C604*BD603</f>
        <v/>
      </c>
      <c r="BE604">
        <f>$C604*BE603</f>
        <v/>
      </c>
      <c r="BF604">
        <f>$C604*BF603</f>
        <v/>
      </c>
      <c r="BG604">
        <f>$C604*BG603</f>
        <v/>
      </c>
      <c r="BH604">
        <f>$C604*BH603</f>
        <v/>
      </c>
      <c r="BI604">
        <f>$C604*BI603</f>
        <v/>
      </c>
      <c r="BJ604">
        <f>$C604*BJ603</f>
        <v/>
      </c>
      <c r="BK604">
        <f>$C604*BK603</f>
        <v/>
      </c>
      <c r="BL604">
        <f>$C604*BL603</f>
        <v/>
      </c>
      <c r="BM604">
        <f>$C604*BM603</f>
        <v/>
      </c>
      <c r="BN604">
        <f>$C604*BN603</f>
        <v/>
      </c>
      <c r="BO604">
        <f>$C604*BO603</f>
        <v/>
      </c>
      <c r="BP604">
        <f>$C604*BP603</f>
        <v/>
      </c>
      <c r="BQ604">
        <f>$C604*BQ603</f>
        <v/>
      </c>
      <c r="BR604">
        <f>$C604*BR603</f>
        <v/>
      </c>
      <c r="BS604">
        <f>$C604*BS603</f>
        <v/>
      </c>
      <c r="BT604">
        <f>$C604*BT603</f>
        <v/>
      </c>
      <c r="BU604">
        <f>$C604*BU603</f>
        <v/>
      </c>
      <c r="BV604">
        <f>$C604*BV603</f>
        <v/>
      </c>
      <c r="BW604">
        <f>$C604*BW603</f>
        <v/>
      </c>
      <c r="BX604">
        <f>$C604*BX603</f>
        <v/>
      </c>
      <c r="BY604">
        <f>$C604*BY603</f>
        <v/>
      </c>
      <c r="BZ604">
        <f>$C604*BZ603</f>
        <v/>
      </c>
      <c r="CA604">
        <f>$C604*CA603</f>
        <v/>
      </c>
      <c r="CB604">
        <f>$C604*CB603</f>
        <v/>
      </c>
      <c r="CC604">
        <f>$C604*CC603</f>
        <v/>
      </c>
      <c r="CD604">
        <f>$C604*CD603</f>
        <v/>
      </c>
      <c r="CE604">
        <f>$C604*CE603</f>
        <v/>
      </c>
      <c r="CF604">
        <f>$C604*CF603</f>
        <v/>
      </c>
      <c r="CG604">
        <f>$C604*CG603</f>
        <v/>
      </c>
      <c r="CH604">
        <f>$C604*CH603</f>
        <v/>
      </c>
      <c r="CI604">
        <f>$C604*CI603</f>
        <v/>
      </c>
      <c r="CJ604">
        <f>$C604*CJ603</f>
        <v/>
      </c>
      <c r="CK604">
        <f>$C604*CK603</f>
        <v/>
      </c>
      <c r="CL604">
        <f>$C604*CL603</f>
        <v/>
      </c>
      <c r="CM604">
        <f>$C604*CM603</f>
        <v/>
      </c>
      <c r="CN604">
        <f>$C604*CN603</f>
        <v/>
      </c>
      <c r="CO604">
        <f>$C604*CO603</f>
        <v/>
      </c>
      <c r="CP604">
        <f>$C604*CP603</f>
        <v/>
      </c>
      <c r="CQ604">
        <f>$C604*CQ603</f>
        <v/>
      </c>
      <c r="CR604">
        <f>$C604*CR603</f>
        <v/>
      </c>
      <c r="CS604">
        <f>$C604*CS603</f>
        <v/>
      </c>
      <c r="CT604">
        <f>$C604*CT603</f>
        <v/>
      </c>
      <c r="CU604">
        <f>$C604*CU603</f>
        <v/>
      </c>
      <c r="CV604">
        <f>$C604*CV603</f>
        <v/>
      </c>
      <c r="CW604">
        <f>$C604*CW603</f>
        <v/>
      </c>
      <c r="CX604">
        <f>$C604*CX603</f>
        <v/>
      </c>
      <c r="CY604">
        <f>$C604*CY603</f>
        <v/>
      </c>
      <c r="CZ604">
        <f>$C604*CZ603</f>
        <v/>
      </c>
      <c r="DA604">
        <f>$C604*DA603</f>
        <v/>
      </c>
      <c r="DB604">
        <f>$C604*DB603</f>
        <v/>
      </c>
      <c r="DC604">
        <f>$C604*DC603</f>
        <v/>
      </c>
    </row>
    <row r="605">
      <c r="B605" t="inlineStr">
        <is>
          <t>VSP-869</t>
        </is>
      </c>
      <c r="C605" t="inlineStr">
        <is>
          <t>No. of batches</t>
        </is>
      </c>
      <c r="D605">
        <f>IFERROR(INDEX(PP_Grid[#Data],$DD605,2),0)</f>
        <v/>
      </c>
      <c r="E605">
        <f>IFERROR(INDEX(PP_Grid[#Data],$DD605,3),0)</f>
        <v/>
      </c>
      <c r="F605">
        <f>IFERROR(INDEX(PP_Grid[#Data],$DD605,4),0)</f>
        <v/>
      </c>
      <c r="G605">
        <f>IFERROR(INDEX(PP_Grid[#Data],$DD605,5),0)</f>
        <v/>
      </c>
      <c r="H605">
        <f>IFERROR(INDEX(PP_Grid[#Data],$DD605,6),0)</f>
        <v/>
      </c>
      <c r="I605">
        <f>IFERROR(INDEX(PP_Grid[#Data],$DD605,7),0)</f>
        <v/>
      </c>
      <c r="J605">
        <f>IFERROR(INDEX(PP_Grid[#Data],$DD605,8),0)</f>
        <v/>
      </c>
      <c r="K605">
        <f>IFERROR(INDEX(PP_Grid[#Data],$DD605,9),0)</f>
        <v/>
      </c>
      <c r="L605">
        <f>IFERROR(INDEX(PP_Grid[#Data],$DD605,10),0)</f>
        <v/>
      </c>
      <c r="M605">
        <f>IFERROR(INDEX(PP_Grid[#Data],$DD605,11),0)</f>
        <v/>
      </c>
      <c r="N605">
        <f>IFERROR(INDEX(PP_Grid[#Data],$DD605,12),0)</f>
        <v/>
      </c>
      <c r="O605">
        <f>IFERROR(INDEX(PP_Grid[#Data],$DD605,13),0)</f>
        <v/>
      </c>
      <c r="P605">
        <f>IFERROR(INDEX(PP_Grid[#Data],$DD605,14),0)</f>
        <v/>
      </c>
      <c r="Q605">
        <f>IFERROR(INDEX(PP_Grid[#Data],$DD605,15),0)</f>
        <v/>
      </c>
      <c r="R605">
        <f>IFERROR(INDEX(PP_Grid[#Data],$DD605,16),0)</f>
        <v/>
      </c>
      <c r="S605">
        <f>IFERROR(INDEX(PP_Grid[#Data],$DD605,17),0)</f>
        <v/>
      </c>
      <c r="T605">
        <f>IFERROR(INDEX(PP_Grid[#Data],$DD605,18),0)</f>
        <v/>
      </c>
      <c r="U605">
        <f>IFERROR(INDEX(PP_Grid[#Data],$DD605,19),0)</f>
        <v/>
      </c>
      <c r="V605">
        <f>IFERROR(INDEX(PP_Grid[#Data],$DD605,20),0)</f>
        <v/>
      </c>
      <c r="W605">
        <f>IFERROR(INDEX(PP_Grid[#Data],$DD605,21),0)</f>
        <v/>
      </c>
      <c r="X605">
        <f>IFERROR(INDEX(PP_Grid[#Data],$DD605,22),0)</f>
        <v/>
      </c>
      <c r="Y605">
        <f>IFERROR(INDEX(PP_Grid[#Data],$DD605,23),0)</f>
        <v/>
      </c>
      <c r="Z605">
        <f>IFERROR(INDEX(PP_Grid[#Data],$DD605,24),0)</f>
        <v/>
      </c>
      <c r="AA605">
        <f>IFERROR(INDEX(PP_Grid[#Data],$DD605,25),0)</f>
        <v/>
      </c>
      <c r="AB605">
        <f>IFERROR(INDEX(PP_Grid[#Data],$DD605,26),0)</f>
        <v/>
      </c>
      <c r="AC605">
        <f>IFERROR(INDEX(PP_Grid[#Data],$DD605,27),0)</f>
        <v/>
      </c>
      <c r="AD605">
        <f>IFERROR(INDEX(PP_Grid[#Data],$DD605,28),0)</f>
        <v/>
      </c>
      <c r="AE605">
        <f>IFERROR(INDEX(PP_Grid[#Data],$DD605,29),0)</f>
        <v/>
      </c>
      <c r="AF605">
        <f>IFERROR(INDEX(PP_Grid[#Data],$DD605,30),0)</f>
        <v/>
      </c>
      <c r="AG605">
        <f>IFERROR(INDEX(PP_Grid[#Data],$DD605,31),0)</f>
        <v/>
      </c>
      <c r="AH605">
        <f>IFERROR(INDEX(PP_Grid[#Data],$DD605,32),0)</f>
        <v/>
      </c>
      <c r="AI605">
        <f>IFERROR(INDEX(PP_Grid[#Data],$DD605,33),0)</f>
        <v/>
      </c>
      <c r="AJ605">
        <f>IFERROR(INDEX(PP_Grid[#Data],$DD605,34),0)</f>
        <v/>
      </c>
      <c r="AK605">
        <f>IFERROR(INDEX(PP_Grid[#Data],$DD605,35),0)</f>
        <v/>
      </c>
      <c r="AL605">
        <f>IFERROR(INDEX(PP_Grid[#Data],$DD605,36),0)</f>
        <v/>
      </c>
      <c r="AM605">
        <f>IFERROR(INDEX(PP_Grid[#Data],$DD605,37),0)</f>
        <v/>
      </c>
      <c r="AN605">
        <f>IFERROR(INDEX(PP_Grid[#Data],$DD605,38),0)</f>
        <v/>
      </c>
      <c r="AO605">
        <f>IFERROR(INDEX(PP_Grid[#Data],$DD605,39),0)</f>
        <v/>
      </c>
      <c r="AP605">
        <f>IFERROR(INDEX(PP_Grid[#Data],$DD605,40),0)</f>
        <v/>
      </c>
      <c r="AQ605">
        <f>IFERROR(INDEX(PP_Grid[#Data],$DD605,41),0)</f>
        <v/>
      </c>
      <c r="AR605">
        <f>IFERROR(INDEX(PP_Grid[#Data],$DD605,42),0)</f>
        <v/>
      </c>
      <c r="AS605">
        <f>IFERROR(INDEX(PP_Grid[#Data],$DD605,43),0)</f>
        <v/>
      </c>
      <c r="AT605">
        <f>IFERROR(INDEX(PP_Grid[#Data],$DD605,44),0)</f>
        <v/>
      </c>
      <c r="AU605">
        <f>IFERROR(INDEX(PP_Grid[#Data],$DD605,45),0)</f>
        <v/>
      </c>
      <c r="AV605">
        <f>IFERROR(INDEX(PP_Grid[#Data],$DD605,46),0)</f>
        <v/>
      </c>
      <c r="AW605">
        <f>IFERROR(INDEX(PP_Grid[#Data],$DD605,47),0)</f>
        <v/>
      </c>
      <c r="AX605">
        <f>IFERROR(INDEX(PP_Grid[#Data],$DD605,48),0)</f>
        <v/>
      </c>
      <c r="AY605">
        <f>IFERROR(INDEX(PP_Grid[#Data],$DD605,49),0)</f>
        <v/>
      </c>
      <c r="AZ605">
        <f>IFERROR(INDEX(PP_Grid[#Data],$DD605,50),0)</f>
        <v/>
      </c>
      <c r="BA605">
        <f>IFERROR(INDEX(PP_Grid[#Data],$DD605,51),0)</f>
        <v/>
      </c>
      <c r="BB605">
        <f>IFERROR(INDEX(PP_Grid[#Data],$DD605,52),0)</f>
        <v/>
      </c>
      <c r="BC605">
        <f>IFERROR(INDEX(PP_Grid[#Data],$DD605,53),0)</f>
        <v/>
      </c>
      <c r="BD605">
        <f>IFERROR(INDEX(PP_Grid[#Data],$DD605,54),0)</f>
        <v/>
      </c>
      <c r="BE605">
        <f>IFERROR(INDEX(PP_Grid[#Data],$DD605,55),0)</f>
        <v/>
      </c>
      <c r="BF605">
        <f>IFERROR(INDEX(PP_Grid[#Data],$DD605,56),0)</f>
        <v/>
      </c>
      <c r="BG605">
        <f>IFERROR(INDEX(PP_Grid[#Data],$DD605,57),0)</f>
        <v/>
      </c>
      <c r="BH605">
        <f>IFERROR(INDEX(PP_Grid[#Data],$DD605,58),0)</f>
        <v/>
      </c>
      <c r="BI605">
        <f>IFERROR(INDEX(PP_Grid[#Data],$DD605,59),0)</f>
        <v/>
      </c>
      <c r="BJ605">
        <f>IFERROR(INDEX(PP_Grid[#Data],$DD605,60),0)</f>
        <v/>
      </c>
      <c r="BK605">
        <f>IFERROR(INDEX(PP_Grid[#Data],$DD605,61),0)</f>
        <v/>
      </c>
      <c r="BL605">
        <f>IFERROR(INDEX(PP_Grid[#Data],$DD605,62),0)</f>
        <v/>
      </c>
      <c r="BM605">
        <f>IFERROR(INDEX(PP_Grid[#Data],$DD605,63),0)</f>
        <v/>
      </c>
      <c r="BN605">
        <f>IFERROR(INDEX(PP_Grid[#Data],$DD605,64),0)</f>
        <v/>
      </c>
      <c r="BO605">
        <f>IFERROR(INDEX(PP_Grid[#Data],$DD605,65),0)</f>
        <v/>
      </c>
      <c r="BP605">
        <f>IFERROR(INDEX(PP_Grid[#Data],$DD605,66),0)</f>
        <v/>
      </c>
      <c r="BQ605">
        <f>IFERROR(INDEX(PP_Grid[#Data],$DD605,67),0)</f>
        <v/>
      </c>
      <c r="BR605">
        <f>IFERROR(INDEX(PP_Grid[#Data],$DD605,68),0)</f>
        <v/>
      </c>
      <c r="BS605">
        <f>IFERROR(INDEX(PP_Grid[#Data],$DD605,69),0)</f>
        <v/>
      </c>
      <c r="BT605">
        <f>IFERROR(INDEX(PP_Grid[#Data],$DD605,70),0)</f>
        <v/>
      </c>
      <c r="BU605">
        <f>IFERROR(INDEX(PP_Grid[#Data],$DD605,71),0)</f>
        <v/>
      </c>
      <c r="BV605">
        <f>IFERROR(INDEX(PP_Grid[#Data],$DD605,72),0)</f>
        <v/>
      </c>
      <c r="BW605">
        <f>IFERROR(INDEX(PP_Grid[#Data],$DD605,73),0)</f>
        <v/>
      </c>
      <c r="BX605">
        <f>IFERROR(INDEX(PP_Grid[#Data],$DD605,74),0)</f>
        <v/>
      </c>
      <c r="BY605">
        <f>IFERROR(INDEX(PP_Grid[#Data],$DD605,75),0)</f>
        <v/>
      </c>
      <c r="BZ605">
        <f>IFERROR(INDEX(PP_Grid[#Data],$DD605,76),0)</f>
        <v/>
      </c>
      <c r="CA605">
        <f>IFERROR(INDEX(PP_Grid[#Data],$DD605,77),0)</f>
        <v/>
      </c>
      <c r="CB605">
        <f>IFERROR(INDEX(PP_Grid[#Data],$DD605,78),0)</f>
        <v/>
      </c>
      <c r="CC605">
        <f>IFERROR(INDEX(PP_Grid[#Data],$DD605,79),0)</f>
        <v/>
      </c>
      <c r="CD605">
        <f>IFERROR(INDEX(PP_Grid[#Data],$DD605,80),0)</f>
        <v/>
      </c>
      <c r="CE605">
        <f>IFERROR(INDEX(PP_Grid[#Data],$DD605,81),0)</f>
        <v/>
      </c>
      <c r="CF605">
        <f>IFERROR(INDEX(PP_Grid[#Data],$DD605,82),0)</f>
        <v/>
      </c>
      <c r="CG605">
        <f>IFERROR(INDEX(PP_Grid[#Data],$DD605,83),0)</f>
        <v/>
      </c>
      <c r="CH605">
        <f>IFERROR(INDEX(PP_Grid[#Data],$DD605,84),0)</f>
        <v/>
      </c>
      <c r="CI605">
        <f>IFERROR(INDEX(PP_Grid[#Data],$DD605,85),0)</f>
        <v/>
      </c>
      <c r="CJ605">
        <f>IFERROR(INDEX(PP_Grid[#Data],$DD605,86),0)</f>
        <v/>
      </c>
      <c r="CK605">
        <f>IFERROR(INDEX(PP_Grid[#Data],$DD605,87),0)</f>
        <v/>
      </c>
      <c r="CL605">
        <f>IFERROR(INDEX(PP_Grid[#Data],$DD605,88),0)</f>
        <v/>
      </c>
      <c r="CM605">
        <f>IFERROR(INDEX(PP_Grid[#Data],$DD605,89),0)</f>
        <v/>
      </c>
      <c r="CN605">
        <f>IFERROR(INDEX(PP_Grid[#Data],$DD605,90),0)</f>
        <v/>
      </c>
      <c r="CO605">
        <f>IFERROR(INDEX(PP_Grid[#Data],$DD605,91),0)</f>
        <v/>
      </c>
      <c r="CP605">
        <f>IFERROR(INDEX(PP_Grid[#Data],$DD605,92),0)</f>
        <v/>
      </c>
      <c r="CQ605">
        <f>IFERROR(INDEX(PP_Grid[#Data],$DD605,93),0)</f>
        <v/>
      </c>
      <c r="CR605">
        <f>IFERROR(INDEX(PP_Grid[#Data],$DD605,94),0)</f>
        <v/>
      </c>
      <c r="CS605">
        <f>IFERROR(INDEX(PP_Grid[#Data],$DD605,95),0)</f>
        <v/>
      </c>
      <c r="CT605">
        <f>IFERROR(INDEX(PP_Grid[#Data],$DD605,96),0)</f>
        <v/>
      </c>
      <c r="CU605">
        <f>IFERROR(INDEX(PP_Grid[#Data],$DD605,97),0)</f>
        <v/>
      </c>
      <c r="CV605">
        <f>IFERROR(INDEX(PP_Grid[#Data],$DD605,98),0)</f>
        <v/>
      </c>
      <c r="CW605">
        <f>IFERROR(INDEX(PP_Grid[#Data],$DD605,99),0)</f>
        <v/>
      </c>
      <c r="CX605">
        <f>IFERROR(INDEX(PP_Grid[#Data],$DD605,100),0)</f>
        <v/>
      </c>
      <c r="CY605">
        <f>IFERROR(INDEX(PP_Grid[#Data],$DD605,101),0)</f>
        <v/>
      </c>
      <c r="CZ605">
        <f>IFERROR(INDEX(PP_Grid[#Data],$DD605,102),0)</f>
        <v/>
      </c>
      <c r="DA605">
        <f>IFERROR(INDEX(PP_Grid[#Data],$DD605,103),0)</f>
        <v/>
      </c>
      <c r="DB605">
        <f>IFERROR(INDEX(PP_Grid[#Data],$DD605,104),0)</f>
        <v/>
      </c>
      <c r="DC605">
        <f>IFERROR(INDEX(PP_Grid[#Data],$DD605,105),0)</f>
        <v/>
      </c>
      <c r="DD605" s="7">
        <f>IFERROR(MATCH($B605,PP_Grid[Intermediate],0),99999)</f>
        <v/>
      </c>
    </row>
    <row r="606">
      <c r="B606" t="inlineStr">
        <is>
          <t>使用量(kg)</t>
        </is>
      </c>
      <c r="C606">
        <f>SUMIFS(M_BOM[RM_Qty_Per_Batch],M_BOM[Intermediate],$B605,M_BOM[Part Name],$A580)</f>
        <v/>
      </c>
      <c r="D606">
        <f>$C606*D605</f>
        <v/>
      </c>
      <c r="E606">
        <f>$C606*E605</f>
        <v/>
      </c>
      <c r="F606">
        <f>$C606*F605</f>
        <v/>
      </c>
      <c r="G606">
        <f>$C606*G605</f>
        <v/>
      </c>
      <c r="H606">
        <f>$C606*H605</f>
        <v/>
      </c>
      <c r="I606">
        <f>$C606*I605</f>
        <v/>
      </c>
      <c r="J606">
        <f>$C606*J605</f>
        <v/>
      </c>
      <c r="K606">
        <f>$C606*K605</f>
        <v/>
      </c>
      <c r="L606">
        <f>$C606*L605</f>
        <v/>
      </c>
      <c r="M606">
        <f>$C606*M605</f>
        <v/>
      </c>
      <c r="N606">
        <f>$C606*N605</f>
        <v/>
      </c>
      <c r="O606">
        <f>$C606*O605</f>
        <v/>
      </c>
      <c r="P606">
        <f>$C606*P605</f>
        <v/>
      </c>
      <c r="Q606">
        <f>$C606*Q605</f>
        <v/>
      </c>
      <c r="R606">
        <f>$C606*R605</f>
        <v/>
      </c>
      <c r="S606">
        <f>$C606*S605</f>
        <v/>
      </c>
      <c r="T606">
        <f>$C606*T605</f>
        <v/>
      </c>
      <c r="U606">
        <f>$C606*U605</f>
        <v/>
      </c>
      <c r="V606">
        <f>$C606*V605</f>
        <v/>
      </c>
      <c r="W606">
        <f>$C606*W605</f>
        <v/>
      </c>
      <c r="X606">
        <f>$C606*X605</f>
        <v/>
      </c>
      <c r="Y606">
        <f>$C606*Y605</f>
        <v/>
      </c>
      <c r="Z606">
        <f>$C606*Z605</f>
        <v/>
      </c>
      <c r="AA606">
        <f>$C606*AA605</f>
        <v/>
      </c>
      <c r="AB606">
        <f>$C606*AB605</f>
        <v/>
      </c>
      <c r="AC606">
        <f>$C606*AC605</f>
        <v/>
      </c>
      <c r="AD606">
        <f>$C606*AD605</f>
        <v/>
      </c>
      <c r="AE606">
        <f>$C606*AE605</f>
        <v/>
      </c>
      <c r="AF606">
        <f>$C606*AF605</f>
        <v/>
      </c>
      <c r="AG606">
        <f>$C606*AG605</f>
        <v/>
      </c>
      <c r="AH606">
        <f>$C606*AH605</f>
        <v/>
      </c>
      <c r="AI606">
        <f>$C606*AI605</f>
        <v/>
      </c>
      <c r="AJ606">
        <f>$C606*AJ605</f>
        <v/>
      </c>
      <c r="AK606">
        <f>$C606*AK605</f>
        <v/>
      </c>
      <c r="AL606">
        <f>$C606*AL605</f>
        <v/>
      </c>
      <c r="AM606">
        <f>$C606*AM605</f>
        <v/>
      </c>
      <c r="AN606">
        <f>$C606*AN605</f>
        <v/>
      </c>
      <c r="AO606">
        <f>$C606*AO605</f>
        <v/>
      </c>
      <c r="AP606">
        <f>$C606*AP605</f>
        <v/>
      </c>
      <c r="AQ606">
        <f>$C606*AQ605</f>
        <v/>
      </c>
      <c r="AR606">
        <f>$C606*AR605</f>
        <v/>
      </c>
      <c r="AS606">
        <f>$C606*AS605</f>
        <v/>
      </c>
      <c r="AT606">
        <f>$C606*AT605</f>
        <v/>
      </c>
      <c r="AU606">
        <f>$C606*AU605</f>
        <v/>
      </c>
      <c r="AV606">
        <f>$C606*AV605</f>
        <v/>
      </c>
      <c r="AW606">
        <f>$C606*AW605</f>
        <v/>
      </c>
      <c r="AX606">
        <f>$C606*AX605</f>
        <v/>
      </c>
      <c r="AY606">
        <f>$C606*AY605</f>
        <v/>
      </c>
      <c r="AZ606">
        <f>$C606*AZ605</f>
        <v/>
      </c>
      <c r="BA606">
        <f>$C606*BA605</f>
        <v/>
      </c>
      <c r="BB606">
        <f>$C606*BB605</f>
        <v/>
      </c>
      <c r="BC606">
        <f>$C606*BC605</f>
        <v/>
      </c>
      <c r="BD606">
        <f>$C606*BD605</f>
        <v/>
      </c>
      <c r="BE606">
        <f>$C606*BE605</f>
        <v/>
      </c>
      <c r="BF606">
        <f>$C606*BF605</f>
        <v/>
      </c>
      <c r="BG606">
        <f>$C606*BG605</f>
        <v/>
      </c>
      <c r="BH606">
        <f>$C606*BH605</f>
        <v/>
      </c>
      <c r="BI606">
        <f>$C606*BI605</f>
        <v/>
      </c>
      <c r="BJ606">
        <f>$C606*BJ605</f>
        <v/>
      </c>
      <c r="BK606">
        <f>$C606*BK605</f>
        <v/>
      </c>
      <c r="BL606">
        <f>$C606*BL605</f>
        <v/>
      </c>
      <c r="BM606">
        <f>$C606*BM605</f>
        <v/>
      </c>
      <c r="BN606">
        <f>$C606*BN605</f>
        <v/>
      </c>
      <c r="BO606">
        <f>$C606*BO605</f>
        <v/>
      </c>
      <c r="BP606">
        <f>$C606*BP605</f>
        <v/>
      </c>
      <c r="BQ606">
        <f>$C606*BQ605</f>
        <v/>
      </c>
      <c r="BR606">
        <f>$C606*BR605</f>
        <v/>
      </c>
      <c r="BS606">
        <f>$C606*BS605</f>
        <v/>
      </c>
      <c r="BT606">
        <f>$C606*BT605</f>
        <v/>
      </c>
      <c r="BU606">
        <f>$C606*BU605</f>
        <v/>
      </c>
      <c r="BV606">
        <f>$C606*BV605</f>
        <v/>
      </c>
      <c r="BW606">
        <f>$C606*BW605</f>
        <v/>
      </c>
      <c r="BX606">
        <f>$C606*BX605</f>
        <v/>
      </c>
      <c r="BY606">
        <f>$C606*BY605</f>
        <v/>
      </c>
      <c r="BZ606">
        <f>$C606*BZ605</f>
        <v/>
      </c>
      <c r="CA606">
        <f>$C606*CA605</f>
        <v/>
      </c>
      <c r="CB606">
        <f>$C606*CB605</f>
        <v/>
      </c>
      <c r="CC606">
        <f>$C606*CC605</f>
        <v/>
      </c>
      <c r="CD606">
        <f>$C606*CD605</f>
        <v/>
      </c>
      <c r="CE606">
        <f>$C606*CE605</f>
        <v/>
      </c>
      <c r="CF606">
        <f>$C606*CF605</f>
        <v/>
      </c>
      <c r="CG606">
        <f>$C606*CG605</f>
        <v/>
      </c>
      <c r="CH606">
        <f>$C606*CH605</f>
        <v/>
      </c>
      <c r="CI606">
        <f>$C606*CI605</f>
        <v/>
      </c>
      <c r="CJ606">
        <f>$C606*CJ605</f>
        <v/>
      </c>
      <c r="CK606">
        <f>$C606*CK605</f>
        <v/>
      </c>
      <c r="CL606">
        <f>$C606*CL605</f>
        <v/>
      </c>
      <c r="CM606">
        <f>$C606*CM605</f>
        <v/>
      </c>
      <c r="CN606">
        <f>$C606*CN605</f>
        <v/>
      </c>
      <c r="CO606">
        <f>$C606*CO605</f>
        <v/>
      </c>
      <c r="CP606">
        <f>$C606*CP605</f>
        <v/>
      </c>
      <c r="CQ606">
        <f>$C606*CQ605</f>
        <v/>
      </c>
      <c r="CR606">
        <f>$C606*CR605</f>
        <v/>
      </c>
      <c r="CS606">
        <f>$C606*CS605</f>
        <v/>
      </c>
      <c r="CT606">
        <f>$C606*CT605</f>
        <v/>
      </c>
      <c r="CU606">
        <f>$C606*CU605</f>
        <v/>
      </c>
      <c r="CV606">
        <f>$C606*CV605</f>
        <v/>
      </c>
      <c r="CW606">
        <f>$C606*CW605</f>
        <v/>
      </c>
      <c r="CX606">
        <f>$C606*CX605</f>
        <v/>
      </c>
      <c r="CY606">
        <f>$C606*CY605</f>
        <v/>
      </c>
      <c r="CZ606">
        <f>$C606*CZ605</f>
        <v/>
      </c>
      <c r="DA606">
        <f>$C606*DA605</f>
        <v/>
      </c>
      <c r="DB606">
        <f>$C606*DB605</f>
        <v/>
      </c>
      <c r="DC606">
        <f>$C606*DC605</f>
        <v/>
      </c>
    </row>
    <row r="607">
      <c r="B607" t="inlineStr">
        <is>
          <t>VSP-989</t>
        </is>
      </c>
      <c r="C607" t="inlineStr">
        <is>
          <t>No. of batches</t>
        </is>
      </c>
      <c r="D607">
        <f>IFERROR(INDEX(PP_Grid[#Data],$DD607,2),0)</f>
        <v/>
      </c>
      <c r="E607">
        <f>IFERROR(INDEX(PP_Grid[#Data],$DD607,3),0)</f>
        <v/>
      </c>
      <c r="F607">
        <f>IFERROR(INDEX(PP_Grid[#Data],$DD607,4),0)</f>
        <v/>
      </c>
      <c r="G607">
        <f>IFERROR(INDEX(PP_Grid[#Data],$DD607,5),0)</f>
        <v/>
      </c>
      <c r="H607">
        <f>IFERROR(INDEX(PP_Grid[#Data],$DD607,6),0)</f>
        <v/>
      </c>
      <c r="I607">
        <f>IFERROR(INDEX(PP_Grid[#Data],$DD607,7),0)</f>
        <v/>
      </c>
      <c r="J607">
        <f>IFERROR(INDEX(PP_Grid[#Data],$DD607,8),0)</f>
        <v/>
      </c>
      <c r="K607">
        <f>IFERROR(INDEX(PP_Grid[#Data],$DD607,9),0)</f>
        <v/>
      </c>
      <c r="L607">
        <f>IFERROR(INDEX(PP_Grid[#Data],$DD607,10),0)</f>
        <v/>
      </c>
      <c r="M607">
        <f>IFERROR(INDEX(PP_Grid[#Data],$DD607,11),0)</f>
        <v/>
      </c>
      <c r="N607">
        <f>IFERROR(INDEX(PP_Grid[#Data],$DD607,12),0)</f>
        <v/>
      </c>
      <c r="O607">
        <f>IFERROR(INDEX(PP_Grid[#Data],$DD607,13),0)</f>
        <v/>
      </c>
      <c r="P607">
        <f>IFERROR(INDEX(PP_Grid[#Data],$DD607,14),0)</f>
        <v/>
      </c>
      <c r="Q607">
        <f>IFERROR(INDEX(PP_Grid[#Data],$DD607,15),0)</f>
        <v/>
      </c>
      <c r="R607">
        <f>IFERROR(INDEX(PP_Grid[#Data],$DD607,16),0)</f>
        <v/>
      </c>
      <c r="S607">
        <f>IFERROR(INDEX(PP_Grid[#Data],$DD607,17),0)</f>
        <v/>
      </c>
      <c r="T607">
        <f>IFERROR(INDEX(PP_Grid[#Data],$DD607,18),0)</f>
        <v/>
      </c>
      <c r="U607">
        <f>IFERROR(INDEX(PP_Grid[#Data],$DD607,19),0)</f>
        <v/>
      </c>
      <c r="V607">
        <f>IFERROR(INDEX(PP_Grid[#Data],$DD607,20),0)</f>
        <v/>
      </c>
      <c r="W607">
        <f>IFERROR(INDEX(PP_Grid[#Data],$DD607,21),0)</f>
        <v/>
      </c>
      <c r="X607">
        <f>IFERROR(INDEX(PP_Grid[#Data],$DD607,22),0)</f>
        <v/>
      </c>
      <c r="Y607">
        <f>IFERROR(INDEX(PP_Grid[#Data],$DD607,23),0)</f>
        <v/>
      </c>
      <c r="Z607">
        <f>IFERROR(INDEX(PP_Grid[#Data],$DD607,24),0)</f>
        <v/>
      </c>
      <c r="AA607">
        <f>IFERROR(INDEX(PP_Grid[#Data],$DD607,25),0)</f>
        <v/>
      </c>
      <c r="AB607">
        <f>IFERROR(INDEX(PP_Grid[#Data],$DD607,26),0)</f>
        <v/>
      </c>
      <c r="AC607">
        <f>IFERROR(INDEX(PP_Grid[#Data],$DD607,27),0)</f>
        <v/>
      </c>
      <c r="AD607">
        <f>IFERROR(INDEX(PP_Grid[#Data],$DD607,28),0)</f>
        <v/>
      </c>
      <c r="AE607">
        <f>IFERROR(INDEX(PP_Grid[#Data],$DD607,29),0)</f>
        <v/>
      </c>
      <c r="AF607">
        <f>IFERROR(INDEX(PP_Grid[#Data],$DD607,30),0)</f>
        <v/>
      </c>
      <c r="AG607">
        <f>IFERROR(INDEX(PP_Grid[#Data],$DD607,31),0)</f>
        <v/>
      </c>
      <c r="AH607">
        <f>IFERROR(INDEX(PP_Grid[#Data],$DD607,32),0)</f>
        <v/>
      </c>
      <c r="AI607">
        <f>IFERROR(INDEX(PP_Grid[#Data],$DD607,33),0)</f>
        <v/>
      </c>
      <c r="AJ607">
        <f>IFERROR(INDEX(PP_Grid[#Data],$DD607,34),0)</f>
        <v/>
      </c>
      <c r="AK607">
        <f>IFERROR(INDEX(PP_Grid[#Data],$DD607,35),0)</f>
        <v/>
      </c>
      <c r="AL607">
        <f>IFERROR(INDEX(PP_Grid[#Data],$DD607,36),0)</f>
        <v/>
      </c>
      <c r="AM607">
        <f>IFERROR(INDEX(PP_Grid[#Data],$DD607,37),0)</f>
        <v/>
      </c>
      <c r="AN607">
        <f>IFERROR(INDEX(PP_Grid[#Data],$DD607,38),0)</f>
        <v/>
      </c>
      <c r="AO607">
        <f>IFERROR(INDEX(PP_Grid[#Data],$DD607,39),0)</f>
        <v/>
      </c>
      <c r="AP607">
        <f>IFERROR(INDEX(PP_Grid[#Data],$DD607,40),0)</f>
        <v/>
      </c>
      <c r="AQ607">
        <f>IFERROR(INDEX(PP_Grid[#Data],$DD607,41),0)</f>
        <v/>
      </c>
      <c r="AR607">
        <f>IFERROR(INDEX(PP_Grid[#Data],$DD607,42),0)</f>
        <v/>
      </c>
      <c r="AS607">
        <f>IFERROR(INDEX(PP_Grid[#Data],$DD607,43),0)</f>
        <v/>
      </c>
      <c r="AT607">
        <f>IFERROR(INDEX(PP_Grid[#Data],$DD607,44),0)</f>
        <v/>
      </c>
      <c r="AU607">
        <f>IFERROR(INDEX(PP_Grid[#Data],$DD607,45),0)</f>
        <v/>
      </c>
      <c r="AV607">
        <f>IFERROR(INDEX(PP_Grid[#Data],$DD607,46),0)</f>
        <v/>
      </c>
      <c r="AW607">
        <f>IFERROR(INDEX(PP_Grid[#Data],$DD607,47),0)</f>
        <v/>
      </c>
      <c r="AX607">
        <f>IFERROR(INDEX(PP_Grid[#Data],$DD607,48),0)</f>
        <v/>
      </c>
      <c r="AY607">
        <f>IFERROR(INDEX(PP_Grid[#Data],$DD607,49),0)</f>
        <v/>
      </c>
      <c r="AZ607">
        <f>IFERROR(INDEX(PP_Grid[#Data],$DD607,50),0)</f>
        <v/>
      </c>
      <c r="BA607">
        <f>IFERROR(INDEX(PP_Grid[#Data],$DD607,51),0)</f>
        <v/>
      </c>
      <c r="BB607">
        <f>IFERROR(INDEX(PP_Grid[#Data],$DD607,52),0)</f>
        <v/>
      </c>
      <c r="BC607">
        <f>IFERROR(INDEX(PP_Grid[#Data],$DD607,53),0)</f>
        <v/>
      </c>
      <c r="BD607">
        <f>IFERROR(INDEX(PP_Grid[#Data],$DD607,54),0)</f>
        <v/>
      </c>
      <c r="BE607">
        <f>IFERROR(INDEX(PP_Grid[#Data],$DD607,55),0)</f>
        <v/>
      </c>
      <c r="BF607">
        <f>IFERROR(INDEX(PP_Grid[#Data],$DD607,56),0)</f>
        <v/>
      </c>
      <c r="BG607">
        <f>IFERROR(INDEX(PP_Grid[#Data],$DD607,57),0)</f>
        <v/>
      </c>
      <c r="BH607">
        <f>IFERROR(INDEX(PP_Grid[#Data],$DD607,58),0)</f>
        <v/>
      </c>
      <c r="BI607">
        <f>IFERROR(INDEX(PP_Grid[#Data],$DD607,59),0)</f>
        <v/>
      </c>
      <c r="BJ607">
        <f>IFERROR(INDEX(PP_Grid[#Data],$DD607,60),0)</f>
        <v/>
      </c>
      <c r="BK607">
        <f>IFERROR(INDEX(PP_Grid[#Data],$DD607,61),0)</f>
        <v/>
      </c>
      <c r="BL607">
        <f>IFERROR(INDEX(PP_Grid[#Data],$DD607,62),0)</f>
        <v/>
      </c>
      <c r="BM607">
        <f>IFERROR(INDEX(PP_Grid[#Data],$DD607,63),0)</f>
        <v/>
      </c>
      <c r="BN607">
        <f>IFERROR(INDEX(PP_Grid[#Data],$DD607,64),0)</f>
        <v/>
      </c>
      <c r="BO607">
        <f>IFERROR(INDEX(PP_Grid[#Data],$DD607,65),0)</f>
        <v/>
      </c>
      <c r="BP607">
        <f>IFERROR(INDEX(PP_Grid[#Data],$DD607,66),0)</f>
        <v/>
      </c>
      <c r="BQ607">
        <f>IFERROR(INDEX(PP_Grid[#Data],$DD607,67),0)</f>
        <v/>
      </c>
      <c r="BR607">
        <f>IFERROR(INDEX(PP_Grid[#Data],$DD607,68),0)</f>
        <v/>
      </c>
      <c r="BS607">
        <f>IFERROR(INDEX(PP_Grid[#Data],$DD607,69),0)</f>
        <v/>
      </c>
      <c r="BT607">
        <f>IFERROR(INDEX(PP_Grid[#Data],$DD607,70),0)</f>
        <v/>
      </c>
      <c r="BU607">
        <f>IFERROR(INDEX(PP_Grid[#Data],$DD607,71),0)</f>
        <v/>
      </c>
      <c r="BV607">
        <f>IFERROR(INDEX(PP_Grid[#Data],$DD607,72),0)</f>
        <v/>
      </c>
      <c r="BW607">
        <f>IFERROR(INDEX(PP_Grid[#Data],$DD607,73),0)</f>
        <v/>
      </c>
      <c r="BX607">
        <f>IFERROR(INDEX(PP_Grid[#Data],$DD607,74),0)</f>
        <v/>
      </c>
      <c r="BY607">
        <f>IFERROR(INDEX(PP_Grid[#Data],$DD607,75),0)</f>
        <v/>
      </c>
      <c r="BZ607">
        <f>IFERROR(INDEX(PP_Grid[#Data],$DD607,76),0)</f>
        <v/>
      </c>
      <c r="CA607">
        <f>IFERROR(INDEX(PP_Grid[#Data],$DD607,77),0)</f>
        <v/>
      </c>
      <c r="CB607">
        <f>IFERROR(INDEX(PP_Grid[#Data],$DD607,78),0)</f>
        <v/>
      </c>
      <c r="CC607">
        <f>IFERROR(INDEX(PP_Grid[#Data],$DD607,79),0)</f>
        <v/>
      </c>
      <c r="CD607">
        <f>IFERROR(INDEX(PP_Grid[#Data],$DD607,80),0)</f>
        <v/>
      </c>
      <c r="CE607">
        <f>IFERROR(INDEX(PP_Grid[#Data],$DD607,81),0)</f>
        <v/>
      </c>
      <c r="CF607">
        <f>IFERROR(INDEX(PP_Grid[#Data],$DD607,82),0)</f>
        <v/>
      </c>
      <c r="CG607">
        <f>IFERROR(INDEX(PP_Grid[#Data],$DD607,83),0)</f>
        <v/>
      </c>
      <c r="CH607">
        <f>IFERROR(INDEX(PP_Grid[#Data],$DD607,84),0)</f>
        <v/>
      </c>
      <c r="CI607">
        <f>IFERROR(INDEX(PP_Grid[#Data],$DD607,85),0)</f>
        <v/>
      </c>
      <c r="CJ607">
        <f>IFERROR(INDEX(PP_Grid[#Data],$DD607,86),0)</f>
        <v/>
      </c>
      <c r="CK607">
        <f>IFERROR(INDEX(PP_Grid[#Data],$DD607,87),0)</f>
        <v/>
      </c>
      <c r="CL607">
        <f>IFERROR(INDEX(PP_Grid[#Data],$DD607,88),0)</f>
        <v/>
      </c>
      <c r="CM607">
        <f>IFERROR(INDEX(PP_Grid[#Data],$DD607,89),0)</f>
        <v/>
      </c>
      <c r="CN607">
        <f>IFERROR(INDEX(PP_Grid[#Data],$DD607,90),0)</f>
        <v/>
      </c>
      <c r="CO607">
        <f>IFERROR(INDEX(PP_Grid[#Data],$DD607,91),0)</f>
        <v/>
      </c>
      <c r="CP607">
        <f>IFERROR(INDEX(PP_Grid[#Data],$DD607,92),0)</f>
        <v/>
      </c>
      <c r="CQ607">
        <f>IFERROR(INDEX(PP_Grid[#Data],$DD607,93),0)</f>
        <v/>
      </c>
      <c r="CR607">
        <f>IFERROR(INDEX(PP_Grid[#Data],$DD607,94),0)</f>
        <v/>
      </c>
      <c r="CS607">
        <f>IFERROR(INDEX(PP_Grid[#Data],$DD607,95),0)</f>
        <v/>
      </c>
      <c r="CT607">
        <f>IFERROR(INDEX(PP_Grid[#Data],$DD607,96),0)</f>
        <v/>
      </c>
      <c r="CU607">
        <f>IFERROR(INDEX(PP_Grid[#Data],$DD607,97),0)</f>
        <v/>
      </c>
      <c r="CV607">
        <f>IFERROR(INDEX(PP_Grid[#Data],$DD607,98),0)</f>
        <v/>
      </c>
      <c r="CW607">
        <f>IFERROR(INDEX(PP_Grid[#Data],$DD607,99),0)</f>
        <v/>
      </c>
      <c r="CX607">
        <f>IFERROR(INDEX(PP_Grid[#Data],$DD607,100),0)</f>
        <v/>
      </c>
      <c r="CY607">
        <f>IFERROR(INDEX(PP_Grid[#Data],$DD607,101),0)</f>
        <v/>
      </c>
      <c r="CZ607">
        <f>IFERROR(INDEX(PP_Grid[#Data],$DD607,102),0)</f>
        <v/>
      </c>
      <c r="DA607">
        <f>IFERROR(INDEX(PP_Grid[#Data],$DD607,103),0)</f>
        <v/>
      </c>
      <c r="DB607">
        <f>IFERROR(INDEX(PP_Grid[#Data],$DD607,104),0)</f>
        <v/>
      </c>
      <c r="DC607">
        <f>IFERROR(INDEX(PP_Grid[#Data],$DD607,105),0)</f>
        <v/>
      </c>
      <c r="DD607" s="7">
        <f>IFERROR(MATCH($B607,PP_Grid[Intermediate],0),99999)</f>
        <v/>
      </c>
    </row>
    <row r="608">
      <c r="B608" t="inlineStr">
        <is>
          <t>使用量(kg)</t>
        </is>
      </c>
      <c r="C608">
        <f>SUMIFS(M_BOM[RM_Qty_Per_Batch],M_BOM[Intermediate],$B607,M_BOM[Part Name],$A580)</f>
        <v/>
      </c>
      <c r="D608">
        <f>$C608*D607</f>
        <v/>
      </c>
      <c r="E608">
        <f>$C608*E607</f>
        <v/>
      </c>
      <c r="F608">
        <f>$C608*F607</f>
        <v/>
      </c>
      <c r="G608">
        <f>$C608*G607</f>
        <v/>
      </c>
      <c r="H608">
        <f>$C608*H607</f>
        <v/>
      </c>
      <c r="I608">
        <f>$C608*I607</f>
        <v/>
      </c>
      <c r="J608">
        <f>$C608*J607</f>
        <v/>
      </c>
      <c r="K608">
        <f>$C608*K607</f>
        <v/>
      </c>
      <c r="L608">
        <f>$C608*L607</f>
        <v/>
      </c>
      <c r="M608">
        <f>$C608*M607</f>
        <v/>
      </c>
      <c r="N608">
        <f>$C608*N607</f>
        <v/>
      </c>
      <c r="O608">
        <f>$C608*O607</f>
        <v/>
      </c>
      <c r="P608">
        <f>$C608*P607</f>
        <v/>
      </c>
      <c r="Q608">
        <f>$C608*Q607</f>
        <v/>
      </c>
      <c r="R608">
        <f>$C608*R607</f>
        <v/>
      </c>
      <c r="S608">
        <f>$C608*S607</f>
        <v/>
      </c>
      <c r="T608">
        <f>$C608*T607</f>
        <v/>
      </c>
      <c r="U608">
        <f>$C608*U607</f>
        <v/>
      </c>
      <c r="V608">
        <f>$C608*V607</f>
        <v/>
      </c>
      <c r="W608">
        <f>$C608*W607</f>
        <v/>
      </c>
      <c r="X608">
        <f>$C608*X607</f>
        <v/>
      </c>
      <c r="Y608">
        <f>$C608*Y607</f>
        <v/>
      </c>
      <c r="Z608">
        <f>$C608*Z607</f>
        <v/>
      </c>
      <c r="AA608">
        <f>$C608*AA607</f>
        <v/>
      </c>
      <c r="AB608">
        <f>$C608*AB607</f>
        <v/>
      </c>
      <c r="AC608">
        <f>$C608*AC607</f>
        <v/>
      </c>
      <c r="AD608">
        <f>$C608*AD607</f>
        <v/>
      </c>
      <c r="AE608">
        <f>$C608*AE607</f>
        <v/>
      </c>
      <c r="AF608">
        <f>$C608*AF607</f>
        <v/>
      </c>
      <c r="AG608">
        <f>$C608*AG607</f>
        <v/>
      </c>
      <c r="AH608">
        <f>$C608*AH607</f>
        <v/>
      </c>
      <c r="AI608">
        <f>$C608*AI607</f>
        <v/>
      </c>
      <c r="AJ608">
        <f>$C608*AJ607</f>
        <v/>
      </c>
      <c r="AK608">
        <f>$C608*AK607</f>
        <v/>
      </c>
      <c r="AL608">
        <f>$C608*AL607</f>
        <v/>
      </c>
      <c r="AM608">
        <f>$C608*AM607</f>
        <v/>
      </c>
      <c r="AN608">
        <f>$C608*AN607</f>
        <v/>
      </c>
      <c r="AO608">
        <f>$C608*AO607</f>
        <v/>
      </c>
      <c r="AP608">
        <f>$C608*AP607</f>
        <v/>
      </c>
      <c r="AQ608">
        <f>$C608*AQ607</f>
        <v/>
      </c>
      <c r="AR608">
        <f>$C608*AR607</f>
        <v/>
      </c>
      <c r="AS608">
        <f>$C608*AS607</f>
        <v/>
      </c>
      <c r="AT608">
        <f>$C608*AT607</f>
        <v/>
      </c>
      <c r="AU608">
        <f>$C608*AU607</f>
        <v/>
      </c>
      <c r="AV608">
        <f>$C608*AV607</f>
        <v/>
      </c>
      <c r="AW608">
        <f>$C608*AW607</f>
        <v/>
      </c>
      <c r="AX608">
        <f>$C608*AX607</f>
        <v/>
      </c>
      <c r="AY608">
        <f>$C608*AY607</f>
        <v/>
      </c>
      <c r="AZ608">
        <f>$C608*AZ607</f>
        <v/>
      </c>
      <c r="BA608">
        <f>$C608*BA607</f>
        <v/>
      </c>
      <c r="BB608">
        <f>$C608*BB607</f>
        <v/>
      </c>
      <c r="BC608">
        <f>$C608*BC607</f>
        <v/>
      </c>
      <c r="BD608">
        <f>$C608*BD607</f>
        <v/>
      </c>
      <c r="BE608">
        <f>$C608*BE607</f>
        <v/>
      </c>
      <c r="BF608">
        <f>$C608*BF607</f>
        <v/>
      </c>
      <c r="BG608">
        <f>$C608*BG607</f>
        <v/>
      </c>
      <c r="BH608">
        <f>$C608*BH607</f>
        <v/>
      </c>
      <c r="BI608">
        <f>$C608*BI607</f>
        <v/>
      </c>
      <c r="BJ608">
        <f>$C608*BJ607</f>
        <v/>
      </c>
      <c r="BK608">
        <f>$C608*BK607</f>
        <v/>
      </c>
      <c r="BL608">
        <f>$C608*BL607</f>
        <v/>
      </c>
      <c r="BM608">
        <f>$C608*BM607</f>
        <v/>
      </c>
      <c r="BN608">
        <f>$C608*BN607</f>
        <v/>
      </c>
      <c r="BO608">
        <f>$C608*BO607</f>
        <v/>
      </c>
      <c r="BP608">
        <f>$C608*BP607</f>
        <v/>
      </c>
      <c r="BQ608">
        <f>$C608*BQ607</f>
        <v/>
      </c>
      <c r="BR608">
        <f>$C608*BR607</f>
        <v/>
      </c>
      <c r="BS608">
        <f>$C608*BS607</f>
        <v/>
      </c>
      <c r="BT608">
        <f>$C608*BT607</f>
        <v/>
      </c>
      <c r="BU608">
        <f>$C608*BU607</f>
        <v/>
      </c>
      <c r="BV608">
        <f>$C608*BV607</f>
        <v/>
      </c>
      <c r="BW608">
        <f>$C608*BW607</f>
        <v/>
      </c>
      <c r="BX608">
        <f>$C608*BX607</f>
        <v/>
      </c>
      <c r="BY608">
        <f>$C608*BY607</f>
        <v/>
      </c>
      <c r="BZ608">
        <f>$C608*BZ607</f>
        <v/>
      </c>
      <c r="CA608">
        <f>$C608*CA607</f>
        <v/>
      </c>
      <c r="CB608">
        <f>$C608*CB607</f>
        <v/>
      </c>
      <c r="CC608">
        <f>$C608*CC607</f>
        <v/>
      </c>
      <c r="CD608">
        <f>$C608*CD607</f>
        <v/>
      </c>
      <c r="CE608">
        <f>$C608*CE607</f>
        <v/>
      </c>
      <c r="CF608">
        <f>$C608*CF607</f>
        <v/>
      </c>
      <c r="CG608">
        <f>$C608*CG607</f>
        <v/>
      </c>
      <c r="CH608">
        <f>$C608*CH607</f>
        <v/>
      </c>
      <c r="CI608">
        <f>$C608*CI607</f>
        <v/>
      </c>
      <c r="CJ608">
        <f>$C608*CJ607</f>
        <v/>
      </c>
      <c r="CK608">
        <f>$C608*CK607</f>
        <v/>
      </c>
      <c r="CL608">
        <f>$C608*CL607</f>
        <v/>
      </c>
      <c r="CM608">
        <f>$C608*CM607</f>
        <v/>
      </c>
      <c r="CN608">
        <f>$C608*CN607</f>
        <v/>
      </c>
      <c r="CO608">
        <f>$C608*CO607</f>
        <v/>
      </c>
      <c r="CP608">
        <f>$C608*CP607</f>
        <v/>
      </c>
      <c r="CQ608">
        <f>$C608*CQ607</f>
        <v/>
      </c>
      <c r="CR608">
        <f>$C608*CR607</f>
        <v/>
      </c>
      <c r="CS608">
        <f>$C608*CS607</f>
        <v/>
      </c>
      <c r="CT608">
        <f>$C608*CT607</f>
        <v/>
      </c>
      <c r="CU608">
        <f>$C608*CU607</f>
        <v/>
      </c>
      <c r="CV608">
        <f>$C608*CV607</f>
        <v/>
      </c>
      <c r="CW608">
        <f>$C608*CW607</f>
        <v/>
      </c>
      <c r="CX608">
        <f>$C608*CX607</f>
        <v/>
      </c>
      <c r="CY608">
        <f>$C608*CY607</f>
        <v/>
      </c>
      <c r="CZ608">
        <f>$C608*CZ607</f>
        <v/>
      </c>
      <c r="DA608">
        <f>$C608*DA607</f>
        <v/>
      </c>
      <c r="DB608">
        <f>$C608*DB607</f>
        <v/>
      </c>
      <c r="DC608">
        <f>$C608*DC607</f>
        <v/>
      </c>
    </row>
    <row r="609">
      <c r="B609" t="inlineStr">
        <is>
          <t>TPP-190</t>
        </is>
      </c>
      <c r="C609" t="inlineStr">
        <is>
          <t>No. of batches</t>
        </is>
      </c>
      <c r="D609">
        <f>IFERROR(INDEX(PP_Grid[#Data],$DD609,2),0)</f>
        <v/>
      </c>
      <c r="E609">
        <f>IFERROR(INDEX(PP_Grid[#Data],$DD609,3),0)</f>
        <v/>
      </c>
      <c r="F609">
        <f>IFERROR(INDEX(PP_Grid[#Data],$DD609,4),0)</f>
        <v/>
      </c>
      <c r="G609">
        <f>IFERROR(INDEX(PP_Grid[#Data],$DD609,5),0)</f>
        <v/>
      </c>
      <c r="H609">
        <f>IFERROR(INDEX(PP_Grid[#Data],$DD609,6),0)</f>
        <v/>
      </c>
      <c r="I609">
        <f>IFERROR(INDEX(PP_Grid[#Data],$DD609,7),0)</f>
        <v/>
      </c>
      <c r="J609">
        <f>IFERROR(INDEX(PP_Grid[#Data],$DD609,8),0)</f>
        <v/>
      </c>
      <c r="K609">
        <f>IFERROR(INDEX(PP_Grid[#Data],$DD609,9),0)</f>
        <v/>
      </c>
      <c r="L609">
        <f>IFERROR(INDEX(PP_Grid[#Data],$DD609,10),0)</f>
        <v/>
      </c>
      <c r="M609">
        <f>IFERROR(INDEX(PP_Grid[#Data],$DD609,11),0)</f>
        <v/>
      </c>
      <c r="N609">
        <f>IFERROR(INDEX(PP_Grid[#Data],$DD609,12),0)</f>
        <v/>
      </c>
      <c r="O609">
        <f>IFERROR(INDEX(PP_Grid[#Data],$DD609,13),0)</f>
        <v/>
      </c>
      <c r="P609">
        <f>IFERROR(INDEX(PP_Grid[#Data],$DD609,14),0)</f>
        <v/>
      </c>
      <c r="Q609">
        <f>IFERROR(INDEX(PP_Grid[#Data],$DD609,15),0)</f>
        <v/>
      </c>
      <c r="R609">
        <f>IFERROR(INDEX(PP_Grid[#Data],$DD609,16),0)</f>
        <v/>
      </c>
      <c r="S609">
        <f>IFERROR(INDEX(PP_Grid[#Data],$DD609,17),0)</f>
        <v/>
      </c>
      <c r="T609">
        <f>IFERROR(INDEX(PP_Grid[#Data],$DD609,18),0)</f>
        <v/>
      </c>
      <c r="U609">
        <f>IFERROR(INDEX(PP_Grid[#Data],$DD609,19),0)</f>
        <v/>
      </c>
      <c r="V609">
        <f>IFERROR(INDEX(PP_Grid[#Data],$DD609,20),0)</f>
        <v/>
      </c>
      <c r="W609">
        <f>IFERROR(INDEX(PP_Grid[#Data],$DD609,21),0)</f>
        <v/>
      </c>
      <c r="X609">
        <f>IFERROR(INDEX(PP_Grid[#Data],$DD609,22),0)</f>
        <v/>
      </c>
      <c r="Y609">
        <f>IFERROR(INDEX(PP_Grid[#Data],$DD609,23),0)</f>
        <v/>
      </c>
      <c r="Z609">
        <f>IFERROR(INDEX(PP_Grid[#Data],$DD609,24),0)</f>
        <v/>
      </c>
      <c r="AA609">
        <f>IFERROR(INDEX(PP_Grid[#Data],$DD609,25),0)</f>
        <v/>
      </c>
      <c r="AB609">
        <f>IFERROR(INDEX(PP_Grid[#Data],$DD609,26),0)</f>
        <v/>
      </c>
      <c r="AC609">
        <f>IFERROR(INDEX(PP_Grid[#Data],$DD609,27),0)</f>
        <v/>
      </c>
      <c r="AD609">
        <f>IFERROR(INDEX(PP_Grid[#Data],$DD609,28),0)</f>
        <v/>
      </c>
      <c r="AE609">
        <f>IFERROR(INDEX(PP_Grid[#Data],$DD609,29),0)</f>
        <v/>
      </c>
      <c r="AF609">
        <f>IFERROR(INDEX(PP_Grid[#Data],$DD609,30),0)</f>
        <v/>
      </c>
      <c r="AG609">
        <f>IFERROR(INDEX(PP_Grid[#Data],$DD609,31),0)</f>
        <v/>
      </c>
      <c r="AH609">
        <f>IFERROR(INDEX(PP_Grid[#Data],$DD609,32),0)</f>
        <v/>
      </c>
      <c r="AI609">
        <f>IFERROR(INDEX(PP_Grid[#Data],$DD609,33),0)</f>
        <v/>
      </c>
      <c r="AJ609">
        <f>IFERROR(INDEX(PP_Grid[#Data],$DD609,34),0)</f>
        <v/>
      </c>
      <c r="AK609">
        <f>IFERROR(INDEX(PP_Grid[#Data],$DD609,35),0)</f>
        <v/>
      </c>
      <c r="AL609">
        <f>IFERROR(INDEX(PP_Grid[#Data],$DD609,36),0)</f>
        <v/>
      </c>
      <c r="AM609">
        <f>IFERROR(INDEX(PP_Grid[#Data],$DD609,37),0)</f>
        <v/>
      </c>
      <c r="AN609">
        <f>IFERROR(INDEX(PP_Grid[#Data],$DD609,38),0)</f>
        <v/>
      </c>
      <c r="AO609">
        <f>IFERROR(INDEX(PP_Grid[#Data],$DD609,39),0)</f>
        <v/>
      </c>
      <c r="AP609">
        <f>IFERROR(INDEX(PP_Grid[#Data],$DD609,40),0)</f>
        <v/>
      </c>
      <c r="AQ609">
        <f>IFERROR(INDEX(PP_Grid[#Data],$DD609,41),0)</f>
        <v/>
      </c>
      <c r="AR609">
        <f>IFERROR(INDEX(PP_Grid[#Data],$DD609,42),0)</f>
        <v/>
      </c>
      <c r="AS609">
        <f>IFERROR(INDEX(PP_Grid[#Data],$DD609,43),0)</f>
        <v/>
      </c>
      <c r="AT609">
        <f>IFERROR(INDEX(PP_Grid[#Data],$DD609,44),0)</f>
        <v/>
      </c>
      <c r="AU609">
        <f>IFERROR(INDEX(PP_Grid[#Data],$DD609,45),0)</f>
        <v/>
      </c>
      <c r="AV609">
        <f>IFERROR(INDEX(PP_Grid[#Data],$DD609,46),0)</f>
        <v/>
      </c>
      <c r="AW609">
        <f>IFERROR(INDEX(PP_Grid[#Data],$DD609,47),0)</f>
        <v/>
      </c>
      <c r="AX609">
        <f>IFERROR(INDEX(PP_Grid[#Data],$DD609,48),0)</f>
        <v/>
      </c>
      <c r="AY609">
        <f>IFERROR(INDEX(PP_Grid[#Data],$DD609,49),0)</f>
        <v/>
      </c>
      <c r="AZ609">
        <f>IFERROR(INDEX(PP_Grid[#Data],$DD609,50),0)</f>
        <v/>
      </c>
      <c r="BA609">
        <f>IFERROR(INDEX(PP_Grid[#Data],$DD609,51),0)</f>
        <v/>
      </c>
      <c r="BB609">
        <f>IFERROR(INDEX(PP_Grid[#Data],$DD609,52),0)</f>
        <v/>
      </c>
      <c r="BC609">
        <f>IFERROR(INDEX(PP_Grid[#Data],$DD609,53),0)</f>
        <v/>
      </c>
      <c r="BD609">
        <f>IFERROR(INDEX(PP_Grid[#Data],$DD609,54),0)</f>
        <v/>
      </c>
      <c r="BE609">
        <f>IFERROR(INDEX(PP_Grid[#Data],$DD609,55),0)</f>
        <v/>
      </c>
      <c r="BF609">
        <f>IFERROR(INDEX(PP_Grid[#Data],$DD609,56),0)</f>
        <v/>
      </c>
      <c r="BG609">
        <f>IFERROR(INDEX(PP_Grid[#Data],$DD609,57),0)</f>
        <v/>
      </c>
      <c r="BH609">
        <f>IFERROR(INDEX(PP_Grid[#Data],$DD609,58),0)</f>
        <v/>
      </c>
      <c r="BI609">
        <f>IFERROR(INDEX(PP_Grid[#Data],$DD609,59),0)</f>
        <v/>
      </c>
      <c r="BJ609">
        <f>IFERROR(INDEX(PP_Grid[#Data],$DD609,60),0)</f>
        <v/>
      </c>
      <c r="BK609">
        <f>IFERROR(INDEX(PP_Grid[#Data],$DD609,61),0)</f>
        <v/>
      </c>
      <c r="BL609">
        <f>IFERROR(INDEX(PP_Grid[#Data],$DD609,62),0)</f>
        <v/>
      </c>
      <c r="BM609">
        <f>IFERROR(INDEX(PP_Grid[#Data],$DD609,63),0)</f>
        <v/>
      </c>
      <c r="BN609">
        <f>IFERROR(INDEX(PP_Grid[#Data],$DD609,64),0)</f>
        <v/>
      </c>
      <c r="BO609">
        <f>IFERROR(INDEX(PP_Grid[#Data],$DD609,65),0)</f>
        <v/>
      </c>
      <c r="BP609">
        <f>IFERROR(INDEX(PP_Grid[#Data],$DD609,66),0)</f>
        <v/>
      </c>
      <c r="BQ609">
        <f>IFERROR(INDEX(PP_Grid[#Data],$DD609,67),0)</f>
        <v/>
      </c>
      <c r="BR609">
        <f>IFERROR(INDEX(PP_Grid[#Data],$DD609,68),0)</f>
        <v/>
      </c>
      <c r="BS609">
        <f>IFERROR(INDEX(PP_Grid[#Data],$DD609,69),0)</f>
        <v/>
      </c>
      <c r="BT609">
        <f>IFERROR(INDEX(PP_Grid[#Data],$DD609,70),0)</f>
        <v/>
      </c>
      <c r="BU609">
        <f>IFERROR(INDEX(PP_Grid[#Data],$DD609,71),0)</f>
        <v/>
      </c>
      <c r="BV609">
        <f>IFERROR(INDEX(PP_Grid[#Data],$DD609,72),0)</f>
        <v/>
      </c>
      <c r="BW609">
        <f>IFERROR(INDEX(PP_Grid[#Data],$DD609,73),0)</f>
        <v/>
      </c>
      <c r="BX609">
        <f>IFERROR(INDEX(PP_Grid[#Data],$DD609,74),0)</f>
        <v/>
      </c>
      <c r="BY609">
        <f>IFERROR(INDEX(PP_Grid[#Data],$DD609,75),0)</f>
        <v/>
      </c>
      <c r="BZ609">
        <f>IFERROR(INDEX(PP_Grid[#Data],$DD609,76),0)</f>
        <v/>
      </c>
      <c r="CA609">
        <f>IFERROR(INDEX(PP_Grid[#Data],$DD609,77),0)</f>
        <v/>
      </c>
      <c r="CB609">
        <f>IFERROR(INDEX(PP_Grid[#Data],$DD609,78),0)</f>
        <v/>
      </c>
      <c r="CC609">
        <f>IFERROR(INDEX(PP_Grid[#Data],$DD609,79),0)</f>
        <v/>
      </c>
      <c r="CD609">
        <f>IFERROR(INDEX(PP_Grid[#Data],$DD609,80),0)</f>
        <v/>
      </c>
      <c r="CE609">
        <f>IFERROR(INDEX(PP_Grid[#Data],$DD609,81),0)</f>
        <v/>
      </c>
      <c r="CF609">
        <f>IFERROR(INDEX(PP_Grid[#Data],$DD609,82),0)</f>
        <v/>
      </c>
      <c r="CG609">
        <f>IFERROR(INDEX(PP_Grid[#Data],$DD609,83),0)</f>
        <v/>
      </c>
      <c r="CH609">
        <f>IFERROR(INDEX(PP_Grid[#Data],$DD609,84),0)</f>
        <v/>
      </c>
      <c r="CI609">
        <f>IFERROR(INDEX(PP_Grid[#Data],$DD609,85),0)</f>
        <v/>
      </c>
      <c r="CJ609">
        <f>IFERROR(INDEX(PP_Grid[#Data],$DD609,86),0)</f>
        <v/>
      </c>
      <c r="CK609">
        <f>IFERROR(INDEX(PP_Grid[#Data],$DD609,87),0)</f>
        <v/>
      </c>
      <c r="CL609">
        <f>IFERROR(INDEX(PP_Grid[#Data],$DD609,88),0)</f>
        <v/>
      </c>
      <c r="CM609">
        <f>IFERROR(INDEX(PP_Grid[#Data],$DD609,89),0)</f>
        <v/>
      </c>
      <c r="CN609">
        <f>IFERROR(INDEX(PP_Grid[#Data],$DD609,90),0)</f>
        <v/>
      </c>
      <c r="CO609">
        <f>IFERROR(INDEX(PP_Grid[#Data],$DD609,91),0)</f>
        <v/>
      </c>
      <c r="CP609">
        <f>IFERROR(INDEX(PP_Grid[#Data],$DD609,92),0)</f>
        <v/>
      </c>
      <c r="CQ609">
        <f>IFERROR(INDEX(PP_Grid[#Data],$DD609,93),0)</f>
        <v/>
      </c>
      <c r="CR609">
        <f>IFERROR(INDEX(PP_Grid[#Data],$DD609,94),0)</f>
        <v/>
      </c>
      <c r="CS609">
        <f>IFERROR(INDEX(PP_Grid[#Data],$DD609,95),0)</f>
        <v/>
      </c>
      <c r="CT609">
        <f>IFERROR(INDEX(PP_Grid[#Data],$DD609,96),0)</f>
        <v/>
      </c>
      <c r="CU609">
        <f>IFERROR(INDEX(PP_Grid[#Data],$DD609,97),0)</f>
        <v/>
      </c>
      <c r="CV609">
        <f>IFERROR(INDEX(PP_Grid[#Data],$DD609,98),0)</f>
        <v/>
      </c>
      <c r="CW609">
        <f>IFERROR(INDEX(PP_Grid[#Data],$DD609,99),0)</f>
        <v/>
      </c>
      <c r="CX609">
        <f>IFERROR(INDEX(PP_Grid[#Data],$DD609,100),0)</f>
        <v/>
      </c>
      <c r="CY609">
        <f>IFERROR(INDEX(PP_Grid[#Data],$DD609,101),0)</f>
        <v/>
      </c>
      <c r="CZ609">
        <f>IFERROR(INDEX(PP_Grid[#Data],$DD609,102),0)</f>
        <v/>
      </c>
      <c r="DA609">
        <f>IFERROR(INDEX(PP_Grid[#Data],$DD609,103),0)</f>
        <v/>
      </c>
      <c r="DB609">
        <f>IFERROR(INDEX(PP_Grid[#Data],$DD609,104),0)</f>
        <v/>
      </c>
      <c r="DC609">
        <f>IFERROR(INDEX(PP_Grid[#Data],$DD609,105),0)</f>
        <v/>
      </c>
      <c r="DD609" s="7">
        <f>IFERROR(MATCH($B609,PP_Grid[Intermediate],0),99999)</f>
        <v/>
      </c>
    </row>
    <row r="610">
      <c r="B610" t="inlineStr">
        <is>
          <t>使用量(kg)</t>
        </is>
      </c>
      <c r="C610">
        <f>SUMIFS(M_BOM[RM_Qty_Per_Batch],M_BOM[Intermediate],$B609,M_BOM[Part Name],$A580)</f>
        <v/>
      </c>
      <c r="D610">
        <f>$C610*D609</f>
        <v/>
      </c>
      <c r="E610">
        <f>$C610*E609</f>
        <v/>
      </c>
      <c r="F610">
        <f>$C610*F609</f>
        <v/>
      </c>
      <c r="G610">
        <f>$C610*G609</f>
        <v/>
      </c>
      <c r="H610">
        <f>$C610*H609</f>
        <v/>
      </c>
      <c r="I610">
        <f>$C610*I609</f>
        <v/>
      </c>
      <c r="J610">
        <f>$C610*J609</f>
        <v/>
      </c>
      <c r="K610">
        <f>$C610*K609</f>
        <v/>
      </c>
      <c r="L610">
        <f>$C610*L609</f>
        <v/>
      </c>
      <c r="M610">
        <f>$C610*M609</f>
        <v/>
      </c>
      <c r="N610">
        <f>$C610*N609</f>
        <v/>
      </c>
      <c r="O610">
        <f>$C610*O609</f>
        <v/>
      </c>
      <c r="P610">
        <f>$C610*P609</f>
        <v/>
      </c>
      <c r="Q610">
        <f>$C610*Q609</f>
        <v/>
      </c>
      <c r="R610">
        <f>$C610*R609</f>
        <v/>
      </c>
      <c r="S610">
        <f>$C610*S609</f>
        <v/>
      </c>
      <c r="T610">
        <f>$C610*T609</f>
        <v/>
      </c>
      <c r="U610">
        <f>$C610*U609</f>
        <v/>
      </c>
      <c r="V610">
        <f>$C610*V609</f>
        <v/>
      </c>
      <c r="W610">
        <f>$C610*W609</f>
        <v/>
      </c>
      <c r="X610">
        <f>$C610*X609</f>
        <v/>
      </c>
      <c r="Y610">
        <f>$C610*Y609</f>
        <v/>
      </c>
      <c r="Z610">
        <f>$C610*Z609</f>
        <v/>
      </c>
      <c r="AA610">
        <f>$C610*AA609</f>
        <v/>
      </c>
      <c r="AB610">
        <f>$C610*AB609</f>
        <v/>
      </c>
      <c r="AC610">
        <f>$C610*AC609</f>
        <v/>
      </c>
      <c r="AD610">
        <f>$C610*AD609</f>
        <v/>
      </c>
      <c r="AE610">
        <f>$C610*AE609</f>
        <v/>
      </c>
      <c r="AF610">
        <f>$C610*AF609</f>
        <v/>
      </c>
      <c r="AG610">
        <f>$C610*AG609</f>
        <v/>
      </c>
      <c r="AH610">
        <f>$C610*AH609</f>
        <v/>
      </c>
      <c r="AI610">
        <f>$C610*AI609</f>
        <v/>
      </c>
      <c r="AJ610">
        <f>$C610*AJ609</f>
        <v/>
      </c>
      <c r="AK610">
        <f>$C610*AK609</f>
        <v/>
      </c>
      <c r="AL610">
        <f>$C610*AL609</f>
        <v/>
      </c>
      <c r="AM610">
        <f>$C610*AM609</f>
        <v/>
      </c>
      <c r="AN610">
        <f>$C610*AN609</f>
        <v/>
      </c>
      <c r="AO610">
        <f>$C610*AO609</f>
        <v/>
      </c>
      <c r="AP610">
        <f>$C610*AP609</f>
        <v/>
      </c>
      <c r="AQ610">
        <f>$C610*AQ609</f>
        <v/>
      </c>
      <c r="AR610">
        <f>$C610*AR609</f>
        <v/>
      </c>
      <c r="AS610">
        <f>$C610*AS609</f>
        <v/>
      </c>
      <c r="AT610">
        <f>$C610*AT609</f>
        <v/>
      </c>
      <c r="AU610">
        <f>$C610*AU609</f>
        <v/>
      </c>
      <c r="AV610">
        <f>$C610*AV609</f>
        <v/>
      </c>
      <c r="AW610">
        <f>$C610*AW609</f>
        <v/>
      </c>
      <c r="AX610">
        <f>$C610*AX609</f>
        <v/>
      </c>
      <c r="AY610">
        <f>$C610*AY609</f>
        <v/>
      </c>
      <c r="AZ610">
        <f>$C610*AZ609</f>
        <v/>
      </c>
      <c r="BA610">
        <f>$C610*BA609</f>
        <v/>
      </c>
      <c r="BB610">
        <f>$C610*BB609</f>
        <v/>
      </c>
      <c r="BC610">
        <f>$C610*BC609</f>
        <v/>
      </c>
      <c r="BD610">
        <f>$C610*BD609</f>
        <v/>
      </c>
      <c r="BE610">
        <f>$C610*BE609</f>
        <v/>
      </c>
      <c r="BF610">
        <f>$C610*BF609</f>
        <v/>
      </c>
      <c r="BG610">
        <f>$C610*BG609</f>
        <v/>
      </c>
      <c r="BH610">
        <f>$C610*BH609</f>
        <v/>
      </c>
      <c r="BI610">
        <f>$C610*BI609</f>
        <v/>
      </c>
      <c r="BJ610">
        <f>$C610*BJ609</f>
        <v/>
      </c>
      <c r="BK610">
        <f>$C610*BK609</f>
        <v/>
      </c>
      <c r="BL610">
        <f>$C610*BL609</f>
        <v/>
      </c>
      <c r="BM610">
        <f>$C610*BM609</f>
        <v/>
      </c>
      <c r="BN610">
        <f>$C610*BN609</f>
        <v/>
      </c>
      <c r="BO610">
        <f>$C610*BO609</f>
        <v/>
      </c>
      <c r="BP610">
        <f>$C610*BP609</f>
        <v/>
      </c>
      <c r="BQ610">
        <f>$C610*BQ609</f>
        <v/>
      </c>
      <c r="BR610">
        <f>$C610*BR609</f>
        <v/>
      </c>
      <c r="BS610">
        <f>$C610*BS609</f>
        <v/>
      </c>
      <c r="BT610">
        <f>$C610*BT609</f>
        <v/>
      </c>
      <c r="BU610">
        <f>$C610*BU609</f>
        <v/>
      </c>
      <c r="BV610">
        <f>$C610*BV609</f>
        <v/>
      </c>
      <c r="BW610">
        <f>$C610*BW609</f>
        <v/>
      </c>
      <c r="BX610">
        <f>$C610*BX609</f>
        <v/>
      </c>
      <c r="BY610">
        <f>$C610*BY609</f>
        <v/>
      </c>
      <c r="BZ610">
        <f>$C610*BZ609</f>
        <v/>
      </c>
      <c r="CA610">
        <f>$C610*CA609</f>
        <v/>
      </c>
      <c r="CB610">
        <f>$C610*CB609</f>
        <v/>
      </c>
      <c r="CC610">
        <f>$C610*CC609</f>
        <v/>
      </c>
      <c r="CD610">
        <f>$C610*CD609</f>
        <v/>
      </c>
      <c r="CE610">
        <f>$C610*CE609</f>
        <v/>
      </c>
      <c r="CF610">
        <f>$C610*CF609</f>
        <v/>
      </c>
      <c r="CG610">
        <f>$C610*CG609</f>
        <v/>
      </c>
      <c r="CH610">
        <f>$C610*CH609</f>
        <v/>
      </c>
      <c r="CI610">
        <f>$C610*CI609</f>
        <v/>
      </c>
      <c r="CJ610">
        <f>$C610*CJ609</f>
        <v/>
      </c>
      <c r="CK610">
        <f>$C610*CK609</f>
        <v/>
      </c>
      <c r="CL610">
        <f>$C610*CL609</f>
        <v/>
      </c>
      <c r="CM610">
        <f>$C610*CM609</f>
        <v/>
      </c>
      <c r="CN610">
        <f>$C610*CN609</f>
        <v/>
      </c>
      <c r="CO610">
        <f>$C610*CO609</f>
        <v/>
      </c>
      <c r="CP610">
        <f>$C610*CP609</f>
        <v/>
      </c>
      <c r="CQ610">
        <f>$C610*CQ609</f>
        <v/>
      </c>
      <c r="CR610">
        <f>$C610*CR609</f>
        <v/>
      </c>
      <c r="CS610">
        <f>$C610*CS609</f>
        <v/>
      </c>
      <c r="CT610">
        <f>$C610*CT609</f>
        <v/>
      </c>
      <c r="CU610">
        <f>$C610*CU609</f>
        <v/>
      </c>
      <c r="CV610">
        <f>$C610*CV609</f>
        <v/>
      </c>
      <c r="CW610">
        <f>$C610*CW609</f>
        <v/>
      </c>
      <c r="CX610">
        <f>$C610*CX609</f>
        <v/>
      </c>
      <c r="CY610">
        <f>$C610*CY609</f>
        <v/>
      </c>
      <c r="CZ610">
        <f>$C610*CZ609</f>
        <v/>
      </c>
      <c r="DA610">
        <f>$C610*DA609</f>
        <v/>
      </c>
      <c r="DB610">
        <f>$C610*DB609</f>
        <v/>
      </c>
      <c r="DC610">
        <f>$C610*DC609</f>
        <v/>
      </c>
    </row>
    <row r="611">
      <c r="B611" t="inlineStr">
        <is>
          <t>TPP-204</t>
        </is>
      </c>
      <c r="C611" t="inlineStr">
        <is>
          <t>No. of batches</t>
        </is>
      </c>
      <c r="D611">
        <f>IFERROR(INDEX(PP_Grid[#Data],$DD611,2),0)</f>
        <v/>
      </c>
      <c r="E611">
        <f>IFERROR(INDEX(PP_Grid[#Data],$DD611,3),0)</f>
        <v/>
      </c>
      <c r="F611">
        <f>IFERROR(INDEX(PP_Grid[#Data],$DD611,4),0)</f>
        <v/>
      </c>
      <c r="G611">
        <f>IFERROR(INDEX(PP_Grid[#Data],$DD611,5),0)</f>
        <v/>
      </c>
      <c r="H611">
        <f>IFERROR(INDEX(PP_Grid[#Data],$DD611,6),0)</f>
        <v/>
      </c>
      <c r="I611">
        <f>IFERROR(INDEX(PP_Grid[#Data],$DD611,7),0)</f>
        <v/>
      </c>
      <c r="J611">
        <f>IFERROR(INDEX(PP_Grid[#Data],$DD611,8),0)</f>
        <v/>
      </c>
      <c r="K611">
        <f>IFERROR(INDEX(PP_Grid[#Data],$DD611,9),0)</f>
        <v/>
      </c>
      <c r="L611">
        <f>IFERROR(INDEX(PP_Grid[#Data],$DD611,10),0)</f>
        <v/>
      </c>
      <c r="M611">
        <f>IFERROR(INDEX(PP_Grid[#Data],$DD611,11),0)</f>
        <v/>
      </c>
      <c r="N611">
        <f>IFERROR(INDEX(PP_Grid[#Data],$DD611,12),0)</f>
        <v/>
      </c>
      <c r="O611">
        <f>IFERROR(INDEX(PP_Grid[#Data],$DD611,13),0)</f>
        <v/>
      </c>
      <c r="P611">
        <f>IFERROR(INDEX(PP_Grid[#Data],$DD611,14),0)</f>
        <v/>
      </c>
      <c r="Q611">
        <f>IFERROR(INDEX(PP_Grid[#Data],$DD611,15),0)</f>
        <v/>
      </c>
      <c r="R611">
        <f>IFERROR(INDEX(PP_Grid[#Data],$DD611,16),0)</f>
        <v/>
      </c>
      <c r="S611">
        <f>IFERROR(INDEX(PP_Grid[#Data],$DD611,17),0)</f>
        <v/>
      </c>
      <c r="T611">
        <f>IFERROR(INDEX(PP_Grid[#Data],$DD611,18),0)</f>
        <v/>
      </c>
      <c r="U611">
        <f>IFERROR(INDEX(PP_Grid[#Data],$DD611,19),0)</f>
        <v/>
      </c>
      <c r="V611">
        <f>IFERROR(INDEX(PP_Grid[#Data],$DD611,20),0)</f>
        <v/>
      </c>
      <c r="W611">
        <f>IFERROR(INDEX(PP_Grid[#Data],$DD611,21),0)</f>
        <v/>
      </c>
      <c r="X611">
        <f>IFERROR(INDEX(PP_Grid[#Data],$DD611,22),0)</f>
        <v/>
      </c>
      <c r="Y611">
        <f>IFERROR(INDEX(PP_Grid[#Data],$DD611,23),0)</f>
        <v/>
      </c>
      <c r="Z611">
        <f>IFERROR(INDEX(PP_Grid[#Data],$DD611,24),0)</f>
        <v/>
      </c>
      <c r="AA611">
        <f>IFERROR(INDEX(PP_Grid[#Data],$DD611,25),0)</f>
        <v/>
      </c>
      <c r="AB611">
        <f>IFERROR(INDEX(PP_Grid[#Data],$DD611,26),0)</f>
        <v/>
      </c>
      <c r="AC611">
        <f>IFERROR(INDEX(PP_Grid[#Data],$DD611,27),0)</f>
        <v/>
      </c>
      <c r="AD611">
        <f>IFERROR(INDEX(PP_Grid[#Data],$DD611,28),0)</f>
        <v/>
      </c>
      <c r="AE611">
        <f>IFERROR(INDEX(PP_Grid[#Data],$DD611,29),0)</f>
        <v/>
      </c>
      <c r="AF611">
        <f>IFERROR(INDEX(PP_Grid[#Data],$DD611,30),0)</f>
        <v/>
      </c>
      <c r="AG611">
        <f>IFERROR(INDEX(PP_Grid[#Data],$DD611,31),0)</f>
        <v/>
      </c>
      <c r="AH611">
        <f>IFERROR(INDEX(PP_Grid[#Data],$DD611,32),0)</f>
        <v/>
      </c>
      <c r="AI611">
        <f>IFERROR(INDEX(PP_Grid[#Data],$DD611,33),0)</f>
        <v/>
      </c>
      <c r="AJ611">
        <f>IFERROR(INDEX(PP_Grid[#Data],$DD611,34),0)</f>
        <v/>
      </c>
      <c r="AK611">
        <f>IFERROR(INDEX(PP_Grid[#Data],$DD611,35),0)</f>
        <v/>
      </c>
      <c r="AL611">
        <f>IFERROR(INDEX(PP_Grid[#Data],$DD611,36),0)</f>
        <v/>
      </c>
      <c r="AM611">
        <f>IFERROR(INDEX(PP_Grid[#Data],$DD611,37),0)</f>
        <v/>
      </c>
      <c r="AN611">
        <f>IFERROR(INDEX(PP_Grid[#Data],$DD611,38),0)</f>
        <v/>
      </c>
      <c r="AO611">
        <f>IFERROR(INDEX(PP_Grid[#Data],$DD611,39),0)</f>
        <v/>
      </c>
      <c r="AP611">
        <f>IFERROR(INDEX(PP_Grid[#Data],$DD611,40),0)</f>
        <v/>
      </c>
      <c r="AQ611">
        <f>IFERROR(INDEX(PP_Grid[#Data],$DD611,41),0)</f>
        <v/>
      </c>
      <c r="AR611">
        <f>IFERROR(INDEX(PP_Grid[#Data],$DD611,42),0)</f>
        <v/>
      </c>
      <c r="AS611">
        <f>IFERROR(INDEX(PP_Grid[#Data],$DD611,43),0)</f>
        <v/>
      </c>
      <c r="AT611">
        <f>IFERROR(INDEX(PP_Grid[#Data],$DD611,44),0)</f>
        <v/>
      </c>
      <c r="AU611">
        <f>IFERROR(INDEX(PP_Grid[#Data],$DD611,45),0)</f>
        <v/>
      </c>
      <c r="AV611">
        <f>IFERROR(INDEX(PP_Grid[#Data],$DD611,46),0)</f>
        <v/>
      </c>
      <c r="AW611">
        <f>IFERROR(INDEX(PP_Grid[#Data],$DD611,47),0)</f>
        <v/>
      </c>
      <c r="AX611">
        <f>IFERROR(INDEX(PP_Grid[#Data],$DD611,48),0)</f>
        <v/>
      </c>
      <c r="AY611">
        <f>IFERROR(INDEX(PP_Grid[#Data],$DD611,49),0)</f>
        <v/>
      </c>
      <c r="AZ611">
        <f>IFERROR(INDEX(PP_Grid[#Data],$DD611,50),0)</f>
        <v/>
      </c>
      <c r="BA611">
        <f>IFERROR(INDEX(PP_Grid[#Data],$DD611,51),0)</f>
        <v/>
      </c>
      <c r="BB611">
        <f>IFERROR(INDEX(PP_Grid[#Data],$DD611,52),0)</f>
        <v/>
      </c>
      <c r="BC611">
        <f>IFERROR(INDEX(PP_Grid[#Data],$DD611,53),0)</f>
        <v/>
      </c>
      <c r="BD611">
        <f>IFERROR(INDEX(PP_Grid[#Data],$DD611,54),0)</f>
        <v/>
      </c>
      <c r="BE611">
        <f>IFERROR(INDEX(PP_Grid[#Data],$DD611,55),0)</f>
        <v/>
      </c>
      <c r="BF611">
        <f>IFERROR(INDEX(PP_Grid[#Data],$DD611,56),0)</f>
        <v/>
      </c>
      <c r="BG611">
        <f>IFERROR(INDEX(PP_Grid[#Data],$DD611,57),0)</f>
        <v/>
      </c>
      <c r="BH611">
        <f>IFERROR(INDEX(PP_Grid[#Data],$DD611,58),0)</f>
        <v/>
      </c>
      <c r="BI611">
        <f>IFERROR(INDEX(PP_Grid[#Data],$DD611,59),0)</f>
        <v/>
      </c>
      <c r="BJ611">
        <f>IFERROR(INDEX(PP_Grid[#Data],$DD611,60),0)</f>
        <v/>
      </c>
      <c r="BK611">
        <f>IFERROR(INDEX(PP_Grid[#Data],$DD611,61),0)</f>
        <v/>
      </c>
      <c r="BL611">
        <f>IFERROR(INDEX(PP_Grid[#Data],$DD611,62),0)</f>
        <v/>
      </c>
      <c r="BM611">
        <f>IFERROR(INDEX(PP_Grid[#Data],$DD611,63),0)</f>
        <v/>
      </c>
      <c r="BN611">
        <f>IFERROR(INDEX(PP_Grid[#Data],$DD611,64),0)</f>
        <v/>
      </c>
      <c r="BO611">
        <f>IFERROR(INDEX(PP_Grid[#Data],$DD611,65),0)</f>
        <v/>
      </c>
      <c r="BP611">
        <f>IFERROR(INDEX(PP_Grid[#Data],$DD611,66),0)</f>
        <v/>
      </c>
      <c r="BQ611">
        <f>IFERROR(INDEX(PP_Grid[#Data],$DD611,67),0)</f>
        <v/>
      </c>
      <c r="BR611">
        <f>IFERROR(INDEX(PP_Grid[#Data],$DD611,68),0)</f>
        <v/>
      </c>
      <c r="BS611">
        <f>IFERROR(INDEX(PP_Grid[#Data],$DD611,69),0)</f>
        <v/>
      </c>
      <c r="BT611">
        <f>IFERROR(INDEX(PP_Grid[#Data],$DD611,70),0)</f>
        <v/>
      </c>
      <c r="BU611">
        <f>IFERROR(INDEX(PP_Grid[#Data],$DD611,71),0)</f>
        <v/>
      </c>
      <c r="BV611">
        <f>IFERROR(INDEX(PP_Grid[#Data],$DD611,72),0)</f>
        <v/>
      </c>
      <c r="BW611">
        <f>IFERROR(INDEX(PP_Grid[#Data],$DD611,73),0)</f>
        <v/>
      </c>
      <c r="BX611">
        <f>IFERROR(INDEX(PP_Grid[#Data],$DD611,74),0)</f>
        <v/>
      </c>
      <c r="BY611">
        <f>IFERROR(INDEX(PP_Grid[#Data],$DD611,75),0)</f>
        <v/>
      </c>
      <c r="BZ611">
        <f>IFERROR(INDEX(PP_Grid[#Data],$DD611,76),0)</f>
        <v/>
      </c>
      <c r="CA611">
        <f>IFERROR(INDEX(PP_Grid[#Data],$DD611,77),0)</f>
        <v/>
      </c>
      <c r="CB611">
        <f>IFERROR(INDEX(PP_Grid[#Data],$DD611,78),0)</f>
        <v/>
      </c>
      <c r="CC611">
        <f>IFERROR(INDEX(PP_Grid[#Data],$DD611,79),0)</f>
        <v/>
      </c>
      <c r="CD611">
        <f>IFERROR(INDEX(PP_Grid[#Data],$DD611,80),0)</f>
        <v/>
      </c>
      <c r="CE611">
        <f>IFERROR(INDEX(PP_Grid[#Data],$DD611,81),0)</f>
        <v/>
      </c>
      <c r="CF611">
        <f>IFERROR(INDEX(PP_Grid[#Data],$DD611,82),0)</f>
        <v/>
      </c>
      <c r="CG611">
        <f>IFERROR(INDEX(PP_Grid[#Data],$DD611,83),0)</f>
        <v/>
      </c>
      <c r="CH611">
        <f>IFERROR(INDEX(PP_Grid[#Data],$DD611,84),0)</f>
        <v/>
      </c>
      <c r="CI611">
        <f>IFERROR(INDEX(PP_Grid[#Data],$DD611,85),0)</f>
        <v/>
      </c>
      <c r="CJ611">
        <f>IFERROR(INDEX(PP_Grid[#Data],$DD611,86),0)</f>
        <v/>
      </c>
      <c r="CK611">
        <f>IFERROR(INDEX(PP_Grid[#Data],$DD611,87),0)</f>
        <v/>
      </c>
      <c r="CL611">
        <f>IFERROR(INDEX(PP_Grid[#Data],$DD611,88),0)</f>
        <v/>
      </c>
      <c r="CM611">
        <f>IFERROR(INDEX(PP_Grid[#Data],$DD611,89),0)</f>
        <v/>
      </c>
      <c r="CN611">
        <f>IFERROR(INDEX(PP_Grid[#Data],$DD611,90),0)</f>
        <v/>
      </c>
      <c r="CO611">
        <f>IFERROR(INDEX(PP_Grid[#Data],$DD611,91),0)</f>
        <v/>
      </c>
      <c r="CP611">
        <f>IFERROR(INDEX(PP_Grid[#Data],$DD611,92),0)</f>
        <v/>
      </c>
      <c r="CQ611">
        <f>IFERROR(INDEX(PP_Grid[#Data],$DD611,93),0)</f>
        <v/>
      </c>
      <c r="CR611">
        <f>IFERROR(INDEX(PP_Grid[#Data],$DD611,94),0)</f>
        <v/>
      </c>
      <c r="CS611">
        <f>IFERROR(INDEX(PP_Grid[#Data],$DD611,95),0)</f>
        <v/>
      </c>
      <c r="CT611">
        <f>IFERROR(INDEX(PP_Grid[#Data],$DD611,96),0)</f>
        <v/>
      </c>
      <c r="CU611">
        <f>IFERROR(INDEX(PP_Grid[#Data],$DD611,97),0)</f>
        <v/>
      </c>
      <c r="CV611">
        <f>IFERROR(INDEX(PP_Grid[#Data],$DD611,98),0)</f>
        <v/>
      </c>
      <c r="CW611">
        <f>IFERROR(INDEX(PP_Grid[#Data],$DD611,99),0)</f>
        <v/>
      </c>
      <c r="CX611">
        <f>IFERROR(INDEX(PP_Grid[#Data],$DD611,100),0)</f>
        <v/>
      </c>
      <c r="CY611">
        <f>IFERROR(INDEX(PP_Grid[#Data],$DD611,101),0)</f>
        <v/>
      </c>
      <c r="CZ611">
        <f>IFERROR(INDEX(PP_Grid[#Data],$DD611,102),0)</f>
        <v/>
      </c>
      <c r="DA611">
        <f>IFERROR(INDEX(PP_Grid[#Data],$DD611,103),0)</f>
        <v/>
      </c>
      <c r="DB611">
        <f>IFERROR(INDEX(PP_Grid[#Data],$DD611,104),0)</f>
        <v/>
      </c>
      <c r="DC611">
        <f>IFERROR(INDEX(PP_Grid[#Data],$DD611,105),0)</f>
        <v/>
      </c>
      <c r="DD611" s="7">
        <f>IFERROR(MATCH($B611,PP_Grid[Intermediate],0),99999)</f>
        <v/>
      </c>
    </row>
    <row r="612">
      <c r="B612" t="inlineStr">
        <is>
          <t>使用量(kg)</t>
        </is>
      </c>
      <c r="C612">
        <f>SUMIFS(M_BOM[RM_Qty_Per_Batch],M_BOM[Intermediate],$B611,M_BOM[Part Name],$A580)</f>
        <v/>
      </c>
      <c r="D612">
        <f>$C612*D611</f>
        <v/>
      </c>
      <c r="E612">
        <f>$C612*E611</f>
        <v/>
      </c>
      <c r="F612">
        <f>$C612*F611</f>
        <v/>
      </c>
      <c r="G612">
        <f>$C612*G611</f>
        <v/>
      </c>
      <c r="H612">
        <f>$C612*H611</f>
        <v/>
      </c>
      <c r="I612">
        <f>$C612*I611</f>
        <v/>
      </c>
      <c r="J612">
        <f>$C612*J611</f>
        <v/>
      </c>
      <c r="K612">
        <f>$C612*K611</f>
        <v/>
      </c>
      <c r="L612">
        <f>$C612*L611</f>
        <v/>
      </c>
      <c r="M612">
        <f>$C612*M611</f>
        <v/>
      </c>
      <c r="N612">
        <f>$C612*N611</f>
        <v/>
      </c>
      <c r="O612">
        <f>$C612*O611</f>
        <v/>
      </c>
      <c r="P612">
        <f>$C612*P611</f>
        <v/>
      </c>
      <c r="Q612">
        <f>$C612*Q611</f>
        <v/>
      </c>
      <c r="R612">
        <f>$C612*R611</f>
        <v/>
      </c>
      <c r="S612">
        <f>$C612*S611</f>
        <v/>
      </c>
      <c r="T612">
        <f>$C612*T611</f>
        <v/>
      </c>
      <c r="U612">
        <f>$C612*U611</f>
        <v/>
      </c>
      <c r="V612">
        <f>$C612*V611</f>
        <v/>
      </c>
      <c r="W612">
        <f>$C612*W611</f>
        <v/>
      </c>
      <c r="X612">
        <f>$C612*X611</f>
        <v/>
      </c>
      <c r="Y612">
        <f>$C612*Y611</f>
        <v/>
      </c>
      <c r="Z612">
        <f>$C612*Z611</f>
        <v/>
      </c>
      <c r="AA612">
        <f>$C612*AA611</f>
        <v/>
      </c>
      <c r="AB612">
        <f>$C612*AB611</f>
        <v/>
      </c>
      <c r="AC612">
        <f>$C612*AC611</f>
        <v/>
      </c>
      <c r="AD612">
        <f>$C612*AD611</f>
        <v/>
      </c>
      <c r="AE612">
        <f>$C612*AE611</f>
        <v/>
      </c>
      <c r="AF612">
        <f>$C612*AF611</f>
        <v/>
      </c>
      <c r="AG612">
        <f>$C612*AG611</f>
        <v/>
      </c>
      <c r="AH612">
        <f>$C612*AH611</f>
        <v/>
      </c>
      <c r="AI612">
        <f>$C612*AI611</f>
        <v/>
      </c>
      <c r="AJ612">
        <f>$C612*AJ611</f>
        <v/>
      </c>
      <c r="AK612">
        <f>$C612*AK611</f>
        <v/>
      </c>
      <c r="AL612">
        <f>$C612*AL611</f>
        <v/>
      </c>
      <c r="AM612">
        <f>$C612*AM611</f>
        <v/>
      </c>
      <c r="AN612">
        <f>$C612*AN611</f>
        <v/>
      </c>
      <c r="AO612">
        <f>$C612*AO611</f>
        <v/>
      </c>
      <c r="AP612">
        <f>$C612*AP611</f>
        <v/>
      </c>
      <c r="AQ612">
        <f>$C612*AQ611</f>
        <v/>
      </c>
      <c r="AR612">
        <f>$C612*AR611</f>
        <v/>
      </c>
      <c r="AS612">
        <f>$C612*AS611</f>
        <v/>
      </c>
      <c r="AT612">
        <f>$C612*AT611</f>
        <v/>
      </c>
      <c r="AU612">
        <f>$C612*AU611</f>
        <v/>
      </c>
      <c r="AV612">
        <f>$C612*AV611</f>
        <v/>
      </c>
      <c r="AW612">
        <f>$C612*AW611</f>
        <v/>
      </c>
      <c r="AX612">
        <f>$C612*AX611</f>
        <v/>
      </c>
      <c r="AY612">
        <f>$C612*AY611</f>
        <v/>
      </c>
      <c r="AZ612">
        <f>$C612*AZ611</f>
        <v/>
      </c>
      <c r="BA612">
        <f>$C612*BA611</f>
        <v/>
      </c>
      <c r="BB612">
        <f>$C612*BB611</f>
        <v/>
      </c>
      <c r="BC612">
        <f>$C612*BC611</f>
        <v/>
      </c>
      <c r="BD612">
        <f>$C612*BD611</f>
        <v/>
      </c>
      <c r="BE612">
        <f>$C612*BE611</f>
        <v/>
      </c>
      <c r="BF612">
        <f>$C612*BF611</f>
        <v/>
      </c>
      <c r="BG612">
        <f>$C612*BG611</f>
        <v/>
      </c>
      <c r="BH612">
        <f>$C612*BH611</f>
        <v/>
      </c>
      <c r="BI612">
        <f>$C612*BI611</f>
        <v/>
      </c>
      <c r="BJ612">
        <f>$C612*BJ611</f>
        <v/>
      </c>
      <c r="BK612">
        <f>$C612*BK611</f>
        <v/>
      </c>
      <c r="BL612">
        <f>$C612*BL611</f>
        <v/>
      </c>
      <c r="BM612">
        <f>$C612*BM611</f>
        <v/>
      </c>
      <c r="BN612">
        <f>$C612*BN611</f>
        <v/>
      </c>
      <c r="BO612">
        <f>$C612*BO611</f>
        <v/>
      </c>
      <c r="BP612">
        <f>$C612*BP611</f>
        <v/>
      </c>
      <c r="BQ612">
        <f>$C612*BQ611</f>
        <v/>
      </c>
      <c r="BR612">
        <f>$C612*BR611</f>
        <v/>
      </c>
      <c r="BS612">
        <f>$C612*BS611</f>
        <v/>
      </c>
      <c r="BT612">
        <f>$C612*BT611</f>
        <v/>
      </c>
      <c r="BU612">
        <f>$C612*BU611</f>
        <v/>
      </c>
      <c r="BV612">
        <f>$C612*BV611</f>
        <v/>
      </c>
      <c r="BW612">
        <f>$C612*BW611</f>
        <v/>
      </c>
      <c r="BX612">
        <f>$C612*BX611</f>
        <v/>
      </c>
      <c r="BY612">
        <f>$C612*BY611</f>
        <v/>
      </c>
      <c r="BZ612">
        <f>$C612*BZ611</f>
        <v/>
      </c>
      <c r="CA612">
        <f>$C612*CA611</f>
        <v/>
      </c>
      <c r="CB612">
        <f>$C612*CB611</f>
        <v/>
      </c>
      <c r="CC612">
        <f>$C612*CC611</f>
        <v/>
      </c>
      <c r="CD612">
        <f>$C612*CD611</f>
        <v/>
      </c>
      <c r="CE612">
        <f>$C612*CE611</f>
        <v/>
      </c>
      <c r="CF612">
        <f>$C612*CF611</f>
        <v/>
      </c>
      <c r="CG612">
        <f>$C612*CG611</f>
        <v/>
      </c>
      <c r="CH612">
        <f>$C612*CH611</f>
        <v/>
      </c>
      <c r="CI612">
        <f>$C612*CI611</f>
        <v/>
      </c>
      <c r="CJ612">
        <f>$C612*CJ611</f>
        <v/>
      </c>
      <c r="CK612">
        <f>$C612*CK611</f>
        <v/>
      </c>
      <c r="CL612">
        <f>$C612*CL611</f>
        <v/>
      </c>
      <c r="CM612">
        <f>$C612*CM611</f>
        <v/>
      </c>
      <c r="CN612">
        <f>$C612*CN611</f>
        <v/>
      </c>
      <c r="CO612">
        <f>$C612*CO611</f>
        <v/>
      </c>
      <c r="CP612">
        <f>$C612*CP611</f>
        <v/>
      </c>
      <c r="CQ612">
        <f>$C612*CQ611</f>
        <v/>
      </c>
      <c r="CR612">
        <f>$C612*CR611</f>
        <v/>
      </c>
      <c r="CS612">
        <f>$C612*CS611</f>
        <v/>
      </c>
      <c r="CT612">
        <f>$C612*CT611</f>
        <v/>
      </c>
      <c r="CU612">
        <f>$C612*CU611</f>
        <v/>
      </c>
      <c r="CV612">
        <f>$C612*CV611</f>
        <v/>
      </c>
      <c r="CW612">
        <f>$C612*CW611</f>
        <v/>
      </c>
      <c r="CX612">
        <f>$C612*CX611</f>
        <v/>
      </c>
      <c r="CY612">
        <f>$C612*CY611</f>
        <v/>
      </c>
      <c r="CZ612">
        <f>$C612*CZ611</f>
        <v/>
      </c>
      <c r="DA612">
        <f>$C612*DA611</f>
        <v/>
      </c>
      <c r="DB612">
        <f>$C612*DB611</f>
        <v/>
      </c>
      <c r="DC612">
        <f>$C612*DC611</f>
        <v/>
      </c>
    </row>
    <row r="613">
      <c r="B613" t="inlineStr">
        <is>
          <t>TPP-350</t>
        </is>
      </c>
      <c r="C613" t="inlineStr">
        <is>
          <t>No. of batches</t>
        </is>
      </c>
      <c r="D613">
        <f>IFERROR(INDEX(PP_Grid[#Data],$DD613,2),0)</f>
        <v/>
      </c>
      <c r="E613">
        <f>IFERROR(INDEX(PP_Grid[#Data],$DD613,3),0)</f>
        <v/>
      </c>
      <c r="F613">
        <f>IFERROR(INDEX(PP_Grid[#Data],$DD613,4),0)</f>
        <v/>
      </c>
      <c r="G613">
        <f>IFERROR(INDEX(PP_Grid[#Data],$DD613,5),0)</f>
        <v/>
      </c>
      <c r="H613">
        <f>IFERROR(INDEX(PP_Grid[#Data],$DD613,6),0)</f>
        <v/>
      </c>
      <c r="I613">
        <f>IFERROR(INDEX(PP_Grid[#Data],$DD613,7),0)</f>
        <v/>
      </c>
      <c r="J613">
        <f>IFERROR(INDEX(PP_Grid[#Data],$DD613,8),0)</f>
        <v/>
      </c>
      <c r="K613">
        <f>IFERROR(INDEX(PP_Grid[#Data],$DD613,9),0)</f>
        <v/>
      </c>
      <c r="L613">
        <f>IFERROR(INDEX(PP_Grid[#Data],$DD613,10),0)</f>
        <v/>
      </c>
      <c r="M613">
        <f>IFERROR(INDEX(PP_Grid[#Data],$DD613,11),0)</f>
        <v/>
      </c>
      <c r="N613">
        <f>IFERROR(INDEX(PP_Grid[#Data],$DD613,12),0)</f>
        <v/>
      </c>
      <c r="O613">
        <f>IFERROR(INDEX(PP_Grid[#Data],$DD613,13),0)</f>
        <v/>
      </c>
      <c r="P613">
        <f>IFERROR(INDEX(PP_Grid[#Data],$DD613,14),0)</f>
        <v/>
      </c>
      <c r="Q613">
        <f>IFERROR(INDEX(PP_Grid[#Data],$DD613,15),0)</f>
        <v/>
      </c>
      <c r="R613">
        <f>IFERROR(INDEX(PP_Grid[#Data],$DD613,16),0)</f>
        <v/>
      </c>
      <c r="S613">
        <f>IFERROR(INDEX(PP_Grid[#Data],$DD613,17),0)</f>
        <v/>
      </c>
      <c r="T613">
        <f>IFERROR(INDEX(PP_Grid[#Data],$DD613,18),0)</f>
        <v/>
      </c>
      <c r="U613">
        <f>IFERROR(INDEX(PP_Grid[#Data],$DD613,19),0)</f>
        <v/>
      </c>
      <c r="V613">
        <f>IFERROR(INDEX(PP_Grid[#Data],$DD613,20),0)</f>
        <v/>
      </c>
      <c r="W613">
        <f>IFERROR(INDEX(PP_Grid[#Data],$DD613,21),0)</f>
        <v/>
      </c>
      <c r="X613">
        <f>IFERROR(INDEX(PP_Grid[#Data],$DD613,22),0)</f>
        <v/>
      </c>
      <c r="Y613">
        <f>IFERROR(INDEX(PP_Grid[#Data],$DD613,23),0)</f>
        <v/>
      </c>
      <c r="Z613">
        <f>IFERROR(INDEX(PP_Grid[#Data],$DD613,24),0)</f>
        <v/>
      </c>
      <c r="AA613">
        <f>IFERROR(INDEX(PP_Grid[#Data],$DD613,25),0)</f>
        <v/>
      </c>
      <c r="AB613">
        <f>IFERROR(INDEX(PP_Grid[#Data],$DD613,26),0)</f>
        <v/>
      </c>
      <c r="AC613">
        <f>IFERROR(INDEX(PP_Grid[#Data],$DD613,27),0)</f>
        <v/>
      </c>
      <c r="AD613">
        <f>IFERROR(INDEX(PP_Grid[#Data],$DD613,28),0)</f>
        <v/>
      </c>
      <c r="AE613">
        <f>IFERROR(INDEX(PP_Grid[#Data],$DD613,29),0)</f>
        <v/>
      </c>
      <c r="AF613">
        <f>IFERROR(INDEX(PP_Grid[#Data],$DD613,30),0)</f>
        <v/>
      </c>
      <c r="AG613">
        <f>IFERROR(INDEX(PP_Grid[#Data],$DD613,31),0)</f>
        <v/>
      </c>
      <c r="AH613">
        <f>IFERROR(INDEX(PP_Grid[#Data],$DD613,32),0)</f>
        <v/>
      </c>
      <c r="AI613">
        <f>IFERROR(INDEX(PP_Grid[#Data],$DD613,33),0)</f>
        <v/>
      </c>
      <c r="AJ613">
        <f>IFERROR(INDEX(PP_Grid[#Data],$DD613,34),0)</f>
        <v/>
      </c>
      <c r="AK613">
        <f>IFERROR(INDEX(PP_Grid[#Data],$DD613,35),0)</f>
        <v/>
      </c>
      <c r="AL613">
        <f>IFERROR(INDEX(PP_Grid[#Data],$DD613,36),0)</f>
        <v/>
      </c>
      <c r="AM613">
        <f>IFERROR(INDEX(PP_Grid[#Data],$DD613,37),0)</f>
        <v/>
      </c>
      <c r="AN613">
        <f>IFERROR(INDEX(PP_Grid[#Data],$DD613,38),0)</f>
        <v/>
      </c>
      <c r="AO613">
        <f>IFERROR(INDEX(PP_Grid[#Data],$DD613,39),0)</f>
        <v/>
      </c>
      <c r="AP613">
        <f>IFERROR(INDEX(PP_Grid[#Data],$DD613,40),0)</f>
        <v/>
      </c>
      <c r="AQ613">
        <f>IFERROR(INDEX(PP_Grid[#Data],$DD613,41),0)</f>
        <v/>
      </c>
      <c r="AR613">
        <f>IFERROR(INDEX(PP_Grid[#Data],$DD613,42),0)</f>
        <v/>
      </c>
      <c r="AS613">
        <f>IFERROR(INDEX(PP_Grid[#Data],$DD613,43),0)</f>
        <v/>
      </c>
      <c r="AT613">
        <f>IFERROR(INDEX(PP_Grid[#Data],$DD613,44),0)</f>
        <v/>
      </c>
      <c r="AU613">
        <f>IFERROR(INDEX(PP_Grid[#Data],$DD613,45),0)</f>
        <v/>
      </c>
      <c r="AV613">
        <f>IFERROR(INDEX(PP_Grid[#Data],$DD613,46),0)</f>
        <v/>
      </c>
      <c r="AW613">
        <f>IFERROR(INDEX(PP_Grid[#Data],$DD613,47),0)</f>
        <v/>
      </c>
      <c r="AX613">
        <f>IFERROR(INDEX(PP_Grid[#Data],$DD613,48),0)</f>
        <v/>
      </c>
      <c r="AY613">
        <f>IFERROR(INDEX(PP_Grid[#Data],$DD613,49),0)</f>
        <v/>
      </c>
      <c r="AZ613">
        <f>IFERROR(INDEX(PP_Grid[#Data],$DD613,50),0)</f>
        <v/>
      </c>
      <c r="BA613">
        <f>IFERROR(INDEX(PP_Grid[#Data],$DD613,51),0)</f>
        <v/>
      </c>
      <c r="BB613">
        <f>IFERROR(INDEX(PP_Grid[#Data],$DD613,52),0)</f>
        <v/>
      </c>
      <c r="BC613">
        <f>IFERROR(INDEX(PP_Grid[#Data],$DD613,53),0)</f>
        <v/>
      </c>
      <c r="BD613">
        <f>IFERROR(INDEX(PP_Grid[#Data],$DD613,54),0)</f>
        <v/>
      </c>
      <c r="BE613">
        <f>IFERROR(INDEX(PP_Grid[#Data],$DD613,55),0)</f>
        <v/>
      </c>
      <c r="BF613">
        <f>IFERROR(INDEX(PP_Grid[#Data],$DD613,56),0)</f>
        <v/>
      </c>
      <c r="BG613">
        <f>IFERROR(INDEX(PP_Grid[#Data],$DD613,57),0)</f>
        <v/>
      </c>
      <c r="BH613">
        <f>IFERROR(INDEX(PP_Grid[#Data],$DD613,58),0)</f>
        <v/>
      </c>
      <c r="BI613">
        <f>IFERROR(INDEX(PP_Grid[#Data],$DD613,59),0)</f>
        <v/>
      </c>
      <c r="BJ613">
        <f>IFERROR(INDEX(PP_Grid[#Data],$DD613,60),0)</f>
        <v/>
      </c>
      <c r="BK613">
        <f>IFERROR(INDEX(PP_Grid[#Data],$DD613,61),0)</f>
        <v/>
      </c>
      <c r="BL613">
        <f>IFERROR(INDEX(PP_Grid[#Data],$DD613,62),0)</f>
        <v/>
      </c>
      <c r="BM613">
        <f>IFERROR(INDEX(PP_Grid[#Data],$DD613,63),0)</f>
        <v/>
      </c>
      <c r="BN613">
        <f>IFERROR(INDEX(PP_Grid[#Data],$DD613,64),0)</f>
        <v/>
      </c>
      <c r="BO613">
        <f>IFERROR(INDEX(PP_Grid[#Data],$DD613,65),0)</f>
        <v/>
      </c>
      <c r="BP613">
        <f>IFERROR(INDEX(PP_Grid[#Data],$DD613,66),0)</f>
        <v/>
      </c>
      <c r="BQ613">
        <f>IFERROR(INDEX(PP_Grid[#Data],$DD613,67),0)</f>
        <v/>
      </c>
      <c r="BR613">
        <f>IFERROR(INDEX(PP_Grid[#Data],$DD613,68),0)</f>
        <v/>
      </c>
      <c r="BS613">
        <f>IFERROR(INDEX(PP_Grid[#Data],$DD613,69),0)</f>
        <v/>
      </c>
      <c r="BT613">
        <f>IFERROR(INDEX(PP_Grid[#Data],$DD613,70),0)</f>
        <v/>
      </c>
      <c r="BU613">
        <f>IFERROR(INDEX(PP_Grid[#Data],$DD613,71),0)</f>
        <v/>
      </c>
      <c r="BV613">
        <f>IFERROR(INDEX(PP_Grid[#Data],$DD613,72),0)</f>
        <v/>
      </c>
      <c r="BW613">
        <f>IFERROR(INDEX(PP_Grid[#Data],$DD613,73),0)</f>
        <v/>
      </c>
      <c r="BX613">
        <f>IFERROR(INDEX(PP_Grid[#Data],$DD613,74),0)</f>
        <v/>
      </c>
      <c r="BY613">
        <f>IFERROR(INDEX(PP_Grid[#Data],$DD613,75),0)</f>
        <v/>
      </c>
      <c r="BZ613">
        <f>IFERROR(INDEX(PP_Grid[#Data],$DD613,76),0)</f>
        <v/>
      </c>
      <c r="CA613">
        <f>IFERROR(INDEX(PP_Grid[#Data],$DD613,77),0)</f>
        <v/>
      </c>
      <c r="CB613">
        <f>IFERROR(INDEX(PP_Grid[#Data],$DD613,78),0)</f>
        <v/>
      </c>
      <c r="CC613">
        <f>IFERROR(INDEX(PP_Grid[#Data],$DD613,79),0)</f>
        <v/>
      </c>
      <c r="CD613">
        <f>IFERROR(INDEX(PP_Grid[#Data],$DD613,80),0)</f>
        <v/>
      </c>
      <c r="CE613">
        <f>IFERROR(INDEX(PP_Grid[#Data],$DD613,81),0)</f>
        <v/>
      </c>
      <c r="CF613">
        <f>IFERROR(INDEX(PP_Grid[#Data],$DD613,82),0)</f>
        <v/>
      </c>
      <c r="CG613">
        <f>IFERROR(INDEX(PP_Grid[#Data],$DD613,83),0)</f>
        <v/>
      </c>
      <c r="CH613">
        <f>IFERROR(INDEX(PP_Grid[#Data],$DD613,84),0)</f>
        <v/>
      </c>
      <c r="CI613">
        <f>IFERROR(INDEX(PP_Grid[#Data],$DD613,85),0)</f>
        <v/>
      </c>
      <c r="CJ613">
        <f>IFERROR(INDEX(PP_Grid[#Data],$DD613,86),0)</f>
        <v/>
      </c>
      <c r="CK613">
        <f>IFERROR(INDEX(PP_Grid[#Data],$DD613,87),0)</f>
        <v/>
      </c>
      <c r="CL613">
        <f>IFERROR(INDEX(PP_Grid[#Data],$DD613,88),0)</f>
        <v/>
      </c>
      <c r="CM613">
        <f>IFERROR(INDEX(PP_Grid[#Data],$DD613,89),0)</f>
        <v/>
      </c>
      <c r="CN613">
        <f>IFERROR(INDEX(PP_Grid[#Data],$DD613,90),0)</f>
        <v/>
      </c>
      <c r="CO613">
        <f>IFERROR(INDEX(PP_Grid[#Data],$DD613,91),0)</f>
        <v/>
      </c>
      <c r="CP613">
        <f>IFERROR(INDEX(PP_Grid[#Data],$DD613,92),0)</f>
        <v/>
      </c>
      <c r="CQ613">
        <f>IFERROR(INDEX(PP_Grid[#Data],$DD613,93),0)</f>
        <v/>
      </c>
      <c r="CR613">
        <f>IFERROR(INDEX(PP_Grid[#Data],$DD613,94),0)</f>
        <v/>
      </c>
      <c r="CS613">
        <f>IFERROR(INDEX(PP_Grid[#Data],$DD613,95),0)</f>
        <v/>
      </c>
      <c r="CT613">
        <f>IFERROR(INDEX(PP_Grid[#Data],$DD613,96),0)</f>
        <v/>
      </c>
      <c r="CU613">
        <f>IFERROR(INDEX(PP_Grid[#Data],$DD613,97),0)</f>
        <v/>
      </c>
      <c r="CV613">
        <f>IFERROR(INDEX(PP_Grid[#Data],$DD613,98),0)</f>
        <v/>
      </c>
      <c r="CW613">
        <f>IFERROR(INDEX(PP_Grid[#Data],$DD613,99),0)</f>
        <v/>
      </c>
      <c r="CX613">
        <f>IFERROR(INDEX(PP_Grid[#Data],$DD613,100),0)</f>
        <v/>
      </c>
      <c r="CY613">
        <f>IFERROR(INDEX(PP_Grid[#Data],$DD613,101),0)</f>
        <v/>
      </c>
      <c r="CZ613">
        <f>IFERROR(INDEX(PP_Grid[#Data],$DD613,102),0)</f>
        <v/>
      </c>
      <c r="DA613">
        <f>IFERROR(INDEX(PP_Grid[#Data],$DD613,103),0)</f>
        <v/>
      </c>
      <c r="DB613">
        <f>IFERROR(INDEX(PP_Grid[#Data],$DD613,104),0)</f>
        <v/>
      </c>
      <c r="DC613">
        <f>IFERROR(INDEX(PP_Grid[#Data],$DD613,105),0)</f>
        <v/>
      </c>
      <c r="DD613" s="7">
        <f>IFERROR(MATCH($B613,PP_Grid[Intermediate],0),99999)</f>
        <v/>
      </c>
    </row>
    <row r="614">
      <c r="B614" t="inlineStr">
        <is>
          <t>使用量(kg)</t>
        </is>
      </c>
      <c r="C614">
        <f>SUMIFS(M_BOM[RM_Qty_Per_Batch],M_BOM[Intermediate],$B613,M_BOM[Part Name],$A580)</f>
        <v/>
      </c>
      <c r="D614">
        <f>$C614*D613</f>
        <v/>
      </c>
      <c r="E614">
        <f>$C614*E613</f>
        <v/>
      </c>
      <c r="F614">
        <f>$C614*F613</f>
        <v/>
      </c>
      <c r="G614">
        <f>$C614*G613</f>
        <v/>
      </c>
      <c r="H614">
        <f>$C614*H613</f>
        <v/>
      </c>
      <c r="I614">
        <f>$C614*I613</f>
        <v/>
      </c>
      <c r="J614">
        <f>$C614*J613</f>
        <v/>
      </c>
      <c r="K614">
        <f>$C614*K613</f>
        <v/>
      </c>
      <c r="L614">
        <f>$C614*L613</f>
        <v/>
      </c>
      <c r="M614">
        <f>$C614*M613</f>
        <v/>
      </c>
      <c r="N614">
        <f>$C614*N613</f>
        <v/>
      </c>
      <c r="O614">
        <f>$C614*O613</f>
        <v/>
      </c>
      <c r="P614">
        <f>$C614*P613</f>
        <v/>
      </c>
      <c r="Q614">
        <f>$C614*Q613</f>
        <v/>
      </c>
      <c r="R614">
        <f>$C614*R613</f>
        <v/>
      </c>
      <c r="S614">
        <f>$C614*S613</f>
        <v/>
      </c>
      <c r="T614">
        <f>$C614*T613</f>
        <v/>
      </c>
      <c r="U614">
        <f>$C614*U613</f>
        <v/>
      </c>
      <c r="V614">
        <f>$C614*V613</f>
        <v/>
      </c>
      <c r="W614">
        <f>$C614*W613</f>
        <v/>
      </c>
      <c r="X614">
        <f>$C614*X613</f>
        <v/>
      </c>
      <c r="Y614">
        <f>$C614*Y613</f>
        <v/>
      </c>
      <c r="Z614">
        <f>$C614*Z613</f>
        <v/>
      </c>
      <c r="AA614">
        <f>$C614*AA613</f>
        <v/>
      </c>
      <c r="AB614">
        <f>$C614*AB613</f>
        <v/>
      </c>
      <c r="AC614">
        <f>$C614*AC613</f>
        <v/>
      </c>
      <c r="AD614">
        <f>$C614*AD613</f>
        <v/>
      </c>
      <c r="AE614">
        <f>$C614*AE613</f>
        <v/>
      </c>
      <c r="AF614">
        <f>$C614*AF613</f>
        <v/>
      </c>
      <c r="AG614">
        <f>$C614*AG613</f>
        <v/>
      </c>
      <c r="AH614">
        <f>$C614*AH613</f>
        <v/>
      </c>
      <c r="AI614">
        <f>$C614*AI613</f>
        <v/>
      </c>
      <c r="AJ614">
        <f>$C614*AJ613</f>
        <v/>
      </c>
      <c r="AK614">
        <f>$C614*AK613</f>
        <v/>
      </c>
      <c r="AL614">
        <f>$C614*AL613</f>
        <v/>
      </c>
      <c r="AM614">
        <f>$C614*AM613</f>
        <v/>
      </c>
      <c r="AN614">
        <f>$C614*AN613</f>
        <v/>
      </c>
      <c r="AO614">
        <f>$C614*AO613</f>
        <v/>
      </c>
      <c r="AP614">
        <f>$C614*AP613</f>
        <v/>
      </c>
      <c r="AQ614">
        <f>$C614*AQ613</f>
        <v/>
      </c>
      <c r="AR614">
        <f>$C614*AR613</f>
        <v/>
      </c>
      <c r="AS614">
        <f>$C614*AS613</f>
        <v/>
      </c>
      <c r="AT614">
        <f>$C614*AT613</f>
        <v/>
      </c>
      <c r="AU614">
        <f>$C614*AU613</f>
        <v/>
      </c>
      <c r="AV614">
        <f>$C614*AV613</f>
        <v/>
      </c>
      <c r="AW614">
        <f>$C614*AW613</f>
        <v/>
      </c>
      <c r="AX614">
        <f>$C614*AX613</f>
        <v/>
      </c>
      <c r="AY614">
        <f>$C614*AY613</f>
        <v/>
      </c>
      <c r="AZ614">
        <f>$C614*AZ613</f>
        <v/>
      </c>
      <c r="BA614">
        <f>$C614*BA613</f>
        <v/>
      </c>
      <c r="BB614">
        <f>$C614*BB613</f>
        <v/>
      </c>
      <c r="BC614">
        <f>$C614*BC613</f>
        <v/>
      </c>
      <c r="BD614">
        <f>$C614*BD613</f>
        <v/>
      </c>
      <c r="BE614">
        <f>$C614*BE613</f>
        <v/>
      </c>
      <c r="BF614">
        <f>$C614*BF613</f>
        <v/>
      </c>
      <c r="BG614">
        <f>$C614*BG613</f>
        <v/>
      </c>
      <c r="BH614">
        <f>$C614*BH613</f>
        <v/>
      </c>
      <c r="BI614">
        <f>$C614*BI613</f>
        <v/>
      </c>
      <c r="BJ614">
        <f>$C614*BJ613</f>
        <v/>
      </c>
      <c r="BK614">
        <f>$C614*BK613</f>
        <v/>
      </c>
      <c r="BL614">
        <f>$C614*BL613</f>
        <v/>
      </c>
      <c r="BM614">
        <f>$C614*BM613</f>
        <v/>
      </c>
      <c r="BN614">
        <f>$C614*BN613</f>
        <v/>
      </c>
      <c r="BO614">
        <f>$C614*BO613</f>
        <v/>
      </c>
      <c r="BP614">
        <f>$C614*BP613</f>
        <v/>
      </c>
      <c r="BQ614">
        <f>$C614*BQ613</f>
        <v/>
      </c>
      <c r="BR614">
        <f>$C614*BR613</f>
        <v/>
      </c>
      <c r="BS614">
        <f>$C614*BS613</f>
        <v/>
      </c>
      <c r="BT614">
        <f>$C614*BT613</f>
        <v/>
      </c>
      <c r="BU614">
        <f>$C614*BU613</f>
        <v/>
      </c>
      <c r="BV614">
        <f>$C614*BV613</f>
        <v/>
      </c>
      <c r="BW614">
        <f>$C614*BW613</f>
        <v/>
      </c>
      <c r="BX614">
        <f>$C614*BX613</f>
        <v/>
      </c>
      <c r="BY614">
        <f>$C614*BY613</f>
        <v/>
      </c>
      <c r="BZ614">
        <f>$C614*BZ613</f>
        <v/>
      </c>
      <c r="CA614">
        <f>$C614*CA613</f>
        <v/>
      </c>
      <c r="CB614">
        <f>$C614*CB613</f>
        <v/>
      </c>
      <c r="CC614">
        <f>$C614*CC613</f>
        <v/>
      </c>
      <c r="CD614">
        <f>$C614*CD613</f>
        <v/>
      </c>
      <c r="CE614">
        <f>$C614*CE613</f>
        <v/>
      </c>
      <c r="CF614">
        <f>$C614*CF613</f>
        <v/>
      </c>
      <c r="CG614">
        <f>$C614*CG613</f>
        <v/>
      </c>
      <c r="CH614">
        <f>$C614*CH613</f>
        <v/>
      </c>
      <c r="CI614">
        <f>$C614*CI613</f>
        <v/>
      </c>
      <c r="CJ614">
        <f>$C614*CJ613</f>
        <v/>
      </c>
      <c r="CK614">
        <f>$C614*CK613</f>
        <v/>
      </c>
      <c r="CL614">
        <f>$C614*CL613</f>
        <v/>
      </c>
      <c r="CM614">
        <f>$C614*CM613</f>
        <v/>
      </c>
      <c r="CN614">
        <f>$C614*CN613</f>
        <v/>
      </c>
      <c r="CO614">
        <f>$C614*CO613</f>
        <v/>
      </c>
      <c r="CP614">
        <f>$C614*CP613</f>
        <v/>
      </c>
      <c r="CQ614">
        <f>$C614*CQ613</f>
        <v/>
      </c>
      <c r="CR614">
        <f>$C614*CR613</f>
        <v/>
      </c>
      <c r="CS614">
        <f>$C614*CS613</f>
        <v/>
      </c>
      <c r="CT614">
        <f>$C614*CT613</f>
        <v/>
      </c>
      <c r="CU614">
        <f>$C614*CU613</f>
        <v/>
      </c>
      <c r="CV614">
        <f>$C614*CV613</f>
        <v/>
      </c>
      <c r="CW614">
        <f>$C614*CW613</f>
        <v/>
      </c>
      <c r="CX614">
        <f>$C614*CX613</f>
        <v/>
      </c>
      <c r="CY614">
        <f>$C614*CY613</f>
        <v/>
      </c>
      <c r="CZ614">
        <f>$C614*CZ613</f>
        <v/>
      </c>
      <c r="DA614">
        <f>$C614*DA613</f>
        <v/>
      </c>
      <c r="DB614">
        <f>$C614*DB613</f>
        <v/>
      </c>
      <c r="DC614">
        <f>$C614*DC613</f>
        <v/>
      </c>
    </row>
    <row r="615">
      <c r="B615" t="inlineStr">
        <is>
          <t>TPP-356</t>
        </is>
      </c>
      <c r="C615" t="inlineStr">
        <is>
          <t>No. of batches</t>
        </is>
      </c>
      <c r="D615">
        <f>IFERROR(INDEX(PP_Grid[#Data],$DD615,2),0)</f>
        <v/>
      </c>
      <c r="E615">
        <f>IFERROR(INDEX(PP_Grid[#Data],$DD615,3),0)</f>
        <v/>
      </c>
      <c r="F615">
        <f>IFERROR(INDEX(PP_Grid[#Data],$DD615,4),0)</f>
        <v/>
      </c>
      <c r="G615">
        <f>IFERROR(INDEX(PP_Grid[#Data],$DD615,5),0)</f>
        <v/>
      </c>
      <c r="H615">
        <f>IFERROR(INDEX(PP_Grid[#Data],$DD615,6),0)</f>
        <v/>
      </c>
      <c r="I615">
        <f>IFERROR(INDEX(PP_Grid[#Data],$DD615,7),0)</f>
        <v/>
      </c>
      <c r="J615">
        <f>IFERROR(INDEX(PP_Grid[#Data],$DD615,8),0)</f>
        <v/>
      </c>
      <c r="K615">
        <f>IFERROR(INDEX(PP_Grid[#Data],$DD615,9),0)</f>
        <v/>
      </c>
      <c r="L615">
        <f>IFERROR(INDEX(PP_Grid[#Data],$DD615,10),0)</f>
        <v/>
      </c>
      <c r="M615">
        <f>IFERROR(INDEX(PP_Grid[#Data],$DD615,11),0)</f>
        <v/>
      </c>
      <c r="N615">
        <f>IFERROR(INDEX(PP_Grid[#Data],$DD615,12),0)</f>
        <v/>
      </c>
      <c r="O615">
        <f>IFERROR(INDEX(PP_Grid[#Data],$DD615,13),0)</f>
        <v/>
      </c>
      <c r="P615">
        <f>IFERROR(INDEX(PP_Grid[#Data],$DD615,14),0)</f>
        <v/>
      </c>
      <c r="Q615">
        <f>IFERROR(INDEX(PP_Grid[#Data],$DD615,15),0)</f>
        <v/>
      </c>
      <c r="R615">
        <f>IFERROR(INDEX(PP_Grid[#Data],$DD615,16),0)</f>
        <v/>
      </c>
      <c r="S615">
        <f>IFERROR(INDEX(PP_Grid[#Data],$DD615,17),0)</f>
        <v/>
      </c>
      <c r="T615">
        <f>IFERROR(INDEX(PP_Grid[#Data],$DD615,18),0)</f>
        <v/>
      </c>
      <c r="U615">
        <f>IFERROR(INDEX(PP_Grid[#Data],$DD615,19),0)</f>
        <v/>
      </c>
      <c r="V615">
        <f>IFERROR(INDEX(PP_Grid[#Data],$DD615,20),0)</f>
        <v/>
      </c>
      <c r="W615">
        <f>IFERROR(INDEX(PP_Grid[#Data],$DD615,21),0)</f>
        <v/>
      </c>
      <c r="X615">
        <f>IFERROR(INDEX(PP_Grid[#Data],$DD615,22),0)</f>
        <v/>
      </c>
      <c r="Y615">
        <f>IFERROR(INDEX(PP_Grid[#Data],$DD615,23),0)</f>
        <v/>
      </c>
      <c r="Z615">
        <f>IFERROR(INDEX(PP_Grid[#Data],$DD615,24),0)</f>
        <v/>
      </c>
      <c r="AA615">
        <f>IFERROR(INDEX(PP_Grid[#Data],$DD615,25),0)</f>
        <v/>
      </c>
      <c r="AB615">
        <f>IFERROR(INDEX(PP_Grid[#Data],$DD615,26),0)</f>
        <v/>
      </c>
      <c r="AC615">
        <f>IFERROR(INDEX(PP_Grid[#Data],$DD615,27),0)</f>
        <v/>
      </c>
      <c r="AD615">
        <f>IFERROR(INDEX(PP_Grid[#Data],$DD615,28),0)</f>
        <v/>
      </c>
      <c r="AE615">
        <f>IFERROR(INDEX(PP_Grid[#Data],$DD615,29),0)</f>
        <v/>
      </c>
      <c r="AF615">
        <f>IFERROR(INDEX(PP_Grid[#Data],$DD615,30),0)</f>
        <v/>
      </c>
      <c r="AG615">
        <f>IFERROR(INDEX(PP_Grid[#Data],$DD615,31),0)</f>
        <v/>
      </c>
      <c r="AH615">
        <f>IFERROR(INDEX(PP_Grid[#Data],$DD615,32),0)</f>
        <v/>
      </c>
      <c r="AI615">
        <f>IFERROR(INDEX(PP_Grid[#Data],$DD615,33),0)</f>
        <v/>
      </c>
      <c r="AJ615">
        <f>IFERROR(INDEX(PP_Grid[#Data],$DD615,34),0)</f>
        <v/>
      </c>
      <c r="AK615">
        <f>IFERROR(INDEX(PP_Grid[#Data],$DD615,35),0)</f>
        <v/>
      </c>
      <c r="AL615">
        <f>IFERROR(INDEX(PP_Grid[#Data],$DD615,36),0)</f>
        <v/>
      </c>
      <c r="AM615">
        <f>IFERROR(INDEX(PP_Grid[#Data],$DD615,37),0)</f>
        <v/>
      </c>
      <c r="AN615">
        <f>IFERROR(INDEX(PP_Grid[#Data],$DD615,38),0)</f>
        <v/>
      </c>
      <c r="AO615">
        <f>IFERROR(INDEX(PP_Grid[#Data],$DD615,39),0)</f>
        <v/>
      </c>
      <c r="AP615">
        <f>IFERROR(INDEX(PP_Grid[#Data],$DD615,40),0)</f>
        <v/>
      </c>
      <c r="AQ615">
        <f>IFERROR(INDEX(PP_Grid[#Data],$DD615,41),0)</f>
        <v/>
      </c>
      <c r="AR615">
        <f>IFERROR(INDEX(PP_Grid[#Data],$DD615,42),0)</f>
        <v/>
      </c>
      <c r="AS615">
        <f>IFERROR(INDEX(PP_Grid[#Data],$DD615,43),0)</f>
        <v/>
      </c>
      <c r="AT615">
        <f>IFERROR(INDEX(PP_Grid[#Data],$DD615,44),0)</f>
        <v/>
      </c>
      <c r="AU615">
        <f>IFERROR(INDEX(PP_Grid[#Data],$DD615,45),0)</f>
        <v/>
      </c>
      <c r="AV615">
        <f>IFERROR(INDEX(PP_Grid[#Data],$DD615,46),0)</f>
        <v/>
      </c>
      <c r="AW615">
        <f>IFERROR(INDEX(PP_Grid[#Data],$DD615,47),0)</f>
        <v/>
      </c>
      <c r="AX615">
        <f>IFERROR(INDEX(PP_Grid[#Data],$DD615,48),0)</f>
        <v/>
      </c>
      <c r="AY615">
        <f>IFERROR(INDEX(PP_Grid[#Data],$DD615,49),0)</f>
        <v/>
      </c>
      <c r="AZ615">
        <f>IFERROR(INDEX(PP_Grid[#Data],$DD615,50),0)</f>
        <v/>
      </c>
      <c r="BA615">
        <f>IFERROR(INDEX(PP_Grid[#Data],$DD615,51),0)</f>
        <v/>
      </c>
      <c r="BB615">
        <f>IFERROR(INDEX(PP_Grid[#Data],$DD615,52),0)</f>
        <v/>
      </c>
      <c r="BC615">
        <f>IFERROR(INDEX(PP_Grid[#Data],$DD615,53),0)</f>
        <v/>
      </c>
      <c r="BD615">
        <f>IFERROR(INDEX(PP_Grid[#Data],$DD615,54),0)</f>
        <v/>
      </c>
      <c r="BE615">
        <f>IFERROR(INDEX(PP_Grid[#Data],$DD615,55),0)</f>
        <v/>
      </c>
      <c r="BF615">
        <f>IFERROR(INDEX(PP_Grid[#Data],$DD615,56),0)</f>
        <v/>
      </c>
      <c r="BG615">
        <f>IFERROR(INDEX(PP_Grid[#Data],$DD615,57),0)</f>
        <v/>
      </c>
      <c r="BH615">
        <f>IFERROR(INDEX(PP_Grid[#Data],$DD615,58),0)</f>
        <v/>
      </c>
      <c r="BI615">
        <f>IFERROR(INDEX(PP_Grid[#Data],$DD615,59),0)</f>
        <v/>
      </c>
      <c r="BJ615">
        <f>IFERROR(INDEX(PP_Grid[#Data],$DD615,60),0)</f>
        <v/>
      </c>
      <c r="BK615">
        <f>IFERROR(INDEX(PP_Grid[#Data],$DD615,61),0)</f>
        <v/>
      </c>
      <c r="BL615">
        <f>IFERROR(INDEX(PP_Grid[#Data],$DD615,62),0)</f>
        <v/>
      </c>
      <c r="BM615">
        <f>IFERROR(INDEX(PP_Grid[#Data],$DD615,63),0)</f>
        <v/>
      </c>
      <c r="BN615">
        <f>IFERROR(INDEX(PP_Grid[#Data],$DD615,64),0)</f>
        <v/>
      </c>
      <c r="BO615">
        <f>IFERROR(INDEX(PP_Grid[#Data],$DD615,65),0)</f>
        <v/>
      </c>
      <c r="BP615">
        <f>IFERROR(INDEX(PP_Grid[#Data],$DD615,66),0)</f>
        <v/>
      </c>
      <c r="BQ615">
        <f>IFERROR(INDEX(PP_Grid[#Data],$DD615,67),0)</f>
        <v/>
      </c>
      <c r="BR615">
        <f>IFERROR(INDEX(PP_Grid[#Data],$DD615,68),0)</f>
        <v/>
      </c>
      <c r="BS615">
        <f>IFERROR(INDEX(PP_Grid[#Data],$DD615,69),0)</f>
        <v/>
      </c>
      <c r="BT615">
        <f>IFERROR(INDEX(PP_Grid[#Data],$DD615,70),0)</f>
        <v/>
      </c>
      <c r="BU615">
        <f>IFERROR(INDEX(PP_Grid[#Data],$DD615,71),0)</f>
        <v/>
      </c>
      <c r="BV615">
        <f>IFERROR(INDEX(PP_Grid[#Data],$DD615,72),0)</f>
        <v/>
      </c>
      <c r="BW615">
        <f>IFERROR(INDEX(PP_Grid[#Data],$DD615,73),0)</f>
        <v/>
      </c>
      <c r="BX615">
        <f>IFERROR(INDEX(PP_Grid[#Data],$DD615,74),0)</f>
        <v/>
      </c>
      <c r="BY615">
        <f>IFERROR(INDEX(PP_Grid[#Data],$DD615,75),0)</f>
        <v/>
      </c>
      <c r="BZ615">
        <f>IFERROR(INDEX(PP_Grid[#Data],$DD615,76),0)</f>
        <v/>
      </c>
      <c r="CA615">
        <f>IFERROR(INDEX(PP_Grid[#Data],$DD615,77),0)</f>
        <v/>
      </c>
      <c r="CB615">
        <f>IFERROR(INDEX(PP_Grid[#Data],$DD615,78),0)</f>
        <v/>
      </c>
      <c r="CC615">
        <f>IFERROR(INDEX(PP_Grid[#Data],$DD615,79),0)</f>
        <v/>
      </c>
      <c r="CD615">
        <f>IFERROR(INDEX(PP_Grid[#Data],$DD615,80),0)</f>
        <v/>
      </c>
      <c r="CE615">
        <f>IFERROR(INDEX(PP_Grid[#Data],$DD615,81),0)</f>
        <v/>
      </c>
      <c r="CF615">
        <f>IFERROR(INDEX(PP_Grid[#Data],$DD615,82),0)</f>
        <v/>
      </c>
      <c r="CG615">
        <f>IFERROR(INDEX(PP_Grid[#Data],$DD615,83),0)</f>
        <v/>
      </c>
      <c r="CH615">
        <f>IFERROR(INDEX(PP_Grid[#Data],$DD615,84),0)</f>
        <v/>
      </c>
      <c r="CI615">
        <f>IFERROR(INDEX(PP_Grid[#Data],$DD615,85),0)</f>
        <v/>
      </c>
      <c r="CJ615">
        <f>IFERROR(INDEX(PP_Grid[#Data],$DD615,86),0)</f>
        <v/>
      </c>
      <c r="CK615">
        <f>IFERROR(INDEX(PP_Grid[#Data],$DD615,87),0)</f>
        <v/>
      </c>
      <c r="CL615">
        <f>IFERROR(INDEX(PP_Grid[#Data],$DD615,88),0)</f>
        <v/>
      </c>
      <c r="CM615">
        <f>IFERROR(INDEX(PP_Grid[#Data],$DD615,89),0)</f>
        <v/>
      </c>
      <c r="CN615">
        <f>IFERROR(INDEX(PP_Grid[#Data],$DD615,90),0)</f>
        <v/>
      </c>
      <c r="CO615">
        <f>IFERROR(INDEX(PP_Grid[#Data],$DD615,91),0)</f>
        <v/>
      </c>
      <c r="CP615">
        <f>IFERROR(INDEX(PP_Grid[#Data],$DD615,92),0)</f>
        <v/>
      </c>
      <c r="CQ615">
        <f>IFERROR(INDEX(PP_Grid[#Data],$DD615,93),0)</f>
        <v/>
      </c>
      <c r="CR615">
        <f>IFERROR(INDEX(PP_Grid[#Data],$DD615,94),0)</f>
        <v/>
      </c>
      <c r="CS615">
        <f>IFERROR(INDEX(PP_Grid[#Data],$DD615,95),0)</f>
        <v/>
      </c>
      <c r="CT615">
        <f>IFERROR(INDEX(PP_Grid[#Data],$DD615,96),0)</f>
        <v/>
      </c>
      <c r="CU615">
        <f>IFERROR(INDEX(PP_Grid[#Data],$DD615,97),0)</f>
        <v/>
      </c>
      <c r="CV615">
        <f>IFERROR(INDEX(PP_Grid[#Data],$DD615,98),0)</f>
        <v/>
      </c>
      <c r="CW615">
        <f>IFERROR(INDEX(PP_Grid[#Data],$DD615,99),0)</f>
        <v/>
      </c>
      <c r="CX615">
        <f>IFERROR(INDEX(PP_Grid[#Data],$DD615,100),0)</f>
        <v/>
      </c>
      <c r="CY615">
        <f>IFERROR(INDEX(PP_Grid[#Data],$DD615,101),0)</f>
        <v/>
      </c>
      <c r="CZ615">
        <f>IFERROR(INDEX(PP_Grid[#Data],$DD615,102),0)</f>
        <v/>
      </c>
      <c r="DA615">
        <f>IFERROR(INDEX(PP_Grid[#Data],$DD615,103),0)</f>
        <v/>
      </c>
      <c r="DB615">
        <f>IFERROR(INDEX(PP_Grid[#Data],$DD615,104),0)</f>
        <v/>
      </c>
      <c r="DC615">
        <f>IFERROR(INDEX(PP_Grid[#Data],$DD615,105),0)</f>
        <v/>
      </c>
      <c r="DD615" s="7">
        <f>IFERROR(MATCH($B615,PP_Grid[Intermediate],0),99999)</f>
        <v/>
      </c>
    </row>
    <row r="616">
      <c r="B616" t="inlineStr">
        <is>
          <t>使用量(kg)</t>
        </is>
      </c>
      <c r="C616">
        <f>SUMIFS(M_BOM[RM_Qty_Per_Batch],M_BOM[Intermediate],$B615,M_BOM[Part Name],$A580)</f>
        <v/>
      </c>
      <c r="D616">
        <f>$C616*D615</f>
        <v/>
      </c>
      <c r="E616">
        <f>$C616*E615</f>
        <v/>
      </c>
      <c r="F616">
        <f>$C616*F615</f>
        <v/>
      </c>
      <c r="G616">
        <f>$C616*G615</f>
        <v/>
      </c>
      <c r="H616">
        <f>$C616*H615</f>
        <v/>
      </c>
      <c r="I616">
        <f>$C616*I615</f>
        <v/>
      </c>
      <c r="J616">
        <f>$C616*J615</f>
        <v/>
      </c>
      <c r="K616">
        <f>$C616*K615</f>
        <v/>
      </c>
      <c r="L616">
        <f>$C616*L615</f>
        <v/>
      </c>
      <c r="M616">
        <f>$C616*M615</f>
        <v/>
      </c>
      <c r="N616">
        <f>$C616*N615</f>
        <v/>
      </c>
      <c r="O616">
        <f>$C616*O615</f>
        <v/>
      </c>
      <c r="P616">
        <f>$C616*P615</f>
        <v/>
      </c>
      <c r="Q616">
        <f>$C616*Q615</f>
        <v/>
      </c>
      <c r="R616">
        <f>$C616*R615</f>
        <v/>
      </c>
      <c r="S616">
        <f>$C616*S615</f>
        <v/>
      </c>
      <c r="T616">
        <f>$C616*T615</f>
        <v/>
      </c>
      <c r="U616">
        <f>$C616*U615</f>
        <v/>
      </c>
      <c r="V616">
        <f>$C616*V615</f>
        <v/>
      </c>
      <c r="W616">
        <f>$C616*W615</f>
        <v/>
      </c>
      <c r="X616">
        <f>$C616*X615</f>
        <v/>
      </c>
      <c r="Y616">
        <f>$C616*Y615</f>
        <v/>
      </c>
      <c r="Z616">
        <f>$C616*Z615</f>
        <v/>
      </c>
      <c r="AA616">
        <f>$C616*AA615</f>
        <v/>
      </c>
      <c r="AB616">
        <f>$C616*AB615</f>
        <v/>
      </c>
      <c r="AC616">
        <f>$C616*AC615</f>
        <v/>
      </c>
      <c r="AD616">
        <f>$C616*AD615</f>
        <v/>
      </c>
      <c r="AE616">
        <f>$C616*AE615</f>
        <v/>
      </c>
      <c r="AF616">
        <f>$C616*AF615</f>
        <v/>
      </c>
      <c r="AG616">
        <f>$C616*AG615</f>
        <v/>
      </c>
      <c r="AH616">
        <f>$C616*AH615</f>
        <v/>
      </c>
      <c r="AI616">
        <f>$C616*AI615</f>
        <v/>
      </c>
      <c r="AJ616">
        <f>$C616*AJ615</f>
        <v/>
      </c>
      <c r="AK616">
        <f>$C616*AK615</f>
        <v/>
      </c>
      <c r="AL616">
        <f>$C616*AL615</f>
        <v/>
      </c>
      <c r="AM616">
        <f>$C616*AM615</f>
        <v/>
      </c>
      <c r="AN616">
        <f>$C616*AN615</f>
        <v/>
      </c>
      <c r="AO616">
        <f>$C616*AO615</f>
        <v/>
      </c>
      <c r="AP616">
        <f>$C616*AP615</f>
        <v/>
      </c>
      <c r="AQ616">
        <f>$C616*AQ615</f>
        <v/>
      </c>
      <c r="AR616">
        <f>$C616*AR615</f>
        <v/>
      </c>
      <c r="AS616">
        <f>$C616*AS615</f>
        <v/>
      </c>
      <c r="AT616">
        <f>$C616*AT615</f>
        <v/>
      </c>
      <c r="AU616">
        <f>$C616*AU615</f>
        <v/>
      </c>
      <c r="AV616">
        <f>$C616*AV615</f>
        <v/>
      </c>
      <c r="AW616">
        <f>$C616*AW615</f>
        <v/>
      </c>
      <c r="AX616">
        <f>$C616*AX615</f>
        <v/>
      </c>
      <c r="AY616">
        <f>$C616*AY615</f>
        <v/>
      </c>
      <c r="AZ616">
        <f>$C616*AZ615</f>
        <v/>
      </c>
      <c r="BA616">
        <f>$C616*BA615</f>
        <v/>
      </c>
      <c r="BB616">
        <f>$C616*BB615</f>
        <v/>
      </c>
      <c r="BC616">
        <f>$C616*BC615</f>
        <v/>
      </c>
      <c r="BD616">
        <f>$C616*BD615</f>
        <v/>
      </c>
      <c r="BE616">
        <f>$C616*BE615</f>
        <v/>
      </c>
      <c r="BF616">
        <f>$C616*BF615</f>
        <v/>
      </c>
      <c r="BG616">
        <f>$C616*BG615</f>
        <v/>
      </c>
      <c r="BH616">
        <f>$C616*BH615</f>
        <v/>
      </c>
      <c r="BI616">
        <f>$C616*BI615</f>
        <v/>
      </c>
      <c r="BJ616">
        <f>$C616*BJ615</f>
        <v/>
      </c>
      <c r="BK616">
        <f>$C616*BK615</f>
        <v/>
      </c>
      <c r="BL616">
        <f>$C616*BL615</f>
        <v/>
      </c>
      <c r="BM616">
        <f>$C616*BM615</f>
        <v/>
      </c>
      <c r="BN616">
        <f>$C616*BN615</f>
        <v/>
      </c>
      <c r="BO616">
        <f>$C616*BO615</f>
        <v/>
      </c>
      <c r="BP616">
        <f>$C616*BP615</f>
        <v/>
      </c>
      <c r="BQ616">
        <f>$C616*BQ615</f>
        <v/>
      </c>
      <c r="BR616">
        <f>$C616*BR615</f>
        <v/>
      </c>
      <c r="BS616">
        <f>$C616*BS615</f>
        <v/>
      </c>
      <c r="BT616">
        <f>$C616*BT615</f>
        <v/>
      </c>
      <c r="BU616">
        <f>$C616*BU615</f>
        <v/>
      </c>
      <c r="BV616">
        <f>$C616*BV615</f>
        <v/>
      </c>
      <c r="BW616">
        <f>$C616*BW615</f>
        <v/>
      </c>
      <c r="BX616">
        <f>$C616*BX615</f>
        <v/>
      </c>
      <c r="BY616">
        <f>$C616*BY615</f>
        <v/>
      </c>
      <c r="BZ616">
        <f>$C616*BZ615</f>
        <v/>
      </c>
      <c r="CA616">
        <f>$C616*CA615</f>
        <v/>
      </c>
      <c r="CB616">
        <f>$C616*CB615</f>
        <v/>
      </c>
      <c r="CC616">
        <f>$C616*CC615</f>
        <v/>
      </c>
      <c r="CD616">
        <f>$C616*CD615</f>
        <v/>
      </c>
      <c r="CE616">
        <f>$C616*CE615</f>
        <v/>
      </c>
      <c r="CF616">
        <f>$C616*CF615</f>
        <v/>
      </c>
      <c r="CG616">
        <f>$C616*CG615</f>
        <v/>
      </c>
      <c r="CH616">
        <f>$C616*CH615</f>
        <v/>
      </c>
      <c r="CI616">
        <f>$C616*CI615</f>
        <v/>
      </c>
      <c r="CJ616">
        <f>$C616*CJ615</f>
        <v/>
      </c>
      <c r="CK616">
        <f>$C616*CK615</f>
        <v/>
      </c>
      <c r="CL616">
        <f>$C616*CL615</f>
        <v/>
      </c>
      <c r="CM616">
        <f>$C616*CM615</f>
        <v/>
      </c>
      <c r="CN616">
        <f>$C616*CN615</f>
        <v/>
      </c>
      <c r="CO616">
        <f>$C616*CO615</f>
        <v/>
      </c>
      <c r="CP616">
        <f>$C616*CP615</f>
        <v/>
      </c>
      <c r="CQ616">
        <f>$C616*CQ615</f>
        <v/>
      </c>
      <c r="CR616">
        <f>$C616*CR615</f>
        <v/>
      </c>
      <c r="CS616">
        <f>$C616*CS615</f>
        <v/>
      </c>
      <c r="CT616">
        <f>$C616*CT615</f>
        <v/>
      </c>
      <c r="CU616">
        <f>$C616*CU615</f>
        <v/>
      </c>
      <c r="CV616">
        <f>$C616*CV615</f>
        <v/>
      </c>
      <c r="CW616">
        <f>$C616*CW615</f>
        <v/>
      </c>
      <c r="CX616">
        <f>$C616*CX615</f>
        <v/>
      </c>
      <c r="CY616">
        <f>$C616*CY615</f>
        <v/>
      </c>
      <c r="CZ616">
        <f>$C616*CZ615</f>
        <v/>
      </c>
      <c r="DA616">
        <f>$C616*DA615</f>
        <v/>
      </c>
      <c r="DB616">
        <f>$C616*DB615</f>
        <v/>
      </c>
      <c r="DC616">
        <f>$C616*DC615</f>
        <v/>
      </c>
    </row>
    <row r="617">
      <c r="B617" t="inlineStr">
        <is>
          <t>TPP-704</t>
        </is>
      </c>
      <c r="C617" t="inlineStr">
        <is>
          <t>No. of batches</t>
        </is>
      </c>
      <c r="D617">
        <f>IFERROR(INDEX(PP_Grid[#Data],$DD617,2),0)</f>
        <v/>
      </c>
      <c r="E617">
        <f>IFERROR(INDEX(PP_Grid[#Data],$DD617,3),0)</f>
        <v/>
      </c>
      <c r="F617">
        <f>IFERROR(INDEX(PP_Grid[#Data],$DD617,4),0)</f>
        <v/>
      </c>
      <c r="G617">
        <f>IFERROR(INDEX(PP_Grid[#Data],$DD617,5),0)</f>
        <v/>
      </c>
      <c r="H617">
        <f>IFERROR(INDEX(PP_Grid[#Data],$DD617,6),0)</f>
        <v/>
      </c>
      <c r="I617">
        <f>IFERROR(INDEX(PP_Grid[#Data],$DD617,7),0)</f>
        <v/>
      </c>
      <c r="J617">
        <f>IFERROR(INDEX(PP_Grid[#Data],$DD617,8),0)</f>
        <v/>
      </c>
      <c r="K617">
        <f>IFERROR(INDEX(PP_Grid[#Data],$DD617,9),0)</f>
        <v/>
      </c>
      <c r="L617">
        <f>IFERROR(INDEX(PP_Grid[#Data],$DD617,10),0)</f>
        <v/>
      </c>
      <c r="M617">
        <f>IFERROR(INDEX(PP_Grid[#Data],$DD617,11),0)</f>
        <v/>
      </c>
      <c r="N617">
        <f>IFERROR(INDEX(PP_Grid[#Data],$DD617,12),0)</f>
        <v/>
      </c>
      <c r="O617">
        <f>IFERROR(INDEX(PP_Grid[#Data],$DD617,13),0)</f>
        <v/>
      </c>
      <c r="P617">
        <f>IFERROR(INDEX(PP_Grid[#Data],$DD617,14),0)</f>
        <v/>
      </c>
      <c r="Q617">
        <f>IFERROR(INDEX(PP_Grid[#Data],$DD617,15),0)</f>
        <v/>
      </c>
      <c r="R617">
        <f>IFERROR(INDEX(PP_Grid[#Data],$DD617,16),0)</f>
        <v/>
      </c>
      <c r="S617">
        <f>IFERROR(INDEX(PP_Grid[#Data],$DD617,17),0)</f>
        <v/>
      </c>
      <c r="T617">
        <f>IFERROR(INDEX(PP_Grid[#Data],$DD617,18),0)</f>
        <v/>
      </c>
      <c r="U617">
        <f>IFERROR(INDEX(PP_Grid[#Data],$DD617,19),0)</f>
        <v/>
      </c>
      <c r="V617">
        <f>IFERROR(INDEX(PP_Grid[#Data],$DD617,20),0)</f>
        <v/>
      </c>
      <c r="W617">
        <f>IFERROR(INDEX(PP_Grid[#Data],$DD617,21),0)</f>
        <v/>
      </c>
      <c r="X617">
        <f>IFERROR(INDEX(PP_Grid[#Data],$DD617,22),0)</f>
        <v/>
      </c>
      <c r="Y617">
        <f>IFERROR(INDEX(PP_Grid[#Data],$DD617,23),0)</f>
        <v/>
      </c>
      <c r="Z617">
        <f>IFERROR(INDEX(PP_Grid[#Data],$DD617,24),0)</f>
        <v/>
      </c>
      <c r="AA617">
        <f>IFERROR(INDEX(PP_Grid[#Data],$DD617,25),0)</f>
        <v/>
      </c>
      <c r="AB617">
        <f>IFERROR(INDEX(PP_Grid[#Data],$DD617,26),0)</f>
        <v/>
      </c>
      <c r="AC617">
        <f>IFERROR(INDEX(PP_Grid[#Data],$DD617,27),0)</f>
        <v/>
      </c>
      <c r="AD617">
        <f>IFERROR(INDEX(PP_Grid[#Data],$DD617,28),0)</f>
        <v/>
      </c>
      <c r="AE617">
        <f>IFERROR(INDEX(PP_Grid[#Data],$DD617,29),0)</f>
        <v/>
      </c>
      <c r="AF617">
        <f>IFERROR(INDEX(PP_Grid[#Data],$DD617,30),0)</f>
        <v/>
      </c>
      <c r="AG617">
        <f>IFERROR(INDEX(PP_Grid[#Data],$DD617,31),0)</f>
        <v/>
      </c>
      <c r="AH617">
        <f>IFERROR(INDEX(PP_Grid[#Data],$DD617,32),0)</f>
        <v/>
      </c>
      <c r="AI617">
        <f>IFERROR(INDEX(PP_Grid[#Data],$DD617,33),0)</f>
        <v/>
      </c>
      <c r="AJ617">
        <f>IFERROR(INDEX(PP_Grid[#Data],$DD617,34),0)</f>
        <v/>
      </c>
      <c r="AK617">
        <f>IFERROR(INDEX(PP_Grid[#Data],$DD617,35),0)</f>
        <v/>
      </c>
      <c r="AL617">
        <f>IFERROR(INDEX(PP_Grid[#Data],$DD617,36),0)</f>
        <v/>
      </c>
      <c r="AM617">
        <f>IFERROR(INDEX(PP_Grid[#Data],$DD617,37),0)</f>
        <v/>
      </c>
      <c r="AN617">
        <f>IFERROR(INDEX(PP_Grid[#Data],$DD617,38),0)</f>
        <v/>
      </c>
      <c r="AO617">
        <f>IFERROR(INDEX(PP_Grid[#Data],$DD617,39),0)</f>
        <v/>
      </c>
      <c r="AP617">
        <f>IFERROR(INDEX(PP_Grid[#Data],$DD617,40),0)</f>
        <v/>
      </c>
      <c r="AQ617">
        <f>IFERROR(INDEX(PP_Grid[#Data],$DD617,41),0)</f>
        <v/>
      </c>
      <c r="AR617">
        <f>IFERROR(INDEX(PP_Grid[#Data],$DD617,42),0)</f>
        <v/>
      </c>
      <c r="AS617">
        <f>IFERROR(INDEX(PP_Grid[#Data],$DD617,43),0)</f>
        <v/>
      </c>
      <c r="AT617">
        <f>IFERROR(INDEX(PP_Grid[#Data],$DD617,44),0)</f>
        <v/>
      </c>
      <c r="AU617">
        <f>IFERROR(INDEX(PP_Grid[#Data],$DD617,45),0)</f>
        <v/>
      </c>
      <c r="AV617">
        <f>IFERROR(INDEX(PP_Grid[#Data],$DD617,46),0)</f>
        <v/>
      </c>
      <c r="AW617">
        <f>IFERROR(INDEX(PP_Grid[#Data],$DD617,47),0)</f>
        <v/>
      </c>
      <c r="AX617">
        <f>IFERROR(INDEX(PP_Grid[#Data],$DD617,48),0)</f>
        <v/>
      </c>
      <c r="AY617">
        <f>IFERROR(INDEX(PP_Grid[#Data],$DD617,49),0)</f>
        <v/>
      </c>
      <c r="AZ617">
        <f>IFERROR(INDEX(PP_Grid[#Data],$DD617,50),0)</f>
        <v/>
      </c>
      <c r="BA617">
        <f>IFERROR(INDEX(PP_Grid[#Data],$DD617,51),0)</f>
        <v/>
      </c>
      <c r="BB617">
        <f>IFERROR(INDEX(PP_Grid[#Data],$DD617,52),0)</f>
        <v/>
      </c>
      <c r="BC617">
        <f>IFERROR(INDEX(PP_Grid[#Data],$DD617,53),0)</f>
        <v/>
      </c>
      <c r="BD617">
        <f>IFERROR(INDEX(PP_Grid[#Data],$DD617,54),0)</f>
        <v/>
      </c>
      <c r="BE617">
        <f>IFERROR(INDEX(PP_Grid[#Data],$DD617,55),0)</f>
        <v/>
      </c>
      <c r="BF617">
        <f>IFERROR(INDEX(PP_Grid[#Data],$DD617,56),0)</f>
        <v/>
      </c>
      <c r="BG617">
        <f>IFERROR(INDEX(PP_Grid[#Data],$DD617,57),0)</f>
        <v/>
      </c>
      <c r="BH617">
        <f>IFERROR(INDEX(PP_Grid[#Data],$DD617,58),0)</f>
        <v/>
      </c>
      <c r="BI617">
        <f>IFERROR(INDEX(PP_Grid[#Data],$DD617,59),0)</f>
        <v/>
      </c>
      <c r="BJ617">
        <f>IFERROR(INDEX(PP_Grid[#Data],$DD617,60),0)</f>
        <v/>
      </c>
      <c r="BK617">
        <f>IFERROR(INDEX(PP_Grid[#Data],$DD617,61),0)</f>
        <v/>
      </c>
      <c r="BL617">
        <f>IFERROR(INDEX(PP_Grid[#Data],$DD617,62),0)</f>
        <v/>
      </c>
      <c r="BM617">
        <f>IFERROR(INDEX(PP_Grid[#Data],$DD617,63),0)</f>
        <v/>
      </c>
      <c r="BN617">
        <f>IFERROR(INDEX(PP_Grid[#Data],$DD617,64),0)</f>
        <v/>
      </c>
      <c r="BO617">
        <f>IFERROR(INDEX(PP_Grid[#Data],$DD617,65),0)</f>
        <v/>
      </c>
      <c r="BP617">
        <f>IFERROR(INDEX(PP_Grid[#Data],$DD617,66),0)</f>
        <v/>
      </c>
      <c r="BQ617">
        <f>IFERROR(INDEX(PP_Grid[#Data],$DD617,67),0)</f>
        <v/>
      </c>
      <c r="BR617">
        <f>IFERROR(INDEX(PP_Grid[#Data],$DD617,68),0)</f>
        <v/>
      </c>
      <c r="BS617">
        <f>IFERROR(INDEX(PP_Grid[#Data],$DD617,69),0)</f>
        <v/>
      </c>
      <c r="BT617">
        <f>IFERROR(INDEX(PP_Grid[#Data],$DD617,70),0)</f>
        <v/>
      </c>
      <c r="BU617">
        <f>IFERROR(INDEX(PP_Grid[#Data],$DD617,71),0)</f>
        <v/>
      </c>
      <c r="BV617">
        <f>IFERROR(INDEX(PP_Grid[#Data],$DD617,72),0)</f>
        <v/>
      </c>
      <c r="BW617">
        <f>IFERROR(INDEX(PP_Grid[#Data],$DD617,73),0)</f>
        <v/>
      </c>
      <c r="BX617">
        <f>IFERROR(INDEX(PP_Grid[#Data],$DD617,74),0)</f>
        <v/>
      </c>
      <c r="BY617">
        <f>IFERROR(INDEX(PP_Grid[#Data],$DD617,75),0)</f>
        <v/>
      </c>
      <c r="BZ617">
        <f>IFERROR(INDEX(PP_Grid[#Data],$DD617,76),0)</f>
        <v/>
      </c>
      <c r="CA617">
        <f>IFERROR(INDEX(PP_Grid[#Data],$DD617,77),0)</f>
        <v/>
      </c>
      <c r="CB617">
        <f>IFERROR(INDEX(PP_Grid[#Data],$DD617,78),0)</f>
        <v/>
      </c>
      <c r="CC617">
        <f>IFERROR(INDEX(PP_Grid[#Data],$DD617,79),0)</f>
        <v/>
      </c>
      <c r="CD617">
        <f>IFERROR(INDEX(PP_Grid[#Data],$DD617,80),0)</f>
        <v/>
      </c>
      <c r="CE617">
        <f>IFERROR(INDEX(PP_Grid[#Data],$DD617,81),0)</f>
        <v/>
      </c>
      <c r="CF617">
        <f>IFERROR(INDEX(PP_Grid[#Data],$DD617,82),0)</f>
        <v/>
      </c>
      <c r="CG617">
        <f>IFERROR(INDEX(PP_Grid[#Data],$DD617,83),0)</f>
        <v/>
      </c>
      <c r="CH617">
        <f>IFERROR(INDEX(PP_Grid[#Data],$DD617,84),0)</f>
        <v/>
      </c>
      <c r="CI617">
        <f>IFERROR(INDEX(PP_Grid[#Data],$DD617,85),0)</f>
        <v/>
      </c>
      <c r="CJ617">
        <f>IFERROR(INDEX(PP_Grid[#Data],$DD617,86),0)</f>
        <v/>
      </c>
      <c r="CK617">
        <f>IFERROR(INDEX(PP_Grid[#Data],$DD617,87),0)</f>
        <v/>
      </c>
      <c r="CL617">
        <f>IFERROR(INDEX(PP_Grid[#Data],$DD617,88),0)</f>
        <v/>
      </c>
      <c r="CM617">
        <f>IFERROR(INDEX(PP_Grid[#Data],$DD617,89),0)</f>
        <v/>
      </c>
      <c r="CN617">
        <f>IFERROR(INDEX(PP_Grid[#Data],$DD617,90),0)</f>
        <v/>
      </c>
      <c r="CO617">
        <f>IFERROR(INDEX(PP_Grid[#Data],$DD617,91),0)</f>
        <v/>
      </c>
      <c r="CP617">
        <f>IFERROR(INDEX(PP_Grid[#Data],$DD617,92),0)</f>
        <v/>
      </c>
      <c r="CQ617">
        <f>IFERROR(INDEX(PP_Grid[#Data],$DD617,93),0)</f>
        <v/>
      </c>
      <c r="CR617">
        <f>IFERROR(INDEX(PP_Grid[#Data],$DD617,94),0)</f>
        <v/>
      </c>
      <c r="CS617">
        <f>IFERROR(INDEX(PP_Grid[#Data],$DD617,95),0)</f>
        <v/>
      </c>
      <c r="CT617">
        <f>IFERROR(INDEX(PP_Grid[#Data],$DD617,96),0)</f>
        <v/>
      </c>
      <c r="CU617">
        <f>IFERROR(INDEX(PP_Grid[#Data],$DD617,97),0)</f>
        <v/>
      </c>
      <c r="CV617">
        <f>IFERROR(INDEX(PP_Grid[#Data],$DD617,98),0)</f>
        <v/>
      </c>
      <c r="CW617">
        <f>IFERROR(INDEX(PP_Grid[#Data],$DD617,99),0)</f>
        <v/>
      </c>
      <c r="CX617">
        <f>IFERROR(INDEX(PP_Grid[#Data],$DD617,100),0)</f>
        <v/>
      </c>
      <c r="CY617">
        <f>IFERROR(INDEX(PP_Grid[#Data],$DD617,101),0)</f>
        <v/>
      </c>
      <c r="CZ617">
        <f>IFERROR(INDEX(PP_Grid[#Data],$DD617,102),0)</f>
        <v/>
      </c>
      <c r="DA617">
        <f>IFERROR(INDEX(PP_Grid[#Data],$DD617,103),0)</f>
        <v/>
      </c>
      <c r="DB617">
        <f>IFERROR(INDEX(PP_Grid[#Data],$DD617,104),0)</f>
        <v/>
      </c>
      <c r="DC617">
        <f>IFERROR(INDEX(PP_Grid[#Data],$DD617,105),0)</f>
        <v/>
      </c>
      <c r="DD617" s="7">
        <f>IFERROR(MATCH($B617,PP_Grid[Intermediate],0),99999)</f>
        <v/>
      </c>
    </row>
    <row r="618">
      <c r="B618" t="inlineStr">
        <is>
          <t>使用量(kg)</t>
        </is>
      </c>
      <c r="C618">
        <f>SUMIFS(M_BOM[RM_Qty_Per_Batch],M_BOM[Intermediate],$B617,M_BOM[Part Name],$A580)</f>
        <v/>
      </c>
      <c r="D618">
        <f>$C618*D617</f>
        <v/>
      </c>
      <c r="E618">
        <f>$C618*E617</f>
        <v/>
      </c>
      <c r="F618">
        <f>$C618*F617</f>
        <v/>
      </c>
      <c r="G618">
        <f>$C618*G617</f>
        <v/>
      </c>
      <c r="H618">
        <f>$C618*H617</f>
        <v/>
      </c>
      <c r="I618">
        <f>$C618*I617</f>
        <v/>
      </c>
      <c r="J618">
        <f>$C618*J617</f>
        <v/>
      </c>
      <c r="K618">
        <f>$C618*K617</f>
        <v/>
      </c>
      <c r="L618">
        <f>$C618*L617</f>
        <v/>
      </c>
      <c r="M618">
        <f>$C618*M617</f>
        <v/>
      </c>
      <c r="N618">
        <f>$C618*N617</f>
        <v/>
      </c>
      <c r="O618">
        <f>$C618*O617</f>
        <v/>
      </c>
      <c r="P618">
        <f>$C618*P617</f>
        <v/>
      </c>
      <c r="Q618">
        <f>$C618*Q617</f>
        <v/>
      </c>
      <c r="R618">
        <f>$C618*R617</f>
        <v/>
      </c>
      <c r="S618">
        <f>$C618*S617</f>
        <v/>
      </c>
      <c r="T618">
        <f>$C618*T617</f>
        <v/>
      </c>
      <c r="U618">
        <f>$C618*U617</f>
        <v/>
      </c>
      <c r="V618">
        <f>$C618*V617</f>
        <v/>
      </c>
      <c r="W618">
        <f>$C618*W617</f>
        <v/>
      </c>
      <c r="X618">
        <f>$C618*X617</f>
        <v/>
      </c>
      <c r="Y618">
        <f>$C618*Y617</f>
        <v/>
      </c>
      <c r="Z618">
        <f>$C618*Z617</f>
        <v/>
      </c>
      <c r="AA618">
        <f>$C618*AA617</f>
        <v/>
      </c>
      <c r="AB618">
        <f>$C618*AB617</f>
        <v/>
      </c>
      <c r="AC618">
        <f>$C618*AC617</f>
        <v/>
      </c>
      <c r="AD618">
        <f>$C618*AD617</f>
        <v/>
      </c>
      <c r="AE618">
        <f>$C618*AE617</f>
        <v/>
      </c>
      <c r="AF618">
        <f>$C618*AF617</f>
        <v/>
      </c>
      <c r="AG618">
        <f>$C618*AG617</f>
        <v/>
      </c>
      <c r="AH618">
        <f>$C618*AH617</f>
        <v/>
      </c>
      <c r="AI618">
        <f>$C618*AI617</f>
        <v/>
      </c>
      <c r="AJ618">
        <f>$C618*AJ617</f>
        <v/>
      </c>
      <c r="AK618">
        <f>$C618*AK617</f>
        <v/>
      </c>
      <c r="AL618">
        <f>$C618*AL617</f>
        <v/>
      </c>
      <c r="AM618">
        <f>$C618*AM617</f>
        <v/>
      </c>
      <c r="AN618">
        <f>$C618*AN617</f>
        <v/>
      </c>
      <c r="AO618">
        <f>$C618*AO617</f>
        <v/>
      </c>
      <c r="AP618">
        <f>$C618*AP617</f>
        <v/>
      </c>
      <c r="AQ618">
        <f>$C618*AQ617</f>
        <v/>
      </c>
      <c r="AR618">
        <f>$C618*AR617</f>
        <v/>
      </c>
      <c r="AS618">
        <f>$C618*AS617</f>
        <v/>
      </c>
      <c r="AT618">
        <f>$C618*AT617</f>
        <v/>
      </c>
      <c r="AU618">
        <f>$C618*AU617</f>
        <v/>
      </c>
      <c r="AV618">
        <f>$C618*AV617</f>
        <v/>
      </c>
      <c r="AW618">
        <f>$C618*AW617</f>
        <v/>
      </c>
      <c r="AX618">
        <f>$C618*AX617</f>
        <v/>
      </c>
      <c r="AY618">
        <f>$C618*AY617</f>
        <v/>
      </c>
      <c r="AZ618">
        <f>$C618*AZ617</f>
        <v/>
      </c>
      <c r="BA618">
        <f>$C618*BA617</f>
        <v/>
      </c>
      <c r="BB618">
        <f>$C618*BB617</f>
        <v/>
      </c>
      <c r="BC618">
        <f>$C618*BC617</f>
        <v/>
      </c>
      <c r="BD618">
        <f>$C618*BD617</f>
        <v/>
      </c>
      <c r="BE618">
        <f>$C618*BE617</f>
        <v/>
      </c>
      <c r="BF618">
        <f>$C618*BF617</f>
        <v/>
      </c>
      <c r="BG618">
        <f>$C618*BG617</f>
        <v/>
      </c>
      <c r="BH618">
        <f>$C618*BH617</f>
        <v/>
      </c>
      <c r="BI618">
        <f>$C618*BI617</f>
        <v/>
      </c>
      <c r="BJ618">
        <f>$C618*BJ617</f>
        <v/>
      </c>
      <c r="BK618">
        <f>$C618*BK617</f>
        <v/>
      </c>
      <c r="BL618">
        <f>$C618*BL617</f>
        <v/>
      </c>
      <c r="BM618">
        <f>$C618*BM617</f>
        <v/>
      </c>
      <c r="BN618">
        <f>$C618*BN617</f>
        <v/>
      </c>
      <c r="BO618">
        <f>$C618*BO617</f>
        <v/>
      </c>
      <c r="BP618">
        <f>$C618*BP617</f>
        <v/>
      </c>
      <c r="BQ618">
        <f>$C618*BQ617</f>
        <v/>
      </c>
      <c r="BR618">
        <f>$C618*BR617</f>
        <v/>
      </c>
      <c r="BS618">
        <f>$C618*BS617</f>
        <v/>
      </c>
      <c r="BT618">
        <f>$C618*BT617</f>
        <v/>
      </c>
      <c r="BU618">
        <f>$C618*BU617</f>
        <v/>
      </c>
      <c r="BV618">
        <f>$C618*BV617</f>
        <v/>
      </c>
      <c r="BW618">
        <f>$C618*BW617</f>
        <v/>
      </c>
      <c r="BX618">
        <f>$C618*BX617</f>
        <v/>
      </c>
      <c r="BY618">
        <f>$C618*BY617</f>
        <v/>
      </c>
      <c r="BZ618">
        <f>$C618*BZ617</f>
        <v/>
      </c>
      <c r="CA618">
        <f>$C618*CA617</f>
        <v/>
      </c>
      <c r="CB618">
        <f>$C618*CB617</f>
        <v/>
      </c>
      <c r="CC618">
        <f>$C618*CC617</f>
        <v/>
      </c>
      <c r="CD618">
        <f>$C618*CD617</f>
        <v/>
      </c>
      <c r="CE618">
        <f>$C618*CE617</f>
        <v/>
      </c>
      <c r="CF618">
        <f>$C618*CF617</f>
        <v/>
      </c>
      <c r="CG618">
        <f>$C618*CG617</f>
        <v/>
      </c>
      <c r="CH618">
        <f>$C618*CH617</f>
        <v/>
      </c>
      <c r="CI618">
        <f>$C618*CI617</f>
        <v/>
      </c>
      <c r="CJ618">
        <f>$C618*CJ617</f>
        <v/>
      </c>
      <c r="CK618">
        <f>$C618*CK617</f>
        <v/>
      </c>
      <c r="CL618">
        <f>$C618*CL617</f>
        <v/>
      </c>
      <c r="CM618">
        <f>$C618*CM617</f>
        <v/>
      </c>
      <c r="CN618">
        <f>$C618*CN617</f>
        <v/>
      </c>
      <c r="CO618">
        <f>$C618*CO617</f>
        <v/>
      </c>
      <c r="CP618">
        <f>$C618*CP617</f>
        <v/>
      </c>
      <c r="CQ618">
        <f>$C618*CQ617</f>
        <v/>
      </c>
      <c r="CR618">
        <f>$C618*CR617</f>
        <v/>
      </c>
      <c r="CS618">
        <f>$C618*CS617</f>
        <v/>
      </c>
      <c r="CT618">
        <f>$C618*CT617</f>
        <v/>
      </c>
      <c r="CU618">
        <f>$C618*CU617</f>
        <v/>
      </c>
      <c r="CV618">
        <f>$C618*CV617</f>
        <v/>
      </c>
      <c r="CW618">
        <f>$C618*CW617</f>
        <v/>
      </c>
      <c r="CX618">
        <f>$C618*CX617</f>
        <v/>
      </c>
      <c r="CY618">
        <f>$C618*CY617</f>
        <v/>
      </c>
      <c r="CZ618">
        <f>$C618*CZ617</f>
        <v/>
      </c>
      <c r="DA618">
        <f>$C618*DA617</f>
        <v/>
      </c>
      <c r="DB618">
        <f>$C618*DB617</f>
        <v/>
      </c>
      <c r="DC618">
        <f>$C618*DC617</f>
        <v/>
      </c>
    </row>
    <row r="619">
      <c r="B619" t="inlineStr">
        <is>
          <t>TPP-650</t>
        </is>
      </c>
      <c r="C619" t="inlineStr">
        <is>
          <t>No. of batches</t>
        </is>
      </c>
      <c r="D619">
        <f>IFERROR(INDEX(PP_Grid[#Data],$DD619,2),0)</f>
        <v/>
      </c>
      <c r="E619">
        <f>IFERROR(INDEX(PP_Grid[#Data],$DD619,3),0)</f>
        <v/>
      </c>
      <c r="F619">
        <f>IFERROR(INDEX(PP_Grid[#Data],$DD619,4),0)</f>
        <v/>
      </c>
      <c r="G619">
        <f>IFERROR(INDEX(PP_Grid[#Data],$DD619,5),0)</f>
        <v/>
      </c>
      <c r="H619">
        <f>IFERROR(INDEX(PP_Grid[#Data],$DD619,6),0)</f>
        <v/>
      </c>
      <c r="I619">
        <f>IFERROR(INDEX(PP_Grid[#Data],$DD619,7),0)</f>
        <v/>
      </c>
      <c r="J619">
        <f>IFERROR(INDEX(PP_Grid[#Data],$DD619,8),0)</f>
        <v/>
      </c>
      <c r="K619">
        <f>IFERROR(INDEX(PP_Grid[#Data],$DD619,9),0)</f>
        <v/>
      </c>
      <c r="L619">
        <f>IFERROR(INDEX(PP_Grid[#Data],$DD619,10),0)</f>
        <v/>
      </c>
      <c r="M619">
        <f>IFERROR(INDEX(PP_Grid[#Data],$DD619,11),0)</f>
        <v/>
      </c>
      <c r="N619">
        <f>IFERROR(INDEX(PP_Grid[#Data],$DD619,12),0)</f>
        <v/>
      </c>
      <c r="O619">
        <f>IFERROR(INDEX(PP_Grid[#Data],$DD619,13),0)</f>
        <v/>
      </c>
      <c r="P619">
        <f>IFERROR(INDEX(PP_Grid[#Data],$DD619,14),0)</f>
        <v/>
      </c>
      <c r="Q619">
        <f>IFERROR(INDEX(PP_Grid[#Data],$DD619,15),0)</f>
        <v/>
      </c>
      <c r="R619">
        <f>IFERROR(INDEX(PP_Grid[#Data],$DD619,16),0)</f>
        <v/>
      </c>
      <c r="S619">
        <f>IFERROR(INDEX(PP_Grid[#Data],$DD619,17),0)</f>
        <v/>
      </c>
      <c r="T619">
        <f>IFERROR(INDEX(PP_Grid[#Data],$DD619,18),0)</f>
        <v/>
      </c>
      <c r="U619">
        <f>IFERROR(INDEX(PP_Grid[#Data],$DD619,19),0)</f>
        <v/>
      </c>
      <c r="V619">
        <f>IFERROR(INDEX(PP_Grid[#Data],$DD619,20),0)</f>
        <v/>
      </c>
      <c r="W619">
        <f>IFERROR(INDEX(PP_Grid[#Data],$DD619,21),0)</f>
        <v/>
      </c>
      <c r="X619">
        <f>IFERROR(INDEX(PP_Grid[#Data],$DD619,22),0)</f>
        <v/>
      </c>
      <c r="Y619">
        <f>IFERROR(INDEX(PP_Grid[#Data],$DD619,23),0)</f>
        <v/>
      </c>
      <c r="Z619">
        <f>IFERROR(INDEX(PP_Grid[#Data],$DD619,24),0)</f>
        <v/>
      </c>
      <c r="AA619">
        <f>IFERROR(INDEX(PP_Grid[#Data],$DD619,25),0)</f>
        <v/>
      </c>
      <c r="AB619">
        <f>IFERROR(INDEX(PP_Grid[#Data],$DD619,26),0)</f>
        <v/>
      </c>
      <c r="AC619">
        <f>IFERROR(INDEX(PP_Grid[#Data],$DD619,27),0)</f>
        <v/>
      </c>
      <c r="AD619">
        <f>IFERROR(INDEX(PP_Grid[#Data],$DD619,28),0)</f>
        <v/>
      </c>
      <c r="AE619">
        <f>IFERROR(INDEX(PP_Grid[#Data],$DD619,29),0)</f>
        <v/>
      </c>
      <c r="AF619">
        <f>IFERROR(INDEX(PP_Grid[#Data],$DD619,30),0)</f>
        <v/>
      </c>
      <c r="AG619">
        <f>IFERROR(INDEX(PP_Grid[#Data],$DD619,31),0)</f>
        <v/>
      </c>
      <c r="AH619">
        <f>IFERROR(INDEX(PP_Grid[#Data],$DD619,32),0)</f>
        <v/>
      </c>
      <c r="AI619">
        <f>IFERROR(INDEX(PP_Grid[#Data],$DD619,33),0)</f>
        <v/>
      </c>
      <c r="AJ619">
        <f>IFERROR(INDEX(PP_Grid[#Data],$DD619,34),0)</f>
        <v/>
      </c>
      <c r="AK619">
        <f>IFERROR(INDEX(PP_Grid[#Data],$DD619,35),0)</f>
        <v/>
      </c>
      <c r="AL619">
        <f>IFERROR(INDEX(PP_Grid[#Data],$DD619,36),0)</f>
        <v/>
      </c>
      <c r="AM619">
        <f>IFERROR(INDEX(PP_Grid[#Data],$DD619,37),0)</f>
        <v/>
      </c>
      <c r="AN619">
        <f>IFERROR(INDEX(PP_Grid[#Data],$DD619,38),0)</f>
        <v/>
      </c>
      <c r="AO619">
        <f>IFERROR(INDEX(PP_Grid[#Data],$DD619,39),0)</f>
        <v/>
      </c>
      <c r="AP619">
        <f>IFERROR(INDEX(PP_Grid[#Data],$DD619,40),0)</f>
        <v/>
      </c>
      <c r="AQ619">
        <f>IFERROR(INDEX(PP_Grid[#Data],$DD619,41),0)</f>
        <v/>
      </c>
      <c r="AR619">
        <f>IFERROR(INDEX(PP_Grid[#Data],$DD619,42),0)</f>
        <v/>
      </c>
      <c r="AS619">
        <f>IFERROR(INDEX(PP_Grid[#Data],$DD619,43),0)</f>
        <v/>
      </c>
      <c r="AT619">
        <f>IFERROR(INDEX(PP_Grid[#Data],$DD619,44),0)</f>
        <v/>
      </c>
      <c r="AU619">
        <f>IFERROR(INDEX(PP_Grid[#Data],$DD619,45),0)</f>
        <v/>
      </c>
      <c r="AV619">
        <f>IFERROR(INDEX(PP_Grid[#Data],$DD619,46),0)</f>
        <v/>
      </c>
      <c r="AW619">
        <f>IFERROR(INDEX(PP_Grid[#Data],$DD619,47),0)</f>
        <v/>
      </c>
      <c r="AX619">
        <f>IFERROR(INDEX(PP_Grid[#Data],$DD619,48),0)</f>
        <v/>
      </c>
      <c r="AY619">
        <f>IFERROR(INDEX(PP_Grid[#Data],$DD619,49),0)</f>
        <v/>
      </c>
      <c r="AZ619">
        <f>IFERROR(INDEX(PP_Grid[#Data],$DD619,50),0)</f>
        <v/>
      </c>
      <c r="BA619">
        <f>IFERROR(INDEX(PP_Grid[#Data],$DD619,51),0)</f>
        <v/>
      </c>
      <c r="BB619">
        <f>IFERROR(INDEX(PP_Grid[#Data],$DD619,52),0)</f>
        <v/>
      </c>
      <c r="BC619">
        <f>IFERROR(INDEX(PP_Grid[#Data],$DD619,53),0)</f>
        <v/>
      </c>
      <c r="BD619">
        <f>IFERROR(INDEX(PP_Grid[#Data],$DD619,54),0)</f>
        <v/>
      </c>
      <c r="BE619">
        <f>IFERROR(INDEX(PP_Grid[#Data],$DD619,55),0)</f>
        <v/>
      </c>
      <c r="BF619">
        <f>IFERROR(INDEX(PP_Grid[#Data],$DD619,56),0)</f>
        <v/>
      </c>
      <c r="BG619">
        <f>IFERROR(INDEX(PP_Grid[#Data],$DD619,57),0)</f>
        <v/>
      </c>
      <c r="BH619">
        <f>IFERROR(INDEX(PP_Grid[#Data],$DD619,58),0)</f>
        <v/>
      </c>
      <c r="BI619">
        <f>IFERROR(INDEX(PP_Grid[#Data],$DD619,59),0)</f>
        <v/>
      </c>
      <c r="BJ619">
        <f>IFERROR(INDEX(PP_Grid[#Data],$DD619,60),0)</f>
        <v/>
      </c>
      <c r="BK619">
        <f>IFERROR(INDEX(PP_Grid[#Data],$DD619,61),0)</f>
        <v/>
      </c>
      <c r="BL619">
        <f>IFERROR(INDEX(PP_Grid[#Data],$DD619,62),0)</f>
        <v/>
      </c>
      <c r="BM619">
        <f>IFERROR(INDEX(PP_Grid[#Data],$DD619,63),0)</f>
        <v/>
      </c>
      <c r="BN619">
        <f>IFERROR(INDEX(PP_Grid[#Data],$DD619,64),0)</f>
        <v/>
      </c>
      <c r="BO619">
        <f>IFERROR(INDEX(PP_Grid[#Data],$DD619,65),0)</f>
        <v/>
      </c>
      <c r="BP619">
        <f>IFERROR(INDEX(PP_Grid[#Data],$DD619,66),0)</f>
        <v/>
      </c>
      <c r="BQ619">
        <f>IFERROR(INDEX(PP_Grid[#Data],$DD619,67),0)</f>
        <v/>
      </c>
      <c r="BR619">
        <f>IFERROR(INDEX(PP_Grid[#Data],$DD619,68),0)</f>
        <v/>
      </c>
      <c r="BS619">
        <f>IFERROR(INDEX(PP_Grid[#Data],$DD619,69),0)</f>
        <v/>
      </c>
      <c r="BT619">
        <f>IFERROR(INDEX(PP_Grid[#Data],$DD619,70),0)</f>
        <v/>
      </c>
      <c r="BU619">
        <f>IFERROR(INDEX(PP_Grid[#Data],$DD619,71),0)</f>
        <v/>
      </c>
      <c r="BV619">
        <f>IFERROR(INDEX(PP_Grid[#Data],$DD619,72),0)</f>
        <v/>
      </c>
      <c r="BW619">
        <f>IFERROR(INDEX(PP_Grid[#Data],$DD619,73),0)</f>
        <v/>
      </c>
      <c r="BX619">
        <f>IFERROR(INDEX(PP_Grid[#Data],$DD619,74),0)</f>
        <v/>
      </c>
      <c r="BY619">
        <f>IFERROR(INDEX(PP_Grid[#Data],$DD619,75),0)</f>
        <v/>
      </c>
      <c r="BZ619">
        <f>IFERROR(INDEX(PP_Grid[#Data],$DD619,76),0)</f>
        <v/>
      </c>
      <c r="CA619">
        <f>IFERROR(INDEX(PP_Grid[#Data],$DD619,77),0)</f>
        <v/>
      </c>
      <c r="CB619">
        <f>IFERROR(INDEX(PP_Grid[#Data],$DD619,78),0)</f>
        <v/>
      </c>
      <c r="CC619">
        <f>IFERROR(INDEX(PP_Grid[#Data],$DD619,79),0)</f>
        <v/>
      </c>
      <c r="CD619">
        <f>IFERROR(INDEX(PP_Grid[#Data],$DD619,80),0)</f>
        <v/>
      </c>
      <c r="CE619">
        <f>IFERROR(INDEX(PP_Grid[#Data],$DD619,81),0)</f>
        <v/>
      </c>
      <c r="CF619">
        <f>IFERROR(INDEX(PP_Grid[#Data],$DD619,82),0)</f>
        <v/>
      </c>
      <c r="CG619">
        <f>IFERROR(INDEX(PP_Grid[#Data],$DD619,83),0)</f>
        <v/>
      </c>
      <c r="CH619">
        <f>IFERROR(INDEX(PP_Grid[#Data],$DD619,84),0)</f>
        <v/>
      </c>
      <c r="CI619">
        <f>IFERROR(INDEX(PP_Grid[#Data],$DD619,85),0)</f>
        <v/>
      </c>
      <c r="CJ619">
        <f>IFERROR(INDEX(PP_Grid[#Data],$DD619,86),0)</f>
        <v/>
      </c>
      <c r="CK619">
        <f>IFERROR(INDEX(PP_Grid[#Data],$DD619,87),0)</f>
        <v/>
      </c>
      <c r="CL619">
        <f>IFERROR(INDEX(PP_Grid[#Data],$DD619,88),0)</f>
        <v/>
      </c>
      <c r="CM619">
        <f>IFERROR(INDEX(PP_Grid[#Data],$DD619,89),0)</f>
        <v/>
      </c>
      <c r="CN619">
        <f>IFERROR(INDEX(PP_Grid[#Data],$DD619,90),0)</f>
        <v/>
      </c>
      <c r="CO619">
        <f>IFERROR(INDEX(PP_Grid[#Data],$DD619,91),0)</f>
        <v/>
      </c>
      <c r="CP619">
        <f>IFERROR(INDEX(PP_Grid[#Data],$DD619,92),0)</f>
        <v/>
      </c>
      <c r="CQ619">
        <f>IFERROR(INDEX(PP_Grid[#Data],$DD619,93),0)</f>
        <v/>
      </c>
      <c r="CR619">
        <f>IFERROR(INDEX(PP_Grid[#Data],$DD619,94),0)</f>
        <v/>
      </c>
      <c r="CS619">
        <f>IFERROR(INDEX(PP_Grid[#Data],$DD619,95),0)</f>
        <v/>
      </c>
      <c r="CT619">
        <f>IFERROR(INDEX(PP_Grid[#Data],$DD619,96),0)</f>
        <v/>
      </c>
      <c r="CU619">
        <f>IFERROR(INDEX(PP_Grid[#Data],$DD619,97),0)</f>
        <v/>
      </c>
      <c r="CV619">
        <f>IFERROR(INDEX(PP_Grid[#Data],$DD619,98),0)</f>
        <v/>
      </c>
      <c r="CW619">
        <f>IFERROR(INDEX(PP_Grid[#Data],$DD619,99),0)</f>
        <v/>
      </c>
      <c r="CX619">
        <f>IFERROR(INDEX(PP_Grid[#Data],$DD619,100),0)</f>
        <v/>
      </c>
      <c r="CY619">
        <f>IFERROR(INDEX(PP_Grid[#Data],$DD619,101),0)</f>
        <v/>
      </c>
      <c r="CZ619">
        <f>IFERROR(INDEX(PP_Grid[#Data],$DD619,102),0)</f>
        <v/>
      </c>
      <c r="DA619">
        <f>IFERROR(INDEX(PP_Grid[#Data],$DD619,103),0)</f>
        <v/>
      </c>
      <c r="DB619">
        <f>IFERROR(INDEX(PP_Grid[#Data],$DD619,104),0)</f>
        <v/>
      </c>
      <c r="DC619">
        <f>IFERROR(INDEX(PP_Grid[#Data],$DD619,105),0)</f>
        <v/>
      </c>
      <c r="DD619" s="7">
        <f>IFERROR(MATCH($B619,PP_Grid[Intermediate],0),99999)</f>
        <v/>
      </c>
    </row>
    <row r="620">
      <c r="B620" t="inlineStr">
        <is>
          <t>使用量(kg)</t>
        </is>
      </c>
      <c r="C620">
        <f>SUMIFS(M_BOM[RM_Qty_Per_Batch],M_BOM[Intermediate],$B619,M_BOM[Part Name],$A580)</f>
        <v/>
      </c>
      <c r="D620">
        <f>$C620*D619</f>
        <v/>
      </c>
      <c r="E620">
        <f>$C620*E619</f>
        <v/>
      </c>
      <c r="F620">
        <f>$C620*F619</f>
        <v/>
      </c>
      <c r="G620">
        <f>$C620*G619</f>
        <v/>
      </c>
      <c r="H620">
        <f>$C620*H619</f>
        <v/>
      </c>
      <c r="I620">
        <f>$C620*I619</f>
        <v/>
      </c>
      <c r="J620">
        <f>$C620*J619</f>
        <v/>
      </c>
      <c r="K620">
        <f>$C620*K619</f>
        <v/>
      </c>
      <c r="L620">
        <f>$C620*L619</f>
        <v/>
      </c>
      <c r="M620">
        <f>$C620*M619</f>
        <v/>
      </c>
      <c r="N620">
        <f>$C620*N619</f>
        <v/>
      </c>
      <c r="O620">
        <f>$C620*O619</f>
        <v/>
      </c>
      <c r="P620">
        <f>$C620*P619</f>
        <v/>
      </c>
      <c r="Q620">
        <f>$C620*Q619</f>
        <v/>
      </c>
      <c r="R620">
        <f>$C620*R619</f>
        <v/>
      </c>
      <c r="S620">
        <f>$C620*S619</f>
        <v/>
      </c>
      <c r="T620">
        <f>$C620*T619</f>
        <v/>
      </c>
      <c r="U620">
        <f>$C620*U619</f>
        <v/>
      </c>
      <c r="V620">
        <f>$C620*V619</f>
        <v/>
      </c>
      <c r="W620">
        <f>$C620*W619</f>
        <v/>
      </c>
      <c r="X620">
        <f>$C620*X619</f>
        <v/>
      </c>
      <c r="Y620">
        <f>$C620*Y619</f>
        <v/>
      </c>
      <c r="Z620">
        <f>$C620*Z619</f>
        <v/>
      </c>
      <c r="AA620">
        <f>$C620*AA619</f>
        <v/>
      </c>
      <c r="AB620">
        <f>$C620*AB619</f>
        <v/>
      </c>
      <c r="AC620">
        <f>$C620*AC619</f>
        <v/>
      </c>
      <c r="AD620">
        <f>$C620*AD619</f>
        <v/>
      </c>
      <c r="AE620">
        <f>$C620*AE619</f>
        <v/>
      </c>
      <c r="AF620">
        <f>$C620*AF619</f>
        <v/>
      </c>
      <c r="AG620">
        <f>$C620*AG619</f>
        <v/>
      </c>
      <c r="AH620">
        <f>$C620*AH619</f>
        <v/>
      </c>
      <c r="AI620">
        <f>$C620*AI619</f>
        <v/>
      </c>
      <c r="AJ620">
        <f>$C620*AJ619</f>
        <v/>
      </c>
      <c r="AK620">
        <f>$C620*AK619</f>
        <v/>
      </c>
      <c r="AL620">
        <f>$C620*AL619</f>
        <v/>
      </c>
      <c r="AM620">
        <f>$C620*AM619</f>
        <v/>
      </c>
      <c r="AN620">
        <f>$C620*AN619</f>
        <v/>
      </c>
      <c r="AO620">
        <f>$C620*AO619</f>
        <v/>
      </c>
      <c r="AP620">
        <f>$C620*AP619</f>
        <v/>
      </c>
      <c r="AQ620">
        <f>$C620*AQ619</f>
        <v/>
      </c>
      <c r="AR620">
        <f>$C620*AR619</f>
        <v/>
      </c>
      <c r="AS620">
        <f>$C620*AS619</f>
        <v/>
      </c>
      <c r="AT620">
        <f>$C620*AT619</f>
        <v/>
      </c>
      <c r="AU620">
        <f>$C620*AU619</f>
        <v/>
      </c>
      <c r="AV620">
        <f>$C620*AV619</f>
        <v/>
      </c>
      <c r="AW620">
        <f>$C620*AW619</f>
        <v/>
      </c>
      <c r="AX620">
        <f>$C620*AX619</f>
        <v/>
      </c>
      <c r="AY620">
        <f>$C620*AY619</f>
        <v/>
      </c>
      <c r="AZ620">
        <f>$C620*AZ619</f>
        <v/>
      </c>
      <c r="BA620">
        <f>$C620*BA619</f>
        <v/>
      </c>
      <c r="BB620">
        <f>$C620*BB619</f>
        <v/>
      </c>
      <c r="BC620">
        <f>$C620*BC619</f>
        <v/>
      </c>
      <c r="BD620">
        <f>$C620*BD619</f>
        <v/>
      </c>
      <c r="BE620">
        <f>$C620*BE619</f>
        <v/>
      </c>
      <c r="BF620">
        <f>$C620*BF619</f>
        <v/>
      </c>
      <c r="BG620">
        <f>$C620*BG619</f>
        <v/>
      </c>
      <c r="BH620">
        <f>$C620*BH619</f>
        <v/>
      </c>
      <c r="BI620">
        <f>$C620*BI619</f>
        <v/>
      </c>
      <c r="BJ620">
        <f>$C620*BJ619</f>
        <v/>
      </c>
      <c r="BK620">
        <f>$C620*BK619</f>
        <v/>
      </c>
      <c r="BL620">
        <f>$C620*BL619</f>
        <v/>
      </c>
      <c r="BM620">
        <f>$C620*BM619</f>
        <v/>
      </c>
      <c r="BN620">
        <f>$C620*BN619</f>
        <v/>
      </c>
      <c r="BO620">
        <f>$C620*BO619</f>
        <v/>
      </c>
      <c r="BP620">
        <f>$C620*BP619</f>
        <v/>
      </c>
      <c r="BQ620">
        <f>$C620*BQ619</f>
        <v/>
      </c>
      <c r="BR620">
        <f>$C620*BR619</f>
        <v/>
      </c>
      <c r="BS620">
        <f>$C620*BS619</f>
        <v/>
      </c>
      <c r="BT620">
        <f>$C620*BT619</f>
        <v/>
      </c>
      <c r="BU620">
        <f>$C620*BU619</f>
        <v/>
      </c>
      <c r="BV620">
        <f>$C620*BV619</f>
        <v/>
      </c>
      <c r="BW620">
        <f>$C620*BW619</f>
        <v/>
      </c>
      <c r="BX620">
        <f>$C620*BX619</f>
        <v/>
      </c>
      <c r="BY620">
        <f>$C620*BY619</f>
        <v/>
      </c>
      <c r="BZ620">
        <f>$C620*BZ619</f>
        <v/>
      </c>
      <c r="CA620">
        <f>$C620*CA619</f>
        <v/>
      </c>
      <c r="CB620">
        <f>$C620*CB619</f>
        <v/>
      </c>
      <c r="CC620">
        <f>$C620*CC619</f>
        <v/>
      </c>
      <c r="CD620">
        <f>$C620*CD619</f>
        <v/>
      </c>
      <c r="CE620">
        <f>$C620*CE619</f>
        <v/>
      </c>
      <c r="CF620">
        <f>$C620*CF619</f>
        <v/>
      </c>
      <c r="CG620">
        <f>$C620*CG619</f>
        <v/>
      </c>
      <c r="CH620">
        <f>$C620*CH619</f>
        <v/>
      </c>
      <c r="CI620">
        <f>$C620*CI619</f>
        <v/>
      </c>
      <c r="CJ620">
        <f>$C620*CJ619</f>
        <v/>
      </c>
      <c r="CK620">
        <f>$C620*CK619</f>
        <v/>
      </c>
      <c r="CL620">
        <f>$C620*CL619</f>
        <v/>
      </c>
      <c r="CM620">
        <f>$C620*CM619</f>
        <v/>
      </c>
      <c r="CN620">
        <f>$C620*CN619</f>
        <v/>
      </c>
      <c r="CO620">
        <f>$C620*CO619</f>
        <v/>
      </c>
      <c r="CP620">
        <f>$C620*CP619</f>
        <v/>
      </c>
      <c r="CQ620">
        <f>$C620*CQ619</f>
        <v/>
      </c>
      <c r="CR620">
        <f>$C620*CR619</f>
        <v/>
      </c>
      <c r="CS620">
        <f>$C620*CS619</f>
        <v/>
      </c>
      <c r="CT620">
        <f>$C620*CT619</f>
        <v/>
      </c>
      <c r="CU620">
        <f>$C620*CU619</f>
        <v/>
      </c>
      <c r="CV620">
        <f>$C620*CV619</f>
        <v/>
      </c>
      <c r="CW620">
        <f>$C620*CW619</f>
        <v/>
      </c>
      <c r="CX620">
        <f>$C620*CX619</f>
        <v/>
      </c>
      <c r="CY620">
        <f>$C620*CY619</f>
        <v/>
      </c>
      <c r="CZ620">
        <f>$C620*CZ619</f>
        <v/>
      </c>
      <c r="DA620">
        <f>$C620*DA619</f>
        <v/>
      </c>
      <c r="DB620">
        <f>$C620*DB619</f>
        <v/>
      </c>
      <c r="DC620">
        <f>$C620*DC619</f>
        <v/>
      </c>
    </row>
    <row r="621">
      <c r="B621" t="inlineStr">
        <is>
          <t>TPP-527</t>
        </is>
      </c>
      <c r="C621" t="inlineStr">
        <is>
          <t>No. of batches</t>
        </is>
      </c>
      <c r="D621">
        <f>IFERROR(INDEX(PP_Grid[#Data],$DD621,2),0)</f>
        <v/>
      </c>
      <c r="E621">
        <f>IFERROR(INDEX(PP_Grid[#Data],$DD621,3),0)</f>
        <v/>
      </c>
      <c r="F621">
        <f>IFERROR(INDEX(PP_Grid[#Data],$DD621,4),0)</f>
        <v/>
      </c>
      <c r="G621">
        <f>IFERROR(INDEX(PP_Grid[#Data],$DD621,5),0)</f>
        <v/>
      </c>
      <c r="H621">
        <f>IFERROR(INDEX(PP_Grid[#Data],$DD621,6),0)</f>
        <v/>
      </c>
      <c r="I621">
        <f>IFERROR(INDEX(PP_Grid[#Data],$DD621,7),0)</f>
        <v/>
      </c>
      <c r="J621">
        <f>IFERROR(INDEX(PP_Grid[#Data],$DD621,8),0)</f>
        <v/>
      </c>
      <c r="K621">
        <f>IFERROR(INDEX(PP_Grid[#Data],$DD621,9),0)</f>
        <v/>
      </c>
      <c r="L621">
        <f>IFERROR(INDEX(PP_Grid[#Data],$DD621,10),0)</f>
        <v/>
      </c>
      <c r="M621">
        <f>IFERROR(INDEX(PP_Grid[#Data],$DD621,11),0)</f>
        <v/>
      </c>
      <c r="N621">
        <f>IFERROR(INDEX(PP_Grid[#Data],$DD621,12),0)</f>
        <v/>
      </c>
      <c r="O621">
        <f>IFERROR(INDEX(PP_Grid[#Data],$DD621,13),0)</f>
        <v/>
      </c>
      <c r="P621">
        <f>IFERROR(INDEX(PP_Grid[#Data],$DD621,14),0)</f>
        <v/>
      </c>
      <c r="Q621">
        <f>IFERROR(INDEX(PP_Grid[#Data],$DD621,15),0)</f>
        <v/>
      </c>
      <c r="R621">
        <f>IFERROR(INDEX(PP_Grid[#Data],$DD621,16),0)</f>
        <v/>
      </c>
      <c r="S621">
        <f>IFERROR(INDEX(PP_Grid[#Data],$DD621,17),0)</f>
        <v/>
      </c>
      <c r="T621">
        <f>IFERROR(INDEX(PP_Grid[#Data],$DD621,18),0)</f>
        <v/>
      </c>
      <c r="U621">
        <f>IFERROR(INDEX(PP_Grid[#Data],$DD621,19),0)</f>
        <v/>
      </c>
      <c r="V621">
        <f>IFERROR(INDEX(PP_Grid[#Data],$DD621,20),0)</f>
        <v/>
      </c>
      <c r="W621">
        <f>IFERROR(INDEX(PP_Grid[#Data],$DD621,21),0)</f>
        <v/>
      </c>
      <c r="X621">
        <f>IFERROR(INDEX(PP_Grid[#Data],$DD621,22),0)</f>
        <v/>
      </c>
      <c r="Y621">
        <f>IFERROR(INDEX(PP_Grid[#Data],$DD621,23),0)</f>
        <v/>
      </c>
      <c r="Z621">
        <f>IFERROR(INDEX(PP_Grid[#Data],$DD621,24),0)</f>
        <v/>
      </c>
      <c r="AA621">
        <f>IFERROR(INDEX(PP_Grid[#Data],$DD621,25),0)</f>
        <v/>
      </c>
      <c r="AB621">
        <f>IFERROR(INDEX(PP_Grid[#Data],$DD621,26),0)</f>
        <v/>
      </c>
      <c r="AC621">
        <f>IFERROR(INDEX(PP_Grid[#Data],$DD621,27),0)</f>
        <v/>
      </c>
      <c r="AD621">
        <f>IFERROR(INDEX(PP_Grid[#Data],$DD621,28),0)</f>
        <v/>
      </c>
      <c r="AE621">
        <f>IFERROR(INDEX(PP_Grid[#Data],$DD621,29),0)</f>
        <v/>
      </c>
      <c r="AF621">
        <f>IFERROR(INDEX(PP_Grid[#Data],$DD621,30),0)</f>
        <v/>
      </c>
      <c r="AG621">
        <f>IFERROR(INDEX(PP_Grid[#Data],$DD621,31),0)</f>
        <v/>
      </c>
      <c r="AH621">
        <f>IFERROR(INDEX(PP_Grid[#Data],$DD621,32),0)</f>
        <v/>
      </c>
      <c r="AI621">
        <f>IFERROR(INDEX(PP_Grid[#Data],$DD621,33),0)</f>
        <v/>
      </c>
      <c r="AJ621">
        <f>IFERROR(INDEX(PP_Grid[#Data],$DD621,34),0)</f>
        <v/>
      </c>
      <c r="AK621">
        <f>IFERROR(INDEX(PP_Grid[#Data],$DD621,35),0)</f>
        <v/>
      </c>
      <c r="AL621">
        <f>IFERROR(INDEX(PP_Grid[#Data],$DD621,36),0)</f>
        <v/>
      </c>
      <c r="AM621">
        <f>IFERROR(INDEX(PP_Grid[#Data],$DD621,37),0)</f>
        <v/>
      </c>
      <c r="AN621">
        <f>IFERROR(INDEX(PP_Grid[#Data],$DD621,38),0)</f>
        <v/>
      </c>
      <c r="AO621">
        <f>IFERROR(INDEX(PP_Grid[#Data],$DD621,39),0)</f>
        <v/>
      </c>
      <c r="AP621">
        <f>IFERROR(INDEX(PP_Grid[#Data],$DD621,40),0)</f>
        <v/>
      </c>
      <c r="AQ621">
        <f>IFERROR(INDEX(PP_Grid[#Data],$DD621,41),0)</f>
        <v/>
      </c>
      <c r="AR621">
        <f>IFERROR(INDEX(PP_Grid[#Data],$DD621,42),0)</f>
        <v/>
      </c>
      <c r="AS621">
        <f>IFERROR(INDEX(PP_Grid[#Data],$DD621,43),0)</f>
        <v/>
      </c>
      <c r="AT621">
        <f>IFERROR(INDEX(PP_Grid[#Data],$DD621,44),0)</f>
        <v/>
      </c>
      <c r="AU621">
        <f>IFERROR(INDEX(PP_Grid[#Data],$DD621,45),0)</f>
        <v/>
      </c>
      <c r="AV621">
        <f>IFERROR(INDEX(PP_Grid[#Data],$DD621,46),0)</f>
        <v/>
      </c>
      <c r="AW621">
        <f>IFERROR(INDEX(PP_Grid[#Data],$DD621,47),0)</f>
        <v/>
      </c>
      <c r="AX621">
        <f>IFERROR(INDEX(PP_Grid[#Data],$DD621,48),0)</f>
        <v/>
      </c>
      <c r="AY621">
        <f>IFERROR(INDEX(PP_Grid[#Data],$DD621,49),0)</f>
        <v/>
      </c>
      <c r="AZ621">
        <f>IFERROR(INDEX(PP_Grid[#Data],$DD621,50),0)</f>
        <v/>
      </c>
      <c r="BA621">
        <f>IFERROR(INDEX(PP_Grid[#Data],$DD621,51),0)</f>
        <v/>
      </c>
      <c r="BB621">
        <f>IFERROR(INDEX(PP_Grid[#Data],$DD621,52),0)</f>
        <v/>
      </c>
      <c r="BC621">
        <f>IFERROR(INDEX(PP_Grid[#Data],$DD621,53),0)</f>
        <v/>
      </c>
      <c r="BD621">
        <f>IFERROR(INDEX(PP_Grid[#Data],$DD621,54),0)</f>
        <v/>
      </c>
      <c r="BE621">
        <f>IFERROR(INDEX(PP_Grid[#Data],$DD621,55),0)</f>
        <v/>
      </c>
      <c r="BF621">
        <f>IFERROR(INDEX(PP_Grid[#Data],$DD621,56),0)</f>
        <v/>
      </c>
      <c r="BG621">
        <f>IFERROR(INDEX(PP_Grid[#Data],$DD621,57),0)</f>
        <v/>
      </c>
      <c r="BH621">
        <f>IFERROR(INDEX(PP_Grid[#Data],$DD621,58),0)</f>
        <v/>
      </c>
      <c r="BI621">
        <f>IFERROR(INDEX(PP_Grid[#Data],$DD621,59),0)</f>
        <v/>
      </c>
      <c r="BJ621">
        <f>IFERROR(INDEX(PP_Grid[#Data],$DD621,60),0)</f>
        <v/>
      </c>
      <c r="BK621">
        <f>IFERROR(INDEX(PP_Grid[#Data],$DD621,61),0)</f>
        <v/>
      </c>
      <c r="BL621">
        <f>IFERROR(INDEX(PP_Grid[#Data],$DD621,62),0)</f>
        <v/>
      </c>
      <c r="BM621">
        <f>IFERROR(INDEX(PP_Grid[#Data],$DD621,63),0)</f>
        <v/>
      </c>
      <c r="BN621">
        <f>IFERROR(INDEX(PP_Grid[#Data],$DD621,64),0)</f>
        <v/>
      </c>
      <c r="BO621">
        <f>IFERROR(INDEX(PP_Grid[#Data],$DD621,65),0)</f>
        <v/>
      </c>
      <c r="BP621">
        <f>IFERROR(INDEX(PP_Grid[#Data],$DD621,66),0)</f>
        <v/>
      </c>
      <c r="BQ621">
        <f>IFERROR(INDEX(PP_Grid[#Data],$DD621,67),0)</f>
        <v/>
      </c>
      <c r="BR621">
        <f>IFERROR(INDEX(PP_Grid[#Data],$DD621,68),0)</f>
        <v/>
      </c>
      <c r="BS621">
        <f>IFERROR(INDEX(PP_Grid[#Data],$DD621,69),0)</f>
        <v/>
      </c>
      <c r="BT621">
        <f>IFERROR(INDEX(PP_Grid[#Data],$DD621,70),0)</f>
        <v/>
      </c>
      <c r="BU621">
        <f>IFERROR(INDEX(PP_Grid[#Data],$DD621,71),0)</f>
        <v/>
      </c>
      <c r="BV621">
        <f>IFERROR(INDEX(PP_Grid[#Data],$DD621,72),0)</f>
        <v/>
      </c>
      <c r="BW621">
        <f>IFERROR(INDEX(PP_Grid[#Data],$DD621,73),0)</f>
        <v/>
      </c>
      <c r="BX621">
        <f>IFERROR(INDEX(PP_Grid[#Data],$DD621,74),0)</f>
        <v/>
      </c>
      <c r="BY621">
        <f>IFERROR(INDEX(PP_Grid[#Data],$DD621,75),0)</f>
        <v/>
      </c>
      <c r="BZ621">
        <f>IFERROR(INDEX(PP_Grid[#Data],$DD621,76),0)</f>
        <v/>
      </c>
      <c r="CA621">
        <f>IFERROR(INDEX(PP_Grid[#Data],$DD621,77),0)</f>
        <v/>
      </c>
      <c r="CB621">
        <f>IFERROR(INDEX(PP_Grid[#Data],$DD621,78),0)</f>
        <v/>
      </c>
      <c r="CC621">
        <f>IFERROR(INDEX(PP_Grid[#Data],$DD621,79),0)</f>
        <v/>
      </c>
      <c r="CD621">
        <f>IFERROR(INDEX(PP_Grid[#Data],$DD621,80),0)</f>
        <v/>
      </c>
      <c r="CE621">
        <f>IFERROR(INDEX(PP_Grid[#Data],$DD621,81),0)</f>
        <v/>
      </c>
      <c r="CF621">
        <f>IFERROR(INDEX(PP_Grid[#Data],$DD621,82),0)</f>
        <v/>
      </c>
      <c r="CG621">
        <f>IFERROR(INDEX(PP_Grid[#Data],$DD621,83),0)</f>
        <v/>
      </c>
      <c r="CH621">
        <f>IFERROR(INDEX(PP_Grid[#Data],$DD621,84),0)</f>
        <v/>
      </c>
      <c r="CI621">
        <f>IFERROR(INDEX(PP_Grid[#Data],$DD621,85),0)</f>
        <v/>
      </c>
      <c r="CJ621">
        <f>IFERROR(INDEX(PP_Grid[#Data],$DD621,86),0)</f>
        <v/>
      </c>
      <c r="CK621">
        <f>IFERROR(INDEX(PP_Grid[#Data],$DD621,87),0)</f>
        <v/>
      </c>
      <c r="CL621">
        <f>IFERROR(INDEX(PP_Grid[#Data],$DD621,88),0)</f>
        <v/>
      </c>
      <c r="CM621">
        <f>IFERROR(INDEX(PP_Grid[#Data],$DD621,89),0)</f>
        <v/>
      </c>
      <c r="CN621">
        <f>IFERROR(INDEX(PP_Grid[#Data],$DD621,90),0)</f>
        <v/>
      </c>
      <c r="CO621">
        <f>IFERROR(INDEX(PP_Grid[#Data],$DD621,91),0)</f>
        <v/>
      </c>
      <c r="CP621">
        <f>IFERROR(INDEX(PP_Grid[#Data],$DD621,92),0)</f>
        <v/>
      </c>
      <c r="CQ621">
        <f>IFERROR(INDEX(PP_Grid[#Data],$DD621,93),0)</f>
        <v/>
      </c>
      <c r="CR621">
        <f>IFERROR(INDEX(PP_Grid[#Data],$DD621,94),0)</f>
        <v/>
      </c>
      <c r="CS621">
        <f>IFERROR(INDEX(PP_Grid[#Data],$DD621,95),0)</f>
        <v/>
      </c>
      <c r="CT621">
        <f>IFERROR(INDEX(PP_Grid[#Data],$DD621,96),0)</f>
        <v/>
      </c>
      <c r="CU621">
        <f>IFERROR(INDEX(PP_Grid[#Data],$DD621,97),0)</f>
        <v/>
      </c>
      <c r="CV621">
        <f>IFERROR(INDEX(PP_Grid[#Data],$DD621,98),0)</f>
        <v/>
      </c>
      <c r="CW621">
        <f>IFERROR(INDEX(PP_Grid[#Data],$DD621,99),0)</f>
        <v/>
      </c>
      <c r="CX621">
        <f>IFERROR(INDEX(PP_Grid[#Data],$DD621,100),0)</f>
        <v/>
      </c>
      <c r="CY621">
        <f>IFERROR(INDEX(PP_Grid[#Data],$DD621,101),0)</f>
        <v/>
      </c>
      <c r="CZ621">
        <f>IFERROR(INDEX(PP_Grid[#Data],$DD621,102),0)</f>
        <v/>
      </c>
      <c r="DA621">
        <f>IFERROR(INDEX(PP_Grid[#Data],$DD621,103),0)</f>
        <v/>
      </c>
      <c r="DB621">
        <f>IFERROR(INDEX(PP_Grid[#Data],$DD621,104),0)</f>
        <v/>
      </c>
      <c r="DC621">
        <f>IFERROR(INDEX(PP_Grid[#Data],$DD621,105),0)</f>
        <v/>
      </c>
      <c r="DD621" s="7">
        <f>IFERROR(MATCH($B621,PP_Grid[Intermediate],0),99999)</f>
        <v/>
      </c>
    </row>
    <row r="622">
      <c r="B622" t="inlineStr">
        <is>
          <t>使用量(kg)</t>
        </is>
      </c>
      <c r="C622">
        <f>SUMIFS(M_BOM[RM_Qty_Per_Batch],M_BOM[Intermediate],$B621,M_BOM[Part Name],$A580)</f>
        <v/>
      </c>
      <c r="D622">
        <f>$C622*D621</f>
        <v/>
      </c>
      <c r="E622">
        <f>$C622*E621</f>
        <v/>
      </c>
      <c r="F622">
        <f>$C622*F621</f>
        <v/>
      </c>
      <c r="G622">
        <f>$C622*G621</f>
        <v/>
      </c>
      <c r="H622">
        <f>$C622*H621</f>
        <v/>
      </c>
      <c r="I622">
        <f>$C622*I621</f>
        <v/>
      </c>
      <c r="J622">
        <f>$C622*J621</f>
        <v/>
      </c>
      <c r="K622">
        <f>$C622*K621</f>
        <v/>
      </c>
      <c r="L622">
        <f>$C622*L621</f>
        <v/>
      </c>
      <c r="M622">
        <f>$C622*M621</f>
        <v/>
      </c>
      <c r="N622">
        <f>$C622*N621</f>
        <v/>
      </c>
      <c r="O622">
        <f>$C622*O621</f>
        <v/>
      </c>
      <c r="P622">
        <f>$C622*P621</f>
        <v/>
      </c>
      <c r="Q622">
        <f>$C622*Q621</f>
        <v/>
      </c>
      <c r="R622">
        <f>$C622*R621</f>
        <v/>
      </c>
      <c r="S622">
        <f>$C622*S621</f>
        <v/>
      </c>
      <c r="T622">
        <f>$C622*T621</f>
        <v/>
      </c>
      <c r="U622">
        <f>$C622*U621</f>
        <v/>
      </c>
      <c r="V622">
        <f>$C622*V621</f>
        <v/>
      </c>
      <c r="W622">
        <f>$C622*W621</f>
        <v/>
      </c>
      <c r="X622">
        <f>$C622*X621</f>
        <v/>
      </c>
      <c r="Y622">
        <f>$C622*Y621</f>
        <v/>
      </c>
      <c r="Z622">
        <f>$C622*Z621</f>
        <v/>
      </c>
      <c r="AA622">
        <f>$C622*AA621</f>
        <v/>
      </c>
      <c r="AB622">
        <f>$C622*AB621</f>
        <v/>
      </c>
      <c r="AC622">
        <f>$C622*AC621</f>
        <v/>
      </c>
      <c r="AD622">
        <f>$C622*AD621</f>
        <v/>
      </c>
      <c r="AE622">
        <f>$C622*AE621</f>
        <v/>
      </c>
      <c r="AF622">
        <f>$C622*AF621</f>
        <v/>
      </c>
      <c r="AG622">
        <f>$C622*AG621</f>
        <v/>
      </c>
      <c r="AH622">
        <f>$C622*AH621</f>
        <v/>
      </c>
      <c r="AI622">
        <f>$C622*AI621</f>
        <v/>
      </c>
      <c r="AJ622">
        <f>$C622*AJ621</f>
        <v/>
      </c>
      <c r="AK622">
        <f>$C622*AK621</f>
        <v/>
      </c>
      <c r="AL622">
        <f>$C622*AL621</f>
        <v/>
      </c>
      <c r="AM622">
        <f>$C622*AM621</f>
        <v/>
      </c>
      <c r="AN622">
        <f>$C622*AN621</f>
        <v/>
      </c>
      <c r="AO622">
        <f>$C622*AO621</f>
        <v/>
      </c>
      <c r="AP622">
        <f>$C622*AP621</f>
        <v/>
      </c>
      <c r="AQ622">
        <f>$C622*AQ621</f>
        <v/>
      </c>
      <c r="AR622">
        <f>$C622*AR621</f>
        <v/>
      </c>
      <c r="AS622">
        <f>$C622*AS621</f>
        <v/>
      </c>
      <c r="AT622">
        <f>$C622*AT621</f>
        <v/>
      </c>
      <c r="AU622">
        <f>$C622*AU621</f>
        <v/>
      </c>
      <c r="AV622">
        <f>$C622*AV621</f>
        <v/>
      </c>
      <c r="AW622">
        <f>$C622*AW621</f>
        <v/>
      </c>
      <c r="AX622">
        <f>$C622*AX621</f>
        <v/>
      </c>
      <c r="AY622">
        <f>$C622*AY621</f>
        <v/>
      </c>
      <c r="AZ622">
        <f>$C622*AZ621</f>
        <v/>
      </c>
      <c r="BA622">
        <f>$C622*BA621</f>
        <v/>
      </c>
      <c r="BB622">
        <f>$C622*BB621</f>
        <v/>
      </c>
      <c r="BC622">
        <f>$C622*BC621</f>
        <v/>
      </c>
      <c r="BD622">
        <f>$C622*BD621</f>
        <v/>
      </c>
      <c r="BE622">
        <f>$C622*BE621</f>
        <v/>
      </c>
      <c r="BF622">
        <f>$C622*BF621</f>
        <v/>
      </c>
      <c r="BG622">
        <f>$C622*BG621</f>
        <v/>
      </c>
      <c r="BH622">
        <f>$C622*BH621</f>
        <v/>
      </c>
      <c r="BI622">
        <f>$C622*BI621</f>
        <v/>
      </c>
      <c r="BJ622">
        <f>$C622*BJ621</f>
        <v/>
      </c>
      <c r="BK622">
        <f>$C622*BK621</f>
        <v/>
      </c>
      <c r="BL622">
        <f>$C622*BL621</f>
        <v/>
      </c>
      <c r="BM622">
        <f>$C622*BM621</f>
        <v/>
      </c>
      <c r="BN622">
        <f>$C622*BN621</f>
        <v/>
      </c>
      <c r="BO622">
        <f>$C622*BO621</f>
        <v/>
      </c>
      <c r="BP622">
        <f>$C622*BP621</f>
        <v/>
      </c>
      <c r="BQ622">
        <f>$C622*BQ621</f>
        <v/>
      </c>
      <c r="BR622">
        <f>$C622*BR621</f>
        <v/>
      </c>
      <c r="BS622">
        <f>$C622*BS621</f>
        <v/>
      </c>
      <c r="BT622">
        <f>$C622*BT621</f>
        <v/>
      </c>
      <c r="BU622">
        <f>$C622*BU621</f>
        <v/>
      </c>
      <c r="BV622">
        <f>$C622*BV621</f>
        <v/>
      </c>
      <c r="BW622">
        <f>$C622*BW621</f>
        <v/>
      </c>
      <c r="BX622">
        <f>$C622*BX621</f>
        <v/>
      </c>
      <c r="BY622">
        <f>$C622*BY621</f>
        <v/>
      </c>
      <c r="BZ622">
        <f>$C622*BZ621</f>
        <v/>
      </c>
      <c r="CA622">
        <f>$C622*CA621</f>
        <v/>
      </c>
      <c r="CB622">
        <f>$C622*CB621</f>
        <v/>
      </c>
      <c r="CC622">
        <f>$C622*CC621</f>
        <v/>
      </c>
      <c r="CD622">
        <f>$C622*CD621</f>
        <v/>
      </c>
      <c r="CE622">
        <f>$C622*CE621</f>
        <v/>
      </c>
      <c r="CF622">
        <f>$C622*CF621</f>
        <v/>
      </c>
      <c r="CG622">
        <f>$C622*CG621</f>
        <v/>
      </c>
      <c r="CH622">
        <f>$C622*CH621</f>
        <v/>
      </c>
      <c r="CI622">
        <f>$C622*CI621</f>
        <v/>
      </c>
      <c r="CJ622">
        <f>$C622*CJ621</f>
        <v/>
      </c>
      <c r="CK622">
        <f>$C622*CK621</f>
        <v/>
      </c>
      <c r="CL622">
        <f>$C622*CL621</f>
        <v/>
      </c>
      <c r="CM622">
        <f>$C622*CM621</f>
        <v/>
      </c>
      <c r="CN622">
        <f>$C622*CN621</f>
        <v/>
      </c>
      <c r="CO622">
        <f>$C622*CO621</f>
        <v/>
      </c>
      <c r="CP622">
        <f>$C622*CP621</f>
        <v/>
      </c>
      <c r="CQ622">
        <f>$C622*CQ621</f>
        <v/>
      </c>
      <c r="CR622">
        <f>$C622*CR621</f>
        <v/>
      </c>
      <c r="CS622">
        <f>$C622*CS621</f>
        <v/>
      </c>
      <c r="CT622">
        <f>$C622*CT621</f>
        <v/>
      </c>
      <c r="CU622">
        <f>$C622*CU621</f>
        <v/>
      </c>
      <c r="CV622">
        <f>$C622*CV621</f>
        <v/>
      </c>
      <c r="CW622">
        <f>$C622*CW621</f>
        <v/>
      </c>
      <c r="CX622">
        <f>$C622*CX621</f>
        <v/>
      </c>
      <c r="CY622">
        <f>$C622*CY621</f>
        <v/>
      </c>
      <c r="CZ622">
        <f>$C622*CZ621</f>
        <v/>
      </c>
      <c r="DA622">
        <f>$C622*DA621</f>
        <v/>
      </c>
      <c r="DB622">
        <f>$C622*DB621</f>
        <v/>
      </c>
      <c r="DC622">
        <f>$C622*DC621</f>
        <v/>
      </c>
    </row>
    <row r="623">
      <c r="B623" t="inlineStr">
        <is>
          <t>TPP-537</t>
        </is>
      </c>
      <c r="C623" t="inlineStr">
        <is>
          <t>No. of batches</t>
        </is>
      </c>
      <c r="D623">
        <f>IFERROR(INDEX(PP_Grid[#Data],$DD623,2),0)</f>
        <v/>
      </c>
      <c r="E623">
        <f>IFERROR(INDEX(PP_Grid[#Data],$DD623,3),0)</f>
        <v/>
      </c>
      <c r="F623">
        <f>IFERROR(INDEX(PP_Grid[#Data],$DD623,4),0)</f>
        <v/>
      </c>
      <c r="G623">
        <f>IFERROR(INDEX(PP_Grid[#Data],$DD623,5),0)</f>
        <v/>
      </c>
      <c r="H623">
        <f>IFERROR(INDEX(PP_Grid[#Data],$DD623,6),0)</f>
        <v/>
      </c>
      <c r="I623">
        <f>IFERROR(INDEX(PP_Grid[#Data],$DD623,7),0)</f>
        <v/>
      </c>
      <c r="J623">
        <f>IFERROR(INDEX(PP_Grid[#Data],$DD623,8),0)</f>
        <v/>
      </c>
      <c r="K623">
        <f>IFERROR(INDEX(PP_Grid[#Data],$DD623,9),0)</f>
        <v/>
      </c>
      <c r="L623">
        <f>IFERROR(INDEX(PP_Grid[#Data],$DD623,10),0)</f>
        <v/>
      </c>
      <c r="M623">
        <f>IFERROR(INDEX(PP_Grid[#Data],$DD623,11),0)</f>
        <v/>
      </c>
      <c r="N623">
        <f>IFERROR(INDEX(PP_Grid[#Data],$DD623,12),0)</f>
        <v/>
      </c>
      <c r="O623">
        <f>IFERROR(INDEX(PP_Grid[#Data],$DD623,13),0)</f>
        <v/>
      </c>
      <c r="P623">
        <f>IFERROR(INDEX(PP_Grid[#Data],$DD623,14),0)</f>
        <v/>
      </c>
      <c r="Q623">
        <f>IFERROR(INDEX(PP_Grid[#Data],$DD623,15),0)</f>
        <v/>
      </c>
      <c r="R623">
        <f>IFERROR(INDEX(PP_Grid[#Data],$DD623,16),0)</f>
        <v/>
      </c>
      <c r="S623">
        <f>IFERROR(INDEX(PP_Grid[#Data],$DD623,17),0)</f>
        <v/>
      </c>
      <c r="T623">
        <f>IFERROR(INDEX(PP_Grid[#Data],$DD623,18),0)</f>
        <v/>
      </c>
      <c r="U623">
        <f>IFERROR(INDEX(PP_Grid[#Data],$DD623,19),0)</f>
        <v/>
      </c>
      <c r="V623">
        <f>IFERROR(INDEX(PP_Grid[#Data],$DD623,20),0)</f>
        <v/>
      </c>
      <c r="W623">
        <f>IFERROR(INDEX(PP_Grid[#Data],$DD623,21),0)</f>
        <v/>
      </c>
      <c r="X623">
        <f>IFERROR(INDEX(PP_Grid[#Data],$DD623,22),0)</f>
        <v/>
      </c>
      <c r="Y623">
        <f>IFERROR(INDEX(PP_Grid[#Data],$DD623,23),0)</f>
        <v/>
      </c>
      <c r="Z623">
        <f>IFERROR(INDEX(PP_Grid[#Data],$DD623,24),0)</f>
        <v/>
      </c>
      <c r="AA623">
        <f>IFERROR(INDEX(PP_Grid[#Data],$DD623,25),0)</f>
        <v/>
      </c>
      <c r="AB623">
        <f>IFERROR(INDEX(PP_Grid[#Data],$DD623,26),0)</f>
        <v/>
      </c>
      <c r="AC623">
        <f>IFERROR(INDEX(PP_Grid[#Data],$DD623,27),0)</f>
        <v/>
      </c>
      <c r="AD623">
        <f>IFERROR(INDEX(PP_Grid[#Data],$DD623,28),0)</f>
        <v/>
      </c>
      <c r="AE623">
        <f>IFERROR(INDEX(PP_Grid[#Data],$DD623,29),0)</f>
        <v/>
      </c>
      <c r="AF623">
        <f>IFERROR(INDEX(PP_Grid[#Data],$DD623,30),0)</f>
        <v/>
      </c>
      <c r="AG623">
        <f>IFERROR(INDEX(PP_Grid[#Data],$DD623,31),0)</f>
        <v/>
      </c>
      <c r="AH623">
        <f>IFERROR(INDEX(PP_Grid[#Data],$DD623,32),0)</f>
        <v/>
      </c>
      <c r="AI623">
        <f>IFERROR(INDEX(PP_Grid[#Data],$DD623,33),0)</f>
        <v/>
      </c>
      <c r="AJ623">
        <f>IFERROR(INDEX(PP_Grid[#Data],$DD623,34),0)</f>
        <v/>
      </c>
      <c r="AK623">
        <f>IFERROR(INDEX(PP_Grid[#Data],$DD623,35),0)</f>
        <v/>
      </c>
      <c r="AL623">
        <f>IFERROR(INDEX(PP_Grid[#Data],$DD623,36),0)</f>
        <v/>
      </c>
      <c r="AM623">
        <f>IFERROR(INDEX(PP_Grid[#Data],$DD623,37),0)</f>
        <v/>
      </c>
      <c r="AN623">
        <f>IFERROR(INDEX(PP_Grid[#Data],$DD623,38),0)</f>
        <v/>
      </c>
      <c r="AO623">
        <f>IFERROR(INDEX(PP_Grid[#Data],$DD623,39),0)</f>
        <v/>
      </c>
      <c r="AP623">
        <f>IFERROR(INDEX(PP_Grid[#Data],$DD623,40),0)</f>
        <v/>
      </c>
      <c r="AQ623">
        <f>IFERROR(INDEX(PP_Grid[#Data],$DD623,41),0)</f>
        <v/>
      </c>
      <c r="AR623">
        <f>IFERROR(INDEX(PP_Grid[#Data],$DD623,42),0)</f>
        <v/>
      </c>
      <c r="AS623">
        <f>IFERROR(INDEX(PP_Grid[#Data],$DD623,43),0)</f>
        <v/>
      </c>
      <c r="AT623">
        <f>IFERROR(INDEX(PP_Grid[#Data],$DD623,44),0)</f>
        <v/>
      </c>
      <c r="AU623">
        <f>IFERROR(INDEX(PP_Grid[#Data],$DD623,45),0)</f>
        <v/>
      </c>
      <c r="AV623">
        <f>IFERROR(INDEX(PP_Grid[#Data],$DD623,46),0)</f>
        <v/>
      </c>
      <c r="AW623">
        <f>IFERROR(INDEX(PP_Grid[#Data],$DD623,47),0)</f>
        <v/>
      </c>
      <c r="AX623">
        <f>IFERROR(INDEX(PP_Grid[#Data],$DD623,48),0)</f>
        <v/>
      </c>
      <c r="AY623">
        <f>IFERROR(INDEX(PP_Grid[#Data],$DD623,49),0)</f>
        <v/>
      </c>
      <c r="AZ623">
        <f>IFERROR(INDEX(PP_Grid[#Data],$DD623,50),0)</f>
        <v/>
      </c>
      <c r="BA623">
        <f>IFERROR(INDEX(PP_Grid[#Data],$DD623,51),0)</f>
        <v/>
      </c>
      <c r="BB623">
        <f>IFERROR(INDEX(PP_Grid[#Data],$DD623,52),0)</f>
        <v/>
      </c>
      <c r="BC623">
        <f>IFERROR(INDEX(PP_Grid[#Data],$DD623,53),0)</f>
        <v/>
      </c>
      <c r="BD623">
        <f>IFERROR(INDEX(PP_Grid[#Data],$DD623,54),0)</f>
        <v/>
      </c>
      <c r="BE623">
        <f>IFERROR(INDEX(PP_Grid[#Data],$DD623,55),0)</f>
        <v/>
      </c>
      <c r="BF623">
        <f>IFERROR(INDEX(PP_Grid[#Data],$DD623,56),0)</f>
        <v/>
      </c>
      <c r="BG623">
        <f>IFERROR(INDEX(PP_Grid[#Data],$DD623,57),0)</f>
        <v/>
      </c>
      <c r="BH623">
        <f>IFERROR(INDEX(PP_Grid[#Data],$DD623,58),0)</f>
        <v/>
      </c>
      <c r="BI623">
        <f>IFERROR(INDEX(PP_Grid[#Data],$DD623,59),0)</f>
        <v/>
      </c>
      <c r="BJ623">
        <f>IFERROR(INDEX(PP_Grid[#Data],$DD623,60),0)</f>
        <v/>
      </c>
      <c r="BK623">
        <f>IFERROR(INDEX(PP_Grid[#Data],$DD623,61),0)</f>
        <v/>
      </c>
      <c r="BL623">
        <f>IFERROR(INDEX(PP_Grid[#Data],$DD623,62),0)</f>
        <v/>
      </c>
      <c r="BM623">
        <f>IFERROR(INDEX(PP_Grid[#Data],$DD623,63),0)</f>
        <v/>
      </c>
      <c r="BN623">
        <f>IFERROR(INDEX(PP_Grid[#Data],$DD623,64),0)</f>
        <v/>
      </c>
      <c r="BO623">
        <f>IFERROR(INDEX(PP_Grid[#Data],$DD623,65),0)</f>
        <v/>
      </c>
      <c r="BP623">
        <f>IFERROR(INDEX(PP_Grid[#Data],$DD623,66),0)</f>
        <v/>
      </c>
      <c r="BQ623">
        <f>IFERROR(INDEX(PP_Grid[#Data],$DD623,67),0)</f>
        <v/>
      </c>
      <c r="BR623">
        <f>IFERROR(INDEX(PP_Grid[#Data],$DD623,68),0)</f>
        <v/>
      </c>
      <c r="BS623">
        <f>IFERROR(INDEX(PP_Grid[#Data],$DD623,69),0)</f>
        <v/>
      </c>
      <c r="BT623">
        <f>IFERROR(INDEX(PP_Grid[#Data],$DD623,70),0)</f>
        <v/>
      </c>
      <c r="BU623">
        <f>IFERROR(INDEX(PP_Grid[#Data],$DD623,71),0)</f>
        <v/>
      </c>
      <c r="BV623">
        <f>IFERROR(INDEX(PP_Grid[#Data],$DD623,72),0)</f>
        <v/>
      </c>
      <c r="BW623">
        <f>IFERROR(INDEX(PP_Grid[#Data],$DD623,73),0)</f>
        <v/>
      </c>
      <c r="BX623">
        <f>IFERROR(INDEX(PP_Grid[#Data],$DD623,74),0)</f>
        <v/>
      </c>
      <c r="BY623">
        <f>IFERROR(INDEX(PP_Grid[#Data],$DD623,75),0)</f>
        <v/>
      </c>
      <c r="BZ623">
        <f>IFERROR(INDEX(PP_Grid[#Data],$DD623,76),0)</f>
        <v/>
      </c>
      <c r="CA623">
        <f>IFERROR(INDEX(PP_Grid[#Data],$DD623,77),0)</f>
        <v/>
      </c>
      <c r="CB623">
        <f>IFERROR(INDEX(PP_Grid[#Data],$DD623,78),0)</f>
        <v/>
      </c>
      <c r="CC623">
        <f>IFERROR(INDEX(PP_Grid[#Data],$DD623,79),0)</f>
        <v/>
      </c>
      <c r="CD623">
        <f>IFERROR(INDEX(PP_Grid[#Data],$DD623,80),0)</f>
        <v/>
      </c>
      <c r="CE623">
        <f>IFERROR(INDEX(PP_Grid[#Data],$DD623,81),0)</f>
        <v/>
      </c>
      <c r="CF623">
        <f>IFERROR(INDEX(PP_Grid[#Data],$DD623,82),0)</f>
        <v/>
      </c>
      <c r="CG623">
        <f>IFERROR(INDEX(PP_Grid[#Data],$DD623,83),0)</f>
        <v/>
      </c>
      <c r="CH623">
        <f>IFERROR(INDEX(PP_Grid[#Data],$DD623,84),0)</f>
        <v/>
      </c>
      <c r="CI623">
        <f>IFERROR(INDEX(PP_Grid[#Data],$DD623,85),0)</f>
        <v/>
      </c>
      <c r="CJ623">
        <f>IFERROR(INDEX(PP_Grid[#Data],$DD623,86),0)</f>
        <v/>
      </c>
      <c r="CK623">
        <f>IFERROR(INDEX(PP_Grid[#Data],$DD623,87),0)</f>
        <v/>
      </c>
      <c r="CL623">
        <f>IFERROR(INDEX(PP_Grid[#Data],$DD623,88),0)</f>
        <v/>
      </c>
      <c r="CM623">
        <f>IFERROR(INDEX(PP_Grid[#Data],$DD623,89),0)</f>
        <v/>
      </c>
      <c r="CN623">
        <f>IFERROR(INDEX(PP_Grid[#Data],$DD623,90),0)</f>
        <v/>
      </c>
      <c r="CO623">
        <f>IFERROR(INDEX(PP_Grid[#Data],$DD623,91),0)</f>
        <v/>
      </c>
      <c r="CP623">
        <f>IFERROR(INDEX(PP_Grid[#Data],$DD623,92),0)</f>
        <v/>
      </c>
      <c r="CQ623">
        <f>IFERROR(INDEX(PP_Grid[#Data],$DD623,93),0)</f>
        <v/>
      </c>
      <c r="CR623">
        <f>IFERROR(INDEX(PP_Grid[#Data],$DD623,94),0)</f>
        <v/>
      </c>
      <c r="CS623">
        <f>IFERROR(INDEX(PP_Grid[#Data],$DD623,95),0)</f>
        <v/>
      </c>
      <c r="CT623">
        <f>IFERROR(INDEX(PP_Grid[#Data],$DD623,96),0)</f>
        <v/>
      </c>
      <c r="CU623">
        <f>IFERROR(INDEX(PP_Grid[#Data],$DD623,97),0)</f>
        <v/>
      </c>
      <c r="CV623">
        <f>IFERROR(INDEX(PP_Grid[#Data],$DD623,98),0)</f>
        <v/>
      </c>
      <c r="CW623">
        <f>IFERROR(INDEX(PP_Grid[#Data],$DD623,99),0)</f>
        <v/>
      </c>
      <c r="CX623">
        <f>IFERROR(INDEX(PP_Grid[#Data],$DD623,100),0)</f>
        <v/>
      </c>
      <c r="CY623">
        <f>IFERROR(INDEX(PP_Grid[#Data],$DD623,101),0)</f>
        <v/>
      </c>
      <c r="CZ623">
        <f>IFERROR(INDEX(PP_Grid[#Data],$DD623,102),0)</f>
        <v/>
      </c>
      <c r="DA623">
        <f>IFERROR(INDEX(PP_Grid[#Data],$DD623,103),0)</f>
        <v/>
      </c>
      <c r="DB623">
        <f>IFERROR(INDEX(PP_Grid[#Data],$DD623,104),0)</f>
        <v/>
      </c>
      <c r="DC623">
        <f>IFERROR(INDEX(PP_Grid[#Data],$DD623,105),0)</f>
        <v/>
      </c>
      <c r="DD623" s="7">
        <f>IFERROR(MATCH($B623,PP_Grid[Intermediate],0),99999)</f>
        <v/>
      </c>
    </row>
    <row r="624">
      <c r="B624" t="inlineStr">
        <is>
          <t>使用量(kg)</t>
        </is>
      </c>
      <c r="C624">
        <f>SUMIFS(M_BOM[RM_Qty_Per_Batch],M_BOM[Intermediate],$B623,M_BOM[Part Name],$A580)</f>
        <v/>
      </c>
      <c r="D624">
        <f>$C624*D623</f>
        <v/>
      </c>
      <c r="E624">
        <f>$C624*E623</f>
        <v/>
      </c>
      <c r="F624">
        <f>$C624*F623</f>
        <v/>
      </c>
      <c r="G624">
        <f>$C624*G623</f>
        <v/>
      </c>
      <c r="H624">
        <f>$C624*H623</f>
        <v/>
      </c>
      <c r="I624">
        <f>$C624*I623</f>
        <v/>
      </c>
      <c r="J624">
        <f>$C624*J623</f>
        <v/>
      </c>
      <c r="K624">
        <f>$C624*K623</f>
        <v/>
      </c>
      <c r="L624">
        <f>$C624*L623</f>
        <v/>
      </c>
      <c r="M624">
        <f>$C624*M623</f>
        <v/>
      </c>
      <c r="N624">
        <f>$C624*N623</f>
        <v/>
      </c>
      <c r="O624">
        <f>$C624*O623</f>
        <v/>
      </c>
      <c r="P624">
        <f>$C624*P623</f>
        <v/>
      </c>
      <c r="Q624">
        <f>$C624*Q623</f>
        <v/>
      </c>
      <c r="R624">
        <f>$C624*R623</f>
        <v/>
      </c>
      <c r="S624">
        <f>$C624*S623</f>
        <v/>
      </c>
      <c r="T624">
        <f>$C624*T623</f>
        <v/>
      </c>
      <c r="U624">
        <f>$C624*U623</f>
        <v/>
      </c>
      <c r="V624">
        <f>$C624*V623</f>
        <v/>
      </c>
      <c r="W624">
        <f>$C624*W623</f>
        <v/>
      </c>
      <c r="X624">
        <f>$C624*X623</f>
        <v/>
      </c>
      <c r="Y624">
        <f>$C624*Y623</f>
        <v/>
      </c>
      <c r="Z624">
        <f>$C624*Z623</f>
        <v/>
      </c>
      <c r="AA624">
        <f>$C624*AA623</f>
        <v/>
      </c>
      <c r="AB624">
        <f>$C624*AB623</f>
        <v/>
      </c>
      <c r="AC624">
        <f>$C624*AC623</f>
        <v/>
      </c>
      <c r="AD624">
        <f>$C624*AD623</f>
        <v/>
      </c>
      <c r="AE624">
        <f>$C624*AE623</f>
        <v/>
      </c>
      <c r="AF624">
        <f>$C624*AF623</f>
        <v/>
      </c>
      <c r="AG624">
        <f>$C624*AG623</f>
        <v/>
      </c>
      <c r="AH624">
        <f>$C624*AH623</f>
        <v/>
      </c>
      <c r="AI624">
        <f>$C624*AI623</f>
        <v/>
      </c>
      <c r="AJ624">
        <f>$C624*AJ623</f>
        <v/>
      </c>
      <c r="AK624">
        <f>$C624*AK623</f>
        <v/>
      </c>
      <c r="AL624">
        <f>$C624*AL623</f>
        <v/>
      </c>
      <c r="AM624">
        <f>$C624*AM623</f>
        <v/>
      </c>
      <c r="AN624">
        <f>$C624*AN623</f>
        <v/>
      </c>
      <c r="AO624">
        <f>$C624*AO623</f>
        <v/>
      </c>
      <c r="AP624">
        <f>$C624*AP623</f>
        <v/>
      </c>
      <c r="AQ624">
        <f>$C624*AQ623</f>
        <v/>
      </c>
      <c r="AR624">
        <f>$C624*AR623</f>
        <v/>
      </c>
      <c r="AS624">
        <f>$C624*AS623</f>
        <v/>
      </c>
      <c r="AT624">
        <f>$C624*AT623</f>
        <v/>
      </c>
      <c r="AU624">
        <f>$C624*AU623</f>
        <v/>
      </c>
      <c r="AV624">
        <f>$C624*AV623</f>
        <v/>
      </c>
      <c r="AW624">
        <f>$C624*AW623</f>
        <v/>
      </c>
      <c r="AX624">
        <f>$C624*AX623</f>
        <v/>
      </c>
      <c r="AY624">
        <f>$C624*AY623</f>
        <v/>
      </c>
      <c r="AZ624">
        <f>$C624*AZ623</f>
        <v/>
      </c>
      <c r="BA624">
        <f>$C624*BA623</f>
        <v/>
      </c>
      <c r="BB624">
        <f>$C624*BB623</f>
        <v/>
      </c>
      <c r="BC624">
        <f>$C624*BC623</f>
        <v/>
      </c>
      <c r="BD624">
        <f>$C624*BD623</f>
        <v/>
      </c>
      <c r="BE624">
        <f>$C624*BE623</f>
        <v/>
      </c>
      <c r="BF624">
        <f>$C624*BF623</f>
        <v/>
      </c>
      <c r="BG624">
        <f>$C624*BG623</f>
        <v/>
      </c>
      <c r="BH624">
        <f>$C624*BH623</f>
        <v/>
      </c>
      <c r="BI624">
        <f>$C624*BI623</f>
        <v/>
      </c>
      <c r="BJ624">
        <f>$C624*BJ623</f>
        <v/>
      </c>
      <c r="BK624">
        <f>$C624*BK623</f>
        <v/>
      </c>
      <c r="BL624">
        <f>$C624*BL623</f>
        <v/>
      </c>
      <c r="BM624">
        <f>$C624*BM623</f>
        <v/>
      </c>
      <c r="BN624">
        <f>$C624*BN623</f>
        <v/>
      </c>
      <c r="BO624">
        <f>$C624*BO623</f>
        <v/>
      </c>
      <c r="BP624">
        <f>$C624*BP623</f>
        <v/>
      </c>
      <c r="BQ624">
        <f>$C624*BQ623</f>
        <v/>
      </c>
      <c r="BR624">
        <f>$C624*BR623</f>
        <v/>
      </c>
      <c r="BS624">
        <f>$C624*BS623</f>
        <v/>
      </c>
      <c r="BT624">
        <f>$C624*BT623</f>
        <v/>
      </c>
      <c r="BU624">
        <f>$C624*BU623</f>
        <v/>
      </c>
      <c r="BV624">
        <f>$C624*BV623</f>
        <v/>
      </c>
      <c r="BW624">
        <f>$C624*BW623</f>
        <v/>
      </c>
      <c r="BX624">
        <f>$C624*BX623</f>
        <v/>
      </c>
      <c r="BY624">
        <f>$C624*BY623</f>
        <v/>
      </c>
      <c r="BZ624">
        <f>$C624*BZ623</f>
        <v/>
      </c>
      <c r="CA624">
        <f>$C624*CA623</f>
        <v/>
      </c>
      <c r="CB624">
        <f>$C624*CB623</f>
        <v/>
      </c>
      <c r="CC624">
        <f>$C624*CC623</f>
        <v/>
      </c>
      <c r="CD624">
        <f>$C624*CD623</f>
        <v/>
      </c>
      <c r="CE624">
        <f>$C624*CE623</f>
        <v/>
      </c>
      <c r="CF624">
        <f>$C624*CF623</f>
        <v/>
      </c>
      <c r="CG624">
        <f>$C624*CG623</f>
        <v/>
      </c>
      <c r="CH624">
        <f>$C624*CH623</f>
        <v/>
      </c>
      <c r="CI624">
        <f>$C624*CI623</f>
        <v/>
      </c>
      <c r="CJ624">
        <f>$C624*CJ623</f>
        <v/>
      </c>
      <c r="CK624">
        <f>$C624*CK623</f>
        <v/>
      </c>
      <c r="CL624">
        <f>$C624*CL623</f>
        <v/>
      </c>
      <c r="CM624">
        <f>$C624*CM623</f>
        <v/>
      </c>
      <c r="CN624">
        <f>$C624*CN623</f>
        <v/>
      </c>
      <c r="CO624">
        <f>$C624*CO623</f>
        <v/>
      </c>
      <c r="CP624">
        <f>$C624*CP623</f>
        <v/>
      </c>
      <c r="CQ624">
        <f>$C624*CQ623</f>
        <v/>
      </c>
      <c r="CR624">
        <f>$C624*CR623</f>
        <v/>
      </c>
      <c r="CS624">
        <f>$C624*CS623</f>
        <v/>
      </c>
      <c r="CT624">
        <f>$C624*CT623</f>
        <v/>
      </c>
      <c r="CU624">
        <f>$C624*CU623</f>
        <v/>
      </c>
      <c r="CV624">
        <f>$C624*CV623</f>
        <v/>
      </c>
      <c r="CW624">
        <f>$C624*CW623</f>
        <v/>
      </c>
      <c r="CX624">
        <f>$C624*CX623</f>
        <v/>
      </c>
      <c r="CY624">
        <f>$C624*CY623</f>
        <v/>
      </c>
      <c r="CZ624">
        <f>$C624*CZ623</f>
        <v/>
      </c>
      <c r="DA624">
        <f>$C624*DA623</f>
        <v/>
      </c>
      <c r="DB624">
        <f>$C624*DB623</f>
        <v/>
      </c>
      <c r="DC624">
        <f>$C624*DC623</f>
        <v/>
      </c>
    </row>
    <row r="625">
      <c r="B625" t="inlineStr">
        <is>
          <t>TPP-609</t>
        </is>
      </c>
      <c r="C625" t="inlineStr">
        <is>
          <t>No. of batches</t>
        </is>
      </c>
      <c r="D625">
        <f>IFERROR(INDEX(PP_Grid[#Data],$DD625,2),0)</f>
        <v/>
      </c>
      <c r="E625">
        <f>IFERROR(INDEX(PP_Grid[#Data],$DD625,3),0)</f>
        <v/>
      </c>
      <c r="F625">
        <f>IFERROR(INDEX(PP_Grid[#Data],$DD625,4),0)</f>
        <v/>
      </c>
      <c r="G625">
        <f>IFERROR(INDEX(PP_Grid[#Data],$DD625,5),0)</f>
        <v/>
      </c>
      <c r="H625">
        <f>IFERROR(INDEX(PP_Grid[#Data],$DD625,6),0)</f>
        <v/>
      </c>
      <c r="I625">
        <f>IFERROR(INDEX(PP_Grid[#Data],$DD625,7),0)</f>
        <v/>
      </c>
      <c r="J625">
        <f>IFERROR(INDEX(PP_Grid[#Data],$DD625,8),0)</f>
        <v/>
      </c>
      <c r="K625">
        <f>IFERROR(INDEX(PP_Grid[#Data],$DD625,9),0)</f>
        <v/>
      </c>
      <c r="L625">
        <f>IFERROR(INDEX(PP_Grid[#Data],$DD625,10),0)</f>
        <v/>
      </c>
      <c r="M625">
        <f>IFERROR(INDEX(PP_Grid[#Data],$DD625,11),0)</f>
        <v/>
      </c>
      <c r="N625">
        <f>IFERROR(INDEX(PP_Grid[#Data],$DD625,12),0)</f>
        <v/>
      </c>
      <c r="O625">
        <f>IFERROR(INDEX(PP_Grid[#Data],$DD625,13),0)</f>
        <v/>
      </c>
      <c r="P625">
        <f>IFERROR(INDEX(PP_Grid[#Data],$DD625,14),0)</f>
        <v/>
      </c>
      <c r="Q625">
        <f>IFERROR(INDEX(PP_Grid[#Data],$DD625,15),0)</f>
        <v/>
      </c>
      <c r="R625">
        <f>IFERROR(INDEX(PP_Grid[#Data],$DD625,16),0)</f>
        <v/>
      </c>
      <c r="S625">
        <f>IFERROR(INDEX(PP_Grid[#Data],$DD625,17),0)</f>
        <v/>
      </c>
      <c r="T625">
        <f>IFERROR(INDEX(PP_Grid[#Data],$DD625,18),0)</f>
        <v/>
      </c>
      <c r="U625">
        <f>IFERROR(INDEX(PP_Grid[#Data],$DD625,19),0)</f>
        <v/>
      </c>
      <c r="V625">
        <f>IFERROR(INDEX(PP_Grid[#Data],$DD625,20),0)</f>
        <v/>
      </c>
      <c r="W625">
        <f>IFERROR(INDEX(PP_Grid[#Data],$DD625,21),0)</f>
        <v/>
      </c>
      <c r="X625">
        <f>IFERROR(INDEX(PP_Grid[#Data],$DD625,22),0)</f>
        <v/>
      </c>
      <c r="Y625">
        <f>IFERROR(INDEX(PP_Grid[#Data],$DD625,23),0)</f>
        <v/>
      </c>
      <c r="Z625">
        <f>IFERROR(INDEX(PP_Grid[#Data],$DD625,24),0)</f>
        <v/>
      </c>
      <c r="AA625">
        <f>IFERROR(INDEX(PP_Grid[#Data],$DD625,25),0)</f>
        <v/>
      </c>
      <c r="AB625">
        <f>IFERROR(INDEX(PP_Grid[#Data],$DD625,26),0)</f>
        <v/>
      </c>
      <c r="AC625">
        <f>IFERROR(INDEX(PP_Grid[#Data],$DD625,27),0)</f>
        <v/>
      </c>
      <c r="AD625">
        <f>IFERROR(INDEX(PP_Grid[#Data],$DD625,28),0)</f>
        <v/>
      </c>
      <c r="AE625">
        <f>IFERROR(INDEX(PP_Grid[#Data],$DD625,29),0)</f>
        <v/>
      </c>
      <c r="AF625">
        <f>IFERROR(INDEX(PP_Grid[#Data],$DD625,30),0)</f>
        <v/>
      </c>
      <c r="AG625">
        <f>IFERROR(INDEX(PP_Grid[#Data],$DD625,31),0)</f>
        <v/>
      </c>
      <c r="AH625">
        <f>IFERROR(INDEX(PP_Grid[#Data],$DD625,32),0)</f>
        <v/>
      </c>
      <c r="AI625">
        <f>IFERROR(INDEX(PP_Grid[#Data],$DD625,33),0)</f>
        <v/>
      </c>
      <c r="AJ625">
        <f>IFERROR(INDEX(PP_Grid[#Data],$DD625,34),0)</f>
        <v/>
      </c>
      <c r="AK625">
        <f>IFERROR(INDEX(PP_Grid[#Data],$DD625,35),0)</f>
        <v/>
      </c>
      <c r="AL625">
        <f>IFERROR(INDEX(PP_Grid[#Data],$DD625,36),0)</f>
        <v/>
      </c>
      <c r="AM625">
        <f>IFERROR(INDEX(PP_Grid[#Data],$DD625,37),0)</f>
        <v/>
      </c>
      <c r="AN625">
        <f>IFERROR(INDEX(PP_Grid[#Data],$DD625,38),0)</f>
        <v/>
      </c>
      <c r="AO625">
        <f>IFERROR(INDEX(PP_Grid[#Data],$DD625,39),0)</f>
        <v/>
      </c>
      <c r="AP625">
        <f>IFERROR(INDEX(PP_Grid[#Data],$DD625,40),0)</f>
        <v/>
      </c>
      <c r="AQ625">
        <f>IFERROR(INDEX(PP_Grid[#Data],$DD625,41),0)</f>
        <v/>
      </c>
      <c r="AR625">
        <f>IFERROR(INDEX(PP_Grid[#Data],$DD625,42),0)</f>
        <v/>
      </c>
      <c r="AS625">
        <f>IFERROR(INDEX(PP_Grid[#Data],$DD625,43),0)</f>
        <v/>
      </c>
      <c r="AT625">
        <f>IFERROR(INDEX(PP_Grid[#Data],$DD625,44),0)</f>
        <v/>
      </c>
      <c r="AU625">
        <f>IFERROR(INDEX(PP_Grid[#Data],$DD625,45),0)</f>
        <v/>
      </c>
      <c r="AV625">
        <f>IFERROR(INDEX(PP_Grid[#Data],$DD625,46),0)</f>
        <v/>
      </c>
      <c r="AW625">
        <f>IFERROR(INDEX(PP_Grid[#Data],$DD625,47),0)</f>
        <v/>
      </c>
      <c r="AX625">
        <f>IFERROR(INDEX(PP_Grid[#Data],$DD625,48),0)</f>
        <v/>
      </c>
      <c r="AY625">
        <f>IFERROR(INDEX(PP_Grid[#Data],$DD625,49),0)</f>
        <v/>
      </c>
      <c r="AZ625">
        <f>IFERROR(INDEX(PP_Grid[#Data],$DD625,50),0)</f>
        <v/>
      </c>
      <c r="BA625">
        <f>IFERROR(INDEX(PP_Grid[#Data],$DD625,51),0)</f>
        <v/>
      </c>
      <c r="BB625">
        <f>IFERROR(INDEX(PP_Grid[#Data],$DD625,52),0)</f>
        <v/>
      </c>
      <c r="BC625">
        <f>IFERROR(INDEX(PP_Grid[#Data],$DD625,53),0)</f>
        <v/>
      </c>
      <c r="BD625">
        <f>IFERROR(INDEX(PP_Grid[#Data],$DD625,54),0)</f>
        <v/>
      </c>
      <c r="BE625">
        <f>IFERROR(INDEX(PP_Grid[#Data],$DD625,55),0)</f>
        <v/>
      </c>
      <c r="BF625">
        <f>IFERROR(INDEX(PP_Grid[#Data],$DD625,56),0)</f>
        <v/>
      </c>
      <c r="BG625">
        <f>IFERROR(INDEX(PP_Grid[#Data],$DD625,57),0)</f>
        <v/>
      </c>
      <c r="BH625">
        <f>IFERROR(INDEX(PP_Grid[#Data],$DD625,58),0)</f>
        <v/>
      </c>
      <c r="BI625">
        <f>IFERROR(INDEX(PP_Grid[#Data],$DD625,59),0)</f>
        <v/>
      </c>
      <c r="BJ625">
        <f>IFERROR(INDEX(PP_Grid[#Data],$DD625,60),0)</f>
        <v/>
      </c>
      <c r="BK625">
        <f>IFERROR(INDEX(PP_Grid[#Data],$DD625,61),0)</f>
        <v/>
      </c>
      <c r="BL625">
        <f>IFERROR(INDEX(PP_Grid[#Data],$DD625,62),0)</f>
        <v/>
      </c>
      <c r="BM625">
        <f>IFERROR(INDEX(PP_Grid[#Data],$DD625,63),0)</f>
        <v/>
      </c>
      <c r="BN625">
        <f>IFERROR(INDEX(PP_Grid[#Data],$DD625,64),0)</f>
        <v/>
      </c>
      <c r="BO625">
        <f>IFERROR(INDEX(PP_Grid[#Data],$DD625,65),0)</f>
        <v/>
      </c>
      <c r="BP625">
        <f>IFERROR(INDEX(PP_Grid[#Data],$DD625,66),0)</f>
        <v/>
      </c>
      <c r="BQ625">
        <f>IFERROR(INDEX(PP_Grid[#Data],$DD625,67),0)</f>
        <v/>
      </c>
      <c r="BR625">
        <f>IFERROR(INDEX(PP_Grid[#Data],$DD625,68),0)</f>
        <v/>
      </c>
      <c r="BS625">
        <f>IFERROR(INDEX(PP_Grid[#Data],$DD625,69),0)</f>
        <v/>
      </c>
      <c r="BT625">
        <f>IFERROR(INDEX(PP_Grid[#Data],$DD625,70),0)</f>
        <v/>
      </c>
      <c r="BU625">
        <f>IFERROR(INDEX(PP_Grid[#Data],$DD625,71),0)</f>
        <v/>
      </c>
      <c r="BV625">
        <f>IFERROR(INDEX(PP_Grid[#Data],$DD625,72),0)</f>
        <v/>
      </c>
      <c r="BW625">
        <f>IFERROR(INDEX(PP_Grid[#Data],$DD625,73),0)</f>
        <v/>
      </c>
      <c r="BX625">
        <f>IFERROR(INDEX(PP_Grid[#Data],$DD625,74),0)</f>
        <v/>
      </c>
      <c r="BY625">
        <f>IFERROR(INDEX(PP_Grid[#Data],$DD625,75),0)</f>
        <v/>
      </c>
      <c r="BZ625">
        <f>IFERROR(INDEX(PP_Grid[#Data],$DD625,76),0)</f>
        <v/>
      </c>
      <c r="CA625">
        <f>IFERROR(INDEX(PP_Grid[#Data],$DD625,77),0)</f>
        <v/>
      </c>
      <c r="CB625">
        <f>IFERROR(INDEX(PP_Grid[#Data],$DD625,78),0)</f>
        <v/>
      </c>
      <c r="CC625">
        <f>IFERROR(INDEX(PP_Grid[#Data],$DD625,79),0)</f>
        <v/>
      </c>
      <c r="CD625">
        <f>IFERROR(INDEX(PP_Grid[#Data],$DD625,80),0)</f>
        <v/>
      </c>
      <c r="CE625">
        <f>IFERROR(INDEX(PP_Grid[#Data],$DD625,81),0)</f>
        <v/>
      </c>
      <c r="CF625">
        <f>IFERROR(INDEX(PP_Grid[#Data],$DD625,82),0)</f>
        <v/>
      </c>
      <c r="CG625">
        <f>IFERROR(INDEX(PP_Grid[#Data],$DD625,83),0)</f>
        <v/>
      </c>
      <c r="CH625">
        <f>IFERROR(INDEX(PP_Grid[#Data],$DD625,84),0)</f>
        <v/>
      </c>
      <c r="CI625">
        <f>IFERROR(INDEX(PP_Grid[#Data],$DD625,85),0)</f>
        <v/>
      </c>
      <c r="CJ625">
        <f>IFERROR(INDEX(PP_Grid[#Data],$DD625,86),0)</f>
        <v/>
      </c>
      <c r="CK625">
        <f>IFERROR(INDEX(PP_Grid[#Data],$DD625,87),0)</f>
        <v/>
      </c>
      <c r="CL625">
        <f>IFERROR(INDEX(PP_Grid[#Data],$DD625,88),0)</f>
        <v/>
      </c>
      <c r="CM625">
        <f>IFERROR(INDEX(PP_Grid[#Data],$DD625,89),0)</f>
        <v/>
      </c>
      <c r="CN625">
        <f>IFERROR(INDEX(PP_Grid[#Data],$DD625,90),0)</f>
        <v/>
      </c>
      <c r="CO625">
        <f>IFERROR(INDEX(PP_Grid[#Data],$DD625,91),0)</f>
        <v/>
      </c>
      <c r="CP625">
        <f>IFERROR(INDEX(PP_Grid[#Data],$DD625,92),0)</f>
        <v/>
      </c>
      <c r="CQ625">
        <f>IFERROR(INDEX(PP_Grid[#Data],$DD625,93),0)</f>
        <v/>
      </c>
      <c r="CR625">
        <f>IFERROR(INDEX(PP_Grid[#Data],$DD625,94),0)</f>
        <v/>
      </c>
      <c r="CS625">
        <f>IFERROR(INDEX(PP_Grid[#Data],$DD625,95),0)</f>
        <v/>
      </c>
      <c r="CT625">
        <f>IFERROR(INDEX(PP_Grid[#Data],$DD625,96),0)</f>
        <v/>
      </c>
      <c r="CU625">
        <f>IFERROR(INDEX(PP_Grid[#Data],$DD625,97),0)</f>
        <v/>
      </c>
      <c r="CV625">
        <f>IFERROR(INDEX(PP_Grid[#Data],$DD625,98),0)</f>
        <v/>
      </c>
      <c r="CW625">
        <f>IFERROR(INDEX(PP_Grid[#Data],$DD625,99),0)</f>
        <v/>
      </c>
      <c r="CX625">
        <f>IFERROR(INDEX(PP_Grid[#Data],$DD625,100),0)</f>
        <v/>
      </c>
      <c r="CY625">
        <f>IFERROR(INDEX(PP_Grid[#Data],$DD625,101),0)</f>
        <v/>
      </c>
      <c r="CZ625">
        <f>IFERROR(INDEX(PP_Grid[#Data],$DD625,102),0)</f>
        <v/>
      </c>
      <c r="DA625">
        <f>IFERROR(INDEX(PP_Grid[#Data],$DD625,103),0)</f>
        <v/>
      </c>
      <c r="DB625">
        <f>IFERROR(INDEX(PP_Grid[#Data],$DD625,104),0)</f>
        <v/>
      </c>
      <c r="DC625">
        <f>IFERROR(INDEX(PP_Grid[#Data],$DD625,105),0)</f>
        <v/>
      </c>
      <c r="DD625" s="7">
        <f>IFERROR(MATCH($B625,PP_Grid[Intermediate],0),99999)</f>
        <v/>
      </c>
    </row>
    <row r="626">
      <c r="B626" t="inlineStr">
        <is>
          <t>使用量(kg)</t>
        </is>
      </c>
      <c r="C626">
        <f>SUMIFS(M_BOM[RM_Qty_Per_Batch],M_BOM[Intermediate],$B625,M_BOM[Part Name],$A580)</f>
        <v/>
      </c>
      <c r="D626">
        <f>$C626*D625</f>
        <v/>
      </c>
      <c r="E626">
        <f>$C626*E625</f>
        <v/>
      </c>
      <c r="F626">
        <f>$C626*F625</f>
        <v/>
      </c>
      <c r="G626">
        <f>$C626*G625</f>
        <v/>
      </c>
      <c r="H626">
        <f>$C626*H625</f>
        <v/>
      </c>
      <c r="I626">
        <f>$C626*I625</f>
        <v/>
      </c>
      <c r="J626">
        <f>$C626*J625</f>
        <v/>
      </c>
      <c r="K626">
        <f>$C626*K625</f>
        <v/>
      </c>
      <c r="L626">
        <f>$C626*L625</f>
        <v/>
      </c>
      <c r="M626">
        <f>$C626*M625</f>
        <v/>
      </c>
      <c r="N626">
        <f>$C626*N625</f>
        <v/>
      </c>
      <c r="O626">
        <f>$C626*O625</f>
        <v/>
      </c>
      <c r="P626">
        <f>$C626*P625</f>
        <v/>
      </c>
      <c r="Q626">
        <f>$C626*Q625</f>
        <v/>
      </c>
      <c r="R626">
        <f>$C626*R625</f>
        <v/>
      </c>
      <c r="S626">
        <f>$C626*S625</f>
        <v/>
      </c>
      <c r="T626">
        <f>$C626*T625</f>
        <v/>
      </c>
      <c r="U626">
        <f>$C626*U625</f>
        <v/>
      </c>
      <c r="V626">
        <f>$C626*V625</f>
        <v/>
      </c>
      <c r="W626">
        <f>$C626*W625</f>
        <v/>
      </c>
      <c r="X626">
        <f>$C626*X625</f>
        <v/>
      </c>
      <c r="Y626">
        <f>$C626*Y625</f>
        <v/>
      </c>
      <c r="Z626">
        <f>$C626*Z625</f>
        <v/>
      </c>
      <c r="AA626">
        <f>$C626*AA625</f>
        <v/>
      </c>
      <c r="AB626">
        <f>$C626*AB625</f>
        <v/>
      </c>
      <c r="AC626">
        <f>$C626*AC625</f>
        <v/>
      </c>
      <c r="AD626">
        <f>$C626*AD625</f>
        <v/>
      </c>
      <c r="AE626">
        <f>$C626*AE625</f>
        <v/>
      </c>
      <c r="AF626">
        <f>$C626*AF625</f>
        <v/>
      </c>
      <c r="AG626">
        <f>$C626*AG625</f>
        <v/>
      </c>
      <c r="AH626">
        <f>$C626*AH625</f>
        <v/>
      </c>
      <c r="AI626">
        <f>$C626*AI625</f>
        <v/>
      </c>
      <c r="AJ626">
        <f>$C626*AJ625</f>
        <v/>
      </c>
      <c r="AK626">
        <f>$C626*AK625</f>
        <v/>
      </c>
      <c r="AL626">
        <f>$C626*AL625</f>
        <v/>
      </c>
      <c r="AM626">
        <f>$C626*AM625</f>
        <v/>
      </c>
      <c r="AN626">
        <f>$C626*AN625</f>
        <v/>
      </c>
      <c r="AO626">
        <f>$C626*AO625</f>
        <v/>
      </c>
      <c r="AP626">
        <f>$C626*AP625</f>
        <v/>
      </c>
      <c r="AQ626">
        <f>$C626*AQ625</f>
        <v/>
      </c>
      <c r="AR626">
        <f>$C626*AR625</f>
        <v/>
      </c>
      <c r="AS626">
        <f>$C626*AS625</f>
        <v/>
      </c>
      <c r="AT626">
        <f>$C626*AT625</f>
        <v/>
      </c>
      <c r="AU626">
        <f>$C626*AU625</f>
        <v/>
      </c>
      <c r="AV626">
        <f>$C626*AV625</f>
        <v/>
      </c>
      <c r="AW626">
        <f>$C626*AW625</f>
        <v/>
      </c>
      <c r="AX626">
        <f>$C626*AX625</f>
        <v/>
      </c>
      <c r="AY626">
        <f>$C626*AY625</f>
        <v/>
      </c>
      <c r="AZ626">
        <f>$C626*AZ625</f>
        <v/>
      </c>
      <c r="BA626">
        <f>$C626*BA625</f>
        <v/>
      </c>
      <c r="BB626">
        <f>$C626*BB625</f>
        <v/>
      </c>
      <c r="BC626">
        <f>$C626*BC625</f>
        <v/>
      </c>
      <c r="BD626">
        <f>$C626*BD625</f>
        <v/>
      </c>
      <c r="BE626">
        <f>$C626*BE625</f>
        <v/>
      </c>
      <c r="BF626">
        <f>$C626*BF625</f>
        <v/>
      </c>
      <c r="BG626">
        <f>$C626*BG625</f>
        <v/>
      </c>
      <c r="BH626">
        <f>$C626*BH625</f>
        <v/>
      </c>
      <c r="BI626">
        <f>$C626*BI625</f>
        <v/>
      </c>
      <c r="BJ626">
        <f>$C626*BJ625</f>
        <v/>
      </c>
      <c r="BK626">
        <f>$C626*BK625</f>
        <v/>
      </c>
      <c r="BL626">
        <f>$C626*BL625</f>
        <v/>
      </c>
      <c r="BM626">
        <f>$C626*BM625</f>
        <v/>
      </c>
      <c r="BN626">
        <f>$C626*BN625</f>
        <v/>
      </c>
      <c r="BO626">
        <f>$C626*BO625</f>
        <v/>
      </c>
      <c r="BP626">
        <f>$C626*BP625</f>
        <v/>
      </c>
      <c r="BQ626">
        <f>$C626*BQ625</f>
        <v/>
      </c>
      <c r="BR626">
        <f>$C626*BR625</f>
        <v/>
      </c>
      <c r="BS626">
        <f>$C626*BS625</f>
        <v/>
      </c>
      <c r="BT626">
        <f>$C626*BT625</f>
        <v/>
      </c>
      <c r="BU626">
        <f>$C626*BU625</f>
        <v/>
      </c>
      <c r="BV626">
        <f>$C626*BV625</f>
        <v/>
      </c>
      <c r="BW626">
        <f>$C626*BW625</f>
        <v/>
      </c>
      <c r="BX626">
        <f>$C626*BX625</f>
        <v/>
      </c>
      <c r="BY626">
        <f>$C626*BY625</f>
        <v/>
      </c>
      <c r="BZ626">
        <f>$C626*BZ625</f>
        <v/>
      </c>
      <c r="CA626">
        <f>$C626*CA625</f>
        <v/>
      </c>
      <c r="CB626">
        <f>$C626*CB625</f>
        <v/>
      </c>
      <c r="CC626">
        <f>$C626*CC625</f>
        <v/>
      </c>
      <c r="CD626">
        <f>$C626*CD625</f>
        <v/>
      </c>
      <c r="CE626">
        <f>$C626*CE625</f>
        <v/>
      </c>
      <c r="CF626">
        <f>$C626*CF625</f>
        <v/>
      </c>
      <c r="CG626">
        <f>$C626*CG625</f>
        <v/>
      </c>
      <c r="CH626">
        <f>$C626*CH625</f>
        <v/>
      </c>
      <c r="CI626">
        <f>$C626*CI625</f>
        <v/>
      </c>
      <c r="CJ626">
        <f>$C626*CJ625</f>
        <v/>
      </c>
      <c r="CK626">
        <f>$C626*CK625</f>
        <v/>
      </c>
      <c r="CL626">
        <f>$C626*CL625</f>
        <v/>
      </c>
      <c r="CM626">
        <f>$C626*CM625</f>
        <v/>
      </c>
      <c r="CN626">
        <f>$C626*CN625</f>
        <v/>
      </c>
      <c r="CO626">
        <f>$C626*CO625</f>
        <v/>
      </c>
      <c r="CP626">
        <f>$C626*CP625</f>
        <v/>
      </c>
      <c r="CQ626">
        <f>$C626*CQ625</f>
        <v/>
      </c>
      <c r="CR626">
        <f>$C626*CR625</f>
        <v/>
      </c>
      <c r="CS626">
        <f>$C626*CS625</f>
        <v/>
      </c>
      <c r="CT626">
        <f>$C626*CT625</f>
        <v/>
      </c>
      <c r="CU626">
        <f>$C626*CU625</f>
        <v/>
      </c>
      <c r="CV626">
        <f>$C626*CV625</f>
        <v/>
      </c>
      <c r="CW626">
        <f>$C626*CW625</f>
        <v/>
      </c>
      <c r="CX626">
        <f>$C626*CX625</f>
        <v/>
      </c>
      <c r="CY626">
        <f>$C626*CY625</f>
        <v/>
      </c>
      <c r="CZ626">
        <f>$C626*CZ625</f>
        <v/>
      </c>
      <c r="DA626">
        <f>$C626*DA625</f>
        <v/>
      </c>
      <c r="DB626">
        <f>$C626*DB625</f>
        <v/>
      </c>
      <c r="DC626">
        <f>$C626*DC625</f>
        <v/>
      </c>
    </row>
    <row r="627">
      <c r="B627" t="inlineStr">
        <is>
          <t>TPP-911</t>
        </is>
      </c>
      <c r="C627" t="inlineStr">
        <is>
          <t>No. of batches</t>
        </is>
      </c>
      <c r="D627">
        <f>IFERROR(INDEX(PP_Grid[#Data],$DD627,2),0)</f>
        <v/>
      </c>
      <c r="E627">
        <f>IFERROR(INDEX(PP_Grid[#Data],$DD627,3),0)</f>
        <v/>
      </c>
      <c r="F627">
        <f>IFERROR(INDEX(PP_Grid[#Data],$DD627,4),0)</f>
        <v/>
      </c>
      <c r="G627">
        <f>IFERROR(INDEX(PP_Grid[#Data],$DD627,5),0)</f>
        <v/>
      </c>
      <c r="H627">
        <f>IFERROR(INDEX(PP_Grid[#Data],$DD627,6),0)</f>
        <v/>
      </c>
      <c r="I627">
        <f>IFERROR(INDEX(PP_Grid[#Data],$DD627,7),0)</f>
        <v/>
      </c>
      <c r="J627">
        <f>IFERROR(INDEX(PP_Grid[#Data],$DD627,8),0)</f>
        <v/>
      </c>
      <c r="K627">
        <f>IFERROR(INDEX(PP_Grid[#Data],$DD627,9),0)</f>
        <v/>
      </c>
      <c r="L627">
        <f>IFERROR(INDEX(PP_Grid[#Data],$DD627,10),0)</f>
        <v/>
      </c>
      <c r="M627">
        <f>IFERROR(INDEX(PP_Grid[#Data],$DD627,11),0)</f>
        <v/>
      </c>
      <c r="N627">
        <f>IFERROR(INDEX(PP_Grid[#Data],$DD627,12),0)</f>
        <v/>
      </c>
      <c r="O627">
        <f>IFERROR(INDEX(PP_Grid[#Data],$DD627,13),0)</f>
        <v/>
      </c>
      <c r="P627">
        <f>IFERROR(INDEX(PP_Grid[#Data],$DD627,14),0)</f>
        <v/>
      </c>
      <c r="Q627">
        <f>IFERROR(INDEX(PP_Grid[#Data],$DD627,15),0)</f>
        <v/>
      </c>
      <c r="R627">
        <f>IFERROR(INDEX(PP_Grid[#Data],$DD627,16),0)</f>
        <v/>
      </c>
      <c r="S627">
        <f>IFERROR(INDEX(PP_Grid[#Data],$DD627,17),0)</f>
        <v/>
      </c>
      <c r="T627">
        <f>IFERROR(INDEX(PP_Grid[#Data],$DD627,18),0)</f>
        <v/>
      </c>
      <c r="U627">
        <f>IFERROR(INDEX(PP_Grid[#Data],$DD627,19),0)</f>
        <v/>
      </c>
      <c r="V627">
        <f>IFERROR(INDEX(PP_Grid[#Data],$DD627,20),0)</f>
        <v/>
      </c>
      <c r="W627">
        <f>IFERROR(INDEX(PP_Grid[#Data],$DD627,21),0)</f>
        <v/>
      </c>
      <c r="X627">
        <f>IFERROR(INDEX(PP_Grid[#Data],$DD627,22),0)</f>
        <v/>
      </c>
      <c r="Y627">
        <f>IFERROR(INDEX(PP_Grid[#Data],$DD627,23),0)</f>
        <v/>
      </c>
      <c r="Z627">
        <f>IFERROR(INDEX(PP_Grid[#Data],$DD627,24),0)</f>
        <v/>
      </c>
      <c r="AA627">
        <f>IFERROR(INDEX(PP_Grid[#Data],$DD627,25),0)</f>
        <v/>
      </c>
      <c r="AB627">
        <f>IFERROR(INDEX(PP_Grid[#Data],$DD627,26),0)</f>
        <v/>
      </c>
      <c r="AC627">
        <f>IFERROR(INDEX(PP_Grid[#Data],$DD627,27),0)</f>
        <v/>
      </c>
      <c r="AD627">
        <f>IFERROR(INDEX(PP_Grid[#Data],$DD627,28),0)</f>
        <v/>
      </c>
      <c r="AE627">
        <f>IFERROR(INDEX(PP_Grid[#Data],$DD627,29),0)</f>
        <v/>
      </c>
      <c r="AF627">
        <f>IFERROR(INDEX(PP_Grid[#Data],$DD627,30),0)</f>
        <v/>
      </c>
      <c r="AG627">
        <f>IFERROR(INDEX(PP_Grid[#Data],$DD627,31),0)</f>
        <v/>
      </c>
      <c r="AH627">
        <f>IFERROR(INDEX(PP_Grid[#Data],$DD627,32),0)</f>
        <v/>
      </c>
      <c r="AI627">
        <f>IFERROR(INDEX(PP_Grid[#Data],$DD627,33),0)</f>
        <v/>
      </c>
      <c r="AJ627">
        <f>IFERROR(INDEX(PP_Grid[#Data],$DD627,34),0)</f>
        <v/>
      </c>
      <c r="AK627">
        <f>IFERROR(INDEX(PP_Grid[#Data],$DD627,35),0)</f>
        <v/>
      </c>
      <c r="AL627">
        <f>IFERROR(INDEX(PP_Grid[#Data],$DD627,36),0)</f>
        <v/>
      </c>
      <c r="AM627">
        <f>IFERROR(INDEX(PP_Grid[#Data],$DD627,37),0)</f>
        <v/>
      </c>
      <c r="AN627">
        <f>IFERROR(INDEX(PP_Grid[#Data],$DD627,38),0)</f>
        <v/>
      </c>
      <c r="AO627">
        <f>IFERROR(INDEX(PP_Grid[#Data],$DD627,39),0)</f>
        <v/>
      </c>
      <c r="AP627">
        <f>IFERROR(INDEX(PP_Grid[#Data],$DD627,40),0)</f>
        <v/>
      </c>
      <c r="AQ627">
        <f>IFERROR(INDEX(PP_Grid[#Data],$DD627,41),0)</f>
        <v/>
      </c>
      <c r="AR627">
        <f>IFERROR(INDEX(PP_Grid[#Data],$DD627,42),0)</f>
        <v/>
      </c>
      <c r="AS627">
        <f>IFERROR(INDEX(PP_Grid[#Data],$DD627,43),0)</f>
        <v/>
      </c>
      <c r="AT627">
        <f>IFERROR(INDEX(PP_Grid[#Data],$DD627,44),0)</f>
        <v/>
      </c>
      <c r="AU627">
        <f>IFERROR(INDEX(PP_Grid[#Data],$DD627,45),0)</f>
        <v/>
      </c>
      <c r="AV627">
        <f>IFERROR(INDEX(PP_Grid[#Data],$DD627,46),0)</f>
        <v/>
      </c>
      <c r="AW627">
        <f>IFERROR(INDEX(PP_Grid[#Data],$DD627,47),0)</f>
        <v/>
      </c>
      <c r="AX627">
        <f>IFERROR(INDEX(PP_Grid[#Data],$DD627,48),0)</f>
        <v/>
      </c>
      <c r="AY627">
        <f>IFERROR(INDEX(PP_Grid[#Data],$DD627,49),0)</f>
        <v/>
      </c>
      <c r="AZ627">
        <f>IFERROR(INDEX(PP_Grid[#Data],$DD627,50),0)</f>
        <v/>
      </c>
      <c r="BA627">
        <f>IFERROR(INDEX(PP_Grid[#Data],$DD627,51),0)</f>
        <v/>
      </c>
      <c r="BB627">
        <f>IFERROR(INDEX(PP_Grid[#Data],$DD627,52),0)</f>
        <v/>
      </c>
      <c r="BC627">
        <f>IFERROR(INDEX(PP_Grid[#Data],$DD627,53),0)</f>
        <v/>
      </c>
      <c r="BD627">
        <f>IFERROR(INDEX(PP_Grid[#Data],$DD627,54),0)</f>
        <v/>
      </c>
      <c r="BE627">
        <f>IFERROR(INDEX(PP_Grid[#Data],$DD627,55),0)</f>
        <v/>
      </c>
      <c r="BF627">
        <f>IFERROR(INDEX(PP_Grid[#Data],$DD627,56),0)</f>
        <v/>
      </c>
      <c r="BG627">
        <f>IFERROR(INDEX(PP_Grid[#Data],$DD627,57),0)</f>
        <v/>
      </c>
      <c r="BH627">
        <f>IFERROR(INDEX(PP_Grid[#Data],$DD627,58),0)</f>
        <v/>
      </c>
      <c r="BI627">
        <f>IFERROR(INDEX(PP_Grid[#Data],$DD627,59),0)</f>
        <v/>
      </c>
      <c r="BJ627">
        <f>IFERROR(INDEX(PP_Grid[#Data],$DD627,60),0)</f>
        <v/>
      </c>
      <c r="BK627">
        <f>IFERROR(INDEX(PP_Grid[#Data],$DD627,61),0)</f>
        <v/>
      </c>
      <c r="BL627">
        <f>IFERROR(INDEX(PP_Grid[#Data],$DD627,62),0)</f>
        <v/>
      </c>
      <c r="BM627">
        <f>IFERROR(INDEX(PP_Grid[#Data],$DD627,63),0)</f>
        <v/>
      </c>
      <c r="BN627">
        <f>IFERROR(INDEX(PP_Grid[#Data],$DD627,64),0)</f>
        <v/>
      </c>
      <c r="BO627">
        <f>IFERROR(INDEX(PP_Grid[#Data],$DD627,65),0)</f>
        <v/>
      </c>
      <c r="BP627">
        <f>IFERROR(INDEX(PP_Grid[#Data],$DD627,66),0)</f>
        <v/>
      </c>
      <c r="BQ627">
        <f>IFERROR(INDEX(PP_Grid[#Data],$DD627,67),0)</f>
        <v/>
      </c>
      <c r="BR627">
        <f>IFERROR(INDEX(PP_Grid[#Data],$DD627,68),0)</f>
        <v/>
      </c>
      <c r="BS627">
        <f>IFERROR(INDEX(PP_Grid[#Data],$DD627,69),0)</f>
        <v/>
      </c>
      <c r="BT627">
        <f>IFERROR(INDEX(PP_Grid[#Data],$DD627,70),0)</f>
        <v/>
      </c>
      <c r="BU627">
        <f>IFERROR(INDEX(PP_Grid[#Data],$DD627,71),0)</f>
        <v/>
      </c>
      <c r="BV627">
        <f>IFERROR(INDEX(PP_Grid[#Data],$DD627,72),0)</f>
        <v/>
      </c>
      <c r="BW627">
        <f>IFERROR(INDEX(PP_Grid[#Data],$DD627,73),0)</f>
        <v/>
      </c>
      <c r="BX627">
        <f>IFERROR(INDEX(PP_Grid[#Data],$DD627,74),0)</f>
        <v/>
      </c>
      <c r="BY627">
        <f>IFERROR(INDEX(PP_Grid[#Data],$DD627,75),0)</f>
        <v/>
      </c>
      <c r="BZ627">
        <f>IFERROR(INDEX(PP_Grid[#Data],$DD627,76),0)</f>
        <v/>
      </c>
      <c r="CA627">
        <f>IFERROR(INDEX(PP_Grid[#Data],$DD627,77),0)</f>
        <v/>
      </c>
      <c r="CB627">
        <f>IFERROR(INDEX(PP_Grid[#Data],$DD627,78),0)</f>
        <v/>
      </c>
      <c r="CC627">
        <f>IFERROR(INDEX(PP_Grid[#Data],$DD627,79),0)</f>
        <v/>
      </c>
      <c r="CD627">
        <f>IFERROR(INDEX(PP_Grid[#Data],$DD627,80),0)</f>
        <v/>
      </c>
      <c r="CE627">
        <f>IFERROR(INDEX(PP_Grid[#Data],$DD627,81),0)</f>
        <v/>
      </c>
      <c r="CF627">
        <f>IFERROR(INDEX(PP_Grid[#Data],$DD627,82),0)</f>
        <v/>
      </c>
      <c r="CG627">
        <f>IFERROR(INDEX(PP_Grid[#Data],$DD627,83),0)</f>
        <v/>
      </c>
      <c r="CH627">
        <f>IFERROR(INDEX(PP_Grid[#Data],$DD627,84),0)</f>
        <v/>
      </c>
      <c r="CI627">
        <f>IFERROR(INDEX(PP_Grid[#Data],$DD627,85),0)</f>
        <v/>
      </c>
      <c r="CJ627">
        <f>IFERROR(INDEX(PP_Grid[#Data],$DD627,86),0)</f>
        <v/>
      </c>
      <c r="CK627">
        <f>IFERROR(INDEX(PP_Grid[#Data],$DD627,87),0)</f>
        <v/>
      </c>
      <c r="CL627">
        <f>IFERROR(INDEX(PP_Grid[#Data],$DD627,88),0)</f>
        <v/>
      </c>
      <c r="CM627">
        <f>IFERROR(INDEX(PP_Grid[#Data],$DD627,89),0)</f>
        <v/>
      </c>
      <c r="CN627">
        <f>IFERROR(INDEX(PP_Grid[#Data],$DD627,90),0)</f>
        <v/>
      </c>
      <c r="CO627">
        <f>IFERROR(INDEX(PP_Grid[#Data],$DD627,91),0)</f>
        <v/>
      </c>
      <c r="CP627">
        <f>IFERROR(INDEX(PP_Grid[#Data],$DD627,92),0)</f>
        <v/>
      </c>
      <c r="CQ627">
        <f>IFERROR(INDEX(PP_Grid[#Data],$DD627,93),0)</f>
        <v/>
      </c>
      <c r="CR627">
        <f>IFERROR(INDEX(PP_Grid[#Data],$DD627,94),0)</f>
        <v/>
      </c>
      <c r="CS627">
        <f>IFERROR(INDEX(PP_Grid[#Data],$DD627,95),0)</f>
        <v/>
      </c>
      <c r="CT627">
        <f>IFERROR(INDEX(PP_Grid[#Data],$DD627,96),0)</f>
        <v/>
      </c>
      <c r="CU627">
        <f>IFERROR(INDEX(PP_Grid[#Data],$DD627,97),0)</f>
        <v/>
      </c>
      <c r="CV627">
        <f>IFERROR(INDEX(PP_Grid[#Data],$DD627,98),0)</f>
        <v/>
      </c>
      <c r="CW627">
        <f>IFERROR(INDEX(PP_Grid[#Data],$DD627,99),0)</f>
        <v/>
      </c>
      <c r="CX627">
        <f>IFERROR(INDEX(PP_Grid[#Data],$DD627,100),0)</f>
        <v/>
      </c>
      <c r="CY627">
        <f>IFERROR(INDEX(PP_Grid[#Data],$DD627,101),0)</f>
        <v/>
      </c>
      <c r="CZ627">
        <f>IFERROR(INDEX(PP_Grid[#Data],$DD627,102),0)</f>
        <v/>
      </c>
      <c r="DA627">
        <f>IFERROR(INDEX(PP_Grid[#Data],$DD627,103),0)</f>
        <v/>
      </c>
      <c r="DB627">
        <f>IFERROR(INDEX(PP_Grid[#Data],$DD627,104),0)</f>
        <v/>
      </c>
      <c r="DC627">
        <f>IFERROR(INDEX(PP_Grid[#Data],$DD627,105),0)</f>
        <v/>
      </c>
      <c r="DD627" s="7">
        <f>IFERROR(MATCH($B627,PP_Grid[Intermediate],0),99999)</f>
        <v/>
      </c>
    </row>
    <row r="628">
      <c r="B628" t="inlineStr">
        <is>
          <t>使用量(kg)</t>
        </is>
      </c>
      <c r="C628">
        <f>SUMIFS(M_BOM[RM_Qty_Per_Batch],M_BOM[Intermediate],$B627,M_BOM[Part Name],$A580)</f>
        <v/>
      </c>
      <c r="D628">
        <f>$C628*D627</f>
        <v/>
      </c>
      <c r="E628">
        <f>$C628*E627</f>
        <v/>
      </c>
      <c r="F628">
        <f>$C628*F627</f>
        <v/>
      </c>
      <c r="G628">
        <f>$C628*G627</f>
        <v/>
      </c>
      <c r="H628">
        <f>$C628*H627</f>
        <v/>
      </c>
      <c r="I628">
        <f>$C628*I627</f>
        <v/>
      </c>
      <c r="J628">
        <f>$C628*J627</f>
        <v/>
      </c>
      <c r="K628">
        <f>$C628*K627</f>
        <v/>
      </c>
      <c r="L628">
        <f>$C628*L627</f>
        <v/>
      </c>
      <c r="M628">
        <f>$C628*M627</f>
        <v/>
      </c>
      <c r="N628">
        <f>$C628*N627</f>
        <v/>
      </c>
      <c r="O628">
        <f>$C628*O627</f>
        <v/>
      </c>
      <c r="P628">
        <f>$C628*P627</f>
        <v/>
      </c>
      <c r="Q628">
        <f>$C628*Q627</f>
        <v/>
      </c>
      <c r="R628">
        <f>$C628*R627</f>
        <v/>
      </c>
      <c r="S628">
        <f>$C628*S627</f>
        <v/>
      </c>
      <c r="T628">
        <f>$C628*T627</f>
        <v/>
      </c>
      <c r="U628">
        <f>$C628*U627</f>
        <v/>
      </c>
      <c r="V628">
        <f>$C628*V627</f>
        <v/>
      </c>
      <c r="W628">
        <f>$C628*W627</f>
        <v/>
      </c>
      <c r="X628">
        <f>$C628*X627</f>
        <v/>
      </c>
      <c r="Y628">
        <f>$C628*Y627</f>
        <v/>
      </c>
      <c r="Z628">
        <f>$C628*Z627</f>
        <v/>
      </c>
      <c r="AA628">
        <f>$C628*AA627</f>
        <v/>
      </c>
      <c r="AB628">
        <f>$C628*AB627</f>
        <v/>
      </c>
      <c r="AC628">
        <f>$C628*AC627</f>
        <v/>
      </c>
      <c r="AD628">
        <f>$C628*AD627</f>
        <v/>
      </c>
      <c r="AE628">
        <f>$C628*AE627</f>
        <v/>
      </c>
      <c r="AF628">
        <f>$C628*AF627</f>
        <v/>
      </c>
      <c r="AG628">
        <f>$C628*AG627</f>
        <v/>
      </c>
      <c r="AH628">
        <f>$C628*AH627</f>
        <v/>
      </c>
      <c r="AI628">
        <f>$C628*AI627</f>
        <v/>
      </c>
      <c r="AJ628">
        <f>$C628*AJ627</f>
        <v/>
      </c>
      <c r="AK628">
        <f>$C628*AK627</f>
        <v/>
      </c>
      <c r="AL628">
        <f>$C628*AL627</f>
        <v/>
      </c>
      <c r="AM628">
        <f>$C628*AM627</f>
        <v/>
      </c>
      <c r="AN628">
        <f>$C628*AN627</f>
        <v/>
      </c>
      <c r="AO628">
        <f>$C628*AO627</f>
        <v/>
      </c>
      <c r="AP628">
        <f>$C628*AP627</f>
        <v/>
      </c>
      <c r="AQ628">
        <f>$C628*AQ627</f>
        <v/>
      </c>
      <c r="AR628">
        <f>$C628*AR627</f>
        <v/>
      </c>
      <c r="AS628">
        <f>$C628*AS627</f>
        <v/>
      </c>
      <c r="AT628">
        <f>$C628*AT627</f>
        <v/>
      </c>
      <c r="AU628">
        <f>$C628*AU627</f>
        <v/>
      </c>
      <c r="AV628">
        <f>$C628*AV627</f>
        <v/>
      </c>
      <c r="AW628">
        <f>$C628*AW627</f>
        <v/>
      </c>
      <c r="AX628">
        <f>$C628*AX627</f>
        <v/>
      </c>
      <c r="AY628">
        <f>$C628*AY627</f>
        <v/>
      </c>
      <c r="AZ628">
        <f>$C628*AZ627</f>
        <v/>
      </c>
      <c r="BA628">
        <f>$C628*BA627</f>
        <v/>
      </c>
      <c r="BB628">
        <f>$C628*BB627</f>
        <v/>
      </c>
      <c r="BC628">
        <f>$C628*BC627</f>
        <v/>
      </c>
      <c r="BD628">
        <f>$C628*BD627</f>
        <v/>
      </c>
      <c r="BE628">
        <f>$C628*BE627</f>
        <v/>
      </c>
      <c r="BF628">
        <f>$C628*BF627</f>
        <v/>
      </c>
      <c r="BG628">
        <f>$C628*BG627</f>
        <v/>
      </c>
      <c r="BH628">
        <f>$C628*BH627</f>
        <v/>
      </c>
      <c r="BI628">
        <f>$C628*BI627</f>
        <v/>
      </c>
      <c r="BJ628">
        <f>$C628*BJ627</f>
        <v/>
      </c>
      <c r="BK628">
        <f>$C628*BK627</f>
        <v/>
      </c>
      <c r="BL628">
        <f>$C628*BL627</f>
        <v/>
      </c>
      <c r="BM628">
        <f>$C628*BM627</f>
        <v/>
      </c>
      <c r="BN628">
        <f>$C628*BN627</f>
        <v/>
      </c>
      <c r="BO628">
        <f>$C628*BO627</f>
        <v/>
      </c>
      <c r="BP628">
        <f>$C628*BP627</f>
        <v/>
      </c>
      <c r="BQ628">
        <f>$C628*BQ627</f>
        <v/>
      </c>
      <c r="BR628">
        <f>$C628*BR627</f>
        <v/>
      </c>
      <c r="BS628">
        <f>$C628*BS627</f>
        <v/>
      </c>
      <c r="BT628">
        <f>$C628*BT627</f>
        <v/>
      </c>
      <c r="BU628">
        <f>$C628*BU627</f>
        <v/>
      </c>
      <c r="BV628">
        <f>$C628*BV627</f>
        <v/>
      </c>
      <c r="BW628">
        <f>$C628*BW627</f>
        <v/>
      </c>
      <c r="BX628">
        <f>$C628*BX627</f>
        <v/>
      </c>
      <c r="BY628">
        <f>$C628*BY627</f>
        <v/>
      </c>
      <c r="BZ628">
        <f>$C628*BZ627</f>
        <v/>
      </c>
      <c r="CA628">
        <f>$C628*CA627</f>
        <v/>
      </c>
      <c r="CB628">
        <f>$C628*CB627</f>
        <v/>
      </c>
      <c r="CC628">
        <f>$C628*CC627</f>
        <v/>
      </c>
      <c r="CD628">
        <f>$C628*CD627</f>
        <v/>
      </c>
      <c r="CE628">
        <f>$C628*CE627</f>
        <v/>
      </c>
      <c r="CF628">
        <f>$C628*CF627</f>
        <v/>
      </c>
      <c r="CG628">
        <f>$C628*CG627</f>
        <v/>
      </c>
      <c r="CH628">
        <f>$C628*CH627</f>
        <v/>
      </c>
      <c r="CI628">
        <f>$C628*CI627</f>
        <v/>
      </c>
      <c r="CJ628">
        <f>$C628*CJ627</f>
        <v/>
      </c>
      <c r="CK628">
        <f>$C628*CK627</f>
        <v/>
      </c>
      <c r="CL628">
        <f>$C628*CL627</f>
        <v/>
      </c>
      <c r="CM628">
        <f>$C628*CM627</f>
        <v/>
      </c>
      <c r="CN628">
        <f>$C628*CN627</f>
        <v/>
      </c>
      <c r="CO628">
        <f>$C628*CO627</f>
        <v/>
      </c>
      <c r="CP628">
        <f>$C628*CP627</f>
        <v/>
      </c>
      <c r="CQ628">
        <f>$C628*CQ627</f>
        <v/>
      </c>
      <c r="CR628">
        <f>$C628*CR627</f>
        <v/>
      </c>
      <c r="CS628">
        <f>$C628*CS627</f>
        <v/>
      </c>
      <c r="CT628">
        <f>$C628*CT627</f>
        <v/>
      </c>
      <c r="CU628">
        <f>$C628*CU627</f>
        <v/>
      </c>
      <c r="CV628">
        <f>$C628*CV627</f>
        <v/>
      </c>
      <c r="CW628">
        <f>$C628*CW627</f>
        <v/>
      </c>
      <c r="CX628">
        <f>$C628*CX627</f>
        <v/>
      </c>
      <c r="CY628">
        <f>$C628*CY627</f>
        <v/>
      </c>
      <c r="CZ628">
        <f>$C628*CZ627</f>
        <v/>
      </c>
      <c r="DA628">
        <f>$C628*DA627</f>
        <v/>
      </c>
      <c r="DB628">
        <f>$C628*DB627</f>
        <v/>
      </c>
      <c r="DC628">
        <f>$C628*DC627</f>
        <v/>
      </c>
    </row>
    <row r="629">
      <c r="B629" t="inlineStr">
        <is>
          <t>TPP-970</t>
        </is>
      </c>
      <c r="C629" t="inlineStr">
        <is>
          <t>No. of batches</t>
        </is>
      </c>
      <c r="D629">
        <f>IFERROR(INDEX(PP_Grid[#Data],$DD629,2),0)</f>
        <v/>
      </c>
      <c r="E629">
        <f>IFERROR(INDEX(PP_Grid[#Data],$DD629,3),0)</f>
        <v/>
      </c>
      <c r="F629">
        <f>IFERROR(INDEX(PP_Grid[#Data],$DD629,4),0)</f>
        <v/>
      </c>
      <c r="G629">
        <f>IFERROR(INDEX(PP_Grid[#Data],$DD629,5),0)</f>
        <v/>
      </c>
      <c r="H629">
        <f>IFERROR(INDEX(PP_Grid[#Data],$DD629,6),0)</f>
        <v/>
      </c>
      <c r="I629">
        <f>IFERROR(INDEX(PP_Grid[#Data],$DD629,7),0)</f>
        <v/>
      </c>
      <c r="J629">
        <f>IFERROR(INDEX(PP_Grid[#Data],$DD629,8),0)</f>
        <v/>
      </c>
      <c r="K629">
        <f>IFERROR(INDEX(PP_Grid[#Data],$DD629,9),0)</f>
        <v/>
      </c>
      <c r="L629">
        <f>IFERROR(INDEX(PP_Grid[#Data],$DD629,10),0)</f>
        <v/>
      </c>
      <c r="M629">
        <f>IFERROR(INDEX(PP_Grid[#Data],$DD629,11),0)</f>
        <v/>
      </c>
      <c r="N629">
        <f>IFERROR(INDEX(PP_Grid[#Data],$DD629,12),0)</f>
        <v/>
      </c>
      <c r="O629">
        <f>IFERROR(INDEX(PP_Grid[#Data],$DD629,13),0)</f>
        <v/>
      </c>
      <c r="P629">
        <f>IFERROR(INDEX(PP_Grid[#Data],$DD629,14),0)</f>
        <v/>
      </c>
      <c r="Q629">
        <f>IFERROR(INDEX(PP_Grid[#Data],$DD629,15),0)</f>
        <v/>
      </c>
      <c r="R629">
        <f>IFERROR(INDEX(PP_Grid[#Data],$DD629,16),0)</f>
        <v/>
      </c>
      <c r="S629">
        <f>IFERROR(INDEX(PP_Grid[#Data],$DD629,17),0)</f>
        <v/>
      </c>
      <c r="T629">
        <f>IFERROR(INDEX(PP_Grid[#Data],$DD629,18),0)</f>
        <v/>
      </c>
      <c r="U629">
        <f>IFERROR(INDEX(PP_Grid[#Data],$DD629,19),0)</f>
        <v/>
      </c>
      <c r="V629">
        <f>IFERROR(INDEX(PP_Grid[#Data],$DD629,20),0)</f>
        <v/>
      </c>
      <c r="W629">
        <f>IFERROR(INDEX(PP_Grid[#Data],$DD629,21),0)</f>
        <v/>
      </c>
      <c r="X629">
        <f>IFERROR(INDEX(PP_Grid[#Data],$DD629,22),0)</f>
        <v/>
      </c>
      <c r="Y629">
        <f>IFERROR(INDEX(PP_Grid[#Data],$DD629,23),0)</f>
        <v/>
      </c>
      <c r="Z629">
        <f>IFERROR(INDEX(PP_Grid[#Data],$DD629,24),0)</f>
        <v/>
      </c>
      <c r="AA629">
        <f>IFERROR(INDEX(PP_Grid[#Data],$DD629,25),0)</f>
        <v/>
      </c>
      <c r="AB629">
        <f>IFERROR(INDEX(PP_Grid[#Data],$DD629,26),0)</f>
        <v/>
      </c>
      <c r="AC629">
        <f>IFERROR(INDEX(PP_Grid[#Data],$DD629,27),0)</f>
        <v/>
      </c>
      <c r="AD629">
        <f>IFERROR(INDEX(PP_Grid[#Data],$DD629,28),0)</f>
        <v/>
      </c>
      <c r="AE629">
        <f>IFERROR(INDEX(PP_Grid[#Data],$DD629,29),0)</f>
        <v/>
      </c>
      <c r="AF629">
        <f>IFERROR(INDEX(PP_Grid[#Data],$DD629,30),0)</f>
        <v/>
      </c>
      <c r="AG629">
        <f>IFERROR(INDEX(PP_Grid[#Data],$DD629,31),0)</f>
        <v/>
      </c>
      <c r="AH629">
        <f>IFERROR(INDEX(PP_Grid[#Data],$DD629,32),0)</f>
        <v/>
      </c>
      <c r="AI629">
        <f>IFERROR(INDEX(PP_Grid[#Data],$DD629,33),0)</f>
        <v/>
      </c>
      <c r="AJ629">
        <f>IFERROR(INDEX(PP_Grid[#Data],$DD629,34),0)</f>
        <v/>
      </c>
      <c r="AK629">
        <f>IFERROR(INDEX(PP_Grid[#Data],$DD629,35),0)</f>
        <v/>
      </c>
      <c r="AL629">
        <f>IFERROR(INDEX(PP_Grid[#Data],$DD629,36),0)</f>
        <v/>
      </c>
      <c r="AM629">
        <f>IFERROR(INDEX(PP_Grid[#Data],$DD629,37),0)</f>
        <v/>
      </c>
      <c r="AN629">
        <f>IFERROR(INDEX(PP_Grid[#Data],$DD629,38),0)</f>
        <v/>
      </c>
      <c r="AO629">
        <f>IFERROR(INDEX(PP_Grid[#Data],$DD629,39),0)</f>
        <v/>
      </c>
      <c r="AP629">
        <f>IFERROR(INDEX(PP_Grid[#Data],$DD629,40),0)</f>
        <v/>
      </c>
      <c r="AQ629">
        <f>IFERROR(INDEX(PP_Grid[#Data],$DD629,41),0)</f>
        <v/>
      </c>
      <c r="AR629">
        <f>IFERROR(INDEX(PP_Grid[#Data],$DD629,42),0)</f>
        <v/>
      </c>
      <c r="AS629">
        <f>IFERROR(INDEX(PP_Grid[#Data],$DD629,43),0)</f>
        <v/>
      </c>
      <c r="AT629">
        <f>IFERROR(INDEX(PP_Grid[#Data],$DD629,44),0)</f>
        <v/>
      </c>
      <c r="AU629">
        <f>IFERROR(INDEX(PP_Grid[#Data],$DD629,45),0)</f>
        <v/>
      </c>
      <c r="AV629">
        <f>IFERROR(INDEX(PP_Grid[#Data],$DD629,46),0)</f>
        <v/>
      </c>
      <c r="AW629">
        <f>IFERROR(INDEX(PP_Grid[#Data],$DD629,47),0)</f>
        <v/>
      </c>
      <c r="AX629">
        <f>IFERROR(INDEX(PP_Grid[#Data],$DD629,48),0)</f>
        <v/>
      </c>
      <c r="AY629">
        <f>IFERROR(INDEX(PP_Grid[#Data],$DD629,49),0)</f>
        <v/>
      </c>
      <c r="AZ629">
        <f>IFERROR(INDEX(PP_Grid[#Data],$DD629,50),0)</f>
        <v/>
      </c>
      <c r="BA629">
        <f>IFERROR(INDEX(PP_Grid[#Data],$DD629,51),0)</f>
        <v/>
      </c>
      <c r="BB629">
        <f>IFERROR(INDEX(PP_Grid[#Data],$DD629,52),0)</f>
        <v/>
      </c>
      <c r="BC629">
        <f>IFERROR(INDEX(PP_Grid[#Data],$DD629,53),0)</f>
        <v/>
      </c>
      <c r="BD629">
        <f>IFERROR(INDEX(PP_Grid[#Data],$DD629,54),0)</f>
        <v/>
      </c>
      <c r="BE629">
        <f>IFERROR(INDEX(PP_Grid[#Data],$DD629,55),0)</f>
        <v/>
      </c>
      <c r="BF629">
        <f>IFERROR(INDEX(PP_Grid[#Data],$DD629,56),0)</f>
        <v/>
      </c>
      <c r="BG629">
        <f>IFERROR(INDEX(PP_Grid[#Data],$DD629,57),0)</f>
        <v/>
      </c>
      <c r="BH629">
        <f>IFERROR(INDEX(PP_Grid[#Data],$DD629,58),0)</f>
        <v/>
      </c>
      <c r="BI629">
        <f>IFERROR(INDEX(PP_Grid[#Data],$DD629,59),0)</f>
        <v/>
      </c>
      <c r="BJ629">
        <f>IFERROR(INDEX(PP_Grid[#Data],$DD629,60),0)</f>
        <v/>
      </c>
      <c r="BK629">
        <f>IFERROR(INDEX(PP_Grid[#Data],$DD629,61),0)</f>
        <v/>
      </c>
      <c r="BL629">
        <f>IFERROR(INDEX(PP_Grid[#Data],$DD629,62),0)</f>
        <v/>
      </c>
      <c r="BM629">
        <f>IFERROR(INDEX(PP_Grid[#Data],$DD629,63),0)</f>
        <v/>
      </c>
      <c r="BN629">
        <f>IFERROR(INDEX(PP_Grid[#Data],$DD629,64),0)</f>
        <v/>
      </c>
      <c r="BO629">
        <f>IFERROR(INDEX(PP_Grid[#Data],$DD629,65),0)</f>
        <v/>
      </c>
      <c r="BP629">
        <f>IFERROR(INDEX(PP_Grid[#Data],$DD629,66),0)</f>
        <v/>
      </c>
      <c r="BQ629">
        <f>IFERROR(INDEX(PP_Grid[#Data],$DD629,67),0)</f>
        <v/>
      </c>
      <c r="BR629">
        <f>IFERROR(INDEX(PP_Grid[#Data],$DD629,68),0)</f>
        <v/>
      </c>
      <c r="BS629">
        <f>IFERROR(INDEX(PP_Grid[#Data],$DD629,69),0)</f>
        <v/>
      </c>
      <c r="BT629">
        <f>IFERROR(INDEX(PP_Grid[#Data],$DD629,70),0)</f>
        <v/>
      </c>
      <c r="BU629">
        <f>IFERROR(INDEX(PP_Grid[#Data],$DD629,71),0)</f>
        <v/>
      </c>
      <c r="BV629">
        <f>IFERROR(INDEX(PP_Grid[#Data],$DD629,72),0)</f>
        <v/>
      </c>
      <c r="BW629">
        <f>IFERROR(INDEX(PP_Grid[#Data],$DD629,73),0)</f>
        <v/>
      </c>
      <c r="BX629">
        <f>IFERROR(INDEX(PP_Grid[#Data],$DD629,74),0)</f>
        <v/>
      </c>
      <c r="BY629">
        <f>IFERROR(INDEX(PP_Grid[#Data],$DD629,75),0)</f>
        <v/>
      </c>
      <c r="BZ629">
        <f>IFERROR(INDEX(PP_Grid[#Data],$DD629,76),0)</f>
        <v/>
      </c>
      <c r="CA629">
        <f>IFERROR(INDEX(PP_Grid[#Data],$DD629,77),0)</f>
        <v/>
      </c>
      <c r="CB629">
        <f>IFERROR(INDEX(PP_Grid[#Data],$DD629,78),0)</f>
        <v/>
      </c>
      <c r="CC629">
        <f>IFERROR(INDEX(PP_Grid[#Data],$DD629,79),0)</f>
        <v/>
      </c>
      <c r="CD629">
        <f>IFERROR(INDEX(PP_Grid[#Data],$DD629,80),0)</f>
        <v/>
      </c>
      <c r="CE629">
        <f>IFERROR(INDEX(PP_Grid[#Data],$DD629,81),0)</f>
        <v/>
      </c>
      <c r="CF629">
        <f>IFERROR(INDEX(PP_Grid[#Data],$DD629,82),0)</f>
        <v/>
      </c>
      <c r="CG629">
        <f>IFERROR(INDEX(PP_Grid[#Data],$DD629,83),0)</f>
        <v/>
      </c>
      <c r="CH629">
        <f>IFERROR(INDEX(PP_Grid[#Data],$DD629,84),0)</f>
        <v/>
      </c>
      <c r="CI629">
        <f>IFERROR(INDEX(PP_Grid[#Data],$DD629,85),0)</f>
        <v/>
      </c>
      <c r="CJ629">
        <f>IFERROR(INDEX(PP_Grid[#Data],$DD629,86),0)</f>
        <v/>
      </c>
      <c r="CK629">
        <f>IFERROR(INDEX(PP_Grid[#Data],$DD629,87),0)</f>
        <v/>
      </c>
      <c r="CL629">
        <f>IFERROR(INDEX(PP_Grid[#Data],$DD629,88),0)</f>
        <v/>
      </c>
      <c r="CM629">
        <f>IFERROR(INDEX(PP_Grid[#Data],$DD629,89),0)</f>
        <v/>
      </c>
      <c r="CN629">
        <f>IFERROR(INDEX(PP_Grid[#Data],$DD629,90),0)</f>
        <v/>
      </c>
      <c r="CO629">
        <f>IFERROR(INDEX(PP_Grid[#Data],$DD629,91),0)</f>
        <v/>
      </c>
      <c r="CP629">
        <f>IFERROR(INDEX(PP_Grid[#Data],$DD629,92),0)</f>
        <v/>
      </c>
      <c r="CQ629">
        <f>IFERROR(INDEX(PP_Grid[#Data],$DD629,93),0)</f>
        <v/>
      </c>
      <c r="CR629">
        <f>IFERROR(INDEX(PP_Grid[#Data],$DD629,94),0)</f>
        <v/>
      </c>
      <c r="CS629">
        <f>IFERROR(INDEX(PP_Grid[#Data],$DD629,95),0)</f>
        <v/>
      </c>
      <c r="CT629">
        <f>IFERROR(INDEX(PP_Grid[#Data],$DD629,96),0)</f>
        <v/>
      </c>
      <c r="CU629">
        <f>IFERROR(INDEX(PP_Grid[#Data],$DD629,97),0)</f>
        <v/>
      </c>
      <c r="CV629">
        <f>IFERROR(INDEX(PP_Grid[#Data],$DD629,98),0)</f>
        <v/>
      </c>
      <c r="CW629">
        <f>IFERROR(INDEX(PP_Grid[#Data],$DD629,99),0)</f>
        <v/>
      </c>
      <c r="CX629">
        <f>IFERROR(INDEX(PP_Grid[#Data],$DD629,100),0)</f>
        <v/>
      </c>
      <c r="CY629">
        <f>IFERROR(INDEX(PP_Grid[#Data],$DD629,101),0)</f>
        <v/>
      </c>
      <c r="CZ629">
        <f>IFERROR(INDEX(PP_Grid[#Data],$DD629,102),0)</f>
        <v/>
      </c>
      <c r="DA629">
        <f>IFERROR(INDEX(PP_Grid[#Data],$DD629,103),0)</f>
        <v/>
      </c>
      <c r="DB629">
        <f>IFERROR(INDEX(PP_Grid[#Data],$DD629,104),0)</f>
        <v/>
      </c>
      <c r="DC629">
        <f>IFERROR(INDEX(PP_Grid[#Data],$DD629,105),0)</f>
        <v/>
      </c>
      <c r="DD629" s="7">
        <f>IFERROR(MATCH($B629,PP_Grid[Intermediate],0),99999)</f>
        <v/>
      </c>
    </row>
    <row r="630">
      <c r="B630" t="inlineStr">
        <is>
          <t>使用量(kg)</t>
        </is>
      </c>
      <c r="C630">
        <f>SUMIFS(M_BOM[RM_Qty_Per_Batch],M_BOM[Intermediate],$B629,M_BOM[Part Name],$A580)</f>
        <v/>
      </c>
      <c r="D630">
        <f>$C630*D629</f>
        <v/>
      </c>
      <c r="E630">
        <f>$C630*E629</f>
        <v/>
      </c>
      <c r="F630">
        <f>$C630*F629</f>
        <v/>
      </c>
      <c r="G630">
        <f>$C630*G629</f>
        <v/>
      </c>
      <c r="H630">
        <f>$C630*H629</f>
        <v/>
      </c>
      <c r="I630">
        <f>$C630*I629</f>
        <v/>
      </c>
      <c r="J630">
        <f>$C630*J629</f>
        <v/>
      </c>
      <c r="K630">
        <f>$C630*K629</f>
        <v/>
      </c>
      <c r="L630">
        <f>$C630*L629</f>
        <v/>
      </c>
      <c r="M630">
        <f>$C630*M629</f>
        <v/>
      </c>
      <c r="N630">
        <f>$C630*N629</f>
        <v/>
      </c>
      <c r="O630">
        <f>$C630*O629</f>
        <v/>
      </c>
      <c r="P630">
        <f>$C630*P629</f>
        <v/>
      </c>
      <c r="Q630">
        <f>$C630*Q629</f>
        <v/>
      </c>
      <c r="R630">
        <f>$C630*R629</f>
        <v/>
      </c>
      <c r="S630">
        <f>$C630*S629</f>
        <v/>
      </c>
      <c r="T630">
        <f>$C630*T629</f>
        <v/>
      </c>
      <c r="U630">
        <f>$C630*U629</f>
        <v/>
      </c>
      <c r="V630">
        <f>$C630*V629</f>
        <v/>
      </c>
      <c r="W630">
        <f>$C630*W629</f>
        <v/>
      </c>
      <c r="X630">
        <f>$C630*X629</f>
        <v/>
      </c>
      <c r="Y630">
        <f>$C630*Y629</f>
        <v/>
      </c>
      <c r="Z630">
        <f>$C630*Z629</f>
        <v/>
      </c>
      <c r="AA630">
        <f>$C630*AA629</f>
        <v/>
      </c>
      <c r="AB630">
        <f>$C630*AB629</f>
        <v/>
      </c>
      <c r="AC630">
        <f>$C630*AC629</f>
        <v/>
      </c>
      <c r="AD630">
        <f>$C630*AD629</f>
        <v/>
      </c>
      <c r="AE630">
        <f>$C630*AE629</f>
        <v/>
      </c>
      <c r="AF630">
        <f>$C630*AF629</f>
        <v/>
      </c>
      <c r="AG630">
        <f>$C630*AG629</f>
        <v/>
      </c>
      <c r="AH630">
        <f>$C630*AH629</f>
        <v/>
      </c>
      <c r="AI630">
        <f>$C630*AI629</f>
        <v/>
      </c>
      <c r="AJ630">
        <f>$C630*AJ629</f>
        <v/>
      </c>
      <c r="AK630">
        <f>$C630*AK629</f>
        <v/>
      </c>
      <c r="AL630">
        <f>$C630*AL629</f>
        <v/>
      </c>
      <c r="AM630">
        <f>$C630*AM629</f>
        <v/>
      </c>
      <c r="AN630">
        <f>$C630*AN629</f>
        <v/>
      </c>
      <c r="AO630">
        <f>$C630*AO629</f>
        <v/>
      </c>
      <c r="AP630">
        <f>$C630*AP629</f>
        <v/>
      </c>
      <c r="AQ630">
        <f>$C630*AQ629</f>
        <v/>
      </c>
      <c r="AR630">
        <f>$C630*AR629</f>
        <v/>
      </c>
      <c r="AS630">
        <f>$C630*AS629</f>
        <v/>
      </c>
      <c r="AT630">
        <f>$C630*AT629</f>
        <v/>
      </c>
      <c r="AU630">
        <f>$C630*AU629</f>
        <v/>
      </c>
      <c r="AV630">
        <f>$C630*AV629</f>
        <v/>
      </c>
      <c r="AW630">
        <f>$C630*AW629</f>
        <v/>
      </c>
      <c r="AX630">
        <f>$C630*AX629</f>
        <v/>
      </c>
      <c r="AY630">
        <f>$C630*AY629</f>
        <v/>
      </c>
      <c r="AZ630">
        <f>$C630*AZ629</f>
        <v/>
      </c>
      <c r="BA630">
        <f>$C630*BA629</f>
        <v/>
      </c>
      <c r="BB630">
        <f>$C630*BB629</f>
        <v/>
      </c>
      <c r="BC630">
        <f>$C630*BC629</f>
        <v/>
      </c>
      <c r="BD630">
        <f>$C630*BD629</f>
        <v/>
      </c>
      <c r="BE630">
        <f>$C630*BE629</f>
        <v/>
      </c>
      <c r="BF630">
        <f>$C630*BF629</f>
        <v/>
      </c>
      <c r="BG630">
        <f>$C630*BG629</f>
        <v/>
      </c>
      <c r="BH630">
        <f>$C630*BH629</f>
        <v/>
      </c>
      <c r="BI630">
        <f>$C630*BI629</f>
        <v/>
      </c>
      <c r="BJ630">
        <f>$C630*BJ629</f>
        <v/>
      </c>
      <c r="BK630">
        <f>$C630*BK629</f>
        <v/>
      </c>
      <c r="BL630">
        <f>$C630*BL629</f>
        <v/>
      </c>
      <c r="BM630">
        <f>$C630*BM629</f>
        <v/>
      </c>
      <c r="BN630">
        <f>$C630*BN629</f>
        <v/>
      </c>
      <c r="BO630">
        <f>$C630*BO629</f>
        <v/>
      </c>
      <c r="BP630">
        <f>$C630*BP629</f>
        <v/>
      </c>
      <c r="BQ630">
        <f>$C630*BQ629</f>
        <v/>
      </c>
      <c r="BR630">
        <f>$C630*BR629</f>
        <v/>
      </c>
      <c r="BS630">
        <f>$C630*BS629</f>
        <v/>
      </c>
      <c r="BT630">
        <f>$C630*BT629</f>
        <v/>
      </c>
      <c r="BU630">
        <f>$C630*BU629</f>
        <v/>
      </c>
      <c r="BV630">
        <f>$C630*BV629</f>
        <v/>
      </c>
      <c r="BW630">
        <f>$C630*BW629</f>
        <v/>
      </c>
      <c r="BX630">
        <f>$C630*BX629</f>
        <v/>
      </c>
      <c r="BY630">
        <f>$C630*BY629</f>
        <v/>
      </c>
      <c r="BZ630">
        <f>$C630*BZ629</f>
        <v/>
      </c>
      <c r="CA630">
        <f>$C630*CA629</f>
        <v/>
      </c>
      <c r="CB630">
        <f>$C630*CB629</f>
        <v/>
      </c>
      <c r="CC630">
        <f>$C630*CC629</f>
        <v/>
      </c>
      <c r="CD630">
        <f>$C630*CD629</f>
        <v/>
      </c>
      <c r="CE630">
        <f>$C630*CE629</f>
        <v/>
      </c>
      <c r="CF630">
        <f>$C630*CF629</f>
        <v/>
      </c>
      <c r="CG630">
        <f>$C630*CG629</f>
        <v/>
      </c>
      <c r="CH630">
        <f>$C630*CH629</f>
        <v/>
      </c>
      <c r="CI630">
        <f>$C630*CI629</f>
        <v/>
      </c>
      <c r="CJ630">
        <f>$C630*CJ629</f>
        <v/>
      </c>
      <c r="CK630">
        <f>$C630*CK629</f>
        <v/>
      </c>
      <c r="CL630">
        <f>$C630*CL629</f>
        <v/>
      </c>
      <c r="CM630">
        <f>$C630*CM629</f>
        <v/>
      </c>
      <c r="CN630">
        <f>$C630*CN629</f>
        <v/>
      </c>
      <c r="CO630">
        <f>$C630*CO629</f>
        <v/>
      </c>
      <c r="CP630">
        <f>$C630*CP629</f>
        <v/>
      </c>
      <c r="CQ630">
        <f>$C630*CQ629</f>
        <v/>
      </c>
      <c r="CR630">
        <f>$C630*CR629</f>
        <v/>
      </c>
      <c r="CS630">
        <f>$C630*CS629</f>
        <v/>
      </c>
      <c r="CT630">
        <f>$C630*CT629</f>
        <v/>
      </c>
      <c r="CU630">
        <f>$C630*CU629</f>
        <v/>
      </c>
      <c r="CV630">
        <f>$C630*CV629</f>
        <v/>
      </c>
      <c r="CW630">
        <f>$C630*CW629</f>
        <v/>
      </c>
      <c r="CX630">
        <f>$C630*CX629</f>
        <v/>
      </c>
      <c r="CY630">
        <f>$C630*CY629</f>
        <v/>
      </c>
      <c r="CZ630">
        <f>$C630*CZ629</f>
        <v/>
      </c>
      <c r="DA630">
        <f>$C630*DA629</f>
        <v/>
      </c>
      <c r="DB630">
        <f>$C630*DB629</f>
        <v/>
      </c>
      <c r="DC630">
        <f>$C630*DC629</f>
        <v/>
      </c>
    </row>
    <row r="631">
      <c r="B631" t="inlineStr">
        <is>
          <t>TPP-912</t>
        </is>
      </c>
      <c r="C631" t="inlineStr">
        <is>
          <t>No. of batches</t>
        </is>
      </c>
      <c r="D631">
        <f>IFERROR(INDEX(PP_Grid[#Data],$DD631,2),0)</f>
        <v/>
      </c>
      <c r="E631">
        <f>IFERROR(INDEX(PP_Grid[#Data],$DD631,3),0)</f>
        <v/>
      </c>
      <c r="F631">
        <f>IFERROR(INDEX(PP_Grid[#Data],$DD631,4),0)</f>
        <v/>
      </c>
      <c r="G631">
        <f>IFERROR(INDEX(PP_Grid[#Data],$DD631,5),0)</f>
        <v/>
      </c>
      <c r="H631">
        <f>IFERROR(INDEX(PP_Grid[#Data],$DD631,6),0)</f>
        <v/>
      </c>
      <c r="I631">
        <f>IFERROR(INDEX(PP_Grid[#Data],$DD631,7),0)</f>
        <v/>
      </c>
      <c r="J631">
        <f>IFERROR(INDEX(PP_Grid[#Data],$DD631,8),0)</f>
        <v/>
      </c>
      <c r="K631">
        <f>IFERROR(INDEX(PP_Grid[#Data],$DD631,9),0)</f>
        <v/>
      </c>
      <c r="L631">
        <f>IFERROR(INDEX(PP_Grid[#Data],$DD631,10),0)</f>
        <v/>
      </c>
      <c r="M631">
        <f>IFERROR(INDEX(PP_Grid[#Data],$DD631,11),0)</f>
        <v/>
      </c>
      <c r="N631">
        <f>IFERROR(INDEX(PP_Grid[#Data],$DD631,12),0)</f>
        <v/>
      </c>
      <c r="O631">
        <f>IFERROR(INDEX(PP_Grid[#Data],$DD631,13),0)</f>
        <v/>
      </c>
      <c r="P631">
        <f>IFERROR(INDEX(PP_Grid[#Data],$DD631,14),0)</f>
        <v/>
      </c>
      <c r="Q631">
        <f>IFERROR(INDEX(PP_Grid[#Data],$DD631,15),0)</f>
        <v/>
      </c>
      <c r="R631">
        <f>IFERROR(INDEX(PP_Grid[#Data],$DD631,16),0)</f>
        <v/>
      </c>
      <c r="S631">
        <f>IFERROR(INDEX(PP_Grid[#Data],$DD631,17),0)</f>
        <v/>
      </c>
      <c r="T631">
        <f>IFERROR(INDEX(PP_Grid[#Data],$DD631,18),0)</f>
        <v/>
      </c>
      <c r="U631">
        <f>IFERROR(INDEX(PP_Grid[#Data],$DD631,19),0)</f>
        <v/>
      </c>
      <c r="V631">
        <f>IFERROR(INDEX(PP_Grid[#Data],$DD631,20),0)</f>
        <v/>
      </c>
      <c r="W631">
        <f>IFERROR(INDEX(PP_Grid[#Data],$DD631,21),0)</f>
        <v/>
      </c>
      <c r="X631">
        <f>IFERROR(INDEX(PP_Grid[#Data],$DD631,22),0)</f>
        <v/>
      </c>
      <c r="Y631">
        <f>IFERROR(INDEX(PP_Grid[#Data],$DD631,23),0)</f>
        <v/>
      </c>
      <c r="Z631">
        <f>IFERROR(INDEX(PP_Grid[#Data],$DD631,24),0)</f>
        <v/>
      </c>
      <c r="AA631">
        <f>IFERROR(INDEX(PP_Grid[#Data],$DD631,25),0)</f>
        <v/>
      </c>
      <c r="AB631">
        <f>IFERROR(INDEX(PP_Grid[#Data],$DD631,26),0)</f>
        <v/>
      </c>
      <c r="AC631">
        <f>IFERROR(INDEX(PP_Grid[#Data],$DD631,27),0)</f>
        <v/>
      </c>
      <c r="AD631">
        <f>IFERROR(INDEX(PP_Grid[#Data],$DD631,28),0)</f>
        <v/>
      </c>
      <c r="AE631">
        <f>IFERROR(INDEX(PP_Grid[#Data],$DD631,29),0)</f>
        <v/>
      </c>
      <c r="AF631">
        <f>IFERROR(INDEX(PP_Grid[#Data],$DD631,30),0)</f>
        <v/>
      </c>
      <c r="AG631">
        <f>IFERROR(INDEX(PP_Grid[#Data],$DD631,31),0)</f>
        <v/>
      </c>
      <c r="AH631">
        <f>IFERROR(INDEX(PP_Grid[#Data],$DD631,32),0)</f>
        <v/>
      </c>
      <c r="AI631">
        <f>IFERROR(INDEX(PP_Grid[#Data],$DD631,33),0)</f>
        <v/>
      </c>
      <c r="AJ631">
        <f>IFERROR(INDEX(PP_Grid[#Data],$DD631,34),0)</f>
        <v/>
      </c>
      <c r="AK631">
        <f>IFERROR(INDEX(PP_Grid[#Data],$DD631,35),0)</f>
        <v/>
      </c>
      <c r="AL631">
        <f>IFERROR(INDEX(PP_Grid[#Data],$DD631,36),0)</f>
        <v/>
      </c>
      <c r="AM631">
        <f>IFERROR(INDEX(PP_Grid[#Data],$DD631,37),0)</f>
        <v/>
      </c>
      <c r="AN631">
        <f>IFERROR(INDEX(PP_Grid[#Data],$DD631,38),0)</f>
        <v/>
      </c>
      <c r="AO631">
        <f>IFERROR(INDEX(PP_Grid[#Data],$DD631,39),0)</f>
        <v/>
      </c>
      <c r="AP631">
        <f>IFERROR(INDEX(PP_Grid[#Data],$DD631,40),0)</f>
        <v/>
      </c>
      <c r="AQ631">
        <f>IFERROR(INDEX(PP_Grid[#Data],$DD631,41),0)</f>
        <v/>
      </c>
      <c r="AR631">
        <f>IFERROR(INDEX(PP_Grid[#Data],$DD631,42),0)</f>
        <v/>
      </c>
      <c r="AS631">
        <f>IFERROR(INDEX(PP_Grid[#Data],$DD631,43),0)</f>
        <v/>
      </c>
      <c r="AT631">
        <f>IFERROR(INDEX(PP_Grid[#Data],$DD631,44),0)</f>
        <v/>
      </c>
      <c r="AU631">
        <f>IFERROR(INDEX(PP_Grid[#Data],$DD631,45),0)</f>
        <v/>
      </c>
      <c r="AV631">
        <f>IFERROR(INDEX(PP_Grid[#Data],$DD631,46),0)</f>
        <v/>
      </c>
      <c r="AW631">
        <f>IFERROR(INDEX(PP_Grid[#Data],$DD631,47),0)</f>
        <v/>
      </c>
      <c r="AX631">
        <f>IFERROR(INDEX(PP_Grid[#Data],$DD631,48),0)</f>
        <v/>
      </c>
      <c r="AY631">
        <f>IFERROR(INDEX(PP_Grid[#Data],$DD631,49),0)</f>
        <v/>
      </c>
      <c r="AZ631">
        <f>IFERROR(INDEX(PP_Grid[#Data],$DD631,50),0)</f>
        <v/>
      </c>
      <c r="BA631">
        <f>IFERROR(INDEX(PP_Grid[#Data],$DD631,51),0)</f>
        <v/>
      </c>
      <c r="BB631">
        <f>IFERROR(INDEX(PP_Grid[#Data],$DD631,52),0)</f>
        <v/>
      </c>
      <c r="BC631">
        <f>IFERROR(INDEX(PP_Grid[#Data],$DD631,53),0)</f>
        <v/>
      </c>
      <c r="BD631">
        <f>IFERROR(INDEX(PP_Grid[#Data],$DD631,54),0)</f>
        <v/>
      </c>
      <c r="BE631">
        <f>IFERROR(INDEX(PP_Grid[#Data],$DD631,55),0)</f>
        <v/>
      </c>
      <c r="BF631">
        <f>IFERROR(INDEX(PP_Grid[#Data],$DD631,56),0)</f>
        <v/>
      </c>
      <c r="BG631">
        <f>IFERROR(INDEX(PP_Grid[#Data],$DD631,57),0)</f>
        <v/>
      </c>
      <c r="BH631">
        <f>IFERROR(INDEX(PP_Grid[#Data],$DD631,58),0)</f>
        <v/>
      </c>
      <c r="BI631">
        <f>IFERROR(INDEX(PP_Grid[#Data],$DD631,59),0)</f>
        <v/>
      </c>
      <c r="BJ631">
        <f>IFERROR(INDEX(PP_Grid[#Data],$DD631,60),0)</f>
        <v/>
      </c>
      <c r="BK631">
        <f>IFERROR(INDEX(PP_Grid[#Data],$DD631,61),0)</f>
        <v/>
      </c>
      <c r="BL631">
        <f>IFERROR(INDEX(PP_Grid[#Data],$DD631,62),0)</f>
        <v/>
      </c>
      <c r="BM631">
        <f>IFERROR(INDEX(PP_Grid[#Data],$DD631,63),0)</f>
        <v/>
      </c>
      <c r="BN631">
        <f>IFERROR(INDEX(PP_Grid[#Data],$DD631,64),0)</f>
        <v/>
      </c>
      <c r="BO631">
        <f>IFERROR(INDEX(PP_Grid[#Data],$DD631,65),0)</f>
        <v/>
      </c>
      <c r="BP631">
        <f>IFERROR(INDEX(PP_Grid[#Data],$DD631,66),0)</f>
        <v/>
      </c>
      <c r="BQ631">
        <f>IFERROR(INDEX(PP_Grid[#Data],$DD631,67),0)</f>
        <v/>
      </c>
      <c r="BR631">
        <f>IFERROR(INDEX(PP_Grid[#Data],$DD631,68),0)</f>
        <v/>
      </c>
      <c r="BS631">
        <f>IFERROR(INDEX(PP_Grid[#Data],$DD631,69),0)</f>
        <v/>
      </c>
      <c r="BT631">
        <f>IFERROR(INDEX(PP_Grid[#Data],$DD631,70),0)</f>
        <v/>
      </c>
      <c r="BU631">
        <f>IFERROR(INDEX(PP_Grid[#Data],$DD631,71),0)</f>
        <v/>
      </c>
      <c r="BV631">
        <f>IFERROR(INDEX(PP_Grid[#Data],$DD631,72),0)</f>
        <v/>
      </c>
      <c r="BW631">
        <f>IFERROR(INDEX(PP_Grid[#Data],$DD631,73),0)</f>
        <v/>
      </c>
      <c r="BX631">
        <f>IFERROR(INDEX(PP_Grid[#Data],$DD631,74),0)</f>
        <v/>
      </c>
      <c r="BY631">
        <f>IFERROR(INDEX(PP_Grid[#Data],$DD631,75),0)</f>
        <v/>
      </c>
      <c r="BZ631">
        <f>IFERROR(INDEX(PP_Grid[#Data],$DD631,76),0)</f>
        <v/>
      </c>
      <c r="CA631">
        <f>IFERROR(INDEX(PP_Grid[#Data],$DD631,77),0)</f>
        <v/>
      </c>
      <c r="CB631">
        <f>IFERROR(INDEX(PP_Grid[#Data],$DD631,78),0)</f>
        <v/>
      </c>
      <c r="CC631">
        <f>IFERROR(INDEX(PP_Grid[#Data],$DD631,79),0)</f>
        <v/>
      </c>
      <c r="CD631">
        <f>IFERROR(INDEX(PP_Grid[#Data],$DD631,80),0)</f>
        <v/>
      </c>
      <c r="CE631">
        <f>IFERROR(INDEX(PP_Grid[#Data],$DD631,81),0)</f>
        <v/>
      </c>
      <c r="CF631">
        <f>IFERROR(INDEX(PP_Grid[#Data],$DD631,82),0)</f>
        <v/>
      </c>
      <c r="CG631">
        <f>IFERROR(INDEX(PP_Grid[#Data],$DD631,83),0)</f>
        <v/>
      </c>
      <c r="CH631">
        <f>IFERROR(INDEX(PP_Grid[#Data],$DD631,84),0)</f>
        <v/>
      </c>
      <c r="CI631">
        <f>IFERROR(INDEX(PP_Grid[#Data],$DD631,85),0)</f>
        <v/>
      </c>
      <c r="CJ631">
        <f>IFERROR(INDEX(PP_Grid[#Data],$DD631,86),0)</f>
        <v/>
      </c>
      <c r="CK631">
        <f>IFERROR(INDEX(PP_Grid[#Data],$DD631,87),0)</f>
        <v/>
      </c>
      <c r="CL631">
        <f>IFERROR(INDEX(PP_Grid[#Data],$DD631,88),0)</f>
        <v/>
      </c>
      <c r="CM631">
        <f>IFERROR(INDEX(PP_Grid[#Data],$DD631,89),0)</f>
        <v/>
      </c>
      <c r="CN631">
        <f>IFERROR(INDEX(PP_Grid[#Data],$DD631,90),0)</f>
        <v/>
      </c>
      <c r="CO631">
        <f>IFERROR(INDEX(PP_Grid[#Data],$DD631,91),0)</f>
        <v/>
      </c>
      <c r="CP631">
        <f>IFERROR(INDEX(PP_Grid[#Data],$DD631,92),0)</f>
        <v/>
      </c>
      <c r="CQ631">
        <f>IFERROR(INDEX(PP_Grid[#Data],$DD631,93),0)</f>
        <v/>
      </c>
      <c r="CR631">
        <f>IFERROR(INDEX(PP_Grid[#Data],$DD631,94),0)</f>
        <v/>
      </c>
      <c r="CS631">
        <f>IFERROR(INDEX(PP_Grid[#Data],$DD631,95),0)</f>
        <v/>
      </c>
      <c r="CT631">
        <f>IFERROR(INDEX(PP_Grid[#Data],$DD631,96),0)</f>
        <v/>
      </c>
      <c r="CU631">
        <f>IFERROR(INDEX(PP_Grid[#Data],$DD631,97),0)</f>
        <v/>
      </c>
      <c r="CV631">
        <f>IFERROR(INDEX(PP_Grid[#Data],$DD631,98),0)</f>
        <v/>
      </c>
      <c r="CW631">
        <f>IFERROR(INDEX(PP_Grid[#Data],$DD631,99),0)</f>
        <v/>
      </c>
      <c r="CX631">
        <f>IFERROR(INDEX(PP_Grid[#Data],$DD631,100),0)</f>
        <v/>
      </c>
      <c r="CY631">
        <f>IFERROR(INDEX(PP_Grid[#Data],$DD631,101),0)</f>
        <v/>
      </c>
      <c r="CZ631">
        <f>IFERROR(INDEX(PP_Grid[#Data],$DD631,102),0)</f>
        <v/>
      </c>
      <c r="DA631">
        <f>IFERROR(INDEX(PP_Grid[#Data],$DD631,103),0)</f>
        <v/>
      </c>
      <c r="DB631">
        <f>IFERROR(INDEX(PP_Grid[#Data],$DD631,104),0)</f>
        <v/>
      </c>
      <c r="DC631">
        <f>IFERROR(INDEX(PP_Grid[#Data],$DD631,105),0)</f>
        <v/>
      </c>
      <c r="DD631" s="7">
        <f>IFERROR(MATCH($B631,PP_Grid[Intermediate],0),99999)</f>
        <v/>
      </c>
    </row>
    <row r="632">
      <c r="B632" t="inlineStr">
        <is>
          <t>使用量(kg)</t>
        </is>
      </c>
      <c r="C632">
        <f>SUMIFS(M_BOM[RM_Qty_Per_Batch],M_BOM[Intermediate],$B631,M_BOM[Part Name],$A580)</f>
        <v/>
      </c>
      <c r="D632">
        <f>$C632*D631</f>
        <v/>
      </c>
      <c r="E632">
        <f>$C632*E631</f>
        <v/>
      </c>
      <c r="F632">
        <f>$C632*F631</f>
        <v/>
      </c>
      <c r="G632">
        <f>$C632*G631</f>
        <v/>
      </c>
      <c r="H632">
        <f>$C632*H631</f>
        <v/>
      </c>
      <c r="I632">
        <f>$C632*I631</f>
        <v/>
      </c>
      <c r="J632">
        <f>$C632*J631</f>
        <v/>
      </c>
      <c r="K632">
        <f>$C632*K631</f>
        <v/>
      </c>
      <c r="L632">
        <f>$C632*L631</f>
        <v/>
      </c>
      <c r="M632">
        <f>$C632*M631</f>
        <v/>
      </c>
      <c r="N632">
        <f>$C632*N631</f>
        <v/>
      </c>
      <c r="O632">
        <f>$C632*O631</f>
        <v/>
      </c>
      <c r="P632">
        <f>$C632*P631</f>
        <v/>
      </c>
      <c r="Q632">
        <f>$C632*Q631</f>
        <v/>
      </c>
      <c r="R632">
        <f>$C632*R631</f>
        <v/>
      </c>
      <c r="S632">
        <f>$C632*S631</f>
        <v/>
      </c>
      <c r="T632">
        <f>$C632*T631</f>
        <v/>
      </c>
      <c r="U632">
        <f>$C632*U631</f>
        <v/>
      </c>
      <c r="V632">
        <f>$C632*V631</f>
        <v/>
      </c>
      <c r="W632">
        <f>$C632*W631</f>
        <v/>
      </c>
      <c r="X632">
        <f>$C632*X631</f>
        <v/>
      </c>
      <c r="Y632">
        <f>$C632*Y631</f>
        <v/>
      </c>
      <c r="Z632">
        <f>$C632*Z631</f>
        <v/>
      </c>
      <c r="AA632">
        <f>$C632*AA631</f>
        <v/>
      </c>
      <c r="AB632">
        <f>$C632*AB631</f>
        <v/>
      </c>
      <c r="AC632">
        <f>$C632*AC631</f>
        <v/>
      </c>
      <c r="AD632">
        <f>$C632*AD631</f>
        <v/>
      </c>
      <c r="AE632">
        <f>$C632*AE631</f>
        <v/>
      </c>
      <c r="AF632">
        <f>$C632*AF631</f>
        <v/>
      </c>
      <c r="AG632">
        <f>$C632*AG631</f>
        <v/>
      </c>
      <c r="AH632">
        <f>$C632*AH631</f>
        <v/>
      </c>
      <c r="AI632">
        <f>$C632*AI631</f>
        <v/>
      </c>
      <c r="AJ632">
        <f>$C632*AJ631</f>
        <v/>
      </c>
      <c r="AK632">
        <f>$C632*AK631</f>
        <v/>
      </c>
      <c r="AL632">
        <f>$C632*AL631</f>
        <v/>
      </c>
      <c r="AM632">
        <f>$C632*AM631</f>
        <v/>
      </c>
      <c r="AN632">
        <f>$C632*AN631</f>
        <v/>
      </c>
      <c r="AO632">
        <f>$C632*AO631</f>
        <v/>
      </c>
      <c r="AP632">
        <f>$C632*AP631</f>
        <v/>
      </c>
      <c r="AQ632">
        <f>$C632*AQ631</f>
        <v/>
      </c>
      <c r="AR632">
        <f>$C632*AR631</f>
        <v/>
      </c>
      <c r="AS632">
        <f>$C632*AS631</f>
        <v/>
      </c>
      <c r="AT632">
        <f>$C632*AT631</f>
        <v/>
      </c>
      <c r="AU632">
        <f>$C632*AU631</f>
        <v/>
      </c>
      <c r="AV632">
        <f>$C632*AV631</f>
        <v/>
      </c>
      <c r="AW632">
        <f>$C632*AW631</f>
        <v/>
      </c>
      <c r="AX632">
        <f>$C632*AX631</f>
        <v/>
      </c>
      <c r="AY632">
        <f>$C632*AY631</f>
        <v/>
      </c>
      <c r="AZ632">
        <f>$C632*AZ631</f>
        <v/>
      </c>
      <c r="BA632">
        <f>$C632*BA631</f>
        <v/>
      </c>
      <c r="BB632">
        <f>$C632*BB631</f>
        <v/>
      </c>
      <c r="BC632">
        <f>$C632*BC631</f>
        <v/>
      </c>
      <c r="BD632">
        <f>$C632*BD631</f>
        <v/>
      </c>
      <c r="BE632">
        <f>$C632*BE631</f>
        <v/>
      </c>
      <c r="BF632">
        <f>$C632*BF631</f>
        <v/>
      </c>
      <c r="BG632">
        <f>$C632*BG631</f>
        <v/>
      </c>
      <c r="BH632">
        <f>$C632*BH631</f>
        <v/>
      </c>
      <c r="BI632">
        <f>$C632*BI631</f>
        <v/>
      </c>
      <c r="BJ632">
        <f>$C632*BJ631</f>
        <v/>
      </c>
      <c r="BK632">
        <f>$C632*BK631</f>
        <v/>
      </c>
      <c r="BL632">
        <f>$C632*BL631</f>
        <v/>
      </c>
      <c r="BM632">
        <f>$C632*BM631</f>
        <v/>
      </c>
      <c r="BN632">
        <f>$C632*BN631</f>
        <v/>
      </c>
      <c r="BO632">
        <f>$C632*BO631</f>
        <v/>
      </c>
      <c r="BP632">
        <f>$C632*BP631</f>
        <v/>
      </c>
      <c r="BQ632">
        <f>$C632*BQ631</f>
        <v/>
      </c>
      <c r="BR632">
        <f>$C632*BR631</f>
        <v/>
      </c>
      <c r="BS632">
        <f>$C632*BS631</f>
        <v/>
      </c>
      <c r="BT632">
        <f>$C632*BT631</f>
        <v/>
      </c>
      <c r="BU632">
        <f>$C632*BU631</f>
        <v/>
      </c>
      <c r="BV632">
        <f>$C632*BV631</f>
        <v/>
      </c>
      <c r="BW632">
        <f>$C632*BW631</f>
        <v/>
      </c>
      <c r="BX632">
        <f>$C632*BX631</f>
        <v/>
      </c>
      <c r="BY632">
        <f>$C632*BY631</f>
        <v/>
      </c>
      <c r="BZ632">
        <f>$C632*BZ631</f>
        <v/>
      </c>
      <c r="CA632">
        <f>$C632*CA631</f>
        <v/>
      </c>
      <c r="CB632">
        <f>$C632*CB631</f>
        <v/>
      </c>
      <c r="CC632">
        <f>$C632*CC631</f>
        <v/>
      </c>
      <c r="CD632">
        <f>$C632*CD631</f>
        <v/>
      </c>
      <c r="CE632">
        <f>$C632*CE631</f>
        <v/>
      </c>
      <c r="CF632">
        <f>$C632*CF631</f>
        <v/>
      </c>
      <c r="CG632">
        <f>$C632*CG631</f>
        <v/>
      </c>
      <c r="CH632">
        <f>$C632*CH631</f>
        <v/>
      </c>
      <c r="CI632">
        <f>$C632*CI631</f>
        <v/>
      </c>
      <c r="CJ632">
        <f>$C632*CJ631</f>
        <v/>
      </c>
      <c r="CK632">
        <f>$C632*CK631</f>
        <v/>
      </c>
      <c r="CL632">
        <f>$C632*CL631</f>
        <v/>
      </c>
      <c r="CM632">
        <f>$C632*CM631</f>
        <v/>
      </c>
      <c r="CN632">
        <f>$C632*CN631</f>
        <v/>
      </c>
      <c r="CO632">
        <f>$C632*CO631</f>
        <v/>
      </c>
      <c r="CP632">
        <f>$C632*CP631</f>
        <v/>
      </c>
      <c r="CQ632">
        <f>$C632*CQ631</f>
        <v/>
      </c>
      <c r="CR632">
        <f>$C632*CR631</f>
        <v/>
      </c>
      <c r="CS632">
        <f>$C632*CS631</f>
        <v/>
      </c>
      <c r="CT632">
        <f>$C632*CT631</f>
        <v/>
      </c>
      <c r="CU632">
        <f>$C632*CU631</f>
        <v/>
      </c>
      <c r="CV632">
        <f>$C632*CV631</f>
        <v/>
      </c>
      <c r="CW632">
        <f>$C632*CW631</f>
        <v/>
      </c>
      <c r="CX632">
        <f>$C632*CX631</f>
        <v/>
      </c>
      <c r="CY632">
        <f>$C632*CY631</f>
        <v/>
      </c>
      <c r="CZ632">
        <f>$C632*CZ631</f>
        <v/>
      </c>
      <c r="DA632">
        <f>$C632*DA631</f>
        <v/>
      </c>
      <c r="DB632">
        <f>$C632*DB631</f>
        <v/>
      </c>
      <c r="DC632">
        <f>$C632*DC631</f>
        <v/>
      </c>
    </row>
    <row r="633">
      <c r="B633" t="inlineStr">
        <is>
          <t>No of times used</t>
        </is>
      </c>
      <c r="C633" t="inlineStr">
        <is>
          <t>No. of batches</t>
        </is>
      </c>
      <c r="D633">
        <f>IFERROR(INDEX(PP_Grid[#Data],$DD633,2),0)</f>
        <v/>
      </c>
      <c r="E633">
        <f>IFERROR(INDEX(PP_Grid[#Data],$DD633,3),0)</f>
        <v/>
      </c>
      <c r="F633">
        <f>IFERROR(INDEX(PP_Grid[#Data],$DD633,4),0)</f>
        <v/>
      </c>
      <c r="G633">
        <f>IFERROR(INDEX(PP_Grid[#Data],$DD633,5),0)</f>
        <v/>
      </c>
      <c r="H633">
        <f>IFERROR(INDEX(PP_Grid[#Data],$DD633,6),0)</f>
        <v/>
      </c>
      <c r="I633">
        <f>IFERROR(INDEX(PP_Grid[#Data],$DD633,7),0)</f>
        <v/>
      </c>
      <c r="J633">
        <f>IFERROR(INDEX(PP_Grid[#Data],$DD633,8),0)</f>
        <v/>
      </c>
      <c r="K633">
        <f>IFERROR(INDEX(PP_Grid[#Data],$DD633,9),0)</f>
        <v/>
      </c>
      <c r="L633">
        <f>IFERROR(INDEX(PP_Grid[#Data],$DD633,10),0)</f>
        <v/>
      </c>
      <c r="M633">
        <f>IFERROR(INDEX(PP_Grid[#Data],$DD633,11),0)</f>
        <v/>
      </c>
      <c r="N633">
        <f>IFERROR(INDEX(PP_Grid[#Data],$DD633,12),0)</f>
        <v/>
      </c>
      <c r="O633">
        <f>IFERROR(INDEX(PP_Grid[#Data],$DD633,13),0)</f>
        <v/>
      </c>
      <c r="P633">
        <f>IFERROR(INDEX(PP_Grid[#Data],$DD633,14),0)</f>
        <v/>
      </c>
      <c r="Q633">
        <f>IFERROR(INDEX(PP_Grid[#Data],$DD633,15),0)</f>
        <v/>
      </c>
      <c r="R633">
        <f>IFERROR(INDEX(PP_Grid[#Data],$DD633,16),0)</f>
        <v/>
      </c>
      <c r="S633">
        <f>IFERROR(INDEX(PP_Grid[#Data],$DD633,17),0)</f>
        <v/>
      </c>
      <c r="T633">
        <f>IFERROR(INDEX(PP_Grid[#Data],$DD633,18),0)</f>
        <v/>
      </c>
      <c r="U633">
        <f>IFERROR(INDEX(PP_Grid[#Data],$DD633,19),0)</f>
        <v/>
      </c>
      <c r="V633">
        <f>IFERROR(INDEX(PP_Grid[#Data],$DD633,20),0)</f>
        <v/>
      </c>
      <c r="W633">
        <f>IFERROR(INDEX(PP_Grid[#Data],$DD633,21),0)</f>
        <v/>
      </c>
      <c r="X633">
        <f>IFERROR(INDEX(PP_Grid[#Data],$DD633,22),0)</f>
        <v/>
      </c>
      <c r="Y633">
        <f>IFERROR(INDEX(PP_Grid[#Data],$DD633,23),0)</f>
        <v/>
      </c>
      <c r="Z633">
        <f>IFERROR(INDEX(PP_Grid[#Data],$DD633,24),0)</f>
        <v/>
      </c>
      <c r="AA633">
        <f>IFERROR(INDEX(PP_Grid[#Data],$DD633,25),0)</f>
        <v/>
      </c>
      <c r="AB633">
        <f>IFERROR(INDEX(PP_Grid[#Data],$DD633,26),0)</f>
        <v/>
      </c>
      <c r="AC633">
        <f>IFERROR(INDEX(PP_Grid[#Data],$DD633,27),0)</f>
        <v/>
      </c>
      <c r="AD633">
        <f>IFERROR(INDEX(PP_Grid[#Data],$DD633,28),0)</f>
        <v/>
      </c>
      <c r="AE633">
        <f>IFERROR(INDEX(PP_Grid[#Data],$DD633,29),0)</f>
        <v/>
      </c>
      <c r="AF633">
        <f>IFERROR(INDEX(PP_Grid[#Data],$DD633,30),0)</f>
        <v/>
      </c>
      <c r="AG633">
        <f>IFERROR(INDEX(PP_Grid[#Data],$DD633,31),0)</f>
        <v/>
      </c>
      <c r="AH633">
        <f>IFERROR(INDEX(PP_Grid[#Data],$DD633,32),0)</f>
        <v/>
      </c>
      <c r="AI633">
        <f>IFERROR(INDEX(PP_Grid[#Data],$DD633,33),0)</f>
        <v/>
      </c>
      <c r="AJ633">
        <f>IFERROR(INDEX(PP_Grid[#Data],$DD633,34),0)</f>
        <v/>
      </c>
      <c r="AK633">
        <f>IFERROR(INDEX(PP_Grid[#Data],$DD633,35),0)</f>
        <v/>
      </c>
      <c r="AL633">
        <f>IFERROR(INDEX(PP_Grid[#Data],$DD633,36),0)</f>
        <v/>
      </c>
      <c r="AM633">
        <f>IFERROR(INDEX(PP_Grid[#Data],$DD633,37),0)</f>
        <v/>
      </c>
      <c r="AN633">
        <f>IFERROR(INDEX(PP_Grid[#Data],$DD633,38),0)</f>
        <v/>
      </c>
      <c r="AO633">
        <f>IFERROR(INDEX(PP_Grid[#Data],$DD633,39),0)</f>
        <v/>
      </c>
      <c r="AP633">
        <f>IFERROR(INDEX(PP_Grid[#Data],$DD633,40),0)</f>
        <v/>
      </c>
      <c r="AQ633">
        <f>IFERROR(INDEX(PP_Grid[#Data],$DD633,41),0)</f>
        <v/>
      </c>
      <c r="AR633">
        <f>IFERROR(INDEX(PP_Grid[#Data],$DD633,42),0)</f>
        <v/>
      </c>
      <c r="AS633">
        <f>IFERROR(INDEX(PP_Grid[#Data],$DD633,43),0)</f>
        <v/>
      </c>
      <c r="AT633">
        <f>IFERROR(INDEX(PP_Grid[#Data],$DD633,44),0)</f>
        <v/>
      </c>
      <c r="AU633">
        <f>IFERROR(INDEX(PP_Grid[#Data],$DD633,45),0)</f>
        <v/>
      </c>
      <c r="AV633">
        <f>IFERROR(INDEX(PP_Grid[#Data],$DD633,46),0)</f>
        <v/>
      </c>
      <c r="AW633">
        <f>IFERROR(INDEX(PP_Grid[#Data],$DD633,47),0)</f>
        <v/>
      </c>
      <c r="AX633">
        <f>IFERROR(INDEX(PP_Grid[#Data],$DD633,48),0)</f>
        <v/>
      </c>
      <c r="AY633">
        <f>IFERROR(INDEX(PP_Grid[#Data],$DD633,49),0)</f>
        <v/>
      </c>
      <c r="AZ633">
        <f>IFERROR(INDEX(PP_Grid[#Data],$DD633,50),0)</f>
        <v/>
      </c>
      <c r="BA633">
        <f>IFERROR(INDEX(PP_Grid[#Data],$DD633,51),0)</f>
        <v/>
      </c>
      <c r="BB633">
        <f>IFERROR(INDEX(PP_Grid[#Data],$DD633,52),0)</f>
        <v/>
      </c>
      <c r="BC633">
        <f>IFERROR(INDEX(PP_Grid[#Data],$DD633,53),0)</f>
        <v/>
      </c>
      <c r="BD633">
        <f>IFERROR(INDEX(PP_Grid[#Data],$DD633,54),0)</f>
        <v/>
      </c>
      <c r="BE633">
        <f>IFERROR(INDEX(PP_Grid[#Data],$DD633,55),0)</f>
        <v/>
      </c>
      <c r="BF633">
        <f>IFERROR(INDEX(PP_Grid[#Data],$DD633,56),0)</f>
        <v/>
      </c>
      <c r="BG633">
        <f>IFERROR(INDEX(PP_Grid[#Data],$DD633,57),0)</f>
        <v/>
      </c>
      <c r="BH633">
        <f>IFERROR(INDEX(PP_Grid[#Data],$DD633,58),0)</f>
        <v/>
      </c>
      <c r="BI633">
        <f>IFERROR(INDEX(PP_Grid[#Data],$DD633,59),0)</f>
        <v/>
      </c>
      <c r="BJ633">
        <f>IFERROR(INDEX(PP_Grid[#Data],$DD633,60),0)</f>
        <v/>
      </c>
      <c r="BK633">
        <f>IFERROR(INDEX(PP_Grid[#Data],$DD633,61),0)</f>
        <v/>
      </c>
      <c r="BL633">
        <f>IFERROR(INDEX(PP_Grid[#Data],$DD633,62),0)</f>
        <v/>
      </c>
      <c r="BM633">
        <f>IFERROR(INDEX(PP_Grid[#Data],$DD633,63),0)</f>
        <v/>
      </c>
      <c r="BN633">
        <f>IFERROR(INDEX(PP_Grid[#Data],$DD633,64),0)</f>
        <v/>
      </c>
      <c r="BO633">
        <f>IFERROR(INDEX(PP_Grid[#Data],$DD633,65),0)</f>
        <v/>
      </c>
      <c r="BP633">
        <f>IFERROR(INDEX(PP_Grid[#Data],$DD633,66),0)</f>
        <v/>
      </c>
      <c r="BQ633">
        <f>IFERROR(INDEX(PP_Grid[#Data],$DD633,67),0)</f>
        <v/>
      </c>
      <c r="BR633">
        <f>IFERROR(INDEX(PP_Grid[#Data],$DD633,68),0)</f>
        <v/>
      </c>
      <c r="BS633">
        <f>IFERROR(INDEX(PP_Grid[#Data],$DD633,69),0)</f>
        <v/>
      </c>
      <c r="BT633">
        <f>IFERROR(INDEX(PP_Grid[#Data],$DD633,70),0)</f>
        <v/>
      </c>
      <c r="BU633">
        <f>IFERROR(INDEX(PP_Grid[#Data],$DD633,71),0)</f>
        <v/>
      </c>
      <c r="BV633">
        <f>IFERROR(INDEX(PP_Grid[#Data],$DD633,72),0)</f>
        <v/>
      </c>
      <c r="BW633">
        <f>IFERROR(INDEX(PP_Grid[#Data],$DD633,73),0)</f>
        <v/>
      </c>
      <c r="BX633">
        <f>IFERROR(INDEX(PP_Grid[#Data],$DD633,74),0)</f>
        <v/>
      </c>
      <c r="BY633">
        <f>IFERROR(INDEX(PP_Grid[#Data],$DD633,75),0)</f>
        <v/>
      </c>
      <c r="BZ633">
        <f>IFERROR(INDEX(PP_Grid[#Data],$DD633,76),0)</f>
        <v/>
      </c>
      <c r="CA633">
        <f>IFERROR(INDEX(PP_Grid[#Data],$DD633,77),0)</f>
        <v/>
      </c>
      <c r="CB633">
        <f>IFERROR(INDEX(PP_Grid[#Data],$DD633,78),0)</f>
        <v/>
      </c>
      <c r="CC633">
        <f>IFERROR(INDEX(PP_Grid[#Data],$DD633,79),0)</f>
        <v/>
      </c>
      <c r="CD633">
        <f>IFERROR(INDEX(PP_Grid[#Data],$DD633,80),0)</f>
        <v/>
      </c>
      <c r="CE633">
        <f>IFERROR(INDEX(PP_Grid[#Data],$DD633,81),0)</f>
        <v/>
      </c>
      <c r="CF633">
        <f>IFERROR(INDEX(PP_Grid[#Data],$DD633,82),0)</f>
        <v/>
      </c>
      <c r="CG633">
        <f>IFERROR(INDEX(PP_Grid[#Data],$DD633,83),0)</f>
        <v/>
      </c>
      <c r="CH633">
        <f>IFERROR(INDEX(PP_Grid[#Data],$DD633,84),0)</f>
        <v/>
      </c>
      <c r="CI633">
        <f>IFERROR(INDEX(PP_Grid[#Data],$DD633,85),0)</f>
        <v/>
      </c>
      <c r="CJ633">
        <f>IFERROR(INDEX(PP_Grid[#Data],$DD633,86),0)</f>
        <v/>
      </c>
      <c r="CK633">
        <f>IFERROR(INDEX(PP_Grid[#Data],$DD633,87),0)</f>
        <v/>
      </c>
      <c r="CL633">
        <f>IFERROR(INDEX(PP_Grid[#Data],$DD633,88),0)</f>
        <v/>
      </c>
      <c r="CM633">
        <f>IFERROR(INDEX(PP_Grid[#Data],$DD633,89),0)</f>
        <v/>
      </c>
      <c r="CN633">
        <f>IFERROR(INDEX(PP_Grid[#Data],$DD633,90),0)</f>
        <v/>
      </c>
      <c r="CO633">
        <f>IFERROR(INDEX(PP_Grid[#Data],$DD633,91),0)</f>
        <v/>
      </c>
      <c r="CP633">
        <f>IFERROR(INDEX(PP_Grid[#Data],$DD633,92),0)</f>
        <v/>
      </c>
      <c r="CQ633">
        <f>IFERROR(INDEX(PP_Grid[#Data],$DD633,93),0)</f>
        <v/>
      </c>
      <c r="CR633">
        <f>IFERROR(INDEX(PP_Grid[#Data],$DD633,94),0)</f>
        <v/>
      </c>
      <c r="CS633">
        <f>IFERROR(INDEX(PP_Grid[#Data],$DD633,95),0)</f>
        <v/>
      </c>
      <c r="CT633">
        <f>IFERROR(INDEX(PP_Grid[#Data],$DD633,96),0)</f>
        <v/>
      </c>
      <c r="CU633">
        <f>IFERROR(INDEX(PP_Grid[#Data],$DD633,97),0)</f>
        <v/>
      </c>
      <c r="CV633">
        <f>IFERROR(INDEX(PP_Grid[#Data],$DD633,98),0)</f>
        <v/>
      </c>
      <c r="CW633">
        <f>IFERROR(INDEX(PP_Grid[#Data],$DD633,99),0)</f>
        <v/>
      </c>
      <c r="CX633">
        <f>IFERROR(INDEX(PP_Grid[#Data],$DD633,100),0)</f>
        <v/>
      </c>
      <c r="CY633">
        <f>IFERROR(INDEX(PP_Grid[#Data],$DD633,101),0)</f>
        <v/>
      </c>
      <c r="CZ633">
        <f>IFERROR(INDEX(PP_Grid[#Data],$DD633,102),0)</f>
        <v/>
      </c>
      <c r="DA633">
        <f>IFERROR(INDEX(PP_Grid[#Data],$DD633,103),0)</f>
        <v/>
      </c>
      <c r="DB633">
        <f>IFERROR(INDEX(PP_Grid[#Data],$DD633,104),0)</f>
        <v/>
      </c>
      <c r="DC633">
        <f>IFERROR(INDEX(PP_Grid[#Data],$DD633,105),0)</f>
        <v/>
      </c>
      <c r="DD633" s="7">
        <f>IFERROR(MATCH($B633,PP_Grid[Intermediate],0),99999)</f>
        <v/>
      </c>
    </row>
    <row r="634">
      <c r="B634" t="inlineStr">
        <is>
          <t>使用量(kg)</t>
        </is>
      </c>
      <c r="C634">
        <f>SUMIFS(M_BOM[RM_Qty_Per_Batch],M_BOM[Intermediate],$B633,M_BOM[Part Name],$A580)</f>
        <v/>
      </c>
      <c r="D634">
        <f>$C634*D633</f>
        <v/>
      </c>
      <c r="E634">
        <f>$C634*E633</f>
        <v/>
      </c>
      <c r="F634">
        <f>$C634*F633</f>
        <v/>
      </c>
      <c r="G634">
        <f>$C634*G633</f>
        <v/>
      </c>
      <c r="H634">
        <f>$C634*H633</f>
        <v/>
      </c>
      <c r="I634">
        <f>$C634*I633</f>
        <v/>
      </c>
      <c r="J634">
        <f>$C634*J633</f>
        <v/>
      </c>
      <c r="K634">
        <f>$C634*K633</f>
        <v/>
      </c>
      <c r="L634">
        <f>$C634*L633</f>
        <v/>
      </c>
      <c r="M634">
        <f>$C634*M633</f>
        <v/>
      </c>
      <c r="N634">
        <f>$C634*N633</f>
        <v/>
      </c>
      <c r="O634">
        <f>$C634*O633</f>
        <v/>
      </c>
      <c r="P634">
        <f>$C634*P633</f>
        <v/>
      </c>
      <c r="Q634">
        <f>$C634*Q633</f>
        <v/>
      </c>
      <c r="R634">
        <f>$C634*R633</f>
        <v/>
      </c>
      <c r="S634">
        <f>$C634*S633</f>
        <v/>
      </c>
      <c r="T634">
        <f>$C634*T633</f>
        <v/>
      </c>
      <c r="U634">
        <f>$C634*U633</f>
        <v/>
      </c>
      <c r="V634">
        <f>$C634*V633</f>
        <v/>
      </c>
      <c r="W634">
        <f>$C634*W633</f>
        <v/>
      </c>
      <c r="X634">
        <f>$C634*X633</f>
        <v/>
      </c>
      <c r="Y634">
        <f>$C634*Y633</f>
        <v/>
      </c>
      <c r="Z634">
        <f>$C634*Z633</f>
        <v/>
      </c>
      <c r="AA634">
        <f>$C634*AA633</f>
        <v/>
      </c>
      <c r="AB634">
        <f>$C634*AB633</f>
        <v/>
      </c>
      <c r="AC634">
        <f>$C634*AC633</f>
        <v/>
      </c>
      <c r="AD634">
        <f>$C634*AD633</f>
        <v/>
      </c>
      <c r="AE634">
        <f>$C634*AE633</f>
        <v/>
      </c>
      <c r="AF634">
        <f>$C634*AF633</f>
        <v/>
      </c>
      <c r="AG634">
        <f>$C634*AG633</f>
        <v/>
      </c>
      <c r="AH634">
        <f>$C634*AH633</f>
        <v/>
      </c>
      <c r="AI634">
        <f>$C634*AI633</f>
        <v/>
      </c>
      <c r="AJ634">
        <f>$C634*AJ633</f>
        <v/>
      </c>
      <c r="AK634">
        <f>$C634*AK633</f>
        <v/>
      </c>
      <c r="AL634">
        <f>$C634*AL633</f>
        <v/>
      </c>
      <c r="AM634">
        <f>$C634*AM633</f>
        <v/>
      </c>
      <c r="AN634">
        <f>$C634*AN633</f>
        <v/>
      </c>
      <c r="AO634">
        <f>$C634*AO633</f>
        <v/>
      </c>
      <c r="AP634">
        <f>$C634*AP633</f>
        <v/>
      </c>
      <c r="AQ634">
        <f>$C634*AQ633</f>
        <v/>
      </c>
      <c r="AR634">
        <f>$C634*AR633</f>
        <v/>
      </c>
      <c r="AS634">
        <f>$C634*AS633</f>
        <v/>
      </c>
      <c r="AT634">
        <f>$C634*AT633</f>
        <v/>
      </c>
      <c r="AU634">
        <f>$C634*AU633</f>
        <v/>
      </c>
      <c r="AV634">
        <f>$C634*AV633</f>
        <v/>
      </c>
      <c r="AW634">
        <f>$C634*AW633</f>
        <v/>
      </c>
      <c r="AX634">
        <f>$C634*AX633</f>
        <v/>
      </c>
      <c r="AY634">
        <f>$C634*AY633</f>
        <v/>
      </c>
      <c r="AZ634">
        <f>$C634*AZ633</f>
        <v/>
      </c>
      <c r="BA634">
        <f>$C634*BA633</f>
        <v/>
      </c>
      <c r="BB634">
        <f>$C634*BB633</f>
        <v/>
      </c>
      <c r="BC634">
        <f>$C634*BC633</f>
        <v/>
      </c>
      <c r="BD634">
        <f>$C634*BD633</f>
        <v/>
      </c>
      <c r="BE634">
        <f>$C634*BE633</f>
        <v/>
      </c>
      <c r="BF634">
        <f>$C634*BF633</f>
        <v/>
      </c>
      <c r="BG634">
        <f>$C634*BG633</f>
        <v/>
      </c>
      <c r="BH634">
        <f>$C634*BH633</f>
        <v/>
      </c>
      <c r="BI634">
        <f>$C634*BI633</f>
        <v/>
      </c>
      <c r="BJ634">
        <f>$C634*BJ633</f>
        <v/>
      </c>
      <c r="BK634">
        <f>$C634*BK633</f>
        <v/>
      </c>
      <c r="BL634">
        <f>$C634*BL633</f>
        <v/>
      </c>
      <c r="BM634">
        <f>$C634*BM633</f>
        <v/>
      </c>
      <c r="BN634">
        <f>$C634*BN633</f>
        <v/>
      </c>
      <c r="BO634">
        <f>$C634*BO633</f>
        <v/>
      </c>
      <c r="BP634">
        <f>$C634*BP633</f>
        <v/>
      </c>
      <c r="BQ634">
        <f>$C634*BQ633</f>
        <v/>
      </c>
      <c r="BR634">
        <f>$C634*BR633</f>
        <v/>
      </c>
      <c r="BS634">
        <f>$C634*BS633</f>
        <v/>
      </c>
      <c r="BT634">
        <f>$C634*BT633</f>
        <v/>
      </c>
      <c r="BU634">
        <f>$C634*BU633</f>
        <v/>
      </c>
      <c r="BV634">
        <f>$C634*BV633</f>
        <v/>
      </c>
      <c r="BW634">
        <f>$C634*BW633</f>
        <v/>
      </c>
      <c r="BX634">
        <f>$C634*BX633</f>
        <v/>
      </c>
      <c r="BY634">
        <f>$C634*BY633</f>
        <v/>
      </c>
      <c r="BZ634">
        <f>$C634*BZ633</f>
        <v/>
      </c>
      <c r="CA634">
        <f>$C634*CA633</f>
        <v/>
      </c>
      <c r="CB634">
        <f>$C634*CB633</f>
        <v/>
      </c>
      <c r="CC634">
        <f>$C634*CC633</f>
        <v/>
      </c>
      <c r="CD634">
        <f>$C634*CD633</f>
        <v/>
      </c>
      <c r="CE634">
        <f>$C634*CE633</f>
        <v/>
      </c>
      <c r="CF634">
        <f>$C634*CF633</f>
        <v/>
      </c>
      <c r="CG634">
        <f>$C634*CG633</f>
        <v/>
      </c>
      <c r="CH634">
        <f>$C634*CH633</f>
        <v/>
      </c>
      <c r="CI634">
        <f>$C634*CI633</f>
        <v/>
      </c>
      <c r="CJ634">
        <f>$C634*CJ633</f>
        <v/>
      </c>
      <c r="CK634">
        <f>$C634*CK633</f>
        <v/>
      </c>
      <c r="CL634">
        <f>$C634*CL633</f>
        <v/>
      </c>
      <c r="CM634">
        <f>$C634*CM633</f>
        <v/>
      </c>
      <c r="CN634">
        <f>$C634*CN633</f>
        <v/>
      </c>
      <c r="CO634">
        <f>$C634*CO633</f>
        <v/>
      </c>
      <c r="CP634">
        <f>$C634*CP633</f>
        <v/>
      </c>
      <c r="CQ634">
        <f>$C634*CQ633</f>
        <v/>
      </c>
      <c r="CR634">
        <f>$C634*CR633</f>
        <v/>
      </c>
      <c r="CS634">
        <f>$C634*CS633</f>
        <v/>
      </c>
      <c r="CT634">
        <f>$C634*CT633</f>
        <v/>
      </c>
      <c r="CU634">
        <f>$C634*CU633</f>
        <v/>
      </c>
      <c r="CV634">
        <f>$C634*CV633</f>
        <v/>
      </c>
      <c r="CW634">
        <f>$C634*CW633</f>
        <v/>
      </c>
      <c r="CX634">
        <f>$C634*CX633</f>
        <v/>
      </c>
      <c r="CY634">
        <f>$C634*CY633</f>
        <v/>
      </c>
      <c r="CZ634">
        <f>$C634*CZ633</f>
        <v/>
      </c>
      <c r="DA634">
        <f>$C634*DA633</f>
        <v/>
      </c>
      <c r="DB634">
        <f>$C634*DB633</f>
        <v/>
      </c>
      <c r="DC634">
        <f>$C634*DC633</f>
        <v/>
      </c>
    </row>
    <row r="635">
      <c r="B635" t="inlineStr">
        <is>
          <t>F2090</t>
        </is>
      </c>
      <c r="C635" t="inlineStr">
        <is>
          <t>No. of batches</t>
        </is>
      </c>
      <c r="D635">
        <f>IFERROR(INDEX(PP_Grid[#Data],$DD635,2),0)</f>
        <v/>
      </c>
      <c r="E635">
        <f>IFERROR(INDEX(PP_Grid[#Data],$DD635,3),0)</f>
        <v/>
      </c>
      <c r="F635">
        <f>IFERROR(INDEX(PP_Grid[#Data],$DD635,4),0)</f>
        <v/>
      </c>
      <c r="G635">
        <f>IFERROR(INDEX(PP_Grid[#Data],$DD635,5),0)</f>
        <v/>
      </c>
      <c r="H635">
        <f>IFERROR(INDEX(PP_Grid[#Data],$DD635,6),0)</f>
        <v/>
      </c>
      <c r="I635">
        <f>IFERROR(INDEX(PP_Grid[#Data],$DD635,7),0)</f>
        <v/>
      </c>
      <c r="J635">
        <f>IFERROR(INDEX(PP_Grid[#Data],$DD635,8),0)</f>
        <v/>
      </c>
      <c r="K635">
        <f>IFERROR(INDEX(PP_Grid[#Data],$DD635,9),0)</f>
        <v/>
      </c>
      <c r="L635">
        <f>IFERROR(INDEX(PP_Grid[#Data],$DD635,10),0)</f>
        <v/>
      </c>
      <c r="M635">
        <f>IFERROR(INDEX(PP_Grid[#Data],$DD635,11),0)</f>
        <v/>
      </c>
      <c r="N635">
        <f>IFERROR(INDEX(PP_Grid[#Data],$DD635,12),0)</f>
        <v/>
      </c>
      <c r="O635">
        <f>IFERROR(INDEX(PP_Grid[#Data],$DD635,13),0)</f>
        <v/>
      </c>
      <c r="P635">
        <f>IFERROR(INDEX(PP_Grid[#Data],$DD635,14),0)</f>
        <v/>
      </c>
      <c r="Q635">
        <f>IFERROR(INDEX(PP_Grid[#Data],$DD635,15),0)</f>
        <v/>
      </c>
      <c r="R635">
        <f>IFERROR(INDEX(PP_Grid[#Data],$DD635,16),0)</f>
        <v/>
      </c>
      <c r="S635">
        <f>IFERROR(INDEX(PP_Grid[#Data],$DD635,17),0)</f>
        <v/>
      </c>
      <c r="T635">
        <f>IFERROR(INDEX(PP_Grid[#Data],$DD635,18),0)</f>
        <v/>
      </c>
      <c r="U635">
        <f>IFERROR(INDEX(PP_Grid[#Data],$DD635,19),0)</f>
        <v/>
      </c>
      <c r="V635">
        <f>IFERROR(INDEX(PP_Grid[#Data],$DD635,20),0)</f>
        <v/>
      </c>
      <c r="W635">
        <f>IFERROR(INDEX(PP_Grid[#Data],$DD635,21),0)</f>
        <v/>
      </c>
      <c r="X635">
        <f>IFERROR(INDEX(PP_Grid[#Data],$DD635,22),0)</f>
        <v/>
      </c>
      <c r="Y635">
        <f>IFERROR(INDEX(PP_Grid[#Data],$DD635,23),0)</f>
        <v/>
      </c>
      <c r="Z635">
        <f>IFERROR(INDEX(PP_Grid[#Data],$DD635,24),0)</f>
        <v/>
      </c>
      <c r="AA635">
        <f>IFERROR(INDEX(PP_Grid[#Data],$DD635,25),0)</f>
        <v/>
      </c>
      <c r="AB635">
        <f>IFERROR(INDEX(PP_Grid[#Data],$DD635,26),0)</f>
        <v/>
      </c>
      <c r="AC635">
        <f>IFERROR(INDEX(PP_Grid[#Data],$DD635,27),0)</f>
        <v/>
      </c>
      <c r="AD635">
        <f>IFERROR(INDEX(PP_Grid[#Data],$DD635,28),0)</f>
        <v/>
      </c>
      <c r="AE635">
        <f>IFERROR(INDEX(PP_Grid[#Data],$DD635,29),0)</f>
        <v/>
      </c>
      <c r="AF635">
        <f>IFERROR(INDEX(PP_Grid[#Data],$DD635,30),0)</f>
        <v/>
      </c>
      <c r="AG635">
        <f>IFERROR(INDEX(PP_Grid[#Data],$DD635,31),0)</f>
        <v/>
      </c>
      <c r="AH635">
        <f>IFERROR(INDEX(PP_Grid[#Data],$DD635,32),0)</f>
        <v/>
      </c>
      <c r="AI635">
        <f>IFERROR(INDEX(PP_Grid[#Data],$DD635,33),0)</f>
        <v/>
      </c>
      <c r="AJ635">
        <f>IFERROR(INDEX(PP_Grid[#Data],$DD635,34),0)</f>
        <v/>
      </c>
      <c r="AK635">
        <f>IFERROR(INDEX(PP_Grid[#Data],$DD635,35),0)</f>
        <v/>
      </c>
      <c r="AL635">
        <f>IFERROR(INDEX(PP_Grid[#Data],$DD635,36),0)</f>
        <v/>
      </c>
      <c r="AM635">
        <f>IFERROR(INDEX(PP_Grid[#Data],$DD635,37),0)</f>
        <v/>
      </c>
      <c r="AN635">
        <f>IFERROR(INDEX(PP_Grid[#Data],$DD635,38),0)</f>
        <v/>
      </c>
      <c r="AO635">
        <f>IFERROR(INDEX(PP_Grid[#Data],$DD635,39),0)</f>
        <v/>
      </c>
      <c r="AP635">
        <f>IFERROR(INDEX(PP_Grid[#Data],$DD635,40),0)</f>
        <v/>
      </c>
      <c r="AQ635">
        <f>IFERROR(INDEX(PP_Grid[#Data],$DD635,41),0)</f>
        <v/>
      </c>
      <c r="AR635">
        <f>IFERROR(INDEX(PP_Grid[#Data],$DD635,42),0)</f>
        <v/>
      </c>
      <c r="AS635">
        <f>IFERROR(INDEX(PP_Grid[#Data],$DD635,43),0)</f>
        <v/>
      </c>
      <c r="AT635">
        <f>IFERROR(INDEX(PP_Grid[#Data],$DD635,44),0)</f>
        <v/>
      </c>
      <c r="AU635">
        <f>IFERROR(INDEX(PP_Grid[#Data],$DD635,45),0)</f>
        <v/>
      </c>
      <c r="AV635">
        <f>IFERROR(INDEX(PP_Grid[#Data],$DD635,46),0)</f>
        <v/>
      </c>
      <c r="AW635">
        <f>IFERROR(INDEX(PP_Grid[#Data],$DD635,47),0)</f>
        <v/>
      </c>
      <c r="AX635">
        <f>IFERROR(INDEX(PP_Grid[#Data],$DD635,48),0)</f>
        <v/>
      </c>
      <c r="AY635">
        <f>IFERROR(INDEX(PP_Grid[#Data],$DD635,49),0)</f>
        <v/>
      </c>
      <c r="AZ635">
        <f>IFERROR(INDEX(PP_Grid[#Data],$DD635,50),0)</f>
        <v/>
      </c>
      <c r="BA635">
        <f>IFERROR(INDEX(PP_Grid[#Data],$DD635,51),0)</f>
        <v/>
      </c>
      <c r="BB635">
        <f>IFERROR(INDEX(PP_Grid[#Data],$DD635,52),0)</f>
        <v/>
      </c>
      <c r="BC635">
        <f>IFERROR(INDEX(PP_Grid[#Data],$DD635,53),0)</f>
        <v/>
      </c>
      <c r="BD635">
        <f>IFERROR(INDEX(PP_Grid[#Data],$DD635,54),0)</f>
        <v/>
      </c>
      <c r="BE635">
        <f>IFERROR(INDEX(PP_Grid[#Data],$DD635,55),0)</f>
        <v/>
      </c>
      <c r="BF635">
        <f>IFERROR(INDEX(PP_Grid[#Data],$DD635,56),0)</f>
        <v/>
      </c>
      <c r="BG635">
        <f>IFERROR(INDEX(PP_Grid[#Data],$DD635,57),0)</f>
        <v/>
      </c>
      <c r="BH635">
        <f>IFERROR(INDEX(PP_Grid[#Data],$DD635,58),0)</f>
        <v/>
      </c>
      <c r="BI635">
        <f>IFERROR(INDEX(PP_Grid[#Data],$DD635,59),0)</f>
        <v/>
      </c>
      <c r="BJ635">
        <f>IFERROR(INDEX(PP_Grid[#Data],$DD635,60),0)</f>
        <v/>
      </c>
      <c r="BK635">
        <f>IFERROR(INDEX(PP_Grid[#Data],$DD635,61),0)</f>
        <v/>
      </c>
      <c r="BL635">
        <f>IFERROR(INDEX(PP_Grid[#Data],$DD635,62),0)</f>
        <v/>
      </c>
      <c r="BM635">
        <f>IFERROR(INDEX(PP_Grid[#Data],$DD635,63),0)</f>
        <v/>
      </c>
      <c r="BN635">
        <f>IFERROR(INDEX(PP_Grid[#Data],$DD635,64),0)</f>
        <v/>
      </c>
      <c r="BO635">
        <f>IFERROR(INDEX(PP_Grid[#Data],$DD635,65),0)</f>
        <v/>
      </c>
      <c r="BP635">
        <f>IFERROR(INDEX(PP_Grid[#Data],$DD635,66),0)</f>
        <v/>
      </c>
      <c r="BQ635">
        <f>IFERROR(INDEX(PP_Grid[#Data],$DD635,67),0)</f>
        <v/>
      </c>
      <c r="BR635">
        <f>IFERROR(INDEX(PP_Grid[#Data],$DD635,68),0)</f>
        <v/>
      </c>
      <c r="BS635">
        <f>IFERROR(INDEX(PP_Grid[#Data],$DD635,69),0)</f>
        <v/>
      </c>
      <c r="BT635">
        <f>IFERROR(INDEX(PP_Grid[#Data],$DD635,70),0)</f>
        <v/>
      </c>
      <c r="BU635">
        <f>IFERROR(INDEX(PP_Grid[#Data],$DD635,71),0)</f>
        <v/>
      </c>
      <c r="BV635">
        <f>IFERROR(INDEX(PP_Grid[#Data],$DD635,72),0)</f>
        <v/>
      </c>
      <c r="BW635">
        <f>IFERROR(INDEX(PP_Grid[#Data],$DD635,73),0)</f>
        <v/>
      </c>
      <c r="BX635">
        <f>IFERROR(INDEX(PP_Grid[#Data],$DD635,74),0)</f>
        <v/>
      </c>
      <c r="BY635">
        <f>IFERROR(INDEX(PP_Grid[#Data],$DD635,75),0)</f>
        <v/>
      </c>
      <c r="BZ635">
        <f>IFERROR(INDEX(PP_Grid[#Data],$DD635,76),0)</f>
        <v/>
      </c>
      <c r="CA635">
        <f>IFERROR(INDEX(PP_Grid[#Data],$DD635,77),0)</f>
        <v/>
      </c>
      <c r="CB635">
        <f>IFERROR(INDEX(PP_Grid[#Data],$DD635,78),0)</f>
        <v/>
      </c>
      <c r="CC635">
        <f>IFERROR(INDEX(PP_Grid[#Data],$DD635,79),0)</f>
        <v/>
      </c>
      <c r="CD635">
        <f>IFERROR(INDEX(PP_Grid[#Data],$DD635,80),0)</f>
        <v/>
      </c>
      <c r="CE635">
        <f>IFERROR(INDEX(PP_Grid[#Data],$DD635,81),0)</f>
        <v/>
      </c>
      <c r="CF635">
        <f>IFERROR(INDEX(PP_Grid[#Data],$DD635,82),0)</f>
        <v/>
      </c>
      <c r="CG635">
        <f>IFERROR(INDEX(PP_Grid[#Data],$DD635,83),0)</f>
        <v/>
      </c>
      <c r="CH635">
        <f>IFERROR(INDEX(PP_Grid[#Data],$DD635,84),0)</f>
        <v/>
      </c>
      <c r="CI635">
        <f>IFERROR(INDEX(PP_Grid[#Data],$DD635,85),0)</f>
        <v/>
      </c>
      <c r="CJ635">
        <f>IFERROR(INDEX(PP_Grid[#Data],$DD635,86),0)</f>
        <v/>
      </c>
      <c r="CK635">
        <f>IFERROR(INDEX(PP_Grid[#Data],$DD635,87),0)</f>
        <v/>
      </c>
      <c r="CL635">
        <f>IFERROR(INDEX(PP_Grid[#Data],$DD635,88),0)</f>
        <v/>
      </c>
      <c r="CM635">
        <f>IFERROR(INDEX(PP_Grid[#Data],$DD635,89),0)</f>
        <v/>
      </c>
      <c r="CN635">
        <f>IFERROR(INDEX(PP_Grid[#Data],$DD635,90),0)</f>
        <v/>
      </c>
      <c r="CO635">
        <f>IFERROR(INDEX(PP_Grid[#Data],$DD635,91),0)</f>
        <v/>
      </c>
      <c r="CP635">
        <f>IFERROR(INDEX(PP_Grid[#Data],$DD635,92),0)</f>
        <v/>
      </c>
      <c r="CQ635">
        <f>IFERROR(INDEX(PP_Grid[#Data],$DD635,93),0)</f>
        <v/>
      </c>
      <c r="CR635">
        <f>IFERROR(INDEX(PP_Grid[#Data],$DD635,94),0)</f>
        <v/>
      </c>
      <c r="CS635">
        <f>IFERROR(INDEX(PP_Grid[#Data],$DD635,95),0)</f>
        <v/>
      </c>
      <c r="CT635">
        <f>IFERROR(INDEX(PP_Grid[#Data],$DD635,96),0)</f>
        <v/>
      </c>
      <c r="CU635">
        <f>IFERROR(INDEX(PP_Grid[#Data],$DD635,97),0)</f>
        <v/>
      </c>
      <c r="CV635">
        <f>IFERROR(INDEX(PP_Grid[#Data],$DD635,98),0)</f>
        <v/>
      </c>
      <c r="CW635">
        <f>IFERROR(INDEX(PP_Grid[#Data],$DD635,99),0)</f>
        <v/>
      </c>
      <c r="CX635">
        <f>IFERROR(INDEX(PP_Grid[#Data],$DD635,100),0)</f>
        <v/>
      </c>
      <c r="CY635">
        <f>IFERROR(INDEX(PP_Grid[#Data],$DD635,101),0)</f>
        <v/>
      </c>
      <c r="CZ635">
        <f>IFERROR(INDEX(PP_Grid[#Data],$DD635,102),0)</f>
        <v/>
      </c>
      <c r="DA635">
        <f>IFERROR(INDEX(PP_Grid[#Data],$DD635,103),0)</f>
        <v/>
      </c>
      <c r="DB635">
        <f>IFERROR(INDEX(PP_Grid[#Data],$DD635,104),0)</f>
        <v/>
      </c>
      <c r="DC635">
        <f>IFERROR(INDEX(PP_Grid[#Data],$DD635,105),0)</f>
        <v/>
      </c>
      <c r="DD635" s="7">
        <f>IFERROR(MATCH($B635,PP_Grid[Intermediate],0),99999)</f>
        <v/>
      </c>
    </row>
    <row r="636">
      <c r="B636" t="inlineStr">
        <is>
          <t>使用量(kg)</t>
        </is>
      </c>
      <c r="C636">
        <f>SUMIFS(M_BOM[RM_Qty_Per_Batch],M_BOM[Intermediate],$B635,M_BOM[Part Name],$A580)</f>
        <v/>
      </c>
      <c r="D636">
        <f>$C636*D635</f>
        <v/>
      </c>
      <c r="E636">
        <f>$C636*E635</f>
        <v/>
      </c>
      <c r="F636">
        <f>$C636*F635</f>
        <v/>
      </c>
      <c r="G636">
        <f>$C636*G635</f>
        <v/>
      </c>
      <c r="H636">
        <f>$C636*H635</f>
        <v/>
      </c>
      <c r="I636">
        <f>$C636*I635</f>
        <v/>
      </c>
      <c r="J636">
        <f>$C636*J635</f>
        <v/>
      </c>
      <c r="K636">
        <f>$C636*K635</f>
        <v/>
      </c>
      <c r="L636">
        <f>$C636*L635</f>
        <v/>
      </c>
      <c r="M636">
        <f>$C636*M635</f>
        <v/>
      </c>
      <c r="N636">
        <f>$C636*N635</f>
        <v/>
      </c>
      <c r="O636">
        <f>$C636*O635</f>
        <v/>
      </c>
      <c r="P636">
        <f>$C636*P635</f>
        <v/>
      </c>
      <c r="Q636">
        <f>$C636*Q635</f>
        <v/>
      </c>
      <c r="R636">
        <f>$C636*R635</f>
        <v/>
      </c>
      <c r="S636">
        <f>$C636*S635</f>
        <v/>
      </c>
      <c r="T636">
        <f>$C636*T635</f>
        <v/>
      </c>
      <c r="U636">
        <f>$C636*U635</f>
        <v/>
      </c>
      <c r="V636">
        <f>$C636*V635</f>
        <v/>
      </c>
      <c r="W636">
        <f>$C636*W635</f>
        <v/>
      </c>
      <c r="X636">
        <f>$C636*X635</f>
        <v/>
      </c>
      <c r="Y636">
        <f>$C636*Y635</f>
        <v/>
      </c>
      <c r="Z636">
        <f>$C636*Z635</f>
        <v/>
      </c>
      <c r="AA636">
        <f>$C636*AA635</f>
        <v/>
      </c>
      <c r="AB636">
        <f>$C636*AB635</f>
        <v/>
      </c>
      <c r="AC636">
        <f>$C636*AC635</f>
        <v/>
      </c>
      <c r="AD636">
        <f>$C636*AD635</f>
        <v/>
      </c>
      <c r="AE636">
        <f>$C636*AE635</f>
        <v/>
      </c>
      <c r="AF636">
        <f>$C636*AF635</f>
        <v/>
      </c>
      <c r="AG636">
        <f>$C636*AG635</f>
        <v/>
      </c>
      <c r="AH636">
        <f>$C636*AH635</f>
        <v/>
      </c>
      <c r="AI636">
        <f>$C636*AI635</f>
        <v/>
      </c>
      <c r="AJ636">
        <f>$C636*AJ635</f>
        <v/>
      </c>
      <c r="AK636">
        <f>$C636*AK635</f>
        <v/>
      </c>
      <c r="AL636">
        <f>$C636*AL635</f>
        <v/>
      </c>
      <c r="AM636">
        <f>$C636*AM635</f>
        <v/>
      </c>
      <c r="AN636">
        <f>$C636*AN635</f>
        <v/>
      </c>
      <c r="AO636">
        <f>$C636*AO635</f>
        <v/>
      </c>
      <c r="AP636">
        <f>$C636*AP635</f>
        <v/>
      </c>
      <c r="AQ636">
        <f>$C636*AQ635</f>
        <v/>
      </c>
      <c r="AR636">
        <f>$C636*AR635</f>
        <v/>
      </c>
      <c r="AS636">
        <f>$C636*AS635</f>
        <v/>
      </c>
      <c r="AT636">
        <f>$C636*AT635</f>
        <v/>
      </c>
      <c r="AU636">
        <f>$C636*AU635</f>
        <v/>
      </c>
      <c r="AV636">
        <f>$C636*AV635</f>
        <v/>
      </c>
      <c r="AW636">
        <f>$C636*AW635</f>
        <v/>
      </c>
      <c r="AX636">
        <f>$C636*AX635</f>
        <v/>
      </c>
      <c r="AY636">
        <f>$C636*AY635</f>
        <v/>
      </c>
      <c r="AZ636">
        <f>$C636*AZ635</f>
        <v/>
      </c>
      <c r="BA636">
        <f>$C636*BA635</f>
        <v/>
      </c>
      <c r="BB636">
        <f>$C636*BB635</f>
        <v/>
      </c>
      <c r="BC636">
        <f>$C636*BC635</f>
        <v/>
      </c>
      <c r="BD636">
        <f>$C636*BD635</f>
        <v/>
      </c>
      <c r="BE636">
        <f>$C636*BE635</f>
        <v/>
      </c>
      <c r="BF636">
        <f>$C636*BF635</f>
        <v/>
      </c>
      <c r="BG636">
        <f>$C636*BG635</f>
        <v/>
      </c>
      <c r="BH636">
        <f>$C636*BH635</f>
        <v/>
      </c>
      <c r="BI636">
        <f>$C636*BI635</f>
        <v/>
      </c>
      <c r="BJ636">
        <f>$C636*BJ635</f>
        <v/>
      </c>
      <c r="BK636">
        <f>$C636*BK635</f>
        <v/>
      </c>
      <c r="BL636">
        <f>$C636*BL635</f>
        <v/>
      </c>
      <c r="BM636">
        <f>$C636*BM635</f>
        <v/>
      </c>
      <c r="BN636">
        <f>$C636*BN635</f>
        <v/>
      </c>
      <c r="BO636">
        <f>$C636*BO635</f>
        <v/>
      </c>
      <c r="BP636">
        <f>$C636*BP635</f>
        <v/>
      </c>
      <c r="BQ636">
        <f>$C636*BQ635</f>
        <v/>
      </c>
      <c r="BR636">
        <f>$C636*BR635</f>
        <v/>
      </c>
      <c r="BS636">
        <f>$C636*BS635</f>
        <v/>
      </c>
      <c r="BT636">
        <f>$C636*BT635</f>
        <v/>
      </c>
      <c r="BU636">
        <f>$C636*BU635</f>
        <v/>
      </c>
      <c r="BV636">
        <f>$C636*BV635</f>
        <v/>
      </c>
      <c r="BW636">
        <f>$C636*BW635</f>
        <v/>
      </c>
      <c r="BX636">
        <f>$C636*BX635</f>
        <v/>
      </c>
      <c r="BY636">
        <f>$C636*BY635</f>
        <v/>
      </c>
      <c r="BZ636">
        <f>$C636*BZ635</f>
        <v/>
      </c>
      <c r="CA636">
        <f>$C636*CA635</f>
        <v/>
      </c>
      <c r="CB636">
        <f>$C636*CB635</f>
        <v/>
      </c>
      <c r="CC636">
        <f>$C636*CC635</f>
        <v/>
      </c>
      <c r="CD636">
        <f>$C636*CD635</f>
        <v/>
      </c>
      <c r="CE636">
        <f>$C636*CE635</f>
        <v/>
      </c>
      <c r="CF636">
        <f>$C636*CF635</f>
        <v/>
      </c>
      <c r="CG636">
        <f>$C636*CG635</f>
        <v/>
      </c>
      <c r="CH636">
        <f>$C636*CH635</f>
        <v/>
      </c>
      <c r="CI636">
        <f>$C636*CI635</f>
        <v/>
      </c>
      <c r="CJ636">
        <f>$C636*CJ635</f>
        <v/>
      </c>
      <c r="CK636">
        <f>$C636*CK635</f>
        <v/>
      </c>
      <c r="CL636">
        <f>$C636*CL635</f>
        <v/>
      </c>
      <c r="CM636">
        <f>$C636*CM635</f>
        <v/>
      </c>
      <c r="CN636">
        <f>$C636*CN635</f>
        <v/>
      </c>
      <c r="CO636">
        <f>$C636*CO635</f>
        <v/>
      </c>
      <c r="CP636">
        <f>$C636*CP635</f>
        <v/>
      </c>
      <c r="CQ636">
        <f>$C636*CQ635</f>
        <v/>
      </c>
      <c r="CR636">
        <f>$C636*CR635</f>
        <v/>
      </c>
      <c r="CS636">
        <f>$C636*CS635</f>
        <v/>
      </c>
      <c r="CT636">
        <f>$C636*CT635</f>
        <v/>
      </c>
      <c r="CU636">
        <f>$C636*CU635</f>
        <v/>
      </c>
      <c r="CV636">
        <f>$C636*CV635</f>
        <v/>
      </c>
      <c r="CW636">
        <f>$C636*CW635</f>
        <v/>
      </c>
      <c r="CX636">
        <f>$C636*CX635</f>
        <v/>
      </c>
      <c r="CY636">
        <f>$C636*CY635</f>
        <v/>
      </c>
      <c r="CZ636">
        <f>$C636*CZ635</f>
        <v/>
      </c>
      <c r="DA636">
        <f>$C636*DA635</f>
        <v/>
      </c>
      <c r="DB636">
        <f>$C636*DB635</f>
        <v/>
      </c>
      <c r="DC636">
        <f>$C636*DC635</f>
        <v/>
      </c>
    </row>
    <row r="637">
      <c r="B637" s="4" t="inlineStr">
        <is>
          <t>合計使用量(kg)/週</t>
        </is>
      </c>
      <c r="D637">
        <f>'Grid_Requirement'!B22</f>
        <v/>
      </c>
      <c r="E637">
        <f>'Grid_Requirement'!C22</f>
        <v/>
      </c>
      <c r="F637">
        <f>'Grid_Requirement'!D22</f>
        <v/>
      </c>
      <c r="G637">
        <f>'Grid_Requirement'!E22</f>
        <v/>
      </c>
      <c r="H637">
        <f>'Grid_Requirement'!F22</f>
        <v/>
      </c>
      <c r="I637">
        <f>'Grid_Requirement'!G22</f>
        <v/>
      </c>
      <c r="J637">
        <f>'Grid_Requirement'!H22</f>
        <v/>
      </c>
      <c r="K637">
        <f>'Grid_Requirement'!I22</f>
        <v/>
      </c>
      <c r="L637">
        <f>'Grid_Requirement'!J22</f>
        <v/>
      </c>
      <c r="M637">
        <f>'Grid_Requirement'!K22</f>
        <v/>
      </c>
      <c r="N637">
        <f>'Grid_Requirement'!L22</f>
        <v/>
      </c>
      <c r="O637">
        <f>'Grid_Requirement'!M22</f>
        <v/>
      </c>
      <c r="P637">
        <f>'Grid_Requirement'!N22</f>
        <v/>
      </c>
      <c r="Q637">
        <f>'Grid_Requirement'!O22</f>
        <v/>
      </c>
      <c r="R637">
        <f>'Grid_Requirement'!P22</f>
        <v/>
      </c>
      <c r="S637">
        <f>'Grid_Requirement'!Q22</f>
        <v/>
      </c>
      <c r="T637">
        <f>'Grid_Requirement'!R22</f>
        <v/>
      </c>
      <c r="U637">
        <f>'Grid_Requirement'!S22</f>
        <v/>
      </c>
      <c r="V637">
        <f>'Grid_Requirement'!T22</f>
        <v/>
      </c>
      <c r="W637">
        <f>'Grid_Requirement'!U22</f>
        <v/>
      </c>
      <c r="X637">
        <f>'Grid_Requirement'!V22</f>
        <v/>
      </c>
      <c r="Y637">
        <f>'Grid_Requirement'!W22</f>
        <v/>
      </c>
      <c r="Z637">
        <f>'Grid_Requirement'!X22</f>
        <v/>
      </c>
      <c r="AA637">
        <f>'Grid_Requirement'!Y22</f>
        <v/>
      </c>
      <c r="AB637">
        <f>'Grid_Requirement'!Z22</f>
        <v/>
      </c>
      <c r="AC637">
        <f>'Grid_Requirement'!AA22</f>
        <v/>
      </c>
      <c r="AD637">
        <f>'Grid_Requirement'!AB22</f>
        <v/>
      </c>
      <c r="AE637">
        <f>'Grid_Requirement'!AC22</f>
        <v/>
      </c>
      <c r="AF637">
        <f>'Grid_Requirement'!AD22</f>
        <v/>
      </c>
      <c r="AG637">
        <f>'Grid_Requirement'!AE22</f>
        <v/>
      </c>
      <c r="AH637">
        <f>'Grid_Requirement'!AF22</f>
        <v/>
      </c>
      <c r="AI637">
        <f>'Grid_Requirement'!AG22</f>
        <v/>
      </c>
      <c r="AJ637">
        <f>'Grid_Requirement'!AH22</f>
        <v/>
      </c>
      <c r="AK637">
        <f>'Grid_Requirement'!AI22</f>
        <v/>
      </c>
      <c r="AL637">
        <f>'Grid_Requirement'!AJ22</f>
        <v/>
      </c>
      <c r="AM637">
        <f>'Grid_Requirement'!AK22</f>
        <v/>
      </c>
      <c r="AN637">
        <f>'Grid_Requirement'!AL22</f>
        <v/>
      </c>
      <c r="AO637">
        <f>'Grid_Requirement'!AM22</f>
        <v/>
      </c>
      <c r="AP637">
        <f>'Grid_Requirement'!AN22</f>
        <v/>
      </c>
      <c r="AQ637">
        <f>'Grid_Requirement'!AO22</f>
        <v/>
      </c>
      <c r="AR637">
        <f>'Grid_Requirement'!AP22</f>
        <v/>
      </c>
      <c r="AS637">
        <f>'Grid_Requirement'!AQ22</f>
        <v/>
      </c>
      <c r="AT637">
        <f>'Grid_Requirement'!AR22</f>
        <v/>
      </c>
      <c r="AU637">
        <f>'Grid_Requirement'!AS22</f>
        <v/>
      </c>
      <c r="AV637">
        <f>'Grid_Requirement'!AT22</f>
        <v/>
      </c>
      <c r="AW637">
        <f>'Grid_Requirement'!AU22</f>
        <v/>
      </c>
      <c r="AX637">
        <f>'Grid_Requirement'!AV22</f>
        <v/>
      </c>
      <c r="AY637">
        <f>'Grid_Requirement'!AW22</f>
        <v/>
      </c>
      <c r="AZ637">
        <f>'Grid_Requirement'!AX22</f>
        <v/>
      </c>
      <c r="BA637">
        <f>'Grid_Requirement'!AY22</f>
        <v/>
      </c>
      <c r="BB637">
        <f>'Grid_Requirement'!AZ22</f>
        <v/>
      </c>
      <c r="BC637">
        <f>'Grid_Requirement'!BA22</f>
        <v/>
      </c>
      <c r="BD637">
        <f>'Grid_Requirement'!BB22</f>
        <v/>
      </c>
      <c r="BE637">
        <f>'Grid_Requirement'!BC22</f>
        <v/>
      </c>
      <c r="BF637">
        <f>'Grid_Requirement'!BD22</f>
        <v/>
      </c>
      <c r="BG637">
        <f>'Grid_Requirement'!BE22</f>
        <v/>
      </c>
      <c r="BH637">
        <f>'Grid_Requirement'!BF22</f>
        <v/>
      </c>
      <c r="BI637">
        <f>'Grid_Requirement'!BG22</f>
        <v/>
      </c>
      <c r="BJ637">
        <f>'Grid_Requirement'!BH22</f>
        <v/>
      </c>
      <c r="BK637">
        <f>'Grid_Requirement'!BI22</f>
        <v/>
      </c>
      <c r="BL637">
        <f>'Grid_Requirement'!BJ22</f>
        <v/>
      </c>
      <c r="BM637">
        <f>'Grid_Requirement'!BK22</f>
        <v/>
      </c>
      <c r="BN637">
        <f>'Grid_Requirement'!BL22</f>
        <v/>
      </c>
      <c r="BO637">
        <f>'Grid_Requirement'!BM22</f>
        <v/>
      </c>
      <c r="BP637">
        <f>'Grid_Requirement'!BN22</f>
        <v/>
      </c>
      <c r="BQ637">
        <f>'Grid_Requirement'!BO22</f>
        <v/>
      </c>
      <c r="BR637">
        <f>'Grid_Requirement'!BP22</f>
        <v/>
      </c>
      <c r="BS637">
        <f>'Grid_Requirement'!BQ22</f>
        <v/>
      </c>
      <c r="BT637">
        <f>'Grid_Requirement'!BR22</f>
        <v/>
      </c>
      <c r="BU637">
        <f>'Grid_Requirement'!BS22</f>
        <v/>
      </c>
      <c r="BV637">
        <f>'Grid_Requirement'!BT22</f>
        <v/>
      </c>
      <c r="BW637">
        <f>'Grid_Requirement'!BU22</f>
        <v/>
      </c>
      <c r="BX637">
        <f>'Grid_Requirement'!BV22</f>
        <v/>
      </c>
      <c r="BY637">
        <f>'Grid_Requirement'!BW22</f>
        <v/>
      </c>
      <c r="BZ637">
        <f>'Grid_Requirement'!BX22</f>
        <v/>
      </c>
      <c r="CA637">
        <f>'Grid_Requirement'!BY22</f>
        <v/>
      </c>
      <c r="CB637">
        <f>'Grid_Requirement'!BZ22</f>
        <v/>
      </c>
      <c r="CC637">
        <f>'Grid_Requirement'!CA22</f>
        <v/>
      </c>
      <c r="CD637">
        <f>'Grid_Requirement'!CB22</f>
        <v/>
      </c>
      <c r="CE637">
        <f>'Grid_Requirement'!CC22</f>
        <v/>
      </c>
      <c r="CF637">
        <f>'Grid_Requirement'!CD22</f>
        <v/>
      </c>
      <c r="CG637">
        <f>'Grid_Requirement'!CE22</f>
        <v/>
      </c>
      <c r="CH637">
        <f>'Grid_Requirement'!CF22</f>
        <v/>
      </c>
      <c r="CI637">
        <f>'Grid_Requirement'!CG22</f>
        <v/>
      </c>
      <c r="CJ637">
        <f>'Grid_Requirement'!CH22</f>
        <v/>
      </c>
      <c r="CK637">
        <f>'Grid_Requirement'!CI22</f>
        <v/>
      </c>
      <c r="CL637">
        <f>'Grid_Requirement'!CJ22</f>
        <v/>
      </c>
      <c r="CM637">
        <f>'Grid_Requirement'!CK22</f>
        <v/>
      </c>
      <c r="CN637">
        <f>'Grid_Requirement'!CL22</f>
        <v/>
      </c>
      <c r="CO637">
        <f>'Grid_Requirement'!CM22</f>
        <v/>
      </c>
      <c r="CP637">
        <f>'Grid_Requirement'!CN22</f>
        <v/>
      </c>
      <c r="CQ637">
        <f>'Grid_Requirement'!CO22</f>
        <v/>
      </c>
      <c r="CR637">
        <f>'Grid_Requirement'!CP22</f>
        <v/>
      </c>
      <c r="CS637">
        <f>'Grid_Requirement'!CQ22</f>
        <v/>
      </c>
      <c r="CT637">
        <f>'Grid_Requirement'!CR22</f>
        <v/>
      </c>
      <c r="CU637">
        <f>'Grid_Requirement'!CS22</f>
        <v/>
      </c>
      <c r="CV637">
        <f>'Grid_Requirement'!CT22</f>
        <v/>
      </c>
      <c r="CW637">
        <f>'Grid_Requirement'!CU22</f>
        <v/>
      </c>
      <c r="CX637">
        <f>'Grid_Requirement'!CV22</f>
        <v/>
      </c>
      <c r="CY637">
        <f>'Grid_Requirement'!CW22</f>
        <v/>
      </c>
      <c r="CZ637">
        <f>'Grid_Requirement'!CX22</f>
        <v/>
      </c>
      <c r="DA637">
        <f>'Grid_Requirement'!CY22</f>
        <v/>
      </c>
      <c r="DB637">
        <f>'Grid_Requirement'!CZ22</f>
        <v/>
      </c>
      <c r="DC637">
        <f>'Grid_Requirement'!DA22</f>
        <v/>
      </c>
    </row>
    <row r="638">
      <c r="B638" t="inlineStr">
        <is>
          <t>TTAF在庫(実績,kg)</t>
        </is>
      </c>
      <c r="D638">
        <f>'T_TTAFStock'!B26</f>
        <v/>
      </c>
      <c r="E638">
        <f>'T_TTAFStock'!C26</f>
        <v/>
      </c>
      <c r="F638">
        <f>'T_TTAFStock'!D26</f>
        <v/>
      </c>
      <c r="G638">
        <f>'T_TTAFStock'!E26</f>
        <v/>
      </c>
      <c r="H638">
        <f>'T_TTAFStock'!F26</f>
        <v/>
      </c>
      <c r="I638">
        <f>'T_TTAFStock'!G26</f>
        <v/>
      </c>
      <c r="J638">
        <f>'T_TTAFStock'!H26</f>
        <v/>
      </c>
      <c r="K638">
        <f>'T_TTAFStock'!I26</f>
        <v/>
      </c>
      <c r="L638">
        <f>'T_TTAFStock'!J26</f>
        <v/>
      </c>
      <c r="M638">
        <f>'T_TTAFStock'!K26</f>
        <v/>
      </c>
      <c r="N638">
        <f>'T_TTAFStock'!L26</f>
        <v/>
      </c>
      <c r="O638">
        <f>'T_TTAFStock'!M26</f>
        <v/>
      </c>
      <c r="P638">
        <f>'T_TTAFStock'!N26</f>
        <v/>
      </c>
      <c r="Q638">
        <f>'T_TTAFStock'!O26</f>
        <v/>
      </c>
      <c r="R638">
        <f>'T_TTAFStock'!P26</f>
        <v/>
      </c>
      <c r="S638">
        <f>'T_TTAFStock'!Q26</f>
        <v/>
      </c>
      <c r="T638">
        <f>'T_TTAFStock'!R26</f>
        <v/>
      </c>
      <c r="U638">
        <f>'T_TTAFStock'!S26</f>
        <v/>
      </c>
      <c r="V638">
        <f>'T_TTAFStock'!T26</f>
        <v/>
      </c>
      <c r="W638">
        <f>'T_TTAFStock'!U26</f>
        <v/>
      </c>
      <c r="X638">
        <f>'T_TTAFStock'!V26</f>
        <v/>
      </c>
      <c r="Y638">
        <f>'T_TTAFStock'!W26</f>
        <v/>
      </c>
      <c r="Z638">
        <f>'T_TTAFStock'!X26</f>
        <v/>
      </c>
      <c r="AA638">
        <f>'T_TTAFStock'!Y26</f>
        <v/>
      </c>
      <c r="AB638">
        <f>'T_TTAFStock'!Z26</f>
        <v/>
      </c>
      <c r="AC638">
        <f>'T_TTAFStock'!AA26</f>
        <v/>
      </c>
      <c r="AD638">
        <f>'T_TTAFStock'!AB26</f>
        <v/>
      </c>
      <c r="AE638">
        <f>'T_TTAFStock'!AC26</f>
        <v/>
      </c>
      <c r="AF638">
        <f>'T_TTAFStock'!AD26</f>
        <v/>
      </c>
      <c r="AG638">
        <f>'T_TTAFStock'!AE26</f>
        <v/>
      </c>
      <c r="AH638">
        <f>'T_TTAFStock'!AF26</f>
        <v/>
      </c>
      <c r="AI638">
        <f>'T_TTAFStock'!AG26</f>
        <v/>
      </c>
      <c r="AJ638">
        <f>'T_TTAFStock'!AH26</f>
        <v/>
      </c>
      <c r="AK638">
        <f>'T_TTAFStock'!AI26</f>
        <v/>
      </c>
      <c r="AL638">
        <f>'T_TTAFStock'!AJ26</f>
        <v/>
      </c>
      <c r="AM638">
        <f>'T_TTAFStock'!AK26</f>
        <v/>
      </c>
      <c r="AN638">
        <f>'T_TTAFStock'!AL26</f>
        <v/>
      </c>
      <c r="AO638">
        <f>'T_TTAFStock'!AM26</f>
        <v/>
      </c>
      <c r="AP638">
        <f>'T_TTAFStock'!AN26</f>
        <v/>
      </c>
      <c r="AQ638">
        <f>'T_TTAFStock'!AO26</f>
        <v/>
      </c>
      <c r="AR638">
        <f>'T_TTAFStock'!AP26</f>
        <v/>
      </c>
      <c r="AS638">
        <f>'T_TTAFStock'!AQ26</f>
        <v/>
      </c>
      <c r="AT638">
        <f>'T_TTAFStock'!AR26</f>
        <v/>
      </c>
      <c r="AU638">
        <f>'T_TTAFStock'!AS26</f>
        <v/>
      </c>
      <c r="AV638">
        <f>'T_TTAFStock'!AT26</f>
        <v/>
      </c>
      <c r="AW638">
        <f>'T_TTAFStock'!AU26</f>
        <v/>
      </c>
      <c r="AX638">
        <f>'T_TTAFStock'!AV26</f>
        <v/>
      </c>
      <c r="AY638">
        <f>'T_TTAFStock'!AW26</f>
        <v/>
      </c>
      <c r="AZ638">
        <f>'T_TTAFStock'!AX26</f>
        <v/>
      </c>
      <c r="BA638">
        <f>'T_TTAFStock'!AY26</f>
        <v/>
      </c>
      <c r="BB638">
        <f>'T_TTAFStock'!AZ26</f>
        <v/>
      </c>
      <c r="BC638">
        <f>'T_TTAFStock'!BA26</f>
        <v/>
      </c>
      <c r="BD638">
        <f>'T_TTAFStock'!BB26</f>
        <v/>
      </c>
      <c r="BE638">
        <f>'T_TTAFStock'!BC26</f>
        <v/>
      </c>
      <c r="BF638">
        <f>'T_TTAFStock'!BD26</f>
        <v/>
      </c>
      <c r="BG638">
        <f>'T_TTAFStock'!BE26</f>
        <v/>
      </c>
      <c r="BH638">
        <f>'T_TTAFStock'!BF26</f>
        <v/>
      </c>
      <c r="BI638">
        <f>'T_TTAFStock'!BG26</f>
        <v/>
      </c>
      <c r="BJ638">
        <f>'T_TTAFStock'!BH26</f>
        <v/>
      </c>
      <c r="BK638">
        <f>'T_TTAFStock'!BI26</f>
        <v/>
      </c>
      <c r="BL638">
        <f>'T_TTAFStock'!BJ26</f>
        <v/>
      </c>
      <c r="BM638">
        <f>'T_TTAFStock'!BK26</f>
        <v/>
      </c>
      <c r="BN638">
        <f>'T_TTAFStock'!BL26</f>
        <v/>
      </c>
      <c r="BO638">
        <f>'T_TTAFStock'!BM26</f>
        <v/>
      </c>
      <c r="BP638">
        <f>'T_TTAFStock'!BN26</f>
        <v/>
      </c>
      <c r="BQ638">
        <f>'T_TTAFStock'!BO26</f>
        <v/>
      </c>
      <c r="BR638">
        <f>'T_TTAFStock'!BP26</f>
        <v/>
      </c>
      <c r="BS638">
        <f>'T_TTAFStock'!BQ26</f>
        <v/>
      </c>
      <c r="BT638">
        <f>'T_TTAFStock'!BR26</f>
        <v/>
      </c>
      <c r="BU638">
        <f>'T_TTAFStock'!BS26</f>
        <v/>
      </c>
      <c r="BV638">
        <f>'T_TTAFStock'!BT26</f>
        <v/>
      </c>
      <c r="BW638">
        <f>'T_TTAFStock'!BU26</f>
        <v/>
      </c>
      <c r="BX638">
        <f>'T_TTAFStock'!BV26</f>
        <v/>
      </c>
      <c r="BY638">
        <f>'T_TTAFStock'!BW26</f>
        <v/>
      </c>
      <c r="BZ638">
        <f>'T_TTAFStock'!BX26</f>
        <v/>
      </c>
      <c r="CA638">
        <f>'T_TTAFStock'!BY26</f>
        <v/>
      </c>
      <c r="CB638">
        <f>'T_TTAFStock'!BZ26</f>
        <v/>
      </c>
      <c r="CC638">
        <f>'T_TTAFStock'!CA26</f>
        <v/>
      </c>
      <c r="CD638">
        <f>'T_TTAFStock'!CB26</f>
        <v/>
      </c>
      <c r="CE638">
        <f>'T_TTAFStock'!CC26</f>
        <v/>
      </c>
      <c r="CF638">
        <f>'T_TTAFStock'!CD26</f>
        <v/>
      </c>
      <c r="CG638">
        <f>'T_TTAFStock'!CE26</f>
        <v/>
      </c>
      <c r="CH638">
        <f>'T_TTAFStock'!CF26</f>
        <v/>
      </c>
      <c r="CI638">
        <f>'T_TTAFStock'!CG26</f>
        <v/>
      </c>
      <c r="CJ638">
        <f>'T_TTAFStock'!CH26</f>
        <v/>
      </c>
      <c r="CK638">
        <f>'T_TTAFStock'!CI26</f>
        <v/>
      </c>
      <c r="CL638">
        <f>'T_TTAFStock'!CJ26</f>
        <v/>
      </c>
      <c r="CM638">
        <f>'T_TTAFStock'!CK26</f>
        <v/>
      </c>
      <c r="CN638">
        <f>'T_TTAFStock'!CL26</f>
        <v/>
      </c>
      <c r="CO638">
        <f>'T_TTAFStock'!CM26</f>
        <v/>
      </c>
      <c r="CP638">
        <f>'T_TTAFStock'!CN26</f>
        <v/>
      </c>
      <c r="CQ638">
        <f>'T_TTAFStock'!CO26</f>
        <v/>
      </c>
      <c r="CR638">
        <f>'T_TTAFStock'!CP26</f>
        <v/>
      </c>
      <c r="CS638">
        <f>'T_TTAFStock'!CQ26</f>
        <v/>
      </c>
      <c r="CT638">
        <f>'T_TTAFStock'!CR26</f>
        <v/>
      </c>
      <c r="CU638">
        <f>'T_TTAFStock'!CS26</f>
        <v/>
      </c>
      <c r="CV638">
        <f>'T_TTAFStock'!CT26</f>
        <v/>
      </c>
      <c r="CW638">
        <f>'T_TTAFStock'!CU26</f>
        <v/>
      </c>
      <c r="CX638">
        <f>'T_TTAFStock'!CV26</f>
        <v/>
      </c>
      <c r="CY638">
        <f>'T_TTAFStock'!CW26</f>
        <v/>
      </c>
      <c r="CZ638">
        <f>'T_TTAFStock'!CX26</f>
        <v/>
      </c>
      <c r="DA638">
        <f>'T_TTAFStock'!CY26</f>
        <v/>
      </c>
      <c r="DB638">
        <f>'T_TTAFStock'!CZ26</f>
        <v/>
      </c>
      <c r="DC638">
        <f>'T_TTAFStock'!DA26</f>
        <v/>
      </c>
    </row>
    <row r="639">
      <c r="B639" t="inlineStr">
        <is>
          <t>自社在庫(実績,kg)</t>
        </is>
      </c>
      <c r="D639">
        <f>'T_SelfStock'!B26</f>
        <v/>
      </c>
      <c r="E639">
        <f>'T_SelfStock'!C26</f>
        <v/>
      </c>
      <c r="F639">
        <f>'T_SelfStock'!D26</f>
        <v/>
      </c>
      <c r="G639">
        <f>'T_SelfStock'!E26</f>
        <v/>
      </c>
      <c r="H639">
        <f>'T_SelfStock'!F26</f>
        <v/>
      </c>
      <c r="I639">
        <f>'T_SelfStock'!G26</f>
        <v/>
      </c>
      <c r="J639">
        <f>'T_SelfStock'!H26</f>
        <v/>
      </c>
      <c r="K639">
        <f>'T_SelfStock'!I26</f>
        <v/>
      </c>
      <c r="L639">
        <f>'T_SelfStock'!J26</f>
        <v/>
      </c>
      <c r="M639">
        <f>'T_SelfStock'!K26</f>
        <v/>
      </c>
      <c r="N639">
        <f>'T_SelfStock'!L26</f>
        <v/>
      </c>
      <c r="O639">
        <f>'T_SelfStock'!M26</f>
        <v/>
      </c>
      <c r="P639">
        <f>'T_SelfStock'!N26</f>
        <v/>
      </c>
      <c r="Q639">
        <f>'T_SelfStock'!O26</f>
        <v/>
      </c>
      <c r="R639">
        <f>'T_SelfStock'!P26</f>
        <v/>
      </c>
      <c r="S639">
        <f>'T_SelfStock'!Q26</f>
        <v/>
      </c>
      <c r="T639">
        <f>'T_SelfStock'!R26</f>
        <v/>
      </c>
      <c r="U639">
        <f>'T_SelfStock'!S26</f>
        <v/>
      </c>
      <c r="V639">
        <f>'T_SelfStock'!T26</f>
        <v/>
      </c>
      <c r="W639">
        <f>'T_SelfStock'!U26</f>
        <v/>
      </c>
      <c r="X639">
        <f>'T_SelfStock'!V26</f>
        <v/>
      </c>
      <c r="Y639">
        <f>'T_SelfStock'!W26</f>
        <v/>
      </c>
      <c r="Z639">
        <f>'T_SelfStock'!X26</f>
        <v/>
      </c>
      <c r="AA639">
        <f>'T_SelfStock'!Y26</f>
        <v/>
      </c>
      <c r="AB639">
        <f>'T_SelfStock'!Z26</f>
        <v/>
      </c>
      <c r="AC639">
        <f>'T_SelfStock'!AA26</f>
        <v/>
      </c>
      <c r="AD639">
        <f>'T_SelfStock'!AB26</f>
        <v/>
      </c>
      <c r="AE639">
        <f>'T_SelfStock'!AC26</f>
        <v/>
      </c>
      <c r="AF639">
        <f>'T_SelfStock'!AD26</f>
        <v/>
      </c>
      <c r="AG639">
        <f>'T_SelfStock'!AE26</f>
        <v/>
      </c>
      <c r="AH639">
        <f>'T_SelfStock'!AF26</f>
        <v/>
      </c>
      <c r="AI639">
        <f>'T_SelfStock'!AG26</f>
        <v/>
      </c>
      <c r="AJ639">
        <f>'T_SelfStock'!AH26</f>
        <v/>
      </c>
      <c r="AK639">
        <f>'T_SelfStock'!AI26</f>
        <v/>
      </c>
      <c r="AL639">
        <f>'T_SelfStock'!AJ26</f>
        <v/>
      </c>
      <c r="AM639">
        <f>'T_SelfStock'!AK26</f>
        <v/>
      </c>
      <c r="AN639">
        <f>'T_SelfStock'!AL26</f>
        <v/>
      </c>
      <c r="AO639">
        <f>'T_SelfStock'!AM26</f>
        <v/>
      </c>
      <c r="AP639">
        <f>'T_SelfStock'!AN26</f>
        <v/>
      </c>
      <c r="AQ639">
        <f>'T_SelfStock'!AO26</f>
        <v/>
      </c>
      <c r="AR639">
        <f>'T_SelfStock'!AP26</f>
        <v/>
      </c>
      <c r="AS639">
        <f>'T_SelfStock'!AQ26</f>
        <v/>
      </c>
      <c r="AT639">
        <f>'T_SelfStock'!AR26</f>
        <v/>
      </c>
      <c r="AU639">
        <f>'T_SelfStock'!AS26</f>
        <v/>
      </c>
      <c r="AV639">
        <f>'T_SelfStock'!AT26</f>
        <v/>
      </c>
      <c r="AW639">
        <f>'T_SelfStock'!AU26</f>
        <v/>
      </c>
      <c r="AX639">
        <f>'T_SelfStock'!AV26</f>
        <v/>
      </c>
      <c r="AY639">
        <f>'T_SelfStock'!AW26</f>
        <v/>
      </c>
      <c r="AZ639">
        <f>'T_SelfStock'!AX26</f>
        <v/>
      </c>
      <c r="BA639">
        <f>'T_SelfStock'!AY26</f>
        <v/>
      </c>
      <c r="BB639">
        <f>'T_SelfStock'!AZ26</f>
        <v/>
      </c>
      <c r="BC639">
        <f>'T_SelfStock'!BA26</f>
        <v/>
      </c>
      <c r="BD639">
        <f>'T_SelfStock'!BB26</f>
        <v/>
      </c>
      <c r="BE639">
        <f>'T_SelfStock'!BC26</f>
        <v/>
      </c>
      <c r="BF639">
        <f>'T_SelfStock'!BD26</f>
        <v/>
      </c>
      <c r="BG639">
        <f>'T_SelfStock'!BE26</f>
        <v/>
      </c>
      <c r="BH639">
        <f>'T_SelfStock'!BF26</f>
        <v/>
      </c>
      <c r="BI639">
        <f>'T_SelfStock'!BG26</f>
        <v/>
      </c>
      <c r="BJ639">
        <f>'T_SelfStock'!BH26</f>
        <v/>
      </c>
      <c r="BK639">
        <f>'T_SelfStock'!BI26</f>
        <v/>
      </c>
      <c r="BL639">
        <f>'T_SelfStock'!BJ26</f>
        <v/>
      </c>
      <c r="BM639">
        <f>'T_SelfStock'!BK26</f>
        <v/>
      </c>
      <c r="BN639">
        <f>'T_SelfStock'!BL26</f>
        <v/>
      </c>
      <c r="BO639">
        <f>'T_SelfStock'!BM26</f>
        <v/>
      </c>
      <c r="BP639">
        <f>'T_SelfStock'!BN26</f>
        <v/>
      </c>
      <c r="BQ639">
        <f>'T_SelfStock'!BO26</f>
        <v/>
      </c>
      <c r="BR639">
        <f>'T_SelfStock'!BP26</f>
        <v/>
      </c>
      <c r="BS639">
        <f>'T_SelfStock'!BQ26</f>
        <v/>
      </c>
      <c r="BT639">
        <f>'T_SelfStock'!BR26</f>
        <v/>
      </c>
      <c r="BU639">
        <f>'T_SelfStock'!BS26</f>
        <v/>
      </c>
      <c r="BV639">
        <f>'T_SelfStock'!BT26</f>
        <v/>
      </c>
      <c r="BW639">
        <f>'T_SelfStock'!BU26</f>
        <v/>
      </c>
      <c r="BX639">
        <f>'T_SelfStock'!BV26</f>
        <v/>
      </c>
      <c r="BY639">
        <f>'T_SelfStock'!BW26</f>
        <v/>
      </c>
      <c r="BZ639">
        <f>'T_SelfStock'!BX26</f>
        <v/>
      </c>
      <c r="CA639">
        <f>'T_SelfStock'!BY26</f>
        <v/>
      </c>
      <c r="CB639">
        <f>'T_SelfStock'!BZ26</f>
        <v/>
      </c>
      <c r="CC639">
        <f>'T_SelfStock'!CA26</f>
        <v/>
      </c>
      <c r="CD639">
        <f>'T_SelfStock'!CB26</f>
        <v/>
      </c>
      <c r="CE639">
        <f>'T_SelfStock'!CC26</f>
        <v/>
      </c>
      <c r="CF639">
        <f>'T_SelfStock'!CD26</f>
        <v/>
      </c>
      <c r="CG639">
        <f>'T_SelfStock'!CE26</f>
        <v/>
      </c>
      <c r="CH639">
        <f>'T_SelfStock'!CF26</f>
        <v/>
      </c>
      <c r="CI639">
        <f>'T_SelfStock'!CG26</f>
        <v/>
      </c>
      <c r="CJ639">
        <f>'T_SelfStock'!CH26</f>
        <v/>
      </c>
      <c r="CK639">
        <f>'T_SelfStock'!CI26</f>
        <v/>
      </c>
      <c r="CL639">
        <f>'T_SelfStock'!CJ26</f>
        <v/>
      </c>
      <c r="CM639">
        <f>'T_SelfStock'!CK26</f>
        <v/>
      </c>
      <c r="CN639">
        <f>'T_SelfStock'!CL26</f>
        <v/>
      </c>
      <c r="CO639">
        <f>'T_SelfStock'!CM26</f>
        <v/>
      </c>
      <c r="CP639">
        <f>'T_SelfStock'!CN26</f>
        <v/>
      </c>
      <c r="CQ639">
        <f>'T_SelfStock'!CO26</f>
        <v/>
      </c>
      <c r="CR639">
        <f>'T_SelfStock'!CP26</f>
        <v/>
      </c>
      <c r="CS639">
        <f>'T_SelfStock'!CQ26</f>
        <v/>
      </c>
      <c r="CT639">
        <f>'T_SelfStock'!CR26</f>
        <v/>
      </c>
      <c r="CU639">
        <f>'T_SelfStock'!CS26</f>
        <v/>
      </c>
      <c r="CV639">
        <f>'T_SelfStock'!CT26</f>
        <v/>
      </c>
      <c r="CW639">
        <f>'T_SelfStock'!CU26</f>
        <v/>
      </c>
      <c r="CX639">
        <f>'T_SelfStock'!CV26</f>
        <v/>
      </c>
      <c r="CY639">
        <f>'T_SelfStock'!CW26</f>
        <v/>
      </c>
      <c r="CZ639">
        <f>'T_SelfStock'!CX26</f>
        <v/>
      </c>
      <c r="DA639">
        <f>'T_SelfStock'!CY26</f>
        <v/>
      </c>
      <c r="DB639">
        <f>'T_SelfStock'!CZ26</f>
        <v/>
      </c>
      <c r="DC639">
        <f>'T_SelfStock'!DA26</f>
        <v/>
      </c>
    </row>
    <row r="640">
      <c r="B640" s="4" t="inlineStr">
        <is>
          <t>合計在庫(週末時点,kg)</t>
        </is>
      </c>
      <c r="D640">
        <f>'Grid_Stock'!B22</f>
        <v/>
      </c>
      <c r="E640">
        <f>'Grid_Stock'!C22</f>
        <v/>
      </c>
      <c r="F640">
        <f>'Grid_Stock'!D22</f>
        <v/>
      </c>
      <c r="G640">
        <f>'Grid_Stock'!E22</f>
        <v/>
      </c>
      <c r="H640">
        <f>'Grid_Stock'!F22</f>
        <v/>
      </c>
      <c r="I640">
        <f>'Grid_Stock'!G22</f>
        <v/>
      </c>
      <c r="J640">
        <f>'Grid_Stock'!H22</f>
        <v/>
      </c>
      <c r="K640">
        <f>'Grid_Stock'!I22</f>
        <v/>
      </c>
      <c r="L640">
        <f>'Grid_Stock'!J22</f>
        <v/>
      </c>
      <c r="M640">
        <f>'Grid_Stock'!K22</f>
        <v/>
      </c>
      <c r="N640">
        <f>'Grid_Stock'!L22</f>
        <v/>
      </c>
      <c r="O640">
        <f>'Grid_Stock'!M22</f>
        <v/>
      </c>
      <c r="P640">
        <f>'Grid_Stock'!N22</f>
        <v/>
      </c>
      <c r="Q640">
        <f>'Grid_Stock'!O22</f>
        <v/>
      </c>
      <c r="R640">
        <f>'Grid_Stock'!P22</f>
        <v/>
      </c>
      <c r="S640">
        <f>'Grid_Stock'!Q22</f>
        <v/>
      </c>
      <c r="T640">
        <f>'Grid_Stock'!R22</f>
        <v/>
      </c>
      <c r="U640">
        <f>'Grid_Stock'!S22</f>
        <v/>
      </c>
      <c r="V640">
        <f>'Grid_Stock'!T22</f>
        <v/>
      </c>
      <c r="W640">
        <f>'Grid_Stock'!U22</f>
        <v/>
      </c>
      <c r="X640">
        <f>'Grid_Stock'!V22</f>
        <v/>
      </c>
      <c r="Y640">
        <f>'Grid_Stock'!W22</f>
        <v/>
      </c>
      <c r="Z640">
        <f>'Grid_Stock'!X22</f>
        <v/>
      </c>
      <c r="AA640">
        <f>'Grid_Stock'!Y22</f>
        <v/>
      </c>
      <c r="AB640">
        <f>'Grid_Stock'!Z22</f>
        <v/>
      </c>
      <c r="AC640">
        <f>'Grid_Stock'!AA22</f>
        <v/>
      </c>
      <c r="AD640">
        <f>'Grid_Stock'!AB22</f>
        <v/>
      </c>
      <c r="AE640">
        <f>'Grid_Stock'!AC22</f>
        <v/>
      </c>
      <c r="AF640">
        <f>'Grid_Stock'!AD22</f>
        <v/>
      </c>
      <c r="AG640">
        <f>'Grid_Stock'!AE22</f>
        <v/>
      </c>
      <c r="AH640">
        <f>'Grid_Stock'!AF22</f>
        <v/>
      </c>
      <c r="AI640">
        <f>'Grid_Stock'!AG22</f>
        <v/>
      </c>
      <c r="AJ640">
        <f>'Grid_Stock'!AH22</f>
        <v/>
      </c>
      <c r="AK640">
        <f>'Grid_Stock'!AI22</f>
        <v/>
      </c>
      <c r="AL640">
        <f>'Grid_Stock'!AJ22</f>
        <v/>
      </c>
      <c r="AM640">
        <f>'Grid_Stock'!AK22</f>
        <v/>
      </c>
      <c r="AN640">
        <f>'Grid_Stock'!AL22</f>
        <v/>
      </c>
      <c r="AO640">
        <f>'Grid_Stock'!AM22</f>
        <v/>
      </c>
      <c r="AP640">
        <f>'Grid_Stock'!AN22</f>
        <v/>
      </c>
      <c r="AQ640">
        <f>'Grid_Stock'!AO22</f>
        <v/>
      </c>
      <c r="AR640">
        <f>'Grid_Stock'!AP22</f>
        <v/>
      </c>
      <c r="AS640">
        <f>'Grid_Stock'!AQ22</f>
        <v/>
      </c>
      <c r="AT640">
        <f>'Grid_Stock'!AR22</f>
        <v/>
      </c>
      <c r="AU640">
        <f>'Grid_Stock'!AS22</f>
        <v/>
      </c>
      <c r="AV640">
        <f>'Grid_Stock'!AT22</f>
        <v/>
      </c>
      <c r="AW640">
        <f>'Grid_Stock'!AU22</f>
        <v/>
      </c>
      <c r="AX640">
        <f>'Grid_Stock'!AV22</f>
        <v/>
      </c>
      <c r="AY640">
        <f>'Grid_Stock'!AW22</f>
        <v/>
      </c>
      <c r="AZ640">
        <f>'Grid_Stock'!AX22</f>
        <v/>
      </c>
      <c r="BA640">
        <f>'Grid_Stock'!AY22</f>
        <v/>
      </c>
      <c r="BB640">
        <f>'Grid_Stock'!AZ22</f>
        <v/>
      </c>
      <c r="BC640">
        <f>'Grid_Stock'!BA22</f>
        <v/>
      </c>
      <c r="BD640">
        <f>'Grid_Stock'!BB22</f>
        <v/>
      </c>
      <c r="BE640">
        <f>'Grid_Stock'!BC22</f>
        <v/>
      </c>
      <c r="BF640">
        <f>'Grid_Stock'!BD22</f>
        <v/>
      </c>
      <c r="BG640">
        <f>'Grid_Stock'!BE22</f>
        <v/>
      </c>
      <c r="BH640">
        <f>'Grid_Stock'!BF22</f>
        <v/>
      </c>
      <c r="BI640">
        <f>'Grid_Stock'!BG22</f>
        <v/>
      </c>
      <c r="BJ640">
        <f>'Grid_Stock'!BH22</f>
        <v/>
      </c>
      <c r="BK640">
        <f>'Grid_Stock'!BI22</f>
        <v/>
      </c>
      <c r="BL640">
        <f>'Grid_Stock'!BJ22</f>
        <v/>
      </c>
      <c r="BM640">
        <f>'Grid_Stock'!BK22</f>
        <v/>
      </c>
      <c r="BN640">
        <f>'Grid_Stock'!BL22</f>
        <v/>
      </c>
      <c r="BO640">
        <f>'Grid_Stock'!BM22</f>
        <v/>
      </c>
      <c r="BP640">
        <f>'Grid_Stock'!BN22</f>
        <v/>
      </c>
      <c r="BQ640">
        <f>'Grid_Stock'!BO22</f>
        <v/>
      </c>
      <c r="BR640">
        <f>'Grid_Stock'!BP22</f>
        <v/>
      </c>
      <c r="BS640">
        <f>'Grid_Stock'!BQ22</f>
        <v/>
      </c>
      <c r="BT640">
        <f>'Grid_Stock'!BR22</f>
        <v/>
      </c>
      <c r="BU640">
        <f>'Grid_Stock'!BS22</f>
        <v/>
      </c>
      <c r="BV640">
        <f>'Grid_Stock'!BT22</f>
        <v/>
      </c>
      <c r="BW640">
        <f>'Grid_Stock'!BU22</f>
        <v/>
      </c>
      <c r="BX640">
        <f>'Grid_Stock'!BV22</f>
        <v/>
      </c>
      <c r="BY640">
        <f>'Grid_Stock'!BW22</f>
        <v/>
      </c>
      <c r="BZ640">
        <f>'Grid_Stock'!BX22</f>
        <v/>
      </c>
      <c r="CA640">
        <f>'Grid_Stock'!BY22</f>
        <v/>
      </c>
      <c r="CB640">
        <f>'Grid_Stock'!BZ22</f>
        <v/>
      </c>
      <c r="CC640">
        <f>'Grid_Stock'!CA22</f>
        <v/>
      </c>
      <c r="CD640">
        <f>'Grid_Stock'!CB22</f>
        <v/>
      </c>
      <c r="CE640">
        <f>'Grid_Stock'!CC22</f>
        <v/>
      </c>
      <c r="CF640">
        <f>'Grid_Stock'!CD22</f>
        <v/>
      </c>
      <c r="CG640">
        <f>'Grid_Stock'!CE22</f>
        <v/>
      </c>
      <c r="CH640">
        <f>'Grid_Stock'!CF22</f>
        <v/>
      </c>
      <c r="CI640">
        <f>'Grid_Stock'!CG22</f>
        <v/>
      </c>
      <c r="CJ640">
        <f>'Grid_Stock'!CH22</f>
        <v/>
      </c>
      <c r="CK640">
        <f>'Grid_Stock'!CI22</f>
        <v/>
      </c>
      <c r="CL640">
        <f>'Grid_Stock'!CJ22</f>
        <v/>
      </c>
      <c r="CM640">
        <f>'Grid_Stock'!CK22</f>
        <v/>
      </c>
      <c r="CN640">
        <f>'Grid_Stock'!CL22</f>
        <v/>
      </c>
      <c r="CO640">
        <f>'Grid_Stock'!CM22</f>
        <v/>
      </c>
      <c r="CP640">
        <f>'Grid_Stock'!CN22</f>
        <v/>
      </c>
      <c r="CQ640">
        <f>'Grid_Stock'!CO22</f>
        <v/>
      </c>
      <c r="CR640">
        <f>'Grid_Stock'!CP22</f>
        <v/>
      </c>
      <c r="CS640">
        <f>'Grid_Stock'!CQ22</f>
        <v/>
      </c>
      <c r="CT640">
        <f>'Grid_Stock'!CR22</f>
        <v/>
      </c>
      <c r="CU640">
        <f>'Grid_Stock'!CS22</f>
        <v/>
      </c>
      <c r="CV640">
        <f>'Grid_Stock'!CT22</f>
        <v/>
      </c>
      <c r="CW640">
        <f>'Grid_Stock'!CU22</f>
        <v/>
      </c>
      <c r="CX640">
        <f>'Grid_Stock'!CV22</f>
        <v/>
      </c>
      <c r="CY640">
        <f>'Grid_Stock'!CW22</f>
        <v/>
      </c>
      <c r="CZ640">
        <f>'Grid_Stock'!CX22</f>
        <v/>
      </c>
      <c r="DA640">
        <f>'Grid_Stock'!CY22</f>
        <v/>
      </c>
      <c r="DB640">
        <f>'Grid_Stock'!CZ22</f>
        <v/>
      </c>
      <c r="DC640">
        <f>'Grid_Stock'!DA22</f>
        <v/>
      </c>
    </row>
    <row r="641">
      <c r="B641" s="16" t="inlineStr">
        <is>
          <t>（発注の目安はDashboardの基準在庫[下限/上限]と色分けを参照）</t>
        </is>
      </c>
    </row>
    <row r="643">
      <c r="A643" s="14" t="inlineStr">
        <is>
          <t>CHEM-1660</t>
        </is>
      </c>
      <c r="B643" s="14" t="inlineStr">
        <is>
          <t>GW-3394</t>
        </is>
      </c>
      <c r="C643" s="15" t="n"/>
      <c r="D643" s="14" t="n"/>
      <c r="E643" s="14" t="n"/>
      <c r="F643" s="14" t="n"/>
      <c r="G643" s="14" t="n"/>
      <c r="H643" s="14" t="n"/>
      <c r="I643" s="14" t="n"/>
      <c r="J643" s="14" t="n"/>
      <c r="K643" s="14" t="n"/>
      <c r="L643" s="14" t="n"/>
      <c r="M643" s="14" t="n"/>
      <c r="N643" s="14" t="n"/>
      <c r="O643" s="14" t="n"/>
      <c r="P643" s="14" t="n"/>
      <c r="Q643" s="14" t="n"/>
      <c r="R643" s="14" t="n"/>
      <c r="S643" s="14" t="n"/>
      <c r="T643" s="14" t="n"/>
      <c r="U643" s="14" t="n"/>
      <c r="V643" s="14" t="n"/>
      <c r="W643" s="14" t="n"/>
      <c r="X643" s="14" t="n"/>
      <c r="Y643" s="14" t="n"/>
      <c r="Z643" s="14" t="n"/>
      <c r="AA643" s="14" t="n"/>
      <c r="AB643" s="14" t="n"/>
      <c r="AC643" s="14" t="n"/>
      <c r="AD643" s="14" t="n"/>
      <c r="AE643" s="14" t="n"/>
      <c r="AF643" s="14" t="n"/>
      <c r="AG643" s="14" t="n"/>
      <c r="AH643" s="14" t="n"/>
      <c r="AI643" s="14" t="n"/>
      <c r="AJ643" s="14" t="n"/>
      <c r="AK643" s="14" t="n"/>
      <c r="AL643" s="14" t="n"/>
      <c r="AM643" s="14" t="n"/>
      <c r="AN643" s="14" t="n"/>
      <c r="AO643" s="14" t="n"/>
      <c r="AP643" s="14" t="n"/>
      <c r="AQ643" s="14" t="n"/>
      <c r="AR643" s="14" t="n"/>
      <c r="AS643" s="14" t="n"/>
      <c r="AT643" s="14" t="n"/>
      <c r="AU643" s="14" t="n"/>
      <c r="AV643" s="14" t="n"/>
      <c r="AW643" s="14" t="n"/>
      <c r="AX643" s="14" t="n"/>
      <c r="AY643" s="14" t="n"/>
      <c r="AZ643" s="14" t="n"/>
      <c r="BA643" s="14" t="n"/>
      <c r="BB643" s="14" t="n"/>
      <c r="BC643" s="14" t="n"/>
      <c r="BD643" s="14" t="n"/>
      <c r="BE643" s="14" t="n"/>
      <c r="BF643" s="14" t="n"/>
      <c r="BG643" s="14" t="n"/>
      <c r="BH643" s="14" t="n"/>
      <c r="BI643" s="14" t="n"/>
      <c r="BJ643" s="14" t="n"/>
      <c r="BK643" s="14" t="n"/>
      <c r="BL643" s="14" t="n"/>
      <c r="BM643" s="14" t="n"/>
      <c r="BN643" s="14" t="n"/>
      <c r="BO643" s="14" t="n"/>
      <c r="BP643" s="14" t="n"/>
      <c r="BQ643" s="14" t="n"/>
      <c r="BR643" s="14" t="n"/>
      <c r="BS643" s="14" t="n"/>
      <c r="BT643" s="14" t="n"/>
      <c r="BU643" s="14" t="n"/>
      <c r="BV643" s="14" t="n"/>
      <c r="BW643" s="14" t="n"/>
      <c r="BX643" s="14" t="n"/>
      <c r="BY643" s="14" t="n"/>
      <c r="BZ643" s="14" t="n"/>
      <c r="CA643" s="14" t="n"/>
      <c r="CB643" s="14" t="n"/>
      <c r="CC643" s="14" t="n"/>
      <c r="CD643" s="14" t="n"/>
      <c r="CE643" s="14" t="n"/>
      <c r="CF643" s="14" t="n"/>
      <c r="CG643" s="14" t="n"/>
      <c r="CH643" s="14" t="n"/>
      <c r="CI643" s="14" t="n"/>
      <c r="CJ643" s="14" t="n"/>
      <c r="CK643" s="14" t="n"/>
      <c r="CL643" s="14" t="n"/>
      <c r="CM643" s="14" t="n"/>
      <c r="CN643" s="14" t="n"/>
      <c r="CO643" s="14" t="n"/>
      <c r="CP643" s="14" t="n"/>
      <c r="CQ643" s="14" t="n"/>
      <c r="CR643" s="14" t="n"/>
      <c r="CS643" s="14" t="n"/>
      <c r="CT643" s="14" t="n"/>
      <c r="CU643" s="14" t="n"/>
      <c r="CV643" s="14" t="n"/>
      <c r="CW643" s="14" t="n"/>
      <c r="CX643" s="14" t="n"/>
      <c r="CY643" s="14" t="n"/>
      <c r="CZ643" s="14" t="n"/>
      <c r="DA643" s="14" t="n"/>
      <c r="DB643" s="14" t="n"/>
      <c r="DC643" s="14" t="n"/>
    </row>
    <row r="644">
      <c r="B644" t="inlineStr">
        <is>
          <t>TSP-219</t>
        </is>
      </c>
      <c r="C644" t="inlineStr">
        <is>
          <t>No. of batches</t>
        </is>
      </c>
      <c r="D644">
        <f>IFERROR(INDEX(PP_Grid[#Data],$DD644,2),0)</f>
        <v/>
      </c>
      <c r="E644">
        <f>IFERROR(INDEX(PP_Grid[#Data],$DD644,3),0)</f>
        <v/>
      </c>
      <c r="F644">
        <f>IFERROR(INDEX(PP_Grid[#Data],$DD644,4),0)</f>
        <v/>
      </c>
      <c r="G644">
        <f>IFERROR(INDEX(PP_Grid[#Data],$DD644,5),0)</f>
        <v/>
      </c>
      <c r="H644">
        <f>IFERROR(INDEX(PP_Grid[#Data],$DD644,6),0)</f>
        <v/>
      </c>
      <c r="I644">
        <f>IFERROR(INDEX(PP_Grid[#Data],$DD644,7),0)</f>
        <v/>
      </c>
      <c r="J644">
        <f>IFERROR(INDEX(PP_Grid[#Data],$DD644,8),0)</f>
        <v/>
      </c>
      <c r="K644">
        <f>IFERROR(INDEX(PP_Grid[#Data],$DD644,9),0)</f>
        <v/>
      </c>
      <c r="L644">
        <f>IFERROR(INDEX(PP_Grid[#Data],$DD644,10),0)</f>
        <v/>
      </c>
      <c r="M644">
        <f>IFERROR(INDEX(PP_Grid[#Data],$DD644,11),0)</f>
        <v/>
      </c>
      <c r="N644">
        <f>IFERROR(INDEX(PP_Grid[#Data],$DD644,12),0)</f>
        <v/>
      </c>
      <c r="O644">
        <f>IFERROR(INDEX(PP_Grid[#Data],$DD644,13),0)</f>
        <v/>
      </c>
      <c r="P644">
        <f>IFERROR(INDEX(PP_Grid[#Data],$DD644,14),0)</f>
        <v/>
      </c>
      <c r="Q644">
        <f>IFERROR(INDEX(PP_Grid[#Data],$DD644,15),0)</f>
        <v/>
      </c>
      <c r="R644">
        <f>IFERROR(INDEX(PP_Grid[#Data],$DD644,16),0)</f>
        <v/>
      </c>
      <c r="S644">
        <f>IFERROR(INDEX(PP_Grid[#Data],$DD644,17),0)</f>
        <v/>
      </c>
      <c r="T644">
        <f>IFERROR(INDEX(PP_Grid[#Data],$DD644,18),0)</f>
        <v/>
      </c>
      <c r="U644">
        <f>IFERROR(INDEX(PP_Grid[#Data],$DD644,19),0)</f>
        <v/>
      </c>
      <c r="V644">
        <f>IFERROR(INDEX(PP_Grid[#Data],$DD644,20),0)</f>
        <v/>
      </c>
      <c r="W644">
        <f>IFERROR(INDEX(PP_Grid[#Data],$DD644,21),0)</f>
        <v/>
      </c>
      <c r="X644">
        <f>IFERROR(INDEX(PP_Grid[#Data],$DD644,22),0)</f>
        <v/>
      </c>
      <c r="Y644">
        <f>IFERROR(INDEX(PP_Grid[#Data],$DD644,23),0)</f>
        <v/>
      </c>
      <c r="Z644">
        <f>IFERROR(INDEX(PP_Grid[#Data],$DD644,24),0)</f>
        <v/>
      </c>
      <c r="AA644">
        <f>IFERROR(INDEX(PP_Grid[#Data],$DD644,25),0)</f>
        <v/>
      </c>
      <c r="AB644">
        <f>IFERROR(INDEX(PP_Grid[#Data],$DD644,26),0)</f>
        <v/>
      </c>
      <c r="AC644">
        <f>IFERROR(INDEX(PP_Grid[#Data],$DD644,27),0)</f>
        <v/>
      </c>
      <c r="AD644">
        <f>IFERROR(INDEX(PP_Grid[#Data],$DD644,28),0)</f>
        <v/>
      </c>
      <c r="AE644">
        <f>IFERROR(INDEX(PP_Grid[#Data],$DD644,29),0)</f>
        <v/>
      </c>
      <c r="AF644">
        <f>IFERROR(INDEX(PP_Grid[#Data],$DD644,30),0)</f>
        <v/>
      </c>
      <c r="AG644">
        <f>IFERROR(INDEX(PP_Grid[#Data],$DD644,31),0)</f>
        <v/>
      </c>
      <c r="AH644">
        <f>IFERROR(INDEX(PP_Grid[#Data],$DD644,32),0)</f>
        <v/>
      </c>
      <c r="AI644">
        <f>IFERROR(INDEX(PP_Grid[#Data],$DD644,33),0)</f>
        <v/>
      </c>
      <c r="AJ644">
        <f>IFERROR(INDEX(PP_Grid[#Data],$DD644,34),0)</f>
        <v/>
      </c>
      <c r="AK644">
        <f>IFERROR(INDEX(PP_Grid[#Data],$DD644,35),0)</f>
        <v/>
      </c>
      <c r="AL644">
        <f>IFERROR(INDEX(PP_Grid[#Data],$DD644,36),0)</f>
        <v/>
      </c>
      <c r="AM644">
        <f>IFERROR(INDEX(PP_Grid[#Data],$DD644,37),0)</f>
        <v/>
      </c>
      <c r="AN644">
        <f>IFERROR(INDEX(PP_Grid[#Data],$DD644,38),0)</f>
        <v/>
      </c>
      <c r="AO644">
        <f>IFERROR(INDEX(PP_Grid[#Data],$DD644,39),0)</f>
        <v/>
      </c>
      <c r="AP644">
        <f>IFERROR(INDEX(PP_Grid[#Data],$DD644,40),0)</f>
        <v/>
      </c>
      <c r="AQ644">
        <f>IFERROR(INDEX(PP_Grid[#Data],$DD644,41),0)</f>
        <v/>
      </c>
      <c r="AR644">
        <f>IFERROR(INDEX(PP_Grid[#Data],$DD644,42),0)</f>
        <v/>
      </c>
      <c r="AS644">
        <f>IFERROR(INDEX(PP_Grid[#Data],$DD644,43),0)</f>
        <v/>
      </c>
      <c r="AT644">
        <f>IFERROR(INDEX(PP_Grid[#Data],$DD644,44),0)</f>
        <v/>
      </c>
      <c r="AU644">
        <f>IFERROR(INDEX(PP_Grid[#Data],$DD644,45),0)</f>
        <v/>
      </c>
      <c r="AV644">
        <f>IFERROR(INDEX(PP_Grid[#Data],$DD644,46),0)</f>
        <v/>
      </c>
      <c r="AW644">
        <f>IFERROR(INDEX(PP_Grid[#Data],$DD644,47),0)</f>
        <v/>
      </c>
      <c r="AX644">
        <f>IFERROR(INDEX(PP_Grid[#Data],$DD644,48),0)</f>
        <v/>
      </c>
      <c r="AY644">
        <f>IFERROR(INDEX(PP_Grid[#Data],$DD644,49),0)</f>
        <v/>
      </c>
      <c r="AZ644">
        <f>IFERROR(INDEX(PP_Grid[#Data],$DD644,50),0)</f>
        <v/>
      </c>
      <c r="BA644">
        <f>IFERROR(INDEX(PP_Grid[#Data],$DD644,51),0)</f>
        <v/>
      </c>
      <c r="BB644">
        <f>IFERROR(INDEX(PP_Grid[#Data],$DD644,52),0)</f>
        <v/>
      </c>
      <c r="BC644">
        <f>IFERROR(INDEX(PP_Grid[#Data],$DD644,53),0)</f>
        <v/>
      </c>
      <c r="BD644">
        <f>IFERROR(INDEX(PP_Grid[#Data],$DD644,54),0)</f>
        <v/>
      </c>
      <c r="BE644">
        <f>IFERROR(INDEX(PP_Grid[#Data],$DD644,55),0)</f>
        <v/>
      </c>
      <c r="BF644">
        <f>IFERROR(INDEX(PP_Grid[#Data],$DD644,56),0)</f>
        <v/>
      </c>
      <c r="BG644">
        <f>IFERROR(INDEX(PP_Grid[#Data],$DD644,57),0)</f>
        <v/>
      </c>
      <c r="BH644">
        <f>IFERROR(INDEX(PP_Grid[#Data],$DD644,58),0)</f>
        <v/>
      </c>
      <c r="BI644">
        <f>IFERROR(INDEX(PP_Grid[#Data],$DD644,59),0)</f>
        <v/>
      </c>
      <c r="BJ644">
        <f>IFERROR(INDEX(PP_Grid[#Data],$DD644,60),0)</f>
        <v/>
      </c>
      <c r="BK644">
        <f>IFERROR(INDEX(PP_Grid[#Data],$DD644,61),0)</f>
        <v/>
      </c>
      <c r="BL644">
        <f>IFERROR(INDEX(PP_Grid[#Data],$DD644,62),0)</f>
        <v/>
      </c>
      <c r="BM644">
        <f>IFERROR(INDEX(PP_Grid[#Data],$DD644,63),0)</f>
        <v/>
      </c>
      <c r="BN644">
        <f>IFERROR(INDEX(PP_Grid[#Data],$DD644,64),0)</f>
        <v/>
      </c>
      <c r="BO644">
        <f>IFERROR(INDEX(PP_Grid[#Data],$DD644,65),0)</f>
        <v/>
      </c>
      <c r="BP644">
        <f>IFERROR(INDEX(PP_Grid[#Data],$DD644,66),0)</f>
        <v/>
      </c>
      <c r="BQ644">
        <f>IFERROR(INDEX(PP_Grid[#Data],$DD644,67),0)</f>
        <v/>
      </c>
      <c r="BR644">
        <f>IFERROR(INDEX(PP_Grid[#Data],$DD644,68),0)</f>
        <v/>
      </c>
      <c r="BS644">
        <f>IFERROR(INDEX(PP_Grid[#Data],$DD644,69),0)</f>
        <v/>
      </c>
      <c r="BT644">
        <f>IFERROR(INDEX(PP_Grid[#Data],$DD644,70),0)</f>
        <v/>
      </c>
      <c r="BU644">
        <f>IFERROR(INDEX(PP_Grid[#Data],$DD644,71),0)</f>
        <v/>
      </c>
      <c r="BV644">
        <f>IFERROR(INDEX(PP_Grid[#Data],$DD644,72),0)</f>
        <v/>
      </c>
      <c r="BW644">
        <f>IFERROR(INDEX(PP_Grid[#Data],$DD644,73),0)</f>
        <v/>
      </c>
      <c r="BX644">
        <f>IFERROR(INDEX(PP_Grid[#Data],$DD644,74),0)</f>
        <v/>
      </c>
      <c r="BY644">
        <f>IFERROR(INDEX(PP_Grid[#Data],$DD644,75),0)</f>
        <v/>
      </c>
      <c r="BZ644">
        <f>IFERROR(INDEX(PP_Grid[#Data],$DD644,76),0)</f>
        <v/>
      </c>
      <c r="CA644">
        <f>IFERROR(INDEX(PP_Grid[#Data],$DD644,77),0)</f>
        <v/>
      </c>
      <c r="CB644">
        <f>IFERROR(INDEX(PP_Grid[#Data],$DD644,78),0)</f>
        <v/>
      </c>
      <c r="CC644">
        <f>IFERROR(INDEX(PP_Grid[#Data],$DD644,79),0)</f>
        <v/>
      </c>
      <c r="CD644">
        <f>IFERROR(INDEX(PP_Grid[#Data],$DD644,80),0)</f>
        <v/>
      </c>
      <c r="CE644">
        <f>IFERROR(INDEX(PP_Grid[#Data],$DD644,81),0)</f>
        <v/>
      </c>
      <c r="CF644">
        <f>IFERROR(INDEX(PP_Grid[#Data],$DD644,82),0)</f>
        <v/>
      </c>
      <c r="CG644">
        <f>IFERROR(INDEX(PP_Grid[#Data],$DD644,83),0)</f>
        <v/>
      </c>
      <c r="CH644">
        <f>IFERROR(INDEX(PP_Grid[#Data],$DD644,84),0)</f>
        <v/>
      </c>
      <c r="CI644">
        <f>IFERROR(INDEX(PP_Grid[#Data],$DD644,85),0)</f>
        <v/>
      </c>
      <c r="CJ644">
        <f>IFERROR(INDEX(PP_Grid[#Data],$DD644,86),0)</f>
        <v/>
      </c>
      <c r="CK644">
        <f>IFERROR(INDEX(PP_Grid[#Data],$DD644,87),0)</f>
        <v/>
      </c>
      <c r="CL644">
        <f>IFERROR(INDEX(PP_Grid[#Data],$DD644,88),0)</f>
        <v/>
      </c>
      <c r="CM644">
        <f>IFERROR(INDEX(PP_Grid[#Data],$DD644,89),0)</f>
        <v/>
      </c>
      <c r="CN644">
        <f>IFERROR(INDEX(PP_Grid[#Data],$DD644,90),0)</f>
        <v/>
      </c>
      <c r="CO644">
        <f>IFERROR(INDEX(PP_Grid[#Data],$DD644,91),0)</f>
        <v/>
      </c>
      <c r="CP644">
        <f>IFERROR(INDEX(PP_Grid[#Data],$DD644,92),0)</f>
        <v/>
      </c>
      <c r="CQ644">
        <f>IFERROR(INDEX(PP_Grid[#Data],$DD644,93),0)</f>
        <v/>
      </c>
      <c r="CR644">
        <f>IFERROR(INDEX(PP_Grid[#Data],$DD644,94),0)</f>
        <v/>
      </c>
      <c r="CS644">
        <f>IFERROR(INDEX(PP_Grid[#Data],$DD644,95),0)</f>
        <v/>
      </c>
      <c r="CT644">
        <f>IFERROR(INDEX(PP_Grid[#Data],$DD644,96),0)</f>
        <v/>
      </c>
      <c r="CU644">
        <f>IFERROR(INDEX(PP_Grid[#Data],$DD644,97),0)</f>
        <v/>
      </c>
      <c r="CV644">
        <f>IFERROR(INDEX(PP_Grid[#Data],$DD644,98),0)</f>
        <v/>
      </c>
      <c r="CW644">
        <f>IFERROR(INDEX(PP_Grid[#Data],$DD644,99),0)</f>
        <v/>
      </c>
      <c r="CX644">
        <f>IFERROR(INDEX(PP_Grid[#Data],$DD644,100),0)</f>
        <v/>
      </c>
      <c r="CY644">
        <f>IFERROR(INDEX(PP_Grid[#Data],$DD644,101),0)</f>
        <v/>
      </c>
      <c r="CZ644">
        <f>IFERROR(INDEX(PP_Grid[#Data],$DD644,102),0)</f>
        <v/>
      </c>
      <c r="DA644">
        <f>IFERROR(INDEX(PP_Grid[#Data],$DD644,103),0)</f>
        <v/>
      </c>
      <c r="DB644">
        <f>IFERROR(INDEX(PP_Grid[#Data],$DD644,104),0)</f>
        <v/>
      </c>
      <c r="DC644">
        <f>IFERROR(INDEX(PP_Grid[#Data],$DD644,105),0)</f>
        <v/>
      </c>
      <c r="DD644" s="7">
        <f>IFERROR(MATCH($B644,PP_Grid[Intermediate],0),99999)</f>
        <v/>
      </c>
    </row>
    <row r="645">
      <c r="B645" t="inlineStr">
        <is>
          <t>使用量(kg)</t>
        </is>
      </c>
      <c r="C645">
        <f>SUMIFS(M_BOM[RM_Qty_Per_Batch],M_BOM[Intermediate],$B644,M_BOM[Part Name],$A643)</f>
        <v/>
      </c>
      <c r="D645">
        <f>$C645*D644</f>
        <v/>
      </c>
      <c r="E645">
        <f>$C645*E644</f>
        <v/>
      </c>
      <c r="F645">
        <f>$C645*F644</f>
        <v/>
      </c>
      <c r="G645">
        <f>$C645*G644</f>
        <v/>
      </c>
      <c r="H645">
        <f>$C645*H644</f>
        <v/>
      </c>
      <c r="I645">
        <f>$C645*I644</f>
        <v/>
      </c>
      <c r="J645">
        <f>$C645*J644</f>
        <v/>
      </c>
      <c r="K645">
        <f>$C645*K644</f>
        <v/>
      </c>
      <c r="L645">
        <f>$C645*L644</f>
        <v/>
      </c>
      <c r="M645">
        <f>$C645*M644</f>
        <v/>
      </c>
      <c r="N645">
        <f>$C645*N644</f>
        <v/>
      </c>
      <c r="O645">
        <f>$C645*O644</f>
        <v/>
      </c>
      <c r="P645">
        <f>$C645*P644</f>
        <v/>
      </c>
      <c r="Q645">
        <f>$C645*Q644</f>
        <v/>
      </c>
      <c r="R645">
        <f>$C645*R644</f>
        <v/>
      </c>
      <c r="S645">
        <f>$C645*S644</f>
        <v/>
      </c>
      <c r="T645">
        <f>$C645*T644</f>
        <v/>
      </c>
      <c r="U645">
        <f>$C645*U644</f>
        <v/>
      </c>
      <c r="V645">
        <f>$C645*V644</f>
        <v/>
      </c>
      <c r="W645">
        <f>$C645*W644</f>
        <v/>
      </c>
      <c r="X645">
        <f>$C645*X644</f>
        <v/>
      </c>
      <c r="Y645">
        <f>$C645*Y644</f>
        <v/>
      </c>
      <c r="Z645">
        <f>$C645*Z644</f>
        <v/>
      </c>
      <c r="AA645">
        <f>$C645*AA644</f>
        <v/>
      </c>
      <c r="AB645">
        <f>$C645*AB644</f>
        <v/>
      </c>
      <c r="AC645">
        <f>$C645*AC644</f>
        <v/>
      </c>
      <c r="AD645">
        <f>$C645*AD644</f>
        <v/>
      </c>
      <c r="AE645">
        <f>$C645*AE644</f>
        <v/>
      </c>
      <c r="AF645">
        <f>$C645*AF644</f>
        <v/>
      </c>
      <c r="AG645">
        <f>$C645*AG644</f>
        <v/>
      </c>
      <c r="AH645">
        <f>$C645*AH644</f>
        <v/>
      </c>
      <c r="AI645">
        <f>$C645*AI644</f>
        <v/>
      </c>
      <c r="AJ645">
        <f>$C645*AJ644</f>
        <v/>
      </c>
      <c r="AK645">
        <f>$C645*AK644</f>
        <v/>
      </c>
      <c r="AL645">
        <f>$C645*AL644</f>
        <v/>
      </c>
      <c r="AM645">
        <f>$C645*AM644</f>
        <v/>
      </c>
      <c r="AN645">
        <f>$C645*AN644</f>
        <v/>
      </c>
      <c r="AO645">
        <f>$C645*AO644</f>
        <v/>
      </c>
      <c r="AP645">
        <f>$C645*AP644</f>
        <v/>
      </c>
      <c r="AQ645">
        <f>$C645*AQ644</f>
        <v/>
      </c>
      <c r="AR645">
        <f>$C645*AR644</f>
        <v/>
      </c>
      <c r="AS645">
        <f>$C645*AS644</f>
        <v/>
      </c>
      <c r="AT645">
        <f>$C645*AT644</f>
        <v/>
      </c>
      <c r="AU645">
        <f>$C645*AU644</f>
        <v/>
      </c>
      <c r="AV645">
        <f>$C645*AV644</f>
        <v/>
      </c>
      <c r="AW645">
        <f>$C645*AW644</f>
        <v/>
      </c>
      <c r="AX645">
        <f>$C645*AX644</f>
        <v/>
      </c>
      <c r="AY645">
        <f>$C645*AY644</f>
        <v/>
      </c>
      <c r="AZ645">
        <f>$C645*AZ644</f>
        <v/>
      </c>
      <c r="BA645">
        <f>$C645*BA644</f>
        <v/>
      </c>
      <c r="BB645">
        <f>$C645*BB644</f>
        <v/>
      </c>
      <c r="BC645">
        <f>$C645*BC644</f>
        <v/>
      </c>
      <c r="BD645">
        <f>$C645*BD644</f>
        <v/>
      </c>
      <c r="BE645">
        <f>$C645*BE644</f>
        <v/>
      </c>
      <c r="BF645">
        <f>$C645*BF644</f>
        <v/>
      </c>
      <c r="BG645">
        <f>$C645*BG644</f>
        <v/>
      </c>
      <c r="BH645">
        <f>$C645*BH644</f>
        <v/>
      </c>
      <c r="BI645">
        <f>$C645*BI644</f>
        <v/>
      </c>
      <c r="BJ645">
        <f>$C645*BJ644</f>
        <v/>
      </c>
      <c r="BK645">
        <f>$C645*BK644</f>
        <v/>
      </c>
      <c r="BL645">
        <f>$C645*BL644</f>
        <v/>
      </c>
      <c r="BM645">
        <f>$C645*BM644</f>
        <v/>
      </c>
      <c r="BN645">
        <f>$C645*BN644</f>
        <v/>
      </c>
      <c r="BO645">
        <f>$C645*BO644</f>
        <v/>
      </c>
      <c r="BP645">
        <f>$C645*BP644</f>
        <v/>
      </c>
      <c r="BQ645">
        <f>$C645*BQ644</f>
        <v/>
      </c>
      <c r="BR645">
        <f>$C645*BR644</f>
        <v/>
      </c>
      <c r="BS645">
        <f>$C645*BS644</f>
        <v/>
      </c>
      <c r="BT645">
        <f>$C645*BT644</f>
        <v/>
      </c>
      <c r="BU645">
        <f>$C645*BU644</f>
        <v/>
      </c>
      <c r="BV645">
        <f>$C645*BV644</f>
        <v/>
      </c>
      <c r="BW645">
        <f>$C645*BW644</f>
        <v/>
      </c>
      <c r="BX645">
        <f>$C645*BX644</f>
        <v/>
      </c>
      <c r="BY645">
        <f>$C645*BY644</f>
        <v/>
      </c>
      <c r="BZ645">
        <f>$C645*BZ644</f>
        <v/>
      </c>
      <c r="CA645">
        <f>$C645*CA644</f>
        <v/>
      </c>
      <c r="CB645">
        <f>$C645*CB644</f>
        <v/>
      </c>
      <c r="CC645">
        <f>$C645*CC644</f>
        <v/>
      </c>
      <c r="CD645">
        <f>$C645*CD644</f>
        <v/>
      </c>
      <c r="CE645">
        <f>$C645*CE644</f>
        <v/>
      </c>
      <c r="CF645">
        <f>$C645*CF644</f>
        <v/>
      </c>
      <c r="CG645">
        <f>$C645*CG644</f>
        <v/>
      </c>
      <c r="CH645">
        <f>$C645*CH644</f>
        <v/>
      </c>
      <c r="CI645">
        <f>$C645*CI644</f>
        <v/>
      </c>
      <c r="CJ645">
        <f>$C645*CJ644</f>
        <v/>
      </c>
      <c r="CK645">
        <f>$C645*CK644</f>
        <v/>
      </c>
      <c r="CL645">
        <f>$C645*CL644</f>
        <v/>
      </c>
      <c r="CM645">
        <f>$C645*CM644</f>
        <v/>
      </c>
      <c r="CN645">
        <f>$C645*CN644</f>
        <v/>
      </c>
      <c r="CO645">
        <f>$C645*CO644</f>
        <v/>
      </c>
      <c r="CP645">
        <f>$C645*CP644</f>
        <v/>
      </c>
      <c r="CQ645">
        <f>$C645*CQ644</f>
        <v/>
      </c>
      <c r="CR645">
        <f>$C645*CR644</f>
        <v/>
      </c>
      <c r="CS645">
        <f>$C645*CS644</f>
        <v/>
      </c>
      <c r="CT645">
        <f>$C645*CT644</f>
        <v/>
      </c>
      <c r="CU645">
        <f>$C645*CU644</f>
        <v/>
      </c>
      <c r="CV645">
        <f>$C645*CV644</f>
        <v/>
      </c>
      <c r="CW645">
        <f>$C645*CW644</f>
        <v/>
      </c>
      <c r="CX645">
        <f>$C645*CX644</f>
        <v/>
      </c>
      <c r="CY645">
        <f>$C645*CY644</f>
        <v/>
      </c>
      <c r="CZ645">
        <f>$C645*CZ644</f>
        <v/>
      </c>
      <c r="DA645">
        <f>$C645*DA644</f>
        <v/>
      </c>
      <c r="DB645">
        <f>$C645*DB644</f>
        <v/>
      </c>
      <c r="DC645">
        <f>$C645*DC644</f>
        <v/>
      </c>
    </row>
    <row r="646">
      <c r="B646" t="inlineStr">
        <is>
          <t>TSP-655</t>
        </is>
      </c>
      <c r="C646" t="inlineStr">
        <is>
          <t>No. of batches</t>
        </is>
      </c>
      <c r="D646">
        <f>IFERROR(INDEX(PP_Grid[#Data],$DD646,2),0)</f>
        <v/>
      </c>
      <c r="E646">
        <f>IFERROR(INDEX(PP_Grid[#Data],$DD646,3),0)</f>
        <v/>
      </c>
      <c r="F646">
        <f>IFERROR(INDEX(PP_Grid[#Data],$DD646,4),0)</f>
        <v/>
      </c>
      <c r="G646">
        <f>IFERROR(INDEX(PP_Grid[#Data],$DD646,5),0)</f>
        <v/>
      </c>
      <c r="H646">
        <f>IFERROR(INDEX(PP_Grid[#Data],$DD646,6),0)</f>
        <v/>
      </c>
      <c r="I646">
        <f>IFERROR(INDEX(PP_Grid[#Data],$DD646,7),0)</f>
        <v/>
      </c>
      <c r="J646">
        <f>IFERROR(INDEX(PP_Grid[#Data],$DD646,8),0)</f>
        <v/>
      </c>
      <c r="K646">
        <f>IFERROR(INDEX(PP_Grid[#Data],$DD646,9),0)</f>
        <v/>
      </c>
      <c r="L646">
        <f>IFERROR(INDEX(PP_Grid[#Data],$DD646,10),0)</f>
        <v/>
      </c>
      <c r="M646">
        <f>IFERROR(INDEX(PP_Grid[#Data],$DD646,11),0)</f>
        <v/>
      </c>
      <c r="N646">
        <f>IFERROR(INDEX(PP_Grid[#Data],$DD646,12),0)</f>
        <v/>
      </c>
      <c r="O646">
        <f>IFERROR(INDEX(PP_Grid[#Data],$DD646,13),0)</f>
        <v/>
      </c>
      <c r="P646">
        <f>IFERROR(INDEX(PP_Grid[#Data],$DD646,14),0)</f>
        <v/>
      </c>
      <c r="Q646">
        <f>IFERROR(INDEX(PP_Grid[#Data],$DD646,15),0)</f>
        <v/>
      </c>
      <c r="R646">
        <f>IFERROR(INDEX(PP_Grid[#Data],$DD646,16),0)</f>
        <v/>
      </c>
      <c r="S646">
        <f>IFERROR(INDEX(PP_Grid[#Data],$DD646,17),0)</f>
        <v/>
      </c>
      <c r="T646">
        <f>IFERROR(INDEX(PP_Grid[#Data],$DD646,18),0)</f>
        <v/>
      </c>
      <c r="U646">
        <f>IFERROR(INDEX(PP_Grid[#Data],$DD646,19),0)</f>
        <v/>
      </c>
      <c r="V646">
        <f>IFERROR(INDEX(PP_Grid[#Data],$DD646,20),0)</f>
        <v/>
      </c>
      <c r="W646">
        <f>IFERROR(INDEX(PP_Grid[#Data],$DD646,21),0)</f>
        <v/>
      </c>
      <c r="X646">
        <f>IFERROR(INDEX(PP_Grid[#Data],$DD646,22),0)</f>
        <v/>
      </c>
      <c r="Y646">
        <f>IFERROR(INDEX(PP_Grid[#Data],$DD646,23),0)</f>
        <v/>
      </c>
      <c r="Z646">
        <f>IFERROR(INDEX(PP_Grid[#Data],$DD646,24),0)</f>
        <v/>
      </c>
      <c r="AA646">
        <f>IFERROR(INDEX(PP_Grid[#Data],$DD646,25),0)</f>
        <v/>
      </c>
      <c r="AB646">
        <f>IFERROR(INDEX(PP_Grid[#Data],$DD646,26),0)</f>
        <v/>
      </c>
      <c r="AC646">
        <f>IFERROR(INDEX(PP_Grid[#Data],$DD646,27),0)</f>
        <v/>
      </c>
      <c r="AD646">
        <f>IFERROR(INDEX(PP_Grid[#Data],$DD646,28),0)</f>
        <v/>
      </c>
      <c r="AE646">
        <f>IFERROR(INDEX(PP_Grid[#Data],$DD646,29),0)</f>
        <v/>
      </c>
      <c r="AF646">
        <f>IFERROR(INDEX(PP_Grid[#Data],$DD646,30),0)</f>
        <v/>
      </c>
      <c r="AG646">
        <f>IFERROR(INDEX(PP_Grid[#Data],$DD646,31),0)</f>
        <v/>
      </c>
      <c r="AH646">
        <f>IFERROR(INDEX(PP_Grid[#Data],$DD646,32),0)</f>
        <v/>
      </c>
      <c r="AI646">
        <f>IFERROR(INDEX(PP_Grid[#Data],$DD646,33),0)</f>
        <v/>
      </c>
      <c r="AJ646">
        <f>IFERROR(INDEX(PP_Grid[#Data],$DD646,34),0)</f>
        <v/>
      </c>
      <c r="AK646">
        <f>IFERROR(INDEX(PP_Grid[#Data],$DD646,35),0)</f>
        <v/>
      </c>
      <c r="AL646">
        <f>IFERROR(INDEX(PP_Grid[#Data],$DD646,36),0)</f>
        <v/>
      </c>
      <c r="AM646">
        <f>IFERROR(INDEX(PP_Grid[#Data],$DD646,37),0)</f>
        <v/>
      </c>
      <c r="AN646">
        <f>IFERROR(INDEX(PP_Grid[#Data],$DD646,38),0)</f>
        <v/>
      </c>
      <c r="AO646">
        <f>IFERROR(INDEX(PP_Grid[#Data],$DD646,39),0)</f>
        <v/>
      </c>
      <c r="AP646">
        <f>IFERROR(INDEX(PP_Grid[#Data],$DD646,40),0)</f>
        <v/>
      </c>
      <c r="AQ646">
        <f>IFERROR(INDEX(PP_Grid[#Data],$DD646,41),0)</f>
        <v/>
      </c>
      <c r="AR646">
        <f>IFERROR(INDEX(PP_Grid[#Data],$DD646,42),0)</f>
        <v/>
      </c>
      <c r="AS646">
        <f>IFERROR(INDEX(PP_Grid[#Data],$DD646,43),0)</f>
        <v/>
      </c>
      <c r="AT646">
        <f>IFERROR(INDEX(PP_Grid[#Data],$DD646,44),0)</f>
        <v/>
      </c>
      <c r="AU646">
        <f>IFERROR(INDEX(PP_Grid[#Data],$DD646,45),0)</f>
        <v/>
      </c>
      <c r="AV646">
        <f>IFERROR(INDEX(PP_Grid[#Data],$DD646,46),0)</f>
        <v/>
      </c>
      <c r="AW646">
        <f>IFERROR(INDEX(PP_Grid[#Data],$DD646,47),0)</f>
        <v/>
      </c>
      <c r="AX646">
        <f>IFERROR(INDEX(PP_Grid[#Data],$DD646,48),0)</f>
        <v/>
      </c>
      <c r="AY646">
        <f>IFERROR(INDEX(PP_Grid[#Data],$DD646,49),0)</f>
        <v/>
      </c>
      <c r="AZ646">
        <f>IFERROR(INDEX(PP_Grid[#Data],$DD646,50),0)</f>
        <v/>
      </c>
      <c r="BA646">
        <f>IFERROR(INDEX(PP_Grid[#Data],$DD646,51),0)</f>
        <v/>
      </c>
      <c r="BB646">
        <f>IFERROR(INDEX(PP_Grid[#Data],$DD646,52),0)</f>
        <v/>
      </c>
      <c r="BC646">
        <f>IFERROR(INDEX(PP_Grid[#Data],$DD646,53),0)</f>
        <v/>
      </c>
      <c r="BD646">
        <f>IFERROR(INDEX(PP_Grid[#Data],$DD646,54),0)</f>
        <v/>
      </c>
      <c r="BE646">
        <f>IFERROR(INDEX(PP_Grid[#Data],$DD646,55),0)</f>
        <v/>
      </c>
      <c r="BF646">
        <f>IFERROR(INDEX(PP_Grid[#Data],$DD646,56),0)</f>
        <v/>
      </c>
      <c r="BG646">
        <f>IFERROR(INDEX(PP_Grid[#Data],$DD646,57),0)</f>
        <v/>
      </c>
      <c r="BH646">
        <f>IFERROR(INDEX(PP_Grid[#Data],$DD646,58),0)</f>
        <v/>
      </c>
      <c r="BI646">
        <f>IFERROR(INDEX(PP_Grid[#Data],$DD646,59),0)</f>
        <v/>
      </c>
      <c r="BJ646">
        <f>IFERROR(INDEX(PP_Grid[#Data],$DD646,60),0)</f>
        <v/>
      </c>
      <c r="BK646">
        <f>IFERROR(INDEX(PP_Grid[#Data],$DD646,61),0)</f>
        <v/>
      </c>
      <c r="BL646">
        <f>IFERROR(INDEX(PP_Grid[#Data],$DD646,62),0)</f>
        <v/>
      </c>
      <c r="BM646">
        <f>IFERROR(INDEX(PP_Grid[#Data],$DD646,63),0)</f>
        <v/>
      </c>
      <c r="BN646">
        <f>IFERROR(INDEX(PP_Grid[#Data],$DD646,64),0)</f>
        <v/>
      </c>
      <c r="BO646">
        <f>IFERROR(INDEX(PP_Grid[#Data],$DD646,65),0)</f>
        <v/>
      </c>
      <c r="BP646">
        <f>IFERROR(INDEX(PP_Grid[#Data],$DD646,66),0)</f>
        <v/>
      </c>
      <c r="BQ646">
        <f>IFERROR(INDEX(PP_Grid[#Data],$DD646,67),0)</f>
        <v/>
      </c>
      <c r="BR646">
        <f>IFERROR(INDEX(PP_Grid[#Data],$DD646,68),0)</f>
        <v/>
      </c>
      <c r="BS646">
        <f>IFERROR(INDEX(PP_Grid[#Data],$DD646,69),0)</f>
        <v/>
      </c>
      <c r="BT646">
        <f>IFERROR(INDEX(PP_Grid[#Data],$DD646,70),0)</f>
        <v/>
      </c>
      <c r="BU646">
        <f>IFERROR(INDEX(PP_Grid[#Data],$DD646,71),0)</f>
        <v/>
      </c>
      <c r="BV646">
        <f>IFERROR(INDEX(PP_Grid[#Data],$DD646,72),0)</f>
        <v/>
      </c>
      <c r="BW646">
        <f>IFERROR(INDEX(PP_Grid[#Data],$DD646,73),0)</f>
        <v/>
      </c>
      <c r="BX646">
        <f>IFERROR(INDEX(PP_Grid[#Data],$DD646,74),0)</f>
        <v/>
      </c>
      <c r="BY646">
        <f>IFERROR(INDEX(PP_Grid[#Data],$DD646,75),0)</f>
        <v/>
      </c>
      <c r="BZ646">
        <f>IFERROR(INDEX(PP_Grid[#Data],$DD646,76),0)</f>
        <v/>
      </c>
      <c r="CA646">
        <f>IFERROR(INDEX(PP_Grid[#Data],$DD646,77),0)</f>
        <v/>
      </c>
      <c r="CB646">
        <f>IFERROR(INDEX(PP_Grid[#Data],$DD646,78),0)</f>
        <v/>
      </c>
      <c r="CC646">
        <f>IFERROR(INDEX(PP_Grid[#Data],$DD646,79),0)</f>
        <v/>
      </c>
      <c r="CD646">
        <f>IFERROR(INDEX(PP_Grid[#Data],$DD646,80),0)</f>
        <v/>
      </c>
      <c r="CE646">
        <f>IFERROR(INDEX(PP_Grid[#Data],$DD646,81),0)</f>
        <v/>
      </c>
      <c r="CF646">
        <f>IFERROR(INDEX(PP_Grid[#Data],$DD646,82),0)</f>
        <v/>
      </c>
      <c r="CG646">
        <f>IFERROR(INDEX(PP_Grid[#Data],$DD646,83),0)</f>
        <v/>
      </c>
      <c r="CH646">
        <f>IFERROR(INDEX(PP_Grid[#Data],$DD646,84),0)</f>
        <v/>
      </c>
      <c r="CI646">
        <f>IFERROR(INDEX(PP_Grid[#Data],$DD646,85),0)</f>
        <v/>
      </c>
      <c r="CJ646">
        <f>IFERROR(INDEX(PP_Grid[#Data],$DD646,86),0)</f>
        <v/>
      </c>
      <c r="CK646">
        <f>IFERROR(INDEX(PP_Grid[#Data],$DD646,87),0)</f>
        <v/>
      </c>
      <c r="CL646">
        <f>IFERROR(INDEX(PP_Grid[#Data],$DD646,88),0)</f>
        <v/>
      </c>
      <c r="CM646">
        <f>IFERROR(INDEX(PP_Grid[#Data],$DD646,89),0)</f>
        <v/>
      </c>
      <c r="CN646">
        <f>IFERROR(INDEX(PP_Grid[#Data],$DD646,90),0)</f>
        <v/>
      </c>
      <c r="CO646">
        <f>IFERROR(INDEX(PP_Grid[#Data],$DD646,91),0)</f>
        <v/>
      </c>
      <c r="CP646">
        <f>IFERROR(INDEX(PP_Grid[#Data],$DD646,92),0)</f>
        <v/>
      </c>
      <c r="CQ646">
        <f>IFERROR(INDEX(PP_Grid[#Data],$DD646,93),0)</f>
        <v/>
      </c>
      <c r="CR646">
        <f>IFERROR(INDEX(PP_Grid[#Data],$DD646,94),0)</f>
        <v/>
      </c>
      <c r="CS646">
        <f>IFERROR(INDEX(PP_Grid[#Data],$DD646,95),0)</f>
        <v/>
      </c>
      <c r="CT646">
        <f>IFERROR(INDEX(PP_Grid[#Data],$DD646,96),0)</f>
        <v/>
      </c>
      <c r="CU646">
        <f>IFERROR(INDEX(PP_Grid[#Data],$DD646,97),0)</f>
        <v/>
      </c>
      <c r="CV646">
        <f>IFERROR(INDEX(PP_Grid[#Data],$DD646,98),0)</f>
        <v/>
      </c>
      <c r="CW646">
        <f>IFERROR(INDEX(PP_Grid[#Data],$DD646,99),0)</f>
        <v/>
      </c>
      <c r="CX646">
        <f>IFERROR(INDEX(PP_Grid[#Data],$DD646,100),0)</f>
        <v/>
      </c>
      <c r="CY646">
        <f>IFERROR(INDEX(PP_Grid[#Data],$DD646,101),0)</f>
        <v/>
      </c>
      <c r="CZ646">
        <f>IFERROR(INDEX(PP_Grid[#Data],$DD646,102),0)</f>
        <v/>
      </c>
      <c r="DA646">
        <f>IFERROR(INDEX(PP_Grid[#Data],$DD646,103),0)</f>
        <v/>
      </c>
      <c r="DB646">
        <f>IFERROR(INDEX(PP_Grid[#Data],$DD646,104),0)</f>
        <v/>
      </c>
      <c r="DC646">
        <f>IFERROR(INDEX(PP_Grid[#Data],$DD646,105),0)</f>
        <v/>
      </c>
      <c r="DD646" s="7">
        <f>IFERROR(MATCH($B646,PP_Grid[Intermediate],0),99999)</f>
        <v/>
      </c>
    </row>
    <row r="647">
      <c r="B647" t="inlineStr">
        <is>
          <t>使用量(kg)</t>
        </is>
      </c>
      <c r="C647">
        <f>SUMIFS(M_BOM[RM_Qty_Per_Batch],M_BOM[Intermediate],$B646,M_BOM[Part Name],$A643)</f>
        <v/>
      </c>
      <c r="D647">
        <f>$C647*D646</f>
        <v/>
      </c>
      <c r="E647">
        <f>$C647*E646</f>
        <v/>
      </c>
      <c r="F647">
        <f>$C647*F646</f>
        <v/>
      </c>
      <c r="G647">
        <f>$C647*G646</f>
        <v/>
      </c>
      <c r="H647">
        <f>$C647*H646</f>
        <v/>
      </c>
      <c r="I647">
        <f>$C647*I646</f>
        <v/>
      </c>
      <c r="J647">
        <f>$C647*J646</f>
        <v/>
      </c>
      <c r="K647">
        <f>$C647*K646</f>
        <v/>
      </c>
      <c r="L647">
        <f>$C647*L646</f>
        <v/>
      </c>
      <c r="M647">
        <f>$C647*M646</f>
        <v/>
      </c>
      <c r="N647">
        <f>$C647*N646</f>
        <v/>
      </c>
      <c r="O647">
        <f>$C647*O646</f>
        <v/>
      </c>
      <c r="P647">
        <f>$C647*P646</f>
        <v/>
      </c>
      <c r="Q647">
        <f>$C647*Q646</f>
        <v/>
      </c>
      <c r="R647">
        <f>$C647*R646</f>
        <v/>
      </c>
      <c r="S647">
        <f>$C647*S646</f>
        <v/>
      </c>
      <c r="T647">
        <f>$C647*T646</f>
        <v/>
      </c>
      <c r="U647">
        <f>$C647*U646</f>
        <v/>
      </c>
      <c r="V647">
        <f>$C647*V646</f>
        <v/>
      </c>
      <c r="W647">
        <f>$C647*W646</f>
        <v/>
      </c>
      <c r="X647">
        <f>$C647*X646</f>
        <v/>
      </c>
      <c r="Y647">
        <f>$C647*Y646</f>
        <v/>
      </c>
      <c r="Z647">
        <f>$C647*Z646</f>
        <v/>
      </c>
      <c r="AA647">
        <f>$C647*AA646</f>
        <v/>
      </c>
      <c r="AB647">
        <f>$C647*AB646</f>
        <v/>
      </c>
      <c r="AC647">
        <f>$C647*AC646</f>
        <v/>
      </c>
      <c r="AD647">
        <f>$C647*AD646</f>
        <v/>
      </c>
      <c r="AE647">
        <f>$C647*AE646</f>
        <v/>
      </c>
      <c r="AF647">
        <f>$C647*AF646</f>
        <v/>
      </c>
      <c r="AG647">
        <f>$C647*AG646</f>
        <v/>
      </c>
      <c r="AH647">
        <f>$C647*AH646</f>
        <v/>
      </c>
      <c r="AI647">
        <f>$C647*AI646</f>
        <v/>
      </c>
      <c r="AJ647">
        <f>$C647*AJ646</f>
        <v/>
      </c>
      <c r="AK647">
        <f>$C647*AK646</f>
        <v/>
      </c>
      <c r="AL647">
        <f>$C647*AL646</f>
        <v/>
      </c>
      <c r="AM647">
        <f>$C647*AM646</f>
        <v/>
      </c>
      <c r="AN647">
        <f>$C647*AN646</f>
        <v/>
      </c>
      <c r="AO647">
        <f>$C647*AO646</f>
        <v/>
      </c>
      <c r="AP647">
        <f>$C647*AP646</f>
        <v/>
      </c>
      <c r="AQ647">
        <f>$C647*AQ646</f>
        <v/>
      </c>
      <c r="AR647">
        <f>$C647*AR646</f>
        <v/>
      </c>
      <c r="AS647">
        <f>$C647*AS646</f>
        <v/>
      </c>
      <c r="AT647">
        <f>$C647*AT646</f>
        <v/>
      </c>
      <c r="AU647">
        <f>$C647*AU646</f>
        <v/>
      </c>
      <c r="AV647">
        <f>$C647*AV646</f>
        <v/>
      </c>
      <c r="AW647">
        <f>$C647*AW646</f>
        <v/>
      </c>
      <c r="AX647">
        <f>$C647*AX646</f>
        <v/>
      </c>
      <c r="AY647">
        <f>$C647*AY646</f>
        <v/>
      </c>
      <c r="AZ647">
        <f>$C647*AZ646</f>
        <v/>
      </c>
      <c r="BA647">
        <f>$C647*BA646</f>
        <v/>
      </c>
      <c r="BB647">
        <f>$C647*BB646</f>
        <v/>
      </c>
      <c r="BC647">
        <f>$C647*BC646</f>
        <v/>
      </c>
      <c r="BD647">
        <f>$C647*BD646</f>
        <v/>
      </c>
      <c r="BE647">
        <f>$C647*BE646</f>
        <v/>
      </c>
      <c r="BF647">
        <f>$C647*BF646</f>
        <v/>
      </c>
      <c r="BG647">
        <f>$C647*BG646</f>
        <v/>
      </c>
      <c r="BH647">
        <f>$C647*BH646</f>
        <v/>
      </c>
      <c r="BI647">
        <f>$C647*BI646</f>
        <v/>
      </c>
      <c r="BJ647">
        <f>$C647*BJ646</f>
        <v/>
      </c>
      <c r="BK647">
        <f>$C647*BK646</f>
        <v/>
      </c>
      <c r="BL647">
        <f>$C647*BL646</f>
        <v/>
      </c>
      <c r="BM647">
        <f>$C647*BM646</f>
        <v/>
      </c>
      <c r="BN647">
        <f>$C647*BN646</f>
        <v/>
      </c>
      <c r="BO647">
        <f>$C647*BO646</f>
        <v/>
      </c>
      <c r="BP647">
        <f>$C647*BP646</f>
        <v/>
      </c>
      <c r="BQ647">
        <f>$C647*BQ646</f>
        <v/>
      </c>
      <c r="BR647">
        <f>$C647*BR646</f>
        <v/>
      </c>
      <c r="BS647">
        <f>$C647*BS646</f>
        <v/>
      </c>
      <c r="BT647">
        <f>$C647*BT646</f>
        <v/>
      </c>
      <c r="BU647">
        <f>$C647*BU646</f>
        <v/>
      </c>
      <c r="BV647">
        <f>$C647*BV646</f>
        <v/>
      </c>
      <c r="BW647">
        <f>$C647*BW646</f>
        <v/>
      </c>
      <c r="BX647">
        <f>$C647*BX646</f>
        <v/>
      </c>
      <c r="BY647">
        <f>$C647*BY646</f>
        <v/>
      </c>
      <c r="BZ647">
        <f>$C647*BZ646</f>
        <v/>
      </c>
      <c r="CA647">
        <f>$C647*CA646</f>
        <v/>
      </c>
      <c r="CB647">
        <f>$C647*CB646</f>
        <v/>
      </c>
      <c r="CC647">
        <f>$C647*CC646</f>
        <v/>
      </c>
      <c r="CD647">
        <f>$C647*CD646</f>
        <v/>
      </c>
      <c r="CE647">
        <f>$C647*CE646</f>
        <v/>
      </c>
      <c r="CF647">
        <f>$C647*CF646</f>
        <v/>
      </c>
      <c r="CG647">
        <f>$C647*CG646</f>
        <v/>
      </c>
      <c r="CH647">
        <f>$C647*CH646</f>
        <v/>
      </c>
      <c r="CI647">
        <f>$C647*CI646</f>
        <v/>
      </c>
      <c r="CJ647">
        <f>$C647*CJ646</f>
        <v/>
      </c>
      <c r="CK647">
        <f>$C647*CK646</f>
        <v/>
      </c>
      <c r="CL647">
        <f>$C647*CL646</f>
        <v/>
      </c>
      <c r="CM647">
        <f>$C647*CM646</f>
        <v/>
      </c>
      <c r="CN647">
        <f>$C647*CN646</f>
        <v/>
      </c>
      <c r="CO647">
        <f>$C647*CO646</f>
        <v/>
      </c>
      <c r="CP647">
        <f>$C647*CP646</f>
        <v/>
      </c>
      <c r="CQ647">
        <f>$C647*CQ646</f>
        <v/>
      </c>
      <c r="CR647">
        <f>$C647*CR646</f>
        <v/>
      </c>
      <c r="CS647">
        <f>$C647*CS646</f>
        <v/>
      </c>
      <c r="CT647">
        <f>$C647*CT646</f>
        <v/>
      </c>
      <c r="CU647">
        <f>$C647*CU646</f>
        <v/>
      </c>
      <c r="CV647">
        <f>$C647*CV646</f>
        <v/>
      </c>
      <c r="CW647">
        <f>$C647*CW646</f>
        <v/>
      </c>
      <c r="CX647">
        <f>$C647*CX646</f>
        <v/>
      </c>
      <c r="CY647">
        <f>$C647*CY646</f>
        <v/>
      </c>
      <c r="CZ647">
        <f>$C647*CZ646</f>
        <v/>
      </c>
      <c r="DA647">
        <f>$C647*DA646</f>
        <v/>
      </c>
      <c r="DB647">
        <f>$C647*DB646</f>
        <v/>
      </c>
      <c r="DC647">
        <f>$C647*DC646</f>
        <v/>
      </c>
    </row>
    <row r="648">
      <c r="B648" t="inlineStr">
        <is>
          <t>TSP-656</t>
        </is>
      </c>
      <c r="C648" t="inlineStr">
        <is>
          <t>No. of batches</t>
        </is>
      </c>
      <c r="D648">
        <f>IFERROR(INDEX(PP_Grid[#Data],$DD648,2),0)</f>
        <v/>
      </c>
      <c r="E648">
        <f>IFERROR(INDEX(PP_Grid[#Data],$DD648,3),0)</f>
        <v/>
      </c>
      <c r="F648">
        <f>IFERROR(INDEX(PP_Grid[#Data],$DD648,4),0)</f>
        <v/>
      </c>
      <c r="G648">
        <f>IFERROR(INDEX(PP_Grid[#Data],$DD648,5),0)</f>
        <v/>
      </c>
      <c r="H648">
        <f>IFERROR(INDEX(PP_Grid[#Data],$DD648,6),0)</f>
        <v/>
      </c>
      <c r="I648">
        <f>IFERROR(INDEX(PP_Grid[#Data],$DD648,7),0)</f>
        <v/>
      </c>
      <c r="J648">
        <f>IFERROR(INDEX(PP_Grid[#Data],$DD648,8),0)</f>
        <v/>
      </c>
      <c r="K648">
        <f>IFERROR(INDEX(PP_Grid[#Data],$DD648,9),0)</f>
        <v/>
      </c>
      <c r="L648">
        <f>IFERROR(INDEX(PP_Grid[#Data],$DD648,10),0)</f>
        <v/>
      </c>
      <c r="M648">
        <f>IFERROR(INDEX(PP_Grid[#Data],$DD648,11),0)</f>
        <v/>
      </c>
      <c r="N648">
        <f>IFERROR(INDEX(PP_Grid[#Data],$DD648,12),0)</f>
        <v/>
      </c>
      <c r="O648">
        <f>IFERROR(INDEX(PP_Grid[#Data],$DD648,13),0)</f>
        <v/>
      </c>
      <c r="P648">
        <f>IFERROR(INDEX(PP_Grid[#Data],$DD648,14),0)</f>
        <v/>
      </c>
      <c r="Q648">
        <f>IFERROR(INDEX(PP_Grid[#Data],$DD648,15),0)</f>
        <v/>
      </c>
      <c r="R648">
        <f>IFERROR(INDEX(PP_Grid[#Data],$DD648,16),0)</f>
        <v/>
      </c>
      <c r="S648">
        <f>IFERROR(INDEX(PP_Grid[#Data],$DD648,17),0)</f>
        <v/>
      </c>
      <c r="T648">
        <f>IFERROR(INDEX(PP_Grid[#Data],$DD648,18),0)</f>
        <v/>
      </c>
      <c r="U648">
        <f>IFERROR(INDEX(PP_Grid[#Data],$DD648,19),0)</f>
        <v/>
      </c>
      <c r="V648">
        <f>IFERROR(INDEX(PP_Grid[#Data],$DD648,20),0)</f>
        <v/>
      </c>
      <c r="W648">
        <f>IFERROR(INDEX(PP_Grid[#Data],$DD648,21),0)</f>
        <v/>
      </c>
      <c r="X648">
        <f>IFERROR(INDEX(PP_Grid[#Data],$DD648,22),0)</f>
        <v/>
      </c>
      <c r="Y648">
        <f>IFERROR(INDEX(PP_Grid[#Data],$DD648,23),0)</f>
        <v/>
      </c>
      <c r="Z648">
        <f>IFERROR(INDEX(PP_Grid[#Data],$DD648,24),0)</f>
        <v/>
      </c>
      <c r="AA648">
        <f>IFERROR(INDEX(PP_Grid[#Data],$DD648,25),0)</f>
        <v/>
      </c>
      <c r="AB648">
        <f>IFERROR(INDEX(PP_Grid[#Data],$DD648,26),0)</f>
        <v/>
      </c>
      <c r="AC648">
        <f>IFERROR(INDEX(PP_Grid[#Data],$DD648,27),0)</f>
        <v/>
      </c>
      <c r="AD648">
        <f>IFERROR(INDEX(PP_Grid[#Data],$DD648,28),0)</f>
        <v/>
      </c>
      <c r="AE648">
        <f>IFERROR(INDEX(PP_Grid[#Data],$DD648,29),0)</f>
        <v/>
      </c>
      <c r="AF648">
        <f>IFERROR(INDEX(PP_Grid[#Data],$DD648,30),0)</f>
        <v/>
      </c>
      <c r="AG648">
        <f>IFERROR(INDEX(PP_Grid[#Data],$DD648,31),0)</f>
        <v/>
      </c>
      <c r="AH648">
        <f>IFERROR(INDEX(PP_Grid[#Data],$DD648,32),0)</f>
        <v/>
      </c>
      <c r="AI648">
        <f>IFERROR(INDEX(PP_Grid[#Data],$DD648,33),0)</f>
        <v/>
      </c>
      <c r="AJ648">
        <f>IFERROR(INDEX(PP_Grid[#Data],$DD648,34),0)</f>
        <v/>
      </c>
      <c r="AK648">
        <f>IFERROR(INDEX(PP_Grid[#Data],$DD648,35),0)</f>
        <v/>
      </c>
      <c r="AL648">
        <f>IFERROR(INDEX(PP_Grid[#Data],$DD648,36),0)</f>
        <v/>
      </c>
      <c r="AM648">
        <f>IFERROR(INDEX(PP_Grid[#Data],$DD648,37),0)</f>
        <v/>
      </c>
      <c r="AN648">
        <f>IFERROR(INDEX(PP_Grid[#Data],$DD648,38),0)</f>
        <v/>
      </c>
      <c r="AO648">
        <f>IFERROR(INDEX(PP_Grid[#Data],$DD648,39),0)</f>
        <v/>
      </c>
      <c r="AP648">
        <f>IFERROR(INDEX(PP_Grid[#Data],$DD648,40),0)</f>
        <v/>
      </c>
      <c r="AQ648">
        <f>IFERROR(INDEX(PP_Grid[#Data],$DD648,41),0)</f>
        <v/>
      </c>
      <c r="AR648">
        <f>IFERROR(INDEX(PP_Grid[#Data],$DD648,42),0)</f>
        <v/>
      </c>
      <c r="AS648">
        <f>IFERROR(INDEX(PP_Grid[#Data],$DD648,43),0)</f>
        <v/>
      </c>
      <c r="AT648">
        <f>IFERROR(INDEX(PP_Grid[#Data],$DD648,44),0)</f>
        <v/>
      </c>
      <c r="AU648">
        <f>IFERROR(INDEX(PP_Grid[#Data],$DD648,45),0)</f>
        <v/>
      </c>
      <c r="AV648">
        <f>IFERROR(INDEX(PP_Grid[#Data],$DD648,46),0)</f>
        <v/>
      </c>
      <c r="AW648">
        <f>IFERROR(INDEX(PP_Grid[#Data],$DD648,47),0)</f>
        <v/>
      </c>
      <c r="AX648">
        <f>IFERROR(INDEX(PP_Grid[#Data],$DD648,48),0)</f>
        <v/>
      </c>
      <c r="AY648">
        <f>IFERROR(INDEX(PP_Grid[#Data],$DD648,49),0)</f>
        <v/>
      </c>
      <c r="AZ648">
        <f>IFERROR(INDEX(PP_Grid[#Data],$DD648,50),0)</f>
        <v/>
      </c>
      <c r="BA648">
        <f>IFERROR(INDEX(PP_Grid[#Data],$DD648,51),0)</f>
        <v/>
      </c>
      <c r="BB648">
        <f>IFERROR(INDEX(PP_Grid[#Data],$DD648,52),0)</f>
        <v/>
      </c>
      <c r="BC648">
        <f>IFERROR(INDEX(PP_Grid[#Data],$DD648,53),0)</f>
        <v/>
      </c>
      <c r="BD648">
        <f>IFERROR(INDEX(PP_Grid[#Data],$DD648,54),0)</f>
        <v/>
      </c>
      <c r="BE648">
        <f>IFERROR(INDEX(PP_Grid[#Data],$DD648,55),0)</f>
        <v/>
      </c>
      <c r="BF648">
        <f>IFERROR(INDEX(PP_Grid[#Data],$DD648,56),0)</f>
        <v/>
      </c>
      <c r="BG648">
        <f>IFERROR(INDEX(PP_Grid[#Data],$DD648,57),0)</f>
        <v/>
      </c>
      <c r="BH648">
        <f>IFERROR(INDEX(PP_Grid[#Data],$DD648,58),0)</f>
        <v/>
      </c>
      <c r="BI648">
        <f>IFERROR(INDEX(PP_Grid[#Data],$DD648,59),0)</f>
        <v/>
      </c>
      <c r="BJ648">
        <f>IFERROR(INDEX(PP_Grid[#Data],$DD648,60),0)</f>
        <v/>
      </c>
      <c r="BK648">
        <f>IFERROR(INDEX(PP_Grid[#Data],$DD648,61),0)</f>
        <v/>
      </c>
      <c r="BL648">
        <f>IFERROR(INDEX(PP_Grid[#Data],$DD648,62),0)</f>
        <v/>
      </c>
      <c r="BM648">
        <f>IFERROR(INDEX(PP_Grid[#Data],$DD648,63),0)</f>
        <v/>
      </c>
      <c r="BN648">
        <f>IFERROR(INDEX(PP_Grid[#Data],$DD648,64),0)</f>
        <v/>
      </c>
      <c r="BO648">
        <f>IFERROR(INDEX(PP_Grid[#Data],$DD648,65),0)</f>
        <v/>
      </c>
      <c r="BP648">
        <f>IFERROR(INDEX(PP_Grid[#Data],$DD648,66),0)</f>
        <v/>
      </c>
      <c r="BQ648">
        <f>IFERROR(INDEX(PP_Grid[#Data],$DD648,67),0)</f>
        <v/>
      </c>
      <c r="BR648">
        <f>IFERROR(INDEX(PP_Grid[#Data],$DD648,68),0)</f>
        <v/>
      </c>
      <c r="BS648">
        <f>IFERROR(INDEX(PP_Grid[#Data],$DD648,69),0)</f>
        <v/>
      </c>
      <c r="BT648">
        <f>IFERROR(INDEX(PP_Grid[#Data],$DD648,70),0)</f>
        <v/>
      </c>
      <c r="BU648">
        <f>IFERROR(INDEX(PP_Grid[#Data],$DD648,71),0)</f>
        <v/>
      </c>
      <c r="BV648">
        <f>IFERROR(INDEX(PP_Grid[#Data],$DD648,72),0)</f>
        <v/>
      </c>
      <c r="BW648">
        <f>IFERROR(INDEX(PP_Grid[#Data],$DD648,73),0)</f>
        <v/>
      </c>
      <c r="BX648">
        <f>IFERROR(INDEX(PP_Grid[#Data],$DD648,74),0)</f>
        <v/>
      </c>
      <c r="BY648">
        <f>IFERROR(INDEX(PP_Grid[#Data],$DD648,75),0)</f>
        <v/>
      </c>
      <c r="BZ648">
        <f>IFERROR(INDEX(PP_Grid[#Data],$DD648,76),0)</f>
        <v/>
      </c>
      <c r="CA648">
        <f>IFERROR(INDEX(PP_Grid[#Data],$DD648,77),0)</f>
        <v/>
      </c>
      <c r="CB648">
        <f>IFERROR(INDEX(PP_Grid[#Data],$DD648,78),0)</f>
        <v/>
      </c>
      <c r="CC648">
        <f>IFERROR(INDEX(PP_Grid[#Data],$DD648,79),0)</f>
        <v/>
      </c>
      <c r="CD648">
        <f>IFERROR(INDEX(PP_Grid[#Data],$DD648,80),0)</f>
        <v/>
      </c>
      <c r="CE648">
        <f>IFERROR(INDEX(PP_Grid[#Data],$DD648,81),0)</f>
        <v/>
      </c>
      <c r="CF648">
        <f>IFERROR(INDEX(PP_Grid[#Data],$DD648,82),0)</f>
        <v/>
      </c>
      <c r="CG648">
        <f>IFERROR(INDEX(PP_Grid[#Data],$DD648,83),0)</f>
        <v/>
      </c>
      <c r="CH648">
        <f>IFERROR(INDEX(PP_Grid[#Data],$DD648,84),0)</f>
        <v/>
      </c>
      <c r="CI648">
        <f>IFERROR(INDEX(PP_Grid[#Data],$DD648,85),0)</f>
        <v/>
      </c>
      <c r="CJ648">
        <f>IFERROR(INDEX(PP_Grid[#Data],$DD648,86),0)</f>
        <v/>
      </c>
      <c r="CK648">
        <f>IFERROR(INDEX(PP_Grid[#Data],$DD648,87),0)</f>
        <v/>
      </c>
      <c r="CL648">
        <f>IFERROR(INDEX(PP_Grid[#Data],$DD648,88),0)</f>
        <v/>
      </c>
      <c r="CM648">
        <f>IFERROR(INDEX(PP_Grid[#Data],$DD648,89),0)</f>
        <v/>
      </c>
      <c r="CN648">
        <f>IFERROR(INDEX(PP_Grid[#Data],$DD648,90),0)</f>
        <v/>
      </c>
      <c r="CO648">
        <f>IFERROR(INDEX(PP_Grid[#Data],$DD648,91),0)</f>
        <v/>
      </c>
      <c r="CP648">
        <f>IFERROR(INDEX(PP_Grid[#Data],$DD648,92),0)</f>
        <v/>
      </c>
      <c r="CQ648">
        <f>IFERROR(INDEX(PP_Grid[#Data],$DD648,93),0)</f>
        <v/>
      </c>
      <c r="CR648">
        <f>IFERROR(INDEX(PP_Grid[#Data],$DD648,94),0)</f>
        <v/>
      </c>
      <c r="CS648">
        <f>IFERROR(INDEX(PP_Grid[#Data],$DD648,95),0)</f>
        <v/>
      </c>
      <c r="CT648">
        <f>IFERROR(INDEX(PP_Grid[#Data],$DD648,96),0)</f>
        <v/>
      </c>
      <c r="CU648">
        <f>IFERROR(INDEX(PP_Grid[#Data],$DD648,97),0)</f>
        <v/>
      </c>
      <c r="CV648">
        <f>IFERROR(INDEX(PP_Grid[#Data],$DD648,98),0)</f>
        <v/>
      </c>
      <c r="CW648">
        <f>IFERROR(INDEX(PP_Grid[#Data],$DD648,99),0)</f>
        <v/>
      </c>
      <c r="CX648">
        <f>IFERROR(INDEX(PP_Grid[#Data],$DD648,100),0)</f>
        <v/>
      </c>
      <c r="CY648">
        <f>IFERROR(INDEX(PP_Grid[#Data],$DD648,101),0)</f>
        <v/>
      </c>
      <c r="CZ648">
        <f>IFERROR(INDEX(PP_Grid[#Data],$DD648,102),0)</f>
        <v/>
      </c>
      <c r="DA648">
        <f>IFERROR(INDEX(PP_Grid[#Data],$DD648,103),0)</f>
        <v/>
      </c>
      <c r="DB648">
        <f>IFERROR(INDEX(PP_Grid[#Data],$DD648,104),0)</f>
        <v/>
      </c>
      <c r="DC648">
        <f>IFERROR(INDEX(PP_Grid[#Data],$DD648,105),0)</f>
        <v/>
      </c>
      <c r="DD648" s="7">
        <f>IFERROR(MATCH($B648,PP_Grid[Intermediate],0),99999)</f>
        <v/>
      </c>
    </row>
    <row r="649">
      <c r="B649" t="inlineStr">
        <is>
          <t>使用量(kg)</t>
        </is>
      </c>
      <c r="C649">
        <f>SUMIFS(M_BOM[RM_Qty_Per_Batch],M_BOM[Intermediate],$B648,M_BOM[Part Name],$A643)</f>
        <v/>
      </c>
      <c r="D649">
        <f>$C649*D648</f>
        <v/>
      </c>
      <c r="E649">
        <f>$C649*E648</f>
        <v/>
      </c>
      <c r="F649">
        <f>$C649*F648</f>
        <v/>
      </c>
      <c r="G649">
        <f>$C649*G648</f>
        <v/>
      </c>
      <c r="H649">
        <f>$C649*H648</f>
        <v/>
      </c>
      <c r="I649">
        <f>$C649*I648</f>
        <v/>
      </c>
      <c r="J649">
        <f>$C649*J648</f>
        <v/>
      </c>
      <c r="K649">
        <f>$C649*K648</f>
        <v/>
      </c>
      <c r="L649">
        <f>$C649*L648</f>
        <v/>
      </c>
      <c r="M649">
        <f>$C649*M648</f>
        <v/>
      </c>
      <c r="N649">
        <f>$C649*N648</f>
        <v/>
      </c>
      <c r="O649">
        <f>$C649*O648</f>
        <v/>
      </c>
      <c r="P649">
        <f>$C649*P648</f>
        <v/>
      </c>
      <c r="Q649">
        <f>$C649*Q648</f>
        <v/>
      </c>
      <c r="R649">
        <f>$C649*R648</f>
        <v/>
      </c>
      <c r="S649">
        <f>$C649*S648</f>
        <v/>
      </c>
      <c r="T649">
        <f>$C649*T648</f>
        <v/>
      </c>
      <c r="U649">
        <f>$C649*U648</f>
        <v/>
      </c>
      <c r="V649">
        <f>$C649*V648</f>
        <v/>
      </c>
      <c r="W649">
        <f>$C649*W648</f>
        <v/>
      </c>
      <c r="X649">
        <f>$C649*X648</f>
        <v/>
      </c>
      <c r="Y649">
        <f>$C649*Y648</f>
        <v/>
      </c>
      <c r="Z649">
        <f>$C649*Z648</f>
        <v/>
      </c>
      <c r="AA649">
        <f>$C649*AA648</f>
        <v/>
      </c>
      <c r="AB649">
        <f>$C649*AB648</f>
        <v/>
      </c>
      <c r="AC649">
        <f>$C649*AC648</f>
        <v/>
      </c>
      <c r="AD649">
        <f>$C649*AD648</f>
        <v/>
      </c>
      <c r="AE649">
        <f>$C649*AE648</f>
        <v/>
      </c>
      <c r="AF649">
        <f>$C649*AF648</f>
        <v/>
      </c>
      <c r="AG649">
        <f>$C649*AG648</f>
        <v/>
      </c>
      <c r="AH649">
        <f>$C649*AH648</f>
        <v/>
      </c>
      <c r="AI649">
        <f>$C649*AI648</f>
        <v/>
      </c>
      <c r="AJ649">
        <f>$C649*AJ648</f>
        <v/>
      </c>
      <c r="AK649">
        <f>$C649*AK648</f>
        <v/>
      </c>
      <c r="AL649">
        <f>$C649*AL648</f>
        <v/>
      </c>
      <c r="AM649">
        <f>$C649*AM648</f>
        <v/>
      </c>
      <c r="AN649">
        <f>$C649*AN648</f>
        <v/>
      </c>
      <c r="AO649">
        <f>$C649*AO648</f>
        <v/>
      </c>
      <c r="AP649">
        <f>$C649*AP648</f>
        <v/>
      </c>
      <c r="AQ649">
        <f>$C649*AQ648</f>
        <v/>
      </c>
      <c r="AR649">
        <f>$C649*AR648</f>
        <v/>
      </c>
      <c r="AS649">
        <f>$C649*AS648</f>
        <v/>
      </c>
      <c r="AT649">
        <f>$C649*AT648</f>
        <v/>
      </c>
      <c r="AU649">
        <f>$C649*AU648</f>
        <v/>
      </c>
      <c r="AV649">
        <f>$C649*AV648</f>
        <v/>
      </c>
      <c r="AW649">
        <f>$C649*AW648</f>
        <v/>
      </c>
      <c r="AX649">
        <f>$C649*AX648</f>
        <v/>
      </c>
      <c r="AY649">
        <f>$C649*AY648</f>
        <v/>
      </c>
      <c r="AZ649">
        <f>$C649*AZ648</f>
        <v/>
      </c>
      <c r="BA649">
        <f>$C649*BA648</f>
        <v/>
      </c>
      <c r="BB649">
        <f>$C649*BB648</f>
        <v/>
      </c>
      <c r="BC649">
        <f>$C649*BC648</f>
        <v/>
      </c>
      <c r="BD649">
        <f>$C649*BD648</f>
        <v/>
      </c>
      <c r="BE649">
        <f>$C649*BE648</f>
        <v/>
      </c>
      <c r="BF649">
        <f>$C649*BF648</f>
        <v/>
      </c>
      <c r="BG649">
        <f>$C649*BG648</f>
        <v/>
      </c>
      <c r="BH649">
        <f>$C649*BH648</f>
        <v/>
      </c>
      <c r="BI649">
        <f>$C649*BI648</f>
        <v/>
      </c>
      <c r="BJ649">
        <f>$C649*BJ648</f>
        <v/>
      </c>
      <c r="BK649">
        <f>$C649*BK648</f>
        <v/>
      </c>
      <c r="BL649">
        <f>$C649*BL648</f>
        <v/>
      </c>
      <c r="BM649">
        <f>$C649*BM648</f>
        <v/>
      </c>
      <c r="BN649">
        <f>$C649*BN648</f>
        <v/>
      </c>
      <c r="BO649">
        <f>$C649*BO648</f>
        <v/>
      </c>
      <c r="BP649">
        <f>$C649*BP648</f>
        <v/>
      </c>
      <c r="BQ649">
        <f>$C649*BQ648</f>
        <v/>
      </c>
      <c r="BR649">
        <f>$C649*BR648</f>
        <v/>
      </c>
      <c r="BS649">
        <f>$C649*BS648</f>
        <v/>
      </c>
      <c r="BT649">
        <f>$C649*BT648</f>
        <v/>
      </c>
      <c r="BU649">
        <f>$C649*BU648</f>
        <v/>
      </c>
      <c r="BV649">
        <f>$C649*BV648</f>
        <v/>
      </c>
      <c r="BW649">
        <f>$C649*BW648</f>
        <v/>
      </c>
      <c r="BX649">
        <f>$C649*BX648</f>
        <v/>
      </c>
      <c r="BY649">
        <f>$C649*BY648</f>
        <v/>
      </c>
      <c r="BZ649">
        <f>$C649*BZ648</f>
        <v/>
      </c>
      <c r="CA649">
        <f>$C649*CA648</f>
        <v/>
      </c>
      <c r="CB649">
        <f>$C649*CB648</f>
        <v/>
      </c>
      <c r="CC649">
        <f>$C649*CC648</f>
        <v/>
      </c>
      <c r="CD649">
        <f>$C649*CD648</f>
        <v/>
      </c>
      <c r="CE649">
        <f>$C649*CE648</f>
        <v/>
      </c>
      <c r="CF649">
        <f>$C649*CF648</f>
        <v/>
      </c>
      <c r="CG649">
        <f>$C649*CG648</f>
        <v/>
      </c>
      <c r="CH649">
        <f>$C649*CH648</f>
        <v/>
      </c>
      <c r="CI649">
        <f>$C649*CI648</f>
        <v/>
      </c>
      <c r="CJ649">
        <f>$C649*CJ648</f>
        <v/>
      </c>
      <c r="CK649">
        <f>$C649*CK648</f>
        <v/>
      </c>
      <c r="CL649">
        <f>$C649*CL648</f>
        <v/>
      </c>
      <c r="CM649">
        <f>$C649*CM648</f>
        <v/>
      </c>
      <c r="CN649">
        <f>$C649*CN648</f>
        <v/>
      </c>
      <c r="CO649">
        <f>$C649*CO648</f>
        <v/>
      </c>
      <c r="CP649">
        <f>$C649*CP648</f>
        <v/>
      </c>
      <c r="CQ649">
        <f>$C649*CQ648</f>
        <v/>
      </c>
      <c r="CR649">
        <f>$C649*CR648</f>
        <v/>
      </c>
      <c r="CS649">
        <f>$C649*CS648</f>
        <v/>
      </c>
      <c r="CT649">
        <f>$C649*CT648</f>
        <v/>
      </c>
      <c r="CU649">
        <f>$C649*CU648</f>
        <v/>
      </c>
      <c r="CV649">
        <f>$C649*CV648</f>
        <v/>
      </c>
      <c r="CW649">
        <f>$C649*CW648</f>
        <v/>
      </c>
      <c r="CX649">
        <f>$C649*CX648</f>
        <v/>
      </c>
      <c r="CY649">
        <f>$C649*CY648</f>
        <v/>
      </c>
      <c r="CZ649">
        <f>$C649*CZ648</f>
        <v/>
      </c>
      <c r="DA649">
        <f>$C649*DA648</f>
        <v/>
      </c>
      <c r="DB649">
        <f>$C649*DB648</f>
        <v/>
      </c>
      <c r="DC649">
        <f>$C649*DC648</f>
        <v/>
      </c>
    </row>
    <row r="650">
      <c r="B650" t="inlineStr">
        <is>
          <t>VSP-820</t>
        </is>
      </c>
      <c r="C650" t="inlineStr">
        <is>
          <t>No. of batches</t>
        </is>
      </c>
      <c r="D650">
        <f>IFERROR(INDEX(PP_Grid[#Data],$DD650,2),0)</f>
        <v/>
      </c>
      <c r="E650">
        <f>IFERROR(INDEX(PP_Grid[#Data],$DD650,3),0)</f>
        <v/>
      </c>
      <c r="F650">
        <f>IFERROR(INDEX(PP_Grid[#Data],$DD650,4),0)</f>
        <v/>
      </c>
      <c r="G650">
        <f>IFERROR(INDEX(PP_Grid[#Data],$DD650,5),0)</f>
        <v/>
      </c>
      <c r="H650">
        <f>IFERROR(INDEX(PP_Grid[#Data],$DD650,6),0)</f>
        <v/>
      </c>
      <c r="I650">
        <f>IFERROR(INDEX(PP_Grid[#Data],$DD650,7),0)</f>
        <v/>
      </c>
      <c r="J650">
        <f>IFERROR(INDEX(PP_Grid[#Data],$DD650,8),0)</f>
        <v/>
      </c>
      <c r="K650">
        <f>IFERROR(INDEX(PP_Grid[#Data],$DD650,9),0)</f>
        <v/>
      </c>
      <c r="L650">
        <f>IFERROR(INDEX(PP_Grid[#Data],$DD650,10),0)</f>
        <v/>
      </c>
      <c r="M650">
        <f>IFERROR(INDEX(PP_Grid[#Data],$DD650,11),0)</f>
        <v/>
      </c>
      <c r="N650">
        <f>IFERROR(INDEX(PP_Grid[#Data],$DD650,12),0)</f>
        <v/>
      </c>
      <c r="O650">
        <f>IFERROR(INDEX(PP_Grid[#Data],$DD650,13),0)</f>
        <v/>
      </c>
      <c r="P650">
        <f>IFERROR(INDEX(PP_Grid[#Data],$DD650,14),0)</f>
        <v/>
      </c>
      <c r="Q650">
        <f>IFERROR(INDEX(PP_Grid[#Data],$DD650,15),0)</f>
        <v/>
      </c>
      <c r="R650">
        <f>IFERROR(INDEX(PP_Grid[#Data],$DD650,16),0)</f>
        <v/>
      </c>
      <c r="S650">
        <f>IFERROR(INDEX(PP_Grid[#Data],$DD650,17),0)</f>
        <v/>
      </c>
      <c r="T650">
        <f>IFERROR(INDEX(PP_Grid[#Data],$DD650,18),0)</f>
        <v/>
      </c>
      <c r="U650">
        <f>IFERROR(INDEX(PP_Grid[#Data],$DD650,19),0)</f>
        <v/>
      </c>
      <c r="V650">
        <f>IFERROR(INDEX(PP_Grid[#Data],$DD650,20),0)</f>
        <v/>
      </c>
      <c r="W650">
        <f>IFERROR(INDEX(PP_Grid[#Data],$DD650,21),0)</f>
        <v/>
      </c>
      <c r="X650">
        <f>IFERROR(INDEX(PP_Grid[#Data],$DD650,22),0)</f>
        <v/>
      </c>
      <c r="Y650">
        <f>IFERROR(INDEX(PP_Grid[#Data],$DD650,23),0)</f>
        <v/>
      </c>
      <c r="Z650">
        <f>IFERROR(INDEX(PP_Grid[#Data],$DD650,24),0)</f>
        <v/>
      </c>
      <c r="AA650">
        <f>IFERROR(INDEX(PP_Grid[#Data],$DD650,25),0)</f>
        <v/>
      </c>
      <c r="AB650">
        <f>IFERROR(INDEX(PP_Grid[#Data],$DD650,26),0)</f>
        <v/>
      </c>
      <c r="AC650">
        <f>IFERROR(INDEX(PP_Grid[#Data],$DD650,27),0)</f>
        <v/>
      </c>
      <c r="AD650">
        <f>IFERROR(INDEX(PP_Grid[#Data],$DD650,28),0)</f>
        <v/>
      </c>
      <c r="AE650">
        <f>IFERROR(INDEX(PP_Grid[#Data],$DD650,29),0)</f>
        <v/>
      </c>
      <c r="AF650">
        <f>IFERROR(INDEX(PP_Grid[#Data],$DD650,30),0)</f>
        <v/>
      </c>
      <c r="AG650">
        <f>IFERROR(INDEX(PP_Grid[#Data],$DD650,31),0)</f>
        <v/>
      </c>
      <c r="AH650">
        <f>IFERROR(INDEX(PP_Grid[#Data],$DD650,32),0)</f>
        <v/>
      </c>
      <c r="AI650">
        <f>IFERROR(INDEX(PP_Grid[#Data],$DD650,33),0)</f>
        <v/>
      </c>
      <c r="AJ650">
        <f>IFERROR(INDEX(PP_Grid[#Data],$DD650,34),0)</f>
        <v/>
      </c>
      <c r="AK650">
        <f>IFERROR(INDEX(PP_Grid[#Data],$DD650,35),0)</f>
        <v/>
      </c>
      <c r="AL650">
        <f>IFERROR(INDEX(PP_Grid[#Data],$DD650,36),0)</f>
        <v/>
      </c>
      <c r="AM650">
        <f>IFERROR(INDEX(PP_Grid[#Data],$DD650,37),0)</f>
        <v/>
      </c>
      <c r="AN650">
        <f>IFERROR(INDEX(PP_Grid[#Data],$DD650,38),0)</f>
        <v/>
      </c>
      <c r="AO650">
        <f>IFERROR(INDEX(PP_Grid[#Data],$DD650,39),0)</f>
        <v/>
      </c>
      <c r="AP650">
        <f>IFERROR(INDEX(PP_Grid[#Data],$DD650,40),0)</f>
        <v/>
      </c>
      <c r="AQ650">
        <f>IFERROR(INDEX(PP_Grid[#Data],$DD650,41),0)</f>
        <v/>
      </c>
      <c r="AR650">
        <f>IFERROR(INDEX(PP_Grid[#Data],$DD650,42),0)</f>
        <v/>
      </c>
      <c r="AS650">
        <f>IFERROR(INDEX(PP_Grid[#Data],$DD650,43),0)</f>
        <v/>
      </c>
      <c r="AT650">
        <f>IFERROR(INDEX(PP_Grid[#Data],$DD650,44),0)</f>
        <v/>
      </c>
      <c r="AU650">
        <f>IFERROR(INDEX(PP_Grid[#Data],$DD650,45),0)</f>
        <v/>
      </c>
      <c r="AV650">
        <f>IFERROR(INDEX(PP_Grid[#Data],$DD650,46),0)</f>
        <v/>
      </c>
      <c r="AW650">
        <f>IFERROR(INDEX(PP_Grid[#Data],$DD650,47),0)</f>
        <v/>
      </c>
      <c r="AX650">
        <f>IFERROR(INDEX(PP_Grid[#Data],$DD650,48),0)</f>
        <v/>
      </c>
      <c r="AY650">
        <f>IFERROR(INDEX(PP_Grid[#Data],$DD650,49),0)</f>
        <v/>
      </c>
      <c r="AZ650">
        <f>IFERROR(INDEX(PP_Grid[#Data],$DD650,50),0)</f>
        <v/>
      </c>
      <c r="BA650">
        <f>IFERROR(INDEX(PP_Grid[#Data],$DD650,51),0)</f>
        <v/>
      </c>
      <c r="BB650">
        <f>IFERROR(INDEX(PP_Grid[#Data],$DD650,52),0)</f>
        <v/>
      </c>
      <c r="BC650">
        <f>IFERROR(INDEX(PP_Grid[#Data],$DD650,53),0)</f>
        <v/>
      </c>
      <c r="BD650">
        <f>IFERROR(INDEX(PP_Grid[#Data],$DD650,54),0)</f>
        <v/>
      </c>
      <c r="BE650">
        <f>IFERROR(INDEX(PP_Grid[#Data],$DD650,55),0)</f>
        <v/>
      </c>
      <c r="BF650">
        <f>IFERROR(INDEX(PP_Grid[#Data],$DD650,56),0)</f>
        <v/>
      </c>
      <c r="BG650">
        <f>IFERROR(INDEX(PP_Grid[#Data],$DD650,57),0)</f>
        <v/>
      </c>
      <c r="BH650">
        <f>IFERROR(INDEX(PP_Grid[#Data],$DD650,58),0)</f>
        <v/>
      </c>
      <c r="BI650">
        <f>IFERROR(INDEX(PP_Grid[#Data],$DD650,59),0)</f>
        <v/>
      </c>
      <c r="BJ650">
        <f>IFERROR(INDEX(PP_Grid[#Data],$DD650,60),0)</f>
        <v/>
      </c>
      <c r="BK650">
        <f>IFERROR(INDEX(PP_Grid[#Data],$DD650,61),0)</f>
        <v/>
      </c>
      <c r="BL650">
        <f>IFERROR(INDEX(PP_Grid[#Data],$DD650,62),0)</f>
        <v/>
      </c>
      <c r="BM650">
        <f>IFERROR(INDEX(PP_Grid[#Data],$DD650,63),0)</f>
        <v/>
      </c>
      <c r="BN650">
        <f>IFERROR(INDEX(PP_Grid[#Data],$DD650,64),0)</f>
        <v/>
      </c>
      <c r="BO650">
        <f>IFERROR(INDEX(PP_Grid[#Data],$DD650,65),0)</f>
        <v/>
      </c>
      <c r="BP650">
        <f>IFERROR(INDEX(PP_Grid[#Data],$DD650,66),0)</f>
        <v/>
      </c>
      <c r="BQ650">
        <f>IFERROR(INDEX(PP_Grid[#Data],$DD650,67),0)</f>
        <v/>
      </c>
      <c r="BR650">
        <f>IFERROR(INDEX(PP_Grid[#Data],$DD650,68),0)</f>
        <v/>
      </c>
      <c r="BS650">
        <f>IFERROR(INDEX(PP_Grid[#Data],$DD650,69),0)</f>
        <v/>
      </c>
      <c r="BT650">
        <f>IFERROR(INDEX(PP_Grid[#Data],$DD650,70),0)</f>
        <v/>
      </c>
      <c r="BU650">
        <f>IFERROR(INDEX(PP_Grid[#Data],$DD650,71),0)</f>
        <v/>
      </c>
      <c r="BV650">
        <f>IFERROR(INDEX(PP_Grid[#Data],$DD650,72),0)</f>
        <v/>
      </c>
      <c r="BW650">
        <f>IFERROR(INDEX(PP_Grid[#Data],$DD650,73),0)</f>
        <v/>
      </c>
      <c r="BX650">
        <f>IFERROR(INDEX(PP_Grid[#Data],$DD650,74),0)</f>
        <v/>
      </c>
      <c r="BY650">
        <f>IFERROR(INDEX(PP_Grid[#Data],$DD650,75),0)</f>
        <v/>
      </c>
      <c r="BZ650">
        <f>IFERROR(INDEX(PP_Grid[#Data],$DD650,76),0)</f>
        <v/>
      </c>
      <c r="CA650">
        <f>IFERROR(INDEX(PP_Grid[#Data],$DD650,77),0)</f>
        <v/>
      </c>
      <c r="CB650">
        <f>IFERROR(INDEX(PP_Grid[#Data],$DD650,78),0)</f>
        <v/>
      </c>
      <c r="CC650">
        <f>IFERROR(INDEX(PP_Grid[#Data],$DD650,79),0)</f>
        <v/>
      </c>
      <c r="CD650">
        <f>IFERROR(INDEX(PP_Grid[#Data],$DD650,80),0)</f>
        <v/>
      </c>
      <c r="CE650">
        <f>IFERROR(INDEX(PP_Grid[#Data],$DD650,81),0)</f>
        <v/>
      </c>
      <c r="CF650">
        <f>IFERROR(INDEX(PP_Grid[#Data],$DD650,82),0)</f>
        <v/>
      </c>
      <c r="CG650">
        <f>IFERROR(INDEX(PP_Grid[#Data],$DD650,83),0)</f>
        <v/>
      </c>
      <c r="CH650">
        <f>IFERROR(INDEX(PP_Grid[#Data],$DD650,84),0)</f>
        <v/>
      </c>
      <c r="CI650">
        <f>IFERROR(INDEX(PP_Grid[#Data],$DD650,85),0)</f>
        <v/>
      </c>
      <c r="CJ650">
        <f>IFERROR(INDEX(PP_Grid[#Data],$DD650,86),0)</f>
        <v/>
      </c>
      <c r="CK650">
        <f>IFERROR(INDEX(PP_Grid[#Data],$DD650,87),0)</f>
        <v/>
      </c>
      <c r="CL650">
        <f>IFERROR(INDEX(PP_Grid[#Data],$DD650,88),0)</f>
        <v/>
      </c>
      <c r="CM650">
        <f>IFERROR(INDEX(PP_Grid[#Data],$DD650,89),0)</f>
        <v/>
      </c>
      <c r="CN650">
        <f>IFERROR(INDEX(PP_Grid[#Data],$DD650,90),0)</f>
        <v/>
      </c>
      <c r="CO650">
        <f>IFERROR(INDEX(PP_Grid[#Data],$DD650,91),0)</f>
        <v/>
      </c>
      <c r="CP650">
        <f>IFERROR(INDEX(PP_Grid[#Data],$DD650,92),0)</f>
        <v/>
      </c>
      <c r="CQ650">
        <f>IFERROR(INDEX(PP_Grid[#Data],$DD650,93),0)</f>
        <v/>
      </c>
      <c r="CR650">
        <f>IFERROR(INDEX(PP_Grid[#Data],$DD650,94),0)</f>
        <v/>
      </c>
      <c r="CS650">
        <f>IFERROR(INDEX(PP_Grid[#Data],$DD650,95),0)</f>
        <v/>
      </c>
      <c r="CT650">
        <f>IFERROR(INDEX(PP_Grid[#Data],$DD650,96),0)</f>
        <v/>
      </c>
      <c r="CU650">
        <f>IFERROR(INDEX(PP_Grid[#Data],$DD650,97),0)</f>
        <v/>
      </c>
      <c r="CV650">
        <f>IFERROR(INDEX(PP_Grid[#Data],$DD650,98),0)</f>
        <v/>
      </c>
      <c r="CW650">
        <f>IFERROR(INDEX(PP_Grid[#Data],$DD650,99),0)</f>
        <v/>
      </c>
      <c r="CX650">
        <f>IFERROR(INDEX(PP_Grid[#Data],$DD650,100),0)</f>
        <v/>
      </c>
      <c r="CY650">
        <f>IFERROR(INDEX(PP_Grid[#Data],$DD650,101),0)</f>
        <v/>
      </c>
      <c r="CZ650">
        <f>IFERROR(INDEX(PP_Grid[#Data],$DD650,102),0)</f>
        <v/>
      </c>
      <c r="DA650">
        <f>IFERROR(INDEX(PP_Grid[#Data],$DD650,103),0)</f>
        <v/>
      </c>
      <c r="DB650">
        <f>IFERROR(INDEX(PP_Grid[#Data],$DD650,104),0)</f>
        <v/>
      </c>
      <c r="DC650">
        <f>IFERROR(INDEX(PP_Grid[#Data],$DD650,105),0)</f>
        <v/>
      </c>
      <c r="DD650" s="7">
        <f>IFERROR(MATCH($B650,PP_Grid[Intermediate],0),99999)</f>
        <v/>
      </c>
    </row>
    <row r="651">
      <c r="B651" t="inlineStr">
        <is>
          <t>使用量(kg)</t>
        </is>
      </c>
      <c r="C651">
        <f>SUMIFS(M_BOM[RM_Qty_Per_Batch],M_BOM[Intermediate],$B650,M_BOM[Part Name],$A643)</f>
        <v/>
      </c>
      <c r="D651">
        <f>$C651*D650</f>
        <v/>
      </c>
      <c r="E651">
        <f>$C651*E650</f>
        <v/>
      </c>
      <c r="F651">
        <f>$C651*F650</f>
        <v/>
      </c>
      <c r="G651">
        <f>$C651*G650</f>
        <v/>
      </c>
      <c r="H651">
        <f>$C651*H650</f>
        <v/>
      </c>
      <c r="I651">
        <f>$C651*I650</f>
        <v/>
      </c>
      <c r="J651">
        <f>$C651*J650</f>
        <v/>
      </c>
      <c r="K651">
        <f>$C651*K650</f>
        <v/>
      </c>
      <c r="L651">
        <f>$C651*L650</f>
        <v/>
      </c>
      <c r="M651">
        <f>$C651*M650</f>
        <v/>
      </c>
      <c r="N651">
        <f>$C651*N650</f>
        <v/>
      </c>
      <c r="O651">
        <f>$C651*O650</f>
        <v/>
      </c>
      <c r="P651">
        <f>$C651*P650</f>
        <v/>
      </c>
      <c r="Q651">
        <f>$C651*Q650</f>
        <v/>
      </c>
      <c r="R651">
        <f>$C651*R650</f>
        <v/>
      </c>
      <c r="S651">
        <f>$C651*S650</f>
        <v/>
      </c>
      <c r="T651">
        <f>$C651*T650</f>
        <v/>
      </c>
      <c r="U651">
        <f>$C651*U650</f>
        <v/>
      </c>
      <c r="V651">
        <f>$C651*V650</f>
        <v/>
      </c>
      <c r="W651">
        <f>$C651*W650</f>
        <v/>
      </c>
      <c r="X651">
        <f>$C651*X650</f>
        <v/>
      </c>
      <c r="Y651">
        <f>$C651*Y650</f>
        <v/>
      </c>
      <c r="Z651">
        <f>$C651*Z650</f>
        <v/>
      </c>
      <c r="AA651">
        <f>$C651*AA650</f>
        <v/>
      </c>
      <c r="AB651">
        <f>$C651*AB650</f>
        <v/>
      </c>
      <c r="AC651">
        <f>$C651*AC650</f>
        <v/>
      </c>
      <c r="AD651">
        <f>$C651*AD650</f>
        <v/>
      </c>
      <c r="AE651">
        <f>$C651*AE650</f>
        <v/>
      </c>
      <c r="AF651">
        <f>$C651*AF650</f>
        <v/>
      </c>
      <c r="AG651">
        <f>$C651*AG650</f>
        <v/>
      </c>
      <c r="AH651">
        <f>$C651*AH650</f>
        <v/>
      </c>
      <c r="AI651">
        <f>$C651*AI650</f>
        <v/>
      </c>
      <c r="AJ651">
        <f>$C651*AJ650</f>
        <v/>
      </c>
      <c r="AK651">
        <f>$C651*AK650</f>
        <v/>
      </c>
      <c r="AL651">
        <f>$C651*AL650</f>
        <v/>
      </c>
      <c r="AM651">
        <f>$C651*AM650</f>
        <v/>
      </c>
      <c r="AN651">
        <f>$C651*AN650</f>
        <v/>
      </c>
      <c r="AO651">
        <f>$C651*AO650</f>
        <v/>
      </c>
      <c r="AP651">
        <f>$C651*AP650</f>
        <v/>
      </c>
      <c r="AQ651">
        <f>$C651*AQ650</f>
        <v/>
      </c>
      <c r="AR651">
        <f>$C651*AR650</f>
        <v/>
      </c>
      <c r="AS651">
        <f>$C651*AS650</f>
        <v/>
      </c>
      <c r="AT651">
        <f>$C651*AT650</f>
        <v/>
      </c>
      <c r="AU651">
        <f>$C651*AU650</f>
        <v/>
      </c>
      <c r="AV651">
        <f>$C651*AV650</f>
        <v/>
      </c>
      <c r="AW651">
        <f>$C651*AW650</f>
        <v/>
      </c>
      <c r="AX651">
        <f>$C651*AX650</f>
        <v/>
      </c>
      <c r="AY651">
        <f>$C651*AY650</f>
        <v/>
      </c>
      <c r="AZ651">
        <f>$C651*AZ650</f>
        <v/>
      </c>
      <c r="BA651">
        <f>$C651*BA650</f>
        <v/>
      </c>
      <c r="BB651">
        <f>$C651*BB650</f>
        <v/>
      </c>
      <c r="BC651">
        <f>$C651*BC650</f>
        <v/>
      </c>
      <c r="BD651">
        <f>$C651*BD650</f>
        <v/>
      </c>
      <c r="BE651">
        <f>$C651*BE650</f>
        <v/>
      </c>
      <c r="BF651">
        <f>$C651*BF650</f>
        <v/>
      </c>
      <c r="BG651">
        <f>$C651*BG650</f>
        <v/>
      </c>
      <c r="BH651">
        <f>$C651*BH650</f>
        <v/>
      </c>
      <c r="BI651">
        <f>$C651*BI650</f>
        <v/>
      </c>
      <c r="BJ651">
        <f>$C651*BJ650</f>
        <v/>
      </c>
      <c r="BK651">
        <f>$C651*BK650</f>
        <v/>
      </c>
      <c r="BL651">
        <f>$C651*BL650</f>
        <v/>
      </c>
      <c r="BM651">
        <f>$C651*BM650</f>
        <v/>
      </c>
      <c r="BN651">
        <f>$C651*BN650</f>
        <v/>
      </c>
      <c r="BO651">
        <f>$C651*BO650</f>
        <v/>
      </c>
      <c r="BP651">
        <f>$C651*BP650</f>
        <v/>
      </c>
      <c r="BQ651">
        <f>$C651*BQ650</f>
        <v/>
      </c>
      <c r="BR651">
        <f>$C651*BR650</f>
        <v/>
      </c>
      <c r="BS651">
        <f>$C651*BS650</f>
        <v/>
      </c>
      <c r="BT651">
        <f>$C651*BT650</f>
        <v/>
      </c>
      <c r="BU651">
        <f>$C651*BU650</f>
        <v/>
      </c>
      <c r="BV651">
        <f>$C651*BV650</f>
        <v/>
      </c>
      <c r="BW651">
        <f>$C651*BW650</f>
        <v/>
      </c>
      <c r="BX651">
        <f>$C651*BX650</f>
        <v/>
      </c>
      <c r="BY651">
        <f>$C651*BY650</f>
        <v/>
      </c>
      <c r="BZ651">
        <f>$C651*BZ650</f>
        <v/>
      </c>
      <c r="CA651">
        <f>$C651*CA650</f>
        <v/>
      </c>
      <c r="CB651">
        <f>$C651*CB650</f>
        <v/>
      </c>
      <c r="CC651">
        <f>$C651*CC650</f>
        <v/>
      </c>
      <c r="CD651">
        <f>$C651*CD650</f>
        <v/>
      </c>
      <c r="CE651">
        <f>$C651*CE650</f>
        <v/>
      </c>
      <c r="CF651">
        <f>$C651*CF650</f>
        <v/>
      </c>
      <c r="CG651">
        <f>$C651*CG650</f>
        <v/>
      </c>
      <c r="CH651">
        <f>$C651*CH650</f>
        <v/>
      </c>
      <c r="CI651">
        <f>$C651*CI650</f>
        <v/>
      </c>
      <c r="CJ651">
        <f>$C651*CJ650</f>
        <v/>
      </c>
      <c r="CK651">
        <f>$C651*CK650</f>
        <v/>
      </c>
      <c r="CL651">
        <f>$C651*CL650</f>
        <v/>
      </c>
      <c r="CM651">
        <f>$C651*CM650</f>
        <v/>
      </c>
      <c r="CN651">
        <f>$C651*CN650</f>
        <v/>
      </c>
      <c r="CO651">
        <f>$C651*CO650</f>
        <v/>
      </c>
      <c r="CP651">
        <f>$C651*CP650</f>
        <v/>
      </c>
      <c r="CQ651">
        <f>$C651*CQ650</f>
        <v/>
      </c>
      <c r="CR651">
        <f>$C651*CR650</f>
        <v/>
      </c>
      <c r="CS651">
        <f>$C651*CS650</f>
        <v/>
      </c>
      <c r="CT651">
        <f>$C651*CT650</f>
        <v/>
      </c>
      <c r="CU651">
        <f>$C651*CU650</f>
        <v/>
      </c>
      <c r="CV651">
        <f>$C651*CV650</f>
        <v/>
      </c>
      <c r="CW651">
        <f>$C651*CW650</f>
        <v/>
      </c>
      <c r="CX651">
        <f>$C651*CX650</f>
        <v/>
      </c>
      <c r="CY651">
        <f>$C651*CY650</f>
        <v/>
      </c>
      <c r="CZ651">
        <f>$C651*CZ650</f>
        <v/>
      </c>
      <c r="DA651">
        <f>$C651*DA650</f>
        <v/>
      </c>
      <c r="DB651">
        <f>$C651*DB650</f>
        <v/>
      </c>
      <c r="DC651">
        <f>$C651*DC650</f>
        <v/>
      </c>
    </row>
    <row r="652">
      <c r="B652" t="inlineStr">
        <is>
          <t>VSP-822</t>
        </is>
      </c>
      <c r="C652" t="inlineStr">
        <is>
          <t>No. of batches</t>
        </is>
      </c>
      <c r="D652">
        <f>IFERROR(INDEX(PP_Grid[#Data],$DD652,2),0)</f>
        <v/>
      </c>
      <c r="E652">
        <f>IFERROR(INDEX(PP_Grid[#Data],$DD652,3),0)</f>
        <v/>
      </c>
      <c r="F652">
        <f>IFERROR(INDEX(PP_Grid[#Data],$DD652,4),0)</f>
        <v/>
      </c>
      <c r="G652">
        <f>IFERROR(INDEX(PP_Grid[#Data],$DD652,5),0)</f>
        <v/>
      </c>
      <c r="H652">
        <f>IFERROR(INDEX(PP_Grid[#Data],$DD652,6),0)</f>
        <v/>
      </c>
      <c r="I652">
        <f>IFERROR(INDEX(PP_Grid[#Data],$DD652,7),0)</f>
        <v/>
      </c>
      <c r="J652">
        <f>IFERROR(INDEX(PP_Grid[#Data],$DD652,8),0)</f>
        <v/>
      </c>
      <c r="K652">
        <f>IFERROR(INDEX(PP_Grid[#Data],$DD652,9),0)</f>
        <v/>
      </c>
      <c r="L652">
        <f>IFERROR(INDEX(PP_Grid[#Data],$DD652,10),0)</f>
        <v/>
      </c>
      <c r="M652">
        <f>IFERROR(INDEX(PP_Grid[#Data],$DD652,11),0)</f>
        <v/>
      </c>
      <c r="N652">
        <f>IFERROR(INDEX(PP_Grid[#Data],$DD652,12),0)</f>
        <v/>
      </c>
      <c r="O652">
        <f>IFERROR(INDEX(PP_Grid[#Data],$DD652,13),0)</f>
        <v/>
      </c>
      <c r="P652">
        <f>IFERROR(INDEX(PP_Grid[#Data],$DD652,14),0)</f>
        <v/>
      </c>
      <c r="Q652">
        <f>IFERROR(INDEX(PP_Grid[#Data],$DD652,15),0)</f>
        <v/>
      </c>
      <c r="R652">
        <f>IFERROR(INDEX(PP_Grid[#Data],$DD652,16),0)</f>
        <v/>
      </c>
      <c r="S652">
        <f>IFERROR(INDEX(PP_Grid[#Data],$DD652,17),0)</f>
        <v/>
      </c>
      <c r="T652">
        <f>IFERROR(INDEX(PP_Grid[#Data],$DD652,18),0)</f>
        <v/>
      </c>
      <c r="U652">
        <f>IFERROR(INDEX(PP_Grid[#Data],$DD652,19),0)</f>
        <v/>
      </c>
      <c r="V652">
        <f>IFERROR(INDEX(PP_Grid[#Data],$DD652,20),0)</f>
        <v/>
      </c>
      <c r="W652">
        <f>IFERROR(INDEX(PP_Grid[#Data],$DD652,21),0)</f>
        <v/>
      </c>
      <c r="X652">
        <f>IFERROR(INDEX(PP_Grid[#Data],$DD652,22),0)</f>
        <v/>
      </c>
      <c r="Y652">
        <f>IFERROR(INDEX(PP_Grid[#Data],$DD652,23),0)</f>
        <v/>
      </c>
      <c r="Z652">
        <f>IFERROR(INDEX(PP_Grid[#Data],$DD652,24),0)</f>
        <v/>
      </c>
      <c r="AA652">
        <f>IFERROR(INDEX(PP_Grid[#Data],$DD652,25),0)</f>
        <v/>
      </c>
      <c r="AB652">
        <f>IFERROR(INDEX(PP_Grid[#Data],$DD652,26),0)</f>
        <v/>
      </c>
      <c r="AC652">
        <f>IFERROR(INDEX(PP_Grid[#Data],$DD652,27),0)</f>
        <v/>
      </c>
      <c r="AD652">
        <f>IFERROR(INDEX(PP_Grid[#Data],$DD652,28),0)</f>
        <v/>
      </c>
      <c r="AE652">
        <f>IFERROR(INDEX(PP_Grid[#Data],$DD652,29),0)</f>
        <v/>
      </c>
      <c r="AF652">
        <f>IFERROR(INDEX(PP_Grid[#Data],$DD652,30),0)</f>
        <v/>
      </c>
      <c r="AG652">
        <f>IFERROR(INDEX(PP_Grid[#Data],$DD652,31),0)</f>
        <v/>
      </c>
      <c r="AH652">
        <f>IFERROR(INDEX(PP_Grid[#Data],$DD652,32),0)</f>
        <v/>
      </c>
      <c r="AI652">
        <f>IFERROR(INDEX(PP_Grid[#Data],$DD652,33),0)</f>
        <v/>
      </c>
      <c r="AJ652">
        <f>IFERROR(INDEX(PP_Grid[#Data],$DD652,34),0)</f>
        <v/>
      </c>
      <c r="AK652">
        <f>IFERROR(INDEX(PP_Grid[#Data],$DD652,35),0)</f>
        <v/>
      </c>
      <c r="AL652">
        <f>IFERROR(INDEX(PP_Grid[#Data],$DD652,36),0)</f>
        <v/>
      </c>
      <c r="AM652">
        <f>IFERROR(INDEX(PP_Grid[#Data],$DD652,37),0)</f>
        <v/>
      </c>
      <c r="AN652">
        <f>IFERROR(INDEX(PP_Grid[#Data],$DD652,38),0)</f>
        <v/>
      </c>
      <c r="AO652">
        <f>IFERROR(INDEX(PP_Grid[#Data],$DD652,39),0)</f>
        <v/>
      </c>
      <c r="AP652">
        <f>IFERROR(INDEX(PP_Grid[#Data],$DD652,40),0)</f>
        <v/>
      </c>
      <c r="AQ652">
        <f>IFERROR(INDEX(PP_Grid[#Data],$DD652,41),0)</f>
        <v/>
      </c>
      <c r="AR652">
        <f>IFERROR(INDEX(PP_Grid[#Data],$DD652,42),0)</f>
        <v/>
      </c>
      <c r="AS652">
        <f>IFERROR(INDEX(PP_Grid[#Data],$DD652,43),0)</f>
        <v/>
      </c>
      <c r="AT652">
        <f>IFERROR(INDEX(PP_Grid[#Data],$DD652,44),0)</f>
        <v/>
      </c>
      <c r="AU652">
        <f>IFERROR(INDEX(PP_Grid[#Data],$DD652,45),0)</f>
        <v/>
      </c>
      <c r="AV652">
        <f>IFERROR(INDEX(PP_Grid[#Data],$DD652,46),0)</f>
        <v/>
      </c>
      <c r="AW652">
        <f>IFERROR(INDEX(PP_Grid[#Data],$DD652,47),0)</f>
        <v/>
      </c>
      <c r="AX652">
        <f>IFERROR(INDEX(PP_Grid[#Data],$DD652,48),0)</f>
        <v/>
      </c>
      <c r="AY652">
        <f>IFERROR(INDEX(PP_Grid[#Data],$DD652,49),0)</f>
        <v/>
      </c>
      <c r="AZ652">
        <f>IFERROR(INDEX(PP_Grid[#Data],$DD652,50),0)</f>
        <v/>
      </c>
      <c r="BA652">
        <f>IFERROR(INDEX(PP_Grid[#Data],$DD652,51),0)</f>
        <v/>
      </c>
      <c r="BB652">
        <f>IFERROR(INDEX(PP_Grid[#Data],$DD652,52),0)</f>
        <v/>
      </c>
      <c r="BC652">
        <f>IFERROR(INDEX(PP_Grid[#Data],$DD652,53),0)</f>
        <v/>
      </c>
      <c r="BD652">
        <f>IFERROR(INDEX(PP_Grid[#Data],$DD652,54),0)</f>
        <v/>
      </c>
      <c r="BE652">
        <f>IFERROR(INDEX(PP_Grid[#Data],$DD652,55),0)</f>
        <v/>
      </c>
      <c r="BF652">
        <f>IFERROR(INDEX(PP_Grid[#Data],$DD652,56),0)</f>
        <v/>
      </c>
      <c r="BG652">
        <f>IFERROR(INDEX(PP_Grid[#Data],$DD652,57),0)</f>
        <v/>
      </c>
      <c r="BH652">
        <f>IFERROR(INDEX(PP_Grid[#Data],$DD652,58),0)</f>
        <v/>
      </c>
      <c r="BI652">
        <f>IFERROR(INDEX(PP_Grid[#Data],$DD652,59),0)</f>
        <v/>
      </c>
      <c r="BJ652">
        <f>IFERROR(INDEX(PP_Grid[#Data],$DD652,60),0)</f>
        <v/>
      </c>
      <c r="BK652">
        <f>IFERROR(INDEX(PP_Grid[#Data],$DD652,61),0)</f>
        <v/>
      </c>
      <c r="BL652">
        <f>IFERROR(INDEX(PP_Grid[#Data],$DD652,62),0)</f>
        <v/>
      </c>
      <c r="BM652">
        <f>IFERROR(INDEX(PP_Grid[#Data],$DD652,63),0)</f>
        <v/>
      </c>
      <c r="BN652">
        <f>IFERROR(INDEX(PP_Grid[#Data],$DD652,64),0)</f>
        <v/>
      </c>
      <c r="BO652">
        <f>IFERROR(INDEX(PP_Grid[#Data],$DD652,65),0)</f>
        <v/>
      </c>
      <c r="BP652">
        <f>IFERROR(INDEX(PP_Grid[#Data],$DD652,66),0)</f>
        <v/>
      </c>
      <c r="BQ652">
        <f>IFERROR(INDEX(PP_Grid[#Data],$DD652,67),0)</f>
        <v/>
      </c>
      <c r="BR652">
        <f>IFERROR(INDEX(PP_Grid[#Data],$DD652,68),0)</f>
        <v/>
      </c>
      <c r="BS652">
        <f>IFERROR(INDEX(PP_Grid[#Data],$DD652,69),0)</f>
        <v/>
      </c>
      <c r="BT652">
        <f>IFERROR(INDEX(PP_Grid[#Data],$DD652,70),0)</f>
        <v/>
      </c>
      <c r="BU652">
        <f>IFERROR(INDEX(PP_Grid[#Data],$DD652,71),0)</f>
        <v/>
      </c>
      <c r="BV652">
        <f>IFERROR(INDEX(PP_Grid[#Data],$DD652,72),0)</f>
        <v/>
      </c>
      <c r="BW652">
        <f>IFERROR(INDEX(PP_Grid[#Data],$DD652,73),0)</f>
        <v/>
      </c>
      <c r="BX652">
        <f>IFERROR(INDEX(PP_Grid[#Data],$DD652,74),0)</f>
        <v/>
      </c>
      <c r="BY652">
        <f>IFERROR(INDEX(PP_Grid[#Data],$DD652,75),0)</f>
        <v/>
      </c>
      <c r="BZ652">
        <f>IFERROR(INDEX(PP_Grid[#Data],$DD652,76),0)</f>
        <v/>
      </c>
      <c r="CA652">
        <f>IFERROR(INDEX(PP_Grid[#Data],$DD652,77),0)</f>
        <v/>
      </c>
      <c r="CB652">
        <f>IFERROR(INDEX(PP_Grid[#Data],$DD652,78),0)</f>
        <v/>
      </c>
      <c r="CC652">
        <f>IFERROR(INDEX(PP_Grid[#Data],$DD652,79),0)</f>
        <v/>
      </c>
      <c r="CD652">
        <f>IFERROR(INDEX(PP_Grid[#Data],$DD652,80),0)</f>
        <v/>
      </c>
      <c r="CE652">
        <f>IFERROR(INDEX(PP_Grid[#Data],$DD652,81),0)</f>
        <v/>
      </c>
      <c r="CF652">
        <f>IFERROR(INDEX(PP_Grid[#Data],$DD652,82),0)</f>
        <v/>
      </c>
      <c r="CG652">
        <f>IFERROR(INDEX(PP_Grid[#Data],$DD652,83),0)</f>
        <v/>
      </c>
      <c r="CH652">
        <f>IFERROR(INDEX(PP_Grid[#Data],$DD652,84),0)</f>
        <v/>
      </c>
      <c r="CI652">
        <f>IFERROR(INDEX(PP_Grid[#Data],$DD652,85),0)</f>
        <v/>
      </c>
      <c r="CJ652">
        <f>IFERROR(INDEX(PP_Grid[#Data],$DD652,86),0)</f>
        <v/>
      </c>
      <c r="CK652">
        <f>IFERROR(INDEX(PP_Grid[#Data],$DD652,87),0)</f>
        <v/>
      </c>
      <c r="CL652">
        <f>IFERROR(INDEX(PP_Grid[#Data],$DD652,88),0)</f>
        <v/>
      </c>
      <c r="CM652">
        <f>IFERROR(INDEX(PP_Grid[#Data],$DD652,89),0)</f>
        <v/>
      </c>
      <c r="CN652">
        <f>IFERROR(INDEX(PP_Grid[#Data],$DD652,90),0)</f>
        <v/>
      </c>
      <c r="CO652">
        <f>IFERROR(INDEX(PP_Grid[#Data],$DD652,91),0)</f>
        <v/>
      </c>
      <c r="CP652">
        <f>IFERROR(INDEX(PP_Grid[#Data],$DD652,92),0)</f>
        <v/>
      </c>
      <c r="CQ652">
        <f>IFERROR(INDEX(PP_Grid[#Data],$DD652,93),0)</f>
        <v/>
      </c>
      <c r="CR652">
        <f>IFERROR(INDEX(PP_Grid[#Data],$DD652,94),0)</f>
        <v/>
      </c>
      <c r="CS652">
        <f>IFERROR(INDEX(PP_Grid[#Data],$DD652,95),0)</f>
        <v/>
      </c>
      <c r="CT652">
        <f>IFERROR(INDEX(PP_Grid[#Data],$DD652,96),0)</f>
        <v/>
      </c>
      <c r="CU652">
        <f>IFERROR(INDEX(PP_Grid[#Data],$DD652,97),0)</f>
        <v/>
      </c>
      <c r="CV652">
        <f>IFERROR(INDEX(PP_Grid[#Data],$DD652,98),0)</f>
        <v/>
      </c>
      <c r="CW652">
        <f>IFERROR(INDEX(PP_Grid[#Data],$DD652,99),0)</f>
        <v/>
      </c>
      <c r="CX652">
        <f>IFERROR(INDEX(PP_Grid[#Data],$DD652,100),0)</f>
        <v/>
      </c>
      <c r="CY652">
        <f>IFERROR(INDEX(PP_Grid[#Data],$DD652,101),0)</f>
        <v/>
      </c>
      <c r="CZ652">
        <f>IFERROR(INDEX(PP_Grid[#Data],$DD652,102),0)</f>
        <v/>
      </c>
      <c r="DA652">
        <f>IFERROR(INDEX(PP_Grid[#Data],$DD652,103),0)</f>
        <v/>
      </c>
      <c r="DB652">
        <f>IFERROR(INDEX(PP_Grid[#Data],$DD652,104),0)</f>
        <v/>
      </c>
      <c r="DC652">
        <f>IFERROR(INDEX(PP_Grid[#Data],$DD652,105),0)</f>
        <v/>
      </c>
      <c r="DD652" s="7">
        <f>IFERROR(MATCH($B652,PP_Grid[Intermediate],0),99999)</f>
        <v/>
      </c>
    </row>
    <row r="653">
      <c r="B653" t="inlineStr">
        <is>
          <t>使用量(kg)</t>
        </is>
      </c>
      <c r="C653">
        <f>SUMIFS(M_BOM[RM_Qty_Per_Batch],M_BOM[Intermediate],$B652,M_BOM[Part Name],$A643)</f>
        <v/>
      </c>
      <c r="D653">
        <f>$C653*D652</f>
        <v/>
      </c>
      <c r="E653">
        <f>$C653*E652</f>
        <v/>
      </c>
      <c r="F653">
        <f>$C653*F652</f>
        <v/>
      </c>
      <c r="G653">
        <f>$C653*G652</f>
        <v/>
      </c>
      <c r="H653">
        <f>$C653*H652</f>
        <v/>
      </c>
      <c r="I653">
        <f>$C653*I652</f>
        <v/>
      </c>
      <c r="J653">
        <f>$C653*J652</f>
        <v/>
      </c>
      <c r="K653">
        <f>$C653*K652</f>
        <v/>
      </c>
      <c r="L653">
        <f>$C653*L652</f>
        <v/>
      </c>
      <c r="M653">
        <f>$C653*M652</f>
        <v/>
      </c>
      <c r="N653">
        <f>$C653*N652</f>
        <v/>
      </c>
      <c r="O653">
        <f>$C653*O652</f>
        <v/>
      </c>
      <c r="P653">
        <f>$C653*P652</f>
        <v/>
      </c>
      <c r="Q653">
        <f>$C653*Q652</f>
        <v/>
      </c>
      <c r="R653">
        <f>$C653*R652</f>
        <v/>
      </c>
      <c r="S653">
        <f>$C653*S652</f>
        <v/>
      </c>
      <c r="T653">
        <f>$C653*T652</f>
        <v/>
      </c>
      <c r="U653">
        <f>$C653*U652</f>
        <v/>
      </c>
      <c r="V653">
        <f>$C653*V652</f>
        <v/>
      </c>
      <c r="W653">
        <f>$C653*W652</f>
        <v/>
      </c>
      <c r="X653">
        <f>$C653*X652</f>
        <v/>
      </c>
      <c r="Y653">
        <f>$C653*Y652</f>
        <v/>
      </c>
      <c r="Z653">
        <f>$C653*Z652</f>
        <v/>
      </c>
      <c r="AA653">
        <f>$C653*AA652</f>
        <v/>
      </c>
      <c r="AB653">
        <f>$C653*AB652</f>
        <v/>
      </c>
      <c r="AC653">
        <f>$C653*AC652</f>
        <v/>
      </c>
      <c r="AD653">
        <f>$C653*AD652</f>
        <v/>
      </c>
      <c r="AE653">
        <f>$C653*AE652</f>
        <v/>
      </c>
      <c r="AF653">
        <f>$C653*AF652</f>
        <v/>
      </c>
      <c r="AG653">
        <f>$C653*AG652</f>
        <v/>
      </c>
      <c r="AH653">
        <f>$C653*AH652</f>
        <v/>
      </c>
      <c r="AI653">
        <f>$C653*AI652</f>
        <v/>
      </c>
      <c r="AJ653">
        <f>$C653*AJ652</f>
        <v/>
      </c>
      <c r="AK653">
        <f>$C653*AK652</f>
        <v/>
      </c>
      <c r="AL653">
        <f>$C653*AL652</f>
        <v/>
      </c>
      <c r="AM653">
        <f>$C653*AM652</f>
        <v/>
      </c>
      <c r="AN653">
        <f>$C653*AN652</f>
        <v/>
      </c>
      <c r="AO653">
        <f>$C653*AO652</f>
        <v/>
      </c>
      <c r="AP653">
        <f>$C653*AP652</f>
        <v/>
      </c>
      <c r="AQ653">
        <f>$C653*AQ652</f>
        <v/>
      </c>
      <c r="AR653">
        <f>$C653*AR652</f>
        <v/>
      </c>
      <c r="AS653">
        <f>$C653*AS652</f>
        <v/>
      </c>
      <c r="AT653">
        <f>$C653*AT652</f>
        <v/>
      </c>
      <c r="AU653">
        <f>$C653*AU652</f>
        <v/>
      </c>
      <c r="AV653">
        <f>$C653*AV652</f>
        <v/>
      </c>
      <c r="AW653">
        <f>$C653*AW652</f>
        <v/>
      </c>
      <c r="AX653">
        <f>$C653*AX652</f>
        <v/>
      </c>
      <c r="AY653">
        <f>$C653*AY652</f>
        <v/>
      </c>
      <c r="AZ653">
        <f>$C653*AZ652</f>
        <v/>
      </c>
      <c r="BA653">
        <f>$C653*BA652</f>
        <v/>
      </c>
      <c r="BB653">
        <f>$C653*BB652</f>
        <v/>
      </c>
      <c r="BC653">
        <f>$C653*BC652</f>
        <v/>
      </c>
      <c r="BD653">
        <f>$C653*BD652</f>
        <v/>
      </c>
      <c r="BE653">
        <f>$C653*BE652</f>
        <v/>
      </c>
      <c r="BF653">
        <f>$C653*BF652</f>
        <v/>
      </c>
      <c r="BG653">
        <f>$C653*BG652</f>
        <v/>
      </c>
      <c r="BH653">
        <f>$C653*BH652</f>
        <v/>
      </c>
      <c r="BI653">
        <f>$C653*BI652</f>
        <v/>
      </c>
      <c r="BJ653">
        <f>$C653*BJ652</f>
        <v/>
      </c>
      <c r="BK653">
        <f>$C653*BK652</f>
        <v/>
      </c>
      <c r="BL653">
        <f>$C653*BL652</f>
        <v/>
      </c>
      <c r="BM653">
        <f>$C653*BM652</f>
        <v/>
      </c>
      <c r="BN653">
        <f>$C653*BN652</f>
        <v/>
      </c>
      <c r="BO653">
        <f>$C653*BO652</f>
        <v/>
      </c>
      <c r="BP653">
        <f>$C653*BP652</f>
        <v/>
      </c>
      <c r="BQ653">
        <f>$C653*BQ652</f>
        <v/>
      </c>
      <c r="BR653">
        <f>$C653*BR652</f>
        <v/>
      </c>
      <c r="BS653">
        <f>$C653*BS652</f>
        <v/>
      </c>
      <c r="BT653">
        <f>$C653*BT652</f>
        <v/>
      </c>
      <c r="BU653">
        <f>$C653*BU652</f>
        <v/>
      </c>
      <c r="BV653">
        <f>$C653*BV652</f>
        <v/>
      </c>
      <c r="BW653">
        <f>$C653*BW652</f>
        <v/>
      </c>
      <c r="BX653">
        <f>$C653*BX652</f>
        <v/>
      </c>
      <c r="BY653">
        <f>$C653*BY652</f>
        <v/>
      </c>
      <c r="BZ653">
        <f>$C653*BZ652</f>
        <v/>
      </c>
      <c r="CA653">
        <f>$C653*CA652</f>
        <v/>
      </c>
      <c r="CB653">
        <f>$C653*CB652</f>
        <v/>
      </c>
      <c r="CC653">
        <f>$C653*CC652</f>
        <v/>
      </c>
      <c r="CD653">
        <f>$C653*CD652</f>
        <v/>
      </c>
      <c r="CE653">
        <f>$C653*CE652</f>
        <v/>
      </c>
      <c r="CF653">
        <f>$C653*CF652</f>
        <v/>
      </c>
      <c r="CG653">
        <f>$C653*CG652</f>
        <v/>
      </c>
      <c r="CH653">
        <f>$C653*CH652</f>
        <v/>
      </c>
      <c r="CI653">
        <f>$C653*CI652</f>
        <v/>
      </c>
      <c r="CJ653">
        <f>$C653*CJ652</f>
        <v/>
      </c>
      <c r="CK653">
        <f>$C653*CK652</f>
        <v/>
      </c>
      <c r="CL653">
        <f>$C653*CL652</f>
        <v/>
      </c>
      <c r="CM653">
        <f>$C653*CM652</f>
        <v/>
      </c>
      <c r="CN653">
        <f>$C653*CN652</f>
        <v/>
      </c>
      <c r="CO653">
        <f>$C653*CO652</f>
        <v/>
      </c>
      <c r="CP653">
        <f>$C653*CP652</f>
        <v/>
      </c>
      <c r="CQ653">
        <f>$C653*CQ652</f>
        <v/>
      </c>
      <c r="CR653">
        <f>$C653*CR652</f>
        <v/>
      </c>
      <c r="CS653">
        <f>$C653*CS652</f>
        <v/>
      </c>
      <c r="CT653">
        <f>$C653*CT652</f>
        <v/>
      </c>
      <c r="CU653">
        <f>$C653*CU652</f>
        <v/>
      </c>
      <c r="CV653">
        <f>$C653*CV652</f>
        <v/>
      </c>
      <c r="CW653">
        <f>$C653*CW652</f>
        <v/>
      </c>
      <c r="CX653">
        <f>$C653*CX652</f>
        <v/>
      </c>
      <c r="CY653">
        <f>$C653*CY652</f>
        <v/>
      </c>
      <c r="CZ653">
        <f>$C653*CZ652</f>
        <v/>
      </c>
      <c r="DA653">
        <f>$C653*DA652</f>
        <v/>
      </c>
      <c r="DB653">
        <f>$C653*DB652</f>
        <v/>
      </c>
      <c r="DC653">
        <f>$C653*DC652</f>
        <v/>
      </c>
    </row>
    <row r="654">
      <c r="B654" t="inlineStr">
        <is>
          <t>VSP-869</t>
        </is>
      </c>
      <c r="C654" t="inlineStr">
        <is>
          <t>No. of batches</t>
        </is>
      </c>
      <c r="D654">
        <f>IFERROR(INDEX(PP_Grid[#Data],$DD654,2),0)</f>
        <v/>
      </c>
      <c r="E654">
        <f>IFERROR(INDEX(PP_Grid[#Data],$DD654,3),0)</f>
        <v/>
      </c>
      <c r="F654">
        <f>IFERROR(INDEX(PP_Grid[#Data],$DD654,4),0)</f>
        <v/>
      </c>
      <c r="G654">
        <f>IFERROR(INDEX(PP_Grid[#Data],$DD654,5),0)</f>
        <v/>
      </c>
      <c r="H654">
        <f>IFERROR(INDEX(PP_Grid[#Data],$DD654,6),0)</f>
        <v/>
      </c>
      <c r="I654">
        <f>IFERROR(INDEX(PP_Grid[#Data],$DD654,7),0)</f>
        <v/>
      </c>
      <c r="J654">
        <f>IFERROR(INDEX(PP_Grid[#Data],$DD654,8),0)</f>
        <v/>
      </c>
      <c r="K654">
        <f>IFERROR(INDEX(PP_Grid[#Data],$DD654,9),0)</f>
        <v/>
      </c>
      <c r="L654">
        <f>IFERROR(INDEX(PP_Grid[#Data],$DD654,10),0)</f>
        <v/>
      </c>
      <c r="M654">
        <f>IFERROR(INDEX(PP_Grid[#Data],$DD654,11),0)</f>
        <v/>
      </c>
      <c r="N654">
        <f>IFERROR(INDEX(PP_Grid[#Data],$DD654,12),0)</f>
        <v/>
      </c>
      <c r="O654">
        <f>IFERROR(INDEX(PP_Grid[#Data],$DD654,13),0)</f>
        <v/>
      </c>
      <c r="P654">
        <f>IFERROR(INDEX(PP_Grid[#Data],$DD654,14),0)</f>
        <v/>
      </c>
      <c r="Q654">
        <f>IFERROR(INDEX(PP_Grid[#Data],$DD654,15),0)</f>
        <v/>
      </c>
      <c r="R654">
        <f>IFERROR(INDEX(PP_Grid[#Data],$DD654,16),0)</f>
        <v/>
      </c>
      <c r="S654">
        <f>IFERROR(INDEX(PP_Grid[#Data],$DD654,17),0)</f>
        <v/>
      </c>
      <c r="T654">
        <f>IFERROR(INDEX(PP_Grid[#Data],$DD654,18),0)</f>
        <v/>
      </c>
      <c r="U654">
        <f>IFERROR(INDEX(PP_Grid[#Data],$DD654,19),0)</f>
        <v/>
      </c>
      <c r="V654">
        <f>IFERROR(INDEX(PP_Grid[#Data],$DD654,20),0)</f>
        <v/>
      </c>
      <c r="W654">
        <f>IFERROR(INDEX(PP_Grid[#Data],$DD654,21),0)</f>
        <v/>
      </c>
      <c r="X654">
        <f>IFERROR(INDEX(PP_Grid[#Data],$DD654,22),0)</f>
        <v/>
      </c>
      <c r="Y654">
        <f>IFERROR(INDEX(PP_Grid[#Data],$DD654,23),0)</f>
        <v/>
      </c>
      <c r="Z654">
        <f>IFERROR(INDEX(PP_Grid[#Data],$DD654,24),0)</f>
        <v/>
      </c>
      <c r="AA654">
        <f>IFERROR(INDEX(PP_Grid[#Data],$DD654,25),0)</f>
        <v/>
      </c>
      <c r="AB654">
        <f>IFERROR(INDEX(PP_Grid[#Data],$DD654,26),0)</f>
        <v/>
      </c>
      <c r="AC654">
        <f>IFERROR(INDEX(PP_Grid[#Data],$DD654,27),0)</f>
        <v/>
      </c>
      <c r="AD654">
        <f>IFERROR(INDEX(PP_Grid[#Data],$DD654,28),0)</f>
        <v/>
      </c>
      <c r="AE654">
        <f>IFERROR(INDEX(PP_Grid[#Data],$DD654,29),0)</f>
        <v/>
      </c>
      <c r="AF654">
        <f>IFERROR(INDEX(PP_Grid[#Data],$DD654,30),0)</f>
        <v/>
      </c>
      <c r="AG654">
        <f>IFERROR(INDEX(PP_Grid[#Data],$DD654,31),0)</f>
        <v/>
      </c>
      <c r="AH654">
        <f>IFERROR(INDEX(PP_Grid[#Data],$DD654,32),0)</f>
        <v/>
      </c>
      <c r="AI654">
        <f>IFERROR(INDEX(PP_Grid[#Data],$DD654,33),0)</f>
        <v/>
      </c>
      <c r="AJ654">
        <f>IFERROR(INDEX(PP_Grid[#Data],$DD654,34),0)</f>
        <v/>
      </c>
      <c r="AK654">
        <f>IFERROR(INDEX(PP_Grid[#Data],$DD654,35),0)</f>
        <v/>
      </c>
      <c r="AL654">
        <f>IFERROR(INDEX(PP_Grid[#Data],$DD654,36),0)</f>
        <v/>
      </c>
      <c r="AM654">
        <f>IFERROR(INDEX(PP_Grid[#Data],$DD654,37),0)</f>
        <v/>
      </c>
      <c r="AN654">
        <f>IFERROR(INDEX(PP_Grid[#Data],$DD654,38),0)</f>
        <v/>
      </c>
      <c r="AO654">
        <f>IFERROR(INDEX(PP_Grid[#Data],$DD654,39),0)</f>
        <v/>
      </c>
      <c r="AP654">
        <f>IFERROR(INDEX(PP_Grid[#Data],$DD654,40),0)</f>
        <v/>
      </c>
      <c r="AQ654">
        <f>IFERROR(INDEX(PP_Grid[#Data],$DD654,41),0)</f>
        <v/>
      </c>
      <c r="AR654">
        <f>IFERROR(INDEX(PP_Grid[#Data],$DD654,42),0)</f>
        <v/>
      </c>
      <c r="AS654">
        <f>IFERROR(INDEX(PP_Grid[#Data],$DD654,43),0)</f>
        <v/>
      </c>
      <c r="AT654">
        <f>IFERROR(INDEX(PP_Grid[#Data],$DD654,44),0)</f>
        <v/>
      </c>
      <c r="AU654">
        <f>IFERROR(INDEX(PP_Grid[#Data],$DD654,45),0)</f>
        <v/>
      </c>
      <c r="AV654">
        <f>IFERROR(INDEX(PP_Grid[#Data],$DD654,46),0)</f>
        <v/>
      </c>
      <c r="AW654">
        <f>IFERROR(INDEX(PP_Grid[#Data],$DD654,47),0)</f>
        <v/>
      </c>
      <c r="AX654">
        <f>IFERROR(INDEX(PP_Grid[#Data],$DD654,48),0)</f>
        <v/>
      </c>
      <c r="AY654">
        <f>IFERROR(INDEX(PP_Grid[#Data],$DD654,49),0)</f>
        <v/>
      </c>
      <c r="AZ654">
        <f>IFERROR(INDEX(PP_Grid[#Data],$DD654,50),0)</f>
        <v/>
      </c>
      <c r="BA654">
        <f>IFERROR(INDEX(PP_Grid[#Data],$DD654,51),0)</f>
        <v/>
      </c>
      <c r="BB654">
        <f>IFERROR(INDEX(PP_Grid[#Data],$DD654,52),0)</f>
        <v/>
      </c>
      <c r="BC654">
        <f>IFERROR(INDEX(PP_Grid[#Data],$DD654,53),0)</f>
        <v/>
      </c>
      <c r="BD654">
        <f>IFERROR(INDEX(PP_Grid[#Data],$DD654,54),0)</f>
        <v/>
      </c>
      <c r="BE654">
        <f>IFERROR(INDEX(PP_Grid[#Data],$DD654,55),0)</f>
        <v/>
      </c>
      <c r="BF654">
        <f>IFERROR(INDEX(PP_Grid[#Data],$DD654,56),0)</f>
        <v/>
      </c>
      <c r="BG654">
        <f>IFERROR(INDEX(PP_Grid[#Data],$DD654,57),0)</f>
        <v/>
      </c>
      <c r="BH654">
        <f>IFERROR(INDEX(PP_Grid[#Data],$DD654,58),0)</f>
        <v/>
      </c>
      <c r="BI654">
        <f>IFERROR(INDEX(PP_Grid[#Data],$DD654,59),0)</f>
        <v/>
      </c>
      <c r="BJ654">
        <f>IFERROR(INDEX(PP_Grid[#Data],$DD654,60),0)</f>
        <v/>
      </c>
      <c r="BK654">
        <f>IFERROR(INDEX(PP_Grid[#Data],$DD654,61),0)</f>
        <v/>
      </c>
      <c r="BL654">
        <f>IFERROR(INDEX(PP_Grid[#Data],$DD654,62),0)</f>
        <v/>
      </c>
      <c r="BM654">
        <f>IFERROR(INDEX(PP_Grid[#Data],$DD654,63),0)</f>
        <v/>
      </c>
      <c r="BN654">
        <f>IFERROR(INDEX(PP_Grid[#Data],$DD654,64),0)</f>
        <v/>
      </c>
      <c r="BO654">
        <f>IFERROR(INDEX(PP_Grid[#Data],$DD654,65),0)</f>
        <v/>
      </c>
      <c r="BP654">
        <f>IFERROR(INDEX(PP_Grid[#Data],$DD654,66),0)</f>
        <v/>
      </c>
      <c r="BQ654">
        <f>IFERROR(INDEX(PP_Grid[#Data],$DD654,67),0)</f>
        <v/>
      </c>
      <c r="BR654">
        <f>IFERROR(INDEX(PP_Grid[#Data],$DD654,68),0)</f>
        <v/>
      </c>
      <c r="BS654">
        <f>IFERROR(INDEX(PP_Grid[#Data],$DD654,69),0)</f>
        <v/>
      </c>
      <c r="BT654">
        <f>IFERROR(INDEX(PP_Grid[#Data],$DD654,70),0)</f>
        <v/>
      </c>
      <c r="BU654">
        <f>IFERROR(INDEX(PP_Grid[#Data],$DD654,71),0)</f>
        <v/>
      </c>
      <c r="BV654">
        <f>IFERROR(INDEX(PP_Grid[#Data],$DD654,72),0)</f>
        <v/>
      </c>
      <c r="BW654">
        <f>IFERROR(INDEX(PP_Grid[#Data],$DD654,73),0)</f>
        <v/>
      </c>
      <c r="BX654">
        <f>IFERROR(INDEX(PP_Grid[#Data],$DD654,74),0)</f>
        <v/>
      </c>
      <c r="BY654">
        <f>IFERROR(INDEX(PP_Grid[#Data],$DD654,75),0)</f>
        <v/>
      </c>
      <c r="BZ654">
        <f>IFERROR(INDEX(PP_Grid[#Data],$DD654,76),0)</f>
        <v/>
      </c>
      <c r="CA654">
        <f>IFERROR(INDEX(PP_Grid[#Data],$DD654,77),0)</f>
        <v/>
      </c>
      <c r="CB654">
        <f>IFERROR(INDEX(PP_Grid[#Data],$DD654,78),0)</f>
        <v/>
      </c>
      <c r="CC654">
        <f>IFERROR(INDEX(PP_Grid[#Data],$DD654,79),0)</f>
        <v/>
      </c>
      <c r="CD654">
        <f>IFERROR(INDEX(PP_Grid[#Data],$DD654,80),0)</f>
        <v/>
      </c>
      <c r="CE654">
        <f>IFERROR(INDEX(PP_Grid[#Data],$DD654,81),0)</f>
        <v/>
      </c>
      <c r="CF654">
        <f>IFERROR(INDEX(PP_Grid[#Data],$DD654,82),0)</f>
        <v/>
      </c>
      <c r="CG654">
        <f>IFERROR(INDEX(PP_Grid[#Data],$DD654,83),0)</f>
        <v/>
      </c>
      <c r="CH654">
        <f>IFERROR(INDEX(PP_Grid[#Data],$DD654,84),0)</f>
        <v/>
      </c>
      <c r="CI654">
        <f>IFERROR(INDEX(PP_Grid[#Data],$DD654,85),0)</f>
        <v/>
      </c>
      <c r="CJ654">
        <f>IFERROR(INDEX(PP_Grid[#Data],$DD654,86),0)</f>
        <v/>
      </c>
      <c r="CK654">
        <f>IFERROR(INDEX(PP_Grid[#Data],$DD654,87),0)</f>
        <v/>
      </c>
      <c r="CL654">
        <f>IFERROR(INDEX(PP_Grid[#Data],$DD654,88),0)</f>
        <v/>
      </c>
      <c r="CM654">
        <f>IFERROR(INDEX(PP_Grid[#Data],$DD654,89),0)</f>
        <v/>
      </c>
      <c r="CN654">
        <f>IFERROR(INDEX(PP_Grid[#Data],$DD654,90),0)</f>
        <v/>
      </c>
      <c r="CO654">
        <f>IFERROR(INDEX(PP_Grid[#Data],$DD654,91),0)</f>
        <v/>
      </c>
      <c r="CP654">
        <f>IFERROR(INDEX(PP_Grid[#Data],$DD654,92),0)</f>
        <v/>
      </c>
      <c r="CQ654">
        <f>IFERROR(INDEX(PP_Grid[#Data],$DD654,93),0)</f>
        <v/>
      </c>
      <c r="CR654">
        <f>IFERROR(INDEX(PP_Grid[#Data],$DD654,94),0)</f>
        <v/>
      </c>
      <c r="CS654">
        <f>IFERROR(INDEX(PP_Grid[#Data],$DD654,95),0)</f>
        <v/>
      </c>
      <c r="CT654">
        <f>IFERROR(INDEX(PP_Grid[#Data],$DD654,96),0)</f>
        <v/>
      </c>
      <c r="CU654">
        <f>IFERROR(INDEX(PP_Grid[#Data],$DD654,97),0)</f>
        <v/>
      </c>
      <c r="CV654">
        <f>IFERROR(INDEX(PP_Grid[#Data],$DD654,98),0)</f>
        <v/>
      </c>
      <c r="CW654">
        <f>IFERROR(INDEX(PP_Grid[#Data],$DD654,99),0)</f>
        <v/>
      </c>
      <c r="CX654">
        <f>IFERROR(INDEX(PP_Grid[#Data],$DD654,100),0)</f>
        <v/>
      </c>
      <c r="CY654">
        <f>IFERROR(INDEX(PP_Grid[#Data],$DD654,101),0)</f>
        <v/>
      </c>
      <c r="CZ654">
        <f>IFERROR(INDEX(PP_Grid[#Data],$DD654,102),0)</f>
        <v/>
      </c>
      <c r="DA654">
        <f>IFERROR(INDEX(PP_Grid[#Data],$DD654,103),0)</f>
        <v/>
      </c>
      <c r="DB654">
        <f>IFERROR(INDEX(PP_Grid[#Data],$DD654,104),0)</f>
        <v/>
      </c>
      <c r="DC654">
        <f>IFERROR(INDEX(PP_Grid[#Data],$DD654,105),0)</f>
        <v/>
      </c>
      <c r="DD654" s="7">
        <f>IFERROR(MATCH($B654,PP_Grid[Intermediate],0),99999)</f>
        <v/>
      </c>
    </row>
    <row r="655">
      <c r="B655" t="inlineStr">
        <is>
          <t>使用量(kg)</t>
        </is>
      </c>
      <c r="C655">
        <f>SUMIFS(M_BOM[RM_Qty_Per_Batch],M_BOM[Intermediate],$B654,M_BOM[Part Name],$A643)</f>
        <v/>
      </c>
      <c r="D655">
        <f>$C655*D654</f>
        <v/>
      </c>
      <c r="E655">
        <f>$C655*E654</f>
        <v/>
      </c>
      <c r="F655">
        <f>$C655*F654</f>
        <v/>
      </c>
      <c r="G655">
        <f>$C655*G654</f>
        <v/>
      </c>
      <c r="H655">
        <f>$C655*H654</f>
        <v/>
      </c>
      <c r="I655">
        <f>$C655*I654</f>
        <v/>
      </c>
      <c r="J655">
        <f>$C655*J654</f>
        <v/>
      </c>
      <c r="K655">
        <f>$C655*K654</f>
        <v/>
      </c>
      <c r="L655">
        <f>$C655*L654</f>
        <v/>
      </c>
      <c r="M655">
        <f>$C655*M654</f>
        <v/>
      </c>
      <c r="N655">
        <f>$C655*N654</f>
        <v/>
      </c>
      <c r="O655">
        <f>$C655*O654</f>
        <v/>
      </c>
      <c r="P655">
        <f>$C655*P654</f>
        <v/>
      </c>
      <c r="Q655">
        <f>$C655*Q654</f>
        <v/>
      </c>
      <c r="R655">
        <f>$C655*R654</f>
        <v/>
      </c>
      <c r="S655">
        <f>$C655*S654</f>
        <v/>
      </c>
      <c r="T655">
        <f>$C655*T654</f>
        <v/>
      </c>
      <c r="U655">
        <f>$C655*U654</f>
        <v/>
      </c>
      <c r="V655">
        <f>$C655*V654</f>
        <v/>
      </c>
      <c r="W655">
        <f>$C655*W654</f>
        <v/>
      </c>
      <c r="X655">
        <f>$C655*X654</f>
        <v/>
      </c>
      <c r="Y655">
        <f>$C655*Y654</f>
        <v/>
      </c>
      <c r="Z655">
        <f>$C655*Z654</f>
        <v/>
      </c>
      <c r="AA655">
        <f>$C655*AA654</f>
        <v/>
      </c>
      <c r="AB655">
        <f>$C655*AB654</f>
        <v/>
      </c>
      <c r="AC655">
        <f>$C655*AC654</f>
        <v/>
      </c>
      <c r="AD655">
        <f>$C655*AD654</f>
        <v/>
      </c>
      <c r="AE655">
        <f>$C655*AE654</f>
        <v/>
      </c>
      <c r="AF655">
        <f>$C655*AF654</f>
        <v/>
      </c>
      <c r="AG655">
        <f>$C655*AG654</f>
        <v/>
      </c>
      <c r="AH655">
        <f>$C655*AH654</f>
        <v/>
      </c>
      <c r="AI655">
        <f>$C655*AI654</f>
        <v/>
      </c>
      <c r="AJ655">
        <f>$C655*AJ654</f>
        <v/>
      </c>
      <c r="AK655">
        <f>$C655*AK654</f>
        <v/>
      </c>
      <c r="AL655">
        <f>$C655*AL654</f>
        <v/>
      </c>
      <c r="AM655">
        <f>$C655*AM654</f>
        <v/>
      </c>
      <c r="AN655">
        <f>$C655*AN654</f>
        <v/>
      </c>
      <c r="AO655">
        <f>$C655*AO654</f>
        <v/>
      </c>
      <c r="AP655">
        <f>$C655*AP654</f>
        <v/>
      </c>
      <c r="AQ655">
        <f>$C655*AQ654</f>
        <v/>
      </c>
      <c r="AR655">
        <f>$C655*AR654</f>
        <v/>
      </c>
      <c r="AS655">
        <f>$C655*AS654</f>
        <v/>
      </c>
      <c r="AT655">
        <f>$C655*AT654</f>
        <v/>
      </c>
      <c r="AU655">
        <f>$C655*AU654</f>
        <v/>
      </c>
      <c r="AV655">
        <f>$C655*AV654</f>
        <v/>
      </c>
      <c r="AW655">
        <f>$C655*AW654</f>
        <v/>
      </c>
      <c r="AX655">
        <f>$C655*AX654</f>
        <v/>
      </c>
      <c r="AY655">
        <f>$C655*AY654</f>
        <v/>
      </c>
      <c r="AZ655">
        <f>$C655*AZ654</f>
        <v/>
      </c>
      <c r="BA655">
        <f>$C655*BA654</f>
        <v/>
      </c>
      <c r="BB655">
        <f>$C655*BB654</f>
        <v/>
      </c>
      <c r="BC655">
        <f>$C655*BC654</f>
        <v/>
      </c>
      <c r="BD655">
        <f>$C655*BD654</f>
        <v/>
      </c>
      <c r="BE655">
        <f>$C655*BE654</f>
        <v/>
      </c>
      <c r="BF655">
        <f>$C655*BF654</f>
        <v/>
      </c>
      <c r="BG655">
        <f>$C655*BG654</f>
        <v/>
      </c>
      <c r="BH655">
        <f>$C655*BH654</f>
        <v/>
      </c>
      <c r="BI655">
        <f>$C655*BI654</f>
        <v/>
      </c>
      <c r="BJ655">
        <f>$C655*BJ654</f>
        <v/>
      </c>
      <c r="BK655">
        <f>$C655*BK654</f>
        <v/>
      </c>
      <c r="BL655">
        <f>$C655*BL654</f>
        <v/>
      </c>
      <c r="BM655">
        <f>$C655*BM654</f>
        <v/>
      </c>
      <c r="BN655">
        <f>$C655*BN654</f>
        <v/>
      </c>
      <c r="BO655">
        <f>$C655*BO654</f>
        <v/>
      </c>
      <c r="BP655">
        <f>$C655*BP654</f>
        <v/>
      </c>
      <c r="BQ655">
        <f>$C655*BQ654</f>
        <v/>
      </c>
      <c r="BR655">
        <f>$C655*BR654</f>
        <v/>
      </c>
      <c r="BS655">
        <f>$C655*BS654</f>
        <v/>
      </c>
      <c r="BT655">
        <f>$C655*BT654</f>
        <v/>
      </c>
      <c r="BU655">
        <f>$C655*BU654</f>
        <v/>
      </c>
      <c r="BV655">
        <f>$C655*BV654</f>
        <v/>
      </c>
      <c r="BW655">
        <f>$C655*BW654</f>
        <v/>
      </c>
      <c r="BX655">
        <f>$C655*BX654</f>
        <v/>
      </c>
      <c r="BY655">
        <f>$C655*BY654</f>
        <v/>
      </c>
      <c r="BZ655">
        <f>$C655*BZ654</f>
        <v/>
      </c>
      <c r="CA655">
        <f>$C655*CA654</f>
        <v/>
      </c>
      <c r="CB655">
        <f>$C655*CB654</f>
        <v/>
      </c>
      <c r="CC655">
        <f>$C655*CC654</f>
        <v/>
      </c>
      <c r="CD655">
        <f>$C655*CD654</f>
        <v/>
      </c>
      <c r="CE655">
        <f>$C655*CE654</f>
        <v/>
      </c>
      <c r="CF655">
        <f>$C655*CF654</f>
        <v/>
      </c>
      <c r="CG655">
        <f>$C655*CG654</f>
        <v/>
      </c>
      <c r="CH655">
        <f>$C655*CH654</f>
        <v/>
      </c>
      <c r="CI655">
        <f>$C655*CI654</f>
        <v/>
      </c>
      <c r="CJ655">
        <f>$C655*CJ654</f>
        <v/>
      </c>
      <c r="CK655">
        <f>$C655*CK654</f>
        <v/>
      </c>
      <c r="CL655">
        <f>$C655*CL654</f>
        <v/>
      </c>
      <c r="CM655">
        <f>$C655*CM654</f>
        <v/>
      </c>
      <c r="CN655">
        <f>$C655*CN654</f>
        <v/>
      </c>
      <c r="CO655">
        <f>$C655*CO654</f>
        <v/>
      </c>
      <c r="CP655">
        <f>$C655*CP654</f>
        <v/>
      </c>
      <c r="CQ655">
        <f>$C655*CQ654</f>
        <v/>
      </c>
      <c r="CR655">
        <f>$C655*CR654</f>
        <v/>
      </c>
      <c r="CS655">
        <f>$C655*CS654</f>
        <v/>
      </c>
      <c r="CT655">
        <f>$C655*CT654</f>
        <v/>
      </c>
      <c r="CU655">
        <f>$C655*CU654</f>
        <v/>
      </c>
      <c r="CV655">
        <f>$C655*CV654</f>
        <v/>
      </c>
      <c r="CW655">
        <f>$C655*CW654</f>
        <v/>
      </c>
      <c r="CX655">
        <f>$C655*CX654</f>
        <v/>
      </c>
      <c r="CY655">
        <f>$C655*CY654</f>
        <v/>
      </c>
      <c r="CZ655">
        <f>$C655*CZ654</f>
        <v/>
      </c>
      <c r="DA655">
        <f>$C655*DA654</f>
        <v/>
      </c>
      <c r="DB655">
        <f>$C655*DB654</f>
        <v/>
      </c>
      <c r="DC655">
        <f>$C655*DC654</f>
        <v/>
      </c>
    </row>
    <row r="656">
      <c r="B656" t="inlineStr">
        <is>
          <t>VSP-870</t>
        </is>
      </c>
      <c r="C656" t="inlineStr">
        <is>
          <t>No. of batches</t>
        </is>
      </c>
      <c r="D656">
        <f>IFERROR(INDEX(PP_Grid[#Data],$DD656,2),0)</f>
        <v/>
      </c>
      <c r="E656">
        <f>IFERROR(INDEX(PP_Grid[#Data],$DD656,3),0)</f>
        <v/>
      </c>
      <c r="F656">
        <f>IFERROR(INDEX(PP_Grid[#Data],$DD656,4),0)</f>
        <v/>
      </c>
      <c r="G656">
        <f>IFERROR(INDEX(PP_Grid[#Data],$DD656,5),0)</f>
        <v/>
      </c>
      <c r="H656">
        <f>IFERROR(INDEX(PP_Grid[#Data],$DD656,6),0)</f>
        <v/>
      </c>
      <c r="I656">
        <f>IFERROR(INDEX(PP_Grid[#Data],$DD656,7),0)</f>
        <v/>
      </c>
      <c r="J656">
        <f>IFERROR(INDEX(PP_Grid[#Data],$DD656,8),0)</f>
        <v/>
      </c>
      <c r="K656">
        <f>IFERROR(INDEX(PP_Grid[#Data],$DD656,9),0)</f>
        <v/>
      </c>
      <c r="L656">
        <f>IFERROR(INDEX(PP_Grid[#Data],$DD656,10),0)</f>
        <v/>
      </c>
      <c r="M656">
        <f>IFERROR(INDEX(PP_Grid[#Data],$DD656,11),0)</f>
        <v/>
      </c>
      <c r="N656">
        <f>IFERROR(INDEX(PP_Grid[#Data],$DD656,12),0)</f>
        <v/>
      </c>
      <c r="O656">
        <f>IFERROR(INDEX(PP_Grid[#Data],$DD656,13),0)</f>
        <v/>
      </c>
      <c r="P656">
        <f>IFERROR(INDEX(PP_Grid[#Data],$DD656,14),0)</f>
        <v/>
      </c>
      <c r="Q656">
        <f>IFERROR(INDEX(PP_Grid[#Data],$DD656,15),0)</f>
        <v/>
      </c>
      <c r="R656">
        <f>IFERROR(INDEX(PP_Grid[#Data],$DD656,16),0)</f>
        <v/>
      </c>
      <c r="S656">
        <f>IFERROR(INDEX(PP_Grid[#Data],$DD656,17),0)</f>
        <v/>
      </c>
      <c r="T656">
        <f>IFERROR(INDEX(PP_Grid[#Data],$DD656,18),0)</f>
        <v/>
      </c>
      <c r="U656">
        <f>IFERROR(INDEX(PP_Grid[#Data],$DD656,19),0)</f>
        <v/>
      </c>
      <c r="V656">
        <f>IFERROR(INDEX(PP_Grid[#Data],$DD656,20),0)</f>
        <v/>
      </c>
      <c r="W656">
        <f>IFERROR(INDEX(PP_Grid[#Data],$DD656,21),0)</f>
        <v/>
      </c>
      <c r="X656">
        <f>IFERROR(INDEX(PP_Grid[#Data],$DD656,22),0)</f>
        <v/>
      </c>
      <c r="Y656">
        <f>IFERROR(INDEX(PP_Grid[#Data],$DD656,23),0)</f>
        <v/>
      </c>
      <c r="Z656">
        <f>IFERROR(INDEX(PP_Grid[#Data],$DD656,24),0)</f>
        <v/>
      </c>
      <c r="AA656">
        <f>IFERROR(INDEX(PP_Grid[#Data],$DD656,25),0)</f>
        <v/>
      </c>
      <c r="AB656">
        <f>IFERROR(INDEX(PP_Grid[#Data],$DD656,26),0)</f>
        <v/>
      </c>
      <c r="AC656">
        <f>IFERROR(INDEX(PP_Grid[#Data],$DD656,27),0)</f>
        <v/>
      </c>
      <c r="AD656">
        <f>IFERROR(INDEX(PP_Grid[#Data],$DD656,28),0)</f>
        <v/>
      </c>
      <c r="AE656">
        <f>IFERROR(INDEX(PP_Grid[#Data],$DD656,29),0)</f>
        <v/>
      </c>
      <c r="AF656">
        <f>IFERROR(INDEX(PP_Grid[#Data],$DD656,30),0)</f>
        <v/>
      </c>
      <c r="AG656">
        <f>IFERROR(INDEX(PP_Grid[#Data],$DD656,31),0)</f>
        <v/>
      </c>
      <c r="AH656">
        <f>IFERROR(INDEX(PP_Grid[#Data],$DD656,32),0)</f>
        <v/>
      </c>
      <c r="AI656">
        <f>IFERROR(INDEX(PP_Grid[#Data],$DD656,33),0)</f>
        <v/>
      </c>
      <c r="AJ656">
        <f>IFERROR(INDEX(PP_Grid[#Data],$DD656,34),0)</f>
        <v/>
      </c>
      <c r="AK656">
        <f>IFERROR(INDEX(PP_Grid[#Data],$DD656,35),0)</f>
        <v/>
      </c>
      <c r="AL656">
        <f>IFERROR(INDEX(PP_Grid[#Data],$DD656,36),0)</f>
        <v/>
      </c>
      <c r="AM656">
        <f>IFERROR(INDEX(PP_Grid[#Data],$DD656,37),0)</f>
        <v/>
      </c>
      <c r="AN656">
        <f>IFERROR(INDEX(PP_Grid[#Data],$DD656,38),0)</f>
        <v/>
      </c>
      <c r="AO656">
        <f>IFERROR(INDEX(PP_Grid[#Data],$DD656,39),0)</f>
        <v/>
      </c>
      <c r="AP656">
        <f>IFERROR(INDEX(PP_Grid[#Data],$DD656,40),0)</f>
        <v/>
      </c>
      <c r="AQ656">
        <f>IFERROR(INDEX(PP_Grid[#Data],$DD656,41),0)</f>
        <v/>
      </c>
      <c r="AR656">
        <f>IFERROR(INDEX(PP_Grid[#Data],$DD656,42),0)</f>
        <v/>
      </c>
      <c r="AS656">
        <f>IFERROR(INDEX(PP_Grid[#Data],$DD656,43),0)</f>
        <v/>
      </c>
      <c r="AT656">
        <f>IFERROR(INDEX(PP_Grid[#Data],$DD656,44),0)</f>
        <v/>
      </c>
      <c r="AU656">
        <f>IFERROR(INDEX(PP_Grid[#Data],$DD656,45),0)</f>
        <v/>
      </c>
      <c r="AV656">
        <f>IFERROR(INDEX(PP_Grid[#Data],$DD656,46),0)</f>
        <v/>
      </c>
      <c r="AW656">
        <f>IFERROR(INDEX(PP_Grid[#Data],$DD656,47),0)</f>
        <v/>
      </c>
      <c r="AX656">
        <f>IFERROR(INDEX(PP_Grid[#Data],$DD656,48),0)</f>
        <v/>
      </c>
      <c r="AY656">
        <f>IFERROR(INDEX(PP_Grid[#Data],$DD656,49),0)</f>
        <v/>
      </c>
      <c r="AZ656">
        <f>IFERROR(INDEX(PP_Grid[#Data],$DD656,50),0)</f>
        <v/>
      </c>
      <c r="BA656">
        <f>IFERROR(INDEX(PP_Grid[#Data],$DD656,51),0)</f>
        <v/>
      </c>
      <c r="BB656">
        <f>IFERROR(INDEX(PP_Grid[#Data],$DD656,52),0)</f>
        <v/>
      </c>
      <c r="BC656">
        <f>IFERROR(INDEX(PP_Grid[#Data],$DD656,53),0)</f>
        <v/>
      </c>
      <c r="BD656">
        <f>IFERROR(INDEX(PP_Grid[#Data],$DD656,54),0)</f>
        <v/>
      </c>
      <c r="BE656">
        <f>IFERROR(INDEX(PP_Grid[#Data],$DD656,55),0)</f>
        <v/>
      </c>
      <c r="BF656">
        <f>IFERROR(INDEX(PP_Grid[#Data],$DD656,56),0)</f>
        <v/>
      </c>
      <c r="BG656">
        <f>IFERROR(INDEX(PP_Grid[#Data],$DD656,57),0)</f>
        <v/>
      </c>
      <c r="BH656">
        <f>IFERROR(INDEX(PP_Grid[#Data],$DD656,58),0)</f>
        <v/>
      </c>
      <c r="BI656">
        <f>IFERROR(INDEX(PP_Grid[#Data],$DD656,59),0)</f>
        <v/>
      </c>
      <c r="BJ656">
        <f>IFERROR(INDEX(PP_Grid[#Data],$DD656,60),0)</f>
        <v/>
      </c>
      <c r="BK656">
        <f>IFERROR(INDEX(PP_Grid[#Data],$DD656,61),0)</f>
        <v/>
      </c>
      <c r="BL656">
        <f>IFERROR(INDEX(PP_Grid[#Data],$DD656,62),0)</f>
        <v/>
      </c>
      <c r="BM656">
        <f>IFERROR(INDEX(PP_Grid[#Data],$DD656,63),0)</f>
        <v/>
      </c>
      <c r="BN656">
        <f>IFERROR(INDEX(PP_Grid[#Data],$DD656,64),0)</f>
        <v/>
      </c>
      <c r="BO656">
        <f>IFERROR(INDEX(PP_Grid[#Data],$DD656,65),0)</f>
        <v/>
      </c>
      <c r="BP656">
        <f>IFERROR(INDEX(PP_Grid[#Data],$DD656,66),0)</f>
        <v/>
      </c>
      <c r="BQ656">
        <f>IFERROR(INDEX(PP_Grid[#Data],$DD656,67),0)</f>
        <v/>
      </c>
      <c r="BR656">
        <f>IFERROR(INDEX(PP_Grid[#Data],$DD656,68),0)</f>
        <v/>
      </c>
      <c r="BS656">
        <f>IFERROR(INDEX(PP_Grid[#Data],$DD656,69),0)</f>
        <v/>
      </c>
      <c r="BT656">
        <f>IFERROR(INDEX(PP_Grid[#Data],$DD656,70),0)</f>
        <v/>
      </c>
      <c r="BU656">
        <f>IFERROR(INDEX(PP_Grid[#Data],$DD656,71),0)</f>
        <v/>
      </c>
      <c r="BV656">
        <f>IFERROR(INDEX(PP_Grid[#Data],$DD656,72),0)</f>
        <v/>
      </c>
      <c r="BW656">
        <f>IFERROR(INDEX(PP_Grid[#Data],$DD656,73),0)</f>
        <v/>
      </c>
      <c r="BX656">
        <f>IFERROR(INDEX(PP_Grid[#Data],$DD656,74),0)</f>
        <v/>
      </c>
      <c r="BY656">
        <f>IFERROR(INDEX(PP_Grid[#Data],$DD656,75),0)</f>
        <v/>
      </c>
      <c r="BZ656">
        <f>IFERROR(INDEX(PP_Grid[#Data],$DD656,76),0)</f>
        <v/>
      </c>
      <c r="CA656">
        <f>IFERROR(INDEX(PP_Grid[#Data],$DD656,77),0)</f>
        <v/>
      </c>
      <c r="CB656">
        <f>IFERROR(INDEX(PP_Grid[#Data],$DD656,78),0)</f>
        <v/>
      </c>
      <c r="CC656">
        <f>IFERROR(INDEX(PP_Grid[#Data],$DD656,79),0)</f>
        <v/>
      </c>
      <c r="CD656">
        <f>IFERROR(INDEX(PP_Grid[#Data],$DD656,80),0)</f>
        <v/>
      </c>
      <c r="CE656">
        <f>IFERROR(INDEX(PP_Grid[#Data],$DD656,81),0)</f>
        <v/>
      </c>
      <c r="CF656">
        <f>IFERROR(INDEX(PP_Grid[#Data],$DD656,82),0)</f>
        <v/>
      </c>
      <c r="CG656">
        <f>IFERROR(INDEX(PP_Grid[#Data],$DD656,83),0)</f>
        <v/>
      </c>
      <c r="CH656">
        <f>IFERROR(INDEX(PP_Grid[#Data],$DD656,84),0)</f>
        <v/>
      </c>
      <c r="CI656">
        <f>IFERROR(INDEX(PP_Grid[#Data],$DD656,85),0)</f>
        <v/>
      </c>
      <c r="CJ656">
        <f>IFERROR(INDEX(PP_Grid[#Data],$DD656,86),0)</f>
        <v/>
      </c>
      <c r="CK656">
        <f>IFERROR(INDEX(PP_Grid[#Data],$DD656,87),0)</f>
        <v/>
      </c>
      <c r="CL656">
        <f>IFERROR(INDEX(PP_Grid[#Data],$DD656,88),0)</f>
        <v/>
      </c>
      <c r="CM656">
        <f>IFERROR(INDEX(PP_Grid[#Data],$DD656,89),0)</f>
        <v/>
      </c>
      <c r="CN656">
        <f>IFERROR(INDEX(PP_Grid[#Data],$DD656,90),0)</f>
        <v/>
      </c>
      <c r="CO656">
        <f>IFERROR(INDEX(PP_Grid[#Data],$DD656,91),0)</f>
        <v/>
      </c>
      <c r="CP656">
        <f>IFERROR(INDEX(PP_Grid[#Data],$DD656,92),0)</f>
        <v/>
      </c>
      <c r="CQ656">
        <f>IFERROR(INDEX(PP_Grid[#Data],$DD656,93),0)</f>
        <v/>
      </c>
      <c r="CR656">
        <f>IFERROR(INDEX(PP_Grid[#Data],$DD656,94),0)</f>
        <v/>
      </c>
      <c r="CS656">
        <f>IFERROR(INDEX(PP_Grid[#Data],$DD656,95),0)</f>
        <v/>
      </c>
      <c r="CT656">
        <f>IFERROR(INDEX(PP_Grid[#Data],$DD656,96),0)</f>
        <v/>
      </c>
      <c r="CU656">
        <f>IFERROR(INDEX(PP_Grid[#Data],$DD656,97),0)</f>
        <v/>
      </c>
      <c r="CV656">
        <f>IFERROR(INDEX(PP_Grid[#Data],$DD656,98),0)</f>
        <v/>
      </c>
      <c r="CW656">
        <f>IFERROR(INDEX(PP_Grid[#Data],$DD656,99),0)</f>
        <v/>
      </c>
      <c r="CX656">
        <f>IFERROR(INDEX(PP_Grid[#Data],$DD656,100),0)</f>
        <v/>
      </c>
      <c r="CY656">
        <f>IFERROR(INDEX(PP_Grid[#Data],$DD656,101),0)</f>
        <v/>
      </c>
      <c r="CZ656">
        <f>IFERROR(INDEX(PP_Grid[#Data],$DD656,102),0)</f>
        <v/>
      </c>
      <c r="DA656">
        <f>IFERROR(INDEX(PP_Grid[#Data],$DD656,103),0)</f>
        <v/>
      </c>
      <c r="DB656">
        <f>IFERROR(INDEX(PP_Grid[#Data],$DD656,104),0)</f>
        <v/>
      </c>
      <c r="DC656">
        <f>IFERROR(INDEX(PP_Grid[#Data],$DD656,105),0)</f>
        <v/>
      </c>
      <c r="DD656" s="7">
        <f>IFERROR(MATCH($B656,PP_Grid[Intermediate],0),99999)</f>
        <v/>
      </c>
    </row>
    <row r="657">
      <c r="B657" t="inlineStr">
        <is>
          <t>使用量(kg)</t>
        </is>
      </c>
      <c r="C657">
        <f>SUMIFS(M_BOM[RM_Qty_Per_Batch],M_BOM[Intermediate],$B656,M_BOM[Part Name],$A643)</f>
        <v/>
      </c>
      <c r="D657">
        <f>$C657*D656</f>
        <v/>
      </c>
      <c r="E657">
        <f>$C657*E656</f>
        <v/>
      </c>
      <c r="F657">
        <f>$C657*F656</f>
        <v/>
      </c>
      <c r="G657">
        <f>$C657*G656</f>
        <v/>
      </c>
      <c r="H657">
        <f>$C657*H656</f>
        <v/>
      </c>
      <c r="I657">
        <f>$C657*I656</f>
        <v/>
      </c>
      <c r="J657">
        <f>$C657*J656</f>
        <v/>
      </c>
      <c r="K657">
        <f>$C657*K656</f>
        <v/>
      </c>
      <c r="L657">
        <f>$C657*L656</f>
        <v/>
      </c>
      <c r="M657">
        <f>$C657*M656</f>
        <v/>
      </c>
      <c r="N657">
        <f>$C657*N656</f>
        <v/>
      </c>
      <c r="O657">
        <f>$C657*O656</f>
        <v/>
      </c>
      <c r="P657">
        <f>$C657*P656</f>
        <v/>
      </c>
      <c r="Q657">
        <f>$C657*Q656</f>
        <v/>
      </c>
      <c r="R657">
        <f>$C657*R656</f>
        <v/>
      </c>
      <c r="S657">
        <f>$C657*S656</f>
        <v/>
      </c>
      <c r="T657">
        <f>$C657*T656</f>
        <v/>
      </c>
      <c r="U657">
        <f>$C657*U656</f>
        <v/>
      </c>
      <c r="V657">
        <f>$C657*V656</f>
        <v/>
      </c>
      <c r="W657">
        <f>$C657*W656</f>
        <v/>
      </c>
      <c r="X657">
        <f>$C657*X656</f>
        <v/>
      </c>
      <c r="Y657">
        <f>$C657*Y656</f>
        <v/>
      </c>
      <c r="Z657">
        <f>$C657*Z656</f>
        <v/>
      </c>
      <c r="AA657">
        <f>$C657*AA656</f>
        <v/>
      </c>
      <c r="AB657">
        <f>$C657*AB656</f>
        <v/>
      </c>
      <c r="AC657">
        <f>$C657*AC656</f>
        <v/>
      </c>
      <c r="AD657">
        <f>$C657*AD656</f>
        <v/>
      </c>
      <c r="AE657">
        <f>$C657*AE656</f>
        <v/>
      </c>
      <c r="AF657">
        <f>$C657*AF656</f>
        <v/>
      </c>
      <c r="AG657">
        <f>$C657*AG656</f>
        <v/>
      </c>
      <c r="AH657">
        <f>$C657*AH656</f>
        <v/>
      </c>
      <c r="AI657">
        <f>$C657*AI656</f>
        <v/>
      </c>
      <c r="AJ657">
        <f>$C657*AJ656</f>
        <v/>
      </c>
      <c r="AK657">
        <f>$C657*AK656</f>
        <v/>
      </c>
      <c r="AL657">
        <f>$C657*AL656</f>
        <v/>
      </c>
      <c r="AM657">
        <f>$C657*AM656</f>
        <v/>
      </c>
      <c r="AN657">
        <f>$C657*AN656</f>
        <v/>
      </c>
      <c r="AO657">
        <f>$C657*AO656</f>
        <v/>
      </c>
      <c r="AP657">
        <f>$C657*AP656</f>
        <v/>
      </c>
      <c r="AQ657">
        <f>$C657*AQ656</f>
        <v/>
      </c>
      <c r="AR657">
        <f>$C657*AR656</f>
        <v/>
      </c>
      <c r="AS657">
        <f>$C657*AS656</f>
        <v/>
      </c>
      <c r="AT657">
        <f>$C657*AT656</f>
        <v/>
      </c>
      <c r="AU657">
        <f>$C657*AU656</f>
        <v/>
      </c>
      <c r="AV657">
        <f>$C657*AV656</f>
        <v/>
      </c>
      <c r="AW657">
        <f>$C657*AW656</f>
        <v/>
      </c>
      <c r="AX657">
        <f>$C657*AX656</f>
        <v/>
      </c>
      <c r="AY657">
        <f>$C657*AY656</f>
        <v/>
      </c>
      <c r="AZ657">
        <f>$C657*AZ656</f>
        <v/>
      </c>
      <c r="BA657">
        <f>$C657*BA656</f>
        <v/>
      </c>
      <c r="BB657">
        <f>$C657*BB656</f>
        <v/>
      </c>
      <c r="BC657">
        <f>$C657*BC656</f>
        <v/>
      </c>
      <c r="BD657">
        <f>$C657*BD656</f>
        <v/>
      </c>
      <c r="BE657">
        <f>$C657*BE656</f>
        <v/>
      </c>
      <c r="BF657">
        <f>$C657*BF656</f>
        <v/>
      </c>
      <c r="BG657">
        <f>$C657*BG656</f>
        <v/>
      </c>
      <c r="BH657">
        <f>$C657*BH656</f>
        <v/>
      </c>
      <c r="BI657">
        <f>$C657*BI656</f>
        <v/>
      </c>
      <c r="BJ657">
        <f>$C657*BJ656</f>
        <v/>
      </c>
      <c r="BK657">
        <f>$C657*BK656</f>
        <v/>
      </c>
      <c r="BL657">
        <f>$C657*BL656</f>
        <v/>
      </c>
      <c r="BM657">
        <f>$C657*BM656</f>
        <v/>
      </c>
      <c r="BN657">
        <f>$C657*BN656</f>
        <v/>
      </c>
      <c r="BO657">
        <f>$C657*BO656</f>
        <v/>
      </c>
      <c r="BP657">
        <f>$C657*BP656</f>
        <v/>
      </c>
      <c r="BQ657">
        <f>$C657*BQ656</f>
        <v/>
      </c>
      <c r="BR657">
        <f>$C657*BR656</f>
        <v/>
      </c>
      <c r="BS657">
        <f>$C657*BS656</f>
        <v/>
      </c>
      <c r="BT657">
        <f>$C657*BT656</f>
        <v/>
      </c>
      <c r="BU657">
        <f>$C657*BU656</f>
        <v/>
      </c>
      <c r="BV657">
        <f>$C657*BV656</f>
        <v/>
      </c>
      <c r="BW657">
        <f>$C657*BW656</f>
        <v/>
      </c>
      <c r="BX657">
        <f>$C657*BX656</f>
        <v/>
      </c>
      <c r="BY657">
        <f>$C657*BY656</f>
        <v/>
      </c>
      <c r="BZ657">
        <f>$C657*BZ656</f>
        <v/>
      </c>
      <c r="CA657">
        <f>$C657*CA656</f>
        <v/>
      </c>
      <c r="CB657">
        <f>$C657*CB656</f>
        <v/>
      </c>
      <c r="CC657">
        <f>$C657*CC656</f>
        <v/>
      </c>
      <c r="CD657">
        <f>$C657*CD656</f>
        <v/>
      </c>
      <c r="CE657">
        <f>$C657*CE656</f>
        <v/>
      </c>
      <c r="CF657">
        <f>$C657*CF656</f>
        <v/>
      </c>
      <c r="CG657">
        <f>$C657*CG656</f>
        <v/>
      </c>
      <c r="CH657">
        <f>$C657*CH656</f>
        <v/>
      </c>
      <c r="CI657">
        <f>$C657*CI656</f>
        <v/>
      </c>
      <c r="CJ657">
        <f>$C657*CJ656</f>
        <v/>
      </c>
      <c r="CK657">
        <f>$C657*CK656</f>
        <v/>
      </c>
      <c r="CL657">
        <f>$C657*CL656</f>
        <v/>
      </c>
      <c r="CM657">
        <f>$C657*CM656</f>
        <v/>
      </c>
      <c r="CN657">
        <f>$C657*CN656</f>
        <v/>
      </c>
      <c r="CO657">
        <f>$C657*CO656</f>
        <v/>
      </c>
      <c r="CP657">
        <f>$C657*CP656</f>
        <v/>
      </c>
      <c r="CQ657">
        <f>$C657*CQ656</f>
        <v/>
      </c>
      <c r="CR657">
        <f>$C657*CR656</f>
        <v/>
      </c>
      <c r="CS657">
        <f>$C657*CS656</f>
        <v/>
      </c>
      <c r="CT657">
        <f>$C657*CT656</f>
        <v/>
      </c>
      <c r="CU657">
        <f>$C657*CU656</f>
        <v/>
      </c>
      <c r="CV657">
        <f>$C657*CV656</f>
        <v/>
      </c>
      <c r="CW657">
        <f>$C657*CW656</f>
        <v/>
      </c>
      <c r="CX657">
        <f>$C657*CX656</f>
        <v/>
      </c>
      <c r="CY657">
        <f>$C657*CY656</f>
        <v/>
      </c>
      <c r="CZ657">
        <f>$C657*CZ656</f>
        <v/>
      </c>
      <c r="DA657">
        <f>$C657*DA656</f>
        <v/>
      </c>
      <c r="DB657">
        <f>$C657*DB656</f>
        <v/>
      </c>
      <c r="DC657">
        <f>$C657*DC656</f>
        <v/>
      </c>
    </row>
    <row r="658">
      <c r="B658" t="inlineStr">
        <is>
          <t>VSP-910</t>
        </is>
      </c>
      <c r="C658" t="inlineStr">
        <is>
          <t>No. of batches</t>
        </is>
      </c>
      <c r="D658">
        <f>IFERROR(INDEX(PP_Grid[#Data],$DD658,2),0)</f>
        <v/>
      </c>
      <c r="E658">
        <f>IFERROR(INDEX(PP_Grid[#Data],$DD658,3),0)</f>
        <v/>
      </c>
      <c r="F658">
        <f>IFERROR(INDEX(PP_Grid[#Data],$DD658,4),0)</f>
        <v/>
      </c>
      <c r="G658">
        <f>IFERROR(INDEX(PP_Grid[#Data],$DD658,5),0)</f>
        <v/>
      </c>
      <c r="H658">
        <f>IFERROR(INDEX(PP_Grid[#Data],$DD658,6),0)</f>
        <v/>
      </c>
      <c r="I658">
        <f>IFERROR(INDEX(PP_Grid[#Data],$DD658,7),0)</f>
        <v/>
      </c>
      <c r="J658">
        <f>IFERROR(INDEX(PP_Grid[#Data],$DD658,8),0)</f>
        <v/>
      </c>
      <c r="K658">
        <f>IFERROR(INDEX(PP_Grid[#Data],$DD658,9),0)</f>
        <v/>
      </c>
      <c r="L658">
        <f>IFERROR(INDEX(PP_Grid[#Data],$DD658,10),0)</f>
        <v/>
      </c>
      <c r="M658">
        <f>IFERROR(INDEX(PP_Grid[#Data],$DD658,11),0)</f>
        <v/>
      </c>
      <c r="N658">
        <f>IFERROR(INDEX(PP_Grid[#Data],$DD658,12),0)</f>
        <v/>
      </c>
      <c r="O658">
        <f>IFERROR(INDEX(PP_Grid[#Data],$DD658,13),0)</f>
        <v/>
      </c>
      <c r="P658">
        <f>IFERROR(INDEX(PP_Grid[#Data],$DD658,14),0)</f>
        <v/>
      </c>
      <c r="Q658">
        <f>IFERROR(INDEX(PP_Grid[#Data],$DD658,15),0)</f>
        <v/>
      </c>
      <c r="R658">
        <f>IFERROR(INDEX(PP_Grid[#Data],$DD658,16),0)</f>
        <v/>
      </c>
      <c r="S658">
        <f>IFERROR(INDEX(PP_Grid[#Data],$DD658,17),0)</f>
        <v/>
      </c>
      <c r="T658">
        <f>IFERROR(INDEX(PP_Grid[#Data],$DD658,18),0)</f>
        <v/>
      </c>
      <c r="U658">
        <f>IFERROR(INDEX(PP_Grid[#Data],$DD658,19),0)</f>
        <v/>
      </c>
      <c r="V658">
        <f>IFERROR(INDEX(PP_Grid[#Data],$DD658,20),0)</f>
        <v/>
      </c>
      <c r="W658">
        <f>IFERROR(INDEX(PP_Grid[#Data],$DD658,21),0)</f>
        <v/>
      </c>
      <c r="X658">
        <f>IFERROR(INDEX(PP_Grid[#Data],$DD658,22),0)</f>
        <v/>
      </c>
      <c r="Y658">
        <f>IFERROR(INDEX(PP_Grid[#Data],$DD658,23),0)</f>
        <v/>
      </c>
      <c r="Z658">
        <f>IFERROR(INDEX(PP_Grid[#Data],$DD658,24),0)</f>
        <v/>
      </c>
      <c r="AA658">
        <f>IFERROR(INDEX(PP_Grid[#Data],$DD658,25),0)</f>
        <v/>
      </c>
      <c r="AB658">
        <f>IFERROR(INDEX(PP_Grid[#Data],$DD658,26),0)</f>
        <v/>
      </c>
      <c r="AC658">
        <f>IFERROR(INDEX(PP_Grid[#Data],$DD658,27),0)</f>
        <v/>
      </c>
      <c r="AD658">
        <f>IFERROR(INDEX(PP_Grid[#Data],$DD658,28),0)</f>
        <v/>
      </c>
      <c r="AE658">
        <f>IFERROR(INDEX(PP_Grid[#Data],$DD658,29),0)</f>
        <v/>
      </c>
      <c r="AF658">
        <f>IFERROR(INDEX(PP_Grid[#Data],$DD658,30),0)</f>
        <v/>
      </c>
      <c r="AG658">
        <f>IFERROR(INDEX(PP_Grid[#Data],$DD658,31),0)</f>
        <v/>
      </c>
      <c r="AH658">
        <f>IFERROR(INDEX(PP_Grid[#Data],$DD658,32),0)</f>
        <v/>
      </c>
      <c r="AI658">
        <f>IFERROR(INDEX(PP_Grid[#Data],$DD658,33),0)</f>
        <v/>
      </c>
      <c r="AJ658">
        <f>IFERROR(INDEX(PP_Grid[#Data],$DD658,34),0)</f>
        <v/>
      </c>
      <c r="AK658">
        <f>IFERROR(INDEX(PP_Grid[#Data],$DD658,35),0)</f>
        <v/>
      </c>
      <c r="AL658">
        <f>IFERROR(INDEX(PP_Grid[#Data],$DD658,36),0)</f>
        <v/>
      </c>
      <c r="AM658">
        <f>IFERROR(INDEX(PP_Grid[#Data],$DD658,37),0)</f>
        <v/>
      </c>
      <c r="AN658">
        <f>IFERROR(INDEX(PP_Grid[#Data],$DD658,38),0)</f>
        <v/>
      </c>
      <c r="AO658">
        <f>IFERROR(INDEX(PP_Grid[#Data],$DD658,39),0)</f>
        <v/>
      </c>
      <c r="AP658">
        <f>IFERROR(INDEX(PP_Grid[#Data],$DD658,40),0)</f>
        <v/>
      </c>
      <c r="AQ658">
        <f>IFERROR(INDEX(PP_Grid[#Data],$DD658,41),0)</f>
        <v/>
      </c>
      <c r="AR658">
        <f>IFERROR(INDEX(PP_Grid[#Data],$DD658,42),0)</f>
        <v/>
      </c>
      <c r="AS658">
        <f>IFERROR(INDEX(PP_Grid[#Data],$DD658,43),0)</f>
        <v/>
      </c>
      <c r="AT658">
        <f>IFERROR(INDEX(PP_Grid[#Data],$DD658,44),0)</f>
        <v/>
      </c>
      <c r="AU658">
        <f>IFERROR(INDEX(PP_Grid[#Data],$DD658,45),0)</f>
        <v/>
      </c>
      <c r="AV658">
        <f>IFERROR(INDEX(PP_Grid[#Data],$DD658,46),0)</f>
        <v/>
      </c>
      <c r="AW658">
        <f>IFERROR(INDEX(PP_Grid[#Data],$DD658,47),0)</f>
        <v/>
      </c>
      <c r="AX658">
        <f>IFERROR(INDEX(PP_Grid[#Data],$DD658,48),0)</f>
        <v/>
      </c>
      <c r="AY658">
        <f>IFERROR(INDEX(PP_Grid[#Data],$DD658,49),0)</f>
        <v/>
      </c>
      <c r="AZ658">
        <f>IFERROR(INDEX(PP_Grid[#Data],$DD658,50),0)</f>
        <v/>
      </c>
      <c r="BA658">
        <f>IFERROR(INDEX(PP_Grid[#Data],$DD658,51),0)</f>
        <v/>
      </c>
      <c r="BB658">
        <f>IFERROR(INDEX(PP_Grid[#Data],$DD658,52),0)</f>
        <v/>
      </c>
      <c r="BC658">
        <f>IFERROR(INDEX(PP_Grid[#Data],$DD658,53),0)</f>
        <v/>
      </c>
      <c r="BD658">
        <f>IFERROR(INDEX(PP_Grid[#Data],$DD658,54),0)</f>
        <v/>
      </c>
      <c r="BE658">
        <f>IFERROR(INDEX(PP_Grid[#Data],$DD658,55),0)</f>
        <v/>
      </c>
      <c r="BF658">
        <f>IFERROR(INDEX(PP_Grid[#Data],$DD658,56),0)</f>
        <v/>
      </c>
      <c r="BG658">
        <f>IFERROR(INDEX(PP_Grid[#Data],$DD658,57),0)</f>
        <v/>
      </c>
      <c r="BH658">
        <f>IFERROR(INDEX(PP_Grid[#Data],$DD658,58),0)</f>
        <v/>
      </c>
      <c r="BI658">
        <f>IFERROR(INDEX(PP_Grid[#Data],$DD658,59),0)</f>
        <v/>
      </c>
      <c r="BJ658">
        <f>IFERROR(INDEX(PP_Grid[#Data],$DD658,60),0)</f>
        <v/>
      </c>
      <c r="BK658">
        <f>IFERROR(INDEX(PP_Grid[#Data],$DD658,61),0)</f>
        <v/>
      </c>
      <c r="BL658">
        <f>IFERROR(INDEX(PP_Grid[#Data],$DD658,62),0)</f>
        <v/>
      </c>
      <c r="BM658">
        <f>IFERROR(INDEX(PP_Grid[#Data],$DD658,63),0)</f>
        <v/>
      </c>
      <c r="BN658">
        <f>IFERROR(INDEX(PP_Grid[#Data],$DD658,64),0)</f>
        <v/>
      </c>
      <c r="BO658">
        <f>IFERROR(INDEX(PP_Grid[#Data],$DD658,65),0)</f>
        <v/>
      </c>
      <c r="BP658">
        <f>IFERROR(INDEX(PP_Grid[#Data],$DD658,66),0)</f>
        <v/>
      </c>
      <c r="BQ658">
        <f>IFERROR(INDEX(PP_Grid[#Data],$DD658,67),0)</f>
        <v/>
      </c>
      <c r="BR658">
        <f>IFERROR(INDEX(PP_Grid[#Data],$DD658,68),0)</f>
        <v/>
      </c>
      <c r="BS658">
        <f>IFERROR(INDEX(PP_Grid[#Data],$DD658,69),0)</f>
        <v/>
      </c>
      <c r="BT658">
        <f>IFERROR(INDEX(PP_Grid[#Data],$DD658,70),0)</f>
        <v/>
      </c>
      <c r="BU658">
        <f>IFERROR(INDEX(PP_Grid[#Data],$DD658,71),0)</f>
        <v/>
      </c>
      <c r="BV658">
        <f>IFERROR(INDEX(PP_Grid[#Data],$DD658,72),0)</f>
        <v/>
      </c>
      <c r="BW658">
        <f>IFERROR(INDEX(PP_Grid[#Data],$DD658,73),0)</f>
        <v/>
      </c>
      <c r="BX658">
        <f>IFERROR(INDEX(PP_Grid[#Data],$DD658,74),0)</f>
        <v/>
      </c>
      <c r="BY658">
        <f>IFERROR(INDEX(PP_Grid[#Data],$DD658,75),0)</f>
        <v/>
      </c>
      <c r="BZ658">
        <f>IFERROR(INDEX(PP_Grid[#Data],$DD658,76),0)</f>
        <v/>
      </c>
      <c r="CA658">
        <f>IFERROR(INDEX(PP_Grid[#Data],$DD658,77),0)</f>
        <v/>
      </c>
      <c r="CB658">
        <f>IFERROR(INDEX(PP_Grid[#Data],$DD658,78),0)</f>
        <v/>
      </c>
      <c r="CC658">
        <f>IFERROR(INDEX(PP_Grid[#Data],$DD658,79),0)</f>
        <v/>
      </c>
      <c r="CD658">
        <f>IFERROR(INDEX(PP_Grid[#Data],$DD658,80),0)</f>
        <v/>
      </c>
      <c r="CE658">
        <f>IFERROR(INDEX(PP_Grid[#Data],$DD658,81),0)</f>
        <v/>
      </c>
      <c r="CF658">
        <f>IFERROR(INDEX(PP_Grid[#Data],$DD658,82),0)</f>
        <v/>
      </c>
      <c r="CG658">
        <f>IFERROR(INDEX(PP_Grid[#Data],$DD658,83),0)</f>
        <v/>
      </c>
      <c r="CH658">
        <f>IFERROR(INDEX(PP_Grid[#Data],$DD658,84),0)</f>
        <v/>
      </c>
      <c r="CI658">
        <f>IFERROR(INDEX(PP_Grid[#Data],$DD658,85),0)</f>
        <v/>
      </c>
      <c r="CJ658">
        <f>IFERROR(INDEX(PP_Grid[#Data],$DD658,86),0)</f>
        <v/>
      </c>
      <c r="CK658">
        <f>IFERROR(INDEX(PP_Grid[#Data],$DD658,87),0)</f>
        <v/>
      </c>
      <c r="CL658">
        <f>IFERROR(INDEX(PP_Grid[#Data],$DD658,88),0)</f>
        <v/>
      </c>
      <c r="CM658">
        <f>IFERROR(INDEX(PP_Grid[#Data],$DD658,89),0)</f>
        <v/>
      </c>
      <c r="CN658">
        <f>IFERROR(INDEX(PP_Grid[#Data],$DD658,90),0)</f>
        <v/>
      </c>
      <c r="CO658">
        <f>IFERROR(INDEX(PP_Grid[#Data],$DD658,91),0)</f>
        <v/>
      </c>
      <c r="CP658">
        <f>IFERROR(INDEX(PP_Grid[#Data],$DD658,92),0)</f>
        <v/>
      </c>
      <c r="CQ658">
        <f>IFERROR(INDEX(PP_Grid[#Data],$DD658,93),0)</f>
        <v/>
      </c>
      <c r="CR658">
        <f>IFERROR(INDEX(PP_Grid[#Data],$DD658,94),0)</f>
        <v/>
      </c>
      <c r="CS658">
        <f>IFERROR(INDEX(PP_Grid[#Data],$DD658,95),0)</f>
        <v/>
      </c>
      <c r="CT658">
        <f>IFERROR(INDEX(PP_Grid[#Data],$DD658,96),0)</f>
        <v/>
      </c>
      <c r="CU658">
        <f>IFERROR(INDEX(PP_Grid[#Data],$DD658,97),0)</f>
        <v/>
      </c>
      <c r="CV658">
        <f>IFERROR(INDEX(PP_Grid[#Data],$DD658,98),0)</f>
        <v/>
      </c>
      <c r="CW658">
        <f>IFERROR(INDEX(PP_Grid[#Data],$DD658,99),0)</f>
        <v/>
      </c>
      <c r="CX658">
        <f>IFERROR(INDEX(PP_Grid[#Data],$DD658,100),0)</f>
        <v/>
      </c>
      <c r="CY658">
        <f>IFERROR(INDEX(PP_Grid[#Data],$DD658,101),0)</f>
        <v/>
      </c>
      <c r="CZ658">
        <f>IFERROR(INDEX(PP_Grid[#Data],$DD658,102),0)</f>
        <v/>
      </c>
      <c r="DA658">
        <f>IFERROR(INDEX(PP_Grid[#Data],$DD658,103),0)</f>
        <v/>
      </c>
      <c r="DB658">
        <f>IFERROR(INDEX(PP_Grid[#Data],$DD658,104),0)</f>
        <v/>
      </c>
      <c r="DC658">
        <f>IFERROR(INDEX(PP_Grid[#Data],$DD658,105),0)</f>
        <v/>
      </c>
      <c r="DD658" s="7">
        <f>IFERROR(MATCH($B658,PP_Grid[Intermediate],0),99999)</f>
        <v/>
      </c>
    </row>
    <row r="659">
      <c r="B659" t="inlineStr">
        <is>
          <t>使用量(kg)</t>
        </is>
      </c>
      <c r="C659">
        <f>SUMIFS(M_BOM[RM_Qty_Per_Batch],M_BOM[Intermediate],$B658,M_BOM[Part Name],$A643)</f>
        <v/>
      </c>
      <c r="D659">
        <f>$C659*D658</f>
        <v/>
      </c>
      <c r="E659">
        <f>$C659*E658</f>
        <v/>
      </c>
      <c r="F659">
        <f>$C659*F658</f>
        <v/>
      </c>
      <c r="G659">
        <f>$C659*G658</f>
        <v/>
      </c>
      <c r="H659">
        <f>$C659*H658</f>
        <v/>
      </c>
      <c r="I659">
        <f>$C659*I658</f>
        <v/>
      </c>
      <c r="J659">
        <f>$C659*J658</f>
        <v/>
      </c>
      <c r="K659">
        <f>$C659*K658</f>
        <v/>
      </c>
      <c r="L659">
        <f>$C659*L658</f>
        <v/>
      </c>
      <c r="M659">
        <f>$C659*M658</f>
        <v/>
      </c>
      <c r="N659">
        <f>$C659*N658</f>
        <v/>
      </c>
      <c r="O659">
        <f>$C659*O658</f>
        <v/>
      </c>
      <c r="P659">
        <f>$C659*P658</f>
        <v/>
      </c>
      <c r="Q659">
        <f>$C659*Q658</f>
        <v/>
      </c>
      <c r="R659">
        <f>$C659*R658</f>
        <v/>
      </c>
      <c r="S659">
        <f>$C659*S658</f>
        <v/>
      </c>
      <c r="T659">
        <f>$C659*T658</f>
        <v/>
      </c>
      <c r="U659">
        <f>$C659*U658</f>
        <v/>
      </c>
      <c r="V659">
        <f>$C659*V658</f>
        <v/>
      </c>
      <c r="W659">
        <f>$C659*W658</f>
        <v/>
      </c>
      <c r="X659">
        <f>$C659*X658</f>
        <v/>
      </c>
      <c r="Y659">
        <f>$C659*Y658</f>
        <v/>
      </c>
      <c r="Z659">
        <f>$C659*Z658</f>
        <v/>
      </c>
      <c r="AA659">
        <f>$C659*AA658</f>
        <v/>
      </c>
      <c r="AB659">
        <f>$C659*AB658</f>
        <v/>
      </c>
      <c r="AC659">
        <f>$C659*AC658</f>
        <v/>
      </c>
      <c r="AD659">
        <f>$C659*AD658</f>
        <v/>
      </c>
      <c r="AE659">
        <f>$C659*AE658</f>
        <v/>
      </c>
      <c r="AF659">
        <f>$C659*AF658</f>
        <v/>
      </c>
      <c r="AG659">
        <f>$C659*AG658</f>
        <v/>
      </c>
      <c r="AH659">
        <f>$C659*AH658</f>
        <v/>
      </c>
      <c r="AI659">
        <f>$C659*AI658</f>
        <v/>
      </c>
      <c r="AJ659">
        <f>$C659*AJ658</f>
        <v/>
      </c>
      <c r="AK659">
        <f>$C659*AK658</f>
        <v/>
      </c>
      <c r="AL659">
        <f>$C659*AL658</f>
        <v/>
      </c>
      <c r="AM659">
        <f>$C659*AM658</f>
        <v/>
      </c>
      <c r="AN659">
        <f>$C659*AN658</f>
        <v/>
      </c>
      <c r="AO659">
        <f>$C659*AO658</f>
        <v/>
      </c>
      <c r="AP659">
        <f>$C659*AP658</f>
        <v/>
      </c>
      <c r="AQ659">
        <f>$C659*AQ658</f>
        <v/>
      </c>
      <c r="AR659">
        <f>$C659*AR658</f>
        <v/>
      </c>
      <c r="AS659">
        <f>$C659*AS658</f>
        <v/>
      </c>
      <c r="AT659">
        <f>$C659*AT658</f>
        <v/>
      </c>
      <c r="AU659">
        <f>$C659*AU658</f>
        <v/>
      </c>
      <c r="AV659">
        <f>$C659*AV658</f>
        <v/>
      </c>
      <c r="AW659">
        <f>$C659*AW658</f>
        <v/>
      </c>
      <c r="AX659">
        <f>$C659*AX658</f>
        <v/>
      </c>
      <c r="AY659">
        <f>$C659*AY658</f>
        <v/>
      </c>
      <c r="AZ659">
        <f>$C659*AZ658</f>
        <v/>
      </c>
      <c r="BA659">
        <f>$C659*BA658</f>
        <v/>
      </c>
      <c r="BB659">
        <f>$C659*BB658</f>
        <v/>
      </c>
      <c r="BC659">
        <f>$C659*BC658</f>
        <v/>
      </c>
      <c r="BD659">
        <f>$C659*BD658</f>
        <v/>
      </c>
      <c r="BE659">
        <f>$C659*BE658</f>
        <v/>
      </c>
      <c r="BF659">
        <f>$C659*BF658</f>
        <v/>
      </c>
      <c r="BG659">
        <f>$C659*BG658</f>
        <v/>
      </c>
      <c r="BH659">
        <f>$C659*BH658</f>
        <v/>
      </c>
      <c r="BI659">
        <f>$C659*BI658</f>
        <v/>
      </c>
      <c r="BJ659">
        <f>$C659*BJ658</f>
        <v/>
      </c>
      <c r="BK659">
        <f>$C659*BK658</f>
        <v/>
      </c>
      <c r="BL659">
        <f>$C659*BL658</f>
        <v/>
      </c>
      <c r="BM659">
        <f>$C659*BM658</f>
        <v/>
      </c>
      <c r="BN659">
        <f>$C659*BN658</f>
        <v/>
      </c>
      <c r="BO659">
        <f>$C659*BO658</f>
        <v/>
      </c>
      <c r="BP659">
        <f>$C659*BP658</f>
        <v/>
      </c>
      <c r="BQ659">
        <f>$C659*BQ658</f>
        <v/>
      </c>
      <c r="BR659">
        <f>$C659*BR658</f>
        <v/>
      </c>
      <c r="BS659">
        <f>$C659*BS658</f>
        <v/>
      </c>
      <c r="BT659">
        <f>$C659*BT658</f>
        <v/>
      </c>
      <c r="BU659">
        <f>$C659*BU658</f>
        <v/>
      </c>
      <c r="BV659">
        <f>$C659*BV658</f>
        <v/>
      </c>
      <c r="BW659">
        <f>$C659*BW658</f>
        <v/>
      </c>
      <c r="BX659">
        <f>$C659*BX658</f>
        <v/>
      </c>
      <c r="BY659">
        <f>$C659*BY658</f>
        <v/>
      </c>
      <c r="BZ659">
        <f>$C659*BZ658</f>
        <v/>
      </c>
      <c r="CA659">
        <f>$C659*CA658</f>
        <v/>
      </c>
      <c r="CB659">
        <f>$C659*CB658</f>
        <v/>
      </c>
      <c r="CC659">
        <f>$C659*CC658</f>
        <v/>
      </c>
      <c r="CD659">
        <f>$C659*CD658</f>
        <v/>
      </c>
      <c r="CE659">
        <f>$C659*CE658</f>
        <v/>
      </c>
      <c r="CF659">
        <f>$C659*CF658</f>
        <v/>
      </c>
      <c r="CG659">
        <f>$C659*CG658</f>
        <v/>
      </c>
      <c r="CH659">
        <f>$C659*CH658</f>
        <v/>
      </c>
      <c r="CI659">
        <f>$C659*CI658</f>
        <v/>
      </c>
      <c r="CJ659">
        <f>$C659*CJ658</f>
        <v/>
      </c>
      <c r="CK659">
        <f>$C659*CK658</f>
        <v/>
      </c>
      <c r="CL659">
        <f>$C659*CL658</f>
        <v/>
      </c>
      <c r="CM659">
        <f>$C659*CM658</f>
        <v/>
      </c>
      <c r="CN659">
        <f>$C659*CN658</f>
        <v/>
      </c>
      <c r="CO659">
        <f>$C659*CO658</f>
        <v/>
      </c>
      <c r="CP659">
        <f>$C659*CP658</f>
        <v/>
      </c>
      <c r="CQ659">
        <f>$C659*CQ658</f>
        <v/>
      </c>
      <c r="CR659">
        <f>$C659*CR658</f>
        <v/>
      </c>
      <c r="CS659">
        <f>$C659*CS658</f>
        <v/>
      </c>
      <c r="CT659">
        <f>$C659*CT658</f>
        <v/>
      </c>
      <c r="CU659">
        <f>$C659*CU658</f>
        <v/>
      </c>
      <c r="CV659">
        <f>$C659*CV658</f>
        <v/>
      </c>
      <c r="CW659">
        <f>$C659*CW658</f>
        <v/>
      </c>
      <c r="CX659">
        <f>$C659*CX658</f>
        <v/>
      </c>
      <c r="CY659">
        <f>$C659*CY658</f>
        <v/>
      </c>
      <c r="CZ659">
        <f>$C659*CZ658</f>
        <v/>
      </c>
      <c r="DA659">
        <f>$C659*DA658</f>
        <v/>
      </c>
      <c r="DB659">
        <f>$C659*DB658</f>
        <v/>
      </c>
      <c r="DC659">
        <f>$C659*DC658</f>
        <v/>
      </c>
    </row>
    <row r="660">
      <c r="B660" t="inlineStr">
        <is>
          <t>VSP-989</t>
        </is>
      </c>
      <c r="C660" t="inlineStr">
        <is>
          <t>No. of batches</t>
        </is>
      </c>
      <c r="D660">
        <f>IFERROR(INDEX(PP_Grid[#Data],$DD660,2),0)</f>
        <v/>
      </c>
      <c r="E660">
        <f>IFERROR(INDEX(PP_Grid[#Data],$DD660,3),0)</f>
        <v/>
      </c>
      <c r="F660">
        <f>IFERROR(INDEX(PP_Grid[#Data],$DD660,4),0)</f>
        <v/>
      </c>
      <c r="G660">
        <f>IFERROR(INDEX(PP_Grid[#Data],$DD660,5),0)</f>
        <v/>
      </c>
      <c r="H660">
        <f>IFERROR(INDEX(PP_Grid[#Data],$DD660,6),0)</f>
        <v/>
      </c>
      <c r="I660">
        <f>IFERROR(INDEX(PP_Grid[#Data],$DD660,7),0)</f>
        <v/>
      </c>
      <c r="J660">
        <f>IFERROR(INDEX(PP_Grid[#Data],$DD660,8),0)</f>
        <v/>
      </c>
      <c r="K660">
        <f>IFERROR(INDEX(PP_Grid[#Data],$DD660,9),0)</f>
        <v/>
      </c>
      <c r="L660">
        <f>IFERROR(INDEX(PP_Grid[#Data],$DD660,10),0)</f>
        <v/>
      </c>
      <c r="M660">
        <f>IFERROR(INDEX(PP_Grid[#Data],$DD660,11),0)</f>
        <v/>
      </c>
      <c r="N660">
        <f>IFERROR(INDEX(PP_Grid[#Data],$DD660,12),0)</f>
        <v/>
      </c>
      <c r="O660">
        <f>IFERROR(INDEX(PP_Grid[#Data],$DD660,13),0)</f>
        <v/>
      </c>
      <c r="P660">
        <f>IFERROR(INDEX(PP_Grid[#Data],$DD660,14),0)</f>
        <v/>
      </c>
      <c r="Q660">
        <f>IFERROR(INDEX(PP_Grid[#Data],$DD660,15),0)</f>
        <v/>
      </c>
      <c r="R660">
        <f>IFERROR(INDEX(PP_Grid[#Data],$DD660,16),0)</f>
        <v/>
      </c>
      <c r="S660">
        <f>IFERROR(INDEX(PP_Grid[#Data],$DD660,17),0)</f>
        <v/>
      </c>
      <c r="T660">
        <f>IFERROR(INDEX(PP_Grid[#Data],$DD660,18),0)</f>
        <v/>
      </c>
      <c r="U660">
        <f>IFERROR(INDEX(PP_Grid[#Data],$DD660,19),0)</f>
        <v/>
      </c>
      <c r="V660">
        <f>IFERROR(INDEX(PP_Grid[#Data],$DD660,20),0)</f>
        <v/>
      </c>
      <c r="W660">
        <f>IFERROR(INDEX(PP_Grid[#Data],$DD660,21),0)</f>
        <v/>
      </c>
      <c r="X660">
        <f>IFERROR(INDEX(PP_Grid[#Data],$DD660,22),0)</f>
        <v/>
      </c>
      <c r="Y660">
        <f>IFERROR(INDEX(PP_Grid[#Data],$DD660,23),0)</f>
        <v/>
      </c>
      <c r="Z660">
        <f>IFERROR(INDEX(PP_Grid[#Data],$DD660,24),0)</f>
        <v/>
      </c>
      <c r="AA660">
        <f>IFERROR(INDEX(PP_Grid[#Data],$DD660,25),0)</f>
        <v/>
      </c>
      <c r="AB660">
        <f>IFERROR(INDEX(PP_Grid[#Data],$DD660,26),0)</f>
        <v/>
      </c>
      <c r="AC660">
        <f>IFERROR(INDEX(PP_Grid[#Data],$DD660,27),0)</f>
        <v/>
      </c>
      <c r="AD660">
        <f>IFERROR(INDEX(PP_Grid[#Data],$DD660,28),0)</f>
        <v/>
      </c>
      <c r="AE660">
        <f>IFERROR(INDEX(PP_Grid[#Data],$DD660,29),0)</f>
        <v/>
      </c>
      <c r="AF660">
        <f>IFERROR(INDEX(PP_Grid[#Data],$DD660,30),0)</f>
        <v/>
      </c>
      <c r="AG660">
        <f>IFERROR(INDEX(PP_Grid[#Data],$DD660,31),0)</f>
        <v/>
      </c>
      <c r="AH660">
        <f>IFERROR(INDEX(PP_Grid[#Data],$DD660,32),0)</f>
        <v/>
      </c>
      <c r="AI660">
        <f>IFERROR(INDEX(PP_Grid[#Data],$DD660,33),0)</f>
        <v/>
      </c>
      <c r="AJ660">
        <f>IFERROR(INDEX(PP_Grid[#Data],$DD660,34),0)</f>
        <v/>
      </c>
      <c r="AK660">
        <f>IFERROR(INDEX(PP_Grid[#Data],$DD660,35),0)</f>
        <v/>
      </c>
      <c r="AL660">
        <f>IFERROR(INDEX(PP_Grid[#Data],$DD660,36),0)</f>
        <v/>
      </c>
      <c r="AM660">
        <f>IFERROR(INDEX(PP_Grid[#Data],$DD660,37),0)</f>
        <v/>
      </c>
      <c r="AN660">
        <f>IFERROR(INDEX(PP_Grid[#Data],$DD660,38),0)</f>
        <v/>
      </c>
      <c r="AO660">
        <f>IFERROR(INDEX(PP_Grid[#Data],$DD660,39),0)</f>
        <v/>
      </c>
      <c r="AP660">
        <f>IFERROR(INDEX(PP_Grid[#Data],$DD660,40),0)</f>
        <v/>
      </c>
      <c r="AQ660">
        <f>IFERROR(INDEX(PP_Grid[#Data],$DD660,41),0)</f>
        <v/>
      </c>
      <c r="AR660">
        <f>IFERROR(INDEX(PP_Grid[#Data],$DD660,42),0)</f>
        <v/>
      </c>
      <c r="AS660">
        <f>IFERROR(INDEX(PP_Grid[#Data],$DD660,43),0)</f>
        <v/>
      </c>
      <c r="AT660">
        <f>IFERROR(INDEX(PP_Grid[#Data],$DD660,44),0)</f>
        <v/>
      </c>
      <c r="AU660">
        <f>IFERROR(INDEX(PP_Grid[#Data],$DD660,45),0)</f>
        <v/>
      </c>
      <c r="AV660">
        <f>IFERROR(INDEX(PP_Grid[#Data],$DD660,46),0)</f>
        <v/>
      </c>
      <c r="AW660">
        <f>IFERROR(INDEX(PP_Grid[#Data],$DD660,47),0)</f>
        <v/>
      </c>
      <c r="AX660">
        <f>IFERROR(INDEX(PP_Grid[#Data],$DD660,48),0)</f>
        <v/>
      </c>
      <c r="AY660">
        <f>IFERROR(INDEX(PP_Grid[#Data],$DD660,49),0)</f>
        <v/>
      </c>
      <c r="AZ660">
        <f>IFERROR(INDEX(PP_Grid[#Data],$DD660,50),0)</f>
        <v/>
      </c>
      <c r="BA660">
        <f>IFERROR(INDEX(PP_Grid[#Data],$DD660,51),0)</f>
        <v/>
      </c>
      <c r="BB660">
        <f>IFERROR(INDEX(PP_Grid[#Data],$DD660,52),0)</f>
        <v/>
      </c>
      <c r="BC660">
        <f>IFERROR(INDEX(PP_Grid[#Data],$DD660,53),0)</f>
        <v/>
      </c>
      <c r="BD660">
        <f>IFERROR(INDEX(PP_Grid[#Data],$DD660,54),0)</f>
        <v/>
      </c>
      <c r="BE660">
        <f>IFERROR(INDEX(PP_Grid[#Data],$DD660,55),0)</f>
        <v/>
      </c>
      <c r="BF660">
        <f>IFERROR(INDEX(PP_Grid[#Data],$DD660,56),0)</f>
        <v/>
      </c>
      <c r="BG660">
        <f>IFERROR(INDEX(PP_Grid[#Data],$DD660,57),0)</f>
        <v/>
      </c>
      <c r="BH660">
        <f>IFERROR(INDEX(PP_Grid[#Data],$DD660,58),0)</f>
        <v/>
      </c>
      <c r="BI660">
        <f>IFERROR(INDEX(PP_Grid[#Data],$DD660,59),0)</f>
        <v/>
      </c>
      <c r="BJ660">
        <f>IFERROR(INDEX(PP_Grid[#Data],$DD660,60),0)</f>
        <v/>
      </c>
      <c r="BK660">
        <f>IFERROR(INDEX(PP_Grid[#Data],$DD660,61),0)</f>
        <v/>
      </c>
      <c r="BL660">
        <f>IFERROR(INDEX(PP_Grid[#Data],$DD660,62),0)</f>
        <v/>
      </c>
      <c r="BM660">
        <f>IFERROR(INDEX(PP_Grid[#Data],$DD660,63),0)</f>
        <v/>
      </c>
      <c r="BN660">
        <f>IFERROR(INDEX(PP_Grid[#Data],$DD660,64),0)</f>
        <v/>
      </c>
      <c r="BO660">
        <f>IFERROR(INDEX(PP_Grid[#Data],$DD660,65),0)</f>
        <v/>
      </c>
      <c r="BP660">
        <f>IFERROR(INDEX(PP_Grid[#Data],$DD660,66),0)</f>
        <v/>
      </c>
      <c r="BQ660">
        <f>IFERROR(INDEX(PP_Grid[#Data],$DD660,67),0)</f>
        <v/>
      </c>
      <c r="BR660">
        <f>IFERROR(INDEX(PP_Grid[#Data],$DD660,68),0)</f>
        <v/>
      </c>
      <c r="BS660">
        <f>IFERROR(INDEX(PP_Grid[#Data],$DD660,69),0)</f>
        <v/>
      </c>
      <c r="BT660">
        <f>IFERROR(INDEX(PP_Grid[#Data],$DD660,70),0)</f>
        <v/>
      </c>
      <c r="BU660">
        <f>IFERROR(INDEX(PP_Grid[#Data],$DD660,71),0)</f>
        <v/>
      </c>
      <c r="BV660">
        <f>IFERROR(INDEX(PP_Grid[#Data],$DD660,72),0)</f>
        <v/>
      </c>
      <c r="BW660">
        <f>IFERROR(INDEX(PP_Grid[#Data],$DD660,73),0)</f>
        <v/>
      </c>
      <c r="BX660">
        <f>IFERROR(INDEX(PP_Grid[#Data],$DD660,74),0)</f>
        <v/>
      </c>
      <c r="BY660">
        <f>IFERROR(INDEX(PP_Grid[#Data],$DD660,75),0)</f>
        <v/>
      </c>
      <c r="BZ660">
        <f>IFERROR(INDEX(PP_Grid[#Data],$DD660,76),0)</f>
        <v/>
      </c>
      <c r="CA660">
        <f>IFERROR(INDEX(PP_Grid[#Data],$DD660,77),0)</f>
        <v/>
      </c>
      <c r="CB660">
        <f>IFERROR(INDEX(PP_Grid[#Data],$DD660,78),0)</f>
        <v/>
      </c>
      <c r="CC660">
        <f>IFERROR(INDEX(PP_Grid[#Data],$DD660,79),0)</f>
        <v/>
      </c>
      <c r="CD660">
        <f>IFERROR(INDEX(PP_Grid[#Data],$DD660,80),0)</f>
        <v/>
      </c>
      <c r="CE660">
        <f>IFERROR(INDEX(PP_Grid[#Data],$DD660,81),0)</f>
        <v/>
      </c>
      <c r="CF660">
        <f>IFERROR(INDEX(PP_Grid[#Data],$DD660,82),0)</f>
        <v/>
      </c>
      <c r="CG660">
        <f>IFERROR(INDEX(PP_Grid[#Data],$DD660,83),0)</f>
        <v/>
      </c>
      <c r="CH660">
        <f>IFERROR(INDEX(PP_Grid[#Data],$DD660,84),0)</f>
        <v/>
      </c>
      <c r="CI660">
        <f>IFERROR(INDEX(PP_Grid[#Data],$DD660,85),0)</f>
        <v/>
      </c>
      <c r="CJ660">
        <f>IFERROR(INDEX(PP_Grid[#Data],$DD660,86),0)</f>
        <v/>
      </c>
      <c r="CK660">
        <f>IFERROR(INDEX(PP_Grid[#Data],$DD660,87),0)</f>
        <v/>
      </c>
      <c r="CL660">
        <f>IFERROR(INDEX(PP_Grid[#Data],$DD660,88),0)</f>
        <v/>
      </c>
      <c r="CM660">
        <f>IFERROR(INDEX(PP_Grid[#Data],$DD660,89),0)</f>
        <v/>
      </c>
      <c r="CN660">
        <f>IFERROR(INDEX(PP_Grid[#Data],$DD660,90),0)</f>
        <v/>
      </c>
      <c r="CO660">
        <f>IFERROR(INDEX(PP_Grid[#Data],$DD660,91),0)</f>
        <v/>
      </c>
      <c r="CP660">
        <f>IFERROR(INDEX(PP_Grid[#Data],$DD660,92),0)</f>
        <v/>
      </c>
      <c r="CQ660">
        <f>IFERROR(INDEX(PP_Grid[#Data],$DD660,93),0)</f>
        <v/>
      </c>
      <c r="CR660">
        <f>IFERROR(INDEX(PP_Grid[#Data],$DD660,94),0)</f>
        <v/>
      </c>
      <c r="CS660">
        <f>IFERROR(INDEX(PP_Grid[#Data],$DD660,95),0)</f>
        <v/>
      </c>
      <c r="CT660">
        <f>IFERROR(INDEX(PP_Grid[#Data],$DD660,96),0)</f>
        <v/>
      </c>
      <c r="CU660">
        <f>IFERROR(INDEX(PP_Grid[#Data],$DD660,97),0)</f>
        <v/>
      </c>
      <c r="CV660">
        <f>IFERROR(INDEX(PP_Grid[#Data],$DD660,98),0)</f>
        <v/>
      </c>
      <c r="CW660">
        <f>IFERROR(INDEX(PP_Grid[#Data],$DD660,99),0)</f>
        <v/>
      </c>
      <c r="CX660">
        <f>IFERROR(INDEX(PP_Grid[#Data],$DD660,100),0)</f>
        <v/>
      </c>
      <c r="CY660">
        <f>IFERROR(INDEX(PP_Grid[#Data],$DD660,101),0)</f>
        <v/>
      </c>
      <c r="CZ660">
        <f>IFERROR(INDEX(PP_Grid[#Data],$DD660,102),0)</f>
        <v/>
      </c>
      <c r="DA660">
        <f>IFERROR(INDEX(PP_Grid[#Data],$DD660,103),0)</f>
        <v/>
      </c>
      <c r="DB660">
        <f>IFERROR(INDEX(PP_Grid[#Data],$DD660,104),0)</f>
        <v/>
      </c>
      <c r="DC660">
        <f>IFERROR(INDEX(PP_Grid[#Data],$DD660,105),0)</f>
        <v/>
      </c>
      <c r="DD660" s="7">
        <f>IFERROR(MATCH($B660,PP_Grid[Intermediate],0),99999)</f>
        <v/>
      </c>
    </row>
    <row r="661">
      <c r="B661" t="inlineStr">
        <is>
          <t>使用量(kg)</t>
        </is>
      </c>
      <c r="C661">
        <f>SUMIFS(M_BOM[RM_Qty_Per_Batch],M_BOM[Intermediate],$B660,M_BOM[Part Name],$A643)</f>
        <v/>
      </c>
      <c r="D661">
        <f>$C661*D660</f>
        <v/>
      </c>
      <c r="E661">
        <f>$C661*E660</f>
        <v/>
      </c>
      <c r="F661">
        <f>$C661*F660</f>
        <v/>
      </c>
      <c r="G661">
        <f>$C661*G660</f>
        <v/>
      </c>
      <c r="H661">
        <f>$C661*H660</f>
        <v/>
      </c>
      <c r="I661">
        <f>$C661*I660</f>
        <v/>
      </c>
      <c r="J661">
        <f>$C661*J660</f>
        <v/>
      </c>
      <c r="K661">
        <f>$C661*K660</f>
        <v/>
      </c>
      <c r="L661">
        <f>$C661*L660</f>
        <v/>
      </c>
      <c r="M661">
        <f>$C661*M660</f>
        <v/>
      </c>
      <c r="N661">
        <f>$C661*N660</f>
        <v/>
      </c>
      <c r="O661">
        <f>$C661*O660</f>
        <v/>
      </c>
      <c r="P661">
        <f>$C661*P660</f>
        <v/>
      </c>
      <c r="Q661">
        <f>$C661*Q660</f>
        <v/>
      </c>
      <c r="R661">
        <f>$C661*R660</f>
        <v/>
      </c>
      <c r="S661">
        <f>$C661*S660</f>
        <v/>
      </c>
      <c r="T661">
        <f>$C661*T660</f>
        <v/>
      </c>
      <c r="U661">
        <f>$C661*U660</f>
        <v/>
      </c>
      <c r="V661">
        <f>$C661*V660</f>
        <v/>
      </c>
      <c r="W661">
        <f>$C661*W660</f>
        <v/>
      </c>
      <c r="X661">
        <f>$C661*X660</f>
        <v/>
      </c>
      <c r="Y661">
        <f>$C661*Y660</f>
        <v/>
      </c>
      <c r="Z661">
        <f>$C661*Z660</f>
        <v/>
      </c>
      <c r="AA661">
        <f>$C661*AA660</f>
        <v/>
      </c>
      <c r="AB661">
        <f>$C661*AB660</f>
        <v/>
      </c>
      <c r="AC661">
        <f>$C661*AC660</f>
        <v/>
      </c>
      <c r="AD661">
        <f>$C661*AD660</f>
        <v/>
      </c>
      <c r="AE661">
        <f>$C661*AE660</f>
        <v/>
      </c>
      <c r="AF661">
        <f>$C661*AF660</f>
        <v/>
      </c>
      <c r="AG661">
        <f>$C661*AG660</f>
        <v/>
      </c>
      <c r="AH661">
        <f>$C661*AH660</f>
        <v/>
      </c>
      <c r="AI661">
        <f>$C661*AI660</f>
        <v/>
      </c>
      <c r="AJ661">
        <f>$C661*AJ660</f>
        <v/>
      </c>
      <c r="AK661">
        <f>$C661*AK660</f>
        <v/>
      </c>
      <c r="AL661">
        <f>$C661*AL660</f>
        <v/>
      </c>
      <c r="AM661">
        <f>$C661*AM660</f>
        <v/>
      </c>
      <c r="AN661">
        <f>$C661*AN660</f>
        <v/>
      </c>
      <c r="AO661">
        <f>$C661*AO660</f>
        <v/>
      </c>
      <c r="AP661">
        <f>$C661*AP660</f>
        <v/>
      </c>
      <c r="AQ661">
        <f>$C661*AQ660</f>
        <v/>
      </c>
      <c r="AR661">
        <f>$C661*AR660</f>
        <v/>
      </c>
      <c r="AS661">
        <f>$C661*AS660</f>
        <v/>
      </c>
      <c r="AT661">
        <f>$C661*AT660</f>
        <v/>
      </c>
      <c r="AU661">
        <f>$C661*AU660</f>
        <v/>
      </c>
      <c r="AV661">
        <f>$C661*AV660</f>
        <v/>
      </c>
      <c r="AW661">
        <f>$C661*AW660</f>
        <v/>
      </c>
      <c r="AX661">
        <f>$C661*AX660</f>
        <v/>
      </c>
      <c r="AY661">
        <f>$C661*AY660</f>
        <v/>
      </c>
      <c r="AZ661">
        <f>$C661*AZ660</f>
        <v/>
      </c>
      <c r="BA661">
        <f>$C661*BA660</f>
        <v/>
      </c>
      <c r="BB661">
        <f>$C661*BB660</f>
        <v/>
      </c>
      <c r="BC661">
        <f>$C661*BC660</f>
        <v/>
      </c>
      <c r="BD661">
        <f>$C661*BD660</f>
        <v/>
      </c>
      <c r="BE661">
        <f>$C661*BE660</f>
        <v/>
      </c>
      <c r="BF661">
        <f>$C661*BF660</f>
        <v/>
      </c>
      <c r="BG661">
        <f>$C661*BG660</f>
        <v/>
      </c>
      <c r="BH661">
        <f>$C661*BH660</f>
        <v/>
      </c>
      <c r="BI661">
        <f>$C661*BI660</f>
        <v/>
      </c>
      <c r="BJ661">
        <f>$C661*BJ660</f>
        <v/>
      </c>
      <c r="BK661">
        <f>$C661*BK660</f>
        <v/>
      </c>
      <c r="BL661">
        <f>$C661*BL660</f>
        <v/>
      </c>
      <c r="BM661">
        <f>$C661*BM660</f>
        <v/>
      </c>
      <c r="BN661">
        <f>$C661*BN660</f>
        <v/>
      </c>
      <c r="BO661">
        <f>$C661*BO660</f>
        <v/>
      </c>
      <c r="BP661">
        <f>$C661*BP660</f>
        <v/>
      </c>
      <c r="BQ661">
        <f>$C661*BQ660</f>
        <v/>
      </c>
      <c r="BR661">
        <f>$C661*BR660</f>
        <v/>
      </c>
      <c r="BS661">
        <f>$C661*BS660</f>
        <v/>
      </c>
      <c r="BT661">
        <f>$C661*BT660</f>
        <v/>
      </c>
      <c r="BU661">
        <f>$C661*BU660</f>
        <v/>
      </c>
      <c r="BV661">
        <f>$C661*BV660</f>
        <v/>
      </c>
      <c r="BW661">
        <f>$C661*BW660</f>
        <v/>
      </c>
      <c r="BX661">
        <f>$C661*BX660</f>
        <v/>
      </c>
      <c r="BY661">
        <f>$C661*BY660</f>
        <v/>
      </c>
      <c r="BZ661">
        <f>$C661*BZ660</f>
        <v/>
      </c>
      <c r="CA661">
        <f>$C661*CA660</f>
        <v/>
      </c>
      <c r="CB661">
        <f>$C661*CB660</f>
        <v/>
      </c>
      <c r="CC661">
        <f>$C661*CC660</f>
        <v/>
      </c>
      <c r="CD661">
        <f>$C661*CD660</f>
        <v/>
      </c>
      <c r="CE661">
        <f>$C661*CE660</f>
        <v/>
      </c>
      <c r="CF661">
        <f>$C661*CF660</f>
        <v/>
      </c>
      <c r="CG661">
        <f>$C661*CG660</f>
        <v/>
      </c>
      <c r="CH661">
        <f>$C661*CH660</f>
        <v/>
      </c>
      <c r="CI661">
        <f>$C661*CI660</f>
        <v/>
      </c>
      <c r="CJ661">
        <f>$C661*CJ660</f>
        <v/>
      </c>
      <c r="CK661">
        <f>$C661*CK660</f>
        <v/>
      </c>
      <c r="CL661">
        <f>$C661*CL660</f>
        <v/>
      </c>
      <c r="CM661">
        <f>$C661*CM660</f>
        <v/>
      </c>
      <c r="CN661">
        <f>$C661*CN660</f>
        <v/>
      </c>
      <c r="CO661">
        <f>$C661*CO660</f>
        <v/>
      </c>
      <c r="CP661">
        <f>$C661*CP660</f>
        <v/>
      </c>
      <c r="CQ661">
        <f>$C661*CQ660</f>
        <v/>
      </c>
      <c r="CR661">
        <f>$C661*CR660</f>
        <v/>
      </c>
      <c r="CS661">
        <f>$C661*CS660</f>
        <v/>
      </c>
      <c r="CT661">
        <f>$C661*CT660</f>
        <v/>
      </c>
      <c r="CU661">
        <f>$C661*CU660</f>
        <v/>
      </c>
      <c r="CV661">
        <f>$C661*CV660</f>
        <v/>
      </c>
      <c r="CW661">
        <f>$C661*CW660</f>
        <v/>
      </c>
      <c r="CX661">
        <f>$C661*CX660</f>
        <v/>
      </c>
      <c r="CY661">
        <f>$C661*CY660</f>
        <v/>
      </c>
      <c r="CZ661">
        <f>$C661*CZ660</f>
        <v/>
      </c>
      <c r="DA661">
        <f>$C661*DA660</f>
        <v/>
      </c>
      <c r="DB661">
        <f>$C661*DB660</f>
        <v/>
      </c>
      <c r="DC661">
        <f>$C661*DC660</f>
        <v/>
      </c>
    </row>
    <row r="662">
      <c r="B662" t="inlineStr">
        <is>
          <t>VSP-990</t>
        </is>
      </c>
      <c r="C662" t="inlineStr">
        <is>
          <t>No. of batches</t>
        </is>
      </c>
      <c r="D662">
        <f>IFERROR(INDEX(PP_Grid[#Data],$DD662,2),0)</f>
        <v/>
      </c>
      <c r="E662">
        <f>IFERROR(INDEX(PP_Grid[#Data],$DD662,3),0)</f>
        <v/>
      </c>
      <c r="F662">
        <f>IFERROR(INDEX(PP_Grid[#Data],$DD662,4),0)</f>
        <v/>
      </c>
      <c r="G662">
        <f>IFERROR(INDEX(PP_Grid[#Data],$DD662,5),0)</f>
        <v/>
      </c>
      <c r="H662">
        <f>IFERROR(INDEX(PP_Grid[#Data],$DD662,6),0)</f>
        <v/>
      </c>
      <c r="I662">
        <f>IFERROR(INDEX(PP_Grid[#Data],$DD662,7),0)</f>
        <v/>
      </c>
      <c r="J662">
        <f>IFERROR(INDEX(PP_Grid[#Data],$DD662,8),0)</f>
        <v/>
      </c>
      <c r="K662">
        <f>IFERROR(INDEX(PP_Grid[#Data],$DD662,9),0)</f>
        <v/>
      </c>
      <c r="L662">
        <f>IFERROR(INDEX(PP_Grid[#Data],$DD662,10),0)</f>
        <v/>
      </c>
      <c r="M662">
        <f>IFERROR(INDEX(PP_Grid[#Data],$DD662,11),0)</f>
        <v/>
      </c>
      <c r="N662">
        <f>IFERROR(INDEX(PP_Grid[#Data],$DD662,12),0)</f>
        <v/>
      </c>
      <c r="O662">
        <f>IFERROR(INDEX(PP_Grid[#Data],$DD662,13),0)</f>
        <v/>
      </c>
      <c r="P662">
        <f>IFERROR(INDEX(PP_Grid[#Data],$DD662,14),0)</f>
        <v/>
      </c>
      <c r="Q662">
        <f>IFERROR(INDEX(PP_Grid[#Data],$DD662,15),0)</f>
        <v/>
      </c>
      <c r="R662">
        <f>IFERROR(INDEX(PP_Grid[#Data],$DD662,16),0)</f>
        <v/>
      </c>
      <c r="S662">
        <f>IFERROR(INDEX(PP_Grid[#Data],$DD662,17),0)</f>
        <v/>
      </c>
      <c r="T662">
        <f>IFERROR(INDEX(PP_Grid[#Data],$DD662,18),0)</f>
        <v/>
      </c>
      <c r="U662">
        <f>IFERROR(INDEX(PP_Grid[#Data],$DD662,19),0)</f>
        <v/>
      </c>
      <c r="V662">
        <f>IFERROR(INDEX(PP_Grid[#Data],$DD662,20),0)</f>
        <v/>
      </c>
      <c r="W662">
        <f>IFERROR(INDEX(PP_Grid[#Data],$DD662,21),0)</f>
        <v/>
      </c>
      <c r="X662">
        <f>IFERROR(INDEX(PP_Grid[#Data],$DD662,22),0)</f>
        <v/>
      </c>
      <c r="Y662">
        <f>IFERROR(INDEX(PP_Grid[#Data],$DD662,23),0)</f>
        <v/>
      </c>
      <c r="Z662">
        <f>IFERROR(INDEX(PP_Grid[#Data],$DD662,24),0)</f>
        <v/>
      </c>
      <c r="AA662">
        <f>IFERROR(INDEX(PP_Grid[#Data],$DD662,25),0)</f>
        <v/>
      </c>
      <c r="AB662">
        <f>IFERROR(INDEX(PP_Grid[#Data],$DD662,26),0)</f>
        <v/>
      </c>
      <c r="AC662">
        <f>IFERROR(INDEX(PP_Grid[#Data],$DD662,27),0)</f>
        <v/>
      </c>
      <c r="AD662">
        <f>IFERROR(INDEX(PP_Grid[#Data],$DD662,28),0)</f>
        <v/>
      </c>
      <c r="AE662">
        <f>IFERROR(INDEX(PP_Grid[#Data],$DD662,29),0)</f>
        <v/>
      </c>
      <c r="AF662">
        <f>IFERROR(INDEX(PP_Grid[#Data],$DD662,30),0)</f>
        <v/>
      </c>
      <c r="AG662">
        <f>IFERROR(INDEX(PP_Grid[#Data],$DD662,31),0)</f>
        <v/>
      </c>
      <c r="AH662">
        <f>IFERROR(INDEX(PP_Grid[#Data],$DD662,32),0)</f>
        <v/>
      </c>
      <c r="AI662">
        <f>IFERROR(INDEX(PP_Grid[#Data],$DD662,33),0)</f>
        <v/>
      </c>
      <c r="AJ662">
        <f>IFERROR(INDEX(PP_Grid[#Data],$DD662,34),0)</f>
        <v/>
      </c>
      <c r="AK662">
        <f>IFERROR(INDEX(PP_Grid[#Data],$DD662,35),0)</f>
        <v/>
      </c>
      <c r="AL662">
        <f>IFERROR(INDEX(PP_Grid[#Data],$DD662,36),0)</f>
        <v/>
      </c>
      <c r="AM662">
        <f>IFERROR(INDEX(PP_Grid[#Data],$DD662,37),0)</f>
        <v/>
      </c>
      <c r="AN662">
        <f>IFERROR(INDEX(PP_Grid[#Data],$DD662,38),0)</f>
        <v/>
      </c>
      <c r="AO662">
        <f>IFERROR(INDEX(PP_Grid[#Data],$DD662,39),0)</f>
        <v/>
      </c>
      <c r="AP662">
        <f>IFERROR(INDEX(PP_Grid[#Data],$DD662,40),0)</f>
        <v/>
      </c>
      <c r="AQ662">
        <f>IFERROR(INDEX(PP_Grid[#Data],$DD662,41),0)</f>
        <v/>
      </c>
      <c r="AR662">
        <f>IFERROR(INDEX(PP_Grid[#Data],$DD662,42),0)</f>
        <v/>
      </c>
      <c r="AS662">
        <f>IFERROR(INDEX(PP_Grid[#Data],$DD662,43),0)</f>
        <v/>
      </c>
      <c r="AT662">
        <f>IFERROR(INDEX(PP_Grid[#Data],$DD662,44),0)</f>
        <v/>
      </c>
      <c r="AU662">
        <f>IFERROR(INDEX(PP_Grid[#Data],$DD662,45),0)</f>
        <v/>
      </c>
      <c r="AV662">
        <f>IFERROR(INDEX(PP_Grid[#Data],$DD662,46),0)</f>
        <v/>
      </c>
      <c r="AW662">
        <f>IFERROR(INDEX(PP_Grid[#Data],$DD662,47),0)</f>
        <v/>
      </c>
      <c r="AX662">
        <f>IFERROR(INDEX(PP_Grid[#Data],$DD662,48),0)</f>
        <v/>
      </c>
      <c r="AY662">
        <f>IFERROR(INDEX(PP_Grid[#Data],$DD662,49),0)</f>
        <v/>
      </c>
      <c r="AZ662">
        <f>IFERROR(INDEX(PP_Grid[#Data],$DD662,50),0)</f>
        <v/>
      </c>
      <c r="BA662">
        <f>IFERROR(INDEX(PP_Grid[#Data],$DD662,51),0)</f>
        <v/>
      </c>
      <c r="BB662">
        <f>IFERROR(INDEX(PP_Grid[#Data],$DD662,52),0)</f>
        <v/>
      </c>
      <c r="BC662">
        <f>IFERROR(INDEX(PP_Grid[#Data],$DD662,53),0)</f>
        <v/>
      </c>
      <c r="BD662">
        <f>IFERROR(INDEX(PP_Grid[#Data],$DD662,54),0)</f>
        <v/>
      </c>
      <c r="BE662">
        <f>IFERROR(INDEX(PP_Grid[#Data],$DD662,55),0)</f>
        <v/>
      </c>
      <c r="BF662">
        <f>IFERROR(INDEX(PP_Grid[#Data],$DD662,56),0)</f>
        <v/>
      </c>
      <c r="BG662">
        <f>IFERROR(INDEX(PP_Grid[#Data],$DD662,57),0)</f>
        <v/>
      </c>
      <c r="BH662">
        <f>IFERROR(INDEX(PP_Grid[#Data],$DD662,58),0)</f>
        <v/>
      </c>
      <c r="BI662">
        <f>IFERROR(INDEX(PP_Grid[#Data],$DD662,59),0)</f>
        <v/>
      </c>
      <c r="BJ662">
        <f>IFERROR(INDEX(PP_Grid[#Data],$DD662,60),0)</f>
        <v/>
      </c>
      <c r="BK662">
        <f>IFERROR(INDEX(PP_Grid[#Data],$DD662,61),0)</f>
        <v/>
      </c>
      <c r="BL662">
        <f>IFERROR(INDEX(PP_Grid[#Data],$DD662,62),0)</f>
        <v/>
      </c>
      <c r="BM662">
        <f>IFERROR(INDEX(PP_Grid[#Data],$DD662,63),0)</f>
        <v/>
      </c>
      <c r="BN662">
        <f>IFERROR(INDEX(PP_Grid[#Data],$DD662,64),0)</f>
        <v/>
      </c>
      <c r="BO662">
        <f>IFERROR(INDEX(PP_Grid[#Data],$DD662,65),0)</f>
        <v/>
      </c>
      <c r="BP662">
        <f>IFERROR(INDEX(PP_Grid[#Data],$DD662,66),0)</f>
        <v/>
      </c>
      <c r="BQ662">
        <f>IFERROR(INDEX(PP_Grid[#Data],$DD662,67),0)</f>
        <v/>
      </c>
      <c r="BR662">
        <f>IFERROR(INDEX(PP_Grid[#Data],$DD662,68),0)</f>
        <v/>
      </c>
      <c r="BS662">
        <f>IFERROR(INDEX(PP_Grid[#Data],$DD662,69),0)</f>
        <v/>
      </c>
      <c r="BT662">
        <f>IFERROR(INDEX(PP_Grid[#Data],$DD662,70),0)</f>
        <v/>
      </c>
      <c r="BU662">
        <f>IFERROR(INDEX(PP_Grid[#Data],$DD662,71),0)</f>
        <v/>
      </c>
      <c r="BV662">
        <f>IFERROR(INDEX(PP_Grid[#Data],$DD662,72),0)</f>
        <v/>
      </c>
      <c r="BW662">
        <f>IFERROR(INDEX(PP_Grid[#Data],$DD662,73),0)</f>
        <v/>
      </c>
      <c r="BX662">
        <f>IFERROR(INDEX(PP_Grid[#Data],$DD662,74),0)</f>
        <v/>
      </c>
      <c r="BY662">
        <f>IFERROR(INDEX(PP_Grid[#Data],$DD662,75),0)</f>
        <v/>
      </c>
      <c r="BZ662">
        <f>IFERROR(INDEX(PP_Grid[#Data],$DD662,76),0)</f>
        <v/>
      </c>
      <c r="CA662">
        <f>IFERROR(INDEX(PP_Grid[#Data],$DD662,77),0)</f>
        <v/>
      </c>
      <c r="CB662">
        <f>IFERROR(INDEX(PP_Grid[#Data],$DD662,78),0)</f>
        <v/>
      </c>
      <c r="CC662">
        <f>IFERROR(INDEX(PP_Grid[#Data],$DD662,79),0)</f>
        <v/>
      </c>
      <c r="CD662">
        <f>IFERROR(INDEX(PP_Grid[#Data],$DD662,80),0)</f>
        <v/>
      </c>
      <c r="CE662">
        <f>IFERROR(INDEX(PP_Grid[#Data],$DD662,81),0)</f>
        <v/>
      </c>
      <c r="CF662">
        <f>IFERROR(INDEX(PP_Grid[#Data],$DD662,82),0)</f>
        <v/>
      </c>
      <c r="CG662">
        <f>IFERROR(INDEX(PP_Grid[#Data],$DD662,83),0)</f>
        <v/>
      </c>
      <c r="CH662">
        <f>IFERROR(INDEX(PP_Grid[#Data],$DD662,84),0)</f>
        <v/>
      </c>
      <c r="CI662">
        <f>IFERROR(INDEX(PP_Grid[#Data],$DD662,85),0)</f>
        <v/>
      </c>
      <c r="CJ662">
        <f>IFERROR(INDEX(PP_Grid[#Data],$DD662,86),0)</f>
        <v/>
      </c>
      <c r="CK662">
        <f>IFERROR(INDEX(PP_Grid[#Data],$DD662,87),0)</f>
        <v/>
      </c>
      <c r="CL662">
        <f>IFERROR(INDEX(PP_Grid[#Data],$DD662,88),0)</f>
        <v/>
      </c>
      <c r="CM662">
        <f>IFERROR(INDEX(PP_Grid[#Data],$DD662,89),0)</f>
        <v/>
      </c>
      <c r="CN662">
        <f>IFERROR(INDEX(PP_Grid[#Data],$DD662,90),0)</f>
        <v/>
      </c>
      <c r="CO662">
        <f>IFERROR(INDEX(PP_Grid[#Data],$DD662,91),0)</f>
        <v/>
      </c>
      <c r="CP662">
        <f>IFERROR(INDEX(PP_Grid[#Data],$DD662,92),0)</f>
        <v/>
      </c>
      <c r="CQ662">
        <f>IFERROR(INDEX(PP_Grid[#Data],$DD662,93),0)</f>
        <v/>
      </c>
      <c r="CR662">
        <f>IFERROR(INDEX(PP_Grid[#Data],$DD662,94),0)</f>
        <v/>
      </c>
      <c r="CS662">
        <f>IFERROR(INDEX(PP_Grid[#Data],$DD662,95),0)</f>
        <v/>
      </c>
      <c r="CT662">
        <f>IFERROR(INDEX(PP_Grid[#Data],$DD662,96),0)</f>
        <v/>
      </c>
      <c r="CU662">
        <f>IFERROR(INDEX(PP_Grid[#Data],$DD662,97),0)</f>
        <v/>
      </c>
      <c r="CV662">
        <f>IFERROR(INDEX(PP_Grid[#Data],$DD662,98),0)</f>
        <v/>
      </c>
      <c r="CW662">
        <f>IFERROR(INDEX(PP_Grid[#Data],$DD662,99),0)</f>
        <v/>
      </c>
      <c r="CX662">
        <f>IFERROR(INDEX(PP_Grid[#Data],$DD662,100),0)</f>
        <v/>
      </c>
      <c r="CY662">
        <f>IFERROR(INDEX(PP_Grid[#Data],$DD662,101),0)</f>
        <v/>
      </c>
      <c r="CZ662">
        <f>IFERROR(INDEX(PP_Grid[#Data],$DD662,102),0)</f>
        <v/>
      </c>
      <c r="DA662">
        <f>IFERROR(INDEX(PP_Grid[#Data],$DD662,103),0)</f>
        <v/>
      </c>
      <c r="DB662">
        <f>IFERROR(INDEX(PP_Grid[#Data],$DD662,104),0)</f>
        <v/>
      </c>
      <c r="DC662">
        <f>IFERROR(INDEX(PP_Grid[#Data],$DD662,105),0)</f>
        <v/>
      </c>
      <c r="DD662" s="7">
        <f>IFERROR(MATCH($B662,PP_Grid[Intermediate],0),99999)</f>
        <v/>
      </c>
    </row>
    <row r="663">
      <c r="B663" t="inlineStr">
        <is>
          <t>使用量(kg)</t>
        </is>
      </c>
      <c r="C663">
        <f>SUMIFS(M_BOM[RM_Qty_Per_Batch],M_BOM[Intermediate],$B662,M_BOM[Part Name],$A643)</f>
        <v/>
      </c>
      <c r="D663">
        <f>$C663*D662</f>
        <v/>
      </c>
      <c r="E663">
        <f>$C663*E662</f>
        <v/>
      </c>
      <c r="F663">
        <f>$C663*F662</f>
        <v/>
      </c>
      <c r="G663">
        <f>$C663*G662</f>
        <v/>
      </c>
      <c r="H663">
        <f>$C663*H662</f>
        <v/>
      </c>
      <c r="I663">
        <f>$C663*I662</f>
        <v/>
      </c>
      <c r="J663">
        <f>$C663*J662</f>
        <v/>
      </c>
      <c r="K663">
        <f>$C663*K662</f>
        <v/>
      </c>
      <c r="L663">
        <f>$C663*L662</f>
        <v/>
      </c>
      <c r="M663">
        <f>$C663*M662</f>
        <v/>
      </c>
      <c r="N663">
        <f>$C663*N662</f>
        <v/>
      </c>
      <c r="O663">
        <f>$C663*O662</f>
        <v/>
      </c>
      <c r="P663">
        <f>$C663*P662</f>
        <v/>
      </c>
      <c r="Q663">
        <f>$C663*Q662</f>
        <v/>
      </c>
      <c r="R663">
        <f>$C663*R662</f>
        <v/>
      </c>
      <c r="S663">
        <f>$C663*S662</f>
        <v/>
      </c>
      <c r="T663">
        <f>$C663*T662</f>
        <v/>
      </c>
      <c r="U663">
        <f>$C663*U662</f>
        <v/>
      </c>
      <c r="V663">
        <f>$C663*V662</f>
        <v/>
      </c>
      <c r="W663">
        <f>$C663*W662</f>
        <v/>
      </c>
      <c r="X663">
        <f>$C663*X662</f>
        <v/>
      </c>
      <c r="Y663">
        <f>$C663*Y662</f>
        <v/>
      </c>
      <c r="Z663">
        <f>$C663*Z662</f>
        <v/>
      </c>
      <c r="AA663">
        <f>$C663*AA662</f>
        <v/>
      </c>
      <c r="AB663">
        <f>$C663*AB662</f>
        <v/>
      </c>
      <c r="AC663">
        <f>$C663*AC662</f>
        <v/>
      </c>
      <c r="AD663">
        <f>$C663*AD662</f>
        <v/>
      </c>
      <c r="AE663">
        <f>$C663*AE662</f>
        <v/>
      </c>
      <c r="AF663">
        <f>$C663*AF662</f>
        <v/>
      </c>
      <c r="AG663">
        <f>$C663*AG662</f>
        <v/>
      </c>
      <c r="AH663">
        <f>$C663*AH662</f>
        <v/>
      </c>
      <c r="AI663">
        <f>$C663*AI662</f>
        <v/>
      </c>
      <c r="AJ663">
        <f>$C663*AJ662</f>
        <v/>
      </c>
      <c r="AK663">
        <f>$C663*AK662</f>
        <v/>
      </c>
      <c r="AL663">
        <f>$C663*AL662</f>
        <v/>
      </c>
      <c r="AM663">
        <f>$C663*AM662</f>
        <v/>
      </c>
      <c r="AN663">
        <f>$C663*AN662</f>
        <v/>
      </c>
      <c r="AO663">
        <f>$C663*AO662</f>
        <v/>
      </c>
      <c r="AP663">
        <f>$C663*AP662</f>
        <v/>
      </c>
      <c r="AQ663">
        <f>$C663*AQ662</f>
        <v/>
      </c>
      <c r="AR663">
        <f>$C663*AR662</f>
        <v/>
      </c>
      <c r="AS663">
        <f>$C663*AS662</f>
        <v/>
      </c>
      <c r="AT663">
        <f>$C663*AT662</f>
        <v/>
      </c>
      <c r="AU663">
        <f>$C663*AU662</f>
        <v/>
      </c>
      <c r="AV663">
        <f>$C663*AV662</f>
        <v/>
      </c>
      <c r="AW663">
        <f>$C663*AW662</f>
        <v/>
      </c>
      <c r="AX663">
        <f>$C663*AX662</f>
        <v/>
      </c>
      <c r="AY663">
        <f>$C663*AY662</f>
        <v/>
      </c>
      <c r="AZ663">
        <f>$C663*AZ662</f>
        <v/>
      </c>
      <c r="BA663">
        <f>$C663*BA662</f>
        <v/>
      </c>
      <c r="BB663">
        <f>$C663*BB662</f>
        <v/>
      </c>
      <c r="BC663">
        <f>$C663*BC662</f>
        <v/>
      </c>
      <c r="BD663">
        <f>$C663*BD662</f>
        <v/>
      </c>
      <c r="BE663">
        <f>$C663*BE662</f>
        <v/>
      </c>
      <c r="BF663">
        <f>$C663*BF662</f>
        <v/>
      </c>
      <c r="BG663">
        <f>$C663*BG662</f>
        <v/>
      </c>
      <c r="BH663">
        <f>$C663*BH662</f>
        <v/>
      </c>
      <c r="BI663">
        <f>$C663*BI662</f>
        <v/>
      </c>
      <c r="BJ663">
        <f>$C663*BJ662</f>
        <v/>
      </c>
      <c r="BK663">
        <f>$C663*BK662</f>
        <v/>
      </c>
      <c r="BL663">
        <f>$C663*BL662</f>
        <v/>
      </c>
      <c r="BM663">
        <f>$C663*BM662</f>
        <v/>
      </c>
      <c r="BN663">
        <f>$C663*BN662</f>
        <v/>
      </c>
      <c r="BO663">
        <f>$C663*BO662</f>
        <v/>
      </c>
      <c r="BP663">
        <f>$C663*BP662</f>
        <v/>
      </c>
      <c r="BQ663">
        <f>$C663*BQ662</f>
        <v/>
      </c>
      <c r="BR663">
        <f>$C663*BR662</f>
        <v/>
      </c>
      <c r="BS663">
        <f>$C663*BS662</f>
        <v/>
      </c>
      <c r="BT663">
        <f>$C663*BT662</f>
        <v/>
      </c>
      <c r="BU663">
        <f>$C663*BU662</f>
        <v/>
      </c>
      <c r="BV663">
        <f>$C663*BV662</f>
        <v/>
      </c>
      <c r="BW663">
        <f>$C663*BW662</f>
        <v/>
      </c>
      <c r="BX663">
        <f>$C663*BX662</f>
        <v/>
      </c>
      <c r="BY663">
        <f>$C663*BY662</f>
        <v/>
      </c>
      <c r="BZ663">
        <f>$C663*BZ662</f>
        <v/>
      </c>
      <c r="CA663">
        <f>$C663*CA662</f>
        <v/>
      </c>
      <c r="CB663">
        <f>$C663*CB662</f>
        <v/>
      </c>
      <c r="CC663">
        <f>$C663*CC662</f>
        <v/>
      </c>
      <c r="CD663">
        <f>$C663*CD662</f>
        <v/>
      </c>
      <c r="CE663">
        <f>$C663*CE662</f>
        <v/>
      </c>
      <c r="CF663">
        <f>$C663*CF662</f>
        <v/>
      </c>
      <c r="CG663">
        <f>$C663*CG662</f>
        <v/>
      </c>
      <c r="CH663">
        <f>$C663*CH662</f>
        <v/>
      </c>
      <c r="CI663">
        <f>$C663*CI662</f>
        <v/>
      </c>
      <c r="CJ663">
        <f>$C663*CJ662</f>
        <v/>
      </c>
      <c r="CK663">
        <f>$C663*CK662</f>
        <v/>
      </c>
      <c r="CL663">
        <f>$C663*CL662</f>
        <v/>
      </c>
      <c r="CM663">
        <f>$C663*CM662</f>
        <v/>
      </c>
      <c r="CN663">
        <f>$C663*CN662</f>
        <v/>
      </c>
      <c r="CO663">
        <f>$C663*CO662</f>
        <v/>
      </c>
      <c r="CP663">
        <f>$C663*CP662</f>
        <v/>
      </c>
      <c r="CQ663">
        <f>$C663*CQ662</f>
        <v/>
      </c>
      <c r="CR663">
        <f>$C663*CR662</f>
        <v/>
      </c>
      <c r="CS663">
        <f>$C663*CS662</f>
        <v/>
      </c>
      <c r="CT663">
        <f>$C663*CT662</f>
        <v/>
      </c>
      <c r="CU663">
        <f>$C663*CU662</f>
        <v/>
      </c>
      <c r="CV663">
        <f>$C663*CV662</f>
        <v/>
      </c>
      <c r="CW663">
        <f>$C663*CW662</f>
        <v/>
      </c>
      <c r="CX663">
        <f>$C663*CX662</f>
        <v/>
      </c>
      <c r="CY663">
        <f>$C663*CY662</f>
        <v/>
      </c>
      <c r="CZ663">
        <f>$C663*CZ662</f>
        <v/>
      </c>
      <c r="DA663">
        <f>$C663*DA662</f>
        <v/>
      </c>
      <c r="DB663">
        <f>$C663*DB662</f>
        <v/>
      </c>
      <c r="DC663">
        <f>$C663*DC662</f>
        <v/>
      </c>
    </row>
    <row r="664">
      <c r="B664" s="4" t="inlineStr">
        <is>
          <t>合計使用量(kg)/週</t>
        </is>
      </c>
      <c r="D664">
        <f>'Grid_Requirement'!B18</f>
        <v/>
      </c>
      <c r="E664">
        <f>'Grid_Requirement'!C18</f>
        <v/>
      </c>
      <c r="F664">
        <f>'Grid_Requirement'!D18</f>
        <v/>
      </c>
      <c r="G664">
        <f>'Grid_Requirement'!E18</f>
        <v/>
      </c>
      <c r="H664">
        <f>'Grid_Requirement'!F18</f>
        <v/>
      </c>
      <c r="I664">
        <f>'Grid_Requirement'!G18</f>
        <v/>
      </c>
      <c r="J664">
        <f>'Grid_Requirement'!H18</f>
        <v/>
      </c>
      <c r="K664">
        <f>'Grid_Requirement'!I18</f>
        <v/>
      </c>
      <c r="L664">
        <f>'Grid_Requirement'!J18</f>
        <v/>
      </c>
      <c r="M664">
        <f>'Grid_Requirement'!K18</f>
        <v/>
      </c>
      <c r="N664">
        <f>'Grid_Requirement'!L18</f>
        <v/>
      </c>
      <c r="O664">
        <f>'Grid_Requirement'!M18</f>
        <v/>
      </c>
      <c r="P664">
        <f>'Grid_Requirement'!N18</f>
        <v/>
      </c>
      <c r="Q664">
        <f>'Grid_Requirement'!O18</f>
        <v/>
      </c>
      <c r="R664">
        <f>'Grid_Requirement'!P18</f>
        <v/>
      </c>
      <c r="S664">
        <f>'Grid_Requirement'!Q18</f>
        <v/>
      </c>
      <c r="T664">
        <f>'Grid_Requirement'!R18</f>
        <v/>
      </c>
      <c r="U664">
        <f>'Grid_Requirement'!S18</f>
        <v/>
      </c>
      <c r="V664">
        <f>'Grid_Requirement'!T18</f>
        <v/>
      </c>
      <c r="W664">
        <f>'Grid_Requirement'!U18</f>
        <v/>
      </c>
      <c r="X664">
        <f>'Grid_Requirement'!V18</f>
        <v/>
      </c>
      <c r="Y664">
        <f>'Grid_Requirement'!W18</f>
        <v/>
      </c>
      <c r="Z664">
        <f>'Grid_Requirement'!X18</f>
        <v/>
      </c>
      <c r="AA664">
        <f>'Grid_Requirement'!Y18</f>
        <v/>
      </c>
      <c r="AB664">
        <f>'Grid_Requirement'!Z18</f>
        <v/>
      </c>
      <c r="AC664">
        <f>'Grid_Requirement'!AA18</f>
        <v/>
      </c>
      <c r="AD664">
        <f>'Grid_Requirement'!AB18</f>
        <v/>
      </c>
      <c r="AE664">
        <f>'Grid_Requirement'!AC18</f>
        <v/>
      </c>
      <c r="AF664">
        <f>'Grid_Requirement'!AD18</f>
        <v/>
      </c>
      <c r="AG664">
        <f>'Grid_Requirement'!AE18</f>
        <v/>
      </c>
      <c r="AH664">
        <f>'Grid_Requirement'!AF18</f>
        <v/>
      </c>
      <c r="AI664">
        <f>'Grid_Requirement'!AG18</f>
        <v/>
      </c>
      <c r="AJ664">
        <f>'Grid_Requirement'!AH18</f>
        <v/>
      </c>
      <c r="AK664">
        <f>'Grid_Requirement'!AI18</f>
        <v/>
      </c>
      <c r="AL664">
        <f>'Grid_Requirement'!AJ18</f>
        <v/>
      </c>
      <c r="AM664">
        <f>'Grid_Requirement'!AK18</f>
        <v/>
      </c>
      <c r="AN664">
        <f>'Grid_Requirement'!AL18</f>
        <v/>
      </c>
      <c r="AO664">
        <f>'Grid_Requirement'!AM18</f>
        <v/>
      </c>
      <c r="AP664">
        <f>'Grid_Requirement'!AN18</f>
        <v/>
      </c>
      <c r="AQ664">
        <f>'Grid_Requirement'!AO18</f>
        <v/>
      </c>
      <c r="AR664">
        <f>'Grid_Requirement'!AP18</f>
        <v/>
      </c>
      <c r="AS664">
        <f>'Grid_Requirement'!AQ18</f>
        <v/>
      </c>
      <c r="AT664">
        <f>'Grid_Requirement'!AR18</f>
        <v/>
      </c>
      <c r="AU664">
        <f>'Grid_Requirement'!AS18</f>
        <v/>
      </c>
      <c r="AV664">
        <f>'Grid_Requirement'!AT18</f>
        <v/>
      </c>
      <c r="AW664">
        <f>'Grid_Requirement'!AU18</f>
        <v/>
      </c>
      <c r="AX664">
        <f>'Grid_Requirement'!AV18</f>
        <v/>
      </c>
      <c r="AY664">
        <f>'Grid_Requirement'!AW18</f>
        <v/>
      </c>
      <c r="AZ664">
        <f>'Grid_Requirement'!AX18</f>
        <v/>
      </c>
      <c r="BA664">
        <f>'Grid_Requirement'!AY18</f>
        <v/>
      </c>
      <c r="BB664">
        <f>'Grid_Requirement'!AZ18</f>
        <v/>
      </c>
      <c r="BC664">
        <f>'Grid_Requirement'!BA18</f>
        <v/>
      </c>
      <c r="BD664">
        <f>'Grid_Requirement'!BB18</f>
        <v/>
      </c>
      <c r="BE664">
        <f>'Grid_Requirement'!BC18</f>
        <v/>
      </c>
      <c r="BF664">
        <f>'Grid_Requirement'!BD18</f>
        <v/>
      </c>
      <c r="BG664">
        <f>'Grid_Requirement'!BE18</f>
        <v/>
      </c>
      <c r="BH664">
        <f>'Grid_Requirement'!BF18</f>
        <v/>
      </c>
      <c r="BI664">
        <f>'Grid_Requirement'!BG18</f>
        <v/>
      </c>
      <c r="BJ664">
        <f>'Grid_Requirement'!BH18</f>
        <v/>
      </c>
      <c r="BK664">
        <f>'Grid_Requirement'!BI18</f>
        <v/>
      </c>
      <c r="BL664">
        <f>'Grid_Requirement'!BJ18</f>
        <v/>
      </c>
      <c r="BM664">
        <f>'Grid_Requirement'!BK18</f>
        <v/>
      </c>
      <c r="BN664">
        <f>'Grid_Requirement'!BL18</f>
        <v/>
      </c>
      <c r="BO664">
        <f>'Grid_Requirement'!BM18</f>
        <v/>
      </c>
      <c r="BP664">
        <f>'Grid_Requirement'!BN18</f>
        <v/>
      </c>
      <c r="BQ664">
        <f>'Grid_Requirement'!BO18</f>
        <v/>
      </c>
      <c r="BR664">
        <f>'Grid_Requirement'!BP18</f>
        <v/>
      </c>
      <c r="BS664">
        <f>'Grid_Requirement'!BQ18</f>
        <v/>
      </c>
      <c r="BT664">
        <f>'Grid_Requirement'!BR18</f>
        <v/>
      </c>
      <c r="BU664">
        <f>'Grid_Requirement'!BS18</f>
        <v/>
      </c>
      <c r="BV664">
        <f>'Grid_Requirement'!BT18</f>
        <v/>
      </c>
      <c r="BW664">
        <f>'Grid_Requirement'!BU18</f>
        <v/>
      </c>
      <c r="BX664">
        <f>'Grid_Requirement'!BV18</f>
        <v/>
      </c>
      <c r="BY664">
        <f>'Grid_Requirement'!BW18</f>
        <v/>
      </c>
      <c r="BZ664">
        <f>'Grid_Requirement'!BX18</f>
        <v/>
      </c>
      <c r="CA664">
        <f>'Grid_Requirement'!BY18</f>
        <v/>
      </c>
      <c r="CB664">
        <f>'Grid_Requirement'!BZ18</f>
        <v/>
      </c>
      <c r="CC664">
        <f>'Grid_Requirement'!CA18</f>
        <v/>
      </c>
      <c r="CD664">
        <f>'Grid_Requirement'!CB18</f>
        <v/>
      </c>
      <c r="CE664">
        <f>'Grid_Requirement'!CC18</f>
        <v/>
      </c>
      <c r="CF664">
        <f>'Grid_Requirement'!CD18</f>
        <v/>
      </c>
      <c r="CG664">
        <f>'Grid_Requirement'!CE18</f>
        <v/>
      </c>
      <c r="CH664">
        <f>'Grid_Requirement'!CF18</f>
        <v/>
      </c>
      <c r="CI664">
        <f>'Grid_Requirement'!CG18</f>
        <v/>
      </c>
      <c r="CJ664">
        <f>'Grid_Requirement'!CH18</f>
        <v/>
      </c>
      <c r="CK664">
        <f>'Grid_Requirement'!CI18</f>
        <v/>
      </c>
      <c r="CL664">
        <f>'Grid_Requirement'!CJ18</f>
        <v/>
      </c>
      <c r="CM664">
        <f>'Grid_Requirement'!CK18</f>
        <v/>
      </c>
      <c r="CN664">
        <f>'Grid_Requirement'!CL18</f>
        <v/>
      </c>
      <c r="CO664">
        <f>'Grid_Requirement'!CM18</f>
        <v/>
      </c>
      <c r="CP664">
        <f>'Grid_Requirement'!CN18</f>
        <v/>
      </c>
      <c r="CQ664">
        <f>'Grid_Requirement'!CO18</f>
        <v/>
      </c>
      <c r="CR664">
        <f>'Grid_Requirement'!CP18</f>
        <v/>
      </c>
      <c r="CS664">
        <f>'Grid_Requirement'!CQ18</f>
        <v/>
      </c>
      <c r="CT664">
        <f>'Grid_Requirement'!CR18</f>
        <v/>
      </c>
      <c r="CU664">
        <f>'Grid_Requirement'!CS18</f>
        <v/>
      </c>
      <c r="CV664">
        <f>'Grid_Requirement'!CT18</f>
        <v/>
      </c>
      <c r="CW664">
        <f>'Grid_Requirement'!CU18</f>
        <v/>
      </c>
      <c r="CX664">
        <f>'Grid_Requirement'!CV18</f>
        <v/>
      </c>
      <c r="CY664">
        <f>'Grid_Requirement'!CW18</f>
        <v/>
      </c>
      <c r="CZ664">
        <f>'Grid_Requirement'!CX18</f>
        <v/>
      </c>
      <c r="DA664">
        <f>'Grid_Requirement'!CY18</f>
        <v/>
      </c>
      <c r="DB664">
        <f>'Grid_Requirement'!CZ18</f>
        <v/>
      </c>
      <c r="DC664">
        <f>'Grid_Requirement'!DA18</f>
        <v/>
      </c>
    </row>
    <row r="665">
      <c r="B665" t="inlineStr">
        <is>
          <t>TTAF在庫(実績,kg)</t>
        </is>
      </c>
      <c r="D665">
        <f>'T_TTAFStock'!B22</f>
        <v/>
      </c>
      <c r="E665">
        <f>'T_TTAFStock'!C22</f>
        <v/>
      </c>
      <c r="F665">
        <f>'T_TTAFStock'!D22</f>
        <v/>
      </c>
      <c r="G665">
        <f>'T_TTAFStock'!E22</f>
        <v/>
      </c>
      <c r="H665">
        <f>'T_TTAFStock'!F22</f>
        <v/>
      </c>
      <c r="I665">
        <f>'T_TTAFStock'!G22</f>
        <v/>
      </c>
      <c r="J665">
        <f>'T_TTAFStock'!H22</f>
        <v/>
      </c>
      <c r="K665">
        <f>'T_TTAFStock'!I22</f>
        <v/>
      </c>
      <c r="L665">
        <f>'T_TTAFStock'!J22</f>
        <v/>
      </c>
      <c r="M665">
        <f>'T_TTAFStock'!K22</f>
        <v/>
      </c>
      <c r="N665">
        <f>'T_TTAFStock'!L22</f>
        <v/>
      </c>
      <c r="O665">
        <f>'T_TTAFStock'!M22</f>
        <v/>
      </c>
      <c r="P665">
        <f>'T_TTAFStock'!N22</f>
        <v/>
      </c>
      <c r="Q665">
        <f>'T_TTAFStock'!O22</f>
        <v/>
      </c>
      <c r="R665">
        <f>'T_TTAFStock'!P22</f>
        <v/>
      </c>
      <c r="S665">
        <f>'T_TTAFStock'!Q22</f>
        <v/>
      </c>
      <c r="T665">
        <f>'T_TTAFStock'!R22</f>
        <v/>
      </c>
      <c r="U665">
        <f>'T_TTAFStock'!S22</f>
        <v/>
      </c>
      <c r="V665">
        <f>'T_TTAFStock'!T22</f>
        <v/>
      </c>
      <c r="W665">
        <f>'T_TTAFStock'!U22</f>
        <v/>
      </c>
      <c r="X665">
        <f>'T_TTAFStock'!V22</f>
        <v/>
      </c>
      <c r="Y665">
        <f>'T_TTAFStock'!W22</f>
        <v/>
      </c>
      <c r="Z665">
        <f>'T_TTAFStock'!X22</f>
        <v/>
      </c>
      <c r="AA665">
        <f>'T_TTAFStock'!Y22</f>
        <v/>
      </c>
      <c r="AB665">
        <f>'T_TTAFStock'!Z22</f>
        <v/>
      </c>
      <c r="AC665">
        <f>'T_TTAFStock'!AA22</f>
        <v/>
      </c>
      <c r="AD665">
        <f>'T_TTAFStock'!AB22</f>
        <v/>
      </c>
      <c r="AE665">
        <f>'T_TTAFStock'!AC22</f>
        <v/>
      </c>
      <c r="AF665">
        <f>'T_TTAFStock'!AD22</f>
        <v/>
      </c>
      <c r="AG665">
        <f>'T_TTAFStock'!AE22</f>
        <v/>
      </c>
      <c r="AH665">
        <f>'T_TTAFStock'!AF22</f>
        <v/>
      </c>
      <c r="AI665">
        <f>'T_TTAFStock'!AG22</f>
        <v/>
      </c>
      <c r="AJ665">
        <f>'T_TTAFStock'!AH22</f>
        <v/>
      </c>
      <c r="AK665">
        <f>'T_TTAFStock'!AI22</f>
        <v/>
      </c>
      <c r="AL665">
        <f>'T_TTAFStock'!AJ22</f>
        <v/>
      </c>
      <c r="AM665">
        <f>'T_TTAFStock'!AK22</f>
        <v/>
      </c>
      <c r="AN665">
        <f>'T_TTAFStock'!AL22</f>
        <v/>
      </c>
      <c r="AO665">
        <f>'T_TTAFStock'!AM22</f>
        <v/>
      </c>
      <c r="AP665">
        <f>'T_TTAFStock'!AN22</f>
        <v/>
      </c>
      <c r="AQ665">
        <f>'T_TTAFStock'!AO22</f>
        <v/>
      </c>
      <c r="AR665">
        <f>'T_TTAFStock'!AP22</f>
        <v/>
      </c>
      <c r="AS665">
        <f>'T_TTAFStock'!AQ22</f>
        <v/>
      </c>
      <c r="AT665">
        <f>'T_TTAFStock'!AR22</f>
        <v/>
      </c>
      <c r="AU665">
        <f>'T_TTAFStock'!AS22</f>
        <v/>
      </c>
      <c r="AV665">
        <f>'T_TTAFStock'!AT22</f>
        <v/>
      </c>
      <c r="AW665">
        <f>'T_TTAFStock'!AU22</f>
        <v/>
      </c>
      <c r="AX665">
        <f>'T_TTAFStock'!AV22</f>
        <v/>
      </c>
      <c r="AY665">
        <f>'T_TTAFStock'!AW22</f>
        <v/>
      </c>
      <c r="AZ665">
        <f>'T_TTAFStock'!AX22</f>
        <v/>
      </c>
      <c r="BA665">
        <f>'T_TTAFStock'!AY22</f>
        <v/>
      </c>
      <c r="BB665">
        <f>'T_TTAFStock'!AZ22</f>
        <v/>
      </c>
      <c r="BC665">
        <f>'T_TTAFStock'!BA22</f>
        <v/>
      </c>
      <c r="BD665">
        <f>'T_TTAFStock'!BB22</f>
        <v/>
      </c>
      <c r="BE665">
        <f>'T_TTAFStock'!BC22</f>
        <v/>
      </c>
      <c r="BF665">
        <f>'T_TTAFStock'!BD22</f>
        <v/>
      </c>
      <c r="BG665">
        <f>'T_TTAFStock'!BE22</f>
        <v/>
      </c>
      <c r="BH665">
        <f>'T_TTAFStock'!BF22</f>
        <v/>
      </c>
      <c r="BI665">
        <f>'T_TTAFStock'!BG22</f>
        <v/>
      </c>
      <c r="BJ665">
        <f>'T_TTAFStock'!BH22</f>
        <v/>
      </c>
      <c r="BK665">
        <f>'T_TTAFStock'!BI22</f>
        <v/>
      </c>
      <c r="BL665">
        <f>'T_TTAFStock'!BJ22</f>
        <v/>
      </c>
      <c r="BM665">
        <f>'T_TTAFStock'!BK22</f>
        <v/>
      </c>
      <c r="BN665">
        <f>'T_TTAFStock'!BL22</f>
        <v/>
      </c>
      <c r="BO665">
        <f>'T_TTAFStock'!BM22</f>
        <v/>
      </c>
      <c r="BP665">
        <f>'T_TTAFStock'!BN22</f>
        <v/>
      </c>
      <c r="BQ665">
        <f>'T_TTAFStock'!BO22</f>
        <v/>
      </c>
      <c r="BR665">
        <f>'T_TTAFStock'!BP22</f>
        <v/>
      </c>
      <c r="BS665">
        <f>'T_TTAFStock'!BQ22</f>
        <v/>
      </c>
      <c r="BT665">
        <f>'T_TTAFStock'!BR22</f>
        <v/>
      </c>
      <c r="BU665">
        <f>'T_TTAFStock'!BS22</f>
        <v/>
      </c>
      <c r="BV665">
        <f>'T_TTAFStock'!BT22</f>
        <v/>
      </c>
      <c r="BW665">
        <f>'T_TTAFStock'!BU22</f>
        <v/>
      </c>
      <c r="BX665">
        <f>'T_TTAFStock'!BV22</f>
        <v/>
      </c>
      <c r="BY665">
        <f>'T_TTAFStock'!BW22</f>
        <v/>
      </c>
      <c r="BZ665">
        <f>'T_TTAFStock'!BX22</f>
        <v/>
      </c>
      <c r="CA665">
        <f>'T_TTAFStock'!BY22</f>
        <v/>
      </c>
      <c r="CB665">
        <f>'T_TTAFStock'!BZ22</f>
        <v/>
      </c>
      <c r="CC665">
        <f>'T_TTAFStock'!CA22</f>
        <v/>
      </c>
      <c r="CD665">
        <f>'T_TTAFStock'!CB22</f>
        <v/>
      </c>
      <c r="CE665">
        <f>'T_TTAFStock'!CC22</f>
        <v/>
      </c>
      <c r="CF665">
        <f>'T_TTAFStock'!CD22</f>
        <v/>
      </c>
      <c r="CG665">
        <f>'T_TTAFStock'!CE22</f>
        <v/>
      </c>
      <c r="CH665">
        <f>'T_TTAFStock'!CF22</f>
        <v/>
      </c>
      <c r="CI665">
        <f>'T_TTAFStock'!CG22</f>
        <v/>
      </c>
      <c r="CJ665">
        <f>'T_TTAFStock'!CH22</f>
        <v/>
      </c>
      <c r="CK665">
        <f>'T_TTAFStock'!CI22</f>
        <v/>
      </c>
      <c r="CL665">
        <f>'T_TTAFStock'!CJ22</f>
        <v/>
      </c>
      <c r="CM665">
        <f>'T_TTAFStock'!CK22</f>
        <v/>
      </c>
      <c r="CN665">
        <f>'T_TTAFStock'!CL22</f>
        <v/>
      </c>
      <c r="CO665">
        <f>'T_TTAFStock'!CM22</f>
        <v/>
      </c>
      <c r="CP665">
        <f>'T_TTAFStock'!CN22</f>
        <v/>
      </c>
      <c r="CQ665">
        <f>'T_TTAFStock'!CO22</f>
        <v/>
      </c>
      <c r="CR665">
        <f>'T_TTAFStock'!CP22</f>
        <v/>
      </c>
      <c r="CS665">
        <f>'T_TTAFStock'!CQ22</f>
        <v/>
      </c>
      <c r="CT665">
        <f>'T_TTAFStock'!CR22</f>
        <v/>
      </c>
      <c r="CU665">
        <f>'T_TTAFStock'!CS22</f>
        <v/>
      </c>
      <c r="CV665">
        <f>'T_TTAFStock'!CT22</f>
        <v/>
      </c>
      <c r="CW665">
        <f>'T_TTAFStock'!CU22</f>
        <v/>
      </c>
      <c r="CX665">
        <f>'T_TTAFStock'!CV22</f>
        <v/>
      </c>
      <c r="CY665">
        <f>'T_TTAFStock'!CW22</f>
        <v/>
      </c>
      <c r="CZ665">
        <f>'T_TTAFStock'!CX22</f>
        <v/>
      </c>
      <c r="DA665">
        <f>'T_TTAFStock'!CY22</f>
        <v/>
      </c>
      <c r="DB665">
        <f>'T_TTAFStock'!CZ22</f>
        <v/>
      </c>
      <c r="DC665">
        <f>'T_TTAFStock'!DA22</f>
        <v/>
      </c>
    </row>
    <row r="666">
      <c r="B666" t="inlineStr">
        <is>
          <t>自社在庫(実績,kg)</t>
        </is>
      </c>
      <c r="D666">
        <f>'T_SelfStock'!B22</f>
        <v/>
      </c>
      <c r="E666">
        <f>'T_SelfStock'!C22</f>
        <v/>
      </c>
      <c r="F666">
        <f>'T_SelfStock'!D22</f>
        <v/>
      </c>
      <c r="G666">
        <f>'T_SelfStock'!E22</f>
        <v/>
      </c>
      <c r="H666">
        <f>'T_SelfStock'!F22</f>
        <v/>
      </c>
      <c r="I666">
        <f>'T_SelfStock'!G22</f>
        <v/>
      </c>
      <c r="J666">
        <f>'T_SelfStock'!H22</f>
        <v/>
      </c>
      <c r="K666">
        <f>'T_SelfStock'!I22</f>
        <v/>
      </c>
      <c r="L666">
        <f>'T_SelfStock'!J22</f>
        <v/>
      </c>
      <c r="M666">
        <f>'T_SelfStock'!K22</f>
        <v/>
      </c>
      <c r="N666">
        <f>'T_SelfStock'!L22</f>
        <v/>
      </c>
      <c r="O666">
        <f>'T_SelfStock'!M22</f>
        <v/>
      </c>
      <c r="P666">
        <f>'T_SelfStock'!N22</f>
        <v/>
      </c>
      <c r="Q666">
        <f>'T_SelfStock'!O22</f>
        <v/>
      </c>
      <c r="R666">
        <f>'T_SelfStock'!P22</f>
        <v/>
      </c>
      <c r="S666">
        <f>'T_SelfStock'!Q22</f>
        <v/>
      </c>
      <c r="T666">
        <f>'T_SelfStock'!R22</f>
        <v/>
      </c>
      <c r="U666">
        <f>'T_SelfStock'!S22</f>
        <v/>
      </c>
      <c r="V666">
        <f>'T_SelfStock'!T22</f>
        <v/>
      </c>
      <c r="W666">
        <f>'T_SelfStock'!U22</f>
        <v/>
      </c>
      <c r="X666">
        <f>'T_SelfStock'!V22</f>
        <v/>
      </c>
      <c r="Y666">
        <f>'T_SelfStock'!W22</f>
        <v/>
      </c>
      <c r="Z666">
        <f>'T_SelfStock'!X22</f>
        <v/>
      </c>
      <c r="AA666">
        <f>'T_SelfStock'!Y22</f>
        <v/>
      </c>
      <c r="AB666">
        <f>'T_SelfStock'!Z22</f>
        <v/>
      </c>
      <c r="AC666">
        <f>'T_SelfStock'!AA22</f>
        <v/>
      </c>
      <c r="AD666">
        <f>'T_SelfStock'!AB22</f>
        <v/>
      </c>
      <c r="AE666">
        <f>'T_SelfStock'!AC22</f>
        <v/>
      </c>
      <c r="AF666">
        <f>'T_SelfStock'!AD22</f>
        <v/>
      </c>
      <c r="AG666">
        <f>'T_SelfStock'!AE22</f>
        <v/>
      </c>
      <c r="AH666">
        <f>'T_SelfStock'!AF22</f>
        <v/>
      </c>
      <c r="AI666">
        <f>'T_SelfStock'!AG22</f>
        <v/>
      </c>
      <c r="AJ666">
        <f>'T_SelfStock'!AH22</f>
        <v/>
      </c>
      <c r="AK666">
        <f>'T_SelfStock'!AI22</f>
        <v/>
      </c>
      <c r="AL666">
        <f>'T_SelfStock'!AJ22</f>
        <v/>
      </c>
      <c r="AM666">
        <f>'T_SelfStock'!AK22</f>
        <v/>
      </c>
      <c r="AN666">
        <f>'T_SelfStock'!AL22</f>
        <v/>
      </c>
      <c r="AO666">
        <f>'T_SelfStock'!AM22</f>
        <v/>
      </c>
      <c r="AP666">
        <f>'T_SelfStock'!AN22</f>
        <v/>
      </c>
      <c r="AQ666">
        <f>'T_SelfStock'!AO22</f>
        <v/>
      </c>
      <c r="AR666">
        <f>'T_SelfStock'!AP22</f>
        <v/>
      </c>
      <c r="AS666">
        <f>'T_SelfStock'!AQ22</f>
        <v/>
      </c>
      <c r="AT666">
        <f>'T_SelfStock'!AR22</f>
        <v/>
      </c>
      <c r="AU666">
        <f>'T_SelfStock'!AS22</f>
        <v/>
      </c>
      <c r="AV666">
        <f>'T_SelfStock'!AT22</f>
        <v/>
      </c>
      <c r="AW666">
        <f>'T_SelfStock'!AU22</f>
        <v/>
      </c>
      <c r="AX666">
        <f>'T_SelfStock'!AV22</f>
        <v/>
      </c>
      <c r="AY666">
        <f>'T_SelfStock'!AW22</f>
        <v/>
      </c>
      <c r="AZ666">
        <f>'T_SelfStock'!AX22</f>
        <v/>
      </c>
      <c r="BA666">
        <f>'T_SelfStock'!AY22</f>
        <v/>
      </c>
      <c r="BB666">
        <f>'T_SelfStock'!AZ22</f>
        <v/>
      </c>
      <c r="BC666">
        <f>'T_SelfStock'!BA22</f>
        <v/>
      </c>
      <c r="BD666">
        <f>'T_SelfStock'!BB22</f>
        <v/>
      </c>
      <c r="BE666">
        <f>'T_SelfStock'!BC22</f>
        <v/>
      </c>
      <c r="BF666">
        <f>'T_SelfStock'!BD22</f>
        <v/>
      </c>
      <c r="BG666">
        <f>'T_SelfStock'!BE22</f>
        <v/>
      </c>
      <c r="BH666">
        <f>'T_SelfStock'!BF22</f>
        <v/>
      </c>
      <c r="BI666">
        <f>'T_SelfStock'!BG22</f>
        <v/>
      </c>
      <c r="BJ666">
        <f>'T_SelfStock'!BH22</f>
        <v/>
      </c>
      <c r="BK666">
        <f>'T_SelfStock'!BI22</f>
        <v/>
      </c>
      <c r="BL666">
        <f>'T_SelfStock'!BJ22</f>
        <v/>
      </c>
      <c r="BM666">
        <f>'T_SelfStock'!BK22</f>
        <v/>
      </c>
      <c r="BN666">
        <f>'T_SelfStock'!BL22</f>
        <v/>
      </c>
      <c r="BO666">
        <f>'T_SelfStock'!BM22</f>
        <v/>
      </c>
      <c r="BP666">
        <f>'T_SelfStock'!BN22</f>
        <v/>
      </c>
      <c r="BQ666">
        <f>'T_SelfStock'!BO22</f>
        <v/>
      </c>
      <c r="BR666">
        <f>'T_SelfStock'!BP22</f>
        <v/>
      </c>
      <c r="BS666">
        <f>'T_SelfStock'!BQ22</f>
        <v/>
      </c>
      <c r="BT666">
        <f>'T_SelfStock'!BR22</f>
        <v/>
      </c>
      <c r="BU666">
        <f>'T_SelfStock'!BS22</f>
        <v/>
      </c>
      <c r="BV666">
        <f>'T_SelfStock'!BT22</f>
        <v/>
      </c>
      <c r="BW666">
        <f>'T_SelfStock'!BU22</f>
        <v/>
      </c>
      <c r="BX666">
        <f>'T_SelfStock'!BV22</f>
        <v/>
      </c>
      <c r="BY666">
        <f>'T_SelfStock'!BW22</f>
        <v/>
      </c>
      <c r="BZ666">
        <f>'T_SelfStock'!BX22</f>
        <v/>
      </c>
      <c r="CA666">
        <f>'T_SelfStock'!BY22</f>
        <v/>
      </c>
      <c r="CB666">
        <f>'T_SelfStock'!BZ22</f>
        <v/>
      </c>
      <c r="CC666">
        <f>'T_SelfStock'!CA22</f>
        <v/>
      </c>
      <c r="CD666">
        <f>'T_SelfStock'!CB22</f>
        <v/>
      </c>
      <c r="CE666">
        <f>'T_SelfStock'!CC22</f>
        <v/>
      </c>
      <c r="CF666">
        <f>'T_SelfStock'!CD22</f>
        <v/>
      </c>
      <c r="CG666">
        <f>'T_SelfStock'!CE22</f>
        <v/>
      </c>
      <c r="CH666">
        <f>'T_SelfStock'!CF22</f>
        <v/>
      </c>
      <c r="CI666">
        <f>'T_SelfStock'!CG22</f>
        <v/>
      </c>
      <c r="CJ666">
        <f>'T_SelfStock'!CH22</f>
        <v/>
      </c>
      <c r="CK666">
        <f>'T_SelfStock'!CI22</f>
        <v/>
      </c>
      <c r="CL666">
        <f>'T_SelfStock'!CJ22</f>
        <v/>
      </c>
      <c r="CM666">
        <f>'T_SelfStock'!CK22</f>
        <v/>
      </c>
      <c r="CN666">
        <f>'T_SelfStock'!CL22</f>
        <v/>
      </c>
      <c r="CO666">
        <f>'T_SelfStock'!CM22</f>
        <v/>
      </c>
      <c r="CP666">
        <f>'T_SelfStock'!CN22</f>
        <v/>
      </c>
      <c r="CQ666">
        <f>'T_SelfStock'!CO22</f>
        <v/>
      </c>
      <c r="CR666">
        <f>'T_SelfStock'!CP22</f>
        <v/>
      </c>
      <c r="CS666">
        <f>'T_SelfStock'!CQ22</f>
        <v/>
      </c>
      <c r="CT666">
        <f>'T_SelfStock'!CR22</f>
        <v/>
      </c>
      <c r="CU666">
        <f>'T_SelfStock'!CS22</f>
        <v/>
      </c>
      <c r="CV666">
        <f>'T_SelfStock'!CT22</f>
        <v/>
      </c>
      <c r="CW666">
        <f>'T_SelfStock'!CU22</f>
        <v/>
      </c>
      <c r="CX666">
        <f>'T_SelfStock'!CV22</f>
        <v/>
      </c>
      <c r="CY666">
        <f>'T_SelfStock'!CW22</f>
        <v/>
      </c>
      <c r="CZ666">
        <f>'T_SelfStock'!CX22</f>
        <v/>
      </c>
      <c r="DA666">
        <f>'T_SelfStock'!CY22</f>
        <v/>
      </c>
      <c r="DB666">
        <f>'T_SelfStock'!CZ22</f>
        <v/>
      </c>
      <c r="DC666">
        <f>'T_SelfStock'!DA22</f>
        <v/>
      </c>
    </row>
    <row r="667">
      <c r="B667" s="4" t="inlineStr">
        <is>
          <t>合計在庫(週末時点,kg)</t>
        </is>
      </c>
      <c r="D667">
        <f>'Grid_Stock'!B18</f>
        <v/>
      </c>
      <c r="E667">
        <f>'Grid_Stock'!C18</f>
        <v/>
      </c>
      <c r="F667">
        <f>'Grid_Stock'!D18</f>
        <v/>
      </c>
      <c r="G667">
        <f>'Grid_Stock'!E18</f>
        <v/>
      </c>
      <c r="H667">
        <f>'Grid_Stock'!F18</f>
        <v/>
      </c>
      <c r="I667">
        <f>'Grid_Stock'!G18</f>
        <v/>
      </c>
      <c r="J667">
        <f>'Grid_Stock'!H18</f>
        <v/>
      </c>
      <c r="K667">
        <f>'Grid_Stock'!I18</f>
        <v/>
      </c>
      <c r="L667">
        <f>'Grid_Stock'!J18</f>
        <v/>
      </c>
      <c r="M667">
        <f>'Grid_Stock'!K18</f>
        <v/>
      </c>
      <c r="N667">
        <f>'Grid_Stock'!L18</f>
        <v/>
      </c>
      <c r="O667">
        <f>'Grid_Stock'!M18</f>
        <v/>
      </c>
      <c r="P667">
        <f>'Grid_Stock'!N18</f>
        <v/>
      </c>
      <c r="Q667">
        <f>'Grid_Stock'!O18</f>
        <v/>
      </c>
      <c r="R667">
        <f>'Grid_Stock'!P18</f>
        <v/>
      </c>
      <c r="S667">
        <f>'Grid_Stock'!Q18</f>
        <v/>
      </c>
      <c r="T667">
        <f>'Grid_Stock'!R18</f>
        <v/>
      </c>
      <c r="U667">
        <f>'Grid_Stock'!S18</f>
        <v/>
      </c>
      <c r="V667">
        <f>'Grid_Stock'!T18</f>
        <v/>
      </c>
      <c r="W667">
        <f>'Grid_Stock'!U18</f>
        <v/>
      </c>
      <c r="X667">
        <f>'Grid_Stock'!V18</f>
        <v/>
      </c>
      <c r="Y667">
        <f>'Grid_Stock'!W18</f>
        <v/>
      </c>
      <c r="Z667">
        <f>'Grid_Stock'!X18</f>
        <v/>
      </c>
      <c r="AA667">
        <f>'Grid_Stock'!Y18</f>
        <v/>
      </c>
      <c r="AB667">
        <f>'Grid_Stock'!Z18</f>
        <v/>
      </c>
      <c r="AC667">
        <f>'Grid_Stock'!AA18</f>
        <v/>
      </c>
      <c r="AD667">
        <f>'Grid_Stock'!AB18</f>
        <v/>
      </c>
      <c r="AE667">
        <f>'Grid_Stock'!AC18</f>
        <v/>
      </c>
      <c r="AF667">
        <f>'Grid_Stock'!AD18</f>
        <v/>
      </c>
      <c r="AG667">
        <f>'Grid_Stock'!AE18</f>
        <v/>
      </c>
      <c r="AH667">
        <f>'Grid_Stock'!AF18</f>
        <v/>
      </c>
      <c r="AI667">
        <f>'Grid_Stock'!AG18</f>
        <v/>
      </c>
      <c r="AJ667">
        <f>'Grid_Stock'!AH18</f>
        <v/>
      </c>
      <c r="AK667">
        <f>'Grid_Stock'!AI18</f>
        <v/>
      </c>
      <c r="AL667">
        <f>'Grid_Stock'!AJ18</f>
        <v/>
      </c>
      <c r="AM667">
        <f>'Grid_Stock'!AK18</f>
        <v/>
      </c>
      <c r="AN667">
        <f>'Grid_Stock'!AL18</f>
        <v/>
      </c>
      <c r="AO667">
        <f>'Grid_Stock'!AM18</f>
        <v/>
      </c>
      <c r="AP667">
        <f>'Grid_Stock'!AN18</f>
        <v/>
      </c>
      <c r="AQ667">
        <f>'Grid_Stock'!AO18</f>
        <v/>
      </c>
      <c r="AR667">
        <f>'Grid_Stock'!AP18</f>
        <v/>
      </c>
      <c r="AS667">
        <f>'Grid_Stock'!AQ18</f>
        <v/>
      </c>
      <c r="AT667">
        <f>'Grid_Stock'!AR18</f>
        <v/>
      </c>
      <c r="AU667">
        <f>'Grid_Stock'!AS18</f>
        <v/>
      </c>
      <c r="AV667">
        <f>'Grid_Stock'!AT18</f>
        <v/>
      </c>
      <c r="AW667">
        <f>'Grid_Stock'!AU18</f>
        <v/>
      </c>
      <c r="AX667">
        <f>'Grid_Stock'!AV18</f>
        <v/>
      </c>
      <c r="AY667">
        <f>'Grid_Stock'!AW18</f>
        <v/>
      </c>
      <c r="AZ667">
        <f>'Grid_Stock'!AX18</f>
        <v/>
      </c>
      <c r="BA667">
        <f>'Grid_Stock'!AY18</f>
        <v/>
      </c>
      <c r="BB667">
        <f>'Grid_Stock'!AZ18</f>
        <v/>
      </c>
      <c r="BC667">
        <f>'Grid_Stock'!BA18</f>
        <v/>
      </c>
      <c r="BD667">
        <f>'Grid_Stock'!BB18</f>
        <v/>
      </c>
      <c r="BE667">
        <f>'Grid_Stock'!BC18</f>
        <v/>
      </c>
      <c r="BF667">
        <f>'Grid_Stock'!BD18</f>
        <v/>
      </c>
      <c r="BG667">
        <f>'Grid_Stock'!BE18</f>
        <v/>
      </c>
      <c r="BH667">
        <f>'Grid_Stock'!BF18</f>
        <v/>
      </c>
      <c r="BI667">
        <f>'Grid_Stock'!BG18</f>
        <v/>
      </c>
      <c r="BJ667">
        <f>'Grid_Stock'!BH18</f>
        <v/>
      </c>
      <c r="BK667">
        <f>'Grid_Stock'!BI18</f>
        <v/>
      </c>
      <c r="BL667">
        <f>'Grid_Stock'!BJ18</f>
        <v/>
      </c>
      <c r="BM667">
        <f>'Grid_Stock'!BK18</f>
        <v/>
      </c>
      <c r="BN667">
        <f>'Grid_Stock'!BL18</f>
        <v/>
      </c>
      <c r="BO667">
        <f>'Grid_Stock'!BM18</f>
        <v/>
      </c>
      <c r="BP667">
        <f>'Grid_Stock'!BN18</f>
        <v/>
      </c>
      <c r="BQ667">
        <f>'Grid_Stock'!BO18</f>
        <v/>
      </c>
      <c r="BR667">
        <f>'Grid_Stock'!BP18</f>
        <v/>
      </c>
      <c r="BS667">
        <f>'Grid_Stock'!BQ18</f>
        <v/>
      </c>
      <c r="BT667">
        <f>'Grid_Stock'!BR18</f>
        <v/>
      </c>
      <c r="BU667">
        <f>'Grid_Stock'!BS18</f>
        <v/>
      </c>
      <c r="BV667">
        <f>'Grid_Stock'!BT18</f>
        <v/>
      </c>
      <c r="BW667">
        <f>'Grid_Stock'!BU18</f>
        <v/>
      </c>
      <c r="BX667">
        <f>'Grid_Stock'!BV18</f>
        <v/>
      </c>
      <c r="BY667">
        <f>'Grid_Stock'!BW18</f>
        <v/>
      </c>
      <c r="BZ667">
        <f>'Grid_Stock'!BX18</f>
        <v/>
      </c>
      <c r="CA667">
        <f>'Grid_Stock'!BY18</f>
        <v/>
      </c>
      <c r="CB667">
        <f>'Grid_Stock'!BZ18</f>
        <v/>
      </c>
      <c r="CC667">
        <f>'Grid_Stock'!CA18</f>
        <v/>
      </c>
      <c r="CD667">
        <f>'Grid_Stock'!CB18</f>
        <v/>
      </c>
      <c r="CE667">
        <f>'Grid_Stock'!CC18</f>
        <v/>
      </c>
      <c r="CF667">
        <f>'Grid_Stock'!CD18</f>
        <v/>
      </c>
      <c r="CG667">
        <f>'Grid_Stock'!CE18</f>
        <v/>
      </c>
      <c r="CH667">
        <f>'Grid_Stock'!CF18</f>
        <v/>
      </c>
      <c r="CI667">
        <f>'Grid_Stock'!CG18</f>
        <v/>
      </c>
      <c r="CJ667">
        <f>'Grid_Stock'!CH18</f>
        <v/>
      </c>
      <c r="CK667">
        <f>'Grid_Stock'!CI18</f>
        <v/>
      </c>
      <c r="CL667">
        <f>'Grid_Stock'!CJ18</f>
        <v/>
      </c>
      <c r="CM667">
        <f>'Grid_Stock'!CK18</f>
        <v/>
      </c>
      <c r="CN667">
        <f>'Grid_Stock'!CL18</f>
        <v/>
      </c>
      <c r="CO667">
        <f>'Grid_Stock'!CM18</f>
        <v/>
      </c>
      <c r="CP667">
        <f>'Grid_Stock'!CN18</f>
        <v/>
      </c>
      <c r="CQ667">
        <f>'Grid_Stock'!CO18</f>
        <v/>
      </c>
      <c r="CR667">
        <f>'Grid_Stock'!CP18</f>
        <v/>
      </c>
      <c r="CS667">
        <f>'Grid_Stock'!CQ18</f>
        <v/>
      </c>
      <c r="CT667">
        <f>'Grid_Stock'!CR18</f>
        <v/>
      </c>
      <c r="CU667">
        <f>'Grid_Stock'!CS18</f>
        <v/>
      </c>
      <c r="CV667">
        <f>'Grid_Stock'!CT18</f>
        <v/>
      </c>
      <c r="CW667">
        <f>'Grid_Stock'!CU18</f>
        <v/>
      </c>
      <c r="CX667">
        <f>'Grid_Stock'!CV18</f>
        <v/>
      </c>
      <c r="CY667">
        <f>'Grid_Stock'!CW18</f>
        <v/>
      </c>
      <c r="CZ667">
        <f>'Grid_Stock'!CX18</f>
        <v/>
      </c>
      <c r="DA667">
        <f>'Grid_Stock'!CY18</f>
        <v/>
      </c>
      <c r="DB667">
        <f>'Grid_Stock'!CZ18</f>
        <v/>
      </c>
      <c r="DC667">
        <f>'Grid_Stock'!DA18</f>
        <v/>
      </c>
    </row>
    <row r="668">
      <c r="B668" s="16" t="inlineStr">
        <is>
          <t>（発注の目安はDashboardの基準在庫[下限/上限]と色分けを参照）</t>
        </is>
      </c>
    </row>
    <row r="670">
      <c r="A670" s="14" t="inlineStr">
        <is>
          <t>CHEM-1240</t>
        </is>
      </c>
      <c r="B670" s="14" t="inlineStr">
        <is>
          <t>Alumina SOL(AS200)</t>
        </is>
      </c>
      <c r="C670" s="15" t="n"/>
      <c r="D670" s="14" t="n"/>
      <c r="E670" s="14" t="n"/>
      <c r="F670" s="14" t="n"/>
      <c r="G670" s="14" t="n"/>
      <c r="H670" s="14" t="n"/>
      <c r="I670" s="14" t="n"/>
      <c r="J670" s="14" t="n"/>
      <c r="K670" s="14" t="n"/>
      <c r="L670" s="14" t="n"/>
      <c r="M670" s="14" t="n"/>
      <c r="N670" s="14" t="n"/>
      <c r="O670" s="14" t="n"/>
      <c r="P670" s="14" t="n"/>
      <c r="Q670" s="14" t="n"/>
      <c r="R670" s="14" t="n"/>
      <c r="S670" s="14" t="n"/>
      <c r="T670" s="14" t="n"/>
      <c r="U670" s="14" t="n"/>
      <c r="V670" s="14" t="n"/>
      <c r="W670" s="14" t="n"/>
      <c r="X670" s="14" t="n"/>
      <c r="Y670" s="14" t="n"/>
      <c r="Z670" s="14" t="n"/>
      <c r="AA670" s="14" t="n"/>
      <c r="AB670" s="14" t="n"/>
      <c r="AC670" s="14" t="n"/>
      <c r="AD670" s="14" t="n"/>
      <c r="AE670" s="14" t="n"/>
      <c r="AF670" s="14" t="n"/>
      <c r="AG670" s="14" t="n"/>
      <c r="AH670" s="14" t="n"/>
      <c r="AI670" s="14" t="n"/>
      <c r="AJ670" s="14" t="n"/>
      <c r="AK670" s="14" t="n"/>
      <c r="AL670" s="14" t="n"/>
      <c r="AM670" s="14" t="n"/>
      <c r="AN670" s="14" t="n"/>
      <c r="AO670" s="14" t="n"/>
      <c r="AP670" s="14" t="n"/>
      <c r="AQ670" s="14" t="n"/>
      <c r="AR670" s="14" t="n"/>
      <c r="AS670" s="14" t="n"/>
      <c r="AT670" s="14" t="n"/>
      <c r="AU670" s="14" t="n"/>
      <c r="AV670" s="14" t="n"/>
      <c r="AW670" s="14" t="n"/>
      <c r="AX670" s="14" t="n"/>
      <c r="AY670" s="14" t="n"/>
      <c r="AZ670" s="14" t="n"/>
      <c r="BA670" s="14" t="n"/>
      <c r="BB670" s="14" t="n"/>
      <c r="BC670" s="14" t="n"/>
      <c r="BD670" s="14" t="n"/>
      <c r="BE670" s="14" t="n"/>
      <c r="BF670" s="14" t="n"/>
      <c r="BG670" s="14" t="n"/>
      <c r="BH670" s="14" t="n"/>
      <c r="BI670" s="14" t="n"/>
      <c r="BJ670" s="14" t="n"/>
      <c r="BK670" s="14" t="n"/>
      <c r="BL670" s="14" t="n"/>
      <c r="BM670" s="14" t="n"/>
      <c r="BN670" s="14" t="n"/>
      <c r="BO670" s="14" t="n"/>
      <c r="BP670" s="14" t="n"/>
      <c r="BQ670" s="14" t="n"/>
      <c r="BR670" s="14" t="n"/>
      <c r="BS670" s="14" t="n"/>
      <c r="BT670" s="14" t="n"/>
      <c r="BU670" s="14" t="n"/>
      <c r="BV670" s="14" t="n"/>
      <c r="BW670" s="14" t="n"/>
      <c r="BX670" s="14" t="n"/>
      <c r="BY670" s="14" t="n"/>
      <c r="BZ670" s="14" t="n"/>
      <c r="CA670" s="14" t="n"/>
      <c r="CB670" s="14" t="n"/>
      <c r="CC670" s="14" t="n"/>
      <c r="CD670" s="14" t="n"/>
      <c r="CE670" s="14" t="n"/>
      <c r="CF670" s="14" t="n"/>
      <c r="CG670" s="14" t="n"/>
      <c r="CH670" s="14" t="n"/>
      <c r="CI670" s="14" t="n"/>
      <c r="CJ670" s="14" t="n"/>
      <c r="CK670" s="14" t="n"/>
      <c r="CL670" s="14" t="n"/>
      <c r="CM670" s="14" t="n"/>
      <c r="CN670" s="14" t="n"/>
      <c r="CO670" s="14" t="n"/>
      <c r="CP670" s="14" t="n"/>
      <c r="CQ670" s="14" t="n"/>
      <c r="CR670" s="14" t="n"/>
      <c r="CS670" s="14" t="n"/>
      <c r="CT670" s="14" t="n"/>
      <c r="CU670" s="14" t="n"/>
      <c r="CV670" s="14" t="n"/>
      <c r="CW670" s="14" t="n"/>
      <c r="CX670" s="14" t="n"/>
      <c r="CY670" s="14" t="n"/>
      <c r="CZ670" s="14" t="n"/>
      <c r="DA670" s="14" t="n"/>
      <c r="DB670" s="14" t="n"/>
      <c r="DC670" s="14" t="n"/>
    </row>
    <row r="671">
      <c r="B671" t="inlineStr">
        <is>
          <t>TSP-224</t>
        </is>
      </c>
      <c r="C671" t="inlineStr">
        <is>
          <t>No. of batches</t>
        </is>
      </c>
      <c r="D671">
        <f>IFERROR(INDEX(PP_Grid[#Data],$DD671,2),0)</f>
        <v/>
      </c>
      <c r="E671">
        <f>IFERROR(INDEX(PP_Grid[#Data],$DD671,3),0)</f>
        <v/>
      </c>
      <c r="F671">
        <f>IFERROR(INDEX(PP_Grid[#Data],$DD671,4),0)</f>
        <v/>
      </c>
      <c r="G671">
        <f>IFERROR(INDEX(PP_Grid[#Data],$DD671,5),0)</f>
        <v/>
      </c>
      <c r="H671">
        <f>IFERROR(INDEX(PP_Grid[#Data],$DD671,6),0)</f>
        <v/>
      </c>
      <c r="I671">
        <f>IFERROR(INDEX(PP_Grid[#Data],$DD671,7),0)</f>
        <v/>
      </c>
      <c r="J671">
        <f>IFERROR(INDEX(PP_Grid[#Data],$DD671,8),0)</f>
        <v/>
      </c>
      <c r="K671">
        <f>IFERROR(INDEX(PP_Grid[#Data],$DD671,9),0)</f>
        <v/>
      </c>
      <c r="L671">
        <f>IFERROR(INDEX(PP_Grid[#Data],$DD671,10),0)</f>
        <v/>
      </c>
      <c r="M671">
        <f>IFERROR(INDEX(PP_Grid[#Data],$DD671,11),0)</f>
        <v/>
      </c>
      <c r="N671">
        <f>IFERROR(INDEX(PP_Grid[#Data],$DD671,12),0)</f>
        <v/>
      </c>
      <c r="O671">
        <f>IFERROR(INDEX(PP_Grid[#Data],$DD671,13),0)</f>
        <v/>
      </c>
      <c r="P671">
        <f>IFERROR(INDEX(PP_Grid[#Data],$DD671,14),0)</f>
        <v/>
      </c>
      <c r="Q671">
        <f>IFERROR(INDEX(PP_Grid[#Data],$DD671,15),0)</f>
        <v/>
      </c>
      <c r="R671">
        <f>IFERROR(INDEX(PP_Grid[#Data],$DD671,16),0)</f>
        <v/>
      </c>
      <c r="S671">
        <f>IFERROR(INDEX(PP_Grid[#Data],$DD671,17),0)</f>
        <v/>
      </c>
      <c r="T671">
        <f>IFERROR(INDEX(PP_Grid[#Data],$DD671,18),0)</f>
        <v/>
      </c>
      <c r="U671">
        <f>IFERROR(INDEX(PP_Grid[#Data],$DD671,19),0)</f>
        <v/>
      </c>
      <c r="V671">
        <f>IFERROR(INDEX(PP_Grid[#Data],$DD671,20),0)</f>
        <v/>
      </c>
      <c r="W671">
        <f>IFERROR(INDEX(PP_Grid[#Data],$DD671,21),0)</f>
        <v/>
      </c>
      <c r="X671">
        <f>IFERROR(INDEX(PP_Grid[#Data],$DD671,22),0)</f>
        <v/>
      </c>
      <c r="Y671">
        <f>IFERROR(INDEX(PP_Grid[#Data],$DD671,23),0)</f>
        <v/>
      </c>
      <c r="Z671">
        <f>IFERROR(INDEX(PP_Grid[#Data],$DD671,24),0)</f>
        <v/>
      </c>
      <c r="AA671">
        <f>IFERROR(INDEX(PP_Grid[#Data],$DD671,25),0)</f>
        <v/>
      </c>
      <c r="AB671">
        <f>IFERROR(INDEX(PP_Grid[#Data],$DD671,26),0)</f>
        <v/>
      </c>
      <c r="AC671">
        <f>IFERROR(INDEX(PP_Grid[#Data],$DD671,27),0)</f>
        <v/>
      </c>
      <c r="AD671">
        <f>IFERROR(INDEX(PP_Grid[#Data],$DD671,28),0)</f>
        <v/>
      </c>
      <c r="AE671">
        <f>IFERROR(INDEX(PP_Grid[#Data],$DD671,29),0)</f>
        <v/>
      </c>
      <c r="AF671">
        <f>IFERROR(INDEX(PP_Grid[#Data],$DD671,30),0)</f>
        <v/>
      </c>
      <c r="AG671">
        <f>IFERROR(INDEX(PP_Grid[#Data],$DD671,31),0)</f>
        <v/>
      </c>
      <c r="AH671">
        <f>IFERROR(INDEX(PP_Grid[#Data],$DD671,32),0)</f>
        <v/>
      </c>
      <c r="AI671">
        <f>IFERROR(INDEX(PP_Grid[#Data],$DD671,33),0)</f>
        <v/>
      </c>
      <c r="AJ671">
        <f>IFERROR(INDEX(PP_Grid[#Data],$DD671,34),0)</f>
        <v/>
      </c>
      <c r="AK671">
        <f>IFERROR(INDEX(PP_Grid[#Data],$DD671,35),0)</f>
        <v/>
      </c>
      <c r="AL671">
        <f>IFERROR(INDEX(PP_Grid[#Data],$DD671,36),0)</f>
        <v/>
      </c>
      <c r="AM671">
        <f>IFERROR(INDEX(PP_Grid[#Data],$DD671,37),0)</f>
        <v/>
      </c>
      <c r="AN671">
        <f>IFERROR(INDEX(PP_Grid[#Data],$DD671,38),0)</f>
        <v/>
      </c>
      <c r="AO671">
        <f>IFERROR(INDEX(PP_Grid[#Data],$DD671,39),0)</f>
        <v/>
      </c>
      <c r="AP671">
        <f>IFERROR(INDEX(PP_Grid[#Data],$DD671,40),0)</f>
        <v/>
      </c>
      <c r="AQ671">
        <f>IFERROR(INDEX(PP_Grid[#Data],$DD671,41),0)</f>
        <v/>
      </c>
      <c r="AR671">
        <f>IFERROR(INDEX(PP_Grid[#Data],$DD671,42),0)</f>
        <v/>
      </c>
      <c r="AS671">
        <f>IFERROR(INDEX(PP_Grid[#Data],$DD671,43),0)</f>
        <v/>
      </c>
      <c r="AT671">
        <f>IFERROR(INDEX(PP_Grid[#Data],$DD671,44),0)</f>
        <v/>
      </c>
      <c r="AU671">
        <f>IFERROR(INDEX(PP_Grid[#Data],$DD671,45),0)</f>
        <v/>
      </c>
      <c r="AV671">
        <f>IFERROR(INDEX(PP_Grid[#Data],$DD671,46),0)</f>
        <v/>
      </c>
      <c r="AW671">
        <f>IFERROR(INDEX(PP_Grid[#Data],$DD671,47),0)</f>
        <v/>
      </c>
      <c r="AX671">
        <f>IFERROR(INDEX(PP_Grid[#Data],$DD671,48),0)</f>
        <v/>
      </c>
      <c r="AY671">
        <f>IFERROR(INDEX(PP_Grid[#Data],$DD671,49),0)</f>
        <v/>
      </c>
      <c r="AZ671">
        <f>IFERROR(INDEX(PP_Grid[#Data],$DD671,50),0)</f>
        <v/>
      </c>
      <c r="BA671">
        <f>IFERROR(INDEX(PP_Grid[#Data],$DD671,51),0)</f>
        <v/>
      </c>
      <c r="BB671">
        <f>IFERROR(INDEX(PP_Grid[#Data],$DD671,52),0)</f>
        <v/>
      </c>
      <c r="BC671">
        <f>IFERROR(INDEX(PP_Grid[#Data],$DD671,53),0)</f>
        <v/>
      </c>
      <c r="BD671">
        <f>IFERROR(INDEX(PP_Grid[#Data],$DD671,54),0)</f>
        <v/>
      </c>
      <c r="BE671">
        <f>IFERROR(INDEX(PP_Grid[#Data],$DD671,55),0)</f>
        <v/>
      </c>
      <c r="BF671">
        <f>IFERROR(INDEX(PP_Grid[#Data],$DD671,56),0)</f>
        <v/>
      </c>
      <c r="BG671">
        <f>IFERROR(INDEX(PP_Grid[#Data],$DD671,57),0)</f>
        <v/>
      </c>
      <c r="BH671">
        <f>IFERROR(INDEX(PP_Grid[#Data],$DD671,58),0)</f>
        <v/>
      </c>
      <c r="BI671">
        <f>IFERROR(INDEX(PP_Grid[#Data],$DD671,59),0)</f>
        <v/>
      </c>
      <c r="BJ671">
        <f>IFERROR(INDEX(PP_Grid[#Data],$DD671,60),0)</f>
        <v/>
      </c>
      <c r="BK671">
        <f>IFERROR(INDEX(PP_Grid[#Data],$DD671,61),0)</f>
        <v/>
      </c>
      <c r="BL671">
        <f>IFERROR(INDEX(PP_Grid[#Data],$DD671,62),0)</f>
        <v/>
      </c>
      <c r="BM671">
        <f>IFERROR(INDEX(PP_Grid[#Data],$DD671,63),0)</f>
        <v/>
      </c>
      <c r="BN671">
        <f>IFERROR(INDEX(PP_Grid[#Data],$DD671,64),0)</f>
        <v/>
      </c>
      <c r="BO671">
        <f>IFERROR(INDEX(PP_Grid[#Data],$DD671,65),0)</f>
        <v/>
      </c>
      <c r="BP671">
        <f>IFERROR(INDEX(PP_Grid[#Data],$DD671,66),0)</f>
        <v/>
      </c>
      <c r="BQ671">
        <f>IFERROR(INDEX(PP_Grid[#Data],$DD671,67),0)</f>
        <v/>
      </c>
      <c r="BR671">
        <f>IFERROR(INDEX(PP_Grid[#Data],$DD671,68),0)</f>
        <v/>
      </c>
      <c r="BS671">
        <f>IFERROR(INDEX(PP_Grid[#Data],$DD671,69),0)</f>
        <v/>
      </c>
      <c r="BT671">
        <f>IFERROR(INDEX(PP_Grid[#Data],$DD671,70),0)</f>
        <v/>
      </c>
      <c r="BU671">
        <f>IFERROR(INDEX(PP_Grid[#Data],$DD671,71),0)</f>
        <v/>
      </c>
      <c r="BV671">
        <f>IFERROR(INDEX(PP_Grid[#Data],$DD671,72),0)</f>
        <v/>
      </c>
      <c r="BW671">
        <f>IFERROR(INDEX(PP_Grid[#Data],$DD671,73),0)</f>
        <v/>
      </c>
      <c r="BX671">
        <f>IFERROR(INDEX(PP_Grid[#Data],$DD671,74),0)</f>
        <v/>
      </c>
      <c r="BY671">
        <f>IFERROR(INDEX(PP_Grid[#Data],$DD671,75),0)</f>
        <v/>
      </c>
      <c r="BZ671">
        <f>IFERROR(INDEX(PP_Grid[#Data],$DD671,76),0)</f>
        <v/>
      </c>
      <c r="CA671">
        <f>IFERROR(INDEX(PP_Grid[#Data],$DD671,77),0)</f>
        <v/>
      </c>
      <c r="CB671">
        <f>IFERROR(INDEX(PP_Grid[#Data],$DD671,78),0)</f>
        <v/>
      </c>
      <c r="CC671">
        <f>IFERROR(INDEX(PP_Grid[#Data],$DD671,79),0)</f>
        <v/>
      </c>
      <c r="CD671">
        <f>IFERROR(INDEX(PP_Grid[#Data],$DD671,80),0)</f>
        <v/>
      </c>
      <c r="CE671">
        <f>IFERROR(INDEX(PP_Grid[#Data],$DD671,81),0)</f>
        <v/>
      </c>
      <c r="CF671">
        <f>IFERROR(INDEX(PP_Grid[#Data],$DD671,82),0)</f>
        <v/>
      </c>
      <c r="CG671">
        <f>IFERROR(INDEX(PP_Grid[#Data],$DD671,83),0)</f>
        <v/>
      </c>
      <c r="CH671">
        <f>IFERROR(INDEX(PP_Grid[#Data],$DD671,84),0)</f>
        <v/>
      </c>
      <c r="CI671">
        <f>IFERROR(INDEX(PP_Grid[#Data],$DD671,85),0)</f>
        <v/>
      </c>
      <c r="CJ671">
        <f>IFERROR(INDEX(PP_Grid[#Data],$DD671,86),0)</f>
        <v/>
      </c>
      <c r="CK671">
        <f>IFERROR(INDEX(PP_Grid[#Data],$DD671,87),0)</f>
        <v/>
      </c>
      <c r="CL671">
        <f>IFERROR(INDEX(PP_Grid[#Data],$DD671,88),0)</f>
        <v/>
      </c>
      <c r="CM671">
        <f>IFERROR(INDEX(PP_Grid[#Data],$DD671,89),0)</f>
        <v/>
      </c>
      <c r="CN671">
        <f>IFERROR(INDEX(PP_Grid[#Data],$DD671,90),0)</f>
        <v/>
      </c>
      <c r="CO671">
        <f>IFERROR(INDEX(PP_Grid[#Data],$DD671,91),0)</f>
        <v/>
      </c>
      <c r="CP671">
        <f>IFERROR(INDEX(PP_Grid[#Data],$DD671,92),0)</f>
        <v/>
      </c>
      <c r="CQ671">
        <f>IFERROR(INDEX(PP_Grid[#Data],$DD671,93),0)</f>
        <v/>
      </c>
      <c r="CR671">
        <f>IFERROR(INDEX(PP_Grid[#Data],$DD671,94),0)</f>
        <v/>
      </c>
      <c r="CS671">
        <f>IFERROR(INDEX(PP_Grid[#Data],$DD671,95),0)</f>
        <v/>
      </c>
      <c r="CT671">
        <f>IFERROR(INDEX(PP_Grid[#Data],$DD671,96),0)</f>
        <v/>
      </c>
      <c r="CU671">
        <f>IFERROR(INDEX(PP_Grid[#Data],$DD671,97),0)</f>
        <v/>
      </c>
      <c r="CV671">
        <f>IFERROR(INDEX(PP_Grid[#Data],$DD671,98),0)</f>
        <v/>
      </c>
      <c r="CW671">
        <f>IFERROR(INDEX(PP_Grid[#Data],$DD671,99),0)</f>
        <v/>
      </c>
      <c r="CX671">
        <f>IFERROR(INDEX(PP_Grid[#Data],$DD671,100),0)</f>
        <v/>
      </c>
      <c r="CY671">
        <f>IFERROR(INDEX(PP_Grid[#Data],$DD671,101),0)</f>
        <v/>
      </c>
      <c r="CZ671">
        <f>IFERROR(INDEX(PP_Grid[#Data],$DD671,102),0)</f>
        <v/>
      </c>
      <c r="DA671">
        <f>IFERROR(INDEX(PP_Grid[#Data],$DD671,103),0)</f>
        <v/>
      </c>
      <c r="DB671">
        <f>IFERROR(INDEX(PP_Grid[#Data],$DD671,104),0)</f>
        <v/>
      </c>
      <c r="DC671">
        <f>IFERROR(INDEX(PP_Grid[#Data],$DD671,105),0)</f>
        <v/>
      </c>
      <c r="DD671" s="7">
        <f>IFERROR(MATCH($B671,PP_Grid[Intermediate],0),99999)</f>
        <v/>
      </c>
    </row>
    <row r="672">
      <c r="B672" t="inlineStr">
        <is>
          <t>使用量(kg)</t>
        </is>
      </c>
      <c r="C672">
        <f>SUMIFS(M_BOM[RM_Qty_Per_Batch],M_BOM[Intermediate],$B671,M_BOM[Part Name],$A670)</f>
        <v/>
      </c>
      <c r="D672">
        <f>$C672*D671</f>
        <v/>
      </c>
      <c r="E672">
        <f>$C672*E671</f>
        <v/>
      </c>
      <c r="F672">
        <f>$C672*F671</f>
        <v/>
      </c>
      <c r="G672">
        <f>$C672*G671</f>
        <v/>
      </c>
      <c r="H672">
        <f>$C672*H671</f>
        <v/>
      </c>
      <c r="I672">
        <f>$C672*I671</f>
        <v/>
      </c>
      <c r="J672">
        <f>$C672*J671</f>
        <v/>
      </c>
      <c r="K672">
        <f>$C672*K671</f>
        <v/>
      </c>
      <c r="L672">
        <f>$C672*L671</f>
        <v/>
      </c>
      <c r="M672">
        <f>$C672*M671</f>
        <v/>
      </c>
      <c r="N672">
        <f>$C672*N671</f>
        <v/>
      </c>
      <c r="O672">
        <f>$C672*O671</f>
        <v/>
      </c>
      <c r="P672">
        <f>$C672*P671</f>
        <v/>
      </c>
      <c r="Q672">
        <f>$C672*Q671</f>
        <v/>
      </c>
      <c r="R672">
        <f>$C672*R671</f>
        <v/>
      </c>
      <c r="S672">
        <f>$C672*S671</f>
        <v/>
      </c>
      <c r="T672">
        <f>$C672*T671</f>
        <v/>
      </c>
      <c r="U672">
        <f>$C672*U671</f>
        <v/>
      </c>
      <c r="V672">
        <f>$C672*V671</f>
        <v/>
      </c>
      <c r="W672">
        <f>$C672*W671</f>
        <v/>
      </c>
      <c r="X672">
        <f>$C672*X671</f>
        <v/>
      </c>
      <c r="Y672">
        <f>$C672*Y671</f>
        <v/>
      </c>
      <c r="Z672">
        <f>$C672*Z671</f>
        <v/>
      </c>
      <c r="AA672">
        <f>$C672*AA671</f>
        <v/>
      </c>
      <c r="AB672">
        <f>$C672*AB671</f>
        <v/>
      </c>
      <c r="AC672">
        <f>$C672*AC671</f>
        <v/>
      </c>
      <c r="AD672">
        <f>$C672*AD671</f>
        <v/>
      </c>
      <c r="AE672">
        <f>$C672*AE671</f>
        <v/>
      </c>
      <c r="AF672">
        <f>$C672*AF671</f>
        <v/>
      </c>
      <c r="AG672">
        <f>$C672*AG671</f>
        <v/>
      </c>
      <c r="AH672">
        <f>$C672*AH671</f>
        <v/>
      </c>
      <c r="AI672">
        <f>$C672*AI671</f>
        <v/>
      </c>
      <c r="AJ672">
        <f>$C672*AJ671</f>
        <v/>
      </c>
      <c r="AK672">
        <f>$C672*AK671</f>
        <v/>
      </c>
      <c r="AL672">
        <f>$C672*AL671</f>
        <v/>
      </c>
      <c r="AM672">
        <f>$C672*AM671</f>
        <v/>
      </c>
      <c r="AN672">
        <f>$C672*AN671</f>
        <v/>
      </c>
      <c r="AO672">
        <f>$C672*AO671</f>
        <v/>
      </c>
      <c r="AP672">
        <f>$C672*AP671</f>
        <v/>
      </c>
      <c r="AQ672">
        <f>$C672*AQ671</f>
        <v/>
      </c>
      <c r="AR672">
        <f>$C672*AR671</f>
        <v/>
      </c>
      <c r="AS672">
        <f>$C672*AS671</f>
        <v/>
      </c>
      <c r="AT672">
        <f>$C672*AT671</f>
        <v/>
      </c>
      <c r="AU672">
        <f>$C672*AU671</f>
        <v/>
      </c>
      <c r="AV672">
        <f>$C672*AV671</f>
        <v/>
      </c>
      <c r="AW672">
        <f>$C672*AW671</f>
        <v/>
      </c>
      <c r="AX672">
        <f>$C672*AX671</f>
        <v/>
      </c>
      <c r="AY672">
        <f>$C672*AY671</f>
        <v/>
      </c>
      <c r="AZ672">
        <f>$C672*AZ671</f>
        <v/>
      </c>
      <c r="BA672">
        <f>$C672*BA671</f>
        <v/>
      </c>
      <c r="BB672">
        <f>$C672*BB671</f>
        <v/>
      </c>
      <c r="BC672">
        <f>$C672*BC671</f>
        <v/>
      </c>
      <c r="BD672">
        <f>$C672*BD671</f>
        <v/>
      </c>
      <c r="BE672">
        <f>$C672*BE671</f>
        <v/>
      </c>
      <c r="BF672">
        <f>$C672*BF671</f>
        <v/>
      </c>
      <c r="BG672">
        <f>$C672*BG671</f>
        <v/>
      </c>
      <c r="BH672">
        <f>$C672*BH671</f>
        <v/>
      </c>
      <c r="BI672">
        <f>$C672*BI671</f>
        <v/>
      </c>
      <c r="BJ672">
        <f>$C672*BJ671</f>
        <v/>
      </c>
      <c r="BK672">
        <f>$C672*BK671</f>
        <v/>
      </c>
      <c r="BL672">
        <f>$C672*BL671</f>
        <v/>
      </c>
      <c r="BM672">
        <f>$C672*BM671</f>
        <v/>
      </c>
      <c r="BN672">
        <f>$C672*BN671</f>
        <v/>
      </c>
      <c r="BO672">
        <f>$C672*BO671</f>
        <v/>
      </c>
      <c r="BP672">
        <f>$C672*BP671</f>
        <v/>
      </c>
      <c r="BQ672">
        <f>$C672*BQ671</f>
        <v/>
      </c>
      <c r="BR672">
        <f>$C672*BR671</f>
        <v/>
      </c>
      <c r="BS672">
        <f>$C672*BS671</f>
        <v/>
      </c>
      <c r="BT672">
        <f>$C672*BT671</f>
        <v/>
      </c>
      <c r="BU672">
        <f>$C672*BU671</f>
        <v/>
      </c>
      <c r="BV672">
        <f>$C672*BV671</f>
        <v/>
      </c>
      <c r="BW672">
        <f>$C672*BW671</f>
        <v/>
      </c>
      <c r="BX672">
        <f>$C672*BX671</f>
        <v/>
      </c>
      <c r="BY672">
        <f>$C672*BY671</f>
        <v/>
      </c>
      <c r="BZ672">
        <f>$C672*BZ671</f>
        <v/>
      </c>
      <c r="CA672">
        <f>$C672*CA671</f>
        <v/>
      </c>
      <c r="CB672">
        <f>$C672*CB671</f>
        <v/>
      </c>
      <c r="CC672">
        <f>$C672*CC671</f>
        <v/>
      </c>
      <c r="CD672">
        <f>$C672*CD671</f>
        <v/>
      </c>
      <c r="CE672">
        <f>$C672*CE671</f>
        <v/>
      </c>
      <c r="CF672">
        <f>$C672*CF671</f>
        <v/>
      </c>
      <c r="CG672">
        <f>$C672*CG671</f>
        <v/>
      </c>
      <c r="CH672">
        <f>$C672*CH671</f>
        <v/>
      </c>
      <c r="CI672">
        <f>$C672*CI671</f>
        <v/>
      </c>
      <c r="CJ672">
        <f>$C672*CJ671</f>
        <v/>
      </c>
      <c r="CK672">
        <f>$C672*CK671</f>
        <v/>
      </c>
      <c r="CL672">
        <f>$C672*CL671</f>
        <v/>
      </c>
      <c r="CM672">
        <f>$C672*CM671</f>
        <v/>
      </c>
      <c r="CN672">
        <f>$C672*CN671</f>
        <v/>
      </c>
      <c r="CO672">
        <f>$C672*CO671</f>
        <v/>
      </c>
      <c r="CP672">
        <f>$C672*CP671</f>
        <v/>
      </c>
      <c r="CQ672">
        <f>$C672*CQ671</f>
        <v/>
      </c>
      <c r="CR672">
        <f>$C672*CR671</f>
        <v/>
      </c>
      <c r="CS672">
        <f>$C672*CS671</f>
        <v/>
      </c>
      <c r="CT672">
        <f>$C672*CT671</f>
        <v/>
      </c>
      <c r="CU672">
        <f>$C672*CU671</f>
        <v/>
      </c>
      <c r="CV672">
        <f>$C672*CV671</f>
        <v/>
      </c>
      <c r="CW672">
        <f>$C672*CW671</f>
        <v/>
      </c>
      <c r="CX672">
        <f>$C672*CX671</f>
        <v/>
      </c>
      <c r="CY672">
        <f>$C672*CY671</f>
        <v/>
      </c>
      <c r="CZ672">
        <f>$C672*CZ671</f>
        <v/>
      </c>
      <c r="DA672">
        <f>$C672*DA671</f>
        <v/>
      </c>
      <c r="DB672">
        <f>$C672*DB671</f>
        <v/>
      </c>
      <c r="DC672">
        <f>$C672*DC671</f>
        <v/>
      </c>
    </row>
    <row r="673">
      <c r="B673" t="inlineStr">
        <is>
          <t>TSP-390</t>
        </is>
      </c>
      <c r="C673" t="inlineStr">
        <is>
          <t>No. of batches</t>
        </is>
      </c>
      <c r="D673">
        <f>IFERROR(INDEX(PP_Grid[#Data],$DD673,2),0)</f>
        <v/>
      </c>
      <c r="E673">
        <f>IFERROR(INDEX(PP_Grid[#Data],$DD673,3),0)</f>
        <v/>
      </c>
      <c r="F673">
        <f>IFERROR(INDEX(PP_Grid[#Data],$DD673,4),0)</f>
        <v/>
      </c>
      <c r="G673">
        <f>IFERROR(INDEX(PP_Grid[#Data],$DD673,5),0)</f>
        <v/>
      </c>
      <c r="H673">
        <f>IFERROR(INDEX(PP_Grid[#Data],$DD673,6),0)</f>
        <v/>
      </c>
      <c r="I673">
        <f>IFERROR(INDEX(PP_Grid[#Data],$DD673,7),0)</f>
        <v/>
      </c>
      <c r="J673">
        <f>IFERROR(INDEX(PP_Grid[#Data],$DD673,8),0)</f>
        <v/>
      </c>
      <c r="K673">
        <f>IFERROR(INDEX(PP_Grid[#Data],$DD673,9),0)</f>
        <v/>
      </c>
      <c r="L673">
        <f>IFERROR(INDEX(PP_Grid[#Data],$DD673,10),0)</f>
        <v/>
      </c>
      <c r="M673">
        <f>IFERROR(INDEX(PP_Grid[#Data],$DD673,11),0)</f>
        <v/>
      </c>
      <c r="N673">
        <f>IFERROR(INDEX(PP_Grid[#Data],$DD673,12),0)</f>
        <v/>
      </c>
      <c r="O673">
        <f>IFERROR(INDEX(PP_Grid[#Data],$DD673,13),0)</f>
        <v/>
      </c>
      <c r="P673">
        <f>IFERROR(INDEX(PP_Grid[#Data],$DD673,14),0)</f>
        <v/>
      </c>
      <c r="Q673">
        <f>IFERROR(INDEX(PP_Grid[#Data],$DD673,15),0)</f>
        <v/>
      </c>
      <c r="R673">
        <f>IFERROR(INDEX(PP_Grid[#Data],$DD673,16),0)</f>
        <v/>
      </c>
      <c r="S673">
        <f>IFERROR(INDEX(PP_Grid[#Data],$DD673,17),0)</f>
        <v/>
      </c>
      <c r="T673">
        <f>IFERROR(INDEX(PP_Grid[#Data],$DD673,18),0)</f>
        <v/>
      </c>
      <c r="U673">
        <f>IFERROR(INDEX(PP_Grid[#Data],$DD673,19),0)</f>
        <v/>
      </c>
      <c r="V673">
        <f>IFERROR(INDEX(PP_Grid[#Data],$DD673,20),0)</f>
        <v/>
      </c>
      <c r="W673">
        <f>IFERROR(INDEX(PP_Grid[#Data],$DD673,21),0)</f>
        <v/>
      </c>
      <c r="X673">
        <f>IFERROR(INDEX(PP_Grid[#Data],$DD673,22),0)</f>
        <v/>
      </c>
      <c r="Y673">
        <f>IFERROR(INDEX(PP_Grid[#Data],$DD673,23),0)</f>
        <v/>
      </c>
      <c r="Z673">
        <f>IFERROR(INDEX(PP_Grid[#Data],$DD673,24),0)</f>
        <v/>
      </c>
      <c r="AA673">
        <f>IFERROR(INDEX(PP_Grid[#Data],$DD673,25),0)</f>
        <v/>
      </c>
      <c r="AB673">
        <f>IFERROR(INDEX(PP_Grid[#Data],$DD673,26),0)</f>
        <v/>
      </c>
      <c r="AC673">
        <f>IFERROR(INDEX(PP_Grid[#Data],$DD673,27),0)</f>
        <v/>
      </c>
      <c r="AD673">
        <f>IFERROR(INDEX(PP_Grid[#Data],$DD673,28),0)</f>
        <v/>
      </c>
      <c r="AE673">
        <f>IFERROR(INDEX(PP_Grid[#Data],$DD673,29),0)</f>
        <v/>
      </c>
      <c r="AF673">
        <f>IFERROR(INDEX(PP_Grid[#Data],$DD673,30),0)</f>
        <v/>
      </c>
      <c r="AG673">
        <f>IFERROR(INDEX(PP_Grid[#Data],$DD673,31),0)</f>
        <v/>
      </c>
      <c r="AH673">
        <f>IFERROR(INDEX(PP_Grid[#Data],$DD673,32),0)</f>
        <v/>
      </c>
      <c r="AI673">
        <f>IFERROR(INDEX(PP_Grid[#Data],$DD673,33),0)</f>
        <v/>
      </c>
      <c r="AJ673">
        <f>IFERROR(INDEX(PP_Grid[#Data],$DD673,34),0)</f>
        <v/>
      </c>
      <c r="AK673">
        <f>IFERROR(INDEX(PP_Grid[#Data],$DD673,35),0)</f>
        <v/>
      </c>
      <c r="AL673">
        <f>IFERROR(INDEX(PP_Grid[#Data],$DD673,36),0)</f>
        <v/>
      </c>
      <c r="AM673">
        <f>IFERROR(INDEX(PP_Grid[#Data],$DD673,37),0)</f>
        <v/>
      </c>
      <c r="AN673">
        <f>IFERROR(INDEX(PP_Grid[#Data],$DD673,38),0)</f>
        <v/>
      </c>
      <c r="AO673">
        <f>IFERROR(INDEX(PP_Grid[#Data],$DD673,39),0)</f>
        <v/>
      </c>
      <c r="AP673">
        <f>IFERROR(INDEX(PP_Grid[#Data],$DD673,40),0)</f>
        <v/>
      </c>
      <c r="AQ673">
        <f>IFERROR(INDEX(PP_Grid[#Data],$DD673,41),0)</f>
        <v/>
      </c>
      <c r="AR673">
        <f>IFERROR(INDEX(PP_Grid[#Data],$DD673,42),0)</f>
        <v/>
      </c>
      <c r="AS673">
        <f>IFERROR(INDEX(PP_Grid[#Data],$DD673,43),0)</f>
        <v/>
      </c>
      <c r="AT673">
        <f>IFERROR(INDEX(PP_Grid[#Data],$DD673,44),0)</f>
        <v/>
      </c>
      <c r="AU673">
        <f>IFERROR(INDEX(PP_Grid[#Data],$DD673,45),0)</f>
        <v/>
      </c>
      <c r="AV673">
        <f>IFERROR(INDEX(PP_Grid[#Data],$DD673,46),0)</f>
        <v/>
      </c>
      <c r="AW673">
        <f>IFERROR(INDEX(PP_Grid[#Data],$DD673,47),0)</f>
        <v/>
      </c>
      <c r="AX673">
        <f>IFERROR(INDEX(PP_Grid[#Data],$DD673,48),0)</f>
        <v/>
      </c>
      <c r="AY673">
        <f>IFERROR(INDEX(PP_Grid[#Data],$DD673,49),0)</f>
        <v/>
      </c>
      <c r="AZ673">
        <f>IFERROR(INDEX(PP_Grid[#Data],$DD673,50),0)</f>
        <v/>
      </c>
      <c r="BA673">
        <f>IFERROR(INDEX(PP_Grid[#Data],$DD673,51),0)</f>
        <v/>
      </c>
      <c r="BB673">
        <f>IFERROR(INDEX(PP_Grid[#Data],$DD673,52),0)</f>
        <v/>
      </c>
      <c r="BC673">
        <f>IFERROR(INDEX(PP_Grid[#Data],$DD673,53),0)</f>
        <v/>
      </c>
      <c r="BD673">
        <f>IFERROR(INDEX(PP_Grid[#Data],$DD673,54),0)</f>
        <v/>
      </c>
      <c r="BE673">
        <f>IFERROR(INDEX(PP_Grid[#Data],$DD673,55),0)</f>
        <v/>
      </c>
      <c r="BF673">
        <f>IFERROR(INDEX(PP_Grid[#Data],$DD673,56),0)</f>
        <v/>
      </c>
      <c r="BG673">
        <f>IFERROR(INDEX(PP_Grid[#Data],$DD673,57),0)</f>
        <v/>
      </c>
      <c r="BH673">
        <f>IFERROR(INDEX(PP_Grid[#Data],$DD673,58),0)</f>
        <v/>
      </c>
      <c r="BI673">
        <f>IFERROR(INDEX(PP_Grid[#Data],$DD673,59),0)</f>
        <v/>
      </c>
      <c r="BJ673">
        <f>IFERROR(INDEX(PP_Grid[#Data],$DD673,60),0)</f>
        <v/>
      </c>
      <c r="BK673">
        <f>IFERROR(INDEX(PP_Grid[#Data],$DD673,61),0)</f>
        <v/>
      </c>
      <c r="BL673">
        <f>IFERROR(INDEX(PP_Grid[#Data],$DD673,62),0)</f>
        <v/>
      </c>
      <c r="BM673">
        <f>IFERROR(INDEX(PP_Grid[#Data],$DD673,63),0)</f>
        <v/>
      </c>
      <c r="BN673">
        <f>IFERROR(INDEX(PP_Grid[#Data],$DD673,64),0)</f>
        <v/>
      </c>
      <c r="BO673">
        <f>IFERROR(INDEX(PP_Grid[#Data],$DD673,65),0)</f>
        <v/>
      </c>
      <c r="BP673">
        <f>IFERROR(INDEX(PP_Grid[#Data],$DD673,66),0)</f>
        <v/>
      </c>
      <c r="BQ673">
        <f>IFERROR(INDEX(PP_Grid[#Data],$DD673,67),0)</f>
        <v/>
      </c>
      <c r="BR673">
        <f>IFERROR(INDEX(PP_Grid[#Data],$DD673,68),0)</f>
        <v/>
      </c>
      <c r="BS673">
        <f>IFERROR(INDEX(PP_Grid[#Data],$DD673,69),0)</f>
        <v/>
      </c>
      <c r="BT673">
        <f>IFERROR(INDEX(PP_Grid[#Data],$DD673,70),0)</f>
        <v/>
      </c>
      <c r="BU673">
        <f>IFERROR(INDEX(PP_Grid[#Data],$DD673,71),0)</f>
        <v/>
      </c>
      <c r="BV673">
        <f>IFERROR(INDEX(PP_Grid[#Data],$DD673,72),0)</f>
        <v/>
      </c>
      <c r="BW673">
        <f>IFERROR(INDEX(PP_Grid[#Data],$DD673,73),0)</f>
        <v/>
      </c>
      <c r="BX673">
        <f>IFERROR(INDEX(PP_Grid[#Data],$DD673,74),0)</f>
        <v/>
      </c>
      <c r="BY673">
        <f>IFERROR(INDEX(PP_Grid[#Data],$DD673,75),0)</f>
        <v/>
      </c>
      <c r="BZ673">
        <f>IFERROR(INDEX(PP_Grid[#Data],$DD673,76),0)</f>
        <v/>
      </c>
      <c r="CA673">
        <f>IFERROR(INDEX(PP_Grid[#Data],$DD673,77),0)</f>
        <v/>
      </c>
      <c r="CB673">
        <f>IFERROR(INDEX(PP_Grid[#Data],$DD673,78),0)</f>
        <v/>
      </c>
      <c r="CC673">
        <f>IFERROR(INDEX(PP_Grid[#Data],$DD673,79),0)</f>
        <v/>
      </c>
      <c r="CD673">
        <f>IFERROR(INDEX(PP_Grid[#Data],$DD673,80),0)</f>
        <v/>
      </c>
      <c r="CE673">
        <f>IFERROR(INDEX(PP_Grid[#Data],$DD673,81),0)</f>
        <v/>
      </c>
      <c r="CF673">
        <f>IFERROR(INDEX(PP_Grid[#Data],$DD673,82),0)</f>
        <v/>
      </c>
      <c r="CG673">
        <f>IFERROR(INDEX(PP_Grid[#Data],$DD673,83),0)</f>
        <v/>
      </c>
      <c r="CH673">
        <f>IFERROR(INDEX(PP_Grid[#Data],$DD673,84),0)</f>
        <v/>
      </c>
      <c r="CI673">
        <f>IFERROR(INDEX(PP_Grid[#Data],$DD673,85),0)</f>
        <v/>
      </c>
      <c r="CJ673">
        <f>IFERROR(INDEX(PP_Grid[#Data],$DD673,86),0)</f>
        <v/>
      </c>
      <c r="CK673">
        <f>IFERROR(INDEX(PP_Grid[#Data],$DD673,87),0)</f>
        <v/>
      </c>
      <c r="CL673">
        <f>IFERROR(INDEX(PP_Grid[#Data],$DD673,88),0)</f>
        <v/>
      </c>
      <c r="CM673">
        <f>IFERROR(INDEX(PP_Grid[#Data],$DD673,89),0)</f>
        <v/>
      </c>
      <c r="CN673">
        <f>IFERROR(INDEX(PP_Grid[#Data],$DD673,90),0)</f>
        <v/>
      </c>
      <c r="CO673">
        <f>IFERROR(INDEX(PP_Grid[#Data],$DD673,91),0)</f>
        <v/>
      </c>
      <c r="CP673">
        <f>IFERROR(INDEX(PP_Grid[#Data],$DD673,92),0)</f>
        <v/>
      </c>
      <c r="CQ673">
        <f>IFERROR(INDEX(PP_Grid[#Data],$DD673,93),0)</f>
        <v/>
      </c>
      <c r="CR673">
        <f>IFERROR(INDEX(PP_Grid[#Data],$DD673,94),0)</f>
        <v/>
      </c>
      <c r="CS673">
        <f>IFERROR(INDEX(PP_Grid[#Data],$DD673,95),0)</f>
        <v/>
      </c>
      <c r="CT673">
        <f>IFERROR(INDEX(PP_Grid[#Data],$DD673,96),0)</f>
        <v/>
      </c>
      <c r="CU673">
        <f>IFERROR(INDEX(PP_Grid[#Data],$DD673,97),0)</f>
        <v/>
      </c>
      <c r="CV673">
        <f>IFERROR(INDEX(PP_Grid[#Data],$DD673,98),0)</f>
        <v/>
      </c>
      <c r="CW673">
        <f>IFERROR(INDEX(PP_Grid[#Data],$DD673,99),0)</f>
        <v/>
      </c>
      <c r="CX673">
        <f>IFERROR(INDEX(PP_Grid[#Data],$DD673,100),0)</f>
        <v/>
      </c>
      <c r="CY673">
        <f>IFERROR(INDEX(PP_Grid[#Data],$DD673,101),0)</f>
        <v/>
      </c>
      <c r="CZ673">
        <f>IFERROR(INDEX(PP_Grid[#Data],$DD673,102),0)</f>
        <v/>
      </c>
      <c r="DA673">
        <f>IFERROR(INDEX(PP_Grid[#Data],$DD673,103),0)</f>
        <v/>
      </c>
      <c r="DB673">
        <f>IFERROR(INDEX(PP_Grid[#Data],$DD673,104),0)</f>
        <v/>
      </c>
      <c r="DC673">
        <f>IFERROR(INDEX(PP_Grid[#Data],$DD673,105),0)</f>
        <v/>
      </c>
      <c r="DD673" s="7">
        <f>IFERROR(MATCH($B673,PP_Grid[Intermediate],0),99999)</f>
        <v/>
      </c>
    </row>
    <row r="674">
      <c r="B674" t="inlineStr">
        <is>
          <t>使用量(kg)</t>
        </is>
      </c>
      <c r="C674">
        <f>SUMIFS(M_BOM[RM_Qty_Per_Batch],M_BOM[Intermediate],$B673,M_BOM[Part Name],$A670)</f>
        <v/>
      </c>
      <c r="D674">
        <f>$C674*D673</f>
        <v/>
      </c>
      <c r="E674">
        <f>$C674*E673</f>
        <v/>
      </c>
      <c r="F674">
        <f>$C674*F673</f>
        <v/>
      </c>
      <c r="G674">
        <f>$C674*G673</f>
        <v/>
      </c>
      <c r="H674">
        <f>$C674*H673</f>
        <v/>
      </c>
      <c r="I674">
        <f>$C674*I673</f>
        <v/>
      </c>
      <c r="J674">
        <f>$C674*J673</f>
        <v/>
      </c>
      <c r="K674">
        <f>$C674*K673</f>
        <v/>
      </c>
      <c r="L674">
        <f>$C674*L673</f>
        <v/>
      </c>
      <c r="M674">
        <f>$C674*M673</f>
        <v/>
      </c>
      <c r="N674">
        <f>$C674*N673</f>
        <v/>
      </c>
      <c r="O674">
        <f>$C674*O673</f>
        <v/>
      </c>
      <c r="P674">
        <f>$C674*P673</f>
        <v/>
      </c>
      <c r="Q674">
        <f>$C674*Q673</f>
        <v/>
      </c>
      <c r="R674">
        <f>$C674*R673</f>
        <v/>
      </c>
      <c r="S674">
        <f>$C674*S673</f>
        <v/>
      </c>
      <c r="T674">
        <f>$C674*T673</f>
        <v/>
      </c>
      <c r="U674">
        <f>$C674*U673</f>
        <v/>
      </c>
      <c r="V674">
        <f>$C674*V673</f>
        <v/>
      </c>
      <c r="W674">
        <f>$C674*W673</f>
        <v/>
      </c>
      <c r="X674">
        <f>$C674*X673</f>
        <v/>
      </c>
      <c r="Y674">
        <f>$C674*Y673</f>
        <v/>
      </c>
      <c r="Z674">
        <f>$C674*Z673</f>
        <v/>
      </c>
      <c r="AA674">
        <f>$C674*AA673</f>
        <v/>
      </c>
      <c r="AB674">
        <f>$C674*AB673</f>
        <v/>
      </c>
      <c r="AC674">
        <f>$C674*AC673</f>
        <v/>
      </c>
      <c r="AD674">
        <f>$C674*AD673</f>
        <v/>
      </c>
      <c r="AE674">
        <f>$C674*AE673</f>
        <v/>
      </c>
      <c r="AF674">
        <f>$C674*AF673</f>
        <v/>
      </c>
      <c r="AG674">
        <f>$C674*AG673</f>
        <v/>
      </c>
      <c r="AH674">
        <f>$C674*AH673</f>
        <v/>
      </c>
      <c r="AI674">
        <f>$C674*AI673</f>
        <v/>
      </c>
      <c r="AJ674">
        <f>$C674*AJ673</f>
        <v/>
      </c>
      <c r="AK674">
        <f>$C674*AK673</f>
        <v/>
      </c>
      <c r="AL674">
        <f>$C674*AL673</f>
        <v/>
      </c>
      <c r="AM674">
        <f>$C674*AM673</f>
        <v/>
      </c>
      <c r="AN674">
        <f>$C674*AN673</f>
        <v/>
      </c>
      <c r="AO674">
        <f>$C674*AO673</f>
        <v/>
      </c>
      <c r="AP674">
        <f>$C674*AP673</f>
        <v/>
      </c>
      <c r="AQ674">
        <f>$C674*AQ673</f>
        <v/>
      </c>
      <c r="AR674">
        <f>$C674*AR673</f>
        <v/>
      </c>
      <c r="AS674">
        <f>$C674*AS673</f>
        <v/>
      </c>
      <c r="AT674">
        <f>$C674*AT673</f>
        <v/>
      </c>
      <c r="AU674">
        <f>$C674*AU673</f>
        <v/>
      </c>
      <c r="AV674">
        <f>$C674*AV673</f>
        <v/>
      </c>
      <c r="AW674">
        <f>$C674*AW673</f>
        <v/>
      </c>
      <c r="AX674">
        <f>$C674*AX673</f>
        <v/>
      </c>
      <c r="AY674">
        <f>$C674*AY673</f>
        <v/>
      </c>
      <c r="AZ674">
        <f>$C674*AZ673</f>
        <v/>
      </c>
      <c r="BA674">
        <f>$C674*BA673</f>
        <v/>
      </c>
      <c r="BB674">
        <f>$C674*BB673</f>
        <v/>
      </c>
      <c r="BC674">
        <f>$C674*BC673</f>
        <v/>
      </c>
      <c r="BD674">
        <f>$C674*BD673</f>
        <v/>
      </c>
      <c r="BE674">
        <f>$C674*BE673</f>
        <v/>
      </c>
      <c r="BF674">
        <f>$C674*BF673</f>
        <v/>
      </c>
      <c r="BG674">
        <f>$C674*BG673</f>
        <v/>
      </c>
      <c r="BH674">
        <f>$C674*BH673</f>
        <v/>
      </c>
      <c r="BI674">
        <f>$C674*BI673</f>
        <v/>
      </c>
      <c r="BJ674">
        <f>$C674*BJ673</f>
        <v/>
      </c>
      <c r="BK674">
        <f>$C674*BK673</f>
        <v/>
      </c>
      <c r="BL674">
        <f>$C674*BL673</f>
        <v/>
      </c>
      <c r="BM674">
        <f>$C674*BM673</f>
        <v/>
      </c>
      <c r="BN674">
        <f>$C674*BN673</f>
        <v/>
      </c>
      <c r="BO674">
        <f>$C674*BO673</f>
        <v/>
      </c>
      <c r="BP674">
        <f>$C674*BP673</f>
        <v/>
      </c>
      <c r="BQ674">
        <f>$C674*BQ673</f>
        <v/>
      </c>
      <c r="BR674">
        <f>$C674*BR673</f>
        <v/>
      </c>
      <c r="BS674">
        <f>$C674*BS673</f>
        <v/>
      </c>
      <c r="BT674">
        <f>$C674*BT673</f>
        <v/>
      </c>
      <c r="BU674">
        <f>$C674*BU673</f>
        <v/>
      </c>
      <c r="BV674">
        <f>$C674*BV673</f>
        <v/>
      </c>
      <c r="BW674">
        <f>$C674*BW673</f>
        <v/>
      </c>
      <c r="BX674">
        <f>$C674*BX673</f>
        <v/>
      </c>
      <c r="BY674">
        <f>$C674*BY673</f>
        <v/>
      </c>
      <c r="BZ674">
        <f>$C674*BZ673</f>
        <v/>
      </c>
      <c r="CA674">
        <f>$C674*CA673</f>
        <v/>
      </c>
      <c r="CB674">
        <f>$C674*CB673</f>
        <v/>
      </c>
      <c r="CC674">
        <f>$C674*CC673</f>
        <v/>
      </c>
      <c r="CD674">
        <f>$C674*CD673</f>
        <v/>
      </c>
      <c r="CE674">
        <f>$C674*CE673</f>
        <v/>
      </c>
      <c r="CF674">
        <f>$C674*CF673</f>
        <v/>
      </c>
      <c r="CG674">
        <f>$C674*CG673</f>
        <v/>
      </c>
      <c r="CH674">
        <f>$C674*CH673</f>
        <v/>
      </c>
      <c r="CI674">
        <f>$C674*CI673</f>
        <v/>
      </c>
      <c r="CJ674">
        <f>$C674*CJ673</f>
        <v/>
      </c>
      <c r="CK674">
        <f>$C674*CK673</f>
        <v/>
      </c>
      <c r="CL674">
        <f>$C674*CL673</f>
        <v/>
      </c>
      <c r="CM674">
        <f>$C674*CM673</f>
        <v/>
      </c>
      <c r="CN674">
        <f>$C674*CN673</f>
        <v/>
      </c>
      <c r="CO674">
        <f>$C674*CO673</f>
        <v/>
      </c>
      <c r="CP674">
        <f>$C674*CP673</f>
        <v/>
      </c>
      <c r="CQ674">
        <f>$C674*CQ673</f>
        <v/>
      </c>
      <c r="CR674">
        <f>$C674*CR673</f>
        <v/>
      </c>
      <c r="CS674">
        <f>$C674*CS673</f>
        <v/>
      </c>
      <c r="CT674">
        <f>$C674*CT673</f>
        <v/>
      </c>
      <c r="CU674">
        <f>$C674*CU673</f>
        <v/>
      </c>
      <c r="CV674">
        <f>$C674*CV673</f>
        <v/>
      </c>
      <c r="CW674">
        <f>$C674*CW673</f>
        <v/>
      </c>
      <c r="CX674">
        <f>$C674*CX673</f>
        <v/>
      </c>
      <c r="CY674">
        <f>$C674*CY673</f>
        <v/>
      </c>
      <c r="CZ674">
        <f>$C674*CZ673</f>
        <v/>
      </c>
      <c r="DA674">
        <f>$C674*DA673</f>
        <v/>
      </c>
      <c r="DB674">
        <f>$C674*DB673</f>
        <v/>
      </c>
      <c r="DC674">
        <f>$C674*DC673</f>
        <v/>
      </c>
    </row>
    <row r="675">
      <c r="B675" t="inlineStr">
        <is>
          <t>TSP-399</t>
        </is>
      </c>
      <c r="C675" t="inlineStr">
        <is>
          <t>No. of batches</t>
        </is>
      </c>
      <c r="D675">
        <f>IFERROR(INDEX(PP_Grid[#Data],$DD675,2),0)</f>
        <v/>
      </c>
      <c r="E675">
        <f>IFERROR(INDEX(PP_Grid[#Data],$DD675,3),0)</f>
        <v/>
      </c>
      <c r="F675">
        <f>IFERROR(INDEX(PP_Grid[#Data],$DD675,4),0)</f>
        <v/>
      </c>
      <c r="G675">
        <f>IFERROR(INDEX(PP_Grid[#Data],$DD675,5),0)</f>
        <v/>
      </c>
      <c r="H675">
        <f>IFERROR(INDEX(PP_Grid[#Data],$DD675,6),0)</f>
        <v/>
      </c>
      <c r="I675">
        <f>IFERROR(INDEX(PP_Grid[#Data],$DD675,7),0)</f>
        <v/>
      </c>
      <c r="J675">
        <f>IFERROR(INDEX(PP_Grid[#Data],$DD675,8),0)</f>
        <v/>
      </c>
      <c r="K675">
        <f>IFERROR(INDEX(PP_Grid[#Data],$DD675,9),0)</f>
        <v/>
      </c>
      <c r="L675">
        <f>IFERROR(INDEX(PP_Grid[#Data],$DD675,10),0)</f>
        <v/>
      </c>
      <c r="M675">
        <f>IFERROR(INDEX(PP_Grid[#Data],$DD675,11),0)</f>
        <v/>
      </c>
      <c r="N675">
        <f>IFERROR(INDEX(PP_Grid[#Data],$DD675,12),0)</f>
        <v/>
      </c>
      <c r="O675">
        <f>IFERROR(INDEX(PP_Grid[#Data],$DD675,13),0)</f>
        <v/>
      </c>
      <c r="P675">
        <f>IFERROR(INDEX(PP_Grid[#Data],$DD675,14),0)</f>
        <v/>
      </c>
      <c r="Q675">
        <f>IFERROR(INDEX(PP_Grid[#Data],$DD675,15),0)</f>
        <v/>
      </c>
      <c r="R675">
        <f>IFERROR(INDEX(PP_Grid[#Data],$DD675,16),0)</f>
        <v/>
      </c>
      <c r="S675">
        <f>IFERROR(INDEX(PP_Grid[#Data],$DD675,17),0)</f>
        <v/>
      </c>
      <c r="T675">
        <f>IFERROR(INDEX(PP_Grid[#Data],$DD675,18),0)</f>
        <v/>
      </c>
      <c r="U675">
        <f>IFERROR(INDEX(PP_Grid[#Data],$DD675,19),0)</f>
        <v/>
      </c>
      <c r="V675">
        <f>IFERROR(INDEX(PP_Grid[#Data],$DD675,20),0)</f>
        <v/>
      </c>
      <c r="W675">
        <f>IFERROR(INDEX(PP_Grid[#Data],$DD675,21),0)</f>
        <v/>
      </c>
      <c r="X675">
        <f>IFERROR(INDEX(PP_Grid[#Data],$DD675,22),0)</f>
        <v/>
      </c>
      <c r="Y675">
        <f>IFERROR(INDEX(PP_Grid[#Data],$DD675,23),0)</f>
        <v/>
      </c>
      <c r="Z675">
        <f>IFERROR(INDEX(PP_Grid[#Data],$DD675,24),0)</f>
        <v/>
      </c>
      <c r="AA675">
        <f>IFERROR(INDEX(PP_Grid[#Data],$DD675,25),0)</f>
        <v/>
      </c>
      <c r="AB675">
        <f>IFERROR(INDEX(PP_Grid[#Data],$DD675,26),0)</f>
        <v/>
      </c>
      <c r="AC675">
        <f>IFERROR(INDEX(PP_Grid[#Data],$DD675,27),0)</f>
        <v/>
      </c>
      <c r="AD675">
        <f>IFERROR(INDEX(PP_Grid[#Data],$DD675,28),0)</f>
        <v/>
      </c>
      <c r="AE675">
        <f>IFERROR(INDEX(PP_Grid[#Data],$DD675,29),0)</f>
        <v/>
      </c>
      <c r="AF675">
        <f>IFERROR(INDEX(PP_Grid[#Data],$DD675,30),0)</f>
        <v/>
      </c>
      <c r="AG675">
        <f>IFERROR(INDEX(PP_Grid[#Data],$DD675,31),0)</f>
        <v/>
      </c>
      <c r="AH675">
        <f>IFERROR(INDEX(PP_Grid[#Data],$DD675,32),0)</f>
        <v/>
      </c>
      <c r="AI675">
        <f>IFERROR(INDEX(PP_Grid[#Data],$DD675,33),0)</f>
        <v/>
      </c>
      <c r="AJ675">
        <f>IFERROR(INDEX(PP_Grid[#Data],$DD675,34),0)</f>
        <v/>
      </c>
      <c r="AK675">
        <f>IFERROR(INDEX(PP_Grid[#Data],$DD675,35),0)</f>
        <v/>
      </c>
      <c r="AL675">
        <f>IFERROR(INDEX(PP_Grid[#Data],$DD675,36),0)</f>
        <v/>
      </c>
      <c r="AM675">
        <f>IFERROR(INDEX(PP_Grid[#Data],$DD675,37),0)</f>
        <v/>
      </c>
      <c r="AN675">
        <f>IFERROR(INDEX(PP_Grid[#Data],$DD675,38),0)</f>
        <v/>
      </c>
      <c r="AO675">
        <f>IFERROR(INDEX(PP_Grid[#Data],$DD675,39),0)</f>
        <v/>
      </c>
      <c r="AP675">
        <f>IFERROR(INDEX(PP_Grid[#Data],$DD675,40),0)</f>
        <v/>
      </c>
      <c r="AQ675">
        <f>IFERROR(INDEX(PP_Grid[#Data],$DD675,41),0)</f>
        <v/>
      </c>
      <c r="AR675">
        <f>IFERROR(INDEX(PP_Grid[#Data],$DD675,42),0)</f>
        <v/>
      </c>
      <c r="AS675">
        <f>IFERROR(INDEX(PP_Grid[#Data],$DD675,43),0)</f>
        <v/>
      </c>
      <c r="AT675">
        <f>IFERROR(INDEX(PP_Grid[#Data],$DD675,44),0)</f>
        <v/>
      </c>
      <c r="AU675">
        <f>IFERROR(INDEX(PP_Grid[#Data],$DD675,45),0)</f>
        <v/>
      </c>
      <c r="AV675">
        <f>IFERROR(INDEX(PP_Grid[#Data],$DD675,46),0)</f>
        <v/>
      </c>
      <c r="AW675">
        <f>IFERROR(INDEX(PP_Grid[#Data],$DD675,47),0)</f>
        <v/>
      </c>
      <c r="AX675">
        <f>IFERROR(INDEX(PP_Grid[#Data],$DD675,48),0)</f>
        <v/>
      </c>
      <c r="AY675">
        <f>IFERROR(INDEX(PP_Grid[#Data],$DD675,49),0)</f>
        <v/>
      </c>
      <c r="AZ675">
        <f>IFERROR(INDEX(PP_Grid[#Data],$DD675,50),0)</f>
        <v/>
      </c>
      <c r="BA675">
        <f>IFERROR(INDEX(PP_Grid[#Data],$DD675,51),0)</f>
        <v/>
      </c>
      <c r="BB675">
        <f>IFERROR(INDEX(PP_Grid[#Data],$DD675,52),0)</f>
        <v/>
      </c>
      <c r="BC675">
        <f>IFERROR(INDEX(PP_Grid[#Data],$DD675,53),0)</f>
        <v/>
      </c>
      <c r="BD675">
        <f>IFERROR(INDEX(PP_Grid[#Data],$DD675,54),0)</f>
        <v/>
      </c>
      <c r="BE675">
        <f>IFERROR(INDEX(PP_Grid[#Data],$DD675,55),0)</f>
        <v/>
      </c>
      <c r="BF675">
        <f>IFERROR(INDEX(PP_Grid[#Data],$DD675,56),0)</f>
        <v/>
      </c>
      <c r="BG675">
        <f>IFERROR(INDEX(PP_Grid[#Data],$DD675,57),0)</f>
        <v/>
      </c>
      <c r="BH675">
        <f>IFERROR(INDEX(PP_Grid[#Data],$DD675,58),0)</f>
        <v/>
      </c>
      <c r="BI675">
        <f>IFERROR(INDEX(PP_Grid[#Data],$DD675,59),0)</f>
        <v/>
      </c>
      <c r="BJ675">
        <f>IFERROR(INDEX(PP_Grid[#Data],$DD675,60),0)</f>
        <v/>
      </c>
      <c r="BK675">
        <f>IFERROR(INDEX(PP_Grid[#Data],$DD675,61),0)</f>
        <v/>
      </c>
      <c r="BL675">
        <f>IFERROR(INDEX(PP_Grid[#Data],$DD675,62),0)</f>
        <v/>
      </c>
      <c r="BM675">
        <f>IFERROR(INDEX(PP_Grid[#Data],$DD675,63),0)</f>
        <v/>
      </c>
      <c r="BN675">
        <f>IFERROR(INDEX(PP_Grid[#Data],$DD675,64),0)</f>
        <v/>
      </c>
      <c r="BO675">
        <f>IFERROR(INDEX(PP_Grid[#Data],$DD675,65),0)</f>
        <v/>
      </c>
      <c r="BP675">
        <f>IFERROR(INDEX(PP_Grid[#Data],$DD675,66),0)</f>
        <v/>
      </c>
      <c r="BQ675">
        <f>IFERROR(INDEX(PP_Grid[#Data],$DD675,67),0)</f>
        <v/>
      </c>
      <c r="BR675">
        <f>IFERROR(INDEX(PP_Grid[#Data],$DD675,68),0)</f>
        <v/>
      </c>
      <c r="BS675">
        <f>IFERROR(INDEX(PP_Grid[#Data],$DD675,69),0)</f>
        <v/>
      </c>
      <c r="BT675">
        <f>IFERROR(INDEX(PP_Grid[#Data],$DD675,70),0)</f>
        <v/>
      </c>
      <c r="BU675">
        <f>IFERROR(INDEX(PP_Grid[#Data],$DD675,71),0)</f>
        <v/>
      </c>
      <c r="BV675">
        <f>IFERROR(INDEX(PP_Grid[#Data],$DD675,72),0)</f>
        <v/>
      </c>
      <c r="BW675">
        <f>IFERROR(INDEX(PP_Grid[#Data],$DD675,73),0)</f>
        <v/>
      </c>
      <c r="BX675">
        <f>IFERROR(INDEX(PP_Grid[#Data],$DD675,74),0)</f>
        <v/>
      </c>
      <c r="BY675">
        <f>IFERROR(INDEX(PP_Grid[#Data],$DD675,75),0)</f>
        <v/>
      </c>
      <c r="BZ675">
        <f>IFERROR(INDEX(PP_Grid[#Data],$DD675,76),0)</f>
        <v/>
      </c>
      <c r="CA675">
        <f>IFERROR(INDEX(PP_Grid[#Data],$DD675,77),0)</f>
        <v/>
      </c>
      <c r="CB675">
        <f>IFERROR(INDEX(PP_Grid[#Data],$DD675,78),0)</f>
        <v/>
      </c>
      <c r="CC675">
        <f>IFERROR(INDEX(PP_Grid[#Data],$DD675,79),0)</f>
        <v/>
      </c>
      <c r="CD675">
        <f>IFERROR(INDEX(PP_Grid[#Data],$DD675,80),0)</f>
        <v/>
      </c>
      <c r="CE675">
        <f>IFERROR(INDEX(PP_Grid[#Data],$DD675,81),0)</f>
        <v/>
      </c>
      <c r="CF675">
        <f>IFERROR(INDEX(PP_Grid[#Data],$DD675,82),0)</f>
        <v/>
      </c>
      <c r="CG675">
        <f>IFERROR(INDEX(PP_Grid[#Data],$DD675,83),0)</f>
        <v/>
      </c>
      <c r="CH675">
        <f>IFERROR(INDEX(PP_Grid[#Data],$DD675,84),0)</f>
        <v/>
      </c>
      <c r="CI675">
        <f>IFERROR(INDEX(PP_Grid[#Data],$DD675,85),0)</f>
        <v/>
      </c>
      <c r="CJ675">
        <f>IFERROR(INDEX(PP_Grid[#Data],$DD675,86),0)</f>
        <v/>
      </c>
      <c r="CK675">
        <f>IFERROR(INDEX(PP_Grid[#Data],$DD675,87),0)</f>
        <v/>
      </c>
      <c r="CL675">
        <f>IFERROR(INDEX(PP_Grid[#Data],$DD675,88),0)</f>
        <v/>
      </c>
      <c r="CM675">
        <f>IFERROR(INDEX(PP_Grid[#Data],$DD675,89),0)</f>
        <v/>
      </c>
      <c r="CN675">
        <f>IFERROR(INDEX(PP_Grid[#Data],$DD675,90),0)</f>
        <v/>
      </c>
      <c r="CO675">
        <f>IFERROR(INDEX(PP_Grid[#Data],$DD675,91),0)</f>
        <v/>
      </c>
      <c r="CP675">
        <f>IFERROR(INDEX(PP_Grid[#Data],$DD675,92),0)</f>
        <v/>
      </c>
      <c r="CQ675">
        <f>IFERROR(INDEX(PP_Grid[#Data],$DD675,93),0)</f>
        <v/>
      </c>
      <c r="CR675">
        <f>IFERROR(INDEX(PP_Grid[#Data],$DD675,94),0)</f>
        <v/>
      </c>
      <c r="CS675">
        <f>IFERROR(INDEX(PP_Grid[#Data],$DD675,95),0)</f>
        <v/>
      </c>
      <c r="CT675">
        <f>IFERROR(INDEX(PP_Grid[#Data],$DD675,96),0)</f>
        <v/>
      </c>
      <c r="CU675">
        <f>IFERROR(INDEX(PP_Grid[#Data],$DD675,97),0)</f>
        <v/>
      </c>
      <c r="CV675">
        <f>IFERROR(INDEX(PP_Grid[#Data],$DD675,98),0)</f>
        <v/>
      </c>
      <c r="CW675">
        <f>IFERROR(INDEX(PP_Grid[#Data],$DD675,99),0)</f>
        <v/>
      </c>
      <c r="CX675">
        <f>IFERROR(INDEX(PP_Grid[#Data],$DD675,100),0)</f>
        <v/>
      </c>
      <c r="CY675">
        <f>IFERROR(INDEX(PP_Grid[#Data],$DD675,101),0)</f>
        <v/>
      </c>
      <c r="CZ675">
        <f>IFERROR(INDEX(PP_Grid[#Data],$DD675,102),0)</f>
        <v/>
      </c>
      <c r="DA675">
        <f>IFERROR(INDEX(PP_Grid[#Data],$DD675,103),0)</f>
        <v/>
      </c>
      <c r="DB675">
        <f>IFERROR(INDEX(PP_Grid[#Data],$DD675,104),0)</f>
        <v/>
      </c>
      <c r="DC675">
        <f>IFERROR(INDEX(PP_Grid[#Data],$DD675,105),0)</f>
        <v/>
      </c>
      <c r="DD675" s="7">
        <f>IFERROR(MATCH($B675,PP_Grid[Intermediate],0),99999)</f>
        <v/>
      </c>
    </row>
    <row r="676">
      <c r="B676" t="inlineStr">
        <is>
          <t>使用量(kg)</t>
        </is>
      </c>
      <c r="C676">
        <f>SUMIFS(M_BOM[RM_Qty_Per_Batch],M_BOM[Intermediate],$B675,M_BOM[Part Name],$A670)</f>
        <v/>
      </c>
      <c r="D676">
        <f>$C676*D675</f>
        <v/>
      </c>
      <c r="E676">
        <f>$C676*E675</f>
        <v/>
      </c>
      <c r="F676">
        <f>$C676*F675</f>
        <v/>
      </c>
      <c r="G676">
        <f>$C676*G675</f>
        <v/>
      </c>
      <c r="H676">
        <f>$C676*H675</f>
        <v/>
      </c>
      <c r="I676">
        <f>$C676*I675</f>
        <v/>
      </c>
      <c r="J676">
        <f>$C676*J675</f>
        <v/>
      </c>
      <c r="K676">
        <f>$C676*K675</f>
        <v/>
      </c>
      <c r="L676">
        <f>$C676*L675</f>
        <v/>
      </c>
      <c r="M676">
        <f>$C676*M675</f>
        <v/>
      </c>
      <c r="N676">
        <f>$C676*N675</f>
        <v/>
      </c>
      <c r="O676">
        <f>$C676*O675</f>
        <v/>
      </c>
      <c r="P676">
        <f>$C676*P675</f>
        <v/>
      </c>
      <c r="Q676">
        <f>$C676*Q675</f>
        <v/>
      </c>
      <c r="R676">
        <f>$C676*R675</f>
        <v/>
      </c>
      <c r="S676">
        <f>$C676*S675</f>
        <v/>
      </c>
      <c r="T676">
        <f>$C676*T675</f>
        <v/>
      </c>
      <c r="U676">
        <f>$C676*U675</f>
        <v/>
      </c>
      <c r="V676">
        <f>$C676*V675</f>
        <v/>
      </c>
      <c r="W676">
        <f>$C676*W675</f>
        <v/>
      </c>
      <c r="X676">
        <f>$C676*X675</f>
        <v/>
      </c>
      <c r="Y676">
        <f>$C676*Y675</f>
        <v/>
      </c>
      <c r="Z676">
        <f>$C676*Z675</f>
        <v/>
      </c>
      <c r="AA676">
        <f>$C676*AA675</f>
        <v/>
      </c>
      <c r="AB676">
        <f>$C676*AB675</f>
        <v/>
      </c>
      <c r="AC676">
        <f>$C676*AC675</f>
        <v/>
      </c>
      <c r="AD676">
        <f>$C676*AD675</f>
        <v/>
      </c>
      <c r="AE676">
        <f>$C676*AE675</f>
        <v/>
      </c>
      <c r="AF676">
        <f>$C676*AF675</f>
        <v/>
      </c>
      <c r="AG676">
        <f>$C676*AG675</f>
        <v/>
      </c>
      <c r="AH676">
        <f>$C676*AH675</f>
        <v/>
      </c>
      <c r="AI676">
        <f>$C676*AI675</f>
        <v/>
      </c>
      <c r="AJ676">
        <f>$C676*AJ675</f>
        <v/>
      </c>
      <c r="AK676">
        <f>$C676*AK675</f>
        <v/>
      </c>
      <c r="AL676">
        <f>$C676*AL675</f>
        <v/>
      </c>
      <c r="AM676">
        <f>$C676*AM675</f>
        <v/>
      </c>
      <c r="AN676">
        <f>$C676*AN675</f>
        <v/>
      </c>
      <c r="AO676">
        <f>$C676*AO675</f>
        <v/>
      </c>
      <c r="AP676">
        <f>$C676*AP675</f>
        <v/>
      </c>
      <c r="AQ676">
        <f>$C676*AQ675</f>
        <v/>
      </c>
      <c r="AR676">
        <f>$C676*AR675</f>
        <v/>
      </c>
      <c r="AS676">
        <f>$C676*AS675</f>
        <v/>
      </c>
      <c r="AT676">
        <f>$C676*AT675</f>
        <v/>
      </c>
      <c r="AU676">
        <f>$C676*AU675</f>
        <v/>
      </c>
      <c r="AV676">
        <f>$C676*AV675</f>
        <v/>
      </c>
      <c r="AW676">
        <f>$C676*AW675</f>
        <v/>
      </c>
      <c r="AX676">
        <f>$C676*AX675</f>
        <v/>
      </c>
      <c r="AY676">
        <f>$C676*AY675</f>
        <v/>
      </c>
      <c r="AZ676">
        <f>$C676*AZ675</f>
        <v/>
      </c>
      <c r="BA676">
        <f>$C676*BA675</f>
        <v/>
      </c>
      <c r="BB676">
        <f>$C676*BB675</f>
        <v/>
      </c>
      <c r="BC676">
        <f>$C676*BC675</f>
        <v/>
      </c>
      <c r="BD676">
        <f>$C676*BD675</f>
        <v/>
      </c>
      <c r="BE676">
        <f>$C676*BE675</f>
        <v/>
      </c>
      <c r="BF676">
        <f>$C676*BF675</f>
        <v/>
      </c>
      <c r="BG676">
        <f>$C676*BG675</f>
        <v/>
      </c>
      <c r="BH676">
        <f>$C676*BH675</f>
        <v/>
      </c>
      <c r="BI676">
        <f>$C676*BI675</f>
        <v/>
      </c>
      <c r="BJ676">
        <f>$C676*BJ675</f>
        <v/>
      </c>
      <c r="BK676">
        <f>$C676*BK675</f>
        <v/>
      </c>
      <c r="BL676">
        <f>$C676*BL675</f>
        <v/>
      </c>
      <c r="BM676">
        <f>$C676*BM675</f>
        <v/>
      </c>
      <c r="BN676">
        <f>$C676*BN675</f>
        <v/>
      </c>
      <c r="BO676">
        <f>$C676*BO675</f>
        <v/>
      </c>
      <c r="BP676">
        <f>$C676*BP675</f>
        <v/>
      </c>
      <c r="BQ676">
        <f>$C676*BQ675</f>
        <v/>
      </c>
      <c r="BR676">
        <f>$C676*BR675</f>
        <v/>
      </c>
      <c r="BS676">
        <f>$C676*BS675</f>
        <v/>
      </c>
      <c r="BT676">
        <f>$C676*BT675</f>
        <v/>
      </c>
      <c r="BU676">
        <f>$C676*BU675</f>
        <v/>
      </c>
      <c r="BV676">
        <f>$C676*BV675</f>
        <v/>
      </c>
      <c r="BW676">
        <f>$C676*BW675</f>
        <v/>
      </c>
      <c r="BX676">
        <f>$C676*BX675</f>
        <v/>
      </c>
      <c r="BY676">
        <f>$C676*BY675</f>
        <v/>
      </c>
      <c r="BZ676">
        <f>$C676*BZ675</f>
        <v/>
      </c>
      <c r="CA676">
        <f>$C676*CA675</f>
        <v/>
      </c>
      <c r="CB676">
        <f>$C676*CB675</f>
        <v/>
      </c>
      <c r="CC676">
        <f>$C676*CC675</f>
        <v/>
      </c>
      <c r="CD676">
        <f>$C676*CD675</f>
        <v/>
      </c>
      <c r="CE676">
        <f>$C676*CE675</f>
        <v/>
      </c>
      <c r="CF676">
        <f>$C676*CF675</f>
        <v/>
      </c>
      <c r="CG676">
        <f>$C676*CG675</f>
        <v/>
      </c>
      <c r="CH676">
        <f>$C676*CH675</f>
        <v/>
      </c>
      <c r="CI676">
        <f>$C676*CI675</f>
        <v/>
      </c>
      <c r="CJ676">
        <f>$C676*CJ675</f>
        <v/>
      </c>
      <c r="CK676">
        <f>$C676*CK675</f>
        <v/>
      </c>
      <c r="CL676">
        <f>$C676*CL675</f>
        <v/>
      </c>
      <c r="CM676">
        <f>$C676*CM675</f>
        <v/>
      </c>
      <c r="CN676">
        <f>$C676*CN675</f>
        <v/>
      </c>
      <c r="CO676">
        <f>$C676*CO675</f>
        <v/>
      </c>
      <c r="CP676">
        <f>$C676*CP675</f>
        <v/>
      </c>
      <c r="CQ676">
        <f>$C676*CQ675</f>
        <v/>
      </c>
      <c r="CR676">
        <f>$C676*CR675</f>
        <v/>
      </c>
      <c r="CS676">
        <f>$C676*CS675</f>
        <v/>
      </c>
      <c r="CT676">
        <f>$C676*CT675</f>
        <v/>
      </c>
      <c r="CU676">
        <f>$C676*CU675</f>
        <v/>
      </c>
      <c r="CV676">
        <f>$C676*CV675</f>
        <v/>
      </c>
      <c r="CW676">
        <f>$C676*CW675</f>
        <v/>
      </c>
      <c r="CX676">
        <f>$C676*CX675</f>
        <v/>
      </c>
      <c r="CY676">
        <f>$C676*CY675</f>
        <v/>
      </c>
      <c r="CZ676">
        <f>$C676*CZ675</f>
        <v/>
      </c>
      <c r="DA676">
        <f>$C676*DA675</f>
        <v/>
      </c>
      <c r="DB676">
        <f>$C676*DB675</f>
        <v/>
      </c>
      <c r="DC676">
        <f>$C676*DC675</f>
        <v/>
      </c>
    </row>
    <row r="677">
      <c r="B677" t="inlineStr">
        <is>
          <t>TSP-668</t>
        </is>
      </c>
      <c r="C677" t="inlineStr">
        <is>
          <t>No. of batches</t>
        </is>
      </c>
      <c r="D677">
        <f>IFERROR(INDEX(PP_Grid[#Data],$DD677,2),0)</f>
        <v/>
      </c>
      <c r="E677">
        <f>IFERROR(INDEX(PP_Grid[#Data],$DD677,3),0)</f>
        <v/>
      </c>
      <c r="F677">
        <f>IFERROR(INDEX(PP_Grid[#Data],$DD677,4),0)</f>
        <v/>
      </c>
      <c r="G677">
        <f>IFERROR(INDEX(PP_Grid[#Data],$DD677,5),0)</f>
        <v/>
      </c>
      <c r="H677">
        <f>IFERROR(INDEX(PP_Grid[#Data],$DD677,6),0)</f>
        <v/>
      </c>
      <c r="I677">
        <f>IFERROR(INDEX(PP_Grid[#Data],$DD677,7),0)</f>
        <v/>
      </c>
      <c r="J677">
        <f>IFERROR(INDEX(PP_Grid[#Data],$DD677,8),0)</f>
        <v/>
      </c>
      <c r="K677">
        <f>IFERROR(INDEX(PP_Grid[#Data],$DD677,9),0)</f>
        <v/>
      </c>
      <c r="L677">
        <f>IFERROR(INDEX(PP_Grid[#Data],$DD677,10),0)</f>
        <v/>
      </c>
      <c r="M677">
        <f>IFERROR(INDEX(PP_Grid[#Data],$DD677,11),0)</f>
        <v/>
      </c>
      <c r="N677">
        <f>IFERROR(INDEX(PP_Grid[#Data],$DD677,12),0)</f>
        <v/>
      </c>
      <c r="O677">
        <f>IFERROR(INDEX(PP_Grid[#Data],$DD677,13),0)</f>
        <v/>
      </c>
      <c r="P677">
        <f>IFERROR(INDEX(PP_Grid[#Data],$DD677,14),0)</f>
        <v/>
      </c>
      <c r="Q677">
        <f>IFERROR(INDEX(PP_Grid[#Data],$DD677,15),0)</f>
        <v/>
      </c>
      <c r="R677">
        <f>IFERROR(INDEX(PP_Grid[#Data],$DD677,16),0)</f>
        <v/>
      </c>
      <c r="S677">
        <f>IFERROR(INDEX(PP_Grid[#Data],$DD677,17),0)</f>
        <v/>
      </c>
      <c r="T677">
        <f>IFERROR(INDEX(PP_Grid[#Data],$DD677,18),0)</f>
        <v/>
      </c>
      <c r="U677">
        <f>IFERROR(INDEX(PP_Grid[#Data],$DD677,19),0)</f>
        <v/>
      </c>
      <c r="V677">
        <f>IFERROR(INDEX(PP_Grid[#Data],$DD677,20),0)</f>
        <v/>
      </c>
      <c r="W677">
        <f>IFERROR(INDEX(PP_Grid[#Data],$DD677,21),0)</f>
        <v/>
      </c>
      <c r="X677">
        <f>IFERROR(INDEX(PP_Grid[#Data],$DD677,22),0)</f>
        <v/>
      </c>
      <c r="Y677">
        <f>IFERROR(INDEX(PP_Grid[#Data],$DD677,23),0)</f>
        <v/>
      </c>
      <c r="Z677">
        <f>IFERROR(INDEX(PP_Grid[#Data],$DD677,24),0)</f>
        <v/>
      </c>
      <c r="AA677">
        <f>IFERROR(INDEX(PP_Grid[#Data],$DD677,25),0)</f>
        <v/>
      </c>
      <c r="AB677">
        <f>IFERROR(INDEX(PP_Grid[#Data],$DD677,26),0)</f>
        <v/>
      </c>
      <c r="AC677">
        <f>IFERROR(INDEX(PP_Grid[#Data],$DD677,27),0)</f>
        <v/>
      </c>
      <c r="AD677">
        <f>IFERROR(INDEX(PP_Grid[#Data],$DD677,28),0)</f>
        <v/>
      </c>
      <c r="AE677">
        <f>IFERROR(INDEX(PP_Grid[#Data],$DD677,29),0)</f>
        <v/>
      </c>
      <c r="AF677">
        <f>IFERROR(INDEX(PP_Grid[#Data],$DD677,30),0)</f>
        <v/>
      </c>
      <c r="AG677">
        <f>IFERROR(INDEX(PP_Grid[#Data],$DD677,31),0)</f>
        <v/>
      </c>
      <c r="AH677">
        <f>IFERROR(INDEX(PP_Grid[#Data],$DD677,32),0)</f>
        <v/>
      </c>
      <c r="AI677">
        <f>IFERROR(INDEX(PP_Grid[#Data],$DD677,33),0)</f>
        <v/>
      </c>
      <c r="AJ677">
        <f>IFERROR(INDEX(PP_Grid[#Data],$DD677,34),0)</f>
        <v/>
      </c>
      <c r="AK677">
        <f>IFERROR(INDEX(PP_Grid[#Data],$DD677,35),0)</f>
        <v/>
      </c>
      <c r="AL677">
        <f>IFERROR(INDEX(PP_Grid[#Data],$DD677,36),0)</f>
        <v/>
      </c>
      <c r="AM677">
        <f>IFERROR(INDEX(PP_Grid[#Data],$DD677,37),0)</f>
        <v/>
      </c>
      <c r="AN677">
        <f>IFERROR(INDEX(PP_Grid[#Data],$DD677,38),0)</f>
        <v/>
      </c>
      <c r="AO677">
        <f>IFERROR(INDEX(PP_Grid[#Data],$DD677,39),0)</f>
        <v/>
      </c>
      <c r="AP677">
        <f>IFERROR(INDEX(PP_Grid[#Data],$DD677,40),0)</f>
        <v/>
      </c>
      <c r="AQ677">
        <f>IFERROR(INDEX(PP_Grid[#Data],$DD677,41),0)</f>
        <v/>
      </c>
      <c r="AR677">
        <f>IFERROR(INDEX(PP_Grid[#Data],$DD677,42),0)</f>
        <v/>
      </c>
      <c r="AS677">
        <f>IFERROR(INDEX(PP_Grid[#Data],$DD677,43),0)</f>
        <v/>
      </c>
      <c r="AT677">
        <f>IFERROR(INDEX(PP_Grid[#Data],$DD677,44),0)</f>
        <v/>
      </c>
      <c r="AU677">
        <f>IFERROR(INDEX(PP_Grid[#Data],$DD677,45),0)</f>
        <v/>
      </c>
      <c r="AV677">
        <f>IFERROR(INDEX(PP_Grid[#Data],$DD677,46),0)</f>
        <v/>
      </c>
      <c r="AW677">
        <f>IFERROR(INDEX(PP_Grid[#Data],$DD677,47),0)</f>
        <v/>
      </c>
      <c r="AX677">
        <f>IFERROR(INDEX(PP_Grid[#Data],$DD677,48),0)</f>
        <v/>
      </c>
      <c r="AY677">
        <f>IFERROR(INDEX(PP_Grid[#Data],$DD677,49),0)</f>
        <v/>
      </c>
      <c r="AZ677">
        <f>IFERROR(INDEX(PP_Grid[#Data],$DD677,50),0)</f>
        <v/>
      </c>
      <c r="BA677">
        <f>IFERROR(INDEX(PP_Grid[#Data],$DD677,51),0)</f>
        <v/>
      </c>
      <c r="BB677">
        <f>IFERROR(INDEX(PP_Grid[#Data],$DD677,52),0)</f>
        <v/>
      </c>
      <c r="BC677">
        <f>IFERROR(INDEX(PP_Grid[#Data],$DD677,53),0)</f>
        <v/>
      </c>
      <c r="BD677">
        <f>IFERROR(INDEX(PP_Grid[#Data],$DD677,54),0)</f>
        <v/>
      </c>
      <c r="BE677">
        <f>IFERROR(INDEX(PP_Grid[#Data],$DD677,55),0)</f>
        <v/>
      </c>
      <c r="BF677">
        <f>IFERROR(INDEX(PP_Grid[#Data],$DD677,56),0)</f>
        <v/>
      </c>
      <c r="BG677">
        <f>IFERROR(INDEX(PP_Grid[#Data],$DD677,57),0)</f>
        <v/>
      </c>
      <c r="BH677">
        <f>IFERROR(INDEX(PP_Grid[#Data],$DD677,58),0)</f>
        <v/>
      </c>
      <c r="BI677">
        <f>IFERROR(INDEX(PP_Grid[#Data],$DD677,59),0)</f>
        <v/>
      </c>
      <c r="BJ677">
        <f>IFERROR(INDEX(PP_Grid[#Data],$DD677,60),0)</f>
        <v/>
      </c>
      <c r="BK677">
        <f>IFERROR(INDEX(PP_Grid[#Data],$DD677,61),0)</f>
        <v/>
      </c>
      <c r="BL677">
        <f>IFERROR(INDEX(PP_Grid[#Data],$DD677,62),0)</f>
        <v/>
      </c>
      <c r="BM677">
        <f>IFERROR(INDEX(PP_Grid[#Data],$DD677,63),0)</f>
        <v/>
      </c>
      <c r="BN677">
        <f>IFERROR(INDEX(PP_Grid[#Data],$DD677,64),0)</f>
        <v/>
      </c>
      <c r="BO677">
        <f>IFERROR(INDEX(PP_Grid[#Data],$DD677,65),0)</f>
        <v/>
      </c>
      <c r="BP677">
        <f>IFERROR(INDEX(PP_Grid[#Data],$DD677,66),0)</f>
        <v/>
      </c>
      <c r="BQ677">
        <f>IFERROR(INDEX(PP_Grid[#Data],$DD677,67),0)</f>
        <v/>
      </c>
      <c r="BR677">
        <f>IFERROR(INDEX(PP_Grid[#Data],$DD677,68),0)</f>
        <v/>
      </c>
      <c r="BS677">
        <f>IFERROR(INDEX(PP_Grid[#Data],$DD677,69),0)</f>
        <v/>
      </c>
      <c r="BT677">
        <f>IFERROR(INDEX(PP_Grid[#Data],$DD677,70),0)</f>
        <v/>
      </c>
      <c r="BU677">
        <f>IFERROR(INDEX(PP_Grid[#Data],$DD677,71),0)</f>
        <v/>
      </c>
      <c r="BV677">
        <f>IFERROR(INDEX(PP_Grid[#Data],$DD677,72),0)</f>
        <v/>
      </c>
      <c r="BW677">
        <f>IFERROR(INDEX(PP_Grid[#Data],$DD677,73),0)</f>
        <v/>
      </c>
      <c r="BX677">
        <f>IFERROR(INDEX(PP_Grid[#Data],$DD677,74),0)</f>
        <v/>
      </c>
      <c r="BY677">
        <f>IFERROR(INDEX(PP_Grid[#Data],$DD677,75),0)</f>
        <v/>
      </c>
      <c r="BZ677">
        <f>IFERROR(INDEX(PP_Grid[#Data],$DD677,76),0)</f>
        <v/>
      </c>
      <c r="CA677">
        <f>IFERROR(INDEX(PP_Grid[#Data],$DD677,77),0)</f>
        <v/>
      </c>
      <c r="CB677">
        <f>IFERROR(INDEX(PP_Grid[#Data],$DD677,78),0)</f>
        <v/>
      </c>
      <c r="CC677">
        <f>IFERROR(INDEX(PP_Grid[#Data],$DD677,79),0)</f>
        <v/>
      </c>
      <c r="CD677">
        <f>IFERROR(INDEX(PP_Grid[#Data],$DD677,80),0)</f>
        <v/>
      </c>
      <c r="CE677">
        <f>IFERROR(INDEX(PP_Grid[#Data],$DD677,81),0)</f>
        <v/>
      </c>
      <c r="CF677">
        <f>IFERROR(INDEX(PP_Grid[#Data],$DD677,82),0)</f>
        <v/>
      </c>
      <c r="CG677">
        <f>IFERROR(INDEX(PP_Grid[#Data],$DD677,83),0)</f>
        <v/>
      </c>
      <c r="CH677">
        <f>IFERROR(INDEX(PP_Grid[#Data],$DD677,84),0)</f>
        <v/>
      </c>
      <c r="CI677">
        <f>IFERROR(INDEX(PP_Grid[#Data],$DD677,85),0)</f>
        <v/>
      </c>
      <c r="CJ677">
        <f>IFERROR(INDEX(PP_Grid[#Data],$DD677,86),0)</f>
        <v/>
      </c>
      <c r="CK677">
        <f>IFERROR(INDEX(PP_Grid[#Data],$DD677,87),0)</f>
        <v/>
      </c>
      <c r="CL677">
        <f>IFERROR(INDEX(PP_Grid[#Data],$DD677,88),0)</f>
        <v/>
      </c>
      <c r="CM677">
        <f>IFERROR(INDEX(PP_Grid[#Data],$DD677,89),0)</f>
        <v/>
      </c>
      <c r="CN677">
        <f>IFERROR(INDEX(PP_Grid[#Data],$DD677,90),0)</f>
        <v/>
      </c>
      <c r="CO677">
        <f>IFERROR(INDEX(PP_Grid[#Data],$DD677,91),0)</f>
        <v/>
      </c>
      <c r="CP677">
        <f>IFERROR(INDEX(PP_Grid[#Data],$DD677,92),0)</f>
        <v/>
      </c>
      <c r="CQ677">
        <f>IFERROR(INDEX(PP_Grid[#Data],$DD677,93),0)</f>
        <v/>
      </c>
      <c r="CR677">
        <f>IFERROR(INDEX(PP_Grid[#Data],$DD677,94),0)</f>
        <v/>
      </c>
      <c r="CS677">
        <f>IFERROR(INDEX(PP_Grid[#Data],$DD677,95),0)</f>
        <v/>
      </c>
      <c r="CT677">
        <f>IFERROR(INDEX(PP_Grid[#Data],$DD677,96),0)</f>
        <v/>
      </c>
      <c r="CU677">
        <f>IFERROR(INDEX(PP_Grid[#Data],$DD677,97),0)</f>
        <v/>
      </c>
      <c r="CV677">
        <f>IFERROR(INDEX(PP_Grid[#Data],$DD677,98),0)</f>
        <v/>
      </c>
      <c r="CW677">
        <f>IFERROR(INDEX(PP_Grid[#Data],$DD677,99),0)</f>
        <v/>
      </c>
      <c r="CX677">
        <f>IFERROR(INDEX(PP_Grid[#Data],$DD677,100),0)</f>
        <v/>
      </c>
      <c r="CY677">
        <f>IFERROR(INDEX(PP_Grid[#Data],$DD677,101),0)</f>
        <v/>
      </c>
      <c r="CZ677">
        <f>IFERROR(INDEX(PP_Grid[#Data],$DD677,102),0)</f>
        <v/>
      </c>
      <c r="DA677">
        <f>IFERROR(INDEX(PP_Grid[#Data],$DD677,103),0)</f>
        <v/>
      </c>
      <c r="DB677">
        <f>IFERROR(INDEX(PP_Grid[#Data],$DD677,104),0)</f>
        <v/>
      </c>
      <c r="DC677">
        <f>IFERROR(INDEX(PP_Grid[#Data],$DD677,105),0)</f>
        <v/>
      </c>
      <c r="DD677" s="7">
        <f>IFERROR(MATCH($B677,PP_Grid[Intermediate],0),99999)</f>
        <v/>
      </c>
    </row>
    <row r="678">
      <c r="B678" t="inlineStr">
        <is>
          <t>使用量(kg)</t>
        </is>
      </c>
      <c r="C678">
        <f>SUMIFS(M_BOM[RM_Qty_Per_Batch],M_BOM[Intermediate],$B677,M_BOM[Part Name],$A670)</f>
        <v/>
      </c>
      <c r="D678">
        <f>$C678*D677</f>
        <v/>
      </c>
      <c r="E678">
        <f>$C678*E677</f>
        <v/>
      </c>
      <c r="F678">
        <f>$C678*F677</f>
        <v/>
      </c>
      <c r="G678">
        <f>$C678*G677</f>
        <v/>
      </c>
      <c r="H678">
        <f>$C678*H677</f>
        <v/>
      </c>
      <c r="I678">
        <f>$C678*I677</f>
        <v/>
      </c>
      <c r="J678">
        <f>$C678*J677</f>
        <v/>
      </c>
      <c r="K678">
        <f>$C678*K677</f>
        <v/>
      </c>
      <c r="L678">
        <f>$C678*L677</f>
        <v/>
      </c>
      <c r="M678">
        <f>$C678*M677</f>
        <v/>
      </c>
      <c r="N678">
        <f>$C678*N677</f>
        <v/>
      </c>
      <c r="O678">
        <f>$C678*O677</f>
        <v/>
      </c>
      <c r="P678">
        <f>$C678*P677</f>
        <v/>
      </c>
      <c r="Q678">
        <f>$C678*Q677</f>
        <v/>
      </c>
      <c r="R678">
        <f>$C678*R677</f>
        <v/>
      </c>
      <c r="S678">
        <f>$C678*S677</f>
        <v/>
      </c>
      <c r="T678">
        <f>$C678*T677</f>
        <v/>
      </c>
      <c r="U678">
        <f>$C678*U677</f>
        <v/>
      </c>
      <c r="V678">
        <f>$C678*V677</f>
        <v/>
      </c>
      <c r="W678">
        <f>$C678*W677</f>
        <v/>
      </c>
      <c r="X678">
        <f>$C678*X677</f>
        <v/>
      </c>
      <c r="Y678">
        <f>$C678*Y677</f>
        <v/>
      </c>
      <c r="Z678">
        <f>$C678*Z677</f>
        <v/>
      </c>
      <c r="AA678">
        <f>$C678*AA677</f>
        <v/>
      </c>
      <c r="AB678">
        <f>$C678*AB677</f>
        <v/>
      </c>
      <c r="AC678">
        <f>$C678*AC677</f>
        <v/>
      </c>
      <c r="AD678">
        <f>$C678*AD677</f>
        <v/>
      </c>
      <c r="AE678">
        <f>$C678*AE677</f>
        <v/>
      </c>
      <c r="AF678">
        <f>$C678*AF677</f>
        <v/>
      </c>
      <c r="AG678">
        <f>$C678*AG677</f>
        <v/>
      </c>
      <c r="AH678">
        <f>$C678*AH677</f>
        <v/>
      </c>
      <c r="AI678">
        <f>$C678*AI677</f>
        <v/>
      </c>
      <c r="AJ678">
        <f>$C678*AJ677</f>
        <v/>
      </c>
      <c r="AK678">
        <f>$C678*AK677</f>
        <v/>
      </c>
      <c r="AL678">
        <f>$C678*AL677</f>
        <v/>
      </c>
      <c r="AM678">
        <f>$C678*AM677</f>
        <v/>
      </c>
      <c r="AN678">
        <f>$C678*AN677</f>
        <v/>
      </c>
      <c r="AO678">
        <f>$C678*AO677</f>
        <v/>
      </c>
      <c r="AP678">
        <f>$C678*AP677</f>
        <v/>
      </c>
      <c r="AQ678">
        <f>$C678*AQ677</f>
        <v/>
      </c>
      <c r="AR678">
        <f>$C678*AR677</f>
        <v/>
      </c>
      <c r="AS678">
        <f>$C678*AS677</f>
        <v/>
      </c>
      <c r="AT678">
        <f>$C678*AT677</f>
        <v/>
      </c>
      <c r="AU678">
        <f>$C678*AU677</f>
        <v/>
      </c>
      <c r="AV678">
        <f>$C678*AV677</f>
        <v/>
      </c>
      <c r="AW678">
        <f>$C678*AW677</f>
        <v/>
      </c>
      <c r="AX678">
        <f>$C678*AX677</f>
        <v/>
      </c>
      <c r="AY678">
        <f>$C678*AY677</f>
        <v/>
      </c>
      <c r="AZ678">
        <f>$C678*AZ677</f>
        <v/>
      </c>
      <c r="BA678">
        <f>$C678*BA677</f>
        <v/>
      </c>
      <c r="BB678">
        <f>$C678*BB677</f>
        <v/>
      </c>
      <c r="BC678">
        <f>$C678*BC677</f>
        <v/>
      </c>
      <c r="BD678">
        <f>$C678*BD677</f>
        <v/>
      </c>
      <c r="BE678">
        <f>$C678*BE677</f>
        <v/>
      </c>
      <c r="BF678">
        <f>$C678*BF677</f>
        <v/>
      </c>
      <c r="BG678">
        <f>$C678*BG677</f>
        <v/>
      </c>
      <c r="BH678">
        <f>$C678*BH677</f>
        <v/>
      </c>
      <c r="BI678">
        <f>$C678*BI677</f>
        <v/>
      </c>
      <c r="BJ678">
        <f>$C678*BJ677</f>
        <v/>
      </c>
      <c r="BK678">
        <f>$C678*BK677</f>
        <v/>
      </c>
      <c r="BL678">
        <f>$C678*BL677</f>
        <v/>
      </c>
      <c r="BM678">
        <f>$C678*BM677</f>
        <v/>
      </c>
      <c r="BN678">
        <f>$C678*BN677</f>
        <v/>
      </c>
      <c r="BO678">
        <f>$C678*BO677</f>
        <v/>
      </c>
      <c r="BP678">
        <f>$C678*BP677</f>
        <v/>
      </c>
      <c r="BQ678">
        <f>$C678*BQ677</f>
        <v/>
      </c>
      <c r="BR678">
        <f>$C678*BR677</f>
        <v/>
      </c>
      <c r="BS678">
        <f>$C678*BS677</f>
        <v/>
      </c>
      <c r="BT678">
        <f>$C678*BT677</f>
        <v/>
      </c>
      <c r="BU678">
        <f>$C678*BU677</f>
        <v/>
      </c>
      <c r="BV678">
        <f>$C678*BV677</f>
        <v/>
      </c>
      <c r="BW678">
        <f>$C678*BW677</f>
        <v/>
      </c>
      <c r="BX678">
        <f>$C678*BX677</f>
        <v/>
      </c>
      <c r="BY678">
        <f>$C678*BY677</f>
        <v/>
      </c>
      <c r="BZ678">
        <f>$C678*BZ677</f>
        <v/>
      </c>
      <c r="CA678">
        <f>$C678*CA677</f>
        <v/>
      </c>
      <c r="CB678">
        <f>$C678*CB677</f>
        <v/>
      </c>
      <c r="CC678">
        <f>$C678*CC677</f>
        <v/>
      </c>
      <c r="CD678">
        <f>$C678*CD677</f>
        <v/>
      </c>
      <c r="CE678">
        <f>$C678*CE677</f>
        <v/>
      </c>
      <c r="CF678">
        <f>$C678*CF677</f>
        <v/>
      </c>
      <c r="CG678">
        <f>$C678*CG677</f>
        <v/>
      </c>
      <c r="CH678">
        <f>$C678*CH677</f>
        <v/>
      </c>
      <c r="CI678">
        <f>$C678*CI677</f>
        <v/>
      </c>
      <c r="CJ678">
        <f>$C678*CJ677</f>
        <v/>
      </c>
      <c r="CK678">
        <f>$C678*CK677</f>
        <v/>
      </c>
      <c r="CL678">
        <f>$C678*CL677</f>
        <v/>
      </c>
      <c r="CM678">
        <f>$C678*CM677</f>
        <v/>
      </c>
      <c r="CN678">
        <f>$C678*CN677</f>
        <v/>
      </c>
      <c r="CO678">
        <f>$C678*CO677</f>
        <v/>
      </c>
      <c r="CP678">
        <f>$C678*CP677</f>
        <v/>
      </c>
      <c r="CQ678">
        <f>$C678*CQ677</f>
        <v/>
      </c>
      <c r="CR678">
        <f>$C678*CR677</f>
        <v/>
      </c>
      <c r="CS678">
        <f>$C678*CS677</f>
        <v/>
      </c>
      <c r="CT678">
        <f>$C678*CT677</f>
        <v/>
      </c>
      <c r="CU678">
        <f>$C678*CU677</f>
        <v/>
      </c>
      <c r="CV678">
        <f>$C678*CV677</f>
        <v/>
      </c>
      <c r="CW678">
        <f>$C678*CW677</f>
        <v/>
      </c>
      <c r="CX678">
        <f>$C678*CX677</f>
        <v/>
      </c>
      <c r="CY678">
        <f>$C678*CY677</f>
        <v/>
      </c>
      <c r="CZ678">
        <f>$C678*CZ677</f>
        <v/>
      </c>
      <c r="DA678">
        <f>$C678*DA677</f>
        <v/>
      </c>
      <c r="DB678">
        <f>$C678*DB677</f>
        <v/>
      </c>
      <c r="DC678">
        <f>$C678*DC677</f>
        <v/>
      </c>
    </row>
    <row r="679">
      <c r="B679" t="inlineStr">
        <is>
          <t>TSP-669</t>
        </is>
      </c>
      <c r="C679" t="inlineStr">
        <is>
          <t>No. of batches</t>
        </is>
      </c>
      <c r="D679">
        <f>IFERROR(INDEX(PP_Grid[#Data],$DD679,2),0)</f>
        <v/>
      </c>
      <c r="E679">
        <f>IFERROR(INDEX(PP_Grid[#Data],$DD679,3),0)</f>
        <v/>
      </c>
      <c r="F679">
        <f>IFERROR(INDEX(PP_Grid[#Data],$DD679,4),0)</f>
        <v/>
      </c>
      <c r="G679">
        <f>IFERROR(INDEX(PP_Grid[#Data],$DD679,5),0)</f>
        <v/>
      </c>
      <c r="H679">
        <f>IFERROR(INDEX(PP_Grid[#Data],$DD679,6),0)</f>
        <v/>
      </c>
      <c r="I679">
        <f>IFERROR(INDEX(PP_Grid[#Data],$DD679,7),0)</f>
        <v/>
      </c>
      <c r="J679">
        <f>IFERROR(INDEX(PP_Grid[#Data],$DD679,8),0)</f>
        <v/>
      </c>
      <c r="K679">
        <f>IFERROR(INDEX(PP_Grid[#Data],$DD679,9),0)</f>
        <v/>
      </c>
      <c r="L679">
        <f>IFERROR(INDEX(PP_Grid[#Data],$DD679,10),0)</f>
        <v/>
      </c>
      <c r="M679">
        <f>IFERROR(INDEX(PP_Grid[#Data],$DD679,11),0)</f>
        <v/>
      </c>
      <c r="N679">
        <f>IFERROR(INDEX(PP_Grid[#Data],$DD679,12),0)</f>
        <v/>
      </c>
      <c r="O679">
        <f>IFERROR(INDEX(PP_Grid[#Data],$DD679,13),0)</f>
        <v/>
      </c>
      <c r="P679">
        <f>IFERROR(INDEX(PP_Grid[#Data],$DD679,14),0)</f>
        <v/>
      </c>
      <c r="Q679">
        <f>IFERROR(INDEX(PP_Grid[#Data],$DD679,15),0)</f>
        <v/>
      </c>
      <c r="R679">
        <f>IFERROR(INDEX(PP_Grid[#Data],$DD679,16),0)</f>
        <v/>
      </c>
      <c r="S679">
        <f>IFERROR(INDEX(PP_Grid[#Data],$DD679,17),0)</f>
        <v/>
      </c>
      <c r="T679">
        <f>IFERROR(INDEX(PP_Grid[#Data],$DD679,18),0)</f>
        <v/>
      </c>
      <c r="U679">
        <f>IFERROR(INDEX(PP_Grid[#Data],$DD679,19),0)</f>
        <v/>
      </c>
      <c r="V679">
        <f>IFERROR(INDEX(PP_Grid[#Data],$DD679,20),0)</f>
        <v/>
      </c>
      <c r="W679">
        <f>IFERROR(INDEX(PP_Grid[#Data],$DD679,21),0)</f>
        <v/>
      </c>
      <c r="X679">
        <f>IFERROR(INDEX(PP_Grid[#Data],$DD679,22),0)</f>
        <v/>
      </c>
      <c r="Y679">
        <f>IFERROR(INDEX(PP_Grid[#Data],$DD679,23),0)</f>
        <v/>
      </c>
      <c r="Z679">
        <f>IFERROR(INDEX(PP_Grid[#Data],$DD679,24),0)</f>
        <v/>
      </c>
      <c r="AA679">
        <f>IFERROR(INDEX(PP_Grid[#Data],$DD679,25),0)</f>
        <v/>
      </c>
      <c r="AB679">
        <f>IFERROR(INDEX(PP_Grid[#Data],$DD679,26),0)</f>
        <v/>
      </c>
      <c r="AC679">
        <f>IFERROR(INDEX(PP_Grid[#Data],$DD679,27),0)</f>
        <v/>
      </c>
      <c r="AD679">
        <f>IFERROR(INDEX(PP_Grid[#Data],$DD679,28),0)</f>
        <v/>
      </c>
      <c r="AE679">
        <f>IFERROR(INDEX(PP_Grid[#Data],$DD679,29),0)</f>
        <v/>
      </c>
      <c r="AF679">
        <f>IFERROR(INDEX(PP_Grid[#Data],$DD679,30),0)</f>
        <v/>
      </c>
      <c r="AG679">
        <f>IFERROR(INDEX(PP_Grid[#Data],$DD679,31),0)</f>
        <v/>
      </c>
      <c r="AH679">
        <f>IFERROR(INDEX(PP_Grid[#Data],$DD679,32),0)</f>
        <v/>
      </c>
      <c r="AI679">
        <f>IFERROR(INDEX(PP_Grid[#Data],$DD679,33),0)</f>
        <v/>
      </c>
      <c r="AJ679">
        <f>IFERROR(INDEX(PP_Grid[#Data],$DD679,34),0)</f>
        <v/>
      </c>
      <c r="AK679">
        <f>IFERROR(INDEX(PP_Grid[#Data],$DD679,35),0)</f>
        <v/>
      </c>
      <c r="AL679">
        <f>IFERROR(INDEX(PP_Grid[#Data],$DD679,36),0)</f>
        <v/>
      </c>
      <c r="AM679">
        <f>IFERROR(INDEX(PP_Grid[#Data],$DD679,37),0)</f>
        <v/>
      </c>
      <c r="AN679">
        <f>IFERROR(INDEX(PP_Grid[#Data],$DD679,38),0)</f>
        <v/>
      </c>
      <c r="AO679">
        <f>IFERROR(INDEX(PP_Grid[#Data],$DD679,39),0)</f>
        <v/>
      </c>
      <c r="AP679">
        <f>IFERROR(INDEX(PP_Grid[#Data],$DD679,40),0)</f>
        <v/>
      </c>
      <c r="AQ679">
        <f>IFERROR(INDEX(PP_Grid[#Data],$DD679,41),0)</f>
        <v/>
      </c>
      <c r="AR679">
        <f>IFERROR(INDEX(PP_Grid[#Data],$DD679,42),0)</f>
        <v/>
      </c>
      <c r="AS679">
        <f>IFERROR(INDEX(PP_Grid[#Data],$DD679,43),0)</f>
        <v/>
      </c>
      <c r="AT679">
        <f>IFERROR(INDEX(PP_Grid[#Data],$DD679,44),0)</f>
        <v/>
      </c>
      <c r="AU679">
        <f>IFERROR(INDEX(PP_Grid[#Data],$DD679,45),0)</f>
        <v/>
      </c>
      <c r="AV679">
        <f>IFERROR(INDEX(PP_Grid[#Data],$DD679,46),0)</f>
        <v/>
      </c>
      <c r="AW679">
        <f>IFERROR(INDEX(PP_Grid[#Data],$DD679,47),0)</f>
        <v/>
      </c>
      <c r="AX679">
        <f>IFERROR(INDEX(PP_Grid[#Data],$DD679,48),0)</f>
        <v/>
      </c>
      <c r="AY679">
        <f>IFERROR(INDEX(PP_Grid[#Data],$DD679,49),0)</f>
        <v/>
      </c>
      <c r="AZ679">
        <f>IFERROR(INDEX(PP_Grid[#Data],$DD679,50),0)</f>
        <v/>
      </c>
      <c r="BA679">
        <f>IFERROR(INDEX(PP_Grid[#Data],$DD679,51),0)</f>
        <v/>
      </c>
      <c r="BB679">
        <f>IFERROR(INDEX(PP_Grid[#Data],$DD679,52),0)</f>
        <v/>
      </c>
      <c r="BC679">
        <f>IFERROR(INDEX(PP_Grid[#Data],$DD679,53),0)</f>
        <v/>
      </c>
      <c r="BD679">
        <f>IFERROR(INDEX(PP_Grid[#Data],$DD679,54),0)</f>
        <v/>
      </c>
      <c r="BE679">
        <f>IFERROR(INDEX(PP_Grid[#Data],$DD679,55),0)</f>
        <v/>
      </c>
      <c r="BF679">
        <f>IFERROR(INDEX(PP_Grid[#Data],$DD679,56),0)</f>
        <v/>
      </c>
      <c r="BG679">
        <f>IFERROR(INDEX(PP_Grid[#Data],$DD679,57),0)</f>
        <v/>
      </c>
      <c r="BH679">
        <f>IFERROR(INDEX(PP_Grid[#Data],$DD679,58),0)</f>
        <v/>
      </c>
      <c r="BI679">
        <f>IFERROR(INDEX(PP_Grid[#Data],$DD679,59),0)</f>
        <v/>
      </c>
      <c r="BJ679">
        <f>IFERROR(INDEX(PP_Grid[#Data],$DD679,60),0)</f>
        <v/>
      </c>
      <c r="BK679">
        <f>IFERROR(INDEX(PP_Grid[#Data],$DD679,61),0)</f>
        <v/>
      </c>
      <c r="BL679">
        <f>IFERROR(INDEX(PP_Grid[#Data],$DD679,62),0)</f>
        <v/>
      </c>
      <c r="BM679">
        <f>IFERROR(INDEX(PP_Grid[#Data],$DD679,63),0)</f>
        <v/>
      </c>
      <c r="BN679">
        <f>IFERROR(INDEX(PP_Grid[#Data],$DD679,64),0)</f>
        <v/>
      </c>
      <c r="BO679">
        <f>IFERROR(INDEX(PP_Grid[#Data],$DD679,65),0)</f>
        <v/>
      </c>
      <c r="BP679">
        <f>IFERROR(INDEX(PP_Grid[#Data],$DD679,66),0)</f>
        <v/>
      </c>
      <c r="BQ679">
        <f>IFERROR(INDEX(PP_Grid[#Data],$DD679,67),0)</f>
        <v/>
      </c>
      <c r="BR679">
        <f>IFERROR(INDEX(PP_Grid[#Data],$DD679,68),0)</f>
        <v/>
      </c>
      <c r="BS679">
        <f>IFERROR(INDEX(PP_Grid[#Data],$DD679,69),0)</f>
        <v/>
      </c>
      <c r="BT679">
        <f>IFERROR(INDEX(PP_Grid[#Data],$DD679,70),0)</f>
        <v/>
      </c>
      <c r="BU679">
        <f>IFERROR(INDEX(PP_Grid[#Data],$DD679,71),0)</f>
        <v/>
      </c>
      <c r="BV679">
        <f>IFERROR(INDEX(PP_Grid[#Data],$DD679,72),0)</f>
        <v/>
      </c>
      <c r="BW679">
        <f>IFERROR(INDEX(PP_Grid[#Data],$DD679,73),0)</f>
        <v/>
      </c>
      <c r="BX679">
        <f>IFERROR(INDEX(PP_Grid[#Data],$DD679,74),0)</f>
        <v/>
      </c>
      <c r="BY679">
        <f>IFERROR(INDEX(PP_Grid[#Data],$DD679,75),0)</f>
        <v/>
      </c>
      <c r="BZ679">
        <f>IFERROR(INDEX(PP_Grid[#Data],$DD679,76),0)</f>
        <v/>
      </c>
      <c r="CA679">
        <f>IFERROR(INDEX(PP_Grid[#Data],$DD679,77),0)</f>
        <v/>
      </c>
      <c r="CB679">
        <f>IFERROR(INDEX(PP_Grid[#Data],$DD679,78),0)</f>
        <v/>
      </c>
      <c r="CC679">
        <f>IFERROR(INDEX(PP_Grid[#Data],$DD679,79),0)</f>
        <v/>
      </c>
      <c r="CD679">
        <f>IFERROR(INDEX(PP_Grid[#Data],$DD679,80),0)</f>
        <v/>
      </c>
      <c r="CE679">
        <f>IFERROR(INDEX(PP_Grid[#Data],$DD679,81),0)</f>
        <v/>
      </c>
      <c r="CF679">
        <f>IFERROR(INDEX(PP_Grid[#Data],$DD679,82),0)</f>
        <v/>
      </c>
      <c r="CG679">
        <f>IFERROR(INDEX(PP_Grid[#Data],$DD679,83),0)</f>
        <v/>
      </c>
      <c r="CH679">
        <f>IFERROR(INDEX(PP_Grid[#Data],$DD679,84),0)</f>
        <v/>
      </c>
      <c r="CI679">
        <f>IFERROR(INDEX(PP_Grid[#Data],$DD679,85),0)</f>
        <v/>
      </c>
      <c r="CJ679">
        <f>IFERROR(INDEX(PP_Grid[#Data],$DD679,86),0)</f>
        <v/>
      </c>
      <c r="CK679">
        <f>IFERROR(INDEX(PP_Grid[#Data],$DD679,87),0)</f>
        <v/>
      </c>
      <c r="CL679">
        <f>IFERROR(INDEX(PP_Grid[#Data],$DD679,88),0)</f>
        <v/>
      </c>
      <c r="CM679">
        <f>IFERROR(INDEX(PP_Grid[#Data],$DD679,89),0)</f>
        <v/>
      </c>
      <c r="CN679">
        <f>IFERROR(INDEX(PP_Grid[#Data],$DD679,90),0)</f>
        <v/>
      </c>
      <c r="CO679">
        <f>IFERROR(INDEX(PP_Grid[#Data],$DD679,91),0)</f>
        <v/>
      </c>
      <c r="CP679">
        <f>IFERROR(INDEX(PP_Grid[#Data],$DD679,92),0)</f>
        <v/>
      </c>
      <c r="CQ679">
        <f>IFERROR(INDEX(PP_Grid[#Data],$DD679,93),0)</f>
        <v/>
      </c>
      <c r="CR679">
        <f>IFERROR(INDEX(PP_Grid[#Data],$DD679,94),0)</f>
        <v/>
      </c>
      <c r="CS679">
        <f>IFERROR(INDEX(PP_Grid[#Data],$DD679,95),0)</f>
        <v/>
      </c>
      <c r="CT679">
        <f>IFERROR(INDEX(PP_Grid[#Data],$DD679,96),0)</f>
        <v/>
      </c>
      <c r="CU679">
        <f>IFERROR(INDEX(PP_Grid[#Data],$DD679,97),0)</f>
        <v/>
      </c>
      <c r="CV679">
        <f>IFERROR(INDEX(PP_Grid[#Data],$DD679,98),0)</f>
        <v/>
      </c>
      <c r="CW679">
        <f>IFERROR(INDEX(PP_Grid[#Data],$DD679,99),0)</f>
        <v/>
      </c>
      <c r="CX679">
        <f>IFERROR(INDEX(PP_Grid[#Data],$DD679,100),0)</f>
        <v/>
      </c>
      <c r="CY679">
        <f>IFERROR(INDEX(PP_Grid[#Data],$DD679,101),0)</f>
        <v/>
      </c>
      <c r="CZ679">
        <f>IFERROR(INDEX(PP_Grid[#Data],$DD679,102),0)</f>
        <v/>
      </c>
      <c r="DA679">
        <f>IFERROR(INDEX(PP_Grid[#Data],$DD679,103),0)</f>
        <v/>
      </c>
      <c r="DB679">
        <f>IFERROR(INDEX(PP_Grid[#Data],$DD679,104),0)</f>
        <v/>
      </c>
      <c r="DC679">
        <f>IFERROR(INDEX(PP_Grid[#Data],$DD679,105),0)</f>
        <v/>
      </c>
      <c r="DD679" s="7">
        <f>IFERROR(MATCH($B679,PP_Grid[Intermediate],0),99999)</f>
        <v/>
      </c>
    </row>
    <row r="680">
      <c r="B680" t="inlineStr">
        <is>
          <t>使用量(kg)</t>
        </is>
      </c>
      <c r="C680">
        <f>SUMIFS(M_BOM[RM_Qty_Per_Batch],M_BOM[Intermediate],$B679,M_BOM[Part Name],$A670)</f>
        <v/>
      </c>
      <c r="D680">
        <f>$C680*D679</f>
        <v/>
      </c>
      <c r="E680">
        <f>$C680*E679</f>
        <v/>
      </c>
      <c r="F680">
        <f>$C680*F679</f>
        <v/>
      </c>
      <c r="G680">
        <f>$C680*G679</f>
        <v/>
      </c>
      <c r="H680">
        <f>$C680*H679</f>
        <v/>
      </c>
      <c r="I680">
        <f>$C680*I679</f>
        <v/>
      </c>
      <c r="J680">
        <f>$C680*J679</f>
        <v/>
      </c>
      <c r="K680">
        <f>$C680*K679</f>
        <v/>
      </c>
      <c r="L680">
        <f>$C680*L679</f>
        <v/>
      </c>
      <c r="M680">
        <f>$C680*M679</f>
        <v/>
      </c>
      <c r="N680">
        <f>$C680*N679</f>
        <v/>
      </c>
      <c r="O680">
        <f>$C680*O679</f>
        <v/>
      </c>
      <c r="P680">
        <f>$C680*P679</f>
        <v/>
      </c>
      <c r="Q680">
        <f>$C680*Q679</f>
        <v/>
      </c>
      <c r="R680">
        <f>$C680*R679</f>
        <v/>
      </c>
      <c r="S680">
        <f>$C680*S679</f>
        <v/>
      </c>
      <c r="T680">
        <f>$C680*T679</f>
        <v/>
      </c>
      <c r="U680">
        <f>$C680*U679</f>
        <v/>
      </c>
      <c r="V680">
        <f>$C680*V679</f>
        <v/>
      </c>
      <c r="W680">
        <f>$C680*W679</f>
        <v/>
      </c>
      <c r="X680">
        <f>$C680*X679</f>
        <v/>
      </c>
      <c r="Y680">
        <f>$C680*Y679</f>
        <v/>
      </c>
      <c r="Z680">
        <f>$C680*Z679</f>
        <v/>
      </c>
      <c r="AA680">
        <f>$C680*AA679</f>
        <v/>
      </c>
      <c r="AB680">
        <f>$C680*AB679</f>
        <v/>
      </c>
      <c r="AC680">
        <f>$C680*AC679</f>
        <v/>
      </c>
      <c r="AD680">
        <f>$C680*AD679</f>
        <v/>
      </c>
      <c r="AE680">
        <f>$C680*AE679</f>
        <v/>
      </c>
      <c r="AF680">
        <f>$C680*AF679</f>
        <v/>
      </c>
      <c r="AG680">
        <f>$C680*AG679</f>
        <v/>
      </c>
      <c r="AH680">
        <f>$C680*AH679</f>
        <v/>
      </c>
      <c r="AI680">
        <f>$C680*AI679</f>
        <v/>
      </c>
      <c r="AJ680">
        <f>$C680*AJ679</f>
        <v/>
      </c>
      <c r="AK680">
        <f>$C680*AK679</f>
        <v/>
      </c>
      <c r="AL680">
        <f>$C680*AL679</f>
        <v/>
      </c>
      <c r="AM680">
        <f>$C680*AM679</f>
        <v/>
      </c>
      <c r="AN680">
        <f>$C680*AN679</f>
        <v/>
      </c>
      <c r="AO680">
        <f>$C680*AO679</f>
        <v/>
      </c>
      <c r="AP680">
        <f>$C680*AP679</f>
        <v/>
      </c>
      <c r="AQ680">
        <f>$C680*AQ679</f>
        <v/>
      </c>
      <c r="AR680">
        <f>$C680*AR679</f>
        <v/>
      </c>
      <c r="AS680">
        <f>$C680*AS679</f>
        <v/>
      </c>
      <c r="AT680">
        <f>$C680*AT679</f>
        <v/>
      </c>
      <c r="AU680">
        <f>$C680*AU679</f>
        <v/>
      </c>
      <c r="AV680">
        <f>$C680*AV679</f>
        <v/>
      </c>
      <c r="AW680">
        <f>$C680*AW679</f>
        <v/>
      </c>
      <c r="AX680">
        <f>$C680*AX679</f>
        <v/>
      </c>
      <c r="AY680">
        <f>$C680*AY679</f>
        <v/>
      </c>
      <c r="AZ680">
        <f>$C680*AZ679</f>
        <v/>
      </c>
      <c r="BA680">
        <f>$C680*BA679</f>
        <v/>
      </c>
      <c r="BB680">
        <f>$C680*BB679</f>
        <v/>
      </c>
      <c r="BC680">
        <f>$C680*BC679</f>
        <v/>
      </c>
      <c r="BD680">
        <f>$C680*BD679</f>
        <v/>
      </c>
      <c r="BE680">
        <f>$C680*BE679</f>
        <v/>
      </c>
      <c r="BF680">
        <f>$C680*BF679</f>
        <v/>
      </c>
      <c r="BG680">
        <f>$C680*BG679</f>
        <v/>
      </c>
      <c r="BH680">
        <f>$C680*BH679</f>
        <v/>
      </c>
      <c r="BI680">
        <f>$C680*BI679</f>
        <v/>
      </c>
      <c r="BJ680">
        <f>$C680*BJ679</f>
        <v/>
      </c>
      <c r="BK680">
        <f>$C680*BK679</f>
        <v/>
      </c>
      <c r="BL680">
        <f>$C680*BL679</f>
        <v/>
      </c>
      <c r="BM680">
        <f>$C680*BM679</f>
        <v/>
      </c>
      <c r="BN680">
        <f>$C680*BN679</f>
        <v/>
      </c>
      <c r="BO680">
        <f>$C680*BO679</f>
        <v/>
      </c>
      <c r="BP680">
        <f>$C680*BP679</f>
        <v/>
      </c>
      <c r="BQ680">
        <f>$C680*BQ679</f>
        <v/>
      </c>
      <c r="BR680">
        <f>$C680*BR679</f>
        <v/>
      </c>
      <c r="BS680">
        <f>$C680*BS679</f>
        <v/>
      </c>
      <c r="BT680">
        <f>$C680*BT679</f>
        <v/>
      </c>
      <c r="BU680">
        <f>$C680*BU679</f>
        <v/>
      </c>
      <c r="BV680">
        <f>$C680*BV679</f>
        <v/>
      </c>
      <c r="BW680">
        <f>$C680*BW679</f>
        <v/>
      </c>
      <c r="BX680">
        <f>$C680*BX679</f>
        <v/>
      </c>
      <c r="BY680">
        <f>$C680*BY679</f>
        <v/>
      </c>
      <c r="BZ680">
        <f>$C680*BZ679</f>
        <v/>
      </c>
      <c r="CA680">
        <f>$C680*CA679</f>
        <v/>
      </c>
      <c r="CB680">
        <f>$C680*CB679</f>
        <v/>
      </c>
      <c r="CC680">
        <f>$C680*CC679</f>
        <v/>
      </c>
      <c r="CD680">
        <f>$C680*CD679</f>
        <v/>
      </c>
      <c r="CE680">
        <f>$C680*CE679</f>
        <v/>
      </c>
      <c r="CF680">
        <f>$C680*CF679</f>
        <v/>
      </c>
      <c r="CG680">
        <f>$C680*CG679</f>
        <v/>
      </c>
      <c r="CH680">
        <f>$C680*CH679</f>
        <v/>
      </c>
      <c r="CI680">
        <f>$C680*CI679</f>
        <v/>
      </c>
      <c r="CJ680">
        <f>$C680*CJ679</f>
        <v/>
      </c>
      <c r="CK680">
        <f>$C680*CK679</f>
        <v/>
      </c>
      <c r="CL680">
        <f>$C680*CL679</f>
        <v/>
      </c>
      <c r="CM680">
        <f>$C680*CM679</f>
        <v/>
      </c>
      <c r="CN680">
        <f>$C680*CN679</f>
        <v/>
      </c>
      <c r="CO680">
        <f>$C680*CO679</f>
        <v/>
      </c>
      <c r="CP680">
        <f>$C680*CP679</f>
        <v/>
      </c>
      <c r="CQ680">
        <f>$C680*CQ679</f>
        <v/>
      </c>
      <c r="CR680">
        <f>$C680*CR679</f>
        <v/>
      </c>
      <c r="CS680">
        <f>$C680*CS679</f>
        <v/>
      </c>
      <c r="CT680">
        <f>$C680*CT679</f>
        <v/>
      </c>
      <c r="CU680">
        <f>$C680*CU679</f>
        <v/>
      </c>
      <c r="CV680">
        <f>$C680*CV679</f>
        <v/>
      </c>
      <c r="CW680">
        <f>$C680*CW679</f>
        <v/>
      </c>
      <c r="CX680">
        <f>$C680*CX679</f>
        <v/>
      </c>
      <c r="CY680">
        <f>$C680*CY679</f>
        <v/>
      </c>
      <c r="CZ680">
        <f>$C680*CZ679</f>
        <v/>
      </c>
      <c r="DA680">
        <f>$C680*DA679</f>
        <v/>
      </c>
      <c r="DB680">
        <f>$C680*DB679</f>
        <v/>
      </c>
      <c r="DC680">
        <f>$C680*DC679</f>
        <v/>
      </c>
    </row>
    <row r="681">
      <c r="B681" t="inlineStr">
        <is>
          <t>TSP-670</t>
        </is>
      </c>
      <c r="C681" t="inlineStr">
        <is>
          <t>No. of batches</t>
        </is>
      </c>
      <c r="D681">
        <f>IFERROR(INDEX(PP_Grid[#Data],$DD681,2),0)</f>
        <v/>
      </c>
      <c r="E681">
        <f>IFERROR(INDEX(PP_Grid[#Data],$DD681,3),0)</f>
        <v/>
      </c>
      <c r="F681">
        <f>IFERROR(INDEX(PP_Grid[#Data],$DD681,4),0)</f>
        <v/>
      </c>
      <c r="G681">
        <f>IFERROR(INDEX(PP_Grid[#Data],$DD681,5),0)</f>
        <v/>
      </c>
      <c r="H681">
        <f>IFERROR(INDEX(PP_Grid[#Data],$DD681,6),0)</f>
        <v/>
      </c>
      <c r="I681">
        <f>IFERROR(INDEX(PP_Grid[#Data],$DD681,7),0)</f>
        <v/>
      </c>
      <c r="J681">
        <f>IFERROR(INDEX(PP_Grid[#Data],$DD681,8),0)</f>
        <v/>
      </c>
      <c r="K681">
        <f>IFERROR(INDEX(PP_Grid[#Data],$DD681,9),0)</f>
        <v/>
      </c>
      <c r="L681">
        <f>IFERROR(INDEX(PP_Grid[#Data],$DD681,10),0)</f>
        <v/>
      </c>
      <c r="M681">
        <f>IFERROR(INDEX(PP_Grid[#Data],$DD681,11),0)</f>
        <v/>
      </c>
      <c r="N681">
        <f>IFERROR(INDEX(PP_Grid[#Data],$DD681,12),0)</f>
        <v/>
      </c>
      <c r="O681">
        <f>IFERROR(INDEX(PP_Grid[#Data],$DD681,13),0)</f>
        <v/>
      </c>
      <c r="P681">
        <f>IFERROR(INDEX(PP_Grid[#Data],$DD681,14),0)</f>
        <v/>
      </c>
      <c r="Q681">
        <f>IFERROR(INDEX(PP_Grid[#Data],$DD681,15),0)</f>
        <v/>
      </c>
      <c r="R681">
        <f>IFERROR(INDEX(PP_Grid[#Data],$DD681,16),0)</f>
        <v/>
      </c>
      <c r="S681">
        <f>IFERROR(INDEX(PP_Grid[#Data],$DD681,17),0)</f>
        <v/>
      </c>
      <c r="T681">
        <f>IFERROR(INDEX(PP_Grid[#Data],$DD681,18),0)</f>
        <v/>
      </c>
      <c r="U681">
        <f>IFERROR(INDEX(PP_Grid[#Data],$DD681,19),0)</f>
        <v/>
      </c>
      <c r="V681">
        <f>IFERROR(INDEX(PP_Grid[#Data],$DD681,20),0)</f>
        <v/>
      </c>
      <c r="W681">
        <f>IFERROR(INDEX(PP_Grid[#Data],$DD681,21),0)</f>
        <v/>
      </c>
      <c r="X681">
        <f>IFERROR(INDEX(PP_Grid[#Data],$DD681,22),0)</f>
        <v/>
      </c>
      <c r="Y681">
        <f>IFERROR(INDEX(PP_Grid[#Data],$DD681,23),0)</f>
        <v/>
      </c>
      <c r="Z681">
        <f>IFERROR(INDEX(PP_Grid[#Data],$DD681,24),0)</f>
        <v/>
      </c>
      <c r="AA681">
        <f>IFERROR(INDEX(PP_Grid[#Data],$DD681,25),0)</f>
        <v/>
      </c>
      <c r="AB681">
        <f>IFERROR(INDEX(PP_Grid[#Data],$DD681,26),0)</f>
        <v/>
      </c>
      <c r="AC681">
        <f>IFERROR(INDEX(PP_Grid[#Data],$DD681,27),0)</f>
        <v/>
      </c>
      <c r="AD681">
        <f>IFERROR(INDEX(PP_Grid[#Data],$DD681,28),0)</f>
        <v/>
      </c>
      <c r="AE681">
        <f>IFERROR(INDEX(PP_Grid[#Data],$DD681,29),0)</f>
        <v/>
      </c>
      <c r="AF681">
        <f>IFERROR(INDEX(PP_Grid[#Data],$DD681,30),0)</f>
        <v/>
      </c>
      <c r="AG681">
        <f>IFERROR(INDEX(PP_Grid[#Data],$DD681,31),0)</f>
        <v/>
      </c>
      <c r="AH681">
        <f>IFERROR(INDEX(PP_Grid[#Data],$DD681,32),0)</f>
        <v/>
      </c>
      <c r="AI681">
        <f>IFERROR(INDEX(PP_Grid[#Data],$DD681,33),0)</f>
        <v/>
      </c>
      <c r="AJ681">
        <f>IFERROR(INDEX(PP_Grid[#Data],$DD681,34),0)</f>
        <v/>
      </c>
      <c r="AK681">
        <f>IFERROR(INDEX(PP_Grid[#Data],$DD681,35),0)</f>
        <v/>
      </c>
      <c r="AL681">
        <f>IFERROR(INDEX(PP_Grid[#Data],$DD681,36),0)</f>
        <v/>
      </c>
      <c r="AM681">
        <f>IFERROR(INDEX(PP_Grid[#Data],$DD681,37),0)</f>
        <v/>
      </c>
      <c r="AN681">
        <f>IFERROR(INDEX(PP_Grid[#Data],$DD681,38),0)</f>
        <v/>
      </c>
      <c r="AO681">
        <f>IFERROR(INDEX(PP_Grid[#Data],$DD681,39),0)</f>
        <v/>
      </c>
      <c r="AP681">
        <f>IFERROR(INDEX(PP_Grid[#Data],$DD681,40),0)</f>
        <v/>
      </c>
      <c r="AQ681">
        <f>IFERROR(INDEX(PP_Grid[#Data],$DD681,41),0)</f>
        <v/>
      </c>
      <c r="AR681">
        <f>IFERROR(INDEX(PP_Grid[#Data],$DD681,42),0)</f>
        <v/>
      </c>
      <c r="AS681">
        <f>IFERROR(INDEX(PP_Grid[#Data],$DD681,43),0)</f>
        <v/>
      </c>
      <c r="AT681">
        <f>IFERROR(INDEX(PP_Grid[#Data],$DD681,44),0)</f>
        <v/>
      </c>
      <c r="AU681">
        <f>IFERROR(INDEX(PP_Grid[#Data],$DD681,45),0)</f>
        <v/>
      </c>
      <c r="AV681">
        <f>IFERROR(INDEX(PP_Grid[#Data],$DD681,46),0)</f>
        <v/>
      </c>
      <c r="AW681">
        <f>IFERROR(INDEX(PP_Grid[#Data],$DD681,47),0)</f>
        <v/>
      </c>
      <c r="AX681">
        <f>IFERROR(INDEX(PP_Grid[#Data],$DD681,48),0)</f>
        <v/>
      </c>
      <c r="AY681">
        <f>IFERROR(INDEX(PP_Grid[#Data],$DD681,49),0)</f>
        <v/>
      </c>
      <c r="AZ681">
        <f>IFERROR(INDEX(PP_Grid[#Data],$DD681,50),0)</f>
        <v/>
      </c>
      <c r="BA681">
        <f>IFERROR(INDEX(PP_Grid[#Data],$DD681,51),0)</f>
        <v/>
      </c>
      <c r="BB681">
        <f>IFERROR(INDEX(PP_Grid[#Data],$DD681,52),0)</f>
        <v/>
      </c>
      <c r="BC681">
        <f>IFERROR(INDEX(PP_Grid[#Data],$DD681,53),0)</f>
        <v/>
      </c>
      <c r="BD681">
        <f>IFERROR(INDEX(PP_Grid[#Data],$DD681,54),0)</f>
        <v/>
      </c>
      <c r="BE681">
        <f>IFERROR(INDEX(PP_Grid[#Data],$DD681,55),0)</f>
        <v/>
      </c>
      <c r="BF681">
        <f>IFERROR(INDEX(PP_Grid[#Data],$DD681,56),0)</f>
        <v/>
      </c>
      <c r="BG681">
        <f>IFERROR(INDEX(PP_Grid[#Data],$DD681,57),0)</f>
        <v/>
      </c>
      <c r="BH681">
        <f>IFERROR(INDEX(PP_Grid[#Data],$DD681,58),0)</f>
        <v/>
      </c>
      <c r="BI681">
        <f>IFERROR(INDEX(PP_Grid[#Data],$DD681,59),0)</f>
        <v/>
      </c>
      <c r="BJ681">
        <f>IFERROR(INDEX(PP_Grid[#Data],$DD681,60),0)</f>
        <v/>
      </c>
      <c r="BK681">
        <f>IFERROR(INDEX(PP_Grid[#Data],$DD681,61),0)</f>
        <v/>
      </c>
      <c r="BL681">
        <f>IFERROR(INDEX(PP_Grid[#Data],$DD681,62),0)</f>
        <v/>
      </c>
      <c r="BM681">
        <f>IFERROR(INDEX(PP_Grid[#Data],$DD681,63),0)</f>
        <v/>
      </c>
      <c r="BN681">
        <f>IFERROR(INDEX(PP_Grid[#Data],$DD681,64),0)</f>
        <v/>
      </c>
      <c r="BO681">
        <f>IFERROR(INDEX(PP_Grid[#Data],$DD681,65),0)</f>
        <v/>
      </c>
      <c r="BP681">
        <f>IFERROR(INDEX(PP_Grid[#Data],$DD681,66),0)</f>
        <v/>
      </c>
      <c r="BQ681">
        <f>IFERROR(INDEX(PP_Grid[#Data],$DD681,67),0)</f>
        <v/>
      </c>
      <c r="BR681">
        <f>IFERROR(INDEX(PP_Grid[#Data],$DD681,68),0)</f>
        <v/>
      </c>
      <c r="BS681">
        <f>IFERROR(INDEX(PP_Grid[#Data],$DD681,69),0)</f>
        <v/>
      </c>
      <c r="BT681">
        <f>IFERROR(INDEX(PP_Grid[#Data],$DD681,70),0)</f>
        <v/>
      </c>
      <c r="BU681">
        <f>IFERROR(INDEX(PP_Grid[#Data],$DD681,71),0)</f>
        <v/>
      </c>
      <c r="BV681">
        <f>IFERROR(INDEX(PP_Grid[#Data],$DD681,72),0)</f>
        <v/>
      </c>
      <c r="BW681">
        <f>IFERROR(INDEX(PP_Grid[#Data],$DD681,73),0)</f>
        <v/>
      </c>
      <c r="BX681">
        <f>IFERROR(INDEX(PP_Grid[#Data],$DD681,74),0)</f>
        <v/>
      </c>
      <c r="BY681">
        <f>IFERROR(INDEX(PP_Grid[#Data],$DD681,75),0)</f>
        <v/>
      </c>
      <c r="BZ681">
        <f>IFERROR(INDEX(PP_Grid[#Data],$DD681,76),0)</f>
        <v/>
      </c>
      <c r="CA681">
        <f>IFERROR(INDEX(PP_Grid[#Data],$DD681,77),0)</f>
        <v/>
      </c>
      <c r="CB681">
        <f>IFERROR(INDEX(PP_Grid[#Data],$DD681,78),0)</f>
        <v/>
      </c>
      <c r="CC681">
        <f>IFERROR(INDEX(PP_Grid[#Data],$DD681,79),0)</f>
        <v/>
      </c>
      <c r="CD681">
        <f>IFERROR(INDEX(PP_Grid[#Data],$DD681,80),0)</f>
        <v/>
      </c>
      <c r="CE681">
        <f>IFERROR(INDEX(PP_Grid[#Data],$DD681,81),0)</f>
        <v/>
      </c>
      <c r="CF681">
        <f>IFERROR(INDEX(PP_Grid[#Data],$DD681,82),0)</f>
        <v/>
      </c>
      <c r="CG681">
        <f>IFERROR(INDEX(PP_Grid[#Data],$DD681,83),0)</f>
        <v/>
      </c>
      <c r="CH681">
        <f>IFERROR(INDEX(PP_Grid[#Data],$DD681,84),0)</f>
        <v/>
      </c>
      <c r="CI681">
        <f>IFERROR(INDEX(PP_Grid[#Data],$DD681,85),0)</f>
        <v/>
      </c>
      <c r="CJ681">
        <f>IFERROR(INDEX(PP_Grid[#Data],$DD681,86),0)</f>
        <v/>
      </c>
      <c r="CK681">
        <f>IFERROR(INDEX(PP_Grid[#Data],$DD681,87),0)</f>
        <v/>
      </c>
      <c r="CL681">
        <f>IFERROR(INDEX(PP_Grid[#Data],$DD681,88),0)</f>
        <v/>
      </c>
      <c r="CM681">
        <f>IFERROR(INDEX(PP_Grid[#Data],$DD681,89),0)</f>
        <v/>
      </c>
      <c r="CN681">
        <f>IFERROR(INDEX(PP_Grid[#Data],$DD681,90),0)</f>
        <v/>
      </c>
      <c r="CO681">
        <f>IFERROR(INDEX(PP_Grid[#Data],$DD681,91),0)</f>
        <v/>
      </c>
      <c r="CP681">
        <f>IFERROR(INDEX(PP_Grid[#Data],$DD681,92),0)</f>
        <v/>
      </c>
      <c r="CQ681">
        <f>IFERROR(INDEX(PP_Grid[#Data],$DD681,93),0)</f>
        <v/>
      </c>
      <c r="CR681">
        <f>IFERROR(INDEX(PP_Grid[#Data],$DD681,94),0)</f>
        <v/>
      </c>
      <c r="CS681">
        <f>IFERROR(INDEX(PP_Grid[#Data],$DD681,95),0)</f>
        <v/>
      </c>
      <c r="CT681">
        <f>IFERROR(INDEX(PP_Grid[#Data],$DD681,96),0)</f>
        <v/>
      </c>
      <c r="CU681">
        <f>IFERROR(INDEX(PP_Grid[#Data],$DD681,97),0)</f>
        <v/>
      </c>
      <c r="CV681">
        <f>IFERROR(INDEX(PP_Grid[#Data],$DD681,98),0)</f>
        <v/>
      </c>
      <c r="CW681">
        <f>IFERROR(INDEX(PP_Grid[#Data],$DD681,99),0)</f>
        <v/>
      </c>
      <c r="CX681">
        <f>IFERROR(INDEX(PP_Grid[#Data],$DD681,100),0)</f>
        <v/>
      </c>
      <c r="CY681">
        <f>IFERROR(INDEX(PP_Grid[#Data],$DD681,101),0)</f>
        <v/>
      </c>
      <c r="CZ681">
        <f>IFERROR(INDEX(PP_Grid[#Data],$DD681,102),0)</f>
        <v/>
      </c>
      <c r="DA681">
        <f>IFERROR(INDEX(PP_Grid[#Data],$DD681,103),0)</f>
        <v/>
      </c>
      <c r="DB681">
        <f>IFERROR(INDEX(PP_Grid[#Data],$DD681,104),0)</f>
        <v/>
      </c>
      <c r="DC681">
        <f>IFERROR(INDEX(PP_Grid[#Data],$DD681,105),0)</f>
        <v/>
      </c>
      <c r="DD681" s="7">
        <f>IFERROR(MATCH($B681,PP_Grid[Intermediate],0),99999)</f>
        <v/>
      </c>
    </row>
    <row r="682">
      <c r="B682" t="inlineStr">
        <is>
          <t>使用量(kg)</t>
        </is>
      </c>
      <c r="C682">
        <f>SUMIFS(M_BOM[RM_Qty_Per_Batch],M_BOM[Intermediate],$B681,M_BOM[Part Name],$A670)</f>
        <v/>
      </c>
      <c r="D682">
        <f>$C682*D681</f>
        <v/>
      </c>
      <c r="E682">
        <f>$C682*E681</f>
        <v/>
      </c>
      <c r="F682">
        <f>$C682*F681</f>
        <v/>
      </c>
      <c r="G682">
        <f>$C682*G681</f>
        <v/>
      </c>
      <c r="H682">
        <f>$C682*H681</f>
        <v/>
      </c>
      <c r="I682">
        <f>$C682*I681</f>
        <v/>
      </c>
      <c r="J682">
        <f>$C682*J681</f>
        <v/>
      </c>
      <c r="K682">
        <f>$C682*K681</f>
        <v/>
      </c>
      <c r="L682">
        <f>$C682*L681</f>
        <v/>
      </c>
      <c r="M682">
        <f>$C682*M681</f>
        <v/>
      </c>
      <c r="N682">
        <f>$C682*N681</f>
        <v/>
      </c>
      <c r="O682">
        <f>$C682*O681</f>
        <v/>
      </c>
      <c r="P682">
        <f>$C682*P681</f>
        <v/>
      </c>
      <c r="Q682">
        <f>$C682*Q681</f>
        <v/>
      </c>
      <c r="R682">
        <f>$C682*R681</f>
        <v/>
      </c>
      <c r="S682">
        <f>$C682*S681</f>
        <v/>
      </c>
      <c r="T682">
        <f>$C682*T681</f>
        <v/>
      </c>
      <c r="U682">
        <f>$C682*U681</f>
        <v/>
      </c>
      <c r="V682">
        <f>$C682*V681</f>
        <v/>
      </c>
      <c r="W682">
        <f>$C682*W681</f>
        <v/>
      </c>
      <c r="X682">
        <f>$C682*X681</f>
        <v/>
      </c>
      <c r="Y682">
        <f>$C682*Y681</f>
        <v/>
      </c>
      <c r="Z682">
        <f>$C682*Z681</f>
        <v/>
      </c>
      <c r="AA682">
        <f>$C682*AA681</f>
        <v/>
      </c>
      <c r="AB682">
        <f>$C682*AB681</f>
        <v/>
      </c>
      <c r="AC682">
        <f>$C682*AC681</f>
        <v/>
      </c>
      <c r="AD682">
        <f>$C682*AD681</f>
        <v/>
      </c>
      <c r="AE682">
        <f>$C682*AE681</f>
        <v/>
      </c>
      <c r="AF682">
        <f>$C682*AF681</f>
        <v/>
      </c>
      <c r="AG682">
        <f>$C682*AG681</f>
        <v/>
      </c>
      <c r="AH682">
        <f>$C682*AH681</f>
        <v/>
      </c>
      <c r="AI682">
        <f>$C682*AI681</f>
        <v/>
      </c>
      <c r="AJ682">
        <f>$C682*AJ681</f>
        <v/>
      </c>
      <c r="AK682">
        <f>$C682*AK681</f>
        <v/>
      </c>
      <c r="AL682">
        <f>$C682*AL681</f>
        <v/>
      </c>
      <c r="AM682">
        <f>$C682*AM681</f>
        <v/>
      </c>
      <c r="AN682">
        <f>$C682*AN681</f>
        <v/>
      </c>
      <c r="AO682">
        <f>$C682*AO681</f>
        <v/>
      </c>
      <c r="AP682">
        <f>$C682*AP681</f>
        <v/>
      </c>
      <c r="AQ682">
        <f>$C682*AQ681</f>
        <v/>
      </c>
      <c r="AR682">
        <f>$C682*AR681</f>
        <v/>
      </c>
      <c r="AS682">
        <f>$C682*AS681</f>
        <v/>
      </c>
      <c r="AT682">
        <f>$C682*AT681</f>
        <v/>
      </c>
      <c r="AU682">
        <f>$C682*AU681</f>
        <v/>
      </c>
      <c r="AV682">
        <f>$C682*AV681</f>
        <v/>
      </c>
      <c r="AW682">
        <f>$C682*AW681</f>
        <v/>
      </c>
      <c r="AX682">
        <f>$C682*AX681</f>
        <v/>
      </c>
      <c r="AY682">
        <f>$C682*AY681</f>
        <v/>
      </c>
      <c r="AZ682">
        <f>$C682*AZ681</f>
        <v/>
      </c>
      <c r="BA682">
        <f>$C682*BA681</f>
        <v/>
      </c>
      <c r="BB682">
        <f>$C682*BB681</f>
        <v/>
      </c>
      <c r="BC682">
        <f>$C682*BC681</f>
        <v/>
      </c>
      <c r="BD682">
        <f>$C682*BD681</f>
        <v/>
      </c>
      <c r="BE682">
        <f>$C682*BE681</f>
        <v/>
      </c>
      <c r="BF682">
        <f>$C682*BF681</f>
        <v/>
      </c>
      <c r="BG682">
        <f>$C682*BG681</f>
        <v/>
      </c>
      <c r="BH682">
        <f>$C682*BH681</f>
        <v/>
      </c>
      <c r="BI682">
        <f>$C682*BI681</f>
        <v/>
      </c>
      <c r="BJ682">
        <f>$C682*BJ681</f>
        <v/>
      </c>
      <c r="BK682">
        <f>$C682*BK681</f>
        <v/>
      </c>
      <c r="BL682">
        <f>$C682*BL681</f>
        <v/>
      </c>
      <c r="BM682">
        <f>$C682*BM681</f>
        <v/>
      </c>
      <c r="BN682">
        <f>$C682*BN681</f>
        <v/>
      </c>
      <c r="BO682">
        <f>$C682*BO681</f>
        <v/>
      </c>
      <c r="BP682">
        <f>$C682*BP681</f>
        <v/>
      </c>
      <c r="BQ682">
        <f>$C682*BQ681</f>
        <v/>
      </c>
      <c r="BR682">
        <f>$C682*BR681</f>
        <v/>
      </c>
      <c r="BS682">
        <f>$C682*BS681</f>
        <v/>
      </c>
      <c r="BT682">
        <f>$C682*BT681</f>
        <v/>
      </c>
      <c r="BU682">
        <f>$C682*BU681</f>
        <v/>
      </c>
      <c r="BV682">
        <f>$C682*BV681</f>
        <v/>
      </c>
      <c r="BW682">
        <f>$C682*BW681</f>
        <v/>
      </c>
      <c r="BX682">
        <f>$C682*BX681</f>
        <v/>
      </c>
      <c r="BY682">
        <f>$C682*BY681</f>
        <v/>
      </c>
      <c r="BZ682">
        <f>$C682*BZ681</f>
        <v/>
      </c>
      <c r="CA682">
        <f>$C682*CA681</f>
        <v/>
      </c>
      <c r="CB682">
        <f>$C682*CB681</f>
        <v/>
      </c>
      <c r="CC682">
        <f>$C682*CC681</f>
        <v/>
      </c>
      <c r="CD682">
        <f>$C682*CD681</f>
        <v/>
      </c>
      <c r="CE682">
        <f>$C682*CE681</f>
        <v/>
      </c>
      <c r="CF682">
        <f>$C682*CF681</f>
        <v/>
      </c>
      <c r="CG682">
        <f>$C682*CG681</f>
        <v/>
      </c>
      <c r="CH682">
        <f>$C682*CH681</f>
        <v/>
      </c>
      <c r="CI682">
        <f>$C682*CI681</f>
        <v/>
      </c>
      <c r="CJ682">
        <f>$C682*CJ681</f>
        <v/>
      </c>
      <c r="CK682">
        <f>$C682*CK681</f>
        <v/>
      </c>
      <c r="CL682">
        <f>$C682*CL681</f>
        <v/>
      </c>
      <c r="CM682">
        <f>$C682*CM681</f>
        <v/>
      </c>
      <c r="CN682">
        <f>$C682*CN681</f>
        <v/>
      </c>
      <c r="CO682">
        <f>$C682*CO681</f>
        <v/>
      </c>
      <c r="CP682">
        <f>$C682*CP681</f>
        <v/>
      </c>
      <c r="CQ682">
        <f>$C682*CQ681</f>
        <v/>
      </c>
      <c r="CR682">
        <f>$C682*CR681</f>
        <v/>
      </c>
      <c r="CS682">
        <f>$C682*CS681</f>
        <v/>
      </c>
      <c r="CT682">
        <f>$C682*CT681</f>
        <v/>
      </c>
      <c r="CU682">
        <f>$C682*CU681</f>
        <v/>
      </c>
      <c r="CV682">
        <f>$C682*CV681</f>
        <v/>
      </c>
      <c r="CW682">
        <f>$C682*CW681</f>
        <v/>
      </c>
      <c r="CX682">
        <f>$C682*CX681</f>
        <v/>
      </c>
      <c r="CY682">
        <f>$C682*CY681</f>
        <v/>
      </c>
      <c r="CZ682">
        <f>$C682*CZ681</f>
        <v/>
      </c>
      <c r="DA682">
        <f>$C682*DA681</f>
        <v/>
      </c>
      <c r="DB682">
        <f>$C682*DB681</f>
        <v/>
      </c>
      <c r="DC682">
        <f>$C682*DC681</f>
        <v/>
      </c>
    </row>
    <row r="683">
      <c r="B683" t="inlineStr">
        <is>
          <t>TSP-699</t>
        </is>
      </c>
      <c r="C683" t="inlineStr">
        <is>
          <t>No. of batches</t>
        </is>
      </c>
      <c r="D683">
        <f>IFERROR(INDEX(PP_Grid[#Data],$DD683,2),0)</f>
        <v/>
      </c>
      <c r="E683">
        <f>IFERROR(INDEX(PP_Grid[#Data],$DD683,3),0)</f>
        <v/>
      </c>
      <c r="F683">
        <f>IFERROR(INDEX(PP_Grid[#Data],$DD683,4),0)</f>
        <v/>
      </c>
      <c r="G683">
        <f>IFERROR(INDEX(PP_Grid[#Data],$DD683,5),0)</f>
        <v/>
      </c>
      <c r="H683">
        <f>IFERROR(INDEX(PP_Grid[#Data],$DD683,6),0)</f>
        <v/>
      </c>
      <c r="I683">
        <f>IFERROR(INDEX(PP_Grid[#Data],$DD683,7),0)</f>
        <v/>
      </c>
      <c r="J683">
        <f>IFERROR(INDEX(PP_Grid[#Data],$DD683,8),0)</f>
        <v/>
      </c>
      <c r="K683">
        <f>IFERROR(INDEX(PP_Grid[#Data],$DD683,9),0)</f>
        <v/>
      </c>
      <c r="L683">
        <f>IFERROR(INDEX(PP_Grid[#Data],$DD683,10),0)</f>
        <v/>
      </c>
      <c r="M683">
        <f>IFERROR(INDEX(PP_Grid[#Data],$DD683,11),0)</f>
        <v/>
      </c>
      <c r="N683">
        <f>IFERROR(INDEX(PP_Grid[#Data],$DD683,12),0)</f>
        <v/>
      </c>
      <c r="O683">
        <f>IFERROR(INDEX(PP_Grid[#Data],$DD683,13),0)</f>
        <v/>
      </c>
      <c r="P683">
        <f>IFERROR(INDEX(PP_Grid[#Data],$DD683,14),0)</f>
        <v/>
      </c>
      <c r="Q683">
        <f>IFERROR(INDEX(PP_Grid[#Data],$DD683,15),0)</f>
        <v/>
      </c>
      <c r="R683">
        <f>IFERROR(INDEX(PP_Grid[#Data],$DD683,16),0)</f>
        <v/>
      </c>
      <c r="S683">
        <f>IFERROR(INDEX(PP_Grid[#Data],$DD683,17),0)</f>
        <v/>
      </c>
      <c r="T683">
        <f>IFERROR(INDEX(PP_Grid[#Data],$DD683,18),0)</f>
        <v/>
      </c>
      <c r="U683">
        <f>IFERROR(INDEX(PP_Grid[#Data],$DD683,19),0)</f>
        <v/>
      </c>
      <c r="V683">
        <f>IFERROR(INDEX(PP_Grid[#Data],$DD683,20),0)</f>
        <v/>
      </c>
      <c r="W683">
        <f>IFERROR(INDEX(PP_Grid[#Data],$DD683,21),0)</f>
        <v/>
      </c>
      <c r="X683">
        <f>IFERROR(INDEX(PP_Grid[#Data],$DD683,22),0)</f>
        <v/>
      </c>
      <c r="Y683">
        <f>IFERROR(INDEX(PP_Grid[#Data],$DD683,23),0)</f>
        <v/>
      </c>
      <c r="Z683">
        <f>IFERROR(INDEX(PP_Grid[#Data],$DD683,24),0)</f>
        <v/>
      </c>
      <c r="AA683">
        <f>IFERROR(INDEX(PP_Grid[#Data],$DD683,25),0)</f>
        <v/>
      </c>
      <c r="AB683">
        <f>IFERROR(INDEX(PP_Grid[#Data],$DD683,26),0)</f>
        <v/>
      </c>
      <c r="AC683">
        <f>IFERROR(INDEX(PP_Grid[#Data],$DD683,27),0)</f>
        <v/>
      </c>
      <c r="AD683">
        <f>IFERROR(INDEX(PP_Grid[#Data],$DD683,28),0)</f>
        <v/>
      </c>
      <c r="AE683">
        <f>IFERROR(INDEX(PP_Grid[#Data],$DD683,29),0)</f>
        <v/>
      </c>
      <c r="AF683">
        <f>IFERROR(INDEX(PP_Grid[#Data],$DD683,30),0)</f>
        <v/>
      </c>
      <c r="AG683">
        <f>IFERROR(INDEX(PP_Grid[#Data],$DD683,31),0)</f>
        <v/>
      </c>
      <c r="AH683">
        <f>IFERROR(INDEX(PP_Grid[#Data],$DD683,32),0)</f>
        <v/>
      </c>
      <c r="AI683">
        <f>IFERROR(INDEX(PP_Grid[#Data],$DD683,33),0)</f>
        <v/>
      </c>
      <c r="AJ683">
        <f>IFERROR(INDEX(PP_Grid[#Data],$DD683,34),0)</f>
        <v/>
      </c>
      <c r="AK683">
        <f>IFERROR(INDEX(PP_Grid[#Data],$DD683,35),0)</f>
        <v/>
      </c>
      <c r="AL683">
        <f>IFERROR(INDEX(PP_Grid[#Data],$DD683,36),0)</f>
        <v/>
      </c>
      <c r="AM683">
        <f>IFERROR(INDEX(PP_Grid[#Data],$DD683,37),0)</f>
        <v/>
      </c>
      <c r="AN683">
        <f>IFERROR(INDEX(PP_Grid[#Data],$DD683,38),0)</f>
        <v/>
      </c>
      <c r="AO683">
        <f>IFERROR(INDEX(PP_Grid[#Data],$DD683,39),0)</f>
        <v/>
      </c>
      <c r="AP683">
        <f>IFERROR(INDEX(PP_Grid[#Data],$DD683,40),0)</f>
        <v/>
      </c>
      <c r="AQ683">
        <f>IFERROR(INDEX(PP_Grid[#Data],$DD683,41),0)</f>
        <v/>
      </c>
      <c r="AR683">
        <f>IFERROR(INDEX(PP_Grid[#Data],$DD683,42),0)</f>
        <v/>
      </c>
      <c r="AS683">
        <f>IFERROR(INDEX(PP_Grid[#Data],$DD683,43),0)</f>
        <v/>
      </c>
      <c r="AT683">
        <f>IFERROR(INDEX(PP_Grid[#Data],$DD683,44),0)</f>
        <v/>
      </c>
      <c r="AU683">
        <f>IFERROR(INDEX(PP_Grid[#Data],$DD683,45),0)</f>
        <v/>
      </c>
      <c r="AV683">
        <f>IFERROR(INDEX(PP_Grid[#Data],$DD683,46),0)</f>
        <v/>
      </c>
      <c r="AW683">
        <f>IFERROR(INDEX(PP_Grid[#Data],$DD683,47),0)</f>
        <v/>
      </c>
      <c r="AX683">
        <f>IFERROR(INDEX(PP_Grid[#Data],$DD683,48),0)</f>
        <v/>
      </c>
      <c r="AY683">
        <f>IFERROR(INDEX(PP_Grid[#Data],$DD683,49),0)</f>
        <v/>
      </c>
      <c r="AZ683">
        <f>IFERROR(INDEX(PP_Grid[#Data],$DD683,50),0)</f>
        <v/>
      </c>
      <c r="BA683">
        <f>IFERROR(INDEX(PP_Grid[#Data],$DD683,51),0)</f>
        <v/>
      </c>
      <c r="BB683">
        <f>IFERROR(INDEX(PP_Grid[#Data],$DD683,52),0)</f>
        <v/>
      </c>
      <c r="BC683">
        <f>IFERROR(INDEX(PP_Grid[#Data],$DD683,53),0)</f>
        <v/>
      </c>
      <c r="BD683">
        <f>IFERROR(INDEX(PP_Grid[#Data],$DD683,54),0)</f>
        <v/>
      </c>
      <c r="BE683">
        <f>IFERROR(INDEX(PP_Grid[#Data],$DD683,55),0)</f>
        <v/>
      </c>
      <c r="BF683">
        <f>IFERROR(INDEX(PP_Grid[#Data],$DD683,56),0)</f>
        <v/>
      </c>
      <c r="BG683">
        <f>IFERROR(INDEX(PP_Grid[#Data],$DD683,57),0)</f>
        <v/>
      </c>
      <c r="BH683">
        <f>IFERROR(INDEX(PP_Grid[#Data],$DD683,58),0)</f>
        <v/>
      </c>
      <c r="BI683">
        <f>IFERROR(INDEX(PP_Grid[#Data],$DD683,59),0)</f>
        <v/>
      </c>
      <c r="BJ683">
        <f>IFERROR(INDEX(PP_Grid[#Data],$DD683,60),0)</f>
        <v/>
      </c>
      <c r="BK683">
        <f>IFERROR(INDEX(PP_Grid[#Data],$DD683,61),0)</f>
        <v/>
      </c>
      <c r="BL683">
        <f>IFERROR(INDEX(PP_Grid[#Data],$DD683,62),0)</f>
        <v/>
      </c>
      <c r="BM683">
        <f>IFERROR(INDEX(PP_Grid[#Data],$DD683,63),0)</f>
        <v/>
      </c>
      <c r="BN683">
        <f>IFERROR(INDEX(PP_Grid[#Data],$DD683,64),0)</f>
        <v/>
      </c>
      <c r="BO683">
        <f>IFERROR(INDEX(PP_Grid[#Data],$DD683,65),0)</f>
        <v/>
      </c>
      <c r="BP683">
        <f>IFERROR(INDEX(PP_Grid[#Data],$DD683,66),0)</f>
        <v/>
      </c>
      <c r="BQ683">
        <f>IFERROR(INDEX(PP_Grid[#Data],$DD683,67),0)</f>
        <v/>
      </c>
      <c r="BR683">
        <f>IFERROR(INDEX(PP_Grid[#Data],$DD683,68),0)</f>
        <v/>
      </c>
      <c r="BS683">
        <f>IFERROR(INDEX(PP_Grid[#Data],$DD683,69),0)</f>
        <v/>
      </c>
      <c r="BT683">
        <f>IFERROR(INDEX(PP_Grid[#Data],$DD683,70),0)</f>
        <v/>
      </c>
      <c r="BU683">
        <f>IFERROR(INDEX(PP_Grid[#Data],$DD683,71),0)</f>
        <v/>
      </c>
      <c r="BV683">
        <f>IFERROR(INDEX(PP_Grid[#Data],$DD683,72),0)</f>
        <v/>
      </c>
      <c r="BW683">
        <f>IFERROR(INDEX(PP_Grid[#Data],$DD683,73),0)</f>
        <v/>
      </c>
      <c r="BX683">
        <f>IFERROR(INDEX(PP_Grid[#Data],$DD683,74),0)</f>
        <v/>
      </c>
      <c r="BY683">
        <f>IFERROR(INDEX(PP_Grid[#Data],$DD683,75),0)</f>
        <v/>
      </c>
      <c r="BZ683">
        <f>IFERROR(INDEX(PP_Grid[#Data],$DD683,76),0)</f>
        <v/>
      </c>
      <c r="CA683">
        <f>IFERROR(INDEX(PP_Grid[#Data],$DD683,77),0)</f>
        <v/>
      </c>
      <c r="CB683">
        <f>IFERROR(INDEX(PP_Grid[#Data],$DD683,78),0)</f>
        <v/>
      </c>
      <c r="CC683">
        <f>IFERROR(INDEX(PP_Grid[#Data],$DD683,79),0)</f>
        <v/>
      </c>
      <c r="CD683">
        <f>IFERROR(INDEX(PP_Grid[#Data],$DD683,80),0)</f>
        <v/>
      </c>
      <c r="CE683">
        <f>IFERROR(INDEX(PP_Grid[#Data],$DD683,81),0)</f>
        <v/>
      </c>
      <c r="CF683">
        <f>IFERROR(INDEX(PP_Grid[#Data],$DD683,82),0)</f>
        <v/>
      </c>
      <c r="CG683">
        <f>IFERROR(INDEX(PP_Grid[#Data],$DD683,83),0)</f>
        <v/>
      </c>
      <c r="CH683">
        <f>IFERROR(INDEX(PP_Grid[#Data],$DD683,84),0)</f>
        <v/>
      </c>
      <c r="CI683">
        <f>IFERROR(INDEX(PP_Grid[#Data],$DD683,85),0)</f>
        <v/>
      </c>
      <c r="CJ683">
        <f>IFERROR(INDEX(PP_Grid[#Data],$DD683,86),0)</f>
        <v/>
      </c>
      <c r="CK683">
        <f>IFERROR(INDEX(PP_Grid[#Data],$DD683,87),0)</f>
        <v/>
      </c>
      <c r="CL683">
        <f>IFERROR(INDEX(PP_Grid[#Data],$DD683,88),0)</f>
        <v/>
      </c>
      <c r="CM683">
        <f>IFERROR(INDEX(PP_Grid[#Data],$DD683,89),0)</f>
        <v/>
      </c>
      <c r="CN683">
        <f>IFERROR(INDEX(PP_Grid[#Data],$DD683,90),0)</f>
        <v/>
      </c>
      <c r="CO683">
        <f>IFERROR(INDEX(PP_Grid[#Data],$DD683,91),0)</f>
        <v/>
      </c>
      <c r="CP683">
        <f>IFERROR(INDEX(PP_Grid[#Data],$DD683,92),0)</f>
        <v/>
      </c>
      <c r="CQ683">
        <f>IFERROR(INDEX(PP_Grid[#Data],$DD683,93),0)</f>
        <v/>
      </c>
      <c r="CR683">
        <f>IFERROR(INDEX(PP_Grid[#Data],$DD683,94),0)</f>
        <v/>
      </c>
      <c r="CS683">
        <f>IFERROR(INDEX(PP_Grid[#Data],$DD683,95),0)</f>
        <v/>
      </c>
      <c r="CT683">
        <f>IFERROR(INDEX(PP_Grid[#Data],$DD683,96),0)</f>
        <v/>
      </c>
      <c r="CU683">
        <f>IFERROR(INDEX(PP_Grid[#Data],$DD683,97),0)</f>
        <v/>
      </c>
      <c r="CV683">
        <f>IFERROR(INDEX(PP_Grid[#Data],$DD683,98),0)</f>
        <v/>
      </c>
      <c r="CW683">
        <f>IFERROR(INDEX(PP_Grid[#Data],$DD683,99),0)</f>
        <v/>
      </c>
      <c r="CX683">
        <f>IFERROR(INDEX(PP_Grid[#Data],$DD683,100),0)</f>
        <v/>
      </c>
      <c r="CY683">
        <f>IFERROR(INDEX(PP_Grid[#Data],$DD683,101),0)</f>
        <v/>
      </c>
      <c r="CZ683">
        <f>IFERROR(INDEX(PP_Grid[#Data],$DD683,102),0)</f>
        <v/>
      </c>
      <c r="DA683">
        <f>IFERROR(INDEX(PP_Grid[#Data],$DD683,103),0)</f>
        <v/>
      </c>
      <c r="DB683">
        <f>IFERROR(INDEX(PP_Grid[#Data],$DD683,104),0)</f>
        <v/>
      </c>
      <c r="DC683">
        <f>IFERROR(INDEX(PP_Grid[#Data],$DD683,105),0)</f>
        <v/>
      </c>
      <c r="DD683" s="7">
        <f>IFERROR(MATCH($B683,PP_Grid[Intermediate],0),99999)</f>
        <v/>
      </c>
    </row>
    <row r="684">
      <c r="B684" t="inlineStr">
        <is>
          <t>使用量(kg)</t>
        </is>
      </c>
      <c r="C684">
        <f>SUMIFS(M_BOM[RM_Qty_Per_Batch],M_BOM[Intermediate],$B683,M_BOM[Part Name],$A670)</f>
        <v/>
      </c>
      <c r="D684">
        <f>$C684*D683</f>
        <v/>
      </c>
      <c r="E684">
        <f>$C684*E683</f>
        <v/>
      </c>
      <c r="F684">
        <f>$C684*F683</f>
        <v/>
      </c>
      <c r="G684">
        <f>$C684*G683</f>
        <v/>
      </c>
      <c r="H684">
        <f>$C684*H683</f>
        <v/>
      </c>
      <c r="I684">
        <f>$C684*I683</f>
        <v/>
      </c>
      <c r="J684">
        <f>$C684*J683</f>
        <v/>
      </c>
      <c r="K684">
        <f>$C684*K683</f>
        <v/>
      </c>
      <c r="L684">
        <f>$C684*L683</f>
        <v/>
      </c>
      <c r="M684">
        <f>$C684*M683</f>
        <v/>
      </c>
      <c r="N684">
        <f>$C684*N683</f>
        <v/>
      </c>
      <c r="O684">
        <f>$C684*O683</f>
        <v/>
      </c>
      <c r="P684">
        <f>$C684*P683</f>
        <v/>
      </c>
      <c r="Q684">
        <f>$C684*Q683</f>
        <v/>
      </c>
      <c r="R684">
        <f>$C684*R683</f>
        <v/>
      </c>
      <c r="S684">
        <f>$C684*S683</f>
        <v/>
      </c>
      <c r="T684">
        <f>$C684*T683</f>
        <v/>
      </c>
      <c r="U684">
        <f>$C684*U683</f>
        <v/>
      </c>
      <c r="V684">
        <f>$C684*V683</f>
        <v/>
      </c>
      <c r="W684">
        <f>$C684*W683</f>
        <v/>
      </c>
      <c r="X684">
        <f>$C684*X683</f>
        <v/>
      </c>
      <c r="Y684">
        <f>$C684*Y683</f>
        <v/>
      </c>
      <c r="Z684">
        <f>$C684*Z683</f>
        <v/>
      </c>
      <c r="AA684">
        <f>$C684*AA683</f>
        <v/>
      </c>
      <c r="AB684">
        <f>$C684*AB683</f>
        <v/>
      </c>
      <c r="AC684">
        <f>$C684*AC683</f>
        <v/>
      </c>
      <c r="AD684">
        <f>$C684*AD683</f>
        <v/>
      </c>
      <c r="AE684">
        <f>$C684*AE683</f>
        <v/>
      </c>
      <c r="AF684">
        <f>$C684*AF683</f>
        <v/>
      </c>
      <c r="AG684">
        <f>$C684*AG683</f>
        <v/>
      </c>
      <c r="AH684">
        <f>$C684*AH683</f>
        <v/>
      </c>
      <c r="AI684">
        <f>$C684*AI683</f>
        <v/>
      </c>
      <c r="AJ684">
        <f>$C684*AJ683</f>
        <v/>
      </c>
      <c r="AK684">
        <f>$C684*AK683</f>
        <v/>
      </c>
      <c r="AL684">
        <f>$C684*AL683</f>
        <v/>
      </c>
      <c r="AM684">
        <f>$C684*AM683</f>
        <v/>
      </c>
      <c r="AN684">
        <f>$C684*AN683</f>
        <v/>
      </c>
      <c r="AO684">
        <f>$C684*AO683</f>
        <v/>
      </c>
      <c r="AP684">
        <f>$C684*AP683</f>
        <v/>
      </c>
      <c r="AQ684">
        <f>$C684*AQ683</f>
        <v/>
      </c>
      <c r="AR684">
        <f>$C684*AR683</f>
        <v/>
      </c>
      <c r="AS684">
        <f>$C684*AS683</f>
        <v/>
      </c>
      <c r="AT684">
        <f>$C684*AT683</f>
        <v/>
      </c>
      <c r="AU684">
        <f>$C684*AU683</f>
        <v/>
      </c>
      <c r="AV684">
        <f>$C684*AV683</f>
        <v/>
      </c>
      <c r="AW684">
        <f>$C684*AW683</f>
        <v/>
      </c>
      <c r="AX684">
        <f>$C684*AX683</f>
        <v/>
      </c>
      <c r="AY684">
        <f>$C684*AY683</f>
        <v/>
      </c>
      <c r="AZ684">
        <f>$C684*AZ683</f>
        <v/>
      </c>
      <c r="BA684">
        <f>$C684*BA683</f>
        <v/>
      </c>
      <c r="BB684">
        <f>$C684*BB683</f>
        <v/>
      </c>
      <c r="BC684">
        <f>$C684*BC683</f>
        <v/>
      </c>
      <c r="BD684">
        <f>$C684*BD683</f>
        <v/>
      </c>
      <c r="BE684">
        <f>$C684*BE683</f>
        <v/>
      </c>
      <c r="BF684">
        <f>$C684*BF683</f>
        <v/>
      </c>
      <c r="BG684">
        <f>$C684*BG683</f>
        <v/>
      </c>
      <c r="BH684">
        <f>$C684*BH683</f>
        <v/>
      </c>
      <c r="BI684">
        <f>$C684*BI683</f>
        <v/>
      </c>
      <c r="BJ684">
        <f>$C684*BJ683</f>
        <v/>
      </c>
      <c r="BK684">
        <f>$C684*BK683</f>
        <v/>
      </c>
      <c r="BL684">
        <f>$C684*BL683</f>
        <v/>
      </c>
      <c r="BM684">
        <f>$C684*BM683</f>
        <v/>
      </c>
      <c r="BN684">
        <f>$C684*BN683</f>
        <v/>
      </c>
      <c r="BO684">
        <f>$C684*BO683</f>
        <v/>
      </c>
      <c r="BP684">
        <f>$C684*BP683</f>
        <v/>
      </c>
      <c r="BQ684">
        <f>$C684*BQ683</f>
        <v/>
      </c>
      <c r="BR684">
        <f>$C684*BR683</f>
        <v/>
      </c>
      <c r="BS684">
        <f>$C684*BS683</f>
        <v/>
      </c>
      <c r="BT684">
        <f>$C684*BT683</f>
        <v/>
      </c>
      <c r="BU684">
        <f>$C684*BU683</f>
        <v/>
      </c>
      <c r="BV684">
        <f>$C684*BV683</f>
        <v/>
      </c>
      <c r="BW684">
        <f>$C684*BW683</f>
        <v/>
      </c>
      <c r="BX684">
        <f>$C684*BX683</f>
        <v/>
      </c>
      <c r="BY684">
        <f>$C684*BY683</f>
        <v/>
      </c>
      <c r="BZ684">
        <f>$C684*BZ683</f>
        <v/>
      </c>
      <c r="CA684">
        <f>$C684*CA683</f>
        <v/>
      </c>
      <c r="CB684">
        <f>$C684*CB683</f>
        <v/>
      </c>
      <c r="CC684">
        <f>$C684*CC683</f>
        <v/>
      </c>
      <c r="CD684">
        <f>$C684*CD683</f>
        <v/>
      </c>
      <c r="CE684">
        <f>$C684*CE683</f>
        <v/>
      </c>
      <c r="CF684">
        <f>$C684*CF683</f>
        <v/>
      </c>
      <c r="CG684">
        <f>$C684*CG683</f>
        <v/>
      </c>
      <c r="CH684">
        <f>$C684*CH683</f>
        <v/>
      </c>
      <c r="CI684">
        <f>$C684*CI683</f>
        <v/>
      </c>
      <c r="CJ684">
        <f>$C684*CJ683</f>
        <v/>
      </c>
      <c r="CK684">
        <f>$C684*CK683</f>
        <v/>
      </c>
      <c r="CL684">
        <f>$C684*CL683</f>
        <v/>
      </c>
      <c r="CM684">
        <f>$C684*CM683</f>
        <v/>
      </c>
      <c r="CN684">
        <f>$C684*CN683</f>
        <v/>
      </c>
      <c r="CO684">
        <f>$C684*CO683</f>
        <v/>
      </c>
      <c r="CP684">
        <f>$C684*CP683</f>
        <v/>
      </c>
      <c r="CQ684">
        <f>$C684*CQ683</f>
        <v/>
      </c>
      <c r="CR684">
        <f>$C684*CR683</f>
        <v/>
      </c>
      <c r="CS684">
        <f>$C684*CS683</f>
        <v/>
      </c>
      <c r="CT684">
        <f>$C684*CT683</f>
        <v/>
      </c>
      <c r="CU684">
        <f>$C684*CU683</f>
        <v/>
      </c>
      <c r="CV684">
        <f>$C684*CV683</f>
        <v/>
      </c>
      <c r="CW684">
        <f>$C684*CW683</f>
        <v/>
      </c>
      <c r="CX684">
        <f>$C684*CX683</f>
        <v/>
      </c>
      <c r="CY684">
        <f>$C684*CY683</f>
        <v/>
      </c>
      <c r="CZ684">
        <f>$C684*CZ683</f>
        <v/>
      </c>
      <c r="DA684">
        <f>$C684*DA683</f>
        <v/>
      </c>
      <c r="DB684">
        <f>$C684*DB683</f>
        <v/>
      </c>
      <c r="DC684">
        <f>$C684*DC683</f>
        <v/>
      </c>
    </row>
    <row r="685">
      <c r="B685" t="inlineStr">
        <is>
          <t>TSP-1448</t>
        </is>
      </c>
      <c r="C685" t="inlineStr">
        <is>
          <t>No. of batches</t>
        </is>
      </c>
      <c r="D685">
        <f>IFERROR(INDEX(PP_Grid[#Data],$DD685,2),0)</f>
        <v/>
      </c>
      <c r="E685">
        <f>IFERROR(INDEX(PP_Grid[#Data],$DD685,3),0)</f>
        <v/>
      </c>
      <c r="F685">
        <f>IFERROR(INDEX(PP_Grid[#Data],$DD685,4),0)</f>
        <v/>
      </c>
      <c r="G685">
        <f>IFERROR(INDEX(PP_Grid[#Data],$DD685,5),0)</f>
        <v/>
      </c>
      <c r="H685">
        <f>IFERROR(INDEX(PP_Grid[#Data],$DD685,6),0)</f>
        <v/>
      </c>
      <c r="I685">
        <f>IFERROR(INDEX(PP_Grid[#Data],$DD685,7),0)</f>
        <v/>
      </c>
      <c r="J685">
        <f>IFERROR(INDEX(PP_Grid[#Data],$DD685,8),0)</f>
        <v/>
      </c>
      <c r="K685">
        <f>IFERROR(INDEX(PP_Grid[#Data],$DD685,9),0)</f>
        <v/>
      </c>
      <c r="L685">
        <f>IFERROR(INDEX(PP_Grid[#Data],$DD685,10),0)</f>
        <v/>
      </c>
      <c r="M685">
        <f>IFERROR(INDEX(PP_Grid[#Data],$DD685,11),0)</f>
        <v/>
      </c>
      <c r="N685">
        <f>IFERROR(INDEX(PP_Grid[#Data],$DD685,12),0)</f>
        <v/>
      </c>
      <c r="O685">
        <f>IFERROR(INDEX(PP_Grid[#Data],$DD685,13),0)</f>
        <v/>
      </c>
      <c r="P685">
        <f>IFERROR(INDEX(PP_Grid[#Data],$DD685,14),0)</f>
        <v/>
      </c>
      <c r="Q685">
        <f>IFERROR(INDEX(PP_Grid[#Data],$DD685,15),0)</f>
        <v/>
      </c>
      <c r="R685">
        <f>IFERROR(INDEX(PP_Grid[#Data],$DD685,16),0)</f>
        <v/>
      </c>
      <c r="S685">
        <f>IFERROR(INDEX(PP_Grid[#Data],$DD685,17),0)</f>
        <v/>
      </c>
      <c r="T685">
        <f>IFERROR(INDEX(PP_Grid[#Data],$DD685,18),0)</f>
        <v/>
      </c>
      <c r="U685">
        <f>IFERROR(INDEX(PP_Grid[#Data],$DD685,19),0)</f>
        <v/>
      </c>
      <c r="V685">
        <f>IFERROR(INDEX(PP_Grid[#Data],$DD685,20),0)</f>
        <v/>
      </c>
      <c r="W685">
        <f>IFERROR(INDEX(PP_Grid[#Data],$DD685,21),0)</f>
        <v/>
      </c>
      <c r="X685">
        <f>IFERROR(INDEX(PP_Grid[#Data],$DD685,22),0)</f>
        <v/>
      </c>
      <c r="Y685">
        <f>IFERROR(INDEX(PP_Grid[#Data],$DD685,23),0)</f>
        <v/>
      </c>
      <c r="Z685">
        <f>IFERROR(INDEX(PP_Grid[#Data],$DD685,24),0)</f>
        <v/>
      </c>
      <c r="AA685">
        <f>IFERROR(INDEX(PP_Grid[#Data],$DD685,25),0)</f>
        <v/>
      </c>
      <c r="AB685">
        <f>IFERROR(INDEX(PP_Grid[#Data],$DD685,26),0)</f>
        <v/>
      </c>
      <c r="AC685">
        <f>IFERROR(INDEX(PP_Grid[#Data],$DD685,27),0)</f>
        <v/>
      </c>
      <c r="AD685">
        <f>IFERROR(INDEX(PP_Grid[#Data],$DD685,28),0)</f>
        <v/>
      </c>
      <c r="AE685">
        <f>IFERROR(INDEX(PP_Grid[#Data],$DD685,29),0)</f>
        <v/>
      </c>
      <c r="AF685">
        <f>IFERROR(INDEX(PP_Grid[#Data],$DD685,30),0)</f>
        <v/>
      </c>
      <c r="AG685">
        <f>IFERROR(INDEX(PP_Grid[#Data],$DD685,31),0)</f>
        <v/>
      </c>
      <c r="AH685">
        <f>IFERROR(INDEX(PP_Grid[#Data],$DD685,32),0)</f>
        <v/>
      </c>
      <c r="AI685">
        <f>IFERROR(INDEX(PP_Grid[#Data],$DD685,33),0)</f>
        <v/>
      </c>
      <c r="AJ685">
        <f>IFERROR(INDEX(PP_Grid[#Data],$DD685,34),0)</f>
        <v/>
      </c>
      <c r="AK685">
        <f>IFERROR(INDEX(PP_Grid[#Data],$DD685,35),0)</f>
        <v/>
      </c>
      <c r="AL685">
        <f>IFERROR(INDEX(PP_Grid[#Data],$DD685,36),0)</f>
        <v/>
      </c>
      <c r="AM685">
        <f>IFERROR(INDEX(PP_Grid[#Data],$DD685,37),0)</f>
        <v/>
      </c>
      <c r="AN685">
        <f>IFERROR(INDEX(PP_Grid[#Data],$DD685,38),0)</f>
        <v/>
      </c>
      <c r="AO685">
        <f>IFERROR(INDEX(PP_Grid[#Data],$DD685,39),0)</f>
        <v/>
      </c>
      <c r="AP685">
        <f>IFERROR(INDEX(PP_Grid[#Data],$DD685,40),0)</f>
        <v/>
      </c>
      <c r="AQ685">
        <f>IFERROR(INDEX(PP_Grid[#Data],$DD685,41),0)</f>
        <v/>
      </c>
      <c r="AR685">
        <f>IFERROR(INDEX(PP_Grid[#Data],$DD685,42),0)</f>
        <v/>
      </c>
      <c r="AS685">
        <f>IFERROR(INDEX(PP_Grid[#Data],$DD685,43),0)</f>
        <v/>
      </c>
      <c r="AT685">
        <f>IFERROR(INDEX(PP_Grid[#Data],$DD685,44),0)</f>
        <v/>
      </c>
      <c r="AU685">
        <f>IFERROR(INDEX(PP_Grid[#Data],$DD685,45),0)</f>
        <v/>
      </c>
      <c r="AV685">
        <f>IFERROR(INDEX(PP_Grid[#Data],$DD685,46),0)</f>
        <v/>
      </c>
      <c r="AW685">
        <f>IFERROR(INDEX(PP_Grid[#Data],$DD685,47),0)</f>
        <v/>
      </c>
      <c r="AX685">
        <f>IFERROR(INDEX(PP_Grid[#Data],$DD685,48),0)</f>
        <v/>
      </c>
      <c r="AY685">
        <f>IFERROR(INDEX(PP_Grid[#Data],$DD685,49),0)</f>
        <v/>
      </c>
      <c r="AZ685">
        <f>IFERROR(INDEX(PP_Grid[#Data],$DD685,50),0)</f>
        <v/>
      </c>
      <c r="BA685">
        <f>IFERROR(INDEX(PP_Grid[#Data],$DD685,51),0)</f>
        <v/>
      </c>
      <c r="BB685">
        <f>IFERROR(INDEX(PP_Grid[#Data],$DD685,52),0)</f>
        <v/>
      </c>
      <c r="BC685">
        <f>IFERROR(INDEX(PP_Grid[#Data],$DD685,53),0)</f>
        <v/>
      </c>
      <c r="BD685">
        <f>IFERROR(INDEX(PP_Grid[#Data],$DD685,54),0)</f>
        <v/>
      </c>
      <c r="BE685">
        <f>IFERROR(INDEX(PP_Grid[#Data],$DD685,55),0)</f>
        <v/>
      </c>
      <c r="BF685">
        <f>IFERROR(INDEX(PP_Grid[#Data],$DD685,56),0)</f>
        <v/>
      </c>
      <c r="BG685">
        <f>IFERROR(INDEX(PP_Grid[#Data],$DD685,57),0)</f>
        <v/>
      </c>
      <c r="BH685">
        <f>IFERROR(INDEX(PP_Grid[#Data],$DD685,58),0)</f>
        <v/>
      </c>
      <c r="BI685">
        <f>IFERROR(INDEX(PP_Grid[#Data],$DD685,59),0)</f>
        <v/>
      </c>
      <c r="BJ685">
        <f>IFERROR(INDEX(PP_Grid[#Data],$DD685,60),0)</f>
        <v/>
      </c>
      <c r="BK685">
        <f>IFERROR(INDEX(PP_Grid[#Data],$DD685,61),0)</f>
        <v/>
      </c>
      <c r="BL685">
        <f>IFERROR(INDEX(PP_Grid[#Data],$DD685,62),0)</f>
        <v/>
      </c>
      <c r="BM685">
        <f>IFERROR(INDEX(PP_Grid[#Data],$DD685,63),0)</f>
        <v/>
      </c>
      <c r="BN685">
        <f>IFERROR(INDEX(PP_Grid[#Data],$DD685,64),0)</f>
        <v/>
      </c>
      <c r="BO685">
        <f>IFERROR(INDEX(PP_Grid[#Data],$DD685,65),0)</f>
        <v/>
      </c>
      <c r="BP685">
        <f>IFERROR(INDEX(PP_Grid[#Data],$DD685,66),0)</f>
        <v/>
      </c>
      <c r="BQ685">
        <f>IFERROR(INDEX(PP_Grid[#Data],$DD685,67),0)</f>
        <v/>
      </c>
      <c r="BR685">
        <f>IFERROR(INDEX(PP_Grid[#Data],$DD685,68),0)</f>
        <v/>
      </c>
      <c r="BS685">
        <f>IFERROR(INDEX(PP_Grid[#Data],$DD685,69),0)</f>
        <v/>
      </c>
      <c r="BT685">
        <f>IFERROR(INDEX(PP_Grid[#Data],$DD685,70),0)</f>
        <v/>
      </c>
      <c r="BU685">
        <f>IFERROR(INDEX(PP_Grid[#Data],$DD685,71),0)</f>
        <v/>
      </c>
      <c r="BV685">
        <f>IFERROR(INDEX(PP_Grid[#Data],$DD685,72),0)</f>
        <v/>
      </c>
      <c r="BW685">
        <f>IFERROR(INDEX(PP_Grid[#Data],$DD685,73),0)</f>
        <v/>
      </c>
      <c r="BX685">
        <f>IFERROR(INDEX(PP_Grid[#Data],$DD685,74),0)</f>
        <v/>
      </c>
      <c r="BY685">
        <f>IFERROR(INDEX(PP_Grid[#Data],$DD685,75),0)</f>
        <v/>
      </c>
      <c r="BZ685">
        <f>IFERROR(INDEX(PP_Grid[#Data],$DD685,76),0)</f>
        <v/>
      </c>
      <c r="CA685">
        <f>IFERROR(INDEX(PP_Grid[#Data],$DD685,77),0)</f>
        <v/>
      </c>
      <c r="CB685">
        <f>IFERROR(INDEX(PP_Grid[#Data],$DD685,78),0)</f>
        <v/>
      </c>
      <c r="CC685">
        <f>IFERROR(INDEX(PP_Grid[#Data],$DD685,79),0)</f>
        <v/>
      </c>
      <c r="CD685">
        <f>IFERROR(INDEX(PP_Grid[#Data],$DD685,80),0)</f>
        <v/>
      </c>
      <c r="CE685">
        <f>IFERROR(INDEX(PP_Grid[#Data],$DD685,81),0)</f>
        <v/>
      </c>
      <c r="CF685">
        <f>IFERROR(INDEX(PP_Grid[#Data],$DD685,82),0)</f>
        <v/>
      </c>
      <c r="CG685">
        <f>IFERROR(INDEX(PP_Grid[#Data],$DD685,83),0)</f>
        <v/>
      </c>
      <c r="CH685">
        <f>IFERROR(INDEX(PP_Grid[#Data],$DD685,84),0)</f>
        <v/>
      </c>
      <c r="CI685">
        <f>IFERROR(INDEX(PP_Grid[#Data],$DD685,85),0)</f>
        <v/>
      </c>
      <c r="CJ685">
        <f>IFERROR(INDEX(PP_Grid[#Data],$DD685,86),0)</f>
        <v/>
      </c>
      <c r="CK685">
        <f>IFERROR(INDEX(PP_Grid[#Data],$DD685,87),0)</f>
        <v/>
      </c>
      <c r="CL685">
        <f>IFERROR(INDEX(PP_Grid[#Data],$DD685,88),0)</f>
        <v/>
      </c>
      <c r="CM685">
        <f>IFERROR(INDEX(PP_Grid[#Data],$DD685,89),0)</f>
        <v/>
      </c>
      <c r="CN685">
        <f>IFERROR(INDEX(PP_Grid[#Data],$DD685,90),0)</f>
        <v/>
      </c>
      <c r="CO685">
        <f>IFERROR(INDEX(PP_Grid[#Data],$DD685,91),0)</f>
        <v/>
      </c>
      <c r="CP685">
        <f>IFERROR(INDEX(PP_Grid[#Data],$DD685,92),0)</f>
        <v/>
      </c>
      <c r="CQ685">
        <f>IFERROR(INDEX(PP_Grid[#Data],$DD685,93),0)</f>
        <v/>
      </c>
      <c r="CR685">
        <f>IFERROR(INDEX(PP_Grid[#Data],$DD685,94),0)</f>
        <v/>
      </c>
      <c r="CS685">
        <f>IFERROR(INDEX(PP_Grid[#Data],$DD685,95),0)</f>
        <v/>
      </c>
      <c r="CT685">
        <f>IFERROR(INDEX(PP_Grid[#Data],$DD685,96),0)</f>
        <v/>
      </c>
      <c r="CU685">
        <f>IFERROR(INDEX(PP_Grid[#Data],$DD685,97),0)</f>
        <v/>
      </c>
      <c r="CV685">
        <f>IFERROR(INDEX(PP_Grid[#Data],$DD685,98),0)</f>
        <v/>
      </c>
      <c r="CW685">
        <f>IFERROR(INDEX(PP_Grid[#Data],$DD685,99),0)</f>
        <v/>
      </c>
      <c r="CX685">
        <f>IFERROR(INDEX(PP_Grid[#Data],$DD685,100),0)</f>
        <v/>
      </c>
      <c r="CY685">
        <f>IFERROR(INDEX(PP_Grid[#Data],$DD685,101),0)</f>
        <v/>
      </c>
      <c r="CZ685">
        <f>IFERROR(INDEX(PP_Grid[#Data],$DD685,102),0)</f>
        <v/>
      </c>
      <c r="DA685">
        <f>IFERROR(INDEX(PP_Grid[#Data],$DD685,103),0)</f>
        <v/>
      </c>
      <c r="DB685">
        <f>IFERROR(INDEX(PP_Grid[#Data],$DD685,104),0)</f>
        <v/>
      </c>
      <c r="DC685">
        <f>IFERROR(INDEX(PP_Grid[#Data],$DD685,105),0)</f>
        <v/>
      </c>
      <c r="DD685" s="7">
        <f>IFERROR(MATCH($B685,PP_Grid[Intermediate],0),99999)</f>
        <v/>
      </c>
    </row>
    <row r="686">
      <c r="B686" t="inlineStr">
        <is>
          <t>使用量(kg)</t>
        </is>
      </c>
      <c r="C686">
        <f>SUMIFS(M_BOM[RM_Qty_Per_Batch],M_BOM[Intermediate],$B685,M_BOM[Part Name],$A670)</f>
        <v/>
      </c>
      <c r="D686">
        <f>$C686*D685</f>
        <v/>
      </c>
      <c r="E686">
        <f>$C686*E685</f>
        <v/>
      </c>
      <c r="F686">
        <f>$C686*F685</f>
        <v/>
      </c>
      <c r="G686">
        <f>$C686*G685</f>
        <v/>
      </c>
      <c r="H686">
        <f>$C686*H685</f>
        <v/>
      </c>
      <c r="I686">
        <f>$C686*I685</f>
        <v/>
      </c>
      <c r="J686">
        <f>$C686*J685</f>
        <v/>
      </c>
      <c r="K686">
        <f>$C686*K685</f>
        <v/>
      </c>
      <c r="L686">
        <f>$C686*L685</f>
        <v/>
      </c>
      <c r="M686">
        <f>$C686*M685</f>
        <v/>
      </c>
      <c r="N686">
        <f>$C686*N685</f>
        <v/>
      </c>
      <c r="O686">
        <f>$C686*O685</f>
        <v/>
      </c>
      <c r="P686">
        <f>$C686*P685</f>
        <v/>
      </c>
      <c r="Q686">
        <f>$C686*Q685</f>
        <v/>
      </c>
      <c r="R686">
        <f>$C686*R685</f>
        <v/>
      </c>
      <c r="S686">
        <f>$C686*S685</f>
        <v/>
      </c>
      <c r="T686">
        <f>$C686*T685</f>
        <v/>
      </c>
      <c r="U686">
        <f>$C686*U685</f>
        <v/>
      </c>
      <c r="V686">
        <f>$C686*V685</f>
        <v/>
      </c>
      <c r="W686">
        <f>$C686*W685</f>
        <v/>
      </c>
      <c r="X686">
        <f>$C686*X685</f>
        <v/>
      </c>
      <c r="Y686">
        <f>$C686*Y685</f>
        <v/>
      </c>
      <c r="Z686">
        <f>$C686*Z685</f>
        <v/>
      </c>
      <c r="AA686">
        <f>$C686*AA685</f>
        <v/>
      </c>
      <c r="AB686">
        <f>$C686*AB685</f>
        <v/>
      </c>
      <c r="AC686">
        <f>$C686*AC685</f>
        <v/>
      </c>
      <c r="AD686">
        <f>$C686*AD685</f>
        <v/>
      </c>
      <c r="AE686">
        <f>$C686*AE685</f>
        <v/>
      </c>
      <c r="AF686">
        <f>$C686*AF685</f>
        <v/>
      </c>
      <c r="AG686">
        <f>$C686*AG685</f>
        <v/>
      </c>
      <c r="AH686">
        <f>$C686*AH685</f>
        <v/>
      </c>
      <c r="AI686">
        <f>$C686*AI685</f>
        <v/>
      </c>
      <c r="AJ686">
        <f>$C686*AJ685</f>
        <v/>
      </c>
      <c r="AK686">
        <f>$C686*AK685</f>
        <v/>
      </c>
      <c r="AL686">
        <f>$C686*AL685</f>
        <v/>
      </c>
      <c r="AM686">
        <f>$C686*AM685</f>
        <v/>
      </c>
      <c r="AN686">
        <f>$C686*AN685</f>
        <v/>
      </c>
      <c r="AO686">
        <f>$C686*AO685</f>
        <v/>
      </c>
      <c r="AP686">
        <f>$C686*AP685</f>
        <v/>
      </c>
      <c r="AQ686">
        <f>$C686*AQ685</f>
        <v/>
      </c>
      <c r="AR686">
        <f>$C686*AR685</f>
        <v/>
      </c>
      <c r="AS686">
        <f>$C686*AS685</f>
        <v/>
      </c>
      <c r="AT686">
        <f>$C686*AT685</f>
        <v/>
      </c>
      <c r="AU686">
        <f>$C686*AU685</f>
        <v/>
      </c>
      <c r="AV686">
        <f>$C686*AV685</f>
        <v/>
      </c>
      <c r="AW686">
        <f>$C686*AW685</f>
        <v/>
      </c>
      <c r="AX686">
        <f>$C686*AX685</f>
        <v/>
      </c>
      <c r="AY686">
        <f>$C686*AY685</f>
        <v/>
      </c>
      <c r="AZ686">
        <f>$C686*AZ685</f>
        <v/>
      </c>
      <c r="BA686">
        <f>$C686*BA685</f>
        <v/>
      </c>
      <c r="BB686">
        <f>$C686*BB685</f>
        <v/>
      </c>
      <c r="BC686">
        <f>$C686*BC685</f>
        <v/>
      </c>
      <c r="BD686">
        <f>$C686*BD685</f>
        <v/>
      </c>
      <c r="BE686">
        <f>$C686*BE685</f>
        <v/>
      </c>
      <c r="BF686">
        <f>$C686*BF685</f>
        <v/>
      </c>
      <c r="BG686">
        <f>$C686*BG685</f>
        <v/>
      </c>
      <c r="BH686">
        <f>$C686*BH685</f>
        <v/>
      </c>
      <c r="BI686">
        <f>$C686*BI685</f>
        <v/>
      </c>
      <c r="BJ686">
        <f>$C686*BJ685</f>
        <v/>
      </c>
      <c r="BK686">
        <f>$C686*BK685</f>
        <v/>
      </c>
      <c r="BL686">
        <f>$C686*BL685</f>
        <v/>
      </c>
      <c r="BM686">
        <f>$C686*BM685</f>
        <v/>
      </c>
      <c r="BN686">
        <f>$C686*BN685</f>
        <v/>
      </c>
      <c r="BO686">
        <f>$C686*BO685</f>
        <v/>
      </c>
      <c r="BP686">
        <f>$C686*BP685</f>
        <v/>
      </c>
      <c r="BQ686">
        <f>$C686*BQ685</f>
        <v/>
      </c>
      <c r="BR686">
        <f>$C686*BR685</f>
        <v/>
      </c>
      <c r="BS686">
        <f>$C686*BS685</f>
        <v/>
      </c>
      <c r="BT686">
        <f>$C686*BT685</f>
        <v/>
      </c>
      <c r="BU686">
        <f>$C686*BU685</f>
        <v/>
      </c>
      <c r="BV686">
        <f>$C686*BV685</f>
        <v/>
      </c>
      <c r="BW686">
        <f>$C686*BW685</f>
        <v/>
      </c>
      <c r="BX686">
        <f>$C686*BX685</f>
        <v/>
      </c>
      <c r="BY686">
        <f>$C686*BY685</f>
        <v/>
      </c>
      <c r="BZ686">
        <f>$C686*BZ685</f>
        <v/>
      </c>
      <c r="CA686">
        <f>$C686*CA685</f>
        <v/>
      </c>
      <c r="CB686">
        <f>$C686*CB685</f>
        <v/>
      </c>
      <c r="CC686">
        <f>$C686*CC685</f>
        <v/>
      </c>
      <c r="CD686">
        <f>$C686*CD685</f>
        <v/>
      </c>
      <c r="CE686">
        <f>$C686*CE685</f>
        <v/>
      </c>
      <c r="CF686">
        <f>$C686*CF685</f>
        <v/>
      </c>
      <c r="CG686">
        <f>$C686*CG685</f>
        <v/>
      </c>
      <c r="CH686">
        <f>$C686*CH685</f>
        <v/>
      </c>
      <c r="CI686">
        <f>$C686*CI685</f>
        <v/>
      </c>
      <c r="CJ686">
        <f>$C686*CJ685</f>
        <v/>
      </c>
      <c r="CK686">
        <f>$C686*CK685</f>
        <v/>
      </c>
      <c r="CL686">
        <f>$C686*CL685</f>
        <v/>
      </c>
      <c r="CM686">
        <f>$C686*CM685</f>
        <v/>
      </c>
      <c r="CN686">
        <f>$C686*CN685</f>
        <v/>
      </c>
      <c r="CO686">
        <f>$C686*CO685</f>
        <v/>
      </c>
      <c r="CP686">
        <f>$C686*CP685</f>
        <v/>
      </c>
      <c r="CQ686">
        <f>$C686*CQ685</f>
        <v/>
      </c>
      <c r="CR686">
        <f>$C686*CR685</f>
        <v/>
      </c>
      <c r="CS686">
        <f>$C686*CS685</f>
        <v/>
      </c>
      <c r="CT686">
        <f>$C686*CT685</f>
        <v/>
      </c>
      <c r="CU686">
        <f>$C686*CU685</f>
        <v/>
      </c>
      <c r="CV686">
        <f>$C686*CV685</f>
        <v/>
      </c>
      <c r="CW686">
        <f>$C686*CW685</f>
        <v/>
      </c>
      <c r="CX686">
        <f>$C686*CX685</f>
        <v/>
      </c>
      <c r="CY686">
        <f>$C686*CY685</f>
        <v/>
      </c>
      <c r="CZ686">
        <f>$C686*CZ685</f>
        <v/>
      </c>
      <c r="DA686">
        <f>$C686*DA685</f>
        <v/>
      </c>
      <c r="DB686">
        <f>$C686*DB685</f>
        <v/>
      </c>
      <c r="DC686">
        <f>$C686*DC685</f>
        <v/>
      </c>
    </row>
    <row r="687">
      <c r="B687" t="inlineStr">
        <is>
          <t>TSP-1449</t>
        </is>
      </c>
      <c r="C687" t="inlineStr">
        <is>
          <t>No. of batches</t>
        </is>
      </c>
      <c r="D687">
        <f>IFERROR(INDEX(PP_Grid[#Data],$DD687,2),0)</f>
        <v/>
      </c>
      <c r="E687">
        <f>IFERROR(INDEX(PP_Grid[#Data],$DD687,3),0)</f>
        <v/>
      </c>
      <c r="F687">
        <f>IFERROR(INDEX(PP_Grid[#Data],$DD687,4),0)</f>
        <v/>
      </c>
      <c r="G687">
        <f>IFERROR(INDEX(PP_Grid[#Data],$DD687,5),0)</f>
        <v/>
      </c>
      <c r="H687">
        <f>IFERROR(INDEX(PP_Grid[#Data],$DD687,6),0)</f>
        <v/>
      </c>
      <c r="I687">
        <f>IFERROR(INDEX(PP_Grid[#Data],$DD687,7),0)</f>
        <v/>
      </c>
      <c r="J687">
        <f>IFERROR(INDEX(PP_Grid[#Data],$DD687,8),0)</f>
        <v/>
      </c>
      <c r="K687">
        <f>IFERROR(INDEX(PP_Grid[#Data],$DD687,9),0)</f>
        <v/>
      </c>
      <c r="L687">
        <f>IFERROR(INDEX(PP_Grid[#Data],$DD687,10),0)</f>
        <v/>
      </c>
      <c r="M687">
        <f>IFERROR(INDEX(PP_Grid[#Data],$DD687,11),0)</f>
        <v/>
      </c>
      <c r="N687">
        <f>IFERROR(INDEX(PP_Grid[#Data],$DD687,12),0)</f>
        <v/>
      </c>
      <c r="O687">
        <f>IFERROR(INDEX(PP_Grid[#Data],$DD687,13),0)</f>
        <v/>
      </c>
      <c r="P687">
        <f>IFERROR(INDEX(PP_Grid[#Data],$DD687,14),0)</f>
        <v/>
      </c>
      <c r="Q687">
        <f>IFERROR(INDEX(PP_Grid[#Data],$DD687,15),0)</f>
        <v/>
      </c>
      <c r="R687">
        <f>IFERROR(INDEX(PP_Grid[#Data],$DD687,16),0)</f>
        <v/>
      </c>
      <c r="S687">
        <f>IFERROR(INDEX(PP_Grid[#Data],$DD687,17),0)</f>
        <v/>
      </c>
      <c r="T687">
        <f>IFERROR(INDEX(PP_Grid[#Data],$DD687,18),0)</f>
        <v/>
      </c>
      <c r="U687">
        <f>IFERROR(INDEX(PP_Grid[#Data],$DD687,19),0)</f>
        <v/>
      </c>
      <c r="V687">
        <f>IFERROR(INDEX(PP_Grid[#Data],$DD687,20),0)</f>
        <v/>
      </c>
      <c r="W687">
        <f>IFERROR(INDEX(PP_Grid[#Data],$DD687,21),0)</f>
        <v/>
      </c>
      <c r="X687">
        <f>IFERROR(INDEX(PP_Grid[#Data],$DD687,22),0)</f>
        <v/>
      </c>
      <c r="Y687">
        <f>IFERROR(INDEX(PP_Grid[#Data],$DD687,23),0)</f>
        <v/>
      </c>
      <c r="Z687">
        <f>IFERROR(INDEX(PP_Grid[#Data],$DD687,24),0)</f>
        <v/>
      </c>
      <c r="AA687">
        <f>IFERROR(INDEX(PP_Grid[#Data],$DD687,25),0)</f>
        <v/>
      </c>
      <c r="AB687">
        <f>IFERROR(INDEX(PP_Grid[#Data],$DD687,26),0)</f>
        <v/>
      </c>
      <c r="AC687">
        <f>IFERROR(INDEX(PP_Grid[#Data],$DD687,27),0)</f>
        <v/>
      </c>
      <c r="AD687">
        <f>IFERROR(INDEX(PP_Grid[#Data],$DD687,28),0)</f>
        <v/>
      </c>
      <c r="AE687">
        <f>IFERROR(INDEX(PP_Grid[#Data],$DD687,29),0)</f>
        <v/>
      </c>
      <c r="AF687">
        <f>IFERROR(INDEX(PP_Grid[#Data],$DD687,30),0)</f>
        <v/>
      </c>
      <c r="AG687">
        <f>IFERROR(INDEX(PP_Grid[#Data],$DD687,31),0)</f>
        <v/>
      </c>
      <c r="AH687">
        <f>IFERROR(INDEX(PP_Grid[#Data],$DD687,32),0)</f>
        <v/>
      </c>
      <c r="AI687">
        <f>IFERROR(INDEX(PP_Grid[#Data],$DD687,33),0)</f>
        <v/>
      </c>
      <c r="AJ687">
        <f>IFERROR(INDEX(PP_Grid[#Data],$DD687,34),0)</f>
        <v/>
      </c>
      <c r="AK687">
        <f>IFERROR(INDEX(PP_Grid[#Data],$DD687,35),0)</f>
        <v/>
      </c>
      <c r="AL687">
        <f>IFERROR(INDEX(PP_Grid[#Data],$DD687,36),0)</f>
        <v/>
      </c>
      <c r="AM687">
        <f>IFERROR(INDEX(PP_Grid[#Data],$DD687,37),0)</f>
        <v/>
      </c>
      <c r="AN687">
        <f>IFERROR(INDEX(PP_Grid[#Data],$DD687,38),0)</f>
        <v/>
      </c>
      <c r="AO687">
        <f>IFERROR(INDEX(PP_Grid[#Data],$DD687,39),0)</f>
        <v/>
      </c>
      <c r="AP687">
        <f>IFERROR(INDEX(PP_Grid[#Data],$DD687,40),0)</f>
        <v/>
      </c>
      <c r="AQ687">
        <f>IFERROR(INDEX(PP_Grid[#Data],$DD687,41),0)</f>
        <v/>
      </c>
      <c r="AR687">
        <f>IFERROR(INDEX(PP_Grid[#Data],$DD687,42),0)</f>
        <v/>
      </c>
      <c r="AS687">
        <f>IFERROR(INDEX(PP_Grid[#Data],$DD687,43),0)</f>
        <v/>
      </c>
      <c r="AT687">
        <f>IFERROR(INDEX(PP_Grid[#Data],$DD687,44),0)</f>
        <v/>
      </c>
      <c r="AU687">
        <f>IFERROR(INDEX(PP_Grid[#Data],$DD687,45),0)</f>
        <v/>
      </c>
      <c r="AV687">
        <f>IFERROR(INDEX(PP_Grid[#Data],$DD687,46),0)</f>
        <v/>
      </c>
      <c r="AW687">
        <f>IFERROR(INDEX(PP_Grid[#Data],$DD687,47),0)</f>
        <v/>
      </c>
      <c r="AX687">
        <f>IFERROR(INDEX(PP_Grid[#Data],$DD687,48),0)</f>
        <v/>
      </c>
      <c r="AY687">
        <f>IFERROR(INDEX(PP_Grid[#Data],$DD687,49),0)</f>
        <v/>
      </c>
      <c r="AZ687">
        <f>IFERROR(INDEX(PP_Grid[#Data],$DD687,50),0)</f>
        <v/>
      </c>
      <c r="BA687">
        <f>IFERROR(INDEX(PP_Grid[#Data],$DD687,51),0)</f>
        <v/>
      </c>
      <c r="BB687">
        <f>IFERROR(INDEX(PP_Grid[#Data],$DD687,52),0)</f>
        <v/>
      </c>
      <c r="BC687">
        <f>IFERROR(INDEX(PP_Grid[#Data],$DD687,53),0)</f>
        <v/>
      </c>
      <c r="BD687">
        <f>IFERROR(INDEX(PP_Grid[#Data],$DD687,54),0)</f>
        <v/>
      </c>
      <c r="BE687">
        <f>IFERROR(INDEX(PP_Grid[#Data],$DD687,55),0)</f>
        <v/>
      </c>
      <c r="BF687">
        <f>IFERROR(INDEX(PP_Grid[#Data],$DD687,56),0)</f>
        <v/>
      </c>
      <c r="BG687">
        <f>IFERROR(INDEX(PP_Grid[#Data],$DD687,57),0)</f>
        <v/>
      </c>
      <c r="BH687">
        <f>IFERROR(INDEX(PP_Grid[#Data],$DD687,58),0)</f>
        <v/>
      </c>
      <c r="BI687">
        <f>IFERROR(INDEX(PP_Grid[#Data],$DD687,59),0)</f>
        <v/>
      </c>
      <c r="BJ687">
        <f>IFERROR(INDEX(PP_Grid[#Data],$DD687,60),0)</f>
        <v/>
      </c>
      <c r="BK687">
        <f>IFERROR(INDEX(PP_Grid[#Data],$DD687,61),0)</f>
        <v/>
      </c>
      <c r="BL687">
        <f>IFERROR(INDEX(PP_Grid[#Data],$DD687,62),0)</f>
        <v/>
      </c>
      <c r="BM687">
        <f>IFERROR(INDEX(PP_Grid[#Data],$DD687,63),0)</f>
        <v/>
      </c>
      <c r="BN687">
        <f>IFERROR(INDEX(PP_Grid[#Data],$DD687,64),0)</f>
        <v/>
      </c>
      <c r="BO687">
        <f>IFERROR(INDEX(PP_Grid[#Data],$DD687,65),0)</f>
        <v/>
      </c>
      <c r="BP687">
        <f>IFERROR(INDEX(PP_Grid[#Data],$DD687,66),0)</f>
        <v/>
      </c>
      <c r="BQ687">
        <f>IFERROR(INDEX(PP_Grid[#Data],$DD687,67),0)</f>
        <v/>
      </c>
      <c r="BR687">
        <f>IFERROR(INDEX(PP_Grid[#Data],$DD687,68),0)</f>
        <v/>
      </c>
      <c r="BS687">
        <f>IFERROR(INDEX(PP_Grid[#Data],$DD687,69),0)</f>
        <v/>
      </c>
      <c r="BT687">
        <f>IFERROR(INDEX(PP_Grid[#Data],$DD687,70),0)</f>
        <v/>
      </c>
      <c r="BU687">
        <f>IFERROR(INDEX(PP_Grid[#Data],$DD687,71),0)</f>
        <v/>
      </c>
      <c r="BV687">
        <f>IFERROR(INDEX(PP_Grid[#Data],$DD687,72),0)</f>
        <v/>
      </c>
      <c r="BW687">
        <f>IFERROR(INDEX(PP_Grid[#Data],$DD687,73),0)</f>
        <v/>
      </c>
      <c r="BX687">
        <f>IFERROR(INDEX(PP_Grid[#Data],$DD687,74),0)</f>
        <v/>
      </c>
      <c r="BY687">
        <f>IFERROR(INDEX(PP_Grid[#Data],$DD687,75),0)</f>
        <v/>
      </c>
      <c r="BZ687">
        <f>IFERROR(INDEX(PP_Grid[#Data],$DD687,76),0)</f>
        <v/>
      </c>
      <c r="CA687">
        <f>IFERROR(INDEX(PP_Grid[#Data],$DD687,77),0)</f>
        <v/>
      </c>
      <c r="CB687">
        <f>IFERROR(INDEX(PP_Grid[#Data],$DD687,78),0)</f>
        <v/>
      </c>
      <c r="CC687">
        <f>IFERROR(INDEX(PP_Grid[#Data],$DD687,79),0)</f>
        <v/>
      </c>
      <c r="CD687">
        <f>IFERROR(INDEX(PP_Grid[#Data],$DD687,80),0)</f>
        <v/>
      </c>
      <c r="CE687">
        <f>IFERROR(INDEX(PP_Grid[#Data],$DD687,81),0)</f>
        <v/>
      </c>
      <c r="CF687">
        <f>IFERROR(INDEX(PP_Grid[#Data],$DD687,82),0)</f>
        <v/>
      </c>
      <c r="CG687">
        <f>IFERROR(INDEX(PP_Grid[#Data],$DD687,83),0)</f>
        <v/>
      </c>
      <c r="CH687">
        <f>IFERROR(INDEX(PP_Grid[#Data],$DD687,84),0)</f>
        <v/>
      </c>
      <c r="CI687">
        <f>IFERROR(INDEX(PP_Grid[#Data],$DD687,85),0)</f>
        <v/>
      </c>
      <c r="CJ687">
        <f>IFERROR(INDEX(PP_Grid[#Data],$DD687,86),0)</f>
        <v/>
      </c>
      <c r="CK687">
        <f>IFERROR(INDEX(PP_Grid[#Data],$DD687,87),0)</f>
        <v/>
      </c>
      <c r="CL687">
        <f>IFERROR(INDEX(PP_Grid[#Data],$DD687,88),0)</f>
        <v/>
      </c>
      <c r="CM687">
        <f>IFERROR(INDEX(PP_Grid[#Data],$DD687,89),0)</f>
        <v/>
      </c>
      <c r="CN687">
        <f>IFERROR(INDEX(PP_Grid[#Data],$DD687,90),0)</f>
        <v/>
      </c>
      <c r="CO687">
        <f>IFERROR(INDEX(PP_Grid[#Data],$DD687,91),0)</f>
        <v/>
      </c>
      <c r="CP687">
        <f>IFERROR(INDEX(PP_Grid[#Data],$DD687,92),0)</f>
        <v/>
      </c>
      <c r="CQ687">
        <f>IFERROR(INDEX(PP_Grid[#Data],$DD687,93),0)</f>
        <v/>
      </c>
      <c r="CR687">
        <f>IFERROR(INDEX(PP_Grid[#Data],$DD687,94),0)</f>
        <v/>
      </c>
      <c r="CS687">
        <f>IFERROR(INDEX(PP_Grid[#Data],$DD687,95),0)</f>
        <v/>
      </c>
      <c r="CT687">
        <f>IFERROR(INDEX(PP_Grid[#Data],$DD687,96),0)</f>
        <v/>
      </c>
      <c r="CU687">
        <f>IFERROR(INDEX(PP_Grid[#Data],$DD687,97),0)</f>
        <v/>
      </c>
      <c r="CV687">
        <f>IFERROR(INDEX(PP_Grid[#Data],$DD687,98),0)</f>
        <v/>
      </c>
      <c r="CW687">
        <f>IFERROR(INDEX(PP_Grid[#Data],$DD687,99),0)</f>
        <v/>
      </c>
      <c r="CX687">
        <f>IFERROR(INDEX(PP_Grid[#Data],$DD687,100),0)</f>
        <v/>
      </c>
      <c r="CY687">
        <f>IFERROR(INDEX(PP_Grid[#Data],$DD687,101),0)</f>
        <v/>
      </c>
      <c r="CZ687">
        <f>IFERROR(INDEX(PP_Grid[#Data],$DD687,102),0)</f>
        <v/>
      </c>
      <c r="DA687">
        <f>IFERROR(INDEX(PP_Grid[#Data],$DD687,103),0)</f>
        <v/>
      </c>
      <c r="DB687">
        <f>IFERROR(INDEX(PP_Grid[#Data],$DD687,104),0)</f>
        <v/>
      </c>
      <c r="DC687">
        <f>IFERROR(INDEX(PP_Grid[#Data],$DD687,105),0)</f>
        <v/>
      </c>
      <c r="DD687" s="7">
        <f>IFERROR(MATCH($B687,PP_Grid[Intermediate],0),99999)</f>
        <v/>
      </c>
    </row>
    <row r="688">
      <c r="B688" t="inlineStr">
        <is>
          <t>使用量(kg)</t>
        </is>
      </c>
      <c r="C688">
        <f>SUMIFS(M_BOM[RM_Qty_Per_Batch],M_BOM[Intermediate],$B687,M_BOM[Part Name],$A670)</f>
        <v/>
      </c>
      <c r="D688">
        <f>$C688*D687</f>
        <v/>
      </c>
      <c r="E688">
        <f>$C688*E687</f>
        <v/>
      </c>
      <c r="F688">
        <f>$C688*F687</f>
        <v/>
      </c>
      <c r="G688">
        <f>$C688*G687</f>
        <v/>
      </c>
      <c r="H688">
        <f>$C688*H687</f>
        <v/>
      </c>
      <c r="I688">
        <f>$C688*I687</f>
        <v/>
      </c>
      <c r="J688">
        <f>$C688*J687</f>
        <v/>
      </c>
      <c r="K688">
        <f>$C688*K687</f>
        <v/>
      </c>
      <c r="L688">
        <f>$C688*L687</f>
        <v/>
      </c>
      <c r="M688">
        <f>$C688*M687</f>
        <v/>
      </c>
      <c r="N688">
        <f>$C688*N687</f>
        <v/>
      </c>
      <c r="O688">
        <f>$C688*O687</f>
        <v/>
      </c>
      <c r="P688">
        <f>$C688*P687</f>
        <v/>
      </c>
      <c r="Q688">
        <f>$C688*Q687</f>
        <v/>
      </c>
      <c r="R688">
        <f>$C688*R687</f>
        <v/>
      </c>
      <c r="S688">
        <f>$C688*S687</f>
        <v/>
      </c>
      <c r="T688">
        <f>$C688*T687</f>
        <v/>
      </c>
      <c r="U688">
        <f>$C688*U687</f>
        <v/>
      </c>
      <c r="V688">
        <f>$C688*V687</f>
        <v/>
      </c>
      <c r="W688">
        <f>$C688*W687</f>
        <v/>
      </c>
      <c r="X688">
        <f>$C688*X687</f>
        <v/>
      </c>
      <c r="Y688">
        <f>$C688*Y687</f>
        <v/>
      </c>
      <c r="Z688">
        <f>$C688*Z687</f>
        <v/>
      </c>
      <c r="AA688">
        <f>$C688*AA687</f>
        <v/>
      </c>
      <c r="AB688">
        <f>$C688*AB687</f>
        <v/>
      </c>
      <c r="AC688">
        <f>$C688*AC687</f>
        <v/>
      </c>
      <c r="AD688">
        <f>$C688*AD687</f>
        <v/>
      </c>
      <c r="AE688">
        <f>$C688*AE687</f>
        <v/>
      </c>
      <c r="AF688">
        <f>$C688*AF687</f>
        <v/>
      </c>
      <c r="AG688">
        <f>$C688*AG687</f>
        <v/>
      </c>
      <c r="AH688">
        <f>$C688*AH687</f>
        <v/>
      </c>
      <c r="AI688">
        <f>$C688*AI687</f>
        <v/>
      </c>
      <c r="AJ688">
        <f>$C688*AJ687</f>
        <v/>
      </c>
      <c r="AK688">
        <f>$C688*AK687</f>
        <v/>
      </c>
      <c r="AL688">
        <f>$C688*AL687</f>
        <v/>
      </c>
      <c r="AM688">
        <f>$C688*AM687</f>
        <v/>
      </c>
      <c r="AN688">
        <f>$C688*AN687</f>
        <v/>
      </c>
      <c r="AO688">
        <f>$C688*AO687</f>
        <v/>
      </c>
      <c r="AP688">
        <f>$C688*AP687</f>
        <v/>
      </c>
      <c r="AQ688">
        <f>$C688*AQ687</f>
        <v/>
      </c>
      <c r="AR688">
        <f>$C688*AR687</f>
        <v/>
      </c>
      <c r="AS688">
        <f>$C688*AS687</f>
        <v/>
      </c>
      <c r="AT688">
        <f>$C688*AT687</f>
        <v/>
      </c>
      <c r="AU688">
        <f>$C688*AU687</f>
        <v/>
      </c>
      <c r="AV688">
        <f>$C688*AV687</f>
        <v/>
      </c>
      <c r="AW688">
        <f>$C688*AW687</f>
        <v/>
      </c>
      <c r="AX688">
        <f>$C688*AX687</f>
        <v/>
      </c>
      <c r="AY688">
        <f>$C688*AY687</f>
        <v/>
      </c>
      <c r="AZ688">
        <f>$C688*AZ687</f>
        <v/>
      </c>
      <c r="BA688">
        <f>$C688*BA687</f>
        <v/>
      </c>
      <c r="BB688">
        <f>$C688*BB687</f>
        <v/>
      </c>
      <c r="BC688">
        <f>$C688*BC687</f>
        <v/>
      </c>
      <c r="BD688">
        <f>$C688*BD687</f>
        <v/>
      </c>
      <c r="BE688">
        <f>$C688*BE687</f>
        <v/>
      </c>
      <c r="BF688">
        <f>$C688*BF687</f>
        <v/>
      </c>
      <c r="BG688">
        <f>$C688*BG687</f>
        <v/>
      </c>
      <c r="BH688">
        <f>$C688*BH687</f>
        <v/>
      </c>
      <c r="BI688">
        <f>$C688*BI687</f>
        <v/>
      </c>
      <c r="BJ688">
        <f>$C688*BJ687</f>
        <v/>
      </c>
      <c r="BK688">
        <f>$C688*BK687</f>
        <v/>
      </c>
      <c r="BL688">
        <f>$C688*BL687</f>
        <v/>
      </c>
      <c r="BM688">
        <f>$C688*BM687</f>
        <v/>
      </c>
      <c r="BN688">
        <f>$C688*BN687</f>
        <v/>
      </c>
      <c r="BO688">
        <f>$C688*BO687</f>
        <v/>
      </c>
      <c r="BP688">
        <f>$C688*BP687</f>
        <v/>
      </c>
      <c r="BQ688">
        <f>$C688*BQ687</f>
        <v/>
      </c>
      <c r="BR688">
        <f>$C688*BR687</f>
        <v/>
      </c>
      <c r="BS688">
        <f>$C688*BS687</f>
        <v/>
      </c>
      <c r="BT688">
        <f>$C688*BT687</f>
        <v/>
      </c>
      <c r="BU688">
        <f>$C688*BU687</f>
        <v/>
      </c>
      <c r="BV688">
        <f>$C688*BV687</f>
        <v/>
      </c>
      <c r="BW688">
        <f>$C688*BW687</f>
        <v/>
      </c>
      <c r="BX688">
        <f>$C688*BX687</f>
        <v/>
      </c>
      <c r="BY688">
        <f>$C688*BY687</f>
        <v/>
      </c>
      <c r="BZ688">
        <f>$C688*BZ687</f>
        <v/>
      </c>
      <c r="CA688">
        <f>$C688*CA687</f>
        <v/>
      </c>
      <c r="CB688">
        <f>$C688*CB687</f>
        <v/>
      </c>
      <c r="CC688">
        <f>$C688*CC687</f>
        <v/>
      </c>
      <c r="CD688">
        <f>$C688*CD687</f>
        <v/>
      </c>
      <c r="CE688">
        <f>$C688*CE687</f>
        <v/>
      </c>
      <c r="CF688">
        <f>$C688*CF687</f>
        <v/>
      </c>
      <c r="CG688">
        <f>$C688*CG687</f>
        <v/>
      </c>
      <c r="CH688">
        <f>$C688*CH687</f>
        <v/>
      </c>
      <c r="CI688">
        <f>$C688*CI687</f>
        <v/>
      </c>
      <c r="CJ688">
        <f>$C688*CJ687</f>
        <v/>
      </c>
      <c r="CK688">
        <f>$C688*CK687</f>
        <v/>
      </c>
      <c r="CL688">
        <f>$C688*CL687</f>
        <v/>
      </c>
      <c r="CM688">
        <f>$C688*CM687</f>
        <v/>
      </c>
      <c r="CN688">
        <f>$C688*CN687</f>
        <v/>
      </c>
      <c r="CO688">
        <f>$C688*CO687</f>
        <v/>
      </c>
      <c r="CP688">
        <f>$C688*CP687</f>
        <v/>
      </c>
      <c r="CQ688">
        <f>$C688*CQ687</f>
        <v/>
      </c>
      <c r="CR688">
        <f>$C688*CR687</f>
        <v/>
      </c>
      <c r="CS688">
        <f>$C688*CS687</f>
        <v/>
      </c>
      <c r="CT688">
        <f>$C688*CT687</f>
        <v/>
      </c>
      <c r="CU688">
        <f>$C688*CU687</f>
        <v/>
      </c>
      <c r="CV688">
        <f>$C688*CV687</f>
        <v/>
      </c>
      <c r="CW688">
        <f>$C688*CW687</f>
        <v/>
      </c>
      <c r="CX688">
        <f>$C688*CX687</f>
        <v/>
      </c>
      <c r="CY688">
        <f>$C688*CY687</f>
        <v/>
      </c>
      <c r="CZ688">
        <f>$C688*CZ687</f>
        <v/>
      </c>
      <c r="DA688">
        <f>$C688*DA687</f>
        <v/>
      </c>
      <c r="DB688">
        <f>$C688*DB687</f>
        <v/>
      </c>
      <c r="DC688">
        <f>$C688*DC687</f>
        <v/>
      </c>
    </row>
    <row r="689">
      <c r="B689" t="inlineStr">
        <is>
          <t>TSP-1558</t>
        </is>
      </c>
      <c r="C689" t="inlineStr">
        <is>
          <t>No. of batches</t>
        </is>
      </c>
      <c r="D689">
        <f>IFERROR(INDEX(PP_Grid[#Data],$DD689,2),0)</f>
        <v/>
      </c>
      <c r="E689">
        <f>IFERROR(INDEX(PP_Grid[#Data],$DD689,3),0)</f>
        <v/>
      </c>
      <c r="F689">
        <f>IFERROR(INDEX(PP_Grid[#Data],$DD689,4),0)</f>
        <v/>
      </c>
      <c r="G689">
        <f>IFERROR(INDEX(PP_Grid[#Data],$DD689,5),0)</f>
        <v/>
      </c>
      <c r="H689">
        <f>IFERROR(INDEX(PP_Grid[#Data],$DD689,6),0)</f>
        <v/>
      </c>
      <c r="I689">
        <f>IFERROR(INDEX(PP_Grid[#Data],$DD689,7),0)</f>
        <v/>
      </c>
      <c r="J689">
        <f>IFERROR(INDEX(PP_Grid[#Data],$DD689,8),0)</f>
        <v/>
      </c>
      <c r="K689">
        <f>IFERROR(INDEX(PP_Grid[#Data],$DD689,9),0)</f>
        <v/>
      </c>
      <c r="L689">
        <f>IFERROR(INDEX(PP_Grid[#Data],$DD689,10),0)</f>
        <v/>
      </c>
      <c r="M689">
        <f>IFERROR(INDEX(PP_Grid[#Data],$DD689,11),0)</f>
        <v/>
      </c>
      <c r="N689">
        <f>IFERROR(INDEX(PP_Grid[#Data],$DD689,12),0)</f>
        <v/>
      </c>
      <c r="O689">
        <f>IFERROR(INDEX(PP_Grid[#Data],$DD689,13),0)</f>
        <v/>
      </c>
      <c r="P689">
        <f>IFERROR(INDEX(PP_Grid[#Data],$DD689,14),0)</f>
        <v/>
      </c>
      <c r="Q689">
        <f>IFERROR(INDEX(PP_Grid[#Data],$DD689,15),0)</f>
        <v/>
      </c>
      <c r="R689">
        <f>IFERROR(INDEX(PP_Grid[#Data],$DD689,16),0)</f>
        <v/>
      </c>
      <c r="S689">
        <f>IFERROR(INDEX(PP_Grid[#Data],$DD689,17),0)</f>
        <v/>
      </c>
      <c r="T689">
        <f>IFERROR(INDEX(PP_Grid[#Data],$DD689,18),0)</f>
        <v/>
      </c>
      <c r="U689">
        <f>IFERROR(INDEX(PP_Grid[#Data],$DD689,19),0)</f>
        <v/>
      </c>
      <c r="V689">
        <f>IFERROR(INDEX(PP_Grid[#Data],$DD689,20),0)</f>
        <v/>
      </c>
      <c r="W689">
        <f>IFERROR(INDEX(PP_Grid[#Data],$DD689,21),0)</f>
        <v/>
      </c>
      <c r="X689">
        <f>IFERROR(INDEX(PP_Grid[#Data],$DD689,22),0)</f>
        <v/>
      </c>
      <c r="Y689">
        <f>IFERROR(INDEX(PP_Grid[#Data],$DD689,23),0)</f>
        <v/>
      </c>
      <c r="Z689">
        <f>IFERROR(INDEX(PP_Grid[#Data],$DD689,24),0)</f>
        <v/>
      </c>
      <c r="AA689">
        <f>IFERROR(INDEX(PP_Grid[#Data],$DD689,25),0)</f>
        <v/>
      </c>
      <c r="AB689">
        <f>IFERROR(INDEX(PP_Grid[#Data],$DD689,26),0)</f>
        <v/>
      </c>
      <c r="AC689">
        <f>IFERROR(INDEX(PP_Grid[#Data],$DD689,27),0)</f>
        <v/>
      </c>
      <c r="AD689">
        <f>IFERROR(INDEX(PP_Grid[#Data],$DD689,28),0)</f>
        <v/>
      </c>
      <c r="AE689">
        <f>IFERROR(INDEX(PP_Grid[#Data],$DD689,29),0)</f>
        <v/>
      </c>
      <c r="AF689">
        <f>IFERROR(INDEX(PP_Grid[#Data],$DD689,30),0)</f>
        <v/>
      </c>
      <c r="AG689">
        <f>IFERROR(INDEX(PP_Grid[#Data],$DD689,31),0)</f>
        <v/>
      </c>
      <c r="AH689">
        <f>IFERROR(INDEX(PP_Grid[#Data],$DD689,32),0)</f>
        <v/>
      </c>
      <c r="AI689">
        <f>IFERROR(INDEX(PP_Grid[#Data],$DD689,33),0)</f>
        <v/>
      </c>
      <c r="AJ689">
        <f>IFERROR(INDEX(PP_Grid[#Data],$DD689,34),0)</f>
        <v/>
      </c>
      <c r="AK689">
        <f>IFERROR(INDEX(PP_Grid[#Data],$DD689,35),0)</f>
        <v/>
      </c>
      <c r="AL689">
        <f>IFERROR(INDEX(PP_Grid[#Data],$DD689,36),0)</f>
        <v/>
      </c>
      <c r="AM689">
        <f>IFERROR(INDEX(PP_Grid[#Data],$DD689,37),0)</f>
        <v/>
      </c>
      <c r="AN689">
        <f>IFERROR(INDEX(PP_Grid[#Data],$DD689,38),0)</f>
        <v/>
      </c>
      <c r="AO689">
        <f>IFERROR(INDEX(PP_Grid[#Data],$DD689,39),0)</f>
        <v/>
      </c>
      <c r="AP689">
        <f>IFERROR(INDEX(PP_Grid[#Data],$DD689,40),0)</f>
        <v/>
      </c>
      <c r="AQ689">
        <f>IFERROR(INDEX(PP_Grid[#Data],$DD689,41),0)</f>
        <v/>
      </c>
      <c r="AR689">
        <f>IFERROR(INDEX(PP_Grid[#Data],$DD689,42),0)</f>
        <v/>
      </c>
      <c r="AS689">
        <f>IFERROR(INDEX(PP_Grid[#Data],$DD689,43),0)</f>
        <v/>
      </c>
      <c r="AT689">
        <f>IFERROR(INDEX(PP_Grid[#Data],$DD689,44),0)</f>
        <v/>
      </c>
      <c r="AU689">
        <f>IFERROR(INDEX(PP_Grid[#Data],$DD689,45),0)</f>
        <v/>
      </c>
      <c r="AV689">
        <f>IFERROR(INDEX(PP_Grid[#Data],$DD689,46),0)</f>
        <v/>
      </c>
      <c r="AW689">
        <f>IFERROR(INDEX(PP_Grid[#Data],$DD689,47),0)</f>
        <v/>
      </c>
      <c r="AX689">
        <f>IFERROR(INDEX(PP_Grid[#Data],$DD689,48),0)</f>
        <v/>
      </c>
      <c r="AY689">
        <f>IFERROR(INDEX(PP_Grid[#Data],$DD689,49),0)</f>
        <v/>
      </c>
      <c r="AZ689">
        <f>IFERROR(INDEX(PP_Grid[#Data],$DD689,50),0)</f>
        <v/>
      </c>
      <c r="BA689">
        <f>IFERROR(INDEX(PP_Grid[#Data],$DD689,51),0)</f>
        <v/>
      </c>
      <c r="BB689">
        <f>IFERROR(INDEX(PP_Grid[#Data],$DD689,52),0)</f>
        <v/>
      </c>
      <c r="BC689">
        <f>IFERROR(INDEX(PP_Grid[#Data],$DD689,53),0)</f>
        <v/>
      </c>
      <c r="BD689">
        <f>IFERROR(INDEX(PP_Grid[#Data],$DD689,54),0)</f>
        <v/>
      </c>
      <c r="BE689">
        <f>IFERROR(INDEX(PP_Grid[#Data],$DD689,55),0)</f>
        <v/>
      </c>
      <c r="BF689">
        <f>IFERROR(INDEX(PP_Grid[#Data],$DD689,56),0)</f>
        <v/>
      </c>
      <c r="BG689">
        <f>IFERROR(INDEX(PP_Grid[#Data],$DD689,57),0)</f>
        <v/>
      </c>
      <c r="BH689">
        <f>IFERROR(INDEX(PP_Grid[#Data],$DD689,58),0)</f>
        <v/>
      </c>
      <c r="BI689">
        <f>IFERROR(INDEX(PP_Grid[#Data],$DD689,59),0)</f>
        <v/>
      </c>
      <c r="BJ689">
        <f>IFERROR(INDEX(PP_Grid[#Data],$DD689,60),0)</f>
        <v/>
      </c>
      <c r="BK689">
        <f>IFERROR(INDEX(PP_Grid[#Data],$DD689,61),0)</f>
        <v/>
      </c>
      <c r="BL689">
        <f>IFERROR(INDEX(PP_Grid[#Data],$DD689,62),0)</f>
        <v/>
      </c>
      <c r="BM689">
        <f>IFERROR(INDEX(PP_Grid[#Data],$DD689,63),0)</f>
        <v/>
      </c>
      <c r="BN689">
        <f>IFERROR(INDEX(PP_Grid[#Data],$DD689,64),0)</f>
        <v/>
      </c>
      <c r="BO689">
        <f>IFERROR(INDEX(PP_Grid[#Data],$DD689,65),0)</f>
        <v/>
      </c>
      <c r="BP689">
        <f>IFERROR(INDEX(PP_Grid[#Data],$DD689,66),0)</f>
        <v/>
      </c>
      <c r="BQ689">
        <f>IFERROR(INDEX(PP_Grid[#Data],$DD689,67),0)</f>
        <v/>
      </c>
      <c r="BR689">
        <f>IFERROR(INDEX(PP_Grid[#Data],$DD689,68),0)</f>
        <v/>
      </c>
      <c r="BS689">
        <f>IFERROR(INDEX(PP_Grid[#Data],$DD689,69),0)</f>
        <v/>
      </c>
      <c r="BT689">
        <f>IFERROR(INDEX(PP_Grid[#Data],$DD689,70),0)</f>
        <v/>
      </c>
      <c r="BU689">
        <f>IFERROR(INDEX(PP_Grid[#Data],$DD689,71),0)</f>
        <v/>
      </c>
      <c r="BV689">
        <f>IFERROR(INDEX(PP_Grid[#Data],$DD689,72),0)</f>
        <v/>
      </c>
      <c r="BW689">
        <f>IFERROR(INDEX(PP_Grid[#Data],$DD689,73),0)</f>
        <v/>
      </c>
      <c r="BX689">
        <f>IFERROR(INDEX(PP_Grid[#Data],$DD689,74),0)</f>
        <v/>
      </c>
      <c r="BY689">
        <f>IFERROR(INDEX(PP_Grid[#Data],$DD689,75),0)</f>
        <v/>
      </c>
      <c r="BZ689">
        <f>IFERROR(INDEX(PP_Grid[#Data],$DD689,76),0)</f>
        <v/>
      </c>
      <c r="CA689">
        <f>IFERROR(INDEX(PP_Grid[#Data],$DD689,77),0)</f>
        <v/>
      </c>
      <c r="CB689">
        <f>IFERROR(INDEX(PP_Grid[#Data],$DD689,78),0)</f>
        <v/>
      </c>
      <c r="CC689">
        <f>IFERROR(INDEX(PP_Grid[#Data],$DD689,79),0)</f>
        <v/>
      </c>
      <c r="CD689">
        <f>IFERROR(INDEX(PP_Grid[#Data],$DD689,80),0)</f>
        <v/>
      </c>
      <c r="CE689">
        <f>IFERROR(INDEX(PP_Grid[#Data],$DD689,81),0)</f>
        <v/>
      </c>
      <c r="CF689">
        <f>IFERROR(INDEX(PP_Grid[#Data],$DD689,82),0)</f>
        <v/>
      </c>
      <c r="CG689">
        <f>IFERROR(INDEX(PP_Grid[#Data],$DD689,83),0)</f>
        <v/>
      </c>
      <c r="CH689">
        <f>IFERROR(INDEX(PP_Grid[#Data],$DD689,84),0)</f>
        <v/>
      </c>
      <c r="CI689">
        <f>IFERROR(INDEX(PP_Grid[#Data],$DD689,85),0)</f>
        <v/>
      </c>
      <c r="CJ689">
        <f>IFERROR(INDEX(PP_Grid[#Data],$DD689,86),0)</f>
        <v/>
      </c>
      <c r="CK689">
        <f>IFERROR(INDEX(PP_Grid[#Data],$DD689,87),0)</f>
        <v/>
      </c>
      <c r="CL689">
        <f>IFERROR(INDEX(PP_Grid[#Data],$DD689,88),0)</f>
        <v/>
      </c>
      <c r="CM689">
        <f>IFERROR(INDEX(PP_Grid[#Data],$DD689,89),0)</f>
        <v/>
      </c>
      <c r="CN689">
        <f>IFERROR(INDEX(PP_Grid[#Data],$DD689,90),0)</f>
        <v/>
      </c>
      <c r="CO689">
        <f>IFERROR(INDEX(PP_Grid[#Data],$DD689,91),0)</f>
        <v/>
      </c>
      <c r="CP689">
        <f>IFERROR(INDEX(PP_Grid[#Data],$DD689,92),0)</f>
        <v/>
      </c>
      <c r="CQ689">
        <f>IFERROR(INDEX(PP_Grid[#Data],$DD689,93),0)</f>
        <v/>
      </c>
      <c r="CR689">
        <f>IFERROR(INDEX(PP_Grid[#Data],$DD689,94),0)</f>
        <v/>
      </c>
      <c r="CS689">
        <f>IFERROR(INDEX(PP_Grid[#Data],$DD689,95),0)</f>
        <v/>
      </c>
      <c r="CT689">
        <f>IFERROR(INDEX(PP_Grid[#Data],$DD689,96),0)</f>
        <v/>
      </c>
      <c r="CU689">
        <f>IFERROR(INDEX(PP_Grid[#Data],$DD689,97),0)</f>
        <v/>
      </c>
      <c r="CV689">
        <f>IFERROR(INDEX(PP_Grid[#Data],$DD689,98),0)</f>
        <v/>
      </c>
      <c r="CW689">
        <f>IFERROR(INDEX(PP_Grid[#Data],$DD689,99),0)</f>
        <v/>
      </c>
      <c r="CX689">
        <f>IFERROR(INDEX(PP_Grid[#Data],$DD689,100),0)</f>
        <v/>
      </c>
      <c r="CY689">
        <f>IFERROR(INDEX(PP_Grid[#Data],$DD689,101),0)</f>
        <v/>
      </c>
      <c r="CZ689">
        <f>IFERROR(INDEX(PP_Grid[#Data],$DD689,102),0)</f>
        <v/>
      </c>
      <c r="DA689">
        <f>IFERROR(INDEX(PP_Grid[#Data],$DD689,103),0)</f>
        <v/>
      </c>
      <c r="DB689">
        <f>IFERROR(INDEX(PP_Grid[#Data],$DD689,104),0)</f>
        <v/>
      </c>
      <c r="DC689">
        <f>IFERROR(INDEX(PP_Grid[#Data],$DD689,105),0)</f>
        <v/>
      </c>
      <c r="DD689" s="7">
        <f>IFERROR(MATCH($B689,PP_Grid[Intermediate],0),99999)</f>
        <v/>
      </c>
    </row>
    <row r="690">
      <c r="B690" t="inlineStr">
        <is>
          <t>使用量(kg)</t>
        </is>
      </c>
      <c r="C690">
        <f>SUMIFS(M_BOM[RM_Qty_Per_Batch],M_BOM[Intermediate],$B689,M_BOM[Part Name],$A670)</f>
        <v/>
      </c>
      <c r="D690">
        <f>$C690*D689</f>
        <v/>
      </c>
      <c r="E690">
        <f>$C690*E689</f>
        <v/>
      </c>
      <c r="F690">
        <f>$C690*F689</f>
        <v/>
      </c>
      <c r="G690">
        <f>$C690*G689</f>
        <v/>
      </c>
      <c r="H690">
        <f>$C690*H689</f>
        <v/>
      </c>
      <c r="I690">
        <f>$C690*I689</f>
        <v/>
      </c>
      <c r="J690">
        <f>$C690*J689</f>
        <v/>
      </c>
      <c r="K690">
        <f>$C690*K689</f>
        <v/>
      </c>
      <c r="L690">
        <f>$C690*L689</f>
        <v/>
      </c>
      <c r="M690">
        <f>$C690*M689</f>
        <v/>
      </c>
      <c r="N690">
        <f>$C690*N689</f>
        <v/>
      </c>
      <c r="O690">
        <f>$C690*O689</f>
        <v/>
      </c>
      <c r="P690">
        <f>$C690*P689</f>
        <v/>
      </c>
      <c r="Q690">
        <f>$C690*Q689</f>
        <v/>
      </c>
      <c r="R690">
        <f>$C690*R689</f>
        <v/>
      </c>
      <c r="S690">
        <f>$C690*S689</f>
        <v/>
      </c>
      <c r="T690">
        <f>$C690*T689</f>
        <v/>
      </c>
      <c r="U690">
        <f>$C690*U689</f>
        <v/>
      </c>
      <c r="V690">
        <f>$C690*V689</f>
        <v/>
      </c>
      <c r="W690">
        <f>$C690*W689</f>
        <v/>
      </c>
      <c r="X690">
        <f>$C690*X689</f>
        <v/>
      </c>
      <c r="Y690">
        <f>$C690*Y689</f>
        <v/>
      </c>
      <c r="Z690">
        <f>$C690*Z689</f>
        <v/>
      </c>
      <c r="AA690">
        <f>$C690*AA689</f>
        <v/>
      </c>
      <c r="AB690">
        <f>$C690*AB689</f>
        <v/>
      </c>
      <c r="AC690">
        <f>$C690*AC689</f>
        <v/>
      </c>
      <c r="AD690">
        <f>$C690*AD689</f>
        <v/>
      </c>
      <c r="AE690">
        <f>$C690*AE689</f>
        <v/>
      </c>
      <c r="AF690">
        <f>$C690*AF689</f>
        <v/>
      </c>
      <c r="AG690">
        <f>$C690*AG689</f>
        <v/>
      </c>
      <c r="AH690">
        <f>$C690*AH689</f>
        <v/>
      </c>
      <c r="AI690">
        <f>$C690*AI689</f>
        <v/>
      </c>
      <c r="AJ690">
        <f>$C690*AJ689</f>
        <v/>
      </c>
      <c r="AK690">
        <f>$C690*AK689</f>
        <v/>
      </c>
      <c r="AL690">
        <f>$C690*AL689</f>
        <v/>
      </c>
      <c r="AM690">
        <f>$C690*AM689</f>
        <v/>
      </c>
      <c r="AN690">
        <f>$C690*AN689</f>
        <v/>
      </c>
      <c r="AO690">
        <f>$C690*AO689</f>
        <v/>
      </c>
      <c r="AP690">
        <f>$C690*AP689</f>
        <v/>
      </c>
      <c r="AQ690">
        <f>$C690*AQ689</f>
        <v/>
      </c>
      <c r="AR690">
        <f>$C690*AR689</f>
        <v/>
      </c>
      <c r="AS690">
        <f>$C690*AS689</f>
        <v/>
      </c>
      <c r="AT690">
        <f>$C690*AT689</f>
        <v/>
      </c>
      <c r="AU690">
        <f>$C690*AU689</f>
        <v/>
      </c>
      <c r="AV690">
        <f>$C690*AV689</f>
        <v/>
      </c>
      <c r="AW690">
        <f>$C690*AW689</f>
        <v/>
      </c>
      <c r="AX690">
        <f>$C690*AX689</f>
        <v/>
      </c>
      <c r="AY690">
        <f>$C690*AY689</f>
        <v/>
      </c>
      <c r="AZ690">
        <f>$C690*AZ689</f>
        <v/>
      </c>
      <c r="BA690">
        <f>$C690*BA689</f>
        <v/>
      </c>
      <c r="BB690">
        <f>$C690*BB689</f>
        <v/>
      </c>
      <c r="BC690">
        <f>$C690*BC689</f>
        <v/>
      </c>
      <c r="BD690">
        <f>$C690*BD689</f>
        <v/>
      </c>
      <c r="BE690">
        <f>$C690*BE689</f>
        <v/>
      </c>
      <c r="BF690">
        <f>$C690*BF689</f>
        <v/>
      </c>
      <c r="BG690">
        <f>$C690*BG689</f>
        <v/>
      </c>
      <c r="BH690">
        <f>$C690*BH689</f>
        <v/>
      </c>
      <c r="BI690">
        <f>$C690*BI689</f>
        <v/>
      </c>
      <c r="BJ690">
        <f>$C690*BJ689</f>
        <v/>
      </c>
      <c r="BK690">
        <f>$C690*BK689</f>
        <v/>
      </c>
      <c r="BL690">
        <f>$C690*BL689</f>
        <v/>
      </c>
      <c r="BM690">
        <f>$C690*BM689</f>
        <v/>
      </c>
      <c r="BN690">
        <f>$C690*BN689</f>
        <v/>
      </c>
      <c r="BO690">
        <f>$C690*BO689</f>
        <v/>
      </c>
      <c r="BP690">
        <f>$C690*BP689</f>
        <v/>
      </c>
      <c r="BQ690">
        <f>$C690*BQ689</f>
        <v/>
      </c>
      <c r="BR690">
        <f>$C690*BR689</f>
        <v/>
      </c>
      <c r="BS690">
        <f>$C690*BS689</f>
        <v/>
      </c>
      <c r="BT690">
        <f>$C690*BT689</f>
        <v/>
      </c>
      <c r="BU690">
        <f>$C690*BU689</f>
        <v/>
      </c>
      <c r="BV690">
        <f>$C690*BV689</f>
        <v/>
      </c>
      <c r="BW690">
        <f>$C690*BW689</f>
        <v/>
      </c>
      <c r="BX690">
        <f>$C690*BX689</f>
        <v/>
      </c>
      <c r="BY690">
        <f>$C690*BY689</f>
        <v/>
      </c>
      <c r="BZ690">
        <f>$C690*BZ689</f>
        <v/>
      </c>
      <c r="CA690">
        <f>$C690*CA689</f>
        <v/>
      </c>
      <c r="CB690">
        <f>$C690*CB689</f>
        <v/>
      </c>
      <c r="CC690">
        <f>$C690*CC689</f>
        <v/>
      </c>
      <c r="CD690">
        <f>$C690*CD689</f>
        <v/>
      </c>
      <c r="CE690">
        <f>$C690*CE689</f>
        <v/>
      </c>
      <c r="CF690">
        <f>$C690*CF689</f>
        <v/>
      </c>
      <c r="CG690">
        <f>$C690*CG689</f>
        <v/>
      </c>
      <c r="CH690">
        <f>$C690*CH689</f>
        <v/>
      </c>
      <c r="CI690">
        <f>$C690*CI689</f>
        <v/>
      </c>
      <c r="CJ690">
        <f>$C690*CJ689</f>
        <v/>
      </c>
      <c r="CK690">
        <f>$C690*CK689</f>
        <v/>
      </c>
      <c r="CL690">
        <f>$C690*CL689</f>
        <v/>
      </c>
      <c r="CM690">
        <f>$C690*CM689</f>
        <v/>
      </c>
      <c r="CN690">
        <f>$C690*CN689</f>
        <v/>
      </c>
      <c r="CO690">
        <f>$C690*CO689</f>
        <v/>
      </c>
      <c r="CP690">
        <f>$C690*CP689</f>
        <v/>
      </c>
      <c r="CQ690">
        <f>$C690*CQ689</f>
        <v/>
      </c>
      <c r="CR690">
        <f>$C690*CR689</f>
        <v/>
      </c>
      <c r="CS690">
        <f>$C690*CS689</f>
        <v/>
      </c>
      <c r="CT690">
        <f>$C690*CT689</f>
        <v/>
      </c>
      <c r="CU690">
        <f>$C690*CU689</f>
        <v/>
      </c>
      <c r="CV690">
        <f>$C690*CV689</f>
        <v/>
      </c>
      <c r="CW690">
        <f>$C690*CW689</f>
        <v/>
      </c>
      <c r="CX690">
        <f>$C690*CX689</f>
        <v/>
      </c>
      <c r="CY690">
        <f>$C690*CY689</f>
        <v/>
      </c>
      <c r="CZ690">
        <f>$C690*CZ689</f>
        <v/>
      </c>
      <c r="DA690">
        <f>$C690*DA689</f>
        <v/>
      </c>
      <c r="DB690">
        <f>$C690*DB689</f>
        <v/>
      </c>
      <c r="DC690">
        <f>$C690*DC689</f>
        <v/>
      </c>
    </row>
    <row r="691">
      <c r="B691" s="4" t="inlineStr">
        <is>
          <t>合計使用量(kg)/週</t>
        </is>
      </c>
      <c r="D691">
        <f>'Grid_Requirement'!B21</f>
        <v/>
      </c>
      <c r="E691">
        <f>'Grid_Requirement'!C21</f>
        <v/>
      </c>
      <c r="F691">
        <f>'Grid_Requirement'!D21</f>
        <v/>
      </c>
      <c r="G691">
        <f>'Grid_Requirement'!E21</f>
        <v/>
      </c>
      <c r="H691">
        <f>'Grid_Requirement'!F21</f>
        <v/>
      </c>
      <c r="I691">
        <f>'Grid_Requirement'!G21</f>
        <v/>
      </c>
      <c r="J691">
        <f>'Grid_Requirement'!H21</f>
        <v/>
      </c>
      <c r="K691">
        <f>'Grid_Requirement'!I21</f>
        <v/>
      </c>
      <c r="L691">
        <f>'Grid_Requirement'!J21</f>
        <v/>
      </c>
      <c r="M691">
        <f>'Grid_Requirement'!K21</f>
        <v/>
      </c>
      <c r="N691">
        <f>'Grid_Requirement'!L21</f>
        <v/>
      </c>
      <c r="O691">
        <f>'Grid_Requirement'!M21</f>
        <v/>
      </c>
      <c r="P691">
        <f>'Grid_Requirement'!N21</f>
        <v/>
      </c>
      <c r="Q691">
        <f>'Grid_Requirement'!O21</f>
        <v/>
      </c>
      <c r="R691">
        <f>'Grid_Requirement'!P21</f>
        <v/>
      </c>
      <c r="S691">
        <f>'Grid_Requirement'!Q21</f>
        <v/>
      </c>
      <c r="T691">
        <f>'Grid_Requirement'!R21</f>
        <v/>
      </c>
      <c r="U691">
        <f>'Grid_Requirement'!S21</f>
        <v/>
      </c>
      <c r="V691">
        <f>'Grid_Requirement'!T21</f>
        <v/>
      </c>
      <c r="W691">
        <f>'Grid_Requirement'!U21</f>
        <v/>
      </c>
      <c r="X691">
        <f>'Grid_Requirement'!V21</f>
        <v/>
      </c>
      <c r="Y691">
        <f>'Grid_Requirement'!W21</f>
        <v/>
      </c>
      <c r="Z691">
        <f>'Grid_Requirement'!X21</f>
        <v/>
      </c>
      <c r="AA691">
        <f>'Grid_Requirement'!Y21</f>
        <v/>
      </c>
      <c r="AB691">
        <f>'Grid_Requirement'!Z21</f>
        <v/>
      </c>
      <c r="AC691">
        <f>'Grid_Requirement'!AA21</f>
        <v/>
      </c>
      <c r="AD691">
        <f>'Grid_Requirement'!AB21</f>
        <v/>
      </c>
      <c r="AE691">
        <f>'Grid_Requirement'!AC21</f>
        <v/>
      </c>
      <c r="AF691">
        <f>'Grid_Requirement'!AD21</f>
        <v/>
      </c>
      <c r="AG691">
        <f>'Grid_Requirement'!AE21</f>
        <v/>
      </c>
      <c r="AH691">
        <f>'Grid_Requirement'!AF21</f>
        <v/>
      </c>
      <c r="AI691">
        <f>'Grid_Requirement'!AG21</f>
        <v/>
      </c>
      <c r="AJ691">
        <f>'Grid_Requirement'!AH21</f>
        <v/>
      </c>
      <c r="AK691">
        <f>'Grid_Requirement'!AI21</f>
        <v/>
      </c>
      <c r="AL691">
        <f>'Grid_Requirement'!AJ21</f>
        <v/>
      </c>
      <c r="AM691">
        <f>'Grid_Requirement'!AK21</f>
        <v/>
      </c>
      <c r="AN691">
        <f>'Grid_Requirement'!AL21</f>
        <v/>
      </c>
      <c r="AO691">
        <f>'Grid_Requirement'!AM21</f>
        <v/>
      </c>
      <c r="AP691">
        <f>'Grid_Requirement'!AN21</f>
        <v/>
      </c>
      <c r="AQ691">
        <f>'Grid_Requirement'!AO21</f>
        <v/>
      </c>
      <c r="AR691">
        <f>'Grid_Requirement'!AP21</f>
        <v/>
      </c>
      <c r="AS691">
        <f>'Grid_Requirement'!AQ21</f>
        <v/>
      </c>
      <c r="AT691">
        <f>'Grid_Requirement'!AR21</f>
        <v/>
      </c>
      <c r="AU691">
        <f>'Grid_Requirement'!AS21</f>
        <v/>
      </c>
      <c r="AV691">
        <f>'Grid_Requirement'!AT21</f>
        <v/>
      </c>
      <c r="AW691">
        <f>'Grid_Requirement'!AU21</f>
        <v/>
      </c>
      <c r="AX691">
        <f>'Grid_Requirement'!AV21</f>
        <v/>
      </c>
      <c r="AY691">
        <f>'Grid_Requirement'!AW21</f>
        <v/>
      </c>
      <c r="AZ691">
        <f>'Grid_Requirement'!AX21</f>
        <v/>
      </c>
      <c r="BA691">
        <f>'Grid_Requirement'!AY21</f>
        <v/>
      </c>
      <c r="BB691">
        <f>'Grid_Requirement'!AZ21</f>
        <v/>
      </c>
      <c r="BC691">
        <f>'Grid_Requirement'!BA21</f>
        <v/>
      </c>
      <c r="BD691">
        <f>'Grid_Requirement'!BB21</f>
        <v/>
      </c>
      <c r="BE691">
        <f>'Grid_Requirement'!BC21</f>
        <v/>
      </c>
      <c r="BF691">
        <f>'Grid_Requirement'!BD21</f>
        <v/>
      </c>
      <c r="BG691">
        <f>'Grid_Requirement'!BE21</f>
        <v/>
      </c>
      <c r="BH691">
        <f>'Grid_Requirement'!BF21</f>
        <v/>
      </c>
      <c r="BI691">
        <f>'Grid_Requirement'!BG21</f>
        <v/>
      </c>
      <c r="BJ691">
        <f>'Grid_Requirement'!BH21</f>
        <v/>
      </c>
      <c r="BK691">
        <f>'Grid_Requirement'!BI21</f>
        <v/>
      </c>
      <c r="BL691">
        <f>'Grid_Requirement'!BJ21</f>
        <v/>
      </c>
      <c r="BM691">
        <f>'Grid_Requirement'!BK21</f>
        <v/>
      </c>
      <c r="BN691">
        <f>'Grid_Requirement'!BL21</f>
        <v/>
      </c>
      <c r="BO691">
        <f>'Grid_Requirement'!BM21</f>
        <v/>
      </c>
      <c r="BP691">
        <f>'Grid_Requirement'!BN21</f>
        <v/>
      </c>
      <c r="BQ691">
        <f>'Grid_Requirement'!BO21</f>
        <v/>
      </c>
      <c r="BR691">
        <f>'Grid_Requirement'!BP21</f>
        <v/>
      </c>
      <c r="BS691">
        <f>'Grid_Requirement'!BQ21</f>
        <v/>
      </c>
      <c r="BT691">
        <f>'Grid_Requirement'!BR21</f>
        <v/>
      </c>
      <c r="BU691">
        <f>'Grid_Requirement'!BS21</f>
        <v/>
      </c>
      <c r="BV691">
        <f>'Grid_Requirement'!BT21</f>
        <v/>
      </c>
      <c r="BW691">
        <f>'Grid_Requirement'!BU21</f>
        <v/>
      </c>
      <c r="BX691">
        <f>'Grid_Requirement'!BV21</f>
        <v/>
      </c>
      <c r="BY691">
        <f>'Grid_Requirement'!BW21</f>
        <v/>
      </c>
      <c r="BZ691">
        <f>'Grid_Requirement'!BX21</f>
        <v/>
      </c>
      <c r="CA691">
        <f>'Grid_Requirement'!BY21</f>
        <v/>
      </c>
      <c r="CB691">
        <f>'Grid_Requirement'!BZ21</f>
        <v/>
      </c>
      <c r="CC691">
        <f>'Grid_Requirement'!CA21</f>
        <v/>
      </c>
      <c r="CD691">
        <f>'Grid_Requirement'!CB21</f>
        <v/>
      </c>
      <c r="CE691">
        <f>'Grid_Requirement'!CC21</f>
        <v/>
      </c>
      <c r="CF691">
        <f>'Grid_Requirement'!CD21</f>
        <v/>
      </c>
      <c r="CG691">
        <f>'Grid_Requirement'!CE21</f>
        <v/>
      </c>
      <c r="CH691">
        <f>'Grid_Requirement'!CF21</f>
        <v/>
      </c>
      <c r="CI691">
        <f>'Grid_Requirement'!CG21</f>
        <v/>
      </c>
      <c r="CJ691">
        <f>'Grid_Requirement'!CH21</f>
        <v/>
      </c>
      <c r="CK691">
        <f>'Grid_Requirement'!CI21</f>
        <v/>
      </c>
      <c r="CL691">
        <f>'Grid_Requirement'!CJ21</f>
        <v/>
      </c>
      <c r="CM691">
        <f>'Grid_Requirement'!CK21</f>
        <v/>
      </c>
      <c r="CN691">
        <f>'Grid_Requirement'!CL21</f>
        <v/>
      </c>
      <c r="CO691">
        <f>'Grid_Requirement'!CM21</f>
        <v/>
      </c>
      <c r="CP691">
        <f>'Grid_Requirement'!CN21</f>
        <v/>
      </c>
      <c r="CQ691">
        <f>'Grid_Requirement'!CO21</f>
        <v/>
      </c>
      <c r="CR691">
        <f>'Grid_Requirement'!CP21</f>
        <v/>
      </c>
      <c r="CS691">
        <f>'Grid_Requirement'!CQ21</f>
        <v/>
      </c>
      <c r="CT691">
        <f>'Grid_Requirement'!CR21</f>
        <v/>
      </c>
      <c r="CU691">
        <f>'Grid_Requirement'!CS21</f>
        <v/>
      </c>
      <c r="CV691">
        <f>'Grid_Requirement'!CT21</f>
        <v/>
      </c>
      <c r="CW691">
        <f>'Grid_Requirement'!CU21</f>
        <v/>
      </c>
      <c r="CX691">
        <f>'Grid_Requirement'!CV21</f>
        <v/>
      </c>
      <c r="CY691">
        <f>'Grid_Requirement'!CW21</f>
        <v/>
      </c>
      <c r="CZ691">
        <f>'Grid_Requirement'!CX21</f>
        <v/>
      </c>
      <c r="DA691">
        <f>'Grid_Requirement'!CY21</f>
        <v/>
      </c>
      <c r="DB691">
        <f>'Grid_Requirement'!CZ21</f>
        <v/>
      </c>
      <c r="DC691">
        <f>'Grid_Requirement'!DA21</f>
        <v/>
      </c>
    </row>
    <row r="692">
      <c r="B692" t="inlineStr">
        <is>
          <t>TTAF在庫(実績,kg)</t>
        </is>
      </c>
      <c r="D692">
        <f>'T_TTAFStock'!B25</f>
        <v/>
      </c>
      <c r="E692">
        <f>'T_TTAFStock'!C25</f>
        <v/>
      </c>
      <c r="F692">
        <f>'T_TTAFStock'!D25</f>
        <v/>
      </c>
      <c r="G692">
        <f>'T_TTAFStock'!E25</f>
        <v/>
      </c>
      <c r="H692">
        <f>'T_TTAFStock'!F25</f>
        <v/>
      </c>
      <c r="I692">
        <f>'T_TTAFStock'!G25</f>
        <v/>
      </c>
      <c r="J692">
        <f>'T_TTAFStock'!H25</f>
        <v/>
      </c>
      <c r="K692">
        <f>'T_TTAFStock'!I25</f>
        <v/>
      </c>
      <c r="L692">
        <f>'T_TTAFStock'!J25</f>
        <v/>
      </c>
      <c r="M692">
        <f>'T_TTAFStock'!K25</f>
        <v/>
      </c>
      <c r="N692">
        <f>'T_TTAFStock'!L25</f>
        <v/>
      </c>
      <c r="O692">
        <f>'T_TTAFStock'!M25</f>
        <v/>
      </c>
      <c r="P692">
        <f>'T_TTAFStock'!N25</f>
        <v/>
      </c>
      <c r="Q692">
        <f>'T_TTAFStock'!O25</f>
        <v/>
      </c>
      <c r="R692">
        <f>'T_TTAFStock'!P25</f>
        <v/>
      </c>
      <c r="S692">
        <f>'T_TTAFStock'!Q25</f>
        <v/>
      </c>
      <c r="T692">
        <f>'T_TTAFStock'!R25</f>
        <v/>
      </c>
      <c r="U692">
        <f>'T_TTAFStock'!S25</f>
        <v/>
      </c>
      <c r="V692">
        <f>'T_TTAFStock'!T25</f>
        <v/>
      </c>
      <c r="W692">
        <f>'T_TTAFStock'!U25</f>
        <v/>
      </c>
      <c r="X692">
        <f>'T_TTAFStock'!V25</f>
        <v/>
      </c>
      <c r="Y692">
        <f>'T_TTAFStock'!W25</f>
        <v/>
      </c>
      <c r="Z692">
        <f>'T_TTAFStock'!X25</f>
        <v/>
      </c>
      <c r="AA692">
        <f>'T_TTAFStock'!Y25</f>
        <v/>
      </c>
      <c r="AB692">
        <f>'T_TTAFStock'!Z25</f>
        <v/>
      </c>
      <c r="AC692">
        <f>'T_TTAFStock'!AA25</f>
        <v/>
      </c>
      <c r="AD692">
        <f>'T_TTAFStock'!AB25</f>
        <v/>
      </c>
      <c r="AE692">
        <f>'T_TTAFStock'!AC25</f>
        <v/>
      </c>
      <c r="AF692">
        <f>'T_TTAFStock'!AD25</f>
        <v/>
      </c>
      <c r="AG692">
        <f>'T_TTAFStock'!AE25</f>
        <v/>
      </c>
      <c r="AH692">
        <f>'T_TTAFStock'!AF25</f>
        <v/>
      </c>
      <c r="AI692">
        <f>'T_TTAFStock'!AG25</f>
        <v/>
      </c>
      <c r="AJ692">
        <f>'T_TTAFStock'!AH25</f>
        <v/>
      </c>
      <c r="AK692">
        <f>'T_TTAFStock'!AI25</f>
        <v/>
      </c>
      <c r="AL692">
        <f>'T_TTAFStock'!AJ25</f>
        <v/>
      </c>
      <c r="AM692">
        <f>'T_TTAFStock'!AK25</f>
        <v/>
      </c>
      <c r="AN692">
        <f>'T_TTAFStock'!AL25</f>
        <v/>
      </c>
      <c r="AO692">
        <f>'T_TTAFStock'!AM25</f>
        <v/>
      </c>
      <c r="AP692">
        <f>'T_TTAFStock'!AN25</f>
        <v/>
      </c>
      <c r="AQ692">
        <f>'T_TTAFStock'!AO25</f>
        <v/>
      </c>
      <c r="AR692">
        <f>'T_TTAFStock'!AP25</f>
        <v/>
      </c>
      <c r="AS692">
        <f>'T_TTAFStock'!AQ25</f>
        <v/>
      </c>
      <c r="AT692">
        <f>'T_TTAFStock'!AR25</f>
        <v/>
      </c>
      <c r="AU692">
        <f>'T_TTAFStock'!AS25</f>
        <v/>
      </c>
      <c r="AV692">
        <f>'T_TTAFStock'!AT25</f>
        <v/>
      </c>
      <c r="AW692">
        <f>'T_TTAFStock'!AU25</f>
        <v/>
      </c>
      <c r="AX692">
        <f>'T_TTAFStock'!AV25</f>
        <v/>
      </c>
      <c r="AY692">
        <f>'T_TTAFStock'!AW25</f>
        <v/>
      </c>
      <c r="AZ692">
        <f>'T_TTAFStock'!AX25</f>
        <v/>
      </c>
      <c r="BA692">
        <f>'T_TTAFStock'!AY25</f>
        <v/>
      </c>
      <c r="BB692">
        <f>'T_TTAFStock'!AZ25</f>
        <v/>
      </c>
      <c r="BC692">
        <f>'T_TTAFStock'!BA25</f>
        <v/>
      </c>
      <c r="BD692">
        <f>'T_TTAFStock'!BB25</f>
        <v/>
      </c>
      <c r="BE692">
        <f>'T_TTAFStock'!BC25</f>
        <v/>
      </c>
      <c r="BF692">
        <f>'T_TTAFStock'!BD25</f>
        <v/>
      </c>
      <c r="BG692">
        <f>'T_TTAFStock'!BE25</f>
        <v/>
      </c>
      <c r="BH692">
        <f>'T_TTAFStock'!BF25</f>
        <v/>
      </c>
      <c r="BI692">
        <f>'T_TTAFStock'!BG25</f>
        <v/>
      </c>
      <c r="BJ692">
        <f>'T_TTAFStock'!BH25</f>
        <v/>
      </c>
      <c r="BK692">
        <f>'T_TTAFStock'!BI25</f>
        <v/>
      </c>
      <c r="BL692">
        <f>'T_TTAFStock'!BJ25</f>
        <v/>
      </c>
      <c r="BM692">
        <f>'T_TTAFStock'!BK25</f>
        <v/>
      </c>
      <c r="BN692">
        <f>'T_TTAFStock'!BL25</f>
        <v/>
      </c>
      <c r="BO692">
        <f>'T_TTAFStock'!BM25</f>
        <v/>
      </c>
      <c r="BP692">
        <f>'T_TTAFStock'!BN25</f>
        <v/>
      </c>
      <c r="BQ692">
        <f>'T_TTAFStock'!BO25</f>
        <v/>
      </c>
      <c r="BR692">
        <f>'T_TTAFStock'!BP25</f>
        <v/>
      </c>
      <c r="BS692">
        <f>'T_TTAFStock'!BQ25</f>
        <v/>
      </c>
      <c r="BT692">
        <f>'T_TTAFStock'!BR25</f>
        <v/>
      </c>
      <c r="BU692">
        <f>'T_TTAFStock'!BS25</f>
        <v/>
      </c>
      <c r="BV692">
        <f>'T_TTAFStock'!BT25</f>
        <v/>
      </c>
      <c r="BW692">
        <f>'T_TTAFStock'!BU25</f>
        <v/>
      </c>
      <c r="BX692">
        <f>'T_TTAFStock'!BV25</f>
        <v/>
      </c>
      <c r="BY692">
        <f>'T_TTAFStock'!BW25</f>
        <v/>
      </c>
      <c r="BZ692">
        <f>'T_TTAFStock'!BX25</f>
        <v/>
      </c>
      <c r="CA692">
        <f>'T_TTAFStock'!BY25</f>
        <v/>
      </c>
      <c r="CB692">
        <f>'T_TTAFStock'!BZ25</f>
        <v/>
      </c>
      <c r="CC692">
        <f>'T_TTAFStock'!CA25</f>
        <v/>
      </c>
      <c r="CD692">
        <f>'T_TTAFStock'!CB25</f>
        <v/>
      </c>
      <c r="CE692">
        <f>'T_TTAFStock'!CC25</f>
        <v/>
      </c>
      <c r="CF692">
        <f>'T_TTAFStock'!CD25</f>
        <v/>
      </c>
      <c r="CG692">
        <f>'T_TTAFStock'!CE25</f>
        <v/>
      </c>
      <c r="CH692">
        <f>'T_TTAFStock'!CF25</f>
        <v/>
      </c>
      <c r="CI692">
        <f>'T_TTAFStock'!CG25</f>
        <v/>
      </c>
      <c r="CJ692">
        <f>'T_TTAFStock'!CH25</f>
        <v/>
      </c>
      <c r="CK692">
        <f>'T_TTAFStock'!CI25</f>
        <v/>
      </c>
      <c r="CL692">
        <f>'T_TTAFStock'!CJ25</f>
        <v/>
      </c>
      <c r="CM692">
        <f>'T_TTAFStock'!CK25</f>
        <v/>
      </c>
      <c r="CN692">
        <f>'T_TTAFStock'!CL25</f>
        <v/>
      </c>
      <c r="CO692">
        <f>'T_TTAFStock'!CM25</f>
        <v/>
      </c>
      <c r="CP692">
        <f>'T_TTAFStock'!CN25</f>
        <v/>
      </c>
      <c r="CQ692">
        <f>'T_TTAFStock'!CO25</f>
        <v/>
      </c>
      <c r="CR692">
        <f>'T_TTAFStock'!CP25</f>
        <v/>
      </c>
      <c r="CS692">
        <f>'T_TTAFStock'!CQ25</f>
        <v/>
      </c>
      <c r="CT692">
        <f>'T_TTAFStock'!CR25</f>
        <v/>
      </c>
      <c r="CU692">
        <f>'T_TTAFStock'!CS25</f>
        <v/>
      </c>
      <c r="CV692">
        <f>'T_TTAFStock'!CT25</f>
        <v/>
      </c>
      <c r="CW692">
        <f>'T_TTAFStock'!CU25</f>
        <v/>
      </c>
      <c r="CX692">
        <f>'T_TTAFStock'!CV25</f>
        <v/>
      </c>
      <c r="CY692">
        <f>'T_TTAFStock'!CW25</f>
        <v/>
      </c>
      <c r="CZ692">
        <f>'T_TTAFStock'!CX25</f>
        <v/>
      </c>
      <c r="DA692">
        <f>'T_TTAFStock'!CY25</f>
        <v/>
      </c>
      <c r="DB692">
        <f>'T_TTAFStock'!CZ25</f>
        <v/>
      </c>
      <c r="DC692">
        <f>'T_TTAFStock'!DA25</f>
        <v/>
      </c>
    </row>
    <row r="693">
      <c r="B693" t="inlineStr">
        <is>
          <t>自社在庫(実績,kg)</t>
        </is>
      </c>
      <c r="D693">
        <f>'T_SelfStock'!B25</f>
        <v/>
      </c>
      <c r="E693">
        <f>'T_SelfStock'!C25</f>
        <v/>
      </c>
      <c r="F693">
        <f>'T_SelfStock'!D25</f>
        <v/>
      </c>
      <c r="G693">
        <f>'T_SelfStock'!E25</f>
        <v/>
      </c>
      <c r="H693">
        <f>'T_SelfStock'!F25</f>
        <v/>
      </c>
      <c r="I693">
        <f>'T_SelfStock'!G25</f>
        <v/>
      </c>
      <c r="J693">
        <f>'T_SelfStock'!H25</f>
        <v/>
      </c>
      <c r="K693">
        <f>'T_SelfStock'!I25</f>
        <v/>
      </c>
      <c r="L693">
        <f>'T_SelfStock'!J25</f>
        <v/>
      </c>
      <c r="M693">
        <f>'T_SelfStock'!K25</f>
        <v/>
      </c>
      <c r="N693">
        <f>'T_SelfStock'!L25</f>
        <v/>
      </c>
      <c r="O693">
        <f>'T_SelfStock'!M25</f>
        <v/>
      </c>
      <c r="P693">
        <f>'T_SelfStock'!N25</f>
        <v/>
      </c>
      <c r="Q693">
        <f>'T_SelfStock'!O25</f>
        <v/>
      </c>
      <c r="R693">
        <f>'T_SelfStock'!P25</f>
        <v/>
      </c>
      <c r="S693">
        <f>'T_SelfStock'!Q25</f>
        <v/>
      </c>
      <c r="T693">
        <f>'T_SelfStock'!R25</f>
        <v/>
      </c>
      <c r="U693">
        <f>'T_SelfStock'!S25</f>
        <v/>
      </c>
      <c r="V693">
        <f>'T_SelfStock'!T25</f>
        <v/>
      </c>
      <c r="W693">
        <f>'T_SelfStock'!U25</f>
        <v/>
      </c>
      <c r="X693">
        <f>'T_SelfStock'!V25</f>
        <v/>
      </c>
      <c r="Y693">
        <f>'T_SelfStock'!W25</f>
        <v/>
      </c>
      <c r="Z693">
        <f>'T_SelfStock'!X25</f>
        <v/>
      </c>
      <c r="AA693">
        <f>'T_SelfStock'!Y25</f>
        <v/>
      </c>
      <c r="AB693">
        <f>'T_SelfStock'!Z25</f>
        <v/>
      </c>
      <c r="AC693">
        <f>'T_SelfStock'!AA25</f>
        <v/>
      </c>
      <c r="AD693">
        <f>'T_SelfStock'!AB25</f>
        <v/>
      </c>
      <c r="AE693">
        <f>'T_SelfStock'!AC25</f>
        <v/>
      </c>
      <c r="AF693">
        <f>'T_SelfStock'!AD25</f>
        <v/>
      </c>
      <c r="AG693">
        <f>'T_SelfStock'!AE25</f>
        <v/>
      </c>
      <c r="AH693">
        <f>'T_SelfStock'!AF25</f>
        <v/>
      </c>
      <c r="AI693">
        <f>'T_SelfStock'!AG25</f>
        <v/>
      </c>
      <c r="AJ693">
        <f>'T_SelfStock'!AH25</f>
        <v/>
      </c>
      <c r="AK693">
        <f>'T_SelfStock'!AI25</f>
        <v/>
      </c>
      <c r="AL693">
        <f>'T_SelfStock'!AJ25</f>
        <v/>
      </c>
      <c r="AM693">
        <f>'T_SelfStock'!AK25</f>
        <v/>
      </c>
      <c r="AN693">
        <f>'T_SelfStock'!AL25</f>
        <v/>
      </c>
      <c r="AO693">
        <f>'T_SelfStock'!AM25</f>
        <v/>
      </c>
      <c r="AP693">
        <f>'T_SelfStock'!AN25</f>
        <v/>
      </c>
      <c r="AQ693">
        <f>'T_SelfStock'!AO25</f>
        <v/>
      </c>
      <c r="AR693">
        <f>'T_SelfStock'!AP25</f>
        <v/>
      </c>
      <c r="AS693">
        <f>'T_SelfStock'!AQ25</f>
        <v/>
      </c>
      <c r="AT693">
        <f>'T_SelfStock'!AR25</f>
        <v/>
      </c>
      <c r="AU693">
        <f>'T_SelfStock'!AS25</f>
        <v/>
      </c>
      <c r="AV693">
        <f>'T_SelfStock'!AT25</f>
        <v/>
      </c>
      <c r="AW693">
        <f>'T_SelfStock'!AU25</f>
        <v/>
      </c>
      <c r="AX693">
        <f>'T_SelfStock'!AV25</f>
        <v/>
      </c>
      <c r="AY693">
        <f>'T_SelfStock'!AW25</f>
        <v/>
      </c>
      <c r="AZ693">
        <f>'T_SelfStock'!AX25</f>
        <v/>
      </c>
      <c r="BA693">
        <f>'T_SelfStock'!AY25</f>
        <v/>
      </c>
      <c r="BB693">
        <f>'T_SelfStock'!AZ25</f>
        <v/>
      </c>
      <c r="BC693">
        <f>'T_SelfStock'!BA25</f>
        <v/>
      </c>
      <c r="BD693">
        <f>'T_SelfStock'!BB25</f>
        <v/>
      </c>
      <c r="BE693">
        <f>'T_SelfStock'!BC25</f>
        <v/>
      </c>
      <c r="BF693">
        <f>'T_SelfStock'!BD25</f>
        <v/>
      </c>
      <c r="BG693">
        <f>'T_SelfStock'!BE25</f>
        <v/>
      </c>
      <c r="BH693">
        <f>'T_SelfStock'!BF25</f>
        <v/>
      </c>
      <c r="BI693">
        <f>'T_SelfStock'!BG25</f>
        <v/>
      </c>
      <c r="BJ693">
        <f>'T_SelfStock'!BH25</f>
        <v/>
      </c>
      <c r="BK693">
        <f>'T_SelfStock'!BI25</f>
        <v/>
      </c>
      <c r="BL693">
        <f>'T_SelfStock'!BJ25</f>
        <v/>
      </c>
      <c r="BM693">
        <f>'T_SelfStock'!BK25</f>
        <v/>
      </c>
      <c r="BN693">
        <f>'T_SelfStock'!BL25</f>
        <v/>
      </c>
      <c r="BO693">
        <f>'T_SelfStock'!BM25</f>
        <v/>
      </c>
      <c r="BP693">
        <f>'T_SelfStock'!BN25</f>
        <v/>
      </c>
      <c r="BQ693">
        <f>'T_SelfStock'!BO25</f>
        <v/>
      </c>
      <c r="BR693">
        <f>'T_SelfStock'!BP25</f>
        <v/>
      </c>
      <c r="BS693">
        <f>'T_SelfStock'!BQ25</f>
        <v/>
      </c>
      <c r="BT693">
        <f>'T_SelfStock'!BR25</f>
        <v/>
      </c>
      <c r="BU693">
        <f>'T_SelfStock'!BS25</f>
        <v/>
      </c>
      <c r="BV693">
        <f>'T_SelfStock'!BT25</f>
        <v/>
      </c>
      <c r="BW693">
        <f>'T_SelfStock'!BU25</f>
        <v/>
      </c>
      <c r="BX693">
        <f>'T_SelfStock'!BV25</f>
        <v/>
      </c>
      <c r="BY693">
        <f>'T_SelfStock'!BW25</f>
        <v/>
      </c>
      <c r="BZ693">
        <f>'T_SelfStock'!BX25</f>
        <v/>
      </c>
      <c r="CA693">
        <f>'T_SelfStock'!BY25</f>
        <v/>
      </c>
      <c r="CB693">
        <f>'T_SelfStock'!BZ25</f>
        <v/>
      </c>
      <c r="CC693">
        <f>'T_SelfStock'!CA25</f>
        <v/>
      </c>
      <c r="CD693">
        <f>'T_SelfStock'!CB25</f>
        <v/>
      </c>
      <c r="CE693">
        <f>'T_SelfStock'!CC25</f>
        <v/>
      </c>
      <c r="CF693">
        <f>'T_SelfStock'!CD25</f>
        <v/>
      </c>
      <c r="CG693">
        <f>'T_SelfStock'!CE25</f>
        <v/>
      </c>
      <c r="CH693">
        <f>'T_SelfStock'!CF25</f>
        <v/>
      </c>
      <c r="CI693">
        <f>'T_SelfStock'!CG25</f>
        <v/>
      </c>
      <c r="CJ693">
        <f>'T_SelfStock'!CH25</f>
        <v/>
      </c>
      <c r="CK693">
        <f>'T_SelfStock'!CI25</f>
        <v/>
      </c>
      <c r="CL693">
        <f>'T_SelfStock'!CJ25</f>
        <v/>
      </c>
      <c r="CM693">
        <f>'T_SelfStock'!CK25</f>
        <v/>
      </c>
      <c r="CN693">
        <f>'T_SelfStock'!CL25</f>
        <v/>
      </c>
      <c r="CO693">
        <f>'T_SelfStock'!CM25</f>
        <v/>
      </c>
      <c r="CP693">
        <f>'T_SelfStock'!CN25</f>
        <v/>
      </c>
      <c r="CQ693">
        <f>'T_SelfStock'!CO25</f>
        <v/>
      </c>
      <c r="CR693">
        <f>'T_SelfStock'!CP25</f>
        <v/>
      </c>
      <c r="CS693">
        <f>'T_SelfStock'!CQ25</f>
        <v/>
      </c>
      <c r="CT693">
        <f>'T_SelfStock'!CR25</f>
        <v/>
      </c>
      <c r="CU693">
        <f>'T_SelfStock'!CS25</f>
        <v/>
      </c>
      <c r="CV693">
        <f>'T_SelfStock'!CT25</f>
        <v/>
      </c>
      <c r="CW693">
        <f>'T_SelfStock'!CU25</f>
        <v/>
      </c>
      <c r="CX693">
        <f>'T_SelfStock'!CV25</f>
        <v/>
      </c>
      <c r="CY693">
        <f>'T_SelfStock'!CW25</f>
        <v/>
      </c>
      <c r="CZ693">
        <f>'T_SelfStock'!CX25</f>
        <v/>
      </c>
      <c r="DA693">
        <f>'T_SelfStock'!CY25</f>
        <v/>
      </c>
      <c r="DB693">
        <f>'T_SelfStock'!CZ25</f>
        <v/>
      </c>
      <c r="DC693">
        <f>'T_SelfStock'!DA25</f>
        <v/>
      </c>
    </row>
    <row r="694">
      <c r="B694" s="4" t="inlineStr">
        <is>
          <t>合計在庫(週末時点,kg)</t>
        </is>
      </c>
      <c r="D694">
        <f>'Grid_Stock'!B21</f>
        <v/>
      </c>
      <c r="E694">
        <f>'Grid_Stock'!C21</f>
        <v/>
      </c>
      <c r="F694">
        <f>'Grid_Stock'!D21</f>
        <v/>
      </c>
      <c r="G694">
        <f>'Grid_Stock'!E21</f>
        <v/>
      </c>
      <c r="H694">
        <f>'Grid_Stock'!F21</f>
        <v/>
      </c>
      <c r="I694">
        <f>'Grid_Stock'!G21</f>
        <v/>
      </c>
      <c r="J694">
        <f>'Grid_Stock'!H21</f>
        <v/>
      </c>
      <c r="K694">
        <f>'Grid_Stock'!I21</f>
        <v/>
      </c>
      <c r="L694">
        <f>'Grid_Stock'!J21</f>
        <v/>
      </c>
      <c r="M694">
        <f>'Grid_Stock'!K21</f>
        <v/>
      </c>
      <c r="N694">
        <f>'Grid_Stock'!L21</f>
        <v/>
      </c>
      <c r="O694">
        <f>'Grid_Stock'!M21</f>
        <v/>
      </c>
      <c r="P694">
        <f>'Grid_Stock'!N21</f>
        <v/>
      </c>
      <c r="Q694">
        <f>'Grid_Stock'!O21</f>
        <v/>
      </c>
      <c r="R694">
        <f>'Grid_Stock'!P21</f>
        <v/>
      </c>
      <c r="S694">
        <f>'Grid_Stock'!Q21</f>
        <v/>
      </c>
      <c r="T694">
        <f>'Grid_Stock'!R21</f>
        <v/>
      </c>
      <c r="U694">
        <f>'Grid_Stock'!S21</f>
        <v/>
      </c>
      <c r="V694">
        <f>'Grid_Stock'!T21</f>
        <v/>
      </c>
      <c r="W694">
        <f>'Grid_Stock'!U21</f>
        <v/>
      </c>
      <c r="X694">
        <f>'Grid_Stock'!V21</f>
        <v/>
      </c>
      <c r="Y694">
        <f>'Grid_Stock'!W21</f>
        <v/>
      </c>
      <c r="Z694">
        <f>'Grid_Stock'!X21</f>
        <v/>
      </c>
      <c r="AA694">
        <f>'Grid_Stock'!Y21</f>
        <v/>
      </c>
      <c r="AB694">
        <f>'Grid_Stock'!Z21</f>
        <v/>
      </c>
      <c r="AC694">
        <f>'Grid_Stock'!AA21</f>
        <v/>
      </c>
      <c r="AD694">
        <f>'Grid_Stock'!AB21</f>
        <v/>
      </c>
      <c r="AE694">
        <f>'Grid_Stock'!AC21</f>
        <v/>
      </c>
      <c r="AF694">
        <f>'Grid_Stock'!AD21</f>
        <v/>
      </c>
      <c r="AG694">
        <f>'Grid_Stock'!AE21</f>
        <v/>
      </c>
      <c r="AH694">
        <f>'Grid_Stock'!AF21</f>
        <v/>
      </c>
      <c r="AI694">
        <f>'Grid_Stock'!AG21</f>
        <v/>
      </c>
      <c r="AJ694">
        <f>'Grid_Stock'!AH21</f>
        <v/>
      </c>
      <c r="AK694">
        <f>'Grid_Stock'!AI21</f>
        <v/>
      </c>
      <c r="AL694">
        <f>'Grid_Stock'!AJ21</f>
        <v/>
      </c>
      <c r="AM694">
        <f>'Grid_Stock'!AK21</f>
        <v/>
      </c>
      <c r="AN694">
        <f>'Grid_Stock'!AL21</f>
        <v/>
      </c>
      <c r="AO694">
        <f>'Grid_Stock'!AM21</f>
        <v/>
      </c>
      <c r="AP694">
        <f>'Grid_Stock'!AN21</f>
        <v/>
      </c>
      <c r="AQ694">
        <f>'Grid_Stock'!AO21</f>
        <v/>
      </c>
      <c r="AR694">
        <f>'Grid_Stock'!AP21</f>
        <v/>
      </c>
      <c r="AS694">
        <f>'Grid_Stock'!AQ21</f>
        <v/>
      </c>
      <c r="AT694">
        <f>'Grid_Stock'!AR21</f>
        <v/>
      </c>
      <c r="AU694">
        <f>'Grid_Stock'!AS21</f>
        <v/>
      </c>
      <c r="AV694">
        <f>'Grid_Stock'!AT21</f>
        <v/>
      </c>
      <c r="AW694">
        <f>'Grid_Stock'!AU21</f>
        <v/>
      </c>
      <c r="AX694">
        <f>'Grid_Stock'!AV21</f>
        <v/>
      </c>
      <c r="AY694">
        <f>'Grid_Stock'!AW21</f>
        <v/>
      </c>
      <c r="AZ694">
        <f>'Grid_Stock'!AX21</f>
        <v/>
      </c>
      <c r="BA694">
        <f>'Grid_Stock'!AY21</f>
        <v/>
      </c>
      <c r="BB694">
        <f>'Grid_Stock'!AZ21</f>
        <v/>
      </c>
      <c r="BC694">
        <f>'Grid_Stock'!BA21</f>
        <v/>
      </c>
      <c r="BD694">
        <f>'Grid_Stock'!BB21</f>
        <v/>
      </c>
      <c r="BE694">
        <f>'Grid_Stock'!BC21</f>
        <v/>
      </c>
      <c r="BF694">
        <f>'Grid_Stock'!BD21</f>
        <v/>
      </c>
      <c r="BG694">
        <f>'Grid_Stock'!BE21</f>
        <v/>
      </c>
      <c r="BH694">
        <f>'Grid_Stock'!BF21</f>
        <v/>
      </c>
      <c r="BI694">
        <f>'Grid_Stock'!BG21</f>
        <v/>
      </c>
      <c r="BJ694">
        <f>'Grid_Stock'!BH21</f>
        <v/>
      </c>
      <c r="BK694">
        <f>'Grid_Stock'!BI21</f>
        <v/>
      </c>
      <c r="BL694">
        <f>'Grid_Stock'!BJ21</f>
        <v/>
      </c>
      <c r="BM694">
        <f>'Grid_Stock'!BK21</f>
        <v/>
      </c>
      <c r="BN694">
        <f>'Grid_Stock'!BL21</f>
        <v/>
      </c>
      <c r="BO694">
        <f>'Grid_Stock'!BM21</f>
        <v/>
      </c>
      <c r="BP694">
        <f>'Grid_Stock'!BN21</f>
        <v/>
      </c>
      <c r="BQ694">
        <f>'Grid_Stock'!BO21</f>
        <v/>
      </c>
      <c r="BR694">
        <f>'Grid_Stock'!BP21</f>
        <v/>
      </c>
      <c r="BS694">
        <f>'Grid_Stock'!BQ21</f>
        <v/>
      </c>
      <c r="BT694">
        <f>'Grid_Stock'!BR21</f>
        <v/>
      </c>
      <c r="BU694">
        <f>'Grid_Stock'!BS21</f>
        <v/>
      </c>
      <c r="BV694">
        <f>'Grid_Stock'!BT21</f>
        <v/>
      </c>
      <c r="BW694">
        <f>'Grid_Stock'!BU21</f>
        <v/>
      </c>
      <c r="BX694">
        <f>'Grid_Stock'!BV21</f>
        <v/>
      </c>
      <c r="BY694">
        <f>'Grid_Stock'!BW21</f>
        <v/>
      </c>
      <c r="BZ694">
        <f>'Grid_Stock'!BX21</f>
        <v/>
      </c>
      <c r="CA694">
        <f>'Grid_Stock'!BY21</f>
        <v/>
      </c>
      <c r="CB694">
        <f>'Grid_Stock'!BZ21</f>
        <v/>
      </c>
      <c r="CC694">
        <f>'Grid_Stock'!CA21</f>
        <v/>
      </c>
      <c r="CD694">
        <f>'Grid_Stock'!CB21</f>
        <v/>
      </c>
      <c r="CE694">
        <f>'Grid_Stock'!CC21</f>
        <v/>
      </c>
      <c r="CF694">
        <f>'Grid_Stock'!CD21</f>
        <v/>
      </c>
      <c r="CG694">
        <f>'Grid_Stock'!CE21</f>
        <v/>
      </c>
      <c r="CH694">
        <f>'Grid_Stock'!CF21</f>
        <v/>
      </c>
      <c r="CI694">
        <f>'Grid_Stock'!CG21</f>
        <v/>
      </c>
      <c r="CJ694">
        <f>'Grid_Stock'!CH21</f>
        <v/>
      </c>
      <c r="CK694">
        <f>'Grid_Stock'!CI21</f>
        <v/>
      </c>
      <c r="CL694">
        <f>'Grid_Stock'!CJ21</f>
        <v/>
      </c>
      <c r="CM694">
        <f>'Grid_Stock'!CK21</f>
        <v/>
      </c>
      <c r="CN694">
        <f>'Grid_Stock'!CL21</f>
        <v/>
      </c>
      <c r="CO694">
        <f>'Grid_Stock'!CM21</f>
        <v/>
      </c>
      <c r="CP694">
        <f>'Grid_Stock'!CN21</f>
        <v/>
      </c>
      <c r="CQ694">
        <f>'Grid_Stock'!CO21</f>
        <v/>
      </c>
      <c r="CR694">
        <f>'Grid_Stock'!CP21</f>
        <v/>
      </c>
      <c r="CS694">
        <f>'Grid_Stock'!CQ21</f>
        <v/>
      </c>
      <c r="CT694">
        <f>'Grid_Stock'!CR21</f>
        <v/>
      </c>
      <c r="CU694">
        <f>'Grid_Stock'!CS21</f>
        <v/>
      </c>
      <c r="CV694">
        <f>'Grid_Stock'!CT21</f>
        <v/>
      </c>
      <c r="CW694">
        <f>'Grid_Stock'!CU21</f>
        <v/>
      </c>
      <c r="CX694">
        <f>'Grid_Stock'!CV21</f>
        <v/>
      </c>
      <c r="CY694">
        <f>'Grid_Stock'!CW21</f>
        <v/>
      </c>
      <c r="CZ694">
        <f>'Grid_Stock'!CX21</f>
        <v/>
      </c>
      <c r="DA694">
        <f>'Grid_Stock'!CY21</f>
        <v/>
      </c>
      <c r="DB694">
        <f>'Grid_Stock'!CZ21</f>
        <v/>
      </c>
      <c r="DC694">
        <f>'Grid_Stock'!DA21</f>
        <v/>
      </c>
    </row>
    <row r="695">
      <c r="B695" s="16" t="inlineStr">
        <is>
          <t>（発注の目安はDashboardの基準在庫[下限/上限]と色分けを参照）</t>
        </is>
      </c>
    </row>
    <row r="697">
      <c r="A697" s="14" t="inlineStr">
        <is>
          <t>CHEM-1560</t>
        </is>
      </c>
      <c r="B697" s="14" t="inlineStr">
        <is>
          <t>TPZ-511</t>
        </is>
      </c>
      <c r="C697" s="15" t="n"/>
      <c r="D697" s="14" t="n"/>
      <c r="E697" s="14" t="n"/>
      <c r="F697" s="14" t="n"/>
      <c r="G697" s="14" t="n"/>
      <c r="H697" s="14" t="n"/>
      <c r="I697" s="14" t="n"/>
      <c r="J697" s="14" t="n"/>
      <c r="K697" s="14" t="n"/>
      <c r="L697" s="14" t="n"/>
      <c r="M697" s="14" t="n"/>
      <c r="N697" s="14" t="n"/>
      <c r="O697" s="14" t="n"/>
      <c r="P697" s="14" t="n"/>
      <c r="Q697" s="14" t="n"/>
      <c r="R697" s="14" t="n"/>
      <c r="S697" s="14" t="n"/>
      <c r="T697" s="14" t="n"/>
      <c r="U697" s="14" t="n"/>
      <c r="V697" s="14" t="n"/>
      <c r="W697" s="14" t="n"/>
      <c r="X697" s="14" t="n"/>
      <c r="Y697" s="14" t="n"/>
      <c r="Z697" s="14" t="n"/>
      <c r="AA697" s="14" t="n"/>
      <c r="AB697" s="14" t="n"/>
      <c r="AC697" s="14" t="n"/>
      <c r="AD697" s="14" t="n"/>
      <c r="AE697" s="14" t="n"/>
      <c r="AF697" s="14" t="n"/>
      <c r="AG697" s="14" t="n"/>
      <c r="AH697" s="14" t="n"/>
      <c r="AI697" s="14" t="n"/>
      <c r="AJ697" s="14" t="n"/>
      <c r="AK697" s="14" t="n"/>
      <c r="AL697" s="14" t="n"/>
      <c r="AM697" s="14" t="n"/>
      <c r="AN697" s="14" t="n"/>
      <c r="AO697" s="14" t="n"/>
      <c r="AP697" s="14" t="n"/>
      <c r="AQ697" s="14" t="n"/>
      <c r="AR697" s="14" t="n"/>
      <c r="AS697" s="14" t="n"/>
      <c r="AT697" s="14" t="n"/>
      <c r="AU697" s="14" t="n"/>
      <c r="AV697" s="14" t="n"/>
      <c r="AW697" s="14" t="n"/>
      <c r="AX697" s="14" t="n"/>
      <c r="AY697" s="14" t="n"/>
      <c r="AZ697" s="14" t="n"/>
      <c r="BA697" s="14" t="n"/>
      <c r="BB697" s="14" t="n"/>
      <c r="BC697" s="14" t="n"/>
      <c r="BD697" s="14" t="n"/>
      <c r="BE697" s="14" t="n"/>
      <c r="BF697" s="14" t="n"/>
      <c r="BG697" s="14" t="n"/>
      <c r="BH697" s="14" t="n"/>
      <c r="BI697" s="14" t="n"/>
      <c r="BJ697" s="14" t="n"/>
      <c r="BK697" s="14" t="n"/>
      <c r="BL697" s="14" t="n"/>
      <c r="BM697" s="14" t="n"/>
      <c r="BN697" s="14" t="n"/>
      <c r="BO697" s="14" t="n"/>
      <c r="BP697" s="14" t="n"/>
      <c r="BQ697" s="14" t="n"/>
      <c r="BR697" s="14" t="n"/>
      <c r="BS697" s="14" t="n"/>
      <c r="BT697" s="14" t="n"/>
      <c r="BU697" s="14" t="n"/>
      <c r="BV697" s="14" t="n"/>
      <c r="BW697" s="14" t="n"/>
      <c r="BX697" s="14" t="n"/>
      <c r="BY697" s="14" t="n"/>
      <c r="BZ697" s="14" t="n"/>
      <c r="CA697" s="14" t="n"/>
      <c r="CB697" s="14" t="n"/>
      <c r="CC697" s="14" t="n"/>
      <c r="CD697" s="14" t="n"/>
      <c r="CE697" s="14" t="n"/>
      <c r="CF697" s="14" t="n"/>
      <c r="CG697" s="14" t="n"/>
      <c r="CH697" s="14" t="n"/>
      <c r="CI697" s="14" t="n"/>
      <c r="CJ697" s="14" t="n"/>
      <c r="CK697" s="14" t="n"/>
      <c r="CL697" s="14" t="n"/>
      <c r="CM697" s="14" t="n"/>
      <c r="CN697" s="14" t="n"/>
      <c r="CO697" s="14" t="n"/>
      <c r="CP697" s="14" t="n"/>
      <c r="CQ697" s="14" t="n"/>
      <c r="CR697" s="14" t="n"/>
      <c r="CS697" s="14" t="n"/>
      <c r="CT697" s="14" t="n"/>
      <c r="CU697" s="14" t="n"/>
      <c r="CV697" s="14" t="n"/>
      <c r="CW697" s="14" t="n"/>
      <c r="CX697" s="14" t="n"/>
      <c r="CY697" s="14" t="n"/>
      <c r="CZ697" s="14" t="n"/>
      <c r="DA697" s="14" t="n"/>
      <c r="DB697" s="14" t="n"/>
      <c r="DC697" s="14" t="n"/>
    </row>
    <row r="698">
      <c r="B698" t="inlineStr">
        <is>
          <t>TSP-360</t>
        </is>
      </c>
      <c r="C698" t="inlineStr">
        <is>
          <t>No. of batches</t>
        </is>
      </c>
      <c r="D698">
        <f>IFERROR(INDEX(PP_Grid[#Data],$DD698,2),0)</f>
        <v/>
      </c>
      <c r="E698">
        <f>IFERROR(INDEX(PP_Grid[#Data],$DD698,3),0)</f>
        <v/>
      </c>
      <c r="F698">
        <f>IFERROR(INDEX(PP_Grid[#Data],$DD698,4),0)</f>
        <v/>
      </c>
      <c r="G698">
        <f>IFERROR(INDEX(PP_Grid[#Data],$DD698,5),0)</f>
        <v/>
      </c>
      <c r="H698">
        <f>IFERROR(INDEX(PP_Grid[#Data],$DD698,6),0)</f>
        <v/>
      </c>
      <c r="I698">
        <f>IFERROR(INDEX(PP_Grid[#Data],$DD698,7),0)</f>
        <v/>
      </c>
      <c r="J698">
        <f>IFERROR(INDEX(PP_Grid[#Data],$DD698,8),0)</f>
        <v/>
      </c>
      <c r="K698">
        <f>IFERROR(INDEX(PP_Grid[#Data],$DD698,9),0)</f>
        <v/>
      </c>
      <c r="L698">
        <f>IFERROR(INDEX(PP_Grid[#Data],$DD698,10),0)</f>
        <v/>
      </c>
      <c r="M698">
        <f>IFERROR(INDEX(PP_Grid[#Data],$DD698,11),0)</f>
        <v/>
      </c>
      <c r="N698">
        <f>IFERROR(INDEX(PP_Grid[#Data],$DD698,12),0)</f>
        <v/>
      </c>
      <c r="O698">
        <f>IFERROR(INDEX(PP_Grid[#Data],$DD698,13),0)</f>
        <v/>
      </c>
      <c r="P698">
        <f>IFERROR(INDEX(PP_Grid[#Data],$DD698,14),0)</f>
        <v/>
      </c>
      <c r="Q698">
        <f>IFERROR(INDEX(PP_Grid[#Data],$DD698,15),0)</f>
        <v/>
      </c>
      <c r="R698">
        <f>IFERROR(INDEX(PP_Grid[#Data],$DD698,16),0)</f>
        <v/>
      </c>
      <c r="S698">
        <f>IFERROR(INDEX(PP_Grid[#Data],$DD698,17),0)</f>
        <v/>
      </c>
      <c r="T698">
        <f>IFERROR(INDEX(PP_Grid[#Data],$DD698,18),0)</f>
        <v/>
      </c>
      <c r="U698">
        <f>IFERROR(INDEX(PP_Grid[#Data],$DD698,19),0)</f>
        <v/>
      </c>
      <c r="V698">
        <f>IFERROR(INDEX(PP_Grid[#Data],$DD698,20),0)</f>
        <v/>
      </c>
      <c r="W698">
        <f>IFERROR(INDEX(PP_Grid[#Data],$DD698,21),0)</f>
        <v/>
      </c>
      <c r="X698">
        <f>IFERROR(INDEX(PP_Grid[#Data],$DD698,22),0)</f>
        <v/>
      </c>
      <c r="Y698">
        <f>IFERROR(INDEX(PP_Grid[#Data],$DD698,23),0)</f>
        <v/>
      </c>
      <c r="Z698">
        <f>IFERROR(INDEX(PP_Grid[#Data],$DD698,24),0)</f>
        <v/>
      </c>
      <c r="AA698">
        <f>IFERROR(INDEX(PP_Grid[#Data],$DD698,25),0)</f>
        <v/>
      </c>
      <c r="AB698">
        <f>IFERROR(INDEX(PP_Grid[#Data],$DD698,26),0)</f>
        <v/>
      </c>
      <c r="AC698">
        <f>IFERROR(INDEX(PP_Grid[#Data],$DD698,27),0)</f>
        <v/>
      </c>
      <c r="AD698">
        <f>IFERROR(INDEX(PP_Grid[#Data],$DD698,28),0)</f>
        <v/>
      </c>
      <c r="AE698">
        <f>IFERROR(INDEX(PP_Grid[#Data],$DD698,29),0)</f>
        <v/>
      </c>
      <c r="AF698">
        <f>IFERROR(INDEX(PP_Grid[#Data],$DD698,30),0)</f>
        <v/>
      </c>
      <c r="AG698">
        <f>IFERROR(INDEX(PP_Grid[#Data],$DD698,31),0)</f>
        <v/>
      </c>
      <c r="AH698">
        <f>IFERROR(INDEX(PP_Grid[#Data],$DD698,32),0)</f>
        <v/>
      </c>
      <c r="AI698">
        <f>IFERROR(INDEX(PP_Grid[#Data],$DD698,33),0)</f>
        <v/>
      </c>
      <c r="AJ698">
        <f>IFERROR(INDEX(PP_Grid[#Data],$DD698,34),0)</f>
        <v/>
      </c>
      <c r="AK698">
        <f>IFERROR(INDEX(PP_Grid[#Data],$DD698,35),0)</f>
        <v/>
      </c>
      <c r="AL698">
        <f>IFERROR(INDEX(PP_Grid[#Data],$DD698,36),0)</f>
        <v/>
      </c>
      <c r="AM698">
        <f>IFERROR(INDEX(PP_Grid[#Data],$DD698,37),0)</f>
        <v/>
      </c>
      <c r="AN698">
        <f>IFERROR(INDEX(PP_Grid[#Data],$DD698,38),0)</f>
        <v/>
      </c>
      <c r="AO698">
        <f>IFERROR(INDEX(PP_Grid[#Data],$DD698,39),0)</f>
        <v/>
      </c>
      <c r="AP698">
        <f>IFERROR(INDEX(PP_Grid[#Data],$DD698,40),0)</f>
        <v/>
      </c>
      <c r="AQ698">
        <f>IFERROR(INDEX(PP_Grid[#Data],$DD698,41),0)</f>
        <v/>
      </c>
      <c r="AR698">
        <f>IFERROR(INDEX(PP_Grid[#Data],$DD698,42),0)</f>
        <v/>
      </c>
      <c r="AS698">
        <f>IFERROR(INDEX(PP_Grid[#Data],$DD698,43),0)</f>
        <v/>
      </c>
      <c r="AT698">
        <f>IFERROR(INDEX(PP_Grid[#Data],$DD698,44),0)</f>
        <v/>
      </c>
      <c r="AU698">
        <f>IFERROR(INDEX(PP_Grid[#Data],$DD698,45),0)</f>
        <v/>
      </c>
      <c r="AV698">
        <f>IFERROR(INDEX(PP_Grid[#Data],$DD698,46),0)</f>
        <v/>
      </c>
      <c r="AW698">
        <f>IFERROR(INDEX(PP_Grid[#Data],$DD698,47),0)</f>
        <v/>
      </c>
      <c r="AX698">
        <f>IFERROR(INDEX(PP_Grid[#Data],$DD698,48),0)</f>
        <v/>
      </c>
      <c r="AY698">
        <f>IFERROR(INDEX(PP_Grid[#Data],$DD698,49),0)</f>
        <v/>
      </c>
      <c r="AZ698">
        <f>IFERROR(INDEX(PP_Grid[#Data],$DD698,50),0)</f>
        <v/>
      </c>
      <c r="BA698">
        <f>IFERROR(INDEX(PP_Grid[#Data],$DD698,51),0)</f>
        <v/>
      </c>
      <c r="BB698">
        <f>IFERROR(INDEX(PP_Grid[#Data],$DD698,52),0)</f>
        <v/>
      </c>
      <c r="BC698">
        <f>IFERROR(INDEX(PP_Grid[#Data],$DD698,53),0)</f>
        <v/>
      </c>
      <c r="BD698">
        <f>IFERROR(INDEX(PP_Grid[#Data],$DD698,54),0)</f>
        <v/>
      </c>
      <c r="BE698">
        <f>IFERROR(INDEX(PP_Grid[#Data],$DD698,55),0)</f>
        <v/>
      </c>
      <c r="BF698">
        <f>IFERROR(INDEX(PP_Grid[#Data],$DD698,56),0)</f>
        <v/>
      </c>
      <c r="BG698">
        <f>IFERROR(INDEX(PP_Grid[#Data],$DD698,57),0)</f>
        <v/>
      </c>
      <c r="BH698">
        <f>IFERROR(INDEX(PP_Grid[#Data],$DD698,58),0)</f>
        <v/>
      </c>
      <c r="BI698">
        <f>IFERROR(INDEX(PP_Grid[#Data],$DD698,59),0)</f>
        <v/>
      </c>
      <c r="BJ698">
        <f>IFERROR(INDEX(PP_Grid[#Data],$DD698,60),0)</f>
        <v/>
      </c>
      <c r="BK698">
        <f>IFERROR(INDEX(PP_Grid[#Data],$DD698,61),0)</f>
        <v/>
      </c>
      <c r="BL698">
        <f>IFERROR(INDEX(PP_Grid[#Data],$DD698,62),0)</f>
        <v/>
      </c>
      <c r="BM698">
        <f>IFERROR(INDEX(PP_Grid[#Data],$DD698,63),0)</f>
        <v/>
      </c>
      <c r="BN698">
        <f>IFERROR(INDEX(PP_Grid[#Data],$DD698,64),0)</f>
        <v/>
      </c>
      <c r="BO698">
        <f>IFERROR(INDEX(PP_Grid[#Data],$DD698,65),0)</f>
        <v/>
      </c>
      <c r="BP698">
        <f>IFERROR(INDEX(PP_Grid[#Data],$DD698,66),0)</f>
        <v/>
      </c>
      <c r="BQ698">
        <f>IFERROR(INDEX(PP_Grid[#Data],$DD698,67),0)</f>
        <v/>
      </c>
      <c r="BR698">
        <f>IFERROR(INDEX(PP_Grid[#Data],$DD698,68),0)</f>
        <v/>
      </c>
      <c r="BS698">
        <f>IFERROR(INDEX(PP_Grid[#Data],$DD698,69),0)</f>
        <v/>
      </c>
      <c r="BT698">
        <f>IFERROR(INDEX(PP_Grid[#Data],$DD698,70),0)</f>
        <v/>
      </c>
      <c r="BU698">
        <f>IFERROR(INDEX(PP_Grid[#Data],$DD698,71),0)</f>
        <v/>
      </c>
      <c r="BV698">
        <f>IFERROR(INDEX(PP_Grid[#Data],$DD698,72),0)</f>
        <v/>
      </c>
      <c r="BW698">
        <f>IFERROR(INDEX(PP_Grid[#Data],$DD698,73),0)</f>
        <v/>
      </c>
      <c r="BX698">
        <f>IFERROR(INDEX(PP_Grid[#Data],$DD698,74),0)</f>
        <v/>
      </c>
      <c r="BY698">
        <f>IFERROR(INDEX(PP_Grid[#Data],$DD698,75),0)</f>
        <v/>
      </c>
      <c r="BZ698">
        <f>IFERROR(INDEX(PP_Grid[#Data],$DD698,76),0)</f>
        <v/>
      </c>
      <c r="CA698">
        <f>IFERROR(INDEX(PP_Grid[#Data],$DD698,77),0)</f>
        <v/>
      </c>
      <c r="CB698">
        <f>IFERROR(INDEX(PP_Grid[#Data],$DD698,78),0)</f>
        <v/>
      </c>
      <c r="CC698">
        <f>IFERROR(INDEX(PP_Grid[#Data],$DD698,79),0)</f>
        <v/>
      </c>
      <c r="CD698">
        <f>IFERROR(INDEX(PP_Grid[#Data],$DD698,80),0)</f>
        <v/>
      </c>
      <c r="CE698">
        <f>IFERROR(INDEX(PP_Grid[#Data],$DD698,81),0)</f>
        <v/>
      </c>
      <c r="CF698">
        <f>IFERROR(INDEX(PP_Grid[#Data],$DD698,82),0)</f>
        <v/>
      </c>
      <c r="CG698">
        <f>IFERROR(INDEX(PP_Grid[#Data],$DD698,83),0)</f>
        <v/>
      </c>
      <c r="CH698">
        <f>IFERROR(INDEX(PP_Grid[#Data],$DD698,84),0)</f>
        <v/>
      </c>
      <c r="CI698">
        <f>IFERROR(INDEX(PP_Grid[#Data],$DD698,85),0)</f>
        <v/>
      </c>
      <c r="CJ698">
        <f>IFERROR(INDEX(PP_Grid[#Data],$DD698,86),0)</f>
        <v/>
      </c>
      <c r="CK698">
        <f>IFERROR(INDEX(PP_Grid[#Data],$DD698,87),0)</f>
        <v/>
      </c>
      <c r="CL698">
        <f>IFERROR(INDEX(PP_Grid[#Data],$DD698,88),0)</f>
        <v/>
      </c>
      <c r="CM698">
        <f>IFERROR(INDEX(PP_Grid[#Data],$DD698,89),0)</f>
        <v/>
      </c>
      <c r="CN698">
        <f>IFERROR(INDEX(PP_Grid[#Data],$DD698,90),0)</f>
        <v/>
      </c>
      <c r="CO698">
        <f>IFERROR(INDEX(PP_Grid[#Data],$DD698,91),0)</f>
        <v/>
      </c>
      <c r="CP698">
        <f>IFERROR(INDEX(PP_Grid[#Data],$DD698,92),0)</f>
        <v/>
      </c>
      <c r="CQ698">
        <f>IFERROR(INDEX(PP_Grid[#Data],$DD698,93),0)</f>
        <v/>
      </c>
      <c r="CR698">
        <f>IFERROR(INDEX(PP_Grid[#Data],$DD698,94),0)</f>
        <v/>
      </c>
      <c r="CS698">
        <f>IFERROR(INDEX(PP_Grid[#Data],$DD698,95),0)</f>
        <v/>
      </c>
      <c r="CT698">
        <f>IFERROR(INDEX(PP_Grid[#Data],$DD698,96),0)</f>
        <v/>
      </c>
      <c r="CU698">
        <f>IFERROR(INDEX(PP_Grid[#Data],$DD698,97),0)</f>
        <v/>
      </c>
      <c r="CV698">
        <f>IFERROR(INDEX(PP_Grid[#Data],$DD698,98),0)</f>
        <v/>
      </c>
      <c r="CW698">
        <f>IFERROR(INDEX(PP_Grid[#Data],$DD698,99),0)</f>
        <v/>
      </c>
      <c r="CX698">
        <f>IFERROR(INDEX(PP_Grid[#Data],$DD698,100),0)</f>
        <v/>
      </c>
      <c r="CY698">
        <f>IFERROR(INDEX(PP_Grid[#Data],$DD698,101),0)</f>
        <v/>
      </c>
      <c r="CZ698">
        <f>IFERROR(INDEX(PP_Grid[#Data],$DD698,102),0)</f>
        <v/>
      </c>
      <c r="DA698">
        <f>IFERROR(INDEX(PP_Grid[#Data],$DD698,103),0)</f>
        <v/>
      </c>
      <c r="DB698">
        <f>IFERROR(INDEX(PP_Grid[#Data],$DD698,104),0)</f>
        <v/>
      </c>
      <c r="DC698">
        <f>IFERROR(INDEX(PP_Grid[#Data],$DD698,105),0)</f>
        <v/>
      </c>
      <c r="DD698" s="7">
        <f>IFERROR(MATCH($B698,PP_Grid[Intermediate],0),99999)</f>
        <v/>
      </c>
    </row>
    <row r="699">
      <c r="B699" t="inlineStr">
        <is>
          <t>使用量(kg)</t>
        </is>
      </c>
      <c r="C699">
        <f>SUMIFS(M_BOM[RM_Qty_Per_Batch],M_BOM[Intermediate],$B698,M_BOM[Part Name],$A697)</f>
        <v/>
      </c>
      <c r="D699">
        <f>$C699*D698</f>
        <v/>
      </c>
      <c r="E699">
        <f>$C699*E698</f>
        <v/>
      </c>
      <c r="F699">
        <f>$C699*F698</f>
        <v/>
      </c>
      <c r="G699">
        <f>$C699*G698</f>
        <v/>
      </c>
      <c r="H699">
        <f>$C699*H698</f>
        <v/>
      </c>
      <c r="I699">
        <f>$C699*I698</f>
        <v/>
      </c>
      <c r="J699">
        <f>$C699*J698</f>
        <v/>
      </c>
      <c r="K699">
        <f>$C699*K698</f>
        <v/>
      </c>
      <c r="L699">
        <f>$C699*L698</f>
        <v/>
      </c>
      <c r="M699">
        <f>$C699*M698</f>
        <v/>
      </c>
      <c r="N699">
        <f>$C699*N698</f>
        <v/>
      </c>
      <c r="O699">
        <f>$C699*O698</f>
        <v/>
      </c>
      <c r="P699">
        <f>$C699*P698</f>
        <v/>
      </c>
      <c r="Q699">
        <f>$C699*Q698</f>
        <v/>
      </c>
      <c r="R699">
        <f>$C699*R698</f>
        <v/>
      </c>
      <c r="S699">
        <f>$C699*S698</f>
        <v/>
      </c>
      <c r="T699">
        <f>$C699*T698</f>
        <v/>
      </c>
      <c r="U699">
        <f>$C699*U698</f>
        <v/>
      </c>
      <c r="V699">
        <f>$C699*V698</f>
        <v/>
      </c>
      <c r="W699">
        <f>$C699*W698</f>
        <v/>
      </c>
      <c r="X699">
        <f>$C699*X698</f>
        <v/>
      </c>
      <c r="Y699">
        <f>$C699*Y698</f>
        <v/>
      </c>
      <c r="Z699">
        <f>$C699*Z698</f>
        <v/>
      </c>
      <c r="AA699">
        <f>$C699*AA698</f>
        <v/>
      </c>
      <c r="AB699">
        <f>$C699*AB698</f>
        <v/>
      </c>
      <c r="AC699">
        <f>$C699*AC698</f>
        <v/>
      </c>
      <c r="AD699">
        <f>$C699*AD698</f>
        <v/>
      </c>
      <c r="AE699">
        <f>$C699*AE698</f>
        <v/>
      </c>
      <c r="AF699">
        <f>$C699*AF698</f>
        <v/>
      </c>
      <c r="AG699">
        <f>$C699*AG698</f>
        <v/>
      </c>
      <c r="AH699">
        <f>$C699*AH698</f>
        <v/>
      </c>
      <c r="AI699">
        <f>$C699*AI698</f>
        <v/>
      </c>
      <c r="AJ699">
        <f>$C699*AJ698</f>
        <v/>
      </c>
      <c r="AK699">
        <f>$C699*AK698</f>
        <v/>
      </c>
      <c r="AL699">
        <f>$C699*AL698</f>
        <v/>
      </c>
      <c r="AM699">
        <f>$C699*AM698</f>
        <v/>
      </c>
      <c r="AN699">
        <f>$C699*AN698</f>
        <v/>
      </c>
      <c r="AO699">
        <f>$C699*AO698</f>
        <v/>
      </c>
      <c r="AP699">
        <f>$C699*AP698</f>
        <v/>
      </c>
      <c r="AQ699">
        <f>$C699*AQ698</f>
        <v/>
      </c>
      <c r="AR699">
        <f>$C699*AR698</f>
        <v/>
      </c>
      <c r="AS699">
        <f>$C699*AS698</f>
        <v/>
      </c>
      <c r="AT699">
        <f>$C699*AT698</f>
        <v/>
      </c>
      <c r="AU699">
        <f>$C699*AU698</f>
        <v/>
      </c>
      <c r="AV699">
        <f>$C699*AV698</f>
        <v/>
      </c>
      <c r="AW699">
        <f>$C699*AW698</f>
        <v/>
      </c>
      <c r="AX699">
        <f>$C699*AX698</f>
        <v/>
      </c>
      <c r="AY699">
        <f>$C699*AY698</f>
        <v/>
      </c>
      <c r="AZ699">
        <f>$C699*AZ698</f>
        <v/>
      </c>
      <c r="BA699">
        <f>$C699*BA698</f>
        <v/>
      </c>
      <c r="BB699">
        <f>$C699*BB698</f>
        <v/>
      </c>
      <c r="BC699">
        <f>$C699*BC698</f>
        <v/>
      </c>
      <c r="BD699">
        <f>$C699*BD698</f>
        <v/>
      </c>
      <c r="BE699">
        <f>$C699*BE698</f>
        <v/>
      </c>
      <c r="BF699">
        <f>$C699*BF698</f>
        <v/>
      </c>
      <c r="BG699">
        <f>$C699*BG698</f>
        <v/>
      </c>
      <c r="BH699">
        <f>$C699*BH698</f>
        <v/>
      </c>
      <c r="BI699">
        <f>$C699*BI698</f>
        <v/>
      </c>
      <c r="BJ699">
        <f>$C699*BJ698</f>
        <v/>
      </c>
      <c r="BK699">
        <f>$C699*BK698</f>
        <v/>
      </c>
      <c r="BL699">
        <f>$C699*BL698</f>
        <v/>
      </c>
      <c r="BM699">
        <f>$C699*BM698</f>
        <v/>
      </c>
      <c r="BN699">
        <f>$C699*BN698</f>
        <v/>
      </c>
      <c r="BO699">
        <f>$C699*BO698</f>
        <v/>
      </c>
      <c r="BP699">
        <f>$C699*BP698</f>
        <v/>
      </c>
      <c r="BQ699">
        <f>$C699*BQ698</f>
        <v/>
      </c>
      <c r="BR699">
        <f>$C699*BR698</f>
        <v/>
      </c>
      <c r="BS699">
        <f>$C699*BS698</f>
        <v/>
      </c>
      <c r="BT699">
        <f>$C699*BT698</f>
        <v/>
      </c>
      <c r="BU699">
        <f>$C699*BU698</f>
        <v/>
      </c>
      <c r="BV699">
        <f>$C699*BV698</f>
        <v/>
      </c>
      <c r="BW699">
        <f>$C699*BW698</f>
        <v/>
      </c>
      <c r="BX699">
        <f>$C699*BX698</f>
        <v/>
      </c>
      <c r="BY699">
        <f>$C699*BY698</f>
        <v/>
      </c>
      <c r="BZ699">
        <f>$C699*BZ698</f>
        <v/>
      </c>
      <c r="CA699">
        <f>$C699*CA698</f>
        <v/>
      </c>
      <c r="CB699">
        <f>$C699*CB698</f>
        <v/>
      </c>
      <c r="CC699">
        <f>$C699*CC698</f>
        <v/>
      </c>
      <c r="CD699">
        <f>$C699*CD698</f>
        <v/>
      </c>
      <c r="CE699">
        <f>$C699*CE698</f>
        <v/>
      </c>
      <c r="CF699">
        <f>$C699*CF698</f>
        <v/>
      </c>
      <c r="CG699">
        <f>$C699*CG698</f>
        <v/>
      </c>
      <c r="CH699">
        <f>$C699*CH698</f>
        <v/>
      </c>
      <c r="CI699">
        <f>$C699*CI698</f>
        <v/>
      </c>
      <c r="CJ699">
        <f>$C699*CJ698</f>
        <v/>
      </c>
      <c r="CK699">
        <f>$C699*CK698</f>
        <v/>
      </c>
      <c r="CL699">
        <f>$C699*CL698</f>
        <v/>
      </c>
      <c r="CM699">
        <f>$C699*CM698</f>
        <v/>
      </c>
      <c r="CN699">
        <f>$C699*CN698</f>
        <v/>
      </c>
      <c r="CO699">
        <f>$C699*CO698</f>
        <v/>
      </c>
      <c r="CP699">
        <f>$C699*CP698</f>
        <v/>
      </c>
      <c r="CQ699">
        <f>$C699*CQ698</f>
        <v/>
      </c>
      <c r="CR699">
        <f>$C699*CR698</f>
        <v/>
      </c>
      <c r="CS699">
        <f>$C699*CS698</f>
        <v/>
      </c>
      <c r="CT699">
        <f>$C699*CT698</f>
        <v/>
      </c>
      <c r="CU699">
        <f>$C699*CU698</f>
        <v/>
      </c>
      <c r="CV699">
        <f>$C699*CV698</f>
        <v/>
      </c>
      <c r="CW699">
        <f>$C699*CW698</f>
        <v/>
      </c>
      <c r="CX699">
        <f>$C699*CX698</f>
        <v/>
      </c>
      <c r="CY699">
        <f>$C699*CY698</f>
        <v/>
      </c>
      <c r="CZ699">
        <f>$C699*CZ698</f>
        <v/>
      </c>
      <c r="DA699">
        <f>$C699*DA698</f>
        <v/>
      </c>
      <c r="DB699">
        <f>$C699*DB698</f>
        <v/>
      </c>
      <c r="DC699">
        <f>$C699*DC698</f>
        <v/>
      </c>
    </row>
    <row r="700">
      <c r="B700" t="inlineStr">
        <is>
          <t>TSP-544</t>
        </is>
      </c>
      <c r="C700" t="inlineStr">
        <is>
          <t>No. of batches</t>
        </is>
      </c>
      <c r="D700">
        <f>IFERROR(INDEX(PP_Grid[#Data],$DD700,2),0)</f>
        <v/>
      </c>
      <c r="E700">
        <f>IFERROR(INDEX(PP_Grid[#Data],$DD700,3),0)</f>
        <v/>
      </c>
      <c r="F700">
        <f>IFERROR(INDEX(PP_Grid[#Data],$DD700,4),0)</f>
        <v/>
      </c>
      <c r="G700">
        <f>IFERROR(INDEX(PP_Grid[#Data],$DD700,5),0)</f>
        <v/>
      </c>
      <c r="H700">
        <f>IFERROR(INDEX(PP_Grid[#Data],$DD700,6),0)</f>
        <v/>
      </c>
      <c r="I700">
        <f>IFERROR(INDEX(PP_Grid[#Data],$DD700,7),0)</f>
        <v/>
      </c>
      <c r="J700">
        <f>IFERROR(INDEX(PP_Grid[#Data],$DD700,8),0)</f>
        <v/>
      </c>
      <c r="K700">
        <f>IFERROR(INDEX(PP_Grid[#Data],$DD700,9),0)</f>
        <v/>
      </c>
      <c r="L700">
        <f>IFERROR(INDEX(PP_Grid[#Data],$DD700,10),0)</f>
        <v/>
      </c>
      <c r="M700">
        <f>IFERROR(INDEX(PP_Grid[#Data],$DD700,11),0)</f>
        <v/>
      </c>
      <c r="N700">
        <f>IFERROR(INDEX(PP_Grid[#Data],$DD700,12),0)</f>
        <v/>
      </c>
      <c r="O700">
        <f>IFERROR(INDEX(PP_Grid[#Data],$DD700,13),0)</f>
        <v/>
      </c>
      <c r="P700">
        <f>IFERROR(INDEX(PP_Grid[#Data],$DD700,14),0)</f>
        <v/>
      </c>
      <c r="Q700">
        <f>IFERROR(INDEX(PP_Grid[#Data],$DD700,15),0)</f>
        <v/>
      </c>
      <c r="R700">
        <f>IFERROR(INDEX(PP_Grid[#Data],$DD700,16),0)</f>
        <v/>
      </c>
      <c r="S700">
        <f>IFERROR(INDEX(PP_Grid[#Data],$DD700,17),0)</f>
        <v/>
      </c>
      <c r="T700">
        <f>IFERROR(INDEX(PP_Grid[#Data],$DD700,18),0)</f>
        <v/>
      </c>
      <c r="U700">
        <f>IFERROR(INDEX(PP_Grid[#Data],$DD700,19),0)</f>
        <v/>
      </c>
      <c r="V700">
        <f>IFERROR(INDEX(PP_Grid[#Data],$DD700,20),0)</f>
        <v/>
      </c>
      <c r="W700">
        <f>IFERROR(INDEX(PP_Grid[#Data],$DD700,21),0)</f>
        <v/>
      </c>
      <c r="X700">
        <f>IFERROR(INDEX(PP_Grid[#Data],$DD700,22),0)</f>
        <v/>
      </c>
      <c r="Y700">
        <f>IFERROR(INDEX(PP_Grid[#Data],$DD700,23),0)</f>
        <v/>
      </c>
      <c r="Z700">
        <f>IFERROR(INDEX(PP_Grid[#Data],$DD700,24),0)</f>
        <v/>
      </c>
      <c r="AA700">
        <f>IFERROR(INDEX(PP_Grid[#Data],$DD700,25),0)</f>
        <v/>
      </c>
      <c r="AB700">
        <f>IFERROR(INDEX(PP_Grid[#Data],$DD700,26),0)</f>
        <v/>
      </c>
      <c r="AC700">
        <f>IFERROR(INDEX(PP_Grid[#Data],$DD700,27),0)</f>
        <v/>
      </c>
      <c r="AD700">
        <f>IFERROR(INDEX(PP_Grid[#Data],$DD700,28),0)</f>
        <v/>
      </c>
      <c r="AE700">
        <f>IFERROR(INDEX(PP_Grid[#Data],$DD700,29),0)</f>
        <v/>
      </c>
      <c r="AF700">
        <f>IFERROR(INDEX(PP_Grid[#Data],$DD700,30),0)</f>
        <v/>
      </c>
      <c r="AG700">
        <f>IFERROR(INDEX(PP_Grid[#Data],$DD700,31),0)</f>
        <v/>
      </c>
      <c r="AH700">
        <f>IFERROR(INDEX(PP_Grid[#Data],$DD700,32),0)</f>
        <v/>
      </c>
      <c r="AI700">
        <f>IFERROR(INDEX(PP_Grid[#Data],$DD700,33),0)</f>
        <v/>
      </c>
      <c r="AJ700">
        <f>IFERROR(INDEX(PP_Grid[#Data],$DD700,34),0)</f>
        <v/>
      </c>
      <c r="AK700">
        <f>IFERROR(INDEX(PP_Grid[#Data],$DD700,35),0)</f>
        <v/>
      </c>
      <c r="AL700">
        <f>IFERROR(INDEX(PP_Grid[#Data],$DD700,36),0)</f>
        <v/>
      </c>
      <c r="AM700">
        <f>IFERROR(INDEX(PP_Grid[#Data],$DD700,37),0)</f>
        <v/>
      </c>
      <c r="AN700">
        <f>IFERROR(INDEX(PP_Grid[#Data],$DD700,38),0)</f>
        <v/>
      </c>
      <c r="AO700">
        <f>IFERROR(INDEX(PP_Grid[#Data],$DD700,39),0)</f>
        <v/>
      </c>
      <c r="AP700">
        <f>IFERROR(INDEX(PP_Grid[#Data],$DD700,40),0)</f>
        <v/>
      </c>
      <c r="AQ700">
        <f>IFERROR(INDEX(PP_Grid[#Data],$DD700,41),0)</f>
        <v/>
      </c>
      <c r="AR700">
        <f>IFERROR(INDEX(PP_Grid[#Data],$DD700,42),0)</f>
        <v/>
      </c>
      <c r="AS700">
        <f>IFERROR(INDEX(PP_Grid[#Data],$DD700,43),0)</f>
        <v/>
      </c>
      <c r="AT700">
        <f>IFERROR(INDEX(PP_Grid[#Data],$DD700,44),0)</f>
        <v/>
      </c>
      <c r="AU700">
        <f>IFERROR(INDEX(PP_Grid[#Data],$DD700,45),0)</f>
        <v/>
      </c>
      <c r="AV700">
        <f>IFERROR(INDEX(PP_Grid[#Data],$DD700,46),0)</f>
        <v/>
      </c>
      <c r="AW700">
        <f>IFERROR(INDEX(PP_Grid[#Data],$DD700,47),0)</f>
        <v/>
      </c>
      <c r="AX700">
        <f>IFERROR(INDEX(PP_Grid[#Data],$DD700,48),0)</f>
        <v/>
      </c>
      <c r="AY700">
        <f>IFERROR(INDEX(PP_Grid[#Data],$DD700,49),0)</f>
        <v/>
      </c>
      <c r="AZ700">
        <f>IFERROR(INDEX(PP_Grid[#Data],$DD700,50),0)</f>
        <v/>
      </c>
      <c r="BA700">
        <f>IFERROR(INDEX(PP_Grid[#Data],$DD700,51),0)</f>
        <v/>
      </c>
      <c r="BB700">
        <f>IFERROR(INDEX(PP_Grid[#Data],$DD700,52),0)</f>
        <v/>
      </c>
      <c r="BC700">
        <f>IFERROR(INDEX(PP_Grid[#Data],$DD700,53),0)</f>
        <v/>
      </c>
      <c r="BD700">
        <f>IFERROR(INDEX(PP_Grid[#Data],$DD700,54),0)</f>
        <v/>
      </c>
      <c r="BE700">
        <f>IFERROR(INDEX(PP_Grid[#Data],$DD700,55),0)</f>
        <v/>
      </c>
      <c r="BF700">
        <f>IFERROR(INDEX(PP_Grid[#Data],$DD700,56),0)</f>
        <v/>
      </c>
      <c r="BG700">
        <f>IFERROR(INDEX(PP_Grid[#Data],$DD700,57),0)</f>
        <v/>
      </c>
      <c r="BH700">
        <f>IFERROR(INDEX(PP_Grid[#Data],$DD700,58),0)</f>
        <v/>
      </c>
      <c r="BI700">
        <f>IFERROR(INDEX(PP_Grid[#Data],$DD700,59),0)</f>
        <v/>
      </c>
      <c r="BJ700">
        <f>IFERROR(INDEX(PP_Grid[#Data],$DD700,60),0)</f>
        <v/>
      </c>
      <c r="BK700">
        <f>IFERROR(INDEX(PP_Grid[#Data],$DD700,61),0)</f>
        <v/>
      </c>
      <c r="BL700">
        <f>IFERROR(INDEX(PP_Grid[#Data],$DD700,62),0)</f>
        <v/>
      </c>
      <c r="BM700">
        <f>IFERROR(INDEX(PP_Grid[#Data],$DD700,63),0)</f>
        <v/>
      </c>
      <c r="BN700">
        <f>IFERROR(INDEX(PP_Grid[#Data],$DD700,64),0)</f>
        <v/>
      </c>
      <c r="BO700">
        <f>IFERROR(INDEX(PP_Grid[#Data],$DD700,65),0)</f>
        <v/>
      </c>
      <c r="BP700">
        <f>IFERROR(INDEX(PP_Grid[#Data],$DD700,66),0)</f>
        <v/>
      </c>
      <c r="BQ700">
        <f>IFERROR(INDEX(PP_Grid[#Data],$DD700,67),0)</f>
        <v/>
      </c>
      <c r="BR700">
        <f>IFERROR(INDEX(PP_Grid[#Data],$DD700,68),0)</f>
        <v/>
      </c>
      <c r="BS700">
        <f>IFERROR(INDEX(PP_Grid[#Data],$DD700,69),0)</f>
        <v/>
      </c>
      <c r="BT700">
        <f>IFERROR(INDEX(PP_Grid[#Data],$DD700,70),0)</f>
        <v/>
      </c>
      <c r="BU700">
        <f>IFERROR(INDEX(PP_Grid[#Data],$DD700,71),0)</f>
        <v/>
      </c>
      <c r="BV700">
        <f>IFERROR(INDEX(PP_Grid[#Data],$DD700,72),0)</f>
        <v/>
      </c>
      <c r="BW700">
        <f>IFERROR(INDEX(PP_Grid[#Data],$DD700,73),0)</f>
        <v/>
      </c>
      <c r="BX700">
        <f>IFERROR(INDEX(PP_Grid[#Data],$DD700,74),0)</f>
        <v/>
      </c>
      <c r="BY700">
        <f>IFERROR(INDEX(PP_Grid[#Data],$DD700,75),0)</f>
        <v/>
      </c>
      <c r="BZ700">
        <f>IFERROR(INDEX(PP_Grid[#Data],$DD700,76),0)</f>
        <v/>
      </c>
      <c r="CA700">
        <f>IFERROR(INDEX(PP_Grid[#Data],$DD700,77),0)</f>
        <v/>
      </c>
      <c r="CB700">
        <f>IFERROR(INDEX(PP_Grid[#Data],$DD700,78),0)</f>
        <v/>
      </c>
      <c r="CC700">
        <f>IFERROR(INDEX(PP_Grid[#Data],$DD700,79),0)</f>
        <v/>
      </c>
      <c r="CD700">
        <f>IFERROR(INDEX(PP_Grid[#Data],$DD700,80),0)</f>
        <v/>
      </c>
      <c r="CE700">
        <f>IFERROR(INDEX(PP_Grid[#Data],$DD700,81),0)</f>
        <v/>
      </c>
      <c r="CF700">
        <f>IFERROR(INDEX(PP_Grid[#Data],$DD700,82),0)</f>
        <v/>
      </c>
      <c r="CG700">
        <f>IFERROR(INDEX(PP_Grid[#Data],$DD700,83),0)</f>
        <v/>
      </c>
      <c r="CH700">
        <f>IFERROR(INDEX(PP_Grid[#Data],$DD700,84),0)</f>
        <v/>
      </c>
      <c r="CI700">
        <f>IFERROR(INDEX(PP_Grid[#Data],$DD700,85),0)</f>
        <v/>
      </c>
      <c r="CJ700">
        <f>IFERROR(INDEX(PP_Grid[#Data],$DD700,86),0)</f>
        <v/>
      </c>
      <c r="CK700">
        <f>IFERROR(INDEX(PP_Grid[#Data],$DD700,87),0)</f>
        <v/>
      </c>
      <c r="CL700">
        <f>IFERROR(INDEX(PP_Grid[#Data],$DD700,88),0)</f>
        <v/>
      </c>
      <c r="CM700">
        <f>IFERROR(INDEX(PP_Grid[#Data],$DD700,89),0)</f>
        <v/>
      </c>
      <c r="CN700">
        <f>IFERROR(INDEX(PP_Grid[#Data],$DD700,90),0)</f>
        <v/>
      </c>
      <c r="CO700">
        <f>IFERROR(INDEX(PP_Grid[#Data],$DD700,91),0)</f>
        <v/>
      </c>
      <c r="CP700">
        <f>IFERROR(INDEX(PP_Grid[#Data],$DD700,92),0)</f>
        <v/>
      </c>
      <c r="CQ700">
        <f>IFERROR(INDEX(PP_Grid[#Data],$DD700,93),0)</f>
        <v/>
      </c>
      <c r="CR700">
        <f>IFERROR(INDEX(PP_Grid[#Data],$DD700,94),0)</f>
        <v/>
      </c>
      <c r="CS700">
        <f>IFERROR(INDEX(PP_Grid[#Data],$DD700,95),0)</f>
        <v/>
      </c>
      <c r="CT700">
        <f>IFERROR(INDEX(PP_Grid[#Data],$DD700,96),0)</f>
        <v/>
      </c>
      <c r="CU700">
        <f>IFERROR(INDEX(PP_Grid[#Data],$DD700,97),0)</f>
        <v/>
      </c>
      <c r="CV700">
        <f>IFERROR(INDEX(PP_Grid[#Data],$DD700,98),0)</f>
        <v/>
      </c>
      <c r="CW700">
        <f>IFERROR(INDEX(PP_Grid[#Data],$DD700,99),0)</f>
        <v/>
      </c>
      <c r="CX700">
        <f>IFERROR(INDEX(PP_Grid[#Data],$DD700,100),0)</f>
        <v/>
      </c>
      <c r="CY700">
        <f>IFERROR(INDEX(PP_Grid[#Data],$DD700,101),0)</f>
        <v/>
      </c>
      <c r="CZ700">
        <f>IFERROR(INDEX(PP_Grid[#Data],$DD700,102),0)</f>
        <v/>
      </c>
      <c r="DA700">
        <f>IFERROR(INDEX(PP_Grid[#Data],$DD700,103),0)</f>
        <v/>
      </c>
      <c r="DB700">
        <f>IFERROR(INDEX(PP_Grid[#Data],$DD700,104),0)</f>
        <v/>
      </c>
      <c r="DC700">
        <f>IFERROR(INDEX(PP_Grid[#Data],$DD700,105),0)</f>
        <v/>
      </c>
      <c r="DD700" s="7">
        <f>IFERROR(MATCH($B700,PP_Grid[Intermediate],0),99999)</f>
        <v/>
      </c>
    </row>
    <row r="701">
      <c r="B701" t="inlineStr">
        <is>
          <t>使用量(kg)</t>
        </is>
      </c>
      <c r="C701">
        <f>SUMIFS(M_BOM[RM_Qty_Per_Batch],M_BOM[Intermediate],$B700,M_BOM[Part Name],$A697)</f>
        <v/>
      </c>
      <c r="D701">
        <f>$C701*D700</f>
        <v/>
      </c>
      <c r="E701">
        <f>$C701*E700</f>
        <v/>
      </c>
      <c r="F701">
        <f>$C701*F700</f>
        <v/>
      </c>
      <c r="G701">
        <f>$C701*G700</f>
        <v/>
      </c>
      <c r="H701">
        <f>$C701*H700</f>
        <v/>
      </c>
      <c r="I701">
        <f>$C701*I700</f>
        <v/>
      </c>
      <c r="J701">
        <f>$C701*J700</f>
        <v/>
      </c>
      <c r="K701">
        <f>$C701*K700</f>
        <v/>
      </c>
      <c r="L701">
        <f>$C701*L700</f>
        <v/>
      </c>
      <c r="M701">
        <f>$C701*M700</f>
        <v/>
      </c>
      <c r="N701">
        <f>$C701*N700</f>
        <v/>
      </c>
      <c r="O701">
        <f>$C701*O700</f>
        <v/>
      </c>
      <c r="P701">
        <f>$C701*P700</f>
        <v/>
      </c>
      <c r="Q701">
        <f>$C701*Q700</f>
        <v/>
      </c>
      <c r="R701">
        <f>$C701*R700</f>
        <v/>
      </c>
      <c r="S701">
        <f>$C701*S700</f>
        <v/>
      </c>
      <c r="T701">
        <f>$C701*T700</f>
        <v/>
      </c>
      <c r="U701">
        <f>$C701*U700</f>
        <v/>
      </c>
      <c r="V701">
        <f>$C701*V700</f>
        <v/>
      </c>
      <c r="W701">
        <f>$C701*W700</f>
        <v/>
      </c>
      <c r="X701">
        <f>$C701*X700</f>
        <v/>
      </c>
      <c r="Y701">
        <f>$C701*Y700</f>
        <v/>
      </c>
      <c r="Z701">
        <f>$C701*Z700</f>
        <v/>
      </c>
      <c r="AA701">
        <f>$C701*AA700</f>
        <v/>
      </c>
      <c r="AB701">
        <f>$C701*AB700</f>
        <v/>
      </c>
      <c r="AC701">
        <f>$C701*AC700</f>
        <v/>
      </c>
      <c r="AD701">
        <f>$C701*AD700</f>
        <v/>
      </c>
      <c r="AE701">
        <f>$C701*AE700</f>
        <v/>
      </c>
      <c r="AF701">
        <f>$C701*AF700</f>
        <v/>
      </c>
      <c r="AG701">
        <f>$C701*AG700</f>
        <v/>
      </c>
      <c r="AH701">
        <f>$C701*AH700</f>
        <v/>
      </c>
      <c r="AI701">
        <f>$C701*AI700</f>
        <v/>
      </c>
      <c r="AJ701">
        <f>$C701*AJ700</f>
        <v/>
      </c>
      <c r="AK701">
        <f>$C701*AK700</f>
        <v/>
      </c>
      <c r="AL701">
        <f>$C701*AL700</f>
        <v/>
      </c>
      <c r="AM701">
        <f>$C701*AM700</f>
        <v/>
      </c>
      <c r="AN701">
        <f>$C701*AN700</f>
        <v/>
      </c>
      <c r="AO701">
        <f>$C701*AO700</f>
        <v/>
      </c>
      <c r="AP701">
        <f>$C701*AP700</f>
        <v/>
      </c>
      <c r="AQ701">
        <f>$C701*AQ700</f>
        <v/>
      </c>
      <c r="AR701">
        <f>$C701*AR700</f>
        <v/>
      </c>
      <c r="AS701">
        <f>$C701*AS700</f>
        <v/>
      </c>
      <c r="AT701">
        <f>$C701*AT700</f>
        <v/>
      </c>
      <c r="AU701">
        <f>$C701*AU700</f>
        <v/>
      </c>
      <c r="AV701">
        <f>$C701*AV700</f>
        <v/>
      </c>
      <c r="AW701">
        <f>$C701*AW700</f>
        <v/>
      </c>
      <c r="AX701">
        <f>$C701*AX700</f>
        <v/>
      </c>
      <c r="AY701">
        <f>$C701*AY700</f>
        <v/>
      </c>
      <c r="AZ701">
        <f>$C701*AZ700</f>
        <v/>
      </c>
      <c r="BA701">
        <f>$C701*BA700</f>
        <v/>
      </c>
      <c r="BB701">
        <f>$C701*BB700</f>
        <v/>
      </c>
      <c r="BC701">
        <f>$C701*BC700</f>
        <v/>
      </c>
      <c r="BD701">
        <f>$C701*BD700</f>
        <v/>
      </c>
      <c r="BE701">
        <f>$C701*BE700</f>
        <v/>
      </c>
      <c r="BF701">
        <f>$C701*BF700</f>
        <v/>
      </c>
      <c r="BG701">
        <f>$C701*BG700</f>
        <v/>
      </c>
      <c r="BH701">
        <f>$C701*BH700</f>
        <v/>
      </c>
      <c r="BI701">
        <f>$C701*BI700</f>
        <v/>
      </c>
      <c r="BJ701">
        <f>$C701*BJ700</f>
        <v/>
      </c>
      <c r="BK701">
        <f>$C701*BK700</f>
        <v/>
      </c>
      <c r="BL701">
        <f>$C701*BL700</f>
        <v/>
      </c>
      <c r="BM701">
        <f>$C701*BM700</f>
        <v/>
      </c>
      <c r="BN701">
        <f>$C701*BN700</f>
        <v/>
      </c>
      <c r="BO701">
        <f>$C701*BO700</f>
        <v/>
      </c>
      <c r="BP701">
        <f>$C701*BP700</f>
        <v/>
      </c>
      <c r="BQ701">
        <f>$C701*BQ700</f>
        <v/>
      </c>
      <c r="BR701">
        <f>$C701*BR700</f>
        <v/>
      </c>
      <c r="BS701">
        <f>$C701*BS700</f>
        <v/>
      </c>
      <c r="BT701">
        <f>$C701*BT700</f>
        <v/>
      </c>
      <c r="BU701">
        <f>$C701*BU700</f>
        <v/>
      </c>
      <c r="BV701">
        <f>$C701*BV700</f>
        <v/>
      </c>
      <c r="BW701">
        <f>$C701*BW700</f>
        <v/>
      </c>
      <c r="BX701">
        <f>$C701*BX700</f>
        <v/>
      </c>
      <c r="BY701">
        <f>$C701*BY700</f>
        <v/>
      </c>
      <c r="BZ701">
        <f>$C701*BZ700</f>
        <v/>
      </c>
      <c r="CA701">
        <f>$C701*CA700</f>
        <v/>
      </c>
      <c r="CB701">
        <f>$C701*CB700</f>
        <v/>
      </c>
      <c r="CC701">
        <f>$C701*CC700</f>
        <v/>
      </c>
      <c r="CD701">
        <f>$C701*CD700</f>
        <v/>
      </c>
      <c r="CE701">
        <f>$C701*CE700</f>
        <v/>
      </c>
      <c r="CF701">
        <f>$C701*CF700</f>
        <v/>
      </c>
      <c r="CG701">
        <f>$C701*CG700</f>
        <v/>
      </c>
      <c r="CH701">
        <f>$C701*CH700</f>
        <v/>
      </c>
      <c r="CI701">
        <f>$C701*CI700</f>
        <v/>
      </c>
      <c r="CJ701">
        <f>$C701*CJ700</f>
        <v/>
      </c>
      <c r="CK701">
        <f>$C701*CK700</f>
        <v/>
      </c>
      <c r="CL701">
        <f>$C701*CL700</f>
        <v/>
      </c>
      <c r="CM701">
        <f>$C701*CM700</f>
        <v/>
      </c>
      <c r="CN701">
        <f>$C701*CN700</f>
        <v/>
      </c>
      <c r="CO701">
        <f>$C701*CO700</f>
        <v/>
      </c>
      <c r="CP701">
        <f>$C701*CP700</f>
        <v/>
      </c>
      <c r="CQ701">
        <f>$C701*CQ700</f>
        <v/>
      </c>
      <c r="CR701">
        <f>$C701*CR700</f>
        <v/>
      </c>
      <c r="CS701">
        <f>$C701*CS700</f>
        <v/>
      </c>
      <c r="CT701">
        <f>$C701*CT700</f>
        <v/>
      </c>
      <c r="CU701">
        <f>$C701*CU700</f>
        <v/>
      </c>
      <c r="CV701">
        <f>$C701*CV700</f>
        <v/>
      </c>
      <c r="CW701">
        <f>$C701*CW700</f>
        <v/>
      </c>
      <c r="CX701">
        <f>$C701*CX700</f>
        <v/>
      </c>
      <c r="CY701">
        <f>$C701*CY700</f>
        <v/>
      </c>
      <c r="CZ701">
        <f>$C701*CZ700</f>
        <v/>
      </c>
      <c r="DA701">
        <f>$C701*DA700</f>
        <v/>
      </c>
      <c r="DB701">
        <f>$C701*DB700</f>
        <v/>
      </c>
      <c r="DC701">
        <f>$C701*DC700</f>
        <v/>
      </c>
    </row>
    <row r="702">
      <c r="B702" t="inlineStr">
        <is>
          <t>TSP-710</t>
        </is>
      </c>
      <c r="C702" t="inlineStr">
        <is>
          <t>No. of batches</t>
        </is>
      </c>
      <c r="D702">
        <f>IFERROR(INDEX(PP_Grid[#Data],$DD702,2),0)</f>
        <v/>
      </c>
      <c r="E702">
        <f>IFERROR(INDEX(PP_Grid[#Data],$DD702,3),0)</f>
        <v/>
      </c>
      <c r="F702">
        <f>IFERROR(INDEX(PP_Grid[#Data],$DD702,4),0)</f>
        <v/>
      </c>
      <c r="G702">
        <f>IFERROR(INDEX(PP_Grid[#Data],$DD702,5),0)</f>
        <v/>
      </c>
      <c r="H702">
        <f>IFERROR(INDEX(PP_Grid[#Data],$DD702,6),0)</f>
        <v/>
      </c>
      <c r="I702">
        <f>IFERROR(INDEX(PP_Grid[#Data],$DD702,7),0)</f>
        <v/>
      </c>
      <c r="J702">
        <f>IFERROR(INDEX(PP_Grid[#Data],$DD702,8),0)</f>
        <v/>
      </c>
      <c r="K702">
        <f>IFERROR(INDEX(PP_Grid[#Data],$DD702,9),0)</f>
        <v/>
      </c>
      <c r="L702">
        <f>IFERROR(INDEX(PP_Grid[#Data],$DD702,10),0)</f>
        <v/>
      </c>
      <c r="M702">
        <f>IFERROR(INDEX(PP_Grid[#Data],$DD702,11),0)</f>
        <v/>
      </c>
      <c r="N702">
        <f>IFERROR(INDEX(PP_Grid[#Data],$DD702,12),0)</f>
        <v/>
      </c>
      <c r="O702">
        <f>IFERROR(INDEX(PP_Grid[#Data],$DD702,13),0)</f>
        <v/>
      </c>
      <c r="P702">
        <f>IFERROR(INDEX(PP_Grid[#Data],$DD702,14),0)</f>
        <v/>
      </c>
      <c r="Q702">
        <f>IFERROR(INDEX(PP_Grid[#Data],$DD702,15),0)</f>
        <v/>
      </c>
      <c r="R702">
        <f>IFERROR(INDEX(PP_Grid[#Data],$DD702,16),0)</f>
        <v/>
      </c>
      <c r="S702">
        <f>IFERROR(INDEX(PP_Grid[#Data],$DD702,17),0)</f>
        <v/>
      </c>
      <c r="T702">
        <f>IFERROR(INDEX(PP_Grid[#Data],$DD702,18),0)</f>
        <v/>
      </c>
      <c r="U702">
        <f>IFERROR(INDEX(PP_Grid[#Data],$DD702,19),0)</f>
        <v/>
      </c>
      <c r="V702">
        <f>IFERROR(INDEX(PP_Grid[#Data],$DD702,20),0)</f>
        <v/>
      </c>
      <c r="W702">
        <f>IFERROR(INDEX(PP_Grid[#Data],$DD702,21),0)</f>
        <v/>
      </c>
      <c r="X702">
        <f>IFERROR(INDEX(PP_Grid[#Data],$DD702,22),0)</f>
        <v/>
      </c>
      <c r="Y702">
        <f>IFERROR(INDEX(PP_Grid[#Data],$DD702,23),0)</f>
        <v/>
      </c>
      <c r="Z702">
        <f>IFERROR(INDEX(PP_Grid[#Data],$DD702,24),0)</f>
        <v/>
      </c>
      <c r="AA702">
        <f>IFERROR(INDEX(PP_Grid[#Data],$DD702,25),0)</f>
        <v/>
      </c>
      <c r="AB702">
        <f>IFERROR(INDEX(PP_Grid[#Data],$DD702,26),0)</f>
        <v/>
      </c>
      <c r="AC702">
        <f>IFERROR(INDEX(PP_Grid[#Data],$DD702,27),0)</f>
        <v/>
      </c>
      <c r="AD702">
        <f>IFERROR(INDEX(PP_Grid[#Data],$DD702,28),0)</f>
        <v/>
      </c>
      <c r="AE702">
        <f>IFERROR(INDEX(PP_Grid[#Data],$DD702,29),0)</f>
        <v/>
      </c>
      <c r="AF702">
        <f>IFERROR(INDEX(PP_Grid[#Data],$DD702,30),0)</f>
        <v/>
      </c>
      <c r="AG702">
        <f>IFERROR(INDEX(PP_Grid[#Data],$DD702,31),0)</f>
        <v/>
      </c>
      <c r="AH702">
        <f>IFERROR(INDEX(PP_Grid[#Data],$DD702,32),0)</f>
        <v/>
      </c>
      <c r="AI702">
        <f>IFERROR(INDEX(PP_Grid[#Data],$DD702,33),0)</f>
        <v/>
      </c>
      <c r="AJ702">
        <f>IFERROR(INDEX(PP_Grid[#Data],$DD702,34),0)</f>
        <v/>
      </c>
      <c r="AK702">
        <f>IFERROR(INDEX(PP_Grid[#Data],$DD702,35),0)</f>
        <v/>
      </c>
      <c r="AL702">
        <f>IFERROR(INDEX(PP_Grid[#Data],$DD702,36),0)</f>
        <v/>
      </c>
      <c r="AM702">
        <f>IFERROR(INDEX(PP_Grid[#Data],$DD702,37),0)</f>
        <v/>
      </c>
      <c r="AN702">
        <f>IFERROR(INDEX(PP_Grid[#Data],$DD702,38),0)</f>
        <v/>
      </c>
      <c r="AO702">
        <f>IFERROR(INDEX(PP_Grid[#Data],$DD702,39),0)</f>
        <v/>
      </c>
      <c r="AP702">
        <f>IFERROR(INDEX(PP_Grid[#Data],$DD702,40),0)</f>
        <v/>
      </c>
      <c r="AQ702">
        <f>IFERROR(INDEX(PP_Grid[#Data],$DD702,41),0)</f>
        <v/>
      </c>
      <c r="AR702">
        <f>IFERROR(INDEX(PP_Grid[#Data],$DD702,42),0)</f>
        <v/>
      </c>
      <c r="AS702">
        <f>IFERROR(INDEX(PP_Grid[#Data],$DD702,43),0)</f>
        <v/>
      </c>
      <c r="AT702">
        <f>IFERROR(INDEX(PP_Grid[#Data],$DD702,44),0)</f>
        <v/>
      </c>
      <c r="AU702">
        <f>IFERROR(INDEX(PP_Grid[#Data],$DD702,45),0)</f>
        <v/>
      </c>
      <c r="AV702">
        <f>IFERROR(INDEX(PP_Grid[#Data],$DD702,46),0)</f>
        <v/>
      </c>
      <c r="AW702">
        <f>IFERROR(INDEX(PP_Grid[#Data],$DD702,47),0)</f>
        <v/>
      </c>
      <c r="AX702">
        <f>IFERROR(INDEX(PP_Grid[#Data],$DD702,48),0)</f>
        <v/>
      </c>
      <c r="AY702">
        <f>IFERROR(INDEX(PP_Grid[#Data],$DD702,49),0)</f>
        <v/>
      </c>
      <c r="AZ702">
        <f>IFERROR(INDEX(PP_Grid[#Data],$DD702,50),0)</f>
        <v/>
      </c>
      <c r="BA702">
        <f>IFERROR(INDEX(PP_Grid[#Data],$DD702,51),0)</f>
        <v/>
      </c>
      <c r="BB702">
        <f>IFERROR(INDEX(PP_Grid[#Data],$DD702,52),0)</f>
        <v/>
      </c>
      <c r="BC702">
        <f>IFERROR(INDEX(PP_Grid[#Data],$DD702,53),0)</f>
        <v/>
      </c>
      <c r="BD702">
        <f>IFERROR(INDEX(PP_Grid[#Data],$DD702,54),0)</f>
        <v/>
      </c>
      <c r="BE702">
        <f>IFERROR(INDEX(PP_Grid[#Data],$DD702,55),0)</f>
        <v/>
      </c>
      <c r="BF702">
        <f>IFERROR(INDEX(PP_Grid[#Data],$DD702,56),0)</f>
        <v/>
      </c>
      <c r="BG702">
        <f>IFERROR(INDEX(PP_Grid[#Data],$DD702,57),0)</f>
        <v/>
      </c>
      <c r="BH702">
        <f>IFERROR(INDEX(PP_Grid[#Data],$DD702,58),0)</f>
        <v/>
      </c>
      <c r="BI702">
        <f>IFERROR(INDEX(PP_Grid[#Data],$DD702,59),0)</f>
        <v/>
      </c>
      <c r="BJ702">
        <f>IFERROR(INDEX(PP_Grid[#Data],$DD702,60),0)</f>
        <v/>
      </c>
      <c r="BK702">
        <f>IFERROR(INDEX(PP_Grid[#Data],$DD702,61),0)</f>
        <v/>
      </c>
      <c r="BL702">
        <f>IFERROR(INDEX(PP_Grid[#Data],$DD702,62),0)</f>
        <v/>
      </c>
      <c r="BM702">
        <f>IFERROR(INDEX(PP_Grid[#Data],$DD702,63),0)</f>
        <v/>
      </c>
      <c r="BN702">
        <f>IFERROR(INDEX(PP_Grid[#Data],$DD702,64),0)</f>
        <v/>
      </c>
      <c r="BO702">
        <f>IFERROR(INDEX(PP_Grid[#Data],$DD702,65),0)</f>
        <v/>
      </c>
      <c r="BP702">
        <f>IFERROR(INDEX(PP_Grid[#Data],$DD702,66),0)</f>
        <v/>
      </c>
      <c r="BQ702">
        <f>IFERROR(INDEX(PP_Grid[#Data],$DD702,67),0)</f>
        <v/>
      </c>
      <c r="BR702">
        <f>IFERROR(INDEX(PP_Grid[#Data],$DD702,68),0)</f>
        <v/>
      </c>
      <c r="BS702">
        <f>IFERROR(INDEX(PP_Grid[#Data],$DD702,69),0)</f>
        <v/>
      </c>
      <c r="BT702">
        <f>IFERROR(INDEX(PP_Grid[#Data],$DD702,70),0)</f>
        <v/>
      </c>
      <c r="BU702">
        <f>IFERROR(INDEX(PP_Grid[#Data],$DD702,71),0)</f>
        <v/>
      </c>
      <c r="BV702">
        <f>IFERROR(INDEX(PP_Grid[#Data],$DD702,72),0)</f>
        <v/>
      </c>
      <c r="BW702">
        <f>IFERROR(INDEX(PP_Grid[#Data],$DD702,73),0)</f>
        <v/>
      </c>
      <c r="BX702">
        <f>IFERROR(INDEX(PP_Grid[#Data],$DD702,74),0)</f>
        <v/>
      </c>
      <c r="BY702">
        <f>IFERROR(INDEX(PP_Grid[#Data],$DD702,75),0)</f>
        <v/>
      </c>
      <c r="BZ702">
        <f>IFERROR(INDEX(PP_Grid[#Data],$DD702,76),0)</f>
        <v/>
      </c>
      <c r="CA702">
        <f>IFERROR(INDEX(PP_Grid[#Data],$DD702,77),0)</f>
        <v/>
      </c>
      <c r="CB702">
        <f>IFERROR(INDEX(PP_Grid[#Data],$DD702,78),0)</f>
        <v/>
      </c>
      <c r="CC702">
        <f>IFERROR(INDEX(PP_Grid[#Data],$DD702,79),0)</f>
        <v/>
      </c>
      <c r="CD702">
        <f>IFERROR(INDEX(PP_Grid[#Data],$DD702,80),0)</f>
        <v/>
      </c>
      <c r="CE702">
        <f>IFERROR(INDEX(PP_Grid[#Data],$DD702,81),0)</f>
        <v/>
      </c>
      <c r="CF702">
        <f>IFERROR(INDEX(PP_Grid[#Data],$DD702,82),0)</f>
        <v/>
      </c>
      <c r="CG702">
        <f>IFERROR(INDEX(PP_Grid[#Data],$DD702,83),0)</f>
        <v/>
      </c>
      <c r="CH702">
        <f>IFERROR(INDEX(PP_Grid[#Data],$DD702,84),0)</f>
        <v/>
      </c>
      <c r="CI702">
        <f>IFERROR(INDEX(PP_Grid[#Data],$DD702,85),0)</f>
        <v/>
      </c>
      <c r="CJ702">
        <f>IFERROR(INDEX(PP_Grid[#Data],$DD702,86),0)</f>
        <v/>
      </c>
      <c r="CK702">
        <f>IFERROR(INDEX(PP_Grid[#Data],$DD702,87),0)</f>
        <v/>
      </c>
      <c r="CL702">
        <f>IFERROR(INDEX(PP_Grid[#Data],$DD702,88),0)</f>
        <v/>
      </c>
      <c r="CM702">
        <f>IFERROR(INDEX(PP_Grid[#Data],$DD702,89),0)</f>
        <v/>
      </c>
      <c r="CN702">
        <f>IFERROR(INDEX(PP_Grid[#Data],$DD702,90),0)</f>
        <v/>
      </c>
      <c r="CO702">
        <f>IFERROR(INDEX(PP_Grid[#Data],$DD702,91),0)</f>
        <v/>
      </c>
      <c r="CP702">
        <f>IFERROR(INDEX(PP_Grid[#Data],$DD702,92),0)</f>
        <v/>
      </c>
      <c r="CQ702">
        <f>IFERROR(INDEX(PP_Grid[#Data],$DD702,93),0)</f>
        <v/>
      </c>
      <c r="CR702">
        <f>IFERROR(INDEX(PP_Grid[#Data],$DD702,94),0)</f>
        <v/>
      </c>
      <c r="CS702">
        <f>IFERROR(INDEX(PP_Grid[#Data],$DD702,95),0)</f>
        <v/>
      </c>
      <c r="CT702">
        <f>IFERROR(INDEX(PP_Grid[#Data],$DD702,96),0)</f>
        <v/>
      </c>
      <c r="CU702">
        <f>IFERROR(INDEX(PP_Grid[#Data],$DD702,97),0)</f>
        <v/>
      </c>
      <c r="CV702">
        <f>IFERROR(INDEX(PP_Grid[#Data],$DD702,98),0)</f>
        <v/>
      </c>
      <c r="CW702">
        <f>IFERROR(INDEX(PP_Grid[#Data],$DD702,99),0)</f>
        <v/>
      </c>
      <c r="CX702">
        <f>IFERROR(INDEX(PP_Grid[#Data],$DD702,100),0)</f>
        <v/>
      </c>
      <c r="CY702">
        <f>IFERROR(INDEX(PP_Grid[#Data],$DD702,101),0)</f>
        <v/>
      </c>
      <c r="CZ702">
        <f>IFERROR(INDEX(PP_Grid[#Data],$DD702,102),0)</f>
        <v/>
      </c>
      <c r="DA702">
        <f>IFERROR(INDEX(PP_Grid[#Data],$DD702,103),0)</f>
        <v/>
      </c>
      <c r="DB702">
        <f>IFERROR(INDEX(PP_Grid[#Data],$DD702,104),0)</f>
        <v/>
      </c>
      <c r="DC702">
        <f>IFERROR(INDEX(PP_Grid[#Data],$DD702,105),0)</f>
        <v/>
      </c>
      <c r="DD702" s="7">
        <f>IFERROR(MATCH($B702,PP_Grid[Intermediate],0),99999)</f>
        <v/>
      </c>
    </row>
    <row r="703">
      <c r="B703" t="inlineStr">
        <is>
          <t>使用量(kg)</t>
        </is>
      </c>
      <c r="C703">
        <f>SUMIFS(M_BOM[RM_Qty_Per_Batch],M_BOM[Intermediate],$B702,M_BOM[Part Name],$A697)</f>
        <v/>
      </c>
      <c r="D703">
        <f>$C703*D702</f>
        <v/>
      </c>
      <c r="E703">
        <f>$C703*E702</f>
        <v/>
      </c>
      <c r="F703">
        <f>$C703*F702</f>
        <v/>
      </c>
      <c r="G703">
        <f>$C703*G702</f>
        <v/>
      </c>
      <c r="H703">
        <f>$C703*H702</f>
        <v/>
      </c>
      <c r="I703">
        <f>$C703*I702</f>
        <v/>
      </c>
      <c r="J703">
        <f>$C703*J702</f>
        <v/>
      </c>
      <c r="K703">
        <f>$C703*K702</f>
        <v/>
      </c>
      <c r="L703">
        <f>$C703*L702</f>
        <v/>
      </c>
      <c r="M703">
        <f>$C703*M702</f>
        <v/>
      </c>
      <c r="N703">
        <f>$C703*N702</f>
        <v/>
      </c>
      <c r="O703">
        <f>$C703*O702</f>
        <v/>
      </c>
      <c r="P703">
        <f>$C703*P702</f>
        <v/>
      </c>
      <c r="Q703">
        <f>$C703*Q702</f>
        <v/>
      </c>
      <c r="R703">
        <f>$C703*R702</f>
        <v/>
      </c>
      <c r="S703">
        <f>$C703*S702</f>
        <v/>
      </c>
      <c r="T703">
        <f>$C703*T702</f>
        <v/>
      </c>
      <c r="U703">
        <f>$C703*U702</f>
        <v/>
      </c>
      <c r="V703">
        <f>$C703*V702</f>
        <v/>
      </c>
      <c r="W703">
        <f>$C703*W702</f>
        <v/>
      </c>
      <c r="X703">
        <f>$C703*X702</f>
        <v/>
      </c>
      <c r="Y703">
        <f>$C703*Y702</f>
        <v/>
      </c>
      <c r="Z703">
        <f>$C703*Z702</f>
        <v/>
      </c>
      <c r="AA703">
        <f>$C703*AA702</f>
        <v/>
      </c>
      <c r="AB703">
        <f>$C703*AB702</f>
        <v/>
      </c>
      <c r="AC703">
        <f>$C703*AC702</f>
        <v/>
      </c>
      <c r="AD703">
        <f>$C703*AD702</f>
        <v/>
      </c>
      <c r="AE703">
        <f>$C703*AE702</f>
        <v/>
      </c>
      <c r="AF703">
        <f>$C703*AF702</f>
        <v/>
      </c>
      <c r="AG703">
        <f>$C703*AG702</f>
        <v/>
      </c>
      <c r="AH703">
        <f>$C703*AH702</f>
        <v/>
      </c>
      <c r="AI703">
        <f>$C703*AI702</f>
        <v/>
      </c>
      <c r="AJ703">
        <f>$C703*AJ702</f>
        <v/>
      </c>
      <c r="AK703">
        <f>$C703*AK702</f>
        <v/>
      </c>
      <c r="AL703">
        <f>$C703*AL702</f>
        <v/>
      </c>
      <c r="AM703">
        <f>$C703*AM702</f>
        <v/>
      </c>
      <c r="AN703">
        <f>$C703*AN702</f>
        <v/>
      </c>
      <c r="AO703">
        <f>$C703*AO702</f>
        <v/>
      </c>
      <c r="AP703">
        <f>$C703*AP702</f>
        <v/>
      </c>
      <c r="AQ703">
        <f>$C703*AQ702</f>
        <v/>
      </c>
      <c r="AR703">
        <f>$C703*AR702</f>
        <v/>
      </c>
      <c r="AS703">
        <f>$C703*AS702</f>
        <v/>
      </c>
      <c r="AT703">
        <f>$C703*AT702</f>
        <v/>
      </c>
      <c r="AU703">
        <f>$C703*AU702</f>
        <v/>
      </c>
      <c r="AV703">
        <f>$C703*AV702</f>
        <v/>
      </c>
      <c r="AW703">
        <f>$C703*AW702</f>
        <v/>
      </c>
      <c r="AX703">
        <f>$C703*AX702</f>
        <v/>
      </c>
      <c r="AY703">
        <f>$C703*AY702</f>
        <v/>
      </c>
      <c r="AZ703">
        <f>$C703*AZ702</f>
        <v/>
      </c>
      <c r="BA703">
        <f>$C703*BA702</f>
        <v/>
      </c>
      <c r="BB703">
        <f>$C703*BB702</f>
        <v/>
      </c>
      <c r="BC703">
        <f>$C703*BC702</f>
        <v/>
      </c>
      <c r="BD703">
        <f>$C703*BD702</f>
        <v/>
      </c>
      <c r="BE703">
        <f>$C703*BE702</f>
        <v/>
      </c>
      <c r="BF703">
        <f>$C703*BF702</f>
        <v/>
      </c>
      <c r="BG703">
        <f>$C703*BG702</f>
        <v/>
      </c>
      <c r="BH703">
        <f>$C703*BH702</f>
        <v/>
      </c>
      <c r="BI703">
        <f>$C703*BI702</f>
        <v/>
      </c>
      <c r="BJ703">
        <f>$C703*BJ702</f>
        <v/>
      </c>
      <c r="BK703">
        <f>$C703*BK702</f>
        <v/>
      </c>
      <c r="BL703">
        <f>$C703*BL702</f>
        <v/>
      </c>
      <c r="BM703">
        <f>$C703*BM702</f>
        <v/>
      </c>
      <c r="BN703">
        <f>$C703*BN702</f>
        <v/>
      </c>
      <c r="BO703">
        <f>$C703*BO702</f>
        <v/>
      </c>
      <c r="BP703">
        <f>$C703*BP702</f>
        <v/>
      </c>
      <c r="BQ703">
        <f>$C703*BQ702</f>
        <v/>
      </c>
      <c r="BR703">
        <f>$C703*BR702</f>
        <v/>
      </c>
      <c r="BS703">
        <f>$C703*BS702</f>
        <v/>
      </c>
      <c r="BT703">
        <f>$C703*BT702</f>
        <v/>
      </c>
      <c r="BU703">
        <f>$C703*BU702</f>
        <v/>
      </c>
      <c r="BV703">
        <f>$C703*BV702</f>
        <v/>
      </c>
      <c r="BW703">
        <f>$C703*BW702</f>
        <v/>
      </c>
      <c r="BX703">
        <f>$C703*BX702</f>
        <v/>
      </c>
      <c r="BY703">
        <f>$C703*BY702</f>
        <v/>
      </c>
      <c r="BZ703">
        <f>$C703*BZ702</f>
        <v/>
      </c>
      <c r="CA703">
        <f>$C703*CA702</f>
        <v/>
      </c>
      <c r="CB703">
        <f>$C703*CB702</f>
        <v/>
      </c>
      <c r="CC703">
        <f>$C703*CC702</f>
        <v/>
      </c>
      <c r="CD703">
        <f>$C703*CD702</f>
        <v/>
      </c>
      <c r="CE703">
        <f>$C703*CE702</f>
        <v/>
      </c>
      <c r="CF703">
        <f>$C703*CF702</f>
        <v/>
      </c>
      <c r="CG703">
        <f>$C703*CG702</f>
        <v/>
      </c>
      <c r="CH703">
        <f>$C703*CH702</f>
        <v/>
      </c>
      <c r="CI703">
        <f>$C703*CI702</f>
        <v/>
      </c>
      <c r="CJ703">
        <f>$C703*CJ702</f>
        <v/>
      </c>
      <c r="CK703">
        <f>$C703*CK702</f>
        <v/>
      </c>
      <c r="CL703">
        <f>$C703*CL702</f>
        <v/>
      </c>
      <c r="CM703">
        <f>$C703*CM702</f>
        <v/>
      </c>
      <c r="CN703">
        <f>$C703*CN702</f>
        <v/>
      </c>
      <c r="CO703">
        <f>$C703*CO702</f>
        <v/>
      </c>
      <c r="CP703">
        <f>$C703*CP702</f>
        <v/>
      </c>
      <c r="CQ703">
        <f>$C703*CQ702</f>
        <v/>
      </c>
      <c r="CR703">
        <f>$C703*CR702</f>
        <v/>
      </c>
      <c r="CS703">
        <f>$C703*CS702</f>
        <v/>
      </c>
      <c r="CT703">
        <f>$C703*CT702</f>
        <v/>
      </c>
      <c r="CU703">
        <f>$C703*CU702</f>
        <v/>
      </c>
      <c r="CV703">
        <f>$C703*CV702</f>
        <v/>
      </c>
      <c r="CW703">
        <f>$C703*CW702</f>
        <v/>
      </c>
      <c r="CX703">
        <f>$C703*CX702</f>
        <v/>
      </c>
      <c r="CY703">
        <f>$C703*CY702</f>
        <v/>
      </c>
      <c r="CZ703">
        <f>$C703*CZ702</f>
        <v/>
      </c>
      <c r="DA703">
        <f>$C703*DA702</f>
        <v/>
      </c>
      <c r="DB703">
        <f>$C703*DB702</f>
        <v/>
      </c>
      <c r="DC703">
        <f>$C703*DC702</f>
        <v/>
      </c>
    </row>
    <row r="704">
      <c r="B704" s="4" t="inlineStr">
        <is>
          <t>合計使用量(kg)/週</t>
        </is>
      </c>
      <c r="D704">
        <f>'Grid_Requirement'!B34</f>
        <v/>
      </c>
      <c r="E704">
        <f>'Grid_Requirement'!C34</f>
        <v/>
      </c>
      <c r="F704">
        <f>'Grid_Requirement'!D34</f>
        <v/>
      </c>
      <c r="G704">
        <f>'Grid_Requirement'!E34</f>
        <v/>
      </c>
      <c r="H704">
        <f>'Grid_Requirement'!F34</f>
        <v/>
      </c>
      <c r="I704">
        <f>'Grid_Requirement'!G34</f>
        <v/>
      </c>
      <c r="J704">
        <f>'Grid_Requirement'!H34</f>
        <v/>
      </c>
      <c r="K704">
        <f>'Grid_Requirement'!I34</f>
        <v/>
      </c>
      <c r="L704">
        <f>'Grid_Requirement'!J34</f>
        <v/>
      </c>
      <c r="M704">
        <f>'Grid_Requirement'!K34</f>
        <v/>
      </c>
      <c r="N704">
        <f>'Grid_Requirement'!L34</f>
        <v/>
      </c>
      <c r="O704">
        <f>'Grid_Requirement'!M34</f>
        <v/>
      </c>
      <c r="P704">
        <f>'Grid_Requirement'!N34</f>
        <v/>
      </c>
      <c r="Q704">
        <f>'Grid_Requirement'!O34</f>
        <v/>
      </c>
      <c r="R704">
        <f>'Grid_Requirement'!P34</f>
        <v/>
      </c>
      <c r="S704">
        <f>'Grid_Requirement'!Q34</f>
        <v/>
      </c>
      <c r="T704">
        <f>'Grid_Requirement'!R34</f>
        <v/>
      </c>
      <c r="U704">
        <f>'Grid_Requirement'!S34</f>
        <v/>
      </c>
      <c r="V704">
        <f>'Grid_Requirement'!T34</f>
        <v/>
      </c>
      <c r="W704">
        <f>'Grid_Requirement'!U34</f>
        <v/>
      </c>
      <c r="X704">
        <f>'Grid_Requirement'!V34</f>
        <v/>
      </c>
      <c r="Y704">
        <f>'Grid_Requirement'!W34</f>
        <v/>
      </c>
      <c r="Z704">
        <f>'Grid_Requirement'!X34</f>
        <v/>
      </c>
      <c r="AA704">
        <f>'Grid_Requirement'!Y34</f>
        <v/>
      </c>
      <c r="AB704">
        <f>'Grid_Requirement'!Z34</f>
        <v/>
      </c>
      <c r="AC704">
        <f>'Grid_Requirement'!AA34</f>
        <v/>
      </c>
      <c r="AD704">
        <f>'Grid_Requirement'!AB34</f>
        <v/>
      </c>
      <c r="AE704">
        <f>'Grid_Requirement'!AC34</f>
        <v/>
      </c>
      <c r="AF704">
        <f>'Grid_Requirement'!AD34</f>
        <v/>
      </c>
      <c r="AG704">
        <f>'Grid_Requirement'!AE34</f>
        <v/>
      </c>
      <c r="AH704">
        <f>'Grid_Requirement'!AF34</f>
        <v/>
      </c>
      <c r="AI704">
        <f>'Grid_Requirement'!AG34</f>
        <v/>
      </c>
      <c r="AJ704">
        <f>'Grid_Requirement'!AH34</f>
        <v/>
      </c>
      <c r="AK704">
        <f>'Grid_Requirement'!AI34</f>
        <v/>
      </c>
      <c r="AL704">
        <f>'Grid_Requirement'!AJ34</f>
        <v/>
      </c>
      <c r="AM704">
        <f>'Grid_Requirement'!AK34</f>
        <v/>
      </c>
      <c r="AN704">
        <f>'Grid_Requirement'!AL34</f>
        <v/>
      </c>
      <c r="AO704">
        <f>'Grid_Requirement'!AM34</f>
        <v/>
      </c>
      <c r="AP704">
        <f>'Grid_Requirement'!AN34</f>
        <v/>
      </c>
      <c r="AQ704">
        <f>'Grid_Requirement'!AO34</f>
        <v/>
      </c>
      <c r="AR704">
        <f>'Grid_Requirement'!AP34</f>
        <v/>
      </c>
      <c r="AS704">
        <f>'Grid_Requirement'!AQ34</f>
        <v/>
      </c>
      <c r="AT704">
        <f>'Grid_Requirement'!AR34</f>
        <v/>
      </c>
      <c r="AU704">
        <f>'Grid_Requirement'!AS34</f>
        <v/>
      </c>
      <c r="AV704">
        <f>'Grid_Requirement'!AT34</f>
        <v/>
      </c>
      <c r="AW704">
        <f>'Grid_Requirement'!AU34</f>
        <v/>
      </c>
      <c r="AX704">
        <f>'Grid_Requirement'!AV34</f>
        <v/>
      </c>
      <c r="AY704">
        <f>'Grid_Requirement'!AW34</f>
        <v/>
      </c>
      <c r="AZ704">
        <f>'Grid_Requirement'!AX34</f>
        <v/>
      </c>
      <c r="BA704">
        <f>'Grid_Requirement'!AY34</f>
        <v/>
      </c>
      <c r="BB704">
        <f>'Grid_Requirement'!AZ34</f>
        <v/>
      </c>
      <c r="BC704">
        <f>'Grid_Requirement'!BA34</f>
        <v/>
      </c>
      <c r="BD704">
        <f>'Grid_Requirement'!BB34</f>
        <v/>
      </c>
      <c r="BE704">
        <f>'Grid_Requirement'!BC34</f>
        <v/>
      </c>
      <c r="BF704">
        <f>'Grid_Requirement'!BD34</f>
        <v/>
      </c>
      <c r="BG704">
        <f>'Grid_Requirement'!BE34</f>
        <v/>
      </c>
      <c r="BH704">
        <f>'Grid_Requirement'!BF34</f>
        <v/>
      </c>
      <c r="BI704">
        <f>'Grid_Requirement'!BG34</f>
        <v/>
      </c>
      <c r="BJ704">
        <f>'Grid_Requirement'!BH34</f>
        <v/>
      </c>
      <c r="BK704">
        <f>'Grid_Requirement'!BI34</f>
        <v/>
      </c>
      <c r="BL704">
        <f>'Grid_Requirement'!BJ34</f>
        <v/>
      </c>
      <c r="BM704">
        <f>'Grid_Requirement'!BK34</f>
        <v/>
      </c>
      <c r="BN704">
        <f>'Grid_Requirement'!BL34</f>
        <v/>
      </c>
      <c r="BO704">
        <f>'Grid_Requirement'!BM34</f>
        <v/>
      </c>
      <c r="BP704">
        <f>'Grid_Requirement'!BN34</f>
        <v/>
      </c>
      <c r="BQ704">
        <f>'Grid_Requirement'!BO34</f>
        <v/>
      </c>
      <c r="BR704">
        <f>'Grid_Requirement'!BP34</f>
        <v/>
      </c>
      <c r="BS704">
        <f>'Grid_Requirement'!BQ34</f>
        <v/>
      </c>
      <c r="BT704">
        <f>'Grid_Requirement'!BR34</f>
        <v/>
      </c>
      <c r="BU704">
        <f>'Grid_Requirement'!BS34</f>
        <v/>
      </c>
      <c r="BV704">
        <f>'Grid_Requirement'!BT34</f>
        <v/>
      </c>
      <c r="BW704">
        <f>'Grid_Requirement'!BU34</f>
        <v/>
      </c>
      <c r="BX704">
        <f>'Grid_Requirement'!BV34</f>
        <v/>
      </c>
      <c r="BY704">
        <f>'Grid_Requirement'!BW34</f>
        <v/>
      </c>
      <c r="BZ704">
        <f>'Grid_Requirement'!BX34</f>
        <v/>
      </c>
      <c r="CA704">
        <f>'Grid_Requirement'!BY34</f>
        <v/>
      </c>
      <c r="CB704">
        <f>'Grid_Requirement'!BZ34</f>
        <v/>
      </c>
      <c r="CC704">
        <f>'Grid_Requirement'!CA34</f>
        <v/>
      </c>
      <c r="CD704">
        <f>'Grid_Requirement'!CB34</f>
        <v/>
      </c>
      <c r="CE704">
        <f>'Grid_Requirement'!CC34</f>
        <v/>
      </c>
      <c r="CF704">
        <f>'Grid_Requirement'!CD34</f>
        <v/>
      </c>
      <c r="CG704">
        <f>'Grid_Requirement'!CE34</f>
        <v/>
      </c>
      <c r="CH704">
        <f>'Grid_Requirement'!CF34</f>
        <v/>
      </c>
      <c r="CI704">
        <f>'Grid_Requirement'!CG34</f>
        <v/>
      </c>
      <c r="CJ704">
        <f>'Grid_Requirement'!CH34</f>
        <v/>
      </c>
      <c r="CK704">
        <f>'Grid_Requirement'!CI34</f>
        <v/>
      </c>
      <c r="CL704">
        <f>'Grid_Requirement'!CJ34</f>
        <v/>
      </c>
      <c r="CM704">
        <f>'Grid_Requirement'!CK34</f>
        <v/>
      </c>
      <c r="CN704">
        <f>'Grid_Requirement'!CL34</f>
        <v/>
      </c>
      <c r="CO704">
        <f>'Grid_Requirement'!CM34</f>
        <v/>
      </c>
      <c r="CP704">
        <f>'Grid_Requirement'!CN34</f>
        <v/>
      </c>
      <c r="CQ704">
        <f>'Grid_Requirement'!CO34</f>
        <v/>
      </c>
      <c r="CR704">
        <f>'Grid_Requirement'!CP34</f>
        <v/>
      </c>
      <c r="CS704">
        <f>'Grid_Requirement'!CQ34</f>
        <v/>
      </c>
      <c r="CT704">
        <f>'Grid_Requirement'!CR34</f>
        <v/>
      </c>
      <c r="CU704">
        <f>'Grid_Requirement'!CS34</f>
        <v/>
      </c>
      <c r="CV704">
        <f>'Grid_Requirement'!CT34</f>
        <v/>
      </c>
      <c r="CW704">
        <f>'Grid_Requirement'!CU34</f>
        <v/>
      </c>
      <c r="CX704">
        <f>'Grid_Requirement'!CV34</f>
        <v/>
      </c>
      <c r="CY704">
        <f>'Grid_Requirement'!CW34</f>
        <v/>
      </c>
      <c r="CZ704">
        <f>'Grid_Requirement'!CX34</f>
        <v/>
      </c>
      <c r="DA704">
        <f>'Grid_Requirement'!CY34</f>
        <v/>
      </c>
      <c r="DB704">
        <f>'Grid_Requirement'!CZ34</f>
        <v/>
      </c>
      <c r="DC704">
        <f>'Grid_Requirement'!DA34</f>
        <v/>
      </c>
    </row>
    <row r="705">
      <c r="B705" t="inlineStr">
        <is>
          <t>TTAF在庫(実績,kg)</t>
        </is>
      </c>
      <c r="D705">
        <f>'T_TTAFStock'!B38</f>
        <v/>
      </c>
      <c r="E705">
        <f>'T_TTAFStock'!C38</f>
        <v/>
      </c>
      <c r="F705">
        <f>'T_TTAFStock'!D38</f>
        <v/>
      </c>
      <c r="G705">
        <f>'T_TTAFStock'!E38</f>
        <v/>
      </c>
      <c r="H705">
        <f>'T_TTAFStock'!F38</f>
        <v/>
      </c>
      <c r="I705">
        <f>'T_TTAFStock'!G38</f>
        <v/>
      </c>
      <c r="J705">
        <f>'T_TTAFStock'!H38</f>
        <v/>
      </c>
      <c r="K705">
        <f>'T_TTAFStock'!I38</f>
        <v/>
      </c>
      <c r="L705">
        <f>'T_TTAFStock'!J38</f>
        <v/>
      </c>
      <c r="M705">
        <f>'T_TTAFStock'!K38</f>
        <v/>
      </c>
      <c r="N705">
        <f>'T_TTAFStock'!L38</f>
        <v/>
      </c>
      <c r="O705">
        <f>'T_TTAFStock'!M38</f>
        <v/>
      </c>
      <c r="P705">
        <f>'T_TTAFStock'!N38</f>
        <v/>
      </c>
      <c r="Q705">
        <f>'T_TTAFStock'!O38</f>
        <v/>
      </c>
      <c r="R705">
        <f>'T_TTAFStock'!P38</f>
        <v/>
      </c>
      <c r="S705">
        <f>'T_TTAFStock'!Q38</f>
        <v/>
      </c>
      <c r="T705">
        <f>'T_TTAFStock'!R38</f>
        <v/>
      </c>
      <c r="U705">
        <f>'T_TTAFStock'!S38</f>
        <v/>
      </c>
      <c r="V705">
        <f>'T_TTAFStock'!T38</f>
        <v/>
      </c>
      <c r="W705">
        <f>'T_TTAFStock'!U38</f>
        <v/>
      </c>
      <c r="X705">
        <f>'T_TTAFStock'!V38</f>
        <v/>
      </c>
      <c r="Y705">
        <f>'T_TTAFStock'!W38</f>
        <v/>
      </c>
      <c r="Z705">
        <f>'T_TTAFStock'!X38</f>
        <v/>
      </c>
      <c r="AA705">
        <f>'T_TTAFStock'!Y38</f>
        <v/>
      </c>
      <c r="AB705">
        <f>'T_TTAFStock'!Z38</f>
        <v/>
      </c>
      <c r="AC705">
        <f>'T_TTAFStock'!AA38</f>
        <v/>
      </c>
      <c r="AD705">
        <f>'T_TTAFStock'!AB38</f>
        <v/>
      </c>
      <c r="AE705">
        <f>'T_TTAFStock'!AC38</f>
        <v/>
      </c>
      <c r="AF705">
        <f>'T_TTAFStock'!AD38</f>
        <v/>
      </c>
      <c r="AG705">
        <f>'T_TTAFStock'!AE38</f>
        <v/>
      </c>
      <c r="AH705">
        <f>'T_TTAFStock'!AF38</f>
        <v/>
      </c>
      <c r="AI705">
        <f>'T_TTAFStock'!AG38</f>
        <v/>
      </c>
      <c r="AJ705">
        <f>'T_TTAFStock'!AH38</f>
        <v/>
      </c>
      <c r="AK705">
        <f>'T_TTAFStock'!AI38</f>
        <v/>
      </c>
      <c r="AL705">
        <f>'T_TTAFStock'!AJ38</f>
        <v/>
      </c>
      <c r="AM705">
        <f>'T_TTAFStock'!AK38</f>
        <v/>
      </c>
      <c r="AN705">
        <f>'T_TTAFStock'!AL38</f>
        <v/>
      </c>
      <c r="AO705">
        <f>'T_TTAFStock'!AM38</f>
        <v/>
      </c>
      <c r="AP705">
        <f>'T_TTAFStock'!AN38</f>
        <v/>
      </c>
      <c r="AQ705">
        <f>'T_TTAFStock'!AO38</f>
        <v/>
      </c>
      <c r="AR705">
        <f>'T_TTAFStock'!AP38</f>
        <v/>
      </c>
      <c r="AS705">
        <f>'T_TTAFStock'!AQ38</f>
        <v/>
      </c>
      <c r="AT705">
        <f>'T_TTAFStock'!AR38</f>
        <v/>
      </c>
      <c r="AU705">
        <f>'T_TTAFStock'!AS38</f>
        <v/>
      </c>
      <c r="AV705">
        <f>'T_TTAFStock'!AT38</f>
        <v/>
      </c>
      <c r="AW705">
        <f>'T_TTAFStock'!AU38</f>
        <v/>
      </c>
      <c r="AX705">
        <f>'T_TTAFStock'!AV38</f>
        <v/>
      </c>
      <c r="AY705">
        <f>'T_TTAFStock'!AW38</f>
        <v/>
      </c>
      <c r="AZ705">
        <f>'T_TTAFStock'!AX38</f>
        <v/>
      </c>
      <c r="BA705">
        <f>'T_TTAFStock'!AY38</f>
        <v/>
      </c>
      <c r="BB705">
        <f>'T_TTAFStock'!AZ38</f>
        <v/>
      </c>
      <c r="BC705">
        <f>'T_TTAFStock'!BA38</f>
        <v/>
      </c>
      <c r="BD705">
        <f>'T_TTAFStock'!BB38</f>
        <v/>
      </c>
      <c r="BE705">
        <f>'T_TTAFStock'!BC38</f>
        <v/>
      </c>
      <c r="BF705">
        <f>'T_TTAFStock'!BD38</f>
        <v/>
      </c>
      <c r="BG705">
        <f>'T_TTAFStock'!BE38</f>
        <v/>
      </c>
      <c r="BH705">
        <f>'T_TTAFStock'!BF38</f>
        <v/>
      </c>
      <c r="BI705">
        <f>'T_TTAFStock'!BG38</f>
        <v/>
      </c>
      <c r="BJ705">
        <f>'T_TTAFStock'!BH38</f>
        <v/>
      </c>
      <c r="BK705">
        <f>'T_TTAFStock'!BI38</f>
        <v/>
      </c>
      <c r="BL705">
        <f>'T_TTAFStock'!BJ38</f>
        <v/>
      </c>
      <c r="BM705">
        <f>'T_TTAFStock'!BK38</f>
        <v/>
      </c>
      <c r="BN705">
        <f>'T_TTAFStock'!BL38</f>
        <v/>
      </c>
      <c r="BO705">
        <f>'T_TTAFStock'!BM38</f>
        <v/>
      </c>
      <c r="BP705">
        <f>'T_TTAFStock'!BN38</f>
        <v/>
      </c>
      <c r="BQ705">
        <f>'T_TTAFStock'!BO38</f>
        <v/>
      </c>
      <c r="BR705">
        <f>'T_TTAFStock'!BP38</f>
        <v/>
      </c>
      <c r="BS705">
        <f>'T_TTAFStock'!BQ38</f>
        <v/>
      </c>
      <c r="BT705">
        <f>'T_TTAFStock'!BR38</f>
        <v/>
      </c>
      <c r="BU705">
        <f>'T_TTAFStock'!BS38</f>
        <v/>
      </c>
      <c r="BV705">
        <f>'T_TTAFStock'!BT38</f>
        <v/>
      </c>
      <c r="BW705">
        <f>'T_TTAFStock'!BU38</f>
        <v/>
      </c>
      <c r="BX705">
        <f>'T_TTAFStock'!BV38</f>
        <v/>
      </c>
      <c r="BY705">
        <f>'T_TTAFStock'!BW38</f>
        <v/>
      </c>
      <c r="BZ705">
        <f>'T_TTAFStock'!BX38</f>
        <v/>
      </c>
      <c r="CA705">
        <f>'T_TTAFStock'!BY38</f>
        <v/>
      </c>
      <c r="CB705">
        <f>'T_TTAFStock'!BZ38</f>
        <v/>
      </c>
      <c r="CC705">
        <f>'T_TTAFStock'!CA38</f>
        <v/>
      </c>
      <c r="CD705">
        <f>'T_TTAFStock'!CB38</f>
        <v/>
      </c>
      <c r="CE705">
        <f>'T_TTAFStock'!CC38</f>
        <v/>
      </c>
      <c r="CF705">
        <f>'T_TTAFStock'!CD38</f>
        <v/>
      </c>
      <c r="CG705">
        <f>'T_TTAFStock'!CE38</f>
        <v/>
      </c>
      <c r="CH705">
        <f>'T_TTAFStock'!CF38</f>
        <v/>
      </c>
      <c r="CI705">
        <f>'T_TTAFStock'!CG38</f>
        <v/>
      </c>
      <c r="CJ705">
        <f>'T_TTAFStock'!CH38</f>
        <v/>
      </c>
      <c r="CK705">
        <f>'T_TTAFStock'!CI38</f>
        <v/>
      </c>
      <c r="CL705">
        <f>'T_TTAFStock'!CJ38</f>
        <v/>
      </c>
      <c r="CM705">
        <f>'T_TTAFStock'!CK38</f>
        <v/>
      </c>
      <c r="CN705">
        <f>'T_TTAFStock'!CL38</f>
        <v/>
      </c>
      <c r="CO705">
        <f>'T_TTAFStock'!CM38</f>
        <v/>
      </c>
      <c r="CP705">
        <f>'T_TTAFStock'!CN38</f>
        <v/>
      </c>
      <c r="CQ705">
        <f>'T_TTAFStock'!CO38</f>
        <v/>
      </c>
      <c r="CR705">
        <f>'T_TTAFStock'!CP38</f>
        <v/>
      </c>
      <c r="CS705">
        <f>'T_TTAFStock'!CQ38</f>
        <v/>
      </c>
      <c r="CT705">
        <f>'T_TTAFStock'!CR38</f>
        <v/>
      </c>
      <c r="CU705">
        <f>'T_TTAFStock'!CS38</f>
        <v/>
      </c>
      <c r="CV705">
        <f>'T_TTAFStock'!CT38</f>
        <v/>
      </c>
      <c r="CW705">
        <f>'T_TTAFStock'!CU38</f>
        <v/>
      </c>
      <c r="CX705">
        <f>'T_TTAFStock'!CV38</f>
        <v/>
      </c>
      <c r="CY705">
        <f>'T_TTAFStock'!CW38</f>
        <v/>
      </c>
      <c r="CZ705">
        <f>'T_TTAFStock'!CX38</f>
        <v/>
      </c>
      <c r="DA705">
        <f>'T_TTAFStock'!CY38</f>
        <v/>
      </c>
      <c r="DB705">
        <f>'T_TTAFStock'!CZ38</f>
        <v/>
      </c>
      <c r="DC705">
        <f>'T_TTAFStock'!DA38</f>
        <v/>
      </c>
    </row>
    <row r="706">
      <c r="B706" t="inlineStr">
        <is>
          <t>自社在庫(実績,kg)</t>
        </is>
      </c>
      <c r="D706">
        <f>'T_SelfStock'!B38</f>
        <v/>
      </c>
      <c r="E706">
        <f>'T_SelfStock'!C38</f>
        <v/>
      </c>
      <c r="F706">
        <f>'T_SelfStock'!D38</f>
        <v/>
      </c>
      <c r="G706">
        <f>'T_SelfStock'!E38</f>
        <v/>
      </c>
      <c r="H706">
        <f>'T_SelfStock'!F38</f>
        <v/>
      </c>
      <c r="I706">
        <f>'T_SelfStock'!G38</f>
        <v/>
      </c>
      <c r="J706">
        <f>'T_SelfStock'!H38</f>
        <v/>
      </c>
      <c r="K706">
        <f>'T_SelfStock'!I38</f>
        <v/>
      </c>
      <c r="L706">
        <f>'T_SelfStock'!J38</f>
        <v/>
      </c>
      <c r="M706">
        <f>'T_SelfStock'!K38</f>
        <v/>
      </c>
      <c r="N706">
        <f>'T_SelfStock'!L38</f>
        <v/>
      </c>
      <c r="O706">
        <f>'T_SelfStock'!M38</f>
        <v/>
      </c>
      <c r="P706">
        <f>'T_SelfStock'!N38</f>
        <v/>
      </c>
      <c r="Q706">
        <f>'T_SelfStock'!O38</f>
        <v/>
      </c>
      <c r="R706">
        <f>'T_SelfStock'!P38</f>
        <v/>
      </c>
      <c r="S706">
        <f>'T_SelfStock'!Q38</f>
        <v/>
      </c>
      <c r="T706">
        <f>'T_SelfStock'!R38</f>
        <v/>
      </c>
      <c r="U706">
        <f>'T_SelfStock'!S38</f>
        <v/>
      </c>
      <c r="V706">
        <f>'T_SelfStock'!T38</f>
        <v/>
      </c>
      <c r="W706">
        <f>'T_SelfStock'!U38</f>
        <v/>
      </c>
      <c r="X706">
        <f>'T_SelfStock'!V38</f>
        <v/>
      </c>
      <c r="Y706">
        <f>'T_SelfStock'!W38</f>
        <v/>
      </c>
      <c r="Z706">
        <f>'T_SelfStock'!X38</f>
        <v/>
      </c>
      <c r="AA706">
        <f>'T_SelfStock'!Y38</f>
        <v/>
      </c>
      <c r="AB706">
        <f>'T_SelfStock'!Z38</f>
        <v/>
      </c>
      <c r="AC706">
        <f>'T_SelfStock'!AA38</f>
        <v/>
      </c>
      <c r="AD706">
        <f>'T_SelfStock'!AB38</f>
        <v/>
      </c>
      <c r="AE706">
        <f>'T_SelfStock'!AC38</f>
        <v/>
      </c>
      <c r="AF706">
        <f>'T_SelfStock'!AD38</f>
        <v/>
      </c>
      <c r="AG706">
        <f>'T_SelfStock'!AE38</f>
        <v/>
      </c>
      <c r="AH706">
        <f>'T_SelfStock'!AF38</f>
        <v/>
      </c>
      <c r="AI706">
        <f>'T_SelfStock'!AG38</f>
        <v/>
      </c>
      <c r="AJ706">
        <f>'T_SelfStock'!AH38</f>
        <v/>
      </c>
      <c r="AK706">
        <f>'T_SelfStock'!AI38</f>
        <v/>
      </c>
      <c r="AL706">
        <f>'T_SelfStock'!AJ38</f>
        <v/>
      </c>
      <c r="AM706">
        <f>'T_SelfStock'!AK38</f>
        <v/>
      </c>
      <c r="AN706">
        <f>'T_SelfStock'!AL38</f>
        <v/>
      </c>
      <c r="AO706">
        <f>'T_SelfStock'!AM38</f>
        <v/>
      </c>
      <c r="AP706">
        <f>'T_SelfStock'!AN38</f>
        <v/>
      </c>
      <c r="AQ706">
        <f>'T_SelfStock'!AO38</f>
        <v/>
      </c>
      <c r="AR706">
        <f>'T_SelfStock'!AP38</f>
        <v/>
      </c>
      <c r="AS706">
        <f>'T_SelfStock'!AQ38</f>
        <v/>
      </c>
      <c r="AT706">
        <f>'T_SelfStock'!AR38</f>
        <v/>
      </c>
      <c r="AU706">
        <f>'T_SelfStock'!AS38</f>
        <v/>
      </c>
      <c r="AV706">
        <f>'T_SelfStock'!AT38</f>
        <v/>
      </c>
      <c r="AW706">
        <f>'T_SelfStock'!AU38</f>
        <v/>
      </c>
      <c r="AX706">
        <f>'T_SelfStock'!AV38</f>
        <v/>
      </c>
      <c r="AY706">
        <f>'T_SelfStock'!AW38</f>
        <v/>
      </c>
      <c r="AZ706">
        <f>'T_SelfStock'!AX38</f>
        <v/>
      </c>
      <c r="BA706">
        <f>'T_SelfStock'!AY38</f>
        <v/>
      </c>
      <c r="BB706">
        <f>'T_SelfStock'!AZ38</f>
        <v/>
      </c>
      <c r="BC706">
        <f>'T_SelfStock'!BA38</f>
        <v/>
      </c>
      <c r="BD706">
        <f>'T_SelfStock'!BB38</f>
        <v/>
      </c>
      <c r="BE706">
        <f>'T_SelfStock'!BC38</f>
        <v/>
      </c>
      <c r="BF706">
        <f>'T_SelfStock'!BD38</f>
        <v/>
      </c>
      <c r="BG706">
        <f>'T_SelfStock'!BE38</f>
        <v/>
      </c>
      <c r="BH706">
        <f>'T_SelfStock'!BF38</f>
        <v/>
      </c>
      <c r="BI706">
        <f>'T_SelfStock'!BG38</f>
        <v/>
      </c>
      <c r="BJ706">
        <f>'T_SelfStock'!BH38</f>
        <v/>
      </c>
      <c r="BK706">
        <f>'T_SelfStock'!BI38</f>
        <v/>
      </c>
      <c r="BL706">
        <f>'T_SelfStock'!BJ38</f>
        <v/>
      </c>
      <c r="BM706">
        <f>'T_SelfStock'!BK38</f>
        <v/>
      </c>
      <c r="BN706">
        <f>'T_SelfStock'!BL38</f>
        <v/>
      </c>
      <c r="BO706">
        <f>'T_SelfStock'!BM38</f>
        <v/>
      </c>
      <c r="BP706">
        <f>'T_SelfStock'!BN38</f>
        <v/>
      </c>
      <c r="BQ706">
        <f>'T_SelfStock'!BO38</f>
        <v/>
      </c>
      <c r="BR706">
        <f>'T_SelfStock'!BP38</f>
        <v/>
      </c>
      <c r="BS706">
        <f>'T_SelfStock'!BQ38</f>
        <v/>
      </c>
      <c r="BT706">
        <f>'T_SelfStock'!BR38</f>
        <v/>
      </c>
      <c r="BU706">
        <f>'T_SelfStock'!BS38</f>
        <v/>
      </c>
      <c r="BV706">
        <f>'T_SelfStock'!BT38</f>
        <v/>
      </c>
      <c r="BW706">
        <f>'T_SelfStock'!BU38</f>
        <v/>
      </c>
      <c r="BX706">
        <f>'T_SelfStock'!BV38</f>
        <v/>
      </c>
      <c r="BY706">
        <f>'T_SelfStock'!BW38</f>
        <v/>
      </c>
      <c r="BZ706">
        <f>'T_SelfStock'!BX38</f>
        <v/>
      </c>
      <c r="CA706">
        <f>'T_SelfStock'!BY38</f>
        <v/>
      </c>
      <c r="CB706">
        <f>'T_SelfStock'!BZ38</f>
        <v/>
      </c>
      <c r="CC706">
        <f>'T_SelfStock'!CA38</f>
        <v/>
      </c>
      <c r="CD706">
        <f>'T_SelfStock'!CB38</f>
        <v/>
      </c>
      <c r="CE706">
        <f>'T_SelfStock'!CC38</f>
        <v/>
      </c>
      <c r="CF706">
        <f>'T_SelfStock'!CD38</f>
        <v/>
      </c>
      <c r="CG706">
        <f>'T_SelfStock'!CE38</f>
        <v/>
      </c>
      <c r="CH706">
        <f>'T_SelfStock'!CF38</f>
        <v/>
      </c>
      <c r="CI706">
        <f>'T_SelfStock'!CG38</f>
        <v/>
      </c>
      <c r="CJ706">
        <f>'T_SelfStock'!CH38</f>
        <v/>
      </c>
      <c r="CK706">
        <f>'T_SelfStock'!CI38</f>
        <v/>
      </c>
      <c r="CL706">
        <f>'T_SelfStock'!CJ38</f>
        <v/>
      </c>
      <c r="CM706">
        <f>'T_SelfStock'!CK38</f>
        <v/>
      </c>
      <c r="CN706">
        <f>'T_SelfStock'!CL38</f>
        <v/>
      </c>
      <c r="CO706">
        <f>'T_SelfStock'!CM38</f>
        <v/>
      </c>
      <c r="CP706">
        <f>'T_SelfStock'!CN38</f>
        <v/>
      </c>
      <c r="CQ706">
        <f>'T_SelfStock'!CO38</f>
        <v/>
      </c>
      <c r="CR706">
        <f>'T_SelfStock'!CP38</f>
        <v/>
      </c>
      <c r="CS706">
        <f>'T_SelfStock'!CQ38</f>
        <v/>
      </c>
      <c r="CT706">
        <f>'T_SelfStock'!CR38</f>
        <v/>
      </c>
      <c r="CU706">
        <f>'T_SelfStock'!CS38</f>
        <v/>
      </c>
      <c r="CV706">
        <f>'T_SelfStock'!CT38</f>
        <v/>
      </c>
      <c r="CW706">
        <f>'T_SelfStock'!CU38</f>
        <v/>
      </c>
      <c r="CX706">
        <f>'T_SelfStock'!CV38</f>
        <v/>
      </c>
      <c r="CY706">
        <f>'T_SelfStock'!CW38</f>
        <v/>
      </c>
      <c r="CZ706">
        <f>'T_SelfStock'!CX38</f>
        <v/>
      </c>
      <c r="DA706">
        <f>'T_SelfStock'!CY38</f>
        <v/>
      </c>
      <c r="DB706">
        <f>'T_SelfStock'!CZ38</f>
        <v/>
      </c>
      <c r="DC706">
        <f>'T_SelfStock'!DA38</f>
        <v/>
      </c>
    </row>
    <row r="707">
      <c r="B707" s="4" t="inlineStr">
        <is>
          <t>合計在庫(週末時点,kg)</t>
        </is>
      </c>
      <c r="D707">
        <f>'Grid_Stock'!B34</f>
        <v/>
      </c>
      <c r="E707">
        <f>'Grid_Stock'!C34</f>
        <v/>
      </c>
      <c r="F707">
        <f>'Grid_Stock'!D34</f>
        <v/>
      </c>
      <c r="G707">
        <f>'Grid_Stock'!E34</f>
        <v/>
      </c>
      <c r="H707">
        <f>'Grid_Stock'!F34</f>
        <v/>
      </c>
      <c r="I707">
        <f>'Grid_Stock'!G34</f>
        <v/>
      </c>
      <c r="J707">
        <f>'Grid_Stock'!H34</f>
        <v/>
      </c>
      <c r="K707">
        <f>'Grid_Stock'!I34</f>
        <v/>
      </c>
      <c r="L707">
        <f>'Grid_Stock'!J34</f>
        <v/>
      </c>
      <c r="M707">
        <f>'Grid_Stock'!K34</f>
        <v/>
      </c>
      <c r="N707">
        <f>'Grid_Stock'!L34</f>
        <v/>
      </c>
      <c r="O707">
        <f>'Grid_Stock'!M34</f>
        <v/>
      </c>
      <c r="P707">
        <f>'Grid_Stock'!N34</f>
        <v/>
      </c>
      <c r="Q707">
        <f>'Grid_Stock'!O34</f>
        <v/>
      </c>
      <c r="R707">
        <f>'Grid_Stock'!P34</f>
        <v/>
      </c>
      <c r="S707">
        <f>'Grid_Stock'!Q34</f>
        <v/>
      </c>
      <c r="T707">
        <f>'Grid_Stock'!R34</f>
        <v/>
      </c>
      <c r="U707">
        <f>'Grid_Stock'!S34</f>
        <v/>
      </c>
      <c r="V707">
        <f>'Grid_Stock'!T34</f>
        <v/>
      </c>
      <c r="W707">
        <f>'Grid_Stock'!U34</f>
        <v/>
      </c>
      <c r="X707">
        <f>'Grid_Stock'!V34</f>
        <v/>
      </c>
      <c r="Y707">
        <f>'Grid_Stock'!W34</f>
        <v/>
      </c>
      <c r="Z707">
        <f>'Grid_Stock'!X34</f>
        <v/>
      </c>
      <c r="AA707">
        <f>'Grid_Stock'!Y34</f>
        <v/>
      </c>
      <c r="AB707">
        <f>'Grid_Stock'!Z34</f>
        <v/>
      </c>
      <c r="AC707">
        <f>'Grid_Stock'!AA34</f>
        <v/>
      </c>
      <c r="AD707">
        <f>'Grid_Stock'!AB34</f>
        <v/>
      </c>
      <c r="AE707">
        <f>'Grid_Stock'!AC34</f>
        <v/>
      </c>
      <c r="AF707">
        <f>'Grid_Stock'!AD34</f>
        <v/>
      </c>
      <c r="AG707">
        <f>'Grid_Stock'!AE34</f>
        <v/>
      </c>
      <c r="AH707">
        <f>'Grid_Stock'!AF34</f>
        <v/>
      </c>
      <c r="AI707">
        <f>'Grid_Stock'!AG34</f>
        <v/>
      </c>
      <c r="AJ707">
        <f>'Grid_Stock'!AH34</f>
        <v/>
      </c>
      <c r="AK707">
        <f>'Grid_Stock'!AI34</f>
        <v/>
      </c>
      <c r="AL707">
        <f>'Grid_Stock'!AJ34</f>
        <v/>
      </c>
      <c r="AM707">
        <f>'Grid_Stock'!AK34</f>
        <v/>
      </c>
      <c r="AN707">
        <f>'Grid_Stock'!AL34</f>
        <v/>
      </c>
      <c r="AO707">
        <f>'Grid_Stock'!AM34</f>
        <v/>
      </c>
      <c r="AP707">
        <f>'Grid_Stock'!AN34</f>
        <v/>
      </c>
      <c r="AQ707">
        <f>'Grid_Stock'!AO34</f>
        <v/>
      </c>
      <c r="AR707">
        <f>'Grid_Stock'!AP34</f>
        <v/>
      </c>
      <c r="AS707">
        <f>'Grid_Stock'!AQ34</f>
        <v/>
      </c>
      <c r="AT707">
        <f>'Grid_Stock'!AR34</f>
        <v/>
      </c>
      <c r="AU707">
        <f>'Grid_Stock'!AS34</f>
        <v/>
      </c>
      <c r="AV707">
        <f>'Grid_Stock'!AT34</f>
        <v/>
      </c>
      <c r="AW707">
        <f>'Grid_Stock'!AU34</f>
        <v/>
      </c>
      <c r="AX707">
        <f>'Grid_Stock'!AV34</f>
        <v/>
      </c>
      <c r="AY707">
        <f>'Grid_Stock'!AW34</f>
        <v/>
      </c>
      <c r="AZ707">
        <f>'Grid_Stock'!AX34</f>
        <v/>
      </c>
      <c r="BA707">
        <f>'Grid_Stock'!AY34</f>
        <v/>
      </c>
      <c r="BB707">
        <f>'Grid_Stock'!AZ34</f>
        <v/>
      </c>
      <c r="BC707">
        <f>'Grid_Stock'!BA34</f>
        <v/>
      </c>
      <c r="BD707">
        <f>'Grid_Stock'!BB34</f>
        <v/>
      </c>
      <c r="BE707">
        <f>'Grid_Stock'!BC34</f>
        <v/>
      </c>
      <c r="BF707">
        <f>'Grid_Stock'!BD34</f>
        <v/>
      </c>
      <c r="BG707">
        <f>'Grid_Stock'!BE34</f>
        <v/>
      </c>
      <c r="BH707">
        <f>'Grid_Stock'!BF34</f>
        <v/>
      </c>
      <c r="BI707">
        <f>'Grid_Stock'!BG34</f>
        <v/>
      </c>
      <c r="BJ707">
        <f>'Grid_Stock'!BH34</f>
        <v/>
      </c>
      <c r="BK707">
        <f>'Grid_Stock'!BI34</f>
        <v/>
      </c>
      <c r="BL707">
        <f>'Grid_Stock'!BJ34</f>
        <v/>
      </c>
      <c r="BM707">
        <f>'Grid_Stock'!BK34</f>
        <v/>
      </c>
      <c r="BN707">
        <f>'Grid_Stock'!BL34</f>
        <v/>
      </c>
      <c r="BO707">
        <f>'Grid_Stock'!BM34</f>
        <v/>
      </c>
      <c r="BP707">
        <f>'Grid_Stock'!BN34</f>
        <v/>
      </c>
      <c r="BQ707">
        <f>'Grid_Stock'!BO34</f>
        <v/>
      </c>
      <c r="BR707">
        <f>'Grid_Stock'!BP34</f>
        <v/>
      </c>
      <c r="BS707">
        <f>'Grid_Stock'!BQ34</f>
        <v/>
      </c>
      <c r="BT707">
        <f>'Grid_Stock'!BR34</f>
        <v/>
      </c>
      <c r="BU707">
        <f>'Grid_Stock'!BS34</f>
        <v/>
      </c>
      <c r="BV707">
        <f>'Grid_Stock'!BT34</f>
        <v/>
      </c>
      <c r="BW707">
        <f>'Grid_Stock'!BU34</f>
        <v/>
      </c>
      <c r="BX707">
        <f>'Grid_Stock'!BV34</f>
        <v/>
      </c>
      <c r="BY707">
        <f>'Grid_Stock'!BW34</f>
        <v/>
      </c>
      <c r="BZ707">
        <f>'Grid_Stock'!BX34</f>
        <v/>
      </c>
      <c r="CA707">
        <f>'Grid_Stock'!BY34</f>
        <v/>
      </c>
      <c r="CB707">
        <f>'Grid_Stock'!BZ34</f>
        <v/>
      </c>
      <c r="CC707">
        <f>'Grid_Stock'!CA34</f>
        <v/>
      </c>
      <c r="CD707">
        <f>'Grid_Stock'!CB34</f>
        <v/>
      </c>
      <c r="CE707">
        <f>'Grid_Stock'!CC34</f>
        <v/>
      </c>
      <c r="CF707">
        <f>'Grid_Stock'!CD34</f>
        <v/>
      </c>
      <c r="CG707">
        <f>'Grid_Stock'!CE34</f>
        <v/>
      </c>
      <c r="CH707">
        <f>'Grid_Stock'!CF34</f>
        <v/>
      </c>
      <c r="CI707">
        <f>'Grid_Stock'!CG34</f>
        <v/>
      </c>
      <c r="CJ707">
        <f>'Grid_Stock'!CH34</f>
        <v/>
      </c>
      <c r="CK707">
        <f>'Grid_Stock'!CI34</f>
        <v/>
      </c>
      <c r="CL707">
        <f>'Grid_Stock'!CJ34</f>
        <v/>
      </c>
      <c r="CM707">
        <f>'Grid_Stock'!CK34</f>
        <v/>
      </c>
      <c r="CN707">
        <f>'Grid_Stock'!CL34</f>
        <v/>
      </c>
      <c r="CO707">
        <f>'Grid_Stock'!CM34</f>
        <v/>
      </c>
      <c r="CP707">
        <f>'Grid_Stock'!CN34</f>
        <v/>
      </c>
      <c r="CQ707">
        <f>'Grid_Stock'!CO34</f>
        <v/>
      </c>
      <c r="CR707">
        <f>'Grid_Stock'!CP34</f>
        <v/>
      </c>
      <c r="CS707">
        <f>'Grid_Stock'!CQ34</f>
        <v/>
      </c>
      <c r="CT707">
        <f>'Grid_Stock'!CR34</f>
        <v/>
      </c>
      <c r="CU707">
        <f>'Grid_Stock'!CS34</f>
        <v/>
      </c>
      <c r="CV707">
        <f>'Grid_Stock'!CT34</f>
        <v/>
      </c>
      <c r="CW707">
        <f>'Grid_Stock'!CU34</f>
        <v/>
      </c>
      <c r="CX707">
        <f>'Grid_Stock'!CV34</f>
        <v/>
      </c>
      <c r="CY707">
        <f>'Grid_Stock'!CW34</f>
        <v/>
      </c>
      <c r="CZ707">
        <f>'Grid_Stock'!CX34</f>
        <v/>
      </c>
      <c r="DA707">
        <f>'Grid_Stock'!CY34</f>
        <v/>
      </c>
      <c r="DB707">
        <f>'Grid_Stock'!CZ34</f>
        <v/>
      </c>
      <c r="DC707">
        <f>'Grid_Stock'!DA34</f>
        <v/>
      </c>
    </row>
    <row r="708">
      <c r="B708" s="16" t="inlineStr">
        <is>
          <t>（発注の目安はDashboardの基準在庫[下限/上限]と色分けを参照）</t>
        </is>
      </c>
    </row>
    <row r="710">
      <c r="A710" s="14" t="inlineStr">
        <is>
          <t>CHEM-1530</t>
        </is>
      </c>
      <c r="B710" s="14" t="inlineStr">
        <is>
          <t>JCK-97</t>
        </is>
      </c>
      <c r="C710" s="15" t="n"/>
      <c r="D710" s="14" t="n"/>
      <c r="E710" s="14" t="n"/>
      <c r="F710" s="14" t="n"/>
      <c r="G710" s="14" t="n"/>
      <c r="H710" s="14" t="n"/>
      <c r="I710" s="14" t="n"/>
      <c r="J710" s="14" t="n"/>
      <c r="K710" s="14" t="n"/>
      <c r="L710" s="14" t="n"/>
      <c r="M710" s="14" t="n"/>
      <c r="N710" s="14" t="n"/>
      <c r="O710" s="14" t="n"/>
      <c r="P710" s="14" t="n"/>
      <c r="Q710" s="14" t="n"/>
      <c r="R710" s="14" t="n"/>
      <c r="S710" s="14" t="n"/>
      <c r="T710" s="14" t="n"/>
      <c r="U710" s="14" t="n"/>
      <c r="V710" s="14" t="n"/>
      <c r="W710" s="14" t="n"/>
      <c r="X710" s="14" t="n"/>
      <c r="Y710" s="14" t="n"/>
      <c r="Z710" s="14" t="n"/>
      <c r="AA710" s="14" t="n"/>
      <c r="AB710" s="14" t="n"/>
      <c r="AC710" s="14" t="n"/>
      <c r="AD710" s="14" t="n"/>
      <c r="AE710" s="14" t="n"/>
      <c r="AF710" s="14" t="n"/>
      <c r="AG710" s="14" t="n"/>
      <c r="AH710" s="14" t="n"/>
      <c r="AI710" s="14" t="n"/>
      <c r="AJ710" s="14" t="n"/>
      <c r="AK710" s="14" t="n"/>
      <c r="AL710" s="14" t="n"/>
      <c r="AM710" s="14" t="n"/>
      <c r="AN710" s="14" t="n"/>
      <c r="AO710" s="14" t="n"/>
      <c r="AP710" s="14" t="n"/>
      <c r="AQ710" s="14" t="n"/>
      <c r="AR710" s="14" t="n"/>
      <c r="AS710" s="14" t="n"/>
      <c r="AT710" s="14" t="n"/>
      <c r="AU710" s="14" t="n"/>
      <c r="AV710" s="14" t="n"/>
      <c r="AW710" s="14" t="n"/>
      <c r="AX710" s="14" t="n"/>
      <c r="AY710" s="14" t="n"/>
      <c r="AZ710" s="14" t="n"/>
      <c r="BA710" s="14" t="n"/>
      <c r="BB710" s="14" t="n"/>
      <c r="BC710" s="14" t="n"/>
      <c r="BD710" s="14" t="n"/>
      <c r="BE710" s="14" t="n"/>
      <c r="BF710" s="14" t="n"/>
      <c r="BG710" s="14" t="n"/>
      <c r="BH710" s="14" t="n"/>
      <c r="BI710" s="14" t="n"/>
      <c r="BJ710" s="14" t="n"/>
      <c r="BK710" s="14" t="n"/>
      <c r="BL710" s="14" t="n"/>
      <c r="BM710" s="14" t="n"/>
      <c r="BN710" s="14" t="n"/>
      <c r="BO710" s="14" t="n"/>
      <c r="BP710" s="14" t="n"/>
      <c r="BQ710" s="14" t="n"/>
      <c r="BR710" s="14" t="n"/>
      <c r="BS710" s="14" t="n"/>
      <c r="BT710" s="14" t="n"/>
      <c r="BU710" s="14" t="n"/>
      <c r="BV710" s="14" t="n"/>
      <c r="BW710" s="14" t="n"/>
      <c r="BX710" s="14" t="n"/>
      <c r="BY710" s="14" t="n"/>
      <c r="BZ710" s="14" t="n"/>
      <c r="CA710" s="14" t="n"/>
      <c r="CB710" s="14" t="n"/>
      <c r="CC710" s="14" t="n"/>
      <c r="CD710" s="14" t="n"/>
      <c r="CE710" s="14" t="n"/>
      <c r="CF710" s="14" t="n"/>
      <c r="CG710" s="14" t="n"/>
      <c r="CH710" s="14" t="n"/>
      <c r="CI710" s="14" t="n"/>
      <c r="CJ710" s="14" t="n"/>
      <c r="CK710" s="14" t="n"/>
      <c r="CL710" s="14" t="n"/>
      <c r="CM710" s="14" t="n"/>
      <c r="CN710" s="14" t="n"/>
      <c r="CO710" s="14" t="n"/>
      <c r="CP710" s="14" t="n"/>
      <c r="CQ710" s="14" t="n"/>
      <c r="CR710" s="14" t="n"/>
      <c r="CS710" s="14" t="n"/>
      <c r="CT710" s="14" t="n"/>
      <c r="CU710" s="14" t="n"/>
      <c r="CV710" s="14" t="n"/>
      <c r="CW710" s="14" t="n"/>
      <c r="CX710" s="14" t="n"/>
      <c r="CY710" s="14" t="n"/>
      <c r="CZ710" s="14" t="n"/>
      <c r="DA710" s="14" t="n"/>
      <c r="DB710" s="14" t="n"/>
      <c r="DC710" s="14" t="n"/>
    </row>
    <row r="711">
      <c r="B711" t="inlineStr">
        <is>
          <t>TSP-402</t>
        </is>
      </c>
      <c r="C711" t="inlineStr">
        <is>
          <t>No. of batches</t>
        </is>
      </c>
      <c r="D711">
        <f>IFERROR(INDEX(PP_Grid[#Data],$DD711,2),0)</f>
        <v/>
      </c>
      <c r="E711">
        <f>IFERROR(INDEX(PP_Grid[#Data],$DD711,3),0)</f>
        <v/>
      </c>
      <c r="F711">
        <f>IFERROR(INDEX(PP_Grid[#Data],$DD711,4),0)</f>
        <v/>
      </c>
      <c r="G711">
        <f>IFERROR(INDEX(PP_Grid[#Data],$DD711,5),0)</f>
        <v/>
      </c>
      <c r="H711">
        <f>IFERROR(INDEX(PP_Grid[#Data],$DD711,6),0)</f>
        <v/>
      </c>
      <c r="I711">
        <f>IFERROR(INDEX(PP_Grid[#Data],$DD711,7),0)</f>
        <v/>
      </c>
      <c r="J711">
        <f>IFERROR(INDEX(PP_Grid[#Data],$DD711,8),0)</f>
        <v/>
      </c>
      <c r="K711">
        <f>IFERROR(INDEX(PP_Grid[#Data],$DD711,9),0)</f>
        <v/>
      </c>
      <c r="L711">
        <f>IFERROR(INDEX(PP_Grid[#Data],$DD711,10),0)</f>
        <v/>
      </c>
      <c r="M711">
        <f>IFERROR(INDEX(PP_Grid[#Data],$DD711,11),0)</f>
        <v/>
      </c>
      <c r="N711">
        <f>IFERROR(INDEX(PP_Grid[#Data],$DD711,12),0)</f>
        <v/>
      </c>
      <c r="O711">
        <f>IFERROR(INDEX(PP_Grid[#Data],$DD711,13),0)</f>
        <v/>
      </c>
      <c r="P711">
        <f>IFERROR(INDEX(PP_Grid[#Data],$DD711,14),0)</f>
        <v/>
      </c>
      <c r="Q711">
        <f>IFERROR(INDEX(PP_Grid[#Data],$DD711,15),0)</f>
        <v/>
      </c>
      <c r="R711">
        <f>IFERROR(INDEX(PP_Grid[#Data],$DD711,16),0)</f>
        <v/>
      </c>
      <c r="S711">
        <f>IFERROR(INDEX(PP_Grid[#Data],$DD711,17),0)</f>
        <v/>
      </c>
      <c r="T711">
        <f>IFERROR(INDEX(PP_Grid[#Data],$DD711,18),0)</f>
        <v/>
      </c>
      <c r="U711">
        <f>IFERROR(INDEX(PP_Grid[#Data],$DD711,19),0)</f>
        <v/>
      </c>
      <c r="V711">
        <f>IFERROR(INDEX(PP_Grid[#Data],$DD711,20),0)</f>
        <v/>
      </c>
      <c r="W711">
        <f>IFERROR(INDEX(PP_Grid[#Data],$DD711,21),0)</f>
        <v/>
      </c>
      <c r="X711">
        <f>IFERROR(INDEX(PP_Grid[#Data],$DD711,22),0)</f>
        <v/>
      </c>
      <c r="Y711">
        <f>IFERROR(INDEX(PP_Grid[#Data],$DD711,23),0)</f>
        <v/>
      </c>
      <c r="Z711">
        <f>IFERROR(INDEX(PP_Grid[#Data],$DD711,24),0)</f>
        <v/>
      </c>
      <c r="AA711">
        <f>IFERROR(INDEX(PP_Grid[#Data],$DD711,25),0)</f>
        <v/>
      </c>
      <c r="AB711">
        <f>IFERROR(INDEX(PP_Grid[#Data],$DD711,26),0)</f>
        <v/>
      </c>
      <c r="AC711">
        <f>IFERROR(INDEX(PP_Grid[#Data],$DD711,27),0)</f>
        <v/>
      </c>
      <c r="AD711">
        <f>IFERROR(INDEX(PP_Grid[#Data],$DD711,28),0)</f>
        <v/>
      </c>
      <c r="AE711">
        <f>IFERROR(INDEX(PP_Grid[#Data],$DD711,29),0)</f>
        <v/>
      </c>
      <c r="AF711">
        <f>IFERROR(INDEX(PP_Grid[#Data],$DD711,30),0)</f>
        <v/>
      </c>
      <c r="AG711">
        <f>IFERROR(INDEX(PP_Grid[#Data],$DD711,31),0)</f>
        <v/>
      </c>
      <c r="AH711">
        <f>IFERROR(INDEX(PP_Grid[#Data],$DD711,32),0)</f>
        <v/>
      </c>
      <c r="AI711">
        <f>IFERROR(INDEX(PP_Grid[#Data],$DD711,33),0)</f>
        <v/>
      </c>
      <c r="AJ711">
        <f>IFERROR(INDEX(PP_Grid[#Data],$DD711,34),0)</f>
        <v/>
      </c>
      <c r="AK711">
        <f>IFERROR(INDEX(PP_Grid[#Data],$DD711,35),0)</f>
        <v/>
      </c>
      <c r="AL711">
        <f>IFERROR(INDEX(PP_Grid[#Data],$DD711,36),0)</f>
        <v/>
      </c>
      <c r="AM711">
        <f>IFERROR(INDEX(PP_Grid[#Data],$DD711,37),0)</f>
        <v/>
      </c>
      <c r="AN711">
        <f>IFERROR(INDEX(PP_Grid[#Data],$DD711,38),0)</f>
        <v/>
      </c>
      <c r="AO711">
        <f>IFERROR(INDEX(PP_Grid[#Data],$DD711,39),0)</f>
        <v/>
      </c>
      <c r="AP711">
        <f>IFERROR(INDEX(PP_Grid[#Data],$DD711,40),0)</f>
        <v/>
      </c>
      <c r="AQ711">
        <f>IFERROR(INDEX(PP_Grid[#Data],$DD711,41),0)</f>
        <v/>
      </c>
      <c r="AR711">
        <f>IFERROR(INDEX(PP_Grid[#Data],$DD711,42),0)</f>
        <v/>
      </c>
      <c r="AS711">
        <f>IFERROR(INDEX(PP_Grid[#Data],$DD711,43),0)</f>
        <v/>
      </c>
      <c r="AT711">
        <f>IFERROR(INDEX(PP_Grid[#Data],$DD711,44),0)</f>
        <v/>
      </c>
      <c r="AU711">
        <f>IFERROR(INDEX(PP_Grid[#Data],$DD711,45),0)</f>
        <v/>
      </c>
      <c r="AV711">
        <f>IFERROR(INDEX(PP_Grid[#Data],$DD711,46),0)</f>
        <v/>
      </c>
      <c r="AW711">
        <f>IFERROR(INDEX(PP_Grid[#Data],$DD711,47),0)</f>
        <v/>
      </c>
      <c r="AX711">
        <f>IFERROR(INDEX(PP_Grid[#Data],$DD711,48),0)</f>
        <v/>
      </c>
      <c r="AY711">
        <f>IFERROR(INDEX(PP_Grid[#Data],$DD711,49),0)</f>
        <v/>
      </c>
      <c r="AZ711">
        <f>IFERROR(INDEX(PP_Grid[#Data],$DD711,50),0)</f>
        <v/>
      </c>
      <c r="BA711">
        <f>IFERROR(INDEX(PP_Grid[#Data],$DD711,51),0)</f>
        <v/>
      </c>
      <c r="BB711">
        <f>IFERROR(INDEX(PP_Grid[#Data],$DD711,52),0)</f>
        <v/>
      </c>
      <c r="BC711">
        <f>IFERROR(INDEX(PP_Grid[#Data],$DD711,53),0)</f>
        <v/>
      </c>
      <c r="BD711">
        <f>IFERROR(INDEX(PP_Grid[#Data],$DD711,54),0)</f>
        <v/>
      </c>
      <c r="BE711">
        <f>IFERROR(INDEX(PP_Grid[#Data],$DD711,55),0)</f>
        <v/>
      </c>
      <c r="BF711">
        <f>IFERROR(INDEX(PP_Grid[#Data],$DD711,56),0)</f>
        <v/>
      </c>
      <c r="BG711">
        <f>IFERROR(INDEX(PP_Grid[#Data],$DD711,57),0)</f>
        <v/>
      </c>
      <c r="BH711">
        <f>IFERROR(INDEX(PP_Grid[#Data],$DD711,58),0)</f>
        <v/>
      </c>
      <c r="BI711">
        <f>IFERROR(INDEX(PP_Grid[#Data],$DD711,59),0)</f>
        <v/>
      </c>
      <c r="BJ711">
        <f>IFERROR(INDEX(PP_Grid[#Data],$DD711,60),0)</f>
        <v/>
      </c>
      <c r="BK711">
        <f>IFERROR(INDEX(PP_Grid[#Data],$DD711,61),0)</f>
        <v/>
      </c>
      <c r="BL711">
        <f>IFERROR(INDEX(PP_Grid[#Data],$DD711,62),0)</f>
        <v/>
      </c>
      <c r="BM711">
        <f>IFERROR(INDEX(PP_Grid[#Data],$DD711,63),0)</f>
        <v/>
      </c>
      <c r="BN711">
        <f>IFERROR(INDEX(PP_Grid[#Data],$DD711,64),0)</f>
        <v/>
      </c>
      <c r="BO711">
        <f>IFERROR(INDEX(PP_Grid[#Data],$DD711,65),0)</f>
        <v/>
      </c>
      <c r="BP711">
        <f>IFERROR(INDEX(PP_Grid[#Data],$DD711,66),0)</f>
        <v/>
      </c>
      <c r="BQ711">
        <f>IFERROR(INDEX(PP_Grid[#Data],$DD711,67),0)</f>
        <v/>
      </c>
      <c r="BR711">
        <f>IFERROR(INDEX(PP_Grid[#Data],$DD711,68),0)</f>
        <v/>
      </c>
      <c r="BS711">
        <f>IFERROR(INDEX(PP_Grid[#Data],$DD711,69),0)</f>
        <v/>
      </c>
      <c r="BT711">
        <f>IFERROR(INDEX(PP_Grid[#Data],$DD711,70),0)</f>
        <v/>
      </c>
      <c r="BU711">
        <f>IFERROR(INDEX(PP_Grid[#Data],$DD711,71),0)</f>
        <v/>
      </c>
      <c r="BV711">
        <f>IFERROR(INDEX(PP_Grid[#Data],$DD711,72),0)</f>
        <v/>
      </c>
      <c r="BW711">
        <f>IFERROR(INDEX(PP_Grid[#Data],$DD711,73),0)</f>
        <v/>
      </c>
      <c r="BX711">
        <f>IFERROR(INDEX(PP_Grid[#Data],$DD711,74),0)</f>
        <v/>
      </c>
      <c r="BY711">
        <f>IFERROR(INDEX(PP_Grid[#Data],$DD711,75),0)</f>
        <v/>
      </c>
      <c r="BZ711">
        <f>IFERROR(INDEX(PP_Grid[#Data],$DD711,76),0)</f>
        <v/>
      </c>
      <c r="CA711">
        <f>IFERROR(INDEX(PP_Grid[#Data],$DD711,77),0)</f>
        <v/>
      </c>
      <c r="CB711">
        <f>IFERROR(INDEX(PP_Grid[#Data],$DD711,78),0)</f>
        <v/>
      </c>
      <c r="CC711">
        <f>IFERROR(INDEX(PP_Grid[#Data],$DD711,79),0)</f>
        <v/>
      </c>
      <c r="CD711">
        <f>IFERROR(INDEX(PP_Grid[#Data],$DD711,80),0)</f>
        <v/>
      </c>
      <c r="CE711">
        <f>IFERROR(INDEX(PP_Grid[#Data],$DD711,81),0)</f>
        <v/>
      </c>
      <c r="CF711">
        <f>IFERROR(INDEX(PP_Grid[#Data],$DD711,82),0)</f>
        <v/>
      </c>
      <c r="CG711">
        <f>IFERROR(INDEX(PP_Grid[#Data],$DD711,83),0)</f>
        <v/>
      </c>
      <c r="CH711">
        <f>IFERROR(INDEX(PP_Grid[#Data],$DD711,84),0)</f>
        <v/>
      </c>
      <c r="CI711">
        <f>IFERROR(INDEX(PP_Grid[#Data],$DD711,85),0)</f>
        <v/>
      </c>
      <c r="CJ711">
        <f>IFERROR(INDEX(PP_Grid[#Data],$DD711,86),0)</f>
        <v/>
      </c>
      <c r="CK711">
        <f>IFERROR(INDEX(PP_Grid[#Data],$DD711,87),0)</f>
        <v/>
      </c>
      <c r="CL711">
        <f>IFERROR(INDEX(PP_Grid[#Data],$DD711,88),0)</f>
        <v/>
      </c>
      <c r="CM711">
        <f>IFERROR(INDEX(PP_Grid[#Data],$DD711,89),0)</f>
        <v/>
      </c>
      <c r="CN711">
        <f>IFERROR(INDEX(PP_Grid[#Data],$DD711,90),0)</f>
        <v/>
      </c>
      <c r="CO711">
        <f>IFERROR(INDEX(PP_Grid[#Data],$DD711,91),0)</f>
        <v/>
      </c>
      <c r="CP711">
        <f>IFERROR(INDEX(PP_Grid[#Data],$DD711,92),0)</f>
        <v/>
      </c>
      <c r="CQ711">
        <f>IFERROR(INDEX(PP_Grid[#Data],$DD711,93),0)</f>
        <v/>
      </c>
      <c r="CR711">
        <f>IFERROR(INDEX(PP_Grid[#Data],$DD711,94),0)</f>
        <v/>
      </c>
      <c r="CS711">
        <f>IFERROR(INDEX(PP_Grid[#Data],$DD711,95),0)</f>
        <v/>
      </c>
      <c r="CT711">
        <f>IFERROR(INDEX(PP_Grid[#Data],$DD711,96),0)</f>
        <v/>
      </c>
      <c r="CU711">
        <f>IFERROR(INDEX(PP_Grid[#Data],$DD711,97),0)</f>
        <v/>
      </c>
      <c r="CV711">
        <f>IFERROR(INDEX(PP_Grid[#Data],$DD711,98),0)</f>
        <v/>
      </c>
      <c r="CW711">
        <f>IFERROR(INDEX(PP_Grid[#Data],$DD711,99),0)</f>
        <v/>
      </c>
      <c r="CX711">
        <f>IFERROR(INDEX(PP_Grid[#Data],$DD711,100),0)</f>
        <v/>
      </c>
      <c r="CY711">
        <f>IFERROR(INDEX(PP_Grid[#Data],$DD711,101),0)</f>
        <v/>
      </c>
      <c r="CZ711">
        <f>IFERROR(INDEX(PP_Grid[#Data],$DD711,102),0)</f>
        <v/>
      </c>
      <c r="DA711">
        <f>IFERROR(INDEX(PP_Grid[#Data],$DD711,103),0)</f>
        <v/>
      </c>
      <c r="DB711">
        <f>IFERROR(INDEX(PP_Grid[#Data],$DD711,104),0)</f>
        <v/>
      </c>
      <c r="DC711">
        <f>IFERROR(INDEX(PP_Grid[#Data],$DD711,105),0)</f>
        <v/>
      </c>
      <c r="DD711" s="7">
        <f>IFERROR(MATCH($B711,PP_Grid[Intermediate],0),99999)</f>
        <v/>
      </c>
    </row>
    <row r="712">
      <c r="B712" t="inlineStr">
        <is>
          <t>使用量(kg)</t>
        </is>
      </c>
      <c r="C712">
        <f>SUMIFS(M_BOM[RM_Qty_Per_Batch],M_BOM[Intermediate],$B711,M_BOM[Part Name],$A710)</f>
        <v/>
      </c>
      <c r="D712">
        <f>$C712*D711</f>
        <v/>
      </c>
      <c r="E712">
        <f>$C712*E711</f>
        <v/>
      </c>
      <c r="F712">
        <f>$C712*F711</f>
        <v/>
      </c>
      <c r="G712">
        <f>$C712*G711</f>
        <v/>
      </c>
      <c r="H712">
        <f>$C712*H711</f>
        <v/>
      </c>
      <c r="I712">
        <f>$C712*I711</f>
        <v/>
      </c>
      <c r="J712">
        <f>$C712*J711</f>
        <v/>
      </c>
      <c r="K712">
        <f>$C712*K711</f>
        <v/>
      </c>
      <c r="L712">
        <f>$C712*L711</f>
        <v/>
      </c>
      <c r="M712">
        <f>$C712*M711</f>
        <v/>
      </c>
      <c r="N712">
        <f>$C712*N711</f>
        <v/>
      </c>
      <c r="O712">
        <f>$C712*O711</f>
        <v/>
      </c>
      <c r="P712">
        <f>$C712*P711</f>
        <v/>
      </c>
      <c r="Q712">
        <f>$C712*Q711</f>
        <v/>
      </c>
      <c r="R712">
        <f>$C712*R711</f>
        <v/>
      </c>
      <c r="S712">
        <f>$C712*S711</f>
        <v/>
      </c>
      <c r="T712">
        <f>$C712*T711</f>
        <v/>
      </c>
      <c r="U712">
        <f>$C712*U711</f>
        <v/>
      </c>
      <c r="V712">
        <f>$C712*V711</f>
        <v/>
      </c>
      <c r="W712">
        <f>$C712*W711</f>
        <v/>
      </c>
      <c r="X712">
        <f>$C712*X711</f>
        <v/>
      </c>
      <c r="Y712">
        <f>$C712*Y711</f>
        <v/>
      </c>
      <c r="Z712">
        <f>$C712*Z711</f>
        <v/>
      </c>
      <c r="AA712">
        <f>$C712*AA711</f>
        <v/>
      </c>
      <c r="AB712">
        <f>$C712*AB711</f>
        <v/>
      </c>
      <c r="AC712">
        <f>$C712*AC711</f>
        <v/>
      </c>
      <c r="AD712">
        <f>$C712*AD711</f>
        <v/>
      </c>
      <c r="AE712">
        <f>$C712*AE711</f>
        <v/>
      </c>
      <c r="AF712">
        <f>$C712*AF711</f>
        <v/>
      </c>
      <c r="AG712">
        <f>$C712*AG711</f>
        <v/>
      </c>
      <c r="AH712">
        <f>$C712*AH711</f>
        <v/>
      </c>
      <c r="AI712">
        <f>$C712*AI711</f>
        <v/>
      </c>
      <c r="AJ712">
        <f>$C712*AJ711</f>
        <v/>
      </c>
      <c r="AK712">
        <f>$C712*AK711</f>
        <v/>
      </c>
      <c r="AL712">
        <f>$C712*AL711</f>
        <v/>
      </c>
      <c r="AM712">
        <f>$C712*AM711</f>
        <v/>
      </c>
      <c r="AN712">
        <f>$C712*AN711</f>
        <v/>
      </c>
      <c r="AO712">
        <f>$C712*AO711</f>
        <v/>
      </c>
      <c r="AP712">
        <f>$C712*AP711</f>
        <v/>
      </c>
      <c r="AQ712">
        <f>$C712*AQ711</f>
        <v/>
      </c>
      <c r="AR712">
        <f>$C712*AR711</f>
        <v/>
      </c>
      <c r="AS712">
        <f>$C712*AS711</f>
        <v/>
      </c>
      <c r="AT712">
        <f>$C712*AT711</f>
        <v/>
      </c>
      <c r="AU712">
        <f>$C712*AU711</f>
        <v/>
      </c>
      <c r="AV712">
        <f>$C712*AV711</f>
        <v/>
      </c>
      <c r="AW712">
        <f>$C712*AW711</f>
        <v/>
      </c>
      <c r="AX712">
        <f>$C712*AX711</f>
        <v/>
      </c>
      <c r="AY712">
        <f>$C712*AY711</f>
        <v/>
      </c>
      <c r="AZ712">
        <f>$C712*AZ711</f>
        <v/>
      </c>
      <c r="BA712">
        <f>$C712*BA711</f>
        <v/>
      </c>
      <c r="BB712">
        <f>$C712*BB711</f>
        <v/>
      </c>
      <c r="BC712">
        <f>$C712*BC711</f>
        <v/>
      </c>
      <c r="BD712">
        <f>$C712*BD711</f>
        <v/>
      </c>
      <c r="BE712">
        <f>$C712*BE711</f>
        <v/>
      </c>
      <c r="BF712">
        <f>$C712*BF711</f>
        <v/>
      </c>
      <c r="BG712">
        <f>$C712*BG711</f>
        <v/>
      </c>
      <c r="BH712">
        <f>$C712*BH711</f>
        <v/>
      </c>
      <c r="BI712">
        <f>$C712*BI711</f>
        <v/>
      </c>
      <c r="BJ712">
        <f>$C712*BJ711</f>
        <v/>
      </c>
      <c r="BK712">
        <f>$C712*BK711</f>
        <v/>
      </c>
      <c r="BL712">
        <f>$C712*BL711</f>
        <v/>
      </c>
      <c r="BM712">
        <f>$C712*BM711</f>
        <v/>
      </c>
      <c r="BN712">
        <f>$C712*BN711</f>
        <v/>
      </c>
      <c r="BO712">
        <f>$C712*BO711</f>
        <v/>
      </c>
      <c r="BP712">
        <f>$C712*BP711</f>
        <v/>
      </c>
      <c r="BQ712">
        <f>$C712*BQ711</f>
        <v/>
      </c>
      <c r="BR712">
        <f>$C712*BR711</f>
        <v/>
      </c>
      <c r="BS712">
        <f>$C712*BS711</f>
        <v/>
      </c>
      <c r="BT712">
        <f>$C712*BT711</f>
        <v/>
      </c>
      <c r="BU712">
        <f>$C712*BU711</f>
        <v/>
      </c>
      <c r="BV712">
        <f>$C712*BV711</f>
        <v/>
      </c>
      <c r="BW712">
        <f>$C712*BW711</f>
        <v/>
      </c>
      <c r="BX712">
        <f>$C712*BX711</f>
        <v/>
      </c>
      <c r="BY712">
        <f>$C712*BY711</f>
        <v/>
      </c>
      <c r="BZ712">
        <f>$C712*BZ711</f>
        <v/>
      </c>
      <c r="CA712">
        <f>$C712*CA711</f>
        <v/>
      </c>
      <c r="CB712">
        <f>$C712*CB711</f>
        <v/>
      </c>
      <c r="CC712">
        <f>$C712*CC711</f>
        <v/>
      </c>
      <c r="CD712">
        <f>$C712*CD711</f>
        <v/>
      </c>
      <c r="CE712">
        <f>$C712*CE711</f>
        <v/>
      </c>
      <c r="CF712">
        <f>$C712*CF711</f>
        <v/>
      </c>
      <c r="CG712">
        <f>$C712*CG711</f>
        <v/>
      </c>
      <c r="CH712">
        <f>$C712*CH711</f>
        <v/>
      </c>
      <c r="CI712">
        <f>$C712*CI711</f>
        <v/>
      </c>
      <c r="CJ712">
        <f>$C712*CJ711</f>
        <v/>
      </c>
      <c r="CK712">
        <f>$C712*CK711</f>
        <v/>
      </c>
      <c r="CL712">
        <f>$C712*CL711</f>
        <v/>
      </c>
      <c r="CM712">
        <f>$C712*CM711</f>
        <v/>
      </c>
      <c r="CN712">
        <f>$C712*CN711</f>
        <v/>
      </c>
      <c r="CO712">
        <f>$C712*CO711</f>
        <v/>
      </c>
      <c r="CP712">
        <f>$C712*CP711</f>
        <v/>
      </c>
      <c r="CQ712">
        <f>$C712*CQ711</f>
        <v/>
      </c>
      <c r="CR712">
        <f>$C712*CR711</f>
        <v/>
      </c>
      <c r="CS712">
        <f>$C712*CS711</f>
        <v/>
      </c>
      <c r="CT712">
        <f>$C712*CT711</f>
        <v/>
      </c>
      <c r="CU712">
        <f>$C712*CU711</f>
        <v/>
      </c>
      <c r="CV712">
        <f>$C712*CV711</f>
        <v/>
      </c>
      <c r="CW712">
        <f>$C712*CW711</f>
        <v/>
      </c>
      <c r="CX712">
        <f>$C712*CX711</f>
        <v/>
      </c>
      <c r="CY712">
        <f>$C712*CY711</f>
        <v/>
      </c>
      <c r="CZ712">
        <f>$C712*CZ711</f>
        <v/>
      </c>
      <c r="DA712">
        <f>$C712*DA711</f>
        <v/>
      </c>
      <c r="DB712">
        <f>$C712*DB711</f>
        <v/>
      </c>
      <c r="DC712">
        <f>$C712*DC711</f>
        <v/>
      </c>
    </row>
    <row r="713">
      <c r="B713" t="inlineStr">
        <is>
          <t>TSP-403</t>
        </is>
      </c>
      <c r="C713" t="inlineStr">
        <is>
          <t>No. of batches</t>
        </is>
      </c>
      <c r="D713">
        <f>IFERROR(INDEX(PP_Grid[#Data],$DD713,2),0)</f>
        <v/>
      </c>
      <c r="E713">
        <f>IFERROR(INDEX(PP_Grid[#Data],$DD713,3),0)</f>
        <v/>
      </c>
      <c r="F713">
        <f>IFERROR(INDEX(PP_Grid[#Data],$DD713,4),0)</f>
        <v/>
      </c>
      <c r="G713">
        <f>IFERROR(INDEX(PP_Grid[#Data],$DD713,5),0)</f>
        <v/>
      </c>
      <c r="H713">
        <f>IFERROR(INDEX(PP_Grid[#Data],$DD713,6),0)</f>
        <v/>
      </c>
      <c r="I713">
        <f>IFERROR(INDEX(PP_Grid[#Data],$DD713,7),0)</f>
        <v/>
      </c>
      <c r="J713">
        <f>IFERROR(INDEX(PP_Grid[#Data],$DD713,8),0)</f>
        <v/>
      </c>
      <c r="K713">
        <f>IFERROR(INDEX(PP_Grid[#Data],$DD713,9),0)</f>
        <v/>
      </c>
      <c r="L713">
        <f>IFERROR(INDEX(PP_Grid[#Data],$DD713,10),0)</f>
        <v/>
      </c>
      <c r="M713">
        <f>IFERROR(INDEX(PP_Grid[#Data],$DD713,11),0)</f>
        <v/>
      </c>
      <c r="N713">
        <f>IFERROR(INDEX(PP_Grid[#Data],$DD713,12),0)</f>
        <v/>
      </c>
      <c r="O713">
        <f>IFERROR(INDEX(PP_Grid[#Data],$DD713,13),0)</f>
        <v/>
      </c>
      <c r="P713">
        <f>IFERROR(INDEX(PP_Grid[#Data],$DD713,14),0)</f>
        <v/>
      </c>
      <c r="Q713">
        <f>IFERROR(INDEX(PP_Grid[#Data],$DD713,15),0)</f>
        <v/>
      </c>
      <c r="R713">
        <f>IFERROR(INDEX(PP_Grid[#Data],$DD713,16),0)</f>
        <v/>
      </c>
      <c r="S713">
        <f>IFERROR(INDEX(PP_Grid[#Data],$DD713,17),0)</f>
        <v/>
      </c>
      <c r="T713">
        <f>IFERROR(INDEX(PP_Grid[#Data],$DD713,18),0)</f>
        <v/>
      </c>
      <c r="U713">
        <f>IFERROR(INDEX(PP_Grid[#Data],$DD713,19),0)</f>
        <v/>
      </c>
      <c r="V713">
        <f>IFERROR(INDEX(PP_Grid[#Data],$DD713,20),0)</f>
        <v/>
      </c>
      <c r="W713">
        <f>IFERROR(INDEX(PP_Grid[#Data],$DD713,21),0)</f>
        <v/>
      </c>
      <c r="X713">
        <f>IFERROR(INDEX(PP_Grid[#Data],$DD713,22),0)</f>
        <v/>
      </c>
      <c r="Y713">
        <f>IFERROR(INDEX(PP_Grid[#Data],$DD713,23),0)</f>
        <v/>
      </c>
      <c r="Z713">
        <f>IFERROR(INDEX(PP_Grid[#Data],$DD713,24),0)</f>
        <v/>
      </c>
      <c r="AA713">
        <f>IFERROR(INDEX(PP_Grid[#Data],$DD713,25),0)</f>
        <v/>
      </c>
      <c r="AB713">
        <f>IFERROR(INDEX(PP_Grid[#Data],$DD713,26),0)</f>
        <v/>
      </c>
      <c r="AC713">
        <f>IFERROR(INDEX(PP_Grid[#Data],$DD713,27),0)</f>
        <v/>
      </c>
      <c r="AD713">
        <f>IFERROR(INDEX(PP_Grid[#Data],$DD713,28),0)</f>
        <v/>
      </c>
      <c r="AE713">
        <f>IFERROR(INDEX(PP_Grid[#Data],$DD713,29),0)</f>
        <v/>
      </c>
      <c r="AF713">
        <f>IFERROR(INDEX(PP_Grid[#Data],$DD713,30),0)</f>
        <v/>
      </c>
      <c r="AG713">
        <f>IFERROR(INDEX(PP_Grid[#Data],$DD713,31),0)</f>
        <v/>
      </c>
      <c r="AH713">
        <f>IFERROR(INDEX(PP_Grid[#Data],$DD713,32),0)</f>
        <v/>
      </c>
      <c r="AI713">
        <f>IFERROR(INDEX(PP_Grid[#Data],$DD713,33),0)</f>
        <v/>
      </c>
      <c r="AJ713">
        <f>IFERROR(INDEX(PP_Grid[#Data],$DD713,34),0)</f>
        <v/>
      </c>
      <c r="AK713">
        <f>IFERROR(INDEX(PP_Grid[#Data],$DD713,35),0)</f>
        <v/>
      </c>
      <c r="AL713">
        <f>IFERROR(INDEX(PP_Grid[#Data],$DD713,36),0)</f>
        <v/>
      </c>
      <c r="AM713">
        <f>IFERROR(INDEX(PP_Grid[#Data],$DD713,37),0)</f>
        <v/>
      </c>
      <c r="AN713">
        <f>IFERROR(INDEX(PP_Grid[#Data],$DD713,38),0)</f>
        <v/>
      </c>
      <c r="AO713">
        <f>IFERROR(INDEX(PP_Grid[#Data],$DD713,39),0)</f>
        <v/>
      </c>
      <c r="AP713">
        <f>IFERROR(INDEX(PP_Grid[#Data],$DD713,40),0)</f>
        <v/>
      </c>
      <c r="AQ713">
        <f>IFERROR(INDEX(PP_Grid[#Data],$DD713,41),0)</f>
        <v/>
      </c>
      <c r="AR713">
        <f>IFERROR(INDEX(PP_Grid[#Data],$DD713,42),0)</f>
        <v/>
      </c>
      <c r="AS713">
        <f>IFERROR(INDEX(PP_Grid[#Data],$DD713,43),0)</f>
        <v/>
      </c>
      <c r="AT713">
        <f>IFERROR(INDEX(PP_Grid[#Data],$DD713,44),0)</f>
        <v/>
      </c>
      <c r="AU713">
        <f>IFERROR(INDEX(PP_Grid[#Data],$DD713,45),0)</f>
        <v/>
      </c>
      <c r="AV713">
        <f>IFERROR(INDEX(PP_Grid[#Data],$DD713,46),0)</f>
        <v/>
      </c>
      <c r="AW713">
        <f>IFERROR(INDEX(PP_Grid[#Data],$DD713,47),0)</f>
        <v/>
      </c>
      <c r="AX713">
        <f>IFERROR(INDEX(PP_Grid[#Data],$DD713,48),0)</f>
        <v/>
      </c>
      <c r="AY713">
        <f>IFERROR(INDEX(PP_Grid[#Data],$DD713,49),0)</f>
        <v/>
      </c>
      <c r="AZ713">
        <f>IFERROR(INDEX(PP_Grid[#Data],$DD713,50),0)</f>
        <v/>
      </c>
      <c r="BA713">
        <f>IFERROR(INDEX(PP_Grid[#Data],$DD713,51),0)</f>
        <v/>
      </c>
      <c r="BB713">
        <f>IFERROR(INDEX(PP_Grid[#Data],$DD713,52),0)</f>
        <v/>
      </c>
      <c r="BC713">
        <f>IFERROR(INDEX(PP_Grid[#Data],$DD713,53),0)</f>
        <v/>
      </c>
      <c r="BD713">
        <f>IFERROR(INDEX(PP_Grid[#Data],$DD713,54),0)</f>
        <v/>
      </c>
      <c r="BE713">
        <f>IFERROR(INDEX(PP_Grid[#Data],$DD713,55),0)</f>
        <v/>
      </c>
      <c r="BF713">
        <f>IFERROR(INDEX(PP_Grid[#Data],$DD713,56),0)</f>
        <v/>
      </c>
      <c r="BG713">
        <f>IFERROR(INDEX(PP_Grid[#Data],$DD713,57),0)</f>
        <v/>
      </c>
      <c r="BH713">
        <f>IFERROR(INDEX(PP_Grid[#Data],$DD713,58),0)</f>
        <v/>
      </c>
      <c r="BI713">
        <f>IFERROR(INDEX(PP_Grid[#Data],$DD713,59),0)</f>
        <v/>
      </c>
      <c r="BJ713">
        <f>IFERROR(INDEX(PP_Grid[#Data],$DD713,60),0)</f>
        <v/>
      </c>
      <c r="BK713">
        <f>IFERROR(INDEX(PP_Grid[#Data],$DD713,61),0)</f>
        <v/>
      </c>
      <c r="BL713">
        <f>IFERROR(INDEX(PP_Grid[#Data],$DD713,62),0)</f>
        <v/>
      </c>
      <c r="BM713">
        <f>IFERROR(INDEX(PP_Grid[#Data],$DD713,63),0)</f>
        <v/>
      </c>
      <c r="BN713">
        <f>IFERROR(INDEX(PP_Grid[#Data],$DD713,64),0)</f>
        <v/>
      </c>
      <c r="BO713">
        <f>IFERROR(INDEX(PP_Grid[#Data],$DD713,65),0)</f>
        <v/>
      </c>
      <c r="BP713">
        <f>IFERROR(INDEX(PP_Grid[#Data],$DD713,66),0)</f>
        <v/>
      </c>
      <c r="BQ713">
        <f>IFERROR(INDEX(PP_Grid[#Data],$DD713,67),0)</f>
        <v/>
      </c>
      <c r="BR713">
        <f>IFERROR(INDEX(PP_Grid[#Data],$DD713,68),0)</f>
        <v/>
      </c>
      <c r="BS713">
        <f>IFERROR(INDEX(PP_Grid[#Data],$DD713,69),0)</f>
        <v/>
      </c>
      <c r="BT713">
        <f>IFERROR(INDEX(PP_Grid[#Data],$DD713,70),0)</f>
        <v/>
      </c>
      <c r="BU713">
        <f>IFERROR(INDEX(PP_Grid[#Data],$DD713,71),0)</f>
        <v/>
      </c>
      <c r="BV713">
        <f>IFERROR(INDEX(PP_Grid[#Data],$DD713,72),0)</f>
        <v/>
      </c>
      <c r="BW713">
        <f>IFERROR(INDEX(PP_Grid[#Data],$DD713,73),0)</f>
        <v/>
      </c>
      <c r="BX713">
        <f>IFERROR(INDEX(PP_Grid[#Data],$DD713,74),0)</f>
        <v/>
      </c>
      <c r="BY713">
        <f>IFERROR(INDEX(PP_Grid[#Data],$DD713,75),0)</f>
        <v/>
      </c>
      <c r="BZ713">
        <f>IFERROR(INDEX(PP_Grid[#Data],$DD713,76),0)</f>
        <v/>
      </c>
      <c r="CA713">
        <f>IFERROR(INDEX(PP_Grid[#Data],$DD713,77),0)</f>
        <v/>
      </c>
      <c r="CB713">
        <f>IFERROR(INDEX(PP_Grid[#Data],$DD713,78),0)</f>
        <v/>
      </c>
      <c r="CC713">
        <f>IFERROR(INDEX(PP_Grid[#Data],$DD713,79),0)</f>
        <v/>
      </c>
      <c r="CD713">
        <f>IFERROR(INDEX(PP_Grid[#Data],$DD713,80),0)</f>
        <v/>
      </c>
      <c r="CE713">
        <f>IFERROR(INDEX(PP_Grid[#Data],$DD713,81),0)</f>
        <v/>
      </c>
      <c r="CF713">
        <f>IFERROR(INDEX(PP_Grid[#Data],$DD713,82),0)</f>
        <v/>
      </c>
      <c r="CG713">
        <f>IFERROR(INDEX(PP_Grid[#Data],$DD713,83),0)</f>
        <v/>
      </c>
      <c r="CH713">
        <f>IFERROR(INDEX(PP_Grid[#Data],$DD713,84),0)</f>
        <v/>
      </c>
      <c r="CI713">
        <f>IFERROR(INDEX(PP_Grid[#Data],$DD713,85),0)</f>
        <v/>
      </c>
      <c r="CJ713">
        <f>IFERROR(INDEX(PP_Grid[#Data],$DD713,86),0)</f>
        <v/>
      </c>
      <c r="CK713">
        <f>IFERROR(INDEX(PP_Grid[#Data],$DD713,87),0)</f>
        <v/>
      </c>
      <c r="CL713">
        <f>IFERROR(INDEX(PP_Grid[#Data],$DD713,88),0)</f>
        <v/>
      </c>
      <c r="CM713">
        <f>IFERROR(INDEX(PP_Grid[#Data],$DD713,89),0)</f>
        <v/>
      </c>
      <c r="CN713">
        <f>IFERROR(INDEX(PP_Grid[#Data],$DD713,90),0)</f>
        <v/>
      </c>
      <c r="CO713">
        <f>IFERROR(INDEX(PP_Grid[#Data],$DD713,91),0)</f>
        <v/>
      </c>
      <c r="CP713">
        <f>IFERROR(INDEX(PP_Grid[#Data],$DD713,92),0)</f>
        <v/>
      </c>
      <c r="CQ713">
        <f>IFERROR(INDEX(PP_Grid[#Data],$DD713,93),0)</f>
        <v/>
      </c>
      <c r="CR713">
        <f>IFERROR(INDEX(PP_Grid[#Data],$DD713,94),0)</f>
        <v/>
      </c>
      <c r="CS713">
        <f>IFERROR(INDEX(PP_Grid[#Data],$DD713,95),0)</f>
        <v/>
      </c>
      <c r="CT713">
        <f>IFERROR(INDEX(PP_Grid[#Data],$DD713,96),0)</f>
        <v/>
      </c>
      <c r="CU713">
        <f>IFERROR(INDEX(PP_Grid[#Data],$DD713,97),0)</f>
        <v/>
      </c>
      <c r="CV713">
        <f>IFERROR(INDEX(PP_Grid[#Data],$DD713,98),0)</f>
        <v/>
      </c>
      <c r="CW713">
        <f>IFERROR(INDEX(PP_Grid[#Data],$DD713,99),0)</f>
        <v/>
      </c>
      <c r="CX713">
        <f>IFERROR(INDEX(PP_Grid[#Data],$DD713,100),0)</f>
        <v/>
      </c>
      <c r="CY713">
        <f>IFERROR(INDEX(PP_Grid[#Data],$DD713,101),0)</f>
        <v/>
      </c>
      <c r="CZ713">
        <f>IFERROR(INDEX(PP_Grid[#Data],$DD713,102),0)</f>
        <v/>
      </c>
      <c r="DA713">
        <f>IFERROR(INDEX(PP_Grid[#Data],$DD713,103),0)</f>
        <v/>
      </c>
      <c r="DB713">
        <f>IFERROR(INDEX(PP_Grid[#Data],$DD713,104),0)</f>
        <v/>
      </c>
      <c r="DC713">
        <f>IFERROR(INDEX(PP_Grid[#Data],$DD713,105),0)</f>
        <v/>
      </c>
      <c r="DD713" s="7">
        <f>IFERROR(MATCH($B713,PP_Grid[Intermediate],0),99999)</f>
        <v/>
      </c>
    </row>
    <row r="714">
      <c r="B714" t="inlineStr">
        <is>
          <t>使用量(kg)</t>
        </is>
      </c>
      <c r="C714">
        <f>SUMIFS(M_BOM[RM_Qty_Per_Batch],M_BOM[Intermediate],$B713,M_BOM[Part Name],$A710)</f>
        <v/>
      </c>
      <c r="D714">
        <f>$C714*D713</f>
        <v/>
      </c>
      <c r="E714">
        <f>$C714*E713</f>
        <v/>
      </c>
      <c r="F714">
        <f>$C714*F713</f>
        <v/>
      </c>
      <c r="G714">
        <f>$C714*G713</f>
        <v/>
      </c>
      <c r="H714">
        <f>$C714*H713</f>
        <v/>
      </c>
      <c r="I714">
        <f>$C714*I713</f>
        <v/>
      </c>
      <c r="J714">
        <f>$C714*J713</f>
        <v/>
      </c>
      <c r="K714">
        <f>$C714*K713</f>
        <v/>
      </c>
      <c r="L714">
        <f>$C714*L713</f>
        <v/>
      </c>
      <c r="M714">
        <f>$C714*M713</f>
        <v/>
      </c>
      <c r="N714">
        <f>$C714*N713</f>
        <v/>
      </c>
      <c r="O714">
        <f>$C714*O713</f>
        <v/>
      </c>
      <c r="P714">
        <f>$C714*P713</f>
        <v/>
      </c>
      <c r="Q714">
        <f>$C714*Q713</f>
        <v/>
      </c>
      <c r="R714">
        <f>$C714*R713</f>
        <v/>
      </c>
      <c r="S714">
        <f>$C714*S713</f>
        <v/>
      </c>
      <c r="T714">
        <f>$C714*T713</f>
        <v/>
      </c>
      <c r="U714">
        <f>$C714*U713</f>
        <v/>
      </c>
      <c r="V714">
        <f>$C714*V713</f>
        <v/>
      </c>
      <c r="W714">
        <f>$C714*W713</f>
        <v/>
      </c>
      <c r="X714">
        <f>$C714*X713</f>
        <v/>
      </c>
      <c r="Y714">
        <f>$C714*Y713</f>
        <v/>
      </c>
      <c r="Z714">
        <f>$C714*Z713</f>
        <v/>
      </c>
      <c r="AA714">
        <f>$C714*AA713</f>
        <v/>
      </c>
      <c r="AB714">
        <f>$C714*AB713</f>
        <v/>
      </c>
      <c r="AC714">
        <f>$C714*AC713</f>
        <v/>
      </c>
      <c r="AD714">
        <f>$C714*AD713</f>
        <v/>
      </c>
      <c r="AE714">
        <f>$C714*AE713</f>
        <v/>
      </c>
      <c r="AF714">
        <f>$C714*AF713</f>
        <v/>
      </c>
      <c r="AG714">
        <f>$C714*AG713</f>
        <v/>
      </c>
      <c r="AH714">
        <f>$C714*AH713</f>
        <v/>
      </c>
      <c r="AI714">
        <f>$C714*AI713</f>
        <v/>
      </c>
      <c r="AJ714">
        <f>$C714*AJ713</f>
        <v/>
      </c>
      <c r="AK714">
        <f>$C714*AK713</f>
        <v/>
      </c>
      <c r="AL714">
        <f>$C714*AL713</f>
        <v/>
      </c>
      <c r="AM714">
        <f>$C714*AM713</f>
        <v/>
      </c>
      <c r="AN714">
        <f>$C714*AN713</f>
        <v/>
      </c>
      <c r="AO714">
        <f>$C714*AO713</f>
        <v/>
      </c>
      <c r="AP714">
        <f>$C714*AP713</f>
        <v/>
      </c>
      <c r="AQ714">
        <f>$C714*AQ713</f>
        <v/>
      </c>
      <c r="AR714">
        <f>$C714*AR713</f>
        <v/>
      </c>
      <c r="AS714">
        <f>$C714*AS713</f>
        <v/>
      </c>
      <c r="AT714">
        <f>$C714*AT713</f>
        <v/>
      </c>
      <c r="AU714">
        <f>$C714*AU713</f>
        <v/>
      </c>
      <c r="AV714">
        <f>$C714*AV713</f>
        <v/>
      </c>
      <c r="AW714">
        <f>$C714*AW713</f>
        <v/>
      </c>
      <c r="AX714">
        <f>$C714*AX713</f>
        <v/>
      </c>
      <c r="AY714">
        <f>$C714*AY713</f>
        <v/>
      </c>
      <c r="AZ714">
        <f>$C714*AZ713</f>
        <v/>
      </c>
      <c r="BA714">
        <f>$C714*BA713</f>
        <v/>
      </c>
      <c r="BB714">
        <f>$C714*BB713</f>
        <v/>
      </c>
      <c r="BC714">
        <f>$C714*BC713</f>
        <v/>
      </c>
      <c r="BD714">
        <f>$C714*BD713</f>
        <v/>
      </c>
      <c r="BE714">
        <f>$C714*BE713</f>
        <v/>
      </c>
      <c r="BF714">
        <f>$C714*BF713</f>
        <v/>
      </c>
      <c r="BG714">
        <f>$C714*BG713</f>
        <v/>
      </c>
      <c r="BH714">
        <f>$C714*BH713</f>
        <v/>
      </c>
      <c r="BI714">
        <f>$C714*BI713</f>
        <v/>
      </c>
      <c r="BJ714">
        <f>$C714*BJ713</f>
        <v/>
      </c>
      <c r="BK714">
        <f>$C714*BK713</f>
        <v/>
      </c>
      <c r="BL714">
        <f>$C714*BL713</f>
        <v/>
      </c>
      <c r="BM714">
        <f>$C714*BM713</f>
        <v/>
      </c>
      <c r="BN714">
        <f>$C714*BN713</f>
        <v/>
      </c>
      <c r="BO714">
        <f>$C714*BO713</f>
        <v/>
      </c>
      <c r="BP714">
        <f>$C714*BP713</f>
        <v/>
      </c>
      <c r="BQ714">
        <f>$C714*BQ713</f>
        <v/>
      </c>
      <c r="BR714">
        <f>$C714*BR713</f>
        <v/>
      </c>
      <c r="BS714">
        <f>$C714*BS713</f>
        <v/>
      </c>
      <c r="BT714">
        <f>$C714*BT713</f>
        <v/>
      </c>
      <c r="BU714">
        <f>$C714*BU713</f>
        <v/>
      </c>
      <c r="BV714">
        <f>$C714*BV713</f>
        <v/>
      </c>
      <c r="BW714">
        <f>$C714*BW713</f>
        <v/>
      </c>
      <c r="BX714">
        <f>$C714*BX713</f>
        <v/>
      </c>
      <c r="BY714">
        <f>$C714*BY713</f>
        <v/>
      </c>
      <c r="BZ714">
        <f>$C714*BZ713</f>
        <v/>
      </c>
      <c r="CA714">
        <f>$C714*CA713</f>
        <v/>
      </c>
      <c r="CB714">
        <f>$C714*CB713</f>
        <v/>
      </c>
      <c r="CC714">
        <f>$C714*CC713</f>
        <v/>
      </c>
      <c r="CD714">
        <f>$C714*CD713</f>
        <v/>
      </c>
      <c r="CE714">
        <f>$C714*CE713</f>
        <v/>
      </c>
      <c r="CF714">
        <f>$C714*CF713</f>
        <v/>
      </c>
      <c r="CG714">
        <f>$C714*CG713</f>
        <v/>
      </c>
      <c r="CH714">
        <f>$C714*CH713</f>
        <v/>
      </c>
      <c r="CI714">
        <f>$C714*CI713</f>
        <v/>
      </c>
      <c r="CJ714">
        <f>$C714*CJ713</f>
        <v/>
      </c>
      <c r="CK714">
        <f>$C714*CK713</f>
        <v/>
      </c>
      <c r="CL714">
        <f>$C714*CL713</f>
        <v/>
      </c>
      <c r="CM714">
        <f>$C714*CM713</f>
        <v/>
      </c>
      <c r="CN714">
        <f>$C714*CN713</f>
        <v/>
      </c>
      <c r="CO714">
        <f>$C714*CO713</f>
        <v/>
      </c>
      <c r="CP714">
        <f>$C714*CP713</f>
        <v/>
      </c>
      <c r="CQ714">
        <f>$C714*CQ713</f>
        <v/>
      </c>
      <c r="CR714">
        <f>$C714*CR713</f>
        <v/>
      </c>
      <c r="CS714">
        <f>$C714*CS713</f>
        <v/>
      </c>
      <c r="CT714">
        <f>$C714*CT713</f>
        <v/>
      </c>
      <c r="CU714">
        <f>$C714*CU713</f>
        <v/>
      </c>
      <c r="CV714">
        <f>$C714*CV713</f>
        <v/>
      </c>
      <c r="CW714">
        <f>$C714*CW713</f>
        <v/>
      </c>
      <c r="CX714">
        <f>$C714*CX713</f>
        <v/>
      </c>
      <c r="CY714">
        <f>$C714*CY713</f>
        <v/>
      </c>
      <c r="CZ714">
        <f>$C714*CZ713</f>
        <v/>
      </c>
      <c r="DA714">
        <f>$C714*DA713</f>
        <v/>
      </c>
      <c r="DB714">
        <f>$C714*DB713</f>
        <v/>
      </c>
      <c r="DC714">
        <f>$C714*DC713</f>
        <v/>
      </c>
    </row>
    <row r="715">
      <c r="B715" t="inlineStr">
        <is>
          <t>TSP-404</t>
        </is>
      </c>
      <c r="C715" t="inlineStr">
        <is>
          <t>No. of batches</t>
        </is>
      </c>
      <c r="D715">
        <f>IFERROR(INDEX(PP_Grid[#Data],$DD715,2),0)</f>
        <v/>
      </c>
      <c r="E715">
        <f>IFERROR(INDEX(PP_Grid[#Data],$DD715,3),0)</f>
        <v/>
      </c>
      <c r="F715">
        <f>IFERROR(INDEX(PP_Grid[#Data],$DD715,4),0)</f>
        <v/>
      </c>
      <c r="G715">
        <f>IFERROR(INDEX(PP_Grid[#Data],$DD715,5),0)</f>
        <v/>
      </c>
      <c r="H715">
        <f>IFERROR(INDEX(PP_Grid[#Data],$DD715,6),0)</f>
        <v/>
      </c>
      <c r="I715">
        <f>IFERROR(INDEX(PP_Grid[#Data],$DD715,7),0)</f>
        <v/>
      </c>
      <c r="J715">
        <f>IFERROR(INDEX(PP_Grid[#Data],$DD715,8),0)</f>
        <v/>
      </c>
      <c r="K715">
        <f>IFERROR(INDEX(PP_Grid[#Data],$DD715,9),0)</f>
        <v/>
      </c>
      <c r="L715">
        <f>IFERROR(INDEX(PP_Grid[#Data],$DD715,10),0)</f>
        <v/>
      </c>
      <c r="M715">
        <f>IFERROR(INDEX(PP_Grid[#Data],$DD715,11),0)</f>
        <v/>
      </c>
      <c r="N715">
        <f>IFERROR(INDEX(PP_Grid[#Data],$DD715,12),0)</f>
        <v/>
      </c>
      <c r="O715">
        <f>IFERROR(INDEX(PP_Grid[#Data],$DD715,13),0)</f>
        <v/>
      </c>
      <c r="P715">
        <f>IFERROR(INDEX(PP_Grid[#Data],$DD715,14),0)</f>
        <v/>
      </c>
      <c r="Q715">
        <f>IFERROR(INDEX(PP_Grid[#Data],$DD715,15),0)</f>
        <v/>
      </c>
      <c r="R715">
        <f>IFERROR(INDEX(PP_Grid[#Data],$DD715,16),0)</f>
        <v/>
      </c>
      <c r="S715">
        <f>IFERROR(INDEX(PP_Grid[#Data],$DD715,17),0)</f>
        <v/>
      </c>
      <c r="T715">
        <f>IFERROR(INDEX(PP_Grid[#Data],$DD715,18),0)</f>
        <v/>
      </c>
      <c r="U715">
        <f>IFERROR(INDEX(PP_Grid[#Data],$DD715,19),0)</f>
        <v/>
      </c>
      <c r="V715">
        <f>IFERROR(INDEX(PP_Grid[#Data],$DD715,20),0)</f>
        <v/>
      </c>
      <c r="W715">
        <f>IFERROR(INDEX(PP_Grid[#Data],$DD715,21),0)</f>
        <v/>
      </c>
      <c r="X715">
        <f>IFERROR(INDEX(PP_Grid[#Data],$DD715,22),0)</f>
        <v/>
      </c>
      <c r="Y715">
        <f>IFERROR(INDEX(PP_Grid[#Data],$DD715,23),0)</f>
        <v/>
      </c>
      <c r="Z715">
        <f>IFERROR(INDEX(PP_Grid[#Data],$DD715,24),0)</f>
        <v/>
      </c>
      <c r="AA715">
        <f>IFERROR(INDEX(PP_Grid[#Data],$DD715,25),0)</f>
        <v/>
      </c>
      <c r="AB715">
        <f>IFERROR(INDEX(PP_Grid[#Data],$DD715,26),0)</f>
        <v/>
      </c>
      <c r="AC715">
        <f>IFERROR(INDEX(PP_Grid[#Data],$DD715,27),0)</f>
        <v/>
      </c>
      <c r="AD715">
        <f>IFERROR(INDEX(PP_Grid[#Data],$DD715,28),0)</f>
        <v/>
      </c>
      <c r="AE715">
        <f>IFERROR(INDEX(PP_Grid[#Data],$DD715,29),0)</f>
        <v/>
      </c>
      <c r="AF715">
        <f>IFERROR(INDEX(PP_Grid[#Data],$DD715,30),0)</f>
        <v/>
      </c>
      <c r="AG715">
        <f>IFERROR(INDEX(PP_Grid[#Data],$DD715,31),0)</f>
        <v/>
      </c>
      <c r="AH715">
        <f>IFERROR(INDEX(PP_Grid[#Data],$DD715,32),0)</f>
        <v/>
      </c>
      <c r="AI715">
        <f>IFERROR(INDEX(PP_Grid[#Data],$DD715,33),0)</f>
        <v/>
      </c>
      <c r="AJ715">
        <f>IFERROR(INDEX(PP_Grid[#Data],$DD715,34),0)</f>
        <v/>
      </c>
      <c r="AK715">
        <f>IFERROR(INDEX(PP_Grid[#Data],$DD715,35),0)</f>
        <v/>
      </c>
      <c r="AL715">
        <f>IFERROR(INDEX(PP_Grid[#Data],$DD715,36),0)</f>
        <v/>
      </c>
      <c r="AM715">
        <f>IFERROR(INDEX(PP_Grid[#Data],$DD715,37),0)</f>
        <v/>
      </c>
      <c r="AN715">
        <f>IFERROR(INDEX(PP_Grid[#Data],$DD715,38),0)</f>
        <v/>
      </c>
      <c r="AO715">
        <f>IFERROR(INDEX(PP_Grid[#Data],$DD715,39),0)</f>
        <v/>
      </c>
      <c r="AP715">
        <f>IFERROR(INDEX(PP_Grid[#Data],$DD715,40),0)</f>
        <v/>
      </c>
      <c r="AQ715">
        <f>IFERROR(INDEX(PP_Grid[#Data],$DD715,41),0)</f>
        <v/>
      </c>
      <c r="AR715">
        <f>IFERROR(INDEX(PP_Grid[#Data],$DD715,42),0)</f>
        <v/>
      </c>
      <c r="AS715">
        <f>IFERROR(INDEX(PP_Grid[#Data],$DD715,43),0)</f>
        <v/>
      </c>
      <c r="AT715">
        <f>IFERROR(INDEX(PP_Grid[#Data],$DD715,44),0)</f>
        <v/>
      </c>
      <c r="AU715">
        <f>IFERROR(INDEX(PP_Grid[#Data],$DD715,45),0)</f>
        <v/>
      </c>
      <c r="AV715">
        <f>IFERROR(INDEX(PP_Grid[#Data],$DD715,46),0)</f>
        <v/>
      </c>
      <c r="AW715">
        <f>IFERROR(INDEX(PP_Grid[#Data],$DD715,47),0)</f>
        <v/>
      </c>
      <c r="AX715">
        <f>IFERROR(INDEX(PP_Grid[#Data],$DD715,48),0)</f>
        <v/>
      </c>
      <c r="AY715">
        <f>IFERROR(INDEX(PP_Grid[#Data],$DD715,49),0)</f>
        <v/>
      </c>
      <c r="AZ715">
        <f>IFERROR(INDEX(PP_Grid[#Data],$DD715,50),0)</f>
        <v/>
      </c>
      <c r="BA715">
        <f>IFERROR(INDEX(PP_Grid[#Data],$DD715,51),0)</f>
        <v/>
      </c>
      <c r="BB715">
        <f>IFERROR(INDEX(PP_Grid[#Data],$DD715,52),0)</f>
        <v/>
      </c>
      <c r="BC715">
        <f>IFERROR(INDEX(PP_Grid[#Data],$DD715,53),0)</f>
        <v/>
      </c>
      <c r="BD715">
        <f>IFERROR(INDEX(PP_Grid[#Data],$DD715,54),0)</f>
        <v/>
      </c>
      <c r="BE715">
        <f>IFERROR(INDEX(PP_Grid[#Data],$DD715,55),0)</f>
        <v/>
      </c>
      <c r="BF715">
        <f>IFERROR(INDEX(PP_Grid[#Data],$DD715,56),0)</f>
        <v/>
      </c>
      <c r="BG715">
        <f>IFERROR(INDEX(PP_Grid[#Data],$DD715,57),0)</f>
        <v/>
      </c>
      <c r="BH715">
        <f>IFERROR(INDEX(PP_Grid[#Data],$DD715,58),0)</f>
        <v/>
      </c>
      <c r="BI715">
        <f>IFERROR(INDEX(PP_Grid[#Data],$DD715,59),0)</f>
        <v/>
      </c>
      <c r="BJ715">
        <f>IFERROR(INDEX(PP_Grid[#Data],$DD715,60),0)</f>
        <v/>
      </c>
      <c r="BK715">
        <f>IFERROR(INDEX(PP_Grid[#Data],$DD715,61),0)</f>
        <v/>
      </c>
      <c r="BL715">
        <f>IFERROR(INDEX(PP_Grid[#Data],$DD715,62),0)</f>
        <v/>
      </c>
      <c r="BM715">
        <f>IFERROR(INDEX(PP_Grid[#Data],$DD715,63),0)</f>
        <v/>
      </c>
      <c r="BN715">
        <f>IFERROR(INDEX(PP_Grid[#Data],$DD715,64),0)</f>
        <v/>
      </c>
      <c r="BO715">
        <f>IFERROR(INDEX(PP_Grid[#Data],$DD715,65),0)</f>
        <v/>
      </c>
      <c r="BP715">
        <f>IFERROR(INDEX(PP_Grid[#Data],$DD715,66),0)</f>
        <v/>
      </c>
      <c r="BQ715">
        <f>IFERROR(INDEX(PP_Grid[#Data],$DD715,67),0)</f>
        <v/>
      </c>
      <c r="BR715">
        <f>IFERROR(INDEX(PP_Grid[#Data],$DD715,68),0)</f>
        <v/>
      </c>
      <c r="BS715">
        <f>IFERROR(INDEX(PP_Grid[#Data],$DD715,69),0)</f>
        <v/>
      </c>
      <c r="BT715">
        <f>IFERROR(INDEX(PP_Grid[#Data],$DD715,70),0)</f>
        <v/>
      </c>
      <c r="BU715">
        <f>IFERROR(INDEX(PP_Grid[#Data],$DD715,71),0)</f>
        <v/>
      </c>
      <c r="BV715">
        <f>IFERROR(INDEX(PP_Grid[#Data],$DD715,72),0)</f>
        <v/>
      </c>
      <c r="BW715">
        <f>IFERROR(INDEX(PP_Grid[#Data],$DD715,73),0)</f>
        <v/>
      </c>
      <c r="BX715">
        <f>IFERROR(INDEX(PP_Grid[#Data],$DD715,74),0)</f>
        <v/>
      </c>
      <c r="BY715">
        <f>IFERROR(INDEX(PP_Grid[#Data],$DD715,75),0)</f>
        <v/>
      </c>
      <c r="BZ715">
        <f>IFERROR(INDEX(PP_Grid[#Data],$DD715,76),0)</f>
        <v/>
      </c>
      <c r="CA715">
        <f>IFERROR(INDEX(PP_Grid[#Data],$DD715,77),0)</f>
        <v/>
      </c>
      <c r="CB715">
        <f>IFERROR(INDEX(PP_Grid[#Data],$DD715,78),0)</f>
        <v/>
      </c>
      <c r="CC715">
        <f>IFERROR(INDEX(PP_Grid[#Data],$DD715,79),0)</f>
        <v/>
      </c>
      <c r="CD715">
        <f>IFERROR(INDEX(PP_Grid[#Data],$DD715,80),0)</f>
        <v/>
      </c>
      <c r="CE715">
        <f>IFERROR(INDEX(PP_Grid[#Data],$DD715,81),0)</f>
        <v/>
      </c>
      <c r="CF715">
        <f>IFERROR(INDEX(PP_Grid[#Data],$DD715,82),0)</f>
        <v/>
      </c>
      <c r="CG715">
        <f>IFERROR(INDEX(PP_Grid[#Data],$DD715,83),0)</f>
        <v/>
      </c>
      <c r="CH715">
        <f>IFERROR(INDEX(PP_Grid[#Data],$DD715,84),0)</f>
        <v/>
      </c>
      <c r="CI715">
        <f>IFERROR(INDEX(PP_Grid[#Data],$DD715,85),0)</f>
        <v/>
      </c>
      <c r="CJ715">
        <f>IFERROR(INDEX(PP_Grid[#Data],$DD715,86),0)</f>
        <v/>
      </c>
      <c r="CK715">
        <f>IFERROR(INDEX(PP_Grid[#Data],$DD715,87),0)</f>
        <v/>
      </c>
      <c r="CL715">
        <f>IFERROR(INDEX(PP_Grid[#Data],$DD715,88),0)</f>
        <v/>
      </c>
      <c r="CM715">
        <f>IFERROR(INDEX(PP_Grid[#Data],$DD715,89),0)</f>
        <v/>
      </c>
      <c r="CN715">
        <f>IFERROR(INDEX(PP_Grid[#Data],$DD715,90),0)</f>
        <v/>
      </c>
      <c r="CO715">
        <f>IFERROR(INDEX(PP_Grid[#Data],$DD715,91),0)</f>
        <v/>
      </c>
      <c r="CP715">
        <f>IFERROR(INDEX(PP_Grid[#Data],$DD715,92),0)</f>
        <v/>
      </c>
      <c r="CQ715">
        <f>IFERROR(INDEX(PP_Grid[#Data],$DD715,93),0)</f>
        <v/>
      </c>
      <c r="CR715">
        <f>IFERROR(INDEX(PP_Grid[#Data],$DD715,94),0)</f>
        <v/>
      </c>
      <c r="CS715">
        <f>IFERROR(INDEX(PP_Grid[#Data],$DD715,95),0)</f>
        <v/>
      </c>
      <c r="CT715">
        <f>IFERROR(INDEX(PP_Grid[#Data],$DD715,96),0)</f>
        <v/>
      </c>
      <c r="CU715">
        <f>IFERROR(INDEX(PP_Grid[#Data],$DD715,97),0)</f>
        <v/>
      </c>
      <c r="CV715">
        <f>IFERROR(INDEX(PP_Grid[#Data],$DD715,98),0)</f>
        <v/>
      </c>
      <c r="CW715">
        <f>IFERROR(INDEX(PP_Grid[#Data],$DD715,99),0)</f>
        <v/>
      </c>
      <c r="CX715">
        <f>IFERROR(INDEX(PP_Grid[#Data],$DD715,100),0)</f>
        <v/>
      </c>
      <c r="CY715">
        <f>IFERROR(INDEX(PP_Grid[#Data],$DD715,101),0)</f>
        <v/>
      </c>
      <c r="CZ715">
        <f>IFERROR(INDEX(PP_Grid[#Data],$DD715,102),0)</f>
        <v/>
      </c>
      <c r="DA715">
        <f>IFERROR(INDEX(PP_Grid[#Data],$DD715,103),0)</f>
        <v/>
      </c>
      <c r="DB715">
        <f>IFERROR(INDEX(PP_Grid[#Data],$DD715,104),0)</f>
        <v/>
      </c>
      <c r="DC715">
        <f>IFERROR(INDEX(PP_Grid[#Data],$DD715,105),0)</f>
        <v/>
      </c>
      <c r="DD715" s="7">
        <f>IFERROR(MATCH($B715,PP_Grid[Intermediate],0),99999)</f>
        <v/>
      </c>
    </row>
    <row r="716">
      <c r="B716" t="inlineStr">
        <is>
          <t>使用量(kg)</t>
        </is>
      </c>
      <c r="C716">
        <f>SUMIFS(M_BOM[RM_Qty_Per_Batch],M_BOM[Intermediate],$B715,M_BOM[Part Name],$A710)</f>
        <v/>
      </c>
      <c r="D716">
        <f>$C716*D715</f>
        <v/>
      </c>
      <c r="E716">
        <f>$C716*E715</f>
        <v/>
      </c>
      <c r="F716">
        <f>$C716*F715</f>
        <v/>
      </c>
      <c r="G716">
        <f>$C716*G715</f>
        <v/>
      </c>
      <c r="H716">
        <f>$C716*H715</f>
        <v/>
      </c>
      <c r="I716">
        <f>$C716*I715</f>
        <v/>
      </c>
      <c r="J716">
        <f>$C716*J715</f>
        <v/>
      </c>
      <c r="K716">
        <f>$C716*K715</f>
        <v/>
      </c>
      <c r="L716">
        <f>$C716*L715</f>
        <v/>
      </c>
      <c r="M716">
        <f>$C716*M715</f>
        <v/>
      </c>
      <c r="N716">
        <f>$C716*N715</f>
        <v/>
      </c>
      <c r="O716">
        <f>$C716*O715</f>
        <v/>
      </c>
      <c r="P716">
        <f>$C716*P715</f>
        <v/>
      </c>
      <c r="Q716">
        <f>$C716*Q715</f>
        <v/>
      </c>
      <c r="R716">
        <f>$C716*R715</f>
        <v/>
      </c>
      <c r="S716">
        <f>$C716*S715</f>
        <v/>
      </c>
      <c r="T716">
        <f>$C716*T715</f>
        <v/>
      </c>
      <c r="U716">
        <f>$C716*U715</f>
        <v/>
      </c>
      <c r="V716">
        <f>$C716*V715</f>
        <v/>
      </c>
      <c r="W716">
        <f>$C716*W715</f>
        <v/>
      </c>
      <c r="X716">
        <f>$C716*X715</f>
        <v/>
      </c>
      <c r="Y716">
        <f>$C716*Y715</f>
        <v/>
      </c>
      <c r="Z716">
        <f>$C716*Z715</f>
        <v/>
      </c>
      <c r="AA716">
        <f>$C716*AA715</f>
        <v/>
      </c>
      <c r="AB716">
        <f>$C716*AB715</f>
        <v/>
      </c>
      <c r="AC716">
        <f>$C716*AC715</f>
        <v/>
      </c>
      <c r="AD716">
        <f>$C716*AD715</f>
        <v/>
      </c>
      <c r="AE716">
        <f>$C716*AE715</f>
        <v/>
      </c>
      <c r="AF716">
        <f>$C716*AF715</f>
        <v/>
      </c>
      <c r="AG716">
        <f>$C716*AG715</f>
        <v/>
      </c>
      <c r="AH716">
        <f>$C716*AH715</f>
        <v/>
      </c>
      <c r="AI716">
        <f>$C716*AI715</f>
        <v/>
      </c>
      <c r="AJ716">
        <f>$C716*AJ715</f>
        <v/>
      </c>
      <c r="AK716">
        <f>$C716*AK715</f>
        <v/>
      </c>
      <c r="AL716">
        <f>$C716*AL715</f>
        <v/>
      </c>
      <c r="AM716">
        <f>$C716*AM715</f>
        <v/>
      </c>
      <c r="AN716">
        <f>$C716*AN715</f>
        <v/>
      </c>
      <c r="AO716">
        <f>$C716*AO715</f>
        <v/>
      </c>
      <c r="AP716">
        <f>$C716*AP715</f>
        <v/>
      </c>
      <c r="AQ716">
        <f>$C716*AQ715</f>
        <v/>
      </c>
      <c r="AR716">
        <f>$C716*AR715</f>
        <v/>
      </c>
      <c r="AS716">
        <f>$C716*AS715</f>
        <v/>
      </c>
      <c r="AT716">
        <f>$C716*AT715</f>
        <v/>
      </c>
      <c r="AU716">
        <f>$C716*AU715</f>
        <v/>
      </c>
      <c r="AV716">
        <f>$C716*AV715</f>
        <v/>
      </c>
      <c r="AW716">
        <f>$C716*AW715</f>
        <v/>
      </c>
      <c r="AX716">
        <f>$C716*AX715</f>
        <v/>
      </c>
      <c r="AY716">
        <f>$C716*AY715</f>
        <v/>
      </c>
      <c r="AZ716">
        <f>$C716*AZ715</f>
        <v/>
      </c>
      <c r="BA716">
        <f>$C716*BA715</f>
        <v/>
      </c>
      <c r="BB716">
        <f>$C716*BB715</f>
        <v/>
      </c>
      <c r="BC716">
        <f>$C716*BC715</f>
        <v/>
      </c>
      <c r="BD716">
        <f>$C716*BD715</f>
        <v/>
      </c>
      <c r="BE716">
        <f>$C716*BE715</f>
        <v/>
      </c>
      <c r="BF716">
        <f>$C716*BF715</f>
        <v/>
      </c>
      <c r="BG716">
        <f>$C716*BG715</f>
        <v/>
      </c>
      <c r="BH716">
        <f>$C716*BH715</f>
        <v/>
      </c>
      <c r="BI716">
        <f>$C716*BI715</f>
        <v/>
      </c>
      <c r="BJ716">
        <f>$C716*BJ715</f>
        <v/>
      </c>
      <c r="BK716">
        <f>$C716*BK715</f>
        <v/>
      </c>
      <c r="BL716">
        <f>$C716*BL715</f>
        <v/>
      </c>
      <c r="BM716">
        <f>$C716*BM715</f>
        <v/>
      </c>
      <c r="BN716">
        <f>$C716*BN715</f>
        <v/>
      </c>
      <c r="BO716">
        <f>$C716*BO715</f>
        <v/>
      </c>
      <c r="BP716">
        <f>$C716*BP715</f>
        <v/>
      </c>
      <c r="BQ716">
        <f>$C716*BQ715</f>
        <v/>
      </c>
      <c r="BR716">
        <f>$C716*BR715</f>
        <v/>
      </c>
      <c r="BS716">
        <f>$C716*BS715</f>
        <v/>
      </c>
      <c r="BT716">
        <f>$C716*BT715</f>
        <v/>
      </c>
      <c r="BU716">
        <f>$C716*BU715</f>
        <v/>
      </c>
      <c r="BV716">
        <f>$C716*BV715</f>
        <v/>
      </c>
      <c r="BW716">
        <f>$C716*BW715</f>
        <v/>
      </c>
      <c r="BX716">
        <f>$C716*BX715</f>
        <v/>
      </c>
      <c r="BY716">
        <f>$C716*BY715</f>
        <v/>
      </c>
      <c r="BZ716">
        <f>$C716*BZ715</f>
        <v/>
      </c>
      <c r="CA716">
        <f>$C716*CA715</f>
        <v/>
      </c>
      <c r="CB716">
        <f>$C716*CB715</f>
        <v/>
      </c>
      <c r="CC716">
        <f>$C716*CC715</f>
        <v/>
      </c>
      <c r="CD716">
        <f>$C716*CD715</f>
        <v/>
      </c>
      <c r="CE716">
        <f>$C716*CE715</f>
        <v/>
      </c>
      <c r="CF716">
        <f>$C716*CF715</f>
        <v/>
      </c>
      <c r="CG716">
        <f>$C716*CG715</f>
        <v/>
      </c>
      <c r="CH716">
        <f>$C716*CH715</f>
        <v/>
      </c>
      <c r="CI716">
        <f>$C716*CI715</f>
        <v/>
      </c>
      <c r="CJ716">
        <f>$C716*CJ715</f>
        <v/>
      </c>
      <c r="CK716">
        <f>$C716*CK715</f>
        <v/>
      </c>
      <c r="CL716">
        <f>$C716*CL715</f>
        <v/>
      </c>
      <c r="CM716">
        <f>$C716*CM715</f>
        <v/>
      </c>
      <c r="CN716">
        <f>$C716*CN715</f>
        <v/>
      </c>
      <c r="CO716">
        <f>$C716*CO715</f>
        <v/>
      </c>
      <c r="CP716">
        <f>$C716*CP715</f>
        <v/>
      </c>
      <c r="CQ716">
        <f>$C716*CQ715</f>
        <v/>
      </c>
      <c r="CR716">
        <f>$C716*CR715</f>
        <v/>
      </c>
      <c r="CS716">
        <f>$C716*CS715</f>
        <v/>
      </c>
      <c r="CT716">
        <f>$C716*CT715</f>
        <v/>
      </c>
      <c r="CU716">
        <f>$C716*CU715</f>
        <v/>
      </c>
      <c r="CV716">
        <f>$C716*CV715</f>
        <v/>
      </c>
      <c r="CW716">
        <f>$C716*CW715</f>
        <v/>
      </c>
      <c r="CX716">
        <f>$C716*CX715</f>
        <v/>
      </c>
      <c r="CY716">
        <f>$C716*CY715</f>
        <v/>
      </c>
      <c r="CZ716">
        <f>$C716*CZ715</f>
        <v/>
      </c>
      <c r="DA716">
        <f>$C716*DA715</f>
        <v/>
      </c>
      <c r="DB716">
        <f>$C716*DB715</f>
        <v/>
      </c>
      <c r="DC716">
        <f>$C716*DC715</f>
        <v/>
      </c>
    </row>
    <row r="717">
      <c r="B717" t="inlineStr">
        <is>
          <t>TSP-405</t>
        </is>
      </c>
      <c r="C717" t="inlineStr">
        <is>
          <t>No. of batches</t>
        </is>
      </c>
      <c r="D717">
        <f>IFERROR(INDEX(PP_Grid[#Data],$DD717,2),0)</f>
        <v/>
      </c>
      <c r="E717">
        <f>IFERROR(INDEX(PP_Grid[#Data],$DD717,3),0)</f>
        <v/>
      </c>
      <c r="F717">
        <f>IFERROR(INDEX(PP_Grid[#Data],$DD717,4),0)</f>
        <v/>
      </c>
      <c r="G717">
        <f>IFERROR(INDEX(PP_Grid[#Data],$DD717,5),0)</f>
        <v/>
      </c>
      <c r="H717">
        <f>IFERROR(INDEX(PP_Grid[#Data],$DD717,6),0)</f>
        <v/>
      </c>
      <c r="I717">
        <f>IFERROR(INDEX(PP_Grid[#Data],$DD717,7),0)</f>
        <v/>
      </c>
      <c r="J717">
        <f>IFERROR(INDEX(PP_Grid[#Data],$DD717,8),0)</f>
        <v/>
      </c>
      <c r="K717">
        <f>IFERROR(INDEX(PP_Grid[#Data],$DD717,9),0)</f>
        <v/>
      </c>
      <c r="L717">
        <f>IFERROR(INDEX(PP_Grid[#Data],$DD717,10),0)</f>
        <v/>
      </c>
      <c r="M717">
        <f>IFERROR(INDEX(PP_Grid[#Data],$DD717,11),0)</f>
        <v/>
      </c>
      <c r="N717">
        <f>IFERROR(INDEX(PP_Grid[#Data],$DD717,12),0)</f>
        <v/>
      </c>
      <c r="O717">
        <f>IFERROR(INDEX(PP_Grid[#Data],$DD717,13),0)</f>
        <v/>
      </c>
      <c r="P717">
        <f>IFERROR(INDEX(PP_Grid[#Data],$DD717,14),0)</f>
        <v/>
      </c>
      <c r="Q717">
        <f>IFERROR(INDEX(PP_Grid[#Data],$DD717,15),0)</f>
        <v/>
      </c>
      <c r="R717">
        <f>IFERROR(INDEX(PP_Grid[#Data],$DD717,16),0)</f>
        <v/>
      </c>
      <c r="S717">
        <f>IFERROR(INDEX(PP_Grid[#Data],$DD717,17),0)</f>
        <v/>
      </c>
      <c r="T717">
        <f>IFERROR(INDEX(PP_Grid[#Data],$DD717,18),0)</f>
        <v/>
      </c>
      <c r="U717">
        <f>IFERROR(INDEX(PP_Grid[#Data],$DD717,19),0)</f>
        <v/>
      </c>
      <c r="V717">
        <f>IFERROR(INDEX(PP_Grid[#Data],$DD717,20),0)</f>
        <v/>
      </c>
      <c r="W717">
        <f>IFERROR(INDEX(PP_Grid[#Data],$DD717,21),0)</f>
        <v/>
      </c>
      <c r="X717">
        <f>IFERROR(INDEX(PP_Grid[#Data],$DD717,22),0)</f>
        <v/>
      </c>
      <c r="Y717">
        <f>IFERROR(INDEX(PP_Grid[#Data],$DD717,23),0)</f>
        <v/>
      </c>
      <c r="Z717">
        <f>IFERROR(INDEX(PP_Grid[#Data],$DD717,24),0)</f>
        <v/>
      </c>
      <c r="AA717">
        <f>IFERROR(INDEX(PP_Grid[#Data],$DD717,25),0)</f>
        <v/>
      </c>
      <c r="AB717">
        <f>IFERROR(INDEX(PP_Grid[#Data],$DD717,26),0)</f>
        <v/>
      </c>
      <c r="AC717">
        <f>IFERROR(INDEX(PP_Grid[#Data],$DD717,27),0)</f>
        <v/>
      </c>
      <c r="AD717">
        <f>IFERROR(INDEX(PP_Grid[#Data],$DD717,28),0)</f>
        <v/>
      </c>
      <c r="AE717">
        <f>IFERROR(INDEX(PP_Grid[#Data],$DD717,29),0)</f>
        <v/>
      </c>
      <c r="AF717">
        <f>IFERROR(INDEX(PP_Grid[#Data],$DD717,30),0)</f>
        <v/>
      </c>
      <c r="AG717">
        <f>IFERROR(INDEX(PP_Grid[#Data],$DD717,31),0)</f>
        <v/>
      </c>
      <c r="AH717">
        <f>IFERROR(INDEX(PP_Grid[#Data],$DD717,32),0)</f>
        <v/>
      </c>
      <c r="AI717">
        <f>IFERROR(INDEX(PP_Grid[#Data],$DD717,33),0)</f>
        <v/>
      </c>
      <c r="AJ717">
        <f>IFERROR(INDEX(PP_Grid[#Data],$DD717,34),0)</f>
        <v/>
      </c>
      <c r="AK717">
        <f>IFERROR(INDEX(PP_Grid[#Data],$DD717,35),0)</f>
        <v/>
      </c>
      <c r="AL717">
        <f>IFERROR(INDEX(PP_Grid[#Data],$DD717,36),0)</f>
        <v/>
      </c>
      <c r="AM717">
        <f>IFERROR(INDEX(PP_Grid[#Data],$DD717,37),0)</f>
        <v/>
      </c>
      <c r="AN717">
        <f>IFERROR(INDEX(PP_Grid[#Data],$DD717,38),0)</f>
        <v/>
      </c>
      <c r="AO717">
        <f>IFERROR(INDEX(PP_Grid[#Data],$DD717,39),0)</f>
        <v/>
      </c>
      <c r="AP717">
        <f>IFERROR(INDEX(PP_Grid[#Data],$DD717,40),0)</f>
        <v/>
      </c>
      <c r="AQ717">
        <f>IFERROR(INDEX(PP_Grid[#Data],$DD717,41),0)</f>
        <v/>
      </c>
      <c r="AR717">
        <f>IFERROR(INDEX(PP_Grid[#Data],$DD717,42),0)</f>
        <v/>
      </c>
      <c r="AS717">
        <f>IFERROR(INDEX(PP_Grid[#Data],$DD717,43),0)</f>
        <v/>
      </c>
      <c r="AT717">
        <f>IFERROR(INDEX(PP_Grid[#Data],$DD717,44),0)</f>
        <v/>
      </c>
      <c r="AU717">
        <f>IFERROR(INDEX(PP_Grid[#Data],$DD717,45),0)</f>
        <v/>
      </c>
      <c r="AV717">
        <f>IFERROR(INDEX(PP_Grid[#Data],$DD717,46),0)</f>
        <v/>
      </c>
      <c r="AW717">
        <f>IFERROR(INDEX(PP_Grid[#Data],$DD717,47),0)</f>
        <v/>
      </c>
      <c r="AX717">
        <f>IFERROR(INDEX(PP_Grid[#Data],$DD717,48),0)</f>
        <v/>
      </c>
      <c r="AY717">
        <f>IFERROR(INDEX(PP_Grid[#Data],$DD717,49),0)</f>
        <v/>
      </c>
      <c r="AZ717">
        <f>IFERROR(INDEX(PP_Grid[#Data],$DD717,50),0)</f>
        <v/>
      </c>
      <c r="BA717">
        <f>IFERROR(INDEX(PP_Grid[#Data],$DD717,51),0)</f>
        <v/>
      </c>
      <c r="BB717">
        <f>IFERROR(INDEX(PP_Grid[#Data],$DD717,52),0)</f>
        <v/>
      </c>
      <c r="BC717">
        <f>IFERROR(INDEX(PP_Grid[#Data],$DD717,53),0)</f>
        <v/>
      </c>
      <c r="BD717">
        <f>IFERROR(INDEX(PP_Grid[#Data],$DD717,54),0)</f>
        <v/>
      </c>
      <c r="BE717">
        <f>IFERROR(INDEX(PP_Grid[#Data],$DD717,55),0)</f>
        <v/>
      </c>
      <c r="BF717">
        <f>IFERROR(INDEX(PP_Grid[#Data],$DD717,56),0)</f>
        <v/>
      </c>
      <c r="BG717">
        <f>IFERROR(INDEX(PP_Grid[#Data],$DD717,57),0)</f>
        <v/>
      </c>
      <c r="BH717">
        <f>IFERROR(INDEX(PP_Grid[#Data],$DD717,58),0)</f>
        <v/>
      </c>
      <c r="BI717">
        <f>IFERROR(INDEX(PP_Grid[#Data],$DD717,59),0)</f>
        <v/>
      </c>
      <c r="BJ717">
        <f>IFERROR(INDEX(PP_Grid[#Data],$DD717,60),0)</f>
        <v/>
      </c>
      <c r="BK717">
        <f>IFERROR(INDEX(PP_Grid[#Data],$DD717,61),0)</f>
        <v/>
      </c>
      <c r="BL717">
        <f>IFERROR(INDEX(PP_Grid[#Data],$DD717,62),0)</f>
        <v/>
      </c>
      <c r="BM717">
        <f>IFERROR(INDEX(PP_Grid[#Data],$DD717,63),0)</f>
        <v/>
      </c>
      <c r="BN717">
        <f>IFERROR(INDEX(PP_Grid[#Data],$DD717,64),0)</f>
        <v/>
      </c>
      <c r="BO717">
        <f>IFERROR(INDEX(PP_Grid[#Data],$DD717,65),0)</f>
        <v/>
      </c>
      <c r="BP717">
        <f>IFERROR(INDEX(PP_Grid[#Data],$DD717,66),0)</f>
        <v/>
      </c>
      <c r="BQ717">
        <f>IFERROR(INDEX(PP_Grid[#Data],$DD717,67),0)</f>
        <v/>
      </c>
      <c r="BR717">
        <f>IFERROR(INDEX(PP_Grid[#Data],$DD717,68),0)</f>
        <v/>
      </c>
      <c r="BS717">
        <f>IFERROR(INDEX(PP_Grid[#Data],$DD717,69),0)</f>
        <v/>
      </c>
      <c r="BT717">
        <f>IFERROR(INDEX(PP_Grid[#Data],$DD717,70),0)</f>
        <v/>
      </c>
      <c r="BU717">
        <f>IFERROR(INDEX(PP_Grid[#Data],$DD717,71),0)</f>
        <v/>
      </c>
      <c r="BV717">
        <f>IFERROR(INDEX(PP_Grid[#Data],$DD717,72),0)</f>
        <v/>
      </c>
      <c r="BW717">
        <f>IFERROR(INDEX(PP_Grid[#Data],$DD717,73),0)</f>
        <v/>
      </c>
      <c r="BX717">
        <f>IFERROR(INDEX(PP_Grid[#Data],$DD717,74),0)</f>
        <v/>
      </c>
      <c r="BY717">
        <f>IFERROR(INDEX(PP_Grid[#Data],$DD717,75),0)</f>
        <v/>
      </c>
      <c r="BZ717">
        <f>IFERROR(INDEX(PP_Grid[#Data],$DD717,76),0)</f>
        <v/>
      </c>
      <c r="CA717">
        <f>IFERROR(INDEX(PP_Grid[#Data],$DD717,77),0)</f>
        <v/>
      </c>
      <c r="CB717">
        <f>IFERROR(INDEX(PP_Grid[#Data],$DD717,78),0)</f>
        <v/>
      </c>
      <c r="CC717">
        <f>IFERROR(INDEX(PP_Grid[#Data],$DD717,79),0)</f>
        <v/>
      </c>
      <c r="CD717">
        <f>IFERROR(INDEX(PP_Grid[#Data],$DD717,80),0)</f>
        <v/>
      </c>
      <c r="CE717">
        <f>IFERROR(INDEX(PP_Grid[#Data],$DD717,81),0)</f>
        <v/>
      </c>
      <c r="CF717">
        <f>IFERROR(INDEX(PP_Grid[#Data],$DD717,82),0)</f>
        <v/>
      </c>
      <c r="CG717">
        <f>IFERROR(INDEX(PP_Grid[#Data],$DD717,83),0)</f>
        <v/>
      </c>
      <c r="CH717">
        <f>IFERROR(INDEX(PP_Grid[#Data],$DD717,84),0)</f>
        <v/>
      </c>
      <c r="CI717">
        <f>IFERROR(INDEX(PP_Grid[#Data],$DD717,85),0)</f>
        <v/>
      </c>
      <c r="CJ717">
        <f>IFERROR(INDEX(PP_Grid[#Data],$DD717,86),0)</f>
        <v/>
      </c>
      <c r="CK717">
        <f>IFERROR(INDEX(PP_Grid[#Data],$DD717,87),0)</f>
        <v/>
      </c>
      <c r="CL717">
        <f>IFERROR(INDEX(PP_Grid[#Data],$DD717,88),0)</f>
        <v/>
      </c>
      <c r="CM717">
        <f>IFERROR(INDEX(PP_Grid[#Data],$DD717,89),0)</f>
        <v/>
      </c>
      <c r="CN717">
        <f>IFERROR(INDEX(PP_Grid[#Data],$DD717,90),0)</f>
        <v/>
      </c>
      <c r="CO717">
        <f>IFERROR(INDEX(PP_Grid[#Data],$DD717,91),0)</f>
        <v/>
      </c>
      <c r="CP717">
        <f>IFERROR(INDEX(PP_Grid[#Data],$DD717,92),0)</f>
        <v/>
      </c>
      <c r="CQ717">
        <f>IFERROR(INDEX(PP_Grid[#Data],$DD717,93),0)</f>
        <v/>
      </c>
      <c r="CR717">
        <f>IFERROR(INDEX(PP_Grid[#Data],$DD717,94),0)</f>
        <v/>
      </c>
      <c r="CS717">
        <f>IFERROR(INDEX(PP_Grid[#Data],$DD717,95),0)</f>
        <v/>
      </c>
      <c r="CT717">
        <f>IFERROR(INDEX(PP_Grid[#Data],$DD717,96),0)</f>
        <v/>
      </c>
      <c r="CU717">
        <f>IFERROR(INDEX(PP_Grid[#Data],$DD717,97),0)</f>
        <v/>
      </c>
      <c r="CV717">
        <f>IFERROR(INDEX(PP_Grid[#Data],$DD717,98),0)</f>
        <v/>
      </c>
      <c r="CW717">
        <f>IFERROR(INDEX(PP_Grid[#Data],$DD717,99),0)</f>
        <v/>
      </c>
      <c r="CX717">
        <f>IFERROR(INDEX(PP_Grid[#Data],$DD717,100),0)</f>
        <v/>
      </c>
      <c r="CY717">
        <f>IFERROR(INDEX(PP_Grid[#Data],$DD717,101),0)</f>
        <v/>
      </c>
      <c r="CZ717">
        <f>IFERROR(INDEX(PP_Grid[#Data],$DD717,102),0)</f>
        <v/>
      </c>
      <c r="DA717">
        <f>IFERROR(INDEX(PP_Grid[#Data],$DD717,103),0)</f>
        <v/>
      </c>
      <c r="DB717">
        <f>IFERROR(INDEX(PP_Grid[#Data],$DD717,104),0)</f>
        <v/>
      </c>
      <c r="DC717">
        <f>IFERROR(INDEX(PP_Grid[#Data],$DD717,105),0)</f>
        <v/>
      </c>
      <c r="DD717" s="7">
        <f>IFERROR(MATCH($B717,PP_Grid[Intermediate],0),99999)</f>
        <v/>
      </c>
    </row>
    <row r="718">
      <c r="B718" t="inlineStr">
        <is>
          <t>使用量(kg)</t>
        </is>
      </c>
      <c r="C718">
        <f>SUMIFS(M_BOM[RM_Qty_Per_Batch],M_BOM[Intermediate],$B717,M_BOM[Part Name],$A710)</f>
        <v/>
      </c>
      <c r="D718">
        <f>$C718*D717</f>
        <v/>
      </c>
      <c r="E718">
        <f>$C718*E717</f>
        <v/>
      </c>
      <c r="F718">
        <f>$C718*F717</f>
        <v/>
      </c>
      <c r="G718">
        <f>$C718*G717</f>
        <v/>
      </c>
      <c r="H718">
        <f>$C718*H717</f>
        <v/>
      </c>
      <c r="I718">
        <f>$C718*I717</f>
        <v/>
      </c>
      <c r="J718">
        <f>$C718*J717</f>
        <v/>
      </c>
      <c r="K718">
        <f>$C718*K717</f>
        <v/>
      </c>
      <c r="L718">
        <f>$C718*L717</f>
        <v/>
      </c>
      <c r="M718">
        <f>$C718*M717</f>
        <v/>
      </c>
      <c r="N718">
        <f>$C718*N717</f>
        <v/>
      </c>
      <c r="O718">
        <f>$C718*O717</f>
        <v/>
      </c>
      <c r="P718">
        <f>$C718*P717</f>
        <v/>
      </c>
      <c r="Q718">
        <f>$C718*Q717</f>
        <v/>
      </c>
      <c r="R718">
        <f>$C718*R717</f>
        <v/>
      </c>
      <c r="S718">
        <f>$C718*S717</f>
        <v/>
      </c>
      <c r="T718">
        <f>$C718*T717</f>
        <v/>
      </c>
      <c r="U718">
        <f>$C718*U717</f>
        <v/>
      </c>
      <c r="V718">
        <f>$C718*V717</f>
        <v/>
      </c>
      <c r="W718">
        <f>$C718*W717</f>
        <v/>
      </c>
      <c r="X718">
        <f>$C718*X717</f>
        <v/>
      </c>
      <c r="Y718">
        <f>$C718*Y717</f>
        <v/>
      </c>
      <c r="Z718">
        <f>$C718*Z717</f>
        <v/>
      </c>
      <c r="AA718">
        <f>$C718*AA717</f>
        <v/>
      </c>
      <c r="AB718">
        <f>$C718*AB717</f>
        <v/>
      </c>
      <c r="AC718">
        <f>$C718*AC717</f>
        <v/>
      </c>
      <c r="AD718">
        <f>$C718*AD717</f>
        <v/>
      </c>
      <c r="AE718">
        <f>$C718*AE717</f>
        <v/>
      </c>
      <c r="AF718">
        <f>$C718*AF717</f>
        <v/>
      </c>
      <c r="AG718">
        <f>$C718*AG717</f>
        <v/>
      </c>
      <c r="AH718">
        <f>$C718*AH717</f>
        <v/>
      </c>
      <c r="AI718">
        <f>$C718*AI717</f>
        <v/>
      </c>
      <c r="AJ718">
        <f>$C718*AJ717</f>
        <v/>
      </c>
      <c r="AK718">
        <f>$C718*AK717</f>
        <v/>
      </c>
      <c r="AL718">
        <f>$C718*AL717</f>
        <v/>
      </c>
      <c r="AM718">
        <f>$C718*AM717</f>
        <v/>
      </c>
      <c r="AN718">
        <f>$C718*AN717</f>
        <v/>
      </c>
      <c r="AO718">
        <f>$C718*AO717</f>
        <v/>
      </c>
      <c r="AP718">
        <f>$C718*AP717</f>
        <v/>
      </c>
      <c r="AQ718">
        <f>$C718*AQ717</f>
        <v/>
      </c>
      <c r="AR718">
        <f>$C718*AR717</f>
        <v/>
      </c>
      <c r="AS718">
        <f>$C718*AS717</f>
        <v/>
      </c>
      <c r="AT718">
        <f>$C718*AT717</f>
        <v/>
      </c>
      <c r="AU718">
        <f>$C718*AU717</f>
        <v/>
      </c>
      <c r="AV718">
        <f>$C718*AV717</f>
        <v/>
      </c>
      <c r="AW718">
        <f>$C718*AW717</f>
        <v/>
      </c>
      <c r="AX718">
        <f>$C718*AX717</f>
        <v/>
      </c>
      <c r="AY718">
        <f>$C718*AY717</f>
        <v/>
      </c>
      <c r="AZ718">
        <f>$C718*AZ717</f>
        <v/>
      </c>
      <c r="BA718">
        <f>$C718*BA717</f>
        <v/>
      </c>
      <c r="BB718">
        <f>$C718*BB717</f>
        <v/>
      </c>
      <c r="BC718">
        <f>$C718*BC717</f>
        <v/>
      </c>
      <c r="BD718">
        <f>$C718*BD717</f>
        <v/>
      </c>
      <c r="BE718">
        <f>$C718*BE717</f>
        <v/>
      </c>
      <c r="BF718">
        <f>$C718*BF717</f>
        <v/>
      </c>
      <c r="BG718">
        <f>$C718*BG717</f>
        <v/>
      </c>
      <c r="BH718">
        <f>$C718*BH717</f>
        <v/>
      </c>
      <c r="BI718">
        <f>$C718*BI717</f>
        <v/>
      </c>
      <c r="BJ718">
        <f>$C718*BJ717</f>
        <v/>
      </c>
      <c r="BK718">
        <f>$C718*BK717</f>
        <v/>
      </c>
      <c r="BL718">
        <f>$C718*BL717</f>
        <v/>
      </c>
      <c r="BM718">
        <f>$C718*BM717</f>
        <v/>
      </c>
      <c r="BN718">
        <f>$C718*BN717</f>
        <v/>
      </c>
      <c r="BO718">
        <f>$C718*BO717</f>
        <v/>
      </c>
      <c r="BP718">
        <f>$C718*BP717</f>
        <v/>
      </c>
      <c r="BQ718">
        <f>$C718*BQ717</f>
        <v/>
      </c>
      <c r="BR718">
        <f>$C718*BR717</f>
        <v/>
      </c>
      <c r="BS718">
        <f>$C718*BS717</f>
        <v/>
      </c>
      <c r="BT718">
        <f>$C718*BT717</f>
        <v/>
      </c>
      <c r="BU718">
        <f>$C718*BU717</f>
        <v/>
      </c>
      <c r="BV718">
        <f>$C718*BV717</f>
        <v/>
      </c>
      <c r="BW718">
        <f>$C718*BW717</f>
        <v/>
      </c>
      <c r="BX718">
        <f>$C718*BX717</f>
        <v/>
      </c>
      <c r="BY718">
        <f>$C718*BY717</f>
        <v/>
      </c>
      <c r="BZ718">
        <f>$C718*BZ717</f>
        <v/>
      </c>
      <c r="CA718">
        <f>$C718*CA717</f>
        <v/>
      </c>
      <c r="CB718">
        <f>$C718*CB717</f>
        <v/>
      </c>
      <c r="CC718">
        <f>$C718*CC717</f>
        <v/>
      </c>
      <c r="CD718">
        <f>$C718*CD717</f>
        <v/>
      </c>
      <c r="CE718">
        <f>$C718*CE717</f>
        <v/>
      </c>
      <c r="CF718">
        <f>$C718*CF717</f>
        <v/>
      </c>
      <c r="CG718">
        <f>$C718*CG717</f>
        <v/>
      </c>
      <c r="CH718">
        <f>$C718*CH717</f>
        <v/>
      </c>
      <c r="CI718">
        <f>$C718*CI717</f>
        <v/>
      </c>
      <c r="CJ718">
        <f>$C718*CJ717</f>
        <v/>
      </c>
      <c r="CK718">
        <f>$C718*CK717</f>
        <v/>
      </c>
      <c r="CL718">
        <f>$C718*CL717</f>
        <v/>
      </c>
      <c r="CM718">
        <f>$C718*CM717</f>
        <v/>
      </c>
      <c r="CN718">
        <f>$C718*CN717</f>
        <v/>
      </c>
      <c r="CO718">
        <f>$C718*CO717</f>
        <v/>
      </c>
      <c r="CP718">
        <f>$C718*CP717</f>
        <v/>
      </c>
      <c r="CQ718">
        <f>$C718*CQ717</f>
        <v/>
      </c>
      <c r="CR718">
        <f>$C718*CR717</f>
        <v/>
      </c>
      <c r="CS718">
        <f>$C718*CS717</f>
        <v/>
      </c>
      <c r="CT718">
        <f>$C718*CT717</f>
        <v/>
      </c>
      <c r="CU718">
        <f>$C718*CU717</f>
        <v/>
      </c>
      <c r="CV718">
        <f>$C718*CV717</f>
        <v/>
      </c>
      <c r="CW718">
        <f>$C718*CW717</f>
        <v/>
      </c>
      <c r="CX718">
        <f>$C718*CX717</f>
        <v/>
      </c>
      <c r="CY718">
        <f>$C718*CY717</f>
        <v/>
      </c>
      <c r="CZ718">
        <f>$C718*CZ717</f>
        <v/>
      </c>
      <c r="DA718">
        <f>$C718*DA717</f>
        <v/>
      </c>
      <c r="DB718">
        <f>$C718*DB717</f>
        <v/>
      </c>
      <c r="DC718">
        <f>$C718*DC717</f>
        <v/>
      </c>
    </row>
    <row r="719">
      <c r="B719" t="inlineStr">
        <is>
          <t>TSP-655</t>
        </is>
      </c>
      <c r="C719" t="inlineStr">
        <is>
          <t>No. of batches</t>
        </is>
      </c>
      <c r="D719">
        <f>IFERROR(INDEX(PP_Grid[#Data],$DD719,2),0)</f>
        <v/>
      </c>
      <c r="E719">
        <f>IFERROR(INDEX(PP_Grid[#Data],$DD719,3),0)</f>
        <v/>
      </c>
      <c r="F719">
        <f>IFERROR(INDEX(PP_Grid[#Data],$DD719,4),0)</f>
        <v/>
      </c>
      <c r="G719">
        <f>IFERROR(INDEX(PP_Grid[#Data],$DD719,5),0)</f>
        <v/>
      </c>
      <c r="H719">
        <f>IFERROR(INDEX(PP_Grid[#Data],$DD719,6),0)</f>
        <v/>
      </c>
      <c r="I719">
        <f>IFERROR(INDEX(PP_Grid[#Data],$DD719,7),0)</f>
        <v/>
      </c>
      <c r="J719">
        <f>IFERROR(INDEX(PP_Grid[#Data],$DD719,8),0)</f>
        <v/>
      </c>
      <c r="K719">
        <f>IFERROR(INDEX(PP_Grid[#Data],$DD719,9),0)</f>
        <v/>
      </c>
      <c r="L719">
        <f>IFERROR(INDEX(PP_Grid[#Data],$DD719,10),0)</f>
        <v/>
      </c>
      <c r="M719">
        <f>IFERROR(INDEX(PP_Grid[#Data],$DD719,11),0)</f>
        <v/>
      </c>
      <c r="N719">
        <f>IFERROR(INDEX(PP_Grid[#Data],$DD719,12),0)</f>
        <v/>
      </c>
      <c r="O719">
        <f>IFERROR(INDEX(PP_Grid[#Data],$DD719,13),0)</f>
        <v/>
      </c>
      <c r="P719">
        <f>IFERROR(INDEX(PP_Grid[#Data],$DD719,14),0)</f>
        <v/>
      </c>
      <c r="Q719">
        <f>IFERROR(INDEX(PP_Grid[#Data],$DD719,15),0)</f>
        <v/>
      </c>
      <c r="R719">
        <f>IFERROR(INDEX(PP_Grid[#Data],$DD719,16),0)</f>
        <v/>
      </c>
      <c r="S719">
        <f>IFERROR(INDEX(PP_Grid[#Data],$DD719,17),0)</f>
        <v/>
      </c>
      <c r="T719">
        <f>IFERROR(INDEX(PP_Grid[#Data],$DD719,18),0)</f>
        <v/>
      </c>
      <c r="U719">
        <f>IFERROR(INDEX(PP_Grid[#Data],$DD719,19),0)</f>
        <v/>
      </c>
      <c r="V719">
        <f>IFERROR(INDEX(PP_Grid[#Data],$DD719,20),0)</f>
        <v/>
      </c>
      <c r="W719">
        <f>IFERROR(INDEX(PP_Grid[#Data],$DD719,21),0)</f>
        <v/>
      </c>
      <c r="X719">
        <f>IFERROR(INDEX(PP_Grid[#Data],$DD719,22),0)</f>
        <v/>
      </c>
      <c r="Y719">
        <f>IFERROR(INDEX(PP_Grid[#Data],$DD719,23),0)</f>
        <v/>
      </c>
      <c r="Z719">
        <f>IFERROR(INDEX(PP_Grid[#Data],$DD719,24),0)</f>
        <v/>
      </c>
      <c r="AA719">
        <f>IFERROR(INDEX(PP_Grid[#Data],$DD719,25),0)</f>
        <v/>
      </c>
      <c r="AB719">
        <f>IFERROR(INDEX(PP_Grid[#Data],$DD719,26),0)</f>
        <v/>
      </c>
      <c r="AC719">
        <f>IFERROR(INDEX(PP_Grid[#Data],$DD719,27),0)</f>
        <v/>
      </c>
      <c r="AD719">
        <f>IFERROR(INDEX(PP_Grid[#Data],$DD719,28),0)</f>
        <v/>
      </c>
      <c r="AE719">
        <f>IFERROR(INDEX(PP_Grid[#Data],$DD719,29),0)</f>
        <v/>
      </c>
      <c r="AF719">
        <f>IFERROR(INDEX(PP_Grid[#Data],$DD719,30),0)</f>
        <v/>
      </c>
      <c r="AG719">
        <f>IFERROR(INDEX(PP_Grid[#Data],$DD719,31),0)</f>
        <v/>
      </c>
      <c r="AH719">
        <f>IFERROR(INDEX(PP_Grid[#Data],$DD719,32),0)</f>
        <v/>
      </c>
      <c r="AI719">
        <f>IFERROR(INDEX(PP_Grid[#Data],$DD719,33),0)</f>
        <v/>
      </c>
      <c r="AJ719">
        <f>IFERROR(INDEX(PP_Grid[#Data],$DD719,34),0)</f>
        <v/>
      </c>
      <c r="AK719">
        <f>IFERROR(INDEX(PP_Grid[#Data],$DD719,35),0)</f>
        <v/>
      </c>
      <c r="AL719">
        <f>IFERROR(INDEX(PP_Grid[#Data],$DD719,36),0)</f>
        <v/>
      </c>
      <c r="AM719">
        <f>IFERROR(INDEX(PP_Grid[#Data],$DD719,37),0)</f>
        <v/>
      </c>
      <c r="AN719">
        <f>IFERROR(INDEX(PP_Grid[#Data],$DD719,38),0)</f>
        <v/>
      </c>
      <c r="AO719">
        <f>IFERROR(INDEX(PP_Grid[#Data],$DD719,39),0)</f>
        <v/>
      </c>
      <c r="AP719">
        <f>IFERROR(INDEX(PP_Grid[#Data],$DD719,40),0)</f>
        <v/>
      </c>
      <c r="AQ719">
        <f>IFERROR(INDEX(PP_Grid[#Data],$DD719,41),0)</f>
        <v/>
      </c>
      <c r="AR719">
        <f>IFERROR(INDEX(PP_Grid[#Data],$DD719,42),0)</f>
        <v/>
      </c>
      <c r="AS719">
        <f>IFERROR(INDEX(PP_Grid[#Data],$DD719,43),0)</f>
        <v/>
      </c>
      <c r="AT719">
        <f>IFERROR(INDEX(PP_Grid[#Data],$DD719,44),0)</f>
        <v/>
      </c>
      <c r="AU719">
        <f>IFERROR(INDEX(PP_Grid[#Data],$DD719,45),0)</f>
        <v/>
      </c>
      <c r="AV719">
        <f>IFERROR(INDEX(PP_Grid[#Data],$DD719,46),0)</f>
        <v/>
      </c>
      <c r="AW719">
        <f>IFERROR(INDEX(PP_Grid[#Data],$DD719,47),0)</f>
        <v/>
      </c>
      <c r="AX719">
        <f>IFERROR(INDEX(PP_Grid[#Data],$DD719,48),0)</f>
        <v/>
      </c>
      <c r="AY719">
        <f>IFERROR(INDEX(PP_Grid[#Data],$DD719,49),0)</f>
        <v/>
      </c>
      <c r="AZ719">
        <f>IFERROR(INDEX(PP_Grid[#Data],$DD719,50),0)</f>
        <v/>
      </c>
      <c r="BA719">
        <f>IFERROR(INDEX(PP_Grid[#Data],$DD719,51),0)</f>
        <v/>
      </c>
      <c r="BB719">
        <f>IFERROR(INDEX(PP_Grid[#Data],$DD719,52),0)</f>
        <v/>
      </c>
      <c r="BC719">
        <f>IFERROR(INDEX(PP_Grid[#Data],$DD719,53),0)</f>
        <v/>
      </c>
      <c r="BD719">
        <f>IFERROR(INDEX(PP_Grid[#Data],$DD719,54),0)</f>
        <v/>
      </c>
      <c r="BE719">
        <f>IFERROR(INDEX(PP_Grid[#Data],$DD719,55),0)</f>
        <v/>
      </c>
      <c r="BF719">
        <f>IFERROR(INDEX(PP_Grid[#Data],$DD719,56),0)</f>
        <v/>
      </c>
      <c r="BG719">
        <f>IFERROR(INDEX(PP_Grid[#Data],$DD719,57),0)</f>
        <v/>
      </c>
      <c r="BH719">
        <f>IFERROR(INDEX(PP_Grid[#Data],$DD719,58),0)</f>
        <v/>
      </c>
      <c r="BI719">
        <f>IFERROR(INDEX(PP_Grid[#Data],$DD719,59),0)</f>
        <v/>
      </c>
      <c r="BJ719">
        <f>IFERROR(INDEX(PP_Grid[#Data],$DD719,60),0)</f>
        <v/>
      </c>
      <c r="BK719">
        <f>IFERROR(INDEX(PP_Grid[#Data],$DD719,61),0)</f>
        <v/>
      </c>
      <c r="BL719">
        <f>IFERROR(INDEX(PP_Grid[#Data],$DD719,62),0)</f>
        <v/>
      </c>
      <c r="BM719">
        <f>IFERROR(INDEX(PP_Grid[#Data],$DD719,63),0)</f>
        <v/>
      </c>
      <c r="BN719">
        <f>IFERROR(INDEX(PP_Grid[#Data],$DD719,64),0)</f>
        <v/>
      </c>
      <c r="BO719">
        <f>IFERROR(INDEX(PP_Grid[#Data],$DD719,65),0)</f>
        <v/>
      </c>
      <c r="BP719">
        <f>IFERROR(INDEX(PP_Grid[#Data],$DD719,66),0)</f>
        <v/>
      </c>
      <c r="BQ719">
        <f>IFERROR(INDEX(PP_Grid[#Data],$DD719,67),0)</f>
        <v/>
      </c>
      <c r="BR719">
        <f>IFERROR(INDEX(PP_Grid[#Data],$DD719,68),0)</f>
        <v/>
      </c>
      <c r="BS719">
        <f>IFERROR(INDEX(PP_Grid[#Data],$DD719,69),0)</f>
        <v/>
      </c>
      <c r="BT719">
        <f>IFERROR(INDEX(PP_Grid[#Data],$DD719,70),0)</f>
        <v/>
      </c>
      <c r="BU719">
        <f>IFERROR(INDEX(PP_Grid[#Data],$DD719,71),0)</f>
        <v/>
      </c>
      <c r="BV719">
        <f>IFERROR(INDEX(PP_Grid[#Data],$DD719,72),0)</f>
        <v/>
      </c>
      <c r="BW719">
        <f>IFERROR(INDEX(PP_Grid[#Data],$DD719,73),0)</f>
        <v/>
      </c>
      <c r="BX719">
        <f>IFERROR(INDEX(PP_Grid[#Data],$DD719,74),0)</f>
        <v/>
      </c>
      <c r="BY719">
        <f>IFERROR(INDEX(PP_Grid[#Data],$DD719,75),0)</f>
        <v/>
      </c>
      <c r="BZ719">
        <f>IFERROR(INDEX(PP_Grid[#Data],$DD719,76),0)</f>
        <v/>
      </c>
      <c r="CA719">
        <f>IFERROR(INDEX(PP_Grid[#Data],$DD719,77),0)</f>
        <v/>
      </c>
      <c r="CB719">
        <f>IFERROR(INDEX(PP_Grid[#Data],$DD719,78),0)</f>
        <v/>
      </c>
      <c r="CC719">
        <f>IFERROR(INDEX(PP_Grid[#Data],$DD719,79),0)</f>
        <v/>
      </c>
      <c r="CD719">
        <f>IFERROR(INDEX(PP_Grid[#Data],$DD719,80),0)</f>
        <v/>
      </c>
      <c r="CE719">
        <f>IFERROR(INDEX(PP_Grid[#Data],$DD719,81),0)</f>
        <v/>
      </c>
      <c r="CF719">
        <f>IFERROR(INDEX(PP_Grid[#Data],$DD719,82),0)</f>
        <v/>
      </c>
      <c r="CG719">
        <f>IFERROR(INDEX(PP_Grid[#Data],$DD719,83),0)</f>
        <v/>
      </c>
      <c r="CH719">
        <f>IFERROR(INDEX(PP_Grid[#Data],$DD719,84),0)</f>
        <v/>
      </c>
      <c r="CI719">
        <f>IFERROR(INDEX(PP_Grid[#Data],$DD719,85),0)</f>
        <v/>
      </c>
      <c r="CJ719">
        <f>IFERROR(INDEX(PP_Grid[#Data],$DD719,86),0)</f>
        <v/>
      </c>
      <c r="CK719">
        <f>IFERROR(INDEX(PP_Grid[#Data],$DD719,87),0)</f>
        <v/>
      </c>
      <c r="CL719">
        <f>IFERROR(INDEX(PP_Grid[#Data],$DD719,88),0)</f>
        <v/>
      </c>
      <c r="CM719">
        <f>IFERROR(INDEX(PP_Grid[#Data],$DD719,89),0)</f>
        <v/>
      </c>
      <c r="CN719">
        <f>IFERROR(INDEX(PP_Grid[#Data],$DD719,90),0)</f>
        <v/>
      </c>
      <c r="CO719">
        <f>IFERROR(INDEX(PP_Grid[#Data],$DD719,91),0)</f>
        <v/>
      </c>
      <c r="CP719">
        <f>IFERROR(INDEX(PP_Grid[#Data],$DD719,92),0)</f>
        <v/>
      </c>
      <c r="CQ719">
        <f>IFERROR(INDEX(PP_Grid[#Data],$DD719,93),0)</f>
        <v/>
      </c>
      <c r="CR719">
        <f>IFERROR(INDEX(PP_Grid[#Data],$DD719,94),0)</f>
        <v/>
      </c>
      <c r="CS719">
        <f>IFERROR(INDEX(PP_Grid[#Data],$DD719,95),0)</f>
        <v/>
      </c>
      <c r="CT719">
        <f>IFERROR(INDEX(PP_Grid[#Data],$DD719,96),0)</f>
        <v/>
      </c>
      <c r="CU719">
        <f>IFERROR(INDEX(PP_Grid[#Data],$DD719,97),0)</f>
        <v/>
      </c>
      <c r="CV719">
        <f>IFERROR(INDEX(PP_Grid[#Data],$DD719,98),0)</f>
        <v/>
      </c>
      <c r="CW719">
        <f>IFERROR(INDEX(PP_Grid[#Data],$DD719,99),0)</f>
        <v/>
      </c>
      <c r="CX719">
        <f>IFERROR(INDEX(PP_Grid[#Data],$DD719,100),0)</f>
        <v/>
      </c>
      <c r="CY719">
        <f>IFERROR(INDEX(PP_Grid[#Data],$DD719,101),0)</f>
        <v/>
      </c>
      <c r="CZ719">
        <f>IFERROR(INDEX(PP_Grid[#Data],$DD719,102),0)</f>
        <v/>
      </c>
      <c r="DA719">
        <f>IFERROR(INDEX(PP_Grid[#Data],$DD719,103),0)</f>
        <v/>
      </c>
      <c r="DB719">
        <f>IFERROR(INDEX(PP_Grid[#Data],$DD719,104),0)</f>
        <v/>
      </c>
      <c r="DC719">
        <f>IFERROR(INDEX(PP_Grid[#Data],$DD719,105),0)</f>
        <v/>
      </c>
      <c r="DD719" s="7">
        <f>IFERROR(MATCH($B719,PP_Grid[Intermediate],0),99999)</f>
        <v/>
      </c>
    </row>
    <row r="720">
      <c r="B720" t="inlineStr">
        <is>
          <t>使用量(kg)</t>
        </is>
      </c>
      <c r="C720">
        <f>SUMIFS(M_BOM[RM_Qty_Per_Batch],M_BOM[Intermediate],$B719,M_BOM[Part Name],$A710)</f>
        <v/>
      </c>
      <c r="D720">
        <f>$C720*D719</f>
        <v/>
      </c>
      <c r="E720">
        <f>$C720*E719</f>
        <v/>
      </c>
      <c r="F720">
        <f>$C720*F719</f>
        <v/>
      </c>
      <c r="G720">
        <f>$C720*G719</f>
        <v/>
      </c>
      <c r="H720">
        <f>$C720*H719</f>
        <v/>
      </c>
      <c r="I720">
        <f>$C720*I719</f>
        <v/>
      </c>
      <c r="J720">
        <f>$C720*J719</f>
        <v/>
      </c>
      <c r="K720">
        <f>$C720*K719</f>
        <v/>
      </c>
      <c r="L720">
        <f>$C720*L719</f>
        <v/>
      </c>
      <c r="M720">
        <f>$C720*M719</f>
        <v/>
      </c>
      <c r="N720">
        <f>$C720*N719</f>
        <v/>
      </c>
      <c r="O720">
        <f>$C720*O719</f>
        <v/>
      </c>
      <c r="P720">
        <f>$C720*P719</f>
        <v/>
      </c>
      <c r="Q720">
        <f>$C720*Q719</f>
        <v/>
      </c>
      <c r="R720">
        <f>$C720*R719</f>
        <v/>
      </c>
      <c r="S720">
        <f>$C720*S719</f>
        <v/>
      </c>
      <c r="T720">
        <f>$C720*T719</f>
        <v/>
      </c>
      <c r="U720">
        <f>$C720*U719</f>
        <v/>
      </c>
      <c r="V720">
        <f>$C720*V719</f>
        <v/>
      </c>
      <c r="W720">
        <f>$C720*W719</f>
        <v/>
      </c>
      <c r="X720">
        <f>$C720*X719</f>
        <v/>
      </c>
      <c r="Y720">
        <f>$C720*Y719</f>
        <v/>
      </c>
      <c r="Z720">
        <f>$C720*Z719</f>
        <v/>
      </c>
      <c r="AA720">
        <f>$C720*AA719</f>
        <v/>
      </c>
      <c r="AB720">
        <f>$C720*AB719</f>
        <v/>
      </c>
      <c r="AC720">
        <f>$C720*AC719</f>
        <v/>
      </c>
      <c r="AD720">
        <f>$C720*AD719</f>
        <v/>
      </c>
      <c r="AE720">
        <f>$C720*AE719</f>
        <v/>
      </c>
      <c r="AF720">
        <f>$C720*AF719</f>
        <v/>
      </c>
      <c r="AG720">
        <f>$C720*AG719</f>
        <v/>
      </c>
      <c r="AH720">
        <f>$C720*AH719</f>
        <v/>
      </c>
      <c r="AI720">
        <f>$C720*AI719</f>
        <v/>
      </c>
      <c r="AJ720">
        <f>$C720*AJ719</f>
        <v/>
      </c>
      <c r="AK720">
        <f>$C720*AK719</f>
        <v/>
      </c>
      <c r="AL720">
        <f>$C720*AL719</f>
        <v/>
      </c>
      <c r="AM720">
        <f>$C720*AM719</f>
        <v/>
      </c>
      <c r="AN720">
        <f>$C720*AN719</f>
        <v/>
      </c>
      <c r="AO720">
        <f>$C720*AO719</f>
        <v/>
      </c>
      <c r="AP720">
        <f>$C720*AP719</f>
        <v/>
      </c>
      <c r="AQ720">
        <f>$C720*AQ719</f>
        <v/>
      </c>
      <c r="AR720">
        <f>$C720*AR719</f>
        <v/>
      </c>
      <c r="AS720">
        <f>$C720*AS719</f>
        <v/>
      </c>
      <c r="AT720">
        <f>$C720*AT719</f>
        <v/>
      </c>
      <c r="AU720">
        <f>$C720*AU719</f>
        <v/>
      </c>
      <c r="AV720">
        <f>$C720*AV719</f>
        <v/>
      </c>
      <c r="AW720">
        <f>$C720*AW719</f>
        <v/>
      </c>
      <c r="AX720">
        <f>$C720*AX719</f>
        <v/>
      </c>
      <c r="AY720">
        <f>$C720*AY719</f>
        <v/>
      </c>
      <c r="AZ720">
        <f>$C720*AZ719</f>
        <v/>
      </c>
      <c r="BA720">
        <f>$C720*BA719</f>
        <v/>
      </c>
      <c r="BB720">
        <f>$C720*BB719</f>
        <v/>
      </c>
      <c r="BC720">
        <f>$C720*BC719</f>
        <v/>
      </c>
      <c r="BD720">
        <f>$C720*BD719</f>
        <v/>
      </c>
      <c r="BE720">
        <f>$C720*BE719</f>
        <v/>
      </c>
      <c r="BF720">
        <f>$C720*BF719</f>
        <v/>
      </c>
      <c r="BG720">
        <f>$C720*BG719</f>
        <v/>
      </c>
      <c r="BH720">
        <f>$C720*BH719</f>
        <v/>
      </c>
      <c r="BI720">
        <f>$C720*BI719</f>
        <v/>
      </c>
      <c r="BJ720">
        <f>$C720*BJ719</f>
        <v/>
      </c>
      <c r="BK720">
        <f>$C720*BK719</f>
        <v/>
      </c>
      <c r="BL720">
        <f>$C720*BL719</f>
        <v/>
      </c>
      <c r="BM720">
        <f>$C720*BM719</f>
        <v/>
      </c>
      <c r="BN720">
        <f>$C720*BN719</f>
        <v/>
      </c>
      <c r="BO720">
        <f>$C720*BO719</f>
        <v/>
      </c>
      <c r="BP720">
        <f>$C720*BP719</f>
        <v/>
      </c>
      <c r="BQ720">
        <f>$C720*BQ719</f>
        <v/>
      </c>
      <c r="BR720">
        <f>$C720*BR719</f>
        <v/>
      </c>
      <c r="BS720">
        <f>$C720*BS719</f>
        <v/>
      </c>
      <c r="BT720">
        <f>$C720*BT719</f>
        <v/>
      </c>
      <c r="BU720">
        <f>$C720*BU719</f>
        <v/>
      </c>
      <c r="BV720">
        <f>$C720*BV719</f>
        <v/>
      </c>
      <c r="BW720">
        <f>$C720*BW719</f>
        <v/>
      </c>
      <c r="BX720">
        <f>$C720*BX719</f>
        <v/>
      </c>
      <c r="BY720">
        <f>$C720*BY719</f>
        <v/>
      </c>
      <c r="BZ720">
        <f>$C720*BZ719</f>
        <v/>
      </c>
      <c r="CA720">
        <f>$C720*CA719</f>
        <v/>
      </c>
      <c r="CB720">
        <f>$C720*CB719</f>
        <v/>
      </c>
      <c r="CC720">
        <f>$C720*CC719</f>
        <v/>
      </c>
      <c r="CD720">
        <f>$C720*CD719</f>
        <v/>
      </c>
      <c r="CE720">
        <f>$C720*CE719</f>
        <v/>
      </c>
      <c r="CF720">
        <f>$C720*CF719</f>
        <v/>
      </c>
      <c r="CG720">
        <f>$C720*CG719</f>
        <v/>
      </c>
      <c r="CH720">
        <f>$C720*CH719</f>
        <v/>
      </c>
      <c r="CI720">
        <f>$C720*CI719</f>
        <v/>
      </c>
      <c r="CJ720">
        <f>$C720*CJ719</f>
        <v/>
      </c>
      <c r="CK720">
        <f>$C720*CK719</f>
        <v/>
      </c>
      <c r="CL720">
        <f>$C720*CL719</f>
        <v/>
      </c>
      <c r="CM720">
        <f>$C720*CM719</f>
        <v/>
      </c>
      <c r="CN720">
        <f>$C720*CN719</f>
        <v/>
      </c>
      <c r="CO720">
        <f>$C720*CO719</f>
        <v/>
      </c>
      <c r="CP720">
        <f>$C720*CP719</f>
        <v/>
      </c>
      <c r="CQ720">
        <f>$C720*CQ719</f>
        <v/>
      </c>
      <c r="CR720">
        <f>$C720*CR719</f>
        <v/>
      </c>
      <c r="CS720">
        <f>$C720*CS719</f>
        <v/>
      </c>
      <c r="CT720">
        <f>$C720*CT719</f>
        <v/>
      </c>
      <c r="CU720">
        <f>$C720*CU719</f>
        <v/>
      </c>
      <c r="CV720">
        <f>$C720*CV719</f>
        <v/>
      </c>
      <c r="CW720">
        <f>$C720*CW719</f>
        <v/>
      </c>
      <c r="CX720">
        <f>$C720*CX719</f>
        <v/>
      </c>
      <c r="CY720">
        <f>$C720*CY719</f>
        <v/>
      </c>
      <c r="CZ720">
        <f>$C720*CZ719</f>
        <v/>
      </c>
      <c r="DA720">
        <f>$C720*DA719</f>
        <v/>
      </c>
      <c r="DB720">
        <f>$C720*DB719</f>
        <v/>
      </c>
      <c r="DC720">
        <f>$C720*DC719</f>
        <v/>
      </c>
    </row>
    <row r="721">
      <c r="B721" t="inlineStr">
        <is>
          <t>TSP-903</t>
        </is>
      </c>
      <c r="C721" t="inlineStr">
        <is>
          <t>No. of batches</t>
        </is>
      </c>
      <c r="D721">
        <f>IFERROR(INDEX(PP_Grid[#Data],$DD721,2),0)</f>
        <v/>
      </c>
      <c r="E721">
        <f>IFERROR(INDEX(PP_Grid[#Data],$DD721,3),0)</f>
        <v/>
      </c>
      <c r="F721">
        <f>IFERROR(INDEX(PP_Grid[#Data],$DD721,4),0)</f>
        <v/>
      </c>
      <c r="G721">
        <f>IFERROR(INDEX(PP_Grid[#Data],$DD721,5),0)</f>
        <v/>
      </c>
      <c r="H721">
        <f>IFERROR(INDEX(PP_Grid[#Data],$DD721,6),0)</f>
        <v/>
      </c>
      <c r="I721">
        <f>IFERROR(INDEX(PP_Grid[#Data],$DD721,7),0)</f>
        <v/>
      </c>
      <c r="J721">
        <f>IFERROR(INDEX(PP_Grid[#Data],$DD721,8),0)</f>
        <v/>
      </c>
      <c r="K721">
        <f>IFERROR(INDEX(PP_Grid[#Data],$DD721,9),0)</f>
        <v/>
      </c>
      <c r="L721">
        <f>IFERROR(INDEX(PP_Grid[#Data],$DD721,10),0)</f>
        <v/>
      </c>
      <c r="M721">
        <f>IFERROR(INDEX(PP_Grid[#Data],$DD721,11),0)</f>
        <v/>
      </c>
      <c r="N721">
        <f>IFERROR(INDEX(PP_Grid[#Data],$DD721,12),0)</f>
        <v/>
      </c>
      <c r="O721">
        <f>IFERROR(INDEX(PP_Grid[#Data],$DD721,13),0)</f>
        <v/>
      </c>
      <c r="P721">
        <f>IFERROR(INDEX(PP_Grid[#Data],$DD721,14),0)</f>
        <v/>
      </c>
      <c r="Q721">
        <f>IFERROR(INDEX(PP_Grid[#Data],$DD721,15),0)</f>
        <v/>
      </c>
      <c r="R721">
        <f>IFERROR(INDEX(PP_Grid[#Data],$DD721,16),0)</f>
        <v/>
      </c>
      <c r="S721">
        <f>IFERROR(INDEX(PP_Grid[#Data],$DD721,17),0)</f>
        <v/>
      </c>
      <c r="T721">
        <f>IFERROR(INDEX(PP_Grid[#Data],$DD721,18),0)</f>
        <v/>
      </c>
      <c r="U721">
        <f>IFERROR(INDEX(PP_Grid[#Data],$DD721,19),0)</f>
        <v/>
      </c>
      <c r="V721">
        <f>IFERROR(INDEX(PP_Grid[#Data],$DD721,20),0)</f>
        <v/>
      </c>
      <c r="W721">
        <f>IFERROR(INDEX(PP_Grid[#Data],$DD721,21),0)</f>
        <v/>
      </c>
      <c r="X721">
        <f>IFERROR(INDEX(PP_Grid[#Data],$DD721,22),0)</f>
        <v/>
      </c>
      <c r="Y721">
        <f>IFERROR(INDEX(PP_Grid[#Data],$DD721,23),0)</f>
        <v/>
      </c>
      <c r="Z721">
        <f>IFERROR(INDEX(PP_Grid[#Data],$DD721,24),0)</f>
        <v/>
      </c>
      <c r="AA721">
        <f>IFERROR(INDEX(PP_Grid[#Data],$DD721,25),0)</f>
        <v/>
      </c>
      <c r="AB721">
        <f>IFERROR(INDEX(PP_Grid[#Data],$DD721,26),0)</f>
        <v/>
      </c>
      <c r="AC721">
        <f>IFERROR(INDEX(PP_Grid[#Data],$DD721,27),0)</f>
        <v/>
      </c>
      <c r="AD721">
        <f>IFERROR(INDEX(PP_Grid[#Data],$DD721,28),0)</f>
        <v/>
      </c>
      <c r="AE721">
        <f>IFERROR(INDEX(PP_Grid[#Data],$DD721,29),0)</f>
        <v/>
      </c>
      <c r="AF721">
        <f>IFERROR(INDEX(PP_Grid[#Data],$DD721,30),0)</f>
        <v/>
      </c>
      <c r="AG721">
        <f>IFERROR(INDEX(PP_Grid[#Data],$DD721,31),0)</f>
        <v/>
      </c>
      <c r="AH721">
        <f>IFERROR(INDEX(PP_Grid[#Data],$DD721,32),0)</f>
        <v/>
      </c>
      <c r="AI721">
        <f>IFERROR(INDEX(PP_Grid[#Data],$DD721,33),0)</f>
        <v/>
      </c>
      <c r="AJ721">
        <f>IFERROR(INDEX(PP_Grid[#Data],$DD721,34),0)</f>
        <v/>
      </c>
      <c r="AK721">
        <f>IFERROR(INDEX(PP_Grid[#Data],$DD721,35),0)</f>
        <v/>
      </c>
      <c r="AL721">
        <f>IFERROR(INDEX(PP_Grid[#Data],$DD721,36),0)</f>
        <v/>
      </c>
      <c r="AM721">
        <f>IFERROR(INDEX(PP_Grid[#Data],$DD721,37),0)</f>
        <v/>
      </c>
      <c r="AN721">
        <f>IFERROR(INDEX(PP_Grid[#Data],$DD721,38),0)</f>
        <v/>
      </c>
      <c r="AO721">
        <f>IFERROR(INDEX(PP_Grid[#Data],$DD721,39),0)</f>
        <v/>
      </c>
      <c r="AP721">
        <f>IFERROR(INDEX(PP_Grid[#Data],$DD721,40),0)</f>
        <v/>
      </c>
      <c r="AQ721">
        <f>IFERROR(INDEX(PP_Grid[#Data],$DD721,41),0)</f>
        <v/>
      </c>
      <c r="AR721">
        <f>IFERROR(INDEX(PP_Grid[#Data],$DD721,42),0)</f>
        <v/>
      </c>
      <c r="AS721">
        <f>IFERROR(INDEX(PP_Grid[#Data],$DD721,43),0)</f>
        <v/>
      </c>
      <c r="AT721">
        <f>IFERROR(INDEX(PP_Grid[#Data],$DD721,44),0)</f>
        <v/>
      </c>
      <c r="AU721">
        <f>IFERROR(INDEX(PP_Grid[#Data],$DD721,45),0)</f>
        <v/>
      </c>
      <c r="AV721">
        <f>IFERROR(INDEX(PP_Grid[#Data],$DD721,46),0)</f>
        <v/>
      </c>
      <c r="AW721">
        <f>IFERROR(INDEX(PP_Grid[#Data],$DD721,47),0)</f>
        <v/>
      </c>
      <c r="AX721">
        <f>IFERROR(INDEX(PP_Grid[#Data],$DD721,48),0)</f>
        <v/>
      </c>
      <c r="AY721">
        <f>IFERROR(INDEX(PP_Grid[#Data],$DD721,49),0)</f>
        <v/>
      </c>
      <c r="AZ721">
        <f>IFERROR(INDEX(PP_Grid[#Data],$DD721,50),0)</f>
        <v/>
      </c>
      <c r="BA721">
        <f>IFERROR(INDEX(PP_Grid[#Data],$DD721,51),0)</f>
        <v/>
      </c>
      <c r="BB721">
        <f>IFERROR(INDEX(PP_Grid[#Data],$DD721,52),0)</f>
        <v/>
      </c>
      <c r="BC721">
        <f>IFERROR(INDEX(PP_Grid[#Data],$DD721,53),0)</f>
        <v/>
      </c>
      <c r="BD721">
        <f>IFERROR(INDEX(PP_Grid[#Data],$DD721,54),0)</f>
        <v/>
      </c>
      <c r="BE721">
        <f>IFERROR(INDEX(PP_Grid[#Data],$DD721,55),0)</f>
        <v/>
      </c>
      <c r="BF721">
        <f>IFERROR(INDEX(PP_Grid[#Data],$DD721,56),0)</f>
        <v/>
      </c>
      <c r="BG721">
        <f>IFERROR(INDEX(PP_Grid[#Data],$DD721,57),0)</f>
        <v/>
      </c>
      <c r="BH721">
        <f>IFERROR(INDEX(PP_Grid[#Data],$DD721,58),0)</f>
        <v/>
      </c>
      <c r="BI721">
        <f>IFERROR(INDEX(PP_Grid[#Data],$DD721,59),0)</f>
        <v/>
      </c>
      <c r="BJ721">
        <f>IFERROR(INDEX(PP_Grid[#Data],$DD721,60),0)</f>
        <v/>
      </c>
      <c r="BK721">
        <f>IFERROR(INDEX(PP_Grid[#Data],$DD721,61),0)</f>
        <v/>
      </c>
      <c r="BL721">
        <f>IFERROR(INDEX(PP_Grid[#Data],$DD721,62),0)</f>
        <v/>
      </c>
      <c r="BM721">
        <f>IFERROR(INDEX(PP_Grid[#Data],$DD721,63),0)</f>
        <v/>
      </c>
      <c r="BN721">
        <f>IFERROR(INDEX(PP_Grid[#Data],$DD721,64),0)</f>
        <v/>
      </c>
      <c r="BO721">
        <f>IFERROR(INDEX(PP_Grid[#Data],$DD721,65),0)</f>
        <v/>
      </c>
      <c r="BP721">
        <f>IFERROR(INDEX(PP_Grid[#Data],$DD721,66),0)</f>
        <v/>
      </c>
      <c r="BQ721">
        <f>IFERROR(INDEX(PP_Grid[#Data],$DD721,67),0)</f>
        <v/>
      </c>
      <c r="BR721">
        <f>IFERROR(INDEX(PP_Grid[#Data],$DD721,68),0)</f>
        <v/>
      </c>
      <c r="BS721">
        <f>IFERROR(INDEX(PP_Grid[#Data],$DD721,69),0)</f>
        <v/>
      </c>
      <c r="BT721">
        <f>IFERROR(INDEX(PP_Grid[#Data],$DD721,70),0)</f>
        <v/>
      </c>
      <c r="BU721">
        <f>IFERROR(INDEX(PP_Grid[#Data],$DD721,71),0)</f>
        <v/>
      </c>
      <c r="BV721">
        <f>IFERROR(INDEX(PP_Grid[#Data],$DD721,72),0)</f>
        <v/>
      </c>
      <c r="BW721">
        <f>IFERROR(INDEX(PP_Grid[#Data],$DD721,73),0)</f>
        <v/>
      </c>
      <c r="BX721">
        <f>IFERROR(INDEX(PP_Grid[#Data],$DD721,74),0)</f>
        <v/>
      </c>
      <c r="BY721">
        <f>IFERROR(INDEX(PP_Grid[#Data],$DD721,75),0)</f>
        <v/>
      </c>
      <c r="BZ721">
        <f>IFERROR(INDEX(PP_Grid[#Data],$DD721,76),0)</f>
        <v/>
      </c>
      <c r="CA721">
        <f>IFERROR(INDEX(PP_Grid[#Data],$DD721,77),0)</f>
        <v/>
      </c>
      <c r="CB721">
        <f>IFERROR(INDEX(PP_Grid[#Data],$DD721,78),0)</f>
        <v/>
      </c>
      <c r="CC721">
        <f>IFERROR(INDEX(PP_Grid[#Data],$DD721,79),0)</f>
        <v/>
      </c>
      <c r="CD721">
        <f>IFERROR(INDEX(PP_Grid[#Data],$DD721,80),0)</f>
        <v/>
      </c>
      <c r="CE721">
        <f>IFERROR(INDEX(PP_Grid[#Data],$DD721,81),0)</f>
        <v/>
      </c>
      <c r="CF721">
        <f>IFERROR(INDEX(PP_Grid[#Data],$DD721,82),0)</f>
        <v/>
      </c>
      <c r="CG721">
        <f>IFERROR(INDEX(PP_Grid[#Data],$DD721,83),0)</f>
        <v/>
      </c>
      <c r="CH721">
        <f>IFERROR(INDEX(PP_Grid[#Data],$DD721,84),0)</f>
        <v/>
      </c>
      <c r="CI721">
        <f>IFERROR(INDEX(PP_Grid[#Data],$DD721,85),0)</f>
        <v/>
      </c>
      <c r="CJ721">
        <f>IFERROR(INDEX(PP_Grid[#Data],$DD721,86),0)</f>
        <v/>
      </c>
      <c r="CK721">
        <f>IFERROR(INDEX(PP_Grid[#Data],$DD721,87),0)</f>
        <v/>
      </c>
      <c r="CL721">
        <f>IFERROR(INDEX(PP_Grid[#Data],$DD721,88),0)</f>
        <v/>
      </c>
      <c r="CM721">
        <f>IFERROR(INDEX(PP_Grid[#Data],$DD721,89),0)</f>
        <v/>
      </c>
      <c r="CN721">
        <f>IFERROR(INDEX(PP_Grid[#Data],$DD721,90),0)</f>
        <v/>
      </c>
      <c r="CO721">
        <f>IFERROR(INDEX(PP_Grid[#Data],$DD721,91),0)</f>
        <v/>
      </c>
      <c r="CP721">
        <f>IFERROR(INDEX(PP_Grid[#Data],$DD721,92),0)</f>
        <v/>
      </c>
      <c r="CQ721">
        <f>IFERROR(INDEX(PP_Grid[#Data],$DD721,93),0)</f>
        <v/>
      </c>
      <c r="CR721">
        <f>IFERROR(INDEX(PP_Grid[#Data],$DD721,94),0)</f>
        <v/>
      </c>
      <c r="CS721">
        <f>IFERROR(INDEX(PP_Grid[#Data],$DD721,95),0)</f>
        <v/>
      </c>
      <c r="CT721">
        <f>IFERROR(INDEX(PP_Grid[#Data],$DD721,96),0)</f>
        <v/>
      </c>
      <c r="CU721">
        <f>IFERROR(INDEX(PP_Grid[#Data],$DD721,97),0)</f>
        <v/>
      </c>
      <c r="CV721">
        <f>IFERROR(INDEX(PP_Grid[#Data],$DD721,98),0)</f>
        <v/>
      </c>
      <c r="CW721">
        <f>IFERROR(INDEX(PP_Grid[#Data],$DD721,99),0)</f>
        <v/>
      </c>
      <c r="CX721">
        <f>IFERROR(INDEX(PP_Grid[#Data],$DD721,100),0)</f>
        <v/>
      </c>
      <c r="CY721">
        <f>IFERROR(INDEX(PP_Grid[#Data],$DD721,101),0)</f>
        <v/>
      </c>
      <c r="CZ721">
        <f>IFERROR(INDEX(PP_Grid[#Data],$DD721,102),0)</f>
        <v/>
      </c>
      <c r="DA721">
        <f>IFERROR(INDEX(PP_Grid[#Data],$DD721,103),0)</f>
        <v/>
      </c>
      <c r="DB721">
        <f>IFERROR(INDEX(PP_Grid[#Data],$DD721,104),0)</f>
        <v/>
      </c>
      <c r="DC721">
        <f>IFERROR(INDEX(PP_Grid[#Data],$DD721,105),0)</f>
        <v/>
      </c>
      <c r="DD721" s="7">
        <f>IFERROR(MATCH($B721,PP_Grid[Intermediate],0),99999)</f>
        <v/>
      </c>
    </row>
    <row r="722">
      <c r="B722" t="inlineStr">
        <is>
          <t>使用量(kg)</t>
        </is>
      </c>
      <c r="C722">
        <f>SUMIFS(M_BOM[RM_Qty_Per_Batch],M_BOM[Intermediate],$B721,M_BOM[Part Name],$A710)</f>
        <v/>
      </c>
      <c r="D722">
        <f>$C722*D721</f>
        <v/>
      </c>
      <c r="E722">
        <f>$C722*E721</f>
        <v/>
      </c>
      <c r="F722">
        <f>$C722*F721</f>
        <v/>
      </c>
      <c r="G722">
        <f>$C722*G721</f>
        <v/>
      </c>
      <c r="H722">
        <f>$C722*H721</f>
        <v/>
      </c>
      <c r="I722">
        <f>$C722*I721</f>
        <v/>
      </c>
      <c r="J722">
        <f>$C722*J721</f>
        <v/>
      </c>
      <c r="K722">
        <f>$C722*K721</f>
        <v/>
      </c>
      <c r="L722">
        <f>$C722*L721</f>
        <v/>
      </c>
      <c r="M722">
        <f>$C722*M721</f>
        <v/>
      </c>
      <c r="N722">
        <f>$C722*N721</f>
        <v/>
      </c>
      <c r="O722">
        <f>$C722*O721</f>
        <v/>
      </c>
      <c r="P722">
        <f>$C722*P721</f>
        <v/>
      </c>
      <c r="Q722">
        <f>$C722*Q721</f>
        <v/>
      </c>
      <c r="R722">
        <f>$C722*R721</f>
        <v/>
      </c>
      <c r="S722">
        <f>$C722*S721</f>
        <v/>
      </c>
      <c r="T722">
        <f>$C722*T721</f>
        <v/>
      </c>
      <c r="U722">
        <f>$C722*U721</f>
        <v/>
      </c>
      <c r="V722">
        <f>$C722*V721</f>
        <v/>
      </c>
      <c r="W722">
        <f>$C722*W721</f>
        <v/>
      </c>
      <c r="X722">
        <f>$C722*X721</f>
        <v/>
      </c>
      <c r="Y722">
        <f>$C722*Y721</f>
        <v/>
      </c>
      <c r="Z722">
        <f>$C722*Z721</f>
        <v/>
      </c>
      <c r="AA722">
        <f>$C722*AA721</f>
        <v/>
      </c>
      <c r="AB722">
        <f>$C722*AB721</f>
        <v/>
      </c>
      <c r="AC722">
        <f>$C722*AC721</f>
        <v/>
      </c>
      <c r="AD722">
        <f>$C722*AD721</f>
        <v/>
      </c>
      <c r="AE722">
        <f>$C722*AE721</f>
        <v/>
      </c>
      <c r="AF722">
        <f>$C722*AF721</f>
        <v/>
      </c>
      <c r="AG722">
        <f>$C722*AG721</f>
        <v/>
      </c>
      <c r="AH722">
        <f>$C722*AH721</f>
        <v/>
      </c>
      <c r="AI722">
        <f>$C722*AI721</f>
        <v/>
      </c>
      <c r="AJ722">
        <f>$C722*AJ721</f>
        <v/>
      </c>
      <c r="AK722">
        <f>$C722*AK721</f>
        <v/>
      </c>
      <c r="AL722">
        <f>$C722*AL721</f>
        <v/>
      </c>
      <c r="AM722">
        <f>$C722*AM721</f>
        <v/>
      </c>
      <c r="AN722">
        <f>$C722*AN721</f>
        <v/>
      </c>
      <c r="AO722">
        <f>$C722*AO721</f>
        <v/>
      </c>
      <c r="AP722">
        <f>$C722*AP721</f>
        <v/>
      </c>
      <c r="AQ722">
        <f>$C722*AQ721</f>
        <v/>
      </c>
      <c r="AR722">
        <f>$C722*AR721</f>
        <v/>
      </c>
      <c r="AS722">
        <f>$C722*AS721</f>
        <v/>
      </c>
      <c r="AT722">
        <f>$C722*AT721</f>
        <v/>
      </c>
      <c r="AU722">
        <f>$C722*AU721</f>
        <v/>
      </c>
      <c r="AV722">
        <f>$C722*AV721</f>
        <v/>
      </c>
      <c r="AW722">
        <f>$C722*AW721</f>
        <v/>
      </c>
      <c r="AX722">
        <f>$C722*AX721</f>
        <v/>
      </c>
      <c r="AY722">
        <f>$C722*AY721</f>
        <v/>
      </c>
      <c r="AZ722">
        <f>$C722*AZ721</f>
        <v/>
      </c>
      <c r="BA722">
        <f>$C722*BA721</f>
        <v/>
      </c>
      <c r="BB722">
        <f>$C722*BB721</f>
        <v/>
      </c>
      <c r="BC722">
        <f>$C722*BC721</f>
        <v/>
      </c>
      <c r="BD722">
        <f>$C722*BD721</f>
        <v/>
      </c>
      <c r="BE722">
        <f>$C722*BE721</f>
        <v/>
      </c>
      <c r="BF722">
        <f>$C722*BF721</f>
        <v/>
      </c>
      <c r="BG722">
        <f>$C722*BG721</f>
        <v/>
      </c>
      <c r="BH722">
        <f>$C722*BH721</f>
        <v/>
      </c>
      <c r="BI722">
        <f>$C722*BI721</f>
        <v/>
      </c>
      <c r="BJ722">
        <f>$C722*BJ721</f>
        <v/>
      </c>
      <c r="BK722">
        <f>$C722*BK721</f>
        <v/>
      </c>
      <c r="BL722">
        <f>$C722*BL721</f>
        <v/>
      </c>
      <c r="BM722">
        <f>$C722*BM721</f>
        <v/>
      </c>
      <c r="BN722">
        <f>$C722*BN721</f>
        <v/>
      </c>
      <c r="BO722">
        <f>$C722*BO721</f>
        <v/>
      </c>
      <c r="BP722">
        <f>$C722*BP721</f>
        <v/>
      </c>
      <c r="BQ722">
        <f>$C722*BQ721</f>
        <v/>
      </c>
      <c r="BR722">
        <f>$C722*BR721</f>
        <v/>
      </c>
      <c r="BS722">
        <f>$C722*BS721</f>
        <v/>
      </c>
      <c r="BT722">
        <f>$C722*BT721</f>
        <v/>
      </c>
      <c r="BU722">
        <f>$C722*BU721</f>
        <v/>
      </c>
      <c r="BV722">
        <f>$C722*BV721</f>
        <v/>
      </c>
      <c r="BW722">
        <f>$C722*BW721</f>
        <v/>
      </c>
      <c r="BX722">
        <f>$C722*BX721</f>
        <v/>
      </c>
      <c r="BY722">
        <f>$C722*BY721</f>
        <v/>
      </c>
      <c r="BZ722">
        <f>$C722*BZ721</f>
        <v/>
      </c>
      <c r="CA722">
        <f>$C722*CA721</f>
        <v/>
      </c>
      <c r="CB722">
        <f>$C722*CB721</f>
        <v/>
      </c>
      <c r="CC722">
        <f>$C722*CC721</f>
        <v/>
      </c>
      <c r="CD722">
        <f>$C722*CD721</f>
        <v/>
      </c>
      <c r="CE722">
        <f>$C722*CE721</f>
        <v/>
      </c>
      <c r="CF722">
        <f>$C722*CF721</f>
        <v/>
      </c>
      <c r="CG722">
        <f>$C722*CG721</f>
        <v/>
      </c>
      <c r="CH722">
        <f>$C722*CH721</f>
        <v/>
      </c>
      <c r="CI722">
        <f>$C722*CI721</f>
        <v/>
      </c>
      <c r="CJ722">
        <f>$C722*CJ721</f>
        <v/>
      </c>
      <c r="CK722">
        <f>$C722*CK721</f>
        <v/>
      </c>
      <c r="CL722">
        <f>$C722*CL721</f>
        <v/>
      </c>
      <c r="CM722">
        <f>$C722*CM721</f>
        <v/>
      </c>
      <c r="CN722">
        <f>$C722*CN721</f>
        <v/>
      </c>
      <c r="CO722">
        <f>$C722*CO721</f>
        <v/>
      </c>
      <c r="CP722">
        <f>$C722*CP721</f>
        <v/>
      </c>
      <c r="CQ722">
        <f>$C722*CQ721</f>
        <v/>
      </c>
      <c r="CR722">
        <f>$C722*CR721</f>
        <v/>
      </c>
      <c r="CS722">
        <f>$C722*CS721</f>
        <v/>
      </c>
      <c r="CT722">
        <f>$C722*CT721</f>
        <v/>
      </c>
      <c r="CU722">
        <f>$C722*CU721</f>
        <v/>
      </c>
      <c r="CV722">
        <f>$C722*CV721</f>
        <v/>
      </c>
      <c r="CW722">
        <f>$C722*CW721</f>
        <v/>
      </c>
      <c r="CX722">
        <f>$C722*CX721</f>
        <v/>
      </c>
      <c r="CY722">
        <f>$C722*CY721</f>
        <v/>
      </c>
      <c r="CZ722">
        <f>$C722*CZ721</f>
        <v/>
      </c>
      <c r="DA722">
        <f>$C722*DA721</f>
        <v/>
      </c>
      <c r="DB722">
        <f>$C722*DB721</f>
        <v/>
      </c>
      <c r="DC722">
        <f>$C722*DC721</f>
        <v/>
      </c>
    </row>
    <row r="723">
      <c r="B723" t="inlineStr">
        <is>
          <t>TSP-959</t>
        </is>
      </c>
      <c r="C723" t="inlineStr">
        <is>
          <t>No. of batches</t>
        </is>
      </c>
      <c r="D723">
        <f>IFERROR(INDEX(PP_Grid[#Data],$DD723,2),0)</f>
        <v/>
      </c>
      <c r="E723">
        <f>IFERROR(INDEX(PP_Grid[#Data],$DD723,3),0)</f>
        <v/>
      </c>
      <c r="F723">
        <f>IFERROR(INDEX(PP_Grid[#Data],$DD723,4),0)</f>
        <v/>
      </c>
      <c r="G723">
        <f>IFERROR(INDEX(PP_Grid[#Data],$DD723,5),0)</f>
        <v/>
      </c>
      <c r="H723">
        <f>IFERROR(INDEX(PP_Grid[#Data],$DD723,6),0)</f>
        <v/>
      </c>
      <c r="I723">
        <f>IFERROR(INDEX(PP_Grid[#Data],$DD723,7),0)</f>
        <v/>
      </c>
      <c r="J723">
        <f>IFERROR(INDEX(PP_Grid[#Data],$DD723,8),0)</f>
        <v/>
      </c>
      <c r="K723">
        <f>IFERROR(INDEX(PP_Grid[#Data],$DD723,9),0)</f>
        <v/>
      </c>
      <c r="L723">
        <f>IFERROR(INDEX(PP_Grid[#Data],$DD723,10),0)</f>
        <v/>
      </c>
      <c r="M723">
        <f>IFERROR(INDEX(PP_Grid[#Data],$DD723,11),0)</f>
        <v/>
      </c>
      <c r="N723">
        <f>IFERROR(INDEX(PP_Grid[#Data],$DD723,12),0)</f>
        <v/>
      </c>
      <c r="O723">
        <f>IFERROR(INDEX(PP_Grid[#Data],$DD723,13),0)</f>
        <v/>
      </c>
      <c r="P723">
        <f>IFERROR(INDEX(PP_Grid[#Data],$DD723,14),0)</f>
        <v/>
      </c>
      <c r="Q723">
        <f>IFERROR(INDEX(PP_Grid[#Data],$DD723,15),0)</f>
        <v/>
      </c>
      <c r="R723">
        <f>IFERROR(INDEX(PP_Grid[#Data],$DD723,16),0)</f>
        <v/>
      </c>
      <c r="S723">
        <f>IFERROR(INDEX(PP_Grid[#Data],$DD723,17),0)</f>
        <v/>
      </c>
      <c r="T723">
        <f>IFERROR(INDEX(PP_Grid[#Data],$DD723,18),0)</f>
        <v/>
      </c>
      <c r="U723">
        <f>IFERROR(INDEX(PP_Grid[#Data],$DD723,19),0)</f>
        <v/>
      </c>
      <c r="V723">
        <f>IFERROR(INDEX(PP_Grid[#Data],$DD723,20),0)</f>
        <v/>
      </c>
      <c r="W723">
        <f>IFERROR(INDEX(PP_Grid[#Data],$DD723,21),0)</f>
        <v/>
      </c>
      <c r="X723">
        <f>IFERROR(INDEX(PP_Grid[#Data],$DD723,22),0)</f>
        <v/>
      </c>
      <c r="Y723">
        <f>IFERROR(INDEX(PP_Grid[#Data],$DD723,23),0)</f>
        <v/>
      </c>
      <c r="Z723">
        <f>IFERROR(INDEX(PP_Grid[#Data],$DD723,24),0)</f>
        <v/>
      </c>
      <c r="AA723">
        <f>IFERROR(INDEX(PP_Grid[#Data],$DD723,25),0)</f>
        <v/>
      </c>
      <c r="AB723">
        <f>IFERROR(INDEX(PP_Grid[#Data],$DD723,26),0)</f>
        <v/>
      </c>
      <c r="AC723">
        <f>IFERROR(INDEX(PP_Grid[#Data],$DD723,27),0)</f>
        <v/>
      </c>
      <c r="AD723">
        <f>IFERROR(INDEX(PP_Grid[#Data],$DD723,28),0)</f>
        <v/>
      </c>
      <c r="AE723">
        <f>IFERROR(INDEX(PP_Grid[#Data],$DD723,29),0)</f>
        <v/>
      </c>
      <c r="AF723">
        <f>IFERROR(INDEX(PP_Grid[#Data],$DD723,30),0)</f>
        <v/>
      </c>
      <c r="AG723">
        <f>IFERROR(INDEX(PP_Grid[#Data],$DD723,31),0)</f>
        <v/>
      </c>
      <c r="AH723">
        <f>IFERROR(INDEX(PP_Grid[#Data],$DD723,32),0)</f>
        <v/>
      </c>
      <c r="AI723">
        <f>IFERROR(INDEX(PP_Grid[#Data],$DD723,33),0)</f>
        <v/>
      </c>
      <c r="AJ723">
        <f>IFERROR(INDEX(PP_Grid[#Data],$DD723,34),0)</f>
        <v/>
      </c>
      <c r="AK723">
        <f>IFERROR(INDEX(PP_Grid[#Data],$DD723,35),0)</f>
        <v/>
      </c>
      <c r="AL723">
        <f>IFERROR(INDEX(PP_Grid[#Data],$DD723,36),0)</f>
        <v/>
      </c>
      <c r="AM723">
        <f>IFERROR(INDEX(PP_Grid[#Data],$DD723,37),0)</f>
        <v/>
      </c>
      <c r="AN723">
        <f>IFERROR(INDEX(PP_Grid[#Data],$DD723,38),0)</f>
        <v/>
      </c>
      <c r="AO723">
        <f>IFERROR(INDEX(PP_Grid[#Data],$DD723,39),0)</f>
        <v/>
      </c>
      <c r="AP723">
        <f>IFERROR(INDEX(PP_Grid[#Data],$DD723,40),0)</f>
        <v/>
      </c>
      <c r="AQ723">
        <f>IFERROR(INDEX(PP_Grid[#Data],$DD723,41),0)</f>
        <v/>
      </c>
      <c r="AR723">
        <f>IFERROR(INDEX(PP_Grid[#Data],$DD723,42),0)</f>
        <v/>
      </c>
      <c r="AS723">
        <f>IFERROR(INDEX(PP_Grid[#Data],$DD723,43),0)</f>
        <v/>
      </c>
      <c r="AT723">
        <f>IFERROR(INDEX(PP_Grid[#Data],$DD723,44),0)</f>
        <v/>
      </c>
      <c r="AU723">
        <f>IFERROR(INDEX(PP_Grid[#Data],$DD723,45),0)</f>
        <v/>
      </c>
      <c r="AV723">
        <f>IFERROR(INDEX(PP_Grid[#Data],$DD723,46),0)</f>
        <v/>
      </c>
      <c r="AW723">
        <f>IFERROR(INDEX(PP_Grid[#Data],$DD723,47),0)</f>
        <v/>
      </c>
      <c r="AX723">
        <f>IFERROR(INDEX(PP_Grid[#Data],$DD723,48),0)</f>
        <v/>
      </c>
      <c r="AY723">
        <f>IFERROR(INDEX(PP_Grid[#Data],$DD723,49),0)</f>
        <v/>
      </c>
      <c r="AZ723">
        <f>IFERROR(INDEX(PP_Grid[#Data],$DD723,50),0)</f>
        <v/>
      </c>
      <c r="BA723">
        <f>IFERROR(INDEX(PP_Grid[#Data],$DD723,51),0)</f>
        <v/>
      </c>
      <c r="BB723">
        <f>IFERROR(INDEX(PP_Grid[#Data],$DD723,52),0)</f>
        <v/>
      </c>
      <c r="BC723">
        <f>IFERROR(INDEX(PP_Grid[#Data],$DD723,53),0)</f>
        <v/>
      </c>
      <c r="BD723">
        <f>IFERROR(INDEX(PP_Grid[#Data],$DD723,54),0)</f>
        <v/>
      </c>
      <c r="BE723">
        <f>IFERROR(INDEX(PP_Grid[#Data],$DD723,55),0)</f>
        <v/>
      </c>
      <c r="BF723">
        <f>IFERROR(INDEX(PP_Grid[#Data],$DD723,56),0)</f>
        <v/>
      </c>
      <c r="BG723">
        <f>IFERROR(INDEX(PP_Grid[#Data],$DD723,57),0)</f>
        <v/>
      </c>
      <c r="BH723">
        <f>IFERROR(INDEX(PP_Grid[#Data],$DD723,58),0)</f>
        <v/>
      </c>
      <c r="BI723">
        <f>IFERROR(INDEX(PP_Grid[#Data],$DD723,59),0)</f>
        <v/>
      </c>
      <c r="BJ723">
        <f>IFERROR(INDEX(PP_Grid[#Data],$DD723,60),0)</f>
        <v/>
      </c>
      <c r="BK723">
        <f>IFERROR(INDEX(PP_Grid[#Data],$DD723,61),0)</f>
        <v/>
      </c>
      <c r="BL723">
        <f>IFERROR(INDEX(PP_Grid[#Data],$DD723,62),0)</f>
        <v/>
      </c>
      <c r="BM723">
        <f>IFERROR(INDEX(PP_Grid[#Data],$DD723,63),0)</f>
        <v/>
      </c>
      <c r="BN723">
        <f>IFERROR(INDEX(PP_Grid[#Data],$DD723,64),0)</f>
        <v/>
      </c>
      <c r="BO723">
        <f>IFERROR(INDEX(PP_Grid[#Data],$DD723,65),0)</f>
        <v/>
      </c>
      <c r="BP723">
        <f>IFERROR(INDEX(PP_Grid[#Data],$DD723,66),0)</f>
        <v/>
      </c>
      <c r="BQ723">
        <f>IFERROR(INDEX(PP_Grid[#Data],$DD723,67),0)</f>
        <v/>
      </c>
      <c r="BR723">
        <f>IFERROR(INDEX(PP_Grid[#Data],$DD723,68),0)</f>
        <v/>
      </c>
      <c r="BS723">
        <f>IFERROR(INDEX(PP_Grid[#Data],$DD723,69),0)</f>
        <v/>
      </c>
      <c r="BT723">
        <f>IFERROR(INDEX(PP_Grid[#Data],$DD723,70),0)</f>
        <v/>
      </c>
      <c r="BU723">
        <f>IFERROR(INDEX(PP_Grid[#Data],$DD723,71),0)</f>
        <v/>
      </c>
      <c r="BV723">
        <f>IFERROR(INDEX(PP_Grid[#Data],$DD723,72),0)</f>
        <v/>
      </c>
      <c r="BW723">
        <f>IFERROR(INDEX(PP_Grid[#Data],$DD723,73),0)</f>
        <v/>
      </c>
      <c r="BX723">
        <f>IFERROR(INDEX(PP_Grid[#Data],$DD723,74),0)</f>
        <v/>
      </c>
      <c r="BY723">
        <f>IFERROR(INDEX(PP_Grid[#Data],$DD723,75),0)</f>
        <v/>
      </c>
      <c r="BZ723">
        <f>IFERROR(INDEX(PP_Grid[#Data],$DD723,76),0)</f>
        <v/>
      </c>
      <c r="CA723">
        <f>IFERROR(INDEX(PP_Grid[#Data],$DD723,77),0)</f>
        <v/>
      </c>
      <c r="CB723">
        <f>IFERROR(INDEX(PP_Grid[#Data],$DD723,78),0)</f>
        <v/>
      </c>
      <c r="CC723">
        <f>IFERROR(INDEX(PP_Grid[#Data],$DD723,79),0)</f>
        <v/>
      </c>
      <c r="CD723">
        <f>IFERROR(INDEX(PP_Grid[#Data],$DD723,80),0)</f>
        <v/>
      </c>
      <c r="CE723">
        <f>IFERROR(INDEX(PP_Grid[#Data],$DD723,81),0)</f>
        <v/>
      </c>
      <c r="CF723">
        <f>IFERROR(INDEX(PP_Grid[#Data],$DD723,82),0)</f>
        <v/>
      </c>
      <c r="CG723">
        <f>IFERROR(INDEX(PP_Grid[#Data],$DD723,83),0)</f>
        <v/>
      </c>
      <c r="CH723">
        <f>IFERROR(INDEX(PP_Grid[#Data],$DD723,84),0)</f>
        <v/>
      </c>
      <c r="CI723">
        <f>IFERROR(INDEX(PP_Grid[#Data],$DD723,85),0)</f>
        <v/>
      </c>
      <c r="CJ723">
        <f>IFERROR(INDEX(PP_Grid[#Data],$DD723,86),0)</f>
        <v/>
      </c>
      <c r="CK723">
        <f>IFERROR(INDEX(PP_Grid[#Data],$DD723,87),0)</f>
        <v/>
      </c>
      <c r="CL723">
        <f>IFERROR(INDEX(PP_Grid[#Data],$DD723,88),0)</f>
        <v/>
      </c>
      <c r="CM723">
        <f>IFERROR(INDEX(PP_Grid[#Data],$DD723,89),0)</f>
        <v/>
      </c>
      <c r="CN723">
        <f>IFERROR(INDEX(PP_Grid[#Data],$DD723,90),0)</f>
        <v/>
      </c>
      <c r="CO723">
        <f>IFERROR(INDEX(PP_Grid[#Data],$DD723,91),0)</f>
        <v/>
      </c>
      <c r="CP723">
        <f>IFERROR(INDEX(PP_Grid[#Data],$DD723,92),0)</f>
        <v/>
      </c>
      <c r="CQ723">
        <f>IFERROR(INDEX(PP_Grid[#Data],$DD723,93),0)</f>
        <v/>
      </c>
      <c r="CR723">
        <f>IFERROR(INDEX(PP_Grid[#Data],$DD723,94),0)</f>
        <v/>
      </c>
      <c r="CS723">
        <f>IFERROR(INDEX(PP_Grid[#Data],$DD723,95),0)</f>
        <v/>
      </c>
      <c r="CT723">
        <f>IFERROR(INDEX(PP_Grid[#Data],$DD723,96),0)</f>
        <v/>
      </c>
      <c r="CU723">
        <f>IFERROR(INDEX(PP_Grid[#Data],$DD723,97),0)</f>
        <v/>
      </c>
      <c r="CV723">
        <f>IFERROR(INDEX(PP_Grid[#Data],$DD723,98),0)</f>
        <v/>
      </c>
      <c r="CW723">
        <f>IFERROR(INDEX(PP_Grid[#Data],$DD723,99),0)</f>
        <v/>
      </c>
      <c r="CX723">
        <f>IFERROR(INDEX(PP_Grid[#Data],$DD723,100),0)</f>
        <v/>
      </c>
      <c r="CY723">
        <f>IFERROR(INDEX(PP_Grid[#Data],$DD723,101),0)</f>
        <v/>
      </c>
      <c r="CZ723">
        <f>IFERROR(INDEX(PP_Grid[#Data],$DD723,102),0)</f>
        <v/>
      </c>
      <c r="DA723">
        <f>IFERROR(INDEX(PP_Grid[#Data],$DD723,103),0)</f>
        <v/>
      </c>
      <c r="DB723">
        <f>IFERROR(INDEX(PP_Grid[#Data],$DD723,104),0)</f>
        <v/>
      </c>
      <c r="DC723">
        <f>IFERROR(INDEX(PP_Grid[#Data],$DD723,105),0)</f>
        <v/>
      </c>
      <c r="DD723" s="7">
        <f>IFERROR(MATCH($B723,PP_Grid[Intermediate],0),99999)</f>
        <v/>
      </c>
    </row>
    <row r="724">
      <c r="B724" t="inlineStr">
        <is>
          <t>使用量(kg)</t>
        </is>
      </c>
      <c r="C724">
        <f>SUMIFS(M_BOM[RM_Qty_Per_Batch],M_BOM[Intermediate],$B723,M_BOM[Part Name],$A710)</f>
        <v/>
      </c>
      <c r="D724">
        <f>$C724*D723</f>
        <v/>
      </c>
      <c r="E724">
        <f>$C724*E723</f>
        <v/>
      </c>
      <c r="F724">
        <f>$C724*F723</f>
        <v/>
      </c>
      <c r="G724">
        <f>$C724*G723</f>
        <v/>
      </c>
      <c r="H724">
        <f>$C724*H723</f>
        <v/>
      </c>
      <c r="I724">
        <f>$C724*I723</f>
        <v/>
      </c>
      <c r="J724">
        <f>$C724*J723</f>
        <v/>
      </c>
      <c r="K724">
        <f>$C724*K723</f>
        <v/>
      </c>
      <c r="L724">
        <f>$C724*L723</f>
        <v/>
      </c>
      <c r="M724">
        <f>$C724*M723</f>
        <v/>
      </c>
      <c r="N724">
        <f>$C724*N723</f>
        <v/>
      </c>
      <c r="O724">
        <f>$C724*O723</f>
        <v/>
      </c>
      <c r="P724">
        <f>$C724*P723</f>
        <v/>
      </c>
      <c r="Q724">
        <f>$C724*Q723</f>
        <v/>
      </c>
      <c r="R724">
        <f>$C724*R723</f>
        <v/>
      </c>
      <c r="S724">
        <f>$C724*S723</f>
        <v/>
      </c>
      <c r="T724">
        <f>$C724*T723</f>
        <v/>
      </c>
      <c r="U724">
        <f>$C724*U723</f>
        <v/>
      </c>
      <c r="V724">
        <f>$C724*V723</f>
        <v/>
      </c>
      <c r="W724">
        <f>$C724*W723</f>
        <v/>
      </c>
      <c r="X724">
        <f>$C724*X723</f>
        <v/>
      </c>
      <c r="Y724">
        <f>$C724*Y723</f>
        <v/>
      </c>
      <c r="Z724">
        <f>$C724*Z723</f>
        <v/>
      </c>
      <c r="AA724">
        <f>$C724*AA723</f>
        <v/>
      </c>
      <c r="AB724">
        <f>$C724*AB723</f>
        <v/>
      </c>
      <c r="AC724">
        <f>$C724*AC723</f>
        <v/>
      </c>
      <c r="AD724">
        <f>$C724*AD723</f>
        <v/>
      </c>
      <c r="AE724">
        <f>$C724*AE723</f>
        <v/>
      </c>
      <c r="AF724">
        <f>$C724*AF723</f>
        <v/>
      </c>
      <c r="AG724">
        <f>$C724*AG723</f>
        <v/>
      </c>
      <c r="AH724">
        <f>$C724*AH723</f>
        <v/>
      </c>
      <c r="AI724">
        <f>$C724*AI723</f>
        <v/>
      </c>
      <c r="AJ724">
        <f>$C724*AJ723</f>
        <v/>
      </c>
      <c r="AK724">
        <f>$C724*AK723</f>
        <v/>
      </c>
      <c r="AL724">
        <f>$C724*AL723</f>
        <v/>
      </c>
      <c r="AM724">
        <f>$C724*AM723</f>
        <v/>
      </c>
      <c r="AN724">
        <f>$C724*AN723</f>
        <v/>
      </c>
      <c r="AO724">
        <f>$C724*AO723</f>
        <v/>
      </c>
      <c r="AP724">
        <f>$C724*AP723</f>
        <v/>
      </c>
      <c r="AQ724">
        <f>$C724*AQ723</f>
        <v/>
      </c>
      <c r="AR724">
        <f>$C724*AR723</f>
        <v/>
      </c>
      <c r="AS724">
        <f>$C724*AS723</f>
        <v/>
      </c>
      <c r="AT724">
        <f>$C724*AT723</f>
        <v/>
      </c>
      <c r="AU724">
        <f>$C724*AU723</f>
        <v/>
      </c>
      <c r="AV724">
        <f>$C724*AV723</f>
        <v/>
      </c>
      <c r="AW724">
        <f>$C724*AW723</f>
        <v/>
      </c>
      <c r="AX724">
        <f>$C724*AX723</f>
        <v/>
      </c>
      <c r="AY724">
        <f>$C724*AY723</f>
        <v/>
      </c>
      <c r="AZ724">
        <f>$C724*AZ723</f>
        <v/>
      </c>
      <c r="BA724">
        <f>$C724*BA723</f>
        <v/>
      </c>
      <c r="BB724">
        <f>$C724*BB723</f>
        <v/>
      </c>
      <c r="BC724">
        <f>$C724*BC723</f>
        <v/>
      </c>
      <c r="BD724">
        <f>$C724*BD723</f>
        <v/>
      </c>
      <c r="BE724">
        <f>$C724*BE723</f>
        <v/>
      </c>
      <c r="BF724">
        <f>$C724*BF723</f>
        <v/>
      </c>
      <c r="BG724">
        <f>$C724*BG723</f>
        <v/>
      </c>
      <c r="BH724">
        <f>$C724*BH723</f>
        <v/>
      </c>
      <c r="BI724">
        <f>$C724*BI723</f>
        <v/>
      </c>
      <c r="BJ724">
        <f>$C724*BJ723</f>
        <v/>
      </c>
      <c r="BK724">
        <f>$C724*BK723</f>
        <v/>
      </c>
      <c r="BL724">
        <f>$C724*BL723</f>
        <v/>
      </c>
      <c r="BM724">
        <f>$C724*BM723</f>
        <v/>
      </c>
      <c r="BN724">
        <f>$C724*BN723</f>
        <v/>
      </c>
      <c r="BO724">
        <f>$C724*BO723</f>
        <v/>
      </c>
      <c r="BP724">
        <f>$C724*BP723</f>
        <v/>
      </c>
      <c r="BQ724">
        <f>$C724*BQ723</f>
        <v/>
      </c>
      <c r="BR724">
        <f>$C724*BR723</f>
        <v/>
      </c>
      <c r="BS724">
        <f>$C724*BS723</f>
        <v/>
      </c>
      <c r="BT724">
        <f>$C724*BT723</f>
        <v/>
      </c>
      <c r="BU724">
        <f>$C724*BU723</f>
        <v/>
      </c>
      <c r="BV724">
        <f>$C724*BV723</f>
        <v/>
      </c>
      <c r="BW724">
        <f>$C724*BW723</f>
        <v/>
      </c>
      <c r="BX724">
        <f>$C724*BX723</f>
        <v/>
      </c>
      <c r="BY724">
        <f>$C724*BY723</f>
        <v/>
      </c>
      <c r="BZ724">
        <f>$C724*BZ723</f>
        <v/>
      </c>
      <c r="CA724">
        <f>$C724*CA723</f>
        <v/>
      </c>
      <c r="CB724">
        <f>$C724*CB723</f>
        <v/>
      </c>
      <c r="CC724">
        <f>$C724*CC723</f>
        <v/>
      </c>
      <c r="CD724">
        <f>$C724*CD723</f>
        <v/>
      </c>
      <c r="CE724">
        <f>$C724*CE723</f>
        <v/>
      </c>
      <c r="CF724">
        <f>$C724*CF723</f>
        <v/>
      </c>
      <c r="CG724">
        <f>$C724*CG723</f>
        <v/>
      </c>
      <c r="CH724">
        <f>$C724*CH723</f>
        <v/>
      </c>
      <c r="CI724">
        <f>$C724*CI723</f>
        <v/>
      </c>
      <c r="CJ724">
        <f>$C724*CJ723</f>
        <v/>
      </c>
      <c r="CK724">
        <f>$C724*CK723</f>
        <v/>
      </c>
      <c r="CL724">
        <f>$C724*CL723</f>
        <v/>
      </c>
      <c r="CM724">
        <f>$C724*CM723</f>
        <v/>
      </c>
      <c r="CN724">
        <f>$C724*CN723</f>
        <v/>
      </c>
      <c r="CO724">
        <f>$C724*CO723</f>
        <v/>
      </c>
      <c r="CP724">
        <f>$C724*CP723</f>
        <v/>
      </c>
      <c r="CQ724">
        <f>$C724*CQ723</f>
        <v/>
      </c>
      <c r="CR724">
        <f>$C724*CR723</f>
        <v/>
      </c>
      <c r="CS724">
        <f>$C724*CS723</f>
        <v/>
      </c>
      <c r="CT724">
        <f>$C724*CT723</f>
        <v/>
      </c>
      <c r="CU724">
        <f>$C724*CU723</f>
        <v/>
      </c>
      <c r="CV724">
        <f>$C724*CV723</f>
        <v/>
      </c>
      <c r="CW724">
        <f>$C724*CW723</f>
        <v/>
      </c>
      <c r="CX724">
        <f>$C724*CX723</f>
        <v/>
      </c>
      <c r="CY724">
        <f>$C724*CY723</f>
        <v/>
      </c>
      <c r="CZ724">
        <f>$C724*CZ723</f>
        <v/>
      </c>
      <c r="DA724">
        <f>$C724*DA723</f>
        <v/>
      </c>
      <c r="DB724">
        <f>$C724*DB723</f>
        <v/>
      </c>
      <c r="DC724">
        <f>$C724*DC723</f>
        <v/>
      </c>
    </row>
    <row r="725">
      <c r="B725" t="inlineStr">
        <is>
          <t>VSP-567</t>
        </is>
      </c>
      <c r="C725" t="inlineStr">
        <is>
          <t>No. of batches</t>
        </is>
      </c>
      <c r="D725">
        <f>IFERROR(INDEX(PP_Grid[#Data],$DD725,2),0)</f>
        <v/>
      </c>
      <c r="E725">
        <f>IFERROR(INDEX(PP_Grid[#Data],$DD725,3),0)</f>
        <v/>
      </c>
      <c r="F725">
        <f>IFERROR(INDEX(PP_Grid[#Data],$DD725,4),0)</f>
        <v/>
      </c>
      <c r="G725">
        <f>IFERROR(INDEX(PP_Grid[#Data],$DD725,5),0)</f>
        <v/>
      </c>
      <c r="H725">
        <f>IFERROR(INDEX(PP_Grid[#Data],$DD725,6),0)</f>
        <v/>
      </c>
      <c r="I725">
        <f>IFERROR(INDEX(PP_Grid[#Data],$DD725,7),0)</f>
        <v/>
      </c>
      <c r="J725">
        <f>IFERROR(INDEX(PP_Grid[#Data],$DD725,8),0)</f>
        <v/>
      </c>
      <c r="K725">
        <f>IFERROR(INDEX(PP_Grid[#Data],$DD725,9),0)</f>
        <v/>
      </c>
      <c r="L725">
        <f>IFERROR(INDEX(PP_Grid[#Data],$DD725,10),0)</f>
        <v/>
      </c>
      <c r="M725">
        <f>IFERROR(INDEX(PP_Grid[#Data],$DD725,11),0)</f>
        <v/>
      </c>
      <c r="N725">
        <f>IFERROR(INDEX(PP_Grid[#Data],$DD725,12),0)</f>
        <v/>
      </c>
      <c r="O725">
        <f>IFERROR(INDEX(PP_Grid[#Data],$DD725,13),0)</f>
        <v/>
      </c>
      <c r="P725">
        <f>IFERROR(INDEX(PP_Grid[#Data],$DD725,14),0)</f>
        <v/>
      </c>
      <c r="Q725">
        <f>IFERROR(INDEX(PP_Grid[#Data],$DD725,15),0)</f>
        <v/>
      </c>
      <c r="R725">
        <f>IFERROR(INDEX(PP_Grid[#Data],$DD725,16),0)</f>
        <v/>
      </c>
      <c r="S725">
        <f>IFERROR(INDEX(PP_Grid[#Data],$DD725,17),0)</f>
        <v/>
      </c>
      <c r="T725">
        <f>IFERROR(INDEX(PP_Grid[#Data],$DD725,18),0)</f>
        <v/>
      </c>
      <c r="U725">
        <f>IFERROR(INDEX(PP_Grid[#Data],$DD725,19),0)</f>
        <v/>
      </c>
      <c r="V725">
        <f>IFERROR(INDEX(PP_Grid[#Data],$DD725,20),0)</f>
        <v/>
      </c>
      <c r="W725">
        <f>IFERROR(INDEX(PP_Grid[#Data],$DD725,21),0)</f>
        <v/>
      </c>
      <c r="X725">
        <f>IFERROR(INDEX(PP_Grid[#Data],$DD725,22),0)</f>
        <v/>
      </c>
      <c r="Y725">
        <f>IFERROR(INDEX(PP_Grid[#Data],$DD725,23),0)</f>
        <v/>
      </c>
      <c r="Z725">
        <f>IFERROR(INDEX(PP_Grid[#Data],$DD725,24),0)</f>
        <v/>
      </c>
      <c r="AA725">
        <f>IFERROR(INDEX(PP_Grid[#Data],$DD725,25),0)</f>
        <v/>
      </c>
      <c r="AB725">
        <f>IFERROR(INDEX(PP_Grid[#Data],$DD725,26),0)</f>
        <v/>
      </c>
      <c r="AC725">
        <f>IFERROR(INDEX(PP_Grid[#Data],$DD725,27),0)</f>
        <v/>
      </c>
      <c r="AD725">
        <f>IFERROR(INDEX(PP_Grid[#Data],$DD725,28),0)</f>
        <v/>
      </c>
      <c r="AE725">
        <f>IFERROR(INDEX(PP_Grid[#Data],$DD725,29),0)</f>
        <v/>
      </c>
      <c r="AF725">
        <f>IFERROR(INDEX(PP_Grid[#Data],$DD725,30),0)</f>
        <v/>
      </c>
      <c r="AG725">
        <f>IFERROR(INDEX(PP_Grid[#Data],$DD725,31),0)</f>
        <v/>
      </c>
      <c r="AH725">
        <f>IFERROR(INDEX(PP_Grid[#Data],$DD725,32),0)</f>
        <v/>
      </c>
      <c r="AI725">
        <f>IFERROR(INDEX(PP_Grid[#Data],$DD725,33),0)</f>
        <v/>
      </c>
      <c r="AJ725">
        <f>IFERROR(INDEX(PP_Grid[#Data],$DD725,34),0)</f>
        <v/>
      </c>
      <c r="AK725">
        <f>IFERROR(INDEX(PP_Grid[#Data],$DD725,35),0)</f>
        <v/>
      </c>
      <c r="AL725">
        <f>IFERROR(INDEX(PP_Grid[#Data],$DD725,36),0)</f>
        <v/>
      </c>
      <c r="AM725">
        <f>IFERROR(INDEX(PP_Grid[#Data],$DD725,37),0)</f>
        <v/>
      </c>
      <c r="AN725">
        <f>IFERROR(INDEX(PP_Grid[#Data],$DD725,38),0)</f>
        <v/>
      </c>
      <c r="AO725">
        <f>IFERROR(INDEX(PP_Grid[#Data],$DD725,39),0)</f>
        <v/>
      </c>
      <c r="AP725">
        <f>IFERROR(INDEX(PP_Grid[#Data],$DD725,40),0)</f>
        <v/>
      </c>
      <c r="AQ725">
        <f>IFERROR(INDEX(PP_Grid[#Data],$DD725,41),0)</f>
        <v/>
      </c>
      <c r="AR725">
        <f>IFERROR(INDEX(PP_Grid[#Data],$DD725,42),0)</f>
        <v/>
      </c>
      <c r="AS725">
        <f>IFERROR(INDEX(PP_Grid[#Data],$DD725,43),0)</f>
        <v/>
      </c>
      <c r="AT725">
        <f>IFERROR(INDEX(PP_Grid[#Data],$DD725,44),0)</f>
        <v/>
      </c>
      <c r="AU725">
        <f>IFERROR(INDEX(PP_Grid[#Data],$DD725,45),0)</f>
        <v/>
      </c>
      <c r="AV725">
        <f>IFERROR(INDEX(PP_Grid[#Data],$DD725,46),0)</f>
        <v/>
      </c>
      <c r="AW725">
        <f>IFERROR(INDEX(PP_Grid[#Data],$DD725,47),0)</f>
        <v/>
      </c>
      <c r="AX725">
        <f>IFERROR(INDEX(PP_Grid[#Data],$DD725,48),0)</f>
        <v/>
      </c>
      <c r="AY725">
        <f>IFERROR(INDEX(PP_Grid[#Data],$DD725,49),0)</f>
        <v/>
      </c>
      <c r="AZ725">
        <f>IFERROR(INDEX(PP_Grid[#Data],$DD725,50),0)</f>
        <v/>
      </c>
      <c r="BA725">
        <f>IFERROR(INDEX(PP_Grid[#Data],$DD725,51),0)</f>
        <v/>
      </c>
      <c r="BB725">
        <f>IFERROR(INDEX(PP_Grid[#Data],$DD725,52),0)</f>
        <v/>
      </c>
      <c r="BC725">
        <f>IFERROR(INDEX(PP_Grid[#Data],$DD725,53),0)</f>
        <v/>
      </c>
      <c r="BD725">
        <f>IFERROR(INDEX(PP_Grid[#Data],$DD725,54),0)</f>
        <v/>
      </c>
      <c r="BE725">
        <f>IFERROR(INDEX(PP_Grid[#Data],$DD725,55),0)</f>
        <v/>
      </c>
      <c r="BF725">
        <f>IFERROR(INDEX(PP_Grid[#Data],$DD725,56),0)</f>
        <v/>
      </c>
      <c r="BG725">
        <f>IFERROR(INDEX(PP_Grid[#Data],$DD725,57),0)</f>
        <v/>
      </c>
      <c r="BH725">
        <f>IFERROR(INDEX(PP_Grid[#Data],$DD725,58),0)</f>
        <v/>
      </c>
      <c r="BI725">
        <f>IFERROR(INDEX(PP_Grid[#Data],$DD725,59),0)</f>
        <v/>
      </c>
      <c r="BJ725">
        <f>IFERROR(INDEX(PP_Grid[#Data],$DD725,60),0)</f>
        <v/>
      </c>
      <c r="BK725">
        <f>IFERROR(INDEX(PP_Grid[#Data],$DD725,61),0)</f>
        <v/>
      </c>
      <c r="BL725">
        <f>IFERROR(INDEX(PP_Grid[#Data],$DD725,62),0)</f>
        <v/>
      </c>
      <c r="BM725">
        <f>IFERROR(INDEX(PP_Grid[#Data],$DD725,63),0)</f>
        <v/>
      </c>
      <c r="BN725">
        <f>IFERROR(INDEX(PP_Grid[#Data],$DD725,64),0)</f>
        <v/>
      </c>
      <c r="BO725">
        <f>IFERROR(INDEX(PP_Grid[#Data],$DD725,65),0)</f>
        <v/>
      </c>
      <c r="BP725">
        <f>IFERROR(INDEX(PP_Grid[#Data],$DD725,66),0)</f>
        <v/>
      </c>
      <c r="BQ725">
        <f>IFERROR(INDEX(PP_Grid[#Data],$DD725,67),0)</f>
        <v/>
      </c>
      <c r="BR725">
        <f>IFERROR(INDEX(PP_Grid[#Data],$DD725,68),0)</f>
        <v/>
      </c>
      <c r="BS725">
        <f>IFERROR(INDEX(PP_Grid[#Data],$DD725,69),0)</f>
        <v/>
      </c>
      <c r="BT725">
        <f>IFERROR(INDEX(PP_Grid[#Data],$DD725,70),0)</f>
        <v/>
      </c>
      <c r="BU725">
        <f>IFERROR(INDEX(PP_Grid[#Data],$DD725,71),0)</f>
        <v/>
      </c>
      <c r="BV725">
        <f>IFERROR(INDEX(PP_Grid[#Data],$DD725,72),0)</f>
        <v/>
      </c>
      <c r="BW725">
        <f>IFERROR(INDEX(PP_Grid[#Data],$DD725,73),0)</f>
        <v/>
      </c>
      <c r="BX725">
        <f>IFERROR(INDEX(PP_Grid[#Data],$DD725,74),0)</f>
        <v/>
      </c>
      <c r="BY725">
        <f>IFERROR(INDEX(PP_Grid[#Data],$DD725,75),0)</f>
        <v/>
      </c>
      <c r="BZ725">
        <f>IFERROR(INDEX(PP_Grid[#Data],$DD725,76),0)</f>
        <v/>
      </c>
      <c r="CA725">
        <f>IFERROR(INDEX(PP_Grid[#Data],$DD725,77),0)</f>
        <v/>
      </c>
      <c r="CB725">
        <f>IFERROR(INDEX(PP_Grid[#Data],$DD725,78),0)</f>
        <v/>
      </c>
      <c r="CC725">
        <f>IFERROR(INDEX(PP_Grid[#Data],$DD725,79),0)</f>
        <v/>
      </c>
      <c r="CD725">
        <f>IFERROR(INDEX(PP_Grid[#Data],$DD725,80),0)</f>
        <v/>
      </c>
      <c r="CE725">
        <f>IFERROR(INDEX(PP_Grid[#Data],$DD725,81),0)</f>
        <v/>
      </c>
      <c r="CF725">
        <f>IFERROR(INDEX(PP_Grid[#Data],$DD725,82),0)</f>
        <v/>
      </c>
      <c r="CG725">
        <f>IFERROR(INDEX(PP_Grid[#Data],$DD725,83),0)</f>
        <v/>
      </c>
      <c r="CH725">
        <f>IFERROR(INDEX(PP_Grid[#Data],$DD725,84),0)</f>
        <v/>
      </c>
      <c r="CI725">
        <f>IFERROR(INDEX(PP_Grid[#Data],$DD725,85),0)</f>
        <v/>
      </c>
      <c r="CJ725">
        <f>IFERROR(INDEX(PP_Grid[#Data],$DD725,86),0)</f>
        <v/>
      </c>
      <c r="CK725">
        <f>IFERROR(INDEX(PP_Grid[#Data],$DD725,87),0)</f>
        <v/>
      </c>
      <c r="CL725">
        <f>IFERROR(INDEX(PP_Grid[#Data],$DD725,88),0)</f>
        <v/>
      </c>
      <c r="CM725">
        <f>IFERROR(INDEX(PP_Grid[#Data],$DD725,89),0)</f>
        <v/>
      </c>
      <c r="CN725">
        <f>IFERROR(INDEX(PP_Grid[#Data],$DD725,90),0)</f>
        <v/>
      </c>
      <c r="CO725">
        <f>IFERROR(INDEX(PP_Grid[#Data],$DD725,91),0)</f>
        <v/>
      </c>
      <c r="CP725">
        <f>IFERROR(INDEX(PP_Grid[#Data],$DD725,92),0)</f>
        <v/>
      </c>
      <c r="CQ725">
        <f>IFERROR(INDEX(PP_Grid[#Data],$DD725,93),0)</f>
        <v/>
      </c>
      <c r="CR725">
        <f>IFERROR(INDEX(PP_Grid[#Data],$DD725,94),0)</f>
        <v/>
      </c>
      <c r="CS725">
        <f>IFERROR(INDEX(PP_Grid[#Data],$DD725,95),0)</f>
        <v/>
      </c>
      <c r="CT725">
        <f>IFERROR(INDEX(PP_Grid[#Data],$DD725,96),0)</f>
        <v/>
      </c>
      <c r="CU725">
        <f>IFERROR(INDEX(PP_Grid[#Data],$DD725,97),0)</f>
        <v/>
      </c>
      <c r="CV725">
        <f>IFERROR(INDEX(PP_Grid[#Data],$DD725,98),0)</f>
        <v/>
      </c>
      <c r="CW725">
        <f>IFERROR(INDEX(PP_Grid[#Data],$DD725,99),0)</f>
        <v/>
      </c>
      <c r="CX725">
        <f>IFERROR(INDEX(PP_Grid[#Data],$DD725,100),0)</f>
        <v/>
      </c>
      <c r="CY725">
        <f>IFERROR(INDEX(PP_Grid[#Data],$DD725,101),0)</f>
        <v/>
      </c>
      <c r="CZ725">
        <f>IFERROR(INDEX(PP_Grid[#Data],$DD725,102),0)</f>
        <v/>
      </c>
      <c r="DA725">
        <f>IFERROR(INDEX(PP_Grid[#Data],$DD725,103),0)</f>
        <v/>
      </c>
      <c r="DB725">
        <f>IFERROR(INDEX(PP_Grid[#Data],$DD725,104),0)</f>
        <v/>
      </c>
      <c r="DC725">
        <f>IFERROR(INDEX(PP_Grid[#Data],$DD725,105),0)</f>
        <v/>
      </c>
      <c r="DD725" s="7">
        <f>IFERROR(MATCH($B725,PP_Grid[Intermediate],0),99999)</f>
        <v/>
      </c>
    </row>
    <row r="726">
      <c r="B726" t="inlineStr">
        <is>
          <t>使用量(kg)</t>
        </is>
      </c>
      <c r="C726">
        <f>SUMIFS(M_BOM[RM_Qty_Per_Batch],M_BOM[Intermediate],$B725,M_BOM[Part Name],$A710)</f>
        <v/>
      </c>
      <c r="D726">
        <f>$C726*D725</f>
        <v/>
      </c>
      <c r="E726">
        <f>$C726*E725</f>
        <v/>
      </c>
      <c r="F726">
        <f>$C726*F725</f>
        <v/>
      </c>
      <c r="G726">
        <f>$C726*G725</f>
        <v/>
      </c>
      <c r="H726">
        <f>$C726*H725</f>
        <v/>
      </c>
      <c r="I726">
        <f>$C726*I725</f>
        <v/>
      </c>
      <c r="J726">
        <f>$C726*J725</f>
        <v/>
      </c>
      <c r="K726">
        <f>$C726*K725</f>
        <v/>
      </c>
      <c r="L726">
        <f>$C726*L725</f>
        <v/>
      </c>
      <c r="M726">
        <f>$C726*M725</f>
        <v/>
      </c>
      <c r="N726">
        <f>$C726*N725</f>
        <v/>
      </c>
      <c r="O726">
        <f>$C726*O725</f>
        <v/>
      </c>
      <c r="P726">
        <f>$C726*P725</f>
        <v/>
      </c>
      <c r="Q726">
        <f>$C726*Q725</f>
        <v/>
      </c>
      <c r="R726">
        <f>$C726*R725</f>
        <v/>
      </c>
      <c r="S726">
        <f>$C726*S725</f>
        <v/>
      </c>
      <c r="T726">
        <f>$C726*T725</f>
        <v/>
      </c>
      <c r="U726">
        <f>$C726*U725</f>
        <v/>
      </c>
      <c r="V726">
        <f>$C726*V725</f>
        <v/>
      </c>
      <c r="W726">
        <f>$C726*W725</f>
        <v/>
      </c>
      <c r="X726">
        <f>$C726*X725</f>
        <v/>
      </c>
      <c r="Y726">
        <f>$C726*Y725</f>
        <v/>
      </c>
      <c r="Z726">
        <f>$C726*Z725</f>
        <v/>
      </c>
      <c r="AA726">
        <f>$C726*AA725</f>
        <v/>
      </c>
      <c r="AB726">
        <f>$C726*AB725</f>
        <v/>
      </c>
      <c r="AC726">
        <f>$C726*AC725</f>
        <v/>
      </c>
      <c r="AD726">
        <f>$C726*AD725</f>
        <v/>
      </c>
      <c r="AE726">
        <f>$C726*AE725</f>
        <v/>
      </c>
      <c r="AF726">
        <f>$C726*AF725</f>
        <v/>
      </c>
      <c r="AG726">
        <f>$C726*AG725</f>
        <v/>
      </c>
      <c r="AH726">
        <f>$C726*AH725</f>
        <v/>
      </c>
      <c r="AI726">
        <f>$C726*AI725</f>
        <v/>
      </c>
      <c r="AJ726">
        <f>$C726*AJ725</f>
        <v/>
      </c>
      <c r="AK726">
        <f>$C726*AK725</f>
        <v/>
      </c>
      <c r="AL726">
        <f>$C726*AL725</f>
        <v/>
      </c>
      <c r="AM726">
        <f>$C726*AM725</f>
        <v/>
      </c>
      <c r="AN726">
        <f>$C726*AN725</f>
        <v/>
      </c>
      <c r="AO726">
        <f>$C726*AO725</f>
        <v/>
      </c>
      <c r="AP726">
        <f>$C726*AP725</f>
        <v/>
      </c>
      <c r="AQ726">
        <f>$C726*AQ725</f>
        <v/>
      </c>
      <c r="AR726">
        <f>$C726*AR725</f>
        <v/>
      </c>
      <c r="AS726">
        <f>$C726*AS725</f>
        <v/>
      </c>
      <c r="AT726">
        <f>$C726*AT725</f>
        <v/>
      </c>
      <c r="AU726">
        <f>$C726*AU725</f>
        <v/>
      </c>
      <c r="AV726">
        <f>$C726*AV725</f>
        <v/>
      </c>
      <c r="AW726">
        <f>$C726*AW725</f>
        <v/>
      </c>
      <c r="AX726">
        <f>$C726*AX725</f>
        <v/>
      </c>
      <c r="AY726">
        <f>$C726*AY725</f>
        <v/>
      </c>
      <c r="AZ726">
        <f>$C726*AZ725</f>
        <v/>
      </c>
      <c r="BA726">
        <f>$C726*BA725</f>
        <v/>
      </c>
      <c r="BB726">
        <f>$C726*BB725</f>
        <v/>
      </c>
      <c r="BC726">
        <f>$C726*BC725</f>
        <v/>
      </c>
      <c r="BD726">
        <f>$C726*BD725</f>
        <v/>
      </c>
      <c r="BE726">
        <f>$C726*BE725</f>
        <v/>
      </c>
      <c r="BF726">
        <f>$C726*BF725</f>
        <v/>
      </c>
      <c r="BG726">
        <f>$C726*BG725</f>
        <v/>
      </c>
      <c r="BH726">
        <f>$C726*BH725</f>
        <v/>
      </c>
      <c r="BI726">
        <f>$C726*BI725</f>
        <v/>
      </c>
      <c r="BJ726">
        <f>$C726*BJ725</f>
        <v/>
      </c>
      <c r="BK726">
        <f>$C726*BK725</f>
        <v/>
      </c>
      <c r="BL726">
        <f>$C726*BL725</f>
        <v/>
      </c>
      <c r="BM726">
        <f>$C726*BM725</f>
        <v/>
      </c>
      <c r="BN726">
        <f>$C726*BN725</f>
        <v/>
      </c>
      <c r="BO726">
        <f>$C726*BO725</f>
        <v/>
      </c>
      <c r="BP726">
        <f>$C726*BP725</f>
        <v/>
      </c>
      <c r="BQ726">
        <f>$C726*BQ725</f>
        <v/>
      </c>
      <c r="BR726">
        <f>$C726*BR725</f>
        <v/>
      </c>
      <c r="BS726">
        <f>$C726*BS725</f>
        <v/>
      </c>
      <c r="BT726">
        <f>$C726*BT725</f>
        <v/>
      </c>
      <c r="BU726">
        <f>$C726*BU725</f>
        <v/>
      </c>
      <c r="BV726">
        <f>$C726*BV725</f>
        <v/>
      </c>
      <c r="BW726">
        <f>$C726*BW725</f>
        <v/>
      </c>
      <c r="BX726">
        <f>$C726*BX725</f>
        <v/>
      </c>
      <c r="BY726">
        <f>$C726*BY725</f>
        <v/>
      </c>
      <c r="BZ726">
        <f>$C726*BZ725</f>
        <v/>
      </c>
      <c r="CA726">
        <f>$C726*CA725</f>
        <v/>
      </c>
      <c r="CB726">
        <f>$C726*CB725</f>
        <v/>
      </c>
      <c r="CC726">
        <f>$C726*CC725</f>
        <v/>
      </c>
      <c r="CD726">
        <f>$C726*CD725</f>
        <v/>
      </c>
      <c r="CE726">
        <f>$C726*CE725</f>
        <v/>
      </c>
      <c r="CF726">
        <f>$C726*CF725</f>
        <v/>
      </c>
      <c r="CG726">
        <f>$C726*CG725</f>
        <v/>
      </c>
      <c r="CH726">
        <f>$C726*CH725</f>
        <v/>
      </c>
      <c r="CI726">
        <f>$C726*CI725</f>
        <v/>
      </c>
      <c r="CJ726">
        <f>$C726*CJ725</f>
        <v/>
      </c>
      <c r="CK726">
        <f>$C726*CK725</f>
        <v/>
      </c>
      <c r="CL726">
        <f>$C726*CL725</f>
        <v/>
      </c>
      <c r="CM726">
        <f>$C726*CM725</f>
        <v/>
      </c>
      <c r="CN726">
        <f>$C726*CN725</f>
        <v/>
      </c>
      <c r="CO726">
        <f>$C726*CO725</f>
        <v/>
      </c>
      <c r="CP726">
        <f>$C726*CP725</f>
        <v/>
      </c>
      <c r="CQ726">
        <f>$C726*CQ725</f>
        <v/>
      </c>
      <c r="CR726">
        <f>$C726*CR725</f>
        <v/>
      </c>
      <c r="CS726">
        <f>$C726*CS725</f>
        <v/>
      </c>
      <c r="CT726">
        <f>$C726*CT725</f>
        <v/>
      </c>
      <c r="CU726">
        <f>$C726*CU725</f>
        <v/>
      </c>
      <c r="CV726">
        <f>$C726*CV725</f>
        <v/>
      </c>
      <c r="CW726">
        <f>$C726*CW725</f>
        <v/>
      </c>
      <c r="CX726">
        <f>$C726*CX725</f>
        <v/>
      </c>
      <c r="CY726">
        <f>$C726*CY725</f>
        <v/>
      </c>
      <c r="CZ726">
        <f>$C726*CZ725</f>
        <v/>
      </c>
      <c r="DA726">
        <f>$C726*DA725</f>
        <v/>
      </c>
      <c r="DB726">
        <f>$C726*DB725</f>
        <v/>
      </c>
      <c r="DC726">
        <f>$C726*DC725</f>
        <v/>
      </c>
    </row>
    <row r="727">
      <c r="B727" t="inlineStr">
        <is>
          <t>VSP-602</t>
        </is>
      </c>
      <c r="C727" t="inlineStr">
        <is>
          <t>No. of batches</t>
        </is>
      </c>
      <c r="D727">
        <f>IFERROR(INDEX(PP_Grid[#Data],$DD727,2),0)</f>
        <v/>
      </c>
      <c r="E727">
        <f>IFERROR(INDEX(PP_Grid[#Data],$DD727,3),0)</f>
        <v/>
      </c>
      <c r="F727">
        <f>IFERROR(INDEX(PP_Grid[#Data],$DD727,4),0)</f>
        <v/>
      </c>
      <c r="G727">
        <f>IFERROR(INDEX(PP_Grid[#Data],$DD727,5),0)</f>
        <v/>
      </c>
      <c r="H727">
        <f>IFERROR(INDEX(PP_Grid[#Data],$DD727,6),0)</f>
        <v/>
      </c>
      <c r="I727">
        <f>IFERROR(INDEX(PP_Grid[#Data],$DD727,7),0)</f>
        <v/>
      </c>
      <c r="J727">
        <f>IFERROR(INDEX(PP_Grid[#Data],$DD727,8),0)</f>
        <v/>
      </c>
      <c r="K727">
        <f>IFERROR(INDEX(PP_Grid[#Data],$DD727,9),0)</f>
        <v/>
      </c>
      <c r="L727">
        <f>IFERROR(INDEX(PP_Grid[#Data],$DD727,10),0)</f>
        <v/>
      </c>
      <c r="M727">
        <f>IFERROR(INDEX(PP_Grid[#Data],$DD727,11),0)</f>
        <v/>
      </c>
      <c r="N727">
        <f>IFERROR(INDEX(PP_Grid[#Data],$DD727,12),0)</f>
        <v/>
      </c>
      <c r="O727">
        <f>IFERROR(INDEX(PP_Grid[#Data],$DD727,13),0)</f>
        <v/>
      </c>
      <c r="P727">
        <f>IFERROR(INDEX(PP_Grid[#Data],$DD727,14),0)</f>
        <v/>
      </c>
      <c r="Q727">
        <f>IFERROR(INDEX(PP_Grid[#Data],$DD727,15),0)</f>
        <v/>
      </c>
      <c r="R727">
        <f>IFERROR(INDEX(PP_Grid[#Data],$DD727,16),0)</f>
        <v/>
      </c>
      <c r="S727">
        <f>IFERROR(INDEX(PP_Grid[#Data],$DD727,17),0)</f>
        <v/>
      </c>
      <c r="T727">
        <f>IFERROR(INDEX(PP_Grid[#Data],$DD727,18),0)</f>
        <v/>
      </c>
      <c r="U727">
        <f>IFERROR(INDEX(PP_Grid[#Data],$DD727,19),0)</f>
        <v/>
      </c>
      <c r="V727">
        <f>IFERROR(INDEX(PP_Grid[#Data],$DD727,20),0)</f>
        <v/>
      </c>
      <c r="W727">
        <f>IFERROR(INDEX(PP_Grid[#Data],$DD727,21),0)</f>
        <v/>
      </c>
      <c r="X727">
        <f>IFERROR(INDEX(PP_Grid[#Data],$DD727,22),0)</f>
        <v/>
      </c>
      <c r="Y727">
        <f>IFERROR(INDEX(PP_Grid[#Data],$DD727,23),0)</f>
        <v/>
      </c>
      <c r="Z727">
        <f>IFERROR(INDEX(PP_Grid[#Data],$DD727,24),0)</f>
        <v/>
      </c>
      <c r="AA727">
        <f>IFERROR(INDEX(PP_Grid[#Data],$DD727,25),0)</f>
        <v/>
      </c>
      <c r="AB727">
        <f>IFERROR(INDEX(PP_Grid[#Data],$DD727,26),0)</f>
        <v/>
      </c>
      <c r="AC727">
        <f>IFERROR(INDEX(PP_Grid[#Data],$DD727,27),0)</f>
        <v/>
      </c>
      <c r="AD727">
        <f>IFERROR(INDEX(PP_Grid[#Data],$DD727,28),0)</f>
        <v/>
      </c>
      <c r="AE727">
        <f>IFERROR(INDEX(PP_Grid[#Data],$DD727,29),0)</f>
        <v/>
      </c>
      <c r="AF727">
        <f>IFERROR(INDEX(PP_Grid[#Data],$DD727,30),0)</f>
        <v/>
      </c>
      <c r="AG727">
        <f>IFERROR(INDEX(PP_Grid[#Data],$DD727,31),0)</f>
        <v/>
      </c>
      <c r="AH727">
        <f>IFERROR(INDEX(PP_Grid[#Data],$DD727,32),0)</f>
        <v/>
      </c>
      <c r="AI727">
        <f>IFERROR(INDEX(PP_Grid[#Data],$DD727,33),0)</f>
        <v/>
      </c>
      <c r="AJ727">
        <f>IFERROR(INDEX(PP_Grid[#Data],$DD727,34),0)</f>
        <v/>
      </c>
      <c r="AK727">
        <f>IFERROR(INDEX(PP_Grid[#Data],$DD727,35),0)</f>
        <v/>
      </c>
      <c r="AL727">
        <f>IFERROR(INDEX(PP_Grid[#Data],$DD727,36),0)</f>
        <v/>
      </c>
      <c r="AM727">
        <f>IFERROR(INDEX(PP_Grid[#Data],$DD727,37),0)</f>
        <v/>
      </c>
      <c r="AN727">
        <f>IFERROR(INDEX(PP_Grid[#Data],$DD727,38),0)</f>
        <v/>
      </c>
      <c r="AO727">
        <f>IFERROR(INDEX(PP_Grid[#Data],$DD727,39),0)</f>
        <v/>
      </c>
      <c r="AP727">
        <f>IFERROR(INDEX(PP_Grid[#Data],$DD727,40),0)</f>
        <v/>
      </c>
      <c r="AQ727">
        <f>IFERROR(INDEX(PP_Grid[#Data],$DD727,41),0)</f>
        <v/>
      </c>
      <c r="AR727">
        <f>IFERROR(INDEX(PP_Grid[#Data],$DD727,42),0)</f>
        <v/>
      </c>
      <c r="AS727">
        <f>IFERROR(INDEX(PP_Grid[#Data],$DD727,43),0)</f>
        <v/>
      </c>
      <c r="AT727">
        <f>IFERROR(INDEX(PP_Grid[#Data],$DD727,44),0)</f>
        <v/>
      </c>
      <c r="AU727">
        <f>IFERROR(INDEX(PP_Grid[#Data],$DD727,45),0)</f>
        <v/>
      </c>
      <c r="AV727">
        <f>IFERROR(INDEX(PP_Grid[#Data],$DD727,46),0)</f>
        <v/>
      </c>
      <c r="AW727">
        <f>IFERROR(INDEX(PP_Grid[#Data],$DD727,47),0)</f>
        <v/>
      </c>
      <c r="AX727">
        <f>IFERROR(INDEX(PP_Grid[#Data],$DD727,48),0)</f>
        <v/>
      </c>
      <c r="AY727">
        <f>IFERROR(INDEX(PP_Grid[#Data],$DD727,49),0)</f>
        <v/>
      </c>
      <c r="AZ727">
        <f>IFERROR(INDEX(PP_Grid[#Data],$DD727,50),0)</f>
        <v/>
      </c>
      <c r="BA727">
        <f>IFERROR(INDEX(PP_Grid[#Data],$DD727,51),0)</f>
        <v/>
      </c>
      <c r="BB727">
        <f>IFERROR(INDEX(PP_Grid[#Data],$DD727,52),0)</f>
        <v/>
      </c>
      <c r="BC727">
        <f>IFERROR(INDEX(PP_Grid[#Data],$DD727,53),0)</f>
        <v/>
      </c>
      <c r="BD727">
        <f>IFERROR(INDEX(PP_Grid[#Data],$DD727,54),0)</f>
        <v/>
      </c>
      <c r="BE727">
        <f>IFERROR(INDEX(PP_Grid[#Data],$DD727,55),0)</f>
        <v/>
      </c>
      <c r="BF727">
        <f>IFERROR(INDEX(PP_Grid[#Data],$DD727,56),0)</f>
        <v/>
      </c>
      <c r="BG727">
        <f>IFERROR(INDEX(PP_Grid[#Data],$DD727,57),0)</f>
        <v/>
      </c>
      <c r="BH727">
        <f>IFERROR(INDEX(PP_Grid[#Data],$DD727,58),0)</f>
        <v/>
      </c>
      <c r="BI727">
        <f>IFERROR(INDEX(PP_Grid[#Data],$DD727,59),0)</f>
        <v/>
      </c>
      <c r="BJ727">
        <f>IFERROR(INDEX(PP_Grid[#Data],$DD727,60),0)</f>
        <v/>
      </c>
      <c r="BK727">
        <f>IFERROR(INDEX(PP_Grid[#Data],$DD727,61),0)</f>
        <v/>
      </c>
      <c r="BL727">
        <f>IFERROR(INDEX(PP_Grid[#Data],$DD727,62),0)</f>
        <v/>
      </c>
      <c r="BM727">
        <f>IFERROR(INDEX(PP_Grid[#Data],$DD727,63),0)</f>
        <v/>
      </c>
      <c r="BN727">
        <f>IFERROR(INDEX(PP_Grid[#Data],$DD727,64),0)</f>
        <v/>
      </c>
      <c r="BO727">
        <f>IFERROR(INDEX(PP_Grid[#Data],$DD727,65),0)</f>
        <v/>
      </c>
      <c r="BP727">
        <f>IFERROR(INDEX(PP_Grid[#Data],$DD727,66),0)</f>
        <v/>
      </c>
      <c r="BQ727">
        <f>IFERROR(INDEX(PP_Grid[#Data],$DD727,67),0)</f>
        <v/>
      </c>
      <c r="BR727">
        <f>IFERROR(INDEX(PP_Grid[#Data],$DD727,68),0)</f>
        <v/>
      </c>
      <c r="BS727">
        <f>IFERROR(INDEX(PP_Grid[#Data],$DD727,69),0)</f>
        <v/>
      </c>
      <c r="BT727">
        <f>IFERROR(INDEX(PP_Grid[#Data],$DD727,70),0)</f>
        <v/>
      </c>
      <c r="BU727">
        <f>IFERROR(INDEX(PP_Grid[#Data],$DD727,71),0)</f>
        <v/>
      </c>
      <c r="BV727">
        <f>IFERROR(INDEX(PP_Grid[#Data],$DD727,72),0)</f>
        <v/>
      </c>
      <c r="BW727">
        <f>IFERROR(INDEX(PP_Grid[#Data],$DD727,73),0)</f>
        <v/>
      </c>
      <c r="BX727">
        <f>IFERROR(INDEX(PP_Grid[#Data],$DD727,74),0)</f>
        <v/>
      </c>
      <c r="BY727">
        <f>IFERROR(INDEX(PP_Grid[#Data],$DD727,75),0)</f>
        <v/>
      </c>
      <c r="BZ727">
        <f>IFERROR(INDEX(PP_Grid[#Data],$DD727,76),0)</f>
        <v/>
      </c>
      <c r="CA727">
        <f>IFERROR(INDEX(PP_Grid[#Data],$DD727,77),0)</f>
        <v/>
      </c>
      <c r="CB727">
        <f>IFERROR(INDEX(PP_Grid[#Data],$DD727,78),0)</f>
        <v/>
      </c>
      <c r="CC727">
        <f>IFERROR(INDEX(PP_Grid[#Data],$DD727,79),0)</f>
        <v/>
      </c>
      <c r="CD727">
        <f>IFERROR(INDEX(PP_Grid[#Data],$DD727,80),0)</f>
        <v/>
      </c>
      <c r="CE727">
        <f>IFERROR(INDEX(PP_Grid[#Data],$DD727,81),0)</f>
        <v/>
      </c>
      <c r="CF727">
        <f>IFERROR(INDEX(PP_Grid[#Data],$DD727,82),0)</f>
        <v/>
      </c>
      <c r="CG727">
        <f>IFERROR(INDEX(PP_Grid[#Data],$DD727,83),0)</f>
        <v/>
      </c>
      <c r="CH727">
        <f>IFERROR(INDEX(PP_Grid[#Data],$DD727,84),0)</f>
        <v/>
      </c>
      <c r="CI727">
        <f>IFERROR(INDEX(PP_Grid[#Data],$DD727,85),0)</f>
        <v/>
      </c>
      <c r="CJ727">
        <f>IFERROR(INDEX(PP_Grid[#Data],$DD727,86),0)</f>
        <v/>
      </c>
      <c r="CK727">
        <f>IFERROR(INDEX(PP_Grid[#Data],$DD727,87),0)</f>
        <v/>
      </c>
      <c r="CL727">
        <f>IFERROR(INDEX(PP_Grid[#Data],$DD727,88),0)</f>
        <v/>
      </c>
      <c r="CM727">
        <f>IFERROR(INDEX(PP_Grid[#Data],$DD727,89),0)</f>
        <v/>
      </c>
      <c r="CN727">
        <f>IFERROR(INDEX(PP_Grid[#Data],$DD727,90),0)</f>
        <v/>
      </c>
      <c r="CO727">
        <f>IFERROR(INDEX(PP_Grid[#Data],$DD727,91),0)</f>
        <v/>
      </c>
      <c r="CP727">
        <f>IFERROR(INDEX(PP_Grid[#Data],$DD727,92),0)</f>
        <v/>
      </c>
      <c r="CQ727">
        <f>IFERROR(INDEX(PP_Grid[#Data],$DD727,93),0)</f>
        <v/>
      </c>
      <c r="CR727">
        <f>IFERROR(INDEX(PP_Grid[#Data],$DD727,94),0)</f>
        <v/>
      </c>
      <c r="CS727">
        <f>IFERROR(INDEX(PP_Grid[#Data],$DD727,95),0)</f>
        <v/>
      </c>
      <c r="CT727">
        <f>IFERROR(INDEX(PP_Grid[#Data],$DD727,96),0)</f>
        <v/>
      </c>
      <c r="CU727">
        <f>IFERROR(INDEX(PP_Grid[#Data],$DD727,97),0)</f>
        <v/>
      </c>
      <c r="CV727">
        <f>IFERROR(INDEX(PP_Grid[#Data],$DD727,98),0)</f>
        <v/>
      </c>
      <c r="CW727">
        <f>IFERROR(INDEX(PP_Grid[#Data],$DD727,99),0)</f>
        <v/>
      </c>
      <c r="CX727">
        <f>IFERROR(INDEX(PP_Grid[#Data],$DD727,100),0)</f>
        <v/>
      </c>
      <c r="CY727">
        <f>IFERROR(INDEX(PP_Grid[#Data],$DD727,101),0)</f>
        <v/>
      </c>
      <c r="CZ727">
        <f>IFERROR(INDEX(PP_Grid[#Data],$DD727,102),0)</f>
        <v/>
      </c>
      <c r="DA727">
        <f>IFERROR(INDEX(PP_Grid[#Data],$DD727,103),0)</f>
        <v/>
      </c>
      <c r="DB727">
        <f>IFERROR(INDEX(PP_Grid[#Data],$DD727,104),0)</f>
        <v/>
      </c>
      <c r="DC727">
        <f>IFERROR(INDEX(PP_Grid[#Data],$DD727,105),0)</f>
        <v/>
      </c>
      <c r="DD727" s="7">
        <f>IFERROR(MATCH($B727,PP_Grid[Intermediate],0),99999)</f>
        <v/>
      </c>
    </row>
    <row r="728">
      <c r="B728" t="inlineStr">
        <is>
          <t>使用量(kg)</t>
        </is>
      </c>
      <c r="C728">
        <f>SUMIFS(M_BOM[RM_Qty_Per_Batch],M_BOM[Intermediate],$B727,M_BOM[Part Name],$A710)</f>
        <v/>
      </c>
      <c r="D728">
        <f>$C728*D727</f>
        <v/>
      </c>
      <c r="E728">
        <f>$C728*E727</f>
        <v/>
      </c>
      <c r="F728">
        <f>$C728*F727</f>
        <v/>
      </c>
      <c r="G728">
        <f>$C728*G727</f>
        <v/>
      </c>
      <c r="H728">
        <f>$C728*H727</f>
        <v/>
      </c>
      <c r="I728">
        <f>$C728*I727</f>
        <v/>
      </c>
      <c r="J728">
        <f>$C728*J727</f>
        <v/>
      </c>
      <c r="K728">
        <f>$C728*K727</f>
        <v/>
      </c>
      <c r="L728">
        <f>$C728*L727</f>
        <v/>
      </c>
      <c r="M728">
        <f>$C728*M727</f>
        <v/>
      </c>
      <c r="N728">
        <f>$C728*N727</f>
        <v/>
      </c>
      <c r="O728">
        <f>$C728*O727</f>
        <v/>
      </c>
      <c r="P728">
        <f>$C728*P727</f>
        <v/>
      </c>
      <c r="Q728">
        <f>$C728*Q727</f>
        <v/>
      </c>
      <c r="R728">
        <f>$C728*R727</f>
        <v/>
      </c>
      <c r="S728">
        <f>$C728*S727</f>
        <v/>
      </c>
      <c r="T728">
        <f>$C728*T727</f>
        <v/>
      </c>
      <c r="U728">
        <f>$C728*U727</f>
        <v/>
      </c>
      <c r="V728">
        <f>$C728*V727</f>
        <v/>
      </c>
      <c r="W728">
        <f>$C728*W727</f>
        <v/>
      </c>
      <c r="X728">
        <f>$C728*X727</f>
        <v/>
      </c>
      <c r="Y728">
        <f>$C728*Y727</f>
        <v/>
      </c>
      <c r="Z728">
        <f>$C728*Z727</f>
        <v/>
      </c>
      <c r="AA728">
        <f>$C728*AA727</f>
        <v/>
      </c>
      <c r="AB728">
        <f>$C728*AB727</f>
        <v/>
      </c>
      <c r="AC728">
        <f>$C728*AC727</f>
        <v/>
      </c>
      <c r="AD728">
        <f>$C728*AD727</f>
        <v/>
      </c>
      <c r="AE728">
        <f>$C728*AE727</f>
        <v/>
      </c>
      <c r="AF728">
        <f>$C728*AF727</f>
        <v/>
      </c>
      <c r="AG728">
        <f>$C728*AG727</f>
        <v/>
      </c>
      <c r="AH728">
        <f>$C728*AH727</f>
        <v/>
      </c>
      <c r="AI728">
        <f>$C728*AI727</f>
        <v/>
      </c>
      <c r="AJ728">
        <f>$C728*AJ727</f>
        <v/>
      </c>
      <c r="AK728">
        <f>$C728*AK727</f>
        <v/>
      </c>
      <c r="AL728">
        <f>$C728*AL727</f>
        <v/>
      </c>
      <c r="AM728">
        <f>$C728*AM727</f>
        <v/>
      </c>
      <c r="AN728">
        <f>$C728*AN727</f>
        <v/>
      </c>
      <c r="AO728">
        <f>$C728*AO727</f>
        <v/>
      </c>
      <c r="AP728">
        <f>$C728*AP727</f>
        <v/>
      </c>
      <c r="AQ728">
        <f>$C728*AQ727</f>
        <v/>
      </c>
      <c r="AR728">
        <f>$C728*AR727</f>
        <v/>
      </c>
      <c r="AS728">
        <f>$C728*AS727</f>
        <v/>
      </c>
      <c r="AT728">
        <f>$C728*AT727</f>
        <v/>
      </c>
      <c r="AU728">
        <f>$C728*AU727</f>
        <v/>
      </c>
      <c r="AV728">
        <f>$C728*AV727</f>
        <v/>
      </c>
      <c r="AW728">
        <f>$C728*AW727</f>
        <v/>
      </c>
      <c r="AX728">
        <f>$C728*AX727</f>
        <v/>
      </c>
      <c r="AY728">
        <f>$C728*AY727</f>
        <v/>
      </c>
      <c r="AZ728">
        <f>$C728*AZ727</f>
        <v/>
      </c>
      <c r="BA728">
        <f>$C728*BA727</f>
        <v/>
      </c>
      <c r="BB728">
        <f>$C728*BB727</f>
        <v/>
      </c>
      <c r="BC728">
        <f>$C728*BC727</f>
        <v/>
      </c>
      <c r="BD728">
        <f>$C728*BD727</f>
        <v/>
      </c>
      <c r="BE728">
        <f>$C728*BE727</f>
        <v/>
      </c>
      <c r="BF728">
        <f>$C728*BF727</f>
        <v/>
      </c>
      <c r="BG728">
        <f>$C728*BG727</f>
        <v/>
      </c>
      <c r="BH728">
        <f>$C728*BH727</f>
        <v/>
      </c>
      <c r="BI728">
        <f>$C728*BI727</f>
        <v/>
      </c>
      <c r="BJ728">
        <f>$C728*BJ727</f>
        <v/>
      </c>
      <c r="BK728">
        <f>$C728*BK727</f>
        <v/>
      </c>
      <c r="BL728">
        <f>$C728*BL727</f>
        <v/>
      </c>
      <c r="BM728">
        <f>$C728*BM727</f>
        <v/>
      </c>
      <c r="BN728">
        <f>$C728*BN727</f>
        <v/>
      </c>
      <c r="BO728">
        <f>$C728*BO727</f>
        <v/>
      </c>
      <c r="BP728">
        <f>$C728*BP727</f>
        <v/>
      </c>
      <c r="BQ728">
        <f>$C728*BQ727</f>
        <v/>
      </c>
      <c r="BR728">
        <f>$C728*BR727</f>
        <v/>
      </c>
      <c r="BS728">
        <f>$C728*BS727</f>
        <v/>
      </c>
      <c r="BT728">
        <f>$C728*BT727</f>
        <v/>
      </c>
      <c r="BU728">
        <f>$C728*BU727</f>
        <v/>
      </c>
      <c r="BV728">
        <f>$C728*BV727</f>
        <v/>
      </c>
      <c r="BW728">
        <f>$C728*BW727</f>
        <v/>
      </c>
      <c r="BX728">
        <f>$C728*BX727</f>
        <v/>
      </c>
      <c r="BY728">
        <f>$C728*BY727</f>
        <v/>
      </c>
      <c r="BZ728">
        <f>$C728*BZ727</f>
        <v/>
      </c>
      <c r="CA728">
        <f>$C728*CA727</f>
        <v/>
      </c>
      <c r="CB728">
        <f>$C728*CB727</f>
        <v/>
      </c>
      <c r="CC728">
        <f>$C728*CC727</f>
        <v/>
      </c>
      <c r="CD728">
        <f>$C728*CD727</f>
        <v/>
      </c>
      <c r="CE728">
        <f>$C728*CE727</f>
        <v/>
      </c>
      <c r="CF728">
        <f>$C728*CF727</f>
        <v/>
      </c>
      <c r="CG728">
        <f>$C728*CG727</f>
        <v/>
      </c>
      <c r="CH728">
        <f>$C728*CH727</f>
        <v/>
      </c>
      <c r="CI728">
        <f>$C728*CI727</f>
        <v/>
      </c>
      <c r="CJ728">
        <f>$C728*CJ727</f>
        <v/>
      </c>
      <c r="CK728">
        <f>$C728*CK727</f>
        <v/>
      </c>
      <c r="CL728">
        <f>$C728*CL727</f>
        <v/>
      </c>
      <c r="CM728">
        <f>$C728*CM727</f>
        <v/>
      </c>
      <c r="CN728">
        <f>$C728*CN727</f>
        <v/>
      </c>
      <c r="CO728">
        <f>$C728*CO727</f>
        <v/>
      </c>
      <c r="CP728">
        <f>$C728*CP727</f>
        <v/>
      </c>
      <c r="CQ728">
        <f>$C728*CQ727</f>
        <v/>
      </c>
      <c r="CR728">
        <f>$C728*CR727</f>
        <v/>
      </c>
      <c r="CS728">
        <f>$C728*CS727</f>
        <v/>
      </c>
      <c r="CT728">
        <f>$C728*CT727</f>
        <v/>
      </c>
      <c r="CU728">
        <f>$C728*CU727</f>
        <v/>
      </c>
      <c r="CV728">
        <f>$C728*CV727</f>
        <v/>
      </c>
      <c r="CW728">
        <f>$C728*CW727</f>
        <v/>
      </c>
      <c r="CX728">
        <f>$C728*CX727</f>
        <v/>
      </c>
      <c r="CY728">
        <f>$C728*CY727</f>
        <v/>
      </c>
      <c r="CZ728">
        <f>$C728*CZ727</f>
        <v/>
      </c>
      <c r="DA728">
        <f>$C728*DA727</f>
        <v/>
      </c>
      <c r="DB728">
        <f>$C728*DB727</f>
        <v/>
      </c>
      <c r="DC728">
        <f>$C728*DC727</f>
        <v/>
      </c>
    </row>
    <row r="729">
      <c r="B729" t="inlineStr">
        <is>
          <t>VSP-605</t>
        </is>
      </c>
      <c r="C729" t="inlineStr">
        <is>
          <t>No. of batches</t>
        </is>
      </c>
      <c r="D729">
        <f>IFERROR(INDEX(PP_Grid[#Data],$DD729,2),0)</f>
        <v/>
      </c>
      <c r="E729">
        <f>IFERROR(INDEX(PP_Grid[#Data],$DD729,3),0)</f>
        <v/>
      </c>
      <c r="F729">
        <f>IFERROR(INDEX(PP_Grid[#Data],$DD729,4),0)</f>
        <v/>
      </c>
      <c r="G729">
        <f>IFERROR(INDEX(PP_Grid[#Data],$DD729,5),0)</f>
        <v/>
      </c>
      <c r="H729">
        <f>IFERROR(INDEX(PP_Grid[#Data],$DD729,6),0)</f>
        <v/>
      </c>
      <c r="I729">
        <f>IFERROR(INDEX(PP_Grid[#Data],$DD729,7),0)</f>
        <v/>
      </c>
      <c r="J729">
        <f>IFERROR(INDEX(PP_Grid[#Data],$DD729,8),0)</f>
        <v/>
      </c>
      <c r="K729">
        <f>IFERROR(INDEX(PP_Grid[#Data],$DD729,9),0)</f>
        <v/>
      </c>
      <c r="L729">
        <f>IFERROR(INDEX(PP_Grid[#Data],$DD729,10),0)</f>
        <v/>
      </c>
      <c r="M729">
        <f>IFERROR(INDEX(PP_Grid[#Data],$DD729,11),0)</f>
        <v/>
      </c>
      <c r="N729">
        <f>IFERROR(INDEX(PP_Grid[#Data],$DD729,12),0)</f>
        <v/>
      </c>
      <c r="O729">
        <f>IFERROR(INDEX(PP_Grid[#Data],$DD729,13),0)</f>
        <v/>
      </c>
      <c r="P729">
        <f>IFERROR(INDEX(PP_Grid[#Data],$DD729,14),0)</f>
        <v/>
      </c>
      <c r="Q729">
        <f>IFERROR(INDEX(PP_Grid[#Data],$DD729,15),0)</f>
        <v/>
      </c>
      <c r="R729">
        <f>IFERROR(INDEX(PP_Grid[#Data],$DD729,16),0)</f>
        <v/>
      </c>
      <c r="S729">
        <f>IFERROR(INDEX(PP_Grid[#Data],$DD729,17),0)</f>
        <v/>
      </c>
      <c r="T729">
        <f>IFERROR(INDEX(PP_Grid[#Data],$DD729,18),0)</f>
        <v/>
      </c>
      <c r="U729">
        <f>IFERROR(INDEX(PP_Grid[#Data],$DD729,19),0)</f>
        <v/>
      </c>
      <c r="V729">
        <f>IFERROR(INDEX(PP_Grid[#Data],$DD729,20),0)</f>
        <v/>
      </c>
      <c r="W729">
        <f>IFERROR(INDEX(PP_Grid[#Data],$DD729,21),0)</f>
        <v/>
      </c>
      <c r="X729">
        <f>IFERROR(INDEX(PP_Grid[#Data],$DD729,22),0)</f>
        <v/>
      </c>
      <c r="Y729">
        <f>IFERROR(INDEX(PP_Grid[#Data],$DD729,23),0)</f>
        <v/>
      </c>
      <c r="Z729">
        <f>IFERROR(INDEX(PP_Grid[#Data],$DD729,24),0)</f>
        <v/>
      </c>
      <c r="AA729">
        <f>IFERROR(INDEX(PP_Grid[#Data],$DD729,25),0)</f>
        <v/>
      </c>
      <c r="AB729">
        <f>IFERROR(INDEX(PP_Grid[#Data],$DD729,26),0)</f>
        <v/>
      </c>
      <c r="AC729">
        <f>IFERROR(INDEX(PP_Grid[#Data],$DD729,27),0)</f>
        <v/>
      </c>
      <c r="AD729">
        <f>IFERROR(INDEX(PP_Grid[#Data],$DD729,28),0)</f>
        <v/>
      </c>
      <c r="AE729">
        <f>IFERROR(INDEX(PP_Grid[#Data],$DD729,29),0)</f>
        <v/>
      </c>
      <c r="AF729">
        <f>IFERROR(INDEX(PP_Grid[#Data],$DD729,30),0)</f>
        <v/>
      </c>
      <c r="AG729">
        <f>IFERROR(INDEX(PP_Grid[#Data],$DD729,31),0)</f>
        <v/>
      </c>
      <c r="AH729">
        <f>IFERROR(INDEX(PP_Grid[#Data],$DD729,32),0)</f>
        <v/>
      </c>
      <c r="AI729">
        <f>IFERROR(INDEX(PP_Grid[#Data],$DD729,33),0)</f>
        <v/>
      </c>
      <c r="AJ729">
        <f>IFERROR(INDEX(PP_Grid[#Data],$DD729,34),0)</f>
        <v/>
      </c>
      <c r="AK729">
        <f>IFERROR(INDEX(PP_Grid[#Data],$DD729,35),0)</f>
        <v/>
      </c>
      <c r="AL729">
        <f>IFERROR(INDEX(PP_Grid[#Data],$DD729,36),0)</f>
        <v/>
      </c>
      <c r="AM729">
        <f>IFERROR(INDEX(PP_Grid[#Data],$DD729,37),0)</f>
        <v/>
      </c>
      <c r="AN729">
        <f>IFERROR(INDEX(PP_Grid[#Data],$DD729,38),0)</f>
        <v/>
      </c>
      <c r="AO729">
        <f>IFERROR(INDEX(PP_Grid[#Data],$DD729,39),0)</f>
        <v/>
      </c>
      <c r="AP729">
        <f>IFERROR(INDEX(PP_Grid[#Data],$DD729,40),0)</f>
        <v/>
      </c>
      <c r="AQ729">
        <f>IFERROR(INDEX(PP_Grid[#Data],$DD729,41),0)</f>
        <v/>
      </c>
      <c r="AR729">
        <f>IFERROR(INDEX(PP_Grid[#Data],$DD729,42),0)</f>
        <v/>
      </c>
      <c r="AS729">
        <f>IFERROR(INDEX(PP_Grid[#Data],$DD729,43),0)</f>
        <v/>
      </c>
      <c r="AT729">
        <f>IFERROR(INDEX(PP_Grid[#Data],$DD729,44),0)</f>
        <v/>
      </c>
      <c r="AU729">
        <f>IFERROR(INDEX(PP_Grid[#Data],$DD729,45),0)</f>
        <v/>
      </c>
      <c r="AV729">
        <f>IFERROR(INDEX(PP_Grid[#Data],$DD729,46),0)</f>
        <v/>
      </c>
      <c r="AW729">
        <f>IFERROR(INDEX(PP_Grid[#Data],$DD729,47),0)</f>
        <v/>
      </c>
      <c r="AX729">
        <f>IFERROR(INDEX(PP_Grid[#Data],$DD729,48),0)</f>
        <v/>
      </c>
      <c r="AY729">
        <f>IFERROR(INDEX(PP_Grid[#Data],$DD729,49),0)</f>
        <v/>
      </c>
      <c r="AZ729">
        <f>IFERROR(INDEX(PP_Grid[#Data],$DD729,50),0)</f>
        <v/>
      </c>
      <c r="BA729">
        <f>IFERROR(INDEX(PP_Grid[#Data],$DD729,51),0)</f>
        <v/>
      </c>
      <c r="BB729">
        <f>IFERROR(INDEX(PP_Grid[#Data],$DD729,52),0)</f>
        <v/>
      </c>
      <c r="BC729">
        <f>IFERROR(INDEX(PP_Grid[#Data],$DD729,53),0)</f>
        <v/>
      </c>
      <c r="BD729">
        <f>IFERROR(INDEX(PP_Grid[#Data],$DD729,54),0)</f>
        <v/>
      </c>
      <c r="BE729">
        <f>IFERROR(INDEX(PP_Grid[#Data],$DD729,55),0)</f>
        <v/>
      </c>
      <c r="BF729">
        <f>IFERROR(INDEX(PP_Grid[#Data],$DD729,56),0)</f>
        <v/>
      </c>
      <c r="BG729">
        <f>IFERROR(INDEX(PP_Grid[#Data],$DD729,57),0)</f>
        <v/>
      </c>
      <c r="BH729">
        <f>IFERROR(INDEX(PP_Grid[#Data],$DD729,58),0)</f>
        <v/>
      </c>
      <c r="BI729">
        <f>IFERROR(INDEX(PP_Grid[#Data],$DD729,59),0)</f>
        <v/>
      </c>
      <c r="BJ729">
        <f>IFERROR(INDEX(PP_Grid[#Data],$DD729,60),0)</f>
        <v/>
      </c>
      <c r="BK729">
        <f>IFERROR(INDEX(PP_Grid[#Data],$DD729,61),0)</f>
        <v/>
      </c>
      <c r="BL729">
        <f>IFERROR(INDEX(PP_Grid[#Data],$DD729,62),0)</f>
        <v/>
      </c>
      <c r="BM729">
        <f>IFERROR(INDEX(PP_Grid[#Data],$DD729,63),0)</f>
        <v/>
      </c>
      <c r="BN729">
        <f>IFERROR(INDEX(PP_Grid[#Data],$DD729,64),0)</f>
        <v/>
      </c>
      <c r="BO729">
        <f>IFERROR(INDEX(PP_Grid[#Data],$DD729,65),0)</f>
        <v/>
      </c>
      <c r="BP729">
        <f>IFERROR(INDEX(PP_Grid[#Data],$DD729,66),0)</f>
        <v/>
      </c>
      <c r="BQ729">
        <f>IFERROR(INDEX(PP_Grid[#Data],$DD729,67),0)</f>
        <v/>
      </c>
      <c r="BR729">
        <f>IFERROR(INDEX(PP_Grid[#Data],$DD729,68),0)</f>
        <v/>
      </c>
      <c r="BS729">
        <f>IFERROR(INDEX(PP_Grid[#Data],$DD729,69),0)</f>
        <v/>
      </c>
      <c r="BT729">
        <f>IFERROR(INDEX(PP_Grid[#Data],$DD729,70),0)</f>
        <v/>
      </c>
      <c r="BU729">
        <f>IFERROR(INDEX(PP_Grid[#Data],$DD729,71),0)</f>
        <v/>
      </c>
      <c r="BV729">
        <f>IFERROR(INDEX(PP_Grid[#Data],$DD729,72),0)</f>
        <v/>
      </c>
      <c r="BW729">
        <f>IFERROR(INDEX(PP_Grid[#Data],$DD729,73),0)</f>
        <v/>
      </c>
      <c r="BX729">
        <f>IFERROR(INDEX(PP_Grid[#Data],$DD729,74),0)</f>
        <v/>
      </c>
      <c r="BY729">
        <f>IFERROR(INDEX(PP_Grid[#Data],$DD729,75),0)</f>
        <v/>
      </c>
      <c r="BZ729">
        <f>IFERROR(INDEX(PP_Grid[#Data],$DD729,76),0)</f>
        <v/>
      </c>
      <c r="CA729">
        <f>IFERROR(INDEX(PP_Grid[#Data],$DD729,77),0)</f>
        <v/>
      </c>
      <c r="CB729">
        <f>IFERROR(INDEX(PP_Grid[#Data],$DD729,78),0)</f>
        <v/>
      </c>
      <c r="CC729">
        <f>IFERROR(INDEX(PP_Grid[#Data],$DD729,79),0)</f>
        <v/>
      </c>
      <c r="CD729">
        <f>IFERROR(INDEX(PP_Grid[#Data],$DD729,80),0)</f>
        <v/>
      </c>
      <c r="CE729">
        <f>IFERROR(INDEX(PP_Grid[#Data],$DD729,81),0)</f>
        <v/>
      </c>
      <c r="CF729">
        <f>IFERROR(INDEX(PP_Grid[#Data],$DD729,82),0)</f>
        <v/>
      </c>
      <c r="CG729">
        <f>IFERROR(INDEX(PP_Grid[#Data],$DD729,83),0)</f>
        <v/>
      </c>
      <c r="CH729">
        <f>IFERROR(INDEX(PP_Grid[#Data],$DD729,84),0)</f>
        <v/>
      </c>
      <c r="CI729">
        <f>IFERROR(INDEX(PP_Grid[#Data],$DD729,85),0)</f>
        <v/>
      </c>
      <c r="CJ729">
        <f>IFERROR(INDEX(PP_Grid[#Data],$DD729,86),0)</f>
        <v/>
      </c>
      <c r="CK729">
        <f>IFERROR(INDEX(PP_Grid[#Data],$DD729,87),0)</f>
        <v/>
      </c>
      <c r="CL729">
        <f>IFERROR(INDEX(PP_Grid[#Data],$DD729,88),0)</f>
        <v/>
      </c>
      <c r="CM729">
        <f>IFERROR(INDEX(PP_Grid[#Data],$DD729,89),0)</f>
        <v/>
      </c>
      <c r="CN729">
        <f>IFERROR(INDEX(PP_Grid[#Data],$DD729,90),0)</f>
        <v/>
      </c>
      <c r="CO729">
        <f>IFERROR(INDEX(PP_Grid[#Data],$DD729,91),0)</f>
        <v/>
      </c>
      <c r="CP729">
        <f>IFERROR(INDEX(PP_Grid[#Data],$DD729,92),0)</f>
        <v/>
      </c>
      <c r="CQ729">
        <f>IFERROR(INDEX(PP_Grid[#Data],$DD729,93),0)</f>
        <v/>
      </c>
      <c r="CR729">
        <f>IFERROR(INDEX(PP_Grid[#Data],$DD729,94),0)</f>
        <v/>
      </c>
      <c r="CS729">
        <f>IFERROR(INDEX(PP_Grid[#Data],$DD729,95),0)</f>
        <v/>
      </c>
      <c r="CT729">
        <f>IFERROR(INDEX(PP_Grid[#Data],$DD729,96),0)</f>
        <v/>
      </c>
      <c r="CU729">
        <f>IFERROR(INDEX(PP_Grid[#Data],$DD729,97),0)</f>
        <v/>
      </c>
      <c r="CV729">
        <f>IFERROR(INDEX(PP_Grid[#Data],$DD729,98),0)</f>
        <v/>
      </c>
      <c r="CW729">
        <f>IFERROR(INDEX(PP_Grid[#Data],$DD729,99),0)</f>
        <v/>
      </c>
      <c r="CX729">
        <f>IFERROR(INDEX(PP_Grid[#Data],$DD729,100),0)</f>
        <v/>
      </c>
      <c r="CY729">
        <f>IFERROR(INDEX(PP_Grid[#Data],$DD729,101),0)</f>
        <v/>
      </c>
      <c r="CZ729">
        <f>IFERROR(INDEX(PP_Grid[#Data],$DD729,102),0)</f>
        <v/>
      </c>
      <c r="DA729">
        <f>IFERROR(INDEX(PP_Grid[#Data],$DD729,103),0)</f>
        <v/>
      </c>
      <c r="DB729">
        <f>IFERROR(INDEX(PP_Grid[#Data],$DD729,104),0)</f>
        <v/>
      </c>
      <c r="DC729">
        <f>IFERROR(INDEX(PP_Grid[#Data],$DD729,105),0)</f>
        <v/>
      </c>
      <c r="DD729" s="7">
        <f>IFERROR(MATCH($B729,PP_Grid[Intermediate],0),99999)</f>
        <v/>
      </c>
    </row>
    <row r="730">
      <c r="B730" t="inlineStr">
        <is>
          <t>使用量(kg)</t>
        </is>
      </c>
      <c r="C730">
        <f>SUMIFS(M_BOM[RM_Qty_Per_Batch],M_BOM[Intermediate],$B729,M_BOM[Part Name],$A710)</f>
        <v/>
      </c>
      <c r="D730">
        <f>$C730*D729</f>
        <v/>
      </c>
      <c r="E730">
        <f>$C730*E729</f>
        <v/>
      </c>
      <c r="F730">
        <f>$C730*F729</f>
        <v/>
      </c>
      <c r="G730">
        <f>$C730*G729</f>
        <v/>
      </c>
      <c r="H730">
        <f>$C730*H729</f>
        <v/>
      </c>
      <c r="I730">
        <f>$C730*I729</f>
        <v/>
      </c>
      <c r="J730">
        <f>$C730*J729</f>
        <v/>
      </c>
      <c r="K730">
        <f>$C730*K729</f>
        <v/>
      </c>
      <c r="L730">
        <f>$C730*L729</f>
        <v/>
      </c>
      <c r="M730">
        <f>$C730*M729</f>
        <v/>
      </c>
      <c r="N730">
        <f>$C730*N729</f>
        <v/>
      </c>
      <c r="O730">
        <f>$C730*O729</f>
        <v/>
      </c>
      <c r="P730">
        <f>$C730*P729</f>
        <v/>
      </c>
      <c r="Q730">
        <f>$C730*Q729</f>
        <v/>
      </c>
      <c r="R730">
        <f>$C730*R729</f>
        <v/>
      </c>
      <c r="S730">
        <f>$C730*S729</f>
        <v/>
      </c>
      <c r="T730">
        <f>$C730*T729</f>
        <v/>
      </c>
      <c r="U730">
        <f>$C730*U729</f>
        <v/>
      </c>
      <c r="V730">
        <f>$C730*V729</f>
        <v/>
      </c>
      <c r="W730">
        <f>$C730*W729</f>
        <v/>
      </c>
      <c r="X730">
        <f>$C730*X729</f>
        <v/>
      </c>
      <c r="Y730">
        <f>$C730*Y729</f>
        <v/>
      </c>
      <c r="Z730">
        <f>$C730*Z729</f>
        <v/>
      </c>
      <c r="AA730">
        <f>$C730*AA729</f>
        <v/>
      </c>
      <c r="AB730">
        <f>$C730*AB729</f>
        <v/>
      </c>
      <c r="AC730">
        <f>$C730*AC729</f>
        <v/>
      </c>
      <c r="AD730">
        <f>$C730*AD729</f>
        <v/>
      </c>
      <c r="AE730">
        <f>$C730*AE729</f>
        <v/>
      </c>
      <c r="AF730">
        <f>$C730*AF729</f>
        <v/>
      </c>
      <c r="AG730">
        <f>$C730*AG729</f>
        <v/>
      </c>
      <c r="AH730">
        <f>$C730*AH729</f>
        <v/>
      </c>
      <c r="AI730">
        <f>$C730*AI729</f>
        <v/>
      </c>
      <c r="AJ730">
        <f>$C730*AJ729</f>
        <v/>
      </c>
      <c r="AK730">
        <f>$C730*AK729</f>
        <v/>
      </c>
      <c r="AL730">
        <f>$C730*AL729</f>
        <v/>
      </c>
      <c r="AM730">
        <f>$C730*AM729</f>
        <v/>
      </c>
      <c r="AN730">
        <f>$C730*AN729</f>
        <v/>
      </c>
      <c r="AO730">
        <f>$C730*AO729</f>
        <v/>
      </c>
      <c r="AP730">
        <f>$C730*AP729</f>
        <v/>
      </c>
      <c r="AQ730">
        <f>$C730*AQ729</f>
        <v/>
      </c>
      <c r="AR730">
        <f>$C730*AR729</f>
        <v/>
      </c>
      <c r="AS730">
        <f>$C730*AS729</f>
        <v/>
      </c>
      <c r="AT730">
        <f>$C730*AT729</f>
        <v/>
      </c>
      <c r="AU730">
        <f>$C730*AU729</f>
        <v/>
      </c>
      <c r="AV730">
        <f>$C730*AV729</f>
        <v/>
      </c>
      <c r="AW730">
        <f>$C730*AW729</f>
        <v/>
      </c>
      <c r="AX730">
        <f>$C730*AX729</f>
        <v/>
      </c>
      <c r="AY730">
        <f>$C730*AY729</f>
        <v/>
      </c>
      <c r="AZ730">
        <f>$C730*AZ729</f>
        <v/>
      </c>
      <c r="BA730">
        <f>$C730*BA729</f>
        <v/>
      </c>
      <c r="BB730">
        <f>$C730*BB729</f>
        <v/>
      </c>
      <c r="BC730">
        <f>$C730*BC729</f>
        <v/>
      </c>
      <c r="BD730">
        <f>$C730*BD729</f>
        <v/>
      </c>
      <c r="BE730">
        <f>$C730*BE729</f>
        <v/>
      </c>
      <c r="BF730">
        <f>$C730*BF729</f>
        <v/>
      </c>
      <c r="BG730">
        <f>$C730*BG729</f>
        <v/>
      </c>
      <c r="BH730">
        <f>$C730*BH729</f>
        <v/>
      </c>
      <c r="BI730">
        <f>$C730*BI729</f>
        <v/>
      </c>
      <c r="BJ730">
        <f>$C730*BJ729</f>
        <v/>
      </c>
      <c r="BK730">
        <f>$C730*BK729</f>
        <v/>
      </c>
      <c r="BL730">
        <f>$C730*BL729</f>
        <v/>
      </c>
      <c r="BM730">
        <f>$C730*BM729</f>
        <v/>
      </c>
      <c r="BN730">
        <f>$C730*BN729</f>
        <v/>
      </c>
      <c r="BO730">
        <f>$C730*BO729</f>
        <v/>
      </c>
      <c r="BP730">
        <f>$C730*BP729</f>
        <v/>
      </c>
      <c r="BQ730">
        <f>$C730*BQ729</f>
        <v/>
      </c>
      <c r="BR730">
        <f>$C730*BR729</f>
        <v/>
      </c>
      <c r="BS730">
        <f>$C730*BS729</f>
        <v/>
      </c>
      <c r="BT730">
        <f>$C730*BT729</f>
        <v/>
      </c>
      <c r="BU730">
        <f>$C730*BU729</f>
        <v/>
      </c>
      <c r="BV730">
        <f>$C730*BV729</f>
        <v/>
      </c>
      <c r="BW730">
        <f>$C730*BW729</f>
        <v/>
      </c>
      <c r="BX730">
        <f>$C730*BX729</f>
        <v/>
      </c>
      <c r="BY730">
        <f>$C730*BY729</f>
        <v/>
      </c>
      <c r="BZ730">
        <f>$C730*BZ729</f>
        <v/>
      </c>
      <c r="CA730">
        <f>$C730*CA729</f>
        <v/>
      </c>
      <c r="CB730">
        <f>$C730*CB729</f>
        <v/>
      </c>
      <c r="CC730">
        <f>$C730*CC729</f>
        <v/>
      </c>
      <c r="CD730">
        <f>$C730*CD729</f>
        <v/>
      </c>
      <c r="CE730">
        <f>$C730*CE729</f>
        <v/>
      </c>
      <c r="CF730">
        <f>$C730*CF729</f>
        <v/>
      </c>
      <c r="CG730">
        <f>$C730*CG729</f>
        <v/>
      </c>
      <c r="CH730">
        <f>$C730*CH729</f>
        <v/>
      </c>
      <c r="CI730">
        <f>$C730*CI729</f>
        <v/>
      </c>
      <c r="CJ730">
        <f>$C730*CJ729</f>
        <v/>
      </c>
      <c r="CK730">
        <f>$C730*CK729</f>
        <v/>
      </c>
      <c r="CL730">
        <f>$C730*CL729</f>
        <v/>
      </c>
      <c r="CM730">
        <f>$C730*CM729</f>
        <v/>
      </c>
      <c r="CN730">
        <f>$C730*CN729</f>
        <v/>
      </c>
      <c r="CO730">
        <f>$C730*CO729</f>
        <v/>
      </c>
      <c r="CP730">
        <f>$C730*CP729</f>
        <v/>
      </c>
      <c r="CQ730">
        <f>$C730*CQ729</f>
        <v/>
      </c>
      <c r="CR730">
        <f>$C730*CR729</f>
        <v/>
      </c>
      <c r="CS730">
        <f>$C730*CS729</f>
        <v/>
      </c>
      <c r="CT730">
        <f>$C730*CT729</f>
        <v/>
      </c>
      <c r="CU730">
        <f>$C730*CU729</f>
        <v/>
      </c>
      <c r="CV730">
        <f>$C730*CV729</f>
        <v/>
      </c>
      <c r="CW730">
        <f>$C730*CW729</f>
        <v/>
      </c>
      <c r="CX730">
        <f>$C730*CX729</f>
        <v/>
      </c>
      <c r="CY730">
        <f>$C730*CY729</f>
        <v/>
      </c>
      <c r="CZ730">
        <f>$C730*CZ729</f>
        <v/>
      </c>
      <c r="DA730">
        <f>$C730*DA729</f>
        <v/>
      </c>
      <c r="DB730">
        <f>$C730*DB729</f>
        <v/>
      </c>
      <c r="DC730">
        <f>$C730*DC729</f>
        <v/>
      </c>
    </row>
    <row r="731">
      <c r="B731" t="inlineStr">
        <is>
          <t>VSP-607</t>
        </is>
      </c>
      <c r="C731" t="inlineStr">
        <is>
          <t>No. of batches</t>
        </is>
      </c>
      <c r="D731">
        <f>IFERROR(INDEX(PP_Grid[#Data],$DD731,2),0)</f>
        <v/>
      </c>
      <c r="E731">
        <f>IFERROR(INDEX(PP_Grid[#Data],$DD731,3),0)</f>
        <v/>
      </c>
      <c r="F731">
        <f>IFERROR(INDEX(PP_Grid[#Data],$DD731,4),0)</f>
        <v/>
      </c>
      <c r="G731">
        <f>IFERROR(INDEX(PP_Grid[#Data],$DD731,5),0)</f>
        <v/>
      </c>
      <c r="H731">
        <f>IFERROR(INDEX(PP_Grid[#Data],$DD731,6),0)</f>
        <v/>
      </c>
      <c r="I731">
        <f>IFERROR(INDEX(PP_Grid[#Data],$DD731,7),0)</f>
        <v/>
      </c>
      <c r="J731">
        <f>IFERROR(INDEX(PP_Grid[#Data],$DD731,8),0)</f>
        <v/>
      </c>
      <c r="K731">
        <f>IFERROR(INDEX(PP_Grid[#Data],$DD731,9),0)</f>
        <v/>
      </c>
      <c r="L731">
        <f>IFERROR(INDEX(PP_Grid[#Data],$DD731,10),0)</f>
        <v/>
      </c>
      <c r="M731">
        <f>IFERROR(INDEX(PP_Grid[#Data],$DD731,11),0)</f>
        <v/>
      </c>
      <c r="N731">
        <f>IFERROR(INDEX(PP_Grid[#Data],$DD731,12),0)</f>
        <v/>
      </c>
      <c r="O731">
        <f>IFERROR(INDEX(PP_Grid[#Data],$DD731,13),0)</f>
        <v/>
      </c>
      <c r="P731">
        <f>IFERROR(INDEX(PP_Grid[#Data],$DD731,14),0)</f>
        <v/>
      </c>
      <c r="Q731">
        <f>IFERROR(INDEX(PP_Grid[#Data],$DD731,15),0)</f>
        <v/>
      </c>
      <c r="R731">
        <f>IFERROR(INDEX(PP_Grid[#Data],$DD731,16),0)</f>
        <v/>
      </c>
      <c r="S731">
        <f>IFERROR(INDEX(PP_Grid[#Data],$DD731,17),0)</f>
        <v/>
      </c>
      <c r="T731">
        <f>IFERROR(INDEX(PP_Grid[#Data],$DD731,18),0)</f>
        <v/>
      </c>
      <c r="U731">
        <f>IFERROR(INDEX(PP_Grid[#Data],$DD731,19),0)</f>
        <v/>
      </c>
      <c r="V731">
        <f>IFERROR(INDEX(PP_Grid[#Data],$DD731,20),0)</f>
        <v/>
      </c>
      <c r="W731">
        <f>IFERROR(INDEX(PP_Grid[#Data],$DD731,21),0)</f>
        <v/>
      </c>
      <c r="X731">
        <f>IFERROR(INDEX(PP_Grid[#Data],$DD731,22),0)</f>
        <v/>
      </c>
      <c r="Y731">
        <f>IFERROR(INDEX(PP_Grid[#Data],$DD731,23),0)</f>
        <v/>
      </c>
      <c r="Z731">
        <f>IFERROR(INDEX(PP_Grid[#Data],$DD731,24),0)</f>
        <v/>
      </c>
      <c r="AA731">
        <f>IFERROR(INDEX(PP_Grid[#Data],$DD731,25),0)</f>
        <v/>
      </c>
      <c r="AB731">
        <f>IFERROR(INDEX(PP_Grid[#Data],$DD731,26),0)</f>
        <v/>
      </c>
      <c r="AC731">
        <f>IFERROR(INDEX(PP_Grid[#Data],$DD731,27),0)</f>
        <v/>
      </c>
      <c r="AD731">
        <f>IFERROR(INDEX(PP_Grid[#Data],$DD731,28),0)</f>
        <v/>
      </c>
      <c r="AE731">
        <f>IFERROR(INDEX(PP_Grid[#Data],$DD731,29),0)</f>
        <v/>
      </c>
      <c r="AF731">
        <f>IFERROR(INDEX(PP_Grid[#Data],$DD731,30),0)</f>
        <v/>
      </c>
      <c r="AG731">
        <f>IFERROR(INDEX(PP_Grid[#Data],$DD731,31),0)</f>
        <v/>
      </c>
      <c r="AH731">
        <f>IFERROR(INDEX(PP_Grid[#Data],$DD731,32),0)</f>
        <v/>
      </c>
      <c r="AI731">
        <f>IFERROR(INDEX(PP_Grid[#Data],$DD731,33),0)</f>
        <v/>
      </c>
      <c r="AJ731">
        <f>IFERROR(INDEX(PP_Grid[#Data],$DD731,34),0)</f>
        <v/>
      </c>
      <c r="AK731">
        <f>IFERROR(INDEX(PP_Grid[#Data],$DD731,35),0)</f>
        <v/>
      </c>
      <c r="AL731">
        <f>IFERROR(INDEX(PP_Grid[#Data],$DD731,36),0)</f>
        <v/>
      </c>
      <c r="AM731">
        <f>IFERROR(INDEX(PP_Grid[#Data],$DD731,37),0)</f>
        <v/>
      </c>
      <c r="AN731">
        <f>IFERROR(INDEX(PP_Grid[#Data],$DD731,38),0)</f>
        <v/>
      </c>
      <c r="AO731">
        <f>IFERROR(INDEX(PP_Grid[#Data],$DD731,39),0)</f>
        <v/>
      </c>
      <c r="AP731">
        <f>IFERROR(INDEX(PP_Grid[#Data],$DD731,40),0)</f>
        <v/>
      </c>
      <c r="AQ731">
        <f>IFERROR(INDEX(PP_Grid[#Data],$DD731,41),0)</f>
        <v/>
      </c>
      <c r="AR731">
        <f>IFERROR(INDEX(PP_Grid[#Data],$DD731,42),0)</f>
        <v/>
      </c>
      <c r="AS731">
        <f>IFERROR(INDEX(PP_Grid[#Data],$DD731,43),0)</f>
        <v/>
      </c>
      <c r="AT731">
        <f>IFERROR(INDEX(PP_Grid[#Data],$DD731,44),0)</f>
        <v/>
      </c>
      <c r="AU731">
        <f>IFERROR(INDEX(PP_Grid[#Data],$DD731,45),0)</f>
        <v/>
      </c>
      <c r="AV731">
        <f>IFERROR(INDEX(PP_Grid[#Data],$DD731,46),0)</f>
        <v/>
      </c>
      <c r="AW731">
        <f>IFERROR(INDEX(PP_Grid[#Data],$DD731,47),0)</f>
        <v/>
      </c>
      <c r="AX731">
        <f>IFERROR(INDEX(PP_Grid[#Data],$DD731,48),0)</f>
        <v/>
      </c>
      <c r="AY731">
        <f>IFERROR(INDEX(PP_Grid[#Data],$DD731,49),0)</f>
        <v/>
      </c>
      <c r="AZ731">
        <f>IFERROR(INDEX(PP_Grid[#Data],$DD731,50),0)</f>
        <v/>
      </c>
      <c r="BA731">
        <f>IFERROR(INDEX(PP_Grid[#Data],$DD731,51),0)</f>
        <v/>
      </c>
      <c r="BB731">
        <f>IFERROR(INDEX(PP_Grid[#Data],$DD731,52),0)</f>
        <v/>
      </c>
      <c r="BC731">
        <f>IFERROR(INDEX(PP_Grid[#Data],$DD731,53),0)</f>
        <v/>
      </c>
      <c r="BD731">
        <f>IFERROR(INDEX(PP_Grid[#Data],$DD731,54),0)</f>
        <v/>
      </c>
      <c r="BE731">
        <f>IFERROR(INDEX(PP_Grid[#Data],$DD731,55),0)</f>
        <v/>
      </c>
      <c r="BF731">
        <f>IFERROR(INDEX(PP_Grid[#Data],$DD731,56),0)</f>
        <v/>
      </c>
      <c r="BG731">
        <f>IFERROR(INDEX(PP_Grid[#Data],$DD731,57),0)</f>
        <v/>
      </c>
      <c r="BH731">
        <f>IFERROR(INDEX(PP_Grid[#Data],$DD731,58),0)</f>
        <v/>
      </c>
      <c r="BI731">
        <f>IFERROR(INDEX(PP_Grid[#Data],$DD731,59),0)</f>
        <v/>
      </c>
      <c r="BJ731">
        <f>IFERROR(INDEX(PP_Grid[#Data],$DD731,60),0)</f>
        <v/>
      </c>
      <c r="BK731">
        <f>IFERROR(INDEX(PP_Grid[#Data],$DD731,61),0)</f>
        <v/>
      </c>
      <c r="BL731">
        <f>IFERROR(INDEX(PP_Grid[#Data],$DD731,62),0)</f>
        <v/>
      </c>
      <c r="BM731">
        <f>IFERROR(INDEX(PP_Grid[#Data],$DD731,63),0)</f>
        <v/>
      </c>
      <c r="BN731">
        <f>IFERROR(INDEX(PP_Grid[#Data],$DD731,64),0)</f>
        <v/>
      </c>
      <c r="BO731">
        <f>IFERROR(INDEX(PP_Grid[#Data],$DD731,65),0)</f>
        <v/>
      </c>
      <c r="BP731">
        <f>IFERROR(INDEX(PP_Grid[#Data],$DD731,66),0)</f>
        <v/>
      </c>
      <c r="BQ731">
        <f>IFERROR(INDEX(PP_Grid[#Data],$DD731,67),0)</f>
        <v/>
      </c>
      <c r="BR731">
        <f>IFERROR(INDEX(PP_Grid[#Data],$DD731,68),0)</f>
        <v/>
      </c>
      <c r="BS731">
        <f>IFERROR(INDEX(PP_Grid[#Data],$DD731,69),0)</f>
        <v/>
      </c>
      <c r="BT731">
        <f>IFERROR(INDEX(PP_Grid[#Data],$DD731,70),0)</f>
        <v/>
      </c>
      <c r="BU731">
        <f>IFERROR(INDEX(PP_Grid[#Data],$DD731,71),0)</f>
        <v/>
      </c>
      <c r="BV731">
        <f>IFERROR(INDEX(PP_Grid[#Data],$DD731,72),0)</f>
        <v/>
      </c>
      <c r="BW731">
        <f>IFERROR(INDEX(PP_Grid[#Data],$DD731,73),0)</f>
        <v/>
      </c>
      <c r="BX731">
        <f>IFERROR(INDEX(PP_Grid[#Data],$DD731,74),0)</f>
        <v/>
      </c>
      <c r="BY731">
        <f>IFERROR(INDEX(PP_Grid[#Data],$DD731,75),0)</f>
        <v/>
      </c>
      <c r="BZ731">
        <f>IFERROR(INDEX(PP_Grid[#Data],$DD731,76),0)</f>
        <v/>
      </c>
      <c r="CA731">
        <f>IFERROR(INDEX(PP_Grid[#Data],$DD731,77),0)</f>
        <v/>
      </c>
      <c r="CB731">
        <f>IFERROR(INDEX(PP_Grid[#Data],$DD731,78),0)</f>
        <v/>
      </c>
      <c r="CC731">
        <f>IFERROR(INDEX(PP_Grid[#Data],$DD731,79),0)</f>
        <v/>
      </c>
      <c r="CD731">
        <f>IFERROR(INDEX(PP_Grid[#Data],$DD731,80),0)</f>
        <v/>
      </c>
      <c r="CE731">
        <f>IFERROR(INDEX(PP_Grid[#Data],$DD731,81),0)</f>
        <v/>
      </c>
      <c r="CF731">
        <f>IFERROR(INDEX(PP_Grid[#Data],$DD731,82),0)</f>
        <v/>
      </c>
      <c r="CG731">
        <f>IFERROR(INDEX(PP_Grid[#Data],$DD731,83),0)</f>
        <v/>
      </c>
      <c r="CH731">
        <f>IFERROR(INDEX(PP_Grid[#Data],$DD731,84),0)</f>
        <v/>
      </c>
      <c r="CI731">
        <f>IFERROR(INDEX(PP_Grid[#Data],$DD731,85),0)</f>
        <v/>
      </c>
      <c r="CJ731">
        <f>IFERROR(INDEX(PP_Grid[#Data],$DD731,86),0)</f>
        <v/>
      </c>
      <c r="CK731">
        <f>IFERROR(INDEX(PP_Grid[#Data],$DD731,87),0)</f>
        <v/>
      </c>
      <c r="CL731">
        <f>IFERROR(INDEX(PP_Grid[#Data],$DD731,88),0)</f>
        <v/>
      </c>
      <c r="CM731">
        <f>IFERROR(INDEX(PP_Grid[#Data],$DD731,89),0)</f>
        <v/>
      </c>
      <c r="CN731">
        <f>IFERROR(INDEX(PP_Grid[#Data],$DD731,90),0)</f>
        <v/>
      </c>
      <c r="CO731">
        <f>IFERROR(INDEX(PP_Grid[#Data],$DD731,91),0)</f>
        <v/>
      </c>
      <c r="CP731">
        <f>IFERROR(INDEX(PP_Grid[#Data],$DD731,92),0)</f>
        <v/>
      </c>
      <c r="CQ731">
        <f>IFERROR(INDEX(PP_Grid[#Data],$DD731,93),0)</f>
        <v/>
      </c>
      <c r="CR731">
        <f>IFERROR(INDEX(PP_Grid[#Data],$DD731,94),0)</f>
        <v/>
      </c>
      <c r="CS731">
        <f>IFERROR(INDEX(PP_Grid[#Data],$DD731,95),0)</f>
        <v/>
      </c>
      <c r="CT731">
        <f>IFERROR(INDEX(PP_Grid[#Data],$DD731,96),0)</f>
        <v/>
      </c>
      <c r="CU731">
        <f>IFERROR(INDEX(PP_Grid[#Data],$DD731,97),0)</f>
        <v/>
      </c>
      <c r="CV731">
        <f>IFERROR(INDEX(PP_Grid[#Data],$DD731,98),0)</f>
        <v/>
      </c>
      <c r="CW731">
        <f>IFERROR(INDEX(PP_Grid[#Data],$DD731,99),0)</f>
        <v/>
      </c>
      <c r="CX731">
        <f>IFERROR(INDEX(PP_Grid[#Data],$DD731,100),0)</f>
        <v/>
      </c>
      <c r="CY731">
        <f>IFERROR(INDEX(PP_Grid[#Data],$DD731,101),0)</f>
        <v/>
      </c>
      <c r="CZ731">
        <f>IFERROR(INDEX(PP_Grid[#Data],$DD731,102),0)</f>
        <v/>
      </c>
      <c r="DA731">
        <f>IFERROR(INDEX(PP_Grid[#Data],$DD731,103),0)</f>
        <v/>
      </c>
      <c r="DB731">
        <f>IFERROR(INDEX(PP_Grid[#Data],$DD731,104),0)</f>
        <v/>
      </c>
      <c r="DC731">
        <f>IFERROR(INDEX(PP_Grid[#Data],$DD731,105),0)</f>
        <v/>
      </c>
      <c r="DD731" s="7">
        <f>IFERROR(MATCH($B731,PP_Grid[Intermediate],0),99999)</f>
        <v/>
      </c>
    </row>
    <row r="732">
      <c r="B732" t="inlineStr">
        <is>
          <t>使用量(kg)</t>
        </is>
      </c>
      <c r="C732">
        <f>SUMIFS(M_BOM[RM_Qty_Per_Batch],M_BOM[Intermediate],$B731,M_BOM[Part Name],$A710)</f>
        <v/>
      </c>
      <c r="D732">
        <f>$C732*D731</f>
        <v/>
      </c>
      <c r="E732">
        <f>$C732*E731</f>
        <v/>
      </c>
      <c r="F732">
        <f>$C732*F731</f>
        <v/>
      </c>
      <c r="G732">
        <f>$C732*G731</f>
        <v/>
      </c>
      <c r="H732">
        <f>$C732*H731</f>
        <v/>
      </c>
      <c r="I732">
        <f>$C732*I731</f>
        <v/>
      </c>
      <c r="J732">
        <f>$C732*J731</f>
        <v/>
      </c>
      <c r="K732">
        <f>$C732*K731</f>
        <v/>
      </c>
      <c r="L732">
        <f>$C732*L731</f>
        <v/>
      </c>
      <c r="M732">
        <f>$C732*M731</f>
        <v/>
      </c>
      <c r="N732">
        <f>$C732*N731</f>
        <v/>
      </c>
      <c r="O732">
        <f>$C732*O731</f>
        <v/>
      </c>
      <c r="P732">
        <f>$C732*P731</f>
        <v/>
      </c>
      <c r="Q732">
        <f>$C732*Q731</f>
        <v/>
      </c>
      <c r="R732">
        <f>$C732*R731</f>
        <v/>
      </c>
      <c r="S732">
        <f>$C732*S731</f>
        <v/>
      </c>
      <c r="T732">
        <f>$C732*T731</f>
        <v/>
      </c>
      <c r="U732">
        <f>$C732*U731</f>
        <v/>
      </c>
      <c r="V732">
        <f>$C732*V731</f>
        <v/>
      </c>
      <c r="W732">
        <f>$C732*W731</f>
        <v/>
      </c>
      <c r="X732">
        <f>$C732*X731</f>
        <v/>
      </c>
      <c r="Y732">
        <f>$C732*Y731</f>
        <v/>
      </c>
      <c r="Z732">
        <f>$C732*Z731</f>
        <v/>
      </c>
      <c r="AA732">
        <f>$C732*AA731</f>
        <v/>
      </c>
      <c r="AB732">
        <f>$C732*AB731</f>
        <v/>
      </c>
      <c r="AC732">
        <f>$C732*AC731</f>
        <v/>
      </c>
      <c r="AD732">
        <f>$C732*AD731</f>
        <v/>
      </c>
      <c r="AE732">
        <f>$C732*AE731</f>
        <v/>
      </c>
      <c r="AF732">
        <f>$C732*AF731</f>
        <v/>
      </c>
      <c r="AG732">
        <f>$C732*AG731</f>
        <v/>
      </c>
      <c r="AH732">
        <f>$C732*AH731</f>
        <v/>
      </c>
      <c r="AI732">
        <f>$C732*AI731</f>
        <v/>
      </c>
      <c r="AJ732">
        <f>$C732*AJ731</f>
        <v/>
      </c>
      <c r="AK732">
        <f>$C732*AK731</f>
        <v/>
      </c>
      <c r="AL732">
        <f>$C732*AL731</f>
        <v/>
      </c>
      <c r="AM732">
        <f>$C732*AM731</f>
        <v/>
      </c>
      <c r="AN732">
        <f>$C732*AN731</f>
        <v/>
      </c>
      <c r="AO732">
        <f>$C732*AO731</f>
        <v/>
      </c>
      <c r="AP732">
        <f>$C732*AP731</f>
        <v/>
      </c>
      <c r="AQ732">
        <f>$C732*AQ731</f>
        <v/>
      </c>
      <c r="AR732">
        <f>$C732*AR731</f>
        <v/>
      </c>
      <c r="AS732">
        <f>$C732*AS731</f>
        <v/>
      </c>
      <c r="AT732">
        <f>$C732*AT731</f>
        <v/>
      </c>
      <c r="AU732">
        <f>$C732*AU731</f>
        <v/>
      </c>
      <c r="AV732">
        <f>$C732*AV731</f>
        <v/>
      </c>
      <c r="AW732">
        <f>$C732*AW731</f>
        <v/>
      </c>
      <c r="AX732">
        <f>$C732*AX731</f>
        <v/>
      </c>
      <c r="AY732">
        <f>$C732*AY731</f>
        <v/>
      </c>
      <c r="AZ732">
        <f>$C732*AZ731</f>
        <v/>
      </c>
      <c r="BA732">
        <f>$C732*BA731</f>
        <v/>
      </c>
      <c r="BB732">
        <f>$C732*BB731</f>
        <v/>
      </c>
      <c r="BC732">
        <f>$C732*BC731</f>
        <v/>
      </c>
      <c r="BD732">
        <f>$C732*BD731</f>
        <v/>
      </c>
      <c r="BE732">
        <f>$C732*BE731</f>
        <v/>
      </c>
      <c r="BF732">
        <f>$C732*BF731</f>
        <v/>
      </c>
      <c r="BG732">
        <f>$C732*BG731</f>
        <v/>
      </c>
      <c r="BH732">
        <f>$C732*BH731</f>
        <v/>
      </c>
      <c r="BI732">
        <f>$C732*BI731</f>
        <v/>
      </c>
      <c r="BJ732">
        <f>$C732*BJ731</f>
        <v/>
      </c>
      <c r="BK732">
        <f>$C732*BK731</f>
        <v/>
      </c>
      <c r="BL732">
        <f>$C732*BL731</f>
        <v/>
      </c>
      <c r="BM732">
        <f>$C732*BM731</f>
        <v/>
      </c>
      <c r="BN732">
        <f>$C732*BN731</f>
        <v/>
      </c>
      <c r="BO732">
        <f>$C732*BO731</f>
        <v/>
      </c>
      <c r="BP732">
        <f>$C732*BP731</f>
        <v/>
      </c>
      <c r="BQ732">
        <f>$C732*BQ731</f>
        <v/>
      </c>
      <c r="BR732">
        <f>$C732*BR731</f>
        <v/>
      </c>
      <c r="BS732">
        <f>$C732*BS731</f>
        <v/>
      </c>
      <c r="BT732">
        <f>$C732*BT731</f>
        <v/>
      </c>
      <c r="BU732">
        <f>$C732*BU731</f>
        <v/>
      </c>
      <c r="BV732">
        <f>$C732*BV731</f>
        <v/>
      </c>
      <c r="BW732">
        <f>$C732*BW731</f>
        <v/>
      </c>
      <c r="BX732">
        <f>$C732*BX731</f>
        <v/>
      </c>
      <c r="BY732">
        <f>$C732*BY731</f>
        <v/>
      </c>
      <c r="BZ732">
        <f>$C732*BZ731</f>
        <v/>
      </c>
      <c r="CA732">
        <f>$C732*CA731</f>
        <v/>
      </c>
      <c r="CB732">
        <f>$C732*CB731</f>
        <v/>
      </c>
      <c r="CC732">
        <f>$C732*CC731</f>
        <v/>
      </c>
      <c r="CD732">
        <f>$C732*CD731</f>
        <v/>
      </c>
      <c r="CE732">
        <f>$C732*CE731</f>
        <v/>
      </c>
      <c r="CF732">
        <f>$C732*CF731</f>
        <v/>
      </c>
      <c r="CG732">
        <f>$C732*CG731</f>
        <v/>
      </c>
      <c r="CH732">
        <f>$C732*CH731</f>
        <v/>
      </c>
      <c r="CI732">
        <f>$C732*CI731</f>
        <v/>
      </c>
      <c r="CJ732">
        <f>$C732*CJ731</f>
        <v/>
      </c>
      <c r="CK732">
        <f>$C732*CK731</f>
        <v/>
      </c>
      <c r="CL732">
        <f>$C732*CL731</f>
        <v/>
      </c>
      <c r="CM732">
        <f>$C732*CM731</f>
        <v/>
      </c>
      <c r="CN732">
        <f>$C732*CN731</f>
        <v/>
      </c>
      <c r="CO732">
        <f>$C732*CO731</f>
        <v/>
      </c>
      <c r="CP732">
        <f>$C732*CP731</f>
        <v/>
      </c>
      <c r="CQ732">
        <f>$C732*CQ731</f>
        <v/>
      </c>
      <c r="CR732">
        <f>$C732*CR731</f>
        <v/>
      </c>
      <c r="CS732">
        <f>$C732*CS731</f>
        <v/>
      </c>
      <c r="CT732">
        <f>$C732*CT731</f>
        <v/>
      </c>
      <c r="CU732">
        <f>$C732*CU731</f>
        <v/>
      </c>
      <c r="CV732">
        <f>$C732*CV731</f>
        <v/>
      </c>
      <c r="CW732">
        <f>$C732*CW731</f>
        <v/>
      </c>
      <c r="CX732">
        <f>$C732*CX731</f>
        <v/>
      </c>
      <c r="CY732">
        <f>$C732*CY731</f>
        <v/>
      </c>
      <c r="CZ732">
        <f>$C732*CZ731</f>
        <v/>
      </c>
      <c r="DA732">
        <f>$C732*DA731</f>
        <v/>
      </c>
      <c r="DB732">
        <f>$C732*DB731</f>
        <v/>
      </c>
      <c r="DC732">
        <f>$C732*DC731</f>
        <v/>
      </c>
    </row>
    <row r="733">
      <c r="B733" t="inlineStr">
        <is>
          <t>VSP-740</t>
        </is>
      </c>
      <c r="C733" t="inlineStr">
        <is>
          <t>No. of batches</t>
        </is>
      </c>
      <c r="D733">
        <f>IFERROR(INDEX(PP_Grid[#Data],$DD733,2),0)</f>
        <v/>
      </c>
      <c r="E733">
        <f>IFERROR(INDEX(PP_Grid[#Data],$DD733,3),0)</f>
        <v/>
      </c>
      <c r="F733">
        <f>IFERROR(INDEX(PP_Grid[#Data],$DD733,4),0)</f>
        <v/>
      </c>
      <c r="G733">
        <f>IFERROR(INDEX(PP_Grid[#Data],$DD733,5),0)</f>
        <v/>
      </c>
      <c r="H733">
        <f>IFERROR(INDEX(PP_Grid[#Data],$DD733,6),0)</f>
        <v/>
      </c>
      <c r="I733">
        <f>IFERROR(INDEX(PP_Grid[#Data],$DD733,7),0)</f>
        <v/>
      </c>
      <c r="J733">
        <f>IFERROR(INDEX(PP_Grid[#Data],$DD733,8),0)</f>
        <v/>
      </c>
      <c r="K733">
        <f>IFERROR(INDEX(PP_Grid[#Data],$DD733,9),0)</f>
        <v/>
      </c>
      <c r="L733">
        <f>IFERROR(INDEX(PP_Grid[#Data],$DD733,10),0)</f>
        <v/>
      </c>
      <c r="M733">
        <f>IFERROR(INDEX(PP_Grid[#Data],$DD733,11),0)</f>
        <v/>
      </c>
      <c r="N733">
        <f>IFERROR(INDEX(PP_Grid[#Data],$DD733,12),0)</f>
        <v/>
      </c>
      <c r="O733">
        <f>IFERROR(INDEX(PP_Grid[#Data],$DD733,13),0)</f>
        <v/>
      </c>
      <c r="P733">
        <f>IFERROR(INDEX(PP_Grid[#Data],$DD733,14),0)</f>
        <v/>
      </c>
      <c r="Q733">
        <f>IFERROR(INDEX(PP_Grid[#Data],$DD733,15),0)</f>
        <v/>
      </c>
      <c r="R733">
        <f>IFERROR(INDEX(PP_Grid[#Data],$DD733,16),0)</f>
        <v/>
      </c>
      <c r="S733">
        <f>IFERROR(INDEX(PP_Grid[#Data],$DD733,17),0)</f>
        <v/>
      </c>
      <c r="T733">
        <f>IFERROR(INDEX(PP_Grid[#Data],$DD733,18),0)</f>
        <v/>
      </c>
      <c r="U733">
        <f>IFERROR(INDEX(PP_Grid[#Data],$DD733,19),0)</f>
        <v/>
      </c>
      <c r="V733">
        <f>IFERROR(INDEX(PP_Grid[#Data],$DD733,20),0)</f>
        <v/>
      </c>
      <c r="W733">
        <f>IFERROR(INDEX(PP_Grid[#Data],$DD733,21),0)</f>
        <v/>
      </c>
      <c r="X733">
        <f>IFERROR(INDEX(PP_Grid[#Data],$DD733,22),0)</f>
        <v/>
      </c>
      <c r="Y733">
        <f>IFERROR(INDEX(PP_Grid[#Data],$DD733,23),0)</f>
        <v/>
      </c>
      <c r="Z733">
        <f>IFERROR(INDEX(PP_Grid[#Data],$DD733,24),0)</f>
        <v/>
      </c>
      <c r="AA733">
        <f>IFERROR(INDEX(PP_Grid[#Data],$DD733,25),0)</f>
        <v/>
      </c>
      <c r="AB733">
        <f>IFERROR(INDEX(PP_Grid[#Data],$DD733,26),0)</f>
        <v/>
      </c>
      <c r="AC733">
        <f>IFERROR(INDEX(PP_Grid[#Data],$DD733,27),0)</f>
        <v/>
      </c>
      <c r="AD733">
        <f>IFERROR(INDEX(PP_Grid[#Data],$DD733,28),0)</f>
        <v/>
      </c>
      <c r="AE733">
        <f>IFERROR(INDEX(PP_Grid[#Data],$DD733,29),0)</f>
        <v/>
      </c>
      <c r="AF733">
        <f>IFERROR(INDEX(PP_Grid[#Data],$DD733,30),0)</f>
        <v/>
      </c>
      <c r="AG733">
        <f>IFERROR(INDEX(PP_Grid[#Data],$DD733,31),0)</f>
        <v/>
      </c>
      <c r="AH733">
        <f>IFERROR(INDEX(PP_Grid[#Data],$DD733,32),0)</f>
        <v/>
      </c>
      <c r="AI733">
        <f>IFERROR(INDEX(PP_Grid[#Data],$DD733,33),0)</f>
        <v/>
      </c>
      <c r="AJ733">
        <f>IFERROR(INDEX(PP_Grid[#Data],$DD733,34),0)</f>
        <v/>
      </c>
      <c r="AK733">
        <f>IFERROR(INDEX(PP_Grid[#Data],$DD733,35),0)</f>
        <v/>
      </c>
      <c r="AL733">
        <f>IFERROR(INDEX(PP_Grid[#Data],$DD733,36),0)</f>
        <v/>
      </c>
      <c r="AM733">
        <f>IFERROR(INDEX(PP_Grid[#Data],$DD733,37),0)</f>
        <v/>
      </c>
      <c r="AN733">
        <f>IFERROR(INDEX(PP_Grid[#Data],$DD733,38),0)</f>
        <v/>
      </c>
      <c r="AO733">
        <f>IFERROR(INDEX(PP_Grid[#Data],$DD733,39),0)</f>
        <v/>
      </c>
      <c r="AP733">
        <f>IFERROR(INDEX(PP_Grid[#Data],$DD733,40),0)</f>
        <v/>
      </c>
      <c r="AQ733">
        <f>IFERROR(INDEX(PP_Grid[#Data],$DD733,41),0)</f>
        <v/>
      </c>
      <c r="AR733">
        <f>IFERROR(INDEX(PP_Grid[#Data],$DD733,42),0)</f>
        <v/>
      </c>
      <c r="AS733">
        <f>IFERROR(INDEX(PP_Grid[#Data],$DD733,43),0)</f>
        <v/>
      </c>
      <c r="AT733">
        <f>IFERROR(INDEX(PP_Grid[#Data],$DD733,44),0)</f>
        <v/>
      </c>
      <c r="AU733">
        <f>IFERROR(INDEX(PP_Grid[#Data],$DD733,45),0)</f>
        <v/>
      </c>
      <c r="AV733">
        <f>IFERROR(INDEX(PP_Grid[#Data],$DD733,46),0)</f>
        <v/>
      </c>
      <c r="AW733">
        <f>IFERROR(INDEX(PP_Grid[#Data],$DD733,47),0)</f>
        <v/>
      </c>
      <c r="AX733">
        <f>IFERROR(INDEX(PP_Grid[#Data],$DD733,48),0)</f>
        <v/>
      </c>
      <c r="AY733">
        <f>IFERROR(INDEX(PP_Grid[#Data],$DD733,49),0)</f>
        <v/>
      </c>
      <c r="AZ733">
        <f>IFERROR(INDEX(PP_Grid[#Data],$DD733,50),0)</f>
        <v/>
      </c>
      <c r="BA733">
        <f>IFERROR(INDEX(PP_Grid[#Data],$DD733,51),0)</f>
        <v/>
      </c>
      <c r="BB733">
        <f>IFERROR(INDEX(PP_Grid[#Data],$DD733,52),0)</f>
        <v/>
      </c>
      <c r="BC733">
        <f>IFERROR(INDEX(PP_Grid[#Data],$DD733,53),0)</f>
        <v/>
      </c>
      <c r="BD733">
        <f>IFERROR(INDEX(PP_Grid[#Data],$DD733,54),0)</f>
        <v/>
      </c>
      <c r="BE733">
        <f>IFERROR(INDEX(PP_Grid[#Data],$DD733,55),0)</f>
        <v/>
      </c>
      <c r="BF733">
        <f>IFERROR(INDEX(PP_Grid[#Data],$DD733,56),0)</f>
        <v/>
      </c>
      <c r="BG733">
        <f>IFERROR(INDEX(PP_Grid[#Data],$DD733,57),0)</f>
        <v/>
      </c>
      <c r="BH733">
        <f>IFERROR(INDEX(PP_Grid[#Data],$DD733,58),0)</f>
        <v/>
      </c>
      <c r="BI733">
        <f>IFERROR(INDEX(PP_Grid[#Data],$DD733,59),0)</f>
        <v/>
      </c>
      <c r="BJ733">
        <f>IFERROR(INDEX(PP_Grid[#Data],$DD733,60),0)</f>
        <v/>
      </c>
      <c r="BK733">
        <f>IFERROR(INDEX(PP_Grid[#Data],$DD733,61),0)</f>
        <v/>
      </c>
      <c r="BL733">
        <f>IFERROR(INDEX(PP_Grid[#Data],$DD733,62),0)</f>
        <v/>
      </c>
      <c r="BM733">
        <f>IFERROR(INDEX(PP_Grid[#Data],$DD733,63),0)</f>
        <v/>
      </c>
      <c r="BN733">
        <f>IFERROR(INDEX(PP_Grid[#Data],$DD733,64),0)</f>
        <v/>
      </c>
      <c r="BO733">
        <f>IFERROR(INDEX(PP_Grid[#Data],$DD733,65),0)</f>
        <v/>
      </c>
      <c r="BP733">
        <f>IFERROR(INDEX(PP_Grid[#Data],$DD733,66),0)</f>
        <v/>
      </c>
      <c r="BQ733">
        <f>IFERROR(INDEX(PP_Grid[#Data],$DD733,67),0)</f>
        <v/>
      </c>
      <c r="BR733">
        <f>IFERROR(INDEX(PP_Grid[#Data],$DD733,68),0)</f>
        <v/>
      </c>
      <c r="BS733">
        <f>IFERROR(INDEX(PP_Grid[#Data],$DD733,69),0)</f>
        <v/>
      </c>
      <c r="BT733">
        <f>IFERROR(INDEX(PP_Grid[#Data],$DD733,70),0)</f>
        <v/>
      </c>
      <c r="BU733">
        <f>IFERROR(INDEX(PP_Grid[#Data],$DD733,71),0)</f>
        <v/>
      </c>
      <c r="BV733">
        <f>IFERROR(INDEX(PP_Grid[#Data],$DD733,72),0)</f>
        <v/>
      </c>
      <c r="BW733">
        <f>IFERROR(INDEX(PP_Grid[#Data],$DD733,73),0)</f>
        <v/>
      </c>
      <c r="BX733">
        <f>IFERROR(INDEX(PP_Grid[#Data],$DD733,74),0)</f>
        <v/>
      </c>
      <c r="BY733">
        <f>IFERROR(INDEX(PP_Grid[#Data],$DD733,75),0)</f>
        <v/>
      </c>
      <c r="BZ733">
        <f>IFERROR(INDEX(PP_Grid[#Data],$DD733,76),0)</f>
        <v/>
      </c>
      <c r="CA733">
        <f>IFERROR(INDEX(PP_Grid[#Data],$DD733,77),0)</f>
        <v/>
      </c>
      <c r="CB733">
        <f>IFERROR(INDEX(PP_Grid[#Data],$DD733,78),0)</f>
        <v/>
      </c>
      <c r="CC733">
        <f>IFERROR(INDEX(PP_Grid[#Data],$DD733,79),0)</f>
        <v/>
      </c>
      <c r="CD733">
        <f>IFERROR(INDEX(PP_Grid[#Data],$DD733,80),0)</f>
        <v/>
      </c>
      <c r="CE733">
        <f>IFERROR(INDEX(PP_Grid[#Data],$DD733,81),0)</f>
        <v/>
      </c>
      <c r="CF733">
        <f>IFERROR(INDEX(PP_Grid[#Data],$DD733,82),0)</f>
        <v/>
      </c>
      <c r="CG733">
        <f>IFERROR(INDEX(PP_Grid[#Data],$DD733,83),0)</f>
        <v/>
      </c>
      <c r="CH733">
        <f>IFERROR(INDEX(PP_Grid[#Data],$DD733,84),0)</f>
        <v/>
      </c>
      <c r="CI733">
        <f>IFERROR(INDEX(PP_Grid[#Data],$DD733,85),0)</f>
        <v/>
      </c>
      <c r="CJ733">
        <f>IFERROR(INDEX(PP_Grid[#Data],$DD733,86),0)</f>
        <v/>
      </c>
      <c r="CK733">
        <f>IFERROR(INDEX(PP_Grid[#Data],$DD733,87),0)</f>
        <v/>
      </c>
      <c r="CL733">
        <f>IFERROR(INDEX(PP_Grid[#Data],$DD733,88),0)</f>
        <v/>
      </c>
      <c r="CM733">
        <f>IFERROR(INDEX(PP_Grid[#Data],$DD733,89),0)</f>
        <v/>
      </c>
      <c r="CN733">
        <f>IFERROR(INDEX(PP_Grid[#Data],$DD733,90),0)</f>
        <v/>
      </c>
      <c r="CO733">
        <f>IFERROR(INDEX(PP_Grid[#Data],$DD733,91),0)</f>
        <v/>
      </c>
      <c r="CP733">
        <f>IFERROR(INDEX(PP_Grid[#Data],$DD733,92),0)</f>
        <v/>
      </c>
      <c r="CQ733">
        <f>IFERROR(INDEX(PP_Grid[#Data],$DD733,93),0)</f>
        <v/>
      </c>
      <c r="CR733">
        <f>IFERROR(INDEX(PP_Grid[#Data],$DD733,94),0)</f>
        <v/>
      </c>
      <c r="CS733">
        <f>IFERROR(INDEX(PP_Grid[#Data],$DD733,95),0)</f>
        <v/>
      </c>
      <c r="CT733">
        <f>IFERROR(INDEX(PP_Grid[#Data],$DD733,96),0)</f>
        <v/>
      </c>
      <c r="CU733">
        <f>IFERROR(INDEX(PP_Grid[#Data],$DD733,97),0)</f>
        <v/>
      </c>
      <c r="CV733">
        <f>IFERROR(INDEX(PP_Grid[#Data],$DD733,98),0)</f>
        <v/>
      </c>
      <c r="CW733">
        <f>IFERROR(INDEX(PP_Grid[#Data],$DD733,99),0)</f>
        <v/>
      </c>
      <c r="CX733">
        <f>IFERROR(INDEX(PP_Grid[#Data],$DD733,100),0)</f>
        <v/>
      </c>
      <c r="CY733">
        <f>IFERROR(INDEX(PP_Grid[#Data],$DD733,101),0)</f>
        <v/>
      </c>
      <c r="CZ733">
        <f>IFERROR(INDEX(PP_Grid[#Data],$DD733,102),0)</f>
        <v/>
      </c>
      <c r="DA733">
        <f>IFERROR(INDEX(PP_Grid[#Data],$DD733,103),0)</f>
        <v/>
      </c>
      <c r="DB733">
        <f>IFERROR(INDEX(PP_Grid[#Data],$DD733,104),0)</f>
        <v/>
      </c>
      <c r="DC733">
        <f>IFERROR(INDEX(PP_Grid[#Data],$DD733,105),0)</f>
        <v/>
      </c>
      <c r="DD733" s="7">
        <f>IFERROR(MATCH($B733,PP_Grid[Intermediate],0),99999)</f>
        <v/>
      </c>
    </row>
    <row r="734">
      <c r="B734" t="inlineStr">
        <is>
          <t>使用量(kg)</t>
        </is>
      </c>
      <c r="C734">
        <f>SUMIFS(M_BOM[RM_Qty_Per_Batch],M_BOM[Intermediate],$B733,M_BOM[Part Name],$A710)</f>
        <v/>
      </c>
      <c r="D734">
        <f>$C734*D733</f>
        <v/>
      </c>
      <c r="E734">
        <f>$C734*E733</f>
        <v/>
      </c>
      <c r="F734">
        <f>$C734*F733</f>
        <v/>
      </c>
      <c r="G734">
        <f>$C734*G733</f>
        <v/>
      </c>
      <c r="H734">
        <f>$C734*H733</f>
        <v/>
      </c>
      <c r="I734">
        <f>$C734*I733</f>
        <v/>
      </c>
      <c r="J734">
        <f>$C734*J733</f>
        <v/>
      </c>
      <c r="K734">
        <f>$C734*K733</f>
        <v/>
      </c>
      <c r="L734">
        <f>$C734*L733</f>
        <v/>
      </c>
      <c r="M734">
        <f>$C734*M733</f>
        <v/>
      </c>
      <c r="N734">
        <f>$C734*N733</f>
        <v/>
      </c>
      <c r="O734">
        <f>$C734*O733</f>
        <v/>
      </c>
      <c r="P734">
        <f>$C734*P733</f>
        <v/>
      </c>
      <c r="Q734">
        <f>$C734*Q733</f>
        <v/>
      </c>
      <c r="R734">
        <f>$C734*R733</f>
        <v/>
      </c>
      <c r="S734">
        <f>$C734*S733</f>
        <v/>
      </c>
      <c r="T734">
        <f>$C734*T733</f>
        <v/>
      </c>
      <c r="U734">
        <f>$C734*U733</f>
        <v/>
      </c>
      <c r="V734">
        <f>$C734*V733</f>
        <v/>
      </c>
      <c r="W734">
        <f>$C734*W733</f>
        <v/>
      </c>
      <c r="X734">
        <f>$C734*X733</f>
        <v/>
      </c>
      <c r="Y734">
        <f>$C734*Y733</f>
        <v/>
      </c>
      <c r="Z734">
        <f>$C734*Z733</f>
        <v/>
      </c>
      <c r="AA734">
        <f>$C734*AA733</f>
        <v/>
      </c>
      <c r="AB734">
        <f>$C734*AB733</f>
        <v/>
      </c>
      <c r="AC734">
        <f>$C734*AC733</f>
        <v/>
      </c>
      <c r="AD734">
        <f>$C734*AD733</f>
        <v/>
      </c>
      <c r="AE734">
        <f>$C734*AE733</f>
        <v/>
      </c>
      <c r="AF734">
        <f>$C734*AF733</f>
        <v/>
      </c>
      <c r="AG734">
        <f>$C734*AG733</f>
        <v/>
      </c>
      <c r="AH734">
        <f>$C734*AH733</f>
        <v/>
      </c>
      <c r="AI734">
        <f>$C734*AI733</f>
        <v/>
      </c>
      <c r="AJ734">
        <f>$C734*AJ733</f>
        <v/>
      </c>
      <c r="AK734">
        <f>$C734*AK733</f>
        <v/>
      </c>
      <c r="AL734">
        <f>$C734*AL733</f>
        <v/>
      </c>
      <c r="AM734">
        <f>$C734*AM733</f>
        <v/>
      </c>
      <c r="AN734">
        <f>$C734*AN733</f>
        <v/>
      </c>
      <c r="AO734">
        <f>$C734*AO733</f>
        <v/>
      </c>
      <c r="AP734">
        <f>$C734*AP733</f>
        <v/>
      </c>
      <c r="AQ734">
        <f>$C734*AQ733</f>
        <v/>
      </c>
      <c r="AR734">
        <f>$C734*AR733</f>
        <v/>
      </c>
      <c r="AS734">
        <f>$C734*AS733</f>
        <v/>
      </c>
      <c r="AT734">
        <f>$C734*AT733</f>
        <v/>
      </c>
      <c r="AU734">
        <f>$C734*AU733</f>
        <v/>
      </c>
      <c r="AV734">
        <f>$C734*AV733</f>
        <v/>
      </c>
      <c r="AW734">
        <f>$C734*AW733</f>
        <v/>
      </c>
      <c r="AX734">
        <f>$C734*AX733</f>
        <v/>
      </c>
      <c r="AY734">
        <f>$C734*AY733</f>
        <v/>
      </c>
      <c r="AZ734">
        <f>$C734*AZ733</f>
        <v/>
      </c>
      <c r="BA734">
        <f>$C734*BA733</f>
        <v/>
      </c>
      <c r="BB734">
        <f>$C734*BB733</f>
        <v/>
      </c>
      <c r="BC734">
        <f>$C734*BC733</f>
        <v/>
      </c>
      <c r="BD734">
        <f>$C734*BD733</f>
        <v/>
      </c>
      <c r="BE734">
        <f>$C734*BE733</f>
        <v/>
      </c>
      <c r="BF734">
        <f>$C734*BF733</f>
        <v/>
      </c>
      <c r="BG734">
        <f>$C734*BG733</f>
        <v/>
      </c>
      <c r="BH734">
        <f>$C734*BH733</f>
        <v/>
      </c>
      <c r="BI734">
        <f>$C734*BI733</f>
        <v/>
      </c>
      <c r="BJ734">
        <f>$C734*BJ733</f>
        <v/>
      </c>
      <c r="BK734">
        <f>$C734*BK733</f>
        <v/>
      </c>
      <c r="BL734">
        <f>$C734*BL733</f>
        <v/>
      </c>
      <c r="BM734">
        <f>$C734*BM733</f>
        <v/>
      </c>
      <c r="BN734">
        <f>$C734*BN733</f>
        <v/>
      </c>
      <c r="BO734">
        <f>$C734*BO733</f>
        <v/>
      </c>
      <c r="BP734">
        <f>$C734*BP733</f>
        <v/>
      </c>
      <c r="BQ734">
        <f>$C734*BQ733</f>
        <v/>
      </c>
      <c r="BR734">
        <f>$C734*BR733</f>
        <v/>
      </c>
      <c r="BS734">
        <f>$C734*BS733</f>
        <v/>
      </c>
      <c r="BT734">
        <f>$C734*BT733</f>
        <v/>
      </c>
      <c r="BU734">
        <f>$C734*BU733</f>
        <v/>
      </c>
      <c r="BV734">
        <f>$C734*BV733</f>
        <v/>
      </c>
      <c r="BW734">
        <f>$C734*BW733</f>
        <v/>
      </c>
      <c r="BX734">
        <f>$C734*BX733</f>
        <v/>
      </c>
      <c r="BY734">
        <f>$C734*BY733</f>
        <v/>
      </c>
      <c r="BZ734">
        <f>$C734*BZ733</f>
        <v/>
      </c>
      <c r="CA734">
        <f>$C734*CA733</f>
        <v/>
      </c>
      <c r="CB734">
        <f>$C734*CB733</f>
        <v/>
      </c>
      <c r="CC734">
        <f>$C734*CC733</f>
        <v/>
      </c>
      <c r="CD734">
        <f>$C734*CD733</f>
        <v/>
      </c>
      <c r="CE734">
        <f>$C734*CE733</f>
        <v/>
      </c>
      <c r="CF734">
        <f>$C734*CF733</f>
        <v/>
      </c>
      <c r="CG734">
        <f>$C734*CG733</f>
        <v/>
      </c>
      <c r="CH734">
        <f>$C734*CH733</f>
        <v/>
      </c>
      <c r="CI734">
        <f>$C734*CI733</f>
        <v/>
      </c>
      <c r="CJ734">
        <f>$C734*CJ733</f>
        <v/>
      </c>
      <c r="CK734">
        <f>$C734*CK733</f>
        <v/>
      </c>
      <c r="CL734">
        <f>$C734*CL733</f>
        <v/>
      </c>
      <c r="CM734">
        <f>$C734*CM733</f>
        <v/>
      </c>
      <c r="CN734">
        <f>$C734*CN733</f>
        <v/>
      </c>
      <c r="CO734">
        <f>$C734*CO733</f>
        <v/>
      </c>
      <c r="CP734">
        <f>$C734*CP733</f>
        <v/>
      </c>
      <c r="CQ734">
        <f>$C734*CQ733</f>
        <v/>
      </c>
      <c r="CR734">
        <f>$C734*CR733</f>
        <v/>
      </c>
      <c r="CS734">
        <f>$C734*CS733</f>
        <v/>
      </c>
      <c r="CT734">
        <f>$C734*CT733</f>
        <v/>
      </c>
      <c r="CU734">
        <f>$C734*CU733</f>
        <v/>
      </c>
      <c r="CV734">
        <f>$C734*CV733</f>
        <v/>
      </c>
      <c r="CW734">
        <f>$C734*CW733</f>
        <v/>
      </c>
      <c r="CX734">
        <f>$C734*CX733</f>
        <v/>
      </c>
      <c r="CY734">
        <f>$C734*CY733</f>
        <v/>
      </c>
      <c r="CZ734">
        <f>$C734*CZ733</f>
        <v/>
      </c>
      <c r="DA734">
        <f>$C734*DA733</f>
        <v/>
      </c>
      <c r="DB734">
        <f>$C734*DB733</f>
        <v/>
      </c>
      <c r="DC734">
        <f>$C734*DC733</f>
        <v/>
      </c>
    </row>
    <row r="735">
      <c r="B735" t="inlineStr">
        <is>
          <t>VSP-746</t>
        </is>
      </c>
      <c r="C735" t="inlineStr">
        <is>
          <t>No. of batches</t>
        </is>
      </c>
      <c r="D735">
        <f>IFERROR(INDEX(PP_Grid[#Data],$DD735,2),0)</f>
        <v/>
      </c>
      <c r="E735">
        <f>IFERROR(INDEX(PP_Grid[#Data],$DD735,3),0)</f>
        <v/>
      </c>
      <c r="F735">
        <f>IFERROR(INDEX(PP_Grid[#Data],$DD735,4),0)</f>
        <v/>
      </c>
      <c r="G735">
        <f>IFERROR(INDEX(PP_Grid[#Data],$DD735,5),0)</f>
        <v/>
      </c>
      <c r="H735">
        <f>IFERROR(INDEX(PP_Grid[#Data],$DD735,6),0)</f>
        <v/>
      </c>
      <c r="I735">
        <f>IFERROR(INDEX(PP_Grid[#Data],$DD735,7),0)</f>
        <v/>
      </c>
      <c r="J735">
        <f>IFERROR(INDEX(PP_Grid[#Data],$DD735,8),0)</f>
        <v/>
      </c>
      <c r="K735">
        <f>IFERROR(INDEX(PP_Grid[#Data],$DD735,9),0)</f>
        <v/>
      </c>
      <c r="L735">
        <f>IFERROR(INDEX(PP_Grid[#Data],$DD735,10),0)</f>
        <v/>
      </c>
      <c r="M735">
        <f>IFERROR(INDEX(PP_Grid[#Data],$DD735,11),0)</f>
        <v/>
      </c>
      <c r="N735">
        <f>IFERROR(INDEX(PP_Grid[#Data],$DD735,12),0)</f>
        <v/>
      </c>
      <c r="O735">
        <f>IFERROR(INDEX(PP_Grid[#Data],$DD735,13),0)</f>
        <v/>
      </c>
      <c r="P735">
        <f>IFERROR(INDEX(PP_Grid[#Data],$DD735,14),0)</f>
        <v/>
      </c>
      <c r="Q735">
        <f>IFERROR(INDEX(PP_Grid[#Data],$DD735,15),0)</f>
        <v/>
      </c>
      <c r="R735">
        <f>IFERROR(INDEX(PP_Grid[#Data],$DD735,16),0)</f>
        <v/>
      </c>
      <c r="S735">
        <f>IFERROR(INDEX(PP_Grid[#Data],$DD735,17),0)</f>
        <v/>
      </c>
      <c r="T735">
        <f>IFERROR(INDEX(PP_Grid[#Data],$DD735,18),0)</f>
        <v/>
      </c>
      <c r="U735">
        <f>IFERROR(INDEX(PP_Grid[#Data],$DD735,19),0)</f>
        <v/>
      </c>
      <c r="V735">
        <f>IFERROR(INDEX(PP_Grid[#Data],$DD735,20),0)</f>
        <v/>
      </c>
      <c r="W735">
        <f>IFERROR(INDEX(PP_Grid[#Data],$DD735,21),0)</f>
        <v/>
      </c>
      <c r="X735">
        <f>IFERROR(INDEX(PP_Grid[#Data],$DD735,22),0)</f>
        <v/>
      </c>
      <c r="Y735">
        <f>IFERROR(INDEX(PP_Grid[#Data],$DD735,23),0)</f>
        <v/>
      </c>
      <c r="Z735">
        <f>IFERROR(INDEX(PP_Grid[#Data],$DD735,24),0)</f>
        <v/>
      </c>
      <c r="AA735">
        <f>IFERROR(INDEX(PP_Grid[#Data],$DD735,25),0)</f>
        <v/>
      </c>
      <c r="AB735">
        <f>IFERROR(INDEX(PP_Grid[#Data],$DD735,26),0)</f>
        <v/>
      </c>
      <c r="AC735">
        <f>IFERROR(INDEX(PP_Grid[#Data],$DD735,27),0)</f>
        <v/>
      </c>
      <c r="AD735">
        <f>IFERROR(INDEX(PP_Grid[#Data],$DD735,28),0)</f>
        <v/>
      </c>
      <c r="AE735">
        <f>IFERROR(INDEX(PP_Grid[#Data],$DD735,29),0)</f>
        <v/>
      </c>
      <c r="AF735">
        <f>IFERROR(INDEX(PP_Grid[#Data],$DD735,30),0)</f>
        <v/>
      </c>
      <c r="AG735">
        <f>IFERROR(INDEX(PP_Grid[#Data],$DD735,31),0)</f>
        <v/>
      </c>
      <c r="AH735">
        <f>IFERROR(INDEX(PP_Grid[#Data],$DD735,32),0)</f>
        <v/>
      </c>
      <c r="AI735">
        <f>IFERROR(INDEX(PP_Grid[#Data],$DD735,33),0)</f>
        <v/>
      </c>
      <c r="AJ735">
        <f>IFERROR(INDEX(PP_Grid[#Data],$DD735,34),0)</f>
        <v/>
      </c>
      <c r="AK735">
        <f>IFERROR(INDEX(PP_Grid[#Data],$DD735,35),0)</f>
        <v/>
      </c>
      <c r="AL735">
        <f>IFERROR(INDEX(PP_Grid[#Data],$DD735,36),0)</f>
        <v/>
      </c>
      <c r="AM735">
        <f>IFERROR(INDEX(PP_Grid[#Data],$DD735,37),0)</f>
        <v/>
      </c>
      <c r="AN735">
        <f>IFERROR(INDEX(PP_Grid[#Data],$DD735,38),0)</f>
        <v/>
      </c>
      <c r="AO735">
        <f>IFERROR(INDEX(PP_Grid[#Data],$DD735,39),0)</f>
        <v/>
      </c>
      <c r="AP735">
        <f>IFERROR(INDEX(PP_Grid[#Data],$DD735,40),0)</f>
        <v/>
      </c>
      <c r="AQ735">
        <f>IFERROR(INDEX(PP_Grid[#Data],$DD735,41),0)</f>
        <v/>
      </c>
      <c r="AR735">
        <f>IFERROR(INDEX(PP_Grid[#Data],$DD735,42),0)</f>
        <v/>
      </c>
      <c r="AS735">
        <f>IFERROR(INDEX(PP_Grid[#Data],$DD735,43),0)</f>
        <v/>
      </c>
      <c r="AT735">
        <f>IFERROR(INDEX(PP_Grid[#Data],$DD735,44),0)</f>
        <v/>
      </c>
      <c r="AU735">
        <f>IFERROR(INDEX(PP_Grid[#Data],$DD735,45),0)</f>
        <v/>
      </c>
      <c r="AV735">
        <f>IFERROR(INDEX(PP_Grid[#Data],$DD735,46),0)</f>
        <v/>
      </c>
      <c r="AW735">
        <f>IFERROR(INDEX(PP_Grid[#Data],$DD735,47),0)</f>
        <v/>
      </c>
      <c r="AX735">
        <f>IFERROR(INDEX(PP_Grid[#Data],$DD735,48),0)</f>
        <v/>
      </c>
      <c r="AY735">
        <f>IFERROR(INDEX(PP_Grid[#Data],$DD735,49),0)</f>
        <v/>
      </c>
      <c r="AZ735">
        <f>IFERROR(INDEX(PP_Grid[#Data],$DD735,50),0)</f>
        <v/>
      </c>
      <c r="BA735">
        <f>IFERROR(INDEX(PP_Grid[#Data],$DD735,51),0)</f>
        <v/>
      </c>
      <c r="BB735">
        <f>IFERROR(INDEX(PP_Grid[#Data],$DD735,52),0)</f>
        <v/>
      </c>
      <c r="BC735">
        <f>IFERROR(INDEX(PP_Grid[#Data],$DD735,53),0)</f>
        <v/>
      </c>
      <c r="BD735">
        <f>IFERROR(INDEX(PP_Grid[#Data],$DD735,54),0)</f>
        <v/>
      </c>
      <c r="BE735">
        <f>IFERROR(INDEX(PP_Grid[#Data],$DD735,55),0)</f>
        <v/>
      </c>
      <c r="BF735">
        <f>IFERROR(INDEX(PP_Grid[#Data],$DD735,56),0)</f>
        <v/>
      </c>
      <c r="BG735">
        <f>IFERROR(INDEX(PP_Grid[#Data],$DD735,57),0)</f>
        <v/>
      </c>
      <c r="BH735">
        <f>IFERROR(INDEX(PP_Grid[#Data],$DD735,58),0)</f>
        <v/>
      </c>
      <c r="BI735">
        <f>IFERROR(INDEX(PP_Grid[#Data],$DD735,59),0)</f>
        <v/>
      </c>
      <c r="BJ735">
        <f>IFERROR(INDEX(PP_Grid[#Data],$DD735,60),0)</f>
        <v/>
      </c>
      <c r="BK735">
        <f>IFERROR(INDEX(PP_Grid[#Data],$DD735,61),0)</f>
        <v/>
      </c>
      <c r="BL735">
        <f>IFERROR(INDEX(PP_Grid[#Data],$DD735,62),0)</f>
        <v/>
      </c>
      <c r="BM735">
        <f>IFERROR(INDEX(PP_Grid[#Data],$DD735,63),0)</f>
        <v/>
      </c>
      <c r="BN735">
        <f>IFERROR(INDEX(PP_Grid[#Data],$DD735,64),0)</f>
        <v/>
      </c>
      <c r="BO735">
        <f>IFERROR(INDEX(PP_Grid[#Data],$DD735,65),0)</f>
        <v/>
      </c>
      <c r="BP735">
        <f>IFERROR(INDEX(PP_Grid[#Data],$DD735,66),0)</f>
        <v/>
      </c>
      <c r="BQ735">
        <f>IFERROR(INDEX(PP_Grid[#Data],$DD735,67),0)</f>
        <v/>
      </c>
      <c r="BR735">
        <f>IFERROR(INDEX(PP_Grid[#Data],$DD735,68),0)</f>
        <v/>
      </c>
      <c r="BS735">
        <f>IFERROR(INDEX(PP_Grid[#Data],$DD735,69),0)</f>
        <v/>
      </c>
      <c r="BT735">
        <f>IFERROR(INDEX(PP_Grid[#Data],$DD735,70),0)</f>
        <v/>
      </c>
      <c r="BU735">
        <f>IFERROR(INDEX(PP_Grid[#Data],$DD735,71),0)</f>
        <v/>
      </c>
      <c r="BV735">
        <f>IFERROR(INDEX(PP_Grid[#Data],$DD735,72),0)</f>
        <v/>
      </c>
      <c r="BW735">
        <f>IFERROR(INDEX(PP_Grid[#Data],$DD735,73),0)</f>
        <v/>
      </c>
      <c r="BX735">
        <f>IFERROR(INDEX(PP_Grid[#Data],$DD735,74),0)</f>
        <v/>
      </c>
      <c r="BY735">
        <f>IFERROR(INDEX(PP_Grid[#Data],$DD735,75),0)</f>
        <v/>
      </c>
      <c r="BZ735">
        <f>IFERROR(INDEX(PP_Grid[#Data],$DD735,76),0)</f>
        <v/>
      </c>
      <c r="CA735">
        <f>IFERROR(INDEX(PP_Grid[#Data],$DD735,77),0)</f>
        <v/>
      </c>
      <c r="CB735">
        <f>IFERROR(INDEX(PP_Grid[#Data],$DD735,78),0)</f>
        <v/>
      </c>
      <c r="CC735">
        <f>IFERROR(INDEX(PP_Grid[#Data],$DD735,79),0)</f>
        <v/>
      </c>
      <c r="CD735">
        <f>IFERROR(INDEX(PP_Grid[#Data],$DD735,80),0)</f>
        <v/>
      </c>
      <c r="CE735">
        <f>IFERROR(INDEX(PP_Grid[#Data],$DD735,81),0)</f>
        <v/>
      </c>
      <c r="CF735">
        <f>IFERROR(INDEX(PP_Grid[#Data],$DD735,82),0)</f>
        <v/>
      </c>
      <c r="CG735">
        <f>IFERROR(INDEX(PP_Grid[#Data],$DD735,83),0)</f>
        <v/>
      </c>
      <c r="CH735">
        <f>IFERROR(INDEX(PP_Grid[#Data],$DD735,84),0)</f>
        <v/>
      </c>
      <c r="CI735">
        <f>IFERROR(INDEX(PP_Grid[#Data],$DD735,85),0)</f>
        <v/>
      </c>
      <c r="CJ735">
        <f>IFERROR(INDEX(PP_Grid[#Data],$DD735,86),0)</f>
        <v/>
      </c>
      <c r="CK735">
        <f>IFERROR(INDEX(PP_Grid[#Data],$DD735,87),0)</f>
        <v/>
      </c>
      <c r="CL735">
        <f>IFERROR(INDEX(PP_Grid[#Data],$DD735,88),0)</f>
        <v/>
      </c>
      <c r="CM735">
        <f>IFERROR(INDEX(PP_Grid[#Data],$DD735,89),0)</f>
        <v/>
      </c>
      <c r="CN735">
        <f>IFERROR(INDEX(PP_Grid[#Data],$DD735,90),0)</f>
        <v/>
      </c>
      <c r="CO735">
        <f>IFERROR(INDEX(PP_Grid[#Data],$DD735,91),0)</f>
        <v/>
      </c>
      <c r="CP735">
        <f>IFERROR(INDEX(PP_Grid[#Data],$DD735,92),0)</f>
        <v/>
      </c>
      <c r="CQ735">
        <f>IFERROR(INDEX(PP_Grid[#Data],$DD735,93),0)</f>
        <v/>
      </c>
      <c r="CR735">
        <f>IFERROR(INDEX(PP_Grid[#Data],$DD735,94),0)</f>
        <v/>
      </c>
      <c r="CS735">
        <f>IFERROR(INDEX(PP_Grid[#Data],$DD735,95),0)</f>
        <v/>
      </c>
      <c r="CT735">
        <f>IFERROR(INDEX(PP_Grid[#Data],$DD735,96),0)</f>
        <v/>
      </c>
      <c r="CU735">
        <f>IFERROR(INDEX(PP_Grid[#Data],$DD735,97),0)</f>
        <v/>
      </c>
      <c r="CV735">
        <f>IFERROR(INDEX(PP_Grid[#Data],$DD735,98),0)</f>
        <v/>
      </c>
      <c r="CW735">
        <f>IFERROR(INDEX(PP_Grid[#Data],$DD735,99),0)</f>
        <v/>
      </c>
      <c r="CX735">
        <f>IFERROR(INDEX(PP_Grid[#Data],$DD735,100),0)</f>
        <v/>
      </c>
      <c r="CY735">
        <f>IFERROR(INDEX(PP_Grid[#Data],$DD735,101),0)</f>
        <v/>
      </c>
      <c r="CZ735">
        <f>IFERROR(INDEX(PP_Grid[#Data],$DD735,102),0)</f>
        <v/>
      </c>
      <c r="DA735">
        <f>IFERROR(INDEX(PP_Grid[#Data],$DD735,103),0)</f>
        <v/>
      </c>
      <c r="DB735">
        <f>IFERROR(INDEX(PP_Grid[#Data],$DD735,104),0)</f>
        <v/>
      </c>
      <c r="DC735">
        <f>IFERROR(INDEX(PP_Grid[#Data],$DD735,105),0)</f>
        <v/>
      </c>
      <c r="DD735" s="7">
        <f>IFERROR(MATCH($B735,PP_Grid[Intermediate],0),99999)</f>
        <v/>
      </c>
    </row>
    <row r="736">
      <c r="B736" t="inlineStr">
        <is>
          <t>使用量(kg)</t>
        </is>
      </c>
      <c r="C736">
        <f>SUMIFS(M_BOM[RM_Qty_Per_Batch],M_BOM[Intermediate],$B735,M_BOM[Part Name],$A710)</f>
        <v/>
      </c>
      <c r="D736">
        <f>$C736*D735</f>
        <v/>
      </c>
      <c r="E736">
        <f>$C736*E735</f>
        <v/>
      </c>
      <c r="F736">
        <f>$C736*F735</f>
        <v/>
      </c>
      <c r="G736">
        <f>$C736*G735</f>
        <v/>
      </c>
      <c r="H736">
        <f>$C736*H735</f>
        <v/>
      </c>
      <c r="I736">
        <f>$C736*I735</f>
        <v/>
      </c>
      <c r="J736">
        <f>$C736*J735</f>
        <v/>
      </c>
      <c r="K736">
        <f>$C736*K735</f>
        <v/>
      </c>
      <c r="L736">
        <f>$C736*L735</f>
        <v/>
      </c>
      <c r="M736">
        <f>$C736*M735</f>
        <v/>
      </c>
      <c r="N736">
        <f>$C736*N735</f>
        <v/>
      </c>
      <c r="O736">
        <f>$C736*O735</f>
        <v/>
      </c>
      <c r="P736">
        <f>$C736*P735</f>
        <v/>
      </c>
      <c r="Q736">
        <f>$C736*Q735</f>
        <v/>
      </c>
      <c r="R736">
        <f>$C736*R735</f>
        <v/>
      </c>
      <c r="S736">
        <f>$C736*S735</f>
        <v/>
      </c>
      <c r="T736">
        <f>$C736*T735</f>
        <v/>
      </c>
      <c r="U736">
        <f>$C736*U735</f>
        <v/>
      </c>
      <c r="V736">
        <f>$C736*V735</f>
        <v/>
      </c>
      <c r="W736">
        <f>$C736*W735</f>
        <v/>
      </c>
      <c r="X736">
        <f>$C736*X735</f>
        <v/>
      </c>
      <c r="Y736">
        <f>$C736*Y735</f>
        <v/>
      </c>
      <c r="Z736">
        <f>$C736*Z735</f>
        <v/>
      </c>
      <c r="AA736">
        <f>$C736*AA735</f>
        <v/>
      </c>
      <c r="AB736">
        <f>$C736*AB735</f>
        <v/>
      </c>
      <c r="AC736">
        <f>$C736*AC735</f>
        <v/>
      </c>
      <c r="AD736">
        <f>$C736*AD735</f>
        <v/>
      </c>
      <c r="AE736">
        <f>$C736*AE735</f>
        <v/>
      </c>
      <c r="AF736">
        <f>$C736*AF735</f>
        <v/>
      </c>
      <c r="AG736">
        <f>$C736*AG735</f>
        <v/>
      </c>
      <c r="AH736">
        <f>$C736*AH735</f>
        <v/>
      </c>
      <c r="AI736">
        <f>$C736*AI735</f>
        <v/>
      </c>
      <c r="AJ736">
        <f>$C736*AJ735</f>
        <v/>
      </c>
      <c r="AK736">
        <f>$C736*AK735</f>
        <v/>
      </c>
      <c r="AL736">
        <f>$C736*AL735</f>
        <v/>
      </c>
      <c r="AM736">
        <f>$C736*AM735</f>
        <v/>
      </c>
      <c r="AN736">
        <f>$C736*AN735</f>
        <v/>
      </c>
      <c r="AO736">
        <f>$C736*AO735</f>
        <v/>
      </c>
      <c r="AP736">
        <f>$C736*AP735</f>
        <v/>
      </c>
      <c r="AQ736">
        <f>$C736*AQ735</f>
        <v/>
      </c>
      <c r="AR736">
        <f>$C736*AR735</f>
        <v/>
      </c>
      <c r="AS736">
        <f>$C736*AS735</f>
        <v/>
      </c>
      <c r="AT736">
        <f>$C736*AT735</f>
        <v/>
      </c>
      <c r="AU736">
        <f>$C736*AU735</f>
        <v/>
      </c>
      <c r="AV736">
        <f>$C736*AV735</f>
        <v/>
      </c>
      <c r="AW736">
        <f>$C736*AW735</f>
        <v/>
      </c>
      <c r="AX736">
        <f>$C736*AX735</f>
        <v/>
      </c>
      <c r="AY736">
        <f>$C736*AY735</f>
        <v/>
      </c>
      <c r="AZ736">
        <f>$C736*AZ735</f>
        <v/>
      </c>
      <c r="BA736">
        <f>$C736*BA735</f>
        <v/>
      </c>
      <c r="BB736">
        <f>$C736*BB735</f>
        <v/>
      </c>
      <c r="BC736">
        <f>$C736*BC735</f>
        <v/>
      </c>
      <c r="BD736">
        <f>$C736*BD735</f>
        <v/>
      </c>
      <c r="BE736">
        <f>$C736*BE735</f>
        <v/>
      </c>
      <c r="BF736">
        <f>$C736*BF735</f>
        <v/>
      </c>
      <c r="BG736">
        <f>$C736*BG735</f>
        <v/>
      </c>
      <c r="BH736">
        <f>$C736*BH735</f>
        <v/>
      </c>
      <c r="BI736">
        <f>$C736*BI735</f>
        <v/>
      </c>
      <c r="BJ736">
        <f>$C736*BJ735</f>
        <v/>
      </c>
      <c r="BK736">
        <f>$C736*BK735</f>
        <v/>
      </c>
      <c r="BL736">
        <f>$C736*BL735</f>
        <v/>
      </c>
      <c r="BM736">
        <f>$C736*BM735</f>
        <v/>
      </c>
      <c r="BN736">
        <f>$C736*BN735</f>
        <v/>
      </c>
      <c r="BO736">
        <f>$C736*BO735</f>
        <v/>
      </c>
      <c r="BP736">
        <f>$C736*BP735</f>
        <v/>
      </c>
      <c r="BQ736">
        <f>$C736*BQ735</f>
        <v/>
      </c>
      <c r="BR736">
        <f>$C736*BR735</f>
        <v/>
      </c>
      <c r="BS736">
        <f>$C736*BS735</f>
        <v/>
      </c>
      <c r="BT736">
        <f>$C736*BT735</f>
        <v/>
      </c>
      <c r="BU736">
        <f>$C736*BU735</f>
        <v/>
      </c>
      <c r="BV736">
        <f>$C736*BV735</f>
        <v/>
      </c>
      <c r="BW736">
        <f>$C736*BW735</f>
        <v/>
      </c>
      <c r="BX736">
        <f>$C736*BX735</f>
        <v/>
      </c>
      <c r="BY736">
        <f>$C736*BY735</f>
        <v/>
      </c>
      <c r="BZ736">
        <f>$C736*BZ735</f>
        <v/>
      </c>
      <c r="CA736">
        <f>$C736*CA735</f>
        <v/>
      </c>
      <c r="CB736">
        <f>$C736*CB735</f>
        <v/>
      </c>
      <c r="CC736">
        <f>$C736*CC735</f>
        <v/>
      </c>
      <c r="CD736">
        <f>$C736*CD735</f>
        <v/>
      </c>
      <c r="CE736">
        <f>$C736*CE735</f>
        <v/>
      </c>
      <c r="CF736">
        <f>$C736*CF735</f>
        <v/>
      </c>
      <c r="CG736">
        <f>$C736*CG735</f>
        <v/>
      </c>
      <c r="CH736">
        <f>$C736*CH735</f>
        <v/>
      </c>
      <c r="CI736">
        <f>$C736*CI735</f>
        <v/>
      </c>
      <c r="CJ736">
        <f>$C736*CJ735</f>
        <v/>
      </c>
      <c r="CK736">
        <f>$C736*CK735</f>
        <v/>
      </c>
      <c r="CL736">
        <f>$C736*CL735</f>
        <v/>
      </c>
      <c r="CM736">
        <f>$C736*CM735</f>
        <v/>
      </c>
      <c r="CN736">
        <f>$C736*CN735</f>
        <v/>
      </c>
      <c r="CO736">
        <f>$C736*CO735</f>
        <v/>
      </c>
      <c r="CP736">
        <f>$C736*CP735</f>
        <v/>
      </c>
      <c r="CQ736">
        <f>$C736*CQ735</f>
        <v/>
      </c>
      <c r="CR736">
        <f>$C736*CR735</f>
        <v/>
      </c>
      <c r="CS736">
        <f>$C736*CS735</f>
        <v/>
      </c>
      <c r="CT736">
        <f>$C736*CT735</f>
        <v/>
      </c>
      <c r="CU736">
        <f>$C736*CU735</f>
        <v/>
      </c>
      <c r="CV736">
        <f>$C736*CV735</f>
        <v/>
      </c>
      <c r="CW736">
        <f>$C736*CW735</f>
        <v/>
      </c>
      <c r="CX736">
        <f>$C736*CX735</f>
        <v/>
      </c>
      <c r="CY736">
        <f>$C736*CY735</f>
        <v/>
      </c>
      <c r="CZ736">
        <f>$C736*CZ735</f>
        <v/>
      </c>
      <c r="DA736">
        <f>$C736*DA735</f>
        <v/>
      </c>
      <c r="DB736">
        <f>$C736*DB735</f>
        <v/>
      </c>
      <c r="DC736">
        <f>$C736*DC735</f>
        <v/>
      </c>
    </row>
    <row r="737">
      <c r="B737" t="inlineStr">
        <is>
          <t>VSP-822</t>
        </is>
      </c>
      <c r="C737" t="inlineStr">
        <is>
          <t>No. of batches</t>
        </is>
      </c>
      <c r="D737">
        <f>IFERROR(INDEX(PP_Grid[#Data],$DD737,2),0)</f>
        <v/>
      </c>
      <c r="E737">
        <f>IFERROR(INDEX(PP_Grid[#Data],$DD737,3),0)</f>
        <v/>
      </c>
      <c r="F737">
        <f>IFERROR(INDEX(PP_Grid[#Data],$DD737,4),0)</f>
        <v/>
      </c>
      <c r="G737">
        <f>IFERROR(INDEX(PP_Grid[#Data],$DD737,5),0)</f>
        <v/>
      </c>
      <c r="H737">
        <f>IFERROR(INDEX(PP_Grid[#Data],$DD737,6),0)</f>
        <v/>
      </c>
      <c r="I737">
        <f>IFERROR(INDEX(PP_Grid[#Data],$DD737,7),0)</f>
        <v/>
      </c>
      <c r="J737">
        <f>IFERROR(INDEX(PP_Grid[#Data],$DD737,8),0)</f>
        <v/>
      </c>
      <c r="K737">
        <f>IFERROR(INDEX(PP_Grid[#Data],$DD737,9),0)</f>
        <v/>
      </c>
      <c r="L737">
        <f>IFERROR(INDEX(PP_Grid[#Data],$DD737,10),0)</f>
        <v/>
      </c>
      <c r="M737">
        <f>IFERROR(INDEX(PP_Grid[#Data],$DD737,11),0)</f>
        <v/>
      </c>
      <c r="N737">
        <f>IFERROR(INDEX(PP_Grid[#Data],$DD737,12),0)</f>
        <v/>
      </c>
      <c r="O737">
        <f>IFERROR(INDEX(PP_Grid[#Data],$DD737,13),0)</f>
        <v/>
      </c>
      <c r="P737">
        <f>IFERROR(INDEX(PP_Grid[#Data],$DD737,14),0)</f>
        <v/>
      </c>
      <c r="Q737">
        <f>IFERROR(INDEX(PP_Grid[#Data],$DD737,15),0)</f>
        <v/>
      </c>
      <c r="R737">
        <f>IFERROR(INDEX(PP_Grid[#Data],$DD737,16),0)</f>
        <v/>
      </c>
      <c r="S737">
        <f>IFERROR(INDEX(PP_Grid[#Data],$DD737,17),0)</f>
        <v/>
      </c>
      <c r="T737">
        <f>IFERROR(INDEX(PP_Grid[#Data],$DD737,18),0)</f>
        <v/>
      </c>
      <c r="U737">
        <f>IFERROR(INDEX(PP_Grid[#Data],$DD737,19),0)</f>
        <v/>
      </c>
      <c r="V737">
        <f>IFERROR(INDEX(PP_Grid[#Data],$DD737,20),0)</f>
        <v/>
      </c>
      <c r="W737">
        <f>IFERROR(INDEX(PP_Grid[#Data],$DD737,21),0)</f>
        <v/>
      </c>
      <c r="X737">
        <f>IFERROR(INDEX(PP_Grid[#Data],$DD737,22),0)</f>
        <v/>
      </c>
      <c r="Y737">
        <f>IFERROR(INDEX(PP_Grid[#Data],$DD737,23),0)</f>
        <v/>
      </c>
      <c r="Z737">
        <f>IFERROR(INDEX(PP_Grid[#Data],$DD737,24),0)</f>
        <v/>
      </c>
      <c r="AA737">
        <f>IFERROR(INDEX(PP_Grid[#Data],$DD737,25),0)</f>
        <v/>
      </c>
      <c r="AB737">
        <f>IFERROR(INDEX(PP_Grid[#Data],$DD737,26),0)</f>
        <v/>
      </c>
      <c r="AC737">
        <f>IFERROR(INDEX(PP_Grid[#Data],$DD737,27),0)</f>
        <v/>
      </c>
      <c r="AD737">
        <f>IFERROR(INDEX(PP_Grid[#Data],$DD737,28),0)</f>
        <v/>
      </c>
      <c r="AE737">
        <f>IFERROR(INDEX(PP_Grid[#Data],$DD737,29),0)</f>
        <v/>
      </c>
      <c r="AF737">
        <f>IFERROR(INDEX(PP_Grid[#Data],$DD737,30),0)</f>
        <v/>
      </c>
      <c r="AG737">
        <f>IFERROR(INDEX(PP_Grid[#Data],$DD737,31),0)</f>
        <v/>
      </c>
      <c r="AH737">
        <f>IFERROR(INDEX(PP_Grid[#Data],$DD737,32),0)</f>
        <v/>
      </c>
      <c r="AI737">
        <f>IFERROR(INDEX(PP_Grid[#Data],$DD737,33),0)</f>
        <v/>
      </c>
      <c r="AJ737">
        <f>IFERROR(INDEX(PP_Grid[#Data],$DD737,34),0)</f>
        <v/>
      </c>
      <c r="AK737">
        <f>IFERROR(INDEX(PP_Grid[#Data],$DD737,35),0)</f>
        <v/>
      </c>
      <c r="AL737">
        <f>IFERROR(INDEX(PP_Grid[#Data],$DD737,36),0)</f>
        <v/>
      </c>
      <c r="AM737">
        <f>IFERROR(INDEX(PP_Grid[#Data],$DD737,37),0)</f>
        <v/>
      </c>
      <c r="AN737">
        <f>IFERROR(INDEX(PP_Grid[#Data],$DD737,38),0)</f>
        <v/>
      </c>
      <c r="AO737">
        <f>IFERROR(INDEX(PP_Grid[#Data],$DD737,39),0)</f>
        <v/>
      </c>
      <c r="AP737">
        <f>IFERROR(INDEX(PP_Grid[#Data],$DD737,40),0)</f>
        <v/>
      </c>
      <c r="AQ737">
        <f>IFERROR(INDEX(PP_Grid[#Data],$DD737,41),0)</f>
        <v/>
      </c>
      <c r="AR737">
        <f>IFERROR(INDEX(PP_Grid[#Data],$DD737,42),0)</f>
        <v/>
      </c>
      <c r="AS737">
        <f>IFERROR(INDEX(PP_Grid[#Data],$DD737,43),0)</f>
        <v/>
      </c>
      <c r="AT737">
        <f>IFERROR(INDEX(PP_Grid[#Data],$DD737,44),0)</f>
        <v/>
      </c>
      <c r="AU737">
        <f>IFERROR(INDEX(PP_Grid[#Data],$DD737,45),0)</f>
        <v/>
      </c>
      <c r="AV737">
        <f>IFERROR(INDEX(PP_Grid[#Data],$DD737,46),0)</f>
        <v/>
      </c>
      <c r="AW737">
        <f>IFERROR(INDEX(PP_Grid[#Data],$DD737,47),0)</f>
        <v/>
      </c>
      <c r="AX737">
        <f>IFERROR(INDEX(PP_Grid[#Data],$DD737,48),0)</f>
        <v/>
      </c>
      <c r="AY737">
        <f>IFERROR(INDEX(PP_Grid[#Data],$DD737,49),0)</f>
        <v/>
      </c>
      <c r="AZ737">
        <f>IFERROR(INDEX(PP_Grid[#Data],$DD737,50),0)</f>
        <v/>
      </c>
      <c r="BA737">
        <f>IFERROR(INDEX(PP_Grid[#Data],$DD737,51),0)</f>
        <v/>
      </c>
      <c r="BB737">
        <f>IFERROR(INDEX(PP_Grid[#Data],$DD737,52),0)</f>
        <v/>
      </c>
      <c r="BC737">
        <f>IFERROR(INDEX(PP_Grid[#Data],$DD737,53),0)</f>
        <v/>
      </c>
      <c r="BD737">
        <f>IFERROR(INDEX(PP_Grid[#Data],$DD737,54),0)</f>
        <v/>
      </c>
      <c r="BE737">
        <f>IFERROR(INDEX(PP_Grid[#Data],$DD737,55),0)</f>
        <v/>
      </c>
      <c r="BF737">
        <f>IFERROR(INDEX(PP_Grid[#Data],$DD737,56),0)</f>
        <v/>
      </c>
      <c r="BG737">
        <f>IFERROR(INDEX(PP_Grid[#Data],$DD737,57),0)</f>
        <v/>
      </c>
      <c r="BH737">
        <f>IFERROR(INDEX(PP_Grid[#Data],$DD737,58),0)</f>
        <v/>
      </c>
      <c r="BI737">
        <f>IFERROR(INDEX(PP_Grid[#Data],$DD737,59),0)</f>
        <v/>
      </c>
      <c r="BJ737">
        <f>IFERROR(INDEX(PP_Grid[#Data],$DD737,60),0)</f>
        <v/>
      </c>
      <c r="BK737">
        <f>IFERROR(INDEX(PP_Grid[#Data],$DD737,61),0)</f>
        <v/>
      </c>
      <c r="BL737">
        <f>IFERROR(INDEX(PP_Grid[#Data],$DD737,62),0)</f>
        <v/>
      </c>
      <c r="BM737">
        <f>IFERROR(INDEX(PP_Grid[#Data],$DD737,63),0)</f>
        <v/>
      </c>
      <c r="BN737">
        <f>IFERROR(INDEX(PP_Grid[#Data],$DD737,64),0)</f>
        <v/>
      </c>
      <c r="BO737">
        <f>IFERROR(INDEX(PP_Grid[#Data],$DD737,65),0)</f>
        <v/>
      </c>
      <c r="BP737">
        <f>IFERROR(INDEX(PP_Grid[#Data],$DD737,66),0)</f>
        <v/>
      </c>
      <c r="BQ737">
        <f>IFERROR(INDEX(PP_Grid[#Data],$DD737,67),0)</f>
        <v/>
      </c>
      <c r="BR737">
        <f>IFERROR(INDEX(PP_Grid[#Data],$DD737,68),0)</f>
        <v/>
      </c>
      <c r="BS737">
        <f>IFERROR(INDEX(PP_Grid[#Data],$DD737,69),0)</f>
        <v/>
      </c>
      <c r="BT737">
        <f>IFERROR(INDEX(PP_Grid[#Data],$DD737,70),0)</f>
        <v/>
      </c>
      <c r="BU737">
        <f>IFERROR(INDEX(PP_Grid[#Data],$DD737,71),0)</f>
        <v/>
      </c>
      <c r="BV737">
        <f>IFERROR(INDEX(PP_Grid[#Data],$DD737,72),0)</f>
        <v/>
      </c>
      <c r="BW737">
        <f>IFERROR(INDEX(PP_Grid[#Data],$DD737,73),0)</f>
        <v/>
      </c>
      <c r="BX737">
        <f>IFERROR(INDEX(PP_Grid[#Data],$DD737,74),0)</f>
        <v/>
      </c>
      <c r="BY737">
        <f>IFERROR(INDEX(PP_Grid[#Data],$DD737,75),0)</f>
        <v/>
      </c>
      <c r="BZ737">
        <f>IFERROR(INDEX(PP_Grid[#Data],$DD737,76),0)</f>
        <v/>
      </c>
      <c r="CA737">
        <f>IFERROR(INDEX(PP_Grid[#Data],$DD737,77),0)</f>
        <v/>
      </c>
      <c r="CB737">
        <f>IFERROR(INDEX(PP_Grid[#Data],$DD737,78),0)</f>
        <v/>
      </c>
      <c r="CC737">
        <f>IFERROR(INDEX(PP_Grid[#Data],$DD737,79),0)</f>
        <v/>
      </c>
      <c r="CD737">
        <f>IFERROR(INDEX(PP_Grid[#Data],$DD737,80),0)</f>
        <v/>
      </c>
      <c r="CE737">
        <f>IFERROR(INDEX(PP_Grid[#Data],$DD737,81),0)</f>
        <v/>
      </c>
      <c r="CF737">
        <f>IFERROR(INDEX(PP_Grid[#Data],$DD737,82),0)</f>
        <v/>
      </c>
      <c r="CG737">
        <f>IFERROR(INDEX(PP_Grid[#Data],$DD737,83),0)</f>
        <v/>
      </c>
      <c r="CH737">
        <f>IFERROR(INDEX(PP_Grid[#Data],$DD737,84),0)</f>
        <v/>
      </c>
      <c r="CI737">
        <f>IFERROR(INDEX(PP_Grid[#Data],$DD737,85),0)</f>
        <v/>
      </c>
      <c r="CJ737">
        <f>IFERROR(INDEX(PP_Grid[#Data],$DD737,86),0)</f>
        <v/>
      </c>
      <c r="CK737">
        <f>IFERROR(INDEX(PP_Grid[#Data],$DD737,87),0)</f>
        <v/>
      </c>
      <c r="CL737">
        <f>IFERROR(INDEX(PP_Grid[#Data],$DD737,88),0)</f>
        <v/>
      </c>
      <c r="CM737">
        <f>IFERROR(INDEX(PP_Grid[#Data],$DD737,89),0)</f>
        <v/>
      </c>
      <c r="CN737">
        <f>IFERROR(INDEX(PP_Grid[#Data],$DD737,90),0)</f>
        <v/>
      </c>
      <c r="CO737">
        <f>IFERROR(INDEX(PP_Grid[#Data],$DD737,91),0)</f>
        <v/>
      </c>
      <c r="CP737">
        <f>IFERROR(INDEX(PP_Grid[#Data],$DD737,92),0)</f>
        <v/>
      </c>
      <c r="CQ737">
        <f>IFERROR(INDEX(PP_Grid[#Data],$DD737,93),0)</f>
        <v/>
      </c>
      <c r="CR737">
        <f>IFERROR(INDEX(PP_Grid[#Data],$DD737,94),0)</f>
        <v/>
      </c>
      <c r="CS737">
        <f>IFERROR(INDEX(PP_Grid[#Data],$DD737,95),0)</f>
        <v/>
      </c>
      <c r="CT737">
        <f>IFERROR(INDEX(PP_Grid[#Data],$DD737,96),0)</f>
        <v/>
      </c>
      <c r="CU737">
        <f>IFERROR(INDEX(PP_Grid[#Data],$DD737,97),0)</f>
        <v/>
      </c>
      <c r="CV737">
        <f>IFERROR(INDEX(PP_Grid[#Data],$DD737,98),0)</f>
        <v/>
      </c>
      <c r="CW737">
        <f>IFERROR(INDEX(PP_Grid[#Data],$DD737,99),0)</f>
        <v/>
      </c>
      <c r="CX737">
        <f>IFERROR(INDEX(PP_Grid[#Data],$DD737,100),0)</f>
        <v/>
      </c>
      <c r="CY737">
        <f>IFERROR(INDEX(PP_Grid[#Data],$DD737,101),0)</f>
        <v/>
      </c>
      <c r="CZ737">
        <f>IFERROR(INDEX(PP_Grid[#Data],$DD737,102),0)</f>
        <v/>
      </c>
      <c r="DA737">
        <f>IFERROR(INDEX(PP_Grid[#Data],$DD737,103),0)</f>
        <v/>
      </c>
      <c r="DB737">
        <f>IFERROR(INDEX(PP_Grid[#Data],$DD737,104),0)</f>
        <v/>
      </c>
      <c r="DC737">
        <f>IFERROR(INDEX(PP_Grid[#Data],$DD737,105),0)</f>
        <v/>
      </c>
      <c r="DD737" s="7">
        <f>IFERROR(MATCH($B737,PP_Grid[Intermediate],0),99999)</f>
        <v/>
      </c>
    </row>
    <row r="738">
      <c r="B738" t="inlineStr">
        <is>
          <t>使用量(kg)</t>
        </is>
      </c>
      <c r="C738">
        <f>SUMIFS(M_BOM[RM_Qty_Per_Batch],M_BOM[Intermediate],$B737,M_BOM[Part Name],$A710)</f>
        <v/>
      </c>
      <c r="D738">
        <f>$C738*D737</f>
        <v/>
      </c>
      <c r="E738">
        <f>$C738*E737</f>
        <v/>
      </c>
      <c r="F738">
        <f>$C738*F737</f>
        <v/>
      </c>
      <c r="G738">
        <f>$C738*G737</f>
        <v/>
      </c>
      <c r="H738">
        <f>$C738*H737</f>
        <v/>
      </c>
      <c r="I738">
        <f>$C738*I737</f>
        <v/>
      </c>
      <c r="J738">
        <f>$C738*J737</f>
        <v/>
      </c>
      <c r="K738">
        <f>$C738*K737</f>
        <v/>
      </c>
      <c r="L738">
        <f>$C738*L737</f>
        <v/>
      </c>
      <c r="M738">
        <f>$C738*M737</f>
        <v/>
      </c>
      <c r="N738">
        <f>$C738*N737</f>
        <v/>
      </c>
      <c r="O738">
        <f>$C738*O737</f>
        <v/>
      </c>
      <c r="P738">
        <f>$C738*P737</f>
        <v/>
      </c>
      <c r="Q738">
        <f>$C738*Q737</f>
        <v/>
      </c>
      <c r="R738">
        <f>$C738*R737</f>
        <v/>
      </c>
      <c r="S738">
        <f>$C738*S737</f>
        <v/>
      </c>
      <c r="T738">
        <f>$C738*T737</f>
        <v/>
      </c>
      <c r="U738">
        <f>$C738*U737</f>
        <v/>
      </c>
      <c r="V738">
        <f>$C738*V737</f>
        <v/>
      </c>
      <c r="W738">
        <f>$C738*W737</f>
        <v/>
      </c>
      <c r="X738">
        <f>$C738*X737</f>
        <v/>
      </c>
      <c r="Y738">
        <f>$C738*Y737</f>
        <v/>
      </c>
      <c r="Z738">
        <f>$C738*Z737</f>
        <v/>
      </c>
      <c r="AA738">
        <f>$C738*AA737</f>
        <v/>
      </c>
      <c r="AB738">
        <f>$C738*AB737</f>
        <v/>
      </c>
      <c r="AC738">
        <f>$C738*AC737</f>
        <v/>
      </c>
      <c r="AD738">
        <f>$C738*AD737</f>
        <v/>
      </c>
      <c r="AE738">
        <f>$C738*AE737</f>
        <v/>
      </c>
      <c r="AF738">
        <f>$C738*AF737</f>
        <v/>
      </c>
      <c r="AG738">
        <f>$C738*AG737</f>
        <v/>
      </c>
      <c r="AH738">
        <f>$C738*AH737</f>
        <v/>
      </c>
      <c r="AI738">
        <f>$C738*AI737</f>
        <v/>
      </c>
      <c r="AJ738">
        <f>$C738*AJ737</f>
        <v/>
      </c>
      <c r="AK738">
        <f>$C738*AK737</f>
        <v/>
      </c>
      <c r="AL738">
        <f>$C738*AL737</f>
        <v/>
      </c>
      <c r="AM738">
        <f>$C738*AM737</f>
        <v/>
      </c>
      <c r="AN738">
        <f>$C738*AN737</f>
        <v/>
      </c>
      <c r="AO738">
        <f>$C738*AO737</f>
        <v/>
      </c>
      <c r="AP738">
        <f>$C738*AP737</f>
        <v/>
      </c>
      <c r="AQ738">
        <f>$C738*AQ737</f>
        <v/>
      </c>
      <c r="AR738">
        <f>$C738*AR737</f>
        <v/>
      </c>
      <c r="AS738">
        <f>$C738*AS737</f>
        <v/>
      </c>
      <c r="AT738">
        <f>$C738*AT737</f>
        <v/>
      </c>
      <c r="AU738">
        <f>$C738*AU737</f>
        <v/>
      </c>
      <c r="AV738">
        <f>$C738*AV737</f>
        <v/>
      </c>
      <c r="AW738">
        <f>$C738*AW737</f>
        <v/>
      </c>
      <c r="AX738">
        <f>$C738*AX737</f>
        <v/>
      </c>
      <c r="AY738">
        <f>$C738*AY737</f>
        <v/>
      </c>
      <c r="AZ738">
        <f>$C738*AZ737</f>
        <v/>
      </c>
      <c r="BA738">
        <f>$C738*BA737</f>
        <v/>
      </c>
      <c r="BB738">
        <f>$C738*BB737</f>
        <v/>
      </c>
      <c r="BC738">
        <f>$C738*BC737</f>
        <v/>
      </c>
      <c r="BD738">
        <f>$C738*BD737</f>
        <v/>
      </c>
      <c r="BE738">
        <f>$C738*BE737</f>
        <v/>
      </c>
      <c r="BF738">
        <f>$C738*BF737</f>
        <v/>
      </c>
      <c r="BG738">
        <f>$C738*BG737</f>
        <v/>
      </c>
      <c r="BH738">
        <f>$C738*BH737</f>
        <v/>
      </c>
      <c r="BI738">
        <f>$C738*BI737</f>
        <v/>
      </c>
      <c r="BJ738">
        <f>$C738*BJ737</f>
        <v/>
      </c>
      <c r="BK738">
        <f>$C738*BK737</f>
        <v/>
      </c>
      <c r="BL738">
        <f>$C738*BL737</f>
        <v/>
      </c>
      <c r="BM738">
        <f>$C738*BM737</f>
        <v/>
      </c>
      <c r="BN738">
        <f>$C738*BN737</f>
        <v/>
      </c>
      <c r="BO738">
        <f>$C738*BO737</f>
        <v/>
      </c>
      <c r="BP738">
        <f>$C738*BP737</f>
        <v/>
      </c>
      <c r="BQ738">
        <f>$C738*BQ737</f>
        <v/>
      </c>
      <c r="BR738">
        <f>$C738*BR737</f>
        <v/>
      </c>
      <c r="BS738">
        <f>$C738*BS737</f>
        <v/>
      </c>
      <c r="BT738">
        <f>$C738*BT737</f>
        <v/>
      </c>
      <c r="BU738">
        <f>$C738*BU737</f>
        <v/>
      </c>
      <c r="BV738">
        <f>$C738*BV737</f>
        <v/>
      </c>
      <c r="BW738">
        <f>$C738*BW737</f>
        <v/>
      </c>
      <c r="BX738">
        <f>$C738*BX737</f>
        <v/>
      </c>
      <c r="BY738">
        <f>$C738*BY737</f>
        <v/>
      </c>
      <c r="BZ738">
        <f>$C738*BZ737</f>
        <v/>
      </c>
      <c r="CA738">
        <f>$C738*CA737</f>
        <v/>
      </c>
      <c r="CB738">
        <f>$C738*CB737</f>
        <v/>
      </c>
      <c r="CC738">
        <f>$C738*CC737</f>
        <v/>
      </c>
      <c r="CD738">
        <f>$C738*CD737</f>
        <v/>
      </c>
      <c r="CE738">
        <f>$C738*CE737</f>
        <v/>
      </c>
      <c r="CF738">
        <f>$C738*CF737</f>
        <v/>
      </c>
      <c r="CG738">
        <f>$C738*CG737</f>
        <v/>
      </c>
      <c r="CH738">
        <f>$C738*CH737</f>
        <v/>
      </c>
      <c r="CI738">
        <f>$C738*CI737</f>
        <v/>
      </c>
      <c r="CJ738">
        <f>$C738*CJ737</f>
        <v/>
      </c>
      <c r="CK738">
        <f>$C738*CK737</f>
        <v/>
      </c>
      <c r="CL738">
        <f>$C738*CL737</f>
        <v/>
      </c>
      <c r="CM738">
        <f>$C738*CM737</f>
        <v/>
      </c>
      <c r="CN738">
        <f>$C738*CN737</f>
        <v/>
      </c>
      <c r="CO738">
        <f>$C738*CO737</f>
        <v/>
      </c>
      <c r="CP738">
        <f>$C738*CP737</f>
        <v/>
      </c>
      <c r="CQ738">
        <f>$C738*CQ737</f>
        <v/>
      </c>
      <c r="CR738">
        <f>$C738*CR737</f>
        <v/>
      </c>
      <c r="CS738">
        <f>$C738*CS737</f>
        <v/>
      </c>
      <c r="CT738">
        <f>$C738*CT737</f>
        <v/>
      </c>
      <c r="CU738">
        <f>$C738*CU737</f>
        <v/>
      </c>
      <c r="CV738">
        <f>$C738*CV737</f>
        <v/>
      </c>
      <c r="CW738">
        <f>$C738*CW737</f>
        <v/>
      </c>
      <c r="CX738">
        <f>$C738*CX737</f>
        <v/>
      </c>
      <c r="CY738">
        <f>$C738*CY737</f>
        <v/>
      </c>
      <c r="CZ738">
        <f>$C738*CZ737</f>
        <v/>
      </c>
      <c r="DA738">
        <f>$C738*DA737</f>
        <v/>
      </c>
      <c r="DB738">
        <f>$C738*DB737</f>
        <v/>
      </c>
      <c r="DC738">
        <f>$C738*DC737</f>
        <v/>
      </c>
    </row>
    <row r="739">
      <c r="B739" t="inlineStr">
        <is>
          <t>VSP-870</t>
        </is>
      </c>
      <c r="C739" t="inlineStr">
        <is>
          <t>No. of batches</t>
        </is>
      </c>
      <c r="D739">
        <f>IFERROR(INDEX(PP_Grid[#Data],$DD739,2),0)</f>
        <v/>
      </c>
      <c r="E739">
        <f>IFERROR(INDEX(PP_Grid[#Data],$DD739,3),0)</f>
        <v/>
      </c>
      <c r="F739">
        <f>IFERROR(INDEX(PP_Grid[#Data],$DD739,4),0)</f>
        <v/>
      </c>
      <c r="G739">
        <f>IFERROR(INDEX(PP_Grid[#Data],$DD739,5),0)</f>
        <v/>
      </c>
      <c r="H739">
        <f>IFERROR(INDEX(PP_Grid[#Data],$DD739,6),0)</f>
        <v/>
      </c>
      <c r="I739">
        <f>IFERROR(INDEX(PP_Grid[#Data],$DD739,7),0)</f>
        <v/>
      </c>
      <c r="J739">
        <f>IFERROR(INDEX(PP_Grid[#Data],$DD739,8),0)</f>
        <v/>
      </c>
      <c r="K739">
        <f>IFERROR(INDEX(PP_Grid[#Data],$DD739,9),0)</f>
        <v/>
      </c>
      <c r="L739">
        <f>IFERROR(INDEX(PP_Grid[#Data],$DD739,10),0)</f>
        <v/>
      </c>
      <c r="M739">
        <f>IFERROR(INDEX(PP_Grid[#Data],$DD739,11),0)</f>
        <v/>
      </c>
      <c r="N739">
        <f>IFERROR(INDEX(PP_Grid[#Data],$DD739,12),0)</f>
        <v/>
      </c>
      <c r="O739">
        <f>IFERROR(INDEX(PP_Grid[#Data],$DD739,13),0)</f>
        <v/>
      </c>
      <c r="P739">
        <f>IFERROR(INDEX(PP_Grid[#Data],$DD739,14),0)</f>
        <v/>
      </c>
      <c r="Q739">
        <f>IFERROR(INDEX(PP_Grid[#Data],$DD739,15),0)</f>
        <v/>
      </c>
      <c r="R739">
        <f>IFERROR(INDEX(PP_Grid[#Data],$DD739,16),0)</f>
        <v/>
      </c>
      <c r="S739">
        <f>IFERROR(INDEX(PP_Grid[#Data],$DD739,17),0)</f>
        <v/>
      </c>
      <c r="T739">
        <f>IFERROR(INDEX(PP_Grid[#Data],$DD739,18),0)</f>
        <v/>
      </c>
      <c r="U739">
        <f>IFERROR(INDEX(PP_Grid[#Data],$DD739,19),0)</f>
        <v/>
      </c>
      <c r="V739">
        <f>IFERROR(INDEX(PP_Grid[#Data],$DD739,20),0)</f>
        <v/>
      </c>
      <c r="W739">
        <f>IFERROR(INDEX(PP_Grid[#Data],$DD739,21),0)</f>
        <v/>
      </c>
      <c r="X739">
        <f>IFERROR(INDEX(PP_Grid[#Data],$DD739,22),0)</f>
        <v/>
      </c>
      <c r="Y739">
        <f>IFERROR(INDEX(PP_Grid[#Data],$DD739,23),0)</f>
        <v/>
      </c>
      <c r="Z739">
        <f>IFERROR(INDEX(PP_Grid[#Data],$DD739,24),0)</f>
        <v/>
      </c>
      <c r="AA739">
        <f>IFERROR(INDEX(PP_Grid[#Data],$DD739,25),0)</f>
        <v/>
      </c>
      <c r="AB739">
        <f>IFERROR(INDEX(PP_Grid[#Data],$DD739,26),0)</f>
        <v/>
      </c>
      <c r="AC739">
        <f>IFERROR(INDEX(PP_Grid[#Data],$DD739,27),0)</f>
        <v/>
      </c>
      <c r="AD739">
        <f>IFERROR(INDEX(PP_Grid[#Data],$DD739,28),0)</f>
        <v/>
      </c>
      <c r="AE739">
        <f>IFERROR(INDEX(PP_Grid[#Data],$DD739,29),0)</f>
        <v/>
      </c>
      <c r="AF739">
        <f>IFERROR(INDEX(PP_Grid[#Data],$DD739,30),0)</f>
        <v/>
      </c>
      <c r="AG739">
        <f>IFERROR(INDEX(PP_Grid[#Data],$DD739,31),0)</f>
        <v/>
      </c>
      <c r="AH739">
        <f>IFERROR(INDEX(PP_Grid[#Data],$DD739,32),0)</f>
        <v/>
      </c>
      <c r="AI739">
        <f>IFERROR(INDEX(PP_Grid[#Data],$DD739,33),0)</f>
        <v/>
      </c>
      <c r="AJ739">
        <f>IFERROR(INDEX(PP_Grid[#Data],$DD739,34),0)</f>
        <v/>
      </c>
      <c r="AK739">
        <f>IFERROR(INDEX(PP_Grid[#Data],$DD739,35),0)</f>
        <v/>
      </c>
      <c r="AL739">
        <f>IFERROR(INDEX(PP_Grid[#Data],$DD739,36),0)</f>
        <v/>
      </c>
      <c r="AM739">
        <f>IFERROR(INDEX(PP_Grid[#Data],$DD739,37),0)</f>
        <v/>
      </c>
      <c r="AN739">
        <f>IFERROR(INDEX(PP_Grid[#Data],$DD739,38),0)</f>
        <v/>
      </c>
      <c r="AO739">
        <f>IFERROR(INDEX(PP_Grid[#Data],$DD739,39),0)</f>
        <v/>
      </c>
      <c r="AP739">
        <f>IFERROR(INDEX(PP_Grid[#Data],$DD739,40),0)</f>
        <v/>
      </c>
      <c r="AQ739">
        <f>IFERROR(INDEX(PP_Grid[#Data],$DD739,41),0)</f>
        <v/>
      </c>
      <c r="AR739">
        <f>IFERROR(INDEX(PP_Grid[#Data],$DD739,42),0)</f>
        <v/>
      </c>
      <c r="AS739">
        <f>IFERROR(INDEX(PP_Grid[#Data],$DD739,43),0)</f>
        <v/>
      </c>
      <c r="AT739">
        <f>IFERROR(INDEX(PP_Grid[#Data],$DD739,44),0)</f>
        <v/>
      </c>
      <c r="AU739">
        <f>IFERROR(INDEX(PP_Grid[#Data],$DD739,45),0)</f>
        <v/>
      </c>
      <c r="AV739">
        <f>IFERROR(INDEX(PP_Grid[#Data],$DD739,46),0)</f>
        <v/>
      </c>
      <c r="AW739">
        <f>IFERROR(INDEX(PP_Grid[#Data],$DD739,47),0)</f>
        <v/>
      </c>
      <c r="AX739">
        <f>IFERROR(INDEX(PP_Grid[#Data],$DD739,48),0)</f>
        <v/>
      </c>
      <c r="AY739">
        <f>IFERROR(INDEX(PP_Grid[#Data],$DD739,49),0)</f>
        <v/>
      </c>
      <c r="AZ739">
        <f>IFERROR(INDEX(PP_Grid[#Data],$DD739,50),0)</f>
        <v/>
      </c>
      <c r="BA739">
        <f>IFERROR(INDEX(PP_Grid[#Data],$DD739,51),0)</f>
        <v/>
      </c>
      <c r="BB739">
        <f>IFERROR(INDEX(PP_Grid[#Data],$DD739,52),0)</f>
        <v/>
      </c>
      <c r="BC739">
        <f>IFERROR(INDEX(PP_Grid[#Data],$DD739,53),0)</f>
        <v/>
      </c>
      <c r="BD739">
        <f>IFERROR(INDEX(PP_Grid[#Data],$DD739,54),0)</f>
        <v/>
      </c>
      <c r="BE739">
        <f>IFERROR(INDEX(PP_Grid[#Data],$DD739,55),0)</f>
        <v/>
      </c>
      <c r="BF739">
        <f>IFERROR(INDEX(PP_Grid[#Data],$DD739,56),0)</f>
        <v/>
      </c>
      <c r="BG739">
        <f>IFERROR(INDEX(PP_Grid[#Data],$DD739,57),0)</f>
        <v/>
      </c>
      <c r="BH739">
        <f>IFERROR(INDEX(PP_Grid[#Data],$DD739,58),0)</f>
        <v/>
      </c>
      <c r="BI739">
        <f>IFERROR(INDEX(PP_Grid[#Data],$DD739,59),0)</f>
        <v/>
      </c>
      <c r="BJ739">
        <f>IFERROR(INDEX(PP_Grid[#Data],$DD739,60),0)</f>
        <v/>
      </c>
      <c r="BK739">
        <f>IFERROR(INDEX(PP_Grid[#Data],$DD739,61),0)</f>
        <v/>
      </c>
      <c r="BL739">
        <f>IFERROR(INDEX(PP_Grid[#Data],$DD739,62),0)</f>
        <v/>
      </c>
      <c r="BM739">
        <f>IFERROR(INDEX(PP_Grid[#Data],$DD739,63),0)</f>
        <v/>
      </c>
      <c r="BN739">
        <f>IFERROR(INDEX(PP_Grid[#Data],$DD739,64),0)</f>
        <v/>
      </c>
      <c r="BO739">
        <f>IFERROR(INDEX(PP_Grid[#Data],$DD739,65),0)</f>
        <v/>
      </c>
      <c r="BP739">
        <f>IFERROR(INDEX(PP_Grid[#Data],$DD739,66),0)</f>
        <v/>
      </c>
      <c r="BQ739">
        <f>IFERROR(INDEX(PP_Grid[#Data],$DD739,67),0)</f>
        <v/>
      </c>
      <c r="BR739">
        <f>IFERROR(INDEX(PP_Grid[#Data],$DD739,68),0)</f>
        <v/>
      </c>
      <c r="BS739">
        <f>IFERROR(INDEX(PP_Grid[#Data],$DD739,69),0)</f>
        <v/>
      </c>
      <c r="BT739">
        <f>IFERROR(INDEX(PP_Grid[#Data],$DD739,70),0)</f>
        <v/>
      </c>
      <c r="BU739">
        <f>IFERROR(INDEX(PP_Grid[#Data],$DD739,71),0)</f>
        <v/>
      </c>
      <c r="BV739">
        <f>IFERROR(INDEX(PP_Grid[#Data],$DD739,72),0)</f>
        <v/>
      </c>
      <c r="BW739">
        <f>IFERROR(INDEX(PP_Grid[#Data],$DD739,73),0)</f>
        <v/>
      </c>
      <c r="BX739">
        <f>IFERROR(INDEX(PP_Grid[#Data],$DD739,74),0)</f>
        <v/>
      </c>
      <c r="BY739">
        <f>IFERROR(INDEX(PP_Grid[#Data],$DD739,75),0)</f>
        <v/>
      </c>
      <c r="BZ739">
        <f>IFERROR(INDEX(PP_Grid[#Data],$DD739,76),0)</f>
        <v/>
      </c>
      <c r="CA739">
        <f>IFERROR(INDEX(PP_Grid[#Data],$DD739,77),0)</f>
        <v/>
      </c>
      <c r="CB739">
        <f>IFERROR(INDEX(PP_Grid[#Data],$DD739,78),0)</f>
        <v/>
      </c>
      <c r="CC739">
        <f>IFERROR(INDEX(PP_Grid[#Data],$DD739,79),0)</f>
        <v/>
      </c>
      <c r="CD739">
        <f>IFERROR(INDEX(PP_Grid[#Data],$DD739,80),0)</f>
        <v/>
      </c>
      <c r="CE739">
        <f>IFERROR(INDEX(PP_Grid[#Data],$DD739,81),0)</f>
        <v/>
      </c>
      <c r="CF739">
        <f>IFERROR(INDEX(PP_Grid[#Data],$DD739,82),0)</f>
        <v/>
      </c>
      <c r="CG739">
        <f>IFERROR(INDEX(PP_Grid[#Data],$DD739,83),0)</f>
        <v/>
      </c>
      <c r="CH739">
        <f>IFERROR(INDEX(PP_Grid[#Data],$DD739,84),0)</f>
        <v/>
      </c>
      <c r="CI739">
        <f>IFERROR(INDEX(PP_Grid[#Data],$DD739,85),0)</f>
        <v/>
      </c>
      <c r="CJ739">
        <f>IFERROR(INDEX(PP_Grid[#Data],$DD739,86),0)</f>
        <v/>
      </c>
      <c r="CK739">
        <f>IFERROR(INDEX(PP_Grid[#Data],$DD739,87),0)</f>
        <v/>
      </c>
      <c r="CL739">
        <f>IFERROR(INDEX(PP_Grid[#Data],$DD739,88),0)</f>
        <v/>
      </c>
      <c r="CM739">
        <f>IFERROR(INDEX(PP_Grid[#Data],$DD739,89),0)</f>
        <v/>
      </c>
      <c r="CN739">
        <f>IFERROR(INDEX(PP_Grid[#Data],$DD739,90),0)</f>
        <v/>
      </c>
      <c r="CO739">
        <f>IFERROR(INDEX(PP_Grid[#Data],$DD739,91),0)</f>
        <v/>
      </c>
      <c r="CP739">
        <f>IFERROR(INDEX(PP_Grid[#Data],$DD739,92),0)</f>
        <v/>
      </c>
      <c r="CQ739">
        <f>IFERROR(INDEX(PP_Grid[#Data],$DD739,93),0)</f>
        <v/>
      </c>
      <c r="CR739">
        <f>IFERROR(INDEX(PP_Grid[#Data],$DD739,94),0)</f>
        <v/>
      </c>
      <c r="CS739">
        <f>IFERROR(INDEX(PP_Grid[#Data],$DD739,95),0)</f>
        <v/>
      </c>
      <c r="CT739">
        <f>IFERROR(INDEX(PP_Grid[#Data],$DD739,96),0)</f>
        <v/>
      </c>
      <c r="CU739">
        <f>IFERROR(INDEX(PP_Grid[#Data],$DD739,97),0)</f>
        <v/>
      </c>
      <c r="CV739">
        <f>IFERROR(INDEX(PP_Grid[#Data],$DD739,98),0)</f>
        <v/>
      </c>
      <c r="CW739">
        <f>IFERROR(INDEX(PP_Grid[#Data],$DD739,99),0)</f>
        <v/>
      </c>
      <c r="CX739">
        <f>IFERROR(INDEX(PP_Grid[#Data],$DD739,100),0)</f>
        <v/>
      </c>
      <c r="CY739">
        <f>IFERROR(INDEX(PP_Grid[#Data],$DD739,101),0)</f>
        <v/>
      </c>
      <c r="CZ739">
        <f>IFERROR(INDEX(PP_Grid[#Data],$DD739,102),0)</f>
        <v/>
      </c>
      <c r="DA739">
        <f>IFERROR(INDEX(PP_Grid[#Data],$DD739,103),0)</f>
        <v/>
      </c>
      <c r="DB739">
        <f>IFERROR(INDEX(PP_Grid[#Data],$DD739,104),0)</f>
        <v/>
      </c>
      <c r="DC739">
        <f>IFERROR(INDEX(PP_Grid[#Data],$DD739,105),0)</f>
        <v/>
      </c>
      <c r="DD739" s="7">
        <f>IFERROR(MATCH($B739,PP_Grid[Intermediate],0),99999)</f>
        <v/>
      </c>
    </row>
    <row r="740">
      <c r="B740" t="inlineStr">
        <is>
          <t>使用量(kg)</t>
        </is>
      </c>
      <c r="C740">
        <f>SUMIFS(M_BOM[RM_Qty_Per_Batch],M_BOM[Intermediate],$B739,M_BOM[Part Name],$A710)</f>
        <v/>
      </c>
      <c r="D740">
        <f>$C740*D739</f>
        <v/>
      </c>
      <c r="E740">
        <f>$C740*E739</f>
        <v/>
      </c>
      <c r="F740">
        <f>$C740*F739</f>
        <v/>
      </c>
      <c r="G740">
        <f>$C740*G739</f>
        <v/>
      </c>
      <c r="H740">
        <f>$C740*H739</f>
        <v/>
      </c>
      <c r="I740">
        <f>$C740*I739</f>
        <v/>
      </c>
      <c r="J740">
        <f>$C740*J739</f>
        <v/>
      </c>
      <c r="K740">
        <f>$C740*K739</f>
        <v/>
      </c>
      <c r="L740">
        <f>$C740*L739</f>
        <v/>
      </c>
      <c r="M740">
        <f>$C740*M739</f>
        <v/>
      </c>
      <c r="N740">
        <f>$C740*N739</f>
        <v/>
      </c>
      <c r="O740">
        <f>$C740*O739</f>
        <v/>
      </c>
      <c r="P740">
        <f>$C740*P739</f>
        <v/>
      </c>
      <c r="Q740">
        <f>$C740*Q739</f>
        <v/>
      </c>
      <c r="R740">
        <f>$C740*R739</f>
        <v/>
      </c>
      <c r="S740">
        <f>$C740*S739</f>
        <v/>
      </c>
      <c r="T740">
        <f>$C740*T739</f>
        <v/>
      </c>
      <c r="U740">
        <f>$C740*U739</f>
        <v/>
      </c>
      <c r="V740">
        <f>$C740*V739</f>
        <v/>
      </c>
      <c r="W740">
        <f>$C740*W739</f>
        <v/>
      </c>
      <c r="X740">
        <f>$C740*X739</f>
        <v/>
      </c>
      <c r="Y740">
        <f>$C740*Y739</f>
        <v/>
      </c>
      <c r="Z740">
        <f>$C740*Z739</f>
        <v/>
      </c>
      <c r="AA740">
        <f>$C740*AA739</f>
        <v/>
      </c>
      <c r="AB740">
        <f>$C740*AB739</f>
        <v/>
      </c>
      <c r="AC740">
        <f>$C740*AC739</f>
        <v/>
      </c>
      <c r="AD740">
        <f>$C740*AD739</f>
        <v/>
      </c>
      <c r="AE740">
        <f>$C740*AE739</f>
        <v/>
      </c>
      <c r="AF740">
        <f>$C740*AF739</f>
        <v/>
      </c>
      <c r="AG740">
        <f>$C740*AG739</f>
        <v/>
      </c>
      <c r="AH740">
        <f>$C740*AH739</f>
        <v/>
      </c>
      <c r="AI740">
        <f>$C740*AI739</f>
        <v/>
      </c>
      <c r="AJ740">
        <f>$C740*AJ739</f>
        <v/>
      </c>
      <c r="AK740">
        <f>$C740*AK739</f>
        <v/>
      </c>
      <c r="AL740">
        <f>$C740*AL739</f>
        <v/>
      </c>
      <c r="AM740">
        <f>$C740*AM739</f>
        <v/>
      </c>
      <c r="AN740">
        <f>$C740*AN739</f>
        <v/>
      </c>
      <c r="AO740">
        <f>$C740*AO739</f>
        <v/>
      </c>
      <c r="AP740">
        <f>$C740*AP739</f>
        <v/>
      </c>
      <c r="AQ740">
        <f>$C740*AQ739</f>
        <v/>
      </c>
      <c r="AR740">
        <f>$C740*AR739</f>
        <v/>
      </c>
      <c r="AS740">
        <f>$C740*AS739</f>
        <v/>
      </c>
      <c r="AT740">
        <f>$C740*AT739</f>
        <v/>
      </c>
      <c r="AU740">
        <f>$C740*AU739</f>
        <v/>
      </c>
      <c r="AV740">
        <f>$C740*AV739</f>
        <v/>
      </c>
      <c r="AW740">
        <f>$C740*AW739</f>
        <v/>
      </c>
      <c r="AX740">
        <f>$C740*AX739</f>
        <v/>
      </c>
      <c r="AY740">
        <f>$C740*AY739</f>
        <v/>
      </c>
      <c r="AZ740">
        <f>$C740*AZ739</f>
        <v/>
      </c>
      <c r="BA740">
        <f>$C740*BA739</f>
        <v/>
      </c>
      <c r="BB740">
        <f>$C740*BB739</f>
        <v/>
      </c>
      <c r="BC740">
        <f>$C740*BC739</f>
        <v/>
      </c>
      <c r="BD740">
        <f>$C740*BD739</f>
        <v/>
      </c>
      <c r="BE740">
        <f>$C740*BE739</f>
        <v/>
      </c>
      <c r="BF740">
        <f>$C740*BF739</f>
        <v/>
      </c>
      <c r="BG740">
        <f>$C740*BG739</f>
        <v/>
      </c>
      <c r="BH740">
        <f>$C740*BH739</f>
        <v/>
      </c>
      <c r="BI740">
        <f>$C740*BI739</f>
        <v/>
      </c>
      <c r="BJ740">
        <f>$C740*BJ739</f>
        <v/>
      </c>
      <c r="BK740">
        <f>$C740*BK739</f>
        <v/>
      </c>
      <c r="BL740">
        <f>$C740*BL739</f>
        <v/>
      </c>
      <c r="BM740">
        <f>$C740*BM739</f>
        <v/>
      </c>
      <c r="BN740">
        <f>$C740*BN739</f>
        <v/>
      </c>
      <c r="BO740">
        <f>$C740*BO739</f>
        <v/>
      </c>
      <c r="BP740">
        <f>$C740*BP739</f>
        <v/>
      </c>
      <c r="BQ740">
        <f>$C740*BQ739</f>
        <v/>
      </c>
      <c r="BR740">
        <f>$C740*BR739</f>
        <v/>
      </c>
      <c r="BS740">
        <f>$C740*BS739</f>
        <v/>
      </c>
      <c r="BT740">
        <f>$C740*BT739</f>
        <v/>
      </c>
      <c r="BU740">
        <f>$C740*BU739</f>
        <v/>
      </c>
      <c r="BV740">
        <f>$C740*BV739</f>
        <v/>
      </c>
      <c r="BW740">
        <f>$C740*BW739</f>
        <v/>
      </c>
      <c r="BX740">
        <f>$C740*BX739</f>
        <v/>
      </c>
      <c r="BY740">
        <f>$C740*BY739</f>
        <v/>
      </c>
      <c r="BZ740">
        <f>$C740*BZ739</f>
        <v/>
      </c>
      <c r="CA740">
        <f>$C740*CA739</f>
        <v/>
      </c>
      <c r="CB740">
        <f>$C740*CB739</f>
        <v/>
      </c>
      <c r="CC740">
        <f>$C740*CC739</f>
        <v/>
      </c>
      <c r="CD740">
        <f>$C740*CD739</f>
        <v/>
      </c>
      <c r="CE740">
        <f>$C740*CE739</f>
        <v/>
      </c>
      <c r="CF740">
        <f>$C740*CF739</f>
        <v/>
      </c>
      <c r="CG740">
        <f>$C740*CG739</f>
        <v/>
      </c>
      <c r="CH740">
        <f>$C740*CH739</f>
        <v/>
      </c>
      <c r="CI740">
        <f>$C740*CI739</f>
        <v/>
      </c>
      <c r="CJ740">
        <f>$C740*CJ739</f>
        <v/>
      </c>
      <c r="CK740">
        <f>$C740*CK739</f>
        <v/>
      </c>
      <c r="CL740">
        <f>$C740*CL739</f>
        <v/>
      </c>
      <c r="CM740">
        <f>$C740*CM739</f>
        <v/>
      </c>
      <c r="CN740">
        <f>$C740*CN739</f>
        <v/>
      </c>
      <c r="CO740">
        <f>$C740*CO739</f>
        <v/>
      </c>
      <c r="CP740">
        <f>$C740*CP739</f>
        <v/>
      </c>
      <c r="CQ740">
        <f>$C740*CQ739</f>
        <v/>
      </c>
      <c r="CR740">
        <f>$C740*CR739</f>
        <v/>
      </c>
      <c r="CS740">
        <f>$C740*CS739</f>
        <v/>
      </c>
      <c r="CT740">
        <f>$C740*CT739</f>
        <v/>
      </c>
      <c r="CU740">
        <f>$C740*CU739</f>
        <v/>
      </c>
      <c r="CV740">
        <f>$C740*CV739</f>
        <v/>
      </c>
      <c r="CW740">
        <f>$C740*CW739</f>
        <v/>
      </c>
      <c r="CX740">
        <f>$C740*CX739</f>
        <v/>
      </c>
      <c r="CY740">
        <f>$C740*CY739</f>
        <v/>
      </c>
      <c r="CZ740">
        <f>$C740*CZ739</f>
        <v/>
      </c>
      <c r="DA740">
        <f>$C740*DA739</f>
        <v/>
      </c>
      <c r="DB740">
        <f>$C740*DB739</f>
        <v/>
      </c>
      <c r="DC740">
        <f>$C740*DC739</f>
        <v/>
      </c>
    </row>
    <row r="741">
      <c r="B741" t="inlineStr">
        <is>
          <t>VSP-910</t>
        </is>
      </c>
      <c r="C741" t="inlineStr">
        <is>
          <t>No. of batches</t>
        </is>
      </c>
      <c r="D741">
        <f>IFERROR(INDEX(PP_Grid[#Data],$DD741,2),0)</f>
        <v/>
      </c>
      <c r="E741">
        <f>IFERROR(INDEX(PP_Grid[#Data],$DD741,3),0)</f>
        <v/>
      </c>
      <c r="F741">
        <f>IFERROR(INDEX(PP_Grid[#Data],$DD741,4),0)</f>
        <v/>
      </c>
      <c r="G741">
        <f>IFERROR(INDEX(PP_Grid[#Data],$DD741,5),0)</f>
        <v/>
      </c>
      <c r="H741">
        <f>IFERROR(INDEX(PP_Grid[#Data],$DD741,6),0)</f>
        <v/>
      </c>
      <c r="I741">
        <f>IFERROR(INDEX(PP_Grid[#Data],$DD741,7),0)</f>
        <v/>
      </c>
      <c r="J741">
        <f>IFERROR(INDEX(PP_Grid[#Data],$DD741,8),0)</f>
        <v/>
      </c>
      <c r="K741">
        <f>IFERROR(INDEX(PP_Grid[#Data],$DD741,9),0)</f>
        <v/>
      </c>
      <c r="L741">
        <f>IFERROR(INDEX(PP_Grid[#Data],$DD741,10),0)</f>
        <v/>
      </c>
      <c r="M741">
        <f>IFERROR(INDEX(PP_Grid[#Data],$DD741,11),0)</f>
        <v/>
      </c>
      <c r="N741">
        <f>IFERROR(INDEX(PP_Grid[#Data],$DD741,12),0)</f>
        <v/>
      </c>
      <c r="O741">
        <f>IFERROR(INDEX(PP_Grid[#Data],$DD741,13),0)</f>
        <v/>
      </c>
      <c r="P741">
        <f>IFERROR(INDEX(PP_Grid[#Data],$DD741,14),0)</f>
        <v/>
      </c>
      <c r="Q741">
        <f>IFERROR(INDEX(PP_Grid[#Data],$DD741,15),0)</f>
        <v/>
      </c>
      <c r="R741">
        <f>IFERROR(INDEX(PP_Grid[#Data],$DD741,16),0)</f>
        <v/>
      </c>
      <c r="S741">
        <f>IFERROR(INDEX(PP_Grid[#Data],$DD741,17),0)</f>
        <v/>
      </c>
      <c r="T741">
        <f>IFERROR(INDEX(PP_Grid[#Data],$DD741,18),0)</f>
        <v/>
      </c>
      <c r="U741">
        <f>IFERROR(INDEX(PP_Grid[#Data],$DD741,19),0)</f>
        <v/>
      </c>
      <c r="V741">
        <f>IFERROR(INDEX(PP_Grid[#Data],$DD741,20),0)</f>
        <v/>
      </c>
      <c r="W741">
        <f>IFERROR(INDEX(PP_Grid[#Data],$DD741,21),0)</f>
        <v/>
      </c>
      <c r="X741">
        <f>IFERROR(INDEX(PP_Grid[#Data],$DD741,22),0)</f>
        <v/>
      </c>
      <c r="Y741">
        <f>IFERROR(INDEX(PP_Grid[#Data],$DD741,23),0)</f>
        <v/>
      </c>
      <c r="Z741">
        <f>IFERROR(INDEX(PP_Grid[#Data],$DD741,24),0)</f>
        <v/>
      </c>
      <c r="AA741">
        <f>IFERROR(INDEX(PP_Grid[#Data],$DD741,25),0)</f>
        <v/>
      </c>
      <c r="AB741">
        <f>IFERROR(INDEX(PP_Grid[#Data],$DD741,26),0)</f>
        <v/>
      </c>
      <c r="AC741">
        <f>IFERROR(INDEX(PP_Grid[#Data],$DD741,27),0)</f>
        <v/>
      </c>
      <c r="AD741">
        <f>IFERROR(INDEX(PP_Grid[#Data],$DD741,28),0)</f>
        <v/>
      </c>
      <c r="AE741">
        <f>IFERROR(INDEX(PP_Grid[#Data],$DD741,29),0)</f>
        <v/>
      </c>
      <c r="AF741">
        <f>IFERROR(INDEX(PP_Grid[#Data],$DD741,30),0)</f>
        <v/>
      </c>
      <c r="AG741">
        <f>IFERROR(INDEX(PP_Grid[#Data],$DD741,31),0)</f>
        <v/>
      </c>
      <c r="AH741">
        <f>IFERROR(INDEX(PP_Grid[#Data],$DD741,32),0)</f>
        <v/>
      </c>
      <c r="AI741">
        <f>IFERROR(INDEX(PP_Grid[#Data],$DD741,33),0)</f>
        <v/>
      </c>
      <c r="AJ741">
        <f>IFERROR(INDEX(PP_Grid[#Data],$DD741,34),0)</f>
        <v/>
      </c>
      <c r="AK741">
        <f>IFERROR(INDEX(PP_Grid[#Data],$DD741,35),0)</f>
        <v/>
      </c>
      <c r="AL741">
        <f>IFERROR(INDEX(PP_Grid[#Data],$DD741,36),0)</f>
        <v/>
      </c>
      <c r="AM741">
        <f>IFERROR(INDEX(PP_Grid[#Data],$DD741,37),0)</f>
        <v/>
      </c>
      <c r="AN741">
        <f>IFERROR(INDEX(PP_Grid[#Data],$DD741,38),0)</f>
        <v/>
      </c>
      <c r="AO741">
        <f>IFERROR(INDEX(PP_Grid[#Data],$DD741,39),0)</f>
        <v/>
      </c>
      <c r="AP741">
        <f>IFERROR(INDEX(PP_Grid[#Data],$DD741,40),0)</f>
        <v/>
      </c>
      <c r="AQ741">
        <f>IFERROR(INDEX(PP_Grid[#Data],$DD741,41),0)</f>
        <v/>
      </c>
      <c r="AR741">
        <f>IFERROR(INDEX(PP_Grid[#Data],$DD741,42),0)</f>
        <v/>
      </c>
      <c r="AS741">
        <f>IFERROR(INDEX(PP_Grid[#Data],$DD741,43),0)</f>
        <v/>
      </c>
      <c r="AT741">
        <f>IFERROR(INDEX(PP_Grid[#Data],$DD741,44),0)</f>
        <v/>
      </c>
      <c r="AU741">
        <f>IFERROR(INDEX(PP_Grid[#Data],$DD741,45),0)</f>
        <v/>
      </c>
      <c r="AV741">
        <f>IFERROR(INDEX(PP_Grid[#Data],$DD741,46),0)</f>
        <v/>
      </c>
      <c r="AW741">
        <f>IFERROR(INDEX(PP_Grid[#Data],$DD741,47),0)</f>
        <v/>
      </c>
      <c r="AX741">
        <f>IFERROR(INDEX(PP_Grid[#Data],$DD741,48),0)</f>
        <v/>
      </c>
      <c r="AY741">
        <f>IFERROR(INDEX(PP_Grid[#Data],$DD741,49),0)</f>
        <v/>
      </c>
      <c r="AZ741">
        <f>IFERROR(INDEX(PP_Grid[#Data],$DD741,50),0)</f>
        <v/>
      </c>
      <c r="BA741">
        <f>IFERROR(INDEX(PP_Grid[#Data],$DD741,51),0)</f>
        <v/>
      </c>
      <c r="BB741">
        <f>IFERROR(INDEX(PP_Grid[#Data],$DD741,52),0)</f>
        <v/>
      </c>
      <c r="BC741">
        <f>IFERROR(INDEX(PP_Grid[#Data],$DD741,53),0)</f>
        <v/>
      </c>
      <c r="BD741">
        <f>IFERROR(INDEX(PP_Grid[#Data],$DD741,54),0)</f>
        <v/>
      </c>
      <c r="BE741">
        <f>IFERROR(INDEX(PP_Grid[#Data],$DD741,55),0)</f>
        <v/>
      </c>
      <c r="BF741">
        <f>IFERROR(INDEX(PP_Grid[#Data],$DD741,56),0)</f>
        <v/>
      </c>
      <c r="BG741">
        <f>IFERROR(INDEX(PP_Grid[#Data],$DD741,57),0)</f>
        <v/>
      </c>
      <c r="BH741">
        <f>IFERROR(INDEX(PP_Grid[#Data],$DD741,58),0)</f>
        <v/>
      </c>
      <c r="BI741">
        <f>IFERROR(INDEX(PP_Grid[#Data],$DD741,59),0)</f>
        <v/>
      </c>
      <c r="BJ741">
        <f>IFERROR(INDEX(PP_Grid[#Data],$DD741,60),0)</f>
        <v/>
      </c>
      <c r="BK741">
        <f>IFERROR(INDEX(PP_Grid[#Data],$DD741,61),0)</f>
        <v/>
      </c>
      <c r="BL741">
        <f>IFERROR(INDEX(PP_Grid[#Data],$DD741,62),0)</f>
        <v/>
      </c>
      <c r="BM741">
        <f>IFERROR(INDEX(PP_Grid[#Data],$DD741,63),0)</f>
        <v/>
      </c>
      <c r="BN741">
        <f>IFERROR(INDEX(PP_Grid[#Data],$DD741,64),0)</f>
        <v/>
      </c>
      <c r="BO741">
        <f>IFERROR(INDEX(PP_Grid[#Data],$DD741,65),0)</f>
        <v/>
      </c>
      <c r="BP741">
        <f>IFERROR(INDEX(PP_Grid[#Data],$DD741,66),0)</f>
        <v/>
      </c>
      <c r="BQ741">
        <f>IFERROR(INDEX(PP_Grid[#Data],$DD741,67),0)</f>
        <v/>
      </c>
      <c r="BR741">
        <f>IFERROR(INDEX(PP_Grid[#Data],$DD741,68),0)</f>
        <v/>
      </c>
      <c r="BS741">
        <f>IFERROR(INDEX(PP_Grid[#Data],$DD741,69),0)</f>
        <v/>
      </c>
      <c r="BT741">
        <f>IFERROR(INDEX(PP_Grid[#Data],$DD741,70),0)</f>
        <v/>
      </c>
      <c r="BU741">
        <f>IFERROR(INDEX(PP_Grid[#Data],$DD741,71),0)</f>
        <v/>
      </c>
      <c r="BV741">
        <f>IFERROR(INDEX(PP_Grid[#Data],$DD741,72),0)</f>
        <v/>
      </c>
      <c r="BW741">
        <f>IFERROR(INDEX(PP_Grid[#Data],$DD741,73),0)</f>
        <v/>
      </c>
      <c r="BX741">
        <f>IFERROR(INDEX(PP_Grid[#Data],$DD741,74),0)</f>
        <v/>
      </c>
      <c r="BY741">
        <f>IFERROR(INDEX(PP_Grid[#Data],$DD741,75),0)</f>
        <v/>
      </c>
      <c r="BZ741">
        <f>IFERROR(INDEX(PP_Grid[#Data],$DD741,76),0)</f>
        <v/>
      </c>
      <c r="CA741">
        <f>IFERROR(INDEX(PP_Grid[#Data],$DD741,77),0)</f>
        <v/>
      </c>
      <c r="CB741">
        <f>IFERROR(INDEX(PP_Grid[#Data],$DD741,78),0)</f>
        <v/>
      </c>
      <c r="CC741">
        <f>IFERROR(INDEX(PP_Grid[#Data],$DD741,79),0)</f>
        <v/>
      </c>
      <c r="CD741">
        <f>IFERROR(INDEX(PP_Grid[#Data],$DD741,80),0)</f>
        <v/>
      </c>
      <c r="CE741">
        <f>IFERROR(INDEX(PP_Grid[#Data],$DD741,81),0)</f>
        <v/>
      </c>
      <c r="CF741">
        <f>IFERROR(INDEX(PP_Grid[#Data],$DD741,82),0)</f>
        <v/>
      </c>
      <c r="CG741">
        <f>IFERROR(INDEX(PP_Grid[#Data],$DD741,83),0)</f>
        <v/>
      </c>
      <c r="CH741">
        <f>IFERROR(INDEX(PP_Grid[#Data],$DD741,84),0)</f>
        <v/>
      </c>
      <c r="CI741">
        <f>IFERROR(INDEX(PP_Grid[#Data],$DD741,85),0)</f>
        <v/>
      </c>
      <c r="CJ741">
        <f>IFERROR(INDEX(PP_Grid[#Data],$DD741,86),0)</f>
        <v/>
      </c>
      <c r="CK741">
        <f>IFERROR(INDEX(PP_Grid[#Data],$DD741,87),0)</f>
        <v/>
      </c>
      <c r="CL741">
        <f>IFERROR(INDEX(PP_Grid[#Data],$DD741,88),0)</f>
        <v/>
      </c>
      <c r="CM741">
        <f>IFERROR(INDEX(PP_Grid[#Data],$DD741,89),0)</f>
        <v/>
      </c>
      <c r="CN741">
        <f>IFERROR(INDEX(PP_Grid[#Data],$DD741,90),0)</f>
        <v/>
      </c>
      <c r="CO741">
        <f>IFERROR(INDEX(PP_Grid[#Data],$DD741,91),0)</f>
        <v/>
      </c>
      <c r="CP741">
        <f>IFERROR(INDEX(PP_Grid[#Data],$DD741,92),0)</f>
        <v/>
      </c>
      <c r="CQ741">
        <f>IFERROR(INDEX(PP_Grid[#Data],$DD741,93),0)</f>
        <v/>
      </c>
      <c r="CR741">
        <f>IFERROR(INDEX(PP_Grid[#Data],$DD741,94),0)</f>
        <v/>
      </c>
      <c r="CS741">
        <f>IFERROR(INDEX(PP_Grid[#Data],$DD741,95),0)</f>
        <v/>
      </c>
      <c r="CT741">
        <f>IFERROR(INDEX(PP_Grid[#Data],$DD741,96),0)</f>
        <v/>
      </c>
      <c r="CU741">
        <f>IFERROR(INDEX(PP_Grid[#Data],$DD741,97),0)</f>
        <v/>
      </c>
      <c r="CV741">
        <f>IFERROR(INDEX(PP_Grid[#Data],$DD741,98),0)</f>
        <v/>
      </c>
      <c r="CW741">
        <f>IFERROR(INDEX(PP_Grid[#Data],$DD741,99),0)</f>
        <v/>
      </c>
      <c r="CX741">
        <f>IFERROR(INDEX(PP_Grid[#Data],$DD741,100),0)</f>
        <v/>
      </c>
      <c r="CY741">
        <f>IFERROR(INDEX(PP_Grid[#Data],$DD741,101),0)</f>
        <v/>
      </c>
      <c r="CZ741">
        <f>IFERROR(INDEX(PP_Grid[#Data],$DD741,102),0)</f>
        <v/>
      </c>
      <c r="DA741">
        <f>IFERROR(INDEX(PP_Grid[#Data],$DD741,103),0)</f>
        <v/>
      </c>
      <c r="DB741">
        <f>IFERROR(INDEX(PP_Grid[#Data],$DD741,104),0)</f>
        <v/>
      </c>
      <c r="DC741">
        <f>IFERROR(INDEX(PP_Grid[#Data],$DD741,105),0)</f>
        <v/>
      </c>
      <c r="DD741" s="7">
        <f>IFERROR(MATCH($B741,PP_Grid[Intermediate],0),99999)</f>
        <v/>
      </c>
    </row>
    <row r="742">
      <c r="B742" t="inlineStr">
        <is>
          <t>使用量(kg)</t>
        </is>
      </c>
      <c r="C742">
        <f>SUMIFS(M_BOM[RM_Qty_Per_Batch],M_BOM[Intermediate],$B741,M_BOM[Part Name],$A710)</f>
        <v/>
      </c>
      <c r="D742">
        <f>$C742*D741</f>
        <v/>
      </c>
      <c r="E742">
        <f>$C742*E741</f>
        <v/>
      </c>
      <c r="F742">
        <f>$C742*F741</f>
        <v/>
      </c>
      <c r="G742">
        <f>$C742*G741</f>
        <v/>
      </c>
      <c r="H742">
        <f>$C742*H741</f>
        <v/>
      </c>
      <c r="I742">
        <f>$C742*I741</f>
        <v/>
      </c>
      <c r="J742">
        <f>$C742*J741</f>
        <v/>
      </c>
      <c r="K742">
        <f>$C742*K741</f>
        <v/>
      </c>
      <c r="L742">
        <f>$C742*L741</f>
        <v/>
      </c>
      <c r="M742">
        <f>$C742*M741</f>
        <v/>
      </c>
      <c r="N742">
        <f>$C742*N741</f>
        <v/>
      </c>
      <c r="O742">
        <f>$C742*O741</f>
        <v/>
      </c>
      <c r="P742">
        <f>$C742*P741</f>
        <v/>
      </c>
      <c r="Q742">
        <f>$C742*Q741</f>
        <v/>
      </c>
      <c r="R742">
        <f>$C742*R741</f>
        <v/>
      </c>
      <c r="S742">
        <f>$C742*S741</f>
        <v/>
      </c>
      <c r="T742">
        <f>$C742*T741</f>
        <v/>
      </c>
      <c r="U742">
        <f>$C742*U741</f>
        <v/>
      </c>
      <c r="V742">
        <f>$C742*V741</f>
        <v/>
      </c>
      <c r="W742">
        <f>$C742*W741</f>
        <v/>
      </c>
      <c r="X742">
        <f>$C742*X741</f>
        <v/>
      </c>
      <c r="Y742">
        <f>$C742*Y741</f>
        <v/>
      </c>
      <c r="Z742">
        <f>$C742*Z741</f>
        <v/>
      </c>
      <c r="AA742">
        <f>$C742*AA741</f>
        <v/>
      </c>
      <c r="AB742">
        <f>$C742*AB741</f>
        <v/>
      </c>
      <c r="AC742">
        <f>$C742*AC741</f>
        <v/>
      </c>
      <c r="AD742">
        <f>$C742*AD741</f>
        <v/>
      </c>
      <c r="AE742">
        <f>$C742*AE741</f>
        <v/>
      </c>
      <c r="AF742">
        <f>$C742*AF741</f>
        <v/>
      </c>
      <c r="AG742">
        <f>$C742*AG741</f>
        <v/>
      </c>
      <c r="AH742">
        <f>$C742*AH741</f>
        <v/>
      </c>
      <c r="AI742">
        <f>$C742*AI741</f>
        <v/>
      </c>
      <c r="AJ742">
        <f>$C742*AJ741</f>
        <v/>
      </c>
      <c r="AK742">
        <f>$C742*AK741</f>
        <v/>
      </c>
      <c r="AL742">
        <f>$C742*AL741</f>
        <v/>
      </c>
      <c r="AM742">
        <f>$C742*AM741</f>
        <v/>
      </c>
      <c r="AN742">
        <f>$C742*AN741</f>
        <v/>
      </c>
      <c r="AO742">
        <f>$C742*AO741</f>
        <v/>
      </c>
      <c r="AP742">
        <f>$C742*AP741</f>
        <v/>
      </c>
      <c r="AQ742">
        <f>$C742*AQ741</f>
        <v/>
      </c>
      <c r="AR742">
        <f>$C742*AR741</f>
        <v/>
      </c>
      <c r="AS742">
        <f>$C742*AS741</f>
        <v/>
      </c>
      <c r="AT742">
        <f>$C742*AT741</f>
        <v/>
      </c>
      <c r="AU742">
        <f>$C742*AU741</f>
        <v/>
      </c>
      <c r="AV742">
        <f>$C742*AV741</f>
        <v/>
      </c>
      <c r="AW742">
        <f>$C742*AW741</f>
        <v/>
      </c>
      <c r="AX742">
        <f>$C742*AX741</f>
        <v/>
      </c>
      <c r="AY742">
        <f>$C742*AY741</f>
        <v/>
      </c>
      <c r="AZ742">
        <f>$C742*AZ741</f>
        <v/>
      </c>
      <c r="BA742">
        <f>$C742*BA741</f>
        <v/>
      </c>
      <c r="BB742">
        <f>$C742*BB741</f>
        <v/>
      </c>
      <c r="BC742">
        <f>$C742*BC741</f>
        <v/>
      </c>
      <c r="BD742">
        <f>$C742*BD741</f>
        <v/>
      </c>
      <c r="BE742">
        <f>$C742*BE741</f>
        <v/>
      </c>
      <c r="BF742">
        <f>$C742*BF741</f>
        <v/>
      </c>
      <c r="BG742">
        <f>$C742*BG741</f>
        <v/>
      </c>
      <c r="BH742">
        <f>$C742*BH741</f>
        <v/>
      </c>
      <c r="BI742">
        <f>$C742*BI741</f>
        <v/>
      </c>
      <c r="BJ742">
        <f>$C742*BJ741</f>
        <v/>
      </c>
      <c r="BK742">
        <f>$C742*BK741</f>
        <v/>
      </c>
      <c r="BL742">
        <f>$C742*BL741</f>
        <v/>
      </c>
      <c r="BM742">
        <f>$C742*BM741</f>
        <v/>
      </c>
      <c r="BN742">
        <f>$C742*BN741</f>
        <v/>
      </c>
      <c r="BO742">
        <f>$C742*BO741</f>
        <v/>
      </c>
      <c r="BP742">
        <f>$C742*BP741</f>
        <v/>
      </c>
      <c r="BQ742">
        <f>$C742*BQ741</f>
        <v/>
      </c>
      <c r="BR742">
        <f>$C742*BR741</f>
        <v/>
      </c>
      <c r="BS742">
        <f>$C742*BS741</f>
        <v/>
      </c>
      <c r="BT742">
        <f>$C742*BT741</f>
        <v/>
      </c>
      <c r="BU742">
        <f>$C742*BU741</f>
        <v/>
      </c>
      <c r="BV742">
        <f>$C742*BV741</f>
        <v/>
      </c>
      <c r="BW742">
        <f>$C742*BW741</f>
        <v/>
      </c>
      <c r="BX742">
        <f>$C742*BX741</f>
        <v/>
      </c>
      <c r="BY742">
        <f>$C742*BY741</f>
        <v/>
      </c>
      <c r="BZ742">
        <f>$C742*BZ741</f>
        <v/>
      </c>
      <c r="CA742">
        <f>$C742*CA741</f>
        <v/>
      </c>
      <c r="CB742">
        <f>$C742*CB741</f>
        <v/>
      </c>
      <c r="CC742">
        <f>$C742*CC741</f>
        <v/>
      </c>
      <c r="CD742">
        <f>$C742*CD741</f>
        <v/>
      </c>
      <c r="CE742">
        <f>$C742*CE741</f>
        <v/>
      </c>
      <c r="CF742">
        <f>$C742*CF741</f>
        <v/>
      </c>
      <c r="CG742">
        <f>$C742*CG741</f>
        <v/>
      </c>
      <c r="CH742">
        <f>$C742*CH741</f>
        <v/>
      </c>
      <c r="CI742">
        <f>$C742*CI741</f>
        <v/>
      </c>
      <c r="CJ742">
        <f>$C742*CJ741</f>
        <v/>
      </c>
      <c r="CK742">
        <f>$C742*CK741</f>
        <v/>
      </c>
      <c r="CL742">
        <f>$C742*CL741</f>
        <v/>
      </c>
      <c r="CM742">
        <f>$C742*CM741</f>
        <v/>
      </c>
      <c r="CN742">
        <f>$C742*CN741</f>
        <v/>
      </c>
      <c r="CO742">
        <f>$C742*CO741</f>
        <v/>
      </c>
      <c r="CP742">
        <f>$C742*CP741</f>
        <v/>
      </c>
      <c r="CQ742">
        <f>$C742*CQ741</f>
        <v/>
      </c>
      <c r="CR742">
        <f>$C742*CR741</f>
        <v/>
      </c>
      <c r="CS742">
        <f>$C742*CS741</f>
        <v/>
      </c>
      <c r="CT742">
        <f>$C742*CT741</f>
        <v/>
      </c>
      <c r="CU742">
        <f>$C742*CU741</f>
        <v/>
      </c>
      <c r="CV742">
        <f>$C742*CV741</f>
        <v/>
      </c>
      <c r="CW742">
        <f>$C742*CW741</f>
        <v/>
      </c>
      <c r="CX742">
        <f>$C742*CX741</f>
        <v/>
      </c>
      <c r="CY742">
        <f>$C742*CY741</f>
        <v/>
      </c>
      <c r="CZ742">
        <f>$C742*CZ741</f>
        <v/>
      </c>
      <c r="DA742">
        <f>$C742*DA741</f>
        <v/>
      </c>
      <c r="DB742">
        <f>$C742*DB741</f>
        <v/>
      </c>
      <c r="DC742">
        <f>$C742*DC741</f>
        <v/>
      </c>
    </row>
    <row r="743">
      <c r="B743" t="inlineStr">
        <is>
          <t>VSP-990</t>
        </is>
      </c>
      <c r="C743" t="inlineStr">
        <is>
          <t>No. of batches</t>
        </is>
      </c>
      <c r="D743">
        <f>IFERROR(INDEX(PP_Grid[#Data],$DD743,2),0)</f>
        <v/>
      </c>
      <c r="E743">
        <f>IFERROR(INDEX(PP_Grid[#Data],$DD743,3),0)</f>
        <v/>
      </c>
      <c r="F743">
        <f>IFERROR(INDEX(PP_Grid[#Data],$DD743,4),0)</f>
        <v/>
      </c>
      <c r="G743">
        <f>IFERROR(INDEX(PP_Grid[#Data],$DD743,5),0)</f>
        <v/>
      </c>
      <c r="H743">
        <f>IFERROR(INDEX(PP_Grid[#Data],$DD743,6),0)</f>
        <v/>
      </c>
      <c r="I743">
        <f>IFERROR(INDEX(PP_Grid[#Data],$DD743,7),0)</f>
        <v/>
      </c>
      <c r="J743">
        <f>IFERROR(INDEX(PP_Grid[#Data],$DD743,8),0)</f>
        <v/>
      </c>
      <c r="K743">
        <f>IFERROR(INDEX(PP_Grid[#Data],$DD743,9),0)</f>
        <v/>
      </c>
      <c r="L743">
        <f>IFERROR(INDEX(PP_Grid[#Data],$DD743,10),0)</f>
        <v/>
      </c>
      <c r="M743">
        <f>IFERROR(INDEX(PP_Grid[#Data],$DD743,11),0)</f>
        <v/>
      </c>
      <c r="N743">
        <f>IFERROR(INDEX(PP_Grid[#Data],$DD743,12),0)</f>
        <v/>
      </c>
      <c r="O743">
        <f>IFERROR(INDEX(PP_Grid[#Data],$DD743,13),0)</f>
        <v/>
      </c>
      <c r="P743">
        <f>IFERROR(INDEX(PP_Grid[#Data],$DD743,14),0)</f>
        <v/>
      </c>
      <c r="Q743">
        <f>IFERROR(INDEX(PP_Grid[#Data],$DD743,15),0)</f>
        <v/>
      </c>
      <c r="R743">
        <f>IFERROR(INDEX(PP_Grid[#Data],$DD743,16),0)</f>
        <v/>
      </c>
      <c r="S743">
        <f>IFERROR(INDEX(PP_Grid[#Data],$DD743,17),0)</f>
        <v/>
      </c>
      <c r="T743">
        <f>IFERROR(INDEX(PP_Grid[#Data],$DD743,18),0)</f>
        <v/>
      </c>
      <c r="U743">
        <f>IFERROR(INDEX(PP_Grid[#Data],$DD743,19),0)</f>
        <v/>
      </c>
      <c r="V743">
        <f>IFERROR(INDEX(PP_Grid[#Data],$DD743,20),0)</f>
        <v/>
      </c>
      <c r="W743">
        <f>IFERROR(INDEX(PP_Grid[#Data],$DD743,21),0)</f>
        <v/>
      </c>
      <c r="X743">
        <f>IFERROR(INDEX(PP_Grid[#Data],$DD743,22),0)</f>
        <v/>
      </c>
      <c r="Y743">
        <f>IFERROR(INDEX(PP_Grid[#Data],$DD743,23),0)</f>
        <v/>
      </c>
      <c r="Z743">
        <f>IFERROR(INDEX(PP_Grid[#Data],$DD743,24),0)</f>
        <v/>
      </c>
      <c r="AA743">
        <f>IFERROR(INDEX(PP_Grid[#Data],$DD743,25),0)</f>
        <v/>
      </c>
      <c r="AB743">
        <f>IFERROR(INDEX(PP_Grid[#Data],$DD743,26),0)</f>
        <v/>
      </c>
      <c r="AC743">
        <f>IFERROR(INDEX(PP_Grid[#Data],$DD743,27),0)</f>
        <v/>
      </c>
      <c r="AD743">
        <f>IFERROR(INDEX(PP_Grid[#Data],$DD743,28),0)</f>
        <v/>
      </c>
      <c r="AE743">
        <f>IFERROR(INDEX(PP_Grid[#Data],$DD743,29),0)</f>
        <v/>
      </c>
      <c r="AF743">
        <f>IFERROR(INDEX(PP_Grid[#Data],$DD743,30),0)</f>
        <v/>
      </c>
      <c r="AG743">
        <f>IFERROR(INDEX(PP_Grid[#Data],$DD743,31),0)</f>
        <v/>
      </c>
      <c r="AH743">
        <f>IFERROR(INDEX(PP_Grid[#Data],$DD743,32),0)</f>
        <v/>
      </c>
      <c r="AI743">
        <f>IFERROR(INDEX(PP_Grid[#Data],$DD743,33),0)</f>
        <v/>
      </c>
      <c r="AJ743">
        <f>IFERROR(INDEX(PP_Grid[#Data],$DD743,34),0)</f>
        <v/>
      </c>
      <c r="AK743">
        <f>IFERROR(INDEX(PP_Grid[#Data],$DD743,35),0)</f>
        <v/>
      </c>
      <c r="AL743">
        <f>IFERROR(INDEX(PP_Grid[#Data],$DD743,36),0)</f>
        <v/>
      </c>
      <c r="AM743">
        <f>IFERROR(INDEX(PP_Grid[#Data],$DD743,37),0)</f>
        <v/>
      </c>
      <c r="AN743">
        <f>IFERROR(INDEX(PP_Grid[#Data],$DD743,38),0)</f>
        <v/>
      </c>
      <c r="AO743">
        <f>IFERROR(INDEX(PP_Grid[#Data],$DD743,39),0)</f>
        <v/>
      </c>
      <c r="AP743">
        <f>IFERROR(INDEX(PP_Grid[#Data],$DD743,40),0)</f>
        <v/>
      </c>
      <c r="AQ743">
        <f>IFERROR(INDEX(PP_Grid[#Data],$DD743,41),0)</f>
        <v/>
      </c>
      <c r="AR743">
        <f>IFERROR(INDEX(PP_Grid[#Data],$DD743,42),0)</f>
        <v/>
      </c>
      <c r="AS743">
        <f>IFERROR(INDEX(PP_Grid[#Data],$DD743,43),0)</f>
        <v/>
      </c>
      <c r="AT743">
        <f>IFERROR(INDEX(PP_Grid[#Data],$DD743,44),0)</f>
        <v/>
      </c>
      <c r="AU743">
        <f>IFERROR(INDEX(PP_Grid[#Data],$DD743,45),0)</f>
        <v/>
      </c>
      <c r="AV743">
        <f>IFERROR(INDEX(PP_Grid[#Data],$DD743,46),0)</f>
        <v/>
      </c>
      <c r="AW743">
        <f>IFERROR(INDEX(PP_Grid[#Data],$DD743,47),0)</f>
        <v/>
      </c>
      <c r="AX743">
        <f>IFERROR(INDEX(PP_Grid[#Data],$DD743,48),0)</f>
        <v/>
      </c>
      <c r="AY743">
        <f>IFERROR(INDEX(PP_Grid[#Data],$DD743,49),0)</f>
        <v/>
      </c>
      <c r="AZ743">
        <f>IFERROR(INDEX(PP_Grid[#Data],$DD743,50),0)</f>
        <v/>
      </c>
      <c r="BA743">
        <f>IFERROR(INDEX(PP_Grid[#Data],$DD743,51),0)</f>
        <v/>
      </c>
      <c r="BB743">
        <f>IFERROR(INDEX(PP_Grid[#Data],$DD743,52),0)</f>
        <v/>
      </c>
      <c r="BC743">
        <f>IFERROR(INDEX(PP_Grid[#Data],$DD743,53),0)</f>
        <v/>
      </c>
      <c r="BD743">
        <f>IFERROR(INDEX(PP_Grid[#Data],$DD743,54),0)</f>
        <v/>
      </c>
      <c r="BE743">
        <f>IFERROR(INDEX(PP_Grid[#Data],$DD743,55),0)</f>
        <v/>
      </c>
      <c r="BF743">
        <f>IFERROR(INDEX(PP_Grid[#Data],$DD743,56),0)</f>
        <v/>
      </c>
      <c r="BG743">
        <f>IFERROR(INDEX(PP_Grid[#Data],$DD743,57),0)</f>
        <v/>
      </c>
      <c r="BH743">
        <f>IFERROR(INDEX(PP_Grid[#Data],$DD743,58),0)</f>
        <v/>
      </c>
      <c r="BI743">
        <f>IFERROR(INDEX(PP_Grid[#Data],$DD743,59),0)</f>
        <v/>
      </c>
      <c r="BJ743">
        <f>IFERROR(INDEX(PP_Grid[#Data],$DD743,60),0)</f>
        <v/>
      </c>
      <c r="BK743">
        <f>IFERROR(INDEX(PP_Grid[#Data],$DD743,61),0)</f>
        <v/>
      </c>
      <c r="BL743">
        <f>IFERROR(INDEX(PP_Grid[#Data],$DD743,62),0)</f>
        <v/>
      </c>
      <c r="BM743">
        <f>IFERROR(INDEX(PP_Grid[#Data],$DD743,63),0)</f>
        <v/>
      </c>
      <c r="BN743">
        <f>IFERROR(INDEX(PP_Grid[#Data],$DD743,64),0)</f>
        <v/>
      </c>
      <c r="BO743">
        <f>IFERROR(INDEX(PP_Grid[#Data],$DD743,65),0)</f>
        <v/>
      </c>
      <c r="BP743">
        <f>IFERROR(INDEX(PP_Grid[#Data],$DD743,66),0)</f>
        <v/>
      </c>
      <c r="BQ743">
        <f>IFERROR(INDEX(PP_Grid[#Data],$DD743,67),0)</f>
        <v/>
      </c>
      <c r="BR743">
        <f>IFERROR(INDEX(PP_Grid[#Data],$DD743,68),0)</f>
        <v/>
      </c>
      <c r="BS743">
        <f>IFERROR(INDEX(PP_Grid[#Data],$DD743,69),0)</f>
        <v/>
      </c>
      <c r="BT743">
        <f>IFERROR(INDEX(PP_Grid[#Data],$DD743,70),0)</f>
        <v/>
      </c>
      <c r="BU743">
        <f>IFERROR(INDEX(PP_Grid[#Data],$DD743,71),0)</f>
        <v/>
      </c>
      <c r="BV743">
        <f>IFERROR(INDEX(PP_Grid[#Data],$DD743,72),0)</f>
        <v/>
      </c>
      <c r="BW743">
        <f>IFERROR(INDEX(PP_Grid[#Data],$DD743,73),0)</f>
        <v/>
      </c>
      <c r="BX743">
        <f>IFERROR(INDEX(PP_Grid[#Data],$DD743,74),0)</f>
        <v/>
      </c>
      <c r="BY743">
        <f>IFERROR(INDEX(PP_Grid[#Data],$DD743,75),0)</f>
        <v/>
      </c>
      <c r="BZ743">
        <f>IFERROR(INDEX(PP_Grid[#Data],$DD743,76),0)</f>
        <v/>
      </c>
      <c r="CA743">
        <f>IFERROR(INDEX(PP_Grid[#Data],$DD743,77),0)</f>
        <v/>
      </c>
      <c r="CB743">
        <f>IFERROR(INDEX(PP_Grid[#Data],$DD743,78),0)</f>
        <v/>
      </c>
      <c r="CC743">
        <f>IFERROR(INDEX(PP_Grid[#Data],$DD743,79),0)</f>
        <v/>
      </c>
      <c r="CD743">
        <f>IFERROR(INDEX(PP_Grid[#Data],$DD743,80),0)</f>
        <v/>
      </c>
      <c r="CE743">
        <f>IFERROR(INDEX(PP_Grid[#Data],$DD743,81),0)</f>
        <v/>
      </c>
      <c r="CF743">
        <f>IFERROR(INDEX(PP_Grid[#Data],$DD743,82),0)</f>
        <v/>
      </c>
      <c r="CG743">
        <f>IFERROR(INDEX(PP_Grid[#Data],$DD743,83),0)</f>
        <v/>
      </c>
      <c r="CH743">
        <f>IFERROR(INDEX(PP_Grid[#Data],$DD743,84),0)</f>
        <v/>
      </c>
      <c r="CI743">
        <f>IFERROR(INDEX(PP_Grid[#Data],$DD743,85),0)</f>
        <v/>
      </c>
      <c r="CJ743">
        <f>IFERROR(INDEX(PP_Grid[#Data],$DD743,86),0)</f>
        <v/>
      </c>
      <c r="CK743">
        <f>IFERROR(INDEX(PP_Grid[#Data],$DD743,87),0)</f>
        <v/>
      </c>
      <c r="CL743">
        <f>IFERROR(INDEX(PP_Grid[#Data],$DD743,88),0)</f>
        <v/>
      </c>
      <c r="CM743">
        <f>IFERROR(INDEX(PP_Grid[#Data],$DD743,89),0)</f>
        <v/>
      </c>
      <c r="CN743">
        <f>IFERROR(INDEX(PP_Grid[#Data],$DD743,90),0)</f>
        <v/>
      </c>
      <c r="CO743">
        <f>IFERROR(INDEX(PP_Grid[#Data],$DD743,91),0)</f>
        <v/>
      </c>
      <c r="CP743">
        <f>IFERROR(INDEX(PP_Grid[#Data],$DD743,92),0)</f>
        <v/>
      </c>
      <c r="CQ743">
        <f>IFERROR(INDEX(PP_Grid[#Data],$DD743,93),0)</f>
        <v/>
      </c>
      <c r="CR743">
        <f>IFERROR(INDEX(PP_Grid[#Data],$DD743,94),0)</f>
        <v/>
      </c>
      <c r="CS743">
        <f>IFERROR(INDEX(PP_Grid[#Data],$DD743,95),0)</f>
        <v/>
      </c>
      <c r="CT743">
        <f>IFERROR(INDEX(PP_Grid[#Data],$DD743,96),0)</f>
        <v/>
      </c>
      <c r="CU743">
        <f>IFERROR(INDEX(PP_Grid[#Data],$DD743,97),0)</f>
        <v/>
      </c>
      <c r="CV743">
        <f>IFERROR(INDEX(PP_Grid[#Data],$DD743,98),0)</f>
        <v/>
      </c>
      <c r="CW743">
        <f>IFERROR(INDEX(PP_Grid[#Data],$DD743,99),0)</f>
        <v/>
      </c>
      <c r="CX743">
        <f>IFERROR(INDEX(PP_Grid[#Data],$DD743,100),0)</f>
        <v/>
      </c>
      <c r="CY743">
        <f>IFERROR(INDEX(PP_Grid[#Data],$DD743,101),0)</f>
        <v/>
      </c>
      <c r="CZ743">
        <f>IFERROR(INDEX(PP_Grid[#Data],$DD743,102),0)</f>
        <v/>
      </c>
      <c r="DA743">
        <f>IFERROR(INDEX(PP_Grid[#Data],$DD743,103),0)</f>
        <v/>
      </c>
      <c r="DB743">
        <f>IFERROR(INDEX(PP_Grid[#Data],$DD743,104),0)</f>
        <v/>
      </c>
      <c r="DC743">
        <f>IFERROR(INDEX(PP_Grid[#Data],$DD743,105),0)</f>
        <v/>
      </c>
      <c r="DD743" s="7">
        <f>IFERROR(MATCH($B743,PP_Grid[Intermediate],0),99999)</f>
        <v/>
      </c>
    </row>
    <row r="744">
      <c r="B744" t="inlineStr">
        <is>
          <t>使用量(kg)</t>
        </is>
      </c>
      <c r="C744">
        <f>SUMIFS(M_BOM[RM_Qty_Per_Batch],M_BOM[Intermediate],$B743,M_BOM[Part Name],$A710)</f>
        <v/>
      </c>
      <c r="D744">
        <f>$C744*D743</f>
        <v/>
      </c>
      <c r="E744">
        <f>$C744*E743</f>
        <v/>
      </c>
      <c r="F744">
        <f>$C744*F743</f>
        <v/>
      </c>
      <c r="G744">
        <f>$C744*G743</f>
        <v/>
      </c>
      <c r="H744">
        <f>$C744*H743</f>
        <v/>
      </c>
      <c r="I744">
        <f>$C744*I743</f>
        <v/>
      </c>
      <c r="J744">
        <f>$C744*J743</f>
        <v/>
      </c>
      <c r="K744">
        <f>$C744*K743</f>
        <v/>
      </c>
      <c r="L744">
        <f>$C744*L743</f>
        <v/>
      </c>
      <c r="M744">
        <f>$C744*M743</f>
        <v/>
      </c>
      <c r="N744">
        <f>$C744*N743</f>
        <v/>
      </c>
      <c r="O744">
        <f>$C744*O743</f>
        <v/>
      </c>
      <c r="P744">
        <f>$C744*P743</f>
        <v/>
      </c>
      <c r="Q744">
        <f>$C744*Q743</f>
        <v/>
      </c>
      <c r="R744">
        <f>$C744*R743</f>
        <v/>
      </c>
      <c r="S744">
        <f>$C744*S743</f>
        <v/>
      </c>
      <c r="T744">
        <f>$C744*T743</f>
        <v/>
      </c>
      <c r="U744">
        <f>$C744*U743</f>
        <v/>
      </c>
      <c r="V744">
        <f>$C744*V743</f>
        <v/>
      </c>
      <c r="W744">
        <f>$C744*W743</f>
        <v/>
      </c>
      <c r="X744">
        <f>$C744*X743</f>
        <v/>
      </c>
      <c r="Y744">
        <f>$C744*Y743</f>
        <v/>
      </c>
      <c r="Z744">
        <f>$C744*Z743</f>
        <v/>
      </c>
      <c r="AA744">
        <f>$C744*AA743</f>
        <v/>
      </c>
      <c r="AB744">
        <f>$C744*AB743</f>
        <v/>
      </c>
      <c r="AC744">
        <f>$C744*AC743</f>
        <v/>
      </c>
      <c r="AD744">
        <f>$C744*AD743</f>
        <v/>
      </c>
      <c r="AE744">
        <f>$C744*AE743</f>
        <v/>
      </c>
      <c r="AF744">
        <f>$C744*AF743</f>
        <v/>
      </c>
      <c r="AG744">
        <f>$C744*AG743</f>
        <v/>
      </c>
      <c r="AH744">
        <f>$C744*AH743</f>
        <v/>
      </c>
      <c r="AI744">
        <f>$C744*AI743</f>
        <v/>
      </c>
      <c r="AJ744">
        <f>$C744*AJ743</f>
        <v/>
      </c>
      <c r="AK744">
        <f>$C744*AK743</f>
        <v/>
      </c>
      <c r="AL744">
        <f>$C744*AL743</f>
        <v/>
      </c>
      <c r="AM744">
        <f>$C744*AM743</f>
        <v/>
      </c>
      <c r="AN744">
        <f>$C744*AN743</f>
        <v/>
      </c>
      <c r="AO744">
        <f>$C744*AO743</f>
        <v/>
      </c>
      <c r="AP744">
        <f>$C744*AP743</f>
        <v/>
      </c>
      <c r="AQ744">
        <f>$C744*AQ743</f>
        <v/>
      </c>
      <c r="AR744">
        <f>$C744*AR743</f>
        <v/>
      </c>
      <c r="AS744">
        <f>$C744*AS743</f>
        <v/>
      </c>
      <c r="AT744">
        <f>$C744*AT743</f>
        <v/>
      </c>
      <c r="AU744">
        <f>$C744*AU743</f>
        <v/>
      </c>
      <c r="AV744">
        <f>$C744*AV743</f>
        <v/>
      </c>
      <c r="AW744">
        <f>$C744*AW743</f>
        <v/>
      </c>
      <c r="AX744">
        <f>$C744*AX743</f>
        <v/>
      </c>
      <c r="AY744">
        <f>$C744*AY743</f>
        <v/>
      </c>
      <c r="AZ744">
        <f>$C744*AZ743</f>
        <v/>
      </c>
      <c r="BA744">
        <f>$C744*BA743</f>
        <v/>
      </c>
      <c r="BB744">
        <f>$C744*BB743</f>
        <v/>
      </c>
      <c r="BC744">
        <f>$C744*BC743</f>
        <v/>
      </c>
      <c r="BD744">
        <f>$C744*BD743</f>
        <v/>
      </c>
      <c r="BE744">
        <f>$C744*BE743</f>
        <v/>
      </c>
      <c r="BF744">
        <f>$C744*BF743</f>
        <v/>
      </c>
      <c r="BG744">
        <f>$C744*BG743</f>
        <v/>
      </c>
      <c r="BH744">
        <f>$C744*BH743</f>
        <v/>
      </c>
      <c r="BI744">
        <f>$C744*BI743</f>
        <v/>
      </c>
      <c r="BJ744">
        <f>$C744*BJ743</f>
        <v/>
      </c>
      <c r="BK744">
        <f>$C744*BK743</f>
        <v/>
      </c>
      <c r="BL744">
        <f>$C744*BL743</f>
        <v/>
      </c>
      <c r="BM744">
        <f>$C744*BM743</f>
        <v/>
      </c>
      <c r="BN744">
        <f>$C744*BN743</f>
        <v/>
      </c>
      <c r="BO744">
        <f>$C744*BO743</f>
        <v/>
      </c>
      <c r="BP744">
        <f>$C744*BP743</f>
        <v/>
      </c>
      <c r="BQ744">
        <f>$C744*BQ743</f>
        <v/>
      </c>
      <c r="BR744">
        <f>$C744*BR743</f>
        <v/>
      </c>
      <c r="BS744">
        <f>$C744*BS743</f>
        <v/>
      </c>
      <c r="BT744">
        <f>$C744*BT743</f>
        <v/>
      </c>
      <c r="BU744">
        <f>$C744*BU743</f>
        <v/>
      </c>
      <c r="BV744">
        <f>$C744*BV743</f>
        <v/>
      </c>
      <c r="BW744">
        <f>$C744*BW743</f>
        <v/>
      </c>
      <c r="BX744">
        <f>$C744*BX743</f>
        <v/>
      </c>
      <c r="BY744">
        <f>$C744*BY743</f>
        <v/>
      </c>
      <c r="BZ744">
        <f>$C744*BZ743</f>
        <v/>
      </c>
      <c r="CA744">
        <f>$C744*CA743</f>
        <v/>
      </c>
      <c r="CB744">
        <f>$C744*CB743</f>
        <v/>
      </c>
      <c r="CC744">
        <f>$C744*CC743</f>
        <v/>
      </c>
      <c r="CD744">
        <f>$C744*CD743</f>
        <v/>
      </c>
      <c r="CE744">
        <f>$C744*CE743</f>
        <v/>
      </c>
      <c r="CF744">
        <f>$C744*CF743</f>
        <v/>
      </c>
      <c r="CG744">
        <f>$C744*CG743</f>
        <v/>
      </c>
      <c r="CH744">
        <f>$C744*CH743</f>
        <v/>
      </c>
      <c r="CI744">
        <f>$C744*CI743</f>
        <v/>
      </c>
      <c r="CJ744">
        <f>$C744*CJ743</f>
        <v/>
      </c>
      <c r="CK744">
        <f>$C744*CK743</f>
        <v/>
      </c>
      <c r="CL744">
        <f>$C744*CL743</f>
        <v/>
      </c>
      <c r="CM744">
        <f>$C744*CM743</f>
        <v/>
      </c>
      <c r="CN744">
        <f>$C744*CN743</f>
        <v/>
      </c>
      <c r="CO744">
        <f>$C744*CO743</f>
        <v/>
      </c>
      <c r="CP744">
        <f>$C744*CP743</f>
        <v/>
      </c>
      <c r="CQ744">
        <f>$C744*CQ743</f>
        <v/>
      </c>
      <c r="CR744">
        <f>$C744*CR743</f>
        <v/>
      </c>
      <c r="CS744">
        <f>$C744*CS743</f>
        <v/>
      </c>
      <c r="CT744">
        <f>$C744*CT743</f>
        <v/>
      </c>
      <c r="CU744">
        <f>$C744*CU743</f>
        <v/>
      </c>
      <c r="CV744">
        <f>$C744*CV743</f>
        <v/>
      </c>
      <c r="CW744">
        <f>$C744*CW743</f>
        <v/>
      </c>
      <c r="CX744">
        <f>$C744*CX743</f>
        <v/>
      </c>
      <c r="CY744">
        <f>$C744*CY743</f>
        <v/>
      </c>
      <c r="CZ744">
        <f>$C744*CZ743</f>
        <v/>
      </c>
      <c r="DA744">
        <f>$C744*DA743</f>
        <v/>
      </c>
      <c r="DB744">
        <f>$C744*DB743</f>
        <v/>
      </c>
      <c r="DC744">
        <f>$C744*DC743</f>
        <v/>
      </c>
    </row>
    <row r="745">
      <c r="B745" t="inlineStr">
        <is>
          <t>VSZ-745</t>
        </is>
      </c>
      <c r="C745" t="inlineStr">
        <is>
          <t>No. of batches</t>
        </is>
      </c>
      <c r="D745">
        <f>IFERROR(INDEX(PP_Grid[#Data],$DD745,2),0)</f>
        <v/>
      </c>
      <c r="E745">
        <f>IFERROR(INDEX(PP_Grid[#Data],$DD745,3),0)</f>
        <v/>
      </c>
      <c r="F745">
        <f>IFERROR(INDEX(PP_Grid[#Data],$DD745,4),0)</f>
        <v/>
      </c>
      <c r="G745">
        <f>IFERROR(INDEX(PP_Grid[#Data],$DD745,5),0)</f>
        <v/>
      </c>
      <c r="H745">
        <f>IFERROR(INDEX(PP_Grid[#Data],$DD745,6),0)</f>
        <v/>
      </c>
      <c r="I745">
        <f>IFERROR(INDEX(PP_Grid[#Data],$DD745,7),0)</f>
        <v/>
      </c>
      <c r="J745">
        <f>IFERROR(INDEX(PP_Grid[#Data],$DD745,8),0)</f>
        <v/>
      </c>
      <c r="K745">
        <f>IFERROR(INDEX(PP_Grid[#Data],$DD745,9),0)</f>
        <v/>
      </c>
      <c r="L745">
        <f>IFERROR(INDEX(PP_Grid[#Data],$DD745,10),0)</f>
        <v/>
      </c>
      <c r="M745">
        <f>IFERROR(INDEX(PP_Grid[#Data],$DD745,11),0)</f>
        <v/>
      </c>
      <c r="N745">
        <f>IFERROR(INDEX(PP_Grid[#Data],$DD745,12),0)</f>
        <v/>
      </c>
      <c r="O745">
        <f>IFERROR(INDEX(PP_Grid[#Data],$DD745,13),0)</f>
        <v/>
      </c>
      <c r="P745">
        <f>IFERROR(INDEX(PP_Grid[#Data],$DD745,14),0)</f>
        <v/>
      </c>
      <c r="Q745">
        <f>IFERROR(INDEX(PP_Grid[#Data],$DD745,15),0)</f>
        <v/>
      </c>
      <c r="R745">
        <f>IFERROR(INDEX(PP_Grid[#Data],$DD745,16),0)</f>
        <v/>
      </c>
      <c r="S745">
        <f>IFERROR(INDEX(PP_Grid[#Data],$DD745,17),0)</f>
        <v/>
      </c>
      <c r="T745">
        <f>IFERROR(INDEX(PP_Grid[#Data],$DD745,18),0)</f>
        <v/>
      </c>
      <c r="U745">
        <f>IFERROR(INDEX(PP_Grid[#Data],$DD745,19),0)</f>
        <v/>
      </c>
      <c r="V745">
        <f>IFERROR(INDEX(PP_Grid[#Data],$DD745,20),0)</f>
        <v/>
      </c>
      <c r="W745">
        <f>IFERROR(INDEX(PP_Grid[#Data],$DD745,21),0)</f>
        <v/>
      </c>
      <c r="X745">
        <f>IFERROR(INDEX(PP_Grid[#Data],$DD745,22),0)</f>
        <v/>
      </c>
      <c r="Y745">
        <f>IFERROR(INDEX(PP_Grid[#Data],$DD745,23),0)</f>
        <v/>
      </c>
      <c r="Z745">
        <f>IFERROR(INDEX(PP_Grid[#Data],$DD745,24),0)</f>
        <v/>
      </c>
      <c r="AA745">
        <f>IFERROR(INDEX(PP_Grid[#Data],$DD745,25),0)</f>
        <v/>
      </c>
      <c r="AB745">
        <f>IFERROR(INDEX(PP_Grid[#Data],$DD745,26),0)</f>
        <v/>
      </c>
      <c r="AC745">
        <f>IFERROR(INDEX(PP_Grid[#Data],$DD745,27),0)</f>
        <v/>
      </c>
      <c r="AD745">
        <f>IFERROR(INDEX(PP_Grid[#Data],$DD745,28),0)</f>
        <v/>
      </c>
      <c r="AE745">
        <f>IFERROR(INDEX(PP_Grid[#Data],$DD745,29),0)</f>
        <v/>
      </c>
      <c r="AF745">
        <f>IFERROR(INDEX(PP_Grid[#Data],$DD745,30),0)</f>
        <v/>
      </c>
      <c r="AG745">
        <f>IFERROR(INDEX(PP_Grid[#Data],$DD745,31),0)</f>
        <v/>
      </c>
      <c r="AH745">
        <f>IFERROR(INDEX(PP_Grid[#Data],$DD745,32),0)</f>
        <v/>
      </c>
      <c r="AI745">
        <f>IFERROR(INDEX(PP_Grid[#Data],$DD745,33),0)</f>
        <v/>
      </c>
      <c r="AJ745">
        <f>IFERROR(INDEX(PP_Grid[#Data],$DD745,34),0)</f>
        <v/>
      </c>
      <c r="AK745">
        <f>IFERROR(INDEX(PP_Grid[#Data],$DD745,35),0)</f>
        <v/>
      </c>
      <c r="AL745">
        <f>IFERROR(INDEX(PP_Grid[#Data],$DD745,36),0)</f>
        <v/>
      </c>
      <c r="AM745">
        <f>IFERROR(INDEX(PP_Grid[#Data],$DD745,37),0)</f>
        <v/>
      </c>
      <c r="AN745">
        <f>IFERROR(INDEX(PP_Grid[#Data],$DD745,38),0)</f>
        <v/>
      </c>
      <c r="AO745">
        <f>IFERROR(INDEX(PP_Grid[#Data],$DD745,39),0)</f>
        <v/>
      </c>
      <c r="AP745">
        <f>IFERROR(INDEX(PP_Grid[#Data],$DD745,40),0)</f>
        <v/>
      </c>
      <c r="AQ745">
        <f>IFERROR(INDEX(PP_Grid[#Data],$DD745,41),0)</f>
        <v/>
      </c>
      <c r="AR745">
        <f>IFERROR(INDEX(PP_Grid[#Data],$DD745,42),0)</f>
        <v/>
      </c>
      <c r="AS745">
        <f>IFERROR(INDEX(PP_Grid[#Data],$DD745,43),0)</f>
        <v/>
      </c>
      <c r="AT745">
        <f>IFERROR(INDEX(PP_Grid[#Data],$DD745,44),0)</f>
        <v/>
      </c>
      <c r="AU745">
        <f>IFERROR(INDEX(PP_Grid[#Data],$DD745,45),0)</f>
        <v/>
      </c>
      <c r="AV745">
        <f>IFERROR(INDEX(PP_Grid[#Data],$DD745,46),0)</f>
        <v/>
      </c>
      <c r="AW745">
        <f>IFERROR(INDEX(PP_Grid[#Data],$DD745,47),0)</f>
        <v/>
      </c>
      <c r="AX745">
        <f>IFERROR(INDEX(PP_Grid[#Data],$DD745,48),0)</f>
        <v/>
      </c>
      <c r="AY745">
        <f>IFERROR(INDEX(PP_Grid[#Data],$DD745,49),0)</f>
        <v/>
      </c>
      <c r="AZ745">
        <f>IFERROR(INDEX(PP_Grid[#Data],$DD745,50),0)</f>
        <v/>
      </c>
      <c r="BA745">
        <f>IFERROR(INDEX(PP_Grid[#Data],$DD745,51),0)</f>
        <v/>
      </c>
      <c r="BB745">
        <f>IFERROR(INDEX(PP_Grid[#Data],$DD745,52),0)</f>
        <v/>
      </c>
      <c r="BC745">
        <f>IFERROR(INDEX(PP_Grid[#Data],$DD745,53),0)</f>
        <v/>
      </c>
      <c r="BD745">
        <f>IFERROR(INDEX(PP_Grid[#Data],$DD745,54),0)</f>
        <v/>
      </c>
      <c r="BE745">
        <f>IFERROR(INDEX(PP_Grid[#Data],$DD745,55),0)</f>
        <v/>
      </c>
      <c r="BF745">
        <f>IFERROR(INDEX(PP_Grid[#Data],$DD745,56),0)</f>
        <v/>
      </c>
      <c r="BG745">
        <f>IFERROR(INDEX(PP_Grid[#Data],$DD745,57),0)</f>
        <v/>
      </c>
      <c r="BH745">
        <f>IFERROR(INDEX(PP_Grid[#Data],$DD745,58),0)</f>
        <v/>
      </c>
      <c r="BI745">
        <f>IFERROR(INDEX(PP_Grid[#Data],$DD745,59),0)</f>
        <v/>
      </c>
      <c r="BJ745">
        <f>IFERROR(INDEX(PP_Grid[#Data],$DD745,60),0)</f>
        <v/>
      </c>
      <c r="BK745">
        <f>IFERROR(INDEX(PP_Grid[#Data],$DD745,61),0)</f>
        <v/>
      </c>
      <c r="BL745">
        <f>IFERROR(INDEX(PP_Grid[#Data],$DD745,62),0)</f>
        <v/>
      </c>
      <c r="BM745">
        <f>IFERROR(INDEX(PP_Grid[#Data],$DD745,63),0)</f>
        <v/>
      </c>
      <c r="BN745">
        <f>IFERROR(INDEX(PP_Grid[#Data],$DD745,64),0)</f>
        <v/>
      </c>
      <c r="BO745">
        <f>IFERROR(INDEX(PP_Grid[#Data],$DD745,65),0)</f>
        <v/>
      </c>
      <c r="BP745">
        <f>IFERROR(INDEX(PP_Grid[#Data],$DD745,66),0)</f>
        <v/>
      </c>
      <c r="BQ745">
        <f>IFERROR(INDEX(PP_Grid[#Data],$DD745,67),0)</f>
        <v/>
      </c>
      <c r="BR745">
        <f>IFERROR(INDEX(PP_Grid[#Data],$DD745,68),0)</f>
        <v/>
      </c>
      <c r="BS745">
        <f>IFERROR(INDEX(PP_Grid[#Data],$DD745,69),0)</f>
        <v/>
      </c>
      <c r="BT745">
        <f>IFERROR(INDEX(PP_Grid[#Data],$DD745,70),0)</f>
        <v/>
      </c>
      <c r="BU745">
        <f>IFERROR(INDEX(PP_Grid[#Data],$DD745,71),0)</f>
        <v/>
      </c>
      <c r="BV745">
        <f>IFERROR(INDEX(PP_Grid[#Data],$DD745,72),0)</f>
        <v/>
      </c>
      <c r="BW745">
        <f>IFERROR(INDEX(PP_Grid[#Data],$DD745,73),0)</f>
        <v/>
      </c>
      <c r="BX745">
        <f>IFERROR(INDEX(PP_Grid[#Data],$DD745,74),0)</f>
        <v/>
      </c>
      <c r="BY745">
        <f>IFERROR(INDEX(PP_Grid[#Data],$DD745,75),0)</f>
        <v/>
      </c>
      <c r="BZ745">
        <f>IFERROR(INDEX(PP_Grid[#Data],$DD745,76),0)</f>
        <v/>
      </c>
      <c r="CA745">
        <f>IFERROR(INDEX(PP_Grid[#Data],$DD745,77),0)</f>
        <v/>
      </c>
      <c r="CB745">
        <f>IFERROR(INDEX(PP_Grid[#Data],$DD745,78),0)</f>
        <v/>
      </c>
      <c r="CC745">
        <f>IFERROR(INDEX(PP_Grid[#Data],$DD745,79),0)</f>
        <v/>
      </c>
      <c r="CD745">
        <f>IFERROR(INDEX(PP_Grid[#Data],$DD745,80),0)</f>
        <v/>
      </c>
      <c r="CE745">
        <f>IFERROR(INDEX(PP_Grid[#Data],$DD745,81),0)</f>
        <v/>
      </c>
      <c r="CF745">
        <f>IFERROR(INDEX(PP_Grid[#Data],$DD745,82),0)</f>
        <v/>
      </c>
      <c r="CG745">
        <f>IFERROR(INDEX(PP_Grid[#Data],$DD745,83),0)</f>
        <v/>
      </c>
      <c r="CH745">
        <f>IFERROR(INDEX(PP_Grid[#Data],$DD745,84),0)</f>
        <v/>
      </c>
      <c r="CI745">
        <f>IFERROR(INDEX(PP_Grid[#Data],$DD745,85),0)</f>
        <v/>
      </c>
      <c r="CJ745">
        <f>IFERROR(INDEX(PP_Grid[#Data],$DD745,86),0)</f>
        <v/>
      </c>
      <c r="CK745">
        <f>IFERROR(INDEX(PP_Grid[#Data],$DD745,87),0)</f>
        <v/>
      </c>
      <c r="CL745">
        <f>IFERROR(INDEX(PP_Grid[#Data],$DD745,88),0)</f>
        <v/>
      </c>
      <c r="CM745">
        <f>IFERROR(INDEX(PP_Grid[#Data],$DD745,89),0)</f>
        <v/>
      </c>
      <c r="CN745">
        <f>IFERROR(INDEX(PP_Grid[#Data],$DD745,90),0)</f>
        <v/>
      </c>
      <c r="CO745">
        <f>IFERROR(INDEX(PP_Grid[#Data],$DD745,91),0)</f>
        <v/>
      </c>
      <c r="CP745">
        <f>IFERROR(INDEX(PP_Grid[#Data],$DD745,92),0)</f>
        <v/>
      </c>
      <c r="CQ745">
        <f>IFERROR(INDEX(PP_Grid[#Data],$DD745,93),0)</f>
        <v/>
      </c>
      <c r="CR745">
        <f>IFERROR(INDEX(PP_Grid[#Data],$DD745,94),0)</f>
        <v/>
      </c>
      <c r="CS745">
        <f>IFERROR(INDEX(PP_Grid[#Data],$DD745,95),0)</f>
        <v/>
      </c>
      <c r="CT745">
        <f>IFERROR(INDEX(PP_Grid[#Data],$DD745,96),0)</f>
        <v/>
      </c>
      <c r="CU745">
        <f>IFERROR(INDEX(PP_Grid[#Data],$DD745,97),0)</f>
        <v/>
      </c>
      <c r="CV745">
        <f>IFERROR(INDEX(PP_Grid[#Data],$DD745,98),0)</f>
        <v/>
      </c>
      <c r="CW745">
        <f>IFERROR(INDEX(PP_Grid[#Data],$DD745,99),0)</f>
        <v/>
      </c>
      <c r="CX745">
        <f>IFERROR(INDEX(PP_Grid[#Data],$DD745,100),0)</f>
        <v/>
      </c>
      <c r="CY745">
        <f>IFERROR(INDEX(PP_Grid[#Data],$DD745,101),0)</f>
        <v/>
      </c>
      <c r="CZ745">
        <f>IFERROR(INDEX(PP_Grid[#Data],$DD745,102),0)</f>
        <v/>
      </c>
      <c r="DA745">
        <f>IFERROR(INDEX(PP_Grid[#Data],$DD745,103),0)</f>
        <v/>
      </c>
      <c r="DB745">
        <f>IFERROR(INDEX(PP_Grid[#Data],$DD745,104),0)</f>
        <v/>
      </c>
      <c r="DC745">
        <f>IFERROR(INDEX(PP_Grid[#Data],$DD745,105),0)</f>
        <v/>
      </c>
      <c r="DD745" s="7">
        <f>IFERROR(MATCH($B745,PP_Grid[Intermediate],0),99999)</f>
        <v/>
      </c>
    </row>
    <row r="746">
      <c r="B746" t="inlineStr">
        <is>
          <t>使用量(kg)</t>
        </is>
      </c>
      <c r="C746">
        <f>SUMIFS(M_BOM[RM_Qty_Per_Batch],M_BOM[Intermediate],$B745,M_BOM[Part Name],$A710)</f>
        <v/>
      </c>
      <c r="D746">
        <f>$C746*D745</f>
        <v/>
      </c>
      <c r="E746">
        <f>$C746*E745</f>
        <v/>
      </c>
      <c r="F746">
        <f>$C746*F745</f>
        <v/>
      </c>
      <c r="G746">
        <f>$C746*G745</f>
        <v/>
      </c>
      <c r="H746">
        <f>$C746*H745</f>
        <v/>
      </c>
      <c r="I746">
        <f>$C746*I745</f>
        <v/>
      </c>
      <c r="J746">
        <f>$C746*J745</f>
        <v/>
      </c>
      <c r="K746">
        <f>$C746*K745</f>
        <v/>
      </c>
      <c r="L746">
        <f>$C746*L745</f>
        <v/>
      </c>
      <c r="M746">
        <f>$C746*M745</f>
        <v/>
      </c>
      <c r="N746">
        <f>$C746*N745</f>
        <v/>
      </c>
      <c r="O746">
        <f>$C746*O745</f>
        <v/>
      </c>
      <c r="P746">
        <f>$C746*P745</f>
        <v/>
      </c>
      <c r="Q746">
        <f>$C746*Q745</f>
        <v/>
      </c>
      <c r="R746">
        <f>$C746*R745</f>
        <v/>
      </c>
      <c r="S746">
        <f>$C746*S745</f>
        <v/>
      </c>
      <c r="T746">
        <f>$C746*T745</f>
        <v/>
      </c>
      <c r="U746">
        <f>$C746*U745</f>
        <v/>
      </c>
      <c r="V746">
        <f>$C746*V745</f>
        <v/>
      </c>
      <c r="W746">
        <f>$C746*W745</f>
        <v/>
      </c>
      <c r="X746">
        <f>$C746*X745</f>
        <v/>
      </c>
      <c r="Y746">
        <f>$C746*Y745</f>
        <v/>
      </c>
      <c r="Z746">
        <f>$C746*Z745</f>
        <v/>
      </c>
      <c r="AA746">
        <f>$C746*AA745</f>
        <v/>
      </c>
      <c r="AB746">
        <f>$C746*AB745</f>
        <v/>
      </c>
      <c r="AC746">
        <f>$C746*AC745</f>
        <v/>
      </c>
      <c r="AD746">
        <f>$C746*AD745</f>
        <v/>
      </c>
      <c r="AE746">
        <f>$C746*AE745</f>
        <v/>
      </c>
      <c r="AF746">
        <f>$C746*AF745</f>
        <v/>
      </c>
      <c r="AG746">
        <f>$C746*AG745</f>
        <v/>
      </c>
      <c r="AH746">
        <f>$C746*AH745</f>
        <v/>
      </c>
      <c r="AI746">
        <f>$C746*AI745</f>
        <v/>
      </c>
      <c r="AJ746">
        <f>$C746*AJ745</f>
        <v/>
      </c>
      <c r="AK746">
        <f>$C746*AK745</f>
        <v/>
      </c>
      <c r="AL746">
        <f>$C746*AL745</f>
        <v/>
      </c>
      <c r="AM746">
        <f>$C746*AM745</f>
        <v/>
      </c>
      <c r="AN746">
        <f>$C746*AN745</f>
        <v/>
      </c>
      <c r="AO746">
        <f>$C746*AO745</f>
        <v/>
      </c>
      <c r="AP746">
        <f>$C746*AP745</f>
        <v/>
      </c>
      <c r="AQ746">
        <f>$C746*AQ745</f>
        <v/>
      </c>
      <c r="AR746">
        <f>$C746*AR745</f>
        <v/>
      </c>
      <c r="AS746">
        <f>$C746*AS745</f>
        <v/>
      </c>
      <c r="AT746">
        <f>$C746*AT745</f>
        <v/>
      </c>
      <c r="AU746">
        <f>$C746*AU745</f>
        <v/>
      </c>
      <c r="AV746">
        <f>$C746*AV745</f>
        <v/>
      </c>
      <c r="AW746">
        <f>$C746*AW745</f>
        <v/>
      </c>
      <c r="AX746">
        <f>$C746*AX745</f>
        <v/>
      </c>
      <c r="AY746">
        <f>$C746*AY745</f>
        <v/>
      </c>
      <c r="AZ746">
        <f>$C746*AZ745</f>
        <v/>
      </c>
      <c r="BA746">
        <f>$C746*BA745</f>
        <v/>
      </c>
      <c r="BB746">
        <f>$C746*BB745</f>
        <v/>
      </c>
      <c r="BC746">
        <f>$C746*BC745</f>
        <v/>
      </c>
      <c r="BD746">
        <f>$C746*BD745</f>
        <v/>
      </c>
      <c r="BE746">
        <f>$C746*BE745</f>
        <v/>
      </c>
      <c r="BF746">
        <f>$C746*BF745</f>
        <v/>
      </c>
      <c r="BG746">
        <f>$C746*BG745</f>
        <v/>
      </c>
      <c r="BH746">
        <f>$C746*BH745</f>
        <v/>
      </c>
      <c r="BI746">
        <f>$C746*BI745</f>
        <v/>
      </c>
      <c r="BJ746">
        <f>$C746*BJ745</f>
        <v/>
      </c>
      <c r="BK746">
        <f>$C746*BK745</f>
        <v/>
      </c>
      <c r="BL746">
        <f>$C746*BL745</f>
        <v/>
      </c>
      <c r="BM746">
        <f>$C746*BM745</f>
        <v/>
      </c>
      <c r="BN746">
        <f>$C746*BN745</f>
        <v/>
      </c>
      <c r="BO746">
        <f>$C746*BO745</f>
        <v/>
      </c>
      <c r="BP746">
        <f>$C746*BP745</f>
        <v/>
      </c>
      <c r="BQ746">
        <f>$C746*BQ745</f>
        <v/>
      </c>
      <c r="BR746">
        <f>$C746*BR745</f>
        <v/>
      </c>
      <c r="BS746">
        <f>$C746*BS745</f>
        <v/>
      </c>
      <c r="BT746">
        <f>$C746*BT745</f>
        <v/>
      </c>
      <c r="BU746">
        <f>$C746*BU745</f>
        <v/>
      </c>
      <c r="BV746">
        <f>$C746*BV745</f>
        <v/>
      </c>
      <c r="BW746">
        <f>$C746*BW745</f>
        <v/>
      </c>
      <c r="BX746">
        <f>$C746*BX745</f>
        <v/>
      </c>
      <c r="BY746">
        <f>$C746*BY745</f>
        <v/>
      </c>
      <c r="BZ746">
        <f>$C746*BZ745</f>
        <v/>
      </c>
      <c r="CA746">
        <f>$C746*CA745</f>
        <v/>
      </c>
      <c r="CB746">
        <f>$C746*CB745</f>
        <v/>
      </c>
      <c r="CC746">
        <f>$C746*CC745</f>
        <v/>
      </c>
      <c r="CD746">
        <f>$C746*CD745</f>
        <v/>
      </c>
      <c r="CE746">
        <f>$C746*CE745</f>
        <v/>
      </c>
      <c r="CF746">
        <f>$C746*CF745</f>
        <v/>
      </c>
      <c r="CG746">
        <f>$C746*CG745</f>
        <v/>
      </c>
      <c r="CH746">
        <f>$C746*CH745</f>
        <v/>
      </c>
      <c r="CI746">
        <f>$C746*CI745</f>
        <v/>
      </c>
      <c r="CJ746">
        <f>$C746*CJ745</f>
        <v/>
      </c>
      <c r="CK746">
        <f>$C746*CK745</f>
        <v/>
      </c>
      <c r="CL746">
        <f>$C746*CL745</f>
        <v/>
      </c>
      <c r="CM746">
        <f>$C746*CM745</f>
        <v/>
      </c>
      <c r="CN746">
        <f>$C746*CN745</f>
        <v/>
      </c>
      <c r="CO746">
        <f>$C746*CO745</f>
        <v/>
      </c>
      <c r="CP746">
        <f>$C746*CP745</f>
        <v/>
      </c>
      <c r="CQ746">
        <f>$C746*CQ745</f>
        <v/>
      </c>
      <c r="CR746">
        <f>$C746*CR745</f>
        <v/>
      </c>
      <c r="CS746">
        <f>$C746*CS745</f>
        <v/>
      </c>
      <c r="CT746">
        <f>$C746*CT745</f>
        <v/>
      </c>
      <c r="CU746">
        <f>$C746*CU745</f>
        <v/>
      </c>
      <c r="CV746">
        <f>$C746*CV745</f>
        <v/>
      </c>
      <c r="CW746">
        <f>$C746*CW745</f>
        <v/>
      </c>
      <c r="CX746">
        <f>$C746*CX745</f>
        <v/>
      </c>
      <c r="CY746">
        <f>$C746*CY745</f>
        <v/>
      </c>
      <c r="CZ746">
        <f>$C746*CZ745</f>
        <v/>
      </c>
      <c r="DA746">
        <f>$C746*DA745</f>
        <v/>
      </c>
      <c r="DB746">
        <f>$C746*DB745</f>
        <v/>
      </c>
      <c r="DC746">
        <f>$C746*DC745</f>
        <v/>
      </c>
    </row>
    <row r="747">
      <c r="B747" t="inlineStr">
        <is>
          <t>TPP-650</t>
        </is>
      </c>
      <c r="C747" t="inlineStr">
        <is>
          <t>No. of batches</t>
        </is>
      </c>
      <c r="D747">
        <f>IFERROR(INDEX(PP_Grid[#Data],$DD747,2),0)</f>
        <v/>
      </c>
      <c r="E747">
        <f>IFERROR(INDEX(PP_Grid[#Data],$DD747,3),0)</f>
        <v/>
      </c>
      <c r="F747">
        <f>IFERROR(INDEX(PP_Grid[#Data],$DD747,4),0)</f>
        <v/>
      </c>
      <c r="G747">
        <f>IFERROR(INDEX(PP_Grid[#Data],$DD747,5),0)</f>
        <v/>
      </c>
      <c r="H747">
        <f>IFERROR(INDEX(PP_Grid[#Data],$DD747,6),0)</f>
        <v/>
      </c>
      <c r="I747">
        <f>IFERROR(INDEX(PP_Grid[#Data],$DD747,7),0)</f>
        <v/>
      </c>
      <c r="J747">
        <f>IFERROR(INDEX(PP_Grid[#Data],$DD747,8),0)</f>
        <v/>
      </c>
      <c r="K747">
        <f>IFERROR(INDEX(PP_Grid[#Data],$DD747,9),0)</f>
        <v/>
      </c>
      <c r="L747">
        <f>IFERROR(INDEX(PP_Grid[#Data],$DD747,10),0)</f>
        <v/>
      </c>
      <c r="M747">
        <f>IFERROR(INDEX(PP_Grid[#Data],$DD747,11),0)</f>
        <v/>
      </c>
      <c r="N747">
        <f>IFERROR(INDEX(PP_Grid[#Data],$DD747,12),0)</f>
        <v/>
      </c>
      <c r="O747">
        <f>IFERROR(INDEX(PP_Grid[#Data],$DD747,13),0)</f>
        <v/>
      </c>
      <c r="P747">
        <f>IFERROR(INDEX(PP_Grid[#Data],$DD747,14),0)</f>
        <v/>
      </c>
      <c r="Q747">
        <f>IFERROR(INDEX(PP_Grid[#Data],$DD747,15),0)</f>
        <v/>
      </c>
      <c r="R747">
        <f>IFERROR(INDEX(PP_Grid[#Data],$DD747,16),0)</f>
        <v/>
      </c>
      <c r="S747">
        <f>IFERROR(INDEX(PP_Grid[#Data],$DD747,17),0)</f>
        <v/>
      </c>
      <c r="T747">
        <f>IFERROR(INDEX(PP_Grid[#Data],$DD747,18),0)</f>
        <v/>
      </c>
      <c r="U747">
        <f>IFERROR(INDEX(PP_Grid[#Data],$DD747,19),0)</f>
        <v/>
      </c>
      <c r="V747">
        <f>IFERROR(INDEX(PP_Grid[#Data],$DD747,20),0)</f>
        <v/>
      </c>
      <c r="W747">
        <f>IFERROR(INDEX(PP_Grid[#Data],$DD747,21),0)</f>
        <v/>
      </c>
      <c r="X747">
        <f>IFERROR(INDEX(PP_Grid[#Data],$DD747,22),0)</f>
        <v/>
      </c>
      <c r="Y747">
        <f>IFERROR(INDEX(PP_Grid[#Data],$DD747,23),0)</f>
        <v/>
      </c>
      <c r="Z747">
        <f>IFERROR(INDEX(PP_Grid[#Data],$DD747,24),0)</f>
        <v/>
      </c>
      <c r="AA747">
        <f>IFERROR(INDEX(PP_Grid[#Data],$DD747,25),0)</f>
        <v/>
      </c>
      <c r="AB747">
        <f>IFERROR(INDEX(PP_Grid[#Data],$DD747,26),0)</f>
        <v/>
      </c>
      <c r="AC747">
        <f>IFERROR(INDEX(PP_Grid[#Data],$DD747,27),0)</f>
        <v/>
      </c>
      <c r="AD747">
        <f>IFERROR(INDEX(PP_Grid[#Data],$DD747,28),0)</f>
        <v/>
      </c>
      <c r="AE747">
        <f>IFERROR(INDEX(PP_Grid[#Data],$DD747,29),0)</f>
        <v/>
      </c>
      <c r="AF747">
        <f>IFERROR(INDEX(PP_Grid[#Data],$DD747,30),0)</f>
        <v/>
      </c>
      <c r="AG747">
        <f>IFERROR(INDEX(PP_Grid[#Data],$DD747,31),0)</f>
        <v/>
      </c>
      <c r="AH747">
        <f>IFERROR(INDEX(PP_Grid[#Data],$DD747,32),0)</f>
        <v/>
      </c>
      <c r="AI747">
        <f>IFERROR(INDEX(PP_Grid[#Data],$DD747,33),0)</f>
        <v/>
      </c>
      <c r="AJ747">
        <f>IFERROR(INDEX(PP_Grid[#Data],$DD747,34),0)</f>
        <v/>
      </c>
      <c r="AK747">
        <f>IFERROR(INDEX(PP_Grid[#Data],$DD747,35),0)</f>
        <v/>
      </c>
      <c r="AL747">
        <f>IFERROR(INDEX(PP_Grid[#Data],$DD747,36),0)</f>
        <v/>
      </c>
      <c r="AM747">
        <f>IFERROR(INDEX(PP_Grid[#Data],$DD747,37),0)</f>
        <v/>
      </c>
      <c r="AN747">
        <f>IFERROR(INDEX(PP_Grid[#Data],$DD747,38),0)</f>
        <v/>
      </c>
      <c r="AO747">
        <f>IFERROR(INDEX(PP_Grid[#Data],$DD747,39),0)</f>
        <v/>
      </c>
      <c r="AP747">
        <f>IFERROR(INDEX(PP_Grid[#Data],$DD747,40),0)</f>
        <v/>
      </c>
      <c r="AQ747">
        <f>IFERROR(INDEX(PP_Grid[#Data],$DD747,41),0)</f>
        <v/>
      </c>
      <c r="AR747">
        <f>IFERROR(INDEX(PP_Grid[#Data],$DD747,42),0)</f>
        <v/>
      </c>
      <c r="AS747">
        <f>IFERROR(INDEX(PP_Grid[#Data],$DD747,43),0)</f>
        <v/>
      </c>
      <c r="AT747">
        <f>IFERROR(INDEX(PP_Grid[#Data],$DD747,44),0)</f>
        <v/>
      </c>
      <c r="AU747">
        <f>IFERROR(INDEX(PP_Grid[#Data],$DD747,45),0)</f>
        <v/>
      </c>
      <c r="AV747">
        <f>IFERROR(INDEX(PP_Grid[#Data],$DD747,46),0)</f>
        <v/>
      </c>
      <c r="AW747">
        <f>IFERROR(INDEX(PP_Grid[#Data],$DD747,47),0)</f>
        <v/>
      </c>
      <c r="AX747">
        <f>IFERROR(INDEX(PP_Grid[#Data],$DD747,48),0)</f>
        <v/>
      </c>
      <c r="AY747">
        <f>IFERROR(INDEX(PP_Grid[#Data],$DD747,49),0)</f>
        <v/>
      </c>
      <c r="AZ747">
        <f>IFERROR(INDEX(PP_Grid[#Data],$DD747,50),0)</f>
        <v/>
      </c>
      <c r="BA747">
        <f>IFERROR(INDEX(PP_Grid[#Data],$DD747,51),0)</f>
        <v/>
      </c>
      <c r="BB747">
        <f>IFERROR(INDEX(PP_Grid[#Data],$DD747,52),0)</f>
        <v/>
      </c>
      <c r="BC747">
        <f>IFERROR(INDEX(PP_Grid[#Data],$DD747,53),0)</f>
        <v/>
      </c>
      <c r="BD747">
        <f>IFERROR(INDEX(PP_Grid[#Data],$DD747,54),0)</f>
        <v/>
      </c>
      <c r="BE747">
        <f>IFERROR(INDEX(PP_Grid[#Data],$DD747,55),0)</f>
        <v/>
      </c>
      <c r="BF747">
        <f>IFERROR(INDEX(PP_Grid[#Data],$DD747,56),0)</f>
        <v/>
      </c>
      <c r="BG747">
        <f>IFERROR(INDEX(PP_Grid[#Data],$DD747,57),0)</f>
        <v/>
      </c>
      <c r="BH747">
        <f>IFERROR(INDEX(PP_Grid[#Data],$DD747,58),0)</f>
        <v/>
      </c>
      <c r="BI747">
        <f>IFERROR(INDEX(PP_Grid[#Data],$DD747,59),0)</f>
        <v/>
      </c>
      <c r="BJ747">
        <f>IFERROR(INDEX(PP_Grid[#Data],$DD747,60),0)</f>
        <v/>
      </c>
      <c r="BK747">
        <f>IFERROR(INDEX(PP_Grid[#Data],$DD747,61),0)</f>
        <v/>
      </c>
      <c r="BL747">
        <f>IFERROR(INDEX(PP_Grid[#Data],$DD747,62),0)</f>
        <v/>
      </c>
      <c r="BM747">
        <f>IFERROR(INDEX(PP_Grid[#Data],$DD747,63),0)</f>
        <v/>
      </c>
      <c r="BN747">
        <f>IFERROR(INDEX(PP_Grid[#Data],$DD747,64),0)</f>
        <v/>
      </c>
      <c r="BO747">
        <f>IFERROR(INDEX(PP_Grid[#Data],$DD747,65),0)</f>
        <v/>
      </c>
      <c r="BP747">
        <f>IFERROR(INDEX(PP_Grid[#Data],$DD747,66),0)</f>
        <v/>
      </c>
      <c r="BQ747">
        <f>IFERROR(INDEX(PP_Grid[#Data],$DD747,67),0)</f>
        <v/>
      </c>
      <c r="BR747">
        <f>IFERROR(INDEX(PP_Grid[#Data],$DD747,68),0)</f>
        <v/>
      </c>
      <c r="BS747">
        <f>IFERROR(INDEX(PP_Grid[#Data],$DD747,69),0)</f>
        <v/>
      </c>
      <c r="BT747">
        <f>IFERROR(INDEX(PP_Grid[#Data],$DD747,70),0)</f>
        <v/>
      </c>
      <c r="BU747">
        <f>IFERROR(INDEX(PP_Grid[#Data],$DD747,71),0)</f>
        <v/>
      </c>
      <c r="BV747">
        <f>IFERROR(INDEX(PP_Grid[#Data],$DD747,72),0)</f>
        <v/>
      </c>
      <c r="BW747">
        <f>IFERROR(INDEX(PP_Grid[#Data],$DD747,73),0)</f>
        <v/>
      </c>
      <c r="BX747">
        <f>IFERROR(INDEX(PP_Grid[#Data],$DD747,74),0)</f>
        <v/>
      </c>
      <c r="BY747">
        <f>IFERROR(INDEX(PP_Grid[#Data],$DD747,75),0)</f>
        <v/>
      </c>
      <c r="BZ747">
        <f>IFERROR(INDEX(PP_Grid[#Data],$DD747,76),0)</f>
        <v/>
      </c>
      <c r="CA747">
        <f>IFERROR(INDEX(PP_Grid[#Data],$DD747,77),0)</f>
        <v/>
      </c>
      <c r="CB747">
        <f>IFERROR(INDEX(PP_Grid[#Data],$DD747,78),0)</f>
        <v/>
      </c>
      <c r="CC747">
        <f>IFERROR(INDEX(PP_Grid[#Data],$DD747,79),0)</f>
        <v/>
      </c>
      <c r="CD747">
        <f>IFERROR(INDEX(PP_Grid[#Data],$DD747,80),0)</f>
        <v/>
      </c>
      <c r="CE747">
        <f>IFERROR(INDEX(PP_Grid[#Data],$DD747,81),0)</f>
        <v/>
      </c>
      <c r="CF747">
        <f>IFERROR(INDEX(PP_Grid[#Data],$DD747,82),0)</f>
        <v/>
      </c>
      <c r="CG747">
        <f>IFERROR(INDEX(PP_Grid[#Data],$DD747,83),0)</f>
        <v/>
      </c>
      <c r="CH747">
        <f>IFERROR(INDEX(PP_Grid[#Data],$DD747,84),0)</f>
        <v/>
      </c>
      <c r="CI747">
        <f>IFERROR(INDEX(PP_Grid[#Data],$DD747,85),0)</f>
        <v/>
      </c>
      <c r="CJ747">
        <f>IFERROR(INDEX(PP_Grid[#Data],$DD747,86),0)</f>
        <v/>
      </c>
      <c r="CK747">
        <f>IFERROR(INDEX(PP_Grid[#Data],$DD747,87),0)</f>
        <v/>
      </c>
      <c r="CL747">
        <f>IFERROR(INDEX(PP_Grid[#Data],$DD747,88),0)</f>
        <v/>
      </c>
      <c r="CM747">
        <f>IFERROR(INDEX(PP_Grid[#Data],$DD747,89),0)</f>
        <v/>
      </c>
      <c r="CN747">
        <f>IFERROR(INDEX(PP_Grid[#Data],$DD747,90),0)</f>
        <v/>
      </c>
      <c r="CO747">
        <f>IFERROR(INDEX(PP_Grid[#Data],$DD747,91),0)</f>
        <v/>
      </c>
      <c r="CP747">
        <f>IFERROR(INDEX(PP_Grid[#Data],$DD747,92),0)</f>
        <v/>
      </c>
      <c r="CQ747">
        <f>IFERROR(INDEX(PP_Grid[#Data],$DD747,93),0)</f>
        <v/>
      </c>
      <c r="CR747">
        <f>IFERROR(INDEX(PP_Grid[#Data],$DD747,94),0)</f>
        <v/>
      </c>
      <c r="CS747">
        <f>IFERROR(INDEX(PP_Grid[#Data],$DD747,95),0)</f>
        <v/>
      </c>
      <c r="CT747">
        <f>IFERROR(INDEX(PP_Grid[#Data],$DD747,96),0)</f>
        <v/>
      </c>
      <c r="CU747">
        <f>IFERROR(INDEX(PP_Grid[#Data],$DD747,97),0)</f>
        <v/>
      </c>
      <c r="CV747">
        <f>IFERROR(INDEX(PP_Grid[#Data],$DD747,98),0)</f>
        <v/>
      </c>
      <c r="CW747">
        <f>IFERROR(INDEX(PP_Grid[#Data],$DD747,99),0)</f>
        <v/>
      </c>
      <c r="CX747">
        <f>IFERROR(INDEX(PP_Grid[#Data],$DD747,100),0)</f>
        <v/>
      </c>
      <c r="CY747">
        <f>IFERROR(INDEX(PP_Grid[#Data],$DD747,101),0)</f>
        <v/>
      </c>
      <c r="CZ747">
        <f>IFERROR(INDEX(PP_Grid[#Data],$DD747,102),0)</f>
        <v/>
      </c>
      <c r="DA747">
        <f>IFERROR(INDEX(PP_Grid[#Data],$DD747,103),0)</f>
        <v/>
      </c>
      <c r="DB747">
        <f>IFERROR(INDEX(PP_Grid[#Data],$DD747,104),0)</f>
        <v/>
      </c>
      <c r="DC747">
        <f>IFERROR(INDEX(PP_Grid[#Data],$DD747,105),0)</f>
        <v/>
      </c>
      <c r="DD747" s="7">
        <f>IFERROR(MATCH($B747,PP_Grid[Intermediate],0),99999)</f>
        <v/>
      </c>
    </row>
    <row r="748">
      <c r="B748" t="inlineStr">
        <is>
          <t>使用量(kg)</t>
        </is>
      </c>
      <c r="C748">
        <f>SUMIFS(M_BOM[RM_Qty_Per_Batch],M_BOM[Intermediate],$B747,M_BOM[Part Name],$A710)</f>
        <v/>
      </c>
      <c r="D748">
        <f>$C748*D747</f>
        <v/>
      </c>
      <c r="E748">
        <f>$C748*E747</f>
        <v/>
      </c>
      <c r="F748">
        <f>$C748*F747</f>
        <v/>
      </c>
      <c r="G748">
        <f>$C748*G747</f>
        <v/>
      </c>
      <c r="H748">
        <f>$C748*H747</f>
        <v/>
      </c>
      <c r="I748">
        <f>$C748*I747</f>
        <v/>
      </c>
      <c r="J748">
        <f>$C748*J747</f>
        <v/>
      </c>
      <c r="K748">
        <f>$C748*K747</f>
        <v/>
      </c>
      <c r="L748">
        <f>$C748*L747</f>
        <v/>
      </c>
      <c r="M748">
        <f>$C748*M747</f>
        <v/>
      </c>
      <c r="N748">
        <f>$C748*N747</f>
        <v/>
      </c>
      <c r="O748">
        <f>$C748*O747</f>
        <v/>
      </c>
      <c r="P748">
        <f>$C748*P747</f>
        <v/>
      </c>
      <c r="Q748">
        <f>$C748*Q747</f>
        <v/>
      </c>
      <c r="R748">
        <f>$C748*R747</f>
        <v/>
      </c>
      <c r="S748">
        <f>$C748*S747</f>
        <v/>
      </c>
      <c r="T748">
        <f>$C748*T747</f>
        <v/>
      </c>
      <c r="U748">
        <f>$C748*U747</f>
        <v/>
      </c>
      <c r="V748">
        <f>$C748*V747</f>
        <v/>
      </c>
      <c r="W748">
        <f>$C748*W747</f>
        <v/>
      </c>
      <c r="X748">
        <f>$C748*X747</f>
        <v/>
      </c>
      <c r="Y748">
        <f>$C748*Y747</f>
        <v/>
      </c>
      <c r="Z748">
        <f>$C748*Z747</f>
        <v/>
      </c>
      <c r="AA748">
        <f>$C748*AA747</f>
        <v/>
      </c>
      <c r="AB748">
        <f>$C748*AB747</f>
        <v/>
      </c>
      <c r="AC748">
        <f>$C748*AC747</f>
        <v/>
      </c>
      <c r="AD748">
        <f>$C748*AD747</f>
        <v/>
      </c>
      <c r="AE748">
        <f>$C748*AE747</f>
        <v/>
      </c>
      <c r="AF748">
        <f>$C748*AF747</f>
        <v/>
      </c>
      <c r="AG748">
        <f>$C748*AG747</f>
        <v/>
      </c>
      <c r="AH748">
        <f>$C748*AH747</f>
        <v/>
      </c>
      <c r="AI748">
        <f>$C748*AI747</f>
        <v/>
      </c>
      <c r="AJ748">
        <f>$C748*AJ747</f>
        <v/>
      </c>
      <c r="AK748">
        <f>$C748*AK747</f>
        <v/>
      </c>
      <c r="AL748">
        <f>$C748*AL747</f>
        <v/>
      </c>
      <c r="AM748">
        <f>$C748*AM747</f>
        <v/>
      </c>
      <c r="AN748">
        <f>$C748*AN747</f>
        <v/>
      </c>
      <c r="AO748">
        <f>$C748*AO747</f>
        <v/>
      </c>
      <c r="AP748">
        <f>$C748*AP747</f>
        <v/>
      </c>
      <c r="AQ748">
        <f>$C748*AQ747</f>
        <v/>
      </c>
      <c r="AR748">
        <f>$C748*AR747</f>
        <v/>
      </c>
      <c r="AS748">
        <f>$C748*AS747</f>
        <v/>
      </c>
      <c r="AT748">
        <f>$C748*AT747</f>
        <v/>
      </c>
      <c r="AU748">
        <f>$C748*AU747</f>
        <v/>
      </c>
      <c r="AV748">
        <f>$C748*AV747</f>
        <v/>
      </c>
      <c r="AW748">
        <f>$C748*AW747</f>
        <v/>
      </c>
      <c r="AX748">
        <f>$C748*AX747</f>
        <v/>
      </c>
      <c r="AY748">
        <f>$C748*AY747</f>
        <v/>
      </c>
      <c r="AZ748">
        <f>$C748*AZ747</f>
        <v/>
      </c>
      <c r="BA748">
        <f>$C748*BA747</f>
        <v/>
      </c>
      <c r="BB748">
        <f>$C748*BB747</f>
        <v/>
      </c>
      <c r="BC748">
        <f>$C748*BC747</f>
        <v/>
      </c>
      <c r="BD748">
        <f>$C748*BD747</f>
        <v/>
      </c>
      <c r="BE748">
        <f>$C748*BE747</f>
        <v/>
      </c>
      <c r="BF748">
        <f>$C748*BF747</f>
        <v/>
      </c>
      <c r="BG748">
        <f>$C748*BG747</f>
        <v/>
      </c>
      <c r="BH748">
        <f>$C748*BH747</f>
        <v/>
      </c>
      <c r="BI748">
        <f>$C748*BI747</f>
        <v/>
      </c>
      <c r="BJ748">
        <f>$C748*BJ747</f>
        <v/>
      </c>
      <c r="BK748">
        <f>$C748*BK747</f>
        <v/>
      </c>
      <c r="BL748">
        <f>$C748*BL747</f>
        <v/>
      </c>
      <c r="BM748">
        <f>$C748*BM747</f>
        <v/>
      </c>
      <c r="BN748">
        <f>$C748*BN747</f>
        <v/>
      </c>
      <c r="BO748">
        <f>$C748*BO747</f>
        <v/>
      </c>
      <c r="BP748">
        <f>$C748*BP747</f>
        <v/>
      </c>
      <c r="BQ748">
        <f>$C748*BQ747</f>
        <v/>
      </c>
      <c r="BR748">
        <f>$C748*BR747</f>
        <v/>
      </c>
      <c r="BS748">
        <f>$C748*BS747</f>
        <v/>
      </c>
      <c r="BT748">
        <f>$C748*BT747</f>
        <v/>
      </c>
      <c r="BU748">
        <f>$C748*BU747</f>
        <v/>
      </c>
      <c r="BV748">
        <f>$C748*BV747</f>
        <v/>
      </c>
      <c r="BW748">
        <f>$C748*BW747</f>
        <v/>
      </c>
      <c r="BX748">
        <f>$C748*BX747</f>
        <v/>
      </c>
      <c r="BY748">
        <f>$C748*BY747</f>
        <v/>
      </c>
      <c r="BZ748">
        <f>$C748*BZ747</f>
        <v/>
      </c>
      <c r="CA748">
        <f>$C748*CA747</f>
        <v/>
      </c>
      <c r="CB748">
        <f>$C748*CB747</f>
        <v/>
      </c>
      <c r="CC748">
        <f>$C748*CC747</f>
        <v/>
      </c>
      <c r="CD748">
        <f>$C748*CD747</f>
        <v/>
      </c>
      <c r="CE748">
        <f>$C748*CE747</f>
        <v/>
      </c>
      <c r="CF748">
        <f>$C748*CF747</f>
        <v/>
      </c>
      <c r="CG748">
        <f>$C748*CG747</f>
        <v/>
      </c>
      <c r="CH748">
        <f>$C748*CH747</f>
        <v/>
      </c>
      <c r="CI748">
        <f>$C748*CI747</f>
        <v/>
      </c>
      <c r="CJ748">
        <f>$C748*CJ747</f>
        <v/>
      </c>
      <c r="CK748">
        <f>$C748*CK747</f>
        <v/>
      </c>
      <c r="CL748">
        <f>$C748*CL747</f>
        <v/>
      </c>
      <c r="CM748">
        <f>$C748*CM747</f>
        <v/>
      </c>
      <c r="CN748">
        <f>$C748*CN747</f>
        <v/>
      </c>
      <c r="CO748">
        <f>$C748*CO747</f>
        <v/>
      </c>
      <c r="CP748">
        <f>$C748*CP747</f>
        <v/>
      </c>
      <c r="CQ748">
        <f>$C748*CQ747</f>
        <v/>
      </c>
      <c r="CR748">
        <f>$C748*CR747</f>
        <v/>
      </c>
      <c r="CS748">
        <f>$C748*CS747</f>
        <v/>
      </c>
      <c r="CT748">
        <f>$C748*CT747</f>
        <v/>
      </c>
      <c r="CU748">
        <f>$C748*CU747</f>
        <v/>
      </c>
      <c r="CV748">
        <f>$C748*CV747</f>
        <v/>
      </c>
      <c r="CW748">
        <f>$C748*CW747</f>
        <v/>
      </c>
      <c r="CX748">
        <f>$C748*CX747</f>
        <v/>
      </c>
      <c r="CY748">
        <f>$C748*CY747</f>
        <v/>
      </c>
      <c r="CZ748">
        <f>$C748*CZ747</f>
        <v/>
      </c>
      <c r="DA748">
        <f>$C748*DA747</f>
        <v/>
      </c>
      <c r="DB748">
        <f>$C748*DB747</f>
        <v/>
      </c>
      <c r="DC748">
        <f>$C748*DC747</f>
        <v/>
      </c>
    </row>
    <row r="749">
      <c r="B749" t="inlineStr">
        <is>
          <t>No of times used</t>
        </is>
      </c>
      <c r="C749" t="inlineStr">
        <is>
          <t>No. of batches</t>
        </is>
      </c>
      <c r="D749">
        <f>IFERROR(INDEX(PP_Grid[#Data],$DD749,2),0)</f>
        <v/>
      </c>
      <c r="E749">
        <f>IFERROR(INDEX(PP_Grid[#Data],$DD749,3),0)</f>
        <v/>
      </c>
      <c r="F749">
        <f>IFERROR(INDEX(PP_Grid[#Data],$DD749,4),0)</f>
        <v/>
      </c>
      <c r="G749">
        <f>IFERROR(INDEX(PP_Grid[#Data],$DD749,5),0)</f>
        <v/>
      </c>
      <c r="H749">
        <f>IFERROR(INDEX(PP_Grid[#Data],$DD749,6),0)</f>
        <v/>
      </c>
      <c r="I749">
        <f>IFERROR(INDEX(PP_Grid[#Data],$DD749,7),0)</f>
        <v/>
      </c>
      <c r="J749">
        <f>IFERROR(INDEX(PP_Grid[#Data],$DD749,8),0)</f>
        <v/>
      </c>
      <c r="K749">
        <f>IFERROR(INDEX(PP_Grid[#Data],$DD749,9),0)</f>
        <v/>
      </c>
      <c r="L749">
        <f>IFERROR(INDEX(PP_Grid[#Data],$DD749,10),0)</f>
        <v/>
      </c>
      <c r="M749">
        <f>IFERROR(INDEX(PP_Grid[#Data],$DD749,11),0)</f>
        <v/>
      </c>
      <c r="N749">
        <f>IFERROR(INDEX(PP_Grid[#Data],$DD749,12),0)</f>
        <v/>
      </c>
      <c r="O749">
        <f>IFERROR(INDEX(PP_Grid[#Data],$DD749,13),0)</f>
        <v/>
      </c>
      <c r="P749">
        <f>IFERROR(INDEX(PP_Grid[#Data],$DD749,14),0)</f>
        <v/>
      </c>
      <c r="Q749">
        <f>IFERROR(INDEX(PP_Grid[#Data],$DD749,15),0)</f>
        <v/>
      </c>
      <c r="R749">
        <f>IFERROR(INDEX(PP_Grid[#Data],$DD749,16),0)</f>
        <v/>
      </c>
      <c r="S749">
        <f>IFERROR(INDEX(PP_Grid[#Data],$DD749,17),0)</f>
        <v/>
      </c>
      <c r="T749">
        <f>IFERROR(INDEX(PP_Grid[#Data],$DD749,18),0)</f>
        <v/>
      </c>
      <c r="U749">
        <f>IFERROR(INDEX(PP_Grid[#Data],$DD749,19),0)</f>
        <v/>
      </c>
      <c r="V749">
        <f>IFERROR(INDEX(PP_Grid[#Data],$DD749,20),0)</f>
        <v/>
      </c>
      <c r="W749">
        <f>IFERROR(INDEX(PP_Grid[#Data],$DD749,21),0)</f>
        <v/>
      </c>
      <c r="X749">
        <f>IFERROR(INDEX(PP_Grid[#Data],$DD749,22),0)</f>
        <v/>
      </c>
      <c r="Y749">
        <f>IFERROR(INDEX(PP_Grid[#Data],$DD749,23),0)</f>
        <v/>
      </c>
      <c r="Z749">
        <f>IFERROR(INDEX(PP_Grid[#Data],$DD749,24),0)</f>
        <v/>
      </c>
      <c r="AA749">
        <f>IFERROR(INDEX(PP_Grid[#Data],$DD749,25),0)</f>
        <v/>
      </c>
      <c r="AB749">
        <f>IFERROR(INDEX(PP_Grid[#Data],$DD749,26),0)</f>
        <v/>
      </c>
      <c r="AC749">
        <f>IFERROR(INDEX(PP_Grid[#Data],$DD749,27),0)</f>
        <v/>
      </c>
      <c r="AD749">
        <f>IFERROR(INDEX(PP_Grid[#Data],$DD749,28),0)</f>
        <v/>
      </c>
      <c r="AE749">
        <f>IFERROR(INDEX(PP_Grid[#Data],$DD749,29),0)</f>
        <v/>
      </c>
      <c r="AF749">
        <f>IFERROR(INDEX(PP_Grid[#Data],$DD749,30),0)</f>
        <v/>
      </c>
      <c r="AG749">
        <f>IFERROR(INDEX(PP_Grid[#Data],$DD749,31),0)</f>
        <v/>
      </c>
      <c r="AH749">
        <f>IFERROR(INDEX(PP_Grid[#Data],$DD749,32),0)</f>
        <v/>
      </c>
      <c r="AI749">
        <f>IFERROR(INDEX(PP_Grid[#Data],$DD749,33),0)</f>
        <v/>
      </c>
      <c r="AJ749">
        <f>IFERROR(INDEX(PP_Grid[#Data],$DD749,34),0)</f>
        <v/>
      </c>
      <c r="AK749">
        <f>IFERROR(INDEX(PP_Grid[#Data],$DD749,35),0)</f>
        <v/>
      </c>
      <c r="AL749">
        <f>IFERROR(INDEX(PP_Grid[#Data],$DD749,36),0)</f>
        <v/>
      </c>
      <c r="AM749">
        <f>IFERROR(INDEX(PP_Grid[#Data],$DD749,37),0)</f>
        <v/>
      </c>
      <c r="AN749">
        <f>IFERROR(INDEX(PP_Grid[#Data],$DD749,38),0)</f>
        <v/>
      </c>
      <c r="AO749">
        <f>IFERROR(INDEX(PP_Grid[#Data],$DD749,39),0)</f>
        <v/>
      </c>
      <c r="AP749">
        <f>IFERROR(INDEX(PP_Grid[#Data],$DD749,40),0)</f>
        <v/>
      </c>
      <c r="AQ749">
        <f>IFERROR(INDEX(PP_Grid[#Data],$DD749,41),0)</f>
        <v/>
      </c>
      <c r="AR749">
        <f>IFERROR(INDEX(PP_Grid[#Data],$DD749,42),0)</f>
        <v/>
      </c>
      <c r="AS749">
        <f>IFERROR(INDEX(PP_Grid[#Data],$DD749,43),0)</f>
        <v/>
      </c>
      <c r="AT749">
        <f>IFERROR(INDEX(PP_Grid[#Data],$DD749,44),0)</f>
        <v/>
      </c>
      <c r="AU749">
        <f>IFERROR(INDEX(PP_Grid[#Data],$DD749,45),0)</f>
        <v/>
      </c>
      <c r="AV749">
        <f>IFERROR(INDEX(PP_Grid[#Data],$DD749,46),0)</f>
        <v/>
      </c>
      <c r="AW749">
        <f>IFERROR(INDEX(PP_Grid[#Data],$DD749,47),0)</f>
        <v/>
      </c>
      <c r="AX749">
        <f>IFERROR(INDEX(PP_Grid[#Data],$DD749,48),0)</f>
        <v/>
      </c>
      <c r="AY749">
        <f>IFERROR(INDEX(PP_Grid[#Data],$DD749,49),0)</f>
        <v/>
      </c>
      <c r="AZ749">
        <f>IFERROR(INDEX(PP_Grid[#Data],$DD749,50),0)</f>
        <v/>
      </c>
      <c r="BA749">
        <f>IFERROR(INDEX(PP_Grid[#Data],$DD749,51),0)</f>
        <v/>
      </c>
      <c r="BB749">
        <f>IFERROR(INDEX(PP_Grid[#Data],$DD749,52),0)</f>
        <v/>
      </c>
      <c r="BC749">
        <f>IFERROR(INDEX(PP_Grid[#Data],$DD749,53),0)</f>
        <v/>
      </c>
      <c r="BD749">
        <f>IFERROR(INDEX(PP_Grid[#Data],$DD749,54),0)</f>
        <v/>
      </c>
      <c r="BE749">
        <f>IFERROR(INDEX(PP_Grid[#Data],$DD749,55),0)</f>
        <v/>
      </c>
      <c r="BF749">
        <f>IFERROR(INDEX(PP_Grid[#Data],$DD749,56),0)</f>
        <v/>
      </c>
      <c r="BG749">
        <f>IFERROR(INDEX(PP_Grid[#Data],$DD749,57),0)</f>
        <v/>
      </c>
      <c r="BH749">
        <f>IFERROR(INDEX(PP_Grid[#Data],$DD749,58),0)</f>
        <v/>
      </c>
      <c r="BI749">
        <f>IFERROR(INDEX(PP_Grid[#Data],$DD749,59),0)</f>
        <v/>
      </c>
      <c r="BJ749">
        <f>IFERROR(INDEX(PP_Grid[#Data],$DD749,60),0)</f>
        <v/>
      </c>
      <c r="BK749">
        <f>IFERROR(INDEX(PP_Grid[#Data],$DD749,61),0)</f>
        <v/>
      </c>
      <c r="BL749">
        <f>IFERROR(INDEX(PP_Grid[#Data],$DD749,62),0)</f>
        <v/>
      </c>
      <c r="BM749">
        <f>IFERROR(INDEX(PP_Grid[#Data],$DD749,63),0)</f>
        <v/>
      </c>
      <c r="BN749">
        <f>IFERROR(INDEX(PP_Grid[#Data],$DD749,64),0)</f>
        <v/>
      </c>
      <c r="BO749">
        <f>IFERROR(INDEX(PP_Grid[#Data],$DD749,65),0)</f>
        <v/>
      </c>
      <c r="BP749">
        <f>IFERROR(INDEX(PP_Grid[#Data],$DD749,66),0)</f>
        <v/>
      </c>
      <c r="BQ749">
        <f>IFERROR(INDEX(PP_Grid[#Data],$DD749,67),0)</f>
        <v/>
      </c>
      <c r="BR749">
        <f>IFERROR(INDEX(PP_Grid[#Data],$DD749,68),0)</f>
        <v/>
      </c>
      <c r="BS749">
        <f>IFERROR(INDEX(PP_Grid[#Data],$DD749,69),0)</f>
        <v/>
      </c>
      <c r="BT749">
        <f>IFERROR(INDEX(PP_Grid[#Data],$DD749,70),0)</f>
        <v/>
      </c>
      <c r="BU749">
        <f>IFERROR(INDEX(PP_Grid[#Data],$DD749,71),0)</f>
        <v/>
      </c>
      <c r="BV749">
        <f>IFERROR(INDEX(PP_Grid[#Data],$DD749,72),0)</f>
        <v/>
      </c>
      <c r="BW749">
        <f>IFERROR(INDEX(PP_Grid[#Data],$DD749,73),0)</f>
        <v/>
      </c>
      <c r="BX749">
        <f>IFERROR(INDEX(PP_Grid[#Data],$DD749,74),0)</f>
        <v/>
      </c>
      <c r="BY749">
        <f>IFERROR(INDEX(PP_Grid[#Data],$DD749,75),0)</f>
        <v/>
      </c>
      <c r="BZ749">
        <f>IFERROR(INDEX(PP_Grid[#Data],$DD749,76),0)</f>
        <v/>
      </c>
      <c r="CA749">
        <f>IFERROR(INDEX(PP_Grid[#Data],$DD749,77),0)</f>
        <v/>
      </c>
      <c r="CB749">
        <f>IFERROR(INDEX(PP_Grid[#Data],$DD749,78),0)</f>
        <v/>
      </c>
      <c r="CC749">
        <f>IFERROR(INDEX(PP_Grid[#Data],$DD749,79),0)</f>
        <v/>
      </c>
      <c r="CD749">
        <f>IFERROR(INDEX(PP_Grid[#Data],$DD749,80),0)</f>
        <v/>
      </c>
      <c r="CE749">
        <f>IFERROR(INDEX(PP_Grid[#Data],$DD749,81),0)</f>
        <v/>
      </c>
      <c r="CF749">
        <f>IFERROR(INDEX(PP_Grid[#Data],$DD749,82),0)</f>
        <v/>
      </c>
      <c r="CG749">
        <f>IFERROR(INDEX(PP_Grid[#Data],$DD749,83),0)</f>
        <v/>
      </c>
      <c r="CH749">
        <f>IFERROR(INDEX(PP_Grid[#Data],$DD749,84),0)</f>
        <v/>
      </c>
      <c r="CI749">
        <f>IFERROR(INDEX(PP_Grid[#Data],$DD749,85),0)</f>
        <v/>
      </c>
      <c r="CJ749">
        <f>IFERROR(INDEX(PP_Grid[#Data],$DD749,86),0)</f>
        <v/>
      </c>
      <c r="CK749">
        <f>IFERROR(INDEX(PP_Grid[#Data],$DD749,87),0)</f>
        <v/>
      </c>
      <c r="CL749">
        <f>IFERROR(INDEX(PP_Grid[#Data],$DD749,88),0)</f>
        <v/>
      </c>
      <c r="CM749">
        <f>IFERROR(INDEX(PP_Grid[#Data],$DD749,89),0)</f>
        <v/>
      </c>
      <c r="CN749">
        <f>IFERROR(INDEX(PP_Grid[#Data],$DD749,90),0)</f>
        <v/>
      </c>
      <c r="CO749">
        <f>IFERROR(INDEX(PP_Grid[#Data],$DD749,91),0)</f>
        <v/>
      </c>
      <c r="CP749">
        <f>IFERROR(INDEX(PP_Grid[#Data],$DD749,92),0)</f>
        <v/>
      </c>
      <c r="CQ749">
        <f>IFERROR(INDEX(PP_Grid[#Data],$DD749,93),0)</f>
        <v/>
      </c>
      <c r="CR749">
        <f>IFERROR(INDEX(PP_Grid[#Data],$DD749,94),0)</f>
        <v/>
      </c>
      <c r="CS749">
        <f>IFERROR(INDEX(PP_Grid[#Data],$DD749,95),0)</f>
        <v/>
      </c>
      <c r="CT749">
        <f>IFERROR(INDEX(PP_Grid[#Data],$DD749,96),0)</f>
        <v/>
      </c>
      <c r="CU749">
        <f>IFERROR(INDEX(PP_Grid[#Data],$DD749,97),0)</f>
        <v/>
      </c>
      <c r="CV749">
        <f>IFERROR(INDEX(PP_Grid[#Data],$DD749,98),0)</f>
        <v/>
      </c>
      <c r="CW749">
        <f>IFERROR(INDEX(PP_Grid[#Data],$DD749,99),0)</f>
        <v/>
      </c>
      <c r="CX749">
        <f>IFERROR(INDEX(PP_Grid[#Data],$DD749,100),0)</f>
        <v/>
      </c>
      <c r="CY749">
        <f>IFERROR(INDEX(PP_Grid[#Data],$DD749,101),0)</f>
        <v/>
      </c>
      <c r="CZ749">
        <f>IFERROR(INDEX(PP_Grid[#Data],$DD749,102),0)</f>
        <v/>
      </c>
      <c r="DA749">
        <f>IFERROR(INDEX(PP_Grid[#Data],$DD749,103),0)</f>
        <v/>
      </c>
      <c r="DB749">
        <f>IFERROR(INDEX(PP_Grid[#Data],$DD749,104),0)</f>
        <v/>
      </c>
      <c r="DC749">
        <f>IFERROR(INDEX(PP_Grid[#Data],$DD749,105),0)</f>
        <v/>
      </c>
      <c r="DD749" s="7">
        <f>IFERROR(MATCH($B749,PP_Grid[Intermediate],0),99999)</f>
        <v/>
      </c>
    </row>
    <row r="750">
      <c r="B750" t="inlineStr">
        <is>
          <t>使用量(kg)</t>
        </is>
      </c>
      <c r="C750">
        <f>SUMIFS(M_BOM[RM_Qty_Per_Batch],M_BOM[Intermediate],$B749,M_BOM[Part Name],$A710)</f>
        <v/>
      </c>
      <c r="D750">
        <f>$C750*D749</f>
        <v/>
      </c>
      <c r="E750">
        <f>$C750*E749</f>
        <v/>
      </c>
      <c r="F750">
        <f>$C750*F749</f>
        <v/>
      </c>
      <c r="G750">
        <f>$C750*G749</f>
        <v/>
      </c>
      <c r="H750">
        <f>$C750*H749</f>
        <v/>
      </c>
      <c r="I750">
        <f>$C750*I749</f>
        <v/>
      </c>
      <c r="J750">
        <f>$C750*J749</f>
        <v/>
      </c>
      <c r="K750">
        <f>$C750*K749</f>
        <v/>
      </c>
      <c r="L750">
        <f>$C750*L749</f>
        <v/>
      </c>
      <c r="M750">
        <f>$C750*M749</f>
        <v/>
      </c>
      <c r="N750">
        <f>$C750*N749</f>
        <v/>
      </c>
      <c r="O750">
        <f>$C750*O749</f>
        <v/>
      </c>
      <c r="P750">
        <f>$C750*P749</f>
        <v/>
      </c>
      <c r="Q750">
        <f>$C750*Q749</f>
        <v/>
      </c>
      <c r="R750">
        <f>$C750*R749</f>
        <v/>
      </c>
      <c r="S750">
        <f>$C750*S749</f>
        <v/>
      </c>
      <c r="T750">
        <f>$C750*T749</f>
        <v/>
      </c>
      <c r="U750">
        <f>$C750*U749</f>
        <v/>
      </c>
      <c r="V750">
        <f>$C750*V749</f>
        <v/>
      </c>
      <c r="W750">
        <f>$C750*W749</f>
        <v/>
      </c>
      <c r="X750">
        <f>$C750*X749</f>
        <v/>
      </c>
      <c r="Y750">
        <f>$C750*Y749</f>
        <v/>
      </c>
      <c r="Z750">
        <f>$C750*Z749</f>
        <v/>
      </c>
      <c r="AA750">
        <f>$C750*AA749</f>
        <v/>
      </c>
      <c r="AB750">
        <f>$C750*AB749</f>
        <v/>
      </c>
      <c r="AC750">
        <f>$C750*AC749</f>
        <v/>
      </c>
      <c r="AD750">
        <f>$C750*AD749</f>
        <v/>
      </c>
      <c r="AE750">
        <f>$C750*AE749</f>
        <v/>
      </c>
      <c r="AF750">
        <f>$C750*AF749</f>
        <v/>
      </c>
      <c r="AG750">
        <f>$C750*AG749</f>
        <v/>
      </c>
      <c r="AH750">
        <f>$C750*AH749</f>
        <v/>
      </c>
      <c r="AI750">
        <f>$C750*AI749</f>
        <v/>
      </c>
      <c r="AJ750">
        <f>$C750*AJ749</f>
        <v/>
      </c>
      <c r="AK750">
        <f>$C750*AK749</f>
        <v/>
      </c>
      <c r="AL750">
        <f>$C750*AL749</f>
        <v/>
      </c>
      <c r="AM750">
        <f>$C750*AM749</f>
        <v/>
      </c>
      <c r="AN750">
        <f>$C750*AN749</f>
        <v/>
      </c>
      <c r="AO750">
        <f>$C750*AO749</f>
        <v/>
      </c>
      <c r="AP750">
        <f>$C750*AP749</f>
        <v/>
      </c>
      <c r="AQ750">
        <f>$C750*AQ749</f>
        <v/>
      </c>
      <c r="AR750">
        <f>$C750*AR749</f>
        <v/>
      </c>
      <c r="AS750">
        <f>$C750*AS749</f>
        <v/>
      </c>
      <c r="AT750">
        <f>$C750*AT749</f>
        <v/>
      </c>
      <c r="AU750">
        <f>$C750*AU749</f>
        <v/>
      </c>
      <c r="AV750">
        <f>$C750*AV749</f>
        <v/>
      </c>
      <c r="AW750">
        <f>$C750*AW749</f>
        <v/>
      </c>
      <c r="AX750">
        <f>$C750*AX749</f>
        <v/>
      </c>
      <c r="AY750">
        <f>$C750*AY749</f>
        <v/>
      </c>
      <c r="AZ750">
        <f>$C750*AZ749</f>
        <v/>
      </c>
      <c r="BA750">
        <f>$C750*BA749</f>
        <v/>
      </c>
      <c r="BB750">
        <f>$C750*BB749</f>
        <v/>
      </c>
      <c r="BC750">
        <f>$C750*BC749</f>
        <v/>
      </c>
      <c r="BD750">
        <f>$C750*BD749</f>
        <v/>
      </c>
      <c r="BE750">
        <f>$C750*BE749</f>
        <v/>
      </c>
      <c r="BF750">
        <f>$C750*BF749</f>
        <v/>
      </c>
      <c r="BG750">
        <f>$C750*BG749</f>
        <v/>
      </c>
      <c r="BH750">
        <f>$C750*BH749</f>
        <v/>
      </c>
      <c r="BI750">
        <f>$C750*BI749</f>
        <v/>
      </c>
      <c r="BJ750">
        <f>$C750*BJ749</f>
        <v/>
      </c>
      <c r="BK750">
        <f>$C750*BK749</f>
        <v/>
      </c>
      <c r="BL750">
        <f>$C750*BL749</f>
        <v/>
      </c>
      <c r="BM750">
        <f>$C750*BM749</f>
        <v/>
      </c>
      <c r="BN750">
        <f>$C750*BN749</f>
        <v/>
      </c>
      <c r="BO750">
        <f>$C750*BO749</f>
        <v/>
      </c>
      <c r="BP750">
        <f>$C750*BP749</f>
        <v/>
      </c>
      <c r="BQ750">
        <f>$C750*BQ749</f>
        <v/>
      </c>
      <c r="BR750">
        <f>$C750*BR749</f>
        <v/>
      </c>
      <c r="BS750">
        <f>$C750*BS749</f>
        <v/>
      </c>
      <c r="BT750">
        <f>$C750*BT749</f>
        <v/>
      </c>
      <c r="BU750">
        <f>$C750*BU749</f>
        <v/>
      </c>
      <c r="BV750">
        <f>$C750*BV749</f>
        <v/>
      </c>
      <c r="BW750">
        <f>$C750*BW749</f>
        <v/>
      </c>
      <c r="BX750">
        <f>$C750*BX749</f>
        <v/>
      </c>
      <c r="BY750">
        <f>$C750*BY749</f>
        <v/>
      </c>
      <c r="BZ750">
        <f>$C750*BZ749</f>
        <v/>
      </c>
      <c r="CA750">
        <f>$C750*CA749</f>
        <v/>
      </c>
      <c r="CB750">
        <f>$C750*CB749</f>
        <v/>
      </c>
      <c r="CC750">
        <f>$C750*CC749</f>
        <v/>
      </c>
      <c r="CD750">
        <f>$C750*CD749</f>
        <v/>
      </c>
      <c r="CE750">
        <f>$C750*CE749</f>
        <v/>
      </c>
      <c r="CF750">
        <f>$C750*CF749</f>
        <v/>
      </c>
      <c r="CG750">
        <f>$C750*CG749</f>
        <v/>
      </c>
      <c r="CH750">
        <f>$C750*CH749</f>
        <v/>
      </c>
      <c r="CI750">
        <f>$C750*CI749</f>
        <v/>
      </c>
      <c r="CJ750">
        <f>$C750*CJ749</f>
        <v/>
      </c>
      <c r="CK750">
        <f>$C750*CK749</f>
        <v/>
      </c>
      <c r="CL750">
        <f>$C750*CL749</f>
        <v/>
      </c>
      <c r="CM750">
        <f>$C750*CM749</f>
        <v/>
      </c>
      <c r="CN750">
        <f>$C750*CN749</f>
        <v/>
      </c>
      <c r="CO750">
        <f>$C750*CO749</f>
        <v/>
      </c>
      <c r="CP750">
        <f>$C750*CP749</f>
        <v/>
      </c>
      <c r="CQ750">
        <f>$C750*CQ749</f>
        <v/>
      </c>
      <c r="CR750">
        <f>$C750*CR749</f>
        <v/>
      </c>
      <c r="CS750">
        <f>$C750*CS749</f>
        <v/>
      </c>
      <c r="CT750">
        <f>$C750*CT749</f>
        <v/>
      </c>
      <c r="CU750">
        <f>$C750*CU749</f>
        <v/>
      </c>
      <c r="CV750">
        <f>$C750*CV749</f>
        <v/>
      </c>
      <c r="CW750">
        <f>$C750*CW749</f>
        <v/>
      </c>
      <c r="CX750">
        <f>$C750*CX749</f>
        <v/>
      </c>
      <c r="CY750">
        <f>$C750*CY749</f>
        <v/>
      </c>
      <c r="CZ750">
        <f>$C750*CZ749</f>
        <v/>
      </c>
      <c r="DA750">
        <f>$C750*DA749</f>
        <v/>
      </c>
      <c r="DB750">
        <f>$C750*DB749</f>
        <v/>
      </c>
      <c r="DC750">
        <f>$C750*DC749</f>
        <v/>
      </c>
    </row>
    <row r="751">
      <c r="B751" t="inlineStr">
        <is>
          <t>TSP-1499</t>
        </is>
      </c>
      <c r="C751" t="inlineStr">
        <is>
          <t>No. of batches</t>
        </is>
      </c>
      <c r="D751">
        <f>IFERROR(INDEX(PP_Grid[#Data],$DD751,2),0)</f>
        <v/>
      </c>
      <c r="E751">
        <f>IFERROR(INDEX(PP_Grid[#Data],$DD751,3),0)</f>
        <v/>
      </c>
      <c r="F751">
        <f>IFERROR(INDEX(PP_Grid[#Data],$DD751,4),0)</f>
        <v/>
      </c>
      <c r="G751">
        <f>IFERROR(INDEX(PP_Grid[#Data],$DD751,5),0)</f>
        <v/>
      </c>
      <c r="H751">
        <f>IFERROR(INDEX(PP_Grid[#Data],$DD751,6),0)</f>
        <v/>
      </c>
      <c r="I751">
        <f>IFERROR(INDEX(PP_Grid[#Data],$DD751,7),0)</f>
        <v/>
      </c>
      <c r="J751">
        <f>IFERROR(INDEX(PP_Grid[#Data],$DD751,8),0)</f>
        <v/>
      </c>
      <c r="K751">
        <f>IFERROR(INDEX(PP_Grid[#Data],$DD751,9),0)</f>
        <v/>
      </c>
      <c r="L751">
        <f>IFERROR(INDEX(PP_Grid[#Data],$DD751,10),0)</f>
        <v/>
      </c>
      <c r="M751">
        <f>IFERROR(INDEX(PP_Grid[#Data],$DD751,11),0)</f>
        <v/>
      </c>
      <c r="N751">
        <f>IFERROR(INDEX(PP_Grid[#Data],$DD751,12),0)</f>
        <v/>
      </c>
      <c r="O751">
        <f>IFERROR(INDEX(PP_Grid[#Data],$DD751,13),0)</f>
        <v/>
      </c>
      <c r="P751">
        <f>IFERROR(INDEX(PP_Grid[#Data],$DD751,14),0)</f>
        <v/>
      </c>
      <c r="Q751">
        <f>IFERROR(INDEX(PP_Grid[#Data],$DD751,15),0)</f>
        <v/>
      </c>
      <c r="R751">
        <f>IFERROR(INDEX(PP_Grid[#Data],$DD751,16),0)</f>
        <v/>
      </c>
      <c r="S751">
        <f>IFERROR(INDEX(PP_Grid[#Data],$DD751,17),0)</f>
        <v/>
      </c>
      <c r="T751">
        <f>IFERROR(INDEX(PP_Grid[#Data],$DD751,18),0)</f>
        <v/>
      </c>
      <c r="U751">
        <f>IFERROR(INDEX(PP_Grid[#Data],$DD751,19),0)</f>
        <v/>
      </c>
      <c r="V751">
        <f>IFERROR(INDEX(PP_Grid[#Data],$DD751,20),0)</f>
        <v/>
      </c>
      <c r="W751">
        <f>IFERROR(INDEX(PP_Grid[#Data],$DD751,21),0)</f>
        <v/>
      </c>
      <c r="X751">
        <f>IFERROR(INDEX(PP_Grid[#Data],$DD751,22),0)</f>
        <v/>
      </c>
      <c r="Y751">
        <f>IFERROR(INDEX(PP_Grid[#Data],$DD751,23),0)</f>
        <v/>
      </c>
      <c r="Z751">
        <f>IFERROR(INDEX(PP_Grid[#Data],$DD751,24),0)</f>
        <v/>
      </c>
      <c r="AA751">
        <f>IFERROR(INDEX(PP_Grid[#Data],$DD751,25),0)</f>
        <v/>
      </c>
      <c r="AB751">
        <f>IFERROR(INDEX(PP_Grid[#Data],$DD751,26),0)</f>
        <v/>
      </c>
      <c r="AC751">
        <f>IFERROR(INDEX(PP_Grid[#Data],$DD751,27),0)</f>
        <v/>
      </c>
      <c r="AD751">
        <f>IFERROR(INDEX(PP_Grid[#Data],$DD751,28),0)</f>
        <v/>
      </c>
      <c r="AE751">
        <f>IFERROR(INDEX(PP_Grid[#Data],$DD751,29),0)</f>
        <v/>
      </c>
      <c r="AF751">
        <f>IFERROR(INDEX(PP_Grid[#Data],$DD751,30),0)</f>
        <v/>
      </c>
      <c r="AG751">
        <f>IFERROR(INDEX(PP_Grid[#Data],$DD751,31),0)</f>
        <v/>
      </c>
      <c r="AH751">
        <f>IFERROR(INDEX(PP_Grid[#Data],$DD751,32),0)</f>
        <v/>
      </c>
      <c r="AI751">
        <f>IFERROR(INDEX(PP_Grid[#Data],$DD751,33),0)</f>
        <v/>
      </c>
      <c r="AJ751">
        <f>IFERROR(INDEX(PP_Grid[#Data],$DD751,34),0)</f>
        <v/>
      </c>
      <c r="AK751">
        <f>IFERROR(INDEX(PP_Grid[#Data],$DD751,35),0)</f>
        <v/>
      </c>
      <c r="AL751">
        <f>IFERROR(INDEX(PP_Grid[#Data],$DD751,36),0)</f>
        <v/>
      </c>
      <c r="AM751">
        <f>IFERROR(INDEX(PP_Grid[#Data],$DD751,37),0)</f>
        <v/>
      </c>
      <c r="AN751">
        <f>IFERROR(INDEX(PP_Grid[#Data],$DD751,38),0)</f>
        <v/>
      </c>
      <c r="AO751">
        <f>IFERROR(INDEX(PP_Grid[#Data],$DD751,39),0)</f>
        <v/>
      </c>
      <c r="AP751">
        <f>IFERROR(INDEX(PP_Grid[#Data],$DD751,40),0)</f>
        <v/>
      </c>
      <c r="AQ751">
        <f>IFERROR(INDEX(PP_Grid[#Data],$DD751,41),0)</f>
        <v/>
      </c>
      <c r="AR751">
        <f>IFERROR(INDEX(PP_Grid[#Data],$DD751,42),0)</f>
        <v/>
      </c>
      <c r="AS751">
        <f>IFERROR(INDEX(PP_Grid[#Data],$DD751,43),0)</f>
        <v/>
      </c>
      <c r="AT751">
        <f>IFERROR(INDEX(PP_Grid[#Data],$DD751,44),0)</f>
        <v/>
      </c>
      <c r="AU751">
        <f>IFERROR(INDEX(PP_Grid[#Data],$DD751,45),0)</f>
        <v/>
      </c>
      <c r="AV751">
        <f>IFERROR(INDEX(PP_Grid[#Data],$DD751,46),0)</f>
        <v/>
      </c>
      <c r="AW751">
        <f>IFERROR(INDEX(PP_Grid[#Data],$DD751,47),0)</f>
        <v/>
      </c>
      <c r="AX751">
        <f>IFERROR(INDEX(PP_Grid[#Data],$DD751,48),0)</f>
        <v/>
      </c>
      <c r="AY751">
        <f>IFERROR(INDEX(PP_Grid[#Data],$DD751,49),0)</f>
        <v/>
      </c>
      <c r="AZ751">
        <f>IFERROR(INDEX(PP_Grid[#Data],$DD751,50),0)</f>
        <v/>
      </c>
      <c r="BA751">
        <f>IFERROR(INDEX(PP_Grid[#Data],$DD751,51),0)</f>
        <v/>
      </c>
      <c r="BB751">
        <f>IFERROR(INDEX(PP_Grid[#Data],$DD751,52),0)</f>
        <v/>
      </c>
      <c r="BC751">
        <f>IFERROR(INDEX(PP_Grid[#Data],$DD751,53),0)</f>
        <v/>
      </c>
      <c r="BD751">
        <f>IFERROR(INDEX(PP_Grid[#Data],$DD751,54),0)</f>
        <v/>
      </c>
      <c r="BE751">
        <f>IFERROR(INDEX(PP_Grid[#Data],$DD751,55),0)</f>
        <v/>
      </c>
      <c r="BF751">
        <f>IFERROR(INDEX(PP_Grid[#Data],$DD751,56),0)</f>
        <v/>
      </c>
      <c r="BG751">
        <f>IFERROR(INDEX(PP_Grid[#Data],$DD751,57),0)</f>
        <v/>
      </c>
      <c r="BH751">
        <f>IFERROR(INDEX(PP_Grid[#Data],$DD751,58),0)</f>
        <v/>
      </c>
      <c r="BI751">
        <f>IFERROR(INDEX(PP_Grid[#Data],$DD751,59),0)</f>
        <v/>
      </c>
      <c r="BJ751">
        <f>IFERROR(INDEX(PP_Grid[#Data],$DD751,60),0)</f>
        <v/>
      </c>
      <c r="BK751">
        <f>IFERROR(INDEX(PP_Grid[#Data],$DD751,61),0)</f>
        <v/>
      </c>
      <c r="BL751">
        <f>IFERROR(INDEX(PP_Grid[#Data],$DD751,62),0)</f>
        <v/>
      </c>
      <c r="BM751">
        <f>IFERROR(INDEX(PP_Grid[#Data],$DD751,63),0)</f>
        <v/>
      </c>
      <c r="BN751">
        <f>IFERROR(INDEX(PP_Grid[#Data],$DD751,64),0)</f>
        <v/>
      </c>
      <c r="BO751">
        <f>IFERROR(INDEX(PP_Grid[#Data],$DD751,65),0)</f>
        <v/>
      </c>
      <c r="BP751">
        <f>IFERROR(INDEX(PP_Grid[#Data],$DD751,66),0)</f>
        <v/>
      </c>
      <c r="BQ751">
        <f>IFERROR(INDEX(PP_Grid[#Data],$DD751,67),0)</f>
        <v/>
      </c>
      <c r="BR751">
        <f>IFERROR(INDEX(PP_Grid[#Data],$DD751,68),0)</f>
        <v/>
      </c>
      <c r="BS751">
        <f>IFERROR(INDEX(PP_Grid[#Data],$DD751,69),0)</f>
        <v/>
      </c>
      <c r="BT751">
        <f>IFERROR(INDEX(PP_Grid[#Data],$DD751,70),0)</f>
        <v/>
      </c>
      <c r="BU751">
        <f>IFERROR(INDEX(PP_Grid[#Data],$DD751,71),0)</f>
        <v/>
      </c>
      <c r="BV751">
        <f>IFERROR(INDEX(PP_Grid[#Data],$DD751,72),0)</f>
        <v/>
      </c>
      <c r="BW751">
        <f>IFERROR(INDEX(PP_Grid[#Data],$DD751,73),0)</f>
        <v/>
      </c>
      <c r="BX751">
        <f>IFERROR(INDEX(PP_Grid[#Data],$DD751,74),0)</f>
        <v/>
      </c>
      <c r="BY751">
        <f>IFERROR(INDEX(PP_Grid[#Data],$DD751,75),0)</f>
        <v/>
      </c>
      <c r="BZ751">
        <f>IFERROR(INDEX(PP_Grid[#Data],$DD751,76),0)</f>
        <v/>
      </c>
      <c r="CA751">
        <f>IFERROR(INDEX(PP_Grid[#Data],$DD751,77),0)</f>
        <v/>
      </c>
      <c r="CB751">
        <f>IFERROR(INDEX(PP_Grid[#Data],$DD751,78),0)</f>
        <v/>
      </c>
      <c r="CC751">
        <f>IFERROR(INDEX(PP_Grid[#Data],$DD751,79),0)</f>
        <v/>
      </c>
      <c r="CD751">
        <f>IFERROR(INDEX(PP_Grid[#Data],$DD751,80),0)</f>
        <v/>
      </c>
      <c r="CE751">
        <f>IFERROR(INDEX(PP_Grid[#Data],$DD751,81),0)</f>
        <v/>
      </c>
      <c r="CF751">
        <f>IFERROR(INDEX(PP_Grid[#Data],$DD751,82),0)</f>
        <v/>
      </c>
      <c r="CG751">
        <f>IFERROR(INDEX(PP_Grid[#Data],$DD751,83),0)</f>
        <v/>
      </c>
      <c r="CH751">
        <f>IFERROR(INDEX(PP_Grid[#Data],$DD751,84),0)</f>
        <v/>
      </c>
      <c r="CI751">
        <f>IFERROR(INDEX(PP_Grid[#Data],$DD751,85),0)</f>
        <v/>
      </c>
      <c r="CJ751">
        <f>IFERROR(INDEX(PP_Grid[#Data],$DD751,86),0)</f>
        <v/>
      </c>
      <c r="CK751">
        <f>IFERROR(INDEX(PP_Grid[#Data],$DD751,87),0)</f>
        <v/>
      </c>
      <c r="CL751">
        <f>IFERROR(INDEX(PP_Grid[#Data],$DD751,88),0)</f>
        <v/>
      </c>
      <c r="CM751">
        <f>IFERROR(INDEX(PP_Grid[#Data],$DD751,89),0)</f>
        <v/>
      </c>
      <c r="CN751">
        <f>IFERROR(INDEX(PP_Grid[#Data],$DD751,90),0)</f>
        <v/>
      </c>
      <c r="CO751">
        <f>IFERROR(INDEX(PP_Grid[#Data],$DD751,91),0)</f>
        <v/>
      </c>
      <c r="CP751">
        <f>IFERROR(INDEX(PP_Grid[#Data],$DD751,92),0)</f>
        <v/>
      </c>
      <c r="CQ751">
        <f>IFERROR(INDEX(PP_Grid[#Data],$DD751,93),0)</f>
        <v/>
      </c>
      <c r="CR751">
        <f>IFERROR(INDEX(PP_Grid[#Data],$DD751,94),0)</f>
        <v/>
      </c>
      <c r="CS751">
        <f>IFERROR(INDEX(PP_Grid[#Data],$DD751,95),0)</f>
        <v/>
      </c>
      <c r="CT751">
        <f>IFERROR(INDEX(PP_Grid[#Data],$DD751,96),0)</f>
        <v/>
      </c>
      <c r="CU751">
        <f>IFERROR(INDEX(PP_Grid[#Data],$DD751,97),0)</f>
        <v/>
      </c>
      <c r="CV751">
        <f>IFERROR(INDEX(PP_Grid[#Data],$DD751,98),0)</f>
        <v/>
      </c>
      <c r="CW751">
        <f>IFERROR(INDEX(PP_Grid[#Data],$DD751,99),0)</f>
        <v/>
      </c>
      <c r="CX751">
        <f>IFERROR(INDEX(PP_Grid[#Data],$DD751,100),0)</f>
        <v/>
      </c>
      <c r="CY751">
        <f>IFERROR(INDEX(PP_Grid[#Data],$DD751,101),0)</f>
        <v/>
      </c>
      <c r="CZ751">
        <f>IFERROR(INDEX(PP_Grid[#Data],$DD751,102),0)</f>
        <v/>
      </c>
      <c r="DA751">
        <f>IFERROR(INDEX(PP_Grid[#Data],$DD751,103),0)</f>
        <v/>
      </c>
      <c r="DB751">
        <f>IFERROR(INDEX(PP_Grid[#Data],$DD751,104),0)</f>
        <v/>
      </c>
      <c r="DC751">
        <f>IFERROR(INDEX(PP_Grid[#Data],$DD751,105),0)</f>
        <v/>
      </c>
      <c r="DD751" s="7">
        <f>IFERROR(MATCH($B751,PP_Grid[Intermediate],0),99999)</f>
        <v/>
      </c>
    </row>
    <row r="752">
      <c r="B752" t="inlineStr">
        <is>
          <t>使用量(kg)</t>
        </is>
      </c>
      <c r="C752">
        <f>SUMIFS(M_BOM[RM_Qty_Per_Batch],M_BOM[Intermediate],$B751,M_BOM[Part Name],$A710)</f>
        <v/>
      </c>
      <c r="D752">
        <f>$C752*D751</f>
        <v/>
      </c>
      <c r="E752">
        <f>$C752*E751</f>
        <v/>
      </c>
      <c r="F752">
        <f>$C752*F751</f>
        <v/>
      </c>
      <c r="G752">
        <f>$C752*G751</f>
        <v/>
      </c>
      <c r="H752">
        <f>$C752*H751</f>
        <v/>
      </c>
      <c r="I752">
        <f>$C752*I751</f>
        <v/>
      </c>
      <c r="J752">
        <f>$C752*J751</f>
        <v/>
      </c>
      <c r="K752">
        <f>$C752*K751</f>
        <v/>
      </c>
      <c r="L752">
        <f>$C752*L751</f>
        <v/>
      </c>
      <c r="M752">
        <f>$C752*M751</f>
        <v/>
      </c>
      <c r="N752">
        <f>$C752*N751</f>
        <v/>
      </c>
      <c r="O752">
        <f>$C752*O751</f>
        <v/>
      </c>
      <c r="P752">
        <f>$C752*P751</f>
        <v/>
      </c>
      <c r="Q752">
        <f>$C752*Q751</f>
        <v/>
      </c>
      <c r="R752">
        <f>$C752*R751</f>
        <v/>
      </c>
      <c r="S752">
        <f>$C752*S751</f>
        <v/>
      </c>
      <c r="T752">
        <f>$C752*T751</f>
        <v/>
      </c>
      <c r="U752">
        <f>$C752*U751</f>
        <v/>
      </c>
      <c r="V752">
        <f>$C752*V751</f>
        <v/>
      </c>
      <c r="W752">
        <f>$C752*W751</f>
        <v/>
      </c>
      <c r="X752">
        <f>$C752*X751</f>
        <v/>
      </c>
      <c r="Y752">
        <f>$C752*Y751</f>
        <v/>
      </c>
      <c r="Z752">
        <f>$C752*Z751</f>
        <v/>
      </c>
      <c r="AA752">
        <f>$C752*AA751</f>
        <v/>
      </c>
      <c r="AB752">
        <f>$C752*AB751</f>
        <v/>
      </c>
      <c r="AC752">
        <f>$C752*AC751</f>
        <v/>
      </c>
      <c r="AD752">
        <f>$C752*AD751</f>
        <v/>
      </c>
      <c r="AE752">
        <f>$C752*AE751</f>
        <v/>
      </c>
      <c r="AF752">
        <f>$C752*AF751</f>
        <v/>
      </c>
      <c r="AG752">
        <f>$C752*AG751</f>
        <v/>
      </c>
      <c r="AH752">
        <f>$C752*AH751</f>
        <v/>
      </c>
      <c r="AI752">
        <f>$C752*AI751</f>
        <v/>
      </c>
      <c r="AJ752">
        <f>$C752*AJ751</f>
        <v/>
      </c>
      <c r="AK752">
        <f>$C752*AK751</f>
        <v/>
      </c>
      <c r="AL752">
        <f>$C752*AL751</f>
        <v/>
      </c>
      <c r="AM752">
        <f>$C752*AM751</f>
        <v/>
      </c>
      <c r="AN752">
        <f>$C752*AN751</f>
        <v/>
      </c>
      <c r="AO752">
        <f>$C752*AO751</f>
        <v/>
      </c>
      <c r="AP752">
        <f>$C752*AP751</f>
        <v/>
      </c>
      <c r="AQ752">
        <f>$C752*AQ751</f>
        <v/>
      </c>
      <c r="AR752">
        <f>$C752*AR751</f>
        <v/>
      </c>
      <c r="AS752">
        <f>$C752*AS751</f>
        <v/>
      </c>
      <c r="AT752">
        <f>$C752*AT751</f>
        <v/>
      </c>
      <c r="AU752">
        <f>$C752*AU751</f>
        <v/>
      </c>
      <c r="AV752">
        <f>$C752*AV751</f>
        <v/>
      </c>
      <c r="AW752">
        <f>$C752*AW751</f>
        <v/>
      </c>
      <c r="AX752">
        <f>$C752*AX751</f>
        <v/>
      </c>
      <c r="AY752">
        <f>$C752*AY751</f>
        <v/>
      </c>
      <c r="AZ752">
        <f>$C752*AZ751</f>
        <v/>
      </c>
      <c r="BA752">
        <f>$C752*BA751</f>
        <v/>
      </c>
      <c r="BB752">
        <f>$C752*BB751</f>
        <v/>
      </c>
      <c r="BC752">
        <f>$C752*BC751</f>
        <v/>
      </c>
      <c r="BD752">
        <f>$C752*BD751</f>
        <v/>
      </c>
      <c r="BE752">
        <f>$C752*BE751</f>
        <v/>
      </c>
      <c r="BF752">
        <f>$C752*BF751</f>
        <v/>
      </c>
      <c r="BG752">
        <f>$C752*BG751</f>
        <v/>
      </c>
      <c r="BH752">
        <f>$C752*BH751</f>
        <v/>
      </c>
      <c r="BI752">
        <f>$C752*BI751</f>
        <v/>
      </c>
      <c r="BJ752">
        <f>$C752*BJ751</f>
        <v/>
      </c>
      <c r="BK752">
        <f>$C752*BK751</f>
        <v/>
      </c>
      <c r="BL752">
        <f>$C752*BL751</f>
        <v/>
      </c>
      <c r="BM752">
        <f>$C752*BM751</f>
        <v/>
      </c>
      <c r="BN752">
        <f>$C752*BN751</f>
        <v/>
      </c>
      <c r="BO752">
        <f>$C752*BO751</f>
        <v/>
      </c>
      <c r="BP752">
        <f>$C752*BP751</f>
        <v/>
      </c>
      <c r="BQ752">
        <f>$C752*BQ751</f>
        <v/>
      </c>
      <c r="BR752">
        <f>$C752*BR751</f>
        <v/>
      </c>
      <c r="BS752">
        <f>$C752*BS751</f>
        <v/>
      </c>
      <c r="BT752">
        <f>$C752*BT751</f>
        <v/>
      </c>
      <c r="BU752">
        <f>$C752*BU751</f>
        <v/>
      </c>
      <c r="BV752">
        <f>$C752*BV751</f>
        <v/>
      </c>
      <c r="BW752">
        <f>$C752*BW751</f>
        <v/>
      </c>
      <c r="BX752">
        <f>$C752*BX751</f>
        <v/>
      </c>
      <c r="BY752">
        <f>$C752*BY751</f>
        <v/>
      </c>
      <c r="BZ752">
        <f>$C752*BZ751</f>
        <v/>
      </c>
      <c r="CA752">
        <f>$C752*CA751</f>
        <v/>
      </c>
      <c r="CB752">
        <f>$C752*CB751</f>
        <v/>
      </c>
      <c r="CC752">
        <f>$C752*CC751</f>
        <v/>
      </c>
      <c r="CD752">
        <f>$C752*CD751</f>
        <v/>
      </c>
      <c r="CE752">
        <f>$C752*CE751</f>
        <v/>
      </c>
      <c r="CF752">
        <f>$C752*CF751</f>
        <v/>
      </c>
      <c r="CG752">
        <f>$C752*CG751</f>
        <v/>
      </c>
      <c r="CH752">
        <f>$C752*CH751</f>
        <v/>
      </c>
      <c r="CI752">
        <f>$C752*CI751</f>
        <v/>
      </c>
      <c r="CJ752">
        <f>$C752*CJ751</f>
        <v/>
      </c>
      <c r="CK752">
        <f>$C752*CK751</f>
        <v/>
      </c>
      <c r="CL752">
        <f>$C752*CL751</f>
        <v/>
      </c>
      <c r="CM752">
        <f>$C752*CM751</f>
        <v/>
      </c>
      <c r="CN752">
        <f>$C752*CN751</f>
        <v/>
      </c>
      <c r="CO752">
        <f>$C752*CO751</f>
        <v/>
      </c>
      <c r="CP752">
        <f>$C752*CP751</f>
        <v/>
      </c>
      <c r="CQ752">
        <f>$C752*CQ751</f>
        <v/>
      </c>
      <c r="CR752">
        <f>$C752*CR751</f>
        <v/>
      </c>
      <c r="CS752">
        <f>$C752*CS751</f>
        <v/>
      </c>
      <c r="CT752">
        <f>$C752*CT751</f>
        <v/>
      </c>
      <c r="CU752">
        <f>$C752*CU751</f>
        <v/>
      </c>
      <c r="CV752">
        <f>$C752*CV751</f>
        <v/>
      </c>
      <c r="CW752">
        <f>$C752*CW751</f>
        <v/>
      </c>
      <c r="CX752">
        <f>$C752*CX751</f>
        <v/>
      </c>
      <c r="CY752">
        <f>$C752*CY751</f>
        <v/>
      </c>
      <c r="CZ752">
        <f>$C752*CZ751</f>
        <v/>
      </c>
      <c r="DA752">
        <f>$C752*DA751</f>
        <v/>
      </c>
      <c r="DB752">
        <f>$C752*DB751</f>
        <v/>
      </c>
      <c r="DC752">
        <f>$C752*DC751</f>
        <v/>
      </c>
    </row>
    <row r="753">
      <c r="B753" s="4" t="inlineStr">
        <is>
          <t>合計使用量(kg)/週</t>
        </is>
      </c>
      <c r="D753">
        <f>'Grid_Requirement'!B6</f>
        <v/>
      </c>
      <c r="E753">
        <f>'Grid_Requirement'!C6</f>
        <v/>
      </c>
      <c r="F753">
        <f>'Grid_Requirement'!D6</f>
        <v/>
      </c>
      <c r="G753">
        <f>'Grid_Requirement'!E6</f>
        <v/>
      </c>
      <c r="H753">
        <f>'Grid_Requirement'!F6</f>
        <v/>
      </c>
      <c r="I753">
        <f>'Grid_Requirement'!G6</f>
        <v/>
      </c>
      <c r="J753">
        <f>'Grid_Requirement'!H6</f>
        <v/>
      </c>
      <c r="K753">
        <f>'Grid_Requirement'!I6</f>
        <v/>
      </c>
      <c r="L753">
        <f>'Grid_Requirement'!J6</f>
        <v/>
      </c>
      <c r="M753">
        <f>'Grid_Requirement'!K6</f>
        <v/>
      </c>
      <c r="N753">
        <f>'Grid_Requirement'!L6</f>
        <v/>
      </c>
      <c r="O753">
        <f>'Grid_Requirement'!M6</f>
        <v/>
      </c>
      <c r="P753">
        <f>'Grid_Requirement'!N6</f>
        <v/>
      </c>
      <c r="Q753">
        <f>'Grid_Requirement'!O6</f>
        <v/>
      </c>
      <c r="R753">
        <f>'Grid_Requirement'!P6</f>
        <v/>
      </c>
      <c r="S753">
        <f>'Grid_Requirement'!Q6</f>
        <v/>
      </c>
      <c r="T753">
        <f>'Grid_Requirement'!R6</f>
        <v/>
      </c>
      <c r="U753">
        <f>'Grid_Requirement'!S6</f>
        <v/>
      </c>
      <c r="V753">
        <f>'Grid_Requirement'!T6</f>
        <v/>
      </c>
      <c r="W753">
        <f>'Grid_Requirement'!U6</f>
        <v/>
      </c>
      <c r="X753">
        <f>'Grid_Requirement'!V6</f>
        <v/>
      </c>
      <c r="Y753">
        <f>'Grid_Requirement'!W6</f>
        <v/>
      </c>
      <c r="Z753">
        <f>'Grid_Requirement'!X6</f>
        <v/>
      </c>
      <c r="AA753">
        <f>'Grid_Requirement'!Y6</f>
        <v/>
      </c>
      <c r="AB753">
        <f>'Grid_Requirement'!Z6</f>
        <v/>
      </c>
      <c r="AC753">
        <f>'Grid_Requirement'!AA6</f>
        <v/>
      </c>
      <c r="AD753">
        <f>'Grid_Requirement'!AB6</f>
        <v/>
      </c>
      <c r="AE753">
        <f>'Grid_Requirement'!AC6</f>
        <v/>
      </c>
      <c r="AF753">
        <f>'Grid_Requirement'!AD6</f>
        <v/>
      </c>
      <c r="AG753">
        <f>'Grid_Requirement'!AE6</f>
        <v/>
      </c>
      <c r="AH753">
        <f>'Grid_Requirement'!AF6</f>
        <v/>
      </c>
      <c r="AI753">
        <f>'Grid_Requirement'!AG6</f>
        <v/>
      </c>
      <c r="AJ753">
        <f>'Grid_Requirement'!AH6</f>
        <v/>
      </c>
      <c r="AK753">
        <f>'Grid_Requirement'!AI6</f>
        <v/>
      </c>
      <c r="AL753">
        <f>'Grid_Requirement'!AJ6</f>
        <v/>
      </c>
      <c r="AM753">
        <f>'Grid_Requirement'!AK6</f>
        <v/>
      </c>
      <c r="AN753">
        <f>'Grid_Requirement'!AL6</f>
        <v/>
      </c>
      <c r="AO753">
        <f>'Grid_Requirement'!AM6</f>
        <v/>
      </c>
      <c r="AP753">
        <f>'Grid_Requirement'!AN6</f>
        <v/>
      </c>
      <c r="AQ753">
        <f>'Grid_Requirement'!AO6</f>
        <v/>
      </c>
      <c r="AR753">
        <f>'Grid_Requirement'!AP6</f>
        <v/>
      </c>
      <c r="AS753">
        <f>'Grid_Requirement'!AQ6</f>
        <v/>
      </c>
      <c r="AT753">
        <f>'Grid_Requirement'!AR6</f>
        <v/>
      </c>
      <c r="AU753">
        <f>'Grid_Requirement'!AS6</f>
        <v/>
      </c>
      <c r="AV753">
        <f>'Grid_Requirement'!AT6</f>
        <v/>
      </c>
      <c r="AW753">
        <f>'Grid_Requirement'!AU6</f>
        <v/>
      </c>
      <c r="AX753">
        <f>'Grid_Requirement'!AV6</f>
        <v/>
      </c>
      <c r="AY753">
        <f>'Grid_Requirement'!AW6</f>
        <v/>
      </c>
      <c r="AZ753">
        <f>'Grid_Requirement'!AX6</f>
        <v/>
      </c>
      <c r="BA753">
        <f>'Grid_Requirement'!AY6</f>
        <v/>
      </c>
      <c r="BB753">
        <f>'Grid_Requirement'!AZ6</f>
        <v/>
      </c>
      <c r="BC753">
        <f>'Grid_Requirement'!BA6</f>
        <v/>
      </c>
      <c r="BD753">
        <f>'Grid_Requirement'!BB6</f>
        <v/>
      </c>
      <c r="BE753">
        <f>'Grid_Requirement'!BC6</f>
        <v/>
      </c>
      <c r="BF753">
        <f>'Grid_Requirement'!BD6</f>
        <v/>
      </c>
      <c r="BG753">
        <f>'Grid_Requirement'!BE6</f>
        <v/>
      </c>
      <c r="BH753">
        <f>'Grid_Requirement'!BF6</f>
        <v/>
      </c>
      <c r="BI753">
        <f>'Grid_Requirement'!BG6</f>
        <v/>
      </c>
      <c r="BJ753">
        <f>'Grid_Requirement'!BH6</f>
        <v/>
      </c>
      <c r="BK753">
        <f>'Grid_Requirement'!BI6</f>
        <v/>
      </c>
      <c r="BL753">
        <f>'Grid_Requirement'!BJ6</f>
        <v/>
      </c>
      <c r="BM753">
        <f>'Grid_Requirement'!BK6</f>
        <v/>
      </c>
      <c r="BN753">
        <f>'Grid_Requirement'!BL6</f>
        <v/>
      </c>
      <c r="BO753">
        <f>'Grid_Requirement'!BM6</f>
        <v/>
      </c>
      <c r="BP753">
        <f>'Grid_Requirement'!BN6</f>
        <v/>
      </c>
      <c r="BQ753">
        <f>'Grid_Requirement'!BO6</f>
        <v/>
      </c>
      <c r="BR753">
        <f>'Grid_Requirement'!BP6</f>
        <v/>
      </c>
      <c r="BS753">
        <f>'Grid_Requirement'!BQ6</f>
        <v/>
      </c>
      <c r="BT753">
        <f>'Grid_Requirement'!BR6</f>
        <v/>
      </c>
      <c r="BU753">
        <f>'Grid_Requirement'!BS6</f>
        <v/>
      </c>
      <c r="BV753">
        <f>'Grid_Requirement'!BT6</f>
        <v/>
      </c>
      <c r="BW753">
        <f>'Grid_Requirement'!BU6</f>
        <v/>
      </c>
      <c r="BX753">
        <f>'Grid_Requirement'!BV6</f>
        <v/>
      </c>
      <c r="BY753">
        <f>'Grid_Requirement'!BW6</f>
        <v/>
      </c>
      <c r="BZ753">
        <f>'Grid_Requirement'!BX6</f>
        <v/>
      </c>
      <c r="CA753">
        <f>'Grid_Requirement'!BY6</f>
        <v/>
      </c>
      <c r="CB753">
        <f>'Grid_Requirement'!BZ6</f>
        <v/>
      </c>
      <c r="CC753">
        <f>'Grid_Requirement'!CA6</f>
        <v/>
      </c>
      <c r="CD753">
        <f>'Grid_Requirement'!CB6</f>
        <v/>
      </c>
      <c r="CE753">
        <f>'Grid_Requirement'!CC6</f>
        <v/>
      </c>
      <c r="CF753">
        <f>'Grid_Requirement'!CD6</f>
        <v/>
      </c>
      <c r="CG753">
        <f>'Grid_Requirement'!CE6</f>
        <v/>
      </c>
      <c r="CH753">
        <f>'Grid_Requirement'!CF6</f>
        <v/>
      </c>
      <c r="CI753">
        <f>'Grid_Requirement'!CG6</f>
        <v/>
      </c>
      <c r="CJ753">
        <f>'Grid_Requirement'!CH6</f>
        <v/>
      </c>
      <c r="CK753">
        <f>'Grid_Requirement'!CI6</f>
        <v/>
      </c>
      <c r="CL753">
        <f>'Grid_Requirement'!CJ6</f>
        <v/>
      </c>
      <c r="CM753">
        <f>'Grid_Requirement'!CK6</f>
        <v/>
      </c>
      <c r="CN753">
        <f>'Grid_Requirement'!CL6</f>
        <v/>
      </c>
      <c r="CO753">
        <f>'Grid_Requirement'!CM6</f>
        <v/>
      </c>
      <c r="CP753">
        <f>'Grid_Requirement'!CN6</f>
        <v/>
      </c>
      <c r="CQ753">
        <f>'Grid_Requirement'!CO6</f>
        <v/>
      </c>
      <c r="CR753">
        <f>'Grid_Requirement'!CP6</f>
        <v/>
      </c>
      <c r="CS753">
        <f>'Grid_Requirement'!CQ6</f>
        <v/>
      </c>
      <c r="CT753">
        <f>'Grid_Requirement'!CR6</f>
        <v/>
      </c>
      <c r="CU753">
        <f>'Grid_Requirement'!CS6</f>
        <v/>
      </c>
      <c r="CV753">
        <f>'Grid_Requirement'!CT6</f>
        <v/>
      </c>
      <c r="CW753">
        <f>'Grid_Requirement'!CU6</f>
        <v/>
      </c>
      <c r="CX753">
        <f>'Grid_Requirement'!CV6</f>
        <v/>
      </c>
      <c r="CY753">
        <f>'Grid_Requirement'!CW6</f>
        <v/>
      </c>
      <c r="CZ753">
        <f>'Grid_Requirement'!CX6</f>
        <v/>
      </c>
      <c r="DA753">
        <f>'Grid_Requirement'!CY6</f>
        <v/>
      </c>
      <c r="DB753">
        <f>'Grid_Requirement'!CZ6</f>
        <v/>
      </c>
      <c r="DC753">
        <f>'Grid_Requirement'!DA6</f>
        <v/>
      </c>
    </row>
    <row r="754">
      <c r="B754" t="inlineStr">
        <is>
          <t>TTAF在庫(実績,kg)</t>
        </is>
      </c>
      <c r="D754">
        <f>'T_TTAFStock'!B10</f>
        <v/>
      </c>
      <c r="E754">
        <f>'T_TTAFStock'!C10</f>
        <v/>
      </c>
      <c r="F754">
        <f>'T_TTAFStock'!D10</f>
        <v/>
      </c>
      <c r="G754">
        <f>'T_TTAFStock'!E10</f>
        <v/>
      </c>
      <c r="H754">
        <f>'T_TTAFStock'!F10</f>
        <v/>
      </c>
      <c r="I754">
        <f>'T_TTAFStock'!G10</f>
        <v/>
      </c>
      <c r="J754">
        <f>'T_TTAFStock'!H10</f>
        <v/>
      </c>
      <c r="K754">
        <f>'T_TTAFStock'!I10</f>
        <v/>
      </c>
      <c r="L754">
        <f>'T_TTAFStock'!J10</f>
        <v/>
      </c>
      <c r="M754">
        <f>'T_TTAFStock'!K10</f>
        <v/>
      </c>
      <c r="N754">
        <f>'T_TTAFStock'!L10</f>
        <v/>
      </c>
      <c r="O754">
        <f>'T_TTAFStock'!M10</f>
        <v/>
      </c>
      <c r="P754">
        <f>'T_TTAFStock'!N10</f>
        <v/>
      </c>
      <c r="Q754">
        <f>'T_TTAFStock'!O10</f>
        <v/>
      </c>
      <c r="R754">
        <f>'T_TTAFStock'!P10</f>
        <v/>
      </c>
      <c r="S754">
        <f>'T_TTAFStock'!Q10</f>
        <v/>
      </c>
      <c r="T754">
        <f>'T_TTAFStock'!R10</f>
        <v/>
      </c>
      <c r="U754">
        <f>'T_TTAFStock'!S10</f>
        <v/>
      </c>
      <c r="V754">
        <f>'T_TTAFStock'!T10</f>
        <v/>
      </c>
      <c r="W754">
        <f>'T_TTAFStock'!U10</f>
        <v/>
      </c>
      <c r="X754">
        <f>'T_TTAFStock'!V10</f>
        <v/>
      </c>
      <c r="Y754">
        <f>'T_TTAFStock'!W10</f>
        <v/>
      </c>
      <c r="Z754">
        <f>'T_TTAFStock'!X10</f>
        <v/>
      </c>
      <c r="AA754">
        <f>'T_TTAFStock'!Y10</f>
        <v/>
      </c>
      <c r="AB754">
        <f>'T_TTAFStock'!Z10</f>
        <v/>
      </c>
      <c r="AC754">
        <f>'T_TTAFStock'!AA10</f>
        <v/>
      </c>
      <c r="AD754">
        <f>'T_TTAFStock'!AB10</f>
        <v/>
      </c>
      <c r="AE754">
        <f>'T_TTAFStock'!AC10</f>
        <v/>
      </c>
      <c r="AF754">
        <f>'T_TTAFStock'!AD10</f>
        <v/>
      </c>
      <c r="AG754">
        <f>'T_TTAFStock'!AE10</f>
        <v/>
      </c>
      <c r="AH754">
        <f>'T_TTAFStock'!AF10</f>
        <v/>
      </c>
      <c r="AI754">
        <f>'T_TTAFStock'!AG10</f>
        <v/>
      </c>
      <c r="AJ754">
        <f>'T_TTAFStock'!AH10</f>
        <v/>
      </c>
      <c r="AK754">
        <f>'T_TTAFStock'!AI10</f>
        <v/>
      </c>
      <c r="AL754">
        <f>'T_TTAFStock'!AJ10</f>
        <v/>
      </c>
      <c r="AM754">
        <f>'T_TTAFStock'!AK10</f>
        <v/>
      </c>
      <c r="AN754">
        <f>'T_TTAFStock'!AL10</f>
        <v/>
      </c>
      <c r="AO754">
        <f>'T_TTAFStock'!AM10</f>
        <v/>
      </c>
      <c r="AP754">
        <f>'T_TTAFStock'!AN10</f>
        <v/>
      </c>
      <c r="AQ754">
        <f>'T_TTAFStock'!AO10</f>
        <v/>
      </c>
      <c r="AR754">
        <f>'T_TTAFStock'!AP10</f>
        <v/>
      </c>
      <c r="AS754">
        <f>'T_TTAFStock'!AQ10</f>
        <v/>
      </c>
      <c r="AT754">
        <f>'T_TTAFStock'!AR10</f>
        <v/>
      </c>
      <c r="AU754">
        <f>'T_TTAFStock'!AS10</f>
        <v/>
      </c>
      <c r="AV754">
        <f>'T_TTAFStock'!AT10</f>
        <v/>
      </c>
      <c r="AW754">
        <f>'T_TTAFStock'!AU10</f>
        <v/>
      </c>
      <c r="AX754">
        <f>'T_TTAFStock'!AV10</f>
        <v/>
      </c>
      <c r="AY754">
        <f>'T_TTAFStock'!AW10</f>
        <v/>
      </c>
      <c r="AZ754">
        <f>'T_TTAFStock'!AX10</f>
        <v/>
      </c>
      <c r="BA754">
        <f>'T_TTAFStock'!AY10</f>
        <v/>
      </c>
      <c r="BB754">
        <f>'T_TTAFStock'!AZ10</f>
        <v/>
      </c>
      <c r="BC754">
        <f>'T_TTAFStock'!BA10</f>
        <v/>
      </c>
      <c r="BD754">
        <f>'T_TTAFStock'!BB10</f>
        <v/>
      </c>
      <c r="BE754">
        <f>'T_TTAFStock'!BC10</f>
        <v/>
      </c>
      <c r="BF754">
        <f>'T_TTAFStock'!BD10</f>
        <v/>
      </c>
      <c r="BG754">
        <f>'T_TTAFStock'!BE10</f>
        <v/>
      </c>
      <c r="BH754">
        <f>'T_TTAFStock'!BF10</f>
        <v/>
      </c>
      <c r="BI754">
        <f>'T_TTAFStock'!BG10</f>
        <v/>
      </c>
      <c r="BJ754">
        <f>'T_TTAFStock'!BH10</f>
        <v/>
      </c>
      <c r="BK754">
        <f>'T_TTAFStock'!BI10</f>
        <v/>
      </c>
      <c r="BL754">
        <f>'T_TTAFStock'!BJ10</f>
        <v/>
      </c>
      <c r="BM754">
        <f>'T_TTAFStock'!BK10</f>
        <v/>
      </c>
      <c r="BN754">
        <f>'T_TTAFStock'!BL10</f>
        <v/>
      </c>
      <c r="BO754">
        <f>'T_TTAFStock'!BM10</f>
        <v/>
      </c>
      <c r="BP754">
        <f>'T_TTAFStock'!BN10</f>
        <v/>
      </c>
      <c r="BQ754">
        <f>'T_TTAFStock'!BO10</f>
        <v/>
      </c>
      <c r="BR754">
        <f>'T_TTAFStock'!BP10</f>
        <v/>
      </c>
      <c r="BS754">
        <f>'T_TTAFStock'!BQ10</f>
        <v/>
      </c>
      <c r="BT754">
        <f>'T_TTAFStock'!BR10</f>
        <v/>
      </c>
      <c r="BU754">
        <f>'T_TTAFStock'!BS10</f>
        <v/>
      </c>
      <c r="BV754">
        <f>'T_TTAFStock'!BT10</f>
        <v/>
      </c>
      <c r="BW754">
        <f>'T_TTAFStock'!BU10</f>
        <v/>
      </c>
      <c r="BX754">
        <f>'T_TTAFStock'!BV10</f>
        <v/>
      </c>
      <c r="BY754">
        <f>'T_TTAFStock'!BW10</f>
        <v/>
      </c>
      <c r="BZ754">
        <f>'T_TTAFStock'!BX10</f>
        <v/>
      </c>
      <c r="CA754">
        <f>'T_TTAFStock'!BY10</f>
        <v/>
      </c>
      <c r="CB754">
        <f>'T_TTAFStock'!BZ10</f>
        <v/>
      </c>
      <c r="CC754">
        <f>'T_TTAFStock'!CA10</f>
        <v/>
      </c>
      <c r="CD754">
        <f>'T_TTAFStock'!CB10</f>
        <v/>
      </c>
      <c r="CE754">
        <f>'T_TTAFStock'!CC10</f>
        <v/>
      </c>
      <c r="CF754">
        <f>'T_TTAFStock'!CD10</f>
        <v/>
      </c>
      <c r="CG754">
        <f>'T_TTAFStock'!CE10</f>
        <v/>
      </c>
      <c r="CH754">
        <f>'T_TTAFStock'!CF10</f>
        <v/>
      </c>
      <c r="CI754">
        <f>'T_TTAFStock'!CG10</f>
        <v/>
      </c>
      <c r="CJ754">
        <f>'T_TTAFStock'!CH10</f>
        <v/>
      </c>
      <c r="CK754">
        <f>'T_TTAFStock'!CI10</f>
        <v/>
      </c>
      <c r="CL754">
        <f>'T_TTAFStock'!CJ10</f>
        <v/>
      </c>
      <c r="CM754">
        <f>'T_TTAFStock'!CK10</f>
        <v/>
      </c>
      <c r="CN754">
        <f>'T_TTAFStock'!CL10</f>
        <v/>
      </c>
      <c r="CO754">
        <f>'T_TTAFStock'!CM10</f>
        <v/>
      </c>
      <c r="CP754">
        <f>'T_TTAFStock'!CN10</f>
        <v/>
      </c>
      <c r="CQ754">
        <f>'T_TTAFStock'!CO10</f>
        <v/>
      </c>
      <c r="CR754">
        <f>'T_TTAFStock'!CP10</f>
        <v/>
      </c>
      <c r="CS754">
        <f>'T_TTAFStock'!CQ10</f>
        <v/>
      </c>
      <c r="CT754">
        <f>'T_TTAFStock'!CR10</f>
        <v/>
      </c>
      <c r="CU754">
        <f>'T_TTAFStock'!CS10</f>
        <v/>
      </c>
      <c r="CV754">
        <f>'T_TTAFStock'!CT10</f>
        <v/>
      </c>
      <c r="CW754">
        <f>'T_TTAFStock'!CU10</f>
        <v/>
      </c>
      <c r="CX754">
        <f>'T_TTAFStock'!CV10</f>
        <v/>
      </c>
      <c r="CY754">
        <f>'T_TTAFStock'!CW10</f>
        <v/>
      </c>
      <c r="CZ754">
        <f>'T_TTAFStock'!CX10</f>
        <v/>
      </c>
      <c r="DA754">
        <f>'T_TTAFStock'!CY10</f>
        <v/>
      </c>
      <c r="DB754">
        <f>'T_TTAFStock'!CZ10</f>
        <v/>
      </c>
      <c r="DC754">
        <f>'T_TTAFStock'!DA10</f>
        <v/>
      </c>
    </row>
    <row r="755">
      <c r="B755" t="inlineStr">
        <is>
          <t>自社在庫(実績,kg)</t>
        </is>
      </c>
      <c r="D755">
        <f>'T_SelfStock'!B10</f>
        <v/>
      </c>
      <c r="E755">
        <f>'T_SelfStock'!C10</f>
        <v/>
      </c>
      <c r="F755">
        <f>'T_SelfStock'!D10</f>
        <v/>
      </c>
      <c r="G755">
        <f>'T_SelfStock'!E10</f>
        <v/>
      </c>
      <c r="H755">
        <f>'T_SelfStock'!F10</f>
        <v/>
      </c>
      <c r="I755">
        <f>'T_SelfStock'!G10</f>
        <v/>
      </c>
      <c r="J755">
        <f>'T_SelfStock'!H10</f>
        <v/>
      </c>
      <c r="K755">
        <f>'T_SelfStock'!I10</f>
        <v/>
      </c>
      <c r="L755">
        <f>'T_SelfStock'!J10</f>
        <v/>
      </c>
      <c r="M755">
        <f>'T_SelfStock'!K10</f>
        <v/>
      </c>
      <c r="N755">
        <f>'T_SelfStock'!L10</f>
        <v/>
      </c>
      <c r="O755">
        <f>'T_SelfStock'!M10</f>
        <v/>
      </c>
      <c r="P755">
        <f>'T_SelfStock'!N10</f>
        <v/>
      </c>
      <c r="Q755">
        <f>'T_SelfStock'!O10</f>
        <v/>
      </c>
      <c r="R755">
        <f>'T_SelfStock'!P10</f>
        <v/>
      </c>
      <c r="S755">
        <f>'T_SelfStock'!Q10</f>
        <v/>
      </c>
      <c r="T755">
        <f>'T_SelfStock'!R10</f>
        <v/>
      </c>
      <c r="U755">
        <f>'T_SelfStock'!S10</f>
        <v/>
      </c>
      <c r="V755">
        <f>'T_SelfStock'!T10</f>
        <v/>
      </c>
      <c r="W755">
        <f>'T_SelfStock'!U10</f>
        <v/>
      </c>
      <c r="X755">
        <f>'T_SelfStock'!V10</f>
        <v/>
      </c>
      <c r="Y755">
        <f>'T_SelfStock'!W10</f>
        <v/>
      </c>
      <c r="Z755">
        <f>'T_SelfStock'!X10</f>
        <v/>
      </c>
      <c r="AA755">
        <f>'T_SelfStock'!Y10</f>
        <v/>
      </c>
      <c r="AB755">
        <f>'T_SelfStock'!Z10</f>
        <v/>
      </c>
      <c r="AC755">
        <f>'T_SelfStock'!AA10</f>
        <v/>
      </c>
      <c r="AD755">
        <f>'T_SelfStock'!AB10</f>
        <v/>
      </c>
      <c r="AE755">
        <f>'T_SelfStock'!AC10</f>
        <v/>
      </c>
      <c r="AF755">
        <f>'T_SelfStock'!AD10</f>
        <v/>
      </c>
      <c r="AG755">
        <f>'T_SelfStock'!AE10</f>
        <v/>
      </c>
      <c r="AH755">
        <f>'T_SelfStock'!AF10</f>
        <v/>
      </c>
      <c r="AI755">
        <f>'T_SelfStock'!AG10</f>
        <v/>
      </c>
      <c r="AJ755">
        <f>'T_SelfStock'!AH10</f>
        <v/>
      </c>
      <c r="AK755">
        <f>'T_SelfStock'!AI10</f>
        <v/>
      </c>
      <c r="AL755">
        <f>'T_SelfStock'!AJ10</f>
        <v/>
      </c>
      <c r="AM755">
        <f>'T_SelfStock'!AK10</f>
        <v/>
      </c>
      <c r="AN755">
        <f>'T_SelfStock'!AL10</f>
        <v/>
      </c>
      <c r="AO755">
        <f>'T_SelfStock'!AM10</f>
        <v/>
      </c>
      <c r="AP755">
        <f>'T_SelfStock'!AN10</f>
        <v/>
      </c>
      <c r="AQ755">
        <f>'T_SelfStock'!AO10</f>
        <v/>
      </c>
      <c r="AR755">
        <f>'T_SelfStock'!AP10</f>
        <v/>
      </c>
      <c r="AS755">
        <f>'T_SelfStock'!AQ10</f>
        <v/>
      </c>
      <c r="AT755">
        <f>'T_SelfStock'!AR10</f>
        <v/>
      </c>
      <c r="AU755">
        <f>'T_SelfStock'!AS10</f>
        <v/>
      </c>
      <c r="AV755">
        <f>'T_SelfStock'!AT10</f>
        <v/>
      </c>
      <c r="AW755">
        <f>'T_SelfStock'!AU10</f>
        <v/>
      </c>
      <c r="AX755">
        <f>'T_SelfStock'!AV10</f>
        <v/>
      </c>
      <c r="AY755">
        <f>'T_SelfStock'!AW10</f>
        <v/>
      </c>
      <c r="AZ755">
        <f>'T_SelfStock'!AX10</f>
        <v/>
      </c>
      <c r="BA755">
        <f>'T_SelfStock'!AY10</f>
        <v/>
      </c>
      <c r="BB755">
        <f>'T_SelfStock'!AZ10</f>
        <v/>
      </c>
      <c r="BC755">
        <f>'T_SelfStock'!BA10</f>
        <v/>
      </c>
      <c r="BD755">
        <f>'T_SelfStock'!BB10</f>
        <v/>
      </c>
      <c r="BE755">
        <f>'T_SelfStock'!BC10</f>
        <v/>
      </c>
      <c r="BF755">
        <f>'T_SelfStock'!BD10</f>
        <v/>
      </c>
      <c r="BG755">
        <f>'T_SelfStock'!BE10</f>
        <v/>
      </c>
      <c r="BH755">
        <f>'T_SelfStock'!BF10</f>
        <v/>
      </c>
      <c r="BI755">
        <f>'T_SelfStock'!BG10</f>
        <v/>
      </c>
      <c r="BJ755">
        <f>'T_SelfStock'!BH10</f>
        <v/>
      </c>
      <c r="BK755">
        <f>'T_SelfStock'!BI10</f>
        <v/>
      </c>
      <c r="BL755">
        <f>'T_SelfStock'!BJ10</f>
        <v/>
      </c>
      <c r="BM755">
        <f>'T_SelfStock'!BK10</f>
        <v/>
      </c>
      <c r="BN755">
        <f>'T_SelfStock'!BL10</f>
        <v/>
      </c>
      <c r="BO755">
        <f>'T_SelfStock'!BM10</f>
        <v/>
      </c>
      <c r="BP755">
        <f>'T_SelfStock'!BN10</f>
        <v/>
      </c>
      <c r="BQ755">
        <f>'T_SelfStock'!BO10</f>
        <v/>
      </c>
      <c r="BR755">
        <f>'T_SelfStock'!BP10</f>
        <v/>
      </c>
      <c r="BS755">
        <f>'T_SelfStock'!BQ10</f>
        <v/>
      </c>
      <c r="BT755">
        <f>'T_SelfStock'!BR10</f>
        <v/>
      </c>
      <c r="BU755">
        <f>'T_SelfStock'!BS10</f>
        <v/>
      </c>
      <c r="BV755">
        <f>'T_SelfStock'!BT10</f>
        <v/>
      </c>
      <c r="BW755">
        <f>'T_SelfStock'!BU10</f>
        <v/>
      </c>
      <c r="BX755">
        <f>'T_SelfStock'!BV10</f>
        <v/>
      </c>
      <c r="BY755">
        <f>'T_SelfStock'!BW10</f>
        <v/>
      </c>
      <c r="BZ755">
        <f>'T_SelfStock'!BX10</f>
        <v/>
      </c>
      <c r="CA755">
        <f>'T_SelfStock'!BY10</f>
        <v/>
      </c>
      <c r="CB755">
        <f>'T_SelfStock'!BZ10</f>
        <v/>
      </c>
      <c r="CC755">
        <f>'T_SelfStock'!CA10</f>
        <v/>
      </c>
      <c r="CD755">
        <f>'T_SelfStock'!CB10</f>
        <v/>
      </c>
      <c r="CE755">
        <f>'T_SelfStock'!CC10</f>
        <v/>
      </c>
      <c r="CF755">
        <f>'T_SelfStock'!CD10</f>
        <v/>
      </c>
      <c r="CG755">
        <f>'T_SelfStock'!CE10</f>
        <v/>
      </c>
      <c r="CH755">
        <f>'T_SelfStock'!CF10</f>
        <v/>
      </c>
      <c r="CI755">
        <f>'T_SelfStock'!CG10</f>
        <v/>
      </c>
      <c r="CJ755">
        <f>'T_SelfStock'!CH10</f>
        <v/>
      </c>
      <c r="CK755">
        <f>'T_SelfStock'!CI10</f>
        <v/>
      </c>
      <c r="CL755">
        <f>'T_SelfStock'!CJ10</f>
        <v/>
      </c>
      <c r="CM755">
        <f>'T_SelfStock'!CK10</f>
        <v/>
      </c>
      <c r="CN755">
        <f>'T_SelfStock'!CL10</f>
        <v/>
      </c>
      <c r="CO755">
        <f>'T_SelfStock'!CM10</f>
        <v/>
      </c>
      <c r="CP755">
        <f>'T_SelfStock'!CN10</f>
        <v/>
      </c>
      <c r="CQ755">
        <f>'T_SelfStock'!CO10</f>
        <v/>
      </c>
      <c r="CR755">
        <f>'T_SelfStock'!CP10</f>
        <v/>
      </c>
      <c r="CS755">
        <f>'T_SelfStock'!CQ10</f>
        <v/>
      </c>
      <c r="CT755">
        <f>'T_SelfStock'!CR10</f>
        <v/>
      </c>
      <c r="CU755">
        <f>'T_SelfStock'!CS10</f>
        <v/>
      </c>
      <c r="CV755">
        <f>'T_SelfStock'!CT10</f>
        <v/>
      </c>
      <c r="CW755">
        <f>'T_SelfStock'!CU10</f>
        <v/>
      </c>
      <c r="CX755">
        <f>'T_SelfStock'!CV10</f>
        <v/>
      </c>
      <c r="CY755">
        <f>'T_SelfStock'!CW10</f>
        <v/>
      </c>
      <c r="CZ755">
        <f>'T_SelfStock'!CX10</f>
        <v/>
      </c>
      <c r="DA755">
        <f>'T_SelfStock'!CY10</f>
        <v/>
      </c>
      <c r="DB755">
        <f>'T_SelfStock'!CZ10</f>
        <v/>
      </c>
      <c r="DC755">
        <f>'T_SelfStock'!DA10</f>
        <v/>
      </c>
    </row>
    <row r="756">
      <c r="B756" s="4" t="inlineStr">
        <is>
          <t>合計在庫(週末時点,kg)</t>
        </is>
      </c>
      <c r="D756">
        <f>'Grid_Stock'!B6</f>
        <v/>
      </c>
      <c r="E756">
        <f>'Grid_Stock'!C6</f>
        <v/>
      </c>
      <c r="F756">
        <f>'Grid_Stock'!D6</f>
        <v/>
      </c>
      <c r="G756">
        <f>'Grid_Stock'!E6</f>
        <v/>
      </c>
      <c r="H756">
        <f>'Grid_Stock'!F6</f>
        <v/>
      </c>
      <c r="I756">
        <f>'Grid_Stock'!G6</f>
        <v/>
      </c>
      <c r="J756">
        <f>'Grid_Stock'!H6</f>
        <v/>
      </c>
      <c r="K756">
        <f>'Grid_Stock'!I6</f>
        <v/>
      </c>
      <c r="L756">
        <f>'Grid_Stock'!J6</f>
        <v/>
      </c>
      <c r="M756">
        <f>'Grid_Stock'!K6</f>
        <v/>
      </c>
      <c r="N756">
        <f>'Grid_Stock'!L6</f>
        <v/>
      </c>
      <c r="O756">
        <f>'Grid_Stock'!M6</f>
        <v/>
      </c>
      <c r="P756">
        <f>'Grid_Stock'!N6</f>
        <v/>
      </c>
      <c r="Q756">
        <f>'Grid_Stock'!O6</f>
        <v/>
      </c>
      <c r="R756">
        <f>'Grid_Stock'!P6</f>
        <v/>
      </c>
      <c r="S756">
        <f>'Grid_Stock'!Q6</f>
        <v/>
      </c>
      <c r="T756">
        <f>'Grid_Stock'!R6</f>
        <v/>
      </c>
      <c r="U756">
        <f>'Grid_Stock'!S6</f>
        <v/>
      </c>
      <c r="V756">
        <f>'Grid_Stock'!T6</f>
        <v/>
      </c>
      <c r="W756">
        <f>'Grid_Stock'!U6</f>
        <v/>
      </c>
      <c r="X756">
        <f>'Grid_Stock'!V6</f>
        <v/>
      </c>
      <c r="Y756">
        <f>'Grid_Stock'!W6</f>
        <v/>
      </c>
      <c r="Z756">
        <f>'Grid_Stock'!X6</f>
        <v/>
      </c>
      <c r="AA756">
        <f>'Grid_Stock'!Y6</f>
        <v/>
      </c>
      <c r="AB756">
        <f>'Grid_Stock'!Z6</f>
        <v/>
      </c>
      <c r="AC756">
        <f>'Grid_Stock'!AA6</f>
        <v/>
      </c>
      <c r="AD756">
        <f>'Grid_Stock'!AB6</f>
        <v/>
      </c>
      <c r="AE756">
        <f>'Grid_Stock'!AC6</f>
        <v/>
      </c>
      <c r="AF756">
        <f>'Grid_Stock'!AD6</f>
        <v/>
      </c>
      <c r="AG756">
        <f>'Grid_Stock'!AE6</f>
        <v/>
      </c>
      <c r="AH756">
        <f>'Grid_Stock'!AF6</f>
        <v/>
      </c>
      <c r="AI756">
        <f>'Grid_Stock'!AG6</f>
        <v/>
      </c>
      <c r="AJ756">
        <f>'Grid_Stock'!AH6</f>
        <v/>
      </c>
      <c r="AK756">
        <f>'Grid_Stock'!AI6</f>
        <v/>
      </c>
      <c r="AL756">
        <f>'Grid_Stock'!AJ6</f>
        <v/>
      </c>
      <c r="AM756">
        <f>'Grid_Stock'!AK6</f>
        <v/>
      </c>
      <c r="AN756">
        <f>'Grid_Stock'!AL6</f>
        <v/>
      </c>
      <c r="AO756">
        <f>'Grid_Stock'!AM6</f>
        <v/>
      </c>
      <c r="AP756">
        <f>'Grid_Stock'!AN6</f>
        <v/>
      </c>
      <c r="AQ756">
        <f>'Grid_Stock'!AO6</f>
        <v/>
      </c>
      <c r="AR756">
        <f>'Grid_Stock'!AP6</f>
        <v/>
      </c>
      <c r="AS756">
        <f>'Grid_Stock'!AQ6</f>
        <v/>
      </c>
      <c r="AT756">
        <f>'Grid_Stock'!AR6</f>
        <v/>
      </c>
      <c r="AU756">
        <f>'Grid_Stock'!AS6</f>
        <v/>
      </c>
      <c r="AV756">
        <f>'Grid_Stock'!AT6</f>
        <v/>
      </c>
      <c r="AW756">
        <f>'Grid_Stock'!AU6</f>
        <v/>
      </c>
      <c r="AX756">
        <f>'Grid_Stock'!AV6</f>
        <v/>
      </c>
      <c r="AY756">
        <f>'Grid_Stock'!AW6</f>
        <v/>
      </c>
      <c r="AZ756">
        <f>'Grid_Stock'!AX6</f>
        <v/>
      </c>
      <c r="BA756">
        <f>'Grid_Stock'!AY6</f>
        <v/>
      </c>
      <c r="BB756">
        <f>'Grid_Stock'!AZ6</f>
        <v/>
      </c>
      <c r="BC756">
        <f>'Grid_Stock'!BA6</f>
        <v/>
      </c>
      <c r="BD756">
        <f>'Grid_Stock'!BB6</f>
        <v/>
      </c>
      <c r="BE756">
        <f>'Grid_Stock'!BC6</f>
        <v/>
      </c>
      <c r="BF756">
        <f>'Grid_Stock'!BD6</f>
        <v/>
      </c>
      <c r="BG756">
        <f>'Grid_Stock'!BE6</f>
        <v/>
      </c>
      <c r="BH756">
        <f>'Grid_Stock'!BF6</f>
        <v/>
      </c>
      <c r="BI756">
        <f>'Grid_Stock'!BG6</f>
        <v/>
      </c>
      <c r="BJ756">
        <f>'Grid_Stock'!BH6</f>
        <v/>
      </c>
      <c r="BK756">
        <f>'Grid_Stock'!BI6</f>
        <v/>
      </c>
      <c r="BL756">
        <f>'Grid_Stock'!BJ6</f>
        <v/>
      </c>
      <c r="BM756">
        <f>'Grid_Stock'!BK6</f>
        <v/>
      </c>
      <c r="BN756">
        <f>'Grid_Stock'!BL6</f>
        <v/>
      </c>
      <c r="BO756">
        <f>'Grid_Stock'!BM6</f>
        <v/>
      </c>
      <c r="BP756">
        <f>'Grid_Stock'!BN6</f>
        <v/>
      </c>
      <c r="BQ756">
        <f>'Grid_Stock'!BO6</f>
        <v/>
      </c>
      <c r="BR756">
        <f>'Grid_Stock'!BP6</f>
        <v/>
      </c>
      <c r="BS756">
        <f>'Grid_Stock'!BQ6</f>
        <v/>
      </c>
      <c r="BT756">
        <f>'Grid_Stock'!BR6</f>
        <v/>
      </c>
      <c r="BU756">
        <f>'Grid_Stock'!BS6</f>
        <v/>
      </c>
      <c r="BV756">
        <f>'Grid_Stock'!BT6</f>
        <v/>
      </c>
      <c r="BW756">
        <f>'Grid_Stock'!BU6</f>
        <v/>
      </c>
      <c r="BX756">
        <f>'Grid_Stock'!BV6</f>
        <v/>
      </c>
      <c r="BY756">
        <f>'Grid_Stock'!BW6</f>
        <v/>
      </c>
      <c r="BZ756">
        <f>'Grid_Stock'!BX6</f>
        <v/>
      </c>
      <c r="CA756">
        <f>'Grid_Stock'!BY6</f>
        <v/>
      </c>
      <c r="CB756">
        <f>'Grid_Stock'!BZ6</f>
        <v/>
      </c>
      <c r="CC756">
        <f>'Grid_Stock'!CA6</f>
        <v/>
      </c>
      <c r="CD756">
        <f>'Grid_Stock'!CB6</f>
        <v/>
      </c>
      <c r="CE756">
        <f>'Grid_Stock'!CC6</f>
        <v/>
      </c>
      <c r="CF756">
        <f>'Grid_Stock'!CD6</f>
        <v/>
      </c>
      <c r="CG756">
        <f>'Grid_Stock'!CE6</f>
        <v/>
      </c>
      <c r="CH756">
        <f>'Grid_Stock'!CF6</f>
        <v/>
      </c>
      <c r="CI756">
        <f>'Grid_Stock'!CG6</f>
        <v/>
      </c>
      <c r="CJ756">
        <f>'Grid_Stock'!CH6</f>
        <v/>
      </c>
      <c r="CK756">
        <f>'Grid_Stock'!CI6</f>
        <v/>
      </c>
      <c r="CL756">
        <f>'Grid_Stock'!CJ6</f>
        <v/>
      </c>
      <c r="CM756">
        <f>'Grid_Stock'!CK6</f>
        <v/>
      </c>
      <c r="CN756">
        <f>'Grid_Stock'!CL6</f>
        <v/>
      </c>
      <c r="CO756">
        <f>'Grid_Stock'!CM6</f>
        <v/>
      </c>
      <c r="CP756">
        <f>'Grid_Stock'!CN6</f>
        <v/>
      </c>
      <c r="CQ756">
        <f>'Grid_Stock'!CO6</f>
        <v/>
      </c>
      <c r="CR756">
        <f>'Grid_Stock'!CP6</f>
        <v/>
      </c>
      <c r="CS756">
        <f>'Grid_Stock'!CQ6</f>
        <v/>
      </c>
      <c r="CT756">
        <f>'Grid_Stock'!CR6</f>
        <v/>
      </c>
      <c r="CU756">
        <f>'Grid_Stock'!CS6</f>
        <v/>
      </c>
      <c r="CV756">
        <f>'Grid_Stock'!CT6</f>
        <v/>
      </c>
      <c r="CW756">
        <f>'Grid_Stock'!CU6</f>
        <v/>
      </c>
      <c r="CX756">
        <f>'Grid_Stock'!CV6</f>
        <v/>
      </c>
      <c r="CY756">
        <f>'Grid_Stock'!CW6</f>
        <v/>
      </c>
      <c r="CZ756">
        <f>'Grid_Stock'!CX6</f>
        <v/>
      </c>
      <c r="DA756">
        <f>'Grid_Stock'!CY6</f>
        <v/>
      </c>
      <c r="DB756">
        <f>'Grid_Stock'!CZ6</f>
        <v/>
      </c>
      <c r="DC756">
        <f>'Grid_Stock'!DA6</f>
        <v/>
      </c>
    </row>
    <row r="757">
      <c r="B757" s="16" t="inlineStr">
        <is>
          <t>（発注の目安はDashboardの基準在庫[下限/上限]と色分けを参照）</t>
        </is>
      </c>
    </row>
    <row r="759">
      <c r="A759" s="14" t="inlineStr">
        <is>
          <t>CHEM-1650</t>
        </is>
      </c>
      <c r="B759" s="14" t="inlineStr">
        <is>
          <t>DUASYN ACID BLUE AE-SF 30 LIQUID-SN</t>
        </is>
      </c>
      <c r="C759" s="15" t="n"/>
      <c r="D759" s="14" t="n"/>
      <c r="E759" s="14" t="n"/>
      <c r="F759" s="14" t="n"/>
      <c r="G759" s="14" t="n"/>
      <c r="H759" s="14" t="n"/>
      <c r="I759" s="14" t="n"/>
      <c r="J759" s="14" t="n"/>
      <c r="K759" s="14" t="n"/>
      <c r="L759" s="14" t="n"/>
      <c r="M759" s="14" t="n"/>
      <c r="N759" s="14" t="n"/>
      <c r="O759" s="14" t="n"/>
      <c r="P759" s="14" t="n"/>
      <c r="Q759" s="14" t="n"/>
      <c r="R759" s="14" t="n"/>
      <c r="S759" s="14" t="n"/>
      <c r="T759" s="14" t="n"/>
      <c r="U759" s="14" t="n"/>
      <c r="V759" s="14" t="n"/>
      <c r="W759" s="14" t="n"/>
      <c r="X759" s="14" t="n"/>
      <c r="Y759" s="14" t="n"/>
      <c r="Z759" s="14" t="n"/>
      <c r="AA759" s="14" t="n"/>
      <c r="AB759" s="14" t="n"/>
      <c r="AC759" s="14" t="n"/>
      <c r="AD759" s="14" t="n"/>
      <c r="AE759" s="14" t="n"/>
      <c r="AF759" s="14" t="n"/>
      <c r="AG759" s="14" t="n"/>
      <c r="AH759" s="14" t="n"/>
      <c r="AI759" s="14" t="n"/>
      <c r="AJ759" s="14" t="n"/>
      <c r="AK759" s="14" t="n"/>
      <c r="AL759" s="14" t="n"/>
      <c r="AM759" s="14" t="n"/>
      <c r="AN759" s="14" t="n"/>
      <c r="AO759" s="14" t="n"/>
      <c r="AP759" s="14" t="n"/>
      <c r="AQ759" s="14" t="n"/>
      <c r="AR759" s="14" t="n"/>
      <c r="AS759" s="14" t="n"/>
      <c r="AT759" s="14" t="n"/>
      <c r="AU759" s="14" t="n"/>
      <c r="AV759" s="14" t="n"/>
      <c r="AW759" s="14" t="n"/>
      <c r="AX759" s="14" t="n"/>
      <c r="AY759" s="14" t="n"/>
      <c r="AZ759" s="14" t="n"/>
      <c r="BA759" s="14" t="n"/>
      <c r="BB759" s="14" t="n"/>
      <c r="BC759" s="14" t="n"/>
      <c r="BD759" s="14" t="n"/>
      <c r="BE759" s="14" t="n"/>
      <c r="BF759" s="14" t="n"/>
      <c r="BG759" s="14" t="n"/>
      <c r="BH759" s="14" t="n"/>
      <c r="BI759" s="14" t="n"/>
      <c r="BJ759" s="14" t="n"/>
      <c r="BK759" s="14" t="n"/>
      <c r="BL759" s="14" t="n"/>
      <c r="BM759" s="14" t="n"/>
      <c r="BN759" s="14" t="n"/>
      <c r="BO759" s="14" t="n"/>
      <c r="BP759" s="14" t="n"/>
      <c r="BQ759" s="14" t="n"/>
      <c r="BR759" s="14" t="n"/>
      <c r="BS759" s="14" t="n"/>
      <c r="BT759" s="14" t="n"/>
      <c r="BU759" s="14" t="n"/>
      <c r="BV759" s="14" t="n"/>
      <c r="BW759" s="14" t="n"/>
      <c r="BX759" s="14" t="n"/>
      <c r="BY759" s="14" t="n"/>
      <c r="BZ759" s="14" t="n"/>
      <c r="CA759" s="14" t="n"/>
      <c r="CB759" s="14" t="n"/>
      <c r="CC759" s="14" t="n"/>
      <c r="CD759" s="14" t="n"/>
      <c r="CE759" s="14" t="n"/>
      <c r="CF759" s="14" t="n"/>
      <c r="CG759" s="14" t="n"/>
      <c r="CH759" s="14" t="n"/>
      <c r="CI759" s="14" t="n"/>
      <c r="CJ759" s="14" t="n"/>
      <c r="CK759" s="14" t="n"/>
      <c r="CL759" s="14" t="n"/>
      <c r="CM759" s="14" t="n"/>
      <c r="CN759" s="14" t="n"/>
      <c r="CO759" s="14" t="n"/>
      <c r="CP759" s="14" t="n"/>
      <c r="CQ759" s="14" t="n"/>
      <c r="CR759" s="14" t="n"/>
      <c r="CS759" s="14" t="n"/>
      <c r="CT759" s="14" t="n"/>
      <c r="CU759" s="14" t="n"/>
      <c r="CV759" s="14" t="n"/>
      <c r="CW759" s="14" t="n"/>
      <c r="CX759" s="14" t="n"/>
      <c r="CY759" s="14" t="n"/>
      <c r="CZ759" s="14" t="n"/>
      <c r="DA759" s="14" t="n"/>
      <c r="DB759" s="14" t="n"/>
      <c r="DC759" s="14" t="n"/>
    </row>
    <row r="760">
      <c r="B760" t="inlineStr">
        <is>
          <t>TSP-402</t>
        </is>
      </c>
      <c r="C760" t="inlineStr">
        <is>
          <t>No. of batches</t>
        </is>
      </c>
      <c r="D760">
        <f>IFERROR(INDEX(PP_Grid[#Data],$DD760,2),0)</f>
        <v/>
      </c>
      <c r="E760">
        <f>IFERROR(INDEX(PP_Grid[#Data],$DD760,3),0)</f>
        <v/>
      </c>
      <c r="F760">
        <f>IFERROR(INDEX(PP_Grid[#Data],$DD760,4),0)</f>
        <v/>
      </c>
      <c r="G760">
        <f>IFERROR(INDEX(PP_Grid[#Data],$DD760,5),0)</f>
        <v/>
      </c>
      <c r="H760">
        <f>IFERROR(INDEX(PP_Grid[#Data],$DD760,6),0)</f>
        <v/>
      </c>
      <c r="I760">
        <f>IFERROR(INDEX(PP_Grid[#Data],$DD760,7),0)</f>
        <v/>
      </c>
      <c r="J760">
        <f>IFERROR(INDEX(PP_Grid[#Data],$DD760,8),0)</f>
        <v/>
      </c>
      <c r="K760">
        <f>IFERROR(INDEX(PP_Grid[#Data],$DD760,9),0)</f>
        <v/>
      </c>
      <c r="L760">
        <f>IFERROR(INDEX(PP_Grid[#Data],$DD760,10),0)</f>
        <v/>
      </c>
      <c r="M760">
        <f>IFERROR(INDEX(PP_Grid[#Data],$DD760,11),0)</f>
        <v/>
      </c>
      <c r="N760">
        <f>IFERROR(INDEX(PP_Grid[#Data],$DD760,12),0)</f>
        <v/>
      </c>
      <c r="O760">
        <f>IFERROR(INDEX(PP_Grid[#Data],$DD760,13),0)</f>
        <v/>
      </c>
      <c r="P760">
        <f>IFERROR(INDEX(PP_Grid[#Data],$DD760,14),0)</f>
        <v/>
      </c>
      <c r="Q760">
        <f>IFERROR(INDEX(PP_Grid[#Data],$DD760,15),0)</f>
        <v/>
      </c>
      <c r="R760">
        <f>IFERROR(INDEX(PP_Grid[#Data],$DD760,16),0)</f>
        <v/>
      </c>
      <c r="S760">
        <f>IFERROR(INDEX(PP_Grid[#Data],$DD760,17),0)</f>
        <v/>
      </c>
      <c r="T760">
        <f>IFERROR(INDEX(PP_Grid[#Data],$DD760,18),0)</f>
        <v/>
      </c>
      <c r="U760">
        <f>IFERROR(INDEX(PP_Grid[#Data],$DD760,19),0)</f>
        <v/>
      </c>
      <c r="V760">
        <f>IFERROR(INDEX(PP_Grid[#Data],$DD760,20),0)</f>
        <v/>
      </c>
      <c r="W760">
        <f>IFERROR(INDEX(PP_Grid[#Data],$DD760,21),0)</f>
        <v/>
      </c>
      <c r="X760">
        <f>IFERROR(INDEX(PP_Grid[#Data],$DD760,22),0)</f>
        <v/>
      </c>
      <c r="Y760">
        <f>IFERROR(INDEX(PP_Grid[#Data],$DD760,23),0)</f>
        <v/>
      </c>
      <c r="Z760">
        <f>IFERROR(INDEX(PP_Grid[#Data],$DD760,24),0)</f>
        <v/>
      </c>
      <c r="AA760">
        <f>IFERROR(INDEX(PP_Grid[#Data],$DD760,25),0)</f>
        <v/>
      </c>
      <c r="AB760">
        <f>IFERROR(INDEX(PP_Grid[#Data],$DD760,26),0)</f>
        <v/>
      </c>
      <c r="AC760">
        <f>IFERROR(INDEX(PP_Grid[#Data],$DD760,27),0)</f>
        <v/>
      </c>
      <c r="AD760">
        <f>IFERROR(INDEX(PP_Grid[#Data],$DD760,28),0)</f>
        <v/>
      </c>
      <c r="AE760">
        <f>IFERROR(INDEX(PP_Grid[#Data],$DD760,29),0)</f>
        <v/>
      </c>
      <c r="AF760">
        <f>IFERROR(INDEX(PP_Grid[#Data],$DD760,30),0)</f>
        <v/>
      </c>
      <c r="AG760">
        <f>IFERROR(INDEX(PP_Grid[#Data],$DD760,31),0)</f>
        <v/>
      </c>
      <c r="AH760">
        <f>IFERROR(INDEX(PP_Grid[#Data],$DD760,32),0)</f>
        <v/>
      </c>
      <c r="AI760">
        <f>IFERROR(INDEX(PP_Grid[#Data],$DD760,33),0)</f>
        <v/>
      </c>
      <c r="AJ760">
        <f>IFERROR(INDEX(PP_Grid[#Data],$DD760,34),0)</f>
        <v/>
      </c>
      <c r="AK760">
        <f>IFERROR(INDEX(PP_Grid[#Data],$DD760,35),0)</f>
        <v/>
      </c>
      <c r="AL760">
        <f>IFERROR(INDEX(PP_Grid[#Data],$DD760,36),0)</f>
        <v/>
      </c>
      <c r="AM760">
        <f>IFERROR(INDEX(PP_Grid[#Data],$DD760,37),0)</f>
        <v/>
      </c>
      <c r="AN760">
        <f>IFERROR(INDEX(PP_Grid[#Data],$DD760,38),0)</f>
        <v/>
      </c>
      <c r="AO760">
        <f>IFERROR(INDEX(PP_Grid[#Data],$DD760,39),0)</f>
        <v/>
      </c>
      <c r="AP760">
        <f>IFERROR(INDEX(PP_Grid[#Data],$DD760,40),0)</f>
        <v/>
      </c>
      <c r="AQ760">
        <f>IFERROR(INDEX(PP_Grid[#Data],$DD760,41),0)</f>
        <v/>
      </c>
      <c r="AR760">
        <f>IFERROR(INDEX(PP_Grid[#Data],$DD760,42),0)</f>
        <v/>
      </c>
      <c r="AS760">
        <f>IFERROR(INDEX(PP_Grid[#Data],$DD760,43),0)</f>
        <v/>
      </c>
      <c r="AT760">
        <f>IFERROR(INDEX(PP_Grid[#Data],$DD760,44),0)</f>
        <v/>
      </c>
      <c r="AU760">
        <f>IFERROR(INDEX(PP_Grid[#Data],$DD760,45),0)</f>
        <v/>
      </c>
      <c r="AV760">
        <f>IFERROR(INDEX(PP_Grid[#Data],$DD760,46),0)</f>
        <v/>
      </c>
      <c r="AW760">
        <f>IFERROR(INDEX(PP_Grid[#Data],$DD760,47),0)</f>
        <v/>
      </c>
      <c r="AX760">
        <f>IFERROR(INDEX(PP_Grid[#Data],$DD760,48),0)</f>
        <v/>
      </c>
      <c r="AY760">
        <f>IFERROR(INDEX(PP_Grid[#Data],$DD760,49),0)</f>
        <v/>
      </c>
      <c r="AZ760">
        <f>IFERROR(INDEX(PP_Grid[#Data],$DD760,50),0)</f>
        <v/>
      </c>
      <c r="BA760">
        <f>IFERROR(INDEX(PP_Grid[#Data],$DD760,51),0)</f>
        <v/>
      </c>
      <c r="BB760">
        <f>IFERROR(INDEX(PP_Grid[#Data],$DD760,52),0)</f>
        <v/>
      </c>
      <c r="BC760">
        <f>IFERROR(INDEX(PP_Grid[#Data],$DD760,53),0)</f>
        <v/>
      </c>
      <c r="BD760">
        <f>IFERROR(INDEX(PP_Grid[#Data],$DD760,54),0)</f>
        <v/>
      </c>
      <c r="BE760">
        <f>IFERROR(INDEX(PP_Grid[#Data],$DD760,55),0)</f>
        <v/>
      </c>
      <c r="BF760">
        <f>IFERROR(INDEX(PP_Grid[#Data],$DD760,56),0)</f>
        <v/>
      </c>
      <c r="BG760">
        <f>IFERROR(INDEX(PP_Grid[#Data],$DD760,57),0)</f>
        <v/>
      </c>
      <c r="BH760">
        <f>IFERROR(INDEX(PP_Grid[#Data],$DD760,58),0)</f>
        <v/>
      </c>
      <c r="BI760">
        <f>IFERROR(INDEX(PP_Grid[#Data],$DD760,59),0)</f>
        <v/>
      </c>
      <c r="BJ760">
        <f>IFERROR(INDEX(PP_Grid[#Data],$DD760,60),0)</f>
        <v/>
      </c>
      <c r="BK760">
        <f>IFERROR(INDEX(PP_Grid[#Data],$DD760,61),0)</f>
        <v/>
      </c>
      <c r="BL760">
        <f>IFERROR(INDEX(PP_Grid[#Data],$DD760,62),0)</f>
        <v/>
      </c>
      <c r="BM760">
        <f>IFERROR(INDEX(PP_Grid[#Data],$DD760,63),0)</f>
        <v/>
      </c>
      <c r="BN760">
        <f>IFERROR(INDEX(PP_Grid[#Data],$DD760,64),0)</f>
        <v/>
      </c>
      <c r="BO760">
        <f>IFERROR(INDEX(PP_Grid[#Data],$DD760,65),0)</f>
        <v/>
      </c>
      <c r="BP760">
        <f>IFERROR(INDEX(PP_Grid[#Data],$DD760,66),0)</f>
        <v/>
      </c>
      <c r="BQ760">
        <f>IFERROR(INDEX(PP_Grid[#Data],$DD760,67),0)</f>
        <v/>
      </c>
      <c r="BR760">
        <f>IFERROR(INDEX(PP_Grid[#Data],$DD760,68),0)</f>
        <v/>
      </c>
      <c r="BS760">
        <f>IFERROR(INDEX(PP_Grid[#Data],$DD760,69),0)</f>
        <v/>
      </c>
      <c r="BT760">
        <f>IFERROR(INDEX(PP_Grid[#Data],$DD760,70),0)</f>
        <v/>
      </c>
      <c r="BU760">
        <f>IFERROR(INDEX(PP_Grid[#Data],$DD760,71),0)</f>
        <v/>
      </c>
      <c r="BV760">
        <f>IFERROR(INDEX(PP_Grid[#Data],$DD760,72),0)</f>
        <v/>
      </c>
      <c r="BW760">
        <f>IFERROR(INDEX(PP_Grid[#Data],$DD760,73),0)</f>
        <v/>
      </c>
      <c r="BX760">
        <f>IFERROR(INDEX(PP_Grid[#Data],$DD760,74),0)</f>
        <v/>
      </c>
      <c r="BY760">
        <f>IFERROR(INDEX(PP_Grid[#Data],$DD760,75),0)</f>
        <v/>
      </c>
      <c r="BZ760">
        <f>IFERROR(INDEX(PP_Grid[#Data],$DD760,76),0)</f>
        <v/>
      </c>
      <c r="CA760">
        <f>IFERROR(INDEX(PP_Grid[#Data],$DD760,77),0)</f>
        <v/>
      </c>
      <c r="CB760">
        <f>IFERROR(INDEX(PP_Grid[#Data],$DD760,78),0)</f>
        <v/>
      </c>
      <c r="CC760">
        <f>IFERROR(INDEX(PP_Grid[#Data],$DD760,79),0)</f>
        <v/>
      </c>
      <c r="CD760">
        <f>IFERROR(INDEX(PP_Grid[#Data],$DD760,80),0)</f>
        <v/>
      </c>
      <c r="CE760">
        <f>IFERROR(INDEX(PP_Grid[#Data],$DD760,81),0)</f>
        <v/>
      </c>
      <c r="CF760">
        <f>IFERROR(INDEX(PP_Grid[#Data],$DD760,82),0)</f>
        <v/>
      </c>
      <c r="CG760">
        <f>IFERROR(INDEX(PP_Grid[#Data],$DD760,83),0)</f>
        <v/>
      </c>
      <c r="CH760">
        <f>IFERROR(INDEX(PP_Grid[#Data],$DD760,84),0)</f>
        <v/>
      </c>
      <c r="CI760">
        <f>IFERROR(INDEX(PP_Grid[#Data],$DD760,85),0)</f>
        <v/>
      </c>
      <c r="CJ760">
        <f>IFERROR(INDEX(PP_Grid[#Data],$DD760,86),0)</f>
        <v/>
      </c>
      <c r="CK760">
        <f>IFERROR(INDEX(PP_Grid[#Data],$DD760,87),0)</f>
        <v/>
      </c>
      <c r="CL760">
        <f>IFERROR(INDEX(PP_Grid[#Data],$DD760,88),0)</f>
        <v/>
      </c>
      <c r="CM760">
        <f>IFERROR(INDEX(PP_Grid[#Data],$DD760,89),0)</f>
        <v/>
      </c>
      <c r="CN760">
        <f>IFERROR(INDEX(PP_Grid[#Data],$DD760,90),0)</f>
        <v/>
      </c>
      <c r="CO760">
        <f>IFERROR(INDEX(PP_Grid[#Data],$DD760,91),0)</f>
        <v/>
      </c>
      <c r="CP760">
        <f>IFERROR(INDEX(PP_Grid[#Data],$DD760,92),0)</f>
        <v/>
      </c>
      <c r="CQ760">
        <f>IFERROR(INDEX(PP_Grid[#Data],$DD760,93),0)</f>
        <v/>
      </c>
      <c r="CR760">
        <f>IFERROR(INDEX(PP_Grid[#Data],$DD760,94),0)</f>
        <v/>
      </c>
      <c r="CS760">
        <f>IFERROR(INDEX(PP_Grid[#Data],$DD760,95),0)</f>
        <v/>
      </c>
      <c r="CT760">
        <f>IFERROR(INDEX(PP_Grid[#Data],$DD760,96),0)</f>
        <v/>
      </c>
      <c r="CU760">
        <f>IFERROR(INDEX(PP_Grid[#Data],$DD760,97),0)</f>
        <v/>
      </c>
      <c r="CV760">
        <f>IFERROR(INDEX(PP_Grid[#Data],$DD760,98),0)</f>
        <v/>
      </c>
      <c r="CW760">
        <f>IFERROR(INDEX(PP_Grid[#Data],$DD760,99),0)</f>
        <v/>
      </c>
      <c r="CX760">
        <f>IFERROR(INDEX(PP_Grid[#Data],$DD760,100),0)</f>
        <v/>
      </c>
      <c r="CY760">
        <f>IFERROR(INDEX(PP_Grid[#Data],$DD760,101),0)</f>
        <v/>
      </c>
      <c r="CZ760">
        <f>IFERROR(INDEX(PP_Grid[#Data],$DD760,102),0)</f>
        <v/>
      </c>
      <c r="DA760">
        <f>IFERROR(INDEX(PP_Grid[#Data],$DD760,103),0)</f>
        <v/>
      </c>
      <c r="DB760">
        <f>IFERROR(INDEX(PP_Grid[#Data],$DD760,104),0)</f>
        <v/>
      </c>
      <c r="DC760">
        <f>IFERROR(INDEX(PP_Grid[#Data],$DD760,105),0)</f>
        <v/>
      </c>
      <c r="DD760" s="7">
        <f>IFERROR(MATCH($B760,PP_Grid[Intermediate],0),99999)</f>
        <v/>
      </c>
    </row>
    <row r="761">
      <c r="B761" t="inlineStr">
        <is>
          <t>使用量(kg)</t>
        </is>
      </c>
      <c r="C761">
        <f>SUMIFS(M_BOM[RM_Qty_Per_Batch],M_BOM[Intermediate],$B760,M_BOM[Part Name],$A759)</f>
        <v/>
      </c>
      <c r="D761">
        <f>$C761*D760</f>
        <v/>
      </c>
      <c r="E761">
        <f>$C761*E760</f>
        <v/>
      </c>
      <c r="F761">
        <f>$C761*F760</f>
        <v/>
      </c>
      <c r="G761">
        <f>$C761*G760</f>
        <v/>
      </c>
      <c r="H761">
        <f>$C761*H760</f>
        <v/>
      </c>
      <c r="I761">
        <f>$C761*I760</f>
        <v/>
      </c>
      <c r="J761">
        <f>$C761*J760</f>
        <v/>
      </c>
      <c r="K761">
        <f>$C761*K760</f>
        <v/>
      </c>
      <c r="L761">
        <f>$C761*L760</f>
        <v/>
      </c>
      <c r="M761">
        <f>$C761*M760</f>
        <v/>
      </c>
      <c r="N761">
        <f>$C761*N760</f>
        <v/>
      </c>
      <c r="O761">
        <f>$C761*O760</f>
        <v/>
      </c>
      <c r="P761">
        <f>$C761*P760</f>
        <v/>
      </c>
      <c r="Q761">
        <f>$C761*Q760</f>
        <v/>
      </c>
      <c r="R761">
        <f>$C761*R760</f>
        <v/>
      </c>
      <c r="S761">
        <f>$C761*S760</f>
        <v/>
      </c>
      <c r="T761">
        <f>$C761*T760</f>
        <v/>
      </c>
      <c r="U761">
        <f>$C761*U760</f>
        <v/>
      </c>
      <c r="V761">
        <f>$C761*V760</f>
        <v/>
      </c>
      <c r="W761">
        <f>$C761*W760</f>
        <v/>
      </c>
      <c r="X761">
        <f>$C761*X760</f>
        <v/>
      </c>
      <c r="Y761">
        <f>$C761*Y760</f>
        <v/>
      </c>
      <c r="Z761">
        <f>$C761*Z760</f>
        <v/>
      </c>
      <c r="AA761">
        <f>$C761*AA760</f>
        <v/>
      </c>
      <c r="AB761">
        <f>$C761*AB760</f>
        <v/>
      </c>
      <c r="AC761">
        <f>$C761*AC760</f>
        <v/>
      </c>
      <c r="AD761">
        <f>$C761*AD760</f>
        <v/>
      </c>
      <c r="AE761">
        <f>$C761*AE760</f>
        <v/>
      </c>
      <c r="AF761">
        <f>$C761*AF760</f>
        <v/>
      </c>
      <c r="AG761">
        <f>$C761*AG760</f>
        <v/>
      </c>
      <c r="AH761">
        <f>$C761*AH760</f>
        <v/>
      </c>
      <c r="AI761">
        <f>$C761*AI760</f>
        <v/>
      </c>
      <c r="AJ761">
        <f>$C761*AJ760</f>
        <v/>
      </c>
      <c r="AK761">
        <f>$C761*AK760</f>
        <v/>
      </c>
      <c r="AL761">
        <f>$C761*AL760</f>
        <v/>
      </c>
      <c r="AM761">
        <f>$C761*AM760</f>
        <v/>
      </c>
      <c r="AN761">
        <f>$C761*AN760</f>
        <v/>
      </c>
      <c r="AO761">
        <f>$C761*AO760</f>
        <v/>
      </c>
      <c r="AP761">
        <f>$C761*AP760</f>
        <v/>
      </c>
      <c r="AQ761">
        <f>$C761*AQ760</f>
        <v/>
      </c>
      <c r="AR761">
        <f>$C761*AR760</f>
        <v/>
      </c>
      <c r="AS761">
        <f>$C761*AS760</f>
        <v/>
      </c>
      <c r="AT761">
        <f>$C761*AT760</f>
        <v/>
      </c>
      <c r="AU761">
        <f>$C761*AU760</f>
        <v/>
      </c>
      <c r="AV761">
        <f>$C761*AV760</f>
        <v/>
      </c>
      <c r="AW761">
        <f>$C761*AW760</f>
        <v/>
      </c>
      <c r="AX761">
        <f>$C761*AX760</f>
        <v/>
      </c>
      <c r="AY761">
        <f>$C761*AY760</f>
        <v/>
      </c>
      <c r="AZ761">
        <f>$C761*AZ760</f>
        <v/>
      </c>
      <c r="BA761">
        <f>$C761*BA760</f>
        <v/>
      </c>
      <c r="BB761">
        <f>$C761*BB760</f>
        <v/>
      </c>
      <c r="BC761">
        <f>$C761*BC760</f>
        <v/>
      </c>
      <c r="BD761">
        <f>$C761*BD760</f>
        <v/>
      </c>
      <c r="BE761">
        <f>$C761*BE760</f>
        <v/>
      </c>
      <c r="BF761">
        <f>$C761*BF760</f>
        <v/>
      </c>
      <c r="BG761">
        <f>$C761*BG760</f>
        <v/>
      </c>
      <c r="BH761">
        <f>$C761*BH760</f>
        <v/>
      </c>
      <c r="BI761">
        <f>$C761*BI760</f>
        <v/>
      </c>
      <c r="BJ761">
        <f>$C761*BJ760</f>
        <v/>
      </c>
      <c r="BK761">
        <f>$C761*BK760</f>
        <v/>
      </c>
      <c r="BL761">
        <f>$C761*BL760</f>
        <v/>
      </c>
      <c r="BM761">
        <f>$C761*BM760</f>
        <v/>
      </c>
      <c r="BN761">
        <f>$C761*BN760</f>
        <v/>
      </c>
      <c r="BO761">
        <f>$C761*BO760</f>
        <v/>
      </c>
      <c r="BP761">
        <f>$C761*BP760</f>
        <v/>
      </c>
      <c r="BQ761">
        <f>$C761*BQ760</f>
        <v/>
      </c>
      <c r="BR761">
        <f>$C761*BR760</f>
        <v/>
      </c>
      <c r="BS761">
        <f>$C761*BS760</f>
        <v/>
      </c>
      <c r="BT761">
        <f>$C761*BT760</f>
        <v/>
      </c>
      <c r="BU761">
        <f>$C761*BU760</f>
        <v/>
      </c>
      <c r="BV761">
        <f>$C761*BV760</f>
        <v/>
      </c>
      <c r="BW761">
        <f>$C761*BW760</f>
        <v/>
      </c>
      <c r="BX761">
        <f>$C761*BX760</f>
        <v/>
      </c>
      <c r="BY761">
        <f>$C761*BY760</f>
        <v/>
      </c>
      <c r="BZ761">
        <f>$C761*BZ760</f>
        <v/>
      </c>
      <c r="CA761">
        <f>$C761*CA760</f>
        <v/>
      </c>
      <c r="CB761">
        <f>$C761*CB760</f>
        <v/>
      </c>
      <c r="CC761">
        <f>$C761*CC760</f>
        <v/>
      </c>
      <c r="CD761">
        <f>$C761*CD760</f>
        <v/>
      </c>
      <c r="CE761">
        <f>$C761*CE760</f>
        <v/>
      </c>
      <c r="CF761">
        <f>$C761*CF760</f>
        <v/>
      </c>
      <c r="CG761">
        <f>$C761*CG760</f>
        <v/>
      </c>
      <c r="CH761">
        <f>$C761*CH760</f>
        <v/>
      </c>
      <c r="CI761">
        <f>$C761*CI760</f>
        <v/>
      </c>
      <c r="CJ761">
        <f>$C761*CJ760</f>
        <v/>
      </c>
      <c r="CK761">
        <f>$C761*CK760</f>
        <v/>
      </c>
      <c r="CL761">
        <f>$C761*CL760</f>
        <v/>
      </c>
      <c r="CM761">
        <f>$C761*CM760</f>
        <v/>
      </c>
      <c r="CN761">
        <f>$C761*CN760</f>
        <v/>
      </c>
      <c r="CO761">
        <f>$C761*CO760</f>
        <v/>
      </c>
      <c r="CP761">
        <f>$C761*CP760</f>
        <v/>
      </c>
      <c r="CQ761">
        <f>$C761*CQ760</f>
        <v/>
      </c>
      <c r="CR761">
        <f>$C761*CR760</f>
        <v/>
      </c>
      <c r="CS761">
        <f>$C761*CS760</f>
        <v/>
      </c>
      <c r="CT761">
        <f>$C761*CT760</f>
        <v/>
      </c>
      <c r="CU761">
        <f>$C761*CU760</f>
        <v/>
      </c>
      <c r="CV761">
        <f>$C761*CV760</f>
        <v/>
      </c>
      <c r="CW761">
        <f>$C761*CW760</f>
        <v/>
      </c>
      <c r="CX761">
        <f>$C761*CX760</f>
        <v/>
      </c>
      <c r="CY761">
        <f>$C761*CY760</f>
        <v/>
      </c>
      <c r="CZ761">
        <f>$C761*CZ760</f>
        <v/>
      </c>
      <c r="DA761">
        <f>$C761*DA760</f>
        <v/>
      </c>
      <c r="DB761">
        <f>$C761*DB760</f>
        <v/>
      </c>
      <c r="DC761">
        <f>$C761*DC760</f>
        <v/>
      </c>
    </row>
    <row r="762">
      <c r="B762" t="inlineStr">
        <is>
          <t>TSP-403</t>
        </is>
      </c>
      <c r="C762" t="inlineStr">
        <is>
          <t>No. of batches</t>
        </is>
      </c>
      <c r="D762">
        <f>IFERROR(INDEX(PP_Grid[#Data],$DD762,2),0)</f>
        <v/>
      </c>
      <c r="E762">
        <f>IFERROR(INDEX(PP_Grid[#Data],$DD762,3),0)</f>
        <v/>
      </c>
      <c r="F762">
        <f>IFERROR(INDEX(PP_Grid[#Data],$DD762,4),0)</f>
        <v/>
      </c>
      <c r="G762">
        <f>IFERROR(INDEX(PP_Grid[#Data],$DD762,5),0)</f>
        <v/>
      </c>
      <c r="H762">
        <f>IFERROR(INDEX(PP_Grid[#Data],$DD762,6),0)</f>
        <v/>
      </c>
      <c r="I762">
        <f>IFERROR(INDEX(PP_Grid[#Data],$DD762,7),0)</f>
        <v/>
      </c>
      <c r="J762">
        <f>IFERROR(INDEX(PP_Grid[#Data],$DD762,8),0)</f>
        <v/>
      </c>
      <c r="K762">
        <f>IFERROR(INDEX(PP_Grid[#Data],$DD762,9),0)</f>
        <v/>
      </c>
      <c r="L762">
        <f>IFERROR(INDEX(PP_Grid[#Data],$DD762,10),0)</f>
        <v/>
      </c>
      <c r="M762">
        <f>IFERROR(INDEX(PP_Grid[#Data],$DD762,11),0)</f>
        <v/>
      </c>
      <c r="N762">
        <f>IFERROR(INDEX(PP_Grid[#Data],$DD762,12),0)</f>
        <v/>
      </c>
      <c r="O762">
        <f>IFERROR(INDEX(PP_Grid[#Data],$DD762,13),0)</f>
        <v/>
      </c>
      <c r="P762">
        <f>IFERROR(INDEX(PP_Grid[#Data],$DD762,14),0)</f>
        <v/>
      </c>
      <c r="Q762">
        <f>IFERROR(INDEX(PP_Grid[#Data],$DD762,15),0)</f>
        <v/>
      </c>
      <c r="R762">
        <f>IFERROR(INDEX(PP_Grid[#Data],$DD762,16),0)</f>
        <v/>
      </c>
      <c r="S762">
        <f>IFERROR(INDEX(PP_Grid[#Data],$DD762,17),0)</f>
        <v/>
      </c>
      <c r="T762">
        <f>IFERROR(INDEX(PP_Grid[#Data],$DD762,18),0)</f>
        <v/>
      </c>
      <c r="U762">
        <f>IFERROR(INDEX(PP_Grid[#Data],$DD762,19),0)</f>
        <v/>
      </c>
      <c r="V762">
        <f>IFERROR(INDEX(PP_Grid[#Data],$DD762,20),0)</f>
        <v/>
      </c>
      <c r="W762">
        <f>IFERROR(INDEX(PP_Grid[#Data],$DD762,21),0)</f>
        <v/>
      </c>
      <c r="X762">
        <f>IFERROR(INDEX(PP_Grid[#Data],$DD762,22),0)</f>
        <v/>
      </c>
      <c r="Y762">
        <f>IFERROR(INDEX(PP_Grid[#Data],$DD762,23),0)</f>
        <v/>
      </c>
      <c r="Z762">
        <f>IFERROR(INDEX(PP_Grid[#Data],$DD762,24),0)</f>
        <v/>
      </c>
      <c r="AA762">
        <f>IFERROR(INDEX(PP_Grid[#Data],$DD762,25),0)</f>
        <v/>
      </c>
      <c r="AB762">
        <f>IFERROR(INDEX(PP_Grid[#Data],$DD762,26),0)</f>
        <v/>
      </c>
      <c r="AC762">
        <f>IFERROR(INDEX(PP_Grid[#Data],$DD762,27),0)</f>
        <v/>
      </c>
      <c r="AD762">
        <f>IFERROR(INDEX(PP_Grid[#Data],$DD762,28),0)</f>
        <v/>
      </c>
      <c r="AE762">
        <f>IFERROR(INDEX(PP_Grid[#Data],$DD762,29),0)</f>
        <v/>
      </c>
      <c r="AF762">
        <f>IFERROR(INDEX(PP_Grid[#Data],$DD762,30),0)</f>
        <v/>
      </c>
      <c r="AG762">
        <f>IFERROR(INDEX(PP_Grid[#Data],$DD762,31),0)</f>
        <v/>
      </c>
      <c r="AH762">
        <f>IFERROR(INDEX(PP_Grid[#Data],$DD762,32),0)</f>
        <v/>
      </c>
      <c r="AI762">
        <f>IFERROR(INDEX(PP_Grid[#Data],$DD762,33),0)</f>
        <v/>
      </c>
      <c r="AJ762">
        <f>IFERROR(INDEX(PP_Grid[#Data],$DD762,34),0)</f>
        <v/>
      </c>
      <c r="AK762">
        <f>IFERROR(INDEX(PP_Grid[#Data],$DD762,35),0)</f>
        <v/>
      </c>
      <c r="AL762">
        <f>IFERROR(INDEX(PP_Grid[#Data],$DD762,36),0)</f>
        <v/>
      </c>
      <c r="AM762">
        <f>IFERROR(INDEX(PP_Grid[#Data],$DD762,37),0)</f>
        <v/>
      </c>
      <c r="AN762">
        <f>IFERROR(INDEX(PP_Grid[#Data],$DD762,38),0)</f>
        <v/>
      </c>
      <c r="AO762">
        <f>IFERROR(INDEX(PP_Grid[#Data],$DD762,39),0)</f>
        <v/>
      </c>
      <c r="AP762">
        <f>IFERROR(INDEX(PP_Grid[#Data],$DD762,40),0)</f>
        <v/>
      </c>
      <c r="AQ762">
        <f>IFERROR(INDEX(PP_Grid[#Data],$DD762,41),0)</f>
        <v/>
      </c>
      <c r="AR762">
        <f>IFERROR(INDEX(PP_Grid[#Data],$DD762,42),0)</f>
        <v/>
      </c>
      <c r="AS762">
        <f>IFERROR(INDEX(PP_Grid[#Data],$DD762,43),0)</f>
        <v/>
      </c>
      <c r="AT762">
        <f>IFERROR(INDEX(PP_Grid[#Data],$DD762,44),0)</f>
        <v/>
      </c>
      <c r="AU762">
        <f>IFERROR(INDEX(PP_Grid[#Data],$DD762,45),0)</f>
        <v/>
      </c>
      <c r="AV762">
        <f>IFERROR(INDEX(PP_Grid[#Data],$DD762,46),0)</f>
        <v/>
      </c>
      <c r="AW762">
        <f>IFERROR(INDEX(PP_Grid[#Data],$DD762,47),0)</f>
        <v/>
      </c>
      <c r="AX762">
        <f>IFERROR(INDEX(PP_Grid[#Data],$DD762,48),0)</f>
        <v/>
      </c>
      <c r="AY762">
        <f>IFERROR(INDEX(PP_Grid[#Data],$DD762,49),0)</f>
        <v/>
      </c>
      <c r="AZ762">
        <f>IFERROR(INDEX(PP_Grid[#Data],$DD762,50),0)</f>
        <v/>
      </c>
      <c r="BA762">
        <f>IFERROR(INDEX(PP_Grid[#Data],$DD762,51),0)</f>
        <v/>
      </c>
      <c r="BB762">
        <f>IFERROR(INDEX(PP_Grid[#Data],$DD762,52),0)</f>
        <v/>
      </c>
      <c r="BC762">
        <f>IFERROR(INDEX(PP_Grid[#Data],$DD762,53),0)</f>
        <v/>
      </c>
      <c r="BD762">
        <f>IFERROR(INDEX(PP_Grid[#Data],$DD762,54),0)</f>
        <v/>
      </c>
      <c r="BE762">
        <f>IFERROR(INDEX(PP_Grid[#Data],$DD762,55),0)</f>
        <v/>
      </c>
      <c r="BF762">
        <f>IFERROR(INDEX(PP_Grid[#Data],$DD762,56),0)</f>
        <v/>
      </c>
      <c r="BG762">
        <f>IFERROR(INDEX(PP_Grid[#Data],$DD762,57),0)</f>
        <v/>
      </c>
      <c r="BH762">
        <f>IFERROR(INDEX(PP_Grid[#Data],$DD762,58),0)</f>
        <v/>
      </c>
      <c r="BI762">
        <f>IFERROR(INDEX(PP_Grid[#Data],$DD762,59),0)</f>
        <v/>
      </c>
      <c r="BJ762">
        <f>IFERROR(INDEX(PP_Grid[#Data],$DD762,60),0)</f>
        <v/>
      </c>
      <c r="BK762">
        <f>IFERROR(INDEX(PP_Grid[#Data],$DD762,61),0)</f>
        <v/>
      </c>
      <c r="BL762">
        <f>IFERROR(INDEX(PP_Grid[#Data],$DD762,62),0)</f>
        <v/>
      </c>
      <c r="BM762">
        <f>IFERROR(INDEX(PP_Grid[#Data],$DD762,63),0)</f>
        <v/>
      </c>
      <c r="BN762">
        <f>IFERROR(INDEX(PP_Grid[#Data],$DD762,64),0)</f>
        <v/>
      </c>
      <c r="BO762">
        <f>IFERROR(INDEX(PP_Grid[#Data],$DD762,65),0)</f>
        <v/>
      </c>
      <c r="BP762">
        <f>IFERROR(INDEX(PP_Grid[#Data],$DD762,66),0)</f>
        <v/>
      </c>
      <c r="BQ762">
        <f>IFERROR(INDEX(PP_Grid[#Data],$DD762,67),0)</f>
        <v/>
      </c>
      <c r="BR762">
        <f>IFERROR(INDEX(PP_Grid[#Data],$DD762,68),0)</f>
        <v/>
      </c>
      <c r="BS762">
        <f>IFERROR(INDEX(PP_Grid[#Data],$DD762,69),0)</f>
        <v/>
      </c>
      <c r="BT762">
        <f>IFERROR(INDEX(PP_Grid[#Data],$DD762,70),0)</f>
        <v/>
      </c>
      <c r="BU762">
        <f>IFERROR(INDEX(PP_Grid[#Data],$DD762,71),0)</f>
        <v/>
      </c>
      <c r="BV762">
        <f>IFERROR(INDEX(PP_Grid[#Data],$DD762,72),0)</f>
        <v/>
      </c>
      <c r="BW762">
        <f>IFERROR(INDEX(PP_Grid[#Data],$DD762,73),0)</f>
        <v/>
      </c>
      <c r="BX762">
        <f>IFERROR(INDEX(PP_Grid[#Data],$DD762,74),0)</f>
        <v/>
      </c>
      <c r="BY762">
        <f>IFERROR(INDEX(PP_Grid[#Data],$DD762,75),0)</f>
        <v/>
      </c>
      <c r="BZ762">
        <f>IFERROR(INDEX(PP_Grid[#Data],$DD762,76),0)</f>
        <v/>
      </c>
      <c r="CA762">
        <f>IFERROR(INDEX(PP_Grid[#Data],$DD762,77),0)</f>
        <v/>
      </c>
      <c r="CB762">
        <f>IFERROR(INDEX(PP_Grid[#Data],$DD762,78),0)</f>
        <v/>
      </c>
      <c r="CC762">
        <f>IFERROR(INDEX(PP_Grid[#Data],$DD762,79),0)</f>
        <v/>
      </c>
      <c r="CD762">
        <f>IFERROR(INDEX(PP_Grid[#Data],$DD762,80),0)</f>
        <v/>
      </c>
      <c r="CE762">
        <f>IFERROR(INDEX(PP_Grid[#Data],$DD762,81),0)</f>
        <v/>
      </c>
      <c r="CF762">
        <f>IFERROR(INDEX(PP_Grid[#Data],$DD762,82),0)</f>
        <v/>
      </c>
      <c r="CG762">
        <f>IFERROR(INDEX(PP_Grid[#Data],$DD762,83),0)</f>
        <v/>
      </c>
      <c r="CH762">
        <f>IFERROR(INDEX(PP_Grid[#Data],$DD762,84),0)</f>
        <v/>
      </c>
      <c r="CI762">
        <f>IFERROR(INDEX(PP_Grid[#Data],$DD762,85),0)</f>
        <v/>
      </c>
      <c r="CJ762">
        <f>IFERROR(INDEX(PP_Grid[#Data],$DD762,86),0)</f>
        <v/>
      </c>
      <c r="CK762">
        <f>IFERROR(INDEX(PP_Grid[#Data],$DD762,87),0)</f>
        <v/>
      </c>
      <c r="CL762">
        <f>IFERROR(INDEX(PP_Grid[#Data],$DD762,88),0)</f>
        <v/>
      </c>
      <c r="CM762">
        <f>IFERROR(INDEX(PP_Grid[#Data],$DD762,89),0)</f>
        <v/>
      </c>
      <c r="CN762">
        <f>IFERROR(INDEX(PP_Grid[#Data],$DD762,90),0)</f>
        <v/>
      </c>
      <c r="CO762">
        <f>IFERROR(INDEX(PP_Grid[#Data],$DD762,91),0)</f>
        <v/>
      </c>
      <c r="CP762">
        <f>IFERROR(INDEX(PP_Grid[#Data],$DD762,92),0)</f>
        <v/>
      </c>
      <c r="CQ762">
        <f>IFERROR(INDEX(PP_Grid[#Data],$DD762,93),0)</f>
        <v/>
      </c>
      <c r="CR762">
        <f>IFERROR(INDEX(PP_Grid[#Data],$DD762,94),0)</f>
        <v/>
      </c>
      <c r="CS762">
        <f>IFERROR(INDEX(PP_Grid[#Data],$DD762,95),0)</f>
        <v/>
      </c>
      <c r="CT762">
        <f>IFERROR(INDEX(PP_Grid[#Data],$DD762,96),0)</f>
        <v/>
      </c>
      <c r="CU762">
        <f>IFERROR(INDEX(PP_Grid[#Data],$DD762,97),0)</f>
        <v/>
      </c>
      <c r="CV762">
        <f>IFERROR(INDEX(PP_Grid[#Data],$DD762,98),0)</f>
        <v/>
      </c>
      <c r="CW762">
        <f>IFERROR(INDEX(PP_Grid[#Data],$DD762,99),0)</f>
        <v/>
      </c>
      <c r="CX762">
        <f>IFERROR(INDEX(PP_Grid[#Data],$DD762,100),0)</f>
        <v/>
      </c>
      <c r="CY762">
        <f>IFERROR(INDEX(PP_Grid[#Data],$DD762,101),0)</f>
        <v/>
      </c>
      <c r="CZ762">
        <f>IFERROR(INDEX(PP_Grid[#Data],$DD762,102),0)</f>
        <v/>
      </c>
      <c r="DA762">
        <f>IFERROR(INDEX(PP_Grid[#Data],$DD762,103),0)</f>
        <v/>
      </c>
      <c r="DB762">
        <f>IFERROR(INDEX(PP_Grid[#Data],$DD762,104),0)</f>
        <v/>
      </c>
      <c r="DC762">
        <f>IFERROR(INDEX(PP_Grid[#Data],$DD762,105),0)</f>
        <v/>
      </c>
      <c r="DD762" s="7">
        <f>IFERROR(MATCH($B762,PP_Grid[Intermediate],0),99999)</f>
        <v/>
      </c>
    </row>
    <row r="763">
      <c r="B763" t="inlineStr">
        <is>
          <t>使用量(kg)</t>
        </is>
      </c>
      <c r="C763">
        <f>SUMIFS(M_BOM[RM_Qty_Per_Batch],M_BOM[Intermediate],$B762,M_BOM[Part Name],$A759)</f>
        <v/>
      </c>
      <c r="D763">
        <f>$C763*D762</f>
        <v/>
      </c>
      <c r="E763">
        <f>$C763*E762</f>
        <v/>
      </c>
      <c r="F763">
        <f>$C763*F762</f>
        <v/>
      </c>
      <c r="G763">
        <f>$C763*G762</f>
        <v/>
      </c>
      <c r="H763">
        <f>$C763*H762</f>
        <v/>
      </c>
      <c r="I763">
        <f>$C763*I762</f>
        <v/>
      </c>
      <c r="J763">
        <f>$C763*J762</f>
        <v/>
      </c>
      <c r="K763">
        <f>$C763*K762</f>
        <v/>
      </c>
      <c r="L763">
        <f>$C763*L762</f>
        <v/>
      </c>
      <c r="M763">
        <f>$C763*M762</f>
        <v/>
      </c>
      <c r="N763">
        <f>$C763*N762</f>
        <v/>
      </c>
      <c r="O763">
        <f>$C763*O762</f>
        <v/>
      </c>
      <c r="P763">
        <f>$C763*P762</f>
        <v/>
      </c>
      <c r="Q763">
        <f>$C763*Q762</f>
        <v/>
      </c>
      <c r="R763">
        <f>$C763*R762</f>
        <v/>
      </c>
      <c r="S763">
        <f>$C763*S762</f>
        <v/>
      </c>
      <c r="T763">
        <f>$C763*T762</f>
        <v/>
      </c>
      <c r="U763">
        <f>$C763*U762</f>
        <v/>
      </c>
      <c r="V763">
        <f>$C763*V762</f>
        <v/>
      </c>
      <c r="W763">
        <f>$C763*W762</f>
        <v/>
      </c>
      <c r="X763">
        <f>$C763*X762</f>
        <v/>
      </c>
      <c r="Y763">
        <f>$C763*Y762</f>
        <v/>
      </c>
      <c r="Z763">
        <f>$C763*Z762</f>
        <v/>
      </c>
      <c r="AA763">
        <f>$C763*AA762</f>
        <v/>
      </c>
      <c r="AB763">
        <f>$C763*AB762</f>
        <v/>
      </c>
      <c r="AC763">
        <f>$C763*AC762</f>
        <v/>
      </c>
      <c r="AD763">
        <f>$C763*AD762</f>
        <v/>
      </c>
      <c r="AE763">
        <f>$C763*AE762</f>
        <v/>
      </c>
      <c r="AF763">
        <f>$C763*AF762</f>
        <v/>
      </c>
      <c r="AG763">
        <f>$C763*AG762</f>
        <v/>
      </c>
      <c r="AH763">
        <f>$C763*AH762</f>
        <v/>
      </c>
      <c r="AI763">
        <f>$C763*AI762</f>
        <v/>
      </c>
      <c r="AJ763">
        <f>$C763*AJ762</f>
        <v/>
      </c>
      <c r="AK763">
        <f>$C763*AK762</f>
        <v/>
      </c>
      <c r="AL763">
        <f>$C763*AL762</f>
        <v/>
      </c>
      <c r="AM763">
        <f>$C763*AM762</f>
        <v/>
      </c>
      <c r="AN763">
        <f>$C763*AN762</f>
        <v/>
      </c>
      <c r="AO763">
        <f>$C763*AO762</f>
        <v/>
      </c>
      <c r="AP763">
        <f>$C763*AP762</f>
        <v/>
      </c>
      <c r="AQ763">
        <f>$C763*AQ762</f>
        <v/>
      </c>
      <c r="AR763">
        <f>$C763*AR762</f>
        <v/>
      </c>
      <c r="AS763">
        <f>$C763*AS762</f>
        <v/>
      </c>
      <c r="AT763">
        <f>$C763*AT762</f>
        <v/>
      </c>
      <c r="AU763">
        <f>$C763*AU762</f>
        <v/>
      </c>
      <c r="AV763">
        <f>$C763*AV762</f>
        <v/>
      </c>
      <c r="AW763">
        <f>$C763*AW762</f>
        <v/>
      </c>
      <c r="AX763">
        <f>$C763*AX762</f>
        <v/>
      </c>
      <c r="AY763">
        <f>$C763*AY762</f>
        <v/>
      </c>
      <c r="AZ763">
        <f>$C763*AZ762</f>
        <v/>
      </c>
      <c r="BA763">
        <f>$C763*BA762</f>
        <v/>
      </c>
      <c r="BB763">
        <f>$C763*BB762</f>
        <v/>
      </c>
      <c r="BC763">
        <f>$C763*BC762</f>
        <v/>
      </c>
      <c r="BD763">
        <f>$C763*BD762</f>
        <v/>
      </c>
      <c r="BE763">
        <f>$C763*BE762</f>
        <v/>
      </c>
      <c r="BF763">
        <f>$C763*BF762</f>
        <v/>
      </c>
      <c r="BG763">
        <f>$C763*BG762</f>
        <v/>
      </c>
      <c r="BH763">
        <f>$C763*BH762</f>
        <v/>
      </c>
      <c r="BI763">
        <f>$C763*BI762</f>
        <v/>
      </c>
      <c r="BJ763">
        <f>$C763*BJ762</f>
        <v/>
      </c>
      <c r="BK763">
        <f>$C763*BK762</f>
        <v/>
      </c>
      <c r="BL763">
        <f>$C763*BL762</f>
        <v/>
      </c>
      <c r="BM763">
        <f>$C763*BM762</f>
        <v/>
      </c>
      <c r="BN763">
        <f>$C763*BN762</f>
        <v/>
      </c>
      <c r="BO763">
        <f>$C763*BO762</f>
        <v/>
      </c>
      <c r="BP763">
        <f>$C763*BP762</f>
        <v/>
      </c>
      <c r="BQ763">
        <f>$C763*BQ762</f>
        <v/>
      </c>
      <c r="BR763">
        <f>$C763*BR762</f>
        <v/>
      </c>
      <c r="BS763">
        <f>$C763*BS762</f>
        <v/>
      </c>
      <c r="BT763">
        <f>$C763*BT762</f>
        <v/>
      </c>
      <c r="BU763">
        <f>$C763*BU762</f>
        <v/>
      </c>
      <c r="BV763">
        <f>$C763*BV762</f>
        <v/>
      </c>
      <c r="BW763">
        <f>$C763*BW762</f>
        <v/>
      </c>
      <c r="BX763">
        <f>$C763*BX762</f>
        <v/>
      </c>
      <c r="BY763">
        <f>$C763*BY762</f>
        <v/>
      </c>
      <c r="BZ763">
        <f>$C763*BZ762</f>
        <v/>
      </c>
      <c r="CA763">
        <f>$C763*CA762</f>
        <v/>
      </c>
      <c r="CB763">
        <f>$C763*CB762</f>
        <v/>
      </c>
      <c r="CC763">
        <f>$C763*CC762</f>
        <v/>
      </c>
      <c r="CD763">
        <f>$C763*CD762</f>
        <v/>
      </c>
      <c r="CE763">
        <f>$C763*CE762</f>
        <v/>
      </c>
      <c r="CF763">
        <f>$C763*CF762</f>
        <v/>
      </c>
      <c r="CG763">
        <f>$C763*CG762</f>
        <v/>
      </c>
      <c r="CH763">
        <f>$C763*CH762</f>
        <v/>
      </c>
      <c r="CI763">
        <f>$C763*CI762</f>
        <v/>
      </c>
      <c r="CJ763">
        <f>$C763*CJ762</f>
        <v/>
      </c>
      <c r="CK763">
        <f>$C763*CK762</f>
        <v/>
      </c>
      <c r="CL763">
        <f>$C763*CL762</f>
        <v/>
      </c>
      <c r="CM763">
        <f>$C763*CM762</f>
        <v/>
      </c>
      <c r="CN763">
        <f>$C763*CN762</f>
        <v/>
      </c>
      <c r="CO763">
        <f>$C763*CO762</f>
        <v/>
      </c>
      <c r="CP763">
        <f>$C763*CP762</f>
        <v/>
      </c>
      <c r="CQ763">
        <f>$C763*CQ762</f>
        <v/>
      </c>
      <c r="CR763">
        <f>$C763*CR762</f>
        <v/>
      </c>
      <c r="CS763">
        <f>$C763*CS762</f>
        <v/>
      </c>
      <c r="CT763">
        <f>$C763*CT762</f>
        <v/>
      </c>
      <c r="CU763">
        <f>$C763*CU762</f>
        <v/>
      </c>
      <c r="CV763">
        <f>$C763*CV762</f>
        <v/>
      </c>
      <c r="CW763">
        <f>$C763*CW762</f>
        <v/>
      </c>
      <c r="CX763">
        <f>$C763*CX762</f>
        <v/>
      </c>
      <c r="CY763">
        <f>$C763*CY762</f>
        <v/>
      </c>
      <c r="CZ763">
        <f>$C763*CZ762</f>
        <v/>
      </c>
      <c r="DA763">
        <f>$C763*DA762</f>
        <v/>
      </c>
      <c r="DB763">
        <f>$C763*DB762</f>
        <v/>
      </c>
      <c r="DC763">
        <f>$C763*DC762</f>
        <v/>
      </c>
    </row>
    <row r="764">
      <c r="B764" t="inlineStr">
        <is>
          <t>TSP-404</t>
        </is>
      </c>
      <c r="C764" t="inlineStr">
        <is>
          <t>No. of batches</t>
        </is>
      </c>
      <c r="D764">
        <f>IFERROR(INDEX(PP_Grid[#Data],$DD764,2),0)</f>
        <v/>
      </c>
      <c r="E764">
        <f>IFERROR(INDEX(PP_Grid[#Data],$DD764,3),0)</f>
        <v/>
      </c>
      <c r="F764">
        <f>IFERROR(INDEX(PP_Grid[#Data],$DD764,4),0)</f>
        <v/>
      </c>
      <c r="G764">
        <f>IFERROR(INDEX(PP_Grid[#Data],$DD764,5),0)</f>
        <v/>
      </c>
      <c r="H764">
        <f>IFERROR(INDEX(PP_Grid[#Data],$DD764,6),0)</f>
        <v/>
      </c>
      <c r="I764">
        <f>IFERROR(INDEX(PP_Grid[#Data],$DD764,7),0)</f>
        <v/>
      </c>
      <c r="J764">
        <f>IFERROR(INDEX(PP_Grid[#Data],$DD764,8),0)</f>
        <v/>
      </c>
      <c r="K764">
        <f>IFERROR(INDEX(PP_Grid[#Data],$DD764,9),0)</f>
        <v/>
      </c>
      <c r="L764">
        <f>IFERROR(INDEX(PP_Grid[#Data],$DD764,10),0)</f>
        <v/>
      </c>
      <c r="M764">
        <f>IFERROR(INDEX(PP_Grid[#Data],$DD764,11),0)</f>
        <v/>
      </c>
      <c r="N764">
        <f>IFERROR(INDEX(PP_Grid[#Data],$DD764,12),0)</f>
        <v/>
      </c>
      <c r="O764">
        <f>IFERROR(INDEX(PP_Grid[#Data],$DD764,13),0)</f>
        <v/>
      </c>
      <c r="P764">
        <f>IFERROR(INDEX(PP_Grid[#Data],$DD764,14),0)</f>
        <v/>
      </c>
      <c r="Q764">
        <f>IFERROR(INDEX(PP_Grid[#Data],$DD764,15),0)</f>
        <v/>
      </c>
      <c r="R764">
        <f>IFERROR(INDEX(PP_Grid[#Data],$DD764,16),0)</f>
        <v/>
      </c>
      <c r="S764">
        <f>IFERROR(INDEX(PP_Grid[#Data],$DD764,17),0)</f>
        <v/>
      </c>
      <c r="T764">
        <f>IFERROR(INDEX(PP_Grid[#Data],$DD764,18),0)</f>
        <v/>
      </c>
      <c r="U764">
        <f>IFERROR(INDEX(PP_Grid[#Data],$DD764,19),0)</f>
        <v/>
      </c>
      <c r="V764">
        <f>IFERROR(INDEX(PP_Grid[#Data],$DD764,20),0)</f>
        <v/>
      </c>
      <c r="W764">
        <f>IFERROR(INDEX(PP_Grid[#Data],$DD764,21),0)</f>
        <v/>
      </c>
      <c r="X764">
        <f>IFERROR(INDEX(PP_Grid[#Data],$DD764,22),0)</f>
        <v/>
      </c>
      <c r="Y764">
        <f>IFERROR(INDEX(PP_Grid[#Data],$DD764,23),0)</f>
        <v/>
      </c>
      <c r="Z764">
        <f>IFERROR(INDEX(PP_Grid[#Data],$DD764,24),0)</f>
        <v/>
      </c>
      <c r="AA764">
        <f>IFERROR(INDEX(PP_Grid[#Data],$DD764,25),0)</f>
        <v/>
      </c>
      <c r="AB764">
        <f>IFERROR(INDEX(PP_Grid[#Data],$DD764,26),0)</f>
        <v/>
      </c>
      <c r="AC764">
        <f>IFERROR(INDEX(PP_Grid[#Data],$DD764,27),0)</f>
        <v/>
      </c>
      <c r="AD764">
        <f>IFERROR(INDEX(PP_Grid[#Data],$DD764,28),0)</f>
        <v/>
      </c>
      <c r="AE764">
        <f>IFERROR(INDEX(PP_Grid[#Data],$DD764,29),0)</f>
        <v/>
      </c>
      <c r="AF764">
        <f>IFERROR(INDEX(PP_Grid[#Data],$DD764,30),0)</f>
        <v/>
      </c>
      <c r="AG764">
        <f>IFERROR(INDEX(PP_Grid[#Data],$DD764,31),0)</f>
        <v/>
      </c>
      <c r="AH764">
        <f>IFERROR(INDEX(PP_Grid[#Data],$DD764,32),0)</f>
        <v/>
      </c>
      <c r="AI764">
        <f>IFERROR(INDEX(PP_Grid[#Data],$DD764,33),0)</f>
        <v/>
      </c>
      <c r="AJ764">
        <f>IFERROR(INDEX(PP_Grid[#Data],$DD764,34),0)</f>
        <v/>
      </c>
      <c r="AK764">
        <f>IFERROR(INDEX(PP_Grid[#Data],$DD764,35),0)</f>
        <v/>
      </c>
      <c r="AL764">
        <f>IFERROR(INDEX(PP_Grid[#Data],$DD764,36),0)</f>
        <v/>
      </c>
      <c r="AM764">
        <f>IFERROR(INDEX(PP_Grid[#Data],$DD764,37),0)</f>
        <v/>
      </c>
      <c r="AN764">
        <f>IFERROR(INDEX(PP_Grid[#Data],$DD764,38),0)</f>
        <v/>
      </c>
      <c r="AO764">
        <f>IFERROR(INDEX(PP_Grid[#Data],$DD764,39),0)</f>
        <v/>
      </c>
      <c r="AP764">
        <f>IFERROR(INDEX(PP_Grid[#Data],$DD764,40),0)</f>
        <v/>
      </c>
      <c r="AQ764">
        <f>IFERROR(INDEX(PP_Grid[#Data],$DD764,41),0)</f>
        <v/>
      </c>
      <c r="AR764">
        <f>IFERROR(INDEX(PP_Grid[#Data],$DD764,42),0)</f>
        <v/>
      </c>
      <c r="AS764">
        <f>IFERROR(INDEX(PP_Grid[#Data],$DD764,43),0)</f>
        <v/>
      </c>
      <c r="AT764">
        <f>IFERROR(INDEX(PP_Grid[#Data],$DD764,44),0)</f>
        <v/>
      </c>
      <c r="AU764">
        <f>IFERROR(INDEX(PP_Grid[#Data],$DD764,45),0)</f>
        <v/>
      </c>
      <c r="AV764">
        <f>IFERROR(INDEX(PP_Grid[#Data],$DD764,46),0)</f>
        <v/>
      </c>
      <c r="AW764">
        <f>IFERROR(INDEX(PP_Grid[#Data],$DD764,47),0)</f>
        <v/>
      </c>
      <c r="AX764">
        <f>IFERROR(INDEX(PP_Grid[#Data],$DD764,48),0)</f>
        <v/>
      </c>
      <c r="AY764">
        <f>IFERROR(INDEX(PP_Grid[#Data],$DD764,49),0)</f>
        <v/>
      </c>
      <c r="AZ764">
        <f>IFERROR(INDEX(PP_Grid[#Data],$DD764,50),0)</f>
        <v/>
      </c>
      <c r="BA764">
        <f>IFERROR(INDEX(PP_Grid[#Data],$DD764,51),0)</f>
        <v/>
      </c>
      <c r="BB764">
        <f>IFERROR(INDEX(PP_Grid[#Data],$DD764,52),0)</f>
        <v/>
      </c>
      <c r="BC764">
        <f>IFERROR(INDEX(PP_Grid[#Data],$DD764,53),0)</f>
        <v/>
      </c>
      <c r="BD764">
        <f>IFERROR(INDEX(PP_Grid[#Data],$DD764,54),0)</f>
        <v/>
      </c>
      <c r="BE764">
        <f>IFERROR(INDEX(PP_Grid[#Data],$DD764,55),0)</f>
        <v/>
      </c>
      <c r="BF764">
        <f>IFERROR(INDEX(PP_Grid[#Data],$DD764,56),0)</f>
        <v/>
      </c>
      <c r="BG764">
        <f>IFERROR(INDEX(PP_Grid[#Data],$DD764,57),0)</f>
        <v/>
      </c>
      <c r="BH764">
        <f>IFERROR(INDEX(PP_Grid[#Data],$DD764,58),0)</f>
        <v/>
      </c>
      <c r="BI764">
        <f>IFERROR(INDEX(PP_Grid[#Data],$DD764,59),0)</f>
        <v/>
      </c>
      <c r="BJ764">
        <f>IFERROR(INDEX(PP_Grid[#Data],$DD764,60),0)</f>
        <v/>
      </c>
      <c r="BK764">
        <f>IFERROR(INDEX(PP_Grid[#Data],$DD764,61),0)</f>
        <v/>
      </c>
      <c r="BL764">
        <f>IFERROR(INDEX(PP_Grid[#Data],$DD764,62),0)</f>
        <v/>
      </c>
      <c r="BM764">
        <f>IFERROR(INDEX(PP_Grid[#Data],$DD764,63),0)</f>
        <v/>
      </c>
      <c r="BN764">
        <f>IFERROR(INDEX(PP_Grid[#Data],$DD764,64),0)</f>
        <v/>
      </c>
      <c r="BO764">
        <f>IFERROR(INDEX(PP_Grid[#Data],$DD764,65),0)</f>
        <v/>
      </c>
      <c r="BP764">
        <f>IFERROR(INDEX(PP_Grid[#Data],$DD764,66),0)</f>
        <v/>
      </c>
      <c r="BQ764">
        <f>IFERROR(INDEX(PP_Grid[#Data],$DD764,67),0)</f>
        <v/>
      </c>
      <c r="BR764">
        <f>IFERROR(INDEX(PP_Grid[#Data],$DD764,68),0)</f>
        <v/>
      </c>
      <c r="BS764">
        <f>IFERROR(INDEX(PP_Grid[#Data],$DD764,69),0)</f>
        <v/>
      </c>
      <c r="BT764">
        <f>IFERROR(INDEX(PP_Grid[#Data],$DD764,70),0)</f>
        <v/>
      </c>
      <c r="BU764">
        <f>IFERROR(INDEX(PP_Grid[#Data],$DD764,71),0)</f>
        <v/>
      </c>
      <c r="BV764">
        <f>IFERROR(INDEX(PP_Grid[#Data],$DD764,72),0)</f>
        <v/>
      </c>
      <c r="BW764">
        <f>IFERROR(INDEX(PP_Grid[#Data],$DD764,73),0)</f>
        <v/>
      </c>
      <c r="BX764">
        <f>IFERROR(INDEX(PP_Grid[#Data],$DD764,74),0)</f>
        <v/>
      </c>
      <c r="BY764">
        <f>IFERROR(INDEX(PP_Grid[#Data],$DD764,75),0)</f>
        <v/>
      </c>
      <c r="BZ764">
        <f>IFERROR(INDEX(PP_Grid[#Data],$DD764,76),0)</f>
        <v/>
      </c>
      <c r="CA764">
        <f>IFERROR(INDEX(PP_Grid[#Data],$DD764,77),0)</f>
        <v/>
      </c>
      <c r="CB764">
        <f>IFERROR(INDEX(PP_Grid[#Data],$DD764,78),0)</f>
        <v/>
      </c>
      <c r="CC764">
        <f>IFERROR(INDEX(PP_Grid[#Data],$DD764,79),0)</f>
        <v/>
      </c>
      <c r="CD764">
        <f>IFERROR(INDEX(PP_Grid[#Data],$DD764,80),0)</f>
        <v/>
      </c>
      <c r="CE764">
        <f>IFERROR(INDEX(PP_Grid[#Data],$DD764,81),0)</f>
        <v/>
      </c>
      <c r="CF764">
        <f>IFERROR(INDEX(PP_Grid[#Data],$DD764,82),0)</f>
        <v/>
      </c>
      <c r="CG764">
        <f>IFERROR(INDEX(PP_Grid[#Data],$DD764,83),0)</f>
        <v/>
      </c>
      <c r="CH764">
        <f>IFERROR(INDEX(PP_Grid[#Data],$DD764,84),0)</f>
        <v/>
      </c>
      <c r="CI764">
        <f>IFERROR(INDEX(PP_Grid[#Data],$DD764,85),0)</f>
        <v/>
      </c>
      <c r="CJ764">
        <f>IFERROR(INDEX(PP_Grid[#Data],$DD764,86),0)</f>
        <v/>
      </c>
      <c r="CK764">
        <f>IFERROR(INDEX(PP_Grid[#Data],$DD764,87),0)</f>
        <v/>
      </c>
      <c r="CL764">
        <f>IFERROR(INDEX(PP_Grid[#Data],$DD764,88),0)</f>
        <v/>
      </c>
      <c r="CM764">
        <f>IFERROR(INDEX(PP_Grid[#Data],$DD764,89),0)</f>
        <v/>
      </c>
      <c r="CN764">
        <f>IFERROR(INDEX(PP_Grid[#Data],$DD764,90),0)</f>
        <v/>
      </c>
      <c r="CO764">
        <f>IFERROR(INDEX(PP_Grid[#Data],$DD764,91),0)</f>
        <v/>
      </c>
      <c r="CP764">
        <f>IFERROR(INDEX(PP_Grid[#Data],$DD764,92),0)</f>
        <v/>
      </c>
      <c r="CQ764">
        <f>IFERROR(INDEX(PP_Grid[#Data],$DD764,93),0)</f>
        <v/>
      </c>
      <c r="CR764">
        <f>IFERROR(INDEX(PP_Grid[#Data],$DD764,94),0)</f>
        <v/>
      </c>
      <c r="CS764">
        <f>IFERROR(INDEX(PP_Grid[#Data],$DD764,95),0)</f>
        <v/>
      </c>
      <c r="CT764">
        <f>IFERROR(INDEX(PP_Grid[#Data],$DD764,96),0)</f>
        <v/>
      </c>
      <c r="CU764">
        <f>IFERROR(INDEX(PP_Grid[#Data],$DD764,97),0)</f>
        <v/>
      </c>
      <c r="CV764">
        <f>IFERROR(INDEX(PP_Grid[#Data],$DD764,98),0)</f>
        <v/>
      </c>
      <c r="CW764">
        <f>IFERROR(INDEX(PP_Grid[#Data],$DD764,99),0)</f>
        <v/>
      </c>
      <c r="CX764">
        <f>IFERROR(INDEX(PP_Grid[#Data],$DD764,100),0)</f>
        <v/>
      </c>
      <c r="CY764">
        <f>IFERROR(INDEX(PP_Grid[#Data],$DD764,101),0)</f>
        <v/>
      </c>
      <c r="CZ764">
        <f>IFERROR(INDEX(PP_Grid[#Data],$DD764,102),0)</f>
        <v/>
      </c>
      <c r="DA764">
        <f>IFERROR(INDEX(PP_Grid[#Data],$DD764,103),0)</f>
        <v/>
      </c>
      <c r="DB764">
        <f>IFERROR(INDEX(PP_Grid[#Data],$DD764,104),0)</f>
        <v/>
      </c>
      <c r="DC764">
        <f>IFERROR(INDEX(PP_Grid[#Data],$DD764,105),0)</f>
        <v/>
      </c>
      <c r="DD764" s="7">
        <f>IFERROR(MATCH($B764,PP_Grid[Intermediate],0),99999)</f>
        <v/>
      </c>
    </row>
    <row r="765">
      <c r="B765" t="inlineStr">
        <is>
          <t>使用量(kg)</t>
        </is>
      </c>
      <c r="C765">
        <f>SUMIFS(M_BOM[RM_Qty_Per_Batch],M_BOM[Intermediate],$B764,M_BOM[Part Name],$A759)</f>
        <v/>
      </c>
      <c r="D765">
        <f>$C765*D764</f>
        <v/>
      </c>
      <c r="E765">
        <f>$C765*E764</f>
        <v/>
      </c>
      <c r="F765">
        <f>$C765*F764</f>
        <v/>
      </c>
      <c r="G765">
        <f>$C765*G764</f>
        <v/>
      </c>
      <c r="H765">
        <f>$C765*H764</f>
        <v/>
      </c>
      <c r="I765">
        <f>$C765*I764</f>
        <v/>
      </c>
      <c r="J765">
        <f>$C765*J764</f>
        <v/>
      </c>
      <c r="K765">
        <f>$C765*K764</f>
        <v/>
      </c>
      <c r="L765">
        <f>$C765*L764</f>
        <v/>
      </c>
      <c r="M765">
        <f>$C765*M764</f>
        <v/>
      </c>
      <c r="N765">
        <f>$C765*N764</f>
        <v/>
      </c>
      <c r="O765">
        <f>$C765*O764</f>
        <v/>
      </c>
      <c r="P765">
        <f>$C765*P764</f>
        <v/>
      </c>
      <c r="Q765">
        <f>$C765*Q764</f>
        <v/>
      </c>
      <c r="R765">
        <f>$C765*R764</f>
        <v/>
      </c>
      <c r="S765">
        <f>$C765*S764</f>
        <v/>
      </c>
      <c r="T765">
        <f>$C765*T764</f>
        <v/>
      </c>
      <c r="U765">
        <f>$C765*U764</f>
        <v/>
      </c>
      <c r="V765">
        <f>$C765*V764</f>
        <v/>
      </c>
      <c r="W765">
        <f>$C765*W764</f>
        <v/>
      </c>
      <c r="X765">
        <f>$C765*X764</f>
        <v/>
      </c>
      <c r="Y765">
        <f>$C765*Y764</f>
        <v/>
      </c>
      <c r="Z765">
        <f>$C765*Z764</f>
        <v/>
      </c>
      <c r="AA765">
        <f>$C765*AA764</f>
        <v/>
      </c>
      <c r="AB765">
        <f>$C765*AB764</f>
        <v/>
      </c>
      <c r="AC765">
        <f>$C765*AC764</f>
        <v/>
      </c>
      <c r="AD765">
        <f>$C765*AD764</f>
        <v/>
      </c>
      <c r="AE765">
        <f>$C765*AE764</f>
        <v/>
      </c>
      <c r="AF765">
        <f>$C765*AF764</f>
        <v/>
      </c>
      <c r="AG765">
        <f>$C765*AG764</f>
        <v/>
      </c>
      <c r="AH765">
        <f>$C765*AH764</f>
        <v/>
      </c>
      <c r="AI765">
        <f>$C765*AI764</f>
        <v/>
      </c>
      <c r="AJ765">
        <f>$C765*AJ764</f>
        <v/>
      </c>
      <c r="AK765">
        <f>$C765*AK764</f>
        <v/>
      </c>
      <c r="AL765">
        <f>$C765*AL764</f>
        <v/>
      </c>
      <c r="AM765">
        <f>$C765*AM764</f>
        <v/>
      </c>
      <c r="AN765">
        <f>$C765*AN764</f>
        <v/>
      </c>
      <c r="AO765">
        <f>$C765*AO764</f>
        <v/>
      </c>
      <c r="AP765">
        <f>$C765*AP764</f>
        <v/>
      </c>
      <c r="AQ765">
        <f>$C765*AQ764</f>
        <v/>
      </c>
      <c r="AR765">
        <f>$C765*AR764</f>
        <v/>
      </c>
      <c r="AS765">
        <f>$C765*AS764</f>
        <v/>
      </c>
      <c r="AT765">
        <f>$C765*AT764</f>
        <v/>
      </c>
      <c r="AU765">
        <f>$C765*AU764</f>
        <v/>
      </c>
      <c r="AV765">
        <f>$C765*AV764</f>
        <v/>
      </c>
      <c r="AW765">
        <f>$C765*AW764</f>
        <v/>
      </c>
      <c r="AX765">
        <f>$C765*AX764</f>
        <v/>
      </c>
      <c r="AY765">
        <f>$C765*AY764</f>
        <v/>
      </c>
      <c r="AZ765">
        <f>$C765*AZ764</f>
        <v/>
      </c>
      <c r="BA765">
        <f>$C765*BA764</f>
        <v/>
      </c>
      <c r="BB765">
        <f>$C765*BB764</f>
        <v/>
      </c>
      <c r="BC765">
        <f>$C765*BC764</f>
        <v/>
      </c>
      <c r="BD765">
        <f>$C765*BD764</f>
        <v/>
      </c>
      <c r="BE765">
        <f>$C765*BE764</f>
        <v/>
      </c>
      <c r="BF765">
        <f>$C765*BF764</f>
        <v/>
      </c>
      <c r="BG765">
        <f>$C765*BG764</f>
        <v/>
      </c>
      <c r="BH765">
        <f>$C765*BH764</f>
        <v/>
      </c>
      <c r="BI765">
        <f>$C765*BI764</f>
        <v/>
      </c>
      <c r="BJ765">
        <f>$C765*BJ764</f>
        <v/>
      </c>
      <c r="BK765">
        <f>$C765*BK764</f>
        <v/>
      </c>
      <c r="BL765">
        <f>$C765*BL764</f>
        <v/>
      </c>
      <c r="BM765">
        <f>$C765*BM764</f>
        <v/>
      </c>
      <c r="BN765">
        <f>$C765*BN764</f>
        <v/>
      </c>
      <c r="BO765">
        <f>$C765*BO764</f>
        <v/>
      </c>
      <c r="BP765">
        <f>$C765*BP764</f>
        <v/>
      </c>
      <c r="BQ765">
        <f>$C765*BQ764</f>
        <v/>
      </c>
      <c r="BR765">
        <f>$C765*BR764</f>
        <v/>
      </c>
      <c r="BS765">
        <f>$C765*BS764</f>
        <v/>
      </c>
      <c r="BT765">
        <f>$C765*BT764</f>
        <v/>
      </c>
      <c r="BU765">
        <f>$C765*BU764</f>
        <v/>
      </c>
      <c r="BV765">
        <f>$C765*BV764</f>
        <v/>
      </c>
      <c r="BW765">
        <f>$C765*BW764</f>
        <v/>
      </c>
      <c r="BX765">
        <f>$C765*BX764</f>
        <v/>
      </c>
      <c r="BY765">
        <f>$C765*BY764</f>
        <v/>
      </c>
      <c r="BZ765">
        <f>$C765*BZ764</f>
        <v/>
      </c>
      <c r="CA765">
        <f>$C765*CA764</f>
        <v/>
      </c>
      <c r="CB765">
        <f>$C765*CB764</f>
        <v/>
      </c>
      <c r="CC765">
        <f>$C765*CC764</f>
        <v/>
      </c>
      <c r="CD765">
        <f>$C765*CD764</f>
        <v/>
      </c>
      <c r="CE765">
        <f>$C765*CE764</f>
        <v/>
      </c>
      <c r="CF765">
        <f>$C765*CF764</f>
        <v/>
      </c>
      <c r="CG765">
        <f>$C765*CG764</f>
        <v/>
      </c>
      <c r="CH765">
        <f>$C765*CH764</f>
        <v/>
      </c>
      <c r="CI765">
        <f>$C765*CI764</f>
        <v/>
      </c>
      <c r="CJ765">
        <f>$C765*CJ764</f>
        <v/>
      </c>
      <c r="CK765">
        <f>$C765*CK764</f>
        <v/>
      </c>
      <c r="CL765">
        <f>$C765*CL764</f>
        <v/>
      </c>
      <c r="CM765">
        <f>$C765*CM764</f>
        <v/>
      </c>
      <c r="CN765">
        <f>$C765*CN764</f>
        <v/>
      </c>
      <c r="CO765">
        <f>$C765*CO764</f>
        <v/>
      </c>
      <c r="CP765">
        <f>$C765*CP764</f>
        <v/>
      </c>
      <c r="CQ765">
        <f>$C765*CQ764</f>
        <v/>
      </c>
      <c r="CR765">
        <f>$C765*CR764</f>
        <v/>
      </c>
      <c r="CS765">
        <f>$C765*CS764</f>
        <v/>
      </c>
      <c r="CT765">
        <f>$C765*CT764</f>
        <v/>
      </c>
      <c r="CU765">
        <f>$C765*CU764</f>
        <v/>
      </c>
      <c r="CV765">
        <f>$C765*CV764</f>
        <v/>
      </c>
      <c r="CW765">
        <f>$C765*CW764</f>
        <v/>
      </c>
      <c r="CX765">
        <f>$C765*CX764</f>
        <v/>
      </c>
      <c r="CY765">
        <f>$C765*CY764</f>
        <v/>
      </c>
      <c r="CZ765">
        <f>$C765*CZ764</f>
        <v/>
      </c>
      <c r="DA765">
        <f>$C765*DA764</f>
        <v/>
      </c>
      <c r="DB765">
        <f>$C765*DB764</f>
        <v/>
      </c>
      <c r="DC765">
        <f>$C765*DC764</f>
        <v/>
      </c>
    </row>
    <row r="766">
      <c r="B766" t="inlineStr">
        <is>
          <t>TSP-405</t>
        </is>
      </c>
      <c r="C766" t="inlineStr">
        <is>
          <t>No. of batches</t>
        </is>
      </c>
      <c r="D766">
        <f>IFERROR(INDEX(PP_Grid[#Data],$DD766,2),0)</f>
        <v/>
      </c>
      <c r="E766">
        <f>IFERROR(INDEX(PP_Grid[#Data],$DD766,3),0)</f>
        <v/>
      </c>
      <c r="F766">
        <f>IFERROR(INDEX(PP_Grid[#Data],$DD766,4),0)</f>
        <v/>
      </c>
      <c r="G766">
        <f>IFERROR(INDEX(PP_Grid[#Data],$DD766,5),0)</f>
        <v/>
      </c>
      <c r="H766">
        <f>IFERROR(INDEX(PP_Grid[#Data],$DD766,6),0)</f>
        <v/>
      </c>
      <c r="I766">
        <f>IFERROR(INDEX(PP_Grid[#Data],$DD766,7),0)</f>
        <v/>
      </c>
      <c r="J766">
        <f>IFERROR(INDEX(PP_Grid[#Data],$DD766,8),0)</f>
        <v/>
      </c>
      <c r="K766">
        <f>IFERROR(INDEX(PP_Grid[#Data],$DD766,9),0)</f>
        <v/>
      </c>
      <c r="L766">
        <f>IFERROR(INDEX(PP_Grid[#Data],$DD766,10),0)</f>
        <v/>
      </c>
      <c r="M766">
        <f>IFERROR(INDEX(PP_Grid[#Data],$DD766,11),0)</f>
        <v/>
      </c>
      <c r="N766">
        <f>IFERROR(INDEX(PP_Grid[#Data],$DD766,12),0)</f>
        <v/>
      </c>
      <c r="O766">
        <f>IFERROR(INDEX(PP_Grid[#Data],$DD766,13),0)</f>
        <v/>
      </c>
      <c r="P766">
        <f>IFERROR(INDEX(PP_Grid[#Data],$DD766,14),0)</f>
        <v/>
      </c>
      <c r="Q766">
        <f>IFERROR(INDEX(PP_Grid[#Data],$DD766,15),0)</f>
        <v/>
      </c>
      <c r="R766">
        <f>IFERROR(INDEX(PP_Grid[#Data],$DD766,16),0)</f>
        <v/>
      </c>
      <c r="S766">
        <f>IFERROR(INDEX(PP_Grid[#Data],$DD766,17),0)</f>
        <v/>
      </c>
      <c r="T766">
        <f>IFERROR(INDEX(PP_Grid[#Data],$DD766,18),0)</f>
        <v/>
      </c>
      <c r="U766">
        <f>IFERROR(INDEX(PP_Grid[#Data],$DD766,19),0)</f>
        <v/>
      </c>
      <c r="V766">
        <f>IFERROR(INDEX(PP_Grid[#Data],$DD766,20),0)</f>
        <v/>
      </c>
      <c r="W766">
        <f>IFERROR(INDEX(PP_Grid[#Data],$DD766,21),0)</f>
        <v/>
      </c>
      <c r="X766">
        <f>IFERROR(INDEX(PP_Grid[#Data],$DD766,22),0)</f>
        <v/>
      </c>
      <c r="Y766">
        <f>IFERROR(INDEX(PP_Grid[#Data],$DD766,23),0)</f>
        <v/>
      </c>
      <c r="Z766">
        <f>IFERROR(INDEX(PP_Grid[#Data],$DD766,24),0)</f>
        <v/>
      </c>
      <c r="AA766">
        <f>IFERROR(INDEX(PP_Grid[#Data],$DD766,25),0)</f>
        <v/>
      </c>
      <c r="AB766">
        <f>IFERROR(INDEX(PP_Grid[#Data],$DD766,26),0)</f>
        <v/>
      </c>
      <c r="AC766">
        <f>IFERROR(INDEX(PP_Grid[#Data],$DD766,27),0)</f>
        <v/>
      </c>
      <c r="AD766">
        <f>IFERROR(INDEX(PP_Grid[#Data],$DD766,28),0)</f>
        <v/>
      </c>
      <c r="AE766">
        <f>IFERROR(INDEX(PP_Grid[#Data],$DD766,29),0)</f>
        <v/>
      </c>
      <c r="AF766">
        <f>IFERROR(INDEX(PP_Grid[#Data],$DD766,30),0)</f>
        <v/>
      </c>
      <c r="AG766">
        <f>IFERROR(INDEX(PP_Grid[#Data],$DD766,31),0)</f>
        <v/>
      </c>
      <c r="AH766">
        <f>IFERROR(INDEX(PP_Grid[#Data],$DD766,32),0)</f>
        <v/>
      </c>
      <c r="AI766">
        <f>IFERROR(INDEX(PP_Grid[#Data],$DD766,33),0)</f>
        <v/>
      </c>
      <c r="AJ766">
        <f>IFERROR(INDEX(PP_Grid[#Data],$DD766,34),0)</f>
        <v/>
      </c>
      <c r="AK766">
        <f>IFERROR(INDEX(PP_Grid[#Data],$DD766,35),0)</f>
        <v/>
      </c>
      <c r="AL766">
        <f>IFERROR(INDEX(PP_Grid[#Data],$DD766,36),0)</f>
        <v/>
      </c>
      <c r="AM766">
        <f>IFERROR(INDEX(PP_Grid[#Data],$DD766,37),0)</f>
        <v/>
      </c>
      <c r="AN766">
        <f>IFERROR(INDEX(PP_Grid[#Data],$DD766,38),0)</f>
        <v/>
      </c>
      <c r="AO766">
        <f>IFERROR(INDEX(PP_Grid[#Data],$DD766,39),0)</f>
        <v/>
      </c>
      <c r="AP766">
        <f>IFERROR(INDEX(PP_Grid[#Data],$DD766,40),0)</f>
        <v/>
      </c>
      <c r="AQ766">
        <f>IFERROR(INDEX(PP_Grid[#Data],$DD766,41),0)</f>
        <v/>
      </c>
      <c r="AR766">
        <f>IFERROR(INDEX(PP_Grid[#Data],$DD766,42),0)</f>
        <v/>
      </c>
      <c r="AS766">
        <f>IFERROR(INDEX(PP_Grid[#Data],$DD766,43),0)</f>
        <v/>
      </c>
      <c r="AT766">
        <f>IFERROR(INDEX(PP_Grid[#Data],$DD766,44),0)</f>
        <v/>
      </c>
      <c r="AU766">
        <f>IFERROR(INDEX(PP_Grid[#Data],$DD766,45),0)</f>
        <v/>
      </c>
      <c r="AV766">
        <f>IFERROR(INDEX(PP_Grid[#Data],$DD766,46),0)</f>
        <v/>
      </c>
      <c r="AW766">
        <f>IFERROR(INDEX(PP_Grid[#Data],$DD766,47),0)</f>
        <v/>
      </c>
      <c r="AX766">
        <f>IFERROR(INDEX(PP_Grid[#Data],$DD766,48),0)</f>
        <v/>
      </c>
      <c r="AY766">
        <f>IFERROR(INDEX(PP_Grid[#Data],$DD766,49),0)</f>
        <v/>
      </c>
      <c r="AZ766">
        <f>IFERROR(INDEX(PP_Grid[#Data],$DD766,50),0)</f>
        <v/>
      </c>
      <c r="BA766">
        <f>IFERROR(INDEX(PP_Grid[#Data],$DD766,51),0)</f>
        <v/>
      </c>
      <c r="BB766">
        <f>IFERROR(INDEX(PP_Grid[#Data],$DD766,52),0)</f>
        <v/>
      </c>
      <c r="BC766">
        <f>IFERROR(INDEX(PP_Grid[#Data],$DD766,53),0)</f>
        <v/>
      </c>
      <c r="BD766">
        <f>IFERROR(INDEX(PP_Grid[#Data],$DD766,54),0)</f>
        <v/>
      </c>
      <c r="BE766">
        <f>IFERROR(INDEX(PP_Grid[#Data],$DD766,55),0)</f>
        <v/>
      </c>
      <c r="BF766">
        <f>IFERROR(INDEX(PP_Grid[#Data],$DD766,56),0)</f>
        <v/>
      </c>
      <c r="BG766">
        <f>IFERROR(INDEX(PP_Grid[#Data],$DD766,57),0)</f>
        <v/>
      </c>
      <c r="BH766">
        <f>IFERROR(INDEX(PP_Grid[#Data],$DD766,58),0)</f>
        <v/>
      </c>
      <c r="BI766">
        <f>IFERROR(INDEX(PP_Grid[#Data],$DD766,59),0)</f>
        <v/>
      </c>
      <c r="BJ766">
        <f>IFERROR(INDEX(PP_Grid[#Data],$DD766,60),0)</f>
        <v/>
      </c>
      <c r="BK766">
        <f>IFERROR(INDEX(PP_Grid[#Data],$DD766,61),0)</f>
        <v/>
      </c>
      <c r="BL766">
        <f>IFERROR(INDEX(PP_Grid[#Data],$DD766,62),0)</f>
        <v/>
      </c>
      <c r="BM766">
        <f>IFERROR(INDEX(PP_Grid[#Data],$DD766,63),0)</f>
        <v/>
      </c>
      <c r="BN766">
        <f>IFERROR(INDEX(PP_Grid[#Data],$DD766,64),0)</f>
        <v/>
      </c>
      <c r="BO766">
        <f>IFERROR(INDEX(PP_Grid[#Data],$DD766,65),0)</f>
        <v/>
      </c>
      <c r="BP766">
        <f>IFERROR(INDEX(PP_Grid[#Data],$DD766,66),0)</f>
        <v/>
      </c>
      <c r="BQ766">
        <f>IFERROR(INDEX(PP_Grid[#Data],$DD766,67),0)</f>
        <v/>
      </c>
      <c r="BR766">
        <f>IFERROR(INDEX(PP_Grid[#Data],$DD766,68),0)</f>
        <v/>
      </c>
      <c r="BS766">
        <f>IFERROR(INDEX(PP_Grid[#Data],$DD766,69),0)</f>
        <v/>
      </c>
      <c r="BT766">
        <f>IFERROR(INDEX(PP_Grid[#Data],$DD766,70),0)</f>
        <v/>
      </c>
      <c r="BU766">
        <f>IFERROR(INDEX(PP_Grid[#Data],$DD766,71),0)</f>
        <v/>
      </c>
      <c r="BV766">
        <f>IFERROR(INDEX(PP_Grid[#Data],$DD766,72),0)</f>
        <v/>
      </c>
      <c r="BW766">
        <f>IFERROR(INDEX(PP_Grid[#Data],$DD766,73),0)</f>
        <v/>
      </c>
      <c r="BX766">
        <f>IFERROR(INDEX(PP_Grid[#Data],$DD766,74),0)</f>
        <v/>
      </c>
      <c r="BY766">
        <f>IFERROR(INDEX(PP_Grid[#Data],$DD766,75),0)</f>
        <v/>
      </c>
      <c r="BZ766">
        <f>IFERROR(INDEX(PP_Grid[#Data],$DD766,76),0)</f>
        <v/>
      </c>
      <c r="CA766">
        <f>IFERROR(INDEX(PP_Grid[#Data],$DD766,77),0)</f>
        <v/>
      </c>
      <c r="CB766">
        <f>IFERROR(INDEX(PP_Grid[#Data],$DD766,78),0)</f>
        <v/>
      </c>
      <c r="CC766">
        <f>IFERROR(INDEX(PP_Grid[#Data],$DD766,79),0)</f>
        <v/>
      </c>
      <c r="CD766">
        <f>IFERROR(INDEX(PP_Grid[#Data],$DD766,80),0)</f>
        <v/>
      </c>
      <c r="CE766">
        <f>IFERROR(INDEX(PP_Grid[#Data],$DD766,81),0)</f>
        <v/>
      </c>
      <c r="CF766">
        <f>IFERROR(INDEX(PP_Grid[#Data],$DD766,82),0)</f>
        <v/>
      </c>
      <c r="CG766">
        <f>IFERROR(INDEX(PP_Grid[#Data],$DD766,83),0)</f>
        <v/>
      </c>
      <c r="CH766">
        <f>IFERROR(INDEX(PP_Grid[#Data],$DD766,84),0)</f>
        <v/>
      </c>
      <c r="CI766">
        <f>IFERROR(INDEX(PP_Grid[#Data],$DD766,85),0)</f>
        <v/>
      </c>
      <c r="CJ766">
        <f>IFERROR(INDEX(PP_Grid[#Data],$DD766,86),0)</f>
        <v/>
      </c>
      <c r="CK766">
        <f>IFERROR(INDEX(PP_Grid[#Data],$DD766,87),0)</f>
        <v/>
      </c>
      <c r="CL766">
        <f>IFERROR(INDEX(PP_Grid[#Data],$DD766,88),0)</f>
        <v/>
      </c>
      <c r="CM766">
        <f>IFERROR(INDEX(PP_Grid[#Data],$DD766,89),0)</f>
        <v/>
      </c>
      <c r="CN766">
        <f>IFERROR(INDEX(PP_Grid[#Data],$DD766,90),0)</f>
        <v/>
      </c>
      <c r="CO766">
        <f>IFERROR(INDEX(PP_Grid[#Data],$DD766,91),0)</f>
        <v/>
      </c>
      <c r="CP766">
        <f>IFERROR(INDEX(PP_Grid[#Data],$DD766,92),0)</f>
        <v/>
      </c>
      <c r="CQ766">
        <f>IFERROR(INDEX(PP_Grid[#Data],$DD766,93),0)</f>
        <v/>
      </c>
      <c r="CR766">
        <f>IFERROR(INDEX(PP_Grid[#Data],$DD766,94),0)</f>
        <v/>
      </c>
      <c r="CS766">
        <f>IFERROR(INDEX(PP_Grid[#Data],$DD766,95),0)</f>
        <v/>
      </c>
      <c r="CT766">
        <f>IFERROR(INDEX(PP_Grid[#Data],$DD766,96),0)</f>
        <v/>
      </c>
      <c r="CU766">
        <f>IFERROR(INDEX(PP_Grid[#Data],$DD766,97),0)</f>
        <v/>
      </c>
      <c r="CV766">
        <f>IFERROR(INDEX(PP_Grid[#Data],$DD766,98),0)</f>
        <v/>
      </c>
      <c r="CW766">
        <f>IFERROR(INDEX(PP_Grid[#Data],$DD766,99),0)</f>
        <v/>
      </c>
      <c r="CX766">
        <f>IFERROR(INDEX(PP_Grid[#Data],$DD766,100),0)</f>
        <v/>
      </c>
      <c r="CY766">
        <f>IFERROR(INDEX(PP_Grid[#Data],$DD766,101),0)</f>
        <v/>
      </c>
      <c r="CZ766">
        <f>IFERROR(INDEX(PP_Grid[#Data],$DD766,102),0)</f>
        <v/>
      </c>
      <c r="DA766">
        <f>IFERROR(INDEX(PP_Grid[#Data],$DD766,103),0)</f>
        <v/>
      </c>
      <c r="DB766">
        <f>IFERROR(INDEX(PP_Grid[#Data],$DD766,104),0)</f>
        <v/>
      </c>
      <c r="DC766">
        <f>IFERROR(INDEX(PP_Grid[#Data],$DD766,105),0)</f>
        <v/>
      </c>
      <c r="DD766" s="7">
        <f>IFERROR(MATCH($B766,PP_Grid[Intermediate],0),99999)</f>
        <v/>
      </c>
    </row>
    <row r="767">
      <c r="B767" t="inlineStr">
        <is>
          <t>使用量(kg)</t>
        </is>
      </c>
      <c r="C767">
        <f>SUMIFS(M_BOM[RM_Qty_Per_Batch],M_BOM[Intermediate],$B766,M_BOM[Part Name],$A759)</f>
        <v/>
      </c>
      <c r="D767">
        <f>$C767*D766</f>
        <v/>
      </c>
      <c r="E767">
        <f>$C767*E766</f>
        <v/>
      </c>
      <c r="F767">
        <f>$C767*F766</f>
        <v/>
      </c>
      <c r="G767">
        <f>$C767*G766</f>
        <v/>
      </c>
      <c r="H767">
        <f>$C767*H766</f>
        <v/>
      </c>
      <c r="I767">
        <f>$C767*I766</f>
        <v/>
      </c>
      <c r="J767">
        <f>$C767*J766</f>
        <v/>
      </c>
      <c r="K767">
        <f>$C767*K766</f>
        <v/>
      </c>
      <c r="L767">
        <f>$C767*L766</f>
        <v/>
      </c>
      <c r="M767">
        <f>$C767*M766</f>
        <v/>
      </c>
      <c r="N767">
        <f>$C767*N766</f>
        <v/>
      </c>
      <c r="O767">
        <f>$C767*O766</f>
        <v/>
      </c>
      <c r="P767">
        <f>$C767*P766</f>
        <v/>
      </c>
      <c r="Q767">
        <f>$C767*Q766</f>
        <v/>
      </c>
      <c r="R767">
        <f>$C767*R766</f>
        <v/>
      </c>
      <c r="S767">
        <f>$C767*S766</f>
        <v/>
      </c>
      <c r="T767">
        <f>$C767*T766</f>
        <v/>
      </c>
      <c r="U767">
        <f>$C767*U766</f>
        <v/>
      </c>
      <c r="V767">
        <f>$C767*V766</f>
        <v/>
      </c>
      <c r="W767">
        <f>$C767*W766</f>
        <v/>
      </c>
      <c r="X767">
        <f>$C767*X766</f>
        <v/>
      </c>
      <c r="Y767">
        <f>$C767*Y766</f>
        <v/>
      </c>
      <c r="Z767">
        <f>$C767*Z766</f>
        <v/>
      </c>
      <c r="AA767">
        <f>$C767*AA766</f>
        <v/>
      </c>
      <c r="AB767">
        <f>$C767*AB766</f>
        <v/>
      </c>
      <c r="AC767">
        <f>$C767*AC766</f>
        <v/>
      </c>
      <c r="AD767">
        <f>$C767*AD766</f>
        <v/>
      </c>
      <c r="AE767">
        <f>$C767*AE766</f>
        <v/>
      </c>
      <c r="AF767">
        <f>$C767*AF766</f>
        <v/>
      </c>
      <c r="AG767">
        <f>$C767*AG766</f>
        <v/>
      </c>
      <c r="AH767">
        <f>$C767*AH766</f>
        <v/>
      </c>
      <c r="AI767">
        <f>$C767*AI766</f>
        <v/>
      </c>
      <c r="AJ767">
        <f>$C767*AJ766</f>
        <v/>
      </c>
      <c r="AK767">
        <f>$C767*AK766</f>
        <v/>
      </c>
      <c r="AL767">
        <f>$C767*AL766</f>
        <v/>
      </c>
      <c r="AM767">
        <f>$C767*AM766</f>
        <v/>
      </c>
      <c r="AN767">
        <f>$C767*AN766</f>
        <v/>
      </c>
      <c r="AO767">
        <f>$C767*AO766</f>
        <v/>
      </c>
      <c r="AP767">
        <f>$C767*AP766</f>
        <v/>
      </c>
      <c r="AQ767">
        <f>$C767*AQ766</f>
        <v/>
      </c>
      <c r="AR767">
        <f>$C767*AR766</f>
        <v/>
      </c>
      <c r="AS767">
        <f>$C767*AS766</f>
        <v/>
      </c>
      <c r="AT767">
        <f>$C767*AT766</f>
        <v/>
      </c>
      <c r="AU767">
        <f>$C767*AU766</f>
        <v/>
      </c>
      <c r="AV767">
        <f>$C767*AV766</f>
        <v/>
      </c>
      <c r="AW767">
        <f>$C767*AW766</f>
        <v/>
      </c>
      <c r="AX767">
        <f>$C767*AX766</f>
        <v/>
      </c>
      <c r="AY767">
        <f>$C767*AY766</f>
        <v/>
      </c>
      <c r="AZ767">
        <f>$C767*AZ766</f>
        <v/>
      </c>
      <c r="BA767">
        <f>$C767*BA766</f>
        <v/>
      </c>
      <c r="BB767">
        <f>$C767*BB766</f>
        <v/>
      </c>
      <c r="BC767">
        <f>$C767*BC766</f>
        <v/>
      </c>
      <c r="BD767">
        <f>$C767*BD766</f>
        <v/>
      </c>
      <c r="BE767">
        <f>$C767*BE766</f>
        <v/>
      </c>
      <c r="BF767">
        <f>$C767*BF766</f>
        <v/>
      </c>
      <c r="BG767">
        <f>$C767*BG766</f>
        <v/>
      </c>
      <c r="BH767">
        <f>$C767*BH766</f>
        <v/>
      </c>
      <c r="BI767">
        <f>$C767*BI766</f>
        <v/>
      </c>
      <c r="BJ767">
        <f>$C767*BJ766</f>
        <v/>
      </c>
      <c r="BK767">
        <f>$C767*BK766</f>
        <v/>
      </c>
      <c r="BL767">
        <f>$C767*BL766</f>
        <v/>
      </c>
      <c r="BM767">
        <f>$C767*BM766</f>
        <v/>
      </c>
      <c r="BN767">
        <f>$C767*BN766</f>
        <v/>
      </c>
      <c r="BO767">
        <f>$C767*BO766</f>
        <v/>
      </c>
      <c r="BP767">
        <f>$C767*BP766</f>
        <v/>
      </c>
      <c r="BQ767">
        <f>$C767*BQ766</f>
        <v/>
      </c>
      <c r="BR767">
        <f>$C767*BR766</f>
        <v/>
      </c>
      <c r="BS767">
        <f>$C767*BS766</f>
        <v/>
      </c>
      <c r="BT767">
        <f>$C767*BT766</f>
        <v/>
      </c>
      <c r="BU767">
        <f>$C767*BU766</f>
        <v/>
      </c>
      <c r="BV767">
        <f>$C767*BV766</f>
        <v/>
      </c>
      <c r="BW767">
        <f>$C767*BW766</f>
        <v/>
      </c>
      <c r="BX767">
        <f>$C767*BX766</f>
        <v/>
      </c>
      <c r="BY767">
        <f>$C767*BY766</f>
        <v/>
      </c>
      <c r="BZ767">
        <f>$C767*BZ766</f>
        <v/>
      </c>
      <c r="CA767">
        <f>$C767*CA766</f>
        <v/>
      </c>
      <c r="CB767">
        <f>$C767*CB766</f>
        <v/>
      </c>
      <c r="CC767">
        <f>$C767*CC766</f>
        <v/>
      </c>
      <c r="CD767">
        <f>$C767*CD766</f>
        <v/>
      </c>
      <c r="CE767">
        <f>$C767*CE766</f>
        <v/>
      </c>
      <c r="CF767">
        <f>$C767*CF766</f>
        <v/>
      </c>
      <c r="CG767">
        <f>$C767*CG766</f>
        <v/>
      </c>
      <c r="CH767">
        <f>$C767*CH766</f>
        <v/>
      </c>
      <c r="CI767">
        <f>$C767*CI766</f>
        <v/>
      </c>
      <c r="CJ767">
        <f>$C767*CJ766</f>
        <v/>
      </c>
      <c r="CK767">
        <f>$C767*CK766</f>
        <v/>
      </c>
      <c r="CL767">
        <f>$C767*CL766</f>
        <v/>
      </c>
      <c r="CM767">
        <f>$C767*CM766</f>
        <v/>
      </c>
      <c r="CN767">
        <f>$C767*CN766</f>
        <v/>
      </c>
      <c r="CO767">
        <f>$C767*CO766</f>
        <v/>
      </c>
      <c r="CP767">
        <f>$C767*CP766</f>
        <v/>
      </c>
      <c r="CQ767">
        <f>$C767*CQ766</f>
        <v/>
      </c>
      <c r="CR767">
        <f>$C767*CR766</f>
        <v/>
      </c>
      <c r="CS767">
        <f>$C767*CS766</f>
        <v/>
      </c>
      <c r="CT767">
        <f>$C767*CT766</f>
        <v/>
      </c>
      <c r="CU767">
        <f>$C767*CU766</f>
        <v/>
      </c>
      <c r="CV767">
        <f>$C767*CV766</f>
        <v/>
      </c>
      <c r="CW767">
        <f>$C767*CW766</f>
        <v/>
      </c>
      <c r="CX767">
        <f>$C767*CX766</f>
        <v/>
      </c>
      <c r="CY767">
        <f>$C767*CY766</f>
        <v/>
      </c>
      <c r="CZ767">
        <f>$C767*CZ766</f>
        <v/>
      </c>
      <c r="DA767">
        <f>$C767*DA766</f>
        <v/>
      </c>
      <c r="DB767">
        <f>$C767*DB766</f>
        <v/>
      </c>
      <c r="DC767">
        <f>$C767*DC766</f>
        <v/>
      </c>
    </row>
    <row r="768">
      <c r="B768" t="inlineStr">
        <is>
          <t>TSP-620</t>
        </is>
      </c>
      <c r="C768" t="inlineStr">
        <is>
          <t>No. of batches</t>
        </is>
      </c>
      <c r="D768">
        <f>IFERROR(INDEX(PP_Grid[#Data],$DD768,2),0)</f>
        <v/>
      </c>
      <c r="E768">
        <f>IFERROR(INDEX(PP_Grid[#Data],$DD768,3),0)</f>
        <v/>
      </c>
      <c r="F768">
        <f>IFERROR(INDEX(PP_Grid[#Data],$DD768,4),0)</f>
        <v/>
      </c>
      <c r="G768">
        <f>IFERROR(INDEX(PP_Grid[#Data],$DD768,5),0)</f>
        <v/>
      </c>
      <c r="H768">
        <f>IFERROR(INDEX(PP_Grid[#Data],$DD768,6),0)</f>
        <v/>
      </c>
      <c r="I768">
        <f>IFERROR(INDEX(PP_Grid[#Data],$DD768,7),0)</f>
        <v/>
      </c>
      <c r="J768">
        <f>IFERROR(INDEX(PP_Grid[#Data],$DD768,8),0)</f>
        <v/>
      </c>
      <c r="K768">
        <f>IFERROR(INDEX(PP_Grid[#Data],$DD768,9),0)</f>
        <v/>
      </c>
      <c r="L768">
        <f>IFERROR(INDEX(PP_Grid[#Data],$DD768,10),0)</f>
        <v/>
      </c>
      <c r="M768">
        <f>IFERROR(INDEX(PP_Grid[#Data],$DD768,11),0)</f>
        <v/>
      </c>
      <c r="N768">
        <f>IFERROR(INDEX(PP_Grid[#Data],$DD768,12),0)</f>
        <v/>
      </c>
      <c r="O768">
        <f>IFERROR(INDEX(PP_Grid[#Data],$DD768,13),0)</f>
        <v/>
      </c>
      <c r="P768">
        <f>IFERROR(INDEX(PP_Grid[#Data],$DD768,14),0)</f>
        <v/>
      </c>
      <c r="Q768">
        <f>IFERROR(INDEX(PP_Grid[#Data],$DD768,15),0)</f>
        <v/>
      </c>
      <c r="R768">
        <f>IFERROR(INDEX(PP_Grid[#Data],$DD768,16),0)</f>
        <v/>
      </c>
      <c r="S768">
        <f>IFERROR(INDEX(PP_Grid[#Data],$DD768,17),0)</f>
        <v/>
      </c>
      <c r="T768">
        <f>IFERROR(INDEX(PP_Grid[#Data],$DD768,18),0)</f>
        <v/>
      </c>
      <c r="U768">
        <f>IFERROR(INDEX(PP_Grid[#Data],$DD768,19),0)</f>
        <v/>
      </c>
      <c r="V768">
        <f>IFERROR(INDEX(PP_Grid[#Data],$DD768,20),0)</f>
        <v/>
      </c>
      <c r="W768">
        <f>IFERROR(INDEX(PP_Grid[#Data],$DD768,21),0)</f>
        <v/>
      </c>
      <c r="X768">
        <f>IFERROR(INDEX(PP_Grid[#Data],$DD768,22),0)</f>
        <v/>
      </c>
      <c r="Y768">
        <f>IFERROR(INDEX(PP_Grid[#Data],$DD768,23),0)</f>
        <v/>
      </c>
      <c r="Z768">
        <f>IFERROR(INDEX(PP_Grid[#Data],$DD768,24),0)</f>
        <v/>
      </c>
      <c r="AA768">
        <f>IFERROR(INDEX(PP_Grid[#Data],$DD768,25),0)</f>
        <v/>
      </c>
      <c r="AB768">
        <f>IFERROR(INDEX(PP_Grid[#Data],$DD768,26),0)</f>
        <v/>
      </c>
      <c r="AC768">
        <f>IFERROR(INDEX(PP_Grid[#Data],$DD768,27),0)</f>
        <v/>
      </c>
      <c r="AD768">
        <f>IFERROR(INDEX(PP_Grid[#Data],$DD768,28),0)</f>
        <v/>
      </c>
      <c r="AE768">
        <f>IFERROR(INDEX(PP_Grid[#Data],$DD768,29),0)</f>
        <v/>
      </c>
      <c r="AF768">
        <f>IFERROR(INDEX(PP_Grid[#Data],$DD768,30),0)</f>
        <v/>
      </c>
      <c r="AG768">
        <f>IFERROR(INDEX(PP_Grid[#Data],$DD768,31),0)</f>
        <v/>
      </c>
      <c r="AH768">
        <f>IFERROR(INDEX(PP_Grid[#Data],$DD768,32),0)</f>
        <v/>
      </c>
      <c r="AI768">
        <f>IFERROR(INDEX(PP_Grid[#Data],$DD768,33),0)</f>
        <v/>
      </c>
      <c r="AJ768">
        <f>IFERROR(INDEX(PP_Grid[#Data],$DD768,34),0)</f>
        <v/>
      </c>
      <c r="AK768">
        <f>IFERROR(INDEX(PP_Grid[#Data],$DD768,35),0)</f>
        <v/>
      </c>
      <c r="AL768">
        <f>IFERROR(INDEX(PP_Grid[#Data],$DD768,36),0)</f>
        <v/>
      </c>
      <c r="AM768">
        <f>IFERROR(INDEX(PP_Grid[#Data],$DD768,37),0)</f>
        <v/>
      </c>
      <c r="AN768">
        <f>IFERROR(INDEX(PP_Grid[#Data],$DD768,38),0)</f>
        <v/>
      </c>
      <c r="AO768">
        <f>IFERROR(INDEX(PP_Grid[#Data],$DD768,39),0)</f>
        <v/>
      </c>
      <c r="AP768">
        <f>IFERROR(INDEX(PP_Grid[#Data],$DD768,40),0)</f>
        <v/>
      </c>
      <c r="AQ768">
        <f>IFERROR(INDEX(PP_Grid[#Data],$DD768,41),0)</f>
        <v/>
      </c>
      <c r="AR768">
        <f>IFERROR(INDEX(PP_Grid[#Data],$DD768,42),0)</f>
        <v/>
      </c>
      <c r="AS768">
        <f>IFERROR(INDEX(PP_Grid[#Data],$DD768,43),0)</f>
        <v/>
      </c>
      <c r="AT768">
        <f>IFERROR(INDEX(PP_Grid[#Data],$DD768,44),0)</f>
        <v/>
      </c>
      <c r="AU768">
        <f>IFERROR(INDEX(PP_Grid[#Data],$DD768,45),0)</f>
        <v/>
      </c>
      <c r="AV768">
        <f>IFERROR(INDEX(PP_Grid[#Data],$DD768,46),0)</f>
        <v/>
      </c>
      <c r="AW768">
        <f>IFERROR(INDEX(PP_Grid[#Data],$DD768,47),0)</f>
        <v/>
      </c>
      <c r="AX768">
        <f>IFERROR(INDEX(PP_Grid[#Data],$DD768,48),0)</f>
        <v/>
      </c>
      <c r="AY768">
        <f>IFERROR(INDEX(PP_Grid[#Data],$DD768,49),0)</f>
        <v/>
      </c>
      <c r="AZ768">
        <f>IFERROR(INDEX(PP_Grid[#Data],$DD768,50),0)</f>
        <v/>
      </c>
      <c r="BA768">
        <f>IFERROR(INDEX(PP_Grid[#Data],$DD768,51),0)</f>
        <v/>
      </c>
      <c r="BB768">
        <f>IFERROR(INDEX(PP_Grid[#Data],$DD768,52),0)</f>
        <v/>
      </c>
      <c r="BC768">
        <f>IFERROR(INDEX(PP_Grid[#Data],$DD768,53),0)</f>
        <v/>
      </c>
      <c r="BD768">
        <f>IFERROR(INDEX(PP_Grid[#Data],$DD768,54),0)</f>
        <v/>
      </c>
      <c r="BE768">
        <f>IFERROR(INDEX(PP_Grid[#Data],$DD768,55),0)</f>
        <v/>
      </c>
      <c r="BF768">
        <f>IFERROR(INDEX(PP_Grid[#Data],$DD768,56),0)</f>
        <v/>
      </c>
      <c r="BG768">
        <f>IFERROR(INDEX(PP_Grid[#Data],$DD768,57),0)</f>
        <v/>
      </c>
      <c r="BH768">
        <f>IFERROR(INDEX(PP_Grid[#Data],$DD768,58),0)</f>
        <v/>
      </c>
      <c r="BI768">
        <f>IFERROR(INDEX(PP_Grid[#Data],$DD768,59),0)</f>
        <v/>
      </c>
      <c r="BJ768">
        <f>IFERROR(INDEX(PP_Grid[#Data],$DD768,60),0)</f>
        <v/>
      </c>
      <c r="BK768">
        <f>IFERROR(INDEX(PP_Grid[#Data],$DD768,61),0)</f>
        <v/>
      </c>
      <c r="BL768">
        <f>IFERROR(INDEX(PP_Grid[#Data],$DD768,62),0)</f>
        <v/>
      </c>
      <c r="BM768">
        <f>IFERROR(INDEX(PP_Grid[#Data],$DD768,63),0)</f>
        <v/>
      </c>
      <c r="BN768">
        <f>IFERROR(INDEX(PP_Grid[#Data],$DD768,64),0)</f>
        <v/>
      </c>
      <c r="BO768">
        <f>IFERROR(INDEX(PP_Grid[#Data],$DD768,65),0)</f>
        <v/>
      </c>
      <c r="BP768">
        <f>IFERROR(INDEX(PP_Grid[#Data],$DD768,66),0)</f>
        <v/>
      </c>
      <c r="BQ768">
        <f>IFERROR(INDEX(PP_Grid[#Data],$DD768,67),0)</f>
        <v/>
      </c>
      <c r="BR768">
        <f>IFERROR(INDEX(PP_Grid[#Data],$DD768,68),0)</f>
        <v/>
      </c>
      <c r="BS768">
        <f>IFERROR(INDEX(PP_Grid[#Data],$DD768,69),0)</f>
        <v/>
      </c>
      <c r="BT768">
        <f>IFERROR(INDEX(PP_Grid[#Data],$DD768,70),0)</f>
        <v/>
      </c>
      <c r="BU768">
        <f>IFERROR(INDEX(PP_Grid[#Data],$DD768,71),0)</f>
        <v/>
      </c>
      <c r="BV768">
        <f>IFERROR(INDEX(PP_Grid[#Data],$DD768,72),0)</f>
        <v/>
      </c>
      <c r="BW768">
        <f>IFERROR(INDEX(PP_Grid[#Data],$DD768,73),0)</f>
        <v/>
      </c>
      <c r="BX768">
        <f>IFERROR(INDEX(PP_Grid[#Data],$DD768,74),0)</f>
        <v/>
      </c>
      <c r="BY768">
        <f>IFERROR(INDEX(PP_Grid[#Data],$DD768,75),0)</f>
        <v/>
      </c>
      <c r="BZ768">
        <f>IFERROR(INDEX(PP_Grid[#Data],$DD768,76),0)</f>
        <v/>
      </c>
      <c r="CA768">
        <f>IFERROR(INDEX(PP_Grid[#Data],$DD768,77),0)</f>
        <v/>
      </c>
      <c r="CB768">
        <f>IFERROR(INDEX(PP_Grid[#Data],$DD768,78),0)</f>
        <v/>
      </c>
      <c r="CC768">
        <f>IFERROR(INDEX(PP_Grid[#Data],$DD768,79),0)</f>
        <v/>
      </c>
      <c r="CD768">
        <f>IFERROR(INDEX(PP_Grid[#Data],$DD768,80),0)</f>
        <v/>
      </c>
      <c r="CE768">
        <f>IFERROR(INDEX(PP_Grid[#Data],$DD768,81),0)</f>
        <v/>
      </c>
      <c r="CF768">
        <f>IFERROR(INDEX(PP_Grid[#Data],$DD768,82),0)</f>
        <v/>
      </c>
      <c r="CG768">
        <f>IFERROR(INDEX(PP_Grid[#Data],$DD768,83),0)</f>
        <v/>
      </c>
      <c r="CH768">
        <f>IFERROR(INDEX(PP_Grid[#Data],$DD768,84),0)</f>
        <v/>
      </c>
      <c r="CI768">
        <f>IFERROR(INDEX(PP_Grid[#Data],$DD768,85),0)</f>
        <v/>
      </c>
      <c r="CJ768">
        <f>IFERROR(INDEX(PP_Grid[#Data],$DD768,86),0)</f>
        <v/>
      </c>
      <c r="CK768">
        <f>IFERROR(INDEX(PP_Grid[#Data],$DD768,87),0)</f>
        <v/>
      </c>
      <c r="CL768">
        <f>IFERROR(INDEX(PP_Grid[#Data],$DD768,88),0)</f>
        <v/>
      </c>
      <c r="CM768">
        <f>IFERROR(INDEX(PP_Grid[#Data],$DD768,89),0)</f>
        <v/>
      </c>
      <c r="CN768">
        <f>IFERROR(INDEX(PP_Grid[#Data],$DD768,90),0)</f>
        <v/>
      </c>
      <c r="CO768">
        <f>IFERROR(INDEX(PP_Grid[#Data],$DD768,91),0)</f>
        <v/>
      </c>
      <c r="CP768">
        <f>IFERROR(INDEX(PP_Grid[#Data],$DD768,92),0)</f>
        <v/>
      </c>
      <c r="CQ768">
        <f>IFERROR(INDEX(PP_Grid[#Data],$DD768,93),0)</f>
        <v/>
      </c>
      <c r="CR768">
        <f>IFERROR(INDEX(PP_Grid[#Data],$DD768,94),0)</f>
        <v/>
      </c>
      <c r="CS768">
        <f>IFERROR(INDEX(PP_Grid[#Data],$DD768,95),0)</f>
        <v/>
      </c>
      <c r="CT768">
        <f>IFERROR(INDEX(PP_Grid[#Data],$DD768,96),0)</f>
        <v/>
      </c>
      <c r="CU768">
        <f>IFERROR(INDEX(PP_Grid[#Data],$DD768,97),0)</f>
        <v/>
      </c>
      <c r="CV768">
        <f>IFERROR(INDEX(PP_Grid[#Data],$DD768,98),0)</f>
        <v/>
      </c>
      <c r="CW768">
        <f>IFERROR(INDEX(PP_Grid[#Data],$DD768,99),0)</f>
        <v/>
      </c>
      <c r="CX768">
        <f>IFERROR(INDEX(PP_Grid[#Data],$DD768,100),0)</f>
        <v/>
      </c>
      <c r="CY768">
        <f>IFERROR(INDEX(PP_Grid[#Data],$DD768,101),0)</f>
        <v/>
      </c>
      <c r="CZ768">
        <f>IFERROR(INDEX(PP_Grid[#Data],$DD768,102),0)</f>
        <v/>
      </c>
      <c r="DA768">
        <f>IFERROR(INDEX(PP_Grid[#Data],$DD768,103),0)</f>
        <v/>
      </c>
      <c r="DB768">
        <f>IFERROR(INDEX(PP_Grid[#Data],$DD768,104),0)</f>
        <v/>
      </c>
      <c r="DC768">
        <f>IFERROR(INDEX(PP_Grid[#Data],$DD768,105),0)</f>
        <v/>
      </c>
      <c r="DD768" s="7">
        <f>IFERROR(MATCH($B768,PP_Grid[Intermediate],0),99999)</f>
        <v/>
      </c>
    </row>
    <row r="769">
      <c r="B769" t="inlineStr">
        <is>
          <t>使用量(kg)</t>
        </is>
      </c>
      <c r="C769">
        <f>SUMIFS(M_BOM[RM_Qty_Per_Batch],M_BOM[Intermediate],$B768,M_BOM[Part Name],$A759)</f>
        <v/>
      </c>
      <c r="D769">
        <f>$C769*D768</f>
        <v/>
      </c>
      <c r="E769">
        <f>$C769*E768</f>
        <v/>
      </c>
      <c r="F769">
        <f>$C769*F768</f>
        <v/>
      </c>
      <c r="G769">
        <f>$C769*G768</f>
        <v/>
      </c>
      <c r="H769">
        <f>$C769*H768</f>
        <v/>
      </c>
      <c r="I769">
        <f>$C769*I768</f>
        <v/>
      </c>
      <c r="J769">
        <f>$C769*J768</f>
        <v/>
      </c>
      <c r="K769">
        <f>$C769*K768</f>
        <v/>
      </c>
      <c r="L769">
        <f>$C769*L768</f>
        <v/>
      </c>
      <c r="M769">
        <f>$C769*M768</f>
        <v/>
      </c>
      <c r="N769">
        <f>$C769*N768</f>
        <v/>
      </c>
      <c r="O769">
        <f>$C769*O768</f>
        <v/>
      </c>
      <c r="P769">
        <f>$C769*P768</f>
        <v/>
      </c>
      <c r="Q769">
        <f>$C769*Q768</f>
        <v/>
      </c>
      <c r="R769">
        <f>$C769*R768</f>
        <v/>
      </c>
      <c r="S769">
        <f>$C769*S768</f>
        <v/>
      </c>
      <c r="T769">
        <f>$C769*T768</f>
        <v/>
      </c>
      <c r="U769">
        <f>$C769*U768</f>
        <v/>
      </c>
      <c r="V769">
        <f>$C769*V768</f>
        <v/>
      </c>
      <c r="W769">
        <f>$C769*W768</f>
        <v/>
      </c>
      <c r="X769">
        <f>$C769*X768</f>
        <v/>
      </c>
      <c r="Y769">
        <f>$C769*Y768</f>
        <v/>
      </c>
      <c r="Z769">
        <f>$C769*Z768</f>
        <v/>
      </c>
      <c r="AA769">
        <f>$C769*AA768</f>
        <v/>
      </c>
      <c r="AB769">
        <f>$C769*AB768</f>
        <v/>
      </c>
      <c r="AC769">
        <f>$C769*AC768</f>
        <v/>
      </c>
      <c r="AD769">
        <f>$C769*AD768</f>
        <v/>
      </c>
      <c r="AE769">
        <f>$C769*AE768</f>
        <v/>
      </c>
      <c r="AF769">
        <f>$C769*AF768</f>
        <v/>
      </c>
      <c r="AG769">
        <f>$C769*AG768</f>
        <v/>
      </c>
      <c r="AH769">
        <f>$C769*AH768</f>
        <v/>
      </c>
      <c r="AI769">
        <f>$C769*AI768</f>
        <v/>
      </c>
      <c r="AJ769">
        <f>$C769*AJ768</f>
        <v/>
      </c>
      <c r="AK769">
        <f>$C769*AK768</f>
        <v/>
      </c>
      <c r="AL769">
        <f>$C769*AL768</f>
        <v/>
      </c>
      <c r="AM769">
        <f>$C769*AM768</f>
        <v/>
      </c>
      <c r="AN769">
        <f>$C769*AN768</f>
        <v/>
      </c>
      <c r="AO769">
        <f>$C769*AO768</f>
        <v/>
      </c>
      <c r="AP769">
        <f>$C769*AP768</f>
        <v/>
      </c>
      <c r="AQ769">
        <f>$C769*AQ768</f>
        <v/>
      </c>
      <c r="AR769">
        <f>$C769*AR768</f>
        <v/>
      </c>
      <c r="AS769">
        <f>$C769*AS768</f>
        <v/>
      </c>
      <c r="AT769">
        <f>$C769*AT768</f>
        <v/>
      </c>
      <c r="AU769">
        <f>$C769*AU768</f>
        <v/>
      </c>
      <c r="AV769">
        <f>$C769*AV768</f>
        <v/>
      </c>
      <c r="AW769">
        <f>$C769*AW768</f>
        <v/>
      </c>
      <c r="AX769">
        <f>$C769*AX768</f>
        <v/>
      </c>
      <c r="AY769">
        <f>$C769*AY768</f>
        <v/>
      </c>
      <c r="AZ769">
        <f>$C769*AZ768</f>
        <v/>
      </c>
      <c r="BA769">
        <f>$C769*BA768</f>
        <v/>
      </c>
      <c r="BB769">
        <f>$C769*BB768</f>
        <v/>
      </c>
      <c r="BC769">
        <f>$C769*BC768</f>
        <v/>
      </c>
      <c r="BD769">
        <f>$C769*BD768</f>
        <v/>
      </c>
      <c r="BE769">
        <f>$C769*BE768</f>
        <v/>
      </c>
      <c r="BF769">
        <f>$C769*BF768</f>
        <v/>
      </c>
      <c r="BG769">
        <f>$C769*BG768</f>
        <v/>
      </c>
      <c r="BH769">
        <f>$C769*BH768</f>
        <v/>
      </c>
      <c r="BI769">
        <f>$C769*BI768</f>
        <v/>
      </c>
      <c r="BJ769">
        <f>$C769*BJ768</f>
        <v/>
      </c>
      <c r="BK769">
        <f>$C769*BK768</f>
        <v/>
      </c>
      <c r="BL769">
        <f>$C769*BL768</f>
        <v/>
      </c>
      <c r="BM769">
        <f>$C769*BM768</f>
        <v/>
      </c>
      <c r="BN769">
        <f>$C769*BN768</f>
        <v/>
      </c>
      <c r="BO769">
        <f>$C769*BO768</f>
        <v/>
      </c>
      <c r="BP769">
        <f>$C769*BP768</f>
        <v/>
      </c>
      <c r="BQ769">
        <f>$C769*BQ768</f>
        <v/>
      </c>
      <c r="BR769">
        <f>$C769*BR768</f>
        <v/>
      </c>
      <c r="BS769">
        <f>$C769*BS768</f>
        <v/>
      </c>
      <c r="BT769">
        <f>$C769*BT768</f>
        <v/>
      </c>
      <c r="BU769">
        <f>$C769*BU768</f>
        <v/>
      </c>
      <c r="BV769">
        <f>$C769*BV768</f>
        <v/>
      </c>
      <c r="BW769">
        <f>$C769*BW768</f>
        <v/>
      </c>
      <c r="BX769">
        <f>$C769*BX768</f>
        <v/>
      </c>
      <c r="BY769">
        <f>$C769*BY768</f>
        <v/>
      </c>
      <c r="BZ769">
        <f>$C769*BZ768</f>
        <v/>
      </c>
      <c r="CA769">
        <f>$C769*CA768</f>
        <v/>
      </c>
      <c r="CB769">
        <f>$C769*CB768</f>
        <v/>
      </c>
      <c r="CC769">
        <f>$C769*CC768</f>
        <v/>
      </c>
      <c r="CD769">
        <f>$C769*CD768</f>
        <v/>
      </c>
      <c r="CE769">
        <f>$C769*CE768</f>
        <v/>
      </c>
      <c r="CF769">
        <f>$C769*CF768</f>
        <v/>
      </c>
      <c r="CG769">
        <f>$C769*CG768</f>
        <v/>
      </c>
      <c r="CH769">
        <f>$C769*CH768</f>
        <v/>
      </c>
      <c r="CI769">
        <f>$C769*CI768</f>
        <v/>
      </c>
      <c r="CJ769">
        <f>$C769*CJ768</f>
        <v/>
      </c>
      <c r="CK769">
        <f>$C769*CK768</f>
        <v/>
      </c>
      <c r="CL769">
        <f>$C769*CL768</f>
        <v/>
      </c>
      <c r="CM769">
        <f>$C769*CM768</f>
        <v/>
      </c>
      <c r="CN769">
        <f>$C769*CN768</f>
        <v/>
      </c>
      <c r="CO769">
        <f>$C769*CO768</f>
        <v/>
      </c>
      <c r="CP769">
        <f>$C769*CP768</f>
        <v/>
      </c>
      <c r="CQ769">
        <f>$C769*CQ768</f>
        <v/>
      </c>
      <c r="CR769">
        <f>$C769*CR768</f>
        <v/>
      </c>
      <c r="CS769">
        <f>$C769*CS768</f>
        <v/>
      </c>
      <c r="CT769">
        <f>$C769*CT768</f>
        <v/>
      </c>
      <c r="CU769">
        <f>$C769*CU768</f>
        <v/>
      </c>
      <c r="CV769">
        <f>$C769*CV768</f>
        <v/>
      </c>
      <c r="CW769">
        <f>$C769*CW768</f>
        <v/>
      </c>
      <c r="CX769">
        <f>$C769*CX768</f>
        <v/>
      </c>
      <c r="CY769">
        <f>$C769*CY768</f>
        <v/>
      </c>
      <c r="CZ769">
        <f>$C769*CZ768</f>
        <v/>
      </c>
      <c r="DA769">
        <f>$C769*DA768</f>
        <v/>
      </c>
      <c r="DB769">
        <f>$C769*DB768</f>
        <v/>
      </c>
      <c r="DC769">
        <f>$C769*DC768</f>
        <v/>
      </c>
    </row>
    <row r="770">
      <c r="B770" t="inlineStr">
        <is>
          <t>TSP-623</t>
        </is>
      </c>
      <c r="C770" t="inlineStr">
        <is>
          <t>No. of batches</t>
        </is>
      </c>
      <c r="D770">
        <f>IFERROR(INDEX(PP_Grid[#Data],$DD770,2),0)</f>
        <v/>
      </c>
      <c r="E770">
        <f>IFERROR(INDEX(PP_Grid[#Data],$DD770,3),0)</f>
        <v/>
      </c>
      <c r="F770">
        <f>IFERROR(INDEX(PP_Grid[#Data],$DD770,4),0)</f>
        <v/>
      </c>
      <c r="G770">
        <f>IFERROR(INDEX(PP_Grid[#Data],$DD770,5),0)</f>
        <v/>
      </c>
      <c r="H770">
        <f>IFERROR(INDEX(PP_Grid[#Data],$DD770,6),0)</f>
        <v/>
      </c>
      <c r="I770">
        <f>IFERROR(INDEX(PP_Grid[#Data],$DD770,7),0)</f>
        <v/>
      </c>
      <c r="J770">
        <f>IFERROR(INDEX(PP_Grid[#Data],$DD770,8),0)</f>
        <v/>
      </c>
      <c r="K770">
        <f>IFERROR(INDEX(PP_Grid[#Data],$DD770,9),0)</f>
        <v/>
      </c>
      <c r="L770">
        <f>IFERROR(INDEX(PP_Grid[#Data],$DD770,10),0)</f>
        <v/>
      </c>
      <c r="M770">
        <f>IFERROR(INDEX(PP_Grid[#Data],$DD770,11),0)</f>
        <v/>
      </c>
      <c r="N770">
        <f>IFERROR(INDEX(PP_Grid[#Data],$DD770,12),0)</f>
        <v/>
      </c>
      <c r="O770">
        <f>IFERROR(INDEX(PP_Grid[#Data],$DD770,13),0)</f>
        <v/>
      </c>
      <c r="P770">
        <f>IFERROR(INDEX(PP_Grid[#Data],$DD770,14),0)</f>
        <v/>
      </c>
      <c r="Q770">
        <f>IFERROR(INDEX(PP_Grid[#Data],$DD770,15),0)</f>
        <v/>
      </c>
      <c r="R770">
        <f>IFERROR(INDEX(PP_Grid[#Data],$DD770,16),0)</f>
        <v/>
      </c>
      <c r="S770">
        <f>IFERROR(INDEX(PP_Grid[#Data],$DD770,17),0)</f>
        <v/>
      </c>
      <c r="T770">
        <f>IFERROR(INDEX(PP_Grid[#Data],$DD770,18),0)</f>
        <v/>
      </c>
      <c r="U770">
        <f>IFERROR(INDEX(PP_Grid[#Data],$DD770,19),0)</f>
        <v/>
      </c>
      <c r="V770">
        <f>IFERROR(INDEX(PP_Grid[#Data],$DD770,20),0)</f>
        <v/>
      </c>
      <c r="W770">
        <f>IFERROR(INDEX(PP_Grid[#Data],$DD770,21),0)</f>
        <v/>
      </c>
      <c r="X770">
        <f>IFERROR(INDEX(PP_Grid[#Data],$DD770,22),0)</f>
        <v/>
      </c>
      <c r="Y770">
        <f>IFERROR(INDEX(PP_Grid[#Data],$DD770,23),0)</f>
        <v/>
      </c>
      <c r="Z770">
        <f>IFERROR(INDEX(PP_Grid[#Data],$DD770,24),0)</f>
        <v/>
      </c>
      <c r="AA770">
        <f>IFERROR(INDEX(PP_Grid[#Data],$DD770,25),0)</f>
        <v/>
      </c>
      <c r="AB770">
        <f>IFERROR(INDEX(PP_Grid[#Data],$DD770,26),0)</f>
        <v/>
      </c>
      <c r="AC770">
        <f>IFERROR(INDEX(PP_Grid[#Data],$DD770,27),0)</f>
        <v/>
      </c>
      <c r="AD770">
        <f>IFERROR(INDEX(PP_Grid[#Data],$DD770,28),0)</f>
        <v/>
      </c>
      <c r="AE770">
        <f>IFERROR(INDEX(PP_Grid[#Data],$DD770,29),0)</f>
        <v/>
      </c>
      <c r="AF770">
        <f>IFERROR(INDEX(PP_Grid[#Data],$DD770,30),0)</f>
        <v/>
      </c>
      <c r="AG770">
        <f>IFERROR(INDEX(PP_Grid[#Data],$DD770,31),0)</f>
        <v/>
      </c>
      <c r="AH770">
        <f>IFERROR(INDEX(PP_Grid[#Data],$DD770,32),0)</f>
        <v/>
      </c>
      <c r="AI770">
        <f>IFERROR(INDEX(PP_Grid[#Data],$DD770,33),0)</f>
        <v/>
      </c>
      <c r="AJ770">
        <f>IFERROR(INDEX(PP_Grid[#Data],$DD770,34),0)</f>
        <v/>
      </c>
      <c r="AK770">
        <f>IFERROR(INDEX(PP_Grid[#Data],$DD770,35),0)</f>
        <v/>
      </c>
      <c r="AL770">
        <f>IFERROR(INDEX(PP_Grid[#Data],$DD770,36),0)</f>
        <v/>
      </c>
      <c r="AM770">
        <f>IFERROR(INDEX(PP_Grid[#Data],$DD770,37),0)</f>
        <v/>
      </c>
      <c r="AN770">
        <f>IFERROR(INDEX(PP_Grid[#Data],$DD770,38),0)</f>
        <v/>
      </c>
      <c r="AO770">
        <f>IFERROR(INDEX(PP_Grid[#Data],$DD770,39),0)</f>
        <v/>
      </c>
      <c r="AP770">
        <f>IFERROR(INDEX(PP_Grid[#Data],$DD770,40),0)</f>
        <v/>
      </c>
      <c r="AQ770">
        <f>IFERROR(INDEX(PP_Grid[#Data],$DD770,41),0)</f>
        <v/>
      </c>
      <c r="AR770">
        <f>IFERROR(INDEX(PP_Grid[#Data],$DD770,42),0)</f>
        <v/>
      </c>
      <c r="AS770">
        <f>IFERROR(INDEX(PP_Grid[#Data],$DD770,43),0)</f>
        <v/>
      </c>
      <c r="AT770">
        <f>IFERROR(INDEX(PP_Grid[#Data],$DD770,44),0)</f>
        <v/>
      </c>
      <c r="AU770">
        <f>IFERROR(INDEX(PP_Grid[#Data],$DD770,45),0)</f>
        <v/>
      </c>
      <c r="AV770">
        <f>IFERROR(INDEX(PP_Grid[#Data],$DD770,46),0)</f>
        <v/>
      </c>
      <c r="AW770">
        <f>IFERROR(INDEX(PP_Grid[#Data],$DD770,47),0)</f>
        <v/>
      </c>
      <c r="AX770">
        <f>IFERROR(INDEX(PP_Grid[#Data],$DD770,48),0)</f>
        <v/>
      </c>
      <c r="AY770">
        <f>IFERROR(INDEX(PP_Grid[#Data],$DD770,49),0)</f>
        <v/>
      </c>
      <c r="AZ770">
        <f>IFERROR(INDEX(PP_Grid[#Data],$DD770,50),0)</f>
        <v/>
      </c>
      <c r="BA770">
        <f>IFERROR(INDEX(PP_Grid[#Data],$DD770,51),0)</f>
        <v/>
      </c>
      <c r="BB770">
        <f>IFERROR(INDEX(PP_Grid[#Data],$DD770,52),0)</f>
        <v/>
      </c>
      <c r="BC770">
        <f>IFERROR(INDEX(PP_Grid[#Data],$DD770,53),0)</f>
        <v/>
      </c>
      <c r="BD770">
        <f>IFERROR(INDEX(PP_Grid[#Data],$DD770,54),0)</f>
        <v/>
      </c>
      <c r="BE770">
        <f>IFERROR(INDEX(PP_Grid[#Data],$DD770,55),0)</f>
        <v/>
      </c>
      <c r="BF770">
        <f>IFERROR(INDEX(PP_Grid[#Data],$DD770,56),0)</f>
        <v/>
      </c>
      <c r="BG770">
        <f>IFERROR(INDEX(PP_Grid[#Data],$DD770,57),0)</f>
        <v/>
      </c>
      <c r="BH770">
        <f>IFERROR(INDEX(PP_Grid[#Data],$DD770,58),0)</f>
        <v/>
      </c>
      <c r="BI770">
        <f>IFERROR(INDEX(PP_Grid[#Data],$DD770,59),0)</f>
        <v/>
      </c>
      <c r="BJ770">
        <f>IFERROR(INDEX(PP_Grid[#Data],$DD770,60),0)</f>
        <v/>
      </c>
      <c r="BK770">
        <f>IFERROR(INDEX(PP_Grid[#Data],$DD770,61),0)</f>
        <v/>
      </c>
      <c r="BL770">
        <f>IFERROR(INDEX(PP_Grid[#Data],$DD770,62),0)</f>
        <v/>
      </c>
      <c r="BM770">
        <f>IFERROR(INDEX(PP_Grid[#Data],$DD770,63),0)</f>
        <v/>
      </c>
      <c r="BN770">
        <f>IFERROR(INDEX(PP_Grid[#Data],$DD770,64),0)</f>
        <v/>
      </c>
      <c r="BO770">
        <f>IFERROR(INDEX(PP_Grid[#Data],$DD770,65),0)</f>
        <v/>
      </c>
      <c r="BP770">
        <f>IFERROR(INDEX(PP_Grid[#Data],$DD770,66),0)</f>
        <v/>
      </c>
      <c r="BQ770">
        <f>IFERROR(INDEX(PP_Grid[#Data],$DD770,67),0)</f>
        <v/>
      </c>
      <c r="BR770">
        <f>IFERROR(INDEX(PP_Grid[#Data],$DD770,68),0)</f>
        <v/>
      </c>
      <c r="BS770">
        <f>IFERROR(INDEX(PP_Grid[#Data],$DD770,69),0)</f>
        <v/>
      </c>
      <c r="BT770">
        <f>IFERROR(INDEX(PP_Grid[#Data],$DD770,70),0)</f>
        <v/>
      </c>
      <c r="BU770">
        <f>IFERROR(INDEX(PP_Grid[#Data],$DD770,71),0)</f>
        <v/>
      </c>
      <c r="BV770">
        <f>IFERROR(INDEX(PP_Grid[#Data],$DD770,72),0)</f>
        <v/>
      </c>
      <c r="BW770">
        <f>IFERROR(INDEX(PP_Grid[#Data],$DD770,73),0)</f>
        <v/>
      </c>
      <c r="BX770">
        <f>IFERROR(INDEX(PP_Grid[#Data],$DD770,74),0)</f>
        <v/>
      </c>
      <c r="BY770">
        <f>IFERROR(INDEX(PP_Grid[#Data],$DD770,75),0)</f>
        <v/>
      </c>
      <c r="BZ770">
        <f>IFERROR(INDEX(PP_Grid[#Data],$DD770,76),0)</f>
        <v/>
      </c>
      <c r="CA770">
        <f>IFERROR(INDEX(PP_Grid[#Data],$DD770,77),0)</f>
        <v/>
      </c>
      <c r="CB770">
        <f>IFERROR(INDEX(PP_Grid[#Data],$DD770,78),0)</f>
        <v/>
      </c>
      <c r="CC770">
        <f>IFERROR(INDEX(PP_Grid[#Data],$DD770,79),0)</f>
        <v/>
      </c>
      <c r="CD770">
        <f>IFERROR(INDEX(PP_Grid[#Data],$DD770,80),0)</f>
        <v/>
      </c>
      <c r="CE770">
        <f>IFERROR(INDEX(PP_Grid[#Data],$DD770,81),0)</f>
        <v/>
      </c>
      <c r="CF770">
        <f>IFERROR(INDEX(PP_Grid[#Data],$DD770,82),0)</f>
        <v/>
      </c>
      <c r="CG770">
        <f>IFERROR(INDEX(PP_Grid[#Data],$DD770,83),0)</f>
        <v/>
      </c>
      <c r="CH770">
        <f>IFERROR(INDEX(PP_Grid[#Data],$DD770,84),0)</f>
        <v/>
      </c>
      <c r="CI770">
        <f>IFERROR(INDEX(PP_Grid[#Data],$DD770,85),0)</f>
        <v/>
      </c>
      <c r="CJ770">
        <f>IFERROR(INDEX(PP_Grid[#Data],$DD770,86),0)</f>
        <v/>
      </c>
      <c r="CK770">
        <f>IFERROR(INDEX(PP_Grid[#Data],$DD770,87),0)</f>
        <v/>
      </c>
      <c r="CL770">
        <f>IFERROR(INDEX(PP_Grid[#Data],$DD770,88),0)</f>
        <v/>
      </c>
      <c r="CM770">
        <f>IFERROR(INDEX(PP_Grid[#Data],$DD770,89),0)</f>
        <v/>
      </c>
      <c r="CN770">
        <f>IFERROR(INDEX(PP_Grid[#Data],$DD770,90),0)</f>
        <v/>
      </c>
      <c r="CO770">
        <f>IFERROR(INDEX(PP_Grid[#Data],$DD770,91),0)</f>
        <v/>
      </c>
      <c r="CP770">
        <f>IFERROR(INDEX(PP_Grid[#Data],$DD770,92),0)</f>
        <v/>
      </c>
      <c r="CQ770">
        <f>IFERROR(INDEX(PP_Grid[#Data],$DD770,93),0)</f>
        <v/>
      </c>
      <c r="CR770">
        <f>IFERROR(INDEX(PP_Grid[#Data],$DD770,94),0)</f>
        <v/>
      </c>
      <c r="CS770">
        <f>IFERROR(INDEX(PP_Grid[#Data],$DD770,95),0)</f>
        <v/>
      </c>
      <c r="CT770">
        <f>IFERROR(INDEX(PP_Grid[#Data],$DD770,96),0)</f>
        <v/>
      </c>
      <c r="CU770">
        <f>IFERROR(INDEX(PP_Grid[#Data],$DD770,97),0)</f>
        <v/>
      </c>
      <c r="CV770">
        <f>IFERROR(INDEX(PP_Grid[#Data],$DD770,98),0)</f>
        <v/>
      </c>
      <c r="CW770">
        <f>IFERROR(INDEX(PP_Grid[#Data],$DD770,99),0)</f>
        <v/>
      </c>
      <c r="CX770">
        <f>IFERROR(INDEX(PP_Grid[#Data],$DD770,100),0)</f>
        <v/>
      </c>
      <c r="CY770">
        <f>IFERROR(INDEX(PP_Grid[#Data],$DD770,101),0)</f>
        <v/>
      </c>
      <c r="CZ770">
        <f>IFERROR(INDEX(PP_Grid[#Data],$DD770,102),0)</f>
        <v/>
      </c>
      <c r="DA770">
        <f>IFERROR(INDEX(PP_Grid[#Data],$DD770,103),0)</f>
        <v/>
      </c>
      <c r="DB770">
        <f>IFERROR(INDEX(PP_Grid[#Data],$DD770,104),0)</f>
        <v/>
      </c>
      <c r="DC770">
        <f>IFERROR(INDEX(PP_Grid[#Data],$DD770,105),0)</f>
        <v/>
      </c>
      <c r="DD770" s="7">
        <f>IFERROR(MATCH($B770,PP_Grid[Intermediate],0),99999)</f>
        <v/>
      </c>
    </row>
    <row r="771">
      <c r="B771" t="inlineStr">
        <is>
          <t>使用量(kg)</t>
        </is>
      </c>
      <c r="C771">
        <f>SUMIFS(M_BOM[RM_Qty_Per_Batch],M_BOM[Intermediate],$B770,M_BOM[Part Name],$A759)</f>
        <v/>
      </c>
      <c r="D771">
        <f>$C771*D770</f>
        <v/>
      </c>
      <c r="E771">
        <f>$C771*E770</f>
        <v/>
      </c>
      <c r="F771">
        <f>$C771*F770</f>
        <v/>
      </c>
      <c r="G771">
        <f>$C771*G770</f>
        <v/>
      </c>
      <c r="H771">
        <f>$C771*H770</f>
        <v/>
      </c>
      <c r="I771">
        <f>$C771*I770</f>
        <v/>
      </c>
      <c r="J771">
        <f>$C771*J770</f>
        <v/>
      </c>
      <c r="K771">
        <f>$C771*K770</f>
        <v/>
      </c>
      <c r="L771">
        <f>$C771*L770</f>
        <v/>
      </c>
      <c r="M771">
        <f>$C771*M770</f>
        <v/>
      </c>
      <c r="N771">
        <f>$C771*N770</f>
        <v/>
      </c>
      <c r="O771">
        <f>$C771*O770</f>
        <v/>
      </c>
      <c r="P771">
        <f>$C771*P770</f>
        <v/>
      </c>
      <c r="Q771">
        <f>$C771*Q770</f>
        <v/>
      </c>
      <c r="R771">
        <f>$C771*R770</f>
        <v/>
      </c>
      <c r="S771">
        <f>$C771*S770</f>
        <v/>
      </c>
      <c r="T771">
        <f>$C771*T770</f>
        <v/>
      </c>
      <c r="U771">
        <f>$C771*U770</f>
        <v/>
      </c>
      <c r="V771">
        <f>$C771*V770</f>
        <v/>
      </c>
      <c r="W771">
        <f>$C771*W770</f>
        <v/>
      </c>
      <c r="X771">
        <f>$C771*X770</f>
        <v/>
      </c>
      <c r="Y771">
        <f>$C771*Y770</f>
        <v/>
      </c>
      <c r="Z771">
        <f>$C771*Z770</f>
        <v/>
      </c>
      <c r="AA771">
        <f>$C771*AA770</f>
        <v/>
      </c>
      <c r="AB771">
        <f>$C771*AB770</f>
        <v/>
      </c>
      <c r="AC771">
        <f>$C771*AC770</f>
        <v/>
      </c>
      <c r="AD771">
        <f>$C771*AD770</f>
        <v/>
      </c>
      <c r="AE771">
        <f>$C771*AE770</f>
        <v/>
      </c>
      <c r="AF771">
        <f>$C771*AF770</f>
        <v/>
      </c>
      <c r="AG771">
        <f>$C771*AG770</f>
        <v/>
      </c>
      <c r="AH771">
        <f>$C771*AH770</f>
        <v/>
      </c>
      <c r="AI771">
        <f>$C771*AI770</f>
        <v/>
      </c>
      <c r="AJ771">
        <f>$C771*AJ770</f>
        <v/>
      </c>
      <c r="AK771">
        <f>$C771*AK770</f>
        <v/>
      </c>
      <c r="AL771">
        <f>$C771*AL770</f>
        <v/>
      </c>
      <c r="AM771">
        <f>$C771*AM770</f>
        <v/>
      </c>
      <c r="AN771">
        <f>$C771*AN770</f>
        <v/>
      </c>
      <c r="AO771">
        <f>$C771*AO770</f>
        <v/>
      </c>
      <c r="AP771">
        <f>$C771*AP770</f>
        <v/>
      </c>
      <c r="AQ771">
        <f>$C771*AQ770</f>
        <v/>
      </c>
      <c r="AR771">
        <f>$C771*AR770</f>
        <v/>
      </c>
      <c r="AS771">
        <f>$C771*AS770</f>
        <v/>
      </c>
      <c r="AT771">
        <f>$C771*AT770</f>
        <v/>
      </c>
      <c r="AU771">
        <f>$C771*AU770</f>
        <v/>
      </c>
      <c r="AV771">
        <f>$C771*AV770</f>
        <v/>
      </c>
      <c r="AW771">
        <f>$C771*AW770</f>
        <v/>
      </c>
      <c r="AX771">
        <f>$C771*AX770</f>
        <v/>
      </c>
      <c r="AY771">
        <f>$C771*AY770</f>
        <v/>
      </c>
      <c r="AZ771">
        <f>$C771*AZ770</f>
        <v/>
      </c>
      <c r="BA771">
        <f>$C771*BA770</f>
        <v/>
      </c>
      <c r="BB771">
        <f>$C771*BB770</f>
        <v/>
      </c>
      <c r="BC771">
        <f>$C771*BC770</f>
        <v/>
      </c>
      <c r="BD771">
        <f>$C771*BD770</f>
        <v/>
      </c>
      <c r="BE771">
        <f>$C771*BE770</f>
        <v/>
      </c>
      <c r="BF771">
        <f>$C771*BF770</f>
        <v/>
      </c>
      <c r="BG771">
        <f>$C771*BG770</f>
        <v/>
      </c>
      <c r="BH771">
        <f>$C771*BH770</f>
        <v/>
      </c>
      <c r="BI771">
        <f>$C771*BI770</f>
        <v/>
      </c>
      <c r="BJ771">
        <f>$C771*BJ770</f>
        <v/>
      </c>
      <c r="BK771">
        <f>$C771*BK770</f>
        <v/>
      </c>
      <c r="BL771">
        <f>$C771*BL770</f>
        <v/>
      </c>
      <c r="BM771">
        <f>$C771*BM770</f>
        <v/>
      </c>
      <c r="BN771">
        <f>$C771*BN770</f>
        <v/>
      </c>
      <c r="BO771">
        <f>$C771*BO770</f>
        <v/>
      </c>
      <c r="BP771">
        <f>$C771*BP770</f>
        <v/>
      </c>
      <c r="BQ771">
        <f>$C771*BQ770</f>
        <v/>
      </c>
      <c r="BR771">
        <f>$C771*BR770</f>
        <v/>
      </c>
      <c r="BS771">
        <f>$C771*BS770</f>
        <v/>
      </c>
      <c r="BT771">
        <f>$C771*BT770</f>
        <v/>
      </c>
      <c r="BU771">
        <f>$C771*BU770</f>
        <v/>
      </c>
      <c r="BV771">
        <f>$C771*BV770</f>
        <v/>
      </c>
      <c r="BW771">
        <f>$C771*BW770</f>
        <v/>
      </c>
      <c r="BX771">
        <f>$C771*BX770</f>
        <v/>
      </c>
      <c r="BY771">
        <f>$C771*BY770</f>
        <v/>
      </c>
      <c r="BZ771">
        <f>$C771*BZ770</f>
        <v/>
      </c>
      <c r="CA771">
        <f>$C771*CA770</f>
        <v/>
      </c>
      <c r="CB771">
        <f>$C771*CB770</f>
        <v/>
      </c>
      <c r="CC771">
        <f>$C771*CC770</f>
        <v/>
      </c>
      <c r="CD771">
        <f>$C771*CD770</f>
        <v/>
      </c>
      <c r="CE771">
        <f>$C771*CE770</f>
        <v/>
      </c>
      <c r="CF771">
        <f>$C771*CF770</f>
        <v/>
      </c>
      <c r="CG771">
        <f>$C771*CG770</f>
        <v/>
      </c>
      <c r="CH771">
        <f>$C771*CH770</f>
        <v/>
      </c>
      <c r="CI771">
        <f>$C771*CI770</f>
        <v/>
      </c>
      <c r="CJ771">
        <f>$C771*CJ770</f>
        <v/>
      </c>
      <c r="CK771">
        <f>$C771*CK770</f>
        <v/>
      </c>
      <c r="CL771">
        <f>$C771*CL770</f>
        <v/>
      </c>
      <c r="CM771">
        <f>$C771*CM770</f>
        <v/>
      </c>
      <c r="CN771">
        <f>$C771*CN770</f>
        <v/>
      </c>
      <c r="CO771">
        <f>$C771*CO770</f>
        <v/>
      </c>
      <c r="CP771">
        <f>$C771*CP770</f>
        <v/>
      </c>
      <c r="CQ771">
        <f>$C771*CQ770</f>
        <v/>
      </c>
      <c r="CR771">
        <f>$C771*CR770</f>
        <v/>
      </c>
      <c r="CS771">
        <f>$C771*CS770</f>
        <v/>
      </c>
      <c r="CT771">
        <f>$C771*CT770</f>
        <v/>
      </c>
      <c r="CU771">
        <f>$C771*CU770</f>
        <v/>
      </c>
      <c r="CV771">
        <f>$C771*CV770</f>
        <v/>
      </c>
      <c r="CW771">
        <f>$C771*CW770</f>
        <v/>
      </c>
      <c r="CX771">
        <f>$C771*CX770</f>
        <v/>
      </c>
      <c r="CY771">
        <f>$C771*CY770</f>
        <v/>
      </c>
      <c r="CZ771">
        <f>$C771*CZ770</f>
        <v/>
      </c>
      <c r="DA771">
        <f>$C771*DA770</f>
        <v/>
      </c>
      <c r="DB771">
        <f>$C771*DB770</f>
        <v/>
      </c>
      <c r="DC771">
        <f>$C771*DC770</f>
        <v/>
      </c>
    </row>
    <row r="772">
      <c r="B772" t="inlineStr">
        <is>
          <t>TSP-655</t>
        </is>
      </c>
      <c r="C772" t="inlineStr">
        <is>
          <t>No. of batches</t>
        </is>
      </c>
      <c r="D772">
        <f>IFERROR(INDEX(PP_Grid[#Data],$DD772,2),0)</f>
        <v/>
      </c>
      <c r="E772">
        <f>IFERROR(INDEX(PP_Grid[#Data],$DD772,3),0)</f>
        <v/>
      </c>
      <c r="F772">
        <f>IFERROR(INDEX(PP_Grid[#Data],$DD772,4),0)</f>
        <v/>
      </c>
      <c r="G772">
        <f>IFERROR(INDEX(PP_Grid[#Data],$DD772,5),0)</f>
        <v/>
      </c>
      <c r="H772">
        <f>IFERROR(INDEX(PP_Grid[#Data],$DD772,6),0)</f>
        <v/>
      </c>
      <c r="I772">
        <f>IFERROR(INDEX(PP_Grid[#Data],$DD772,7),0)</f>
        <v/>
      </c>
      <c r="J772">
        <f>IFERROR(INDEX(PP_Grid[#Data],$DD772,8),0)</f>
        <v/>
      </c>
      <c r="K772">
        <f>IFERROR(INDEX(PP_Grid[#Data],$DD772,9),0)</f>
        <v/>
      </c>
      <c r="L772">
        <f>IFERROR(INDEX(PP_Grid[#Data],$DD772,10),0)</f>
        <v/>
      </c>
      <c r="M772">
        <f>IFERROR(INDEX(PP_Grid[#Data],$DD772,11),0)</f>
        <v/>
      </c>
      <c r="N772">
        <f>IFERROR(INDEX(PP_Grid[#Data],$DD772,12),0)</f>
        <v/>
      </c>
      <c r="O772">
        <f>IFERROR(INDEX(PP_Grid[#Data],$DD772,13),0)</f>
        <v/>
      </c>
      <c r="P772">
        <f>IFERROR(INDEX(PP_Grid[#Data],$DD772,14),0)</f>
        <v/>
      </c>
      <c r="Q772">
        <f>IFERROR(INDEX(PP_Grid[#Data],$DD772,15),0)</f>
        <v/>
      </c>
      <c r="R772">
        <f>IFERROR(INDEX(PP_Grid[#Data],$DD772,16),0)</f>
        <v/>
      </c>
      <c r="S772">
        <f>IFERROR(INDEX(PP_Grid[#Data],$DD772,17),0)</f>
        <v/>
      </c>
      <c r="T772">
        <f>IFERROR(INDEX(PP_Grid[#Data],$DD772,18),0)</f>
        <v/>
      </c>
      <c r="U772">
        <f>IFERROR(INDEX(PP_Grid[#Data],$DD772,19),0)</f>
        <v/>
      </c>
      <c r="V772">
        <f>IFERROR(INDEX(PP_Grid[#Data],$DD772,20),0)</f>
        <v/>
      </c>
      <c r="W772">
        <f>IFERROR(INDEX(PP_Grid[#Data],$DD772,21),0)</f>
        <v/>
      </c>
      <c r="X772">
        <f>IFERROR(INDEX(PP_Grid[#Data],$DD772,22),0)</f>
        <v/>
      </c>
      <c r="Y772">
        <f>IFERROR(INDEX(PP_Grid[#Data],$DD772,23),0)</f>
        <v/>
      </c>
      <c r="Z772">
        <f>IFERROR(INDEX(PP_Grid[#Data],$DD772,24),0)</f>
        <v/>
      </c>
      <c r="AA772">
        <f>IFERROR(INDEX(PP_Grid[#Data],$DD772,25),0)</f>
        <v/>
      </c>
      <c r="AB772">
        <f>IFERROR(INDEX(PP_Grid[#Data],$DD772,26),0)</f>
        <v/>
      </c>
      <c r="AC772">
        <f>IFERROR(INDEX(PP_Grid[#Data],$DD772,27),0)</f>
        <v/>
      </c>
      <c r="AD772">
        <f>IFERROR(INDEX(PP_Grid[#Data],$DD772,28),0)</f>
        <v/>
      </c>
      <c r="AE772">
        <f>IFERROR(INDEX(PP_Grid[#Data],$DD772,29),0)</f>
        <v/>
      </c>
      <c r="AF772">
        <f>IFERROR(INDEX(PP_Grid[#Data],$DD772,30),0)</f>
        <v/>
      </c>
      <c r="AG772">
        <f>IFERROR(INDEX(PP_Grid[#Data],$DD772,31),0)</f>
        <v/>
      </c>
      <c r="AH772">
        <f>IFERROR(INDEX(PP_Grid[#Data],$DD772,32),0)</f>
        <v/>
      </c>
      <c r="AI772">
        <f>IFERROR(INDEX(PP_Grid[#Data],$DD772,33),0)</f>
        <v/>
      </c>
      <c r="AJ772">
        <f>IFERROR(INDEX(PP_Grid[#Data],$DD772,34),0)</f>
        <v/>
      </c>
      <c r="AK772">
        <f>IFERROR(INDEX(PP_Grid[#Data],$DD772,35),0)</f>
        <v/>
      </c>
      <c r="AL772">
        <f>IFERROR(INDEX(PP_Grid[#Data],$DD772,36),0)</f>
        <v/>
      </c>
      <c r="AM772">
        <f>IFERROR(INDEX(PP_Grid[#Data],$DD772,37),0)</f>
        <v/>
      </c>
      <c r="AN772">
        <f>IFERROR(INDEX(PP_Grid[#Data],$DD772,38),0)</f>
        <v/>
      </c>
      <c r="AO772">
        <f>IFERROR(INDEX(PP_Grid[#Data],$DD772,39),0)</f>
        <v/>
      </c>
      <c r="AP772">
        <f>IFERROR(INDEX(PP_Grid[#Data],$DD772,40),0)</f>
        <v/>
      </c>
      <c r="AQ772">
        <f>IFERROR(INDEX(PP_Grid[#Data],$DD772,41),0)</f>
        <v/>
      </c>
      <c r="AR772">
        <f>IFERROR(INDEX(PP_Grid[#Data],$DD772,42),0)</f>
        <v/>
      </c>
      <c r="AS772">
        <f>IFERROR(INDEX(PP_Grid[#Data],$DD772,43),0)</f>
        <v/>
      </c>
      <c r="AT772">
        <f>IFERROR(INDEX(PP_Grid[#Data],$DD772,44),0)</f>
        <v/>
      </c>
      <c r="AU772">
        <f>IFERROR(INDEX(PP_Grid[#Data],$DD772,45),0)</f>
        <v/>
      </c>
      <c r="AV772">
        <f>IFERROR(INDEX(PP_Grid[#Data],$DD772,46),0)</f>
        <v/>
      </c>
      <c r="AW772">
        <f>IFERROR(INDEX(PP_Grid[#Data],$DD772,47),0)</f>
        <v/>
      </c>
      <c r="AX772">
        <f>IFERROR(INDEX(PP_Grid[#Data],$DD772,48),0)</f>
        <v/>
      </c>
      <c r="AY772">
        <f>IFERROR(INDEX(PP_Grid[#Data],$DD772,49),0)</f>
        <v/>
      </c>
      <c r="AZ772">
        <f>IFERROR(INDEX(PP_Grid[#Data],$DD772,50),0)</f>
        <v/>
      </c>
      <c r="BA772">
        <f>IFERROR(INDEX(PP_Grid[#Data],$DD772,51),0)</f>
        <v/>
      </c>
      <c r="BB772">
        <f>IFERROR(INDEX(PP_Grid[#Data],$DD772,52),0)</f>
        <v/>
      </c>
      <c r="BC772">
        <f>IFERROR(INDEX(PP_Grid[#Data],$DD772,53),0)</f>
        <v/>
      </c>
      <c r="BD772">
        <f>IFERROR(INDEX(PP_Grid[#Data],$DD772,54),0)</f>
        <v/>
      </c>
      <c r="BE772">
        <f>IFERROR(INDEX(PP_Grid[#Data],$DD772,55),0)</f>
        <v/>
      </c>
      <c r="BF772">
        <f>IFERROR(INDEX(PP_Grid[#Data],$DD772,56),0)</f>
        <v/>
      </c>
      <c r="BG772">
        <f>IFERROR(INDEX(PP_Grid[#Data],$DD772,57),0)</f>
        <v/>
      </c>
      <c r="BH772">
        <f>IFERROR(INDEX(PP_Grid[#Data],$DD772,58),0)</f>
        <v/>
      </c>
      <c r="BI772">
        <f>IFERROR(INDEX(PP_Grid[#Data],$DD772,59),0)</f>
        <v/>
      </c>
      <c r="BJ772">
        <f>IFERROR(INDEX(PP_Grid[#Data],$DD772,60),0)</f>
        <v/>
      </c>
      <c r="BK772">
        <f>IFERROR(INDEX(PP_Grid[#Data],$DD772,61),0)</f>
        <v/>
      </c>
      <c r="BL772">
        <f>IFERROR(INDEX(PP_Grid[#Data],$DD772,62),0)</f>
        <v/>
      </c>
      <c r="BM772">
        <f>IFERROR(INDEX(PP_Grid[#Data],$DD772,63),0)</f>
        <v/>
      </c>
      <c r="BN772">
        <f>IFERROR(INDEX(PP_Grid[#Data],$DD772,64),0)</f>
        <v/>
      </c>
      <c r="BO772">
        <f>IFERROR(INDEX(PP_Grid[#Data],$DD772,65),0)</f>
        <v/>
      </c>
      <c r="BP772">
        <f>IFERROR(INDEX(PP_Grid[#Data],$DD772,66),0)</f>
        <v/>
      </c>
      <c r="BQ772">
        <f>IFERROR(INDEX(PP_Grid[#Data],$DD772,67),0)</f>
        <v/>
      </c>
      <c r="BR772">
        <f>IFERROR(INDEX(PP_Grid[#Data],$DD772,68),0)</f>
        <v/>
      </c>
      <c r="BS772">
        <f>IFERROR(INDEX(PP_Grid[#Data],$DD772,69),0)</f>
        <v/>
      </c>
      <c r="BT772">
        <f>IFERROR(INDEX(PP_Grid[#Data],$DD772,70),0)</f>
        <v/>
      </c>
      <c r="BU772">
        <f>IFERROR(INDEX(PP_Grid[#Data],$DD772,71),0)</f>
        <v/>
      </c>
      <c r="BV772">
        <f>IFERROR(INDEX(PP_Grid[#Data],$DD772,72),0)</f>
        <v/>
      </c>
      <c r="BW772">
        <f>IFERROR(INDEX(PP_Grid[#Data],$DD772,73),0)</f>
        <v/>
      </c>
      <c r="BX772">
        <f>IFERROR(INDEX(PP_Grid[#Data],$DD772,74),0)</f>
        <v/>
      </c>
      <c r="BY772">
        <f>IFERROR(INDEX(PP_Grid[#Data],$DD772,75),0)</f>
        <v/>
      </c>
      <c r="BZ772">
        <f>IFERROR(INDEX(PP_Grid[#Data],$DD772,76),0)</f>
        <v/>
      </c>
      <c r="CA772">
        <f>IFERROR(INDEX(PP_Grid[#Data],$DD772,77),0)</f>
        <v/>
      </c>
      <c r="CB772">
        <f>IFERROR(INDEX(PP_Grid[#Data],$DD772,78),0)</f>
        <v/>
      </c>
      <c r="CC772">
        <f>IFERROR(INDEX(PP_Grid[#Data],$DD772,79),0)</f>
        <v/>
      </c>
      <c r="CD772">
        <f>IFERROR(INDEX(PP_Grid[#Data],$DD772,80),0)</f>
        <v/>
      </c>
      <c r="CE772">
        <f>IFERROR(INDEX(PP_Grid[#Data],$DD772,81),0)</f>
        <v/>
      </c>
      <c r="CF772">
        <f>IFERROR(INDEX(PP_Grid[#Data],$DD772,82),0)</f>
        <v/>
      </c>
      <c r="CG772">
        <f>IFERROR(INDEX(PP_Grid[#Data],$DD772,83),0)</f>
        <v/>
      </c>
      <c r="CH772">
        <f>IFERROR(INDEX(PP_Grid[#Data],$DD772,84),0)</f>
        <v/>
      </c>
      <c r="CI772">
        <f>IFERROR(INDEX(PP_Grid[#Data],$DD772,85),0)</f>
        <v/>
      </c>
      <c r="CJ772">
        <f>IFERROR(INDEX(PP_Grid[#Data],$DD772,86),0)</f>
        <v/>
      </c>
      <c r="CK772">
        <f>IFERROR(INDEX(PP_Grid[#Data],$DD772,87),0)</f>
        <v/>
      </c>
      <c r="CL772">
        <f>IFERROR(INDEX(PP_Grid[#Data],$DD772,88),0)</f>
        <v/>
      </c>
      <c r="CM772">
        <f>IFERROR(INDEX(PP_Grid[#Data],$DD772,89),0)</f>
        <v/>
      </c>
      <c r="CN772">
        <f>IFERROR(INDEX(PP_Grid[#Data],$DD772,90),0)</f>
        <v/>
      </c>
      <c r="CO772">
        <f>IFERROR(INDEX(PP_Grid[#Data],$DD772,91),0)</f>
        <v/>
      </c>
      <c r="CP772">
        <f>IFERROR(INDEX(PP_Grid[#Data],$DD772,92),0)</f>
        <v/>
      </c>
      <c r="CQ772">
        <f>IFERROR(INDEX(PP_Grid[#Data],$DD772,93),0)</f>
        <v/>
      </c>
      <c r="CR772">
        <f>IFERROR(INDEX(PP_Grid[#Data],$DD772,94),0)</f>
        <v/>
      </c>
      <c r="CS772">
        <f>IFERROR(INDEX(PP_Grid[#Data],$DD772,95),0)</f>
        <v/>
      </c>
      <c r="CT772">
        <f>IFERROR(INDEX(PP_Grid[#Data],$DD772,96),0)</f>
        <v/>
      </c>
      <c r="CU772">
        <f>IFERROR(INDEX(PP_Grid[#Data],$DD772,97),0)</f>
        <v/>
      </c>
      <c r="CV772">
        <f>IFERROR(INDEX(PP_Grid[#Data],$DD772,98),0)</f>
        <v/>
      </c>
      <c r="CW772">
        <f>IFERROR(INDEX(PP_Grid[#Data],$DD772,99),0)</f>
        <v/>
      </c>
      <c r="CX772">
        <f>IFERROR(INDEX(PP_Grid[#Data],$DD772,100),0)</f>
        <v/>
      </c>
      <c r="CY772">
        <f>IFERROR(INDEX(PP_Grid[#Data],$DD772,101),0)</f>
        <v/>
      </c>
      <c r="CZ772">
        <f>IFERROR(INDEX(PP_Grid[#Data],$DD772,102),0)</f>
        <v/>
      </c>
      <c r="DA772">
        <f>IFERROR(INDEX(PP_Grid[#Data],$DD772,103),0)</f>
        <v/>
      </c>
      <c r="DB772">
        <f>IFERROR(INDEX(PP_Grid[#Data],$DD772,104),0)</f>
        <v/>
      </c>
      <c r="DC772">
        <f>IFERROR(INDEX(PP_Grid[#Data],$DD772,105),0)</f>
        <v/>
      </c>
      <c r="DD772" s="7">
        <f>IFERROR(MATCH($B772,PP_Grid[Intermediate],0),99999)</f>
        <v/>
      </c>
    </row>
    <row r="773">
      <c r="B773" t="inlineStr">
        <is>
          <t>使用量(kg)</t>
        </is>
      </c>
      <c r="C773">
        <f>SUMIFS(M_BOM[RM_Qty_Per_Batch],M_BOM[Intermediate],$B772,M_BOM[Part Name],$A759)</f>
        <v/>
      </c>
      <c r="D773">
        <f>$C773*D772</f>
        <v/>
      </c>
      <c r="E773">
        <f>$C773*E772</f>
        <v/>
      </c>
      <c r="F773">
        <f>$C773*F772</f>
        <v/>
      </c>
      <c r="G773">
        <f>$C773*G772</f>
        <v/>
      </c>
      <c r="H773">
        <f>$C773*H772</f>
        <v/>
      </c>
      <c r="I773">
        <f>$C773*I772</f>
        <v/>
      </c>
      <c r="J773">
        <f>$C773*J772</f>
        <v/>
      </c>
      <c r="K773">
        <f>$C773*K772</f>
        <v/>
      </c>
      <c r="L773">
        <f>$C773*L772</f>
        <v/>
      </c>
      <c r="M773">
        <f>$C773*M772</f>
        <v/>
      </c>
      <c r="N773">
        <f>$C773*N772</f>
        <v/>
      </c>
      <c r="O773">
        <f>$C773*O772</f>
        <v/>
      </c>
      <c r="P773">
        <f>$C773*P772</f>
        <v/>
      </c>
      <c r="Q773">
        <f>$C773*Q772</f>
        <v/>
      </c>
      <c r="R773">
        <f>$C773*R772</f>
        <v/>
      </c>
      <c r="S773">
        <f>$C773*S772</f>
        <v/>
      </c>
      <c r="T773">
        <f>$C773*T772</f>
        <v/>
      </c>
      <c r="U773">
        <f>$C773*U772</f>
        <v/>
      </c>
      <c r="V773">
        <f>$C773*V772</f>
        <v/>
      </c>
      <c r="W773">
        <f>$C773*W772</f>
        <v/>
      </c>
      <c r="X773">
        <f>$C773*X772</f>
        <v/>
      </c>
      <c r="Y773">
        <f>$C773*Y772</f>
        <v/>
      </c>
      <c r="Z773">
        <f>$C773*Z772</f>
        <v/>
      </c>
      <c r="AA773">
        <f>$C773*AA772</f>
        <v/>
      </c>
      <c r="AB773">
        <f>$C773*AB772</f>
        <v/>
      </c>
      <c r="AC773">
        <f>$C773*AC772</f>
        <v/>
      </c>
      <c r="AD773">
        <f>$C773*AD772</f>
        <v/>
      </c>
      <c r="AE773">
        <f>$C773*AE772</f>
        <v/>
      </c>
      <c r="AF773">
        <f>$C773*AF772</f>
        <v/>
      </c>
      <c r="AG773">
        <f>$C773*AG772</f>
        <v/>
      </c>
      <c r="AH773">
        <f>$C773*AH772</f>
        <v/>
      </c>
      <c r="AI773">
        <f>$C773*AI772</f>
        <v/>
      </c>
      <c r="AJ773">
        <f>$C773*AJ772</f>
        <v/>
      </c>
      <c r="AK773">
        <f>$C773*AK772</f>
        <v/>
      </c>
      <c r="AL773">
        <f>$C773*AL772</f>
        <v/>
      </c>
      <c r="AM773">
        <f>$C773*AM772</f>
        <v/>
      </c>
      <c r="AN773">
        <f>$C773*AN772</f>
        <v/>
      </c>
      <c r="AO773">
        <f>$C773*AO772</f>
        <v/>
      </c>
      <c r="AP773">
        <f>$C773*AP772</f>
        <v/>
      </c>
      <c r="AQ773">
        <f>$C773*AQ772</f>
        <v/>
      </c>
      <c r="AR773">
        <f>$C773*AR772</f>
        <v/>
      </c>
      <c r="AS773">
        <f>$C773*AS772</f>
        <v/>
      </c>
      <c r="AT773">
        <f>$C773*AT772</f>
        <v/>
      </c>
      <c r="AU773">
        <f>$C773*AU772</f>
        <v/>
      </c>
      <c r="AV773">
        <f>$C773*AV772</f>
        <v/>
      </c>
      <c r="AW773">
        <f>$C773*AW772</f>
        <v/>
      </c>
      <c r="AX773">
        <f>$C773*AX772</f>
        <v/>
      </c>
      <c r="AY773">
        <f>$C773*AY772</f>
        <v/>
      </c>
      <c r="AZ773">
        <f>$C773*AZ772</f>
        <v/>
      </c>
      <c r="BA773">
        <f>$C773*BA772</f>
        <v/>
      </c>
      <c r="BB773">
        <f>$C773*BB772</f>
        <v/>
      </c>
      <c r="BC773">
        <f>$C773*BC772</f>
        <v/>
      </c>
      <c r="BD773">
        <f>$C773*BD772</f>
        <v/>
      </c>
      <c r="BE773">
        <f>$C773*BE772</f>
        <v/>
      </c>
      <c r="BF773">
        <f>$C773*BF772</f>
        <v/>
      </c>
      <c r="BG773">
        <f>$C773*BG772</f>
        <v/>
      </c>
      <c r="BH773">
        <f>$C773*BH772</f>
        <v/>
      </c>
      <c r="BI773">
        <f>$C773*BI772</f>
        <v/>
      </c>
      <c r="BJ773">
        <f>$C773*BJ772</f>
        <v/>
      </c>
      <c r="BK773">
        <f>$C773*BK772</f>
        <v/>
      </c>
      <c r="BL773">
        <f>$C773*BL772</f>
        <v/>
      </c>
      <c r="BM773">
        <f>$C773*BM772</f>
        <v/>
      </c>
      <c r="BN773">
        <f>$C773*BN772</f>
        <v/>
      </c>
      <c r="BO773">
        <f>$C773*BO772</f>
        <v/>
      </c>
      <c r="BP773">
        <f>$C773*BP772</f>
        <v/>
      </c>
      <c r="BQ773">
        <f>$C773*BQ772</f>
        <v/>
      </c>
      <c r="BR773">
        <f>$C773*BR772</f>
        <v/>
      </c>
      <c r="BS773">
        <f>$C773*BS772</f>
        <v/>
      </c>
      <c r="BT773">
        <f>$C773*BT772</f>
        <v/>
      </c>
      <c r="BU773">
        <f>$C773*BU772</f>
        <v/>
      </c>
      <c r="BV773">
        <f>$C773*BV772</f>
        <v/>
      </c>
      <c r="BW773">
        <f>$C773*BW772</f>
        <v/>
      </c>
      <c r="BX773">
        <f>$C773*BX772</f>
        <v/>
      </c>
      <c r="BY773">
        <f>$C773*BY772</f>
        <v/>
      </c>
      <c r="BZ773">
        <f>$C773*BZ772</f>
        <v/>
      </c>
      <c r="CA773">
        <f>$C773*CA772</f>
        <v/>
      </c>
      <c r="CB773">
        <f>$C773*CB772</f>
        <v/>
      </c>
      <c r="CC773">
        <f>$C773*CC772</f>
        <v/>
      </c>
      <c r="CD773">
        <f>$C773*CD772</f>
        <v/>
      </c>
      <c r="CE773">
        <f>$C773*CE772</f>
        <v/>
      </c>
      <c r="CF773">
        <f>$C773*CF772</f>
        <v/>
      </c>
      <c r="CG773">
        <f>$C773*CG772</f>
        <v/>
      </c>
      <c r="CH773">
        <f>$C773*CH772</f>
        <v/>
      </c>
      <c r="CI773">
        <f>$C773*CI772</f>
        <v/>
      </c>
      <c r="CJ773">
        <f>$C773*CJ772</f>
        <v/>
      </c>
      <c r="CK773">
        <f>$C773*CK772</f>
        <v/>
      </c>
      <c r="CL773">
        <f>$C773*CL772</f>
        <v/>
      </c>
      <c r="CM773">
        <f>$C773*CM772</f>
        <v/>
      </c>
      <c r="CN773">
        <f>$C773*CN772</f>
        <v/>
      </c>
      <c r="CO773">
        <f>$C773*CO772</f>
        <v/>
      </c>
      <c r="CP773">
        <f>$C773*CP772</f>
        <v/>
      </c>
      <c r="CQ773">
        <f>$C773*CQ772</f>
        <v/>
      </c>
      <c r="CR773">
        <f>$C773*CR772</f>
        <v/>
      </c>
      <c r="CS773">
        <f>$C773*CS772</f>
        <v/>
      </c>
      <c r="CT773">
        <f>$C773*CT772</f>
        <v/>
      </c>
      <c r="CU773">
        <f>$C773*CU772</f>
        <v/>
      </c>
      <c r="CV773">
        <f>$C773*CV772</f>
        <v/>
      </c>
      <c r="CW773">
        <f>$C773*CW772</f>
        <v/>
      </c>
      <c r="CX773">
        <f>$C773*CX772</f>
        <v/>
      </c>
      <c r="CY773">
        <f>$C773*CY772</f>
        <v/>
      </c>
      <c r="CZ773">
        <f>$C773*CZ772</f>
        <v/>
      </c>
      <c r="DA773">
        <f>$C773*DA772</f>
        <v/>
      </c>
      <c r="DB773">
        <f>$C773*DB772</f>
        <v/>
      </c>
      <c r="DC773">
        <f>$C773*DC772</f>
        <v/>
      </c>
    </row>
    <row r="774">
      <c r="B774" t="inlineStr">
        <is>
          <t>TSP-903</t>
        </is>
      </c>
      <c r="C774" t="inlineStr">
        <is>
          <t>No. of batches</t>
        </is>
      </c>
      <c r="D774">
        <f>IFERROR(INDEX(PP_Grid[#Data],$DD774,2),0)</f>
        <v/>
      </c>
      <c r="E774">
        <f>IFERROR(INDEX(PP_Grid[#Data],$DD774,3),0)</f>
        <v/>
      </c>
      <c r="F774">
        <f>IFERROR(INDEX(PP_Grid[#Data],$DD774,4),0)</f>
        <v/>
      </c>
      <c r="G774">
        <f>IFERROR(INDEX(PP_Grid[#Data],$DD774,5),0)</f>
        <v/>
      </c>
      <c r="H774">
        <f>IFERROR(INDEX(PP_Grid[#Data],$DD774,6),0)</f>
        <v/>
      </c>
      <c r="I774">
        <f>IFERROR(INDEX(PP_Grid[#Data],$DD774,7),0)</f>
        <v/>
      </c>
      <c r="J774">
        <f>IFERROR(INDEX(PP_Grid[#Data],$DD774,8),0)</f>
        <v/>
      </c>
      <c r="K774">
        <f>IFERROR(INDEX(PP_Grid[#Data],$DD774,9),0)</f>
        <v/>
      </c>
      <c r="L774">
        <f>IFERROR(INDEX(PP_Grid[#Data],$DD774,10),0)</f>
        <v/>
      </c>
      <c r="M774">
        <f>IFERROR(INDEX(PP_Grid[#Data],$DD774,11),0)</f>
        <v/>
      </c>
      <c r="N774">
        <f>IFERROR(INDEX(PP_Grid[#Data],$DD774,12),0)</f>
        <v/>
      </c>
      <c r="O774">
        <f>IFERROR(INDEX(PP_Grid[#Data],$DD774,13),0)</f>
        <v/>
      </c>
      <c r="P774">
        <f>IFERROR(INDEX(PP_Grid[#Data],$DD774,14),0)</f>
        <v/>
      </c>
      <c r="Q774">
        <f>IFERROR(INDEX(PP_Grid[#Data],$DD774,15),0)</f>
        <v/>
      </c>
      <c r="R774">
        <f>IFERROR(INDEX(PP_Grid[#Data],$DD774,16),0)</f>
        <v/>
      </c>
      <c r="S774">
        <f>IFERROR(INDEX(PP_Grid[#Data],$DD774,17),0)</f>
        <v/>
      </c>
      <c r="T774">
        <f>IFERROR(INDEX(PP_Grid[#Data],$DD774,18),0)</f>
        <v/>
      </c>
      <c r="U774">
        <f>IFERROR(INDEX(PP_Grid[#Data],$DD774,19),0)</f>
        <v/>
      </c>
      <c r="V774">
        <f>IFERROR(INDEX(PP_Grid[#Data],$DD774,20),0)</f>
        <v/>
      </c>
      <c r="W774">
        <f>IFERROR(INDEX(PP_Grid[#Data],$DD774,21),0)</f>
        <v/>
      </c>
      <c r="X774">
        <f>IFERROR(INDEX(PP_Grid[#Data],$DD774,22),0)</f>
        <v/>
      </c>
      <c r="Y774">
        <f>IFERROR(INDEX(PP_Grid[#Data],$DD774,23),0)</f>
        <v/>
      </c>
      <c r="Z774">
        <f>IFERROR(INDEX(PP_Grid[#Data],$DD774,24),0)</f>
        <v/>
      </c>
      <c r="AA774">
        <f>IFERROR(INDEX(PP_Grid[#Data],$DD774,25),0)</f>
        <v/>
      </c>
      <c r="AB774">
        <f>IFERROR(INDEX(PP_Grid[#Data],$DD774,26),0)</f>
        <v/>
      </c>
      <c r="AC774">
        <f>IFERROR(INDEX(PP_Grid[#Data],$DD774,27),0)</f>
        <v/>
      </c>
      <c r="AD774">
        <f>IFERROR(INDEX(PP_Grid[#Data],$DD774,28),0)</f>
        <v/>
      </c>
      <c r="AE774">
        <f>IFERROR(INDEX(PP_Grid[#Data],$DD774,29),0)</f>
        <v/>
      </c>
      <c r="AF774">
        <f>IFERROR(INDEX(PP_Grid[#Data],$DD774,30),0)</f>
        <v/>
      </c>
      <c r="AG774">
        <f>IFERROR(INDEX(PP_Grid[#Data],$DD774,31),0)</f>
        <v/>
      </c>
      <c r="AH774">
        <f>IFERROR(INDEX(PP_Grid[#Data],$DD774,32),0)</f>
        <v/>
      </c>
      <c r="AI774">
        <f>IFERROR(INDEX(PP_Grid[#Data],$DD774,33),0)</f>
        <v/>
      </c>
      <c r="AJ774">
        <f>IFERROR(INDEX(PP_Grid[#Data],$DD774,34),0)</f>
        <v/>
      </c>
      <c r="AK774">
        <f>IFERROR(INDEX(PP_Grid[#Data],$DD774,35),0)</f>
        <v/>
      </c>
      <c r="AL774">
        <f>IFERROR(INDEX(PP_Grid[#Data],$DD774,36),0)</f>
        <v/>
      </c>
      <c r="AM774">
        <f>IFERROR(INDEX(PP_Grid[#Data],$DD774,37),0)</f>
        <v/>
      </c>
      <c r="AN774">
        <f>IFERROR(INDEX(PP_Grid[#Data],$DD774,38),0)</f>
        <v/>
      </c>
      <c r="AO774">
        <f>IFERROR(INDEX(PP_Grid[#Data],$DD774,39),0)</f>
        <v/>
      </c>
      <c r="AP774">
        <f>IFERROR(INDEX(PP_Grid[#Data],$DD774,40),0)</f>
        <v/>
      </c>
      <c r="AQ774">
        <f>IFERROR(INDEX(PP_Grid[#Data],$DD774,41),0)</f>
        <v/>
      </c>
      <c r="AR774">
        <f>IFERROR(INDEX(PP_Grid[#Data],$DD774,42),0)</f>
        <v/>
      </c>
      <c r="AS774">
        <f>IFERROR(INDEX(PP_Grid[#Data],$DD774,43),0)</f>
        <v/>
      </c>
      <c r="AT774">
        <f>IFERROR(INDEX(PP_Grid[#Data],$DD774,44),0)</f>
        <v/>
      </c>
      <c r="AU774">
        <f>IFERROR(INDEX(PP_Grid[#Data],$DD774,45),0)</f>
        <v/>
      </c>
      <c r="AV774">
        <f>IFERROR(INDEX(PP_Grid[#Data],$DD774,46),0)</f>
        <v/>
      </c>
      <c r="AW774">
        <f>IFERROR(INDEX(PP_Grid[#Data],$DD774,47),0)</f>
        <v/>
      </c>
      <c r="AX774">
        <f>IFERROR(INDEX(PP_Grid[#Data],$DD774,48),0)</f>
        <v/>
      </c>
      <c r="AY774">
        <f>IFERROR(INDEX(PP_Grid[#Data],$DD774,49),0)</f>
        <v/>
      </c>
      <c r="AZ774">
        <f>IFERROR(INDEX(PP_Grid[#Data],$DD774,50),0)</f>
        <v/>
      </c>
      <c r="BA774">
        <f>IFERROR(INDEX(PP_Grid[#Data],$DD774,51),0)</f>
        <v/>
      </c>
      <c r="BB774">
        <f>IFERROR(INDEX(PP_Grid[#Data],$DD774,52),0)</f>
        <v/>
      </c>
      <c r="BC774">
        <f>IFERROR(INDEX(PP_Grid[#Data],$DD774,53),0)</f>
        <v/>
      </c>
      <c r="BD774">
        <f>IFERROR(INDEX(PP_Grid[#Data],$DD774,54),0)</f>
        <v/>
      </c>
      <c r="BE774">
        <f>IFERROR(INDEX(PP_Grid[#Data],$DD774,55),0)</f>
        <v/>
      </c>
      <c r="BF774">
        <f>IFERROR(INDEX(PP_Grid[#Data],$DD774,56),0)</f>
        <v/>
      </c>
      <c r="BG774">
        <f>IFERROR(INDEX(PP_Grid[#Data],$DD774,57),0)</f>
        <v/>
      </c>
      <c r="BH774">
        <f>IFERROR(INDEX(PP_Grid[#Data],$DD774,58),0)</f>
        <v/>
      </c>
      <c r="BI774">
        <f>IFERROR(INDEX(PP_Grid[#Data],$DD774,59),0)</f>
        <v/>
      </c>
      <c r="BJ774">
        <f>IFERROR(INDEX(PP_Grid[#Data],$DD774,60),0)</f>
        <v/>
      </c>
      <c r="BK774">
        <f>IFERROR(INDEX(PP_Grid[#Data],$DD774,61),0)</f>
        <v/>
      </c>
      <c r="BL774">
        <f>IFERROR(INDEX(PP_Grid[#Data],$DD774,62),0)</f>
        <v/>
      </c>
      <c r="BM774">
        <f>IFERROR(INDEX(PP_Grid[#Data],$DD774,63),0)</f>
        <v/>
      </c>
      <c r="BN774">
        <f>IFERROR(INDEX(PP_Grid[#Data],$DD774,64),0)</f>
        <v/>
      </c>
      <c r="BO774">
        <f>IFERROR(INDEX(PP_Grid[#Data],$DD774,65),0)</f>
        <v/>
      </c>
      <c r="BP774">
        <f>IFERROR(INDEX(PP_Grid[#Data],$DD774,66),0)</f>
        <v/>
      </c>
      <c r="BQ774">
        <f>IFERROR(INDEX(PP_Grid[#Data],$DD774,67),0)</f>
        <v/>
      </c>
      <c r="BR774">
        <f>IFERROR(INDEX(PP_Grid[#Data],$DD774,68),0)</f>
        <v/>
      </c>
      <c r="BS774">
        <f>IFERROR(INDEX(PP_Grid[#Data],$DD774,69),0)</f>
        <v/>
      </c>
      <c r="BT774">
        <f>IFERROR(INDEX(PP_Grid[#Data],$DD774,70),0)</f>
        <v/>
      </c>
      <c r="BU774">
        <f>IFERROR(INDEX(PP_Grid[#Data],$DD774,71),0)</f>
        <v/>
      </c>
      <c r="BV774">
        <f>IFERROR(INDEX(PP_Grid[#Data],$DD774,72),0)</f>
        <v/>
      </c>
      <c r="BW774">
        <f>IFERROR(INDEX(PP_Grid[#Data],$DD774,73),0)</f>
        <v/>
      </c>
      <c r="BX774">
        <f>IFERROR(INDEX(PP_Grid[#Data],$DD774,74),0)</f>
        <v/>
      </c>
      <c r="BY774">
        <f>IFERROR(INDEX(PP_Grid[#Data],$DD774,75),0)</f>
        <v/>
      </c>
      <c r="BZ774">
        <f>IFERROR(INDEX(PP_Grid[#Data],$DD774,76),0)</f>
        <v/>
      </c>
      <c r="CA774">
        <f>IFERROR(INDEX(PP_Grid[#Data],$DD774,77),0)</f>
        <v/>
      </c>
      <c r="CB774">
        <f>IFERROR(INDEX(PP_Grid[#Data],$DD774,78),0)</f>
        <v/>
      </c>
      <c r="CC774">
        <f>IFERROR(INDEX(PP_Grid[#Data],$DD774,79),0)</f>
        <v/>
      </c>
      <c r="CD774">
        <f>IFERROR(INDEX(PP_Grid[#Data],$DD774,80),0)</f>
        <v/>
      </c>
      <c r="CE774">
        <f>IFERROR(INDEX(PP_Grid[#Data],$DD774,81),0)</f>
        <v/>
      </c>
      <c r="CF774">
        <f>IFERROR(INDEX(PP_Grid[#Data],$DD774,82),0)</f>
        <v/>
      </c>
      <c r="CG774">
        <f>IFERROR(INDEX(PP_Grid[#Data],$DD774,83),0)</f>
        <v/>
      </c>
      <c r="CH774">
        <f>IFERROR(INDEX(PP_Grid[#Data],$DD774,84),0)</f>
        <v/>
      </c>
      <c r="CI774">
        <f>IFERROR(INDEX(PP_Grid[#Data],$DD774,85),0)</f>
        <v/>
      </c>
      <c r="CJ774">
        <f>IFERROR(INDEX(PP_Grid[#Data],$DD774,86),0)</f>
        <v/>
      </c>
      <c r="CK774">
        <f>IFERROR(INDEX(PP_Grid[#Data],$DD774,87),0)</f>
        <v/>
      </c>
      <c r="CL774">
        <f>IFERROR(INDEX(PP_Grid[#Data],$DD774,88),0)</f>
        <v/>
      </c>
      <c r="CM774">
        <f>IFERROR(INDEX(PP_Grid[#Data],$DD774,89),0)</f>
        <v/>
      </c>
      <c r="CN774">
        <f>IFERROR(INDEX(PP_Grid[#Data],$DD774,90),0)</f>
        <v/>
      </c>
      <c r="CO774">
        <f>IFERROR(INDEX(PP_Grid[#Data],$DD774,91),0)</f>
        <v/>
      </c>
      <c r="CP774">
        <f>IFERROR(INDEX(PP_Grid[#Data],$DD774,92),0)</f>
        <v/>
      </c>
      <c r="CQ774">
        <f>IFERROR(INDEX(PP_Grid[#Data],$DD774,93),0)</f>
        <v/>
      </c>
      <c r="CR774">
        <f>IFERROR(INDEX(PP_Grid[#Data],$DD774,94),0)</f>
        <v/>
      </c>
      <c r="CS774">
        <f>IFERROR(INDEX(PP_Grid[#Data],$DD774,95),0)</f>
        <v/>
      </c>
      <c r="CT774">
        <f>IFERROR(INDEX(PP_Grid[#Data],$DD774,96),0)</f>
        <v/>
      </c>
      <c r="CU774">
        <f>IFERROR(INDEX(PP_Grid[#Data],$DD774,97),0)</f>
        <v/>
      </c>
      <c r="CV774">
        <f>IFERROR(INDEX(PP_Grid[#Data],$DD774,98),0)</f>
        <v/>
      </c>
      <c r="CW774">
        <f>IFERROR(INDEX(PP_Grid[#Data],$DD774,99),0)</f>
        <v/>
      </c>
      <c r="CX774">
        <f>IFERROR(INDEX(PP_Grid[#Data],$DD774,100),0)</f>
        <v/>
      </c>
      <c r="CY774">
        <f>IFERROR(INDEX(PP_Grid[#Data],$DD774,101),0)</f>
        <v/>
      </c>
      <c r="CZ774">
        <f>IFERROR(INDEX(PP_Grid[#Data],$DD774,102),0)</f>
        <v/>
      </c>
      <c r="DA774">
        <f>IFERROR(INDEX(PP_Grid[#Data],$DD774,103),0)</f>
        <v/>
      </c>
      <c r="DB774">
        <f>IFERROR(INDEX(PP_Grid[#Data],$DD774,104),0)</f>
        <v/>
      </c>
      <c r="DC774">
        <f>IFERROR(INDEX(PP_Grid[#Data],$DD774,105),0)</f>
        <v/>
      </c>
      <c r="DD774" s="7">
        <f>IFERROR(MATCH($B774,PP_Grid[Intermediate],0),99999)</f>
        <v/>
      </c>
    </row>
    <row r="775">
      <c r="B775" t="inlineStr">
        <is>
          <t>使用量(kg)</t>
        </is>
      </c>
      <c r="C775">
        <f>SUMIFS(M_BOM[RM_Qty_Per_Batch],M_BOM[Intermediate],$B774,M_BOM[Part Name],$A759)</f>
        <v/>
      </c>
      <c r="D775">
        <f>$C775*D774</f>
        <v/>
      </c>
      <c r="E775">
        <f>$C775*E774</f>
        <v/>
      </c>
      <c r="F775">
        <f>$C775*F774</f>
        <v/>
      </c>
      <c r="G775">
        <f>$C775*G774</f>
        <v/>
      </c>
      <c r="H775">
        <f>$C775*H774</f>
        <v/>
      </c>
      <c r="I775">
        <f>$C775*I774</f>
        <v/>
      </c>
      <c r="J775">
        <f>$C775*J774</f>
        <v/>
      </c>
      <c r="K775">
        <f>$C775*K774</f>
        <v/>
      </c>
      <c r="L775">
        <f>$C775*L774</f>
        <v/>
      </c>
      <c r="M775">
        <f>$C775*M774</f>
        <v/>
      </c>
      <c r="N775">
        <f>$C775*N774</f>
        <v/>
      </c>
      <c r="O775">
        <f>$C775*O774</f>
        <v/>
      </c>
      <c r="P775">
        <f>$C775*P774</f>
        <v/>
      </c>
      <c r="Q775">
        <f>$C775*Q774</f>
        <v/>
      </c>
      <c r="R775">
        <f>$C775*R774</f>
        <v/>
      </c>
      <c r="S775">
        <f>$C775*S774</f>
        <v/>
      </c>
      <c r="T775">
        <f>$C775*T774</f>
        <v/>
      </c>
      <c r="U775">
        <f>$C775*U774</f>
        <v/>
      </c>
      <c r="V775">
        <f>$C775*V774</f>
        <v/>
      </c>
      <c r="W775">
        <f>$C775*W774</f>
        <v/>
      </c>
      <c r="X775">
        <f>$C775*X774</f>
        <v/>
      </c>
      <c r="Y775">
        <f>$C775*Y774</f>
        <v/>
      </c>
      <c r="Z775">
        <f>$C775*Z774</f>
        <v/>
      </c>
      <c r="AA775">
        <f>$C775*AA774</f>
        <v/>
      </c>
      <c r="AB775">
        <f>$C775*AB774</f>
        <v/>
      </c>
      <c r="AC775">
        <f>$C775*AC774</f>
        <v/>
      </c>
      <c r="AD775">
        <f>$C775*AD774</f>
        <v/>
      </c>
      <c r="AE775">
        <f>$C775*AE774</f>
        <v/>
      </c>
      <c r="AF775">
        <f>$C775*AF774</f>
        <v/>
      </c>
      <c r="AG775">
        <f>$C775*AG774</f>
        <v/>
      </c>
      <c r="AH775">
        <f>$C775*AH774</f>
        <v/>
      </c>
      <c r="AI775">
        <f>$C775*AI774</f>
        <v/>
      </c>
      <c r="AJ775">
        <f>$C775*AJ774</f>
        <v/>
      </c>
      <c r="AK775">
        <f>$C775*AK774</f>
        <v/>
      </c>
      <c r="AL775">
        <f>$C775*AL774</f>
        <v/>
      </c>
      <c r="AM775">
        <f>$C775*AM774</f>
        <v/>
      </c>
      <c r="AN775">
        <f>$C775*AN774</f>
        <v/>
      </c>
      <c r="AO775">
        <f>$C775*AO774</f>
        <v/>
      </c>
      <c r="AP775">
        <f>$C775*AP774</f>
        <v/>
      </c>
      <c r="AQ775">
        <f>$C775*AQ774</f>
        <v/>
      </c>
      <c r="AR775">
        <f>$C775*AR774</f>
        <v/>
      </c>
      <c r="AS775">
        <f>$C775*AS774</f>
        <v/>
      </c>
      <c r="AT775">
        <f>$C775*AT774</f>
        <v/>
      </c>
      <c r="AU775">
        <f>$C775*AU774</f>
        <v/>
      </c>
      <c r="AV775">
        <f>$C775*AV774</f>
        <v/>
      </c>
      <c r="AW775">
        <f>$C775*AW774</f>
        <v/>
      </c>
      <c r="AX775">
        <f>$C775*AX774</f>
        <v/>
      </c>
      <c r="AY775">
        <f>$C775*AY774</f>
        <v/>
      </c>
      <c r="AZ775">
        <f>$C775*AZ774</f>
        <v/>
      </c>
      <c r="BA775">
        <f>$C775*BA774</f>
        <v/>
      </c>
      <c r="BB775">
        <f>$C775*BB774</f>
        <v/>
      </c>
      <c r="BC775">
        <f>$C775*BC774</f>
        <v/>
      </c>
      <c r="BD775">
        <f>$C775*BD774</f>
        <v/>
      </c>
      <c r="BE775">
        <f>$C775*BE774</f>
        <v/>
      </c>
      <c r="BF775">
        <f>$C775*BF774</f>
        <v/>
      </c>
      <c r="BG775">
        <f>$C775*BG774</f>
        <v/>
      </c>
      <c r="BH775">
        <f>$C775*BH774</f>
        <v/>
      </c>
      <c r="BI775">
        <f>$C775*BI774</f>
        <v/>
      </c>
      <c r="BJ775">
        <f>$C775*BJ774</f>
        <v/>
      </c>
      <c r="BK775">
        <f>$C775*BK774</f>
        <v/>
      </c>
      <c r="BL775">
        <f>$C775*BL774</f>
        <v/>
      </c>
      <c r="BM775">
        <f>$C775*BM774</f>
        <v/>
      </c>
      <c r="BN775">
        <f>$C775*BN774</f>
        <v/>
      </c>
      <c r="BO775">
        <f>$C775*BO774</f>
        <v/>
      </c>
      <c r="BP775">
        <f>$C775*BP774</f>
        <v/>
      </c>
      <c r="BQ775">
        <f>$C775*BQ774</f>
        <v/>
      </c>
      <c r="BR775">
        <f>$C775*BR774</f>
        <v/>
      </c>
      <c r="BS775">
        <f>$C775*BS774</f>
        <v/>
      </c>
      <c r="BT775">
        <f>$C775*BT774</f>
        <v/>
      </c>
      <c r="BU775">
        <f>$C775*BU774</f>
        <v/>
      </c>
      <c r="BV775">
        <f>$C775*BV774</f>
        <v/>
      </c>
      <c r="BW775">
        <f>$C775*BW774</f>
        <v/>
      </c>
      <c r="BX775">
        <f>$C775*BX774</f>
        <v/>
      </c>
      <c r="BY775">
        <f>$C775*BY774</f>
        <v/>
      </c>
      <c r="BZ775">
        <f>$C775*BZ774</f>
        <v/>
      </c>
      <c r="CA775">
        <f>$C775*CA774</f>
        <v/>
      </c>
      <c r="CB775">
        <f>$C775*CB774</f>
        <v/>
      </c>
      <c r="CC775">
        <f>$C775*CC774</f>
        <v/>
      </c>
      <c r="CD775">
        <f>$C775*CD774</f>
        <v/>
      </c>
      <c r="CE775">
        <f>$C775*CE774</f>
        <v/>
      </c>
      <c r="CF775">
        <f>$C775*CF774</f>
        <v/>
      </c>
      <c r="CG775">
        <f>$C775*CG774</f>
        <v/>
      </c>
      <c r="CH775">
        <f>$C775*CH774</f>
        <v/>
      </c>
      <c r="CI775">
        <f>$C775*CI774</f>
        <v/>
      </c>
      <c r="CJ775">
        <f>$C775*CJ774</f>
        <v/>
      </c>
      <c r="CK775">
        <f>$C775*CK774</f>
        <v/>
      </c>
      <c r="CL775">
        <f>$C775*CL774</f>
        <v/>
      </c>
      <c r="CM775">
        <f>$C775*CM774</f>
        <v/>
      </c>
      <c r="CN775">
        <f>$C775*CN774</f>
        <v/>
      </c>
      <c r="CO775">
        <f>$C775*CO774</f>
        <v/>
      </c>
      <c r="CP775">
        <f>$C775*CP774</f>
        <v/>
      </c>
      <c r="CQ775">
        <f>$C775*CQ774</f>
        <v/>
      </c>
      <c r="CR775">
        <f>$C775*CR774</f>
        <v/>
      </c>
      <c r="CS775">
        <f>$C775*CS774</f>
        <v/>
      </c>
      <c r="CT775">
        <f>$C775*CT774</f>
        <v/>
      </c>
      <c r="CU775">
        <f>$C775*CU774</f>
        <v/>
      </c>
      <c r="CV775">
        <f>$C775*CV774</f>
        <v/>
      </c>
      <c r="CW775">
        <f>$C775*CW774</f>
        <v/>
      </c>
      <c r="CX775">
        <f>$C775*CX774</f>
        <v/>
      </c>
      <c r="CY775">
        <f>$C775*CY774</f>
        <v/>
      </c>
      <c r="CZ775">
        <f>$C775*CZ774</f>
        <v/>
      </c>
      <c r="DA775">
        <f>$C775*DA774</f>
        <v/>
      </c>
      <c r="DB775">
        <f>$C775*DB774</f>
        <v/>
      </c>
      <c r="DC775">
        <f>$C775*DC774</f>
        <v/>
      </c>
    </row>
    <row r="776">
      <c r="B776" t="inlineStr">
        <is>
          <t>TSP-934</t>
        </is>
      </c>
      <c r="C776" t="inlineStr">
        <is>
          <t>No. of batches</t>
        </is>
      </c>
      <c r="D776">
        <f>IFERROR(INDEX(PP_Grid[#Data],$DD776,2),0)</f>
        <v/>
      </c>
      <c r="E776">
        <f>IFERROR(INDEX(PP_Grid[#Data],$DD776,3),0)</f>
        <v/>
      </c>
      <c r="F776">
        <f>IFERROR(INDEX(PP_Grid[#Data],$DD776,4),0)</f>
        <v/>
      </c>
      <c r="G776">
        <f>IFERROR(INDEX(PP_Grid[#Data],$DD776,5),0)</f>
        <v/>
      </c>
      <c r="H776">
        <f>IFERROR(INDEX(PP_Grid[#Data],$DD776,6),0)</f>
        <v/>
      </c>
      <c r="I776">
        <f>IFERROR(INDEX(PP_Grid[#Data],$DD776,7),0)</f>
        <v/>
      </c>
      <c r="J776">
        <f>IFERROR(INDEX(PP_Grid[#Data],$DD776,8),0)</f>
        <v/>
      </c>
      <c r="K776">
        <f>IFERROR(INDEX(PP_Grid[#Data],$DD776,9),0)</f>
        <v/>
      </c>
      <c r="L776">
        <f>IFERROR(INDEX(PP_Grid[#Data],$DD776,10),0)</f>
        <v/>
      </c>
      <c r="M776">
        <f>IFERROR(INDEX(PP_Grid[#Data],$DD776,11),0)</f>
        <v/>
      </c>
      <c r="N776">
        <f>IFERROR(INDEX(PP_Grid[#Data],$DD776,12),0)</f>
        <v/>
      </c>
      <c r="O776">
        <f>IFERROR(INDEX(PP_Grid[#Data],$DD776,13),0)</f>
        <v/>
      </c>
      <c r="P776">
        <f>IFERROR(INDEX(PP_Grid[#Data],$DD776,14),0)</f>
        <v/>
      </c>
      <c r="Q776">
        <f>IFERROR(INDEX(PP_Grid[#Data],$DD776,15),0)</f>
        <v/>
      </c>
      <c r="R776">
        <f>IFERROR(INDEX(PP_Grid[#Data],$DD776,16),0)</f>
        <v/>
      </c>
      <c r="S776">
        <f>IFERROR(INDEX(PP_Grid[#Data],$DD776,17),0)</f>
        <v/>
      </c>
      <c r="T776">
        <f>IFERROR(INDEX(PP_Grid[#Data],$DD776,18),0)</f>
        <v/>
      </c>
      <c r="U776">
        <f>IFERROR(INDEX(PP_Grid[#Data],$DD776,19),0)</f>
        <v/>
      </c>
      <c r="V776">
        <f>IFERROR(INDEX(PP_Grid[#Data],$DD776,20),0)</f>
        <v/>
      </c>
      <c r="W776">
        <f>IFERROR(INDEX(PP_Grid[#Data],$DD776,21),0)</f>
        <v/>
      </c>
      <c r="X776">
        <f>IFERROR(INDEX(PP_Grid[#Data],$DD776,22),0)</f>
        <v/>
      </c>
      <c r="Y776">
        <f>IFERROR(INDEX(PP_Grid[#Data],$DD776,23),0)</f>
        <v/>
      </c>
      <c r="Z776">
        <f>IFERROR(INDEX(PP_Grid[#Data],$DD776,24),0)</f>
        <v/>
      </c>
      <c r="AA776">
        <f>IFERROR(INDEX(PP_Grid[#Data],$DD776,25),0)</f>
        <v/>
      </c>
      <c r="AB776">
        <f>IFERROR(INDEX(PP_Grid[#Data],$DD776,26),0)</f>
        <v/>
      </c>
      <c r="AC776">
        <f>IFERROR(INDEX(PP_Grid[#Data],$DD776,27),0)</f>
        <v/>
      </c>
      <c r="AD776">
        <f>IFERROR(INDEX(PP_Grid[#Data],$DD776,28),0)</f>
        <v/>
      </c>
      <c r="AE776">
        <f>IFERROR(INDEX(PP_Grid[#Data],$DD776,29),0)</f>
        <v/>
      </c>
      <c r="AF776">
        <f>IFERROR(INDEX(PP_Grid[#Data],$DD776,30),0)</f>
        <v/>
      </c>
      <c r="AG776">
        <f>IFERROR(INDEX(PP_Grid[#Data],$DD776,31),0)</f>
        <v/>
      </c>
      <c r="AH776">
        <f>IFERROR(INDEX(PP_Grid[#Data],$DD776,32),0)</f>
        <v/>
      </c>
      <c r="AI776">
        <f>IFERROR(INDEX(PP_Grid[#Data],$DD776,33),0)</f>
        <v/>
      </c>
      <c r="AJ776">
        <f>IFERROR(INDEX(PP_Grid[#Data],$DD776,34),0)</f>
        <v/>
      </c>
      <c r="AK776">
        <f>IFERROR(INDEX(PP_Grid[#Data],$DD776,35),0)</f>
        <v/>
      </c>
      <c r="AL776">
        <f>IFERROR(INDEX(PP_Grid[#Data],$DD776,36),0)</f>
        <v/>
      </c>
      <c r="AM776">
        <f>IFERROR(INDEX(PP_Grid[#Data],$DD776,37),0)</f>
        <v/>
      </c>
      <c r="AN776">
        <f>IFERROR(INDEX(PP_Grid[#Data],$DD776,38),0)</f>
        <v/>
      </c>
      <c r="AO776">
        <f>IFERROR(INDEX(PP_Grid[#Data],$DD776,39),0)</f>
        <v/>
      </c>
      <c r="AP776">
        <f>IFERROR(INDEX(PP_Grid[#Data],$DD776,40),0)</f>
        <v/>
      </c>
      <c r="AQ776">
        <f>IFERROR(INDEX(PP_Grid[#Data],$DD776,41),0)</f>
        <v/>
      </c>
      <c r="AR776">
        <f>IFERROR(INDEX(PP_Grid[#Data],$DD776,42),0)</f>
        <v/>
      </c>
      <c r="AS776">
        <f>IFERROR(INDEX(PP_Grid[#Data],$DD776,43),0)</f>
        <v/>
      </c>
      <c r="AT776">
        <f>IFERROR(INDEX(PP_Grid[#Data],$DD776,44),0)</f>
        <v/>
      </c>
      <c r="AU776">
        <f>IFERROR(INDEX(PP_Grid[#Data],$DD776,45),0)</f>
        <v/>
      </c>
      <c r="AV776">
        <f>IFERROR(INDEX(PP_Grid[#Data],$DD776,46),0)</f>
        <v/>
      </c>
      <c r="AW776">
        <f>IFERROR(INDEX(PP_Grid[#Data],$DD776,47),0)</f>
        <v/>
      </c>
      <c r="AX776">
        <f>IFERROR(INDEX(PP_Grid[#Data],$DD776,48),0)</f>
        <v/>
      </c>
      <c r="AY776">
        <f>IFERROR(INDEX(PP_Grid[#Data],$DD776,49),0)</f>
        <v/>
      </c>
      <c r="AZ776">
        <f>IFERROR(INDEX(PP_Grid[#Data],$DD776,50),0)</f>
        <v/>
      </c>
      <c r="BA776">
        <f>IFERROR(INDEX(PP_Grid[#Data],$DD776,51),0)</f>
        <v/>
      </c>
      <c r="BB776">
        <f>IFERROR(INDEX(PP_Grid[#Data],$DD776,52),0)</f>
        <v/>
      </c>
      <c r="BC776">
        <f>IFERROR(INDEX(PP_Grid[#Data],$DD776,53),0)</f>
        <v/>
      </c>
      <c r="BD776">
        <f>IFERROR(INDEX(PP_Grid[#Data],$DD776,54),0)</f>
        <v/>
      </c>
      <c r="BE776">
        <f>IFERROR(INDEX(PP_Grid[#Data],$DD776,55),0)</f>
        <v/>
      </c>
      <c r="BF776">
        <f>IFERROR(INDEX(PP_Grid[#Data],$DD776,56),0)</f>
        <v/>
      </c>
      <c r="BG776">
        <f>IFERROR(INDEX(PP_Grid[#Data],$DD776,57),0)</f>
        <v/>
      </c>
      <c r="BH776">
        <f>IFERROR(INDEX(PP_Grid[#Data],$DD776,58),0)</f>
        <v/>
      </c>
      <c r="BI776">
        <f>IFERROR(INDEX(PP_Grid[#Data],$DD776,59),0)</f>
        <v/>
      </c>
      <c r="BJ776">
        <f>IFERROR(INDEX(PP_Grid[#Data],$DD776,60),0)</f>
        <v/>
      </c>
      <c r="BK776">
        <f>IFERROR(INDEX(PP_Grid[#Data],$DD776,61),0)</f>
        <v/>
      </c>
      <c r="BL776">
        <f>IFERROR(INDEX(PP_Grid[#Data],$DD776,62),0)</f>
        <v/>
      </c>
      <c r="BM776">
        <f>IFERROR(INDEX(PP_Grid[#Data],$DD776,63),0)</f>
        <v/>
      </c>
      <c r="BN776">
        <f>IFERROR(INDEX(PP_Grid[#Data],$DD776,64),0)</f>
        <v/>
      </c>
      <c r="BO776">
        <f>IFERROR(INDEX(PP_Grid[#Data],$DD776,65),0)</f>
        <v/>
      </c>
      <c r="BP776">
        <f>IFERROR(INDEX(PP_Grid[#Data],$DD776,66),0)</f>
        <v/>
      </c>
      <c r="BQ776">
        <f>IFERROR(INDEX(PP_Grid[#Data],$DD776,67),0)</f>
        <v/>
      </c>
      <c r="BR776">
        <f>IFERROR(INDEX(PP_Grid[#Data],$DD776,68),0)</f>
        <v/>
      </c>
      <c r="BS776">
        <f>IFERROR(INDEX(PP_Grid[#Data],$DD776,69),0)</f>
        <v/>
      </c>
      <c r="BT776">
        <f>IFERROR(INDEX(PP_Grid[#Data],$DD776,70),0)</f>
        <v/>
      </c>
      <c r="BU776">
        <f>IFERROR(INDEX(PP_Grid[#Data],$DD776,71),0)</f>
        <v/>
      </c>
      <c r="BV776">
        <f>IFERROR(INDEX(PP_Grid[#Data],$DD776,72),0)</f>
        <v/>
      </c>
      <c r="BW776">
        <f>IFERROR(INDEX(PP_Grid[#Data],$DD776,73),0)</f>
        <v/>
      </c>
      <c r="BX776">
        <f>IFERROR(INDEX(PP_Grid[#Data],$DD776,74),0)</f>
        <v/>
      </c>
      <c r="BY776">
        <f>IFERROR(INDEX(PP_Grid[#Data],$DD776,75),0)</f>
        <v/>
      </c>
      <c r="BZ776">
        <f>IFERROR(INDEX(PP_Grid[#Data],$DD776,76),0)</f>
        <v/>
      </c>
      <c r="CA776">
        <f>IFERROR(INDEX(PP_Grid[#Data],$DD776,77),0)</f>
        <v/>
      </c>
      <c r="CB776">
        <f>IFERROR(INDEX(PP_Grid[#Data],$DD776,78),0)</f>
        <v/>
      </c>
      <c r="CC776">
        <f>IFERROR(INDEX(PP_Grid[#Data],$DD776,79),0)</f>
        <v/>
      </c>
      <c r="CD776">
        <f>IFERROR(INDEX(PP_Grid[#Data],$DD776,80),0)</f>
        <v/>
      </c>
      <c r="CE776">
        <f>IFERROR(INDEX(PP_Grid[#Data],$DD776,81),0)</f>
        <v/>
      </c>
      <c r="CF776">
        <f>IFERROR(INDEX(PP_Grid[#Data],$DD776,82),0)</f>
        <v/>
      </c>
      <c r="CG776">
        <f>IFERROR(INDEX(PP_Grid[#Data],$DD776,83),0)</f>
        <v/>
      </c>
      <c r="CH776">
        <f>IFERROR(INDEX(PP_Grid[#Data],$DD776,84),0)</f>
        <v/>
      </c>
      <c r="CI776">
        <f>IFERROR(INDEX(PP_Grid[#Data],$DD776,85),0)</f>
        <v/>
      </c>
      <c r="CJ776">
        <f>IFERROR(INDEX(PP_Grid[#Data],$DD776,86),0)</f>
        <v/>
      </c>
      <c r="CK776">
        <f>IFERROR(INDEX(PP_Grid[#Data],$DD776,87),0)</f>
        <v/>
      </c>
      <c r="CL776">
        <f>IFERROR(INDEX(PP_Grid[#Data],$DD776,88),0)</f>
        <v/>
      </c>
      <c r="CM776">
        <f>IFERROR(INDEX(PP_Grid[#Data],$DD776,89),0)</f>
        <v/>
      </c>
      <c r="CN776">
        <f>IFERROR(INDEX(PP_Grid[#Data],$DD776,90),0)</f>
        <v/>
      </c>
      <c r="CO776">
        <f>IFERROR(INDEX(PP_Grid[#Data],$DD776,91),0)</f>
        <v/>
      </c>
      <c r="CP776">
        <f>IFERROR(INDEX(PP_Grid[#Data],$DD776,92),0)</f>
        <v/>
      </c>
      <c r="CQ776">
        <f>IFERROR(INDEX(PP_Grid[#Data],$DD776,93),0)</f>
        <v/>
      </c>
      <c r="CR776">
        <f>IFERROR(INDEX(PP_Grid[#Data],$DD776,94),0)</f>
        <v/>
      </c>
      <c r="CS776">
        <f>IFERROR(INDEX(PP_Grid[#Data],$DD776,95),0)</f>
        <v/>
      </c>
      <c r="CT776">
        <f>IFERROR(INDEX(PP_Grid[#Data],$DD776,96),0)</f>
        <v/>
      </c>
      <c r="CU776">
        <f>IFERROR(INDEX(PP_Grid[#Data],$DD776,97),0)</f>
        <v/>
      </c>
      <c r="CV776">
        <f>IFERROR(INDEX(PP_Grid[#Data],$DD776,98),0)</f>
        <v/>
      </c>
      <c r="CW776">
        <f>IFERROR(INDEX(PP_Grid[#Data],$DD776,99),0)</f>
        <v/>
      </c>
      <c r="CX776">
        <f>IFERROR(INDEX(PP_Grid[#Data],$DD776,100),0)</f>
        <v/>
      </c>
      <c r="CY776">
        <f>IFERROR(INDEX(PP_Grid[#Data],$DD776,101),0)</f>
        <v/>
      </c>
      <c r="CZ776">
        <f>IFERROR(INDEX(PP_Grid[#Data],$DD776,102),0)</f>
        <v/>
      </c>
      <c r="DA776">
        <f>IFERROR(INDEX(PP_Grid[#Data],$DD776,103),0)</f>
        <v/>
      </c>
      <c r="DB776">
        <f>IFERROR(INDEX(PP_Grid[#Data],$DD776,104),0)</f>
        <v/>
      </c>
      <c r="DC776">
        <f>IFERROR(INDEX(PP_Grid[#Data],$DD776,105),0)</f>
        <v/>
      </c>
      <c r="DD776" s="7">
        <f>IFERROR(MATCH($B776,PP_Grid[Intermediate],0),99999)</f>
        <v/>
      </c>
    </row>
    <row r="777">
      <c r="B777" t="inlineStr">
        <is>
          <t>使用量(kg)</t>
        </is>
      </c>
      <c r="C777">
        <f>SUMIFS(M_BOM[RM_Qty_Per_Batch],M_BOM[Intermediate],$B776,M_BOM[Part Name],$A759)</f>
        <v/>
      </c>
      <c r="D777">
        <f>$C777*D776</f>
        <v/>
      </c>
      <c r="E777">
        <f>$C777*E776</f>
        <v/>
      </c>
      <c r="F777">
        <f>$C777*F776</f>
        <v/>
      </c>
      <c r="G777">
        <f>$C777*G776</f>
        <v/>
      </c>
      <c r="H777">
        <f>$C777*H776</f>
        <v/>
      </c>
      <c r="I777">
        <f>$C777*I776</f>
        <v/>
      </c>
      <c r="J777">
        <f>$C777*J776</f>
        <v/>
      </c>
      <c r="K777">
        <f>$C777*K776</f>
        <v/>
      </c>
      <c r="L777">
        <f>$C777*L776</f>
        <v/>
      </c>
      <c r="M777">
        <f>$C777*M776</f>
        <v/>
      </c>
      <c r="N777">
        <f>$C777*N776</f>
        <v/>
      </c>
      <c r="O777">
        <f>$C777*O776</f>
        <v/>
      </c>
      <c r="P777">
        <f>$C777*P776</f>
        <v/>
      </c>
      <c r="Q777">
        <f>$C777*Q776</f>
        <v/>
      </c>
      <c r="R777">
        <f>$C777*R776</f>
        <v/>
      </c>
      <c r="S777">
        <f>$C777*S776</f>
        <v/>
      </c>
      <c r="T777">
        <f>$C777*T776</f>
        <v/>
      </c>
      <c r="U777">
        <f>$C777*U776</f>
        <v/>
      </c>
      <c r="V777">
        <f>$C777*V776</f>
        <v/>
      </c>
      <c r="W777">
        <f>$C777*W776</f>
        <v/>
      </c>
      <c r="X777">
        <f>$C777*X776</f>
        <v/>
      </c>
      <c r="Y777">
        <f>$C777*Y776</f>
        <v/>
      </c>
      <c r="Z777">
        <f>$C777*Z776</f>
        <v/>
      </c>
      <c r="AA777">
        <f>$C777*AA776</f>
        <v/>
      </c>
      <c r="AB777">
        <f>$C777*AB776</f>
        <v/>
      </c>
      <c r="AC777">
        <f>$C777*AC776</f>
        <v/>
      </c>
      <c r="AD777">
        <f>$C777*AD776</f>
        <v/>
      </c>
      <c r="AE777">
        <f>$C777*AE776</f>
        <v/>
      </c>
      <c r="AF777">
        <f>$C777*AF776</f>
        <v/>
      </c>
      <c r="AG777">
        <f>$C777*AG776</f>
        <v/>
      </c>
      <c r="AH777">
        <f>$C777*AH776</f>
        <v/>
      </c>
      <c r="AI777">
        <f>$C777*AI776</f>
        <v/>
      </c>
      <c r="AJ777">
        <f>$C777*AJ776</f>
        <v/>
      </c>
      <c r="AK777">
        <f>$C777*AK776</f>
        <v/>
      </c>
      <c r="AL777">
        <f>$C777*AL776</f>
        <v/>
      </c>
      <c r="AM777">
        <f>$C777*AM776</f>
        <v/>
      </c>
      <c r="AN777">
        <f>$C777*AN776</f>
        <v/>
      </c>
      <c r="AO777">
        <f>$C777*AO776</f>
        <v/>
      </c>
      <c r="AP777">
        <f>$C777*AP776</f>
        <v/>
      </c>
      <c r="AQ777">
        <f>$C777*AQ776</f>
        <v/>
      </c>
      <c r="AR777">
        <f>$C777*AR776</f>
        <v/>
      </c>
      <c r="AS777">
        <f>$C777*AS776</f>
        <v/>
      </c>
      <c r="AT777">
        <f>$C777*AT776</f>
        <v/>
      </c>
      <c r="AU777">
        <f>$C777*AU776</f>
        <v/>
      </c>
      <c r="AV777">
        <f>$C777*AV776</f>
        <v/>
      </c>
      <c r="AW777">
        <f>$C777*AW776</f>
        <v/>
      </c>
      <c r="AX777">
        <f>$C777*AX776</f>
        <v/>
      </c>
      <c r="AY777">
        <f>$C777*AY776</f>
        <v/>
      </c>
      <c r="AZ777">
        <f>$C777*AZ776</f>
        <v/>
      </c>
      <c r="BA777">
        <f>$C777*BA776</f>
        <v/>
      </c>
      <c r="BB777">
        <f>$C777*BB776</f>
        <v/>
      </c>
      <c r="BC777">
        <f>$C777*BC776</f>
        <v/>
      </c>
      <c r="BD777">
        <f>$C777*BD776</f>
        <v/>
      </c>
      <c r="BE777">
        <f>$C777*BE776</f>
        <v/>
      </c>
      <c r="BF777">
        <f>$C777*BF776</f>
        <v/>
      </c>
      <c r="BG777">
        <f>$C777*BG776</f>
        <v/>
      </c>
      <c r="BH777">
        <f>$C777*BH776</f>
        <v/>
      </c>
      <c r="BI777">
        <f>$C777*BI776</f>
        <v/>
      </c>
      <c r="BJ777">
        <f>$C777*BJ776</f>
        <v/>
      </c>
      <c r="BK777">
        <f>$C777*BK776</f>
        <v/>
      </c>
      <c r="BL777">
        <f>$C777*BL776</f>
        <v/>
      </c>
      <c r="BM777">
        <f>$C777*BM776</f>
        <v/>
      </c>
      <c r="BN777">
        <f>$C777*BN776</f>
        <v/>
      </c>
      <c r="BO777">
        <f>$C777*BO776</f>
        <v/>
      </c>
      <c r="BP777">
        <f>$C777*BP776</f>
        <v/>
      </c>
      <c r="BQ777">
        <f>$C777*BQ776</f>
        <v/>
      </c>
      <c r="BR777">
        <f>$C777*BR776</f>
        <v/>
      </c>
      <c r="BS777">
        <f>$C777*BS776</f>
        <v/>
      </c>
      <c r="BT777">
        <f>$C777*BT776</f>
        <v/>
      </c>
      <c r="BU777">
        <f>$C777*BU776</f>
        <v/>
      </c>
      <c r="BV777">
        <f>$C777*BV776</f>
        <v/>
      </c>
      <c r="BW777">
        <f>$C777*BW776</f>
        <v/>
      </c>
      <c r="BX777">
        <f>$C777*BX776</f>
        <v/>
      </c>
      <c r="BY777">
        <f>$C777*BY776</f>
        <v/>
      </c>
      <c r="BZ777">
        <f>$C777*BZ776</f>
        <v/>
      </c>
      <c r="CA777">
        <f>$C777*CA776</f>
        <v/>
      </c>
      <c r="CB777">
        <f>$C777*CB776</f>
        <v/>
      </c>
      <c r="CC777">
        <f>$C777*CC776</f>
        <v/>
      </c>
      <c r="CD777">
        <f>$C777*CD776</f>
        <v/>
      </c>
      <c r="CE777">
        <f>$C777*CE776</f>
        <v/>
      </c>
      <c r="CF777">
        <f>$C777*CF776</f>
        <v/>
      </c>
      <c r="CG777">
        <f>$C777*CG776</f>
        <v/>
      </c>
      <c r="CH777">
        <f>$C777*CH776</f>
        <v/>
      </c>
      <c r="CI777">
        <f>$C777*CI776</f>
        <v/>
      </c>
      <c r="CJ777">
        <f>$C777*CJ776</f>
        <v/>
      </c>
      <c r="CK777">
        <f>$C777*CK776</f>
        <v/>
      </c>
      <c r="CL777">
        <f>$C777*CL776</f>
        <v/>
      </c>
      <c r="CM777">
        <f>$C777*CM776</f>
        <v/>
      </c>
      <c r="CN777">
        <f>$C777*CN776</f>
        <v/>
      </c>
      <c r="CO777">
        <f>$C777*CO776</f>
        <v/>
      </c>
      <c r="CP777">
        <f>$C777*CP776</f>
        <v/>
      </c>
      <c r="CQ777">
        <f>$C777*CQ776</f>
        <v/>
      </c>
      <c r="CR777">
        <f>$C777*CR776</f>
        <v/>
      </c>
      <c r="CS777">
        <f>$C777*CS776</f>
        <v/>
      </c>
      <c r="CT777">
        <f>$C777*CT776</f>
        <v/>
      </c>
      <c r="CU777">
        <f>$C777*CU776</f>
        <v/>
      </c>
      <c r="CV777">
        <f>$C777*CV776</f>
        <v/>
      </c>
      <c r="CW777">
        <f>$C777*CW776</f>
        <v/>
      </c>
      <c r="CX777">
        <f>$C777*CX776</f>
        <v/>
      </c>
      <c r="CY777">
        <f>$C777*CY776</f>
        <v/>
      </c>
      <c r="CZ777">
        <f>$C777*CZ776</f>
        <v/>
      </c>
      <c r="DA777">
        <f>$C777*DA776</f>
        <v/>
      </c>
      <c r="DB777">
        <f>$C777*DB776</f>
        <v/>
      </c>
      <c r="DC777">
        <f>$C777*DC776</f>
        <v/>
      </c>
    </row>
    <row r="778">
      <c r="B778" t="inlineStr">
        <is>
          <t>TSP-935</t>
        </is>
      </c>
      <c r="C778" t="inlineStr">
        <is>
          <t>No. of batches</t>
        </is>
      </c>
      <c r="D778">
        <f>IFERROR(INDEX(PP_Grid[#Data],$DD778,2),0)</f>
        <v/>
      </c>
      <c r="E778">
        <f>IFERROR(INDEX(PP_Grid[#Data],$DD778,3),0)</f>
        <v/>
      </c>
      <c r="F778">
        <f>IFERROR(INDEX(PP_Grid[#Data],$DD778,4),0)</f>
        <v/>
      </c>
      <c r="G778">
        <f>IFERROR(INDEX(PP_Grid[#Data],$DD778,5),0)</f>
        <v/>
      </c>
      <c r="H778">
        <f>IFERROR(INDEX(PP_Grid[#Data],$DD778,6),0)</f>
        <v/>
      </c>
      <c r="I778">
        <f>IFERROR(INDEX(PP_Grid[#Data],$DD778,7),0)</f>
        <v/>
      </c>
      <c r="J778">
        <f>IFERROR(INDEX(PP_Grid[#Data],$DD778,8),0)</f>
        <v/>
      </c>
      <c r="K778">
        <f>IFERROR(INDEX(PP_Grid[#Data],$DD778,9),0)</f>
        <v/>
      </c>
      <c r="L778">
        <f>IFERROR(INDEX(PP_Grid[#Data],$DD778,10),0)</f>
        <v/>
      </c>
      <c r="M778">
        <f>IFERROR(INDEX(PP_Grid[#Data],$DD778,11),0)</f>
        <v/>
      </c>
      <c r="N778">
        <f>IFERROR(INDEX(PP_Grid[#Data],$DD778,12),0)</f>
        <v/>
      </c>
      <c r="O778">
        <f>IFERROR(INDEX(PP_Grid[#Data],$DD778,13),0)</f>
        <v/>
      </c>
      <c r="P778">
        <f>IFERROR(INDEX(PP_Grid[#Data],$DD778,14),0)</f>
        <v/>
      </c>
      <c r="Q778">
        <f>IFERROR(INDEX(PP_Grid[#Data],$DD778,15),0)</f>
        <v/>
      </c>
      <c r="R778">
        <f>IFERROR(INDEX(PP_Grid[#Data],$DD778,16),0)</f>
        <v/>
      </c>
      <c r="S778">
        <f>IFERROR(INDEX(PP_Grid[#Data],$DD778,17),0)</f>
        <v/>
      </c>
      <c r="T778">
        <f>IFERROR(INDEX(PP_Grid[#Data],$DD778,18),0)</f>
        <v/>
      </c>
      <c r="U778">
        <f>IFERROR(INDEX(PP_Grid[#Data],$DD778,19),0)</f>
        <v/>
      </c>
      <c r="V778">
        <f>IFERROR(INDEX(PP_Grid[#Data],$DD778,20),0)</f>
        <v/>
      </c>
      <c r="W778">
        <f>IFERROR(INDEX(PP_Grid[#Data],$DD778,21),0)</f>
        <v/>
      </c>
      <c r="X778">
        <f>IFERROR(INDEX(PP_Grid[#Data],$DD778,22),0)</f>
        <v/>
      </c>
      <c r="Y778">
        <f>IFERROR(INDEX(PP_Grid[#Data],$DD778,23),0)</f>
        <v/>
      </c>
      <c r="Z778">
        <f>IFERROR(INDEX(PP_Grid[#Data],$DD778,24),0)</f>
        <v/>
      </c>
      <c r="AA778">
        <f>IFERROR(INDEX(PP_Grid[#Data],$DD778,25),0)</f>
        <v/>
      </c>
      <c r="AB778">
        <f>IFERROR(INDEX(PP_Grid[#Data],$DD778,26),0)</f>
        <v/>
      </c>
      <c r="AC778">
        <f>IFERROR(INDEX(PP_Grid[#Data],$DD778,27),0)</f>
        <v/>
      </c>
      <c r="AD778">
        <f>IFERROR(INDEX(PP_Grid[#Data],$DD778,28),0)</f>
        <v/>
      </c>
      <c r="AE778">
        <f>IFERROR(INDEX(PP_Grid[#Data],$DD778,29),0)</f>
        <v/>
      </c>
      <c r="AF778">
        <f>IFERROR(INDEX(PP_Grid[#Data],$DD778,30),0)</f>
        <v/>
      </c>
      <c r="AG778">
        <f>IFERROR(INDEX(PP_Grid[#Data],$DD778,31),0)</f>
        <v/>
      </c>
      <c r="AH778">
        <f>IFERROR(INDEX(PP_Grid[#Data],$DD778,32),0)</f>
        <v/>
      </c>
      <c r="AI778">
        <f>IFERROR(INDEX(PP_Grid[#Data],$DD778,33),0)</f>
        <v/>
      </c>
      <c r="AJ778">
        <f>IFERROR(INDEX(PP_Grid[#Data],$DD778,34),0)</f>
        <v/>
      </c>
      <c r="AK778">
        <f>IFERROR(INDEX(PP_Grid[#Data],$DD778,35),0)</f>
        <v/>
      </c>
      <c r="AL778">
        <f>IFERROR(INDEX(PP_Grid[#Data],$DD778,36),0)</f>
        <v/>
      </c>
      <c r="AM778">
        <f>IFERROR(INDEX(PP_Grid[#Data],$DD778,37),0)</f>
        <v/>
      </c>
      <c r="AN778">
        <f>IFERROR(INDEX(PP_Grid[#Data],$DD778,38),0)</f>
        <v/>
      </c>
      <c r="AO778">
        <f>IFERROR(INDEX(PP_Grid[#Data],$DD778,39),0)</f>
        <v/>
      </c>
      <c r="AP778">
        <f>IFERROR(INDEX(PP_Grid[#Data],$DD778,40),0)</f>
        <v/>
      </c>
      <c r="AQ778">
        <f>IFERROR(INDEX(PP_Grid[#Data],$DD778,41),0)</f>
        <v/>
      </c>
      <c r="AR778">
        <f>IFERROR(INDEX(PP_Grid[#Data],$DD778,42),0)</f>
        <v/>
      </c>
      <c r="AS778">
        <f>IFERROR(INDEX(PP_Grid[#Data],$DD778,43),0)</f>
        <v/>
      </c>
      <c r="AT778">
        <f>IFERROR(INDEX(PP_Grid[#Data],$DD778,44),0)</f>
        <v/>
      </c>
      <c r="AU778">
        <f>IFERROR(INDEX(PP_Grid[#Data],$DD778,45),0)</f>
        <v/>
      </c>
      <c r="AV778">
        <f>IFERROR(INDEX(PP_Grid[#Data],$DD778,46),0)</f>
        <v/>
      </c>
      <c r="AW778">
        <f>IFERROR(INDEX(PP_Grid[#Data],$DD778,47),0)</f>
        <v/>
      </c>
      <c r="AX778">
        <f>IFERROR(INDEX(PP_Grid[#Data],$DD778,48),0)</f>
        <v/>
      </c>
      <c r="AY778">
        <f>IFERROR(INDEX(PP_Grid[#Data],$DD778,49),0)</f>
        <v/>
      </c>
      <c r="AZ778">
        <f>IFERROR(INDEX(PP_Grid[#Data],$DD778,50),0)</f>
        <v/>
      </c>
      <c r="BA778">
        <f>IFERROR(INDEX(PP_Grid[#Data],$DD778,51),0)</f>
        <v/>
      </c>
      <c r="BB778">
        <f>IFERROR(INDEX(PP_Grid[#Data],$DD778,52),0)</f>
        <v/>
      </c>
      <c r="BC778">
        <f>IFERROR(INDEX(PP_Grid[#Data],$DD778,53),0)</f>
        <v/>
      </c>
      <c r="BD778">
        <f>IFERROR(INDEX(PP_Grid[#Data],$DD778,54),0)</f>
        <v/>
      </c>
      <c r="BE778">
        <f>IFERROR(INDEX(PP_Grid[#Data],$DD778,55),0)</f>
        <v/>
      </c>
      <c r="BF778">
        <f>IFERROR(INDEX(PP_Grid[#Data],$DD778,56),0)</f>
        <v/>
      </c>
      <c r="BG778">
        <f>IFERROR(INDEX(PP_Grid[#Data],$DD778,57),0)</f>
        <v/>
      </c>
      <c r="BH778">
        <f>IFERROR(INDEX(PP_Grid[#Data],$DD778,58),0)</f>
        <v/>
      </c>
      <c r="BI778">
        <f>IFERROR(INDEX(PP_Grid[#Data],$DD778,59),0)</f>
        <v/>
      </c>
      <c r="BJ778">
        <f>IFERROR(INDEX(PP_Grid[#Data],$DD778,60),0)</f>
        <v/>
      </c>
      <c r="BK778">
        <f>IFERROR(INDEX(PP_Grid[#Data],$DD778,61),0)</f>
        <v/>
      </c>
      <c r="BL778">
        <f>IFERROR(INDEX(PP_Grid[#Data],$DD778,62),0)</f>
        <v/>
      </c>
      <c r="BM778">
        <f>IFERROR(INDEX(PP_Grid[#Data],$DD778,63),0)</f>
        <v/>
      </c>
      <c r="BN778">
        <f>IFERROR(INDEX(PP_Grid[#Data],$DD778,64),0)</f>
        <v/>
      </c>
      <c r="BO778">
        <f>IFERROR(INDEX(PP_Grid[#Data],$DD778,65),0)</f>
        <v/>
      </c>
      <c r="BP778">
        <f>IFERROR(INDEX(PP_Grid[#Data],$DD778,66),0)</f>
        <v/>
      </c>
      <c r="BQ778">
        <f>IFERROR(INDEX(PP_Grid[#Data],$DD778,67),0)</f>
        <v/>
      </c>
      <c r="BR778">
        <f>IFERROR(INDEX(PP_Grid[#Data],$DD778,68),0)</f>
        <v/>
      </c>
      <c r="BS778">
        <f>IFERROR(INDEX(PP_Grid[#Data],$DD778,69),0)</f>
        <v/>
      </c>
      <c r="BT778">
        <f>IFERROR(INDEX(PP_Grid[#Data],$DD778,70),0)</f>
        <v/>
      </c>
      <c r="BU778">
        <f>IFERROR(INDEX(PP_Grid[#Data],$DD778,71),0)</f>
        <v/>
      </c>
      <c r="BV778">
        <f>IFERROR(INDEX(PP_Grid[#Data],$DD778,72),0)</f>
        <v/>
      </c>
      <c r="BW778">
        <f>IFERROR(INDEX(PP_Grid[#Data],$DD778,73),0)</f>
        <v/>
      </c>
      <c r="BX778">
        <f>IFERROR(INDEX(PP_Grid[#Data],$DD778,74),0)</f>
        <v/>
      </c>
      <c r="BY778">
        <f>IFERROR(INDEX(PP_Grid[#Data],$DD778,75),0)</f>
        <v/>
      </c>
      <c r="BZ778">
        <f>IFERROR(INDEX(PP_Grid[#Data],$DD778,76),0)</f>
        <v/>
      </c>
      <c r="CA778">
        <f>IFERROR(INDEX(PP_Grid[#Data],$DD778,77),0)</f>
        <v/>
      </c>
      <c r="CB778">
        <f>IFERROR(INDEX(PP_Grid[#Data],$DD778,78),0)</f>
        <v/>
      </c>
      <c r="CC778">
        <f>IFERROR(INDEX(PP_Grid[#Data],$DD778,79),0)</f>
        <v/>
      </c>
      <c r="CD778">
        <f>IFERROR(INDEX(PP_Grid[#Data],$DD778,80),0)</f>
        <v/>
      </c>
      <c r="CE778">
        <f>IFERROR(INDEX(PP_Grid[#Data],$DD778,81),0)</f>
        <v/>
      </c>
      <c r="CF778">
        <f>IFERROR(INDEX(PP_Grid[#Data],$DD778,82),0)</f>
        <v/>
      </c>
      <c r="CG778">
        <f>IFERROR(INDEX(PP_Grid[#Data],$DD778,83),0)</f>
        <v/>
      </c>
      <c r="CH778">
        <f>IFERROR(INDEX(PP_Grid[#Data],$DD778,84),0)</f>
        <v/>
      </c>
      <c r="CI778">
        <f>IFERROR(INDEX(PP_Grid[#Data],$DD778,85),0)</f>
        <v/>
      </c>
      <c r="CJ778">
        <f>IFERROR(INDEX(PP_Grid[#Data],$DD778,86),0)</f>
        <v/>
      </c>
      <c r="CK778">
        <f>IFERROR(INDEX(PP_Grid[#Data],$DD778,87),0)</f>
        <v/>
      </c>
      <c r="CL778">
        <f>IFERROR(INDEX(PP_Grid[#Data],$DD778,88),0)</f>
        <v/>
      </c>
      <c r="CM778">
        <f>IFERROR(INDEX(PP_Grid[#Data],$DD778,89),0)</f>
        <v/>
      </c>
      <c r="CN778">
        <f>IFERROR(INDEX(PP_Grid[#Data],$DD778,90),0)</f>
        <v/>
      </c>
      <c r="CO778">
        <f>IFERROR(INDEX(PP_Grid[#Data],$DD778,91),0)</f>
        <v/>
      </c>
      <c r="CP778">
        <f>IFERROR(INDEX(PP_Grid[#Data],$DD778,92),0)</f>
        <v/>
      </c>
      <c r="CQ778">
        <f>IFERROR(INDEX(PP_Grid[#Data],$DD778,93),0)</f>
        <v/>
      </c>
      <c r="CR778">
        <f>IFERROR(INDEX(PP_Grid[#Data],$DD778,94),0)</f>
        <v/>
      </c>
      <c r="CS778">
        <f>IFERROR(INDEX(PP_Grid[#Data],$DD778,95),0)</f>
        <v/>
      </c>
      <c r="CT778">
        <f>IFERROR(INDEX(PP_Grid[#Data],$DD778,96),0)</f>
        <v/>
      </c>
      <c r="CU778">
        <f>IFERROR(INDEX(PP_Grid[#Data],$DD778,97),0)</f>
        <v/>
      </c>
      <c r="CV778">
        <f>IFERROR(INDEX(PP_Grid[#Data],$DD778,98),0)</f>
        <v/>
      </c>
      <c r="CW778">
        <f>IFERROR(INDEX(PP_Grid[#Data],$DD778,99),0)</f>
        <v/>
      </c>
      <c r="CX778">
        <f>IFERROR(INDEX(PP_Grid[#Data],$DD778,100),0)</f>
        <v/>
      </c>
      <c r="CY778">
        <f>IFERROR(INDEX(PP_Grid[#Data],$DD778,101),0)</f>
        <v/>
      </c>
      <c r="CZ778">
        <f>IFERROR(INDEX(PP_Grid[#Data],$DD778,102),0)</f>
        <v/>
      </c>
      <c r="DA778">
        <f>IFERROR(INDEX(PP_Grid[#Data],$DD778,103),0)</f>
        <v/>
      </c>
      <c r="DB778">
        <f>IFERROR(INDEX(PP_Grid[#Data],$DD778,104),0)</f>
        <v/>
      </c>
      <c r="DC778">
        <f>IFERROR(INDEX(PP_Grid[#Data],$DD778,105),0)</f>
        <v/>
      </c>
      <c r="DD778" s="7">
        <f>IFERROR(MATCH($B778,PP_Grid[Intermediate],0),99999)</f>
        <v/>
      </c>
    </row>
    <row r="779">
      <c r="B779" t="inlineStr">
        <is>
          <t>使用量(kg)</t>
        </is>
      </c>
      <c r="C779">
        <f>SUMIFS(M_BOM[RM_Qty_Per_Batch],M_BOM[Intermediate],$B778,M_BOM[Part Name],$A759)</f>
        <v/>
      </c>
      <c r="D779">
        <f>$C779*D778</f>
        <v/>
      </c>
      <c r="E779">
        <f>$C779*E778</f>
        <v/>
      </c>
      <c r="F779">
        <f>$C779*F778</f>
        <v/>
      </c>
      <c r="G779">
        <f>$C779*G778</f>
        <v/>
      </c>
      <c r="H779">
        <f>$C779*H778</f>
        <v/>
      </c>
      <c r="I779">
        <f>$C779*I778</f>
        <v/>
      </c>
      <c r="J779">
        <f>$C779*J778</f>
        <v/>
      </c>
      <c r="K779">
        <f>$C779*K778</f>
        <v/>
      </c>
      <c r="L779">
        <f>$C779*L778</f>
        <v/>
      </c>
      <c r="M779">
        <f>$C779*M778</f>
        <v/>
      </c>
      <c r="N779">
        <f>$C779*N778</f>
        <v/>
      </c>
      <c r="O779">
        <f>$C779*O778</f>
        <v/>
      </c>
      <c r="P779">
        <f>$C779*P778</f>
        <v/>
      </c>
      <c r="Q779">
        <f>$C779*Q778</f>
        <v/>
      </c>
      <c r="R779">
        <f>$C779*R778</f>
        <v/>
      </c>
      <c r="S779">
        <f>$C779*S778</f>
        <v/>
      </c>
      <c r="T779">
        <f>$C779*T778</f>
        <v/>
      </c>
      <c r="U779">
        <f>$C779*U778</f>
        <v/>
      </c>
      <c r="V779">
        <f>$C779*V778</f>
        <v/>
      </c>
      <c r="W779">
        <f>$C779*W778</f>
        <v/>
      </c>
      <c r="X779">
        <f>$C779*X778</f>
        <v/>
      </c>
      <c r="Y779">
        <f>$C779*Y778</f>
        <v/>
      </c>
      <c r="Z779">
        <f>$C779*Z778</f>
        <v/>
      </c>
      <c r="AA779">
        <f>$C779*AA778</f>
        <v/>
      </c>
      <c r="AB779">
        <f>$C779*AB778</f>
        <v/>
      </c>
      <c r="AC779">
        <f>$C779*AC778</f>
        <v/>
      </c>
      <c r="AD779">
        <f>$C779*AD778</f>
        <v/>
      </c>
      <c r="AE779">
        <f>$C779*AE778</f>
        <v/>
      </c>
      <c r="AF779">
        <f>$C779*AF778</f>
        <v/>
      </c>
      <c r="AG779">
        <f>$C779*AG778</f>
        <v/>
      </c>
      <c r="AH779">
        <f>$C779*AH778</f>
        <v/>
      </c>
      <c r="AI779">
        <f>$C779*AI778</f>
        <v/>
      </c>
      <c r="AJ779">
        <f>$C779*AJ778</f>
        <v/>
      </c>
      <c r="AK779">
        <f>$C779*AK778</f>
        <v/>
      </c>
      <c r="AL779">
        <f>$C779*AL778</f>
        <v/>
      </c>
      <c r="AM779">
        <f>$C779*AM778</f>
        <v/>
      </c>
      <c r="AN779">
        <f>$C779*AN778</f>
        <v/>
      </c>
      <c r="AO779">
        <f>$C779*AO778</f>
        <v/>
      </c>
      <c r="AP779">
        <f>$C779*AP778</f>
        <v/>
      </c>
      <c r="AQ779">
        <f>$C779*AQ778</f>
        <v/>
      </c>
      <c r="AR779">
        <f>$C779*AR778</f>
        <v/>
      </c>
      <c r="AS779">
        <f>$C779*AS778</f>
        <v/>
      </c>
      <c r="AT779">
        <f>$C779*AT778</f>
        <v/>
      </c>
      <c r="AU779">
        <f>$C779*AU778</f>
        <v/>
      </c>
      <c r="AV779">
        <f>$C779*AV778</f>
        <v/>
      </c>
      <c r="AW779">
        <f>$C779*AW778</f>
        <v/>
      </c>
      <c r="AX779">
        <f>$C779*AX778</f>
        <v/>
      </c>
      <c r="AY779">
        <f>$C779*AY778</f>
        <v/>
      </c>
      <c r="AZ779">
        <f>$C779*AZ778</f>
        <v/>
      </c>
      <c r="BA779">
        <f>$C779*BA778</f>
        <v/>
      </c>
      <c r="BB779">
        <f>$C779*BB778</f>
        <v/>
      </c>
      <c r="BC779">
        <f>$C779*BC778</f>
        <v/>
      </c>
      <c r="BD779">
        <f>$C779*BD778</f>
        <v/>
      </c>
      <c r="BE779">
        <f>$C779*BE778</f>
        <v/>
      </c>
      <c r="BF779">
        <f>$C779*BF778</f>
        <v/>
      </c>
      <c r="BG779">
        <f>$C779*BG778</f>
        <v/>
      </c>
      <c r="BH779">
        <f>$C779*BH778</f>
        <v/>
      </c>
      <c r="BI779">
        <f>$C779*BI778</f>
        <v/>
      </c>
      <c r="BJ779">
        <f>$C779*BJ778</f>
        <v/>
      </c>
      <c r="BK779">
        <f>$C779*BK778</f>
        <v/>
      </c>
      <c r="BL779">
        <f>$C779*BL778</f>
        <v/>
      </c>
      <c r="BM779">
        <f>$C779*BM778</f>
        <v/>
      </c>
      <c r="BN779">
        <f>$C779*BN778</f>
        <v/>
      </c>
      <c r="BO779">
        <f>$C779*BO778</f>
        <v/>
      </c>
      <c r="BP779">
        <f>$C779*BP778</f>
        <v/>
      </c>
      <c r="BQ779">
        <f>$C779*BQ778</f>
        <v/>
      </c>
      <c r="BR779">
        <f>$C779*BR778</f>
        <v/>
      </c>
      <c r="BS779">
        <f>$C779*BS778</f>
        <v/>
      </c>
      <c r="BT779">
        <f>$C779*BT778</f>
        <v/>
      </c>
      <c r="BU779">
        <f>$C779*BU778</f>
        <v/>
      </c>
      <c r="BV779">
        <f>$C779*BV778</f>
        <v/>
      </c>
      <c r="BW779">
        <f>$C779*BW778</f>
        <v/>
      </c>
      <c r="BX779">
        <f>$C779*BX778</f>
        <v/>
      </c>
      <c r="BY779">
        <f>$C779*BY778</f>
        <v/>
      </c>
      <c r="BZ779">
        <f>$C779*BZ778</f>
        <v/>
      </c>
      <c r="CA779">
        <f>$C779*CA778</f>
        <v/>
      </c>
      <c r="CB779">
        <f>$C779*CB778</f>
        <v/>
      </c>
      <c r="CC779">
        <f>$C779*CC778</f>
        <v/>
      </c>
      <c r="CD779">
        <f>$C779*CD778</f>
        <v/>
      </c>
      <c r="CE779">
        <f>$C779*CE778</f>
        <v/>
      </c>
      <c r="CF779">
        <f>$C779*CF778</f>
        <v/>
      </c>
      <c r="CG779">
        <f>$C779*CG778</f>
        <v/>
      </c>
      <c r="CH779">
        <f>$C779*CH778</f>
        <v/>
      </c>
      <c r="CI779">
        <f>$C779*CI778</f>
        <v/>
      </c>
      <c r="CJ779">
        <f>$C779*CJ778</f>
        <v/>
      </c>
      <c r="CK779">
        <f>$C779*CK778</f>
        <v/>
      </c>
      <c r="CL779">
        <f>$C779*CL778</f>
        <v/>
      </c>
      <c r="CM779">
        <f>$C779*CM778</f>
        <v/>
      </c>
      <c r="CN779">
        <f>$C779*CN778</f>
        <v/>
      </c>
      <c r="CO779">
        <f>$C779*CO778</f>
        <v/>
      </c>
      <c r="CP779">
        <f>$C779*CP778</f>
        <v/>
      </c>
      <c r="CQ779">
        <f>$C779*CQ778</f>
        <v/>
      </c>
      <c r="CR779">
        <f>$C779*CR778</f>
        <v/>
      </c>
      <c r="CS779">
        <f>$C779*CS778</f>
        <v/>
      </c>
      <c r="CT779">
        <f>$C779*CT778</f>
        <v/>
      </c>
      <c r="CU779">
        <f>$C779*CU778</f>
        <v/>
      </c>
      <c r="CV779">
        <f>$C779*CV778</f>
        <v/>
      </c>
      <c r="CW779">
        <f>$C779*CW778</f>
        <v/>
      </c>
      <c r="CX779">
        <f>$C779*CX778</f>
        <v/>
      </c>
      <c r="CY779">
        <f>$C779*CY778</f>
        <v/>
      </c>
      <c r="CZ779">
        <f>$C779*CZ778</f>
        <v/>
      </c>
      <c r="DA779">
        <f>$C779*DA778</f>
        <v/>
      </c>
      <c r="DB779">
        <f>$C779*DB778</f>
        <v/>
      </c>
      <c r="DC779">
        <f>$C779*DC778</f>
        <v/>
      </c>
    </row>
    <row r="780">
      <c r="B780" t="inlineStr">
        <is>
          <t>TSP-936</t>
        </is>
      </c>
      <c r="C780" t="inlineStr">
        <is>
          <t>No. of batches</t>
        </is>
      </c>
      <c r="D780">
        <f>IFERROR(INDEX(PP_Grid[#Data],$DD780,2),0)</f>
        <v/>
      </c>
      <c r="E780">
        <f>IFERROR(INDEX(PP_Grid[#Data],$DD780,3),0)</f>
        <v/>
      </c>
      <c r="F780">
        <f>IFERROR(INDEX(PP_Grid[#Data],$DD780,4),0)</f>
        <v/>
      </c>
      <c r="G780">
        <f>IFERROR(INDEX(PP_Grid[#Data],$DD780,5),0)</f>
        <v/>
      </c>
      <c r="H780">
        <f>IFERROR(INDEX(PP_Grid[#Data],$DD780,6),0)</f>
        <v/>
      </c>
      <c r="I780">
        <f>IFERROR(INDEX(PP_Grid[#Data],$DD780,7),0)</f>
        <v/>
      </c>
      <c r="J780">
        <f>IFERROR(INDEX(PP_Grid[#Data],$DD780,8),0)</f>
        <v/>
      </c>
      <c r="K780">
        <f>IFERROR(INDEX(PP_Grid[#Data],$DD780,9),0)</f>
        <v/>
      </c>
      <c r="L780">
        <f>IFERROR(INDEX(PP_Grid[#Data],$DD780,10),0)</f>
        <v/>
      </c>
      <c r="M780">
        <f>IFERROR(INDEX(PP_Grid[#Data],$DD780,11),0)</f>
        <v/>
      </c>
      <c r="N780">
        <f>IFERROR(INDEX(PP_Grid[#Data],$DD780,12),0)</f>
        <v/>
      </c>
      <c r="O780">
        <f>IFERROR(INDEX(PP_Grid[#Data],$DD780,13),0)</f>
        <v/>
      </c>
      <c r="P780">
        <f>IFERROR(INDEX(PP_Grid[#Data],$DD780,14),0)</f>
        <v/>
      </c>
      <c r="Q780">
        <f>IFERROR(INDEX(PP_Grid[#Data],$DD780,15),0)</f>
        <v/>
      </c>
      <c r="R780">
        <f>IFERROR(INDEX(PP_Grid[#Data],$DD780,16),0)</f>
        <v/>
      </c>
      <c r="S780">
        <f>IFERROR(INDEX(PP_Grid[#Data],$DD780,17),0)</f>
        <v/>
      </c>
      <c r="T780">
        <f>IFERROR(INDEX(PP_Grid[#Data],$DD780,18),0)</f>
        <v/>
      </c>
      <c r="U780">
        <f>IFERROR(INDEX(PP_Grid[#Data],$DD780,19),0)</f>
        <v/>
      </c>
      <c r="V780">
        <f>IFERROR(INDEX(PP_Grid[#Data],$DD780,20),0)</f>
        <v/>
      </c>
      <c r="W780">
        <f>IFERROR(INDEX(PP_Grid[#Data],$DD780,21),0)</f>
        <v/>
      </c>
      <c r="X780">
        <f>IFERROR(INDEX(PP_Grid[#Data],$DD780,22),0)</f>
        <v/>
      </c>
      <c r="Y780">
        <f>IFERROR(INDEX(PP_Grid[#Data],$DD780,23),0)</f>
        <v/>
      </c>
      <c r="Z780">
        <f>IFERROR(INDEX(PP_Grid[#Data],$DD780,24),0)</f>
        <v/>
      </c>
      <c r="AA780">
        <f>IFERROR(INDEX(PP_Grid[#Data],$DD780,25),0)</f>
        <v/>
      </c>
      <c r="AB780">
        <f>IFERROR(INDEX(PP_Grid[#Data],$DD780,26),0)</f>
        <v/>
      </c>
      <c r="AC780">
        <f>IFERROR(INDEX(PP_Grid[#Data],$DD780,27),0)</f>
        <v/>
      </c>
      <c r="AD780">
        <f>IFERROR(INDEX(PP_Grid[#Data],$DD780,28),0)</f>
        <v/>
      </c>
      <c r="AE780">
        <f>IFERROR(INDEX(PP_Grid[#Data],$DD780,29),0)</f>
        <v/>
      </c>
      <c r="AF780">
        <f>IFERROR(INDEX(PP_Grid[#Data],$DD780,30),0)</f>
        <v/>
      </c>
      <c r="AG780">
        <f>IFERROR(INDEX(PP_Grid[#Data],$DD780,31),0)</f>
        <v/>
      </c>
      <c r="AH780">
        <f>IFERROR(INDEX(PP_Grid[#Data],$DD780,32),0)</f>
        <v/>
      </c>
      <c r="AI780">
        <f>IFERROR(INDEX(PP_Grid[#Data],$DD780,33),0)</f>
        <v/>
      </c>
      <c r="AJ780">
        <f>IFERROR(INDEX(PP_Grid[#Data],$DD780,34),0)</f>
        <v/>
      </c>
      <c r="AK780">
        <f>IFERROR(INDEX(PP_Grid[#Data],$DD780,35),0)</f>
        <v/>
      </c>
      <c r="AL780">
        <f>IFERROR(INDEX(PP_Grid[#Data],$DD780,36),0)</f>
        <v/>
      </c>
      <c r="AM780">
        <f>IFERROR(INDEX(PP_Grid[#Data],$DD780,37),0)</f>
        <v/>
      </c>
      <c r="AN780">
        <f>IFERROR(INDEX(PP_Grid[#Data],$DD780,38),0)</f>
        <v/>
      </c>
      <c r="AO780">
        <f>IFERROR(INDEX(PP_Grid[#Data],$DD780,39),0)</f>
        <v/>
      </c>
      <c r="AP780">
        <f>IFERROR(INDEX(PP_Grid[#Data],$DD780,40),0)</f>
        <v/>
      </c>
      <c r="AQ780">
        <f>IFERROR(INDEX(PP_Grid[#Data],$DD780,41),0)</f>
        <v/>
      </c>
      <c r="AR780">
        <f>IFERROR(INDEX(PP_Grid[#Data],$DD780,42),0)</f>
        <v/>
      </c>
      <c r="AS780">
        <f>IFERROR(INDEX(PP_Grid[#Data],$DD780,43),0)</f>
        <v/>
      </c>
      <c r="AT780">
        <f>IFERROR(INDEX(PP_Grid[#Data],$DD780,44),0)</f>
        <v/>
      </c>
      <c r="AU780">
        <f>IFERROR(INDEX(PP_Grid[#Data],$DD780,45),0)</f>
        <v/>
      </c>
      <c r="AV780">
        <f>IFERROR(INDEX(PP_Grid[#Data],$DD780,46),0)</f>
        <v/>
      </c>
      <c r="AW780">
        <f>IFERROR(INDEX(PP_Grid[#Data],$DD780,47),0)</f>
        <v/>
      </c>
      <c r="AX780">
        <f>IFERROR(INDEX(PP_Grid[#Data],$DD780,48),0)</f>
        <v/>
      </c>
      <c r="AY780">
        <f>IFERROR(INDEX(PP_Grid[#Data],$DD780,49),0)</f>
        <v/>
      </c>
      <c r="AZ780">
        <f>IFERROR(INDEX(PP_Grid[#Data],$DD780,50),0)</f>
        <v/>
      </c>
      <c r="BA780">
        <f>IFERROR(INDEX(PP_Grid[#Data],$DD780,51),0)</f>
        <v/>
      </c>
      <c r="BB780">
        <f>IFERROR(INDEX(PP_Grid[#Data],$DD780,52),0)</f>
        <v/>
      </c>
      <c r="BC780">
        <f>IFERROR(INDEX(PP_Grid[#Data],$DD780,53),0)</f>
        <v/>
      </c>
      <c r="BD780">
        <f>IFERROR(INDEX(PP_Grid[#Data],$DD780,54),0)</f>
        <v/>
      </c>
      <c r="BE780">
        <f>IFERROR(INDEX(PP_Grid[#Data],$DD780,55),0)</f>
        <v/>
      </c>
      <c r="BF780">
        <f>IFERROR(INDEX(PP_Grid[#Data],$DD780,56),0)</f>
        <v/>
      </c>
      <c r="BG780">
        <f>IFERROR(INDEX(PP_Grid[#Data],$DD780,57),0)</f>
        <v/>
      </c>
      <c r="BH780">
        <f>IFERROR(INDEX(PP_Grid[#Data],$DD780,58),0)</f>
        <v/>
      </c>
      <c r="BI780">
        <f>IFERROR(INDEX(PP_Grid[#Data],$DD780,59),0)</f>
        <v/>
      </c>
      <c r="BJ780">
        <f>IFERROR(INDEX(PP_Grid[#Data],$DD780,60),0)</f>
        <v/>
      </c>
      <c r="BK780">
        <f>IFERROR(INDEX(PP_Grid[#Data],$DD780,61),0)</f>
        <v/>
      </c>
      <c r="BL780">
        <f>IFERROR(INDEX(PP_Grid[#Data],$DD780,62),0)</f>
        <v/>
      </c>
      <c r="BM780">
        <f>IFERROR(INDEX(PP_Grid[#Data],$DD780,63),0)</f>
        <v/>
      </c>
      <c r="BN780">
        <f>IFERROR(INDEX(PP_Grid[#Data],$DD780,64),0)</f>
        <v/>
      </c>
      <c r="BO780">
        <f>IFERROR(INDEX(PP_Grid[#Data],$DD780,65),0)</f>
        <v/>
      </c>
      <c r="BP780">
        <f>IFERROR(INDEX(PP_Grid[#Data],$DD780,66),0)</f>
        <v/>
      </c>
      <c r="BQ780">
        <f>IFERROR(INDEX(PP_Grid[#Data],$DD780,67),0)</f>
        <v/>
      </c>
      <c r="BR780">
        <f>IFERROR(INDEX(PP_Grid[#Data],$DD780,68),0)</f>
        <v/>
      </c>
      <c r="BS780">
        <f>IFERROR(INDEX(PP_Grid[#Data],$DD780,69),0)</f>
        <v/>
      </c>
      <c r="BT780">
        <f>IFERROR(INDEX(PP_Grid[#Data],$DD780,70),0)</f>
        <v/>
      </c>
      <c r="BU780">
        <f>IFERROR(INDEX(PP_Grid[#Data],$DD780,71),0)</f>
        <v/>
      </c>
      <c r="BV780">
        <f>IFERROR(INDEX(PP_Grid[#Data],$DD780,72),0)</f>
        <v/>
      </c>
      <c r="BW780">
        <f>IFERROR(INDEX(PP_Grid[#Data],$DD780,73),0)</f>
        <v/>
      </c>
      <c r="BX780">
        <f>IFERROR(INDEX(PP_Grid[#Data],$DD780,74),0)</f>
        <v/>
      </c>
      <c r="BY780">
        <f>IFERROR(INDEX(PP_Grid[#Data],$DD780,75),0)</f>
        <v/>
      </c>
      <c r="BZ780">
        <f>IFERROR(INDEX(PP_Grid[#Data],$DD780,76),0)</f>
        <v/>
      </c>
      <c r="CA780">
        <f>IFERROR(INDEX(PP_Grid[#Data],$DD780,77),0)</f>
        <v/>
      </c>
      <c r="CB780">
        <f>IFERROR(INDEX(PP_Grid[#Data],$DD780,78),0)</f>
        <v/>
      </c>
      <c r="CC780">
        <f>IFERROR(INDEX(PP_Grid[#Data],$DD780,79),0)</f>
        <v/>
      </c>
      <c r="CD780">
        <f>IFERROR(INDEX(PP_Grid[#Data],$DD780,80),0)</f>
        <v/>
      </c>
      <c r="CE780">
        <f>IFERROR(INDEX(PP_Grid[#Data],$DD780,81),0)</f>
        <v/>
      </c>
      <c r="CF780">
        <f>IFERROR(INDEX(PP_Grid[#Data],$DD780,82),0)</f>
        <v/>
      </c>
      <c r="CG780">
        <f>IFERROR(INDEX(PP_Grid[#Data],$DD780,83),0)</f>
        <v/>
      </c>
      <c r="CH780">
        <f>IFERROR(INDEX(PP_Grid[#Data],$DD780,84),0)</f>
        <v/>
      </c>
      <c r="CI780">
        <f>IFERROR(INDEX(PP_Grid[#Data],$DD780,85),0)</f>
        <v/>
      </c>
      <c r="CJ780">
        <f>IFERROR(INDEX(PP_Grid[#Data],$DD780,86),0)</f>
        <v/>
      </c>
      <c r="CK780">
        <f>IFERROR(INDEX(PP_Grid[#Data],$DD780,87),0)</f>
        <v/>
      </c>
      <c r="CL780">
        <f>IFERROR(INDEX(PP_Grid[#Data],$DD780,88),0)</f>
        <v/>
      </c>
      <c r="CM780">
        <f>IFERROR(INDEX(PP_Grid[#Data],$DD780,89),0)</f>
        <v/>
      </c>
      <c r="CN780">
        <f>IFERROR(INDEX(PP_Grid[#Data],$DD780,90),0)</f>
        <v/>
      </c>
      <c r="CO780">
        <f>IFERROR(INDEX(PP_Grid[#Data],$DD780,91),0)</f>
        <v/>
      </c>
      <c r="CP780">
        <f>IFERROR(INDEX(PP_Grid[#Data],$DD780,92),0)</f>
        <v/>
      </c>
      <c r="CQ780">
        <f>IFERROR(INDEX(PP_Grid[#Data],$DD780,93),0)</f>
        <v/>
      </c>
      <c r="CR780">
        <f>IFERROR(INDEX(PP_Grid[#Data],$DD780,94),0)</f>
        <v/>
      </c>
      <c r="CS780">
        <f>IFERROR(INDEX(PP_Grid[#Data],$DD780,95),0)</f>
        <v/>
      </c>
      <c r="CT780">
        <f>IFERROR(INDEX(PP_Grid[#Data],$DD780,96),0)</f>
        <v/>
      </c>
      <c r="CU780">
        <f>IFERROR(INDEX(PP_Grid[#Data],$DD780,97),0)</f>
        <v/>
      </c>
      <c r="CV780">
        <f>IFERROR(INDEX(PP_Grid[#Data],$DD780,98),0)</f>
        <v/>
      </c>
      <c r="CW780">
        <f>IFERROR(INDEX(PP_Grid[#Data],$DD780,99),0)</f>
        <v/>
      </c>
      <c r="CX780">
        <f>IFERROR(INDEX(PP_Grid[#Data],$DD780,100),0)</f>
        <v/>
      </c>
      <c r="CY780">
        <f>IFERROR(INDEX(PP_Grid[#Data],$DD780,101),0)</f>
        <v/>
      </c>
      <c r="CZ780">
        <f>IFERROR(INDEX(PP_Grid[#Data],$DD780,102),0)</f>
        <v/>
      </c>
      <c r="DA780">
        <f>IFERROR(INDEX(PP_Grid[#Data],$DD780,103),0)</f>
        <v/>
      </c>
      <c r="DB780">
        <f>IFERROR(INDEX(PP_Grid[#Data],$DD780,104),0)</f>
        <v/>
      </c>
      <c r="DC780">
        <f>IFERROR(INDEX(PP_Grid[#Data],$DD780,105),0)</f>
        <v/>
      </c>
      <c r="DD780" s="7">
        <f>IFERROR(MATCH($B780,PP_Grid[Intermediate],0),99999)</f>
        <v/>
      </c>
    </row>
    <row r="781">
      <c r="B781" t="inlineStr">
        <is>
          <t>使用量(kg)</t>
        </is>
      </c>
      <c r="C781">
        <f>SUMIFS(M_BOM[RM_Qty_Per_Batch],M_BOM[Intermediate],$B780,M_BOM[Part Name],$A759)</f>
        <v/>
      </c>
      <c r="D781">
        <f>$C781*D780</f>
        <v/>
      </c>
      <c r="E781">
        <f>$C781*E780</f>
        <v/>
      </c>
      <c r="F781">
        <f>$C781*F780</f>
        <v/>
      </c>
      <c r="G781">
        <f>$C781*G780</f>
        <v/>
      </c>
      <c r="H781">
        <f>$C781*H780</f>
        <v/>
      </c>
      <c r="I781">
        <f>$C781*I780</f>
        <v/>
      </c>
      <c r="J781">
        <f>$C781*J780</f>
        <v/>
      </c>
      <c r="K781">
        <f>$C781*K780</f>
        <v/>
      </c>
      <c r="L781">
        <f>$C781*L780</f>
        <v/>
      </c>
      <c r="M781">
        <f>$C781*M780</f>
        <v/>
      </c>
      <c r="N781">
        <f>$C781*N780</f>
        <v/>
      </c>
      <c r="O781">
        <f>$C781*O780</f>
        <v/>
      </c>
      <c r="P781">
        <f>$C781*P780</f>
        <v/>
      </c>
      <c r="Q781">
        <f>$C781*Q780</f>
        <v/>
      </c>
      <c r="R781">
        <f>$C781*R780</f>
        <v/>
      </c>
      <c r="S781">
        <f>$C781*S780</f>
        <v/>
      </c>
      <c r="T781">
        <f>$C781*T780</f>
        <v/>
      </c>
      <c r="U781">
        <f>$C781*U780</f>
        <v/>
      </c>
      <c r="V781">
        <f>$C781*V780</f>
        <v/>
      </c>
      <c r="W781">
        <f>$C781*W780</f>
        <v/>
      </c>
      <c r="X781">
        <f>$C781*X780</f>
        <v/>
      </c>
      <c r="Y781">
        <f>$C781*Y780</f>
        <v/>
      </c>
      <c r="Z781">
        <f>$C781*Z780</f>
        <v/>
      </c>
      <c r="AA781">
        <f>$C781*AA780</f>
        <v/>
      </c>
      <c r="AB781">
        <f>$C781*AB780</f>
        <v/>
      </c>
      <c r="AC781">
        <f>$C781*AC780</f>
        <v/>
      </c>
      <c r="AD781">
        <f>$C781*AD780</f>
        <v/>
      </c>
      <c r="AE781">
        <f>$C781*AE780</f>
        <v/>
      </c>
      <c r="AF781">
        <f>$C781*AF780</f>
        <v/>
      </c>
      <c r="AG781">
        <f>$C781*AG780</f>
        <v/>
      </c>
      <c r="AH781">
        <f>$C781*AH780</f>
        <v/>
      </c>
      <c r="AI781">
        <f>$C781*AI780</f>
        <v/>
      </c>
      <c r="AJ781">
        <f>$C781*AJ780</f>
        <v/>
      </c>
      <c r="AK781">
        <f>$C781*AK780</f>
        <v/>
      </c>
      <c r="AL781">
        <f>$C781*AL780</f>
        <v/>
      </c>
      <c r="AM781">
        <f>$C781*AM780</f>
        <v/>
      </c>
      <c r="AN781">
        <f>$C781*AN780</f>
        <v/>
      </c>
      <c r="AO781">
        <f>$C781*AO780</f>
        <v/>
      </c>
      <c r="AP781">
        <f>$C781*AP780</f>
        <v/>
      </c>
      <c r="AQ781">
        <f>$C781*AQ780</f>
        <v/>
      </c>
      <c r="AR781">
        <f>$C781*AR780</f>
        <v/>
      </c>
      <c r="AS781">
        <f>$C781*AS780</f>
        <v/>
      </c>
      <c r="AT781">
        <f>$C781*AT780</f>
        <v/>
      </c>
      <c r="AU781">
        <f>$C781*AU780</f>
        <v/>
      </c>
      <c r="AV781">
        <f>$C781*AV780</f>
        <v/>
      </c>
      <c r="AW781">
        <f>$C781*AW780</f>
        <v/>
      </c>
      <c r="AX781">
        <f>$C781*AX780</f>
        <v/>
      </c>
      <c r="AY781">
        <f>$C781*AY780</f>
        <v/>
      </c>
      <c r="AZ781">
        <f>$C781*AZ780</f>
        <v/>
      </c>
      <c r="BA781">
        <f>$C781*BA780</f>
        <v/>
      </c>
      <c r="BB781">
        <f>$C781*BB780</f>
        <v/>
      </c>
      <c r="BC781">
        <f>$C781*BC780</f>
        <v/>
      </c>
      <c r="BD781">
        <f>$C781*BD780</f>
        <v/>
      </c>
      <c r="BE781">
        <f>$C781*BE780</f>
        <v/>
      </c>
      <c r="BF781">
        <f>$C781*BF780</f>
        <v/>
      </c>
      <c r="BG781">
        <f>$C781*BG780</f>
        <v/>
      </c>
      <c r="BH781">
        <f>$C781*BH780</f>
        <v/>
      </c>
      <c r="BI781">
        <f>$C781*BI780</f>
        <v/>
      </c>
      <c r="BJ781">
        <f>$C781*BJ780</f>
        <v/>
      </c>
      <c r="BK781">
        <f>$C781*BK780</f>
        <v/>
      </c>
      <c r="BL781">
        <f>$C781*BL780</f>
        <v/>
      </c>
      <c r="BM781">
        <f>$C781*BM780</f>
        <v/>
      </c>
      <c r="BN781">
        <f>$C781*BN780</f>
        <v/>
      </c>
      <c r="BO781">
        <f>$C781*BO780</f>
        <v/>
      </c>
      <c r="BP781">
        <f>$C781*BP780</f>
        <v/>
      </c>
      <c r="BQ781">
        <f>$C781*BQ780</f>
        <v/>
      </c>
      <c r="BR781">
        <f>$C781*BR780</f>
        <v/>
      </c>
      <c r="BS781">
        <f>$C781*BS780</f>
        <v/>
      </c>
      <c r="BT781">
        <f>$C781*BT780</f>
        <v/>
      </c>
      <c r="BU781">
        <f>$C781*BU780</f>
        <v/>
      </c>
      <c r="BV781">
        <f>$C781*BV780</f>
        <v/>
      </c>
      <c r="BW781">
        <f>$C781*BW780</f>
        <v/>
      </c>
      <c r="BX781">
        <f>$C781*BX780</f>
        <v/>
      </c>
      <c r="BY781">
        <f>$C781*BY780</f>
        <v/>
      </c>
      <c r="BZ781">
        <f>$C781*BZ780</f>
        <v/>
      </c>
      <c r="CA781">
        <f>$C781*CA780</f>
        <v/>
      </c>
      <c r="CB781">
        <f>$C781*CB780</f>
        <v/>
      </c>
      <c r="CC781">
        <f>$C781*CC780</f>
        <v/>
      </c>
      <c r="CD781">
        <f>$C781*CD780</f>
        <v/>
      </c>
      <c r="CE781">
        <f>$C781*CE780</f>
        <v/>
      </c>
      <c r="CF781">
        <f>$C781*CF780</f>
        <v/>
      </c>
      <c r="CG781">
        <f>$C781*CG780</f>
        <v/>
      </c>
      <c r="CH781">
        <f>$C781*CH780</f>
        <v/>
      </c>
      <c r="CI781">
        <f>$C781*CI780</f>
        <v/>
      </c>
      <c r="CJ781">
        <f>$C781*CJ780</f>
        <v/>
      </c>
      <c r="CK781">
        <f>$C781*CK780</f>
        <v/>
      </c>
      <c r="CL781">
        <f>$C781*CL780</f>
        <v/>
      </c>
      <c r="CM781">
        <f>$C781*CM780</f>
        <v/>
      </c>
      <c r="CN781">
        <f>$C781*CN780</f>
        <v/>
      </c>
      <c r="CO781">
        <f>$C781*CO780</f>
        <v/>
      </c>
      <c r="CP781">
        <f>$C781*CP780</f>
        <v/>
      </c>
      <c r="CQ781">
        <f>$C781*CQ780</f>
        <v/>
      </c>
      <c r="CR781">
        <f>$C781*CR780</f>
        <v/>
      </c>
      <c r="CS781">
        <f>$C781*CS780</f>
        <v/>
      </c>
      <c r="CT781">
        <f>$C781*CT780</f>
        <v/>
      </c>
      <c r="CU781">
        <f>$C781*CU780</f>
        <v/>
      </c>
      <c r="CV781">
        <f>$C781*CV780</f>
        <v/>
      </c>
      <c r="CW781">
        <f>$C781*CW780</f>
        <v/>
      </c>
      <c r="CX781">
        <f>$C781*CX780</f>
        <v/>
      </c>
      <c r="CY781">
        <f>$C781*CY780</f>
        <v/>
      </c>
      <c r="CZ781">
        <f>$C781*CZ780</f>
        <v/>
      </c>
      <c r="DA781">
        <f>$C781*DA780</f>
        <v/>
      </c>
      <c r="DB781">
        <f>$C781*DB780</f>
        <v/>
      </c>
      <c r="DC781">
        <f>$C781*DC780</f>
        <v/>
      </c>
    </row>
    <row r="782">
      <c r="B782" t="inlineStr">
        <is>
          <t>TSP-937</t>
        </is>
      </c>
      <c r="C782" t="inlineStr">
        <is>
          <t>No. of batches</t>
        </is>
      </c>
      <c r="D782">
        <f>IFERROR(INDEX(PP_Grid[#Data],$DD782,2),0)</f>
        <v/>
      </c>
      <c r="E782">
        <f>IFERROR(INDEX(PP_Grid[#Data],$DD782,3),0)</f>
        <v/>
      </c>
      <c r="F782">
        <f>IFERROR(INDEX(PP_Grid[#Data],$DD782,4),0)</f>
        <v/>
      </c>
      <c r="G782">
        <f>IFERROR(INDEX(PP_Grid[#Data],$DD782,5),0)</f>
        <v/>
      </c>
      <c r="H782">
        <f>IFERROR(INDEX(PP_Grid[#Data],$DD782,6),0)</f>
        <v/>
      </c>
      <c r="I782">
        <f>IFERROR(INDEX(PP_Grid[#Data],$DD782,7),0)</f>
        <v/>
      </c>
      <c r="J782">
        <f>IFERROR(INDEX(PP_Grid[#Data],$DD782,8),0)</f>
        <v/>
      </c>
      <c r="K782">
        <f>IFERROR(INDEX(PP_Grid[#Data],$DD782,9),0)</f>
        <v/>
      </c>
      <c r="L782">
        <f>IFERROR(INDEX(PP_Grid[#Data],$DD782,10),0)</f>
        <v/>
      </c>
      <c r="M782">
        <f>IFERROR(INDEX(PP_Grid[#Data],$DD782,11),0)</f>
        <v/>
      </c>
      <c r="N782">
        <f>IFERROR(INDEX(PP_Grid[#Data],$DD782,12),0)</f>
        <v/>
      </c>
      <c r="O782">
        <f>IFERROR(INDEX(PP_Grid[#Data],$DD782,13),0)</f>
        <v/>
      </c>
      <c r="P782">
        <f>IFERROR(INDEX(PP_Grid[#Data],$DD782,14),0)</f>
        <v/>
      </c>
      <c r="Q782">
        <f>IFERROR(INDEX(PP_Grid[#Data],$DD782,15),0)</f>
        <v/>
      </c>
      <c r="R782">
        <f>IFERROR(INDEX(PP_Grid[#Data],$DD782,16),0)</f>
        <v/>
      </c>
      <c r="S782">
        <f>IFERROR(INDEX(PP_Grid[#Data],$DD782,17),0)</f>
        <v/>
      </c>
      <c r="T782">
        <f>IFERROR(INDEX(PP_Grid[#Data],$DD782,18),0)</f>
        <v/>
      </c>
      <c r="U782">
        <f>IFERROR(INDEX(PP_Grid[#Data],$DD782,19),0)</f>
        <v/>
      </c>
      <c r="V782">
        <f>IFERROR(INDEX(PP_Grid[#Data],$DD782,20),0)</f>
        <v/>
      </c>
      <c r="W782">
        <f>IFERROR(INDEX(PP_Grid[#Data],$DD782,21),0)</f>
        <v/>
      </c>
      <c r="X782">
        <f>IFERROR(INDEX(PP_Grid[#Data],$DD782,22),0)</f>
        <v/>
      </c>
      <c r="Y782">
        <f>IFERROR(INDEX(PP_Grid[#Data],$DD782,23),0)</f>
        <v/>
      </c>
      <c r="Z782">
        <f>IFERROR(INDEX(PP_Grid[#Data],$DD782,24),0)</f>
        <v/>
      </c>
      <c r="AA782">
        <f>IFERROR(INDEX(PP_Grid[#Data],$DD782,25),0)</f>
        <v/>
      </c>
      <c r="AB782">
        <f>IFERROR(INDEX(PP_Grid[#Data],$DD782,26),0)</f>
        <v/>
      </c>
      <c r="AC782">
        <f>IFERROR(INDEX(PP_Grid[#Data],$DD782,27),0)</f>
        <v/>
      </c>
      <c r="AD782">
        <f>IFERROR(INDEX(PP_Grid[#Data],$DD782,28),0)</f>
        <v/>
      </c>
      <c r="AE782">
        <f>IFERROR(INDEX(PP_Grid[#Data],$DD782,29),0)</f>
        <v/>
      </c>
      <c r="AF782">
        <f>IFERROR(INDEX(PP_Grid[#Data],$DD782,30),0)</f>
        <v/>
      </c>
      <c r="AG782">
        <f>IFERROR(INDEX(PP_Grid[#Data],$DD782,31),0)</f>
        <v/>
      </c>
      <c r="AH782">
        <f>IFERROR(INDEX(PP_Grid[#Data],$DD782,32),0)</f>
        <v/>
      </c>
      <c r="AI782">
        <f>IFERROR(INDEX(PP_Grid[#Data],$DD782,33),0)</f>
        <v/>
      </c>
      <c r="AJ782">
        <f>IFERROR(INDEX(PP_Grid[#Data],$DD782,34),0)</f>
        <v/>
      </c>
      <c r="AK782">
        <f>IFERROR(INDEX(PP_Grid[#Data],$DD782,35),0)</f>
        <v/>
      </c>
      <c r="AL782">
        <f>IFERROR(INDEX(PP_Grid[#Data],$DD782,36),0)</f>
        <v/>
      </c>
      <c r="AM782">
        <f>IFERROR(INDEX(PP_Grid[#Data],$DD782,37),0)</f>
        <v/>
      </c>
      <c r="AN782">
        <f>IFERROR(INDEX(PP_Grid[#Data],$DD782,38),0)</f>
        <v/>
      </c>
      <c r="AO782">
        <f>IFERROR(INDEX(PP_Grid[#Data],$DD782,39),0)</f>
        <v/>
      </c>
      <c r="AP782">
        <f>IFERROR(INDEX(PP_Grid[#Data],$DD782,40),0)</f>
        <v/>
      </c>
      <c r="AQ782">
        <f>IFERROR(INDEX(PP_Grid[#Data],$DD782,41),0)</f>
        <v/>
      </c>
      <c r="AR782">
        <f>IFERROR(INDEX(PP_Grid[#Data],$DD782,42),0)</f>
        <v/>
      </c>
      <c r="AS782">
        <f>IFERROR(INDEX(PP_Grid[#Data],$DD782,43),0)</f>
        <v/>
      </c>
      <c r="AT782">
        <f>IFERROR(INDEX(PP_Grid[#Data],$DD782,44),0)</f>
        <v/>
      </c>
      <c r="AU782">
        <f>IFERROR(INDEX(PP_Grid[#Data],$DD782,45),0)</f>
        <v/>
      </c>
      <c r="AV782">
        <f>IFERROR(INDEX(PP_Grid[#Data],$DD782,46),0)</f>
        <v/>
      </c>
      <c r="AW782">
        <f>IFERROR(INDEX(PP_Grid[#Data],$DD782,47),0)</f>
        <v/>
      </c>
      <c r="AX782">
        <f>IFERROR(INDEX(PP_Grid[#Data],$DD782,48),0)</f>
        <v/>
      </c>
      <c r="AY782">
        <f>IFERROR(INDEX(PP_Grid[#Data],$DD782,49),0)</f>
        <v/>
      </c>
      <c r="AZ782">
        <f>IFERROR(INDEX(PP_Grid[#Data],$DD782,50),0)</f>
        <v/>
      </c>
      <c r="BA782">
        <f>IFERROR(INDEX(PP_Grid[#Data],$DD782,51),0)</f>
        <v/>
      </c>
      <c r="BB782">
        <f>IFERROR(INDEX(PP_Grid[#Data],$DD782,52),0)</f>
        <v/>
      </c>
      <c r="BC782">
        <f>IFERROR(INDEX(PP_Grid[#Data],$DD782,53),0)</f>
        <v/>
      </c>
      <c r="BD782">
        <f>IFERROR(INDEX(PP_Grid[#Data],$DD782,54),0)</f>
        <v/>
      </c>
      <c r="BE782">
        <f>IFERROR(INDEX(PP_Grid[#Data],$DD782,55),0)</f>
        <v/>
      </c>
      <c r="BF782">
        <f>IFERROR(INDEX(PP_Grid[#Data],$DD782,56),0)</f>
        <v/>
      </c>
      <c r="BG782">
        <f>IFERROR(INDEX(PP_Grid[#Data],$DD782,57),0)</f>
        <v/>
      </c>
      <c r="BH782">
        <f>IFERROR(INDEX(PP_Grid[#Data],$DD782,58),0)</f>
        <v/>
      </c>
      <c r="BI782">
        <f>IFERROR(INDEX(PP_Grid[#Data],$DD782,59),0)</f>
        <v/>
      </c>
      <c r="BJ782">
        <f>IFERROR(INDEX(PP_Grid[#Data],$DD782,60),0)</f>
        <v/>
      </c>
      <c r="BK782">
        <f>IFERROR(INDEX(PP_Grid[#Data],$DD782,61),0)</f>
        <v/>
      </c>
      <c r="BL782">
        <f>IFERROR(INDEX(PP_Grid[#Data],$DD782,62),0)</f>
        <v/>
      </c>
      <c r="BM782">
        <f>IFERROR(INDEX(PP_Grid[#Data],$DD782,63),0)</f>
        <v/>
      </c>
      <c r="BN782">
        <f>IFERROR(INDEX(PP_Grid[#Data],$DD782,64),0)</f>
        <v/>
      </c>
      <c r="BO782">
        <f>IFERROR(INDEX(PP_Grid[#Data],$DD782,65),0)</f>
        <v/>
      </c>
      <c r="BP782">
        <f>IFERROR(INDEX(PP_Grid[#Data],$DD782,66),0)</f>
        <v/>
      </c>
      <c r="BQ782">
        <f>IFERROR(INDEX(PP_Grid[#Data],$DD782,67),0)</f>
        <v/>
      </c>
      <c r="BR782">
        <f>IFERROR(INDEX(PP_Grid[#Data],$DD782,68),0)</f>
        <v/>
      </c>
      <c r="BS782">
        <f>IFERROR(INDEX(PP_Grid[#Data],$DD782,69),0)</f>
        <v/>
      </c>
      <c r="BT782">
        <f>IFERROR(INDEX(PP_Grid[#Data],$DD782,70),0)</f>
        <v/>
      </c>
      <c r="BU782">
        <f>IFERROR(INDEX(PP_Grid[#Data],$DD782,71),0)</f>
        <v/>
      </c>
      <c r="BV782">
        <f>IFERROR(INDEX(PP_Grid[#Data],$DD782,72),0)</f>
        <v/>
      </c>
      <c r="BW782">
        <f>IFERROR(INDEX(PP_Grid[#Data],$DD782,73),0)</f>
        <v/>
      </c>
      <c r="BX782">
        <f>IFERROR(INDEX(PP_Grid[#Data],$DD782,74),0)</f>
        <v/>
      </c>
      <c r="BY782">
        <f>IFERROR(INDEX(PP_Grid[#Data],$DD782,75),0)</f>
        <v/>
      </c>
      <c r="BZ782">
        <f>IFERROR(INDEX(PP_Grid[#Data],$DD782,76),0)</f>
        <v/>
      </c>
      <c r="CA782">
        <f>IFERROR(INDEX(PP_Grid[#Data],$DD782,77),0)</f>
        <v/>
      </c>
      <c r="CB782">
        <f>IFERROR(INDEX(PP_Grid[#Data],$DD782,78),0)</f>
        <v/>
      </c>
      <c r="CC782">
        <f>IFERROR(INDEX(PP_Grid[#Data],$DD782,79),0)</f>
        <v/>
      </c>
      <c r="CD782">
        <f>IFERROR(INDEX(PP_Grid[#Data],$DD782,80),0)</f>
        <v/>
      </c>
      <c r="CE782">
        <f>IFERROR(INDEX(PP_Grid[#Data],$DD782,81),0)</f>
        <v/>
      </c>
      <c r="CF782">
        <f>IFERROR(INDEX(PP_Grid[#Data],$DD782,82),0)</f>
        <v/>
      </c>
      <c r="CG782">
        <f>IFERROR(INDEX(PP_Grid[#Data],$DD782,83),0)</f>
        <v/>
      </c>
      <c r="CH782">
        <f>IFERROR(INDEX(PP_Grid[#Data],$DD782,84),0)</f>
        <v/>
      </c>
      <c r="CI782">
        <f>IFERROR(INDEX(PP_Grid[#Data],$DD782,85),0)</f>
        <v/>
      </c>
      <c r="CJ782">
        <f>IFERROR(INDEX(PP_Grid[#Data],$DD782,86),0)</f>
        <v/>
      </c>
      <c r="CK782">
        <f>IFERROR(INDEX(PP_Grid[#Data],$DD782,87),0)</f>
        <v/>
      </c>
      <c r="CL782">
        <f>IFERROR(INDEX(PP_Grid[#Data],$DD782,88),0)</f>
        <v/>
      </c>
      <c r="CM782">
        <f>IFERROR(INDEX(PP_Grid[#Data],$DD782,89),0)</f>
        <v/>
      </c>
      <c r="CN782">
        <f>IFERROR(INDEX(PP_Grid[#Data],$DD782,90),0)</f>
        <v/>
      </c>
      <c r="CO782">
        <f>IFERROR(INDEX(PP_Grid[#Data],$DD782,91),0)</f>
        <v/>
      </c>
      <c r="CP782">
        <f>IFERROR(INDEX(PP_Grid[#Data],$DD782,92),0)</f>
        <v/>
      </c>
      <c r="CQ782">
        <f>IFERROR(INDEX(PP_Grid[#Data],$DD782,93),0)</f>
        <v/>
      </c>
      <c r="CR782">
        <f>IFERROR(INDEX(PP_Grid[#Data],$DD782,94),0)</f>
        <v/>
      </c>
      <c r="CS782">
        <f>IFERROR(INDEX(PP_Grid[#Data],$DD782,95),0)</f>
        <v/>
      </c>
      <c r="CT782">
        <f>IFERROR(INDEX(PP_Grid[#Data],$DD782,96),0)</f>
        <v/>
      </c>
      <c r="CU782">
        <f>IFERROR(INDEX(PP_Grid[#Data],$DD782,97),0)</f>
        <v/>
      </c>
      <c r="CV782">
        <f>IFERROR(INDEX(PP_Grid[#Data],$DD782,98),0)</f>
        <v/>
      </c>
      <c r="CW782">
        <f>IFERROR(INDEX(PP_Grid[#Data],$DD782,99),0)</f>
        <v/>
      </c>
      <c r="CX782">
        <f>IFERROR(INDEX(PP_Grid[#Data],$DD782,100),0)</f>
        <v/>
      </c>
      <c r="CY782">
        <f>IFERROR(INDEX(PP_Grid[#Data],$DD782,101),0)</f>
        <v/>
      </c>
      <c r="CZ782">
        <f>IFERROR(INDEX(PP_Grid[#Data],$DD782,102),0)</f>
        <v/>
      </c>
      <c r="DA782">
        <f>IFERROR(INDEX(PP_Grid[#Data],$DD782,103),0)</f>
        <v/>
      </c>
      <c r="DB782">
        <f>IFERROR(INDEX(PP_Grid[#Data],$DD782,104),0)</f>
        <v/>
      </c>
      <c r="DC782">
        <f>IFERROR(INDEX(PP_Grid[#Data],$DD782,105),0)</f>
        <v/>
      </c>
      <c r="DD782" s="7">
        <f>IFERROR(MATCH($B782,PP_Grid[Intermediate],0),99999)</f>
        <v/>
      </c>
    </row>
    <row r="783">
      <c r="B783" t="inlineStr">
        <is>
          <t>使用量(kg)</t>
        </is>
      </c>
      <c r="C783">
        <f>SUMIFS(M_BOM[RM_Qty_Per_Batch],M_BOM[Intermediate],$B782,M_BOM[Part Name],$A759)</f>
        <v/>
      </c>
      <c r="D783">
        <f>$C783*D782</f>
        <v/>
      </c>
      <c r="E783">
        <f>$C783*E782</f>
        <v/>
      </c>
      <c r="F783">
        <f>$C783*F782</f>
        <v/>
      </c>
      <c r="G783">
        <f>$C783*G782</f>
        <v/>
      </c>
      <c r="H783">
        <f>$C783*H782</f>
        <v/>
      </c>
      <c r="I783">
        <f>$C783*I782</f>
        <v/>
      </c>
      <c r="J783">
        <f>$C783*J782</f>
        <v/>
      </c>
      <c r="K783">
        <f>$C783*K782</f>
        <v/>
      </c>
      <c r="L783">
        <f>$C783*L782</f>
        <v/>
      </c>
      <c r="M783">
        <f>$C783*M782</f>
        <v/>
      </c>
      <c r="N783">
        <f>$C783*N782</f>
        <v/>
      </c>
      <c r="O783">
        <f>$C783*O782</f>
        <v/>
      </c>
      <c r="P783">
        <f>$C783*P782</f>
        <v/>
      </c>
      <c r="Q783">
        <f>$C783*Q782</f>
        <v/>
      </c>
      <c r="R783">
        <f>$C783*R782</f>
        <v/>
      </c>
      <c r="S783">
        <f>$C783*S782</f>
        <v/>
      </c>
      <c r="T783">
        <f>$C783*T782</f>
        <v/>
      </c>
      <c r="U783">
        <f>$C783*U782</f>
        <v/>
      </c>
      <c r="V783">
        <f>$C783*V782</f>
        <v/>
      </c>
      <c r="W783">
        <f>$C783*W782</f>
        <v/>
      </c>
      <c r="X783">
        <f>$C783*X782</f>
        <v/>
      </c>
      <c r="Y783">
        <f>$C783*Y782</f>
        <v/>
      </c>
      <c r="Z783">
        <f>$C783*Z782</f>
        <v/>
      </c>
      <c r="AA783">
        <f>$C783*AA782</f>
        <v/>
      </c>
      <c r="AB783">
        <f>$C783*AB782</f>
        <v/>
      </c>
      <c r="AC783">
        <f>$C783*AC782</f>
        <v/>
      </c>
      <c r="AD783">
        <f>$C783*AD782</f>
        <v/>
      </c>
      <c r="AE783">
        <f>$C783*AE782</f>
        <v/>
      </c>
      <c r="AF783">
        <f>$C783*AF782</f>
        <v/>
      </c>
      <c r="AG783">
        <f>$C783*AG782</f>
        <v/>
      </c>
      <c r="AH783">
        <f>$C783*AH782</f>
        <v/>
      </c>
      <c r="AI783">
        <f>$C783*AI782</f>
        <v/>
      </c>
      <c r="AJ783">
        <f>$C783*AJ782</f>
        <v/>
      </c>
      <c r="AK783">
        <f>$C783*AK782</f>
        <v/>
      </c>
      <c r="AL783">
        <f>$C783*AL782</f>
        <v/>
      </c>
      <c r="AM783">
        <f>$C783*AM782</f>
        <v/>
      </c>
      <c r="AN783">
        <f>$C783*AN782</f>
        <v/>
      </c>
      <c r="AO783">
        <f>$C783*AO782</f>
        <v/>
      </c>
      <c r="AP783">
        <f>$C783*AP782</f>
        <v/>
      </c>
      <c r="AQ783">
        <f>$C783*AQ782</f>
        <v/>
      </c>
      <c r="AR783">
        <f>$C783*AR782</f>
        <v/>
      </c>
      <c r="AS783">
        <f>$C783*AS782</f>
        <v/>
      </c>
      <c r="AT783">
        <f>$C783*AT782</f>
        <v/>
      </c>
      <c r="AU783">
        <f>$C783*AU782</f>
        <v/>
      </c>
      <c r="AV783">
        <f>$C783*AV782</f>
        <v/>
      </c>
      <c r="AW783">
        <f>$C783*AW782</f>
        <v/>
      </c>
      <c r="AX783">
        <f>$C783*AX782</f>
        <v/>
      </c>
      <c r="AY783">
        <f>$C783*AY782</f>
        <v/>
      </c>
      <c r="AZ783">
        <f>$C783*AZ782</f>
        <v/>
      </c>
      <c r="BA783">
        <f>$C783*BA782</f>
        <v/>
      </c>
      <c r="BB783">
        <f>$C783*BB782</f>
        <v/>
      </c>
      <c r="BC783">
        <f>$C783*BC782</f>
        <v/>
      </c>
      <c r="BD783">
        <f>$C783*BD782</f>
        <v/>
      </c>
      <c r="BE783">
        <f>$C783*BE782</f>
        <v/>
      </c>
      <c r="BF783">
        <f>$C783*BF782</f>
        <v/>
      </c>
      <c r="BG783">
        <f>$C783*BG782</f>
        <v/>
      </c>
      <c r="BH783">
        <f>$C783*BH782</f>
        <v/>
      </c>
      <c r="BI783">
        <f>$C783*BI782</f>
        <v/>
      </c>
      <c r="BJ783">
        <f>$C783*BJ782</f>
        <v/>
      </c>
      <c r="BK783">
        <f>$C783*BK782</f>
        <v/>
      </c>
      <c r="BL783">
        <f>$C783*BL782</f>
        <v/>
      </c>
      <c r="BM783">
        <f>$C783*BM782</f>
        <v/>
      </c>
      <c r="BN783">
        <f>$C783*BN782</f>
        <v/>
      </c>
      <c r="BO783">
        <f>$C783*BO782</f>
        <v/>
      </c>
      <c r="BP783">
        <f>$C783*BP782</f>
        <v/>
      </c>
      <c r="BQ783">
        <f>$C783*BQ782</f>
        <v/>
      </c>
      <c r="BR783">
        <f>$C783*BR782</f>
        <v/>
      </c>
      <c r="BS783">
        <f>$C783*BS782</f>
        <v/>
      </c>
      <c r="BT783">
        <f>$C783*BT782</f>
        <v/>
      </c>
      <c r="BU783">
        <f>$C783*BU782</f>
        <v/>
      </c>
      <c r="BV783">
        <f>$C783*BV782</f>
        <v/>
      </c>
      <c r="BW783">
        <f>$C783*BW782</f>
        <v/>
      </c>
      <c r="BX783">
        <f>$C783*BX782</f>
        <v/>
      </c>
      <c r="BY783">
        <f>$C783*BY782</f>
        <v/>
      </c>
      <c r="BZ783">
        <f>$C783*BZ782</f>
        <v/>
      </c>
      <c r="CA783">
        <f>$C783*CA782</f>
        <v/>
      </c>
      <c r="CB783">
        <f>$C783*CB782</f>
        <v/>
      </c>
      <c r="CC783">
        <f>$C783*CC782</f>
        <v/>
      </c>
      <c r="CD783">
        <f>$C783*CD782</f>
        <v/>
      </c>
      <c r="CE783">
        <f>$C783*CE782</f>
        <v/>
      </c>
      <c r="CF783">
        <f>$C783*CF782</f>
        <v/>
      </c>
      <c r="CG783">
        <f>$C783*CG782</f>
        <v/>
      </c>
      <c r="CH783">
        <f>$C783*CH782</f>
        <v/>
      </c>
      <c r="CI783">
        <f>$C783*CI782</f>
        <v/>
      </c>
      <c r="CJ783">
        <f>$C783*CJ782</f>
        <v/>
      </c>
      <c r="CK783">
        <f>$C783*CK782</f>
        <v/>
      </c>
      <c r="CL783">
        <f>$C783*CL782</f>
        <v/>
      </c>
      <c r="CM783">
        <f>$C783*CM782</f>
        <v/>
      </c>
      <c r="CN783">
        <f>$C783*CN782</f>
        <v/>
      </c>
      <c r="CO783">
        <f>$C783*CO782</f>
        <v/>
      </c>
      <c r="CP783">
        <f>$C783*CP782</f>
        <v/>
      </c>
      <c r="CQ783">
        <f>$C783*CQ782</f>
        <v/>
      </c>
      <c r="CR783">
        <f>$C783*CR782</f>
        <v/>
      </c>
      <c r="CS783">
        <f>$C783*CS782</f>
        <v/>
      </c>
      <c r="CT783">
        <f>$C783*CT782</f>
        <v/>
      </c>
      <c r="CU783">
        <f>$C783*CU782</f>
        <v/>
      </c>
      <c r="CV783">
        <f>$C783*CV782</f>
        <v/>
      </c>
      <c r="CW783">
        <f>$C783*CW782</f>
        <v/>
      </c>
      <c r="CX783">
        <f>$C783*CX782</f>
        <v/>
      </c>
      <c r="CY783">
        <f>$C783*CY782</f>
        <v/>
      </c>
      <c r="CZ783">
        <f>$C783*CZ782</f>
        <v/>
      </c>
      <c r="DA783">
        <f>$C783*DA782</f>
        <v/>
      </c>
      <c r="DB783">
        <f>$C783*DB782</f>
        <v/>
      </c>
      <c r="DC783">
        <f>$C783*DC782</f>
        <v/>
      </c>
    </row>
    <row r="784">
      <c r="B784" t="inlineStr">
        <is>
          <t>TSP-959</t>
        </is>
      </c>
      <c r="C784" t="inlineStr">
        <is>
          <t>No. of batches</t>
        </is>
      </c>
      <c r="D784">
        <f>IFERROR(INDEX(PP_Grid[#Data],$DD784,2),0)</f>
        <v/>
      </c>
      <c r="E784">
        <f>IFERROR(INDEX(PP_Grid[#Data],$DD784,3),0)</f>
        <v/>
      </c>
      <c r="F784">
        <f>IFERROR(INDEX(PP_Grid[#Data],$DD784,4),0)</f>
        <v/>
      </c>
      <c r="G784">
        <f>IFERROR(INDEX(PP_Grid[#Data],$DD784,5),0)</f>
        <v/>
      </c>
      <c r="H784">
        <f>IFERROR(INDEX(PP_Grid[#Data],$DD784,6),0)</f>
        <v/>
      </c>
      <c r="I784">
        <f>IFERROR(INDEX(PP_Grid[#Data],$DD784,7),0)</f>
        <v/>
      </c>
      <c r="J784">
        <f>IFERROR(INDEX(PP_Grid[#Data],$DD784,8),0)</f>
        <v/>
      </c>
      <c r="K784">
        <f>IFERROR(INDEX(PP_Grid[#Data],$DD784,9),0)</f>
        <v/>
      </c>
      <c r="L784">
        <f>IFERROR(INDEX(PP_Grid[#Data],$DD784,10),0)</f>
        <v/>
      </c>
      <c r="M784">
        <f>IFERROR(INDEX(PP_Grid[#Data],$DD784,11),0)</f>
        <v/>
      </c>
      <c r="N784">
        <f>IFERROR(INDEX(PP_Grid[#Data],$DD784,12),0)</f>
        <v/>
      </c>
      <c r="O784">
        <f>IFERROR(INDEX(PP_Grid[#Data],$DD784,13),0)</f>
        <v/>
      </c>
      <c r="P784">
        <f>IFERROR(INDEX(PP_Grid[#Data],$DD784,14),0)</f>
        <v/>
      </c>
      <c r="Q784">
        <f>IFERROR(INDEX(PP_Grid[#Data],$DD784,15),0)</f>
        <v/>
      </c>
      <c r="R784">
        <f>IFERROR(INDEX(PP_Grid[#Data],$DD784,16),0)</f>
        <v/>
      </c>
      <c r="S784">
        <f>IFERROR(INDEX(PP_Grid[#Data],$DD784,17),0)</f>
        <v/>
      </c>
      <c r="T784">
        <f>IFERROR(INDEX(PP_Grid[#Data],$DD784,18),0)</f>
        <v/>
      </c>
      <c r="U784">
        <f>IFERROR(INDEX(PP_Grid[#Data],$DD784,19),0)</f>
        <v/>
      </c>
      <c r="V784">
        <f>IFERROR(INDEX(PP_Grid[#Data],$DD784,20),0)</f>
        <v/>
      </c>
      <c r="W784">
        <f>IFERROR(INDEX(PP_Grid[#Data],$DD784,21),0)</f>
        <v/>
      </c>
      <c r="X784">
        <f>IFERROR(INDEX(PP_Grid[#Data],$DD784,22),0)</f>
        <v/>
      </c>
      <c r="Y784">
        <f>IFERROR(INDEX(PP_Grid[#Data],$DD784,23),0)</f>
        <v/>
      </c>
      <c r="Z784">
        <f>IFERROR(INDEX(PP_Grid[#Data],$DD784,24),0)</f>
        <v/>
      </c>
      <c r="AA784">
        <f>IFERROR(INDEX(PP_Grid[#Data],$DD784,25),0)</f>
        <v/>
      </c>
      <c r="AB784">
        <f>IFERROR(INDEX(PP_Grid[#Data],$DD784,26),0)</f>
        <v/>
      </c>
      <c r="AC784">
        <f>IFERROR(INDEX(PP_Grid[#Data],$DD784,27),0)</f>
        <v/>
      </c>
      <c r="AD784">
        <f>IFERROR(INDEX(PP_Grid[#Data],$DD784,28),0)</f>
        <v/>
      </c>
      <c r="AE784">
        <f>IFERROR(INDEX(PP_Grid[#Data],$DD784,29),0)</f>
        <v/>
      </c>
      <c r="AF784">
        <f>IFERROR(INDEX(PP_Grid[#Data],$DD784,30),0)</f>
        <v/>
      </c>
      <c r="AG784">
        <f>IFERROR(INDEX(PP_Grid[#Data],$DD784,31),0)</f>
        <v/>
      </c>
      <c r="AH784">
        <f>IFERROR(INDEX(PP_Grid[#Data],$DD784,32),0)</f>
        <v/>
      </c>
      <c r="AI784">
        <f>IFERROR(INDEX(PP_Grid[#Data],$DD784,33),0)</f>
        <v/>
      </c>
      <c r="AJ784">
        <f>IFERROR(INDEX(PP_Grid[#Data],$DD784,34),0)</f>
        <v/>
      </c>
      <c r="AK784">
        <f>IFERROR(INDEX(PP_Grid[#Data],$DD784,35),0)</f>
        <v/>
      </c>
      <c r="AL784">
        <f>IFERROR(INDEX(PP_Grid[#Data],$DD784,36),0)</f>
        <v/>
      </c>
      <c r="AM784">
        <f>IFERROR(INDEX(PP_Grid[#Data],$DD784,37),0)</f>
        <v/>
      </c>
      <c r="AN784">
        <f>IFERROR(INDEX(PP_Grid[#Data],$DD784,38),0)</f>
        <v/>
      </c>
      <c r="AO784">
        <f>IFERROR(INDEX(PP_Grid[#Data],$DD784,39),0)</f>
        <v/>
      </c>
      <c r="AP784">
        <f>IFERROR(INDEX(PP_Grid[#Data],$DD784,40),0)</f>
        <v/>
      </c>
      <c r="AQ784">
        <f>IFERROR(INDEX(PP_Grid[#Data],$DD784,41),0)</f>
        <v/>
      </c>
      <c r="AR784">
        <f>IFERROR(INDEX(PP_Grid[#Data],$DD784,42),0)</f>
        <v/>
      </c>
      <c r="AS784">
        <f>IFERROR(INDEX(PP_Grid[#Data],$DD784,43),0)</f>
        <v/>
      </c>
      <c r="AT784">
        <f>IFERROR(INDEX(PP_Grid[#Data],$DD784,44),0)</f>
        <v/>
      </c>
      <c r="AU784">
        <f>IFERROR(INDEX(PP_Grid[#Data],$DD784,45),0)</f>
        <v/>
      </c>
      <c r="AV784">
        <f>IFERROR(INDEX(PP_Grid[#Data],$DD784,46),0)</f>
        <v/>
      </c>
      <c r="AW784">
        <f>IFERROR(INDEX(PP_Grid[#Data],$DD784,47),0)</f>
        <v/>
      </c>
      <c r="AX784">
        <f>IFERROR(INDEX(PP_Grid[#Data],$DD784,48),0)</f>
        <v/>
      </c>
      <c r="AY784">
        <f>IFERROR(INDEX(PP_Grid[#Data],$DD784,49),0)</f>
        <v/>
      </c>
      <c r="AZ784">
        <f>IFERROR(INDEX(PP_Grid[#Data],$DD784,50),0)</f>
        <v/>
      </c>
      <c r="BA784">
        <f>IFERROR(INDEX(PP_Grid[#Data],$DD784,51),0)</f>
        <v/>
      </c>
      <c r="BB784">
        <f>IFERROR(INDEX(PP_Grid[#Data],$DD784,52),0)</f>
        <v/>
      </c>
      <c r="BC784">
        <f>IFERROR(INDEX(PP_Grid[#Data],$DD784,53),0)</f>
        <v/>
      </c>
      <c r="BD784">
        <f>IFERROR(INDEX(PP_Grid[#Data],$DD784,54),0)</f>
        <v/>
      </c>
      <c r="BE784">
        <f>IFERROR(INDEX(PP_Grid[#Data],$DD784,55),0)</f>
        <v/>
      </c>
      <c r="BF784">
        <f>IFERROR(INDEX(PP_Grid[#Data],$DD784,56),0)</f>
        <v/>
      </c>
      <c r="BG784">
        <f>IFERROR(INDEX(PP_Grid[#Data],$DD784,57),0)</f>
        <v/>
      </c>
      <c r="BH784">
        <f>IFERROR(INDEX(PP_Grid[#Data],$DD784,58),0)</f>
        <v/>
      </c>
      <c r="BI784">
        <f>IFERROR(INDEX(PP_Grid[#Data],$DD784,59),0)</f>
        <v/>
      </c>
      <c r="BJ784">
        <f>IFERROR(INDEX(PP_Grid[#Data],$DD784,60),0)</f>
        <v/>
      </c>
      <c r="BK784">
        <f>IFERROR(INDEX(PP_Grid[#Data],$DD784,61),0)</f>
        <v/>
      </c>
      <c r="BL784">
        <f>IFERROR(INDEX(PP_Grid[#Data],$DD784,62),0)</f>
        <v/>
      </c>
      <c r="BM784">
        <f>IFERROR(INDEX(PP_Grid[#Data],$DD784,63),0)</f>
        <v/>
      </c>
      <c r="BN784">
        <f>IFERROR(INDEX(PP_Grid[#Data],$DD784,64),0)</f>
        <v/>
      </c>
      <c r="BO784">
        <f>IFERROR(INDEX(PP_Grid[#Data],$DD784,65),0)</f>
        <v/>
      </c>
      <c r="BP784">
        <f>IFERROR(INDEX(PP_Grid[#Data],$DD784,66),0)</f>
        <v/>
      </c>
      <c r="BQ784">
        <f>IFERROR(INDEX(PP_Grid[#Data],$DD784,67),0)</f>
        <v/>
      </c>
      <c r="BR784">
        <f>IFERROR(INDEX(PP_Grid[#Data],$DD784,68),0)</f>
        <v/>
      </c>
      <c r="BS784">
        <f>IFERROR(INDEX(PP_Grid[#Data],$DD784,69),0)</f>
        <v/>
      </c>
      <c r="BT784">
        <f>IFERROR(INDEX(PP_Grid[#Data],$DD784,70),0)</f>
        <v/>
      </c>
      <c r="BU784">
        <f>IFERROR(INDEX(PP_Grid[#Data],$DD784,71),0)</f>
        <v/>
      </c>
      <c r="BV784">
        <f>IFERROR(INDEX(PP_Grid[#Data],$DD784,72),0)</f>
        <v/>
      </c>
      <c r="BW784">
        <f>IFERROR(INDEX(PP_Grid[#Data],$DD784,73),0)</f>
        <v/>
      </c>
      <c r="BX784">
        <f>IFERROR(INDEX(PP_Grid[#Data],$DD784,74),0)</f>
        <v/>
      </c>
      <c r="BY784">
        <f>IFERROR(INDEX(PP_Grid[#Data],$DD784,75),0)</f>
        <v/>
      </c>
      <c r="BZ784">
        <f>IFERROR(INDEX(PP_Grid[#Data],$DD784,76),0)</f>
        <v/>
      </c>
      <c r="CA784">
        <f>IFERROR(INDEX(PP_Grid[#Data],$DD784,77),0)</f>
        <v/>
      </c>
      <c r="CB784">
        <f>IFERROR(INDEX(PP_Grid[#Data],$DD784,78),0)</f>
        <v/>
      </c>
      <c r="CC784">
        <f>IFERROR(INDEX(PP_Grid[#Data],$DD784,79),0)</f>
        <v/>
      </c>
      <c r="CD784">
        <f>IFERROR(INDEX(PP_Grid[#Data],$DD784,80),0)</f>
        <v/>
      </c>
      <c r="CE784">
        <f>IFERROR(INDEX(PP_Grid[#Data],$DD784,81),0)</f>
        <v/>
      </c>
      <c r="CF784">
        <f>IFERROR(INDEX(PP_Grid[#Data],$DD784,82),0)</f>
        <v/>
      </c>
      <c r="CG784">
        <f>IFERROR(INDEX(PP_Grid[#Data],$DD784,83),0)</f>
        <v/>
      </c>
      <c r="CH784">
        <f>IFERROR(INDEX(PP_Grid[#Data],$DD784,84),0)</f>
        <v/>
      </c>
      <c r="CI784">
        <f>IFERROR(INDEX(PP_Grid[#Data],$DD784,85),0)</f>
        <v/>
      </c>
      <c r="CJ784">
        <f>IFERROR(INDEX(PP_Grid[#Data],$DD784,86),0)</f>
        <v/>
      </c>
      <c r="CK784">
        <f>IFERROR(INDEX(PP_Grid[#Data],$DD784,87),0)</f>
        <v/>
      </c>
      <c r="CL784">
        <f>IFERROR(INDEX(PP_Grid[#Data],$DD784,88),0)</f>
        <v/>
      </c>
      <c r="CM784">
        <f>IFERROR(INDEX(PP_Grid[#Data],$DD784,89),0)</f>
        <v/>
      </c>
      <c r="CN784">
        <f>IFERROR(INDEX(PP_Grid[#Data],$DD784,90),0)</f>
        <v/>
      </c>
      <c r="CO784">
        <f>IFERROR(INDEX(PP_Grid[#Data],$DD784,91),0)</f>
        <v/>
      </c>
      <c r="CP784">
        <f>IFERROR(INDEX(PP_Grid[#Data],$DD784,92),0)</f>
        <v/>
      </c>
      <c r="CQ784">
        <f>IFERROR(INDEX(PP_Grid[#Data],$DD784,93),0)</f>
        <v/>
      </c>
      <c r="CR784">
        <f>IFERROR(INDEX(PP_Grid[#Data],$DD784,94),0)</f>
        <v/>
      </c>
      <c r="CS784">
        <f>IFERROR(INDEX(PP_Grid[#Data],$DD784,95),0)</f>
        <v/>
      </c>
      <c r="CT784">
        <f>IFERROR(INDEX(PP_Grid[#Data],$DD784,96),0)</f>
        <v/>
      </c>
      <c r="CU784">
        <f>IFERROR(INDEX(PP_Grid[#Data],$DD784,97),0)</f>
        <v/>
      </c>
      <c r="CV784">
        <f>IFERROR(INDEX(PP_Grid[#Data],$DD784,98),0)</f>
        <v/>
      </c>
      <c r="CW784">
        <f>IFERROR(INDEX(PP_Grid[#Data],$DD784,99),0)</f>
        <v/>
      </c>
      <c r="CX784">
        <f>IFERROR(INDEX(PP_Grid[#Data],$DD784,100),0)</f>
        <v/>
      </c>
      <c r="CY784">
        <f>IFERROR(INDEX(PP_Grid[#Data],$DD784,101),0)</f>
        <v/>
      </c>
      <c r="CZ784">
        <f>IFERROR(INDEX(PP_Grid[#Data],$DD784,102),0)</f>
        <v/>
      </c>
      <c r="DA784">
        <f>IFERROR(INDEX(PP_Grid[#Data],$DD784,103),0)</f>
        <v/>
      </c>
      <c r="DB784">
        <f>IFERROR(INDEX(PP_Grid[#Data],$DD784,104),0)</f>
        <v/>
      </c>
      <c r="DC784">
        <f>IFERROR(INDEX(PP_Grid[#Data],$DD784,105),0)</f>
        <v/>
      </c>
      <c r="DD784" s="7">
        <f>IFERROR(MATCH($B784,PP_Grid[Intermediate],0),99999)</f>
        <v/>
      </c>
    </row>
    <row r="785">
      <c r="B785" t="inlineStr">
        <is>
          <t>使用量(kg)</t>
        </is>
      </c>
      <c r="C785">
        <f>SUMIFS(M_BOM[RM_Qty_Per_Batch],M_BOM[Intermediate],$B784,M_BOM[Part Name],$A759)</f>
        <v/>
      </c>
      <c r="D785">
        <f>$C785*D784</f>
        <v/>
      </c>
      <c r="E785">
        <f>$C785*E784</f>
        <v/>
      </c>
      <c r="F785">
        <f>$C785*F784</f>
        <v/>
      </c>
      <c r="G785">
        <f>$C785*G784</f>
        <v/>
      </c>
      <c r="H785">
        <f>$C785*H784</f>
        <v/>
      </c>
      <c r="I785">
        <f>$C785*I784</f>
        <v/>
      </c>
      <c r="J785">
        <f>$C785*J784</f>
        <v/>
      </c>
      <c r="K785">
        <f>$C785*K784</f>
        <v/>
      </c>
      <c r="L785">
        <f>$C785*L784</f>
        <v/>
      </c>
      <c r="M785">
        <f>$C785*M784</f>
        <v/>
      </c>
      <c r="N785">
        <f>$C785*N784</f>
        <v/>
      </c>
      <c r="O785">
        <f>$C785*O784</f>
        <v/>
      </c>
      <c r="P785">
        <f>$C785*P784</f>
        <v/>
      </c>
      <c r="Q785">
        <f>$C785*Q784</f>
        <v/>
      </c>
      <c r="R785">
        <f>$C785*R784</f>
        <v/>
      </c>
      <c r="S785">
        <f>$C785*S784</f>
        <v/>
      </c>
      <c r="T785">
        <f>$C785*T784</f>
        <v/>
      </c>
      <c r="U785">
        <f>$C785*U784</f>
        <v/>
      </c>
      <c r="V785">
        <f>$C785*V784</f>
        <v/>
      </c>
      <c r="W785">
        <f>$C785*W784</f>
        <v/>
      </c>
      <c r="X785">
        <f>$C785*X784</f>
        <v/>
      </c>
      <c r="Y785">
        <f>$C785*Y784</f>
        <v/>
      </c>
      <c r="Z785">
        <f>$C785*Z784</f>
        <v/>
      </c>
      <c r="AA785">
        <f>$C785*AA784</f>
        <v/>
      </c>
      <c r="AB785">
        <f>$C785*AB784</f>
        <v/>
      </c>
      <c r="AC785">
        <f>$C785*AC784</f>
        <v/>
      </c>
      <c r="AD785">
        <f>$C785*AD784</f>
        <v/>
      </c>
      <c r="AE785">
        <f>$C785*AE784</f>
        <v/>
      </c>
      <c r="AF785">
        <f>$C785*AF784</f>
        <v/>
      </c>
      <c r="AG785">
        <f>$C785*AG784</f>
        <v/>
      </c>
      <c r="AH785">
        <f>$C785*AH784</f>
        <v/>
      </c>
      <c r="AI785">
        <f>$C785*AI784</f>
        <v/>
      </c>
      <c r="AJ785">
        <f>$C785*AJ784</f>
        <v/>
      </c>
      <c r="AK785">
        <f>$C785*AK784</f>
        <v/>
      </c>
      <c r="AL785">
        <f>$C785*AL784</f>
        <v/>
      </c>
      <c r="AM785">
        <f>$C785*AM784</f>
        <v/>
      </c>
      <c r="AN785">
        <f>$C785*AN784</f>
        <v/>
      </c>
      <c r="AO785">
        <f>$C785*AO784</f>
        <v/>
      </c>
      <c r="AP785">
        <f>$C785*AP784</f>
        <v/>
      </c>
      <c r="AQ785">
        <f>$C785*AQ784</f>
        <v/>
      </c>
      <c r="AR785">
        <f>$C785*AR784</f>
        <v/>
      </c>
      <c r="AS785">
        <f>$C785*AS784</f>
        <v/>
      </c>
      <c r="AT785">
        <f>$C785*AT784</f>
        <v/>
      </c>
      <c r="AU785">
        <f>$C785*AU784</f>
        <v/>
      </c>
      <c r="AV785">
        <f>$C785*AV784</f>
        <v/>
      </c>
      <c r="AW785">
        <f>$C785*AW784</f>
        <v/>
      </c>
      <c r="AX785">
        <f>$C785*AX784</f>
        <v/>
      </c>
      <c r="AY785">
        <f>$C785*AY784</f>
        <v/>
      </c>
      <c r="AZ785">
        <f>$C785*AZ784</f>
        <v/>
      </c>
      <c r="BA785">
        <f>$C785*BA784</f>
        <v/>
      </c>
      <c r="BB785">
        <f>$C785*BB784</f>
        <v/>
      </c>
      <c r="BC785">
        <f>$C785*BC784</f>
        <v/>
      </c>
      <c r="BD785">
        <f>$C785*BD784</f>
        <v/>
      </c>
      <c r="BE785">
        <f>$C785*BE784</f>
        <v/>
      </c>
      <c r="BF785">
        <f>$C785*BF784</f>
        <v/>
      </c>
      <c r="BG785">
        <f>$C785*BG784</f>
        <v/>
      </c>
      <c r="BH785">
        <f>$C785*BH784</f>
        <v/>
      </c>
      <c r="BI785">
        <f>$C785*BI784</f>
        <v/>
      </c>
      <c r="BJ785">
        <f>$C785*BJ784</f>
        <v/>
      </c>
      <c r="BK785">
        <f>$C785*BK784</f>
        <v/>
      </c>
      <c r="BL785">
        <f>$C785*BL784</f>
        <v/>
      </c>
      <c r="BM785">
        <f>$C785*BM784</f>
        <v/>
      </c>
      <c r="BN785">
        <f>$C785*BN784</f>
        <v/>
      </c>
      <c r="BO785">
        <f>$C785*BO784</f>
        <v/>
      </c>
      <c r="BP785">
        <f>$C785*BP784</f>
        <v/>
      </c>
      <c r="BQ785">
        <f>$C785*BQ784</f>
        <v/>
      </c>
      <c r="BR785">
        <f>$C785*BR784</f>
        <v/>
      </c>
      <c r="BS785">
        <f>$C785*BS784</f>
        <v/>
      </c>
      <c r="BT785">
        <f>$C785*BT784</f>
        <v/>
      </c>
      <c r="BU785">
        <f>$C785*BU784</f>
        <v/>
      </c>
      <c r="BV785">
        <f>$C785*BV784</f>
        <v/>
      </c>
      <c r="BW785">
        <f>$C785*BW784</f>
        <v/>
      </c>
      <c r="BX785">
        <f>$C785*BX784</f>
        <v/>
      </c>
      <c r="BY785">
        <f>$C785*BY784</f>
        <v/>
      </c>
      <c r="BZ785">
        <f>$C785*BZ784</f>
        <v/>
      </c>
      <c r="CA785">
        <f>$C785*CA784</f>
        <v/>
      </c>
      <c r="CB785">
        <f>$C785*CB784</f>
        <v/>
      </c>
      <c r="CC785">
        <f>$C785*CC784</f>
        <v/>
      </c>
      <c r="CD785">
        <f>$C785*CD784</f>
        <v/>
      </c>
      <c r="CE785">
        <f>$C785*CE784</f>
        <v/>
      </c>
      <c r="CF785">
        <f>$C785*CF784</f>
        <v/>
      </c>
      <c r="CG785">
        <f>$C785*CG784</f>
        <v/>
      </c>
      <c r="CH785">
        <f>$C785*CH784</f>
        <v/>
      </c>
      <c r="CI785">
        <f>$C785*CI784</f>
        <v/>
      </c>
      <c r="CJ785">
        <f>$C785*CJ784</f>
        <v/>
      </c>
      <c r="CK785">
        <f>$C785*CK784</f>
        <v/>
      </c>
      <c r="CL785">
        <f>$C785*CL784</f>
        <v/>
      </c>
      <c r="CM785">
        <f>$C785*CM784</f>
        <v/>
      </c>
      <c r="CN785">
        <f>$C785*CN784</f>
        <v/>
      </c>
      <c r="CO785">
        <f>$C785*CO784</f>
        <v/>
      </c>
      <c r="CP785">
        <f>$C785*CP784</f>
        <v/>
      </c>
      <c r="CQ785">
        <f>$C785*CQ784</f>
        <v/>
      </c>
      <c r="CR785">
        <f>$C785*CR784</f>
        <v/>
      </c>
      <c r="CS785">
        <f>$C785*CS784</f>
        <v/>
      </c>
      <c r="CT785">
        <f>$C785*CT784</f>
        <v/>
      </c>
      <c r="CU785">
        <f>$C785*CU784</f>
        <v/>
      </c>
      <c r="CV785">
        <f>$C785*CV784</f>
        <v/>
      </c>
      <c r="CW785">
        <f>$C785*CW784</f>
        <v/>
      </c>
      <c r="CX785">
        <f>$C785*CX784</f>
        <v/>
      </c>
      <c r="CY785">
        <f>$C785*CY784</f>
        <v/>
      </c>
      <c r="CZ785">
        <f>$C785*CZ784</f>
        <v/>
      </c>
      <c r="DA785">
        <f>$C785*DA784</f>
        <v/>
      </c>
      <c r="DB785">
        <f>$C785*DB784</f>
        <v/>
      </c>
      <c r="DC785">
        <f>$C785*DC784</f>
        <v/>
      </c>
    </row>
    <row r="786">
      <c r="B786" t="inlineStr">
        <is>
          <t>TSP-1388</t>
        </is>
      </c>
      <c r="C786" t="inlineStr">
        <is>
          <t>No. of batches</t>
        </is>
      </c>
      <c r="D786">
        <f>IFERROR(INDEX(PP_Grid[#Data],$DD786,2),0)</f>
        <v/>
      </c>
      <c r="E786">
        <f>IFERROR(INDEX(PP_Grid[#Data],$DD786,3),0)</f>
        <v/>
      </c>
      <c r="F786">
        <f>IFERROR(INDEX(PP_Grid[#Data],$DD786,4),0)</f>
        <v/>
      </c>
      <c r="G786">
        <f>IFERROR(INDEX(PP_Grid[#Data],$DD786,5),0)</f>
        <v/>
      </c>
      <c r="H786">
        <f>IFERROR(INDEX(PP_Grid[#Data],$DD786,6),0)</f>
        <v/>
      </c>
      <c r="I786">
        <f>IFERROR(INDEX(PP_Grid[#Data],$DD786,7),0)</f>
        <v/>
      </c>
      <c r="J786">
        <f>IFERROR(INDEX(PP_Grid[#Data],$DD786,8),0)</f>
        <v/>
      </c>
      <c r="K786">
        <f>IFERROR(INDEX(PP_Grid[#Data],$DD786,9),0)</f>
        <v/>
      </c>
      <c r="L786">
        <f>IFERROR(INDEX(PP_Grid[#Data],$DD786,10),0)</f>
        <v/>
      </c>
      <c r="M786">
        <f>IFERROR(INDEX(PP_Grid[#Data],$DD786,11),0)</f>
        <v/>
      </c>
      <c r="N786">
        <f>IFERROR(INDEX(PP_Grid[#Data],$DD786,12),0)</f>
        <v/>
      </c>
      <c r="O786">
        <f>IFERROR(INDEX(PP_Grid[#Data],$DD786,13),0)</f>
        <v/>
      </c>
      <c r="P786">
        <f>IFERROR(INDEX(PP_Grid[#Data],$DD786,14),0)</f>
        <v/>
      </c>
      <c r="Q786">
        <f>IFERROR(INDEX(PP_Grid[#Data],$DD786,15),0)</f>
        <v/>
      </c>
      <c r="R786">
        <f>IFERROR(INDEX(PP_Grid[#Data],$DD786,16),0)</f>
        <v/>
      </c>
      <c r="S786">
        <f>IFERROR(INDEX(PP_Grid[#Data],$DD786,17),0)</f>
        <v/>
      </c>
      <c r="T786">
        <f>IFERROR(INDEX(PP_Grid[#Data],$DD786,18),0)</f>
        <v/>
      </c>
      <c r="U786">
        <f>IFERROR(INDEX(PP_Grid[#Data],$DD786,19),0)</f>
        <v/>
      </c>
      <c r="V786">
        <f>IFERROR(INDEX(PP_Grid[#Data],$DD786,20),0)</f>
        <v/>
      </c>
      <c r="W786">
        <f>IFERROR(INDEX(PP_Grid[#Data],$DD786,21),0)</f>
        <v/>
      </c>
      <c r="X786">
        <f>IFERROR(INDEX(PP_Grid[#Data],$DD786,22),0)</f>
        <v/>
      </c>
      <c r="Y786">
        <f>IFERROR(INDEX(PP_Grid[#Data],$DD786,23),0)</f>
        <v/>
      </c>
      <c r="Z786">
        <f>IFERROR(INDEX(PP_Grid[#Data],$DD786,24),0)</f>
        <v/>
      </c>
      <c r="AA786">
        <f>IFERROR(INDEX(PP_Grid[#Data],$DD786,25),0)</f>
        <v/>
      </c>
      <c r="AB786">
        <f>IFERROR(INDEX(PP_Grid[#Data],$DD786,26),0)</f>
        <v/>
      </c>
      <c r="AC786">
        <f>IFERROR(INDEX(PP_Grid[#Data],$DD786,27),0)</f>
        <v/>
      </c>
      <c r="AD786">
        <f>IFERROR(INDEX(PP_Grid[#Data],$DD786,28),0)</f>
        <v/>
      </c>
      <c r="AE786">
        <f>IFERROR(INDEX(PP_Grid[#Data],$DD786,29),0)</f>
        <v/>
      </c>
      <c r="AF786">
        <f>IFERROR(INDEX(PP_Grid[#Data],$DD786,30),0)</f>
        <v/>
      </c>
      <c r="AG786">
        <f>IFERROR(INDEX(PP_Grid[#Data],$DD786,31),0)</f>
        <v/>
      </c>
      <c r="AH786">
        <f>IFERROR(INDEX(PP_Grid[#Data],$DD786,32),0)</f>
        <v/>
      </c>
      <c r="AI786">
        <f>IFERROR(INDEX(PP_Grid[#Data],$DD786,33),0)</f>
        <v/>
      </c>
      <c r="AJ786">
        <f>IFERROR(INDEX(PP_Grid[#Data],$DD786,34),0)</f>
        <v/>
      </c>
      <c r="AK786">
        <f>IFERROR(INDEX(PP_Grid[#Data],$DD786,35),0)</f>
        <v/>
      </c>
      <c r="AL786">
        <f>IFERROR(INDEX(PP_Grid[#Data],$DD786,36),0)</f>
        <v/>
      </c>
      <c r="AM786">
        <f>IFERROR(INDEX(PP_Grid[#Data],$DD786,37),0)</f>
        <v/>
      </c>
      <c r="AN786">
        <f>IFERROR(INDEX(PP_Grid[#Data],$DD786,38),0)</f>
        <v/>
      </c>
      <c r="AO786">
        <f>IFERROR(INDEX(PP_Grid[#Data],$DD786,39),0)</f>
        <v/>
      </c>
      <c r="AP786">
        <f>IFERROR(INDEX(PP_Grid[#Data],$DD786,40),0)</f>
        <v/>
      </c>
      <c r="AQ786">
        <f>IFERROR(INDEX(PP_Grid[#Data],$DD786,41),0)</f>
        <v/>
      </c>
      <c r="AR786">
        <f>IFERROR(INDEX(PP_Grid[#Data],$DD786,42),0)</f>
        <v/>
      </c>
      <c r="AS786">
        <f>IFERROR(INDEX(PP_Grid[#Data],$DD786,43),0)</f>
        <v/>
      </c>
      <c r="AT786">
        <f>IFERROR(INDEX(PP_Grid[#Data],$DD786,44),0)</f>
        <v/>
      </c>
      <c r="AU786">
        <f>IFERROR(INDEX(PP_Grid[#Data],$DD786,45),0)</f>
        <v/>
      </c>
      <c r="AV786">
        <f>IFERROR(INDEX(PP_Grid[#Data],$DD786,46),0)</f>
        <v/>
      </c>
      <c r="AW786">
        <f>IFERROR(INDEX(PP_Grid[#Data],$DD786,47),0)</f>
        <v/>
      </c>
      <c r="AX786">
        <f>IFERROR(INDEX(PP_Grid[#Data],$DD786,48),0)</f>
        <v/>
      </c>
      <c r="AY786">
        <f>IFERROR(INDEX(PP_Grid[#Data],$DD786,49),0)</f>
        <v/>
      </c>
      <c r="AZ786">
        <f>IFERROR(INDEX(PP_Grid[#Data],$DD786,50),0)</f>
        <v/>
      </c>
      <c r="BA786">
        <f>IFERROR(INDEX(PP_Grid[#Data],$DD786,51),0)</f>
        <v/>
      </c>
      <c r="BB786">
        <f>IFERROR(INDEX(PP_Grid[#Data],$DD786,52),0)</f>
        <v/>
      </c>
      <c r="BC786">
        <f>IFERROR(INDEX(PP_Grid[#Data],$DD786,53),0)</f>
        <v/>
      </c>
      <c r="BD786">
        <f>IFERROR(INDEX(PP_Grid[#Data],$DD786,54),0)</f>
        <v/>
      </c>
      <c r="BE786">
        <f>IFERROR(INDEX(PP_Grid[#Data],$DD786,55),0)</f>
        <v/>
      </c>
      <c r="BF786">
        <f>IFERROR(INDEX(PP_Grid[#Data],$DD786,56),0)</f>
        <v/>
      </c>
      <c r="BG786">
        <f>IFERROR(INDEX(PP_Grid[#Data],$DD786,57),0)</f>
        <v/>
      </c>
      <c r="BH786">
        <f>IFERROR(INDEX(PP_Grid[#Data],$DD786,58),0)</f>
        <v/>
      </c>
      <c r="BI786">
        <f>IFERROR(INDEX(PP_Grid[#Data],$DD786,59),0)</f>
        <v/>
      </c>
      <c r="BJ786">
        <f>IFERROR(INDEX(PP_Grid[#Data],$DD786,60),0)</f>
        <v/>
      </c>
      <c r="BK786">
        <f>IFERROR(INDEX(PP_Grid[#Data],$DD786,61),0)</f>
        <v/>
      </c>
      <c r="BL786">
        <f>IFERROR(INDEX(PP_Grid[#Data],$DD786,62),0)</f>
        <v/>
      </c>
      <c r="BM786">
        <f>IFERROR(INDEX(PP_Grid[#Data],$DD786,63),0)</f>
        <v/>
      </c>
      <c r="BN786">
        <f>IFERROR(INDEX(PP_Grid[#Data],$DD786,64),0)</f>
        <v/>
      </c>
      <c r="BO786">
        <f>IFERROR(INDEX(PP_Grid[#Data],$DD786,65),0)</f>
        <v/>
      </c>
      <c r="BP786">
        <f>IFERROR(INDEX(PP_Grid[#Data],$DD786,66),0)</f>
        <v/>
      </c>
      <c r="BQ786">
        <f>IFERROR(INDEX(PP_Grid[#Data],$DD786,67),0)</f>
        <v/>
      </c>
      <c r="BR786">
        <f>IFERROR(INDEX(PP_Grid[#Data],$DD786,68),0)</f>
        <v/>
      </c>
      <c r="BS786">
        <f>IFERROR(INDEX(PP_Grid[#Data],$DD786,69),0)</f>
        <v/>
      </c>
      <c r="BT786">
        <f>IFERROR(INDEX(PP_Grid[#Data],$DD786,70),0)</f>
        <v/>
      </c>
      <c r="BU786">
        <f>IFERROR(INDEX(PP_Grid[#Data],$DD786,71),0)</f>
        <v/>
      </c>
      <c r="BV786">
        <f>IFERROR(INDEX(PP_Grid[#Data],$DD786,72),0)</f>
        <v/>
      </c>
      <c r="BW786">
        <f>IFERROR(INDEX(PP_Grid[#Data],$DD786,73),0)</f>
        <v/>
      </c>
      <c r="BX786">
        <f>IFERROR(INDEX(PP_Grid[#Data],$DD786,74),0)</f>
        <v/>
      </c>
      <c r="BY786">
        <f>IFERROR(INDEX(PP_Grid[#Data],$DD786,75),0)</f>
        <v/>
      </c>
      <c r="BZ786">
        <f>IFERROR(INDEX(PP_Grid[#Data],$DD786,76),0)</f>
        <v/>
      </c>
      <c r="CA786">
        <f>IFERROR(INDEX(PP_Grid[#Data],$DD786,77),0)</f>
        <v/>
      </c>
      <c r="CB786">
        <f>IFERROR(INDEX(PP_Grid[#Data],$DD786,78),0)</f>
        <v/>
      </c>
      <c r="CC786">
        <f>IFERROR(INDEX(PP_Grid[#Data],$DD786,79),0)</f>
        <v/>
      </c>
      <c r="CD786">
        <f>IFERROR(INDEX(PP_Grid[#Data],$DD786,80),0)</f>
        <v/>
      </c>
      <c r="CE786">
        <f>IFERROR(INDEX(PP_Grid[#Data],$DD786,81),0)</f>
        <v/>
      </c>
      <c r="CF786">
        <f>IFERROR(INDEX(PP_Grid[#Data],$DD786,82),0)</f>
        <v/>
      </c>
      <c r="CG786">
        <f>IFERROR(INDEX(PP_Grid[#Data],$DD786,83),0)</f>
        <v/>
      </c>
      <c r="CH786">
        <f>IFERROR(INDEX(PP_Grid[#Data],$DD786,84),0)</f>
        <v/>
      </c>
      <c r="CI786">
        <f>IFERROR(INDEX(PP_Grid[#Data],$DD786,85),0)</f>
        <v/>
      </c>
      <c r="CJ786">
        <f>IFERROR(INDEX(PP_Grid[#Data],$DD786,86),0)</f>
        <v/>
      </c>
      <c r="CK786">
        <f>IFERROR(INDEX(PP_Grid[#Data],$DD786,87),0)</f>
        <v/>
      </c>
      <c r="CL786">
        <f>IFERROR(INDEX(PP_Grid[#Data],$DD786,88),0)</f>
        <v/>
      </c>
      <c r="CM786">
        <f>IFERROR(INDEX(PP_Grid[#Data],$DD786,89),0)</f>
        <v/>
      </c>
      <c r="CN786">
        <f>IFERROR(INDEX(PP_Grid[#Data],$DD786,90),0)</f>
        <v/>
      </c>
      <c r="CO786">
        <f>IFERROR(INDEX(PP_Grid[#Data],$DD786,91),0)</f>
        <v/>
      </c>
      <c r="CP786">
        <f>IFERROR(INDEX(PP_Grid[#Data],$DD786,92),0)</f>
        <v/>
      </c>
      <c r="CQ786">
        <f>IFERROR(INDEX(PP_Grid[#Data],$DD786,93),0)</f>
        <v/>
      </c>
      <c r="CR786">
        <f>IFERROR(INDEX(PP_Grid[#Data],$DD786,94),0)</f>
        <v/>
      </c>
      <c r="CS786">
        <f>IFERROR(INDEX(PP_Grid[#Data],$DD786,95),0)</f>
        <v/>
      </c>
      <c r="CT786">
        <f>IFERROR(INDEX(PP_Grid[#Data],$DD786,96),0)</f>
        <v/>
      </c>
      <c r="CU786">
        <f>IFERROR(INDEX(PP_Grid[#Data],$DD786,97),0)</f>
        <v/>
      </c>
      <c r="CV786">
        <f>IFERROR(INDEX(PP_Grid[#Data],$DD786,98),0)</f>
        <v/>
      </c>
      <c r="CW786">
        <f>IFERROR(INDEX(PP_Grid[#Data],$DD786,99),0)</f>
        <v/>
      </c>
      <c r="CX786">
        <f>IFERROR(INDEX(PP_Grid[#Data],$DD786,100),0)</f>
        <v/>
      </c>
      <c r="CY786">
        <f>IFERROR(INDEX(PP_Grid[#Data],$DD786,101),0)</f>
        <v/>
      </c>
      <c r="CZ786">
        <f>IFERROR(INDEX(PP_Grid[#Data],$DD786,102),0)</f>
        <v/>
      </c>
      <c r="DA786">
        <f>IFERROR(INDEX(PP_Grid[#Data],$DD786,103),0)</f>
        <v/>
      </c>
      <c r="DB786">
        <f>IFERROR(INDEX(PP_Grid[#Data],$DD786,104),0)</f>
        <v/>
      </c>
      <c r="DC786">
        <f>IFERROR(INDEX(PP_Grid[#Data],$DD786,105),0)</f>
        <v/>
      </c>
      <c r="DD786" s="7">
        <f>IFERROR(MATCH($B786,PP_Grid[Intermediate],0),99999)</f>
        <v/>
      </c>
    </row>
    <row r="787">
      <c r="B787" t="inlineStr">
        <is>
          <t>使用量(kg)</t>
        </is>
      </c>
      <c r="C787">
        <f>SUMIFS(M_BOM[RM_Qty_Per_Batch],M_BOM[Intermediate],$B786,M_BOM[Part Name],$A759)</f>
        <v/>
      </c>
      <c r="D787">
        <f>$C787*D786</f>
        <v/>
      </c>
      <c r="E787">
        <f>$C787*E786</f>
        <v/>
      </c>
      <c r="F787">
        <f>$C787*F786</f>
        <v/>
      </c>
      <c r="G787">
        <f>$C787*G786</f>
        <v/>
      </c>
      <c r="H787">
        <f>$C787*H786</f>
        <v/>
      </c>
      <c r="I787">
        <f>$C787*I786</f>
        <v/>
      </c>
      <c r="J787">
        <f>$C787*J786</f>
        <v/>
      </c>
      <c r="K787">
        <f>$C787*K786</f>
        <v/>
      </c>
      <c r="L787">
        <f>$C787*L786</f>
        <v/>
      </c>
      <c r="M787">
        <f>$C787*M786</f>
        <v/>
      </c>
      <c r="N787">
        <f>$C787*N786</f>
        <v/>
      </c>
      <c r="O787">
        <f>$C787*O786</f>
        <v/>
      </c>
      <c r="P787">
        <f>$C787*P786</f>
        <v/>
      </c>
      <c r="Q787">
        <f>$C787*Q786</f>
        <v/>
      </c>
      <c r="R787">
        <f>$C787*R786</f>
        <v/>
      </c>
      <c r="S787">
        <f>$C787*S786</f>
        <v/>
      </c>
      <c r="T787">
        <f>$C787*T786</f>
        <v/>
      </c>
      <c r="U787">
        <f>$C787*U786</f>
        <v/>
      </c>
      <c r="V787">
        <f>$C787*V786</f>
        <v/>
      </c>
      <c r="W787">
        <f>$C787*W786</f>
        <v/>
      </c>
      <c r="X787">
        <f>$C787*X786</f>
        <v/>
      </c>
      <c r="Y787">
        <f>$C787*Y786</f>
        <v/>
      </c>
      <c r="Z787">
        <f>$C787*Z786</f>
        <v/>
      </c>
      <c r="AA787">
        <f>$C787*AA786</f>
        <v/>
      </c>
      <c r="AB787">
        <f>$C787*AB786</f>
        <v/>
      </c>
      <c r="AC787">
        <f>$C787*AC786</f>
        <v/>
      </c>
      <c r="AD787">
        <f>$C787*AD786</f>
        <v/>
      </c>
      <c r="AE787">
        <f>$C787*AE786</f>
        <v/>
      </c>
      <c r="AF787">
        <f>$C787*AF786</f>
        <v/>
      </c>
      <c r="AG787">
        <f>$C787*AG786</f>
        <v/>
      </c>
      <c r="AH787">
        <f>$C787*AH786</f>
        <v/>
      </c>
      <c r="AI787">
        <f>$C787*AI786</f>
        <v/>
      </c>
      <c r="AJ787">
        <f>$C787*AJ786</f>
        <v/>
      </c>
      <c r="AK787">
        <f>$C787*AK786</f>
        <v/>
      </c>
      <c r="AL787">
        <f>$C787*AL786</f>
        <v/>
      </c>
      <c r="AM787">
        <f>$C787*AM786</f>
        <v/>
      </c>
      <c r="AN787">
        <f>$C787*AN786</f>
        <v/>
      </c>
      <c r="AO787">
        <f>$C787*AO786</f>
        <v/>
      </c>
      <c r="AP787">
        <f>$C787*AP786</f>
        <v/>
      </c>
      <c r="AQ787">
        <f>$C787*AQ786</f>
        <v/>
      </c>
      <c r="AR787">
        <f>$C787*AR786</f>
        <v/>
      </c>
      <c r="AS787">
        <f>$C787*AS786</f>
        <v/>
      </c>
      <c r="AT787">
        <f>$C787*AT786</f>
        <v/>
      </c>
      <c r="AU787">
        <f>$C787*AU786</f>
        <v/>
      </c>
      <c r="AV787">
        <f>$C787*AV786</f>
        <v/>
      </c>
      <c r="AW787">
        <f>$C787*AW786</f>
        <v/>
      </c>
      <c r="AX787">
        <f>$C787*AX786</f>
        <v/>
      </c>
      <c r="AY787">
        <f>$C787*AY786</f>
        <v/>
      </c>
      <c r="AZ787">
        <f>$C787*AZ786</f>
        <v/>
      </c>
      <c r="BA787">
        <f>$C787*BA786</f>
        <v/>
      </c>
      <c r="BB787">
        <f>$C787*BB786</f>
        <v/>
      </c>
      <c r="BC787">
        <f>$C787*BC786</f>
        <v/>
      </c>
      <c r="BD787">
        <f>$C787*BD786</f>
        <v/>
      </c>
      <c r="BE787">
        <f>$C787*BE786</f>
        <v/>
      </c>
      <c r="BF787">
        <f>$C787*BF786</f>
        <v/>
      </c>
      <c r="BG787">
        <f>$C787*BG786</f>
        <v/>
      </c>
      <c r="BH787">
        <f>$C787*BH786</f>
        <v/>
      </c>
      <c r="BI787">
        <f>$C787*BI786</f>
        <v/>
      </c>
      <c r="BJ787">
        <f>$C787*BJ786</f>
        <v/>
      </c>
      <c r="BK787">
        <f>$C787*BK786</f>
        <v/>
      </c>
      <c r="BL787">
        <f>$C787*BL786</f>
        <v/>
      </c>
      <c r="BM787">
        <f>$C787*BM786</f>
        <v/>
      </c>
      <c r="BN787">
        <f>$C787*BN786</f>
        <v/>
      </c>
      <c r="BO787">
        <f>$C787*BO786</f>
        <v/>
      </c>
      <c r="BP787">
        <f>$C787*BP786</f>
        <v/>
      </c>
      <c r="BQ787">
        <f>$C787*BQ786</f>
        <v/>
      </c>
      <c r="BR787">
        <f>$C787*BR786</f>
        <v/>
      </c>
      <c r="BS787">
        <f>$C787*BS786</f>
        <v/>
      </c>
      <c r="BT787">
        <f>$C787*BT786</f>
        <v/>
      </c>
      <c r="BU787">
        <f>$C787*BU786</f>
        <v/>
      </c>
      <c r="BV787">
        <f>$C787*BV786</f>
        <v/>
      </c>
      <c r="BW787">
        <f>$C787*BW786</f>
        <v/>
      </c>
      <c r="BX787">
        <f>$C787*BX786</f>
        <v/>
      </c>
      <c r="BY787">
        <f>$C787*BY786</f>
        <v/>
      </c>
      <c r="BZ787">
        <f>$C787*BZ786</f>
        <v/>
      </c>
      <c r="CA787">
        <f>$C787*CA786</f>
        <v/>
      </c>
      <c r="CB787">
        <f>$C787*CB786</f>
        <v/>
      </c>
      <c r="CC787">
        <f>$C787*CC786</f>
        <v/>
      </c>
      <c r="CD787">
        <f>$C787*CD786</f>
        <v/>
      </c>
      <c r="CE787">
        <f>$C787*CE786</f>
        <v/>
      </c>
      <c r="CF787">
        <f>$C787*CF786</f>
        <v/>
      </c>
      <c r="CG787">
        <f>$C787*CG786</f>
        <v/>
      </c>
      <c r="CH787">
        <f>$C787*CH786</f>
        <v/>
      </c>
      <c r="CI787">
        <f>$C787*CI786</f>
        <v/>
      </c>
      <c r="CJ787">
        <f>$C787*CJ786</f>
        <v/>
      </c>
      <c r="CK787">
        <f>$C787*CK786</f>
        <v/>
      </c>
      <c r="CL787">
        <f>$C787*CL786</f>
        <v/>
      </c>
      <c r="CM787">
        <f>$C787*CM786</f>
        <v/>
      </c>
      <c r="CN787">
        <f>$C787*CN786</f>
        <v/>
      </c>
      <c r="CO787">
        <f>$C787*CO786</f>
        <v/>
      </c>
      <c r="CP787">
        <f>$C787*CP786</f>
        <v/>
      </c>
      <c r="CQ787">
        <f>$C787*CQ786</f>
        <v/>
      </c>
      <c r="CR787">
        <f>$C787*CR786</f>
        <v/>
      </c>
      <c r="CS787">
        <f>$C787*CS786</f>
        <v/>
      </c>
      <c r="CT787">
        <f>$C787*CT786</f>
        <v/>
      </c>
      <c r="CU787">
        <f>$C787*CU786</f>
        <v/>
      </c>
      <c r="CV787">
        <f>$C787*CV786</f>
        <v/>
      </c>
      <c r="CW787">
        <f>$C787*CW786</f>
        <v/>
      </c>
      <c r="CX787">
        <f>$C787*CX786</f>
        <v/>
      </c>
      <c r="CY787">
        <f>$C787*CY786</f>
        <v/>
      </c>
      <c r="CZ787">
        <f>$C787*CZ786</f>
        <v/>
      </c>
      <c r="DA787">
        <f>$C787*DA786</f>
        <v/>
      </c>
      <c r="DB787">
        <f>$C787*DB786</f>
        <v/>
      </c>
      <c r="DC787">
        <f>$C787*DC786</f>
        <v/>
      </c>
    </row>
    <row r="788">
      <c r="B788" t="inlineStr">
        <is>
          <t>TSP-1448</t>
        </is>
      </c>
      <c r="C788" t="inlineStr">
        <is>
          <t>No. of batches</t>
        </is>
      </c>
      <c r="D788">
        <f>IFERROR(INDEX(PP_Grid[#Data],$DD788,2),0)</f>
        <v/>
      </c>
      <c r="E788">
        <f>IFERROR(INDEX(PP_Grid[#Data],$DD788,3),0)</f>
        <v/>
      </c>
      <c r="F788">
        <f>IFERROR(INDEX(PP_Grid[#Data],$DD788,4),0)</f>
        <v/>
      </c>
      <c r="G788">
        <f>IFERROR(INDEX(PP_Grid[#Data],$DD788,5),0)</f>
        <v/>
      </c>
      <c r="H788">
        <f>IFERROR(INDEX(PP_Grid[#Data],$DD788,6),0)</f>
        <v/>
      </c>
      <c r="I788">
        <f>IFERROR(INDEX(PP_Grid[#Data],$DD788,7),0)</f>
        <v/>
      </c>
      <c r="J788">
        <f>IFERROR(INDEX(PP_Grid[#Data],$DD788,8),0)</f>
        <v/>
      </c>
      <c r="K788">
        <f>IFERROR(INDEX(PP_Grid[#Data],$DD788,9),0)</f>
        <v/>
      </c>
      <c r="L788">
        <f>IFERROR(INDEX(PP_Grid[#Data],$DD788,10),0)</f>
        <v/>
      </c>
      <c r="M788">
        <f>IFERROR(INDEX(PP_Grid[#Data],$DD788,11),0)</f>
        <v/>
      </c>
      <c r="N788">
        <f>IFERROR(INDEX(PP_Grid[#Data],$DD788,12),0)</f>
        <v/>
      </c>
      <c r="O788">
        <f>IFERROR(INDEX(PP_Grid[#Data],$DD788,13),0)</f>
        <v/>
      </c>
      <c r="P788">
        <f>IFERROR(INDEX(PP_Grid[#Data],$DD788,14),0)</f>
        <v/>
      </c>
      <c r="Q788">
        <f>IFERROR(INDEX(PP_Grid[#Data],$DD788,15),0)</f>
        <v/>
      </c>
      <c r="R788">
        <f>IFERROR(INDEX(PP_Grid[#Data],$DD788,16),0)</f>
        <v/>
      </c>
      <c r="S788">
        <f>IFERROR(INDEX(PP_Grid[#Data],$DD788,17),0)</f>
        <v/>
      </c>
      <c r="T788">
        <f>IFERROR(INDEX(PP_Grid[#Data],$DD788,18),0)</f>
        <v/>
      </c>
      <c r="U788">
        <f>IFERROR(INDEX(PP_Grid[#Data],$DD788,19),0)</f>
        <v/>
      </c>
      <c r="V788">
        <f>IFERROR(INDEX(PP_Grid[#Data],$DD788,20),0)</f>
        <v/>
      </c>
      <c r="W788">
        <f>IFERROR(INDEX(PP_Grid[#Data],$DD788,21),0)</f>
        <v/>
      </c>
      <c r="X788">
        <f>IFERROR(INDEX(PP_Grid[#Data],$DD788,22),0)</f>
        <v/>
      </c>
      <c r="Y788">
        <f>IFERROR(INDEX(PP_Grid[#Data],$DD788,23),0)</f>
        <v/>
      </c>
      <c r="Z788">
        <f>IFERROR(INDEX(PP_Grid[#Data],$DD788,24),0)</f>
        <v/>
      </c>
      <c r="AA788">
        <f>IFERROR(INDEX(PP_Grid[#Data],$DD788,25),0)</f>
        <v/>
      </c>
      <c r="AB788">
        <f>IFERROR(INDEX(PP_Grid[#Data],$DD788,26),0)</f>
        <v/>
      </c>
      <c r="AC788">
        <f>IFERROR(INDEX(PP_Grid[#Data],$DD788,27),0)</f>
        <v/>
      </c>
      <c r="AD788">
        <f>IFERROR(INDEX(PP_Grid[#Data],$DD788,28),0)</f>
        <v/>
      </c>
      <c r="AE788">
        <f>IFERROR(INDEX(PP_Grid[#Data],$DD788,29),0)</f>
        <v/>
      </c>
      <c r="AF788">
        <f>IFERROR(INDEX(PP_Grid[#Data],$DD788,30),0)</f>
        <v/>
      </c>
      <c r="AG788">
        <f>IFERROR(INDEX(PP_Grid[#Data],$DD788,31),0)</f>
        <v/>
      </c>
      <c r="AH788">
        <f>IFERROR(INDEX(PP_Grid[#Data],$DD788,32),0)</f>
        <v/>
      </c>
      <c r="AI788">
        <f>IFERROR(INDEX(PP_Grid[#Data],$DD788,33),0)</f>
        <v/>
      </c>
      <c r="AJ788">
        <f>IFERROR(INDEX(PP_Grid[#Data],$DD788,34),0)</f>
        <v/>
      </c>
      <c r="AK788">
        <f>IFERROR(INDEX(PP_Grid[#Data],$DD788,35),0)</f>
        <v/>
      </c>
      <c r="AL788">
        <f>IFERROR(INDEX(PP_Grid[#Data],$DD788,36),0)</f>
        <v/>
      </c>
      <c r="AM788">
        <f>IFERROR(INDEX(PP_Grid[#Data],$DD788,37),0)</f>
        <v/>
      </c>
      <c r="AN788">
        <f>IFERROR(INDEX(PP_Grid[#Data],$DD788,38),0)</f>
        <v/>
      </c>
      <c r="AO788">
        <f>IFERROR(INDEX(PP_Grid[#Data],$DD788,39),0)</f>
        <v/>
      </c>
      <c r="AP788">
        <f>IFERROR(INDEX(PP_Grid[#Data],$DD788,40),0)</f>
        <v/>
      </c>
      <c r="AQ788">
        <f>IFERROR(INDEX(PP_Grid[#Data],$DD788,41),0)</f>
        <v/>
      </c>
      <c r="AR788">
        <f>IFERROR(INDEX(PP_Grid[#Data],$DD788,42),0)</f>
        <v/>
      </c>
      <c r="AS788">
        <f>IFERROR(INDEX(PP_Grid[#Data],$DD788,43),0)</f>
        <v/>
      </c>
      <c r="AT788">
        <f>IFERROR(INDEX(PP_Grid[#Data],$DD788,44),0)</f>
        <v/>
      </c>
      <c r="AU788">
        <f>IFERROR(INDEX(PP_Grid[#Data],$DD788,45),0)</f>
        <v/>
      </c>
      <c r="AV788">
        <f>IFERROR(INDEX(PP_Grid[#Data],$DD788,46),0)</f>
        <v/>
      </c>
      <c r="AW788">
        <f>IFERROR(INDEX(PP_Grid[#Data],$DD788,47),0)</f>
        <v/>
      </c>
      <c r="AX788">
        <f>IFERROR(INDEX(PP_Grid[#Data],$DD788,48),0)</f>
        <v/>
      </c>
      <c r="AY788">
        <f>IFERROR(INDEX(PP_Grid[#Data],$DD788,49),0)</f>
        <v/>
      </c>
      <c r="AZ788">
        <f>IFERROR(INDEX(PP_Grid[#Data],$DD788,50),0)</f>
        <v/>
      </c>
      <c r="BA788">
        <f>IFERROR(INDEX(PP_Grid[#Data],$DD788,51),0)</f>
        <v/>
      </c>
      <c r="BB788">
        <f>IFERROR(INDEX(PP_Grid[#Data],$DD788,52),0)</f>
        <v/>
      </c>
      <c r="BC788">
        <f>IFERROR(INDEX(PP_Grid[#Data],$DD788,53),0)</f>
        <v/>
      </c>
      <c r="BD788">
        <f>IFERROR(INDEX(PP_Grid[#Data],$DD788,54),0)</f>
        <v/>
      </c>
      <c r="BE788">
        <f>IFERROR(INDEX(PP_Grid[#Data],$DD788,55),0)</f>
        <v/>
      </c>
      <c r="BF788">
        <f>IFERROR(INDEX(PP_Grid[#Data],$DD788,56),0)</f>
        <v/>
      </c>
      <c r="BG788">
        <f>IFERROR(INDEX(PP_Grid[#Data],$DD788,57),0)</f>
        <v/>
      </c>
      <c r="BH788">
        <f>IFERROR(INDEX(PP_Grid[#Data],$DD788,58),0)</f>
        <v/>
      </c>
      <c r="BI788">
        <f>IFERROR(INDEX(PP_Grid[#Data],$DD788,59),0)</f>
        <v/>
      </c>
      <c r="BJ788">
        <f>IFERROR(INDEX(PP_Grid[#Data],$DD788,60),0)</f>
        <v/>
      </c>
      <c r="BK788">
        <f>IFERROR(INDEX(PP_Grid[#Data],$DD788,61),0)</f>
        <v/>
      </c>
      <c r="BL788">
        <f>IFERROR(INDEX(PP_Grid[#Data],$DD788,62),0)</f>
        <v/>
      </c>
      <c r="BM788">
        <f>IFERROR(INDEX(PP_Grid[#Data],$DD788,63),0)</f>
        <v/>
      </c>
      <c r="BN788">
        <f>IFERROR(INDEX(PP_Grid[#Data],$DD788,64),0)</f>
        <v/>
      </c>
      <c r="BO788">
        <f>IFERROR(INDEX(PP_Grid[#Data],$DD788,65),0)</f>
        <v/>
      </c>
      <c r="BP788">
        <f>IFERROR(INDEX(PP_Grid[#Data],$DD788,66),0)</f>
        <v/>
      </c>
      <c r="BQ788">
        <f>IFERROR(INDEX(PP_Grid[#Data],$DD788,67),0)</f>
        <v/>
      </c>
      <c r="BR788">
        <f>IFERROR(INDEX(PP_Grid[#Data],$DD788,68),0)</f>
        <v/>
      </c>
      <c r="BS788">
        <f>IFERROR(INDEX(PP_Grid[#Data],$DD788,69),0)</f>
        <v/>
      </c>
      <c r="BT788">
        <f>IFERROR(INDEX(PP_Grid[#Data],$DD788,70),0)</f>
        <v/>
      </c>
      <c r="BU788">
        <f>IFERROR(INDEX(PP_Grid[#Data],$DD788,71),0)</f>
        <v/>
      </c>
      <c r="BV788">
        <f>IFERROR(INDEX(PP_Grid[#Data],$DD788,72),0)</f>
        <v/>
      </c>
      <c r="BW788">
        <f>IFERROR(INDEX(PP_Grid[#Data],$DD788,73),0)</f>
        <v/>
      </c>
      <c r="BX788">
        <f>IFERROR(INDEX(PP_Grid[#Data],$DD788,74),0)</f>
        <v/>
      </c>
      <c r="BY788">
        <f>IFERROR(INDEX(PP_Grid[#Data],$DD788,75),0)</f>
        <v/>
      </c>
      <c r="BZ788">
        <f>IFERROR(INDEX(PP_Grid[#Data],$DD788,76),0)</f>
        <v/>
      </c>
      <c r="CA788">
        <f>IFERROR(INDEX(PP_Grid[#Data],$DD788,77),0)</f>
        <v/>
      </c>
      <c r="CB788">
        <f>IFERROR(INDEX(PP_Grid[#Data],$DD788,78),0)</f>
        <v/>
      </c>
      <c r="CC788">
        <f>IFERROR(INDEX(PP_Grid[#Data],$DD788,79),0)</f>
        <v/>
      </c>
      <c r="CD788">
        <f>IFERROR(INDEX(PP_Grid[#Data],$DD788,80),0)</f>
        <v/>
      </c>
      <c r="CE788">
        <f>IFERROR(INDEX(PP_Grid[#Data],$DD788,81),0)</f>
        <v/>
      </c>
      <c r="CF788">
        <f>IFERROR(INDEX(PP_Grid[#Data],$DD788,82),0)</f>
        <v/>
      </c>
      <c r="CG788">
        <f>IFERROR(INDEX(PP_Grid[#Data],$DD788,83),0)</f>
        <v/>
      </c>
      <c r="CH788">
        <f>IFERROR(INDEX(PP_Grid[#Data],$DD788,84),0)</f>
        <v/>
      </c>
      <c r="CI788">
        <f>IFERROR(INDEX(PP_Grid[#Data],$DD788,85),0)</f>
        <v/>
      </c>
      <c r="CJ788">
        <f>IFERROR(INDEX(PP_Grid[#Data],$DD788,86),0)</f>
        <v/>
      </c>
      <c r="CK788">
        <f>IFERROR(INDEX(PP_Grid[#Data],$DD788,87),0)</f>
        <v/>
      </c>
      <c r="CL788">
        <f>IFERROR(INDEX(PP_Grid[#Data],$DD788,88),0)</f>
        <v/>
      </c>
      <c r="CM788">
        <f>IFERROR(INDEX(PP_Grid[#Data],$DD788,89),0)</f>
        <v/>
      </c>
      <c r="CN788">
        <f>IFERROR(INDEX(PP_Grid[#Data],$DD788,90),0)</f>
        <v/>
      </c>
      <c r="CO788">
        <f>IFERROR(INDEX(PP_Grid[#Data],$DD788,91),0)</f>
        <v/>
      </c>
      <c r="CP788">
        <f>IFERROR(INDEX(PP_Grid[#Data],$DD788,92),0)</f>
        <v/>
      </c>
      <c r="CQ788">
        <f>IFERROR(INDEX(PP_Grid[#Data],$DD788,93),0)</f>
        <v/>
      </c>
      <c r="CR788">
        <f>IFERROR(INDEX(PP_Grid[#Data],$DD788,94),0)</f>
        <v/>
      </c>
      <c r="CS788">
        <f>IFERROR(INDEX(PP_Grid[#Data],$DD788,95),0)</f>
        <v/>
      </c>
      <c r="CT788">
        <f>IFERROR(INDEX(PP_Grid[#Data],$DD788,96),0)</f>
        <v/>
      </c>
      <c r="CU788">
        <f>IFERROR(INDEX(PP_Grid[#Data],$DD788,97),0)</f>
        <v/>
      </c>
      <c r="CV788">
        <f>IFERROR(INDEX(PP_Grid[#Data],$DD788,98),0)</f>
        <v/>
      </c>
      <c r="CW788">
        <f>IFERROR(INDEX(PP_Grid[#Data],$DD788,99),0)</f>
        <v/>
      </c>
      <c r="CX788">
        <f>IFERROR(INDEX(PP_Grid[#Data],$DD788,100),0)</f>
        <v/>
      </c>
      <c r="CY788">
        <f>IFERROR(INDEX(PP_Grid[#Data],$DD788,101),0)</f>
        <v/>
      </c>
      <c r="CZ788">
        <f>IFERROR(INDEX(PP_Grid[#Data],$DD788,102),0)</f>
        <v/>
      </c>
      <c r="DA788">
        <f>IFERROR(INDEX(PP_Grid[#Data],$DD788,103),0)</f>
        <v/>
      </c>
      <c r="DB788">
        <f>IFERROR(INDEX(PP_Grid[#Data],$DD788,104),0)</f>
        <v/>
      </c>
      <c r="DC788">
        <f>IFERROR(INDEX(PP_Grid[#Data],$DD788,105),0)</f>
        <v/>
      </c>
      <c r="DD788" s="7">
        <f>IFERROR(MATCH($B788,PP_Grid[Intermediate],0),99999)</f>
        <v/>
      </c>
    </row>
    <row r="789">
      <c r="B789" t="inlineStr">
        <is>
          <t>使用量(kg)</t>
        </is>
      </c>
      <c r="C789">
        <f>SUMIFS(M_BOM[RM_Qty_Per_Batch],M_BOM[Intermediate],$B788,M_BOM[Part Name],$A759)</f>
        <v/>
      </c>
      <c r="D789">
        <f>$C789*D788</f>
        <v/>
      </c>
      <c r="E789">
        <f>$C789*E788</f>
        <v/>
      </c>
      <c r="F789">
        <f>$C789*F788</f>
        <v/>
      </c>
      <c r="G789">
        <f>$C789*G788</f>
        <v/>
      </c>
      <c r="H789">
        <f>$C789*H788</f>
        <v/>
      </c>
      <c r="I789">
        <f>$C789*I788</f>
        <v/>
      </c>
      <c r="J789">
        <f>$C789*J788</f>
        <v/>
      </c>
      <c r="K789">
        <f>$C789*K788</f>
        <v/>
      </c>
      <c r="L789">
        <f>$C789*L788</f>
        <v/>
      </c>
      <c r="M789">
        <f>$C789*M788</f>
        <v/>
      </c>
      <c r="N789">
        <f>$C789*N788</f>
        <v/>
      </c>
      <c r="O789">
        <f>$C789*O788</f>
        <v/>
      </c>
      <c r="P789">
        <f>$C789*P788</f>
        <v/>
      </c>
      <c r="Q789">
        <f>$C789*Q788</f>
        <v/>
      </c>
      <c r="R789">
        <f>$C789*R788</f>
        <v/>
      </c>
      <c r="S789">
        <f>$C789*S788</f>
        <v/>
      </c>
      <c r="T789">
        <f>$C789*T788</f>
        <v/>
      </c>
      <c r="U789">
        <f>$C789*U788</f>
        <v/>
      </c>
      <c r="V789">
        <f>$C789*V788</f>
        <v/>
      </c>
      <c r="W789">
        <f>$C789*W788</f>
        <v/>
      </c>
      <c r="X789">
        <f>$C789*X788</f>
        <v/>
      </c>
      <c r="Y789">
        <f>$C789*Y788</f>
        <v/>
      </c>
      <c r="Z789">
        <f>$C789*Z788</f>
        <v/>
      </c>
      <c r="AA789">
        <f>$C789*AA788</f>
        <v/>
      </c>
      <c r="AB789">
        <f>$C789*AB788</f>
        <v/>
      </c>
      <c r="AC789">
        <f>$C789*AC788</f>
        <v/>
      </c>
      <c r="AD789">
        <f>$C789*AD788</f>
        <v/>
      </c>
      <c r="AE789">
        <f>$C789*AE788</f>
        <v/>
      </c>
      <c r="AF789">
        <f>$C789*AF788</f>
        <v/>
      </c>
      <c r="AG789">
        <f>$C789*AG788</f>
        <v/>
      </c>
      <c r="AH789">
        <f>$C789*AH788</f>
        <v/>
      </c>
      <c r="AI789">
        <f>$C789*AI788</f>
        <v/>
      </c>
      <c r="AJ789">
        <f>$C789*AJ788</f>
        <v/>
      </c>
      <c r="AK789">
        <f>$C789*AK788</f>
        <v/>
      </c>
      <c r="AL789">
        <f>$C789*AL788</f>
        <v/>
      </c>
      <c r="AM789">
        <f>$C789*AM788</f>
        <v/>
      </c>
      <c r="AN789">
        <f>$C789*AN788</f>
        <v/>
      </c>
      <c r="AO789">
        <f>$C789*AO788</f>
        <v/>
      </c>
      <c r="AP789">
        <f>$C789*AP788</f>
        <v/>
      </c>
      <c r="AQ789">
        <f>$C789*AQ788</f>
        <v/>
      </c>
      <c r="AR789">
        <f>$C789*AR788</f>
        <v/>
      </c>
      <c r="AS789">
        <f>$C789*AS788</f>
        <v/>
      </c>
      <c r="AT789">
        <f>$C789*AT788</f>
        <v/>
      </c>
      <c r="AU789">
        <f>$C789*AU788</f>
        <v/>
      </c>
      <c r="AV789">
        <f>$C789*AV788</f>
        <v/>
      </c>
      <c r="AW789">
        <f>$C789*AW788</f>
        <v/>
      </c>
      <c r="AX789">
        <f>$C789*AX788</f>
        <v/>
      </c>
      <c r="AY789">
        <f>$C789*AY788</f>
        <v/>
      </c>
      <c r="AZ789">
        <f>$C789*AZ788</f>
        <v/>
      </c>
      <c r="BA789">
        <f>$C789*BA788</f>
        <v/>
      </c>
      <c r="BB789">
        <f>$C789*BB788</f>
        <v/>
      </c>
      <c r="BC789">
        <f>$C789*BC788</f>
        <v/>
      </c>
      <c r="BD789">
        <f>$C789*BD788</f>
        <v/>
      </c>
      <c r="BE789">
        <f>$C789*BE788</f>
        <v/>
      </c>
      <c r="BF789">
        <f>$C789*BF788</f>
        <v/>
      </c>
      <c r="BG789">
        <f>$C789*BG788</f>
        <v/>
      </c>
      <c r="BH789">
        <f>$C789*BH788</f>
        <v/>
      </c>
      <c r="BI789">
        <f>$C789*BI788</f>
        <v/>
      </c>
      <c r="BJ789">
        <f>$C789*BJ788</f>
        <v/>
      </c>
      <c r="BK789">
        <f>$C789*BK788</f>
        <v/>
      </c>
      <c r="BL789">
        <f>$C789*BL788</f>
        <v/>
      </c>
      <c r="BM789">
        <f>$C789*BM788</f>
        <v/>
      </c>
      <c r="BN789">
        <f>$C789*BN788</f>
        <v/>
      </c>
      <c r="BO789">
        <f>$C789*BO788</f>
        <v/>
      </c>
      <c r="BP789">
        <f>$C789*BP788</f>
        <v/>
      </c>
      <c r="BQ789">
        <f>$C789*BQ788</f>
        <v/>
      </c>
      <c r="BR789">
        <f>$C789*BR788</f>
        <v/>
      </c>
      <c r="BS789">
        <f>$C789*BS788</f>
        <v/>
      </c>
      <c r="BT789">
        <f>$C789*BT788</f>
        <v/>
      </c>
      <c r="BU789">
        <f>$C789*BU788</f>
        <v/>
      </c>
      <c r="BV789">
        <f>$C789*BV788</f>
        <v/>
      </c>
      <c r="BW789">
        <f>$C789*BW788</f>
        <v/>
      </c>
      <c r="BX789">
        <f>$C789*BX788</f>
        <v/>
      </c>
      <c r="BY789">
        <f>$C789*BY788</f>
        <v/>
      </c>
      <c r="BZ789">
        <f>$C789*BZ788</f>
        <v/>
      </c>
      <c r="CA789">
        <f>$C789*CA788</f>
        <v/>
      </c>
      <c r="CB789">
        <f>$C789*CB788</f>
        <v/>
      </c>
      <c r="CC789">
        <f>$C789*CC788</f>
        <v/>
      </c>
      <c r="CD789">
        <f>$C789*CD788</f>
        <v/>
      </c>
      <c r="CE789">
        <f>$C789*CE788</f>
        <v/>
      </c>
      <c r="CF789">
        <f>$C789*CF788</f>
        <v/>
      </c>
      <c r="CG789">
        <f>$C789*CG788</f>
        <v/>
      </c>
      <c r="CH789">
        <f>$C789*CH788</f>
        <v/>
      </c>
      <c r="CI789">
        <f>$C789*CI788</f>
        <v/>
      </c>
      <c r="CJ789">
        <f>$C789*CJ788</f>
        <v/>
      </c>
      <c r="CK789">
        <f>$C789*CK788</f>
        <v/>
      </c>
      <c r="CL789">
        <f>$C789*CL788</f>
        <v/>
      </c>
      <c r="CM789">
        <f>$C789*CM788</f>
        <v/>
      </c>
      <c r="CN789">
        <f>$C789*CN788</f>
        <v/>
      </c>
      <c r="CO789">
        <f>$C789*CO788</f>
        <v/>
      </c>
      <c r="CP789">
        <f>$C789*CP788</f>
        <v/>
      </c>
      <c r="CQ789">
        <f>$C789*CQ788</f>
        <v/>
      </c>
      <c r="CR789">
        <f>$C789*CR788</f>
        <v/>
      </c>
      <c r="CS789">
        <f>$C789*CS788</f>
        <v/>
      </c>
      <c r="CT789">
        <f>$C789*CT788</f>
        <v/>
      </c>
      <c r="CU789">
        <f>$C789*CU788</f>
        <v/>
      </c>
      <c r="CV789">
        <f>$C789*CV788</f>
        <v/>
      </c>
      <c r="CW789">
        <f>$C789*CW788</f>
        <v/>
      </c>
      <c r="CX789">
        <f>$C789*CX788</f>
        <v/>
      </c>
      <c r="CY789">
        <f>$C789*CY788</f>
        <v/>
      </c>
      <c r="CZ789">
        <f>$C789*CZ788</f>
        <v/>
      </c>
      <c r="DA789">
        <f>$C789*DA788</f>
        <v/>
      </c>
      <c r="DB789">
        <f>$C789*DB788</f>
        <v/>
      </c>
      <c r="DC789">
        <f>$C789*DC788</f>
        <v/>
      </c>
    </row>
    <row r="790">
      <c r="B790" t="inlineStr">
        <is>
          <t>VSP-567</t>
        </is>
      </c>
      <c r="C790" t="inlineStr">
        <is>
          <t>No. of batches</t>
        </is>
      </c>
      <c r="D790">
        <f>IFERROR(INDEX(PP_Grid[#Data],$DD790,2),0)</f>
        <v/>
      </c>
      <c r="E790">
        <f>IFERROR(INDEX(PP_Grid[#Data],$DD790,3),0)</f>
        <v/>
      </c>
      <c r="F790">
        <f>IFERROR(INDEX(PP_Grid[#Data],$DD790,4),0)</f>
        <v/>
      </c>
      <c r="G790">
        <f>IFERROR(INDEX(PP_Grid[#Data],$DD790,5),0)</f>
        <v/>
      </c>
      <c r="H790">
        <f>IFERROR(INDEX(PP_Grid[#Data],$DD790,6),0)</f>
        <v/>
      </c>
      <c r="I790">
        <f>IFERROR(INDEX(PP_Grid[#Data],$DD790,7),0)</f>
        <v/>
      </c>
      <c r="J790">
        <f>IFERROR(INDEX(PP_Grid[#Data],$DD790,8),0)</f>
        <v/>
      </c>
      <c r="K790">
        <f>IFERROR(INDEX(PP_Grid[#Data],$DD790,9),0)</f>
        <v/>
      </c>
      <c r="L790">
        <f>IFERROR(INDEX(PP_Grid[#Data],$DD790,10),0)</f>
        <v/>
      </c>
      <c r="M790">
        <f>IFERROR(INDEX(PP_Grid[#Data],$DD790,11),0)</f>
        <v/>
      </c>
      <c r="N790">
        <f>IFERROR(INDEX(PP_Grid[#Data],$DD790,12),0)</f>
        <v/>
      </c>
      <c r="O790">
        <f>IFERROR(INDEX(PP_Grid[#Data],$DD790,13),0)</f>
        <v/>
      </c>
      <c r="P790">
        <f>IFERROR(INDEX(PP_Grid[#Data],$DD790,14),0)</f>
        <v/>
      </c>
      <c r="Q790">
        <f>IFERROR(INDEX(PP_Grid[#Data],$DD790,15),0)</f>
        <v/>
      </c>
      <c r="R790">
        <f>IFERROR(INDEX(PP_Grid[#Data],$DD790,16),0)</f>
        <v/>
      </c>
      <c r="S790">
        <f>IFERROR(INDEX(PP_Grid[#Data],$DD790,17),0)</f>
        <v/>
      </c>
      <c r="T790">
        <f>IFERROR(INDEX(PP_Grid[#Data],$DD790,18),0)</f>
        <v/>
      </c>
      <c r="U790">
        <f>IFERROR(INDEX(PP_Grid[#Data],$DD790,19),0)</f>
        <v/>
      </c>
      <c r="V790">
        <f>IFERROR(INDEX(PP_Grid[#Data],$DD790,20),0)</f>
        <v/>
      </c>
      <c r="W790">
        <f>IFERROR(INDEX(PP_Grid[#Data],$DD790,21),0)</f>
        <v/>
      </c>
      <c r="X790">
        <f>IFERROR(INDEX(PP_Grid[#Data],$DD790,22),0)</f>
        <v/>
      </c>
      <c r="Y790">
        <f>IFERROR(INDEX(PP_Grid[#Data],$DD790,23),0)</f>
        <v/>
      </c>
      <c r="Z790">
        <f>IFERROR(INDEX(PP_Grid[#Data],$DD790,24),0)</f>
        <v/>
      </c>
      <c r="AA790">
        <f>IFERROR(INDEX(PP_Grid[#Data],$DD790,25),0)</f>
        <v/>
      </c>
      <c r="AB790">
        <f>IFERROR(INDEX(PP_Grid[#Data],$DD790,26),0)</f>
        <v/>
      </c>
      <c r="AC790">
        <f>IFERROR(INDEX(PP_Grid[#Data],$DD790,27),0)</f>
        <v/>
      </c>
      <c r="AD790">
        <f>IFERROR(INDEX(PP_Grid[#Data],$DD790,28),0)</f>
        <v/>
      </c>
      <c r="AE790">
        <f>IFERROR(INDEX(PP_Grid[#Data],$DD790,29),0)</f>
        <v/>
      </c>
      <c r="AF790">
        <f>IFERROR(INDEX(PP_Grid[#Data],$DD790,30),0)</f>
        <v/>
      </c>
      <c r="AG790">
        <f>IFERROR(INDEX(PP_Grid[#Data],$DD790,31),0)</f>
        <v/>
      </c>
      <c r="AH790">
        <f>IFERROR(INDEX(PP_Grid[#Data],$DD790,32),0)</f>
        <v/>
      </c>
      <c r="AI790">
        <f>IFERROR(INDEX(PP_Grid[#Data],$DD790,33),0)</f>
        <v/>
      </c>
      <c r="AJ790">
        <f>IFERROR(INDEX(PP_Grid[#Data],$DD790,34),0)</f>
        <v/>
      </c>
      <c r="AK790">
        <f>IFERROR(INDEX(PP_Grid[#Data],$DD790,35),0)</f>
        <v/>
      </c>
      <c r="AL790">
        <f>IFERROR(INDEX(PP_Grid[#Data],$DD790,36),0)</f>
        <v/>
      </c>
      <c r="AM790">
        <f>IFERROR(INDEX(PP_Grid[#Data],$DD790,37),0)</f>
        <v/>
      </c>
      <c r="AN790">
        <f>IFERROR(INDEX(PP_Grid[#Data],$DD790,38),0)</f>
        <v/>
      </c>
      <c r="AO790">
        <f>IFERROR(INDEX(PP_Grid[#Data],$DD790,39),0)</f>
        <v/>
      </c>
      <c r="AP790">
        <f>IFERROR(INDEX(PP_Grid[#Data],$DD790,40),0)</f>
        <v/>
      </c>
      <c r="AQ790">
        <f>IFERROR(INDEX(PP_Grid[#Data],$DD790,41),0)</f>
        <v/>
      </c>
      <c r="AR790">
        <f>IFERROR(INDEX(PP_Grid[#Data],$DD790,42),0)</f>
        <v/>
      </c>
      <c r="AS790">
        <f>IFERROR(INDEX(PP_Grid[#Data],$DD790,43),0)</f>
        <v/>
      </c>
      <c r="AT790">
        <f>IFERROR(INDEX(PP_Grid[#Data],$DD790,44),0)</f>
        <v/>
      </c>
      <c r="AU790">
        <f>IFERROR(INDEX(PP_Grid[#Data],$DD790,45),0)</f>
        <v/>
      </c>
      <c r="AV790">
        <f>IFERROR(INDEX(PP_Grid[#Data],$DD790,46),0)</f>
        <v/>
      </c>
      <c r="AW790">
        <f>IFERROR(INDEX(PP_Grid[#Data],$DD790,47),0)</f>
        <v/>
      </c>
      <c r="AX790">
        <f>IFERROR(INDEX(PP_Grid[#Data],$DD790,48),0)</f>
        <v/>
      </c>
      <c r="AY790">
        <f>IFERROR(INDEX(PP_Grid[#Data],$DD790,49),0)</f>
        <v/>
      </c>
      <c r="AZ790">
        <f>IFERROR(INDEX(PP_Grid[#Data],$DD790,50),0)</f>
        <v/>
      </c>
      <c r="BA790">
        <f>IFERROR(INDEX(PP_Grid[#Data],$DD790,51),0)</f>
        <v/>
      </c>
      <c r="BB790">
        <f>IFERROR(INDEX(PP_Grid[#Data],$DD790,52),0)</f>
        <v/>
      </c>
      <c r="BC790">
        <f>IFERROR(INDEX(PP_Grid[#Data],$DD790,53),0)</f>
        <v/>
      </c>
      <c r="BD790">
        <f>IFERROR(INDEX(PP_Grid[#Data],$DD790,54),0)</f>
        <v/>
      </c>
      <c r="BE790">
        <f>IFERROR(INDEX(PP_Grid[#Data],$DD790,55),0)</f>
        <v/>
      </c>
      <c r="BF790">
        <f>IFERROR(INDEX(PP_Grid[#Data],$DD790,56),0)</f>
        <v/>
      </c>
      <c r="BG790">
        <f>IFERROR(INDEX(PP_Grid[#Data],$DD790,57),0)</f>
        <v/>
      </c>
      <c r="BH790">
        <f>IFERROR(INDEX(PP_Grid[#Data],$DD790,58),0)</f>
        <v/>
      </c>
      <c r="BI790">
        <f>IFERROR(INDEX(PP_Grid[#Data],$DD790,59),0)</f>
        <v/>
      </c>
      <c r="BJ790">
        <f>IFERROR(INDEX(PP_Grid[#Data],$DD790,60),0)</f>
        <v/>
      </c>
      <c r="BK790">
        <f>IFERROR(INDEX(PP_Grid[#Data],$DD790,61),0)</f>
        <v/>
      </c>
      <c r="BL790">
        <f>IFERROR(INDEX(PP_Grid[#Data],$DD790,62),0)</f>
        <v/>
      </c>
      <c r="BM790">
        <f>IFERROR(INDEX(PP_Grid[#Data],$DD790,63),0)</f>
        <v/>
      </c>
      <c r="BN790">
        <f>IFERROR(INDEX(PP_Grid[#Data],$DD790,64),0)</f>
        <v/>
      </c>
      <c r="BO790">
        <f>IFERROR(INDEX(PP_Grid[#Data],$DD790,65),0)</f>
        <v/>
      </c>
      <c r="BP790">
        <f>IFERROR(INDEX(PP_Grid[#Data],$DD790,66),0)</f>
        <v/>
      </c>
      <c r="BQ790">
        <f>IFERROR(INDEX(PP_Grid[#Data],$DD790,67),0)</f>
        <v/>
      </c>
      <c r="BR790">
        <f>IFERROR(INDEX(PP_Grid[#Data],$DD790,68),0)</f>
        <v/>
      </c>
      <c r="BS790">
        <f>IFERROR(INDEX(PP_Grid[#Data],$DD790,69),0)</f>
        <v/>
      </c>
      <c r="BT790">
        <f>IFERROR(INDEX(PP_Grid[#Data],$DD790,70),0)</f>
        <v/>
      </c>
      <c r="BU790">
        <f>IFERROR(INDEX(PP_Grid[#Data],$DD790,71),0)</f>
        <v/>
      </c>
      <c r="BV790">
        <f>IFERROR(INDEX(PP_Grid[#Data],$DD790,72),0)</f>
        <v/>
      </c>
      <c r="BW790">
        <f>IFERROR(INDEX(PP_Grid[#Data],$DD790,73),0)</f>
        <v/>
      </c>
      <c r="BX790">
        <f>IFERROR(INDEX(PP_Grid[#Data],$DD790,74),0)</f>
        <v/>
      </c>
      <c r="BY790">
        <f>IFERROR(INDEX(PP_Grid[#Data],$DD790,75),0)</f>
        <v/>
      </c>
      <c r="BZ790">
        <f>IFERROR(INDEX(PP_Grid[#Data],$DD790,76),0)</f>
        <v/>
      </c>
      <c r="CA790">
        <f>IFERROR(INDEX(PP_Grid[#Data],$DD790,77),0)</f>
        <v/>
      </c>
      <c r="CB790">
        <f>IFERROR(INDEX(PP_Grid[#Data],$DD790,78),0)</f>
        <v/>
      </c>
      <c r="CC790">
        <f>IFERROR(INDEX(PP_Grid[#Data],$DD790,79),0)</f>
        <v/>
      </c>
      <c r="CD790">
        <f>IFERROR(INDEX(PP_Grid[#Data],$DD790,80),0)</f>
        <v/>
      </c>
      <c r="CE790">
        <f>IFERROR(INDEX(PP_Grid[#Data],$DD790,81),0)</f>
        <v/>
      </c>
      <c r="CF790">
        <f>IFERROR(INDEX(PP_Grid[#Data],$DD790,82),0)</f>
        <v/>
      </c>
      <c r="CG790">
        <f>IFERROR(INDEX(PP_Grid[#Data],$DD790,83),0)</f>
        <v/>
      </c>
      <c r="CH790">
        <f>IFERROR(INDEX(PP_Grid[#Data],$DD790,84),0)</f>
        <v/>
      </c>
      <c r="CI790">
        <f>IFERROR(INDEX(PP_Grid[#Data],$DD790,85),0)</f>
        <v/>
      </c>
      <c r="CJ790">
        <f>IFERROR(INDEX(PP_Grid[#Data],$DD790,86),0)</f>
        <v/>
      </c>
      <c r="CK790">
        <f>IFERROR(INDEX(PP_Grid[#Data],$DD790,87),0)</f>
        <v/>
      </c>
      <c r="CL790">
        <f>IFERROR(INDEX(PP_Grid[#Data],$DD790,88),0)</f>
        <v/>
      </c>
      <c r="CM790">
        <f>IFERROR(INDEX(PP_Grid[#Data],$DD790,89),0)</f>
        <v/>
      </c>
      <c r="CN790">
        <f>IFERROR(INDEX(PP_Grid[#Data],$DD790,90),0)</f>
        <v/>
      </c>
      <c r="CO790">
        <f>IFERROR(INDEX(PP_Grid[#Data],$DD790,91),0)</f>
        <v/>
      </c>
      <c r="CP790">
        <f>IFERROR(INDEX(PP_Grid[#Data],$DD790,92),0)</f>
        <v/>
      </c>
      <c r="CQ790">
        <f>IFERROR(INDEX(PP_Grid[#Data],$DD790,93),0)</f>
        <v/>
      </c>
      <c r="CR790">
        <f>IFERROR(INDEX(PP_Grid[#Data],$DD790,94),0)</f>
        <v/>
      </c>
      <c r="CS790">
        <f>IFERROR(INDEX(PP_Grid[#Data],$DD790,95),0)</f>
        <v/>
      </c>
      <c r="CT790">
        <f>IFERROR(INDEX(PP_Grid[#Data],$DD790,96),0)</f>
        <v/>
      </c>
      <c r="CU790">
        <f>IFERROR(INDEX(PP_Grid[#Data],$DD790,97),0)</f>
        <v/>
      </c>
      <c r="CV790">
        <f>IFERROR(INDEX(PP_Grid[#Data],$DD790,98),0)</f>
        <v/>
      </c>
      <c r="CW790">
        <f>IFERROR(INDEX(PP_Grid[#Data],$DD790,99),0)</f>
        <v/>
      </c>
      <c r="CX790">
        <f>IFERROR(INDEX(PP_Grid[#Data],$DD790,100),0)</f>
        <v/>
      </c>
      <c r="CY790">
        <f>IFERROR(INDEX(PP_Grid[#Data],$DD790,101),0)</f>
        <v/>
      </c>
      <c r="CZ790">
        <f>IFERROR(INDEX(PP_Grid[#Data],$DD790,102),0)</f>
        <v/>
      </c>
      <c r="DA790">
        <f>IFERROR(INDEX(PP_Grid[#Data],$DD790,103),0)</f>
        <v/>
      </c>
      <c r="DB790">
        <f>IFERROR(INDEX(PP_Grid[#Data],$DD790,104),0)</f>
        <v/>
      </c>
      <c r="DC790">
        <f>IFERROR(INDEX(PP_Grid[#Data],$DD790,105),0)</f>
        <v/>
      </c>
      <c r="DD790" s="7">
        <f>IFERROR(MATCH($B790,PP_Grid[Intermediate],0),99999)</f>
        <v/>
      </c>
    </row>
    <row r="791">
      <c r="B791" t="inlineStr">
        <is>
          <t>使用量(kg)</t>
        </is>
      </c>
      <c r="C791">
        <f>SUMIFS(M_BOM[RM_Qty_Per_Batch],M_BOM[Intermediate],$B790,M_BOM[Part Name],$A759)</f>
        <v/>
      </c>
      <c r="D791">
        <f>$C791*D790</f>
        <v/>
      </c>
      <c r="E791">
        <f>$C791*E790</f>
        <v/>
      </c>
      <c r="F791">
        <f>$C791*F790</f>
        <v/>
      </c>
      <c r="G791">
        <f>$C791*G790</f>
        <v/>
      </c>
      <c r="H791">
        <f>$C791*H790</f>
        <v/>
      </c>
      <c r="I791">
        <f>$C791*I790</f>
        <v/>
      </c>
      <c r="J791">
        <f>$C791*J790</f>
        <v/>
      </c>
      <c r="K791">
        <f>$C791*K790</f>
        <v/>
      </c>
      <c r="L791">
        <f>$C791*L790</f>
        <v/>
      </c>
      <c r="M791">
        <f>$C791*M790</f>
        <v/>
      </c>
      <c r="N791">
        <f>$C791*N790</f>
        <v/>
      </c>
      <c r="O791">
        <f>$C791*O790</f>
        <v/>
      </c>
      <c r="P791">
        <f>$C791*P790</f>
        <v/>
      </c>
      <c r="Q791">
        <f>$C791*Q790</f>
        <v/>
      </c>
      <c r="R791">
        <f>$C791*R790</f>
        <v/>
      </c>
      <c r="S791">
        <f>$C791*S790</f>
        <v/>
      </c>
      <c r="T791">
        <f>$C791*T790</f>
        <v/>
      </c>
      <c r="U791">
        <f>$C791*U790</f>
        <v/>
      </c>
      <c r="V791">
        <f>$C791*V790</f>
        <v/>
      </c>
      <c r="W791">
        <f>$C791*W790</f>
        <v/>
      </c>
      <c r="X791">
        <f>$C791*X790</f>
        <v/>
      </c>
      <c r="Y791">
        <f>$C791*Y790</f>
        <v/>
      </c>
      <c r="Z791">
        <f>$C791*Z790</f>
        <v/>
      </c>
      <c r="AA791">
        <f>$C791*AA790</f>
        <v/>
      </c>
      <c r="AB791">
        <f>$C791*AB790</f>
        <v/>
      </c>
      <c r="AC791">
        <f>$C791*AC790</f>
        <v/>
      </c>
      <c r="AD791">
        <f>$C791*AD790</f>
        <v/>
      </c>
      <c r="AE791">
        <f>$C791*AE790</f>
        <v/>
      </c>
      <c r="AF791">
        <f>$C791*AF790</f>
        <v/>
      </c>
      <c r="AG791">
        <f>$C791*AG790</f>
        <v/>
      </c>
      <c r="AH791">
        <f>$C791*AH790</f>
        <v/>
      </c>
      <c r="AI791">
        <f>$C791*AI790</f>
        <v/>
      </c>
      <c r="AJ791">
        <f>$C791*AJ790</f>
        <v/>
      </c>
      <c r="AK791">
        <f>$C791*AK790</f>
        <v/>
      </c>
      <c r="AL791">
        <f>$C791*AL790</f>
        <v/>
      </c>
      <c r="AM791">
        <f>$C791*AM790</f>
        <v/>
      </c>
      <c r="AN791">
        <f>$C791*AN790</f>
        <v/>
      </c>
      <c r="AO791">
        <f>$C791*AO790</f>
        <v/>
      </c>
      <c r="AP791">
        <f>$C791*AP790</f>
        <v/>
      </c>
      <c r="AQ791">
        <f>$C791*AQ790</f>
        <v/>
      </c>
      <c r="AR791">
        <f>$C791*AR790</f>
        <v/>
      </c>
      <c r="AS791">
        <f>$C791*AS790</f>
        <v/>
      </c>
      <c r="AT791">
        <f>$C791*AT790</f>
        <v/>
      </c>
      <c r="AU791">
        <f>$C791*AU790</f>
        <v/>
      </c>
      <c r="AV791">
        <f>$C791*AV790</f>
        <v/>
      </c>
      <c r="AW791">
        <f>$C791*AW790</f>
        <v/>
      </c>
      <c r="AX791">
        <f>$C791*AX790</f>
        <v/>
      </c>
      <c r="AY791">
        <f>$C791*AY790</f>
        <v/>
      </c>
      <c r="AZ791">
        <f>$C791*AZ790</f>
        <v/>
      </c>
      <c r="BA791">
        <f>$C791*BA790</f>
        <v/>
      </c>
      <c r="BB791">
        <f>$C791*BB790</f>
        <v/>
      </c>
      <c r="BC791">
        <f>$C791*BC790</f>
        <v/>
      </c>
      <c r="BD791">
        <f>$C791*BD790</f>
        <v/>
      </c>
      <c r="BE791">
        <f>$C791*BE790</f>
        <v/>
      </c>
      <c r="BF791">
        <f>$C791*BF790</f>
        <v/>
      </c>
      <c r="BG791">
        <f>$C791*BG790</f>
        <v/>
      </c>
      <c r="BH791">
        <f>$C791*BH790</f>
        <v/>
      </c>
      <c r="BI791">
        <f>$C791*BI790</f>
        <v/>
      </c>
      <c r="BJ791">
        <f>$C791*BJ790</f>
        <v/>
      </c>
      <c r="BK791">
        <f>$C791*BK790</f>
        <v/>
      </c>
      <c r="BL791">
        <f>$C791*BL790</f>
        <v/>
      </c>
      <c r="BM791">
        <f>$C791*BM790</f>
        <v/>
      </c>
      <c r="BN791">
        <f>$C791*BN790</f>
        <v/>
      </c>
      <c r="BO791">
        <f>$C791*BO790</f>
        <v/>
      </c>
      <c r="BP791">
        <f>$C791*BP790</f>
        <v/>
      </c>
      <c r="BQ791">
        <f>$C791*BQ790</f>
        <v/>
      </c>
      <c r="BR791">
        <f>$C791*BR790</f>
        <v/>
      </c>
      <c r="BS791">
        <f>$C791*BS790</f>
        <v/>
      </c>
      <c r="BT791">
        <f>$C791*BT790</f>
        <v/>
      </c>
      <c r="BU791">
        <f>$C791*BU790</f>
        <v/>
      </c>
      <c r="BV791">
        <f>$C791*BV790</f>
        <v/>
      </c>
      <c r="BW791">
        <f>$C791*BW790</f>
        <v/>
      </c>
      <c r="BX791">
        <f>$C791*BX790</f>
        <v/>
      </c>
      <c r="BY791">
        <f>$C791*BY790</f>
        <v/>
      </c>
      <c r="BZ791">
        <f>$C791*BZ790</f>
        <v/>
      </c>
      <c r="CA791">
        <f>$C791*CA790</f>
        <v/>
      </c>
      <c r="CB791">
        <f>$C791*CB790</f>
        <v/>
      </c>
      <c r="CC791">
        <f>$C791*CC790</f>
        <v/>
      </c>
      <c r="CD791">
        <f>$C791*CD790</f>
        <v/>
      </c>
      <c r="CE791">
        <f>$C791*CE790</f>
        <v/>
      </c>
      <c r="CF791">
        <f>$C791*CF790</f>
        <v/>
      </c>
      <c r="CG791">
        <f>$C791*CG790</f>
        <v/>
      </c>
      <c r="CH791">
        <f>$C791*CH790</f>
        <v/>
      </c>
      <c r="CI791">
        <f>$C791*CI790</f>
        <v/>
      </c>
      <c r="CJ791">
        <f>$C791*CJ790</f>
        <v/>
      </c>
      <c r="CK791">
        <f>$C791*CK790</f>
        <v/>
      </c>
      <c r="CL791">
        <f>$C791*CL790</f>
        <v/>
      </c>
      <c r="CM791">
        <f>$C791*CM790</f>
        <v/>
      </c>
      <c r="CN791">
        <f>$C791*CN790</f>
        <v/>
      </c>
      <c r="CO791">
        <f>$C791*CO790</f>
        <v/>
      </c>
      <c r="CP791">
        <f>$C791*CP790</f>
        <v/>
      </c>
      <c r="CQ791">
        <f>$C791*CQ790</f>
        <v/>
      </c>
      <c r="CR791">
        <f>$C791*CR790</f>
        <v/>
      </c>
      <c r="CS791">
        <f>$C791*CS790</f>
        <v/>
      </c>
      <c r="CT791">
        <f>$C791*CT790</f>
        <v/>
      </c>
      <c r="CU791">
        <f>$C791*CU790</f>
        <v/>
      </c>
      <c r="CV791">
        <f>$C791*CV790</f>
        <v/>
      </c>
      <c r="CW791">
        <f>$C791*CW790</f>
        <v/>
      </c>
      <c r="CX791">
        <f>$C791*CX790</f>
        <v/>
      </c>
      <c r="CY791">
        <f>$C791*CY790</f>
        <v/>
      </c>
      <c r="CZ791">
        <f>$C791*CZ790</f>
        <v/>
      </c>
      <c r="DA791">
        <f>$C791*DA790</f>
        <v/>
      </c>
      <c r="DB791">
        <f>$C791*DB790</f>
        <v/>
      </c>
      <c r="DC791">
        <f>$C791*DC790</f>
        <v/>
      </c>
    </row>
    <row r="792">
      <c r="B792" t="inlineStr">
        <is>
          <t>VSP-602</t>
        </is>
      </c>
      <c r="C792" t="inlineStr">
        <is>
          <t>No. of batches</t>
        </is>
      </c>
      <c r="D792">
        <f>IFERROR(INDEX(PP_Grid[#Data],$DD792,2),0)</f>
        <v/>
      </c>
      <c r="E792">
        <f>IFERROR(INDEX(PP_Grid[#Data],$DD792,3),0)</f>
        <v/>
      </c>
      <c r="F792">
        <f>IFERROR(INDEX(PP_Grid[#Data],$DD792,4),0)</f>
        <v/>
      </c>
      <c r="G792">
        <f>IFERROR(INDEX(PP_Grid[#Data],$DD792,5),0)</f>
        <v/>
      </c>
      <c r="H792">
        <f>IFERROR(INDEX(PP_Grid[#Data],$DD792,6),0)</f>
        <v/>
      </c>
      <c r="I792">
        <f>IFERROR(INDEX(PP_Grid[#Data],$DD792,7),0)</f>
        <v/>
      </c>
      <c r="J792">
        <f>IFERROR(INDEX(PP_Grid[#Data],$DD792,8),0)</f>
        <v/>
      </c>
      <c r="K792">
        <f>IFERROR(INDEX(PP_Grid[#Data],$DD792,9),0)</f>
        <v/>
      </c>
      <c r="L792">
        <f>IFERROR(INDEX(PP_Grid[#Data],$DD792,10),0)</f>
        <v/>
      </c>
      <c r="M792">
        <f>IFERROR(INDEX(PP_Grid[#Data],$DD792,11),0)</f>
        <v/>
      </c>
      <c r="N792">
        <f>IFERROR(INDEX(PP_Grid[#Data],$DD792,12),0)</f>
        <v/>
      </c>
      <c r="O792">
        <f>IFERROR(INDEX(PP_Grid[#Data],$DD792,13),0)</f>
        <v/>
      </c>
      <c r="P792">
        <f>IFERROR(INDEX(PP_Grid[#Data],$DD792,14),0)</f>
        <v/>
      </c>
      <c r="Q792">
        <f>IFERROR(INDEX(PP_Grid[#Data],$DD792,15),0)</f>
        <v/>
      </c>
      <c r="R792">
        <f>IFERROR(INDEX(PP_Grid[#Data],$DD792,16),0)</f>
        <v/>
      </c>
      <c r="S792">
        <f>IFERROR(INDEX(PP_Grid[#Data],$DD792,17),0)</f>
        <v/>
      </c>
      <c r="T792">
        <f>IFERROR(INDEX(PP_Grid[#Data],$DD792,18),0)</f>
        <v/>
      </c>
      <c r="U792">
        <f>IFERROR(INDEX(PP_Grid[#Data],$DD792,19),0)</f>
        <v/>
      </c>
      <c r="V792">
        <f>IFERROR(INDEX(PP_Grid[#Data],$DD792,20),0)</f>
        <v/>
      </c>
      <c r="W792">
        <f>IFERROR(INDEX(PP_Grid[#Data],$DD792,21),0)</f>
        <v/>
      </c>
      <c r="X792">
        <f>IFERROR(INDEX(PP_Grid[#Data],$DD792,22),0)</f>
        <v/>
      </c>
      <c r="Y792">
        <f>IFERROR(INDEX(PP_Grid[#Data],$DD792,23),0)</f>
        <v/>
      </c>
      <c r="Z792">
        <f>IFERROR(INDEX(PP_Grid[#Data],$DD792,24),0)</f>
        <v/>
      </c>
      <c r="AA792">
        <f>IFERROR(INDEX(PP_Grid[#Data],$DD792,25),0)</f>
        <v/>
      </c>
      <c r="AB792">
        <f>IFERROR(INDEX(PP_Grid[#Data],$DD792,26),0)</f>
        <v/>
      </c>
      <c r="AC792">
        <f>IFERROR(INDEX(PP_Grid[#Data],$DD792,27),0)</f>
        <v/>
      </c>
      <c r="AD792">
        <f>IFERROR(INDEX(PP_Grid[#Data],$DD792,28),0)</f>
        <v/>
      </c>
      <c r="AE792">
        <f>IFERROR(INDEX(PP_Grid[#Data],$DD792,29),0)</f>
        <v/>
      </c>
      <c r="AF792">
        <f>IFERROR(INDEX(PP_Grid[#Data],$DD792,30),0)</f>
        <v/>
      </c>
      <c r="AG792">
        <f>IFERROR(INDEX(PP_Grid[#Data],$DD792,31),0)</f>
        <v/>
      </c>
      <c r="AH792">
        <f>IFERROR(INDEX(PP_Grid[#Data],$DD792,32),0)</f>
        <v/>
      </c>
      <c r="AI792">
        <f>IFERROR(INDEX(PP_Grid[#Data],$DD792,33),0)</f>
        <v/>
      </c>
      <c r="AJ792">
        <f>IFERROR(INDEX(PP_Grid[#Data],$DD792,34),0)</f>
        <v/>
      </c>
      <c r="AK792">
        <f>IFERROR(INDEX(PP_Grid[#Data],$DD792,35),0)</f>
        <v/>
      </c>
      <c r="AL792">
        <f>IFERROR(INDEX(PP_Grid[#Data],$DD792,36),0)</f>
        <v/>
      </c>
      <c r="AM792">
        <f>IFERROR(INDEX(PP_Grid[#Data],$DD792,37),0)</f>
        <v/>
      </c>
      <c r="AN792">
        <f>IFERROR(INDEX(PP_Grid[#Data],$DD792,38),0)</f>
        <v/>
      </c>
      <c r="AO792">
        <f>IFERROR(INDEX(PP_Grid[#Data],$DD792,39),0)</f>
        <v/>
      </c>
      <c r="AP792">
        <f>IFERROR(INDEX(PP_Grid[#Data],$DD792,40),0)</f>
        <v/>
      </c>
      <c r="AQ792">
        <f>IFERROR(INDEX(PP_Grid[#Data],$DD792,41),0)</f>
        <v/>
      </c>
      <c r="AR792">
        <f>IFERROR(INDEX(PP_Grid[#Data],$DD792,42),0)</f>
        <v/>
      </c>
      <c r="AS792">
        <f>IFERROR(INDEX(PP_Grid[#Data],$DD792,43),0)</f>
        <v/>
      </c>
      <c r="AT792">
        <f>IFERROR(INDEX(PP_Grid[#Data],$DD792,44),0)</f>
        <v/>
      </c>
      <c r="AU792">
        <f>IFERROR(INDEX(PP_Grid[#Data],$DD792,45),0)</f>
        <v/>
      </c>
      <c r="AV792">
        <f>IFERROR(INDEX(PP_Grid[#Data],$DD792,46),0)</f>
        <v/>
      </c>
      <c r="AW792">
        <f>IFERROR(INDEX(PP_Grid[#Data],$DD792,47),0)</f>
        <v/>
      </c>
      <c r="AX792">
        <f>IFERROR(INDEX(PP_Grid[#Data],$DD792,48),0)</f>
        <v/>
      </c>
      <c r="AY792">
        <f>IFERROR(INDEX(PP_Grid[#Data],$DD792,49),0)</f>
        <v/>
      </c>
      <c r="AZ792">
        <f>IFERROR(INDEX(PP_Grid[#Data],$DD792,50),0)</f>
        <v/>
      </c>
      <c r="BA792">
        <f>IFERROR(INDEX(PP_Grid[#Data],$DD792,51),0)</f>
        <v/>
      </c>
      <c r="BB792">
        <f>IFERROR(INDEX(PP_Grid[#Data],$DD792,52),0)</f>
        <v/>
      </c>
      <c r="BC792">
        <f>IFERROR(INDEX(PP_Grid[#Data],$DD792,53),0)</f>
        <v/>
      </c>
      <c r="BD792">
        <f>IFERROR(INDEX(PP_Grid[#Data],$DD792,54),0)</f>
        <v/>
      </c>
      <c r="BE792">
        <f>IFERROR(INDEX(PP_Grid[#Data],$DD792,55),0)</f>
        <v/>
      </c>
      <c r="BF792">
        <f>IFERROR(INDEX(PP_Grid[#Data],$DD792,56),0)</f>
        <v/>
      </c>
      <c r="BG792">
        <f>IFERROR(INDEX(PP_Grid[#Data],$DD792,57),0)</f>
        <v/>
      </c>
      <c r="BH792">
        <f>IFERROR(INDEX(PP_Grid[#Data],$DD792,58),0)</f>
        <v/>
      </c>
      <c r="BI792">
        <f>IFERROR(INDEX(PP_Grid[#Data],$DD792,59),0)</f>
        <v/>
      </c>
      <c r="BJ792">
        <f>IFERROR(INDEX(PP_Grid[#Data],$DD792,60),0)</f>
        <v/>
      </c>
      <c r="BK792">
        <f>IFERROR(INDEX(PP_Grid[#Data],$DD792,61),0)</f>
        <v/>
      </c>
      <c r="BL792">
        <f>IFERROR(INDEX(PP_Grid[#Data],$DD792,62),0)</f>
        <v/>
      </c>
      <c r="BM792">
        <f>IFERROR(INDEX(PP_Grid[#Data],$DD792,63),0)</f>
        <v/>
      </c>
      <c r="BN792">
        <f>IFERROR(INDEX(PP_Grid[#Data],$DD792,64),0)</f>
        <v/>
      </c>
      <c r="BO792">
        <f>IFERROR(INDEX(PP_Grid[#Data],$DD792,65),0)</f>
        <v/>
      </c>
      <c r="BP792">
        <f>IFERROR(INDEX(PP_Grid[#Data],$DD792,66),0)</f>
        <v/>
      </c>
      <c r="BQ792">
        <f>IFERROR(INDEX(PP_Grid[#Data],$DD792,67),0)</f>
        <v/>
      </c>
      <c r="BR792">
        <f>IFERROR(INDEX(PP_Grid[#Data],$DD792,68),0)</f>
        <v/>
      </c>
      <c r="BS792">
        <f>IFERROR(INDEX(PP_Grid[#Data],$DD792,69),0)</f>
        <v/>
      </c>
      <c r="BT792">
        <f>IFERROR(INDEX(PP_Grid[#Data],$DD792,70),0)</f>
        <v/>
      </c>
      <c r="BU792">
        <f>IFERROR(INDEX(PP_Grid[#Data],$DD792,71),0)</f>
        <v/>
      </c>
      <c r="BV792">
        <f>IFERROR(INDEX(PP_Grid[#Data],$DD792,72),0)</f>
        <v/>
      </c>
      <c r="BW792">
        <f>IFERROR(INDEX(PP_Grid[#Data],$DD792,73),0)</f>
        <v/>
      </c>
      <c r="BX792">
        <f>IFERROR(INDEX(PP_Grid[#Data],$DD792,74),0)</f>
        <v/>
      </c>
      <c r="BY792">
        <f>IFERROR(INDEX(PP_Grid[#Data],$DD792,75),0)</f>
        <v/>
      </c>
      <c r="BZ792">
        <f>IFERROR(INDEX(PP_Grid[#Data],$DD792,76),0)</f>
        <v/>
      </c>
      <c r="CA792">
        <f>IFERROR(INDEX(PP_Grid[#Data],$DD792,77),0)</f>
        <v/>
      </c>
      <c r="CB792">
        <f>IFERROR(INDEX(PP_Grid[#Data],$DD792,78),0)</f>
        <v/>
      </c>
      <c r="CC792">
        <f>IFERROR(INDEX(PP_Grid[#Data],$DD792,79),0)</f>
        <v/>
      </c>
      <c r="CD792">
        <f>IFERROR(INDEX(PP_Grid[#Data],$DD792,80),0)</f>
        <v/>
      </c>
      <c r="CE792">
        <f>IFERROR(INDEX(PP_Grid[#Data],$DD792,81),0)</f>
        <v/>
      </c>
      <c r="CF792">
        <f>IFERROR(INDEX(PP_Grid[#Data],$DD792,82),0)</f>
        <v/>
      </c>
      <c r="CG792">
        <f>IFERROR(INDEX(PP_Grid[#Data],$DD792,83),0)</f>
        <v/>
      </c>
      <c r="CH792">
        <f>IFERROR(INDEX(PP_Grid[#Data],$DD792,84),0)</f>
        <v/>
      </c>
      <c r="CI792">
        <f>IFERROR(INDEX(PP_Grid[#Data],$DD792,85),0)</f>
        <v/>
      </c>
      <c r="CJ792">
        <f>IFERROR(INDEX(PP_Grid[#Data],$DD792,86),0)</f>
        <v/>
      </c>
      <c r="CK792">
        <f>IFERROR(INDEX(PP_Grid[#Data],$DD792,87),0)</f>
        <v/>
      </c>
      <c r="CL792">
        <f>IFERROR(INDEX(PP_Grid[#Data],$DD792,88),0)</f>
        <v/>
      </c>
      <c r="CM792">
        <f>IFERROR(INDEX(PP_Grid[#Data],$DD792,89),0)</f>
        <v/>
      </c>
      <c r="CN792">
        <f>IFERROR(INDEX(PP_Grid[#Data],$DD792,90),0)</f>
        <v/>
      </c>
      <c r="CO792">
        <f>IFERROR(INDEX(PP_Grid[#Data],$DD792,91),0)</f>
        <v/>
      </c>
      <c r="CP792">
        <f>IFERROR(INDEX(PP_Grid[#Data],$DD792,92),0)</f>
        <v/>
      </c>
      <c r="CQ792">
        <f>IFERROR(INDEX(PP_Grid[#Data],$DD792,93),0)</f>
        <v/>
      </c>
      <c r="CR792">
        <f>IFERROR(INDEX(PP_Grid[#Data],$DD792,94),0)</f>
        <v/>
      </c>
      <c r="CS792">
        <f>IFERROR(INDEX(PP_Grid[#Data],$DD792,95),0)</f>
        <v/>
      </c>
      <c r="CT792">
        <f>IFERROR(INDEX(PP_Grid[#Data],$DD792,96),0)</f>
        <v/>
      </c>
      <c r="CU792">
        <f>IFERROR(INDEX(PP_Grid[#Data],$DD792,97),0)</f>
        <v/>
      </c>
      <c r="CV792">
        <f>IFERROR(INDEX(PP_Grid[#Data],$DD792,98),0)</f>
        <v/>
      </c>
      <c r="CW792">
        <f>IFERROR(INDEX(PP_Grid[#Data],$DD792,99),0)</f>
        <v/>
      </c>
      <c r="CX792">
        <f>IFERROR(INDEX(PP_Grid[#Data],$DD792,100),0)</f>
        <v/>
      </c>
      <c r="CY792">
        <f>IFERROR(INDEX(PP_Grid[#Data],$DD792,101),0)</f>
        <v/>
      </c>
      <c r="CZ792">
        <f>IFERROR(INDEX(PP_Grid[#Data],$DD792,102),0)</f>
        <v/>
      </c>
      <c r="DA792">
        <f>IFERROR(INDEX(PP_Grid[#Data],$DD792,103),0)</f>
        <v/>
      </c>
      <c r="DB792">
        <f>IFERROR(INDEX(PP_Grid[#Data],$DD792,104),0)</f>
        <v/>
      </c>
      <c r="DC792">
        <f>IFERROR(INDEX(PP_Grid[#Data],$DD792,105),0)</f>
        <v/>
      </c>
      <c r="DD792" s="7">
        <f>IFERROR(MATCH($B792,PP_Grid[Intermediate],0),99999)</f>
        <v/>
      </c>
    </row>
    <row r="793">
      <c r="B793" t="inlineStr">
        <is>
          <t>使用量(kg)</t>
        </is>
      </c>
      <c r="C793">
        <f>SUMIFS(M_BOM[RM_Qty_Per_Batch],M_BOM[Intermediate],$B792,M_BOM[Part Name],$A759)</f>
        <v/>
      </c>
      <c r="D793">
        <f>$C793*D792</f>
        <v/>
      </c>
      <c r="E793">
        <f>$C793*E792</f>
        <v/>
      </c>
      <c r="F793">
        <f>$C793*F792</f>
        <v/>
      </c>
      <c r="G793">
        <f>$C793*G792</f>
        <v/>
      </c>
      <c r="H793">
        <f>$C793*H792</f>
        <v/>
      </c>
      <c r="I793">
        <f>$C793*I792</f>
        <v/>
      </c>
      <c r="J793">
        <f>$C793*J792</f>
        <v/>
      </c>
      <c r="K793">
        <f>$C793*K792</f>
        <v/>
      </c>
      <c r="L793">
        <f>$C793*L792</f>
        <v/>
      </c>
      <c r="M793">
        <f>$C793*M792</f>
        <v/>
      </c>
      <c r="N793">
        <f>$C793*N792</f>
        <v/>
      </c>
      <c r="O793">
        <f>$C793*O792</f>
        <v/>
      </c>
      <c r="P793">
        <f>$C793*P792</f>
        <v/>
      </c>
      <c r="Q793">
        <f>$C793*Q792</f>
        <v/>
      </c>
      <c r="R793">
        <f>$C793*R792</f>
        <v/>
      </c>
      <c r="S793">
        <f>$C793*S792</f>
        <v/>
      </c>
      <c r="T793">
        <f>$C793*T792</f>
        <v/>
      </c>
      <c r="U793">
        <f>$C793*U792</f>
        <v/>
      </c>
      <c r="V793">
        <f>$C793*V792</f>
        <v/>
      </c>
      <c r="W793">
        <f>$C793*W792</f>
        <v/>
      </c>
      <c r="X793">
        <f>$C793*X792</f>
        <v/>
      </c>
      <c r="Y793">
        <f>$C793*Y792</f>
        <v/>
      </c>
      <c r="Z793">
        <f>$C793*Z792</f>
        <v/>
      </c>
      <c r="AA793">
        <f>$C793*AA792</f>
        <v/>
      </c>
      <c r="AB793">
        <f>$C793*AB792</f>
        <v/>
      </c>
      <c r="AC793">
        <f>$C793*AC792</f>
        <v/>
      </c>
      <c r="AD793">
        <f>$C793*AD792</f>
        <v/>
      </c>
      <c r="AE793">
        <f>$C793*AE792</f>
        <v/>
      </c>
      <c r="AF793">
        <f>$C793*AF792</f>
        <v/>
      </c>
      <c r="AG793">
        <f>$C793*AG792</f>
        <v/>
      </c>
      <c r="AH793">
        <f>$C793*AH792</f>
        <v/>
      </c>
      <c r="AI793">
        <f>$C793*AI792</f>
        <v/>
      </c>
      <c r="AJ793">
        <f>$C793*AJ792</f>
        <v/>
      </c>
      <c r="AK793">
        <f>$C793*AK792</f>
        <v/>
      </c>
      <c r="AL793">
        <f>$C793*AL792</f>
        <v/>
      </c>
      <c r="AM793">
        <f>$C793*AM792</f>
        <v/>
      </c>
      <c r="AN793">
        <f>$C793*AN792</f>
        <v/>
      </c>
      <c r="AO793">
        <f>$C793*AO792</f>
        <v/>
      </c>
      <c r="AP793">
        <f>$C793*AP792</f>
        <v/>
      </c>
      <c r="AQ793">
        <f>$C793*AQ792</f>
        <v/>
      </c>
      <c r="AR793">
        <f>$C793*AR792</f>
        <v/>
      </c>
      <c r="AS793">
        <f>$C793*AS792</f>
        <v/>
      </c>
      <c r="AT793">
        <f>$C793*AT792</f>
        <v/>
      </c>
      <c r="AU793">
        <f>$C793*AU792</f>
        <v/>
      </c>
      <c r="AV793">
        <f>$C793*AV792</f>
        <v/>
      </c>
      <c r="AW793">
        <f>$C793*AW792</f>
        <v/>
      </c>
      <c r="AX793">
        <f>$C793*AX792</f>
        <v/>
      </c>
      <c r="AY793">
        <f>$C793*AY792</f>
        <v/>
      </c>
      <c r="AZ793">
        <f>$C793*AZ792</f>
        <v/>
      </c>
      <c r="BA793">
        <f>$C793*BA792</f>
        <v/>
      </c>
      <c r="BB793">
        <f>$C793*BB792</f>
        <v/>
      </c>
      <c r="BC793">
        <f>$C793*BC792</f>
        <v/>
      </c>
      <c r="BD793">
        <f>$C793*BD792</f>
        <v/>
      </c>
      <c r="BE793">
        <f>$C793*BE792</f>
        <v/>
      </c>
      <c r="BF793">
        <f>$C793*BF792</f>
        <v/>
      </c>
      <c r="BG793">
        <f>$C793*BG792</f>
        <v/>
      </c>
      <c r="BH793">
        <f>$C793*BH792</f>
        <v/>
      </c>
      <c r="BI793">
        <f>$C793*BI792</f>
        <v/>
      </c>
      <c r="BJ793">
        <f>$C793*BJ792</f>
        <v/>
      </c>
      <c r="BK793">
        <f>$C793*BK792</f>
        <v/>
      </c>
      <c r="BL793">
        <f>$C793*BL792</f>
        <v/>
      </c>
      <c r="BM793">
        <f>$C793*BM792</f>
        <v/>
      </c>
      <c r="BN793">
        <f>$C793*BN792</f>
        <v/>
      </c>
      <c r="BO793">
        <f>$C793*BO792</f>
        <v/>
      </c>
      <c r="BP793">
        <f>$C793*BP792</f>
        <v/>
      </c>
      <c r="BQ793">
        <f>$C793*BQ792</f>
        <v/>
      </c>
      <c r="BR793">
        <f>$C793*BR792</f>
        <v/>
      </c>
      <c r="BS793">
        <f>$C793*BS792</f>
        <v/>
      </c>
      <c r="BT793">
        <f>$C793*BT792</f>
        <v/>
      </c>
      <c r="BU793">
        <f>$C793*BU792</f>
        <v/>
      </c>
      <c r="BV793">
        <f>$C793*BV792</f>
        <v/>
      </c>
      <c r="BW793">
        <f>$C793*BW792</f>
        <v/>
      </c>
      <c r="BX793">
        <f>$C793*BX792</f>
        <v/>
      </c>
      <c r="BY793">
        <f>$C793*BY792</f>
        <v/>
      </c>
      <c r="BZ793">
        <f>$C793*BZ792</f>
        <v/>
      </c>
      <c r="CA793">
        <f>$C793*CA792</f>
        <v/>
      </c>
      <c r="CB793">
        <f>$C793*CB792</f>
        <v/>
      </c>
      <c r="CC793">
        <f>$C793*CC792</f>
        <v/>
      </c>
      <c r="CD793">
        <f>$C793*CD792</f>
        <v/>
      </c>
      <c r="CE793">
        <f>$C793*CE792</f>
        <v/>
      </c>
      <c r="CF793">
        <f>$C793*CF792</f>
        <v/>
      </c>
      <c r="CG793">
        <f>$C793*CG792</f>
        <v/>
      </c>
      <c r="CH793">
        <f>$C793*CH792</f>
        <v/>
      </c>
      <c r="CI793">
        <f>$C793*CI792</f>
        <v/>
      </c>
      <c r="CJ793">
        <f>$C793*CJ792</f>
        <v/>
      </c>
      <c r="CK793">
        <f>$C793*CK792</f>
        <v/>
      </c>
      <c r="CL793">
        <f>$C793*CL792</f>
        <v/>
      </c>
      <c r="CM793">
        <f>$C793*CM792</f>
        <v/>
      </c>
      <c r="CN793">
        <f>$C793*CN792</f>
        <v/>
      </c>
      <c r="CO793">
        <f>$C793*CO792</f>
        <v/>
      </c>
      <c r="CP793">
        <f>$C793*CP792</f>
        <v/>
      </c>
      <c r="CQ793">
        <f>$C793*CQ792</f>
        <v/>
      </c>
      <c r="CR793">
        <f>$C793*CR792</f>
        <v/>
      </c>
      <c r="CS793">
        <f>$C793*CS792</f>
        <v/>
      </c>
      <c r="CT793">
        <f>$C793*CT792</f>
        <v/>
      </c>
      <c r="CU793">
        <f>$C793*CU792</f>
        <v/>
      </c>
      <c r="CV793">
        <f>$C793*CV792</f>
        <v/>
      </c>
      <c r="CW793">
        <f>$C793*CW792</f>
        <v/>
      </c>
      <c r="CX793">
        <f>$C793*CX792</f>
        <v/>
      </c>
      <c r="CY793">
        <f>$C793*CY792</f>
        <v/>
      </c>
      <c r="CZ793">
        <f>$C793*CZ792</f>
        <v/>
      </c>
      <c r="DA793">
        <f>$C793*DA792</f>
        <v/>
      </c>
      <c r="DB793">
        <f>$C793*DB792</f>
        <v/>
      </c>
      <c r="DC793">
        <f>$C793*DC792</f>
        <v/>
      </c>
    </row>
    <row r="794">
      <c r="B794" t="inlineStr">
        <is>
          <t>VSP-605</t>
        </is>
      </c>
      <c r="C794" t="inlineStr">
        <is>
          <t>No. of batches</t>
        </is>
      </c>
      <c r="D794">
        <f>IFERROR(INDEX(PP_Grid[#Data],$DD794,2),0)</f>
        <v/>
      </c>
      <c r="E794">
        <f>IFERROR(INDEX(PP_Grid[#Data],$DD794,3),0)</f>
        <v/>
      </c>
      <c r="F794">
        <f>IFERROR(INDEX(PP_Grid[#Data],$DD794,4),0)</f>
        <v/>
      </c>
      <c r="G794">
        <f>IFERROR(INDEX(PP_Grid[#Data],$DD794,5),0)</f>
        <v/>
      </c>
      <c r="H794">
        <f>IFERROR(INDEX(PP_Grid[#Data],$DD794,6),0)</f>
        <v/>
      </c>
      <c r="I794">
        <f>IFERROR(INDEX(PP_Grid[#Data],$DD794,7),0)</f>
        <v/>
      </c>
      <c r="J794">
        <f>IFERROR(INDEX(PP_Grid[#Data],$DD794,8),0)</f>
        <v/>
      </c>
      <c r="K794">
        <f>IFERROR(INDEX(PP_Grid[#Data],$DD794,9),0)</f>
        <v/>
      </c>
      <c r="L794">
        <f>IFERROR(INDEX(PP_Grid[#Data],$DD794,10),0)</f>
        <v/>
      </c>
      <c r="M794">
        <f>IFERROR(INDEX(PP_Grid[#Data],$DD794,11),0)</f>
        <v/>
      </c>
      <c r="N794">
        <f>IFERROR(INDEX(PP_Grid[#Data],$DD794,12),0)</f>
        <v/>
      </c>
      <c r="O794">
        <f>IFERROR(INDEX(PP_Grid[#Data],$DD794,13),0)</f>
        <v/>
      </c>
      <c r="P794">
        <f>IFERROR(INDEX(PP_Grid[#Data],$DD794,14),0)</f>
        <v/>
      </c>
      <c r="Q794">
        <f>IFERROR(INDEX(PP_Grid[#Data],$DD794,15),0)</f>
        <v/>
      </c>
      <c r="R794">
        <f>IFERROR(INDEX(PP_Grid[#Data],$DD794,16),0)</f>
        <v/>
      </c>
      <c r="S794">
        <f>IFERROR(INDEX(PP_Grid[#Data],$DD794,17),0)</f>
        <v/>
      </c>
      <c r="T794">
        <f>IFERROR(INDEX(PP_Grid[#Data],$DD794,18),0)</f>
        <v/>
      </c>
      <c r="U794">
        <f>IFERROR(INDEX(PP_Grid[#Data],$DD794,19),0)</f>
        <v/>
      </c>
      <c r="V794">
        <f>IFERROR(INDEX(PP_Grid[#Data],$DD794,20),0)</f>
        <v/>
      </c>
      <c r="W794">
        <f>IFERROR(INDEX(PP_Grid[#Data],$DD794,21),0)</f>
        <v/>
      </c>
      <c r="X794">
        <f>IFERROR(INDEX(PP_Grid[#Data],$DD794,22),0)</f>
        <v/>
      </c>
      <c r="Y794">
        <f>IFERROR(INDEX(PP_Grid[#Data],$DD794,23),0)</f>
        <v/>
      </c>
      <c r="Z794">
        <f>IFERROR(INDEX(PP_Grid[#Data],$DD794,24),0)</f>
        <v/>
      </c>
      <c r="AA794">
        <f>IFERROR(INDEX(PP_Grid[#Data],$DD794,25),0)</f>
        <v/>
      </c>
      <c r="AB794">
        <f>IFERROR(INDEX(PP_Grid[#Data],$DD794,26),0)</f>
        <v/>
      </c>
      <c r="AC794">
        <f>IFERROR(INDEX(PP_Grid[#Data],$DD794,27),0)</f>
        <v/>
      </c>
      <c r="AD794">
        <f>IFERROR(INDEX(PP_Grid[#Data],$DD794,28),0)</f>
        <v/>
      </c>
      <c r="AE794">
        <f>IFERROR(INDEX(PP_Grid[#Data],$DD794,29),0)</f>
        <v/>
      </c>
      <c r="AF794">
        <f>IFERROR(INDEX(PP_Grid[#Data],$DD794,30),0)</f>
        <v/>
      </c>
      <c r="AG794">
        <f>IFERROR(INDEX(PP_Grid[#Data],$DD794,31),0)</f>
        <v/>
      </c>
      <c r="AH794">
        <f>IFERROR(INDEX(PP_Grid[#Data],$DD794,32),0)</f>
        <v/>
      </c>
      <c r="AI794">
        <f>IFERROR(INDEX(PP_Grid[#Data],$DD794,33),0)</f>
        <v/>
      </c>
      <c r="AJ794">
        <f>IFERROR(INDEX(PP_Grid[#Data],$DD794,34),0)</f>
        <v/>
      </c>
      <c r="AK794">
        <f>IFERROR(INDEX(PP_Grid[#Data],$DD794,35),0)</f>
        <v/>
      </c>
      <c r="AL794">
        <f>IFERROR(INDEX(PP_Grid[#Data],$DD794,36),0)</f>
        <v/>
      </c>
      <c r="AM794">
        <f>IFERROR(INDEX(PP_Grid[#Data],$DD794,37),0)</f>
        <v/>
      </c>
      <c r="AN794">
        <f>IFERROR(INDEX(PP_Grid[#Data],$DD794,38),0)</f>
        <v/>
      </c>
      <c r="AO794">
        <f>IFERROR(INDEX(PP_Grid[#Data],$DD794,39),0)</f>
        <v/>
      </c>
      <c r="AP794">
        <f>IFERROR(INDEX(PP_Grid[#Data],$DD794,40),0)</f>
        <v/>
      </c>
      <c r="AQ794">
        <f>IFERROR(INDEX(PP_Grid[#Data],$DD794,41),0)</f>
        <v/>
      </c>
      <c r="AR794">
        <f>IFERROR(INDEX(PP_Grid[#Data],$DD794,42),0)</f>
        <v/>
      </c>
      <c r="AS794">
        <f>IFERROR(INDEX(PP_Grid[#Data],$DD794,43),0)</f>
        <v/>
      </c>
      <c r="AT794">
        <f>IFERROR(INDEX(PP_Grid[#Data],$DD794,44),0)</f>
        <v/>
      </c>
      <c r="AU794">
        <f>IFERROR(INDEX(PP_Grid[#Data],$DD794,45),0)</f>
        <v/>
      </c>
      <c r="AV794">
        <f>IFERROR(INDEX(PP_Grid[#Data],$DD794,46),0)</f>
        <v/>
      </c>
      <c r="AW794">
        <f>IFERROR(INDEX(PP_Grid[#Data],$DD794,47),0)</f>
        <v/>
      </c>
      <c r="AX794">
        <f>IFERROR(INDEX(PP_Grid[#Data],$DD794,48),0)</f>
        <v/>
      </c>
      <c r="AY794">
        <f>IFERROR(INDEX(PP_Grid[#Data],$DD794,49),0)</f>
        <v/>
      </c>
      <c r="AZ794">
        <f>IFERROR(INDEX(PP_Grid[#Data],$DD794,50),0)</f>
        <v/>
      </c>
      <c r="BA794">
        <f>IFERROR(INDEX(PP_Grid[#Data],$DD794,51),0)</f>
        <v/>
      </c>
      <c r="BB794">
        <f>IFERROR(INDEX(PP_Grid[#Data],$DD794,52),0)</f>
        <v/>
      </c>
      <c r="BC794">
        <f>IFERROR(INDEX(PP_Grid[#Data],$DD794,53),0)</f>
        <v/>
      </c>
      <c r="BD794">
        <f>IFERROR(INDEX(PP_Grid[#Data],$DD794,54),0)</f>
        <v/>
      </c>
      <c r="BE794">
        <f>IFERROR(INDEX(PP_Grid[#Data],$DD794,55),0)</f>
        <v/>
      </c>
      <c r="BF794">
        <f>IFERROR(INDEX(PP_Grid[#Data],$DD794,56),0)</f>
        <v/>
      </c>
      <c r="BG794">
        <f>IFERROR(INDEX(PP_Grid[#Data],$DD794,57),0)</f>
        <v/>
      </c>
      <c r="BH794">
        <f>IFERROR(INDEX(PP_Grid[#Data],$DD794,58),0)</f>
        <v/>
      </c>
      <c r="BI794">
        <f>IFERROR(INDEX(PP_Grid[#Data],$DD794,59),0)</f>
        <v/>
      </c>
      <c r="BJ794">
        <f>IFERROR(INDEX(PP_Grid[#Data],$DD794,60),0)</f>
        <v/>
      </c>
      <c r="BK794">
        <f>IFERROR(INDEX(PP_Grid[#Data],$DD794,61),0)</f>
        <v/>
      </c>
      <c r="BL794">
        <f>IFERROR(INDEX(PP_Grid[#Data],$DD794,62),0)</f>
        <v/>
      </c>
      <c r="BM794">
        <f>IFERROR(INDEX(PP_Grid[#Data],$DD794,63),0)</f>
        <v/>
      </c>
      <c r="BN794">
        <f>IFERROR(INDEX(PP_Grid[#Data],$DD794,64),0)</f>
        <v/>
      </c>
      <c r="BO794">
        <f>IFERROR(INDEX(PP_Grid[#Data],$DD794,65),0)</f>
        <v/>
      </c>
      <c r="BP794">
        <f>IFERROR(INDEX(PP_Grid[#Data],$DD794,66),0)</f>
        <v/>
      </c>
      <c r="BQ794">
        <f>IFERROR(INDEX(PP_Grid[#Data],$DD794,67),0)</f>
        <v/>
      </c>
      <c r="BR794">
        <f>IFERROR(INDEX(PP_Grid[#Data],$DD794,68),0)</f>
        <v/>
      </c>
      <c r="BS794">
        <f>IFERROR(INDEX(PP_Grid[#Data],$DD794,69),0)</f>
        <v/>
      </c>
      <c r="BT794">
        <f>IFERROR(INDEX(PP_Grid[#Data],$DD794,70),0)</f>
        <v/>
      </c>
      <c r="BU794">
        <f>IFERROR(INDEX(PP_Grid[#Data],$DD794,71),0)</f>
        <v/>
      </c>
      <c r="BV794">
        <f>IFERROR(INDEX(PP_Grid[#Data],$DD794,72),0)</f>
        <v/>
      </c>
      <c r="BW794">
        <f>IFERROR(INDEX(PP_Grid[#Data],$DD794,73),0)</f>
        <v/>
      </c>
      <c r="BX794">
        <f>IFERROR(INDEX(PP_Grid[#Data],$DD794,74),0)</f>
        <v/>
      </c>
      <c r="BY794">
        <f>IFERROR(INDEX(PP_Grid[#Data],$DD794,75),0)</f>
        <v/>
      </c>
      <c r="BZ794">
        <f>IFERROR(INDEX(PP_Grid[#Data],$DD794,76),0)</f>
        <v/>
      </c>
      <c r="CA794">
        <f>IFERROR(INDEX(PP_Grid[#Data],$DD794,77),0)</f>
        <v/>
      </c>
      <c r="CB794">
        <f>IFERROR(INDEX(PP_Grid[#Data],$DD794,78),0)</f>
        <v/>
      </c>
      <c r="CC794">
        <f>IFERROR(INDEX(PP_Grid[#Data],$DD794,79),0)</f>
        <v/>
      </c>
      <c r="CD794">
        <f>IFERROR(INDEX(PP_Grid[#Data],$DD794,80),0)</f>
        <v/>
      </c>
      <c r="CE794">
        <f>IFERROR(INDEX(PP_Grid[#Data],$DD794,81),0)</f>
        <v/>
      </c>
      <c r="CF794">
        <f>IFERROR(INDEX(PP_Grid[#Data],$DD794,82),0)</f>
        <v/>
      </c>
      <c r="CG794">
        <f>IFERROR(INDEX(PP_Grid[#Data],$DD794,83),0)</f>
        <v/>
      </c>
      <c r="CH794">
        <f>IFERROR(INDEX(PP_Grid[#Data],$DD794,84),0)</f>
        <v/>
      </c>
      <c r="CI794">
        <f>IFERROR(INDEX(PP_Grid[#Data],$DD794,85),0)</f>
        <v/>
      </c>
      <c r="CJ794">
        <f>IFERROR(INDEX(PP_Grid[#Data],$DD794,86),0)</f>
        <v/>
      </c>
      <c r="CK794">
        <f>IFERROR(INDEX(PP_Grid[#Data],$DD794,87),0)</f>
        <v/>
      </c>
      <c r="CL794">
        <f>IFERROR(INDEX(PP_Grid[#Data],$DD794,88),0)</f>
        <v/>
      </c>
      <c r="CM794">
        <f>IFERROR(INDEX(PP_Grid[#Data],$DD794,89),0)</f>
        <v/>
      </c>
      <c r="CN794">
        <f>IFERROR(INDEX(PP_Grid[#Data],$DD794,90),0)</f>
        <v/>
      </c>
      <c r="CO794">
        <f>IFERROR(INDEX(PP_Grid[#Data],$DD794,91),0)</f>
        <v/>
      </c>
      <c r="CP794">
        <f>IFERROR(INDEX(PP_Grid[#Data],$DD794,92),0)</f>
        <v/>
      </c>
      <c r="CQ794">
        <f>IFERROR(INDEX(PP_Grid[#Data],$DD794,93),0)</f>
        <v/>
      </c>
      <c r="CR794">
        <f>IFERROR(INDEX(PP_Grid[#Data],$DD794,94),0)</f>
        <v/>
      </c>
      <c r="CS794">
        <f>IFERROR(INDEX(PP_Grid[#Data],$DD794,95),0)</f>
        <v/>
      </c>
      <c r="CT794">
        <f>IFERROR(INDEX(PP_Grid[#Data],$DD794,96),0)</f>
        <v/>
      </c>
      <c r="CU794">
        <f>IFERROR(INDEX(PP_Grid[#Data],$DD794,97),0)</f>
        <v/>
      </c>
      <c r="CV794">
        <f>IFERROR(INDEX(PP_Grid[#Data],$DD794,98),0)</f>
        <v/>
      </c>
      <c r="CW794">
        <f>IFERROR(INDEX(PP_Grid[#Data],$DD794,99),0)</f>
        <v/>
      </c>
      <c r="CX794">
        <f>IFERROR(INDEX(PP_Grid[#Data],$DD794,100),0)</f>
        <v/>
      </c>
      <c r="CY794">
        <f>IFERROR(INDEX(PP_Grid[#Data],$DD794,101),0)</f>
        <v/>
      </c>
      <c r="CZ794">
        <f>IFERROR(INDEX(PP_Grid[#Data],$DD794,102),0)</f>
        <v/>
      </c>
      <c r="DA794">
        <f>IFERROR(INDEX(PP_Grid[#Data],$DD794,103),0)</f>
        <v/>
      </c>
      <c r="DB794">
        <f>IFERROR(INDEX(PP_Grid[#Data],$DD794,104),0)</f>
        <v/>
      </c>
      <c r="DC794">
        <f>IFERROR(INDEX(PP_Grid[#Data],$DD794,105),0)</f>
        <v/>
      </c>
      <c r="DD794" s="7">
        <f>IFERROR(MATCH($B794,PP_Grid[Intermediate],0),99999)</f>
        <v/>
      </c>
    </row>
    <row r="795">
      <c r="B795" t="inlineStr">
        <is>
          <t>使用量(kg)</t>
        </is>
      </c>
      <c r="C795">
        <f>SUMIFS(M_BOM[RM_Qty_Per_Batch],M_BOM[Intermediate],$B794,M_BOM[Part Name],$A759)</f>
        <v/>
      </c>
      <c r="D795">
        <f>$C795*D794</f>
        <v/>
      </c>
      <c r="E795">
        <f>$C795*E794</f>
        <v/>
      </c>
      <c r="F795">
        <f>$C795*F794</f>
        <v/>
      </c>
      <c r="G795">
        <f>$C795*G794</f>
        <v/>
      </c>
      <c r="H795">
        <f>$C795*H794</f>
        <v/>
      </c>
      <c r="I795">
        <f>$C795*I794</f>
        <v/>
      </c>
      <c r="J795">
        <f>$C795*J794</f>
        <v/>
      </c>
      <c r="K795">
        <f>$C795*K794</f>
        <v/>
      </c>
      <c r="L795">
        <f>$C795*L794</f>
        <v/>
      </c>
      <c r="M795">
        <f>$C795*M794</f>
        <v/>
      </c>
      <c r="N795">
        <f>$C795*N794</f>
        <v/>
      </c>
      <c r="O795">
        <f>$C795*O794</f>
        <v/>
      </c>
      <c r="P795">
        <f>$C795*P794</f>
        <v/>
      </c>
      <c r="Q795">
        <f>$C795*Q794</f>
        <v/>
      </c>
      <c r="R795">
        <f>$C795*R794</f>
        <v/>
      </c>
      <c r="S795">
        <f>$C795*S794</f>
        <v/>
      </c>
      <c r="T795">
        <f>$C795*T794</f>
        <v/>
      </c>
      <c r="U795">
        <f>$C795*U794</f>
        <v/>
      </c>
      <c r="V795">
        <f>$C795*V794</f>
        <v/>
      </c>
      <c r="W795">
        <f>$C795*W794</f>
        <v/>
      </c>
      <c r="X795">
        <f>$C795*X794</f>
        <v/>
      </c>
      <c r="Y795">
        <f>$C795*Y794</f>
        <v/>
      </c>
      <c r="Z795">
        <f>$C795*Z794</f>
        <v/>
      </c>
      <c r="AA795">
        <f>$C795*AA794</f>
        <v/>
      </c>
      <c r="AB795">
        <f>$C795*AB794</f>
        <v/>
      </c>
      <c r="AC795">
        <f>$C795*AC794</f>
        <v/>
      </c>
      <c r="AD795">
        <f>$C795*AD794</f>
        <v/>
      </c>
      <c r="AE795">
        <f>$C795*AE794</f>
        <v/>
      </c>
      <c r="AF795">
        <f>$C795*AF794</f>
        <v/>
      </c>
      <c r="AG795">
        <f>$C795*AG794</f>
        <v/>
      </c>
      <c r="AH795">
        <f>$C795*AH794</f>
        <v/>
      </c>
      <c r="AI795">
        <f>$C795*AI794</f>
        <v/>
      </c>
      <c r="AJ795">
        <f>$C795*AJ794</f>
        <v/>
      </c>
      <c r="AK795">
        <f>$C795*AK794</f>
        <v/>
      </c>
      <c r="AL795">
        <f>$C795*AL794</f>
        <v/>
      </c>
      <c r="AM795">
        <f>$C795*AM794</f>
        <v/>
      </c>
      <c r="AN795">
        <f>$C795*AN794</f>
        <v/>
      </c>
      <c r="AO795">
        <f>$C795*AO794</f>
        <v/>
      </c>
      <c r="AP795">
        <f>$C795*AP794</f>
        <v/>
      </c>
      <c r="AQ795">
        <f>$C795*AQ794</f>
        <v/>
      </c>
      <c r="AR795">
        <f>$C795*AR794</f>
        <v/>
      </c>
      <c r="AS795">
        <f>$C795*AS794</f>
        <v/>
      </c>
      <c r="AT795">
        <f>$C795*AT794</f>
        <v/>
      </c>
      <c r="AU795">
        <f>$C795*AU794</f>
        <v/>
      </c>
      <c r="AV795">
        <f>$C795*AV794</f>
        <v/>
      </c>
      <c r="AW795">
        <f>$C795*AW794</f>
        <v/>
      </c>
      <c r="AX795">
        <f>$C795*AX794</f>
        <v/>
      </c>
      <c r="AY795">
        <f>$C795*AY794</f>
        <v/>
      </c>
      <c r="AZ795">
        <f>$C795*AZ794</f>
        <v/>
      </c>
      <c r="BA795">
        <f>$C795*BA794</f>
        <v/>
      </c>
      <c r="BB795">
        <f>$C795*BB794</f>
        <v/>
      </c>
      <c r="BC795">
        <f>$C795*BC794</f>
        <v/>
      </c>
      <c r="BD795">
        <f>$C795*BD794</f>
        <v/>
      </c>
      <c r="BE795">
        <f>$C795*BE794</f>
        <v/>
      </c>
      <c r="BF795">
        <f>$C795*BF794</f>
        <v/>
      </c>
      <c r="BG795">
        <f>$C795*BG794</f>
        <v/>
      </c>
      <c r="BH795">
        <f>$C795*BH794</f>
        <v/>
      </c>
      <c r="BI795">
        <f>$C795*BI794</f>
        <v/>
      </c>
      <c r="BJ795">
        <f>$C795*BJ794</f>
        <v/>
      </c>
      <c r="BK795">
        <f>$C795*BK794</f>
        <v/>
      </c>
      <c r="BL795">
        <f>$C795*BL794</f>
        <v/>
      </c>
      <c r="BM795">
        <f>$C795*BM794</f>
        <v/>
      </c>
      <c r="BN795">
        <f>$C795*BN794</f>
        <v/>
      </c>
      <c r="BO795">
        <f>$C795*BO794</f>
        <v/>
      </c>
      <c r="BP795">
        <f>$C795*BP794</f>
        <v/>
      </c>
      <c r="BQ795">
        <f>$C795*BQ794</f>
        <v/>
      </c>
      <c r="BR795">
        <f>$C795*BR794</f>
        <v/>
      </c>
      <c r="BS795">
        <f>$C795*BS794</f>
        <v/>
      </c>
      <c r="BT795">
        <f>$C795*BT794</f>
        <v/>
      </c>
      <c r="BU795">
        <f>$C795*BU794</f>
        <v/>
      </c>
      <c r="BV795">
        <f>$C795*BV794</f>
        <v/>
      </c>
      <c r="BW795">
        <f>$C795*BW794</f>
        <v/>
      </c>
      <c r="BX795">
        <f>$C795*BX794</f>
        <v/>
      </c>
      <c r="BY795">
        <f>$C795*BY794</f>
        <v/>
      </c>
      <c r="BZ795">
        <f>$C795*BZ794</f>
        <v/>
      </c>
      <c r="CA795">
        <f>$C795*CA794</f>
        <v/>
      </c>
      <c r="CB795">
        <f>$C795*CB794</f>
        <v/>
      </c>
      <c r="CC795">
        <f>$C795*CC794</f>
        <v/>
      </c>
      <c r="CD795">
        <f>$C795*CD794</f>
        <v/>
      </c>
      <c r="CE795">
        <f>$C795*CE794</f>
        <v/>
      </c>
      <c r="CF795">
        <f>$C795*CF794</f>
        <v/>
      </c>
      <c r="CG795">
        <f>$C795*CG794</f>
        <v/>
      </c>
      <c r="CH795">
        <f>$C795*CH794</f>
        <v/>
      </c>
      <c r="CI795">
        <f>$C795*CI794</f>
        <v/>
      </c>
      <c r="CJ795">
        <f>$C795*CJ794</f>
        <v/>
      </c>
      <c r="CK795">
        <f>$C795*CK794</f>
        <v/>
      </c>
      <c r="CL795">
        <f>$C795*CL794</f>
        <v/>
      </c>
      <c r="CM795">
        <f>$C795*CM794</f>
        <v/>
      </c>
      <c r="CN795">
        <f>$C795*CN794</f>
        <v/>
      </c>
      <c r="CO795">
        <f>$C795*CO794</f>
        <v/>
      </c>
      <c r="CP795">
        <f>$C795*CP794</f>
        <v/>
      </c>
      <c r="CQ795">
        <f>$C795*CQ794</f>
        <v/>
      </c>
      <c r="CR795">
        <f>$C795*CR794</f>
        <v/>
      </c>
      <c r="CS795">
        <f>$C795*CS794</f>
        <v/>
      </c>
      <c r="CT795">
        <f>$C795*CT794</f>
        <v/>
      </c>
      <c r="CU795">
        <f>$C795*CU794</f>
        <v/>
      </c>
      <c r="CV795">
        <f>$C795*CV794</f>
        <v/>
      </c>
      <c r="CW795">
        <f>$C795*CW794</f>
        <v/>
      </c>
      <c r="CX795">
        <f>$C795*CX794</f>
        <v/>
      </c>
      <c r="CY795">
        <f>$C795*CY794</f>
        <v/>
      </c>
      <c r="CZ795">
        <f>$C795*CZ794</f>
        <v/>
      </c>
      <c r="DA795">
        <f>$C795*DA794</f>
        <v/>
      </c>
      <c r="DB795">
        <f>$C795*DB794</f>
        <v/>
      </c>
      <c r="DC795">
        <f>$C795*DC794</f>
        <v/>
      </c>
    </row>
    <row r="796">
      <c r="B796" t="inlineStr">
        <is>
          <t>VSP-607</t>
        </is>
      </c>
      <c r="C796" t="inlineStr">
        <is>
          <t>No. of batches</t>
        </is>
      </c>
      <c r="D796">
        <f>IFERROR(INDEX(PP_Grid[#Data],$DD796,2),0)</f>
        <v/>
      </c>
      <c r="E796">
        <f>IFERROR(INDEX(PP_Grid[#Data],$DD796,3),0)</f>
        <v/>
      </c>
      <c r="F796">
        <f>IFERROR(INDEX(PP_Grid[#Data],$DD796,4),0)</f>
        <v/>
      </c>
      <c r="G796">
        <f>IFERROR(INDEX(PP_Grid[#Data],$DD796,5),0)</f>
        <v/>
      </c>
      <c r="H796">
        <f>IFERROR(INDEX(PP_Grid[#Data],$DD796,6),0)</f>
        <v/>
      </c>
      <c r="I796">
        <f>IFERROR(INDEX(PP_Grid[#Data],$DD796,7),0)</f>
        <v/>
      </c>
      <c r="J796">
        <f>IFERROR(INDEX(PP_Grid[#Data],$DD796,8),0)</f>
        <v/>
      </c>
      <c r="K796">
        <f>IFERROR(INDEX(PP_Grid[#Data],$DD796,9),0)</f>
        <v/>
      </c>
      <c r="L796">
        <f>IFERROR(INDEX(PP_Grid[#Data],$DD796,10),0)</f>
        <v/>
      </c>
      <c r="M796">
        <f>IFERROR(INDEX(PP_Grid[#Data],$DD796,11),0)</f>
        <v/>
      </c>
      <c r="N796">
        <f>IFERROR(INDEX(PP_Grid[#Data],$DD796,12),0)</f>
        <v/>
      </c>
      <c r="O796">
        <f>IFERROR(INDEX(PP_Grid[#Data],$DD796,13),0)</f>
        <v/>
      </c>
      <c r="P796">
        <f>IFERROR(INDEX(PP_Grid[#Data],$DD796,14),0)</f>
        <v/>
      </c>
      <c r="Q796">
        <f>IFERROR(INDEX(PP_Grid[#Data],$DD796,15),0)</f>
        <v/>
      </c>
      <c r="R796">
        <f>IFERROR(INDEX(PP_Grid[#Data],$DD796,16),0)</f>
        <v/>
      </c>
      <c r="S796">
        <f>IFERROR(INDEX(PP_Grid[#Data],$DD796,17),0)</f>
        <v/>
      </c>
      <c r="T796">
        <f>IFERROR(INDEX(PP_Grid[#Data],$DD796,18),0)</f>
        <v/>
      </c>
      <c r="U796">
        <f>IFERROR(INDEX(PP_Grid[#Data],$DD796,19),0)</f>
        <v/>
      </c>
      <c r="V796">
        <f>IFERROR(INDEX(PP_Grid[#Data],$DD796,20),0)</f>
        <v/>
      </c>
      <c r="W796">
        <f>IFERROR(INDEX(PP_Grid[#Data],$DD796,21),0)</f>
        <v/>
      </c>
      <c r="X796">
        <f>IFERROR(INDEX(PP_Grid[#Data],$DD796,22),0)</f>
        <v/>
      </c>
      <c r="Y796">
        <f>IFERROR(INDEX(PP_Grid[#Data],$DD796,23),0)</f>
        <v/>
      </c>
      <c r="Z796">
        <f>IFERROR(INDEX(PP_Grid[#Data],$DD796,24),0)</f>
        <v/>
      </c>
      <c r="AA796">
        <f>IFERROR(INDEX(PP_Grid[#Data],$DD796,25),0)</f>
        <v/>
      </c>
      <c r="AB796">
        <f>IFERROR(INDEX(PP_Grid[#Data],$DD796,26),0)</f>
        <v/>
      </c>
      <c r="AC796">
        <f>IFERROR(INDEX(PP_Grid[#Data],$DD796,27),0)</f>
        <v/>
      </c>
      <c r="AD796">
        <f>IFERROR(INDEX(PP_Grid[#Data],$DD796,28),0)</f>
        <v/>
      </c>
      <c r="AE796">
        <f>IFERROR(INDEX(PP_Grid[#Data],$DD796,29),0)</f>
        <v/>
      </c>
      <c r="AF796">
        <f>IFERROR(INDEX(PP_Grid[#Data],$DD796,30),0)</f>
        <v/>
      </c>
      <c r="AG796">
        <f>IFERROR(INDEX(PP_Grid[#Data],$DD796,31),0)</f>
        <v/>
      </c>
      <c r="AH796">
        <f>IFERROR(INDEX(PP_Grid[#Data],$DD796,32),0)</f>
        <v/>
      </c>
      <c r="AI796">
        <f>IFERROR(INDEX(PP_Grid[#Data],$DD796,33),0)</f>
        <v/>
      </c>
      <c r="AJ796">
        <f>IFERROR(INDEX(PP_Grid[#Data],$DD796,34),0)</f>
        <v/>
      </c>
      <c r="AK796">
        <f>IFERROR(INDEX(PP_Grid[#Data],$DD796,35),0)</f>
        <v/>
      </c>
      <c r="AL796">
        <f>IFERROR(INDEX(PP_Grid[#Data],$DD796,36),0)</f>
        <v/>
      </c>
      <c r="AM796">
        <f>IFERROR(INDEX(PP_Grid[#Data],$DD796,37),0)</f>
        <v/>
      </c>
      <c r="AN796">
        <f>IFERROR(INDEX(PP_Grid[#Data],$DD796,38),0)</f>
        <v/>
      </c>
      <c r="AO796">
        <f>IFERROR(INDEX(PP_Grid[#Data],$DD796,39),0)</f>
        <v/>
      </c>
      <c r="AP796">
        <f>IFERROR(INDEX(PP_Grid[#Data],$DD796,40),0)</f>
        <v/>
      </c>
      <c r="AQ796">
        <f>IFERROR(INDEX(PP_Grid[#Data],$DD796,41),0)</f>
        <v/>
      </c>
      <c r="AR796">
        <f>IFERROR(INDEX(PP_Grid[#Data],$DD796,42),0)</f>
        <v/>
      </c>
      <c r="AS796">
        <f>IFERROR(INDEX(PP_Grid[#Data],$DD796,43),0)</f>
        <v/>
      </c>
      <c r="AT796">
        <f>IFERROR(INDEX(PP_Grid[#Data],$DD796,44),0)</f>
        <v/>
      </c>
      <c r="AU796">
        <f>IFERROR(INDEX(PP_Grid[#Data],$DD796,45),0)</f>
        <v/>
      </c>
      <c r="AV796">
        <f>IFERROR(INDEX(PP_Grid[#Data],$DD796,46),0)</f>
        <v/>
      </c>
      <c r="AW796">
        <f>IFERROR(INDEX(PP_Grid[#Data],$DD796,47),0)</f>
        <v/>
      </c>
      <c r="AX796">
        <f>IFERROR(INDEX(PP_Grid[#Data],$DD796,48),0)</f>
        <v/>
      </c>
      <c r="AY796">
        <f>IFERROR(INDEX(PP_Grid[#Data],$DD796,49),0)</f>
        <v/>
      </c>
      <c r="AZ796">
        <f>IFERROR(INDEX(PP_Grid[#Data],$DD796,50),0)</f>
        <v/>
      </c>
      <c r="BA796">
        <f>IFERROR(INDEX(PP_Grid[#Data],$DD796,51),0)</f>
        <v/>
      </c>
      <c r="BB796">
        <f>IFERROR(INDEX(PP_Grid[#Data],$DD796,52),0)</f>
        <v/>
      </c>
      <c r="BC796">
        <f>IFERROR(INDEX(PP_Grid[#Data],$DD796,53),0)</f>
        <v/>
      </c>
      <c r="BD796">
        <f>IFERROR(INDEX(PP_Grid[#Data],$DD796,54),0)</f>
        <v/>
      </c>
      <c r="BE796">
        <f>IFERROR(INDEX(PP_Grid[#Data],$DD796,55),0)</f>
        <v/>
      </c>
      <c r="BF796">
        <f>IFERROR(INDEX(PP_Grid[#Data],$DD796,56),0)</f>
        <v/>
      </c>
      <c r="BG796">
        <f>IFERROR(INDEX(PP_Grid[#Data],$DD796,57),0)</f>
        <v/>
      </c>
      <c r="BH796">
        <f>IFERROR(INDEX(PP_Grid[#Data],$DD796,58),0)</f>
        <v/>
      </c>
      <c r="BI796">
        <f>IFERROR(INDEX(PP_Grid[#Data],$DD796,59),0)</f>
        <v/>
      </c>
      <c r="BJ796">
        <f>IFERROR(INDEX(PP_Grid[#Data],$DD796,60),0)</f>
        <v/>
      </c>
      <c r="BK796">
        <f>IFERROR(INDEX(PP_Grid[#Data],$DD796,61),0)</f>
        <v/>
      </c>
      <c r="BL796">
        <f>IFERROR(INDEX(PP_Grid[#Data],$DD796,62),0)</f>
        <v/>
      </c>
      <c r="BM796">
        <f>IFERROR(INDEX(PP_Grid[#Data],$DD796,63),0)</f>
        <v/>
      </c>
      <c r="BN796">
        <f>IFERROR(INDEX(PP_Grid[#Data],$DD796,64),0)</f>
        <v/>
      </c>
      <c r="BO796">
        <f>IFERROR(INDEX(PP_Grid[#Data],$DD796,65),0)</f>
        <v/>
      </c>
      <c r="BP796">
        <f>IFERROR(INDEX(PP_Grid[#Data],$DD796,66),0)</f>
        <v/>
      </c>
      <c r="BQ796">
        <f>IFERROR(INDEX(PP_Grid[#Data],$DD796,67),0)</f>
        <v/>
      </c>
      <c r="BR796">
        <f>IFERROR(INDEX(PP_Grid[#Data],$DD796,68),0)</f>
        <v/>
      </c>
      <c r="BS796">
        <f>IFERROR(INDEX(PP_Grid[#Data],$DD796,69),0)</f>
        <v/>
      </c>
      <c r="BT796">
        <f>IFERROR(INDEX(PP_Grid[#Data],$DD796,70),0)</f>
        <v/>
      </c>
      <c r="BU796">
        <f>IFERROR(INDEX(PP_Grid[#Data],$DD796,71),0)</f>
        <v/>
      </c>
      <c r="BV796">
        <f>IFERROR(INDEX(PP_Grid[#Data],$DD796,72),0)</f>
        <v/>
      </c>
      <c r="BW796">
        <f>IFERROR(INDEX(PP_Grid[#Data],$DD796,73),0)</f>
        <v/>
      </c>
      <c r="BX796">
        <f>IFERROR(INDEX(PP_Grid[#Data],$DD796,74),0)</f>
        <v/>
      </c>
      <c r="BY796">
        <f>IFERROR(INDEX(PP_Grid[#Data],$DD796,75),0)</f>
        <v/>
      </c>
      <c r="BZ796">
        <f>IFERROR(INDEX(PP_Grid[#Data],$DD796,76),0)</f>
        <v/>
      </c>
      <c r="CA796">
        <f>IFERROR(INDEX(PP_Grid[#Data],$DD796,77),0)</f>
        <v/>
      </c>
      <c r="CB796">
        <f>IFERROR(INDEX(PP_Grid[#Data],$DD796,78),0)</f>
        <v/>
      </c>
      <c r="CC796">
        <f>IFERROR(INDEX(PP_Grid[#Data],$DD796,79),0)</f>
        <v/>
      </c>
      <c r="CD796">
        <f>IFERROR(INDEX(PP_Grid[#Data],$DD796,80),0)</f>
        <v/>
      </c>
      <c r="CE796">
        <f>IFERROR(INDEX(PP_Grid[#Data],$DD796,81),0)</f>
        <v/>
      </c>
      <c r="CF796">
        <f>IFERROR(INDEX(PP_Grid[#Data],$DD796,82),0)</f>
        <v/>
      </c>
      <c r="CG796">
        <f>IFERROR(INDEX(PP_Grid[#Data],$DD796,83),0)</f>
        <v/>
      </c>
      <c r="CH796">
        <f>IFERROR(INDEX(PP_Grid[#Data],$DD796,84),0)</f>
        <v/>
      </c>
      <c r="CI796">
        <f>IFERROR(INDEX(PP_Grid[#Data],$DD796,85),0)</f>
        <v/>
      </c>
      <c r="CJ796">
        <f>IFERROR(INDEX(PP_Grid[#Data],$DD796,86),0)</f>
        <v/>
      </c>
      <c r="CK796">
        <f>IFERROR(INDEX(PP_Grid[#Data],$DD796,87),0)</f>
        <v/>
      </c>
      <c r="CL796">
        <f>IFERROR(INDEX(PP_Grid[#Data],$DD796,88),0)</f>
        <v/>
      </c>
      <c r="CM796">
        <f>IFERROR(INDEX(PP_Grid[#Data],$DD796,89),0)</f>
        <v/>
      </c>
      <c r="CN796">
        <f>IFERROR(INDEX(PP_Grid[#Data],$DD796,90),0)</f>
        <v/>
      </c>
      <c r="CO796">
        <f>IFERROR(INDEX(PP_Grid[#Data],$DD796,91),0)</f>
        <v/>
      </c>
      <c r="CP796">
        <f>IFERROR(INDEX(PP_Grid[#Data],$DD796,92),0)</f>
        <v/>
      </c>
      <c r="CQ796">
        <f>IFERROR(INDEX(PP_Grid[#Data],$DD796,93),0)</f>
        <v/>
      </c>
      <c r="CR796">
        <f>IFERROR(INDEX(PP_Grid[#Data],$DD796,94),0)</f>
        <v/>
      </c>
      <c r="CS796">
        <f>IFERROR(INDEX(PP_Grid[#Data],$DD796,95),0)</f>
        <v/>
      </c>
      <c r="CT796">
        <f>IFERROR(INDEX(PP_Grid[#Data],$DD796,96),0)</f>
        <v/>
      </c>
      <c r="CU796">
        <f>IFERROR(INDEX(PP_Grid[#Data],$DD796,97),0)</f>
        <v/>
      </c>
      <c r="CV796">
        <f>IFERROR(INDEX(PP_Grid[#Data],$DD796,98),0)</f>
        <v/>
      </c>
      <c r="CW796">
        <f>IFERROR(INDEX(PP_Grid[#Data],$DD796,99),0)</f>
        <v/>
      </c>
      <c r="CX796">
        <f>IFERROR(INDEX(PP_Grid[#Data],$DD796,100),0)</f>
        <v/>
      </c>
      <c r="CY796">
        <f>IFERROR(INDEX(PP_Grid[#Data],$DD796,101),0)</f>
        <v/>
      </c>
      <c r="CZ796">
        <f>IFERROR(INDEX(PP_Grid[#Data],$DD796,102),0)</f>
        <v/>
      </c>
      <c r="DA796">
        <f>IFERROR(INDEX(PP_Grid[#Data],$DD796,103),0)</f>
        <v/>
      </c>
      <c r="DB796">
        <f>IFERROR(INDEX(PP_Grid[#Data],$DD796,104),0)</f>
        <v/>
      </c>
      <c r="DC796">
        <f>IFERROR(INDEX(PP_Grid[#Data],$DD796,105),0)</f>
        <v/>
      </c>
      <c r="DD796" s="7">
        <f>IFERROR(MATCH($B796,PP_Grid[Intermediate],0),99999)</f>
        <v/>
      </c>
    </row>
    <row r="797">
      <c r="B797" t="inlineStr">
        <is>
          <t>使用量(kg)</t>
        </is>
      </c>
      <c r="C797">
        <f>SUMIFS(M_BOM[RM_Qty_Per_Batch],M_BOM[Intermediate],$B796,M_BOM[Part Name],$A759)</f>
        <v/>
      </c>
      <c r="D797">
        <f>$C797*D796</f>
        <v/>
      </c>
      <c r="E797">
        <f>$C797*E796</f>
        <v/>
      </c>
      <c r="F797">
        <f>$C797*F796</f>
        <v/>
      </c>
      <c r="G797">
        <f>$C797*G796</f>
        <v/>
      </c>
      <c r="H797">
        <f>$C797*H796</f>
        <v/>
      </c>
      <c r="I797">
        <f>$C797*I796</f>
        <v/>
      </c>
      <c r="J797">
        <f>$C797*J796</f>
        <v/>
      </c>
      <c r="K797">
        <f>$C797*K796</f>
        <v/>
      </c>
      <c r="L797">
        <f>$C797*L796</f>
        <v/>
      </c>
      <c r="M797">
        <f>$C797*M796</f>
        <v/>
      </c>
      <c r="N797">
        <f>$C797*N796</f>
        <v/>
      </c>
      <c r="O797">
        <f>$C797*O796</f>
        <v/>
      </c>
      <c r="P797">
        <f>$C797*P796</f>
        <v/>
      </c>
      <c r="Q797">
        <f>$C797*Q796</f>
        <v/>
      </c>
      <c r="R797">
        <f>$C797*R796</f>
        <v/>
      </c>
      <c r="S797">
        <f>$C797*S796</f>
        <v/>
      </c>
      <c r="T797">
        <f>$C797*T796</f>
        <v/>
      </c>
      <c r="U797">
        <f>$C797*U796</f>
        <v/>
      </c>
      <c r="V797">
        <f>$C797*V796</f>
        <v/>
      </c>
      <c r="W797">
        <f>$C797*W796</f>
        <v/>
      </c>
      <c r="X797">
        <f>$C797*X796</f>
        <v/>
      </c>
      <c r="Y797">
        <f>$C797*Y796</f>
        <v/>
      </c>
      <c r="Z797">
        <f>$C797*Z796</f>
        <v/>
      </c>
      <c r="AA797">
        <f>$C797*AA796</f>
        <v/>
      </c>
      <c r="AB797">
        <f>$C797*AB796</f>
        <v/>
      </c>
      <c r="AC797">
        <f>$C797*AC796</f>
        <v/>
      </c>
      <c r="AD797">
        <f>$C797*AD796</f>
        <v/>
      </c>
      <c r="AE797">
        <f>$C797*AE796</f>
        <v/>
      </c>
      <c r="AF797">
        <f>$C797*AF796</f>
        <v/>
      </c>
      <c r="AG797">
        <f>$C797*AG796</f>
        <v/>
      </c>
      <c r="AH797">
        <f>$C797*AH796</f>
        <v/>
      </c>
      <c r="AI797">
        <f>$C797*AI796</f>
        <v/>
      </c>
      <c r="AJ797">
        <f>$C797*AJ796</f>
        <v/>
      </c>
      <c r="AK797">
        <f>$C797*AK796</f>
        <v/>
      </c>
      <c r="AL797">
        <f>$C797*AL796</f>
        <v/>
      </c>
      <c r="AM797">
        <f>$C797*AM796</f>
        <v/>
      </c>
      <c r="AN797">
        <f>$C797*AN796</f>
        <v/>
      </c>
      <c r="AO797">
        <f>$C797*AO796</f>
        <v/>
      </c>
      <c r="AP797">
        <f>$C797*AP796</f>
        <v/>
      </c>
      <c r="AQ797">
        <f>$C797*AQ796</f>
        <v/>
      </c>
      <c r="AR797">
        <f>$C797*AR796</f>
        <v/>
      </c>
      <c r="AS797">
        <f>$C797*AS796</f>
        <v/>
      </c>
      <c r="AT797">
        <f>$C797*AT796</f>
        <v/>
      </c>
      <c r="AU797">
        <f>$C797*AU796</f>
        <v/>
      </c>
      <c r="AV797">
        <f>$C797*AV796</f>
        <v/>
      </c>
      <c r="AW797">
        <f>$C797*AW796</f>
        <v/>
      </c>
      <c r="AX797">
        <f>$C797*AX796</f>
        <v/>
      </c>
      <c r="AY797">
        <f>$C797*AY796</f>
        <v/>
      </c>
      <c r="AZ797">
        <f>$C797*AZ796</f>
        <v/>
      </c>
      <c r="BA797">
        <f>$C797*BA796</f>
        <v/>
      </c>
      <c r="BB797">
        <f>$C797*BB796</f>
        <v/>
      </c>
      <c r="BC797">
        <f>$C797*BC796</f>
        <v/>
      </c>
      <c r="BD797">
        <f>$C797*BD796</f>
        <v/>
      </c>
      <c r="BE797">
        <f>$C797*BE796</f>
        <v/>
      </c>
      <c r="BF797">
        <f>$C797*BF796</f>
        <v/>
      </c>
      <c r="BG797">
        <f>$C797*BG796</f>
        <v/>
      </c>
      <c r="BH797">
        <f>$C797*BH796</f>
        <v/>
      </c>
      <c r="BI797">
        <f>$C797*BI796</f>
        <v/>
      </c>
      <c r="BJ797">
        <f>$C797*BJ796</f>
        <v/>
      </c>
      <c r="BK797">
        <f>$C797*BK796</f>
        <v/>
      </c>
      <c r="BL797">
        <f>$C797*BL796</f>
        <v/>
      </c>
      <c r="BM797">
        <f>$C797*BM796</f>
        <v/>
      </c>
      <c r="BN797">
        <f>$C797*BN796</f>
        <v/>
      </c>
      <c r="BO797">
        <f>$C797*BO796</f>
        <v/>
      </c>
      <c r="BP797">
        <f>$C797*BP796</f>
        <v/>
      </c>
      <c r="BQ797">
        <f>$C797*BQ796</f>
        <v/>
      </c>
      <c r="BR797">
        <f>$C797*BR796</f>
        <v/>
      </c>
      <c r="BS797">
        <f>$C797*BS796</f>
        <v/>
      </c>
      <c r="BT797">
        <f>$C797*BT796</f>
        <v/>
      </c>
      <c r="BU797">
        <f>$C797*BU796</f>
        <v/>
      </c>
      <c r="BV797">
        <f>$C797*BV796</f>
        <v/>
      </c>
      <c r="BW797">
        <f>$C797*BW796</f>
        <v/>
      </c>
      <c r="BX797">
        <f>$C797*BX796</f>
        <v/>
      </c>
      <c r="BY797">
        <f>$C797*BY796</f>
        <v/>
      </c>
      <c r="BZ797">
        <f>$C797*BZ796</f>
        <v/>
      </c>
      <c r="CA797">
        <f>$C797*CA796</f>
        <v/>
      </c>
      <c r="CB797">
        <f>$C797*CB796</f>
        <v/>
      </c>
      <c r="CC797">
        <f>$C797*CC796</f>
        <v/>
      </c>
      <c r="CD797">
        <f>$C797*CD796</f>
        <v/>
      </c>
      <c r="CE797">
        <f>$C797*CE796</f>
        <v/>
      </c>
      <c r="CF797">
        <f>$C797*CF796</f>
        <v/>
      </c>
      <c r="CG797">
        <f>$C797*CG796</f>
        <v/>
      </c>
      <c r="CH797">
        <f>$C797*CH796</f>
        <v/>
      </c>
      <c r="CI797">
        <f>$C797*CI796</f>
        <v/>
      </c>
      <c r="CJ797">
        <f>$C797*CJ796</f>
        <v/>
      </c>
      <c r="CK797">
        <f>$C797*CK796</f>
        <v/>
      </c>
      <c r="CL797">
        <f>$C797*CL796</f>
        <v/>
      </c>
      <c r="CM797">
        <f>$C797*CM796</f>
        <v/>
      </c>
      <c r="CN797">
        <f>$C797*CN796</f>
        <v/>
      </c>
      <c r="CO797">
        <f>$C797*CO796</f>
        <v/>
      </c>
      <c r="CP797">
        <f>$C797*CP796</f>
        <v/>
      </c>
      <c r="CQ797">
        <f>$C797*CQ796</f>
        <v/>
      </c>
      <c r="CR797">
        <f>$C797*CR796</f>
        <v/>
      </c>
      <c r="CS797">
        <f>$C797*CS796</f>
        <v/>
      </c>
      <c r="CT797">
        <f>$C797*CT796</f>
        <v/>
      </c>
      <c r="CU797">
        <f>$C797*CU796</f>
        <v/>
      </c>
      <c r="CV797">
        <f>$C797*CV796</f>
        <v/>
      </c>
      <c r="CW797">
        <f>$C797*CW796</f>
        <v/>
      </c>
      <c r="CX797">
        <f>$C797*CX796</f>
        <v/>
      </c>
      <c r="CY797">
        <f>$C797*CY796</f>
        <v/>
      </c>
      <c r="CZ797">
        <f>$C797*CZ796</f>
        <v/>
      </c>
      <c r="DA797">
        <f>$C797*DA796</f>
        <v/>
      </c>
      <c r="DB797">
        <f>$C797*DB796</f>
        <v/>
      </c>
      <c r="DC797">
        <f>$C797*DC796</f>
        <v/>
      </c>
    </row>
    <row r="798">
      <c r="B798" t="inlineStr">
        <is>
          <t>VSP-738</t>
        </is>
      </c>
      <c r="C798" t="inlineStr">
        <is>
          <t>No. of batches</t>
        </is>
      </c>
      <c r="D798">
        <f>IFERROR(INDEX(PP_Grid[#Data],$DD798,2),0)</f>
        <v/>
      </c>
      <c r="E798">
        <f>IFERROR(INDEX(PP_Grid[#Data],$DD798,3),0)</f>
        <v/>
      </c>
      <c r="F798">
        <f>IFERROR(INDEX(PP_Grid[#Data],$DD798,4),0)</f>
        <v/>
      </c>
      <c r="G798">
        <f>IFERROR(INDEX(PP_Grid[#Data],$DD798,5),0)</f>
        <v/>
      </c>
      <c r="H798">
        <f>IFERROR(INDEX(PP_Grid[#Data],$DD798,6),0)</f>
        <v/>
      </c>
      <c r="I798">
        <f>IFERROR(INDEX(PP_Grid[#Data],$DD798,7),0)</f>
        <v/>
      </c>
      <c r="J798">
        <f>IFERROR(INDEX(PP_Grid[#Data],$DD798,8),0)</f>
        <v/>
      </c>
      <c r="K798">
        <f>IFERROR(INDEX(PP_Grid[#Data],$DD798,9),0)</f>
        <v/>
      </c>
      <c r="L798">
        <f>IFERROR(INDEX(PP_Grid[#Data],$DD798,10),0)</f>
        <v/>
      </c>
      <c r="M798">
        <f>IFERROR(INDEX(PP_Grid[#Data],$DD798,11),0)</f>
        <v/>
      </c>
      <c r="N798">
        <f>IFERROR(INDEX(PP_Grid[#Data],$DD798,12),0)</f>
        <v/>
      </c>
      <c r="O798">
        <f>IFERROR(INDEX(PP_Grid[#Data],$DD798,13),0)</f>
        <v/>
      </c>
      <c r="P798">
        <f>IFERROR(INDEX(PP_Grid[#Data],$DD798,14),0)</f>
        <v/>
      </c>
      <c r="Q798">
        <f>IFERROR(INDEX(PP_Grid[#Data],$DD798,15),0)</f>
        <v/>
      </c>
      <c r="R798">
        <f>IFERROR(INDEX(PP_Grid[#Data],$DD798,16),0)</f>
        <v/>
      </c>
      <c r="S798">
        <f>IFERROR(INDEX(PP_Grid[#Data],$DD798,17),0)</f>
        <v/>
      </c>
      <c r="T798">
        <f>IFERROR(INDEX(PP_Grid[#Data],$DD798,18),0)</f>
        <v/>
      </c>
      <c r="U798">
        <f>IFERROR(INDEX(PP_Grid[#Data],$DD798,19),0)</f>
        <v/>
      </c>
      <c r="V798">
        <f>IFERROR(INDEX(PP_Grid[#Data],$DD798,20),0)</f>
        <v/>
      </c>
      <c r="W798">
        <f>IFERROR(INDEX(PP_Grid[#Data],$DD798,21),0)</f>
        <v/>
      </c>
      <c r="X798">
        <f>IFERROR(INDEX(PP_Grid[#Data],$DD798,22),0)</f>
        <v/>
      </c>
      <c r="Y798">
        <f>IFERROR(INDEX(PP_Grid[#Data],$DD798,23),0)</f>
        <v/>
      </c>
      <c r="Z798">
        <f>IFERROR(INDEX(PP_Grid[#Data],$DD798,24),0)</f>
        <v/>
      </c>
      <c r="AA798">
        <f>IFERROR(INDEX(PP_Grid[#Data],$DD798,25),0)</f>
        <v/>
      </c>
      <c r="AB798">
        <f>IFERROR(INDEX(PP_Grid[#Data],$DD798,26),0)</f>
        <v/>
      </c>
      <c r="AC798">
        <f>IFERROR(INDEX(PP_Grid[#Data],$DD798,27),0)</f>
        <v/>
      </c>
      <c r="AD798">
        <f>IFERROR(INDEX(PP_Grid[#Data],$DD798,28),0)</f>
        <v/>
      </c>
      <c r="AE798">
        <f>IFERROR(INDEX(PP_Grid[#Data],$DD798,29),0)</f>
        <v/>
      </c>
      <c r="AF798">
        <f>IFERROR(INDEX(PP_Grid[#Data],$DD798,30),0)</f>
        <v/>
      </c>
      <c r="AG798">
        <f>IFERROR(INDEX(PP_Grid[#Data],$DD798,31),0)</f>
        <v/>
      </c>
      <c r="AH798">
        <f>IFERROR(INDEX(PP_Grid[#Data],$DD798,32),0)</f>
        <v/>
      </c>
      <c r="AI798">
        <f>IFERROR(INDEX(PP_Grid[#Data],$DD798,33),0)</f>
        <v/>
      </c>
      <c r="AJ798">
        <f>IFERROR(INDEX(PP_Grid[#Data],$DD798,34),0)</f>
        <v/>
      </c>
      <c r="AK798">
        <f>IFERROR(INDEX(PP_Grid[#Data],$DD798,35),0)</f>
        <v/>
      </c>
      <c r="AL798">
        <f>IFERROR(INDEX(PP_Grid[#Data],$DD798,36),0)</f>
        <v/>
      </c>
      <c r="AM798">
        <f>IFERROR(INDEX(PP_Grid[#Data],$DD798,37),0)</f>
        <v/>
      </c>
      <c r="AN798">
        <f>IFERROR(INDEX(PP_Grid[#Data],$DD798,38),0)</f>
        <v/>
      </c>
      <c r="AO798">
        <f>IFERROR(INDEX(PP_Grid[#Data],$DD798,39),0)</f>
        <v/>
      </c>
      <c r="AP798">
        <f>IFERROR(INDEX(PP_Grid[#Data],$DD798,40),0)</f>
        <v/>
      </c>
      <c r="AQ798">
        <f>IFERROR(INDEX(PP_Grid[#Data],$DD798,41),0)</f>
        <v/>
      </c>
      <c r="AR798">
        <f>IFERROR(INDEX(PP_Grid[#Data],$DD798,42),0)</f>
        <v/>
      </c>
      <c r="AS798">
        <f>IFERROR(INDEX(PP_Grid[#Data],$DD798,43),0)</f>
        <v/>
      </c>
      <c r="AT798">
        <f>IFERROR(INDEX(PP_Grid[#Data],$DD798,44),0)</f>
        <v/>
      </c>
      <c r="AU798">
        <f>IFERROR(INDEX(PP_Grid[#Data],$DD798,45),0)</f>
        <v/>
      </c>
      <c r="AV798">
        <f>IFERROR(INDEX(PP_Grid[#Data],$DD798,46),0)</f>
        <v/>
      </c>
      <c r="AW798">
        <f>IFERROR(INDEX(PP_Grid[#Data],$DD798,47),0)</f>
        <v/>
      </c>
      <c r="AX798">
        <f>IFERROR(INDEX(PP_Grid[#Data],$DD798,48),0)</f>
        <v/>
      </c>
      <c r="AY798">
        <f>IFERROR(INDEX(PP_Grid[#Data],$DD798,49),0)</f>
        <v/>
      </c>
      <c r="AZ798">
        <f>IFERROR(INDEX(PP_Grid[#Data],$DD798,50),0)</f>
        <v/>
      </c>
      <c r="BA798">
        <f>IFERROR(INDEX(PP_Grid[#Data],$DD798,51),0)</f>
        <v/>
      </c>
      <c r="BB798">
        <f>IFERROR(INDEX(PP_Grid[#Data],$DD798,52),0)</f>
        <v/>
      </c>
      <c r="BC798">
        <f>IFERROR(INDEX(PP_Grid[#Data],$DD798,53),0)</f>
        <v/>
      </c>
      <c r="BD798">
        <f>IFERROR(INDEX(PP_Grid[#Data],$DD798,54),0)</f>
        <v/>
      </c>
      <c r="BE798">
        <f>IFERROR(INDEX(PP_Grid[#Data],$DD798,55),0)</f>
        <v/>
      </c>
      <c r="BF798">
        <f>IFERROR(INDEX(PP_Grid[#Data],$DD798,56),0)</f>
        <v/>
      </c>
      <c r="BG798">
        <f>IFERROR(INDEX(PP_Grid[#Data],$DD798,57),0)</f>
        <v/>
      </c>
      <c r="BH798">
        <f>IFERROR(INDEX(PP_Grid[#Data],$DD798,58),0)</f>
        <v/>
      </c>
      <c r="BI798">
        <f>IFERROR(INDEX(PP_Grid[#Data],$DD798,59),0)</f>
        <v/>
      </c>
      <c r="BJ798">
        <f>IFERROR(INDEX(PP_Grid[#Data],$DD798,60),0)</f>
        <v/>
      </c>
      <c r="BK798">
        <f>IFERROR(INDEX(PP_Grid[#Data],$DD798,61),0)</f>
        <v/>
      </c>
      <c r="BL798">
        <f>IFERROR(INDEX(PP_Grid[#Data],$DD798,62),0)</f>
        <v/>
      </c>
      <c r="BM798">
        <f>IFERROR(INDEX(PP_Grid[#Data],$DD798,63),0)</f>
        <v/>
      </c>
      <c r="BN798">
        <f>IFERROR(INDEX(PP_Grid[#Data],$DD798,64),0)</f>
        <v/>
      </c>
      <c r="BO798">
        <f>IFERROR(INDEX(PP_Grid[#Data],$DD798,65),0)</f>
        <v/>
      </c>
      <c r="BP798">
        <f>IFERROR(INDEX(PP_Grid[#Data],$DD798,66),0)</f>
        <v/>
      </c>
      <c r="BQ798">
        <f>IFERROR(INDEX(PP_Grid[#Data],$DD798,67),0)</f>
        <v/>
      </c>
      <c r="BR798">
        <f>IFERROR(INDEX(PP_Grid[#Data],$DD798,68),0)</f>
        <v/>
      </c>
      <c r="BS798">
        <f>IFERROR(INDEX(PP_Grid[#Data],$DD798,69),0)</f>
        <v/>
      </c>
      <c r="BT798">
        <f>IFERROR(INDEX(PP_Grid[#Data],$DD798,70),0)</f>
        <v/>
      </c>
      <c r="BU798">
        <f>IFERROR(INDEX(PP_Grid[#Data],$DD798,71),0)</f>
        <v/>
      </c>
      <c r="BV798">
        <f>IFERROR(INDEX(PP_Grid[#Data],$DD798,72),0)</f>
        <v/>
      </c>
      <c r="BW798">
        <f>IFERROR(INDEX(PP_Grid[#Data],$DD798,73),0)</f>
        <v/>
      </c>
      <c r="BX798">
        <f>IFERROR(INDEX(PP_Grid[#Data],$DD798,74),0)</f>
        <v/>
      </c>
      <c r="BY798">
        <f>IFERROR(INDEX(PP_Grid[#Data],$DD798,75),0)</f>
        <v/>
      </c>
      <c r="BZ798">
        <f>IFERROR(INDEX(PP_Grid[#Data],$DD798,76),0)</f>
        <v/>
      </c>
      <c r="CA798">
        <f>IFERROR(INDEX(PP_Grid[#Data],$DD798,77),0)</f>
        <v/>
      </c>
      <c r="CB798">
        <f>IFERROR(INDEX(PP_Grid[#Data],$DD798,78),0)</f>
        <v/>
      </c>
      <c r="CC798">
        <f>IFERROR(INDEX(PP_Grid[#Data],$DD798,79),0)</f>
        <v/>
      </c>
      <c r="CD798">
        <f>IFERROR(INDEX(PP_Grid[#Data],$DD798,80),0)</f>
        <v/>
      </c>
      <c r="CE798">
        <f>IFERROR(INDEX(PP_Grid[#Data],$DD798,81),0)</f>
        <v/>
      </c>
      <c r="CF798">
        <f>IFERROR(INDEX(PP_Grid[#Data],$DD798,82),0)</f>
        <v/>
      </c>
      <c r="CG798">
        <f>IFERROR(INDEX(PP_Grid[#Data],$DD798,83),0)</f>
        <v/>
      </c>
      <c r="CH798">
        <f>IFERROR(INDEX(PP_Grid[#Data],$DD798,84),0)</f>
        <v/>
      </c>
      <c r="CI798">
        <f>IFERROR(INDEX(PP_Grid[#Data],$DD798,85),0)</f>
        <v/>
      </c>
      <c r="CJ798">
        <f>IFERROR(INDEX(PP_Grid[#Data],$DD798,86),0)</f>
        <v/>
      </c>
      <c r="CK798">
        <f>IFERROR(INDEX(PP_Grid[#Data],$DD798,87),0)</f>
        <v/>
      </c>
      <c r="CL798">
        <f>IFERROR(INDEX(PP_Grid[#Data],$DD798,88),0)</f>
        <v/>
      </c>
      <c r="CM798">
        <f>IFERROR(INDEX(PP_Grid[#Data],$DD798,89),0)</f>
        <v/>
      </c>
      <c r="CN798">
        <f>IFERROR(INDEX(PP_Grid[#Data],$DD798,90),0)</f>
        <v/>
      </c>
      <c r="CO798">
        <f>IFERROR(INDEX(PP_Grid[#Data],$DD798,91),0)</f>
        <v/>
      </c>
      <c r="CP798">
        <f>IFERROR(INDEX(PP_Grid[#Data],$DD798,92),0)</f>
        <v/>
      </c>
      <c r="CQ798">
        <f>IFERROR(INDEX(PP_Grid[#Data],$DD798,93),0)</f>
        <v/>
      </c>
      <c r="CR798">
        <f>IFERROR(INDEX(PP_Grid[#Data],$DD798,94),0)</f>
        <v/>
      </c>
      <c r="CS798">
        <f>IFERROR(INDEX(PP_Grid[#Data],$DD798,95),0)</f>
        <v/>
      </c>
      <c r="CT798">
        <f>IFERROR(INDEX(PP_Grid[#Data],$DD798,96),0)</f>
        <v/>
      </c>
      <c r="CU798">
        <f>IFERROR(INDEX(PP_Grid[#Data],$DD798,97),0)</f>
        <v/>
      </c>
      <c r="CV798">
        <f>IFERROR(INDEX(PP_Grid[#Data],$DD798,98),0)</f>
        <v/>
      </c>
      <c r="CW798">
        <f>IFERROR(INDEX(PP_Grid[#Data],$DD798,99),0)</f>
        <v/>
      </c>
      <c r="CX798">
        <f>IFERROR(INDEX(PP_Grid[#Data],$DD798,100),0)</f>
        <v/>
      </c>
      <c r="CY798">
        <f>IFERROR(INDEX(PP_Grid[#Data],$DD798,101),0)</f>
        <v/>
      </c>
      <c r="CZ798">
        <f>IFERROR(INDEX(PP_Grid[#Data],$DD798,102),0)</f>
        <v/>
      </c>
      <c r="DA798">
        <f>IFERROR(INDEX(PP_Grid[#Data],$DD798,103),0)</f>
        <v/>
      </c>
      <c r="DB798">
        <f>IFERROR(INDEX(PP_Grid[#Data],$DD798,104),0)</f>
        <v/>
      </c>
      <c r="DC798">
        <f>IFERROR(INDEX(PP_Grid[#Data],$DD798,105),0)</f>
        <v/>
      </c>
      <c r="DD798" s="7">
        <f>IFERROR(MATCH($B798,PP_Grid[Intermediate],0),99999)</f>
        <v/>
      </c>
    </row>
    <row r="799">
      <c r="B799" t="inlineStr">
        <is>
          <t>使用量(kg)</t>
        </is>
      </c>
      <c r="C799">
        <f>SUMIFS(M_BOM[RM_Qty_Per_Batch],M_BOM[Intermediate],$B798,M_BOM[Part Name],$A759)</f>
        <v/>
      </c>
      <c r="D799">
        <f>$C799*D798</f>
        <v/>
      </c>
      <c r="E799">
        <f>$C799*E798</f>
        <v/>
      </c>
      <c r="F799">
        <f>$C799*F798</f>
        <v/>
      </c>
      <c r="G799">
        <f>$C799*G798</f>
        <v/>
      </c>
      <c r="H799">
        <f>$C799*H798</f>
        <v/>
      </c>
      <c r="I799">
        <f>$C799*I798</f>
        <v/>
      </c>
      <c r="J799">
        <f>$C799*J798</f>
        <v/>
      </c>
      <c r="K799">
        <f>$C799*K798</f>
        <v/>
      </c>
      <c r="L799">
        <f>$C799*L798</f>
        <v/>
      </c>
      <c r="M799">
        <f>$C799*M798</f>
        <v/>
      </c>
      <c r="N799">
        <f>$C799*N798</f>
        <v/>
      </c>
      <c r="O799">
        <f>$C799*O798</f>
        <v/>
      </c>
      <c r="P799">
        <f>$C799*P798</f>
        <v/>
      </c>
      <c r="Q799">
        <f>$C799*Q798</f>
        <v/>
      </c>
      <c r="R799">
        <f>$C799*R798</f>
        <v/>
      </c>
      <c r="S799">
        <f>$C799*S798</f>
        <v/>
      </c>
      <c r="T799">
        <f>$C799*T798</f>
        <v/>
      </c>
      <c r="U799">
        <f>$C799*U798</f>
        <v/>
      </c>
      <c r="V799">
        <f>$C799*V798</f>
        <v/>
      </c>
      <c r="W799">
        <f>$C799*W798</f>
        <v/>
      </c>
      <c r="X799">
        <f>$C799*X798</f>
        <v/>
      </c>
      <c r="Y799">
        <f>$C799*Y798</f>
        <v/>
      </c>
      <c r="Z799">
        <f>$C799*Z798</f>
        <v/>
      </c>
      <c r="AA799">
        <f>$C799*AA798</f>
        <v/>
      </c>
      <c r="AB799">
        <f>$C799*AB798</f>
        <v/>
      </c>
      <c r="AC799">
        <f>$C799*AC798</f>
        <v/>
      </c>
      <c r="AD799">
        <f>$C799*AD798</f>
        <v/>
      </c>
      <c r="AE799">
        <f>$C799*AE798</f>
        <v/>
      </c>
      <c r="AF799">
        <f>$C799*AF798</f>
        <v/>
      </c>
      <c r="AG799">
        <f>$C799*AG798</f>
        <v/>
      </c>
      <c r="AH799">
        <f>$C799*AH798</f>
        <v/>
      </c>
      <c r="AI799">
        <f>$C799*AI798</f>
        <v/>
      </c>
      <c r="AJ799">
        <f>$C799*AJ798</f>
        <v/>
      </c>
      <c r="AK799">
        <f>$C799*AK798</f>
        <v/>
      </c>
      <c r="AL799">
        <f>$C799*AL798</f>
        <v/>
      </c>
      <c r="AM799">
        <f>$C799*AM798</f>
        <v/>
      </c>
      <c r="AN799">
        <f>$C799*AN798</f>
        <v/>
      </c>
      <c r="AO799">
        <f>$C799*AO798</f>
        <v/>
      </c>
      <c r="AP799">
        <f>$C799*AP798</f>
        <v/>
      </c>
      <c r="AQ799">
        <f>$C799*AQ798</f>
        <v/>
      </c>
      <c r="AR799">
        <f>$C799*AR798</f>
        <v/>
      </c>
      <c r="AS799">
        <f>$C799*AS798</f>
        <v/>
      </c>
      <c r="AT799">
        <f>$C799*AT798</f>
        <v/>
      </c>
      <c r="AU799">
        <f>$C799*AU798</f>
        <v/>
      </c>
      <c r="AV799">
        <f>$C799*AV798</f>
        <v/>
      </c>
      <c r="AW799">
        <f>$C799*AW798</f>
        <v/>
      </c>
      <c r="AX799">
        <f>$C799*AX798</f>
        <v/>
      </c>
      <c r="AY799">
        <f>$C799*AY798</f>
        <v/>
      </c>
      <c r="AZ799">
        <f>$C799*AZ798</f>
        <v/>
      </c>
      <c r="BA799">
        <f>$C799*BA798</f>
        <v/>
      </c>
      <c r="BB799">
        <f>$C799*BB798</f>
        <v/>
      </c>
      <c r="BC799">
        <f>$C799*BC798</f>
        <v/>
      </c>
      <c r="BD799">
        <f>$C799*BD798</f>
        <v/>
      </c>
      <c r="BE799">
        <f>$C799*BE798</f>
        <v/>
      </c>
      <c r="BF799">
        <f>$C799*BF798</f>
        <v/>
      </c>
      <c r="BG799">
        <f>$C799*BG798</f>
        <v/>
      </c>
      <c r="BH799">
        <f>$C799*BH798</f>
        <v/>
      </c>
      <c r="BI799">
        <f>$C799*BI798</f>
        <v/>
      </c>
      <c r="BJ799">
        <f>$C799*BJ798</f>
        <v/>
      </c>
      <c r="BK799">
        <f>$C799*BK798</f>
        <v/>
      </c>
      <c r="BL799">
        <f>$C799*BL798</f>
        <v/>
      </c>
      <c r="BM799">
        <f>$C799*BM798</f>
        <v/>
      </c>
      <c r="BN799">
        <f>$C799*BN798</f>
        <v/>
      </c>
      <c r="BO799">
        <f>$C799*BO798</f>
        <v/>
      </c>
      <c r="BP799">
        <f>$C799*BP798</f>
        <v/>
      </c>
      <c r="BQ799">
        <f>$C799*BQ798</f>
        <v/>
      </c>
      <c r="BR799">
        <f>$C799*BR798</f>
        <v/>
      </c>
      <c r="BS799">
        <f>$C799*BS798</f>
        <v/>
      </c>
      <c r="BT799">
        <f>$C799*BT798</f>
        <v/>
      </c>
      <c r="BU799">
        <f>$C799*BU798</f>
        <v/>
      </c>
      <c r="BV799">
        <f>$C799*BV798</f>
        <v/>
      </c>
      <c r="BW799">
        <f>$C799*BW798</f>
        <v/>
      </c>
      <c r="BX799">
        <f>$C799*BX798</f>
        <v/>
      </c>
      <c r="BY799">
        <f>$C799*BY798</f>
        <v/>
      </c>
      <c r="BZ799">
        <f>$C799*BZ798</f>
        <v/>
      </c>
      <c r="CA799">
        <f>$C799*CA798</f>
        <v/>
      </c>
      <c r="CB799">
        <f>$C799*CB798</f>
        <v/>
      </c>
      <c r="CC799">
        <f>$C799*CC798</f>
        <v/>
      </c>
      <c r="CD799">
        <f>$C799*CD798</f>
        <v/>
      </c>
      <c r="CE799">
        <f>$C799*CE798</f>
        <v/>
      </c>
      <c r="CF799">
        <f>$C799*CF798</f>
        <v/>
      </c>
      <c r="CG799">
        <f>$C799*CG798</f>
        <v/>
      </c>
      <c r="CH799">
        <f>$C799*CH798</f>
        <v/>
      </c>
      <c r="CI799">
        <f>$C799*CI798</f>
        <v/>
      </c>
      <c r="CJ799">
        <f>$C799*CJ798</f>
        <v/>
      </c>
      <c r="CK799">
        <f>$C799*CK798</f>
        <v/>
      </c>
      <c r="CL799">
        <f>$C799*CL798</f>
        <v/>
      </c>
      <c r="CM799">
        <f>$C799*CM798</f>
        <v/>
      </c>
      <c r="CN799">
        <f>$C799*CN798</f>
        <v/>
      </c>
      <c r="CO799">
        <f>$C799*CO798</f>
        <v/>
      </c>
      <c r="CP799">
        <f>$C799*CP798</f>
        <v/>
      </c>
      <c r="CQ799">
        <f>$C799*CQ798</f>
        <v/>
      </c>
      <c r="CR799">
        <f>$C799*CR798</f>
        <v/>
      </c>
      <c r="CS799">
        <f>$C799*CS798</f>
        <v/>
      </c>
      <c r="CT799">
        <f>$C799*CT798</f>
        <v/>
      </c>
      <c r="CU799">
        <f>$C799*CU798</f>
        <v/>
      </c>
      <c r="CV799">
        <f>$C799*CV798</f>
        <v/>
      </c>
      <c r="CW799">
        <f>$C799*CW798</f>
        <v/>
      </c>
      <c r="CX799">
        <f>$C799*CX798</f>
        <v/>
      </c>
      <c r="CY799">
        <f>$C799*CY798</f>
        <v/>
      </c>
      <c r="CZ799">
        <f>$C799*CZ798</f>
        <v/>
      </c>
      <c r="DA799">
        <f>$C799*DA798</f>
        <v/>
      </c>
      <c r="DB799">
        <f>$C799*DB798</f>
        <v/>
      </c>
      <c r="DC799">
        <f>$C799*DC798</f>
        <v/>
      </c>
    </row>
    <row r="800">
      <c r="B800" t="inlineStr">
        <is>
          <t>VSP-740</t>
        </is>
      </c>
      <c r="C800" t="inlineStr">
        <is>
          <t>No. of batches</t>
        </is>
      </c>
      <c r="D800">
        <f>IFERROR(INDEX(PP_Grid[#Data],$DD800,2),0)</f>
        <v/>
      </c>
      <c r="E800">
        <f>IFERROR(INDEX(PP_Grid[#Data],$DD800,3),0)</f>
        <v/>
      </c>
      <c r="F800">
        <f>IFERROR(INDEX(PP_Grid[#Data],$DD800,4),0)</f>
        <v/>
      </c>
      <c r="G800">
        <f>IFERROR(INDEX(PP_Grid[#Data],$DD800,5),0)</f>
        <v/>
      </c>
      <c r="H800">
        <f>IFERROR(INDEX(PP_Grid[#Data],$DD800,6),0)</f>
        <v/>
      </c>
      <c r="I800">
        <f>IFERROR(INDEX(PP_Grid[#Data],$DD800,7),0)</f>
        <v/>
      </c>
      <c r="J800">
        <f>IFERROR(INDEX(PP_Grid[#Data],$DD800,8),0)</f>
        <v/>
      </c>
      <c r="K800">
        <f>IFERROR(INDEX(PP_Grid[#Data],$DD800,9),0)</f>
        <v/>
      </c>
      <c r="L800">
        <f>IFERROR(INDEX(PP_Grid[#Data],$DD800,10),0)</f>
        <v/>
      </c>
      <c r="M800">
        <f>IFERROR(INDEX(PP_Grid[#Data],$DD800,11),0)</f>
        <v/>
      </c>
      <c r="N800">
        <f>IFERROR(INDEX(PP_Grid[#Data],$DD800,12),0)</f>
        <v/>
      </c>
      <c r="O800">
        <f>IFERROR(INDEX(PP_Grid[#Data],$DD800,13),0)</f>
        <v/>
      </c>
      <c r="P800">
        <f>IFERROR(INDEX(PP_Grid[#Data],$DD800,14),0)</f>
        <v/>
      </c>
      <c r="Q800">
        <f>IFERROR(INDEX(PP_Grid[#Data],$DD800,15),0)</f>
        <v/>
      </c>
      <c r="R800">
        <f>IFERROR(INDEX(PP_Grid[#Data],$DD800,16),0)</f>
        <v/>
      </c>
      <c r="S800">
        <f>IFERROR(INDEX(PP_Grid[#Data],$DD800,17),0)</f>
        <v/>
      </c>
      <c r="T800">
        <f>IFERROR(INDEX(PP_Grid[#Data],$DD800,18),0)</f>
        <v/>
      </c>
      <c r="U800">
        <f>IFERROR(INDEX(PP_Grid[#Data],$DD800,19),0)</f>
        <v/>
      </c>
      <c r="V800">
        <f>IFERROR(INDEX(PP_Grid[#Data],$DD800,20),0)</f>
        <v/>
      </c>
      <c r="W800">
        <f>IFERROR(INDEX(PP_Grid[#Data],$DD800,21),0)</f>
        <v/>
      </c>
      <c r="X800">
        <f>IFERROR(INDEX(PP_Grid[#Data],$DD800,22),0)</f>
        <v/>
      </c>
      <c r="Y800">
        <f>IFERROR(INDEX(PP_Grid[#Data],$DD800,23),0)</f>
        <v/>
      </c>
      <c r="Z800">
        <f>IFERROR(INDEX(PP_Grid[#Data],$DD800,24),0)</f>
        <v/>
      </c>
      <c r="AA800">
        <f>IFERROR(INDEX(PP_Grid[#Data],$DD800,25),0)</f>
        <v/>
      </c>
      <c r="AB800">
        <f>IFERROR(INDEX(PP_Grid[#Data],$DD800,26),0)</f>
        <v/>
      </c>
      <c r="AC800">
        <f>IFERROR(INDEX(PP_Grid[#Data],$DD800,27),0)</f>
        <v/>
      </c>
      <c r="AD800">
        <f>IFERROR(INDEX(PP_Grid[#Data],$DD800,28),0)</f>
        <v/>
      </c>
      <c r="AE800">
        <f>IFERROR(INDEX(PP_Grid[#Data],$DD800,29),0)</f>
        <v/>
      </c>
      <c r="AF800">
        <f>IFERROR(INDEX(PP_Grid[#Data],$DD800,30),0)</f>
        <v/>
      </c>
      <c r="AG800">
        <f>IFERROR(INDEX(PP_Grid[#Data],$DD800,31),0)</f>
        <v/>
      </c>
      <c r="AH800">
        <f>IFERROR(INDEX(PP_Grid[#Data],$DD800,32),0)</f>
        <v/>
      </c>
      <c r="AI800">
        <f>IFERROR(INDEX(PP_Grid[#Data],$DD800,33),0)</f>
        <v/>
      </c>
      <c r="AJ800">
        <f>IFERROR(INDEX(PP_Grid[#Data],$DD800,34),0)</f>
        <v/>
      </c>
      <c r="AK800">
        <f>IFERROR(INDEX(PP_Grid[#Data],$DD800,35),0)</f>
        <v/>
      </c>
      <c r="AL800">
        <f>IFERROR(INDEX(PP_Grid[#Data],$DD800,36),0)</f>
        <v/>
      </c>
      <c r="AM800">
        <f>IFERROR(INDEX(PP_Grid[#Data],$DD800,37),0)</f>
        <v/>
      </c>
      <c r="AN800">
        <f>IFERROR(INDEX(PP_Grid[#Data],$DD800,38),0)</f>
        <v/>
      </c>
      <c r="AO800">
        <f>IFERROR(INDEX(PP_Grid[#Data],$DD800,39),0)</f>
        <v/>
      </c>
      <c r="AP800">
        <f>IFERROR(INDEX(PP_Grid[#Data],$DD800,40),0)</f>
        <v/>
      </c>
      <c r="AQ800">
        <f>IFERROR(INDEX(PP_Grid[#Data],$DD800,41),0)</f>
        <v/>
      </c>
      <c r="AR800">
        <f>IFERROR(INDEX(PP_Grid[#Data],$DD800,42),0)</f>
        <v/>
      </c>
      <c r="AS800">
        <f>IFERROR(INDEX(PP_Grid[#Data],$DD800,43),0)</f>
        <v/>
      </c>
      <c r="AT800">
        <f>IFERROR(INDEX(PP_Grid[#Data],$DD800,44),0)</f>
        <v/>
      </c>
      <c r="AU800">
        <f>IFERROR(INDEX(PP_Grid[#Data],$DD800,45),0)</f>
        <v/>
      </c>
      <c r="AV800">
        <f>IFERROR(INDEX(PP_Grid[#Data],$DD800,46),0)</f>
        <v/>
      </c>
      <c r="AW800">
        <f>IFERROR(INDEX(PP_Grid[#Data],$DD800,47),0)</f>
        <v/>
      </c>
      <c r="AX800">
        <f>IFERROR(INDEX(PP_Grid[#Data],$DD800,48),0)</f>
        <v/>
      </c>
      <c r="AY800">
        <f>IFERROR(INDEX(PP_Grid[#Data],$DD800,49),0)</f>
        <v/>
      </c>
      <c r="AZ800">
        <f>IFERROR(INDEX(PP_Grid[#Data],$DD800,50),0)</f>
        <v/>
      </c>
      <c r="BA800">
        <f>IFERROR(INDEX(PP_Grid[#Data],$DD800,51),0)</f>
        <v/>
      </c>
      <c r="BB800">
        <f>IFERROR(INDEX(PP_Grid[#Data],$DD800,52),0)</f>
        <v/>
      </c>
      <c r="BC800">
        <f>IFERROR(INDEX(PP_Grid[#Data],$DD800,53),0)</f>
        <v/>
      </c>
      <c r="BD800">
        <f>IFERROR(INDEX(PP_Grid[#Data],$DD800,54),0)</f>
        <v/>
      </c>
      <c r="BE800">
        <f>IFERROR(INDEX(PP_Grid[#Data],$DD800,55),0)</f>
        <v/>
      </c>
      <c r="BF800">
        <f>IFERROR(INDEX(PP_Grid[#Data],$DD800,56),0)</f>
        <v/>
      </c>
      <c r="BG800">
        <f>IFERROR(INDEX(PP_Grid[#Data],$DD800,57),0)</f>
        <v/>
      </c>
      <c r="BH800">
        <f>IFERROR(INDEX(PP_Grid[#Data],$DD800,58),0)</f>
        <v/>
      </c>
      <c r="BI800">
        <f>IFERROR(INDEX(PP_Grid[#Data],$DD800,59),0)</f>
        <v/>
      </c>
      <c r="BJ800">
        <f>IFERROR(INDEX(PP_Grid[#Data],$DD800,60),0)</f>
        <v/>
      </c>
      <c r="BK800">
        <f>IFERROR(INDEX(PP_Grid[#Data],$DD800,61),0)</f>
        <v/>
      </c>
      <c r="BL800">
        <f>IFERROR(INDEX(PP_Grid[#Data],$DD800,62),0)</f>
        <v/>
      </c>
      <c r="BM800">
        <f>IFERROR(INDEX(PP_Grid[#Data],$DD800,63),0)</f>
        <v/>
      </c>
      <c r="BN800">
        <f>IFERROR(INDEX(PP_Grid[#Data],$DD800,64),0)</f>
        <v/>
      </c>
      <c r="BO800">
        <f>IFERROR(INDEX(PP_Grid[#Data],$DD800,65),0)</f>
        <v/>
      </c>
      <c r="BP800">
        <f>IFERROR(INDEX(PP_Grid[#Data],$DD800,66),0)</f>
        <v/>
      </c>
      <c r="BQ800">
        <f>IFERROR(INDEX(PP_Grid[#Data],$DD800,67),0)</f>
        <v/>
      </c>
      <c r="BR800">
        <f>IFERROR(INDEX(PP_Grid[#Data],$DD800,68),0)</f>
        <v/>
      </c>
      <c r="BS800">
        <f>IFERROR(INDEX(PP_Grid[#Data],$DD800,69),0)</f>
        <v/>
      </c>
      <c r="BT800">
        <f>IFERROR(INDEX(PP_Grid[#Data],$DD800,70),0)</f>
        <v/>
      </c>
      <c r="BU800">
        <f>IFERROR(INDEX(PP_Grid[#Data],$DD800,71),0)</f>
        <v/>
      </c>
      <c r="BV800">
        <f>IFERROR(INDEX(PP_Grid[#Data],$DD800,72),0)</f>
        <v/>
      </c>
      <c r="BW800">
        <f>IFERROR(INDEX(PP_Grid[#Data],$DD800,73),0)</f>
        <v/>
      </c>
      <c r="BX800">
        <f>IFERROR(INDEX(PP_Grid[#Data],$DD800,74),0)</f>
        <v/>
      </c>
      <c r="BY800">
        <f>IFERROR(INDEX(PP_Grid[#Data],$DD800,75),0)</f>
        <v/>
      </c>
      <c r="BZ800">
        <f>IFERROR(INDEX(PP_Grid[#Data],$DD800,76),0)</f>
        <v/>
      </c>
      <c r="CA800">
        <f>IFERROR(INDEX(PP_Grid[#Data],$DD800,77),0)</f>
        <v/>
      </c>
      <c r="CB800">
        <f>IFERROR(INDEX(PP_Grid[#Data],$DD800,78),0)</f>
        <v/>
      </c>
      <c r="CC800">
        <f>IFERROR(INDEX(PP_Grid[#Data],$DD800,79),0)</f>
        <v/>
      </c>
      <c r="CD800">
        <f>IFERROR(INDEX(PP_Grid[#Data],$DD800,80),0)</f>
        <v/>
      </c>
      <c r="CE800">
        <f>IFERROR(INDEX(PP_Grid[#Data],$DD800,81),0)</f>
        <v/>
      </c>
      <c r="CF800">
        <f>IFERROR(INDEX(PP_Grid[#Data],$DD800,82),0)</f>
        <v/>
      </c>
      <c r="CG800">
        <f>IFERROR(INDEX(PP_Grid[#Data],$DD800,83),0)</f>
        <v/>
      </c>
      <c r="CH800">
        <f>IFERROR(INDEX(PP_Grid[#Data],$DD800,84),0)</f>
        <v/>
      </c>
      <c r="CI800">
        <f>IFERROR(INDEX(PP_Grid[#Data],$DD800,85),0)</f>
        <v/>
      </c>
      <c r="CJ800">
        <f>IFERROR(INDEX(PP_Grid[#Data],$DD800,86),0)</f>
        <v/>
      </c>
      <c r="CK800">
        <f>IFERROR(INDEX(PP_Grid[#Data],$DD800,87),0)</f>
        <v/>
      </c>
      <c r="CL800">
        <f>IFERROR(INDEX(PP_Grid[#Data],$DD800,88),0)</f>
        <v/>
      </c>
      <c r="CM800">
        <f>IFERROR(INDEX(PP_Grid[#Data],$DD800,89),0)</f>
        <v/>
      </c>
      <c r="CN800">
        <f>IFERROR(INDEX(PP_Grid[#Data],$DD800,90),0)</f>
        <v/>
      </c>
      <c r="CO800">
        <f>IFERROR(INDEX(PP_Grid[#Data],$DD800,91),0)</f>
        <v/>
      </c>
      <c r="CP800">
        <f>IFERROR(INDEX(PP_Grid[#Data],$DD800,92),0)</f>
        <v/>
      </c>
      <c r="CQ800">
        <f>IFERROR(INDEX(PP_Grid[#Data],$DD800,93),0)</f>
        <v/>
      </c>
      <c r="CR800">
        <f>IFERROR(INDEX(PP_Grid[#Data],$DD800,94),0)</f>
        <v/>
      </c>
      <c r="CS800">
        <f>IFERROR(INDEX(PP_Grid[#Data],$DD800,95),0)</f>
        <v/>
      </c>
      <c r="CT800">
        <f>IFERROR(INDEX(PP_Grid[#Data],$DD800,96),0)</f>
        <v/>
      </c>
      <c r="CU800">
        <f>IFERROR(INDEX(PP_Grid[#Data],$DD800,97),0)</f>
        <v/>
      </c>
      <c r="CV800">
        <f>IFERROR(INDEX(PP_Grid[#Data],$DD800,98),0)</f>
        <v/>
      </c>
      <c r="CW800">
        <f>IFERROR(INDEX(PP_Grid[#Data],$DD800,99),0)</f>
        <v/>
      </c>
      <c r="CX800">
        <f>IFERROR(INDEX(PP_Grid[#Data],$DD800,100),0)</f>
        <v/>
      </c>
      <c r="CY800">
        <f>IFERROR(INDEX(PP_Grid[#Data],$DD800,101),0)</f>
        <v/>
      </c>
      <c r="CZ800">
        <f>IFERROR(INDEX(PP_Grid[#Data],$DD800,102),0)</f>
        <v/>
      </c>
      <c r="DA800">
        <f>IFERROR(INDEX(PP_Grid[#Data],$DD800,103),0)</f>
        <v/>
      </c>
      <c r="DB800">
        <f>IFERROR(INDEX(PP_Grid[#Data],$DD800,104),0)</f>
        <v/>
      </c>
      <c r="DC800">
        <f>IFERROR(INDEX(PP_Grid[#Data],$DD800,105),0)</f>
        <v/>
      </c>
      <c r="DD800" s="7">
        <f>IFERROR(MATCH($B800,PP_Grid[Intermediate],0),99999)</f>
        <v/>
      </c>
    </row>
    <row r="801">
      <c r="B801" t="inlineStr">
        <is>
          <t>使用量(kg)</t>
        </is>
      </c>
      <c r="C801">
        <f>SUMIFS(M_BOM[RM_Qty_Per_Batch],M_BOM[Intermediate],$B800,M_BOM[Part Name],$A759)</f>
        <v/>
      </c>
      <c r="D801">
        <f>$C801*D800</f>
        <v/>
      </c>
      <c r="E801">
        <f>$C801*E800</f>
        <v/>
      </c>
      <c r="F801">
        <f>$C801*F800</f>
        <v/>
      </c>
      <c r="G801">
        <f>$C801*G800</f>
        <v/>
      </c>
      <c r="H801">
        <f>$C801*H800</f>
        <v/>
      </c>
      <c r="I801">
        <f>$C801*I800</f>
        <v/>
      </c>
      <c r="J801">
        <f>$C801*J800</f>
        <v/>
      </c>
      <c r="K801">
        <f>$C801*K800</f>
        <v/>
      </c>
      <c r="L801">
        <f>$C801*L800</f>
        <v/>
      </c>
      <c r="M801">
        <f>$C801*M800</f>
        <v/>
      </c>
      <c r="N801">
        <f>$C801*N800</f>
        <v/>
      </c>
      <c r="O801">
        <f>$C801*O800</f>
        <v/>
      </c>
      <c r="P801">
        <f>$C801*P800</f>
        <v/>
      </c>
      <c r="Q801">
        <f>$C801*Q800</f>
        <v/>
      </c>
      <c r="R801">
        <f>$C801*R800</f>
        <v/>
      </c>
      <c r="S801">
        <f>$C801*S800</f>
        <v/>
      </c>
      <c r="T801">
        <f>$C801*T800</f>
        <v/>
      </c>
      <c r="U801">
        <f>$C801*U800</f>
        <v/>
      </c>
      <c r="V801">
        <f>$C801*V800</f>
        <v/>
      </c>
      <c r="W801">
        <f>$C801*W800</f>
        <v/>
      </c>
      <c r="X801">
        <f>$C801*X800</f>
        <v/>
      </c>
      <c r="Y801">
        <f>$C801*Y800</f>
        <v/>
      </c>
      <c r="Z801">
        <f>$C801*Z800</f>
        <v/>
      </c>
      <c r="AA801">
        <f>$C801*AA800</f>
        <v/>
      </c>
      <c r="AB801">
        <f>$C801*AB800</f>
        <v/>
      </c>
      <c r="AC801">
        <f>$C801*AC800</f>
        <v/>
      </c>
      <c r="AD801">
        <f>$C801*AD800</f>
        <v/>
      </c>
      <c r="AE801">
        <f>$C801*AE800</f>
        <v/>
      </c>
      <c r="AF801">
        <f>$C801*AF800</f>
        <v/>
      </c>
      <c r="AG801">
        <f>$C801*AG800</f>
        <v/>
      </c>
      <c r="AH801">
        <f>$C801*AH800</f>
        <v/>
      </c>
      <c r="AI801">
        <f>$C801*AI800</f>
        <v/>
      </c>
      <c r="AJ801">
        <f>$C801*AJ800</f>
        <v/>
      </c>
      <c r="AK801">
        <f>$C801*AK800</f>
        <v/>
      </c>
      <c r="AL801">
        <f>$C801*AL800</f>
        <v/>
      </c>
      <c r="AM801">
        <f>$C801*AM800</f>
        <v/>
      </c>
      <c r="AN801">
        <f>$C801*AN800</f>
        <v/>
      </c>
      <c r="AO801">
        <f>$C801*AO800</f>
        <v/>
      </c>
      <c r="AP801">
        <f>$C801*AP800</f>
        <v/>
      </c>
      <c r="AQ801">
        <f>$C801*AQ800</f>
        <v/>
      </c>
      <c r="AR801">
        <f>$C801*AR800</f>
        <v/>
      </c>
      <c r="AS801">
        <f>$C801*AS800</f>
        <v/>
      </c>
      <c r="AT801">
        <f>$C801*AT800</f>
        <v/>
      </c>
      <c r="AU801">
        <f>$C801*AU800</f>
        <v/>
      </c>
      <c r="AV801">
        <f>$C801*AV800</f>
        <v/>
      </c>
      <c r="AW801">
        <f>$C801*AW800</f>
        <v/>
      </c>
      <c r="AX801">
        <f>$C801*AX800</f>
        <v/>
      </c>
      <c r="AY801">
        <f>$C801*AY800</f>
        <v/>
      </c>
      <c r="AZ801">
        <f>$C801*AZ800</f>
        <v/>
      </c>
      <c r="BA801">
        <f>$C801*BA800</f>
        <v/>
      </c>
      <c r="BB801">
        <f>$C801*BB800</f>
        <v/>
      </c>
      <c r="BC801">
        <f>$C801*BC800</f>
        <v/>
      </c>
      <c r="BD801">
        <f>$C801*BD800</f>
        <v/>
      </c>
      <c r="BE801">
        <f>$C801*BE800</f>
        <v/>
      </c>
      <c r="BF801">
        <f>$C801*BF800</f>
        <v/>
      </c>
      <c r="BG801">
        <f>$C801*BG800</f>
        <v/>
      </c>
      <c r="BH801">
        <f>$C801*BH800</f>
        <v/>
      </c>
      <c r="BI801">
        <f>$C801*BI800</f>
        <v/>
      </c>
      <c r="BJ801">
        <f>$C801*BJ800</f>
        <v/>
      </c>
      <c r="BK801">
        <f>$C801*BK800</f>
        <v/>
      </c>
      <c r="BL801">
        <f>$C801*BL800</f>
        <v/>
      </c>
      <c r="BM801">
        <f>$C801*BM800</f>
        <v/>
      </c>
      <c r="BN801">
        <f>$C801*BN800</f>
        <v/>
      </c>
      <c r="BO801">
        <f>$C801*BO800</f>
        <v/>
      </c>
      <c r="BP801">
        <f>$C801*BP800</f>
        <v/>
      </c>
      <c r="BQ801">
        <f>$C801*BQ800</f>
        <v/>
      </c>
      <c r="BR801">
        <f>$C801*BR800</f>
        <v/>
      </c>
      <c r="BS801">
        <f>$C801*BS800</f>
        <v/>
      </c>
      <c r="BT801">
        <f>$C801*BT800</f>
        <v/>
      </c>
      <c r="BU801">
        <f>$C801*BU800</f>
        <v/>
      </c>
      <c r="BV801">
        <f>$C801*BV800</f>
        <v/>
      </c>
      <c r="BW801">
        <f>$C801*BW800</f>
        <v/>
      </c>
      <c r="BX801">
        <f>$C801*BX800</f>
        <v/>
      </c>
      <c r="BY801">
        <f>$C801*BY800</f>
        <v/>
      </c>
      <c r="BZ801">
        <f>$C801*BZ800</f>
        <v/>
      </c>
      <c r="CA801">
        <f>$C801*CA800</f>
        <v/>
      </c>
      <c r="CB801">
        <f>$C801*CB800</f>
        <v/>
      </c>
      <c r="CC801">
        <f>$C801*CC800</f>
        <v/>
      </c>
      <c r="CD801">
        <f>$C801*CD800</f>
        <v/>
      </c>
      <c r="CE801">
        <f>$C801*CE800</f>
        <v/>
      </c>
      <c r="CF801">
        <f>$C801*CF800</f>
        <v/>
      </c>
      <c r="CG801">
        <f>$C801*CG800</f>
        <v/>
      </c>
      <c r="CH801">
        <f>$C801*CH800</f>
        <v/>
      </c>
      <c r="CI801">
        <f>$C801*CI800</f>
        <v/>
      </c>
      <c r="CJ801">
        <f>$C801*CJ800</f>
        <v/>
      </c>
      <c r="CK801">
        <f>$C801*CK800</f>
        <v/>
      </c>
      <c r="CL801">
        <f>$C801*CL800</f>
        <v/>
      </c>
      <c r="CM801">
        <f>$C801*CM800</f>
        <v/>
      </c>
      <c r="CN801">
        <f>$C801*CN800</f>
        <v/>
      </c>
      <c r="CO801">
        <f>$C801*CO800</f>
        <v/>
      </c>
      <c r="CP801">
        <f>$C801*CP800</f>
        <v/>
      </c>
      <c r="CQ801">
        <f>$C801*CQ800</f>
        <v/>
      </c>
      <c r="CR801">
        <f>$C801*CR800</f>
        <v/>
      </c>
      <c r="CS801">
        <f>$C801*CS800</f>
        <v/>
      </c>
      <c r="CT801">
        <f>$C801*CT800</f>
        <v/>
      </c>
      <c r="CU801">
        <f>$C801*CU800</f>
        <v/>
      </c>
      <c r="CV801">
        <f>$C801*CV800</f>
        <v/>
      </c>
      <c r="CW801">
        <f>$C801*CW800</f>
        <v/>
      </c>
      <c r="CX801">
        <f>$C801*CX800</f>
        <v/>
      </c>
      <c r="CY801">
        <f>$C801*CY800</f>
        <v/>
      </c>
      <c r="CZ801">
        <f>$C801*CZ800</f>
        <v/>
      </c>
      <c r="DA801">
        <f>$C801*DA800</f>
        <v/>
      </c>
      <c r="DB801">
        <f>$C801*DB800</f>
        <v/>
      </c>
      <c r="DC801">
        <f>$C801*DC800</f>
        <v/>
      </c>
    </row>
    <row r="802">
      <c r="B802" t="inlineStr">
        <is>
          <t>VSP-746</t>
        </is>
      </c>
      <c r="C802" t="inlineStr">
        <is>
          <t>No. of batches</t>
        </is>
      </c>
      <c r="D802">
        <f>IFERROR(INDEX(PP_Grid[#Data],$DD802,2),0)</f>
        <v/>
      </c>
      <c r="E802">
        <f>IFERROR(INDEX(PP_Grid[#Data],$DD802,3),0)</f>
        <v/>
      </c>
      <c r="F802">
        <f>IFERROR(INDEX(PP_Grid[#Data],$DD802,4),0)</f>
        <v/>
      </c>
      <c r="G802">
        <f>IFERROR(INDEX(PP_Grid[#Data],$DD802,5),0)</f>
        <v/>
      </c>
      <c r="H802">
        <f>IFERROR(INDEX(PP_Grid[#Data],$DD802,6),0)</f>
        <v/>
      </c>
      <c r="I802">
        <f>IFERROR(INDEX(PP_Grid[#Data],$DD802,7),0)</f>
        <v/>
      </c>
      <c r="J802">
        <f>IFERROR(INDEX(PP_Grid[#Data],$DD802,8),0)</f>
        <v/>
      </c>
      <c r="K802">
        <f>IFERROR(INDEX(PP_Grid[#Data],$DD802,9),0)</f>
        <v/>
      </c>
      <c r="L802">
        <f>IFERROR(INDEX(PP_Grid[#Data],$DD802,10),0)</f>
        <v/>
      </c>
      <c r="M802">
        <f>IFERROR(INDEX(PP_Grid[#Data],$DD802,11),0)</f>
        <v/>
      </c>
      <c r="N802">
        <f>IFERROR(INDEX(PP_Grid[#Data],$DD802,12),0)</f>
        <v/>
      </c>
      <c r="O802">
        <f>IFERROR(INDEX(PP_Grid[#Data],$DD802,13),0)</f>
        <v/>
      </c>
      <c r="P802">
        <f>IFERROR(INDEX(PP_Grid[#Data],$DD802,14),0)</f>
        <v/>
      </c>
      <c r="Q802">
        <f>IFERROR(INDEX(PP_Grid[#Data],$DD802,15),0)</f>
        <v/>
      </c>
      <c r="R802">
        <f>IFERROR(INDEX(PP_Grid[#Data],$DD802,16),0)</f>
        <v/>
      </c>
      <c r="S802">
        <f>IFERROR(INDEX(PP_Grid[#Data],$DD802,17),0)</f>
        <v/>
      </c>
      <c r="T802">
        <f>IFERROR(INDEX(PP_Grid[#Data],$DD802,18),0)</f>
        <v/>
      </c>
      <c r="U802">
        <f>IFERROR(INDEX(PP_Grid[#Data],$DD802,19),0)</f>
        <v/>
      </c>
      <c r="V802">
        <f>IFERROR(INDEX(PP_Grid[#Data],$DD802,20),0)</f>
        <v/>
      </c>
      <c r="W802">
        <f>IFERROR(INDEX(PP_Grid[#Data],$DD802,21),0)</f>
        <v/>
      </c>
      <c r="X802">
        <f>IFERROR(INDEX(PP_Grid[#Data],$DD802,22),0)</f>
        <v/>
      </c>
      <c r="Y802">
        <f>IFERROR(INDEX(PP_Grid[#Data],$DD802,23),0)</f>
        <v/>
      </c>
      <c r="Z802">
        <f>IFERROR(INDEX(PP_Grid[#Data],$DD802,24),0)</f>
        <v/>
      </c>
      <c r="AA802">
        <f>IFERROR(INDEX(PP_Grid[#Data],$DD802,25),0)</f>
        <v/>
      </c>
      <c r="AB802">
        <f>IFERROR(INDEX(PP_Grid[#Data],$DD802,26),0)</f>
        <v/>
      </c>
      <c r="AC802">
        <f>IFERROR(INDEX(PP_Grid[#Data],$DD802,27),0)</f>
        <v/>
      </c>
      <c r="AD802">
        <f>IFERROR(INDEX(PP_Grid[#Data],$DD802,28),0)</f>
        <v/>
      </c>
      <c r="AE802">
        <f>IFERROR(INDEX(PP_Grid[#Data],$DD802,29),0)</f>
        <v/>
      </c>
      <c r="AF802">
        <f>IFERROR(INDEX(PP_Grid[#Data],$DD802,30),0)</f>
        <v/>
      </c>
      <c r="AG802">
        <f>IFERROR(INDEX(PP_Grid[#Data],$DD802,31),0)</f>
        <v/>
      </c>
      <c r="AH802">
        <f>IFERROR(INDEX(PP_Grid[#Data],$DD802,32),0)</f>
        <v/>
      </c>
      <c r="AI802">
        <f>IFERROR(INDEX(PP_Grid[#Data],$DD802,33),0)</f>
        <v/>
      </c>
      <c r="AJ802">
        <f>IFERROR(INDEX(PP_Grid[#Data],$DD802,34),0)</f>
        <v/>
      </c>
      <c r="AK802">
        <f>IFERROR(INDEX(PP_Grid[#Data],$DD802,35),0)</f>
        <v/>
      </c>
      <c r="AL802">
        <f>IFERROR(INDEX(PP_Grid[#Data],$DD802,36),0)</f>
        <v/>
      </c>
      <c r="AM802">
        <f>IFERROR(INDEX(PP_Grid[#Data],$DD802,37),0)</f>
        <v/>
      </c>
      <c r="AN802">
        <f>IFERROR(INDEX(PP_Grid[#Data],$DD802,38),0)</f>
        <v/>
      </c>
      <c r="AO802">
        <f>IFERROR(INDEX(PP_Grid[#Data],$DD802,39),0)</f>
        <v/>
      </c>
      <c r="AP802">
        <f>IFERROR(INDEX(PP_Grid[#Data],$DD802,40),0)</f>
        <v/>
      </c>
      <c r="AQ802">
        <f>IFERROR(INDEX(PP_Grid[#Data],$DD802,41),0)</f>
        <v/>
      </c>
      <c r="AR802">
        <f>IFERROR(INDEX(PP_Grid[#Data],$DD802,42),0)</f>
        <v/>
      </c>
      <c r="AS802">
        <f>IFERROR(INDEX(PP_Grid[#Data],$DD802,43),0)</f>
        <v/>
      </c>
      <c r="AT802">
        <f>IFERROR(INDEX(PP_Grid[#Data],$DD802,44),0)</f>
        <v/>
      </c>
      <c r="AU802">
        <f>IFERROR(INDEX(PP_Grid[#Data],$DD802,45),0)</f>
        <v/>
      </c>
      <c r="AV802">
        <f>IFERROR(INDEX(PP_Grid[#Data],$DD802,46),0)</f>
        <v/>
      </c>
      <c r="AW802">
        <f>IFERROR(INDEX(PP_Grid[#Data],$DD802,47),0)</f>
        <v/>
      </c>
      <c r="AX802">
        <f>IFERROR(INDEX(PP_Grid[#Data],$DD802,48),0)</f>
        <v/>
      </c>
      <c r="AY802">
        <f>IFERROR(INDEX(PP_Grid[#Data],$DD802,49),0)</f>
        <v/>
      </c>
      <c r="AZ802">
        <f>IFERROR(INDEX(PP_Grid[#Data],$DD802,50),0)</f>
        <v/>
      </c>
      <c r="BA802">
        <f>IFERROR(INDEX(PP_Grid[#Data],$DD802,51),0)</f>
        <v/>
      </c>
      <c r="BB802">
        <f>IFERROR(INDEX(PP_Grid[#Data],$DD802,52),0)</f>
        <v/>
      </c>
      <c r="BC802">
        <f>IFERROR(INDEX(PP_Grid[#Data],$DD802,53),0)</f>
        <v/>
      </c>
      <c r="BD802">
        <f>IFERROR(INDEX(PP_Grid[#Data],$DD802,54),0)</f>
        <v/>
      </c>
      <c r="BE802">
        <f>IFERROR(INDEX(PP_Grid[#Data],$DD802,55),0)</f>
        <v/>
      </c>
      <c r="BF802">
        <f>IFERROR(INDEX(PP_Grid[#Data],$DD802,56),0)</f>
        <v/>
      </c>
      <c r="BG802">
        <f>IFERROR(INDEX(PP_Grid[#Data],$DD802,57),0)</f>
        <v/>
      </c>
      <c r="BH802">
        <f>IFERROR(INDEX(PP_Grid[#Data],$DD802,58),0)</f>
        <v/>
      </c>
      <c r="BI802">
        <f>IFERROR(INDEX(PP_Grid[#Data],$DD802,59),0)</f>
        <v/>
      </c>
      <c r="BJ802">
        <f>IFERROR(INDEX(PP_Grid[#Data],$DD802,60),0)</f>
        <v/>
      </c>
      <c r="BK802">
        <f>IFERROR(INDEX(PP_Grid[#Data],$DD802,61),0)</f>
        <v/>
      </c>
      <c r="BL802">
        <f>IFERROR(INDEX(PP_Grid[#Data],$DD802,62),0)</f>
        <v/>
      </c>
      <c r="BM802">
        <f>IFERROR(INDEX(PP_Grid[#Data],$DD802,63),0)</f>
        <v/>
      </c>
      <c r="BN802">
        <f>IFERROR(INDEX(PP_Grid[#Data],$DD802,64),0)</f>
        <v/>
      </c>
      <c r="BO802">
        <f>IFERROR(INDEX(PP_Grid[#Data],$DD802,65),0)</f>
        <v/>
      </c>
      <c r="BP802">
        <f>IFERROR(INDEX(PP_Grid[#Data],$DD802,66),0)</f>
        <v/>
      </c>
      <c r="BQ802">
        <f>IFERROR(INDEX(PP_Grid[#Data],$DD802,67),0)</f>
        <v/>
      </c>
      <c r="BR802">
        <f>IFERROR(INDEX(PP_Grid[#Data],$DD802,68),0)</f>
        <v/>
      </c>
      <c r="BS802">
        <f>IFERROR(INDEX(PP_Grid[#Data],$DD802,69),0)</f>
        <v/>
      </c>
      <c r="BT802">
        <f>IFERROR(INDEX(PP_Grid[#Data],$DD802,70),0)</f>
        <v/>
      </c>
      <c r="BU802">
        <f>IFERROR(INDEX(PP_Grid[#Data],$DD802,71),0)</f>
        <v/>
      </c>
      <c r="BV802">
        <f>IFERROR(INDEX(PP_Grid[#Data],$DD802,72),0)</f>
        <v/>
      </c>
      <c r="BW802">
        <f>IFERROR(INDEX(PP_Grid[#Data],$DD802,73),0)</f>
        <v/>
      </c>
      <c r="BX802">
        <f>IFERROR(INDEX(PP_Grid[#Data],$DD802,74),0)</f>
        <v/>
      </c>
      <c r="BY802">
        <f>IFERROR(INDEX(PP_Grid[#Data],$DD802,75),0)</f>
        <v/>
      </c>
      <c r="BZ802">
        <f>IFERROR(INDEX(PP_Grid[#Data],$DD802,76),0)</f>
        <v/>
      </c>
      <c r="CA802">
        <f>IFERROR(INDEX(PP_Grid[#Data],$DD802,77),0)</f>
        <v/>
      </c>
      <c r="CB802">
        <f>IFERROR(INDEX(PP_Grid[#Data],$DD802,78),0)</f>
        <v/>
      </c>
      <c r="CC802">
        <f>IFERROR(INDEX(PP_Grid[#Data],$DD802,79),0)</f>
        <v/>
      </c>
      <c r="CD802">
        <f>IFERROR(INDEX(PP_Grid[#Data],$DD802,80),0)</f>
        <v/>
      </c>
      <c r="CE802">
        <f>IFERROR(INDEX(PP_Grid[#Data],$DD802,81),0)</f>
        <v/>
      </c>
      <c r="CF802">
        <f>IFERROR(INDEX(PP_Grid[#Data],$DD802,82),0)</f>
        <v/>
      </c>
      <c r="CG802">
        <f>IFERROR(INDEX(PP_Grid[#Data],$DD802,83),0)</f>
        <v/>
      </c>
      <c r="CH802">
        <f>IFERROR(INDEX(PP_Grid[#Data],$DD802,84),0)</f>
        <v/>
      </c>
      <c r="CI802">
        <f>IFERROR(INDEX(PP_Grid[#Data],$DD802,85),0)</f>
        <v/>
      </c>
      <c r="CJ802">
        <f>IFERROR(INDEX(PP_Grid[#Data],$DD802,86),0)</f>
        <v/>
      </c>
      <c r="CK802">
        <f>IFERROR(INDEX(PP_Grid[#Data],$DD802,87),0)</f>
        <v/>
      </c>
      <c r="CL802">
        <f>IFERROR(INDEX(PP_Grid[#Data],$DD802,88),0)</f>
        <v/>
      </c>
      <c r="CM802">
        <f>IFERROR(INDEX(PP_Grid[#Data],$DD802,89),0)</f>
        <v/>
      </c>
      <c r="CN802">
        <f>IFERROR(INDEX(PP_Grid[#Data],$DD802,90),0)</f>
        <v/>
      </c>
      <c r="CO802">
        <f>IFERROR(INDEX(PP_Grid[#Data],$DD802,91),0)</f>
        <v/>
      </c>
      <c r="CP802">
        <f>IFERROR(INDEX(PP_Grid[#Data],$DD802,92),0)</f>
        <v/>
      </c>
      <c r="CQ802">
        <f>IFERROR(INDEX(PP_Grid[#Data],$DD802,93),0)</f>
        <v/>
      </c>
      <c r="CR802">
        <f>IFERROR(INDEX(PP_Grid[#Data],$DD802,94),0)</f>
        <v/>
      </c>
      <c r="CS802">
        <f>IFERROR(INDEX(PP_Grid[#Data],$DD802,95),0)</f>
        <v/>
      </c>
      <c r="CT802">
        <f>IFERROR(INDEX(PP_Grid[#Data],$DD802,96),0)</f>
        <v/>
      </c>
      <c r="CU802">
        <f>IFERROR(INDEX(PP_Grid[#Data],$DD802,97),0)</f>
        <v/>
      </c>
      <c r="CV802">
        <f>IFERROR(INDEX(PP_Grid[#Data],$DD802,98),0)</f>
        <v/>
      </c>
      <c r="CW802">
        <f>IFERROR(INDEX(PP_Grid[#Data],$DD802,99),0)</f>
        <v/>
      </c>
      <c r="CX802">
        <f>IFERROR(INDEX(PP_Grid[#Data],$DD802,100),0)</f>
        <v/>
      </c>
      <c r="CY802">
        <f>IFERROR(INDEX(PP_Grid[#Data],$DD802,101),0)</f>
        <v/>
      </c>
      <c r="CZ802">
        <f>IFERROR(INDEX(PP_Grid[#Data],$DD802,102),0)</f>
        <v/>
      </c>
      <c r="DA802">
        <f>IFERROR(INDEX(PP_Grid[#Data],$DD802,103),0)</f>
        <v/>
      </c>
      <c r="DB802">
        <f>IFERROR(INDEX(PP_Grid[#Data],$DD802,104),0)</f>
        <v/>
      </c>
      <c r="DC802">
        <f>IFERROR(INDEX(PP_Grid[#Data],$DD802,105),0)</f>
        <v/>
      </c>
      <c r="DD802" s="7">
        <f>IFERROR(MATCH($B802,PP_Grid[Intermediate],0),99999)</f>
        <v/>
      </c>
    </row>
    <row r="803">
      <c r="B803" t="inlineStr">
        <is>
          <t>使用量(kg)</t>
        </is>
      </c>
      <c r="C803">
        <f>SUMIFS(M_BOM[RM_Qty_Per_Batch],M_BOM[Intermediate],$B802,M_BOM[Part Name],$A759)</f>
        <v/>
      </c>
      <c r="D803">
        <f>$C803*D802</f>
        <v/>
      </c>
      <c r="E803">
        <f>$C803*E802</f>
        <v/>
      </c>
      <c r="F803">
        <f>$C803*F802</f>
        <v/>
      </c>
      <c r="G803">
        <f>$C803*G802</f>
        <v/>
      </c>
      <c r="H803">
        <f>$C803*H802</f>
        <v/>
      </c>
      <c r="I803">
        <f>$C803*I802</f>
        <v/>
      </c>
      <c r="J803">
        <f>$C803*J802</f>
        <v/>
      </c>
      <c r="K803">
        <f>$C803*K802</f>
        <v/>
      </c>
      <c r="L803">
        <f>$C803*L802</f>
        <v/>
      </c>
      <c r="M803">
        <f>$C803*M802</f>
        <v/>
      </c>
      <c r="N803">
        <f>$C803*N802</f>
        <v/>
      </c>
      <c r="O803">
        <f>$C803*O802</f>
        <v/>
      </c>
      <c r="P803">
        <f>$C803*P802</f>
        <v/>
      </c>
      <c r="Q803">
        <f>$C803*Q802</f>
        <v/>
      </c>
      <c r="R803">
        <f>$C803*R802</f>
        <v/>
      </c>
      <c r="S803">
        <f>$C803*S802</f>
        <v/>
      </c>
      <c r="T803">
        <f>$C803*T802</f>
        <v/>
      </c>
      <c r="U803">
        <f>$C803*U802</f>
        <v/>
      </c>
      <c r="V803">
        <f>$C803*V802</f>
        <v/>
      </c>
      <c r="W803">
        <f>$C803*W802</f>
        <v/>
      </c>
      <c r="X803">
        <f>$C803*X802</f>
        <v/>
      </c>
      <c r="Y803">
        <f>$C803*Y802</f>
        <v/>
      </c>
      <c r="Z803">
        <f>$C803*Z802</f>
        <v/>
      </c>
      <c r="AA803">
        <f>$C803*AA802</f>
        <v/>
      </c>
      <c r="AB803">
        <f>$C803*AB802</f>
        <v/>
      </c>
      <c r="AC803">
        <f>$C803*AC802</f>
        <v/>
      </c>
      <c r="AD803">
        <f>$C803*AD802</f>
        <v/>
      </c>
      <c r="AE803">
        <f>$C803*AE802</f>
        <v/>
      </c>
      <c r="AF803">
        <f>$C803*AF802</f>
        <v/>
      </c>
      <c r="AG803">
        <f>$C803*AG802</f>
        <v/>
      </c>
      <c r="AH803">
        <f>$C803*AH802</f>
        <v/>
      </c>
      <c r="AI803">
        <f>$C803*AI802</f>
        <v/>
      </c>
      <c r="AJ803">
        <f>$C803*AJ802</f>
        <v/>
      </c>
      <c r="AK803">
        <f>$C803*AK802</f>
        <v/>
      </c>
      <c r="AL803">
        <f>$C803*AL802</f>
        <v/>
      </c>
      <c r="AM803">
        <f>$C803*AM802</f>
        <v/>
      </c>
      <c r="AN803">
        <f>$C803*AN802</f>
        <v/>
      </c>
      <c r="AO803">
        <f>$C803*AO802</f>
        <v/>
      </c>
      <c r="AP803">
        <f>$C803*AP802</f>
        <v/>
      </c>
      <c r="AQ803">
        <f>$C803*AQ802</f>
        <v/>
      </c>
      <c r="AR803">
        <f>$C803*AR802</f>
        <v/>
      </c>
      <c r="AS803">
        <f>$C803*AS802</f>
        <v/>
      </c>
      <c r="AT803">
        <f>$C803*AT802</f>
        <v/>
      </c>
      <c r="AU803">
        <f>$C803*AU802</f>
        <v/>
      </c>
      <c r="AV803">
        <f>$C803*AV802</f>
        <v/>
      </c>
      <c r="AW803">
        <f>$C803*AW802</f>
        <v/>
      </c>
      <c r="AX803">
        <f>$C803*AX802</f>
        <v/>
      </c>
      <c r="AY803">
        <f>$C803*AY802</f>
        <v/>
      </c>
      <c r="AZ803">
        <f>$C803*AZ802</f>
        <v/>
      </c>
      <c r="BA803">
        <f>$C803*BA802</f>
        <v/>
      </c>
      <c r="BB803">
        <f>$C803*BB802</f>
        <v/>
      </c>
      <c r="BC803">
        <f>$C803*BC802</f>
        <v/>
      </c>
      <c r="BD803">
        <f>$C803*BD802</f>
        <v/>
      </c>
      <c r="BE803">
        <f>$C803*BE802</f>
        <v/>
      </c>
      <c r="BF803">
        <f>$C803*BF802</f>
        <v/>
      </c>
      <c r="BG803">
        <f>$C803*BG802</f>
        <v/>
      </c>
      <c r="BH803">
        <f>$C803*BH802</f>
        <v/>
      </c>
      <c r="BI803">
        <f>$C803*BI802</f>
        <v/>
      </c>
      <c r="BJ803">
        <f>$C803*BJ802</f>
        <v/>
      </c>
      <c r="BK803">
        <f>$C803*BK802</f>
        <v/>
      </c>
      <c r="BL803">
        <f>$C803*BL802</f>
        <v/>
      </c>
      <c r="BM803">
        <f>$C803*BM802</f>
        <v/>
      </c>
      <c r="BN803">
        <f>$C803*BN802</f>
        <v/>
      </c>
      <c r="BO803">
        <f>$C803*BO802</f>
        <v/>
      </c>
      <c r="BP803">
        <f>$C803*BP802</f>
        <v/>
      </c>
      <c r="BQ803">
        <f>$C803*BQ802</f>
        <v/>
      </c>
      <c r="BR803">
        <f>$C803*BR802</f>
        <v/>
      </c>
      <c r="BS803">
        <f>$C803*BS802</f>
        <v/>
      </c>
      <c r="BT803">
        <f>$C803*BT802</f>
        <v/>
      </c>
      <c r="BU803">
        <f>$C803*BU802</f>
        <v/>
      </c>
      <c r="BV803">
        <f>$C803*BV802</f>
        <v/>
      </c>
      <c r="BW803">
        <f>$C803*BW802</f>
        <v/>
      </c>
      <c r="BX803">
        <f>$C803*BX802</f>
        <v/>
      </c>
      <c r="BY803">
        <f>$C803*BY802</f>
        <v/>
      </c>
      <c r="BZ803">
        <f>$C803*BZ802</f>
        <v/>
      </c>
      <c r="CA803">
        <f>$C803*CA802</f>
        <v/>
      </c>
      <c r="CB803">
        <f>$C803*CB802</f>
        <v/>
      </c>
      <c r="CC803">
        <f>$C803*CC802</f>
        <v/>
      </c>
      <c r="CD803">
        <f>$C803*CD802</f>
        <v/>
      </c>
      <c r="CE803">
        <f>$C803*CE802</f>
        <v/>
      </c>
      <c r="CF803">
        <f>$C803*CF802</f>
        <v/>
      </c>
      <c r="CG803">
        <f>$C803*CG802</f>
        <v/>
      </c>
      <c r="CH803">
        <f>$C803*CH802</f>
        <v/>
      </c>
      <c r="CI803">
        <f>$C803*CI802</f>
        <v/>
      </c>
      <c r="CJ803">
        <f>$C803*CJ802</f>
        <v/>
      </c>
      <c r="CK803">
        <f>$C803*CK802</f>
        <v/>
      </c>
      <c r="CL803">
        <f>$C803*CL802</f>
        <v/>
      </c>
      <c r="CM803">
        <f>$C803*CM802</f>
        <v/>
      </c>
      <c r="CN803">
        <f>$C803*CN802</f>
        <v/>
      </c>
      <c r="CO803">
        <f>$C803*CO802</f>
        <v/>
      </c>
      <c r="CP803">
        <f>$C803*CP802</f>
        <v/>
      </c>
      <c r="CQ803">
        <f>$C803*CQ802</f>
        <v/>
      </c>
      <c r="CR803">
        <f>$C803*CR802</f>
        <v/>
      </c>
      <c r="CS803">
        <f>$C803*CS802</f>
        <v/>
      </c>
      <c r="CT803">
        <f>$C803*CT802</f>
        <v/>
      </c>
      <c r="CU803">
        <f>$C803*CU802</f>
        <v/>
      </c>
      <c r="CV803">
        <f>$C803*CV802</f>
        <v/>
      </c>
      <c r="CW803">
        <f>$C803*CW802</f>
        <v/>
      </c>
      <c r="CX803">
        <f>$C803*CX802</f>
        <v/>
      </c>
      <c r="CY803">
        <f>$C803*CY802</f>
        <v/>
      </c>
      <c r="CZ803">
        <f>$C803*CZ802</f>
        <v/>
      </c>
      <c r="DA803">
        <f>$C803*DA802</f>
        <v/>
      </c>
      <c r="DB803">
        <f>$C803*DB802</f>
        <v/>
      </c>
      <c r="DC803">
        <f>$C803*DC802</f>
        <v/>
      </c>
    </row>
    <row r="804">
      <c r="B804" t="inlineStr">
        <is>
          <t>VSP-822</t>
        </is>
      </c>
      <c r="C804" t="inlineStr">
        <is>
          <t>No. of batches</t>
        </is>
      </c>
      <c r="D804">
        <f>IFERROR(INDEX(PP_Grid[#Data],$DD804,2),0)</f>
        <v/>
      </c>
      <c r="E804">
        <f>IFERROR(INDEX(PP_Grid[#Data],$DD804,3),0)</f>
        <v/>
      </c>
      <c r="F804">
        <f>IFERROR(INDEX(PP_Grid[#Data],$DD804,4),0)</f>
        <v/>
      </c>
      <c r="G804">
        <f>IFERROR(INDEX(PP_Grid[#Data],$DD804,5),0)</f>
        <v/>
      </c>
      <c r="H804">
        <f>IFERROR(INDEX(PP_Grid[#Data],$DD804,6),0)</f>
        <v/>
      </c>
      <c r="I804">
        <f>IFERROR(INDEX(PP_Grid[#Data],$DD804,7),0)</f>
        <v/>
      </c>
      <c r="J804">
        <f>IFERROR(INDEX(PP_Grid[#Data],$DD804,8),0)</f>
        <v/>
      </c>
      <c r="K804">
        <f>IFERROR(INDEX(PP_Grid[#Data],$DD804,9),0)</f>
        <v/>
      </c>
      <c r="L804">
        <f>IFERROR(INDEX(PP_Grid[#Data],$DD804,10),0)</f>
        <v/>
      </c>
      <c r="M804">
        <f>IFERROR(INDEX(PP_Grid[#Data],$DD804,11),0)</f>
        <v/>
      </c>
      <c r="N804">
        <f>IFERROR(INDEX(PP_Grid[#Data],$DD804,12),0)</f>
        <v/>
      </c>
      <c r="O804">
        <f>IFERROR(INDEX(PP_Grid[#Data],$DD804,13),0)</f>
        <v/>
      </c>
      <c r="P804">
        <f>IFERROR(INDEX(PP_Grid[#Data],$DD804,14),0)</f>
        <v/>
      </c>
      <c r="Q804">
        <f>IFERROR(INDEX(PP_Grid[#Data],$DD804,15),0)</f>
        <v/>
      </c>
      <c r="R804">
        <f>IFERROR(INDEX(PP_Grid[#Data],$DD804,16),0)</f>
        <v/>
      </c>
      <c r="S804">
        <f>IFERROR(INDEX(PP_Grid[#Data],$DD804,17),0)</f>
        <v/>
      </c>
      <c r="T804">
        <f>IFERROR(INDEX(PP_Grid[#Data],$DD804,18),0)</f>
        <v/>
      </c>
      <c r="U804">
        <f>IFERROR(INDEX(PP_Grid[#Data],$DD804,19),0)</f>
        <v/>
      </c>
      <c r="V804">
        <f>IFERROR(INDEX(PP_Grid[#Data],$DD804,20),0)</f>
        <v/>
      </c>
      <c r="W804">
        <f>IFERROR(INDEX(PP_Grid[#Data],$DD804,21),0)</f>
        <v/>
      </c>
      <c r="X804">
        <f>IFERROR(INDEX(PP_Grid[#Data],$DD804,22),0)</f>
        <v/>
      </c>
      <c r="Y804">
        <f>IFERROR(INDEX(PP_Grid[#Data],$DD804,23),0)</f>
        <v/>
      </c>
      <c r="Z804">
        <f>IFERROR(INDEX(PP_Grid[#Data],$DD804,24),0)</f>
        <v/>
      </c>
      <c r="AA804">
        <f>IFERROR(INDEX(PP_Grid[#Data],$DD804,25),0)</f>
        <v/>
      </c>
      <c r="AB804">
        <f>IFERROR(INDEX(PP_Grid[#Data],$DD804,26),0)</f>
        <v/>
      </c>
      <c r="AC804">
        <f>IFERROR(INDEX(PP_Grid[#Data],$DD804,27),0)</f>
        <v/>
      </c>
      <c r="AD804">
        <f>IFERROR(INDEX(PP_Grid[#Data],$DD804,28),0)</f>
        <v/>
      </c>
      <c r="AE804">
        <f>IFERROR(INDEX(PP_Grid[#Data],$DD804,29),0)</f>
        <v/>
      </c>
      <c r="AF804">
        <f>IFERROR(INDEX(PP_Grid[#Data],$DD804,30),0)</f>
        <v/>
      </c>
      <c r="AG804">
        <f>IFERROR(INDEX(PP_Grid[#Data],$DD804,31),0)</f>
        <v/>
      </c>
      <c r="AH804">
        <f>IFERROR(INDEX(PP_Grid[#Data],$DD804,32),0)</f>
        <v/>
      </c>
      <c r="AI804">
        <f>IFERROR(INDEX(PP_Grid[#Data],$DD804,33),0)</f>
        <v/>
      </c>
      <c r="AJ804">
        <f>IFERROR(INDEX(PP_Grid[#Data],$DD804,34),0)</f>
        <v/>
      </c>
      <c r="AK804">
        <f>IFERROR(INDEX(PP_Grid[#Data],$DD804,35),0)</f>
        <v/>
      </c>
      <c r="AL804">
        <f>IFERROR(INDEX(PP_Grid[#Data],$DD804,36),0)</f>
        <v/>
      </c>
      <c r="AM804">
        <f>IFERROR(INDEX(PP_Grid[#Data],$DD804,37),0)</f>
        <v/>
      </c>
      <c r="AN804">
        <f>IFERROR(INDEX(PP_Grid[#Data],$DD804,38),0)</f>
        <v/>
      </c>
      <c r="AO804">
        <f>IFERROR(INDEX(PP_Grid[#Data],$DD804,39),0)</f>
        <v/>
      </c>
      <c r="AP804">
        <f>IFERROR(INDEX(PP_Grid[#Data],$DD804,40),0)</f>
        <v/>
      </c>
      <c r="AQ804">
        <f>IFERROR(INDEX(PP_Grid[#Data],$DD804,41),0)</f>
        <v/>
      </c>
      <c r="AR804">
        <f>IFERROR(INDEX(PP_Grid[#Data],$DD804,42),0)</f>
        <v/>
      </c>
      <c r="AS804">
        <f>IFERROR(INDEX(PP_Grid[#Data],$DD804,43),0)</f>
        <v/>
      </c>
      <c r="AT804">
        <f>IFERROR(INDEX(PP_Grid[#Data],$DD804,44),0)</f>
        <v/>
      </c>
      <c r="AU804">
        <f>IFERROR(INDEX(PP_Grid[#Data],$DD804,45),0)</f>
        <v/>
      </c>
      <c r="AV804">
        <f>IFERROR(INDEX(PP_Grid[#Data],$DD804,46),0)</f>
        <v/>
      </c>
      <c r="AW804">
        <f>IFERROR(INDEX(PP_Grid[#Data],$DD804,47),0)</f>
        <v/>
      </c>
      <c r="AX804">
        <f>IFERROR(INDEX(PP_Grid[#Data],$DD804,48),0)</f>
        <v/>
      </c>
      <c r="AY804">
        <f>IFERROR(INDEX(PP_Grid[#Data],$DD804,49),0)</f>
        <v/>
      </c>
      <c r="AZ804">
        <f>IFERROR(INDEX(PP_Grid[#Data],$DD804,50),0)</f>
        <v/>
      </c>
      <c r="BA804">
        <f>IFERROR(INDEX(PP_Grid[#Data],$DD804,51),0)</f>
        <v/>
      </c>
      <c r="BB804">
        <f>IFERROR(INDEX(PP_Grid[#Data],$DD804,52),0)</f>
        <v/>
      </c>
      <c r="BC804">
        <f>IFERROR(INDEX(PP_Grid[#Data],$DD804,53),0)</f>
        <v/>
      </c>
      <c r="BD804">
        <f>IFERROR(INDEX(PP_Grid[#Data],$DD804,54),0)</f>
        <v/>
      </c>
      <c r="BE804">
        <f>IFERROR(INDEX(PP_Grid[#Data],$DD804,55),0)</f>
        <v/>
      </c>
      <c r="BF804">
        <f>IFERROR(INDEX(PP_Grid[#Data],$DD804,56),0)</f>
        <v/>
      </c>
      <c r="BG804">
        <f>IFERROR(INDEX(PP_Grid[#Data],$DD804,57),0)</f>
        <v/>
      </c>
      <c r="BH804">
        <f>IFERROR(INDEX(PP_Grid[#Data],$DD804,58),0)</f>
        <v/>
      </c>
      <c r="BI804">
        <f>IFERROR(INDEX(PP_Grid[#Data],$DD804,59),0)</f>
        <v/>
      </c>
      <c r="BJ804">
        <f>IFERROR(INDEX(PP_Grid[#Data],$DD804,60),0)</f>
        <v/>
      </c>
      <c r="BK804">
        <f>IFERROR(INDEX(PP_Grid[#Data],$DD804,61),0)</f>
        <v/>
      </c>
      <c r="BL804">
        <f>IFERROR(INDEX(PP_Grid[#Data],$DD804,62),0)</f>
        <v/>
      </c>
      <c r="BM804">
        <f>IFERROR(INDEX(PP_Grid[#Data],$DD804,63),0)</f>
        <v/>
      </c>
      <c r="BN804">
        <f>IFERROR(INDEX(PP_Grid[#Data],$DD804,64),0)</f>
        <v/>
      </c>
      <c r="BO804">
        <f>IFERROR(INDEX(PP_Grid[#Data],$DD804,65),0)</f>
        <v/>
      </c>
      <c r="BP804">
        <f>IFERROR(INDEX(PP_Grid[#Data],$DD804,66),0)</f>
        <v/>
      </c>
      <c r="BQ804">
        <f>IFERROR(INDEX(PP_Grid[#Data],$DD804,67),0)</f>
        <v/>
      </c>
      <c r="BR804">
        <f>IFERROR(INDEX(PP_Grid[#Data],$DD804,68),0)</f>
        <v/>
      </c>
      <c r="BS804">
        <f>IFERROR(INDEX(PP_Grid[#Data],$DD804,69),0)</f>
        <v/>
      </c>
      <c r="BT804">
        <f>IFERROR(INDEX(PP_Grid[#Data],$DD804,70),0)</f>
        <v/>
      </c>
      <c r="BU804">
        <f>IFERROR(INDEX(PP_Grid[#Data],$DD804,71),0)</f>
        <v/>
      </c>
      <c r="BV804">
        <f>IFERROR(INDEX(PP_Grid[#Data],$DD804,72),0)</f>
        <v/>
      </c>
      <c r="BW804">
        <f>IFERROR(INDEX(PP_Grid[#Data],$DD804,73),0)</f>
        <v/>
      </c>
      <c r="BX804">
        <f>IFERROR(INDEX(PP_Grid[#Data],$DD804,74),0)</f>
        <v/>
      </c>
      <c r="BY804">
        <f>IFERROR(INDEX(PP_Grid[#Data],$DD804,75),0)</f>
        <v/>
      </c>
      <c r="BZ804">
        <f>IFERROR(INDEX(PP_Grid[#Data],$DD804,76),0)</f>
        <v/>
      </c>
      <c r="CA804">
        <f>IFERROR(INDEX(PP_Grid[#Data],$DD804,77),0)</f>
        <v/>
      </c>
      <c r="CB804">
        <f>IFERROR(INDEX(PP_Grid[#Data],$DD804,78),0)</f>
        <v/>
      </c>
      <c r="CC804">
        <f>IFERROR(INDEX(PP_Grid[#Data],$DD804,79),0)</f>
        <v/>
      </c>
      <c r="CD804">
        <f>IFERROR(INDEX(PP_Grid[#Data],$DD804,80),0)</f>
        <v/>
      </c>
      <c r="CE804">
        <f>IFERROR(INDEX(PP_Grid[#Data],$DD804,81),0)</f>
        <v/>
      </c>
      <c r="CF804">
        <f>IFERROR(INDEX(PP_Grid[#Data],$DD804,82),0)</f>
        <v/>
      </c>
      <c r="CG804">
        <f>IFERROR(INDEX(PP_Grid[#Data],$DD804,83),0)</f>
        <v/>
      </c>
      <c r="CH804">
        <f>IFERROR(INDEX(PP_Grid[#Data],$DD804,84),0)</f>
        <v/>
      </c>
      <c r="CI804">
        <f>IFERROR(INDEX(PP_Grid[#Data],$DD804,85),0)</f>
        <v/>
      </c>
      <c r="CJ804">
        <f>IFERROR(INDEX(PP_Grid[#Data],$DD804,86),0)</f>
        <v/>
      </c>
      <c r="CK804">
        <f>IFERROR(INDEX(PP_Grid[#Data],$DD804,87),0)</f>
        <v/>
      </c>
      <c r="CL804">
        <f>IFERROR(INDEX(PP_Grid[#Data],$DD804,88),0)</f>
        <v/>
      </c>
      <c r="CM804">
        <f>IFERROR(INDEX(PP_Grid[#Data],$DD804,89),0)</f>
        <v/>
      </c>
      <c r="CN804">
        <f>IFERROR(INDEX(PP_Grid[#Data],$DD804,90),0)</f>
        <v/>
      </c>
      <c r="CO804">
        <f>IFERROR(INDEX(PP_Grid[#Data],$DD804,91),0)</f>
        <v/>
      </c>
      <c r="CP804">
        <f>IFERROR(INDEX(PP_Grid[#Data],$DD804,92),0)</f>
        <v/>
      </c>
      <c r="CQ804">
        <f>IFERROR(INDEX(PP_Grid[#Data],$DD804,93),0)</f>
        <v/>
      </c>
      <c r="CR804">
        <f>IFERROR(INDEX(PP_Grid[#Data],$DD804,94),0)</f>
        <v/>
      </c>
      <c r="CS804">
        <f>IFERROR(INDEX(PP_Grid[#Data],$DD804,95),0)</f>
        <v/>
      </c>
      <c r="CT804">
        <f>IFERROR(INDEX(PP_Grid[#Data],$DD804,96),0)</f>
        <v/>
      </c>
      <c r="CU804">
        <f>IFERROR(INDEX(PP_Grid[#Data],$DD804,97),0)</f>
        <v/>
      </c>
      <c r="CV804">
        <f>IFERROR(INDEX(PP_Grid[#Data],$DD804,98),0)</f>
        <v/>
      </c>
      <c r="CW804">
        <f>IFERROR(INDEX(PP_Grid[#Data],$DD804,99),0)</f>
        <v/>
      </c>
      <c r="CX804">
        <f>IFERROR(INDEX(PP_Grid[#Data],$DD804,100),0)</f>
        <v/>
      </c>
      <c r="CY804">
        <f>IFERROR(INDEX(PP_Grid[#Data],$DD804,101),0)</f>
        <v/>
      </c>
      <c r="CZ804">
        <f>IFERROR(INDEX(PP_Grid[#Data],$DD804,102),0)</f>
        <v/>
      </c>
      <c r="DA804">
        <f>IFERROR(INDEX(PP_Grid[#Data],$DD804,103),0)</f>
        <v/>
      </c>
      <c r="DB804">
        <f>IFERROR(INDEX(PP_Grid[#Data],$DD804,104),0)</f>
        <v/>
      </c>
      <c r="DC804">
        <f>IFERROR(INDEX(PP_Grid[#Data],$DD804,105),0)</f>
        <v/>
      </c>
      <c r="DD804" s="7">
        <f>IFERROR(MATCH($B804,PP_Grid[Intermediate],0),99999)</f>
        <v/>
      </c>
    </row>
    <row r="805">
      <c r="B805" t="inlineStr">
        <is>
          <t>使用量(kg)</t>
        </is>
      </c>
      <c r="C805">
        <f>SUMIFS(M_BOM[RM_Qty_Per_Batch],M_BOM[Intermediate],$B804,M_BOM[Part Name],$A759)</f>
        <v/>
      </c>
      <c r="D805">
        <f>$C805*D804</f>
        <v/>
      </c>
      <c r="E805">
        <f>$C805*E804</f>
        <v/>
      </c>
      <c r="F805">
        <f>$C805*F804</f>
        <v/>
      </c>
      <c r="G805">
        <f>$C805*G804</f>
        <v/>
      </c>
      <c r="H805">
        <f>$C805*H804</f>
        <v/>
      </c>
      <c r="I805">
        <f>$C805*I804</f>
        <v/>
      </c>
      <c r="J805">
        <f>$C805*J804</f>
        <v/>
      </c>
      <c r="K805">
        <f>$C805*K804</f>
        <v/>
      </c>
      <c r="L805">
        <f>$C805*L804</f>
        <v/>
      </c>
      <c r="M805">
        <f>$C805*M804</f>
        <v/>
      </c>
      <c r="N805">
        <f>$C805*N804</f>
        <v/>
      </c>
      <c r="O805">
        <f>$C805*O804</f>
        <v/>
      </c>
      <c r="P805">
        <f>$C805*P804</f>
        <v/>
      </c>
      <c r="Q805">
        <f>$C805*Q804</f>
        <v/>
      </c>
      <c r="R805">
        <f>$C805*R804</f>
        <v/>
      </c>
      <c r="S805">
        <f>$C805*S804</f>
        <v/>
      </c>
      <c r="T805">
        <f>$C805*T804</f>
        <v/>
      </c>
      <c r="U805">
        <f>$C805*U804</f>
        <v/>
      </c>
      <c r="V805">
        <f>$C805*V804</f>
        <v/>
      </c>
      <c r="W805">
        <f>$C805*W804</f>
        <v/>
      </c>
      <c r="X805">
        <f>$C805*X804</f>
        <v/>
      </c>
      <c r="Y805">
        <f>$C805*Y804</f>
        <v/>
      </c>
      <c r="Z805">
        <f>$C805*Z804</f>
        <v/>
      </c>
      <c r="AA805">
        <f>$C805*AA804</f>
        <v/>
      </c>
      <c r="AB805">
        <f>$C805*AB804</f>
        <v/>
      </c>
      <c r="AC805">
        <f>$C805*AC804</f>
        <v/>
      </c>
      <c r="AD805">
        <f>$C805*AD804</f>
        <v/>
      </c>
      <c r="AE805">
        <f>$C805*AE804</f>
        <v/>
      </c>
      <c r="AF805">
        <f>$C805*AF804</f>
        <v/>
      </c>
      <c r="AG805">
        <f>$C805*AG804</f>
        <v/>
      </c>
      <c r="AH805">
        <f>$C805*AH804</f>
        <v/>
      </c>
      <c r="AI805">
        <f>$C805*AI804</f>
        <v/>
      </c>
      <c r="AJ805">
        <f>$C805*AJ804</f>
        <v/>
      </c>
      <c r="AK805">
        <f>$C805*AK804</f>
        <v/>
      </c>
      <c r="AL805">
        <f>$C805*AL804</f>
        <v/>
      </c>
      <c r="AM805">
        <f>$C805*AM804</f>
        <v/>
      </c>
      <c r="AN805">
        <f>$C805*AN804</f>
        <v/>
      </c>
      <c r="AO805">
        <f>$C805*AO804</f>
        <v/>
      </c>
      <c r="AP805">
        <f>$C805*AP804</f>
        <v/>
      </c>
      <c r="AQ805">
        <f>$C805*AQ804</f>
        <v/>
      </c>
      <c r="AR805">
        <f>$C805*AR804</f>
        <v/>
      </c>
      <c r="AS805">
        <f>$C805*AS804</f>
        <v/>
      </c>
      <c r="AT805">
        <f>$C805*AT804</f>
        <v/>
      </c>
      <c r="AU805">
        <f>$C805*AU804</f>
        <v/>
      </c>
      <c r="AV805">
        <f>$C805*AV804</f>
        <v/>
      </c>
      <c r="AW805">
        <f>$C805*AW804</f>
        <v/>
      </c>
      <c r="AX805">
        <f>$C805*AX804</f>
        <v/>
      </c>
      <c r="AY805">
        <f>$C805*AY804</f>
        <v/>
      </c>
      <c r="AZ805">
        <f>$C805*AZ804</f>
        <v/>
      </c>
      <c r="BA805">
        <f>$C805*BA804</f>
        <v/>
      </c>
      <c r="BB805">
        <f>$C805*BB804</f>
        <v/>
      </c>
      <c r="BC805">
        <f>$C805*BC804</f>
        <v/>
      </c>
      <c r="BD805">
        <f>$C805*BD804</f>
        <v/>
      </c>
      <c r="BE805">
        <f>$C805*BE804</f>
        <v/>
      </c>
      <c r="BF805">
        <f>$C805*BF804</f>
        <v/>
      </c>
      <c r="BG805">
        <f>$C805*BG804</f>
        <v/>
      </c>
      <c r="BH805">
        <f>$C805*BH804</f>
        <v/>
      </c>
      <c r="BI805">
        <f>$C805*BI804</f>
        <v/>
      </c>
      <c r="BJ805">
        <f>$C805*BJ804</f>
        <v/>
      </c>
      <c r="BK805">
        <f>$C805*BK804</f>
        <v/>
      </c>
      <c r="BL805">
        <f>$C805*BL804</f>
        <v/>
      </c>
      <c r="BM805">
        <f>$C805*BM804</f>
        <v/>
      </c>
      <c r="BN805">
        <f>$C805*BN804</f>
        <v/>
      </c>
      <c r="BO805">
        <f>$C805*BO804</f>
        <v/>
      </c>
      <c r="BP805">
        <f>$C805*BP804</f>
        <v/>
      </c>
      <c r="BQ805">
        <f>$C805*BQ804</f>
        <v/>
      </c>
      <c r="BR805">
        <f>$C805*BR804</f>
        <v/>
      </c>
      <c r="BS805">
        <f>$C805*BS804</f>
        <v/>
      </c>
      <c r="BT805">
        <f>$C805*BT804</f>
        <v/>
      </c>
      <c r="BU805">
        <f>$C805*BU804</f>
        <v/>
      </c>
      <c r="BV805">
        <f>$C805*BV804</f>
        <v/>
      </c>
      <c r="BW805">
        <f>$C805*BW804</f>
        <v/>
      </c>
      <c r="BX805">
        <f>$C805*BX804</f>
        <v/>
      </c>
      <c r="BY805">
        <f>$C805*BY804</f>
        <v/>
      </c>
      <c r="BZ805">
        <f>$C805*BZ804</f>
        <v/>
      </c>
      <c r="CA805">
        <f>$C805*CA804</f>
        <v/>
      </c>
      <c r="CB805">
        <f>$C805*CB804</f>
        <v/>
      </c>
      <c r="CC805">
        <f>$C805*CC804</f>
        <v/>
      </c>
      <c r="CD805">
        <f>$C805*CD804</f>
        <v/>
      </c>
      <c r="CE805">
        <f>$C805*CE804</f>
        <v/>
      </c>
      <c r="CF805">
        <f>$C805*CF804</f>
        <v/>
      </c>
      <c r="CG805">
        <f>$C805*CG804</f>
        <v/>
      </c>
      <c r="CH805">
        <f>$C805*CH804</f>
        <v/>
      </c>
      <c r="CI805">
        <f>$C805*CI804</f>
        <v/>
      </c>
      <c r="CJ805">
        <f>$C805*CJ804</f>
        <v/>
      </c>
      <c r="CK805">
        <f>$C805*CK804</f>
        <v/>
      </c>
      <c r="CL805">
        <f>$C805*CL804</f>
        <v/>
      </c>
      <c r="CM805">
        <f>$C805*CM804</f>
        <v/>
      </c>
      <c r="CN805">
        <f>$C805*CN804</f>
        <v/>
      </c>
      <c r="CO805">
        <f>$C805*CO804</f>
        <v/>
      </c>
      <c r="CP805">
        <f>$C805*CP804</f>
        <v/>
      </c>
      <c r="CQ805">
        <f>$C805*CQ804</f>
        <v/>
      </c>
      <c r="CR805">
        <f>$C805*CR804</f>
        <v/>
      </c>
      <c r="CS805">
        <f>$C805*CS804</f>
        <v/>
      </c>
      <c r="CT805">
        <f>$C805*CT804</f>
        <v/>
      </c>
      <c r="CU805">
        <f>$C805*CU804</f>
        <v/>
      </c>
      <c r="CV805">
        <f>$C805*CV804</f>
        <v/>
      </c>
      <c r="CW805">
        <f>$C805*CW804</f>
        <v/>
      </c>
      <c r="CX805">
        <f>$C805*CX804</f>
        <v/>
      </c>
      <c r="CY805">
        <f>$C805*CY804</f>
        <v/>
      </c>
      <c r="CZ805">
        <f>$C805*CZ804</f>
        <v/>
      </c>
      <c r="DA805">
        <f>$C805*DA804</f>
        <v/>
      </c>
      <c r="DB805">
        <f>$C805*DB804</f>
        <v/>
      </c>
      <c r="DC805">
        <f>$C805*DC804</f>
        <v/>
      </c>
    </row>
    <row r="806">
      <c r="B806" t="inlineStr">
        <is>
          <t>VSP-870</t>
        </is>
      </c>
      <c r="C806" t="inlineStr">
        <is>
          <t>No. of batches</t>
        </is>
      </c>
      <c r="D806">
        <f>IFERROR(INDEX(PP_Grid[#Data],$DD806,2),0)</f>
        <v/>
      </c>
      <c r="E806">
        <f>IFERROR(INDEX(PP_Grid[#Data],$DD806,3),0)</f>
        <v/>
      </c>
      <c r="F806">
        <f>IFERROR(INDEX(PP_Grid[#Data],$DD806,4),0)</f>
        <v/>
      </c>
      <c r="G806">
        <f>IFERROR(INDEX(PP_Grid[#Data],$DD806,5),0)</f>
        <v/>
      </c>
      <c r="H806">
        <f>IFERROR(INDEX(PP_Grid[#Data],$DD806,6),0)</f>
        <v/>
      </c>
      <c r="I806">
        <f>IFERROR(INDEX(PP_Grid[#Data],$DD806,7),0)</f>
        <v/>
      </c>
      <c r="J806">
        <f>IFERROR(INDEX(PP_Grid[#Data],$DD806,8),0)</f>
        <v/>
      </c>
      <c r="K806">
        <f>IFERROR(INDEX(PP_Grid[#Data],$DD806,9),0)</f>
        <v/>
      </c>
      <c r="L806">
        <f>IFERROR(INDEX(PP_Grid[#Data],$DD806,10),0)</f>
        <v/>
      </c>
      <c r="M806">
        <f>IFERROR(INDEX(PP_Grid[#Data],$DD806,11),0)</f>
        <v/>
      </c>
      <c r="N806">
        <f>IFERROR(INDEX(PP_Grid[#Data],$DD806,12),0)</f>
        <v/>
      </c>
      <c r="O806">
        <f>IFERROR(INDEX(PP_Grid[#Data],$DD806,13),0)</f>
        <v/>
      </c>
      <c r="P806">
        <f>IFERROR(INDEX(PP_Grid[#Data],$DD806,14),0)</f>
        <v/>
      </c>
      <c r="Q806">
        <f>IFERROR(INDEX(PP_Grid[#Data],$DD806,15),0)</f>
        <v/>
      </c>
      <c r="R806">
        <f>IFERROR(INDEX(PP_Grid[#Data],$DD806,16),0)</f>
        <v/>
      </c>
      <c r="S806">
        <f>IFERROR(INDEX(PP_Grid[#Data],$DD806,17),0)</f>
        <v/>
      </c>
      <c r="T806">
        <f>IFERROR(INDEX(PP_Grid[#Data],$DD806,18),0)</f>
        <v/>
      </c>
      <c r="U806">
        <f>IFERROR(INDEX(PP_Grid[#Data],$DD806,19),0)</f>
        <v/>
      </c>
      <c r="V806">
        <f>IFERROR(INDEX(PP_Grid[#Data],$DD806,20),0)</f>
        <v/>
      </c>
      <c r="W806">
        <f>IFERROR(INDEX(PP_Grid[#Data],$DD806,21),0)</f>
        <v/>
      </c>
      <c r="X806">
        <f>IFERROR(INDEX(PP_Grid[#Data],$DD806,22),0)</f>
        <v/>
      </c>
      <c r="Y806">
        <f>IFERROR(INDEX(PP_Grid[#Data],$DD806,23),0)</f>
        <v/>
      </c>
      <c r="Z806">
        <f>IFERROR(INDEX(PP_Grid[#Data],$DD806,24),0)</f>
        <v/>
      </c>
      <c r="AA806">
        <f>IFERROR(INDEX(PP_Grid[#Data],$DD806,25),0)</f>
        <v/>
      </c>
      <c r="AB806">
        <f>IFERROR(INDEX(PP_Grid[#Data],$DD806,26),0)</f>
        <v/>
      </c>
      <c r="AC806">
        <f>IFERROR(INDEX(PP_Grid[#Data],$DD806,27),0)</f>
        <v/>
      </c>
      <c r="AD806">
        <f>IFERROR(INDEX(PP_Grid[#Data],$DD806,28),0)</f>
        <v/>
      </c>
      <c r="AE806">
        <f>IFERROR(INDEX(PP_Grid[#Data],$DD806,29),0)</f>
        <v/>
      </c>
      <c r="AF806">
        <f>IFERROR(INDEX(PP_Grid[#Data],$DD806,30),0)</f>
        <v/>
      </c>
      <c r="AG806">
        <f>IFERROR(INDEX(PP_Grid[#Data],$DD806,31),0)</f>
        <v/>
      </c>
      <c r="AH806">
        <f>IFERROR(INDEX(PP_Grid[#Data],$DD806,32),0)</f>
        <v/>
      </c>
      <c r="AI806">
        <f>IFERROR(INDEX(PP_Grid[#Data],$DD806,33),0)</f>
        <v/>
      </c>
      <c r="AJ806">
        <f>IFERROR(INDEX(PP_Grid[#Data],$DD806,34),0)</f>
        <v/>
      </c>
      <c r="AK806">
        <f>IFERROR(INDEX(PP_Grid[#Data],$DD806,35),0)</f>
        <v/>
      </c>
      <c r="AL806">
        <f>IFERROR(INDEX(PP_Grid[#Data],$DD806,36),0)</f>
        <v/>
      </c>
      <c r="AM806">
        <f>IFERROR(INDEX(PP_Grid[#Data],$DD806,37),0)</f>
        <v/>
      </c>
      <c r="AN806">
        <f>IFERROR(INDEX(PP_Grid[#Data],$DD806,38),0)</f>
        <v/>
      </c>
      <c r="AO806">
        <f>IFERROR(INDEX(PP_Grid[#Data],$DD806,39),0)</f>
        <v/>
      </c>
      <c r="AP806">
        <f>IFERROR(INDEX(PP_Grid[#Data],$DD806,40),0)</f>
        <v/>
      </c>
      <c r="AQ806">
        <f>IFERROR(INDEX(PP_Grid[#Data],$DD806,41),0)</f>
        <v/>
      </c>
      <c r="AR806">
        <f>IFERROR(INDEX(PP_Grid[#Data],$DD806,42),0)</f>
        <v/>
      </c>
      <c r="AS806">
        <f>IFERROR(INDEX(PP_Grid[#Data],$DD806,43),0)</f>
        <v/>
      </c>
      <c r="AT806">
        <f>IFERROR(INDEX(PP_Grid[#Data],$DD806,44),0)</f>
        <v/>
      </c>
      <c r="AU806">
        <f>IFERROR(INDEX(PP_Grid[#Data],$DD806,45),0)</f>
        <v/>
      </c>
      <c r="AV806">
        <f>IFERROR(INDEX(PP_Grid[#Data],$DD806,46),0)</f>
        <v/>
      </c>
      <c r="AW806">
        <f>IFERROR(INDEX(PP_Grid[#Data],$DD806,47),0)</f>
        <v/>
      </c>
      <c r="AX806">
        <f>IFERROR(INDEX(PP_Grid[#Data],$DD806,48),0)</f>
        <v/>
      </c>
      <c r="AY806">
        <f>IFERROR(INDEX(PP_Grid[#Data],$DD806,49),0)</f>
        <v/>
      </c>
      <c r="AZ806">
        <f>IFERROR(INDEX(PP_Grid[#Data],$DD806,50),0)</f>
        <v/>
      </c>
      <c r="BA806">
        <f>IFERROR(INDEX(PP_Grid[#Data],$DD806,51),0)</f>
        <v/>
      </c>
      <c r="BB806">
        <f>IFERROR(INDEX(PP_Grid[#Data],$DD806,52),0)</f>
        <v/>
      </c>
      <c r="BC806">
        <f>IFERROR(INDEX(PP_Grid[#Data],$DD806,53),0)</f>
        <v/>
      </c>
      <c r="BD806">
        <f>IFERROR(INDEX(PP_Grid[#Data],$DD806,54),0)</f>
        <v/>
      </c>
      <c r="BE806">
        <f>IFERROR(INDEX(PP_Grid[#Data],$DD806,55),0)</f>
        <v/>
      </c>
      <c r="BF806">
        <f>IFERROR(INDEX(PP_Grid[#Data],$DD806,56),0)</f>
        <v/>
      </c>
      <c r="BG806">
        <f>IFERROR(INDEX(PP_Grid[#Data],$DD806,57),0)</f>
        <v/>
      </c>
      <c r="BH806">
        <f>IFERROR(INDEX(PP_Grid[#Data],$DD806,58),0)</f>
        <v/>
      </c>
      <c r="BI806">
        <f>IFERROR(INDEX(PP_Grid[#Data],$DD806,59),0)</f>
        <v/>
      </c>
      <c r="BJ806">
        <f>IFERROR(INDEX(PP_Grid[#Data],$DD806,60),0)</f>
        <v/>
      </c>
      <c r="BK806">
        <f>IFERROR(INDEX(PP_Grid[#Data],$DD806,61),0)</f>
        <v/>
      </c>
      <c r="BL806">
        <f>IFERROR(INDEX(PP_Grid[#Data],$DD806,62),0)</f>
        <v/>
      </c>
      <c r="BM806">
        <f>IFERROR(INDEX(PP_Grid[#Data],$DD806,63),0)</f>
        <v/>
      </c>
      <c r="BN806">
        <f>IFERROR(INDEX(PP_Grid[#Data],$DD806,64),0)</f>
        <v/>
      </c>
      <c r="BO806">
        <f>IFERROR(INDEX(PP_Grid[#Data],$DD806,65),0)</f>
        <v/>
      </c>
      <c r="BP806">
        <f>IFERROR(INDEX(PP_Grid[#Data],$DD806,66),0)</f>
        <v/>
      </c>
      <c r="BQ806">
        <f>IFERROR(INDEX(PP_Grid[#Data],$DD806,67),0)</f>
        <v/>
      </c>
      <c r="BR806">
        <f>IFERROR(INDEX(PP_Grid[#Data],$DD806,68),0)</f>
        <v/>
      </c>
      <c r="BS806">
        <f>IFERROR(INDEX(PP_Grid[#Data],$DD806,69),0)</f>
        <v/>
      </c>
      <c r="BT806">
        <f>IFERROR(INDEX(PP_Grid[#Data],$DD806,70),0)</f>
        <v/>
      </c>
      <c r="BU806">
        <f>IFERROR(INDEX(PP_Grid[#Data],$DD806,71),0)</f>
        <v/>
      </c>
      <c r="BV806">
        <f>IFERROR(INDEX(PP_Grid[#Data],$DD806,72),0)</f>
        <v/>
      </c>
      <c r="BW806">
        <f>IFERROR(INDEX(PP_Grid[#Data],$DD806,73),0)</f>
        <v/>
      </c>
      <c r="BX806">
        <f>IFERROR(INDEX(PP_Grid[#Data],$DD806,74),0)</f>
        <v/>
      </c>
      <c r="BY806">
        <f>IFERROR(INDEX(PP_Grid[#Data],$DD806,75),0)</f>
        <v/>
      </c>
      <c r="BZ806">
        <f>IFERROR(INDEX(PP_Grid[#Data],$DD806,76),0)</f>
        <v/>
      </c>
      <c r="CA806">
        <f>IFERROR(INDEX(PP_Grid[#Data],$DD806,77),0)</f>
        <v/>
      </c>
      <c r="CB806">
        <f>IFERROR(INDEX(PP_Grid[#Data],$DD806,78),0)</f>
        <v/>
      </c>
      <c r="CC806">
        <f>IFERROR(INDEX(PP_Grid[#Data],$DD806,79),0)</f>
        <v/>
      </c>
      <c r="CD806">
        <f>IFERROR(INDEX(PP_Grid[#Data],$DD806,80),0)</f>
        <v/>
      </c>
      <c r="CE806">
        <f>IFERROR(INDEX(PP_Grid[#Data],$DD806,81),0)</f>
        <v/>
      </c>
      <c r="CF806">
        <f>IFERROR(INDEX(PP_Grid[#Data],$DD806,82),0)</f>
        <v/>
      </c>
      <c r="CG806">
        <f>IFERROR(INDEX(PP_Grid[#Data],$DD806,83),0)</f>
        <v/>
      </c>
      <c r="CH806">
        <f>IFERROR(INDEX(PP_Grid[#Data],$DD806,84),0)</f>
        <v/>
      </c>
      <c r="CI806">
        <f>IFERROR(INDEX(PP_Grid[#Data],$DD806,85),0)</f>
        <v/>
      </c>
      <c r="CJ806">
        <f>IFERROR(INDEX(PP_Grid[#Data],$DD806,86),0)</f>
        <v/>
      </c>
      <c r="CK806">
        <f>IFERROR(INDEX(PP_Grid[#Data],$DD806,87),0)</f>
        <v/>
      </c>
      <c r="CL806">
        <f>IFERROR(INDEX(PP_Grid[#Data],$DD806,88),0)</f>
        <v/>
      </c>
      <c r="CM806">
        <f>IFERROR(INDEX(PP_Grid[#Data],$DD806,89),0)</f>
        <v/>
      </c>
      <c r="CN806">
        <f>IFERROR(INDEX(PP_Grid[#Data],$DD806,90),0)</f>
        <v/>
      </c>
      <c r="CO806">
        <f>IFERROR(INDEX(PP_Grid[#Data],$DD806,91),0)</f>
        <v/>
      </c>
      <c r="CP806">
        <f>IFERROR(INDEX(PP_Grid[#Data],$DD806,92),0)</f>
        <v/>
      </c>
      <c r="CQ806">
        <f>IFERROR(INDEX(PP_Grid[#Data],$DD806,93),0)</f>
        <v/>
      </c>
      <c r="CR806">
        <f>IFERROR(INDEX(PP_Grid[#Data],$DD806,94),0)</f>
        <v/>
      </c>
      <c r="CS806">
        <f>IFERROR(INDEX(PP_Grid[#Data],$DD806,95),0)</f>
        <v/>
      </c>
      <c r="CT806">
        <f>IFERROR(INDEX(PP_Grid[#Data],$DD806,96),0)</f>
        <v/>
      </c>
      <c r="CU806">
        <f>IFERROR(INDEX(PP_Grid[#Data],$DD806,97),0)</f>
        <v/>
      </c>
      <c r="CV806">
        <f>IFERROR(INDEX(PP_Grid[#Data],$DD806,98),0)</f>
        <v/>
      </c>
      <c r="CW806">
        <f>IFERROR(INDEX(PP_Grid[#Data],$DD806,99),0)</f>
        <v/>
      </c>
      <c r="CX806">
        <f>IFERROR(INDEX(PP_Grid[#Data],$DD806,100),0)</f>
        <v/>
      </c>
      <c r="CY806">
        <f>IFERROR(INDEX(PP_Grid[#Data],$DD806,101),0)</f>
        <v/>
      </c>
      <c r="CZ806">
        <f>IFERROR(INDEX(PP_Grid[#Data],$DD806,102),0)</f>
        <v/>
      </c>
      <c r="DA806">
        <f>IFERROR(INDEX(PP_Grid[#Data],$DD806,103),0)</f>
        <v/>
      </c>
      <c r="DB806">
        <f>IFERROR(INDEX(PP_Grid[#Data],$DD806,104),0)</f>
        <v/>
      </c>
      <c r="DC806">
        <f>IFERROR(INDEX(PP_Grid[#Data],$DD806,105),0)</f>
        <v/>
      </c>
      <c r="DD806" s="7">
        <f>IFERROR(MATCH($B806,PP_Grid[Intermediate],0),99999)</f>
        <v/>
      </c>
    </row>
    <row r="807">
      <c r="B807" t="inlineStr">
        <is>
          <t>使用量(kg)</t>
        </is>
      </c>
      <c r="C807">
        <f>SUMIFS(M_BOM[RM_Qty_Per_Batch],M_BOM[Intermediate],$B806,M_BOM[Part Name],$A759)</f>
        <v/>
      </c>
      <c r="D807">
        <f>$C807*D806</f>
        <v/>
      </c>
      <c r="E807">
        <f>$C807*E806</f>
        <v/>
      </c>
      <c r="F807">
        <f>$C807*F806</f>
        <v/>
      </c>
      <c r="G807">
        <f>$C807*G806</f>
        <v/>
      </c>
      <c r="H807">
        <f>$C807*H806</f>
        <v/>
      </c>
      <c r="I807">
        <f>$C807*I806</f>
        <v/>
      </c>
      <c r="J807">
        <f>$C807*J806</f>
        <v/>
      </c>
      <c r="K807">
        <f>$C807*K806</f>
        <v/>
      </c>
      <c r="L807">
        <f>$C807*L806</f>
        <v/>
      </c>
      <c r="M807">
        <f>$C807*M806</f>
        <v/>
      </c>
      <c r="N807">
        <f>$C807*N806</f>
        <v/>
      </c>
      <c r="O807">
        <f>$C807*O806</f>
        <v/>
      </c>
      <c r="P807">
        <f>$C807*P806</f>
        <v/>
      </c>
      <c r="Q807">
        <f>$C807*Q806</f>
        <v/>
      </c>
      <c r="R807">
        <f>$C807*R806</f>
        <v/>
      </c>
      <c r="S807">
        <f>$C807*S806</f>
        <v/>
      </c>
      <c r="T807">
        <f>$C807*T806</f>
        <v/>
      </c>
      <c r="U807">
        <f>$C807*U806</f>
        <v/>
      </c>
      <c r="V807">
        <f>$C807*V806</f>
        <v/>
      </c>
      <c r="W807">
        <f>$C807*W806</f>
        <v/>
      </c>
      <c r="X807">
        <f>$C807*X806</f>
        <v/>
      </c>
      <c r="Y807">
        <f>$C807*Y806</f>
        <v/>
      </c>
      <c r="Z807">
        <f>$C807*Z806</f>
        <v/>
      </c>
      <c r="AA807">
        <f>$C807*AA806</f>
        <v/>
      </c>
      <c r="AB807">
        <f>$C807*AB806</f>
        <v/>
      </c>
      <c r="AC807">
        <f>$C807*AC806</f>
        <v/>
      </c>
      <c r="AD807">
        <f>$C807*AD806</f>
        <v/>
      </c>
      <c r="AE807">
        <f>$C807*AE806</f>
        <v/>
      </c>
      <c r="AF807">
        <f>$C807*AF806</f>
        <v/>
      </c>
      <c r="AG807">
        <f>$C807*AG806</f>
        <v/>
      </c>
      <c r="AH807">
        <f>$C807*AH806</f>
        <v/>
      </c>
      <c r="AI807">
        <f>$C807*AI806</f>
        <v/>
      </c>
      <c r="AJ807">
        <f>$C807*AJ806</f>
        <v/>
      </c>
      <c r="AK807">
        <f>$C807*AK806</f>
        <v/>
      </c>
      <c r="AL807">
        <f>$C807*AL806</f>
        <v/>
      </c>
      <c r="AM807">
        <f>$C807*AM806</f>
        <v/>
      </c>
      <c r="AN807">
        <f>$C807*AN806</f>
        <v/>
      </c>
      <c r="AO807">
        <f>$C807*AO806</f>
        <v/>
      </c>
      <c r="AP807">
        <f>$C807*AP806</f>
        <v/>
      </c>
      <c r="AQ807">
        <f>$C807*AQ806</f>
        <v/>
      </c>
      <c r="AR807">
        <f>$C807*AR806</f>
        <v/>
      </c>
      <c r="AS807">
        <f>$C807*AS806</f>
        <v/>
      </c>
      <c r="AT807">
        <f>$C807*AT806</f>
        <v/>
      </c>
      <c r="AU807">
        <f>$C807*AU806</f>
        <v/>
      </c>
      <c r="AV807">
        <f>$C807*AV806</f>
        <v/>
      </c>
      <c r="AW807">
        <f>$C807*AW806</f>
        <v/>
      </c>
      <c r="AX807">
        <f>$C807*AX806</f>
        <v/>
      </c>
      <c r="AY807">
        <f>$C807*AY806</f>
        <v/>
      </c>
      <c r="AZ807">
        <f>$C807*AZ806</f>
        <v/>
      </c>
      <c r="BA807">
        <f>$C807*BA806</f>
        <v/>
      </c>
      <c r="BB807">
        <f>$C807*BB806</f>
        <v/>
      </c>
      <c r="BC807">
        <f>$C807*BC806</f>
        <v/>
      </c>
      <c r="BD807">
        <f>$C807*BD806</f>
        <v/>
      </c>
      <c r="BE807">
        <f>$C807*BE806</f>
        <v/>
      </c>
      <c r="BF807">
        <f>$C807*BF806</f>
        <v/>
      </c>
      <c r="BG807">
        <f>$C807*BG806</f>
        <v/>
      </c>
      <c r="BH807">
        <f>$C807*BH806</f>
        <v/>
      </c>
      <c r="BI807">
        <f>$C807*BI806</f>
        <v/>
      </c>
      <c r="BJ807">
        <f>$C807*BJ806</f>
        <v/>
      </c>
      <c r="BK807">
        <f>$C807*BK806</f>
        <v/>
      </c>
      <c r="BL807">
        <f>$C807*BL806</f>
        <v/>
      </c>
      <c r="BM807">
        <f>$C807*BM806</f>
        <v/>
      </c>
      <c r="BN807">
        <f>$C807*BN806</f>
        <v/>
      </c>
      <c r="BO807">
        <f>$C807*BO806</f>
        <v/>
      </c>
      <c r="BP807">
        <f>$C807*BP806</f>
        <v/>
      </c>
      <c r="BQ807">
        <f>$C807*BQ806</f>
        <v/>
      </c>
      <c r="BR807">
        <f>$C807*BR806</f>
        <v/>
      </c>
      <c r="BS807">
        <f>$C807*BS806</f>
        <v/>
      </c>
      <c r="BT807">
        <f>$C807*BT806</f>
        <v/>
      </c>
      <c r="BU807">
        <f>$C807*BU806</f>
        <v/>
      </c>
      <c r="BV807">
        <f>$C807*BV806</f>
        <v/>
      </c>
      <c r="BW807">
        <f>$C807*BW806</f>
        <v/>
      </c>
      <c r="BX807">
        <f>$C807*BX806</f>
        <v/>
      </c>
      <c r="BY807">
        <f>$C807*BY806</f>
        <v/>
      </c>
      <c r="BZ807">
        <f>$C807*BZ806</f>
        <v/>
      </c>
      <c r="CA807">
        <f>$C807*CA806</f>
        <v/>
      </c>
      <c r="CB807">
        <f>$C807*CB806</f>
        <v/>
      </c>
      <c r="CC807">
        <f>$C807*CC806</f>
        <v/>
      </c>
      <c r="CD807">
        <f>$C807*CD806</f>
        <v/>
      </c>
      <c r="CE807">
        <f>$C807*CE806</f>
        <v/>
      </c>
      <c r="CF807">
        <f>$C807*CF806</f>
        <v/>
      </c>
      <c r="CG807">
        <f>$C807*CG806</f>
        <v/>
      </c>
      <c r="CH807">
        <f>$C807*CH806</f>
        <v/>
      </c>
      <c r="CI807">
        <f>$C807*CI806</f>
        <v/>
      </c>
      <c r="CJ807">
        <f>$C807*CJ806</f>
        <v/>
      </c>
      <c r="CK807">
        <f>$C807*CK806</f>
        <v/>
      </c>
      <c r="CL807">
        <f>$C807*CL806</f>
        <v/>
      </c>
      <c r="CM807">
        <f>$C807*CM806</f>
        <v/>
      </c>
      <c r="CN807">
        <f>$C807*CN806</f>
        <v/>
      </c>
      <c r="CO807">
        <f>$C807*CO806</f>
        <v/>
      </c>
      <c r="CP807">
        <f>$C807*CP806</f>
        <v/>
      </c>
      <c r="CQ807">
        <f>$C807*CQ806</f>
        <v/>
      </c>
      <c r="CR807">
        <f>$C807*CR806</f>
        <v/>
      </c>
      <c r="CS807">
        <f>$C807*CS806</f>
        <v/>
      </c>
      <c r="CT807">
        <f>$C807*CT806</f>
        <v/>
      </c>
      <c r="CU807">
        <f>$C807*CU806</f>
        <v/>
      </c>
      <c r="CV807">
        <f>$C807*CV806</f>
        <v/>
      </c>
      <c r="CW807">
        <f>$C807*CW806</f>
        <v/>
      </c>
      <c r="CX807">
        <f>$C807*CX806</f>
        <v/>
      </c>
      <c r="CY807">
        <f>$C807*CY806</f>
        <v/>
      </c>
      <c r="CZ807">
        <f>$C807*CZ806</f>
        <v/>
      </c>
      <c r="DA807">
        <f>$C807*DA806</f>
        <v/>
      </c>
      <c r="DB807">
        <f>$C807*DB806</f>
        <v/>
      </c>
      <c r="DC807">
        <f>$C807*DC806</f>
        <v/>
      </c>
    </row>
    <row r="808">
      <c r="B808" t="inlineStr">
        <is>
          <t>VSP-990</t>
        </is>
      </c>
      <c r="C808" t="inlineStr">
        <is>
          <t>No. of batches</t>
        </is>
      </c>
      <c r="D808">
        <f>IFERROR(INDEX(PP_Grid[#Data],$DD808,2),0)</f>
        <v/>
      </c>
      <c r="E808">
        <f>IFERROR(INDEX(PP_Grid[#Data],$DD808,3),0)</f>
        <v/>
      </c>
      <c r="F808">
        <f>IFERROR(INDEX(PP_Grid[#Data],$DD808,4),0)</f>
        <v/>
      </c>
      <c r="G808">
        <f>IFERROR(INDEX(PP_Grid[#Data],$DD808,5),0)</f>
        <v/>
      </c>
      <c r="H808">
        <f>IFERROR(INDEX(PP_Grid[#Data],$DD808,6),0)</f>
        <v/>
      </c>
      <c r="I808">
        <f>IFERROR(INDEX(PP_Grid[#Data],$DD808,7),0)</f>
        <v/>
      </c>
      <c r="J808">
        <f>IFERROR(INDEX(PP_Grid[#Data],$DD808,8),0)</f>
        <v/>
      </c>
      <c r="K808">
        <f>IFERROR(INDEX(PP_Grid[#Data],$DD808,9),0)</f>
        <v/>
      </c>
      <c r="L808">
        <f>IFERROR(INDEX(PP_Grid[#Data],$DD808,10),0)</f>
        <v/>
      </c>
      <c r="M808">
        <f>IFERROR(INDEX(PP_Grid[#Data],$DD808,11),0)</f>
        <v/>
      </c>
      <c r="N808">
        <f>IFERROR(INDEX(PP_Grid[#Data],$DD808,12),0)</f>
        <v/>
      </c>
      <c r="O808">
        <f>IFERROR(INDEX(PP_Grid[#Data],$DD808,13),0)</f>
        <v/>
      </c>
      <c r="P808">
        <f>IFERROR(INDEX(PP_Grid[#Data],$DD808,14),0)</f>
        <v/>
      </c>
      <c r="Q808">
        <f>IFERROR(INDEX(PP_Grid[#Data],$DD808,15),0)</f>
        <v/>
      </c>
      <c r="R808">
        <f>IFERROR(INDEX(PP_Grid[#Data],$DD808,16),0)</f>
        <v/>
      </c>
      <c r="S808">
        <f>IFERROR(INDEX(PP_Grid[#Data],$DD808,17),0)</f>
        <v/>
      </c>
      <c r="T808">
        <f>IFERROR(INDEX(PP_Grid[#Data],$DD808,18),0)</f>
        <v/>
      </c>
      <c r="U808">
        <f>IFERROR(INDEX(PP_Grid[#Data],$DD808,19),0)</f>
        <v/>
      </c>
      <c r="V808">
        <f>IFERROR(INDEX(PP_Grid[#Data],$DD808,20),0)</f>
        <v/>
      </c>
      <c r="W808">
        <f>IFERROR(INDEX(PP_Grid[#Data],$DD808,21),0)</f>
        <v/>
      </c>
      <c r="X808">
        <f>IFERROR(INDEX(PP_Grid[#Data],$DD808,22),0)</f>
        <v/>
      </c>
      <c r="Y808">
        <f>IFERROR(INDEX(PP_Grid[#Data],$DD808,23),0)</f>
        <v/>
      </c>
      <c r="Z808">
        <f>IFERROR(INDEX(PP_Grid[#Data],$DD808,24),0)</f>
        <v/>
      </c>
      <c r="AA808">
        <f>IFERROR(INDEX(PP_Grid[#Data],$DD808,25),0)</f>
        <v/>
      </c>
      <c r="AB808">
        <f>IFERROR(INDEX(PP_Grid[#Data],$DD808,26),0)</f>
        <v/>
      </c>
      <c r="AC808">
        <f>IFERROR(INDEX(PP_Grid[#Data],$DD808,27),0)</f>
        <v/>
      </c>
      <c r="AD808">
        <f>IFERROR(INDEX(PP_Grid[#Data],$DD808,28),0)</f>
        <v/>
      </c>
      <c r="AE808">
        <f>IFERROR(INDEX(PP_Grid[#Data],$DD808,29),0)</f>
        <v/>
      </c>
      <c r="AF808">
        <f>IFERROR(INDEX(PP_Grid[#Data],$DD808,30),0)</f>
        <v/>
      </c>
      <c r="AG808">
        <f>IFERROR(INDEX(PP_Grid[#Data],$DD808,31),0)</f>
        <v/>
      </c>
      <c r="AH808">
        <f>IFERROR(INDEX(PP_Grid[#Data],$DD808,32),0)</f>
        <v/>
      </c>
      <c r="AI808">
        <f>IFERROR(INDEX(PP_Grid[#Data],$DD808,33),0)</f>
        <v/>
      </c>
      <c r="AJ808">
        <f>IFERROR(INDEX(PP_Grid[#Data],$DD808,34),0)</f>
        <v/>
      </c>
      <c r="AK808">
        <f>IFERROR(INDEX(PP_Grid[#Data],$DD808,35),0)</f>
        <v/>
      </c>
      <c r="AL808">
        <f>IFERROR(INDEX(PP_Grid[#Data],$DD808,36),0)</f>
        <v/>
      </c>
      <c r="AM808">
        <f>IFERROR(INDEX(PP_Grid[#Data],$DD808,37),0)</f>
        <v/>
      </c>
      <c r="AN808">
        <f>IFERROR(INDEX(PP_Grid[#Data],$DD808,38),0)</f>
        <v/>
      </c>
      <c r="AO808">
        <f>IFERROR(INDEX(PP_Grid[#Data],$DD808,39),0)</f>
        <v/>
      </c>
      <c r="AP808">
        <f>IFERROR(INDEX(PP_Grid[#Data],$DD808,40),0)</f>
        <v/>
      </c>
      <c r="AQ808">
        <f>IFERROR(INDEX(PP_Grid[#Data],$DD808,41),0)</f>
        <v/>
      </c>
      <c r="AR808">
        <f>IFERROR(INDEX(PP_Grid[#Data],$DD808,42),0)</f>
        <v/>
      </c>
      <c r="AS808">
        <f>IFERROR(INDEX(PP_Grid[#Data],$DD808,43),0)</f>
        <v/>
      </c>
      <c r="AT808">
        <f>IFERROR(INDEX(PP_Grid[#Data],$DD808,44),0)</f>
        <v/>
      </c>
      <c r="AU808">
        <f>IFERROR(INDEX(PP_Grid[#Data],$DD808,45),0)</f>
        <v/>
      </c>
      <c r="AV808">
        <f>IFERROR(INDEX(PP_Grid[#Data],$DD808,46),0)</f>
        <v/>
      </c>
      <c r="AW808">
        <f>IFERROR(INDEX(PP_Grid[#Data],$DD808,47),0)</f>
        <v/>
      </c>
      <c r="AX808">
        <f>IFERROR(INDEX(PP_Grid[#Data],$DD808,48),0)</f>
        <v/>
      </c>
      <c r="AY808">
        <f>IFERROR(INDEX(PP_Grid[#Data],$DD808,49),0)</f>
        <v/>
      </c>
      <c r="AZ808">
        <f>IFERROR(INDEX(PP_Grid[#Data],$DD808,50),0)</f>
        <v/>
      </c>
      <c r="BA808">
        <f>IFERROR(INDEX(PP_Grid[#Data],$DD808,51),0)</f>
        <v/>
      </c>
      <c r="BB808">
        <f>IFERROR(INDEX(PP_Grid[#Data],$DD808,52),0)</f>
        <v/>
      </c>
      <c r="BC808">
        <f>IFERROR(INDEX(PP_Grid[#Data],$DD808,53),0)</f>
        <v/>
      </c>
      <c r="BD808">
        <f>IFERROR(INDEX(PP_Grid[#Data],$DD808,54),0)</f>
        <v/>
      </c>
      <c r="BE808">
        <f>IFERROR(INDEX(PP_Grid[#Data],$DD808,55),0)</f>
        <v/>
      </c>
      <c r="BF808">
        <f>IFERROR(INDEX(PP_Grid[#Data],$DD808,56),0)</f>
        <v/>
      </c>
      <c r="BG808">
        <f>IFERROR(INDEX(PP_Grid[#Data],$DD808,57),0)</f>
        <v/>
      </c>
      <c r="BH808">
        <f>IFERROR(INDEX(PP_Grid[#Data],$DD808,58),0)</f>
        <v/>
      </c>
      <c r="BI808">
        <f>IFERROR(INDEX(PP_Grid[#Data],$DD808,59),0)</f>
        <v/>
      </c>
      <c r="BJ808">
        <f>IFERROR(INDEX(PP_Grid[#Data],$DD808,60),0)</f>
        <v/>
      </c>
      <c r="BK808">
        <f>IFERROR(INDEX(PP_Grid[#Data],$DD808,61),0)</f>
        <v/>
      </c>
      <c r="BL808">
        <f>IFERROR(INDEX(PP_Grid[#Data],$DD808,62),0)</f>
        <v/>
      </c>
      <c r="BM808">
        <f>IFERROR(INDEX(PP_Grid[#Data],$DD808,63),0)</f>
        <v/>
      </c>
      <c r="BN808">
        <f>IFERROR(INDEX(PP_Grid[#Data],$DD808,64),0)</f>
        <v/>
      </c>
      <c r="BO808">
        <f>IFERROR(INDEX(PP_Grid[#Data],$DD808,65),0)</f>
        <v/>
      </c>
      <c r="BP808">
        <f>IFERROR(INDEX(PP_Grid[#Data],$DD808,66),0)</f>
        <v/>
      </c>
      <c r="BQ808">
        <f>IFERROR(INDEX(PP_Grid[#Data],$DD808,67),0)</f>
        <v/>
      </c>
      <c r="BR808">
        <f>IFERROR(INDEX(PP_Grid[#Data],$DD808,68),0)</f>
        <v/>
      </c>
      <c r="BS808">
        <f>IFERROR(INDEX(PP_Grid[#Data],$DD808,69),0)</f>
        <v/>
      </c>
      <c r="BT808">
        <f>IFERROR(INDEX(PP_Grid[#Data],$DD808,70),0)</f>
        <v/>
      </c>
      <c r="BU808">
        <f>IFERROR(INDEX(PP_Grid[#Data],$DD808,71),0)</f>
        <v/>
      </c>
      <c r="BV808">
        <f>IFERROR(INDEX(PP_Grid[#Data],$DD808,72),0)</f>
        <v/>
      </c>
      <c r="BW808">
        <f>IFERROR(INDEX(PP_Grid[#Data],$DD808,73),0)</f>
        <v/>
      </c>
      <c r="BX808">
        <f>IFERROR(INDEX(PP_Grid[#Data],$DD808,74),0)</f>
        <v/>
      </c>
      <c r="BY808">
        <f>IFERROR(INDEX(PP_Grid[#Data],$DD808,75),0)</f>
        <v/>
      </c>
      <c r="BZ808">
        <f>IFERROR(INDEX(PP_Grid[#Data],$DD808,76),0)</f>
        <v/>
      </c>
      <c r="CA808">
        <f>IFERROR(INDEX(PP_Grid[#Data],$DD808,77),0)</f>
        <v/>
      </c>
      <c r="CB808">
        <f>IFERROR(INDEX(PP_Grid[#Data],$DD808,78),0)</f>
        <v/>
      </c>
      <c r="CC808">
        <f>IFERROR(INDEX(PP_Grid[#Data],$DD808,79),0)</f>
        <v/>
      </c>
      <c r="CD808">
        <f>IFERROR(INDEX(PP_Grid[#Data],$DD808,80),0)</f>
        <v/>
      </c>
      <c r="CE808">
        <f>IFERROR(INDEX(PP_Grid[#Data],$DD808,81),0)</f>
        <v/>
      </c>
      <c r="CF808">
        <f>IFERROR(INDEX(PP_Grid[#Data],$DD808,82),0)</f>
        <v/>
      </c>
      <c r="CG808">
        <f>IFERROR(INDEX(PP_Grid[#Data],$DD808,83),0)</f>
        <v/>
      </c>
      <c r="CH808">
        <f>IFERROR(INDEX(PP_Grid[#Data],$DD808,84),0)</f>
        <v/>
      </c>
      <c r="CI808">
        <f>IFERROR(INDEX(PP_Grid[#Data],$DD808,85),0)</f>
        <v/>
      </c>
      <c r="CJ808">
        <f>IFERROR(INDEX(PP_Grid[#Data],$DD808,86),0)</f>
        <v/>
      </c>
      <c r="CK808">
        <f>IFERROR(INDEX(PP_Grid[#Data],$DD808,87),0)</f>
        <v/>
      </c>
      <c r="CL808">
        <f>IFERROR(INDEX(PP_Grid[#Data],$DD808,88),0)</f>
        <v/>
      </c>
      <c r="CM808">
        <f>IFERROR(INDEX(PP_Grid[#Data],$DD808,89),0)</f>
        <v/>
      </c>
      <c r="CN808">
        <f>IFERROR(INDEX(PP_Grid[#Data],$DD808,90),0)</f>
        <v/>
      </c>
      <c r="CO808">
        <f>IFERROR(INDEX(PP_Grid[#Data],$DD808,91),0)</f>
        <v/>
      </c>
      <c r="CP808">
        <f>IFERROR(INDEX(PP_Grid[#Data],$DD808,92),0)</f>
        <v/>
      </c>
      <c r="CQ808">
        <f>IFERROR(INDEX(PP_Grid[#Data],$DD808,93),0)</f>
        <v/>
      </c>
      <c r="CR808">
        <f>IFERROR(INDEX(PP_Grid[#Data],$DD808,94),0)</f>
        <v/>
      </c>
      <c r="CS808">
        <f>IFERROR(INDEX(PP_Grid[#Data],$DD808,95),0)</f>
        <v/>
      </c>
      <c r="CT808">
        <f>IFERROR(INDEX(PP_Grid[#Data],$DD808,96),0)</f>
        <v/>
      </c>
      <c r="CU808">
        <f>IFERROR(INDEX(PP_Grid[#Data],$DD808,97),0)</f>
        <v/>
      </c>
      <c r="CV808">
        <f>IFERROR(INDEX(PP_Grid[#Data],$DD808,98),0)</f>
        <v/>
      </c>
      <c r="CW808">
        <f>IFERROR(INDEX(PP_Grid[#Data],$DD808,99),0)</f>
        <v/>
      </c>
      <c r="CX808">
        <f>IFERROR(INDEX(PP_Grid[#Data],$DD808,100),0)</f>
        <v/>
      </c>
      <c r="CY808">
        <f>IFERROR(INDEX(PP_Grid[#Data],$DD808,101),0)</f>
        <v/>
      </c>
      <c r="CZ808">
        <f>IFERROR(INDEX(PP_Grid[#Data],$DD808,102),0)</f>
        <v/>
      </c>
      <c r="DA808">
        <f>IFERROR(INDEX(PP_Grid[#Data],$DD808,103),0)</f>
        <v/>
      </c>
      <c r="DB808">
        <f>IFERROR(INDEX(PP_Grid[#Data],$DD808,104),0)</f>
        <v/>
      </c>
      <c r="DC808">
        <f>IFERROR(INDEX(PP_Grid[#Data],$DD808,105),0)</f>
        <v/>
      </c>
      <c r="DD808" s="7">
        <f>IFERROR(MATCH($B808,PP_Grid[Intermediate],0),99999)</f>
        <v/>
      </c>
    </row>
    <row r="809">
      <c r="B809" t="inlineStr">
        <is>
          <t>使用量(kg)</t>
        </is>
      </c>
      <c r="C809">
        <f>SUMIFS(M_BOM[RM_Qty_Per_Batch],M_BOM[Intermediate],$B808,M_BOM[Part Name],$A759)</f>
        <v/>
      </c>
      <c r="D809">
        <f>$C809*D808</f>
        <v/>
      </c>
      <c r="E809">
        <f>$C809*E808</f>
        <v/>
      </c>
      <c r="F809">
        <f>$C809*F808</f>
        <v/>
      </c>
      <c r="G809">
        <f>$C809*G808</f>
        <v/>
      </c>
      <c r="H809">
        <f>$C809*H808</f>
        <v/>
      </c>
      <c r="I809">
        <f>$C809*I808</f>
        <v/>
      </c>
      <c r="J809">
        <f>$C809*J808</f>
        <v/>
      </c>
      <c r="K809">
        <f>$C809*K808</f>
        <v/>
      </c>
      <c r="L809">
        <f>$C809*L808</f>
        <v/>
      </c>
      <c r="M809">
        <f>$C809*M808</f>
        <v/>
      </c>
      <c r="N809">
        <f>$C809*N808</f>
        <v/>
      </c>
      <c r="O809">
        <f>$C809*O808</f>
        <v/>
      </c>
      <c r="P809">
        <f>$C809*P808</f>
        <v/>
      </c>
      <c r="Q809">
        <f>$C809*Q808</f>
        <v/>
      </c>
      <c r="R809">
        <f>$C809*R808</f>
        <v/>
      </c>
      <c r="S809">
        <f>$C809*S808</f>
        <v/>
      </c>
      <c r="T809">
        <f>$C809*T808</f>
        <v/>
      </c>
      <c r="U809">
        <f>$C809*U808</f>
        <v/>
      </c>
      <c r="V809">
        <f>$C809*V808</f>
        <v/>
      </c>
      <c r="W809">
        <f>$C809*W808</f>
        <v/>
      </c>
      <c r="X809">
        <f>$C809*X808</f>
        <v/>
      </c>
      <c r="Y809">
        <f>$C809*Y808</f>
        <v/>
      </c>
      <c r="Z809">
        <f>$C809*Z808</f>
        <v/>
      </c>
      <c r="AA809">
        <f>$C809*AA808</f>
        <v/>
      </c>
      <c r="AB809">
        <f>$C809*AB808</f>
        <v/>
      </c>
      <c r="AC809">
        <f>$C809*AC808</f>
        <v/>
      </c>
      <c r="AD809">
        <f>$C809*AD808</f>
        <v/>
      </c>
      <c r="AE809">
        <f>$C809*AE808</f>
        <v/>
      </c>
      <c r="AF809">
        <f>$C809*AF808</f>
        <v/>
      </c>
      <c r="AG809">
        <f>$C809*AG808</f>
        <v/>
      </c>
      <c r="AH809">
        <f>$C809*AH808</f>
        <v/>
      </c>
      <c r="AI809">
        <f>$C809*AI808</f>
        <v/>
      </c>
      <c r="AJ809">
        <f>$C809*AJ808</f>
        <v/>
      </c>
      <c r="AK809">
        <f>$C809*AK808</f>
        <v/>
      </c>
      <c r="AL809">
        <f>$C809*AL808</f>
        <v/>
      </c>
      <c r="AM809">
        <f>$C809*AM808</f>
        <v/>
      </c>
      <c r="AN809">
        <f>$C809*AN808</f>
        <v/>
      </c>
      <c r="AO809">
        <f>$C809*AO808</f>
        <v/>
      </c>
      <c r="AP809">
        <f>$C809*AP808</f>
        <v/>
      </c>
      <c r="AQ809">
        <f>$C809*AQ808</f>
        <v/>
      </c>
      <c r="AR809">
        <f>$C809*AR808</f>
        <v/>
      </c>
      <c r="AS809">
        <f>$C809*AS808</f>
        <v/>
      </c>
      <c r="AT809">
        <f>$C809*AT808</f>
        <v/>
      </c>
      <c r="AU809">
        <f>$C809*AU808</f>
        <v/>
      </c>
      <c r="AV809">
        <f>$C809*AV808</f>
        <v/>
      </c>
      <c r="AW809">
        <f>$C809*AW808</f>
        <v/>
      </c>
      <c r="AX809">
        <f>$C809*AX808</f>
        <v/>
      </c>
      <c r="AY809">
        <f>$C809*AY808</f>
        <v/>
      </c>
      <c r="AZ809">
        <f>$C809*AZ808</f>
        <v/>
      </c>
      <c r="BA809">
        <f>$C809*BA808</f>
        <v/>
      </c>
      <c r="BB809">
        <f>$C809*BB808</f>
        <v/>
      </c>
      <c r="BC809">
        <f>$C809*BC808</f>
        <v/>
      </c>
      <c r="BD809">
        <f>$C809*BD808</f>
        <v/>
      </c>
      <c r="BE809">
        <f>$C809*BE808</f>
        <v/>
      </c>
      <c r="BF809">
        <f>$C809*BF808</f>
        <v/>
      </c>
      <c r="BG809">
        <f>$C809*BG808</f>
        <v/>
      </c>
      <c r="BH809">
        <f>$C809*BH808</f>
        <v/>
      </c>
      <c r="BI809">
        <f>$C809*BI808</f>
        <v/>
      </c>
      <c r="BJ809">
        <f>$C809*BJ808</f>
        <v/>
      </c>
      <c r="BK809">
        <f>$C809*BK808</f>
        <v/>
      </c>
      <c r="BL809">
        <f>$C809*BL808</f>
        <v/>
      </c>
      <c r="BM809">
        <f>$C809*BM808</f>
        <v/>
      </c>
      <c r="BN809">
        <f>$C809*BN808</f>
        <v/>
      </c>
      <c r="BO809">
        <f>$C809*BO808</f>
        <v/>
      </c>
      <c r="BP809">
        <f>$C809*BP808</f>
        <v/>
      </c>
      <c r="BQ809">
        <f>$C809*BQ808</f>
        <v/>
      </c>
      <c r="BR809">
        <f>$C809*BR808</f>
        <v/>
      </c>
      <c r="BS809">
        <f>$C809*BS808</f>
        <v/>
      </c>
      <c r="BT809">
        <f>$C809*BT808</f>
        <v/>
      </c>
      <c r="BU809">
        <f>$C809*BU808</f>
        <v/>
      </c>
      <c r="BV809">
        <f>$C809*BV808</f>
        <v/>
      </c>
      <c r="BW809">
        <f>$C809*BW808</f>
        <v/>
      </c>
      <c r="BX809">
        <f>$C809*BX808</f>
        <v/>
      </c>
      <c r="BY809">
        <f>$C809*BY808</f>
        <v/>
      </c>
      <c r="BZ809">
        <f>$C809*BZ808</f>
        <v/>
      </c>
      <c r="CA809">
        <f>$C809*CA808</f>
        <v/>
      </c>
      <c r="CB809">
        <f>$C809*CB808</f>
        <v/>
      </c>
      <c r="CC809">
        <f>$C809*CC808</f>
        <v/>
      </c>
      <c r="CD809">
        <f>$C809*CD808</f>
        <v/>
      </c>
      <c r="CE809">
        <f>$C809*CE808</f>
        <v/>
      </c>
      <c r="CF809">
        <f>$C809*CF808</f>
        <v/>
      </c>
      <c r="CG809">
        <f>$C809*CG808</f>
        <v/>
      </c>
      <c r="CH809">
        <f>$C809*CH808</f>
        <v/>
      </c>
      <c r="CI809">
        <f>$C809*CI808</f>
        <v/>
      </c>
      <c r="CJ809">
        <f>$C809*CJ808</f>
        <v/>
      </c>
      <c r="CK809">
        <f>$C809*CK808</f>
        <v/>
      </c>
      <c r="CL809">
        <f>$C809*CL808</f>
        <v/>
      </c>
      <c r="CM809">
        <f>$C809*CM808</f>
        <v/>
      </c>
      <c r="CN809">
        <f>$C809*CN808</f>
        <v/>
      </c>
      <c r="CO809">
        <f>$C809*CO808</f>
        <v/>
      </c>
      <c r="CP809">
        <f>$C809*CP808</f>
        <v/>
      </c>
      <c r="CQ809">
        <f>$C809*CQ808</f>
        <v/>
      </c>
      <c r="CR809">
        <f>$C809*CR808</f>
        <v/>
      </c>
      <c r="CS809">
        <f>$C809*CS808</f>
        <v/>
      </c>
      <c r="CT809">
        <f>$C809*CT808</f>
        <v/>
      </c>
      <c r="CU809">
        <f>$C809*CU808</f>
        <v/>
      </c>
      <c r="CV809">
        <f>$C809*CV808</f>
        <v/>
      </c>
      <c r="CW809">
        <f>$C809*CW808</f>
        <v/>
      </c>
      <c r="CX809">
        <f>$C809*CX808</f>
        <v/>
      </c>
      <c r="CY809">
        <f>$C809*CY808</f>
        <v/>
      </c>
      <c r="CZ809">
        <f>$C809*CZ808</f>
        <v/>
      </c>
      <c r="DA809">
        <f>$C809*DA808</f>
        <v/>
      </c>
      <c r="DB809">
        <f>$C809*DB808</f>
        <v/>
      </c>
      <c r="DC809">
        <f>$C809*DC808</f>
        <v/>
      </c>
    </row>
    <row r="810">
      <c r="B810" t="inlineStr">
        <is>
          <t>VSZ-745</t>
        </is>
      </c>
      <c r="C810" t="inlineStr">
        <is>
          <t>No. of batches</t>
        </is>
      </c>
      <c r="D810">
        <f>IFERROR(INDEX(PP_Grid[#Data],$DD810,2),0)</f>
        <v/>
      </c>
      <c r="E810">
        <f>IFERROR(INDEX(PP_Grid[#Data],$DD810,3),0)</f>
        <v/>
      </c>
      <c r="F810">
        <f>IFERROR(INDEX(PP_Grid[#Data],$DD810,4),0)</f>
        <v/>
      </c>
      <c r="G810">
        <f>IFERROR(INDEX(PP_Grid[#Data],$DD810,5),0)</f>
        <v/>
      </c>
      <c r="H810">
        <f>IFERROR(INDEX(PP_Grid[#Data],$DD810,6),0)</f>
        <v/>
      </c>
      <c r="I810">
        <f>IFERROR(INDEX(PP_Grid[#Data],$DD810,7),0)</f>
        <v/>
      </c>
      <c r="J810">
        <f>IFERROR(INDEX(PP_Grid[#Data],$DD810,8),0)</f>
        <v/>
      </c>
      <c r="K810">
        <f>IFERROR(INDEX(PP_Grid[#Data],$DD810,9),0)</f>
        <v/>
      </c>
      <c r="L810">
        <f>IFERROR(INDEX(PP_Grid[#Data],$DD810,10),0)</f>
        <v/>
      </c>
      <c r="M810">
        <f>IFERROR(INDEX(PP_Grid[#Data],$DD810,11),0)</f>
        <v/>
      </c>
      <c r="N810">
        <f>IFERROR(INDEX(PP_Grid[#Data],$DD810,12),0)</f>
        <v/>
      </c>
      <c r="O810">
        <f>IFERROR(INDEX(PP_Grid[#Data],$DD810,13),0)</f>
        <v/>
      </c>
      <c r="P810">
        <f>IFERROR(INDEX(PP_Grid[#Data],$DD810,14),0)</f>
        <v/>
      </c>
      <c r="Q810">
        <f>IFERROR(INDEX(PP_Grid[#Data],$DD810,15),0)</f>
        <v/>
      </c>
      <c r="R810">
        <f>IFERROR(INDEX(PP_Grid[#Data],$DD810,16),0)</f>
        <v/>
      </c>
      <c r="S810">
        <f>IFERROR(INDEX(PP_Grid[#Data],$DD810,17),0)</f>
        <v/>
      </c>
      <c r="T810">
        <f>IFERROR(INDEX(PP_Grid[#Data],$DD810,18),0)</f>
        <v/>
      </c>
      <c r="U810">
        <f>IFERROR(INDEX(PP_Grid[#Data],$DD810,19),0)</f>
        <v/>
      </c>
      <c r="V810">
        <f>IFERROR(INDEX(PP_Grid[#Data],$DD810,20),0)</f>
        <v/>
      </c>
      <c r="W810">
        <f>IFERROR(INDEX(PP_Grid[#Data],$DD810,21),0)</f>
        <v/>
      </c>
      <c r="X810">
        <f>IFERROR(INDEX(PP_Grid[#Data],$DD810,22),0)</f>
        <v/>
      </c>
      <c r="Y810">
        <f>IFERROR(INDEX(PP_Grid[#Data],$DD810,23),0)</f>
        <v/>
      </c>
      <c r="Z810">
        <f>IFERROR(INDEX(PP_Grid[#Data],$DD810,24),0)</f>
        <v/>
      </c>
      <c r="AA810">
        <f>IFERROR(INDEX(PP_Grid[#Data],$DD810,25),0)</f>
        <v/>
      </c>
      <c r="AB810">
        <f>IFERROR(INDEX(PP_Grid[#Data],$DD810,26),0)</f>
        <v/>
      </c>
      <c r="AC810">
        <f>IFERROR(INDEX(PP_Grid[#Data],$DD810,27),0)</f>
        <v/>
      </c>
      <c r="AD810">
        <f>IFERROR(INDEX(PP_Grid[#Data],$DD810,28),0)</f>
        <v/>
      </c>
      <c r="AE810">
        <f>IFERROR(INDEX(PP_Grid[#Data],$DD810,29),0)</f>
        <v/>
      </c>
      <c r="AF810">
        <f>IFERROR(INDEX(PP_Grid[#Data],$DD810,30),0)</f>
        <v/>
      </c>
      <c r="AG810">
        <f>IFERROR(INDEX(PP_Grid[#Data],$DD810,31),0)</f>
        <v/>
      </c>
      <c r="AH810">
        <f>IFERROR(INDEX(PP_Grid[#Data],$DD810,32),0)</f>
        <v/>
      </c>
      <c r="AI810">
        <f>IFERROR(INDEX(PP_Grid[#Data],$DD810,33),0)</f>
        <v/>
      </c>
      <c r="AJ810">
        <f>IFERROR(INDEX(PP_Grid[#Data],$DD810,34),0)</f>
        <v/>
      </c>
      <c r="AK810">
        <f>IFERROR(INDEX(PP_Grid[#Data],$DD810,35),0)</f>
        <v/>
      </c>
      <c r="AL810">
        <f>IFERROR(INDEX(PP_Grid[#Data],$DD810,36),0)</f>
        <v/>
      </c>
      <c r="AM810">
        <f>IFERROR(INDEX(PP_Grid[#Data],$DD810,37),0)</f>
        <v/>
      </c>
      <c r="AN810">
        <f>IFERROR(INDEX(PP_Grid[#Data],$DD810,38),0)</f>
        <v/>
      </c>
      <c r="AO810">
        <f>IFERROR(INDEX(PP_Grid[#Data],$DD810,39),0)</f>
        <v/>
      </c>
      <c r="AP810">
        <f>IFERROR(INDEX(PP_Grid[#Data],$DD810,40),0)</f>
        <v/>
      </c>
      <c r="AQ810">
        <f>IFERROR(INDEX(PP_Grid[#Data],$DD810,41),0)</f>
        <v/>
      </c>
      <c r="AR810">
        <f>IFERROR(INDEX(PP_Grid[#Data],$DD810,42),0)</f>
        <v/>
      </c>
      <c r="AS810">
        <f>IFERROR(INDEX(PP_Grid[#Data],$DD810,43),0)</f>
        <v/>
      </c>
      <c r="AT810">
        <f>IFERROR(INDEX(PP_Grid[#Data],$DD810,44),0)</f>
        <v/>
      </c>
      <c r="AU810">
        <f>IFERROR(INDEX(PP_Grid[#Data],$DD810,45),0)</f>
        <v/>
      </c>
      <c r="AV810">
        <f>IFERROR(INDEX(PP_Grid[#Data],$DD810,46),0)</f>
        <v/>
      </c>
      <c r="AW810">
        <f>IFERROR(INDEX(PP_Grid[#Data],$DD810,47),0)</f>
        <v/>
      </c>
      <c r="AX810">
        <f>IFERROR(INDEX(PP_Grid[#Data],$DD810,48),0)</f>
        <v/>
      </c>
      <c r="AY810">
        <f>IFERROR(INDEX(PP_Grid[#Data],$DD810,49),0)</f>
        <v/>
      </c>
      <c r="AZ810">
        <f>IFERROR(INDEX(PP_Grid[#Data],$DD810,50),0)</f>
        <v/>
      </c>
      <c r="BA810">
        <f>IFERROR(INDEX(PP_Grid[#Data],$DD810,51),0)</f>
        <v/>
      </c>
      <c r="BB810">
        <f>IFERROR(INDEX(PP_Grid[#Data],$DD810,52),0)</f>
        <v/>
      </c>
      <c r="BC810">
        <f>IFERROR(INDEX(PP_Grid[#Data],$DD810,53),0)</f>
        <v/>
      </c>
      <c r="BD810">
        <f>IFERROR(INDEX(PP_Grid[#Data],$DD810,54),0)</f>
        <v/>
      </c>
      <c r="BE810">
        <f>IFERROR(INDEX(PP_Grid[#Data],$DD810,55),0)</f>
        <v/>
      </c>
      <c r="BF810">
        <f>IFERROR(INDEX(PP_Grid[#Data],$DD810,56),0)</f>
        <v/>
      </c>
      <c r="BG810">
        <f>IFERROR(INDEX(PP_Grid[#Data],$DD810,57),0)</f>
        <v/>
      </c>
      <c r="BH810">
        <f>IFERROR(INDEX(PP_Grid[#Data],$DD810,58),0)</f>
        <v/>
      </c>
      <c r="BI810">
        <f>IFERROR(INDEX(PP_Grid[#Data],$DD810,59),0)</f>
        <v/>
      </c>
      <c r="BJ810">
        <f>IFERROR(INDEX(PP_Grid[#Data],$DD810,60),0)</f>
        <v/>
      </c>
      <c r="BK810">
        <f>IFERROR(INDEX(PP_Grid[#Data],$DD810,61),0)</f>
        <v/>
      </c>
      <c r="BL810">
        <f>IFERROR(INDEX(PP_Grid[#Data],$DD810,62),0)</f>
        <v/>
      </c>
      <c r="BM810">
        <f>IFERROR(INDEX(PP_Grid[#Data],$DD810,63),0)</f>
        <v/>
      </c>
      <c r="BN810">
        <f>IFERROR(INDEX(PP_Grid[#Data],$DD810,64),0)</f>
        <v/>
      </c>
      <c r="BO810">
        <f>IFERROR(INDEX(PP_Grid[#Data],$DD810,65),0)</f>
        <v/>
      </c>
      <c r="BP810">
        <f>IFERROR(INDEX(PP_Grid[#Data],$DD810,66),0)</f>
        <v/>
      </c>
      <c r="BQ810">
        <f>IFERROR(INDEX(PP_Grid[#Data],$DD810,67),0)</f>
        <v/>
      </c>
      <c r="BR810">
        <f>IFERROR(INDEX(PP_Grid[#Data],$DD810,68),0)</f>
        <v/>
      </c>
      <c r="BS810">
        <f>IFERROR(INDEX(PP_Grid[#Data],$DD810,69),0)</f>
        <v/>
      </c>
      <c r="BT810">
        <f>IFERROR(INDEX(PP_Grid[#Data],$DD810,70),0)</f>
        <v/>
      </c>
      <c r="BU810">
        <f>IFERROR(INDEX(PP_Grid[#Data],$DD810,71),0)</f>
        <v/>
      </c>
      <c r="BV810">
        <f>IFERROR(INDEX(PP_Grid[#Data],$DD810,72),0)</f>
        <v/>
      </c>
      <c r="BW810">
        <f>IFERROR(INDEX(PP_Grid[#Data],$DD810,73),0)</f>
        <v/>
      </c>
      <c r="BX810">
        <f>IFERROR(INDEX(PP_Grid[#Data],$DD810,74),0)</f>
        <v/>
      </c>
      <c r="BY810">
        <f>IFERROR(INDEX(PP_Grid[#Data],$DD810,75),0)</f>
        <v/>
      </c>
      <c r="BZ810">
        <f>IFERROR(INDEX(PP_Grid[#Data],$DD810,76),0)</f>
        <v/>
      </c>
      <c r="CA810">
        <f>IFERROR(INDEX(PP_Grid[#Data],$DD810,77),0)</f>
        <v/>
      </c>
      <c r="CB810">
        <f>IFERROR(INDEX(PP_Grid[#Data],$DD810,78),0)</f>
        <v/>
      </c>
      <c r="CC810">
        <f>IFERROR(INDEX(PP_Grid[#Data],$DD810,79),0)</f>
        <v/>
      </c>
      <c r="CD810">
        <f>IFERROR(INDEX(PP_Grid[#Data],$DD810,80),0)</f>
        <v/>
      </c>
      <c r="CE810">
        <f>IFERROR(INDEX(PP_Grid[#Data],$DD810,81),0)</f>
        <v/>
      </c>
      <c r="CF810">
        <f>IFERROR(INDEX(PP_Grid[#Data],$DD810,82),0)</f>
        <v/>
      </c>
      <c r="CG810">
        <f>IFERROR(INDEX(PP_Grid[#Data],$DD810,83),0)</f>
        <v/>
      </c>
      <c r="CH810">
        <f>IFERROR(INDEX(PP_Grid[#Data],$DD810,84),0)</f>
        <v/>
      </c>
      <c r="CI810">
        <f>IFERROR(INDEX(PP_Grid[#Data],$DD810,85),0)</f>
        <v/>
      </c>
      <c r="CJ810">
        <f>IFERROR(INDEX(PP_Grid[#Data],$DD810,86),0)</f>
        <v/>
      </c>
      <c r="CK810">
        <f>IFERROR(INDEX(PP_Grid[#Data],$DD810,87),0)</f>
        <v/>
      </c>
      <c r="CL810">
        <f>IFERROR(INDEX(PP_Grid[#Data],$DD810,88),0)</f>
        <v/>
      </c>
      <c r="CM810">
        <f>IFERROR(INDEX(PP_Grid[#Data],$DD810,89),0)</f>
        <v/>
      </c>
      <c r="CN810">
        <f>IFERROR(INDEX(PP_Grid[#Data],$DD810,90),0)</f>
        <v/>
      </c>
      <c r="CO810">
        <f>IFERROR(INDEX(PP_Grid[#Data],$DD810,91),0)</f>
        <v/>
      </c>
      <c r="CP810">
        <f>IFERROR(INDEX(PP_Grid[#Data],$DD810,92),0)</f>
        <v/>
      </c>
      <c r="CQ810">
        <f>IFERROR(INDEX(PP_Grid[#Data],$DD810,93),0)</f>
        <v/>
      </c>
      <c r="CR810">
        <f>IFERROR(INDEX(PP_Grid[#Data],$DD810,94),0)</f>
        <v/>
      </c>
      <c r="CS810">
        <f>IFERROR(INDEX(PP_Grid[#Data],$DD810,95),0)</f>
        <v/>
      </c>
      <c r="CT810">
        <f>IFERROR(INDEX(PP_Grid[#Data],$DD810,96),0)</f>
        <v/>
      </c>
      <c r="CU810">
        <f>IFERROR(INDEX(PP_Grid[#Data],$DD810,97),0)</f>
        <v/>
      </c>
      <c r="CV810">
        <f>IFERROR(INDEX(PP_Grid[#Data],$DD810,98),0)</f>
        <v/>
      </c>
      <c r="CW810">
        <f>IFERROR(INDEX(PP_Grid[#Data],$DD810,99),0)</f>
        <v/>
      </c>
      <c r="CX810">
        <f>IFERROR(INDEX(PP_Grid[#Data],$DD810,100),0)</f>
        <v/>
      </c>
      <c r="CY810">
        <f>IFERROR(INDEX(PP_Grid[#Data],$DD810,101),0)</f>
        <v/>
      </c>
      <c r="CZ810">
        <f>IFERROR(INDEX(PP_Grid[#Data],$DD810,102),0)</f>
        <v/>
      </c>
      <c r="DA810">
        <f>IFERROR(INDEX(PP_Grid[#Data],$DD810,103),0)</f>
        <v/>
      </c>
      <c r="DB810">
        <f>IFERROR(INDEX(PP_Grid[#Data],$DD810,104),0)</f>
        <v/>
      </c>
      <c r="DC810">
        <f>IFERROR(INDEX(PP_Grid[#Data],$DD810,105),0)</f>
        <v/>
      </c>
      <c r="DD810" s="7">
        <f>IFERROR(MATCH($B810,PP_Grid[Intermediate],0),99999)</f>
        <v/>
      </c>
    </row>
    <row r="811">
      <c r="B811" t="inlineStr">
        <is>
          <t>使用量(kg)</t>
        </is>
      </c>
      <c r="C811">
        <f>SUMIFS(M_BOM[RM_Qty_Per_Batch],M_BOM[Intermediate],$B810,M_BOM[Part Name],$A759)</f>
        <v/>
      </c>
      <c r="D811">
        <f>$C811*D810</f>
        <v/>
      </c>
      <c r="E811">
        <f>$C811*E810</f>
        <v/>
      </c>
      <c r="F811">
        <f>$C811*F810</f>
        <v/>
      </c>
      <c r="G811">
        <f>$C811*G810</f>
        <v/>
      </c>
      <c r="H811">
        <f>$C811*H810</f>
        <v/>
      </c>
      <c r="I811">
        <f>$C811*I810</f>
        <v/>
      </c>
      <c r="J811">
        <f>$C811*J810</f>
        <v/>
      </c>
      <c r="K811">
        <f>$C811*K810</f>
        <v/>
      </c>
      <c r="L811">
        <f>$C811*L810</f>
        <v/>
      </c>
      <c r="M811">
        <f>$C811*M810</f>
        <v/>
      </c>
      <c r="N811">
        <f>$C811*N810</f>
        <v/>
      </c>
      <c r="O811">
        <f>$C811*O810</f>
        <v/>
      </c>
      <c r="P811">
        <f>$C811*P810</f>
        <v/>
      </c>
      <c r="Q811">
        <f>$C811*Q810</f>
        <v/>
      </c>
      <c r="R811">
        <f>$C811*R810</f>
        <v/>
      </c>
      <c r="S811">
        <f>$C811*S810</f>
        <v/>
      </c>
      <c r="T811">
        <f>$C811*T810</f>
        <v/>
      </c>
      <c r="U811">
        <f>$C811*U810</f>
        <v/>
      </c>
      <c r="V811">
        <f>$C811*V810</f>
        <v/>
      </c>
      <c r="W811">
        <f>$C811*W810</f>
        <v/>
      </c>
      <c r="X811">
        <f>$C811*X810</f>
        <v/>
      </c>
      <c r="Y811">
        <f>$C811*Y810</f>
        <v/>
      </c>
      <c r="Z811">
        <f>$C811*Z810</f>
        <v/>
      </c>
      <c r="AA811">
        <f>$C811*AA810</f>
        <v/>
      </c>
      <c r="AB811">
        <f>$C811*AB810</f>
        <v/>
      </c>
      <c r="AC811">
        <f>$C811*AC810</f>
        <v/>
      </c>
      <c r="AD811">
        <f>$C811*AD810</f>
        <v/>
      </c>
      <c r="AE811">
        <f>$C811*AE810</f>
        <v/>
      </c>
      <c r="AF811">
        <f>$C811*AF810</f>
        <v/>
      </c>
      <c r="AG811">
        <f>$C811*AG810</f>
        <v/>
      </c>
      <c r="AH811">
        <f>$C811*AH810</f>
        <v/>
      </c>
      <c r="AI811">
        <f>$C811*AI810</f>
        <v/>
      </c>
      <c r="AJ811">
        <f>$C811*AJ810</f>
        <v/>
      </c>
      <c r="AK811">
        <f>$C811*AK810</f>
        <v/>
      </c>
      <c r="AL811">
        <f>$C811*AL810</f>
        <v/>
      </c>
      <c r="AM811">
        <f>$C811*AM810</f>
        <v/>
      </c>
      <c r="AN811">
        <f>$C811*AN810</f>
        <v/>
      </c>
      <c r="AO811">
        <f>$C811*AO810</f>
        <v/>
      </c>
      <c r="AP811">
        <f>$C811*AP810</f>
        <v/>
      </c>
      <c r="AQ811">
        <f>$C811*AQ810</f>
        <v/>
      </c>
      <c r="AR811">
        <f>$C811*AR810</f>
        <v/>
      </c>
      <c r="AS811">
        <f>$C811*AS810</f>
        <v/>
      </c>
      <c r="AT811">
        <f>$C811*AT810</f>
        <v/>
      </c>
      <c r="AU811">
        <f>$C811*AU810</f>
        <v/>
      </c>
      <c r="AV811">
        <f>$C811*AV810</f>
        <v/>
      </c>
      <c r="AW811">
        <f>$C811*AW810</f>
        <v/>
      </c>
      <c r="AX811">
        <f>$C811*AX810</f>
        <v/>
      </c>
      <c r="AY811">
        <f>$C811*AY810</f>
        <v/>
      </c>
      <c r="AZ811">
        <f>$C811*AZ810</f>
        <v/>
      </c>
      <c r="BA811">
        <f>$C811*BA810</f>
        <v/>
      </c>
      <c r="BB811">
        <f>$C811*BB810</f>
        <v/>
      </c>
      <c r="BC811">
        <f>$C811*BC810</f>
        <v/>
      </c>
      <c r="BD811">
        <f>$C811*BD810</f>
        <v/>
      </c>
      <c r="BE811">
        <f>$C811*BE810</f>
        <v/>
      </c>
      <c r="BF811">
        <f>$C811*BF810</f>
        <v/>
      </c>
      <c r="BG811">
        <f>$C811*BG810</f>
        <v/>
      </c>
      <c r="BH811">
        <f>$C811*BH810</f>
        <v/>
      </c>
      <c r="BI811">
        <f>$C811*BI810</f>
        <v/>
      </c>
      <c r="BJ811">
        <f>$C811*BJ810</f>
        <v/>
      </c>
      <c r="BK811">
        <f>$C811*BK810</f>
        <v/>
      </c>
      <c r="BL811">
        <f>$C811*BL810</f>
        <v/>
      </c>
      <c r="BM811">
        <f>$C811*BM810</f>
        <v/>
      </c>
      <c r="BN811">
        <f>$C811*BN810</f>
        <v/>
      </c>
      <c r="BO811">
        <f>$C811*BO810</f>
        <v/>
      </c>
      <c r="BP811">
        <f>$C811*BP810</f>
        <v/>
      </c>
      <c r="BQ811">
        <f>$C811*BQ810</f>
        <v/>
      </c>
      <c r="BR811">
        <f>$C811*BR810</f>
        <v/>
      </c>
      <c r="BS811">
        <f>$C811*BS810</f>
        <v/>
      </c>
      <c r="BT811">
        <f>$C811*BT810</f>
        <v/>
      </c>
      <c r="BU811">
        <f>$C811*BU810</f>
        <v/>
      </c>
      <c r="BV811">
        <f>$C811*BV810</f>
        <v/>
      </c>
      <c r="BW811">
        <f>$C811*BW810</f>
        <v/>
      </c>
      <c r="BX811">
        <f>$C811*BX810</f>
        <v/>
      </c>
      <c r="BY811">
        <f>$C811*BY810</f>
        <v/>
      </c>
      <c r="BZ811">
        <f>$C811*BZ810</f>
        <v/>
      </c>
      <c r="CA811">
        <f>$C811*CA810</f>
        <v/>
      </c>
      <c r="CB811">
        <f>$C811*CB810</f>
        <v/>
      </c>
      <c r="CC811">
        <f>$C811*CC810</f>
        <v/>
      </c>
      <c r="CD811">
        <f>$C811*CD810</f>
        <v/>
      </c>
      <c r="CE811">
        <f>$C811*CE810</f>
        <v/>
      </c>
      <c r="CF811">
        <f>$C811*CF810</f>
        <v/>
      </c>
      <c r="CG811">
        <f>$C811*CG810</f>
        <v/>
      </c>
      <c r="CH811">
        <f>$C811*CH810</f>
        <v/>
      </c>
      <c r="CI811">
        <f>$C811*CI810</f>
        <v/>
      </c>
      <c r="CJ811">
        <f>$C811*CJ810</f>
        <v/>
      </c>
      <c r="CK811">
        <f>$C811*CK810</f>
        <v/>
      </c>
      <c r="CL811">
        <f>$C811*CL810</f>
        <v/>
      </c>
      <c r="CM811">
        <f>$C811*CM810</f>
        <v/>
      </c>
      <c r="CN811">
        <f>$C811*CN810</f>
        <v/>
      </c>
      <c r="CO811">
        <f>$C811*CO810</f>
        <v/>
      </c>
      <c r="CP811">
        <f>$C811*CP810</f>
        <v/>
      </c>
      <c r="CQ811">
        <f>$C811*CQ810</f>
        <v/>
      </c>
      <c r="CR811">
        <f>$C811*CR810</f>
        <v/>
      </c>
      <c r="CS811">
        <f>$C811*CS810</f>
        <v/>
      </c>
      <c r="CT811">
        <f>$C811*CT810</f>
        <v/>
      </c>
      <c r="CU811">
        <f>$C811*CU810</f>
        <v/>
      </c>
      <c r="CV811">
        <f>$C811*CV810</f>
        <v/>
      </c>
      <c r="CW811">
        <f>$C811*CW810</f>
        <v/>
      </c>
      <c r="CX811">
        <f>$C811*CX810</f>
        <v/>
      </c>
      <c r="CY811">
        <f>$C811*CY810</f>
        <v/>
      </c>
      <c r="CZ811">
        <f>$C811*CZ810</f>
        <v/>
      </c>
      <c r="DA811">
        <f>$C811*DA810</f>
        <v/>
      </c>
      <c r="DB811">
        <f>$C811*DB810</f>
        <v/>
      </c>
      <c r="DC811">
        <f>$C811*DC810</f>
        <v/>
      </c>
    </row>
    <row r="812">
      <c r="B812" t="inlineStr">
        <is>
          <t>VSP-600</t>
        </is>
      </c>
      <c r="C812" t="inlineStr">
        <is>
          <t>No. of batches</t>
        </is>
      </c>
      <c r="D812">
        <f>IFERROR(INDEX(PP_Grid[#Data],$DD812,2),0)</f>
        <v/>
      </c>
      <c r="E812">
        <f>IFERROR(INDEX(PP_Grid[#Data],$DD812,3),0)</f>
        <v/>
      </c>
      <c r="F812">
        <f>IFERROR(INDEX(PP_Grid[#Data],$DD812,4),0)</f>
        <v/>
      </c>
      <c r="G812">
        <f>IFERROR(INDEX(PP_Grid[#Data],$DD812,5),0)</f>
        <v/>
      </c>
      <c r="H812">
        <f>IFERROR(INDEX(PP_Grid[#Data],$DD812,6),0)</f>
        <v/>
      </c>
      <c r="I812">
        <f>IFERROR(INDEX(PP_Grid[#Data],$DD812,7),0)</f>
        <v/>
      </c>
      <c r="J812">
        <f>IFERROR(INDEX(PP_Grid[#Data],$DD812,8),0)</f>
        <v/>
      </c>
      <c r="K812">
        <f>IFERROR(INDEX(PP_Grid[#Data],$DD812,9),0)</f>
        <v/>
      </c>
      <c r="L812">
        <f>IFERROR(INDEX(PP_Grid[#Data],$DD812,10),0)</f>
        <v/>
      </c>
      <c r="M812">
        <f>IFERROR(INDEX(PP_Grid[#Data],$DD812,11),0)</f>
        <v/>
      </c>
      <c r="N812">
        <f>IFERROR(INDEX(PP_Grid[#Data],$DD812,12),0)</f>
        <v/>
      </c>
      <c r="O812">
        <f>IFERROR(INDEX(PP_Grid[#Data],$DD812,13),0)</f>
        <v/>
      </c>
      <c r="P812">
        <f>IFERROR(INDEX(PP_Grid[#Data],$DD812,14),0)</f>
        <v/>
      </c>
      <c r="Q812">
        <f>IFERROR(INDEX(PP_Grid[#Data],$DD812,15),0)</f>
        <v/>
      </c>
      <c r="R812">
        <f>IFERROR(INDEX(PP_Grid[#Data],$DD812,16),0)</f>
        <v/>
      </c>
      <c r="S812">
        <f>IFERROR(INDEX(PP_Grid[#Data],$DD812,17),0)</f>
        <v/>
      </c>
      <c r="T812">
        <f>IFERROR(INDEX(PP_Grid[#Data],$DD812,18),0)</f>
        <v/>
      </c>
      <c r="U812">
        <f>IFERROR(INDEX(PP_Grid[#Data],$DD812,19),0)</f>
        <v/>
      </c>
      <c r="V812">
        <f>IFERROR(INDEX(PP_Grid[#Data],$DD812,20),0)</f>
        <v/>
      </c>
      <c r="W812">
        <f>IFERROR(INDEX(PP_Grid[#Data],$DD812,21),0)</f>
        <v/>
      </c>
      <c r="X812">
        <f>IFERROR(INDEX(PP_Grid[#Data],$DD812,22),0)</f>
        <v/>
      </c>
      <c r="Y812">
        <f>IFERROR(INDEX(PP_Grid[#Data],$DD812,23),0)</f>
        <v/>
      </c>
      <c r="Z812">
        <f>IFERROR(INDEX(PP_Grid[#Data],$DD812,24),0)</f>
        <v/>
      </c>
      <c r="AA812">
        <f>IFERROR(INDEX(PP_Grid[#Data],$DD812,25),0)</f>
        <v/>
      </c>
      <c r="AB812">
        <f>IFERROR(INDEX(PP_Grid[#Data],$DD812,26),0)</f>
        <v/>
      </c>
      <c r="AC812">
        <f>IFERROR(INDEX(PP_Grid[#Data],$DD812,27),0)</f>
        <v/>
      </c>
      <c r="AD812">
        <f>IFERROR(INDEX(PP_Grid[#Data],$DD812,28),0)</f>
        <v/>
      </c>
      <c r="AE812">
        <f>IFERROR(INDEX(PP_Grid[#Data],$DD812,29),0)</f>
        <v/>
      </c>
      <c r="AF812">
        <f>IFERROR(INDEX(PP_Grid[#Data],$DD812,30),0)</f>
        <v/>
      </c>
      <c r="AG812">
        <f>IFERROR(INDEX(PP_Grid[#Data],$DD812,31),0)</f>
        <v/>
      </c>
      <c r="AH812">
        <f>IFERROR(INDEX(PP_Grid[#Data],$DD812,32),0)</f>
        <v/>
      </c>
      <c r="AI812">
        <f>IFERROR(INDEX(PP_Grid[#Data],$DD812,33),0)</f>
        <v/>
      </c>
      <c r="AJ812">
        <f>IFERROR(INDEX(PP_Grid[#Data],$DD812,34),0)</f>
        <v/>
      </c>
      <c r="AK812">
        <f>IFERROR(INDEX(PP_Grid[#Data],$DD812,35),0)</f>
        <v/>
      </c>
      <c r="AL812">
        <f>IFERROR(INDEX(PP_Grid[#Data],$DD812,36),0)</f>
        <v/>
      </c>
      <c r="AM812">
        <f>IFERROR(INDEX(PP_Grid[#Data],$DD812,37),0)</f>
        <v/>
      </c>
      <c r="AN812">
        <f>IFERROR(INDEX(PP_Grid[#Data],$DD812,38),0)</f>
        <v/>
      </c>
      <c r="AO812">
        <f>IFERROR(INDEX(PP_Grid[#Data],$DD812,39),0)</f>
        <v/>
      </c>
      <c r="AP812">
        <f>IFERROR(INDEX(PP_Grid[#Data],$DD812,40),0)</f>
        <v/>
      </c>
      <c r="AQ812">
        <f>IFERROR(INDEX(PP_Grid[#Data],$DD812,41),0)</f>
        <v/>
      </c>
      <c r="AR812">
        <f>IFERROR(INDEX(PP_Grid[#Data],$DD812,42),0)</f>
        <v/>
      </c>
      <c r="AS812">
        <f>IFERROR(INDEX(PP_Grid[#Data],$DD812,43),0)</f>
        <v/>
      </c>
      <c r="AT812">
        <f>IFERROR(INDEX(PP_Grid[#Data],$DD812,44),0)</f>
        <v/>
      </c>
      <c r="AU812">
        <f>IFERROR(INDEX(PP_Grid[#Data],$DD812,45),0)</f>
        <v/>
      </c>
      <c r="AV812">
        <f>IFERROR(INDEX(PP_Grid[#Data],$DD812,46),0)</f>
        <v/>
      </c>
      <c r="AW812">
        <f>IFERROR(INDEX(PP_Grid[#Data],$DD812,47),0)</f>
        <v/>
      </c>
      <c r="AX812">
        <f>IFERROR(INDEX(PP_Grid[#Data],$DD812,48),0)</f>
        <v/>
      </c>
      <c r="AY812">
        <f>IFERROR(INDEX(PP_Grid[#Data],$DD812,49),0)</f>
        <v/>
      </c>
      <c r="AZ812">
        <f>IFERROR(INDEX(PP_Grid[#Data],$DD812,50),0)</f>
        <v/>
      </c>
      <c r="BA812">
        <f>IFERROR(INDEX(PP_Grid[#Data],$DD812,51),0)</f>
        <v/>
      </c>
      <c r="BB812">
        <f>IFERROR(INDEX(PP_Grid[#Data],$DD812,52),0)</f>
        <v/>
      </c>
      <c r="BC812">
        <f>IFERROR(INDEX(PP_Grid[#Data],$DD812,53),0)</f>
        <v/>
      </c>
      <c r="BD812">
        <f>IFERROR(INDEX(PP_Grid[#Data],$DD812,54),0)</f>
        <v/>
      </c>
      <c r="BE812">
        <f>IFERROR(INDEX(PP_Grid[#Data],$DD812,55),0)</f>
        <v/>
      </c>
      <c r="BF812">
        <f>IFERROR(INDEX(PP_Grid[#Data],$DD812,56),0)</f>
        <v/>
      </c>
      <c r="BG812">
        <f>IFERROR(INDEX(PP_Grid[#Data],$DD812,57),0)</f>
        <v/>
      </c>
      <c r="BH812">
        <f>IFERROR(INDEX(PP_Grid[#Data],$DD812,58),0)</f>
        <v/>
      </c>
      <c r="BI812">
        <f>IFERROR(INDEX(PP_Grid[#Data],$DD812,59),0)</f>
        <v/>
      </c>
      <c r="BJ812">
        <f>IFERROR(INDEX(PP_Grid[#Data],$DD812,60),0)</f>
        <v/>
      </c>
      <c r="BK812">
        <f>IFERROR(INDEX(PP_Grid[#Data],$DD812,61),0)</f>
        <v/>
      </c>
      <c r="BL812">
        <f>IFERROR(INDEX(PP_Grid[#Data],$DD812,62),0)</f>
        <v/>
      </c>
      <c r="BM812">
        <f>IFERROR(INDEX(PP_Grid[#Data],$DD812,63),0)</f>
        <v/>
      </c>
      <c r="BN812">
        <f>IFERROR(INDEX(PP_Grid[#Data],$DD812,64),0)</f>
        <v/>
      </c>
      <c r="BO812">
        <f>IFERROR(INDEX(PP_Grid[#Data],$DD812,65),0)</f>
        <v/>
      </c>
      <c r="BP812">
        <f>IFERROR(INDEX(PP_Grid[#Data],$DD812,66),0)</f>
        <v/>
      </c>
      <c r="BQ812">
        <f>IFERROR(INDEX(PP_Grid[#Data],$DD812,67),0)</f>
        <v/>
      </c>
      <c r="BR812">
        <f>IFERROR(INDEX(PP_Grid[#Data],$DD812,68),0)</f>
        <v/>
      </c>
      <c r="BS812">
        <f>IFERROR(INDEX(PP_Grid[#Data],$DD812,69),0)</f>
        <v/>
      </c>
      <c r="BT812">
        <f>IFERROR(INDEX(PP_Grid[#Data],$DD812,70),0)</f>
        <v/>
      </c>
      <c r="BU812">
        <f>IFERROR(INDEX(PP_Grid[#Data],$DD812,71),0)</f>
        <v/>
      </c>
      <c r="BV812">
        <f>IFERROR(INDEX(PP_Grid[#Data],$DD812,72),0)</f>
        <v/>
      </c>
      <c r="BW812">
        <f>IFERROR(INDEX(PP_Grid[#Data],$DD812,73),0)</f>
        <v/>
      </c>
      <c r="BX812">
        <f>IFERROR(INDEX(PP_Grid[#Data],$DD812,74),0)</f>
        <v/>
      </c>
      <c r="BY812">
        <f>IFERROR(INDEX(PP_Grid[#Data],$DD812,75),0)</f>
        <v/>
      </c>
      <c r="BZ812">
        <f>IFERROR(INDEX(PP_Grid[#Data],$DD812,76),0)</f>
        <v/>
      </c>
      <c r="CA812">
        <f>IFERROR(INDEX(PP_Grid[#Data],$DD812,77),0)</f>
        <v/>
      </c>
      <c r="CB812">
        <f>IFERROR(INDEX(PP_Grid[#Data],$DD812,78),0)</f>
        <v/>
      </c>
      <c r="CC812">
        <f>IFERROR(INDEX(PP_Grid[#Data],$DD812,79),0)</f>
        <v/>
      </c>
      <c r="CD812">
        <f>IFERROR(INDEX(PP_Grid[#Data],$DD812,80),0)</f>
        <v/>
      </c>
      <c r="CE812">
        <f>IFERROR(INDEX(PP_Grid[#Data],$DD812,81),0)</f>
        <v/>
      </c>
      <c r="CF812">
        <f>IFERROR(INDEX(PP_Grid[#Data],$DD812,82),0)</f>
        <v/>
      </c>
      <c r="CG812">
        <f>IFERROR(INDEX(PP_Grid[#Data],$DD812,83),0)</f>
        <v/>
      </c>
      <c r="CH812">
        <f>IFERROR(INDEX(PP_Grid[#Data],$DD812,84),0)</f>
        <v/>
      </c>
      <c r="CI812">
        <f>IFERROR(INDEX(PP_Grid[#Data],$DD812,85),0)</f>
        <v/>
      </c>
      <c r="CJ812">
        <f>IFERROR(INDEX(PP_Grid[#Data],$DD812,86),0)</f>
        <v/>
      </c>
      <c r="CK812">
        <f>IFERROR(INDEX(PP_Grid[#Data],$DD812,87),0)</f>
        <v/>
      </c>
      <c r="CL812">
        <f>IFERROR(INDEX(PP_Grid[#Data],$DD812,88),0)</f>
        <v/>
      </c>
      <c r="CM812">
        <f>IFERROR(INDEX(PP_Grid[#Data],$DD812,89),0)</f>
        <v/>
      </c>
      <c r="CN812">
        <f>IFERROR(INDEX(PP_Grid[#Data],$DD812,90),0)</f>
        <v/>
      </c>
      <c r="CO812">
        <f>IFERROR(INDEX(PP_Grid[#Data],$DD812,91),0)</f>
        <v/>
      </c>
      <c r="CP812">
        <f>IFERROR(INDEX(PP_Grid[#Data],$DD812,92),0)</f>
        <v/>
      </c>
      <c r="CQ812">
        <f>IFERROR(INDEX(PP_Grid[#Data],$DD812,93),0)</f>
        <v/>
      </c>
      <c r="CR812">
        <f>IFERROR(INDEX(PP_Grid[#Data],$DD812,94),0)</f>
        <v/>
      </c>
      <c r="CS812">
        <f>IFERROR(INDEX(PP_Grid[#Data],$DD812,95),0)</f>
        <v/>
      </c>
      <c r="CT812">
        <f>IFERROR(INDEX(PP_Grid[#Data],$DD812,96),0)</f>
        <v/>
      </c>
      <c r="CU812">
        <f>IFERROR(INDEX(PP_Grid[#Data],$DD812,97),0)</f>
        <v/>
      </c>
      <c r="CV812">
        <f>IFERROR(INDEX(PP_Grid[#Data],$DD812,98),0)</f>
        <v/>
      </c>
      <c r="CW812">
        <f>IFERROR(INDEX(PP_Grid[#Data],$DD812,99),0)</f>
        <v/>
      </c>
      <c r="CX812">
        <f>IFERROR(INDEX(PP_Grid[#Data],$DD812,100),0)</f>
        <v/>
      </c>
      <c r="CY812">
        <f>IFERROR(INDEX(PP_Grid[#Data],$DD812,101),0)</f>
        <v/>
      </c>
      <c r="CZ812">
        <f>IFERROR(INDEX(PP_Grid[#Data],$DD812,102),0)</f>
        <v/>
      </c>
      <c r="DA812">
        <f>IFERROR(INDEX(PP_Grid[#Data],$DD812,103),0)</f>
        <v/>
      </c>
      <c r="DB812">
        <f>IFERROR(INDEX(PP_Grid[#Data],$DD812,104),0)</f>
        <v/>
      </c>
      <c r="DC812">
        <f>IFERROR(INDEX(PP_Grid[#Data],$DD812,105),0)</f>
        <v/>
      </c>
      <c r="DD812" s="7">
        <f>IFERROR(MATCH($B812,PP_Grid[Intermediate],0),99999)</f>
        <v/>
      </c>
    </row>
    <row r="813">
      <c r="B813" t="inlineStr">
        <is>
          <t>使用量(kg)</t>
        </is>
      </c>
      <c r="C813">
        <f>SUMIFS(M_BOM[RM_Qty_Per_Batch],M_BOM[Intermediate],$B812,M_BOM[Part Name],$A759)</f>
        <v/>
      </c>
      <c r="D813">
        <f>$C813*D812</f>
        <v/>
      </c>
      <c r="E813">
        <f>$C813*E812</f>
        <v/>
      </c>
      <c r="F813">
        <f>$C813*F812</f>
        <v/>
      </c>
      <c r="G813">
        <f>$C813*G812</f>
        <v/>
      </c>
      <c r="H813">
        <f>$C813*H812</f>
        <v/>
      </c>
      <c r="I813">
        <f>$C813*I812</f>
        <v/>
      </c>
      <c r="J813">
        <f>$C813*J812</f>
        <v/>
      </c>
      <c r="K813">
        <f>$C813*K812</f>
        <v/>
      </c>
      <c r="L813">
        <f>$C813*L812</f>
        <v/>
      </c>
      <c r="M813">
        <f>$C813*M812</f>
        <v/>
      </c>
      <c r="N813">
        <f>$C813*N812</f>
        <v/>
      </c>
      <c r="O813">
        <f>$C813*O812</f>
        <v/>
      </c>
      <c r="P813">
        <f>$C813*P812</f>
        <v/>
      </c>
      <c r="Q813">
        <f>$C813*Q812</f>
        <v/>
      </c>
      <c r="R813">
        <f>$C813*R812</f>
        <v/>
      </c>
      <c r="S813">
        <f>$C813*S812</f>
        <v/>
      </c>
      <c r="T813">
        <f>$C813*T812</f>
        <v/>
      </c>
      <c r="U813">
        <f>$C813*U812</f>
        <v/>
      </c>
      <c r="V813">
        <f>$C813*V812</f>
        <v/>
      </c>
      <c r="W813">
        <f>$C813*W812</f>
        <v/>
      </c>
      <c r="X813">
        <f>$C813*X812</f>
        <v/>
      </c>
      <c r="Y813">
        <f>$C813*Y812</f>
        <v/>
      </c>
      <c r="Z813">
        <f>$C813*Z812</f>
        <v/>
      </c>
      <c r="AA813">
        <f>$C813*AA812</f>
        <v/>
      </c>
      <c r="AB813">
        <f>$C813*AB812</f>
        <v/>
      </c>
      <c r="AC813">
        <f>$C813*AC812</f>
        <v/>
      </c>
      <c r="AD813">
        <f>$C813*AD812</f>
        <v/>
      </c>
      <c r="AE813">
        <f>$C813*AE812</f>
        <v/>
      </c>
      <c r="AF813">
        <f>$C813*AF812</f>
        <v/>
      </c>
      <c r="AG813">
        <f>$C813*AG812</f>
        <v/>
      </c>
      <c r="AH813">
        <f>$C813*AH812</f>
        <v/>
      </c>
      <c r="AI813">
        <f>$C813*AI812</f>
        <v/>
      </c>
      <c r="AJ813">
        <f>$C813*AJ812</f>
        <v/>
      </c>
      <c r="AK813">
        <f>$C813*AK812</f>
        <v/>
      </c>
      <c r="AL813">
        <f>$C813*AL812</f>
        <v/>
      </c>
      <c r="AM813">
        <f>$C813*AM812</f>
        <v/>
      </c>
      <c r="AN813">
        <f>$C813*AN812</f>
        <v/>
      </c>
      <c r="AO813">
        <f>$C813*AO812</f>
        <v/>
      </c>
      <c r="AP813">
        <f>$C813*AP812</f>
        <v/>
      </c>
      <c r="AQ813">
        <f>$C813*AQ812</f>
        <v/>
      </c>
      <c r="AR813">
        <f>$C813*AR812</f>
        <v/>
      </c>
      <c r="AS813">
        <f>$C813*AS812</f>
        <v/>
      </c>
      <c r="AT813">
        <f>$C813*AT812</f>
        <v/>
      </c>
      <c r="AU813">
        <f>$C813*AU812</f>
        <v/>
      </c>
      <c r="AV813">
        <f>$C813*AV812</f>
        <v/>
      </c>
      <c r="AW813">
        <f>$C813*AW812</f>
        <v/>
      </c>
      <c r="AX813">
        <f>$C813*AX812</f>
        <v/>
      </c>
      <c r="AY813">
        <f>$C813*AY812</f>
        <v/>
      </c>
      <c r="AZ813">
        <f>$C813*AZ812</f>
        <v/>
      </c>
      <c r="BA813">
        <f>$C813*BA812</f>
        <v/>
      </c>
      <c r="BB813">
        <f>$C813*BB812</f>
        <v/>
      </c>
      <c r="BC813">
        <f>$C813*BC812</f>
        <v/>
      </c>
      <c r="BD813">
        <f>$C813*BD812</f>
        <v/>
      </c>
      <c r="BE813">
        <f>$C813*BE812</f>
        <v/>
      </c>
      <c r="BF813">
        <f>$C813*BF812</f>
        <v/>
      </c>
      <c r="BG813">
        <f>$C813*BG812</f>
        <v/>
      </c>
      <c r="BH813">
        <f>$C813*BH812</f>
        <v/>
      </c>
      <c r="BI813">
        <f>$C813*BI812</f>
        <v/>
      </c>
      <c r="BJ813">
        <f>$C813*BJ812</f>
        <v/>
      </c>
      <c r="BK813">
        <f>$C813*BK812</f>
        <v/>
      </c>
      <c r="BL813">
        <f>$C813*BL812</f>
        <v/>
      </c>
      <c r="BM813">
        <f>$C813*BM812</f>
        <v/>
      </c>
      <c r="BN813">
        <f>$C813*BN812</f>
        <v/>
      </c>
      <c r="BO813">
        <f>$C813*BO812</f>
        <v/>
      </c>
      <c r="BP813">
        <f>$C813*BP812</f>
        <v/>
      </c>
      <c r="BQ813">
        <f>$C813*BQ812</f>
        <v/>
      </c>
      <c r="BR813">
        <f>$C813*BR812</f>
        <v/>
      </c>
      <c r="BS813">
        <f>$C813*BS812</f>
        <v/>
      </c>
      <c r="BT813">
        <f>$C813*BT812</f>
        <v/>
      </c>
      <c r="BU813">
        <f>$C813*BU812</f>
        <v/>
      </c>
      <c r="BV813">
        <f>$C813*BV812</f>
        <v/>
      </c>
      <c r="BW813">
        <f>$C813*BW812</f>
        <v/>
      </c>
      <c r="BX813">
        <f>$C813*BX812</f>
        <v/>
      </c>
      <c r="BY813">
        <f>$C813*BY812</f>
        <v/>
      </c>
      <c r="BZ813">
        <f>$C813*BZ812</f>
        <v/>
      </c>
      <c r="CA813">
        <f>$C813*CA812</f>
        <v/>
      </c>
      <c r="CB813">
        <f>$C813*CB812</f>
        <v/>
      </c>
      <c r="CC813">
        <f>$C813*CC812</f>
        <v/>
      </c>
      <c r="CD813">
        <f>$C813*CD812</f>
        <v/>
      </c>
      <c r="CE813">
        <f>$C813*CE812</f>
        <v/>
      </c>
      <c r="CF813">
        <f>$C813*CF812</f>
        <v/>
      </c>
      <c r="CG813">
        <f>$C813*CG812</f>
        <v/>
      </c>
      <c r="CH813">
        <f>$C813*CH812</f>
        <v/>
      </c>
      <c r="CI813">
        <f>$C813*CI812</f>
        <v/>
      </c>
      <c r="CJ813">
        <f>$C813*CJ812</f>
        <v/>
      </c>
      <c r="CK813">
        <f>$C813*CK812</f>
        <v/>
      </c>
      <c r="CL813">
        <f>$C813*CL812</f>
        <v/>
      </c>
      <c r="CM813">
        <f>$C813*CM812</f>
        <v/>
      </c>
      <c r="CN813">
        <f>$C813*CN812</f>
        <v/>
      </c>
      <c r="CO813">
        <f>$C813*CO812</f>
        <v/>
      </c>
      <c r="CP813">
        <f>$C813*CP812</f>
        <v/>
      </c>
      <c r="CQ813">
        <f>$C813*CQ812</f>
        <v/>
      </c>
      <c r="CR813">
        <f>$C813*CR812</f>
        <v/>
      </c>
      <c r="CS813">
        <f>$C813*CS812</f>
        <v/>
      </c>
      <c r="CT813">
        <f>$C813*CT812</f>
        <v/>
      </c>
      <c r="CU813">
        <f>$C813*CU812</f>
        <v/>
      </c>
      <c r="CV813">
        <f>$C813*CV812</f>
        <v/>
      </c>
      <c r="CW813">
        <f>$C813*CW812</f>
        <v/>
      </c>
      <c r="CX813">
        <f>$C813*CX812</f>
        <v/>
      </c>
      <c r="CY813">
        <f>$C813*CY812</f>
        <v/>
      </c>
      <c r="CZ813">
        <f>$C813*CZ812</f>
        <v/>
      </c>
      <c r="DA813">
        <f>$C813*DA812</f>
        <v/>
      </c>
      <c r="DB813">
        <f>$C813*DB812</f>
        <v/>
      </c>
      <c r="DC813">
        <f>$C813*DC812</f>
        <v/>
      </c>
    </row>
    <row r="814">
      <c r="B814" s="4" t="inlineStr">
        <is>
          <t>合計使用量(kg)/週</t>
        </is>
      </c>
      <c r="D814">
        <f>'Grid_Requirement'!B17</f>
        <v/>
      </c>
      <c r="E814">
        <f>'Grid_Requirement'!C17</f>
        <v/>
      </c>
      <c r="F814">
        <f>'Grid_Requirement'!D17</f>
        <v/>
      </c>
      <c r="G814">
        <f>'Grid_Requirement'!E17</f>
        <v/>
      </c>
      <c r="H814">
        <f>'Grid_Requirement'!F17</f>
        <v/>
      </c>
      <c r="I814">
        <f>'Grid_Requirement'!G17</f>
        <v/>
      </c>
      <c r="J814">
        <f>'Grid_Requirement'!H17</f>
        <v/>
      </c>
      <c r="K814">
        <f>'Grid_Requirement'!I17</f>
        <v/>
      </c>
      <c r="L814">
        <f>'Grid_Requirement'!J17</f>
        <v/>
      </c>
      <c r="M814">
        <f>'Grid_Requirement'!K17</f>
        <v/>
      </c>
      <c r="N814">
        <f>'Grid_Requirement'!L17</f>
        <v/>
      </c>
      <c r="O814">
        <f>'Grid_Requirement'!M17</f>
        <v/>
      </c>
      <c r="P814">
        <f>'Grid_Requirement'!N17</f>
        <v/>
      </c>
      <c r="Q814">
        <f>'Grid_Requirement'!O17</f>
        <v/>
      </c>
      <c r="R814">
        <f>'Grid_Requirement'!P17</f>
        <v/>
      </c>
      <c r="S814">
        <f>'Grid_Requirement'!Q17</f>
        <v/>
      </c>
      <c r="T814">
        <f>'Grid_Requirement'!R17</f>
        <v/>
      </c>
      <c r="U814">
        <f>'Grid_Requirement'!S17</f>
        <v/>
      </c>
      <c r="V814">
        <f>'Grid_Requirement'!T17</f>
        <v/>
      </c>
      <c r="W814">
        <f>'Grid_Requirement'!U17</f>
        <v/>
      </c>
      <c r="X814">
        <f>'Grid_Requirement'!V17</f>
        <v/>
      </c>
      <c r="Y814">
        <f>'Grid_Requirement'!W17</f>
        <v/>
      </c>
      <c r="Z814">
        <f>'Grid_Requirement'!X17</f>
        <v/>
      </c>
      <c r="AA814">
        <f>'Grid_Requirement'!Y17</f>
        <v/>
      </c>
      <c r="AB814">
        <f>'Grid_Requirement'!Z17</f>
        <v/>
      </c>
      <c r="AC814">
        <f>'Grid_Requirement'!AA17</f>
        <v/>
      </c>
      <c r="AD814">
        <f>'Grid_Requirement'!AB17</f>
        <v/>
      </c>
      <c r="AE814">
        <f>'Grid_Requirement'!AC17</f>
        <v/>
      </c>
      <c r="AF814">
        <f>'Grid_Requirement'!AD17</f>
        <v/>
      </c>
      <c r="AG814">
        <f>'Grid_Requirement'!AE17</f>
        <v/>
      </c>
      <c r="AH814">
        <f>'Grid_Requirement'!AF17</f>
        <v/>
      </c>
      <c r="AI814">
        <f>'Grid_Requirement'!AG17</f>
        <v/>
      </c>
      <c r="AJ814">
        <f>'Grid_Requirement'!AH17</f>
        <v/>
      </c>
      <c r="AK814">
        <f>'Grid_Requirement'!AI17</f>
        <v/>
      </c>
      <c r="AL814">
        <f>'Grid_Requirement'!AJ17</f>
        <v/>
      </c>
      <c r="AM814">
        <f>'Grid_Requirement'!AK17</f>
        <v/>
      </c>
      <c r="AN814">
        <f>'Grid_Requirement'!AL17</f>
        <v/>
      </c>
      <c r="AO814">
        <f>'Grid_Requirement'!AM17</f>
        <v/>
      </c>
      <c r="AP814">
        <f>'Grid_Requirement'!AN17</f>
        <v/>
      </c>
      <c r="AQ814">
        <f>'Grid_Requirement'!AO17</f>
        <v/>
      </c>
      <c r="AR814">
        <f>'Grid_Requirement'!AP17</f>
        <v/>
      </c>
      <c r="AS814">
        <f>'Grid_Requirement'!AQ17</f>
        <v/>
      </c>
      <c r="AT814">
        <f>'Grid_Requirement'!AR17</f>
        <v/>
      </c>
      <c r="AU814">
        <f>'Grid_Requirement'!AS17</f>
        <v/>
      </c>
      <c r="AV814">
        <f>'Grid_Requirement'!AT17</f>
        <v/>
      </c>
      <c r="AW814">
        <f>'Grid_Requirement'!AU17</f>
        <v/>
      </c>
      <c r="AX814">
        <f>'Grid_Requirement'!AV17</f>
        <v/>
      </c>
      <c r="AY814">
        <f>'Grid_Requirement'!AW17</f>
        <v/>
      </c>
      <c r="AZ814">
        <f>'Grid_Requirement'!AX17</f>
        <v/>
      </c>
      <c r="BA814">
        <f>'Grid_Requirement'!AY17</f>
        <v/>
      </c>
      <c r="BB814">
        <f>'Grid_Requirement'!AZ17</f>
        <v/>
      </c>
      <c r="BC814">
        <f>'Grid_Requirement'!BA17</f>
        <v/>
      </c>
      <c r="BD814">
        <f>'Grid_Requirement'!BB17</f>
        <v/>
      </c>
      <c r="BE814">
        <f>'Grid_Requirement'!BC17</f>
        <v/>
      </c>
      <c r="BF814">
        <f>'Grid_Requirement'!BD17</f>
        <v/>
      </c>
      <c r="BG814">
        <f>'Grid_Requirement'!BE17</f>
        <v/>
      </c>
      <c r="BH814">
        <f>'Grid_Requirement'!BF17</f>
        <v/>
      </c>
      <c r="BI814">
        <f>'Grid_Requirement'!BG17</f>
        <v/>
      </c>
      <c r="BJ814">
        <f>'Grid_Requirement'!BH17</f>
        <v/>
      </c>
      <c r="BK814">
        <f>'Grid_Requirement'!BI17</f>
        <v/>
      </c>
      <c r="BL814">
        <f>'Grid_Requirement'!BJ17</f>
        <v/>
      </c>
      <c r="BM814">
        <f>'Grid_Requirement'!BK17</f>
        <v/>
      </c>
      <c r="BN814">
        <f>'Grid_Requirement'!BL17</f>
        <v/>
      </c>
      <c r="BO814">
        <f>'Grid_Requirement'!BM17</f>
        <v/>
      </c>
      <c r="BP814">
        <f>'Grid_Requirement'!BN17</f>
        <v/>
      </c>
      <c r="BQ814">
        <f>'Grid_Requirement'!BO17</f>
        <v/>
      </c>
      <c r="BR814">
        <f>'Grid_Requirement'!BP17</f>
        <v/>
      </c>
      <c r="BS814">
        <f>'Grid_Requirement'!BQ17</f>
        <v/>
      </c>
      <c r="BT814">
        <f>'Grid_Requirement'!BR17</f>
        <v/>
      </c>
      <c r="BU814">
        <f>'Grid_Requirement'!BS17</f>
        <v/>
      </c>
      <c r="BV814">
        <f>'Grid_Requirement'!BT17</f>
        <v/>
      </c>
      <c r="BW814">
        <f>'Grid_Requirement'!BU17</f>
        <v/>
      </c>
      <c r="BX814">
        <f>'Grid_Requirement'!BV17</f>
        <v/>
      </c>
      <c r="BY814">
        <f>'Grid_Requirement'!BW17</f>
        <v/>
      </c>
      <c r="BZ814">
        <f>'Grid_Requirement'!BX17</f>
        <v/>
      </c>
      <c r="CA814">
        <f>'Grid_Requirement'!BY17</f>
        <v/>
      </c>
      <c r="CB814">
        <f>'Grid_Requirement'!BZ17</f>
        <v/>
      </c>
      <c r="CC814">
        <f>'Grid_Requirement'!CA17</f>
        <v/>
      </c>
      <c r="CD814">
        <f>'Grid_Requirement'!CB17</f>
        <v/>
      </c>
      <c r="CE814">
        <f>'Grid_Requirement'!CC17</f>
        <v/>
      </c>
      <c r="CF814">
        <f>'Grid_Requirement'!CD17</f>
        <v/>
      </c>
      <c r="CG814">
        <f>'Grid_Requirement'!CE17</f>
        <v/>
      </c>
      <c r="CH814">
        <f>'Grid_Requirement'!CF17</f>
        <v/>
      </c>
      <c r="CI814">
        <f>'Grid_Requirement'!CG17</f>
        <v/>
      </c>
      <c r="CJ814">
        <f>'Grid_Requirement'!CH17</f>
        <v/>
      </c>
      <c r="CK814">
        <f>'Grid_Requirement'!CI17</f>
        <v/>
      </c>
      <c r="CL814">
        <f>'Grid_Requirement'!CJ17</f>
        <v/>
      </c>
      <c r="CM814">
        <f>'Grid_Requirement'!CK17</f>
        <v/>
      </c>
      <c r="CN814">
        <f>'Grid_Requirement'!CL17</f>
        <v/>
      </c>
      <c r="CO814">
        <f>'Grid_Requirement'!CM17</f>
        <v/>
      </c>
      <c r="CP814">
        <f>'Grid_Requirement'!CN17</f>
        <v/>
      </c>
      <c r="CQ814">
        <f>'Grid_Requirement'!CO17</f>
        <v/>
      </c>
      <c r="CR814">
        <f>'Grid_Requirement'!CP17</f>
        <v/>
      </c>
      <c r="CS814">
        <f>'Grid_Requirement'!CQ17</f>
        <v/>
      </c>
      <c r="CT814">
        <f>'Grid_Requirement'!CR17</f>
        <v/>
      </c>
      <c r="CU814">
        <f>'Grid_Requirement'!CS17</f>
        <v/>
      </c>
      <c r="CV814">
        <f>'Grid_Requirement'!CT17</f>
        <v/>
      </c>
      <c r="CW814">
        <f>'Grid_Requirement'!CU17</f>
        <v/>
      </c>
      <c r="CX814">
        <f>'Grid_Requirement'!CV17</f>
        <v/>
      </c>
      <c r="CY814">
        <f>'Grid_Requirement'!CW17</f>
        <v/>
      </c>
      <c r="CZ814">
        <f>'Grid_Requirement'!CX17</f>
        <v/>
      </c>
      <c r="DA814">
        <f>'Grid_Requirement'!CY17</f>
        <v/>
      </c>
      <c r="DB814">
        <f>'Grid_Requirement'!CZ17</f>
        <v/>
      </c>
      <c r="DC814">
        <f>'Grid_Requirement'!DA17</f>
        <v/>
      </c>
    </row>
    <row r="815">
      <c r="B815" t="inlineStr">
        <is>
          <t>TTAF在庫(実績,kg)</t>
        </is>
      </c>
      <c r="D815">
        <f>'T_TTAFStock'!B21</f>
        <v/>
      </c>
      <c r="E815">
        <f>'T_TTAFStock'!C21</f>
        <v/>
      </c>
      <c r="F815">
        <f>'T_TTAFStock'!D21</f>
        <v/>
      </c>
      <c r="G815">
        <f>'T_TTAFStock'!E21</f>
        <v/>
      </c>
      <c r="H815">
        <f>'T_TTAFStock'!F21</f>
        <v/>
      </c>
      <c r="I815">
        <f>'T_TTAFStock'!G21</f>
        <v/>
      </c>
      <c r="J815">
        <f>'T_TTAFStock'!H21</f>
        <v/>
      </c>
      <c r="K815">
        <f>'T_TTAFStock'!I21</f>
        <v/>
      </c>
      <c r="L815">
        <f>'T_TTAFStock'!J21</f>
        <v/>
      </c>
      <c r="M815">
        <f>'T_TTAFStock'!K21</f>
        <v/>
      </c>
      <c r="N815">
        <f>'T_TTAFStock'!L21</f>
        <v/>
      </c>
      <c r="O815">
        <f>'T_TTAFStock'!M21</f>
        <v/>
      </c>
      <c r="P815">
        <f>'T_TTAFStock'!N21</f>
        <v/>
      </c>
      <c r="Q815">
        <f>'T_TTAFStock'!O21</f>
        <v/>
      </c>
      <c r="R815">
        <f>'T_TTAFStock'!P21</f>
        <v/>
      </c>
      <c r="S815">
        <f>'T_TTAFStock'!Q21</f>
        <v/>
      </c>
      <c r="T815">
        <f>'T_TTAFStock'!R21</f>
        <v/>
      </c>
      <c r="U815">
        <f>'T_TTAFStock'!S21</f>
        <v/>
      </c>
      <c r="V815">
        <f>'T_TTAFStock'!T21</f>
        <v/>
      </c>
      <c r="W815">
        <f>'T_TTAFStock'!U21</f>
        <v/>
      </c>
      <c r="X815">
        <f>'T_TTAFStock'!V21</f>
        <v/>
      </c>
      <c r="Y815">
        <f>'T_TTAFStock'!W21</f>
        <v/>
      </c>
      <c r="Z815">
        <f>'T_TTAFStock'!X21</f>
        <v/>
      </c>
      <c r="AA815">
        <f>'T_TTAFStock'!Y21</f>
        <v/>
      </c>
      <c r="AB815">
        <f>'T_TTAFStock'!Z21</f>
        <v/>
      </c>
      <c r="AC815">
        <f>'T_TTAFStock'!AA21</f>
        <v/>
      </c>
      <c r="AD815">
        <f>'T_TTAFStock'!AB21</f>
        <v/>
      </c>
      <c r="AE815">
        <f>'T_TTAFStock'!AC21</f>
        <v/>
      </c>
      <c r="AF815">
        <f>'T_TTAFStock'!AD21</f>
        <v/>
      </c>
      <c r="AG815">
        <f>'T_TTAFStock'!AE21</f>
        <v/>
      </c>
      <c r="AH815">
        <f>'T_TTAFStock'!AF21</f>
        <v/>
      </c>
      <c r="AI815">
        <f>'T_TTAFStock'!AG21</f>
        <v/>
      </c>
      <c r="AJ815">
        <f>'T_TTAFStock'!AH21</f>
        <v/>
      </c>
      <c r="AK815">
        <f>'T_TTAFStock'!AI21</f>
        <v/>
      </c>
      <c r="AL815">
        <f>'T_TTAFStock'!AJ21</f>
        <v/>
      </c>
      <c r="AM815">
        <f>'T_TTAFStock'!AK21</f>
        <v/>
      </c>
      <c r="AN815">
        <f>'T_TTAFStock'!AL21</f>
        <v/>
      </c>
      <c r="AO815">
        <f>'T_TTAFStock'!AM21</f>
        <v/>
      </c>
      <c r="AP815">
        <f>'T_TTAFStock'!AN21</f>
        <v/>
      </c>
      <c r="AQ815">
        <f>'T_TTAFStock'!AO21</f>
        <v/>
      </c>
      <c r="AR815">
        <f>'T_TTAFStock'!AP21</f>
        <v/>
      </c>
      <c r="AS815">
        <f>'T_TTAFStock'!AQ21</f>
        <v/>
      </c>
      <c r="AT815">
        <f>'T_TTAFStock'!AR21</f>
        <v/>
      </c>
      <c r="AU815">
        <f>'T_TTAFStock'!AS21</f>
        <v/>
      </c>
      <c r="AV815">
        <f>'T_TTAFStock'!AT21</f>
        <v/>
      </c>
      <c r="AW815">
        <f>'T_TTAFStock'!AU21</f>
        <v/>
      </c>
      <c r="AX815">
        <f>'T_TTAFStock'!AV21</f>
        <v/>
      </c>
      <c r="AY815">
        <f>'T_TTAFStock'!AW21</f>
        <v/>
      </c>
      <c r="AZ815">
        <f>'T_TTAFStock'!AX21</f>
        <v/>
      </c>
      <c r="BA815">
        <f>'T_TTAFStock'!AY21</f>
        <v/>
      </c>
      <c r="BB815">
        <f>'T_TTAFStock'!AZ21</f>
        <v/>
      </c>
      <c r="BC815">
        <f>'T_TTAFStock'!BA21</f>
        <v/>
      </c>
      <c r="BD815">
        <f>'T_TTAFStock'!BB21</f>
        <v/>
      </c>
      <c r="BE815">
        <f>'T_TTAFStock'!BC21</f>
        <v/>
      </c>
      <c r="BF815">
        <f>'T_TTAFStock'!BD21</f>
        <v/>
      </c>
      <c r="BG815">
        <f>'T_TTAFStock'!BE21</f>
        <v/>
      </c>
      <c r="BH815">
        <f>'T_TTAFStock'!BF21</f>
        <v/>
      </c>
      <c r="BI815">
        <f>'T_TTAFStock'!BG21</f>
        <v/>
      </c>
      <c r="BJ815">
        <f>'T_TTAFStock'!BH21</f>
        <v/>
      </c>
      <c r="BK815">
        <f>'T_TTAFStock'!BI21</f>
        <v/>
      </c>
      <c r="BL815">
        <f>'T_TTAFStock'!BJ21</f>
        <v/>
      </c>
      <c r="BM815">
        <f>'T_TTAFStock'!BK21</f>
        <v/>
      </c>
      <c r="BN815">
        <f>'T_TTAFStock'!BL21</f>
        <v/>
      </c>
      <c r="BO815">
        <f>'T_TTAFStock'!BM21</f>
        <v/>
      </c>
      <c r="BP815">
        <f>'T_TTAFStock'!BN21</f>
        <v/>
      </c>
      <c r="BQ815">
        <f>'T_TTAFStock'!BO21</f>
        <v/>
      </c>
      <c r="BR815">
        <f>'T_TTAFStock'!BP21</f>
        <v/>
      </c>
      <c r="BS815">
        <f>'T_TTAFStock'!BQ21</f>
        <v/>
      </c>
      <c r="BT815">
        <f>'T_TTAFStock'!BR21</f>
        <v/>
      </c>
      <c r="BU815">
        <f>'T_TTAFStock'!BS21</f>
        <v/>
      </c>
      <c r="BV815">
        <f>'T_TTAFStock'!BT21</f>
        <v/>
      </c>
      <c r="BW815">
        <f>'T_TTAFStock'!BU21</f>
        <v/>
      </c>
      <c r="BX815">
        <f>'T_TTAFStock'!BV21</f>
        <v/>
      </c>
      <c r="BY815">
        <f>'T_TTAFStock'!BW21</f>
        <v/>
      </c>
      <c r="BZ815">
        <f>'T_TTAFStock'!BX21</f>
        <v/>
      </c>
      <c r="CA815">
        <f>'T_TTAFStock'!BY21</f>
        <v/>
      </c>
      <c r="CB815">
        <f>'T_TTAFStock'!BZ21</f>
        <v/>
      </c>
      <c r="CC815">
        <f>'T_TTAFStock'!CA21</f>
        <v/>
      </c>
      <c r="CD815">
        <f>'T_TTAFStock'!CB21</f>
        <v/>
      </c>
      <c r="CE815">
        <f>'T_TTAFStock'!CC21</f>
        <v/>
      </c>
      <c r="CF815">
        <f>'T_TTAFStock'!CD21</f>
        <v/>
      </c>
      <c r="CG815">
        <f>'T_TTAFStock'!CE21</f>
        <v/>
      </c>
      <c r="CH815">
        <f>'T_TTAFStock'!CF21</f>
        <v/>
      </c>
      <c r="CI815">
        <f>'T_TTAFStock'!CG21</f>
        <v/>
      </c>
      <c r="CJ815">
        <f>'T_TTAFStock'!CH21</f>
        <v/>
      </c>
      <c r="CK815">
        <f>'T_TTAFStock'!CI21</f>
        <v/>
      </c>
      <c r="CL815">
        <f>'T_TTAFStock'!CJ21</f>
        <v/>
      </c>
      <c r="CM815">
        <f>'T_TTAFStock'!CK21</f>
        <v/>
      </c>
      <c r="CN815">
        <f>'T_TTAFStock'!CL21</f>
        <v/>
      </c>
      <c r="CO815">
        <f>'T_TTAFStock'!CM21</f>
        <v/>
      </c>
      <c r="CP815">
        <f>'T_TTAFStock'!CN21</f>
        <v/>
      </c>
      <c r="CQ815">
        <f>'T_TTAFStock'!CO21</f>
        <v/>
      </c>
      <c r="CR815">
        <f>'T_TTAFStock'!CP21</f>
        <v/>
      </c>
      <c r="CS815">
        <f>'T_TTAFStock'!CQ21</f>
        <v/>
      </c>
      <c r="CT815">
        <f>'T_TTAFStock'!CR21</f>
        <v/>
      </c>
      <c r="CU815">
        <f>'T_TTAFStock'!CS21</f>
        <v/>
      </c>
      <c r="CV815">
        <f>'T_TTAFStock'!CT21</f>
        <v/>
      </c>
      <c r="CW815">
        <f>'T_TTAFStock'!CU21</f>
        <v/>
      </c>
      <c r="CX815">
        <f>'T_TTAFStock'!CV21</f>
        <v/>
      </c>
      <c r="CY815">
        <f>'T_TTAFStock'!CW21</f>
        <v/>
      </c>
      <c r="CZ815">
        <f>'T_TTAFStock'!CX21</f>
        <v/>
      </c>
      <c r="DA815">
        <f>'T_TTAFStock'!CY21</f>
        <v/>
      </c>
      <c r="DB815">
        <f>'T_TTAFStock'!CZ21</f>
        <v/>
      </c>
      <c r="DC815">
        <f>'T_TTAFStock'!DA21</f>
        <v/>
      </c>
    </row>
    <row r="816">
      <c r="B816" t="inlineStr">
        <is>
          <t>自社在庫(実績,kg)</t>
        </is>
      </c>
      <c r="D816">
        <f>'T_SelfStock'!B21</f>
        <v/>
      </c>
      <c r="E816">
        <f>'T_SelfStock'!C21</f>
        <v/>
      </c>
      <c r="F816">
        <f>'T_SelfStock'!D21</f>
        <v/>
      </c>
      <c r="G816">
        <f>'T_SelfStock'!E21</f>
        <v/>
      </c>
      <c r="H816">
        <f>'T_SelfStock'!F21</f>
        <v/>
      </c>
      <c r="I816">
        <f>'T_SelfStock'!G21</f>
        <v/>
      </c>
      <c r="J816">
        <f>'T_SelfStock'!H21</f>
        <v/>
      </c>
      <c r="K816">
        <f>'T_SelfStock'!I21</f>
        <v/>
      </c>
      <c r="L816">
        <f>'T_SelfStock'!J21</f>
        <v/>
      </c>
      <c r="M816">
        <f>'T_SelfStock'!K21</f>
        <v/>
      </c>
      <c r="N816">
        <f>'T_SelfStock'!L21</f>
        <v/>
      </c>
      <c r="O816">
        <f>'T_SelfStock'!M21</f>
        <v/>
      </c>
      <c r="P816">
        <f>'T_SelfStock'!N21</f>
        <v/>
      </c>
      <c r="Q816">
        <f>'T_SelfStock'!O21</f>
        <v/>
      </c>
      <c r="R816">
        <f>'T_SelfStock'!P21</f>
        <v/>
      </c>
      <c r="S816">
        <f>'T_SelfStock'!Q21</f>
        <v/>
      </c>
      <c r="T816">
        <f>'T_SelfStock'!R21</f>
        <v/>
      </c>
      <c r="U816">
        <f>'T_SelfStock'!S21</f>
        <v/>
      </c>
      <c r="V816">
        <f>'T_SelfStock'!T21</f>
        <v/>
      </c>
      <c r="W816">
        <f>'T_SelfStock'!U21</f>
        <v/>
      </c>
      <c r="X816">
        <f>'T_SelfStock'!V21</f>
        <v/>
      </c>
      <c r="Y816">
        <f>'T_SelfStock'!W21</f>
        <v/>
      </c>
      <c r="Z816">
        <f>'T_SelfStock'!X21</f>
        <v/>
      </c>
      <c r="AA816">
        <f>'T_SelfStock'!Y21</f>
        <v/>
      </c>
      <c r="AB816">
        <f>'T_SelfStock'!Z21</f>
        <v/>
      </c>
      <c r="AC816">
        <f>'T_SelfStock'!AA21</f>
        <v/>
      </c>
      <c r="AD816">
        <f>'T_SelfStock'!AB21</f>
        <v/>
      </c>
      <c r="AE816">
        <f>'T_SelfStock'!AC21</f>
        <v/>
      </c>
      <c r="AF816">
        <f>'T_SelfStock'!AD21</f>
        <v/>
      </c>
      <c r="AG816">
        <f>'T_SelfStock'!AE21</f>
        <v/>
      </c>
      <c r="AH816">
        <f>'T_SelfStock'!AF21</f>
        <v/>
      </c>
      <c r="AI816">
        <f>'T_SelfStock'!AG21</f>
        <v/>
      </c>
      <c r="AJ816">
        <f>'T_SelfStock'!AH21</f>
        <v/>
      </c>
      <c r="AK816">
        <f>'T_SelfStock'!AI21</f>
        <v/>
      </c>
      <c r="AL816">
        <f>'T_SelfStock'!AJ21</f>
        <v/>
      </c>
      <c r="AM816">
        <f>'T_SelfStock'!AK21</f>
        <v/>
      </c>
      <c r="AN816">
        <f>'T_SelfStock'!AL21</f>
        <v/>
      </c>
      <c r="AO816">
        <f>'T_SelfStock'!AM21</f>
        <v/>
      </c>
      <c r="AP816">
        <f>'T_SelfStock'!AN21</f>
        <v/>
      </c>
      <c r="AQ816">
        <f>'T_SelfStock'!AO21</f>
        <v/>
      </c>
      <c r="AR816">
        <f>'T_SelfStock'!AP21</f>
        <v/>
      </c>
      <c r="AS816">
        <f>'T_SelfStock'!AQ21</f>
        <v/>
      </c>
      <c r="AT816">
        <f>'T_SelfStock'!AR21</f>
        <v/>
      </c>
      <c r="AU816">
        <f>'T_SelfStock'!AS21</f>
        <v/>
      </c>
      <c r="AV816">
        <f>'T_SelfStock'!AT21</f>
        <v/>
      </c>
      <c r="AW816">
        <f>'T_SelfStock'!AU21</f>
        <v/>
      </c>
      <c r="AX816">
        <f>'T_SelfStock'!AV21</f>
        <v/>
      </c>
      <c r="AY816">
        <f>'T_SelfStock'!AW21</f>
        <v/>
      </c>
      <c r="AZ816">
        <f>'T_SelfStock'!AX21</f>
        <v/>
      </c>
      <c r="BA816">
        <f>'T_SelfStock'!AY21</f>
        <v/>
      </c>
      <c r="BB816">
        <f>'T_SelfStock'!AZ21</f>
        <v/>
      </c>
      <c r="BC816">
        <f>'T_SelfStock'!BA21</f>
        <v/>
      </c>
      <c r="BD816">
        <f>'T_SelfStock'!BB21</f>
        <v/>
      </c>
      <c r="BE816">
        <f>'T_SelfStock'!BC21</f>
        <v/>
      </c>
      <c r="BF816">
        <f>'T_SelfStock'!BD21</f>
        <v/>
      </c>
      <c r="BG816">
        <f>'T_SelfStock'!BE21</f>
        <v/>
      </c>
      <c r="BH816">
        <f>'T_SelfStock'!BF21</f>
        <v/>
      </c>
      <c r="BI816">
        <f>'T_SelfStock'!BG21</f>
        <v/>
      </c>
      <c r="BJ816">
        <f>'T_SelfStock'!BH21</f>
        <v/>
      </c>
      <c r="BK816">
        <f>'T_SelfStock'!BI21</f>
        <v/>
      </c>
      <c r="BL816">
        <f>'T_SelfStock'!BJ21</f>
        <v/>
      </c>
      <c r="BM816">
        <f>'T_SelfStock'!BK21</f>
        <v/>
      </c>
      <c r="BN816">
        <f>'T_SelfStock'!BL21</f>
        <v/>
      </c>
      <c r="BO816">
        <f>'T_SelfStock'!BM21</f>
        <v/>
      </c>
      <c r="BP816">
        <f>'T_SelfStock'!BN21</f>
        <v/>
      </c>
      <c r="BQ816">
        <f>'T_SelfStock'!BO21</f>
        <v/>
      </c>
      <c r="BR816">
        <f>'T_SelfStock'!BP21</f>
        <v/>
      </c>
      <c r="BS816">
        <f>'T_SelfStock'!BQ21</f>
        <v/>
      </c>
      <c r="BT816">
        <f>'T_SelfStock'!BR21</f>
        <v/>
      </c>
      <c r="BU816">
        <f>'T_SelfStock'!BS21</f>
        <v/>
      </c>
      <c r="BV816">
        <f>'T_SelfStock'!BT21</f>
        <v/>
      </c>
      <c r="BW816">
        <f>'T_SelfStock'!BU21</f>
        <v/>
      </c>
      <c r="BX816">
        <f>'T_SelfStock'!BV21</f>
        <v/>
      </c>
      <c r="BY816">
        <f>'T_SelfStock'!BW21</f>
        <v/>
      </c>
      <c r="BZ816">
        <f>'T_SelfStock'!BX21</f>
        <v/>
      </c>
      <c r="CA816">
        <f>'T_SelfStock'!BY21</f>
        <v/>
      </c>
      <c r="CB816">
        <f>'T_SelfStock'!BZ21</f>
        <v/>
      </c>
      <c r="CC816">
        <f>'T_SelfStock'!CA21</f>
        <v/>
      </c>
      <c r="CD816">
        <f>'T_SelfStock'!CB21</f>
        <v/>
      </c>
      <c r="CE816">
        <f>'T_SelfStock'!CC21</f>
        <v/>
      </c>
      <c r="CF816">
        <f>'T_SelfStock'!CD21</f>
        <v/>
      </c>
      <c r="CG816">
        <f>'T_SelfStock'!CE21</f>
        <v/>
      </c>
      <c r="CH816">
        <f>'T_SelfStock'!CF21</f>
        <v/>
      </c>
      <c r="CI816">
        <f>'T_SelfStock'!CG21</f>
        <v/>
      </c>
      <c r="CJ816">
        <f>'T_SelfStock'!CH21</f>
        <v/>
      </c>
      <c r="CK816">
        <f>'T_SelfStock'!CI21</f>
        <v/>
      </c>
      <c r="CL816">
        <f>'T_SelfStock'!CJ21</f>
        <v/>
      </c>
      <c r="CM816">
        <f>'T_SelfStock'!CK21</f>
        <v/>
      </c>
      <c r="CN816">
        <f>'T_SelfStock'!CL21</f>
        <v/>
      </c>
      <c r="CO816">
        <f>'T_SelfStock'!CM21</f>
        <v/>
      </c>
      <c r="CP816">
        <f>'T_SelfStock'!CN21</f>
        <v/>
      </c>
      <c r="CQ816">
        <f>'T_SelfStock'!CO21</f>
        <v/>
      </c>
      <c r="CR816">
        <f>'T_SelfStock'!CP21</f>
        <v/>
      </c>
      <c r="CS816">
        <f>'T_SelfStock'!CQ21</f>
        <v/>
      </c>
      <c r="CT816">
        <f>'T_SelfStock'!CR21</f>
        <v/>
      </c>
      <c r="CU816">
        <f>'T_SelfStock'!CS21</f>
        <v/>
      </c>
      <c r="CV816">
        <f>'T_SelfStock'!CT21</f>
        <v/>
      </c>
      <c r="CW816">
        <f>'T_SelfStock'!CU21</f>
        <v/>
      </c>
      <c r="CX816">
        <f>'T_SelfStock'!CV21</f>
        <v/>
      </c>
      <c r="CY816">
        <f>'T_SelfStock'!CW21</f>
        <v/>
      </c>
      <c r="CZ816">
        <f>'T_SelfStock'!CX21</f>
        <v/>
      </c>
      <c r="DA816">
        <f>'T_SelfStock'!CY21</f>
        <v/>
      </c>
      <c r="DB816">
        <f>'T_SelfStock'!CZ21</f>
        <v/>
      </c>
      <c r="DC816">
        <f>'T_SelfStock'!DA21</f>
        <v/>
      </c>
    </row>
    <row r="817">
      <c r="B817" s="4" t="inlineStr">
        <is>
          <t>合計在庫(週末時点,kg)</t>
        </is>
      </c>
      <c r="D817">
        <f>'Grid_Stock'!B17</f>
        <v/>
      </c>
      <c r="E817">
        <f>'Grid_Stock'!C17</f>
        <v/>
      </c>
      <c r="F817">
        <f>'Grid_Stock'!D17</f>
        <v/>
      </c>
      <c r="G817">
        <f>'Grid_Stock'!E17</f>
        <v/>
      </c>
      <c r="H817">
        <f>'Grid_Stock'!F17</f>
        <v/>
      </c>
      <c r="I817">
        <f>'Grid_Stock'!G17</f>
        <v/>
      </c>
      <c r="J817">
        <f>'Grid_Stock'!H17</f>
        <v/>
      </c>
      <c r="K817">
        <f>'Grid_Stock'!I17</f>
        <v/>
      </c>
      <c r="L817">
        <f>'Grid_Stock'!J17</f>
        <v/>
      </c>
      <c r="M817">
        <f>'Grid_Stock'!K17</f>
        <v/>
      </c>
      <c r="N817">
        <f>'Grid_Stock'!L17</f>
        <v/>
      </c>
      <c r="O817">
        <f>'Grid_Stock'!M17</f>
        <v/>
      </c>
      <c r="P817">
        <f>'Grid_Stock'!N17</f>
        <v/>
      </c>
      <c r="Q817">
        <f>'Grid_Stock'!O17</f>
        <v/>
      </c>
      <c r="R817">
        <f>'Grid_Stock'!P17</f>
        <v/>
      </c>
      <c r="S817">
        <f>'Grid_Stock'!Q17</f>
        <v/>
      </c>
      <c r="T817">
        <f>'Grid_Stock'!R17</f>
        <v/>
      </c>
      <c r="U817">
        <f>'Grid_Stock'!S17</f>
        <v/>
      </c>
      <c r="V817">
        <f>'Grid_Stock'!T17</f>
        <v/>
      </c>
      <c r="W817">
        <f>'Grid_Stock'!U17</f>
        <v/>
      </c>
      <c r="X817">
        <f>'Grid_Stock'!V17</f>
        <v/>
      </c>
      <c r="Y817">
        <f>'Grid_Stock'!W17</f>
        <v/>
      </c>
      <c r="Z817">
        <f>'Grid_Stock'!X17</f>
        <v/>
      </c>
      <c r="AA817">
        <f>'Grid_Stock'!Y17</f>
        <v/>
      </c>
      <c r="AB817">
        <f>'Grid_Stock'!Z17</f>
        <v/>
      </c>
      <c r="AC817">
        <f>'Grid_Stock'!AA17</f>
        <v/>
      </c>
      <c r="AD817">
        <f>'Grid_Stock'!AB17</f>
        <v/>
      </c>
      <c r="AE817">
        <f>'Grid_Stock'!AC17</f>
        <v/>
      </c>
      <c r="AF817">
        <f>'Grid_Stock'!AD17</f>
        <v/>
      </c>
      <c r="AG817">
        <f>'Grid_Stock'!AE17</f>
        <v/>
      </c>
      <c r="AH817">
        <f>'Grid_Stock'!AF17</f>
        <v/>
      </c>
      <c r="AI817">
        <f>'Grid_Stock'!AG17</f>
        <v/>
      </c>
      <c r="AJ817">
        <f>'Grid_Stock'!AH17</f>
        <v/>
      </c>
      <c r="AK817">
        <f>'Grid_Stock'!AI17</f>
        <v/>
      </c>
      <c r="AL817">
        <f>'Grid_Stock'!AJ17</f>
        <v/>
      </c>
      <c r="AM817">
        <f>'Grid_Stock'!AK17</f>
        <v/>
      </c>
      <c r="AN817">
        <f>'Grid_Stock'!AL17</f>
        <v/>
      </c>
      <c r="AO817">
        <f>'Grid_Stock'!AM17</f>
        <v/>
      </c>
      <c r="AP817">
        <f>'Grid_Stock'!AN17</f>
        <v/>
      </c>
      <c r="AQ817">
        <f>'Grid_Stock'!AO17</f>
        <v/>
      </c>
      <c r="AR817">
        <f>'Grid_Stock'!AP17</f>
        <v/>
      </c>
      <c r="AS817">
        <f>'Grid_Stock'!AQ17</f>
        <v/>
      </c>
      <c r="AT817">
        <f>'Grid_Stock'!AR17</f>
        <v/>
      </c>
      <c r="AU817">
        <f>'Grid_Stock'!AS17</f>
        <v/>
      </c>
      <c r="AV817">
        <f>'Grid_Stock'!AT17</f>
        <v/>
      </c>
      <c r="AW817">
        <f>'Grid_Stock'!AU17</f>
        <v/>
      </c>
      <c r="AX817">
        <f>'Grid_Stock'!AV17</f>
        <v/>
      </c>
      <c r="AY817">
        <f>'Grid_Stock'!AW17</f>
        <v/>
      </c>
      <c r="AZ817">
        <f>'Grid_Stock'!AX17</f>
        <v/>
      </c>
      <c r="BA817">
        <f>'Grid_Stock'!AY17</f>
        <v/>
      </c>
      <c r="BB817">
        <f>'Grid_Stock'!AZ17</f>
        <v/>
      </c>
      <c r="BC817">
        <f>'Grid_Stock'!BA17</f>
        <v/>
      </c>
      <c r="BD817">
        <f>'Grid_Stock'!BB17</f>
        <v/>
      </c>
      <c r="BE817">
        <f>'Grid_Stock'!BC17</f>
        <v/>
      </c>
      <c r="BF817">
        <f>'Grid_Stock'!BD17</f>
        <v/>
      </c>
      <c r="BG817">
        <f>'Grid_Stock'!BE17</f>
        <v/>
      </c>
      <c r="BH817">
        <f>'Grid_Stock'!BF17</f>
        <v/>
      </c>
      <c r="BI817">
        <f>'Grid_Stock'!BG17</f>
        <v/>
      </c>
      <c r="BJ817">
        <f>'Grid_Stock'!BH17</f>
        <v/>
      </c>
      <c r="BK817">
        <f>'Grid_Stock'!BI17</f>
        <v/>
      </c>
      <c r="BL817">
        <f>'Grid_Stock'!BJ17</f>
        <v/>
      </c>
      <c r="BM817">
        <f>'Grid_Stock'!BK17</f>
        <v/>
      </c>
      <c r="BN817">
        <f>'Grid_Stock'!BL17</f>
        <v/>
      </c>
      <c r="BO817">
        <f>'Grid_Stock'!BM17</f>
        <v/>
      </c>
      <c r="BP817">
        <f>'Grid_Stock'!BN17</f>
        <v/>
      </c>
      <c r="BQ817">
        <f>'Grid_Stock'!BO17</f>
        <v/>
      </c>
      <c r="BR817">
        <f>'Grid_Stock'!BP17</f>
        <v/>
      </c>
      <c r="BS817">
        <f>'Grid_Stock'!BQ17</f>
        <v/>
      </c>
      <c r="BT817">
        <f>'Grid_Stock'!BR17</f>
        <v/>
      </c>
      <c r="BU817">
        <f>'Grid_Stock'!BS17</f>
        <v/>
      </c>
      <c r="BV817">
        <f>'Grid_Stock'!BT17</f>
        <v/>
      </c>
      <c r="BW817">
        <f>'Grid_Stock'!BU17</f>
        <v/>
      </c>
      <c r="BX817">
        <f>'Grid_Stock'!BV17</f>
        <v/>
      </c>
      <c r="BY817">
        <f>'Grid_Stock'!BW17</f>
        <v/>
      </c>
      <c r="BZ817">
        <f>'Grid_Stock'!BX17</f>
        <v/>
      </c>
      <c r="CA817">
        <f>'Grid_Stock'!BY17</f>
        <v/>
      </c>
      <c r="CB817">
        <f>'Grid_Stock'!BZ17</f>
        <v/>
      </c>
      <c r="CC817">
        <f>'Grid_Stock'!CA17</f>
        <v/>
      </c>
      <c r="CD817">
        <f>'Grid_Stock'!CB17</f>
        <v/>
      </c>
      <c r="CE817">
        <f>'Grid_Stock'!CC17</f>
        <v/>
      </c>
      <c r="CF817">
        <f>'Grid_Stock'!CD17</f>
        <v/>
      </c>
      <c r="CG817">
        <f>'Grid_Stock'!CE17</f>
        <v/>
      </c>
      <c r="CH817">
        <f>'Grid_Stock'!CF17</f>
        <v/>
      </c>
      <c r="CI817">
        <f>'Grid_Stock'!CG17</f>
        <v/>
      </c>
      <c r="CJ817">
        <f>'Grid_Stock'!CH17</f>
        <v/>
      </c>
      <c r="CK817">
        <f>'Grid_Stock'!CI17</f>
        <v/>
      </c>
      <c r="CL817">
        <f>'Grid_Stock'!CJ17</f>
        <v/>
      </c>
      <c r="CM817">
        <f>'Grid_Stock'!CK17</f>
        <v/>
      </c>
      <c r="CN817">
        <f>'Grid_Stock'!CL17</f>
        <v/>
      </c>
      <c r="CO817">
        <f>'Grid_Stock'!CM17</f>
        <v/>
      </c>
      <c r="CP817">
        <f>'Grid_Stock'!CN17</f>
        <v/>
      </c>
      <c r="CQ817">
        <f>'Grid_Stock'!CO17</f>
        <v/>
      </c>
      <c r="CR817">
        <f>'Grid_Stock'!CP17</f>
        <v/>
      </c>
      <c r="CS817">
        <f>'Grid_Stock'!CQ17</f>
        <v/>
      </c>
      <c r="CT817">
        <f>'Grid_Stock'!CR17</f>
        <v/>
      </c>
      <c r="CU817">
        <f>'Grid_Stock'!CS17</f>
        <v/>
      </c>
      <c r="CV817">
        <f>'Grid_Stock'!CT17</f>
        <v/>
      </c>
      <c r="CW817">
        <f>'Grid_Stock'!CU17</f>
        <v/>
      </c>
      <c r="CX817">
        <f>'Grid_Stock'!CV17</f>
        <v/>
      </c>
      <c r="CY817">
        <f>'Grid_Stock'!CW17</f>
        <v/>
      </c>
      <c r="CZ817">
        <f>'Grid_Stock'!CX17</f>
        <v/>
      </c>
      <c r="DA817">
        <f>'Grid_Stock'!CY17</f>
        <v/>
      </c>
      <c r="DB817">
        <f>'Grid_Stock'!CZ17</f>
        <v/>
      </c>
      <c r="DC817">
        <f>'Grid_Stock'!DA17</f>
        <v/>
      </c>
    </row>
    <row r="818">
      <c r="B818" s="16" t="inlineStr">
        <is>
          <t>（発注の目安はDashboardの基準在庫[下限/上限]と色分けを参照）</t>
        </is>
      </c>
    </row>
    <row r="820">
      <c r="A820" s="14" t="inlineStr">
        <is>
          <t>CHEM-1690</t>
        </is>
      </c>
      <c r="B820" s="14" t="inlineStr">
        <is>
          <t>TPZ-560</t>
        </is>
      </c>
      <c r="C820" s="15" t="n"/>
      <c r="D820" s="14" t="n"/>
      <c r="E820" s="14" t="n"/>
      <c r="F820" s="14" t="n"/>
      <c r="G820" s="14" t="n"/>
      <c r="H820" s="14" t="n"/>
      <c r="I820" s="14" t="n"/>
      <c r="J820" s="14" t="n"/>
      <c r="K820" s="14" t="n"/>
      <c r="L820" s="14" t="n"/>
      <c r="M820" s="14" t="n"/>
      <c r="N820" s="14" t="n"/>
      <c r="O820" s="14" t="n"/>
      <c r="P820" s="14" t="n"/>
      <c r="Q820" s="14" t="n"/>
      <c r="R820" s="14" t="n"/>
      <c r="S820" s="14" t="n"/>
      <c r="T820" s="14" t="n"/>
      <c r="U820" s="14" t="n"/>
      <c r="V820" s="14" t="n"/>
      <c r="W820" s="14" t="n"/>
      <c r="X820" s="14" t="n"/>
      <c r="Y820" s="14" t="n"/>
      <c r="Z820" s="14" t="n"/>
      <c r="AA820" s="14" t="n"/>
      <c r="AB820" s="14" t="n"/>
      <c r="AC820" s="14" t="n"/>
      <c r="AD820" s="14" t="n"/>
      <c r="AE820" s="14" t="n"/>
      <c r="AF820" s="14" t="n"/>
      <c r="AG820" s="14" t="n"/>
      <c r="AH820" s="14" t="n"/>
      <c r="AI820" s="14" t="n"/>
      <c r="AJ820" s="14" t="n"/>
      <c r="AK820" s="14" t="n"/>
      <c r="AL820" s="14" t="n"/>
      <c r="AM820" s="14" t="n"/>
      <c r="AN820" s="14" t="n"/>
      <c r="AO820" s="14" t="n"/>
      <c r="AP820" s="14" t="n"/>
      <c r="AQ820" s="14" t="n"/>
      <c r="AR820" s="14" t="n"/>
      <c r="AS820" s="14" t="n"/>
      <c r="AT820" s="14" t="n"/>
      <c r="AU820" s="14" t="n"/>
      <c r="AV820" s="14" t="n"/>
      <c r="AW820" s="14" t="n"/>
      <c r="AX820" s="14" t="n"/>
      <c r="AY820" s="14" t="n"/>
      <c r="AZ820" s="14" t="n"/>
      <c r="BA820" s="14" t="n"/>
      <c r="BB820" s="14" t="n"/>
      <c r="BC820" s="14" t="n"/>
      <c r="BD820" s="14" t="n"/>
      <c r="BE820" s="14" t="n"/>
      <c r="BF820" s="14" t="n"/>
      <c r="BG820" s="14" t="n"/>
      <c r="BH820" s="14" t="n"/>
      <c r="BI820" s="14" t="n"/>
      <c r="BJ820" s="14" t="n"/>
      <c r="BK820" s="14" t="n"/>
      <c r="BL820" s="14" t="n"/>
      <c r="BM820" s="14" t="n"/>
      <c r="BN820" s="14" t="n"/>
      <c r="BO820" s="14" t="n"/>
      <c r="BP820" s="14" t="n"/>
      <c r="BQ820" s="14" t="n"/>
      <c r="BR820" s="14" t="n"/>
      <c r="BS820" s="14" t="n"/>
      <c r="BT820" s="14" t="n"/>
      <c r="BU820" s="14" t="n"/>
      <c r="BV820" s="14" t="n"/>
      <c r="BW820" s="14" t="n"/>
      <c r="BX820" s="14" t="n"/>
      <c r="BY820" s="14" t="n"/>
      <c r="BZ820" s="14" t="n"/>
      <c r="CA820" s="14" t="n"/>
      <c r="CB820" s="14" t="n"/>
      <c r="CC820" s="14" t="n"/>
      <c r="CD820" s="14" t="n"/>
      <c r="CE820" s="14" t="n"/>
      <c r="CF820" s="14" t="n"/>
      <c r="CG820" s="14" t="n"/>
      <c r="CH820" s="14" t="n"/>
      <c r="CI820" s="14" t="n"/>
      <c r="CJ820" s="14" t="n"/>
      <c r="CK820" s="14" t="n"/>
      <c r="CL820" s="14" t="n"/>
      <c r="CM820" s="14" t="n"/>
      <c r="CN820" s="14" t="n"/>
      <c r="CO820" s="14" t="n"/>
      <c r="CP820" s="14" t="n"/>
      <c r="CQ820" s="14" t="n"/>
      <c r="CR820" s="14" t="n"/>
      <c r="CS820" s="14" t="n"/>
      <c r="CT820" s="14" t="n"/>
      <c r="CU820" s="14" t="n"/>
      <c r="CV820" s="14" t="n"/>
      <c r="CW820" s="14" t="n"/>
      <c r="CX820" s="14" t="n"/>
      <c r="CY820" s="14" t="n"/>
      <c r="CZ820" s="14" t="n"/>
      <c r="DA820" s="14" t="n"/>
      <c r="DB820" s="14" t="n"/>
      <c r="DC820" s="14" t="n"/>
    </row>
    <row r="821">
      <c r="B821" t="inlineStr">
        <is>
          <t>TSP-618</t>
        </is>
      </c>
      <c r="C821" t="inlineStr">
        <is>
          <t>No. of batches</t>
        </is>
      </c>
      <c r="D821">
        <f>IFERROR(INDEX(PP_Grid[#Data],$DD821,2),0)</f>
        <v/>
      </c>
      <c r="E821">
        <f>IFERROR(INDEX(PP_Grid[#Data],$DD821,3),0)</f>
        <v/>
      </c>
      <c r="F821">
        <f>IFERROR(INDEX(PP_Grid[#Data],$DD821,4),0)</f>
        <v/>
      </c>
      <c r="G821">
        <f>IFERROR(INDEX(PP_Grid[#Data],$DD821,5),0)</f>
        <v/>
      </c>
      <c r="H821">
        <f>IFERROR(INDEX(PP_Grid[#Data],$DD821,6),0)</f>
        <v/>
      </c>
      <c r="I821">
        <f>IFERROR(INDEX(PP_Grid[#Data],$DD821,7),0)</f>
        <v/>
      </c>
      <c r="J821">
        <f>IFERROR(INDEX(PP_Grid[#Data],$DD821,8),0)</f>
        <v/>
      </c>
      <c r="K821">
        <f>IFERROR(INDEX(PP_Grid[#Data],$DD821,9),0)</f>
        <v/>
      </c>
      <c r="L821">
        <f>IFERROR(INDEX(PP_Grid[#Data],$DD821,10),0)</f>
        <v/>
      </c>
      <c r="M821">
        <f>IFERROR(INDEX(PP_Grid[#Data],$DD821,11),0)</f>
        <v/>
      </c>
      <c r="N821">
        <f>IFERROR(INDEX(PP_Grid[#Data],$DD821,12),0)</f>
        <v/>
      </c>
      <c r="O821">
        <f>IFERROR(INDEX(PP_Grid[#Data],$DD821,13),0)</f>
        <v/>
      </c>
      <c r="P821">
        <f>IFERROR(INDEX(PP_Grid[#Data],$DD821,14),0)</f>
        <v/>
      </c>
      <c r="Q821">
        <f>IFERROR(INDEX(PP_Grid[#Data],$DD821,15),0)</f>
        <v/>
      </c>
      <c r="R821">
        <f>IFERROR(INDEX(PP_Grid[#Data],$DD821,16),0)</f>
        <v/>
      </c>
      <c r="S821">
        <f>IFERROR(INDEX(PP_Grid[#Data],$DD821,17),0)</f>
        <v/>
      </c>
      <c r="T821">
        <f>IFERROR(INDEX(PP_Grid[#Data],$DD821,18),0)</f>
        <v/>
      </c>
      <c r="U821">
        <f>IFERROR(INDEX(PP_Grid[#Data],$DD821,19),0)</f>
        <v/>
      </c>
      <c r="V821">
        <f>IFERROR(INDEX(PP_Grid[#Data],$DD821,20),0)</f>
        <v/>
      </c>
      <c r="W821">
        <f>IFERROR(INDEX(PP_Grid[#Data],$DD821,21),0)</f>
        <v/>
      </c>
      <c r="X821">
        <f>IFERROR(INDEX(PP_Grid[#Data],$DD821,22),0)</f>
        <v/>
      </c>
      <c r="Y821">
        <f>IFERROR(INDEX(PP_Grid[#Data],$DD821,23),0)</f>
        <v/>
      </c>
      <c r="Z821">
        <f>IFERROR(INDEX(PP_Grid[#Data],$DD821,24),0)</f>
        <v/>
      </c>
      <c r="AA821">
        <f>IFERROR(INDEX(PP_Grid[#Data],$DD821,25),0)</f>
        <v/>
      </c>
      <c r="AB821">
        <f>IFERROR(INDEX(PP_Grid[#Data],$DD821,26),0)</f>
        <v/>
      </c>
      <c r="AC821">
        <f>IFERROR(INDEX(PP_Grid[#Data],$DD821,27),0)</f>
        <v/>
      </c>
      <c r="AD821">
        <f>IFERROR(INDEX(PP_Grid[#Data],$DD821,28),0)</f>
        <v/>
      </c>
      <c r="AE821">
        <f>IFERROR(INDEX(PP_Grid[#Data],$DD821,29),0)</f>
        <v/>
      </c>
      <c r="AF821">
        <f>IFERROR(INDEX(PP_Grid[#Data],$DD821,30),0)</f>
        <v/>
      </c>
      <c r="AG821">
        <f>IFERROR(INDEX(PP_Grid[#Data],$DD821,31),0)</f>
        <v/>
      </c>
      <c r="AH821">
        <f>IFERROR(INDEX(PP_Grid[#Data],$DD821,32),0)</f>
        <v/>
      </c>
      <c r="AI821">
        <f>IFERROR(INDEX(PP_Grid[#Data],$DD821,33),0)</f>
        <v/>
      </c>
      <c r="AJ821">
        <f>IFERROR(INDEX(PP_Grid[#Data],$DD821,34),0)</f>
        <v/>
      </c>
      <c r="AK821">
        <f>IFERROR(INDEX(PP_Grid[#Data],$DD821,35),0)</f>
        <v/>
      </c>
      <c r="AL821">
        <f>IFERROR(INDEX(PP_Grid[#Data],$DD821,36),0)</f>
        <v/>
      </c>
      <c r="AM821">
        <f>IFERROR(INDEX(PP_Grid[#Data],$DD821,37),0)</f>
        <v/>
      </c>
      <c r="AN821">
        <f>IFERROR(INDEX(PP_Grid[#Data],$DD821,38),0)</f>
        <v/>
      </c>
      <c r="AO821">
        <f>IFERROR(INDEX(PP_Grid[#Data],$DD821,39),0)</f>
        <v/>
      </c>
      <c r="AP821">
        <f>IFERROR(INDEX(PP_Grid[#Data],$DD821,40),0)</f>
        <v/>
      </c>
      <c r="AQ821">
        <f>IFERROR(INDEX(PP_Grid[#Data],$DD821,41),0)</f>
        <v/>
      </c>
      <c r="AR821">
        <f>IFERROR(INDEX(PP_Grid[#Data],$DD821,42),0)</f>
        <v/>
      </c>
      <c r="AS821">
        <f>IFERROR(INDEX(PP_Grid[#Data],$DD821,43),0)</f>
        <v/>
      </c>
      <c r="AT821">
        <f>IFERROR(INDEX(PP_Grid[#Data],$DD821,44),0)</f>
        <v/>
      </c>
      <c r="AU821">
        <f>IFERROR(INDEX(PP_Grid[#Data],$DD821,45),0)</f>
        <v/>
      </c>
      <c r="AV821">
        <f>IFERROR(INDEX(PP_Grid[#Data],$DD821,46),0)</f>
        <v/>
      </c>
      <c r="AW821">
        <f>IFERROR(INDEX(PP_Grid[#Data],$DD821,47),0)</f>
        <v/>
      </c>
      <c r="AX821">
        <f>IFERROR(INDEX(PP_Grid[#Data],$DD821,48),0)</f>
        <v/>
      </c>
      <c r="AY821">
        <f>IFERROR(INDEX(PP_Grid[#Data],$DD821,49),0)</f>
        <v/>
      </c>
      <c r="AZ821">
        <f>IFERROR(INDEX(PP_Grid[#Data],$DD821,50),0)</f>
        <v/>
      </c>
      <c r="BA821">
        <f>IFERROR(INDEX(PP_Grid[#Data],$DD821,51),0)</f>
        <v/>
      </c>
      <c r="BB821">
        <f>IFERROR(INDEX(PP_Grid[#Data],$DD821,52),0)</f>
        <v/>
      </c>
      <c r="BC821">
        <f>IFERROR(INDEX(PP_Grid[#Data],$DD821,53),0)</f>
        <v/>
      </c>
      <c r="BD821">
        <f>IFERROR(INDEX(PP_Grid[#Data],$DD821,54),0)</f>
        <v/>
      </c>
      <c r="BE821">
        <f>IFERROR(INDEX(PP_Grid[#Data],$DD821,55),0)</f>
        <v/>
      </c>
      <c r="BF821">
        <f>IFERROR(INDEX(PP_Grid[#Data],$DD821,56),0)</f>
        <v/>
      </c>
      <c r="BG821">
        <f>IFERROR(INDEX(PP_Grid[#Data],$DD821,57),0)</f>
        <v/>
      </c>
      <c r="BH821">
        <f>IFERROR(INDEX(PP_Grid[#Data],$DD821,58),0)</f>
        <v/>
      </c>
      <c r="BI821">
        <f>IFERROR(INDEX(PP_Grid[#Data],$DD821,59),0)</f>
        <v/>
      </c>
      <c r="BJ821">
        <f>IFERROR(INDEX(PP_Grid[#Data],$DD821,60),0)</f>
        <v/>
      </c>
      <c r="BK821">
        <f>IFERROR(INDEX(PP_Grid[#Data],$DD821,61),0)</f>
        <v/>
      </c>
      <c r="BL821">
        <f>IFERROR(INDEX(PP_Grid[#Data],$DD821,62),0)</f>
        <v/>
      </c>
      <c r="BM821">
        <f>IFERROR(INDEX(PP_Grid[#Data],$DD821,63),0)</f>
        <v/>
      </c>
      <c r="BN821">
        <f>IFERROR(INDEX(PP_Grid[#Data],$DD821,64),0)</f>
        <v/>
      </c>
      <c r="BO821">
        <f>IFERROR(INDEX(PP_Grid[#Data],$DD821,65),0)</f>
        <v/>
      </c>
      <c r="BP821">
        <f>IFERROR(INDEX(PP_Grid[#Data],$DD821,66),0)</f>
        <v/>
      </c>
      <c r="BQ821">
        <f>IFERROR(INDEX(PP_Grid[#Data],$DD821,67),0)</f>
        <v/>
      </c>
      <c r="BR821">
        <f>IFERROR(INDEX(PP_Grid[#Data],$DD821,68),0)</f>
        <v/>
      </c>
      <c r="BS821">
        <f>IFERROR(INDEX(PP_Grid[#Data],$DD821,69),0)</f>
        <v/>
      </c>
      <c r="BT821">
        <f>IFERROR(INDEX(PP_Grid[#Data],$DD821,70),0)</f>
        <v/>
      </c>
      <c r="BU821">
        <f>IFERROR(INDEX(PP_Grid[#Data],$DD821,71),0)</f>
        <v/>
      </c>
      <c r="BV821">
        <f>IFERROR(INDEX(PP_Grid[#Data],$DD821,72),0)</f>
        <v/>
      </c>
      <c r="BW821">
        <f>IFERROR(INDEX(PP_Grid[#Data],$DD821,73),0)</f>
        <v/>
      </c>
      <c r="BX821">
        <f>IFERROR(INDEX(PP_Grid[#Data],$DD821,74),0)</f>
        <v/>
      </c>
      <c r="BY821">
        <f>IFERROR(INDEX(PP_Grid[#Data],$DD821,75),0)</f>
        <v/>
      </c>
      <c r="BZ821">
        <f>IFERROR(INDEX(PP_Grid[#Data],$DD821,76),0)</f>
        <v/>
      </c>
      <c r="CA821">
        <f>IFERROR(INDEX(PP_Grid[#Data],$DD821,77),0)</f>
        <v/>
      </c>
      <c r="CB821">
        <f>IFERROR(INDEX(PP_Grid[#Data],$DD821,78),0)</f>
        <v/>
      </c>
      <c r="CC821">
        <f>IFERROR(INDEX(PP_Grid[#Data],$DD821,79),0)</f>
        <v/>
      </c>
      <c r="CD821">
        <f>IFERROR(INDEX(PP_Grid[#Data],$DD821,80),0)</f>
        <v/>
      </c>
      <c r="CE821">
        <f>IFERROR(INDEX(PP_Grid[#Data],$DD821,81),0)</f>
        <v/>
      </c>
      <c r="CF821">
        <f>IFERROR(INDEX(PP_Grid[#Data],$DD821,82),0)</f>
        <v/>
      </c>
      <c r="CG821">
        <f>IFERROR(INDEX(PP_Grid[#Data],$DD821,83),0)</f>
        <v/>
      </c>
      <c r="CH821">
        <f>IFERROR(INDEX(PP_Grid[#Data],$DD821,84),0)</f>
        <v/>
      </c>
      <c r="CI821">
        <f>IFERROR(INDEX(PP_Grid[#Data],$DD821,85),0)</f>
        <v/>
      </c>
      <c r="CJ821">
        <f>IFERROR(INDEX(PP_Grid[#Data],$DD821,86),0)</f>
        <v/>
      </c>
      <c r="CK821">
        <f>IFERROR(INDEX(PP_Grid[#Data],$DD821,87),0)</f>
        <v/>
      </c>
      <c r="CL821">
        <f>IFERROR(INDEX(PP_Grid[#Data],$DD821,88),0)</f>
        <v/>
      </c>
      <c r="CM821">
        <f>IFERROR(INDEX(PP_Grid[#Data],$DD821,89),0)</f>
        <v/>
      </c>
      <c r="CN821">
        <f>IFERROR(INDEX(PP_Grid[#Data],$DD821,90),0)</f>
        <v/>
      </c>
      <c r="CO821">
        <f>IFERROR(INDEX(PP_Grid[#Data],$DD821,91),0)</f>
        <v/>
      </c>
      <c r="CP821">
        <f>IFERROR(INDEX(PP_Grid[#Data],$DD821,92),0)</f>
        <v/>
      </c>
      <c r="CQ821">
        <f>IFERROR(INDEX(PP_Grid[#Data],$DD821,93),0)</f>
        <v/>
      </c>
      <c r="CR821">
        <f>IFERROR(INDEX(PP_Grid[#Data],$DD821,94),0)</f>
        <v/>
      </c>
      <c r="CS821">
        <f>IFERROR(INDEX(PP_Grid[#Data],$DD821,95),0)</f>
        <v/>
      </c>
      <c r="CT821">
        <f>IFERROR(INDEX(PP_Grid[#Data],$DD821,96),0)</f>
        <v/>
      </c>
      <c r="CU821">
        <f>IFERROR(INDEX(PP_Grid[#Data],$DD821,97),0)</f>
        <v/>
      </c>
      <c r="CV821">
        <f>IFERROR(INDEX(PP_Grid[#Data],$DD821,98),0)</f>
        <v/>
      </c>
      <c r="CW821">
        <f>IFERROR(INDEX(PP_Grid[#Data],$DD821,99),0)</f>
        <v/>
      </c>
      <c r="CX821">
        <f>IFERROR(INDEX(PP_Grid[#Data],$DD821,100),0)</f>
        <v/>
      </c>
      <c r="CY821">
        <f>IFERROR(INDEX(PP_Grid[#Data],$DD821,101),0)</f>
        <v/>
      </c>
      <c r="CZ821">
        <f>IFERROR(INDEX(PP_Grid[#Data],$DD821,102),0)</f>
        <v/>
      </c>
      <c r="DA821">
        <f>IFERROR(INDEX(PP_Grid[#Data],$DD821,103),0)</f>
        <v/>
      </c>
      <c r="DB821">
        <f>IFERROR(INDEX(PP_Grid[#Data],$DD821,104),0)</f>
        <v/>
      </c>
      <c r="DC821">
        <f>IFERROR(INDEX(PP_Grid[#Data],$DD821,105),0)</f>
        <v/>
      </c>
      <c r="DD821" s="7">
        <f>IFERROR(MATCH($B821,PP_Grid[Intermediate],0),99999)</f>
        <v/>
      </c>
    </row>
    <row r="822">
      <c r="B822" t="inlineStr">
        <is>
          <t>使用量(kg)</t>
        </is>
      </c>
      <c r="C822">
        <f>SUMIFS(M_BOM[RM_Qty_Per_Batch],M_BOM[Intermediate],$B821,M_BOM[Part Name],$A820)</f>
        <v/>
      </c>
      <c r="D822">
        <f>$C822*D821</f>
        <v/>
      </c>
      <c r="E822">
        <f>$C822*E821</f>
        <v/>
      </c>
      <c r="F822">
        <f>$C822*F821</f>
        <v/>
      </c>
      <c r="G822">
        <f>$C822*G821</f>
        <v/>
      </c>
      <c r="H822">
        <f>$C822*H821</f>
        <v/>
      </c>
      <c r="I822">
        <f>$C822*I821</f>
        <v/>
      </c>
      <c r="J822">
        <f>$C822*J821</f>
        <v/>
      </c>
      <c r="K822">
        <f>$C822*K821</f>
        <v/>
      </c>
      <c r="L822">
        <f>$C822*L821</f>
        <v/>
      </c>
      <c r="M822">
        <f>$C822*M821</f>
        <v/>
      </c>
      <c r="N822">
        <f>$C822*N821</f>
        <v/>
      </c>
      <c r="O822">
        <f>$C822*O821</f>
        <v/>
      </c>
      <c r="P822">
        <f>$C822*P821</f>
        <v/>
      </c>
      <c r="Q822">
        <f>$C822*Q821</f>
        <v/>
      </c>
      <c r="R822">
        <f>$C822*R821</f>
        <v/>
      </c>
      <c r="S822">
        <f>$C822*S821</f>
        <v/>
      </c>
      <c r="T822">
        <f>$C822*T821</f>
        <v/>
      </c>
      <c r="U822">
        <f>$C822*U821</f>
        <v/>
      </c>
      <c r="V822">
        <f>$C822*V821</f>
        <v/>
      </c>
      <c r="W822">
        <f>$C822*W821</f>
        <v/>
      </c>
      <c r="X822">
        <f>$C822*X821</f>
        <v/>
      </c>
      <c r="Y822">
        <f>$C822*Y821</f>
        <v/>
      </c>
      <c r="Z822">
        <f>$C822*Z821</f>
        <v/>
      </c>
      <c r="AA822">
        <f>$C822*AA821</f>
        <v/>
      </c>
      <c r="AB822">
        <f>$C822*AB821</f>
        <v/>
      </c>
      <c r="AC822">
        <f>$C822*AC821</f>
        <v/>
      </c>
      <c r="AD822">
        <f>$C822*AD821</f>
        <v/>
      </c>
      <c r="AE822">
        <f>$C822*AE821</f>
        <v/>
      </c>
      <c r="AF822">
        <f>$C822*AF821</f>
        <v/>
      </c>
      <c r="AG822">
        <f>$C822*AG821</f>
        <v/>
      </c>
      <c r="AH822">
        <f>$C822*AH821</f>
        <v/>
      </c>
      <c r="AI822">
        <f>$C822*AI821</f>
        <v/>
      </c>
      <c r="AJ822">
        <f>$C822*AJ821</f>
        <v/>
      </c>
      <c r="AK822">
        <f>$C822*AK821</f>
        <v/>
      </c>
      <c r="AL822">
        <f>$C822*AL821</f>
        <v/>
      </c>
      <c r="AM822">
        <f>$C822*AM821</f>
        <v/>
      </c>
      <c r="AN822">
        <f>$C822*AN821</f>
        <v/>
      </c>
      <c r="AO822">
        <f>$C822*AO821</f>
        <v/>
      </c>
      <c r="AP822">
        <f>$C822*AP821</f>
        <v/>
      </c>
      <c r="AQ822">
        <f>$C822*AQ821</f>
        <v/>
      </c>
      <c r="AR822">
        <f>$C822*AR821</f>
        <v/>
      </c>
      <c r="AS822">
        <f>$C822*AS821</f>
        <v/>
      </c>
      <c r="AT822">
        <f>$C822*AT821</f>
        <v/>
      </c>
      <c r="AU822">
        <f>$C822*AU821</f>
        <v/>
      </c>
      <c r="AV822">
        <f>$C822*AV821</f>
        <v/>
      </c>
      <c r="AW822">
        <f>$C822*AW821</f>
        <v/>
      </c>
      <c r="AX822">
        <f>$C822*AX821</f>
        <v/>
      </c>
      <c r="AY822">
        <f>$C822*AY821</f>
        <v/>
      </c>
      <c r="AZ822">
        <f>$C822*AZ821</f>
        <v/>
      </c>
      <c r="BA822">
        <f>$C822*BA821</f>
        <v/>
      </c>
      <c r="BB822">
        <f>$C822*BB821</f>
        <v/>
      </c>
      <c r="BC822">
        <f>$C822*BC821</f>
        <v/>
      </c>
      <c r="BD822">
        <f>$C822*BD821</f>
        <v/>
      </c>
      <c r="BE822">
        <f>$C822*BE821</f>
        <v/>
      </c>
      <c r="BF822">
        <f>$C822*BF821</f>
        <v/>
      </c>
      <c r="BG822">
        <f>$C822*BG821</f>
        <v/>
      </c>
      <c r="BH822">
        <f>$C822*BH821</f>
        <v/>
      </c>
      <c r="BI822">
        <f>$C822*BI821</f>
        <v/>
      </c>
      <c r="BJ822">
        <f>$C822*BJ821</f>
        <v/>
      </c>
      <c r="BK822">
        <f>$C822*BK821</f>
        <v/>
      </c>
      <c r="BL822">
        <f>$C822*BL821</f>
        <v/>
      </c>
      <c r="BM822">
        <f>$C822*BM821</f>
        <v/>
      </c>
      <c r="BN822">
        <f>$C822*BN821</f>
        <v/>
      </c>
      <c r="BO822">
        <f>$C822*BO821</f>
        <v/>
      </c>
      <c r="BP822">
        <f>$C822*BP821</f>
        <v/>
      </c>
      <c r="BQ822">
        <f>$C822*BQ821</f>
        <v/>
      </c>
      <c r="BR822">
        <f>$C822*BR821</f>
        <v/>
      </c>
      <c r="BS822">
        <f>$C822*BS821</f>
        <v/>
      </c>
      <c r="BT822">
        <f>$C822*BT821</f>
        <v/>
      </c>
      <c r="BU822">
        <f>$C822*BU821</f>
        <v/>
      </c>
      <c r="BV822">
        <f>$C822*BV821</f>
        <v/>
      </c>
      <c r="BW822">
        <f>$C822*BW821</f>
        <v/>
      </c>
      <c r="BX822">
        <f>$C822*BX821</f>
        <v/>
      </c>
      <c r="BY822">
        <f>$C822*BY821</f>
        <v/>
      </c>
      <c r="BZ822">
        <f>$C822*BZ821</f>
        <v/>
      </c>
      <c r="CA822">
        <f>$C822*CA821</f>
        <v/>
      </c>
      <c r="CB822">
        <f>$C822*CB821</f>
        <v/>
      </c>
      <c r="CC822">
        <f>$C822*CC821</f>
        <v/>
      </c>
      <c r="CD822">
        <f>$C822*CD821</f>
        <v/>
      </c>
      <c r="CE822">
        <f>$C822*CE821</f>
        <v/>
      </c>
      <c r="CF822">
        <f>$C822*CF821</f>
        <v/>
      </c>
      <c r="CG822">
        <f>$C822*CG821</f>
        <v/>
      </c>
      <c r="CH822">
        <f>$C822*CH821</f>
        <v/>
      </c>
      <c r="CI822">
        <f>$C822*CI821</f>
        <v/>
      </c>
      <c r="CJ822">
        <f>$C822*CJ821</f>
        <v/>
      </c>
      <c r="CK822">
        <f>$C822*CK821</f>
        <v/>
      </c>
      <c r="CL822">
        <f>$C822*CL821</f>
        <v/>
      </c>
      <c r="CM822">
        <f>$C822*CM821</f>
        <v/>
      </c>
      <c r="CN822">
        <f>$C822*CN821</f>
        <v/>
      </c>
      <c r="CO822">
        <f>$C822*CO821</f>
        <v/>
      </c>
      <c r="CP822">
        <f>$C822*CP821</f>
        <v/>
      </c>
      <c r="CQ822">
        <f>$C822*CQ821</f>
        <v/>
      </c>
      <c r="CR822">
        <f>$C822*CR821</f>
        <v/>
      </c>
      <c r="CS822">
        <f>$C822*CS821</f>
        <v/>
      </c>
      <c r="CT822">
        <f>$C822*CT821</f>
        <v/>
      </c>
      <c r="CU822">
        <f>$C822*CU821</f>
        <v/>
      </c>
      <c r="CV822">
        <f>$C822*CV821</f>
        <v/>
      </c>
      <c r="CW822">
        <f>$C822*CW821</f>
        <v/>
      </c>
      <c r="CX822">
        <f>$C822*CX821</f>
        <v/>
      </c>
      <c r="CY822">
        <f>$C822*CY821</f>
        <v/>
      </c>
      <c r="CZ822">
        <f>$C822*CZ821</f>
        <v/>
      </c>
      <c r="DA822">
        <f>$C822*DA821</f>
        <v/>
      </c>
      <c r="DB822">
        <f>$C822*DB821</f>
        <v/>
      </c>
      <c r="DC822">
        <f>$C822*DC821</f>
        <v/>
      </c>
    </row>
    <row r="823">
      <c r="B823" t="inlineStr">
        <is>
          <t>TSP-903</t>
        </is>
      </c>
      <c r="C823" t="inlineStr">
        <is>
          <t>No. of batches</t>
        </is>
      </c>
      <c r="D823">
        <f>IFERROR(INDEX(PP_Grid[#Data],$DD823,2),0)</f>
        <v/>
      </c>
      <c r="E823">
        <f>IFERROR(INDEX(PP_Grid[#Data],$DD823,3),0)</f>
        <v/>
      </c>
      <c r="F823">
        <f>IFERROR(INDEX(PP_Grid[#Data],$DD823,4),0)</f>
        <v/>
      </c>
      <c r="G823">
        <f>IFERROR(INDEX(PP_Grid[#Data],$DD823,5),0)</f>
        <v/>
      </c>
      <c r="H823">
        <f>IFERROR(INDEX(PP_Grid[#Data],$DD823,6),0)</f>
        <v/>
      </c>
      <c r="I823">
        <f>IFERROR(INDEX(PP_Grid[#Data],$DD823,7),0)</f>
        <v/>
      </c>
      <c r="J823">
        <f>IFERROR(INDEX(PP_Grid[#Data],$DD823,8),0)</f>
        <v/>
      </c>
      <c r="K823">
        <f>IFERROR(INDEX(PP_Grid[#Data],$DD823,9),0)</f>
        <v/>
      </c>
      <c r="L823">
        <f>IFERROR(INDEX(PP_Grid[#Data],$DD823,10),0)</f>
        <v/>
      </c>
      <c r="M823">
        <f>IFERROR(INDEX(PP_Grid[#Data],$DD823,11),0)</f>
        <v/>
      </c>
      <c r="N823">
        <f>IFERROR(INDEX(PP_Grid[#Data],$DD823,12),0)</f>
        <v/>
      </c>
      <c r="O823">
        <f>IFERROR(INDEX(PP_Grid[#Data],$DD823,13),0)</f>
        <v/>
      </c>
      <c r="P823">
        <f>IFERROR(INDEX(PP_Grid[#Data],$DD823,14),0)</f>
        <v/>
      </c>
      <c r="Q823">
        <f>IFERROR(INDEX(PP_Grid[#Data],$DD823,15),0)</f>
        <v/>
      </c>
      <c r="R823">
        <f>IFERROR(INDEX(PP_Grid[#Data],$DD823,16),0)</f>
        <v/>
      </c>
      <c r="S823">
        <f>IFERROR(INDEX(PP_Grid[#Data],$DD823,17),0)</f>
        <v/>
      </c>
      <c r="T823">
        <f>IFERROR(INDEX(PP_Grid[#Data],$DD823,18),0)</f>
        <v/>
      </c>
      <c r="U823">
        <f>IFERROR(INDEX(PP_Grid[#Data],$DD823,19),0)</f>
        <v/>
      </c>
      <c r="V823">
        <f>IFERROR(INDEX(PP_Grid[#Data],$DD823,20),0)</f>
        <v/>
      </c>
      <c r="W823">
        <f>IFERROR(INDEX(PP_Grid[#Data],$DD823,21),0)</f>
        <v/>
      </c>
      <c r="X823">
        <f>IFERROR(INDEX(PP_Grid[#Data],$DD823,22),0)</f>
        <v/>
      </c>
      <c r="Y823">
        <f>IFERROR(INDEX(PP_Grid[#Data],$DD823,23),0)</f>
        <v/>
      </c>
      <c r="Z823">
        <f>IFERROR(INDEX(PP_Grid[#Data],$DD823,24),0)</f>
        <v/>
      </c>
      <c r="AA823">
        <f>IFERROR(INDEX(PP_Grid[#Data],$DD823,25),0)</f>
        <v/>
      </c>
      <c r="AB823">
        <f>IFERROR(INDEX(PP_Grid[#Data],$DD823,26),0)</f>
        <v/>
      </c>
      <c r="AC823">
        <f>IFERROR(INDEX(PP_Grid[#Data],$DD823,27),0)</f>
        <v/>
      </c>
      <c r="AD823">
        <f>IFERROR(INDEX(PP_Grid[#Data],$DD823,28),0)</f>
        <v/>
      </c>
      <c r="AE823">
        <f>IFERROR(INDEX(PP_Grid[#Data],$DD823,29),0)</f>
        <v/>
      </c>
      <c r="AF823">
        <f>IFERROR(INDEX(PP_Grid[#Data],$DD823,30),0)</f>
        <v/>
      </c>
      <c r="AG823">
        <f>IFERROR(INDEX(PP_Grid[#Data],$DD823,31),0)</f>
        <v/>
      </c>
      <c r="AH823">
        <f>IFERROR(INDEX(PP_Grid[#Data],$DD823,32),0)</f>
        <v/>
      </c>
      <c r="AI823">
        <f>IFERROR(INDEX(PP_Grid[#Data],$DD823,33),0)</f>
        <v/>
      </c>
      <c r="AJ823">
        <f>IFERROR(INDEX(PP_Grid[#Data],$DD823,34),0)</f>
        <v/>
      </c>
      <c r="AK823">
        <f>IFERROR(INDEX(PP_Grid[#Data],$DD823,35),0)</f>
        <v/>
      </c>
      <c r="AL823">
        <f>IFERROR(INDEX(PP_Grid[#Data],$DD823,36),0)</f>
        <v/>
      </c>
      <c r="AM823">
        <f>IFERROR(INDEX(PP_Grid[#Data],$DD823,37),0)</f>
        <v/>
      </c>
      <c r="AN823">
        <f>IFERROR(INDEX(PP_Grid[#Data],$DD823,38),0)</f>
        <v/>
      </c>
      <c r="AO823">
        <f>IFERROR(INDEX(PP_Grid[#Data],$DD823,39),0)</f>
        <v/>
      </c>
      <c r="AP823">
        <f>IFERROR(INDEX(PP_Grid[#Data],$DD823,40),0)</f>
        <v/>
      </c>
      <c r="AQ823">
        <f>IFERROR(INDEX(PP_Grid[#Data],$DD823,41),0)</f>
        <v/>
      </c>
      <c r="AR823">
        <f>IFERROR(INDEX(PP_Grid[#Data],$DD823,42),0)</f>
        <v/>
      </c>
      <c r="AS823">
        <f>IFERROR(INDEX(PP_Grid[#Data],$DD823,43),0)</f>
        <v/>
      </c>
      <c r="AT823">
        <f>IFERROR(INDEX(PP_Grid[#Data],$DD823,44),0)</f>
        <v/>
      </c>
      <c r="AU823">
        <f>IFERROR(INDEX(PP_Grid[#Data],$DD823,45),0)</f>
        <v/>
      </c>
      <c r="AV823">
        <f>IFERROR(INDEX(PP_Grid[#Data],$DD823,46),0)</f>
        <v/>
      </c>
      <c r="AW823">
        <f>IFERROR(INDEX(PP_Grid[#Data],$DD823,47),0)</f>
        <v/>
      </c>
      <c r="AX823">
        <f>IFERROR(INDEX(PP_Grid[#Data],$DD823,48),0)</f>
        <v/>
      </c>
      <c r="AY823">
        <f>IFERROR(INDEX(PP_Grid[#Data],$DD823,49),0)</f>
        <v/>
      </c>
      <c r="AZ823">
        <f>IFERROR(INDEX(PP_Grid[#Data],$DD823,50),0)</f>
        <v/>
      </c>
      <c r="BA823">
        <f>IFERROR(INDEX(PP_Grid[#Data],$DD823,51),0)</f>
        <v/>
      </c>
      <c r="BB823">
        <f>IFERROR(INDEX(PP_Grid[#Data],$DD823,52),0)</f>
        <v/>
      </c>
      <c r="BC823">
        <f>IFERROR(INDEX(PP_Grid[#Data],$DD823,53),0)</f>
        <v/>
      </c>
      <c r="BD823">
        <f>IFERROR(INDEX(PP_Grid[#Data],$DD823,54),0)</f>
        <v/>
      </c>
      <c r="BE823">
        <f>IFERROR(INDEX(PP_Grid[#Data],$DD823,55),0)</f>
        <v/>
      </c>
      <c r="BF823">
        <f>IFERROR(INDEX(PP_Grid[#Data],$DD823,56),0)</f>
        <v/>
      </c>
      <c r="BG823">
        <f>IFERROR(INDEX(PP_Grid[#Data],$DD823,57),0)</f>
        <v/>
      </c>
      <c r="BH823">
        <f>IFERROR(INDEX(PP_Grid[#Data],$DD823,58),0)</f>
        <v/>
      </c>
      <c r="BI823">
        <f>IFERROR(INDEX(PP_Grid[#Data],$DD823,59),0)</f>
        <v/>
      </c>
      <c r="BJ823">
        <f>IFERROR(INDEX(PP_Grid[#Data],$DD823,60),0)</f>
        <v/>
      </c>
      <c r="BK823">
        <f>IFERROR(INDEX(PP_Grid[#Data],$DD823,61),0)</f>
        <v/>
      </c>
      <c r="BL823">
        <f>IFERROR(INDEX(PP_Grid[#Data],$DD823,62),0)</f>
        <v/>
      </c>
      <c r="BM823">
        <f>IFERROR(INDEX(PP_Grid[#Data],$DD823,63),0)</f>
        <v/>
      </c>
      <c r="BN823">
        <f>IFERROR(INDEX(PP_Grid[#Data],$DD823,64),0)</f>
        <v/>
      </c>
      <c r="BO823">
        <f>IFERROR(INDEX(PP_Grid[#Data],$DD823,65),0)</f>
        <v/>
      </c>
      <c r="BP823">
        <f>IFERROR(INDEX(PP_Grid[#Data],$DD823,66),0)</f>
        <v/>
      </c>
      <c r="BQ823">
        <f>IFERROR(INDEX(PP_Grid[#Data],$DD823,67),0)</f>
        <v/>
      </c>
      <c r="BR823">
        <f>IFERROR(INDEX(PP_Grid[#Data],$DD823,68),0)</f>
        <v/>
      </c>
      <c r="BS823">
        <f>IFERROR(INDEX(PP_Grid[#Data],$DD823,69),0)</f>
        <v/>
      </c>
      <c r="BT823">
        <f>IFERROR(INDEX(PP_Grid[#Data],$DD823,70),0)</f>
        <v/>
      </c>
      <c r="BU823">
        <f>IFERROR(INDEX(PP_Grid[#Data],$DD823,71),0)</f>
        <v/>
      </c>
      <c r="BV823">
        <f>IFERROR(INDEX(PP_Grid[#Data],$DD823,72),0)</f>
        <v/>
      </c>
      <c r="BW823">
        <f>IFERROR(INDEX(PP_Grid[#Data],$DD823,73),0)</f>
        <v/>
      </c>
      <c r="BX823">
        <f>IFERROR(INDEX(PP_Grid[#Data],$DD823,74),0)</f>
        <v/>
      </c>
      <c r="BY823">
        <f>IFERROR(INDEX(PP_Grid[#Data],$DD823,75),0)</f>
        <v/>
      </c>
      <c r="BZ823">
        <f>IFERROR(INDEX(PP_Grid[#Data],$DD823,76),0)</f>
        <v/>
      </c>
      <c r="CA823">
        <f>IFERROR(INDEX(PP_Grid[#Data],$DD823,77),0)</f>
        <v/>
      </c>
      <c r="CB823">
        <f>IFERROR(INDEX(PP_Grid[#Data],$DD823,78),0)</f>
        <v/>
      </c>
      <c r="CC823">
        <f>IFERROR(INDEX(PP_Grid[#Data],$DD823,79),0)</f>
        <v/>
      </c>
      <c r="CD823">
        <f>IFERROR(INDEX(PP_Grid[#Data],$DD823,80),0)</f>
        <v/>
      </c>
      <c r="CE823">
        <f>IFERROR(INDEX(PP_Grid[#Data],$DD823,81),0)</f>
        <v/>
      </c>
      <c r="CF823">
        <f>IFERROR(INDEX(PP_Grid[#Data],$DD823,82),0)</f>
        <v/>
      </c>
      <c r="CG823">
        <f>IFERROR(INDEX(PP_Grid[#Data],$DD823,83),0)</f>
        <v/>
      </c>
      <c r="CH823">
        <f>IFERROR(INDEX(PP_Grid[#Data],$DD823,84),0)</f>
        <v/>
      </c>
      <c r="CI823">
        <f>IFERROR(INDEX(PP_Grid[#Data],$DD823,85),0)</f>
        <v/>
      </c>
      <c r="CJ823">
        <f>IFERROR(INDEX(PP_Grid[#Data],$DD823,86),0)</f>
        <v/>
      </c>
      <c r="CK823">
        <f>IFERROR(INDEX(PP_Grid[#Data],$DD823,87),0)</f>
        <v/>
      </c>
      <c r="CL823">
        <f>IFERROR(INDEX(PP_Grid[#Data],$DD823,88),0)</f>
        <v/>
      </c>
      <c r="CM823">
        <f>IFERROR(INDEX(PP_Grid[#Data],$DD823,89),0)</f>
        <v/>
      </c>
      <c r="CN823">
        <f>IFERROR(INDEX(PP_Grid[#Data],$DD823,90),0)</f>
        <v/>
      </c>
      <c r="CO823">
        <f>IFERROR(INDEX(PP_Grid[#Data],$DD823,91),0)</f>
        <v/>
      </c>
      <c r="CP823">
        <f>IFERROR(INDEX(PP_Grid[#Data],$DD823,92),0)</f>
        <v/>
      </c>
      <c r="CQ823">
        <f>IFERROR(INDEX(PP_Grid[#Data],$DD823,93),0)</f>
        <v/>
      </c>
      <c r="CR823">
        <f>IFERROR(INDEX(PP_Grid[#Data],$DD823,94),0)</f>
        <v/>
      </c>
      <c r="CS823">
        <f>IFERROR(INDEX(PP_Grid[#Data],$DD823,95),0)</f>
        <v/>
      </c>
      <c r="CT823">
        <f>IFERROR(INDEX(PP_Grid[#Data],$DD823,96),0)</f>
        <v/>
      </c>
      <c r="CU823">
        <f>IFERROR(INDEX(PP_Grid[#Data],$DD823,97),0)</f>
        <v/>
      </c>
      <c r="CV823">
        <f>IFERROR(INDEX(PP_Grid[#Data],$DD823,98),0)</f>
        <v/>
      </c>
      <c r="CW823">
        <f>IFERROR(INDEX(PP_Grid[#Data],$DD823,99),0)</f>
        <v/>
      </c>
      <c r="CX823">
        <f>IFERROR(INDEX(PP_Grid[#Data],$DD823,100),0)</f>
        <v/>
      </c>
      <c r="CY823">
        <f>IFERROR(INDEX(PP_Grid[#Data],$DD823,101),0)</f>
        <v/>
      </c>
      <c r="CZ823">
        <f>IFERROR(INDEX(PP_Grid[#Data],$DD823,102),0)</f>
        <v/>
      </c>
      <c r="DA823">
        <f>IFERROR(INDEX(PP_Grid[#Data],$DD823,103),0)</f>
        <v/>
      </c>
      <c r="DB823">
        <f>IFERROR(INDEX(PP_Grid[#Data],$DD823,104),0)</f>
        <v/>
      </c>
      <c r="DC823">
        <f>IFERROR(INDEX(PP_Grid[#Data],$DD823,105),0)</f>
        <v/>
      </c>
      <c r="DD823" s="7">
        <f>IFERROR(MATCH($B823,PP_Grid[Intermediate],0),99999)</f>
        <v/>
      </c>
    </row>
    <row r="824">
      <c r="B824" t="inlineStr">
        <is>
          <t>使用量(kg)</t>
        </is>
      </c>
      <c r="C824">
        <f>SUMIFS(M_BOM[RM_Qty_Per_Batch],M_BOM[Intermediate],$B823,M_BOM[Part Name],$A820)</f>
        <v/>
      </c>
      <c r="D824">
        <f>$C824*D823</f>
        <v/>
      </c>
      <c r="E824">
        <f>$C824*E823</f>
        <v/>
      </c>
      <c r="F824">
        <f>$C824*F823</f>
        <v/>
      </c>
      <c r="G824">
        <f>$C824*G823</f>
        <v/>
      </c>
      <c r="H824">
        <f>$C824*H823</f>
        <v/>
      </c>
      <c r="I824">
        <f>$C824*I823</f>
        <v/>
      </c>
      <c r="J824">
        <f>$C824*J823</f>
        <v/>
      </c>
      <c r="K824">
        <f>$C824*K823</f>
        <v/>
      </c>
      <c r="L824">
        <f>$C824*L823</f>
        <v/>
      </c>
      <c r="M824">
        <f>$C824*M823</f>
        <v/>
      </c>
      <c r="N824">
        <f>$C824*N823</f>
        <v/>
      </c>
      <c r="O824">
        <f>$C824*O823</f>
        <v/>
      </c>
      <c r="P824">
        <f>$C824*P823</f>
        <v/>
      </c>
      <c r="Q824">
        <f>$C824*Q823</f>
        <v/>
      </c>
      <c r="R824">
        <f>$C824*R823</f>
        <v/>
      </c>
      <c r="S824">
        <f>$C824*S823</f>
        <v/>
      </c>
      <c r="T824">
        <f>$C824*T823</f>
        <v/>
      </c>
      <c r="U824">
        <f>$C824*U823</f>
        <v/>
      </c>
      <c r="V824">
        <f>$C824*V823</f>
        <v/>
      </c>
      <c r="W824">
        <f>$C824*W823</f>
        <v/>
      </c>
      <c r="X824">
        <f>$C824*X823</f>
        <v/>
      </c>
      <c r="Y824">
        <f>$C824*Y823</f>
        <v/>
      </c>
      <c r="Z824">
        <f>$C824*Z823</f>
        <v/>
      </c>
      <c r="AA824">
        <f>$C824*AA823</f>
        <v/>
      </c>
      <c r="AB824">
        <f>$C824*AB823</f>
        <v/>
      </c>
      <c r="AC824">
        <f>$C824*AC823</f>
        <v/>
      </c>
      <c r="AD824">
        <f>$C824*AD823</f>
        <v/>
      </c>
      <c r="AE824">
        <f>$C824*AE823</f>
        <v/>
      </c>
      <c r="AF824">
        <f>$C824*AF823</f>
        <v/>
      </c>
      <c r="AG824">
        <f>$C824*AG823</f>
        <v/>
      </c>
      <c r="AH824">
        <f>$C824*AH823</f>
        <v/>
      </c>
      <c r="AI824">
        <f>$C824*AI823</f>
        <v/>
      </c>
      <c r="AJ824">
        <f>$C824*AJ823</f>
        <v/>
      </c>
      <c r="AK824">
        <f>$C824*AK823</f>
        <v/>
      </c>
      <c r="AL824">
        <f>$C824*AL823</f>
        <v/>
      </c>
      <c r="AM824">
        <f>$C824*AM823</f>
        <v/>
      </c>
      <c r="AN824">
        <f>$C824*AN823</f>
        <v/>
      </c>
      <c r="AO824">
        <f>$C824*AO823</f>
        <v/>
      </c>
      <c r="AP824">
        <f>$C824*AP823</f>
        <v/>
      </c>
      <c r="AQ824">
        <f>$C824*AQ823</f>
        <v/>
      </c>
      <c r="AR824">
        <f>$C824*AR823</f>
        <v/>
      </c>
      <c r="AS824">
        <f>$C824*AS823</f>
        <v/>
      </c>
      <c r="AT824">
        <f>$C824*AT823</f>
        <v/>
      </c>
      <c r="AU824">
        <f>$C824*AU823</f>
        <v/>
      </c>
      <c r="AV824">
        <f>$C824*AV823</f>
        <v/>
      </c>
      <c r="AW824">
        <f>$C824*AW823</f>
        <v/>
      </c>
      <c r="AX824">
        <f>$C824*AX823</f>
        <v/>
      </c>
      <c r="AY824">
        <f>$C824*AY823</f>
        <v/>
      </c>
      <c r="AZ824">
        <f>$C824*AZ823</f>
        <v/>
      </c>
      <c r="BA824">
        <f>$C824*BA823</f>
        <v/>
      </c>
      <c r="BB824">
        <f>$C824*BB823</f>
        <v/>
      </c>
      <c r="BC824">
        <f>$C824*BC823</f>
        <v/>
      </c>
      <c r="BD824">
        <f>$C824*BD823</f>
        <v/>
      </c>
      <c r="BE824">
        <f>$C824*BE823</f>
        <v/>
      </c>
      <c r="BF824">
        <f>$C824*BF823</f>
        <v/>
      </c>
      <c r="BG824">
        <f>$C824*BG823</f>
        <v/>
      </c>
      <c r="BH824">
        <f>$C824*BH823</f>
        <v/>
      </c>
      <c r="BI824">
        <f>$C824*BI823</f>
        <v/>
      </c>
      <c r="BJ824">
        <f>$C824*BJ823</f>
        <v/>
      </c>
      <c r="BK824">
        <f>$C824*BK823</f>
        <v/>
      </c>
      <c r="BL824">
        <f>$C824*BL823</f>
        <v/>
      </c>
      <c r="BM824">
        <f>$C824*BM823</f>
        <v/>
      </c>
      <c r="BN824">
        <f>$C824*BN823</f>
        <v/>
      </c>
      <c r="BO824">
        <f>$C824*BO823</f>
        <v/>
      </c>
      <c r="BP824">
        <f>$C824*BP823</f>
        <v/>
      </c>
      <c r="BQ824">
        <f>$C824*BQ823</f>
        <v/>
      </c>
      <c r="BR824">
        <f>$C824*BR823</f>
        <v/>
      </c>
      <c r="BS824">
        <f>$C824*BS823</f>
        <v/>
      </c>
      <c r="BT824">
        <f>$C824*BT823</f>
        <v/>
      </c>
      <c r="BU824">
        <f>$C824*BU823</f>
        <v/>
      </c>
      <c r="BV824">
        <f>$C824*BV823</f>
        <v/>
      </c>
      <c r="BW824">
        <f>$C824*BW823</f>
        <v/>
      </c>
      <c r="BX824">
        <f>$C824*BX823</f>
        <v/>
      </c>
      <c r="BY824">
        <f>$C824*BY823</f>
        <v/>
      </c>
      <c r="BZ824">
        <f>$C824*BZ823</f>
        <v/>
      </c>
      <c r="CA824">
        <f>$C824*CA823</f>
        <v/>
      </c>
      <c r="CB824">
        <f>$C824*CB823</f>
        <v/>
      </c>
      <c r="CC824">
        <f>$C824*CC823</f>
        <v/>
      </c>
      <c r="CD824">
        <f>$C824*CD823</f>
        <v/>
      </c>
      <c r="CE824">
        <f>$C824*CE823</f>
        <v/>
      </c>
      <c r="CF824">
        <f>$C824*CF823</f>
        <v/>
      </c>
      <c r="CG824">
        <f>$C824*CG823</f>
        <v/>
      </c>
      <c r="CH824">
        <f>$C824*CH823</f>
        <v/>
      </c>
      <c r="CI824">
        <f>$C824*CI823</f>
        <v/>
      </c>
      <c r="CJ824">
        <f>$C824*CJ823</f>
        <v/>
      </c>
      <c r="CK824">
        <f>$C824*CK823</f>
        <v/>
      </c>
      <c r="CL824">
        <f>$C824*CL823</f>
        <v/>
      </c>
      <c r="CM824">
        <f>$C824*CM823</f>
        <v/>
      </c>
      <c r="CN824">
        <f>$C824*CN823</f>
        <v/>
      </c>
      <c r="CO824">
        <f>$C824*CO823</f>
        <v/>
      </c>
      <c r="CP824">
        <f>$C824*CP823</f>
        <v/>
      </c>
      <c r="CQ824">
        <f>$C824*CQ823</f>
        <v/>
      </c>
      <c r="CR824">
        <f>$C824*CR823</f>
        <v/>
      </c>
      <c r="CS824">
        <f>$C824*CS823</f>
        <v/>
      </c>
      <c r="CT824">
        <f>$C824*CT823</f>
        <v/>
      </c>
      <c r="CU824">
        <f>$C824*CU823</f>
        <v/>
      </c>
      <c r="CV824">
        <f>$C824*CV823</f>
        <v/>
      </c>
      <c r="CW824">
        <f>$C824*CW823</f>
        <v/>
      </c>
      <c r="CX824">
        <f>$C824*CX823</f>
        <v/>
      </c>
      <c r="CY824">
        <f>$C824*CY823</f>
        <v/>
      </c>
      <c r="CZ824">
        <f>$C824*CZ823</f>
        <v/>
      </c>
      <c r="DA824">
        <f>$C824*DA823</f>
        <v/>
      </c>
      <c r="DB824">
        <f>$C824*DB823</f>
        <v/>
      </c>
      <c r="DC824">
        <f>$C824*DC823</f>
        <v/>
      </c>
    </row>
    <row r="825">
      <c r="B825" t="inlineStr">
        <is>
          <t>TSP-966</t>
        </is>
      </c>
      <c r="C825" t="inlineStr">
        <is>
          <t>No. of batches</t>
        </is>
      </c>
      <c r="D825">
        <f>IFERROR(INDEX(PP_Grid[#Data],$DD825,2),0)</f>
        <v/>
      </c>
      <c r="E825">
        <f>IFERROR(INDEX(PP_Grid[#Data],$DD825,3),0)</f>
        <v/>
      </c>
      <c r="F825">
        <f>IFERROR(INDEX(PP_Grid[#Data],$DD825,4),0)</f>
        <v/>
      </c>
      <c r="G825">
        <f>IFERROR(INDEX(PP_Grid[#Data],$DD825,5),0)</f>
        <v/>
      </c>
      <c r="H825">
        <f>IFERROR(INDEX(PP_Grid[#Data],$DD825,6),0)</f>
        <v/>
      </c>
      <c r="I825">
        <f>IFERROR(INDEX(PP_Grid[#Data],$DD825,7),0)</f>
        <v/>
      </c>
      <c r="J825">
        <f>IFERROR(INDEX(PP_Grid[#Data],$DD825,8),0)</f>
        <v/>
      </c>
      <c r="K825">
        <f>IFERROR(INDEX(PP_Grid[#Data],$DD825,9),0)</f>
        <v/>
      </c>
      <c r="L825">
        <f>IFERROR(INDEX(PP_Grid[#Data],$DD825,10),0)</f>
        <v/>
      </c>
      <c r="M825">
        <f>IFERROR(INDEX(PP_Grid[#Data],$DD825,11),0)</f>
        <v/>
      </c>
      <c r="N825">
        <f>IFERROR(INDEX(PP_Grid[#Data],$DD825,12),0)</f>
        <v/>
      </c>
      <c r="O825">
        <f>IFERROR(INDEX(PP_Grid[#Data],$DD825,13),0)</f>
        <v/>
      </c>
      <c r="P825">
        <f>IFERROR(INDEX(PP_Grid[#Data],$DD825,14),0)</f>
        <v/>
      </c>
      <c r="Q825">
        <f>IFERROR(INDEX(PP_Grid[#Data],$DD825,15),0)</f>
        <v/>
      </c>
      <c r="R825">
        <f>IFERROR(INDEX(PP_Grid[#Data],$DD825,16),0)</f>
        <v/>
      </c>
      <c r="S825">
        <f>IFERROR(INDEX(PP_Grid[#Data],$DD825,17),0)</f>
        <v/>
      </c>
      <c r="T825">
        <f>IFERROR(INDEX(PP_Grid[#Data],$DD825,18),0)</f>
        <v/>
      </c>
      <c r="U825">
        <f>IFERROR(INDEX(PP_Grid[#Data],$DD825,19),0)</f>
        <v/>
      </c>
      <c r="V825">
        <f>IFERROR(INDEX(PP_Grid[#Data],$DD825,20),0)</f>
        <v/>
      </c>
      <c r="W825">
        <f>IFERROR(INDEX(PP_Grid[#Data],$DD825,21),0)</f>
        <v/>
      </c>
      <c r="X825">
        <f>IFERROR(INDEX(PP_Grid[#Data],$DD825,22),0)</f>
        <v/>
      </c>
      <c r="Y825">
        <f>IFERROR(INDEX(PP_Grid[#Data],$DD825,23),0)</f>
        <v/>
      </c>
      <c r="Z825">
        <f>IFERROR(INDEX(PP_Grid[#Data],$DD825,24),0)</f>
        <v/>
      </c>
      <c r="AA825">
        <f>IFERROR(INDEX(PP_Grid[#Data],$DD825,25),0)</f>
        <v/>
      </c>
      <c r="AB825">
        <f>IFERROR(INDEX(PP_Grid[#Data],$DD825,26),0)</f>
        <v/>
      </c>
      <c r="AC825">
        <f>IFERROR(INDEX(PP_Grid[#Data],$DD825,27),0)</f>
        <v/>
      </c>
      <c r="AD825">
        <f>IFERROR(INDEX(PP_Grid[#Data],$DD825,28),0)</f>
        <v/>
      </c>
      <c r="AE825">
        <f>IFERROR(INDEX(PP_Grid[#Data],$DD825,29),0)</f>
        <v/>
      </c>
      <c r="AF825">
        <f>IFERROR(INDEX(PP_Grid[#Data],$DD825,30),0)</f>
        <v/>
      </c>
      <c r="AG825">
        <f>IFERROR(INDEX(PP_Grid[#Data],$DD825,31),0)</f>
        <v/>
      </c>
      <c r="AH825">
        <f>IFERROR(INDEX(PP_Grid[#Data],$DD825,32),0)</f>
        <v/>
      </c>
      <c r="AI825">
        <f>IFERROR(INDEX(PP_Grid[#Data],$DD825,33),0)</f>
        <v/>
      </c>
      <c r="AJ825">
        <f>IFERROR(INDEX(PP_Grid[#Data],$DD825,34),0)</f>
        <v/>
      </c>
      <c r="AK825">
        <f>IFERROR(INDEX(PP_Grid[#Data],$DD825,35),0)</f>
        <v/>
      </c>
      <c r="AL825">
        <f>IFERROR(INDEX(PP_Grid[#Data],$DD825,36),0)</f>
        <v/>
      </c>
      <c r="AM825">
        <f>IFERROR(INDEX(PP_Grid[#Data],$DD825,37),0)</f>
        <v/>
      </c>
      <c r="AN825">
        <f>IFERROR(INDEX(PP_Grid[#Data],$DD825,38),0)</f>
        <v/>
      </c>
      <c r="AO825">
        <f>IFERROR(INDEX(PP_Grid[#Data],$DD825,39),0)</f>
        <v/>
      </c>
      <c r="AP825">
        <f>IFERROR(INDEX(PP_Grid[#Data],$DD825,40),0)</f>
        <v/>
      </c>
      <c r="AQ825">
        <f>IFERROR(INDEX(PP_Grid[#Data],$DD825,41),0)</f>
        <v/>
      </c>
      <c r="AR825">
        <f>IFERROR(INDEX(PP_Grid[#Data],$DD825,42),0)</f>
        <v/>
      </c>
      <c r="AS825">
        <f>IFERROR(INDEX(PP_Grid[#Data],$DD825,43),0)</f>
        <v/>
      </c>
      <c r="AT825">
        <f>IFERROR(INDEX(PP_Grid[#Data],$DD825,44),0)</f>
        <v/>
      </c>
      <c r="AU825">
        <f>IFERROR(INDEX(PP_Grid[#Data],$DD825,45),0)</f>
        <v/>
      </c>
      <c r="AV825">
        <f>IFERROR(INDEX(PP_Grid[#Data],$DD825,46),0)</f>
        <v/>
      </c>
      <c r="AW825">
        <f>IFERROR(INDEX(PP_Grid[#Data],$DD825,47),0)</f>
        <v/>
      </c>
      <c r="AX825">
        <f>IFERROR(INDEX(PP_Grid[#Data],$DD825,48),0)</f>
        <v/>
      </c>
      <c r="AY825">
        <f>IFERROR(INDEX(PP_Grid[#Data],$DD825,49),0)</f>
        <v/>
      </c>
      <c r="AZ825">
        <f>IFERROR(INDEX(PP_Grid[#Data],$DD825,50),0)</f>
        <v/>
      </c>
      <c r="BA825">
        <f>IFERROR(INDEX(PP_Grid[#Data],$DD825,51),0)</f>
        <v/>
      </c>
      <c r="BB825">
        <f>IFERROR(INDEX(PP_Grid[#Data],$DD825,52),0)</f>
        <v/>
      </c>
      <c r="BC825">
        <f>IFERROR(INDEX(PP_Grid[#Data],$DD825,53),0)</f>
        <v/>
      </c>
      <c r="BD825">
        <f>IFERROR(INDEX(PP_Grid[#Data],$DD825,54),0)</f>
        <v/>
      </c>
      <c r="BE825">
        <f>IFERROR(INDEX(PP_Grid[#Data],$DD825,55),0)</f>
        <v/>
      </c>
      <c r="BF825">
        <f>IFERROR(INDEX(PP_Grid[#Data],$DD825,56),0)</f>
        <v/>
      </c>
      <c r="BG825">
        <f>IFERROR(INDEX(PP_Grid[#Data],$DD825,57),0)</f>
        <v/>
      </c>
      <c r="BH825">
        <f>IFERROR(INDEX(PP_Grid[#Data],$DD825,58),0)</f>
        <v/>
      </c>
      <c r="BI825">
        <f>IFERROR(INDEX(PP_Grid[#Data],$DD825,59),0)</f>
        <v/>
      </c>
      <c r="BJ825">
        <f>IFERROR(INDEX(PP_Grid[#Data],$DD825,60),0)</f>
        <v/>
      </c>
      <c r="BK825">
        <f>IFERROR(INDEX(PP_Grid[#Data],$DD825,61),0)</f>
        <v/>
      </c>
      <c r="BL825">
        <f>IFERROR(INDEX(PP_Grid[#Data],$DD825,62),0)</f>
        <v/>
      </c>
      <c r="BM825">
        <f>IFERROR(INDEX(PP_Grid[#Data],$DD825,63),0)</f>
        <v/>
      </c>
      <c r="BN825">
        <f>IFERROR(INDEX(PP_Grid[#Data],$DD825,64),0)</f>
        <v/>
      </c>
      <c r="BO825">
        <f>IFERROR(INDEX(PP_Grid[#Data],$DD825,65),0)</f>
        <v/>
      </c>
      <c r="BP825">
        <f>IFERROR(INDEX(PP_Grid[#Data],$DD825,66),0)</f>
        <v/>
      </c>
      <c r="BQ825">
        <f>IFERROR(INDEX(PP_Grid[#Data],$DD825,67),0)</f>
        <v/>
      </c>
      <c r="BR825">
        <f>IFERROR(INDEX(PP_Grid[#Data],$DD825,68),0)</f>
        <v/>
      </c>
      <c r="BS825">
        <f>IFERROR(INDEX(PP_Grid[#Data],$DD825,69),0)</f>
        <v/>
      </c>
      <c r="BT825">
        <f>IFERROR(INDEX(PP_Grid[#Data],$DD825,70),0)</f>
        <v/>
      </c>
      <c r="BU825">
        <f>IFERROR(INDEX(PP_Grid[#Data],$DD825,71),0)</f>
        <v/>
      </c>
      <c r="BV825">
        <f>IFERROR(INDEX(PP_Grid[#Data],$DD825,72),0)</f>
        <v/>
      </c>
      <c r="BW825">
        <f>IFERROR(INDEX(PP_Grid[#Data],$DD825,73),0)</f>
        <v/>
      </c>
      <c r="BX825">
        <f>IFERROR(INDEX(PP_Grid[#Data],$DD825,74),0)</f>
        <v/>
      </c>
      <c r="BY825">
        <f>IFERROR(INDEX(PP_Grid[#Data],$DD825,75),0)</f>
        <v/>
      </c>
      <c r="BZ825">
        <f>IFERROR(INDEX(PP_Grid[#Data],$DD825,76),0)</f>
        <v/>
      </c>
      <c r="CA825">
        <f>IFERROR(INDEX(PP_Grid[#Data],$DD825,77),0)</f>
        <v/>
      </c>
      <c r="CB825">
        <f>IFERROR(INDEX(PP_Grid[#Data],$DD825,78),0)</f>
        <v/>
      </c>
      <c r="CC825">
        <f>IFERROR(INDEX(PP_Grid[#Data],$DD825,79),0)</f>
        <v/>
      </c>
      <c r="CD825">
        <f>IFERROR(INDEX(PP_Grid[#Data],$DD825,80),0)</f>
        <v/>
      </c>
      <c r="CE825">
        <f>IFERROR(INDEX(PP_Grid[#Data],$DD825,81),0)</f>
        <v/>
      </c>
      <c r="CF825">
        <f>IFERROR(INDEX(PP_Grid[#Data],$DD825,82),0)</f>
        <v/>
      </c>
      <c r="CG825">
        <f>IFERROR(INDEX(PP_Grid[#Data],$DD825,83),0)</f>
        <v/>
      </c>
      <c r="CH825">
        <f>IFERROR(INDEX(PP_Grid[#Data],$DD825,84),0)</f>
        <v/>
      </c>
      <c r="CI825">
        <f>IFERROR(INDEX(PP_Grid[#Data],$DD825,85),0)</f>
        <v/>
      </c>
      <c r="CJ825">
        <f>IFERROR(INDEX(PP_Grid[#Data],$DD825,86),0)</f>
        <v/>
      </c>
      <c r="CK825">
        <f>IFERROR(INDEX(PP_Grid[#Data],$DD825,87),0)</f>
        <v/>
      </c>
      <c r="CL825">
        <f>IFERROR(INDEX(PP_Grid[#Data],$DD825,88),0)</f>
        <v/>
      </c>
      <c r="CM825">
        <f>IFERROR(INDEX(PP_Grid[#Data],$DD825,89),0)</f>
        <v/>
      </c>
      <c r="CN825">
        <f>IFERROR(INDEX(PP_Grid[#Data],$DD825,90),0)</f>
        <v/>
      </c>
      <c r="CO825">
        <f>IFERROR(INDEX(PP_Grid[#Data],$DD825,91),0)</f>
        <v/>
      </c>
      <c r="CP825">
        <f>IFERROR(INDEX(PP_Grid[#Data],$DD825,92),0)</f>
        <v/>
      </c>
      <c r="CQ825">
        <f>IFERROR(INDEX(PP_Grid[#Data],$DD825,93),0)</f>
        <v/>
      </c>
      <c r="CR825">
        <f>IFERROR(INDEX(PP_Grid[#Data],$DD825,94),0)</f>
        <v/>
      </c>
      <c r="CS825">
        <f>IFERROR(INDEX(PP_Grid[#Data],$DD825,95),0)</f>
        <v/>
      </c>
      <c r="CT825">
        <f>IFERROR(INDEX(PP_Grid[#Data],$DD825,96),0)</f>
        <v/>
      </c>
      <c r="CU825">
        <f>IFERROR(INDEX(PP_Grid[#Data],$DD825,97),0)</f>
        <v/>
      </c>
      <c r="CV825">
        <f>IFERROR(INDEX(PP_Grid[#Data],$DD825,98),0)</f>
        <v/>
      </c>
      <c r="CW825">
        <f>IFERROR(INDEX(PP_Grid[#Data],$DD825,99),0)</f>
        <v/>
      </c>
      <c r="CX825">
        <f>IFERROR(INDEX(PP_Grid[#Data],$DD825,100),0)</f>
        <v/>
      </c>
      <c r="CY825">
        <f>IFERROR(INDEX(PP_Grid[#Data],$DD825,101),0)</f>
        <v/>
      </c>
      <c r="CZ825">
        <f>IFERROR(INDEX(PP_Grid[#Data],$DD825,102),0)</f>
        <v/>
      </c>
      <c r="DA825">
        <f>IFERROR(INDEX(PP_Grid[#Data],$DD825,103),0)</f>
        <v/>
      </c>
      <c r="DB825">
        <f>IFERROR(INDEX(PP_Grid[#Data],$DD825,104),0)</f>
        <v/>
      </c>
      <c r="DC825">
        <f>IFERROR(INDEX(PP_Grid[#Data],$DD825,105),0)</f>
        <v/>
      </c>
      <c r="DD825" s="7">
        <f>IFERROR(MATCH($B825,PP_Grid[Intermediate],0),99999)</f>
        <v/>
      </c>
    </row>
    <row r="826">
      <c r="B826" t="inlineStr">
        <is>
          <t>使用量(kg)</t>
        </is>
      </c>
      <c r="C826">
        <f>SUMIFS(M_BOM[RM_Qty_Per_Batch],M_BOM[Intermediate],$B825,M_BOM[Part Name],$A820)</f>
        <v/>
      </c>
      <c r="D826">
        <f>$C826*D825</f>
        <v/>
      </c>
      <c r="E826">
        <f>$C826*E825</f>
        <v/>
      </c>
      <c r="F826">
        <f>$C826*F825</f>
        <v/>
      </c>
      <c r="G826">
        <f>$C826*G825</f>
        <v/>
      </c>
      <c r="H826">
        <f>$C826*H825</f>
        <v/>
      </c>
      <c r="I826">
        <f>$C826*I825</f>
        <v/>
      </c>
      <c r="J826">
        <f>$C826*J825</f>
        <v/>
      </c>
      <c r="K826">
        <f>$C826*K825</f>
        <v/>
      </c>
      <c r="L826">
        <f>$C826*L825</f>
        <v/>
      </c>
      <c r="M826">
        <f>$C826*M825</f>
        <v/>
      </c>
      <c r="N826">
        <f>$C826*N825</f>
        <v/>
      </c>
      <c r="O826">
        <f>$C826*O825</f>
        <v/>
      </c>
      <c r="P826">
        <f>$C826*P825</f>
        <v/>
      </c>
      <c r="Q826">
        <f>$C826*Q825</f>
        <v/>
      </c>
      <c r="R826">
        <f>$C826*R825</f>
        <v/>
      </c>
      <c r="S826">
        <f>$C826*S825</f>
        <v/>
      </c>
      <c r="T826">
        <f>$C826*T825</f>
        <v/>
      </c>
      <c r="U826">
        <f>$C826*U825</f>
        <v/>
      </c>
      <c r="V826">
        <f>$C826*V825</f>
        <v/>
      </c>
      <c r="W826">
        <f>$C826*W825</f>
        <v/>
      </c>
      <c r="X826">
        <f>$C826*X825</f>
        <v/>
      </c>
      <c r="Y826">
        <f>$C826*Y825</f>
        <v/>
      </c>
      <c r="Z826">
        <f>$C826*Z825</f>
        <v/>
      </c>
      <c r="AA826">
        <f>$C826*AA825</f>
        <v/>
      </c>
      <c r="AB826">
        <f>$C826*AB825</f>
        <v/>
      </c>
      <c r="AC826">
        <f>$C826*AC825</f>
        <v/>
      </c>
      <c r="AD826">
        <f>$C826*AD825</f>
        <v/>
      </c>
      <c r="AE826">
        <f>$C826*AE825</f>
        <v/>
      </c>
      <c r="AF826">
        <f>$C826*AF825</f>
        <v/>
      </c>
      <c r="AG826">
        <f>$C826*AG825</f>
        <v/>
      </c>
      <c r="AH826">
        <f>$C826*AH825</f>
        <v/>
      </c>
      <c r="AI826">
        <f>$C826*AI825</f>
        <v/>
      </c>
      <c r="AJ826">
        <f>$C826*AJ825</f>
        <v/>
      </c>
      <c r="AK826">
        <f>$C826*AK825</f>
        <v/>
      </c>
      <c r="AL826">
        <f>$C826*AL825</f>
        <v/>
      </c>
      <c r="AM826">
        <f>$C826*AM825</f>
        <v/>
      </c>
      <c r="AN826">
        <f>$C826*AN825</f>
        <v/>
      </c>
      <c r="AO826">
        <f>$C826*AO825</f>
        <v/>
      </c>
      <c r="AP826">
        <f>$C826*AP825</f>
        <v/>
      </c>
      <c r="AQ826">
        <f>$C826*AQ825</f>
        <v/>
      </c>
      <c r="AR826">
        <f>$C826*AR825</f>
        <v/>
      </c>
      <c r="AS826">
        <f>$C826*AS825</f>
        <v/>
      </c>
      <c r="AT826">
        <f>$C826*AT825</f>
        <v/>
      </c>
      <c r="AU826">
        <f>$C826*AU825</f>
        <v/>
      </c>
      <c r="AV826">
        <f>$C826*AV825</f>
        <v/>
      </c>
      <c r="AW826">
        <f>$C826*AW825</f>
        <v/>
      </c>
      <c r="AX826">
        <f>$C826*AX825</f>
        <v/>
      </c>
      <c r="AY826">
        <f>$C826*AY825</f>
        <v/>
      </c>
      <c r="AZ826">
        <f>$C826*AZ825</f>
        <v/>
      </c>
      <c r="BA826">
        <f>$C826*BA825</f>
        <v/>
      </c>
      <c r="BB826">
        <f>$C826*BB825</f>
        <v/>
      </c>
      <c r="BC826">
        <f>$C826*BC825</f>
        <v/>
      </c>
      <c r="BD826">
        <f>$C826*BD825</f>
        <v/>
      </c>
      <c r="BE826">
        <f>$C826*BE825</f>
        <v/>
      </c>
      <c r="BF826">
        <f>$C826*BF825</f>
        <v/>
      </c>
      <c r="BG826">
        <f>$C826*BG825</f>
        <v/>
      </c>
      <c r="BH826">
        <f>$C826*BH825</f>
        <v/>
      </c>
      <c r="BI826">
        <f>$C826*BI825</f>
        <v/>
      </c>
      <c r="BJ826">
        <f>$C826*BJ825</f>
        <v/>
      </c>
      <c r="BK826">
        <f>$C826*BK825</f>
        <v/>
      </c>
      <c r="BL826">
        <f>$C826*BL825</f>
        <v/>
      </c>
      <c r="BM826">
        <f>$C826*BM825</f>
        <v/>
      </c>
      <c r="BN826">
        <f>$C826*BN825</f>
        <v/>
      </c>
      <c r="BO826">
        <f>$C826*BO825</f>
        <v/>
      </c>
      <c r="BP826">
        <f>$C826*BP825</f>
        <v/>
      </c>
      <c r="BQ826">
        <f>$C826*BQ825</f>
        <v/>
      </c>
      <c r="BR826">
        <f>$C826*BR825</f>
        <v/>
      </c>
      <c r="BS826">
        <f>$C826*BS825</f>
        <v/>
      </c>
      <c r="BT826">
        <f>$C826*BT825</f>
        <v/>
      </c>
      <c r="BU826">
        <f>$C826*BU825</f>
        <v/>
      </c>
      <c r="BV826">
        <f>$C826*BV825</f>
        <v/>
      </c>
      <c r="BW826">
        <f>$C826*BW825</f>
        <v/>
      </c>
      <c r="BX826">
        <f>$C826*BX825</f>
        <v/>
      </c>
      <c r="BY826">
        <f>$C826*BY825</f>
        <v/>
      </c>
      <c r="BZ826">
        <f>$C826*BZ825</f>
        <v/>
      </c>
      <c r="CA826">
        <f>$C826*CA825</f>
        <v/>
      </c>
      <c r="CB826">
        <f>$C826*CB825</f>
        <v/>
      </c>
      <c r="CC826">
        <f>$C826*CC825</f>
        <v/>
      </c>
      <c r="CD826">
        <f>$C826*CD825</f>
        <v/>
      </c>
      <c r="CE826">
        <f>$C826*CE825</f>
        <v/>
      </c>
      <c r="CF826">
        <f>$C826*CF825</f>
        <v/>
      </c>
      <c r="CG826">
        <f>$C826*CG825</f>
        <v/>
      </c>
      <c r="CH826">
        <f>$C826*CH825</f>
        <v/>
      </c>
      <c r="CI826">
        <f>$C826*CI825</f>
        <v/>
      </c>
      <c r="CJ826">
        <f>$C826*CJ825</f>
        <v/>
      </c>
      <c r="CK826">
        <f>$C826*CK825</f>
        <v/>
      </c>
      <c r="CL826">
        <f>$C826*CL825</f>
        <v/>
      </c>
      <c r="CM826">
        <f>$C826*CM825</f>
        <v/>
      </c>
      <c r="CN826">
        <f>$C826*CN825</f>
        <v/>
      </c>
      <c r="CO826">
        <f>$C826*CO825</f>
        <v/>
      </c>
      <c r="CP826">
        <f>$C826*CP825</f>
        <v/>
      </c>
      <c r="CQ826">
        <f>$C826*CQ825</f>
        <v/>
      </c>
      <c r="CR826">
        <f>$C826*CR825</f>
        <v/>
      </c>
      <c r="CS826">
        <f>$C826*CS825</f>
        <v/>
      </c>
      <c r="CT826">
        <f>$C826*CT825</f>
        <v/>
      </c>
      <c r="CU826">
        <f>$C826*CU825</f>
        <v/>
      </c>
      <c r="CV826">
        <f>$C826*CV825</f>
        <v/>
      </c>
      <c r="CW826">
        <f>$C826*CW825</f>
        <v/>
      </c>
      <c r="CX826">
        <f>$C826*CX825</f>
        <v/>
      </c>
      <c r="CY826">
        <f>$C826*CY825</f>
        <v/>
      </c>
      <c r="CZ826">
        <f>$C826*CZ825</f>
        <v/>
      </c>
      <c r="DA826">
        <f>$C826*DA825</f>
        <v/>
      </c>
      <c r="DB826">
        <f>$C826*DB825</f>
        <v/>
      </c>
      <c r="DC826">
        <f>$C826*DC825</f>
        <v/>
      </c>
    </row>
    <row r="827">
      <c r="B827" s="4" t="inlineStr">
        <is>
          <t>合計使用量(kg)/週</t>
        </is>
      </c>
      <c r="D827">
        <f>'Grid_Requirement'!B8</f>
        <v/>
      </c>
      <c r="E827">
        <f>'Grid_Requirement'!C8</f>
        <v/>
      </c>
      <c r="F827">
        <f>'Grid_Requirement'!D8</f>
        <v/>
      </c>
      <c r="G827">
        <f>'Grid_Requirement'!E8</f>
        <v/>
      </c>
      <c r="H827">
        <f>'Grid_Requirement'!F8</f>
        <v/>
      </c>
      <c r="I827">
        <f>'Grid_Requirement'!G8</f>
        <v/>
      </c>
      <c r="J827">
        <f>'Grid_Requirement'!H8</f>
        <v/>
      </c>
      <c r="K827">
        <f>'Grid_Requirement'!I8</f>
        <v/>
      </c>
      <c r="L827">
        <f>'Grid_Requirement'!J8</f>
        <v/>
      </c>
      <c r="M827">
        <f>'Grid_Requirement'!K8</f>
        <v/>
      </c>
      <c r="N827">
        <f>'Grid_Requirement'!L8</f>
        <v/>
      </c>
      <c r="O827">
        <f>'Grid_Requirement'!M8</f>
        <v/>
      </c>
      <c r="P827">
        <f>'Grid_Requirement'!N8</f>
        <v/>
      </c>
      <c r="Q827">
        <f>'Grid_Requirement'!O8</f>
        <v/>
      </c>
      <c r="R827">
        <f>'Grid_Requirement'!P8</f>
        <v/>
      </c>
      <c r="S827">
        <f>'Grid_Requirement'!Q8</f>
        <v/>
      </c>
      <c r="T827">
        <f>'Grid_Requirement'!R8</f>
        <v/>
      </c>
      <c r="U827">
        <f>'Grid_Requirement'!S8</f>
        <v/>
      </c>
      <c r="V827">
        <f>'Grid_Requirement'!T8</f>
        <v/>
      </c>
      <c r="W827">
        <f>'Grid_Requirement'!U8</f>
        <v/>
      </c>
      <c r="X827">
        <f>'Grid_Requirement'!V8</f>
        <v/>
      </c>
      <c r="Y827">
        <f>'Grid_Requirement'!W8</f>
        <v/>
      </c>
      <c r="Z827">
        <f>'Grid_Requirement'!X8</f>
        <v/>
      </c>
      <c r="AA827">
        <f>'Grid_Requirement'!Y8</f>
        <v/>
      </c>
      <c r="AB827">
        <f>'Grid_Requirement'!Z8</f>
        <v/>
      </c>
      <c r="AC827">
        <f>'Grid_Requirement'!AA8</f>
        <v/>
      </c>
      <c r="AD827">
        <f>'Grid_Requirement'!AB8</f>
        <v/>
      </c>
      <c r="AE827">
        <f>'Grid_Requirement'!AC8</f>
        <v/>
      </c>
      <c r="AF827">
        <f>'Grid_Requirement'!AD8</f>
        <v/>
      </c>
      <c r="AG827">
        <f>'Grid_Requirement'!AE8</f>
        <v/>
      </c>
      <c r="AH827">
        <f>'Grid_Requirement'!AF8</f>
        <v/>
      </c>
      <c r="AI827">
        <f>'Grid_Requirement'!AG8</f>
        <v/>
      </c>
      <c r="AJ827">
        <f>'Grid_Requirement'!AH8</f>
        <v/>
      </c>
      <c r="AK827">
        <f>'Grid_Requirement'!AI8</f>
        <v/>
      </c>
      <c r="AL827">
        <f>'Grid_Requirement'!AJ8</f>
        <v/>
      </c>
      <c r="AM827">
        <f>'Grid_Requirement'!AK8</f>
        <v/>
      </c>
      <c r="AN827">
        <f>'Grid_Requirement'!AL8</f>
        <v/>
      </c>
      <c r="AO827">
        <f>'Grid_Requirement'!AM8</f>
        <v/>
      </c>
      <c r="AP827">
        <f>'Grid_Requirement'!AN8</f>
        <v/>
      </c>
      <c r="AQ827">
        <f>'Grid_Requirement'!AO8</f>
        <v/>
      </c>
      <c r="AR827">
        <f>'Grid_Requirement'!AP8</f>
        <v/>
      </c>
      <c r="AS827">
        <f>'Grid_Requirement'!AQ8</f>
        <v/>
      </c>
      <c r="AT827">
        <f>'Grid_Requirement'!AR8</f>
        <v/>
      </c>
      <c r="AU827">
        <f>'Grid_Requirement'!AS8</f>
        <v/>
      </c>
      <c r="AV827">
        <f>'Grid_Requirement'!AT8</f>
        <v/>
      </c>
      <c r="AW827">
        <f>'Grid_Requirement'!AU8</f>
        <v/>
      </c>
      <c r="AX827">
        <f>'Grid_Requirement'!AV8</f>
        <v/>
      </c>
      <c r="AY827">
        <f>'Grid_Requirement'!AW8</f>
        <v/>
      </c>
      <c r="AZ827">
        <f>'Grid_Requirement'!AX8</f>
        <v/>
      </c>
      <c r="BA827">
        <f>'Grid_Requirement'!AY8</f>
        <v/>
      </c>
      <c r="BB827">
        <f>'Grid_Requirement'!AZ8</f>
        <v/>
      </c>
      <c r="BC827">
        <f>'Grid_Requirement'!BA8</f>
        <v/>
      </c>
      <c r="BD827">
        <f>'Grid_Requirement'!BB8</f>
        <v/>
      </c>
      <c r="BE827">
        <f>'Grid_Requirement'!BC8</f>
        <v/>
      </c>
      <c r="BF827">
        <f>'Grid_Requirement'!BD8</f>
        <v/>
      </c>
      <c r="BG827">
        <f>'Grid_Requirement'!BE8</f>
        <v/>
      </c>
      <c r="BH827">
        <f>'Grid_Requirement'!BF8</f>
        <v/>
      </c>
      <c r="BI827">
        <f>'Grid_Requirement'!BG8</f>
        <v/>
      </c>
      <c r="BJ827">
        <f>'Grid_Requirement'!BH8</f>
        <v/>
      </c>
      <c r="BK827">
        <f>'Grid_Requirement'!BI8</f>
        <v/>
      </c>
      <c r="BL827">
        <f>'Grid_Requirement'!BJ8</f>
        <v/>
      </c>
      <c r="BM827">
        <f>'Grid_Requirement'!BK8</f>
        <v/>
      </c>
      <c r="BN827">
        <f>'Grid_Requirement'!BL8</f>
        <v/>
      </c>
      <c r="BO827">
        <f>'Grid_Requirement'!BM8</f>
        <v/>
      </c>
      <c r="BP827">
        <f>'Grid_Requirement'!BN8</f>
        <v/>
      </c>
      <c r="BQ827">
        <f>'Grid_Requirement'!BO8</f>
        <v/>
      </c>
      <c r="BR827">
        <f>'Grid_Requirement'!BP8</f>
        <v/>
      </c>
      <c r="BS827">
        <f>'Grid_Requirement'!BQ8</f>
        <v/>
      </c>
      <c r="BT827">
        <f>'Grid_Requirement'!BR8</f>
        <v/>
      </c>
      <c r="BU827">
        <f>'Grid_Requirement'!BS8</f>
        <v/>
      </c>
      <c r="BV827">
        <f>'Grid_Requirement'!BT8</f>
        <v/>
      </c>
      <c r="BW827">
        <f>'Grid_Requirement'!BU8</f>
        <v/>
      </c>
      <c r="BX827">
        <f>'Grid_Requirement'!BV8</f>
        <v/>
      </c>
      <c r="BY827">
        <f>'Grid_Requirement'!BW8</f>
        <v/>
      </c>
      <c r="BZ827">
        <f>'Grid_Requirement'!BX8</f>
        <v/>
      </c>
      <c r="CA827">
        <f>'Grid_Requirement'!BY8</f>
        <v/>
      </c>
      <c r="CB827">
        <f>'Grid_Requirement'!BZ8</f>
        <v/>
      </c>
      <c r="CC827">
        <f>'Grid_Requirement'!CA8</f>
        <v/>
      </c>
      <c r="CD827">
        <f>'Grid_Requirement'!CB8</f>
        <v/>
      </c>
      <c r="CE827">
        <f>'Grid_Requirement'!CC8</f>
        <v/>
      </c>
      <c r="CF827">
        <f>'Grid_Requirement'!CD8</f>
        <v/>
      </c>
      <c r="CG827">
        <f>'Grid_Requirement'!CE8</f>
        <v/>
      </c>
      <c r="CH827">
        <f>'Grid_Requirement'!CF8</f>
        <v/>
      </c>
      <c r="CI827">
        <f>'Grid_Requirement'!CG8</f>
        <v/>
      </c>
      <c r="CJ827">
        <f>'Grid_Requirement'!CH8</f>
        <v/>
      </c>
      <c r="CK827">
        <f>'Grid_Requirement'!CI8</f>
        <v/>
      </c>
      <c r="CL827">
        <f>'Grid_Requirement'!CJ8</f>
        <v/>
      </c>
      <c r="CM827">
        <f>'Grid_Requirement'!CK8</f>
        <v/>
      </c>
      <c r="CN827">
        <f>'Grid_Requirement'!CL8</f>
        <v/>
      </c>
      <c r="CO827">
        <f>'Grid_Requirement'!CM8</f>
        <v/>
      </c>
      <c r="CP827">
        <f>'Grid_Requirement'!CN8</f>
        <v/>
      </c>
      <c r="CQ827">
        <f>'Grid_Requirement'!CO8</f>
        <v/>
      </c>
      <c r="CR827">
        <f>'Grid_Requirement'!CP8</f>
        <v/>
      </c>
      <c r="CS827">
        <f>'Grid_Requirement'!CQ8</f>
        <v/>
      </c>
      <c r="CT827">
        <f>'Grid_Requirement'!CR8</f>
        <v/>
      </c>
      <c r="CU827">
        <f>'Grid_Requirement'!CS8</f>
        <v/>
      </c>
      <c r="CV827">
        <f>'Grid_Requirement'!CT8</f>
        <v/>
      </c>
      <c r="CW827">
        <f>'Grid_Requirement'!CU8</f>
        <v/>
      </c>
      <c r="CX827">
        <f>'Grid_Requirement'!CV8</f>
        <v/>
      </c>
      <c r="CY827">
        <f>'Grid_Requirement'!CW8</f>
        <v/>
      </c>
      <c r="CZ827">
        <f>'Grid_Requirement'!CX8</f>
        <v/>
      </c>
      <c r="DA827">
        <f>'Grid_Requirement'!CY8</f>
        <v/>
      </c>
      <c r="DB827">
        <f>'Grid_Requirement'!CZ8</f>
        <v/>
      </c>
      <c r="DC827">
        <f>'Grid_Requirement'!DA8</f>
        <v/>
      </c>
    </row>
    <row r="828">
      <c r="B828" t="inlineStr">
        <is>
          <t>TTAF在庫(実績,kg)</t>
        </is>
      </c>
      <c r="D828">
        <f>'T_TTAFStock'!B12</f>
        <v/>
      </c>
      <c r="E828">
        <f>'T_TTAFStock'!C12</f>
        <v/>
      </c>
      <c r="F828">
        <f>'T_TTAFStock'!D12</f>
        <v/>
      </c>
      <c r="G828">
        <f>'T_TTAFStock'!E12</f>
        <v/>
      </c>
      <c r="H828">
        <f>'T_TTAFStock'!F12</f>
        <v/>
      </c>
      <c r="I828">
        <f>'T_TTAFStock'!G12</f>
        <v/>
      </c>
      <c r="J828">
        <f>'T_TTAFStock'!H12</f>
        <v/>
      </c>
      <c r="K828">
        <f>'T_TTAFStock'!I12</f>
        <v/>
      </c>
      <c r="L828">
        <f>'T_TTAFStock'!J12</f>
        <v/>
      </c>
      <c r="M828">
        <f>'T_TTAFStock'!K12</f>
        <v/>
      </c>
      <c r="N828">
        <f>'T_TTAFStock'!L12</f>
        <v/>
      </c>
      <c r="O828">
        <f>'T_TTAFStock'!M12</f>
        <v/>
      </c>
      <c r="P828">
        <f>'T_TTAFStock'!N12</f>
        <v/>
      </c>
      <c r="Q828">
        <f>'T_TTAFStock'!O12</f>
        <v/>
      </c>
      <c r="R828">
        <f>'T_TTAFStock'!P12</f>
        <v/>
      </c>
      <c r="S828">
        <f>'T_TTAFStock'!Q12</f>
        <v/>
      </c>
      <c r="T828">
        <f>'T_TTAFStock'!R12</f>
        <v/>
      </c>
      <c r="U828">
        <f>'T_TTAFStock'!S12</f>
        <v/>
      </c>
      <c r="V828">
        <f>'T_TTAFStock'!T12</f>
        <v/>
      </c>
      <c r="W828">
        <f>'T_TTAFStock'!U12</f>
        <v/>
      </c>
      <c r="X828">
        <f>'T_TTAFStock'!V12</f>
        <v/>
      </c>
      <c r="Y828">
        <f>'T_TTAFStock'!W12</f>
        <v/>
      </c>
      <c r="Z828">
        <f>'T_TTAFStock'!X12</f>
        <v/>
      </c>
      <c r="AA828">
        <f>'T_TTAFStock'!Y12</f>
        <v/>
      </c>
      <c r="AB828">
        <f>'T_TTAFStock'!Z12</f>
        <v/>
      </c>
      <c r="AC828">
        <f>'T_TTAFStock'!AA12</f>
        <v/>
      </c>
      <c r="AD828">
        <f>'T_TTAFStock'!AB12</f>
        <v/>
      </c>
      <c r="AE828">
        <f>'T_TTAFStock'!AC12</f>
        <v/>
      </c>
      <c r="AF828">
        <f>'T_TTAFStock'!AD12</f>
        <v/>
      </c>
      <c r="AG828">
        <f>'T_TTAFStock'!AE12</f>
        <v/>
      </c>
      <c r="AH828">
        <f>'T_TTAFStock'!AF12</f>
        <v/>
      </c>
      <c r="AI828">
        <f>'T_TTAFStock'!AG12</f>
        <v/>
      </c>
      <c r="AJ828">
        <f>'T_TTAFStock'!AH12</f>
        <v/>
      </c>
      <c r="AK828">
        <f>'T_TTAFStock'!AI12</f>
        <v/>
      </c>
      <c r="AL828">
        <f>'T_TTAFStock'!AJ12</f>
        <v/>
      </c>
      <c r="AM828">
        <f>'T_TTAFStock'!AK12</f>
        <v/>
      </c>
      <c r="AN828">
        <f>'T_TTAFStock'!AL12</f>
        <v/>
      </c>
      <c r="AO828">
        <f>'T_TTAFStock'!AM12</f>
        <v/>
      </c>
      <c r="AP828">
        <f>'T_TTAFStock'!AN12</f>
        <v/>
      </c>
      <c r="AQ828">
        <f>'T_TTAFStock'!AO12</f>
        <v/>
      </c>
      <c r="AR828">
        <f>'T_TTAFStock'!AP12</f>
        <v/>
      </c>
      <c r="AS828">
        <f>'T_TTAFStock'!AQ12</f>
        <v/>
      </c>
      <c r="AT828">
        <f>'T_TTAFStock'!AR12</f>
        <v/>
      </c>
      <c r="AU828">
        <f>'T_TTAFStock'!AS12</f>
        <v/>
      </c>
      <c r="AV828">
        <f>'T_TTAFStock'!AT12</f>
        <v/>
      </c>
      <c r="AW828">
        <f>'T_TTAFStock'!AU12</f>
        <v/>
      </c>
      <c r="AX828">
        <f>'T_TTAFStock'!AV12</f>
        <v/>
      </c>
      <c r="AY828">
        <f>'T_TTAFStock'!AW12</f>
        <v/>
      </c>
      <c r="AZ828">
        <f>'T_TTAFStock'!AX12</f>
        <v/>
      </c>
      <c r="BA828">
        <f>'T_TTAFStock'!AY12</f>
        <v/>
      </c>
      <c r="BB828">
        <f>'T_TTAFStock'!AZ12</f>
        <v/>
      </c>
      <c r="BC828">
        <f>'T_TTAFStock'!BA12</f>
        <v/>
      </c>
      <c r="BD828">
        <f>'T_TTAFStock'!BB12</f>
        <v/>
      </c>
      <c r="BE828">
        <f>'T_TTAFStock'!BC12</f>
        <v/>
      </c>
      <c r="BF828">
        <f>'T_TTAFStock'!BD12</f>
        <v/>
      </c>
      <c r="BG828">
        <f>'T_TTAFStock'!BE12</f>
        <v/>
      </c>
      <c r="BH828">
        <f>'T_TTAFStock'!BF12</f>
        <v/>
      </c>
      <c r="BI828">
        <f>'T_TTAFStock'!BG12</f>
        <v/>
      </c>
      <c r="BJ828">
        <f>'T_TTAFStock'!BH12</f>
        <v/>
      </c>
      <c r="BK828">
        <f>'T_TTAFStock'!BI12</f>
        <v/>
      </c>
      <c r="BL828">
        <f>'T_TTAFStock'!BJ12</f>
        <v/>
      </c>
      <c r="BM828">
        <f>'T_TTAFStock'!BK12</f>
        <v/>
      </c>
      <c r="BN828">
        <f>'T_TTAFStock'!BL12</f>
        <v/>
      </c>
      <c r="BO828">
        <f>'T_TTAFStock'!BM12</f>
        <v/>
      </c>
      <c r="BP828">
        <f>'T_TTAFStock'!BN12</f>
        <v/>
      </c>
      <c r="BQ828">
        <f>'T_TTAFStock'!BO12</f>
        <v/>
      </c>
      <c r="BR828">
        <f>'T_TTAFStock'!BP12</f>
        <v/>
      </c>
      <c r="BS828">
        <f>'T_TTAFStock'!BQ12</f>
        <v/>
      </c>
      <c r="BT828">
        <f>'T_TTAFStock'!BR12</f>
        <v/>
      </c>
      <c r="BU828">
        <f>'T_TTAFStock'!BS12</f>
        <v/>
      </c>
      <c r="BV828">
        <f>'T_TTAFStock'!BT12</f>
        <v/>
      </c>
      <c r="BW828">
        <f>'T_TTAFStock'!BU12</f>
        <v/>
      </c>
      <c r="BX828">
        <f>'T_TTAFStock'!BV12</f>
        <v/>
      </c>
      <c r="BY828">
        <f>'T_TTAFStock'!BW12</f>
        <v/>
      </c>
      <c r="BZ828">
        <f>'T_TTAFStock'!BX12</f>
        <v/>
      </c>
      <c r="CA828">
        <f>'T_TTAFStock'!BY12</f>
        <v/>
      </c>
      <c r="CB828">
        <f>'T_TTAFStock'!BZ12</f>
        <v/>
      </c>
      <c r="CC828">
        <f>'T_TTAFStock'!CA12</f>
        <v/>
      </c>
      <c r="CD828">
        <f>'T_TTAFStock'!CB12</f>
        <v/>
      </c>
      <c r="CE828">
        <f>'T_TTAFStock'!CC12</f>
        <v/>
      </c>
      <c r="CF828">
        <f>'T_TTAFStock'!CD12</f>
        <v/>
      </c>
      <c r="CG828">
        <f>'T_TTAFStock'!CE12</f>
        <v/>
      </c>
      <c r="CH828">
        <f>'T_TTAFStock'!CF12</f>
        <v/>
      </c>
      <c r="CI828">
        <f>'T_TTAFStock'!CG12</f>
        <v/>
      </c>
      <c r="CJ828">
        <f>'T_TTAFStock'!CH12</f>
        <v/>
      </c>
      <c r="CK828">
        <f>'T_TTAFStock'!CI12</f>
        <v/>
      </c>
      <c r="CL828">
        <f>'T_TTAFStock'!CJ12</f>
        <v/>
      </c>
      <c r="CM828">
        <f>'T_TTAFStock'!CK12</f>
        <v/>
      </c>
      <c r="CN828">
        <f>'T_TTAFStock'!CL12</f>
        <v/>
      </c>
      <c r="CO828">
        <f>'T_TTAFStock'!CM12</f>
        <v/>
      </c>
      <c r="CP828">
        <f>'T_TTAFStock'!CN12</f>
        <v/>
      </c>
      <c r="CQ828">
        <f>'T_TTAFStock'!CO12</f>
        <v/>
      </c>
      <c r="CR828">
        <f>'T_TTAFStock'!CP12</f>
        <v/>
      </c>
      <c r="CS828">
        <f>'T_TTAFStock'!CQ12</f>
        <v/>
      </c>
      <c r="CT828">
        <f>'T_TTAFStock'!CR12</f>
        <v/>
      </c>
      <c r="CU828">
        <f>'T_TTAFStock'!CS12</f>
        <v/>
      </c>
      <c r="CV828">
        <f>'T_TTAFStock'!CT12</f>
        <v/>
      </c>
      <c r="CW828">
        <f>'T_TTAFStock'!CU12</f>
        <v/>
      </c>
      <c r="CX828">
        <f>'T_TTAFStock'!CV12</f>
        <v/>
      </c>
      <c r="CY828">
        <f>'T_TTAFStock'!CW12</f>
        <v/>
      </c>
      <c r="CZ828">
        <f>'T_TTAFStock'!CX12</f>
        <v/>
      </c>
      <c r="DA828">
        <f>'T_TTAFStock'!CY12</f>
        <v/>
      </c>
      <c r="DB828">
        <f>'T_TTAFStock'!CZ12</f>
        <v/>
      </c>
      <c r="DC828">
        <f>'T_TTAFStock'!DA12</f>
        <v/>
      </c>
    </row>
    <row r="829">
      <c r="B829" t="inlineStr">
        <is>
          <t>自社在庫(実績,kg)</t>
        </is>
      </c>
      <c r="D829">
        <f>'T_SelfStock'!B12</f>
        <v/>
      </c>
      <c r="E829">
        <f>'T_SelfStock'!C12</f>
        <v/>
      </c>
      <c r="F829">
        <f>'T_SelfStock'!D12</f>
        <v/>
      </c>
      <c r="G829">
        <f>'T_SelfStock'!E12</f>
        <v/>
      </c>
      <c r="H829">
        <f>'T_SelfStock'!F12</f>
        <v/>
      </c>
      <c r="I829">
        <f>'T_SelfStock'!G12</f>
        <v/>
      </c>
      <c r="J829">
        <f>'T_SelfStock'!H12</f>
        <v/>
      </c>
      <c r="K829">
        <f>'T_SelfStock'!I12</f>
        <v/>
      </c>
      <c r="L829">
        <f>'T_SelfStock'!J12</f>
        <v/>
      </c>
      <c r="M829">
        <f>'T_SelfStock'!K12</f>
        <v/>
      </c>
      <c r="N829">
        <f>'T_SelfStock'!L12</f>
        <v/>
      </c>
      <c r="O829">
        <f>'T_SelfStock'!M12</f>
        <v/>
      </c>
      <c r="P829">
        <f>'T_SelfStock'!N12</f>
        <v/>
      </c>
      <c r="Q829">
        <f>'T_SelfStock'!O12</f>
        <v/>
      </c>
      <c r="R829">
        <f>'T_SelfStock'!P12</f>
        <v/>
      </c>
      <c r="S829">
        <f>'T_SelfStock'!Q12</f>
        <v/>
      </c>
      <c r="T829">
        <f>'T_SelfStock'!R12</f>
        <v/>
      </c>
      <c r="U829">
        <f>'T_SelfStock'!S12</f>
        <v/>
      </c>
      <c r="V829">
        <f>'T_SelfStock'!T12</f>
        <v/>
      </c>
      <c r="W829">
        <f>'T_SelfStock'!U12</f>
        <v/>
      </c>
      <c r="X829">
        <f>'T_SelfStock'!V12</f>
        <v/>
      </c>
      <c r="Y829">
        <f>'T_SelfStock'!W12</f>
        <v/>
      </c>
      <c r="Z829">
        <f>'T_SelfStock'!X12</f>
        <v/>
      </c>
      <c r="AA829">
        <f>'T_SelfStock'!Y12</f>
        <v/>
      </c>
      <c r="AB829">
        <f>'T_SelfStock'!Z12</f>
        <v/>
      </c>
      <c r="AC829">
        <f>'T_SelfStock'!AA12</f>
        <v/>
      </c>
      <c r="AD829">
        <f>'T_SelfStock'!AB12</f>
        <v/>
      </c>
      <c r="AE829">
        <f>'T_SelfStock'!AC12</f>
        <v/>
      </c>
      <c r="AF829">
        <f>'T_SelfStock'!AD12</f>
        <v/>
      </c>
      <c r="AG829">
        <f>'T_SelfStock'!AE12</f>
        <v/>
      </c>
      <c r="AH829">
        <f>'T_SelfStock'!AF12</f>
        <v/>
      </c>
      <c r="AI829">
        <f>'T_SelfStock'!AG12</f>
        <v/>
      </c>
      <c r="AJ829">
        <f>'T_SelfStock'!AH12</f>
        <v/>
      </c>
      <c r="AK829">
        <f>'T_SelfStock'!AI12</f>
        <v/>
      </c>
      <c r="AL829">
        <f>'T_SelfStock'!AJ12</f>
        <v/>
      </c>
      <c r="AM829">
        <f>'T_SelfStock'!AK12</f>
        <v/>
      </c>
      <c r="AN829">
        <f>'T_SelfStock'!AL12</f>
        <v/>
      </c>
      <c r="AO829">
        <f>'T_SelfStock'!AM12</f>
        <v/>
      </c>
      <c r="AP829">
        <f>'T_SelfStock'!AN12</f>
        <v/>
      </c>
      <c r="AQ829">
        <f>'T_SelfStock'!AO12</f>
        <v/>
      </c>
      <c r="AR829">
        <f>'T_SelfStock'!AP12</f>
        <v/>
      </c>
      <c r="AS829">
        <f>'T_SelfStock'!AQ12</f>
        <v/>
      </c>
      <c r="AT829">
        <f>'T_SelfStock'!AR12</f>
        <v/>
      </c>
      <c r="AU829">
        <f>'T_SelfStock'!AS12</f>
        <v/>
      </c>
      <c r="AV829">
        <f>'T_SelfStock'!AT12</f>
        <v/>
      </c>
      <c r="AW829">
        <f>'T_SelfStock'!AU12</f>
        <v/>
      </c>
      <c r="AX829">
        <f>'T_SelfStock'!AV12</f>
        <v/>
      </c>
      <c r="AY829">
        <f>'T_SelfStock'!AW12</f>
        <v/>
      </c>
      <c r="AZ829">
        <f>'T_SelfStock'!AX12</f>
        <v/>
      </c>
      <c r="BA829">
        <f>'T_SelfStock'!AY12</f>
        <v/>
      </c>
      <c r="BB829">
        <f>'T_SelfStock'!AZ12</f>
        <v/>
      </c>
      <c r="BC829">
        <f>'T_SelfStock'!BA12</f>
        <v/>
      </c>
      <c r="BD829">
        <f>'T_SelfStock'!BB12</f>
        <v/>
      </c>
      <c r="BE829">
        <f>'T_SelfStock'!BC12</f>
        <v/>
      </c>
      <c r="BF829">
        <f>'T_SelfStock'!BD12</f>
        <v/>
      </c>
      <c r="BG829">
        <f>'T_SelfStock'!BE12</f>
        <v/>
      </c>
      <c r="BH829">
        <f>'T_SelfStock'!BF12</f>
        <v/>
      </c>
      <c r="BI829">
        <f>'T_SelfStock'!BG12</f>
        <v/>
      </c>
      <c r="BJ829">
        <f>'T_SelfStock'!BH12</f>
        <v/>
      </c>
      <c r="BK829">
        <f>'T_SelfStock'!BI12</f>
        <v/>
      </c>
      <c r="BL829">
        <f>'T_SelfStock'!BJ12</f>
        <v/>
      </c>
      <c r="BM829">
        <f>'T_SelfStock'!BK12</f>
        <v/>
      </c>
      <c r="BN829">
        <f>'T_SelfStock'!BL12</f>
        <v/>
      </c>
      <c r="BO829">
        <f>'T_SelfStock'!BM12</f>
        <v/>
      </c>
      <c r="BP829">
        <f>'T_SelfStock'!BN12</f>
        <v/>
      </c>
      <c r="BQ829">
        <f>'T_SelfStock'!BO12</f>
        <v/>
      </c>
      <c r="BR829">
        <f>'T_SelfStock'!BP12</f>
        <v/>
      </c>
      <c r="BS829">
        <f>'T_SelfStock'!BQ12</f>
        <v/>
      </c>
      <c r="BT829">
        <f>'T_SelfStock'!BR12</f>
        <v/>
      </c>
      <c r="BU829">
        <f>'T_SelfStock'!BS12</f>
        <v/>
      </c>
      <c r="BV829">
        <f>'T_SelfStock'!BT12</f>
        <v/>
      </c>
      <c r="BW829">
        <f>'T_SelfStock'!BU12</f>
        <v/>
      </c>
      <c r="BX829">
        <f>'T_SelfStock'!BV12</f>
        <v/>
      </c>
      <c r="BY829">
        <f>'T_SelfStock'!BW12</f>
        <v/>
      </c>
      <c r="BZ829">
        <f>'T_SelfStock'!BX12</f>
        <v/>
      </c>
      <c r="CA829">
        <f>'T_SelfStock'!BY12</f>
        <v/>
      </c>
      <c r="CB829">
        <f>'T_SelfStock'!BZ12</f>
        <v/>
      </c>
      <c r="CC829">
        <f>'T_SelfStock'!CA12</f>
        <v/>
      </c>
      <c r="CD829">
        <f>'T_SelfStock'!CB12</f>
        <v/>
      </c>
      <c r="CE829">
        <f>'T_SelfStock'!CC12</f>
        <v/>
      </c>
      <c r="CF829">
        <f>'T_SelfStock'!CD12</f>
        <v/>
      </c>
      <c r="CG829">
        <f>'T_SelfStock'!CE12</f>
        <v/>
      </c>
      <c r="CH829">
        <f>'T_SelfStock'!CF12</f>
        <v/>
      </c>
      <c r="CI829">
        <f>'T_SelfStock'!CG12</f>
        <v/>
      </c>
      <c r="CJ829">
        <f>'T_SelfStock'!CH12</f>
        <v/>
      </c>
      <c r="CK829">
        <f>'T_SelfStock'!CI12</f>
        <v/>
      </c>
      <c r="CL829">
        <f>'T_SelfStock'!CJ12</f>
        <v/>
      </c>
      <c r="CM829">
        <f>'T_SelfStock'!CK12</f>
        <v/>
      </c>
      <c r="CN829">
        <f>'T_SelfStock'!CL12</f>
        <v/>
      </c>
      <c r="CO829">
        <f>'T_SelfStock'!CM12</f>
        <v/>
      </c>
      <c r="CP829">
        <f>'T_SelfStock'!CN12</f>
        <v/>
      </c>
      <c r="CQ829">
        <f>'T_SelfStock'!CO12</f>
        <v/>
      </c>
      <c r="CR829">
        <f>'T_SelfStock'!CP12</f>
        <v/>
      </c>
      <c r="CS829">
        <f>'T_SelfStock'!CQ12</f>
        <v/>
      </c>
      <c r="CT829">
        <f>'T_SelfStock'!CR12</f>
        <v/>
      </c>
      <c r="CU829">
        <f>'T_SelfStock'!CS12</f>
        <v/>
      </c>
      <c r="CV829">
        <f>'T_SelfStock'!CT12</f>
        <v/>
      </c>
      <c r="CW829">
        <f>'T_SelfStock'!CU12</f>
        <v/>
      </c>
      <c r="CX829">
        <f>'T_SelfStock'!CV12</f>
        <v/>
      </c>
      <c r="CY829">
        <f>'T_SelfStock'!CW12</f>
        <v/>
      </c>
      <c r="CZ829">
        <f>'T_SelfStock'!CX12</f>
        <v/>
      </c>
      <c r="DA829">
        <f>'T_SelfStock'!CY12</f>
        <v/>
      </c>
      <c r="DB829">
        <f>'T_SelfStock'!CZ12</f>
        <v/>
      </c>
      <c r="DC829">
        <f>'T_SelfStock'!DA12</f>
        <v/>
      </c>
    </row>
    <row r="830">
      <c r="B830" s="4" t="inlineStr">
        <is>
          <t>合計在庫(週末時点,kg)</t>
        </is>
      </c>
      <c r="D830">
        <f>'Grid_Stock'!B8</f>
        <v/>
      </c>
      <c r="E830">
        <f>'Grid_Stock'!C8</f>
        <v/>
      </c>
      <c r="F830">
        <f>'Grid_Stock'!D8</f>
        <v/>
      </c>
      <c r="G830">
        <f>'Grid_Stock'!E8</f>
        <v/>
      </c>
      <c r="H830">
        <f>'Grid_Stock'!F8</f>
        <v/>
      </c>
      <c r="I830">
        <f>'Grid_Stock'!G8</f>
        <v/>
      </c>
      <c r="J830">
        <f>'Grid_Stock'!H8</f>
        <v/>
      </c>
      <c r="K830">
        <f>'Grid_Stock'!I8</f>
        <v/>
      </c>
      <c r="L830">
        <f>'Grid_Stock'!J8</f>
        <v/>
      </c>
      <c r="M830">
        <f>'Grid_Stock'!K8</f>
        <v/>
      </c>
      <c r="N830">
        <f>'Grid_Stock'!L8</f>
        <v/>
      </c>
      <c r="O830">
        <f>'Grid_Stock'!M8</f>
        <v/>
      </c>
      <c r="P830">
        <f>'Grid_Stock'!N8</f>
        <v/>
      </c>
      <c r="Q830">
        <f>'Grid_Stock'!O8</f>
        <v/>
      </c>
      <c r="R830">
        <f>'Grid_Stock'!P8</f>
        <v/>
      </c>
      <c r="S830">
        <f>'Grid_Stock'!Q8</f>
        <v/>
      </c>
      <c r="T830">
        <f>'Grid_Stock'!R8</f>
        <v/>
      </c>
      <c r="U830">
        <f>'Grid_Stock'!S8</f>
        <v/>
      </c>
      <c r="V830">
        <f>'Grid_Stock'!T8</f>
        <v/>
      </c>
      <c r="W830">
        <f>'Grid_Stock'!U8</f>
        <v/>
      </c>
      <c r="X830">
        <f>'Grid_Stock'!V8</f>
        <v/>
      </c>
      <c r="Y830">
        <f>'Grid_Stock'!W8</f>
        <v/>
      </c>
      <c r="Z830">
        <f>'Grid_Stock'!X8</f>
        <v/>
      </c>
      <c r="AA830">
        <f>'Grid_Stock'!Y8</f>
        <v/>
      </c>
      <c r="AB830">
        <f>'Grid_Stock'!Z8</f>
        <v/>
      </c>
      <c r="AC830">
        <f>'Grid_Stock'!AA8</f>
        <v/>
      </c>
      <c r="AD830">
        <f>'Grid_Stock'!AB8</f>
        <v/>
      </c>
      <c r="AE830">
        <f>'Grid_Stock'!AC8</f>
        <v/>
      </c>
      <c r="AF830">
        <f>'Grid_Stock'!AD8</f>
        <v/>
      </c>
      <c r="AG830">
        <f>'Grid_Stock'!AE8</f>
        <v/>
      </c>
      <c r="AH830">
        <f>'Grid_Stock'!AF8</f>
        <v/>
      </c>
      <c r="AI830">
        <f>'Grid_Stock'!AG8</f>
        <v/>
      </c>
      <c r="AJ830">
        <f>'Grid_Stock'!AH8</f>
        <v/>
      </c>
      <c r="AK830">
        <f>'Grid_Stock'!AI8</f>
        <v/>
      </c>
      <c r="AL830">
        <f>'Grid_Stock'!AJ8</f>
        <v/>
      </c>
      <c r="AM830">
        <f>'Grid_Stock'!AK8</f>
        <v/>
      </c>
      <c r="AN830">
        <f>'Grid_Stock'!AL8</f>
        <v/>
      </c>
      <c r="AO830">
        <f>'Grid_Stock'!AM8</f>
        <v/>
      </c>
      <c r="AP830">
        <f>'Grid_Stock'!AN8</f>
        <v/>
      </c>
      <c r="AQ830">
        <f>'Grid_Stock'!AO8</f>
        <v/>
      </c>
      <c r="AR830">
        <f>'Grid_Stock'!AP8</f>
        <v/>
      </c>
      <c r="AS830">
        <f>'Grid_Stock'!AQ8</f>
        <v/>
      </c>
      <c r="AT830">
        <f>'Grid_Stock'!AR8</f>
        <v/>
      </c>
      <c r="AU830">
        <f>'Grid_Stock'!AS8</f>
        <v/>
      </c>
      <c r="AV830">
        <f>'Grid_Stock'!AT8</f>
        <v/>
      </c>
      <c r="AW830">
        <f>'Grid_Stock'!AU8</f>
        <v/>
      </c>
      <c r="AX830">
        <f>'Grid_Stock'!AV8</f>
        <v/>
      </c>
      <c r="AY830">
        <f>'Grid_Stock'!AW8</f>
        <v/>
      </c>
      <c r="AZ830">
        <f>'Grid_Stock'!AX8</f>
        <v/>
      </c>
      <c r="BA830">
        <f>'Grid_Stock'!AY8</f>
        <v/>
      </c>
      <c r="BB830">
        <f>'Grid_Stock'!AZ8</f>
        <v/>
      </c>
      <c r="BC830">
        <f>'Grid_Stock'!BA8</f>
        <v/>
      </c>
      <c r="BD830">
        <f>'Grid_Stock'!BB8</f>
        <v/>
      </c>
      <c r="BE830">
        <f>'Grid_Stock'!BC8</f>
        <v/>
      </c>
      <c r="BF830">
        <f>'Grid_Stock'!BD8</f>
        <v/>
      </c>
      <c r="BG830">
        <f>'Grid_Stock'!BE8</f>
        <v/>
      </c>
      <c r="BH830">
        <f>'Grid_Stock'!BF8</f>
        <v/>
      </c>
      <c r="BI830">
        <f>'Grid_Stock'!BG8</f>
        <v/>
      </c>
      <c r="BJ830">
        <f>'Grid_Stock'!BH8</f>
        <v/>
      </c>
      <c r="BK830">
        <f>'Grid_Stock'!BI8</f>
        <v/>
      </c>
      <c r="BL830">
        <f>'Grid_Stock'!BJ8</f>
        <v/>
      </c>
      <c r="BM830">
        <f>'Grid_Stock'!BK8</f>
        <v/>
      </c>
      <c r="BN830">
        <f>'Grid_Stock'!BL8</f>
        <v/>
      </c>
      <c r="BO830">
        <f>'Grid_Stock'!BM8</f>
        <v/>
      </c>
      <c r="BP830">
        <f>'Grid_Stock'!BN8</f>
        <v/>
      </c>
      <c r="BQ830">
        <f>'Grid_Stock'!BO8</f>
        <v/>
      </c>
      <c r="BR830">
        <f>'Grid_Stock'!BP8</f>
        <v/>
      </c>
      <c r="BS830">
        <f>'Grid_Stock'!BQ8</f>
        <v/>
      </c>
      <c r="BT830">
        <f>'Grid_Stock'!BR8</f>
        <v/>
      </c>
      <c r="BU830">
        <f>'Grid_Stock'!BS8</f>
        <v/>
      </c>
      <c r="BV830">
        <f>'Grid_Stock'!BT8</f>
        <v/>
      </c>
      <c r="BW830">
        <f>'Grid_Stock'!BU8</f>
        <v/>
      </c>
      <c r="BX830">
        <f>'Grid_Stock'!BV8</f>
        <v/>
      </c>
      <c r="BY830">
        <f>'Grid_Stock'!BW8</f>
        <v/>
      </c>
      <c r="BZ830">
        <f>'Grid_Stock'!BX8</f>
        <v/>
      </c>
      <c r="CA830">
        <f>'Grid_Stock'!BY8</f>
        <v/>
      </c>
      <c r="CB830">
        <f>'Grid_Stock'!BZ8</f>
        <v/>
      </c>
      <c r="CC830">
        <f>'Grid_Stock'!CA8</f>
        <v/>
      </c>
      <c r="CD830">
        <f>'Grid_Stock'!CB8</f>
        <v/>
      </c>
      <c r="CE830">
        <f>'Grid_Stock'!CC8</f>
        <v/>
      </c>
      <c r="CF830">
        <f>'Grid_Stock'!CD8</f>
        <v/>
      </c>
      <c r="CG830">
        <f>'Grid_Stock'!CE8</f>
        <v/>
      </c>
      <c r="CH830">
        <f>'Grid_Stock'!CF8</f>
        <v/>
      </c>
      <c r="CI830">
        <f>'Grid_Stock'!CG8</f>
        <v/>
      </c>
      <c r="CJ830">
        <f>'Grid_Stock'!CH8</f>
        <v/>
      </c>
      <c r="CK830">
        <f>'Grid_Stock'!CI8</f>
        <v/>
      </c>
      <c r="CL830">
        <f>'Grid_Stock'!CJ8</f>
        <v/>
      </c>
      <c r="CM830">
        <f>'Grid_Stock'!CK8</f>
        <v/>
      </c>
      <c r="CN830">
        <f>'Grid_Stock'!CL8</f>
        <v/>
      </c>
      <c r="CO830">
        <f>'Grid_Stock'!CM8</f>
        <v/>
      </c>
      <c r="CP830">
        <f>'Grid_Stock'!CN8</f>
        <v/>
      </c>
      <c r="CQ830">
        <f>'Grid_Stock'!CO8</f>
        <v/>
      </c>
      <c r="CR830">
        <f>'Grid_Stock'!CP8</f>
        <v/>
      </c>
      <c r="CS830">
        <f>'Grid_Stock'!CQ8</f>
        <v/>
      </c>
      <c r="CT830">
        <f>'Grid_Stock'!CR8</f>
        <v/>
      </c>
      <c r="CU830">
        <f>'Grid_Stock'!CS8</f>
        <v/>
      </c>
      <c r="CV830">
        <f>'Grid_Stock'!CT8</f>
        <v/>
      </c>
      <c r="CW830">
        <f>'Grid_Stock'!CU8</f>
        <v/>
      </c>
      <c r="CX830">
        <f>'Grid_Stock'!CV8</f>
        <v/>
      </c>
      <c r="CY830">
        <f>'Grid_Stock'!CW8</f>
        <v/>
      </c>
      <c r="CZ830">
        <f>'Grid_Stock'!CX8</f>
        <v/>
      </c>
      <c r="DA830">
        <f>'Grid_Stock'!CY8</f>
        <v/>
      </c>
      <c r="DB830">
        <f>'Grid_Stock'!CZ8</f>
        <v/>
      </c>
      <c r="DC830">
        <f>'Grid_Stock'!DA8</f>
        <v/>
      </c>
    </row>
    <row r="831">
      <c r="B831" s="16" t="inlineStr">
        <is>
          <t>（発注の目安はDashboardの基準在庫[下限/上限]と色分けを参照）</t>
        </is>
      </c>
    </row>
    <row r="833">
      <c r="A833" s="14" t="inlineStr">
        <is>
          <t>CHEM-1540</t>
        </is>
      </c>
      <c r="B833" s="14" t="inlineStr">
        <is>
          <t>NAT35</t>
        </is>
      </c>
      <c r="C833" s="15" t="n"/>
      <c r="D833" s="14" t="n"/>
      <c r="E833" s="14" t="n"/>
      <c r="F833" s="14" t="n"/>
      <c r="G833" s="14" t="n"/>
      <c r="H833" s="14" t="n"/>
      <c r="I833" s="14" t="n"/>
      <c r="J833" s="14" t="n"/>
      <c r="K833" s="14" t="n"/>
      <c r="L833" s="14" t="n"/>
      <c r="M833" s="14" t="n"/>
      <c r="N833" s="14" t="n"/>
      <c r="O833" s="14" t="n"/>
      <c r="P833" s="14" t="n"/>
      <c r="Q833" s="14" t="n"/>
      <c r="R833" s="14" t="n"/>
      <c r="S833" s="14" t="n"/>
      <c r="T833" s="14" t="n"/>
      <c r="U833" s="14" t="n"/>
      <c r="V833" s="14" t="n"/>
      <c r="W833" s="14" t="n"/>
      <c r="X833" s="14" t="n"/>
      <c r="Y833" s="14" t="n"/>
      <c r="Z833" s="14" t="n"/>
      <c r="AA833" s="14" t="n"/>
      <c r="AB833" s="14" t="n"/>
      <c r="AC833" s="14" t="n"/>
      <c r="AD833" s="14" t="n"/>
      <c r="AE833" s="14" t="n"/>
      <c r="AF833" s="14" t="n"/>
      <c r="AG833" s="14" t="n"/>
      <c r="AH833" s="14" t="n"/>
      <c r="AI833" s="14" t="n"/>
      <c r="AJ833" s="14" t="n"/>
      <c r="AK833" s="14" t="n"/>
      <c r="AL833" s="14" t="n"/>
      <c r="AM833" s="14" t="n"/>
      <c r="AN833" s="14" t="n"/>
      <c r="AO833" s="14" t="n"/>
      <c r="AP833" s="14" t="n"/>
      <c r="AQ833" s="14" t="n"/>
      <c r="AR833" s="14" t="n"/>
      <c r="AS833" s="14" t="n"/>
      <c r="AT833" s="14" t="n"/>
      <c r="AU833" s="14" t="n"/>
      <c r="AV833" s="14" t="n"/>
      <c r="AW833" s="14" t="n"/>
      <c r="AX833" s="14" t="n"/>
      <c r="AY833" s="14" t="n"/>
      <c r="AZ833" s="14" t="n"/>
      <c r="BA833" s="14" t="n"/>
      <c r="BB833" s="14" t="n"/>
      <c r="BC833" s="14" t="n"/>
      <c r="BD833" s="14" t="n"/>
      <c r="BE833" s="14" t="n"/>
      <c r="BF833" s="14" t="n"/>
      <c r="BG833" s="14" t="n"/>
      <c r="BH833" s="14" t="n"/>
      <c r="BI833" s="14" t="n"/>
      <c r="BJ833" s="14" t="n"/>
      <c r="BK833" s="14" t="n"/>
      <c r="BL833" s="14" t="n"/>
      <c r="BM833" s="14" t="n"/>
      <c r="BN833" s="14" t="n"/>
      <c r="BO833" s="14" t="n"/>
      <c r="BP833" s="14" t="n"/>
      <c r="BQ833" s="14" t="n"/>
      <c r="BR833" s="14" t="n"/>
      <c r="BS833" s="14" t="n"/>
      <c r="BT833" s="14" t="n"/>
      <c r="BU833" s="14" t="n"/>
      <c r="BV833" s="14" t="n"/>
      <c r="BW833" s="14" t="n"/>
      <c r="BX833" s="14" t="n"/>
      <c r="BY833" s="14" t="n"/>
      <c r="BZ833" s="14" t="n"/>
      <c r="CA833" s="14" t="n"/>
      <c r="CB833" s="14" t="n"/>
      <c r="CC833" s="14" t="n"/>
      <c r="CD833" s="14" t="n"/>
      <c r="CE833" s="14" t="n"/>
      <c r="CF833" s="14" t="n"/>
      <c r="CG833" s="14" t="n"/>
      <c r="CH833" s="14" t="n"/>
      <c r="CI833" s="14" t="n"/>
      <c r="CJ833" s="14" t="n"/>
      <c r="CK833" s="14" t="n"/>
      <c r="CL833" s="14" t="n"/>
      <c r="CM833" s="14" t="n"/>
      <c r="CN833" s="14" t="n"/>
      <c r="CO833" s="14" t="n"/>
      <c r="CP833" s="14" t="n"/>
      <c r="CQ833" s="14" t="n"/>
      <c r="CR833" s="14" t="n"/>
      <c r="CS833" s="14" t="n"/>
      <c r="CT833" s="14" t="n"/>
      <c r="CU833" s="14" t="n"/>
      <c r="CV833" s="14" t="n"/>
      <c r="CW833" s="14" t="n"/>
      <c r="CX833" s="14" t="n"/>
      <c r="CY833" s="14" t="n"/>
      <c r="CZ833" s="14" t="n"/>
      <c r="DA833" s="14" t="n"/>
      <c r="DB833" s="14" t="n"/>
      <c r="DC833" s="14" t="n"/>
    </row>
    <row r="834">
      <c r="B834" t="inlineStr">
        <is>
          <t>TSP-620</t>
        </is>
      </c>
      <c r="C834" t="inlineStr">
        <is>
          <t>No. of batches</t>
        </is>
      </c>
      <c r="D834">
        <f>IFERROR(INDEX(PP_Grid[#Data],$DD834,2),0)</f>
        <v/>
      </c>
      <c r="E834">
        <f>IFERROR(INDEX(PP_Grid[#Data],$DD834,3),0)</f>
        <v/>
      </c>
      <c r="F834">
        <f>IFERROR(INDEX(PP_Grid[#Data],$DD834,4),0)</f>
        <v/>
      </c>
      <c r="G834">
        <f>IFERROR(INDEX(PP_Grid[#Data],$DD834,5),0)</f>
        <v/>
      </c>
      <c r="H834">
        <f>IFERROR(INDEX(PP_Grid[#Data],$DD834,6),0)</f>
        <v/>
      </c>
      <c r="I834">
        <f>IFERROR(INDEX(PP_Grid[#Data],$DD834,7),0)</f>
        <v/>
      </c>
      <c r="J834">
        <f>IFERROR(INDEX(PP_Grid[#Data],$DD834,8),0)</f>
        <v/>
      </c>
      <c r="K834">
        <f>IFERROR(INDEX(PP_Grid[#Data],$DD834,9),0)</f>
        <v/>
      </c>
      <c r="L834">
        <f>IFERROR(INDEX(PP_Grid[#Data],$DD834,10),0)</f>
        <v/>
      </c>
      <c r="M834">
        <f>IFERROR(INDEX(PP_Grid[#Data],$DD834,11),0)</f>
        <v/>
      </c>
      <c r="N834">
        <f>IFERROR(INDEX(PP_Grid[#Data],$DD834,12),0)</f>
        <v/>
      </c>
      <c r="O834">
        <f>IFERROR(INDEX(PP_Grid[#Data],$DD834,13),0)</f>
        <v/>
      </c>
      <c r="P834">
        <f>IFERROR(INDEX(PP_Grid[#Data],$DD834,14),0)</f>
        <v/>
      </c>
      <c r="Q834">
        <f>IFERROR(INDEX(PP_Grid[#Data],$DD834,15),0)</f>
        <v/>
      </c>
      <c r="R834">
        <f>IFERROR(INDEX(PP_Grid[#Data],$DD834,16),0)</f>
        <v/>
      </c>
      <c r="S834">
        <f>IFERROR(INDEX(PP_Grid[#Data],$DD834,17),0)</f>
        <v/>
      </c>
      <c r="T834">
        <f>IFERROR(INDEX(PP_Grid[#Data],$DD834,18),0)</f>
        <v/>
      </c>
      <c r="U834">
        <f>IFERROR(INDEX(PP_Grid[#Data],$DD834,19),0)</f>
        <v/>
      </c>
      <c r="V834">
        <f>IFERROR(INDEX(PP_Grid[#Data],$DD834,20),0)</f>
        <v/>
      </c>
      <c r="W834">
        <f>IFERROR(INDEX(PP_Grid[#Data],$DD834,21),0)</f>
        <v/>
      </c>
      <c r="X834">
        <f>IFERROR(INDEX(PP_Grid[#Data],$DD834,22),0)</f>
        <v/>
      </c>
      <c r="Y834">
        <f>IFERROR(INDEX(PP_Grid[#Data],$DD834,23),0)</f>
        <v/>
      </c>
      <c r="Z834">
        <f>IFERROR(INDEX(PP_Grid[#Data],$DD834,24),0)</f>
        <v/>
      </c>
      <c r="AA834">
        <f>IFERROR(INDEX(PP_Grid[#Data],$DD834,25),0)</f>
        <v/>
      </c>
      <c r="AB834">
        <f>IFERROR(INDEX(PP_Grid[#Data],$DD834,26),0)</f>
        <v/>
      </c>
      <c r="AC834">
        <f>IFERROR(INDEX(PP_Grid[#Data],$DD834,27),0)</f>
        <v/>
      </c>
      <c r="AD834">
        <f>IFERROR(INDEX(PP_Grid[#Data],$DD834,28),0)</f>
        <v/>
      </c>
      <c r="AE834">
        <f>IFERROR(INDEX(PP_Grid[#Data],$DD834,29),0)</f>
        <v/>
      </c>
      <c r="AF834">
        <f>IFERROR(INDEX(PP_Grid[#Data],$DD834,30),0)</f>
        <v/>
      </c>
      <c r="AG834">
        <f>IFERROR(INDEX(PP_Grid[#Data],$DD834,31),0)</f>
        <v/>
      </c>
      <c r="AH834">
        <f>IFERROR(INDEX(PP_Grid[#Data],$DD834,32),0)</f>
        <v/>
      </c>
      <c r="AI834">
        <f>IFERROR(INDEX(PP_Grid[#Data],$DD834,33),0)</f>
        <v/>
      </c>
      <c r="AJ834">
        <f>IFERROR(INDEX(PP_Grid[#Data],$DD834,34),0)</f>
        <v/>
      </c>
      <c r="AK834">
        <f>IFERROR(INDEX(PP_Grid[#Data],$DD834,35),0)</f>
        <v/>
      </c>
      <c r="AL834">
        <f>IFERROR(INDEX(PP_Grid[#Data],$DD834,36),0)</f>
        <v/>
      </c>
      <c r="AM834">
        <f>IFERROR(INDEX(PP_Grid[#Data],$DD834,37),0)</f>
        <v/>
      </c>
      <c r="AN834">
        <f>IFERROR(INDEX(PP_Grid[#Data],$DD834,38),0)</f>
        <v/>
      </c>
      <c r="AO834">
        <f>IFERROR(INDEX(PP_Grid[#Data],$DD834,39),0)</f>
        <v/>
      </c>
      <c r="AP834">
        <f>IFERROR(INDEX(PP_Grid[#Data],$DD834,40),0)</f>
        <v/>
      </c>
      <c r="AQ834">
        <f>IFERROR(INDEX(PP_Grid[#Data],$DD834,41),0)</f>
        <v/>
      </c>
      <c r="AR834">
        <f>IFERROR(INDEX(PP_Grid[#Data],$DD834,42),0)</f>
        <v/>
      </c>
      <c r="AS834">
        <f>IFERROR(INDEX(PP_Grid[#Data],$DD834,43),0)</f>
        <v/>
      </c>
      <c r="AT834">
        <f>IFERROR(INDEX(PP_Grid[#Data],$DD834,44),0)</f>
        <v/>
      </c>
      <c r="AU834">
        <f>IFERROR(INDEX(PP_Grid[#Data],$DD834,45),0)</f>
        <v/>
      </c>
      <c r="AV834">
        <f>IFERROR(INDEX(PP_Grid[#Data],$DD834,46),0)</f>
        <v/>
      </c>
      <c r="AW834">
        <f>IFERROR(INDEX(PP_Grid[#Data],$DD834,47),0)</f>
        <v/>
      </c>
      <c r="AX834">
        <f>IFERROR(INDEX(PP_Grid[#Data],$DD834,48),0)</f>
        <v/>
      </c>
      <c r="AY834">
        <f>IFERROR(INDEX(PP_Grid[#Data],$DD834,49),0)</f>
        <v/>
      </c>
      <c r="AZ834">
        <f>IFERROR(INDEX(PP_Grid[#Data],$DD834,50),0)</f>
        <v/>
      </c>
      <c r="BA834">
        <f>IFERROR(INDEX(PP_Grid[#Data],$DD834,51),0)</f>
        <v/>
      </c>
      <c r="BB834">
        <f>IFERROR(INDEX(PP_Grid[#Data],$DD834,52),0)</f>
        <v/>
      </c>
      <c r="BC834">
        <f>IFERROR(INDEX(PP_Grid[#Data],$DD834,53),0)</f>
        <v/>
      </c>
      <c r="BD834">
        <f>IFERROR(INDEX(PP_Grid[#Data],$DD834,54),0)</f>
        <v/>
      </c>
      <c r="BE834">
        <f>IFERROR(INDEX(PP_Grid[#Data],$DD834,55),0)</f>
        <v/>
      </c>
      <c r="BF834">
        <f>IFERROR(INDEX(PP_Grid[#Data],$DD834,56),0)</f>
        <v/>
      </c>
      <c r="BG834">
        <f>IFERROR(INDEX(PP_Grid[#Data],$DD834,57),0)</f>
        <v/>
      </c>
      <c r="BH834">
        <f>IFERROR(INDEX(PP_Grid[#Data],$DD834,58),0)</f>
        <v/>
      </c>
      <c r="BI834">
        <f>IFERROR(INDEX(PP_Grid[#Data],$DD834,59),0)</f>
        <v/>
      </c>
      <c r="BJ834">
        <f>IFERROR(INDEX(PP_Grid[#Data],$DD834,60),0)</f>
        <v/>
      </c>
      <c r="BK834">
        <f>IFERROR(INDEX(PP_Grid[#Data],$DD834,61),0)</f>
        <v/>
      </c>
      <c r="BL834">
        <f>IFERROR(INDEX(PP_Grid[#Data],$DD834,62),0)</f>
        <v/>
      </c>
      <c r="BM834">
        <f>IFERROR(INDEX(PP_Grid[#Data],$DD834,63),0)</f>
        <v/>
      </c>
      <c r="BN834">
        <f>IFERROR(INDEX(PP_Grid[#Data],$DD834,64),0)</f>
        <v/>
      </c>
      <c r="BO834">
        <f>IFERROR(INDEX(PP_Grid[#Data],$DD834,65),0)</f>
        <v/>
      </c>
      <c r="BP834">
        <f>IFERROR(INDEX(PP_Grid[#Data],$DD834,66),0)</f>
        <v/>
      </c>
      <c r="BQ834">
        <f>IFERROR(INDEX(PP_Grid[#Data],$DD834,67),0)</f>
        <v/>
      </c>
      <c r="BR834">
        <f>IFERROR(INDEX(PP_Grid[#Data],$DD834,68),0)</f>
        <v/>
      </c>
      <c r="BS834">
        <f>IFERROR(INDEX(PP_Grid[#Data],$DD834,69),0)</f>
        <v/>
      </c>
      <c r="BT834">
        <f>IFERROR(INDEX(PP_Grid[#Data],$DD834,70),0)</f>
        <v/>
      </c>
      <c r="BU834">
        <f>IFERROR(INDEX(PP_Grid[#Data],$DD834,71),0)</f>
        <v/>
      </c>
      <c r="BV834">
        <f>IFERROR(INDEX(PP_Grid[#Data],$DD834,72),0)</f>
        <v/>
      </c>
      <c r="BW834">
        <f>IFERROR(INDEX(PP_Grid[#Data],$DD834,73),0)</f>
        <v/>
      </c>
      <c r="BX834">
        <f>IFERROR(INDEX(PP_Grid[#Data],$DD834,74),0)</f>
        <v/>
      </c>
      <c r="BY834">
        <f>IFERROR(INDEX(PP_Grid[#Data],$DD834,75),0)</f>
        <v/>
      </c>
      <c r="BZ834">
        <f>IFERROR(INDEX(PP_Grid[#Data],$DD834,76),0)</f>
        <v/>
      </c>
      <c r="CA834">
        <f>IFERROR(INDEX(PP_Grid[#Data],$DD834,77),0)</f>
        <v/>
      </c>
      <c r="CB834">
        <f>IFERROR(INDEX(PP_Grid[#Data],$DD834,78),0)</f>
        <v/>
      </c>
      <c r="CC834">
        <f>IFERROR(INDEX(PP_Grid[#Data],$DD834,79),0)</f>
        <v/>
      </c>
      <c r="CD834">
        <f>IFERROR(INDEX(PP_Grid[#Data],$DD834,80),0)</f>
        <v/>
      </c>
      <c r="CE834">
        <f>IFERROR(INDEX(PP_Grid[#Data],$DD834,81),0)</f>
        <v/>
      </c>
      <c r="CF834">
        <f>IFERROR(INDEX(PP_Grid[#Data],$DD834,82),0)</f>
        <v/>
      </c>
      <c r="CG834">
        <f>IFERROR(INDEX(PP_Grid[#Data],$DD834,83),0)</f>
        <v/>
      </c>
      <c r="CH834">
        <f>IFERROR(INDEX(PP_Grid[#Data],$DD834,84),0)</f>
        <v/>
      </c>
      <c r="CI834">
        <f>IFERROR(INDEX(PP_Grid[#Data],$DD834,85),0)</f>
        <v/>
      </c>
      <c r="CJ834">
        <f>IFERROR(INDEX(PP_Grid[#Data],$DD834,86),0)</f>
        <v/>
      </c>
      <c r="CK834">
        <f>IFERROR(INDEX(PP_Grid[#Data],$DD834,87),0)</f>
        <v/>
      </c>
      <c r="CL834">
        <f>IFERROR(INDEX(PP_Grid[#Data],$DD834,88),0)</f>
        <v/>
      </c>
      <c r="CM834">
        <f>IFERROR(INDEX(PP_Grid[#Data],$DD834,89),0)</f>
        <v/>
      </c>
      <c r="CN834">
        <f>IFERROR(INDEX(PP_Grid[#Data],$DD834,90),0)</f>
        <v/>
      </c>
      <c r="CO834">
        <f>IFERROR(INDEX(PP_Grid[#Data],$DD834,91),0)</f>
        <v/>
      </c>
      <c r="CP834">
        <f>IFERROR(INDEX(PP_Grid[#Data],$DD834,92),0)</f>
        <v/>
      </c>
      <c r="CQ834">
        <f>IFERROR(INDEX(PP_Grid[#Data],$DD834,93),0)</f>
        <v/>
      </c>
      <c r="CR834">
        <f>IFERROR(INDEX(PP_Grid[#Data],$DD834,94),0)</f>
        <v/>
      </c>
      <c r="CS834">
        <f>IFERROR(INDEX(PP_Grid[#Data],$DD834,95),0)</f>
        <v/>
      </c>
      <c r="CT834">
        <f>IFERROR(INDEX(PP_Grid[#Data],$DD834,96),0)</f>
        <v/>
      </c>
      <c r="CU834">
        <f>IFERROR(INDEX(PP_Grid[#Data],$DD834,97),0)</f>
        <v/>
      </c>
      <c r="CV834">
        <f>IFERROR(INDEX(PP_Grid[#Data],$DD834,98),0)</f>
        <v/>
      </c>
      <c r="CW834">
        <f>IFERROR(INDEX(PP_Grid[#Data],$DD834,99),0)</f>
        <v/>
      </c>
      <c r="CX834">
        <f>IFERROR(INDEX(PP_Grid[#Data],$DD834,100),0)</f>
        <v/>
      </c>
      <c r="CY834">
        <f>IFERROR(INDEX(PP_Grid[#Data],$DD834,101),0)</f>
        <v/>
      </c>
      <c r="CZ834">
        <f>IFERROR(INDEX(PP_Grid[#Data],$DD834,102),0)</f>
        <v/>
      </c>
      <c r="DA834">
        <f>IFERROR(INDEX(PP_Grid[#Data],$DD834,103),0)</f>
        <v/>
      </c>
      <c r="DB834">
        <f>IFERROR(INDEX(PP_Grid[#Data],$DD834,104),0)</f>
        <v/>
      </c>
      <c r="DC834">
        <f>IFERROR(INDEX(PP_Grid[#Data],$DD834,105),0)</f>
        <v/>
      </c>
      <c r="DD834" s="7">
        <f>IFERROR(MATCH($B834,PP_Grid[Intermediate],0),99999)</f>
        <v/>
      </c>
    </row>
    <row r="835">
      <c r="B835" t="inlineStr">
        <is>
          <t>使用量(kg)</t>
        </is>
      </c>
      <c r="C835">
        <f>SUMIFS(M_BOM[RM_Qty_Per_Batch],M_BOM[Intermediate],$B834,M_BOM[Part Name],$A833)</f>
        <v/>
      </c>
      <c r="D835">
        <f>$C835*D834</f>
        <v/>
      </c>
      <c r="E835">
        <f>$C835*E834</f>
        <v/>
      </c>
      <c r="F835">
        <f>$C835*F834</f>
        <v/>
      </c>
      <c r="G835">
        <f>$C835*G834</f>
        <v/>
      </c>
      <c r="H835">
        <f>$C835*H834</f>
        <v/>
      </c>
      <c r="I835">
        <f>$C835*I834</f>
        <v/>
      </c>
      <c r="J835">
        <f>$C835*J834</f>
        <v/>
      </c>
      <c r="K835">
        <f>$C835*K834</f>
        <v/>
      </c>
      <c r="L835">
        <f>$C835*L834</f>
        <v/>
      </c>
      <c r="M835">
        <f>$C835*M834</f>
        <v/>
      </c>
      <c r="N835">
        <f>$C835*N834</f>
        <v/>
      </c>
      <c r="O835">
        <f>$C835*O834</f>
        <v/>
      </c>
      <c r="P835">
        <f>$C835*P834</f>
        <v/>
      </c>
      <c r="Q835">
        <f>$C835*Q834</f>
        <v/>
      </c>
      <c r="R835">
        <f>$C835*R834</f>
        <v/>
      </c>
      <c r="S835">
        <f>$C835*S834</f>
        <v/>
      </c>
      <c r="T835">
        <f>$C835*T834</f>
        <v/>
      </c>
      <c r="U835">
        <f>$C835*U834</f>
        <v/>
      </c>
      <c r="V835">
        <f>$C835*V834</f>
        <v/>
      </c>
      <c r="W835">
        <f>$C835*W834</f>
        <v/>
      </c>
      <c r="X835">
        <f>$C835*X834</f>
        <v/>
      </c>
      <c r="Y835">
        <f>$C835*Y834</f>
        <v/>
      </c>
      <c r="Z835">
        <f>$C835*Z834</f>
        <v/>
      </c>
      <c r="AA835">
        <f>$C835*AA834</f>
        <v/>
      </c>
      <c r="AB835">
        <f>$C835*AB834</f>
        <v/>
      </c>
      <c r="AC835">
        <f>$C835*AC834</f>
        <v/>
      </c>
      <c r="AD835">
        <f>$C835*AD834</f>
        <v/>
      </c>
      <c r="AE835">
        <f>$C835*AE834</f>
        <v/>
      </c>
      <c r="AF835">
        <f>$C835*AF834</f>
        <v/>
      </c>
      <c r="AG835">
        <f>$C835*AG834</f>
        <v/>
      </c>
      <c r="AH835">
        <f>$C835*AH834</f>
        <v/>
      </c>
      <c r="AI835">
        <f>$C835*AI834</f>
        <v/>
      </c>
      <c r="AJ835">
        <f>$C835*AJ834</f>
        <v/>
      </c>
      <c r="AK835">
        <f>$C835*AK834</f>
        <v/>
      </c>
      <c r="AL835">
        <f>$C835*AL834</f>
        <v/>
      </c>
      <c r="AM835">
        <f>$C835*AM834</f>
        <v/>
      </c>
      <c r="AN835">
        <f>$C835*AN834</f>
        <v/>
      </c>
      <c r="AO835">
        <f>$C835*AO834</f>
        <v/>
      </c>
      <c r="AP835">
        <f>$C835*AP834</f>
        <v/>
      </c>
      <c r="AQ835">
        <f>$C835*AQ834</f>
        <v/>
      </c>
      <c r="AR835">
        <f>$C835*AR834</f>
        <v/>
      </c>
      <c r="AS835">
        <f>$C835*AS834</f>
        <v/>
      </c>
      <c r="AT835">
        <f>$C835*AT834</f>
        <v/>
      </c>
      <c r="AU835">
        <f>$C835*AU834</f>
        <v/>
      </c>
      <c r="AV835">
        <f>$C835*AV834</f>
        <v/>
      </c>
      <c r="AW835">
        <f>$C835*AW834</f>
        <v/>
      </c>
      <c r="AX835">
        <f>$C835*AX834</f>
        <v/>
      </c>
      <c r="AY835">
        <f>$C835*AY834</f>
        <v/>
      </c>
      <c r="AZ835">
        <f>$C835*AZ834</f>
        <v/>
      </c>
      <c r="BA835">
        <f>$C835*BA834</f>
        <v/>
      </c>
      <c r="BB835">
        <f>$C835*BB834</f>
        <v/>
      </c>
      <c r="BC835">
        <f>$C835*BC834</f>
        <v/>
      </c>
      <c r="BD835">
        <f>$C835*BD834</f>
        <v/>
      </c>
      <c r="BE835">
        <f>$C835*BE834</f>
        <v/>
      </c>
      <c r="BF835">
        <f>$C835*BF834</f>
        <v/>
      </c>
      <c r="BG835">
        <f>$C835*BG834</f>
        <v/>
      </c>
      <c r="BH835">
        <f>$C835*BH834</f>
        <v/>
      </c>
      <c r="BI835">
        <f>$C835*BI834</f>
        <v/>
      </c>
      <c r="BJ835">
        <f>$C835*BJ834</f>
        <v/>
      </c>
      <c r="BK835">
        <f>$C835*BK834</f>
        <v/>
      </c>
      <c r="BL835">
        <f>$C835*BL834</f>
        <v/>
      </c>
      <c r="BM835">
        <f>$C835*BM834</f>
        <v/>
      </c>
      <c r="BN835">
        <f>$C835*BN834</f>
        <v/>
      </c>
      <c r="BO835">
        <f>$C835*BO834</f>
        <v/>
      </c>
      <c r="BP835">
        <f>$C835*BP834</f>
        <v/>
      </c>
      <c r="BQ835">
        <f>$C835*BQ834</f>
        <v/>
      </c>
      <c r="BR835">
        <f>$C835*BR834</f>
        <v/>
      </c>
      <c r="BS835">
        <f>$C835*BS834</f>
        <v/>
      </c>
      <c r="BT835">
        <f>$C835*BT834</f>
        <v/>
      </c>
      <c r="BU835">
        <f>$C835*BU834</f>
        <v/>
      </c>
      <c r="BV835">
        <f>$C835*BV834</f>
        <v/>
      </c>
      <c r="BW835">
        <f>$C835*BW834</f>
        <v/>
      </c>
      <c r="BX835">
        <f>$C835*BX834</f>
        <v/>
      </c>
      <c r="BY835">
        <f>$C835*BY834</f>
        <v/>
      </c>
      <c r="BZ835">
        <f>$C835*BZ834</f>
        <v/>
      </c>
      <c r="CA835">
        <f>$C835*CA834</f>
        <v/>
      </c>
      <c r="CB835">
        <f>$C835*CB834</f>
        <v/>
      </c>
      <c r="CC835">
        <f>$C835*CC834</f>
        <v/>
      </c>
      <c r="CD835">
        <f>$C835*CD834</f>
        <v/>
      </c>
      <c r="CE835">
        <f>$C835*CE834</f>
        <v/>
      </c>
      <c r="CF835">
        <f>$C835*CF834</f>
        <v/>
      </c>
      <c r="CG835">
        <f>$C835*CG834</f>
        <v/>
      </c>
      <c r="CH835">
        <f>$C835*CH834</f>
        <v/>
      </c>
      <c r="CI835">
        <f>$C835*CI834</f>
        <v/>
      </c>
      <c r="CJ835">
        <f>$C835*CJ834</f>
        <v/>
      </c>
      <c r="CK835">
        <f>$C835*CK834</f>
        <v/>
      </c>
      <c r="CL835">
        <f>$C835*CL834</f>
        <v/>
      </c>
      <c r="CM835">
        <f>$C835*CM834</f>
        <v/>
      </c>
      <c r="CN835">
        <f>$C835*CN834</f>
        <v/>
      </c>
      <c r="CO835">
        <f>$C835*CO834</f>
        <v/>
      </c>
      <c r="CP835">
        <f>$C835*CP834</f>
        <v/>
      </c>
      <c r="CQ835">
        <f>$C835*CQ834</f>
        <v/>
      </c>
      <c r="CR835">
        <f>$C835*CR834</f>
        <v/>
      </c>
      <c r="CS835">
        <f>$C835*CS834</f>
        <v/>
      </c>
      <c r="CT835">
        <f>$C835*CT834</f>
        <v/>
      </c>
      <c r="CU835">
        <f>$C835*CU834</f>
        <v/>
      </c>
      <c r="CV835">
        <f>$C835*CV834</f>
        <v/>
      </c>
      <c r="CW835">
        <f>$C835*CW834</f>
        <v/>
      </c>
      <c r="CX835">
        <f>$C835*CX834</f>
        <v/>
      </c>
      <c r="CY835">
        <f>$C835*CY834</f>
        <v/>
      </c>
      <c r="CZ835">
        <f>$C835*CZ834</f>
        <v/>
      </c>
      <c r="DA835">
        <f>$C835*DA834</f>
        <v/>
      </c>
      <c r="DB835">
        <f>$C835*DB834</f>
        <v/>
      </c>
      <c r="DC835">
        <f>$C835*DC834</f>
        <v/>
      </c>
    </row>
    <row r="836">
      <c r="B836" t="inlineStr">
        <is>
          <t>TSP-623</t>
        </is>
      </c>
      <c r="C836" t="inlineStr">
        <is>
          <t>No. of batches</t>
        </is>
      </c>
      <c r="D836">
        <f>IFERROR(INDEX(PP_Grid[#Data],$DD836,2),0)</f>
        <v/>
      </c>
      <c r="E836">
        <f>IFERROR(INDEX(PP_Grid[#Data],$DD836,3),0)</f>
        <v/>
      </c>
      <c r="F836">
        <f>IFERROR(INDEX(PP_Grid[#Data],$DD836,4),0)</f>
        <v/>
      </c>
      <c r="G836">
        <f>IFERROR(INDEX(PP_Grid[#Data],$DD836,5),0)</f>
        <v/>
      </c>
      <c r="H836">
        <f>IFERROR(INDEX(PP_Grid[#Data],$DD836,6),0)</f>
        <v/>
      </c>
      <c r="I836">
        <f>IFERROR(INDEX(PP_Grid[#Data],$DD836,7),0)</f>
        <v/>
      </c>
      <c r="J836">
        <f>IFERROR(INDEX(PP_Grid[#Data],$DD836,8),0)</f>
        <v/>
      </c>
      <c r="K836">
        <f>IFERROR(INDEX(PP_Grid[#Data],$DD836,9),0)</f>
        <v/>
      </c>
      <c r="L836">
        <f>IFERROR(INDEX(PP_Grid[#Data],$DD836,10),0)</f>
        <v/>
      </c>
      <c r="M836">
        <f>IFERROR(INDEX(PP_Grid[#Data],$DD836,11),0)</f>
        <v/>
      </c>
      <c r="N836">
        <f>IFERROR(INDEX(PP_Grid[#Data],$DD836,12),0)</f>
        <v/>
      </c>
      <c r="O836">
        <f>IFERROR(INDEX(PP_Grid[#Data],$DD836,13),0)</f>
        <v/>
      </c>
      <c r="P836">
        <f>IFERROR(INDEX(PP_Grid[#Data],$DD836,14),0)</f>
        <v/>
      </c>
      <c r="Q836">
        <f>IFERROR(INDEX(PP_Grid[#Data],$DD836,15),0)</f>
        <v/>
      </c>
      <c r="R836">
        <f>IFERROR(INDEX(PP_Grid[#Data],$DD836,16),0)</f>
        <v/>
      </c>
      <c r="S836">
        <f>IFERROR(INDEX(PP_Grid[#Data],$DD836,17),0)</f>
        <v/>
      </c>
      <c r="T836">
        <f>IFERROR(INDEX(PP_Grid[#Data],$DD836,18),0)</f>
        <v/>
      </c>
      <c r="U836">
        <f>IFERROR(INDEX(PP_Grid[#Data],$DD836,19),0)</f>
        <v/>
      </c>
      <c r="V836">
        <f>IFERROR(INDEX(PP_Grid[#Data],$DD836,20),0)</f>
        <v/>
      </c>
      <c r="W836">
        <f>IFERROR(INDEX(PP_Grid[#Data],$DD836,21),0)</f>
        <v/>
      </c>
      <c r="X836">
        <f>IFERROR(INDEX(PP_Grid[#Data],$DD836,22),0)</f>
        <v/>
      </c>
      <c r="Y836">
        <f>IFERROR(INDEX(PP_Grid[#Data],$DD836,23),0)</f>
        <v/>
      </c>
      <c r="Z836">
        <f>IFERROR(INDEX(PP_Grid[#Data],$DD836,24),0)</f>
        <v/>
      </c>
      <c r="AA836">
        <f>IFERROR(INDEX(PP_Grid[#Data],$DD836,25),0)</f>
        <v/>
      </c>
      <c r="AB836">
        <f>IFERROR(INDEX(PP_Grid[#Data],$DD836,26),0)</f>
        <v/>
      </c>
      <c r="AC836">
        <f>IFERROR(INDEX(PP_Grid[#Data],$DD836,27),0)</f>
        <v/>
      </c>
      <c r="AD836">
        <f>IFERROR(INDEX(PP_Grid[#Data],$DD836,28),0)</f>
        <v/>
      </c>
      <c r="AE836">
        <f>IFERROR(INDEX(PP_Grid[#Data],$DD836,29),0)</f>
        <v/>
      </c>
      <c r="AF836">
        <f>IFERROR(INDEX(PP_Grid[#Data],$DD836,30),0)</f>
        <v/>
      </c>
      <c r="AG836">
        <f>IFERROR(INDEX(PP_Grid[#Data],$DD836,31),0)</f>
        <v/>
      </c>
      <c r="AH836">
        <f>IFERROR(INDEX(PP_Grid[#Data],$DD836,32),0)</f>
        <v/>
      </c>
      <c r="AI836">
        <f>IFERROR(INDEX(PP_Grid[#Data],$DD836,33),0)</f>
        <v/>
      </c>
      <c r="AJ836">
        <f>IFERROR(INDEX(PP_Grid[#Data],$DD836,34),0)</f>
        <v/>
      </c>
      <c r="AK836">
        <f>IFERROR(INDEX(PP_Grid[#Data],$DD836,35),0)</f>
        <v/>
      </c>
      <c r="AL836">
        <f>IFERROR(INDEX(PP_Grid[#Data],$DD836,36),0)</f>
        <v/>
      </c>
      <c r="AM836">
        <f>IFERROR(INDEX(PP_Grid[#Data],$DD836,37),0)</f>
        <v/>
      </c>
      <c r="AN836">
        <f>IFERROR(INDEX(PP_Grid[#Data],$DD836,38),0)</f>
        <v/>
      </c>
      <c r="AO836">
        <f>IFERROR(INDEX(PP_Grid[#Data],$DD836,39),0)</f>
        <v/>
      </c>
      <c r="AP836">
        <f>IFERROR(INDEX(PP_Grid[#Data],$DD836,40),0)</f>
        <v/>
      </c>
      <c r="AQ836">
        <f>IFERROR(INDEX(PP_Grid[#Data],$DD836,41),0)</f>
        <v/>
      </c>
      <c r="AR836">
        <f>IFERROR(INDEX(PP_Grid[#Data],$DD836,42),0)</f>
        <v/>
      </c>
      <c r="AS836">
        <f>IFERROR(INDEX(PP_Grid[#Data],$DD836,43),0)</f>
        <v/>
      </c>
      <c r="AT836">
        <f>IFERROR(INDEX(PP_Grid[#Data],$DD836,44),0)</f>
        <v/>
      </c>
      <c r="AU836">
        <f>IFERROR(INDEX(PP_Grid[#Data],$DD836,45),0)</f>
        <v/>
      </c>
      <c r="AV836">
        <f>IFERROR(INDEX(PP_Grid[#Data],$DD836,46),0)</f>
        <v/>
      </c>
      <c r="AW836">
        <f>IFERROR(INDEX(PP_Grid[#Data],$DD836,47),0)</f>
        <v/>
      </c>
      <c r="AX836">
        <f>IFERROR(INDEX(PP_Grid[#Data],$DD836,48),0)</f>
        <v/>
      </c>
      <c r="AY836">
        <f>IFERROR(INDEX(PP_Grid[#Data],$DD836,49),0)</f>
        <v/>
      </c>
      <c r="AZ836">
        <f>IFERROR(INDEX(PP_Grid[#Data],$DD836,50),0)</f>
        <v/>
      </c>
      <c r="BA836">
        <f>IFERROR(INDEX(PP_Grid[#Data],$DD836,51),0)</f>
        <v/>
      </c>
      <c r="BB836">
        <f>IFERROR(INDEX(PP_Grid[#Data],$DD836,52),0)</f>
        <v/>
      </c>
      <c r="BC836">
        <f>IFERROR(INDEX(PP_Grid[#Data],$DD836,53),0)</f>
        <v/>
      </c>
      <c r="BD836">
        <f>IFERROR(INDEX(PP_Grid[#Data],$DD836,54),0)</f>
        <v/>
      </c>
      <c r="BE836">
        <f>IFERROR(INDEX(PP_Grid[#Data],$DD836,55),0)</f>
        <v/>
      </c>
      <c r="BF836">
        <f>IFERROR(INDEX(PP_Grid[#Data],$DD836,56),0)</f>
        <v/>
      </c>
      <c r="BG836">
        <f>IFERROR(INDEX(PP_Grid[#Data],$DD836,57),0)</f>
        <v/>
      </c>
      <c r="BH836">
        <f>IFERROR(INDEX(PP_Grid[#Data],$DD836,58),0)</f>
        <v/>
      </c>
      <c r="BI836">
        <f>IFERROR(INDEX(PP_Grid[#Data],$DD836,59),0)</f>
        <v/>
      </c>
      <c r="BJ836">
        <f>IFERROR(INDEX(PP_Grid[#Data],$DD836,60),0)</f>
        <v/>
      </c>
      <c r="BK836">
        <f>IFERROR(INDEX(PP_Grid[#Data],$DD836,61),0)</f>
        <v/>
      </c>
      <c r="BL836">
        <f>IFERROR(INDEX(PP_Grid[#Data],$DD836,62),0)</f>
        <v/>
      </c>
      <c r="BM836">
        <f>IFERROR(INDEX(PP_Grid[#Data],$DD836,63),0)</f>
        <v/>
      </c>
      <c r="BN836">
        <f>IFERROR(INDEX(PP_Grid[#Data],$DD836,64),0)</f>
        <v/>
      </c>
      <c r="BO836">
        <f>IFERROR(INDEX(PP_Grid[#Data],$DD836,65),0)</f>
        <v/>
      </c>
      <c r="BP836">
        <f>IFERROR(INDEX(PP_Grid[#Data],$DD836,66),0)</f>
        <v/>
      </c>
      <c r="BQ836">
        <f>IFERROR(INDEX(PP_Grid[#Data],$DD836,67),0)</f>
        <v/>
      </c>
      <c r="BR836">
        <f>IFERROR(INDEX(PP_Grid[#Data],$DD836,68),0)</f>
        <v/>
      </c>
      <c r="BS836">
        <f>IFERROR(INDEX(PP_Grid[#Data],$DD836,69),0)</f>
        <v/>
      </c>
      <c r="BT836">
        <f>IFERROR(INDEX(PP_Grid[#Data],$DD836,70),0)</f>
        <v/>
      </c>
      <c r="BU836">
        <f>IFERROR(INDEX(PP_Grid[#Data],$DD836,71),0)</f>
        <v/>
      </c>
      <c r="BV836">
        <f>IFERROR(INDEX(PP_Grid[#Data],$DD836,72),0)</f>
        <v/>
      </c>
      <c r="BW836">
        <f>IFERROR(INDEX(PP_Grid[#Data],$DD836,73),0)</f>
        <v/>
      </c>
      <c r="BX836">
        <f>IFERROR(INDEX(PP_Grid[#Data],$DD836,74),0)</f>
        <v/>
      </c>
      <c r="BY836">
        <f>IFERROR(INDEX(PP_Grid[#Data],$DD836,75),0)</f>
        <v/>
      </c>
      <c r="BZ836">
        <f>IFERROR(INDEX(PP_Grid[#Data],$DD836,76),0)</f>
        <v/>
      </c>
      <c r="CA836">
        <f>IFERROR(INDEX(PP_Grid[#Data],$DD836,77),0)</f>
        <v/>
      </c>
      <c r="CB836">
        <f>IFERROR(INDEX(PP_Grid[#Data],$DD836,78),0)</f>
        <v/>
      </c>
      <c r="CC836">
        <f>IFERROR(INDEX(PP_Grid[#Data],$DD836,79),0)</f>
        <v/>
      </c>
      <c r="CD836">
        <f>IFERROR(INDEX(PP_Grid[#Data],$DD836,80),0)</f>
        <v/>
      </c>
      <c r="CE836">
        <f>IFERROR(INDEX(PP_Grid[#Data],$DD836,81),0)</f>
        <v/>
      </c>
      <c r="CF836">
        <f>IFERROR(INDEX(PP_Grid[#Data],$DD836,82),0)</f>
        <v/>
      </c>
      <c r="CG836">
        <f>IFERROR(INDEX(PP_Grid[#Data],$DD836,83),0)</f>
        <v/>
      </c>
      <c r="CH836">
        <f>IFERROR(INDEX(PP_Grid[#Data],$DD836,84),0)</f>
        <v/>
      </c>
      <c r="CI836">
        <f>IFERROR(INDEX(PP_Grid[#Data],$DD836,85),0)</f>
        <v/>
      </c>
      <c r="CJ836">
        <f>IFERROR(INDEX(PP_Grid[#Data],$DD836,86),0)</f>
        <v/>
      </c>
      <c r="CK836">
        <f>IFERROR(INDEX(PP_Grid[#Data],$DD836,87),0)</f>
        <v/>
      </c>
      <c r="CL836">
        <f>IFERROR(INDEX(PP_Grid[#Data],$DD836,88),0)</f>
        <v/>
      </c>
      <c r="CM836">
        <f>IFERROR(INDEX(PP_Grid[#Data],$DD836,89),0)</f>
        <v/>
      </c>
      <c r="CN836">
        <f>IFERROR(INDEX(PP_Grid[#Data],$DD836,90),0)</f>
        <v/>
      </c>
      <c r="CO836">
        <f>IFERROR(INDEX(PP_Grid[#Data],$DD836,91),0)</f>
        <v/>
      </c>
      <c r="CP836">
        <f>IFERROR(INDEX(PP_Grid[#Data],$DD836,92),0)</f>
        <v/>
      </c>
      <c r="CQ836">
        <f>IFERROR(INDEX(PP_Grid[#Data],$DD836,93),0)</f>
        <v/>
      </c>
      <c r="CR836">
        <f>IFERROR(INDEX(PP_Grid[#Data],$DD836,94),0)</f>
        <v/>
      </c>
      <c r="CS836">
        <f>IFERROR(INDEX(PP_Grid[#Data],$DD836,95),0)</f>
        <v/>
      </c>
      <c r="CT836">
        <f>IFERROR(INDEX(PP_Grid[#Data],$DD836,96),0)</f>
        <v/>
      </c>
      <c r="CU836">
        <f>IFERROR(INDEX(PP_Grid[#Data],$DD836,97),0)</f>
        <v/>
      </c>
      <c r="CV836">
        <f>IFERROR(INDEX(PP_Grid[#Data],$DD836,98),0)</f>
        <v/>
      </c>
      <c r="CW836">
        <f>IFERROR(INDEX(PP_Grid[#Data],$DD836,99),0)</f>
        <v/>
      </c>
      <c r="CX836">
        <f>IFERROR(INDEX(PP_Grid[#Data],$DD836,100),0)</f>
        <v/>
      </c>
      <c r="CY836">
        <f>IFERROR(INDEX(PP_Grid[#Data],$DD836,101),0)</f>
        <v/>
      </c>
      <c r="CZ836">
        <f>IFERROR(INDEX(PP_Grid[#Data],$DD836,102),0)</f>
        <v/>
      </c>
      <c r="DA836">
        <f>IFERROR(INDEX(PP_Grid[#Data],$DD836,103),0)</f>
        <v/>
      </c>
      <c r="DB836">
        <f>IFERROR(INDEX(PP_Grid[#Data],$DD836,104),0)</f>
        <v/>
      </c>
      <c r="DC836">
        <f>IFERROR(INDEX(PP_Grid[#Data],$DD836,105),0)</f>
        <v/>
      </c>
      <c r="DD836" s="7">
        <f>IFERROR(MATCH($B836,PP_Grid[Intermediate],0),99999)</f>
        <v/>
      </c>
    </row>
    <row r="837">
      <c r="B837" t="inlineStr">
        <is>
          <t>使用量(kg)</t>
        </is>
      </c>
      <c r="C837">
        <f>SUMIFS(M_BOM[RM_Qty_Per_Batch],M_BOM[Intermediate],$B836,M_BOM[Part Name],$A833)</f>
        <v/>
      </c>
      <c r="D837">
        <f>$C837*D836</f>
        <v/>
      </c>
      <c r="E837">
        <f>$C837*E836</f>
        <v/>
      </c>
      <c r="F837">
        <f>$C837*F836</f>
        <v/>
      </c>
      <c r="G837">
        <f>$C837*G836</f>
        <v/>
      </c>
      <c r="H837">
        <f>$C837*H836</f>
        <v/>
      </c>
      <c r="I837">
        <f>$C837*I836</f>
        <v/>
      </c>
      <c r="J837">
        <f>$C837*J836</f>
        <v/>
      </c>
      <c r="K837">
        <f>$C837*K836</f>
        <v/>
      </c>
      <c r="L837">
        <f>$C837*L836</f>
        <v/>
      </c>
      <c r="M837">
        <f>$C837*M836</f>
        <v/>
      </c>
      <c r="N837">
        <f>$C837*N836</f>
        <v/>
      </c>
      <c r="O837">
        <f>$C837*O836</f>
        <v/>
      </c>
      <c r="P837">
        <f>$C837*P836</f>
        <v/>
      </c>
      <c r="Q837">
        <f>$C837*Q836</f>
        <v/>
      </c>
      <c r="R837">
        <f>$C837*R836</f>
        <v/>
      </c>
      <c r="S837">
        <f>$C837*S836</f>
        <v/>
      </c>
      <c r="T837">
        <f>$C837*T836</f>
        <v/>
      </c>
      <c r="U837">
        <f>$C837*U836</f>
        <v/>
      </c>
      <c r="V837">
        <f>$C837*V836</f>
        <v/>
      </c>
      <c r="W837">
        <f>$C837*W836</f>
        <v/>
      </c>
      <c r="X837">
        <f>$C837*X836</f>
        <v/>
      </c>
      <c r="Y837">
        <f>$C837*Y836</f>
        <v/>
      </c>
      <c r="Z837">
        <f>$C837*Z836</f>
        <v/>
      </c>
      <c r="AA837">
        <f>$C837*AA836</f>
        <v/>
      </c>
      <c r="AB837">
        <f>$C837*AB836</f>
        <v/>
      </c>
      <c r="AC837">
        <f>$C837*AC836</f>
        <v/>
      </c>
      <c r="AD837">
        <f>$C837*AD836</f>
        <v/>
      </c>
      <c r="AE837">
        <f>$C837*AE836</f>
        <v/>
      </c>
      <c r="AF837">
        <f>$C837*AF836</f>
        <v/>
      </c>
      <c r="AG837">
        <f>$C837*AG836</f>
        <v/>
      </c>
      <c r="AH837">
        <f>$C837*AH836</f>
        <v/>
      </c>
      <c r="AI837">
        <f>$C837*AI836</f>
        <v/>
      </c>
      <c r="AJ837">
        <f>$C837*AJ836</f>
        <v/>
      </c>
      <c r="AK837">
        <f>$C837*AK836</f>
        <v/>
      </c>
      <c r="AL837">
        <f>$C837*AL836</f>
        <v/>
      </c>
      <c r="AM837">
        <f>$C837*AM836</f>
        <v/>
      </c>
      <c r="AN837">
        <f>$C837*AN836</f>
        <v/>
      </c>
      <c r="AO837">
        <f>$C837*AO836</f>
        <v/>
      </c>
      <c r="AP837">
        <f>$C837*AP836</f>
        <v/>
      </c>
      <c r="AQ837">
        <f>$C837*AQ836</f>
        <v/>
      </c>
      <c r="AR837">
        <f>$C837*AR836</f>
        <v/>
      </c>
      <c r="AS837">
        <f>$C837*AS836</f>
        <v/>
      </c>
      <c r="AT837">
        <f>$C837*AT836</f>
        <v/>
      </c>
      <c r="AU837">
        <f>$C837*AU836</f>
        <v/>
      </c>
      <c r="AV837">
        <f>$C837*AV836</f>
        <v/>
      </c>
      <c r="AW837">
        <f>$C837*AW836</f>
        <v/>
      </c>
      <c r="AX837">
        <f>$C837*AX836</f>
        <v/>
      </c>
      <c r="AY837">
        <f>$C837*AY836</f>
        <v/>
      </c>
      <c r="AZ837">
        <f>$C837*AZ836</f>
        <v/>
      </c>
      <c r="BA837">
        <f>$C837*BA836</f>
        <v/>
      </c>
      <c r="BB837">
        <f>$C837*BB836</f>
        <v/>
      </c>
      <c r="BC837">
        <f>$C837*BC836</f>
        <v/>
      </c>
      <c r="BD837">
        <f>$C837*BD836</f>
        <v/>
      </c>
      <c r="BE837">
        <f>$C837*BE836</f>
        <v/>
      </c>
      <c r="BF837">
        <f>$C837*BF836</f>
        <v/>
      </c>
      <c r="BG837">
        <f>$C837*BG836</f>
        <v/>
      </c>
      <c r="BH837">
        <f>$C837*BH836</f>
        <v/>
      </c>
      <c r="BI837">
        <f>$C837*BI836</f>
        <v/>
      </c>
      <c r="BJ837">
        <f>$C837*BJ836</f>
        <v/>
      </c>
      <c r="BK837">
        <f>$C837*BK836</f>
        <v/>
      </c>
      <c r="BL837">
        <f>$C837*BL836</f>
        <v/>
      </c>
      <c r="BM837">
        <f>$C837*BM836</f>
        <v/>
      </c>
      <c r="BN837">
        <f>$C837*BN836</f>
        <v/>
      </c>
      <c r="BO837">
        <f>$C837*BO836</f>
        <v/>
      </c>
      <c r="BP837">
        <f>$C837*BP836</f>
        <v/>
      </c>
      <c r="BQ837">
        <f>$C837*BQ836</f>
        <v/>
      </c>
      <c r="BR837">
        <f>$C837*BR836</f>
        <v/>
      </c>
      <c r="BS837">
        <f>$C837*BS836</f>
        <v/>
      </c>
      <c r="BT837">
        <f>$C837*BT836</f>
        <v/>
      </c>
      <c r="BU837">
        <f>$C837*BU836</f>
        <v/>
      </c>
      <c r="BV837">
        <f>$C837*BV836</f>
        <v/>
      </c>
      <c r="BW837">
        <f>$C837*BW836</f>
        <v/>
      </c>
      <c r="BX837">
        <f>$C837*BX836</f>
        <v/>
      </c>
      <c r="BY837">
        <f>$C837*BY836</f>
        <v/>
      </c>
      <c r="BZ837">
        <f>$C837*BZ836</f>
        <v/>
      </c>
      <c r="CA837">
        <f>$C837*CA836</f>
        <v/>
      </c>
      <c r="CB837">
        <f>$C837*CB836</f>
        <v/>
      </c>
      <c r="CC837">
        <f>$C837*CC836</f>
        <v/>
      </c>
      <c r="CD837">
        <f>$C837*CD836</f>
        <v/>
      </c>
      <c r="CE837">
        <f>$C837*CE836</f>
        <v/>
      </c>
      <c r="CF837">
        <f>$C837*CF836</f>
        <v/>
      </c>
      <c r="CG837">
        <f>$C837*CG836</f>
        <v/>
      </c>
      <c r="CH837">
        <f>$C837*CH836</f>
        <v/>
      </c>
      <c r="CI837">
        <f>$C837*CI836</f>
        <v/>
      </c>
      <c r="CJ837">
        <f>$C837*CJ836</f>
        <v/>
      </c>
      <c r="CK837">
        <f>$C837*CK836</f>
        <v/>
      </c>
      <c r="CL837">
        <f>$C837*CL836</f>
        <v/>
      </c>
      <c r="CM837">
        <f>$C837*CM836</f>
        <v/>
      </c>
      <c r="CN837">
        <f>$C837*CN836</f>
        <v/>
      </c>
      <c r="CO837">
        <f>$C837*CO836</f>
        <v/>
      </c>
      <c r="CP837">
        <f>$C837*CP836</f>
        <v/>
      </c>
      <c r="CQ837">
        <f>$C837*CQ836</f>
        <v/>
      </c>
      <c r="CR837">
        <f>$C837*CR836</f>
        <v/>
      </c>
      <c r="CS837">
        <f>$C837*CS836</f>
        <v/>
      </c>
      <c r="CT837">
        <f>$C837*CT836</f>
        <v/>
      </c>
      <c r="CU837">
        <f>$C837*CU836</f>
        <v/>
      </c>
      <c r="CV837">
        <f>$C837*CV836</f>
        <v/>
      </c>
      <c r="CW837">
        <f>$C837*CW836</f>
        <v/>
      </c>
      <c r="CX837">
        <f>$C837*CX836</f>
        <v/>
      </c>
      <c r="CY837">
        <f>$C837*CY836</f>
        <v/>
      </c>
      <c r="CZ837">
        <f>$C837*CZ836</f>
        <v/>
      </c>
      <c r="DA837">
        <f>$C837*DA836</f>
        <v/>
      </c>
      <c r="DB837">
        <f>$C837*DB836</f>
        <v/>
      </c>
      <c r="DC837">
        <f>$C837*DC836</f>
        <v/>
      </c>
    </row>
    <row r="838">
      <c r="B838" t="inlineStr">
        <is>
          <t>TSP-927</t>
        </is>
      </c>
      <c r="C838" t="inlineStr">
        <is>
          <t>No. of batches</t>
        </is>
      </c>
      <c r="D838">
        <f>IFERROR(INDEX(PP_Grid[#Data],$DD838,2),0)</f>
        <v/>
      </c>
      <c r="E838">
        <f>IFERROR(INDEX(PP_Grid[#Data],$DD838,3),0)</f>
        <v/>
      </c>
      <c r="F838">
        <f>IFERROR(INDEX(PP_Grid[#Data],$DD838,4),0)</f>
        <v/>
      </c>
      <c r="G838">
        <f>IFERROR(INDEX(PP_Grid[#Data],$DD838,5),0)</f>
        <v/>
      </c>
      <c r="H838">
        <f>IFERROR(INDEX(PP_Grid[#Data],$DD838,6),0)</f>
        <v/>
      </c>
      <c r="I838">
        <f>IFERROR(INDEX(PP_Grid[#Data],$DD838,7),0)</f>
        <v/>
      </c>
      <c r="J838">
        <f>IFERROR(INDEX(PP_Grid[#Data],$DD838,8),0)</f>
        <v/>
      </c>
      <c r="K838">
        <f>IFERROR(INDEX(PP_Grid[#Data],$DD838,9),0)</f>
        <v/>
      </c>
      <c r="L838">
        <f>IFERROR(INDEX(PP_Grid[#Data],$DD838,10),0)</f>
        <v/>
      </c>
      <c r="M838">
        <f>IFERROR(INDEX(PP_Grid[#Data],$DD838,11),0)</f>
        <v/>
      </c>
      <c r="N838">
        <f>IFERROR(INDEX(PP_Grid[#Data],$DD838,12),0)</f>
        <v/>
      </c>
      <c r="O838">
        <f>IFERROR(INDEX(PP_Grid[#Data],$DD838,13),0)</f>
        <v/>
      </c>
      <c r="P838">
        <f>IFERROR(INDEX(PP_Grid[#Data],$DD838,14),0)</f>
        <v/>
      </c>
      <c r="Q838">
        <f>IFERROR(INDEX(PP_Grid[#Data],$DD838,15),0)</f>
        <v/>
      </c>
      <c r="R838">
        <f>IFERROR(INDEX(PP_Grid[#Data],$DD838,16),0)</f>
        <v/>
      </c>
      <c r="S838">
        <f>IFERROR(INDEX(PP_Grid[#Data],$DD838,17),0)</f>
        <v/>
      </c>
      <c r="T838">
        <f>IFERROR(INDEX(PP_Grid[#Data],$DD838,18),0)</f>
        <v/>
      </c>
      <c r="U838">
        <f>IFERROR(INDEX(PP_Grid[#Data],$DD838,19),0)</f>
        <v/>
      </c>
      <c r="V838">
        <f>IFERROR(INDEX(PP_Grid[#Data],$DD838,20),0)</f>
        <v/>
      </c>
      <c r="W838">
        <f>IFERROR(INDEX(PP_Grid[#Data],$DD838,21),0)</f>
        <v/>
      </c>
      <c r="X838">
        <f>IFERROR(INDEX(PP_Grid[#Data],$DD838,22),0)</f>
        <v/>
      </c>
      <c r="Y838">
        <f>IFERROR(INDEX(PP_Grid[#Data],$DD838,23),0)</f>
        <v/>
      </c>
      <c r="Z838">
        <f>IFERROR(INDEX(PP_Grid[#Data],$DD838,24),0)</f>
        <v/>
      </c>
      <c r="AA838">
        <f>IFERROR(INDEX(PP_Grid[#Data],$DD838,25),0)</f>
        <v/>
      </c>
      <c r="AB838">
        <f>IFERROR(INDEX(PP_Grid[#Data],$DD838,26),0)</f>
        <v/>
      </c>
      <c r="AC838">
        <f>IFERROR(INDEX(PP_Grid[#Data],$DD838,27),0)</f>
        <v/>
      </c>
      <c r="AD838">
        <f>IFERROR(INDEX(PP_Grid[#Data],$DD838,28),0)</f>
        <v/>
      </c>
      <c r="AE838">
        <f>IFERROR(INDEX(PP_Grid[#Data],$DD838,29),0)</f>
        <v/>
      </c>
      <c r="AF838">
        <f>IFERROR(INDEX(PP_Grid[#Data],$DD838,30),0)</f>
        <v/>
      </c>
      <c r="AG838">
        <f>IFERROR(INDEX(PP_Grid[#Data],$DD838,31),0)</f>
        <v/>
      </c>
      <c r="AH838">
        <f>IFERROR(INDEX(PP_Grid[#Data],$DD838,32),0)</f>
        <v/>
      </c>
      <c r="AI838">
        <f>IFERROR(INDEX(PP_Grid[#Data],$DD838,33),0)</f>
        <v/>
      </c>
      <c r="AJ838">
        <f>IFERROR(INDEX(PP_Grid[#Data],$DD838,34),0)</f>
        <v/>
      </c>
      <c r="AK838">
        <f>IFERROR(INDEX(PP_Grid[#Data],$DD838,35),0)</f>
        <v/>
      </c>
      <c r="AL838">
        <f>IFERROR(INDEX(PP_Grid[#Data],$DD838,36),0)</f>
        <v/>
      </c>
      <c r="AM838">
        <f>IFERROR(INDEX(PP_Grid[#Data],$DD838,37),0)</f>
        <v/>
      </c>
      <c r="AN838">
        <f>IFERROR(INDEX(PP_Grid[#Data],$DD838,38),0)</f>
        <v/>
      </c>
      <c r="AO838">
        <f>IFERROR(INDEX(PP_Grid[#Data],$DD838,39),0)</f>
        <v/>
      </c>
      <c r="AP838">
        <f>IFERROR(INDEX(PP_Grid[#Data],$DD838,40),0)</f>
        <v/>
      </c>
      <c r="AQ838">
        <f>IFERROR(INDEX(PP_Grid[#Data],$DD838,41),0)</f>
        <v/>
      </c>
      <c r="AR838">
        <f>IFERROR(INDEX(PP_Grid[#Data],$DD838,42),0)</f>
        <v/>
      </c>
      <c r="AS838">
        <f>IFERROR(INDEX(PP_Grid[#Data],$DD838,43),0)</f>
        <v/>
      </c>
      <c r="AT838">
        <f>IFERROR(INDEX(PP_Grid[#Data],$DD838,44),0)</f>
        <v/>
      </c>
      <c r="AU838">
        <f>IFERROR(INDEX(PP_Grid[#Data],$DD838,45),0)</f>
        <v/>
      </c>
      <c r="AV838">
        <f>IFERROR(INDEX(PP_Grid[#Data],$DD838,46),0)</f>
        <v/>
      </c>
      <c r="AW838">
        <f>IFERROR(INDEX(PP_Grid[#Data],$DD838,47),0)</f>
        <v/>
      </c>
      <c r="AX838">
        <f>IFERROR(INDEX(PP_Grid[#Data],$DD838,48),0)</f>
        <v/>
      </c>
      <c r="AY838">
        <f>IFERROR(INDEX(PP_Grid[#Data],$DD838,49),0)</f>
        <v/>
      </c>
      <c r="AZ838">
        <f>IFERROR(INDEX(PP_Grid[#Data],$DD838,50),0)</f>
        <v/>
      </c>
      <c r="BA838">
        <f>IFERROR(INDEX(PP_Grid[#Data],$DD838,51),0)</f>
        <v/>
      </c>
      <c r="BB838">
        <f>IFERROR(INDEX(PP_Grid[#Data],$DD838,52),0)</f>
        <v/>
      </c>
      <c r="BC838">
        <f>IFERROR(INDEX(PP_Grid[#Data],$DD838,53),0)</f>
        <v/>
      </c>
      <c r="BD838">
        <f>IFERROR(INDEX(PP_Grid[#Data],$DD838,54),0)</f>
        <v/>
      </c>
      <c r="BE838">
        <f>IFERROR(INDEX(PP_Grid[#Data],$DD838,55),0)</f>
        <v/>
      </c>
      <c r="BF838">
        <f>IFERROR(INDEX(PP_Grid[#Data],$DD838,56),0)</f>
        <v/>
      </c>
      <c r="BG838">
        <f>IFERROR(INDEX(PP_Grid[#Data],$DD838,57),0)</f>
        <v/>
      </c>
      <c r="BH838">
        <f>IFERROR(INDEX(PP_Grid[#Data],$DD838,58),0)</f>
        <v/>
      </c>
      <c r="BI838">
        <f>IFERROR(INDEX(PP_Grid[#Data],$DD838,59),0)</f>
        <v/>
      </c>
      <c r="BJ838">
        <f>IFERROR(INDEX(PP_Grid[#Data],$DD838,60),0)</f>
        <v/>
      </c>
      <c r="BK838">
        <f>IFERROR(INDEX(PP_Grid[#Data],$DD838,61),0)</f>
        <v/>
      </c>
      <c r="BL838">
        <f>IFERROR(INDEX(PP_Grid[#Data],$DD838,62),0)</f>
        <v/>
      </c>
      <c r="BM838">
        <f>IFERROR(INDEX(PP_Grid[#Data],$DD838,63),0)</f>
        <v/>
      </c>
      <c r="BN838">
        <f>IFERROR(INDEX(PP_Grid[#Data],$DD838,64),0)</f>
        <v/>
      </c>
      <c r="BO838">
        <f>IFERROR(INDEX(PP_Grid[#Data],$DD838,65),0)</f>
        <v/>
      </c>
      <c r="BP838">
        <f>IFERROR(INDEX(PP_Grid[#Data],$DD838,66),0)</f>
        <v/>
      </c>
      <c r="BQ838">
        <f>IFERROR(INDEX(PP_Grid[#Data],$DD838,67),0)</f>
        <v/>
      </c>
      <c r="BR838">
        <f>IFERROR(INDEX(PP_Grid[#Data],$DD838,68),0)</f>
        <v/>
      </c>
      <c r="BS838">
        <f>IFERROR(INDEX(PP_Grid[#Data],$DD838,69),0)</f>
        <v/>
      </c>
      <c r="BT838">
        <f>IFERROR(INDEX(PP_Grid[#Data],$DD838,70),0)</f>
        <v/>
      </c>
      <c r="BU838">
        <f>IFERROR(INDEX(PP_Grid[#Data],$DD838,71),0)</f>
        <v/>
      </c>
      <c r="BV838">
        <f>IFERROR(INDEX(PP_Grid[#Data],$DD838,72),0)</f>
        <v/>
      </c>
      <c r="BW838">
        <f>IFERROR(INDEX(PP_Grid[#Data],$DD838,73),0)</f>
        <v/>
      </c>
      <c r="BX838">
        <f>IFERROR(INDEX(PP_Grid[#Data],$DD838,74),0)</f>
        <v/>
      </c>
      <c r="BY838">
        <f>IFERROR(INDEX(PP_Grid[#Data],$DD838,75),0)</f>
        <v/>
      </c>
      <c r="BZ838">
        <f>IFERROR(INDEX(PP_Grid[#Data],$DD838,76),0)</f>
        <v/>
      </c>
      <c r="CA838">
        <f>IFERROR(INDEX(PP_Grid[#Data],$DD838,77),0)</f>
        <v/>
      </c>
      <c r="CB838">
        <f>IFERROR(INDEX(PP_Grid[#Data],$DD838,78),0)</f>
        <v/>
      </c>
      <c r="CC838">
        <f>IFERROR(INDEX(PP_Grid[#Data],$DD838,79),0)</f>
        <v/>
      </c>
      <c r="CD838">
        <f>IFERROR(INDEX(PP_Grid[#Data],$DD838,80),0)</f>
        <v/>
      </c>
      <c r="CE838">
        <f>IFERROR(INDEX(PP_Grid[#Data],$DD838,81),0)</f>
        <v/>
      </c>
      <c r="CF838">
        <f>IFERROR(INDEX(PP_Grid[#Data],$DD838,82),0)</f>
        <v/>
      </c>
      <c r="CG838">
        <f>IFERROR(INDEX(PP_Grid[#Data],$DD838,83),0)</f>
        <v/>
      </c>
      <c r="CH838">
        <f>IFERROR(INDEX(PP_Grid[#Data],$DD838,84),0)</f>
        <v/>
      </c>
      <c r="CI838">
        <f>IFERROR(INDEX(PP_Grid[#Data],$DD838,85),0)</f>
        <v/>
      </c>
      <c r="CJ838">
        <f>IFERROR(INDEX(PP_Grid[#Data],$DD838,86),0)</f>
        <v/>
      </c>
      <c r="CK838">
        <f>IFERROR(INDEX(PP_Grid[#Data],$DD838,87),0)</f>
        <v/>
      </c>
      <c r="CL838">
        <f>IFERROR(INDEX(PP_Grid[#Data],$DD838,88),0)</f>
        <v/>
      </c>
      <c r="CM838">
        <f>IFERROR(INDEX(PP_Grid[#Data],$DD838,89),0)</f>
        <v/>
      </c>
      <c r="CN838">
        <f>IFERROR(INDEX(PP_Grid[#Data],$DD838,90),0)</f>
        <v/>
      </c>
      <c r="CO838">
        <f>IFERROR(INDEX(PP_Grid[#Data],$DD838,91),0)</f>
        <v/>
      </c>
      <c r="CP838">
        <f>IFERROR(INDEX(PP_Grid[#Data],$DD838,92),0)</f>
        <v/>
      </c>
      <c r="CQ838">
        <f>IFERROR(INDEX(PP_Grid[#Data],$DD838,93),0)</f>
        <v/>
      </c>
      <c r="CR838">
        <f>IFERROR(INDEX(PP_Grid[#Data],$DD838,94),0)</f>
        <v/>
      </c>
      <c r="CS838">
        <f>IFERROR(INDEX(PP_Grid[#Data],$DD838,95),0)</f>
        <v/>
      </c>
      <c r="CT838">
        <f>IFERROR(INDEX(PP_Grid[#Data],$DD838,96),0)</f>
        <v/>
      </c>
      <c r="CU838">
        <f>IFERROR(INDEX(PP_Grid[#Data],$DD838,97),0)</f>
        <v/>
      </c>
      <c r="CV838">
        <f>IFERROR(INDEX(PP_Grid[#Data],$DD838,98),0)</f>
        <v/>
      </c>
      <c r="CW838">
        <f>IFERROR(INDEX(PP_Grid[#Data],$DD838,99),0)</f>
        <v/>
      </c>
      <c r="CX838">
        <f>IFERROR(INDEX(PP_Grid[#Data],$DD838,100),0)</f>
        <v/>
      </c>
      <c r="CY838">
        <f>IFERROR(INDEX(PP_Grid[#Data],$DD838,101),0)</f>
        <v/>
      </c>
      <c r="CZ838">
        <f>IFERROR(INDEX(PP_Grid[#Data],$DD838,102),0)</f>
        <v/>
      </c>
      <c r="DA838">
        <f>IFERROR(INDEX(PP_Grid[#Data],$DD838,103),0)</f>
        <v/>
      </c>
      <c r="DB838">
        <f>IFERROR(INDEX(PP_Grid[#Data],$DD838,104),0)</f>
        <v/>
      </c>
      <c r="DC838">
        <f>IFERROR(INDEX(PP_Grid[#Data],$DD838,105),0)</f>
        <v/>
      </c>
      <c r="DD838" s="7">
        <f>IFERROR(MATCH($B838,PP_Grid[Intermediate],0),99999)</f>
        <v/>
      </c>
    </row>
    <row r="839">
      <c r="B839" t="inlineStr">
        <is>
          <t>使用量(kg)</t>
        </is>
      </c>
      <c r="C839">
        <f>SUMIFS(M_BOM[RM_Qty_Per_Batch],M_BOM[Intermediate],$B838,M_BOM[Part Name],$A833)</f>
        <v/>
      </c>
      <c r="D839">
        <f>$C839*D838</f>
        <v/>
      </c>
      <c r="E839">
        <f>$C839*E838</f>
        <v/>
      </c>
      <c r="F839">
        <f>$C839*F838</f>
        <v/>
      </c>
      <c r="G839">
        <f>$C839*G838</f>
        <v/>
      </c>
      <c r="H839">
        <f>$C839*H838</f>
        <v/>
      </c>
      <c r="I839">
        <f>$C839*I838</f>
        <v/>
      </c>
      <c r="J839">
        <f>$C839*J838</f>
        <v/>
      </c>
      <c r="K839">
        <f>$C839*K838</f>
        <v/>
      </c>
      <c r="L839">
        <f>$C839*L838</f>
        <v/>
      </c>
      <c r="M839">
        <f>$C839*M838</f>
        <v/>
      </c>
      <c r="N839">
        <f>$C839*N838</f>
        <v/>
      </c>
      <c r="O839">
        <f>$C839*O838</f>
        <v/>
      </c>
      <c r="P839">
        <f>$C839*P838</f>
        <v/>
      </c>
      <c r="Q839">
        <f>$C839*Q838</f>
        <v/>
      </c>
      <c r="R839">
        <f>$C839*R838</f>
        <v/>
      </c>
      <c r="S839">
        <f>$C839*S838</f>
        <v/>
      </c>
      <c r="T839">
        <f>$C839*T838</f>
        <v/>
      </c>
      <c r="U839">
        <f>$C839*U838</f>
        <v/>
      </c>
      <c r="V839">
        <f>$C839*V838</f>
        <v/>
      </c>
      <c r="W839">
        <f>$C839*W838</f>
        <v/>
      </c>
      <c r="X839">
        <f>$C839*X838</f>
        <v/>
      </c>
      <c r="Y839">
        <f>$C839*Y838</f>
        <v/>
      </c>
      <c r="Z839">
        <f>$C839*Z838</f>
        <v/>
      </c>
      <c r="AA839">
        <f>$C839*AA838</f>
        <v/>
      </c>
      <c r="AB839">
        <f>$C839*AB838</f>
        <v/>
      </c>
      <c r="AC839">
        <f>$C839*AC838</f>
        <v/>
      </c>
      <c r="AD839">
        <f>$C839*AD838</f>
        <v/>
      </c>
      <c r="AE839">
        <f>$C839*AE838</f>
        <v/>
      </c>
      <c r="AF839">
        <f>$C839*AF838</f>
        <v/>
      </c>
      <c r="AG839">
        <f>$C839*AG838</f>
        <v/>
      </c>
      <c r="AH839">
        <f>$C839*AH838</f>
        <v/>
      </c>
      <c r="AI839">
        <f>$C839*AI838</f>
        <v/>
      </c>
      <c r="AJ839">
        <f>$C839*AJ838</f>
        <v/>
      </c>
      <c r="AK839">
        <f>$C839*AK838</f>
        <v/>
      </c>
      <c r="AL839">
        <f>$C839*AL838</f>
        <v/>
      </c>
      <c r="AM839">
        <f>$C839*AM838</f>
        <v/>
      </c>
      <c r="AN839">
        <f>$C839*AN838</f>
        <v/>
      </c>
      <c r="AO839">
        <f>$C839*AO838</f>
        <v/>
      </c>
      <c r="AP839">
        <f>$C839*AP838</f>
        <v/>
      </c>
      <c r="AQ839">
        <f>$C839*AQ838</f>
        <v/>
      </c>
      <c r="AR839">
        <f>$C839*AR838</f>
        <v/>
      </c>
      <c r="AS839">
        <f>$C839*AS838</f>
        <v/>
      </c>
      <c r="AT839">
        <f>$C839*AT838</f>
        <v/>
      </c>
      <c r="AU839">
        <f>$C839*AU838</f>
        <v/>
      </c>
      <c r="AV839">
        <f>$C839*AV838</f>
        <v/>
      </c>
      <c r="AW839">
        <f>$C839*AW838</f>
        <v/>
      </c>
      <c r="AX839">
        <f>$C839*AX838</f>
        <v/>
      </c>
      <c r="AY839">
        <f>$C839*AY838</f>
        <v/>
      </c>
      <c r="AZ839">
        <f>$C839*AZ838</f>
        <v/>
      </c>
      <c r="BA839">
        <f>$C839*BA838</f>
        <v/>
      </c>
      <c r="BB839">
        <f>$C839*BB838</f>
        <v/>
      </c>
      <c r="BC839">
        <f>$C839*BC838</f>
        <v/>
      </c>
      <c r="BD839">
        <f>$C839*BD838</f>
        <v/>
      </c>
      <c r="BE839">
        <f>$C839*BE838</f>
        <v/>
      </c>
      <c r="BF839">
        <f>$C839*BF838</f>
        <v/>
      </c>
      <c r="BG839">
        <f>$C839*BG838</f>
        <v/>
      </c>
      <c r="BH839">
        <f>$C839*BH838</f>
        <v/>
      </c>
      <c r="BI839">
        <f>$C839*BI838</f>
        <v/>
      </c>
      <c r="BJ839">
        <f>$C839*BJ838</f>
        <v/>
      </c>
      <c r="BK839">
        <f>$C839*BK838</f>
        <v/>
      </c>
      <c r="BL839">
        <f>$C839*BL838</f>
        <v/>
      </c>
      <c r="BM839">
        <f>$C839*BM838</f>
        <v/>
      </c>
      <c r="BN839">
        <f>$C839*BN838</f>
        <v/>
      </c>
      <c r="BO839">
        <f>$C839*BO838</f>
        <v/>
      </c>
      <c r="BP839">
        <f>$C839*BP838</f>
        <v/>
      </c>
      <c r="BQ839">
        <f>$C839*BQ838</f>
        <v/>
      </c>
      <c r="BR839">
        <f>$C839*BR838</f>
        <v/>
      </c>
      <c r="BS839">
        <f>$C839*BS838</f>
        <v/>
      </c>
      <c r="BT839">
        <f>$C839*BT838</f>
        <v/>
      </c>
      <c r="BU839">
        <f>$C839*BU838</f>
        <v/>
      </c>
      <c r="BV839">
        <f>$C839*BV838</f>
        <v/>
      </c>
      <c r="BW839">
        <f>$C839*BW838</f>
        <v/>
      </c>
      <c r="BX839">
        <f>$C839*BX838</f>
        <v/>
      </c>
      <c r="BY839">
        <f>$C839*BY838</f>
        <v/>
      </c>
      <c r="BZ839">
        <f>$C839*BZ838</f>
        <v/>
      </c>
      <c r="CA839">
        <f>$C839*CA838</f>
        <v/>
      </c>
      <c r="CB839">
        <f>$C839*CB838</f>
        <v/>
      </c>
      <c r="CC839">
        <f>$C839*CC838</f>
        <v/>
      </c>
      <c r="CD839">
        <f>$C839*CD838</f>
        <v/>
      </c>
      <c r="CE839">
        <f>$C839*CE838</f>
        <v/>
      </c>
      <c r="CF839">
        <f>$C839*CF838</f>
        <v/>
      </c>
      <c r="CG839">
        <f>$C839*CG838</f>
        <v/>
      </c>
      <c r="CH839">
        <f>$C839*CH838</f>
        <v/>
      </c>
      <c r="CI839">
        <f>$C839*CI838</f>
        <v/>
      </c>
      <c r="CJ839">
        <f>$C839*CJ838</f>
        <v/>
      </c>
      <c r="CK839">
        <f>$C839*CK838</f>
        <v/>
      </c>
      <c r="CL839">
        <f>$C839*CL838</f>
        <v/>
      </c>
      <c r="CM839">
        <f>$C839*CM838</f>
        <v/>
      </c>
      <c r="CN839">
        <f>$C839*CN838</f>
        <v/>
      </c>
      <c r="CO839">
        <f>$C839*CO838</f>
        <v/>
      </c>
      <c r="CP839">
        <f>$C839*CP838</f>
        <v/>
      </c>
      <c r="CQ839">
        <f>$C839*CQ838</f>
        <v/>
      </c>
      <c r="CR839">
        <f>$C839*CR838</f>
        <v/>
      </c>
      <c r="CS839">
        <f>$C839*CS838</f>
        <v/>
      </c>
      <c r="CT839">
        <f>$C839*CT838</f>
        <v/>
      </c>
      <c r="CU839">
        <f>$C839*CU838</f>
        <v/>
      </c>
      <c r="CV839">
        <f>$C839*CV838</f>
        <v/>
      </c>
      <c r="CW839">
        <f>$C839*CW838</f>
        <v/>
      </c>
      <c r="CX839">
        <f>$C839*CX838</f>
        <v/>
      </c>
      <c r="CY839">
        <f>$C839*CY838</f>
        <v/>
      </c>
      <c r="CZ839">
        <f>$C839*CZ838</f>
        <v/>
      </c>
      <c r="DA839">
        <f>$C839*DA838</f>
        <v/>
      </c>
      <c r="DB839">
        <f>$C839*DB838</f>
        <v/>
      </c>
      <c r="DC839">
        <f>$C839*DC838</f>
        <v/>
      </c>
    </row>
    <row r="840">
      <c r="B840" t="inlineStr">
        <is>
          <t>TSP-928</t>
        </is>
      </c>
      <c r="C840" t="inlineStr">
        <is>
          <t>No. of batches</t>
        </is>
      </c>
      <c r="D840">
        <f>IFERROR(INDEX(PP_Grid[#Data],$DD840,2),0)</f>
        <v/>
      </c>
      <c r="E840">
        <f>IFERROR(INDEX(PP_Grid[#Data],$DD840,3),0)</f>
        <v/>
      </c>
      <c r="F840">
        <f>IFERROR(INDEX(PP_Grid[#Data],$DD840,4),0)</f>
        <v/>
      </c>
      <c r="G840">
        <f>IFERROR(INDEX(PP_Grid[#Data],$DD840,5),0)</f>
        <v/>
      </c>
      <c r="H840">
        <f>IFERROR(INDEX(PP_Grid[#Data],$DD840,6),0)</f>
        <v/>
      </c>
      <c r="I840">
        <f>IFERROR(INDEX(PP_Grid[#Data],$DD840,7),0)</f>
        <v/>
      </c>
      <c r="J840">
        <f>IFERROR(INDEX(PP_Grid[#Data],$DD840,8),0)</f>
        <v/>
      </c>
      <c r="K840">
        <f>IFERROR(INDEX(PP_Grid[#Data],$DD840,9),0)</f>
        <v/>
      </c>
      <c r="L840">
        <f>IFERROR(INDEX(PP_Grid[#Data],$DD840,10),0)</f>
        <v/>
      </c>
      <c r="M840">
        <f>IFERROR(INDEX(PP_Grid[#Data],$DD840,11),0)</f>
        <v/>
      </c>
      <c r="N840">
        <f>IFERROR(INDEX(PP_Grid[#Data],$DD840,12),0)</f>
        <v/>
      </c>
      <c r="O840">
        <f>IFERROR(INDEX(PP_Grid[#Data],$DD840,13),0)</f>
        <v/>
      </c>
      <c r="P840">
        <f>IFERROR(INDEX(PP_Grid[#Data],$DD840,14),0)</f>
        <v/>
      </c>
      <c r="Q840">
        <f>IFERROR(INDEX(PP_Grid[#Data],$DD840,15),0)</f>
        <v/>
      </c>
      <c r="R840">
        <f>IFERROR(INDEX(PP_Grid[#Data],$DD840,16),0)</f>
        <v/>
      </c>
      <c r="S840">
        <f>IFERROR(INDEX(PP_Grid[#Data],$DD840,17),0)</f>
        <v/>
      </c>
      <c r="T840">
        <f>IFERROR(INDEX(PP_Grid[#Data],$DD840,18),0)</f>
        <v/>
      </c>
      <c r="U840">
        <f>IFERROR(INDEX(PP_Grid[#Data],$DD840,19),0)</f>
        <v/>
      </c>
      <c r="V840">
        <f>IFERROR(INDEX(PP_Grid[#Data],$DD840,20),0)</f>
        <v/>
      </c>
      <c r="W840">
        <f>IFERROR(INDEX(PP_Grid[#Data],$DD840,21),0)</f>
        <v/>
      </c>
      <c r="X840">
        <f>IFERROR(INDEX(PP_Grid[#Data],$DD840,22),0)</f>
        <v/>
      </c>
      <c r="Y840">
        <f>IFERROR(INDEX(PP_Grid[#Data],$DD840,23),0)</f>
        <v/>
      </c>
      <c r="Z840">
        <f>IFERROR(INDEX(PP_Grid[#Data],$DD840,24),0)</f>
        <v/>
      </c>
      <c r="AA840">
        <f>IFERROR(INDEX(PP_Grid[#Data],$DD840,25),0)</f>
        <v/>
      </c>
      <c r="AB840">
        <f>IFERROR(INDEX(PP_Grid[#Data],$DD840,26),0)</f>
        <v/>
      </c>
      <c r="AC840">
        <f>IFERROR(INDEX(PP_Grid[#Data],$DD840,27),0)</f>
        <v/>
      </c>
      <c r="AD840">
        <f>IFERROR(INDEX(PP_Grid[#Data],$DD840,28),0)</f>
        <v/>
      </c>
      <c r="AE840">
        <f>IFERROR(INDEX(PP_Grid[#Data],$DD840,29),0)</f>
        <v/>
      </c>
      <c r="AF840">
        <f>IFERROR(INDEX(PP_Grid[#Data],$DD840,30),0)</f>
        <v/>
      </c>
      <c r="AG840">
        <f>IFERROR(INDEX(PP_Grid[#Data],$DD840,31),0)</f>
        <v/>
      </c>
      <c r="AH840">
        <f>IFERROR(INDEX(PP_Grid[#Data],$DD840,32),0)</f>
        <v/>
      </c>
      <c r="AI840">
        <f>IFERROR(INDEX(PP_Grid[#Data],$DD840,33),0)</f>
        <v/>
      </c>
      <c r="AJ840">
        <f>IFERROR(INDEX(PP_Grid[#Data],$DD840,34),0)</f>
        <v/>
      </c>
      <c r="AK840">
        <f>IFERROR(INDEX(PP_Grid[#Data],$DD840,35),0)</f>
        <v/>
      </c>
      <c r="AL840">
        <f>IFERROR(INDEX(PP_Grid[#Data],$DD840,36),0)</f>
        <v/>
      </c>
      <c r="AM840">
        <f>IFERROR(INDEX(PP_Grid[#Data],$DD840,37),0)</f>
        <v/>
      </c>
      <c r="AN840">
        <f>IFERROR(INDEX(PP_Grid[#Data],$DD840,38),0)</f>
        <v/>
      </c>
      <c r="AO840">
        <f>IFERROR(INDEX(PP_Grid[#Data],$DD840,39),0)</f>
        <v/>
      </c>
      <c r="AP840">
        <f>IFERROR(INDEX(PP_Grid[#Data],$DD840,40),0)</f>
        <v/>
      </c>
      <c r="AQ840">
        <f>IFERROR(INDEX(PP_Grid[#Data],$DD840,41),0)</f>
        <v/>
      </c>
      <c r="AR840">
        <f>IFERROR(INDEX(PP_Grid[#Data],$DD840,42),0)</f>
        <v/>
      </c>
      <c r="AS840">
        <f>IFERROR(INDEX(PP_Grid[#Data],$DD840,43),0)</f>
        <v/>
      </c>
      <c r="AT840">
        <f>IFERROR(INDEX(PP_Grid[#Data],$DD840,44),0)</f>
        <v/>
      </c>
      <c r="AU840">
        <f>IFERROR(INDEX(PP_Grid[#Data],$DD840,45),0)</f>
        <v/>
      </c>
      <c r="AV840">
        <f>IFERROR(INDEX(PP_Grid[#Data],$DD840,46),0)</f>
        <v/>
      </c>
      <c r="AW840">
        <f>IFERROR(INDEX(PP_Grid[#Data],$DD840,47),0)</f>
        <v/>
      </c>
      <c r="AX840">
        <f>IFERROR(INDEX(PP_Grid[#Data],$DD840,48),0)</f>
        <v/>
      </c>
      <c r="AY840">
        <f>IFERROR(INDEX(PP_Grid[#Data],$DD840,49),0)</f>
        <v/>
      </c>
      <c r="AZ840">
        <f>IFERROR(INDEX(PP_Grid[#Data],$DD840,50),0)</f>
        <v/>
      </c>
      <c r="BA840">
        <f>IFERROR(INDEX(PP_Grid[#Data],$DD840,51),0)</f>
        <v/>
      </c>
      <c r="BB840">
        <f>IFERROR(INDEX(PP_Grid[#Data],$DD840,52),0)</f>
        <v/>
      </c>
      <c r="BC840">
        <f>IFERROR(INDEX(PP_Grid[#Data],$DD840,53),0)</f>
        <v/>
      </c>
      <c r="BD840">
        <f>IFERROR(INDEX(PP_Grid[#Data],$DD840,54),0)</f>
        <v/>
      </c>
      <c r="BE840">
        <f>IFERROR(INDEX(PP_Grid[#Data],$DD840,55),0)</f>
        <v/>
      </c>
      <c r="BF840">
        <f>IFERROR(INDEX(PP_Grid[#Data],$DD840,56),0)</f>
        <v/>
      </c>
      <c r="BG840">
        <f>IFERROR(INDEX(PP_Grid[#Data],$DD840,57),0)</f>
        <v/>
      </c>
      <c r="BH840">
        <f>IFERROR(INDEX(PP_Grid[#Data],$DD840,58),0)</f>
        <v/>
      </c>
      <c r="BI840">
        <f>IFERROR(INDEX(PP_Grid[#Data],$DD840,59),0)</f>
        <v/>
      </c>
      <c r="BJ840">
        <f>IFERROR(INDEX(PP_Grid[#Data],$DD840,60),0)</f>
        <v/>
      </c>
      <c r="BK840">
        <f>IFERROR(INDEX(PP_Grid[#Data],$DD840,61),0)</f>
        <v/>
      </c>
      <c r="BL840">
        <f>IFERROR(INDEX(PP_Grid[#Data],$DD840,62),0)</f>
        <v/>
      </c>
      <c r="BM840">
        <f>IFERROR(INDEX(PP_Grid[#Data],$DD840,63),0)</f>
        <v/>
      </c>
      <c r="BN840">
        <f>IFERROR(INDEX(PP_Grid[#Data],$DD840,64),0)</f>
        <v/>
      </c>
      <c r="BO840">
        <f>IFERROR(INDEX(PP_Grid[#Data],$DD840,65),0)</f>
        <v/>
      </c>
      <c r="BP840">
        <f>IFERROR(INDEX(PP_Grid[#Data],$DD840,66),0)</f>
        <v/>
      </c>
      <c r="BQ840">
        <f>IFERROR(INDEX(PP_Grid[#Data],$DD840,67),0)</f>
        <v/>
      </c>
      <c r="BR840">
        <f>IFERROR(INDEX(PP_Grid[#Data],$DD840,68),0)</f>
        <v/>
      </c>
      <c r="BS840">
        <f>IFERROR(INDEX(PP_Grid[#Data],$DD840,69),0)</f>
        <v/>
      </c>
      <c r="BT840">
        <f>IFERROR(INDEX(PP_Grid[#Data],$DD840,70),0)</f>
        <v/>
      </c>
      <c r="BU840">
        <f>IFERROR(INDEX(PP_Grid[#Data],$DD840,71),0)</f>
        <v/>
      </c>
      <c r="BV840">
        <f>IFERROR(INDEX(PP_Grid[#Data],$DD840,72),0)</f>
        <v/>
      </c>
      <c r="BW840">
        <f>IFERROR(INDEX(PP_Grid[#Data],$DD840,73),0)</f>
        <v/>
      </c>
      <c r="BX840">
        <f>IFERROR(INDEX(PP_Grid[#Data],$DD840,74),0)</f>
        <v/>
      </c>
      <c r="BY840">
        <f>IFERROR(INDEX(PP_Grid[#Data],$DD840,75),0)</f>
        <v/>
      </c>
      <c r="BZ840">
        <f>IFERROR(INDEX(PP_Grid[#Data],$DD840,76),0)</f>
        <v/>
      </c>
      <c r="CA840">
        <f>IFERROR(INDEX(PP_Grid[#Data],$DD840,77),0)</f>
        <v/>
      </c>
      <c r="CB840">
        <f>IFERROR(INDEX(PP_Grid[#Data],$DD840,78),0)</f>
        <v/>
      </c>
      <c r="CC840">
        <f>IFERROR(INDEX(PP_Grid[#Data],$DD840,79),0)</f>
        <v/>
      </c>
      <c r="CD840">
        <f>IFERROR(INDEX(PP_Grid[#Data],$DD840,80),0)</f>
        <v/>
      </c>
      <c r="CE840">
        <f>IFERROR(INDEX(PP_Grid[#Data],$DD840,81),0)</f>
        <v/>
      </c>
      <c r="CF840">
        <f>IFERROR(INDEX(PP_Grid[#Data],$DD840,82),0)</f>
        <v/>
      </c>
      <c r="CG840">
        <f>IFERROR(INDEX(PP_Grid[#Data],$DD840,83),0)</f>
        <v/>
      </c>
      <c r="CH840">
        <f>IFERROR(INDEX(PP_Grid[#Data],$DD840,84),0)</f>
        <v/>
      </c>
      <c r="CI840">
        <f>IFERROR(INDEX(PP_Grid[#Data],$DD840,85),0)</f>
        <v/>
      </c>
      <c r="CJ840">
        <f>IFERROR(INDEX(PP_Grid[#Data],$DD840,86),0)</f>
        <v/>
      </c>
      <c r="CK840">
        <f>IFERROR(INDEX(PP_Grid[#Data],$DD840,87),0)</f>
        <v/>
      </c>
      <c r="CL840">
        <f>IFERROR(INDEX(PP_Grid[#Data],$DD840,88),0)</f>
        <v/>
      </c>
      <c r="CM840">
        <f>IFERROR(INDEX(PP_Grid[#Data],$DD840,89),0)</f>
        <v/>
      </c>
      <c r="CN840">
        <f>IFERROR(INDEX(PP_Grid[#Data],$DD840,90),0)</f>
        <v/>
      </c>
      <c r="CO840">
        <f>IFERROR(INDEX(PP_Grid[#Data],$DD840,91),0)</f>
        <v/>
      </c>
      <c r="CP840">
        <f>IFERROR(INDEX(PP_Grid[#Data],$DD840,92),0)</f>
        <v/>
      </c>
      <c r="CQ840">
        <f>IFERROR(INDEX(PP_Grid[#Data],$DD840,93),0)</f>
        <v/>
      </c>
      <c r="CR840">
        <f>IFERROR(INDEX(PP_Grid[#Data],$DD840,94),0)</f>
        <v/>
      </c>
      <c r="CS840">
        <f>IFERROR(INDEX(PP_Grid[#Data],$DD840,95),0)</f>
        <v/>
      </c>
      <c r="CT840">
        <f>IFERROR(INDEX(PP_Grid[#Data],$DD840,96),0)</f>
        <v/>
      </c>
      <c r="CU840">
        <f>IFERROR(INDEX(PP_Grid[#Data],$DD840,97),0)</f>
        <v/>
      </c>
      <c r="CV840">
        <f>IFERROR(INDEX(PP_Grid[#Data],$DD840,98),0)</f>
        <v/>
      </c>
      <c r="CW840">
        <f>IFERROR(INDEX(PP_Grid[#Data],$DD840,99),0)</f>
        <v/>
      </c>
      <c r="CX840">
        <f>IFERROR(INDEX(PP_Grid[#Data],$DD840,100),0)</f>
        <v/>
      </c>
      <c r="CY840">
        <f>IFERROR(INDEX(PP_Grid[#Data],$DD840,101),0)</f>
        <v/>
      </c>
      <c r="CZ840">
        <f>IFERROR(INDEX(PP_Grid[#Data],$DD840,102),0)</f>
        <v/>
      </c>
      <c r="DA840">
        <f>IFERROR(INDEX(PP_Grid[#Data],$DD840,103),0)</f>
        <v/>
      </c>
      <c r="DB840">
        <f>IFERROR(INDEX(PP_Grid[#Data],$DD840,104),0)</f>
        <v/>
      </c>
      <c r="DC840">
        <f>IFERROR(INDEX(PP_Grid[#Data],$DD840,105),0)</f>
        <v/>
      </c>
      <c r="DD840" s="7">
        <f>IFERROR(MATCH($B840,PP_Grid[Intermediate],0),99999)</f>
        <v/>
      </c>
    </row>
    <row r="841">
      <c r="B841" t="inlineStr">
        <is>
          <t>使用量(kg)</t>
        </is>
      </c>
      <c r="C841">
        <f>SUMIFS(M_BOM[RM_Qty_Per_Batch],M_BOM[Intermediate],$B840,M_BOM[Part Name],$A833)</f>
        <v/>
      </c>
      <c r="D841">
        <f>$C841*D840</f>
        <v/>
      </c>
      <c r="E841">
        <f>$C841*E840</f>
        <v/>
      </c>
      <c r="F841">
        <f>$C841*F840</f>
        <v/>
      </c>
      <c r="G841">
        <f>$C841*G840</f>
        <v/>
      </c>
      <c r="H841">
        <f>$C841*H840</f>
        <v/>
      </c>
      <c r="I841">
        <f>$C841*I840</f>
        <v/>
      </c>
      <c r="J841">
        <f>$C841*J840</f>
        <v/>
      </c>
      <c r="K841">
        <f>$C841*K840</f>
        <v/>
      </c>
      <c r="L841">
        <f>$C841*L840</f>
        <v/>
      </c>
      <c r="M841">
        <f>$C841*M840</f>
        <v/>
      </c>
      <c r="N841">
        <f>$C841*N840</f>
        <v/>
      </c>
      <c r="O841">
        <f>$C841*O840</f>
        <v/>
      </c>
      <c r="P841">
        <f>$C841*P840</f>
        <v/>
      </c>
      <c r="Q841">
        <f>$C841*Q840</f>
        <v/>
      </c>
      <c r="R841">
        <f>$C841*R840</f>
        <v/>
      </c>
      <c r="S841">
        <f>$C841*S840</f>
        <v/>
      </c>
      <c r="T841">
        <f>$C841*T840</f>
        <v/>
      </c>
      <c r="U841">
        <f>$C841*U840</f>
        <v/>
      </c>
      <c r="V841">
        <f>$C841*V840</f>
        <v/>
      </c>
      <c r="W841">
        <f>$C841*W840</f>
        <v/>
      </c>
      <c r="X841">
        <f>$C841*X840</f>
        <v/>
      </c>
      <c r="Y841">
        <f>$C841*Y840</f>
        <v/>
      </c>
      <c r="Z841">
        <f>$C841*Z840</f>
        <v/>
      </c>
      <c r="AA841">
        <f>$C841*AA840</f>
        <v/>
      </c>
      <c r="AB841">
        <f>$C841*AB840</f>
        <v/>
      </c>
      <c r="AC841">
        <f>$C841*AC840</f>
        <v/>
      </c>
      <c r="AD841">
        <f>$C841*AD840</f>
        <v/>
      </c>
      <c r="AE841">
        <f>$C841*AE840</f>
        <v/>
      </c>
      <c r="AF841">
        <f>$C841*AF840</f>
        <v/>
      </c>
      <c r="AG841">
        <f>$C841*AG840</f>
        <v/>
      </c>
      <c r="AH841">
        <f>$C841*AH840</f>
        <v/>
      </c>
      <c r="AI841">
        <f>$C841*AI840</f>
        <v/>
      </c>
      <c r="AJ841">
        <f>$C841*AJ840</f>
        <v/>
      </c>
      <c r="AK841">
        <f>$C841*AK840</f>
        <v/>
      </c>
      <c r="AL841">
        <f>$C841*AL840</f>
        <v/>
      </c>
      <c r="AM841">
        <f>$C841*AM840</f>
        <v/>
      </c>
      <c r="AN841">
        <f>$C841*AN840</f>
        <v/>
      </c>
      <c r="AO841">
        <f>$C841*AO840</f>
        <v/>
      </c>
      <c r="AP841">
        <f>$C841*AP840</f>
        <v/>
      </c>
      <c r="AQ841">
        <f>$C841*AQ840</f>
        <v/>
      </c>
      <c r="AR841">
        <f>$C841*AR840</f>
        <v/>
      </c>
      <c r="AS841">
        <f>$C841*AS840</f>
        <v/>
      </c>
      <c r="AT841">
        <f>$C841*AT840</f>
        <v/>
      </c>
      <c r="AU841">
        <f>$C841*AU840</f>
        <v/>
      </c>
      <c r="AV841">
        <f>$C841*AV840</f>
        <v/>
      </c>
      <c r="AW841">
        <f>$C841*AW840</f>
        <v/>
      </c>
      <c r="AX841">
        <f>$C841*AX840</f>
        <v/>
      </c>
      <c r="AY841">
        <f>$C841*AY840</f>
        <v/>
      </c>
      <c r="AZ841">
        <f>$C841*AZ840</f>
        <v/>
      </c>
      <c r="BA841">
        <f>$C841*BA840</f>
        <v/>
      </c>
      <c r="BB841">
        <f>$C841*BB840</f>
        <v/>
      </c>
      <c r="BC841">
        <f>$C841*BC840</f>
        <v/>
      </c>
      <c r="BD841">
        <f>$C841*BD840</f>
        <v/>
      </c>
      <c r="BE841">
        <f>$C841*BE840</f>
        <v/>
      </c>
      <c r="BF841">
        <f>$C841*BF840</f>
        <v/>
      </c>
      <c r="BG841">
        <f>$C841*BG840</f>
        <v/>
      </c>
      <c r="BH841">
        <f>$C841*BH840</f>
        <v/>
      </c>
      <c r="BI841">
        <f>$C841*BI840</f>
        <v/>
      </c>
      <c r="BJ841">
        <f>$C841*BJ840</f>
        <v/>
      </c>
      <c r="BK841">
        <f>$C841*BK840</f>
        <v/>
      </c>
      <c r="BL841">
        <f>$C841*BL840</f>
        <v/>
      </c>
      <c r="BM841">
        <f>$C841*BM840</f>
        <v/>
      </c>
      <c r="BN841">
        <f>$C841*BN840</f>
        <v/>
      </c>
      <c r="BO841">
        <f>$C841*BO840</f>
        <v/>
      </c>
      <c r="BP841">
        <f>$C841*BP840</f>
        <v/>
      </c>
      <c r="BQ841">
        <f>$C841*BQ840</f>
        <v/>
      </c>
      <c r="BR841">
        <f>$C841*BR840</f>
        <v/>
      </c>
      <c r="BS841">
        <f>$C841*BS840</f>
        <v/>
      </c>
      <c r="BT841">
        <f>$C841*BT840</f>
        <v/>
      </c>
      <c r="BU841">
        <f>$C841*BU840</f>
        <v/>
      </c>
      <c r="BV841">
        <f>$C841*BV840</f>
        <v/>
      </c>
      <c r="BW841">
        <f>$C841*BW840</f>
        <v/>
      </c>
      <c r="BX841">
        <f>$C841*BX840</f>
        <v/>
      </c>
      <c r="BY841">
        <f>$C841*BY840</f>
        <v/>
      </c>
      <c r="BZ841">
        <f>$C841*BZ840</f>
        <v/>
      </c>
      <c r="CA841">
        <f>$C841*CA840</f>
        <v/>
      </c>
      <c r="CB841">
        <f>$C841*CB840</f>
        <v/>
      </c>
      <c r="CC841">
        <f>$C841*CC840</f>
        <v/>
      </c>
      <c r="CD841">
        <f>$C841*CD840</f>
        <v/>
      </c>
      <c r="CE841">
        <f>$C841*CE840</f>
        <v/>
      </c>
      <c r="CF841">
        <f>$C841*CF840</f>
        <v/>
      </c>
      <c r="CG841">
        <f>$C841*CG840</f>
        <v/>
      </c>
      <c r="CH841">
        <f>$C841*CH840</f>
        <v/>
      </c>
      <c r="CI841">
        <f>$C841*CI840</f>
        <v/>
      </c>
      <c r="CJ841">
        <f>$C841*CJ840</f>
        <v/>
      </c>
      <c r="CK841">
        <f>$C841*CK840</f>
        <v/>
      </c>
      <c r="CL841">
        <f>$C841*CL840</f>
        <v/>
      </c>
      <c r="CM841">
        <f>$C841*CM840</f>
        <v/>
      </c>
      <c r="CN841">
        <f>$C841*CN840</f>
        <v/>
      </c>
      <c r="CO841">
        <f>$C841*CO840</f>
        <v/>
      </c>
      <c r="CP841">
        <f>$C841*CP840</f>
        <v/>
      </c>
      <c r="CQ841">
        <f>$C841*CQ840</f>
        <v/>
      </c>
      <c r="CR841">
        <f>$C841*CR840</f>
        <v/>
      </c>
      <c r="CS841">
        <f>$C841*CS840</f>
        <v/>
      </c>
      <c r="CT841">
        <f>$C841*CT840</f>
        <v/>
      </c>
      <c r="CU841">
        <f>$C841*CU840</f>
        <v/>
      </c>
      <c r="CV841">
        <f>$C841*CV840</f>
        <v/>
      </c>
      <c r="CW841">
        <f>$C841*CW840</f>
        <v/>
      </c>
      <c r="CX841">
        <f>$C841*CX840</f>
        <v/>
      </c>
      <c r="CY841">
        <f>$C841*CY840</f>
        <v/>
      </c>
      <c r="CZ841">
        <f>$C841*CZ840</f>
        <v/>
      </c>
      <c r="DA841">
        <f>$C841*DA840</f>
        <v/>
      </c>
      <c r="DB841">
        <f>$C841*DB840</f>
        <v/>
      </c>
      <c r="DC841">
        <f>$C841*DC840</f>
        <v/>
      </c>
    </row>
    <row r="842">
      <c r="B842" t="inlineStr">
        <is>
          <t>TSP-929</t>
        </is>
      </c>
      <c r="C842" t="inlineStr">
        <is>
          <t>No. of batches</t>
        </is>
      </c>
      <c r="D842">
        <f>IFERROR(INDEX(PP_Grid[#Data],$DD842,2),0)</f>
        <v/>
      </c>
      <c r="E842">
        <f>IFERROR(INDEX(PP_Grid[#Data],$DD842,3),0)</f>
        <v/>
      </c>
      <c r="F842">
        <f>IFERROR(INDEX(PP_Grid[#Data],$DD842,4),0)</f>
        <v/>
      </c>
      <c r="G842">
        <f>IFERROR(INDEX(PP_Grid[#Data],$DD842,5),0)</f>
        <v/>
      </c>
      <c r="H842">
        <f>IFERROR(INDEX(PP_Grid[#Data],$DD842,6),0)</f>
        <v/>
      </c>
      <c r="I842">
        <f>IFERROR(INDEX(PP_Grid[#Data],$DD842,7),0)</f>
        <v/>
      </c>
      <c r="J842">
        <f>IFERROR(INDEX(PP_Grid[#Data],$DD842,8),0)</f>
        <v/>
      </c>
      <c r="K842">
        <f>IFERROR(INDEX(PP_Grid[#Data],$DD842,9),0)</f>
        <v/>
      </c>
      <c r="L842">
        <f>IFERROR(INDEX(PP_Grid[#Data],$DD842,10),0)</f>
        <v/>
      </c>
      <c r="M842">
        <f>IFERROR(INDEX(PP_Grid[#Data],$DD842,11),0)</f>
        <v/>
      </c>
      <c r="N842">
        <f>IFERROR(INDEX(PP_Grid[#Data],$DD842,12),0)</f>
        <v/>
      </c>
      <c r="O842">
        <f>IFERROR(INDEX(PP_Grid[#Data],$DD842,13),0)</f>
        <v/>
      </c>
      <c r="P842">
        <f>IFERROR(INDEX(PP_Grid[#Data],$DD842,14),0)</f>
        <v/>
      </c>
      <c r="Q842">
        <f>IFERROR(INDEX(PP_Grid[#Data],$DD842,15),0)</f>
        <v/>
      </c>
      <c r="R842">
        <f>IFERROR(INDEX(PP_Grid[#Data],$DD842,16),0)</f>
        <v/>
      </c>
      <c r="S842">
        <f>IFERROR(INDEX(PP_Grid[#Data],$DD842,17),0)</f>
        <v/>
      </c>
      <c r="T842">
        <f>IFERROR(INDEX(PP_Grid[#Data],$DD842,18),0)</f>
        <v/>
      </c>
      <c r="U842">
        <f>IFERROR(INDEX(PP_Grid[#Data],$DD842,19),0)</f>
        <v/>
      </c>
      <c r="V842">
        <f>IFERROR(INDEX(PP_Grid[#Data],$DD842,20),0)</f>
        <v/>
      </c>
      <c r="W842">
        <f>IFERROR(INDEX(PP_Grid[#Data],$DD842,21),0)</f>
        <v/>
      </c>
      <c r="X842">
        <f>IFERROR(INDEX(PP_Grid[#Data],$DD842,22),0)</f>
        <v/>
      </c>
      <c r="Y842">
        <f>IFERROR(INDEX(PP_Grid[#Data],$DD842,23),0)</f>
        <v/>
      </c>
      <c r="Z842">
        <f>IFERROR(INDEX(PP_Grid[#Data],$DD842,24),0)</f>
        <v/>
      </c>
      <c r="AA842">
        <f>IFERROR(INDEX(PP_Grid[#Data],$DD842,25),0)</f>
        <v/>
      </c>
      <c r="AB842">
        <f>IFERROR(INDEX(PP_Grid[#Data],$DD842,26),0)</f>
        <v/>
      </c>
      <c r="AC842">
        <f>IFERROR(INDEX(PP_Grid[#Data],$DD842,27),0)</f>
        <v/>
      </c>
      <c r="AD842">
        <f>IFERROR(INDEX(PP_Grid[#Data],$DD842,28),0)</f>
        <v/>
      </c>
      <c r="AE842">
        <f>IFERROR(INDEX(PP_Grid[#Data],$DD842,29),0)</f>
        <v/>
      </c>
      <c r="AF842">
        <f>IFERROR(INDEX(PP_Grid[#Data],$DD842,30),0)</f>
        <v/>
      </c>
      <c r="AG842">
        <f>IFERROR(INDEX(PP_Grid[#Data],$DD842,31),0)</f>
        <v/>
      </c>
      <c r="AH842">
        <f>IFERROR(INDEX(PP_Grid[#Data],$DD842,32),0)</f>
        <v/>
      </c>
      <c r="AI842">
        <f>IFERROR(INDEX(PP_Grid[#Data],$DD842,33),0)</f>
        <v/>
      </c>
      <c r="AJ842">
        <f>IFERROR(INDEX(PP_Grid[#Data],$DD842,34),0)</f>
        <v/>
      </c>
      <c r="AK842">
        <f>IFERROR(INDEX(PP_Grid[#Data],$DD842,35),0)</f>
        <v/>
      </c>
      <c r="AL842">
        <f>IFERROR(INDEX(PP_Grid[#Data],$DD842,36),0)</f>
        <v/>
      </c>
      <c r="AM842">
        <f>IFERROR(INDEX(PP_Grid[#Data],$DD842,37),0)</f>
        <v/>
      </c>
      <c r="AN842">
        <f>IFERROR(INDEX(PP_Grid[#Data],$DD842,38),0)</f>
        <v/>
      </c>
      <c r="AO842">
        <f>IFERROR(INDEX(PP_Grid[#Data],$DD842,39),0)</f>
        <v/>
      </c>
      <c r="AP842">
        <f>IFERROR(INDEX(PP_Grid[#Data],$DD842,40),0)</f>
        <v/>
      </c>
      <c r="AQ842">
        <f>IFERROR(INDEX(PP_Grid[#Data],$DD842,41),0)</f>
        <v/>
      </c>
      <c r="AR842">
        <f>IFERROR(INDEX(PP_Grid[#Data],$DD842,42),0)</f>
        <v/>
      </c>
      <c r="AS842">
        <f>IFERROR(INDEX(PP_Grid[#Data],$DD842,43),0)</f>
        <v/>
      </c>
      <c r="AT842">
        <f>IFERROR(INDEX(PP_Grid[#Data],$DD842,44),0)</f>
        <v/>
      </c>
      <c r="AU842">
        <f>IFERROR(INDEX(PP_Grid[#Data],$DD842,45),0)</f>
        <v/>
      </c>
      <c r="AV842">
        <f>IFERROR(INDEX(PP_Grid[#Data],$DD842,46),0)</f>
        <v/>
      </c>
      <c r="AW842">
        <f>IFERROR(INDEX(PP_Grid[#Data],$DD842,47),0)</f>
        <v/>
      </c>
      <c r="AX842">
        <f>IFERROR(INDEX(PP_Grid[#Data],$DD842,48),0)</f>
        <v/>
      </c>
      <c r="AY842">
        <f>IFERROR(INDEX(PP_Grid[#Data],$DD842,49),0)</f>
        <v/>
      </c>
      <c r="AZ842">
        <f>IFERROR(INDEX(PP_Grid[#Data],$DD842,50),0)</f>
        <v/>
      </c>
      <c r="BA842">
        <f>IFERROR(INDEX(PP_Grid[#Data],$DD842,51),0)</f>
        <v/>
      </c>
      <c r="BB842">
        <f>IFERROR(INDEX(PP_Grid[#Data],$DD842,52),0)</f>
        <v/>
      </c>
      <c r="BC842">
        <f>IFERROR(INDEX(PP_Grid[#Data],$DD842,53),0)</f>
        <v/>
      </c>
      <c r="BD842">
        <f>IFERROR(INDEX(PP_Grid[#Data],$DD842,54),0)</f>
        <v/>
      </c>
      <c r="BE842">
        <f>IFERROR(INDEX(PP_Grid[#Data],$DD842,55),0)</f>
        <v/>
      </c>
      <c r="BF842">
        <f>IFERROR(INDEX(PP_Grid[#Data],$DD842,56),0)</f>
        <v/>
      </c>
      <c r="BG842">
        <f>IFERROR(INDEX(PP_Grid[#Data],$DD842,57),0)</f>
        <v/>
      </c>
      <c r="BH842">
        <f>IFERROR(INDEX(PP_Grid[#Data],$DD842,58),0)</f>
        <v/>
      </c>
      <c r="BI842">
        <f>IFERROR(INDEX(PP_Grid[#Data],$DD842,59),0)</f>
        <v/>
      </c>
      <c r="BJ842">
        <f>IFERROR(INDEX(PP_Grid[#Data],$DD842,60),0)</f>
        <v/>
      </c>
      <c r="BK842">
        <f>IFERROR(INDEX(PP_Grid[#Data],$DD842,61),0)</f>
        <v/>
      </c>
      <c r="BL842">
        <f>IFERROR(INDEX(PP_Grid[#Data],$DD842,62),0)</f>
        <v/>
      </c>
      <c r="BM842">
        <f>IFERROR(INDEX(PP_Grid[#Data],$DD842,63),0)</f>
        <v/>
      </c>
      <c r="BN842">
        <f>IFERROR(INDEX(PP_Grid[#Data],$DD842,64),0)</f>
        <v/>
      </c>
      <c r="BO842">
        <f>IFERROR(INDEX(PP_Grid[#Data],$DD842,65),0)</f>
        <v/>
      </c>
      <c r="BP842">
        <f>IFERROR(INDEX(PP_Grid[#Data],$DD842,66),0)</f>
        <v/>
      </c>
      <c r="BQ842">
        <f>IFERROR(INDEX(PP_Grid[#Data],$DD842,67),0)</f>
        <v/>
      </c>
      <c r="BR842">
        <f>IFERROR(INDEX(PP_Grid[#Data],$DD842,68),0)</f>
        <v/>
      </c>
      <c r="BS842">
        <f>IFERROR(INDEX(PP_Grid[#Data],$DD842,69),0)</f>
        <v/>
      </c>
      <c r="BT842">
        <f>IFERROR(INDEX(PP_Grid[#Data],$DD842,70),0)</f>
        <v/>
      </c>
      <c r="BU842">
        <f>IFERROR(INDEX(PP_Grid[#Data],$DD842,71),0)</f>
        <v/>
      </c>
      <c r="BV842">
        <f>IFERROR(INDEX(PP_Grid[#Data],$DD842,72),0)</f>
        <v/>
      </c>
      <c r="BW842">
        <f>IFERROR(INDEX(PP_Grid[#Data],$DD842,73),0)</f>
        <v/>
      </c>
      <c r="BX842">
        <f>IFERROR(INDEX(PP_Grid[#Data],$DD842,74),0)</f>
        <v/>
      </c>
      <c r="BY842">
        <f>IFERROR(INDEX(PP_Grid[#Data],$DD842,75),0)</f>
        <v/>
      </c>
      <c r="BZ842">
        <f>IFERROR(INDEX(PP_Grid[#Data],$DD842,76),0)</f>
        <v/>
      </c>
      <c r="CA842">
        <f>IFERROR(INDEX(PP_Grid[#Data],$DD842,77),0)</f>
        <v/>
      </c>
      <c r="CB842">
        <f>IFERROR(INDEX(PP_Grid[#Data],$DD842,78),0)</f>
        <v/>
      </c>
      <c r="CC842">
        <f>IFERROR(INDEX(PP_Grid[#Data],$DD842,79),0)</f>
        <v/>
      </c>
      <c r="CD842">
        <f>IFERROR(INDEX(PP_Grid[#Data],$DD842,80),0)</f>
        <v/>
      </c>
      <c r="CE842">
        <f>IFERROR(INDEX(PP_Grid[#Data],$DD842,81),0)</f>
        <v/>
      </c>
      <c r="CF842">
        <f>IFERROR(INDEX(PP_Grid[#Data],$DD842,82),0)</f>
        <v/>
      </c>
      <c r="CG842">
        <f>IFERROR(INDEX(PP_Grid[#Data],$DD842,83),0)</f>
        <v/>
      </c>
      <c r="CH842">
        <f>IFERROR(INDEX(PP_Grid[#Data],$DD842,84),0)</f>
        <v/>
      </c>
      <c r="CI842">
        <f>IFERROR(INDEX(PP_Grid[#Data],$DD842,85),0)</f>
        <v/>
      </c>
      <c r="CJ842">
        <f>IFERROR(INDEX(PP_Grid[#Data],$DD842,86),0)</f>
        <v/>
      </c>
      <c r="CK842">
        <f>IFERROR(INDEX(PP_Grid[#Data],$DD842,87),0)</f>
        <v/>
      </c>
      <c r="CL842">
        <f>IFERROR(INDEX(PP_Grid[#Data],$DD842,88),0)</f>
        <v/>
      </c>
      <c r="CM842">
        <f>IFERROR(INDEX(PP_Grid[#Data],$DD842,89),0)</f>
        <v/>
      </c>
      <c r="CN842">
        <f>IFERROR(INDEX(PP_Grid[#Data],$DD842,90),0)</f>
        <v/>
      </c>
      <c r="CO842">
        <f>IFERROR(INDEX(PP_Grid[#Data],$DD842,91),0)</f>
        <v/>
      </c>
      <c r="CP842">
        <f>IFERROR(INDEX(PP_Grid[#Data],$DD842,92),0)</f>
        <v/>
      </c>
      <c r="CQ842">
        <f>IFERROR(INDEX(PP_Grid[#Data],$DD842,93),0)</f>
        <v/>
      </c>
      <c r="CR842">
        <f>IFERROR(INDEX(PP_Grid[#Data],$DD842,94),0)</f>
        <v/>
      </c>
      <c r="CS842">
        <f>IFERROR(INDEX(PP_Grid[#Data],$DD842,95),0)</f>
        <v/>
      </c>
      <c r="CT842">
        <f>IFERROR(INDEX(PP_Grid[#Data],$DD842,96),0)</f>
        <v/>
      </c>
      <c r="CU842">
        <f>IFERROR(INDEX(PP_Grid[#Data],$DD842,97),0)</f>
        <v/>
      </c>
      <c r="CV842">
        <f>IFERROR(INDEX(PP_Grid[#Data],$DD842,98),0)</f>
        <v/>
      </c>
      <c r="CW842">
        <f>IFERROR(INDEX(PP_Grid[#Data],$DD842,99),0)</f>
        <v/>
      </c>
      <c r="CX842">
        <f>IFERROR(INDEX(PP_Grid[#Data],$DD842,100),0)</f>
        <v/>
      </c>
      <c r="CY842">
        <f>IFERROR(INDEX(PP_Grid[#Data],$DD842,101),0)</f>
        <v/>
      </c>
      <c r="CZ842">
        <f>IFERROR(INDEX(PP_Grid[#Data],$DD842,102),0)</f>
        <v/>
      </c>
      <c r="DA842">
        <f>IFERROR(INDEX(PP_Grid[#Data],$DD842,103),0)</f>
        <v/>
      </c>
      <c r="DB842">
        <f>IFERROR(INDEX(PP_Grid[#Data],$DD842,104),0)</f>
        <v/>
      </c>
      <c r="DC842">
        <f>IFERROR(INDEX(PP_Grid[#Data],$DD842,105),0)</f>
        <v/>
      </c>
      <c r="DD842" s="7">
        <f>IFERROR(MATCH($B842,PP_Grid[Intermediate],0),99999)</f>
        <v/>
      </c>
    </row>
    <row r="843">
      <c r="B843" t="inlineStr">
        <is>
          <t>使用量(kg)</t>
        </is>
      </c>
      <c r="C843">
        <f>SUMIFS(M_BOM[RM_Qty_Per_Batch],M_BOM[Intermediate],$B842,M_BOM[Part Name],$A833)</f>
        <v/>
      </c>
      <c r="D843">
        <f>$C843*D842</f>
        <v/>
      </c>
      <c r="E843">
        <f>$C843*E842</f>
        <v/>
      </c>
      <c r="F843">
        <f>$C843*F842</f>
        <v/>
      </c>
      <c r="G843">
        <f>$C843*G842</f>
        <v/>
      </c>
      <c r="H843">
        <f>$C843*H842</f>
        <v/>
      </c>
      <c r="I843">
        <f>$C843*I842</f>
        <v/>
      </c>
      <c r="J843">
        <f>$C843*J842</f>
        <v/>
      </c>
      <c r="K843">
        <f>$C843*K842</f>
        <v/>
      </c>
      <c r="L843">
        <f>$C843*L842</f>
        <v/>
      </c>
      <c r="M843">
        <f>$C843*M842</f>
        <v/>
      </c>
      <c r="N843">
        <f>$C843*N842</f>
        <v/>
      </c>
      <c r="O843">
        <f>$C843*O842</f>
        <v/>
      </c>
      <c r="P843">
        <f>$C843*P842</f>
        <v/>
      </c>
      <c r="Q843">
        <f>$C843*Q842</f>
        <v/>
      </c>
      <c r="R843">
        <f>$C843*R842</f>
        <v/>
      </c>
      <c r="S843">
        <f>$C843*S842</f>
        <v/>
      </c>
      <c r="T843">
        <f>$C843*T842</f>
        <v/>
      </c>
      <c r="U843">
        <f>$C843*U842</f>
        <v/>
      </c>
      <c r="V843">
        <f>$C843*V842</f>
        <v/>
      </c>
      <c r="W843">
        <f>$C843*W842</f>
        <v/>
      </c>
      <c r="X843">
        <f>$C843*X842</f>
        <v/>
      </c>
      <c r="Y843">
        <f>$C843*Y842</f>
        <v/>
      </c>
      <c r="Z843">
        <f>$C843*Z842</f>
        <v/>
      </c>
      <c r="AA843">
        <f>$C843*AA842</f>
        <v/>
      </c>
      <c r="AB843">
        <f>$C843*AB842</f>
        <v/>
      </c>
      <c r="AC843">
        <f>$C843*AC842</f>
        <v/>
      </c>
      <c r="AD843">
        <f>$C843*AD842</f>
        <v/>
      </c>
      <c r="AE843">
        <f>$C843*AE842</f>
        <v/>
      </c>
      <c r="AF843">
        <f>$C843*AF842</f>
        <v/>
      </c>
      <c r="AG843">
        <f>$C843*AG842</f>
        <v/>
      </c>
      <c r="AH843">
        <f>$C843*AH842</f>
        <v/>
      </c>
      <c r="AI843">
        <f>$C843*AI842</f>
        <v/>
      </c>
      <c r="AJ843">
        <f>$C843*AJ842</f>
        <v/>
      </c>
      <c r="AK843">
        <f>$C843*AK842</f>
        <v/>
      </c>
      <c r="AL843">
        <f>$C843*AL842</f>
        <v/>
      </c>
      <c r="AM843">
        <f>$C843*AM842</f>
        <v/>
      </c>
      <c r="AN843">
        <f>$C843*AN842</f>
        <v/>
      </c>
      <c r="AO843">
        <f>$C843*AO842</f>
        <v/>
      </c>
      <c r="AP843">
        <f>$C843*AP842</f>
        <v/>
      </c>
      <c r="AQ843">
        <f>$C843*AQ842</f>
        <v/>
      </c>
      <c r="AR843">
        <f>$C843*AR842</f>
        <v/>
      </c>
      <c r="AS843">
        <f>$C843*AS842</f>
        <v/>
      </c>
      <c r="AT843">
        <f>$C843*AT842</f>
        <v/>
      </c>
      <c r="AU843">
        <f>$C843*AU842</f>
        <v/>
      </c>
      <c r="AV843">
        <f>$C843*AV842</f>
        <v/>
      </c>
      <c r="AW843">
        <f>$C843*AW842</f>
        <v/>
      </c>
      <c r="AX843">
        <f>$C843*AX842</f>
        <v/>
      </c>
      <c r="AY843">
        <f>$C843*AY842</f>
        <v/>
      </c>
      <c r="AZ843">
        <f>$C843*AZ842</f>
        <v/>
      </c>
      <c r="BA843">
        <f>$C843*BA842</f>
        <v/>
      </c>
      <c r="BB843">
        <f>$C843*BB842</f>
        <v/>
      </c>
      <c r="BC843">
        <f>$C843*BC842</f>
        <v/>
      </c>
      <c r="BD843">
        <f>$C843*BD842</f>
        <v/>
      </c>
      <c r="BE843">
        <f>$C843*BE842</f>
        <v/>
      </c>
      <c r="BF843">
        <f>$C843*BF842</f>
        <v/>
      </c>
      <c r="BG843">
        <f>$C843*BG842</f>
        <v/>
      </c>
      <c r="BH843">
        <f>$C843*BH842</f>
        <v/>
      </c>
      <c r="BI843">
        <f>$C843*BI842</f>
        <v/>
      </c>
      <c r="BJ843">
        <f>$C843*BJ842</f>
        <v/>
      </c>
      <c r="BK843">
        <f>$C843*BK842</f>
        <v/>
      </c>
      <c r="BL843">
        <f>$C843*BL842</f>
        <v/>
      </c>
      <c r="BM843">
        <f>$C843*BM842</f>
        <v/>
      </c>
      <c r="BN843">
        <f>$C843*BN842</f>
        <v/>
      </c>
      <c r="BO843">
        <f>$C843*BO842</f>
        <v/>
      </c>
      <c r="BP843">
        <f>$C843*BP842</f>
        <v/>
      </c>
      <c r="BQ843">
        <f>$C843*BQ842</f>
        <v/>
      </c>
      <c r="BR843">
        <f>$C843*BR842</f>
        <v/>
      </c>
      <c r="BS843">
        <f>$C843*BS842</f>
        <v/>
      </c>
      <c r="BT843">
        <f>$C843*BT842</f>
        <v/>
      </c>
      <c r="BU843">
        <f>$C843*BU842</f>
        <v/>
      </c>
      <c r="BV843">
        <f>$C843*BV842</f>
        <v/>
      </c>
      <c r="BW843">
        <f>$C843*BW842</f>
        <v/>
      </c>
      <c r="BX843">
        <f>$C843*BX842</f>
        <v/>
      </c>
      <c r="BY843">
        <f>$C843*BY842</f>
        <v/>
      </c>
      <c r="BZ843">
        <f>$C843*BZ842</f>
        <v/>
      </c>
      <c r="CA843">
        <f>$C843*CA842</f>
        <v/>
      </c>
      <c r="CB843">
        <f>$C843*CB842</f>
        <v/>
      </c>
      <c r="CC843">
        <f>$C843*CC842</f>
        <v/>
      </c>
      <c r="CD843">
        <f>$C843*CD842</f>
        <v/>
      </c>
      <c r="CE843">
        <f>$C843*CE842</f>
        <v/>
      </c>
      <c r="CF843">
        <f>$C843*CF842</f>
        <v/>
      </c>
      <c r="CG843">
        <f>$C843*CG842</f>
        <v/>
      </c>
      <c r="CH843">
        <f>$C843*CH842</f>
        <v/>
      </c>
      <c r="CI843">
        <f>$C843*CI842</f>
        <v/>
      </c>
      <c r="CJ843">
        <f>$C843*CJ842</f>
        <v/>
      </c>
      <c r="CK843">
        <f>$C843*CK842</f>
        <v/>
      </c>
      <c r="CL843">
        <f>$C843*CL842</f>
        <v/>
      </c>
      <c r="CM843">
        <f>$C843*CM842</f>
        <v/>
      </c>
      <c r="CN843">
        <f>$C843*CN842</f>
        <v/>
      </c>
      <c r="CO843">
        <f>$C843*CO842</f>
        <v/>
      </c>
      <c r="CP843">
        <f>$C843*CP842</f>
        <v/>
      </c>
      <c r="CQ843">
        <f>$C843*CQ842</f>
        <v/>
      </c>
      <c r="CR843">
        <f>$C843*CR842</f>
        <v/>
      </c>
      <c r="CS843">
        <f>$C843*CS842</f>
        <v/>
      </c>
      <c r="CT843">
        <f>$C843*CT842</f>
        <v/>
      </c>
      <c r="CU843">
        <f>$C843*CU842</f>
        <v/>
      </c>
      <c r="CV843">
        <f>$C843*CV842</f>
        <v/>
      </c>
      <c r="CW843">
        <f>$C843*CW842</f>
        <v/>
      </c>
      <c r="CX843">
        <f>$C843*CX842</f>
        <v/>
      </c>
      <c r="CY843">
        <f>$C843*CY842</f>
        <v/>
      </c>
      <c r="CZ843">
        <f>$C843*CZ842</f>
        <v/>
      </c>
      <c r="DA843">
        <f>$C843*DA842</f>
        <v/>
      </c>
      <c r="DB843">
        <f>$C843*DB842</f>
        <v/>
      </c>
      <c r="DC843">
        <f>$C843*DC842</f>
        <v/>
      </c>
    </row>
    <row r="844">
      <c r="B844" t="inlineStr">
        <is>
          <t>TSP-930</t>
        </is>
      </c>
      <c r="C844" t="inlineStr">
        <is>
          <t>No. of batches</t>
        </is>
      </c>
      <c r="D844">
        <f>IFERROR(INDEX(PP_Grid[#Data],$DD844,2),0)</f>
        <v/>
      </c>
      <c r="E844">
        <f>IFERROR(INDEX(PP_Grid[#Data],$DD844,3),0)</f>
        <v/>
      </c>
      <c r="F844">
        <f>IFERROR(INDEX(PP_Grid[#Data],$DD844,4),0)</f>
        <v/>
      </c>
      <c r="G844">
        <f>IFERROR(INDEX(PP_Grid[#Data],$DD844,5),0)</f>
        <v/>
      </c>
      <c r="H844">
        <f>IFERROR(INDEX(PP_Grid[#Data],$DD844,6),0)</f>
        <v/>
      </c>
      <c r="I844">
        <f>IFERROR(INDEX(PP_Grid[#Data],$DD844,7),0)</f>
        <v/>
      </c>
      <c r="J844">
        <f>IFERROR(INDEX(PP_Grid[#Data],$DD844,8),0)</f>
        <v/>
      </c>
      <c r="K844">
        <f>IFERROR(INDEX(PP_Grid[#Data],$DD844,9),0)</f>
        <v/>
      </c>
      <c r="L844">
        <f>IFERROR(INDEX(PP_Grid[#Data],$DD844,10),0)</f>
        <v/>
      </c>
      <c r="M844">
        <f>IFERROR(INDEX(PP_Grid[#Data],$DD844,11),0)</f>
        <v/>
      </c>
      <c r="N844">
        <f>IFERROR(INDEX(PP_Grid[#Data],$DD844,12),0)</f>
        <v/>
      </c>
      <c r="O844">
        <f>IFERROR(INDEX(PP_Grid[#Data],$DD844,13),0)</f>
        <v/>
      </c>
      <c r="P844">
        <f>IFERROR(INDEX(PP_Grid[#Data],$DD844,14),0)</f>
        <v/>
      </c>
      <c r="Q844">
        <f>IFERROR(INDEX(PP_Grid[#Data],$DD844,15),0)</f>
        <v/>
      </c>
      <c r="R844">
        <f>IFERROR(INDEX(PP_Grid[#Data],$DD844,16),0)</f>
        <v/>
      </c>
      <c r="S844">
        <f>IFERROR(INDEX(PP_Grid[#Data],$DD844,17),0)</f>
        <v/>
      </c>
      <c r="T844">
        <f>IFERROR(INDEX(PP_Grid[#Data],$DD844,18),0)</f>
        <v/>
      </c>
      <c r="U844">
        <f>IFERROR(INDEX(PP_Grid[#Data],$DD844,19),0)</f>
        <v/>
      </c>
      <c r="V844">
        <f>IFERROR(INDEX(PP_Grid[#Data],$DD844,20),0)</f>
        <v/>
      </c>
      <c r="W844">
        <f>IFERROR(INDEX(PP_Grid[#Data],$DD844,21),0)</f>
        <v/>
      </c>
      <c r="X844">
        <f>IFERROR(INDEX(PP_Grid[#Data],$DD844,22),0)</f>
        <v/>
      </c>
      <c r="Y844">
        <f>IFERROR(INDEX(PP_Grid[#Data],$DD844,23),0)</f>
        <v/>
      </c>
      <c r="Z844">
        <f>IFERROR(INDEX(PP_Grid[#Data],$DD844,24),0)</f>
        <v/>
      </c>
      <c r="AA844">
        <f>IFERROR(INDEX(PP_Grid[#Data],$DD844,25),0)</f>
        <v/>
      </c>
      <c r="AB844">
        <f>IFERROR(INDEX(PP_Grid[#Data],$DD844,26),0)</f>
        <v/>
      </c>
      <c r="AC844">
        <f>IFERROR(INDEX(PP_Grid[#Data],$DD844,27),0)</f>
        <v/>
      </c>
      <c r="AD844">
        <f>IFERROR(INDEX(PP_Grid[#Data],$DD844,28),0)</f>
        <v/>
      </c>
      <c r="AE844">
        <f>IFERROR(INDEX(PP_Grid[#Data],$DD844,29),0)</f>
        <v/>
      </c>
      <c r="AF844">
        <f>IFERROR(INDEX(PP_Grid[#Data],$DD844,30),0)</f>
        <v/>
      </c>
      <c r="AG844">
        <f>IFERROR(INDEX(PP_Grid[#Data],$DD844,31),0)</f>
        <v/>
      </c>
      <c r="AH844">
        <f>IFERROR(INDEX(PP_Grid[#Data],$DD844,32),0)</f>
        <v/>
      </c>
      <c r="AI844">
        <f>IFERROR(INDEX(PP_Grid[#Data],$DD844,33),0)</f>
        <v/>
      </c>
      <c r="AJ844">
        <f>IFERROR(INDEX(PP_Grid[#Data],$DD844,34),0)</f>
        <v/>
      </c>
      <c r="AK844">
        <f>IFERROR(INDEX(PP_Grid[#Data],$DD844,35),0)</f>
        <v/>
      </c>
      <c r="AL844">
        <f>IFERROR(INDEX(PP_Grid[#Data],$DD844,36),0)</f>
        <v/>
      </c>
      <c r="AM844">
        <f>IFERROR(INDEX(PP_Grid[#Data],$DD844,37),0)</f>
        <v/>
      </c>
      <c r="AN844">
        <f>IFERROR(INDEX(PP_Grid[#Data],$DD844,38),0)</f>
        <v/>
      </c>
      <c r="AO844">
        <f>IFERROR(INDEX(PP_Grid[#Data],$DD844,39),0)</f>
        <v/>
      </c>
      <c r="AP844">
        <f>IFERROR(INDEX(PP_Grid[#Data],$DD844,40),0)</f>
        <v/>
      </c>
      <c r="AQ844">
        <f>IFERROR(INDEX(PP_Grid[#Data],$DD844,41),0)</f>
        <v/>
      </c>
      <c r="AR844">
        <f>IFERROR(INDEX(PP_Grid[#Data],$DD844,42),0)</f>
        <v/>
      </c>
      <c r="AS844">
        <f>IFERROR(INDEX(PP_Grid[#Data],$DD844,43),0)</f>
        <v/>
      </c>
      <c r="AT844">
        <f>IFERROR(INDEX(PP_Grid[#Data],$DD844,44),0)</f>
        <v/>
      </c>
      <c r="AU844">
        <f>IFERROR(INDEX(PP_Grid[#Data],$DD844,45),0)</f>
        <v/>
      </c>
      <c r="AV844">
        <f>IFERROR(INDEX(PP_Grid[#Data],$DD844,46),0)</f>
        <v/>
      </c>
      <c r="AW844">
        <f>IFERROR(INDEX(PP_Grid[#Data],$DD844,47),0)</f>
        <v/>
      </c>
      <c r="AX844">
        <f>IFERROR(INDEX(PP_Grid[#Data],$DD844,48),0)</f>
        <v/>
      </c>
      <c r="AY844">
        <f>IFERROR(INDEX(PP_Grid[#Data],$DD844,49),0)</f>
        <v/>
      </c>
      <c r="AZ844">
        <f>IFERROR(INDEX(PP_Grid[#Data],$DD844,50),0)</f>
        <v/>
      </c>
      <c r="BA844">
        <f>IFERROR(INDEX(PP_Grid[#Data],$DD844,51),0)</f>
        <v/>
      </c>
      <c r="BB844">
        <f>IFERROR(INDEX(PP_Grid[#Data],$DD844,52),0)</f>
        <v/>
      </c>
      <c r="BC844">
        <f>IFERROR(INDEX(PP_Grid[#Data],$DD844,53),0)</f>
        <v/>
      </c>
      <c r="BD844">
        <f>IFERROR(INDEX(PP_Grid[#Data],$DD844,54),0)</f>
        <v/>
      </c>
      <c r="BE844">
        <f>IFERROR(INDEX(PP_Grid[#Data],$DD844,55),0)</f>
        <v/>
      </c>
      <c r="BF844">
        <f>IFERROR(INDEX(PP_Grid[#Data],$DD844,56),0)</f>
        <v/>
      </c>
      <c r="BG844">
        <f>IFERROR(INDEX(PP_Grid[#Data],$DD844,57),0)</f>
        <v/>
      </c>
      <c r="BH844">
        <f>IFERROR(INDEX(PP_Grid[#Data],$DD844,58),0)</f>
        <v/>
      </c>
      <c r="BI844">
        <f>IFERROR(INDEX(PP_Grid[#Data],$DD844,59),0)</f>
        <v/>
      </c>
      <c r="BJ844">
        <f>IFERROR(INDEX(PP_Grid[#Data],$DD844,60),0)</f>
        <v/>
      </c>
      <c r="BK844">
        <f>IFERROR(INDEX(PP_Grid[#Data],$DD844,61),0)</f>
        <v/>
      </c>
      <c r="BL844">
        <f>IFERROR(INDEX(PP_Grid[#Data],$DD844,62),0)</f>
        <v/>
      </c>
      <c r="BM844">
        <f>IFERROR(INDEX(PP_Grid[#Data],$DD844,63),0)</f>
        <v/>
      </c>
      <c r="BN844">
        <f>IFERROR(INDEX(PP_Grid[#Data],$DD844,64),0)</f>
        <v/>
      </c>
      <c r="BO844">
        <f>IFERROR(INDEX(PP_Grid[#Data],$DD844,65),0)</f>
        <v/>
      </c>
      <c r="BP844">
        <f>IFERROR(INDEX(PP_Grid[#Data],$DD844,66),0)</f>
        <v/>
      </c>
      <c r="BQ844">
        <f>IFERROR(INDEX(PP_Grid[#Data],$DD844,67),0)</f>
        <v/>
      </c>
      <c r="BR844">
        <f>IFERROR(INDEX(PP_Grid[#Data],$DD844,68),0)</f>
        <v/>
      </c>
      <c r="BS844">
        <f>IFERROR(INDEX(PP_Grid[#Data],$DD844,69),0)</f>
        <v/>
      </c>
      <c r="BT844">
        <f>IFERROR(INDEX(PP_Grid[#Data],$DD844,70),0)</f>
        <v/>
      </c>
      <c r="BU844">
        <f>IFERROR(INDEX(PP_Grid[#Data],$DD844,71),0)</f>
        <v/>
      </c>
      <c r="BV844">
        <f>IFERROR(INDEX(PP_Grid[#Data],$DD844,72),0)</f>
        <v/>
      </c>
      <c r="BW844">
        <f>IFERROR(INDEX(PP_Grid[#Data],$DD844,73),0)</f>
        <v/>
      </c>
      <c r="BX844">
        <f>IFERROR(INDEX(PP_Grid[#Data],$DD844,74),0)</f>
        <v/>
      </c>
      <c r="BY844">
        <f>IFERROR(INDEX(PP_Grid[#Data],$DD844,75),0)</f>
        <v/>
      </c>
      <c r="BZ844">
        <f>IFERROR(INDEX(PP_Grid[#Data],$DD844,76),0)</f>
        <v/>
      </c>
      <c r="CA844">
        <f>IFERROR(INDEX(PP_Grid[#Data],$DD844,77),0)</f>
        <v/>
      </c>
      <c r="CB844">
        <f>IFERROR(INDEX(PP_Grid[#Data],$DD844,78),0)</f>
        <v/>
      </c>
      <c r="CC844">
        <f>IFERROR(INDEX(PP_Grid[#Data],$DD844,79),0)</f>
        <v/>
      </c>
      <c r="CD844">
        <f>IFERROR(INDEX(PP_Grid[#Data],$DD844,80),0)</f>
        <v/>
      </c>
      <c r="CE844">
        <f>IFERROR(INDEX(PP_Grid[#Data],$DD844,81),0)</f>
        <v/>
      </c>
      <c r="CF844">
        <f>IFERROR(INDEX(PP_Grid[#Data],$DD844,82),0)</f>
        <v/>
      </c>
      <c r="CG844">
        <f>IFERROR(INDEX(PP_Grid[#Data],$DD844,83),0)</f>
        <v/>
      </c>
      <c r="CH844">
        <f>IFERROR(INDEX(PP_Grid[#Data],$DD844,84),0)</f>
        <v/>
      </c>
      <c r="CI844">
        <f>IFERROR(INDEX(PP_Grid[#Data],$DD844,85),0)</f>
        <v/>
      </c>
      <c r="CJ844">
        <f>IFERROR(INDEX(PP_Grid[#Data],$DD844,86),0)</f>
        <v/>
      </c>
      <c r="CK844">
        <f>IFERROR(INDEX(PP_Grid[#Data],$DD844,87),0)</f>
        <v/>
      </c>
      <c r="CL844">
        <f>IFERROR(INDEX(PP_Grid[#Data],$DD844,88),0)</f>
        <v/>
      </c>
      <c r="CM844">
        <f>IFERROR(INDEX(PP_Grid[#Data],$DD844,89),0)</f>
        <v/>
      </c>
      <c r="CN844">
        <f>IFERROR(INDEX(PP_Grid[#Data],$DD844,90),0)</f>
        <v/>
      </c>
      <c r="CO844">
        <f>IFERROR(INDEX(PP_Grid[#Data],$DD844,91),0)</f>
        <v/>
      </c>
      <c r="CP844">
        <f>IFERROR(INDEX(PP_Grid[#Data],$DD844,92),0)</f>
        <v/>
      </c>
      <c r="CQ844">
        <f>IFERROR(INDEX(PP_Grid[#Data],$DD844,93),0)</f>
        <v/>
      </c>
      <c r="CR844">
        <f>IFERROR(INDEX(PP_Grid[#Data],$DD844,94),0)</f>
        <v/>
      </c>
      <c r="CS844">
        <f>IFERROR(INDEX(PP_Grid[#Data],$DD844,95),0)</f>
        <v/>
      </c>
      <c r="CT844">
        <f>IFERROR(INDEX(PP_Grid[#Data],$DD844,96),0)</f>
        <v/>
      </c>
      <c r="CU844">
        <f>IFERROR(INDEX(PP_Grid[#Data],$DD844,97),0)</f>
        <v/>
      </c>
      <c r="CV844">
        <f>IFERROR(INDEX(PP_Grid[#Data],$DD844,98),0)</f>
        <v/>
      </c>
      <c r="CW844">
        <f>IFERROR(INDEX(PP_Grid[#Data],$DD844,99),0)</f>
        <v/>
      </c>
      <c r="CX844">
        <f>IFERROR(INDEX(PP_Grid[#Data],$DD844,100),0)</f>
        <v/>
      </c>
      <c r="CY844">
        <f>IFERROR(INDEX(PP_Grid[#Data],$DD844,101),0)</f>
        <v/>
      </c>
      <c r="CZ844">
        <f>IFERROR(INDEX(PP_Grid[#Data],$DD844,102),0)</f>
        <v/>
      </c>
      <c r="DA844">
        <f>IFERROR(INDEX(PP_Grid[#Data],$DD844,103),0)</f>
        <v/>
      </c>
      <c r="DB844">
        <f>IFERROR(INDEX(PP_Grid[#Data],$DD844,104),0)</f>
        <v/>
      </c>
      <c r="DC844">
        <f>IFERROR(INDEX(PP_Grid[#Data],$DD844,105),0)</f>
        <v/>
      </c>
      <c r="DD844" s="7">
        <f>IFERROR(MATCH($B844,PP_Grid[Intermediate],0),99999)</f>
        <v/>
      </c>
    </row>
    <row r="845">
      <c r="B845" t="inlineStr">
        <is>
          <t>使用量(kg)</t>
        </is>
      </c>
      <c r="C845">
        <f>SUMIFS(M_BOM[RM_Qty_Per_Batch],M_BOM[Intermediate],$B844,M_BOM[Part Name],$A833)</f>
        <v/>
      </c>
      <c r="D845">
        <f>$C845*D844</f>
        <v/>
      </c>
      <c r="E845">
        <f>$C845*E844</f>
        <v/>
      </c>
      <c r="F845">
        <f>$C845*F844</f>
        <v/>
      </c>
      <c r="G845">
        <f>$C845*G844</f>
        <v/>
      </c>
      <c r="H845">
        <f>$C845*H844</f>
        <v/>
      </c>
      <c r="I845">
        <f>$C845*I844</f>
        <v/>
      </c>
      <c r="J845">
        <f>$C845*J844</f>
        <v/>
      </c>
      <c r="K845">
        <f>$C845*K844</f>
        <v/>
      </c>
      <c r="L845">
        <f>$C845*L844</f>
        <v/>
      </c>
      <c r="M845">
        <f>$C845*M844</f>
        <v/>
      </c>
      <c r="N845">
        <f>$C845*N844</f>
        <v/>
      </c>
      <c r="O845">
        <f>$C845*O844</f>
        <v/>
      </c>
      <c r="P845">
        <f>$C845*P844</f>
        <v/>
      </c>
      <c r="Q845">
        <f>$C845*Q844</f>
        <v/>
      </c>
      <c r="R845">
        <f>$C845*R844</f>
        <v/>
      </c>
      <c r="S845">
        <f>$C845*S844</f>
        <v/>
      </c>
      <c r="T845">
        <f>$C845*T844</f>
        <v/>
      </c>
      <c r="U845">
        <f>$C845*U844</f>
        <v/>
      </c>
      <c r="V845">
        <f>$C845*V844</f>
        <v/>
      </c>
      <c r="W845">
        <f>$C845*W844</f>
        <v/>
      </c>
      <c r="X845">
        <f>$C845*X844</f>
        <v/>
      </c>
      <c r="Y845">
        <f>$C845*Y844</f>
        <v/>
      </c>
      <c r="Z845">
        <f>$C845*Z844</f>
        <v/>
      </c>
      <c r="AA845">
        <f>$C845*AA844</f>
        <v/>
      </c>
      <c r="AB845">
        <f>$C845*AB844</f>
        <v/>
      </c>
      <c r="AC845">
        <f>$C845*AC844</f>
        <v/>
      </c>
      <c r="AD845">
        <f>$C845*AD844</f>
        <v/>
      </c>
      <c r="AE845">
        <f>$C845*AE844</f>
        <v/>
      </c>
      <c r="AF845">
        <f>$C845*AF844</f>
        <v/>
      </c>
      <c r="AG845">
        <f>$C845*AG844</f>
        <v/>
      </c>
      <c r="AH845">
        <f>$C845*AH844</f>
        <v/>
      </c>
      <c r="AI845">
        <f>$C845*AI844</f>
        <v/>
      </c>
      <c r="AJ845">
        <f>$C845*AJ844</f>
        <v/>
      </c>
      <c r="AK845">
        <f>$C845*AK844</f>
        <v/>
      </c>
      <c r="AL845">
        <f>$C845*AL844</f>
        <v/>
      </c>
      <c r="AM845">
        <f>$C845*AM844</f>
        <v/>
      </c>
      <c r="AN845">
        <f>$C845*AN844</f>
        <v/>
      </c>
      <c r="AO845">
        <f>$C845*AO844</f>
        <v/>
      </c>
      <c r="AP845">
        <f>$C845*AP844</f>
        <v/>
      </c>
      <c r="AQ845">
        <f>$C845*AQ844</f>
        <v/>
      </c>
      <c r="AR845">
        <f>$C845*AR844</f>
        <v/>
      </c>
      <c r="AS845">
        <f>$C845*AS844</f>
        <v/>
      </c>
      <c r="AT845">
        <f>$C845*AT844</f>
        <v/>
      </c>
      <c r="AU845">
        <f>$C845*AU844</f>
        <v/>
      </c>
      <c r="AV845">
        <f>$C845*AV844</f>
        <v/>
      </c>
      <c r="AW845">
        <f>$C845*AW844</f>
        <v/>
      </c>
      <c r="AX845">
        <f>$C845*AX844</f>
        <v/>
      </c>
      <c r="AY845">
        <f>$C845*AY844</f>
        <v/>
      </c>
      <c r="AZ845">
        <f>$C845*AZ844</f>
        <v/>
      </c>
      <c r="BA845">
        <f>$C845*BA844</f>
        <v/>
      </c>
      <c r="BB845">
        <f>$C845*BB844</f>
        <v/>
      </c>
      <c r="BC845">
        <f>$C845*BC844</f>
        <v/>
      </c>
      <c r="BD845">
        <f>$C845*BD844</f>
        <v/>
      </c>
      <c r="BE845">
        <f>$C845*BE844</f>
        <v/>
      </c>
      <c r="BF845">
        <f>$C845*BF844</f>
        <v/>
      </c>
      <c r="BG845">
        <f>$C845*BG844</f>
        <v/>
      </c>
      <c r="BH845">
        <f>$C845*BH844</f>
        <v/>
      </c>
      <c r="BI845">
        <f>$C845*BI844</f>
        <v/>
      </c>
      <c r="BJ845">
        <f>$C845*BJ844</f>
        <v/>
      </c>
      <c r="BK845">
        <f>$C845*BK844</f>
        <v/>
      </c>
      <c r="BL845">
        <f>$C845*BL844</f>
        <v/>
      </c>
      <c r="BM845">
        <f>$C845*BM844</f>
        <v/>
      </c>
      <c r="BN845">
        <f>$C845*BN844</f>
        <v/>
      </c>
      <c r="BO845">
        <f>$C845*BO844</f>
        <v/>
      </c>
      <c r="BP845">
        <f>$C845*BP844</f>
        <v/>
      </c>
      <c r="BQ845">
        <f>$C845*BQ844</f>
        <v/>
      </c>
      <c r="BR845">
        <f>$C845*BR844</f>
        <v/>
      </c>
      <c r="BS845">
        <f>$C845*BS844</f>
        <v/>
      </c>
      <c r="BT845">
        <f>$C845*BT844</f>
        <v/>
      </c>
      <c r="BU845">
        <f>$C845*BU844</f>
        <v/>
      </c>
      <c r="BV845">
        <f>$C845*BV844</f>
        <v/>
      </c>
      <c r="BW845">
        <f>$C845*BW844</f>
        <v/>
      </c>
      <c r="BX845">
        <f>$C845*BX844</f>
        <v/>
      </c>
      <c r="BY845">
        <f>$C845*BY844</f>
        <v/>
      </c>
      <c r="BZ845">
        <f>$C845*BZ844</f>
        <v/>
      </c>
      <c r="CA845">
        <f>$C845*CA844</f>
        <v/>
      </c>
      <c r="CB845">
        <f>$C845*CB844</f>
        <v/>
      </c>
      <c r="CC845">
        <f>$C845*CC844</f>
        <v/>
      </c>
      <c r="CD845">
        <f>$C845*CD844</f>
        <v/>
      </c>
      <c r="CE845">
        <f>$C845*CE844</f>
        <v/>
      </c>
      <c r="CF845">
        <f>$C845*CF844</f>
        <v/>
      </c>
      <c r="CG845">
        <f>$C845*CG844</f>
        <v/>
      </c>
      <c r="CH845">
        <f>$C845*CH844</f>
        <v/>
      </c>
      <c r="CI845">
        <f>$C845*CI844</f>
        <v/>
      </c>
      <c r="CJ845">
        <f>$C845*CJ844</f>
        <v/>
      </c>
      <c r="CK845">
        <f>$C845*CK844</f>
        <v/>
      </c>
      <c r="CL845">
        <f>$C845*CL844</f>
        <v/>
      </c>
      <c r="CM845">
        <f>$C845*CM844</f>
        <v/>
      </c>
      <c r="CN845">
        <f>$C845*CN844</f>
        <v/>
      </c>
      <c r="CO845">
        <f>$C845*CO844</f>
        <v/>
      </c>
      <c r="CP845">
        <f>$C845*CP844</f>
        <v/>
      </c>
      <c r="CQ845">
        <f>$C845*CQ844</f>
        <v/>
      </c>
      <c r="CR845">
        <f>$C845*CR844</f>
        <v/>
      </c>
      <c r="CS845">
        <f>$C845*CS844</f>
        <v/>
      </c>
      <c r="CT845">
        <f>$C845*CT844</f>
        <v/>
      </c>
      <c r="CU845">
        <f>$C845*CU844</f>
        <v/>
      </c>
      <c r="CV845">
        <f>$C845*CV844</f>
        <v/>
      </c>
      <c r="CW845">
        <f>$C845*CW844</f>
        <v/>
      </c>
      <c r="CX845">
        <f>$C845*CX844</f>
        <v/>
      </c>
      <c r="CY845">
        <f>$C845*CY844</f>
        <v/>
      </c>
      <c r="CZ845">
        <f>$C845*CZ844</f>
        <v/>
      </c>
      <c r="DA845">
        <f>$C845*DA844</f>
        <v/>
      </c>
      <c r="DB845">
        <f>$C845*DB844</f>
        <v/>
      </c>
      <c r="DC845">
        <f>$C845*DC844</f>
        <v/>
      </c>
    </row>
    <row r="846">
      <c r="B846" t="inlineStr">
        <is>
          <t>TSP-934</t>
        </is>
      </c>
      <c r="C846" t="inlineStr">
        <is>
          <t>No. of batches</t>
        </is>
      </c>
      <c r="D846">
        <f>IFERROR(INDEX(PP_Grid[#Data],$DD846,2),0)</f>
        <v/>
      </c>
      <c r="E846">
        <f>IFERROR(INDEX(PP_Grid[#Data],$DD846,3),0)</f>
        <v/>
      </c>
      <c r="F846">
        <f>IFERROR(INDEX(PP_Grid[#Data],$DD846,4),0)</f>
        <v/>
      </c>
      <c r="G846">
        <f>IFERROR(INDEX(PP_Grid[#Data],$DD846,5),0)</f>
        <v/>
      </c>
      <c r="H846">
        <f>IFERROR(INDEX(PP_Grid[#Data],$DD846,6),0)</f>
        <v/>
      </c>
      <c r="I846">
        <f>IFERROR(INDEX(PP_Grid[#Data],$DD846,7),0)</f>
        <v/>
      </c>
      <c r="J846">
        <f>IFERROR(INDEX(PP_Grid[#Data],$DD846,8),0)</f>
        <v/>
      </c>
      <c r="K846">
        <f>IFERROR(INDEX(PP_Grid[#Data],$DD846,9),0)</f>
        <v/>
      </c>
      <c r="L846">
        <f>IFERROR(INDEX(PP_Grid[#Data],$DD846,10),0)</f>
        <v/>
      </c>
      <c r="M846">
        <f>IFERROR(INDEX(PP_Grid[#Data],$DD846,11),0)</f>
        <v/>
      </c>
      <c r="N846">
        <f>IFERROR(INDEX(PP_Grid[#Data],$DD846,12),0)</f>
        <v/>
      </c>
      <c r="O846">
        <f>IFERROR(INDEX(PP_Grid[#Data],$DD846,13),0)</f>
        <v/>
      </c>
      <c r="P846">
        <f>IFERROR(INDEX(PP_Grid[#Data],$DD846,14),0)</f>
        <v/>
      </c>
      <c r="Q846">
        <f>IFERROR(INDEX(PP_Grid[#Data],$DD846,15),0)</f>
        <v/>
      </c>
      <c r="R846">
        <f>IFERROR(INDEX(PP_Grid[#Data],$DD846,16),0)</f>
        <v/>
      </c>
      <c r="S846">
        <f>IFERROR(INDEX(PP_Grid[#Data],$DD846,17),0)</f>
        <v/>
      </c>
      <c r="T846">
        <f>IFERROR(INDEX(PP_Grid[#Data],$DD846,18),0)</f>
        <v/>
      </c>
      <c r="U846">
        <f>IFERROR(INDEX(PP_Grid[#Data],$DD846,19),0)</f>
        <v/>
      </c>
      <c r="V846">
        <f>IFERROR(INDEX(PP_Grid[#Data],$DD846,20),0)</f>
        <v/>
      </c>
      <c r="W846">
        <f>IFERROR(INDEX(PP_Grid[#Data],$DD846,21),0)</f>
        <v/>
      </c>
      <c r="X846">
        <f>IFERROR(INDEX(PP_Grid[#Data],$DD846,22),0)</f>
        <v/>
      </c>
      <c r="Y846">
        <f>IFERROR(INDEX(PP_Grid[#Data],$DD846,23),0)</f>
        <v/>
      </c>
      <c r="Z846">
        <f>IFERROR(INDEX(PP_Grid[#Data],$DD846,24),0)</f>
        <v/>
      </c>
      <c r="AA846">
        <f>IFERROR(INDEX(PP_Grid[#Data],$DD846,25),0)</f>
        <v/>
      </c>
      <c r="AB846">
        <f>IFERROR(INDEX(PP_Grid[#Data],$DD846,26),0)</f>
        <v/>
      </c>
      <c r="AC846">
        <f>IFERROR(INDEX(PP_Grid[#Data],$DD846,27),0)</f>
        <v/>
      </c>
      <c r="AD846">
        <f>IFERROR(INDEX(PP_Grid[#Data],$DD846,28),0)</f>
        <v/>
      </c>
      <c r="AE846">
        <f>IFERROR(INDEX(PP_Grid[#Data],$DD846,29),0)</f>
        <v/>
      </c>
      <c r="AF846">
        <f>IFERROR(INDEX(PP_Grid[#Data],$DD846,30),0)</f>
        <v/>
      </c>
      <c r="AG846">
        <f>IFERROR(INDEX(PP_Grid[#Data],$DD846,31),0)</f>
        <v/>
      </c>
      <c r="AH846">
        <f>IFERROR(INDEX(PP_Grid[#Data],$DD846,32),0)</f>
        <v/>
      </c>
      <c r="AI846">
        <f>IFERROR(INDEX(PP_Grid[#Data],$DD846,33),0)</f>
        <v/>
      </c>
      <c r="AJ846">
        <f>IFERROR(INDEX(PP_Grid[#Data],$DD846,34),0)</f>
        <v/>
      </c>
      <c r="AK846">
        <f>IFERROR(INDEX(PP_Grid[#Data],$DD846,35),0)</f>
        <v/>
      </c>
      <c r="AL846">
        <f>IFERROR(INDEX(PP_Grid[#Data],$DD846,36),0)</f>
        <v/>
      </c>
      <c r="AM846">
        <f>IFERROR(INDEX(PP_Grid[#Data],$DD846,37),0)</f>
        <v/>
      </c>
      <c r="AN846">
        <f>IFERROR(INDEX(PP_Grid[#Data],$DD846,38),0)</f>
        <v/>
      </c>
      <c r="AO846">
        <f>IFERROR(INDEX(PP_Grid[#Data],$DD846,39),0)</f>
        <v/>
      </c>
      <c r="AP846">
        <f>IFERROR(INDEX(PP_Grid[#Data],$DD846,40),0)</f>
        <v/>
      </c>
      <c r="AQ846">
        <f>IFERROR(INDEX(PP_Grid[#Data],$DD846,41),0)</f>
        <v/>
      </c>
      <c r="AR846">
        <f>IFERROR(INDEX(PP_Grid[#Data],$DD846,42),0)</f>
        <v/>
      </c>
      <c r="AS846">
        <f>IFERROR(INDEX(PP_Grid[#Data],$DD846,43),0)</f>
        <v/>
      </c>
      <c r="AT846">
        <f>IFERROR(INDEX(PP_Grid[#Data],$DD846,44),0)</f>
        <v/>
      </c>
      <c r="AU846">
        <f>IFERROR(INDEX(PP_Grid[#Data],$DD846,45),0)</f>
        <v/>
      </c>
      <c r="AV846">
        <f>IFERROR(INDEX(PP_Grid[#Data],$DD846,46),0)</f>
        <v/>
      </c>
      <c r="AW846">
        <f>IFERROR(INDEX(PP_Grid[#Data],$DD846,47),0)</f>
        <v/>
      </c>
      <c r="AX846">
        <f>IFERROR(INDEX(PP_Grid[#Data],$DD846,48),0)</f>
        <v/>
      </c>
      <c r="AY846">
        <f>IFERROR(INDEX(PP_Grid[#Data],$DD846,49),0)</f>
        <v/>
      </c>
      <c r="AZ846">
        <f>IFERROR(INDEX(PP_Grid[#Data],$DD846,50),0)</f>
        <v/>
      </c>
      <c r="BA846">
        <f>IFERROR(INDEX(PP_Grid[#Data],$DD846,51),0)</f>
        <v/>
      </c>
      <c r="BB846">
        <f>IFERROR(INDEX(PP_Grid[#Data],$DD846,52),0)</f>
        <v/>
      </c>
      <c r="BC846">
        <f>IFERROR(INDEX(PP_Grid[#Data],$DD846,53),0)</f>
        <v/>
      </c>
      <c r="BD846">
        <f>IFERROR(INDEX(PP_Grid[#Data],$DD846,54),0)</f>
        <v/>
      </c>
      <c r="BE846">
        <f>IFERROR(INDEX(PP_Grid[#Data],$DD846,55),0)</f>
        <v/>
      </c>
      <c r="BF846">
        <f>IFERROR(INDEX(PP_Grid[#Data],$DD846,56),0)</f>
        <v/>
      </c>
      <c r="BG846">
        <f>IFERROR(INDEX(PP_Grid[#Data],$DD846,57),0)</f>
        <v/>
      </c>
      <c r="BH846">
        <f>IFERROR(INDEX(PP_Grid[#Data],$DD846,58),0)</f>
        <v/>
      </c>
      <c r="BI846">
        <f>IFERROR(INDEX(PP_Grid[#Data],$DD846,59),0)</f>
        <v/>
      </c>
      <c r="BJ846">
        <f>IFERROR(INDEX(PP_Grid[#Data],$DD846,60),0)</f>
        <v/>
      </c>
      <c r="BK846">
        <f>IFERROR(INDEX(PP_Grid[#Data],$DD846,61),0)</f>
        <v/>
      </c>
      <c r="BL846">
        <f>IFERROR(INDEX(PP_Grid[#Data],$DD846,62),0)</f>
        <v/>
      </c>
      <c r="BM846">
        <f>IFERROR(INDEX(PP_Grid[#Data],$DD846,63),0)</f>
        <v/>
      </c>
      <c r="BN846">
        <f>IFERROR(INDEX(PP_Grid[#Data],$DD846,64),0)</f>
        <v/>
      </c>
      <c r="BO846">
        <f>IFERROR(INDEX(PP_Grid[#Data],$DD846,65),0)</f>
        <v/>
      </c>
      <c r="BP846">
        <f>IFERROR(INDEX(PP_Grid[#Data],$DD846,66),0)</f>
        <v/>
      </c>
      <c r="BQ846">
        <f>IFERROR(INDEX(PP_Grid[#Data],$DD846,67),0)</f>
        <v/>
      </c>
      <c r="BR846">
        <f>IFERROR(INDEX(PP_Grid[#Data],$DD846,68),0)</f>
        <v/>
      </c>
      <c r="BS846">
        <f>IFERROR(INDEX(PP_Grid[#Data],$DD846,69),0)</f>
        <v/>
      </c>
      <c r="BT846">
        <f>IFERROR(INDEX(PP_Grid[#Data],$DD846,70),0)</f>
        <v/>
      </c>
      <c r="BU846">
        <f>IFERROR(INDEX(PP_Grid[#Data],$DD846,71),0)</f>
        <v/>
      </c>
      <c r="BV846">
        <f>IFERROR(INDEX(PP_Grid[#Data],$DD846,72),0)</f>
        <v/>
      </c>
      <c r="BW846">
        <f>IFERROR(INDEX(PP_Grid[#Data],$DD846,73),0)</f>
        <v/>
      </c>
      <c r="BX846">
        <f>IFERROR(INDEX(PP_Grid[#Data],$DD846,74),0)</f>
        <v/>
      </c>
      <c r="BY846">
        <f>IFERROR(INDEX(PP_Grid[#Data],$DD846,75),0)</f>
        <v/>
      </c>
      <c r="BZ846">
        <f>IFERROR(INDEX(PP_Grid[#Data],$DD846,76),0)</f>
        <v/>
      </c>
      <c r="CA846">
        <f>IFERROR(INDEX(PP_Grid[#Data],$DD846,77),0)</f>
        <v/>
      </c>
      <c r="CB846">
        <f>IFERROR(INDEX(PP_Grid[#Data],$DD846,78),0)</f>
        <v/>
      </c>
      <c r="CC846">
        <f>IFERROR(INDEX(PP_Grid[#Data],$DD846,79),0)</f>
        <v/>
      </c>
      <c r="CD846">
        <f>IFERROR(INDEX(PP_Grid[#Data],$DD846,80),0)</f>
        <v/>
      </c>
      <c r="CE846">
        <f>IFERROR(INDEX(PP_Grid[#Data],$DD846,81),0)</f>
        <v/>
      </c>
      <c r="CF846">
        <f>IFERROR(INDEX(PP_Grid[#Data],$DD846,82),0)</f>
        <v/>
      </c>
      <c r="CG846">
        <f>IFERROR(INDEX(PP_Grid[#Data],$DD846,83),0)</f>
        <v/>
      </c>
      <c r="CH846">
        <f>IFERROR(INDEX(PP_Grid[#Data],$DD846,84),0)</f>
        <v/>
      </c>
      <c r="CI846">
        <f>IFERROR(INDEX(PP_Grid[#Data],$DD846,85),0)</f>
        <v/>
      </c>
      <c r="CJ846">
        <f>IFERROR(INDEX(PP_Grid[#Data],$DD846,86),0)</f>
        <v/>
      </c>
      <c r="CK846">
        <f>IFERROR(INDEX(PP_Grid[#Data],$DD846,87),0)</f>
        <v/>
      </c>
      <c r="CL846">
        <f>IFERROR(INDEX(PP_Grid[#Data],$DD846,88),0)</f>
        <v/>
      </c>
      <c r="CM846">
        <f>IFERROR(INDEX(PP_Grid[#Data],$DD846,89),0)</f>
        <v/>
      </c>
      <c r="CN846">
        <f>IFERROR(INDEX(PP_Grid[#Data],$DD846,90),0)</f>
        <v/>
      </c>
      <c r="CO846">
        <f>IFERROR(INDEX(PP_Grid[#Data],$DD846,91),0)</f>
        <v/>
      </c>
      <c r="CP846">
        <f>IFERROR(INDEX(PP_Grid[#Data],$DD846,92),0)</f>
        <v/>
      </c>
      <c r="CQ846">
        <f>IFERROR(INDEX(PP_Grid[#Data],$DD846,93),0)</f>
        <v/>
      </c>
      <c r="CR846">
        <f>IFERROR(INDEX(PP_Grid[#Data],$DD846,94),0)</f>
        <v/>
      </c>
      <c r="CS846">
        <f>IFERROR(INDEX(PP_Grid[#Data],$DD846,95),0)</f>
        <v/>
      </c>
      <c r="CT846">
        <f>IFERROR(INDEX(PP_Grid[#Data],$DD846,96),0)</f>
        <v/>
      </c>
      <c r="CU846">
        <f>IFERROR(INDEX(PP_Grid[#Data],$DD846,97),0)</f>
        <v/>
      </c>
      <c r="CV846">
        <f>IFERROR(INDEX(PP_Grid[#Data],$DD846,98),0)</f>
        <v/>
      </c>
      <c r="CW846">
        <f>IFERROR(INDEX(PP_Grid[#Data],$DD846,99),0)</f>
        <v/>
      </c>
      <c r="CX846">
        <f>IFERROR(INDEX(PP_Grid[#Data],$DD846,100),0)</f>
        <v/>
      </c>
      <c r="CY846">
        <f>IFERROR(INDEX(PP_Grid[#Data],$DD846,101),0)</f>
        <v/>
      </c>
      <c r="CZ846">
        <f>IFERROR(INDEX(PP_Grid[#Data],$DD846,102),0)</f>
        <v/>
      </c>
      <c r="DA846">
        <f>IFERROR(INDEX(PP_Grid[#Data],$DD846,103),0)</f>
        <v/>
      </c>
      <c r="DB846">
        <f>IFERROR(INDEX(PP_Grid[#Data],$DD846,104),0)</f>
        <v/>
      </c>
      <c r="DC846">
        <f>IFERROR(INDEX(PP_Grid[#Data],$DD846,105),0)</f>
        <v/>
      </c>
      <c r="DD846" s="7">
        <f>IFERROR(MATCH($B846,PP_Grid[Intermediate],0),99999)</f>
        <v/>
      </c>
    </row>
    <row r="847">
      <c r="B847" t="inlineStr">
        <is>
          <t>使用量(kg)</t>
        </is>
      </c>
      <c r="C847">
        <f>SUMIFS(M_BOM[RM_Qty_Per_Batch],M_BOM[Intermediate],$B846,M_BOM[Part Name],$A833)</f>
        <v/>
      </c>
      <c r="D847">
        <f>$C847*D846</f>
        <v/>
      </c>
      <c r="E847">
        <f>$C847*E846</f>
        <v/>
      </c>
      <c r="F847">
        <f>$C847*F846</f>
        <v/>
      </c>
      <c r="G847">
        <f>$C847*G846</f>
        <v/>
      </c>
      <c r="H847">
        <f>$C847*H846</f>
        <v/>
      </c>
      <c r="I847">
        <f>$C847*I846</f>
        <v/>
      </c>
      <c r="J847">
        <f>$C847*J846</f>
        <v/>
      </c>
      <c r="K847">
        <f>$C847*K846</f>
        <v/>
      </c>
      <c r="L847">
        <f>$C847*L846</f>
        <v/>
      </c>
      <c r="M847">
        <f>$C847*M846</f>
        <v/>
      </c>
      <c r="N847">
        <f>$C847*N846</f>
        <v/>
      </c>
      <c r="O847">
        <f>$C847*O846</f>
        <v/>
      </c>
      <c r="P847">
        <f>$C847*P846</f>
        <v/>
      </c>
      <c r="Q847">
        <f>$C847*Q846</f>
        <v/>
      </c>
      <c r="R847">
        <f>$C847*R846</f>
        <v/>
      </c>
      <c r="S847">
        <f>$C847*S846</f>
        <v/>
      </c>
      <c r="T847">
        <f>$C847*T846</f>
        <v/>
      </c>
      <c r="U847">
        <f>$C847*U846</f>
        <v/>
      </c>
      <c r="V847">
        <f>$C847*V846</f>
        <v/>
      </c>
      <c r="W847">
        <f>$C847*W846</f>
        <v/>
      </c>
      <c r="X847">
        <f>$C847*X846</f>
        <v/>
      </c>
      <c r="Y847">
        <f>$C847*Y846</f>
        <v/>
      </c>
      <c r="Z847">
        <f>$C847*Z846</f>
        <v/>
      </c>
      <c r="AA847">
        <f>$C847*AA846</f>
        <v/>
      </c>
      <c r="AB847">
        <f>$C847*AB846</f>
        <v/>
      </c>
      <c r="AC847">
        <f>$C847*AC846</f>
        <v/>
      </c>
      <c r="AD847">
        <f>$C847*AD846</f>
        <v/>
      </c>
      <c r="AE847">
        <f>$C847*AE846</f>
        <v/>
      </c>
      <c r="AF847">
        <f>$C847*AF846</f>
        <v/>
      </c>
      <c r="AG847">
        <f>$C847*AG846</f>
        <v/>
      </c>
      <c r="AH847">
        <f>$C847*AH846</f>
        <v/>
      </c>
      <c r="AI847">
        <f>$C847*AI846</f>
        <v/>
      </c>
      <c r="AJ847">
        <f>$C847*AJ846</f>
        <v/>
      </c>
      <c r="AK847">
        <f>$C847*AK846</f>
        <v/>
      </c>
      <c r="AL847">
        <f>$C847*AL846</f>
        <v/>
      </c>
      <c r="AM847">
        <f>$C847*AM846</f>
        <v/>
      </c>
      <c r="AN847">
        <f>$C847*AN846</f>
        <v/>
      </c>
      <c r="AO847">
        <f>$C847*AO846</f>
        <v/>
      </c>
      <c r="AP847">
        <f>$C847*AP846</f>
        <v/>
      </c>
      <c r="AQ847">
        <f>$C847*AQ846</f>
        <v/>
      </c>
      <c r="AR847">
        <f>$C847*AR846</f>
        <v/>
      </c>
      <c r="AS847">
        <f>$C847*AS846</f>
        <v/>
      </c>
      <c r="AT847">
        <f>$C847*AT846</f>
        <v/>
      </c>
      <c r="AU847">
        <f>$C847*AU846</f>
        <v/>
      </c>
      <c r="AV847">
        <f>$C847*AV846</f>
        <v/>
      </c>
      <c r="AW847">
        <f>$C847*AW846</f>
        <v/>
      </c>
      <c r="AX847">
        <f>$C847*AX846</f>
        <v/>
      </c>
      <c r="AY847">
        <f>$C847*AY846</f>
        <v/>
      </c>
      <c r="AZ847">
        <f>$C847*AZ846</f>
        <v/>
      </c>
      <c r="BA847">
        <f>$C847*BA846</f>
        <v/>
      </c>
      <c r="BB847">
        <f>$C847*BB846</f>
        <v/>
      </c>
      <c r="BC847">
        <f>$C847*BC846</f>
        <v/>
      </c>
      <c r="BD847">
        <f>$C847*BD846</f>
        <v/>
      </c>
      <c r="BE847">
        <f>$C847*BE846</f>
        <v/>
      </c>
      <c r="BF847">
        <f>$C847*BF846</f>
        <v/>
      </c>
      <c r="BG847">
        <f>$C847*BG846</f>
        <v/>
      </c>
      <c r="BH847">
        <f>$C847*BH846</f>
        <v/>
      </c>
      <c r="BI847">
        <f>$C847*BI846</f>
        <v/>
      </c>
      <c r="BJ847">
        <f>$C847*BJ846</f>
        <v/>
      </c>
      <c r="BK847">
        <f>$C847*BK846</f>
        <v/>
      </c>
      <c r="BL847">
        <f>$C847*BL846</f>
        <v/>
      </c>
      <c r="BM847">
        <f>$C847*BM846</f>
        <v/>
      </c>
      <c r="BN847">
        <f>$C847*BN846</f>
        <v/>
      </c>
      <c r="BO847">
        <f>$C847*BO846</f>
        <v/>
      </c>
      <c r="BP847">
        <f>$C847*BP846</f>
        <v/>
      </c>
      <c r="BQ847">
        <f>$C847*BQ846</f>
        <v/>
      </c>
      <c r="BR847">
        <f>$C847*BR846</f>
        <v/>
      </c>
      <c r="BS847">
        <f>$C847*BS846</f>
        <v/>
      </c>
      <c r="BT847">
        <f>$C847*BT846</f>
        <v/>
      </c>
      <c r="BU847">
        <f>$C847*BU846</f>
        <v/>
      </c>
      <c r="BV847">
        <f>$C847*BV846</f>
        <v/>
      </c>
      <c r="BW847">
        <f>$C847*BW846</f>
        <v/>
      </c>
      <c r="BX847">
        <f>$C847*BX846</f>
        <v/>
      </c>
      <c r="BY847">
        <f>$C847*BY846</f>
        <v/>
      </c>
      <c r="BZ847">
        <f>$C847*BZ846</f>
        <v/>
      </c>
      <c r="CA847">
        <f>$C847*CA846</f>
        <v/>
      </c>
      <c r="CB847">
        <f>$C847*CB846</f>
        <v/>
      </c>
      <c r="CC847">
        <f>$C847*CC846</f>
        <v/>
      </c>
      <c r="CD847">
        <f>$C847*CD846</f>
        <v/>
      </c>
      <c r="CE847">
        <f>$C847*CE846</f>
        <v/>
      </c>
      <c r="CF847">
        <f>$C847*CF846</f>
        <v/>
      </c>
      <c r="CG847">
        <f>$C847*CG846</f>
        <v/>
      </c>
      <c r="CH847">
        <f>$C847*CH846</f>
        <v/>
      </c>
      <c r="CI847">
        <f>$C847*CI846</f>
        <v/>
      </c>
      <c r="CJ847">
        <f>$C847*CJ846</f>
        <v/>
      </c>
      <c r="CK847">
        <f>$C847*CK846</f>
        <v/>
      </c>
      <c r="CL847">
        <f>$C847*CL846</f>
        <v/>
      </c>
      <c r="CM847">
        <f>$C847*CM846</f>
        <v/>
      </c>
      <c r="CN847">
        <f>$C847*CN846</f>
        <v/>
      </c>
      <c r="CO847">
        <f>$C847*CO846</f>
        <v/>
      </c>
      <c r="CP847">
        <f>$C847*CP846</f>
        <v/>
      </c>
      <c r="CQ847">
        <f>$C847*CQ846</f>
        <v/>
      </c>
      <c r="CR847">
        <f>$C847*CR846</f>
        <v/>
      </c>
      <c r="CS847">
        <f>$C847*CS846</f>
        <v/>
      </c>
      <c r="CT847">
        <f>$C847*CT846</f>
        <v/>
      </c>
      <c r="CU847">
        <f>$C847*CU846</f>
        <v/>
      </c>
      <c r="CV847">
        <f>$C847*CV846</f>
        <v/>
      </c>
      <c r="CW847">
        <f>$C847*CW846</f>
        <v/>
      </c>
      <c r="CX847">
        <f>$C847*CX846</f>
        <v/>
      </c>
      <c r="CY847">
        <f>$C847*CY846</f>
        <v/>
      </c>
      <c r="CZ847">
        <f>$C847*CZ846</f>
        <v/>
      </c>
      <c r="DA847">
        <f>$C847*DA846</f>
        <v/>
      </c>
      <c r="DB847">
        <f>$C847*DB846</f>
        <v/>
      </c>
      <c r="DC847">
        <f>$C847*DC846</f>
        <v/>
      </c>
    </row>
    <row r="848">
      <c r="B848" t="inlineStr">
        <is>
          <t>TSP-935</t>
        </is>
      </c>
      <c r="C848" t="inlineStr">
        <is>
          <t>No. of batches</t>
        </is>
      </c>
      <c r="D848">
        <f>IFERROR(INDEX(PP_Grid[#Data],$DD848,2),0)</f>
        <v/>
      </c>
      <c r="E848">
        <f>IFERROR(INDEX(PP_Grid[#Data],$DD848,3),0)</f>
        <v/>
      </c>
      <c r="F848">
        <f>IFERROR(INDEX(PP_Grid[#Data],$DD848,4),0)</f>
        <v/>
      </c>
      <c r="G848">
        <f>IFERROR(INDEX(PP_Grid[#Data],$DD848,5),0)</f>
        <v/>
      </c>
      <c r="H848">
        <f>IFERROR(INDEX(PP_Grid[#Data],$DD848,6),0)</f>
        <v/>
      </c>
      <c r="I848">
        <f>IFERROR(INDEX(PP_Grid[#Data],$DD848,7),0)</f>
        <v/>
      </c>
      <c r="J848">
        <f>IFERROR(INDEX(PP_Grid[#Data],$DD848,8),0)</f>
        <v/>
      </c>
      <c r="K848">
        <f>IFERROR(INDEX(PP_Grid[#Data],$DD848,9),0)</f>
        <v/>
      </c>
      <c r="L848">
        <f>IFERROR(INDEX(PP_Grid[#Data],$DD848,10),0)</f>
        <v/>
      </c>
      <c r="M848">
        <f>IFERROR(INDEX(PP_Grid[#Data],$DD848,11),0)</f>
        <v/>
      </c>
      <c r="N848">
        <f>IFERROR(INDEX(PP_Grid[#Data],$DD848,12),0)</f>
        <v/>
      </c>
      <c r="O848">
        <f>IFERROR(INDEX(PP_Grid[#Data],$DD848,13),0)</f>
        <v/>
      </c>
      <c r="P848">
        <f>IFERROR(INDEX(PP_Grid[#Data],$DD848,14),0)</f>
        <v/>
      </c>
      <c r="Q848">
        <f>IFERROR(INDEX(PP_Grid[#Data],$DD848,15),0)</f>
        <v/>
      </c>
      <c r="R848">
        <f>IFERROR(INDEX(PP_Grid[#Data],$DD848,16),0)</f>
        <v/>
      </c>
      <c r="S848">
        <f>IFERROR(INDEX(PP_Grid[#Data],$DD848,17),0)</f>
        <v/>
      </c>
      <c r="T848">
        <f>IFERROR(INDEX(PP_Grid[#Data],$DD848,18),0)</f>
        <v/>
      </c>
      <c r="U848">
        <f>IFERROR(INDEX(PP_Grid[#Data],$DD848,19),0)</f>
        <v/>
      </c>
      <c r="V848">
        <f>IFERROR(INDEX(PP_Grid[#Data],$DD848,20),0)</f>
        <v/>
      </c>
      <c r="W848">
        <f>IFERROR(INDEX(PP_Grid[#Data],$DD848,21),0)</f>
        <v/>
      </c>
      <c r="X848">
        <f>IFERROR(INDEX(PP_Grid[#Data],$DD848,22),0)</f>
        <v/>
      </c>
      <c r="Y848">
        <f>IFERROR(INDEX(PP_Grid[#Data],$DD848,23),0)</f>
        <v/>
      </c>
      <c r="Z848">
        <f>IFERROR(INDEX(PP_Grid[#Data],$DD848,24),0)</f>
        <v/>
      </c>
      <c r="AA848">
        <f>IFERROR(INDEX(PP_Grid[#Data],$DD848,25),0)</f>
        <v/>
      </c>
      <c r="AB848">
        <f>IFERROR(INDEX(PP_Grid[#Data],$DD848,26),0)</f>
        <v/>
      </c>
      <c r="AC848">
        <f>IFERROR(INDEX(PP_Grid[#Data],$DD848,27),0)</f>
        <v/>
      </c>
      <c r="AD848">
        <f>IFERROR(INDEX(PP_Grid[#Data],$DD848,28),0)</f>
        <v/>
      </c>
      <c r="AE848">
        <f>IFERROR(INDEX(PP_Grid[#Data],$DD848,29),0)</f>
        <v/>
      </c>
      <c r="AF848">
        <f>IFERROR(INDEX(PP_Grid[#Data],$DD848,30),0)</f>
        <v/>
      </c>
      <c r="AG848">
        <f>IFERROR(INDEX(PP_Grid[#Data],$DD848,31),0)</f>
        <v/>
      </c>
      <c r="AH848">
        <f>IFERROR(INDEX(PP_Grid[#Data],$DD848,32),0)</f>
        <v/>
      </c>
      <c r="AI848">
        <f>IFERROR(INDEX(PP_Grid[#Data],$DD848,33),0)</f>
        <v/>
      </c>
      <c r="AJ848">
        <f>IFERROR(INDEX(PP_Grid[#Data],$DD848,34),0)</f>
        <v/>
      </c>
      <c r="AK848">
        <f>IFERROR(INDEX(PP_Grid[#Data],$DD848,35),0)</f>
        <v/>
      </c>
      <c r="AL848">
        <f>IFERROR(INDEX(PP_Grid[#Data],$DD848,36),0)</f>
        <v/>
      </c>
      <c r="AM848">
        <f>IFERROR(INDEX(PP_Grid[#Data],$DD848,37),0)</f>
        <v/>
      </c>
      <c r="AN848">
        <f>IFERROR(INDEX(PP_Grid[#Data],$DD848,38),0)</f>
        <v/>
      </c>
      <c r="AO848">
        <f>IFERROR(INDEX(PP_Grid[#Data],$DD848,39),0)</f>
        <v/>
      </c>
      <c r="AP848">
        <f>IFERROR(INDEX(PP_Grid[#Data],$DD848,40),0)</f>
        <v/>
      </c>
      <c r="AQ848">
        <f>IFERROR(INDEX(PP_Grid[#Data],$DD848,41),0)</f>
        <v/>
      </c>
      <c r="AR848">
        <f>IFERROR(INDEX(PP_Grid[#Data],$DD848,42),0)</f>
        <v/>
      </c>
      <c r="AS848">
        <f>IFERROR(INDEX(PP_Grid[#Data],$DD848,43),0)</f>
        <v/>
      </c>
      <c r="AT848">
        <f>IFERROR(INDEX(PP_Grid[#Data],$DD848,44),0)</f>
        <v/>
      </c>
      <c r="AU848">
        <f>IFERROR(INDEX(PP_Grid[#Data],$DD848,45),0)</f>
        <v/>
      </c>
      <c r="AV848">
        <f>IFERROR(INDEX(PP_Grid[#Data],$DD848,46),0)</f>
        <v/>
      </c>
      <c r="AW848">
        <f>IFERROR(INDEX(PP_Grid[#Data],$DD848,47),0)</f>
        <v/>
      </c>
      <c r="AX848">
        <f>IFERROR(INDEX(PP_Grid[#Data],$DD848,48),0)</f>
        <v/>
      </c>
      <c r="AY848">
        <f>IFERROR(INDEX(PP_Grid[#Data],$DD848,49),0)</f>
        <v/>
      </c>
      <c r="AZ848">
        <f>IFERROR(INDEX(PP_Grid[#Data],$DD848,50),0)</f>
        <v/>
      </c>
      <c r="BA848">
        <f>IFERROR(INDEX(PP_Grid[#Data],$DD848,51),0)</f>
        <v/>
      </c>
      <c r="BB848">
        <f>IFERROR(INDEX(PP_Grid[#Data],$DD848,52),0)</f>
        <v/>
      </c>
      <c r="BC848">
        <f>IFERROR(INDEX(PP_Grid[#Data],$DD848,53),0)</f>
        <v/>
      </c>
      <c r="BD848">
        <f>IFERROR(INDEX(PP_Grid[#Data],$DD848,54),0)</f>
        <v/>
      </c>
      <c r="BE848">
        <f>IFERROR(INDEX(PP_Grid[#Data],$DD848,55),0)</f>
        <v/>
      </c>
      <c r="BF848">
        <f>IFERROR(INDEX(PP_Grid[#Data],$DD848,56),0)</f>
        <v/>
      </c>
      <c r="BG848">
        <f>IFERROR(INDEX(PP_Grid[#Data],$DD848,57),0)</f>
        <v/>
      </c>
      <c r="BH848">
        <f>IFERROR(INDEX(PP_Grid[#Data],$DD848,58),0)</f>
        <v/>
      </c>
      <c r="BI848">
        <f>IFERROR(INDEX(PP_Grid[#Data],$DD848,59),0)</f>
        <v/>
      </c>
      <c r="BJ848">
        <f>IFERROR(INDEX(PP_Grid[#Data],$DD848,60),0)</f>
        <v/>
      </c>
      <c r="BK848">
        <f>IFERROR(INDEX(PP_Grid[#Data],$DD848,61),0)</f>
        <v/>
      </c>
      <c r="BL848">
        <f>IFERROR(INDEX(PP_Grid[#Data],$DD848,62),0)</f>
        <v/>
      </c>
      <c r="BM848">
        <f>IFERROR(INDEX(PP_Grid[#Data],$DD848,63),0)</f>
        <v/>
      </c>
      <c r="BN848">
        <f>IFERROR(INDEX(PP_Grid[#Data],$DD848,64),0)</f>
        <v/>
      </c>
      <c r="BO848">
        <f>IFERROR(INDEX(PP_Grid[#Data],$DD848,65),0)</f>
        <v/>
      </c>
      <c r="BP848">
        <f>IFERROR(INDEX(PP_Grid[#Data],$DD848,66),0)</f>
        <v/>
      </c>
      <c r="BQ848">
        <f>IFERROR(INDEX(PP_Grid[#Data],$DD848,67),0)</f>
        <v/>
      </c>
      <c r="BR848">
        <f>IFERROR(INDEX(PP_Grid[#Data],$DD848,68),0)</f>
        <v/>
      </c>
      <c r="BS848">
        <f>IFERROR(INDEX(PP_Grid[#Data],$DD848,69),0)</f>
        <v/>
      </c>
      <c r="BT848">
        <f>IFERROR(INDEX(PP_Grid[#Data],$DD848,70),0)</f>
        <v/>
      </c>
      <c r="BU848">
        <f>IFERROR(INDEX(PP_Grid[#Data],$DD848,71),0)</f>
        <v/>
      </c>
      <c r="BV848">
        <f>IFERROR(INDEX(PP_Grid[#Data],$DD848,72),0)</f>
        <v/>
      </c>
      <c r="BW848">
        <f>IFERROR(INDEX(PP_Grid[#Data],$DD848,73),0)</f>
        <v/>
      </c>
      <c r="BX848">
        <f>IFERROR(INDEX(PP_Grid[#Data],$DD848,74),0)</f>
        <v/>
      </c>
      <c r="BY848">
        <f>IFERROR(INDEX(PP_Grid[#Data],$DD848,75),0)</f>
        <v/>
      </c>
      <c r="BZ848">
        <f>IFERROR(INDEX(PP_Grid[#Data],$DD848,76),0)</f>
        <v/>
      </c>
      <c r="CA848">
        <f>IFERROR(INDEX(PP_Grid[#Data],$DD848,77),0)</f>
        <v/>
      </c>
      <c r="CB848">
        <f>IFERROR(INDEX(PP_Grid[#Data],$DD848,78),0)</f>
        <v/>
      </c>
      <c r="CC848">
        <f>IFERROR(INDEX(PP_Grid[#Data],$DD848,79),0)</f>
        <v/>
      </c>
      <c r="CD848">
        <f>IFERROR(INDEX(PP_Grid[#Data],$DD848,80),0)</f>
        <v/>
      </c>
      <c r="CE848">
        <f>IFERROR(INDEX(PP_Grid[#Data],$DD848,81),0)</f>
        <v/>
      </c>
      <c r="CF848">
        <f>IFERROR(INDEX(PP_Grid[#Data],$DD848,82),0)</f>
        <v/>
      </c>
      <c r="CG848">
        <f>IFERROR(INDEX(PP_Grid[#Data],$DD848,83),0)</f>
        <v/>
      </c>
      <c r="CH848">
        <f>IFERROR(INDEX(PP_Grid[#Data],$DD848,84),0)</f>
        <v/>
      </c>
      <c r="CI848">
        <f>IFERROR(INDEX(PP_Grid[#Data],$DD848,85),0)</f>
        <v/>
      </c>
      <c r="CJ848">
        <f>IFERROR(INDEX(PP_Grid[#Data],$DD848,86),0)</f>
        <v/>
      </c>
      <c r="CK848">
        <f>IFERROR(INDEX(PP_Grid[#Data],$DD848,87),0)</f>
        <v/>
      </c>
      <c r="CL848">
        <f>IFERROR(INDEX(PP_Grid[#Data],$DD848,88),0)</f>
        <v/>
      </c>
      <c r="CM848">
        <f>IFERROR(INDEX(PP_Grid[#Data],$DD848,89),0)</f>
        <v/>
      </c>
      <c r="CN848">
        <f>IFERROR(INDEX(PP_Grid[#Data],$DD848,90),0)</f>
        <v/>
      </c>
      <c r="CO848">
        <f>IFERROR(INDEX(PP_Grid[#Data],$DD848,91),0)</f>
        <v/>
      </c>
      <c r="CP848">
        <f>IFERROR(INDEX(PP_Grid[#Data],$DD848,92),0)</f>
        <v/>
      </c>
      <c r="CQ848">
        <f>IFERROR(INDEX(PP_Grid[#Data],$DD848,93),0)</f>
        <v/>
      </c>
      <c r="CR848">
        <f>IFERROR(INDEX(PP_Grid[#Data],$DD848,94),0)</f>
        <v/>
      </c>
      <c r="CS848">
        <f>IFERROR(INDEX(PP_Grid[#Data],$DD848,95),0)</f>
        <v/>
      </c>
      <c r="CT848">
        <f>IFERROR(INDEX(PP_Grid[#Data],$DD848,96),0)</f>
        <v/>
      </c>
      <c r="CU848">
        <f>IFERROR(INDEX(PP_Grid[#Data],$DD848,97),0)</f>
        <v/>
      </c>
      <c r="CV848">
        <f>IFERROR(INDEX(PP_Grid[#Data],$DD848,98),0)</f>
        <v/>
      </c>
      <c r="CW848">
        <f>IFERROR(INDEX(PP_Grid[#Data],$DD848,99),0)</f>
        <v/>
      </c>
      <c r="CX848">
        <f>IFERROR(INDEX(PP_Grid[#Data],$DD848,100),0)</f>
        <v/>
      </c>
      <c r="CY848">
        <f>IFERROR(INDEX(PP_Grid[#Data],$DD848,101),0)</f>
        <v/>
      </c>
      <c r="CZ848">
        <f>IFERROR(INDEX(PP_Grid[#Data],$DD848,102),0)</f>
        <v/>
      </c>
      <c r="DA848">
        <f>IFERROR(INDEX(PP_Grid[#Data],$DD848,103),0)</f>
        <v/>
      </c>
      <c r="DB848">
        <f>IFERROR(INDEX(PP_Grid[#Data],$DD848,104),0)</f>
        <v/>
      </c>
      <c r="DC848">
        <f>IFERROR(INDEX(PP_Grid[#Data],$DD848,105),0)</f>
        <v/>
      </c>
      <c r="DD848" s="7">
        <f>IFERROR(MATCH($B848,PP_Grid[Intermediate],0),99999)</f>
        <v/>
      </c>
    </row>
    <row r="849">
      <c r="B849" t="inlineStr">
        <is>
          <t>使用量(kg)</t>
        </is>
      </c>
      <c r="C849">
        <f>SUMIFS(M_BOM[RM_Qty_Per_Batch],M_BOM[Intermediate],$B848,M_BOM[Part Name],$A833)</f>
        <v/>
      </c>
      <c r="D849">
        <f>$C849*D848</f>
        <v/>
      </c>
      <c r="E849">
        <f>$C849*E848</f>
        <v/>
      </c>
      <c r="F849">
        <f>$C849*F848</f>
        <v/>
      </c>
      <c r="G849">
        <f>$C849*G848</f>
        <v/>
      </c>
      <c r="H849">
        <f>$C849*H848</f>
        <v/>
      </c>
      <c r="I849">
        <f>$C849*I848</f>
        <v/>
      </c>
      <c r="J849">
        <f>$C849*J848</f>
        <v/>
      </c>
      <c r="K849">
        <f>$C849*K848</f>
        <v/>
      </c>
      <c r="L849">
        <f>$C849*L848</f>
        <v/>
      </c>
      <c r="M849">
        <f>$C849*M848</f>
        <v/>
      </c>
      <c r="N849">
        <f>$C849*N848</f>
        <v/>
      </c>
      <c r="O849">
        <f>$C849*O848</f>
        <v/>
      </c>
      <c r="P849">
        <f>$C849*P848</f>
        <v/>
      </c>
      <c r="Q849">
        <f>$C849*Q848</f>
        <v/>
      </c>
      <c r="R849">
        <f>$C849*R848</f>
        <v/>
      </c>
      <c r="S849">
        <f>$C849*S848</f>
        <v/>
      </c>
      <c r="T849">
        <f>$C849*T848</f>
        <v/>
      </c>
      <c r="U849">
        <f>$C849*U848</f>
        <v/>
      </c>
      <c r="V849">
        <f>$C849*V848</f>
        <v/>
      </c>
      <c r="W849">
        <f>$C849*W848</f>
        <v/>
      </c>
      <c r="X849">
        <f>$C849*X848</f>
        <v/>
      </c>
      <c r="Y849">
        <f>$C849*Y848</f>
        <v/>
      </c>
      <c r="Z849">
        <f>$C849*Z848</f>
        <v/>
      </c>
      <c r="AA849">
        <f>$C849*AA848</f>
        <v/>
      </c>
      <c r="AB849">
        <f>$C849*AB848</f>
        <v/>
      </c>
      <c r="AC849">
        <f>$C849*AC848</f>
        <v/>
      </c>
      <c r="AD849">
        <f>$C849*AD848</f>
        <v/>
      </c>
      <c r="AE849">
        <f>$C849*AE848</f>
        <v/>
      </c>
      <c r="AF849">
        <f>$C849*AF848</f>
        <v/>
      </c>
      <c r="AG849">
        <f>$C849*AG848</f>
        <v/>
      </c>
      <c r="AH849">
        <f>$C849*AH848</f>
        <v/>
      </c>
      <c r="AI849">
        <f>$C849*AI848</f>
        <v/>
      </c>
      <c r="AJ849">
        <f>$C849*AJ848</f>
        <v/>
      </c>
      <c r="AK849">
        <f>$C849*AK848</f>
        <v/>
      </c>
      <c r="AL849">
        <f>$C849*AL848</f>
        <v/>
      </c>
      <c r="AM849">
        <f>$C849*AM848</f>
        <v/>
      </c>
      <c r="AN849">
        <f>$C849*AN848</f>
        <v/>
      </c>
      <c r="AO849">
        <f>$C849*AO848</f>
        <v/>
      </c>
      <c r="AP849">
        <f>$C849*AP848</f>
        <v/>
      </c>
      <c r="AQ849">
        <f>$C849*AQ848</f>
        <v/>
      </c>
      <c r="AR849">
        <f>$C849*AR848</f>
        <v/>
      </c>
      <c r="AS849">
        <f>$C849*AS848</f>
        <v/>
      </c>
      <c r="AT849">
        <f>$C849*AT848</f>
        <v/>
      </c>
      <c r="AU849">
        <f>$C849*AU848</f>
        <v/>
      </c>
      <c r="AV849">
        <f>$C849*AV848</f>
        <v/>
      </c>
      <c r="AW849">
        <f>$C849*AW848</f>
        <v/>
      </c>
      <c r="AX849">
        <f>$C849*AX848</f>
        <v/>
      </c>
      <c r="AY849">
        <f>$C849*AY848</f>
        <v/>
      </c>
      <c r="AZ849">
        <f>$C849*AZ848</f>
        <v/>
      </c>
      <c r="BA849">
        <f>$C849*BA848</f>
        <v/>
      </c>
      <c r="BB849">
        <f>$C849*BB848</f>
        <v/>
      </c>
      <c r="BC849">
        <f>$C849*BC848</f>
        <v/>
      </c>
      <c r="BD849">
        <f>$C849*BD848</f>
        <v/>
      </c>
      <c r="BE849">
        <f>$C849*BE848</f>
        <v/>
      </c>
      <c r="BF849">
        <f>$C849*BF848</f>
        <v/>
      </c>
      <c r="BG849">
        <f>$C849*BG848</f>
        <v/>
      </c>
      <c r="BH849">
        <f>$C849*BH848</f>
        <v/>
      </c>
      <c r="BI849">
        <f>$C849*BI848</f>
        <v/>
      </c>
      <c r="BJ849">
        <f>$C849*BJ848</f>
        <v/>
      </c>
      <c r="BK849">
        <f>$C849*BK848</f>
        <v/>
      </c>
      <c r="BL849">
        <f>$C849*BL848</f>
        <v/>
      </c>
      <c r="BM849">
        <f>$C849*BM848</f>
        <v/>
      </c>
      <c r="BN849">
        <f>$C849*BN848</f>
        <v/>
      </c>
      <c r="BO849">
        <f>$C849*BO848</f>
        <v/>
      </c>
      <c r="BP849">
        <f>$C849*BP848</f>
        <v/>
      </c>
      <c r="BQ849">
        <f>$C849*BQ848</f>
        <v/>
      </c>
      <c r="BR849">
        <f>$C849*BR848</f>
        <v/>
      </c>
      <c r="BS849">
        <f>$C849*BS848</f>
        <v/>
      </c>
      <c r="BT849">
        <f>$C849*BT848</f>
        <v/>
      </c>
      <c r="BU849">
        <f>$C849*BU848</f>
        <v/>
      </c>
      <c r="BV849">
        <f>$C849*BV848</f>
        <v/>
      </c>
      <c r="BW849">
        <f>$C849*BW848</f>
        <v/>
      </c>
      <c r="BX849">
        <f>$C849*BX848</f>
        <v/>
      </c>
      <c r="BY849">
        <f>$C849*BY848</f>
        <v/>
      </c>
      <c r="BZ849">
        <f>$C849*BZ848</f>
        <v/>
      </c>
      <c r="CA849">
        <f>$C849*CA848</f>
        <v/>
      </c>
      <c r="CB849">
        <f>$C849*CB848</f>
        <v/>
      </c>
      <c r="CC849">
        <f>$C849*CC848</f>
        <v/>
      </c>
      <c r="CD849">
        <f>$C849*CD848</f>
        <v/>
      </c>
      <c r="CE849">
        <f>$C849*CE848</f>
        <v/>
      </c>
      <c r="CF849">
        <f>$C849*CF848</f>
        <v/>
      </c>
      <c r="CG849">
        <f>$C849*CG848</f>
        <v/>
      </c>
      <c r="CH849">
        <f>$C849*CH848</f>
        <v/>
      </c>
      <c r="CI849">
        <f>$C849*CI848</f>
        <v/>
      </c>
      <c r="CJ849">
        <f>$C849*CJ848</f>
        <v/>
      </c>
      <c r="CK849">
        <f>$C849*CK848</f>
        <v/>
      </c>
      <c r="CL849">
        <f>$C849*CL848</f>
        <v/>
      </c>
      <c r="CM849">
        <f>$C849*CM848</f>
        <v/>
      </c>
      <c r="CN849">
        <f>$C849*CN848</f>
        <v/>
      </c>
      <c r="CO849">
        <f>$C849*CO848</f>
        <v/>
      </c>
      <c r="CP849">
        <f>$C849*CP848</f>
        <v/>
      </c>
      <c r="CQ849">
        <f>$C849*CQ848</f>
        <v/>
      </c>
      <c r="CR849">
        <f>$C849*CR848</f>
        <v/>
      </c>
      <c r="CS849">
        <f>$C849*CS848</f>
        <v/>
      </c>
      <c r="CT849">
        <f>$C849*CT848</f>
        <v/>
      </c>
      <c r="CU849">
        <f>$C849*CU848</f>
        <v/>
      </c>
      <c r="CV849">
        <f>$C849*CV848</f>
        <v/>
      </c>
      <c r="CW849">
        <f>$C849*CW848</f>
        <v/>
      </c>
      <c r="CX849">
        <f>$C849*CX848</f>
        <v/>
      </c>
      <c r="CY849">
        <f>$C849*CY848</f>
        <v/>
      </c>
      <c r="CZ849">
        <f>$C849*CZ848</f>
        <v/>
      </c>
      <c r="DA849">
        <f>$C849*DA848</f>
        <v/>
      </c>
      <c r="DB849">
        <f>$C849*DB848</f>
        <v/>
      </c>
      <c r="DC849">
        <f>$C849*DC848</f>
        <v/>
      </c>
    </row>
    <row r="850">
      <c r="B850" t="inlineStr">
        <is>
          <t>TSP-936</t>
        </is>
      </c>
      <c r="C850" t="inlineStr">
        <is>
          <t>No. of batches</t>
        </is>
      </c>
      <c r="D850">
        <f>IFERROR(INDEX(PP_Grid[#Data],$DD850,2),0)</f>
        <v/>
      </c>
      <c r="E850">
        <f>IFERROR(INDEX(PP_Grid[#Data],$DD850,3),0)</f>
        <v/>
      </c>
      <c r="F850">
        <f>IFERROR(INDEX(PP_Grid[#Data],$DD850,4),0)</f>
        <v/>
      </c>
      <c r="G850">
        <f>IFERROR(INDEX(PP_Grid[#Data],$DD850,5),0)</f>
        <v/>
      </c>
      <c r="H850">
        <f>IFERROR(INDEX(PP_Grid[#Data],$DD850,6),0)</f>
        <v/>
      </c>
      <c r="I850">
        <f>IFERROR(INDEX(PP_Grid[#Data],$DD850,7),0)</f>
        <v/>
      </c>
      <c r="J850">
        <f>IFERROR(INDEX(PP_Grid[#Data],$DD850,8),0)</f>
        <v/>
      </c>
      <c r="K850">
        <f>IFERROR(INDEX(PP_Grid[#Data],$DD850,9),0)</f>
        <v/>
      </c>
      <c r="L850">
        <f>IFERROR(INDEX(PP_Grid[#Data],$DD850,10),0)</f>
        <v/>
      </c>
      <c r="M850">
        <f>IFERROR(INDEX(PP_Grid[#Data],$DD850,11),0)</f>
        <v/>
      </c>
      <c r="N850">
        <f>IFERROR(INDEX(PP_Grid[#Data],$DD850,12),0)</f>
        <v/>
      </c>
      <c r="O850">
        <f>IFERROR(INDEX(PP_Grid[#Data],$DD850,13),0)</f>
        <v/>
      </c>
      <c r="P850">
        <f>IFERROR(INDEX(PP_Grid[#Data],$DD850,14),0)</f>
        <v/>
      </c>
      <c r="Q850">
        <f>IFERROR(INDEX(PP_Grid[#Data],$DD850,15),0)</f>
        <v/>
      </c>
      <c r="R850">
        <f>IFERROR(INDEX(PP_Grid[#Data],$DD850,16),0)</f>
        <v/>
      </c>
      <c r="S850">
        <f>IFERROR(INDEX(PP_Grid[#Data],$DD850,17),0)</f>
        <v/>
      </c>
      <c r="T850">
        <f>IFERROR(INDEX(PP_Grid[#Data],$DD850,18),0)</f>
        <v/>
      </c>
      <c r="U850">
        <f>IFERROR(INDEX(PP_Grid[#Data],$DD850,19),0)</f>
        <v/>
      </c>
      <c r="V850">
        <f>IFERROR(INDEX(PP_Grid[#Data],$DD850,20),0)</f>
        <v/>
      </c>
      <c r="W850">
        <f>IFERROR(INDEX(PP_Grid[#Data],$DD850,21),0)</f>
        <v/>
      </c>
      <c r="X850">
        <f>IFERROR(INDEX(PP_Grid[#Data],$DD850,22),0)</f>
        <v/>
      </c>
      <c r="Y850">
        <f>IFERROR(INDEX(PP_Grid[#Data],$DD850,23),0)</f>
        <v/>
      </c>
      <c r="Z850">
        <f>IFERROR(INDEX(PP_Grid[#Data],$DD850,24),0)</f>
        <v/>
      </c>
      <c r="AA850">
        <f>IFERROR(INDEX(PP_Grid[#Data],$DD850,25),0)</f>
        <v/>
      </c>
      <c r="AB850">
        <f>IFERROR(INDEX(PP_Grid[#Data],$DD850,26),0)</f>
        <v/>
      </c>
      <c r="AC850">
        <f>IFERROR(INDEX(PP_Grid[#Data],$DD850,27),0)</f>
        <v/>
      </c>
      <c r="AD850">
        <f>IFERROR(INDEX(PP_Grid[#Data],$DD850,28),0)</f>
        <v/>
      </c>
      <c r="AE850">
        <f>IFERROR(INDEX(PP_Grid[#Data],$DD850,29),0)</f>
        <v/>
      </c>
      <c r="AF850">
        <f>IFERROR(INDEX(PP_Grid[#Data],$DD850,30),0)</f>
        <v/>
      </c>
      <c r="AG850">
        <f>IFERROR(INDEX(PP_Grid[#Data],$DD850,31),0)</f>
        <v/>
      </c>
      <c r="AH850">
        <f>IFERROR(INDEX(PP_Grid[#Data],$DD850,32),0)</f>
        <v/>
      </c>
      <c r="AI850">
        <f>IFERROR(INDEX(PP_Grid[#Data],$DD850,33),0)</f>
        <v/>
      </c>
      <c r="AJ850">
        <f>IFERROR(INDEX(PP_Grid[#Data],$DD850,34),0)</f>
        <v/>
      </c>
      <c r="AK850">
        <f>IFERROR(INDEX(PP_Grid[#Data],$DD850,35),0)</f>
        <v/>
      </c>
      <c r="AL850">
        <f>IFERROR(INDEX(PP_Grid[#Data],$DD850,36),0)</f>
        <v/>
      </c>
      <c r="AM850">
        <f>IFERROR(INDEX(PP_Grid[#Data],$DD850,37),0)</f>
        <v/>
      </c>
      <c r="AN850">
        <f>IFERROR(INDEX(PP_Grid[#Data],$DD850,38),0)</f>
        <v/>
      </c>
      <c r="AO850">
        <f>IFERROR(INDEX(PP_Grid[#Data],$DD850,39),0)</f>
        <v/>
      </c>
      <c r="AP850">
        <f>IFERROR(INDEX(PP_Grid[#Data],$DD850,40),0)</f>
        <v/>
      </c>
      <c r="AQ850">
        <f>IFERROR(INDEX(PP_Grid[#Data],$DD850,41),0)</f>
        <v/>
      </c>
      <c r="AR850">
        <f>IFERROR(INDEX(PP_Grid[#Data],$DD850,42),0)</f>
        <v/>
      </c>
      <c r="AS850">
        <f>IFERROR(INDEX(PP_Grid[#Data],$DD850,43),0)</f>
        <v/>
      </c>
      <c r="AT850">
        <f>IFERROR(INDEX(PP_Grid[#Data],$DD850,44),0)</f>
        <v/>
      </c>
      <c r="AU850">
        <f>IFERROR(INDEX(PP_Grid[#Data],$DD850,45),0)</f>
        <v/>
      </c>
      <c r="AV850">
        <f>IFERROR(INDEX(PP_Grid[#Data],$DD850,46),0)</f>
        <v/>
      </c>
      <c r="AW850">
        <f>IFERROR(INDEX(PP_Grid[#Data],$DD850,47),0)</f>
        <v/>
      </c>
      <c r="AX850">
        <f>IFERROR(INDEX(PP_Grid[#Data],$DD850,48),0)</f>
        <v/>
      </c>
      <c r="AY850">
        <f>IFERROR(INDEX(PP_Grid[#Data],$DD850,49),0)</f>
        <v/>
      </c>
      <c r="AZ850">
        <f>IFERROR(INDEX(PP_Grid[#Data],$DD850,50),0)</f>
        <v/>
      </c>
      <c r="BA850">
        <f>IFERROR(INDEX(PP_Grid[#Data],$DD850,51),0)</f>
        <v/>
      </c>
      <c r="BB850">
        <f>IFERROR(INDEX(PP_Grid[#Data],$DD850,52),0)</f>
        <v/>
      </c>
      <c r="BC850">
        <f>IFERROR(INDEX(PP_Grid[#Data],$DD850,53),0)</f>
        <v/>
      </c>
      <c r="BD850">
        <f>IFERROR(INDEX(PP_Grid[#Data],$DD850,54),0)</f>
        <v/>
      </c>
      <c r="BE850">
        <f>IFERROR(INDEX(PP_Grid[#Data],$DD850,55),0)</f>
        <v/>
      </c>
      <c r="BF850">
        <f>IFERROR(INDEX(PP_Grid[#Data],$DD850,56),0)</f>
        <v/>
      </c>
      <c r="BG850">
        <f>IFERROR(INDEX(PP_Grid[#Data],$DD850,57),0)</f>
        <v/>
      </c>
      <c r="BH850">
        <f>IFERROR(INDEX(PP_Grid[#Data],$DD850,58),0)</f>
        <v/>
      </c>
      <c r="BI850">
        <f>IFERROR(INDEX(PP_Grid[#Data],$DD850,59),0)</f>
        <v/>
      </c>
      <c r="BJ850">
        <f>IFERROR(INDEX(PP_Grid[#Data],$DD850,60),0)</f>
        <v/>
      </c>
      <c r="BK850">
        <f>IFERROR(INDEX(PP_Grid[#Data],$DD850,61),0)</f>
        <v/>
      </c>
      <c r="BL850">
        <f>IFERROR(INDEX(PP_Grid[#Data],$DD850,62),0)</f>
        <v/>
      </c>
      <c r="BM850">
        <f>IFERROR(INDEX(PP_Grid[#Data],$DD850,63),0)</f>
        <v/>
      </c>
      <c r="BN850">
        <f>IFERROR(INDEX(PP_Grid[#Data],$DD850,64),0)</f>
        <v/>
      </c>
      <c r="BO850">
        <f>IFERROR(INDEX(PP_Grid[#Data],$DD850,65),0)</f>
        <v/>
      </c>
      <c r="BP850">
        <f>IFERROR(INDEX(PP_Grid[#Data],$DD850,66),0)</f>
        <v/>
      </c>
      <c r="BQ850">
        <f>IFERROR(INDEX(PP_Grid[#Data],$DD850,67),0)</f>
        <v/>
      </c>
      <c r="BR850">
        <f>IFERROR(INDEX(PP_Grid[#Data],$DD850,68),0)</f>
        <v/>
      </c>
      <c r="BS850">
        <f>IFERROR(INDEX(PP_Grid[#Data],$DD850,69),0)</f>
        <v/>
      </c>
      <c r="BT850">
        <f>IFERROR(INDEX(PP_Grid[#Data],$DD850,70),0)</f>
        <v/>
      </c>
      <c r="BU850">
        <f>IFERROR(INDEX(PP_Grid[#Data],$DD850,71),0)</f>
        <v/>
      </c>
      <c r="BV850">
        <f>IFERROR(INDEX(PP_Grid[#Data],$DD850,72),0)</f>
        <v/>
      </c>
      <c r="BW850">
        <f>IFERROR(INDEX(PP_Grid[#Data],$DD850,73),0)</f>
        <v/>
      </c>
      <c r="BX850">
        <f>IFERROR(INDEX(PP_Grid[#Data],$DD850,74),0)</f>
        <v/>
      </c>
      <c r="BY850">
        <f>IFERROR(INDEX(PP_Grid[#Data],$DD850,75),0)</f>
        <v/>
      </c>
      <c r="BZ850">
        <f>IFERROR(INDEX(PP_Grid[#Data],$DD850,76),0)</f>
        <v/>
      </c>
      <c r="CA850">
        <f>IFERROR(INDEX(PP_Grid[#Data],$DD850,77),0)</f>
        <v/>
      </c>
      <c r="CB850">
        <f>IFERROR(INDEX(PP_Grid[#Data],$DD850,78),0)</f>
        <v/>
      </c>
      <c r="CC850">
        <f>IFERROR(INDEX(PP_Grid[#Data],$DD850,79),0)</f>
        <v/>
      </c>
      <c r="CD850">
        <f>IFERROR(INDEX(PP_Grid[#Data],$DD850,80),0)</f>
        <v/>
      </c>
      <c r="CE850">
        <f>IFERROR(INDEX(PP_Grid[#Data],$DD850,81),0)</f>
        <v/>
      </c>
      <c r="CF850">
        <f>IFERROR(INDEX(PP_Grid[#Data],$DD850,82),0)</f>
        <v/>
      </c>
      <c r="CG850">
        <f>IFERROR(INDEX(PP_Grid[#Data],$DD850,83),0)</f>
        <v/>
      </c>
      <c r="CH850">
        <f>IFERROR(INDEX(PP_Grid[#Data],$DD850,84),0)</f>
        <v/>
      </c>
      <c r="CI850">
        <f>IFERROR(INDEX(PP_Grid[#Data],$DD850,85),0)</f>
        <v/>
      </c>
      <c r="CJ850">
        <f>IFERROR(INDEX(PP_Grid[#Data],$DD850,86),0)</f>
        <v/>
      </c>
      <c r="CK850">
        <f>IFERROR(INDEX(PP_Grid[#Data],$DD850,87),0)</f>
        <v/>
      </c>
      <c r="CL850">
        <f>IFERROR(INDEX(PP_Grid[#Data],$DD850,88),0)</f>
        <v/>
      </c>
      <c r="CM850">
        <f>IFERROR(INDEX(PP_Grid[#Data],$DD850,89),0)</f>
        <v/>
      </c>
      <c r="CN850">
        <f>IFERROR(INDEX(PP_Grid[#Data],$DD850,90),0)</f>
        <v/>
      </c>
      <c r="CO850">
        <f>IFERROR(INDEX(PP_Grid[#Data],$DD850,91),0)</f>
        <v/>
      </c>
      <c r="CP850">
        <f>IFERROR(INDEX(PP_Grid[#Data],$DD850,92),0)</f>
        <v/>
      </c>
      <c r="CQ850">
        <f>IFERROR(INDEX(PP_Grid[#Data],$DD850,93),0)</f>
        <v/>
      </c>
      <c r="CR850">
        <f>IFERROR(INDEX(PP_Grid[#Data],$DD850,94),0)</f>
        <v/>
      </c>
      <c r="CS850">
        <f>IFERROR(INDEX(PP_Grid[#Data],$DD850,95),0)</f>
        <v/>
      </c>
      <c r="CT850">
        <f>IFERROR(INDEX(PP_Grid[#Data],$DD850,96),0)</f>
        <v/>
      </c>
      <c r="CU850">
        <f>IFERROR(INDEX(PP_Grid[#Data],$DD850,97),0)</f>
        <v/>
      </c>
      <c r="CV850">
        <f>IFERROR(INDEX(PP_Grid[#Data],$DD850,98),0)</f>
        <v/>
      </c>
      <c r="CW850">
        <f>IFERROR(INDEX(PP_Grid[#Data],$DD850,99),0)</f>
        <v/>
      </c>
      <c r="CX850">
        <f>IFERROR(INDEX(PP_Grid[#Data],$DD850,100),0)</f>
        <v/>
      </c>
      <c r="CY850">
        <f>IFERROR(INDEX(PP_Grid[#Data],$DD850,101),0)</f>
        <v/>
      </c>
      <c r="CZ850">
        <f>IFERROR(INDEX(PP_Grid[#Data],$DD850,102),0)</f>
        <v/>
      </c>
      <c r="DA850">
        <f>IFERROR(INDEX(PP_Grid[#Data],$DD850,103),0)</f>
        <v/>
      </c>
      <c r="DB850">
        <f>IFERROR(INDEX(PP_Grid[#Data],$DD850,104),0)</f>
        <v/>
      </c>
      <c r="DC850">
        <f>IFERROR(INDEX(PP_Grid[#Data],$DD850,105),0)</f>
        <v/>
      </c>
      <c r="DD850" s="7">
        <f>IFERROR(MATCH($B850,PP_Grid[Intermediate],0),99999)</f>
        <v/>
      </c>
    </row>
    <row r="851">
      <c r="B851" t="inlineStr">
        <is>
          <t>使用量(kg)</t>
        </is>
      </c>
      <c r="C851">
        <f>SUMIFS(M_BOM[RM_Qty_Per_Batch],M_BOM[Intermediate],$B850,M_BOM[Part Name],$A833)</f>
        <v/>
      </c>
      <c r="D851">
        <f>$C851*D850</f>
        <v/>
      </c>
      <c r="E851">
        <f>$C851*E850</f>
        <v/>
      </c>
      <c r="F851">
        <f>$C851*F850</f>
        <v/>
      </c>
      <c r="G851">
        <f>$C851*G850</f>
        <v/>
      </c>
      <c r="H851">
        <f>$C851*H850</f>
        <v/>
      </c>
      <c r="I851">
        <f>$C851*I850</f>
        <v/>
      </c>
      <c r="J851">
        <f>$C851*J850</f>
        <v/>
      </c>
      <c r="K851">
        <f>$C851*K850</f>
        <v/>
      </c>
      <c r="L851">
        <f>$C851*L850</f>
        <v/>
      </c>
      <c r="M851">
        <f>$C851*M850</f>
        <v/>
      </c>
      <c r="N851">
        <f>$C851*N850</f>
        <v/>
      </c>
      <c r="O851">
        <f>$C851*O850</f>
        <v/>
      </c>
      <c r="P851">
        <f>$C851*P850</f>
        <v/>
      </c>
      <c r="Q851">
        <f>$C851*Q850</f>
        <v/>
      </c>
      <c r="R851">
        <f>$C851*R850</f>
        <v/>
      </c>
      <c r="S851">
        <f>$C851*S850</f>
        <v/>
      </c>
      <c r="T851">
        <f>$C851*T850</f>
        <v/>
      </c>
      <c r="U851">
        <f>$C851*U850</f>
        <v/>
      </c>
      <c r="V851">
        <f>$C851*V850</f>
        <v/>
      </c>
      <c r="W851">
        <f>$C851*W850</f>
        <v/>
      </c>
      <c r="X851">
        <f>$C851*X850</f>
        <v/>
      </c>
      <c r="Y851">
        <f>$C851*Y850</f>
        <v/>
      </c>
      <c r="Z851">
        <f>$C851*Z850</f>
        <v/>
      </c>
      <c r="AA851">
        <f>$C851*AA850</f>
        <v/>
      </c>
      <c r="AB851">
        <f>$C851*AB850</f>
        <v/>
      </c>
      <c r="AC851">
        <f>$C851*AC850</f>
        <v/>
      </c>
      <c r="AD851">
        <f>$C851*AD850</f>
        <v/>
      </c>
      <c r="AE851">
        <f>$C851*AE850</f>
        <v/>
      </c>
      <c r="AF851">
        <f>$C851*AF850</f>
        <v/>
      </c>
      <c r="AG851">
        <f>$C851*AG850</f>
        <v/>
      </c>
      <c r="AH851">
        <f>$C851*AH850</f>
        <v/>
      </c>
      <c r="AI851">
        <f>$C851*AI850</f>
        <v/>
      </c>
      <c r="AJ851">
        <f>$C851*AJ850</f>
        <v/>
      </c>
      <c r="AK851">
        <f>$C851*AK850</f>
        <v/>
      </c>
      <c r="AL851">
        <f>$C851*AL850</f>
        <v/>
      </c>
      <c r="AM851">
        <f>$C851*AM850</f>
        <v/>
      </c>
      <c r="AN851">
        <f>$C851*AN850</f>
        <v/>
      </c>
      <c r="AO851">
        <f>$C851*AO850</f>
        <v/>
      </c>
      <c r="AP851">
        <f>$C851*AP850</f>
        <v/>
      </c>
      <c r="AQ851">
        <f>$C851*AQ850</f>
        <v/>
      </c>
      <c r="AR851">
        <f>$C851*AR850</f>
        <v/>
      </c>
      <c r="AS851">
        <f>$C851*AS850</f>
        <v/>
      </c>
      <c r="AT851">
        <f>$C851*AT850</f>
        <v/>
      </c>
      <c r="AU851">
        <f>$C851*AU850</f>
        <v/>
      </c>
      <c r="AV851">
        <f>$C851*AV850</f>
        <v/>
      </c>
      <c r="AW851">
        <f>$C851*AW850</f>
        <v/>
      </c>
      <c r="AX851">
        <f>$C851*AX850</f>
        <v/>
      </c>
      <c r="AY851">
        <f>$C851*AY850</f>
        <v/>
      </c>
      <c r="AZ851">
        <f>$C851*AZ850</f>
        <v/>
      </c>
      <c r="BA851">
        <f>$C851*BA850</f>
        <v/>
      </c>
      <c r="BB851">
        <f>$C851*BB850</f>
        <v/>
      </c>
      <c r="BC851">
        <f>$C851*BC850</f>
        <v/>
      </c>
      <c r="BD851">
        <f>$C851*BD850</f>
        <v/>
      </c>
      <c r="BE851">
        <f>$C851*BE850</f>
        <v/>
      </c>
      <c r="BF851">
        <f>$C851*BF850</f>
        <v/>
      </c>
      <c r="BG851">
        <f>$C851*BG850</f>
        <v/>
      </c>
      <c r="BH851">
        <f>$C851*BH850</f>
        <v/>
      </c>
      <c r="BI851">
        <f>$C851*BI850</f>
        <v/>
      </c>
      <c r="BJ851">
        <f>$C851*BJ850</f>
        <v/>
      </c>
      <c r="BK851">
        <f>$C851*BK850</f>
        <v/>
      </c>
      <c r="BL851">
        <f>$C851*BL850</f>
        <v/>
      </c>
      <c r="BM851">
        <f>$C851*BM850</f>
        <v/>
      </c>
      <c r="BN851">
        <f>$C851*BN850</f>
        <v/>
      </c>
      <c r="BO851">
        <f>$C851*BO850</f>
        <v/>
      </c>
      <c r="BP851">
        <f>$C851*BP850</f>
        <v/>
      </c>
      <c r="BQ851">
        <f>$C851*BQ850</f>
        <v/>
      </c>
      <c r="BR851">
        <f>$C851*BR850</f>
        <v/>
      </c>
      <c r="BS851">
        <f>$C851*BS850</f>
        <v/>
      </c>
      <c r="BT851">
        <f>$C851*BT850</f>
        <v/>
      </c>
      <c r="BU851">
        <f>$C851*BU850</f>
        <v/>
      </c>
      <c r="BV851">
        <f>$C851*BV850</f>
        <v/>
      </c>
      <c r="BW851">
        <f>$C851*BW850</f>
        <v/>
      </c>
      <c r="BX851">
        <f>$C851*BX850</f>
        <v/>
      </c>
      <c r="BY851">
        <f>$C851*BY850</f>
        <v/>
      </c>
      <c r="BZ851">
        <f>$C851*BZ850</f>
        <v/>
      </c>
      <c r="CA851">
        <f>$C851*CA850</f>
        <v/>
      </c>
      <c r="CB851">
        <f>$C851*CB850</f>
        <v/>
      </c>
      <c r="CC851">
        <f>$C851*CC850</f>
        <v/>
      </c>
      <c r="CD851">
        <f>$C851*CD850</f>
        <v/>
      </c>
      <c r="CE851">
        <f>$C851*CE850</f>
        <v/>
      </c>
      <c r="CF851">
        <f>$C851*CF850</f>
        <v/>
      </c>
      <c r="CG851">
        <f>$C851*CG850</f>
        <v/>
      </c>
      <c r="CH851">
        <f>$C851*CH850</f>
        <v/>
      </c>
      <c r="CI851">
        <f>$C851*CI850</f>
        <v/>
      </c>
      <c r="CJ851">
        <f>$C851*CJ850</f>
        <v/>
      </c>
      <c r="CK851">
        <f>$C851*CK850</f>
        <v/>
      </c>
      <c r="CL851">
        <f>$C851*CL850</f>
        <v/>
      </c>
      <c r="CM851">
        <f>$C851*CM850</f>
        <v/>
      </c>
      <c r="CN851">
        <f>$C851*CN850</f>
        <v/>
      </c>
      <c r="CO851">
        <f>$C851*CO850</f>
        <v/>
      </c>
      <c r="CP851">
        <f>$C851*CP850</f>
        <v/>
      </c>
      <c r="CQ851">
        <f>$C851*CQ850</f>
        <v/>
      </c>
      <c r="CR851">
        <f>$C851*CR850</f>
        <v/>
      </c>
      <c r="CS851">
        <f>$C851*CS850</f>
        <v/>
      </c>
      <c r="CT851">
        <f>$C851*CT850</f>
        <v/>
      </c>
      <c r="CU851">
        <f>$C851*CU850</f>
        <v/>
      </c>
      <c r="CV851">
        <f>$C851*CV850</f>
        <v/>
      </c>
      <c r="CW851">
        <f>$C851*CW850</f>
        <v/>
      </c>
      <c r="CX851">
        <f>$C851*CX850</f>
        <v/>
      </c>
      <c r="CY851">
        <f>$C851*CY850</f>
        <v/>
      </c>
      <c r="CZ851">
        <f>$C851*CZ850</f>
        <v/>
      </c>
      <c r="DA851">
        <f>$C851*DA850</f>
        <v/>
      </c>
      <c r="DB851">
        <f>$C851*DB850</f>
        <v/>
      </c>
      <c r="DC851">
        <f>$C851*DC850</f>
        <v/>
      </c>
    </row>
    <row r="852">
      <c r="B852" t="inlineStr">
        <is>
          <t>TSP-937</t>
        </is>
      </c>
      <c r="C852" t="inlineStr">
        <is>
          <t>No. of batches</t>
        </is>
      </c>
      <c r="D852">
        <f>IFERROR(INDEX(PP_Grid[#Data],$DD852,2),0)</f>
        <v/>
      </c>
      <c r="E852">
        <f>IFERROR(INDEX(PP_Grid[#Data],$DD852,3),0)</f>
        <v/>
      </c>
      <c r="F852">
        <f>IFERROR(INDEX(PP_Grid[#Data],$DD852,4),0)</f>
        <v/>
      </c>
      <c r="G852">
        <f>IFERROR(INDEX(PP_Grid[#Data],$DD852,5),0)</f>
        <v/>
      </c>
      <c r="H852">
        <f>IFERROR(INDEX(PP_Grid[#Data],$DD852,6),0)</f>
        <v/>
      </c>
      <c r="I852">
        <f>IFERROR(INDEX(PP_Grid[#Data],$DD852,7),0)</f>
        <v/>
      </c>
      <c r="J852">
        <f>IFERROR(INDEX(PP_Grid[#Data],$DD852,8),0)</f>
        <v/>
      </c>
      <c r="K852">
        <f>IFERROR(INDEX(PP_Grid[#Data],$DD852,9),0)</f>
        <v/>
      </c>
      <c r="L852">
        <f>IFERROR(INDEX(PP_Grid[#Data],$DD852,10),0)</f>
        <v/>
      </c>
      <c r="M852">
        <f>IFERROR(INDEX(PP_Grid[#Data],$DD852,11),0)</f>
        <v/>
      </c>
      <c r="N852">
        <f>IFERROR(INDEX(PP_Grid[#Data],$DD852,12),0)</f>
        <v/>
      </c>
      <c r="O852">
        <f>IFERROR(INDEX(PP_Grid[#Data],$DD852,13),0)</f>
        <v/>
      </c>
      <c r="P852">
        <f>IFERROR(INDEX(PP_Grid[#Data],$DD852,14),0)</f>
        <v/>
      </c>
      <c r="Q852">
        <f>IFERROR(INDEX(PP_Grid[#Data],$DD852,15),0)</f>
        <v/>
      </c>
      <c r="R852">
        <f>IFERROR(INDEX(PP_Grid[#Data],$DD852,16),0)</f>
        <v/>
      </c>
      <c r="S852">
        <f>IFERROR(INDEX(PP_Grid[#Data],$DD852,17),0)</f>
        <v/>
      </c>
      <c r="T852">
        <f>IFERROR(INDEX(PP_Grid[#Data],$DD852,18),0)</f>
        <v/>
      </c>
      <c r="U852">
        <f>IFERROR(INDEX(PP_Grid[#Data],$DD852,19),0)</f>
        <v/>
      </c>
      <c r="V852">
        <f>IFERROR(INDEX(PP_Grid[#Data],$DD852,20),0)</f>
        <v/>
      </c>
      <c r="W852">
        <f>IFERROR(INDEX(PP_Grid[#Data],$DD852,21),0)</f>
        <v/>
      </c>
      <c r="X852">
        <f>IFERROR(INDEX(PP_Grid[#Data],$DD852,22),0)</f>
        <v/>
      </c>
      <c r="Y852">
        <f>IFERROR(INDEX(PP_Grid[#Data],$DD852,23),0)</f>
        <v/>
      </c>
      <c r="Z852">
        <f>IFERROR(INDEX(PP_Grid[#Data],$DD852,24),0)</f>
        <v/>
      </c>
      <c r="AA852">
        <f>IFERROR(INDEX(PP_Grid[#Data],$DD852,25),0)</f>
        <v/>
      </c>
      <c r="AB852">
        <f>IFERROR(INDEX(PP_Grid[#Data],$DD852,26),0)</f>
        <v/>
      </c>
      <c r="AC852">
        <f>IFERROR(INDEX(PP_Grid[#Data],$DD852,27),0)</f>
        <v/>
      </c>
      <c r="AD852">
        <f>IFERROR(INDEX(PP_Grid[#Data],$DD852,28),0)</f>
        <v/>
      </c>
      <c r="AE852">
        <f>IFERROR(INDEX(PP_Grid[#Data],$DD852,29),0)</f>
        <v/>
      </c>
      <c r="AF852">
        <f>IFERROR(INDEX(PP_Grid[#Data],$DD852,30),0)</f>
        <v/>
      </c>
      <c r="AG852">
        <f>IFERROR(INDEX(PP_Grid[#Data],$DD852,31),0)</f>
        <v/>
      </c>
      <c r="AH852">
        <f>IFERROR(INDEX(PP_Grid[#Data],$DD852,32),0)</f>
        <v/>
      </c>
      <c r="AI852">
        <f>IFERROR(INDEX(PP_Grid[#Data],$DD852,33),0)</f>
        <v/>
      </c>
      <c r="AJ852">
        <f>IFERROR(INDEX(PP_Grid[#Data],$DD852,34),0)</f>
        <v/>
      </c>
      <c r="AK852">
        <f>IFERROR(INDEX(PP_Grid[#Data],$DD852,35),0)</f>
        <v/>
      </c>
      <c r="AL852">
        <f>IFERROR(INDEX(PP_Grid[#Data],$DD852,36),0)</f>
        <v/>
      </c>
      <c r="AM852">
        <f>IFERROR(INDEX(PP_Grid[#Data],$DD852,37),0)</f>
        <v/>
      </c>
      <c r="AN852">
        <f>IFERROR(INDEX(PP_Grid[#Data],$DD852,38),0)</f>
        <v/>
      </c>
      <c r="AO852">
        <f>IFERROR(INDEX(PP_Grid[#Data],$DD852,39),0)</f>
        <v/>
      </c>
      <c r="AP852">
        <f>IFERROR(INDEX(PP_Grid[#Data],$DD852,40),0)</f>
        <v/>
      </c>
      <c r="AQ852">
        <f>IFERROR(INDEX(PP_Grid[#Data],$DD852,41),0)</f>
        <v/>
      </c>
      <c r="AR852">
        <f>IFERROR(INDEX(PP_Grid[#Data],$DD852,42),0)</f>
        <v/>
      </c>
      <c r="AS852">
        <f>IFERROR(INDEX(PP_Grid[#Data],$DD852,43),0)</f>
        <v/>
      </c>
      <c r="AT852">
        <f>IFERROR(INDEX(PP_Grid[#Data],$DD852,44),0)</f>
        <v/>
      </c>
      <c r="AU852">
        <f>IFERROR(INDEX(PP_Grid[#Data],$DD852,45),0)</f>
        <v/>
      </c>
      <c r="AV852">
        <f>IFERROR(INDEX(PP_Grid[#Data],$DD852,46),0)</f>
        <v/>
      </c>
      <c r="AW852">
        <f>IFERROR(INDEX(PP_Grid[#Data],$DD852,47),0)</f>
        <v/>
      </c>
      <c r="AX852">
        <f>IFERROR(INDEX(PP_Grid[#Data],$DD852,48),0)</f>
        <v/>
      </c>
      <c r="AY852">
        <f>IFERROR(INDEX(PP_Grid[#Data],$DD852,49),0)</f>
        <v/>
      </c>
      <c r="AZ852">
        <f>IFERROR(INDEX(PP_Grid[#Data],$DD852,50),0)</f>
        <v/>
      </c>
      <c r="BA852">
        <f>IFERROR(INDEX(PP_Grid[#Data],$DD852,51),0)</f>
        <v/>
      </c>
      <c r="BB852">
        <f>IFERROR(INDEX(PP_Grid[#Data],$DD852,52),0)</f>
        <v/>
      </c>
      <c r="BC852">
        <f>IFERROR(INDEX(PP_Grid[#Data],$DD852,53),0)</f>
        <v/>
      </c>
      <c r="BD852">
        <f>IFERROR(INDEX(PP_Grid[#Data],$DD852,54),0)</f>
        <v/>
      </c>
      <c r="BE852">
        <f>IFERROR(INDEX(PP_Grid[#Data],$DD852,55),0)</f>
        <v/>
      </c>
      <c r="BF852">
        <f>IFERROR(INDEX(PP_Grid[#Data],$DD852,56),0)</f>
        <v/>
      </c>
      <c r="BG852">
        <f>IFERROR(INDEX(PP_Grid[#Data],$DD852,57),0)</f>
        <v/>
      </c>
      <c r="BH852">
        <f>IFERROR(INDEX(PP_Grid[#Data],$DD852,58),0)</f>
        <v/>
      </c>
      <c r="BI852">
        <f>IFERROR(INDEX(PP_Grid[#Data],$DD852,59),0)</f>
        <v/>
      </c>
      <c r="BJ852">
        <f>IFERROR(INDEX(PP_Grid[#Data],$DD852,60),0)</f>
        <v/>
      </c>
      <c r="BK852">
        <f>IFERROR(INDEX(PP_Grid[#Data],$DD852,61),0)</f>
        <v/>
      </c>
      <c r="BL852">
        <f>IFERROR(INDEX(PP_Grid[#Data],$DD852,62),0)</f>
        <v/>
      </c>
      <c r="BM852">
        <f>IFERROR(INDEX(PP_Grid[#Data],$DD852,63),0)</f>
        <v/>
      </c>
      <c r="BN852">
        <f>IFERROR(INDEX(PP_Grid[#Data],$DD852,64),0)</f>
        <v/>
      </c>
      <c r="BO852">
        <f>IFERROR(INDEX(PP_Grid[#Data],$DD852,65),0)</f>
        <v/>
      </c>
      <c r="BP852">
        <f>IFERROR(INDEX(PP_Grid[#Data],$DD852,66),0)</f>
        <v/>
      </c>
      <c r="BQ852">
        <f>IFERROR(INDEX(PP_Grid[#Data],$DD852,67),0)</f>
        <v/>
      </c>
      <c r="BR852">
        <f>IFERROR(INDEX(PP_Grid[#Data],$DD852,68),0)</f>
        <v/>
      </c>
      <c r="BS852">
        <f>IFERROR(INDEX(PP_Grid[#Data],$DD852,69),0)</f>
        <v/>
      </c>
      <c r="BT852">
        <f>IFERROR(INDEX(PP_Grid[#Data],$DD852,70),0)</f>
        <v/>
      </c>
      <c r="BU852">
        <f>IFERROR(INDEX(PP_Grid[#Data],$DD852,71),0)</f>
        <v/>
      </c>
      <c r="BV852">
        <f>IFERROR(INDEX(PP_Grid[#Data],$DD852,72),0)</f>
        <v/>
      </c>
      <c r="BW852">
        <f>IFERROR(INDEX(PP_Grid[#Data],$DD852,73),0)</f>
        <v/>
      </c>
      <c r="BX852">
        <f>IFERROR(INDEX(PP_Grid[#Data],$DD852,74),0)</f>
        <v/>
      </c>
      <c r="BY852">
        <f>IFERROR(INDEX(PP_Grid[#Data],$DD852,75),0)</f>
        <v/>
      </c>
      <c r="BZ852">
        <f>IFERROR(INDEX(PP_Grid[#Data],$DD852,76),0)</f>
        <v/>
      </c>
      <c r="CA852">
        <f>IFERROR(INDEX(PP_Grid[#Data],$DD852,77),0)</f>
        <v/>
      </c>
      <c r="CB852">
        <f>IFERROR(INDEX(PP_Grid[#Data],$DD852,78),0)</f>
        <v/>
      </c>
      <c r="CC852">
        <f>IFERROR(INDEX(PP_Grid[#Data],$DD852,79),0)</f>
        <v/>
      </c>
      <c r="CD852">
        <f>IFERROR(INDEX(PP_Grid[#Data],$DD852,80),0)</f>
        <v/>
      </c>
      <c r="CE852">
        <f>IFERROR(INDEX(PP_Grid[#Data],$DD852,81),0)</f>
        <v/>
      </c>
      <c r="CF852">
        <f>IFERROR(INDEX(PP_Grid[#Data],$DD852,82),0)</f>
        <v/>
      </c>
      <c r="CG852">
        <f>IFERROR(INDEX(PP_Grid[#Data],$DD852,83),0)</f>
        <v/>
      </c>
      <c r="CH852">
        <f>IFERROR(INDEX(PP_Grid[#Data],$DD852,84),0)</f>
        <v/>
      </c>
      <c r="CI852">
        <f>IFERROR(INDEX(PP_Grid[#Data],$DD852,85),0)</f>
        <v/>
      </c>
      <c r="CJ852">
        <f>IFERROR(INDEX(PP_Grid[#Data],$DD852,86),0)</f>
        <v/>
      </c>
      <c r="CK852">
        <f>IFERROR(INDEX(PP_Grid[#Data],$DD852,87),0)</f>
        <v/>
      </c>
      <c r="CL852">
        <f>IFERROR(INDEX(PP_Grid[#Data],$DD852,88),0)</f>
        <v/>
      </c>
      <c r="CM852">
        <f>IFERROR(INDEX(PP_Grid[#Data],$DD852,89),0)</f>
        <v/>
      </c>
      <c r="CN852">
        <f>IFERROR(INDEX(PP_Grid[#Data],$DD852,90),0)</f>
        <v/>
      </c>
      <c r="CO852">
        <f>IFERROR(INDEX(PP_Grid[#Data],$DD852,91),0)</f>
        <v/>
      </c>
      <c r="CP852">
        <f>IFERROR(INDEX(PP_Grid[#Data],$DD852,92),0)</f>
        <v/>
      </c>
      <c r="CQ852">
        <f>IFERROR(INDEX(PP_Grid[#Data],$DD852,93),0)</f>
        <v/>
      </c>
      <c r="CR852">
        <f>IFERROR(INDEX(PP_Grid[#Data],$DD852,94),0)</f>
        <v/>
      </c>
      <c r="CS852">
        <f>IFERROR(INDEX(PP_Grid[#Data],$DD852,95),0)</f>
        <v/>
      </c>
      <c r="CT852">
        <f>IFERROR(INDEX(PP_Grid[#Data],$DD852,96),0)</f>
        <v/>
      </c>
      <c r="CU852">
        <f>IFERROR(INDEX(PP_Grid[#Data],$DD852,97),0)</f>
        <v/>
      </c>
      <c r="CV852">
        <f>IFERROR(INDEX(PP_Grid[#Data],$DD852,98),0)</f>
        <v/>
      </c>
      <c r="CW852">
        <f>IFERROR(INDEX(PP_Grid[#Data],$DD852,99),0)</f>
        <v/>
      </c>
      <c r="CX852">
        <f>IFERROR(INDEX(PP_Grid[#Data],$DD852,100),0)</f>
        <v/>
      </c>
      <c r="CY852">
        <f>IFERROR(INDEX(PP_Grid[#Data],$DD852,101),0)</f>
        <v/>
      </c>
      <c r="CZ852">
        <f>IFERROR(INDEX(PP_Grid[#Data],$DD852,102),0)</f>
        <v/>
      </c>
      <c r="DA852">
        <f>IFERROR(INDEX(PP_Grid[#Data],$DD852,103),0)</f>
        <v/>
      </c>
      <c r="DB852">
        <f>IFERROR(INDEX(PP_Grid[#Data],$DD852,104),0)</f>
        <v/>
      </c>
      <c r="DC852">
        <f>IFERROR(INDEX(PP_Grid[#Data],$DD852,105),0)</f>
        <v/>
      </c>
      <c r="DD852" s="7">
        <f>IFERROR(MATCH($B852,PP_Grid[Intermediate],0),99999)</f>
        <v/>
      </c>
    </row>
    <row r="853">
      <c r="B853" t="inlineStr">
        <is>
          <t>使用量(kg)</t>
        </is>
      </c>
      <c r="C853">
        <f>SUMIFS(M_BOM[RM_Qty_Per_Batch],M_BOM[Intermediate],$B852,M_BOM[Part Name],$A833)</f>
        <v/>
      </c>
      <c r="D853">
        <f>$C853*D852</f>
        <v/>
      </c>
      <c r="E853">
        <f>$C853*E852</f>
        <v/>
      </c>
      <c r="F853">
        <f>$C853*F852</f>
        <v/>
      </c>
      <c r="G853">
        <f>$C853*G852</f>
        <v/>
      </c>
      <c r="H853">
        <f>$C853*H852</f>
        <v/>
      </c>
      <c r="I853">
        <f>$C853*I852</f>
        <v/>
      </c>
      <c r="J853">
        <f>$C853*J852</f>
        <v/>
      </c>
      <c r="K853">
        <f>$C853*K852</f>
        <v/>
      </c>
      <c r="L853">
        <f>$C853*L852</f>
        <v/>
      </c>
      <c r="M853">
        <f>$C853*M852</f>
        <v/>
      </c>
      <c r="N853">
        <f>$C853*N852</f>
        <v/>
      </c>
      <c r="O853">
        <f>$C853*O852</f>
        <v/>
      </c>
      <c r="P853">
        <f>$C853*P852</f>
        <v/>
      </c>
      <c r="Q853">
        <f>$C853*Q852</f>
        <v/>
      </c>
      <c r="R853">
        <f>$C853*R852</f>
        <v/>
      </c>
      <c r="S853">
        <f>$C853*S852</f>
        <v/>
      </c>
      <c r="T853">
        <f>$C853*T852</f>
        <v/>
      </c>
      <c r="U853">
        <f>$C853*U852</f>
        <v/>
      </c>
      <c r="V853">
        <f>$C853*V852</f>
        <v/>
      </c>
      <c r="W853">
        <f>$C853*W852</f>
        <v/>
      </c>
      <c r="X853">
        <f>$C853*X852</f>
        <v/>
      </c>
      <c r="Y853">
        <f>$C853*Y852</f>
        <v/>
      </c>
      <c r="Z853">
        <f>$C853*Z852</f>
        <v/>
      </c>
      <c r="AA853">
        <f>$C853*AA852</f>
        <v/>
      </c>
      <c r="AB853">
        <f>$C853*AB852</f>
        <v/>
      </c>
      <c r="AC853">
        <f>$C853*AC852</f>
        <v/>
      </c>
      <c r="AD853">
        <f>$C853*AD852</f>
        <v/>
      </c>
      <c r="AE853">
        <f>$C853*AE852</f>
        <v/>
      </c>
      <c r="AF853">
        <f>$C853*AF852</f>
        <v/>
      </c>
      <c r="AG853">
        <f>$C853*AG852</f>
        <v/>
      </c>
      <c r="AH853">
        <f>$C853*AH852</f>
        <v/>
      </c>
      <c r="AI853">
        <f>$C853*AI852</f>
        <v/>
      </c>
      <c r="AJ853">
        <f>$C853*AJ852</f>
        <v/>
      </c>
      <c r="AK853">
        <f>$C853*AK852</f>
        <v/>
      </c>
      <c r="AL853">
        <f>$C853*AL852</f>
        <v/>
      </c>
      <c r="AM853">
        <f>$C853*AM852</f>
        <v/>
      </c>
      <c r="AN853">
        <f>$C853*AN852</f>
        <v/>
      </c>
      <c r="AO853">
        <f>$C853*AO852</f>
        <v/>
      </c>
      <c r="AP853">
        <f>$C853*AP852</f>
        <v/>
      </c>
      <c r="AQ853">
        <f>$C853*AQ852</f>
        <v/>
      </c>
      <c r="AR853">
        <f>$C853*AR852</f>
        <v/>
      </c>
      <c r="AS853">
        <f>$C853*AS852</f>
        <v/>
      </c>
      <c r="AT853">
        <f>$C853*AT852</f>
        <v/>
      </c>
      <c r="AU853">
        <f>$C853*AU852</f>
        <v/>
      </c>
      <c r="AV853">
        <f>$C853*AV852</f>
        <v/>
      </c>
      <c r="AW853">
        <f>$C853*AW852</f>
        <v/>
      </c>
      <c r="AX853">
        <f>$C853*AX852</f>
        <v/>
      </c>
      <c r="AY853">
        <f>$C853*AY852</f>
        <v/>
      </c>
      <c r="AZ853">
        <f>$C853*AZ852</f>
        <v/>
      </c>
      <c r="BA853">
        <f>$C853*BA852</f>
        <v/>
      </c>
      <c r="BB853">
        <f>$C853*BB852</f>
        <v/>
      </c>
      <c r="BC853">
        <f>$C853*BC852</f>
        <v/>
      </c>
      <c r="BD853">
        <f>$C853*BD852</f>
        <v/>
      </c>
      <c r="BE853">
        <f>$C853*BE852</f>
        <v/>
      </c>
      <c r="BF853">
        <f>$C853*BF852</f>
        <v/>
      </c>
      <c r="BG853">
        <f>$C853*BG852</f>
        <v/>
      </c>
      <c r="BH853">
        <f>$C853*BH852</f>
        <v/>
      </c>
      <c r="BI853">
        <f>$C853*BI852</f>
        <v/>
      </c>
      <c r="BJ853">
        <f>$C853*BJ852</f>
        <v/>
      </c>
      <c r="BK853">
        <f>$C853*BK852</f>
        <v/>
      </c>
      <c r="BL853">
        <f>$C853*BL852</f>
        <v/>
      </c>
      <c r="BM853">
        <f>$C853*BM852</f>
        <v/>
      </c>
      <c r="BN853">
        <f>$C853*BN852</f>
        <v/>
      </c>
      <c r="BO853">
        <f>$C853*BO852</f>
        <v/>
      </c>
      <c r="BP853">
        <f>$C853*BP852</f>
        <v/>
      </c>
      <c r="BQ853">
        <f>$C853*BQ852</f>
        <v/>
      </c>
      <c r="BR853">
        <f>$C853*BR852</f>
        <v/>
      </c>
      <c r="BS853">
        <f>$C853*BS852</f>
        <v/>
      </c>
      <c r="BT853">
        <f>$C853*BT852</f>
        <v/>
      </c>
      <c r="BU853">
        <f>$C853*BU852</f>
        <v/>
      </c>
      <c r="BV853">
        <f>$C853*BV852</f>
        <v/>
      </c>
      <c r="BW853">
        <f>$C853*BW852</f>
        <v/>
      </c>
      <c r="BX853">
        <f>$C853*BX852</f>
        <v/>
      </c>
      <c r="BY853">
        <f>$C853*BY852</f>
        <v/>
      </c>
      <c r="BZ853">
        <f>$C853*BZ852</f>
        <v/>
      </c>
      <c r="CA853">
        <f>$C853*CA852</f>
        <v/>
      </c>
      <c r="CB853">
        <f>$C853*CB852</f>
        <v/>
      </c>
      <c r="CC853">
        <f>$C853*CC852</f>
        <v/>
      </c>
      <c r="CD853">
        <f>$C853*CD852</f>
        <v/>
      </c>
      <c r="CE853">
        <f>$C853*CE852</f>
        <v/>
      </c>
      <c r="CF853">
        <f>$C853*CF852</f>
        <v/>
      </c>
      <c r="CG853">
        <f>$C853*CG852</f>
        <v/>
      </c>
      <c r="CH853">
        <f>$C853*CH852</f>
        <v/>
      </c>
      <c r="CI853">
        <f>$C853*CI852</f>
        <v/>
      </c>
      <c r="CJ853">
        <f>$C853*CJ852</f>
        <v/>
      </c>
      <c r="CK853">
        <f>$C853*CK852</f>
        <v/>
      </c>
      <c r="CL853">
        <f>$C853*CL852</f>
        <v/>
      </c>
      <c r="CM853">
        <f>$C853*CM852</f>
        <v/>
      </c>
      <c r="CN853">
        <f>$C853*CN852</f>
        <v/>
      </c>
      <c r="CO853">
        <f>$C853*CO852</f>
        <v/>
      </c>
      <c r="CP853">
        <f>$C853*CP852</f>
        <v/>
      </c>
      <c r="CQ853">
        <f>$C853*CQ852</f>
        <v/>
      </c>
      <c r="CR853">
        <f>$C853*CR852</f>
        <v/>
      </c>
      <c r="CS853">
        <f>$C853*CS852</f>
        <v/>
      </c>
      <c r="CT853">
        <f>$C853*CT852</f>
        <v/>
      </c>
      <c r="CU853">
        <f>$C853*CU852</f>
        <v/>
      </c>
      <c r="CV853">
        <f>$C853*CV852</f>
        <v/>
      </c>
      <c r="CW853">
        <f>$C853*CW852</f>
        <v/>
      </c>
      <c r="CX853">
        <f>$C853*CX852</f>
        <v/>
      </c>
      <c r="CY853">
        <f>$C853*CY852</f>
        <v/>
      </c>
      <c r="CZ853">
        <f>$C853*CZ852</f>
        <v/>
      </c>
      <c r="DA853">
        <f>$C853*DA852</f>
        <v/>
      </c>
      <c r="DB853">
        <f>$C853*DB852</f>
        <v/>
      </c>
      <c r="DC853">
        <f>$C853*DC852</f>
        <v/>
      </c>
    </row>
    <row r="854">
      <c r="B854" t="inlineStr">
        <is>
          <t>TSP-1444</t>
        </is>
      </c>
      <c r="C854" t="inlineStr">
        <is>
          <t>No. of batches</t>
        </is>
      </c>
      <c r="D854">
        <f>IFERROR(INDEX(PP_Grid[#Data],$DD854,2),0)</f>
        <v/>
      </c>
      <c r="E854">
        <f>IFERROR(INDEX(PP_Grid[#Data],$DD854,3),0)</f>
        <v/>
      </c>
      <c r="F854">
        <f>IFERROR(INDEX(PP_Grid[#Data],$DD854,4),0)</f>
        <v/>
      </c>
      <c r="G854">
        <f>IFERROR(INDEX(PP_Grid[#Data],$DD854,5),0)</f>
        <v/>
      </c>
      <c r="H854">
        <f>IFERROR(INDEX(PP_Grid[#Data],$DD854,6),0)</f>
        <v/>
      </c>
      <c r="I854">
        <f>IFERROR(INDEX(PP_Grid[#Data],$DD854,7),0)</f>
        <v/>
      </c>
      <c r="J854">
        <f>IFERROR(INDEX(PP_Grid[#Data],$DD854,8),0)</f>
        <v/>
      </c>
      <c r="K854">
        <f>IFERROR(INDEX(PP_Grid[#Data],$DD854,9),0)</f>
        <v/>
      </c>
      <c r="L854">
        <f>IFERROR(INDEX(PP_Grid[#Data],$DD854,10),0)</f>
        <v/>
      </c>
      <c r="M854">
        <f>IFERROR(INDEX(PP_Grid[#Data],$DD854,11),0)</f>
        <v/>
      </c>
      <c r="N854">
        <f>IFERROR(INDEX(PP_Grid[#Data],$DD854,12),0)</f>
        <v/>
      </c>
      <c r="O854">
        <f>IFERROR(INDEX(PP_Grid[#Data],$DD854,13),0)</f>
        <v/>
      </c>
      <c r="P854">
        <f>IFERROR(INDEX(PP_Grid[#Data],$DD854,14),0)</f>
        <v/>
      </c>
      <c r="Q854">
        <f>IFERROR(INDEX(PP_Grid[#Data],$DD854,15),0)</f>
        <v/>
      </c>
      <c r="R854">
        <f>IFERROR(INDEX(PP_Grid[#Data],$DD854,16),0)</f>
        <v/>
      </c>
      <c r="S854">
        <f>IFERROR(INDEX(PP_Grid[#Data],$DD854,17),0)</f>
        <v/>
      </c>
      <c r="T854">
        <f>IFERROR(INDEX(PP_Grid[#Data],$DD854,18),0)</f>
        <v/>
      </c>
      <c r="U854">
        <f>IFERROR(INDEX(PP_Grid[#Data],$DD854,19),0)</f>
        <v/>
      </c>
      <c r="V854">
        <f>IFERROR(INDEX(PP_Grid[#Data],$DD854,20),0)</f>
        <v/>
      </c>
      <c r="W854">
        <f>IFERROR(INDEX(PP_Grid[#Data],$DD854,21),0)</f>
        <v/>
      </c>
      <c r="X854">
        <f>IFERROR(INDEX(PP_Grid[#Data],$DD854,22),0)</f>
        <v/>
      </c>
      <c r="Y854">
        <f>IFERROR(INDEX(PP_Grid[#Data],$DD854,23),0)</f>
        <v/>
      </c>
      <c r="Z854">
        <f>IFERROR(INDEX(PP_Grid[#Data],$DD854,24),0)</f>
        <v/>
      </c>
      <c r="AA854">
        <f>IFERROR(INDEX(PP_Grid[#Data],$DD854,25),0)</f>
        <v/>
      </c>
      <c r="AB854">
        <f>IFERROR(INDEX(PP_Grid[#Data],$DD854,26),0)</f>
        <v/>
      </c>
      <c r="AC854">
        <f>IFERROR(INDEX(PP_Grid[#Data],$DD854,27),0)</f>
        <v/>
      </c>
      <c r="AD854">
        <f>IFERROR(INDEX(PP_Grid[#Data],$DD854,28),0)</f>
        <v/>
      </c>
      <c r="AE854">
        <f>IFERROR(INDEX(PP_Grid[#Data],$DD854,29),0)</f>
        <v/>
      </c>
      <c r="AF854">
        <f>IFERROR(INDEX(PP_Grid[#Data],$DD854,30),0)</f>
        <v/>
      </c>
      <c r="AG854">
        <f>IFERROR(INDEX(PP_Grid[#Data],$DD854,31),0)</f>
        <v/>
      </c>
      <c r="AH854">
        <f>IFERROR(INDEX(PP_Grid[#Data],$DD854,32),0)</f>
        <v/>
      </c>
      <c r="AI854">
        <f>IFERROR(INDEX(PP_Grid[#Data],$DD854,33),0)</f>
        <v/>
      </c>
      <c r="AJ854">
        <f>IFERROR(INDEX(PP_Grid[#Data],$DD854,34),0)</f>
        <v/>
      </c>
      <c r="AK854">
        <f>IFERROR(INDEX(PP_Grid[#Data],$DD854,35),0)</f>
        <v/>
      </c>
      <c r="AL854">
        <f>IFERROR(INDEX(PP_Grid[#Data],$DD854,36),0)</f>
        <v/>
      </c>
      <c r="AM854">
        <f>IFERROR(INDEX(PP_Grid[#Data],$DD854,37),0)</f>
        <v/>
      </c>
      <c r="AN854">
        <f>IFERROR(INDEX(PP_Grid[#Data],$DD854,38),0)</f>
        <v/>
      </c>
      <c r="AO854">
        <f>IFERROR(INDEX(PP_Grid[#Data],$DD854,39),0)</f>
        <v/>
      </c>
      <c r="AP854">
        <f>IFERROR(INDEX(PP_Grid[#Data],$DD854,40),0)</f>
        <v/>
      </c>
      <c r="AQ854">
        <f>IFERROR(INDEX(PP_Grid[#Data],$DD854,41),0)</f>
        <v/>
      </c>
      <c r="AR854">
        <f>IFERROR(INDEX(PP_Grid[#Data],$DD854,42),0)</f>
        <v/>
      </c>
      <c r="AS854">
        <f>IFERROR(INDEX(PP_Grid[#Data],$DD854,43),0)</f>
        <v/>
      </c>
      <c r="AT854">
        <f>IFERROR(INDEX(PP_Grid[#Data],$DD854,44),0)</f>
        <v/>
      </c>
      <c r="AU854">
        <f>IFERROR(INDEX(PP_Grid[#Data],$DD854,45),0)</f>
        <v/>
      </c>
      <c r="AV854">
        <f>IFERROR(INDEX(PP_Grid[#Data],$DD854,46),0)</f>
        <v/>
      </c>
      <c r="AW854">
        <f>IFERROR(INDEX(PP_Grid[#Data],$DD854,47),0)</f>
        <v/>
      </c>
      <c r="AX854">
        <f>IFERROR(INDEX(PP_Grid[#Data],$DD854,48),0)</f>
        <v/>
      </c>
      <c r="AY854">
        <f>IFERROR(INDEX(PP_Grid[#Data],$DD854,49),0)</f>
        <v/>
      </c>
      <c r="AZ854">
        <f>IFERROR(INDEX(PP_Grid[#Data],$DD854,50),0)</f>
        <v/>
      </c>
      <c r="BA854">
        <f>IFERROR(INDEX(PP_Grid[#Data],$DD854,51),0)</f>
        <v/>
      </c>
      <c r="BB854">
        <f>IFERROR(INDEX(PP_Grid[#Data],$DD854,52),0)</f>
        <v/>
      </c>
      <c r="BC854">
        <f>IFERROR(INDEX(PP_Grid[#Data],$DD854,53),0)</f>
        <v/>
      </c>
      <c r="BD854">
        <f>IFERROR(INDEX(PP_Grid[#Data],$DD854,54),0)</f>
        <v/>
      </c>
      <c r="BE854">
        <f>IFERROR(INDEX(PP_Grid[#Data],$DD854,55),0)</f>
        <v/>
      </c>
      <c r="BF854">
        <f>IFERROR(INDEX(PP_Grid[#Data],$DD854,56),0)</f>
        <v/>
      </c>
      <c r="BG854">
        <f>IFERROR(INDEX(PP_Grid[#Data],$DD854,57),0)</f>
        <v/>
      </c>
      <c r="BH854">
        <f>IFERROR(INDEX(PP_Grid[#Data],$DD854,58),0)</f>
        <v/>
      </c>
      <c r="BI854">
        <f>IFERROR(INDEX(PP_Grid[#Data],$DD854,59),0)</f>
        <v/>
      </c>
      <c r="BJ854">
        <f>IFERROR(INDEX(PP_Grid[#Data],$DD854,60),0)</f>
        <v/>
      </c>
      <c r="BK854">
        <f>IFERROR(INDEX(PP_Grid[#Data],$DD854,61),0)</f>
        <v/>
      </c>
      <c r="BL854">
        <f>IFERROR(INDEX(PP_Grid[#Data],$DD854,62),0)</f>
        <v/>
      </c>
      <c r="BM854">
        <f>IFERROR(INDEX(PP_Grid[#Data],$DD854,63),0)</f>
        <v/>
      </c>
      <c r="BN854">
        <f>IFERROR(INDEX(PP_Grid[#Data],$DD854,64),0)</f>
        <v/>
      </c>
      <c r="BO854">
        <f>IFERROR(INDEX(PP_Grid[#Data],$DD854,65),0)</f>
        <v/>
      </c>
      <c r="BP854">
        <f>IFERROR(INDEX(PP_Grid[#Data],$DD854,66),0)</f>
        <v/>
      </c>
      <c r="BQ854">
        <f>IFERROR(INDEX(PP_Grid[#Data],$DD854,67),0)</f>
        <v/>
      </c>
      <c r="BR854">
        <f>IFERROR(INDEX(PP_Grid[#Data],$DD854,68),0)</f>
        <v/>
      </c>
      <c r="BS854">
        <f>IFERROR(INDEX(PP_Grid[#Data],$DD854,69),0)</f>
        <v/>
      </c>
      <c r="BT854">
        <f>IFERROR(INDEX(PP_Grid[#Data],$DD854,70),0)</f>
        <v/>
      </c>
      <c r="BU854">
        <f>IFERROR(INDEX(PP_Grid[#Data],$DD854,71),0)</f>
        <v/>
      </c>
      <c r="BV854">
        <f>IFERROR(INDEX(PP_Grid[#Data],$DD854,72),0)</f>
        <v/>
      </c>
      <c r="BW854">
        <f>IFERROR(INDEX(PP_Grid[#Data],$DD854,73),0)</f>
        <v/>
      </c>
      <c r="BX854">
        <f>IFERROR(INDEX(PP_Grid[#Data],$DD854,74),0)</f>
        <v/>
      </c>
      <c r="BY854">
        <f>IFERROR(INDEX(PP_Grid[#Data],$DD854,75),0)</f>
        <v/>
      </c>
      <c r="BZ854">
        <f>IFERROR(INDEX(PP_Grid[#Data],$DD854,76),0)</f>
        <v/>
      </c>
      <c r="CA854">
        <f>IFERROR(INDEX(PP_Grid[#Data],$DD854,77),0)</f>
        <v/>
      </c>
      <c r="CB854">
        <f>IFERROR(INDEX(PP_Grid[#Data],$DD854,78),0)</f>
        <v/>
      </c>
      <c r="CC854">
        <f>IFERROR(INDEX(PP_Grid[#Data],$DD854,79),0)</f>
        <v/>
      </c>
      <c r="CD854">
        <f>IFERROR(INDEX(PP_Grid[#Data],$DD854,80),0)</f>
        <v/>
      </c>
      <c r="CE854">
        <f>IFERROR(INDEX(PP_Grid[#Data],$DD854,81),0)</f>
        <v/>
      </c>
      <c r="CF854">
        <f>IFERROR(INDEX(PP_Grid[#Data],$DD854,82),0)</f>
        <v/>
      </c>
      <c r="CG854">
        <f>IFERROR(INDEX(PP_Grid[#Data],$DD854,83),0)</f>
        <v/>
      </c>
      <c r="CH854">
        <f>IFERROR(INDEX(PP_Grid[#Data],$DD854,84),0)</f>
        <v/>
      </c>
      <c r="CI854">
        <f>IFERROR(INDEX(PP_Grid[#Data],$DD854,85),0)</f>
        <v/>
      </c>
      <c r="CJ854">
        <f>IFERROR(INDEX(PP_Grid[#Data],$DD854,86),0)</f>
        <v/>
      </c>
      <c r="CK854">
        <f>IFERROR(INDEX(PP_Grid[#Data],$DD854,87),0)</f>
        <v/>
      </c>
      <c r="CL854">
        <f>IFERROR(INDEX(PP_Grid[#Data],$DD854,88),0)</f>
        <v/>
      </c>
      <c r="CM854">
        <f>IFERROR(INDEX(PP_Grid[#Data],$DD854,89),0)</f>
        <v/>
      </c>
      <c r="CN854">
        <f>IFERROR(INDEX(PP_Grid[#Data],$DD854,90),0)</f>
        <v/>
      </c>
      <c r="CO854">
        <f>IFERROR(INDEX(PP_Grid[#Data],$DD854,91),0)</f>
        <v/>
      </c>
      <c r="CP854">
        <f>IFERROR(INDEX(PP_Grid[#Data],$DD854,92),0)</f>
        <v/>
      </c>
      <c r="CQ854">
        <f>IFERROR(INDEX(PP_Grid[#Data],$DD854,93),0)</f>
        <v/>
      </c>
      <c r="CR854">
        <f>IFERROR(INDEX(PP_Grid[#Data],$DD854,94),0)</f>
        <v/>
      </c>
      <c r="CS854">
        <f>IFERROR(INDEX(PP_Grid[#Data],$DD854,95),0)</f>
        <v/>
      </c>
      <c r="CT854">
        <f>IFERROR(INDEX(PP_Grid[#Data],$DD854,96),0)</f>
        <v/>
      </c>
      <c r="CU854">
        <f>IFERROR(INDEX(PP_Grid[#Data],$DD854,97),0)</f>
        <v/>
      </c>
      <c r="CV854">
        <f>IFERROR(INDEX(PP_Grid[#Data],$DD854,98),0)</f>
        <v/>
      </c>
      <c r="CW854">
        <f>IFERROR(INDEX(PP_Grid[#Data],$DD854,99),0)</f>
        <v/>
      </c>
      <c r="CX854">
        <f>IFERROR(INDEX(PP_Grid[#Data],$DD854,100),0)</f>
        <v/>
      </c>
      <c r="CY854">
        <f>IFERROR(INDEX(PP_Grid[#Data],$DD854,101),0)</f>
        <v/>
      </c>
      <c r="CZ854">
        <f>IFERROR(INDEX(PP_Grid[#Data],$DD854,102),0)</f>
        <v/>
      </c>
      <c r="DA854">
        <f>IFERROR(INDEX(PP_Grid[#Data],$DD854,103),0)</f>
        <v/>
      </c>
      <c r="DB854">
        <f>IFERROR(INDEX(PP_Grid[#Data],$DD854,104),0)</f>
        <v/>
      </c>
      <c r="DC854">
        <f>IFERROR(INDEX(PP_Grid[#Data],$DD854,105),0)</f>
        <v/>
      </c>
      <c r="DD854" s="7">
        <f>IFERROR(MATCH($B854,PP_Grid[Intermediate],0),99999)</f>
        <v/>
      </c>
    </row>
    <row r="855">
      <c r="B855" t="inlineStr">
        <is>
          <t>使用量(kg)</t>
        </is>
      </c>
      <c r="C855">
        <f>SUMIFS(M_BOM[RM_Qty_Per_Batch],M_BOM[Intermediate],$B854,M_BOM[Part Name],$A833)</f>
        <v/>
      </c>
      <c r="D855">
        <f>$C855*D854</f>
        <v/>
      </c>
      <c r="E855">
        <f>$C855*E854</f>
        <v/>
      </c>
      <c r="F855">
        <f>$C855*F854</f>
        <v/>
      </c>
      <c r="G855">
        <f>$C855*G854</f>
        <v/>
      </c>
      <c r="H855">
        <f>$C855*H854</f>
        <v/>
      </c>
      <c r="I855">
        <f>$C855*I854</f>
        <v/>
      </c>
      <c r="J855">
        <f>$C855*J854</f>
        <v/>
      </c>
      <c r="K855">
        <f>$C855*K854</f>
        <v/>
      </c>
      <c r="L855">
        <f>$C855*L854</f>
        <v/>
      </c>
      <c r="M855">
        <f>$C855*M854</f>
        <v/>
      </c>
      <c r="N855">
        <f>$C855*N854</f>
        <v/>
      </c>
      <c r="O855">
        <f>$C855*O854</f>
        <v/>
      </c>
      <c r="P855">
        <f>$C855*P854</f>
        <v/>
      </c>
      <c r="Q855">
        <f>$C855*Q854</f>
        <v/>
      </c>
      <c r="R855">
        <f>$C855*R854</f>
        <v/>
      </c>
      <c r="S855">
        <f>$C855*S854</f>
        <v/>
      </c>
      <c r="T855">
        <f>$C855*T854</f>
        <v/>
      </c>
      <c r="U855">
        <f>$C855*U854</f>
        <v/>
      </c>
      <c r="V855">
        <f>$C855*V854</f>
        <v/>
      </c>
      <c r="W855">
        <f>$C855*W854</f>
        <v/>
      </c>
      <c r="X855">
        <f>$C855*X854</f>
        <v/>
      </c>
      <c r="Y855">
        <f>$C855*Y854</f>
        <v/>
      </c>
      <c r="Z855">
        <f>$C855*Z854</f>
        <v/>
      </c>
      <c r="AA855">
        <f>$C855*AA854</f>
        <v/>
      </c>
      <c r="AB855">
        <f>$C855*AB854</f>
        <v/>
      </c>
      <c r="AC855">
        <f>$C855*AC854</f>
        <v/>
      </c>
      <c r="AD855">
        <f>$C855*AD854</f>
        <v/>
      </c>
      <c r="AE855">
        <f>$C855*AE854</f>
        <v/>
      </c>
      <c r="AF855">
        <f>$C855*AF854</f>
        <v/>
      </c>
      <c r="AG855">
        <f>$C855*AG854</f>
        <v/>
      </c>
      <c r="AH855">
        <f>$C855*AH854</f>
        <v/>
      </c>
      <c r="AI855">
        <f>$C855*AI854</f>
        <v/>
      </c>
      <c r="AJ855">
        <f>$C855*AJ854</f>
        <v/>
      </c>
      <c r="AK855">
        <f>$C855*AK854</f>
        <v/>
      </c>
      <c r="AL855">
        <f>$C855*AL854</f>
        <v/>
      </c>
      <c r="AM855">
        <f>$C855*AM854</f>
        <v/>
      </c>
      <c r="AN855">
        <f>$C855*AN854</f>
        <v/>
      </c>
      <c r="AO855">
        <f>$C855*AO854</f>
        <v/>
      </c>
      <c r="AP855">
        <f>$C855*AP854</f>
        <v/>
      </c>
      <c r="AQ855">
        <f>$C855*AQ854</f>
        <v/>
      </c>
      <c r="AR855">
        <f>$C855*AR854</f>
        <v/>
      </c>
      <c r="AS855">
        <f>$C855*AS854</f>
        <v/>
      </c>
      <c r="AT855">
        <f>$C855*AT854</f>
        <v/>
      </c>
      <c r="AU855">
        <f>$C855*AU854</f>
        <v/>
      </c>
      <c r="AV855">
        <f>$C855*AV854</f>
        <v/>
      </c>
      <c r="AW855">
        <f>$C855*AW854</f>
        <v/>
      </c>
      <c r="AX855">
        <f>$C855*AX854</f>
        <v/>
      </c>
      <c r="AY855">
        <f>$C855*AY854</f>
        <v/>
      </c>
      <c r="AZ855">
        <f>$C855*AZ854</f>
        <v/>
      </c>
      <c r="BA855">
        <f>$C855*BA854</f>
        <v/>
      </c>
      <c r="BB855">
        <f>$C855*BB854</f>
        <v/>
      </c>
      <c r="BC855">
        <f>$C855*BC854</f>
        <v/>
      </c>
      <c r="BD855">
        <f>$C855*BD854</f>
        <v/>
      </c>
      <c r="BE855">
        <f>$C855*BE854</f>
        <v/>
      </c>
      <c r="BF855">
        <f>$C855*BF854</f>
        <v/>
      </c>
      <c r="BG855">
        <f>$C855*BG854</f>
        <v/>
      </c>
      <c r="BH855">
        <f>$C855*BH854</f>
        <v/>
      </c>
      <c r="BI855">
        <f>$C855*BI854</f>
        <v/>
      </c>
      <c r="BJ855">
        <f>$C855*BJ854</f>
        <v/>
      </c>
      <c r="BK855">
        <f>$C855*BK854</f>
        <v/>
      </c>
      <c r="BL855">
        <f>$C855*BL854</f>
        <v/>
      </c>
      <c r="BM855">
        <f>$C855*BM854</f>
        <v/>
      </c>
      <c r="BN855">
        <f>$C855*BN854</f>
        <v/>
      </c>
      <c r="BO855">
        <f>$C855*BO854</f>
        <v/>
      </c>
      <c r="BP855">
        <f>$C855*BP854</f>
        <v/>
      </c>
      <c r="BQ855">
        <f>$C855*BQ854</f>
        <v/>
      </c>
      <c r="BR855">
        <f>$C855*BR854</f>
        <v/>
      </c>
      <c r="BS855">
        <f>$C855*BS854</f>
        <v/>
      </c>
      <c r="BT855">
        <f>$C855*BT854</f>
        <v/>
      </c>
      <c r="BU855">
        <f>$C855*BU854</f>
        <v/>
      </c>
      <c r="BV855">
        <f>$C855*BV854</f>
        <v/>
      </c>
      <c r="BW855">
        <f>$C855*BW854</f>
        <v/>
      </c>
      <c r="BX855">
        <f>$C855*BX854</f>
        <v/>
      </c>
      <c r="BY855">
        <f>$C855*BY854</f>
        <v/>
      </c>
      <c r="BZ855">
        <f>$C855*BZ854</f>
        <v/>
      </c>
      <c r="CA855">
        <f>$C855*CA854</f>
        <v/>
      </c>
      <c r="CB855">
        <f>$C855*CB854</f>
        <v/>
      </c>
      <c r="CC855">
        <f>$C855*CC854</f>
        <v/>
      </c>
      <c r="CD855">
        <f>$C855*CD854</f>
        <v/>
      </c>
      <c r="CE855">
        <f>$C855*CE854</f>
        <v/>
      </c>
      <c r="CF855">
        <f>$C855*CF854</f>
        <v/>
      </c>
      <c r="CG855">
        <f>$C855*CG854</f>
        <v/>
      </c>
      <c r="CH855">
        <f>$C855*CH854</f>
        <v/>
      </c>
      <c r="CI855">
        <f>$C855*CI854</f>
        <v/>
      </c>
      <c r="CJ855">
        <f>$C855*CJ854</f>
        <v/>
      </c>
      <c r="CK855">
        <f>$C855*CK854</f>
        <v/>
      </c>
      <c r="CL855">
        <f>$C855*CL854</f>
        <v/>
      </c>
      <c r="CM855">
        <f>$C855*CM854</f>
        <v/>
      </c>
      <c r="CN855">
        <f>$C855*CN854</f>
        <v/>
      </c>
      <c r="CO855">
        <f>$C855*CO854</f>
        <v/>
      </c>
      <c r="CP855">
        <f>$C855*CP854</f>
        <v/>
      </c>
      <c r="CQ855">
        <f>$C855*CQ854</f>
        <v/>
      </c>
      <c r="CR855">
        <f>$C855*CR854</f>
        <v/>
      </c>
      <c r="CS855">
        <f>$C855*CS854</f>
        <v/>
      </c>
      <c r="CT855">
        <f>$C855*CT854</f>
        <v/>
      </c>
      <c r="CU855">
        <f>$C855*CU854</f>
        <v/>
      </c>
      <c r="CV855">
        <f>$C855*CV854</f>
        <v/>
      </c>
      <c r="CW855">
        <f>$C855*CW854</f>
        <v/>
      </c>
      <c r="CX855">
        <f>$C855*CX854</f>
        <v/>
      </c>
      <c r="CY855">
        <f>$C855*CY854</f>
        <v/>
      </c>
      <c r="CZ855">
        <f>$C855*CZ854</f>
        <v/>
      </c>
      <c r="DA855">
        <f>$C855*DA854</f>
        <v/>
      </c>
      <c r="DB855">
        <f>$C855*DB854</f>
        <v/>
      </c>
      <c r="DC855">
        <f>$C855*DC854</f>
        <v/>
      </c>
    </row>
    <row r="856">
      <c r="B856" t="inlineStr">
        <is>
          <t>TSP-1448</t>
        </is>
      </c>
      <c r="C856" t="inlineStr">
        <is>
          <t>No. of batches</t>
        </is>
      </c>
      <c r="D856">
        <f>IFERROR(INDEX(PP_Grid[#Data],$DD856,2),0)</f>
        <v/>
      </c>
      <c r="E856">
        <f>IFERROR(INDEX(PP_Grid[#Data],$DD856,3),0)</f>
        <v/>
      </c>
      <c r="F856">
        <f>IFERROR(INDEX(PP_Grid[#Data],$DD856,4),0)</f>
        <v/>
      </c>
      <c r="G856">
        <f>IFERROR(INDEX(PP_Grid[#Data],$DD856,5),0)</f>
        <v/>
      </c>
      <c r="H856">
        <f>IFERROR(INDEX(PP_Grid[#Data],$DD856,6),0)</f>
        <v/>
      </c>
      <c r="I856">
        <f>IFERROR(INDEX(PP_Grid[#Data],$DD856,7),0)</f>
        <v/>
      </c>
      <c r="J856">
        <f>IFERROR(INDEX(PP_Grid[#Data],$DD856,8),0)</f>
        <v/>
      </c>
      <c r="K856">
        <f>IFERROR(INDEX(PP_Grid[#Data],$DD856,9),0)</f>
        <v/>
      </c>
      <c r="L856">
        <f>IFERROR(INDEX(PP_Grid[#Data],$DD856,10),0)</f>
        <v/>
      </c>
      <c r="M856">
        <f>IFERROR(INDEX(PP_Grid[#Data],$DD856,11),0)</f>
        <v/>
      </c>
      <c r="N856">
        <f>IFERROR(INDEX(PP_Grid[#Data],$DD856,12),0)</f>
        <v/>
      </c>
      <c r="O856">
        <f>IFERROR(INDEX(PP_Grid[#Data],$DD856,13),0)</f>
        <v/>
      </c>
      <c r="P856">
        <f>IFERROR(INDEX(PP_Grid[#Data],$DD856,14),0)</f>
        <v/>
      </c>
      <c r="Q856">
        <f>IFERROR(INDEX(PP_Grid[#Data],$DD856,15),0)</f>
        <v/>
      </c>
      <c r="R856">
        <f>IFERROR(INDEX(PP_Grid[#Data],$DD856,16),0)</f>
        <v/>
      </c>
      <c r="S856">
        <f>IFERROR(INDEX(PP_Grid[#Data],$DD856,17),0)</f>
        <v/>
      </c>
      <c r="T856">
        <f>IFERROR(INDEX(PP_Grid[#Data],$DD856,18),0)</f>
        <v/>
      </c>
      <c r="U856">
        <f>IFERROR(INDEX(PP_Grid[#Data],$DD856,19),0)</f>
        <v/>
      </c>
      <c r="V856">
        <f>IFERROR(INDEX(PP_Grid[#Data],$DD856,20),0)</f>
        <v/>
      </c>
      <c r="W856">
        <f>IFERROR(INDEX(PP_Grid[#Data],$DD856,21),0)</f>
        <v/>
      </c>
      <c r="X856">
        <f>IFERROR(INDEX(PP_Grid[#Data],$DD856,22),0)</f>
        <v/>
      </c>
      <c r="Y856">
        <f>IFERROR(INDEX(PP_Grid[#Data],$DD856,23),0)</f>
        <v/>
      </c>
      <c r="Z856">
        <f>IFERROR(INDEX(PP_Grid[#Data],$DD856,24),0)</f>
        <v/>
      </c>
      <c r="AA856">
        <f>IFERROR(INDEX(PP_Grid[#Data],$DD856,25),0)</f>
        <v/>
      </c>
      <c r="AB856">
        <f>IFERROR(INDEX(PP_Grid[#Data],$DD856,26),0)</f>
        <v/>
      </c>
      <c r="AC856">
        <f>IFERROR(INDEX(PP_Grid[#Data],$DD856,27),0)</f>
        <v/>
      </c>
      <c r="AD856">
        <f>IFERROR(INDEX(PP_Grid[#Data],$DD856,28),0)</f>
        <v/>
      </c>
      <c r="AE856">
        <f>IFERROR(INDEX(PP_Grid[#Data],$DD856,29),0)</f>
        <v/>
      </c>
      <c r="AF856">
        <f>IFERROR(INDEX(PP_Grid[#Data],$DD856,30),0)</f>
        <v/>
      </c>
      <c r="AG856">
        <f>IFERROR(INDEX(PP_Grid[#Data],$DD856,31),0)</f>
        <v/>
      </c>
      <c r="AH856">
        <f>IFERROR(INDEX(PP_Grid[#Data],$DD856,32),0)</f>
        <v/>
      </c>
      <c r="AI856">
        <f>IFERROR(INDEX(PP_Grid[#Data],$DD856,33),0)</f>
        <v/>
      </c>
      <c r="AJ856">
        <f>IFERROR(INDEX(PP_Grid[#Data],$DD856,34),0)</f>
        <v/>
      </c>
      <c r="AK856">
        <f>IFERROR(INDEX(PP_Grid[#Data],$DD856,35),0)</f>
        <v/>
      </c>
      <c r="AL856">
        <f>IFERROR(INDEX(PP_Grid[#Data],$DD856,36),0)</f>
        <v/>
      </c>
      <c r="AM856">
        <f>IFERROR(INDEX(PP_Grid[#Data],$DD856,37),0)</f>
        <v/>
      </c>
      <c r="AN856">
        <f>IFERROR(INDEX(PP_Grid[#Data],$DD856,38),0)</f>
        <v/>
      </c>
      <c r="AO856">
        <f>IFERROR(INDEX(PP_Grid[#Data],$DD856,39),0)</f>
        <v/>
      </c>
      <c r="AP856">
        <f>IFERROR(INDEX(PP_Grid[#Data],$DD856,40),0)</f>
        <v/>
      </c>
      <c r="AQ856">
        <f>IFERROR(INDEX(PP_Grid[#Data],$DD856,41),0)</f>
        <v/>
      </c>
      <c r="AR856">
        <f>IFERROR(INDEX(PP_Grid[#Data],$DD856,42),0)</f>
        <v/>
      </c>
      <c r="AS856">
        <f>IFERROR(INDEX(PP_Grid[#Data],$DD856,43),0)</f>
        <v/>
      </c>
      <c r="AT856">
        <f>IFERROR(INDEX(PP_Grid[#Data],$DD856,44),0)</f>
        <v/>
      </c>
      <c r="AU856">
        <f>IFERROR(INDEX(PP_Grid[#Data],$DD856,45),0)</f>
        <v/>
      </c>
      <c r="AV856">
        <f>IFERROR(INDEX(PP_Grid[#Data],$DD856,46),0)</f>
        <v/>
      </c>
      <c r="AW856">
        <f>IFERROR(INDEX(PP_Grid[#Data],$DD856,47),0)</f>
        <v/>
      </c>
      <c r="AX856">
        <f>IFERROR(INDEX(PP_Grid[#Data],$DD856,48),0)</f>
        <v/>
      </c>
      <c r="AY856">
        <f>IFERROR(INDEX(PP_Grid[#Data],$DD856,49),0)</f>
        <v/>
      </c>
      <c r="AZ856">
        <f>IFERROR(INDEX(PP_Grid[#Data],$DD856,50),0)</f>
        <v/>
      </c>
      <c r="BA856">
        <f>IFERROR(INDEX(PP_Grid[#Data],$DD856,51),0)</f>
        <v/>
      </c>
      <c r="BB856">
        <f>IFERROR(INDEX(PP_Grid[#Data],$DD856,52),0)</f>
        <v/>
      </c>
      <c r="BC856">
        <f>IFERROR(INDEX(PP_Grid[#Data],$DD856,53),0)</f>
        <v/>
      </c>
      <c r="BD856">
        <f>IFERROR(INDEX(PP_Grid[#Data],$DD856,54),0)</f>
        <v/>
      </c>
      <c r="BE856">
        <f>IFERROR(INDEX(PP_Grid[#Data],$DD856,55),0)</f>
        <v/>
      </c>
      <c r="BF856">
        <f>IFERROR(INDEX(PP_Grid[#Data],$DD856,56),0)</f>
        <v/>
      </c>
      <c r="BG856">
        <f>IFERROR(INDEX(PP_Grid[#Data],$DD856,57),0)</f>
        <v/>
      </c>
      <c r="BH856">
        <f>IFERROR(INDEX(PP_Grid[#Data],$DD856,58),0)</f>
        <v/>
      </c>
      <c r="BI856">
        <f>IFERROR(INDEX(PP_Grid[#Data],$DD856,59),0)</f>
        <v/>
      </c>
      <c r="BJ856">
        <f>IFERROR(INDEX(PP_Grid[#Data],$DD856,60),0)</f>
        <v/>
      </c>
      <c r="BK856">
        <f>IFERROR(INDEX(PP_Grid[#Data],$DD856,61),0)</f>
        <v/>
      </c>
      <c r="BL856">
        <f>IFERROR(INDEX(PP_Grid[#Data],$DD856,62),0)</f>
        <v/>
      </c>
      <c r="BM856">
        <f>IFERROR(INDEX(PP_Grid[#Data],$DD856,63),0)</f>
        <v/>
      </c>
      <c r="BN856">
        <f>IFERROR(INDEX(PP_Grid[#Data],$DD856,64),0)</f>
        <v/>
      </c>
      <c r="BO856">
        <f>IFERROR(INDEX(PP_Grid[#Data],$DD856,65),0)</f>
        <v/>
      </c>
      <c r="BP856">
        <f>IFERROR(INDEX(PP_Grid[#Data],$DD856,66),0)</f>
        <v/>
      </c>
      <c r="BQ856">
        <f>IFERROR(INDEX(PP_Grid[#Data],$DD856,67),0)</f>
        <v/>
      </c>
      <c r="BR856">
        <f>IFERROR(INDEX(PP_Grid[#Data],$DD856,68),0)</f>
        <v/>
      </c>
      <c r="BS856">
        <f>IFERROR(INDEX(PP_Grid[#Data],$DD856,69),0)</f>
        <v/>
      </c>
      <c r="BT856">
        <f>IFERROR(INDEX(PP_Grid[#Data],$DD856,70),0)</f>
        <v/>
      </c>
      <c r="BU856">
        <f>IFERROR(INDEX(PP_Grid[#Data],$DD856,71),0)</f>
        <v/>
      </c>
      <c r="BV856">
        <f>IFERROR(INDEX(PP_Grid[#Data],$DD856,72),0)</f>
        <v/>
      </c>
      <c r="BW856">
        <f>IFERROR(INDEX(PP_Grid[#Data],$DD856,73),0)</f>
        <v/>
      </c>
      <c r="BX856">
        <f>IFERROR(INDEX(PP_Grid[#Data],$DD856,74),0)</f>
        <v/>
      </c>
      <c r="BY856">
        <f>IFERROR(INDEX(PP_Grid[#Data],$DD856,75),0)</f>
        <v/>
      </c>
      <c r="BZ856">
        <f>IFERROR(INDEX(PP_Grid[#Data],$DD856,76),0)</f>
        <v/>
      </c>
      <c r="CA856">
        <f>IFERROR(INDEX(PP_Grid[#Data],$DD856,77),0)</f>
        <v/>
      </c>
      <c r="CB856">
        <f>IFERROR(INDEX(PP_Grid[#Data],$DD856,78),0)</f>
        <v/>
      </c>
      <c r="CC856">
        <f>IFERROR(INDEX(PP_Grid[#Data],$DD856,79),0)</f>
        <v/>
      </c>
      <c r="CD856">
        <f>IFERROR(INDEX(PP_Grid[#Data],$DD856,80),0)</f>
        <v/>
      </c>
      <c r="CE856">
        <f>IFERROR(INDEX(PP_Grid[#Data],$DD856,81),0)</f>
        <v/>
      </c>
      <c r="CF856">
        <f>IFERROR(INDEX(PP_Grid[#Data],$DD856,82),0)</f>
        <v/>
      </c>
      <c r="CG856">
        <f>IFERROR(INDEX(PP_Grid[#Data],$DD856,83),0)</f>
        <v/>
      </c>
      <c r="CH856">
        <f>IFERROR(INDEX(PP_Grid[#Data],$DD856,84),0)</f>
        <v/>
      </c>
      <c r="CI856">
        <f>IFERROR(INDEX(PP_Grid[#Data],$DD856,85),0)</f>
        <v/>
      </c>
      <c r="CJ856">
        <f>IFERROR(INDEX(PP_Grid[#Data],$DD856,86),0)</f>
        <v/>
      </c>
      <c r="CK856">
        <f>IFERROR(INDEX(PP_Grid[#Data],$DD856,87),0)</f>
        <v/>
      </c>
      <c r="CL856">
        <f>IFERROR(INDEX(PP_Grid[#Data],$DD856,88),0)</f>
        <v/>
      </c>
      <c r="CM856">
        <f>IFERROR(INDEX(PP_Grid[#Data],$DD856,89),0)</f>
        <v/>
      </c>
      <c r="CN856">
        <f>IFERROR(INDEX(PP_Grid[#Data],$DD856,90),0)</f>
        <v/>
      </c>
      <c r="CO856">
        <f>IFERROR(INDEX(PP_Grid[#Data],$DD856,91),0)</f>
        <v/>
      </c>
      <c r="CP856">
        <f>IFERROR(INDEX(PP_Grid[#Data],$DD856,92),0)</f>
        <v/>
      </c>
      <c r="CQ856">
        <f>IFERROR(INDEX(PP_Grid[#Data],$DD856,93),0)</f>
        <v/>
      </c>
      <c r="CR856">
        <f>IFERROR(INDEX(PP_Grid[#Data],$DD856,94),0)</f>
        <v/>
      </c>
      <c r="CS856">
        <f>IFERROR(INDEX(PP_Grid[#Data],$DD856,95),0)</f>
        <v/>
      </c>
      <c r="CT856">
        <f>IFERROR(INDEX(PP_Grid[#Data],$DD856,96),0)</f>
        <v/>
      </c>
      <c r="CU856">
        <f>IFERROR(INDEX(PP_Grid[#Data],$DD856,97),0)</f>
        <v/>
      </c>
      <c r="CV856">
        <f>IFERROR(INDEX(PP_Grid[#Data],$DD856,98),0)</f>
        <v/>
      </c>
      <c r="CW856">
        <f>IFERROR(INDEX(PP_Grid[#Data],$DD856,99),0)</f>
        <v/>
      </c>
      <c r="CX856">
        <f>IFERROR(INDEX(PP_Grid[#Data],$DD856,100),0)</f>
        <v/>
      </c>
      <c r="CY856">
        <f>IFERROR(INDEX(PP_Grid[#Data],$DD856,101),0)</f>
        <v/>
      </c>
      <c r="CZ856">
        <f>IFERROR(INDEX(PP_Grid[#Data],$DD856,102),0)</f>
        <v/>
      </c>
      <c r="DA856">
        <f>IFERROR(INDEX(PP_Grid[#Data],$DD856,103),0)</f>
        <v/>
      </c>
      <c r="DB856">
        <f>IFERROR(INDEX(PP_Grid[#Data],$DD856,104),0)</f>
        <v/>
      </c>
      <c r="DC856">
        <f>IFERROR(INDEX(PP_Grid[#Data],$DD856,105),0)</f>
        <v/>
      </c>
      <c r="DD856" s="7">
        <f>IFERROR(MATCH($B856,PP_Grid[Intermediate],0),99999)</f>
        <v/>
      </c>
    </row>
    <row r="857">
      <c r="B857" t="inlineStr">
        <is>
          <t>使用量(kg)</t>
        </is>
      </c>
      <c r="C857">
        <f>SUMIFS(M_BOM[RM_Qty_Per_Batch],M_BOM[Intermediate],$B856,M_BOM[Part Name],$A833)</f>
        <v/>
      </c>
      <c r="D857">
        <f>$C857*D856</f>
        <v/>
      </c>
      <c r="E857">
        <f>$C857*E856</f>
        <v/>
      </c>
      <c r="F857">
        <f>$C857*F856</f>
        <v/>
      </c>
      <c r="G857">
        <f>$C857*G856</f>
        <v/>
      </c>
      <c r="H857">
        <f>$C857*H856</f>
        <v/>
      </c>
      <c r="I857">
        <f>$C857*I856</f>
        <v/>
      </c>
      <c r="J857">
        <f>$C857*J856</f>
        <v/>
      </c>
      <c r="K857">
        <f>$C857*K856</f>
        <v/>
      </c>
      <c r="L857">
        <f>$C857*L856</f>
        <v/>
      </c>
      <c r="M857">
        <f>$C857*M856</f>
        <v/>
      </c>
      <c r="N857">
        <f>$C857*N856</f>
        <v/>
      </c>
      <c r="O857">
        <f>$C857*O856</f>
        <v/>
      </c>
      <c r="P857">
        <f>$C857*P856</f>
        <v/>
      </c>
      <c r="Q857">
        <f>$C857*Q856</f>
        <v/>
      </c>
      <c r="R857">
        <f>$C857*R856</f>
        <v/>
      </c>
      <c r="S857">
        <f>$C857*S856</f>
        <v/>
      </c>
      <c r="T857">
        <f>$C857*T856</f>
        <v/>
      </c>
      <c r="U857">
        <f>$C857*U856</f>
        <v/>
      </c>
      <c r="V857">
        <f>$C857*V856</f>
        <v/>
      </c>
      <c r="W857">
        <f>$C857*W856</f>
        <v/>
      </c>
      <c r="X857">
        <f>$C857*X856</f>
        <v/>
      </c>
      <c r="Y857">
        <f>$C857*Y856</f>
        <v/>
      </c>
      <c r="Z857">
        <f>$C857*Z856</f>
        <v/>
      </c>
      <c r="AA857">
        <f>$C857*AA856</f>
        <v/>
      </c>
      <c r="AB857">
        <f>$C857*AB856</f>
        <v/>
      </c>
      <c r="AC857">
        <f>$C857*AC856</f>
        <v/>
      </c>
      <c r="AD857">
        <f>$C857*AD856</f>
        <v/>
      </c>
      <c r="AE857">
        <f>$C857*AE856</f>
        <v/>
      </c>
      <c r="AF857">
        <f>$C857*AF856</f>
        <v/>
      </c>
      <c r="AG857">
        <f>$C857*AG856</f>
        <v/>
      </c>
      <c r="AH857">
        <f>$C857*AH856</f>
        <v/>
      </c>
      <c r="AI857">
        <f>$C857*AI856</f>
        <v/>
      </c>
      <c r="AJ857">
        <f>$C857*AJ856</f>
        <v/>
      </c>
      <c r="AK857">
        <f>$C857*AK856</f>
        <v/>
      </c>
      <c r="AL857">
        <f>$C857*AL856</f>
        <v/>
      </c>
      <c r="AM857">
        <f>$C857*AM856</f>
        <v/>
      </c>
      <c r="AN857">
        <f>$C857*AN856</f>
        <v/>
      </c>
      <c r="AO857">
        <f>$C857*AO856</f>
        <v/>
      </c>
      <c r="AP857">
        <f>$C857*AP856</f>
        <v/>
      </c>
      <c r="AQ857">
        <f>$C857*AQ856</f>
        <v/>
      </c>
      <c r="AR857">
        <f>$C857*AR856</f>
        <v/>
      </c>
      <c r="AS857">
        <f>$C857*AS856</f>
        <v/>
      </c>
      <c r="AT857">
        <f>$C857*AT856</f>
        <v/>
      </c>
      <c r="AU857">
        <f>$C857*AU856</f>
        <v/>
      </c>
      <c r="AV857">
        <f>$C857*AV856</f>
        <v/>
      </c>
      <c r="AW857">
        <f>$C857*AW856</f>
        <v/>
      </c>
      <c r="AX857">
        <f>$C857*AX856</f>
        <v/>
      </c>
      <c r="AY857">
        <f>$C857*AY856</f>
        <v/>
      </c>
      <c r="AZ857">
        <f>$C857*AZ856</f>
        <v/>
      </c>
      <c r="BA857">
        <f>$C857*BA856</f>
        <v/>
      </c>
      <c r="BB857">
        <f>$C857*BB856</f>
        <v/>
      </c>
      <c r="BC857">
        <f>$C857*BC856</f>
        <v/>
      </c>
      <c r="BD857">
        <f>$C857*BD856</f>
        <v/>
      </c>
      <c r="BE857">
        <f>$C857*BE856</f>
        <v/>
      </c>
      <c r="BF857">
        <f>$C857*BF856</f>
        <v/>
      </c>
      <c r="BG857">
        <f>$C857*BG856</f>
        <v/>
      </c>
      <c r="BH857">
        <f>$C857*BH856</f>
        <v/>
      </c>
      <c r="BI857">
        <f>$C857*BI856</f>
        <v/>
      </c>
      <c r="BJ857">
        <f>$C857*BJ856</f>
        <v/>
      </c>
      <c r="BK857">
        <f>$C857*BK856</f>
        <v/>
      </c>
      <c r="BL857">
        <f>$C857*BL856</f>
        <v/>
      </c>
      <c r="BM857">
        <f>$C857*BM856</f>
        <v/>
      </c>
      <c r="BN857">
        <f>$C857*BN856</f>
        <v/>
      </c>
      <c r="BO857">
        <f>$C857*BO856</f>
        <v/>
      </c>
      <c r="BP857">
        <f>$C857*BP856</f>
        <v/>
      </c>
      <c r="BQ857">
        <f>$C857*BQ856</f>
        <v/>
      </c>
      <c r="BR857">
        <f>$C857*BR856</f>
        <v/>
      </c>
      <c r="BS857">
        <f>$C857*BS856</f>
        <v/>
      </c>
      <c r="BT857">
        <f>$C857*BT856</f>
        <v/>
      </c>
      <c r="BU857">
        <f>$C857*BU856</f>
        <v/>
      </c>
      <c r="BV857">
        <f>$C857*BV856</f>
        <v/>
      </c>
      <c r="BW857">
        <f>$C857*BW856</f>
        <v/>
      </c>
      <c r="BX857">
        <f>$C857*BX856</f>
        <v/>
      </c>
      <c r="BY857">
        <f>$C857*BY856</f>
        <v/>
      </c>
      <c r="BZ857">
        <f>$C857*BZ856</f>
        <v/>
      </c>
      <c r="CA857">
        <f>$C857*CA856</f>
        <v/>
      </c>
      <c r="CB857">
        <f>$C857*CB856</f>
        <v/>
      </c>
      <c r="CC857">
        <f>$C857*CC856</f>
        <v/>
      </c>
      <c r="CD857">
        <f>$C857*CD856</f>
        <v/>
      </c>
      <c r="CE857">
        <f>$C857*CE856</f>
        <v/>
      </c>
      <c r="CF857">
        <f>$C857*CF856</f>
        <v/>
      </c>
      <c r="CG857">
        <f>$C857*CG856</f>
        <v/>
      </c>
      <c r="CH857">
        <f>$C857*CH856</f>
        <v/>
      </c>
      <c r="CI857">
        <f>$C857*CI856</f>
        <v/>
      </c>
      <c r="CJ857">
        <f>$C857*CJ856</f>
        <v/>
      </c>
      <c r="CK857">
        <f>$C857*CK856</f>
        <v/>
      </c>
      <c r="CL857">
        <f>$C857*CL856</f>
        <v/>
      </c>
      <c r="CM857">
        <f>$C857*CM856</f>
        <v/>
      </c>
      <c r="CN857">
        <f>$C857*CN856</f>
        <v/>
      </c>
      <c r="CO857">
        <f>$C857*CO856</f>
        <v/>
      </c>
      <c r="CP857">
        <f>$C857*CP856</f>
        <v/>
      </c>
      <c r="CQ857">
        <f>$C857*CQ856</f>
        <v/>
      </c>
      <c r="CR857">
        <f>$C857*CR856</f>
        <v/>
      </c>
      <c r="CS857">
        <f>$C857*CS856</f>
        <v/>
      </c>
      <c r="CT857">
        <f>$C857*CT856</f>
        <v/>
      </c>
      <c r="CU857">
        <f>$C857*CU856</f>
        <v/>
      </c>
      <c r="CV857">
        <f>$C857*CV856</f>
        <v/>
      </c>
      <c r="CW857">
        <f>$C857*CW856</f>
        <v/>
      </c>
      <c r="CX857">
        <f>$C857*CX856</f>
        <v/>
      </c>
      <c r="CY857">
        <f>$C857*CY856</f>
        <v/>
      </c>
      <c r="CZ857">
        <f>$C857*CZ856</f>
        <v/>
      </c>
      <c r="DA857">
        <f>$C857*DA856</f>
        <v/>
      </c>
      <c r="DB857">
        <f>$C857*DB856</f>
        <v/>
      </c>
      <c r="DC857">
        <f>$C857*DC856</f>
        <v/>
      </c>
    </row>
    <row r="858">
      <c r="B858" t="inlineStr">
        <is>
          <t>TSP-1445</t>
        </is>
      </c>
      <c r="C858" t="inlineStr">
        <is>
          <t>No. of batches</t>
        </is>
      </c>
      <c r="D858">
        <f>IFERROR(INDEX(PP_Grid[#Data],$DD858,2),0)</f>
        <v/>
      </c>
      <c r="E858">
        <f>IFERROR(INDEX(PP_Grid[#Data],$DD858,3),0)</f>
        <v/>
      </c>
      <c r="F858">
        <f>IFERROR(INDEX(PP_Grid[#Data],$DD858,4),0)</f>
        <v/>
      </c>
      <c r="G858">
        <f>IFERROR(INDEX(PP_Grid[#Data],$DD858,5),0)</f>
        <v/>
      </c>
      <c r="H858">
        <f>IFERROR(INDEX(PP_Grid[#Data],$DD858,6),0)</f>
        <v/>
      </c>
      <c r="I858">
        <f>IFERROR(INDEX(PP_Grid[#Data],$DD858,7),0)</f>
        <v/>
      </c>
      <c r="J858">
        <f>IFERROR(INDEX(PP_Grid[#Data],$DD858,8),0)</f>
        <v/>
      </c>
      <c r="K858">
        <f>IFERROR(INDEX(PP_Grid[#Data],$DD858,9),0)</f>
        <v/>
      </c>
      <c r="L858">
        <f>IFERROR(INDEX(PP_Grid[#Data],$DD858,10),0)</f>
        <v/>
      </c>
      <c r="M858">
        <f>IFERROR(INDEX(PP_Grid[#Data],$DD858,11),0)</f>
        <v/>
      </c>
      <c r="N858">
        <f>IFERROR(INDEX(PP_Grid[#Data],$DD858,12),0)</f>
        <v/>
      </c>
      <c r="O858">
        <f>IFERROR(INDEX(PP_Grid[#Data],$DD858,13),0)</f>
        <v/>
      </c>
      <c r="P858">
        <f>IFERROR(INDEX(PP_Grid[#Data],$DD858,14),0)</f>
        <v/>
      </c>
      <c r="Q858">
        <f>IFERROR(INDEX(PP_Grid[#Data],$DD858,15),0)</f>
        <v/>
      </c>
      <c r="R858">
        <f>IFERROR(INDEX(PP_Grid[#Data],$DD858,16),0)</f>
        <v/>
      </c>
      <c r="S858">
        <f>IFERROR(INDEX(PP_Grid[#Data],$DD858,17),0)</f>
        <v/>
      </c>
      <c r="T858">
        <f>IFERROR(INDEX(PP_Grid[#Data],$DD858,18),0)</f>
        <v/>
      </c>
      <c r="U858">
        <f>IFERROR(INDEX(PP_Grid[#Data],$DD858,19),0)</f>
        <v/>
      </c>
      <c r="V858">
        <f>IFERROR(INDEX(PP_Grid[#Data],$DD858,20),0)</f>
        <v/>
      </c>
      <c r="W858">
        <f>IFERROR(INDEX(PP_Grid[#Data],$DD858,21),0)</f>
        <v/>
      </c>
      <c r="X858">
        <f>IFERROR(INDEX(PP_Grid[#Data],$DD858,22),0)</f>
        <v/>
      </c>
      <c r="Y858">
        <f>IFERROR(INDEX(PP_Grid[#Data],$DD858,23),0)</f>
        <v/>
      </c>
      <c r="Z858">
        <f>IFERROR(INDEX(PP_Grid[#Data],$DD858,24),0)</f>
        <v/>
      </c>
      <c r="AA858">
        <f>IFERROR(INDEX(PP_Grid[#Data],$DD858,25),0)</f>
        <v/>
      </c>
      <c r="AB858">
        <f>IFERROR(INDEX(PP_Grid[#Data],$DD858,26),0)</f>
        <v/>
      </c>
      <c r="AC858">
        <f>IFERROR(INDEX(PP_Grid[#Data],$DD858,27),0)</f>
        <v/>
      </c>
      <c r="AD858">
        <f>IFERROR(INDEX(PP_Grid[#Data],$DD858,28),0)</f>
        <v/>
      </c>
      <c r="AE858">
        <f>IFERROR(INDEX(PP_Grid[#Data],$DD858,29),0)</f>
        <v/>
      </c>
      <c r="AF858">
        <f>IFERROR(INDEX(PP_Grid[#Data],$DD858,30),0)</f>
        <v/>
      </c>
      <c r="AG858">
        <f>IFERROR(INDEX(PP_Grid[#Data],$DD858,31),0)</f>
        <v/>
      </c>
      <c r="AH858">
        <f>IFERROR(INDEX(PP_Grid[#Data],$DD858,32),0)</f>
        <v/>
      </c>
      <c r="AI858">
        <f>IFERROR(INDEX(PP_Grid[#Data],$DD858,33),0)</f>
        <v/>
      </c>
      <c r="AJ858">
        <f>IFERROR(INDEX(PP_Grid[#Data],$DD858,34),0)</f>
        <v/>
      </c>
      <c r="AK858">
        <f>IFERROR(INDEX(PP_Grid[#Data],$DD858,35),0)</f>
        <v/>
      </c>
      <c r="AL858">
        <f>IFERROR(INDEX(PP_Grid[#Data],$DD858,36),0)</f>
        <v/>
      </c>
      <c r="AM858">
        <f>IFERROR(INDEX(PP_Grid[#Data],$DD858,37),0)</f>
        <v/>
      </c>
      <c r="AN858">
        <f>IFERROR(INDEX(PP_Grid[#Data],$DD858,38),0)</f>
        <v/>
      </c>
      <c r="AO858">
        <f>IFERROR(INDEX(PP_Grid[#Data],$DD858,39),0)</f>
        <v/>
      </c>
      <c r="AP858">
        <f>IFERROR(INDEX(PP_Grid[#Data],$DD858,40),0)</f>
        <v/>
      </c>
      <c r="AQ858">
        <f>IFERROR(INDEX(PP_Grid[#Data],$DD858,41),0)</f>
        <v/>
      </c>
      <c r="AR858">
        <f>IFERROR(INDEX(PP_Grid[#Data],$DD858,42),0)</f>
        <v/>
      </c>
      <c r="AS858">
        <f>IFERROR(INDEX(PP_Grid[#Data],$DD858,43),0)</f>
        <v/>
      </c>
      <c r="AT858">
        <f>IFERROR(INDEX(PP_Grid[#Data],$DD858,44),0)</f>
        <v/>
      </c>
      <c r="AU858">
        <f>IFERROR(INDEX(PP_Grid[#Data],$DD858,45),0)</f>
        <v/>
      </c>
      <c r="AV858">
        <f>IFERROR(INDEX(PP_Grid[#Data],$DD858,46),0)</f>
        <v/>
      </c>
      <c r="AW858">
        <f>IFERROR(INDEX(PP_Grid[#Data],$DD858,47),0)</f>
        <v/>
      </c>
      <c r="AX858">
        <f>IFERROR(INDEX(PP_Grid[#Data],$DD858,48),0)</f>
        <v/>
      </c>
      <c r="AY858">
        <f>IFERROR(INDEX(PP_Grid[#Data],$DD858,49),0)</f>
        <v/>
      </c>
      <c r="AZ858">
        <f>IFERROR(INDEX(PP_Grid[#Data],$DD858,50),0)</f>
        <v/>
      </c>
      <c r="BA858">
        <f>IFERROR(INDEX(PP_Grid[#Data],$DD858,51),0)</f>
        <v/>
      </c>
      <c r="BB858">
        <f>IFERROR(INDEX(PP_Grid[#Data],$DD858,52),0)</f>
        <v/>
      </c>
      <c r="BC858">
        <f>IFERROR(INDEX(PP_Grid[#Data],$DD858,53),0)</f>
        <v/>
      </c>
      <c r="BD858">
        <f>IFERROR(INDEX(PP_Grid[#Data],$DD858,54),0)</f>
        <v/>
      </c>
      <c r="BE858">
        <f>IFERROR(INDEX(PP_Grid[#Data],$DD858,55),0)</f>
        <v/>
      </c>
      <c r="BF858">
        <f>IFERROR(INDEX(PP_Grid[#Data],$DD858,56),0)</f>
        <v/>
      </c>
      <c r="BG858">
        <f>IFERROR(INDEX(PP_Grid[#Data],$DD858,57),0)</f>
        <v/>
      </c>
      <c r="BH858">
        <f>IFERROR(INDEX(PP_Grid[#Data],$DD858,58),0)</f>
        <v/>
      </c>
      <c r="BI858">
        <f>IFERROR(INDEX(PP_Grid[#Data],$DD858,59),0)</f>
        <v/>
      </c>
      <c r="BJ858">
        <f>IFERROR(INDEX(PP_Grid[#Data],$DD858,60),0)</f>
        <v/>
      </c>
      <c r="BK858">
        <f>IFERROR(INDEX(PP_Grid[#Data],$DD858,61),0)</f>
        <v/>
      </c>
      <c r="BL858">
        <f>IFERROR(INDEX(PP_Grid[#Data],$DD858,62),0)</f>
        <v/>
      </c>
      <c r="BM858">
        <f>IFERROR(INDEX(PP_Grid[#Data],$DD858,63),0)</f>
        <v/>
      </c>
      <c r="BN858">
        <f>IFERROR(INDEX(PP_Grid[#Data],$DD858,64),0)</f>
        <v/>
      </c>
      <c r="BO858">
        <f>IFERROR(INDEX(PP_Grid[#Data],$DD858,65),0)</f>
        <v/>
      </c>
      <c r="BP858">
        <f>IFERROR(INDEX(PP_Grid[#Data],$DD858,66),0)</f>
        <v/>
      </c>
      <c r="BQ858">
        <f>IFERROR(INDEX(PP_Grid[#Data],$DD858,67),0)</f>
        <v/>
      </c>
      <c r="BR858">
        <f>IFERROR(INDEX(PP_Grid[#Data],$DD858,68),0)</f>
        <v/>
      </c>
      <c r="BS858">
        <f>IFERROR(INDEX(PP_Grid[#Data],$DD858,69),0)</f>
        <v/>
      </c>
      <c r="BT858">
        <f>IFERROR(INDEX(PP_Grid[#Data],$DD858,70),0)</f>
        <v/>
      </c>
      <c r="BU858">
        <f>IFERROR(INDEX(PP_Grid[#Data],$DD858,71),0)</f>
        <v/>
      </c>
      <c r="BV858">
        <f>IFERROR(INDEX(PP_Grid[#Data],$DD858,72),0)</f>
        <v/>
      </c>
      <c r="BW858">
        <f>IFERROR(INDEX(PP_Grid[#Data],$DD858,73),0)</f>
        <v/>
      </c>
      <c r="BX858">
        <f>IFERROR(INDEX(PP_Grid[#Data],$DD858,74),0)</f>
        <v/>
      </c>
      <c r="BY858">
        <f>IFERROR(INDEX(PP_Grid[#Data],$DD858,75),0)</f>
        <v/>
      </c>
      <c r="BZ858">
        <f>IFERROR(INDEX(PP_Grid[#Data],$DD858,76),0)</f>
        <v/>
      </c>
      <c r="CA858">
        <f>IFERROR(INDEX(PP_Grid[#Data],$DD858,77),0)</f>
        <v/>
      </c>
      <c r="CB858">
        <f>IFERROR(INDEX(PP_Grid[#Data],$DD858,78),0)</f>
        <v/>
      </c>
      <c r="CC858">
        <f>IFERROR(INDEX(PP_Grid[#Data],$DD858,79),0)</f>
        <v/>
      </c>
      <c r="CD858">
        <f>IFERROR(INDEX(PP_Grid[#Data],$DD858,80),0)</f>
        <v/>
      </c>
      <c r="CE858">
        <f>IFERROR(INDEX(PP_Grid[#Data],$DD858,81),0)</f>
        <v/>
      </c>
      <c r="CF858">
        <f>IFERROR(INDEX(PP_Grid[#Data],$DD858,82),0)</f>
        <v/>
      </c>
      <c r="CG858">
        <f>IFERROR(INDEX(PP_Grid[#Data],$DD858,83),0)</f>
        <v/>
      </c>
      <c r="CH858">
        <f>IFERROR(INDEX(PP_Grid[#Data],$DD858,84),0)</f>
        <v/>
      </c>
      <c r="CI858">
        <f>IFERROR(INDEX(PP_Grid[#Data],$DD858,85),0)</f>
        <v/>
      </c>
      <c r="CJ858">
        <f>IFERROR(INDEX(PP_Grid[#Data],$DD858,86),0)</f>
        <v/>
      </c>
      <c r="CK858">
        <f>IFERROR(INDEX(PP_Grid[#Data],$DD858,87),0)</f>
        <v/>
      </c>
      <c r="CL858">
        <f>IFERROR(INDEX(PP_Grid[#Data],$DD858,88),0)</f>
        <v/>
      </c>
      <c r="CM858">
        <f>IFERROR(INDEX(PP_Grid[#Data],$DD858,89),0)</f>
        <v/>
      </c>
      <c r="CN858">
        <f>IFERROR(INDEX(PP_Grid[#Data],$DD858,90),0)</f>
        <v/>
      </c>
      <c r="CO858">
        <f>IFERROR(INDEX(PP_Grid[#Data],$DD858,91),0)</f>
        <v/>
      </c>
      <c r="CP858">
        <f>IFERROR(INDEX(PP_Grid[#Data],$DD858,92),0)</f>
        <v/>
      </c>
      <c r="CQ858">
        <f>IFERROR(INDEX(PP_Grid[#Data],$DD858,93),0)</f>
        <v/>
      </c>
      <c r="CR858">
        <f>IFERROR(INDEX(PP_Grid[#Data],$DD858,94),0)</f>
        <v/>
      </c>
      <c r="CS858">
        <f>IFERROR(INDEX(PP_Grid[#Data],$DD858,95),0)</f>
        <v/>
      </c>
      <c r="CT858">
        <f>IFERROR(INDEX(PP_Grid[#Data],$DD858,96),0)</f>
        <v/>
      </c>
      <c r="CU858">
        <f>IFERROR(INDEX(PP_Grid[#Data],$DD858,97),0)</f>
        <v/>
      </c>
      <c r="CV858">
        <f>IFERROR(INDEX(PP_Grid[#Data],$DD858,98),0)</f>
        <v/>
      </c>
      <c r="CW858">
        <f>IFERROR(INDEX(PP_Grid[#Data],$DD858,99),0)</f>
        <v/>
      </c>
      <c r="CX858">
        <f>IFERROR(INDEX(PP_Grid[#Data],$DD858,100),0)</f>
        <v/>
      </c>
      <c r="CY858">
        <f>IFERROR(INDEX(PP_Grid[#Data],$DD858,101),0)</f>
        <v/>
      </c>
      <c r="CZ858">
        <f>IFERROR(INDEX(PP_Grid[#Data],$DD858,102),0)</f>
        <v/>
      </c>
      <c r="DA858">
        <f>IFERROR(INDEX(PP_Grid[#Data],$DD858,103),0)</f>
        <v/>
      </c>
      <c r="DB858">
        <f>IFERROR(INDEX(PP_Grid[#Data],$DD858,104),0)</f>
        <v/>
      </c>
      <c r="DC858">
        <f>IFERROR(INDEX(PP_Grid[#Data],$DD858,105),0)</f>
        <v/>
      </c>
      <c r="DD858" s="7">
        <f>IFERROR(MATCH($B858,PP_Grid[Intermediate],0),99999)</f>
        <v/>
      </c>
    </row>
    <row r="859">
      <c r="B859" t="inlineStr">
        <is>
          <t>使用量(kg)</t>
        </is>
      </c>
      <c r="C859">
        <f>SUMIFS(M_BOM[RM_Qty_Per_Batch],M_BOM[Intermediate],$B858,M_BOM[Part Name],$A833)</f>
        <v/>
      </c>
      <c r="D859">
        <f>$C859*D858</f>
        <v/>
      </c>
      <c r="E859">
        <f>$C859*E858</f>
        <v/>
      </c>
      <c r="F859">
        <f>$C859*F858</f>
        <v/>
      </c>
      <c r="G859">
        <f>$C859*G858</f>
        <v/>
      </c>
      <c r="H859">
        <f>$C859*H858</f>
        <v/>
      </c>
      <c r="I859">
        <f>$C859*I858</f>
        <v/>
      </c>
      <c r="J859">
        <f>$C859*J858</f>
        <v/>
      </c>
      <c r="K859">
        <f>$C859*K858</f>
        <v/>
      </c>
      <c r="L859">
        <f>$C859*L858</f>
        <v/>
      </c>
      <c r="M859">
        <f>$C859*M858</f>
        <v/>
      </c>
      <c r="N859">
        <f>$C859*N858</f>
        <v/>
      </c>
      <c r="O859">
        <f>$C859*O858</f>
        <v/>
      </c>
      <c r="P859">
        <f>$C859*P858</f>
        <v/>
      </c>
      <c r="Q859">
        <f>$C859*Q858</f>
        <v/>
      </c>
      <c r="R859">
        <f>$C859*R858</f>
        <v/>
      </c>
      <c r="S859">
        <f>$C859*S858</f>
        <v/>
      </c>
      <c r="T859">
        <f>$C859*T858</f>
        <v/>
      </c>
      <c r="U859">
        <f>$C859*U858</f>
        <v/>
      </c>
      <c r="V859">
        <f>$C859*V858</f>
        <v/>
      </c>
      <c r="W859">
        <f>$C859*W858</f>
        <v/>
      </c>
      <c r="X859">
        <f>$C859*X858</f>
        <v/>
      </c>
      <c r="Y859">
        <f>$C859*Y858</f>
        <v/>
      </c>
      <c r="Z859">
        <f>$C859*Z858</f>
        <v/>
      </c>
      <c r="AA859">
        <f>$C859*AA858</f>
        <v/>
      </c>
      <c r="AB859">
        <f>$C859*AB858</f>
        <v/>
      </c>
      <c r="AC859">
        <f>$C859*AC858</f>
        <v/>
      </c>
      <c r="AD859">
        <f>$C859*AD858</f>
        <v/>
      </c>
      <c r="AE859">
        <f>$C859*AE858</f>
        <v/>
      </c>
      <c r="AF859">
        <f>$C859*AF858</f>
        <v/>
      </c>
      <c r="AG859">
        <f>$C859*AG858</f>
        <v/>
      </c>
      <c r="AH859">
        <f>$C859*AH858</f>
        <v/>
      </c>
      <c r="AI859">
        <f>$C859*AI858</f>
        <v/>
      </c>
      <c r="AJ859">
        <f>$C859*AJ858</f>
        <v/>
      </c>
      <c r="AK859">
        <f>$C859*AK858</f>
        <v/>
      </c>
      <c r="AL859">
        <f>$C859*AL858</f>
        <v/>
      </c>
      <c r="AM859">
        <f>$C859*AM858</f>
        <v/>
      </c>
      <c r="AN859">
        <f>$C859*AN858</f>
        <v/>
      </c>
      <c r="AO859">
        <f>$C859*AO858</f>
        <v/>
      </c>
      <c r="AP859">
        <f>$C859*AP858</f>
        <v/>
      </c>
      <c r="AQ859">
        <f>$C859*AQ858</f>
        <v/>
      </c>
      <c r="AR859">
        <f>$C859*AR858</f>
        <v/>
      </c>
      <c r="AS859">
        <f>$C859*AS858</f>
        <v/>
      </c>
      <c r="AT859">
        <f>$C859*AT858</f>
        <v/>
      </c>
      <c r="AU859">
        <f>$C859*AU858</f>
        <v/>
      </c>
      <c r="AV859">
        <f>$C859*AV858</f>
        <v/>
      </c>
      <c r="AW859">
        <f>$C859*AW858</f>
        <v/>
      </c>
      <c r="AX859">
        <f>$C859*AX858</f>
        <v/>
      </c>
      <c r="AY859">
        <f>$C859*AY858</f>
        <v/>
      </c>
      <c r="AZ859">
        <f>$C859*AZ858</f>
        <v/>
      </c>
      <c r="BA859">
        <f>$C859*BA858</f>
        <v/>
      </c>
      <c r="BB859">
        <f>$C859*BB858</f>
        <v/>
      </c>
      <c r="BC859">
        <f>$C859*BC858</f>
        <v/>
      </c>
      <c r="BD859">
        <f>$C859*BD858</f>
        <v/>
      </c>
      <c r="BE859">
        <f>$C859*BE858</f>
        <v/>
      </c>
      <c r="BF859">
        <f>$C859*BF858</f>
        <v/>
      </c>
      <c r="BG859">
        <f>$C859*BG858</f>
        <v/>
      </c>
      <c r="BH859">
        <f>$C859*BH858</f>
        <v/>
      </c>
      <c r="BI859">
        <f>$C859*BI858</f>
        <v/>
      </c>
      <c r="BJ859">
        <f>$C859*BJ858</f>
        <v/>
      </c>
      <c r="BK859">
        <f>$C859*BK858</f>
        <v/>
      </c>
      <c r="BL859">
        <f>$C859*BL858</f>
        <v/>
      </c>
      <c r="BM859">
        <f>$C859*BM858</f>
        <v/>
      </c>
      <c r="BN859">
        <f>$C859*BN858</f>
        <v/>
      </c>
      <c r="BO859">
        <f>$C859*BO858</f>
        <v/>
      </c>
      <c r="BP859">
        <f>$C859*BP858</f>
        <v/>
      </c>
      <c r="BQ859">
        <f>$C859*BQ858</f>
        <v/>
      </c>
      <c r="BR859">
        <f>$C859*BR858</f>
        <v/>
      </c>
      <c r="BS859">
        <f>$C859*BS858</f>
        <v/>
      </c>
      <c r="BT859">
        <f>$C859*BT858</f>
        <v/>
      </c>
      <c r="BU859">
        <f>$C859*BU858</f>
        <v/>
      </c>
      <c r="BV859">
        <f>$C859*BV858</f>
        <v/>
      </c>
      <c r="BW859">
        <f>$C859*BW858</f>
        <v/>
      </c>
      <c r="BX859">
        <f>$C859*BX858</f>
        <v/>
      </c>
      <c r="BY859">
        <f>$C859*BY858</f>
        <v/>
      </c>
      <c r="BZ859">
        <f>$C859*BZ858</f>
        <v/>
      </c>
      <c r="CA859">
        <f>$C859*CA858</f>
        <v/>
      </c>
      <c r="CB859">
        <f>$C859*CB858</f>
        <v/>
      </c>
      <c r="CC859">
        <f>$C859*CC858</f>
        <v/>
      </c>
      <c r="CD859">
        <f>$C859*CD858</f>
        <v/>
      </c>
      <c r="CE859">
        <f>$C859*CE858</f>
        <v/>
      </c>
      <c r="CF859">
        <f>$C859*CF858</f>
        <v/>
      </c>
      <c r="CG859">
        <f>$C859*CG858</f>
        <v/>
      </c>
      <c r="CH859">
        <f>$C859*CH858</f>
        <v/>
      </c>
      <c r="CI859">
        <f>$C859*CI858</f>
        <v/>
      </c>
      <c r="CJ859">
        <f>$C859*CJ858</f>
        <v/>
      </c>
      <c r="CK859">
        <f>$C859*CK858</f>
        <v/>
      </c>
      <c r="CL859">
        <f>$C859*CL858</f>
        <v/>
      </c>
      <c r="CM859">
        <f>$C859*CM858</f>
        <v/>
      </c>
      <c r="CN859">
        <f>$C859*CN858</f>
        <v/>
      </c>
      <c r="CO859">
        <f>$C859*CO858</f>
        <v/>
      </c>
      <c r="CP859">
        <f>$C859*CP858</f>
        <v/>
      </c>
      <c r="CQ859">
        <f>$C859*CQ858</f>
        <v/>
      </c>
      <c r="CR859">
        <f>$C859*CR858</f>
        <v/>
      </c>
      <c r="CS859">
        <f>$C859*CS858</f>
        <v/>
      </c>
      <c r="CT859">
        <f>$C859*CT858</f>
        <v/>
      </c>
      <c r="CU859">
        <f>$C859*CU858</f>
        <v/>
      </c>
      <c r="CV859">
        <f>$C859*CV858</f>
        <v/>
      </c>
      <c r="CW859">
        <f>$C859*CW858</f>
        <v/>
      </c>
      <c r="CX859">
        <f>$C859*CX858</f>
        <v/>
      </c>
      <c r="CY859">
        <f>$C859*CY858</f>
        <v/>
      </c>
      <c r="CZ859">
        <f>$C859*CZ858</f>
        <v/>
      </c>
      <c r="DA859">
        <f>$C859*DA858</f>
        <v/>
      </c>
      <c r="DB859">
        <f>$C859*DB858</f>
        <v/>
      </c>
      <c r="DC859">
        <f>$C859*DC858</f>
        <v/>
      </c>
    </row>
    <row r="860">
      <c r="B860" t="inlineStr">
        <is>
          <t>TSP-1446</t>
        </is>
      </c>
      <c r="C860" t="inlineStr">
        <is>
          <t>No. of batches</t>
        </is>
      </c>
      <c r="D860">
        <f>IFERROR(INDEX(PP_Grid[#Data],$DD860,2),0)</f>
        <v/>
      </c>
      <c r="E860">
        <f>IFERROR(INDEX(PP_Grid[#Data],$DD860,3),0)</f>
        <v/>
      </c>
      <c r="F860">
        <f>IFERROR(INDEX(PP_Grid[#Data],$DD860,4),0)</f>
        <v/>
      </c>
      <c r="G860">
        <f>IFERROR(INDEX(PP_Grid[#Data],$DD860,5),0)</f>
        <v/>
      </c>
      <c r="H860">
        <f>IFERROR(INDEX(PP_Grid[#Data],$DD860,6),0)</f>
        <v/>
      </c>
      <c r="I860">
        <f>IFERROR(INDEX(PP_Grid[#Data],$DD860,7),0)</f>
        <v/>
      </c>
      <c r="J860">
        <f>IFERROR(INDEX(PP_Grid[#Data],$DD860,8),0)</f>
        <v/>
      </c>
      <c r="K860">
        <f>IFERROR(INDEX(PP_Grid[#Data],$DD860,9),0)</f>
        <v/>
      </c>
      <c r="L860">
        <f>IFERROR(INDEX(PP_Grid[#Data],$DD860,10),0)</f>
        <v/>
      </c>
      <c r="M860">
        <f>IFERROR(INDEX(PP_Grid[#Data],$DD860,11),0)</f>
        <v/>
      </c>
      <c r="N860">
        <f>IFERROR(INDEX(PP_Grid[#Data],$DD860,12),0)</f>
        <v/>
      </c>
      <c r="O860">
        <f>IFERROR(INDEX(PP_Grid[#Data],$DD860,13),0)</f>
        <v/>
      </c>
      <c r="P860">
        <f>IFERROR(INDEX(PP_Grid[#Data],$DD860,14),0)</f>
        <v/>
      </c>
      <c r="Q860">
        <f>IFERROR(INDEX(PP_Grid[#Data],$DD860,15),0)</f>
        <v/>
      </c>
      <c r="R860">
        <f>IFERROR(INDEX(PP_Grid[#Data],$DD860,16),0)</f>
        <v/>
      </c>
      <c r="S860">
        <f>IFERROR(INDEX(PP_Grid[#Data],$DD860,17),0)</f>
        <v/>
      </c>
      <c r="T860">
        <f>IFERROR(INDEX(PP_Grid[#Data],$DD860,18),0)</f>
        <v/>
      </c>
      <c r="U860">
        <f>IFERROR(INDEX(PP_Grid[#Data],$DD860,19),0)</f>
        <v/>
      </c>
      <c r="V860">
        <f>IFERROR(INDEX(PP_Grid[#Data],$DD860,20),0)</f>
        <v/>
      </c>
      <c r="W860">
        <f>IFERROR(INDEX(PP_Grid[#Data],$DD860,21),0)</f>
        <v/>
      </c>
      <c r="X860">
        <f>IFERROR(INDEX(PP_Grid[#Data],$DD860,22),0)</f>
        <v/>
      </c>
      <c r="Y860">
        <f>IFERROR(INDEX(PP_Grid[#Data],$DD860,23),0)</f>
        <v/>
      </c>
      <c r="Z860">
        <f>IFERROR(INDEX(PP_Grid[#Data],$DD860,24),0)</f>
        <v/>
      </c>
      <c r="AA860">
        <f>IFERROR(INDEX(PP_Grid[#Data],$DD860,25),0)</f>
        <v/>
      </c>
      <c r="AB860">
        <f>IFERROR(INDEX(PP_Grid[#Data],$DD860,26),0)</f>
        <v/>
      </c>
      <c r="AC860">
        <f>IFERROR(INDEX(PP_Grid[#Data],$DD860,27),0)</f>
        <v/>
      </c>
      <c r="AD860">
        <f>IFERROR(INDEX(PP_Grid[#Data],$DD860,28),0)</f>
        <v/>
      </c>
      <c r="AE860">
        <f>IFERROR(INDEX(PP_Grid[#Data],$DD860,29),0)</f>
        <v/>
      </c>
      <c r="AF860">
        <f>IFERROR(INDEX(PP_Grid[#Data],$DD860,30),0)</f>
        <v/>
      </c>
      <c r="AG860">
        <f>IFERROR(INDEX(PP_Grid[#Data],$DD860,31),0)</f>
        <v/>
      </c>
      <c r="AH860">
        <f>IFERROR(INDEX(PP_Grid[#Data],$DD860,32),0)</f>
        <v/>
      </c>
      <c r="AI860">
        <f>IFERROR(INDEX(PP_Grid[#Data],$DD860,33),0)</f>
        <v/>
      </c>
      <c r="AJ860">
        <f>IFERROR(INDEX(PP_Grid[#Data],$DD860,34),0)</f>
        <v/>
      </c>
      <c r="AK860">
        <f>IFERROR(INDEX(PP_Grid[#Data],$DD860,35),0)</f>
        <v/>
      </c>
      <c r="AL860">
        <f>IFERROR(INDEX(PP_Grid[#Data],$DD860,36),0)</f>
        <v/>
      </c>
      <c r="AM860">
        <f>IFERROR(INDEX(PP_Grid[#Data],$DD860,37),0)</f>
        <v/>
      </c>
      <c r="AN860">
        <f>IFERROR(INDEX(PP_Grid[#Data],$DD860,38),0)</f>
        <v/>
      </c>
      <c r="AO860">
        <f>IFERROR(INDEX(PP_Grid[#Data],$DD860,39),0)</f>
        <v/>
      </c>
      <c r="AP860">
        <f>IFERROR(INDEX(PP_Grid[#Data],$DD860,40),0)</f>
        <v/>
      </c>
      <c r="AQ860">
        <f>IFERROR(INDEX(PP_Grid[#Data],$DD860,41),0)</f>
        <v/>
      </c>
      <c r="AR860">
        <f>IFERROR(INDEX(PP_Grid[#Data],$DD860,42),0)</f>
        <v/>
      </c>
      <c r="AS860">
        <f>IFERROR(INDEX(PP_Grid[#Data],$DD860,43),0)</f>
        <v/>
      </c>
      <c r="AT860">
        <f>IFERROR(INDEX(PP_Grid[#Data],$DD860,44),0)</f>
        <v/>
      </c>
      <c r="AU860">
        <f>IFERROR(INDEX(PP_Grid[#Data],$DD860,45),0)</f>
        <v/>
      </c>
      <c r="AV860">
        <f>IFERROR(INDEX(PP_Grid[#Data],$DD860,46),0)</f>
        <v/>
      </c>
      <c r="AW860">
        <f>IFERROR(INDEX(PP_Grid[#Data],$DD860,47),0)</f>
        <v/>
      </c>
      <c r="AX860">
        <f>IFERROR(INDEX(PP_Grid[#Data],$DD860,48),0)</f>
        <v/>
      </c>
      <c r="AY860">
        <f>IFERROR(INDEX(PP_Grid[#Data],$DD860,49),0)</f>
        <v/>
      </c>
      <c r="AZ860">
        <f>IFERROR(INDEX(PP_Grid[#Data],$DD860,50),0)</f>
        <v/>
      </c>
      <c r="BA860">
        <f>IFERROR(INDEX(PP_Grid[#Data],$DD860,51),0)</f>
        <v/>
      </c>
      <c r="BB860">
        <f>IFERROR(INDEX(PP_Grid[#Data],$DD860,52),0)</f>
        <v/>
      </c>
      <c r="BC860">
        <f>IFERROR(INDEX(PP_Grid[#Data],$DD860,53),0)</f>
        <v/>
      </c>
      <c r="BD860">
        <f>IFERROR(INDEX(PP_Grid[#Data],$DD860,54),0)</f>
        <v/>
      </c>
      <c r="BE860">
        <f>IFERROR(INDEX(PP_Grid[#Data],$DD860,55),0)</f>
        <v/>
      </c>
      <c r="BF860">
        <f>IFERROR(INDEX(PP_Grid[#Data],$DD860,56),0)</f>
        <v/>
      </c>
      <c r="BG860">
        <f>IFERROR(INDEX(PP_Grid[#Data],$DD860,57),0)</f>
        <v/>
      </c>
      <c r="BH860">
        <f>IFERROR(INDEX(PP_Grid[#Data],$DD860,58),0)</f>
        <v/>
      </c>
      <c r="BI860">
        <f>IFERROR(INDEX(PP_Grid[#Data],$DD860,59),0)</f>
        <v/>
      </c>
      <c r="BJ860">
        <f>IFERROR(INDEX(PP_Grid[#Data],$DD860,60),0)</f>
        <v/>
      </c>
      <c r="BK860">
        <f>IFERROR(INDEX(PP_Grid[#Data],$DD860,61),0)</f>
        <v/>
      </c>
      <c r="BL860">
        <f>IFERROR(INDEX(PP_Grid[#Data],$DD860,62),0)</f>
        <v/>
      </c>
      <c r="BM860">
        <f>IFERROR(INDEX(PP_Grid[#Data],$DD860,63),0)</f>
        <v/>
      </c>
      <c r="BN860">
        <f>IFERROR(INDEX(PP_Grid[#Data],$DD860,64),0)</f>
        <v/>
      </c>
      <c r="BO860">
        <f>IFERROR(INDEX(PP_Grid[#Data],$DD860,65),0)</f>
        <v/>
      </c>
      <c r="BP860">
        <f>IFERROR(INDEX(PP_Grid[#Data],$DD860,66),0)</f>
        <v/>
      </c>
      <c r="BQ860">
        <f>IFERROR(INDEX(PP_Grid[#Data],$DD860,67),0)</f>
        <v/>
      </c>
      <c r="BR860">
        <f>IFERROR(INDEX(PP_Grid[#Data],$DD860,68),0)</f>
        <v/>
      </c>
      <c r="BS860">
        <f>IFERROR(INDEX(PP_Grid[#Data],$DD860,69),0)</f>
        <v/>
      </c>
      <c r="BT860">
        <f>IFERROR(INDEX(PP_Grid[#Data],$DD860,70),0)</f>
        <v/>
      </c>
      <c r="BU860">
        <f>IFERROR(INDEX(PP_Grid[#Data],$DD860,71),0)</f>
        <v/>
      </c>
      <c r="BV860">
        <f>IFERROR(INDEX(PP_Grid[#Data],$DD860,72),0)</f>
        <v/>
      </c>
      <c r="BW860">
        <f>IFERROR(INDEX(PP_Grid[#Data],$DD860,73),0)</f>
        <v/>
      </c>
      <c r="BX860">
        <f>IFERROR(INDEX(PP_Grid[#Data],$DD860,74),0)</f>
        <v/>
      </c>
      <c r="BY860">
        <f>IFERROR(INDEX(PP_Grid[#Data],$DD860,75),0)</f>
        <v/>
      </c>
      <c r="BZ860">
        <f>IFERROR(INDEX(PP_Grid[#Data],$DD860,76),0)</f>
        <v/>
      </c>
      <c r="CA860">
        <f>IFERROR(INDEX(PP_Grid[#Data],$DD860,77),0)</f>
        <v/>
      </c>
      <c r="CB860">
        <f>IFERROR(INDEX(PP_Grid[#Data],$DD860,78),0)</f>
        <v/>
      </c>
      <c r="CC860">
        <f>IFERROR(INDEX(PP_Grid[#Data],$DD860,79),0)</f>
        <v/>
      </c>
      <c r="CD860">
        <f>IFERROR(INDEX(PP_Grid[#Data],$DD860,80),0)</f>
        <v/>
      </c>
      <c r="CE860">
        <f>IFERROR(INDEX(PP_Grid[#Data],$DD860,81),0)</f>
        <v/>
      </c>
      <c r="CF860">
        <f>IFERROR(INDEX(PP_Grid[#Data],$DD860,82),0)</f>
        <v/>
      </c>
      <c r="CG860">
        <f>IFERROR(INDEX(PP_Grid[#Data],$DD860,83),0)</f>
        <v/>
      </c>
      <c r="CH860">
        <f>IFERROR(INDEX(PP_Grid[#Data],$DD860,84),0)</f>
        <v/>
      </c>
      <c r="CI860">
        <f>IFERROR(INDEX(PP_Grid[#Data],$DD860,85),0)</f>
        <v/>
      </c>
      <c r="CJ860">
        <f>IFERROR(INDEX(PP_Grid[#Data],$DD860,86),0)</f>
        <v/>
      </c>
      <c r="CK860">
        <f>IFERROR(INDEX(PP_Grid[#Data],$DD860,87),0)</f>
        <v/>
      </c>
      <c r="CL860">
        <f>IFERROR(INDEX(PP_Grid[#Data],$DD860,88),0)</f>
        <v/>
      </c>
      <c r="CM860">
        <f>IFERROR(INDEX(PP_Grid[#Data],$DD860,89),0)</f>
        <v/>
      </c>
      <c r="CN860">
        <f>IFERROR(INDEX(PP_Grid[#Data],$DD860,90),0)</f>
        <v/>
      </c>
      <c r="CO860">
        <f>IFERROR(INDEX(PP_Grid[#Data],$DD860,91),0)</f>
        <v/>
      </c>
      <c r="CP860">
        <f>IFERROR(INDEX(PP_Grid[#Data],$DD860,92),0)</f>
        <v/>
      </c>
      <c r="CQ860">
        <f>IFERROR(INDEX(PP_Grid[#Data],$DD860,93),0)</f>
        <v/>
      </c>
      <c r="CR860">
        <f>IFERROR(INDEX(PP_Grid[#Data],$DD860,94),0)</f>
        <v/>
      </c>
      <c r="CS860">
        <f>IFERROR(INDEX(PP_Grid[#Data],$DD860,95),0)</f>
        <v/>
      </c>
      <c r="CT860">
        <f>IFERROR(INDEX(PP_Grid[#Data],$DD860,96),0)</f>
        <v/>
      </c>
      <c r="CU860">
        <f>IFERROR(INDEX(PP_Grid[#Data],$DD860,97),0)</f>
        <v/>
      </c>
      <c r="CV860">
        <f>IFERROR(INDEX(PP_Grid[#Data],$DD860,98),0)</f>
        <v/>
      </c>
      <c r="CW860">
        <f>IFERROR(INDEX(PP_Grid[#Data],$DD860,99),0)</f>
        <v/>
      </c>
      <c r="CX860">
        <f>IFERROR(INDEX(PP_Grid[#Data],$DD860,100),0)</f>
        <v/>
      </c>
      <c r="CY860">
        <f>IFERROR(INDEX(PP_Grid[#Data],$DD860,101),0)</f>
        <v/>
      </c>
      <c r="CZ860">
        <f>IFERROR(INDEX(PP_Grid[#Data],$DD860,102),0)</f>
        <v/>
      </c>
      <c r="DA860">
        <f>IFERROR(INDEX(PP_Grid[#Data],$DD860,103),0)</f>
        <v/>
      </c>
      <c r="DB860">
        <f>IFERROR(INDEX(PP_Grid[#Data],$DD860,104),0)</f>
        <v/>
      </c>
      <c r="DC860">
        <f>IFERROR(INDEX(PP_Grid[#Data],$DD860,105),0)</f>
        <v/>
      </c>
      <c r="DD860" s="7">
        <f>IFERROR(MATCH($B860,PP_Grid[Intermediate],0),99999)</f>
        <v/>
      </c>
    </row>
    <row r="861">
      <c r="B861" t="inlineStr">
        <is>
          <t>使用量(kg)</t>
        </is>
      </c>
      <c r="C861">
        <f>SUMIFS(M_BOM[RM_Qty_Per_Batch],M_BOM[Intermediate],$B860,M_BOM[Part Name],$A833)</f>
        <v/>
      </c>
      <c r="D861">
        <f>$C861*D860</f>
        <v/>
      </c>
      <c r="E861">
        <f>$C861*E860</f>
        <v/>
      </c>
      <c r="F861">
        <f>$C861*F860</f>
        <v/>
      </c>
      <c r="G861">
        <f>$C861*G860</f>
        <v/>
      </c>
      <c r="H861">
        <f>$C861*H860</f>
        <v/>
      </c>
      <c r="I861">
        <f>$C861*I860</f>
        <v/>
      </c>
      <c r="J861">
        <f>$C861*J860</f>
        <v/>
      </c>
      <c r="K861">
        <f>$C861*K860</f>
        <v/>
      </c>
      <c r="L861">
        <f>$C861*L860</f>
        <v/>
      </c>
      <c r="M861">
        <f>$C861*M860</f>
        <v/>
      </c>
      <c r="N861">
        <f>$C861*N860</f>
        <v/>
      </c>
      <c r="O861">
        <f>$C861*O860</f>
        <v/>
      </c>
      <c r="P861">
        <f>$C861*P860</f>
        <v/>
      </c>
      <c r="Q861">
        <f>$C861*Q860</f>
        <v/>
      </c>
      <c r="R861">
        <f>$C861*R860</f>
        <v/>
      </c>
      <c r="S861">
        <f>$C861*S860</f>
        <v/>
      </c>
      <c r="T861">
        <f>$C861*T860</f>
        <v/>
      </c>
      <c r="U861">
        <f>$C861*U860</f>
        <v/>
      </c>
      <c r="V861">
        <f>$C861*V860</f>
        <v/>
      </c>
      <c r="W861">
        <f>$C861*W860</f>
        <v/>
      </c>
      <c r="X861">
        <f>$C861*X860</f>
        <v/>
      </c>
      <c r="Y861">
        <f>$C861*Y860</f>
        <v/>
      </c>
      <c r="Z861">
        <f>$C861*Z860</f>
        <v/>
      </c>
      <c r="AA861">
        <f>$C861*AA860</f>
        <v/>
      </c>
      <c r="AB861">
        <f>$C861*AB860</f>
        <v/>
      </c>
      <c r="AC861">
        <f>$C861*AC860</f>
        <v/>
      </c>
      <c r="AD861">
        <f>$C861*AD860</f>
        <v/>
      </c>
      <c r="AE861">
        <f>$C861*AE860</f>
        <v/>
      </c>
      <c r="AF861">
        <f>$C861*AF860</f>
        <v/>
      </c>
      <c r="AG861">
        <f>$C861*AG860</f>
        <v/>
      </c>
      <c r="AH861">
        <f>$C861*AH860</f>
        <v/>
      </c>
      <c r="AI861">
        <f>$C861*AI860</f>
        <v/>
      </c>
      <c r="AJ861">
        <f>$C861*AJ860</f>
        <v/>
      </c>
      <c r="AK861">
        <f>$C861*AK860</f>
        <v/>
      </c>
      <c r="AL861">
        <f>$C861*AL860</f>
        <v/>
      </c>
      <c r="AM861">
        <f>$C861*AM860</f>
        <v/>
      </c>
      <c r="AN861">
        <f>$C861*AN860</f>
        <v/>
      </c>
      <c r="AO861">
        <f>$C861*AO860</f>
        <v/>
      </c>
      <c r="AP861">
        <f>$C861*AP860</f>
        <v/>
      </c>
      <c r="AQ861">
        <f>$C861*AQ860</f>
        <v/>
      </c>
      <c r="AR861">
        <f>$C861*AR860</f>
        <v/>
      </c>
      <c r="AS861">
        <f>$C861*AS860</f>
        <v/>
      </c>
      <c r="AT861">
        <f>$C861*AT860</f>
        <v/>
      </c>
      <c r="AU861">
        <f>$C861*AU860</f>
        <v/>
      </c>
      <c r="AV861">
        <f>$C861*AV860</f>
        <v/>
      </c>
      <c r="AW861">
        <f>$C861*AW860</f>
        <v/>
      </c>
      <c r="AX861">
        <f>$C861*AX860</f>
        <v/>
      </c>
      <c r="AY861">
        <f>$C861*AY860</f>
        <v/>
      </c>
      <c r="AZ861">
        <f>$C861*AZ860</f>
        <v/>
      </c>
      <c r="BA861">
        <f>$C861*BA860</f>
        <v/>
      </c>
      <c r="BB861">
        <f>$C861*BB860</f>
        <v/>
      </c>
      <c r="BC861">
        <f>$C861*BC860</f>
        <v/>
      </c>
      <c r="BD861">
        <f>$C861*BD860</f>
        <v/>
      </c>
      <c r="BE861">
        <f>$C861*BE860</f>
        <v/>
      </c>
      <c r="BF861">
        <f>$C861*BF860</f>
        <v/>
      </c>
      <c r="BG861">
        <f>$C861*BG860</f>
        <v/>
      </c>
      <c r="BH861">
        <f>$C861*BH860</f>
        <v/>
      </c>
      <c r="BI861">
        <f>$C861*BI860</f>
        <v/>
      </c>
      <c r="BJ861">
        <f>$C861*BJ860</f>
        <v/>
      </c>
      <c r="BK861">
        <f>$C861*BK860</f>
        <v/>
      </c>
      <c r="BL861">
        <f>$C861*BL860</f>
        <v/>
      </c>
      <c r="BM861">
        <f>$C861*BM860</f>
        <v/>
      </c>
      <c r="BN861">
        <f>$C861*BN860</f>
        <v/>
      </c>
      <c r="BO861">
        <f>$C861*BO860</f>
        <v/>
      </c>
      <c r="BP861">
        <f>$C861*BP860</f>
        <v/>
      </c>
      <c r="BQ861">
        <f>$C861*BQ860</f>
        <v/>
      </c>
      <c r="BR861">
        <f>$C861*BR860</f>
        <v/>
      </c>
      <c r="BS861">
        <f>$C861*BS860</f>
        <v/>
      </c>
      <c r="BT861">
        <f>$C861*BT860</f>
        <v/>
      </c>
      <c r="BU861">
        <f>$C861*BU860</f>
        <v/>
      </c>
      <c r="BV861">
        <f>$C861*BV860</f>
        <v/>
      </c>
      <c r="BW861">
        <f>$C861*BW860</f>
        <v/>
      </c>
      <c r="BX861">
        <f>$C861*BX860</f>
        <v/>
      </c>
      <c r="BY861">
        <f>$C861*BY860</f>
        <v/>
      </c>
      <c r="BZ861">
        <f>$C861*BZ860</f>
        <v/>
      </c>
      <c r="CA861">
        <f>$C861*CA860</f>
        <v/>
      </c>
      <c r="CB861">
        <f>$C861*CB860</f>
        <v/>
      </c>
      <c r="CC861">
        <f>$C861*CC860</f>
        <v/>
      </c>
      <c r="CD861">
        <f>$C861*CD860</f>
        <v/>
      </c>
      <c r="CE861">
        <f>$C861*CE860</f>
        <v/>
      </c>
      <c r="CF861">
        <f>$C861*CF860</f>
        <v/>
      </c>
      <c r="CG861">
        <f>$C861*CG860</f>
        <v/>
      </c>
      <c r="CH861">
        <f>$C861*CH860</f>
        <v/>
      </c>
      <c r="CI861">
        <f>$C861*CI860</f>
        <v/>
      </c>
      <c r="CJ861">
        <f>$C861*CJ860</f>
        <v/>
      </c>
      <c r="CK861">
        <f>$C861*CK860</f>
        <v/>
      </c>
      <c r="CL861">
        <f>$C861*CL860</f>
        <v/>
      </c>
      <c r="CM861">
        <f>$C861*CM860</f>
        <v/>
      </c>
      <c r="CN861">
        <f>$C861*CN860</f>
        <v/>
      </c>
      <c r="CO861">
        <f>$C861*CO860</f>
        <v/>
      </c>
      <c r="CP861">
        <f>$C861*CP860</f>
        <v/>
      </c>
      <c r="CQ861">
        <f>$C861*CQ860</f>
        <v/>
      </c>
      <c r="CR861">
        <f>$C861*CR860</f>
        <v/>
      </c>
      <c r="CS861">
        <f>$C861*CS860</f>
        <v/>
      </c>
      <c r="CT861">
        <f>$C861*CT860</f>
        <v/>
      </c>
      <c r="CU861">
        <f>$C861*CU860</f>
        <v/>
      </c>
      <c r="CV861">
        <f>$C861*CV860</f>
        <v/>
      </c>
      <c r="CW861">
        <f>$C861*CW860</f>
        <v/>
      </c>
      <c r="CX861">
        <f>$C861*CX860</f>
        <v/>
      </c>
      <c r="CY861">
        <f>$C861*CY860</f>
        <v/>
      </c>
      <c r="CZ861">
        <f>$C861*CZ860</f>
        <v/>
      </c>
      <c r="DA861">
        <f>$C861*DA860</f>
        <v/>
      </c>
      <c r="DB861">
        <f>$C861*DB860</f>
        <v/>
      </c>
      <c r="DC861">
        <f>$C861*DC860</f>
        <v/>
      </c>
    </row>
    <row r="862">
      <c r="B862" t="inlineStr">
        <is>
          <t>TPP-358</t>
        </is>
      </c>
      <c r="C862" t="inlineStr">
        <is>
          <t>No. of batches</t>
        </is>
      </c>
      <c r="D862">
        <f>IFERROR(INDEX(PP_Grid[#Data],$DD862,2),0)</f>
        <v/>
      </c>
      <c r="E862">
        <f>IFERROR(INDEX(PP_Grid[#Data],$DD862,3),0)</f>
        <v/>
      </c>
      <c r="F862">
        <f>IFERROR(INDEX(PP_Grid[#Data],$DD862,4),0)</f>
        <v/>
      </c>
      <c r="G862">
        <f>IFERROR(INDEX(PP_Grid[#Data],$DD862,5),0)</f>
        <v/>
      </c>
      <c r="H862">
        <f>IFERROR(INDEX(PP_Grid[#Data],$DD862,6),0)</f>
        <v/>
      </c>
      <c r="I862">
        <f>IFERROR(INDEX(PP_Grid[#Data],$DD862,7),0)</f>
        <v/>
      </c>
      <c r="J862">
        <f>IFERROR(INDEX(PP_Grid[#Data],$DD862,8),0)</f>
        <v/>
      </c>
      <c r="K862">
        <f>IFERROR(INDEX(PP_Grid[#Data],$DD862,9),0)</f>
        <v/>
      </c>
      <c r="L862">
        <f>IFERROR(INDEX(PP_Grid[#Data],$DD862,10),0)</f>
        <v/>
      </c>
      <c r="M862">
        <f>IFERROR(INDEX(PP_Grid[#Data],$DD862,11),0)</f>
        <v/>
      </c>
      <c r="N862">
        <f>IFERROR(INDEX(PP_Grid[#Data],$DD862,12),0)</f>
        <v/>
      </c>
      <c r="O862">
        <f>IFERROR(INDEX(PP_Grid[#Data],$DD862,13),0)</f>
        <v/>
      </c>
      <c r="P862">
        <f>IFERROR(INDEX(PP_Grid[#Data],$DD862,14),0)</f>
        <v/>
      </c>
      <c r="Q862">
        <f>IFERROR(INDEX(PP_Grid[#Data],$DD862,15),0)</f>
        <v/>
      </c>
      <c r="R862">
        <f>IFERROR(INDEX(PP_Grid[#Data],$DD862,16),0)</f>
        <v/>
      </c>
      <c r="S862">
        <f>IFERROR(INDEX(PP_Grid[#Data],$DD862,17),0)</f>
        <v/>
      </c>
      <c r="T862">
        <f>IFERROR(INDEX(PP_Grid[#Data],$DD862,18),0)</f>
        <v/>
      </c>
      <c r="U862">
        <f>IFERROR(INDEX(PP_Grid[#Data],$DD862,19),0)</f>
        <v/>
      </c>
      <c r="V862">
        <f>IFERROR(INDEX(PP_Grid[#Data],$DD862,20),0)</f>
        <v/>
      </c>
      <c r="W862">
        <f>IFERROR(INDEX(PP_Grid[#Data],$DD862,21),0)</f>
        <v/>
      </c>
      <c r="X862">
        <f>IFERROR(INDEX(PP_Grid[#Data],$DD862,22),0)</f>
        <v/>
      </c>
      <c r="Y862">
        <f>IFERROR(INDEX(PP_Grid[#Data],$DD862,23),0)</f>
        <v/>
      </c>
      <c r="Z862">
        <f>IFERROR(INDEX(PP_Grid[#Data],$DD862,24),0)</f>
        <v/>
      </c>
      <c r="AA862">
        <f>IFERROR(INDEX(PP_Grid[#Data],$DD862,25),0)</f>
        <v/>
      </c>
      <c r="AB862">
        <f>IFERROR(INDEX(PP_Grid[#Data],$DD862,26),0)</f>
        <v/>
      </c>
      <c r="AC862">
        <f>IFERROR(INDEX(PP_Grid[#Data],$DD862,27),0)</f>
        <v/>
      </c>
      <c r="AD862">
        <f>IFERROR(INDEX(PP_Grid[#Data],$DD862,28),0)</f>
        <v/>
      </c>
      <c r="AE862">
        <f>IFERROR(INDEX(PP_Grid[#Data],$DD862,29),0)</f>
        <v/>
      </c>
      <c r="AF862">
        <f>IFERROR(INDEX(PP_Grid[#Data],$DD862,30),0)</f>
        <v/>
      </c>
      <c r="AG862">
        <f>IFERROR(INDEX(PP_Grid[#Data],$DD862,31),0)</f>
        <v/>
      </c>
      <c r="AH862">
        <f>IFERROR(INDEX(PP_Grid[#Data],$DD862,32),0)</f>
        <v/>
      </c>
      <c r="AI862">
        <f>IFERROR(INDEX(PP_Grid[#Data],$DD862,33),0)</f>
        <v/>
      </c>
      <c r="AJ862">
        <f>IFERROR(INDEX(PP_Grid[#Data],$DD862,34),0)</f>
        <v/>
      </c>
      <c r="AK862">
        <f>IFERROR(INDEX(PP_Grid[#Data],$DD862,35),0)</f>
        <v/>
      </c>
      <c r="AL862">
        <f>IFERROR(INDEX(PP_Grid[#Data],$DD862,36),0)</f>
        <v/>
      </c>
      <c r="AM862">
        <f>IFERROR(INDEX(PP_Grid[#Data],$DD862,37),0)</f>
        <v/>
      </c>
      <c r="AN862">
        <f>IFERROR(INDEX(PP_Grid[#Data],$DD862,38),0)</f>
        <v/>
      </c>
      <c r="AO862">
        <f>IFERROR(INDEX(PP_Grid[#Data],$DD862,39),0)</f>
        <v/>
      </c>
      <c r="AP862">
        <f>IFERROR(INDEX(PP_Grid[#Data],$DD862,40),0)</f>
        <v/>
      </c>
      <c r="AQ862">
        <f>IFERROR(INDEX(PP_Grid[#Data],$DD862,41),0)</f>
        <v/>
      </c>
      <c r="AR862">
        <f>IFERROR(INDEX(PP_Grid[#Data],$DD862,42),0)</f>
        <v/>
      </c>
      <c r="AS862">
        <f>IFERROR(INDEX(PP_Grid[#Data],$DD862,43),0)</f>
        <v/>
      </c>
      <c r="AT862">
        <f>IFERROR(INDEX(PP_Grid[#Data],$DD862,44),0)</f>
        <v/>
      </c>
      <c r="AU862">
        <f>IFERROR(INDEX(PP_Grid[#Data],$DD862,45),0)</f>
        <v/>
      </c>
      <c r="AV862">
        <f>IFERROR(INDEX(PP_Grid[#Data],$DD862,46),0)</f>
        <v/>
      </c>
      <c r="AW862">
        <f>IFERROR(INDEX(PP_Grid[#Data],$DD862,47),0)</f>
        <v/>
      </c>
      <c r="AX862">
        <f>IFERROR(INDEX(PP_Grid[#Data],$DD862,48),0)</f>
        <v/>
      </c>
      <c r="AY862">
        <f>IFERROR(INDEX(PP_Grid[#Data],$DD862,49),0)</f>
        <v/>
      </c>
      <c r="AZ862">
        <f>IFERROR(INDEX(PP_Grid[#Data],$DD862,50),0)</f>
        <v/>
      </c>
      <c r="BA862">
        <f>IFERROR(INDEX(PP_Grid[#Data],$DD862,51),0)</f>
        <v/>
      </c>
      <c r="BB862">
        <f>IFERROR(INDEX(PP_Grid[#Data],$DD862,52),0)</f>
        <v/>
      </c>
      <c r="BC862">
        <f>IFERROR(INDEX(PP_Grid[#Data],$DD862,53),0)</f>
        <v/>
      </c>
      <c r="BD862">
        <f>IFERROR(INDEX(PP_Grid[#Data],$DD862,54),0)</f>
        <v/>
      </c>
      <c r="BE862">
        <f>IFERROR(INDEX(PP_Grid[#Data],$DD862,55),0)</f>
        <v/>
      </c>
      <c r="BF862">
        <f>IFERROR(INDEX(PP_Grid[#Data],$DD862,56),0)</f>
        <v/>
      </c>
      <c r="BG862">
        <f>IFERROR(INDEX(PP_Grid[#Data],$DD862,57),0)</f>
        <v/>
      </c>
      <c r="BH862">
        <f>IFERROR(INDEX(PP_Grid[#Data],$DD862,58),0)</f>
        <v/>
      </c>
      <c r="BI862">
        <f>IFERROR(INDEX(PP_Grid[#Data],$DD862,59),0)</f>
        <v/>
      </c>
      <c r="BJ862">
        <f>IFERROR(INDEX(PP_Grid[#Data],$DD862,60),0)</f>
        <v/>
      </c>
      <c r="BK862">
        <f>IFERROR(INDEX(PP_Grid[#Data],$DD862,61),0)</f>
        <v/>
      </c>
      <c r="BL862">
        <f>IFERROR(INDEX(PP_Grid[#Data],$DD862,62),0)</f>
        <v/>
      </c>
      <c r="BM862">
        <f>IFERROR(INDEX(PP_Grid[#Data],$DD862,63),0)</f>
        <v/>
      </c>
      <c r="BN862">
        <f>IFERROR(INDEX(PP_Grid[#Data],$DD862,64),0)</f>
        <v/>
      </c>
      <c r="BO862">
        <f>IFERROR(INDEX(PP_Grid[#Data],$DD862,65),0)</f>
        <v/>
      </c>
      <c r="BP862">
        <f>IFERROR(INDEX(PP_Grid[#Data],$DD862,66),0)</f>
        <v/>
      </c>
      <c r="BQ862">
        <f>IFERROR(INDEX(PP_Grid[#Data],$DD862,67),0)</f>
        <v/>
      </c>
      <c r="BR862">
        <f>IFERROR(INDEX(PP_Grid[#Data],$DD862,68),0)</f>
        <v/>
      </c>
      <c r="BS862">
        <f>IFERROR(INDEX(PP_Grid[#Data],$DD862,69),0)</f>
        <v/>
      </c>
      <c r="BT862">
        <f>IFERROR(INDEX(PP_Grid[#Data],$DD862,70),0)</f>
        <v/>
      </c>
      <c r="BU862">
        <f>IFERROR(INDEX(PP_Grid[#Data],$DD862,71),0)</f>
        <v/>
      </c>
      <c r="BV862">
        <f>IFERROR(INDEX(PP_Grid[#Data],$DD862,72),0)</f>
        <v/>
      </c>
      <c r="BW862">
        <f>IFERROR(INDEX(PP_Grid[#Data],$DD862,73),0)</f>
        <v/>
      </c>
      <c r="BX862">
        <f>IFERROR(INDEX(PP_Grid[#Data],$DD862,74),0)</f>
        <v/>
      </c>
      <c r="BY862">
        <f>IFERROR(INDEX(PP_Grid[#Data],$DD862,75),0)</f>
        <v/>
      </c>
      <c r="BZ862">
        <f>IFERROR(INDEX(PP_Grid[#Data],$DD862,76),0)</f>
        <v/>
      </c>
      <c r="CA862">
        <f>IFERROR(INDEX(PP_Grid[#Data],$DD862,77),0)</f>
        <v/>
      </c>
      <c r="CB862">
        <f>IFERROR(INDEX(PP_Grid[#Data],$DD862,78),0)</f>
        <v/>
      </c>
      <c r="CC862">
        <f>IFERROR(INDEX(PP_Grid[#Data],$DD862,79),0)</f>
        <v/>
      </c>
      <c r="CD862">
        <f>IFERROR(INDEX(PP_Grid[#Data],$DD862,80),0)</f>
        <v/>
      </c>
      <c r="CE862">
        <f>IFERROR(INDEX(PP_Grid[#Data],$DD862,81),0)</f>
        <v/>
      </c>
      <c r="CF862">
        <f>IFERROR(INDEX(PP_Grid[#Data],$DD862,82),0)</f>
        <v/>
      </c>
      <c r="CG862">
        <f>IFERROR(INDEX(PP_Grid[#Data],$DD862,83),0)</f>
        <v/>
      </c>
      <c r="CH862">
        <f>IFERROR(INDEX(PP_Grid[#Data],$DD862,84),0)</f>
        <v/>
      </c>
      <c r="CI862">
        <f>IFERROR(INDEX(PP_Grid[#Data],$DD862,85),0)</f>
        <v/>
      </c>
      <c r="CJ862">
        <f>IFERROR(INDEX(PP_Grid[#Data],$DD862,86),0)</f>
        <v/>
      </c>
      <c r="CK862">
        <f>IFERROR(INDEX(PP_Grid[#Data],$DD862,87),0)</f>
        <v/>
      </c>
      <c r="CL862">
        <f>IFERROR(INDEX(PP_Grid[#Data],$DD862,88),0)</f>
        <v/>
      </c>
      <c r="CM862">
        <f>IFERROR(INDEX(PP_Grid[#Data],$DD862,89),0)</f>
        <v/>
      </c>
      <c r="CN862">
        <f>IFERROR(INDEX(PP_Grid[#Data],$DD862,90),0)</f>
        <v/>
      </c>
      <c r="CO862">
        <f>IFERROR(INDEX(PP_Grid[#Data],$DD862,91),0)</f>
        <v/>
      </c>
      <c r="CP862">
        <f>IFERROR(INDEX(PP_Grid[#Data],$DD862,92),0)</f>
        <v/>
      </c>
      <c r="CQ862">
        <f>IFERROR(INDEX(PP_Grid[#Data],$DD862,93),0)</f>
        <v/>
      </c>
      <c r="CR862">
        <f>IFERROR(INDEX(PP_Grid[#Data],$DD862,94),0)</f>
        <v/>
      </c>
      <c r="CS862">
        <f>IFERROR(INDEX(PP_Grid[#Data],$DD862,95),0)</f>
        <v/>
      </c>
      <c r="CT862">
        <f>IFERROR(INDEX(PP_Grid[#Data],$DD862,96),0)</f>
        <v/>
      </c>
      <c r="CU862">
        <f>IFERROR(INDEX(PP_Grid[#Data],$DD862,97),0)</f>
        <v/>
      </c>
      <c r="CV862">
        <f>IFERROR(INDEX(PP_Grid[#Data],$DD862,98),0)</f>
        <v/>
      </c>
      <c r="CW862">
        <f>IFERROR(INDEX(PP_Grid[#Data],$DD862,99),0)</f>
        <v/>
      </c>
      <c r="CX862">
        <f>IFERROR(INDEX(PP_Grid[#Data],$DD862,100),0)</f>
        <v/>
      </c>
      <c r="CY862">
        <f>IFERROR(INDEX(PP_Grid[#Data],$DD862,101),0)</f>
        <v/>
      </c>
      <c r="CZ862">
        <f>IFERROR(INDEX(PP_Grid[#Data],$DD862,102),0)</f>
        <v/>
      </c>
      <c r="DA862">
        <f>IFERROR(INDEX(PP_Grid[#Data],$DD862,103),0)</f>
        <v/>
      </c>
      <c r="DB862">
        <f>IFERROR(INDEX(PP_Grid[#Data],$DD862,104),0)</f>
        <v/>
      </c>
      <c r="DC862">
        <f>IFERROR(INDEX(PP_Grid[#Data],$DD862,105),0)</f>
        <v/>
      </c>
      <c r="DD862" s="7">
        <f>IFERROR(MATCH($B862,PP_Grid[Intermediate],0),99999)</f>
        <v/>
      </c>
    </row>
    <row r="863">
      <c r="B863" t="inlineStr">
        <is>
          <t>使用量(kg)</t>
        </is>
      </c>
      <c r="C863">
        <f>SUMIFS(M_BOM[RM_Qty_Per_Batch],M_BOM[Intermediate],$B862,M_BOM[Part Name],$A833)</f>
        <v/>
      </c>
      <c r="D863">
        <f>$C863*D862</f>
        <v/>
      </c>
      <c r="E863">
        <f>$C863*E862</f>
        <v/>
      </c>
      <c r="F863">
        <f>$C863*F862</f>
        <v/>
      </c>
      <c r="G863">
        <f>$C863*G862</f>
        <v/>
      </c>
      <c r="H863">
        <f>$C863*H862</f>
        <v/>
      </c>
      <c r="I863">
        <f>$C863*I862</f>
        <v/>
      </c>
      <c r="J863">
        <f>$C863*J862</f>
        <v/>
      </c>
      <c r="K863">
        <f>$C863*K862</f>
        <v/>
      </c>
      <c r="L863">
        <f>$C863*L862</f>
        <v/>
      </c>
      <c r="M863">
        <f>$C863*M862</f>
        <v/>
      </c>
      <c r="N863">
        <f>$C863*N862</f>
        <v/>
      </c>
      <c r="O863">
        <f>$C863*O862</f>
        <v/>
      </c>
      <c r="P863">
        <f>$C863*P862</f>
        <v/>
      </c>
      <c r="Q863">
        <f>$C863*Q862</f>
        <v/>
      </c>
      <c r="R863">
        <f>$C863*R862</f>
        <v/>
      </c>
      <c r="S863">
        <f>$C863*S862</f>
        <v/>
      </c>
      <c r="T863">
        <f>$C863*T862</f>
        <v/>
      </c>
      <c r="U863">
        <f>$C863*U862</f>
        <v/>
      </c>
      <c r="V863">
        <f>$C863*V862</f>
        <v/>
      </c>
      <c r="W863">
        <f>$C863*W862</f>
        <v/>
      </c>
      <c r="X863">
        <f>$C863*X862</f>
        <v/>
      </c>
      <c r="Y863">
        <f>$C863*Y862</f>
        <v/>
      </c>
      <c r="Z863">
        <f>$C863*Z862</f>
        <v/>
      </c>
      <c r="AA863">
        <f>$C863*AA862</f>
        <v/>
      </c>
      <c r="AB863">
        <f>$C863*AB862</f>
        <v/>
      </c>
      <c r="AC863">
        <f>$C863*AC862</f>
        <v/>
      </c>
      <c r="AD863">
        <f>$C863*AD862</f>
        <v/>
      </c>
      <c r="AE863">
        <f>$C863*AE862</f>
        <v/>
      </c>
      <c r="AF863">
        <f>$C863*AF862</f>
        <v/>
      </c>
      <c r="AG863">
        <f>$C863*AG862</f>
        <v/>
      </c>
      <c r="AH863">
        <f>$C863*AH862</f>
        <v/>
      </c>
      <c r="AI863">
        <f>$C863*AI862</f>
        <v/>
      </c>
      <c r="AJ863">
        <f>$C863*AJ862</f>
        <v/>
      </c>
      <c r="AK863">
        <f>$C863*AK862</f>
        <v/>
      </c>
      <c r="AL863">
        <f>$C863*AL862</f>
        <v/>
      </c>
      <c r="AM863">
        <f>$C863*AM862</f>
        <v/>
      </c>
      <c r="AN863">
        <f>$C863*AN862</f>
        <v/>
      </c>
      <c r="AO863">
        <f>$C863*AO862</f>
        <v/>
      </c>
      <c r="AP863">
        <f>$C863*AP862</f>
        <v/>
      </c>
      <c r="AQ863">
        <f>$C863*AQ862</f>
        <v/>
      </c>
      <c r="AR863">
        <f>$C863*AR862</f>
        <v/>
      </c>
      <c r="AS863">
        <f>$C863*AS862</f>
        <v/>
      </c>
      <c r="AT863">
        <f>$C863*AT862</f>
        <v/>
      </c>
      <c r="AU863">
        <f>$C863*AU862</f>
        <v/>
      </c>
      <c r="AV863">
        <f>$C863*AV862</f>
        <v/>
      </c>
      <c r="AW863">
        <f>$C863*AW862</f>
        <v/>
      </c>
      <c r="AX863">
        <f>$C863*AX862</f>
        <v/>
      </c>
      <c r="AY863">
        <f>$C863*AY862</f>
        <v/>
      </c>
      <c r="AZ863">
        <f>$C863*AZ862</f>
        <v/>
      </c>
      <c r="BA863">
        <f>$C863*BA862</f>
        <v/>
      </c>
      <c r="BB863">
        <f>$C863*BB862</f>
        <v/>
      </c>
      <c r="BC863">
        <f>$C863*BC862</f>
        <v/>
      </c>
      <c r="BD863">
        <f>$C863*BD862</f>
        <v/>
      </c>
      <c r="BE863">
        <f>$C863*BE862</f>
        <v/>
      </c>
      <c r="BF863">
        <f>$C863*BF862</f>
        <v/>
      </c>
      <c r="BG863">
        <f>$C863*BG862</f>
        <v/>
      </c>
      <c r="BH863">
        <f>$C863*BH862</f>
        <v/>
      </c>
      <c r="BI863">
        <f>$C863*BI862</f>
        <v/>
      </c>
      <c r="BJ863">
        <f>$C863*BJ862</f>
        <v/>
      </c>
      <c r="BK863">
        <f>$C863*BK862</f>
        <v/>
      </c>
      <c r="BL863">
        <f>$C863*BL862</f>
        <v/>
      </c>
      <c r="BM863">
        <f>$C863*BM862</f>
        <v/>
      </c>
      <c r="BN863">
        <f>$C863*BN862</f>
        <v/>
      </c>
      <c r="BO863">
        <f>$C863*BO862</f>
        <v/>
      </c>
      <c r="BP863">
        <f>$C863*BP862</f>
        <v/>
      </c>
      <c r="BQ863">
        <f>$C863*BQ862</f>
        <v/>
      </c>
      <c r="BR863">
        <f>$C863*BR862</f>
        <v/>
      </c>
      <c r="BS863">
        <f>$C863*BS862</f>
        <v/>
      </c>
      <c r="BT863">
        <f>$C863*BT862</f>
        <v/>
      </c>
      <c r="BU863">
        <f>$C863*BU862</f>
        <v/>
      </c>
      <c r="BV863">
        <f>$C863*BV862</f>
        <v/>
      </c>
      <c r="BW863">
        <f>$C863*BW862</f>
        <v/>
      </c>
      <c r="BX863">
        <f>$C863*BX862</f>
        <v/>
      </c>
      <c r="BY863">
        <f>$C863*BY862</f>
        <v/>
      </c>
      <c r="BZ863">
        <f>$C863*BZ862</f>
        <v/>
      </c>
      <c r="CA863">
        <f>$C863*CA862</f>
        <v/>
      </c>
      <c r="CB863">
        <f>$C863*CB862</f>
        <v/>
      </c>
      <c r="CC863">
        <f>$C863*CC862</f>
        <v/>
      </c>
      <c r="CD863">
        <f>$C863*CD862</f>
        <v/>
      </c>
      <c r="CE863">
        <f>$C863*CE862</f>
        <v/>
      </c>
      <c r="CF863">
        <f>$C863*CF862</f>
        <v/>
      </c>
      <c r="CG863">
        <f>$C863*CG862</f>
        <v/>
      </c>
      <c r="CH863">
        <f>$C863*CH862</f>
        <v/>
      </c>
      <c r="CI863">
        <f>$C863*CI862</f>
        <v/>
      </c>
      <c r="CJ863">
        <f>$C863*CJ862</f>
        <v/>
      </c>
      <c r="CK863">
        <f>$C863*CK862</f>
        <v/>
      </c>
      <c r="CL863">
        <f>$C863*CL862</f>
        <v/>
      </c>
      <c r="CM863">
        <f>$C863*CM862</f>
        <v/>
      </c>
      <c r="CN863">
        <f>$C863*CN862</f>
        <v/>
      </c>
      <c r="CO863">
        <f>$C863*CO862</f>
        <v/>
      </c>
      <c r="CP863">
        <f>$C863*CP862</f>
        <v/>
      </c>
      <c r="CQ863">
        <f>$C863*CQ862</f>
        <v/>
      </c>
      <c r="CR863">
        <f>$C863*CR862</f>
        <v/>
      </c>
      <c r="CS863">
        <f>$C863*CS862</f>
        <v/>
      </c>
      <c r="CT863">
        <f>$C863*CT862</f>
        <v/>
      </c>
      <c r="CU863">
        <f>$C863*CU862</f>
        <v/>
      </c>
      <c r="CV863">
        <f>$C863*CV862</f>
        <v/>
      </c>
      <c r="CW863">
        <f>$C863*CW862</f>
        <v/>
      </c>
      <c r="CX863">
        <f>$C863*CX862</f>
        <v/>
      </c>
      <c r="CY863">
        <f>$C863*CY862</f>
        <v/>
      </c>
      <c r="CZ863">
        <f>$C863*CZ862</f>
        <v/>
      </c>
      <c r="DA863">
        <f>$C863*DA862</f>
        <v/>
      </c>
      <c r="DB863">
        <f>$C863*DB862</f>
        <v/>
      </c>
      <c r="DC863">
        <f>$C863*DC862</f>
        <v/>
      </c>
    </row>
    <row r="864">
      <c r="B864" t="inlineStr">
        <is>
          <t>TPP-533(98%)</t>
        </is>
      </c>
      <c r="C864" t="inlineStr">
        <is>
          <t>No. of batches</t>
        </is>
      </c>
      <c r="D864">
        <f>IFERROR(INDEX(PP_Grid[#Data],$DD864,2),0)</f>
        <v/>
      </c>
      <c r="E864">
        <f>IFERROR(INDEX(PP_Grid[#Data],$DD864,3),0)</f>
        <v/>
      </c>
      <c r="F864">
        <f>IFERROR(INDEX(PP_Grid[#Data],$DD864,4),0)</f>
        <v/>
      </c>
      <c r="G864">
        <f>IFERROR(INDEX(PP_Grid[#Data],$DD864,5),0)</f>
        <v/>
      </c>
      <c r="H864">
        <f>IFERROR(INDEX(PP_Grid[#Data],$DD864,6),0)</f>
        <v/>
      </c>
      <c r="I864">
        <f>IFERROR(INDEX(PP_Grid[#Data],$DD864,7),0)</f>
        <v/>
      </c>
      <c r="J864">
        <f>IFERROR(INDEX(PP_Grid[#Data],$DD864,8),0)</f>
        <v/>
      </c>
      <c r="K864">
        <f>IFERROR(INDEX(PP_Grid[#Data],$DD864,9),0)</f>
        <v/>
      </c>
      <c r="L864">
        <f>IFERROR(INDEX(PP_Grid[#Data],$DD864,10),0)</f>
        <v/>
      </c>
      <c r="M864">
        <f>IFERROR(INDEX(PP_Grid[#Data],$DD864,11),0)</f>
        <v/>
      </c>
      <c r="N864">
        <f>IFERROR(INDEX(PP_Grid[#Data],$DD864,12),0)</f>
        <v/>
      </c>
      <c r="O864">
        <f>IFERROR(INDEX(PP_Grid[#Data],$DD864,13),0)</f>
        <v/>
      </c>
      <c r="P864">
        <f>IFERROR(INDEX(PP_Grid[#Data],$DD864,14),0)</f>
        <v/>
      </c>
      <c r="Q864">
        <f>IFERROR(INDEX(PP_Grid[#Data],$DD864,15),0)</f>
        <v/>
      </c>
      <c r="R864">
        <f>IFERROR(INDEX(PP_Grid[#Data],$DD864,16),0)</f>
        <v/>
      </c>
      <c r="S864">
        <f>IFERROR(INDEX(PP_Grid[#Data],$DD864,17),0)</f>
        <v/>
      </c>
      <c r="T864">
        <f>IFERROR(INDEX(PP_Grid[#Data],$DD864,18),0)</f>
        <v/>
      </c>
      <c r="U864">
        <f>IFERROR(INDEX(PP_Grid[#Data],$DD864,19),0)</f>
        <v/>
      </c>
      <c r="V864">
        <f>IFERROR(INDEX(PP_Grid[#Data],$DD864,20),0)</f>
        <v/>
      </c>
      <c r="W864">
        <f>IFERROR(INDEX(PP_Grid[#Data],$DD864,21),0)</f>
        <v/>
      </c>
      <c r="X864">
        <f>IFERROR(INDEX(PP_Grid[#Data],$DD864,22),0)</f>
        <v/>
      </c>
      <c r="Y864">
        <f>IFERROR(INDEX(PP_Grid[#Data],$DD864,23),0)</f>
        <v/>
      </c>
      <c r="Z864">
        <f>IFERROR(INDEX(PP_Grid[#Data],$DD864,24),0)</f>
        <v/>
      </c>
      <c r="AA864">
        <f>IFERROR(INDEX(PP_Grid[#Data],$DD864,25),0)</f>
        <v/>
      </c>
      <c r="AB864">
        <f>IFERROR(INDEX(PP_Grid[#Data],$DD864,26),0)</f>
        <v/>
      </c>
      <c r="AC864">
        <f>IFERROR(INDEX(PP_Grid[#Data],$DD864,27),0)</f>
        <v/>
      </c>
      <c r="AD864">
        <f>IFERROR(INDEX(PP_Grid[#Data],$DD864,28),0)</f>
        <v/>
      </c>
      <c r="AE864">
        <f>IFERROR(INDEX(PP_Grid[#Data],$DD864,29),0)</f>
        <v/>
      </c>
      <c r="AF864">
        <f>IFERROR(INDEX(PP_Grid[#Data],$DD864,30),0)</f>
        <v/>
      </c>
      <c r="AG864">
        <f>IFERROR(INDEX(PP_Grid[#Data],$DD864,31),0)</f>
        <v/>
      </c>
      <c r="AH864">
        <f>IFERROR(INDEX(PP_Grid[#Data],$DD864,32),0)</f>
        <v/>
      </c>
      <c r="AI864">
        <f>IFERROR(INDEX(PP_Grid[#Data],$DD864,33),0)</f>
        <v/>
      </c>
      <c r="AJ864">
        <f>IFERROR(INDEX(PP_Grid[#Data],$DD864,34),0)</f>
        <v/>
      </c>
      <c r="AK864">
        <f>IFERROR(INDEX(PP_Grid[#Data],$DD864,35),0)</f>
        <v/>
      </c>
      <c r="AL864">
        <f>IFERROR(INDEX(PP_Grid[#Data],$DD864,36),0)</f>
        <v/>
      </c>
      <c r="AM864">
        <f>IFERROR(INDEX(PP_Grid[#Data],$DD864,37),0)</f>
        <v/>
      </c>
      <c r="AN864">
        <f>IFERROR(INDEX(PP_Grid[#Data],$DD864,38),0)</f>
        <v/>
      </c>
      <c r="AO864">
        <f>IFERROR(INDEX(PP_Grid[#Data],$DD864,39),0)</f>
        <v/>
      </c>
      <c r="AP864">
        <f>IFERROR(INDEX(PP_Grid[#Data],$DD864,40),0)</f>
        <v/>
      </c>
      <c r="AQ864">
        <f>IFERROR(INDEX(PP_Grid[#Data],$DD864,41),0)</f>
        <v/>
      </c>
      <c r="AR864">
        <f>IFERROR(INDEX(PP_Grid[#Data],$DD864,42),0)</f>
        <v/>
      </c>
      <c r="AS864">
        <f>IFERROR(INDEX(PP_Grid[#Data],$DD864,43),0)</f>
        <v/>
      </c>
      <c r="AT864">
        <f>IFERROR(INDEX(PP_Grid[#Data],$DD864,44),0)</f>
        <v/>
      </c>
      <c r="AU864">
        <f>IFERROR(INDEX(PP_Grid[#Data],$DD864,45),0)</f>
        <v/>
      </c>
      <c r="AV864">
        <f>IFERROR(INDEX(PP_Grid[#Data],$DD864,46),0)</f>
        <v/>
      </c>
      <c r="AW864">
        <f>IFERROR(INDEX(PP_Grid[#Data],$DD864,47),0)</f>
        <v/>
      </c>
      <c r="AX864">
        <f>IFERROR(INDEX(PP_Grid[#Data],$DD864,48),0)</f>
        <v/>
      </c>
      <c r="AY864">
        <f>IFERROR(INDEX(PP_Grid[#Data],$DD864,49),0)</f>
        <v/>
      </c>
      <c r="AZ864">
        <f>IFERROR(INDEX(PP_Grid[#Data],$DD864,50),0)</f>
        <v/>
      </c>
      <c r="BA864">
        <f>IFERROR(INDEX(PP_Grid[#Data],$DD864,51),0)</f>
        <v/>
      </c>
      <c r="BB864">
        <f>IFERROR(INDEX(PP_Grid[#Data],$DD864,52),0)</f>
        <v/>
      </c>
      <c r="BC864">
        <f>IFERROR(INDEX(PP_Grid[#Data],$DD864,53),0)</f>
        <v/>
      </c>
      <c r="BD864">
        <f>IFERROR(INDEX(PP_Grid[#Data],$DD864,54),0)</f>
        <v/>
      </c>
      <c r="BE864">
        <f>IFERROR(INDEX(PP_Grid[#Data],$DD864,55),0)</f>
        <v/>
      </c>
      <c r="BF864">
        <f>IFERROR(INDEX(PP_Grid[#Data],$DD864,56),0)</f>
        <v/>
      </c>
      <c r="BG864">
        <f>IFERROR(INDEX(PP_Grid[#Data],$DD864,57),0)</f>
        <v/>
      </c>
      <c r="BH864">
        <f>IFERROR(INDEX(PP_Grid[#Data],$DD864,58),0)</f>
        <v/>
      </c>
      <c r="BI864">
        <f>IFERROR(INDEX(PP_Grid[#Data],$DD864,59),0)</f>
        <v/>
      </c>
      <c r="BJ864">
        <f>IFERROR(INDEX(PP_Grid[#Data],$DD864,60),0)</f>
        <v/>
      </c>
      <c r="BK864">
        <f>IFERROR(INDEX(PP_Grid[#Data],$DD864,61),0)</f>
        <v/>
      </c>
      <c r="BL864">
        <f>IFERROR(INDEX(PP_Grid[#Data],$DD864,62),0)</f>
        <v/>
      </c>
      <c r="BM864">
        <f>IFERROR(INDEX(PP_Grid[#Data],$DD864,63),0)</f>
        <v/>
      </c>
      <c r="BN864">
        <f>IFERROR(INDEX(PP_Grid[#Data],$DD864,64),0)</f>
        <v/>
      </c>
      <c r="BO864">
        <f>IFERROR(INDEX(PP_Grid[#Data],$DD864,65),0)</f>
        <v/>
      </c>
      <c r="BP864">
        <f>IFERROR(INDEX(PP_Grid[#Data],$DD864,66),0)</f>
        <v/>
      </c>
      <c r="BQ864">
        <f>IFERROR(INDEX(PP_Grid[#Data],$DD864,67),0)</f>
        <v/>
      </c>
      <c r="BR864">
        <f>IFERROR(INDEX(PP_Grid[#Data],$DD864,68),0)</f>
        <v/>
      </c>
      <c r="BS864">
        <f>IFERROR(INDEX(PP_Grid[#Data],$DD864,69),0)</f>
        <v/>
      </c>
      <c r="BT864">
        <f>IFERROR(INDEX(PP_Grid[#Data],$DD864,70),0)</f>
        <v/>
      </c>
      <c r="BU864">
        <f>IFERROR(INDEX(PP_Grid[#Data],$DD864,71),0)</f>
        <v/>
      </c>
      <c r="BV864">
        <f>IFERROR(INDEX(PP_Grid[#Data],$DD864,72),0)</f>
        <v/>
      </c>
      <c r="BW864">
        <f>IFERROR(INDEX(PP_Grid[#Data],$DD864,73),0)</f>
        <v/>
      </c>
      <c r="BX864">
        <f>IFERROR(INDEX(PP_Grid[#Data],$DD864,74),0)</f>
        <v/>
      </c>
      <c r="BY864">
        <f>IFERROR(INDEX(PP_Grid[#Data],$DD864,75),0)</f>
        <v/>
      </c>
      <c r="BZ864">
        <f>IFERROR(INDEX(PP_Grid[#Data],$DD864,76),0)</f>
        <v/>
      </c>
      <c r="CA864">
        <f>IFERROR(INDEX(PP_Grid[#Data],$DD864,77),0)</f>
        <v/>
      </c>
      <c r="CB864">
        <f>IFERROR(INDEX(PP_Grid[#Data],$DD864,78),0)</f>
        <v/>
      </c>
      <c r="CC864">
        <f>IFERROR(INDEX(PP_Grid[#Data],$DD864,79),0)</f>
        <v/>
      </c>
      <c r="CD864">
        <f>IFERROR(INDEX(PP_Grid[#Data],$DD864,80),0)</f>
        <v/>
      </c>
      <c r="CE864">
        <f>IFERROR(INDEX(PP_Grid[#Data],$DD864,81),0)</f>
        <v/>
      </c>
      <c r="CF864">
        <f>IFERROR(INDEX(PP_Grid[#Data],$DD864,82),0)</f>
        <v/>
      </c>
      <c r="CG864">
        <f>IFERROR(INDEX(PP_Grid[#Data],$DD864,83),0)</f>
        <v/>
      </c>
      <c r="CH864">
        <f>IFERROR(INDEX(PP_Grid[#Data],$DD864,84),0)</f>
        <v/>
      </c>
      <c r="CI864">
        <f>IFERROR(INDEX(PP_Grid[#Data],$DD864,85),0)</f>
        <v/>
      </c>
      <c r="CJ864">
        <f>IFERROR(INDEX(PP_Grid[#Data],$DD864,86),0)</f>
        <v/>
      </c>
      <c r="CK864">
        <f>IFERROR(INDEX(PP_Grid[#Data],$DD864,87),0)</f>
        <v/>
      </c>
      <c r="CL864">
        <f>IFERROR(INDEX(PP_Grid[#Data],$DD864,88),0)</f>
        <v/>
      </c>
      <c r="CM864">
        <f>IFERROR(INDEX(PP_Grid[#Data],$DD864,89),0)</f>
        <v/>
      </c>
      <c r="CN864">
        <f>IFERROR(INDEX(PP_Grid[#Data],$DD864,90),0)</f>
        <v/>
      </c>
      <c r="CO864">
        <f>IFERROR(INDEX(PP_Grid[#Data],$DD864,91),0)</f>
        <v/>
      </c>
      <c r="CP864">
        <f>IFERROR(INDEX(PP_Grid[#Data],$DD864,92),0)</f>
        <v/>
      </c>
      <c r="CQ864">
        <f>IFERROR(INDEX(PP_Grid[#Data],$DD864,93),0)</f>
        <v/>
      </c>
      <c r="CR864">
        <f>IFERROR(INDEX(PP_Grid[#Data],$DD864,94),0)</f>
        <v/>
      </c>
      <c r="CS864">
        <f>IFERROR(INDEX(PP_Grid[#Data],$DD864,95),0)</f>
        <v/>
      </c>
      <c r="CT864">
        <f>IFERROR(INDEX(PP_Grid[#Data],$DD864,96),0)</f>
        <v/>
      </c>
      <c r="CU864">
        <f>IFERROR(INDEX(PP_Grid[#Data],$DD864,97),0)</f>
        <v/>
      </c>
      <c r="CV864">
        <f>IFERROR(INDEX(PP_Grid[#Data],$DD864,98),0)</f>
        <v/>
      </c>
      <c r="CW864">
        <f>IFERROR(INDEX(PP_Grid[#Data],$DD864,99),0)</f>
        <v/>
      </c>
      <c r="CX864">
        <f>IFERROR(INDEX(PP_Grid[#Data],$DD864,100),0)</f>
        <v/>
      </c>
      <c r="CY864">
        <f>IFERROR(INDEX(PP_Grid[#Data],$DD864,101),0)</f>
        <v/>
      </c>
      <c r="CZ864">
        <f>IFERROR(INDEX(PP_Grid[#Data],$DD864,102),0)</f>
        <v/>
      </c>
      <c r="DA864">
        <f>IFERROR(INDEX(PP_Grid[#Data],$DD864,103),0)</f>
        <v/>
      </c>
      <c r="DB864">
        <f>IFERROR(INDEX(PP_Grid[#Data],$DD864,104),0)</f>
        <v/>
      </c>
      <c r="DC864">
        <f>IFERROR(INDEX(PP_Grid[#Data],$DD864,105),0)</f>
        <v/>
      </c>
      <c r="DD864" s="7">
        <f>IFERROR(MATCH($B864,PP_Grid[Intermediate],0),99999)</f>
        <v/>
      </c>
    </row>
    <row r="865">
      <c r="B865" t="inlineStr">
        <is>
          <t>使用量(kg)</t>
        </is>
      </c>
      <c r="C865">
        <f>SUMIFS(M_BOM[RM_Qty_Per_Batch],M_BOM[Intermediate],$B864,M_BOM[Part Name],$A833)</f>
        <v/>
      </c>
      <c r="D865">
        <f>$C865*D864</f>
        <v/>
      </c>
      <c r="E865">
        <f>$C865*E864</f>
        <v/>
      </c>
      <c r="F865">
        <f>$C865*F864</f>
        <v/>
      </c>
      <c r="G865">
        <f>$C865*G864</f>
        <v/>
      </c>
      <c r="H865">
        <f>$C865*H864</f>
        <v/>
      </c>
      <c r="I865">
        <f>$C865*I864</f>
        <v/>
      </c>
      <c r="J865">
        <f>$C865*J864</f>
        <v/>
      </c>
      <c r="K865">
        <f>$C865*K864</f>
        <v/>
      </c>
      <c r="L865">
        <f>$C865*L864</f>
        <v/>
      </c>
      <c r="M865">
        <f>$C865*M864</f>
        <v/>
      </c>
      <c r="N865">
        <f>$C865*N864</f>
        <v/>
      </c>
      <c r="O865">
        <f>$C865*O864</f>
        <v/>
      </c>
      <c r="P865">
        <f>$C865*P864</f>
        <v/>
      </c>
      <c r="Q865">
        <f>$C865*Q864</f>
        <v/>
      </c>
      <c r="R865">
        <f>$C865*R864</f>
        <v/>
      </c>
      <c r="S865">
        <f>$C865*S864</f>
        <v/>
      </c>
      <c r="T865">
        <f>$C865*T864</f>
        <v/>
      </c>
      <c r="U865">
        <f>$C865*U864</f>
        <v/>
      </c>
      <c r="V865">
        <f>$C865*V864</f>
        <v/>
      </c>
      <c r="W865">
        <f>$C865*W864</f>
        <v/>
      </c>
      <c r="X865">
        <f>$C865*X864</f>
        <v/>
      </c>
      <c r="Y865">
        <f>$C865*Y864</f>
        <v/>
      </c>
      <c r="Z865">
        <f>$C865*Z864</f>
        <v/>
      </c>
      <c r="AA865">
        <f>$C865*AA864</f>
        <v/>
      </c>
      <c r="AB865">
        <f>$C865*AB864</f>
        <v/>
      </c>
      <c r="AC865">
        <f>$C865*AC864</f>
        <v/>
      </c>
      <c r="AD865">
        <f>$C865*AD864</f>
        <v/>
      </c>
      <c r="AE865">
        <f>$C865*AE864</f>
        <v/>
      </c>
      <c r="AF865">
        <f>$C865*AF864</f>
        <v/>
      </c>
      <c r="AG865">
        <f>$C865*AG864</f>
        <v/>
      </c>
      <c r="AH865">
        <f>$C865*AH864</f>
        <v/>
      </c>
      <c r="AI865">
        <f>$C865*AI864</f>
        <v/>
      </c>
      <c r="AJ865">
        <f>$C865*AJ864</f>
        <v/>
      </c>
      <c r="AK865">
        <f>$C865*AK864</f>
        <v/>
      </c>
      <c r="AL865">
        <f>$C865*AL864</f>
        <v/>
      </c>
      <c r="AM865">
        <f>$C865*AM864</f>
        <v/>
      </c>
      <c r="AN865">
        <f>$C865*AN864</f>
        <v/>
      </c>
      <c r="AO865">
        <f>$C865*AO864</f>
        <v/>
      </c>
      <c r="AP865">
        <f>$C865*AP864</f>
        <v/>
      </c>
      <c r="AQ865">
        <f>$C865*AQ864</f>
        <v/>
      </c>
      <c r="AR865">
        <f>$C865*AR864</f>
        <v/>
      </c>
      <c r="AS865">
        <f>$C865*AS864</f>
        <v/>
      </c>
      <c r="AT865">
        <f>$C865*AT864</f>
        <v/>
      </c>
      <c r="AU865">
        <f>$C865*AU864</f>
        <v/>
      </c>
      <c r="AV865">
        <f>$C865*AV864</f>
        <v/>
      </c>
      <c r="AW865">
        <f>$C865*AW864</f>
        <v/>
      </c>
      <c r="AX865">
        <f>$C865*AX864</f>
        <v/>
      </c>
      <c r="AY865">
        <f>$C865*AY864</f>
        <v/>
      </c>
      <c r="AZ865">
        <f>$C865*AZ864</f>
        <v/>
      </c>
      <c r="BA865">
        <f>$C865*BA864</f>
        <v/>
      </c>
      <c r="BB865">
        <f>$C865*BB864</f>
        <v/>
      </c>
      <c r="BC865">
        <f>$C865*BC864</f>
        <v/>
      </c>
      <c r="BD865">
        <f>$C865*BD864</f>
        <v/>
      </c>
      <c r="BE865">
        <f>$C865*BE864</f>
        <v/>
      </c>
      <c r="BF865">
        <f>$C865*BF864</f>
        <v/>
      </c>
      <c r="BG865">
        <f>$C865*BG864</f>
        <v/>
      </c>
      <c r="BH865">
        <f>$C865*BH864</f>
        <v/>
      </c>
      <c r="BI865">
        <f>$C865*BI864</f>
        <v/>
      </c>
      <c r="BJ865">
        <f>$C865*BJ864</f>
        <v/>
      </c>
      <c r="BK865">
        <f>$C865*BK864</f>
        <v/>
      </c>
      <c r="BL865">
        <f>$C865*BL864</f>
        <v/>
      </c>
      <c r="BM865">
        <f>$C865*BM864</f>
        <v/>
      </c>
      <c r="BN865">
        <f>$C865*BN864</f>
        <v/>
      </c>
      <c r="BO865">
        <f>$C865*BO864</f>
        <v/>
      </c>
      <c r="BP865">
        <f>$C865*BP864</f>
        <v/>
      </c>
      <c r="BQ865">
        <f>$C865*BQ864</f>
        <v/>
      </c>
      <c r="BR865">
        <f>$C865*BR864</f>
        <v/>
      </c>
      <c r="BS865">
        <f>$C865*BS864</f>
        <v/>
      </c>
      <c r="BT865">
        <f>$C865*BT864</f>
        <v/>
      </c>
      <c r="BU865">
        <f>$C865*BU864</f>
        <v/>
      </c>
      <c r="BV865">
        <f>$C865*BV864</f>
        <v/>
      </c>
      <c r="BW865">
        <f>$C865*BW864</f>
        <v/>
      </c>
      <c r="BX865">
        <f>$C865*BX864</f>
        <v/>
      </c>
      <c r="BY865">
        <f>$C865*BY864</f>
        <v/>
      </c>
      <c r="BZ865">
        <f>$C865*BZ864</f>
        <v/>
      </c>
      <c r="CA865">
        <f>$C865*CA864</f>
        <v/>
      </c>
      <c r="CB865">
        <f>$C865*CB864</f>
        <v/>
      </c>
      <c r="CC865">
        <f>$C865*CC864</f>
        <v/>
      </c>
      <c r="CD865">
        <f>$C865*CD864</f>
        <v/>
      </c>
      <c r="CE865">
        <f>$C865*CE864</f>
        <v/>
      </c>
      <c r="CF865">
        <f>$C865*CF864</f>
        <v/>
      </c>
      <c r="CG865">
        <f>$C865*CG864</f>
        <v/>
      </c>
      <c r="CH865">
        <f>$C865*CH864</f>
        <v/>
      </c>
      <c r="CI865">
        <f>$C865*CI864</f>
        <v/>
      </c>
      <c r="CJ865">
        <f>$C865*CJ864</f>
        <v/>
      </c>
      <c r="CK865">
        <f>$C865*CK864</f>
        <v/>
      </c>
      <c r="CL865">
        <f>$C865*CL864</f>
        <v/>
      </c>
      <c r="CM865">
        <f>$C865*CM864</f>
        <v/>
      </c>
      <c r="CN865">
        <f>$C865*CN864</f>
        <v/>
      </c>
      <c r="CO865">
        <f>$C865*CO864</f>
        <v/>
      </c>
      <c r="CP865">
        <f>$C865*CP864</f>
        <v/>
      </c>
      <c r="CQ865">
        <f>$C865*CQ864</f>
        <v/>
      </c>
      <c r="CR865">
        <f>$C865*CR864</f>
        <v/>
      </c>
      <c r="CS865">
        <f>$C865*CS864</f>
        <v/>
      </c>
      <c r="CT865">
        <f>$C865*CT864</f>
        <v/>
      </c>
      <c r="CU865">
        <f>$C865*CU864</f>
        <v/>
      </c>
      <c r="CV865">
        <f>$C865*CV864</f>
        <v/>
      </c>
      <c r="CW865">
        <f>$C865*CW864</f>
        <v/>
      </c>
      <c r="CX865">
        <f>$C865*CX864</f>
        <v/>
      </c>
      <c r="CY865">
        <f>$C865*CY864</f>
        <v/>
      </c>
      <c r="CZ865">
        <f>$C865*CZ864</f>
        <v/>
      </c>
      <c r="DA865">
        <f>$C865*DA864</f>
        <v/>
      </c>
      <c r="DB865">
        <f>$C865*DB864</f>
        <v/>
      </c>
      <c r="DC865">
        <f>$C865*DC864</f>
        <v/>
      </c>
    </row>
    <row r="866">
      <c r="B866" t="inlineStr">
        <is>
          <t>TPP-533(A)</t>
        </is>
      </c>
      <c r="C866" t="inlineStr">
        <is>
          <t>No. of batches</t>
        </is>
      </c>
      <c r="D866">
        <f>IFERROR(INDEX(PP_Grid[#Data],$DD866,2),0)</f>
        <v/>
      </c>
      <c r="E866">
        <f>IFERROR(INDEX(PP_Grid[#Data],$DD866,3),0)</f>
        <v/>
      </c>
      <c r="F866">
        <f>IFERROR(INDEX(PP_Grid[#Data],$DD866,4),0)</f>
        <v/>
      </c>
      <c r="G866">
        <f>IFERROR(INDEX(PP_Grid[#Data],$DD866,5),0)</f>
        <v/>
      </c>
      <c r="H866">
        <f>IFERROR(INDEX(PP_Grid[#Data],$DD866,6),0)</f>
        <v/>
      </c>
      <c r="I866">
        <f>IFERROR(INDEX(PP_Grid[#Data],$DD866,7),0)</f>
        <v/>
      </c>
      <c r="J866">
        <f>IFERROR(INDEX(PP_Grid[#Data],$DD866,8),0)</f>
        <v/>
      </c>
      <c r="K866">
        <f>IFERROR(INDEX(PP_Grid[#Data],$DD866,9),0)</f>
        <v/>
      </c>
      <c r="L866">
        <f>IFERROR(INDEX(PP_Grid[#Data],$DD866,10),0)</f>
        <v/>
      </c>
      <c r="M866">
        <f>IFERROR(INDEX(PP_Grid[#Data],$DD866,11),0)</f>
        <v/>
      </c>
      <c r="N866">
        <f>IFERROR(INDEX(PP_Grid[#Data],$DD866,12),0)</f>
        <v/>
      </c>
      <c r="O866">
        <f>IFERROR(INDEX(PP_Grid[#Data],$DD866,13),0)</f>
        <v/>
      </c>
      <c r="P866">
        <f>IFERROR(INDEX(PP_Grid[#Data],$DD866,14),0)</f>
        <v/>
      </c>
      <c r="Q866">
        <f>IFERROR(INDEX(PP_Grid[#Data],$DD866,15),0)</f>
        <v/>
      </c>
      <c r="R866">
        <f>IFERROR(INDEX(PP_Grid[#Data],$DD866,16),0)</f>
        <v/>
      </c>
      <c r="S866">
        <f>IFERROR(INDEX(PP_Grid[#Data],$DD866,17),0)</f>
        <v/>
      </c>
      <c r="T866">
        <f>IFERROR(INDEX(PP_Grid[#Data],$DD866,18),0)</f>
        <v/>
      </c>
      <c r="U866">
        <f>IFERROR(INDEX(PP_Grid[#Data],$DD866,19),0)</f>
        <v/>
      </c>
      <c r="V866">
        <f>IFERROR(INDEX(PP_Grid[#Data],$DD866,20),0)</f>
        <v/>
      </c>
      <c r="W866">
        <f>IFERROR(INDEX(PP_Grid[#Data],$DD866,21),0)</f>
        <v/>
      </c>
      <c r="X866">
        <f>IFERROR(INDEX(PP_Grid[#Data],$DD866,22),0)</f>
        <v/>
      </c>
      <c r="Y866">
        <f>IFERROR(INDEX(PP_Grid[#Data],$DD866,23),0)</f>
        <v/>
      </c>
      <c r="Z866">
        <f>IFERROR(INDEX(PP_Grid[#Data],$DD866,24),0)</f>
        <v/>
      </c>
      <c r="AA866">
        <f>IFERROR(INDEX(PP_Grid[#Data],$DD866,25),0)</f>
        <v/>
      </c>
      <c r="AB866">
        <f>IFERROR(INDEX(PP_Grid[#Data],$DD866,26),0)</f>
        <v/>
      </c>
      <c r="AC866">
        <f>IFERROR(INDEX(PP_Grid[#Data],$DD866,27),0)</f>
        <v/>
      </c>
      <c r="AD866">
        <f>IFERROR(INDEX(PP_Grid[#Data],$DD866,28),0)</f>
        <v/>
      </c>
      <c r="AE866">
        <f>IFERROR(INDEX(PP_Grid[#Data],$DD866,29),0)</f>
        <v/>
      </c>
      <c r="AF866">
        <f>IFERROR(INDEX(PP_Grid[#Data],$DD866,30),0)</f>
        <v/>
      </c>
      <c r="AG866">
        <f>IFERROR(INDEX(PP_Grid[#Data],$DD866,31),0)</f>
        <v/>
      </c>
      <c r="AH866">
        <f>IFERROR(INDEX(PP_Grid[#Data],$DD866,32),0)</f>
        <v/>
      </c>
      <c r="AI866">
        <f>IFERROR(INDEX(PP_Grid[#Data],$DD866,33),0)</f>
        <v/>
      </c>
      <c r="AJ866">
        <f>IFERROR(INDEX(PP_Grid[#Data],$DD866,34),0)</f>
        <v/>
      </c>
      <c r="AK866">
        <f>IFERROR(INDEX(PP_Grid[#Data],$DD866,35),0)</f>
        <v/>
      </c>
      <c r="AL866">
        <f>IFERROR(INDEX(PP_Grid[#Data],$DD866,36),0)</f>
        <v/>
      </c>
      <c r="AM866">
        <f>IFERROR(INDEX(PP_Grid[#Data],$DD866,37),0)</f>
        <v/>
      </c>
      <c r="AN866">
        <f>IFERROR(INDEX(PP_Grid[#Data],$DD866,38),0)</f>
        <v/>
      </c>
      <c r="AO866">
        <f>IFERROR(INDEX(PP_Grid[#Data],$DD866,39),0)</f>
        <v/>
      </c>
      <c r="AP866">
        <f>IFERROR(INDEX(PP_Grid[#Data],$DD866,40),0)</f>
        <v/>
      </c>
      <c r="AQ866">
        <f>IFERROR(INDEX(PP_Grid[#Data],$DD866,41),0)</f>
        <v/>
      </c>
      <c r="AR866">
        <f>IFERROR(INDEX(PP_Grid[#Data],$DD866,42),0)</f>
        <v/>
      </c>
      <c r="AS866">
        <f>IFERROR(INDEX(PP_Grid[#Data],$DD866,43),0)</f>
        <v/>
      </c>
      <c r="AT866">
        <f>IFERROR(INDEX(PP_Grid[#Data],$DD866,44),0)</f>
        <v/>
      </c>
      <c r="AU866">
        <f>IFERROR(INDEX(PP_Grid[#Data],$DD866,45),0)</f>
        <v/>
      </c>
      <c r="AV866">
        <f>IFERROR(INDEX(PP_Grid[#Data],$DD866,46),0)</f>
        <v/>
      </c>
      <c r="AW866">
        <f>IFERROR(INDEX(PP_Grid[#Data],$DD866,47),0)</f>
        <v/>
      </c>
      <c r="AX866">
        <f>IFERROR(INDEX(PP_Grid[#Data],$DD866,48),0)</f>
        <v/>
      </c>
      <c r="AY866">
        <f>IFERROR(INDEX(PP_Grid[#Data],$DD866,49),0)</f>
        <v/>
      </c>
      <c r="AZ866">
        <f>IFERROR(INDEX(PP_Grid[#Data],$DD866,50),0)</f>
        <v/>
      </c>
      <c r="BA866">
        <f>IFERROR(INDEX(PP_Grid[#Data],$DD866,51),0)</f>
        <v/>
      </c>
      <c r="BB866">
        <f>IFERROR(INDEX(PP_Grid[#Data],$DD866,52),0)</f>
        <v/>
      </c>
      <c r="BC866">
        <f>IFERROR(INDEX(PP_Grid[#Data],$DD866,53),0)</f>
        <v/>
      </c>
      <c r="BD866">
        <f>IFERROR(INDEX(PP_Grid[#Data],$DD866,54),0)</f>
        <v/>
      </c>
      <c r="BE866">
        <f>IFERROR(INDEX(PP_Grid[#Data],$DD866,55),0)</f>
        <v/>
      </c>
      <c r="BF866">
        <f>IFERROR(INDEX(PP_Grid[#Data],$DD866,56),0)</f>
        <v/>
      </c>
      <c r="BG866">
        <f>IFERROR(INDEX(PP_Grid[#Data],$DD866,57),0)</f>
        <v/>
      </c>
      <c r="BH866">
        <f>IFERROR(INDEX(PP_Grid[#Data],$DD866,58),0)</f>
        <v/>
      </c>
      <c r="BI866">
        <f>IFERROR(INDEX(PP_Grid[#Data],$DD866,59),0)</f>
        <v/>
      </c>
      <c r="BJ866">
        <f>IFERROR(INDEX(PP_Grid[#Data],$DD866,60),0)</f>
        <v/>
      </c>
      <c r="BK866">
        <f>IFERROR(INDEX(PP_Grid[#Data],$DD866,61),0)</f>
        <v/>
      </c>
      <c r="BL866">
        <f>IFERROR(INDEX(PP_Grid[#Data],$DD866,62),0)</f>
        <v/>
      </c>
      <c r="BM866">
        <f>IFERROR(INDEX(PP_Grid[#Data],$DD866,63),0)</f>
        <v/>
      </c>
      <c r="BN866">
        <f>IFERROR(INDEX(PP_Grid[#Data],$DD866,64),0)</f>
        <v/>
      </c>
      <c r="BO866">
        <f>IFERROR(INDEX(PP_Grid[#Data],$DD866,65),0)</f>
        <v/>
      </c>
      <c r="BP866">
        <f>IFERROR(INDEX(PP_Grid[#Data],$DD866,66),0)</f>
        <v/>
      </c>
      <c r="BQ866">
        <f>IFERROR(INDEX(PP_Grid[#Data],$DD866,67),0)</f>
        <v/>
      </c>
      <c r="BR866">
        <f>IFERROR(INDEX(PP_Grid[#Data],$DD866,68),0)</f>
        <v/>
      </c>
      <c r="BS866">
        <f>IFERROR(INDEX(PP_Grid[#Data],$DD866,69),0)</f>
        <v/>
      </c>
      <c r="BT866">
        <f>IFERROR(INDEX(PP_Grid[#Data],$DD866,70),0)</f>
        <v/>
      </c>
      <c r="BU866">
        <f>IFERROR(INDEX(PP_Grid[#Data],$DD866,71),0)</f>
        <v/>
      </c>
      <c r="BV866">
        <f>IFERROR(INDEX(PP_Grid[#Data],$DD866,72),0)</f>
        <v/>
      </c>
      <c r="BW866">
        <f>IFERROR(INDEX(PP_Grid[#Data],$DD866,73),0)</f>
        <v/>
      </c>
      <c r="BX866">
        <f>IFERROR(INDEX(PP_Grid[#Data],$DD866,74),0)</f>
        <v/>
      </c>
      <c r="BY866">
        <f>IFERROR(INDEX(PP_Grid[#Data],$DD866,75),0)</f>
        <v/>
      </c>
      <c r="BZ866">
        <f>IFERROR(INDEX(PP_Grid[#Data],$DD866,76),0)</f>
        <v/>
      </c>
      <c r="CA866">
        <f>IFERROR(INDEX(PP_Grid[#Data],$DD866,77),0)</f>
        <v/>
      </c>
      <c r="CB866">
        <f>IFERROR(INDEX(PP_Grid[#Data],$DD866,78),0)</f>
        <v/>
      </c>
      <c r="CC866">
        <f>IFERROR(INDEX(PP_Grid[#Data],$DD866,79),0)</f>
        <v/>
      </c>
      <c r="CD866">
        <f>IFERROR(INDEX(PP_Grid[#Data],$DD866,80),0)</f>
        <v/>
      </c>
      <c r="CE866">
        <f>IFERROR(INDEX(PP_Grid[#Data],$DD866,81),0)</f>
        <v/>
      </c>
      <c r="CF866">
        <f>IFERROR(INDEX(PP_Grid[#Data],$DD866,82),0)</f>
        <v/>
      </c>
      <c r="CG866">
        <f>IFERROR(INDEX(PP_Grid[#Data],$DD866,83),0)</f>
        <v/>
      </c>
      <c r="CH866">
        <f>IFERROR(INDEX(PP_Grid[#Data],$DD866,84),0)</f>
        <v/>
      </c>
      <c r="CI866">
        <f>IFERROR(INDEX(PP_Grid[#Data],$DD866,85),0)</f>
        <v/>
      </c>
      <c r="CJ866">
        <f>IFERROR(INDEX(PP_Grid[#Data],$DD866,86),0)</f>
        <v/>
      </c>
      <c r="CK866">
        <f>IFERROR(INDEX(PP_Grid[#Data],$DD866,87),0)</f>
        <v/>
      </c>
      <c r="CL866">
        <f>IFERROR(INDEX(PP_Grid[#Data],$DD866,88),0)</f>
        <v/>
      </c>
      <c r="CM866">
        <f>IFERROR(INDEX(PP_Grid[#Data],$DD866,89),0)</f>
        <v/>
      </c>
      <c r="CN866">
        <f>IFERROR(INDEX(PP_Grid[#Data],$DD866,90),0)</f>
        <v/>
      </c>
      <c r="CO866">
        <f>IFERROR(INDEX(PP_Grid[#Data],$DD866,91),0)</f>
        <v/>
      </c>
      <c r="CP866">
        <f>IFERROR(INDEX(PP_Grid[#Data],$DD866,92),0)</f>
        <v/>
      </c>
      <c r="CQ866">
        <f>IFERROR(INDEX(PP_Grid[#Data],$DD866,93),0)</f>
        <v/>
      </c>
      <c r="CR866">
        <f>IFERROR(INDEX(PP_Grid[#Data],$DD866,94),0)</f>
        <v/>
      </c>
      <c r="CS866">
        <f>IFERROR(INDEX(PP_Grid[#Data],$DD866,95),0)</f>
        <v/>
      </c>
      <c r="CT866">
        <f>IFERROR(INDEX(PP_Grid[#Data],$DD866,96),0)</f>
        <v/>
      </c>
      <c r="CU866">
        <f>IFERROR(INDEX(PP_Grid[#Data],$DD866,97),0)</f>
        <v/>
      </c>
      <c r="CV866">
        <f>IFERROR(INDEX(PP_Grid[#Data],$DD866,98),0)</f>
        <v/>
      </c>
      <c r="CW866">
        <f>IFERROR(INDEX(PP_Grid[#Data],$DD866,99),0)</f>
        <v/>
      </c>
      <c r="CX866">
        <f>IFERROR(INDEX(PP_Grid[#Data],$DD866,100),0)</f>
        <v/>
      </c>
      <c r="CY866">
        <f>IFERROR(INDEX(PP_Grid[#Data],$DD866,101),0)</f>
        <v/>
      </c>
      <c r="CZ866">
        <f>IFERROR(INDEX(PP_Grid[#Data],$DD866,102),0)</f>
        <v/>
      </c>
      <c r="DA866">
        <f>IFERROR(INDEX(PP_Grid[#Data],$DD866,103),0)</f>
        <v/>
      </c>
      <c r="DB866">
        <f>IFERROR(INDEX(PP_Grid[#Data],$DD866,104),0)</f>
        <v/>
      </c>
      <c r="DC866">
        <f>IFERROR(INDEX(PP_Grid[#Data],$DD866,105),0)</f>
        <v/>
      </c>
      <c r="DD866" s="7">
        <f>IFERROR(MATCH($B866,PP_Grid[Intermediate],0),99999)</f>
        <v/>
      </c>
    </row>
    <row r="867">
      <c r="B867" t="inlineStr">
        <is>
          <t>使用量(kg)</t>
        </is>
      </c>
      <c r="C867">
        <f>SUMIFS(M_BOM[RM_Qty_Per_Batch],M_BOM[Intermediate],$B866,M_BOM[Part Name],$A833)</f>
        <v/>
      </c>
      <c r="D867">
        <f>$C867*D866</f>
        <v/>
      </c>
      <c r="E867">
        <f>$C867*E866</f>
        <v/>
      </c>
      <c r="F867">
        <f>$C867*F866</f>
        <v/>
      </c>
      <c r="G867">
        <f>$C867*G866</f>
        <v/>
      </c>
      <c r="H867">
        <f>$C867*H866</f>
        <v/>
      </c>
      <c r="I867">
        <f>$C867*I866</f>
        <v/>
      </c>
      <c r="J867">
        <f>$C867*J866</f>
        <v/>
      </c>
      <c r="K867">
        <f>$C867*K866</f>
        <v/>
      </c>
      <c r="L867">
        <f>$C867*L866</f>
        <v/>
      </c>
      <c r="M867">
        <f>$C867*M866</f>
        <v/>
      </c>
      <c r="N867">
        <f>$C867*N866</f>
        <v/>
      </c>
      <c r="O867">
        <f>$C867*O866</f>
        <v/>
      </c>
      <c r="P867">
        <f>$C867*P866</f>
        <v/>
      </c>
      <c r="Q867">
        <f>$C867*Q866</f>
        <v/>
      </c>
      <c r="R867">
        <f>$C867*R866</f>
        <v/>
      </c>
      <c r="S867">
        <f>$C867*S866</f>
        <v/>
      </c>
      <c r="T867">
        <f>$C867*T866</f>
        <v/>
      </c>
      <c r="U867">
        <f>$C867*U866</f>
        <v/>
      </c>
      <c r="V867">
        <f>$C867*V866</f>
        <v/>
      </c>
      <c r="W867">
        <f>$C867*W866</f>
        <v/>
      </c>
      <c r="X867">
        <f>$C867*X866</f>
        <v/>
      </c>
      <c r="Y867">
        <f>$C867*Y866</f>
        <v/>
      </c>
      <c r="Z867">
        <f>$C867*Z866</f>
        <v/>
      </c>
      <c r="AA867">
        <f>$C867*AA866</f>
        <v/>
      </c>
      <c r="AB867">
        <f>$C867*AB866</f>
        <v/>
      </c>
      <c r="AC867">
        <f>$C867*AC866</f>
        <v/>
      </c>
      <c r="AD867">
        <f>$C867*AD866</f>
        <v/>
      </c>
      <c r="AE867">
        <f>$C867*AE866</f>
        <v/>
      </c>
      <c r="AF867">
        <f>$C867*AF866</f>
        <v/>
      </c>
      <c r="AG867">
        <f>$C867*AG866</f>
        <v/>
      </c>
      <c r="AH867">
        <f>$C867*AH866</f>
        <v/>
      </c>
      <c r="AI867">
        <f>$C867*AI866</f>
        <v/>
      </c>
      <c r="AJ867">
        <f>$C867*AJ866</f>
        <v/>
      </c>
      <c r="AK867">
        <f>$C867*AK866</f>
        <v/>
      </c>
      <c r="AL867">
        <f>$C867*AL866</f>
        <v/>
      </c>
      <c r="AM867">
        <f>$C867*AM866</f>
        <v/>
      </c>
      <c r="AN867">
        <f>$C867*AN866</f>
        <v/>
      </c>
      <c r="AO867">
        <f>$C867*AO866</f>
        <v/>
      </c>
      <c r="AP867">
        <f>$C867*AP866</f>
        <v/>
      </c>
      <c r="AQ867">
        <f>$C867*AQ866</f>
        <v/>
      </c>
      <c r="AR867">
        <f>$C867*AR866</f>
        <v/>
      </c>
      <c r="AS867">
        <f>$C867*AS866</f>
        <v/>
      </c>
      <c r="AT867">
        <f>$C867*AT866</f>
        <v/>
      </c>
      <c r="AU867">
        <f>$C867*AU866</f>
        <v/>
      </c>
      <c r="AV867">
        <f>$C867*AV866</f>
        <v/>
      </c>
      <c r="AW867">
        <f>$C867*AW866</f>
        <v/>
      </c>
      <c r="AX867">
        <f>$C867*AX866</f>
        <v/>
      </c>
      <c r="AY867">
        <f>$C867*AY866</f>
        <v/>
      </c>
      <c r="AZ867">
        <f>$C867*AZ866</f>
        <v/>
      </c>
      <c r="BA867">
        <f>$C867*BA866</f>
        <v/>
      </c>
      <c r="BB867">
        <f>$C867*BB866</f>
        <v/>
      </c>
      <c r="BC867">
        <f>$C867*BC866</f>
        <v/>
      </c>
      <c r="BD867">
        <f>$C867*BD866</f>
        <v/>
      </c>
      <c r="BE867">
        <f>$C867*BE866</f>
        <v/>
      </c>
      <c r="BF867">
        <f>$C867*BF866</f>
        <v/>
      </c>
      <c r="BG867">
        <f>$C867*BG866</f>
        <v/>
      </c>
      <c r="BH867">
        <f>$C867*BH866</f>
        <v/>
      </c>
      <c r="BI867">
        <f>$C867*BI866</f>
        <v/>
      </c>
      <c r="BJ867">
        <f>$C867*BJ866</f>
        <v/>
      </c>
      <c r="BK867">
        <f>$C867*BK866</f>
        <v/>
      </c>
      <c r="BL867">
        <f>$C867*BL866</f>
        <v/>
      </c>
      <c r="BM867">
        <f>$C867*BM866</f>
        <v/>
      </c>
      <c r="BN867">
        <f>$C867*BN866</f>
        <v/>
      </c>
      <c r="BO867">
        <f>$C867*BO866</f>
        <v/>
      </c>
      <c r="BP867">
        <f>$C867*BP866</f>
        <v/>
      </c>
      <c r="BQ867">
        <f>$C867*BQ866</f>
        <v/>
      </c>
      <c r="BR867">
        <f>$C867*BR866</f>
        <v/>
      </c>
      <c r="BS867">
        <f>$C867*BS866</f>
        <v/>
      </c>
      <c r="BT867">
        <f>$C867*BT866</f>
        <v/>
      </c>
      <c r="BU867">
        <f>$C867*BU866</f>
        <v/>
      </c>
      <c r="BV867">
        <f>$C867*BV866</f>
        <v/>
      </c>
      <c r="BW867">
        <f>$C867*BW866</f>
        <v/>
      </c>
      <c r="BX867">
        <f>$C867*BX866</f>
        <v/>
      </c>
      <c r="BY867">
        <f>$C867*BY866</f>
        <v/>
      </c>
      <c r="BZ867">
        <f>$C867*BZ866</f>
        <v/>
      </c>
      <c r="CA867">
        <f>$C867*CA866</f>
        <v/>
      </c>
      <c r="CB867">
        <f>$C867*CB866</f>
        <v/>
      </c>
      <c r="CC867">
        <f>$C867*CC866</f>
        <v/>
      </c>
      <c r="CD867">
        <f>$C867*CD866</f>
        <v/>
      </c>
      <c r="CE867">
        <f>$C867*CE866</f>
        <v/>
      </c>
      <c r="CF867">
        <f>$C867*CF866</f>
        <v/>
      </c>
      <c r="CG867">
        <f>$C867*CG866</f>
        <v/>
      </c>
      <c r="CH867">
        <f>$C867*CH866</f>
        <v/>
      </c>
      <c r="CI867">
        <f>$C867*CI866</f>
        <v/>
      </c>
      <c r="CJ867">
        <f>$C867*CJ866</f>
        <v/>
      </c>
      <c r="CK867">
        <f>$C867*CK866</f>
        <v/>
      </c>
      <c r="CL867">
        <f>$C867*CL866</f>
        <v/>
      </c>
      <c r="CM867">
        <f>$C867*CM866</f>
        <v/>
      </c>
      <c r="CN867">
        <f>$C867*CN866</f>
        <v/>
      </c>
      <c r="CO867">
        <f>$C867*CO866</f>
        <v/>
      </c>
      <c r="CP867">
        <f>$C867*CP866</f>
        <v/>
      </c>
      <c r="CQ867">
        <f>$C867*CQ866</f>
        <v/>
      </c>
      <c r="CR867">
        <f>$C867*CR866</f>
        <v/>
      </c>
      <c r="CS867">
        <f>$C867*CS866</f>
        <v/>
      </c>
      <c r="CT867">
        <f>$C867*CT866</f>
        <v/>
      </c>
      <c r="CU867">
        <f>$C867*CU866</f>
        <v/>
      </c>
      <c r="CV867">
        <f>$C867*CV866</f>
        <v/>
      </c>
      <c r="CW867">
        <f>$C867*CW866</f>
        <v/>
      </c>
      <c r="CX867">
        <f>$C867*CX866</f>
        <v/>
      </c>
      <c r="CY867">
        <f>$C867*CY866</f>
        <v/>
      </c>
      <c r="CZ867">
        <f>$C867*CZ866</f>
        <v/>
      </c>
      <c r="DA867">
        <f>$C867*DA866</f>
        <v/>
      </c>
      <c r="DB867">
        <f>$C867*DB866</f>
        <v/>
      </c>
      <c r="DC867">
        <f>$C867*DC866</f>
        <v/>
      </c>
    </row>
    <row r="868">
      <c r="B868" t="inlineStr">
        <is>
          <t>No of times used</t>
        </is>
      </c>
      <c r="C868" t="inlineStr">
        <is>
          <t>No. of batches</t>
        </is>
      </c>
      <c r="D868">
        <f>IFERROR(INDEX(PP_Grid[#Data],$DD868,2),0)</f>
        <v/>
      </c>
      <c r="E868">
        <f>IFERROR(INDEX(PP_Grid[#Data],$DD868,3),0)</f>
        <v/>
      </c>
      <c r="F868">
        <f>IFERROR(INDEX(PP_Grid[#Data],$DD868,4),0)</f>
        <v/>
      </c>
      <c r="G868">
        <f>IFERROR(INDEX(PP_Grid[#Data],$DD868,5),0)</f>
        <v/>
      </c>
      <c r="H868">
        <f>IFERROR(INDEX(PP_Grid[#Data],$DD868,6),0)</f>
        <v/>
      </c>
      <c r="I868">
        <f>IFERROR(INDEX(PP_Grid[#Data],$DD868,7),0)</f>
        <v/>
      </c>
      <c r="J868">
        <f>IFERROR(INDEX(PP_Grid[#Data],$DD868,8),0)</f>
        <v/>
      </c>
      <c r="K868">
        <f>IFERROR(INDEX(PP_Grid[#Data],$DD868,9),0)</f>
        <v/>
      </c>
      <c r="L868">
        <f>IFERROR(INDEX(PP_Grid[#Data],$DD868,10),0)</f>
        <v/>
      </c>
      <c r="M868">
        <f>IFERROR(INDEX(PP_Grid[#Data],$DD868,11),0)</f>
        <v/>
      </c>
      <c r="N868">
        <f>IFERROR(INDEX(PP_Grid[#Data],$DD868,12),0)</f>
        <v/>
      </c>
      <c r="O868">
        <f>IFERROR(INDEX(PP_Grid[#Data],$DD868,13),0)</f>
        <v/>
      </c>
      <c r="P868">
        <f>IFERROR(INDEX(PP_Grid[#Data],$DD868,14),0)</f>
        <v/>
      </c>
      <c r="Q868">
        <f>IFERROR(INDEX(PP_Grid[#Data],$DD868,15),0)</f>
        <v/>
      </c>
      <c r="R868">
        <f>IFERROR(INDEX(PP_Grid[#Data],$DD868,16),0)</f>
        <v/>
      </c>
      <c r="S868">
        <f>IFERROR(INDEX(PP_Grid[#Data],$DD868,17),0)</f>
        <v/>
      </c>
      <c r="T868">
        <f>IFERROR(INDEX(PP_Grid[#Data],$DD868,18),0)</f>
        <v/>
      </c>
      <c r="U868">
        <f>IFERROR(INDEX(PP_Grid[#Data],$DD868,19),0)</f>
        <v/>
      </c>
      <c r="V868">
        <f>IFERROR(INDEX(PP_Grid[#Data],$DD868,20),0)</f>
        <v/>
      </c>
      <c r="W868">
        <f>IFERROR(INDEX(PP_Grid[#Data],$DD868,21),0)</f>
        <v/>
      </c>
      <c r="X868">
        <f>IFERROR(INDEX(PP_Grid[#Data],$DD868,22),0)</f>
        <v/>
      </c>
      <c r="Y868">
        <f>IFERROR(INDEX(PP_Grid[#Data],$DD868,23),0)</f>
        <v/>
      </c>
      <c r="Z868">
        <f>IFERROR(INDEX(PP_Grid[#Data],$DD868,24),0)</f>
        <v/>
      </c>
      <c r="AA868">
        <f>IFERROR(INDEX(PP_Grid[#Data],$DD868,25),0)</f>
        <v/>
      </c>
      <c r="AB868">
        <f>IFERROR(INDEX(PP_Grid[#Data],$DD868,26),0)</f>
        <v/>
      </c>
      <c r="AC868">
        <f>IFERROR(INDEX(PP_Grid[#Data],$DD868,27),0)</f>
        <v/>
      </c>
      <c r="AD868">
        <f>IFERROR(INDEX(PP_Grid[#Data],$DD868,28),0)</f>
        <v/>
      </c>
      <c r="AE868">
        <f>IFERROR(INDEX(PP_Grid[#Data],$DD868,29),0)</f>
        <v/>
      </c>
      <c r="AF868">
        <f>IFERROR(INDEX(PP_Grid[#Data],$DD868,30),0)</f>
        <v/>
      </c>
      <c r="AG868">
        <f>IFERROR(INDEX(PP_Grid[#Data],$DD868,31),0)</f>
        <v/>
      </c>
      <c r="AH868">
        <f>IFERROR(INDEX(PP_Grid[#Data],$DD868,32),0)</f>
        <v/>
      </c>
      <c r="AI868">
        <f>IFERROR(INDEX(PP_Grid[#Data],$DD868,33),0)</f>
        <v/>
      </c>
      <c r="AJ868">
        <f>IFERROR(INDEX(PP_Grid[#Data],$DD868,34),0)</f>
        <v/>
      </c>
      <c r="AK868">
        <f>IFERROR(INDEX(PP_Grid[#Data],$DD868,35),0)</f>
        <v/>
      </c>
      <c r="AL868">
        <f>IFERROR(INDEX(PP_Grid[#Data],$DD868,36),0)</f>
        <v/>
      </c>
      <c r="AM868">
        <f>IFERROR(INDEX(PP_Grid[#Data],$DD868,37),0)</f>
        <v/>
      </c>
      <c r="AN868">
        <f>IFERROR(INDEX(PP_Grid[#Data],$DD868,38),0)</f>
        <v/>
      </c>
      <c r="AO868">
        <f>IFERROR(INDEX(PP_Grid[#Data],$DD868,39),0)</f>
        <v/>
      </c>
      <c r="AP868">
        <f>IFERROR(INDEX(PP_Grid[#Data],$DD868,40),0)</f>
        <v/>
      </c>
      <c r="AQ868">
        <f>IFERROR(INDEX(PP_Grid[#Data],$DD868,41),0)</f>
        <v/>
      </c>
      <c r="AR868">
        <f>IFERROR(INDEX(PP_Grid[#Data],$DD868,42),0)</f>
        <v/>
      </c>
      <c r="AS868">
        <f>IFERROR(INDEX(PP_Grid[#Data],$DD868,43),0)</f>
        <v/>
      </c>
      <c r="AT868">
        <f>IFERROR(INDEX(PP_Grid[#Data],$DD868,44),0)</f>
        <v/>
      </c>
      <c r="AU868">
        <f>IFERROR(INDEX(PP_Grid[#Data],$DD868,45),0)</f>
        <v/>
      </c>
      <c r="AV868">
        <f>IFERROR(INDEX(PP_Grid[#Data],$DD868,46),0)</f>
        <v/>
      </c>
      <c r="AW868">
        <f>IFERROR(INDEX(PP_Grid[#Data],$DD868,47),0)</f>
        <v/>
      </c>
      <c r="AX868">
        <f>IFERROR(INDEX(PP_Grid[#Data],$DD868,48),0)</f>
        <v/>
      </c>
      <c r="AY868">
        <f>IFERROR(INDEX(PP_Grid[#Data],$DD868,49),0)</f>
        <v/>
      </c>
      <c r="AZ868">
        <f>IFERROR(INDEX(PP_Grid[#Data],$DD868,50),0)</f>
        <v/>
      </c>
      <c r="BA868">
        <f>IFERROR(INDEX(PP_Grid[#Data],$DD868,51),0)</f>
        <v/>
      </c>
      <c r="BB868">
        <f>IFERROR(INDEX(PP_Grid[#Data],$DD868,52),0)</f>
        <v/>
      </c>
      <c r="BC868">
        <f>IFERROR(INDEX(PP_Grid[#Data],$DD868,53),0)</f>
        <v/>
      </c>
      <c r="BD868">
        <f>IFERROR(INDEX(PP_Grid[#Data],$DD868,54),0)</f>
        <v/>
      </c>
      <c r="BE868">
        <f>IFERROR(INDEX(PP_Grid[#Data],$DD868,55),0)</f>
        <v/>
      </c>
      <c r="BF868">
        <f>IFERROR(INDEX(PP_Grid[#Data],$DD868,56),0)</f>
        <v/>
      </c>
      <c r="BG868">
        <f>IFERROR(INDEX(PP_Grid[#Data],$DD868,57),0)</f>
        <v/>
      </c>
      <c r="BH868">
        <f>IFERROR(INDEX(PP_Grid[#Data],$DD868,58),0)</f>
        <v/>
      </c>
      <c r="BI868">
        <f>IFERROR(INDEX(PP_Grid[#Data],$DD868,59),0)</f>
        <v/>
      </c>
      <c r="BJ868">
        <f>IFERROR(INDEX(PP_Grid[#Data],$DD868,60),0)</f>
        <v/>
      </c>
      <c r="BK868">
        <f>IFERROR(INDEX(PP_Grid[#Data],$DD868,61),0)</f>
        <v/>
      </c>
      <c r="BL868">
        <f>IFERROR(INDEX(PP_Grid[#Data],$DD868,62),0)</f>
        <v/>
      </c>
      <c r="BM868">
        <f>IFERROR(INDEX(PP_Grid[#Data],$DD868,63),0)</f>
        <v/>
      </c>
      <c r="BN868">
        <f>IFERROR(INDEX(PP_Grid[#Data],$DD868,64),0)</f>
        <v/>
      </c>
      <c r="BO868">
        <f>IFERROR(INDEX(PP_Grid[#Data],$DD868,65),0)</f>
        <v/>
      </c>
      <c r="BP868">
        <f>IFERROR(INDEX(PP_Grid[#Data],$DD868,66),0)</f>
        <v/>
      </c>
      <c r="BQ868">
        <f>IFERROR(INDEX(PP_Grid[#Data],$DD868,67),0)</f>
        <v/>
      </c>
      <c r="BR868">
        <f>IFERROR(INDEX(PP_Grid[#Data],$DD868,68),0)</f>
        <v/>
      </c>
      <c r="BS868">
        <f>IFERROR(INDEX(PP_Grid[#Data],$DD868,69),0)</f>
        <v/>
      </c>
      <c r="BT868">
        <f>IFERROR(INDEX(PP_Grid[#Data],$DD868,70),0)</f>
        <v/>
      </c>
      <c r="BU868">
        <f>IFERROR(INDEX(PP_Grid[#Data],$DD868,71),0)</f>
        <v/>
      </c>
      <c r="BV868">
        <f>IFERROR(INDEX(PP_Grid[#Data],$DD868,72),0)</f>
        <v/>
      </c>
      <c r="BW868">
        <f>IFERROR(INDEX(PP_Grid[#Data],$DD868,73),0)</f>
        <v/>
      </c>
      <c r="BX868">
        <f>IFERROR(INDEX(PP_Grid[#Data],$DD868,74),0)</f>
        <v/>
      </c>
      <c r="BY868">
        <f>IFERROR(INDEX(PP_Grid[#Data],$DD868,75),0)</f>
        <v/>
      </c>
      <c r="BZ868">
        <f>IFERROR(INDEX(PP_Grid[#Data],$DD868,76),0)</f>
        <v/>
      </c>
      <c r="CA868">
        <f>IFERROR(INDEX(PP_Grid[#Data],$DD868,77),0)</f>
        <v/>
      </c>
      <c r="CB868">
        <f>IFERROR(INDEX(PP_Grid[#Data],$DD868,78),0)</f>
        <v/>
      </c>
      <c r="CC868">
        <f>IFERROR(INDEX(PP_Grid[#Data],$DD868,79),0)</f>
        <v/>
      </c>
      <c r="CD868">
        <f>IFERROR(INDEX(PP_Grid[#Data],$DD868,80),0)</f>
        <v/>
      </c>
      <c r="CE868">
        <f>IFERROR(INDEX(PP_Grid[#Data],$DD868,81),0)</f>
        <v/>
      </c>
      <c r="CF868">
        <f>IFERROR(INDEX(PP_Grid[#Data],$DD868,82),0)</f>
        <v/>
      </c>
      <c r="CG868">
        <f>IFERROR(INDEX(PP_Grid[#Data],$DD868,83),0)</f>
        <v/>
      </c>
      <c r="CH868">
        <f>IFERROR(INDEX(PP_Grid[#Data],$DD868,84),0)</f>
        <v/>
      </c>
      <c r="CI868">
        <f>IFERROR(INDEX(PP_Grid[#Data],$DD868,85),0)</f>
        <v/>
      </c>
      <c r="CJ868">
        <f>IFERROR(INDEX(PP_Grid[#Data],$DD868,86),0)</f>
        <v/>
      </c>
      <c r="CK868">
        <f>IFERROR(INDEX(PP_Grid[#Data],$DD868,87),0)</f>
        <v/>
      </c>
      <c r="CL868">
        <f>IFERROR(INDEX(PP_Grid[#Data],$DD868,88),0)</f>
        <v/>
      </c>
      <c r="CM868">
        <f>IFERROR(INDEX(PP_Grid[#Data],$DD868,89),0)</f>
        <v/>
      </c>
      <c r="CN868">
        <f>IFERROR(INDEX(PP_Grid[#Data],$DD868,90),0)</f>
        <v/>
      </c>
      <c r="CO868">
        <f>IFERROR(INDEX(PP_Grid[#Data],$DD868,91),0)</f>
        <v/>
      </c>
      <c r="CP868">
        <f>IFERROR(INDEX(PP_Grid[#Data],$DD868,92),0)</f>
        <v/>
      </c>
      <c r="CQ868">
        <f>IFERROR(INDEX(PP_Grid[#Data],$DD868,93),0)</f>
        <v/>
      </c>
      <c r="CR868">
        <f>IFERROR(INDEX(PP_Grid[#Data],$DD868,94),0)</f>
        <v/>
      </c>
      <c r="CS868">
        <f>IFERROR(INDEX(PP_Grid[#Data],$DD868,95),0)</f>
        <v/>
      </c>
      <c r="CT868">
        <f>IFERROR(INDEX(PP_Grid[#Data],$DD868,96),0)</f>
        <v/>
      </c>
      <c r="CU868">
        <f>IFERROR(INDEX(PP_Grid[#Data],$DD868,97),0)</f>
        <v/>
      </c>
      <c r="CV868">
        <f>IFERROR(INDEX(PP_Grid[#Data],$DD868,98),0)</f>
        <v/>
      </c>
      <c r="CW868">
        <f>IFERROR(INDEX(PP_Grid[#Data],$DD868,99),0)</f>
        <v/>
      </c>
      <c r="CX868">
        <f>IFERROR(INDEX(PP_Grid[#Data],$DD868,100),0)</f>
        <v/>
      </c>
      <c r="CY868">
        <f>IFERROR(INDEX(PP_Grid[#Data],$DD868,101),0)</f>
        <v/>
      </c>
      <c r="CZ868">
        <f>IFERROR(INDEX(PP_Grid[#Data],$DD868,102),0)</f>
        <v/>
      </c>
      <c r="DA868">
        <f>IFERROR(INDEX(PP_Grid[#Data],$DD868,103),0)</f>
        <v/>
      </c>
      <c r="DB868">
        <f>IFERROR(INDEX(PP_Grid[#Data],$DD868,104),0)</f>
        <v/>
      </c>
      <c r="DC868">
        <f>IFERROR(INDEX(PP_Grid[#Data],$DD868,105),0)</f>
        <v/>
      </c>
      <c r="DD868" s="7">
        <f>IFERROR(MATCH($B868,PP_Grid[Intermediate],0),99999)</f>
        <v/>
      </c>
    </row>
    <row r="869">
      <c r="B869" t="inlineStr">
        <is>
          <t>使用量(kg)</t>
        </is>
      </c>
      <c r="C869">
        <f>SUMIFS(M_BOM[RM_Qty_Per_Batch],M_BOM[Intermediate],$B868,M_BOM[Part Name],$A833)</f>
        <v/>
      </c>
      <c r="D869">
        <f>$C869*D868</f>
        <v/>
      </c>
      <c r="E869">
        <f>$C869*E868</f>
        <v/>
      </c>
      <c r="F869">
        <f>$C869*F868</f>
        <v/>
      </c>
      <c r="G869">
        <f>$C869*G868</f>
        <v/>
      </c>
      <c r="H869">
        <f>$C869*H868</f>
        <v/>
      </c>
      <c r="I869">
        <f>$C869*I868</f>
        <v/>
      </c>
      <c r="J869">
        <f>$C869*J868</f>
        <v/>
      </c>
      <c r="K869">
        <f>$C869*K868</f>
        <v/>
      </c>
      <c r="L869">
        <f>$C869*L868</f>
        <v/>
      </c>
      <c r="M869">
        <f>$C869*M868</f>
        <v/>
      </c>
      <c r="N869">
        <f>$C869*N868</f>
        <v/>
      </c>
      <c r="O869">
        <f>$C869*O868</f>
        <v/>
      </c>
      <c r="P869">
        <f>$C869*P868</f>
        <v/>
      </c>
      <c r="Q869">
        <f>$C869*Q868</f>
        <v/>
      </c>
      <c r="R869">
        <f>$C869*R868</f>
        <v/>
      </c>
      <c r="S869">
        <f>$C869*S868</f>
        <v/>
      </c>
      <c r="T869">
        <f>$C869*T868</f>
        <v/>
      </c>
      <c r="U869">
        <f>$C869*U868</f>
        <v/>
      </c>
      <c r="V869">
        <f>$C869*V868</f>
        <v/>
      </c>
      <c r="W869">
        <f>$C869*W868</f>
        <v/>
      </c>
      <c r="X869">
        <f>$C869*X868</f>
        <v/>
      </c>
      <c r="Y869">
        <f>$C869*Y868</f>
        <v/>
      </c>
      <c r="Z869">
        <f>$C869*Z868</f>
        <v/>
      </c>
      <c r="AA869">
        <f>$C869*AA868</f>
        <v/>
      </c>
      <c r="AB869">
        <f>$C869*AB868</f>
        <v/>
      </c>
      <c r="AC869">
        <f>$C869*AC868</f>
        <v/>
      </c>
      <c r="AD869">
        <f>$C869*AD868</f>
        <v/>
      </c>
      <c r="AE869">
        <f>$C869*AE868</f>
        <v/>
      </c>
      <c r="AF869">
        <f>$C869*AF868</f>
        <v/>
      </c>
      <c r="AG869">
        <f>$C869*AG868</f>
        <v/>
      </c>
      <c r="AH869">
        <f>$C869*AH868</f>
        <v/>
      </c>
      <c r="AI869">
        <f>$C869*AI868</f>
        <v/>
      </c>
      <c r="AJ869">
        <f>$C869*AJ868</f>
        <v/>
      </c>
      <c r="AK869">
        <f>$C869*AK868</f>
        <v/>
      </c>
      <c r="AL869">
        <f>$C869*AL868</f>
        <v/>
      </c>
      <c r="AM869">
        <f>$C869*AM868</f>
        <v/>
      </c>
      <c r="AN869">
        <f>$C869*AN868</f>
        <v/>
      </c>
      <c r="AO869">
        <f>$C869*AO868</f>
        <v/>
      </c>
      <c r="AP869">
        <f>$C869*AP868</f>
        <v/>
      </c>
      <c r="AQ869">
        <f>$C869*AQ868</f>
        <v/>
      </c>
      <c r="AR869">
        <f>$C869*AR868</f>
        <v/>
      </c>
      <c r="AS869">
        <f>$C869*AS868</f>
        <v/>
      </c>
      <c r="AT869">
        <f>$C869*AT868</f>
        <v/>
      </c>
      <c r="AU869">
        <f>$C869*AU868</f>
        <v/>
      </c>
      <c r="AV869">
        <f>$C869*AV868</f>
        <v/>
      </c>
      <c r="AW869">
        <f>$C869*AW868</f>
        <v/>
      </c>
      <c r="AX869">
        <f>$C869*AX868</f>
        <v/>
      </c>
      <c r="AY869">
        <f>$C869*AY868</f>
        <v/>
      </c>
      <c r="AZ869">
        <f>$C869*AZ868</f>
        <v/>
      </c>
      <c r="BA869">
        <f>$C869*BA868</f>
        <v/>
      </c>
      <c r="BB869">
        <f>$C869*BB868</f>
        <v/>
      </c>
      <c r="BC869">
        <f>$C869*BC868</f>
        <v/>
      </c>
      <c r="BD869">
        <f>$C869*BD868</f>
        <v/>
      </c>
      <c r="BE869">
        <f>$C869*BE868</f>
        <v/>
      </c>
      <c r="BF869">
        <f>$C869*BF868</f>
        <v/>
      </c>
      <c r="BG869">
        <f>$C869*BG868</f>
        <v/>
      </c>
      <c r="BH869">
        <f>$C869*BH868</f>
        <v/>
      </c>
      <c r="BI869">
        <f>$C869*BI868</f>
        <v/>
      </c>
      <c r="BJ869">
        <f>$C869*BJ868</f>
        <v/>
      </c>
      <c r="BK869">
        <f>$C869*BK868</f>
        <v/>
      </c>
      <c r="BL869">
        <f>$C869*BL868</f>
        <v/>
      </c>
      <c r="BM869">
        <f>$C869*BM868</f>
        <v/>
      </c>
      <c r="BN869">
        <f>$C869*BN868</f>
        <v/>
      </c>
      <c r="BO869">
        <f>$C869*BO868</f>
        <v/>
      </c>
      <c r="BP869">
        <f>$C869*BP868</f>
        <v/>
      </c>
      <c r="BQ869">
        <f>$C869*BQ868</f>
        <v/>
      </c>
      <c r="BR869">
        <f>$C869*BR868</f>
        <v/>
      </c>
      <c r="BS869">
        <f>$C869*BS868</f>
        <v/>
      </c>
      <c r="BT869">
        <f>$C869*BT868</f>
        <v/>
      </c>
      <c r="BU869">
        <f>$C869*BU868</f>
        <v/>
      </c>
      <c r="BV869">
        <f>$C869*BV868</f>
        <v/>
      </c>
      <c r="BW869">
        <f>$C869*BW868</f>
        <v/>
      </c>
      <c r="BX869">
        <f>$C869*BX868</f>
        <v/>
      </c>
      <c r="BY869">
        <f>$C869*BY868</f>
        <v/>
      </c>
      <c r="BZ869">
        <f>$C869*BZ868</f>
        <v/>
      </c>
      <c r="CA869">
        <f>$C869*CA868</f>
        <v/>
      </c>
      <c r="CB869">
        <f>$C869*CB868</f>
        <v/>
      </c>
      <c r="CC869">
        <f>$C869*CC868</f>
        <v/>
      </c>
      <c r="CD869">
        <f>$C869*CD868</f>
        <v/>
      </c>
      <c r="CE869">
        <f>$C869*CE868</f>
        <v/>
      </c>
      <c r="CF869">
        <f>$C869*CF868</f>
        <v/>
      </c>
      <c r="CG869">
        <f>$C869*CG868</f>
        <v/>
      </c>
      <c r="CH869">
        <f>$C869*CH868</f>
        <v/>
      </c>
      <c r="CI869">
        <f>$C869*CI868</f>
        <v/>
      </c>
      <c r="CJ869">
        <f>$C869*CJ868</f>
        <v/>
      </c>
      <c r="CK869">
        <f>$C869*CK868</f>
        <v/>
      </c>
      <c r="CL869">
        <f>$C869*CL868</f>
        <v/>
      </c>
      <c r="CM869">
        <f>$C869*CM868</f>
        <v/>
      </c>
      <c r="CN869">
        <f>$C869*CN868</f>
        <v/>
      </c>
      <c r="CO869">
        <f>$C869*CO868</f>
        <v/>
      </c>
      <c r="CP869">
        <f>$C869*CP868</f>
        <v/>
      </c>
      <c r="CQ869">
        <f>$C869*CQ868</f>
        <v/>
      </c>
      <c r="CR869">
        <f>$C869*CR868</f>
        <v/>
      </c>
      <c r="CS869">
        <f>$C869*CS868</f>
        <v/>
      </c>
      <c r="CT869">
        <f>$C869*CT868</f>
        <v/>
      </c>
      <c r="CU869">
        <f>$C869*CU868</f>
        <v/>
      </c>
      <c r="CV869">
        <f>$C869*CV868</f>
        <v/>
      </c>
      <c r="CW869">
        <f>$C869*CW868</f>
        <v/>
      </c>
      <c r="CX869">
        <f>$C869*CX868</f>
        <v/>
      </c>
      <c r="CY869">
        <f>$C869*CY868</f>
        <v/>
      </c>
      <c r="CZ869">
        <f>$C869*CZ868</f>
        <v/>
      </c>
      <c r="DA869">
        <f>$C869*DA868</f>
        <v/>
      </c>
      <c r="DB869">
        <f>$C869*DB868</f>
        <v/>
      </c>
      <c r="DC869">
        <f>$C869*DC868</f>
        <v/>
      </c>
    </row>
    <row r="870">
      <c r="B870" t="inlineStr">
        <is>
          <t>TSP-1449</t>
        </is>
      </c>
      <c r="C870" t="inlineStr">
        <is>
          <t>No. of batches</t>
        </is>
      </c>
      <c r="D870">
        <f>IFERROR(INDEX(PP_Grid[#Data],$DD870,2),0)</f>
        <v/>
      </c>
      <c r="E870">
        <f>IFERROR(INDEX(PP_Grid[#Data],$DD870,3),0)</f>
        <v/>
      </c>
      <c r="F870">
        <f>IFERROR(INDEX(PP_Grid[#Data],$DD870,4),0)</f>
        <v/>
      </c>
      <c r="G870">
        <f>IFERROR(INDEX(PP_Grid[#Data],$DD870,5),0)</f>
        <v/>
      </c>
      <c r="H870">
        <f>IFERROR(INDEX(PP_Grid[#Data],$DD870,6),0)</f>
        <v/>
      </c>
      <c r="I870">
        <f>IFERROR(INDEX(PP_Grid[#Data],$DD870,7),0)</f>
        <v/>
      </c>
      <c r="J870">
        <f>IFERROR(INDEX(PP_Grid[#Data],$DD870,8),0)</f>
        <v/>
      </c>
      <c r="K870">
        <f>IFERROR(INDEX(PP_Grid[#Data],$DD870,9),0)</f>
        <v/>
      </c>
      <c r="L870">
        <f>IFERROR(INDEX(PP_Grid[#Data],$DD870,10),0)</f>
        <v/>
      </c>
      <c r="M870">
        <f>IFERROR(INDEX(PP_Grid[#Data],$DD870,11),0)</f>
        <v/>
      </c>
      <c r="N870">
        <f>IFERROR(INDEX(PP_Grid[#Data],$DD870,12),0)</f>
        <v/>
      </c>
      <c r="O870">
        <f>IFERROR(INDEX(PP_Grid[#Data],$DD870,13),0)</f>
        <v/>
      </c>
      <c r="P870">
        <f>IFERROR(INDEX(PP_Grid[#Data],$DD870,14),0)</f>
        <v/>
      </c>
      <c r="Q870">
        <f>IFERROR(INDEX(PP_Grid[#Data],$DD870,15),0)</f>
        <v/>
      </c>
      <c r="R870">
        <f>IFERROR(INDEX(PP_Grid[#Data],$DD870,16),0)</f>
        <v/>
      </c>
      <c r="S870">
        <f>IFERROR(INDEX(PP_Grid[#Data],$DD870,17),0)</f>
        <v/>
      </c>
      <c r="T870">
        <f>IFERROR(INDEX(PP_Grid[#Data],$DD870,18),0)</f>
        <v/>
      </c>
      <c r="U870">
        <f>IFERROR(INDEX(PP_Grid[#Data],$DD870,19),0)</f>
        <v/>
      </c>
      <c r="V870">
        <f>IFERROR(INDEX(PP_Grid[#Data],$DD870,20),0)</f>
        <v/>
      </c>
      <c r="W870">
        <f>IFERROR(INDEX(PP_Grid[#Data],$DD870,21),0)</f>
        <v/>
      </c>
      <c r="X870">
        <f>IFERROR(INDEX(PP_Grid[#Data],$DD870,22),0)</f>
        <v/>
      </c>
      <c r="Y870">
        <f>IFERROR(INDEX(PP_Grid[#Data],$DD870,23),0)</f>
        <v/>
      </c>
      <c r="Z870">
        <f>IFERROR(INDEX(PP_Grid[#Data],$DD870,24),0)</f>
        <v/>
      </c>
      <c r="AA870">
        <f>IFERROR(INDEX(PP_Grid[#Data],$DD870,25),0)</f>
        <v/>
      </c>
      <c r="AB870">
        <f>IFERROR(INDEX(PP_Grid[#Data],$DD870,26),0)</f>
        <v/>
      </c>
      <c r="AC870">
        <f>IFERROR(INDEX(PP_Grid[#Data],$DD870,27),0)</f>
        <v/>
      </c>
      <c r="AD870">
        <f>IFERROR(INDEX(PP_Grid[#Data],$DD870,28),0)</f>
        <v/>
      </c>
      <c r="AE870">
        <f>IFERROR(INDEX(PP_Grid[#Data],$DD870,29),0)</f>
        <v/>
      </c>
      <c r="AF870">
        <f>IFERROR(INDEX(PP_Grid[#Data],$DD870,30),0)</f>
        <v/>
      </c>
      <c r="AG870">
        <f>IFERROR(INDEX(PP_Grid[#Data],$DD870,31),0)</f>
        <v/>
      </c>
      <c r="AH870">
        <f>IFERROR(INDEX(PP_Grid[#Data],$DD870,32),0)</f>
        <v/>
      </c>
      <c r="AI870">
        <f>IFERROR(INDEX(PP_Grid[#Data],$DD870,33),0)</f>
        <v/>
      </c>
      <c r="AJ870">
        <f>IFERROR(INDEX(PP_Grid[#Data],$DD870,34),0)</f>
        <v/>
      </c>
      <c r="AK870">
        <f>IFERROR(INDEX(PP_Grid[#Data],$DD870,35),0)</f>
        <v/>
      </c>
      <c r="AL870">
        <f>IFERROR(INDEX(PP_Grid[#Data],$DD870,36),0)</f>
        <v/>
      </c>
      <c r="AM870">
        <f>IFERROR(INDEX(PP_Grid[#Data],$DD870,37),0)</f>
        <v/>
      </c>
      <c r="AN870">
        <f>IFERROR(INDEX(PP_Grid[#Data],$DD870,38),0)</f>
        <v/>
      </c>
      <c r="AO870">
        <f>IFERROR(INDEX(PP_Grid[#Data],$DD870,39),0)</f>
        <v/>
      </c>
      <c r="AP870">
        <f>IFERROR(INDEX(PP_Grid[#Data],$DD870,40),0)</f>
        <v/>
      </c>
      <c r="AQ870">
        <f>IFERROR(INDEX(PP_Grid[#Data],$DD870,41),0)</f>
        <v/>
      </c>
      <c r="AR870">
        <f>IFERROR(INDEX(PP_Grid[#Data],$DD870,42),0)</f>
        <v/>
      </c>
      <c r="AS870">
        <f>IFERROR(INDEX(PP_Grid[#Data],$DD870,43),0)</f>
        <v/>
      </c>
      <c r="AT870">
        <f>IFERROR(INDEX(PP_Grid[#Data],$DD870,44),0)</f>
        <v/>
      </c>
      <c r="AU870">
        <f>IFERROR(INDEX(PP_Grid[#Data],$DD870,45),0)</f>
        <v/>
      </c>
      <c r="AV870">
        <f>IFERROR(INDEX(PP_Grid[#Data],$DD870,46),0)</f>
        <v/>
      </c>
      <c r="AW870">
        <f>IFERROR(INDEX(PP_Grid[#Data],$DD870,47),0)</f>
        <v/>
      </c>
      <c r="AX870">
        <f>IFERROR(INDEX(PP_Grid[#Data],$DD870,48),0)</f>
        <v/>
      </c>
      <c r="AY870">
        <f>IFERROR(INDEX(PP_Grid[#Data],$DD870,49),0)</f>
        <v/>
      </c>
      <c r="AZ870">
        <f>IFERROR(INDEX(PP_Grid[#Data],$DD870,50),0)</f>
        <v/>
      </c>
      <c r="BA870">
        <f>IFERROR(INDEX(PP_Grid[#Data],$DD870,51),0)</f>
        <v/>
      </c>
      <c r="BB870">
        <f>IFERROR(INDEX(PP_Grid[#Data],$DD870,52),0)</f>
        <v/>
      </c>
      <c r="BC870">
        <f>IFERROR(INDEX(PP_Grid[#Data],$DD870,53),0)</f>
        <v/>
      </c>
      <c r="BD870">
        <f>IFERROR(INDEX(PP_Grid[#Data],$DD870,54),0)</f>
        <v/>
      </c>
      <c r="BE870">
        <f>IFERROR(INDEX(PP_Grid[#Data],$DD870,55),0)</f>
        <v/>
      </c>
      <c r="BF870">
        <f>IFERROR(INDEX(PP_Grid[#Data],$DD870,56),0)</f>
        <v/>
      </c>
      <c r="BG870">
        <f>IFERROR(INDEX(PP_Grid[#Data],$DD870,57),0)</f>
        <v/>
      </c>
      <c r="BH870">
        <f>IFERROR(INDEX(PP_Grid[#Data],$DD870,58),0)</f>
        <v/>
      </c>
      <c r="BI870">
        <f>IFERROR(INDEX(PP_Grid[#Data],$DD870,59),0)</f>
        <v/>
      </c>
      <c r="BJ870">
        <f>IFERROR(INDEX(PP_Grid[#Data],$DD870,60),0)</f>
        <v/>
      </c>
      <c r="BK870">
        <f>IFERROR(INDEX(PP_Grid[#Data],$DD870,61),0)</f>
        <v/>
      </c>
      <c r="BL870">
        <f>IFERROR(INDEX(PP_Grid[#Data],$DD870,62),0)</f>
        <v/>
      </c>
      <c r="BM870">
        <f>IFERROR(INDEX(PP_Grid[#Data],$DD870,63),0)</f>
        <v/>
      </c>
      <c r="BN870">
        <f>IFERROR(INDEX(PP_Grid[#Data],$DD870,64),0)</f>
        <v/>
      </c>
      <c r="BO870">
        <f>IFERROR(INDEX(PP_Grid[#Data],$DD870,65),0)</f>
        <v/>
      </c>
      <c r="BP870">
        <f>IFERROR(INDEX(PP_Grid[#Data],$DD870,66),0)</f>
        <v/>
      </c>
      <c r="BQ870">
        <f>IFERROR(INDEX(PP_Grid[#Data],$DD870,67),0)</f>
        <v/>
      </c>
      <c r="BR870">
        <f>IFERROR(INDEX(PP_Grid[#Data],$DD870,68),0)</f>
        <v/>
      </c>
      <c r="BS870">
        <f>IFERROR(INDEX(PP_Grid[#Data],$DD870,69),0)</f>
        <v/>
      </c>
      <c r="BT870">
        <f>IFERROR(INDEX(PP_Grid[#Data],$DD870,70),0)</f>
        <v/>
      </c>
      <c r="BU870">
        <f>IFERROR(INDEX(PP_Grid[#Data],$DD870,71),0)</f>
        <v/>
      </c>
      <c r="BV870">
        <f>IFERROR(INDEX(PP_Grid[#Data],$DD870,72),0)</f>
        <v/>
      </c>
      <c r="BW870">
        <f>IFERROR(INDEX(PP_Grid[#Data],$DD870,73),0)</f>
        <v/>
      </c>
      <c r="BX870">
        <f>IFERROR(INDEX(PP_Grid[#Data],$DD870,74),0)</f>
        <v/>
      </c>
      <c r="BY870">
        <f>IFERROR(INDEX(PP_Grid[#Data],$DD870,75),0)</f>
        <v/>
      </c>
      <c r="BZ870">
        <f>IFERROR(INDEX(PP_Grid[#Data],$DD870,76),0)</f>
        <v/>
      </c>
      <c r="CA870">
        <f>IFERROR(INDEX(PP_Grid[#Data],$DD870,77),0)</f>
        <v/>
      </c>
      <c r="CB870">
        <f>IFERROR(INDEX(PP_Grid[#Data],$DD870,78),0)</f>
        <v/>
      </c>
      <c r="CC870">
        <f>IFERROR(INDEX(PP_Grid[#Data],$DD870,79),0)</f>
        <v/>
      </c>
      <c r="CD870">
        <f>IFERROR(INDEX(PP_Grid[#Data],$DD870,80),0)</f>
        <v/>
      </c>
      <c r="CE870">
        <f>IFERROR(INDEX(PP_Grid[#Data],$DD870,81),0)</f>
        <v/>
      </c>
      <c r="CF870">
        <f>IFERROR(INDEX(PP_Grid[#Data],$DD870,82),0)</f>
        <v/>
      </c>
      <c r="CG870">
        <f>IFERROR(INDEX(PP_Grid[#Data],$DD870,83),0)</f>
        <v/>
      </c>
      <c r="CH870">
        <f>IFERROR(INDEX(PP_Grid[#Data],$DD870,84),0)</f>
        <v/>
      </c>
      <c r="CI870">
        <f>IFERROR(INDEX(PP_Grid[#Data],$DD870,85),0)</f>
        <v/>
      </c>
      <c r="CJ870">
        <f>IFERROR(INDEX(PP_Grid[#Data],$DD870,86),0)</f>
        <v/>
      </c>
      <c r="CK870">
        <f>IFERROR(INDEX(PP_Grid[#Data],$DD870,87),0)</f>
        <v/>
      </c>
      <c r="CL870">
        <f>IFERROR(INDEX(PP_Grid[#Data],$DD870,88),0)</f>
        <v/>
      </c>
      <c r="CM870">
        <f>IFERROR(INDEX(PP_Grid[#Data],$DD870,89),0)</f>
        <v/>
      </c>
      <c r="CN870">
        <f>IFERROR(INDEX(PP_Grid[#Data],$DD870,90),0)</f>
        <v/>
      </c>
      <c r="CO870">
        <f>IFERROR(INDEX(PP_Grid[#Data],$DD870,91),0)</f>
        <v/>
      </c>
      <c r="CP870">
        <f>IFERROR(INDEX(PP_Grid[#Data],$DD870,92),0)</f>
        <v/>
      </c>
      <c r="CQ870">
        <f>IFERROR(INDEX(PP_Grid[#Data],$DD870,93),0)</f>
        <v/>
      </c>
      <c r="CR870">
        <f>IFERROR(INDEX(PP_Grid[#Data],$DD870,94),0)</f>
        <v/>
      </c>
      <c r="CS870">
        <f>IFERROR(INDEX(PP_Grid[#Data],$DD870,95),0)</f>
        <v/>
      </c>
      <c r="CT870">
        <f>IFERROR(INDEX(PP_Grid[#Data],$DD870,96),0)</f>
        <v/>
      </c>
      <c r="CU870">
        <f>IFERROR(INDEX(PP_Grid[#Data],$DD870,97),0)</f>
        <v/>
      </c>
      <c r="CV870">
        <f>IFERROR(INDEX(PP_Grid[#Data],$DD870,98),0)</f>
        <v/>
      </c>
      <c r="CW870">
        <f>IFERROR(INDEX(PP_Grid[#Data],$DD870,99),0)</f>
        <v/>
      </c>
      <c r="CX870">
        <f>IFERROR(INDEX(PP_Grid[#Data],$DD870,100),0)</f>
        <v/>
      </c>
      <c r="CY870">
        <f>IFERROR(INDEX(PP_Grid[#Data],$DD870,101),0)</f>
        <v/>
      </c>
      <c r="CZ870">
        <f>IFERROR(INDEX(PP_Grid[#Data],$DD870,102),0)</f>
        <v/>
      </c>
      <c r="DA870">
        <f>IFERROR(INDEX(PP_Grid[#Data],$DD870,103),0)</f>
        <v/>
      </c>
      <c r="DB870">
        <f>IFERROR(INDEX(PP_Grid[#Data],$DD870,104),0)</f>
        <v/>
      </c>
      <c r="DC870">
        <f>IFERROR(INDEX(PP_Grid[#Data],$DD870,105),0)</f>
        <v/>
      </c>
      <c r="DD870" s="7">
        <f>IFERROR(MATCH($B870,PP_Grid[Intermediate],0),99999)</f>
        <v/>
      </c>
    </row>
    <row r="871">
      <c r="B871" t="inlineStr">
        <is>
          <t>使用量(kg)</t>
        </is>
      </c>
      <c r="C871">
        <f>SUMIFS(M_BOM[RM_Qty_Per_Batch],M_BOM[Intermediate],$B870,M_BOM[Part Name],$A833)</f>
        <v/>
      </c>
      <c r="D871">
        <f>$C871*D870</f>
        <v/>
      </c>
      <c r="E871">
        <f>$C871*E870</f>
        <v/>
      </c>
      <c r="F871">
        <f>$C871*F870</f>
        <v/>
      </c>
      <c r="G871">
        <f>$C871*G870</f>
        <v/>
      </c>
      <c r="H871">
        <f>$C871*H870</f>
        <v/>
      </c>
      <c r="I871">
        <f>$C871*I870</f>
        <v/>
      </c>
      <c r="J871">
        <f>$C871*J870</f>
        <v/>
      </c>
      <c r="K871">
        <f>$C871*K870</f>
        <v/>
      </c>
      <c r="L871">
        <f>$C871*L870</f>
        <v/>
      </c>
      <c r="M871">
        <f>$C871*M870</f>
        <v/>
      </c>
      <c r="N871">
        <f>$C871*N870</f>
        <v/>
      </c>
      <c r="O871">
        <f>$C871*O870</f>
        <v/>
      </c>
      <c r="P871">
        <f>$C871*P870</f>
        <v/>
      </c>
      <c r="Q871">
        <f>$C871*Q870</f>
        <v/>
      </c>
      <c r="R871">
        <f>$C871*R870</f>
        <v/>
      </c>
      <c r="S871">
        <f>$C871*S870</f>
        <v/>
      </c>
      <c r="T871">
        <f>$C871*T870</f>
        <v/>
      </c>
      <c r="U871">
        <f>$C871*U870</f>
        <v/>
      </c>
      <c r="V871">
        <f>$C871*V870</f>
        <v/>
      </c>
      <c r="W871">
        <f>$C871*W870</f>
        <v/>
      </c>
      <c r="X871">
        <f>$C871*X870</f>
        <v/>
      </c>
      <c r="Y871">
        <f>$C871*Y870</f>
        <v/>
      </c>
      <c r="Z871">
        <f>$C871*Z870</f>
        <v/>
      </c>
      <c r="AA871">
        <f>$C871*AA870</f>
        <v/>
      </c>
      <c r="AB871">
        <f>$C871*AB870</f>
        <v/>
      </c>
      <c r="AC871">
        <f>$C871*AC870</f>
        <v/>
      </c>
      <c r="AD871">
        <f>$C871*AD870</f>
        <v/>
      </c>
      <c r="AE871">
        <f>$C871*AE870</f>
        <v/>
      </c>
      <c r="AF871">
        <f>$C871*AF870</f>
        <v/>
      </c>
      <c r="AG871">
        <f>$C871*AG870</f>
        <v/>
      </c>
      <c r="AH871">
        <f>$C871*AH870</f>
        <v/>
      </c>
      <c r="AI871">
        <f>$C871*AI870</f>
        <v/>
      </c>
      <c r="AJ871">
        <f>$C871*AJ870</f>
        <v/>
      </c>
      <c r="AK871">
        <f>$C871*AK870</f>
        <v/>
      </c>
      <c r="AL871">
        <f>$C871*AL870</f>
        <v/>
      </c>
      <c r="AM871">
        <f>$C871*AM870</f>
        <v/>
      </c>
      <c r="AN871">
        <f>$C871*AN870</f>
        <v/>
      </c>
      <c r="AO871">
        <f>$C871*AO870</f>
        <v/>
      </c>
      <c r="AP871">
        <f>$C871*AP870</f>
        <v/>
      </c>
      <c r="AQ871">
        <f>$C871*AQ870</f>
        <v/>
      </c>
      <c r="AR871">
        <f>$C871*AR870</f>
        <v/>
      </c>
      <c r="AS871">
        <f>$C871*AS870</f>
        <v/>
      </c>
      <c r="AT871">
        <f>$C871*AT870</f>
        <v/>
      </c>
      <c r="AU871">
        <f>$C871*AU870</f>
        <v/>
      </c>
      <c r="AV871">
        <f>$C871*AV870</f>
        <v/>
      </c>
      <c r="AW871">
        <f>$C871*AW870</f>
        <v/>
      </c>
      <c r="AX871">
        <f>$C871*AX870</f>
        <v/>
      </c>
      <c r="AY871">
        <f>$C871*AY870</f>
        <v/>
      </c>
      <c r="AZ871">
        <f>$C871*AZ870</f>
        <v/>
      </c>
      <c r="BA871">
        <f>$C871*BA870</f>
        <v/>
      </c>
      <c r="BB871">
        <f>$C871*BB870</f>
        <v/>
      </c>
      <c r="BC871">
        <f>$C871*BC870</f>
        <v/>
      </c>
      <c r="BD871">
        <f>$C871*BD870</f>
        <v/>
      </c>
      <c r="BE871">
        <f>$C871*BE870</f>
        <v/>
      </c>
      <c r="BF871">
        <f>$C871*BF870</f>
        <v/>
      </c>
      <c r="BG871">
        <f>$C871*BG870</f>
        <v/>
      </c>
      <c r="BH871">
        <f>$C871*BH870</f>
        <v/>
      </c>
      <c r="BI871">
        <f>$C871*BI870</f>
        <v/>
      </c>
      <c r="BJ871">
        <f>$C871*BJ870</f>
        <v/>
      </c>
      <c r="BK871">
        <f>$C871*BK870</f>
        <v/>
      </c>
      <c r="BL871">
        <f>$C871*BL870</f>
        <v/>
      </c>
      <c r="BM871">
        <f>$C871*BM870</f>
        <v/>
      </c>
      <c r="BN871">
        <f>$C871*BN870</f>
        <v/>
      </c>
      <c r="BO871">
        <f>$C871*BO870</f>
        <v/>
      </c>
      <c r="BP871">
        <f>$C871*BP870</f>
        <v/>
      </c>
      <c r="BQ871">
        <f>$C871*BQ870</f>
        <v/>
      </c>
      <c r="BR871">
        <f>$C871*BR870</f>
        <v/>
      </c>
      <c r="BS871">
        <f>$C871*BS870</f>
        <v/>
      </c>
      <c r="BT871">
        <f>$C871*BT870</f>
        <v/>
      </c>
      <c r="BU871">
        <f>$C871*BU870</f>
        <v/>
      </c>
      <c r="BV871">
        <f>$C871*BV870</f>
        <v/>
      </c>
      <c r="BW871">
        <f>$C871*BW870</f>
        <v/>
      </c>
      <c r="BX871">
        <f>$C871*BX870</f>
        <v/>
      </c>
      <c r="BY871">
        <f>$C871*BY870</f>
        <v/>
      </c>
      <c r="BZ871">
        <f>$C871*BZ870</f>
        <v/>
      </c>
      <c r="CA871">
        <f>$C871*CA870</f>
        <v/>
      </c>
      <c r="CB871">
        <f>$C871*CB870</f>
        <v/>
      </c>
      <c r="CC871">
        <f>$C871*CC870</f>
        <v/>
      </c>
      <c r="CD871">
        <f>$C871*CD870</f>
        <v/>
      </c>
      <c r="CE871">
        <f>$C871*CE870</f>
        <v/>
      </c>
      <c r="CF871">
        <f>$C871*CF870</f>
        <v/>
      </c>
      <c r="CG871">
        <f>$C871*CG870</f>
        <v/>
      </c>
      <c r="CH871">
        <f>$C871*CH870</f>
        <v/>
      </c>
      <c r="CI871">
        <f>$C871*CI870</f>
        <v/>
      </c>
      <c r="CJ871">
        <f>$C871*CJ870</f>
        <v/>
      </c>
      <c r="CK871">
        <f>$C871*CK870</f>
        <v/>
      </c>
      <c r="CL871">
        <f>$C871*CL870</f>
        <v/>
      </c>
      <c r="CM871">
        <f>$C871*CM870</f>
        <v/>
      </c>
      <c r="CN871">
        <f>$C871*CN870</f>
        <v/>
      </c>
      <c r="CO871">
        <f>$C871*CO870</f>
        <v/>
      </c>
      <c r="CP871">
        <f>$C871*CP870</f>
        <v/>
      </c>
      <c r="CQ871">
        <f>$C871*CQ870</f>
        <v/>
      </c>
      <c r="CR871">
        <f>$C871*CR870</f>
        <v/>
      </c>
      <c r="CS871">
        <f>$C871*CS870</f>
        <v/>
      </c>
      <c r="CT871">
        <f>$C871*CT870</f>
        <v/>
      </c>
      <c r="CU871">
        <f>$C871*CU870</f>
        <v/>
      </c>
      <c r="CV871">
        <f>$C871*CV870</f>
        <v/>
      </c>
      <c r="CW871">
        <f>$C871*CW870</f>
        <v/>
      </c>
      <c r="CX871">
        <f>$C871*CX870</f>
        <v/>
      </c>
      <c r="CY871">
        <f>$C871*CY870</f>
        <v/>
      </c>
      <c r="CZ871">
        <f>$C871*CZ870</f>
        <v/>
      </c>
      <c r="DA871">
        <f>$C871*DA870</f>
        <v/>
      </c>
      <c r="DB871">
        <f>$C871*DB870</f>
        <v/>
      </c>
      <c r="DC871">
        <f>$C871*DC870</f>
        <v/>
      </c>
    </row>
    <row r="872">
      <c r="B872" s="4" t="inlineStr">
        <is>
          <t>合計使用量(kg)/週</t>
        </is>
      </c>
      <c r="D872">
        <f>'Grid_Requirement'!B7</f>
        <v/>
      </c>
      <c r="E872">
        <f>'Grid_Requirement'!C7</f>
        <v/>
      </c>
      <c r="F872">
        <f>'Grid_Requirement'!D7</f>
        <v/>
      </c>
      <c r="G872">
        <f>'Grid_Requirement'!E7</f>
        <v/>
      </c>
      <c r="H872">
        <f>'Grid_Requirement'!F7</f>
        <v/>
      </c>
      <c r="I872">
        <f>'Grid_Requirement'!G7</f>
        <v/>
      </c>
      <c r="J872">
        <f>'Grid_Requirement'!H7</f>
        <v/>
      </c>
      <c r="K872">
        <f>'Grid_Requirement'!I7</f>
        <v/>
      </c>
      <c r="L872">
        <f>'Grid_Requirement'!J7</f>
        <v/>
      </c>
      <c r="M872">
        <f>'Grid_Requirement'!K7</f>
        <v/>
      </c>
      <c r="N872">
        <f>'Grid_Requirement'!L7</f>
        <v/>
      </c>
      <c r="O872">
        <f>'Grid_Requirement'!M7</f>
        <v/>
      </c>
      <c r="P872">
        <f>'Grid_Requirement'!N7</f>
        <v/>
      </c>
      <c r="Q872">
        <f>'Grid_Requirement'!O7</f>
        <v/>
      </c>
      <c r="R872">
        <f>'Grid_Requirement'!P7</f>
        <v/>
      </c>
      <c r="S872">
        <f>'Grid_Requirement'!Q7</f>
        <v/>
      </c>
      <c r="T872">
        <f>'Grid_Requirement'!R7</f>
        <v/>
      </c>
      <c r="U872">
        <f>'Grid_Requirement'!S7</f>
        <v/>
      </c>
      <c r="V872">
        <f>'Grid_Requirement'!T7</f>
        <v/>
      </c>
      <c r="W872">
        <f>'Grid_Requirement'!U7</f>
        <v/>
      </c>
      <c r="X872">
        <f>'Grid_Requirement'!V7</f>
        <v/>
      </c>
      <c r="Y872">
        <f>'Grid_Requirement'!W7</f>
        <v/>
      </c>
      <c r="Z872">
        <f>'Grid_Requirement'!X7</f>
        <v/>
      </c>
      <c r="AA872">
        <f>'Grid_Requirement'!Y7</f>
        <v/>
      </c>
      <c r="AB872">
        <f>'Grid_Requirement'!Z7</f>
        <v/>
      </c>
      <c r="AC872">
        <f>'Grid_Requirement'!AA7</f>
        <v/>
      </c>
      <c r="AD872">
        <f>'Grid_Requirement'!AB7</f>
        <v/>
      </c>
      <c r="AE872">
        <f>'Grid_Requirement'!AC7</f>
        <v/>
      </c>
      <c r="AF872">
        <f>'Grid_Requirement'!AD7</f>
        <v/>
      </c>
      <c r="AG872">
        <f>'Grid_Requirement'!AE7</f>
        <v/>
      </c>
      <c r="AH872">
        <f>'Grid_Requirement'!AF7</f>
        <v/>
      </c>
      <c r="AI872">
        <f>'Grid_Requirement'!AG7</f>
        <v/>
      </c>
      <c r="AJ872">
        <f>'Grid_Requirement'!AH7</f>
        <v/>
      </c>
      <c r="AK872">
        <f>'Grid_Requirement'!AI7</f>
        <v/>
      </c>
      <c r="AL872">
        <f>'Grid_Requirement'!AJ7</f>
        <v/>
      </c>
      <c r="AM872">
        <f>'Grid_Requirement'!AK7</f>
        <v/>
      </c>
      <c r="AN872">
        <f>'Grid_Requirement'!AL7</f>
        <v/>
      </c>
      <c r="AO872">
        <f>'Grid_Requirement'!AM7</f>
        <v/>
      </c>
      <c r="AP872">
        <f>'Grid_Requirement'!AN7</f>
        <v/>
      </c>
      <c r="AQ872">
        <f>'Grid_Requirement'!AO7</f>
        <v/>
      </c>
      <c r="AR872">
        <f>'Grid_Requirement'!AP7</f>
        <v/>
      </c>
      <c r="AS872">
        <f>'Grid_Requirement'!AQ7</f>
        <v/>
      </c>
      <c r="AT872">
        <f>'Grid_Requirement'!AR7</f>
        <v/>
      </c>
      <c r="AU872">
        <f>'Grid_Requirement'!AS7</f>
        <v/>
      </c>
      <c r="AV872">
        <f>'Grid_Requirement'!AT7</f>
        <v/>
      </c>
      <c r="AW872">
        <f>'Grid_Requirement'!AU7</f>
        <v/>
      </c>
      <c r="AX872">
        <f>'Grid_Requirement'!AV7</f>
        <v/>
      </c>
      <c r="AY872">
        <f>'Grid_Requirement'!AW7</f>
        <v/>
      </c>
      <c r="AZ872">
        <f>'Grid_Requirement'!AX7</f>
        <v/>
      </c>
      <c r="BA872">
        <f>'Grid_Requirement'!AY7</f>
        <v/>
      </c>
      <c r="BB872">
        <f>'Grid_Requirement'!AZ7</f>
        <v/>
      </c>
      <c r="BC872">
        <f>'Grid_Requirement'!BA7</f>
        <v/>
      </c>
      <c r="BD872">
        <f>'Grid_Requirement'!BB7</f>
        <v/>
      </c>
      <c r="BE872">
        <f>'Grid_Requirement'!BC7</f>
        <v/>
      </c>
      <c r="BF872">
        <f>'Grid_Requirement'!BD7</f>
        <v/>
      </c>
      <c r="BG872">
        <f>'Grid_Requirement'!BE7</f>
        <v/>
      </c>
      <c r="BH872">
        <f>'Grid_Requirement'!BF7</f>
        <v/>
      </c>
      <c r="BI872">
        <f>'Grid_Requirement'!BG7</f>
        <v/>
      </c>
      <c r="BJ872">
        <f>'Grid_Requirement'!BH7</f>
        <v/>
      </c>
      <c r="BK872">
        <f>'Grid_Requirement'!BI7</f>
        <v/>
      </c>
      <c r="BL872">
        <f>'Grid_Requirement'!BJ7</f>
        <v/>
      </c>
      <c r="BM872">
        <f>'Grid_Requirement'!BK7</f>
        <v/>
      </c>
      <c r="BN872">
        <f>'Grid_Requirement'!BL7</f>
        <v/>
      </c>
      <c r="BO872">
        <f>'Grid_Requirement'!BM7</f>
        <v/>
      </c>
      <c r="BP872">
        <f>'Grid_Requirement'!BN7</f>
        <v/>
      </c>
      <c r="BQ872">
        <f>'Grid_Requirement'!BO7</f>
        <v/>
      </c>
      <c r="BR872">
        <f>'Grid_Requirement'!BP7</f>
        <v/>
      </c>
      <c r="BS872">
        <f>'Grid_Requirement'!BQ7</f>
        <v/>
      </c>
      <c r="BT872">
        <f>'Grid_Requirement'!BR7</f>
        <v/>
      </c>
      <c r="BU872">
        <f>'Grid_Requirement'!BS7</f>
        <v/>
      </c>
      <c r="BV872">
        <f>'Grid_Requirement'!BT7</f>
        <v/>
      </c>
      <c r="BW872">
        <f>'Grid_Requirement'!BU7</f>
        <v/>
      </c>
      <c r="BX872">
        <f>'Grid_Requirement'!BV7</f>
        <v/>
      </c>
      <c r="BY872">
        <f>'Grid_Requirement'!BW7</f>
        <v/>
      </c>
      <c r="BZ872">
        <f>'Grid_Requirement'!BX7</f>
        <v/>
      </c>
      <c r="CA872">
        <f>'Grid_Requirement'!BY7</f>
        <v/>
      </c>
      <c r="CB872">
        <f>'Grid_Requirement'!BZ7</f>
        <v/>
      </c>
      <c r="CC872">
        <f>'Grid_Requirement'!CA7</f>
        <v/>
      </c>
      <c r="CD872">
        <f>'Grid_Requirement'!CB7</f>
        <v/>
      </c>
      <c r="CE872">
        <f>'Grid_Requirement'!CC7</f>
        <v/>
      </c>
      <c r="CF872">
        <f>'Grid_Requirement'!CD7</f>
        <v/>
      </c>
      <c r="CG872">
        <f>'Grid_Requirement'!CE7</f>
        <v/>
      </c>
      <c r="CH872">
        <f>'Grid_Requirement'!CF7</f>
        <v/>
      </c>
      <c r="CI872">
        <f>'Grid_Requirement'!CG7</f>
        <v/>
      </c>
      <c r="CJ872">
        <f>'Grid_Requirement'!CH7</f>
        <v/>
      </c>
      <c r="CK872">
        <f>'Grid_Requirement'!CI7</f>
        <v/>
      </c>
      <c r="CL872">
        <f>'Grid_Requirement'!CJ7</f>
        <v/>
      </c>
      <c r="CM872">
        <f>'Grid_Requirement'!CK7</f>
        <v/>
      </c>
      <c r="CN872">
        <f>'Grid_Requirement'!CL7</f>
        <v/>
      </c>
      <c r="CO872">
        <f>'Grid_Requirement'!CM7</f>
        <v/>
      </c>
      <c r="CP872">
        <f>'Grid_Requirement'!CN7</f>
        <v/>
      </c>
      <c r="CQ872">
        <f>'Grid_Requirement'!CO7</f>
        <v/>
      </c>
      <c r="CR872">
        <f>'Grid_Requirement'!CP7</f>
        <v/>
      </c>
      <c r="CS872">
        <f>'Grid_Requirement'!CQ7</f>
        <v/>
      </c>
      <c r="CT872">
        <f>'Grid_Requirement'!CR7</f>
        <v/>
      </c>
      <c r="CU872">
        <f>'Grid_Requirement'!CS7</f>
        <v/>
      </c>
      <c r="CV872">
        <f>'Grid_Requirement'!CT7</f>
        <v/>
      </c>
      <c r="CW872">
        <f>'Grid_Requirement'!CU7</f>
        <v/>
      </c>
      <c r="CX872">
        <f>'Grid_Requirement'!CV7</f>
        <v/>
      </c>
      <c r="CY872">
        <f>'Grid_Requirement'!CW7</f>
        <v/>
      </c>
      <c r="CZ872">
        <f>'Grid_Requirement'!CX7</f>
        <v/>
      </c>
      <c r="DA872">
        <f>'Grid_Requirement'!CY7</f>
        <v/>
      </c>
      <c r="DB872">
        <f>'Grid_Requirement'!CZ7</f>
        <v/>
      </c>
      <c r="DC872">
        <f>'Grid_Requirement'!DA7</f>
        <v/>
      </c>
    </row>
    <row r="873">
      <c r="B873" t="inlineStr">
        <is>
          <t>TTAF在庫(実績,kg)</t>
        </is>
      </c>
      <c r="D873">
        <f>'T_TTAFStock'!B11</f>
        <v/>
      </c>
      <c r="E873">
        <f>'T_TTAFStock'!C11</f>
        <v/>
      </c>
      <c r="F873">
        <f>'T_TTAFStock'!D11</f>
        <v/>
      </c>
      <c r="G873">
        <f>'T_TTAFStock'!E11</f>
        <v/>
      </c>
      <c r="H873">
        <f>'T_TTAFStock'!F11</f>
        <v/>
      </c>
      <c r="I873">
        <f>'T_TTAFStock'!G11</f>
        <v/>
      </c>
      <c r="J873">
        <f>'T_TTAFStock'!H11</f>
        <v/>
      </c>
      <c r="K873">
        <f>'T_TTAFStock'!I11</f>
        <v/>
      </c>
      <c r="L873">
        <f>'T_TTAFStock'!J11</f>
        <v/>
      </c>
      <c r="M873">
        <f>'T_TTAFStock'!K11</f>
        <v/>
      </c>
      <c r="N873">
        <f>'T_TTAFStock'!L11</f>
        <v/>
      </c>
      <c r="O873">
        <f>'T_TTAFStock'!M11</f>
        <v/>
      </c>
      <c r="P873">
        <f>'T_TTAFStock'!N11</f>
        <v/>
      </c>
      <c r="Q873">
        <f>'T_TTAFStock'!O11</f>
        <v/>
      </c>
      <c r="R873">
        <f>'T_TTAFStock'!P11</f>
        <v/>
      </c>
      <c r="S873">
        <f>'T_TTAFStock'!Q11</f>
        <v/>
      </c>
      <c r="T873">
        <f>'T_TTAFStock'!R11</f>
        <v/>
      </c>
      <c r="U873">
        <f>'T_TTAFStock'!S11</f>
        <v/>
      </c>
      <c r="V873">
        <f>'T_TTAFStock'!T11</f>
        <v/>
      </c>
      <c r="W873">
        <f>'T_TTAFStock'!U11</f>
        <v/>
      </c>
      <c r="X873">
        <f>'T_TTAFStock'!V11</f>
        <v/>
      </c>
      <c r="Y873">
        <f>'T_TTAFStock'!W11</f>
        <v/>
      </c>
      <c r="Z873">
        <f>'T_TTAFStock'!X11</f>
        <v/>
      </c>
      <c r="AA873">
        <f>'T_TTAFStock'!Y11</f>
        <v/>
      </c>
      <c r="AB873">
        <f>'T_TTAFStock'!Z11</f>
        <v/>
      </c>
      <c r="AC873">
        <f>'T_TTAFStock'!AA11</f>
        <v/>
      </c>
      <c r="AD873">
        <f>'T_TTAFStock'!AB11</f>
        <v/>
      </c>
      <c r="AE873">
        <f>'T_TTAFStock'!AC11</f>
        <v/>
      </c>
      <c r="AF873">
        <f>'T_TTAFStock'!AD11</f>
        <v/>
      </c>
      <c r="AG873">
        <f>'T_TTAFStock'!AE11</f>
        <v/>
      </c>
      <c r="AH873">
        <f>'T_TTAFStock'!AF11</f>
        <v/>
      </c>
      <c r="AI873">
        <f>'T_TTAFStock'!AG11</f>
        <v/>
      </c>
      <c r="AJ873">
        <f>'T_TTAFStock'!AH11</f>
        <v/>
      </c>
      <c r="AK873">
        <f>'T_TTAFStock'!AI11</f>
        <v/>
      </c>
      <c r="AL873">
        <f>'T_TTAFStock'!AJ11</f>
        <v/>
      </c>
      <c r="AM873">
        <f>'T_TTAFStock'!AK11</f>
        <v/>
      </c>
      <c r="AN873">
        <f>'T_TTAFStock'!AL11</f>
        <v/>
      </c>
      <c r="AO873">
        <f>'T_TTAFStock'!AM11</f>
        <v/>
      </c>
      <c r="AP873">
        <f>'T_TTAFStock'!AN11</f>
        <v/>
      </c>
      <c r="AQ873">
        <f>'T_TTAFStock'!AO11</f>
        <v/>
      </c>
      <c r="AR873">
        <f>'T_TTAFStock'!AP11</f>
        <v/>
      </c>
      <c r="AS873">
        <f>'T_TTAFStock'!AQ11</f>
        <v/>
      </c>
      <c r="AT873">
        <f>'T_TTAFStock'!AR11</f>
        <v/>
      </c>
      <c r="AU873">
        <f>'T_TTAFStock'!AS11</f>
        <v/>
      </c>
      <c r="AV873">
        <f>'T_TTAFStock'!AT11</f>
        <v/>
      </c>
      <c r="AW873">
        <f>'T_TTAFStock'!AU11</f>
        <v/>
      </c>
      <c r="AX873">
        <f>'T_TTAFStock'!AV11</f>
        <v/>
      </c>
      <c r="AY873">
        <f>'T_TTAFStock'!AW11</f>
        <v/>
      </c>
      <c r="AZ873">
        <f>'T_TTAFStock'!AX11</f>
        <v/>
      </c>
      <c r="BA873">
        <f>'T_TTAFStock'!AY11</f>
        <v/>
      </c>
      <c r="BB873">
        <f>'T_TTAFStock'!AZ11</f>
        <v/>
      </c>
      <c r="BC873">
        <f>'T_TTAFStock'!BA11</f>
        <v/>
      </c>
      <c r="BD873">
        <f>'T_TTAFStock'!BB11</f>
        <v/>
      </c>
      <c r="BE873">
        <f>'T_TTAFStock'!BC11</f>
        <v/>
      </c>
      <c r="BF873">
        <f>'T_TTAFStock'!BD11</f>
        <v/>
      </c>
      <c r="BG873">
        <f>'T_TTAFStock'!BE11</f>
        <v/>
      </c>
      <c r="BH873">
        <f>'T_TTAFStock'!BF11</f>
        <v/>
      </c>
      <c r="BI873">
        <f>'T_TTAFStock'!BG11</f>
        <v/>
      </c>
      <c r="BJ873">
        <f>'T_TTAFStock'!BH11</f>
        <v/>
      </c>
      <c r="BK873">
        <f>'T_TTAFStock'!BI11</f>
        <v/>
      </c>
      <c r="BL873">
        <f>'T_TTAFStock'!BJ11</f>
        <v/>
      </c>
      <c r="BM873">
        <f>'T_TTAFStock'!BK11</f>
        <v/>
      </c>
      <c r="BN873">
        <f>'T_TTAFStock'!BL11</f>
        <v/>
      </c>
      <c r="BO873">
        <f>'T_TTAFStock'!BM11</f>
        <v/>
      </c>
      <c r="BP873">
        <f>'T_TTAFStock'!BN11</f>
        <v/>
      </c>
      <c r="BQ873">
        <f>'T_TTAFStock'!BO11</f>
        <v/>
      </c>
      <c r="BR873">
        <f>'T_TTAFStock'!BP11</f>
        <v/>
      </c>
      <c r="BS873">
        <f>'T_TTAFStock'!BQ11</f>
        <v/>
      </c>
      <c r="BT873">
        <f>'T_TTAFStock'!BR11</f>
        <v/>
      </c>
      <c r="BU873">
        <f>'T_TTAFStock'!BS11</f>
        <v/>
      </c>
      <c r="BV873">
        <f>'T_TTAFStock'!BT11</f>
        <v/>
      </c>
      <c r="BW873">
        <f>'T_TTAFStock'!BU11</f>
        <v/>
      </c>
      <c r="BX873">
        <f>'T_TTAFStock'!BV11</f>
        <v/>
      </c>
      <c r="BY873">
        <f>'T_TTAFStock'!BW11</f>
        <v/>
      </c>
      <c r="BZ873">
        <f>'T_TTAFStock'!BX11</f>
        <v/>
      </c>
      <c r="CA873">
        <f>'T_TTAFStock'!BY11</f>
        <v/>
      </c>
      <c r="CB873">
        <f>'T_TTAFStock'!BZ11</f>
        <v/>
      </c>
      <c r="CC873">
        <f>'T_TTAFStock'!CA11</f>
        <v/>
      </c>
      <c r="CD873">
        <f>'T_TTAFStock'!CB11</f>
        <v/>
      </c>
      <c r="CE873">
        <f>'T_TTAFStock'!CC11</f>
        <v/>
      </c>
      <c r="CF873">
        <f>'T_TTAFStock'!CD11</f>
        <v/>
      </c>
      <c r="CG873">
        <f>'T_TTAFStock'!CE11</f>
        <v/>
      </c>
      <c r="CH873">
        <f>'T_TTAFStock'!CF11</f>
        <v/>
      </c>
      <c r="CI873">
        <f>'T_TTAFStock'!CG11</f>
        <v/>
      </c>
      <c r="CJ873">
        <f>'T_TTAFStock'!CH11</f>
        <v/>
      </c>
      <c r="CK873">
        <f>'T_TTAFStock'!CI11</f>
        <v/>
      </c>
      <c r="CL873">
        <f>'T_TTAFStock'!CJ11</f>
        <v/>
      </c>
      <c r="CM873">
        <f>'T_TTAFStock'!CK11</f>
        <v/>
      </c>
      <c r="CN873">
        <f>'T_TTAFStock'!CL11</f>
        <v/>
      </c>
      <c r="CO873">
        <f>'T_TTAFStock'!CM11</f>
        <v/>
      </c>
      <c r="CP873">
        <f>'T_TTAFStock'!CN11</f>
        <v/>
      </c>
      <c r="CQ873">
        <f>'T_TTAFStock'!CO11</f>
        <v/>
      </c>
      <c r="CR873">
        <f>'T_TTAFStock'!CP11</f>
        <v/>
      </c>
      <c r="CS873">
        <f>'T_TTAFStock'!CQ11</f>
        <v/>
      </c>
      <c r="CT873">
        <f>'T_TTAFStock'!CR11</f>
        <v/>
      </c>
      <c r="CU873">
        <f>'T_TTAFStock'!CS11</f>
        <v/>
      </c>
      <c r="CV873">
        <f>'T_TTAFStock'!CT11</f>
        <v/>
      </c>
      <c r="CW873">
        <f>'T_TTAFStock'!CU11</f>
        <v/>
      </c>
      <c r="CX873">
        <f>'T_TTAFStock'!CV11</f>
        <v/>
      </c>
      <c r="CY873">
        <f>'T_TTAFStock'!CW11</f>
        <v/>
      </c>
      <c r="CZ873">
        <f>'T_TTAFStock'!CX11</f>
        <v/>
      </c>
      <c r="DA873">
        <f>'T_TTAFStock'!CY11</f>
        <v/>
      </c>
      <c r="DB873">
        <f>'T_TTAFStock'!CZ11</f>
        <v/>
      </c>
      <c r="DC873">
        <f>'T_TTAFStock'!DA11</f>
        <v/>
      </c>
    </row>
    <row r="874">
      <c r="B874" t="inlineStr">
        <is>
          <t>自社在庫(実績,kg)</t>
        </is>
      </c>
      <c r="D874">
        <f>'T_SelfStock'!B11</f>
        <v/>
      </c>
      <c r="E874">
        <f>'T_SelfStock'!C11</f>
        <v/>
      </c>
      <c r="F874">
        <f>'T_SelfStock'!D11</f>
        <v/>
      </c>
      <c r="G874">
        <f>'T_SelfStock'!E11</f>
        <v/>
      </c>
      <c r="H874">
        <f>'T_SelfStock'!F11</f>
        <v/>
      </c>
      <c r="I874">
        <f>'T_SelfStock'!G11</f>
        <v/>
      </c>
      <c r="J874">
        <f>'T_SelfStock'!H11</f>
        <v/>
      </c>
      <c r="K874">
        <f>'T_SelfStock'!I11</f>
        <v/>
      </c>
      <c r="L874">
        <f>'T_SelfStock'!J11</f>
        <v/>
      </c>
      <c r="M874">
        <f>'T_SelfStock'!K11</f>
        <v/>
      </c>
      <c r="N874">
        <f>'T_SelfStock'!L11</f>
        <v/>
      </c>
      <c r="O874">
        <f>'T_SelfStock'!M11</f>
        <v/>
      </c>
      <c r="P874">
        <f>'T_SelfStock'!N11</f>
        <v/>
      </c>
      <c r="Q874">
        <f>'T_SelfStock'!O11</f>
        <v/>
      </c>
      <c r="R874">
        <f>'T_SelfStock'!P11</f>
        <v/>
      </c>
      <c r="S874">
        <f>'T_SelfStock'!Q11</f>
        <v/>
      </c>
      <c r="T874">
        <f>'T_SelfStock'!R11</f>
        <v/>
      </c>
      <c r="U874">
        <f>'T_SelfStock'!S11</f>
        <v/>
      </c>
      <c r="V874">
        <f>'T_SelfStock'!T11</f>
        <v/>
      </c>
      <c r="W874">
        <f>'T_SelfStock'!U11</f>
        <v/>
      </c>
      <c r="X874">
        <f>'T_SelfStock'!V11</f>
        <v/>
      </c>
      <c r="Y874">
        <f>'T_SelfStock'!W11</f>
        <v/>
      </c>
      <c r="Z874">
        <f>'T_SelfStock'!X11</f>
        <v/>
      </c>
      <c r="AA874">
        <f>'T_SelfStock'!Y11</f>
        <v/>
      </c>
      <c r="AB874">
        <f>'T_SelfStock'!Z11</f>
        <v/>
      </c>
      <c r="AC874">
        <f>'T_SelfStock'!AA11</f>
        <v/>
      </c>
      <c r="AD874">
        <f>'T_SelfStock'!AB11</f>
        <v/>
      </c>
      <c r="AE874">
        <f>'T_SelfStock'!AC11</f>
        <v/>
      </c>
      <c r="AF874">
        <f>'T_SelfStock'!AD11</f>
        <v/>
      </c>
      <c r="AG874">
        <f>'T_SelfStock'!AE11</f>
        <v/>
      </c>
      <c r="AH874">
        <f>'T_SelfStock'!AF11</f>
        <v/>
      </c>
      <c r="AI874">
        <f>'T_SelfStock'!AG11</f>
        <v/>
      </c>
      <c r="AJ874">
        <f>'T_SelfStock'!AH11</f>
        <v/>
      </c>
      <c r="AK874">
        <f>'T_SelfStock'!AI11</f>
        <v/>
      </c>
      <c r="AL874">
        <f>'T_SelfStock'!AJ11</f>
        <v/>
      </c>
      <c r="AM874">
        <f>'T_SelfStock'!AK11</f>
        <v/>
      </c>
      <c r="AN874">
        <f>'T_SelfStock'!AL11</f>
        <v/>
      </c>
      <c r="AO874">
        <f>'T_SelfStock'!AM11</f>
        <v/>
      </c>
      <c r="AP874">
        <f>'T_SelfStock'!AN11</f>
        <v/>
      </c>
      <c r="AQ874">
        <f>'T_SelfStock'!AO11</f>
        <v/>
      </c>
      <c r="AR874">
        <f>'T_SelfStock'!AP11</f>
        <v/>
      </c>
      <c r="AS874">
        <f>'T_SelfStock'!AQ11</f>
        <v/>
      </c>
      <c r="AT874">
        <f>'T_SelfStock'!AR11</f>
        <v/>
      </c>
      <c r="AU874">
        <f>'T_SelfStock'!AS11</f>
        <v/>
      </c>
      <c r="AV874">
        <f>'T_SelfStock'!AT11</f>
        <v/>
      </c>
      <c r="AW874">
        <f>'T_SelfStock'!AU11</f>
        <v/>
      </c>
      <c r="AX874">
        <f>'T_SelfStock'!AV11</f>
        <v/>
      </c>
      <c r="AY874">
        <f>'T_SelfStock'!AW11</f>
        <v/>
      </c>
      <c r="AZ874">
        <f>'T_SelfStock'!AX11</f>
        <v/>
      </c>
      <c r="BA874">
        <f>'T_SelfStock'!AY11</f>
        <v/>
      </c>
      <c r="BB874">
        <f>'T_SelfStock'!AZ11</f>
        <v/>
      </c>
      <c r="BC874">
        <f>'T_SelfStock'!BA11</f>
        <v/>
      </c>
      <c r="BD874">
        <f>'T_SelfStock'!BB11</f>
        <v/>
      </c>
      <c r="BE874">
        <f>'T_SelfStock'!BC11</f>
        <v/>
      </c>
      <c r="BF874">
        <f>'T_SelfStock'!BD11</f>
        <v/>
      </c>
      <c r="BG874">
        <f>'T_SelfStock'!BE11</f>
        <v/>
      </c>
      <c r="BH874">
        <f>'T_SelfStock'!BF11</f>
        <v/>
      </c>
      <c r="BI874">
        <f>'T_SelfStock'!BG11</f>
        <v/>
      </c>
      <c r="BJ874">
        <f>'T_SelfStock'!BH11</f>
        <v/>
      </c>
      <c r="BK874">
        <f>'T_SelfStock'!BI11</f>
        <v/>
      </c>
      <c r="BL874">
        <f>'T_SelfStock'!BJ11</f>
        <v/>
      </c>
      <c r="BM874">
        <f>'T_SelfStock'!BK11</f>
        <v/>
      </c>
      <c r="BN874">
        <f>'T_SelfStock'!BL11</f>
        <v/>
      </c>
      <c r="BO874">
        <f>'T_SelfStock'!BM11</f>
        <v/>
      </c>
      <c r="BP874">
        <f>'T_SelfStock'!BN11</f>
        <v/>
      </c>
      <c r="BQ874">
        <f>'T_SelfStock'!BO11</f>
        <v/>
      </c>
      <c r="BR874">
        <f>'T_SelfStock'!BP11</f>
        <v/>
      </c>
      <c r="BS874">
        <f>'T_SelfStock'!BQ11</f>
        <v/>
      </c>
      <c r="BT874">
        <f>'T_SelfStock'!BR11</f>
        <v/>
      </c>
      <c r="BU874">
        <f>'T_SelfStock'!BS11</f>
        <v/>
      </c>
      <c r="BV874">
        <f>'T_SelfStock'!BT11</f>
        <v/>
      </c>
      <c r="BW874">
        <f>'T_SelfStock'!BU11</f>
        <v/>
      </c>
      <c r="BX874">
        <f>'T_SelfStock'!BV11</f>
        <v/>
      </c>
      <c r="BY874">
        <f>'T_SelfStock'!BW11</f>
        <v/>
      </c>
      <c r="BZ874">
        <f>'T_SelfStock'!BX11</f>
        <v/>
      </c>
      <c r="CA874">
        <f>'T_SelfStock'!BY11</f>
        <v/>
      </c>
      <c r="CB874">
        <f>'T_SelfStock'!BZ11</f>
        <v/>
      </c>
      <c r="CC874">
        <f>'T_SelfStock'!CA11</f>
        <v/>
      </c>
      <c r="CD874">
        <f>'T_SelfStock'!CB11</f>
        <v/>
      </c>
      <c r="CE874">
        <f>'T_SelfStock'!CC11</f>
        <v/>
      </c>
      <c r="CF874">
        <f>'T_SelfStock'!CD11</f>
        <v/>
      </c>
      <c r="CG874">
        <f>'T_SelfStock'!CE11</f>
        <v/>
      </c>
      <c r="CH874">
        <f>'T_SelfStock'!CF11</f>
        <v/>
      </c>
      <c r="CI874">
        <f>'T_SelfStock'!CG11</f>
        <v/>
      </c>
      <c r="CJ874">
        <f>'T_SelfStock'!CH11</f>
        <v/>
      </c>
      <c r="CK874">
        <f>'T_SelfStock'!CI11</f>
        <v/>
      </c>
      <c r="CL874">
        <f>'T_SelfStock'!CJ11</f>
        <v/>
      </c>
      <c r="CM874">
        <f>'T_SelfStock'!CK11</f>
        <v/>
      </c>
      <c r="CN874">
        <f>'T_SelfStock'!CL11</f>
        <v/>
      </c>
      <c r="CO874">
        <f>'T_SelfStock'!CM11</f>
        <v/>
      </c>
      <c r="CP874">
        <f>'T_SelfStock'!CN11</f>
        <v/>
      </c>
      <c r="CQ874">
        <f>'T_SelfStock'!CO11</f>
        <v/>
      </c>
      <c r="CR874">
        <f>'T_SelfStock'!CP11</f>
        <v/>
      </c>
      <c r="CS874">
        <f>'T_SelfStock'!CQ11</f>
        <v/>
      </c>
      <c r="CT874">
        <f>'T_SelfStock'!CR11</f>
        <v/>
      </c>
      <c r="CU874">
        <f>'T_SelfStock'!CS11</f>
        <v/>
      </c>
      <c r="CV874">
        <f>'T_SelfStock'!CT11</f>
        <v/>
      </c>
      <c r="CW874">
        <f>'T_SelfStock'!CU11</f>
        <v/>
      </c>
      <c r="CX874">
        <f>'T_SelfStock'!CV11</f>
        <v/>
      </c>
      <c r="CY874">
        <f>'T_SelfStock'!CW11</f>
        <v/>
      </c>
      <c r="CZ874">
        <f>'T_SelfStock'!CX11</f>
        <v/>
      </c>
      <c r="DA874">
        <f>'T_SelfStock'!CY11</f>
        <v/>
      </c>
      <c r="DB874">
        <f>'T_SelfStock'!CZ11</f>
        <v/>
      </c>
      <c r="DC874">
        <f>'T_SelfStock'!DA11</f>
        <v/>
      </c>
    </row>
    <row r="875">
      <c r="B875" s="4" t="inlineStr">
        <is>
          <t>合計在庫(週末時点,kg)</t>
        </is>
      </c>
      <c r="D875">
        <f>'Grid_Stock'!B7</f>
        <v/>
      </c>
      <c r="E875">
        <f>'Grid_Stock'!C7</f>
        <v/>
      </c>
      <c r="F875">
        <f>'Grid_Stock'!D7</f>
        <v/>
      </c>
      <c r="G875">
        <f>'Grid_Stock'!E7</f>
        <v/>
      </c>
      <c r="H875">
        <f>'Grid_Stock'!F7</f>
        <v/>
      </c>
      <c r="I875">
        <f>'Grid_Stock'!G7</f>
        <v/>
      </c>
      <c r="J875">
        <f>'Grid_Stock'!H7</f>
        <v/>
      </c>
      <c r="K875">
        <f>'Grid_Stock'!I7</f>
        <v/>
      </c>
      <c r="L875">
        <f>'Grid_Stock'!J7</f>
        <v/>
      </c>
      <c r="M875">
        <f>'Grid_Stock'!K7</f>
        <v/>
      </c>
      <c r="N875">
        <f>'Grid_Stock'!L7</f>
        <v/>
      </c>
      <c r="O875">
        <f>'Grid_Stock'!M7</f>
        <v/>
      </c>
      <c r="P875">
        <f>'Grid_Stock'!N7</f>
        <v/>
      </c>
      <c r="Q875">
        <f>'Grid_Stock'!O7</f>
        <v/>
      </c>
      <c r="R875">
        <f>'Grid_Stock'!P7</f>
        <v/>
      </c>
      <c r="S875">
        <f>'Grid_Stock'!Q7</f>
        <v/>
      </c>
      <c r="T875">
        <f>'Grid_Stock'!R7</f>
        <v/>
      </c>
      <c r="U875">
        <f>'Grid_Stock'!S7</f>
        <v/>
      </c>
      <c r="V875">
        <f>'Grid_Stock'!T7</f>
        <v/>
      </c>
      <c r="W875">
        <f>'Grid_Stock'!U7</f>
        <v/>
      </c>
      <c r="X875">
        <f>'Grid_Stock'!V7</f>
        <v/>
      </c>
      <c r="Y875">
        <f>'Grid_Stock'!W7</f>
        <v/>
      </c>
      <c r="Z875">
        <f>'Grid_Stock'!X7</f>
        <v/>
      </c>
      <c r="AA875">
        <f>'Grid_Stock'!Y7</f>
        <v/>
      </c>
      <c r="AB875">
        <f>'Grid_Stock'!Z7</f>
        <v/>
      </c>
      <c r="AC875">
        <f>'Grid_Stock'!AA7</f>
        <v/>
      </c>
      <c r="AD875">
        <f>'Grid_Stock'!AB7</f>
        <v/>
      </c>
      <c r="AE875">
        <f>'Grid_Stock'!AC7</f>
        <v/>
      </c>
      <c r="AF875">
        <f>'Grid_Stock'!AD7</f>
        <v/>
      </c>
      <c r="AG875">
        <f>'Grid_Stock'!AE7</f>
        <v/>
      </c>
      <c r="AH875">
        <f>'Grid_Stock'!AF7</f>
        <v/>
      </c>
      <c r="AI875">
        <f>'Grid_Stock'!AG7</f>
        <v/>
      </c>
      <c r="AJ875">
        <f>'Grid_Stock'!AH7</f>
        <v/>
      </c>
      <c r="AK875">
        <f>'Grid_Stock'!AI7</f>
        <v/>
      </c>
      <c r="AL875">
        <f>'Grid_Stock'!AJ7</f>
        <v/>
      </c>
      <c r="AM875">
        <f>'Grid_Stock'!AK7</f>
        <v/>
      </c>
      <c r="AN875">
        <f>'Grid_Stock'!AL7</f>
        <v/>
      </c>
      <c r="AO875">
        <f>'Grid_Stock'!AM7</f>
        <v/>
      </c>
      <c r="AP875">
        <f>'Grid_Stock'!AN7</f>
        <v/>
      </c>
      <c r="AQ875">
        <f>'Grid_Stock'!AO7</f>
        <v/>
      </c>
      <c r="AR875">
        <f>'Grid_Stock'!AP7</f>
        <v/>
      </c>
      <c r="AS875">
        <f>'Grid_Stock'!AQ7</f>
        <v/>
      </c>
      <c r="AT875">
        <f>'Grid_Stock'!AR7</f>
        <v/>
      </c>
      <c r="AU875">
        <f>'Grid_Stock'!AS7</f>
        <v/>
      </c>
      <c r="AV875">
        <f>'Grid_Stock'!AT7</f>
        <v/>
      </c>
      <c r="AW875">
        <f>'Grid_Stock'!AU7</f>
        <v/>
      </c>
      <c r="AX875">
        <f>'Grid_Stock'!AV7</f>
        <v/>
      </c>
      <c r="AY875">
        <f>'Grid_Stock'!AW7</f>
        <v/>
      </c>
      <c r="AZ875">
        <f>'Grid_Stock'!AX7</f>
        <v/>
      </c>
      <c r="BA875">
        <f>'Grid_Stock'!AY7</f>
        <v/>
      </c>
      <c r="BB875">
        <f>'Grid_Stock'!AZ7</f>
        <v/>
      </c>
      <c r="BC875">
        <f>'Grid_Stock'!BA7</f>
        <v/>
      </c>
      <c r="BD875">
        <f>'Grid_Stock'!BB7</f>
        <v/>
      </c>
      <c r="BE875">
        <f>'Grid_Stock'!BC7</f>
        <v/>
      </c>
      <c r="BF875">
        <f>'Grid_Stock'!BD7</f>
        <v/>
      </c>
      <c r="BG875">
        <f>'Grid_Stock'!BE7</f>
        <v/>
      </c>
      <c r="BH875">
        <f>'Grid_Stock'!BF7</f>
        <v/>
      </c>
      <c r="BI875">
        <f>'Grid_Stock'!BG7</f>
        <v/>
      </c>
      <c r="BJ875">
        <f>'Grid_Stock'!BH7</f>
        <v/>
      </c>
      <c r="BK875">
        <f>'Grid_Stock'!BI7</f>
        <v/>
      </c>
      <c r="BL875">
        <f>'Grid_Stock'!BJ7</f>
        <v/>
      </c>
      <c r="BM875">
        <f>'Grid_Stock'!BK7</f>
        <v/>
      </c>
      <c r="BN875">
        <f>'Grid_Stock'!BL7</f>
        <v/>
      </c>
      <c r="BO875">
        <f>'Grid_Stock'!BM7</f>
        <v/>
      </c>
      <c r="BP875">
        <f>'Grid_Stock'!BN7</f>
        <v/>
      </c>
      <c r="BQ875">
        <f>'Grid_Stock'!BO7</f>
        <v/>
      </c>
      <c r="BR875">
        <f>'Grid_Stock'!BP7</f>
        <v/>
      </c>
      <c r="BS875">
        <f>'Grid_Stock'!BQ7</f>
        <v/>
      </c>
      <c r="BT875">
        <f>'Grid_Stock'!BR7</f>
        <v/>
      </c>
      <c r="BU875">
        <f>'Grid_Stock'!BS7</f>
        <v/>
      </c>
      <c r="BV875">
        <f>'Grid_Stock'!BT7</f>
        <v/>
      </c>
      <c r="BW875">
        <f>'Grid_Stock'!BU7</f>
        <v/>
      </c>
      <c r="BX875">
        <f>'Grid_Stock'!BV7</f>
        <v/>
      </c>
      <c r="BY875">
        <f>'Grid_Stock'!BW7</f>
        <v/>
      </c>
      <c r="BZ875">
        <f>'Grid_Stock'!BX7</f>
        <v/>
      </c>
      <c r="CA875">
        <f>'Grid_Stock'!BY7</f>
        <v/>
      </c>
      <c r="CB875">
        <f>'Grid_Stock'!BZ7</f>
        <v/>
      </c>
      <c r="CC875">
        <f>'Grid_Stock'!CA7</f>
        <v/>
      </c>
      <c r="CD875">
        <f>'Grid_Stock'!CB7</f>
        <v/>
      </c>
      <c r="CE875">
        <f>'Grid_Stock'!CC7</f>
        <v/>
      </c>
      <c r="CF875">
        <f>'Grid_Stock'!CD7</f>
        <v/>
      </c>
      <c r="CG875">
        <f>'Grid_Stock'!CE7</f>
        <v/>
      </c>
      <c r="CH875">
        <f>'Grid_Stock'!CF7</f>
        <v/>
      </c>
      <c r="CI875">
        <f>'Grid_Stock'!CG7</f>
        <v/>
      </c>
      <c r="CJ875">
        <f>'Grid_Stock'!CH7</f>
        <v/>
      </c>
      <c r="CK875">
        <f>'Grid_Stock'!CI7</f>
        <v/>
      </c>
      <c r="CL875">
        <f>'Grid_Stock'!CJ7</f>
        <v/>
      </c>
      <c r="CM875">
        <f>'Grid_Stock'!CK7</f>
        <v/>
      </c>
      <c r="CN875">
        <f>'Grid_Stock'!CL7</f>
        <v/>
      </c>
      <c r="CO875">
        <f>'Grid_Stock'!CM7</f>
        <v/>
      </c>
      <c r="CP875">
        <f>'Grid_Stock'!CN7</f>
        <v/>
      </c>
      <c r="CQ875">
        <f>'Grid_Stock'!CO7</f>
        <v/>
      </c>
      <c r="CR875">
        <f>'Grid_Stock'!CP7</f>
        <v/>
      </c>
      <c r="CS875">
        <f>'Grid_Stock'!CQ7</f>
        <v/>
      </c>
      <c r="CT875">
        <f>'Grid_Stock'!CR7</f>
        <v/>
      </c>
      <c r="CU875">
        <f>'Grid_Stock'!CS7</f>
        <v/>
      </c>
      <c r="CV875">
        <f>'Grid_Stock'!CT7</f>
        <v/>
      </c>
      <c r="CW875">
        <f>'Grid_Stock'!CU7</f>
        <v/>
      </c>
      <c r="CX875">
        <f>'Grid_Stock'!CV7</f>
        <v/>
      </c>
      <c r="CY875">
        <f>'Grid_Stock'!CW7</f>
        <v/>
      </c>
      <c r="CZ875">
        <f>'Grid_Stock'!CX7</f>
        <v/>
      </c>
      <c r="DA875">
        <f>'Grid_Stock'!CY7</f>
        <v/>
      </c>
      <c r="DB875">
        <f>'Grid_Stock'!CZ7</f>
        <v/>
      </c>
      <c r="DC875">
        <f>'Grid_Stock'!DA7</f>
        <v/>
      </c>
    </row>
    <row r="876">
      <c r="B876" s="16" t="inlineStr">
        <is>
          <t>（発注の目安はDashboardの基準在庫[下限/上限]と色分けを参照）</t>
        </is>
      </c>
    </row>
    <row r="878">
      <c r="A878" s="14" t="inlineStr">
        <is>
          <t>CHEM-1700</t>
        </is>
      </c>
      <c r="B878" s="14" t="inlineStr">
        <is>
          <t>TepyrusCT38</t>
        </is>
      </c>
      <c r="C878" s="15" t="n"/>
      <c r="D878" s="14" t="n"/>
      <c r="E878" s="14" t="n"/>
      <c r="F878" s="14" t="n"/>
      <c r="G878" s="14" t="n"/>
      <c r="H878" s="14" t="n"/>
      <c r="I878" s="14" t="n"/>
      <c r="J878" s="14" t="n"/>
      <c r="K878" s="14" t="n"/>
      <c r="L878" s="14" t="n"/>
      <c r="M878" s="14" t="n"/>
      <c r="N878" s="14" t="n"/>
      <c r="O878" s="14" t="n"/>
      <c r="P878" s="14" t="n"/>
      <c r="Q878" s="14" t="n"/>
      <c r="R878" s="14" t="n"/>
      <c r="S878" s="14" t="n"/>
      <c r="T878" s="14" t="n"/>
      <c r="U878" s="14" t="n"/>
      <c r="V878" s="14" t="n"/>
      <c r="W878" s="14" t="n"/>
      <c r="X878" s="14" t="n"/>
      <c r="Y878" s="14" t="n"/>
      <c r="Z878" s="14" t="n"/>
      <c r="AA878" s="14" t="n"/>
      <c r="AB878" s="14" t="n"/>
      <c r="AC878" s="14" t="n"/>
      <c r="AD878" s="14" t="n"/>
      <c r="AE878" s="14" t="n"/>
      <c r="AF878" s="14" t="n"/>
      <c r="AG878" s="14" t="n"/>
      <c r="AH878" s="14" t="n"/>
      <c r="AI878" s="14" t="n"/>
      <c r="AJ878" s="14" t="n"/>
      <c r="AK878" s="14" t="n"/>
      <c r="AL878" s="14" t="n"/>
      <c r="AM878" s="14" t="n"/>
      <c r="AN878" s="14" t="n"/>
      <c r="AO878" s="14" t="n"/>
      <c r="AP878" s="14" t="n"/>
      <c r="AQ878" s="14" t="n"/>
      <c r="AR878" s="14" t="n"/>
      <c r="AS878" s="14" t="n"/>
      <c r="AT878" s="14" t="n"/>
      <c r="AU878" s="14" t="n"/>
      <c r="AV878" s="14" t="n"/>
      <c r="AW878" s="14" t="n"/>
      <c r="AX878" s="14" t="n"/>
      <c r="AY878" s="14" t="n"/>
      <c r="AZ878" s="14" t="n"/>
      <c r="BA878" s="14" t="n"/>
      <c r="BB878" s="14" t="n"/>
      <c r="BC878" s="14" t="n"/>
      <c r="BD878" s="14" t="n"/>
      <c r="BE878" s="14" t="n"/>
      <c r="BF878" s="14" t="n"/>
      <c r="BG878" s="14" t="n"/>
      <c r="BH878" s="14" t="n"/>
      <c r="BI878" s="14" t="n"/>
      <c r="BJ878" s="14" t="n"/>
      <c r="BK878" s="14" t="n"/>
      <c r="BL878" s="14" t="n"/>
      <c r="BM878" s="14" t="n"/>
      <c r="BN878" s="14" t="n"/>
      <c r="BO878" s="14" t="n"/>
      <c r="BP878" s="14" t="n"/>
      <c r="BQ878" s="14" t="n"/>
      <c r="BR878" s="14" t="n"/>
      <c r="BS878" s="14" t="n"/>
      <c r="BT878" s="14" t="n"/>
      <c r="BU878" s="14" t="n"/>
      <c r="BV878" s="14" t="n"/>
      <c r="BW878" s="14" t="n"/>
      <c r="BX878" s="14" t="n"/>
      <c r="BY878" s="14" t="n"/>
      <c r="BZ878" s="14" t="n"/>
      <c r="CA878" s="14" t="n"/>
      <c r="CB878" s="14" t="n"/>
      <c r="CC878" s="14" t="n"/>
      <c r="CD878" s="14" t="n"/>
      <c r="CE878" s="14" t="n"/>
      <c r="CF878" s="14" t="n"/>
      <c r="CG878" s="14" t="n"/>
      <c r="CH878" s="14" t="n"/>
      <c r="CI878" s="14" t="n"/>
      <c r="CJ878" s="14" t="n"/>
      <c r="CK878" s="14" t="n"/>
      <c r="CL878" s="14" t="n"/>
      <c r="CM878" s="14" t="n"/>
      <c r="CN878" s="14" t="n"/>
      <c r="CO878" s="14" t="n"/>
      <c r="CP878" s="14" t="n"/>
      <c r="CQ878" s="14" t="n"/>
      <c r="CR878" s="14" t="n"/>
      <c r="CS878" s="14" t="n"/>
      <c r="CT878" s="14" t="n"/>
      <c r="CU878" s="14" t="n"/>
      <c r="CV878" s="14" t="n"/>
      <c r="CW878" s="14" t="n"/>
      <c r="CX878" s="14" t="n"/>
      <c r="CY878" s="14" t="n"/>
      <c r="CZ878" s="14" t="n"/>
      <c r="DA878" s="14" t="n"/>
      <c r="DB878" s="14" t="n"/>
      <c r="DC878" s="14" t="n"/>
    </row>
    <row r="879">
      <c r="B879" t="inlineStr">
        <is>
          <t>TSP-620</t>
        </is>
      </c>
      <c r="C879" t="inlineStr">
        <is>
          <t>No. of batches</t>
        </is>
      </c>
      <c r="D879">
        <f>IFERROR(INDEX(PP_Grid[#Data],$DD879,2),0)</f>
        <v/>
      </c>
      <c r="E879">
        <f>IFERROR(INDEX(PP_Grid[#Data],$DD879,3),0)</f>
        <v/>
      </c>
      <c r="F879">
        <f>IFERROR(INDEX(PP_Grid[#Data],$DD879,4),0)</f>
        <v/>
      </c>
      <c r="G879">
        <f>IFERROR(INDEX(PP_Grid[#Data],$DD879,5),0)</f>
        <v/>
      </c>
      <c r="H879">
        <f>IFERROR(INDEX(PP_Grid[#Data],$DD879,6),0)</f>
        <v/>
      </c>
      <c r="I879">
        <f>IFERROR(INDEX(PP_Grid[#Data],$DD879,7),0)</f>
        <v/>
      </c>
      <c r="J879">
        <f>IFERROR(INDEX(PP_Grid[#Data],$DD879,8),0)</f>
        <v/>
      </c>
      <c r="K879">
        <f>IFERROR(INDEX(PP_Grid[#Data],$DD879,9),0)</f>
        <v/>
      </c>
      <c r="L879">
        <f>IFERROR(INDEX(PP_Grid[#Data],$DD879,10),0)</f>
        <v/>
      </c>
      <c r="M879">
        <f>IFERROR(INDEX(PP_Grid[#Data],$DD879,11),0)</f>
        <v/>
      </c>
      <c r="N879">
        <f>IFERROR(INDEX(PP_Grid[#Data],$DD879,12),0)</f>
        <v/>
      </c>
      <c r="O879">
        <f>IFERROR(INDEX(PP_Grid[#Data],$DD879,13),0)</f>
        <v/>
      </c>
      <c r="P879">
        <f>IFERROR(INDEX(PP_Grid[#Data],$DD879,14),0)</f>
        <v/>
      </c>
      <c r="Q879">
        <f>IFERROR(INDEX(PP_Grid[#Data],$DD879,15),0)</f>
        <v/>
      </c>
      <c r="R879">
        <f>IFERROR(INDEX(PP_Grid[#Data],$DD879,16),0)</f>
        <v/>
      </c>
      <c r="S879">
        <f>IFERROR(INDEX(PP_Grid[#Data],$DD879,17),0)</f>
        <v/>
      </c>
      <c r="T879">
        <f>IFERROR(INDEX(PP_Grid[#Data],$DD879,18),0)</f>
        <v/>
      </c>
      <c r="U879">
        <f>IFERROR(INDEX(PP_Grid[#Data],$DD879,19),0)</f>
        <v/>
      </c>
      <c r="V879">
        <f>IFERROR(INDEX(PP_Grid[#Data],$DD879,20),0)</f>
        <v/>
      </c>
      <c r="W879">
        <f>IFERROR(INDEX(PP_Grid[#Data],$DD879,21),0)</f>
        <v/>
      </c>
      <c r="X879">
        <f>IFERROR(INDEX(PP_Grid[#Data],$DD879,22),0)</f>
        <v/>
      </c>
      <c r="Y879">
        <f>IFERROR(INDEX(PP_Grid[#Data],$DD879,23),0)</f>
        <v/>
      </c>
      <c r="Z879">
        <f>IFERROR(INDEX(PP_Grid[#Data],$DD879,24),0)</f>
        <v/>
      </c>
      <c r="AA879">
        <f>IFERROR(INDEX(PP_Grid[#Data],$DD879,25),0)</f>
        <v/>
      </c>
      <c r="AB879">
        <f>IFERROR(INDEX(PP_Grid[#Data],$DD879,26),0)</f>
        <v/>
      </c>
      <c r="AC879">
        <f>IFERROR(INDEX(PP_Grid[#Data],$DD879,27),0)</f>
        <v/>
      </c>
      <c r="AD879">
        <f>IFERROR(INDEX(PP_Grid[#Data],$DD879,28),0)</f>
        <v/>
      </c>
      <c r="AE879">
        <f>IFERROR(INDEX(PP_Grid[#Data],$DD879,29),0)</f>
        <v/>
      </c>
      <c r="AF879">
        <f>IFERROR(INDEX(PP_Grid[#Data],$DD879,30),0)</f>
        <v/>
      </c>
      <c r="AG879">
        <f>IFERROR(INDEX(PP_Grid[#Data],$DD879,31),0)</f>
        <v/>
      </c>
      <c r="AH879">
        <f>IFERROR(INDEX(PP_Grid[#Data],$DD879,32),0)</f>
        <v/>
      </c>
      <c r="AI879">
        <f>IFERROR(INDEX(PP_Grid[#Data],$DD879,33),0)</f>
        <v/>
      </c>
      <c r="AJ879">
        <f>IFERROR(INDEX(PP_Grid[#Data],$DD879,34),0)</f>
        <v/>
      </c>
      <c r="AK879">
        <f>IFERROR(INDEX(PP_Grid[#Data],$DD879,35),0)</f>
        <v/>
      </c>
      <c r="AL879">
        <f>IFERROR(INDEX(PP_Grid[#Data],$DD879,36),0)</f>
        <v/>
      </c>
      <c r="AM879">
        <f>IFERROR(INDEX(PP_Grid[#Data],$DD879,37),0)</f>
        <v/>
      </c>
      <c r="AN879">
        <f>IFERROR(INDEX(PP_Grid[#Data],$DD879,38),0)</f>
        <v/>
      </c>
      <c r="AO879">
        <f>IFERROR(INDEX(PP_Grid[#Data],$DD879,39),0)</f>
        <v/>
      </c>
      <c r="AP879">
        <f>IFERROR(INDEX(PP_Grid[#Data],$DD879,40),0)</f>
        <v/>
      </c>
      <c r="AQ879">
        <f>IFERROR(INDEX(PP_Grid[#Data],$DD879,41),0)</f>
        <v/>
      </c>
      <c r="AR879">
        <f>IFERROR(INDEX(PP_Grid[#Data],$DD879,42),0)</f>
        <v/>
      </c>
      <c r="AS879">
        <f>IFERROR(INDEX(PP_Grid[#Data],$DD879,43),0)</f>
        <v/>
      </c>
      <c r="AT879">
        <f>IFERROR(INDEX(PP_Grid[#Data],$DD879,44),0)</f>
        <v/>
      </c>
      <c r="AU879">
        <f>IFERROR(INDEX(PP_Grid[#Data],$DD879,45),0)</f>
        <v/>
      </c>
      <c r="AV879">
        <f>IFERROR(INDEX(PP_Grid[#Data],$DD879,46),0)</f>
        <v/>
      </c>
      <c r="AW879">
        <f>IFERROR(INDEX(PP_Grid[#Data],$DD879,47),0)</f>
        <v/>
      </c>
      <c r="AX879">
        <f>IFERROR(INDEX(PP_Grid[#Data],$DD879,48),0)</f>
        <v/>
      </c>
      <c r="AY879">
        <f>IFERROR(INDEX(PP_Grid[#Data],$DD879,49),0)</f>
        <v/>
      </c>
      <c r="AZ879">
        <f>IFERROR(INDEX(PP_Grid[#Data],$DD879,50),0)</f>
        <v/>
      </c>
      <c r="BA879">
        <f>IFERROR(INDEX(PP_Grid[#Data],$DD879,51),0)</f>
        <v/>
      </c>
      <c r="BB879">
        <f>IFERROR(INDEX(PP_Grid[#Data],$DD879,52),0)</f>
        <v/>
      </c>
      <c r="BC879">
        <f>IFERROR(INDEX(PP_Grid[#Data],$DD879,53),0)</f>
        <v/>
      </c>
      <c r="BD879">
        <f>IFERROR(INDEX(PP_Grid[#Data],$DD879,54),0)</f>
        <v/>
      </c>
      <c r="BE879">
        <f>IFERROR(INDEX(PP_Grid[#Data],$DD879,55),0)</f>
        <v/>
      </c>
      <c r="BF879">
        <f>IFERROR(INDEX(PP_Grid[#Data],$DD879,56),0)</f>
        <v/>
      </c>
      <c r="BG879">
        <f>IFERROR(INDEX(PP_Grid[#Data],$DD879,57),0)</f>
        <v/>
      </c>
      <c r="BH879">
        <f>IFERROR(INDEX(PP_Grid[#Data],$DD879,58),0)</f>
        <v/>
      </c>
      <c r="BI879">
        <f>IFERROR(INDEX(PP_Grid[#Data],$DD879,59),0)</f>
        <v/>
      </c>
      <c r="BJ879">
        <f>IFERROR(INDEX(PP_Grid[#Data],$DD879,60),0)</f>
        <v/>
      </c>
      <c r="BK879">
        <f>IFERROR(INDEX(PP_Grid[#Data],$DD879,61),0)</f>
        <v/>
      </c>
      <c r="BL879">
        <f>IFERROR(INDEX(PP_Grid[#Data],$DD879,62),0)</f>
        <v/>
      </c>
      <c r="BM879">
        <f>IFERROR(INDEX(PP_Grid[#Data],$DD879,63),0)</f>
        <v/>
      </c>
      <c r="BN879">
        <f>IFERROR(INDEX(PP_Grid[#Data],$DD879,64),0)</f>
        <v/>
      </c>
      <c r="BO879">
        <f>IFERROR(INDEX(PP_Grid[#Data],$DD879,65),0)</f>
        <v/>
      </c>
      <c r="BP879">
        <f>IFERROR(INDEX(PP_Grid[#Data],$DD879,66),0)</f>
        <v/>
      </c>
      <c r="BQ879">
        <f>IFERROR(INDEX(PP_Grid[#Data],$DD879,67),0)</f>
        <v/>
      </c>
      <c r="BR879">
        <f>IFERROR(INDEX(PP_Grid[#Data],$DD879,68),0)</f>
        <v/>
      </c>
      <c r="BS879">
        <f>IFERROR(INDEX(PP_Grid[#Data],$DD879,69),0)</f>
        <v/>
      </c>
      <c r="BT879">
        <f>IFERROR(INDEX(PP_Grid[#Data],$DD879,70),0)</f>
        <v/>
      </c>
      <c r="BU879">
        <f>IFERROR(INDEX(PP_Grid[#Data],$DD879,71),0)</f>
        <v/>
      </c>
      <c r="BV879">
        <f>IFERROR(INDEX(PP_Grid[#Data],$DD879,72),0)</f>
        <v/>
      </c>
      <c r="BW879">
        <f>IFERROR(INDEX(PP_Grid[#Data],$DD879,73),0)</f>
        <v/>
      </c>
      <c r="BX879">
        <f>IFERROR(INDEX(PP_Grid[#Data],$DD879,74),0)</f>
        <v/>
      </c>
      <c r="BY879">
        <f>IFERROR(INDEX(PP_Grid[#Data],$DD879,75),0)</f>
        <v/>
      </c>
      <c r="BZ879">
        <f>IFERROR(INDEX(PP_Grid[#Data],$DD879,76),0)</f>
        <v/>
      </c>
      <c r="CA879">
        <f>IFERROR(INDEX(PP_Grid[#Data],$DD879,77),0)</f>
        <v/>
      </c>
      <c r="CB879">
        <f>IFERROR(INDEX(PP_Grid[#Data],$DD879,78),0)</f>
        <v/>
      </c>
      <c r="CC879">
        <f>IFERROR(INDEX(PP_Grid[#Data],$DD879,79),0)</f>
        <v/>
      </c>
      <c r="CD879">
        <f>IFERROR(INDEX(PP_Grid[#Data],$DD879,80),0)</f>
        <v/>
      </c>
      <c r="CE879">
        <f>IFERROR(INDEX(PP_Grid[#Data],$DD879,81),0)</f>
        <v/>
      </c>
      <c r="CF879">
        <f>IFERROR(INDEX(PP_Grid[#Data],$DD879,82),0)</f>
        <v/>
      </c>
      <c r="CG879">
        <f>IFERROR(INDEX(PP_Grid[#Data],$DD879,83),0)</f>
        <v/>
      </c>
      <c r="CH879">
        <f>IFERROR(INDEX(PP_Grid[#Data],$DD879,84),0)</f>
        <v/>
      </c>
      <c r="CI879">
        <f>IFERROR(INDEX(PP_Grid[#Data],$DD879,85),0)</f>
        <v/>
      </c>
      <c r="CJ879">
        <f>IFERROR(INDEX(PP_Grid[#Data],$DD879,86),0)</f>
        <v/>
      </c>
      <c r="CK879">
        <f>IFERROR(INDEX(PP_Grid[#Data],$DD879,87),0)</f>
        <v/>
      </c>
      <c r="CL879">
        <f>IFERROR(INDEX(PP_Grid[#Data],$DD879,88),0)</f>
        <v/>
      </c>
      <c r="CM879">
        <f>IFERROR(INDEX(PP_Grid[#Data],$DD879,89),0)</f>
        <v/>
      </c>
      <c r="CN879">
        <f>IFERROR(INDEX(PP_Grid[#Data],$DD879,90),0)</f>
        <v/>
      </c>
      <c r="CO879">
        <f>IFERROR(INDEX(PP_Grid[#Data],$DD879,91),0)</f>
        <v/>
      </c>
      <c r="CP879">
        <f>IFERROR(INDEX(PP_Grid[#Data],$DD879,92),0)</f>
        <v/>
      </c>
      <c r="CQ879">
        <f>IFERROR(INDEX(PP_Grid[#Data],$DD879,93),0)</f>
        <v/>
      </c>
      <c r="CR879">
        <f>IFERROR(INDEX(PP_Grid[#Data],$DD879,94),0)</f>
        <v/>
      </c>
      <c r="CS879">
        <f>IFERROR(INDEX(PP_Grid[#Data],$DD879,95),0)</f>
        <v/>
      </c>
      <c r="CT879">
        <f>IFERROR(INDEX(PP_Grid[#Data],$DD879,96),0)</f>
        <v/>
      </c>
      <c r="CU879">
        <f>IFERROR(INDEX(PP_Grid[#Data],$DD879,97),0)</f>
        <v/>
      </c>
      <c r="CV879">
        <f>IFERROR(INDEX(PP_Grid[#Data],$DD879,98),0)</f>
        <v/>
      </c>
      <c r="CW879">
        <f>IFERROR(INDEX(PP_Grid[#Data],$DD879,99),0)</f>
        <v/>
      </c>
      <c r="CX879">
        <f>IFERROR(INDEX(PP_Grid[#Data],$DD879,100),0)</f>
        <v/>
      </c>
      <c r="CY879">
        <f>IFERROR(INDEX(PP_Grid[#Data],$DD879,101),0)</f>
        <v/>
      </c>
      <c r="CZ879">
        <f>IFERROR(INDEX(PP_Grid[#Data],$DD879,102),0)</f>
        <v/>
      </c>
      <c r="DA879">
        <f>IFERROR(INDEX(PP_Grid[#Data],$DD879,103),0)</f>
        <v/>
      </c>
      <c r="DB879">
        <f>IFERROR(INDEX(PP_Grid[#Data],$DD879,104),0)</f>
        <v/>
      </c>
      <c r="DC879">
        <f>IFERROR(INDEX(PP_Grid[#Data],$DD879,105),0)</f>
        <v/>
      </c>
      <c r="DD879" s="7">
        <f>IFERROR(MATCH($B879,PP_Grid[Intermediate],0),99999)</f>
        <v/>
      </c>
    </row>
    <row r="880">
      <c r="B880" t="inlineStr">
        <is>
          <t>使用量(kg)</t>
        </is>
      </c>
      <c r="C880">
        <f>SUMIFS(M_BOM[RM_Qty_Per_Batch],M_BOM[Intermediate],$B879,M_BOM[Part Name],$A878)</f>
        <v/>
      </c>
      <c r="D880">
        <f>$C880*D879</f>
        <v/>
      </c>
      <c r="E880">
        <f>$C880*E879</f>
        <v/>
      </c>
      <c r="F880">
        <f>$C880*F879</f>
        <v/>
      </c>
      <c r="G880">
        <f>$C880*G879</f>
        <v/>
      </c>
      <c r="H880">
        <f>$C880*H879</f>
        <v/>
      </c>
      <c r="I880">
        <f>$C880*I879</f>
        <v/>
      </c>
      <c r="J880">
        <f>$C880*J879</f>
        <v/>
      </c>
      <c r="K880">
        <f>$C880*K879</f>
        <v/>
      </c>
      <c r="L880">
        <f>$C880*L879</f>
        <v/>
      </c>
      <c r="M880">
        <f>$C880*M879</f>
        <v/>
      </c>
      <c r="N880">
        <f>$C880*N879</f>
        <v/>
      </c>
      <c r="O880">
        <f>$C880*O879</f>
        <v/>
      </c>
      <c r="P880">
        <f>$C880*P879</f>
        <v/>
      </c>
      <c r="Q880">
        <f>$C880*Q879</f>
        <v/>
      </c>
      <c r="R880">
        <f>$C880*R879</f>
        <v/>
      </c>
      <c r="S880">
        <f>$C880*S879</f>
        <v/>
      </c>
      <c r="T880">
        <f>$C880*T879</f>
        <v/>
      </c>
      <c r="U880">
        <f>$C880*U879</f>
        <v/>
      </c>
      <c r="V880">
        <f>$C880*V879</f>
        <v/>
      </c>
      <c r="W880">
        <f>$C880*W879</f>
        <v/>
      </c>
      <c r="X880">
        <f>$C880*X879</f>
        <v/>
      </c>
      <c r="Y880">
        <f>$C880*Y879</f>
        <v/>
      </c>
      <c r="Z880">
        <f>$C880*Z879</f>
        <v/>
      </c>
      <c r="AA880">
        <f>$C880*AA879</f>
        <v/>
      </c>
      <c r="AB880">
        <f>$C880*AB879</f>
        <v/>
      </c>
      <c r="AC880">
        <f>$C880*AC879</f>
        <v/>
      </c>
      <c r="AD880">
        <f>$C880*AD879</f>
        <v/>
      </c>
      <c r="AE880">
        <f>$C880*AE879</f>
        <v/>
      </c>
      <c r="AF880">
        <f>$C880*AF879</f>
        <v/>
      </c>
      <c r="AG880">
        <f>$C880*AG879</f>
        <v/>
      </c>
      <c r="AH880">
        <f>$C880*AH879</f>
        <v/>
      </c>
      <c r="AI880">
        <f>$C880*AI879</f>
        <v/>
      </c>
      <c r="AJ880">
        <f>$C880*AJ879</f>
        <v/>
      </c>
      <c r="AK880">
        <f>$C880*AK879</f>
        <v/>
      </c>
      <c r="AL880">
        <f>$C880*AL879</f>
        <v/>
      </c>
      <c r="AM880">
        <f>$C880*AM879</f>
        <v/>
      </c>
      <c r="AN880">
        <f>$C880*AN879</f>
        <v/>
      </c>
      <c r="AO880">
        <f>$C880*AO879</f>
        <v/>
      </c>
      <c r="AP880">
        <f>$C880*AP879</f>
        <v/>
      </c>
      <c r="AQ880">
        <f>$C880*AQ879</f>
        <v/>
      </c>
      <c r="AR880">
        <f>$C880*AR879</f>
        <v/>
      </c>
      <c r="AS880">
        <f>$C880*AS879</f>
        <v/>
      </c>
      <c r="AT880">
        <f>$C880*AT879</f>
        <v/>
      </c>
      <c r="AU880">
        <f>$C880*AU879</f>
        <v/>
      </c>
      <c r="AV880">
        <f>$C880*AV879</f>
        <v/>
      </c>
      <c r="AW880">
        <f>$C880*AW879</f>
        <v/>
      </c>
      <c r="AX880">
        <f>$C880*AX879</f>
        <v/>
      </c>
      <c r="AY880">
        <f>$C880*AY879</f>
        <v/>
      </c>
      <c r="AZ880">
        <f>$C880*AZ879</f>
        <v/>
      </c>
      <c r="BA880">
        <f>$C880*BA879</f>
        <v/>
      </c>
      <c r="BB880">
        <f>$C880*BB879</f>
        <v/>
      </c>
      <c r="BC880">
        <f>$C880*BC879</f>
        <v/>
      </c>
      <c r="BD880">
        <f>$C880*BD879</f>
        <v/>
      </c>
      <c r="BE880">
        <f>$C880*BE879</f>
        <v/>
      </c>
      <c r="BF880">
        <f>$C880*BF879</f>
        <v/>
      </c>
      <c r="BG880">
        <f>$C880*BG879</f>
        <v/>
      </c>
      <c r="BH880">
        <f>$C880*BH879</f>
        <v/>
      </c>
      <c r="BI880">
        <f>$C880*BI879</f>
        <v/>
      </c>
      <c r="BJ880">
        <f>$C880*BJ879</f>
        <v/>
      </c>
      <c r="BK880">
        <f>$C880*BK879</f>
        <v/>
      </c>
      <c r="BL880">
        <f>$C880*BL879</f>
        <v/>
      </c>
      <c r="BM880">
        <f>$C880*BM879</f>
        <v/>
      </c>
      <c r="BN880">
        <f>$C880*BN879</f>
        <v/>
      </c>
      <c r="BO880">
        <f>$C880*BO879</f>
        <v/>
      </c>
      <c r="BP880">
        <f>$C880*BP879</f>
        <v/>
      </c>
      <c r="BQ880">
        <f>$C880*BQ879</f>
        <v/>
      </c>
      <c r="BR880">
        <f>$C880*BR879</f>
        <v/>
      </c>
      <c r="BS880">
        <f>$C880*BS879</f>
        <v/>
      </c>
      <c r="BT880">
        <f>$C880*BT879</f>
        <v/>
      </c>
      <c r="BU880">
        <f>$C880*BU879</f>
        <v/>
      </c>
      <c r="BV880">
        <f>$C880*BV879</f>
        <v/>
      </c>
      <c r="BW880">
        <f>$C880*BW879</f>
        <v/>
      </c>
      <c r="BX880">
        <f>$C880*BX879</f>
        <v/>
      </c>
      <c r="BY880">
        <f>$C880*BY879</f>
        <v/>
      </c>
      <c r="BZ880">
        <f>$C880*BZ879</f>
        <v/>
      </c>
      <c r="CA880">
        <f>$C880*CA879</f>
        <v/>
      </c>
      <c r="CB880">
        <f>$C880*CB879</f>
        <v/>
      </c>
      <c r="CC880">
        <f>$C880*CC879</f>
        <v/>
      </c>
      <c r="CD880">
        <f>$C880*CD879</f>
        <v/>
      </c>
      <c r="CE880">
        <f>$C880*CE879</f>
        <v/>
      </c>
      <c r="CF880">
        <f>$C880*CF879</f>
        <v/>
      </c>
      <c r="CG880">
        <f>$C880*CG879</f>
        <v/>
      </c>
      <c r="CH880">
        <f>$C880*CH879</f>
        <v/>
      </c>
      <c r="CI880">
        <f>$C880*CI879</f>
        <v/>
      </c>
      <c r="CJ880">
        <f>$C880*CJ879</f>
        <v/>
      </c>
      <c r="CK880">
        <f>$C880*CK879</f>
        <v/>
      </c>
      <c r="CL880">
        <f>$C880*CL879</f>
        <v/>
      </c>
      <c r="CM880">
        <f>$C880*CM879</f>
        <v/>
      </c>
      <c r="CN880">
        <f>$C880*CN879</f>
        <v/>
      </c>
      <c r="CO880">
        <f>$C880*CO879</f>
        <v/>
      </c>
      <c r="CP880">
        <f>$C880*CP879</f>
        <v/>
      </c>
      <c r="CQ880">
        <f>$C880*CQ879</f>
        <v/>
      </c>
      <c r="CR880">
        <f>$C880*CR879</f>
        <v/>
      </c>
      <c r="CS880">
        <f>$C880*CS879</f>
        <v/>
      </c>
      <c r="CT880">
        <f>$C880*CT879</f>
        <v/>
      </c>
      <c r="CU880">
        <f>$C880*CU879</f>
        <v/>
      </c>
      <c r="CV880">
        <f>$C880*CV879</f>
        <v/>
      </c>
      <c r="CW880">
        <f>$C880*CW879</f>
        <v/>
      </c>
      <c r="CX880">
        <f>$C880*CX879</f>
        <v/>
      </c>
      <c r="CY880">
        <f>$C880*CY879</f>
        <v/>
      </c>
      <c r="CZ880">
        <f>$C880*CZ879</f>
        <v/>
      </c>
      <c r="DA880">
        <f>$C880*DA879</f>
        <v/>
      </c>
      <c r="DB880">
        <f>$C880*DB879</f>
        <v/>
      </c>
      <c r="DC880">
        <f>$C880*DC879</f>
        <v/>
      </c>
    </row>
    <row r="881">
      <c r="B881" t="inlineStr">
        <is>
          <t>TSP-623</t>
        </is>
      </c>
      <c r="C881" t="inlineStr">
        <is>
          <t>No. of batches</t>
        </is>
      </c>
      <c r="D881">
        <f>IFERROR(INDEX(PP_Grid[#Data],$DD881,2),0)</f>
        <v/>
      </c>
      <c r="E881">
        <f>IFERROR(INDEX(PP_Grid[#Data],$DD881,3),0)</f>
        <v/>
      </c>
      <c r="F881">
        <f>IFERROR(INDEX(PP_Grid[#Data],$DD881,4),0)</f>
        <v/>
      </c>
      <c r="G881">
        <f>IFERROR(INDEX(PP_Grid[#Data],$DD881,5),0)</f>
        <v/>
      </c>
      <c r="H881">
        <f>IFERROR(INDEX(PP_Grid[#Data],$DD881,6),0)</f>
        <v/>
      </c>
      <c r="I881">
        <f>IFERROR(INDEX(PP_Grid[#Data],$DD881,7),0)</f>
        <v/>
      </c>
      <c r="J881">
        <f>IFERROR(INDEX(PP_Grid[#Data],$DD881,8),0)</f>
        <v/>
      </c>
      <c r="K881">
        <f>IFERROR(INDEX(PP_Grid[#Data],$DD881,9),0)</f>
        <v/>
      </c>
      <c r="L881">
        <f>IFERROR(INDEX(PP_Grid[#Data],$DD881,10),0)</f>
        <v/>
      </c>
      <c r="M881">
        <f>IFERROR(INDEX(PP_Grid[#Data],$DD881,11),0)</f>
        <v/>
      </c>
      <c r="N881">
        <f>IFERROR(INDEX(PP_Grid[#Data],$DD881,12),0)</f>
        <v/>
      </c>
      <c r="O881">
        <f>IFERROR(INDEX(PP_Grid[#Data],$DD881,13),0)</f>
        <v/>
      </c>
      <c r="P881">
        <f>IFERROR(INDEX(PP_Grid[#Data],$DD881,14),0)</f>
        <v/>
      </c>
      <c r="Q881">
        <f>IFERROR(INDEX(PP_Grid[#Data],$DD881,15),0)</f>
        <v/>
      </c>
      <c r="R881">
        <f>IFERROR(INDEX(PP_Grid[#Data],$DD881,16),0)</f>
        <v/>
      </c>
      <c r="S881">
        <f>IFERROR(INDEX(PP_Grid[#Data],$DD881,17),0)</f>
        <v/>
      </c>
      <c r="T881">
        <f>IFERROR(INDEX(PP_Grid[#Data],$DD881,18),0)</f>
        <v/>
      </c>
      <c r="U881">
        <f>IFERROR(INDEX(PP_Grid[#Data],$DD881,19),0)</f>
        <v/>
      </c>
      <c r="V881">
        <f>IFERROR(INDEX(PP_Grid[#Data],$DD881,20),0)</f>
        <v/>
      </c>
      <c r="W881">
        <f>IFERROR(INDEX(PP_Grid[#Data],$DD881,21),0)</f>
        <v/>
      </c>
      <c r="X881">
        <f>IFERROR(INDEX(PP_Grid[#Data],$DD881,22),0)</f>
        <v/>
      </c>
      <c r="Y881">
        <f>IFERROR(INDEX(PP_Grid[#Data],$DD881,23),0)</f>
        <v/>
      </c>
      <c r="Z881">
        <f>IFERROR(INDEX(PP_Grid[#Data],$DD881,24),0)</f>
        <v/>
      </c>
      <c r="AA881">
        <f>IFERROR(INDEX(PP_Grid[#Data],$DD881,25),0)</f>
        <v/>
      </c>
      <c r="AB881">
        <f>IFERROR(INDEX(PP_Grid[#Data],$DD881,26),0)</f>
        <v/>
      </c>
      <c r="AC881">
        <f>IFERROR(INDEX(PP_Grid[#Data],$DD881,27),0)</f>
        <v/>
      </c>
      <c r="AD881">
        <f>IFERROR(INDEX(PP_Grid[#Data],$DD881,28),0)</f>
        <v/>
      </c>
      <c r="AE881">
        <f>IFERROR(INDEX(PP_Grid[#Data],$DD881,29),0)</f>
        <v/>
      </c>
      <c r="AF881">
        <f>IFERROR(INDEX(PP_Grid[#Data],$DD881,30),0)</f>
        <v/>
      </c>
      <c r="AG881">
        <f>IFERROR(INDEX(PP_Grid[#Data],$DD881,31),0)</f>
        <v/>
      </c>
      <c r="AH881">
        <f>IFERROR(INDEX(PP_Grid[#Data],$DD881,32),0)</f>
        <v/>
      </c>
      <c r="AI881">
        <f>IFERROR(INDEX(PP_Grid[#Data],$DD881,33),0)</f>
        <v/>
      </c>
      <c r="AJ881">
        <f>IFERROR(INDEX(PP_Grid[#Data],$DD881,34),0)</f>
        <v/>
      </c>
      <c r="AK881">
        <f>IFERROR(INDEX(PP_Grid[#Data],$DD881,35),0)</f>
        <v/>
      </c>
      <c r="AL881">
        <f>IFERROR(INDEX(PP_Grid[#Data],$DD881,36),0)</f>
        <v/>
      </c>
      <c r="AM881">
        <f>IFERROR(INDEX(PP_Grid[#Data],$DD881,37),0)</f>
        <v/>
      </c>
      <c r="AN881">
        <f>IFERROR(INDEX(PP_Grid[#Data],$DD881,38),0)</f>
        <v/>
      </c>
      <c r="AO881">
        <f>IFERROR(INDEX(PP_Grid[#Data],$DD881,39),0)</f>
        <v/>
      </c>
      <c r="AP881">
        <f>IFERROR(INDEX(PP_Grid[#Data],$DD881,40),0)</f>
        <v/>
      </c>
      <c r="AQ881">
        <f>IFERROR(INDEX(PP_Grid[#Data],$DD881,41),0)</f>
        <v/>
      </c>
      <c r="AR881">
        <f>IFERROR(INDEX(PP_Grid[#Data],$DD881,42),0)</f>
        <v/>
      </c>
      <c r="AS881">
        <f>IFERROR(INDEX(PP_Grid[#Data],$DD881,43),0)</f>
        <v/>
      </c>
      <c r="AT881">
        <f>IFERROR(INDEX(PP_Grid[#Data],$DD881,44),0)</f>
        <v/>
      </c>
      <c r="AU881">
        <f>IFERROR(INDEX(PP_Grid[#Data],$DD881,45),0)</f>
        <v/>
      </c>
      <c r="AV881">
        <f>IFERROR(INDEX(PP_Grid[#Data],$DD881,46),0)</f>
        <v/>
      </c>
      <c r="AW881">
        <f>IFERROR(INDEX(PP_Grid[#Data],$DD881,47),0)</f>
        <v/>
      </c>
      <c r="AX881">
        <f>IFERROR(INDEX(PP_Grid[#Data],$DD881,48),0)</f>
        <v/>
      </c>
      <c r="AY881">
        <f>IFERROR(INDEX(PP_Grid[#Data],$DD881,49),0)</f>
        <v/>
      </c>
      <c r="AZ881">
        <f>IFERROR(INDEX(PP_Grid[#Data],$DD881,50),0)</f>
        <v/>
      </c>
      <c r="BA881">
        <f>IFERROR(INDEX(PP_Grid[#Data],$DD881,51),0)</f>
        <v/>
      </c>
      <c r="BB881">
        <f>IFERROR(INDEX(PP_Grid[#Data],$DD881,52),0)</f>
        <v/>
      </c>
      <c r="BC881">
        <f>IFERROR(INDEX(PP_Grid[#Data],$DD881,53),0)</f>
        <v/>
      </c>
      <c r="BD881">
        <f>IFERROR(INDEX(PP_Grid[#Data],$DD881,54),0)</f>
        <v/>
      </c>
      <c r="BE881">
        <f>IFERROR(INDEX(PP_Grid[#Data],$DD881,55),0)</f>
        <v/>
      </c>
      <c r="BF881">
        <f>IFERROR(INDEX(PP_Grid[#Data],$DD881,56),0)</f>
        <v/>
      </c>
      <c r="BG881">
        <f>IFERROR(INDEX(PP_Grid[#Data],$DD881,57),0)</f>
        <v/>
      </c>
      <c r="BH881">
        <f>IFERROR(INDEX(PP_Grid[#Data],$DD881,58),0)</f>
        <v/>
      </c>
      <c r="BI881">
        <f>IFERROR(INDEX(PP_Grid[#Data],$DD881,59),0)</f>
        <v/>
      </c>
      <c r="BJ881">
        <f>IFERROR(INDEX(PP_Grid[#Data],$DD881,60),0)</f>
        <v/>
      </c>
      <c r="BK881">
        <f>IFERROR(INDEX(PP_Grid[#Data],$DD881,61),0)</f>
        <v/>
      </c>
      <c r="BL881">
        <f>IFERROR(INDEX(PP_Grid[#Data],$DD881,62),0)</f>
        <v/>
      </c>
      <c r="BM881">
        <f>IFERROR(INDEX(PP_Grid[#Data],$DD881,63),0)</f>
        <v/>
      </c>
      <c r="BN881">
        <f>IFERROR(INDEX(PP_Grid[#Data],$DD881,64),0)</f>
        <v/>
      </c>
      <c r="BO881">
        <f>IFERROR(INDEX(PP_Grid[#Data],$DD881,65),0)</f>
        <v/>
      </c>
      <c r="BP881">
        <f>IFERROR(INDEX(PP_Grid[#Data],$DD881,66),0)</f>
        <v/>
      </c>
      <c r="BQ881">
        <f>IFERROR(INDEX(PP_Grid[#Data],$DD881,67),0)</f>
        <v/>
      </c>
      <c r="BR881">
        <f>IFERROR(INDEX(PP_Grid[#Data],$DD881,68),0)</f>
        <v/>
      </c>
      <c r="BS881">
        <f>IFERROR(INDEX(PP_Grid[#Data],$DD881,69),0)</f>
        <v/>
      </c>
      <c r="BT881">
        <f>IFERROR(INDEX(PP_Grid[#Data],$DD881,70),0)</f>
        <v/>
      </c>
      <c r="BU881">
        <f>IFERROR(INDEX(PP_Grid[#Data],$DD881,71),0)</f>
        <v/>
      </c>
      <c r="BV881">
        <f>IFERROR(INDEX(PP_Grid[#Data],$DD881,72),0)</f>
        <v/>
      </c>
      <c r="BW881">
        <f>IFERROR(INDEX(PP_Grid[#Data],$DD881,73),0)</f>
        <v/>
      </c>
      <c r="BX881">
        <f>IFERROR(INDEX(PP_Grid[#Data],$DD881,74),0)</f>
        <v/>
      </c>
      <c r="BY881">
        <f>IFERROR(INDEX(PP_Grid[#Data],$DD881,75),0)</f>
        <v/>
      </c>
      <c r="BZ881">
        <f>IFERROR(INDEX(PP_Grid[#Data],$DD881,76),0)</f>
        <v/>
      </c>
      <c r="CA881">
        <f>IFERROR(INDEX(PP_Grid[#Data],$DD881,77),0)</f>
        <v/>
      </c>
      <c r="CB881">
        <f>IFERROR(INDEX(PP_Grid[#Data],$DD881,78),0)</f>
        <v/>
      </c>
      <c r="CC881">
        <f>IFERROR(INDEX(PP_Grid[#Data],$DD881,79),0)</f>
        <v/>
      </c>
      <c r="CD881">
        <f>IFERROR(INDEX(PP_Grid[#Data],$DD881,80),0)</f>
        <v/>
      </c>
      <c r="CE881">
        <f>IFERROR(INDEX(PP_Grid[#Data],$DD881,81),0)</f>
        <v/>
      </c>
      <c r="CF881">
        <f>IFERROR(INDEX(PP_Grid[#Data],$DD881,82),0)</f>
        <v/>
      </c>
      <c r="CG881">
        <f>IFERROR(INDEX(PP_Grid[#Data],$DD881,83),0)</f>
        <v/>
      </c>
      <c r="CH881">
        <f>IFERROR(INDEX(PP_Grid[#Data],$DD881,84),0)</f>
        <v/>
      </c>
      <c r="CI881">
        <f>IFERROR(INDEX(PP_Grid[#Data],$DD881,85),0)</f>
        <v/>
      </c>
      <c r="CJ881">
        <f>IFERROR(INDEX(PP_Grid[#Data],$DD881,86),0)</f>
        <v/>
      </c>
      <c r="CK881">
        <f>IFERROR(INDEX(PP_Grid[#Data],$DD881,87),0)</f>
        <v/>
      </c>
      <c r="CL881">
        <f>IFERROR(INDEX(PP_Grid[#Data],$DD881,88),0)</f>
        <v/>
      </c>
      <c r="CM881">
        <f>IFERROR(INDEX(PP_Grid[#Data],$DD881,89),0)</f>
        <v/>
      </c>
      <c r="CN881">
        <f>IFERROR(INDEX(PP_Grid[#Data],$DD881,90),0)</f>
        <v/>
      </c>
      <c r="CO881">
        <f>IFERROR(INDEX(PP_Grid[#Data],$DD881,91),0)</f>
        <v/>
      </c>
      <c r="CP881">
        <f>IFERROR(INDEX(PP_Grid[#Data],$DD881,92),0)</f>
        <v/>
      </c>
      <c r="CQ881">
        <f>IFERROR(INDEX(PP_Grid[#Data],$DD881,93),0)</f>
        <v/>
      </c>
      <c r="CR881">
        <f>IFERROR(INDEX(PP_Grid[#Data],$DD881,94),0)</f>
        <v/>
      </c>
      <c r="CS881">
        <f>IFERROR(INDEX(PP_Grid[#Data],$DD881,95),0)</f>
        <v/>
      </c>
      <c r="CT881">
        <f>IFERROR(INDEX(PP_Grid[#Data],$DD881,96),0)</f>
        <v/>
      </c>
      <c r="CU881">
        <f>IFERROR(INDEX(PP_Grid[#Data],$DD881,97),0)</f>
        <v/>
      </c>
      <c r="CV881">
        <f>IFERROR(INDEX(PP_Grid[#Data],$DD881,98),0)</f>
        <v/>
      </c>
      <c r="CW881">
        <f>IFERROR(INDEX(PP_Grid[#Data],$DD881,99),0)</f>
        <v/>
      </c>
      <c r="CX881">
        <f>IFERROR(INDEX(PP_Grid[#Data],$DD881,100),0)</f>
        <v/>
      </c>
      <c r="CY881">
        <f>IFERROR(INDEX(PP_Grid[#Data],$DD881,101),0)</f>
        <v/>
      </c>
      <c r="CZ881">
        <f>IFERROR(INDEX(PP_Grid[#Data],$DD881,102),0)</f>
        <v/>
      </c>
      <c r="DA881">
        <f>IFERROR(INDEX(PP_Grid[#Data],$DD881,103),0)</f>
        <v/>
      </c>
      <c r="DB881">
        <f>IFERROR(INDEX(PP_Grid[#Data],$DD881,104),0)</f>
        <v/>
      </c>
      <c r="DC881">
        <f>IFERROR(INDEX(PP_Grid[#Data],$DD881,105),0)</f>
        <v/>
      </c>
      <c r="DD881" s="7">
        <f>IFERROR(MATCH($B881,PP_Grid[Intermediate],0),99999)</f>
        <v/>
      </c>
    </row>
    <row r="882">
      <c r="B882" t="inlineStr">
        <is>
          <t>使用量(kg)</t>
        </is>
      </c>
      <c r="C882">
        <f>SUMIFS(M_BOM[RM_Qty_Per_Batch],M_BOM[Intermediate],$B881,M_BOM[Part Name],$A878)</f>
        <v/>
      </c>
      <c r="D882">
        <f>$C882*D881</f>
        <v/>
      </c>
      <c r="E882">
        <f>$C882*E881</f>
        <v/>
      </c>
      <c r="F882">
        <f>$C882*F881</f>
        <v/>
      </c>
      <c r="G882">
        <f>$C882*G881</f>
        <v/>
      </c>
      <c r="H882">
        <f>$C882*H881</f>
        <v/>
      </c>
      <c r="I882">
        <f>$C882*I881</f>
        <v/>
      </c>
      <c r="J882">
        <f>$C882*J881</f>
        <v/>
      </c>
      <c r="K882">
        <f>$C882*K881</f>
        <v/>
      </c>
      <c r="L882">
        <f>$C882*L881</f>
        <v/>
      </c>
      <c r="M882">
        <f>$C882*M881</f>
        <v/>
      </c>
      <c r="N882">
        <f>$C882*N881</f>
        <v/>
      </c>
      <c r="O882">
        <f>$C882*O881</f>
        <v/>
      </c>
      <c r="P882">
        <f>$C882*P881</f>
        <v/>
      </c>
      <c r="Q882">
        <f>$C882*Q881</f>
        <v/>
      </c>
      <c r="R882">
        <f>$C882*R881</f>
        <v/>
      </c>
      <c r="S882">
        <f>$C882*S881</f>
        <v/>
      </c>
      <c r="T882">
        <f>$C882*T881</f>
        <v/>
      </c>
      <c r="U882">
        <f>$C882*U881</f>
        <v/>
      </c>
      <c r="V882">
        <f>$C882*V881</f>
        <v/>
      </c>
      <c r="W882">
        <f>$C882*W881</f>
        <v/>
      </c>
      <c r="X882">
        <f>$C882*X881</f>
        <v/>
      </c>
      <c r="Y882">
        <f>$C882*Y881</f>
        <v/>
      </c>
      <c r="Z882">
        <f>$C882*Z881</f>
        <v/>
      </c>
      <c r="AA882">
        <f>$C882*AA881</f>
        <v/>
      </c>
      <c r="AB882">
        <f>$C882*AB881</f>
        <v/>
      </c>
      <c r="AC882">
        <f>$C882*AC881</f>
        <v/>
      </c>
      <c r="AD882">
        <f>$C882*AD881</f>
        <v/>
      </c>
      <c r="AE882">
        <f>$C882*AE881</f>
        <v/>
      </c>
      <c r="AF882">
        <f>$C882*AF881</f>
        <v/>
      </c>
      <c r="AG882">
        <f>$C882*AG881</f>
        <v/>
      </c>
      <c r="AH882">
        <f>$C882*AH881</f>
        <v/>
      </c>
      <c r="AI882">
        <f>$C882*AI881</f>
        <v/>
      </c>
      <c r="AJ882">
        <f>$C882*AJ881</f>
        <v/>
      </c>
      <c r="AK882">
        <f>$C882*AK881</f>
        <v/>
      </c>
      <c r="AL882">
        <f>$C882*AL881</f>
        <v/>
      </c>
      <c r="AM882">
        <f>$C882*AM881</f>
        <v/>
      </c>
      <c r="AN882">
        <f>$C882*AN881</f>
        <v/>
      </c>
      <c r="AO882">
        <f>$C882*AO881</f>
        <v/>
      </c>
      <c r="AP882">
        <f>$C882*AP881</f>
        <v/>
      </c>
      <c r="AQ882">
        <f>$C882*AQ881</f>
        <v/>
      </c>
      <c r="AR882">
        <f>$C882*AR881</f>
        <v/>
      </c>
      <c r="AS882">
        <f>$C882*AS881</f>
        <v/>
      </c>
      <c r="AT882">
        <f>$C882*AT881</f>
        <v/>
      </c>
      <c r="AU882">
        <f>$C882*AU881</f>
        <v/>
      </c>
      <c r="AV882">
        <f>$C882*AV881</f>
        <v/>
      </c>
      <c r="AW882">
        <f>$C882*AW881</f>
        <v/>
      </c>
      <c r="AX882">
        <f>$C882*AX881</f>
        <v/>
      </c>
      <c r="AY882">
        <f>$C882*AY881</f>
        <v/>
      </c>
      <c r="AZ882">
        <f>$C882*AZ881</f>
        <v/>
      </c>
      <c r="BA882">
        <f>$C882*BA881</f>
        <v/>
      </c>
      <c r="BB882">
        <f>$C882*BB881</f>
        <v/>
      </c>
      <c r="BC882">
        <f>$C882*BC881</f>
        <v/>
      </c>
      <c r="BD882">
        <f>$C882*BD881</f>
        <v/>
      </c>
      <c r="BE882">
        <f>$C882*BE881</f>
        <v/>
      </c>
      <c r="BF882">
        <f>$C882*BF881</f>
        <v/>
      </c>
      <c r="BG882">
        <f>$C882*BG881</f>
        <v/>
      </c>
      <c r="BH882">
        <f>$C882*BH881</f>
        <v/>
      </c>
      <c r="BI882">
        <f>$C882*BI881</f>
        <v/>
      </c>
      <c r="BJ882">
        <f>$C882*BJ881</f>
        <v/>
      </c>
      <c r="BK882">
        <f>$C882*BK881</f>
        <v/>
      </c>
      <c r="BL882">
        <f>$C882*BL881</f>
        <v/>
      </c>
      <c r="BM882">
        <f>$C882*BM881</f>
        <v/>
      </c>
      <c r="BN882">
        <f>$C882*BN881</f>
        <v/>
      </c>
      <c r="BO882">
        <f>$C882*BO881</f>
        <v/>
      </c>
      <c r="BP882">
        <f>$C882*BP881</f>
        <v/>
      </c>
      <c r="BQ882">
        <f>$C882*BQ881</f>
        <v/>
      </c>
      <c r="BR882">
        <f>$C882*BR881</f>
        <v/>
      </c>
      <c r="BS882">
        <f>$C882*BS881</f>
        <v/>
      </c>
      <c r="BT882">
        <f>$C882*BT881</f>
        <v/>
      </c>
      <c r="BU882">
        <f>$C882*BU881</f>
        <v/>
      </c>
      <c r="BV882">
        <f>$C882*BV881</f>
        <v/>
      </c>
      <c r="BW882">
        <f>$C882*BW881</f>
        <v/>
      </c>
      <c r="BX882">
        <f>$C882*BX881</f>
        <v/>
      </c>
      <c r="BY882">
        <f>$C882*BY881</f>
        <v/>
      </c>
      <c r="BZ882">
        <f>$C882*BZ881</f>
        <v/>
      </c>
      <c r="CA882">
        <f>$C882*CA881</f>
        <v/>
      </c>
      <c r="CB882">
        <f>$C882*CB881</f>
        <v/>
      </c>
      <c r="CC882">
        <f>$C882*CC881</f>
        <v/>
      </c>
      <c r="CD882">
        <f>$C882*CD881</f>
        <v/>
      </c>
      <c r="CE882">
        <f>$C882*CE881</f>
        <v/>
      </c>
      <c r="CF882">
        <f>$C882*CF881</f>
        <v/>
      </c>
      <c r="CG882">
        <f>$C882*CG881</f>
        <v/>
      </c>
      <c r="CH882">
        <f>$C882*CH881</f>
        <v/>
      </c>
      <c r="CI882">
        <f>$C882*CI881</f>
        <v/>
      </c>
      <c r="CJ882">
        <f>$C882*CJ881</f>
        <v/>
      </c>
      <c r="CK882">
        <f>$C882*CK881</f>
        <v/>
      </c>
      <c r="CL882">
        <f>$C882*CL881</f>
        <v/>
      </c>
      <c r="CM882">
        <f>$C882*CM881</f>
        <v/>
      </c>
      <c r="CN882">
        <f>$C882*CN881</f>
        <v/>
      </c>
      <c r="CO882">
        <f>$C882*CO881</f>
        <v/>
      </c>
      <c r="CP882">
        <f>$C882*CP881</f>
        <v/>
      </c>
      <c r="CQ882">
        <f>$C882*CQ881</f>
        <v/>
      </c>
      <c r="CR882">
        <f>$C882*CR881</f>
        <v/>
      </c>
      <c r="CS882">
        <f>$C882*CS881</f>
        <v/>
      </c>
      <c r="CT882">
        <f>$C882*CT881</f>
        <v/>
      </c>
      <c r="CU882">
        <f>$C882*CU881</f>
        <v/>
      </c>
      <c r="CV882">
        <f>$C882*CV881</f>
        <v/>
      </c>
      <c r="CW882">
        <f>$C882*CW881</f>
        <v/>
      </c>
      <c r="CX882">
        <f>$C882*CX881</f>
        <v/>
      </c>
      <c r="CY882">
        <f>$C882*CY881</f>
        <v/>
      </c>
      <c r="CZ882">
        <f>$C882*CZ881</f>
        <v/>
      </c>
      <c r="DA882">
        <f>$C882*DA881</f>
        <v/>
      </c>
      <c r="DB882">
        <f>$C882*DB881</f>
        <v/>
      </c>
      <c r="DC882">
        <f>$C882*DC881</f>
        <v/>
      </c>
    </row>
    <row r="883">
      <c r="B883" t="inlineStr">
        <is>
          <t>TSP-934</t>
        </is>
      </c>
      <c r="C883" t="inlineStr">
        <is>
          <t>No. of batches</t>
        </is>
      </c>
      <c r="D883">
        <f>IFERROR(INDEX(PP_Grid[#Data],$DD883,2),0)</f>
        <v/>
      </c>
      <c r="E883">
        <f>IFERROR(INDEX(PP_Grid[#Data],$DD883,3),0)</f>
        <v/>
      </c>
      <c r="F883">
        <f>IFERROR(INDEX(PP_Grid[#Data],$DD883,4),0)</f>
        <v/>
      </c>
      <c r="G883">
        <f>IFERROR(INDEX(PP_Grid[#Data],$DD883,5),0)</f>
        <v/>
      </c>
      <c r="H883">
        <f>IFERROR(INDEX(PP_Grid[#Data],$DD883,6),0)</f>
        <v/>
      </c>
      <c r="I883">
        <f>IFERROR(INDEX(PP_Grid[#Data],$DD883,7),0)</f>
        <v/>
      </c>
      <c r="J883">
        <f>IFERROR(INDEX(PP_Grid[#Data],$DD883,8),0)</f>
        <v/>
      </c>
      <c r="K883">
        <f>IFERROR(INDEX(PP_Grid[#Data],$DD883,9),0)</f>
        <v/>
      </c>
      <c r="L883">
        <f>IFERROR(INDEX(PP_Grid[#Data],$DD883,10),0)</f>
        <v/>
      </c>
      <c r="M883">
        <f>IFERROR(INDEX(PP_Grid[#Data],$DD883,11),0)</f>
        <v/>
      </c>
      <c r="N883">
        <f>IFERROR(INDEX(PP_Grid[#Data],$DD883,12),0)</f>
        <v/>
      </c>
      <c r="O883">
        <f>IFERROR(INDEX(PP_Grid[#Data],$DD883,13),0)</f>
        <v/>
      </c>
      <c r="P883">
        <f>IFERROR(INDEX(PP_Grid[#Data],$DD883,14),0)</f>
        <v/>
      </c>
      <c r="Q883">
        <f>IFERROR(INDEX(PP_Grid[#Data],$DD883,15),0)</f>
        <v/>
      </c>
      <c r="R883">
        <f>IFERROR(INDEX(PP_Grid[#Data],$DD883,16),0)</f>
        <v/>
      </c>
      <c r="S883">
        <f>IFERROR(INDEX(PP_Grid[#Data],$DD883,17),0)</f>
        <v/>
      </c>
      <c r="T883">
        <f>IFERROR(INDEX(PP_Grid[#Data],$DD883,18),0)</f>
        <v/>
      </c>
      <c r="U883">
        <f>IFERROR(INDEX(PP_Grid[#Data],$DD883,19),0)</f>
        <v/>
      </c>
      <c r="V883">
        <f>IFERROR(INDEX(PP_Grid[#Data],$DD883,20),0)</f>
        <v/>
      </c>
      <c r="W883">
        <f>IFERROR(INDEX(PP_Grid[#Data],$DD883,21),0)</f>
        <v/>
      </c>
      <c r="X883">
        <f>IFERROR(INDEX(PP_Grid[#Data],$DD883,22),0)</f>
        <v/>
      </c>
      <c r="Y883">
        <f>IFERROR(INDEX(PP_Grid[#Data],$DD883,23),0)</f>
        <v/>
      </c>
      <c r="Z883">
        <f>IFERROR(INDEX(PP_Grid[#Data],$DD883,24),0)</f>
        <v/>
      </c>
      <c r="AA883">
        <f>IFERROR(INDEX(PP_Grid[#Data],$DD883,25),0)</f>
        <v/>
      </c>
      <c r="AB883">
        <f>IFERROR(INDEX(PP_Grid[#Data],$DD883,26),0)</f>
        <v/>
      </c>
      <c r="AC883">
        <f>IFERROR(INDEX(PP_Grid[#Data],$DD883,27),0)</f>
        <v/>
      </c>
      <c r="AD883">
        <f>IFERROR(INDEX(PP_Grid[#Data],$DD883,28),0)</f>
        <v/>
      </c>
      <c r="AE883">
        <f>IFERROR(INDEX(PP_Grid[#Data],$DD883,29),0)</f>
        <v/>
      </c>
      <c r="AF883">
        <f>IFERROR(INDEX(PP_Grid[#Data],$DD883,30),0)</f>
        <v/>
      </c>
      <c r="AG883">
        <f>IFERROR(INDEX(PP_Grid[#Data],$DD883,31),0)</f>
        <v/>
      </c>
      <c r="AH883">
        <f>IFERROR(INDEX(PP_Grid[#Data],$DD883,32),0)</f>
        <v/>
      </c>
      <c r="AI883">
        <f>IFERROR(INDEX(PP_Grid[#Data],$DD883,33),0)</f>
        <v/>
      </c>
      <c r="AJ883">
        <f>IFERROR(INDEX(PP_Grid[#Data],$DD883,34),0)</f>
        <v/>
      </c>
      <c r="AK883">
        <f>IFERROR(INDEX(PP_Grid[#Data],$DD883,35),0)</f>
        <v/>
      </c>
      <c r="AL883">
        <f>IFERROR(INDEX(PP_Grid[#Data],$DD883,36),0)</f>
        <v/>
      </c>
      <c r="AM883">
        <f>IFERROR(INDEX(PP_Grid[#Data],$DD883,37),0)</f>
        <v/>
      </c>
      <c r="AN883">
        <f>IFERROR(INDEX(PP_Grid[#Data],$DD883,38),0)</f>
        <v/>
      </c>
      <c r="AO883">
        <f>IFERROR(INDEX(PP_Grid[#Data],$DD883,39),0)</f>
        <v/>
      </c>
      <c r="AP883">
        <f>IFERROR(INDEX(PP_Grid[#Data],$DD883,40),0)</f>
        <v/>
      </c>
      <c r="AQ883">
        <f>IFERROR(INDEX(PP_Grid[#Data],$DD883,41),0)</f>
        <v/>
      </c>
      <c r="AR883">
        <f>IFERROR(INDEX(PP_Grid[#Data],$DD883,42),0)</f>
        <v/>
      </c>
      <c r="AS883">
        <f>IFERROR(INDEX(PP_Grid[#Data],$DD883,43),0)</f>
        <v/>
      </c>
      <c r="AT883">
        <f>IFERROR(INDEX(PP_Grid[#Data],$DD883,44),0)</f>
        <v/>
      </c>
      <c r="AU883">
        <f>IFERROR(INDEX(PP_Grid[#Data],$DD883,45),0)</f>
        <v/>
      </c>
      <c r="AV883">
        <f>IFERROR(INDEX(PP_Grid[#Data],$DD883,46),0)</f>
        <v/>
      </c>
      <c r="AW883">
        <f>IFERROR(INDEX(PP_Grid[#Data],$DD883,47),0)</f>
        <v/>
      </c>
      <c r="AX883">
        <f>IFERROR(INDEX(PP_Grid[#Data],$DD883,48),0)</f>
        <v/>
      </c>
      <c r="AY883">
        <f>IFERROR(INDEX(PP_Grid[#Data],$DD883,49),0)</f>
        <v/>
      </c>
      <c r="AZ883">
        <f>IFERROR(INDEX(PP_Grid[#Data],$DD883,50),0)</f>
        <v/>
      </c>
      <c r="BA883">
        <f>IFERROR(INDEX(PP_Grid[#Data],$DD883,51),0)</f>
        <v/>
      </c>
      <c r="BB883">
        <f>IFERROR(INDEX(PP_Grid[#Data],$DD883,52),0)</f>
        <v/>
      </c>
      <c r="BC883">
        <f>IFERROR(INDEX(PP_Grid[#Data],$DD883,53),0)</f>
        <v/>
      </c>
      <c r="BD883">
        <f>IFERROR(INDEX(PP_Grid[#Data],$DD883,54),0)</f>
        <v/>
      </c>
      <c r="BE883">
        <f>IFERROR(INDEX(PP_Grid[#Data],$DD883,55),0)</f>
        <v/>
      </c>
      <c r="BF883">
        <f>IFERROR(INDEX(PP_Grid[#Data],$DD883,56),0)</f>
        <v/>
      </c>
      <c r="BG883">
        <f>IFERROR(INDEX(PP_Grid[#Data],$DD883,57),0)</f>
        <v/>
      </c>
      <c r="BH883">
        <f>IFERROR(INDEX(PP_Grid[#Data],$DD883,58),0)</f>
        <v/>
      </c>
      <c r="BI883">
        <f>IFERROR(INDEX(PP_Grid[#Data],$DD883,59),0)</f>
        <v/>
      </c>
      <c r="BJ883">
        <f>IFERROR(INDEX(PP_Grid[#Data],$DD883,60),0)</f>
        <v/>
      </c>
      <c r="BK883">
        <f>IFERROR(INDEX(PP_Grid[#Data],$DD883,61),0)</f>
        <v/>
      </c>
      <c r="BL883">
        <f>IFERROR(INDEX(PP_Grid[#Data],$DD883,62),0)</f>
        <v/>
      </c>
      <c r="BM883">
        <f>IFERROR(INDEX(PP_Grid[#Data],$DD883,63),0)</f>
        <v/>
      </c>
      <c r="BN883">
        <f>IFERROR(INDEX(PP_Grid[#Data],$DD883,64),0)</f>
        <v/>
      </c>
      <c r="BO883">
        <f>IFERROR(INDEX(PP_Grid[#Data],$DD883,65),0)</f>
        <v/>
      </c>
      <c r="BP883">
        <f>IFERROR(INDEX(PP_Grid[#Data],$DD883,66),0)</f>
        <v/>
      </c>
      <c r="BQ883">
        <f>IFERROR(INDEX(PP_Grid[#Data],$DD883,67),0)</f>
        <v/>
      </c>
      <c r="BR883">
        <f>IFERROR(INDEX(PP_Grid[#Data],$DD883,68),0)</f>
        <v/>
      </c>
      <c r="BS883">
        <f>IFERROR(INDEX(PP_Grid[#Data],$DD883,69),0)</f>
        <v/>
      </c>
      <c r="BT883">
        <f>IFERROR(INDEX(PP_Grid[#Data],$DD883,70),0)</f>
        <v/>
      </c>
      <c r="BU883">
        <f>IFERROR(INDEX(PP_Grid[#Data],$DD883,71),0)</f>
        <v/>
      </c>
      <c r="BV883">
        <f>IFERROR(INDEX(PP_Grid[#Data],$DD883,72),0)</f>
        <v/>
      </c>
      <c r="BW883">
        <f>IFERROR(INDEX(PP_Grid[#Data],$DD883,73),0)</f>
        <v/>
      </c>
      <c r="BX883">
        <f>IFERROR(INDEX(PP_Grid[#Data],$DD883,74),0)</f>
        <v/>
      </c>
      <c r="BY883">
        <f>IFERROR(INDEX(PP_Grid[#Data],$DD883,75),0)</f>
        <v/>
      </c>
      <c r="BZ883">
        <f>IFERROR(INDEX(PP_Grid[#Data],$DD883,76),0)</f>
        <v/>
      </c>
      <c r="CA883">
        <f>IFERROR(INDEX(PP_Grid[#Data],$DD883,77),0)</f>
        <v/>
      </c>
      <c r="CB883">
        <f>IFERROR(INDEX(PP_Grid[#Data],$DD883,78),0)</f>
        <v/>
      </c>
      <c r="CC883">
        <f>IFERROR(INDEX(PP_Grid[#Data],$DD883,79),0)</f>
        <v/>
      </c>
      <c r="CD883">
        <f>IFERROR(INDEX(PP_Grid[#Data],$DD883,80),0)</f>
        <v/>
      </c>
      <c r="CE883">
        <f>IFERROR(INDEX(PP_Grid[#Data],$DD883,81),0)</f>
        <v/>
      </c>
      <c r="CF883">
        <f>IFERROR(INDEX(PP_Grid[#Data],$DD883,82),0)</f>
        <v/>
      </c>
      <c r="CG883">
        <f>IFERROR(INDEX(PP_Grid[#Data],$DD883,83),0)</f>
        <v/>
      </c>
      <c r="CH883">
        <f>IFERROR(INDEX(PP_Grid[#Data],$DD883,84),0)</f>
        <v/>
      </c>
      <c r="CI883">
        <f>IFERROR(INDEX(PP_Grid[#Data],$DD883,85),0)</f>
        <v/>
      </c>
      <c r="CJ883">
        <f>IFERROR(INDEX(PP_Grid[#Data],$DD883,86),0)</f>
        <v/>
      </c>
      <c r="CK883">
        <f>IFERROR(INDEX(PP_Grid[#Data],$DD883,87),0)</f>
        <v/>
      </c>
      <c r="CL883">
        <f>IFERROR(INDEX(PP_Grid[#Data],$DD883,88),0)</f>
        <v/>
      </c>
      <c r="CM883">
        <f>IFERROR(INDEX(PP_Grid[#Data],$DD883,89),0)</f>
        <v/>
      </c>
      <c r="CN883">
        <f>IFERROR(INDEX(PP_Grid[#Data],$DD883,90),0)</f>
        <v/>
      </c>
      <c r="CO883">
        <f>IFERROR(INDEX(PP_Grid[#Data],$DD883,91),0)</f>
        <v/>
      </c>
      <c r="CP883">
        <f>IFERROR(INDEX(PP_Grid[#Data],$DD883,92),0)</f>
        <v/>
      </c>
      <c r="CQ883">
        <f>IFERROR(INDEX(PP_Grid[#Data],$DD883,93),0)</f>
        <v/>
      </c>
      <c r="CR883">
        <f>IFERROR(INDEX(PP_Grid[#Data],$DD883,94),0)</f>
        <v/>
      </c>
      <c r="CS883">
        <f>IFERROR(INDEX(PP_Grid[#Data],$DD883,95),0)</f>
        <v/>
      </c>
      <c r="CT883">
        <f>IFERROR(INDEX(PP_Grid[#Data],$DD883,96),0)</f>
        <v/>
      </c>
      <c r="CU883">
        <f>IFERROR(INDEX(PP_Grid[#Data],$DD883,97),0)</f>
        <v/>
      </c>
      <c r="CV883">
        <f>IFERROR(INDEX(PP_Grid[#Data],$DD883,98),0)</f>
        <v/>
      </c>
      <c r="CW883">
        <f>IFERROR(INDEX(PP_Grid[#Data],$DD883,99),0)</f>
        <v/>
      </c>
      <c r="CX883">
        <f>IFERROR(INDEX(PP_Grid[#Data],$DD883,100),0)</f>
        <v/>
      </c>
      <c r="CY883">
        <f>IFERROR(INDEX(PP_Grid[#Data],$DD883,101),0)</f>
        <v/>
      </c>
      <c r="CZ883">
        <f>IFERROR(INDEX(PP_Grid[#Data],$DD883,102),0)</f>
        <v/>
      </c>
      <c r="DA883">
        <f>IFERROR(INDEX(PP_Grid[#Data],$DD883,103),0)</f>
        <v/>
      </c>
      <c r="DB883">
        <f>IFERROR(INDEX(PP_Grid[#Data],$DD883,104),0)</f>
        <v/>
      </c>
      <c r="DC883">
        <f>IFERROR(INDEX(PP_Grid[#Data],$DD883,105),0)</f>
        <v/>
      </c>
      <c r="DD883" s="7">
        <f>IFERROR(MATCH($B883,PP_Grid[Intermediate],0),99999)</f>
        <v/>
      </c>
    </row>
    <row r="884">
      <c r="B884" t="inlineStr">
        <is>
          <t>使用量(kg)</t>
        </is>
      </c>
      <c r="C884">
        <f>SUMIFS(M_BOM[RM_Qty_Per_Batch],M_BOM[Intermediate],$B883,M_BOM[Part Name],$A878)</f>
        <v/>
      </c>
      <c r="D884">
        <f>$C884*D883</f>
        <v/>
      </c>
      <c r="E884">
        <f>$C884*E883</f>
        <v/>
      </c>
      <c r="F884">
        <f>$C884*F883</f>
        <v/>
      </c>
      <c r="G884">
        <f>$C884*G883</f>
        <v/>
      </c>
      <c r="H884">
        <f>$C884*H883</f>
        <v/>
      </c>
      <c r="I884">
        <f>$C884*I883</f>
        <v/>
      </c>
      <c r="J884">
        <f>$C884*J883</f>
        <v/>
      </c>
      <c r="K884">
        <f>$C884*K883</f>
        <v/>
      </c>
      <c r="L884">
        <f>$C884*L883</f>
        <v/>
      </c>
      <c r="M884">
        <f>$C884*M883</f>
        <v/>
      </c>
      <c r="N884">
        <f>$C884*N883</f>
        <v/>
      </c>
      <c r="O884">
        <f>$C884*O883</f>
        <v/>
      </c>
      <c r="P884">
        <f>$C884*P883</f>
        <v/>
      </c>
      <c r="Q884">
        <f>$C884*Q883</f>
        <v/>
      </c>
      <c r="R884">
        <f>$C884*R883</f>
        <v/>
      </c>
      <c r="S884">
        <f>$C884*S883</f>
        <v/>
      </c>
      <c r="T884">
        <f>$C884*T883</f>
        <v/>
      </c>
      <c r="U884">
        <f>$C884*U883</f>
        <v/>
      </c>
      <c r="V884">
        <f>$C884*V883</f>
        <v/>
      </c>
      <c r="W884">
        <f>$C884*W883</f>
        <v/>
      </c>
      <c r="X884">
        <f>$C884*X883</f>
        <v/>
      </c>
      <c r="Y884">
        <f>$C884*Y883</f>
        <v/>
      </c>
      <c r="Z884">
        <f>$C884*Z883</f>
        <v/>
      </c>
      <c r="AA884">
        <f>$C884*AA883</f>
        <v/>
      </c>
      <c r="AB884">
        <f>$C884*AB883</f>
        <v/>
      </c>
      <c r="AC884">
        <f>$C884*AC883</f>
        <v/>
      </c>
      <c r="AD884">
        <f>$C884*AD883</f>
        <v/>
      </c>
      <c r="AE884">
        <f>$C884*AE883</f>
        <v/>
      </c>
      <c r="AF884">
        <f>$C884*AF883</f>
        <v/>
      </c>
      <c r="AG884">
        <f>$C884*AG883</f>
        <v/>
      </c>
      <c r="AH884">
        <f>$C884*AH883</f>
        <v/>
      </c>
      <c r="AI884">
        <f>$C884*AI883</f>
        <v/>
      </c>
      <c r="AJ884">
        <f>$C884*AJ883</f>
        <v/>
      </c>
      <c r="AK884">
        <f>$C884*AK883</f>
        <v/>
      </c>
      <c r="AL884">
        <f>$C884*AL883</f>
        <v/>
      </c>
      <c r="AM884">
        <f>$C884*AM883</f>
        <v/>
      </c>
      <c r="AN884">
        <f>$C884*AN883</f>
        <v/>
      </c>
      <c r="AO884">
        <f>$C884*AO883</f>
        <v/>
      </c>
      <c r="AP884">
        <f>$C884*AP883</f>
        <v/>
      </c>
      <c r="AQ884">
        <f>$C884*AQ883</f>
        <v/>
      </c>
      <c r="AR884">
        <f>$C884*AR883</f>
        <v/>
      </c>
      <c r="AS884">
        <f>$C884*AS883</f>
        <v/>
      </c>
      <c r="AT884">
        <f>$C884*AT883</f>
        <v/>
      </c>
      <c r="AU884">
        <f>$C884*AU883</f>
        <v/>
      </c>
      <c r="AV884">
        <f>$C884*AV883</f>
        <v/>
      </c>
      <c r="AW884">
        <f>$C884*AW883</f>
        <v/>
      </c>
      <c r="AX884">
        <f>$C884*AX883</f>
        <v/>
      </c>
      <c r="AY884">
        <f>$C884*AY883</f>
        <v/>
      </c>
      <c r="AZ884">
        <f>$C884*AZ883</f>
        <v/>
      </c>
      <c r="BA884">
        <f>$C884*BA883</f>
        <v/>
      </c>
      <c r="BB884">
        <f>$C884*BB883</f>
        <v/>
      </c>
      <c r="BC884">
        <f>$C884*BC883</f>
        <v/>
      </c>
      <c r="BD884">
        <f>$C884*BD883</f>
        <v/>
      </c>
      <c r="BE884">
        <f>$C884*BE883</f>
        <v/>
      </c>
      <c r="BF884">
        <f>$C884*BF883</f>
        <v/>
      </c>
      <c r="BG884">
        <f>$C884*BG883</f>
        <v/>
      </c>
      <c r="BH884">
        <f>$C884*BH883</f>
        <v/>
      </c>
      <c r="BI884">
        <f>$C884*BI883</f>
        <v/>
      </c>
      <c r="BJ884">
        <f>$C884*BJ883</f>
        <v/>
      </c>
      <c r="BK884">
        <f>$C884*BK883</f>
        <v/>
      </c>
      <c r="BL884">
        <f>$C884*BL883</f>
        <v/>
      </c>
      <c r="BM884">
        <f>$C884*BM883</f>
        <v/>
      </c>
      <c r="BN884">
        <f>$C884*BN883</f>
        <v/>
      </c>
      <c r="BO884">
        <f>$C884*BO883</f>
        <v/>
      </c>
      <c r="BP884">
        <f>$C884*BP883</f>
        <v/>
      </c>
      <c r="BQ884">
        <f>$C884*BQ883</f>
        <v/>
      </c>
      <c r="BR884">
        <f>$C884*BR883</f>
        <v/>
      </c>
      <c r="BS884">
        <f>$C884*BS883</f>
        <v/>
      </c>
      <c r="BT884">
        <f>$C884*BT883</f>
        <v/>
      </c>
      <c r="BU884">
        <f>$C884*BU883</f>
        <v/>
      </c>
      <c r="BV884">
        <f>$C884*BV883</f>
        <v/>
      </c>
      <c r="BW884">
        <f>$C884*BW883</f>
        <v/>
      </c>
      <c r="BX884">
        <f>$C884*BX883</f>
        <v/>
      </c>
      <c r="BY884">
        <f>$C884*BY883</f>
        <v/>
      </c>
      <c r="BZ884">
        <f>$C884*BZ883</f>
        <v/>
      </c>
      <c r="CA884">
        <f>$C884*CA883</f>
        <v/>
      </c>
      <c r="CB884">
        <f>$C884*CB883</f>
        <v/>
      </c>
      <c r="CC884">
        <f>$C884*CC883</f>
        <v/>
      </c>
      <c r="CD884">
        <f>$C884*CD883</f>
        <v/>
      </c>
      <c r="CE884">
        <f>$C884*CE883</f>
        <v/>
      </c>
      <c r="CF884">
        <f>$C884*CF883</f>
        <v/>
      </c>
      <c r="CG884">
        <f>$C884*CG883</f>
        <v/>
      </c>
      <c r="CH884">
        <f>$C884*CH883</f>
        <v/>
      </c>
      <c r="CI884">
        <f>$C884*CI883</f>
        <v/>
      </c>
      <c r="CJ884">
        <f>$C884*CJ883</f>
        <v/>
      </c>
      <c r="CK884">
        <f>$C884*CK883</f>
        <v/>
      </c>
      <c r="CL884">
        <f>$C884*CL883</f>
        <v/>
      </c>
      <c r="CM884">
        <f>$C884*CM883</f>
        <v/>
      </c>
      <c r="CN884">
        <f>$C884*CN883</f>
        <v/>
      </c>
      <c r="CO884">
        <f>$C884*CO883</f>
        <v/>
      </c>
      <c r="CP884">
        <f>$C884*CP883</f>
        <v/>
      </c>
      <c r="CQ884">
        <f>$C884*CQ883</f>
        <v/>
      </c>
      <c r="CR884">
        <f>$C884*CR883</f>
        <v/>
      </c>
      <c r="CS884">
        <f>$C884*CS883</f>
        <v/>
      </c>
      <c r="CT884">
        <f>$C884*CT883</f>
        <v/>
      </c>
      <c r="CU884">
        <f>$C884*CU883</f>
        <v/>
      </c>
      <c r="CV884">
        <f>$C884*CV883</f>
        <v/>
      </c>
      <c r="CW884">
        <f>$C884*CW883</f>
        <v/>
      </c>
      <c r="CX884">
        <f>$C884*CX883</f>
        <v/>
      </c>
      <c r="CY884">
        <f>$C884*CY883</f>
        <v/>
      </c>
      <c r="CZ884">
        <f>$C884*CZ883</f>
        <v/>
      </c>
      <c r="DA884">
        <f>$C884*DA883</f>
        <v/>
      </c>
      <c r="DB884">
        <f>$C884*DB883</f>
        <v/>
      </c>
      <c r="DC884">
        <f>$C884*DC883</f>
        <v/>
      </c>
    </row>
    <row r="885">
      <c r="B885" t="inlineStr">
        <is>
          <t>TSP-935</t>
        </is>
      </c>
      <c r="C885" t="inlineStr">
        <is>
          <t>No. of batches</t>
        </is>
      </c>
      <c r="D885">
        <f>IFERROR(INDEX(PP_Grid[#Data],$DD885,2),0)</f>
        <v/>
      </c>
      <c r="E885">
        <f>IFERROR(INDEX(PP_Grid[#Data],$DD885,3),0)</f>
        <v/>
      </c>
      <c r="F885">
        <f>IFERROR(INDEX(PP_Grid[#Data],$DD885,4),0)</f>
        <v/>
      </c>
      <c r="G885">
        <f>IFERROR(INDEX(PP_Grid[#Data],$DD885,5),0)</f>
        <v/>
      </c>
      <c r="H885">
        <f>IFERROR(INDEX(PP_Grid[#Data],$DD885,6),0)</f>
        <v/>
      </c>
      <c r="I885">
        <f>IFERROR(INDEX(PP_Grid[#Data],$DD885,7),0)</f>
        <v/>
      </c>
      <c r="J885">
        <f>IFERROR(INDEX(PP_Grid[#Data],$DD885,8),0)</f>
        <v/>
      </c>
      <c r="K885">
        <f>IFERROR(INDEX(PP_Grid[#Data],$DD885,9),0)</f>
        <v/>
      </c>
      <c r="L885">
        <f>IFERROR(INDEX(PP_Grid[#Data],$DD885,10),0)</f>
        <v/>
      </c>
      <c r="M885">
        <f>IFERROR(INDEX(PP_Grid[#Data],$DD885,11),0)</f>
        <v/>
      </c>
      <c r="N885">
        <f>IFERROR(INDEX(PP_Grid[#Data],$DD885,12),0)</f>
        <v/>
      </c>
      <c r="O885">
        <f>IFERROR(INDEX(PP_Grid[#Data],$DD885,13),0)</f>
        <v/>
      </c>
      <c r="P885">
        <f>IFERROR(INDEX(PP_Grid[#Data],$DD885,14),0)</f>
        <v/>
      </c>
      <c r="Q885">
        <f>IFERROR(INDEX(PP_Grid[#Data],$DD885,15),0)</f>
        <v/>
      </c>
      <c r="R885">
        <f>IFERROR(INDEX(PP_Grid[#Data],$DD885,16),0)</f>
        <v/>
      </c>
      <c r="S885">
        <f>IFERROR(INDEX(PP_Grid[#Data],$DD885,17),0)</f>
        <v/>
      </c>
      <c r="T885">
        <f>IFERROR(INDEX(PP_Grid[#Data],$DD885,18),0)</f>
        <v/>
      </c>
      <c r="U885">
        <f>IFERROR(INDEX(PP_Grid[#Data],$DD885,19),0)</f>
        <v/>
      </c>
      <c r="V885">
        <f>IFERROR(INDEX(PP_Grid[#Data],$DD885,20),0)</f>
        <v/>
      </c>
      <c r="W885">
        <f>IFERROR(INDEX(PP_Grid[#Data],$DD885,21),0)</f>
        <v/>
      </c>
      <c r="X885">
        <f>IFERROR(INDEX(PP_Grid[#Data],$DD885,22),0)</f>
        <v/>
      </c>
      <c r="Y885">
        <f>IFERROR(INDEX(PP_Grid[#Data],$DD885,23),0)</f>
        <v/>
      </c>
      <c r="Z885">
        <f>IFERROR(INDEX(PP_Grid[#Data],$DD885,24),0)</f>
        <v/>
      </c>
      <c r="AA885">
        <f>IFERROR(INDEX(PP_Grid[#Data],$DD885,25),0)</f>
        <v/>
      </c>
      <c r="AB885">
        <f>IFERROR(INDEX(PP_Grid[#Data],$DD885,26),0)</f>
        <v/>
      </c>
      <c r="AC885">
        <f>IFERROR(INDEX(PP_Grid[#Data],$DD885,27),0)</f>
        <v/>
      </c>
      <c r="AD885">
        <f>IFERROR(INDEX(PP_Grid[#Data],$DD885,28),0)</f>
        <v/>
      </c>
      <c r="AE885">
        <f>IFERROR(INDEX(PP_Grid[#Data],$DD885,29),0)</f>
        <v/>
      </c>
      <c r="AF885">
        <f>IFERROR(INDEX(PP_Grid[#Data],$DD885,30),0)</f>
        <v/>
      </c>
      <c r="AG885">
        <f>IFERROR(INDEX(PP_Grid[#Data],$DD885,31),0)</f>
        <v/>
      </c>
      <c r="AH885">
        <f>IFERROR(INDEX(PP_Grid[#Data],$DD885,32),0)</f>
        <v/>
      </c>
      <c r="AI885">
        <f>IFERROR(INDEX(PP_Grid[#Data],$DD885,33),0)</f>
        <v/>
      </c>
      <c r="AJ885">
        <f>IFERROR(INDEX(PP_Grid[#Data],$DD885,34),0)</f>
        <v/>
      </c>
      <c r="AK885">
        <f>IFERROR(INDEX(PP_Grid[#Data],$DD885,35),0)</f>
        <v/>
      </c>
      <c r="AL885">
        <f>IFERROR(INDEX(PP_Grid[#Data],$DD885,36),0)</f>
        <v/>
      </c>
      <c r="AM885">
        <f>IFERROR(INDEX(PP_Grid[#Data],$DD885,37),0)</f>
        <v/>
      </c>
      <c r="AN885">
        <f>IFERROR(INDEX(PP_Grid[#Data],$DD885,38),0)</f>
        <v/>
      </c>
      <c r="AO885">
        <f>IFERROR(INDEX(PP_Grid[#Data],$DD885,39),0)</f>
        <v/>
      </c>
      <c r="AP885">
        <f>IFERROR(INDEX(PP_Grid[#Data],$DD885,40),0)</f>
        <v/>
      </c>
      <c r="AQ885">
        <f>IFERROR(INDEX(PP_Grid[#Data],$DD885,41),0)</f>
        <v/>
      </c>
      <c r="AR885">
        <f>IFERROR(INDEX(PP_Grid[#Data],$DD885,42),0)</f>
        <v/>
      </c>
      <c r="AS885">
        <f>IFERROR(INDEX(PP_Grid[#Data],$DD885,43),0)</f>
        <v/>
      </c>
      <c r="AT885">
        <f>IFERROR(INDEX(PP_Grid[#Data],$DD885,44),0)</f>
        <v/>
      </c>
      <c r="AU885">
        <f>IFERROR(INDEX(PP_Grid[#Data],$DD885,45),0)</f>
        <v/>
      </c>
      <c r="AV885">
        <f>IFERROR(INDEX(PP_Grid[#Data],$DD885,46),0)</f>
        <v/>
      </c>
      <c r="AW885">
        <f>IFERROR(INDEX(PP_Grid[#Data],$DD885,47),0)</f>
        <v/>
      </c>
      <c r="AX885">
        <f>IFERROR(INDEX(PP_Grid[#Data],$DD885,48),0)</f>
        <v/>
      </c>
      <c r="AY885">
        <f>IFERROR(INDEX(PP_Grid[#Data],$DD885,49),0)</f>
        <v/>
      </c>
      <c r="AZ885">
        <f>IFERROR(INDEX(PP_Grid[#Data],$DD885,50),0)</f>
        <v/>
      </c>
      <c r="BA885">
        <f>IFERROR(INDEX(PP_Grid[#Data],$DD885,51),0)</f>
        <v/>
      </c>
      <c r="BB885">
        <f>IFERROR(INDEX(PP_Grid[#Data],$DD885,52),0)</f>
        <v/>
      </c>
      <c r="BC885">
        <f>IFERROR(INDEX(PP_Grid[#Data],$DD885,53),0)</f>
        <v/>
      </c>
      <c r="BD885">
        <f>IFERROR(INDEX(PP_Grid[#Data],$DD885,54),0)</f>
        <v/>
      </c>
      <c r="BE885">
        <f>IFERROR(INDEX(PP_Grid[#Data],$DD885,55),0)</f>
        <v/>
      </c>
      <c r="BF885">
        <f>IFERROR(INDEX(PP_Grid[#Data],$DD885,56),0)</f>
        <v/>
      </c>
      <c r="BG885">
        <f>IFERROR(INDEX(PP_Grid[#Data],$DD885,57),0)</f>
        <v/>
      </c>
      <c r="BH885">
        <f>IFERROR(INDEX(PP_Grid[#Data],$DD885,58),0)</f>
        <v/>
      </c>
      <c r="BI885">
        <f>IFERROR(INDEX(PP_Grid[#Data],$DD885,59),0)</f>
        <v/>
      </c>
      <c r="BJ885">
        <f>IFERROR(INDEX(PP_Grid[#Data],$DD885,60),0)</f>
        <v/>
      </c>
      <c r="BK885">
        <f>IFERROR(INDEX(PP_Grid[#Data],$DD885,61),0)</f>
        <v/>
      </c>
      <c r="BL885">
        <f>IFERROR(INDEX(PP_Grid[#Data],$DD885,62),0)</f>
        <v/>
      </c>
      <c r="BM885">
        <f>IFERROR(INDEX(PP_Grid[#Data],$DD885,63),0)</f>
        <v/>
      </c>
      <c r="BN885">
        <f>IFERROR(INDEX(PP_Grid[#Data],$DD885,64),0)</f>
        <v/>
      </c>
      <c r="BO885">
        <f>IFERROR(INDEX(PP_Grid[#Data],$DD885,65),0)</f>
        <v/>
      </c>
      <c r="BP885">
        <f>IFERROR(INDEX(PP_Grid[#Data],$DD885,66),0)</f>
        <v/>
      </c>
      <c r="BQ885">
        <f>IFERROR(INDEX(PP_Grid[#Data],$DD885,67),0)</f>
        <v/>
      </c>
      <c r="BR885">
        <f>IFERROR(INDEX(PP_Grid[#Data],$DD885,68),0)</f>
        <v/>
      </c>
      <c r="BS885">
        <f>IFERROR(INDEX(PP_Grid[#Data],$DD885,69),0)</f>
        <v/>
      </c>
      <c r="BT885">
        <f>IFERROR(INDEX(PP_Grid[#Data],$DD885,70),0)</f>
        <v/>
      </c>
      <c r="BU885">
        <f>IFERROR(INDEX(PP_Grid[#Data],$DD885,71),0)</f>
        <v/>
      </c>
      <c r="BV885">
        <f>IFERROR(INDEX(PP_Grid[#Data],$DD885,72),0)</f>
        <v/>
      </c>
      <c r="BW885">
        <f>IFERROR(INDEX(PP_Grid[#Data],$DD885,73),0)</f>
        <v/>
      </c>
      <c r="BX885">
        <f>IFERROR(INDEX(PP_Grid[#Data],$DD885,74),0)</f>
        <v/>
      </c>
      <c r="BY885">
        <f>IFERROR(INDEX(PP_Grid[#Data],$DD885,75),0)</f>
        <v/>
      </c>
      <c r="BZ885">
        <f>IFERROR(INDEX(PP_Grid[#Data],$DD885,76),0)</f>
        <v/>
      </c>
      <c r="CA885">
        <f>IFERROR(INDEX(PP_Grid[#Data],$DD885,77),0)</f>
        <v/>
      </c>
      <c r="CB885">
        <f>IFERROR(INDEX(PP_Grid[#Data],$DD885,78),0)</f>
        <v/>
      </c>
      <c r="CC885">
        <f>IFERROR(INDEX(PP_Grid[#Data],$DD885,79),0)</f>
        <v/>
      </c>
      <c r="CD885">
        <f>IFERROR(INDEX(PP_Grid[#Data],$DD885,80),0)</f>
        <v/>
      </c>
      <c r="CE885">
        <f>IFERROR(INDEX(PP_Grid[#Data],$DD885,81),0)</f>
        <v/>
      </c>
      <c r="CF885">
        <f>IFERROR(INDEX(PP_Grid[#Data],$DD885,82),0)</f>
        <v/>
      </c>
      <c r="CG885">
        <f>IFERROR(INDEX(PP_Grid[#Data],$DD885,83),0)</f>
        <v/>
      </c>
      <c r="CH885">
        <f>IFERROR(INDEX(PP_Grid[#Data],$DD885,84),0)</f>
        <v/>
      </c>
      <c r="CI885">
        <f>IFERROR(INDEX(PP_Grid[#Data],$DD885,85),0)</f>
        <v/>
      </c>
      <c r="CJ885">
        <f>IFERROR(INDEX(PP_Grid[#Data],$DD885,86),0)</f>
        <v/>
      </c>
      <c r="CK885">
        <f>IFERROR(INDEX(PP_Grid[#Data],$DD885,87),0)</f>
        <v/>
      </c>
      <c r="CL885">
        <f>IFERROR(INDEX(PP_Grid[#Data],$DD885,88),0)</f>
        <v/>
      </c>
      <c r="CM885">
        <f>IFERROR(INDEX(PP_Grid[#Data],$DD885,89),0)</f>
        <v/>
      </c>
      <c r="CN885">
        <f>IFERROR(INDEX(PP_Grid[#Data],$DD885,90),0)</f>
        <v/>
      </c>
      <c r="CO885">
        <f>IFERROR(INDEX(PP_Grid[#Data],$DD885,91),0)</f>
        <v/>
      </c>
      <c r="CP885">
        <f>IFERROR(INDEX(PP_Grid[#Data],$DD885,92),0)</f>
        <v/>
      </c>
      <c r="CQ885">
        <f>IFERROR(INDEX(PP_Grid[#Data],$DD885,93),0)</f>
        <v/>
      </c>
      <c r="CR885">
        <f>IFERROR(INDEX(PP_Grid[#Data],$DD885,94),0)</f>
        <v/>
      </c>
      <c r="CS885">
        <f>IFERROR(INDEX(PP_Grid[#Data],$DD885,95),0)</f>
        <v/>
      </c>
      <c r="CT885">
        <f>IFERROR(INDEX(PP_Grid[#Data],$DD885,96),0)</f>
        <v/>
      </c>
      <c r="CU885">
        <f>IFERROR(INDEX(PP_Grid[#Data],$DD885,97),0)</f>
        <v/>
      </c>
      <c r="CV885">
        <f>IFERROR(INDEX(PP_Grid[#Data],$DD885,98),0)</f>
        <v/>
      </c>
      <c r="CW885">
        <f>IFERROR(INDEX(PP_Grid[#Data],$DD885,99),0)</f>
        <v/>
      </c>
      <c r="CX885">
        <f>IFERROR(INDEX(PP_Grid[#Data],$DD885,100),0)</f>
        <v/>
      </c>
      <c r="CY885">
        <f>IFERROR(INDEX(PP_Grid[#Data],$DD885,101),0)</f>
        <v/>
      </c>
      <c r="CZ885">
        <f>IFERROR(INDEX(PP_Grid[#Data],$DD885,102),0)</f>
        <v/>
      </c>
      <c r="DA885">
        <f>IFERROR(INDEX(PP_Grid[#Data],$DD885,103),0)</f>
        <v/>
      </c>
      <c r="DB885">
        <f>IFERROR(INDEX(PP_Grid[#Data],$DD885,104),0)</f>
        <v/>
      </c>
      <c r="DC885">
        <f>IFERROR(INDEX(PP_Grid[#Data],$DD885,105),0)</f>
        <v/>
      </c>
      <c r="DD885" s="7">
        <f>IFERROR(MATCH($B885,PP_Grid[Intermediate],0),99999)</f>
        <v/>
      </c>
    </row>
    <row r="886">
      <c r="B886" t="inlineStr">
        <is>
          <t>使用量(kg)</t>
        </is>
      </c>
      <c r="C886">
        <f>SUMIFS(M_BOM[RM_Qty_Per_Batch],M_BOM[Intermediate],$B885,M_BOM[Part Name],$A878)</f>
        <v/>
      </c>
      <c r="D886">
        <f>$C886*D885</f>
        <v/>
      </c>
      <c r="E886">
        <f>$C886*E885</f>
        <v/>
      </c>
      <c r="F886">
        <f>$C886*F885</f>
        <v/>
      </c>
      <c r="G886">
        <f>$C886*G885</f>
        <v/>
      </c>
      <c r="H886">
        <f>$C886*H885</f>
        <v/>
      </c>
      <c r="I886">
        <f>$C886*I885</f>
        <v/>
      </c>
      <c r="J886">
        <f>$C886*J885</f>
        <v/>
      </c>
      <c r="K886">
        <f>$C886*K885</f>
        <v/>
      </c>
      <c r="L886">
        <f>$C886*L885</f>
        <v/>
      </c>
      <c r="M886">
        <f>$C886*M885</f>
        <v/>
      </c>
      <c r="N886">
        <f>$C886*N885</f>
        <v/>
      </c>
      <c r="O886">
        <f>$C886*O885</f>
        <v/>
      </c>
      <c r="P886">
        <f>$C886*P885</f>
        <v/>
      </c>
      <c r="Q886">
        <f>$C886*Q885</f>
        <v/>
      </c>
      <c r="R886">
        <f>$C886*R885</f>
        <v/>
      </c>
      <c r="S886">
        <f>$C886*S885</f>
        <v/>
      </c>
      <c r="T886">
        <f>$C886*T885</f>
        <v/>
      </c>
      <c r="U886">
        <f>$C886*U885</f>
        <v/>
      </c>
      <c r="V886">
        <f>$C886*V885</f>
        <v/>
      </c>
      <c r="W886">
        <f>$C886*W885</f>
        <v/>
      </c>
      <c r="X886">
        <f>$C886*X885</f>
        <v/>
      </c>
      <c r="Y886">
        <f>$C886*Y885</f>
        <v/>
      </c>
      <c r="Z886">
        <f>$C886*Z885</f>
        <v/>
      </c>
      <c r="AA886">
        <f>$C886*AA885</f>
        <v/>
      </c>
      <c r="AB886">
        <f>$C886*AB885</f>
        <v/>
      </c>
      <c r="AC886">
        <f>$C886*AC885</f>
        <v/>
      </c>
      <c r="AD886">
        <f>$C886*AD885</f>
        <v/>
      </c>
      <c r="AE886">
        <f>$C886*AE885</f>
        <v/>
      </c>
      <c r="AF886">
        <f>$C886*AF885</f>
        <v/>
      </c>
      <c r="AG886">
        <f>$C886*AG885</f>
        <v/>
      </c>
      <c r="AH886">
        <f>$C886*AH885</f>
        <v/>
      </c>
      <c r="AI886">
        <f>$C886*AI885</f>
        <v/>
      </c>
      <c r="AJ886">
        <f>$C886*AJ885</f>
        <v/>
      </c>
      <c r="AK886">
        <f>$C886*AK885</f>
        <v/>
      </c>
      <c r="AL886">
        <f>$C886*AL885</f>
        <v/>
      </c>
      <c r="AM886">
        <f>$C886*AM885</f>
        <v/>
      </c>
      <c r="AN886">
        <f>$C886*AN885</f>
        <v/>
      </c>
      <c r="AO886">
        <f>$C886*AO885</f>
        <v/>
      </c>
      <c r="AP886">
        <f>$C886*AP885</f>
        <v/>
      </c>
      <c r="AQ886">
        <f>$C886*AQ885</f>
        <v/>
      </c>
      <c r="AR886">
        <f>$C886*AR885</f>
        <v/>
      </c>
      <c r="AS886">
        <f>$C886*AS885</f>
        <v/>
      </c>
      <c r="AT886">
        <f>$C886*AT885</f>
        <v/>
      </c>
      <c r="AU886">
        <f>$C886*AU885</f>
        <v/>
      </c>
      <c r="AV886">
        <f>$C886*AV885</f>
        <v/>
      </c>
      <c r="AW886">
        <f>$C886*AW885</f>
        <v/>
      </c>
      <c r="AX886">
        <f>$C886*AX885</f>
        <v/>
      </c>
      <c r="AY886">
        <f>$C886*AY885</f>
        <v/>
      </c>
      <c r="AZ886">
        <f>$C886*AZ885</f>
        <v/>
      </c>
      <c r="BA886">
        <f>$C886*BA885</f>
        <v/>
      </c>
      <c r="BB886">
        <f>$C886*BB885</f>
        <v/>
      </c>
      <c r="BC886">
        <f>$C886*BC885</f>
        <v/>
      </c>
      <c r="BD886">
        <f>$C886*BD885</f>
        <v/>
      </c>
      <c r="BE886">
        <f>$C886*BE885</f>
        <v/>
      </c>
      <c r="BF886">
        <f>$C886*BF885</f>
        <v/>
      </c>
      <c r="BG886">
        <f>$C886*BG885</f>
        <v/>
      </c>
      <c r="BH886">
        <f>$C886*BH885</f>
        <v/>
      </c>
      <c r="BI886">
        <f>$C886*BI885</f>
        <v/>
      </c>
      <c r="BJ886">
        <f>$C886*BJ885</f>
        <v/>
      </c>
      <c r="BK886">
        <f>$C886*BK885</f>
        <v/>
      </c>
      <c r="BL886">
        <f>$C886*BL885</f>
        <v/>
      </c>
      <c r="BM886">
        <f>$C886*BM885</f>
        <v/>
      </c>
      <c r="BN886">
        <f>$C886*BN885</f>
        <v/>
      </c>
      <c r="BO886">
        <f>$C886*BO885</f>
        <v/>
      </c>
      <c r="BP886">
        <f>$C886*BP885</f>
        <v/>
      </c>
      <c r="BQ886">
        <f>$C886*BQ885</f>
        <v/>
      </c>
      <c r="BR886">
        <f>$C886*BR885</f>
        <v/>
      </c>
      <c r="BS886">
        <f>$C886*BS885</f>
        <v/>
      </c>
      <c r="BT886">
        <f>$C886*BT885</f>
        <v/>
      </c>
      <c r="BU886">
        <f>$C886*BU885</f>
        <v/>
      </c>
      <c r="BV886">
        <f>$C886*BV885</f>
        <v/>
      </c>
      <c r="BW886">
        <f>$C886*BW885</f>
        <v/>
      </c>
      <c r="BX886">
        <f>$C886*BX885</f>
        <v/>
      </c>
      <c r="BY886">
        <f>$C886*BY885</f>
        <v/>
      </c>
      <c r="BZ886">
        <f>$C886*BZ885</f>
        <v/>
      </c>
      <c r="CA886">
        <f>$C886*CA885</f>
        <v/>
      </c>
      <c r="CB886">
        <f>$C886*CB885</f>
        <v/>
      </c>
      <c r="CC886">
        <f>$C886*CC885</f>
        <v/>
      </c>
      <c r="CD886">
        <f>$C886*CD885</f>
        <v/>
      </c>
      <c r="CE886">
        <f>$C886*CE885</f>
        <v/>
      </c>
      <c r="CF886">
        <f>$C886*CF885</f>
        <v/>
      </c>
      <c r="CG886">
        <f>$C886*CG885</f>
        <v/>
      </c>
      <c r="CH886">
        <f>$C886*CH885</f>
        <v/>
      </c>
      <c r="CI886">
        <f>$C886*CI885</f>
        <v/>
      </c>
      <c r="CJ886">
        <f>$C886*CJ885</f>
        <v/>
      </c>
      <c r="CK886">
        <f>$C886*CK885</f>
        <v/>
      </c>
      <c r="CL886">
        <f>$C886*CL885</f>
        <v/>
      </c>
      <c r="CM886">
        <f>$C886*CM885</f>
        <v/>
      </c>
      <c r="CN886">
        <f>$C886*CN885</f>
        <v/>
      </c>
      <c r="CO886">
        <f>$C886*CO885</f>
        <v/>
      </c>
      <c r="CP886">
        <f>$C886*CP885</f>
        <v/>
      </c>
      <c r="CQ886">
        <f>$C886*CQ885</f>
        <v/>
      </c>
      <c r="CR886">
        <f>$C886*CR885</f>
        <v/>
      </c>
      <c r="CS886">
        <f>$C886*CS885</f>
        <v/>
      </c>
      <c r="CT886">
        <f>$C886*CT885</f>
        <v/>
      </c>
      <c r="CU886">
        <f>$C886*CU885</f>
        <v/>
      </c>
      <c r="CV886">
        <f>$C886*CV885</f>
        <v/>
      </c>
      <c r="CW886">
        <f>$C886*CW885</f>
        <v/>
      </c>
      <c r="CX886">
        <f>$C886*CX885</f>
        <v/>
      </c>
      <c r="CY886">
        <f>$C886*CY885</f>
        <v/>
      </c>
      <c r="CZ886">
        <f>$C886*CZ885</f>
        <v/>
      </c>
      <c r="DA886">
        <f>$C886*DA885</f>
        <v/>
      </c>
      <c r="DB886">
        <f>$C886*DB885</f>
        <v/>
      </c>
      <c r="DC886">
        <f>$C886*DC885</f>
        <v/>
      </c>
    </row>
    <row r="887">
      <c r="B887" t="inlineStr">
        <is>
          <t>TSP-936</t>
        </is>
      </c>
      <c r="C887" t="inlineStr">
        <is>
          <t>No. of batches</t>
        </is>
      </c>
      <c r="D887">
        <f>IFERROR(INDEX(PP_Grid[#Data],$DD887,2),0)</f>
        <v/>
      </c>
      <c r="E887">
        <f>IFERROR(INDEX(PP_Grid[#Data],$DD887,3),0)</f>
        <v/>
      </c>
      <c r="F887">
        <f>IFERROR(INDEX(PP_Grid[#Data],$DD887,4),0)</f>
        <v/>
      </c>
      <c r="G887">
        <f>IFERROR(INDEX(PP_Grid[#Data],$DD887,5),0)</f>
        <v/>
      </c>
      <c r="H887">
        <f>IFERROR(INDEX(PP_Grid[#Data],$DD887,6),0)</f>
        <v/>
      </c>
      <c r="I887">
        <f>IFERROR(INDEX(PP_Grid[#Data],$DD887,7),0)</f>
        <v/>
      </c>
      <c r="J887">
        <f>IFERROR(INDEX(PP_Grid[#Data],$DD887,8),0)</f>
        <v/>
      </c>
      <c r="K887">
        <f>IFERROR(INDEX(PP_Grid[#Data],$DD887,9),0)</f>
        <v/>
      </c>
      <c r="L887">
        <f>IFERROR(INDEX(PP_Grid[#Data],$DD887,10),0)</f>
        <v/>
      </c>
      <c r="M887">
        <f>IFERROR(INDEX(PP_Grid[#Data],$DD887,11),0)</f>
        <v/>
      </c>
      <c r="N887">
        <f>IFERROR(INDEX(PP_Grid[#Data],$DD887,12),0)</f>
        <v/>
      </c>
      <c r="O887">
        <f>IFERROR(INDEX(PP_Grid[#Data],$DD887,13),0)</f>
        <v/>
      </c>
      <c r="P887">
        <f>IFERROR(INDEX(PP_Grid[#Data],$DD887,14),0)</f>
        <v/>
      </c>
      <c r="Q887">
        <f>IFERROR(INDEX(PP_Grid[#Data],$DD887,15),0)</f>
        <v/>
      </c>
      <c r="R887">
        <f>IFERROR(INDEX(PP_Grid[#Data],$DD887,16),0)</f>
        <v/>
      </c>
      <c r="S887">
        <f>IFERROR(INDEX(PP_Grid[#Data],$DD887,17),0)</f>
        <v/>
      </c>
      <c r="T887">
        <f>IFERROR(INDEX(PP_Grid[#Data],$DD887,18),0)</f>
        <v/>
      </c>
      <c r="U887">
        <f>IFERROR(INDEX(PP_Grid[#Data],$DD887,19),0)</f>
        <v/>
      </c>
      <c r="V887">
        <f>IFERROR(INDEX(PP_Grid[#Data],$DD887,20),0)</f>
        <v/>
      </c>
      <c r="W887">
        <f>IFERROR(INDEX(PP_Grid[#Data],$DD887,21),0)</f>
        <v/>
      </c>
      <c r="X887">
        <f>IFERROR(INDEX(PP_Grid[#Data],$DD887,22),0)</f>
        <v/>
      </c>
      <c r="Y887">
        <f>IFERROR(INDEX(PP_Grid[#Data],$DD887,23),0)</f>
        <v/>
      </c>
      <c r="Z887">
        <f>IFERROR(INDEX(PP_Grid[#Data],$DD887,24),0)</f>
        <v/>
      </c>
      <c r="AA887">
        <f>IFERROR(INDEX(PP_Grid[#Data],$DD887,25),0)</f>
        <v/>
      </c>
      <c r="AB887">
        <f>IFERROR(INDEX(PP_Grid[#Data],$DD887,26),0)</f>
        <v/>
      </c>
      <c r="AC887">
        <f>IFERROR(INDEX(PP_Grid[#Data],$DD887,27),0)</f>
        <v/>
      </c>
      <c r="AD887">
        <f>IFERROR(INDEX(PP_Grid[#Data],$DD887,28),0)</f>
        <v/>
      </c>
      <c r="AE887">
        <f>IFERROR(INDEX(PP_Grid[#Data],$DD887,29),0)</f>
        <v/>
      </c>
      <c r="AF887">
        <f>IFERROR(INDEX(PP_Grid[#Data],$DD887,30),0)</f>
        <v/>
      </c>
      <c r="AG887">
        <f>IFERROR(INDEX(PP_Grid[#Data],$DD887,31),0)</f>
        <v/>
      </c>
      <c r="AH887">
        <f>IFERROR(INDEX(PP_Grid[#Data],$DD887,32),0)</f>
        <v/>
      </c>
      <c r="AI887">
        <f>IFERROR(INDEX(PP_Grid[#Data],$DD887,33),0)</f>
        <v/>
      </c>
      <c r="AJ887">
        <f>IFERROR(INDEX(PP_Grid[#Data],$DD887,34),0)</f>
        <v/>
      </c>
      <c r="AK887">
        <f>IFERROR(INDEX(PP_Grid[#Data],$DD887,35),0)</f>
        <v/>
      </c>
      <c r="AL887">
        <f>IFERROR(INDEX(PP_Grid[#Data],$DD887,36),0)</f>
        <v/>
      </c>
      <c r="AM887">
        <f>IFERROR(INDEX(PP_Grid[#Data],$DD887,37),0)</f>
        <v/>
      </c>
      <c r="AN887">
        <f>IFERROR(INDEX(PP_Grid[#Data],$DD887,38),0)</f>
        <v/>
      </c>
      <c r="AO887">
        <f>IFERROR(INDEX(PP_Grid[#Data],$DD887,39),0)</f>
        <v/>
      </c>
      <c r="AP887">
        <f>IFERROR(INDEX(PP_Grid[#Data],$DD887,40),0)</f>
        <v/>
      </c>
      <c r="AQ887">
        <f>IFERROR(INDEX(PP_Grid[#Data],$DD887,41),0)</f>
        <v/>
      </c>
      <c r="AR887">
        <f>IFERROR(INDEX(PP_Grid[#Data],$DD887,42),0)</f>
        <v/>
      </c>
      <c r="AS887">
        <f>IFERROR(INDEX(PP_Grid[#Data],$DD887,43),0)</f>
        <v/>
      </c>
      <c r="AT887">
        <f>IFERROR(INDEX(PP_Grid[#Data],$DD887,44),0)</f>
        <v/>
      </c>
      <c r="AU887">
        <f>IFERROR(INDEX(PP_Grid[#Data],$DD887,45),0)</f>
        <v/>
      </c>
      <c r="AV887">
        <f>IFERROR(INDEX(PP_Grid[#Data],$DD887,46),0)</f>
        <v/>
      </c>
      <c r="AW887">
        <f>IFERROR(INDEX(PP_Grid[#Data],$DD887,47),0)</f>
        <v/>
      </c>
      <c r="AX887">
        <f>IFERROR(INDEX(PP_Grid[#Data],$DD887,48),0)</f>
        <v/>
      </c>
      <c r="AY887">
        <f>IFERROR(INDEX(PP_Grid[#Data],$DD887,49),0)</f>
        <v/>
      </c>
      <c r="AZ887">
        <f>IFERROR(INDEX(PP_Grid[#Data],$DD887,50),0)</f>
        <v/>
      </c>
      <c r="BA887">
        <f>IFERROR(INDEX(PP_Grid[#Data],$DD887,51),0)</f>
        <v/>
      </c>
      <c r="BB887">
        <f>IFERROR(INDEX(PP_Grid[#Data],$DD887,52),0)</f>
        <v/>
      </c>
      <c r="BC887">
        <f>IFERROR(INDEX(PP_Grid[#Data],$DD887,53),0)</f>
        <v/>
      </c>
      <c r="BD887">
        <f>IFERROR(INDEX(PP_Grid[#Data],$DD887,54),0)</f>
        <v/>
      </c>
      <c r="BE887">
        <f>IFERROR(INDEX(PP_Grid[#Data],$DD887,55),0)</f>
        <v/>
      </c>
      <c r="BF887">
        <f>IFERROR(INDEX(PP_Grid[#Data],$DD887,56),0)</f>
        <v/>
      </c>
      <c r="BG887">
        <f>IFERROR(INDEX(PP_Grid[#Data],$DD887,57),0)</f>
        <v/>
      </c>
      <c r="BH887">
        <f>IFERROR(INDEX(PP_Grid[#Data],$DD887,58),0)</f>
        <v/>
      </c>
      <c r="BI887">
        <f>IFERROR(INDEX(PP_Grid[#Data],$DD887,59),0)</f>
        <v/>
      </c>
      <c r="BJ887">
        <f>IFERROR(INDEX(PP_Grid[#Data],$DD887,60),0)</f>
        <v/>
      </c>
      <c r="BK887">
        <f>IFERROR(INDEX(PP_Grid[#Data],$DD887,61),0)</f>
        <v/>
      </c>
      <c r="BL887">
        <f>IFERROR(INDEX(PP_Grid[#Data],$DD887,62),0)</f>
        <v/>
      </c>
      <c r="BM887">
        <f>IFERROR(INDEX(PP_Grid[#Data],$DD887,63),0)</f>
        <v/>
      </c>
      <c r="BN887">
        <f>IFERROR(INDEX(PP_Grid[#Data],$DD887,64),0)</f>
        <v/>
      </c>
      <c r="BO887">
        <f>IFERROR(INDEX(PP_Grid[#Data],$DD887,65),0)</f>
        <v/>
      </c>
      <c r="BP887">
        <f>IFERROR(INDEX(PP_Grid[#Data],$DD887,66),0)</f>
        <v/>
      </c>
      <c r="BQ887">
        <f>IFERROR(INDEX(PP_Grid[#Data],$DD887,67),0)</f>
        <v/>
      </c>
      <c r="BR887">
        <f>IFERROR(INDEX(PP_Grid[#Data],$DD887,68),0)</f>
        <v/>
      </c>
      <c r="BS887">
        <f>IFERROR(INDEX(PP_Grid[#Data],$DD887,69),0)</f>
        <v/>
      </c>
      <c r="BT887">
        <f>IFERROR(INDEX(PP_Grid[#Data],$DD887,70),0)</f>
        <v/>
      </c>
      <c r="BU887">
        <f>IFERROR(INDEX(PP_Grid[#Data],$DD887,71),0)</f>
        <v/>
      </c>
      <c r="BV887">
        <f>IFERROR(INDEX(PP_Grid[#Data],$DD887,72),0)</f>
        <v/>
      </c>
      <c r="BW887">
        <f>IFERROR(INDEX(PP_Grid[#Data],$DD887,73),0)</f>
        <v/>
      </c>
      <c r="BX887">
        <f>IFERROR(INDEX(PP_Grid[#Data],$DD887,74),0)</f>
        <v/>
      </c>
      <c r="BY887">
        <f>IFERROR(INDEX(PP_Grid[#Data],$DD887,75),0)</f>
        <v/>
      </c>
      <c r="BZ887">
        <f>IFERROR(INDEX(PP_Grid[#Data],$DD887,76),0)</f>
        <v/>
      </c>
      <c r="CA887">
        <f>IFERROR(INDEX(PP_Grid[#Data],$DD887,77),0)</f>
        <v/>
      </c>
      <c r="CB887">
        <f>IFERROR(INDEX(PP_Grid[#Data],$DD887,78),0)</f>
        <v/>
      </c>
      <c r="CC887">
        <f>IFERROR(INDEX(PP_Grid[#Data],$DD887,79),0)</f>
        <v/>
      </c>
      <c r="CD887">
        <f>IFERROR(INDEX(PP_Grid[#Data],$DD887,80),0)</f>
        <v/>
      </c>
      <c r="CE887">
        <f>IFERROR(INDEX(PP_Grid[#Data],$DD887,81),0)</f>
        <v/>
      </c>
      <c r="CF887">
        <f>IFERROR(INDEX(PP_Grid[#Data],$DD887,82),0)</f>
        <v/>
      </c>
      <c r="CG887">
        <f>IFERROR(INDEX(PP_Grid[#Data],$DD887,83),0)</f>
        <v/>
      </c>
      <c r="CH887">
        <f>IFERROR(INDEX(PP_Grid[#Data],$DD887,84),0)</f>
        <v/>
      </c>
      <c r="CI887">
        <f>IFERROR(INDEX(PP_Grid[#Data],$DD887,85),0)</f>
        <v/>
      </c>
      <c r="CJ887">
        <f>IFERROR(INDEX(PP_Grid[#Data],$DD887,86),0)</f>
        <v/>
      </c>
      <c r="CK887">
        <f>IFERROR(INDEX(PP_Grid[#Data],$DD887,87),0)</f>
        <v/>
      </c>
      <c r="CL887">
        <f>IFERROR(INDEX(PP_Grid[#Data],$DD887,88),0)</f>
        <v/>
      </c>
      <c r="CM887">
        <f>IFERROR(INDEX(PP_Grid[#Data],$DD887,89),0)</f>
        <v/>
      </c>
      <c r="CN887">
        <f>IFERROR(INDEX(PP_Grid[#Data],$DD887,90),0)</f>
        <v/>
      </c>
      <c r="CO887">
        <f>IFERROR(INDEX(PP_Grid[#Data],$DD887,91),0)</f>
        <v/>
      </c>
      <c r="CP887">
        <f>IFERROR(INDEX(PP_Grid[#Data],$DD887,92),0)</f>
        <v/>
      </c>
      <c r="CQ887">
        <f>IFERROR(INDEX(PP_Grid[#Data],$DD887,93),0)</f>
        <v/>
      </c>
      <c r="CR887">
        <f>IFERROR(INDEX(PP_Grid[#Data],$DD887,94),0)</f>
        <v/>
      </c>
      <c r="CS887">
        <f>IFERROR(INDEX(PP_Grid[#Data],$DD887,95),0)</f>
        <v/>
      </c>
      <c r="CT887">
        <f>IFERROR(INDEX(PP_Grid[#Data],$DD887,96),0)</f>
        <v/>
      </c>
      <c r="CU887">
        <f>IFERROR(INDEX(PP_Grid[#Data],$DD887,97),0)</f>
        <v/>
      </c>
      <c r="CV887">
        <f>IFERROR(INDEX(PP_Grid[#Data],$DD887,98),0)</f>
        <v/>
      </c>
      <c r="CW887">
        <f>IFERROR(INDEX(PP_Grid[#Data],$DD887,99),0)</f>
        <v/>
      </c>
      <c r="CX887">
        <f>IFERROR(INDEX(PP_Grid[#Data],$DD887,100),0)</f>
        <v/>
      </c>
      <c r="CY887">
        <f>IFERROR(INDEX(PP_Grid[#Data],$DD887,101),0)</f>
        <v/>
      </c>
      <c r="CZ887">
        <f>IFERROR(INDEX(PP_Grid[#Data],$DD887,102),0)</f>
        <v/>
      </c>
      <c r="DA887">
        <f>IFERROR(INDEX(PP_Grid[#Data],$DD887,103),0)</f>
        <v/>
      </c>
      <c r="DB887">
        <f>IFERROR(INDEX(PP_Grid[#Data],$DD887,104),0)</f>
        <v/>
      </c>
      <c r="DC887">
        <f>IFERROR(INDEX(PP_Grid[#Data],$DD887,105),0)</f>
        <v/>
      </c>
      <c r="DD887" s="7">
        <f>IFERROR(MATCH($B887,PP_Grid[Intermediate],0),99999)</f>
        <v/>
      </c>
    </row>
    <row r="888">
      <c r="B888" t="inlineStr">
        <is>
          <t>使用量(kg)</t>
        </is>
      </c>
      <c r="C888">
        <f>SUMIFS(M_BOM[RM_Qty_Per_Batch],M_BOM[Intermediate],$B887,M_BOM[Part Name],$A878)</f>
        <v/>
      </c>
      <c r="D888">
        <f>$C888*D887</f>
        <v/>
      </c>
      <c r="E888">
        <f>$C888*E887</f>
        <v/>
      </c>
      <c r="F888">
        <f>$C888*F887</f>
        <v/>
      </c>
      <c r="G888">
        <f>$C888*G887</f>
        <v/>
      </c>
      <c r="H888">
        <f>$C888*H887</f>
        <v/>
      </c>
      <c r="I888">
        <f>$C888*I887</f>
        <v/>
      </c>
      <c r="J888">
        <f>$C888*J887</f>
        <v/>
      </c>
      <c r="K888">
        <f>$C888*K887</f>
        <v/>
      </c>
      <c r="L888">
        <f>$C888*L887</f>
        <v/>
      </c>
      <c r="M888">
        <f>$C888*M887</f>
        <v/>
      </c>
      <c r="N888">
        <f>$C888*N887</f>
        <v/>
      </c>
      <c r="O888">
        <f>$C888*O887</f>
        <v/>
      </c>
      <c r="P888">
        <f>$C888*P887</f>
        <v/>
      </c>
      <c r="Q888">
        <f>$C888*Q887</f>
        <v/>
      </c>
      <c r="R888">
        <f>$C888*R887</f>
        <v/>
      </c>
      <c r="S888">
        <f>$C888*S887</f>
        <v/>
      </c>
      <c r="T888">
        <f>$C888*T887</f>
        <v/>
      </c>
      <c r="U888">
        <f>$C888*U887</f>
        <v/>
      </c>
      <c r="V888">
        <f>$C888*V887</f>
        <v/>
      </c>
      <c r="W888">
        <f>$C888*W887</f>
        <v/>
      </c>
      <c r="X888">
        <f>$C888*X887</f>
        <v/>
      </c>
      <c r="Y888">
        <f>$C888*Y887</f>
        <v/>
      </c>
      <c r="Z888">
        <f>$C888*Z887</f>
        <v/>
      </c>
      <c r="AA888">
        <f>$C888*AA887</f>
        <v/>
      </c>
      <c r="AB888">
        <f>$C888*AB887</f>
        <v/>
      </c>
      <c r="AC888">
        <f>$C888*AC887</f>
        <v/>
      </c>
      <c r="AD888">
        <f>$C888*AD887</f>
        <v/>
      </c>
      <c r="AE888">
        <f>$C888*AE887</f>
        <v/>
      </c>
      <c r="AF888">
        <f>$C888*AF887</f>
        <v/>
      </c>
      <c r="AG888">
        <f>$C888*AG887</f>
        <v/>
      </c>
      <c r="AH888">
        <f>$C888*AH887</f>
        <v/>
      </c>
      <c r="AI888">
        <f>$C888*AI887</f>
        <v/>
      </c>
      <c r="AJ888">
        <f>$C888*AJ887</f>
        <v/>
      </c>
      <c r="AK888">
        <f>$C888*AK887</f>
        <v/>
      </c>
      <c r="AL888">
        <f>$C888*AL887</f>
        <v/>
      </c>
      <c r="AM888">
        <f>$C888*AM887</f>
        <v/>
      </c>
      <c r="AN888">
        <f>$C888*AN887</f>
        <v/>
      </c>
      <c r="AO888">
        <f>$C888*AO887</f>
        <v/>
      </c>
      <c r="AP888">
        <f>$C888*AP887</f>
        <v/>
      </c>
      <c r="AQ888">
        <f>$C888*AQ887</f>
        <v/>
      </c>
      <c r="AR888">
        <f>$C888*AR887</f>
        <v/>
      </c>
      <c r="AS888">
        <f>$C888*AS887</f>
        <v/>
      </c>
      <c r="AT888">
        <f>$C888*AT887</f>
        <v/>
      </c>
      <c r="AU888">
        <f>$C888*AU887</f>
        <v/>
      </c>
      <c r="AV888">
        <f>$C888*AV887</f>
        <v/>
      </c>
      <c r="AW888">
        <f>$C888*AW887</f>
        <v/>
      </c>
      <c r="AX888">
        <f>$C888*AX887</f>
        <v/>
      </c>
      <c r="AY888">
        <f>$C888*AY887</f>
        <v/>
      </c>
      <c r="AZ888">
        <f>$C888*AZ887</f>
        <v/>
      </c>
      <c r="BA888">
        <f>$C888*BA887</f>
        <v/>
      </c>
      <c r="BB888">
        <f>$C888*BB887</f>
        <v/>
      </c>
      <c r="BC888">
        <f>$C888*BC887</f>
        <v/>
      </c>
      <c r="BD888">
        <f>$C888*BD887</f>
        <v/>
      </c>
      <c r="BE888">
        <f>$C888*BE887</f>
        <v/>
      </c>
      <c r="BF888">
        <f>$C888*BF887</f>
        <v/>
      </c>
      <c r="BG888">
        <f>$C888*BG887</f>
        <v/>
      </c>
      <c r="BH888">
        <f>$C888*BH887</f>
        <v/>
      </c>
      <c r="BI888">
        <f>$C888*BI887</f>
        <v/>
      </c>
      <c r="BJ888">
        <f>$C888*BJ887</f>
        <v/>
      </c>
      <c r="BK888">
        <f>$C888*BK887</f>
        <v/>
      </c>
      <c r="BL888">
        <f>$C888*BL887</f>
        <v/>
      </c>
      <c r="BM888">
        <f>$C888*BM887</f>
        <v/>
      </c>
      <c r="BN888">
        <f>$C888*BN887</f>
        <v/>
      </c>
      <c r="BO888">
        <f>$C888*BO887</f>
        <v/>
      </c>
      <c r="BP888">
        <f>$C888*BP887</f>
        <v/>
      </c>
      <c r="BQ888">
        <f>$C888*BQ887</f>
        <v/>
      </c>
      <c r="BR888">
        <f>$C888*BR887</f>
        <v/>
      </c>
      <c r="BS888">
        <f>$C888*BS887</f>
        <v/>
      </c>
      <c r="BT888">
        <f>$C888*BT887</f>
        <v/>
      </c>
      <c r="BU888">
        <f>$C888*BU887</f>
        <v/>
      </c>
      <c r="BV888">
        <f>$C888*BV887</f>
        <v/>
      </c>
      <c r="BW888">
        <f>$C888*BW887</f>
        <v/>
      </c>
      <c r="BX888">
        <f>$C888*BX887</f>
        <v/>
      </c>
      <c r="BY888">
        <f>$C888*BY887</f>
        <v/>
      </c>
      <c r="BZ888">
        <f>$C888*BZ887</f>
        <v/>
      </c>
      <c r="CA888">
        <f>$C888*CA887</f>
        <v/>
      </c>
      <c r="CB888">
        <f>$C888*CB887</f>
        <v/>
      </c>
      <c r="CC888">
        <f>$C888*CC887</f>
        <v/>
      </c>
      <c r="CD888">
        <f>$C888*CD887</f>
        <v/>
      </c>
      <c r="CE888">
        <f>$C888*CE887</f>
        <v/>
      </c>
      <c r="CF888">
        <f>$C888*CF887</f>
        <v/>
      </c>
      <c r="CG888">
        <f>$C888*CG887</f>
        <v/>
      </c>
      <c r="CH888">
        <f>$C888*CH887</f>
        <v/>
      </c>
      <c r="CI888">
        <f>$C888*CI887</f>
        <v/>
      </c>
      <c r="CJ888">
        <f>$C888*CJ887</f>
        <v/>
      </c>
      <c r="CK888">
        <f>$C888*CK887</f>
        <v/>
      </c>
      <c r="CL888">
        <f>$C888*CL887</f>
        <v/>
      </c>
      <c r="CM888">
        <f>$C888*CM887</f>
        <v/>
      </c>
      <c r="CN888">
        <f>$C888*CN887</f>
        <v/>
      </c>
      <c r="CO888">
        <f>$C888*CO887</f>
        <v/>
      </c>
      <c r="CP888">
        <f>$C888*CP887</f>
        <v/>
      </c>
      <c r="CQ888">
        <f>$C888*CQ887</f>
        <v/>
      </c>
      <c r="CR888">
        <f>$C888*CR887</f>
        <v/>
      </c>
      <c r="CS888">
        <f>$C888*CS887</f>
        <v/>
      </c>
      <c r="CT888">
        <f>$C888*CT887</f>
        <v/>
      </c>
      <c r="CU888">
        <f>$C888*CU887</f>
        <v/>
      </c>
      <c r="CV888">
        <f>$C888*CV887</f>
        <v/>
      </c>
      <c r="CW888">
        <f>$C888*CW887</f>
        <v/>
      </c>
      <c r="CX888">
        <f>$C888*CX887</f>
        <v/>
      </c>
      <c r="CY888">
        <f>$C888*CY887</f>
        <v/>
      </c>
      <c r="CZ888">
        <f>$C888*CZ887</f>
        <v/>
      </c>
      <c r="DA888">
        <f>$C888*DA887</f>
        <v/>
      </c>
      <c r="DB888">
        <f>$C888*DB887</f>
        <v/>
      </c>
      <c r="DC888">
        <f>$C888*DC887</f>
        <v/>
      </c>
    </row>
    <row r="889">
      <c r="B889" t="inlineStr">
        <is>
          <t>TSP-937</t>
        </is>
      </c>
      <c r="C889" t="inlineStr">
        <is>
          <t>No. of batches</t>
        </is>
      </c>
      <c r="D889">
        <f>IFERROR(INDEX(PP_Grid[#Data],$DD889,2),0)</f>
        <v/>
      </c>
      <c r="E889">
        <f>IFERROR(INDEX(PP_Grid[#Data],$DD889,3),0)</f>
        <v/>
      </c>
      <c r="F889">
        <f>IFERROR(INDEX(PP_Grid[#Data],$DD889,4),0)</f>
        <v/>
      </c>
      <c r="G889">
        <f>IFERROR(INDEX(PP_Grid[#Data],$DD889,5),0)</f>
        <v/>
      </c>
      <c r="H889">
        <f>IFERROR(INDEX(PP_Grid[#Data],$DD889,6),0)</f>
        <v/>
      </c>
      <c r="I889">
        <f>IFERROR(INDEX(PP_Grid[#Data],$DD889,7),0)</f>
        <v/>
      </c>
      <c r="J889">
        <f>IFERROR(INDEX(PP_Grid[#Data],$DD889,8),0)</f>
        <v/>
      </c>
      <c r="K889">
        <f>IFERROR(INDEX(PP_Grid[#Data],$DD889,9),0)</f>
        <v/>
      </c>
      <c r="L889">
        <f>IFERROR(INDEX(PP_Grid[#Data],$DD889,10),0)</f>
        <v/>
      </c>
      <c r="M889">
        <f>IFERROR(INDEX(PP_Grid[#Data],$DD889,11),0)</f>
        <v/>
      </c>
      <c r="N889">
        <f>IFERROR(INDEX(PP_Grid[#Data],$DD889,12),0)</f>
        <v/>
      </c>
      <c r="O889">
        <f>IFERROR(INDEX(PP_Grid[#Data],$DD889,13),0)</f>
        <v/>
      </c>
      <c r="P889">
        <f>IFERROR(INDEX(PP_Grid[#Data],$DD889,14),0)</f>
        <v/>
      </c>
      <c r="Q889">
        <f>IFERROR(INDEX(PP_Grid[#Data],$DD889,15),0)</f>
        <v/>
      </c>
      <c r="R889">
        <f>IFERROR(INDEX(PP_Grid[#Data],$DD889,16),0)</f>
        <v/>
      </c>
      <c r="S889">
        <f>IFERROR(INDEX(PP_Grid[#Data],$DD889,17),0)</f>
        <v/>
      </c>
      <c r="T889">
        <f>IFERROR(INDEX(PP_Grid[#Data],$DD889,18),0)</f>
        <v/>
      </c>
      <c r="U889">
        <f>IFERROR(INDEX(PP_Grid[#Data],$DD889,19),0)</f>
        <v/>
      </c>
      <c r="V889">
        <f>IFERROR(INDEX(PP_Grid[#Data],$DD889,20),0)</f>
        <v/>
      </c>
      <c r="W889">
        <f>IFERROR(INDEX(PP_Grid[#Data],$DD889,21),0)</f>
        <v/>
      </c>
      <c r="X889">
        <f>IFERROR(INDEX(PP_Grid[#Data],$DD889,22),0)</f>
        <v/>
      </c>
      <c r="Y889">
        <f>IFERROR(INDEX(PP_Grid[#Data],$DD889,23),0)</f>
        <v/>
      </c>
      <c r="Z889">
        <f>IFERROR(INDEX(PP_Grid[#Data],$DD889,24),0)</f>
        <v/>
      </c>
      <c r="AA889">
        <f>IFERROR(INDEX(PP_Grid[#Data],$DD889,25),0)</f>
        <v/>
      </c>
      <c r="AB889">
        <f>IFERROR(INDEX(PP_Grid[#Data],$DD889,26),0)</f>
        <v/>
      </c>
      <c r="AC889">
        <f>IFERROR(INDEX(PP_Grid[#Data],$DD889,27),0)</f>
        <v/>
      </c>
      <c r="AD889">
        <f>IFERROR(INDEX(PP_Grid[#Data],$DD889,28),0)</f>
        <v/>
      </c>
      <c r="AE889">
        <f>IFERROR(INDEX(PP_Grid[#Data],$DD889,29),0)</f>
        <v/>
      </c>
      <c r="AF889">
        <f>IFERROR(INDEX(PP_Grid[#Data],$DD889,30),0)</f>
        <v/>
      </c>
      <c r="AG889">
        <f>IFERROR(INDEX(PP_Grid[#Data],$DD889,31),0)</f>
        <v/>
      </c>
      <c r="AH889">
        <f>IFERROR(INDEX(PP_Grid[#Data],$DD889,32),0)</f>
        <v/>
      </c>
      <c r="AI889">
        <f>IFERROR(INDEX(PP_Grid[#Data],$DD889,33),0)</f>
        <v/>
      </c>
      <c r="AJ889">
        <f>IFERROR(INDEX(PP_Grid[#Data],$DD889,34),0)</f>
        <v/>
      </c>
      <c r="AK889">
        <f>IFERROR(INDEX(PP_Grid[#Data],$DD889,35),0)</f>
        <v/>
      </c>
      <c r="AL889">
        <f>IFERROR(INDEX(PP_Grid[#Data],$DD889,36),0)</f>
        <v/>
      </c>
      <c r="AM889">
        <f>IFERROR(INDEX(PP_Grid[#Data],$DD889,37),0)</f>
        <v/>
      </c>
      <c r="AN889">
        <f>IFERROR(INDEX(PP_Grid[#Data],$DD889,38),0)</f>
        <v/>
      </c>
      <c r="AO889">
        <f>IFERROR(INDEX(PP_Grid[#Data],$DD889,39),0)</f>
        <v/>
      </c>
      <c r="AP889">
        <f>IFERROR(INDEX(PP_Grid[#Data],$DD889,40),0)</f>
        <v/>
      </c>
      <c r="AQ889">
        <f>IFERROR(INDEX(PP_Grid[#Data],$DD889,41),0)</f>
        <v/>
      </c>
      <c r="AR889">
        <f>IFERROR(INDEX(PP_Grid[#Data],$DD889,42),0)</f>
        <v/>
      </c>
      <c r="AS889">
        <f>IFERROR(INDEX(PP_Grid[#Data],$DD889,43),0)</f>
        <v/>
      </c>
      <c r="AT889">
        <f>IFERROR(INDEX(PP_Grid[#Data],$DD889,44),0)</f>
        <v/>
      </c>
      <c r="AU889">
        <f>IFERROR(INDEX(PP_Grid[#Data],$DD889,45),0)</f>
        <v/>
      </c>
      <c r="AV889">
        <f>IFERROR(INDEX(PP_Grid[#Data],$DD889,46),0)</f>
        <v/>
      </c>
      <c r="AW889">
        <f>IFERROR(INDEX(PP_Grid[#Data],$DD889,47),0)</f>
        <v/>
      </c>
      <c r="AX889">
        <f>IFERROR(INDEX(PP_Grid[#Data],$DD889,48),0)</f>
        <v/>
      </c>
      <c r="AY889">
        <f>IFERROR(INDEX(PP_Grid[#Data],$DD889,49),0)</f>
        <v/>
      </c>
      <c r="AZ889">
        <f>IFERROR(INDEX(PP_Grid[#Data],$DD889,50),0)</f>
        <v/>
      </c>
      <c r="BA889">
        <f>IFERROR(INDEX(PP_Grid[#Data],$DD889,51),0)</f>
        <v/>
      </c>
      <c r="BB889">
        <f>IFERROR(INDEX(PP_Grid[#Data],$DD889,52),0)</f>
        <v/>
      </c>
      <c r="BC889">
        <f>IFERROR(INDEX(PP_Grid[#Data],$DD889,53),0)</f>
        <v/>
      </c>
      <c r="BD889">
        <f>IFERROR(INDEX(PP_Grid[#Data],$DD889,54),0)</f>
        <v/>
      </c>
      <c r="BE889">
        <f>IFERROR(INDEX(PP_Grid[#Data],$DD889,55),0)</f>
        <v/>
      </c>
      <c r="BF889">
        <f>IFERROR(INDEX(PP_Grid[#Data],$DD889,56),0)</f>
        <v/>
      </c>
      <c r="BG889">
        <f>IFERROR(INDEX(PP_Grid[#Data],$DD889,57),0)</f>
        <v/>
      </c>
      <c r="BH889">
        <f>IFERROR(INDEX(PP_Grid[#Data],$DD889,58),0)</f>
        <v/>
      </c>
      <c r="BI889">
        <f>IFERROR(INDEX(PP_Grid[#Data],$DD889,59),0)</f>
        <v/>
      </c>
      <c r="BJ889">
        <f>IFERROR(INDEX(PP_Grid[#Data],$DD889,60),0)</f>
        <v/>
      </c>
      <c r="BK889">
        <f>IFERROR(INDEX(PP_Grid[#Data],$DD889,61),0)</f>
        <v/>
      </c>
      <c r="BL889">
        <f>IFERROR(INDEX(PP_Grid[#Data],$DD889,62),0)</f>
        <v/>
      </c>
      <c r="BM889">
        <f>IFERROR(INDEX(PP_Grid[#Data],$DD889,63),0)</f>
        <v/>
      </c>
      <c r="BN889">
        <f>IFERROR(INDEX(PP_Grid[#Data],$DD889,64),0)</f>
        <v/>
      </c>
      <c r="BO889">
        <f>IFERROR(INDEX(PP_Grid[#Data],$DD889,65),0)</f>
        <v/>
      </c>
      <c r="BP889">
        <f>IFERROR(INDEX(PP_Grid[#Data],$DD889,66),0)</f>
        <v/>
      </c>
      <c r="BQ889">
        <f>IFERROR(INDEX(PP_Grid[#Data],$DD889,67),0)</f>
        <v/>
      </c>
      <c r="BR889">
        <f>IFERROR(INDEX(PP_Grid[#Data],$DD889,68),0)</f>
        <v/>
      </c>
      <c r="BS889">
        <f>IFERROR(INDEX(PP_Grid[#Data],$DD889,69),0)</f>
        <v/>
      </c>
      <c r="BT889">
        <f>IFERROR(INDEX(PP_Grid[#Data],$DD889,70),0)</f>
        <v/>
      </c>
      <c r="BU889">
        <f>IFERROR(INDEX(PP_Grid[#Data],$DD889,71),0)</f>
        <v/>
      </c>
      <c r="BV889">
        <f>IFERROR(INDEX(PP_Grid[#Data],$DD889,72),0)</f>
        <v/>
      </c>
      <c r="BW889">
        <f>IFERROR(INDEX(PP_Grid[#Data],$DD889,73),0)</f>
        <v/>
      </c>
      <c r="BX889">
        <f>IFERROR(INDEX(PP_Grid[#Data],$DD889,74),0)</f>
        <v/>
      </c>
      <c r="BY889">
        <f>IFERROR(INDEX(PP_Grid[#Data],$DD889,75),0)</f>
        <v/>
      </c>
      <c r="BZ889">
        <f>IFERROR(INDEX(PP_Grid[#Data],$DD889,76),0)</f>
        <v/>
      </c>
      <c r="CA889">
        <f>IFERROR(INDEX(PP_Grid[#Data],$DD889,77),0)</f>
        <v/>
      </c>
      <c r="CB889">
        <f>IFERROR(INDEX(PP_Grid[#Data],$DD889,78),0)</f>
        <v/>
      </c>
      <c r="CC889">
        <f>IFERROR(INDEX(PP_Grid[#Data],$DD889,79),0)</f>
        <v/>
      </c>
      <c r="CD889">
        <f>IFERROR(INDEX(PP_Grid[#Data],$DD889,80),0)</f>
        <v/>
      </c>
      <c r="CE889">
        <f>IFERROR(INDEX(PP_Grid[#Data],$DD889,81),0)</f>
        <v/>
      </c>
      <c r="CF889">
        <f>IFERROR(INDEX(PP_Grid[#Data],$DD889,82),0)</f>
        <v/>
      </c>
      <c r="CG889">
        <f>IFERROR(INDEX(PP_Grid[#Data],$DD889,83),0)</f>
        <v/>
      </c>
      <c r="CH889">
        <f>IFERROR(INDEX(PP_Grid[#Data],$DD889,84),0)</f>
        <v/>
      </c>
      <c r="CI889">
        <f>IFERROR(INDEX(PP_Grid[#Data],$DD889,85),0)</f>
        <v/>
      </c>
      <c r="CJ889">
        <f>IFERROR(INDEX(PP_Grid[#Data],$DD889,86),0)</f>
        <v/>
      </c>
      <c r="CK889">
        <f>IFERROR(INDEX(PP_Grid[#Data],$DD889,87),0)</f>
        <v/>
      </c>
      <c r="CL889">
        <f>IFERROR(INDEX(PP_Grid[#Data],$DD889,88),0)</f>
        <v/>
      </c>
      <c r="CM889">
        <f>IFERROR(INDEX(PP_Grid[#Data],$DD889,89),0)</f>
        <v/>
      </c>
      <c r="CN889">
        <f>IFERROR(INDEX(PP_Grid[#Data],$DD889,90),0)</f>
        <v/>
      </c>
      <c r="CO889">
        <f>IFERROR(INDEX(PP_Grid[#Data],$DD889,91),0)</f>
        <v/>
      </c>
      <c r="CP889">
        <f>IFERROR(INDEX(PP_Grid[#Data],$DD889,92),0)</f>
        <v/>
      </c>
      <c r="CQ889">
        <f>IFERROR(INDEX(PP_Grid[#Data],$DD889,93),0)</f>
        <v/>
      </c>
      <c r="CR889">
        <f>IFERROR(INDEX(PP_Grid[#Data],$DD889,94),0)</f>
        <v/>
      </c>
      <c r="CS889">
        <f>IFERROR(INDEX(PP_Grid[#Data],$DD889,95),0)</f>
        <v/>
      </c>
      <c r="CT889">
        <f>IFERROR(INDEX(PP_Grid[#Data],$DD889,96),0)</f>
        <v/>
      </c>
      <c r="CU889">
        <f>IFERROR(INDEX(PP_Grid[#Data],$DD889,97),0)</f>
        <v/>
      </c>
      <c r="CV889">
        <f>IFERROR(INDEX(PP_Grid[#Data],$DD889,98),0)</f>
        <v/>
      </c>
      <c r="CW889">
        <f>IFERROR(INDEX(PP_Grid[#Data],$DD889,99),0)</f>
        <v/>
      </c>
      <c r="CX889">
        <f>IFERROR(INDEX(PP_Grid[#Data],$DD889,100),0)</f>
        <v/>
      </c>
      <c r="CY889">
        <f>IFERROR(INDEX(PP_Grid[#Data],$DD889,101),0)</f>
        <v/>
      </c>
      <c r="CZ889">
        <f>IFERROR(INDEX(PP_Grid[#Data],$DD889,102),0)</f>
        <v/>
      </c>
      <c r="DA889">
        <f>IFERROR(INDEX(PP_Grid[#Data],$DD889,103),0)</f>
        <v/>
      </c>
      <c r="DB889">
        <f>IFERROR(INDEX(PP_Grid[#Data],$DD889,104),0)</f>
        <v/>
      </c>
      <c r="DC889">
        <f>IFERROR(INDEX(PP_Grid[#Data],$DD889,105),0)</f>
        <v/>
      </c>
      <c r="DD889" s="7">
        <f>IFERROR(MATCH($B889,PP_Grid[Intermediate],0),99999)</f>
        <v/>
      </c>
    </row>
    <row r="890">
      <c r="B890" t="inlineStr">
        <is>
          <t>使用量(kg)</t>
        </is>
      </c>
      <c r="C890">
        <f>SUMIFS(M_BOM[RM_Qty_Per_Batch],M_BOM[Intermediate],$B889,M_BOM[Part Name],$A878)</f>
        <v/>
      </c>
      <c r="D890">
        <f>$C890*D889</f>
        <v/>
      </c>
      <c r="E890">
        <f>$C890*E889</f>
        <v/>
      </c>
      <c r="F890">
        <f>$C890*F889</f>
        <v/>
      </c>
      <c r="G890">
        <f>$C890*G889</f>
        <v/>
      </c>
      <c r="H890">
        <f>$C890*H889</f>
        <v/>
      </c>
      <c r="I890">
        <f>$C890*I889</f>
        <v/>
      </c>
      <c r="J890">
        <f>$C890*J889</f>
        <v/>
      </c>
      <c r="K890">
        <f>$C890*K889</f>
        <v/>
      </c>
      <c r="L890">
        <f>$C890*L889</f>
        <v/>
      </c>
      <c r="M890">
        <f>$C890*M889</f>
        <v/>
      </c>
      <c r="N890">
        <f>$C890*N889</f>
        <v/>
      </c>
      <c r="O890">
        <f>$C890*O889</f>
        <v/>
      </c>
      <c r="P890">
        <f>$C890*P889</f>
        <v/>
      </c>
      <c r="Q890">
        <f>$C890*Q889</f>
        <v/>
      </c>
      <c r="R890">
        <f>$C890*R889</f>
        <v/>
      </c>
      <c r="S890">
        <f>$C890*S889</f>
        <v/>
      </c>
      <c r="T890">
        <f>$C890*T889</f>
        <v/>
      </c>
      <c r="U890">
        <f>$C890*U889</f>
        <v/>
      </c>
      <c r="V890">
        <f>$C890*V889</f>
        <v/>
      </c>
      <c r="W890">
        <f>$C890*W889</f>
        <v/>
      </c>
      <c r="X890">
        <f>$C890*X889</f>
        <v/>
      </c>
      <c r="Y890">
        <f>$C890*Y889</f>
        <v/>
      </c>
      <c r="Z890">
        <f>$C890*Z889</f>
        <v/>
      </c>
      <c r="AA890">
        <f>$C890*AA889</f>
        <v/>
      </c>
      <c r="AB890">
        <f>$C890*AB889</f>
        <v/>
      </c>
      <c r="AC890">
        <f>$C890*AC889</f>
        <v/>
      </c>
      <c r="AD890">
        <f>$C890*AD889</f>
        <v/>
      </c>
      <c r="AE890">
        <f>$C890*AE889</f>
        <v/>
      </c>
      <c r="AF890">
        <f>$C890*AF889</f>
        <v/>
      </c>
      <c r="AG890">
        <f>$C890*AG889</f>
        <v/>
      </c>
      <c r="AH890">
        <f>$C890*AH889</f>
        <v/>
      </c>
      <c r="AI890">
        <f>$C890*AI889</f>
        <v/>
      </c>
      <c r="AJ890">
        <f>$C890*AJ889</f>
        <v/>
      </c>
      <c r="AK890">
        <f>$C890*AK889</f>
        <v/>
      </c>
      <c r="AL890">
        <f>$C890*AL889</f>
        <v/>
      </c>
      <c r="AM890">
        <f>$C890*AM889</f>
        <v/>
      </c>
      <c r="AN890">
        <f>$C890*AN889</f>
        <v/>
      </c>
      <c r="AO890">
        <f>$C890*AO889</f>
        <v/>
      </c>
      <c r="AP890">
        <f>$C890*AP889</f>
        <v/>
      </c>
      <c r="AQ890">
        <f>$C890*AQ889</f>
        <v/>
      </c>
      <c r="AR890">
        <f>$C890*AR889</f>
        <v/>
      </c>
      <c r="AS890">
        <f>$C890*AS889</f>
        <v/>
      </c>
      <c r="AT890">
        <f>$C890*AT889</f>
        <v/>
      </c>
      <c r="AU890">
        <f>$C890*AU889</f>
        <v/>
      </c>
      <c r="AV890">
        <f>$C890*AV889</f>
        <v/>
      </c>
      <c r="AW890">
        <f>$C890*AW889</f>
        <v/>
      </c>
      <c r="AX890">
        <f>$C890*AX889</f>
        <v/>
      </c>
      <c r="AY890">
        <f>$C890*AY889</f>
        <v/>
      </c>
      <c r="AZ890">
        <f>$C890*AZ889</f>
        <v/>
      </c>
      <c r="BA890">
        <f>$C890*BA889</f>
        <v/>
      </c>
      <c r="BB890">
        <f>$C890*BB889</f>
        <v/>
      </c>
      <c r="BC890">
        <f>$C890*BC889</f>
        <v/>
      </c>
      <c r="BD890">
        <f>$C890*BD889</f>
        <v/>
      </c>
      <c r="BE890">
        <f>$C890*BE889</f>
        <v/>
      </c>
      <c r="BF890">
        <f>$C890*BF889</f>
        <v/>
      </c>
      <c r="BG890">
        <f>$C890*BG889</f>
        <v/>
      </c>
      <c r="BH890">
        <f>$C890*BH889</f>
        <v/>
      </c>
      <c r="BI890">
        <f>$C890*BI889</f>
        <v/>
      </c>
      <c r="BJ890">
        <f>$C890*BJ889</f>
        <v/>
      </c>
      <c r="BK890">
        <f>$C890*BK889</f>
        <v/>
      </c>
      <c r="BL890">
        <f>$C890*BL889</f>
        <v/>
      </c>
      <c r="BM890">
        <f>$C890*BM889</f>
        <v/>
      </c>
      <c r="BN890">
        <f>$C890*BN889</f>
        <v/>
      </c>
      <c r="BO890">
        <f>$C890*BO889</f>
        <v/>
      </c>
      <c r="BP890">
        <f>$C890*BP889</f>
        <v/>
      </c>
      <c r="BQ890">
        <f>$C890*BQ889</f>
        <v/>
      </c>
      <c r="BR890">
        <f>$C890*BR889</f>
        <v/>
      </c>
      <c r="BS890">
        <f>$C890*BS889</f>
        <v/>
      </c>
      <c r="BT890">
        <f>$C890*BT889</f>
        <v/>
      </c>
      <c r="BU890">
        <f>$C890*BU889</f>
        <v/>
      </c>
      <c r="BV890">
        <f>$C890*BV889</f>
        <v/>
      </c>
      <c r="BW890">
        <f>$C890*BW889</f>
        <v/>
      </c>
      <c r="BX890">
        <f>$C890*BX889</f>
        <v/>
      </c>
      <c r="BY890">
        <f>$C890*BY889</f>
        <v/>
      </c>
      <c r="BZ890">
        <f>$C890*BZ889</f>
        <v/>
      </c>
      <c r="CA890">
        <f>$C890*CA889</f>
        <v/>
      </c>
      <c r="CB890">
        <f>$C890*CB889</f>
        <v/>
      </c>
      <c r="CC890">
        <f>$C890*CC889</f>
        <v/>
      </c>
      <c r="CD890">
        <f>$C890*CD889</f>
        <v/>
      </c>
      <c r="CE890">
        <f>$C890*CE889</f>
        <v/>
      </c>
      <c r="CF890">
        <f>$C890*CF889</f>
        <v/>
      </c>
      <c r="CG890">
        <f>$C890*CG889</f>
        <v/>
      </c>
      <c r="CH890">
        <f>$C890*CH889</f>
        <v/>
      </c>
      <c r="CI890">
        <f>$C890*CI889</f>
        <v/>
      </c>
      <c r="CJ890">
        <f>$C890*CJ889</f>
        <v/>
      </c>
      <c r="CK890">
        <f>$C890*CK889</f>
        <v/>
      </c>
      <c r="CL890">
        <f>$C890*CL889</f>
        <v/>
      </c>
      <c r="CM890">
        <f>$C890*CM889</f>
        <v/>
      </c>
      <c r="CN890">
        <f>$C890*CN889</f>
        <v/>
      </c>
      <c r="CO890">
        <f>$C890*CO889</f>
        <v/>
      </c>
      <c r="CP890">
        <f>$C890*CP889</f>
        <v/>
      </c>
      <c r="CQ890">
        <f>$C890*CQ889</f>
        <v/>
      </c>
      <c r="CR890">
        <f>$C890*CR889</f>
        <v/>
      </c>
      <c r="CS890">
        <f>$C890*CS889</f>
        <v/>
      </c>
      <c r="CT890">
        <f>$C890*CT889</f>
        <v/>
      </c>
      <c r="CU890">
        <f>$C890*CU889</f>
        <v/>
      </c>
      <c r="CV890">
        <f>$C890*CV889</f>
        <v/>
      </c>
      <c r="CW890">
        <f>$C890*CW889</f>
        <v/>
      </c>
      <c r="CX890">
        <f>$C890*CX889</f>
        <v/>
      </c>
      <c r="CY890">
        <f>$C890*CY889</f>
        <v/>
      </c>
      <c r="CZ890">
        <f>$C890*CZ889</f>
        <v/>
      </c>
      <c r="DA890">
        <f>$C890*DA889</f>
        <v/>
      </c>
      <c r="DB890">
        <f>$C890*DB889</f>
        <v/>
      </c>
      <c r="DC890">
        <f>$C890*DC889</f>
        <v/>
      </c>
    </row>
    <row r="891">
      <c r="B891" t="inlineStr">
        <is>
          <t>TSP-1388</t>
        </is>
      </c>
      <c r="C891" t="inlineStr">
        <is>
          <t>No. of batches</t>
        </is>
      </c>
      <c r="D891">
        <f>IFERROR(INDEX(PP_Grid[#Data],$DD891,2),0)</f>
        <v/>
      </c>
      <c r="E891">
        <f>IFERROR(INDEX(PP_Grid[#Data],$DD891,3),0)</f>
        <v/>
      </c>
      <c r="F891">
        <f>IFERROR(INDEX(PP_Grid[#Data],$DD891,4),0)</f>
        <v/>
      </c>
      <c r="G891">
        <f>IFERROR(INDEX(PP_Grid[#Data],$DD891,5),0)</f>
        <v/>
      </c>
      <c r="H891">
        <f>IFERROR(INDEX(PP_Grid[#Data],$DD891,6),0)</f>
        <v/>
      </c>
      <c r="I891">
        <f>IFERROR(INDEX(PP_Grid[#Data],$DD891,7),0)</f>
        <v/>
      </c>
      <c r="J891">
        <f>IFERROR(INDEX(PP_Grid[#Data],$DD891,8),0)</f>
        <v/>
      </c>
      <c r="K891">
        <f>IFERROR(INDEX(PP_Grid[#Data],$DD891,9),0)</f>
        <v/>
      </c>
      <c r="L891">
        <f>IFERROR(INDEX(PP_Grid[#Data],$DD891,10),0)</f>
        <v/>
      </c>
      <c r="M891">
        <f>IFERROR(INDEX(PP_Grid[#Data],$DD891,11),0)</f>
        <v/>
      </c>
      <c r="N891">
        <f>IFERROR(INDEX(PP_Grid[#Data],$DD891,12),0)</f>
        <v/>
      </c>
      <c r="O891">
        <f>IFERROR(INDEX(PP_Grid[#Data],$DD891,13),0)</f>
        <v/>
      </c>
      <c r="P891">
        <f>IFERROR(INDEX(PP_Grid[#Data],$DD891,14),0)</f>
        <v/>
      </c>
      <c r="Q891">
        <f>IFERROR(INDEX(PP_Grid[#Data],$DD891,15),0)</f>
        <v/>
      </c>
      <c r="R891">
        <f>IFERROR(INDEX(PP_Grid[#Data],$DD891,16),0)</f>
        <v/>
      </c>
      <c r="S891">
        <f>IFERROR(INDEX(PP_Grid[#Data],$DD891,17),0)</f>
        <v/>
      </c>
      <c r="T891">
        <f>IFERROR(INDEX(PP_Grid[#Data],$DD891,18),0)</f>
        <v/>
      </c>
      <c r="U891">
        <f>IFERROR(INDEX(PP_Grid[#Data],$DD891,19),0)</f>
        <v/>
      </c>
      <c r="V891">
        <f>IFERROR(INDEX(PP_Grid[#Data],$DD891,20),0)</f>
        <v/>
      </c>
      <c r="W891">
        <f>IFERROR(INDEX(PP_Grid[#Data],$DD891,21),0)</f>
        <v/>
      </c>
      <c r="X891">
        <f>IFERROR(INDEX(PP_Grid[#Data],$DD891,22),0)</f>
        <v/>
      </c>
      <c r="Y891">
        <f>IFERROR(INDEX(PP_Grid[#Data],$DD891,23),0)</f>
        <v/>
      </c>
      <c r="Z891">
        <f>IFERROR(INDEX(PP_Grid[#Data],$DD891,24),0)</f>
        <v/>
      </c>
      <c r="AA891">
        <f>IFERROR(INDEX(PP_Grid[#Data],$DD891,25),0)</f>
        <v/>
      </c>
      <c r="AB891">
        <f>IFERROR(INDEX(PP_Grid[#Data],$DD891,26),0)</f>
        <v/>
      </c>
      <c r="AC891">
        <f>IFERROR(INDEX(PP_Grid[#Data],$DD891,27),0)</f>
        <v/>
      </c>
      <c r="AD891">
        <f>IFERROR(INDEX(PP_Grid[#Data],$DD891,28),0)</f>
        <v/>
      </c>
      <c r="AE891">
        <f>IFERROR(INDEX(PP_Grid[#Data],$DD891,29),0)</f>
        <v/>
      </c>
      <c r="AF891">
        <f>IFERROR(INDEX(PP_Grid[#Data],$DD891,30),0)</f>
        <v/>
      </c>
      <c r="AG891">
        <f>IFERROR(INDEX(PP_Grid[#Data],$DD891,31),0)</f>
        <v/>
      </c>
      <c r="AH891">
        <f>IFERROR(INDEX(PP_Grid[#Data],$DD891,32),0)</f>
        <v/>
      </c>
      <c r="AI891">
        <f>IFERROR(INDEX(PP_Grid[#Data],$DD891,33),0)</f>
        <v/>
      </c>
      <c r="AJ891">
        <f>IFERROR(INDEX(PP_Grid[#Data],$DD891,34),0)</f>
        <v/>
      </c>
      <c r="AK891">
        <f>IFERROR(INDEX(PP_Grid[#Data],$DD891,35),0)</f>
        <v/>
      </c>
      <c r="AL891">
        <f>IFERROR(INDEX(PP_Grid[#Data],$DD891,36),0)</f>
        <v/>
      </c>
      <c r="AM891">
        <f>IFERROR(INDEX(PP_Grid[#Data],$DD891,37),0)</f>
        <v/>
      </c>
      <c r="AN891">
        <f>IFERROR(INDEX(PP_Grid[#Data],$DD891,38),0)</f>
        <v/>
      </c>
      <c r="AO891">
        <f>IFERROR(INDEX(PP_Grid[#Data],$DD891,39),0)</f>
        <v/>
      </c>
      <c r="AP891">
        <f>IFERROR(INDEX(PP_Grid[#Data],$DD891,40),0)</f>
        <v/>
      </c>
      <c r="AQ891">
        <f>IFERROR(INDEX(PP_Grid[#Data],$DD891,41),0)</f>
        <v/>
      </c>
      <c r="AR891">
        <f>IFERROR(INDEX(PP_Grid[#Data],$DD891,42),0)</f>
        <v/>
      </c>
      <c r="AS891">
        <f>IFERROR(INDEX(PP_Grid[#Data],$DD891,43),0)</f>
        <v/>
      </c>
      <c r="AT891">
        <f>IFERROR(INDEX(PP_Grid[#Data],$DD891,44),0)</f>
        <v/>
      </c>
      <c r="AU891">
        <f>IFERROR(INDEX(PP_Grid[#Data],$DD891,45),0)</f>
        <v/>
      </c>
      <c r="AV891">
        <f>IFERROR(INDEX(PP_Grid[#Data],$DD891,46),0)</f>
        <v/>
      </c>
      <c r="AW891">
        <f>IFERROR(INDEX(PP_Grid[#Data],$DD891,47),0)</f>
        <v/>
      </c>
      <c r="AX891">
        <f>IFERROR(INDEX(PP_Grid[#Data],$DD891,48),0)</f>
        <v/>
      </c>
      <c r="AY891">
        <f>IFERROR(INDEX(PP_Grid[#Data],$DD891,49),0)</f>
        <v/>
      </c>
      <c r="AZ891">
        <f>IFERROR(INDEX(PP_Grid[#Data],$DD891,50),0)</f>
        <v/>
      </c>
      <c r="BA891">
        <f>IFERROR(INDEX(PP_Grid[#Data],$DD891,51),0)</f>
        <v/>
      </c>
      <c r="BB891">
        <f>IFERROR(INDEX(PP_Grid[#Data],$DD891,52),0)</f>
        <v/>
      </c>
      <c r="BC891">
        <f>IFERROR(INDEX(PP_Grid[#Data],$DD891,53),0)</f>
        <v/>
      </c>
      <c r="BD891">
        <f>IFERROR(INDEX(PP_Grid[#Data],$DD891,54),0)</f>
        <v/>
      </c>
      <c r="BE891">
        <f>IFERROR(INDEX(PP_Grid[#Data],$DD891,55),0)</f>
        <v/>
      </c>
      <c r="BF891">
        <f>IFERROR(INDEX(PP_Grid[#Data],$DD891,56),0)</f>
        <v/>
      </c>
      <c r="BG891">
        <f>IFERROR(INDEX(PP_Grid[#Data],$DD891,57),0)</f>
        <v/>
      </c>
      <c r="BH891">
        <f>IFERROR(INDEX(PP_Grid[#Data],$DD891,58),0)</f>
        <v/>
      </c>
      <c r="BI891">
        <f>IFERROR(INDEX(PP_Grid[#Data],$DD891,59),0)</f>
        <v/>
      </c>
      <c r="BJ891">
        <f>IFERROR(INDEX(PP_Grid[#Data],$DD891,60),0)</f>
        <v/>
      </c>
      <c r="BK891">
        <f>IFERROR(INDEX(PP_Grid[#Data],$DD891,61),0)</f>
        <v/>
      </c>
      <c r="BL891">
        <f>IFERROR(INDEX(PP_Grid[#Data],$DD891,62),0)</f>
        <v/>
      </c>
      <c r="BM891">
        <f>IFERROR(INDEX(PP_Grid[#Data],$DD891,63),0)</f>
        <v/>
      </c>
      <c r="BN891">
        <f>IFERROR(INDEX(PP_Grid[#Data],$DD891,64),0)</f>
        <v/>
      </c>
      <c r="BO891">
        <f>IFERROR(INDEX(PP_Grid[#Data],$DD891,65),0)</f>
        <v/>
      </c>
      <c r="BP891">
        <f>IFERROR(INDEX(PP_Grid[#Data],$DD891,66),0)</f>
        <v/>
      </c>
      <c r="BQ891">
        <f>IFERROR(INDEX(PP_Grid[#Data],$DD891,67),0)</f>
        <v/>
      </c>
      <c r="BR891">
        <f>IFERROR(INDEX(PP_Grid[#Data],$DD891,68),0)</f>
        <v/>
      </c>
      <c r="BS891">
        <f>IFERROR(INDEX(PP_Grid[#Data],$DD891,69),0)</f>
        <v/>
      </c>
      <c r="BT891">
        <f>IFERROR(INDEX(PP_Grid[#Data],$DD891,70),0)</f>
        <v/>
      </c>
      <c r="BU891">
        <f>IFERROR(INDEX(PP_Grid[#Data],$DD891,71),0)</f>
        <v/>
      </c>
      <c r="BV891">
        <f>IFERROR(INDEX(PP_Grid[#Data],$DD891,72),0)</f>
        <v/>
      </c>
      <c r="BW891">
        <f>IFERROR(INDEX(PP_Grid[#Data],$DD891,73),0)</f>
        <v/>
      </c>
      <c r="BX891">
        <f>IFERROR(INDEX(PP_Grid[#Data],$DD891,74),0)</f>
        <v/>
      </c>
      <c r="BY891">
        <f>IFERROR(INDEX(PP_Grid[#Data],$DD891,75),0)</f>
        <v/>
      </c>
      <c r="BZ891">
        <f>IFERROR(INDEX(PP_Grid[#Data],$DD891,76),0)</f>
        <v/>
      </c>
      <c r="CA891">
        <f>IFERROR(INDEX(PP_Grid[#Data],$DD891,77),0)</f>
        <v/>
      </c>
      <c r="CB891">
        <f>IFERROR(INDEX(PP_Grid[#Data],$DD891,78),0)</f>
        <v/>
      </c>
      <c r="CC891">
        <f>IFERROR(INDEX(PP_Grid[#Data],$DD891,79),0)</f>
        <v/>
      </c>
      <c r="CD891">
        <f>IFERROR(INDEX(PP_Grid[#Data],$DD891,80),0)</f>
        <v/>
      </c>
      <c r="CE891">
        <f>IFERROR(INDEX(PP_Grid[#Data],$DD891,81),0)</f>
        <v/>
      </c>
      <c r="CF891">
        <f>IFERROR(INDEX(PP_Grid[#Data],$DD891,82),0)</f>
        <v/>
      </c>
      <c r="CG891">
        <f>IFERROR(INDEX(PP_Grid[#Data],$DD891,83),0)</f>
        <v/>
      </c>
      <c r="CH891">
        <f>IFERROR(INDEX(PP_Grid[#Data],$DD891,84),0)</f>
        <v/>
      </c>
      <c r="CI891">
        <f>IFERROR(INDEX(PP_Grid[#Data],$DD891,85),0)</f>
        <v/>
      </c>
      <c r="CJ891">
        <f>IFERROR(INDEX(PP_Grid[#Data],$DD891,86),0)</f>
        <v/>
      </c>
      <c r="CK891">
        <f>IFERROR(INDEX(PP_Grid[#Data],$DD891,87),0)</f>
        <v/>
      </c>
      <c r="CL891">
        <f>IFERROR(INDEX(PP_Grid[#Data],$DD891,88),0)</f>
        <v/>
      </c>
      <c r="CM891">
        <f>IFERROR(INDEX(PP_Grid[#Data],$DD891,89),0)</f>
        <v/>
      </c>
      <c r="CN891">
        <f>IFERROR(INDEX(PP_Grid[#Data],$DD891,90),0)</f>
        <v/>
      </c>
      <c r="CO891">
        <f>IFERROR(INDEX(PP_Grid[#Data],$DD891,91),0)</f>
        <v/>
      </c>
      <c r="CP891">
        <f>IFERROR(INDEX(PP_Grid[#Data],$DD891,92),0)</f>
        <v/>
      </c>
      <c r="CQ891">
        <f>IFERROR(INDEX(PP_Grid[#Data],$DD891,93),0)</f>
        <v/>
      </c>
      <c r="CR891">
        <f>IFERROR(INDEX(PP_Grid[#Data],$DD891,94),0)</f>
        <v/>
      </c>
      <c r="CS891">
        <f>IFERROR(INDEX(PP_Grid[#Data],$DD891,95),0)</f>
        <v/>
      </c>
      <c r="CT891">
        <f>IFERROR(INDEX(PP_Grid[#Data],$DD891,96),0)</f>
        <v/>
      </c>
      <c r="CU891">
        <f>IFERROR(INDEX(PP_Grid[#Data],$DD891,97),0)</f>
        <v/>
      </c>
      <c r="CV891">
        <f>IFERROR(INDEX(PP_Grid[#Data],$DD891,98),0)</f>
        <v/>
      </c>
      <c r="CW891">
        <f>IFERROR(INDEX(PP_Grid[#Data],$DD891,99),0)</f>
        <v/>
      </c>
      <c r="CX891">
        <f>IFERROR(INDEX(PP_Grid[#Data],$DD891,100),0)</f>
        <v/>
      </c>
      <c r="CY891">
        <f>IFERROR(INDEX(PP_Grid[#Data],$DD891,101),0)</f>
        <v/>
      </c>
      <c r="CZ891">
        <f>IFERROR(INDEX(PP_Grid[#Data],$DD891,102),0)</f>
        <v/>
      </c>
      <c r="DA891">
        <f>IFERROR(INDEX(PP_Grid[#Data],$DD891,103),0)</f>
        <v/>
      </c>
      <c r="DB891">
        <f>IFERROR(INDEX(PP_Grid[#Data],$DD891,104),0)</f>
        <v/>
      </c>
      <c r="DC891">
        <f>IFERROR(INDEX(PP_Grid[#Data],$DD891,105),0)</f>
        <v/>
      </c>
      <c r="DD891" s="7">
        <f>IFERROR(MATCH($B891,PP_Grid[Intermediate],0),99999)</f>
        <v/>
      </c>
    </row>
    <row r="892">
      <c r="B892" t="inlineStr">
        <is>
          <t>使用量(kg)</t>
        </is>
      </c>
      <c r="C892">
        <f>SUMIFS(M_BOM[RM_Qty_Per_Batch],M_BOM[Intermediate],$B891,M_BOM[Part Name],$A878)</f>
        <v/>
      </c>
      <c r="D892">
        <f>$C892*D891</f>
        <v/>
      </c>
      <c r="E892">
        <f>$C892*E891</f>
        <v/>
      </c>
      <c r="F892">
        <f>$C892*F891</f>
        <v/>
      </c>
      <c r="G892">
        <f>$C892*G891</f>
        <v/>
      </c>
      <c r="H892">
        <f>$C892*H891</f>
        <v/>
      </c>
      <c r="I892">
        <f>$C892*I891</f>
        <v/>
      </c>
      <c r="J892">
        <f>$C892*J891</f>
        <v/>
      </c>
      <c r="K892">
        <f>$C892*K891</f>
        <v/>
      </c>
      <c r="L892">
        <f>$C892*L891</f>
        <v/>
      </c>
      <c r="M892">
        <f>$C892*M891</f>
        <v/>
      </c>
      <c r="N892">
        <f>$C892*N891</f>
        <v/>
      </c>
      <c r="O892">
        <f>$C892*O891</f>
        <v/>
      </c>
      <c r="P892">
        <f>$C892*P891</f>
        <v/>
      </c>
      <c r="Q892">
        <f>$C892*Q891</f>
        <v/>
      </c>
      <c r="R892">
        <f>$C892*R891</f>
        <v/>
      </c>
      <c r="S892">
        <f>$C892*S891</f>
        <v/>
      </c>
      <c r="T892">
        <f>$C892*T891</f>
        <v/>
      </c>
      <c r="U892">
        <f>$C892*U891</f>
        <v/>
      </c>
      <c r="V892">
        <f>$C892*V891</f>
        <v/>
      </c>
      <c r="W892">
        <f>$C892*W891</f>
        <v/>
      </c>
      <c r="X892">
        <f>$C892*X891</f>
        <v/>
      </c>
      <c r="Y892">
        <f>$C892*Y891</f>
        <v/>
      </c>
      <c r="Z892">
        <f>$C892*Z891</f>
        <v/>
      </c>
      <c r="AA892">
        <f>$C892*AA891</f>
        <v/>
      </c>
      <c r="AB892">
        <f>$C892*AB891</f>
        <v/>
      </c>
      <c r="AC892">
        <f>$C892*AC891</f>
        <v/>
      </c>
      <c r="AD892">
        <f>$C892*AD891</f>
        <v/>
      </c>
      <c r="AE892">
        <f>$C892*AE891</f>
        <v/>
      </c>
      <c r="AF892">
        <f>$C892*AF891</f>
        <v/>
      </c>
      <c r="AG892">
        <f>$C892*AG891</f>
        <v/>
      </c>
      <c r="AH892">
        <f>$C892*AH891</f>
        <v/>
      </c>
      <c r="AI892">
        <f>$C892*AI891</f>
        <v/>
      </c>
      <c r="AJ892">
        <f>$C892*AJ891</f>
        <v/>
      </c>
      <c r="AK892">
        <f>$C892*AK891</f>
        <v/>
      </c>
      <c r="AL892">
        <f>$C892*AL891</f>
        <v/>
      </c>
      <c r="AM892">
        <f>$C892*AM891</f>
        <v/>
      </c>
      <c r="AN892">
        <f>$C892*AN891</f>
        <v/>
      </c>
      <c r="AO892">
        <f>$C892*AO891</f>
        <v/>
      </c>
      <c r="AP892">
        <f>$C892*AP891</f>
        <v/>
      </c>
      <c r="AQ892">
        <f>$C892*AQ891</f>
        <v/>
      </c>
      <c r="AR892">
        <f>$C892*AR891</f>
        <v/>
      </c>
      <c r="AS892">
        <f>$C892*AS891</f>
        <v/>
      </c>
      <c r="AT892">
        <f>$C892*AT891</f>
        <v/>
      </c>
      <c r="AU892">
        <f>$C892*AU891</f>
        <v/>
      </c>
      <c r="AV892">
        <f>$C892*AV891</f>
        <v/>
      </c>
      <c r="AW892">
        <f>$C892*AW891</f>
        <v/>
      </c>
      <c r="AX892">
        <f>$C892*AX891</f>
        <v/>
      </c>
      <c r="AY892">
        <f>$C892*AY891</f>
        <v/>
      </c>
      <c r="AZ892">
        <f>$C892*AZ891</f>
        <v/>
      </c>
      <c r="BA892">
        <f>$C892*BA891</f>
        <v/>
      </c>
      <c r="BB892">
        <f>$C892*BB891</f>
        <v/>
      </c>
      <c r="BC892">
        <f>$C892*BC891</f>
        <v/>
      </c>
      <c r="BD892">
        <f>$C892*BD891</f>
        <v/>
      </c>
      <c r="BE892">
        <f>$C892*BE891</f>
        <v/>
      </c>
      <c r="BF892">
        <f>$C892*BF891</f>
        <v/>
      </c>
      <c r="BG892">
        <f>$C892*BG891</f>
        <v/>
      </c>
      <c r="BH892">
        <f>$C892*BH891</f>
        <v/>
      </c>
      <c r="BI892">
        <f>$C892*BI891</f>
        <v/>
      </c>
      <c r="BJ892">
        <f>$C892*BJ891</f>
        <v/>
      </c>
      <c r="BK892">
        <f>$C892*BK891</f>
        <v/>
      </c>
      <c r="BL892">
        <f>$C892*BL891</f>
        <v/>
      </c>
      <c r="BM892">
        <f>$C892*BM891</f>
        <v/>
      </c>
      <c r="BN892">
        <f>$C892*BN891</f>
        <v/>
      </c>
      <c r="BO892">
        <f>$C892*BO891</f>
        <v/>
      </c>
      <c r="BP892">
        <f>$C892*BP891</f>
        <v/>
      </c>
      <c r="BQ892">
        <f>$C892*BQ891</f>
        <v/>
      </c>
      <c r="BR892">
        <f>$C892*BR891</f>
        <v/>
      </c>
      <c r="BS892">
        <f>$C892*BS891</f>
        <v/>
      </c>
      <c r="BT892">
        <f>$C892*BT891</f>
        <v/>
      </c>
      <c r="BU892">
        <f>$C892*BU891</f>
        <v/>
      </c>
      <c r="BV892">
        <f>$C892*BV891</f>
        <v/>
      </c>
      <c r="BW892">
        <f>$C892*BW891</f>
        <v/>
      </c>
      <c r="BX892">
        <f>$C892*BX891</f>
        <v/>
      </c>
      <c r="BY892">
        <f>$C892*BY891</f>
        <v/>
      </c>
      <c r="BZ892">
        <f>$C892*BZ891</f>
        <v/>
      </c>
      <c r="CA892">
        <f>$C892*CA891</f>
        <v/>
      </c>
      <c r="CB892">
        <f>$C892*CB891</f>
        <v/>
      </c>
      <c r="CC892">
        <f>$C892*CC891</f>
        <v/>
      </c>
      <c r="CD892">
        <f>$C892*CD891</f>
        <v/>
      </c>
      <c r="CE892">
        <f>$C892*CE891</f>
        <v/>
      </c>
      <c r="CF892">
        <f>$C892*CF891</f>
        <v/>
      </c>
      <c r="CG892">
        <f>$C892*CG891</f>
        <v/>
      </c>
      <c r="CH892">
        <f>$C892*CH891</f>
        <v/>
      </c>
      <c r="CI892">
        <f>$C892*CI891</f>
        <v/>
      </c>
      <c r="CJ892">
        <f>$C892*CJ891</f>
        <v/>
      </c>
      <c r="CK892">
        <f>$C892*CK891</f>
        <v/>
      </c>
      <c r="CL892">
        <f>$C892*CL891</f>
        <v/>
      </c>
      <c r="CM892">
        <f>$C892*CM891</f>
        <v/>
      </c>
      <c r="CN892">
        <f>$C892*CN891</f>
        <v/>
      </c>
      <c r="CO892">
        <f>$C892*CO891</f>
        <v/>
      </c>
      <c r="CP892">
        <f>$C892*CP891</f>
        <v/>
      </c>
      <c r="CQ892">
        <f>$C892*CQ891</f>
        <v/>
      </c>
      <c r="CR892">
        <f>$C892*CR891</f>
        <v/>
      </c>
      <c r="CS892">
        <f>$C892*CS891</f>
        <v/>
      </c>
      <c r="CT892">
        <f>$C892*CT891</f>
        <v/>
      </c>
      <c r="CU892">
        <f>$C892*CU891</f>
        <v/>
      </c>
      <c r="CV892">
        <f>$C892*CV891</f>
        <v/>
      </c>
      <c r="CW892">
        <f>$C892*CW891</f>
        <v/>
      </c>
      <c r="CX892">
        <f>$C892*CX891</f>
        <v/>
      </c>
      <c r="CY892">
        <f>$C892*CY891</f>
        <v/>
      </c>
      <c r="CZ892">
        <f>$C892*CZ891</f>
        <v/>
      </c>
      <c r="DA892">
        <f>$C892*DA891</f>
        <v/>
      </c>
      <c r="DB892">
        <f>$C892*DB891</f>
        <v/>
      </c>
      <c r="DC892">
        <f>$C892*DC891</f>
        <v/>
      </c>
    </row>
    <row r="893">
      <c r="B893" t="inlineStr">
        <is>
          <t>TSP-1448</t>
        </is>
      </c>
      <c r="C893" t="inlineStr">
        <is>
          <t>No. of batches</t>
        </is>
      </c>
      <c r="D893">
        <f>IFERROR(INDEX(PP_Grid[#Data],$DD893,2),0)</f>
        <v/>
      </c>
      <c r="E893">
        <f>IFERROR(INDEX(PP_Grid[#Data],$DD893,3),0)</f>
        <v/>
      </c>
      <c r="F893">
        <f>IFERROR(INDEX(PP_Grid[#Data],$DD893,4),0)</f>
        <v/>
      </c>
      <c r="G893">
        <f>IFERROR(INDEX(PP_Grid[#Data],$DD893,5),0)</f>
        <v/>
      </c>
      <c r="H893">
        <f>IFERROR(INDEX(PP_Grid[#Data],$DD893,6),0)</f>
        <v/>
      </c>
      <c r="I893">
        <f>IFERROR(INDEX(PP_Grid[#Data],$DD893,7),0)</f>
        <v/>
      </c>
      <c r="J893">
        <f>IFERROR(INDEX(PP_Grid[#Data],$DD893,8),0)</f>
        <v/>
      </c>
      <c r="K893">
        <f>IFERROR(INDEX(PP_Grid[#Data],$DD893,9),0)</f>
        <v/>
      </c>
      <c r="L893">
        <f>IFERROR(INDEX(PP_Grid[#Data],$DD893,10),0)</f>
        <v/>
      </c>
      <c r="M893">
        <f>IFERROR(INDEX(PP_Grid[#Data],$DD893,11),0)</f>
        <v/>
      </c>
      <c r="N893">
        <f>IFERROR(INDEX(PP_Grid[#Data],$DD893,12),0)</f>
        <v/>
      </c>
      <c r="O893">
        <f>IFERROR(INDEX(PP_Grid[#Data],$DD893,13),0)</f>
        <v/>
      </c>
      <c r="P893">
        <f>IFERROR(INDEX(PP_Grid[#Data],$DD893,14),0)</f>
        <v/>
      </c>
      <c r="Q893">
        <f>IFERROR(INDEX(PP_Grid[#Data],$DD893,15),0)</f>
        <v/>
      </c>
      <c r="R893">
        <f>IFERROR(INDEX(PP_Grid[#Data],$DD893,16),0)</f>
        <v/>
      </c>
      <c r="S893">
        <f>IFERROR(INDEX(PP_Grid[#Data],$DD893,17),0)</f>
        <v/>
      </c>
      <c r="T893">
        <f>IFERROR(INDEX(PP_Grid[#Data],$DD893,18),0)</f>
        <v/>
      </c>
      <c r="U893">
        <f>IFERROR(INDEX(PP_Grid[#Data],$DD893,19),0)</f>
        <v/>
      </c>
      <c r="V893">
        <f>IFERROR(INDEX(PP_Grid[#Data],$DD893,20),0)</f>
        <v/>
      </c>
      <c r="W893">
        <f>IFERROR(INDEX(PP_Grid[#Data],$DD893,21),0)</f>
        <v/>
      </c>
      <c r="X893">
        <f>IFERROR(INDEX(PP_Grid[#Data],$DD893,22),0)</f>
        <v/>
      </c>
      <c r="Y893">
        <f>IFERROR(INDEX(PP_Grid[#Data],$DD893,23),0)</f>
        <v/>
      </c>
      <c r="Z893">
        <f>IFERROR(INDEX(PP_Grid[#Data],$DD893,24),0)</f>
        <v/>
      </c>
      <c r="AA893">
        <f>IFERROR(INDEX(PP_Grid[#Data],$DD893,25),0)</f>
        <v/>
      </c>
      <c r="AB893">
        <f>IFERROR(INDEX(PP_Grid[#Data],$DD893,26),0)</f>
        <v/>
      </c>
      <c r="AC893">
        <f>IFERROR(INDEX(PP_Grid[#Data],$DD893,27),0)</f>
        <v/>
      </c>
      <c r="AD893">
        <f>IFERROR(INDEX(PP_Grid[#Data],$DD893,28),0)</f>
        <v/>
      </c>
      <c r="AE893">
        <f>IFERROR(INDEX(PP_Grid[#Data],$DD893,29),0)</f>
        <v/>
      </c>
      <c r="AF893">
        <f>IFERROR(INDEX(PP_Grid[#Data],$DD893,30),0)</f>
        <v/>
      </c>
      <c r="AG893">
        <f>IFERROR(INDEX(PP_Grid[#Data],$DD893,31),0)</f>
        <v/>
      </c>
      <c r="AH893">
        <f>IFERROR(INDEX(PP_Grid[#Data],$DD893,32),0)</f>
        <v/>
      </c>
      <c r="AI893">
        <f>IFERROR(INDEX(PP_Grid[#Data],$DD893,33),0)</f>
        <v/>
      </c>
      <c r="AJ893">
        <f>IFERROR(INDEX(PP_Grid[#Data],$DD893,34),0)</f>
        <v/>
      </c>
      <c r="AK893">
        <f>IFERROR(INDEX(PP_Grid[#Data],$DD893,35),0)</f>
        <v/>
      </c>
      <c r="AL893">
        <f>IFERROR(INDEX(PP_Grid[#Data],$DD893,36),0)</f>
        <v/>
      </c>
      <c r="AM893">
        <f>IFERROR(INDEX(PP_Grid[#Data],$DD893,37),0)</f>
        <v/>
      </c>
      <c r="AN893">
        <f>IFERROR(INDEX(PP_Grid[#Data],$DD893,38),0)</f>
        <v/>
      </c>
      <c r="AO893">
        <f>IFERROR(INDEX(PP_Grid[#Data],$DD893,39),0)</f>
        <v/>
      </c>
      <c r="AP893">
        <f>IFERROR(INDEX(PP_Grid[#Data],$DD893,40),0)</f>
        <v/>
      </c>
      <c r="AQ893">
        <f>IFERROR(INDEX(PP_Grid[#Data],$DD893,41),0)</f>
        <v/>
      </c>
      <c r="AR893">
        <f>IFERROR(INDEX(PP_Grid[#Data],$DD893,42),0)</f>
        <v/>
      </c>
      <c r="AS893">
        <f>IFERROR(INDEX(PP_Grid[#Data],$DD893,43),0)</f>
        <v/>
      </c>
      <c r="AT893">
        <f>IFERROR(INDEX(PP_Grid[#Data],$DD893,44),0)</f>
        <v/>
      </c>
      <c r="AU893">
        <f>IFERROR(INDEX(PP_Grid[#Data],$DD893,45),0)</f>
        <v/>
      </c>
      <c r="AV893">
        <f>IFERROR(INDEX(PP_Grid[#Data],$DD893,46),0)</f>
        <v/>
      </c>
      <c r="AW893">
        <f>IFERROR(INDEX(PP_Grid[#Data],$DD893,47),0)</f>
        <v/>
      </c>
      <c r="AX893">
        <f>IFERROR(INDEX(PP_Grid[#Data],$DD893,48),0)</f>
        <v/>
      </c>
      <c r="AY893">
        <f>IFERROR(INDEX(PP_Grid[#Data],$DD893,49),0)</f>
        <v/>
      </c>
      <c r="AZ893">
        <f>IFERROR(INDEX(PP_Grid[#Data],$DD893,50),0)</f>
        <v/>
      </c>
      <c r="BA893">
        <f>IFERROR(INDEX(PP_Grid[#Data],$DD893,51),0)</f>
        <v/>
      </c>
      <c r="BB893">
        <f>IFERROR(INDEX(PP_Grid[#Data],$DD893,52),0)</f>
        <v/>
      </c>
      <c r="BC893">
        <f>IFERROR(INDEX(PP_Grid[#Data],$DD893,53),0)</f>
        <v/>
      </c>
      <c r="BD893">
        <f>IFERROR(INDEX(PP_Grid[#Data],$DD893,54),0)</f>
        <v/>
      </c>
      <c r="BE893">
        <f>IFERROR(INDEX(PP_Grid[#Data],$DD893,55),0)</f>
        <v/>
      </c>
      <c r="BF893">
        <f>IFERROR(INDEX(PP_Grid[#Data],$DD893,56),0)</f>
        <v/>
      </c>
      <c r="BG893">
        <f>IFERROR(INDEX(PP_Grid[#Data],$DD893,57),0)</f>
        <v/>
      </c>
      <c r="BH893">
        <f>IFERROR(INDEX(PP_Grid[#Data],$DD893,58),0)</f>
        <v/>
      </c>
      <c r="BI893">
        <f>IFERROR(INDEX(PP_Grid[#Data],$DD893,59),0)</f>
        <v/>
      </c>
      <c r="BJ893">
        <f>IFERROR(INDEX(PP_Grid[#Data],$DD893,60),0)</f>
        <v/>
      </c>
      <c r="BK893">
        <f>IFERROR(INDEX(PP_Grid[#Data],$DD893,61),0)</f>
        <v/>
      </c>
      <c r="BL893">
        <f>IFERROR(INDEX(PP_Grid[#Data],$DD893,62),0)</f>
        <v/>
      </c>
      <c r="BM893">
        <f>IFERROR(INDEX(PP_Grid[#Data],$DD893,63),0)</f>
        <v/>
      </c>
      <c r="BN893">
        <f>IFERROR(INDEX(PP_Grid[#Data],$DD893,64),0)</f>
        <v/>
      </c>
      <c r="BO893">
        <f>IFERROR(INDEX(PP_Grid[#Data],$DD893,65),0)</f>
        <v/>
      </c>
      <c r="BP893">
        <f>IFERROR(INDEX(PP_Grid[#Data],$DD893,66),0)</f>
        <v/>
      </c>
      <c r="BQ893">
        <f>IFERROR(INDEX(PP_Grid[#Data],$DD893,67),0)</f>
        <v/>
      </c>
      <c r="BR893">
        <f>IFERROR(INDEX(PP_Grid[#Data],$DD893,68),0)</f>
        <v/>
      </c>
      <c r="BS893">
        <f>IFERROR(INDEX(PP_Grid[#Data],$DD893,69),0)</f>
        <v/>
      </c>
      <c r="BT893">
        <f>IFERROR(INDEX(PP_Grid[#Data],$DD893,70),0)</f>
        <v/>
      </c>
      <c r="BU893">
        <f>IFERROR(INDEX(PP_Grid[#Data],$DD893,71),0)</f>
        <v/>
      </c>
      <c r="BV893">
        <f>IFERROR(INDEX(PP_Grid[#Data],$DD893,72),0)</f>
        <v/>
      </c>
      <c r="BW893">
        <f>IFERROR(INDEX(PP_Grid[#Data],$DD893,73),0)</f>
        <v/>
      </c>
      <c r="BX893">
        <f>IFERROR(INDEX(PP_Grid[#Data],$DD893,74),0)</f>
        <v/>
      </c>
      <c r="BY893">
        <f>IFERROR(INDEX(PP_Grid[#Data],$DD893,75),0)</f>
        <v/>
      </c>
      <c r="BZ893">
        <f>IFERROR(INDEX(PP_Grid[#Data],$DD893,76),0)</f>
        <v/>
      </c>
      <c r="CA893">
        <f>IFERROR(INDEX(PP_Grid[#Data],$DD893,77),0)</f>
        <v/>
      </c>
      <c r="CB893">
        <f>IFERROR(INDEX(PP_Grid[#Data],$DD893,78),0)</f>
        <v/>
      </c>
      <c r="CC893">
        <f>IFERROR(INDEX(PP_Grid[#Data],$DD893,79),0)</f>
        <v/>
      </c>
      <c r="CD893">
        <f>IFERROR(INDEX(PP_Grid[#Data],$DD893,80),0)</f>
        <v/>
      </c>
      <c r="CE893">
        <f>IFERROR(INDEX(PP_Grid[#Data],$DD893,81),0)</f>
        <v/>
      </c>
      <c r="CF893">
        <f>IFERROR(INDEX(PP_Grid[#Data],$DD893,82),0)</f>
        <v/>
      </c>
      <c r="CG893">
        <f>IFERROR(INDEX(PP_Grid[#Data],$DD893,83),0)</f>
        <v/>
      </c>
      <c r="CH893">
        <f>IFERROR(INDEX(PP_Grid[#Data],$DD893,84),0)</f>
        <v/>
      </c>
      <c r="CI893">
        <f>IFERROR(INDEX(PP_Grid[#Data],$DD893,85),0)</f>
        <v/>
      </c>
      <c r="CJ893">
        <f>IFERROR(INDEX(PP_Grid[#Data],$DD893,86),0)</f>
        <v/>
      </c>
      <c r="CK893">
        <f>IFERROR(INDEX(PP_Grid[#Data],$DD893,87),0)</f>
        <v/>
      </c>
      <c r="CL893">
        <f>IFERROR(INDEX(PP_Grid[#Data],$DD893,88),0)</f>
        <v/>
      </c>
      <c r="CM893">
        <f>IFERROR(INDEX(PP_Grid[#Data],$DD893,89),0)</f>
        <v/>
      </c>
      <c r="CN893">
        <f>IFERROR(INDEX(PP_Grid[#Data],$DD893,90),0)</f>
        <v/>
      </c>
      <c r="CO893">
        <f>IFERROR(INDEX(PP_Grid[#Data],$DD893,91),0)</f>
        <v/>
      </c>
      <c r="CP893">
        <f>IFERROR(INDEX(PP_Grid[#Data],$DD893,92),0)</f>
        <v/>
      </c>
      <c r="CQ893">
        <f>IFERROR(INDEX(PP_Grid[#Data],$DD893,93),0)</f>
        <v/>
      </c>
      <c r="CR893">
        <f>IFERROR(INDEX(PP_Grid[#Data],$DD893,94),0)</f>
        <v/>
      </c>
      <c r="CS893">
        <f>IFERROR(INDEX(PP_Grid[#Data],$DD893,95),0)</f>
        <v/>
      </c>
      <c r="CT893">
        <f>IFERROR(INDEX(PP_Grid[#Data],$DD893,96),0)</f>
        <v/>
      </c>
      <c r="CU893">
        <f>IFERROR(INDEX(PP_Grid[#Data],$DD893,97),0)</f>
        <v/>
      </c>
      <c r="CV893">
        <f>IFERROR(INDEX(PP_Grid[#Data],$DD893,98),0)</f>
        <v/>
      </c>
      <c r="CW893">
        <f>IFERROR(INDEX(PP_Grid[#Data],$DD893,99),0)</f>
        <v/>
      </c>
      <c r="CX893">
        <f>IFERROR(INDEX(PP_Grid[#Data],$DD893,100),0)</f>
        <v/>
      </c>
      <c r="CY893">
        <f>IFERROR(INDEX(PP_Grid[#Data],$DD893,101),0)</f>
        <v/>
      </c>
      <c r="CZ893">
        <f>IFERROR(INDEX(PP_Grid[#Data],$DD893,102),0)</f>
        <v/>
      </c>
      <c r="DA893">
        <f>IFERROR(INDEX(PP_Grid[#Data],$DD893,103),0)</f>
        <v/>
      </c>
      <c r="DB893">
        <f>IFERROR(INDEX(PP_Grid[#Data],$DD893,104),0)</f>
        <v/>
      </c>
      <c r="DC893">
        <f>IFERROR(INDEX(PP_Grid[#Data],$DD893,105),0)</f>
        <v/>
      </c>
      <c r="DD893" s="7">
        <f>IFERROR(MATCH($B893,PP_Grid[Intermediate],0),99999)</f>
        <v/>
      </c>
    </row>
    <row r="894">
      <c r="B894" t="inlineStr">
        <is>
          <t>使用量(kg)</t>
        </is>
      </c>
      <c r="C894">
        <f>SUMIFS(M_BOM[RM_Qty_Per_Batch],M_BOM[Intermediate],$B893,M_BOM[Part Name],$A878)</f>
        <v/>
      </c>
      <c r="D894">
        <f>$C894*D893</f>
        <v/>
      </c>
      <c r="E894">
        <f>$C894*E893</f>
        <v/>
      </c>
      <c r="F894">
        <f>$C894*F893</f>
        <v/>
      </c>
      <c r="G894">
        <f>$C894*G893</f>
        <v/>
      </c>
      <c r="H894">
        <f>$C894*H893</f>
        <v/>
      </c>
      <c r="I894">
        <f>$C894*I893</f>
        <v/>
      </c>
      <c r="J894">
        <f>$C894*J893</f>
        <v/>
      </c>
      <c r="K894">
        <f>$C894*K893</f>
        <v/>
      </c>
      <c r="L894">
        <f>$C894*L893</f>
        <v/>
      </c>
      <c r="M894">
        <f>$C894*M893</f>
        <v/>
      </c>
      <c r="N894">
        <f>$C894*N893</f>
        <v/>
      </c>
      <c r="O894">
        <f>$C894*O893</f>
        <v/>
      </c>
      <c r="P894">
        <f>$C894*P893</f>
        <v/>
      </c>
      <c r="Q894">
        <f>$C894*Q893</f>
        <v/>
      </c>
      <c r="R894">
        <f>$C894*R893</f>
        <v/>
      </c>
      <c r="S894">
        <f>$C894*S893</f>
        <v/>
      </c>
      <c r="T894">
        <f>$C894*T893</f>
        <v/>
      </c>
      <c r="U894">
        <f>$C894*U893</f>
        <v/>
      </c>
      <c r="V894">
        <f>$C894*V893</f>
        <v/>
      </c>
      <c r="W894">
        <f>$C894*W893</f>
        <v/>
      </c>
      <c r="X894">
        <f>$C894*X893</f>
        <v/>
      </c>
      <c r="Y894">
        <f>$C894*Y893</f>
        <v/>
      </c>
      <c r="Z894">
        <f>$C894*Z893</f>
        <v/>
      </c>
      <c r="AA894">
        <f>$C894*AA893</f>
        <v/>
      </c>
      <c r="AB894">
        <f>$C894*AB893</f>
        <v/>
      </c>
      <c r="AC894">
        <f>$C894*AC893</f>
        <v/>
      </c>
      <c r="AD894">
        <f>$C894*AD893</f>
        <v/>
      </c>
      <c r="AE894">
        <f>$C894*AE893</f>
        <v/>
      </c>
      <c r="AF894">
        <f>$C894*AF893</f>
        <v/>
      </c>
      <c r="AG894">
        <f>$C894*AG893</f>
        <v/>
      </c>
      <c r="AH894">
        <f>$C894*AH893</f>
        <v/>
      </c>
      <c r="AI894">
        <f>$C894*AI893</f>
        <v/>
      </c>
      <c r="AJ894">
        <f>$C894*AJ893</f>
        <v/>
      </c>
      <c r="AK894">
        <f>$C894*AK893</f>
        <v/>
      </c>
      <c r="AL894">
        <f>$C894*AL893</f>
        <v/>
      </c>
      <c r="AM894">
        <f>$C894*AM893</f>
        <v/>
      </c>
      <c r="AN894">
        <f>$C894*AN893</f>
        <v/>
      </c>
      <c r="AO894">
        <f>$C894*AO893</f>
        <v/>
      </c>
      <c r="AP894">
        <f>$C894*AP893</f>
        <v/>
      </c>
      <c r="AQ894">
        <f>$C894*AQ893</f>
        <v/>
      </c>
      <c r="AR894">
        <f>$C894*AR893</f>
        <v/>
      </c>
      <c r="AS894">
        <f>$C894*AS893</f>
        <v/>
      </c>
      <c r="AT894">
        <f>$C894*AT893</f>
        <v/>
      </c>
      <c r="AU894">
        <f>$C894*AU893</f>
        <v/>
      </c>
      <c r="AV894">
        <f>$C894*AV893</f>
        <v/>
      </c>
      <c r="AW894">
        <f>$C894*AW893</f>
        <v/>
      </c>
      <c r="AX894">
        <f>$C894*AX893</f>
        <v/>
      </c>
      <c r="AY894">
        <f>$C894*AY893</f>
        <v/>
      </c>
      <c r="AZ894">
        <f>$C894*AZ893</f>
        <v/>
      </c>
      <c r="BA894">
        <f>$C894*BA893</f>
        <v/>
      </c>
      <c r="BB894">
        <f>$C894*BB893</f>
        <v/>
      </c>
      <c r="BC894">
        <f>$C894*BC893</f>
        <v/>
      </c>
      <c r="BD894">
        <f>$C894*BD893</f>
        <v/>
      </c>
      <c r="BE894">
        <f>$C894*BE893</f>
        <v/>
      </c>
      <c r="BF894">
        <f>$C894*BF893</f>
        <v/>
      </c>
      <c r="BG894">
        <f>$C894*BG893</f>
        <v/>
      </c>
      <c r="BH894">
        <f>$C894*BH893</f>
        <v/>
      </c>
      <c r="BI894">
        <f>$C894*BI893</f>
        <v/>
      </c>
      <c r="BJ894">
        <f>$C894*BJ893</f>
        <v/>
      </c>
      <c r="BK894">
        <f>$C894*BK893</f>
        <v/>
      </c>
      <c r="BL894">
        <f>$C894*BL893</f>
        <v/>
      </c>
      <c r="BM894">
        <f>$C894*BM893</f>
        <v/>
      </c>
      <c r="BN894">
        <f>$C894*BN893</f>
        <v/>
      </c>
      <c r="BO894">
        <f>$C894*BO893</f>
        <v/>
      </c>
      <c r="BP894">
        <f>$C894*BP893</f>
        <v/>
      </c>
      <c r="BQ894">
        <f>$C894*BQ893</f>
        <v/>
      </c>
      <c r="BR894">
        <f>$C894*BR893</f>
        <v/>
      </c>
      <c r="BS894">
        <f>$C894*BS893</f>
        <v/>
      </c>
      <c r="BT894">
        <f>$C894*BT893</f>
        <v/>
      </c>
      <c r="BU894">
        <f>$C894*BU893</f>
        <v/>
      </c>
      <c r="BV894">
        <f>$C894*BV893</f>
        <v/>
      </c>
      <c r="BW894">
        <f>$C894*BW893</f>
        <v/>
      </c>
      <c r="BX894">
        <f>$C894*BX893</f>
        <v/>
      </c>
      <c r="BY894">
        <f>$C894*BY893</f>
        <v/>
      </c>
      <c r="BZ894">
        <f>$C894*BZ893</f>
        <v/>
      </c>
      <c r="CA894">
        <f>$C894*CA893</f>
        <v/>
      </c>
      <c r="CB894">
        <f>$C894*CB893</f>
        <v/>
      </c>
      <c r="CC894">
        <f>$C894*CC893</f>
        <v/>
      </c>
      <c r="CD894">
        <f>$C894*CD893</f>
        <v/>
      </c>
      <c r="CE894">
        <f>$C894*CE893</f>
        <v/>
      </c>
      <c r="CF894">
        <f>$C894*CF893</f>
        <v/>
      </c>
      <c r="CG894">
        <f>$C894*CG893</f>
        <v/>
      </c>
      <c r="CH894">
        <f>$C894*CH893</f>
        <v/>
      </c>
      <c r="CI894">
        <f>$C894*CI893</f>
        <v/>
      </c>
      <c r="CJ894">
        <f>$C894*CJ893</f>
        <v/>
      </c>
      <c r="CK894">
        <f>$C894*CK893</f>
        <v/>
      </c>
      <c r="CL894">
        <f>$C894*CL893</f>
        <v/>
      </c>
      <c r="CM894">
        <f>$C894*CM893</f>
        <v/>
      </c>
      <c r="CN894">
        <f>$C894*CN893</f>
        <v/>
      </c>
      <c r="CO894">
        <f>$C894*CO893</f>
        <v/>
      </c>
      <c r="CP894">
        <f>$C894*CP893</f>
        <v/>
      </c>
      <c r="CQ894">
        <f>$C894*CQ893</f>
        <v/>
      </c>
      <c r="CR894">
        <f>$C894*CR893</f>
        <v/>
      </c>
      <c r="CS894">
        <f>$C894*CS893</f>
        <v/>
      </c>
      <c r="CT894">
        <f>$C894*CT893</f>
        <v/>
      </c>
      <c r="CU894">
        <f>$C894*CU893</f>
        <v/>
      </c>
      <c r="CV894">
        <f>$C894*CV893</f>
        <v/>
      </c>
      <c r="CW894">
        <f>$C894*CW893</f>
        <v/>
      </c>
      <c r="CX894">
        <f>$C894*CX893</f>
        <v/>
      </c>
      <c r="CY894">
        <f>$C894*CY893</f>
        <v/>
      </c>
      <c r="CZ894">
        <f>$C894*CZ893</f>
        <v/>
      </c>
      <c r="DA894">
        <f>$C894*DA893</f>
        <v/>
      </c>
      <c r="DB894">
        <f>$C894*DB893</f>
        <v/>
      </c>
      <c r="DC894">
        <f>$C894*DC893</f>
        <v/>
      </c>
    </row>
    <row r="895">
      <c r="B895" t="inlineStr">
        <is>
          <t>TSP-1449</t>
        </is>
      </c>
      <c r="C895" t="inlineStr">
        <is>
          <t>No. of batches</t>
        </is>
      </c>
      <c r="D895">
        <f>IFERROR(INDEX(PP_Grid[#Data],$DD895,2),0)</f>
        <v/>
      </c>
      <c r="E895">
        <f>IFERROR(INDEX(PP_Grid[#Data],$DD895,3),0)</f>
        <v/>
      </c>
      <c r="F895">
        <f>IFERROR(INDEX(PP_Grid[#Data],$DD895,4),0)</f>
        <v/>
      </c>
      <c r="G895">
        <f>IFERROR(INDEX(PP_Grid[#Data],$DD895,5),0)</f>
        <v/>
      </c>
      <c r="H895">
        <f>IFERROR(INDEX(PP_Grid[#Data],$DD895,6),0)</f>
        <v/>
      </c>
      <c r="I895">
        <f>IFERROR(INDEX(PP_Grid[#Data],$DD895,7),0)</f>
        <v/>
      </c>
      <c r="J895">
        <f>IFERROR(INDEX(PP_Grid[#Data],$DD895,8),0)</f>
        <v/>
      </c>
      <c r="K895">
        <f>IFERROR(INDEX(PP_Grid[#Data],$DD895,9),0)</f>
        <v/>
      </c>
      <c r="L895">
        <f>IFERROR(INDEX(PP_Grid[#Data],$DD895,10),0)</f>
        <v/>
      </c>
      <c r="M895">
        <f>IFERROR(INDEX(PP_Grid[#Data],$DD895,11),0)</f>
        <v/>
      </c>
      <c r="N895">
        <f>IFERROR(INDEX(PP_Grid[#Data],$DD895,12),0)</f>
        <v/>
      </c>
      <c r="O895">
        <f>IFERROR(INDEX(PP_Grid[#Data],$DD895,13),0)</f>
        <v/>
      </c>
      <c r="P895">
        <f>IFERROR(INDEX(PP_Grid[#Data],$DD895,14),0)</f>
        <v/>
      </c>
      <c r="Q895">
        <f>IFERROR(INDEX(PP_Grid[#Data],$DD895,15),0)</f>
        <v/>
      </c>
      <c r="R895">
        <f>IFERROR(INDEX(PP_Grid[#Data],$DD895,16),0)</f>
        <v/>
      </c>
      <c r="S895">
        <f>IFERROR(INDEX(PP_Grid[#Data],$DD895,17),0)</f>
        <v/>
      </c>
      <c r="T895">
        <f>IFERROR(INDEX(PP_Grid[#Data],$DD895,18),0)</f>
        <v/>
      </c>
      <c r="U895">
        <f>IFERROR(INDEX(PP_Grid[#Data],$DD895,19),0)</f>
        <v/>
      </c>
      <c r="V895">
        <f>IFERROR(INDEX(PP_Grid[#Data],$DD895,20),0)</f>
        <v/>
      </c>
      <c r="W895">
        <f>IFERROR(INDEX(PP_Grid[#Data],$DD895,21),0)</f>
        <v/>
      </c>
      <c r="X895">
        <f>IFERROR(INDEX(PP_Grid[#Data],$DD895,22),0)</f>
        <v/>
      </c>
      <c r="Y895">
        <f>IFERROR(INDEX(PP_Grid[#Data],$DD895,23),0)</f>
        <v/>
      </c>
      <c r="Z895">
        <f>IFERROR(INDEX(PP_Grid[#Data],$DD895,24),0)</f>
        <v/>
      </c>
      <c r="AA895">
        <f>IFERROR(INDEX(PP_Grid[#Data],$DD895,25),0)</f>
        <v/>
      </c>
      <c r="AB895">
        <f>IFERROR(INDEX(PP_Grid[#Data],$DD895,26),0)</f>
        <v/>
      </c>
      <c r="AC895">
        <f>IFERROR(INDEX(PP_Grid[#Data],$DD895,27),0)</f>
        <v/>
      </c>
      <c r="AD895">
        <f>IFERROR(INDEX(PP_Grid[#Data],$DD895,28),0)</f>
        <v/>
      </c>
      <c r="AE895">
        <f>IFERROR(INDEX(PP_Grid[#Data],$DD895,29),0)</f>
        <v/>
      </c>
      <c r="AF895">
        <f>IFERROR(INDEX(PP_Grid[#Data],$DD895,30),0)</f>
        <v/>
      </c>
      <c r="AG895">
        <f>IFERROR(INDEX(PP_Grid[#Data],$DD895,31),0)</f>
        <v/>
      </c>
      <c r="AH895">
        <f>IFERROR(INDEX(PP_Grid[#Data],$DD895,32),0)</f>
        <v/>
      </c>
      <c r="AI895">
        <f>IFERROR(INDEX(PP_Grid[#Data],$DD895,33),0)</f>
        <v/>
      </c>
      <c r="AJ895">
        <f>IFERROR(INDEX(PP_Grid[#Data],$DD895,34),0)</f>
        <v/>
      </c>
      <c r="AK895">
        <f>IFERROR(INDEX(PP_Grid[#Data],$DD895,35),0)</f>
        <v/>
      </c>
      <c r="AL895">
        <f>IFERROR(INDEX(PP_Grid[#Data],$DD895,36),0)</f>
        <v/>
      </c>
      <c r="AM895">
        <f>IFERROR(INDEX(PP_Grid[#Data],$DD895,37),0)</f>
        <v/>
      </c>
      <c r="AN895">
        <f>IFERROR(INDEX(PP_Grid[#Data],$DD895,38),0)</f>
        <v/>
      </c>
      <c r="AO895">
        <f>IFERROR(INDEX(PP_Grid[#Data],$DD895,39),0)</f>
        <v/>
      </c>
      <c r="AP895">
        <f>IFERROR(INDEX(PP_Grid[#Data],$DD895,40),0)</f>
        <v/>
      </c>
      <c r="AQ895">
        <f>IFERROR(INDEX(PP_Grid[#Data],$DD895,41),0)</f>
        <v/>
      </c>
      <c r="AR895">
        <f>IFERROR(INDEX(PP_Grid[#Data],$DD895,42),0)</f>
        <v/>
      </c>
      <c r="AS895">
        <f>IFERROR(INDEX(PP_Grid[#Data],$DD895,43),0)</f>
        <v/>
      </c>
      <c r="AT895">
        <f>IFERROR(INDEX(PP_Grid[#Data],$DD895,44),0)</f>
        <v/>
      </c>
      <c r="AU895">
        <f>IFERROR(INDEX(PP_Grid[#Data],$DD895,45),0)</f>
        <v/>
      </c>
      <c r="AV895">
        <f>IFERROR(INDEX(PP_Grid[#Data],$DD895,46),0)</f>
        <v/>
      </c>
      <c r="AW895">
        <f>IFERROR(INDEX(PP_Grid[#Data],$DD895,47),0)</f>
        <v/>
      </c>
      <c r="AX895">
        <f>IFERROR(INDEX(PP_Grid[#Data],$DD895,48),0)</f>
        <v/>
      </c>
      <c r="AY895">
        <f>IFERROR(INDEX(PP_Grid[#Data],$DD895,49),0)</f>
        <v/>
      </c>
      <c r="AZ895">
        <f>IFERROR(INDEX(PP_Grid[#Data],$DD895,50),0)</f>
        <v/>
      </c>
      <c r="BA895">
        <f>IFERROR(INDEX(PP_Grid[#Data],$DD895,51),0)</f>
        <v/>
      </c>
      <c r="BB895">
        <f>IFERROR(INDEX(PP_Grid[#Data],$DD895,52),0)</f>
        <v/>
      </c>
      <c r="BC895">
        <f>IFERROR(INDEX(PP_Grid[#Data],$DD895,53),0)</f>
        <v/>
      </c>
      <c r="BD895">
        <f>IFERROR(INDEX(PP_Grid[#Data],$DD895,54),0)</f>
        <v/>
      </c>
      <c r="BE895">
        <f>IFERROR(INDEX(PP_Grid[#Data],$DD895,55),0)</f>
        <v/>
      </c>
      <c r="BF895">
        <f>IFERROR(INDEX(PP_Grid[#Data],$DD895,56),0)</f>
        <v/>
      </c>
      <c r="BG895">
        <f>IFERROR(INDEX(PP_Grid[#Data],$DD895,57),0)</f>
        <v/>
      </c>
      <c r="BH895">
        <f>IFERROR(INDEX(PP_Grid[#Data],$DD895,58),0)</f>
        <v/>
      </c>
      <c r="BI895">
        <f>IFERROR(INDEX(PP_Grid[#Data],$DD895,59),0)</f>
        <v/>
      </c>
      <c r="BJ895">
        <f>IFERROR(INDEX(PP_Grid[#Data],$DD895,60),0)</f>
        <v/>
      </c>
      <c r="BK895">
        <f>IFERROR(INDEX(PP_Grid[#Data],$DD895,61),0)</f>
        <v/>
      </c>
      <c r="BL895">
        <f>IFERROR(INDEX(PP_Grid[#Data],$DD895,62),0)</f>
        <v/>
      </c>
      <c r="BM895">
        <f>IFERROR(INDEX(PP_Grid[#Data],$DD895,63),0)</f>
        <v/>
      </c>
      <c r="BN895">
        <f>IFERROR(INDEX(PP_Grid[#Data],$DD895,64),0)</f>
        <v/>
      </c>
      <c r="BO895">
        <f>IFERROR(INDEX(PP_Grid[#Data],$DD895,65),0)</f>
        <v/>
      </c>
      <c r="BP895">
        <f>IFERROR(INDEX(PP_Grid[#Data],$DD895,66),0)</f>
        <v/>
      </c>
      <c r="BQ895">
        <f>IFERROR(INDEX(PP_Grid[#Data],$DD895,67),0)</f>
        <v/>
      </c>
      <c r="BR895">
        <f>IFERROR(INDEX(PP_Grid[#Data],$DD895,68),0)</f>
        <v/>
      </c>
      <c r="BS895">
        <f>IFERROR(INDEX(PP_Grid[#Data],$DD895,69),0)</f>
        <v/>
      </c>
      <c r="BT895">
        <f>IFERROR(INDEX(PP_Grid[#Data],$DD895,70),0)</f>
        <v/>
      </c>
      <c r="BU895">
        <f>IFERROR(INDEX(PP_Grid[#Data],$DD895,71),0)</f>
        <v/>
      </c>
      <c r="BV895">
        <f>IFERROR(INDEX(PP_Grid[#Data],$DD895,72),0)</f>
        <v/>
      </c>
      <c r="BW895">
        <f>IFERROR(INDEX(PP_Grid[#Data],$DD895,73),0)</f>
        <v/>
      </c>
      <c r="BX895">
        <f>IFERROR(INDEX(PP_Grid[#Data],$DD895,74),0)</f>
        <v/>
      </c>
      <c r="BY895">
        <f>IFERROR(INDEX(PP_Grid[#Data],$DD895,75),0)</f>
        <v/>
      </c>
      <c r="BZ895">
        <f>IFERROR(INDEX(PP_Grid[#Data],$DD895,76),0)</f>
        <v/>
      </c>
      <c r="CA895">
        <f>IFERROR(INDEX(PP_Grid[#Data],$DD895,77),0)</f>
        <v/>
      </c>
      <c r="CB895">
        <f>IFERROR(INDEX(PP_Grid[#Data],$DD895,78),0)</f>
        <v/>
      </c>
      <c r="CC895">
        <f>IFERROR(INDEX(PP_Grid[#Data],$DD895,79),0)</f>
        <v/>
      </c>
      <c r="CD895">
        <f>IFERROR(INDEX(PP_Grid[#Data],$DD895,80),0)</f>
        <v/>
      </c>
      <c r="CE895">
        <f>IFERROR(INDEX(PP_Grid[#Data],$DD895,81),0)</f>
        <v/>
      </c>
      <c r="CF895">
        <f>IFERROR(INDEX(PP_Grid[#Data],$DD895,82),0)</f>
        <v/>
      </c>
      <c r="CG895">
        <f>IFERROR(INDEX(PP_Grid[#Data],$DD895,83),0)</f>
        <v/>
      </c>
      <c r="CH895">
        <f>IFERROR(INDEX(PP_Grid[#Data],$DD895,84),0)</f>
        <v/>
      </c>
      <c r="CI895">
        <f>IFERROR(INDEX(PP_Grid[#Data],$DD895,85),0)</f>
        <v/>
      </c>
      <c r="CJ895">
        <f>IFERROR(INDEX(PP_Grid[#Data],$DD895,86),0)</f>
        <v/>
      </c>
      <c r="CK895">
        <f>IFERROR(INDEX(PP_Grid[#Data],$DD895,87),0)</f>
        <v/>
      </c>
      <c r="CL895">
        <f>IFERROR(INDEX(PP_Grid[#Data],$DD895,88),0)</f>
        <v/>
      </c>
      <c r="CM895">
        <f>IFERROR(INDEX(PP_Grid[#Data],$DD895,89),0)</f>
        <v/>
      </c>
      <c r="CN895">
        <f>IFERROR(INDEX(PP_Grid[#Data],$DD895,90),0)</f>
        <v/>
      </c>
      <c r="CO895">
        <f>IFERROR(INDEX(PP_Grid[#Data],$DD895,91),0)</f>
        <v/>
      </c>
      <c r="CP895">
        <f>IFERROR(INDEX(PP_Grid[#Data],$DD895,92),0)</f>
        <v/>
      </c>
      <c r="CQ895">
        <f>IFERROR(INDEX(PP_Grid[#Data],$DD895,93),0)</f>
        <v/>
      </c>
      <c r="CR895">
        <f>IFERROR(INDEX(PP_Grid[#Data],$DD895,94),0)</f>
        <v/>
      </c>
      <c r="CS895">
        <f>IFERROR(INDEX(PP_Grid[#Data],$DD895,95),0)</f>
        <v/>
      </c>
      <c r="CT895">
        <f>IFERROR(INDEX(PP_Grid[#Data],$DD895,96),0)</f>
        <v/>
      </c>
      <c r="CU895">
        <f>IFERROR(INDEX(PP_Grid[#Data],$DD895,97),0)</f>
        <v/>
      </c>
      <c r="CV895">
        <f>IFERROR(INDEX(PP_Grid[#Data],$DD895,98),0)</f>
        <v/>
      </c>
      <c r="CW895">
        <f>IFERROR(INDEX(PP_Grid[#Data],$DD895,99),0)</f>
        <v/>
      </c>
      <c r="CX895">
        <f>IFERROR(INDEX(PP_Grid[#Data],$DD895,100),0)</f>
        <v/>
      </c>
      <c r="CY895">
        <f>IFERROR(INDEX(PP_Grid[#Data],$DD895,101),0)</f>
        <v/>
      </c>
      <c r="CZ895">
        <f>IFERROR(INDEX(PP_Grid[#Data],$DD895,102),0)</f>
        <v/>
      </c>
      <c r="DA895">
        <f>IFERROR(INDEX(PP_Grid[#Data],$DD895,103),0)</f>
        <v/>
      </c>
      <c r="DB895">
        <f>IFERROR(INDEX(PP_Grid[#Data],$DD895,104),0)</f>
        <v/>
      </c>
      <c r="DC895">
        <f>IFERROR(INDEX(PP_Grid[#Data],$DD895,105),0)</f>
        <v/>
      </c>
      <c r="DD895" s="7">
        <f>IFERROR(MATCH($B895,PP_Grid[Intermediate],0),99999)</f>
        <v/>
      </c>
    </row>
    <row r="896">
      <c r="B896" t="inlineStr">
        <is>
          <t>使用量(kg)</t>
        </is>
      </c>
      <c r="C896">
        <f>SUMIFS(M_BOM[RM_Qty_Per_Batch],M_BOM[Intermediate],$B895,M_BOM[Part Name],$A878)</f>
        <v/>
      </c>
      <c r="D896">
        <f>$C896*D895</f>
        <v/>
      </c>
      <c r="E896">
        <f>$C896*E895</f>
        <v/>
      </c>
      <c r="F896">
        <f>$C896*F895</f>
        <v/>
      </c>
      <c r="G896">
        <f>$C896*G895</f>
        <v/>
      </c>
      <c r="H896">
        <f>$C896*H895</f>
        <v/>
      </c>
      <c r="I896">
        <f>$C896*I895</f>
        <v/>
      </c>
      <c r="J896">
        <f>$C896*J895</f>
        <v/>
      </c>
      <c r="K896">
        <f>$C896*K895</f>
        <v/>
      </c>
      <c r="L896">
        <f>$C896*L895</f>
        <v/>
      </c>
      <c r="M896">
        <f>$C896*M895</f>
        <v/>
      </c>
      <c r="N896">
        <f>$C896*N895</f>
        <v/>
      </c>
      <c r="O896">
        <f>$C896*O895</f>
        <v/>
      </c>
      <c r="P896">
        <f>$C896*P895</f>
        <v/>
      </c>
      <c r="Q896">
        <f>$C896*Q895</f>
        <v/>
      </c>
      <c r="R896">
        <f>$C896*R895</f>
        <v/>
      </c>
      <c r="S896">
        <f>$C896*S895</f>
        <v/>
      </c>
      <c r="T896">
        <f>$C896*T895</f>
        <v/>
      </c>
      <c r="U896">
        <f>$C896*U895</f>
        <v/>
      </c>
      <c r="V896">
        <f>$C896*V895</f>
        <v/>
      </c>
      <c r="W896">
        <f>$C896*W895</f>
        <v/>
      </c>
      <c r="X896">
        <f>$C896*X895</f>
        <v/>
      </c>
      <c r="Y896">
        <f>$C896*Y895</f>
        <v/>
      </c>
      <c r="Z896">
        <f>$C896*Z895</f>
        <v/>
      </c>
      <c r="AA896">
        <f>$C896*AA895</f>
        <v/>
      </c>
      <c r="AB896">
        <f>$C896*AB895</f>
        <v/>
      </c>
      <c r="AC896">
        <f>$C896*AC895</f>
        <v/>
      </c>
      <c r="AD896">
        <f>$C896*AD895</f>
        <v/>
      </c>
      <c r="AE896">
        <f>$C896*AE895</f>
        <v/>
      </c>
      <c r="AF896">
        <f>$C896*AF895</f>
        <v/>
      </c>
      <c r="AG896">
        <f>$C896*AG895</f>
        <v/>
      </c>
      <c r="AH896">
        <f>$C896*AH895</f>
        <v/>
      </c>
      <c r="AI896">
        <f>$C896*AI895</f>
        <v/>
      </c>
      <c r="AJ896">
        <f>$C896*AJ895</f>
        <v/>
      </c>
      <c r="AK896">
        <f>$C896*AK895</f>
        <v/>
      </c>
      <c r="AL896">
        <f>$C896*AL895</f>
        <v/>
      </c>
      <c r="AM896">
        <f>$C896*AM895</f>
        <v/>
      </c>
      <c r="AN896">
        <f>$C896*AN895</f>
        <v/>
      </c>
      <c r="AO896">
        <f>$C896*AO895</f>
        <v/>
      </c>
      <c r="AP896">
        <f>$C896*AP895</f>
        <v/>
      </c>
      <c r="AQ896">
        <f>$C896*AQ895</f>
        <v/>
      </c>
      <c r="AR896">
        <f>$C896*AR895</f>
        <v/>
      </c>
      <c r="AS896">
        <f>$C896*AS895</f>
        <v/>
      </c>
      <c r="AT896">
        <f>$C896*AT895</f>
        <v/>
      </c>
      <c r="AU896">
        <f>$C896*AU895</f>
        <v/>
      </c>
      <c r="AV896">
        <f>$C896*AV895</f>
        <v/>
      </c>
      <c r="AW896">
        <f>$C896*AW895</f>
        <v/>
      </c>
      <c r="AX896">
        <f>$C896*AX895</f>
        <v/>
      </c>
      <c r="AY896">
        <f>$C896*AY895</f>
        <v/>
      </c>
      <c r="AZ896">
        <f>$C896*AZ895</f>
        <v/>
      </c>
      <c r="BA896">
        <f>$C896*BA895</f>
        <v/>
      </c>
      <c r="BB896">
        <f>$C896*BB895</f>
        <v/>
      </c>
      <c r="BC896">
        <f>$C896*BC895</f>
        <v/>
      </c>
      <c r="BD896">
        <f>$C896*BD895</f>
        <v/>
      </c>
      <c r="BE896">
        <f>$C896*BE895</f>
        <v/>
      </c>
      <c r="BF896">
        <f>$C896*BF895</f>
        <v/>
      </c>
      <c r="BG896">
        <f>$C896*BG895</f>
        <v/>
      </c>
      <c r="BH896">
        <f>$C896*BH895</f>
        <v/>
      </c>
      <c r="BI896">
        <f>$C896*BI895</f>
        <v/>
      </c>
      <c r="BJ896">
        <f>$C896*BJ895</f>
        <v/>
      </c>
      <c r="BK896">
        <f>$C896*BK895</f>
        <v/>
      </c>
      <c r="BL896">
        <f>$C896*BL895</f>
        <v/>
      </c>
      <c r="BM896">
        <f>$C896*BM895</f>
        <v/>
      </c>
      <c r="BN896">
        <f>$C896*BN895</f>
        <v/>
      </c>
      <c r="BO896">
        <f>$C896*BO895</f>
        <v/>
      </c>
      <c r="BP896">
        <f>$C896*BP895</f>
        <v/>
      </c>
      <c r="BQ896">
        <f>$C896*BQ895</f>
        <v/>
      </c>
      <c r="BR896">
        <f>$C896*BR895</f>
        <v/>
      </c>
      <c r="BS896">
        <f>$C896*BS895</f>
        <v/>
      </c>
      <c r="BT896">
        <f>$C896*BT895</f>
        <v/>
      </c>
      <c r="BU896">
        <f>$C896*BU895</f>
        <v/>
      </c>
      <c r="BV896">
        <f>$C896*BV895</f>
        <v/>
      </c>
      <c r="BW896">
        <f>$C896*BW895</f>
        <v/>
      </c>
      <c r="BX896">
        <f>$C896*BX895</f>
        <v/>
      </c>
      <c r="BY896">
        <f>$C896*BY895</f>
        <v/>
      </c>
      <c r="BZ896">
        <f>$C896*BZ895</f>
        <v/>
      </c>
      <c r="CA896">
        <f>$C896*CA895</f>
        <v/>
      </c>
      <c r="CB896">
        <f>$C896*CB895</f>
        <v/>
      </c>
      <c r="CC896">
        <f>$C896*CC895</f>
        <v/>
      </c>
      <c r="CD896">
        <f>$C896*CD895</f>
        <v/>
      </c>
      <c r="CE896">
        <f>$C896*CE895</f>
        <v/>
      </c>
      <c r="CF896">
        <f>$C896*CF895</f>
        <v/>
      </c>
      <c r="CG896">
        <f>$C896*CG895</f>
        <v/>
      </c>
      <c r="CH896">
        <f>$C896*CH895</f>
        <v/>
      </c>
      <c r="CI896">
        <f>$C896*CI895</f>
        <v/>
      </c>
      <c r="CJ896">
        <f>$C896*CJ895</f>
        <v/>
      </c>
      <c r="CK896">
        <f>$C896*CK895</f>
        <v/>
      </c>
      <c r="CL896">
        <f>$C896*CL895</f>
        <v/>
      </c>
      <c r="CM896">
        <f>$C896*CM895</f>
        <v/>
      </c>
      <c r="CN896">
        <f>$C896*CN895</f>
        <v/>
      </c>
      <c r="CO896">
        <f>$C896*CO895</f>
        <v/>
      </c>
      <c r="CP896">
        <f>$C896*CP895</f>
        <v/>
      </c>
      <c r="CQ896">
        <f>$C896*CQ895</f>
        <v/>
      </c>
      <c r="CR896">
        <f>$C896*CR895</f>
        <v/>
      </c>
      <c r="CS896">
        <f>$C896*CS895</f>
        <v/>
      </c>
      <c r="CT896">
        <f>$C896*CT895</f>
        <v/>
      </c>
      <c r="CU896">
        <f>$C896*CU895</f>
        <v/>
      </c>
      <c r="CV896">
        <f>$C896*CV895</f>
        <v/>
      </c>
      <c r="CW896">
        <f>$C896*CW895</f>
        <v/>
      </c>
      <c r="CX896">
        <f>$C896*CX895</f>
        <v/>
      </c>
      <c r="CY896">
        <f>$C896*CY895</f>
        <v/>
      </c>
      <c r="CZ896">
        <f>$C896*CZ895</f>
        <v/>
      </c>
      <c r="DA896">
        <f>$C896*DA895</f>
        <v/>
      </c>
      <c r="DB896">
        <f>$C896*DB895</f>
        <v/>
      </c>
      <c r="DC896">
        <f>$C896*DC895</f>
        <v/>
      </c>
    </row>
    <row r="897">
      <c r="B897" t="inlineStr">
        <is>
          <t>TSP-1499</t>
        </is>
      </c>
      <c r="C897" t="inlineStr">
        <is>
          <t>No. of batches</t>
        </is>
      </c>
      <c r="D897">
        <f>IFERROR(INDEX(PP_Grid[#Data],$DD897,2),0)</f>
        <v/>
      </c>
      <c r="E897">
        <f>IFERROR(INDEX(PP_Grid[#Data],$DD897,3),0)</f>
        <v/>
      </c>
      <c r="F897">
        <f>IFERROR(INDEX(PP_Grid[#Data],$DD897,4),0)</f>
        <v/>
      </c>
      <c r="G897">
        <f>IFERROR(INDEX(PP_Grid[#Data],$DD897,5),0)</f>
        <v/>
      </c>
      <c r="H897">
        <f>IFERROR(INDEX(PP_Grid[#Data],$DD897,6),0)</f>
        <v/>
      </c>
      <c r="I897">
        <f>IFERROR(INDEX(PP_Grid[#Data],$DD897,7),0)</f>
        <v/>
      </c>
      <c r="J897">
        <f>IFERROR(INDEX(PP_Grid[#Data],$DD897,8),0)</f>
        <v/>
      </c>
      <c r="K897">
        <f>IFERROR(INDEX(PP_Grid[#Data],$DD897,9),0)</f>
        <v/>
      </c>
      <c r="L897">
        <f>IFERROR(INDEX(PP_Grid[#Data],$DD897,10),0)</f>
        <v/>
      </c>
      <c r="M897">
        <f>IFERROR(INDEX(PP_Grid[#Data],$DD897,11),0)</f>
        <v/>
      </c>
      <c r="N897">
        <f>IFERROR(INDEX(PP_Grid[#Data],$DD897,12),0)</f>
        <v/>
      </c>
      <c r="O897">
        <f>IFERROR(INDEX(PP_Grid[#Data],$DD897,13),0)</f>
        <v/>
      </c>
      <c r="P897">
        <f>IFERROR(INDEX(PP_Grid[#Data],$DD897,14),0)</f>
        <v/>
      </c>
      <c r="Q897">
        <f>IFERROR(INDEX(PP_Grid[#Data],$DD897,15),0)</f>
        <v/>
      </c>
      <c r="R897">
        <f>IFERROR(INDEX(PP_Grid[#Data],$DD897,16),0)</f>
        <v/>
      </c>
      <c r="S897">
        <f>IFERROR(INDEX(PP_Grid[#Data],$DD897,17),0)</f>
        <v/>
      </c>
      <c r="T897">
        <f>IFERROR(INDEX(PP_Grid[#Data],$DD897,18),0)</f>
        <v/>
      </c>
      <c r="U897">
        <f>IFERROR(INDEX(PP_Grid[#Data],$DD897,19),0)</f>
        <v/>
      </c>
      <c r="V897">
        <f>IFERROR(INDEX(PP_Grid[#Data],$DD897,20),0)</f>
        <v/>
      </c>
      <c r="W897">
        <f>IFERROR(INDEX(PP_Grid[#Data],$DD897,21),0)</f>
        <v/>
      </c>
      <c r="X897">
        <f>IFERROR(INDEX(PP_Grid[#Data],$DD897,22),0)</f>
        <v/>
      </c>
      <c r="Y897">
        <f>IFERROR(INDEX(PP_Grid[#Data],$DD897,23),0)</f>
        <v/>
      </c>
      <c r="Z897">
        <f>IFERROR(INDEX(PP_Grid[#Data],$DD897,24),0)</f>
        <v/>
      </c>
      <c r="AA897">
        <f>IFERROR(INDEX(PP_Grid[#Data],$DD897,25),0)</f>
        <v/>
      </c>
      <c r="AB897">
        <f>IFERROR(INDEX(PP_Grid[#Data],$DD897,26),0)</f>
        <v/>
      </c>
      <c r="AC897">
        <f>IFERROR(INDEX(PP_Grid[#Data],$DD897,27),0)</f>
        <v/>
      </c>
      <c r="AD897">
        <f>IFERROR(INDEX(PP_Grid[#Data],$DD897,28),0)</f>
        <v/>
      </c>
      <c r="AE897">
        <f>IFERROR(INDEX(PP_Grid[#Data],$DD897,29),0)</f>
        <v/>
      </c>
      <c r="AF897">
        <f>IFERROR(INDEX(PP_Grid[#Data],$DD897,30),0)</f>
        <v/>
      </c>
      <c r="AG897">
        <f>IFERROR(INDEX(PP_Grid[#Data],$DD897,31),0)</f>
        <v/>
      </c>
      <c r="AH897">
        <f>IFERROR(INDEX(PP_Grid[#Data],$DD897,32),0)</f>
        <v/>
      </c>
      <c r="AI897">
        <f>IFERROR(INDEX(PP_Grid[#Data],$DD897,33),0)</f>
        <v/>
      </c>
      <c r="AJ897">
        <f>IFERROR(INDEX(PP_Grid[#Data],$DD897,34),0)</f>
        <v/>
      </c>
      <c r="AK897">
        <f>IFERROR(INDEX(PP_Grid[#Data],$DD897,35),0)</f>
        <v/>
      </c>
      <c r="AL897">
        <f>IFERROR(INDEX(PP_Grid[#Data],$DD897,36),0)</f>
        <v/>
      </c>
      <c r="AM897">
        <f>IFERROR(INDEX(PP_Grid[#Data],$DD897,37),0)</f>
        <v/>
      </c>
      <c r="AN897">
        <f>IFERROR(INDEX(PP_Grid[#Data],$DD897,38),0)</f>
        <v/>
      </c>
      <c r="AO897">
        <f>IFERROR(INDEX(PP_Grid[#Data],$DD897,39),0)</f>
        <v/>
      </c>
      <c r="AP897">
        <f>IFERROR(INDEX(PP_Grid[#Data],$DD897,40),0)</f>
        <v/>
      </c>
      <c r="AQ897">
        <f>IFERROR(INDEX(PP_Grid[#Data],$DD897,41),0)</f>
        <v/>
      </c>
      <c r="AR897">
        <f>IFERROR(INDEX(PP_Grid[#Data],$DD897,42),0)</f>
        <v/>
      </c>
      <c r="AS897">
        <f>IFERROR(INDEX(PP_Grid[#Data],$DD897,43),0)</f>
        <v/>
      </c>
      <c r="AT897">
        <f>IFERROR(INDEX(PP_Grid[#Data],$DD897,44),0)</f>
        <v/>
      </c>
      <c r="AU897">
        <f>IFERROR(INDEX(PP_Grid[#Data],$DD897,45),0)</f>
        <v/>
      </c>
      <c r="AV897">
        <f>IFERROR(INDEX(PP_Grid[#Data],$DD897,46),0)</f>
        <v/>
      </c>
      <c r="AW897">
        <f>IFERROR(INDEX(PP_Grid[#Data],$DD897,47),0)</f>
        <v/>
      </c>
      <c r="AX897">
        <f>IFERROR(INDEX(PP_Grid[#Data],$DD897,48),0)</f>
        <v/>
      </c>
      <c r="AY897">
        <f>IFERROR(INDEX(PP_Grid[#Data],$DD897,49),0)</f>
        <v/>
      </c>
      <c r="AZ897">
        <f>IFERROR(INDEX(PP_Grid[#Data],$DD897,50),0)</f>
        <v/>
      </c>
      <c r="BA897">
        <f>IFERROR(INDEX(PP_Grid[#Data],$DD897,51),0)</f>
        <v/>
      </c>
      <c r="BB897">
        <f>IFERROR(INDEX(PP_Grid[#Data],$DD897,52),0)</f>
        <v/>
      </c>
      <c r="BC897">
        <f>IFERROR(INDEX(PP_Grid[#Data],$DD897,53),0)</f>
        <v/>
      </c>
      <c r="BD897">
        <f>IFERROR(INDEX(PP_Grid[#Data],$DD897,54),0)</f>
        <v/>
      </c>
      <c r="BE897">
        <f>IFERROR(INDEX(PP_Grid[#Data],$DD897,55),0)</f>
        <v/>
      </c>
      <c r="BF897">
        <f>IFERROR(INDEX(PP_Grid[#Data],$DD897,56),0)</f>
        <v/>
      </c>
      <c r="BG897">
        <f>IFERROR(INDEX(PP_Grid[#Data],$DD897,57),0)</f>
        <v/>
      </c>
      <c r="BH897">
        <f>IFERROR(INDEX(PP_Grid[#Data],$DD897,58),0)</f>
        <v/>
      </c>
      <c r="BI897">
        <f>IFERROR(INDEX(PP_Grid[#Data],$DD897,59),0)</f>
        <v/>
      </c>
      <c r="BJ897">
        <f>IFERROR(INDEX(PP_Grid[#Data],$DD897,60),0)</f>
        <v/>
      </c>
      <c r="BK897">
        <f>IFERROR(INDEX(PP_Grid[#Data],$DD897,61),0)</f>
        <v/>
      </c>
      <c r="BL897">
        <f>IFERROR(INDEX(PP_Grid[#Data],$DD897,62),0)</f>
        <v/>
      </c>
      <c r="BM897">
        <f>IFERROR(INDEX(PP_Grid[#Data],$DD897,63),0)</f>
        <v/>
      </c>
      <c r="BN897">
        <f>IFERROR(INDEX(PP_Grid[#Data],$DD897,64),0)</f>
        <v/>
      </c>
      <c r="BO897">
        <f>IFERROR(INDEX(PP_Grid[#Data],$DD897,65),0)</f>
        <v/>
      </c>
      <c r="BP897">
        <f>IFERROR(INDEX(PP_Grid[#Data],$DD897,66),0)</f>
        <v/>
      </c>
      <c r="BQ897">
        <f>IFERROR(INDEX(PP_Grid[#Data],$DD897,67),0)</f>
        <v/>
      </c>
      <c r="BR897">
        <f>IFERROR(INDEX(PP_Grid[#Data],$DD897,68),0)</f>
        <v/>
      </c>
      <c r="BS897">
        <f>IFERROR(INDEX(PP_Grid[#Data],$DD897,69),0)</f>
        <v/>
      </c>
      <c r="BT897">
        <f>IFERROR(INDEX(PP_Grid[#Data],$DD897,70),0)</f>
        <v/>
      </c>
      <c r="BU897">
        <f>IFERROR(INDEX(PP_Grid[#Data],$DD897,71),0)</f>
        <v/>
      </c>
      <c r="BV897">
        <f>IFERROR(INDEX(PP_Grid[#Data],$DD897,72),0)</f>
        <v/>
      </c>
      <c r="BW897">
        <f>IFERROR(INDEX(PP_Grid[#Data],$DD897,73),0)</f>
        <v/>
      </c>
      <c r="BX897">
        <f>IFERROR(INDEX(PP_Grid[#Data],$DD897,74),0)</f>
        <v/>
      </c>
      <c r="BY897">
        <f>IFERROR(INDEX(PP_Grid[#Data],$DD897,75),0)</f>
        <v/>
      </c>
      <c r="BZ897">
        <f>IFERROR(INDEX(PP_Grid[#Data],$DD897,76),0)</f>
        <v/>
      </c>
      <c r="CA897">
        <f>IFERROR(INDEX(PP_Grid[#Data],$DD897,77),0)</f>
        <v/>
      </c>
      <c r="CB897">
        <f>IFERROR(INDEX(PP_Grid[#Data],$DD897,78),0)</f>
        <v/>
      </c>
      <c r="CC897">
        <f>IFERROR(INDEX(PP_Grid[#Data],$DD897,79),0)</f>
        <v/>
      </c>
      <c r="CD897">
        <f>IFERROR(INDEX(PP_Grid[#Data],$DD897,80),0)</f>
        <v/>
      </c>
      <c r="CE897">
        <f>IFERROR(INDEX(PP_Grid[#Data],$DD897,81),0)</f>
        <v/>
      </c>
      <c r="CF897">
        <f>IFERROR(INDEX(PP_Grid[#Data],$DD897,82),0)</f>
        <v/>
      </c>
      <c r="CG897">
        <f>IFERROR(INDEX(PP_Grid[#Data],$DD897,83),0)</f>
        <v/>
      </c>
      <c r="CH897">
        <f>IFERROR(INDEX(PP_Grid[#Data],$DD897,84),0)</f>
        <v/>
      </c>
      <c r="CI897">
        <f>IFERROR(INDEX(PP_Grid[#Data],$DD897,85),0)</f>
        <v/>
      </c>
      <c r="CJ897">
        <f>IFERROR(INDEX(PP_Grid[#Data],$DD897,86),0)</f>
        <v/>
      </c>
      <c r="CK897">
        <f>IFERROR(INDEX(PP_Grid[#Data],$DD897,87),0)</f>
        <v/>
      </c>
      <c r="CL897">
        <f>IFERROR(INDEX(PP_Grid[#Data],$DD897,88),0)</f>
        <v/>
      </c>
      <c r="CM897">
        <f>IFERROR(INDEX(PP_Grid[#Data],$DD897,89),0)</f>
        <v/>
      </c>
      <c r="CN897">
        <f>IFERROR(INDEX(PP_Grid[#Data],$DD897,90),0)</f>
        <v/>
      </c>
      <c r="CO897">
        <f>IFERROR(INDEX(PP_Grid[#Data],$DD897,91),0)</f>
        <v/>
      </c>
      <c r="CP897">
        <f>IFERROR(INDEX(PP_Grid[#Data],$DD897,92),0)</f>
        <v/>
      </c>
      <c r="CQ897">
        <f>IFERROR(INDEX(PP_Grid[#Data],$DD897,93),0)</f>
        <v/>
      </c>
      <c r="CR897">
        <f>IFERROR(INDEX(PP_Grid[#Data],$DD897,94),0)</f>
        <v/>
      </c>
      <c r="CS897">
        <f>IFERROR(INDEX(PP_Grid[#Data],$DD897,95),0)</f>
        <v/>
      </c>
      <c r="CT897">
        <f>IFERROR(INDEX(PP_Grid[#Data],$DD897,96),0)</f>
        <v/>
      </c>
      <c r="CU897">
        <f>IFERROR(INDEX(PP_Grid[#Data],$DD897,97),0)</f>
        <v/>
      </c>
      <c r="CV897">
        <f>IFERROR(INDEX(PP_Grid[#Data],$DD897,98),0)</f>
        <v/>
      </c>
      <c r="CW897">
        <f>IFERROR(INDEX(PP_Grid[#Data],$DD897,99),0)</f>
        <v/>
      </c>
      <c r="CX897">
        <f>IFERROR(INDEX(PP_Grid[#Data],$DD897,100),0)</f>
        <v/>
      </c>
      <c r="CY897">
        <f>IFERROR(INDEX(PP_Grid[#Data],$DD897,101),0)</f>
        <v/>
      </c>
      <c r="CZ897">
        <f>IFERROR(INDEX(PP_Grid[#Data],$DD897,102),0)</f>
        <v/>
      </c>
      <c r="DA897">
        <f>IFERROR(INDEX(PP_Grid[#Data],$DD897,103),0)</f>
        <v/>
      </c>
      <c r="DB897">
        <f>IFERROR(INDEX(PP_Grid[#Data],$DD897,104),0)</f>
        <v/>
      </c>
      <c r="DC897">
        <f>IFERROR(INDEX(PP_Grid[#Data],$DD897,105),0)</f>
        <v/>
      </c>
      <c r="DD897" s="7">
        <f>IFERROR(MATCH($B897,PP_Grid[Intermediate],0),99999)</f>
        <v/>
      </c>
    </row>
    <row r="898">
      <c r="B898" t="inlineStr">
        <is>
          <t>使用量(kg)</t>
        </is>
      </c>
      <c r="C898">
        <f>SUMIFS(M_BOM[RM_Qty_Per_Batch],M_BOM[Intermediate],$B897,M_BOM[Part Name],$A878)</f>
        <v/>
      </c>
      <c r="D898">
        <f>$C898*D897</f>
        <v/>
      </c>
      <c r="E898">
        <f>$C898*E897</f>
        <v/>
      </c>
      <c r="F898">
        <f>$C898*F897</f>
        <v/>
      </c>
      <c r="G898">
        <f>$C898*G897</f>
        <v/>
      </c>
      <c r="H898">
        <f>$C898*H897</f>
        <v/>
      </c>
      <c r="I898">
        <f>$C898*I897</f>
        <v/>
      </c>
      <c r="J898">
        <f>$C898*J897</f>
        <v/>
      </c>
      <c r="K898">
        <f>$C898*K897</f>
        <v/>
      </c>
      <c r="L898">
        <f>$C898*L897</f>
        <v/>
      </c>
      <c r="M898">
        <f>$C898*M897</f>
        <v/>
      </c>
      <c r="N898">
        <f>$C898*N897</f>
        <v/>
      </c>
      <c r="O898">
        <f>$C898*O897</f>
        <v/>
      </c>
      <c r="P898">
        <f>$C898*P897</f>
        <v/>
      </c>
      <c r="Q898">
        <f>$C898*Q897</f>
        <v/>
      </c>
      <c r="R898">
        <f>$C898*R897</f>
        <v/>
      </c>
      <c r="S898">
        <f>$C898*S897</f>
        <v/>
      </c>
      <c r="T898">
        <f>$C898*T897</f>
        <v/>
      </c>
      <c r="U898">
        <f>$C898*U897</f>
        <v/>
      </c>
      <c r="V898">
        <f>$C898*V897</f>
        <v/>
      </c>
      <c r="W898">
        <f>$C898*W897</f>
        <v/>
      </c>
      <c r="X898">
        <f>$C898*X897</f>
        <v/>
      </c>
      <c r="Y898">
        <f>$C898*Y897</f>
        <v/>
      </c>
      <c r="Z898">
        <f>$C898*Z897</f>
        <v/>
      </c>
      <c r="AA898">
        <f>$C898*AA897</f>
        <v/>
      </c>
      <c r="AB898">
        <f>$C898*AB897</f>
        <v/>
      </c>
      <c r="AC898">
        <f>$C898*AC897</f>
        <v/>
      </c>
      <c r="AD898">
        <f>$C898*AD897</f>
        <v/>
      </c>
      <c r="AE898">
        <f>$C898*AE897</f>
        <v/>
      </c>
      <c r="AF898">
        <f>$C898*AF897</f>
        <v/>
      </c>
      <c r="AG898">
        <f>$C898*AG897</f>
        <v/>
      </c>
      <c r="AH898">
        <f>$C898*AH897</f>
        <v/>
      </c>
      <c r="AI898">
        <f>$C898*AI897</f>
        <v/>
      </c>
      <c r="AJ898">
        <f>$C898*AJ897</f>
        <v/>
      </c>
      <c r="AK898">
        <f>$C898*AK897</f>
        <v/>
      </c>
      <c r="AL898">
        <f>$C898*AL897</f>
        <v/>
      </c>
      <c r="AM898">
        <f>$C898*AM897</f>
        <v/>
      </c>
      <c r="AN898">
        <f>$C898*AN897</f>
        <v/>
      </c>
      <c r="AO898">
        <f>$C898*AO897</f>
        <v/>
      </c>
      <c r="AP898">
        <f>$C898*AP897</f>
        <v/>
      </c>
      <c r="AQ898">
        <f>$C898*AQ897</f>
        <v/>
      </c>
      <c r="AR898">
        <f>$C898*AR897</f>
        <v/>
      </c>
      <c r="AS898">
        <f>$C898*AS897</f>
        <v/>
      </c>
      <c r="AT898">
        <f>$C898*AT897</f>
        <v/>
      </c>
      <c r="AU898">
        <f>$C898*AU897</f>
        <v/>
      </c>
      <c r="AV898">
        <f>$C898*AV897</f>
        <v/>
      </c>
      <c r="AW898">
        <f>$C898*AW897</f>
        <v/>
      </c>
      <c r="AX898">
        <f>$C898*AX897</f>
        <v/>
      </c>
      <c r="AY898">
        <f>$C898*AY897</f>
        <v/>
      </c>
      <c r="AZ898">
        <f>$C898*AZ897</f>
        <v/>
      </c>
      <c r="BA898">
        <f>$C898*BA897</f>
        <v/>
      </c>
      <c r="BB898">
        <f>$C898*BB897</f>
        <v/>
      </c>
      <c r="BC898">
        <f>$C898*BC897</f>
        <v/>
      </c>
      <c r="BD898">
        <f>$C898*BD897</f>
        <v/>
      </c>
      <c r="BE898">
        <f>$C898*BE897</f>
        <v/>
      </c>
      <c r="BF898">
        <f>$C898*BF897</f>
        <v/>
      </c>
      <c r="BG898">
        <f>$C898*BG897</f>
        <v/>
      </c>
      <c r="BH898">
        <f>$C898*BH897</f>
        <v/>
      </c>
      <c r="BI898">
        <f>$C898*BI897</f>
        <v/>
      </c>
      <c r="BJ898">
        <f>$C898*BJ897</f>
        <v/>
      </c>
      <c r="BK898">
        <f>$C898*BK897</f>
        <v/>
      </c>
      <c r="BL898">
        <f>$C898*BL897</f>
        <v/>
      </c>
      <c r="BM898">
        <f>$C898*BM897</f>
        <v/>
      </c>
      <c r="BN898">
        <f>$C898*BN897</f>
        <v/>
      </c>
      <c r="BO898">
        <f>$C898*BO897</f>
        <v/>
      </c>
      <c r="BP898">
        <f>$C898*BP897</f>
        <v/>
      </c>
      <c r="BQ898">
        <f>$C898*BQ897</f>
        <v/>
      </c>
      <c r="BR898">
        <f>$C898*BR897</f>
        <v/>
      </c>
      <c r="BS898">
        <f>$C898*BS897</f>
        <v/>
      </c>
      <c r="BT898">
        <f>$C898*BT897</f>
        <v/>
      </c>
      <c r="BU898">
        <f>$C898*BU897</f>
        <v/>
      </c>
      <c r="BV898">
        <f>$C898*BV897</f>
        <v/>
      </c>
      <c r="BW898">
        <f>$C898*BW897</f>
        <v/>
      </c>
      <c r="BX898">
        <f>$C898*BX897</f>
        <v/>
      </c>
      <c r="BY898">
        <f>$C898*BY897</f>
        <v/>
      </c>
      <c r="BZ898">
        <f>$C898*BZ897</f>
        <v/>
      </c>
      <c r="CA898">
        <f>$C898*CA897</f>
        <v/>
      </c>
      <c r="CB898">
        <f>$C898*CB897</f>
        <v/>
      </c>
      <c r="CC898">
        <f>$C898*CC897</f>
        <v/>
      </c>
      <c r="CD898">
        <f>$C898*CD897</f>
        <v/>
      </c>
      <c r="CE898">
        <f>$C898*CE897</f>
        <v/>
      </c>
      <c r="CF898">
        <f>$C898*CF897</f>
        <v/>
      </c>
      <c r="CG898">
        <f>$C898*CG897</f>
        <v/>
      </c>
      <c r="CH898">
        <f>$C898*CH897</f>
        <v/>
      </c>
      <c r="CI898">
        <f>$C898*CI897</f>
        <v/>
      </c>
      <c r="CJ898">
        <f>$C898*CJ897</f>
        <v/>
      </c>
      <c r="CK898">
        <f>$C898*CK897</f>
        <v/>
      </c>
      <c r="CL898">
        <f>$C898*CL897</f>
        <v/>
      </c>
      <c r="CM898">
        <f>$C898*CM897</f>
        <v/>
      </c>
      <c r="CN898">
        <f>$C898*CN897</f>
        <v/>
      </c>
      <c r="CO898">
        <f>$C898*CO897</f>
        <v/>
      </c>
      <c r="CP898">
        <f>$C898*CP897</f>
        <v/>
      </c>
      <c r="CQ898">
        <f>$C898*CQ897</f>
        <v/>
      </c>
      <c r="CR898">
        <f>$C898*CR897</f>
        <v/>
      </c>
      <c r="CS898">
        <f>$C898*CS897</f>
        <v/>
      </c>
      <c r="CT898">
        <f>$C898*CT897</f>
        <v/>
      </c>
      <c r="CU898">
        <f>$C898*CU897</f>
        <v/>
      </c>
      <c r="CV898">
        <f>$C898*CV897</f>
        <v/>
      </c>
      <c r="CW898">
        <f>$C898*CW897</f>
        <v/>
      </c>
      <c r="CX898">
        <f>$C898*CX897</f>
        <v/>
      </c>
      <c r="CY898">
        <f>$C898*CY897</f>
        <v/>
      </c>
      <c r="CZ898">
        <f>$C898*CZ897</f>
        <v/>
      </c>
      <c r="DA898">
        <f>$C898*DA897</f>
        <v/>
      </c>
      <c r="DB898">
        <f>$C898*DB897</f>
        <v/>
      </c>
      <c r="DC898">
        <f>$C898*DC897</f>
        <v/>
      </c>
    </row>
    <row r="899">
      <c r="B899" s="4" t="inlineStr">
        <is>
          <t>合計使用量(kg)/週</t>
        </is>
      </c>
      <c r="D899">
        <f>'Grid_Requirement'!B4</f>
        <v/>
      </c>
      <c r="E899">
        <f>'Grid_Requirement'!C4</f>
        <v/>
      </c>
      <c r="F899">
        <f>'Grid_Requirement'!D4</f>
        <v/>
      </c>
      <c r="G899">
        <f>'Grid_Requirement'!E4</f>
        <v/>
      </c>
      <c r="H899">
        <f>'Grid_Requirement'!F4</f>
        <v/>
      </c>
      <c r="I899">
        <f>'Grid_Requirement'!G4</f>
        <v/>
      </c>
      <c r="J899">
        <f>'Grid_Requirement'!H4</f>
        <v/>
      </c>
      <c r="K899">
        <f>'Grid_Requirement'!I4</f>
        <v/>
      </c>
      <c r="L899">
        <f>'Grid_Requirement'!J4</f>
        <v/>
      </c>
      <c r="M899">
        <f>'Grid_Requirement'!K4</f>
        <v/>
      </c>
      <c r="N899">
        <f>'Grid_Requirement'!L4</f>
        <v/>
      </c>
      <c r="O899">
        <f>'Grid_Requirement'!M4</f>
        <v/>
      </c>
      <c r="P899">
        <f>'Grid_Requirement'!N4</f>
        <v/>
      </c>
      <c r="Q899">
        <f>'Grid_Requirement'!O4</f>
        <v/>
      </c>
      <c r="R899">
        <f>'Grid_Requirement'!P4</f>
        <v/>
      </c>
      <c r="S899">
        <f>'Grid_Requirement'!Q4</f>
        <v/>
      </c>
      <c r="T899">
        <f>'Grid_Requirement'!R4</f>
        <v/>
      </c>
      <c r="U899">
        <f>'Grid_Requirement'!S4</f>
        <v/>
      </c>
      <c r="V899">
        <f>'Grid_Requirement'!T4</f>
        <v/>
      </c>
      <c r="W899">
        <f>'Grid_Requirement'!U4</f>
        <v/>
      </c>
      <c r="X899">
        <f>'Grid_Requirement'!V4</f>
        <v/>
      </c>
      <c r="Y899">
        <f>'Grid_Requirement'!W4</f>
        <v/>
      </c>
      <c r="Z899">
        <f>'Grid_Requirement'!X4</f>
        <v/>
      </c>
      <c r="AA899">
        <f>'Grid_Requirement'!Y4</f>
        <v/>
      </c>
      <c r="AB899">
        <f>'Grid_Requirement'!Z4</f>
        <v/>
      </c>
      <c r="AC899">
        <f>'Grid_Requirement'!AA4</f>
        <v/>
      </c>
      <c r="AD899">
        <f>'Grid_Requirement'!AB4</f>
        <v/>
      </c>
      <c r="AE899">
        <f>'Grid_Requirement'!AC4</f>
        <v/>
      </c>
      <c r="AF899">
        <f>'Grid_Requirement'!AD4</f>
        <v/>
      </c>
      <c r="AG899">
        <f>'Grid_Requirement'!AE4</f>
        <v/>
      </c>
      <c r="AH899">
        <f>'Grid_Requirement'!AF4</f>
        <v/>
      </c>
      <c r="AI899">
        <f>'Grid_Requirement'!AG4</f>
        <v/>
      </c>
      <c r="AJ899">
        <f>'Grid_Requirement'!AH4</f>
        <v/>
      </c>
      <c r="AK899">
        <f>'Grid_Requirement'!AI4</f>
        <v/>
      </c>
      <c r="AL899">
        <f>'Grid_Requirement'!AJ4</f>
        <v/>
      </c>
      <c r="AM899">
        <f>'Grid_Requirement'!AK4</f>
        <v/>
      </c>
      <c r="AN899">
        <f>'Grid_Requirement'!AL4</f>
        <v/>
      </c>
      <c r="AO899">
        <f>'Grid_Requirement'!AM4</f>
        <v/>
      </c>
      <c r="AP899">
        <f>'Grid_Requirement'!AN4</f>
        <v/>
      </c>
      <c r="AQ899">
        <f>'Grid_Requirement'!AO4</f>
        <v/>
      </c>
      <c r="AR899">
        <f>'Grid_Requirement'!AP4</f>
        <v/>
      </c>
      <c r="AS899">
        <f>'Grid_Requirement'!AQ4</f>
        <v/>
      </c>
      <c r="AT899">
        <f>'Grid_Requirement'!AR4</f>
        <v/>
      </c>
      <c r="AU899">
        <f>'Grid_Requirement'!AS4</f>
        <v/>
      </c>
      <c r="AV899">
        <f>'Grid_Requirement'!AT4</f>
        <v/>
      </c>
      <c r="AW899">
        <f>'Grid_Requirement'!AU4</f>
        <v/>
      </c>
      <c r="AX899">
        <f>'Grid_Requirement'!AV4</f>
        <v/>
      </c>
      <c r="AY899">
        <f>'Grid_Requirement'!AW4</f>
        <v/>
      </c>
      <c r="AZ899">
        <f>'Grid_Requirement'!AX4</f>
        <v/>
      </c>
      <c r="BA899">
        <f>'Grid_Requirement'!AY4</f>
        <v/>
      </c>
      <c r="BB899">
        <f>'Grid_Requirement'!AZ4</f>
        <v/>
      </c>
      <c r="BC899">
        <f>'Grid_Requirement'!BA4</f>
        <v/>
      </c>
      <c r="BD899">
        <f>'Grid_Requirement'!BB4</f>
        <v/>
      </c>
      <c r="BE899">
        <f>'Grid_Requirement'!BC4</f>
        <v/>
      </c>
      <c r="BF899">
        <f>'Grid_Requirement'!BD4</f>
        <v/>
      </c>
      <c r="BG899">
        <f>'Grid_Requirement'!BE4</f>
        <v/>
      </c>
      <c r="BH899">
        <f>'Grid_Requirement'!BF4</f>
        <v/>
      </c>
      <c r="BI899">
        <f>'Grid_Requirement'!BG4</f>
        <v/>
      </c>
      <c r="BJ899">
        <f>'Grid_Requirement'!BH4</f>
        <v/>
      </c>
      <c r="BK899">
        <f>'Grid_Requirement'!BI4</f>
        <v/>
      </c>
      <c r="BL899">
        <f>'Grid_Requirement'!BJ4</f>
        <v/>
      </c>
      <c r="BM899">
        <f>'Grid_Requirement'!BK4</f>
        <v/>
      </c>
      <c r="BN899">
        <f>'Grid_Requirement'!BL4</f>
        <v/>
      </c>
      <c r="BO899">
        <f>'Grid_Requirement'!BM4</f>
        <v/>
      </c>
      <c r="BP899">
        <f>'Grid_Requirement'!BN4</f>
        <v/>
      </c>
      <c r="BQ899">
        <f>'Grid_Requirement'!BO4</f>
        <v/>
      </c>
      <c r="BR899">
        <f>'Grid_Requirement'!BP4</f>
        <v/>
      </c>
      <c r="BS899">
        <f>'Grid_Requirement'!BQ4</f>
        <v/>
      </c>
      <c r="BT899">
        <f>'Grid_Requirement'!BR4</f>
        <v/>
      </c>
      <c r="BU899">
        <f>'Grid_Requirement'!BS4</f>
        <v/>
      </c>
      <c r="BV899">
        <f>'Grid_Requirement'!BT4</f>
        <v/>
      </c>
      <c r="BW899">
        <f>'Grid_Requirement'!BU4</f>
        <v/>
      </c>
      <c r="BX899">
        <f>'Grid_Requirement'!BV4</f>
        <v/>
      </c>
      <c r="BY899">
        <f>'Grid_Requirement'!BW4</f>
        <v/>
      </c>
      <c r="BZ899">
        <f>'Grid_Requirement'!BX4</f>
        <v/>
      </c>
      <c r="CA899">
        <f>'Grid_Requirement'!BY4</f>
        <v/>
      </c>
      <c r="CB899">
        <f>'Grid_Requirement'!BZ4</f>
        <v/>
      </c>
      <c r="CC899">
        <f>'Grid_Requirement'!CA4</f>
        <v/>
      </c>
      <c r="CD899">
        <f>'Grid_Requirement'!CB4</f>
        <v/>
      </c>
      <c r="CE899">
        <f>'Grid_Requirement'!CC4</f>
        <v/>
      </c>
      <c r="CF899">
        <f>'Grid_Requirement'!CD4</f>
        <v/>
      </c>
      <c r="CG899">
        <f>'Grid_Requirement'!CE4</f>
        <v/>
      </c>
      <c r="CH899">
        <f>'Grid_Requirement'!CF4</f>
        <v/>
      </c>
      <c r="CI899">
        <f>'Grid_Requirement'!CG4</f>
        <v/>
      </c>
      <c r="CJ899">
        <f>'Grid_Requirement'!CH4</f>
        <v/>
      </c>
      <c r="CK899">
        <f>'Grid_Requirement'!CI4</f>
        <v/>
      </c>
      <c r="CL899">
        <f>'Grid_Requirement'!CJ4</f>
        <v/>
      </c>
      <c r="CM899">
        <f>'Grid_Requirement'!CK4</f>
        <v/>
      </c>
      <c r="CN899">
        <f>'Grid_Requirement'!CL4</f>
        <v/>
      </c>
      <c r="CO899">
        <f>'Grid_Requirement'!CM4</f>
        <v/>
      </c>
      <c r="CP899">
        <f>'Grid_Requirement'!CN4</f>
        <v/>
      </c>
      <c r="CQ899">
        <f>'Grid_Requirement'!CO4</f>
        <v/>
      </c>
      <c r="CR899">
        <f>'Grid_Requirement'!CP4</f>
        <v/>
      </c>
      <c r="CS899">
        <f>'Grid_Requirement'!CQ4</f>
        <v/>
      </c>
      <c r="CT899">
        <f>'Grid_Requirement'!CR4</f>
        <v/>
      </c>
      <c r="CU899">
        <f>'Grid_Requirement'!CS4</f>
        <v/>
      </c>
      <c r="CV899">
        <f>'Grid_Requirement'!CT4</f>
        <v/>
      </c>
      <c r="CW899">
        <f>'Grid_Requirement'!CU4</f>
        <v/>
      </c>
      <c r="CX899">
        <f>'Grid_Requirement'!CV4</f>
        <v/>
      </c>
      <c r="CY899">
        <f>'Grid_Requirement'!CW4</f>
        <v/>
      </c>
      <c r="CZ899">
        <f>'Grid_Requirement'!CX4</f>
        <v/>
      </c>
      <c r="DA899">
        <f>'Grid_Requirement'!CY4</f>
        <v/>
      </c>
      <c r="DB899">
        <f>'Grid_Requirement'!CZ4</f>
        <v/>
      </c>
      <c r="DC899">
        <f>'Grid_Requirement'!DA4</f>
        <v/>
      </c>
    </row>
    <row r="900">
      <c r="B900" t="inlineStr">
        <is>
          <t>TTAF在庫(実績,kg)</t>
        </is>
      </c>
      <c r="D900">
        <f>'T_TTAFStock'!B8</f>
        <v/>
      </c>
      <c r="E900">
        <f>'T_TTAFStock'!C8</f>
        <v/>
      </c>
      <c r="F900">
        <f>'T_TTAFStock'!D8</f>
        <v/>
      </c>
      <c r="G900">
        <f>'T_TTAFStock'!E8</f>
        <v/>
      </c>
      <c r="H900">
        <f>'T_TTAFStock'!F8</f>
        <v/>
      </c>
      <c r="I900">
        <f>'T_TTAFStock'!G8</f>
        <v/>
      </c>
      <c r="J900">
        <f>'T_TTAFStock'!H8</f>
        <v/>
      </c>
      <c r="K900">
        <f>'T_TTAFStock'!I8</f>
        <v/>
      </c>
      <c r="L900">
        <f>'T_TTAFStock'!J8</f>
        <v/>
      </c>
      <c r="M900">
        <f>'T_TTAFStock'!K8</f>
        <v/>
      </c>
      <c r="N900">
        <f>'T_TTAFStock'!L8</f>
        <v/>
      </c>
      <c r="O900">
        <f>'T_TTAFStock'!M8</f>
        <v/>
      </c>
      <c r="P900">
        <f>'T_TTAFStock'!N8</f>
        <v/>
      </c>
      <c r="Q900">
        <f>'T_TTAFStock'!O8</f>
        <v/>
      </c>
      <c r="R900">
        <f>'T_TTAFStock'!P8</f>
        <v/>
      </c>
      <c r="S900">
        <f>'T_TTAFStock'!Q8</f>
        <v/>
      </c>
      <c r="T900">
        <f>'T_TTAFStock'!R8</f>
        <v/>
      </c>
      <c r="U900">
        <f>'T_TTAFStock'!S8</f>
        <v/>
      </c>
      <c r="V900">
        <f>'T_TTAFStock'!T8</f>
        <v/>
      </c>
      <c r="W900">
        <f>'T_TTAFStock'!U8</f>
        <v/>
      </c>
      <c r="X900">
        <f>'T_TTAFStock'!V8</f>
        <v/>
      </c>
      <c r="Y900">
        <f>'T_TTAFStock'!W8</f>
        <v/>
      </c>
      <c r="Z900">
        <f>'T_TTAFStock'!X8</f>
        <v/>
      </c>
      <c r="AA900">
        <f>'T_TTAFStock'!Y8</f>
        <v/>
      </c>
      <c r="AB900">
        <f>'T_TTAFStock'!Z8</f>
        <v/>
      </c>
      <c r="AC900">
        <f>'T_TTAFStock'!AA8</f>
        <v/>
      </c>
      <c r="AD900">
        <f>'T_TTAFStock'!AB8</f>
        <v/>
      </c>
      <c r="AE900">
        <f>'T_TTAFStock'!AC8</f>
        <v/>
      </c>
      <c r="AF900">
        <f>'T_TTAFStock'!AD8</f>
        <v/>
      </c>
      <c r="AG900">
        <f>'T_TTAFStock'!AE8</f>
        <v/>
      </c>
      <c r="AH900">
        <f>'T_TTAFStock'!AF8</f>
        <v/>
      </c>
      <c r="AI900">
        <f>'T_TTAFStock'!AG8</f>
        <v/>
      </c>
      <c r="AJ900">
        <f>'T_TTAFStock'!AH8</f>
        <v/>
      </c>
      <c r="AK900">
        <f>'T_TTAFStock'!AI8</f>
        <v/>
      </c>
      <c r="AL900">
        <f>'T_TTAFStock'!AJ8</f>
        <v/>
      </c>
      <c r="AM900">
        <f>'T_TTAFStock'!AK8</f>
        <v/>
      </c>
      <c r="AN900">
        <f>'T_TTAFStock'!AL8</f>
        <v/>
      </c>
      <c r="AO900">
        <f>'T_TTAFStock'!AM8</f>
        <v/>
      </c>
      <c r="AP900">
        <f>'T_TTAFStock'!AN8</f>
        <v/>
      </c>
      <c r="AQ900">
        <f>'T_TTAFStock'!AO8</f>
        <v/>
      </c>
      <c r="AR900">
        <f>'T_TTAFStock'!AP8</f>
        <v/>
      </c>
      <c r="AS900">
        <f>'T_TTAFStock'!AQ8</f>
        <v/>
      </c>
      <c r="AT900">
        <f>'T_TTAFStock'!AR8</f>
        <v/>
      </c>
      <c r="AU900">
        <f>'T_TTAFStock'!AS8</f>
        <v/>
      </c>
      <c r="AV900">
        <f>'T_TTAFStock'!AT8</f>
        <v/>
      </c>
      <c r="AW900">
        <f>'T_TTAFStock'!AU8</f>
        <v/>
      </c>
      <c r="AX900">
        <f>'T_TTAFStock'!AV8</f>
        <v/>
      </c>
      <c r="AY900">
        <f>'T_TTAFStock'!AW8</f>
        <v/>
      </c>
      <c r="AZ900">
        <f>'T_TTAFStock'!AX8</f>
        <v/>
      </c>
      <c r="BA900">
        <f>'T_TTAFStock'!AY8</f>
        <v/>
      </c>
      <c r="BB900">
        <f>'T_TTAFStock'!AZ8</f>
        <v/>
      </c>
      <c r="BC900">
        <f>'T_TTAFStock'!BA8</f>
        <v/>
      </c>
      <c r="BD900">
        <f>'T_TTAFStock'!BB8</f>
        <v/>
      </c>
      <c r="BE900">
        <f>'T_TTAFStock'!BC8</f>
        <v/>
      </c>
      <c r="BF900">
        <f>'T_TTAFStock'!BD8</f>
        <v/>
      </c>
      <c r="BG900">
        <f>'T_TTAFStock'!BE8</f>
        <v/>
      </c>
      <c r="BH900">
        <f>'T_TTAFStock'!BF8</f>
        <v/>
      </c>
      <c r="BI900">
        <f>'T_TTAFStock'!BG8</f>
        <v/>
      </c>
      <c r="BJ900">
        <f>'T_TTAFStock'!BH8</f>
        <v/>
      </c>
      <c r="BK900">
        <f>'T_TTAFStock'!BI8</f>
        <v/>
      </c>
      <c r="BL900">
        <f>'T_TTAFStock'!BJ8</f>
        <v/>
      </c>
      <c r="BM900">
        <f>'T_TTAFStock'!BK8</f>
        <v/>
      </c>
      <c r="BN900">
        <f>'T_TTAFStock'!BL8</f>
        <v/>
      </c>
      <c r="BO900">
        <f>'T_TTAFStock'!BM8</f>
        <v/>
      </c>
      <c r="BP900">
        <f>'T_TTAFStock'!BN8</f>
        <v/>
      </c>
      <c r="BQ900">
        <f>'T_TTAFStock'!BO8</f>
        <v/>
      </c>
      <c r="BR900">
        <f>'T_TTAFStock'!BP8</f>
        <v/>
      </c>
      <c r="BS900">
        <f>'T_TTAFStock'!BQ8</f>
        <v/>
      </c>
      <c r="BT900">
        <f>'T_TTAFStock'!BR8</f>
        <v/>
      </c>
      <c r="BU900">
        <f>'T_TTAFStock'!BS8</f>
        <v/>
      </c>
      <c r="BV900">
        <f>'T_TTAFStock'!BT8</f>
        <v/>
      </c>
      <c r="BW900">
        <f>'T_TTAFStock'!BU8</f>
        <v/>
      </c>
      <c r="BX900">
        <f>'T_TTAFStock'!BV8</f>
        <v/>
      </c>
      <c r="BY900">
        <f>'T_TTAFStock'!BW8</f>
        <v/>
      </c>
      <c r="BZ900">
        <f>'T_TTAFStock'!BX8</f>
        <v/>
      </c>
      <c r="CA900">
        <f>'T_TTAFStock'!BY8</f>
        <v/>
      </c>
      <c r="CB900">
        <f>'T_TTAFStock'!BZ8</f>
        <v/>
      </c>
      <c r="CC900">
        <f>'T_TTAFStock'!CA8</f>
        <v/>
      </c>
      <c r="CD900">
        <f>'T_TTAFStock'!CB8</f>
        <v/>
      </c>
      <c r="CE900">
        <f>'T_TTAFStock'!CC8</f>
        <v/>
      </c>
      <c r="CF900">
        <f>'T_TTAFStock'!CD8</f>
        <v/>
      </c>
      <c r="CG900">
        <f>'T_TTAFStock'!CE8</f>
        <v/>
      </c>
      <c r="CH900">
        <f>'T_TTAFStock'!CF8</f>
        <v/>
      </c>
      <c r="CI900">
        <f>'T_TTAFStock'!CG8</f>
        <v/>
      </c>
      <c r="CJ900">
        <f>'T_TTAFStock'!CH8</f>
        <v/>
      </c>
      <c r="CK900">
        <f>'T_TTAFStock'!CI8</f>
        <v/>
      </c>
      <c r="CL900">
        <f>'T_TTAFStock'!CJ8</f>
        <v/>
      </c>
      <c r="CM900">
        <f>'T_TTAFStock'!CK8</f>
        <v/>
      </c>
      <c r="CN900">
        <f>'T_TTAFStock'!CL8</f>
        <v/>
      </c>
      <c r="CO900">
        <f>'T_TTAFStock'!CM8</f>
        <v/>
      </c>
      <c r="CP900">
        <f>'T_TTAFStock'!CN8</f>
        <v/>
      </c>
      <c r="CQ900">
        <f>'T_TTAFStock'!CO8</f>
        <v/>
      </c>
      <c r="CR900">
        <f>'T_TTAFStock'!CP8</f>
        <v/>
      </c>
      <c r="CS900">
        <f>'T_TTAFStock'!CQ8</f>
        <v/>
      </c>
      <c r="CT900">
        <f>'T_TTAFStock'!CR8</f>
        <v/>
      </c>
      <c r="CU900">
        <f>'T_TTAFStock'!CS8</f>
        <v/>
      </c>
      <c r="CV900">
        <f>'T_TTAFStock'!CT8</f>
        <v/>
      </c>
      <c r="CW900">
        <f>'T_TTAFStock'!CU8</f>
        <v/>
      </c>
      <c r="CX900">
        <f>'T_TTAFStock'!CV8</f>
        <v/>
      </c>
      <c r="CY900">
        <f>'T_TTAFStock'!CW8</f>
        <v/>
      </c>
      <c r="CZ900">
        <f>'T_TTAFStock'!CX8</f>
        <v/>
      </c>
      <c r="DA900">
        <f>'T_TTAFStock'!CY8</f>
        <v/>
      </c>
      <c r="DB900">
        <f>'T_TTAFStock'!CZ8</f>
        <v/>
      </c>
      <c r="DC900">
        <f>'T_TTAFStock'!DA8</f>
        <v/>
      </c>
    </row>
    <row r="901">
      <c r="B901" t="inlineStr">
        <is>
          <t>自社在庫(実績,kg)</t>
        </is>
      </c>
      <c r="D901">
        <f>'T_SelfStock'!B8</f>
        <v/>
      </c>
      <c r="E901">
        <f>'T_SelfStock'!C8</f>
        <v/>
      </c>
      <c r="F901">
        <f>'T_SelfStock'!D8</f>
        <v/>
      </c>
      <c r="G901">
        <f>'T_SelfStock'!E8</f>
        <v/>
      </c>
      <c r="H901">
        <f>'T_SelfStock'!F8</f>
        <v/>
      </c>
      <c r="I901">
        <f>'T_SelfStock'!G8</f>
        <v/>
      </c>
      <c r="J901">
        <f>'T_SelfStock'!H8</f>
        <v/>
      </c>
      <c r="K901">
        <f>'T_SelfStock'!I8</f>
        <v/>
      </c>
      <c r="L901">
        <f>'T_SelfStock'!J8</f>
        <v/>
      </c>
      <c r="M901">
        <f>'T_SelfStock'!K8</f>
        <v/>
      </c>
      <c r="N901">
        <f>'T_SelfStock'!L8</f>
        <v/>
      </c>
      <c r="O901">
        <f>'T_SelfStock'!M8</f>
        <v/>
      </c>
      <c r="P901">
        <f>'T_SelfStock'!N8</f>
        <v/>
      </c>
      <c r="Q901">
        <f>'T_SelfStock'!O8</f>
        <v/>
      </c>
      <c r="R901">
        <f>'T_SelfStock'!P8</f>
        <v/>
      </c>
      <c r="S901">
        <f>'T_SelfStock'!Q8</f>
        <v/>
      </c>
      <c r="T901">
        <f>'T_SelfStock'!R8</f>
        <v/>
      </c>
      <c r="U901">
        <f>'T_SelfStock'!S8</f>
        <v/>
      </c>
      <c r="V901">
        <f>'T_SelfStock'!T8</f>
        <v/>
      </c>
      <c r="W901">
        <f>'T_SelfStock'!U8</f>
        <v/>
      </c>
      <c r="X901">
        <f>'T_SelfStock'!V8</f>
        <v/>
      </c>
      <c r="Y901">
        <f>'T_SelfStock'!W8</f>
        <v/>
      </c>
      <c r="Z901">
        <f>'T_SelfStock'!X8</f>
        <v/>
      </c>
      <c r="AA901">
        <f>'T_SelfStock'!Y8</f>
        <v/>
      </c>
      <c r="AB901">
        <f>'T_SelfStock'!Z8</f>
        <v/>
      </c>
      <c r="AC901">
        <f>'T_SelfStock'!AA8</f>
        <v/>
      </c>
      <c r="AD901">
        <f>'T_SelfStock'!AB8</f>
        <v/>
      </c>
      <c r="AE901">
        <f>'T_SelfStock'!AC8</f>
        <v/>
      </c>
      <c r="AF901">
        <f>'T_SelfStock'!AD8</f>
        <v/>
      </c>
      <c r="AG901">
        <f>'T_SelfStock'!AE8</f>
        <v/>
      </c>
      <c r="AH901">
        <f>'T_SelfStock'!AF8</f>
        <v/>
      </c>
      <c r="AI901">
        <f>'T_SelfStock'!AG8</f>
        <v/>
      </c>
      <c r="AJ901">
        <f>'T_SelfStock'!AH8</f>
        <v/>
      </c>
      <c r="AK901">
        <f>'T_SelfStock'!AI8</f>
        <v/>
      </c>
      <c r="AL901">
        <f>'T_SelfStock'!AJ8</f>
        <v/>
      </c>
      <c r="AM901">
        <f>'T_SelfStock'!AK8</f>
        <v/>
      </c>
      <c r="AN901">
        <f>'T_SelfStock'!AL8</f>
        <v/>
      </c>
      <c r="AO901">
        <f>'T_SelfStock'!AM8</f>
        <v/>
      </c>
      <c r="AP901">
        <f>'T_SelfStock'!AN8</f>
        <v/>
      </c>
      <c r="AQ901">
        <f>'T_SelfStock'!AO8</f>
        <v/>
      </c>
      <c r="AR901">
        <f>'T_SelfStock'!AP8</f>
        <v/>
      </c>
      <c r="AS901">
        <f>'T_SelfStock'!AQ8</f>
        <v/>
      </c>
      <c r="AT901">
        <f>'T_SelfStock'!AR8</f>
        <v/>
      </c>
      <c r="AU901">
        <f>'T_SelfStock'!AS8</f>
        <v/>
      </c>
      <c r="AV901">
        <f>'T_SelfStock'!AT8</f>
        <v/>
      </c>
      <c r="AW901">
        <f>'T_SelfStock'!AU8</f>
        <v/>
      </c>
      <c r="AX901">
        <f>'T_SelfStock'!AV8</f>
        <v/>
      </c>
      <c r="AY901">
        <f>'T_SelfStock'!AW8</f>
        <v/>
      </c>
      <c r="AZ901">
        <f>'T_SelfStock'!AX8</f>
        <v/>
      </c>
      <c r="BA901">
        <f>'T_SelfStock'!AY8</f>
        <v/>
      </c>
      <c r="BB901">
        <f>'T_SelfStock'!AZ8</f>
        <v/>
      </c>
      <c r="BC901">
        <f>'T_SelfStock'!BA8</f>
        <v/>
      </c>
      <c r="BD901">
        <f>'T_SelfStock'!BB8</f>
        <v/>
      </c>
      <c r="BE901">
        <f>'T_SelfStock'!BC8</f>
        <v/>
      </c>
      <c r="BF901">
        <f>'T_SelfStock'!BD8</f>
        <v/>
      </c>
      <c r="BG901">
        <f>'T_SelfStock'!BE8</f>
        <v/>
      </c>
      <c r="BH901">
        <f>'T_SelfStock'!BF8</f>
        <v/>
      </c>
      <c r="BI901">
        <f>'T_SelfStock'!BG8</f>
        <v/>
      </c>
      <c r="BJ901">
        <f>'T_SelfStock'!BH8</f>
        <v/>
      </c>
      <c r="BK901">
        <f>'T_SelfStock'!BI8</f>
        <v/>
      </c>
      <c r="BL901">
        <f>'T_SelfStock'!BJ8</f>
        <v/>
      </c>
      <c r="BM901">
        <f>'T_SelfStock'!BK8</f>
        <v/>
      </c>
      <c r="BN901">
        <f>'T_SelfStock'!BL8</f>
        <v/>
      </c>
      <c r="BO901">
        <f>'T_SelfStock'!BM8</f>
        <v/>
      </c>
      <c r="BP901">
        <f>'T_SelfStock'!BN8</f>
        <v/>
      </c>
      <c r="BQ901">
        <f>'T_SelfStock'!BO8</f>
        <v/>
      </c>
      <c r="BR901">
        <f>'T_SelfStock'!BP8</f>
        <v/>
      </c>
      <c r="BS901">
        <f>'T_SelfStock'!BQ8</f>
        <v/>
      </c>
      <c r="BT901">
        <f>'T_SelfStock'!BR8</f>
        <v/>
      </c>
      <c r="BU901">
        <f>'T_SelfStock'!BS8</f>
        <v/>
      </c>
      <c r="BV901">
        <f>'T_SelfStock'!BT8</f>
        <v/>
      </c>
      <c r="BW901">
        <f>'T_SelfStock'!BU8</f>
        <v/>
      </c>
      <c r="BX901">
        <f>'T_SelfStock'!BV8</f>
        <v/>
      </c>
      <c r="BY901">
        <f>'T_SelfStock'!BW8</f>
        <v/>
      </c>
      <c r="BZ901">
        <f>'T_SelfStock'!BX8</f>
        <v/>
      </c>
      <c r="CA901">
        <f>'T_SelfStock'!BY8</f>
        <v/>
      </c>
      <c r="CB901">
        <f>'T_SelfStock'!BZ8</f>
        <v/>
      </c>
      <c r="CC901">
        <f>'T_SelfStock'!CA8</f>
        <v/>
      </c>
      <c r="CD901">
        <f>'T_SelfStock'!CB8</f>
        <v/>
      </c>
      <c r="CE901">
        <f>'T_SelfStock'!CC8</f>
        <v/>
      </c>
      <c r="CF901">
        <f>'T_SelfStock'!CD8</f>
        <v/>
      </c>
      <c r="CG901">
        <f>'T_SelfStock'!CE8</f>
        <v/>
      </c>
      <c r="CH901">
        <f>'T_SelfStock'!CF8</f>
        <v/>
      </c>
      <c r="CI901">
        <f>'T_SelfStock'!CG8</f>
        <v/>
      </c>
      <c r="CJ901">
        <f>'T_SelfStock'!CH8</f>
        <v/>
      </c>
      <c r="CK901">
        <f>'T_SelfStock'!CI8</f>
        <v/>
      </c>
      <c r="CL901">
        <f>'T_SelfStock'!CJ8</f>
        <v/>
      </c>
      <c r="CM901">
        <f>'T_SelfStock'!CK8</f>
        <v/>
      </c>
      <c r="CN901">
        <f>'T_SelfStock'!CL8</f>
        <v/>
      </c>
      <c r="CO901">
        <f>'T_SelfStock'!CM8</f>
        <v/>
      </c>
      <c r="CP901">
        <f>'T_SelfStock'!CN8</f>
        <v/>
      </c>
      <c r="CQ901">
        <f>'T_SelfStock'!CO8</f>
        <v/>
      </c>
      <c r="CR901">
        <f>'T_SelfStock'!CP8</f>
        <v/>
      </c>
      <c r="CS901">
        <f>'T_SelfStock'!CQ8</f>
        <v/>
      </c>
      <c r="CT901">
        <f>'T_SelfStock'!CR8</f>
        <v/>
      </c>
      <c r="CU901">
        <f>'T_SelfStock'!CS8</f>
        <v/>
      </c>
      <c r="CV901">
        <f>'T_SelfStock'!CT8</f>
        <v/>
      </c>
      <c r="CW901">
        <f>'T_SelfStock'!CU8</f>
        <v/>
      </c>
      <c r="CX901">
        <f>'T_SelfStock'!CV8</f>
        <v/>
      </c>
      <c r="CY901">
        <f>'T_SelfStock'!CW8</f>
        <v/>
      </c>
      <c r="CZ901">
        <f>'T_SelfStock'!CX8</f>
        <v/>
      </c>
      <c r="DA901">
        <f>'T_SelfStock'!CY8</f>
        <v/>
      </c>
      <c r="DB901">
        <f>'T_SelfStock'!CZ8</f>
        <v/>
      </c>
      <c r="DC901">
        <f>'T_SelfStock'!DA8</f>
        <v/>
      </c>
    </row>
    <row r="902">
      <c r="B902" s="4" t="inlineStr">
        <is>
          <t>合計在庫(週末時点,kg)</t>
        </is>
      </c>
      <c r="D902">
        <f>'Grid_Stock'!B4</f>
        <v/>
      </c>
      <c r="E902">
        <f>'Grid_Stock'!C4</f>
        <v/>
      </c>
      <c r="F902">
        <f>'Grid_Stock'!D4</f>
        <v/>
      </c>
      <c r="G902">
        <f>'Grid_Stock'!E4</f>
        <v/>
      </c>
      <c r="H902">
        <f>'Grid_Stock'!F4</f>
        <v/>
      </c>
      <c r="I902">
        <f>'Grid_Stock'!G4</f>
        <v/>
      </c>
      <c r="J902">
        <f>'Grid_Stock'!H4</f>
        <v/>
      </c>
      <c r="K902">
        <f>'Grid_Stock'!I4</f>
        <v/>
      </c>
      <c r="L902">
        <f>'Grid_Stock'!J4</f>
        <v/>
      </c>
      <c r="M902">
        <f>'Grid_Stock'!K4</f>
        <v/>
      </c>
      <c r="N902">
        <f>'Grid_Stock'!L4</f>
        <v/>
      </c>
      <c r="O902">
        <f>'Grid_Stock'!M4</f>
        <v/>
      </c>
      <c r="P902">
        <f>'Grid_Stock'!N4</f>
        <v/>
      </c>
      <c r="Q902">
        <f>'Grid_Stock'!O4</f>
        <v/>
      </c>
      <c r="R902">
        <f>'Grid_Stock'!P4</f>
        <v/>
      </c>
      <c r="S902">
        <f>'Grid_Stock'!Q4</f>
        <v/>
      </c>
      <c r="T902">
        <f>'Grid_Stock'!R4</f>
        <v/>
      </c>
      <c r="U902">
        <f>'Grid_Stock'!S4</f>
        <v/>
      </c>
      <c r="V902">
        <f>'Grid_Stock'!T4</f>
        <v/>
      </c>
      <c r="W902">
        <f>'Grid_Stock'!U4</f>
        <v/>
      </c>
      <c r="X902">
        <f>'Grid_Stock'!V4</f>
        <v/>
      </c>
      <c r="Y902">
        <f>'Grid_Stock'!W4</f>
        <v/>
      </c>
      <c r="Z902">
        <f>'Grid_Stock'!X4</f>
        <v/>
      </c>
      <c r="AA902">
        <f>'Grid_Stock'!Y4</f>
        <v/>
      </c>
      <c r="AB902">
        <f>'Grid_Stock'!Z4</f>
        <v/>
      </c>
      <c r="AC902">
        <f>'Grid_Stock'!AA4</f>
        <v/>
      </c>
      <c r="AD902">
        <f>'Grid_Stock'!AB4</f>
        <v/>
      </c>
      <c r="AE902">
        <f>'Grid_Stock'!AC4</f>
        <v/>
      </c>
      <c r="AF902">
        <f>'Grid_Stock'!AD4</f>
        <v/>
      </c>
      <c r="AG902">
        <f>'Grid_Stock'!AE4</f>
        <v/>
      </c>
      <c r="AH902">
        <f>'Grid_Stock'!AF4</f>
        <v/>
      </c>
      <c r="AI902">
        <f>'Grid_Stock'!AG4</f>
        <v/>
      </c>
      <c r="AJ902">
        <f>'Grid_Stock'!AH4</f>
        <v/>
      </c>
      <c r="AK902">
        <f>'Grid_Stock'!AI4</f>
        <v/>
      </c>
      <c r="AL902">
        <f>'Grid_Stock'!AJ4</f>
        <v/>
      </c>
      <c r="AM902">
        <f>'Grid_Stock'!AK4</f>
        <v/>
      </c>
      <c r="AN902">
        <f>'Grid_Stock'!AL4</f>
        <v/>
      </c>
      <c r="AO902">
        <f>'Grid_Stock'!AM4</f>
        <v/>
      </c>
      <c r="AP902">
        <f>'Grid_Stock'!AN4</f>
        <v/>
      </c>
      <c r="AQ902">
        <f>'Grid_Stock'!AO4</f>
        <v/>
      </c>
      <c r="AR902">
        <f>'Grid_Stock'!AP4</f>
        <v/>
      </c>
      <c r="AS902">
        <f>'Grid_Stock'!AQ4</f>
        <v/>
      </c>
      <c r="AT902">
        <f>'Grid_Stock'!AR4</f>
        <v/>
      </c>
      <c r="AU902">
        <f>'Grid_Stock'!AS4</f>
        <v/>
      </c>
      <c r="AV902">
        <f>'Grid_Stock'!AT4</f>
        <v/>
      </c>
      <c r="AW902">
        <f>'Grid_Stock'!AU4</f>
        <v/>
      </c>
      <c r="AX902">
        <f>'Grid_Stock'!AV4</f>
        <v/>
      </c>
      <c r="AY902">
        <f>'Grid_Stock'!AW4</f>
        <v/>
      </c>
      <c r="AZ902">
        <f>'Grid_Stock'!AX4</f>
        <v/>
      </c>
      <c r="BA902">
        <f>'Grid_Stock'!AY4</f>
        <v/>
      </c>
      <c r="BB902">
        <f>'Grid_Stock'!AZ4</f>
        <v/>
      </c>
      <c r="BC902">
        <f>'Grid_Stock'!BA4</f>
        <v/>
      </c>
      <c r="BD902">
        <f>'Grid_Stock'!BB4</f>
        <v/>
      </c>
      <c r="BE902">
        <f>'Grid_Stock'!BC4</f>
        <v/>
      </c>
      <c r="BF902">
        <f>'Grid_Stock'!BD4</f>
        <v/>
      </c>
      <c r="BG902">
        <f>'Grid_Stock'!BE4</f>
        <v/>
      </c>
      <c r="BH902">
        <f>'Grid_Stock'!BF4</f>
        <v/>
      </c>
      <c r="BI902">
        <f>'Grid_Stock'!BG4</f>
        <v/>
      </c>
      <c r="BJ902">
        <f>'Grid_Stock'!BH4</f>
        <v/>
      </c>
      <c r="BK902">
        <f>'Grid_Stock'!BI4</f>
        <v/>
      </c>
      <c r="BL902">
        <f>'Grid_Stock'!BJ4</f>
        <v/>
      </c>
      <c r="BM902">
        <f>'Grid_Stock'!BK4</f>
        <v/>
      </c>
      <c r="BN902">
        <f>'Grid_Stock'!BL4</f>
        <v/>
      </c>
      <c r="BO902">
        <f>'Grid_Stock'!BM4</f>
        <v/>
      </c>
      <c r="BP902">
        <f>'Grid_Stock'!BN4</f>
        <v/>
      </c>
      <c r="BQ902">
        <f>'Grid_Stock'!BO4</f>
        <v/>
      </c>
      <c r="BR902">
        <f>'Grid_Stock'!BP4</f>
        <v/>
      </c>
      <c r="BS902">
        <f>'Grid_Stock'!BQ4</f>
        <v/>
      </c>
      <c r="BT902">
        <f>'Grid_Stock'!BR4</f>
        <v/>
      </c>
      <c r="BU902">
        <f>'Grid_Stock'!BS4</f>
        <v/>
      </c>
      <c r="BV902">
        <f>'Grid_Stock'!BT4</f>
        <v/>
      </c>
      <c r="BW902">
        <f>'Grid_Stock'!BU4</f>
        <v/>
      </c>
      <c r="BX902">
        <f>'Grid_Stock'!BV4</f>
        <v/>
      </c>
      <c r="BY902">
        <f>'Grid_Stock'!BW4</f>
        <v/>
      </c>
      <c r="BZ902">
        <f>'Grid_Stock'!BX4</f>
        <v/>
      </c>
      <c r="CA902">
        <f>'Grid_Stock'!BY4</f>
        <v/>
      </c>
      <c r="CB902">
        <f>'Grid_Stock'!BZ4</f>
        <v/>
      </c>
      <c r="CC902">
        <f>'Grid_Stock'!CA4</f>
        <v/>
      </c>
      <c r="CD902">
        <f>'Grid_Stock'!CB4</f>
        <v/>
      </c>
      <c r="CE902">
        <f>'Grid_Stock'!CC4</f>
        <v/>
      </c>
      <c r="CF902">
        <f>'Grid_Stock'!CD4</f>
        <v/>
      </c>
      <c r="CG902">
        <f>'Grid_Stock'!CE4</f>
        <v/>
      </c>
      <c r="CH902">
        <f>'Grid_Stock'!CF4</f>
        <v/>
      </c>
      <c r="CI902">
        <f>'Grid_Stock'!CG4</f>
        <v/>
      </c>
      <c r="CJ902">
        <f>'Grid_Stock'!CH4</f>
        <v/>
      </c>
      <c r="CK902">
        <f>'Grid_Stock'!CI4</f>
        <v/>
      </c>
      <c r="CL902">
        <f>'Grid_Stock'!CJ4</f>
        <v/>
      </c>
      <c r="CM902">
        <f>'Grid_Stock'!CK4</f>
        <v/>
      </c>
      <c r="CN902">
        <f>'Grid_Stock'!CL4</f>
        <v/>
      </c>
      <c r="CO902">
        <f>'Grid_Stock'!CM4</f>
        <v/>
      </c>
      <c r="CP902">
        <f>'Grid_Stock'!CN4</f>
        <v/>
      </c>
      <c r="CQ902">
        <f>'Grid_Stock'!CO4</f>
        <v/>
      </c>
      <c r="CR902">
        <f>'Grid_Stock'!CP4</f>
        <v/>
      </c>
      <c r="CS902">
        <f>'Grid_Stock'!CQ4</f>
        <v/>
      </c>
      <c r="CT902">
        <f>'Grid_Stock'!CR4</f>
        <v/>
      </c>
      <c r="CU902">
        <f>'Grid_Stock'!CS4</f>
        <v/>
      </c>
      <c r="CV902">
        <f>'Grid_Stock'!CT4</f>
        <v/>
      </c>
      <c r="CW902">
        <f>'Grid_Stock'!CU4</f>
        <v/>
      </c>
      <c r="CX902">
        <f>'Grid_Stock'!CV4</f>
        <v/>
      </c>
      <c r="CY902">
        <f>'Grid_Stock'!CW4</f>
        <v/>
      </c>
      <c r="CZ902">
        <f>'Grid_Stock'!CX4</f>
        <v/>
      </c>
      <c r="DA902">
        <f>'Grid_Stock'!CY4</f>
        <v/>
      </c>
      <c r="DB902">
        <f>'Grid_Stock'!CZ4</f>
        <v/>
      </c>
      <c r="DC902">
        <f>'Grid_Stock'!DA4</f>
        <v/>
      </c>
    </row>
    <row r="903">
      <c r="B903" s="16" t="inlineStr">
        <is>
          <t>（発注の目安はDashboardの基準在庫[下限/上限]と色分けを参照）</t>
        </is>
      </c>
    </row>
    <row r="905">
      <c r="A905" s="14" t="inlineStr">
        <is>
          <t>CHEM-1720</t>
        </is>
      </c>
      <c r="B905" s="14" t="inlineStr">
        <is>
          <t>CeZr oxide(TPZ-868)</t>
        </is>
      </c>
      <c r="C905" s="15" t="n"/>
      <c r="D905" s="14" t="n"/>
      <c r="E905" s="14" t="n"/>
      <c r="F905" s="14" t="n"/>
      <c r="G905" s="14" t="n"/>
      <c r="H905" s="14" t="n"/>
      <c r="I905" s="14" t="n"/>
      <c r="J905" s="14" t="n"/>
      <c r="K905" s="14" t="n"/>
      <c r="L905" s="14" t="n"/>
      <c r="M905" s="14" t="n"/>
      <c r="N905" s="14" t="n"/>
      <c r="O905" s="14" t="n"/>
      <c r="P905" s="14" t="n"/>
      <c r="Q905" s="14" t="n"/>
      <c r="R905" s="14" t="n"/>
      <c r="S905" s="14" t="n"/>
      <c r="T905" s="14" t="n"/>
      <c r="U905" s="14" t="n"/>
      <c r="V905" s="14" t="n"/>
      <c r="W905" s="14" t="n"/>
      <c r="X905" s="14" t="n"/>
      <c r="Y905" s="14" t="n"/>
      <c r="Z905" s="14" t="n"/>
      <c r="AA905" s="14" t="n"/>
      <c r="AB905" s="14" t="n"/>
      <c r="AC905" s="14" t="n"/>
      <c r="AD905" s="14" t="n"/>
      <c r="AE905" s="14" t="n"/>
      <c r="AF905" s="14" t="n"/>
      <c r="AG905" s="14" t="n"/>
      <c r="AH905" s="14" t="n"/>
      <c r="AI905" s="14" t="n"/>
      <c r="AJ905" s="14" t="n"/>
      <c r="AK905" s="14" t="n"/>
      <c r="AL905" s="14" t="n"/>
      <c r="AM905" s="14" t="n"/>
      <c r="AN905" s="14" t="n"/>
      <c r="AO905" s="14" t="n"/>
      <c r="AP905" s="14" t="n"/>
      <c r="AQ905" s="14" t="n"/>
      <c r="AR905" s="14" t="n"/>
      <c r="AS905" s="14" t="n"/>
      <c r="AT905" s="14" t="n"/>
      <c r="AU905" s="14" t="n"/>
      <c r="AV905" s="14" t="n"/>
      <c r="AW905" s="14" t="n"/>
      <c r="AX905" s="14" t="n"/>
      <c r="AY905" s="14" t="n"/>
      <c r="AZ905" s="14" t="n"/>
      <c r="BA905" s="14" t="n"/>
      <c r="BB905" s="14" t="n"/>
      <c r="BC905" s="14" t="n"/>
      <c r="BD905" s="14" t="n"/>
      <c r="BE905" s="14" t="n"/>
      <c r="BF905" s="14" t="n"/>
      <c r="BG905" s="14" t="n"/>
      <c r="BH905" s="14" t="n"/>
      <c r="BI905" s="14" t="n"/>
      <c r="BJ905" s="14" t="n"/>
      <c r="BK905" s="14" t="n"/>
      <c r="BL905" s="14" t="n"/>
      <c r="BM905" s="14" t="n"/>
      <c r="BN905" s="14" t="n"/>
      <c r="BO905" s="14" t="n"/>
      <c r="BP905" s="14" t="n"/>
      <c r="BQ905" s="14" t="n"/>
      <c r="BR905" s="14" t="n"/>
      <c r="BS905" s="14" t="n"/>
      <c r="BT905" s="14" t="n"/>
      <c r="BU905" s="14" t="n"/>
      <c r="BV905" s="14" t="n"/>
      <c r="BW905" s="14" t="n"/>
      <c r="BX905" s="14" t="n"/>
      <c r="BY905" s="14" t="n"/>
      <c r="BZ905" s="14" t="n"/>
      <c r="CA905" s="14" t="n"/>
      <c r="CB905" s="14" t="n"/>
      <c r="CC905" s="14" t="n"/>
      <c r="CD905" s="14" t="n"/>
      <c r="CE905" s="14" t="n"/>
      <c r="CF905" s="14" t="n"/>
      <c r="CG905" s="14" t="n"/>
      <c r="CH905" s="14" t="n"/>
      <c r="CI905" s="14" t="n"/>
      <c r="CJ905" s="14" t="n"/>
      <c r="CK905" s="14" t="n"/>
      <c r="CL905" s="14" t="n"/>
      <c r="CM905" s="14" t="n"/>
      <c r="CN905" s="14" t="n"/>
      <c r="CO905" s="14" t="n"/>
      <c r="CP905" s="14" t="n"/>
      <c r="CQ905" s="14" t="n"/>
      <c r="CR905" s="14" t="n"/>
      <c r="CS905" s="14" t="n"/>
      <c r="CT905" s="14" t="n"/>
      <c r="CU905" s="14" t="n"/>
      <c r="CV905" s="14" t="n"/>
      <c r="CW905" s="14" t="n"/>
      <c r="CX905" s="14" t="n"/>
      <c r="CY905" s="14" t="n"/>
      <c r="CZ905" s="14" t="n"/>
      <c r="DA905" s="14" t="n"/>
      <c r="DB905" s="14" t="n"/>
      <c r="DC905" s="14" t="n"/>
    </row>
    <row r="906">
      <c r="B906" t="inlineStr">
        <is>
          <t>TSP-927</t>
        </is>
      </c>
      <c r="C906" t="inlineStr">
        <is>
          <t>No. of batches</t>
        </is>
      </c>
      <c r="D906">
        <f>IFERROR(INDEX(PP_Grid[#Data],$DD906,2),0)</f>
        <v/>
      </c>
      <c r="E906">
        <f>IFERROR(INDEX(PP_Grid[#Data],$DD906,3),0)</f>
        <v/>
      </c>
      <c r="F906">
        <f>IFERROR(INDEX(PP_Grid[#Data],$DD906,4),0)</f>
        <v/>
      </c>
      <c r="G906">
        <f>IFERROR(INDEX(PP_Grid[#Data],$DD906,5),0)</f>
        <v/>
      </c>
      <c r="H906">
        <f>IFERROR(INDEX(PP_Grid[#Data],$DD906,6),0)</f>
        <v/>
      </c>
      <c r="I906">
        <f>IFERROR(INDEX(PP_Grid[#Data],$DD906,7),0)</f>
        <v/>
      </c>
      <c r="J906">
        <f>IFERROR(INDEX(PP_Grid[#Data],$DD906,8),0)</f>
        <v/>
      </c>
      <c r="K906">
        <f>IFERROR(INDEX(PP_Grid[#Data],$DD906,9),0)</f>
        <v/>
      </c>
      <c r="L906">
        <f>IFERROR(INDEX(PP_Grid[#Data],$DD906,10),0)</f>
        <v/>
      </c>
      <c r="M906">
        <f>IFERROR(INDEX(PP_Grid[#Data],$DD906,11),0)</f>
        <v/>
      </c>
      <c r="N906">
        <f>IFERROR(INDEX(PP_Grid[#Data],$DD906,12),0)</f>
        <v/>
      </c>
      <c r="O906">
        <f>IFERROR(INDEX(PP_Grid[#Data],$DD906,13),0)</f>
        <v/>
      </c>
      <c r="P906">
        <f>IFERROR(INDEX(PP_Grid[#Data],$DD906,14),0)</f>
        <v/>
      </c>
      <c r="Q906">
        <f>IFERROR(INDEX(PP_Grid[#Data],$DD906,15),0)</f>
        <v/>
      </c>
      <c r="R906">
        <f>IFERROR(INDEX(PP_Grid[#Data],$DD906,16),0)</f>
        <v/>
      </c>
      <c r="S906">
        <f>IFERROR(INDEX(PP_Grid[#Data],$DD906,17),0)</f>
        <v/>
      </c>
      <c r="T906">
        <f>IFERROR(INDEX(PP_Grid[#Data],$DD906,18),0)</f>
        <v/>
      </c>
      <c r="U906">
        <f>IFERROR(INDEX(PP_Grid[#Data],$DD906,19),0)</f>
        <v/>
      </c>
      <c r="V906">
        <f>IFERROR(INDEX(PP_Grid[#Data],$DD906,20),0)</f>
        <v/>
      </c>
      <c r="W906">
        <f>IFERROR(INDEX(PP_Grid[#Data],$DD906,21),0)</f>
        <v/>
      </c>
      <c r="X906">
        <f>IFERROR(INDEX(PP_Grid[#Data],$DD906,22),0)</f>
        <v/>
      </c>
      <c r="Y906">
        <f>IFERROR(INDEX(PP_Grid[#Data],$DD906,23),0)</f>
        <v/>
      </c>
      <c r="Z906">
        <f>IFERROR(INDEX(PP_Grid[#Data],$DD906,24),0)</f>
        <v/>
      </c>
      <c r="AA906">
        <f>IFERROR(INDEX(PP_Grid[#Data],$DD906,25),0)</f>
        <v/>
      </c>
      <c r="AB906">
        <f>IFERROR(INDEX(PP_Grid[#Data],$DD906,26),0)</f>
        <v/>
      </c>
      <c r="AC906">
        <f>IFERROR(INDEX(PP_Grid[#Data],$DD906,27),0)</f>
        <v/>
      </c>
      <c r="AD906">
        <f>IFERROR(INDEX(PP_Grid[#Data],$DD906,28),0)</f>
        <v/>
      </c>
      <c r="AE906">
        <f>IFERROR(INDEX(PP_Grid[#Data],$DD906,29),0)</f>
        <v/>
      </c>
      <c r="AF906">
        <f>IFERROR(INDEX(PP_Grid[#Data],$DD906,30),0)</f>
        <v/>
      </c>
      <c r="AG906">
        <f>IFERROR(INDEX(PP_Grid[#Data],$DD906,31),0)</f>
        <v/>
      </c>
      <c r="AH906">
        <f>IFERROR(INDEX(PP_Grid[#Data],$DD906,32),0)</f>
        <v/>
      </c>
      <c r="AI906">
        <f>IFERROR(INDEX(PP_Grid[#Data],$DD906,33),0)</f>
        <v/>
      </c>
      <c r="AJ906">
        <f>IFERROR(INDEX(PP_Grid[#Data],$DD906,34),0)</f>
        <v/>
      </c>
      <c r="AK906">
        <f>IFERROR(INDEX(PP_Grid[#Data],$DD906,35),0)</f>
        <v/>
      </c>
      <c r="AL906">
        <f>IFERROR(INDEX(PP_Grid[#Data],$DD906,36),0)</f>
        <v/>
      </c>
      <c r="AM906">
        <f>IFERROR(INDEX(PP_Grid[#Data],$DD906,37),0)</f>
        <v/>
      </c>
      <c r="AN906">
        <f>IFERROR(INDEX(PP_Grid[#Data],$DD906,38),0)</f>
        <v/>
      </c>
      <c r="AO906">
        <f>IFERROR(INDEX(PP_Grid[#Data],$DD906,39),0)</f>
        <v/>
      </c>
      <c r="AP906">
        <f>IFERROR(INDEX(PP_Grid[#Data],$DD906,40),0)</f>
        <v/>
      </c>
      <c r="AQ906">
        <f>IFERROR(INDEX(PP_Grid[#Data],$DD906,41),0)</f>
        <v/>
      </c>
      <c r="AR906">
        <f>IFERROR(INDEX(PP_Grid[#Data],$DD906,42),0)</f>
        <v/>
      </c>
      <c r="AS906">
        <f>IFERROR(INDEX(PP_Grid[#Data],$DD906,43),0)</f>
        <v/>
      </c>
      <c r="AT906">
        <f>IFERROR(INDEX(PP_Grid[#Data],$DD906,44),0)</f>
        <v/>
      </c>
      <c r="AU906">
        <f>IFERROR(INDEX(PP_Grid[#Data],$DD906,45),0)</f>
        <v/>
      </c>
      <c r="AV906">
        <f>IFERROR(INDEX(PP_Grid[#Data],$DD906,46),0)</f>
        <v/>
      </c>
      <c r="AW906">
        <f>IFERROR(INDEX(PP_Grid[#Data],$DD906,47),0)</f>
        <v/>
      </c>
      <c r="AX906">
        <f>IFERROR(INDEX(PP_Grid[#Data],$DD906,48),0)</f>
        <v/>
      </c>
      <c r="AY906">
        <f>IFERROR(INDEX(PP_Grid[#Data],$DD906,49),0)</f>
        <v/>
      </c>
      <c r="AZ906">
        <f>IFERROR(INDEX(PP_Grid[#Data],$DD906,50),0)</f>
        <v/>
      </c>
      <c r="BA906">
        <f>IFERROR(INDEX(PP_Grid[#Data],$DD906,51),0)</f>
        <v/>
      </c>
      <c r="BB906">
        <f>IFERROR(INDEX(PP_Grid[#Data],$DD906,52),0)</f>
        <v/>
      </c>
      <c r="BC906">
        <f>IFERROR(INDEX(PP_Grid[#Data],$DD906,53),0)</f>
        <v/>
      </c>
      <c r="BD906">
        <f>IFERROR(INDEX(PP_Grid[#Data],$DD906,54),0)</f>
        <v/>
      </c>
      <c r="BE906">
        <f>IFERROR(INDEX(PP_Grid[#Data],$DD906,55),0)</f>
        <v/>
      </c>
      <c r="BF906">
        <f>IFERROR(INDEX(PP_Grid[#Data],$DD906,56),0)</f>
        <v/>
      </c>
      <c r="BG906">
        <f>IFERROR(INDEX(PP_Grid[#Data],$DD906,57),0)</f>
        <v/>
      </c>
      <c r="BH906">
        <f>IFERROR(INDEX(PP_Grid[#Data],$DD906,58),0)</f>
        <v/>
      </c>
      <c r="BI906">
        <f>IFERROR(INDEX(PP_Grid[#Data],$DD906,59),0)</f>
        <v/>
      </c>
      <c r="BJ906">
        <f>IFERROR(INDEX(PP_Grid[#Data],$DD906,60),0)</f>
        <v/>
      </c>
      <c r="BK906">
        <f>IFERROR(INDEX(PP_Grid[#Data],$DD906,61),0)</f>
        <v/>
      </c>
      <c r="BL906">
        <f>IFERROR(INDEX(PP_Grid[#Data],$DD906,62),0)</f>
        <v/>
      </c>
      <c r="BM906">
        <f>IFERROR(INDEX(PP_Grid[#Data],$DD906,63),0)</f>
        <v/>
      </c>
      <c r="BN906">
        <f>IFERROR(INDEX(PP_Grid[#Data],$DD906,64),0)</f>
        <v/>
      </c>
      <c r="BO906">
        <f>IFERROR(INDEX(PP_Grid[#Data],$DD906,65),0)</f>
        <v/>
      </c>
      <c r="BP906">
        <f>IFERROR(INDEX(PP_Grid[#Data],$DD906,66),0)</f>
        <v/>
      </c>
      <c r="BQ906">
        <f>IFERROR(INDEX(PP_Grid[#Data],$DD906,67),0)</f>
        <v/>
      </c>
      <c r="BR906">
        <f>IFERROR(INDEX(PP_Grid[#Data],$DD906,68),0)</f>
        <v/>
      </c>
      <c r="BS906">
        <f>IFERROR(INDEX(PP_Grid[#Data],$DD906,69),0)</f>
        <v/>
      </c>
      <c r="BT906">
        <f>IFERROR(INDEX(PP_Grid[#Data],$DD906,70),0)</f>
        <v/>
      </c>
      <c r="BU906">
        <f>IFERROR(INDEX(PP_Grid[#Data],$DD906,71),0)</f>
        <v/>
      </c>
      <c r="BV906">
        <f>IFERROR(INDEX(PP_Grid[#Data],$DD906,72),0)</f>
        <v/>
      </c>
      <c r="BW906">
        <f>IFERROR(INDEX(PP_Grid[#Data],$DD906,73),0)</f>
        <v/>
      </c>
      <c r="BX906">
        <f>IFERROR(INDEX(PP_Grid[#Data],$DD906,74),0)</f>
        <v/>
      </c>
      <c r="BY906">
        <f>IFERROR(INDEX(PP_Grid[#Data],$DD906,75),0)</f>
        <v/>
      </c>
      <c r="BZ906">
        <f>IFERROR(INDEX(PP_Grid[#Data],$DD906,76),0)</f>
        <v/>
      </c>
      <c r="CA906">
        <f>IFERROR(INDEX(PP_Grid[#Data],$DD906,77),0)</f>
        <v/>
      </c>
      <c r="CB906">
        <f>IFERROR(INDEX(PP_Grid[#Data],$DD906,78),0)</f>
        <v/>
      </c>
      <c r="CC906">
        <f>IFERROR(INDEX(PP_Grid[#Data],$DD906,79),0)</f>
        <v/>
      </c>
      <c r="CD906">
        <f>IFERROR(INDEX(PP_Grid[#Data],$DD906,80),0)</f>
        <v/>
      </c>
      <c r="CE906">
        <f>IFERROR(INDEX(PP_Grid[#Data],$DD906,81),0)</f>
        <v/>
      </c>
      <c r="CF906">
        <f>IFERROR(INDEX(PP_Grid[#Data],$DD906,82),0)</f>
        <v/>
      </c>
      <c r="CG906">
        <f>IFERROR(INDEX(PP_Grid[#Data],$DD906,83),0)</f>
        <v/>
      </c>
      <c r="CH906">
        <f>IFERROR(INDEX(PP_Grid[#Data],$DD906,84),0)</f>
        <v/>
      </c>
      <c r="CI906">
        <f>IFERROR(INDEX(PP_Grid[#Data],$DD906,85),0)</f>
        <v/>
      </c>
      <c r="CJ906">
        <f>IFERROR(INDEX(PP_Grid[#Data],$DD906,86),0)</f>
        <v/>
      </c>
      <c r="CK906">
        <f>IFERROR(INDEX(PP_Grid[#Data],$DD906,87),0)</f>
        <v/>
      </c>
      <c r="CL906">
        <f>IFERROR(INDEX(PP_Grid[#Data],$DD906,88),0)</f>
        <v/>
      </c>
      <c r="CM906">
        <f>IFERROR(INDEX(PP_Grid[#Data],$DD906,89),0)</f>
        <v/>
      </c>
      <c r="CN906">
        <f>IFERROR(INDEX(PP_Grid[#Data],$DD906,90),0)</f>
        <v/>
      </c>
      <c r="CO906">
        <f>IFERROR(INDEX(PP_Grid[#Data],$DD906,91),0)</f>
        <v/>
      </c>
      <c r="CP906">
        <f>IFERROR(INDEX(PP_Grid[#Data],$DD906,92),0)</f>
        <v/>
      </c>
      <c r="CQ906">
        <f>IFERROR(INDEX(PP_Grid[#Data],$DD906,93),0)</f>
        <v/>
      </c>
      <c r="CR906">
        <f>IFERROR(INDEX(PP_Grid[#Data],$DD906,94),0)</f>
        <v/>
      </c>
      <c r="CS906">
        <f>IFERROR(INDEX(PP_Grid[#Data],$DD906,95),0)</f>
        <v/>
      </c>
      <c r="CT906">
        <f>IFERROR(INDEX(PP_Grid[#Data],$DD906,96),0)</f>
        <v/>
      </c>
      <c r="CU906">
        <f>IFERROR(INDEX(PP_Grid[#Data],$DD906,97),0)</f>
        <v/>
      </c>
      <c r="CV906">
        <f>IFERROR(INDEX(PP_Grid[#Data],$DD906,98),0)</f>
        <v/>
      </c>
      <c r="CW906">
        <f>IFERROR(INDEX(PP_Grid[#Data],$DD906,99),0)</f>
        <v/>
      </c>
      <c r="CX906">
        <f>IFERROR(INDEX(PP_Grid[#Data],$DD906,100),0)</f>
        <v/>
      </c>
      <c r="CY906">
        <f>IFERROR(INDEX(PP_Grid[#Data],$DD906,101),0)</f>
        <v/>
      </c>
      <c r="CZ906">
        <f>IFERROR(INDEX(PP_Grid[#Data],$DD906,102),0)</f>
        <v/>
      </c>
      <c r="DA906">
        <f>IFERROR(INDEX(PP_Grid[#Data],$DD906,103),0)</f>
        <v/>
      </c>
      <c r="DB906">
        <f>IFERROR(INDEX(PP_Grid[#Data],$DD906,104),0)</f>
        <v/>
      </c>
      <c r="DC906">
        <f>IFERROR(INDEX(PP_Grid[#Data],$DD906,105),0)</f>
        <v/>
      </c>
      <c r="DD906" s="7">
        <f>IFERROR(MATCH($B906,PP_Grid[Intermediate],0),99999)</f>
        <v/>
      </c>
    </row>
    <row r="907">
      <c r="B907" t="inlineStr">
        <is>
          <t>使用量(kg)</t>
        </is>
      </c>
      <c r="C907">
        <f>SUMIFS(M_BOM[RM_Qty_Per_Batch],M_BOM[Intermediate],$B906,M_BOM[Part Name],$A905)</f>
        <v/>
      </c>
      <c r="D907">
        <f>$C907*D906</f>
        <v/>
      </c>
      <c r="E907">
        <f>$C907*E906</f>
        <v/>
      </c>
      <c r="F907">
        <f>$C907*F906</f>
        <v/>
      </c>
      <c r="G907">
        <f>$C907*G906</f>
        <v/>
      </c>
      <c r="H907">
        <f>$C907*H906</f>
        <v/>
      </c>
      <c r="I907">
        <f>$C907*I906</f>
        <v/>
      </c>
      <c r="J907">
        <f>$C907*J906</f>
        <v/>
      </c>
      <c r="K907">
        <f>$C907*K906</f>
        <v/>
      </c>
      <c r="L907">
        <f>$C907*L906</f>
        <v/>
      </c>
      <c r="M907">
        <f>$C907*M906</f>
        <v/>
      </c>
      <c r="N907">
        <f>$C907*N906</f>
        <v/>
      </c>
      <c r="O907">
        <f>$C907*O906</f>
        <v/>
      </c>
      <c r="P907">
        <f>$C907*P906</f>
        <v/>
      </c>
      <c r="Q907">
        <f>$C907*Q906</f>
        <v/>
      </c>
      <c r="R907">
        <f>$C907*R906</f>
        <v/>
      </c>
      <c r="S907">
        <f>$C907*S906</f>
        <v/>
      </c>
      <c r="T907">
        <f>$C907*T906</f>
        <v/>
      </c>
      <c r="U907">
        <f>$C907*U906</f>
        <v/>
      </c>
      <c r="V907">
        <f>$C907*V906</f>
        <v/>
      </c>
      <c r="W907">
        <f>$C907*W906</f>
        <v/>
      </c>
      <c r="X907">
        <f>$C907*X906</f>
        <v/>
      </c>
      <c r="Y907">
        <f>$C907*Y906</f>
        <v/>
      </c>
      <c r="Z907">
        <f>$C907*Z906</f>
        <v/>
      </c>
      <c r="AA907">
        <f>$C907*AA906</f>
        <v/>
      </c>
      <c r="AB907">
        <f>$C907*AB906</f>
        <v/>
      </c>
      <c r="AC907">
        <f>$C907*AC906</f>
        <v/>
      </c>
      <c r="AD907">
        <f>$C907*AD906</f>
        <v/>
      </c>
      <c r="AE907">
        <f>$C907*AE906</f>
        <v/>
      </c>
      <c r="AF907">
        <f>$C907*AF906</f>
        <v/>
      </c>
      <c r="AG907">
        <f>$C907*AG906</f>
        <v/>
      </c>
      <c r="AH907">
        <f>$C907*AH906</f>
        <v/>
      </c>
      <c r="AI907">
        <f>$C907*AI906</f>
        <v/>
      </c>
      <c r="AJ907">
        <f>$C907*AJ906</f>
        <v/>
      </c>
      <c r="AK907">
        <f>$C907*AK906</f>
        <v/>
      </c>
      <c r="AL907">
        <f>$C907*AL906</f>
        <v/>
      </c>
      <c r="AM907">
        <f>$C907*AM906</f>
        <v/>
      </c>
      <c r="AN907">
        <f>$C907*AN906</f>
        <v/>
      </c>
      <c r="AO907">
        <f>$C907*AO906</f>
        <v/>
      </c>
      <c r="AP907">
        <f>$C907*AP906</f>
        <v/>
      </c>
      <c r="AQ907">
        <f>$C907*AQ906</f>
        <v/>
      </c>
      <c r="AR907">
        <f>$C907*AR906</f>
        <v/>
      </c>
      <c r="AS907">
        <f>$C907*AS906</f>
        <v/>
      </c>
      <c r="AT907">
        <f>$C907*AT906</f>
        <v/>
      </c>
      <c r="AU907">
        <f>$C907*AU906</f>
        <v/>
      </c>
      <c r="AV907">
        <f>$C907*AV906</f>
        <v/>
      </c>
      <c r="AW907">
        <f>$C907*AW906</f>
        <v/>
      </c>
      <c r="AX907">
        <f>$C907*AX906</f>
        <v/>
      </c>
      <c r="AY907">
        <f>$C907*AY906</f>
        <v/>
      </c>
      <c r="AZ907">
        <f>$C907*AZ906</f>
        <v/>
      </c>
      <c r="BA907">
        <f>$C907*BA906</f>
        <v/>
      </c>
      <c r="BB907">
        <f>$C907*BB906</f>
        <v/>
      </c>
      <c r="BC907">
        <f>$C907*BC906</f>
        <v/>
      </c>
      <c r="BD907">
        <f>$C907*BD906</f>
        <v/>
      </c>
      <c r="BE907">
        <f>$C907*BE906</f>
        <v/>
      </c>
      <c r="BF907">
        <f>$C907*BF906</f>
        <v/>
      </c>
      <c r="BG907">
        <f>$C907*BG906</f>
        <v/>
      </c>
      <c r="BH907">
        <f>$C907*BH906</f>
        <v/>
      </c>
      <c r="BI907">
        <f>$C907*BI906</f>
        <v/>
      </c>
      <c r="BJ907">
        <f>$C907*BJ906</f>
        <v/>
      </c>
      <c r="BK907">
        <f>$C907*BK906</f>
        <v/>
      </c>
      <c r="BL907">
        <f>$C907*BL906</f>
        <v/>
      </c>
      <c r="BM907">
        <f>$C907*BM906</f>
        <v/>
      </c>
      <c r="BN907">
        <f>$C907*BN906</f>
        <v/>
      </c>
      <c r="BO907">
        <f>$C907*BO906</f>
        <v/>
      </c>
      <c r="BP907">
        <f>$C907*BP906</f>
        <v/>
      </c>
      <c r="BQ907">
        <f>$C907*BQ906</f>
        <v/>
      </c>
      <c r="BR907">
        <f>$C907*BR906</f>
        <v/>
      </c>
      <c r="BS907">
        <f>$C907*BS906</f>
        <v/>
      </c>
      <c r="BT907">
        <f>$C907*BT906</f>
        <v/>
      </c>
      <c r="BU907">
        <f>$C907*BU906</f>
        <v/>
      </c>
      <c r="BV907">
        <f>$C907*BV906</f>
        <v/>
      </c>
      <c r="BW907">
        <f>$C907*BW906</f>
        <v/>
      </c>
      <c r="BX907">
        <f>$C907*BX906</f>
        <v/>
      </c>
      <c r="BY907">
        <f>$C907*BY906</f>
        <v/>
      </c>
      <c r="BZ907">
        <f>$C907*BZ906</f>
        <v/>
      </c>
      <c r="CA907">
        <f>$C907*CA906</f>
        <v/>
      </c>
      <c r="CB907">
        <f>$C907*CB906</f>
        <v/>
      </c>
      <c r="CC907">
        <f>$C907*CC906</f>
        <v/>
      </c>
      <c r="CD907">
        <f>$C907*CD906</f>
        <v/>
      </c>
      <c r="CE907">
        <f>$C907*CE906</f>
        <v/>
      </c>
      <c r="CF907">
        <f>$C907*CF906</f>
        <v/>
      </c>
      <c r="CG907">
        <f>$C907*CG906</f>
        <v/>
      </c>
      <c r="CH907">
        <f>$C907*CH906</f>
        <v/>
      </c>
      <c r="CI907">
        <f>$C907*CI906</f>
        <v/>
      </c>
      <c r="CJ907">
        <f>$C907*CJ906</f>
        <v/>
      </c>
      <c r="CK907">
        <f>$C907*CK906</f>
        <v/>
      </c>
      <c r="CL907">
        <f>$C907*CL906</f>
        <v/>
      </c>
      <c r="CM907">
        <f>$C907*CM906</f>
        <v/>
      </c>
      <c r="CN907">
        <f>$C907*CN906</f>
        <v/>
      </c>
      <c r="CO907">
        <f>$C907*CO906</f>
        <v/>
      </c>
      <c r="CP907">
        <f>$C907*CP906</f>
        <v/>
      </c>
      <c r="CQ907">
        <f>$C907*CQ906</f>
        <v/>
      </c>
      <c r="CR907">
        <f>$C907*CR906</f>
        <v/>
      </c>
      <c r="CS907">
        <f>$C907*CS906</f>
        <v/>
      </c>
      <c r="CT907">
        <f>$C907*CT906</f>
        <v/>
      </c>
      <c r="CU907">
        <f>$C907*CU906</f>
        <v/>
      </c>
      <c r="CV907">
        <f>$C907*CV906</f>
        <v/>
      </c>
      <c r="CW907">
        <f>$C907*CW906</f>
        <v/>
      </c>
      <c r="CX907">
        <f>$C907*CX906</f>
        <v/>
      </c>
      <c r="CY907">
        <f>$C907*CY906</f>
        <v/>
      </c>
      <c r="CZ907">
        <f>$C907*CZ906</f>
        <v/>
      </c>
      <c r="DA907">
        <f>$C907*DA906</f>
        <v/>
      </c>
      <c r="DB907">
        <f>$C907*DB906</f>
        <v/>
      </c>
      <c r="DC907">
        <f>$C907*DC906</f>
        <v/>
      </c>
    </row>
    <row r="908">
      <c r="B908" t="inlineStr">
        <is>
          <t>TSP-928</t>
        </is>
      </c>
      <c r="C908" t="inlineStr">
        <is>
          <t>No. of batches</t>
        </is>
      </c>
      <c r="D908">
        <f>IFERROR(INDEX(PP_Grid[#Data],$DD908,2),0)</f>
        <v/>
      </c>
      <c r="E908">
        <f>IFERROR(INDEX(PP_Grid[#Data],$DD908,3),0)</f>
        <v/>
      </c>
      <c r="F908">
        <f>IFERROR(INDEX(PP_Grid[#Data],$DD908,4),0)</f>
        <v/>
      </c>
      <c r="G908">
        <f>IFERROR(INDEX(PP_Grid[#Data],$DD908,5),0)</f>
        <v/>
      </c>
      <c r="H908">
        <f>IFERROR(INDEX(PP_Grid[#Data],$DD908,6),0)</f>
        <v/>
      </c>
      <c r="I908">
        <f>IFERROR(INDEX(PP_Grid[#Data],$DD908,7),0)</f>
        <v/>
      </c>
      <c r="J908">
        <f>IFERROR(INDEX(PP_Grid[#Data],$DD908,8),0)</f>
        <v/>
      </c>
      <c r="K908">
        <f>IFERROR(INDEX(PP_Grid[#Data],$DD908,9),0)</f>
        <v/>
      </c>
      <c r="L908">
        <f>IFERROR(INDEX(PP_Grid[#Data],$DD908,10),0)</f>
        <v/>
      </c>
      <c r="M908">
        <f>IFERROR(INDEX(PP_Grid[#Data],$DD908,11),0)</f>
        <v/>
      </c>
      <c r="N908">
        <f>IFERROR(INDEX(PP_Grid[#Data],$DD908,12),0)</f>
        <v/>
      </c>
      <c r="O908">
        <f>IFERROR(INDEX(PP_Grid[#Data],$DD908,13),0)</f>
        <v/>
      </c>
      <c r="P908">
        <f>IFERROR(INDEX(PP_Grid[#Data],$DD908,14),0)</f>
        <v/>
      </c>
      <c r="Q908">
        <f>IFERROR(INDEX(PP_Grid[#Data],$DD908,15),0)</f>
        <v/>
      </c>
      <c r="R908">
        <f>IFERROR(INDEX(PP_Grid[#Data],$DD908,16),0)</f>
        <v/>
      </c>
      <c r="S908">
        <f>IFERROR(INDEX(PP_Grid[#Data],$DD908,17),0)</f>
        <v/>
      </c>
      <c r="T908">
        <f>IFERROR(INDEX(PP_Grid[#Data],$DD908,18),0)</f>
        <v/>
      </c>
      <c r="U908">
        <f>IFERROR(INDEX(PP_Grid[#Data],$DD908,19),0)</f>
        <v/>
      </c>
      <c r="V908">
        <f>IFERROR(INDEX(PP_Grid[#Data],$DD908,20),0)</f>
        <v/>
      </c>
      <c r="W908">
        <f>IFERROR(INDEX(PP_Grid[#Data],$DD908,21),0)</f>
        <v/>
      </c>
      <c r="X908">
        <f>IFERROR(INDEX(PP_Grid[#Data],$DD908,22),0)</f>
        <v/>
      </c>
      <c r="Y908">
        <f>IFERROR(INDEX(PP_Grid[#Data],$DD908,23),0)</f>
        <v/>
      </c>
      <c r="Z908">
        <f>IFERROR(INDEX(PP_Grid[#Data],$DD908,24),0)</f>
        <v/>
      </c>
      <c r="AA908">
        <f>IFERROR(INDEX(PP_Grid[#Data],$DD908,25),0)</f>
        <v/>
      </c>
      <c r="AB908">
        <f>IFERROR(INDEX(PP_Grid[#Data],$DD908,26),0)</f>
        <v/>
      </c>
      <c r="AC908">
        <f>IFERROR(INDEX(PP_Grid[#Data],$DD908,27),0)</f>
        <v/>
      </c>
      <c r="AD908">
        <f>IFERROR(INDEX(PP_Grid[#Data],$DD908,28),0)</f>
        <v/>
      </c>
      <c r="AE908">
        <f>IFERROR(INDEX(PP_Grid[#Data],$DD908,29),0)</f>
        <v/>
      </c>
      <c r="AF908">
        <f>IFERROR(INDEX(PP_Grid[#Data],$DD908,30),0)</f>
        <v/>
      </c>
      <c r="AG908">
        <f>IFERROR(INDEX(PP_Grid[#Data],$DD908,31),0)</f>
        <v/>
      </c>
      <c r="AH908">
        <f>IFERROR(INDEX(PP_Grid[#Data],$DD908,32),0)</f>
        <v/>
      </c>
      <c r="AI908">
        <f>IFERROR(INDEX(PP_Grid[#Data],$DD908,33),0)</f>
        <v/>
      </c>
      <c r="AJ908">
        <f>IFERROR(INDEX(PP_Grid[#Data],$DD908,34),0)</f>
        <v/>
      </c>
      <c r="AK908">
        <f>IFERROR(INDEX(PP_Grid[#Data],$DD908,35),0)</f>
        <v/>
      </c>
      <c r="AL908">
        <f>IFERROR(INDEX(PP_Grid[#Data],$DD908,36),0)</f>
        <v/>
      </c>
      <c r="AM908">
        <f>IFERROR(INDEX(PP_Grid[#Data],$DD908,37),0)</f>
        <v/>
      </c>
      <c r="AN908">
        <f>IFERROR(INDEX(PP_Grid[#Data],$DD908,38),0)</f>
        <v/>
      </c>
      <c r="AO908">
        <f>IFERROR(INDEX(PP_Grid[#Data],$DD908,39),0)</f>
        <v/>
      </c>
      <c r="AP908">
        <f>IFERROR(INDEX(PP_Grid[#Data],$DD908,40),0)</f>
        <v/>
      </c>
      <c r="AQ908">
        <f>IFERROR(INDEX(PP_Grid[#Data],$DD908,41),0)</f>
        <v/>
      </c>
      <c r="AR908">
        <f>IFERROR(INDEX(PP_Grid[#Data],$DD908,42),0)</f>
        <v/>
      </c>
      <c r="AS908">
        <f>IFERROR(INDEX(PP_Grid[#Data],$DD908,43),0)</f>
        <v/>
      </c>
      <c r="AT908">
        <f>IFERROR(INDEX(PP_Grid[#Data],$DD908,44),0)</f>
        <v/>
      </c>
      <c r="AU908">
        <f>IFERROR(INDEX(PP_Grid[#Data],$DD908,45),0)</f>
        <v/>
      </c>
      <c r="AV908">
        <f>IFERROR(INDEX(PP_Grid[#Data],$DD908,46),0)</f>
        <v/>
      </c>
      <c r="AW908">
        <f>IFERROR(INDEX(PP_Grid[#Data],$DD908,47),0)</f>
        <v/>
      </c>
      <c r="AX908">
        <f>IFERROR(INDEX(PP_Grid[#Data],$DD908,48),0)</f>
        <v/>
      </c>
      <c r="AY908">
        <f>IFERROR(INDEX(PP_Grid[#Data],$DD908,49),0)</f>
        <v/>
      </c>
      <c r="AZ908">
        <f>IFERROR(INDEX(PP_Grid[#Data],$DD908,50),0)</f>
        <v/>
      </c>
      <c r="BA908">
        <f>IFERROR(INDEX(PP_Grid[#Data],$DD908,51),0)</f>
        <v/>
      </c>
      <c r="BB908">
        <f>IFERROR(INDEX(PP_Grid[#Data],$DD908,52),0)</f>
        <v/>
      </c>
      <c r="BC908">
        <f>IFERROR(INDEX(PP_Grid[#Data],$DD908,53),0)</f>
        <v/>
      </c>
      <c r="BD908">
        <f>IFERROR(INDEX(PP_Grid[#Data],$DD908,54),0)</f>
        <v/>
      </c>
      <c r="BE908">
        <f>IFERROR(INDEX(PP_Grid[#Data],$DD908,55),0)</f>
        <v/>
      </c>
      <c r="BF908">
        <f>IFERROR(INDEX(PP_Grid[#Data],$DD908,56),0)</f>
        <v/>
      </c>
      <c r="BG908">
        <f>IFERROR(INDEX(PP_Grid[#Data],$DD908,57),0)</f>
        <v/>
      </c>
      <c r="BH908">
        <f>IFERROR(INDEX(PP_Grid[#Data],$DD908,58),0)</f>
        <v/>
      </c>
      <c r="BI908">
        <f>IFERROR(INDEX(PP_Grid[#Data],$DD908,59),0)</f>
        <v/>
      </c>
      <c r="BJ908">
        <f>IFERROR(INDEX(PP_Grid[#Data],$DD908,60),0)</f>
        <v/>
      </c>
      <c r="BK908">
        <f>IFERROR(INDEX(PP_Grid[#Data],$DD908,61),0)</f>
        <v/>
      </c>
      <c r="BL908">
        <f>IFERROR(INDEX(PP_Grid[#Data],$DD908,62),0)</f>
        <v/>
      </c>
      <c r="BM908">
        <f>IFERROR(INDEX(PP_Grid[#Data],$DD908,63),0)</f>
        <v/>
      </c>
      <c r="BN908">
        <f>IFERROR(INDEX(PP_Grid[#Data],$DD908,64),0)</f>
        <v/>
      </c>
      <c r="BO908">
        <f>IFERROR(INDEX(PP_Grid[#Data],$DD908,65),0)</f>
        <v/>
      </c>
      <c r="BP908">
        <f>IFERROR(INDEX(PP_Grid[#Data],$DD908,66),0)</f>
        <v/>
      </c>
      <c r="BQ908">
        <f>IFERROR(INDEX(PP_Grid[#Data],$DD908,67),0)</f>
        <v/>
      </c>
      <c r="BR908">
        <f>IFERROR(INDEX(PP_Grid[#Data],$DD908,68),0)</f>
        <v/>
      </c>
      <c r="BS908">
        <f>IFERROR(INDEX(PP_Grid[#Data],$DD908,69),0)</f>
        <v/>
      </c>
      <c r="BT908">
        <f>IFERROR(INDEX(PP_Grid[#Data],$DD908,70),0)</f>
        <v/>
      </c>
      <c r="BU908">
        <f>IFERROR(INDEX(PP_Grid[#Data],$DD908,71),0)</f>
        <v/>
      </c>
      <c r="BV908">
        <f>IFERROR(INDEX(PP_Grid[#Data],$DD908,72),0)</f>
        <v/>
      </c>
      <c r="BW908">
        <f>IFERROR(INDEX(PP_Grid[#Data],$DD908,73),0)</f>
        <v/>
      </c>
      <c r="BX908">
        <f>IFERROR(INDEX(PP_Grid[#Data],$DD908,74),0)</f>
        <v/>
      </c>
      <c r="BY908">
        <f>IFERROR(INDEX(PP_Grid[#Data],$DD908,75),0)</f>
        <v/>
      </c>
      <c r="BZ908">
        <f>IFERROR(INDEX(PP_Grid[#Data],$DD908,76),0)</f>
        <v/>
      </c>
      <c r="CA908">
        <f>IFERROR(INDEX(PP_Grid[#Data],$DD908,77),0)</f>
        <v/>
      </c>
      <c r="CB908">
        <f>IFERROR(INDEX(PP_Grid[#Data],$DD908,78),0)</f>
        <v/>
      </c>
      <c r="CC908">
        <f>IFERROR(INDEX(PP_Grid[#Data],$DD908,79),0)</f>
        <v/>
      </c>
      <c r="CD908">
        <f>IFERROR(INDEX(PP_Grid[#Data],$DD908,80),0)</f>
        <v/>
      </c>
      <c r="CE908">
        <f>IFERROR(INDEX(PP_Grid[#Data],$DD908,81),0)</f>
        <v/>
      </c>
      <c r="CF908">
        <f>IFERROR(INDEX(PP_Grid[#Data],$DD908,82),0)</f>
        <v/>
      </c>
      <c r="CG908">
        <f>IFERROR(INDEX(PP_Grid[#Data],$DD908,83),0)</f>
        <v/>
      </c>
      <c r="CH908">
        <f>IFERROR(INDEX(PP_Grid[#Data],$DD908,84),0)</f>
        <v/>
      </c>
      <c r="CI908">
        <f>IFERROR(INDEX(PP_Grid[#Data],$DD908,85),0)</f>
        <v/>
      </c>
      <c r="CJ908">
        <f>IFERROR(INDEX(PP_Grid[#Data],$DD908,86),0)</f>
        <v/>
      </c>
      <c r="CK908">
        <f>IFERROR(INDEX(PP_Grid[#Data],$DD908,87),0)</f>
        <v/>
      </c>
      <c r="CL908">
        <f>IFERROR(INDEX(PP_Grid[#Data],$DD908,88),0)</f>
        <v/>
      </c>
      <c r="CM908">
        <f>IFERROR(INDEX(PP_Grid[#Data],$DD908,89),0)</f>
        <v/>
      </c>
      <c r="CN908">
        <f>IFERROR(INDEX(PP_Grid[#Data],$DD908,90),0)</f>
        <v/>
      </c>
      <c r="CO908">
        <f>IFERROR(INDEX(PP_Grid[#Data],$DD908,91),0)</f>
        <v/>
      </c>
      <c r="CP908">
        <f>IFERROR(INDEX(PP_Grid[#Data],$DD908,92),0)</f>
        <v/>
      </c>
      <c r="CQ908">
        <f>IFERROR(INDEX(PP_Grid[#Data],$DD908,93),0)</f>
        <v/>
      </c>
      <c r="CR908">
        <f>IFERROR(INDEX(PP_Grid[#Data],$DD908,94),0)</f>
        <v/>
      </c>
      <c r="CS908">
        <f>IFERROR(INDEX(PP_Grid[#Data],$DD908,95),0)</f>
        <v/>
      </c>
      <c r="CT908">
        <f>IFERROR(INDEX(PP_Grid[#Data],$DD908,96),0)</f>
        <v/>
      </c>
      <c r="CU908">
        <f>IFERROR(INDEX(PP_Grid[#Data],$DD908,97),0)</f>
        <v/>
      </c>
      <c r="CV908">
        <f>IFERROR(INDEX(PP_Grid[#Data],$DD908,98),0)</f>
        <v/>
      </c>
      <c r="CW908">
        <f>IFERROR(INDEX(PP_Grid[#Data],$DD908,99),0)</f>
        <v/>
      </c>
      <c r="CX908">
        <f>IFERROR(INDEX(PP_Grid[#Data],$DD908,100),0)</f>
        <v/>
      </c>
      <c r="CY908">
        <f>IFERROR(INDEX(PP_Grid[#Data],$DD908,101),0)</f>
        <v/>
      </c>
      <c r="CZ908">
        <f>IFERROR(INDEX(PP_Grid[#Data],$DD908,102),0)</f>
        <v/>
      </c>
      <c r="DA908">
        <f>IFERROR(INDEX(PP_Grid[#Data],$DD908,103),0)</f>
        <v/>
      </c>
      <c r="DB908">
        <f>IFERROR(INDEX(PP_Grid[#Data],$DD908,104),0)</f>
        <v/>
      </c>
      <c r="DC908">
        <f>IFERROR(INDEX(PP_Grid[#Data],$DD908,105),0)</f>
        <v/>
      </c>
      <c r="DD908" s="7">
        <f>IFERROR(MATCH($B908,PP_Grid[Intermediate],0),99999)</f>
        <v/>
      </c>
    </row>
    <row r="909">
      <c r="B909" t="inlineStr">
        <is>
          <t>使用量(kg)</t>
        </is>
      </c>
      <c r="C909">
        <f>SUMIFS(M_BOM[RM_Qty_Per_Batch],M_BOM[Intermediate],$B908,M_BOM[Part Name],$A905)</f>
        <v/>
      </c>
      <c r="D909">
        <f>$C909*D908</f>
        <v/>
      </c>
      <c r="E909">
        <f>$C909*E908</f>
        <v/>
      </c>
      <c r="F909">
        <f>$C909*F908</f>
        <v/>
      </c>
      <c r="G909">
        <f>$C909*G908</f>
        <v/>
      </c>
      <c r="H909">
        <f>$C909*H908</f>
        <v/>
      </c>
      <c r="I909">
        <f>$C909*I908</f>
        <v/>
      </c>
      <c r="J909">
        <f>$C909*J908</f>
        <v/>
      </c>
      <c r="K909">
        <f>$C909*K908</f>
        <v/>
      </c>
      <c r="L909">
        <f>$C909*L908</f>
        <v/>
      </c>
      <c r="M909">
        <f>$C909*M908</f>
        <v/>
      </c>
      <c r="N909">
        <f>$C909*N908</f>
        <v/>
      </c>
      <c r="O909">
        <f>$C909*O908</f>
        <v/>
      </c>
      <c r="P909">
        <f>$C909*P908</f>
        <v/>
      </c>
      <c r="Q909">
        <f>$C909*Q908</f>
        <v/>
      </c>
      <c r="R909">
        <f>$C909*R908</f>
        <v/>
      </c>
      <c r="S909">
        <f>$C909*S908</f>
        <v/>
      </c>
      <c r="T909">
        <f>$C909*T908</f>
        <v/>
      </c>
      <c r="U909">
        <f>$C909*U908</f>
        <v/>
      </c>
      <c r="V909">
        <f>$C909*V908</f>
        <v/>
      </c>
      <c r="W909">
        <f>$C909*W908</f>
        <v/>
      </c>
      <c r="X909">
        <f>$C909*X908</f>
        <v/>
      </c>
      <c r="Y909">
        <f>$C909*Y908</f>
        <v/>
      </c>
      <c r="Z909">
        <f>$C909*Z908</f>
        <v/>
      </c>
      <c r="AA909">
        <f>$C909*AA908</f>
        <v/>
      </c>
      <c r="AB909">
        <f>$C909*AB908</f>
        <v/>
      </c>
      <c r="AC909">
        <f>$C909*AC908</f>
        <v/>
      </c>
      <c r="AD909">
        <f>$C909*AD908</f>
        <v/>
      </c>
      <c r="AE909">
        <f>$C909*AE908</f>
        <v/>
      </c>
      <c r="AF909">
        <f>$C909*AF908</f>
        <v/>
      </c>
      <c r="AG909">
        <f>$C909*AG908</f>
        <v/>
      </c>
      <c r="AH909">
        <f>$C909*AH908</f>
        <v/>
      </c>
      <c r="AI909">
        <f>$C909*AI908</f>
        <v/>
      </c>
      <c r="AJ909">
        <f>$C909*AJ908</f>
        <v/>
      </c>
      <c r="AK909">
        <f>$C909*AK908</f>
        <v/>
      </c>
      <c r="AL909">
        <f>$C909*AL908</f>
        <v/>
      </c>
      <c r="AM909">
        <f>$C909*AM908</f>
        <v/>
      </c>
      <c r="AN909">
        <f>$C909*AN908</f>
        <v/>
      </c>
      <c r="AO909">
        <f>$C909*AO908</f>
        <v/>
      </c>
      <c r="AP909">
        <f>$C909*AP908</f>
        <v/>
      </c>
      <c r="AQ909">
        <f>$C909*AQ908</f>
        <v/>
      </c>
      <c r="AR909">
        <f>$C909*AR908</f>
        <v/>
      </c>
      <c r="AS909">
        <f>$C909*AS908</f>
        <v/>
      </c>
      <c r="AT909">
        <f>$C909*AT908</f>
        <v/>
      </c>
      <c r="AU909">
        <f>$C909*AU908</f>
        <v/>
      </c>
      <c r="AV909">
        <f>$C909*AV908</f>
        <v/>
      </c>
      <c r="AW909">
        <f>$C909*AW908</f>
        <v/>
      </c>
      <c r="AX909">
        <f>$C909*AX908</f>
        <v/>
      </c>
      <c r="AY909">
        <f>$C909*AY908</f>
        <v/>
      </c>
      <c r="AZ909">
        <f>$C909*AZ908</f>
        <v/>
      </c>
      <c r="BA909">
        <f>$C909*BA908</f>
        <v/>
      </c>
      <c r="BB909">
        <f>$C909*BB908</f>
        <v/>
      </c>
      <c r="BC909">
        <f>$C909*BC908</f>
        <v/>
      </c>
      <c r="BD909">
        <f>$C909*BD908</f>
        <v/>
      </c>
      <c r="BE909">
        <f>$C909*BE908</f>
        <v/>
      </c>
      <c r="BF909">
        <f>$C909*BF908</f>
        <v/>
      </c>
      <c r="BG909">
        <f>$C909*BG908</f>
        <v/>
      </c>
      <c r="BH909">
        <f>$C909*BH908</f>
        <v/>
      </c>
      <c r="BI909">
        <f>$C909*BI908</f>
        <v/>
      </c>
      <c r="BJ909">
        <f>$C909*BJ908</f>
        <v/>
      </c>
      <c r="BK909">
        <f>$C909*BK908</f>
        <v/>
      </c>
      <c r="BL909">
        <f>$C909*BL908</f>
        <v/>
      </c>
      <c r="BM909">
        <f>$C909*BM908</f>
        <v/>
      </c>
      <c r="BN909">
        <f>$C909*BN908</f>
        <v/>
      </c>
      <c r="BO909">
        <f>$C909*BO908</f>
        <v/>
      </c>
      <c r="BP909">
        <f>$C909*BP908</f>
        <v/>
      </c>
      <c r="BQ909">
        <f>$C909*BQ908</f>
        <v/>
      </c>
      <c r="BR909">
        <f>$C909*BR908</f>
        <v/>
      </c>
      <c r="BS909">
        <f>$C909*BS908</f>
        <v/>
      </c>
      <c r="BT909">
        <f>$C909*BT908</f>
        <v/>
      </c>
      <c r="BU909">
        <f>$C909*BU908</f>
        <v/>
      </c>
      <c r="BV909">
        <f>$C909*BV908</f>
        <v/>
      </c>
      <c r="BW909">
        <f>$C909*BW908</f>
        <v/>
      </c>
      <c r="BX909">
        <f>$C909*BX908</f>
        <v/>
      </c>
      <c r="BY909">
        <f>$C909*BY908</f>
        <v/>
      </c>
      <c r="BZ909">
        <f>$C909*BZ908</f>
        <v/>
      </c>
      <c r="CA909">
        <f>$C909*CA908</f>
        <v/>
      </c>
      <c r="CB909">
        <f>$C909*CB908</f>
        <v/>
      </c>
      <c r="CC909">
        <f>$C909*CC908</f>
        <v/>
      </c>
      <c r="CD909">
        <f>$C909*CD908</f>
        <v/>
      </c>
      <c r="CE909">
        <f>$C909*CE908</f>
        <v/>
      </c>
      <c r="CF909">
        <f>$C909*CF908</f>
        <v/>
      </c>
      <c r="CG909">
        <f>$C909*CG908</f>
        <v/>
      </c>
      <c r="CH909">
        <f>$C909*CH908</f>
        <v/>
      </c>
      <c r="CI909">
        <f>$C909*CI908</f>
        <v/>
      </c>
      <c r="CJ909">
        <f>$C909*CJ908</f>
        <v/>
      </c>
      <c r="CK909">
        <f>$C909*CK908</f>
        <v/>
      </c>
      <c r="CL909">
        <f>$C909*CL908</f>
        <v/>
      </c>
      <c r="CM909">
        <f>$C909*CM908</f>
        <v/>
      </c>
      <c r="CN909">
        <f>$C909*CN908</f>
        <v/>
      </c>
      <c r="CO909">
        <f>$C909*CO908</f>
        <v/>
      </c>
      <c r="CP909">
        <f>$C909*CP908</f>
        <v/>
      </c>
      <c r="CQ909">
        <f>$C909*CQ908</f>
        <v/>
      </c>
      <c r="CR909">
        <f>$C909*CR908</f>
        <v/>
      </c>
      <c r="CS909">
        <f>$C909*CS908</f>
        <v/>
      </c>
      <c r="CT909">
        <f>$C909*CT908</f>
        <v/>
      </c>
      <c r="CU909">
        <f>$C909*CU908</f>
        <v/>
      </c>
      <c r="CV909">
        <f>$C909*CV908</f>
        <v/>
      </c>
      <c r="CW909">
        <f>$C909*CW908</f>
        <v/>
      </c>
      <c r="CX909">
        <f>$C909*CX908</f>
        <v/>
      </c>
      <c r="CY909">
        <f>$C909*CY908</f>
        <v/>
      </c>
      <c r="CZ909">
        <f>$C909*CZ908</f>
        <v/>
      </c>
      <c r="DA909">
        <f>$C909*DA908</f>
        <v/>
      </c>
      <c r="DB909">
        <f>$C909*DB908</f>
        <v/>
      </c>
      <c r="DC909">
        <f>$C909*DC908</f>
        <v/>
      </c>
    </row>
    <row r="910">
      <c r="B910" t="inlineStr">
        <is>
          <t>TSP-929</t>
        </is>
      </c>
      <c r="C910" t="inlineStr">
        <is>
          <t>No. of batches</t>
        </is>
      </c>
      <c r="D910">
        <f>IFERROR(INDEX(PP_Grid[#Data],$DD910,2),0)</f>
        <v/>
      </c>
      <c r="E910">
        <f>IFERROR(INDEX(PP_Grid[#Data],$DD910,3),0)</f>
        <v/>
      </c>
      <c r="F910">
        <f>IFERROR(INDEX(PP_Grid[#Data],$DD910,4),0)</f>
        <v/>
      </c>
      <c r="G910">
        <f>IFERROR(INDEX(PP_Grid[#Data],$DD910,5),0)</f>
        <v/>
      </c>
      <c r="H910">
        <f>IFERROR(INDEX(PP_Grid[#Data],$DD910,6),0)</f>
        <v/>
      </c>
      <c r="I910">
        <f>IFERROR(INDEX(PP_Grid[#Data],$DD910,7),0)</f>
        <v/>
      </c>
      <c r="J910">
        <f>IFERROR(INDEX(PP_Grid[#Data],$DD910,8),0)</f>
        <v/>
      </c>
      <c r="K910">
        <f>IFERROR(INDEX(PP_Grid[#Data],$DD910,9),0)</f>
        <v/>
      </c>
      <c r="L910">
        <f>IFERROR(INDEX(PP_Grid[#Data],$DD910,10),0)</f>
        <v/>
      </c>
      <c r="M910">
        <f>IFERROR(INDEX(PP_Grid[#Data],$DD910,11),0)</f>
        <v/>
      </c>
      <c r="N910">
        <f>IFERROR(INDEX(PP_Grid[#Data],$DD910,12),0)</f>
        <v/>
      </c>
      <c r="O910">
        <f>IFERROR(INDEX(PP_Grid[#Data],$DD910,13),0)</f>
        <v/>
      </c>
      <c r="P910">
        <f>IFERROR(INDEX(PP_Grid[#Data],$DD910,14),0)</f>
        <v/>
      </c>
      <c r="Q910">
        <f>IFERROR(INDEX(PP_Grid[#Data],$DD910,15),0)</f>
        <v/>
      </c>
      <c r="R910">
        <f>IFERROR(INDEX(PP_Grid[#Data],$DD910,16),0)</f>
        <v/>
      </c>
      <c r="S910">
        <f>IFERROR(INDEX(PP_Grid[#Data],$DD910,17),0)</f>
        <v/>
      </c>
      <c r="T910">
        <f>IFERROR(INDEX(PP_Grid[#Data],$DD910,18),0)</f>
        <v/>
      </c>
      <c r="U910">
        <f>IFERROR(INDEX(PP_Grid[#Data],$DD910,19),0)</f>
        <v/>
      </c>
      <c r="V910">
        <f>IFERROR(INDEX(PP_Grid[#Data],$DD910,20),0)</f>
        <v/>
      </c>
      <c r="W910">
        <f>IFERROR(INDEX(PP_Grid[#Data],$DD910,21),0)</f>
        <v/>
      </c>
      <c r="X910">
        <f>IFERROR(INDEX(PP_Grid[#Data],$DD910,22),0)</f>
        <v/>
      </c>
      <c r="Y910">
        <f>IFERROR(INDEX(PP_Grid[#Data],$DD910,23),0)</f>
        <v/>
      </c>
      <c r="Z910">
        <f>IFERROR(INDEX(PP_Grid[#Data],$DD910,24),0)</f>
        <v/>
      </c>
      <c r="AA910">
        <f>IFERROR(INDEX(PP_Grid[#Data],$DD910,25),0)</f>
        <v/>
      </c>
      <c r="AB910">
        <f>IFERROR(INDEX(PP_Grid[#Data],$DD910,26),0)</f>
        <v/>
      </c>
      <c r="AC910">
        <f>IFERROR(INDEX(PP_Grid[#Data],$DD910,27),0)</f>
        <v/>
      </c>
      <c r="AD910">
        <f>IFERROR(INDEX(PP_Grid[#Data],$DD910,28),0)</f>
        <v/>
      </c>
      <c r="AE910">
        <f>IFERROR(INDEX(PP_Grid[#Data],$DD910,29),0)</f>
        <v/>
      </c>
      <c r="AF910">
        <f>IFERROR(INDEX(PP_Grid[#Data],$DD910,30),0)</f>
        <v/>
      </c>
      <c r="AG910">
        <f>IFERROR(INDEX(PP_Grid[#Data],$DD910,31),0)</f>
        <v/>
      </c>
      <c r="AH910">
        <f>IFERROR(INDEX(PP_Grid[#Data],$DD910,32),0)</f>
        <v/>
      </c>
      <c r="AI910">
        <f>IFERROR(INDEX(PP_Grid[#Data],$DD910,33),0)</f>
        <v/>
      </c>
      <c r="AJ910">
        <f>IFERROR(INDEX(PP_Grid[#Data],$DD910,34),0)</f>
        <v/>
      </c>
      <c r="AK910">
        <f>IFERROR(INDEX(PP_Grid[#Data],$DD910,35),0)</f>
        <v/>
      </c>
      <c r="AL910">
        <f>IFERROR(INDEX(PP_Grid[#Data],$DD910,36),0)</f>
        <v/>
      </c>
      <c r="AM910">
        <f>IFERROR(INDEX(PP_Grid[#Data],$DD910,37),0)</f>
        <v/>
      </c>
      <c r="AN910">
        <f>IFERROR(INDEX(PP_Grid[#Data],$DD910,38),0)</f>
        <v/>
      </c>
      <c r="AO910">
        <f>IFERROR(INDEX(PP_Grid[#Data],$DD910,39),0)</f>
        <v/>
      </c>
      <c r="AP910">
        <f>IFERROR(INDEX(PP_Grid[#Data],$DD910,40),0)</f>
        <v/>
      </c>
      <c r="AQ910">
        <f>IFERROR(INDEX(PP_Grid[#Data],$DD910,41),0)</f>
        <v/>
      </c>
      <c r="AR910">
        <f>IFERROR(INDEX(PP_Grid[#Data],$DD910,42),0)</f>
        <v/>
      </c>
      <c r="AS910">
        <f>IFERROR(INDEX(PP_Grid[#Data],$DD910,43),0)</f>
        <v/>
      </c>
      <c r="AT910">
        <f>IFERROR(INDEX(PP_Grid[#Data],$DD910,44),0)</f>
        <v/>
      </c>
      <c r="AU910">
        <f>IFERROR(INDEX(PP_Grid[#Data],$DD910,45),0)</f>
        <v/>
      </c>
      <c r="AV910">
        <f>IFERROR(INDEX(PP_Grid[#Data],$DD910,46),0)</f>
        <v/>
      </c>
      <c r="AW910">
        <f>IFERROR(INDEX(PP_Grid[#Data],$DD910,47),0)</f>
        <v/>
      </c>
      <c r="AX910">
        <f>IFERROR(INDEX(PP_Grid[#Data],$DD910,48),0)</f>
        <v/>
      </c>
      <c r="AY910">
        <f>IFERROR(INDEX(PP_Grid[#Data],$DD910,49),0)</f>
        <v/>
      </c>
      <c r="AZ910">
        <f>IFERROR(INDEX(PP_Grid[#Data],$DD910,50),0)</f>
        <v/>
      </c>
      <c r="BA910">
        <f>IFERROR(INDEX(PP_Grid[#Data],$DD910,51),0)</f>
        <v/>
      </c>
      <c r="BB910">
        <f>IFERROR(INDEX(PP_Grid[#Data],$DD910,52),0)</f>
        <v/>
      </c>
      <c r="BC910">
        <f>IFERROR(INDEX(PP_Grid[#Data],$DD910,53),0)</f>
        <v/>
      </c>
      <c r="BD910">
        <f>IFERROR(INDEX(PP_Grid[#Data],$DD910,54),0)</f>
        <v/>
      </c>
      <c r="BE910">
        <f>IFERROR(INDEX(PP_Grid[#Data],$DD910,55),0)</f>
        <v/>
      </c>
      <c r="BF910">
        <f>IFERROR(INDEX(PP_Grid[#Data],$DD910,56),0)</f>
        <v/>
      </c>
      <c r="BG910">
        <f>IFERROR(INDEX(PP_Grid[#Data],$DD910,57),0)</f>
        <v/>
      </c>
      <c r="BH910">
        <f>IFERROR(INDEX(PP_Grid[#Data],$DD910,58),0)</f>
        <v/>
      </c>
      <c r="BI910">
        <f>IFERROR(INDEX(PP_Grid[#Data],$DD910,59),0)</f>
        <v/>
      </c>
      <c r="BJ910">
        <f>IFERROR(INDEX(PP_Grid[#Data],$DD910,60),0)</f>
        <v/>
      </c>
      <c r="BK910">
        <f>IFERROR(INDEX(PP_Grid[#Data],$DD910,61),0)</f>
        <v/>
      </c>
      <c r="BL910">
        <f>IFERROR(INDEX(PP_Grid[#Data],$DD910,62),0)</f>
        <v/>
      </c>
      <c r="BM910">
        <f>IFERROR(INDEX(PP_Grid[#Data],$DD910,63),0)</f>
        <v/>
      </c>
      <c r="BN910">
        <f>IFERROR(INDEX(PP_Grid[#Data],$DD910,64),0)</f>
        <v/>
      </c>
      <c r="BO910">
        <f>IFERROR(INDEX(PP_Grid[#Data],$DD910,65),0)</f>
        <v/>
      </c>
      <c r="BP910">
        <f>IFERROR(INDEX(PP_Grid[#Data],$DD910,66),0)</f>
        <v/>
      </c>
      <c r="BQ910">
        <f>IFERROR(INDEX(PP_Grid[#Data],$DD910,67),0)</f>
        <v/>
      </c>
      <c r="BR910">
        <f>IFERROR(INDEX(PP_Grid[#Data],$DD910,68),0)</f>
        <v/>
      </c>
      <c r="BS910">
        <f>IFERROR(INDEX(PP_Grid[#Data],$DD910,69),0)</f>
        <v/>
      </c>
      <c r="BT910">
        <f>IFERROR(INDEX(PP_Grid[#Data],$DD910,70),0)</f>
        <v/>
      </c>
      <c r="BU910">
        <f>IFERROR(INDEX(PP_Grid[#Data],$DD910,71),0)</f>
        <v/>
      </c>
      <c r="BV910">
        <f>IFERROR(INDEX(PP_Grid[#Data],$DD910,72),0)</f>
        <v/>
      </c>
      <c r="BW910">
        <f>IFERROR(INDEX(PP_Grid[#Data],$DD910,73),0)</f>
        <v/>
      </c>
      <c r="BX910">
        <f>IFERROR(INDEX(PP_Grid[#Data],$DD910,74),0)</f>
        <v/>
      </c>
      <c r="BY910">
        <f>IFERROR(INDEX(PP_Grid[#Data],$DD910,75),0)</f>
        <v/>
      </c>
      <c r="BZ910">
        <f>IFERROR(INDEX(PP_Grid[#Data],$DD910,76),0)</f>
        <v/>
      </c>
      <c r="CA910">
        <f>IFERROR(INDEX(PP_Grid[#Data],$DD910,77),0)</f>
        <v/>
      </c>
      <c r="CB910">
        <f>IFERROR(INDEX(PP_Grid[#Data],$DD910,78),0)</f>
        <v/>
      </c>
      <c r="CC910">
        <f>IFERROR(INDEX(PP_Grid[#Data],$DD910,79),0)</f>
        <v/>
      </c>
      <c r="CD910">
        <f>IFERROR(INDEX(PP_Grid[#Data],$DD910,80),0)</f>
        <v/>
      </c>
      <c r="CE910">
        <f>IFERROR(INDEX(PP_Grid[#Data],$DD910,81),0)</f>
        <v/>
      </c>
      <c r="CF910">
        <f>IFERROR(INDEX(PP_Grid[#Data],$DD910,82),0)</f>
        <v/>
      </c>
      <c r="CG910">
        <f>IFERROR(INDEX(PP_Grid[#Data],$DD910,83),0)</f>
        <v/>
      </c>
      <c r="CH910">
        <f>IFERROR(INDEX(PP_Grid[#Data],$DD910,84),0)</f>
        <v/>
      </c>
      <c r="CI910">
        <f>IFERROR(INDEX(PP_Grid[#Data],$DD910,85),0)</f>
        <v/>
      </c>
      <c r="CJ910">
        <f>IFERROR(INDEX(PP_Grid[#Data],$DD910,86),0)</f>
        <v/>
      </c>
      <c r="CK910">
        <f>IFERROR(INDEX(PP_Grid[#Data],$DD910,87),0)</f>
        <v/>
      </c>
      <c r="CL910">
        <f>IFERROR(INDEX(PP_Grid[#Data],$DD910,88),0)</f>
        <v/>
      </c>
      <c r="CM910">
        <f>IFERROR(INDEX(PP_Grid[#Data],$DD910,89),0)</f>
        <v/>
      </c>
      <c r="CN910">
        <f>IFERROR(INDEX(PP_Grid[#Data],$DD910,90),0)</f>
        <v/>
      </c>
      <c r="CO910">
        <f>IFERROR(INDEX(PP_Grid[#Data],$DD910,91),0)</f>
        <v/>
      </c>
      <c r="CP910">
        <f>IFERROR(INDEX(PP_Grid[#Data],$DD910,92),0)</f>
        <v/>
      </c>
      <c r="CQ910">
        <f>IFERROR(INDEX(PP_Grid[#Data],$DD910,93),0)</f>
        <v/>
      </c>
      <c r="CR910">
        <f>IFERROR(INDEX(PP_Grid[#Data],$DD910,94),0)</f>
        <v/>
      </c>
      <c r="CS910">
        <f>IFERROR(INDEX(PP_Grid[#Data],$DD910,95),0)</f>
        <v/>
      </c>
      <c r="CT910">
        <f>IFERROR(INDEX(PP_Grid[#Data],$DD910,96),0)</f>
        <v/>
      </c>
      <c r="CU910">
        <f>IFERROR(INDEX(PP_Grid[#Data],$DD910,97),0)</f>
        <v/>
      </c>
      <c r="CV910">
        <f>IFERROR(INDEX(PP_Grid[#Data],$DD910,98),0)</f>
        <v/>
      </c>
      <c r="CW910">
        <f>IFERROR(INDEX(PP_Grid[#Data],$DD910,99),0)</f>
        <v/>
      </c>
      <c r="CX910">
        <f>IFERROR(INDEX(PP_Grid[#Data],$DD910,100),0)</f>
        <v/>
      </c>
      <c r="CY910">
        <f>IFERROR(INDEX(PP_Grid[#Data],$DD910,101),0)</f>
        <v/>
      </c>
      <c r="CZ910">
        <f>IFERROR(INDEX(PP_Grid[#Data],$DD910,102),0)</f>
        <v/>
      </c>
      <c r="DA910">
        <f>IFERROR(INDEX(PP_Grid[#Data],$DD910,103),0)</f>
        <v/>
      </c>
      <c r="DB910">
        <f>IFERROR(INDEX(PP_Grid[#Data],$DD910,104),0)</f>
        <v/>
      </c>
      <c r="DC910">
        <f>IFERROR(INDEX(PP_Grid[#Data],$DD910,105),0)</f>
        <v/>
      </c>
      <c r="DD910" s="7">
        <f>IFERROR(MATCH($B910,PP_Grid[Intermediate],0),99999)</f>
        <v/>
      </c>
    </row>
    <row r="911">
      <c r="B911" t="inlineStr">
        <is>
          <t>使用量(kg)</t>
        </is>
      </c>
      <c r="C911">
        <f>SUMIFS(M_BOM[RM_Qty_Per_Batch],M_BOM[Intermediate],$B910,M_BOM[Part Name],$A905)</f>
        <v/>
      </c>
      <c r="D911">
        <f>$C911*D910</f>
        <v/>
      </c>
      <c r="E911">
        <f>$C911*E910</f>
        <v/>
      </c>
      <c r="F911">
        <f>$C911*F910</f>
        <v/>
      </c>
      <c r="G911">
        <f>$C911*G910</f>
        <v/>
      </c>
      <c r="H911">
        <f>$C911*H910</f>
        <v/>
      </c>
      <c r="I911">
        <f>$C911*I910</f>
        <v/>
      </c>
      <c r="J911">
        <f>$C911*J910</f>
        <v/>
      </c>
      <c r="K911">
        <f>$C911*K910</f>
        <v/>
      </c>
      <c r="L911">
        <f>$C911*L910</f>
        <v/>
      </c>
      <c r="M911">
        <f>$C911*M910</f>
        <v/>
      </c>
      <c r="N911">
        <f>$C911*N910</f>
        <v/>
      </c>
      <c r="O911">
        <f>$C911*O910</f>
        <v/>
      </c>
      <c r="P911">
        <f>$C911*P910</f>
        <v/>
      </c>
      <c r="Q911">
        <f>$C911*Q910</f>
        <v/>
      </c>
      <c r="R911">
        <f>$C911*R910</f>
        <v/>
      </c>
      <c r="S911">
        <f>$C911*S910</f>
        <v/>
      </c>
      <c r="T911">
        <f>$C911*T910</f>
        <v/>
      </c>
      <c r="U911">
        <f>$C911*U910</f>
        <v/>
      </c>
      <c r="V911">
        <f>$C911*V910</f>
        <v/>
      </c>
      <c r="W911">
        <f>$C911*W910</f>
        <v/>
      </c>
      <c r="X911">
        <f>$C911*X910</f>
        <v/>
      </c>
      <c r="Y911">
        <f>$C911*Y910</f>
        <v/>
      </c>
      <c r="Z911">
        <f>$C911*Z910</f>
        <v/>
      </c>
      <c r="AA911">
        <f>$C911*AA910</f>
        <v/>
      </c>
      <c r="AB911">
        <f>$C911*AB910</f>
        <v/>
      </c>
      <c r="AC911">
        <f>$C911*AC910</f>
        <v/>
      </c>
      <c r="AD911">
        <f>$C911*AD910</f>
        <v/>
      </c>
      <c r="AE911">
        <f>$C911*AE910</f>
        <v/>
      </c>
      <c r="AF911">
        <f>$C911*AF910</f>
        <v/>
      </c>
      <c r="AG911">
        <f>$C911*AG910</f>
        <v/>
      </c>
      <c r="AH911">
        <f>$C911*AH910</f>
        <v/>
      </c>
      <c r="AI911">
        <f>$C911*AI910</f>
        <v/>
      </c>
      <c r="AJ911">
        <f>$C911*AJ910</f>
        <v/>
      </c>
      <c r="AK911">
        <f>$C911*AK910</f>
        <v/>
      </c>
      <c r="AL911">
        <f>$C911*AL910</f>
        <v/>
      </c>
      <c r="AM911">
        <f>$C911*AM910</f>
        <v/>
      </c>
      <c r="AN911">
        <f>$C911*AN910</f>
        <v/>
      </c>
      <c r="AO911">
        <f>$C911*AO910</f>
        <v/>
      </c>
      <c r="AP911">
        <f>$C911*AP910</f>
        <v/>
      </c>
      <c r="AQ911">
        <f>$C911*AQ910</f>
        <v/>
      </c>
      <c r="AR911">
        <f>$C911*AR910</f>
        <v/>
      </c>
      <c r="AS911">
        <f>$C911*AS910</f>
        <v/>
      </c>
      <c r="AT911">
        <f>$C911*AT910</f>
        <v/>
      </c>
      <c r="AU911">
        <f>$C911*AU910</f>
        <v/>
      </c>
      <c r="AV911">
        <f>$C911*AV910</f>
        <v/>
      </c>
      <c r="AW911">
        <f>$C911*AW910</f>
        <v/>
      </c>
      <c r="AX911">
        <f>$C911*AX910</f>
        <v/>
      </c>
      <c r="AY911">
        <f>$C911*AY910</f>
        <v/>
      </c>
      <c r="AZ911">
        <f>$C911*AZ910</f>
        <v/>
      </c>
      <c r="BA911">
        <f>$C911*BA910</f>
        <v/>
      </c>
      <c r="BB911">
        <f>$C911*BB910</f>
        <v/>
      </c>
      <c r="BC911">
        <f>$C911*BC910</f>
        <v/>
      </c>
      <c r="BD911">
        <f>$C911*BD910</f>
        <v/>
      </c>
      <c r="BE911">
        <f>$C911*BE910</f>
        <v/>
      </c>
      <c r="BF911">
        <f>$C911*BF910</f>
        <v/>
      </c>
      <c r="BG911">
        <f>$C911*BG910</f>
        <v/>
      </c>
      <c r="BH911">
        <f>$C911*BH910</f>
        <v/>
      </c>
      <c r="BI911">
        <f>$C911*BI910</f>
        <v/>
      </c>
      <c r="BJ911">
        <f>$C911*BJ910</f>
        <v/>
      </c>
      <c r="BK911">
        <f>$C911*BK910</f>
        <v/>
      </c>
      <c r="BL911">
        <f>$C911*BL910</f>
        <v/>
      </c>
      <c r="BM911">
        <f>$C911*BM910</f>
        <v/>
      </c>
      <c r="BN911">
        <f>$C911*BN910</f>
        <v/>
      </c>
      <c r="BO911">
        <f>$C911*BO910</f>
        <v/>
      </c>
      <c r="BP911">
        <f>$C911*BP910</f>
        <v/>
      </c>
      <c r="BQ911">
        <f>$C911*BQ910</f>
        <v/>
      </c>
      <c r="BR911">
        <f>$C911*BR910</f>
        <v/>
      </c>
      <c r="BS911">
        <f>$C911*BS910</f>
        <v/>
      </c>
      <c r="BT911">
        <f>$C911*BT910</f>
        <v/>
      </c>
      <c r="BU911">
        <f>$C911*BU910</f>
        <v/>
      </c>
      <c r="BV911">
        <f>$C911*BV910</f>
        <v/>
      </c>
      <c r="BW911">
        <f>$C911*BW910</f>
        <v/>
      </c>
      <c r="BX911">
        <f>$C911*BX910</f>
        <v/>
      </c>
      <c r="BY911">
        <f>$C911*BY910</f>
        <v/>
      </c>
      <c r="BZ911">
        <f>$C911*BZ910</f>
        <v/>
      </c>
      <c r="CA911">
        <f>$C911*CA910</f>
        <v/>
      </c>
      <c r="CB911">
        <f>$C911*CB910</f>
        <v/>
      </c>
      <c r="CC911">
        <f>$C911*CC910</f>
        <v/>
      </c>
      <c r="CD911">
        <f>$C911*CD910</f>
        <v/>
      </c>
      <c r="CE911">
        <f>$C911*CE910</f>
        <v/>
      </c>
      <c r="CF911">
        <f>$C911*CF910</f>
        <v/>
      </c>
      <c r="CG911">
        <f>$C911*CG910</f>
        <v/>
      </c>
      <c r="CH911">
        <f>$C911*CH910</f>
        <v/>
      </c>
      <c r="CI911">
        <f>$C911*CI910</f>
        <v/>
      </c>
      <c r="CJ911">
        <f>$C911*CJ910</f>
        <v/>
      </c>
      <c r="CK911">
        <f>$C911*CK910</f>
        <v/>
      </c>
      <c r="CL911">
        <f>$C911*CL910</f>
        <v/>
      </c>
      <c r="CM911">
        <f>$C911*CM910</f>
        <v/>
      </c>
      <c r="CN911">
        <f>$C911*CN910</f>
        <v/>
      </c>
      <c r="CO911">
        <f>$C911*CO910</f>
        <v/>
      </c>
      <c r="CP911">
        <f>$C911*CP910</f>
        <v/>
      </c>
      <c r="CQ911">
        <f>$C911*CQ910</f>
        <v/>
      </c>
      <c r="CR911">
        <f>$C911*CR910</f>
        <v/>
      </c>
      <c r="CS911">
        <f>$C911*CS910</f>
        <v/>
      </c>
      <c r="CT911">
        <f>$C911*CT910</f>
        <v/>
      </c>
      <c r="CU911">
        <f>$C911*CU910</f>
        <v/>
      </c>
      <c r="CV911">
        <f>$C911*CV910</f>
        <v/>
      </c>
      <c r="CW911">
        <f>$C911*CW910</f>
        <v/>
      </c>
      <c r="CX911">
        <f>$C911*CX910</f>
        <v/>
      </c>
      <c r="CY911">
        <f>$C911*CY910</f>
        <v/>
      </c>
      <c r="CZ911">
        <f>$C911*CZ910</f>
        <v/>
      </c>
      <c r="DA911">
        <f>$C911*DA910</f>
        <v/>
      </c>
      <c r="DB911">
        <f>$C911*DB910</f>
        <v/>
      </c>
      <c r="DC911">
        <f>$C911*DC910</f>
        <v/>
      </c>
    </row>
    <row r="912">
      <c r="B912" t="inlineStr">
        <is>
          <t>TSP-930</t>
        </is>
      </c>
      <c r="C912" t="inlineStr">
        <is>
          <t>No. of batches</t>
        </is>
      </c>
      <c r="D912">
        <f>IFERROR(INDEX(PP_Grid[#Data],$DD912,2),0)</f>
        <v/>
      </c>
      <c r="E912">
        <f>IFERROR(INDEX(PP_Grid[#Data],$DD912,3),0)</f>
        <v/>
      </c>
      <c r="F912">
        <f>IFERROR(INDEX(PP_Grid[#Data],$DD912,4),0)</f>
        <v/>
      </c>
      <c r="G912">
        <f>IFERROR(INDEX(PP_Grid[#Data],$DD912,5),0)</f>
        <v/>
      </c>
      <c r="H912">
        <f>IFERROR(INDEX(PP_Grid[#Data],$DD912,6),0)</f>
        <v/>
      </c>
      <c r="I912">
        <f>IFERROR(INDEX(PP_Grid[#Data],$DD912,7),0)</f>
        <v/>
      </c>
      <c r="J912">
        <f>IFERROR(INDEX(PP_Grid[#Data],$DD912,8),0)</f>
        <v/>
      </c>
      <c r="K912">
        <f>IFERROR(INDEX(PP_Grid[#Data],$DD912,9),0)</f>
        <v/>
      </c>
      <c r="L912">
        <f>IFERROR(INDEX(PP_Grid[#Data],$DD912,10),0)</f>
        <v/>
      </c>
      <c r="M912">
        <f>IFERROR(INDEX(PP_Grid[#Data],$DD912,11),0)</f>
        <v/>
      </c>
      <c r="N912">
        <f>IFERROR(INDEX(PP_Grid[#Data],$DD912,12),0)</f>
        <v/>
      </c>
      <c r="O912">
        <f>IFERROR(INDEX(PP_Grid[#Data],$DD912,13),0)</f>
        <v/>
      </c>
      <c r="P912">
        <f>IFERROR(INDEX(PP_Grid[#Data],$DD912,14),0)</f>
        <v/>
      </c>
      <c r="Q912">
        <f>IFERROR(INDEX(PP_Grid[#Data],$DD912,15),0)</f>
        <v/>
      </c>
      <c r="R912">
        <f>IFERROR(INDEX(PP_Grid[#Data],$DD912,16),0)</f>
        <v/>
      </c>
      <c r="S912">
        <f>IFERROR(INDEX(PP_Grid[#Data],$DD912,17),0)</f>
        <v/>
      </c>
      <c r="T912">
        <f>IFERROR(INDEX(PP_Grid[#Data],$DD912,18),0)</f>
        <v/>
      </c>
      <c r="U912">
        <f>IFERROR(INDEX(PP_Grid[#Data],$DD912,19),0)</f>
        <v/>
      </c>
      <c r="V912">
        <f>IFERROR(INDEX(PP_Grid[#Data],$DD912,20),0)</f>
        <v/>
      </c>
      <c r="W912">
        <f>IFERROR(INDEX(PP_Grid[#Data],$DD912,21),0)</f>
        <v/>
      </c>
      <c r="X912">
        <f>IFERROR(INDEX(PP_Grid[#Data],$DD912,22),0)</f>
        <v/>
      </c>
      <c r="Y912">
        <f>IFERROR(INDEX(PP_Grid[#Data],$DD912,23),0)</f>
        <v/>
      </c>
      <c r="Z912">
        <f>IFERROR(INDEX(PP_Grid[#Data],$DD912,24),0)</f>
        <v/>
      </c>
      <c r="AA912">
        <f>IFERROR(INDEX(PP_Grid[#Data],$DD912,25),0)</f>
        <v/>
      </c>
      <c r="AB912">
        <f>IFERROR(INDEX(PP_Grid[#Data],$DD912,26),0)</f>
        <v/>
      </c>
      <c r="AC912">
        <f>IFERROR(INDEX(PP_Grid[#Data],$DD912,27),0)</f>
        <v/>
      </c>
      <c r="AD912">
        <f>IFERROR(INDEX(PP_Grid[#Data],$DD912,28),0)</f>
        <v/>
      </c>
      <c r="AE912">
        <f>IFERROR(INDEX(PP_Grid[#Data],$DD912,29),0)</f>
        <v/>
      </c>
      <c r="AF912">
        <f>IFERROR(INDEX(PP_Grid[#Data],$DD912,30),0)</f>
        <v/>
      </c>
      <c r="AG912">
        <f>IFERROR(INDEX(PP_Grid[#Data],$DD912,31),0)</f>
        <v/>
      </c>
      <c r="AH912">
        <f>IFERROR(INDEX(PP_Grid[#Data],$DD912,32),0)</f>
        <v/>
      </c>
      <c r="AI912">
        <f>IFERROR(INDEX(PP_Grid[#Data],$DD912,33),0)</f>
        <v/>
      </c>
      <c r="AJ912">
        <f>IFERROR(INDEX(PP_Grid[#Data],$DD912,34),0)</f>
        <v/>
      </c>
      <c r="AK912">
        <f>IFERROR(INDEX(PP_Grid[#Data],$DD912,35),0)</f>
        <v/>
      </c>
      <c r="AL912">
        <f>IFERROR(INDEX(PP_Grid[#Data],$DD912,36),0)</f>
        <v/>
      </c>
      <c r="AM912">
        <f>IFERROR(INDEX(PP_Grid[#Data],$DD912,37),0)</f>
        <v/>
      </c>
      <c r="AN912">
        <f>IFERROR(INDEX(PP_Grid[#Data],$DD912,38),0)</f>
        <v/>
      </c>
      <c r="AO912">
        <f>IFERROR(INDEX(PP_Grid[#Data],$DD912,39),0)</f>
        <v/>
      </c>
      <c r="AP912">
        <f>IFERROR(INDEX(PP_Grid[#Data],$DD912,40),0)</f>
        <v/>
      </c>
      <c r="AQ912">
        <f>IFERROR(INDEX(PP_Grid[#Data],$DD912,41),0)</f>
        <v/>
      </c>
      <c r="AR912">
        <f>IFERROR(INDEX(PP_Grid[#Data],$DD912,42),0)</f>
        <v/>
      </c>
      <c r="AS912">
        <f>IFERROR(INDEX(PP_Grid[#Data],$DD912,43),0)</f>
        <v/>
      </c>
      <c r="AT912">
        <f>IFERROR(INDEX(PP_Grid[#Data],$DD912,44),0)</f>
        <v/>
      </c>
      <c r="AU912">
        <f>IFERROR(INDEX(PP_Grid[#Data],$DD912,45),0)</f>
        <v/>
      </c>
      <c r="AV912">
        <f>IFERROR(INDEX(PP_Grid[#Data],$DD912,46),0)</f>
        <v/>
      </c>
      <c r="AW912">
        <f>IFERROR(INDEX(PP_Grid[#Data],$DD912,47),0)</f>
        <v/>
      </c>
      <c r="AX912">
        <f>IFERROR(INDEX(PP_Grid[#Data],$DD912,48),0)</f>
        <v/>
      </c>
      <c r="AY912">
        <f>IFERROR(INDEX(PP_Grid[#Data],$DD912,49),0)</f>
        <v/>
      </c>
      <c r="AZ912">
        <f>IFERROR(INDEX(PP_Grid[#Data],$DD912,50),0)</f>
        <v/>
      </c>
      <c r="BA912">
        <f>IFERROR(INDEX(PP_Grid[#Data],$DD912,51),0)</f>
        <v/>
      </c>
      <c r="BB912">
        <f>IFERROR(INDEX(PP_Grid[#Data],$DD912,52),0)</f>
        <v/>
      </c>
      <c r="BC912">
        <f>IFERROR(INDEX(PP_Grid[#Data],$DD912,53),0)</f>
        <v/>
      </c>
      <c r="BD912">
        <f>IFERROR(INDEX(PP_Grid[#Data],$DD912,54),0)</f>
        <v/>
      </c>
      <c r="BE912">
        <f>IFERROR(INDEX(PP_Grid[#Data],$DD912,55),0)</f>
        <v/>
      </c>
      <c r="BF912">
        <f>IFERROR(INDEX(PP_Grid[#Data],$DD912,56),0)</f>
        <v/>
      </c>
      <c r="BG912">
        <f>IFERROR(INDEX(PP_Grid[#Data],$DD912,57),0)</f>
        <v/>
      </c>
      <c r="BH912">
        <f>IFERROR(INDEX(PP_Grid[#Data],$DD912,58),0)</f>
        <v/>
      </c>
      <c r="BI912">
        <f>IFERROR(INDEX(PP_Grid[#Data],$DD912,59),0)</f>
        <v/>
      </c>
      <c r="BJ912">
        <f>IFERROR(INDEX(PP_Grid[#Data],$DD912,60),0)</f>
        <v/>
      </c>
      <c r="BK912">
        <f>IFERROR(INDEX(PP_Grid[#Data],$DD912,61),0)</f>
        <v/>
      </c>
      <c r="BL912">
        <f>IFERROR(INDEX(PP_Grid[#Data],$DD912,62),0)</f>
        <v/>
      </c>
      <c r="BM912">
        <f>IFERROR(INDEX(PP_Grid[#Data],$DD912,63),0)</f>
        <v/>
      </c>
      <c r="BN912">
        <f>IFERROR(INDEX(PP_Grid[#Data],$DD912,64),0)</f>
        <v/>
      </c>
      <c r="BO912">
        <f>IFERROR(INDEX(PP_Grid[#Data],$DD912,65),0)</f>
        <v/>
      </c>
      <c r="BP912">
        <f>IFERROR(INDEX(PP_Grid[#Data],$DD912,66),0)</f>
        <v/>
      </c>
      <c r="BQ912">
        <f>IFERROR(INDEX(PP_Grid[#Data],$DD912,67),0)</f>
        <v/>
      </c>
      <c r="BR912">
        <f>IFERROR(INDEX(PP_Grid[#Data],$DD912,68),0)</f>
        <v/>
      </c>
      <c r="BS912">
        <f>IFERROR(INDEX(PP_Grid[#Data],$DD912,69),0)</f>
        <v/>
      </c>
      <c r="BT912">
        <f>IFERROR(INDEX(PP_Grid[#Data],$DD912,70),0)</f>
        <v/>
      </c>
      <c r="BU912">
        <f>IFERROR(INDEX(PP_Grid[#Data],$DD912,71),0)</f>
        <v/>
      </c>
      <c r="BV912">
        <f>IFERROR(INDEX(PP_Grid[#Data],$DD912,72),0)</f>
        <v/>
      </c>
      <c r="BW912">
        <f>IFERROR(INDEX(PP_Grid[#Data],$DD912,73),0)</f>
        <v/>
      </c>
      <c r="BX912">
        <f>IFERROR(INDEX(PP_Grid[#Data],$DD912,74),0)</f>
        <v/>
      </c>
      <c r="BY912">
        <f>IFERROR(INDEX(PP_Grid[#Data],$DD912,75),0)</f>
        <v/>
      </c>
      <c r="BZ912">
        <f>IFERROR(INDEX(PP_Grid[#Data],$DD912,76),0)</f>
        <v/>
      </c>
      <c r="CA912">
        <f>IFERROR(INDEX(PP_Grid[#Data],$DD912,77),0)</f>
        <v/>
      </c>
      <c r="CB912">
        <f>IFERROR(INDEX(PP_Grid[#Data],$DD912,78),0)</f>
        <v/>
      </c>
      <c r="CC912">
        <f>IFERROR(INDEX(PP_Grid[#Data],$DD912,79),0)</f>
        <v/>
      </c>
      <c r="CD912">
        <f>IFERROR(INDEX(PP_Grid[#Data],$DD912,80),0)</f>
        <v/>
      </c>
      <c r="CE912">
        <f>IFERROR(INDEX(PP_Grid[#Data],$DD912,81),0)</f>
        <v/>
      </c>
      <c r="CF912">
        <f>IFERROR(INDEX(PP_Grid[#Data],$DD912,82),0)</f>
        <v/>
      </c>
      <c r="CG912">
        <f>IFERROR(INDEX(PP_Grid[#Data],$DD912,83),0)</f>
        <v/>
      </c>
      <c r="CH912">
        <f>IFERROR(INDEX(PP_Grid[#Data],$DD912,84),0)</f>
        <v/>
      </c>
      <c r="CI912">
        <f>IFERROR(INDEX(PP_Grid[#Data],$DD912,85),0)</f>
        <v/>
      </c>
      <c r="CJ912">
        <f>IFERROR(INDEX(PP_Grid[#Data],$DD912,86),0)</f>
        <v/>
      </c>
      <c r="CK912">
        <f>IFERROR(INDEX(PP_Grid[#Data],$DD912,87),0)</f>
        <v/>
      </c>
      <c r="CL912">
        <f>IFERROR(INDEX(PP_Grid[#Data],$DD912,88),0)</f>
        <v/>
      </c>
      <c r="CM912">
        <f>IFERROR(INDEX(PP_Grid[#Data],$DD912,89),0)</f>
        <v/>
      </c>
      <c r="CN912">
        <f>IFERROR(INDEX(PP_Grid[#Data],$DD912,90),0)</f>
        <v/>
      </c>
      <c r="CO912">
        <f>IFERROR(INDEX(PP_Grid[#Data],$DD912,91),0)</f>
        <v/>
      </c>
      <c r="CP912">
        <f>IFERROR(INDEX(PP_Grid[#Data],$DD912,92),0)</f>
        <v/>
      </c>
      <c r="CQ912">
        <f>IFERROR(INDEX(PP_Grid[#Data],$DD912,93),0)</f>
        <v/>
      </c>
      <c r="CR912">
        <f>IFERROR(INDEX(PP_Grid[#Data],$DD912,94),0)</f>
        <v/>
      </c>
      <c r="CS912">
        <f>IFERROR(INDEX(PP_Grid[#Data],$DD912,95),0)</f>
        <v/>
      </c>
      <c r="CT912">
        <f>IFERROR(INDEX(PP_Grid[#Data],$DD912,96),0)</f>
        <v/>
      </c>
      <c r="CU912">
        <f>IFERROR(INDEX(PP_Grid[#Data],$DD912,97),0)</f>
        <v/>
      </c>
      <c r="CV912">
        <f>IFERROR(INDEX(PP_Grid[#Data],$DD912,98),0)</f>
        <v/>
      </c>
      <c r="CW912">
        <f>IFERROR(INDEX(PP_Grid[#Data],$DD912,99),0)</f>
        <v/>
      </c>
      <c r="CX912">
        <f>IFERROR(INDEX(PP_Grid[#Data],$DD912,100),0)</f>
        <v/>
      </c>
      <c r="CY912">
        <f>IFERROR(INDEX(PP_Grid[#Data],$DD912,101),0)</f>
        <v/>
      </c>
      <c r="CZ912">
        <f>IFERROR(INDEX(PP_Grid[#Data],$DD912,102),0)</f>
        <v/>
      </c>
      <c r="DA912">
        <f>IFERROR(INDEX(PP_Grid[#Data],$DD912,103),0)</f>
        <v/>
      </c>
      <c r="DB912">
        <f>IFERROR(INDEX(PP_Grid[#Data],$DD912,104),0)</f>
        <v/>
      </c>
      <c r="DC912">
        <f>IFERROR(INDEX(PP_Grid[#Data],$DD912,105),0)</f>
        <v/>
      </c>
      <c r="DD912" s="7">
        <f>IFERROR(MATCH($B912,PP_Grid[Intermediate],0),99999)</f>
        <v/>
      </c>
    </row>
    <row r="913">
      <c r="B913" t="inlineStr">
        <is>
          <t>使用量(kg)</t>
        </is>
      </c>
      <c r="C913">
        <f>SUMIFS(M_BOM[RM_Qty_Per_Batch],M_BOM[Intermediate],$B912,M_BOM[Part Name],$A905)</f>
        <v/>
      </c>
      <c r="D913">
        <f>$C913*D912</f>
        <v/>
      </c>
      <c r="E913">
        <f>$C913*E912</f>
        <v/>
      </c>
      <c r="F913">
        <f>$C913*F912</f>
        <v/>
      </c>
      <c r="G913">
        <f>$C913*G912</f>
        <v/>
      </c>
      <c r="H913">
        <f>$C913*H912</f>
        <v/>
      </c>
      <c r="I913">
        <f>$C913*I912</f>
        <v/>
      </c>
      <c r="J913">
        <f>$C913*J912</f>
        <v/>
      </c>
      <c r="K913">
        <f>$C913*K912</f>
        <v/>
      </c>
      <c r="L913">
        <f>$C913*L912</f>
        <v/>
      </c>
      <c r="M913">
        <f>$C913*M912</f>
        <v/>
      </c>
      <c r="N913">
        <f>$C913*N912</f>
        <v/>
      </c>
      <c r="O913">
        <f>$C913*O912</f>
        <v/>
      </c>
      <c r="P913">
        <f>$C913*P912</f>
        <v/>
      </c>
      <c r="Q913">
        <f>$C913*Q912</f>
        <v/>
      </c>
      <c r="R913">
        <f>$C913*R912</f>
        <v/>
      </c>
      <c r="S913">
        <f>$C913*S912</f>
        <v/>
      </c>
      <c r="T913">
        <f>$C913*T912</f>
        <v/>
      </c>
      <c r="U913">
        <f>$C913*U912</f>
        <v/>
      </c>
      <c r="V913">
        <f>$C913*V912</f>
        <v/>
      </c>
      <c r="W913">
        <f>$C913*W912</f>
        <v/>
      </c>
      <c r="X913">
        <f>$C913*X912</f>
        <v/>
      </c>
      <c r="Y913">
        <f>$C913*Y912</f>
        <v/>
      </c>
      <c r="Z913">
        <f>$C913*Z912</f>
        <v/>
      </c>
      <c r="AA913">
        <f>$C913*AA912</f>
        <v/>
      </c>
      <c r="AB913">
        <f>$C913*AB912</f>
        <v/>
      </c>
      <c r="AC913">
        <f>$C913*AC912</f>
        <v/>
      </c>
      <c r="AD913">
        <f>$C913*AD912</f>
        <v/>
      </c>
      <c r="AE913">
        <f>$C913*AE912</f>
        <v/>
      </c>
      <c r="AF913">
        <f>$C913*AF912</f>
        <v/>
      </c>
      <c r="AG913">
        <f>$C913*AG912</f>
        <v/>
      </c>
      <c r="AH913">
        <f>$C913*AH912</f>
        <v/>
      </c>
      <c r="AI913">
        <f>$C913*AI912</f>
        <v/>
      </c>
      <c r="AJ913">
        <f>$C913*AJ912</f>
        <v/>
      </c>
      <c r="AK913">
        <f>$C913*AK912</f>
        <v/>
      </c>
      <c r="AL913">
        <f>$C913*AL912</f>
        <v/>
      </c>
      <c r="AM913">
        <f>$C913*AM912</f>
        <v/>
      </c>
      <c r="AN913">
        <f>$C913*AN912</f>
        <v/>
      </c>
      <c r="AO913">
        <f>$C913*AO912</f>
        <v/>
      </c>
      <c r="AP913">
        <f>$C913*AP912</f>
        <v/>
      </c>
      <c r="AQ913">
        <f>$C913*AQ912</f>
        <v/>
      </c>
      <c r="AR913">
        <f>$C913*AR912</f>
        <v/>
      </c>
      <c r="AS913">
        <f>$C913*AS912</f>
        <v/>
      </c>
      <c r="AT913">
        <f>$C913*AT912</f>
        <v/>
      </c>
      <c r="AU913">
        <f>$C913*AU912</f>
        <v/>
      </c>
      <c r="AV913">
        <f>$C913*AV912</f>
        <v/>
      </c>
      <c r="AW913">
        <f>$C913*AW912</f>
        <v/>
      </c>
      <c r="AX913">
        <f>$C913*AX912</f>
        <v/>
      </c>
      <c r="AY913">
        <f>$C913*AY912</f>
        <v/>
      </c>
      <c r="AZ913">
        <f>$C913*AZ912</f>
        <v/>
      </c>
      <c r="BA913">
        <f>$C913*BA912</f>
        <v/>
      </c>
      <c r="BB913">
        <f>$C913*BB912</f>
        <v/>
      </c>
      <c r="BC913">
        <f>$C913*BC912</f>
        <v/>
      </c>
      <c r="BD913">
        <f>$C913*BD912</f>
        <v/>
      </c>
      <c r="BE913">
        <f>$C913*BE912</f>
        <v/>
      </c>
      <c r="BF913">
        <f>$C913*BF912</f>
        <v/>
      </c>
      <c r="BG913">
        <f>$C913*BG912</f>
        <v/>
      </c>
      <c r="BH913">
        <f>$C913*BH912</f>
        <v/>
      </c>
      <c r="BI913">
        <f>$C913*BI912</f>
        <v/>
      </c>
      <c r="BJ913">
        <f>$C913*BJ912</f>
        <v/>
      </c>
      <c r="BK913">
        <f>$C913*BK912</f>
        <v/>
      </c>
      <c r="BL913">
        <f>$C913*BL912</f>
        <v/>
      </c>
      <c r="BM913">
        <f>$C913*BM912</f>
        <v/>
      </c>
      <c r="BN913">
        <f>$C913*BN912</f>
        <v/>
      </c>
      <c r="BO913">
        <f>$C913*BO912</f>
        <v/>
      </c>
      <c r="BP913">
        <f>$C913*BP912</f>
        <v/>
      </c>
      <c r="BQ913">
        <f>$C913*BQ912</f>
        <v/>
      </c>
      <c r="BR913">
        <f>$C913*BR912</f>
        <v/>
      </c>
      <c r="BS913">
        <f>$C913*BS912</f>
        <v/>
      </c>
      <c r="BT913">
        <f>$C913*BT912</f>
        <v/>
      </c>
      <c r="BU913">
        <f>$C913*BU912</f>
        <v/>
      </c>
      <c r="BV913">
        <f>$C913*BV912</f>
        <v/>
      </c>
      <c r="BW913">
        <f>$C913*BW912</f>
        <v/>
      </c>
      <c r="BX913">
        <f>$C913*BX912</f>
        <v/>
      </c>
      <c r="BY913">
        <f>$C913*BY912</f>
        <v/>
      </c>
      <c r="BZ913">
        <f>$C913*BZ912</f>
        <v/>
      </c>
      <c r="CA913">
        <f>$C913*CA912</f>
        <v/>
      </c>
      <c r="CB913">
        <f>$C913*CB912</f>
        <v/>
      </c>
      <c r="CC913">
        <f>$C913*CC912</f>
        <v/>
      </c>
      <c r="CD913">
        <f>$C913*CD912</f>
        <v/>
      </c>
      <c r="CE913">
        <f>$C913*CE912</f>
        <v/>
      </c>
      <c r="CF913">
        <f>$C913*CF912</f>
        <v/>
      </c>
      <c r="CG913">
        <f>$C913*CG912</f>
        <v/>
      </c>
      <c r="CH913">
        <f>$C913*CH912</f>
        <v/>
      </c>
      <c r="CI913">
        <f>$C913*CI912</f>
        <v/>
      </c>
      <c r="CJ913">
        <f>$C913*CJ912</f>
        <v/>
      </c>
      <c r="CK913">
        <f>$C913*CK912</f>
        <v/>
      </c>
      <c r="CL913">
        <f>$C913*CL912</f>
        <v/>
      </c>
      <c r="CM913">
        <f>$C913*CM912</f>
        <v/>
      </c>
      <c r="CN913">
        <f>$C913*CN912</f>
        <v/>
      </c>
      <c r="CO913">
        <f>$C913*CO912</f>
        <v/>
      </c>
      <c r="CP913">
        <f>$C913*CP912</f>
        <v/>
      </c>
      <c r="CQ913">
        <f>$C913*CQ912</f>
        <v/>
      </c>
      <c r="CR913">
        <f>$C913*CR912</f>
        <v/>
      </c>
      <c r="CS913">
        <f>$C913*CS912</f>
        <v/>
      </c>
      <c r="CT913">
        <f>$C913*CT912</f>
        <v/>
      </c>
      <c r="CU913">
        <f>$C913*CU912</f>
        <v/>
      </c>
      <c r="CV913">
        <f>$C913*CV912</f>
        <v/>
      </c>
      <c r="CW913">
        <f>$C913*CW912</f>
        <v/>
      </c>
      <c r="CX913">
        <f>$C913*CX912</f>
        <v/>
      </c>
      <c r="CY913">
        <f>$C913*CY912</f>
        <v/>
      </c>
      <c r="CZ913">
        <f>$C913*CZ912</f>
        <v/>
      </c>
      <c r="DA913">
        <f>$C913*DA912</f>
        <v/>
      </c>
      <c r="DB913">
        <f>$C913*DB912</f>
        <v/>
      </c>
      <c r="DC913">
        <f>$C913*DC912</f>
        <v/>
      </c>
    </row>
    <row r="914">
      <c r="B914" t="inlineStr">
        <is>
          <t>TSP-934</t>
        </is>
      </c>
      <c r="C914" t="inlineStr">
        <is>
          <t>No. of batches</t>
        </is>
      </c>
      <c r="D914">
        <f>IFERROR(INDEX(PP_Grid[#Data],$DD914,2),0)</f>
        <v/>
      </c>
      <c r="E914">
        <f>IFERROR(INDEX(PP_Grid[#Data],$DD914,3),0)</f>
        <v/>
      </c>
      <c r="F914">
        <f>IFERROR(INDEX(PP_Grid[#Data],$DD914,4),0)</f>
        <v/>
      </c>
      <c r="G914">
        <f>IFERROR(INDEX(PP_Grid[#Data],$DD914,5),0)</f>
        <v/>
      </c>
      <c r="H914">
        <f>IFERROR(INDEX(PP_Grid[#Data],$DD914,6),0)</f>
        <v/>
      </c>
      <c r="I914">
        <f>IFERROR(INDEX(PP_Grid[#Data],$DD914,7),0)</f>
        <v/>
      </c>
      <c r="J914">
        <f>IFERROR(INDEX(PP_Grid[#Data],$DD914,8),0)</f>
        <v/>
      </c>
      <c r="K914">
        <f>IFERROR(INDEX(PP_Grid[#Data],$DD914,9),0)</f>
        <v/>
      </c>
      <c r="L914">
        <f>IFERROR(INDEX(PP_Grid[#Data],$DD914,10),0)</f>
        <v/>
      </c>
      <c r="M914">
        <f>IFERROR(INDEX(PP_Grid[#Data],$DD914,11),0)</f>
        <v/>
      </c>
      <c r="N914">
        <f>IFERROR(INDEX(PP_Grid[#Data],$DD914,12),0)</f>
        <v/>
      </c>
      <c r="O914">
        <f>IFERROR(INDEX(PP_Grid[#Data],$DD914,13),0)</f>
        <v/>
      </c>
      <c r="P914">
        <f>IFERROR(INDEX(PP_Grid[#Data],$DD914,14),0)</f>
        <v/>
      </c>
      <c r="Q914">
        <f>IFERROR(INDEX(PP_Grid[#Data],$DD914,15),0)</f>
        <v/>
      </c>
      <c r="R914">
        <f>IFERROR(INDEX(PP_Grid[#Data],$DD914,16),0)</f>
        <v/>
      </c>
      <c r="S914">
        <f>IFERROR(INDEX(PP_Grid[#Data],$DD914,17),0)</f>
        <v/>
      </c>
      <c r="T914">
        <f>IFERROR(INDEX(PP_Grid[#Data],$DD914,18),0)</f>
        <v/>
      </c>
      <c r="U914">
        <f>IFERROR(INDEX(PP_Grid[#Data],$DD914,19),0)</f>
        <v/>
      </c>
      <c r="V914">
        <f>IFERROR(INDEX(PP_Grid[#Data],$DD914,20),0)</f>
        <v/>
      </c>
      <c r="W914">
        <f>IFERROR(INDEX(PP_Grid[#Data],$DD914,21),0)</f>
        <v/>
      </c>
      <c r="X914">
        <f>IFERROR(INDEX(PP_Grid[#Data],$DD914,22),0)</f>
        <v/>
      </c>
      <c r="Y914">
        <f>IFERROR(INDEX(PP_Grid[#Data],$DD914,23),0)</f>
        <v/>
      </c>
      <c r="Z914">
        <f>IFERROR(INDEX(PP_Grid[#Data],$DD914,24),0)</f>
        <v/>
      </c>
      <c r="AA914">
        <f>IFERROR(INDEX(PP_Grid[#Data],$DD914,25),0)</f>
        <v/>
      </c>
      <c r="AB914">
        <f>IFERROR(INDEX(PP_Grid[#Data],$DD914,26),0)</f>
        <v/>
      </c>
      <c r="AC914">
        <f>IFERROR(INDEX(PP_Grid[#Data],$DD914,27),0)</f>
        <v/>
      </c>
      <c r="AD914">
        <f>IFERROR(INDEX(PP_Grid[#Data],$DD914,28),0)</f>
        <v/>
      </c>
      <c r="AE914">
        <f>IFERROR(INDEX(PP_Grid[#Data],$DD914,29),0)</f>
        <v/>
      </c>
      <c r="AF914">
        <f>IFERROR(INDEX(PP_Grid[#Data],$DD914,30),0)</f>
        <v/>
      </c>
      <c r="AG914">
        <f>IFERROR(INDEX(PP_Grid[#Data],$DD914,31),0)</f>
        <v/>
      </c>
      <c r="AH914">
        <f>IFERROR(INDEX(PP_Grid[#Data],$DD914,32),0)</f>
        <v/>
      </c>
      <c r="AI914">
        <f>IFERROR(INDEX(PP_Grid[#Data],$DD914,33),0)</f>
        <v/>
      </c>
      <c r="AJ914">
        <f>IFERROR(INDEX(PP_Grid[#Data],$DD914,34),0)</f>
        <v/>
      </c>
      <c r="AK914">
        <f>IFERROR(INDEX(PP_Grid[#Data],$DD914,35),0)</f>
        <v/>
      </c>
      <c r="AL914">
        <f>IFERROR(INDEX(PP_Grid[#Data],$DD914,36),0)</f>
        <v/>
      </c>
      <c r="AM914">
        <f>IFERROR(INDEX(PP_Grid[#Data],$DD914,37),0)</f>
        <v/>
      </c>
      <c r="AN914">
        <f>IFERROR(INDEX(PP_Grid[#Data],$DD914,38),0)</f>
        <v/>
      </c>
      <c r="AO914">
        <f>IFERROR(INDEX(PP_Grid[#Data],$DD914,39),0)</f>
        <v/>
      </c>
      <c r="AP914">
        <f>IFERROR(INDEX(PP_Grid[#Data],$DD914,40),0)</f>
        <v/>
      </c>
      <c r="AQ914">
        <f>IFERROR(INDEX(PP_Grid[#Data],$DD914,41),0)</f>
        <v/>
      </c>
      <c r="AR914">
        <f>IFERROR(INDEX(PP_Grid[#Data],$DD914,42),0)</f>
        <v/>
      </c>
      <c r="AS914">
        <f>IFERROR(INDEX(PP_Grid[#Data],$DD914,43),0)</f>
        <v/>
      </c>
      <c r="AT914">
        <f>IFERROR(INDEX(PP_Grid[#Data],$DD914,44),0)</f>
        <v/>
      </c>
      <c r="AU914">
        <f>IFERROR(INDEX(PP_Grid[#Data],$DD914,45),0)</f>
        <v/>
      </c>
      <c r="AV914">
        <f>IFERROR(INDEX(PP_Grid[#Data],$DD914,46),0)</f>
        <v/>
      </c>
      <c r="AW914">
        <f>IFERROR(INDEX(PP_Grid[#Data],$DD914,47),0)</f>
        <v/>
      </c>
      <c r="AX914">
        <f>IFERROR(INDEX(PP_Grid[#Data],$DD914,48),0)</f>
        <v/>
      </c>
      <c r="AY914">
        <f>IFERROR(INDEX(PP_Grid[#Data],$DD914,49),0)</f>
        <v/>
      </c>
      <c r="AZ914">
        <f>IFERROR(INDEX(PP_Grid[#Data],$DD914,50),0)</f>
        <v/>
      </c>
      <c r="BA914">
        <f>IFERROR(INDEX(PP_Grid[#Data],$DD914,51),0)</f>
        <v/>
      </c>
      <c r="BB914">
        <f>IFERROR(INDEX(PP_Grid[#Data],$DD914,52),0)</f>
        <v/>
      </c>
      <c r="BC914">
        <f>IFERROR(INDEX(PP_Grid[#Data],$DD914,53),0)</f>
        <v/>
      </c>
      <c r="BD914">
        <f>IFERROR(INDEX(PP_Grid[#Data],$DD914,54),0)</f>
        <v/>
      </c>
      <c r="BE914">
        <f>IFERROR(INDEX(PP_Grid[#Data],$DD914,55),0)</f>
        <v/>
      </c>
      <c r="BF914">
        <f>IFERROR(INDEX(PP_Grid[#Data],$DD914,56),0)</f>
        <v/>
      </c>
      <c r="BG914">
        <f>IFERROR(INDEX(PP_Grid[#Data],$DD914,57),0)</f>
        <v/>
      </c>
      <c r="BH914">
        <f>IFERROR(INDEX(PP_Grid[#Data],$DD914,58),0)</f>
        <v/>
      </c>
      <c r="BI914">
        <f>IFERROR(INDEX(PP_Grid[#Data],$DD914,59),0)</f>
        <v/>
      </c>
      <c r="BJ914">
        <f>IFERROR(INDEX(PP_Grid[#Data],$DD914,60),0)</f>
        <v/>
      </c>
      <c r="BK914">
        <f>IFERROR(INDEX(PP_Grid[#Data],$DD914,61),0)</f>
        <v/>
      </c>
      <c r="BL914">
        <f>IFERROR(INDEX(PP_Grid[#Data],$DD914,62),0)</f>
        <v/>
      </c>
      <c r="BM914">
        <f>IFERROR(INDEX(PP_Grid[#Data],$DD914,63),0)</f>
        <v/>
      </c>
      <c r="BN914">
        <f>IFERROR(INDEX(PP_Grid[#Data],$DD914,64),0)</f>
        <v/>
      </c>
      <c r="BO914">
        <f>IFERROR(INDEX(PP_Grid[#Data],$DD914,65),0)</f>
        <v/>
      </c>
      <c r="BP914">
        <f>IFERROR(INDEX(PP_Grid[#Data],$DD914,66),0)</f>
        <v/>
      </c>
      <c r="BQ914">
        <f>IFERROR(INDEX(PP_Grid[#Data],$DD914,67),0)</f>
        <v/>
      </c>
      <c r="BR914">
        <f>IFERROR(INDEX(PP_Grid[#Data],$DD914,68),0)</f>
        <v/>
      </c>
      <c r="BS914">
        <f>IFERROR(INDEX(PP_Grid[#Data],$DD914,69),0)</f>
        <v/>
      </c>
      <c r="BT914">
        <f>IFERROR(INDEX(PP_Grid[#Data],$DD914,70),0)</f>
        <v/>
      </c>
      <c r="BU914">
        <f>IFERROR(INDEX(PP_Grid[#Data],$DD914,71),0)</f>
        <v/>
      </c>
      <c r="BV914">
        <f>IFERROR(INDEX(PP_Grid[#Data],$DD914,72),0)</f>
        <v/>
      </c>
      <c r="BW914">
        <f>IFERROR(INDEX(PP_Grid[#Data],$DD914,73),0)</f>
        <v/>
      </c>
      <c r="BX914">
        <f>IFERROR(INDEX(PP_Grid[#Data],$DD914,74),0)</f>
        <v/>
      </c>
      <c r="BY914">
        <f>IFERROR(INDEX(PP_Grid[#Data],$DD914,75),0)</f>
        <v/>
      </c>
      <c r="BZ914">
        <f>IFERROR(INDEX(PP_Grid[#Data],$DD914,76),0)</f>
        <v/>
      </c>
      <c r="CA914">
        <f>IFERROR(INDEX(PP_Grid[#Data],$DD914,77),0)</f>
        <v/>
      </c>
      <c r="CB914">
        <f>IFERROR(INDEX(PP_Grid[#Data],$DD914,78),0)</f>
        <v/>
      </c>
      <c r="CC914">
        <f>IFERROR(INDEX(PP_Grid[#Data],$DD914,79),0)</f>
        <v/>
      </c>
      <c r="CD914">
        <f>IFERROR(INDEX(PP_Grid[#Data],$DD914,80),0)</f>
        <v/>
      </c>
      <c r="CE914">
        <f>IFERROR(INDEX(PP_Grid[#Data],$DD914,81),0)</f>
        <v/>
      </c>
      <c r="CF914">
        <f>IFERROR(INDEX(PP_Grid[#Data],$DD914,82),0)</f>
        <v/>
      </c>
      <c r="CG914">
        <f>IFERROR(INDEX(PP_Grid[#Data],$DD914,83),0)</f>
        <v/>
      </c>
      <c r="CH914">
        <f>IFERROR(INDEX(PP_Grid[#Data],$DD914,84),0)</f>
        <v/>
      </c>
      <c r="CI914">
        <f>IFERROR(INDEX(PP_Grid[#Data],$DD914,85),0)</f>
        <v/>
      </c>
      <c r="CJ914">
        <f>IFERROR(INDEX(PP_Grid[#Data],$DD914,86),0)</f>
        <v/>
      </c>
      <c r="CK914">
        <f>IFERROR(INDEX(PP_Grid[#Data],$DD914,87),0)</f>
        <v/>
      </c>
      <c r="CL914">
        <f>IFERROR(INDEX(PP_Grid[#Data],$DD914,88),0)</f>
        <v/>
      </c>
      <c r="CM914">
        <f>IFERROR(INDEX(PP_Grid[#Data],$DD914,89),0)</f>
        <v/>
      </c>
      <c r="CN914">
        <f>IFERROR(INDEX(PP_Grid[#Data],$DD914,90),0)</f>
        <v/>
      </c>
      <c r="CO914">
        <f>IFERROR(INDEX(PP_Grid[#Data],$DD914,91),0)</f>
        <v/>
      </c>
      <c r="CP914">
        <f>IFERROR(INDEX(PP_Grid[#Data],$DD914,92),0)</f>
        <v/>
      </c>
      <c r="CQ914">
        <f>IFERROR(INDEX(PP_Grid[#Data],$DD914,93),0)</f>
        <v/>
      </c>
      <c r="CR914">
        <f>IFERROR(INDEX(PP_Grid[#Data],$DD914,94),0)</f>
        <v/>
      </c>
      <c r="CS914">
        <f>IFERROR(INDEX(PP_Grid[#Data],$DD914,95),0)</f>
        <v/>
      </c>
      <c r="CT914">
        <f>IFERROR(INDEX(PP_Grid[#Data],$DD914,96),0)</f>
        <v/>
      </c>
      <c r="CU914">
        <f>IFERROR(INDEX(PP_Grid[#Data],$DD914,97),0)</f>
        <v/>
      </c>
      <c r="CV914">
        <f>IFERROR(INDEX(PP_Grid[#Data],$DD914,98),0)</f>
        <v/>
      </c>
      <c r="CW914">
        <f>IFERROR(INDEX(PP_Grid[#Data],$DD914,99),0)</f>
        <v/>
      </c>
      <c r="CX914">
        <f>IFERROR(INDEX(PP_Grid[#Data],$DD914,100),0)</f>
        <v/>
      </c>
      <c r="CY914">
        <f>IFERROR(INDEX(PP_Grid[#Data],$DD914,101),0)</f>
        <v/>
      </c>
      <c r="CZ914">
        <f>IFERROR(INDEX(PP_Grid[#Data],$DD914,102),0)</f>
        <v/>
      </c>
      <c r="DA914">
        <f>IFERROR(INDEX(PP_Grid[#Data],$DD914,103),0)</f>
        <v/>
      </c>
      <c r="DB914">
        <f>IFERROR(INDEX(PP_Grid[#Data],$DD914,104),0)</f>
        <v/>
      </c>
      <c r="DC914">
        <f>IFERROR(INDEX(PP_Grid[#Data],$DD914,105),0)</f>
        <v/>
      </c>
      <c r="DD914" s="7">
        <f>IFERROR(MATCH($B914,PP_Grid[Intermediate],0),99999)</f>
        <v/>
      </c>
    </row>
    <row r="915">
      <c r="B915" t="inlineStr">
        <is>
          <t>使用量(kg)</t>
        </is>
      </c>
      <c r="C915">
        <f>SUMIFS(M_BOM[RM_Qty_Per_Batch],M_BOM[Intermediate],$B914,M_BOM[Part Name],$A905)</f>
        <v/>
      </c>
      <c r="D915">
        <f>$C915*D914</f>
        <v/>
      </c>
      <c r="E915">
        <f>$C915*E914</f>
        <v/>
      </c>
      <c r="F915">
        <f>$C915*F914</f>
        <v/>
      </c>
      <c r="G915">
        <f>$C915*G914</f>
        <v/>
      </c>
      <c r="H915">
        <f>$C915*H914</f>
        <v/>
      </c>
      <c r="I915">
        <f>$C915*I914</f>
        <v/>
      </c>
      <c r="J915">
        <f>$C915*J914</f>
        <v/>
      </c>
      <c r="K915">
        <f>$C915*K914</f>
        <v/>
      </c>
      <c r="L915">
        <f>$C915*L914</f>
        <v/>
      </c>
      <c r="M915">
        <f>$C915*M914</f>
        <v/>
      </c>
      <c r="N915">
        <f>$C915*N914</f>
        <v/>
      </c>
      <c r="O915">
        <f>$C915*O914</f>
        <v/>
      </c>
      <c r="P915">
        <f>$C915*P914</f>
        <v/>
      </c>
      <c r="Q915">
        <f>$C915*Q914</f>
        <v/>
      </c>
      <c r="R915">
        <f>$C915*R914</f>
        <v/>
      </c>
      <c r="S915">
        <f>$C915*S914</f>
        <v/>
      </c>
      <c r="T915">
        <f>$C915*T914</f>
        <v/>
      </c>
      <c r="U915">
        <f>$C915*U914</f>
        <v/>
      </c>
      <c r="V915">
        <f>$C915*V914</f>
        <v/>
      </c>
      <c r="W915">
        <f>$C915*W914</f>
        <v/>
      </c>
      <c r="X915">
        <f>$C915*X914</f>
        <v/>
      </c>
      <c r="Y915">
        <f>$C915*Y914</f>
        <v/>
      </c>
      <c r="Z915">
        <f>$C915*Z914</f>
        <v/>
      </c>
      <c r="AA915">
        <f>$C915*AA914</f>
        <v/>
      </c>
      <c r="AB915">
        <f>$C915*AB914</f>
        <v/>
      </c>
      <c r="AC915">
        <f>$C915*AC914</f>
        <v/>
      </c>
      <c r="AD915">
        <f>$C915*AD914</f>
        <v/>
      </c>
      <c r="AE915">
        <f>$C915*AE914</f>
        <v/>
      </c>
      <c r="AF915">
        <f>$C915*AF914</f>
        <v/>
      </c>
      <c r="AG915">
        <f>$C915*AG914</f>
        <v/>
      </c>
      <c r="AH915">
        <f>$C915*AH914</f>
        <v/>
      </c>
      <c r="AI915">
        <f>$C915*AI914</f>
        <v/>
      </c>
      <c r="AJ915">
        <f>$C915*AJ914</f>
        <v/>
      </c>
      <c r="AK915">
        <f>$C915*AK914</f>
        <v/>
      </c>
      <c r="AL915">
        <f>$C915*AL914</f>
        <v/>
      </c>
      <c r="AM915">
        <f>$C915*AM914</f>
        <v/>
      </c>
      <c r="AN915">
        <f>$C915*AN914</f>
        <v/>
      </c>
      <c r="AO915">
        <f>$C915*AO914</f>
        <v/>
      </c>
      <c r="AP915">
        <f>$C915*AP914</f>
        <v/>
      </c>
      <c r="AQ915">
        <f>$C915*AQ914</f>
        <v/>
      </c>
      <c r="AR915">
        <f>$C915*AR914</f>
        <v/>
      </c>
      <c r="AS915">
        <f>$C915*AS914</f>
        <v/>
      </c>
      <c r="AT915">
        <f>$C915*AT914</f>
        <v/>
      </c>
      <c r="AU915">
        <f>$C915*AU914</f>
        <v/>
      </c>
      <c r="AV915">
        <f>$C915*AV914</f>
        <v/>
      </c>
      <c r="AW915">
        <f>$C915*AW914</f>
        <v/>
      </c>
      <c r="AX915">
        <f>$C915*AX914</f>
        <v/>
      </c>
      <c r="AY915">
        <f>$C915*AY914</f>
        <v/>
      </c>
      <c r="AZ915">
        <f>$C915*AZ914</f>
        <v/>
      </c>
      <c r="BA915">
        <f>$C915*BA914</f>
        <v/>
      </c>
      <c r="BB915">
        <f>$C915*BB914</f>
        <v/>
      </c>
      <c r="BC915">
        <f>$C915*BC914</f>
        <v/>
      </c>
      <c r="BD915">
        <f>$C915*BD914</f>
        <v/>
      </c>
      <c r="BE915">
        <f>$C915*BE914</f>
        <v/>
      </c>
      <c r="BF915">
        <f>$C915*BF914</f>
        <v/>
      </c>
      <c r="BG915">
        <f>$C915*BG914</f>
        <v/>
      </c>
      <c r="BH915">
        <f>$C915*BH914</f>
        <v/>
      </c>
      <c r="BI915">
        <f>$C915*BI914</f>
        <v/>
      </c>
      <c r="BJ915">
        <f>$C915*BJ914</f>
        <v/>
      </c>
      <c r="BK915">
        <f>$C915*BK914</f>
        <v/>
      </c>
      <c r="BL915">
        <f>$C915*BL914</f>
        <v/>
      </c>
      <c r="BM915">
        <f>$C915*BM914</f>
        <v/>
      </c>
      <c r="BN915">
        <f>$C915*BN914</f>
        <v/>
      </c>
      <c r="BO915">
        <f>$C915*BO914</f>
        <v/>
      </c>
      <c r="BP915">
        <f>$C915*BP914</f>
        <v/>
      </c>
      <c r="BQ915">
        <f>$C915*BQ914</f>
        <v/>
      </c>
      <c r="BR915">
        <f>$C915*BR914</f>
        <v/>
      </c>
      <c r="BS915">
        <f>$C915*BS914</f>
        <v/>
      </c>
      <c r="BT915">
        <f>$C915*BT914</f>
        <v/>
      </c>
      <c r="BU915">
        <f>$C915*BU914</f>
        <v/>
      </c>
      <c r="BV915">
        <f>$C915*BV914</f>
        <v/>
      </c>
      <c r="BW915">
        <f>$C915*BW914</f>
        <v/>
      </c>
      <c r="BX915">
        <f>$C915*BX914</f>
        <v/>
      </c>
      <c r="BY915">
        <f>$C915*BY914</f>
        <v/>
      </c>
      <c r="BZ915">
        <f>$C915*BZ914</f>
        <v/>
      </c>
      <c r="CA915">
        <f>$C915*CA914</f>
        <v/>
      </c>
      <c r="CB915">
        <f>$C915*CB914</f>
        <v/>
      </c>
      <c r="CC915">
        <f>$C915*CC914</f>
        <v/>
      </c>
      <c r="CD915">
        <f>$C915*CD914</f>
        <v/>
      </c>
      <c r="CE915">
        <f>$C915*CE914</f>
        <v/>
      </c>
      <c r="CF915">
        <f>$C915*CF914</f>
        <v/>
      </c>
      <c r="CG915">
        <f>$C915*CG914</f>
        <v/>
      </c>
      <c r="CH915">
        <f>$C915*CH914</f>
        <v/>
      </c>
      <c r="CI915">
        <f>$C915*CI914</f>
        <v/>
      </c>
      <c r="CJ915">
        <f>$C915*CJ914</f>
        <v/>
      </c>
      <c r="CK915">
        <f>$C915*CK914</f>
        <v/>
      </c>
      <c r="CL915">
        <f>$C915*CL914</f>
        <v/>
      </c>
      <c r="CM915">
        <f>$C915*CM914</f>
        <v/>
      </c>
      <c r="CN915">
        <f>$C915*CN914</f>
        <v/>
      </c>
      <c r="CO915">
        <f>$C915*CO914</f>
        <v/>
      </c>
      <c r="CP915">
        <f>$C915*CP914</f>
        <v/>
      </c>
      <c r="CQ915">
        <f>$C915*CQ914</f>
        <v/>
      </c>
      <c r="CR915">
        <f>$C915*CR914</f>
        <v/>
      </c>
      <c r="CS915">
        <f>$C915*CS914</f>
        <v/>
      </c>
      <c r="CT915">
        <f>$C915*CT914</f>
        <v/>
      </c>
      <c r="CU915">
        <f>$C915*CU914</f>
        <v/>
      </c>
      <c r="CV915">
        <f>$C915*CV914</f>
        <v/>
      </c>
      <c r="CW915">
        <f>$C915*CW914</f>
        <v/>
      </c>
      <c r="CX915">
        <f>$C915*CX914</f>
        <v/>
      </c>
      <c r="CY915">
        <f>$C915*CY914</f>
        <v/>
      </c>
      <c r="CZ915">
        <f>$C915*CZ914</f>
        <v/>
      </c>
      <c r="DA915">
        <f>$C915*DA914</f>
        <v/>
      </c>
      <c r="DB915">
        <f>$C915*DB914</f>
        <v/>
      </c>
      <c r="DC915">
        <f>$C915*DC914</f>
        <v/>
      </c>
    </row>
    <row r="916">
      <c r="B916" t="inlineStr">
        <is>
          <t>TSP-935</t>
        </is>
      </c>
      <c r="C916" t="inlineStr">
        <is>
          <t>No. of batches</t>
        </is>
      </c>
      <c r="D916">
        <f>IFERROR(INDEX(PP_Grid[#Data],$DD916,2),0)</f>
        <v/>
      </c>
      <c r="E916">
        <f>IFERROR(INDEX(PP_Grid[#Data],$DD916,3),0)</f>
        <v/>
      </c>
      <c r="F916">
        <f>IFERROR(INDEX(PP_Grid[#Data],$DD916,4),0)</f>
        <v/>
      </c>
      <c r="G916">
        <f>IFERROR(INDEX(PP_Grid[#Data],$DD916,5),0)</f>
        <v/>
      </c>
      <c r="H916">
        <f>IFERROR(INDEX(PP_Grid[#Data],$DD916,6),0)</f>
        <v/>
      </c>
      <c r="I916">
        <f>IFERROR(INDEX(PP_Grid[#Data],$DD916,7),0)</f>
        <v/>
      </c>
      <c r="J916">
        <f>IFERROR(INDEX(PP_Grid[#Data],$DD916,8),0)</f>
        <v/>
      </c>
      <c r="K916">
        <f>IFERROR(INDEX(PP_Grid[#Data],$DD916,9),0)</f>
        <v/>
      </c>
      <c r="L916">
        <f>IFERROR(INDEX(PP_Grid[#Data],$DD916,10),0)</f>
        <v/>
      </c>
      <c r="M916">
        <f>IFERROR(INDEX(PP_Grid[#Data],$DD916,11),0)</f>
        <v/>
      </c>
      <c r="N916">
        <f>IFERROR(INDEX(PP_Grid[#Data],$DD916,12),0)</f>
        <v/>
      </c>
      <c r="O916">
        <f>IFERROR(INDEX(PP_Grid[#Data],$DD916,13),0)</f>
        <v/>
      </c>
      <c r="P916">
        <f>IFERROR(INDEX(PP_Grid[#Data],$DD916,14),0)</f>
        <v/>
      </c>
      <c r="Q916">
        <f>IFERROR(INDEX(PP_Grid[#Data],$DD916,15),0)</f>
        <v/>
      </c>
      <c r="R916">
        <f>IFERROR(INDEX(PP_Grid[#Data],$DD916,16),0)</f>
        <v/>
      </c>
      <c r="S916">
        <f>IFERROR(INDEX(PP_Grid[#Data],$DD916,17),0)</f>
        <v/>
      </c>
      <c r="T916">
        <f>IFERROR(INDEX(PP_Grid[#Data],$DD916,18),0)</f>
        <v/>
      </c>
      <c r="U916">
        <f>IFERROR(INDEX(PP_Grid[#Data],$DD916,19),0)</f>
        <v/>
      </c>
      <c r="V916">
        <f>IFERROR(INDEX(PP_Grid[#Data],$DD916,20),0)</f>
        <v/>
      </c>
      <c r="W916">
        <f>IFERROR(INDEX(PP_Grid[#Data],$DD916,21),0)</f>
        <v/>
      </c>
      <c r="X916">
        <f>IFERROR(INDEX(PP_Grid[#Data],$DD916,22),0)</f>
        <v/>
      </c>
      <c r="Y916">
        <f>IFERROR(INDEX(PP_Grid[#Data],$DD916,23),0)</f>
        <v/>
      </c>
      <c r="Z916">
        <f>IFERROR(INDEX(PP_Grid[#Data],$DD916,24),0)</f>
        <v/>
      </c>
      <c r="AA916">
        <f>IFERROR(INDEX(PP_Grid[#Data],$DD916,25),0)</f>
        <v/>
      </c>
      <c r="AB916">
        <f>IFERROR(INDEX(PP_Grid[#Data],$DD916,26),0)</f>
        <v/>
      </c>
      <c r="AC916">
        <f>IFERROR(INDEX(PP_Grid[#Data],$DD916,27),0)</f>
        <v/>
      </c>
      <c r="AD916">
        <f>IFERROR(INDEX(PP_Grid[#Data],$DD916,28),0)</f>
        <v/>
      </c>
      <c r="AE916">
        <f>IFERROR(INDEX(PP_Grid[#Data],$DD916,29),0)</f>
        <v/>
      </c>
      <c r="AF916">
        <f>IFERROR(INDEX(PP_Grid[#Data],$DD916,30),0)</f>
        <v/>
      </c>
      <c r="AG916">
        <f>IFERROR(INDEX(PP_Grid[#Data],$DD916,31),0)</f>
        <v/>
      </c>
      <c r="AH916">
        <f>IFERROR(INDEX(PP_Grid[#Data],$DD916,32),0)</f>
        <v/>
      </c>
      <c r="AI916">
        <f>IFERROR(INDEX(PP_Grid[#Data],$DD916,33),0)</f>
        <v/>
      </c>
      <c r="AJ916">
        <f>IFERROR(INDEX(PP_Grid[#Data],$DD916,34),0)</f>
        <v/>
      </c>
      <c r="AK916">
        <f>IFERROR(INDEX(PP_Grid[#Data],$DD916,35),0)</f>
        <v/>
      </c>
      <c r="AL916">
        <f>IFERROR(INDEX(PP_Grid[#Data],$DD916,36),0)</f>
        <v/>
      </c>
      <c r="AM916">
        <f>IFERROR(INDEX(PP_Grid[#Data],$DD916,37),0)</f>
        <v/>
      </c>
      <c r="AN916">
        <f>IFERROR(INDEX(PP_Grid[#Data],$DD916,38),0)</f>
        <v/>
      </c>
      <c r="AO916">
        <f>IFERROR(INDEX(PP_Grid[#Data],$DD916,39),0)</f>
        <v/>
      </c>
      <c r="AP916">
        <f>IFERROR(INDEX(PP_Grid[#Data],$DD916,40),0)</f>
        <v/>
      </c>
      <c r="AQ916">
        <f>IFERROR(INDEX(PP_Grid[#Data],$DD916,41),0)</f>
        <v/>
      </c>
      <c r="AR916">
        <f>IFERROR(INDEX(PP_Grid[#Data],$DD916,42),0)</f>
        <v/>
      </c>
      <c r="AS916">
        <f>IFERROR(INDEX(PP_Grid[#Data],$DD916,43),0)</f>
        <v/>
      </c>
      <c r="AT916">
        <f>IFERROR(INDEX(PP_Grid[#Data],$DD916,44),0)</f>
        <v/>
      </c>
      <c r="AU916">
        <f>IFERROR(INDEX(PP_Grid[#Data],$DD916,45),0)</f>
        <v/>
      </c>
      <c r="AV916">
        <f>IFERROR(INDEX(PP_Grid[#Data],$DD916,46),0)</f>
        <v/>
      </c>
      <c r="AW916">
        <f>IFERROR(INDEX(PP_Grid[#Data],$DD916,47),0)</f>
        <v/>
      </c>
      <c r="AX916">
        <f>IFERROR(INDEX(PP_Grid[#Data],$DD916,48),0)</f>
        <v/>
      </c>
      <c r="AY916">
        <f>IFERROR(INDEX(PP_Grid[#Data],$DD916,49),0)</f>
        <v/>
      </c>
      <c r="AZ916">
        <f>IFERROR(INDEX(PP_Grid[#Data],$DD916,50),0)</f>
        <v/>
      </c>
      <c r="BA916">
        <f>IFERROR(INDEX(PP_Grid[#Data],$DD916,51),0)</f>
        <v/>
      </c>
      <c r="BB916">
        <f>IFERROR(INDEX(PP_Grid[#Data],$DD916,52),0)</f>
        <v/>
      </c>
      <c r="BC916">
        <f>IFERROR(INDEX(PP_Grid[#Data],$DD916,53),0)</f>
        <v/>
      </c>
      <c r="BD916">
        <f>IFERROR(INDEX(PP_Grid[#Data],$DD916,54),0)</f>
        <v/>
      </c>
      <c r="BE916">
        <f>IFERROR(INDEX(PP_Grid[#Data],$DD916,55),0)</f>
        <v/>
      </c>
      <c r="BF916">
        <f>IFERROR(INDEX(PP_Grid[#Data],$DD916,56),0)</f>
        <v/>
      </c>
      <c r="BG916">
        <f>IFERROR(INDEX(PP_Grid[#Data],$DD916,57),0)</f>
        <v/>
      </c>
      <c r="BH916">
        <f>IFERROR(INDEX(PP_Grid[#Data],$DD916,58),0)</f>
        <v/>
      </c>
      <c r="BI916">
        <f>IFERROR(INDEX(PP_Grid[#Data],$DD916,59),0)</f>
        <v/>
      </c>
      <c r="BJ916">
        <f>IFERROR(INDEX(PP_Grid[#Data],$DD916,60),0)</f>
        <v/>
      </c>
      <c r="BK916">
        <f>IFERROR(INDEX(PP_Grid[#Data],$DD916,61),0)</f>
        <v/>
      </c>
      <c r="BL916">
        <f>IFERROR(INDEX(PP_Grid[#Data],$DD916,62),0)</f>
        <v/>
      </c>
      <c r="BM916">
        <f>IFERROR(INDEX(PP_Grid[#Data],$DD916,63),0)</f>
        <v/>
      </c>
      <c r="BN916">
        <f>IFERROR(INDEX(PP_Grid[#Data],$DD916,64),0)</f>
        <v/>
      </c>
      <c r="BO916">
        <f>IFERROR(INDEX(PP_Grid[#Data],$DD916,65),0)</f>
        <v/>
      </c>
      <c r="BP916">
        <f>IFERROR(INDEX(PP_Grid[#Data],$DD916,66),0)</f>
        <v/>
      </c>
      <c r="BQ916">
        <f>IFERROR(INDEX(PP_Grid[#Data],$DD916,67),0)</f>
        <v/>
      </c>
      <c r="BR916">
        <f>IFERROR(INDEX(PP_Grid[#Data],$DD916,68),0)</f>
        <v/>
      </c>
      <c r="BS916">
        <f>IFERROR(INDEX(PP_Grid[#Data],$DD916,69),0)</f>
        <v/>
      </c>
      <c r="BT916">
        <f>IFERROR(INDEX(PP_Grid[#Data],$DD916,70),0)</f>
        <v/>
      </c>
      <c r="BU916">
        <f>IFERROR(INDEX(PP_Grid[#Data],$DD916,71),0)</f>
        <v/>
      </c>
      <c r="BV916">
        <f>IFERROR(INDEX(PP_Grid[#Data],$DD916,72),0)</f>
        <v/>
      </c>
      <c r="BW916">
        <f>IFERROR(INDEX(PP_Grid[#Data],$DD916,73),0)</f>
        <v/>
      </c>
      <c r="BX916">
        <f>IFERROR(INDEX(PP_Grid[#Data],$DD916,74),0)</f>
        <v/>
      </c>
      <c r="BY916">
        <f>IFERROR(INDEX(PP_Grid[#Data],$DD916,75),0)</f>
        <v/>
      </c>
      <c r="BZ916">
        <f>IFERROR(INDEX(PP_Grid[#Data],$DD916,76),0)</f>
        <v/>
      </c>
      <c r="CA916">
        <f>IFERROR(INDEX(PP_Grid[#Data],$DD916,77),0)</f>
        <v/>
      </c>
      <c r="CB916">
        <f>IFERROR(INDEX(PP_Grid[#Data],$DD916,78),0)</f>
        <v/>
      </c>
      <c r="CC916">
        <f>IFERROR(INDEX(PP_Grid[#Data],$DD916,79),0)</f>
        <v/>
      </c>
      <c r="CD916">
        <f>IFERROR(INDEX(PP_Grid[#Data],$DD916,80),0)</f>
        <v/>
      </c>
      <c r="CE916">
        <f>IFERROR(INDEX(PP_Grid[#Data],$DD916,81),0)</f>
        <v/>
      </c>
      <c r="CF916">
        <f>IFERROR(INDEX(PP_Grid[#Data],$DD916,82),0)</f>
        <v/>
      </c>
      <c r="CG916">
        <f>IFERROR(INDEX(PP_Grid[#Data],$DD916,83),0)</f>
        <v/>
      </c>
      <c r="CH916">
        <f>IFERROR(INDEX(PP_Grid[#Data],$DD916,84),0)</f>
        <v/>
      </c>
      <c r="CI916">
        <f>IFERROR(INDEX(PP_Grid[#Data],$DD916,85),0)</f>
        <v/>
      </c>
      <c r="CJ916">
        <f>IFERROR(INDEX(PP_Grid[#Data],$DD916,86),0)</f>
        <v/>
      </c>
      <c r="CK916">
        <f>IFERROR(INDEX(PP_Grid[#Data],$DD916,87),0)</f>
        <v/>
      </c>
      <c r="CL916">
        <f>IFERROR(INDEX(PP_Grid[#Data],$DD916,88),0)</f>
        <v/>
      </c>
      <c r="CM916">
        <f>IFERROR(INDEX(PP_Grid[#Data],$DD916,89),0)</f>
        <v/>
      </c>
      <c r="CN916">
        <f>IFERROR(INDEX(PP_Grid[#Data],$DD916,90),0)</f>
        <v/>
      </c>
      <c r="CO916">
        <f>IFERROR(INDEX(PP_Grid[#Data],$DD916,91),0)</f>
        <v/>
      </c>
      <c r="CP916">
        <f>IFERROR(INDEX(PP_Grid[#Data],$DD916,92),0)</f>
        <v/>
      </c>
      <c r="CQ916">
        <f>IFERROR(INDEX(PP_Grid[#Data],$DD916,93),0)</f>
        <v/>
      </c>
      <c r="CR916">
        <f>IFERROR(INDEX(PP_Grid[#Data],$DD916,94),0)</f>
        <v/>
      </c>
      <c r="CS916">
        <f>IFERROR(INDEX(PP_Grid[#Data],$DD916,95),0)</f>
        <v/>
      </c>
      <c r="CT916">
        <f>IFERROR(INDEX(PP_Grid[#Data],$DD916,96),0)</f>
        <v/>
      </c>
      <c r="CU916">
        <f>IFERROR(INDEX(PP_Grid[#Data],$DD916,97),0)</f>
        <v/>
      </c>
      <c r="CV916">
        <f>IFERROR(INDEX(PP_Grid[#Data],$DD916,98),0)</f>
        <v/>
      </c>
      <c r="CW916">
        <f>IFERROR(INDEX(PP_Grid[#Data],$DD916,99),0)</f>
        <v/>
      </c>
      <c r="CX916">
        <f>IFERROR(INDEX(PP_Grid[#Data],$DD916,100),0)</f>
        <v/>
      </c>
      <c r="CY916">
        <f>IFERROR(INDEX(PP_Grid[#Data],$DD916,101),0)</f>
        <v/>
      </c>
      <c r="CZ916">
        <f>IFERROR(INDEX(PP_Grid[#Data],$DD916,102),0)</f>
        <v/>
      </c>
      <c r="DA916">
        <f>IFERROR(INDEX(PP_Grid[#Data],$DD916,103),0)</f>
        <v/>
      </c>
      <c r="DB916">
        <f>IFERROR(INDEX(PP_Grid[#Data],$DD916,104),0)</f>
        <v/>
      </c>
      <c r="DC916">
        <f>IFERROR(INDEX(PP_Grid[#Data],$DD916,105),0)</f>
        <v/>
      </c>
      <c r="DD916" s="7">
        <f>IFERROR(MATCH($B916,PP_Grid[Intermediate],0),99999)</f>
        <v/>
      </c>
    </row>
    <row r="917">
      <c r="B917" t="inlineStr">
        <is>
          <t>使用量(kg)</t>
        </is>
      </c>
      <c r="C917">
        <f>SUMIFS(M_BOM[RM_Qty_Per_Batch],M_BOM[Intermediate],$B916,M_BOM[Part Name],$A905)</f>
        <v/>
      </c>
      <c r="D917">
        <f>$C917*D916</f>
        <v/>
      </c>
      <c r="E917">
        <f>$C917*E916</f>
        <v/>
      </c>
      <c r="F917">
        <f>$C917*F916</f>
        <v/>
      </c>
      <c r="G917">
        <f>$C917*G916</f>
        <v/>
      </c>
      <c r="H917">
        <f>$C917*H916</f>
        <v/>
      </c>
      <c r="I917">
        <f>$C917*I916</f>
        <v/>
      </c>
      <c r="J917">
        <f>$C917*J916</f>
        <v/>
      </c>
      <c r="K917">
        <f>$C917*K916</f>
        <v/>
      </c>
      <c r="L917">
        <f>$C917*L916</f>
        <v/>
      </c>
      <c r="M917">
        <f>$C917*M916</f>
        <v/>
      </c>
      <c r="N917">
        <f>$C917*N916</f>
        <v/>
      </c>
      <c r="O917">
        <f>$C917*O916</f>
        <v/>
      </c>
      <c r="P917">
        <f>$C917*P916</f>
        <v/>
      </c>
      <c r="Q917">
        <f>$C917*Q916</f>
        <v/>
      </c>
      <c r="R917">
        <f>$C917*R916</f>
        <v/>
      </c>
      <c r="S917">
        <f>$C917*S916</f>
        <v/>
      </c>
      <c r="T917">
        <f>$C917*T916</f>
        <v/>
      </c>
      <c r="U917">
        <f>$C917*U916</f>
        <v/>
      </c>
      <c r="V917">
        <f>$C917*V916</f>
        <v/>
      </c>
      <c r="W917">
        <f>$C917*W916</f>
        <v/>
      </c>
      <c r="X917">
        <f>$C917*X916</f>
        <v/>
      </c>
      <c r="Y917">
        <f>$C917*Y916</f>
        <v/>
      </c>
      <c r="Z917">
        <f>$C917*Z916</f>
        <v/>
      </c>
      <c r="AA917">
        <f>$C917*AA916</f>
        <v/>
      </c>
      <c r="AB917">
        <f>$C917*AB916</f>
        <v/>
      </c>
      <c r="AC917">
        <f>$C917*AC916</f>
        <v/>
      </c>
      <c r="AD917">
        <f>$C917*AD916</f>
        <v/>
      </c>
      <c r="AE917">
        <f>$C917*AE916</f>
        <v/>
      </c>
      <c r="AF917">
        <f>$C917*AF916</f>
        <v/>
      </c>
      <c r="AG917">
        <f>$C917*AG916</f>
        <v/>
      </c>
      <c r="AH917">
        <f>$C917*AH916</f>
        <v/>
      </c>
      <c r="AI917">
        <f>$C917*AI916</f>
        <v/>
      </c>
      <c r="AJ917">
        <f>$C917*AJ916</f>
        <v/>
      </c>
      <c r="AK917">
        <f>$C917*AK916</f>
        <v/>
      </c>
      <c r="AL917">
        <f>$C917*AL916</f>
        <v/>
      </c>
      <c r="AM917">
        <f>$C917*AM916</f>
        <v/>
      </c>
      <c r="AN917">
        <f>$C917*AN916</f>
        <v/>
      </c>
      <c r="AO917">
        <f>$C917*AO916</f>
        <v/>
      </c>
      <c r="AP917">
        <f>$C917*AP916</f>
        <v/>
      </c>
      <c r="AQ917">
        <f>$C917*AQ916</f>
        <v/>
      </c>
      <c r="AR917">
        <f>$C917*AR916</f>
        <v/>
      </c>
      <c r="AS917">
        <f>$C917*AS916</f>
        <v/>
      </c>
      <c r="AT917">
        <f>$C917*AT916</f>
        <v/>
      </c>
      <c r="AU917">
        <f>$C917*AU916</f>
        <v/>
      </c>
      <c r="AV917">
        <f>$C917*AV916</f>
        <v/>
      </c>
      <c r="AW917">
        <f>$C917*AW916</f>
        <v/>
      </c>
      <c r="AX917">
        <f>$C917*AX916</f>
        <v/>
      </c>
      <c r="AY917">
        <f>$C917*AY916</f>
        <v/>
      </c>
      <c r="AZ917">
        <f>$C917*AZ916</f>
        <v/>
      </c>
      <c r="BA917">
        <f>$C917*BA916</f>
        <v/>
      </c>
      <c r="BB917">
        <f>$C917*BB916</f>
        <v/>
      </c>
      <c r="BC917">
        <f>$C917*BC916</f>
        <v/>
      </c>
      <c r="BD917">
        <f>$C917*BD916</f>
        <v/>
      </c>
      <c r="BE917">
        <f>$C917*BE916</f>
        <v/>
      </c>
      <c r="BF917">
        <f>$C917*BF916</f>
        <v/>
      </c>
      <c r="BG917">
        <f>$C917*BG916</f>
        <v/>
      </c>
      <c r="BH917">
        <f>$C917*BH916</f>
        <v/>
      </c>
      <c r="BI917">
        <f>$C917*BI916</f>
        <v/>
      </c>
      <c r="BJ917">
        <f>$C917*BJ916</f>
        <v/>
      </c>
      <c r="BK917">
        <f>$C917*BK916</f>
        <v/>
      </c>
      <c r="BL917">
        <f>$C917*BL916</f>
        <v/>
      </c>
      <c r="BM917">
        <f>$C917*BM916</f>
        <v/>
      </c>
      <c r="BN917">
        <f>$C917*BN916</f>
        <v/>
      </c>
      <c r="BO917">
        <f>$C917*BO916</f>
        <v/>
      </c>
      <c r="BP917">
        <f>$C917*BP916</f>
        <v/>
      </c>
      <c r="BQ917">
        <f>$C917*BQ916</f>
        <v/>
      </c>
      <c r="BR917">
        <f>$C917*BR916</f>
        <v/>
      </c>
      <c r="BS917">
        <f>$C917*BS916</f>
        <v/>
      </c>
      <c r="BT917">
        <f>$C917*BT916</f>
        <v/>
      </c>
      <c r="BU917">
        <f>$C917*BU916</f>
        <v/>
      </c>
      <c r="BV917">
        <f>$C917*BV916</f>
        <v/>
      </c>
      <c r="BW917">
        <f>$C917*BW916</f>
        <v/>
      </c>
      <c r="BX917">
        <f>$C917*BX916</f>
        <v/>
      </c>
      <c r="BY917">
        <f>$C917*BY916</f>
        <v/>
      </c>
      <c r="BZ917">
        <f>$C917*BZ916</f>
        <v/>
      </c>
      <c r="CA917">
        <f>$C917*CA916</f>
        <v/>
      </c>
      <c r="CB917">
        <f>$C917*CB916</f>
        <v/>
      </c>
      <c r="CC917">
        <f>$C917*CC916</f>
        <v/>
      </c>
      <c r="CD917">
        <f>$C917*CD916</f>
        <v/>
      </c>
      <c r="CE917">
        <f>$C917*CE916</f>
        <v/>
      </c>
      <c r="CF917">
        <f>$C917*CF916</f>
        <v/>
      </c>
      <c r="CG917">
        <f>$C917*CG916</f>
        <v/>
      </c>
      <c r="CH917">
        <f>$C917*CH916</f>
        <v/>
      </c>
      <c r="CI917">
        <f>$C917*CI916</f>
        <v/>
      </c>
      <c r="CJ917">
        <f>$C917*CJ916</f>
        <v/>
      </c>
      <c r="CK917">
        <f>$C917*CK916</f>
        <v/>
      </c>
      <c r="CL917">
        <f>$C917*CL916</f>
        <v/>
      </c>
      <c r="CM917">
        <f>$C917*CM916</f>
        <v/>
      </c>
      <c r="CN917">
        <f>$C917*CN916</f>
        <v/>
      </c>
      <c r="CO917">
        <f>$C917*CO916</f>
        <v/>
      </c>
      <c r="CP917">
        <f>$C917*CP916</f>
        <v/>
      </c>
      <c r="CQ917">
        <f>$C917*CQ916</f>
        <v/>
      </c>
      <c r="CR917">
        <f>$C917*CR916</f>
        <v/>
      </c>
      <c r="CS917">
        <f>$C917*CS916</f>
        <v/>
      </c>
      <c r="CT917">
        <f>$C917*CT916</f>
        <v/>
      </c>
      <c r="CU917">
        <f>$C917*CU916</f>
        <v/>
      </c>
      <c r="CV917">
        <f>$C917*CV916</f>
        <v/>
      </c>
      <c r="CW917">
        <f>$C917*CW916</f>
        <v/>
      </c>
      <c r="CX917">
        <f>$C917*CX916</f>
        <v/>
      </c>
      <c r="CY917">
        <f>$C917*CY916</f>
        <v/>
      </c>
      <c r="CZ917">
        <f>$C917*CZ916</f>
        <v/>
      </c>
      <c r="DA917">
        <f>$C917*DA916</f>
        <v/>
      </c>
      <c r="DB917">
        <f>$C917*DB916</f>
        <v/>
      </c>
      <c r="DC917">
        <f>$C917*DC916</f>
        <v/>
      </c>
    </row>
    <row r="918">
      <c r="B918" t="inlineStr">
        <is>
          <t>TSP-936</t>
        </is>
      </c>
      <c r="C918" t="inlineStr">
        <is>
          <t>No. of batches</t>
        </is>
      </c>
      <c r="D918">
        <f>IFERROR(INDEX(PP_Grid[#Data],$DD918,2),0)</f>
        <v/>
      </c>
      <c r="E918">
        <f>IFERROR(INDEX(PP_Grid[#Data],$DD918,3),0)</f>
        <v/>
      </c>
      <c r="F918">
        <f>IFERROR(INDEX(PP_Grid[#Data],$DD918,4),0)</f>
        <v/>
      </c>
      <c r="G918">
        <f>IFERROR(INDEX(PP_Grid[#Data],$DD918,5),0)</f>
        <v/>
      </c>
      <c r="H918">
        <f>IFERROR(INDEX(PP_Grid[#Data],$DD918,6),0)</f>
        <v/>
      </c>
      <c r="I918">
        <f>IFERROR(INDEX(PP_Grid[#Data],$DD918,7),0)</f>
        <v/>
      </c>
      <c r="J918">
        <f>IFERROR(INDEX(PP_Grid[#Data],$DD918,8),0)</f>
        <v/>
      </c>
      <c r="K918">
        <f>IFERROR(INDEX(PP_Grid[#Data],$DD918,9),0)</f>
        <v/>
      </c>
      <c r="L918">
        <f>IFERROR(INDEX(PP_Grid[#Data],$DD918,10),0)</f>
        <v/>
      </c>
      <c r="M918">
        <f>IFERROR(INDEX(PP_Grid[#Data],$DD918,11),0)</f>
        <v/>
      </c>
      <c r="N918">
        <f>IFERROR(INDEX(PP_Grid[#Data],$DD918,12),0)</f>
        <v/>
      </c>
      <c r="O918">
        <f>IFERROR(INDEX(PP_Grid[#Data],$DD918,13),0)</f>
        <v/>
      </c>
      <c r="P918">
        <f>IFERROR(INDEX(PP_Grid[#Data],$DD918,14),0)</f>
        <v/>
      </c>
      <c r="Q918">
        <f>IFERROR(INDEX(PP_Grid[#Data],$DD918,15),0)</f>
        <v/>
      </c>
      <c r="R918">
        <f>IFERROR(INDEX(PP_Grid[#Data],$DD918,16),0)</f>
        <v/>
      </c>
      <c r="S918">
        <f>IFERROR(INDEX(PP_Grid[#Data],$DD918,17),0)</f>
        <v/>
      </c>
      <c r="T918">
        <f>IFERROR(INDEX(PP_Grid[#Data],$DD918,18),0)</f>
        <v/>
      </c>
      <c r="U918">
        <f>IFERROR(INDEX(PP_Grid[#Data],$DD918,19),0)</f>
        <v/>
      </c>
      <c r="V918">
        <f>IFERROR(INDEX(PP_Grid[#Data],$DD918,20),0)</f>
        <v/>
      </c>
      <c r="W918">
        <f>IFERROR(INDEX(PP_Grid[#Data],$DD918,21),0)</f>
        <v/>
      </c>
      <c r="X918">
        <f>IFERROR(INDEX(PP_Grid[#Data],$DD918,22),0)</f>
        <v/>
      </c>
      <c r="Y918">
        <f>IFERROR(INDEX(PP_Grid[#Data],$DD918,23),0)</f>
        <v/>
      </c>
      <c r="Z918">
        <f>IFERROR(INDEX(PP_Grid[#Data],$DD918,24),0)</f>
        <v/>
      </c>
      <c r="AA918">
        <f>IFERROR(INDEX(PP_Grid[#Data],$DD918,25),0)</f>
        <v/>
      </c>
      <c r="AB918">
        <f>IFERROR(INDEX(PP_Grid[#Data],$DD918,26),0)</f>
        <v/>
      </c>
      <c r="AC918">
        <f>IFERROR(INDEX(PP_Grid[#Data],$DD918,27),0)</f>
        <v/>
      </c>
      <c r="AD918">
        <f>IFERROR(INDEX(PP_Grid[#Data],$DD918,28),0)</f>
        <v/>
      </c>
      <c r="AE918">
        <f>IFERROR(INDEX(PP_Grid[#Data],$DD918,29),0)</f>
        <v/>
      </c>
      <c r="AF918">
        <f>IFERROR(INDEX(PP_Grid[#Data],$DD918,30),0)</f>
        <v/>
      </c>
      <c r="AG918">
        <f>IFERROR(INDEX(PP_Grid[#Data],$DD918,31),0)</f>
        <v/>
      </c>
      <c r="AH918">
        <f>IFERROR(INDEX(PP_Grid[#Data],$DD918,32),0)</f>
        <v/>
      </c>
      <c r="AI918">
        <f>IFERROR(INDEX(PP_Grid[#Data],$DD918,33),0)</f>
        <v/>
      </c>
      <c r="AJ918">
        <f>IFERROR(INDEX(PP_Grid[#Data],$DD918,34),0)</f>
        <v/>
      </c>
      <c r="AK918">
        <f>IFERROR(INDEX(PP_Grid[#Data],$DD918,35),0)</f>
        <v/>
      </c>
      <c r="AL918">
        <f>IFERROR(INDEX(PP_Grid[#Data],$DD918,36),0)</f>
        <v/>
      </c>
      <c r="AM918">
        <f>IFERROR(INDEX(PP_Grid[#Data],$DD918,37),0)</f>
        <v/>
      </c>
      <c r="AN918">
        <f>IFERROR(INDEX(PP_Grid[#Data],$DD918,38),0)</f>
        <v/>
      </c>
      <c r="AO918">
        <f>IFERROR(INDEX(PP_Grid[#Data],$DD918,39),0)</f>
        <v/>
      </c>
      <c r="AP918">
        <f>IFERROR(INDEX(PP_Grid[#Data],$DD918,40),0)</f>
        <v/>
      </c>
      <c r="AQ918">
        <f>IFERROR(INDEX(PP_Grid[#Data],$DD918,41),0)</f>
        <v/>
      </c>
      <c r="AR918">
        <f>IFERROR(INDEX(PP_Grid[#Data],$DD918,42),0)</f>
        <v/>
      </c>
      <c r="AS918">
        <f>IFERROR(INDEX(PP_Grid[#Data],$DD918,43),0)</f>
        <v/>
      </c>
      <c r="AT918">
        <f>IFERROR(INDEX(PP_Grid[#Data],$DD918,44),0)</f>
        <v/>
      </c>
      <c r="AU918">
        <f>IFERROR(INDEX(PP_Grid[#Data],$DD918,45),0)</f>
        <v/>
      </c>
      <c r="AV918">
        <f>IFERROR(INDEX(PP_Grid[#Data],$DD918,46),0)</f>
        <v/>
      </c>
      <c r="AW918">
        <f>IFERROR(INDEX(PP_Grid[#Data],$DD918,47),0)</f>
        <v/>
      </c>
      <c r="AX918">
        <f>IFERROR(INDEX(PP_Grid[#Data],$DD918,48),0)</f>
        <v/>
      </c>
      <c r="AY918">
        <f>IFERROR(INDEX(PP_Grid[#Data],$DD918,49),0)</f>
        <v/>
      </c>
      <c r="AZ918">
        <f>IFERROR(INDEX(PP_Grid[#Data],$DD918,50),0)</f>
        <v/>
      </c>
      <c r="BA918">
        <f>IFERROR(INDEX(PP_Grid[#Data],$DD918,51),0)</f>
        <v/>
      </c>
      <c r="BB918">
        <f>IFERROR(INDEX(PP_Grid[#Data],$DD918,52),0)</f>
        <v/>
      </c>
      <c r="BC918">
        <f>IFERROR(INDEX(PP_Grid[#Data],$DD918,53),0)</f>
        <v/>
      </c>
      <c r="BD918">
        <f>IFERROR(INDEX(PP_Grid[#Data],$DD918,54),0)</f>
        <v/>
      </c>
      <c r="BE918">
        <f>IFERROR(INDEX(PP_Grid[#Data],$DD918,55),0)</f>
        <v/>
      </c>
      <c r="BF918">
        <f>IFERROR(INDEX(PP_Grid[#Data],$DD918,56),0)</f>
        <v/>
      </c>
      <c r="BG918">
        <f>IFERROR(INDEX(PP_Grid[#Data],$DD918,57),0)</f>
        <v/>
      </c>
      <c r="BH918">
        <f>IFERROR(INDEX(PP_Grid[#Data],$DD918,58),0)</f>
        <v/>
      </c>
      <c r="BI918">
        <f>IFERROR(INDEX(PP_Grid[#Data],$DD918,59),0)</f>
        <v/>
      </c>
      <c r="BJ918">
        <f>IFERROR(INDEX(PP_Grid[#Data],$DD918,60),0)</f>
        <v/>
      </c>
      <c r="BK918">
        <f>IFERROR(INDEX(PP_Grid[#Data],$DD918,61),0)</f>
        <v/>
      </c>
      <c r="BL918">
        <f>IFERROR(INDEX(PP_Grid[#Data],$DD918,62),0)</f>
        <v/>
      </c>
      <c r="BM918">
        <f>IFERROR(INDEX(PP_Grid[#Data],$DD918,63),0)</f>
        <v/>
      </c>
      <c r="BN918">
        <f>IFERROR(INDEX(PP_Grid[#Data],$DD918,64),0)</f>
        <v/>
      </c>
      <c r="BO918">
        <f>IFERROR(INDEX(PP_Grid[#Data],$DD918,65),0)</f>
        <v/>
      </c>
      <c r="BP918">
        <f>IFERROR(INDEX(PP_Grid[#Data],$DD918,66),0)</f>
        <v/>
      </c>
      <c r="BQ918">
        <f>IFERROR(INDEX(PP_Grid[#Data],$DD918,67),0)</f>
        <v/>
      </c>
      <c r="BR918">
        <f>IFERROR(INDEX(PP_Grid[#Data],$DD918,68),0)</f>
        <v/>
      </c>
      <c r="BS918">
        <f>IFERROR(INDEX(PP_Grid[#Data],$DD918,69),0)</f>
        <v/>
      </c>
      <c r="BT918">
        <f>IFERROR(INDEX(PP_Grid[#Data],$DD918,70),0)</f>
        <v/>
      </c>
      <c r="BU918">
        <f>IFERROR(INDEX(PP_Grid[#Data],$DD918,71),0)</f>
        <v/>
      </c>
      <c r="BV918">
        <f>IFERROR(INDEX(PP_Grid[#Data],$DD918,72),0)</f>
        <v/>
      </c>
      <c r="BW918">
        <f>IFERROR(INDEX(PP_Grid[#Data],$DD918,73),0)</f>
        <v/>
      </c>
      <c r="BX918">
        <f>IFERROR(INDEX(PP_Grid[#Data],$DD918,74),0)</f>
        <v/>
      </c>
      <c r="BY918">
        <f>IFERROR(INDEX(PP_Grid[#Data],$DD918,75),0)</f>
        <v/>
      </c>
      <c r="BZ918">
        <f>IFERROR(INDEX(PP_Grid[#Data],$DD918,76),0)</f>
        <v/>
      </c>
      <c r="CA918">
        <f>IFERROR(INDEX(PP_Grid[#Data],$DD918,77),0)</f>
        <v/>
      </c>
      <c r="CB918">
        <f>IFERROR(INDEX(PP_Grid[#Data],$DD918,78),0)</f>
        <v/>
      </c>
      <c r="CC918">
        <f>IFERROR(INDEX(PP_Grid[#Data],$DD918,79),0)</f>
        <v/>
      </c>
      <c r="CD918">
        <f>IFERROR(INDEX(PP_Grid[#Data],$DD918,80),0)</f>
        <v/>
      </c>
      <c r="CE918">
        <f>IFERROR(INDEX(PP_Grid[#Data],$DD918,81),0)</f>
        <v/>
      </c>
      <c r="CF918">
        <f>IFERROR(INDEX(PP_Grid[#Data],$DD918,82),0)</f>
        <v/>
      </c>
      <c r="CG918">
        <f>IFERROR(INDEX(PP_Grid[#Data],$DD918,83),0)</f>
        <v/>
      </c>
      <c r="CH918">
        <f>IFERROR(INDEX(PP_Grid[#Data],$DD918,84),0)</f>
        <v/>
      </c>
      <c r="CI918">
        <f>IFERROR(INDEX(PP_Grid[#Data],$DD918,85),0)</f>
        <v/>
      </c>
      <c r="CJ918">
        <f>IFERROR(INDEX(PP_Grid[#Data],$DD918,86),0)</f>
        <v/>
      </c>
      <c r="CK918">
        <f>IFERROR(INDEX(PP_Grid[#Data],$DD918,87),0)</f>
        <v/>
      </c>
      <c r="CL918">
        <f>IFERROR(INDEX(PP_Grid[#Data],$DD918,88),0)</f>
        <v/>
      </c>
      <c r="CM918">
        <f>IFERROR(INDEX(PP_Grid[#Data],$DD918,89),0)</f>
        <v/>
      </c>
      <c r="CN918">
        <f>IFERROR(INDEX(PP_Grid[#Data],$DD918,90),0)</f>
        <v/>
      </c>
      <c r="CO918">
        <f>IFERROR(INDEX(PP_Grid[#Data],$DD918,91),0)</f>
        <v/>
      </c>
      <c r="CP918">
        <f>IFERROR(INDEX(PP_Grid[#Data],$DD918,92),0)</f>
        <v/>
      </c>
      <c r="CQ918">
        <f>IFERROR(INDEX(PP_Grid[#Data],$DD918,93),0)</f>
        <v/>
      </c>
      <c r="CR918">
        <f>IFERROR(INDEX(PP_Grid[#Data],$DD918,94),0)</f>
        <v/>
      </c>
      <c r="CS918">
        <f>IFERROR(INDEX(PP_Grid[#Data],$DD918,95),0)</f>
        <v/>
      </c>
      <c r="CT918">
        <f>IFERROR(INDEX(PP_Grid[#Data],$DD918,96),0)</f>
        <v/>
      </c>
      <c r="CU918">
        <f>IFERROR(INDEX(PP_Grid[#Data],$DD918,97),0)</f>
        <v/>
      </c>
      <c r="CV918">
        <f>IFERROR(INDEX(PP_Grid[#Data],$DD918,98),0)</f>
        <v/>
      </c>
      <c r="CW918">
        <f>IFERROR(INDEX(PP_Grid[#Data],$DD918,99),0)</f>
        <v/>
      </c>
      <c r="CX918">
        <f>IFERROR(INDEX(PP_Grid[#Data],$DD918,100),0)</f>
        <v/>
      </c>
      <c r="CY918">
        <f>IFERROR(INDEX(PP_Grid[#Data],$DD918,101),0)</f>
        <v/>
      </c>
      <c r="CZ918">
        <f>IFERROR(INDEX(PP_Grid[#Data],$DD918,102),0)</f>
        <v/>
      </c>
      <c r="DA918">
        <f>IFERROR(INDEX(PP_Grid[#Data],$DD918,103),0)</f>
        <v/>
      </c>
      <c r="DB918">
        <f>IFERROR(INDEX(PP_Grid[#Data],$DD918,104),0)</f>
        <v/>
      </c>
      <c r="DC918">
        <f>IFERROR(INDEX(PP_Grid[#Data],$DD918,105),0)</f>
        <v/>
      </c>
      <c r="DD918" s="7">
        <f>IFERROR(MATCH($B918,PP_Grid[Intermediate],0),99999)</f>
        <v/>
      </c>
    </row>
    <row r="919">
      <c r="B919" t="inlineStr">
        <is>
          <t>使用量(kg)</t>
        </is>
      </c>
      <c r="C919">
        <f>SUMIFS(M_BOM[RM_Qty_Per_Batch],M_BOM[Intermediate],$B918,M_BOM[Part Name],$A905)</f>
        <v/>
      </c>
      <c r="D919">
        <f>$C919*D918</f>
        <v/>
      </c>
      <c r="E919">
        <f>$C919*E918</f>
        <v/>
      </c>
      <c r="F919">
        <f>$C919*F918</f>
        <v/>
      </c>
      <c r="G919">
        <f>$C919*G918</f>
        <v/>
      </c>
      <c r="H919">
        <f>$C919*H918</f>
        <v/>
      </c>
      <c r="I919">
        <f>$C919*I918</f>
        <v/>
      </c>
      <c r="J919">
        <f>$C919*J918</f>
        <v/>
      </c>
      <c r="K919">
        <f>$C919*K918</f>
        <v/>
      </c>
      <c r="L919">
        <f>$C919*L918</f>
        <v/>
      </c>
      <c r="M919">
        <f>$C919*M918</f>
        <v/>
      </c>
      <c r="N919">
        <f>$C919*N918</f>
        <v/>
      </c>
      <c r="O919">
        <f>$C919*O918</f>
        <v/>
      </c>
      <c r="P919">
        <f>$C919*P918</f>
        <v/>
      </c>
      <c r="Q919">
        <f>$C919*Q918</f>
        <v/>
      </c>
      <c r="R919">
        <f>$C919*R918</f>
        <v/>
      </c>
      <c r="S919">
        <f>$C919*S918</f>
        <v/>
      </c>
      <c r="T919">
        <f>$C919*T918</f>
        <v/>
      </c>
      <c r="U919">
        <f>$C919*U918</f>
        <v/>
      </c>
      <c r="V919">
        <f>$C919*V918</f>
        <v/>
      </c>
      <c r="W919">
        <f>$C919*W918</f>
        <v/>
      </c>
      <c r="X919">
        <f>$C919*X918</f>
        <v/>
      </c>
      <c r="Y919">
        <f>$C919*Y918</f>
        <v/>
      </c>
      <c r="Z919">
        <f>$C919*Z918</f>
        <v/>
      </c>
      <c r="AA919">
        <f>$C919*AA918</f>
        <v/>
      </c>
      <c r="AB919">
        <f>$C919*AB918</f>
        <v/>
      </c>
      <c r="AC919">
        <f>$C919*AC918</f>
        <v/>
      </c>
      <c r="AD919">
        <f>$C919*AD918</f>
        <v/>
      </c>
      <c r="AE919">
        <f>$C919*AE918</f>
        <v/>
      </c>
      <c r="AF919">
        <f>$C919*AF918</f>
        <v/>
      </c>
      <c r="AG919">
        <f>$C919*AG918</f>
        <v/>
      </c>
      <c r="AH919">
        <f>$C919*AH918</f>
        <v/>
      </c>
      <c r="AI919">
        <f>$C919*AI918</f>
        <v/>
      </c>
      <c r="AJ919">
        <f>$C919*AJ918</f>
        <v/>
      </c>
      <c r="AK919">
        <f>$C919*AK918</f>
        <v/>
      </c>
      <c r="AL919">
        <f>$C919*AL918</f>
        <v/>
      </c>
      <c r="AM919">
        <f>$C919*AM918</f>
        <v/>
      </c>
      <c r="AN919">
        <f>$C919*AN918</f>
        <v/>
      </c>
      <c r="AO919">
        <f>$C919*AO918</f>
        <v/>
      </c>
      <c r="AP919">
        <f>$C919*AP918</f>
        <v/>
      </c>
      <c r="AQ919">
        <f>$C919*AQ918</f>
        <v/>
      </c>
      <c r="AR919">
        <f>$C919*AR918</f>
        <v/>
      </c>
      <c r="AS919">
        <f>$C919*AS918</f>
        <v/>
      </c>
      <c r="AT919">
        <f>$C919*AT918</f>
        <v/>
      </c>
      <c r="AU919">
        <f>$C919*AU918</f>
        <v/>
      </c>
      <c r="AV919">
        <f>$C919*AV918</f>
        <v/>
      </c>
      <c r="AW919">
        <f>$C919*AW918</f>
        <v/>
      </c>
      <c r="AX919">
        <f>$C919*AX918</f>
        <v/>
      </c>
      <c r="AY919">
        <f>$C919*AY918</f>
        <v/>
      </c>
      <c r="AZ919">
        <f>$C919*AZ918</f>
        <v/>
      </c>
      <c r="BA919">
        <f>$C919*BA918</f>
        <v/>
      </c>
      <c r="BB919">
        <f>$C919*BB918</f>
        <v/>
      </c>
      <c r="BC919">
        <f>$C919*BC918</f>
        <v/>
      </c>
      <c r="BD919">
        <f>$C919*BD918</f>
        <v/>
      </c>
      <c r="BE919">
        <f>$C919*BE918</f>
        <v/>
      </c>
      <c r="BF919">
        <f>$C919*BF918</f>
        <v/>
      </c>
      <c r="BG919">
        <f>$C919*BG918</f>
        <v/>
      </c>
      <c r="BH919">
        <f>$C919*BH918</f>
        <v/>
      </c>
      <c r="BI919">
        <f>$C919*BI918</f>
        <v/>
      </c>
      <c r="BJ919">
        <f>$C919*BJ918</f>
        <v/>
      </c>
      <c r="BK919">
        <f>$C919*BK918</f>
        <v/>
      </c>
      <c r="BL919">
        <f>$C919*BL918</f>
        <v/>
      </c>
      <c r="BM919">
        <f>$C919*BM918</f>
        <v/>
      </c>
      <c r="BN919">
        <f>$C919*BN918</f>
        <v/>
      </c>
      <c r="BO919">
        <f>$C919*BO918</f>
        <v/>
      </c>
      <c r="BP919">
        <f>$C919*BP918</f>
        <v/>
      </c>
      <c r="BQ919">
        <f>$C919*BQ918</f>
        <v/>
      </c>
      <c r="BR919">
        <f>$C919*BR918</f>
        <v/>
      </c>
      <c r="BS919">
        <f>$C919*BS918</f>
        <v/>
      </c>
      <c r="BT919">
        <f>$C919*BT918</f>
        <v/>
      </c>
      <c r="BU919">
        <f>$C919*BU918</f>
        <v/>
      </c>
      <c r="BV919">
        <f>$C919*BV918</f>
        <v/>
      </c>
      <c r="BW919">
        <f>$C919*BW918</f>
        <v/>
      </c>
      <c r="BX919">
        <f>$C919*BX918</f>
        <v/>
      </c>
      <c r="BY919">
        <f>$C919*BY918</f>
        <v/>
      </c>
      <c r="BZ919">
        <f>$C919*BZ918</f>
        <v/>
      </c>
      <c r="CA919">
        <f>$C919*CA918</f>
        <v/>
      </c>
      <c r="CB919">
        <f>$C919*CB918</f>
        <v/>
      </c>
      <c r="CC919">
        <f>$C919*CC918</f>
        <v/>
      </c>
      <c r="CD919">
        <f>$C919*CD918</f>
        <v/>
      </c>
      <c r="CE919">
        <f>$C919*CE918</f>
        <v/>
      </c>
      <c r="CF919">
        <f>$C919*CF918</f>
        <v/>
      </c>
      <c r="CG919">
        <f>$C919*CG918</f>
        <v/>
      </c>
      <c r="CH919">
        <f>$C919*CH918</f>
        <v/>
      </c>
      <c r="CI919">
        <f>$C919*CI918</f>
        <v/>
      </c>
      <c r="CJ919">
        <f>$C919*CJ918</f>
        <v/>
      </c>
      <c r="CK919">
        <f>$C919*CK918</f>
        <v/>
      </c>
      <c r="CL919">
        <f>$C919*CL918</f>
        <v/>
      </c>
      <c r="CM919">
        <f>$C919*CM918</f>
        <v/>
      </c>
      <c r="CN919">
        <f>$C919*CN918</f>
        <v/>
      </c>
      <c r="CO919">
        <f>$C919*CO918</f>
        <v/>
      </c>
      <c r="CP919">
        <f>$C919*CP918</f>
        <v/>
      </c>
      <c r="CQ919">
        <f>$C919*CQ918</f>
        <v/>
      </c>
      <c r="CR919">
        <f>$C919*CR918</f>
        <v/>
      </c>
      <c r="CS919">
        <f>$C919*CS918</f>
        <v/>
      </c>
      <c r="CT919">
        <f>$C919*CT918</f>
        <v/>
      </c>
      <c r="CU919">
        <f>$C919*CU918</f>
        <v/>
      </c>
      <c r="CV919">
        <f>$C919*CV918</f>
        <v/>
      </c>
      <c r="CW919">
        <f>$C919*CW918</f>
        <v/>
      </c>
      <c r="CX919">
        <f>$C919*CX918</f>
        <v/>
      </c>
      <c r="CY919">
        <f>$C919*CY918</f>
        <v/>
      </c>
      <c r="CZ919">
        <f>$C919*CZ918</f>
        <v/>
      </c>
      <c r="DA919">
        <f>$C919*DA918</f>
        <v/>
      </c>
      <c r="DB919">
        <f>$C919*DB918</f>
        <v/>
      </c>
      <c r="DC919">
        <f>$C919*DC918</f>
        <v/>
      </c>
    </row>
    <row r="920">
      <c r="B920" t="inlineStr">
        <is>
          <t>TSP-937</t>
        </is>
      </c>
      <c r="C920" t="inlineStr">
        <is>
          <t>No. of batches</t>
        </is>
      </c>
      <c r="D920">
        <f>IFERROR(INDEX(PP_Grid[#Data],$DD920,2),0)</f>
        <v/>
      </c>
      <c r="E920">
        <f>IFERROR(INDEX(PP_Grid[#Data],$DD920,3),0)</f>
        <v/>
      </c>
      <c r="F920">
        <f>IFERROR(INDEX(PP_Grid[#Data],$DD920,4),0)</f>
        <v/>
      </c>
      <c r="G920">
        <f>IFERROR(INDEX(PP_Grid[#Data],$DD920,5),0)</f>
        <v/>
      </c>
      <c r="H920">
        <f>IFERROR(INDEX(PP_Grid[#Data],$DD920,6),0)</f>
        <v/>
      </c>
      <c r="I920">
        <f>IFERROR(INDEX(PP_Grid[#Data],$DD920,7),0)</f>
        <v/>
      </c>
      <c r="J920">
        <f>IFERROR(INDEX(PP_Grid[#Data],$DD920,8),0)</f>
        <v/>
      </c>
      <c r="K920">
        <f>IFERROR(INDEX(PP_Grid[#Data],$DD920,9),0)</f>
        <v/>
      </c>
      <c r="L920">
        <f>IFERROR(INDEX(PP_Grid[#Data],$DD920,10),0)</f>
        <v/>
      </c>
      <c r="M920">
        <f>IFERROR(INDEX(PP_Grid[#Data],$DD920,11),0)</f>
        <v/>
      </c>
      <c r="N920">
        <f>IFERROR(INDEX(PP_Grid[#Data],$DD920,12),0)</f>
        <v/>
      </c>
      <c r="O920">
        <f>IFERROR(INDEX(PP_Grid[#Data],$DD920,13),0)</f>
        <v/>
      </c>
      <c r="P920">
        <f>IFERROR(INDEX(PP_Grid[#Data],$DD920,14),0)</f>
        <v/>
      </c>
      <c r="Q920">
        <f>IFERROR(INDEX(PP_Grid[#Data],$DD920,15),0)</f>
        <v/>
      </c>
      <c r="R920">
        <f>IFERROR(INDEX(PP_Grid[#Data],$DD920,16),0)</f>
        <v/>
      </c>
      <c r="S920">
        <f>IFERROR(INDEX(PP_Grid[#Data],$DD920,17),0)</f>
        <v/>
      </c>
      <c r="T920">
        <f>IFERROR(INDEX(PP_Grid[#Data],$DD920,18),0)</f>
        <v/>
      </c>
      <c r="U920">
        <f>IFERROR(INDEX(PP_Grid[#Data],$DD920,19),0)</f>
        <v/>
      </c>
      <c r="V920">
        <f>IFERROR(INDEX(PP_Grid[#Data],$DD920,20),0)</f>
        <v/>
      </c>
      <c r="W920">
        <f>IFERROR(INDEX(PP_Grid[#Data],$DD920,21),0)</f>
        <v/>
      </c>
      <c r="X920">
        <f>IFERROR(INDEX(PP_Grid[#Data],$DD920,22),0)</f>
        <v/>
      </c>
      <c r="Y920">
        <f>IFERROR(INDEX(PP_Grid[#Data],$DD920,23),0)</f>
        <v/>
      </c>
      <c r="Z920">
        <f>IFERROR(INDEX(PP_Grid[#Data],$DD920,24),0)</f>
        <v/>
      </c>
      <c r="AA920">
        <f>IFERROR(INDEX(PP_Grid[#Data],$DD920,25),0)</f>
        <v/>
      </c>
      <c r="AB920">
        <f>IFERROR(INDEX(PP_Grid[#Data],$DD920,26),0)</f>
        <v/>
      </c>
      <c r="AC920">
        <f>IFERROR(INDEX(PP_Grid[#Data],$DD920,27),0)</f>
        <v/>
      </c>
      <c r="AD920">
        <f>IFERROR(INDEX(PP_Grid[#Data],$DD920,28),0)</f>
        <v/>
      </c>
      <c r="AE920">
        <f>IFERROR(INDEX(PP_Grid[#Data],$DD920,29),0)</f>
        <v/>
      </c>
      <c r="AF920">
        <f>IFERROR(INDEX(PP_Grid[#Data],$DD920,30),0)</f>
        <v/>
      </c>
      <c r="AG920">
        <f>IFERROR(INDEX(PP_Grid[#Data],$DD920,31),0)</f>
        <v/>
      </c>
      <c r="AH920">
        <f>IFERROR(INDEX(PP_Grid[#Data],$DD920,32),0)</f>
        <v/>
      </c>
      <c r="AI920">
        <f>IFERROR(INDEX(PP_Grid[#Data],$DD920,33),0)</f>
        <v/>
      </c>
      <c r="AJ920">
        <f>IFERROR(INDEX(PP_Grid[#Data],$DD920,34),0)</f>
        <v/>
      </c>
      <c r="AK920">
        <f>IFERROR(INDEX(PP_Grid[#Data],$DD920,35),0)</f>
        <v/>
      </c>
      <c r="AL920">
        <f>IFERROR(INDEX(PP_Grid[#Data],$DD920,36),0)</f>
        <v/>
      </c>
      <c r="AM920">
        <f>IFERROR(INDEX(PP_Grid[#Data],$DD920,37),0)</f>
        <v/>
      </c>
      <c r="AN920">
        <f>IFERROR(INDEX(PP_Grid[#Data],$DD920,38),0)</f>
        <v/>
      </c>
      <c r="AO920">
        <f>IFERROR(INDEX(PP_Grid[#Data],$DD920,39),0)</f>
        <v/>
      </c>
      <c r="AP920">
        <f>IFERROR(INDEX(PP_Grid[#Data],$DD920,40),0)</f>
        <v/>
      </c>
      <c r="AQ920">
        <f>IFERROR(INDEX(PP_Grid[#Data],$DD920,41),0)</f>
        <v/>
      </c>
      <c r="AR920">
        <f>IFERROR(INDEX(PP_Grid[#Data],$DD920,42),0)</f>
        <v/>
      </c>
      <c r="AS920">
        <f>IFERROR(INDEX(PP_Grid[#Data],$DD920,43),0)</f>
        <v/>
      </c>
      <c r="AT920">
        <f>IFERROR(INDEX(PP_Grid[#Data],$DD920,44),0)</f>
        <v/>
      </c>
      <c r="AU920">
        <f>IFERROR(INDEX(PP_Grid[#Data],$DD920,45),0)</f>
        <v/>
      </c>
      <c r="AV920">
        <f>IFERROR(INDEX(PP_Grid[#Data],$DD920,46),0)</f>
        <v/>
      </c>
      <c r="AW920">
        <f>IFERROR(INDEX(PP_Grid[#Data],$DD920,47),0)</f>
        <v/>
      </c>
      <c r="AX920">
        <f>IFERROR(INDEX(PP_Grid[#Data],$DD920,48),0)</f>
        <v/>
      </c>
      <c r="AY920">
        <f>IFERROR(INDEX(PP_Grid[#Data],$DD920,49),0)</f>
        <v/>
      </c>
      <c r="AZ920">
        <f>IFERROR(INDEX(PP_Grid[#Data],$DD920,50),0)</f>
        <v/>
      </c>
      <c r="BA920">
        <f>IFERROR(INDEX(PP_Grid[#Data],$DD920,51),0)</f>
        <v/>
      </c>
      <c r="BB920">
        <f>IFERROR(INDEX(PP_Grid[#Data],$DD920,52),0)</f>
        <v/>
      </c>
      <c r="BC920">
        <f>IFERROR(INDEX(PP_Grid[#Data],$DD920,53),0)</f>
        <v/>
      </c>
      <c r="BD920">
        <f>IFERROR(INDEX(PP_Grid[#Data],$DD920,54),0)</f>
        <v/>
      </c>
      <c r="BE920">
        <f>IFERROR(INDEX(PP_Grid[#Data],$DD920,55),0)</f>
        <v/>
      </c>
      <c r="BF920">
        <f>IFERROR(INDEX(PP_Grid[#Data],$DD920,56),0)</f>
        <v/>
      </c>
      <c r="BG920">
        <f>IFERROR(INDEX(PP_Grid[#Data],$DD920,57),0)</f>
        <v/>
      </c>
      <c r="BH920">
        <f>IFERROR(INDEX(PP_Grid[#Data],$DD920,58),0)</f>
        <v/>
      </c>
      <c r="BI920">
        <f>IFERROR(INDEX(PP_Grid[#Data],$DD920,59),0)</f>
        <v/>
      </c>
      <c r="BJ920">
        <f>IFERROR(INDEX(PP_Grid[#Data],$DD920,60),0)</f>
        <v/>
      </c>
      <c r="BK920">
        <f>IFERROR(INDEX(PP_Grid[#Data],$DD920,61),0)</f>
        <v/>
      </c>
      <c r="BL920">
        <f>IFERROR(INDEX(PP_Grid[#Data],$DD920,62),0)</f>
        <v/>
      </c>
      <c r="BM920">
        <f>IFERROR(INDEX(PP_Grid[#Data],$DD920,63),0)</f>
        <v/>
      </c>
      <c r="BN920">
        <f>IFERROR(INDEX(PP_Grid[#Data],$DD920,64),0)</f>
        <v/>
      </c>
      <c r="BO920">
        <f>IFERROR(INDEX(PP_Grid[#Data],$DD920,65),0)</f>
        <v/>
      </c>
      <c r="BP920">
        <f>IFERROR(INDEX(PP_Grid[#Data],$DD920,66),0)</f>
        <v/>
      </c>
      <c r="BQ920">
        <f>IFERROR(INDEX(PP_Grid[#Data],$DD920,67),0)</f>
        <v/>
      </c>
      <c r="BR920">
        <f>IFERROR(INDEX(PP_Grid[#Data],$DD920,68),0)</f>
        <v/>
      </c>
      <c r="BS920">
        <f>IFERROR(INDEX(PP_Grid[#Data],$DD920,69),0)</f>
        <v/>
      </c>
      <c r="BT920">
        <f>IFERROR(INDEX(PP_Grid[#Data],$DD920,70),0)</f>
        <v/>
      </c>
      <c r="BU920">
        <f>IFERROR(INDEX(PP_Grid[#Data],$DD920,71),0)</f>
        <v/>
      </c>
      <c r="BV920">
        <f>IFERROR(INDEX(PP_Grid[#Data],$DD920,72),0)</f>
        <v/>
      </c>
      <c r="BW920">
        <f>IFERROR(INDEX(PP_Grid[#Data],$DD920,73),0)</f>
        <v/>
      </c>
      <c r="BX920">
        <f>IFERROR(INDEX(PP_Grid[#Data],$DD920,74),0)</f>
        <v/>
      </c>
      <c r="BY920">
        <f>IFERROR(INDEX(PP_Grid[#Data],$DD920,75),0)</f>
        <v/>
      </c>
      <c r="BZ920">
        <f>IFERROR(INDEX(PP_Grid[#Data],$DD920,76),0)</f>
        <v/>
      </c>
      <c r="CA920">
        <f>IFERROR(INDEX(PP_Grid[#Data],$DD920,77),0)</f>
        <v/>
      </c>
      <c r="CB920">
        <f>IFERROR(INDEX(PP_Grid[#Data],$DD920,78),0)</f>
        <v/>
      </c>
      <c r="CC920">
        <f>IFERROR(INDEX(PP_Grid[#Data],$DD920,79),0)</f>
        <v/>
      </c>
      <c r="CD920">
        <f>IFERROR(INDEX(PP_Grid[#Data],$DD920,80),0)</f>
        <v/>
      </c>
      <c r="CE920">
        <f>IFERROR(INDEX(PP_Grid[#Data],$DD920,81),0)</f>
        <v/>
      </c>
      <c r="CF920">
        <f>IFERROR(INDEX(PP_Grid[#Data],$DD920,82),0)</f>
        <v/>
      </c>
      <c r="CG920">
        <f>IFERROR(INDEX(PP_Grid[#Data],$DD920,83),0)</f>
        <v/>
      </c>
      <c r="CH920">
        <f>IFERROR(INDEX(PP_Grid[#Data],$DD920,84),0)</f>
        <v/>
      </c>
      <c r="CI920">
        <f>IFERROR(INDEX(PP_Grid[#Data],$DD920,85),0)</f>
        <v/>
      </c>
      <c r="CJ920">
        <f>IFERROR(INDEX(PP_Grid[#Data],$DD920,86),0)</f>
        <v/>
      </c>
      <c r="CK920">
        <f>IFERROR(INDEX(PP_Grid[#Data],$DD920,87),0)</f>
        <v/>
      </c>
      <c r="CL920">
        <f>IFERROR(INDEX(PP_Grid[#Data],$DD920,88),0)</f>
        <v/>
      </c>
      <c r="CM920">
        <f>IFERROR(INDEX(PP_Grid[#Data],$DD920,89),0)</f>
        <v/>
      </c>
      <c r="CN920">
        <f>IFERROR(INDEX(PP_Grid[#Data],$DD920,90),0)</f>
        <v/>
      </c>
      <c r="CO920">
        <f>IFERROR(INDEX(PP_Grid[#Data],$DD920,91),0)</f>
        <v/>
      </c>
      <c r="CP920">
        <f>IFERROR(INDEX(PP_Grid[#Data],$DD920,92),0)</f>
        <v/>
      </c>
      <c r="CQ920">
        <f>IFERROR(INDEX(PP_Grid[#Data],$DD920,93),0)</f>
        <v/>
      </c>
      <c r="CR920">
        <f>IFERROR(INDEX(PP_Grid[#Data],$DD920,94),0)</f>
        <v/>
      </c>
      <c r="CS920">
        <f>IFERROR(INDEX(PP_Grid[#Data],$DD920,95),0)</f>
        <v/>
      </c>
      <c r="CT920">
        <f>IFERROR(INDEX(PP_Grid[#Data],$DD920,96),0)</f>
        <v/>
      </c>
      <c r="CU920">
        <f>IFERROR(INDEX(PP_Grid[#Data],$DD920,97),0)</f>
        <v/>
      </c>
      <c r="CV920">
        <f>IFERROR(INDEX(PP_Grid[#Data],$DD920,98),0)</f>
        <v/>
      </c>
      <c r="CW920">
        <f>IFERROR(INDEX(PP_Grid[#Data],$DD920,99),0)</f>
        <v/>
      </c>
      <c r="CX920">
        <f>IFERROR(INDEX(PP_Grid[#Data],$DD920,100),0)</f>
        <v/>
      </c>
      <c r="CY920">
        <f>IFERROR(INDEX(PP_Grid[#Data],$DD920,101),0)</f>
        <v/>
      </c>
      <c r="CZ920">
        <f>IFERROR(INDEX(PP_Grid[#Data],$DD920,102),0)</f>
        <v/>
      </c>
      <c r="DA920">
        <f>IFERROR(INDEX(PP_Grid[#Data],$DD920,103),0)</f>
        <v/>
      </c>
      <c r="DB920">
        <f>IFERROR(INDEX(PP_Grid[#Data],$DD920,104),0)</f>
        <v/>
      </c>
      <c r="DC920">
        <f>IFERROR(INDEX(PP_Grid[#Data],$DD920,105),0)</f>
        <v/>
      </c>
      <c r="DD920" s="7">
        <f>IFERROR(MATCH($B920,PP_Grid[Intermediate],0),99999)</f>
        <v/>
      </c>
    </row>
    <row r="921">
      <c r="B921" t="inlineStr">
        <is>
          <t>使用量(kg)</t>
        </is>
      </c>
      <c r="C921">
        <f>SUMIFS(M_BOM[RM_Qty_Per_Batch],M_BOM[Intermediate],$B920,M_BOM[Part Name],$A905)</f>
        <v/>
      </c>
      <c r="D921">
        <f>$C921*D920</f>
        <v/>
      </c>
      <c r="E921">
        <f>$C921*E920</f>
        <v/>
      </c>
      <c r="F921">
        <f>$C921*F920</f>
        <v/>
      </c>
      <c r="G921">
        <f>$C921*G920</f>
        <v/>
      </c>
      <c r="H921">
        <f>$C921*H920</f>
        <v/>
      </c>
      <c r="I921">
        <f>$C921*I920</f>
        <v/>
      </c>
      <c r="J921">
        <f>$C921*J920</f>
        <v/>
      </c>
      <c r="K921">
        <f>$C921*K920</f>
        <v/>
      </c>
      <c r="L921">
        <f>$C921*L920</f>
        <v/>
      </c>
      <c r="M921">
        <f>$C921*M920</f>
        <v/>
      </c>
      <c r="N921">
        <f>$C921*N920</f>
        <v/>
      </c>
      <c r="O921">
        <f>$C921*O920</f>
        <v/>
      </c>
      <c r="P921">
        <f>$C921*P920</f>
        <v/>
      </c>
      <c r="Q921">
        <f>$C921*Q920</f>
        <v/>
      </c>
      <c r="R921">
        <f>$C921*R920</f>
        <v/>
      </c>
      <c r="S921">
        <f>$C921*S920</f>
        <v/>
      </c>
      <c r="T921">
        <f>$C921*T920</f>
        <v/>
      </c>
      <c r="U921">
        <f>$C921*U920</f>
        <v/>
      </c>
      <c r="V921">
        <f>$C921*V920</f>
        <v/>
      </c>
      <c r="W921">
        <f>$C921*W920</f>
        <v/>
      </c>
      <c r="X921">
        <f>$C921*X920</f>
        <v/>
      </c>
      <c r="Y921">
        <f>$C921*Y920</f>
        <v/>
      </c>
      <c r="Z921">
        <f>$C921*Z920</f>
        <v/>
      </c>
      <c r="AA921">
        <f>$C921*AA920</f>
        <v/>
      </c>
      <c r="AB921">
        <f>$C921*AB920</f>
        <v/>
      </c>
      <c r="AC921">
        <f>$C921*AC920</f>
        <v/>
      </c>
      <c r="AD921">
        <f>$C921*AD920</f>
        <v/>
      </c>
      <c r="AE921">
        <f>$C921*AE920</f>
        <v/>
      </c>
      <c r="AF921">
        <f>$C921*AF920</f>
        <v/>
      </c>
      <c r="AG921">
        <f>$C921*AG920</f>
        <v/>
      </c>
      <c r="AH921">
        <f>$C921*AH920</f>
        <v/>
      </c>
      <c r="AI921">
        <f>$C921*AI920</f>
        <v/>
      </c>
      <c r="AJ921">
        <f>$C921*AJ920</f>
        <v/>
      </c>
      <c r="AK921">
        <f>$C921*AK920</f>
        <v/>
      </c>
      <c r="AL921">
        <f>$C921*AL920</f>
        <v/>
      </c>
      <c r="AM921">
        <f>$C921*AM920</f>
        <v/>
      </c>
      <c r="AN921">
        <f>$C921*AN920</f>
        <v/>
      </c>
      <c r="AO921">
        <f>$C921*AO920</f>
        <v/>
      </c>
      <c r="AP921">
        <f>$C921*AP920</f>
        <v/>
      </c>
      <c r="AQ921">
        <f>$C921*AQ920</f>
        <v/>
      </c>
      <c r="AR921">
        <f>$C921*AR920</f>
        <v/>
      </c>
      <c r="AS921">
        <f>$C921*AS920</f>
        <v/>
      </c>
      <c r="AT921">
        <f>$C921*AT920</f>
        <v/>
      </c>
      <c r="AU921">
        <f>$C921*AU920</f>
        <v/>
      </c>
      <c r="AV921">
        <f>$C921*AV920</f>
        <v/>
      </c>
      <c r="AW921">
        <f>$C921*AW920</f>
        <v/>
      </c>
      <c r="AX921">
        <f>$C921*AX920</f>
        <v/>
      </c>
      <c r="AY921">
        <f>$C921*AY920</f>
        <v/>
      </c>
      <c r="AZ921">
        <f>$C921*AZ920</f>
        <v/>
      </c>
      <c r="BA921">
        <f>$C921*BA920</f>
        <v/>
      </c>
      <c r="BB921">
        <f>$C921*BB920</f>
        <v/>
      </c>
      <c r="BC921">
        <f>$C921*BC920</f>
        <v/>
      </c>
      <c r="BD921">
        <f>$C921*BD920</f>
        <v/>
      </c>
      <c r="BE921">
        <f>$C921*BE920</f>
        <v/>
      </c>
      <c r="BF921">
        <f>$C921*BF920</f>
        <v/>
      </c>
      <c r="BG921">
        <f>$C921*BG920</f>
        <v/>
      </c>
      <c r="BH921">
        <f>$C921*BH920</f>
        <v/>
      </c>
      <c r="BI921">
        <f>$C921*BI920</f>
        <v/>
      </c>
      <c r="BJ921">
        <f>$C921*BJ920</f>
        <v/>
      </c>
      <c r="BK921">
        <f>$C921*BK920</f>
        <v/>
      </c>
      <c r="BL921">
        <f>$C921*BL920</f>
        <v/>
      </c>
      <c r="BM921">
        <f>$C921*BM920</f>
        <v/>
      </c>
      <c r="BN921">
        <f>$C921*BN920</f>
        <v/>
      </c>
      <c r="BO921">
        <f>$C921*BO920</f>
        <v/>
      </c>
      <c r="BP921">
        <f>$C921*BP920</f>
        <v/>
      </c>
      <c r="BQ921">
        <f>$C921*BQ920</f>
        <v/>
      </c>
      <c r="BR921">
        <f>$C921*BR920</f>
        <v/>
      </c>
      <c r="BS921">
        <f>$C921*BS920</f>
        <v/>
      </c>
      <c r="BT921">
        <f>$C921*BT920</f>
        <v/>
      </c>
      <c r="BU921">
        <f>$C921*BU920</f>
        <v/>
      </c>
      <c r="BV921">
        <f>$C921*BV920</f>
        <v/>
      </c>
      <c r="BW921">
        <f>$C921*BW920</f>
        <v/>
      </c>
      <c r="BX921">
        <f>$C921*BX920</f>
        <v/>
      </c>
      <c r="BY921">
        <f>$C921*BY920</f>
        <v/>
      </c>
      <c r="BZ921">
        <f>$C921*BZ920</f>
        <v/>
      </c>
      <c r="CA921">
        <f>$C921*CA920</f>
        <v/>
      </c>
      <c r="CB921">
        <f>$C921*CB920</f>
        <v/>
      </c>
      <c r="CC921">
        <f>$C921*CC920</f>
        <v/>
      </c>
      <c r="CD921">
        <f>$C921*CD920</f>
        <v/>
      </c>
      <c r="CE921">
        <f>$C921*CE920</f>
        <v/>
      </c>
      <c r="CF921">
        <f>$C921*CF920</f>
        <v/>
      </c>
      <c r="CG921">
        <f>$C921*CG920</f>
        <v/>
      </c>
      <c r="CH921">
        <f>$C921*CH920</f>
        <v/>
      </c>
      <c r="CI921">
        <f>$C921*CI920</f>
        <v/>
      </c>
      <c r="CJ921">
        <f>$C921*CJ920</f>
        <v/>
      </c>
      <c r="CK921">
        <f>$C921*CK920</f>
        <v/>
      </c>
      <c r="CL921">
        <f>$C921*CL920</f>
        <v/>
      </c>
      <c r="CM921">
        <f>$C921*CM920</f>
        <v/>
      </c>
      <c r="CN921">
        <f>$C921*CN920</f>
        <v/>
      </c>
      <c r="CO921">
        <f>$C921*CO920</f>
        <v/>
      </c>
      <c r="CP921">
        <f>$C921*CP920</f>
        <v/>
      </c>
      <c r="CQ921">
        <f>$C921*CQ920</f>
        <v/>
      </c>
      <c r="CR921">
        <f>$C921*CR920</f>
        <v/>
      </c>
      <c r="CS921">
        <f>$C921*CS920</f>
        <v/>
      </c>
      <c r="CT921">
        <f>$C921*CT920</f>
        <v/>
      </c>
      <c r="CU921">
        <f>$C921*CU920</f>
        <v/>
      </c>
      <c r="CV921">
        <f>$C921*CV920</f>
        <v/>
      </c>
      <c r="CW921">
        <f>$C921*CW920</f>
        <v/>
      </c>
      <c r="CX921">
        <f>$C921*CX920</f>
        <v/>
      </c>
      <c r="CY921">
        <f>$C921*CY920</f>
        <v/>
      </c>
      <c r="CZ921">
        <f>$C921*CZ920</f>
        <v/>
      </c>
      <c r="DA921">
        <f>$C921*DA920</f>
        <v/>
      </c>
      <c r="DB921">
        <f>$C921*DB920</f>
        <v/>
      </c>
      <c r="DC921">
        <f>$C921*DC920</f>
        <v/>
      </c>
    </row>
    <row r="922">
      <c r="B922" t="inlineStr">
        <is>
          <t>TSP-1444</t>
        </is>
      </c>
      <c r="C922" t="inlineStr">
        <is>
          <t>No. of batches</t>
        </is>
      </c>
      <c r="D922">
        <f>IFERROR(INDEX(PP_Grid[#Data],$DD922,2),0)</f>
        <v/>
      </c>
      <c r="E922">
        <f>IFERROR(INDEX(PP_Grid[#Data],$DD922,3),0)</f>
        <v/>
      </c>
      <c r="F922">
        <f>IFERROR(INDEX(PP_Grid[#Data],$DD922,4),0)</f>
        <v/>
      </c>
      <c r="G922">
        <f>IFERROR(INDEX(PP_Grid[#Data],$DD922,5),0)</f>
        <v/>
      </c>
      <c r="H922">
        <f>IFERROR(INDEX(PP_Grid[#Data],$DD922,6),0)</f>
        <v/>
      </c>
      <c r="I922">
        <f>IFERROR(INDEX(PP_Grid[#Data],$DD922,7),0)</f>
        <v/>
      </c>
      <c r="J922">
        <f>IFERROR(INDEX(PP_Grid[#Data],$DD922,8),0)</f>
        <v/>
      </c>
      <c r="K922">
        <f>IFERROR(INDEX(PP_Grid[#Data],$DD922,9),0)</f>
        <v/>
      </c>
      <c r="L922">
        <f>IFERROR(INDEX(PP_Grid[#Data],$DD922,10),0)</f>
        <v/>
      </c>
      <c r="M922">
        <f>IFERROR(INDEX(PP_Grid[#Data],$DD922,11),0)</f>
        <v/>
      </c>
      <c r="N922">
        <f>IFERROR(INDEX(PP_Grid[#Data],$DD922,12),0)</f>
        <v/>
      </c>
      <c r="O922">
        <f>IFERROR(INDEX(PP_Grid[#Data],$DD922,13),0)</f>
        <v/>
      </c>
      <c r="P922">
        <f>IFERROR(INDEX(PP_Grid[#Data],$DD922,14),0)</f>
        <v/>
      </c>
      <c r="Q922">
        <f>IFERROR(INDEX(PP_Grid[#Data],$DD922,15),0)</f>
        <v/>
      </c>
      <c r="R922">
        <f>IFERROR(INDEX(PP_Grid[#Data],$DD922,16),0)</f>
        <v/>
      </c>
      <c r="S922">
        <f>IFERROR(INDEX(PP_Grid[#Data],$DD922,17),0)</f>
        <v/>
      </c>
      <c r="T922">
        <f>IFERROR(INDEX(PP_Grid[#Data],$DD922,18),0)</f>
        <v/>
      </c>
      <c r="U922">
        <f>IFERROR(INDEX(PP_Grid[#Data],$DD922,19),0)</f>
        <v/>
      </c>
      <c r="V922">
        <f>IFERROR(INDEX(PP_Grid[#Data],$DD922,20),0)</f>
        <v/>
      </c>
      <c r="W922">
        <f>IFERROR(INDEX(PP_Grid[#Data],$DD922,21),0)</f>
        <v/>
      </c>
      <c r="X922">
        <f>IFERROR(INDEX(PP_Grid[#Data],$DD922,22),0)</f>
        <v/>
      </c>
      <c r="Y922">
        <f>IFERROR(INDEX(PP_Grid[#Data],$DD922,23),0)</f>
        <v/>
      </c>
      <c r="Z922">
        <f>IFERROR(INDEX(PP_Grid[#Data],$DD922,24),0)</f>
        <v/>
      </c>
      <c r="AA922">
        <f>IFERROR(INDEX(PP_Grid[#Data],$DD922,25),0)</f>
        <v/>
      </c>
      <c r="AB922">
        <f>IFERROR(INDEX(PP_Grid[#Data],$DD922,26),0)</f>
        <v/>
      </c>
      <c r="AC922">
        <f>IFERROR(INDEX(PP_Grid[#Data],$DD922,27),0)</f>
        <v/>
      </c>
      <c r="AD922">
        <f>IFERROR(INDEX(PP_Grid[#Data],$DD922,28),0)</f>
        <v/>
      </c>
      <c r="AE922">
        <f>IFERROR(INDEX(PP_Grid[#Data],$DD922,29),0)</f>
        <v/>
      </c>
      <c r="AF922">
        <f>IFERROR(INDEX(PP_Grid[#Data],$DD922,30),0)</f>
        <v/>
      </c>
      <c r="AG922">
        <f>IFERROR(INDEX(PP_Grid[#Data],$DD922,31),0)</f>
        <v/>
      </c>
      <c r="AH922">
        <f>IFERROR(INDEX(PP_Grid[#Data],$DD922,32),0)</f>
        <v/>
      </c>
      <c r="AI922">
        <f>IFERROR(INDEX(PP_Grid[#Data],$DD922,33),0)</f>
        <v/>
      </c>
      <c r="AJ922">
        <f>IFERROR(INDEX(PP_Grid[#Data],$DD922,34),0)</f>
        <v/>
      </c>
      <c r="AK922">
        <f>IFERROR(INDEX(PP_Grid[#Data],$DD922,35),0)</f>
        <v/>
      </c>
      <c r="AL922">
        <f>IFERROR(INDEX(PP_Grid[#Data],$DD922,36),0)</f>
        <v/>
      </c>
      <c r="AM922">
        <f>IFERROR(INDEX(PP_Grid[#Data],$DD922,37),0)</f>
        <v/>
      </c>
      <c r="AN922">
        <f>IFERROR(INDEX(PP_Grid[#Data],$DD922,38),0)</f>
        <v/>
      </c>
      <c r="AO922">
        <f>IFERROR(INDEX(PP_Grid[#Data],$DD922,39),0)</f>
        <v/>
      </c>
      <c r="AP922">
        <f>IFERROR(INDEX(PP_Grid[#Data],$DD922,40),0)</f>
        <v/>
      </c>
      <c r="AQ922">
        <f>IFERROR(INDEX(PP_Grid[#Data],$DD922,41),0)</f>
        <v/>
      </c>
      <c r="AR922">
        <f>IFERROR(INDEX(PP_Grid[#Data],$DD922,42),0)</f>
        <v/>
      </c>
      <c r="AS922">
        <f>IFERROR(INDEX(PP_Grid[#Data],$DD922,43),0)</f>
        <v/>
      </c>
      <c r="AT922">
        <f>IFERROR(INDEX(PP_Grid[#Data],$DD922,44),0)</f>
        <v/>
      </c>
      <c r="AU922">
        <f>IFERROR(INDEX(PP_Grid[#Data],$DD922,45),0)</f>
        <v/>
      </c>
      <c r="AV922">
        <f>IFERROR(INDEX(PP_Grid[#Data],$DD922,46),0)</f>
        <v/>
      </c>
      <c r="AW922">
        <f>IFERROR(INDEX(PP_Grid[#Data],$DD922,47),0)</f>
        <v/>
      </c>
      <c r="AX922">
        <f>IFERROR(INDEX(PP_Grid[#Data],$DD922,48),0)</f>
        <v/>
      </c>
      <c r="AY922">
        <f>IFERROR(INDEX(PP_Grid[#Data],$DD922,49),0)</f>
        <v/>
      </c>
      <c r="AZ922">
        <f>IFERROR(INDEX(PP_Grid[#Data],$DD922,50),0)</f>
        <v/>
      </c>
      <c r="BA922">
        <f>IFERROR(INDEX(PP_Grid[#Data],$DD922,51),0)</f>
        <v/>
      </c>
      <c r="BB922">
        <f>IFERROR(INDEX(PP_Grid[#Data],$DD922,52),0)</f>
        <v/>
      </c>
      <c r="BC922">
        <f>IFERROR(INDEX(PP_Grid[#Data],$DD922,53),0)</f>
        <v/>
      </c>
      <c r="BD922">
        <f>IFERROR(INDEX(PP_Grid[#Data],$DD922,54),0)</f>
        <v/>
      </c>
      <c r="BE922">
        <f>IFERROR(INDEX(PP_Grid[#Data],$DD922,55),0)</f>
        <v/>
      </c>
      <c r="BF922">
        <f>IFERROR(INDEX(PP_Grid[#Data],$DD922,56),0)</f>
        <v/>
      </c>
      <c r="BG922">
        <f>IFERROR(INDEX(PP_Grid[#Data],$DD922,57),0)</f>
        <v/>
      </c>
      <c r="BH922">
        <f>IFERROR(INDEX(PP_Grid[#Data],$DD922,58),0)</f>
        <v/>
      </c>
      <c r="BI922">
        <f>IFERROR(INDEX(PP_Grid[#Data],$DD922,59),0)</f>
        <v/>
      </c>
      <c r="BJ922">
        <f>IFERROR(INDEX(PP_Grid[#Data],$DD922,60),0)</f>
        <v/>
      </c>
      <c r="BK922">
        <f>IFERROR(INDEX(PP_Grid[#Data],$DD922,61),0)</f>
        <v/>
      </c>
      <c r="BL922">
        <f>IFERROR(INDEX(PP_Grid[#Data],$DD922,62),0)</f>
        <v/>
      </c>
      <c r="BM922">
        <f>IFERROR(INDEX(PP_Grid[#Data],$DD922,63),0)</f>
        <v/>
      </c>
      <c r="BN922">
        <f>IFERROR(INDEX(PP_Grid[#Data],$DD922,64),0)</f>
        <v/>
      </c>
      <c r="BO922">
        <f>IFERROR(INDEX(PP_Grid[#Data],$DD922,65),0)</f>
        <v/>
      </c>
      <c r="BP922">
        <f>IFERROR(INDEX(PP_Grid[#Data],$DD922,66),0)</f>
        <v/>
      </c>
      <c r="BQ922">
        <f>IFERROR(INDEX(PP_Grid[#Data],$DD922,67),0)</f>
        <v/>
      </c>
      <c r="BR922">
        <f>IFERROR(INDEX(PP_Grid[#Data],$DD922,68),0)</f>
        <v/>
      </c>
      <c r="BS922">
        <f>IFERROR(INDEX(PP_Grid[#Data],$DD922,69),0)</f>
        <v/>
      </c>
      <c r="BT922">
        <f>IFERROR(INDEX(PP_Grid[#Data],$DD922,70),0)</f>
        <v/>
      </c>
      <c r="BU922">
        <f>IFERROR(INDEX(PP_Grid[#Data],$DD922,71),0)</f>
        <v/>
      </c>
      <c r="BV922">
        <f>IFERROR(INDEX(PP_Grid[#Data],$DD922,72),0)</f>
        <v/>
      </c>
      <c r="BW922">
        <f>IFERROR(INDEX(PP_Grid[#Data],$DD922,73),0)</f>
        <v/>
      </c>
      <c r="BX922">
        <f>IFERROR(INDEX(PP_Grid[#Data],$DD922,74),0)</f>
        <v/>
      </c>
      <c r="BY922">
        <f>IFERROR(INDEX(PP_Grid[#Data],$DD922,75),0)</f>
        <v/>
      </c>
      <c r="BZ922">
        <f>IFERROR(INDEX(PP_Grid[#Data],$DD922,76),0)</f>
        <v/>
      </c>
      <c r="CA922">
        <f>IFERROR(INDEX(PP_Grid[#Data],$DD922,77),0)</f>
        <v/>
      </c>
      <c r="CB922">
        <f>IFERROR(INDEX(PP_Grid[#Data],$DD922,78),0)</f>
        <v/>
      </c>
      <c r="CC922">
        <f>IFERROR(INDEX(PP_Grid[#Data],$DD922,79),0)</f>
        <v/>
      </c>
      <c r="CD922">
        <f>IFERROR(INDEX(PP_Grid[#Data],$DD922,80),0)</f>
        <v/>
      </c>
      <c r="CE922">
        <f>IFERROR(INDEX(PP_Grid[#Data],$DD922,81),0)</f>
        <v/>
      </c>
      <c r="CF922">
        <f>IFERROR(INDEX(PP_Grid[#Data],$DD922,82),0)</f>
        <v/>
      </c>
      <c r="CG922">
        <f>IFERROR(INDEX(PP_Grid[#Data],$DD922,83),0)</f>
        <v/>
      </c>
      <c r="CH922">
        <f>IFERROR(INDEX(PP_Grid[#Data],$DD922,84),0)</f>
        <v/>
      </c>
      <c r="CI922">
        <f>IFERROR(INDEX(PP_Grid[#Data],$DD922,85),0)</f>
        <v/>
      </c>
      <c r="CJ922">
        <f>IFERROR(INDEX(PP_Grid[#Data],$DD922,86),0)</f>
        <v/>
      </c>
      <c r="CK922">
        <f>IFERROR(INDEX(PP_Grid[#Data],$DD922,87),0)</f>
        <v/>
      </c>
      <c r="CL922">
        <f>IFERROR(INDEX(PP_Grid[#Data],$DD922,88),0)</f>
        <v/>
      </c>
      <c r="CM922">
        <f>IFERROR(INDEX(PP_Grid[#Data],$DD922,89),0)</f>
        <v/>
      </c>
      <c r="CN922">
        <f>IFERROR(INDEX(PP_Grid[#Data],$DD922,90),0)</f>
        <v/>
      </c>
      <c r="CO922">
        <f>IFERROR(INDEX(PP_Grid[#Data],$DD922,91),0)</f>
        <v/>
      </c>
      <c r="CP922">
        <f>IFERROR(INDEX(PP_Grid[#Data],$DD922,92),0)</f>
        <v/>
      </c>
      <c r="CQ922">
        <f>IFERROR(INDEX(PP_Grid[#Data],$DD922,93),0)</f>
        <v/>
      </c>
      <c r="CR922">
        <f>IFERROR(INDEX(PP_Grid[#Data],$DD922,94),0)</f>
        <v/>
      </c>
      <c r="CS922">
        <f>IFERROR(INDEX(PP_Grid[#Data],$DD922,95),0)</f>
        <v/>
      </c>
      <c r="CT922">
        <f>IFERROR(INDEX(PP_Grid[#Data],$DD922,96),0)</f>
        <v/>
      </c>
      <c r="CU922">
        <f>IFERROR(INDEX(PP_Grid[#Data],$DD922,97),0)</f>
        <v/>
      </c>
      <c r="CV922">
        <f>IFERROR(INDEX(PP_Grid[#Data],$DD922,98),0)</f>
        <v/>
      </c>
      <c r="CW922">
        <f>IFERROR(INDEX(PP_Grid[#Data],$DD922,99),0)</f>
        <v/>
      </c>
      <c r="CX922">
        <f>IFERROR(INDEX(PP_Grid[#Data],$DD922,100),0)</f>
        <v/>
      </c>
      <c r="CY922">
        <f>IFERROR(INDEX(PP_Grid[#Data],$DD922,101),0)</f>
        <v/>
      </c>
      <c r="CZ922">
        <f>IFERROR(INDEX(PP_Grid[#Data],$DD922,102),0)</f>
        <v/>
      </c>
      <c r="DA922">
        <f>IFERROR(INDEX(PP_Grid[#Data],$DD922,103),0)</f>
        <v/>
      </c>
      <c r="DB922">
        <f>IFERROR(INDEX(PP_Grid[#Data],$DD922,104),0)</f>
        <v/>
      </c>
      <c r="DC922">
        <f>IFERROR(INDEX(PP_Grid[#Data],$DD922,105),0)</f>
        <v/>
      </c>
      <c r="DD922" s="7">
        <f>IFERROR(MATCH($B922,PP_Grid[Intermediate],0),99999)</f>
        <v/>
      </c>
    </row>
    <row r="923">
      <c r="B923" t="inlineStr">
        <is>
          <t>使用量(kg)</t>
        </is>
      </c>
      <c r="C923">
        <f>SUMIFS(M_BOM[RM_Qty_Per_Batch],M_BOM[Intermediate],$B922,M_BOM[Part Name],$A905)</f>
        <v/>
      </c>
      <c r="D923">
        <f>$C923*D922</f>
        <v/>
      </c>
      <c r="E923">
        <f>$C923*E922</f>
        <v/>
      </c>
      <c r="F923">
        <f>$C923*F922</f>
        <v/>
      </c>
      <c r="G923">
        <f>$C923*G922</f>
        <v/>
      </c>
      <c r="H923">
        <f>$C923*H922</f>
        <v/>
      </c>
      <c r="I923">
        <f>$C923*I922</f>
        <v/>
      </c>
      <c r="J923">
        <f>$C923*J922</f>
        <v/>
      </c>
      <c r="K923">
        <f>$C923*K922</f>
        <v/>
      </c>
      <c r="L923">
        <f>$C923*L922</f>
        <v/>
      </c>
      <c r="M923">
        <f>$C923*M922</f>
        <v/>
      </c>
      <c r="N923">
        <f>$C923*N922</f>
        <v/>
      </c>
      <c r="O923">
        <f>$C923*O922</f>
        <v/>
      </c>
      <c r="P923">
        <f>$C923*P922</f>
        <v/>
      </c>
      <c r="Q923">
        <f>$C923*Q922</f>
        <v/>
      </c>
      <c r="R923">
        <f>$C923*R922</f>
        <v/>
      </c>
      <c r="S923">
        <f>$C923*S922</f>
        <v/>
      </c>
      <c r="T923">
        <f>$C923*T922</f>
        <v/>
      </c>
      <c r="U923">
        <f>$C923*U922</f>
        <v/>
      </c>
      <c r="V923">
        <f>$C923*V922</f>
        <v/>
      </c>
      <c r="W923">
        <f>$C923*W922</f>
        <v/>
      </c>
      <c r="X923">
        <f>$C923*X922</f>
        <v/>
      </c>
      <c r="Y923">
        <f>$C923*Y922</f>
        <v/>
      </c>
      <c r="Z923">
        <f>$C923*Z922</f>
        <v/>
      </c>
      <c r="AA923">
        <f>$C923*AA922</f>
        <v/>
      </c>
      <c r="AB923">
        <f>$C923*AB922</f>
        <v/>
      </c>
      <c r="AC923">
        <f>$C923*AC922</f>
        <v/>
      </c>
      <c r="AD923">
        <f>$C923*AD922</f>
        <v/>
      </c>
      <c r="AE923">
        <f>$C923*AE922</f>
        <v/>
      </c>
      <c r="AF923">
        <f>$C923*AF922</f>
        <v/>
      </c>
      <c r="AG923">
        <f>$C923*AG922</f>
        <v/>
      </c>
      <c r="AH923">
        <f>$C923*AH922</f>
        <v/>
      </c>
      <c r="AI923">
        <f>$C923*AI922</f>
        <v/>
      </c>
      <c r="AJ923">
        <f>$C923*AJ922</f>
        <v/>
      </c>
      <c r="AK923">
        <f>$C923*AK922</f>
        <v/>
      </c>
      <c r="AL923">
        <f>$C923*AL922</f>
        <v/>
      </c>
      <c r="AM923">
        <f>$C923*AM922</f>
        <v/>
      </c>
      <c r="AN923">
        <f>$C923*AN922</f>
        <v/>
      </c>
      <c r="AO923">
        <f>$C923*AO922</f>
        <v/>
      </c>
      <c r="AP923">
        <f>$C923*AP922</f>
        <v/>
      </c>
      <c r="AQ923">
        <f>$C923*AQ922</f>
        <v/>
      </c>
      <c r="AR923">
        <f>$C923*AR922</f>
        <v/>
      </c>
      <c r="AS923">
        <f>$C923*AS922</f>
        <v/>
      </c>
      <c r="AT923">
        <f>$C923*AT922</f>
        <v/>
      </c>
      <c r="AU923">
        <f>$C923*AU922</f>
        <v/>
      </c>
      <c r="AV923">
        <f>$C923*AV922</f>
        <v/>
      </c>
      <c r="AW923">
        <f>$C923*AW922</f>
        <v/>
      </c>
      <c r="AX923">
        <f>$C923*AX922</f>
        <v/>
      </c>
      <c r="AY923">
        <f>$C923*AY922</f>
        <v/>
      </c>
      <c r="AZ923">
        <f>$C923*AZ922</f>
        <v/>
      </c>
      <c r="BA923">
        <f>$C923*BA922</f>
        <v/>
      </c>
      <c r="BB923">
        <f>$C923*BB922</f>
        <v/>
      </c>
      <c r="BC923">
        <f>$C923*BC922</f>
        <v/>
      </c>
      <c r="BD923">
        <f>$C923*BD922</f>
        <v/>
      </c>
      <c r="BE923">
        <f>$C923*BE922</f>
        <v/>
      </c>
      <c r="BF923">
        <f>$C923*BF922</f>
        <v/>
      </c>
      <c r="BG923">
        <f>$C923*BG922</f>
        <v/>
      </c>
      <c r="BH923">
        <f>$C923*BH922</f>
        <v/>
      </c>
      <c r="BI923">
        <f>$C923*BI922</f>
        <v/>
      </c>
      <c r="BJ923">
        <f>$C923*BJ922</f>
        <v/>
      </c>
      <c r="BK923">
        <f>$C923*BK922</f>
        <v/>
      </c>
      <c r="BL923">
        <f>$C923*BL922</f>
        <v/>
      </c>
      <c r="BM923">
        <f>$C923*BM922</f>
        <v/>
      </c>
      <c r="BN923">
        <f>$C923*BN922</f>
        <v/>
      </c>
      <c r="BO923">
        <f>$C923*BO922</f>
        <v/>
      </c>
      <c r="BP923">
        <f>$C923*BP922</f>
        <v/>
      </c>
      <c r="BQ923">
        <f>$C923*BQ922</f>
        <v/>
      </c>
      <c r="BR923">
        <f>$C923*BR922</f>
        <v/>
      </c>
      <c r="BS923">
        <f>$C923*BS922</f>
        <v/>
      </c>
      <c r="BT923">
        <f>$C923*BT922</f>
        <v/>
      </c>
      <c r="BU923">
        <f>$C923*BU922</f>
        <v/>
      </c>
      <c r="BV923">
        <f>$C923*BV922</f>
        <v/>
      </c>
      <c r="BW923">
        <f>$C923*BW922</f>
        <v/>
      </c>
      <c r="BX923">
        <f>$C923*BX922</f>
        <v/>
      </c>
      <c r="BY923">
        <f>$C923*BY922</f>
        <v/>
      </c>
      <c r="BZ923">
        <f>$C923*BZ922</f>
        <v/>
      </c>
      <c r="CA923">
        <f>$C923*CA922</f>
        <v/>
      </c>
      <c r="CB923">
        <f>$C923*CB922</f>
        <v/>
      </c>
      <c r="CC923">
        <f>$C923*CC922</f>
        <v/>
      </c>
      <c r="CD923">
        <f>$C923*CD922</f>
        <v/>
      </c>
      <c r="CE923">
        <f>$C923*CE922</f>
        <v/>
      </c>
      <c r="CF923">
        <f>$C923*CF922</f>
        <v/>
      </c>
      <c r="CG923">
        <f>$C923*CG922</f>
        <v/>
      </c>
      <c r="CH923">
        <f>$C923*CH922</f>
        <v/>
      </c>
      <c r="CI923">
        <f>$C923*CI922</f>
        <v/>
      </c>
      <c r="CJ923">
        <f>$C923*CJ922</f>
        <v/>
      </c>
      <c r="CK923">
        <f>$C923*CK922</f>
        <v/>
      </c>
      <c r="CL923">
        <f>$C923*CL922</f>
        <v/>
      </c>
      <c r="CM923">
        <f>$C923*CM922</f>
        <v/>
      </c>
      <c r="CN923">
        <f>$C923*CN922</f>
        <v/>
      </c>
      <c r="CO923">
        <f>$C923*CO922</f>
        <v/>
      </c>
      <c r="CP923">
        <f>$C923*CP922</f>
        <v/>
      </c>
      <c r="CQ923">
        <f>$C923*CQ922</f>
        <v/>
      </c>
      <c r="CR923">
        <f>$C923*CR922</f>
        <v/>
      </c>
      <c r="CS923">
        <f>$C923*CS922</f>
        <v/>
      </c>
      <c r="CT923">
        <f>$C923*CT922</f>
        <v/>
      </c>
      <c r="CU923">
        <f>$C923*CU922</f>
        <v/>
      </c>
      <c r="CV923">
        <f>$C923*CV922</f>
        <v/>
      </c>
      <c r="CW923">
        <f>$C923*CW922</f>
        <v/>
      </c>
      <c r="CX923">
        <f>$C923*CX922</f>
        <v/>
      </c>
      <c r="CY923">
        <f>$C923*CY922</f>
        <v/>
      </c>
      <c r="CZ923">
        <f>$C923*CZ922</f>
        <v/>
      </c>
      <c r="DA923">
        <f>$C923*DA922</f>
        <v/>
      </c>
      <c r="DB923">
        <f>$C923*DB922</f>
        <v/>
      </c>
      <c r="DC923">
        <f>$C923*DC922</f>
        <v/>
      </c>
    </row>
    <row r="924">
      <c r="B924" t="inlineStr">
        <is>
          <t>TSP-1448</t>
        </is>
      </c>
      <c r="C924" t="inlineStr">
        <is>
          <t>No. of batches</t>
        </is>
      </c>
      <c r="D924">
        <f>IFERROR(INDEX(PP_Grid[#Data],$DD924,2),0)</f>
        <v/>
      </c>
      <c r="E924">
        <f>IFERROR(INDEX(PP_Grid[#Data],$DD924,3),0)</f>
        <v/>
      </c>
      <c r="F924">
        <f>IFERROR(INDEX(PP_Grid[#Data],$DD924,4),0)</f>
        <v/>
      </c>
      <c r="G924">
        <f>IFERROR(INDEX(PP_Grid[#Data],$DD924,5),0)</f>
        <v/>
      </c>
      <c r="H924">
        <f>IFERROR(INDEX(PP_Grid[#Data],$DD924,6),0)</f>
        <v/>
      </c>
      <c r="I924">
        <f>IFERROR(INDEX(PP_Grid[#Data],$DD924,7),0)</f>
        <v/>
      </c>
      <c r="J924">
        <f>IFERROR(INDEX(PP_Grid[#Data],$DD924,8),0)</f>
        <v/>
      </c>
      <c r="K924">
        <f>IFERROR(INDEX(PP_Grid[#Data],$DD924,9),0)</f>
        <v/>
      </c>
      <c r="L924">
        <f>IFERROR(INDEX(PP_Grid[#Data],$DD924,10),0)</f>
        <v/>
      </c>
      <c r="M924">
        <f>IFERROR(INDEX(PP_Grid[#Data],$DD924,11),0)</f>
        <v/>
      </c>
      <c r="N924">
        <f>IFERROR(INDEX(PP_Grid[#Data],$DD924,12),0)</f>
        <v/>
      </c>
      <c r="O924">
        <f>IFERROR(INDEX(PP_Grid[#Data],$DD924,13),0)</f>
        <v/>
      </c>
      <c r="P924">
        <f>IFERROR(INDEX(PP_Grid[#Data],$DD924,14),0)</f>
        <v/>
      </c>
      <c r="Q924">
        <f>IFERROR(INDEX(PP_Grid[#Data],$DD924,15),0)</f>
        <v/>
      </c>
      <c r="R924">
        <f>IFERROR(INDEX(PP_Grid[#Data],$DD924,16),0)</f>
        <v/>
      </c>
      <c r="S924">
        <f>IFERROR(INDEX(PP_Grid[#Data],$DD924,17),0)</f>
        <v/>
      </c>
      <c r="T924">
        <f>IFERROR(INDEX(PP_Grid[#Data],$DD924,18),0)</f>
        <v/>
      </c>
      <c r="U924">
        <f>IFERROR(INDEX(PP_Grid[#Data],$DD924,19),0)</f>
        <v/>
      </c>
      <c r="V924">
        <f>IFERROR(INDEX(PP_Grid[#Data],$DD924,20),0)</f>
        <v/>
      </c>
      <c r="W924">
        <f>IFERROR(INDEX(PP_Grid[#Data],$DD924,21),0)</f>
        <v/>
      </c>
      <c r="X924">
        <f>IFERROR(INDEX(PP_Grid[#Data],$DD924,22),0)</f>
        <v/>
      </c>
      <c r="Y924">
        <f>IFERROR(INDEX(PP_Grid[#Data],$DD924,23),0)</f>
        <v/>
      </c>
      <c r="Z924">
        <f>IFERROR(INDEX(PP_Grid[#Data],$DD924,24),0)</f>
        <v/>
      </c>
      <c r="AA924">
        <f>IFERROR(INDEX(PP_Grid[#Data],$DD924,25),0)</f>
        <v/>
      </c>
      <c r="AB924">
        <f>IFERROR(INDEX(PP_Grid[#Data],$DD924,26),0)</f>
        <v/>
      </c>
      <c r="AC924">
        <f>IFERROR(INDEX(PP_Grid[#Data],$DD924,27),0)</f>
        <v/>
      </c>
      <c r="AD924">
        <f>IFERROR(INDEX(PP_Grid[#Data],$DD924,28),0)</f>
        <v/>
      </c>
      <c r="AE924">
        <f>IFERROR(INDEX(PP_Grid[#Data],$DD924,29),0)</f>
        <v/>
      </c>
      <c r="AF924">
        <f>IFERROR(INDEX(PP_Grid[#Data],$DD924,30),0)</f>
        <v/>
      </c>
      <c r="AG924">
        <f>IFERROR(INDEX(PP_Grid[#Data],$DD924,31),0)</f>
        <v/>
      </c>
      <c r="AH924">
        <f>IFERROR(INDEX(PP_Grid[#Data],$DD924,32),0)</f>
        <v/>
      </c>
      <c r="AI924">
        <f>IFERROR(INDEX(PP_Grid[#Data],$DD924,33),0)</f>
        <v/>
      </c>
      <c r="AJ924">
        <f>IFERROR(INDEX(PP_Grid[#Data],$DD924,34),0)</f>
        <v/>
      </c>
      <c r="AK924">
        <f>IFERROR(INDEX(PP_Grid[#Data],$DD924,35),0)</f>
        <v/>
      </c>
      <c r="AL924">
        <f>IFERROR(INDEX(PP_Grid[#Data],$DD924,36),0)</f>
        <v/>
      </c>
      <c r="AM924">
        <f>IFERROR(INDEX(PP_Grid[#Data],$DD924,37),0)</f>
        <v/>
      </c>
      <c r="AN924">
        <f>IFERROR(INDEX(PP_Grid[#Data],$DD924,38),0)</f>
        <v/>
      </c>
      <c r="AO924">
        <f>IFERROR(INDEX(PP_Grid[#Data],$DD924,39),0)</f>
        <v/>
      </c>
      <c r="AP924">
        <f>IFERROR(INDEX(PP_Grid[#Data],$DD924,40),0)</f>
        <v/>
      </c>
      <c r="AQ924">
        <f>IFERROR(INDEX(PP_Grid[#Data],$DD924,41),0)</f>
        <v/>
      </c>
      <c r="AR924">
        <f>IFERROR(INDEX(PP_Grid[#Data],$DD924,42),0)</f>
        <v/>
      </c>
      <c r="AS924">
        <f>IFERROR(INDEX(PP_Grid[#Data],$DD924,43),0)</f>
        <v/>
      </c>
      <c r="AT924">
        <f>IFERROR(INDEX(PP_Grid[#Data],$DD924,44),0)</f>
        <v/>
      </c>
      <c r="AU924">
        <f>IFERROR(INDEX(PP_Grid[#Data],$DD924,45),0)</f>
        <v/>
      </c>
      <c r="AV924">
        <f>IFERROR(INDEX(PP_Grid[#Data],$DD924,46),0)</f>
        <v/>
      </c>
      <c r="AW924">
        <f>IFERROR(INDEX(PP_Grid[#Data],$DD924,47),0)</f>
        <v/>
      </c>
      <c r="AX924">
        <f>IFERROR(INDEX(PP_Grid[#Data],$DD924,48),0)</f>
        <v/>
      </c>
      <c r="AY924">
        <f>IFERROR(INDEX(PP_Grid[#Data],$DD924,49),0)</f>
        <v/>
      </c>
      <c r="AZ924">
        <f>IFERROR(INDEX(PP_Grid[#Data],$DD924,50),0)</f>
        <v/>
      </c>
      <c r="BA924">
        <f>IFERROR(INDEX(PP_Grid[#Data],$DD924,51),0)</f>
        <v/>
      </c>
      <c r="BB924">
        <f>IFERROR(INDEX(PP_Grid[#Data],$DD924,52),0)</f>
        <v/>
      </c>
      <c r="BC924">
        <f>IFERROR(INDEX(PP_Grid[#Data],$DD924,53),0)</f>
        <v/>
      </c>
      <c r="BD924">
        <f>IFERROR(INDEX(PP_Grid[#Data],$DD924,54),0)</f>
        <v/>
      </c>
      <c r="BE924">
        <f>IFERROR(INDEX(PP_Grid[#Data],$DD924,55),0)</f>
        <v/>
      </c>
      <c r="BF924">
        <f>IFERROR(INDEX(PP_Grid[#Data],$DD924,56),0)</f>
        <v/>
      </c>
      <c r="BG924">
        <f>IFERROR(INDEX(PP_Grid[#Data],$DD924,57),0)</f>
        <v/>
      </c>
      <c r="BH924">
        <f>IFERROR(INDEX(PP_Grid[#Data],$DD924,58),0)</f>
        <v/>
      </c>
      <c r="BI924">
        <f>IFERROR(INDEX(PP_Grid[#Data],$DD924,59),0)</f>
        <v/>
      </c>
      <c r="BJ924">
        <f>IFERROR(INDEX(PP_Grid[#Data],$DD924,60),0)</f>
        <v/>
      </c>
      <c r="BK924">
        <f>IFERROR(INDEX(PP_Grid[#Data],$DD924,61),0)</f>
        <v/>
      </c>
      <c r="BL924">
        <f>IFERROR(INDEX(PP_Grid[#Data],$DD924,62),0)</f>
        <v/>
      </c>
      <c r="BM924">
        <f>IFERROR(INDEX(PP_Grid[#Data],$DD924,63),0)</f>
        <v/>
      </c>
      <c r="BN924">
        <f>IFERROR(INDEX(PP_Grid[#Data],$DD924,64),0)</f>
        <v/>
      </c>
      <c r="BO924">
        <f>IFERROR(INDEX(PP_Grid[#Data],$DD924,65),0)</f>
        <v/>
      </c>
      <c r="BP924">
        <f>IFERROR(INDEX(PP_Grid[#Data],$DD924,66),0)</f>
        <v/>
      </c>
      <c r="BQ924">
        <f>IFERROR(INDEX(PP_Grid[#Data],$DD924,67),0)</f>
        <v/>
      </c>
      <c r="BR924">
        <f>IFERROR(INDEX(PP_Grid[#Data],$DD924,68),0)</f>
        <v/>
      </c>
      <c r="BS924">
        <f>IFERROR(INDEX(PP_Grid[#Data],$DD924,69),0)</f>
        <v/>
      </c>
      <c r="BT924">
        <f>IFERROR(INDEX(PP_Grid[#Data],$DD924,70),0)</f>
        <v/>
      </c>
      <c r="BU924">
        <f>IFERROR(INDEX(PP_Grid[#Data],$DD924,71),0)</f>
        <v/>
      </c>
      <c r="BV924">
        <f>IFERROR(INDEX(PP_Grid[#Data],$DD924,72),0)</f>
        <v/>
      </c>
      <c r="BW924">
        <f>IFERROR(INDEX(PP_Grid[#Data],$DD924,73),0)</f>
        <v/>
      </c>
      <c r="BX924">
        <f>IFERROR(INDEX(PP_Grid[#Data],$DD924,74),0)</f>
        <v/>
      </c>
      <c r="BY924">
        <f>IFERROR(INDEX(PP_Grid[#Data],$DD924,75),0)</f>
        <v/>
      </c>
      <c r="BZ924">
        <f>IFERROR(INDEX(PP_Grid[#Data],$DD924,76),0)</f>
        <v/>
      </c>
      <c r="CA924">
        <f>IFERROR(INDEX(PP_Grid[#Data],$DD924,77),0)</f>
        <v/>
      </c>
      <c r="CB924">
        <f>IFERROR(INDEX(PP_Grid[#Data],$DD924,78),0)</f>
        <v/>
      </c>
      <c r="CC924">
        <f>IFERROR(INDEX(PP_Grid[#Data],$DD924,79),0)</f>
        <v/>
      </c>
      <c r="CD924">
        <f>IFERROR(INDEX(PP_Grid[#Data],$DD924,80),0)</f>
        <v/>
      </c>
      <c r="CE924">
        <f>IFERROR(INDEX(PP_Grid[#Data],$DD924,81),0)</f>
        <v/>
      </c>
      <c r="CF924">
        <f>IFERROR(INDEX(PP_Grid[#Data],$DD924,82),0)</f>
        <v/>
      </c>
      <c r="CG924">
        <f>IFERROR(INDEX(PP_Grid[#Data],$DD924,83),0)</f>
        <v/>
      </c>
      <c r="CH924">
        <f>IFERROR(INDEX(PP_Grid[#Data],$DD924,84),0)</f>
        <v/>
      </c>
      <c r="CI924">
        <f>IFERROR(INDEX(PP_Grid[#Data],$DD924,85),0)</f>
        <v/>
      </c>
      <c r="CJ924">
        <f>IFERROR(INDEX(PP_Grid[#Data],$DD924,86),0)</f>
        <v/>
      </c>
      <c r="CK924">
        <f>IFERROR(INDEX(PP_Grid[#Data],$DD924,87),0)</f>
        <v/>
      </c>
      <c r="CL924">
        <f>IFERROR(INDEX(PP_Grid[#Data],$DD924,88),0)</f>
        <v/>
      </c>
      <c r="CM924">
        <f>IFERROR(INDEX(PP_Grid[#Data],$DD924,89),0)</f>
        <v/>
      </c>
      <c r="CN924">
        <f>IFERROR(INDEX(PP_Grid[#Data],$DD924,90),0)</f>
        <v/>
      </c>
      <c r="CO924">
        <f>IFERROR(INDEX(PP_Grid[#Data],$DD924,91),0)</f>
        <v/>
      </c>
      <c r="CP924">
        <f>IFERROR(INDEX(PP_Grid[#Data],$DD924,92),0)</f>
        <v/>
      </c>
      <c r="CQ924">
        <f>IFERROR(INDEX(PP_Grid[#Data],$DD924,93),0)</f>
        <v/>
      </c>
      <c r="CR924">
        <f>IFERROR(INDEX(PP_Grid[#Data],$DD924,94),0)</f>
        <v/>
      </c>
      <c r="CS924">
        <f>IFERROR(INDEX(PP_Grid[#Data],$DD924,95),0)</f>
        <v/>
      </c>
      <c r="CT924">
        <f>IFERROR(INDEX(PP_Grid[#Data],$DD924,96),0)</f>
        <v/>
      </c>
      <c r="CU924">
        <f>IFERROR(INDEX(PP_Grid[#Data],$DD924,97),0)</f>
        <v/>
      </c>
      <c r="CV924">
        <f>IFERROR(INDEX(PP_Grid[#Data],$DD924,98),0)</f>
        <v/>
      </c>
      <c r="CW924">
        <f>IFERROR(INDEX(PP_Grid[#Data],$DD924,99),0)</f>
        <v/>
      </c>
      <c r="CX924">
        <f>IFERROR(INDEX(PP_Grid[#Data],$DD924,100),0)</f>
        <v/>
      </c>
      <c r="CY924">
        <f>IFERROR(INDEX(PP_Grid[#Data],$DD924,101),0)</f>
        <v/>
      </c>
      <c r="CZ924">
        <f>IFERROR(INDEX(PP_Grid[#Data],$DD924,102),0)</f>
        <v/>
      </c>
      <c r="DA924">
        <f>IFERROR(INDEX(PP_Grid[#Data],$DD924,103),0)</f>
        <v/>
      </c>
      <c r="DB924">
        <f>IFERROR(INDEX(PP_Grid[#Data],$DD924,104),0)</f>
        <v/>
      </c>
      <c r="DC924">
        <f>IFERROR(INDEX(PP_Grid[#Data],$DD924,105),0)</f>
        <v/>
      </c>
      <c r="DD924" s="7">
        <f>IFERROR(MATCH($B924,PP_Grid[Intermediate],0),99999)</f>
        <v/>
      </c>
    </row>
    <row r="925">
      <c r="B925" t="inlineStr">
        <is>
          <t>使用量(kg)</t>
        </is>
      </c>
      <c r="C925">
        <f>SUMIFS(M_BOM[RM_Qty_Per_Batch],M_BOM[Intermediate],$B924,M_BOM[Part Name],$A905)</f>
        <v/>
      </c>
      <c r="D925">
        <f>$C925*D924</f>
        <v/>
      </c>
      <c r="E925">
        <f>$C925*E924</f>
        <v/>
      </c>
      <c r="F925">
        <f>$C925*F924</f>
        <v/>
      </c>
      <c r="G925">
        <f>$C925*G924</f>
        <v/>
      </c>
      <c r="H925">
        <f>$C925*H924</f>
        <v/>
      </c>
      <c r="I925">
        <f>$C925*I924</f>
        <v/>
      </c>
      <c r="J925">
        <f>$C925*J924</f>
        <v/>
      </c>
      <c r="K925">
        <f>$C925*K924</f>
        <v/>
      </c>
      <c r="L925">
        <f>$C925*L924</f>
        <v/>
      </c>
      <c r="M925">
        <f>$C925*M924</f>
        <v/>
      </c>
      <c r="N925">
        <f>$C925*N924</f>
        <v/>
      </c>
      <c r="O925">
        <f>$C925*O924</f>
        <v/>
      </c>
      <c r="P925">
        <f>$C925*P924</f>
        <v/>
      </c>
      <c r="Q925">
        <f>$C925*Q924</f>
        <v/>
      </c>
      <c r="R925">
        <f>$C925*R924</f>
        <v/>
      </c>
      <c r="S925">
        <f>$C925*S924</f>
        <v/>
      </c>
      <c r="T925">
        <f>$C925*T924</f>
        <v/>
      </c>
      <c r="U925">
        <f>$C925*U924</f>
        <v/>
      </c>
      <c r="V925">
        <f>$C925*V924</f>
        <v/>
      </c>
      <c r="W925">
        <f>$C925*W924</f>
        <v/>
      </c>
      <c r="X925">
        <f>$C925*X924</f>
        <v/>
      </c>
      <c r="Y925">
        <f>$C925*Y924</f>
        <v/>
      </c>
      <c r="Z925">
        <f>$C925*Z924</f>
        <v/>
      </c>
      <c r="AA925">
        <f>$C925*AA924</f>
        <v/>
      </c>
      <c r="AB925">
        <f>$C925*AB924</f>
        <v/>
      </c>
      <c r="AC925">
        <f>$C925*AC924</f>
        <v/>
      </c>
      <c r="AD925">
        <f>$C925*AD924</f>
        <v/>
      </c>
      <c r="AE925">
        <f>$C925*AE924</f>
        <v/>
      </c>
      <c r="AF925">
        <f>$C925*AF924</f>
        <v/>
      </c>
      <c r="AG925">
        <f>$C925*AG924</f>
        <v/>
      </c>
      <c r="AH925">
        <f>$C925*AH924</f>
        <v/>
      </c>
      <c r="AI925">
        <f>$C925*AI924</f>
        <v/>
      </c>
      <c r="AJ925">
        <f>$C925*AJ924</f>
        <v/>
      </c>
      <c r="AK925">
        <f>$C925*AK924</f>
        <v/>
      </c>
      <c r="AL925">
        <f>$C925*AL924</f>
        <v/>
      </c>
      <c r="AM925">
        <f>$C925*AM924</f>
        <v/>
      </c>
      <c r="AN925">
        <f>$C925*AN924</f>
        <v/>
      </c>
      <c r="AO925">
        <f>$C925*AO924</f>
        <v/>
      </c>
      <c r="AP925">
        <f>$C925*AP924</f>
        <v/>
      </c>
      <c r="AQ925">
        <f>$C925*AQ924</f>
        <v/>
      </c>
      <c r="AR925">
        <f>$C925*AR924</f>
        <v/>
      </c>
      <c r="AS925">
        <f>$C925*AS924</f>
        <v/>
      </c>
      <c r="AT925">
        <f>$C925*AT924</f>
        <v/>
      </c>
      <c r="AU925">
        <f>$C925*AU924</f>
        <v/>
      </c>
      <c r="AV925">
        <f>$C925*AV924</f>
        <v/>
      </c>
      <c r="AW925">
        <f>$C925*AW924</f>
        <v/>
      </c>
      <c r="AX925">
        <f>$C925*AX924</f>
        <v/>
      </c>
      <c r="AY925">
        <f>$C925*AY924</f>
        <v/>
      </c>
      <c r="AZ925">
        <f>$C925*AZ924</f>
        <v/>
      </c>
      <c r="BA925">
        <f>$C925*BA924</f>
        <v/>
      </c>
      <c r="BB925">
        <f>$C925*BB924</f>
        <v/>
      </c>
      <c r="BC925">
        <f>$C925*BC924</f>
        <v/>
      </c>
      <c r="BD925">
        <f>$C925*BD924</f>
        <v/>
      </c>
      <c r="BE925">
        <f>$C925*BE924</f>
        <v/>
      </c>
      <c r="BF925">
        <f>$C925*BF924</f>
        <v/>
      </c>
      <c r="BG925">
        <f>$C925*BG924</f>
        <v/>
      </c>
      <c r="BH925">
        <f>$C925*BH924</f>
        <v/>
      </c>
      <c r="BI925">
        <f>$C925*BI924</f>
        <v/>
      </c>
      <c r="BJ925">
        <f>$C925*BJ924</f>
        <v/>
      </c>
      <c r="BK925">
        <f>$C925*BK924</f>
        <v/>
      </c>
      <c r="BL925">
        <f>$C925*BL924</f>
        <v/>
      </c>
      <c r="BM925">
        <f>$C925*BM924</f>
        <v/>
      </c>
      <c r="BN925">
        <f>$C925*BN924</f>
        <v/>
      </c>
      <c r="BO925">
        <f>$C925*BO924</f>
        <v/>
      </c>
      <c r="BP925">
        <f>$C925*BP924</f>
        <v/>
      </c>
      <c r="BQ925">
        <f>$C925*BQ924</f>
        <v/>
      </c>
      <c r="BR925">
        <f>$C925*BR924</f>
        <v/>
      </c>
      <c r="BS925">
        <f>$C925*BS924</f>
        <v/>
      </c>
      <c r="BT925">
        <f>$C925*BT924</f>
        <v/>
      </c>
      <c r="BU925">
        <f>$C925*BU924</f>
        <v/>
      </c>
      <c r="BV925">
        <f>$C925*BV924</f>
        <v/>
      </c>
      <c r="BW925">
        <f>$C925*BW924</f>
        <v/>
      </c>
      <c r="BX925">
        <f>$C925*BX924</f>
        <v/>
      </c>
      <c r="BY925">
        <f>$C925*BY924</f>
        <v/>
      </c>
      <c r="BZ925">
        <f>$C925*BZ924</f>
        <v/>
      </c>
      <c r="CA925">
        <f>$C925*CA924</f>
        <v/>
      </c>
      <c r="CB925">
        <f>$C925*CB924</f>
        <v/>
      </c>
      <c r="CC925">
        <f>$C925*CC924</f>
        <v/>
      </c>
      <c r="CD925">
        <f>$C925*CD924</f>
        <v/>
      </c>
      <c r="CE925">
        <f>$C925*CE924</f>
        <v/>
      </c>
      <c r="CF925">
        <f>$C925*CF924</f>
        <v/>
      </c>
      <c r="CG925">
        <f>$C925*CG924</f>
        <v/>
      </c>
      <c r="CH925">
        <f>$C925*CH924</f>
        <v/>
      </c>
      <c r="CI925">
        <f>$C925*CI924</f>
        <v/>
      </c>
      <c r="CJ925">
        <f>$C925*CJ924</f>
        <v/>
      </c>
      <c r="CK925">
        <f>$C925*CK924</f>
        <v/>
      </c>
      <c r="CL925">
        <f>$C925*CL924</f>
        <v/>
      </c>
      <c r="CM925">
        <f>$C925*CM924</f>
        <v/>
      </c>
      <c r="CN925">
        <f>$C925*CN924</f>
        <v/>
      </c>
      <c r="CO925">
        <f>$C925*CO924</f>
        <v/>
      </c>
      <c r="CP925">
        <f>$C925*CP924</f>
        <v/>
      </c>
      <c r="CQ925">
        <f>$C925*CQ924</f>
        <v/>
      </c>
      <c r="CR925">
        <f>$C925*CR924</f>
        <v/>
      </c>
      <c r="CS925">
        <f>$C925*CS924</f>
        <v/>
      </c>
      <c r="CT925">
        <f>$C925*CT924</f>
        <v/>
      </c>
      <c r="CU925">
        <f>$C925*CU924</f>
        <v/>
      </c>
      <c r="CV925">
        <f>$C925*CV924</f>
        <v/>
      </c>
      <c r="CW925">
        <f>$C925*CW924</f>
        <v/>
      </c>
      <c r="CX925">
        <f>$C925*CX924</f>
        <v/>
      </c>
      <c r="CY925">
        <f>$C925*CY924</f>
        <v/>
      </c>
      <c r="CZ925">
        <f>$C925*CZ924</f>
        <v/>
      </c>
      <c r="DA925">
        <f>$C925*DA924</f>
        <v/>
      </c>
      <c r="DB925">
        <f>$C925*DB924</f>
        <v/>
      </c>
      <c r="DC925">
        <f>$C925*DC924</f>
        <v/>
      </c>
    </row>
    <row r="926">
      <c r="B926" t="inlineStr">
        <is>
          <t>TSP-1445</t>
        </is>
      </c>
      <c r="C926" t="inlineStr">
        <is>
          <t>No. of batches</t>
        </is>
      </c>
      <c r="D926">
        <f>IFERROR(INDEX(PP_Grid[#Data],$DD926,2),0)</f>
        <v/>
      </c>
      <c r="E926">
        <f>IFERROR(INDEX(PP_Grid[#Data],$DD926,3),0)</f>
        <v/>
      </c>
      <c r="F926">
        <f>IFERROR(INDEX(PP_Grid[#Data],$DD926,4),0)</f>
        <v/>
      </c>
      <c r="G926">
        <f>IFERROR(INDEX(PP_Grid[#Data],$DD926,5),0)</f>
        <v/>
      </c>
      <c r="H926">
        <f>IFERROR(INDEX(PP_Grid[#Data],$DD926,6),0)</f>
        <v/>
      </c>
      <c r="I926">
        <f>IFERROR(INDEX(PP_Grid[#Data],$DD926,7),0)</f>
        <v/>
      </c>
      <c r="J926">
        <f>IFERROR(INDEX(PP_Grid[#Data],$DD926,8),0)</f>
        <v/>
      </c>
      <c r="K926">
        <f>IFERROR(INDEX(PP_Grid[#Data],$DD926,9),0)</f>
        <v/>
      </c>
      <c r="L926">
        <f>IFERROR(INDEX(PP_Grid[#Data],$DD926,10),0)</f>
        <v/>
      </c>
      <c r="M926">
        <f>IFERROR(INDEX(PP_Grid[#Data],$DD926,11),0)</f>
        <v/>
      </c>
      <c r="N926">
        <f>IFERROR(INDEX(PP_Grid[#Data],$DD926,12),0)</f>
        <v/>
      </c>
      <c r="O926">
        <f>IFERROR(INDEX(PP_Grid[#Data],$DD926,13),0)</f>
        <v/>
      </c>
      <c r="P926">
        <f>IFERROR(INDEX(PP_Grid[#Data],$DD926,14),0)</f>
        <v/>
      </c>
      <c r="Q926">
        <f>IFERROR(INDEX(PP_Grid[#Data],$DD926,15),0)</f>
        <v/>
      </c>
      <c r="R926">
        <f>IFERROR(INDEX(PP_Grid[#Data],$DD926,16),0)</f>
        <v/>
      </c>
      <c r="S926">
        <f>IFERROR(INDEX(PP_Grid[#Data],$DD926,17),0)</f>
        <v/>
      </c>
      <c r="T926">
        <f>IFERROR(INDEX(PP_Grid[#Data],$DD926,18),0)</f>
        <v/>
      </c>
      <c r="U926">
        <f>IFERROR(INDEX(PP_Grid[#Data],$DD926,19),0)</f>
        <v/>
      </c>
      <c r="V926">
        <f>IFERROR(INDEX(PP_Grid[#Data],$DD926,20),0)</f>
        <v/>
      </c>
      <c r="W926">
        <f>IFERROR(INDEX(PP_Grid[#Data],$DD926,21),0)</f>
        <v/>
      </c>
      <c r="X926">
        <f>IFERROR(INDEX(PP_Grid[#Data],$DD926,22),0)</f>
        <v/>
      </c>
      <c r="Y926">
        <f>IFERROR(INDEX(PP_Grid[#Data],$DD926,23),0)</f>
        <v/>
      </c>
      <c r="Z926">
        <f>IFERROR(INDEX(PP_Grid[#Data],$DD926,24),0)</f>
        <v/>
      </c>
      <c r="AA926">
        <f>IFERROR(INDEX(PP_Grid[#Data],$DD926,25),0)</f>
        <v/>
      </c>
      <c r="AB926">
        <f>IFERROR(INDEX(PP_Grid[#Data],$DD926,26),0)</f>
        <v/>
      </c>
      <c r="AC926">
        <f>IFERROR(INDEX(PP_Grid[#Data],$DD926,27),0)</f>
        <v/>
      </c>
      <c r="AD926">
        <f>IFERROR(INDEX(PP_Grid[#Data],$DD926,28),0)</f>
        <v/>
      </c>
      <c r="AE926">
        <f>IFERROR(INDEX(PP_Grid[#Data],$DD926,29),0)</f>
        <v/>
      </c>
      <c r="AF926">
        <f>IFERROR(INDEX(PP_Grid[#Data],$DD926,30),0)</f>
        <v/>
      </c>
      <c r="AG926">
        <f>IFERROR(INDEX(PP_Grid[#Data],$DD926,31),0)</f>
        <v/>
      </c>
      <c r="AH926">
        <f>IFERROR(INDEX(PP_Grid[#Data],$DD926,32),0)</f>
        <v/>
      </c>
      <c r="AI926">
        <f>IFERROR(INDEX(PP_Grid[#Data],$DD926,33),0)</f>
        <v/>
      </c>
      <c r="AJ926">
        <f>IFERROR(INDEX(PP_Grid[#Data],$DD926,34),0)</f>
        <v/>
      </c>
      <c r="AK926">
        <f>IFERROR(INDEX(PP_Grid[#Data],$DD926,35),0)</f>
        <v/>
      </c>
      <c r="AL926">
        <f>IFERROR(INDEX(PP_Grid[#Data],$DD926,36),0)</f>
        <v/>
      </c>
      <c r="AM926">
        <f>IFERROR(INDEX(PP_Grid[#Data],$DD926,37),0)</f>
        <v/>
      </c>
      <c r="AN926">
        <f>IFERROR(INDEX(PP_Grid[#Data],$DD926,38),0)</f>
        <v/>
      </c>
      <c r="AO926">
        <f>IFERROR(INDEX(PP_Grid[#Data],$DD926,39),0)</f>
        <v/>
      </c>
      <c r="AP926">
        <f>IFERROR(INDEX(PP_Grid[#Data],$DD926,40),0)</f>
        <v/>
      </c>
      <c r="AQ926">
        <f>IFERROR(INDEX(PP_Grid[#Data],$DD926,41),0)</f>
        <v/>
      </c>
      <c r="AR926">
        <f>IFERROR(INDEX(PP_Grid[#Data],$DD926,42),0)</f>
        <v/>
      </c>
      <c r="AS926">
        <f>IFERROR(INDEX(PP_Grid[#Data],$DD926,43),0)</f>
        <v/>
      </c>
      <c r="AT926">
        <f>IFERROR(INDEX(PP_Grid[#Data],$DD926,44),0)</f>
        <v/>
      </c>
      <c r="AU926">
        <f>IFERROR(INDEX(PP_Grid[#Data],$DD926,45),0)</f>
        <v/>
      </c>
      <c r="AV926">
        <f>IFERROR(INDEX(PP_Grid[#Data],$DD926,46),0)</f>
        <v/>
      </c>
      <c r="AW926">
        <f>IFERROR(INDEX(PP_Grid[#Data],$DD926,47),0)</f>
        <v/>
      </c>
      <c r="AX926">
        <f>IFERROR(INDEX(PP_Grid[#Data],$DD926,48),0)</f>
        <v/>
      </c>
      <c r="AY926">
        <f>IFERROR(INDEX(PP_Grid[#Data],$DD926,49),0)</f>
        <v/>
      </c>
      <c r="AZ926">
        <f>IFERROR(INDEX(PP_Grid[#Data],$DD926,50),0)</f>
        <v/>
      </c>
      <c r="BA926">
        <f>IFERROR(INDEX(PP_Grid[#Data],$DD926,51),0)</f>
        <v/>
      </c>
      <c r="BB926">
        <f>IFERROR(INDEX(PP_Grid[#Data],$DD926,52),0)</f>
        <v/>
      </c>
      <c r="BC926">
        <f>IFERROR(INDEX(PP_Grid[#Data],$DD926,53),0)</f>
        <v/>
      </c>
      <c r="BD926">
        <f>IFERROR(INDEX(PP_Grid[#Data],$DD926,54),0)</f>
        <v/>
      </c>
      <c r="BE926">
        <f>IFERROR(INDEX(PP_Grid[#Data],$DD926,55),0)</f>
        <v/>
      </c>
      <c r="BF926">
        <f>IFERROR(INDEX(PP_Grid[#Data],$DD926,56),0)</f>
        <v/>
      </c>
      <c r="BG926">
        <f>IFERROR(INDEX(PP_Grid[#Data],$DD926,57),0)</f>
        <v/>
      </c>
      <c r="BH926">
        <f>IFERROR(INDEX(PP_Grid[#Data],$DD926,58),0)</f>
        <v/>
      </c>
      <c r="BI926">
        <f>IFERROR(INDEX(PP_Grid[#Data],$DD926,59),0)</f>
        <v/>
      </c>
      <c r="BJ926">
        <f>IFERROR(INDEX(PP_Grid[#Data],$DD926,60),0)</f>
        <v/>
      </c>
      <c r="BK926">
        <f>IFERROR(INDEX(PP_Grid[#Data],$DD926,61),0)</f>
        <v/>
      </c>
      <c r="BL926">
        <f>IFERROR(INDEX(PP_Grid[#Data],$DD926,62),0)</f>
        <v/>
      </c>
      <c r="BM926">
        <f>IFERROR(INDEX(PP_Grid[#Data],$DD926,63),0)</f>
        <v/>
      </c>
      <c r="BN926">
        <f>IFERROR(INDEX(PP_Grid[#Data],$DD926,64),0)</f>
        <v/>
      </c>
      <c r="BO926">
        <f>IFERROR(INDEX(PP_Grid[#Data],$DD926,65),0)</f>
        <v/>
      </c>
      <c r="BP926">
        <f>IFERROR(INDEX(PP_Grid[#Data],$DD926,66),0)</f>
        <v/>
      </c>
      <c r="BQ926">
        <f>IFERROR(INDEX(PP_Grid[#Data],$DD926,67),0)</f>
        <v/>
      </c>
      <c r="BR926">
        <f>IFERROR(INDEX(PP_Grid[#Data],$DD926,68),0)</f>
        <v/>
      </c>
      <c r="BS926">
        <f>IFERROR(INDEX(PP_Grid[#Data],$DD926,69),0)</f>
        <v/>
      </c>
      <c r="BT926">
        <f>IFERROR(INDEX(PP_Grid[#Data],$DD926,70),0)</f>
        <v/>
      </c>
      <c r="BU926">
        <f>IFERROR(INDEX(PP_Grid[#Data],$DD926,71),0)</f>
        <v/>
      </c>
      <c r="BV926">
        <f>IFERROR(INDEX(PP_Grid[#Data],$DD926,72),0)</f>
        <v/>
      </c>
      <c r="BW926">
        <f>IFERROR(INDEX(PP_Grid[#Data],$DD926,73),0)</f>
        <v/>
      </c>
      <c r="BX926">
        <f>IFERROR(INDEX(PP_Grid[#Data],$DD926,74),0)</f>
        <v/>
      </c>
      <c r="BY926">
        <f>IFERROR(INDEX(PP_Grid[#Data],$DD926,75),0)</f>
        <v/>
      </c>
      <c r="BZ926">
        <f>IFERROR(INDEX(PP_Grid[#Data],$DD926,76),0)</f>
        <v/>
      </c>
      <c r="CA926">
        <f>IFERROR(INDEX(PP_Grid[#Data],$DD926,77),0)</f>
        <v/>
      </c>
      <c r="CB926">
        <f>IFERROR(INDEX(PP_Grid[#Data],$DD926,78),0)</f>
        <v/>
      </c>
      <c r="CC926">
        <f>IFERROR(INDEX(PP_Grid[#Data],$DD926,79),0)</f>
        <v/>
      </c>
      <c r="CD926">
        <f>IFERROR(INDEX(PP_Grid[#Data],$DD926,80),0)</f>
        <v/>
      </c>
      <c r="CE926">
        <f>IFERROR(INDEX(PP_Grid[#Data],$DD926,81),0)</f>
        <v/>
      </c>
      <c r="CF926">
        <f>IFERROR(INDEX(PP_Grid[#Data],$DD926,82),0)</f>
        <v/>
      </c>
      <c r="CG926">
        <f>IFERROR(INDEX(PP_Grid[#Data],$DD926,83),0)</f>
        <v/>
      </c>
      <c r="CH926">
        <f>IFERROR(INDEX(PP_Grid[#Data],$DD926,84),0)</f>
        <v/>
      </c>
      <c r="CI926">
        <f>IFERROR(INDEX(PP_Grid[#Data],$DD926,85),0)</f>
        <v/>
      </c>
      <c r="CJ926">
        <f>IFERROR(INDEX(PP_Grid[#Data],$DD926,86),0)</f>
        <v/>
      </c>
      <c r="CK926">
        <f>IFERROR(INDEX(PP_Grid[#Data],$DD926,87),0)</f>
        <v/>
      </c>
      <c r="CL926">
        <f>IFERROR(INDEX(PP_Grid[#Data],$DD926,88),0)</f>
        <v/>
      </c>
      <c r="CM926">
        <f>IFERROR(INDEX(PP_Grid[#Data],$DD926,89),0)</f>
        <v/>
      </c>
      <c r="CN926">
        <f>IFERROR(INDEX(PP_Grid[#Data],$DD926,90),0)</f>
        <v/>
      </c>
      <c r="CO926">
        <f>IFERROR(INDEX(PP_Grid[#Data],$DD926,91),0)</f>
        <v/>
      </c>
      <c r="CP926">
        <f>IFERROR(INDEX(PP_Grid[#Data],$DD926,92),0)</f>
        <v/>
      </c>
      <c r="CQ926">
        <f>IFERROR(INDEX(PP_Grid[#Data],$DD926,93),0)</f>
        <v/>
      </c>
      <c r="CR926">
        <f>IFERROR(INDEX(PP_Grid[#Data],$DD926,94),0)</f>
        <v/>
      </c>
      <c r="CS926">
        <f>IFERROR(INDEX(PP_Grid[#Data],$DD926,95),0)</f>
        <v/>
      </c>
      <c r="CT926">
        <f>IFERROR(INDEX(PP_Grid[#Data],$DD926,96),0)</f>
        <v/>
      </c>
      <c r="CU926">
        <f>IFERROR(INDEX(PP_Grid[#Data],$DD926,97),0)</f>
        <v/>
      </c>
      <c r="CV926">
        <f>IFERROR(INDEX(PP_Grid[#Data],$DD926,98),0)</f>
        <v/>
      </c>
      <c r="CW926">
        <f>IFERROR(INDEX(PP_Grid[#Data],$DD926,99),0)</f>
        <v/>
      </c>
      <c r="CX926">
        <f>IFERROR(INDEX(PP_Grid[#Data],$DD926,100),0)</f>
        <v/>
      </c>
      <c r="CY926">
        <f>IFERROR(INDEX(PP_Grid[#Data],$DD926,101),0)</f>
        <v/>
      </c>
      <c r="CZ926">
        <f>IFERROR(INDEX(PP_Grid[#Data],$DD926,102),0)</f>
        <v/>
      </c>
      <c r="DA926">
        <f>IFERROR(INDEX(PP_Grid[#Data],$DD926,103),0)</f>
        <v/>
      </c>
      <c r="DB926">
        <f>IFERROR(INDEX(PP_Grid[#Data],$DD926,104),0)</f>
        <v/>
      </c>
      <c r="DC926">
        <f>IFERROR(INDEX(PP_Grid[#Data],$DD926,105),0)</f>
        <v/>
      </c>
      <c r="DD926" s="7">
        <f>IFERROR(MATCH($B926,PP_Grid[Intermediate],0),99999)</f>
        <v/>
      </c>
    </row>
    <row r="927">
      <c r="B927" t="inlineStr">
        <is>
          <t>使用量(kg)</t>
        </is>
      </c>
      <c r="C927">
        <f>SUMIFS(M_BOM[RM_Qty_Per_Batch],M_BOM[Intermediate],$B926,M_BOM[Part Name],$A905)</f>
        <v/>
      </c>
      <c r="D927">
        <f>$C927*D926</f>
        <v/>
      </c>
      <c r="E927">
        <f>$C927*E926</f>
        <v/>
      </c>
      <c r="F927">
        <f>$C927*F926</f>
        <v/>
      </c>
      <c r="G927">
        <f>$C927*G926</f>
        <v/>
      </c>
      <c r="H927">
        <f>$C927*H926</f>
        <v/>
      </c>
      <c r="I927">
        <f>$C927*I926</f>
        <v/>
      </c>
      <c r="J927">
        <f>$C927*J926</f>
        <v/>
      </c>
      <c r="K927">
        <f>$C927*K926</f>
        <v/>
      </c>
      <c r="L927">
        <f>$C927*L926</f>
        <v/>
      </c>
      <c r="M927">
        <f>$C927*M926</f>
        <v/>
      </c>
      <c r="N927">
        <f>$C927*N926</f>
        <v/>
      </c>
      <c r="O927">
        <f>$C927*O926</f>
        <v/>
      </c>
      <c r="P927">
        <f>$C927*P926</f>
        <v/>
      </c>
      <c r="Q927">
        <f>$C927*Q926</f>
        <v/>
      </c>
      <c r="R927">
        <f>$C927*R926</f>
        <v/>
      </c>
      <c r="S927">
        <f>$C927*S926</f>
        <v/>
      </c>
      <c r="T927">
        <f>$C927*T926</f>
        <v/>
      </c>
      <c r="U927">
        <f>$C927*U926</f>
        <v/>
      </c>
      <c r="V927">
        <f>$C927*V926</f>
        <v/>
      </c>
      <c r="W927">
        <f>$C927*W926</f>
        <v/>
      </c>
      <c r="X927">
        <f>$C927*X926</f>
        <v/>
      </c>
      <c r="Y927">
        <f>$C927*Y926</f>
        <v/>
      </c>
      <c r="Z927">
        <f>$C927*Z926</f>
        <v/>
      </c>
      <c r="AA927">
        <f>$C927*AA926</f>
        <v/>
      </c>
      <c r="AB927">
        <f>$C927*AB926</f>
        <v/>
      </c>
      <c r="AC927">
        <f>$C927*AC926</f>
        <v/>
      </c>
      <c r="AD927">
        <f>$C927*AD926</f>
        <v/>
      </c>
      <c r="AE927">
        <f>$C927*AE926</f>
        <v/>
      </c>
      <c r="AF927">
        <f>$C927*AF926</f>
        <v/>
      </c>
      <c r="AG927">
        <f>$C927*AG926</f>
        <v/>
      </c>
      <c r="AH927">
        <f>$C927*AH926</f>
        <v/>
      </c>
      <c r="AI927">
        <f>$C927*AI926</f>
        <v/>
      </c>
      <c r="AJ927">
        <f>$C927*AJ926</f>
        <v/>
      </c>
      <c r="AK927">
        <f>$C927*AK926</f>
        <v/>
      </c>
      <c r="AL927">
        <f>$C927*AL926</f>
        <v/>
      </c>
      <c r="AM927">
        <f>$C927*AM926</f>
        <v/>
      </c>
      <c r="AN927">
        <f>$C927*AN926</f>
        <v/>
      </c>
      <c r="AO927">
        <f>$C927*AO926</f>
        <v/>
      </c>
      <c r="AP927">
        <f>$C927*AP926</f>
        <v/>
      </c>
      <c r="AQ927">
        <f>$C927*AQ926</f>
        <v/>
      </c>
      <c r="AR927">
        <f>$C927*AR926</f>
        <v/>
      </c>
      <c r="AS927">
        <f>$C927*AS926</f>
        <v/>
      </c>
      <c r="AT927">
        <f>$C927*AT926</f>
        <v/>
      </c>
      <c r="AU927">
        <f>$C927*AU926</f>
        <v/>
      </c>
      <c r="AV927">
        <f>$C927*AV926</f>
        <v/>
      </c>
      <c r="AW927">
        <f>$C927*AW926</f>
        <v/>
      </c>
      <c r="AX927">
        <f>$C927*AX926</f>
        <v/>
      </c>
      <c r="AY927">
        <f>$C927*AY926</f>
        <v/>
      </c>
      <c r="AZ927">
        <f>$C927*AZ926</f>
        <v/>
      </c>
      <c r="BA927">
        <f>$C927*BA926</f>
        <v/>
      </c>
      <c r="BB927">
        <f>$C927*BB926</f>
        <v/>
      </c>
      <c r="BC927">
        <f>$C927*BC926</f>
        <v/>
      </c>
      <c r="BD927">
        <f>$C927*BD926</f>
        <v/>
      </c>
      <c r="BE927">
        <f>$C927*BE926</f>
        <v/>
      </c>
      <c r="BF927">
        <f>$C927*BF926</f>
        <v/>
      </c>
      <c r="BG927">
        <f>$C927*BG926</f>
        <v/>
      </c>
      <c r="BH927">
        <f>$C927*BH926</f>
        <v/>
      </c>
      <c r="BI927">
        <f>$C927*BI926</f>
        <v/>
      </c>
      <c r="BJ927">
        <f>$C927*BJ926</f>
        <v/>
      </c>
      <c r="BK927">
        <f>$C927*BK926</f>
        <v/>
      </c>
      <c r="BL927">
        <f>$C927*BL926</f>
        <v/>
      </c>
      <c r="BM927">
        <f>$C927*BM926</f>
        <v/>
      </c>
      <c r="BN927">
        <f>$C927*BN926</f>
        <v/>
      </c>
      <c r="BO927">
        <f>$C927*BO926</f>
        <v/>
      </c>
      <c r="BP927">
        <f>$C927*BP926</f>
        <v/>
      </c>
      <c r="BQ927">
        <f>$C927*BQ926</f>
        <v/>
      </c>
      <c r="BR927">
        <f>$C927*BR926</f>
        <v/>
      </c>
      <c r="BS927">
        <f>$C927*BS926</f>
        <v/>
      </c>
      <c r="BT927">
        <f>$C927*BT926</f>
        <v/>
      </c>
      <c r="BU927">
        <f>$C927*BU926</f>
        <v/>
      </c>
      <c r="BV927">
        <f>$C927*BV926</f>
        <v/>
      </c>
      <c r="BW927">
        <f>$C927*BW926</f>
        <v/>
      </c>
      <c r="BX927">
        <f>$C927*BX926</f>
        <v/>
      </c>
      <c r="BY927">
        <f>$C927*BY926</f>
        <v/>
      </c>
      <c r="BZ927">
        <f>$C927*BZ926</f>
        <v/>
      </c>
      <c r="CA927">
        <f>$C927*CA926</f>
        <v/>
      </c>
      <c r="CB927">
        <f>$C927*CB926</f>
        <v/>
      </c>
      <c r="CC927">
        <f>$C927*CC926</f>
        <v/>
      </c>
      <c r="CD927">
        <f>$C927*CD926</f>
        <v/>
      </c>
      <c r="CE927">
        <f>$C927*CE926</f>
        <v/>
      </c>
      <c r="CF927">
        <f>$C927*CF926</f>
        <v/>
      </c>
      <c r="CG927">
        <f>$C927*CG926</f>
        <v/>
      </c>
      <c r="CH927">
        <f>$C927*CH926</f>
        <v/>
      </c>
      <c r="CI927">
        <f>$C927*CI926</f>
        <v/>
      </c>
      <c r="CJ927">
        <f>$C927*CJ926</f>
        <v/>
      </c>
      <c r="CK927">
        <f>$C927*CK926</f>
        <v/>
      </c>
      <c r="CL927">
        <f>$C927*CL926</f>
        <v/>
      </c>
      <c r="CM927">
        <f>$C927*CM926</f>
        <v/>
      </c>
      <c r="CN927">
        <f>$C927*CN926</f>
        <v/>
      </c>
      <c r="CO927">
        <f>$C927*CO926</f>
        <v/>
      </c>
      <c r="CP927">
        <f>$C927*CP926</f>
        <v/>
      </c>
      <c r="CQ927">
        <f>$C927*CQ926</f>
        <v/>
      </c>
      <c r="CR927">
        <f>$C927*CR926</f>
        <v/>
      </c>
      <c r="CS927">
        <f>$C927*CS926</f>
        <v/>
      </c>
      <c r="CT927">
        <f>$C927*CT926</f>
        <v/>
      </c>
      <c r="CU927">
        <f>$C927*CU926</f>
        <v/>
      </c>
      <c r="CV927">
        <f>$C927*CV926</f>
        <v/>
      </c>
      <c r="CW927">
        <f>$C927*CW926</f>
        <v/>
      </c>
      <c r="CX927">
        <f>$C927*CX926</f>
        <v/>
      </c>
      <c r="CY927">
        <f>$C927*CY926</f>
        <v/>
      </c>
      <c r="CZ927">
        <f>$C927*CZ926</f>
        <v/>
      </c>
      <c r="DA927">
        <f>$C927*DA926</f>
        <v/>
      </c>
      <c r="DB927">
        <f>$C927*DB926</f>
        <v/>
      </c>
      <c r="DC927">
        <f>$C927*DC926</f>
        <v/>
      </c>
    </row>
    <row r="928">
      <c r="B928" t="inlineStr">
        <is>
          <t>TSP-1446</t>
        </is>
      </c>
      <c r="C928" t="inlineStr">
        <is>
          <t>No. of batches</t>
        </is>
      </c>
      <c r="D928">
        <f>IFERROR(INDEX(PP_Grid[#Data],$DD928,2),0)</f>
        <v/>
      </c>
      <c r="E928">
        <f>IFERROR(INDEX(PP_Grid[#Data],$DD928,3),0)</f>
        <v/>
      </c>
      <c r="F928">
        <f>IFERROR(INDEX(PP_Grid[#Data],$DD928,4),0)</f>
        <v/>
      </c>
      <c r="G928">
        <f>IFERROR(INDEX(PP_Grid[#Data],$DD928,5),0)</f>
        <v/>
      </c>
      <c r="H928">
        <f>IFERROR(INDEX(PP_Grid[#Data],$DD928,6),0)</f>
        <v/>
      </c>
      <c r="I928">
        <f>IFERROR(INDEX(PP_Grid[#Data],$DD928,7),0)</f>
        <v/>
      </c>
      <c r="J928">
        <f>IFERROR(INDEX(PP_Grid[#Data],$DD928,8),0)</f>
        <v/>
      </c>
      <c r="K928">
        <f>IFERROR(INDEX(PP_Grid[#Data],$DD928,9),0)</f>
        <v/>
      </c>
      <c r="L928">
        <f>IFERROR(INDEX(PP_Grid[#Data],$DD928,10),0)</f>
        <v/>
      </c>
      <c r="M928">
        <f>IFERROR(INDEX(PP_Grid[#Data],$DD928,11),0)</f>
        <v/>
      </c>
      <c r="N928">
        <f>IFERROR(INDEX(PP_Grid[#Data],$DD928,12),0)</f>
        <v/>
      </c>
      <c r="O928">
        <f>IFERROR(INDEX(PP_Grid[#Data],$DD928,13),0)</f>
        <v/>
      </c>
      <c r="P928">
        <f>IFERROR(INDEX(PP_Grid[#Data],$DD928,14),0)</f>
        <v/>
      </c>
      <c r="Q928">
        <f>IFERROR(INDEX(PP_Grid[#Data],$DD928,15),0)</f>
        <v/>
      </c>
      <c r="R928">
        <f>IFERROR(INDEX(PP_Grid[#Data],$DD928,16),0)</f>
        <v/>
      </c>
      <c r="S928">
        <f>IFERROR(INDEX(PP_Grid[#Data],$DD928,17),0)</f>
        <v/>
      </c>
      <c r="T928">
        <f>IFERROR(INDEX(PP_Grid[#Data],$DD928,18),0)</f>
        <v/>
      </c>
      <c r="U928">
        <f>IFERROR(INDEX(PP_Grid[#Data],$DD928,19),0)</f>
        <v/>
      </c>
      <c r="V928">
        <f>IFERROR(INDEX(PP_Grid[#Data],$DD928,20),0)</f>
        <v/>
      </c>
      <c r="W928">
        <f>IFERROR(INDEX(PP_Grid[#Data],$DD928,21),0)</f>
        <v/>
      </c>
      <c r="X928">
        <f>IFERROR(INDEX(PP_Grid[#Data],$DD928,22),0)</f>
        <v/>
      </c>
      <c r="Y928">
        <f>IFERROR(INDEX(PP_Grid[#Data],$DD928,23),0)</f>
        <v/>
      </c>
      <c r="Z928">
        <f>IFERROR(INDEX(PP_Grid[#Data],$DD928,24),0)</f>
        <v/>
      </c>
      <c r="AA928">
        <f>IFERROR(INDEX(PP_Grid[#Data],$DD928,25),0)</f>
        <v/>
      </c>
      <c r="AB928">
        <f>IFERROR(INDEX(PP_Grid[#Data],$DD928,26),0)</f>
        <v/>
      </c>
      <c r="AC928">
        <f>IFERROR(INDEX(PP_Grid[#Data],$DD928,27),0)</f>
        <v/>
      </c>
      <c r="AD928">
        <f>IFERROR(INDEX(PP_Grid[#Data],$DD928,28),0)</f>
        <v/>
      </c>
      <c r="AE928">
        <f>IFERROR(INDEX(PP_Grid[#Data],$DD928,29),0)</f>
        <v/>
      </c>
      <c r="AF928">
        <f>IFERROR(INDEX(PP_Grid[#Data],$DD928,30),0)</f>
        <v/>
      </c>
      <c r="AG928">
        <f>IFERROR(INDEX(PP_Grid[#Data],$DD928,31),0)</f>
        <v/>
      </c>
      <c r="AH928">
        <f>IFERROR(INDEX(PP_Grid[#Data],$DD928,32),0)</f>
        <v/>
      </c>
      <c r="AI928">
        <f>IFERROR(INDEX(PP_Grid[#Data],$DD928,33),0)</f>
        <v/>
      </c>
      <c r="AJ928">
        <f>IFERROR(INDEX(PP_Grid[#Data],$DD928,34),0)</f>
        <v/>
      </c>
      <c r="AK928">
        <f>IFERROR(INDEX(PP_Grid[#Data],$DD928,35),0)</f>
        <v/>
      </c>
      <c r="AL928">
        <f>IFERROR(INDEX(PP_Grid[#Data],$DD928,36),0)</f>
        <v/>
      </c>
      <c r="AM928">
        <f>IFERROR(INDEX(PP_Grid[#Data],$DD928,37),0)</f>
        <v/>
      </c>
      <c r="AN928">
        <f>IFERROR(INDEX(PP_Grid[#Data],$DD928,38),0)</f>
        <v/>
      </c>
      <c r="AO928">
        <f>IFERROR(INDEX(PP_Grid[#Data],$DD928,39),0)</f>
        <v/>
      </c>
      <c r="AP928">
        <f>IFERROR(INDEX(PP_Grid[#Data],$DD928,40),0)</f>
        <v/>
      </c>
      <c r="AQ928">
        <f>IFERROR(INDEX(PP_Grid[#Data],$DD928,41),0)</f>
        <v/>
      </c>
      <c r="AR928">
        <f>IFERROR(INDEX(PP_Grid[#Data],$DD928,42),0)</f>
        <v/>
      </c>
      <c r="AS928">
        <f>IFERROR(INDEX(PP_Grid[#Data],$DD928,43),0)</f>
        <v/>
      </c>
      <c r="AT928">
        <f>IFERROR(INDEX(PP_Grid[#Data],$DD928,44),0)</f>
        <v/>
      </c>
      <c r="AU928">
        <f>IFERROR(INDEX(PP_Grid[#Data],$DD928,45),0)</f>
        <v/>
      </c>
      <c r="AV928">
        <f>IFERROR(INDEX(PP_Grid[#Data],$DD928,46),0)</f>
        <v/>
      </c>
      <c r="AW928">
        <f>IFERROR(INDEX(PP_Grid[#Data],$DD928,47),0)</f>
        <v/>
      </c>
      <c r="AX928">
        <f>IFERROR(INDEX(PP_Grid[#Data],$DD928,48),0)</f>
        <v/>
      </c>
      <c r="AY928">
        <f>IFERROR(INDEX(PP_Grid[#Data],$DD928,49),0)</f>
        <v/>
      </c>
      <c r="AZ928">
        <f>IFERROR(INDEX(PP_Grid[#Data],$DD928,50),0)</f>
        <v/>
      </c>
      <c r="BA928">
        <f>IFERROR(INDEX(PP_Grid[#Data],$DD928,51),0)</f>
        <v/>
      </c>
      <c r="BB928">
        <f>IFERROR(INDEX(PP_Grid[#Data],$DD928,52),0)</f>
        <v/>
      </c>
      <c r="BC928">
        <f>IFERROR(INDEX(PP_Grid[#Data],$DD928,53),0)</f>
        <v/>
      </c>
      <c r="BD928">
        <f>IFERROR(INDEX(PP_Grid[#Data],$DD928,54),0)</f>
        <v/>
      </c>
      <c r="BE928">
        <f>IFERROR(INDEX(PP_Grid[#Data],$DD928,55),0)</f>
        <v/>
      </c>
      <c r="BF928">
        <f>IFERROR(INDEX(PP_Grid[#Data],$DD928,56),0)</f>
        <v/>
      </c>
      <c r="BG928">
        <f>IFERROR(INDEX(PP_Grid[#Data],$DD928,57),0)</f>
        <v/>
      </c>
      <c r="BH928">
        <f>IFERROR(INDEX(PP_Grid[#Data],$DD928,58),0)</f>
        <v/>
      </c>
      <c r="BI928">
        <f>IFERROR(INDEX(PP_Grid[#Data],$DD928,59),0)</f>
        <v/>
      </c>
      <c r="BJ928">
        <f>IFERROR(INDEX(PP_Grid[#Data],$DD928,60),0)</f>
        <v/>
      </c>
      <c r="BK928">
        <f>IFERROR(INDEX(PP_Grid[#Data],$DD928,61),0)</f>
        <v/>
      </c>
      <c r="BL928">
        <f>IFERROR(INDEX(PP_Grid[#Data],$DD928,62),0)</f>
        <v/>
      </c>
      <c r="BM928">
        <f>IFERROR(INDEX(PP_Grid[#Data],$DD928,63),0)</f>
        <v/>
      </c>
      <c r="BN928">
        <f>IFERROR(INDEX(PP_Grid[#Data],$DD928,64),0)</f>
        <v/>
      </c>
      <c r="BO928">
        <f>IFERROR(INDEX(PP_Grid[#Data],$DD928,65),0)</f>
        <v/>
      </c>
      <c r="BP928">
        <f>IFERROR(INDEX(PP_Grid[#Data],$DD928,66),0)</f>
        <v/>
      </c>
      <c r="BQ928">
        <f>IFERROR(INDEX(PP_Grid[#Data],$DD928,67),0)</f>
        <v/>
      </c>
      <c r="BR928">
        <f>IFERROR(INDEX(PP_Grid[#Data],$DD928,68),0)</f>
        <v/>
      </c>
      <c r="BS928">
        <f>IFERROR(INDEX(PP_Grid[#Data],$DD928,69),0)</f>
        <v/>
      </c>
      <c r="BT928">
        <f>IFERROR(INDEX(PP_Grid[#Data],$DD928,70),0)</f>
        <v/>
      </c>
      <c r="BU928">
        <f>IFERROR(INDEX(PP_Grid[#Data],$DD928,71),0)</f>
        <v/>
      </c>
      <c r="BV928">
        <f>IFERROR(INDEX(PP_Grid[#Data],$DD928,72),0)</f>
        <v/>
      </c>
      <c r="BW928">
        <f>IFERROR(INDEX(PP_Grid[#Data],$DD928,73),0)</f>
        <v/>
      </c>
      <c r="BX928">
        <f>IFERROR(INDEX(PP_Grid[#Data],$DD928,74),0)</f>
        <v/>
      </c>
      <c r="BY928">
        <f>IFERROR(INDEX(PP_Grid[#Data],$DD928,75),0)</f>
        <v/>
      </c>
      <c r="BZ928">
        <f>IFERROR(INDEX(PP_Grid[#Data],$DD928,76),0)</f>
        <v/>
      </c>
      <c r="CA928">
        <f>IFERROR(INDEX(PP_Grid[#Data],$DD928,77),0)</f>
        <v/>
      </c>
      <c r="CB928">
        <f>IFERROR(INDEX(PP_Grid[#Data],$DD928,78),0)</f>
        <v/>
      </c>
      <c r="CC928">
        <f>IFERROR(INDEX(PP_Grid[#Data],$DD928,79),0)</f>
        <v/>
      </c>
      <c r="CD928">
        <f>IFERROR(INDEX(PP_Grid[#Data],$DD928,80),0)</f>
        <v/>
      </c>
      <c r="CE928">
        <f>IFERROR(INDEX(PP_Grid[#Data],$DD928,81),0)</f>
        <v/>
      </c>
      <c r="CF928">
        <f>IFERROR(INDEX(PP_Grid[#Data],$DD928,82),0)</f>
        <v/>
      </c>
      <c r="CG928">
        <f>IFERROR(INDEX(PP_Grid[#Data],$DD928,83),0)</f>
        <v/>
      </c>
      <c r="CH928">
        <f>IFERROR(INDEX(PP_Grid[#Data],$DD928,84),0)</f>
        <v/>
      </c>
      <c r="CI928">
        <f>IFERROR(INDEX(PP_Grid[#Data],$DD928,85),0)</f>
        <v/>
      </c>
      <c r="CJ928">
        <f>IFERROR(INDEX(PP_Grid[#Data],$DD928,86),0)</f>
        <v/>
      </c>
      <c r="CK928">
        <f>IFERROR(INDEX(PP_Grid[#Data],$DD928,87),0)</f>
        <v/>
      </c>
      <c r="CL928">
        <f>IFERROR(INDEX(PP_Grid[#Data],$DD928,88),0)</f>
        <v/>
      </c>
      <c r="CM928">
        <f>IFERROR(INDEX(PP_Grid[#Data],$DD928,89),0)</f>
        <v/>
      </c>
      <c r="CN928">
        <f>IFERROR(INDEX(PP_Grid[#Data],$DD928,90),0)</f>
        <v/>
      </c>
      <c r="CO928">
        <f>IFERROR(INDEX(PP_Grid[#Data],$DD928,91),0)</f>
        <v/>
      </c>
      <c r="CP928">
        <f>IFERROR(INDEX(PP_Grid[#Data],$DD928,92),0)</f>
        <v/>
      </c>
      <c r="CQ928">
        <f>IFERROR(INDEX(PP_Grid[#Data],$DD928,93),0)</f>
        <v/>
      </c>
      <c r="CR928">
        <f>IFERROR(INDEX(PP_Grid[#Data],$DD928,94),0)</f>
        <v/>
      </c>
      <c r="CS928">
        <f>IFERROR(INDEX(PP_Grid[#Data],$DD928,95),0)</f>
        <v/>
      </c>
      <c r="CT928">
        <f>IFERROR(INDEX(PP_Grid[#Data],$DD928,96),0)</f>
        <v/>
      </c>
      <c r="CU928">
        <f>IFERROR(INDEX(PP_Grid[#Data],$DD928,97),0)</f>
        <v/>
      </c>
      <c r="CV928">
        <f>IFERROR(INDEX(PP_Grid[#Data],$DD928,98),0)</f>
        <v/>
      </c>
      <c r="CW928">
        <f>IFERROR(INDEX(PP_Grid[#Data],$DD928,99),0)</f>
        <v/>
      </c>
      <c r="CX928">
        <f>IFERROR(INDEX(PP_Grid[#Data],$DD928,100),0)</f>
        <v/>
      </c>
      <c r="CY928">
        <f>IFERROR(INDEX(PP_Grid[#Data],$DD928,101),0)</f>
        <v/>
      </c>
      <c r="CZ928">
        <f>IFERROR(INDEX(PP_Grid[#Data],$DD928,102),0)</f>
        <v/>
      </c>
      <c r="DA928">
        <f>IFERROR(INDEX(PP_Grid[#Data],$DD928,103),0)</f>
        <v/>
      </c>
      <c r="DB928">
        <f>IFERROR(INDEX(PP_Grid[#Data],$DD928,104),0)</f>
        <v/>
      </c>
      <c r="DC928">
        <f>IFERROR(INDEX(PP_Grid[#Data],$DD928,105),0)</f>
        <v/>
      </c>
      <c r="DD928" s="7">
        <f>IFERROR(MATCH($B928,PP_Grid[Intermediate],0),99999)</f>
        <v/>
      </c>
    </row>
    <row r="929">
      <c r="B929" t="inlineStr">
        <is>
          <t>使用量(kg)</t>
        </is>
      </c>
      <c r="C929">
        <f>SUMIFS(M_BOM[RM_Qty_Per_Batch],M_BOM[Intermediate],$B928,M_BOM[Part Name],$A905)</f>
        <v/>
      </c>
      <c r="D929">
        <f>$C929*D928</f>
        <v/>
      </c>
      <c r="E929">
        <f>$C929*E928</f>
        <v/>
      </c>
      <c r="F929">
        <f>$C929*F928</f>
        <v/>
      </c>
      <c r="G929">
        <f>$C929*G928</f>
        <v/>
      </c>
      <c r="H929">
        <f>$C929*H928</f>
        <v/>
      </c>
      <c r="I929">
        <f>$C929*I928</f>
        <v/>
      </c>
      <c r="J929">
        <f>$C929*J928</f>
        <v/>
      </c>
      <c r="K929">
        <f>$C929*K928</f>
        <v/>
      </c>
      <c r="L929">
        <f>$C929*L928</f>
        <v/>
      </c>
      <c r="M929">
        <f>$C929*M928</f>
        <v/>
      </c>
      <c r="N929">
        <f>$C929*N928</f>
        <v/>
      </c>
      <c r="O929">
        <f>$C929*O928</f>
        <v/>
      </c>
      <c r="P929">
        <f>$C929*P928</f>
        <v/>
      </c>
      <c r="Q929">
        <f>$C929*Q928</f>
        <v/>
      </c>
      <c r="R929">
        <f>$C929*R928</f>
        <v/>
      </c>
      <c r="S929">
        <f>$C929*S928</f>
        <v/>
      </c>
      <c r="T929">
        <f>$C929*T928</f>
        <v/>
      </c>
      <c r="U929">
        <f>$C929*U928</f>
        <v/>
      </c>
      <c r="V929">
        <f>$C929*V928</f>
        <v/>
      </c>
      <c r="W929">
        <f>$C929*W928</f>
        <v/>
      </c>
      <c r="X929">
        <f>$C929*X928</f>
        <v/>
      </c>
      <c r="Y929">
        <f>$C929*Y928</f>
        <v/>
      </c>
      <c r="Z929">
        <f>$C929*Z928</f>
        <v/>
      </c>
      <c r="AA929">
        <f>$C929*AA928</f>
        <v/>
      </c>
      <c r="AB929">
        <f>$C929*AB928</f>
        <v/>
      </c>
      <c r="AC929">
        <f>$C929*AC928</f>
        <v/>
      </c>
      <c r="AD929">
        <f>$C929*AD928</f>
        <v/>
      </c>
      <c r="AE929">
        <f>$C929*AE928</f>
        <v/>
      </c>
      <c r="AF929">
        <f>$C929*AF928</f>
        <v/>
      </c>
      <c r="AG929">
        <f>$C929*AG928</f>
        <v/>
      </c>
      <c r="AH929">
        <f>$C929*AH928</f>
        <v/>
      </c>
      <c r="AI929">
        <f>$C929*AI928</f>
        <v/>
      </c>
      <c r="AJ929">
        <f>$C929*AJ928</f>
        <v/>
      </c>
      <c r="AK929">
        <f>$C929*AK928</f>
        <v/>
      </c>
      <c r="AL929">
        <f>$C929*AL928</f>
        <v/>
      </c>
      <c r="AM929">
        <f>$C929*AM928</f>
        <v/>
      </c>
      <c r="AN929">
        <f>$C929*AN928</f>
        <v/>
      </c>
      <c r="AO929">
        <f>$C929*AO928</f>
        <v/>
      </c>
      <c r="AP929">
        <f>$C929*AP928</f>
        <v/>
      </c>
      <c r="AQ929">
        <f>$C929*AQ928</f>
        <v/>
      </c>
      <c r="AR929">
        <f>$C929*AR928</f>
        <v/>
      </c>
      <c r="AS929">
        <f>$C929*AS928</f>
        <v/>
      </c>
      <c r="AT929">
        <f>$C929*AT928</f>
        <v/>
      </c>
      <c r="AU929">
        <f>$C929*AU928</f>
        <v/>
      </c>
      <c r="AV929">
        <f>$C929*AV928</f>
        <v/>
      </c>
      <c r="AW929">
        <f>$C929*AW928</f>
        <v/>
      </c>
      <c r="AX929">
        <f>$C929*AX928</f>
        <v/>
      </c>
      <c r="AY929">
        <f>$C929*AY928</f>
        <v/>
      </c>
      <c r="AZ929">
        <f>$C929*AZ928</f>
        <v/>
      </c>
      <c r="BA929">
        <f>$C929*BA928</f>
        <v/>
      </c>
      <c r="BB929">
        <f>$C929*BB928</f>
        <v/>
      </c>
      <c r="BC929">
        <f>$C929*BC928</f>
        <v/>
      </c>
      <c r="BD929">
        <f>$C929*BD928</f>
        <v/>
      </c>
      <c r="BE929">
        <f>$C929*BE928</f>
        <v/>
      </c>
      <c r="BF929">
        <f>$C929*BF928</f>
        <v/>
      </c>
      <c r="BG929">
        <f>$C929*BG928</f>
        <v/>
      </c>
      <c r="BH929">
        <f>$C929*BH928</f>
        <v/>
      </c>
      <c r="BI929">
        <f>$C929*BI928</f>
        <v/>
      </c>
      <c r="BJ929">
        <f>$C929*BJ928</f>
        <v/>
      </c>
      <c r="BK929">
        <f>$C929*BK928</f>
        <v/>
      </c>
      <c r="BL929">
        <f>$C929*BL928</f>
        <v/>
      </c>
      <c r="BM929">
        <f>$C929*BM928</f>
        <v/>
      </c>
      <c r="BN929">
        <f>$C929*BN928</f>
        <v/>
      </c>
      <c r="BO929">
        <f>$C929*BO928</f>
        <v/>
      </c>
      <c r="BP929">
        <f>$C929*BP928</f>
        <v/>
      </c>
      <c r="BQ929">
        <f>$C929*BQ928</f>
        <v/>
      </c>
      <c r="BR929">
        <f>$C929*BR928</f>
        <v/>
      </c>
      <c r="BS929">
        <f>$C929*BS928</f>
        <v/>
      </c>
      <c r="BT929">
        <f>$C929*BT928</f>
        <v/>
      </c>
      <c r="BU929">
        <f>$C929*BU928</f>
        <v/>
      </c>
      <c r="BV929">
        <f>$C929*BV928</f>
        <v/>
      </c>
      <c r="BW929">
        <f>$C929*BW928</f>
        <v/>
      </c>
      <c r="BX929">
        <f>$C929*BX928</f>
        <v/>
      </c>
      <c r="BY929">
        <f>$C929*BY928</f>
        <v/>
      </c>
      <c r="BZ929">
        <f>$C929*BZ928</f>
        <v/>
      </c>
      <c r="CA929">
        <f>$C929*CA928</f>
        <v/>
      </c>
      <c r="CB929">
        <f>$C929*CB928</f>
        <v/>
      </c>
      <c r="CC929">
        <f>$C929*CC928</f>
        <v/>
      </c>
      <c r="CD929">
        <f>$C929*CD928</f>
        <v/>
      </c>
      <c r="CE929">
        <f>$C929*CE928</f>
        <v/>
      </c>
      <c r="CF929">
        <f>$C929*CF928</f>
        <v/>
      </c>
      <c r="CG929">
        <f>$C929*CG928</f>
        <v/>
      </c>
      <c r="CH929">
        <f>$C929*CH928</f>
        <v/>
      </c>
      <c r="CI929">
        <f>$C929*CI928</f>
        <v/>
      </c>
      <c r="CJ929">
        <f>$C929*CJ928</f>
        <v/>
      </c>
      <c r="CK929">
        <f>$C929*CK928</f>
        <v/>
      </c>
      <c r="CL929">
        <f>$C929*CL928</f>
        <v/>
      </c>
      <c r="CM929">
        <f>$C929*CM928</f>
        <v/>
      </c>
      <c r="CN929">
        <f>$C929*CN928</f>
        <v/>
      </c>
      <c r="CO929">
        <f>$C929*CO928</f>
        <v/>
      </c>
      <c r="CP929">
        <f>$C929*CP928</f>
        <v/>
      </c>
      <c r="CQ929">
        <f>$C929*CQ928</f>
        <v/>
      </c>
      <c r="CR929">
        <f>$C929*CR928</f>
        <v/>
      </c>
      <c r="CS929">
        <f>$C929*CS928</f>
        <v/>
      </c>
      <c r="CT929">
        <f>$C929*CT928</f>
        <v/>
      </c>
      <c r="CU929">
        <f>$C929*CU928</f>
        <v/>
      </c>
      <c r="CV929">
        <f>$C929*CV928</f>
        <v/>
      </c>
      <c r="CW929">
        <f>$C929*CW928</f>
        <v/>
      </c>
      <c r="CX929">
        <f>$C929*CX928</f>
        <v/>
      </c>
      <c r="CY929">
        <f>$C929*CY928</f>
        <v/>
      </c>
      <c r="CZ929">
        <f>$C929*CZ928</f>
        <v/>
      </c>
      <c r="DA929">
        <f>$C929*DA928</f>
        <v/>
      </c>
      <c r="DB929">
        <f>$C929*DB928</f>
        <v/>
      </c>
      <c r="DC929">
        <f>$C929*DC928</f>
        <v/>
      </c>
    </row>
    <row r="930">
      <c r="B930" t="inlineStr">
        <is>
          <t>TSP-1449</t>
        </is>
      </c>
      <c r="C930" t="inlineStr">
        <is>
          <t>No. of batches</t>
        </is>
      </c>
      <c r="D930">
        <f>IFERROR(INDEX(PP_Grid[#Data],$DD930,2),0)</f>
        <v/>
      </c>
      <c r="E930">
        <f>IFERROR(INDEX(PP_Grid[#Data],$DD930,3),0)</f>
        <v/>
      </c>
      <c r="F930">
        <f>IFERROR(INDEX(PP_Grid[#Data],$DD930,4),0)</f>
        <v/>
      </c>
      <c r="G930">
        <f>IFERROR(INDEX(PP_Grid[#Data],$DD930,5),0)</f>
        <v/>
      </c>
      <c r="H930">
        <f>IFERROR(INDEX(PP_Grid[#Data],$DD930,6),0)</f>
        <v/>
      </c>
      <c r="I930">
        <f>IFERROR(INDEX(PP_Grid[#Data],$DD930,7),0)</f>
        <v/>
      </c>
      <c r="J930">
        <f>IFERROR(INDEX(PP_Grid[#Data],$DD930,8),0)</f>
        <v/>
      </c>
      <c r="K930">
        <f>IFERROR(INDEX(PP_Grid[#Data],$DD930,9),0)</f>
        <v/>
      </c>
      <c r="L930">
        <f>IFERROR(INDEX(PP_Grid[#Data],$DD930,10),0)</f>
        <v/>
      </c>
      <c r="M930">
        <f>IFERROR(INDEX(PP_Grid[#Data],$DD930,11),0)</f>
        <v/>
      </c>
      <c r="N930">
        <f>IFERROR(INDEX(PP_Grid[#Data],$DD930,12),0)</f>
        <v/>
      </c>
      <c r="O930">
        <f>IFERROR(INDEX(PP_Grid[#Data],$DD930,13),0)</f>
        <v/>
      </c>
      <c r="P930">
        <f>IFERROR(INDEX(PP_Grid[#Data],$DD930,14),0)</f>
        <v/>
      </c>
      <c r="Q930">
        <f>IFERROR(INDEX(PP_Grid[#Data],$DD930,15),0)</f>
        <v/>
      </c>
      <c r="R930">
        <f>IFERROR(INDEX(PP_Grid[#Data],$DD930,16),0)</f>
        <v/>
      </c>
      <c r="S930">
        <f>IFERROR(INDEX(PP_Grid[#Data],$DD930,17),0)</f>
        <v/>
      </c>
      <c r="T930">
        <f>IFERROR(INDEX(PP_Grid[#Data],$DD930,18),0)</f>
        <v/>
      </c>
      <c r="U930">
        <f>IFERROR(INDEX(PP_Grid[#Data],$DD930,19),0)</f>
        <v/>
      </c>
      <c r="V930">
        <f>IFERROR(INDEX(PP_Grid[#Data],$DD930,20),0)</f>
        <v/>
      </c>
      <c r="W930">
        <f>IFERROR(INDEX(PP_Grid[#Data],$DD930,21),0)</f>
        <v/>
      </c>
      <c r="X930">
        <f>IFERROR(INDEX(PP_Grid[#Data],$DD930,22),0)</f>
        <v/>
      </c>
      <c r="Y930">
        <f>IFERROR(INDEX(PP_Grid[#Data],$DD930,23),0)</f>
        <v/>
      </c>
      <c r="Z930">
        <f>IFERROR(INDEX(PP_Grid[#Data],$DD930,24),0)</f>
        <v/>
      </c>
      <c r="AA930">
        <f>IFERROR(INDEX(PP_Grid[#Data],$DD930,25),0)</f>
        <v/>
      </c>
      <c r="AB930">
        <f>IFERROR(INDEX(PP_Grid[#Data],$DD930,26),0)</f>
        <v/>
      </c>
      <c r="AC930">
        <f>IFERROR(INDEX(PP_Grid[#Data],$DD930,27),0)</f>
        <v/>
      </c>
      <c r="AD930">
        <f>IFERROR(INDEX(PP_Grid[#Data],$DD930,28),0)</f>
        <v/>
      </c>
      <c r="AE930">
        <f>IFERROR(INDEX(PP_Grid[#Data],$DD930,29),0)</f>
        <v/>
      </c>
      <c r="AF930">
        <f>IFERROR(INDEX(PP_Grid[#Data],$DD930,30),0)</f>
        <v/>
      </c>
      <c r="AG930">
        <f>IFERROR(INDEX(PP_Grid[#Data],$DD930,31),0)</f>
        <v/>
      </c>
      <c r="AH930">
        <f>IFERROR(INDEX(PP_Grid[#Data],$DD930,32),0)</f>
        <v/>
      </c>
      <c r="AI930">
        <f>IFERROR(INDEX(PP_Grid[#Data],$DD930,33),0)</f>
        <v/>
      </c>
      <c r="AJ930">
        <f>IFERROR(INDEX(PP_Grid[#Data],$DD930,34),0)</f>
        <v/>
      </c>
      <c r="AK930">
        <f>IFERROR(INDEX(PP_Grid[#Data],$DD930,35),0)</f>
        <v/>
      </c>
      <c r="AL930">
        <f>IFERROR(INDEX(PP_Grid[#Data],$DD930,36),0)</f>
        <v/>
      </c>
      <c r="AM930">
        <f>IFERROR(INDEX(PP_Grid[#Data],$DD930,37),0)</f>
        <v/>
      </c>
      <c r="AN930">
        <f>IFERROR(INDEX(PP_Grid[#Data],$DD930,38),0)</f>
        <v/>
      </c>
      <c r="AO930">
        <f>IFERROR(INDEX(PP_Grid[#Data],$DD930,39),0)</f>
        <v/>
      </c>
      <c r="AP930">
        <f>IFERROR(INDEX(PP_Grid[#Data],$DD930,40),0)</f>
        <v/>
      </c>
      <c r="AQ930">
        <f>IFERROR(INDEX(PP_Grid[#Data],$DD930,41),0)</f>
        <v/>
      </c>
      <c r="AR930">
        <f>IFERROR(INDEX(PP_Grid[#Data],$DD930,42),0)</f>
        <v/>
      </c>
      <c r="AS930">
        <f>IFERROR(INDEX(PP_Grid[#Data],$DD930,43),0)</f>
        <v/>
      </c>
      <c r="AT930">
        <f>IFERROR(INDEX(PP_Grid[#Data],$DD930,44),0)</f>
        <v/>
      </c>
      <c r="AU930">
        <f>IFERROR(INDEX(PP_Grid[#Data],$DD930,45),0)</f>
        <v/>
      </c>
      <c r="AV930">
        <f>IFERROR(INDEX(PP_Grid[#Data],$DD930,46),0)</f>
        <v/>
      </c>
      <c r="AW930">
        <f>IFERROR(INDEX(PP_Grid[#Data],$DD930,47),0)</f>
        <v/>
      </c>
      <c r="AX930">
        <f>IFERROR(INDEX(PP_Grid[#Data],$DD930,48),0)</f>
        <v/>
      </c>
      <c r="AY930">
        <f>IFERROR(INDEX(PP_Grid[#Data],$DD930,49),0)</f>
        <v/>
      </c>
      <c r="AZ930">
        <f>IFERROR(INDEX(PP_Grid[#Data],$DD930,50),0)</f>
        <v/>
      </c>
      <c r="BA930">
        <f>IFERROR(INDEX(PP_Grid[#Data],$DD930,51),0)</f>
        <v/>
      </c>
      <c r="BB930">
        <f>IFERROR(INDEX(PP_Grid[#Data],$DD930,52),0)</f>
        <v/>
      </c>
      <c r="BC930">
        <f>IFERROR(INDEX(PP_Grid[#Data],$DD930,53),0)</f>
        <v/>
      </c>
      <c r="BD930">
        <f>IFERROR(INDEX(PP_Grid[#Data],$DD930,54),0)</f>
        <v/>
      </c>
      <c r="BE930">
        <f>IFERROR(INDEX(PP_Grid[#Data],$DD930,55),0)</f>
        <v/>
      </c>
      <c r="BF930">
        <f>IFERROR(INDEX(PP_Grid[#Data],$DD930,56),0)</f>
        <v/>
      </c>
      <c r="BG930">
        <f>IFERROR(INDEX(PP_Grid[#Data],$DD930,57),0)</f>
        <v/>
      </c>
      <c r="BH930">
        <f>IFERROR(INDEX(PP_Grid[#Data],$DD930,58),0)</f>
        <v/>
      </c>
      <c r="BI930">
        <f>IFERROR(INDEX(PP_Grid[#Data],$DD930,59),0)</f>
        <v/>
      </c>
      <c r="BJ930">
        <f>IFERROR(INDEX(PP_Grid[#Data],$DD930,60),0)</f>
        <v/>
      </c>
      <c r="BK930">
        <f>IFERROR(INDEX(PP_Grid[#Data],$DD930,61),0)</f>
        <v/>
      </c>
      <c r="BL930">
        <f>IFERROR(INDEX(PP_Grid[#Data],$DD930,62),0)</f>
        <v/>
      </c>
      <c r="BM930">
        <f>IFERROR(INDEX(PP_Grid[#Data],$DD930,63),0)</f>
        <v/>
      </c>
      <c r="BN930">
        <f>IFERROR(INDEX(PP_Grid[#Data],$DD930,64),0)</f>
        <v/>
      </c>
      <c r="BO930">
        <f>IFERROR(INDEX(PP_Grid[#Data],$DD930,65),0)</f>
        <v/>
      </c>
      <c r="BP930">
        <f>IFERROR(INDEX(PP_Grid[#Data],$DD930,66),0)</f>
        <v/>
      </c>
      <c r="BQ930">
        <f>IFERROR(INDEX(PP_Grid[#Data],$DD930,67),0)</f>
        <v/>
      </c>
      <c r="BR930">
        <f>IFERROR(INDEX(PP_Grid[#Data],$DD930,68),0)</f>
        <v/>
      </c>
      <c r="BS930">
        <f>IFERROR(INDEX(PP_Grid[#Data],$DD930,69),0)</f>
        <v/>
      </c>
      <c r="BT930">
        <f>IFERROR(INDEX(PP_Grid[#Data],$DD930,70),0)</f>
        <v/>
      </c>
      <c r="BU930">
        <f>IFERROR(INDEX(PP_Grid[#Data],$DD930,71),0)</f>
        <v/>
      </c>
      <c r="BV930">
        <f>IFERROR(INDEX(PP_Grid[#Data],$DD930,72),0)</f>
        <v/>
      </c>
      <c r="BW930">
        <f>IFERROR(INDEX(PP_Grid[#Data],$DD930,73),0)</f>
        <v/>
      </c>
      <c r="BX930">
        <f>IFERROR(INDEX(PP_Grid[#Data],$DD930,74),0)</f>
        <v/>
      </c>
      <c r="BY930">
        <f>IFERROR(INDEX(PP_Grid[#Data],$DD930,75),0)</f>
        <v/>
      </c>
      <c r="BZ930">
        <f>IFERROR(INDEX(PP_Grid[#Data],$DD930,76),0)</f>
        <v/>
      </c>
      <c r="CA930">
        <f>IFERROR(INDEX(PP_Grid[#Data],$DD930,77),0)</f>
        <v/>
      </c>
      <c r="CB930">
        <f>IFERROR(INDEX(PP_Grid[#Data],$DD930,78),0)</f>
        <v/>
      </c>
      <c r="CC930">
        <f>IFERROR(INDEX(PP_Grid[#Data],$DD930,79),0)</f>
        <v/>
      </c>
      <c r="CD930">
        <f>IFERROR(INDEX(PP_Grid[#Data],$DD930,80),0)</f>
        <v/>
      </c>
      <c r="CE930">
        <f>IFERROR(INDEX(PP_Grid[#Data],$DD930,81),0)</f>
        <v/>
      </c>
      <c r="CF930">
        <f>IFERROR(INDEX(PP_Grid[#Data],$DD930,82),0)</f>
        <v/>
      </c>
      <c r="CG930">
        <f>IFERROR(INDEX(PP_Grid[#Data],$DD930,83),0)</f>
        <v/>
      </c>
      <c r="CH930">
        <f>IFERROR(INDEX(PP_Grid[#Data],$DD930,84),0)</f>
        <v/>
      </c>
      <c r="CI930">
        <f>IFERROR(INDEX(PP_Grid[#Data],$DD930,85),0)</f>
        <v/>
      </c>
      <c r="CJ930">
        <f>IFERROR(INDEX(PP_Grid[#Data],$DD930,86),0)</f>
        <v/>
      </c>
      <c r="CK930">
        <f>IFERROR(INDEX(PP_Grid[#Data],$DD930,87),0)</f>
        <v/>
      </c>
      <c r="CL930">
        <f>IFERROR(INDEX(PP_Grid[#Data],$DD930,88),0)</f>
        <v/>
      </c>
      <c r="CM930">
        <f>IFERROR(INDEX(PP_Grid[#Data],$DD930,89),0)</f>
        <v/>
      </c>
      <c r="CN930">
        <f>IFERROR(INDEX(PP_Grid[#Data],$DD930,90),0)</f>
        <v/>
      </c>
      <c r="CO930">
        <f>IFERROR(INDEX(PP_Grid[#Data],$DD930,91),0)</f>
        <v/>
      </c>
      <c r="CP930">
        <f>IFERROR(INDEX(PP_Grid[#Data],$DD930,92),0)</f>
        <v/>
      </c>
      <c r="CQ930">
        <f>IFERROR(INDEX(PP_Grid[#Data],$DD930,93),0)</f>
        <v/>
      </c>
      <c r="CR930">
        <f>IFERROR(INDEX(PP_Grid[#Data],$DD930,94),0)</f>
        <v/>
      </c>
      <c r="CS930">
        <f>IFERROR(INDEX(PP_Grid[#Data],$DD930,95),0)</f>
        <v/>
      </c>
      <c r="CT930">
        <f>IFERROR(INDEX(PP_Grid[#Data],$DD930,96),0)</f>
        <v/>
      </c>
      <c r="CU930">
        <f>IFERROR(INDEX(PP_Grid[#Data],$DD930,97),0)</f>
        <v/>
      </c>
      <c r="CV930">
        <f>IFERROR(INDEX(PP_Grid[#Data],$DD930,98),0)</f>
        <v/>
      </c>
      <c r="CW930">
        <f>IFERROR(INDEX(PP_Grid[#Data],$DD930,99),0)</f>
        <v/>
      </c>
      <c r="CX930">
        <f>IFERROR(INDEX(PP_Grid[#Data],$DD930,100),0)</f>
        <v/>
      </c>
      <c r="CY930">
        <f>IFERROR(INDEX(PP_Grid[#Data],$DD930,101),0)</f>
        <v/>
      </c>
      <c r="CZ930">
        <f>IFERROR(INDEX(PP_Grid[#Data],$DD930,102),0)</f>
        <v/>
      </c>
      <c r="DA930">
        <f>IFERROR(INDEX(PP_Grid[#Data],$DD930,103),0)</f>
        <v/>
      </c>
      <c r="DB930">
        <f>IFERROR(INDEX(PP_Grid[#Data],$DD930,104),0)</f>
        <v/>
      </c>
      <c r="DC930">
        <f>IFERROR(INDEX(PP_Grid[#Data],$DD930,105),0)</f>
        <v/>
      </c>
      <c r="DD930" s="7">
        <f>IFERROR(MATCH($B930,PP_Grid[Intermediate],0),99999)</f>
        <v/>
      </c>
    </row>
    <row r="931">
      <c r="B931" t="inlineStr">
        <is>
          <t>使用量(kg)</t>
        </is>
      </c>
      <c r="C931">
        <f>SUMIFS(M_BOM[RM_Qty_Per_Batch],M_BOM[Intermediate],$B930,M_BOM[Part Name],$A905)</f>
        <v/>
      </c>
      <c r="D931">
        <f>$C931*D930</f>
        <v/>
      </c>
      <c r="E931">
        <f>$C931*E930</f>
        <v/>
      </c>
      <c r="F931">
        <f>$C931*F930</f>
        <v/>
      </c>
      <c r="G931">
        <f>$C931*G930</f>
        <v/>
      </c>
      <c r="H931">
        <f>$C931*H930</f>
        <v/>
      </c>
      <c r="I931">
        <f>$C931*I930</f>
        <v/>
      </c>
      <c r="J931">
        <f>$C931*J930</f>
        <v/>
      </c>
      <c r="K931">
        <f>$C931*K930</f>
        <v/>
      </c>
      <c r="L931">
        <f>$C931*L930</f>
        <v/>
      </c>
      <c r="M931">
        <f>$C931*M930</f>
        <v/>
      </c>
      <c r="N931">
        <f>$C931*N930</f>
        <v/>
      </c>
      <c r="O931">
        <f>$C931*O930</f>
        <v/>
      </c>
      <c r="P931">
        <f>$C931*P930</f>
        <v/>
      </c>
      <c r="Q931">
        <f>$C931*Q930</f>
        <v/>
      </c>
      <c r="R931">
        <f>$C931*R930</f>
        <v/>
      </c>
      <c r="S931">
        <f>$C931*S930</f>
        <v/>
      </c>
      <c r="T931">
        <f>$C931*T930</f>
        <v/>
      </c>
      <c r="U931">
        <f>$C931*U930</f>
        <v/>
      </c>
      <c r="V931">
        <f>$C931*V930</f>
        <v/>
      </c>
      <c r="W931">
        <f>$C931*W930</f>
        <v/>
      </c>
      <c r="X931">
        <f>$C931*X930</f>
        <v/>
      </c>
      <c r="Y931">
        <f>$C931*Y930</f>
        <v/>
      </c>
      <c r="Z931">
        <f>$C931*Z930</f>
        <v/>
      </c>
      <c r="AA931">
        <f>$C931*AA930</f>
        <v/>
      </c>
      <c r="AB931">
        <f>$C931*AB930</f>
        <v/>
      </c>
      <c r="AC931">
        <f>$C931*AC930</f>
        <v/>
      </c>
      <c r="AD931">
        <f>$C931*AD930</f>
        <v/>
      </c>
      <c r="AE931">
        <f>$C931*AE930</f>
        <v/>
      </c>
      <c r="AF931">
        <f>$C931*AF930</f>
        <v/>
      </c>
      <c r="AG931">
        <f>$C931*AG930</f>
        <v/>
      </c>
      <c r="AH931">
        <f>$C931*AH930</f>
        <v/>
      </c>
      <c r="AI931">
        <f>$C931*AI930</f>
        <v/>
      </c>
      <c r="AJ931">
        <f>$C931*AJ930</f>
        <v/>
      </c>
      <c r="AK931">
        <f>$C931*AK930</f>
        <v/>
      </c>
      <c r="AL931">
        <f>$C931*AL930</f>
        <v/>
      </c>
      <c r="AM931">
        <f>$C931*AM930</f>
        <v/>
      </c>
      <c r="AN931">
        <f>$C931*AN930</f>
        <v/>
      </c>
      <c r="AO931">
        <f>$C931*AO930</f>
        <v/>
      </c>
      <c r="AP931">
        <f>$C931*AP930</f>
        <v/>
      </c>
      <c r="AQ931">
        <f>$C931*AQ930</f>
        <v/>
      </c>
      <c r="AR931">
        <f>$C931*AR930</f>
        <v/>
      </c>
      <c r="AS931">
        <f>$C931*AS930</f>
        <v/>
      </c>
      <c r="AT931">
        <f>$C931*AT930</f>
        <v/>
      </c>
      <c r="AU931">
        <f>$C931*AU930</f>
        <v/>
      </c>
      <c r="AV931">
        <f>$C931*AV930</f>
        <v/>
      </c>
      <c r="AW931">
        <f>$C931*AW930</f>
        <v/>
      </c>
      <c r="AX931">
        <f>$C931*AX930</f>
        <v/>
      </c>
      <c r="AY931">
        <f>$C931*AY930</f>
        <v/>
      </c>
      <c r="AZ931">
        <f>$C931*AZ930</f>
        <v/>
      </c>
      <c r="BA931">
        <f>$C931*BA930</f>
        <v/>
      </c>
      <c r="BB931">
        <f>$C931*BB930</f>
        <v/>
      </c>
      <c r="BC931">
        <f>$C931*BC930</f>
        <v/>
      </c>
      <c r="BD931">
        <f>$C931*BD930</f>
        <v/>
      </c>
      <c r="BE931">
        <f>$C931*BE930</f>
        <v/>
      </c>
      <c r="BF931">
        <f>$C931*BF930</f>
        <v/>
      </c>
      <c r="BG931">
        <f>$C931*BG930</f>
        <v/>
      </c>
      <c r="BH931">
        <f>$C931*BH930</f>
        <v/>
      </c>
      <c r="BI931">
        <f>$C931*BI930</f>
        <v/>
      </c>
      <c r="BJ931">
        <f>$C931*BJ930</f>
        <v/>
      </c>
      <c r="BK931">
        <f>$C931*BK930</f>
        <v/>
      </c>
      <c r="BL931">
        <f>$C931*BL930</f>
        <v/>
      </c>
      <c r="BM931">
        <f>$C931*BM930</f>
        <v/>
      </c>
      <c r="BN931">
        <f>$C931*BN930</f>
        <v/>
      </c>
      <c r="BO931">
        <f>$C931*BO930</f>
        <v/>
      </c>
      <c r="BP931">
        <f>$C931*BP930</f>
        <v/>
      </c>
      <c r="BQ931">
        <f>$C931*BQ930</f>
        <v/>
      </c>
      <c r="BR931">
        <f>$C931*BR930</f>
        <v/>
      </c>
      <c r="BS931">
        <f>$C931*BS930</f>
        <v/>
      </c>
      <c r="BT931">
        <f>$C931*BT930</f>
        <v/>
      </c>
      <c r="BU931">
        <f>$C931*BU930</f>
        <v/>
      </c>
      <c r="BV931">
        <f>$C931*BV930</f>
        <v/>
      </c>
      <c r="BW931">
        <f>$C931*BW930</f>
        <v/>
      </c>
      <c r="BX931">
        <f>$C931*BX930</f>
        <v/>
      </c>
      <c r="BY931">
        <f>$C931*BY930</f>
        <v/>
      </c>
      <c r="BZ931">
        <f>$C931*BZ930</f>
        <v/>
      </c>
      <c r="CA931">
        <f>$C931*CA930</f>
        <v/>
      </c>
      <c r="CB931">
        <f>$C931*CB930</f>
        <v/>
      </c>
      <c r="CC931">
        <f>$C931*CC930</f>
        <v/>
      </c>
      <c r="CD931">
        <f>$C931*CD930</f>
        <v/>
      </c>
      <c r="CE931">
        <f>$C931*CE930</f>
        <v/>
      </c>
      <c r="CF931">
        <f>$C931*CF930</f>
        <v/>
      </c>
      <c r="CG931">
        <f>$C931*CG930</f>
        <v/>
      </c>
      <c r="CH931">
        <f>$C931*CH930</f>
        <v/>
      </c>
      <c r="CI931">
        <f>$C931*CI930</f>
        <v/>
      </c>
      <c r="CJ931">
        <f>$C931*CJ930</f>
        <v/>
      </c>
      <c r="CK931">
        <f>$C931*CK930</f>
        <v/>
      </c>
      <c r="CL931">
        <f>$C931*CL930</f>
        <v/>
      </c>
      <c r="CM931">
        <f>$C931*CM930</f>
        <v/>
      </c>
      <c r="CN931">
        <f>$C931*CN930</f>
        <v/>
      </c>
      <c r="CO931">
        <f>$C931*CO930</f>
        <v/>
      </c>
      <c r="CP931">
        <f>$C931*CP930</f>
        <v/>
      </c>
      <c r="CQ931">
        <f>$C931*CQ930</f>
        <v/>
      </c>
      <c r="CR931">
        <f>$C931*CR930</f>
        <v/>
      </c>
      <c r="CS931">
        <f>$C931*CS930</f>
        <v/>
      </c>
      <c r="CT931">
        <f>$C931*CT930</f>
        <v/>
      </c>
      <c r="CU931">
        <f>$C931*CU930</f>
        <v/>
      </c>
      <c r="CV931">
        <f>$C931*CV930</f>
        <v/>
      </c>
      <c r="CW931">
        <f>$C931*CW930</f>
        <v/>
      </c>
      <c r="CX931">
        <f>$C931*CX930</f>
        <v/>
      </c>
      <c r="CY931">
        <f>$C931*CY930</f>
        <v/>
      </c>
      <c r="CZ931">
        <f>$C931*CZ930</f>
        <v/>
      </c>
      <c r="DA931">
        <f>$C931*DA930</f>
        <v/>
      </c>
      <c r="DB931">
        <f>$C931*DB930</f>
        <v/>
      </c>
      <c r="DC931">
        <f>$C931*DC930</f>
        <v/>
      </c>
    </row>
    <row r="932">
      <c r="B932" t="inlineStr">
        <is>
          <t>TSP-1499</t>
        </is>
      </c>
      <c r="C932" t="inlineStr">
        <is>
          <t>No. of batches</t>
        </is>
      </c>
      <c r="D932">
        <f>IFERROR(INDEX(PP_Grid[#Data],$DD932,2),0)</f>
        <v/>
      </c>
      <c r="E932">
        <f>IFERROR(INDEX(PP_Grid[#Data],$DD932,3),0)</f>
        <v/>
      </c>
      <c r="F932">
        <f>IFERROR(INDEX(PP_Grid[#Data],$DD932,4),0)</f>
        <v/>
      </c>
      <c r="G932">
        <f>IFERROR(INDEX(PP_Grid[#Data],$DD932,5),0)</f>
        <v/>
      </c>
      <c r="H932">
        <f>IFERROR(INDEX(PP_Grid[#Data],$DD932,6),0)</f>
        <v/>
      </c>
      <c r="I932">
        <f>IFERROR(INDEX(PP_Grid[#Data],$DD932,7),0)</f>
        <v/>
      </c>
      <c r="J932">
        <f>IFERROR(INDEX(PP_Grid[#Data],$DD932,8),0)</f>
        <v/>
      </c>
      <c r="K932">
        <f>IFERROR(INDEX(PP_Grid[#Data],$DD932,9),0)</f>
        <v/>
      </c>
      <c r="L932">
        <f>IFERROR(INDEX(PP_Grid[#Data],$DD932,10),0)</f>
        <v/>
      </c>
      <c r="M932">
        <f>IFERROR(INDEX(PP_Grid[#Data],$DD932,11),0)</f>
        <v/>
      </c>
      <c r="N932">
        <f>IFERROR(INDEX(PP_Grid[#Data],$DD932,12),0)</f>
        <v/>
      </c>
      <c r="O932">
        <f>IFERROR(INDEX(PP_Grid[#Data],$DD932,13),0)</f>
        <v/>
      </c>
      <c r="P932">
        <f>IFERROR(INDEX(PP_Grid[#Data],$DD932,14),0)</f>
        <v/>
      </c>
      <c r="Q932">
        <f>IFERROR(INDEX(PP_Grid[#Data],$DD932,15),0)</f>
        <v/>
      </c>
      <c r="R932">
        <f>IFERROR(INDEX(PP_Grid[#Data],$DD932,16),0)</f>
        <v/>
      </c>
      <c r="S932">
        <f>IFERROR(INDEX(PP_Grid[#Data],$DD932,17),0)</f>
        <v/>
      </c>
      <c r="T932">
        <f>IFERROR(INDEX(PP_Grid[#Data],$DD932,18),0)</f>
        <v/>
      </c>
      <c r="U932">
        <f>IFERROR(INDEX(PP_Grid[#Data],$DD932,19),0)</f>
        <v/>
      </c>
      <c r="V932">
        <f>IFERROR(INDEX(PP_Grid[#Data],$DD932,20),0)</f>
        <v/>
      </c>
      <c r="W932">
        <f>IFERROR(INDEX(PP_Grid[#Data],$DD932,21),0)</f>
        <v/>
      </c>
      <c r="X932">
        <f>IFERROR(INDEX(PP_Grid[#Data],$DD932,22),0)</f>
        <v/>
      </c>
      <c r="Y932">
        <f>IFERROR(INDEX(PP_Grid[#Data],$DD932,23),0)</f>
        <v/>
      </c>
      <c r="Z932">
        <f>IFERROR(INDEX(PP_Grid[#Data],$DD932,24),0)</f>
        <v/>
      </c>
      <c r="AA932">
        <f>IFERROR(INDEX(PP_Grid[#Data],$DD932,25),0)</f>
        <v/>
      </c>
      <c r="AB932">
        <f>IFERROR(INDEX(PP_Grid[#Data],$DD932,26),0)</f>
        <v/>
      </c>
      <c r="AC932">
        <f>IFERROR(INDEX(PP_Grid[#Data],$DD932,27),0)</f>
        <v/>
      </c>
      <c r="AD932">
        <f>IFERROR(INDEX(PP_Grid[#Data],$DD932,28),0)</f>
        <v/>
      </c>
      <c r="AE932">
        <f>IFERROR(INDEX(PP_Grid[#Data],$DD932,29),0)</f>
        <v/>
      </c>
      <c r="AF932">
        <f>IFERROR(INDEX(PP_Grid[#Data],$DD932,30),0)</f>
        <v/>
      </c>
      <c r="AG932">
        <f>IFERROR(INDEX(PP_Grid[#Data],$DD932,31),0)</f>
        <v/>
      </c>
      <c r="AH932">
        <f>IFERROR(INDEX(PP_Grid[#Data],$DD932,32),0)</f>
        <v/>
      </c>
      <c r="AI932">
        <f>IFERROR(INDEX(PP_Grid[#Data],$DD932,33),0)</f>
        <v/>
      </c>
      <c r="AJ932">
        <f>IFERROR(INDEX(PP_Grid[#Data],$DD932,34),0)</f>
        <v/>
      </c>
      <c r="AK932">
        <f>IFERROR(INDEX(PP_Grid[#Data],$DD932,35),0)</f>
        <v/>
      </c>
      <c r="AL932">
        <f>IFERROR(INDEX(PP_Grid[#Data],$DD932,36),0)</f>
        <v/>
      </c>
      <c r="AM932">
        <f>IFERROR(INDEX(PP_Grid[#Data],$DD932,37),0)</f>
        <v/>
      </c>
      <c r="AN932">
        <f>IFERROR(INDEX(PP_Grid[#Data],$DD932,38),0)</f>
        <v/>
      </c>
      <c r="AO932">
        <f>IFERROR(INDEX(PP_Grid[#Data],$DD932,39),0)</f>
        <v/>
      </c>
      <c r="AP932">
        <f>IFERROR(INDEX(PP_Grid[#Data],$DD932,40),0)</f>
        <v/>
      </c>
      <c r="AQ932">
        <f>IFERROR(INDEX(PP_Grid[#Data],$DD932,41),0)</f>
        <v/>
      </c>
      <c r="AR932">
        <f>IFERROR(INDEX(PP_Grid[#Data],$DD932,42),0)</f>
        <v/>
      </c>
      <c r="AS932">
        <f>IFERROR(INDEX(PP_Grid[#Data],$DD932,43),0)</f>
        <v/>
      </c>
      <c r="AT932">
        <f>IFERROR(INDEX(PP_Grid[#Data],$DD932,44),0)</f>
        <v/>
      </c>
      <c r="AU932">
        <f>IFERROR(INDEX(PP_Grid[#Data],$DD932,45),0)</f>
        <v/>
      </c>
      <c r="AV932">
        <f>IFERROR(INDEX(PP_Grid[#Data],$DD932,46),0)</f>
        <v/>
      </c>
      <c r="AW932">
        <f>IFERROR(INDEX(PP_Grid[#Data],$DD932,47),0)</f>
        <v/>
      </c>
      <c r="AX932">
        <f>IFERROR(INDEX(PP_Grid[#Data],$DD932,48),0)</f>
        <v/>
      </c>
      <c r="AY932">
        <f>IFERROR(INDEX(PP_Grid[#Data],$DD932,49),0)</f>
        <v/>
      </c>
      <c r="AZ932">
        <f>IFERROR(INDEX(PP_Grid[#Data],$DD932,50),0)</f>
        <v/>
      </c>
      <c r="BA932">
        <f>IFERROR(INDEX(PP_Grid[#Data],$DD932,51),0)</f>
        <v/>
      </c>
      <c r="BB932">
        <f>IFERROR(INDEX(PP_Grid[#Data],$DD932,52),0)</f>
        <v/>
      </c>
      <c r="BC932">
        <f>IFERROR(INDEX(PP_Grid[#Data],$DD932,53),0)</f>
        <v/>
      </c>
      <c r="BD932">
        <f>IFERROR(INDEX(PP_Grid[#Data],$DD932,54),0)</f>
        <v/>
      </c>
      <c r="BE932">
        <f>IFERROR(INDEX(PP_Grid[#Data],$DD932,55),0)</f>
        <v/>
      </c>
      <c r="BF932">
        <f>IFERROR(INDEX(PP_Grid[#Data],$DD932,56),0)</f>
        <v/>
      </c>
      <c r="BG932">
        <f>IFERROR(INDEX(PP_Grid[#Data],$DD932,57),0)</f>
        <v/>
      </c>
      <c r="BH932">
        <f>IFERROR(INDEX(PP_Grid[#Data],$DD932,58),0)</f>
        <v/>
      </c>
      <c r="BI932">
        <f>IFERROR(INDEX(PP_Grid[#Data],$DD932,59),0)</f>
        <v/>
      </c>
      <c r="BJ932">
        <f>IFERROR(INDEX(PP_Grid[#Data],$DD932,60),0)</f>
        <v/>
      </c>
      <c r="BK932">
        <f>IFERROR(INDEX(PP_Grid[#Data],$DD932,61),0)</f>
        <v/>
      </c>
      <c r="BL932">
        <f>IFERROR(INDEX(PP_Grid[#Data],$DD932,62),0)</f>
        <v/>
      </c>
      <c r="BM932">
        <f>IFERROR(INDEX(PP_Grid[#Data],$DD932,63),0)</f>
        <v/>
      </c>
      <c r="BN932">
        <f>IFERROR(INDEX(PP_Grid[#Data],$DD932,64),0)</f>
        <v/>
      </c>
      <c r="BO932">
        <f>IFERROR(INDEX(PP_Grid[#Data],$DD932,65),0)</f>
        <v/>
      </c>
      <c r="BP932">
        <f>IFERROR(INDEX(PP_Grid[#Data],$DD932,66),0)</f>
        <v/>
      </c>
      <c r="BQ932">
        <f>IFERROR(INDEX(PP_Grid[#Data],$DD932,67),0)</f>
        <v/>
      </c>
      <c r="BR932">
        <f>IFERROR(INDEX(PP_Grid[#Data],$DD932,68),0)</f>
        <v/>
      </c>
      <c r="BS932">
        <f>IFERROR(INDEX(PP_Grid[#Data],$DD932,69),0)</f>
        <v/>
      </c>
      <c r="BT932">
        <f>IFERROR(INDEX(PP_Grid[#Data],$DD932,70),0)</f>
        <v/>
      </c>
      <c r="BU932">
        <f>IFERROR(INDEX(PP_Grid[#Data],$DD932,71),0)</f>
        <v/>
      </c>
      <c r="BV932">
        <f>IFERROR(INDEX(PP_Grid[#Data],$DD932,72),0)</f>
        <v/>
      </c>
      <c r="BW932">
        <f>IFERROR(INDEX(PP_Grid[#Data],$DD932,73),0)</f>
        <v/>
      </c>
      <c r="BX932">
        <f>IFERROR(INDEX(PP_Grid[#Data],$DD932,74),0)</f>
        <v/>
      </c>
      <c r="BY932">
        <f>IFERROR(INDEX(PP_Grid[#Data],$DD932,75),0)</f>
        <v/>
      </c>
      <c r="BZ932">
        <f>IFERROR(INDEX(PP_Grid[#Data],$DD932,76),0)</f>
        <v/>
      </c>
      <c r="CA932">
        <f>IFERROR(INDEX(PP_Grid[#Data],$DD932,77),0)</f>
        <v/>
      </c>
      <c r="CB932">
        <f>IFERROR(INDEX(PP_Grid[#Data],$DD932,78),0)</f>
        <v/>
      </c>
      <c r="CC932">
        <f>IFERROR(INDEX(PP_Grid[#Data],$DD932,79),0)</f>
        <v/>
      </c>
      <c r="CD932">
        <f>IFERROR(INDEX(PP_Grid[#Data],$DD932,80),0)</f>
        <v/>
      </c>
      <c r="CE932">
        <f>IFERROR(INDEX(PP_Grid[#Data],$DD932,81),0)</f>
        <v/>
      </c>
      <c r="CF932">
        <f>IFERROR(INDEX(PP_Grid[#Data],$DD932,82),0)</f>
        <v/>
      </c>
      <c r="CG932">
        <f>IFERROR(INDEX(PP_Grid[#Data],$DD932,83),0)</f>
        <v/>
      </c>
      <c r="CH932">
        <f>IFERROR(INDEX(PP_Grid[#Data],$DD932,84),0)</f>
        <v/>
      </c>
      <c r="CI932">
        <f>IFERROR(INDEX(PP_Grid[#Data],$DD932,85),0)</f>
        <v/>
      </c>
      <c r="CJ932">
        <f>IFERROR(INDEX(PP_Grid[#Data],$DD932,86),0)</f>
        <v/>
      </c>
      <c r="CK932">
        <f>IFERROR(INDEX(PP_Grid[#Data],$DD932,87),0)</f>
        <v/>
      </c>
      <c r="CL932">
        <f>IFERROR(INDEX(PP_Grid[#Data],$DD932,88),0)</f>
        <v/>
      </c>
      <c r="CM932">
        <f>IFERROR(INDEX(PP_Grid[#Data],$DD932,89),0)</f>
        <v/>
      </c>
      <c r="CN932">
        <f>IFERROR(INDEX(PP_Grid[#Data],$DD932,90),0)</f>
        <v/>
      </c>
      <c r="CO932">
        <f>IFERROR(INDEX(PP_Grid[#Data],$DD932,91),0)</f>
        <v/>
      </c>
      <c r="CP932">
        <f>IFERROR(INDEX(PP_Grid[#Data],$DD932,92),0)</f>
        <v/>
      </c>
      <c r="CQ932">
        <f>IFERROR(INDEX(PP_Grid[#Data],$DD932,93),0)</f>
        <v/>
      </c>
      <c r="CR932">
        <f>IFERROR(INDEX(PP_Grid[#Data],$DD932,94),0)</f>
        <v/>
      </c>
      <c r="CS932">
        <f>IFERROR(INDEX(PP_Grid[#Data],$DD932,95),0)</f>
        <v/>
      </c>
      <c r="CT932">
        <f>IFERROR(INDEX(PP_Grid[#Data],$DD932,96),0)</f>
        <v/>
      </c>
      <c r="CU932">
        <f>IFERROR(INDEX(PP_Grid[#Data],$DD932,97),0)</f>
        <v/>
      </c>
      <c r="CV932">
        <f>IFERROR(INDEX(PP_Grid[#Data],$DD932,98),0)</f>
        <v/>
      </c>
      <c r="CW932">
        <f>IFERROR(INDEX(PP_Grid[#Data],$DD932,99),0)</f>
        <v/>
      </c>
      <c r="CX932">
        <f>IFERROR(INDEX(PP_Grid[#Data],$DD932,100),0)</f>
        <v/>
      </c>
      <c r="CY932">
        <f>IFERROR(INDEX(PP_Grid[#Data],$DD932,101),0)</f>
        <v/>
      </c>
      <c r="CZ932">
        <f>IFERROR(INDEX(PP_Grid[#Data],$DD932,102),0)</f>
        <v/>
      </c>
      <c r="DA932">
        <f>IFERROR(INDEX(PP_Grid[#Data],$DD932,103),0)</f>
        <v/>
      </c>
      <c r="DB932">
        <f>IFERROR(INDEX(PP_Grid[#Data],$DD932,104),0)</f>
        <v/>
      </c>
      <c r="DC932">
        <f>IFERROR(INDEX(PP_Grid[#Data],$DD932,105),0)</f>
        <v/>
      </c>
      <c r="DD932" s="7">
        <f>IFERROR(MATCH($B932,PP_Grid[Intermediate],0),99999)</f>
        <v/>
      </c>
    </row>
    <row r="933">
      <c r="B933" t="inlineStr">
        <is>
          <t>使用量(kg)</t>
        </is>
      </c>
      <c r="C933">
        <f>SUMIFS(M_BOM[RM_Qty_Per_Batch],M_BOM[Intermediate],$B932,M_BOM[Part Name],$A905)</f>
        <v/>
      </c>
      <c r="D933">
        <f>$C933*D932</f>
        <v/>
      </c>
      <c r="E933">
        <f>$C933*E932</f>
        <v/>
      </c>
      <c r="F933">
        <f>$C933*F932</f>
        <v/>
      </c>
      <c r="G933">
        <f>$C933*G932</f>
        <v/>
      </c>
      <c r="H933">
        <f>$C933*H932</f>
        <v/>
      </c>
      <c r="I933">
        <f>$C933*I932</f>
        <v/>
      </c>
      <c r="J933">
        <f>$C933*J932</f>
        <v/>
      </c>
      <c r="K933">
        <f>$C933*K932</f>
        <v/>
      </c>
      <c r="L933">
        <f>$C933*L932</f>
        <v/>
      </c>
      <c r="M933">
        <f>$C933*M932</f>
        <v/>
      </c>
      <c r="N933">
        <f>$C933*N932</f>
        <v/>
      </c>
      <c r="O933">
        <f>$C933*O932</f>
        <v/>
      </c>
      <c r="P933">
        <f>$C933*P932</f>
        <v/>
      </c>
      <c r="Q933">
        <f>$C933*Q932</f>
        <v/>
      </c>
      <c r="R933">
        <f>$C933*R932</f>
        <v/>
      </c>
      <c r="S933">
        <f>$C933*S932</f>
        <v/>
      </c>
      <c r="T933">
        <f>$C933*T932</f>
        <v/>
      </c>
      <c r="U933">
        <f>$C933*U932</f>
        <v/>
      </c>
      <c r="V933">
        <f>$C933*V932</f>
        <v/>
      </c>
      <c r="W933">
        <f>$C933*W932</f>
        <v/>
      </c>
      <c r="X933">
        <f>$C933*X932</f>
        <v/>
      </c>
      <c r="Y933">
        <f>$C933*Y932</f>
        <v/>
      </c>
      <c r="Z933">
        <f>$C933*Z932</f>
        <v/>
      </c>
      <c r="AA933">
        <f>$C933*AA932</f>
        <v/>
      </c>
      <c r="AB933">
        <f>$C933*AB932</f>
        <v/>
      </c>
      <c r="AC933">
        <f>$C933*AC932</f>
        <v/>
      </c>
      <c r="AD933">
        <f>$C933*AD932</f>
        <v/>
      </c>
      <c r="AE933">
        <f>$C933*AE932</f>
        <v/>
      </c>
      <c r="AF933">
        <f>$C933*AF932</f>
        <v/>
      </c>
      <c r="AG933">
        <f>$C933*AG932</f>
        <v/>
      </c>
      <c r="AH933">
        <f>$C933*AH932</f>
        <v/>
      </c>
      <c r="AI933">
        <f>$C933*AI932</f>
        <v/>
      </c>
      <c r="AJ933">
        <f>$C933*AJ932</f>
        <v/>
      </c>
      <c r="AK933">
        <f>$C933*AK932</f>
        <v/>
      </c>
      <c r="AL933">
        <f>$C933*AL932</f>
        <v/>
      </c>
      <c r="AM933">
        <f>$C933*AM932</f>
        <v/>
      </c>
      <c r="AN933">
        <f>$C933*AN932</f>
        <v/>
      </c>
      <c r="AO933">
        <f>$C933*AO932</f>
        <v/>
      </c>
      <c r="AP933">
        <f>$C933*AP932</f>
        <v/>
      </c>
      <c r="AQ933">
        <f>$C933*AQ932</f>
        <v/>
      </c>
      <c r="AR933">
        <f>$C933*AR932</f>
        <v/>
      </c>
      <c r="AS933">
        <f>$C933*AS932</f>
        <v/>
      </c>
      <c r="AT933">
        <f>$C933*AT932</f>
        <v/>
      </c>
      <c r="AU933">
        <f>$C933*AU932</f>
        <v/>
      </c>
      <c r="AV933">
        <f>$C933*AV932</f>
        <v/>
      </c>
      <c r="AW933">
        <f>$C933*AW932</f>
        <v/>
      </c>
      <c r="AX933">
        <f>$C933*AX932</f>
        <v/>
      </c>
      <c r="AY933">
        <f>$C933*AY932</f>
        <v/>
      </c>
      <c r="AZ933">
        <f>$C933*AZ932</f>
        <v/>
      </c>
      <c r="BA933">
        <f>$C933*BA932</f>
        <v/>
      </c>
      <c r="BB933">
        <f>$C933*BB932</f>
        <v/>
      </c>
      <c r="BC933">
        <f>$C933*BC932</f>
        <v/>
      </c>
      <c r="BD933">
        <f>$C933*BD932</f>
        <v/>
      </c>
      <c r="BE933">
        <f>$C933*BE932</f>
        <v/>
      </c>
      <c r="BF933">
        <f>$C933*BF932</f>
        <v/>
      </c>
      <c r="BG933">
        <f>$C933*BG932</f>
        <v/>
      </c>
      <c r="BH933">
        <f>$C933*BH932</f>
        <v/>
      </c>
      <c r="BI933">
        <f>$C933*BI932</f>
        <v/>
      </c>
      <c r="BJ933">
        <f>$C933*BJ932</f>
        <v/>
      </c>
      <c r="BK933">
        <f>$C933*BK932</f>
        <v/>
      </c>
      <c r="BL933">
        <f>$C933*BL932</f>
        <v/>
      </c>
      <c r="BM933">
        <f>$C933*BM932</f>
        <v/>
      </c>
      <c r="BN933">
        <f>$C933*BN932</f>
        <v/>
      </c>
      <c r="BO933">
        <f>$C933*BO932</f>
        <v/>
      </c>
      <c r="BP933">
        <f>$C933*BP932</f>
        <v/>
      </c>
      <c r="BQ933">
        <f>$C933*BQ932</f>
        <v/>
      </c>
      <c r="BR933">
        <f>$C933*BR932</f>
        <v/>
      </c>
      <c r="BS933">
        <f>$C933*BS932</f>
        <v/>
      </c>
      <c r="BT933">
        <f>$C933*BT932</f>
        <v/>
      </c>
      <c r="BU933">
        <f>$C933*BU932</f>
        <v/>
      </c>
      <c r="BV933">
        <f>$C933*BV932</f>
        <v/>
      </c>
      <c r="BW933">
        <f>$C933*BW932</f>
        <v/>
      </c>
      <c r="BX933">
        <f>$C933*BX932</f>
        <v/>
      </c>
      <c r="BY933">
        <f>$C933*BY932</f>
        <v/>
      </c>
      <c r="BZ933">
        <f>$C933*BZ932</f>
        <v/>
      </c>
      <c r="CA933">
        <f>$C933*CA932</f>
        <v/>
      </c>
      <c r="CB933">
        <f>$C933*CB932</f>
        <v/>
      </c>
      <c r="CC933">
        <f>$C933*CC932</f>
        <v/>
      </c>
      <c r="CD933">
        <f>$C933*CD932</f>
        <v/>
      </c>
      <c r="CE933">
        <f>$C933*CE932</f>
        <v/>
      </c>
      <c r="CF933">
        <f>$C933*CF932</f>
        <v/>
      </c>
      <c r="CG933">
        <f>$C933*CG932</f>
        <v/>
      </c>
      <c r="CH933">
        <f>$C933*CH932</f>
        <v/>
      </c>
      <c r="CI933">
        <f>$C933*CI932</f>
        <v/>
      </c>
      <c r="CJ933">
        <f>$C933*CJ932</f>
        <v/>
      </c>
      <c r="CK933">
        <f>$C933*CK932</f>
        <v/>
      </c>
      <c r="CL933">
        <f>$C933*CL932</f>
        <v/>
      </c>
      <c r="CM933">
        <f>$C933*CM932</f>
        <v/>
      </c>
      <c r="CN933">
        <f>$C933*CN932</f>
        <v/>
      </c>
      <c r="CO933">
        <f>$C933*CO932</f>
        <v/>
      </c>
      <c r="CP933">
        <f>$C933*CP932</f>
        <v/>
      </c>
      <c r="CQ933">
        <f>$C933*CQ932</f>
        <v/>
      </c>
      <c r="CR933">
        <f>$C933*CR932</f>
        <v/>
      </c>
      <c r="CS933">
        <f>$C933*CS932</f>
        <v/>
      </c>
      <c r="CT933">
        <f>$C933*CT932</f>
        <v/>
      </c>
      <c r="CU933">
        <f>$C933*CU932</f>
        <v/>
      </c>
      <c r="CV933">
        <f>$C933*CV932</f>
        <v/>
      </c>
      <c r="CW933">
        <f>$C933*CW932</f>
        <v/>
      </c>
      <c r="CX933">
        <f>$C933*CX932</f>
        <v/>
      </c>
      <c r="CY933">
        <f>$C933*CY932</f>
        <v/>
      </c>
      <c r="CZ933">
        <f>$C933*CZ932</f>
        <v/>
      </c>
      <c r="DA933">
        <f>$C933*DA932</f>
        <v/>
      </c>
      <c r="DB933">
        <f>$C933*DB932</f>
        <v/>
      </c>
      <c r="DC933">
        <f>$C933*DC932</f>
        <v/>
      </c>
    </row>
    <row r="934">
      <c r="B934" s="4" t="inlineStr">
        <is>
          <t>合計使用量(kg)/週</t>
        </is>
      </c>
      <c r="D934">
        <f>'Grid_Requirement'!B9</f>
        <v/>
      </c>
      <c r="E934">
        <f>'Grid_Requirement'!C9</f>
        <v/>
      </c>
      <c r="F934">
        <f>'Grid_Requirement'!D9</f>
        <v/>
      </c>
      <c r="G934">
        <f>'Grid_Requirement'!E9</f>
        <v/>
      </c>
      <c r="H934">
        <f>'Grid_Requirement'!F9</f>
        <v/>
      </c>
      <c r="I934">
        <f>'Grid_Requirement'!G9</f>
        <v/>
      </c>
      <c r="J934">
        <f>'Grid_Requirement'!H9</f>
        <v/>
      </c>
      <c r="K934">
        <f>'Grid_Requirement'!I9</f>
        <v/>
      </c>
      <c r="L934">
        <f>'Grid_Requirement'!J9</f>
        <v/>
      </c>
      <c r="M934">
        <f>'Grid_Requirement'!K9</f>
        <v/>
      </c>
      <c r="N934">
        <f>'Grid_Requirement'!L9</f>
        <v/>
      </c>
      <c r="O934">
        <f>'Grid_Requirement'!M9</f>
        <v/>
      </c>
      <c r="P934">
        <f>'Grid_Requirement'!N9</f>
        <v/>
      </c>
      <c r="Q934">
        <f>'Grid_Requirement'!O9</f>
        <v/>
      </c>
      <c r="R934">
        <f>'Grid_Requirement'!P9</f>
        <v/>
      </c>
      <c r="S934">
        <f>'Grid_Requirement'!Q9</f>
        <v/>
      </c>
      <c r="T934">
        <f>'Grid_Requirement'!R9</f>
        <v/>
      </c>
      <c r="U934">
        <f>'Grid_Requirement'!S9</f>
        <v/>
      </c>
      <c r="V934">
        <f>'Grid_Requirement'!T9</f>
        <v/>
      </c>
      <c r="W934">
        <f>'Grid_Requirement'!U9</f>
        <v/>
      </c>
      <c r="X934">
        <f>'Grid_Requirement'!V9</f>
        <v/>
      </c>
      <c r="Y934">
        <f>'Grid_Requirement'!W9</f>
        <v/>
      </c>
      <c r="Z934">
        <f>'Grid_Requirement'!X9</f>
        <v/>
      </c>
      <c r="AA934">
        <f>'Grid_Requirement'!Y9</f>
        <v/>
      </c>
      <c r="AB934">
        <f>'Grid_Requirement'!Z9</f>
        <v/>
      </c>
      <c r="AC934">
        <f>'Grid_Requirement'!AA9</f>
        <v/>
      </c>
      <c r="AD934">
        <f>'Grid_Requirement'!AB9</f>
        <v/>
      </c>
      <c r="AE934">
        <f>'Grid_Requirement'!AC9</f>
        <v/>
      </c>
      <c r="AF934">
        <f>'Grid_Requirement'!AD9</f>
        <v/>
      </c>
      <c r="AG934">
        <f>'Grid_Requirement'!AE9</f>
        <v/>
      </c>
      <c r="AH934">
        <f>'Grid_Requirement'!AF9</f>
        <v/>
      </c>
      <c r="AI934">
        <f>'Grid_Requirement'!AG9</f>
        <v/>
      </c>
      <c r="AJ934">
        <f>'Grid_Requirement'!AH9</f>
        <v/>
      </c>
      <c r="AK934">
        <f>'Grid_Requirement'!AI9</f>
        <v/>
      </c>
      <c r="AL934">
        <f>'Grid_Requirement'!AJ9</f>
        <v/>
      </c>
      <c r="AM934">
        <f>'Grid_Requirement'!AK9</f>
        <v/>
      </c>
      <c r="AN934">
        <f>'Grid_Requirement'!AL9</f>
        <v/>
      </c>
      <c r="AO934">
        <f>'Grid_Requirement'!AM9</f>
        <v/>
      </c>
      <c r="AP934">
        <f>'Grid_Requirement'!AN9</f>
        <v/>
      </c>
      <c r="AQ934">
        <f>'Grid_Requirement'!AO9</f>
        <v/>
      </c>
      <c r="AR934">
        <f>'Grid_Requirement'!AP9</f>
        <v/>
      </c>
      <c r="AS934">
        <f>'Grid_Requirement'!AQ9</f>
        <v/>
      </c>
      <c r="AT934">
        <f>'Grid_Requirement'!AR9</f>
        <v/>
      </c>
      <c r="AU934">
        <f>'Grid_Requirement'!AS9</f>
        <v/>
      </c>
      <c r="AV934">
        <f>'Grid_Requirement'!AT9</f>
        <v/>
      </c>
      <c r="AW934">
        <f>'Grid_Requirement'!AU9</f>
        <v/>
      </c>
      <c r="AX934">
        <f>'Grid_Requirement'!AV9</f>
        <v/>
      </c>
      <c r="AY934">
        <f>'Grid_Requirement'!AW9</f>
        <v/>
      </c>
      <c r="AZ934">
        <f>'Grid_Requirement'!AX9</f>
        <v/>
      </c>
      <c r="BA934">
        <f>'Grid_Requirement'!AY9</f>
        <v/>
      </c>
      <c r="BB934">
        <f>'Grid_Requirement'!AZ9</f>
        <v/>
      </c>
      <c r="BC934">
        <f>'Grid_Requirement'!BA9</f>
        <v/>
      </c>
      <c r="BD934">
        <f>'Grid_Requirement'!BB9</f>
        <v/>
      </c>
      <c r="BE934">
        <f>'Grid_Requirement'!BC9</f>
        <v/>
      </c>
      <c r="BF934">
        <f>'Grid_Requirement'!BD9</f>
        <v/>
      </c>
      <c r="BG934">
        <f>'Grid_Requirement'!BE9</f>
        <v/>
      </c>
      <c r="BH934">
        <f>'Grid_Requirement'!BF9</f>
        <v/>
      </c>
      <c r="BI934">
        <f>'Grid_Requirement'!BG9</f>
        <v/>
      </c>
      <c r="BJ934">
        <f>'Grid_Requirement'!BH9</f>
        <v/>
      </c>
      <c r="BK934">
        <f>'Grid_Requirement'!BI9</f>
        <v/>
      </c>
      <c r="BL934">
        <f>'Grid_Requirement'!BJ9</f>
        <v/>
      </c>
      <c r="BM934">
        <f>'Grid_Requirement'!BK9</f>
        <v/>
      </c>
      <c r="BN934">
        <f>'Grid_Requirement'!BL9</f>
        <v/>
      </c>
      <c r="BO934">
        <f>'Grid_Requirement'!BM9</f>
        <v/>
      </c>
      <c r="BP934">
        <f>'Grid_Requirement'!BN9</f>
        <v/>
      </c>
      <c r="BQ934">
        <f>'Grid_Requirement'!BO9</f>
        <v/>
      </c>
      <c r="BR934">
        <f>'Grid_Requirement'!BP9</f>
        <v/>
      </c>
      <c r="BS934">
        <f>'Grid_Requirement'!BQ9</f>
        <v/>
      </c>
      <c r="BT934">
        <f>'Grid_Requirement'!BR9</f>
        <v/>
      </c>
      <c r="BU934">
        <f>'Grid_Requirement'!BS9</f>
        <v/>
      </c>
      <c r="BV934">
        <f>'Grid_Requirement'!BT9</f>
        <v/>
      </c>
      <c r="BW934">
        <f>'Grid_Requirement'!BU9</f>
        <v/>
      </c>
      <c r="BX934">
        <f>'Grid_Requirement'!BV9</f>
        <v/>
      </c>
      <c r="BY934">
        <f>'Grid_Requirement'!BW9</f>
        <v/>
      </c>
      <c r="BZ934">
        <f>'Grid_Requirement'!BX9</f>
        <v/>
      </c>
      <c r="CA934">
        <f>'Grid_Requirement'!BY9</f>
        <v/>
      </c>
      <c r="CB934">
        <f>'Grid_Requirement'!BZ9</f>
        <v/>
      </c>
      <c r="CC934">
        <f>'Grid_Requirement'!CA9</f>
        <v/>
      </c>
      <c r="CD934">
        <f>'Grid_Requirement'!CB9</f>
        <v/>
      </c>
      <c r="CE934">
        <f>'Grid_Requirement'!CC9</f>
        <v/>
      </c>
      <c r="CF934">
        <f>'Grid_Requirement'!CD9</f>
        <v/>
      </c>
      <c r="CG934">
        <f>'Grid_Requirement'!CE9</f>
        <v/>
      </c>
      <c r="CH934">
        <f>'Grid_Requirement'!CF9</f>
        <v/>
      </c>
      <c r="CI934">
        <f>'Grid_Requirement'!CG9</f>
        <v/>
      </c>
      <c r="CJ934">
        <f>'Grid_Requirement'!CH9</f>
        <v/>
      </c>
      <c r="CK934">
        <f>'Grid_Requirement'!CI9</f>
        <v/>
      </c>
      <c r="CL934">
        <f>'Grid_Requirement'!CJ9</f>
        <v/>
      </c>
      <c r="CM934">
        <f>'Grid_Requirement'!CK9</f>
        <v/>
      </c>
      <c r="CN934">
        <f>'Grid_Requirement'!CL9</f>
        <v/>
      </c>
      <c r="CO934">
        <f>'Grid_Requirement'!CM9</f>
        <v/>
      </c>
      <c r="CP934">
        <f>'Grid_Requirement'!CN9</f>
        <v/>
      </c>
      <c r="CQ934">
        <f>'Grid_Requirement'!CO9</f>
        <v/>
      </c>
      <c r="CR934">
        <f>'Grid_Requirement'!CP9</f>
        <v/>
      </c>
      <c r="CS934">
        <f>'Grid_Requirement'!CQ9</f>
        <v/>
      </c>
      <c r="CT934">
        <f>'Grid_Requirement'!CR9</f>
        <v/>
      </c>
      <c r="CU934">
        <f>'Grid_Requirement'!CS9</f>
        <v/>
      </c>
      <c r="CV934">
        <f>'Grid_Requirement'!CT9</f>
        <v/>
      </c>
      <c r="CW934">
        <f>'Grid_Requirement'!CU9</f>
        <v/>
      </c>
      <c r="CX934">
        <f>'Grid_Requirement'!CV9</f>
        <v/>
      </c>
      <c r="CY934">
        <f>'Grid_Requirement'!CW9</f>
        <v/>
      </c>
      <c r="CZ934">
        <f>'Grid_Requirement'!CX9</f>
        <v/>
      </c>
      <c r="DA934">
        <f>'Grid_Requirement'!CY9</f>
        <v/>
      </c>
      <c r="DB934">
        <f>'Grid_Requirement'!CZ9</f>
        <v/>
      </c>
      <c r="DC934">
        <f>'Grid_Requirement'!DA9</f>
        <v/>
      </c>
    </row>
    <row r="935">
      <c r="B935" t="inlineStr">
        <is>
          <t>TTAF在庫(実績,kg)</t>
        </is>
      </c>
      <c r="D935">
        <f>'T_TTAFStock'!B13</f>
        <v/>
      </c>
      <c r="E935">
        <f>'T_TTAFStock'!C13</f>
        <v/>
      </c>
      <c r="F935">
        <f>'T_TTAFStock'!D13</f>
        <v/>
      </c>
      <c r="G935">
        <f>'T_TTAFStock'!E13</f>
        <v/>
      </c>
      <c r="H935">
        <f>'T_TTAFStock'!F13</f>
        <v/>
      </c>
      <c r="I935">
        <f>'T_TTAFStock'!G13</f>
        <v/>
      </c>
      <c r="J935">
        <f>'T_TTAFStock'!H13</f>
        <v/>
      </c>
      <c r="K935">
        <f>'T_TTAFStock'!I13</f>
        <v/>
      </c>
      <c r="L935">
        <f>'T_TTAFStock'!J13</f>
        <v/>
      </c>
      <c r="M935">
        <f>'T_TTAFStock'!K13</f>
        <v/>
      </c>
      <c r="N935">
        <f>'T_TTAFStock'!L13</f>
        <v/>
      </c>
      <c r="O935">
        <f>'T_TTAFStock'!M13</f>
        <v/>
      </c>
      <c r="P935">
        <f>'T_TTAFStock'!N13</f>
        <v/>
      </c>
      <c r="Q935">
        <f>'T_TTAFStock'!O13</f>
        <v/>
      </c>
      <c r="R935">
        <f>'T_TTAFStock'!P13</f>
        <v/>
      </c>
      <c r="S935">
        <f>'T_TTAFStock'!Q13</f>
        <v/>
      </c>
      <c r="T935">
        <f>'T_TTAFStock'!R13</f>
        <v/>
      </c>
      <c r="U935">
        <f>'T_TTAFStock'!S13</f>
        <v/>
      </c>
      <c r="V935">
        <f>'T_TTAFStock'!T13</f>
        <v/>
      </c>
      <c r="W935">
        <f>'T_TTAFStock'!U13</f>
        <v/>
      </c>
      <c r="X935">
        <f>'T_TTAFStock'!V13</f>
        <v/>
      </c>
      <c r="Y935">
        <f>'T_TTAFStock'!W13</f>
        <v/>
      </c>
      <c r="Z935">
        <f>'T_TTAFStock'!X13</f>
        <v/>
      </c>
      <c r="AA935">
        <f>'T_TTAFStock'!Y13</f>
        <v/>
      </c>
      <c r="AB935">
        <f>'T_TTAFStock'!Z13</f>
        <v/>
      </c>
      <c r="AC935">
        <f>'T_TTAFStock'!AA13</f>
        <v/>
      </c>
      <c r="AD935">
        <f>'T_TTAFStock'!AB13</f>
        <v/>
      </c>
      <c r="AE935">
        <f>'T_TTAFStock'!AC13</f>
        <v/>
      </c>
      <c r="AF935">
        <f>'T_TTAFStock'!AD13</f>
        <v/>
      </c>
      <c r="AG935">
        <f>'T_TTAFStock'!AE13</f>
        <v/>
      </c>
      <c r="AH935">
        <f>'T_TTAFStock'!AF13</f>
        <v/>
      </c>
      <c r="AI935">
        <f>'T_TTAFStock'!AG13</f>
        <v/>
      </c>
      <c r="AJ935">
        <f>'T_TTAFStock'!AH13</f>
        <v/>
      </c>
      <c r="AK935">
        <f>'T_TTAFStock'!AI13</f>
        <v/>
      </c>
      <c r="AL935">
        <f>'T_TTAFStock'!AJ13</f>
        <v/>
      </c>
      <c r="AM935">
        <f>'T_TTAFStock'!AK13</f>
        <v/>
      </c>
      <c r="AN935">
        <f>'T_TTAFStock'!AL13</f>
        <v/>
      </c>
      <c r="AO935">
        <f>'T_TTAFStock'!AM13</f>
        <v/>
      </c>
      <c r="AP935">
        <f>'T_TTAFStock'!AN13</f>
        <v/>
      </c>
      <c r="AQ935">
        <f>'T_TTAFStock'!AO13</f>
        <v/>
      </c>
      <c r="AR935">
        <f>'T_TTAFStock'!AP13</f>
        <v/>
      </c>
      <c r="AS935">
        <f>'T_TTAFStock'!AQ13</f>
        <v/>
      </c>
      <c r="AT935">
        <f>'T_TTAFStock'!AR13</f>
        <v/>
      </c>
      <c r="AU935">
        <f>'T_TTAFStock'!AS13</f>
        <v/>
      </c>
      <c r="AV935">
        <f>'T_TTAFStock'!AT13</f>
        <v/>
      </c>
      <c r="AW935">
        <f>'T_TTAFStock'!AU13</f>
        <v/>
      </c>
      <c r="AX935">
        <f>'T_TTAFStock'!AV13</f>
        <v/>
      </c>
      <c r="AY935">
        <f>'T_TTAFStock'!AW13</f>
        <v/>
      </c>
      <c r="AZ935">
        <f>'T_TTAFStock'!AX13</f>
        <v/>
      </c>
      <c r="BA935">
        <f>'T_TTAFStock'!AY13</f>
        <v/>
      </c>
      <c r="BB935">
        <f>'T_TTAFStock'!AZ13</f>
        <v/>
      </c>
      <c r="BC935">
        <f>'T_TTAFStock'!BA13</f>
        <v/>
      </c>
      <c r="BD935">
        <f>'T_TTAFStock'!BB13</f>
        <v/>
      </c>
      <c r="BE935">
        <f>'T_TTAFStock'!BC13</f>
        <v/>
      </c>
      <c r="BF935">
        <f>'T_TTAFStock'!BD13</f>
        <v/>
      </c>
      <c r="BG935">
        <f>'T_TTAFStock'!BE13</f>
        <v/>
      </c>
      <c r="BH935">
        <f>'T_TTAFStock'!BF13</f>
        <v/>
      </c>
      <c r="BI935">
        <f>'T_TTAFStock'!BG13</f>
        <v/>
      </c>
      <c r="BJ935">
        <f>'T_TTAFStock'!BH13</f>
        <v/>
      </c>
      <c r="BK935">
        <f>'T_TTAFStock'!BI13</f>
        <v/>
      </c>
      <c r="BL935">
        <f>'T_TTAFStock'!BJ13</f>
        <v/>
      </c>
      <c r="BM935">
        <f>'T_TTAFStock'!BK13</f>
        <v/>
      </c>
      <c r="BN935">
        <f>'T_TTAFStock'!BL13</f>
        <v/>
      </c>
      <c r="BO935">
        <f>'T_TTAFStock'!BM13</f>
        <v/>
      </c>
      <c r="BP935">
        <f>'T_TTAFStock'!BN13</f>
        <v/>
      </c>
      <c r="BQ935">
        <f>'T_TTAFStock'!BO13</f>
        <v/>
      </c>
      <c r="BR935">
        <f>'T_TTAFStock'!BP13</f>
        <v/>
      </c>
      <c r="BS935">
        <f>'T_TTAFStock'!BQ13</f>
        <v/>
      </c>
      <c r="BT935">
        <f>'T_TTAFStock'!BR13</f>
        <v/>
      </c>
      <c r="BU935">
        <f>'T_TTAFStock'!BS13</f>
        <v/>
      </c>
      <c r="BV935">
        <f>'T_TTAFStock'!BT13</f>
        <v/>
      </c>
      <c r="BW935">
        <f>'T_TTAFStock'!BU13</f>
        <v/>
      </c>
      <c r="BX935">
        <f>'T_TTAFStock'!BV13</f>
        <v/>
      </c>
      <c r="BY935">
        <f>'T_TTAFStock'!BW13</f>
        <v/>
      </c>
      <c r="BZ935">
        <f>'T_TTAFStock'!BX13</f>
        <v/>
      </c>
      <c r="CA935">
        <f>'T_TTAFStock'!BY13</f>
        <v/>
      </c>
      <c r="CB935">
        <f>'T_TTAFStock'!BZ13</f>
        <v/>
      </c>
      <c r="CC935">
        <f>'T_TTAFStock'!CA13</f>
        <v/>
      </c>
      <c r="CD935">
        <f>'T_TTAFStock'!CB13</f>
        <v/>
      </c>
      <c r="CE935">
        <f>'T_TTAFStock'!CC13</f>
        <v/>
      </c>
      <c r="CF935">
        <f>'T_TTAFStock'!CD13</f>
        <v/>
      </c>
      <c r="CG935">
        <f>'T_TTAFStock'!CE13</f>
        <v/>
      </c>
      <c r="CH935">
        <f>'T_TTAFStock'!CF13</f>
        <v/>
      </c>
      <c r="CI935">
        <f>'T_TTAFStock'!CG13</f>
        <v/>
      </c>
      <c r="CJ935">
        <f>'T_TTAFStock'!CH13</f>
        <v/>
      </c>
      <c r="CK935">
        <f>'T_TTAFStock'!CI13</f>
        <v/>
      </c>
      <c r="CL935">
        <f>'T_TTAFStock'!CJ13</f>
        <v/>
      </c>
      <c r="CM935">
        <f>'T_TTAFStock'!CK13</f>
        <v/>
      </c>
      <c r="CN935">
        <f>'T_TTAFStock'!CL13</f>
        <v/>
      </c>
      <c r="CO935">
        <f>'T_TTAFStock'!CM13</f>
        <v/>
      </c>
      <c r="CP935">
        <f>'T_TTAFStock'!CN13</f>
        <v/>
      </c>
      <c r="CQ935">
        <f>'T_TTAFStock'!CO13</f>
        <v/>
      </c>
      <c r="CR935">
        <f>'T_TTAFStock'!CP13</f>
        <v/>
      </c>
      <c r="CS935">
        <f>'T_TTAFStock'!CQ13</f>
        <v/>
      </c>
      <c r="CT935">
        <f>'T_TTAFStock'!CR13</f>
        <v/>
      </c>
      <c r="CU935">
        <f>'T_TTAFStock'!CS13</f>
        <v/>
      </c>
      <c r="CV935">
        <f>'T_TTAFStock'!CT13</f>
        <v/>
      </c>
      <c r="CW935">
        <f>'T_TTAFStock'!CU13</f>
        <v/>
      </c>
      <c r="CX935">
        <f>'T_TTAFStock'!CV13</f>
        <v/>
      </c>
      <c r="CY935">
        <f>'T_TTAFStock'!CW13</f>
        <v/>
      </c>
      <c r="CZ935">
        <f>'T_TTAFStock'!CX13</f>
        <v/>
      </c>
      <c r="DA935">
        <f>'T_TTAFStock'!CY13</f>
        <v/>
      </c>
      <c r="DB935">
        <f>'T_TTAFStock'!CZ13</f>
        <v/>
      </c>
      <c r="DC935">
        <f>'T_TTAFStock'!DA13</f>
        <v/>
      </c>
    </row>
    <row r="936">
      <c r="B936" t="inlineStr">
        <is>
          <t>自社在庫(実績,kg)</t>
        </is>
      </c>
      <c r="D936">
        <f>'T_SelfStock'!B13</f>
        <v/>
      </c>
      <c r="E936">
        <f>'T_SelfStock'!C13</f>
        <v/>
      </c>
      <c r="F936">
        <f>'T_SelfStock'!D13</f>
        <v/>
      </c>
      <c r="G936">
        <f>'T_SelfStock'!E13</f>
        <v/>
      </c>
      <c r="H936">
        <f>'T_SelfStock'!F13</f>
        <v/>
      </c>
      <c r="I936">
        <f>'T_SelfStock'!G13</f>
        <v/>
      </c>
      <c r="J936">
        <f>'T_SelfStock'!H13</f>
        <v/>
      </c>
      <c r="K936">
        <f>'T_SelfStock'!I13</f>
        <v/>
      </c>
      <c r="L936">
        <f>'T_SelfStock'!J13</f>
        <v/>
      </c>
      <c r="M936">
        <f>'T_SelfStock'!K13</f>
        <v/>
      </c>
      <c r="N936">
        <f>'T_SelfStock'!L13</f>
        <v/>
      </c>
      <c r="O936">
        <f>'T_SelfStock'!M13</f>
        <v/>
      </c>
      <c r="P936">
        <f>'T_SelfStock'!N13</f>
        <v/>
      </c>
      <c r="Q936">
        <f>'T_SelfStock'!O13</f>
        <v/>
      </c>
      <c r="R936">
        <f>'T_SelfStock'!P13</f>
        <v/>
      </c>
      <c r="S936">
        <f>'T_SelfStock'!Q13</f>
        <v/>
      </c>
      <c r="T936">
        <f>'T_SelfStock'!R13</f>
        <v/>
      </c>
      <c r="U936">
        <f>'T_SelfStock'!S13</f>
        <v/>
      </c>
      <c r="V936">
        <f>'T_SelfStock'!T13</f>
        <v/>
      </c>
      <c r="W936">
        <f>'T_SelfStock'!U13</f>
        <v/>
      </c>
      <c r="X936">
        <f>'T_SelfStock'!V13</f>
        <v/>
      </c>
      <c r="Y936">
        <f>'T_SelfStock'!W13</f>
        <v/>
      </c>
      <c r="Z936">
        <f>'T_SelfStock'!X13</f>
        <v/>
      </c>
      <c r="AA936">
        <f>'T_SelfStock'!Y13</f>
        <v/>
      </c>
      <c r="AB936">
        <f>'T_SelfStock'!Z13</f>
        <v/>
      </c>
      <c r="AC936">
        <f>'T_SelfStock'!AA13</f>
        <v/>
      </c>
      <c r="AD936">
        <f>'T_SelfStock'!AB13</f>
        <v/>
      </c>
      <c r="AE936">
        <f>'T_SelfStock'!AC13</f>
        <v/>
      </c>
      <c r="AF936">
        <f>'T_SelfStock'!AD13</f>
        <v/>
      </c>
      <c r="AG936">
        <f>'T_SelfStock'!AE13</f>
        <v/>
      </c>
      <c r="AH936">
        <f>'T_SelfStock'!AF13</f>
        <v/>
      </c>
      <c r="AI936">
        <f>'T_SelfStock'!AG13</f>
        <v/>
      </c>
      <c r="AJ936">
        <f>'T_SelfStock'!AH13</f>
        <v/>
      </c>
      <c r="AK936">
        <f>'T_SelfStock'!AI13</f>
        <v/>
      </c>
      <c r="AL936">
        <f>'T_SelfStock'!AJ13</f>
        <v/>
      </c>
      <c r="AM936">
        <f>'T_SelfStock'!AK13</f>
        <v/>
      </c>
      <c r="AN936">
        <f>'T_SelfStock'!AL13</f>
        <v/>
      </c>
      <c r="AO936">
        <f>'T_SelfStock'!AM13</f>
        <v/>
      </c>
      <c r="AP936">
        <f>'T_SelfStock'!AN13</f>
        <v/>
      </c>
      <c r="AQ936">
        <f>'T_SelfStock'!AO13</f>
        <v/>
      </c>
      <c r="AR936">
        <f>'T_SelfStock'!AP13</f>
        <v/>
      </c>
      <c r="AS936">
        <f>'T_SelfStock'!AQ13</f>
        <v/>
      </c>
      <c r="AT936">
        <f>'T_SelfStock'!AR13</f>
        <v/>
      </c>
      <c r="AU936">
        <f>'T_SelfStock'!AS13</f>
        <v/>
      </c>
      <c r="AV936">
        <f>'T_SelfStock'!AT13</f>
        <v/>
      </c>
      <c r="AW936">
        <f>'T_SelfStock'!AU13</f>
        <v/>
      </c>
      <c r="AX936">
        <f>'T_SelfStock'!AV13</f>
        <v/>
      </c>
      <c r="AY936">
        <f>'T_SelfStock'!AW13</f>
        <v/>
      </c>
      <c r="AZ936">
        <f>'T_SelfStock'!AX13</f>
        <v/>
      </c>
      <c r="BA936">
        <f>'T_SelfStock'!AY13</f>
        <v/>
      </c>
      <c r="BB936">
        <f>'T_SelfStock'!AZ13</f>
        <v/>
      </c>
      <c r="BC936">
        <f>'T_SelfStock'!BA13</f>
        <v/>
      </c>
      <c r="BD936">
        <f>'T_SelfStock'!BB13</f>
        <v/>
      </c>
      <c r="BE936">
        <f>'T_SelfStock'!BC13</f>
        <v/>
      </c>
      <c r="BF936">
        <f>'T_SelfStock'!BD13</f>
        <v/>
      </c>
      <c r="BG936">
        <f>'T_SelfStock'!BE13</f>
        <v/>
      </c>
      <c r="BH936">
        <f>'T_SelfStock'!BF13</f>
        <v/>
      </c>
      <c r="BI936">
        <f>'T_SelfStock'!BG13</f>
        <v/>
      </c>
      <c r="BJ936">
        <f>'T_SelfStock'!BH13</f>
        <v/>
      </c>
      <c r="BK936">
        <f>'T_SelfStock'!BI13</f>
        <v/>
      </c>
      <c r="BL936">
        <f>'T_SelfStock'!BJ13</f>
        <v/>
      </c>
      <c r="BM936">
        <f>'T_SelfStock'!BK13</f>
        <v/>
      </c>
      <c r="BN936">
        <f>'T_SelfStock'!BL13</f>
        <v/>
      </c>
      <c r="BO936">
        <f>'T_SelfStock'!BM13</f>
        <v/>
      </c>
      <c r="BP936">
        <f>'T_SelfStock'!BN13</f>
        <v/>
      </c>
      <c r="BQ936">
        <f>'T_SelfStock'!BO13</f>
        <v/>
      </c>
      <c r="BR936">
        <f>'T_SelfStock'!BP13</f>
        <v/>
      </c>
      <c r="BS936">
        <f>'T_SelfStock'!BQ13</f>
        <v/>
      </c>
      <c r="BT936">
        <f>'T_SelfStock'!BR13</f>
        <v/>
      </c>
      <c r="BU936">
        <f>'T_SelfStock'!BS13</f>
        <v/>
      </c>
      <c r="BV936">
        <f>'T_SelfStock'!BT13</f>
        <v/>
      </c>
      <c r="BW936">
        <f>'T_SelfStock'!BU13</f>
        <v/>
      </c>
      <c r="BX936">
        <f>'T_SelfStock'!BV13</f>
        <v/>
      </c>
      <c r="BY936">
        <f>'T_SelfStock'!BW13</f>
        <v/>
      </c>
      <c r="BZ936">
        <f>'T_SelfStock'!BX13</f>
        <v/>
      </c>
      <c r="CA936">
        <f>'T_SelfStock'!BY13</f>
        <v/>
      </c>
      <c r="CB936">
        <f>'T_SelfStock'!BZ13</f>
        <v/>
      </c>
      <c r="CC936">
        <f>'T_SelfStock'!CA13</f>
        <v/>
      </c>
      <c r="CD936">
        <f>'T_SelfStock'!CB13</f>
        <v/>
      </c>
      <c r="CE936">
        <f>'T_SelfStock'!CC13</f>
        <v/>
      </c>
      <c r="CF936">
        <f>'T_SelfStock'!CD13</f>
        <v/>
      </c>
      <c r="CG936">
        <f>'T_SelfStock'!CE13</f>
        <v/>
      </c>
      <c r="CH936">
        <f>'T_SelfStock'!CF13</f>
        <v/>
      </c>
      <c r="CI936">
        <f>'T_SelfStock'!CG13</f>
        <v/>
      </c>
      <c r="CJ936">
        <f>'T_SelfStock'!CH13</f>
        <v/>
      </c>
      <c r="CK936">
        <f>'T_SelfStock'!CI13</f>
        <v/>
      </c>
      <c r="CL936">
        <f>'T_SelfStock'!CJ13</f>
        <v/>
      </c>
      <c r="CM936">
        <f>'T_SelfStock'!CK13</f>
        <v/>
      </c>
      <c r="CN936">
        <f>'T_SelfStock'!CL13</f>
        <v/>
      </c>
      <c r="CO936">
        <f>'T_SelfStock'!CM13</f>
        <v/>
      </c>
      <c r="CP936">
        <f>'T_SelfStock'!CN13</f>
        <v/>
      </c>
      <c r="CQ936">
        <f>'T_SelfStock'!CO13</f>
        <v/>
      </c>
      <c r="CR936">
        <f>'T_SelfStock'!CP13</f>
        <v/>
      </c>
      <c r="CS936">
        <f>'T_SelfStock'!CQ13</f>
        <v/>
      </c>
      <c r="CT936">
        <f>'T_SelfStock'!CR13</f>
        <v/>
      </c>
      <c r="CU936">
        <f>'T_SelfStock'!CS13</f>
        <v/>
      </c>
      <c r="CV936">
        <f>'T_SelfStock'!CT13</f>
        <v/>
      </c>
      <c r="CW936">
        <f>'T_SelfStock'!CU13</f>
        <v/>
      </c>
      <c r="CX936">
        <f>'T_SelfStock'!CV13</f>
        <v/>
      </c>
      <c r="CY936">
        <f>'T_SelfStock'!CW13</f>
        <v/>
      </c>
      <c r="CZ936">
        <f>'T_SelfStock'!CX13</f>
        <v/>
      </c>
      <c r="DA936">
        <f>'T_SelfStock'!CY13</f>
        <v/>
      </c>
      <c r="DB936">
        <f>'T_SelfStock'!CZ13</f>
        <v/>
      </c>
      <c r="DC936">
        <f>'T_SelfStock'!DA13</f>
        <v/>
      </c>
    </row>
    <row r="937">
      <c r="B937" s="4" t="inlineStr">
        <is>
          <t>合計在庫(週末時点,kg)</t>
        </is>
      </c>
      <c r="D937">
        <f>'Grid_Stock'!B9</f>
        <v/>
      </c>
      <c r="E937">
        <f>'Grid_Stock'!C9</f>
        <v/>
      </c>
      <c r="F937">
        <f>'Grid_Stock'!D9</f>
        <v/>
      </c>
      <c r="G937">
        <f>'Grid_Stock'!E9</f>
        <v/>
      </c>
      <c r="H937">
        <f>'Grid_Stock'!F9</f>
        <v/>
      </c>
      <c r="I937">
        <f>'Grid_Stock'!G9</f>
        <v/>
      </c>
      <c r="J937">
        <f>'Grid_Stock'!H9</f>
        <v/>
      </c>
      <c r="K937">
        <f>'Grid_Stock'!I9</f>
        <v/>
      </c>
      <c r="L937">
        <f>'Grid_Stock'!J9</f>
        <v/>
      </c>
      <c r="M937">
        <f>'Grid_Stock'!K9</f>
        <v/>
      </c>
      <c r="N937">
        <f>'Grid_Stock'!L9</f>
        <v/>
      </c>
      <c r="O937">
        <f>'Grid_Stock'!M9</f>
        <v/>
      </c>
      <c r="P937">
        <f>'Grid_Stock'!N9</f>
        <v/>
      </c>
      <c r="Q937">
        <f>'Grid_Stock'!O9</f>
        <v/>
      </c>
      <c r="R937">
        <f>'Grid_Stock'!P9</f>
        <v/>
      </c>
      <c r="S937">
        <f>'Grid_Stock'!Q9</f>
        <v/>
      </c>
      <c r="T937">
        <f>'Grid_Stock'!R9</f>
        <v/>
      </c>
      <c r="U937">
        <f>'Grid_Stock'!S9</f>
        <v/>
      </c>
      <c r="V937">
        <f>'Grid_Stock'!T9</f>
        <v/>
      </c>
      <c r="W937">
        <f>'Grid_Stock'!U9</f>
        <v/>
      </c>
      <c r="X937">
        <f>'Grid_Stock'!V9</f>
        <v/>
      </c>
      <c r="Y937">
        <f>'Grid_Stock'!W9</f>
        <v/>
      </c>
      <c r="Z937">
        <f>'Grid_Stock'!X9</f>
        <v/>
      </c>
      <c r="AA937">
        <f>'Grid_Stock'!Y9</f>
        <v/>
      </c>
      <c r="AB937">
        <f>'Grid_Stock'!Z9</f>
        <v/>
      </c>
      <c r="AC937">
        <f>'Grid_Stock'!AA9</f>
        <v/>
      </c>
      <c r="AD937">
        <f>'Grid_Stock'!AB9</f>
        <v/>
      </c>
      <c r="AE937">
        <f>'Grid_Stock'!AC9</f>
        <v/>
      </c>
      <c r="AF937">
        <f>'Grid_Stock'!AD9</f>
        <v/>
      </c>
      <c r="AG937">
        <f>'Grid_Stock'!AE9</f>
        <v/>
      </c>
      <c r="AH937">
        <f>'Grid_Stock'!AF9</f>
        <v/>
      </c>
      <c r="AI937">
        <f>'Grid_Stock'!AG9</f>
        <v/>
      </c>
      <c r="AJ937">
        <f>'Grid_Stock'!AH9</f>
        <v/>
      </c>
      <c r="AK937">
        <f>'Grid_Stock'!AI9</f>
        <v/>
      </c>
      <c r="AL937">
        <f>'Grid_Stock'!AJ9</f>
        <v/>
      </c>
      <c r="AM937">
        <f>'Grid_Stock'!AK9</f>
        <v/>
      </c>
      <c r="AN937">
        <f>'Grid_Stock'!AL9</f>
        <v/>
      </c>
      <c r="AO937">
        <f>'Grid_Stock'!AM9</f>
        <v/>
      </c>
      <c r="AP937">
        <f>'Grid_Stock'!AN9</f>
        <v/>
      </c>
      <c r="AQ937">
        <f>'Grid_Stock'!AO9</f>
        <v/>
      </c>
      <c r="AR937">
        <f>'Grid_Stock'!AP9</f>
        <v/>
      </c>
      <c r="AS937">
        <f>'Grid_Stock'!AQ9</f>
        <v/>
      </c>
      <c r="AT937">
        <f>'Grid_Stock'!AR9</f>
        <v/>
      </c>
      <c r="AU937">
        <f>'Grid_Stock'!AS9</f>
        <v/>
      </c>
      <c r="AV937">
        <f>'Grid_Stock'!AT9</f>
        <v/>
      </c>
      <c r="AW937">
        <f>'Grid_Stock'!AU9</f>
        <v/>
      </c>
      <c r="AX937">
        <f>'Grid_Stock'!AV9</f>
        <v/>
      </c>
      <c r="AY937">
        <f>'Grid_Stock'!AW9</f>
        <v/>
      </c>
      <c r="AZ937">
        <f>'Grid_Stock'!AX9</f>
        <v/>
      </c>
      <c r="BA937">
        <f>'Grid_Stock'!AY9</f>
        <v/>
      </c>
      <c r="BB937">
        <f>'Grid_Stock'!AZ9</f>
        <v/>
      </c>
      <c r="BC937">
        <f>'Grid_Stock'!BA9</f>
        <v/>
      </c>
      <c r="BD937">
        <f>'Grid_Stock'!BB9</f>
        <v/>
      </c>
      <c r="BE937">
        <f>'Grid_Stock'!BC9</f>
        <v/>
      </c>
      <c r="BF937">
        <f>'Grid_Stock'!BD9</f>
        <v/>
      </c>
      <c r="BG937">
        <f>'Grid_Stock'!BE9</f>
        <v/>
      </c>
      <c r="BH937">
        <f>'Grid_Stock'!BF9</f>
        <v/>
      </c>
      <c r="BI937">
        <f>'Grid_Stock'!BG9</f>
        <v/>
      </c>
      <c r="BJ937">
        <f>'Grid_Stock'!BH9</f>
        <v/>
      </c>
      <c r="BK937">
        <f>'Grid_Stock'!BI9</f>
        <v/>
      </c>
      <c r="BL937">
        <f>'Grid_Stock'!BJ9</f>
        <v/>
      </c>
      <c r="BM937">
        <f>'Grid_Stock'!BK9</f>
        <v/>
      </c>
      <c r="BN937">
        <f>'Grid_Stock'!BL9</f>
        <v/>
      </c>
      <c r="BO937">
        <f>'Grid_Stock'!BM9</f>
        <v/>
      </c>
      <c r="BP937">
        <f>'Grid_Stock'!BN9</f>
        <v/>
      </c>
      <c r="BQ937">
        <f>'Grid_Stock'!BO9</f>
        <v/>
      </c>
      <c r="BR937">
        <f>'Grid_Stock'!BP9</f>
        <v/>
      </c>
      <c r="BS937">
        <f>'Grid_Stock'!BQ9</f>
        <v/>
      </c>
      <c r="BT937">
        <f>'Grid_Stock'!BR9</f>
        <v/>
      </c>
      <c r="BU937">
        <f>'Grid_Stock'!BS9</f>
        <v/>
      </c>
      <c r="BV937">
        <f>'Grid_Stock'!BT9</f>
        <v/>
      </c>
      <c r="BW937">
        <f>'Grid_Stock'!BU9</f>
        <v/>
      </c>
      <c r="BX937">
        <f>'Grid_Stock'!BV9</f>
        <v/>
      </c>
      <c r="BY937">
        <f>'Grid_Stock'!BW9</f>
        <v/>
      </c>
      <c r="BZ937">
        <f>'Grid_Stock'!BX9</f>
        <v/>
      </c>
      <c r="CA937">
        <f>'Grid_Stock'!BY9</f>
        <v/>
      </c>
      <c r="CB937">
        <f>'Grid_Stock'!BZ9</f>
        <v/>
      </c>
      <c r="CC937">
        <f>'Grid_Stock'!CA9</f>
        <v/>
      </c>
      <c r="CD937">
        <f>'Grid_Stock'!CB9</f>
        <v/>
      </c>
      <c r="CE937">
        <f>'Grid_Stock'!CC9</f>
        <v/>
      </c>
      <c r="CF937">
        <f>'Grid_Stock'!CD9</f>
        <v/>
      </c>
      <c r="CG937">
        <f>'Grid_Stock'!CE9</f>
        <v/>
      </c>
      <c r="CH937">
        <f>'Grid_Stock'!CF9</f>
        <v/>
      </c>
      <c r="CI937">
        <f>'Grid_Stock'!CG9</f>
        <v/>
      </c>
      <c r="CJ937">
        <f>'Grid_Stock'!CH9</f>
        <v/>
      </c>
      <c r="CK937">
        <f>'Grid_Stock'!CI9</f>
        <v/>
      </c>
      <c r="CL937">
        <f>'Grid_Stock'!CJ9</f>
        <v/>
      </c>
      <c r="CM937">
        <f>'Grid_Stock'!CK9</f>
        <v/>
      </c>
      <c r="CN937">
        <f>'Grid_Stock'!CL9</f>
        <v/>
      </c>
      <c r="CO937">
        <f>'Grid_Stock'!CM9</f>
        <v/>
      </c>
      <c r="CP937">
        <f>'Grid_Stock'!CN9</f>
        <v/>
      </c>
      <c r="CQ937">
        <f>'Grid_Stock'!CO9</f>
        <v/>
      </c>
      <c r="CR937">
        <f>'Grid_Stock'!CP9</f>
        <v/>
      </c>
      <c r="CS937">
        <f>'Grid_Stock'!CQ9</f>
        <v/>
      </c>
      <c r="CT937">
        <f>'Grid_Stock'!CR9</f>
        <v/>
      </c>
      <c r="CU937">
        <f>'Grid_Stock'!CS9</f>
        <v/>
      </c>
      <c r="CV937">
        <f>'Grid_Stock'!CT9</f>
        <v/>
      </c>
      <c r="CW937">
        <f>'Grid_Stock'!CU9</f>
        <v/>
      </c>
      <c r="CX937">
        <f>'Grid_Stock'!CV9</f>
        <v/>
      </c>
      <c r="CY937">
        <f>'Grid_Stock'!CW9</f>
        <v/>
      </c>
      <c r="CZ937">
        <f>'Grid_Stock'!CX9</f>
        <v/>
      </c>
      <c r="DA937">
        <f>'Grid_Stock'!CY9</f>
        <v/>
      </c>
      <c r="DB937">
        <f>'Grid_Stock'!CZ9</f>
        <v/>
      </c>
      <c r="DC937">
        <f>'Grid_Stock'!DA9</f>
        <v/>
      </c>
    </row>
    <row r="938">
      <c r="B938" s="16" t="inlineStr">
        <is>
          <t>（発注の目安はDashboardの基準在庫[下限/上限]と色分けを参照）</t>
        </is>
      </c>
    </row>
    <row r="940">
      <c r="A940" s="14" t="inlineStr">
        <is>
          <t>CHEM-1760</t>
        </is>
      </c>
      <c r="B940" s="14" t="inlineStr">
        <is>
          <t>Pigment(TC RED FD(A))</t>
        </is>
      </c>
      <c r="C940" s="15" t="n"/>
      <c r="D940" s="14" t="n"/>
      <c r="E940" s="14" t="n"/>
      <c r="F940" s="14" t="n"/>
      <c r="G940" s="14" t="n"/>
      <c r="H940" s="14" t="n"/>
      <c r="I940" s="14" t="n"/>
      <c r="J940" s="14" t="n"/>
      <c r="K940" s="14" t="n"/>
      <c r="L940" s="14" t="n"/>
      <c r="M940" s="14" t="n"/>
      <c r="N940" s="14" t="n"/>
      <c r="O940" s="14" t="n"/>
      <c r="P940" s="14" t="n"/>
      <c r="Q940" s="14" t="n"/>
      <c r="R940" s="14" t="n"/>
      <c r="S940" s="14" t="n"/>
      <c r="T940" s="14" t="n"/>
      <c r="U940" s="14" t="n"/>
      <c r="V940" s="14" t="n"/>
      <c r="W940" s="14" t="n"/>
      <c r="X940" s="14" t="n"/>
      <c r="Y940" s="14" t="n"/>
      <c r="Z940" s="14" t="n"/>
      <c r="AA940" s="14" t="n"/>
      <c r="AB940" s="14" t="n"/>
      <c r="AC940" s="14" t="n"/>
      <c r="AD940" s="14" t="n"/>
      <c r="AE940" s="14" t="n"/>
      <c r="AF940" s="14" t="n"/>
      <c r="AG940" s="14" t="n"/>
      <c r="AH940" s="14" t="n"/>
      <c r="AI940" s="14" t="n"/>
      <c r="AJ940" s="14" t="n"/>
      <c r="AK940" s="14" t="n"/>
      <c r="AL940" s="14" t="n"/>
      <c r="AM940" s="14" t="n"/>
      <c r="AN940" s="14" t="n"/>
      <c r="AO940" s="14" t="n"/>
      <c r="AP940" s="14" t="n"/>
      <c r="AQ940" s="14" t="n"/>
      <c r="AR940" s="14" t="n"/>
      <c r="AS940" s="14" t="n"/>
      <c r="AT940" s="14" t="n"/>
      <c r="AU940" s="14" t="n"/>
      <c r="AV940" s="14" t="n"/>
      <c r="AW940" s="14" t="n"/>
      <c r="AX940" s="14" t="n"/>
      <c r="AY940" s="14" t="n"/>
      <c r="AZ940" s="14" t="n"/>
      <c r="BA940" s="14" t="n"/>
      <c r="BB940" s="14" t="n"/>
      <c r="BC940" s="14" t="n"/>
      <c r="BD940" s="14" t="n"/>
      <c r="BE940" s="14" t="n"/>
      <c r="BF940" s="14" t="n"/>
      <c r="BG940" s="14" t="n"/>
      <c r="BH940" s="14" t="n"/>
      <c r="BI940" s="14" t="n"/>
      <c r="BJ940" s="14" t="n"/>
      <c r="BK940" s="14" t="n"/>
      <c r="BL940" s="14" t="n"/>
      <c r="BM940" s="14" t="n"/>
      <c r="BN940" s="14" t="n"/>
      <c r="BO940" s="14" t="n"/>
      <c r="BP940" s="14" t="n"/>
      <c r="BQ940" s="14" t="n"/>
      <c r="BR940" s="14" t="n"/>
      <c r="BS940" s="14" t="n"/>
      <c r="BT940" s="14" t="n"/>
      <c r="BU940" s="14" t="n"/>
      <c r="BV940" s="14" t="n"/>
      <c r="BW940" s="14" t="n"/>
      <c r="BX940" s="14" t="n"/>
      <c r="BY940" s="14" t="n"/>
      <c r="BZ940" s="14" t="n"/>
      <c r="CA940" s="14" t="n"/>
      <c r="CB940" s="14" t="n"/>
      <c r="CC940" s="14" t="n"/>
      <c r="CD940" s="14" t="n"/>
      <c r="CE940" s="14" t="n"/>
      <c r="CF940" s="14" t="n"/>
      <c r="CG940" s="14" t="n"/>
      <c r="CH940" s="14" t="n"/>
      <c r="CI940" s="14" t="n"/>
      <c r="CJ940" s="14" t="n"/>
      <c r="CK940" s="14" t="n"/>
      <c r="CL940" s="14" t="n"/>
      <c r="CM940" s="14" t="n"/>
      <c r="CN940" s="14" t="n"/>
      <c r="CO940" s="14" t="n"/>
      <c r="CP940" s="14" t="n"/>
      <c r="CQ940" s="14" t="n"/>
      <c r="CR940" s="14" t="n"/>
      <c r="CS940" s="14" t="n"/>
      <c r="CT940" s="14" t="n"/>
      <c r="CU940" s="14" t="n"/>
      <c r="CV940" s="14" t="n"/>
      <c r="CW940" s="14" t="n"/>
      <c r="CX940" s="14" t="n"/>
      <c r="CY940" s="14" t="n"/>
      <c r="CZ940" s="14" t="n"/>
      <c r="DA940" s="14" t="n"/>
      <c r="DB940" s="14" t="n"/>
      <c r="DC940" s="14" t="n"/>
    </row>
    <row r="941">
      <c r="B941" t="inlineStr">
        <is>
          <t>TVS-833</t>
        </is>
      </c>
      <c r="C941" t="inlineStr">
        <is>
          <t>No. of batches</t>
        </is>
      </c>
      <c r="D941">
        <f>IFERROR(INDEX(PP_Grid[#Data],$DD941,2),0)</f>
        <v/>
      </c>
      <c r="E941">
        <f>IFERROR(INDEX(PP_Grid[#Data],$DD941,3),0)</f>
        <v/>
      </c>
      <c r="F941">
        <f>IFERROR(INDEX(PP_Grid[#Data],$DD941,4),0)</f>
        <v/>
      </c>
      <c r="G941">
        <f>IFERROR(INDEX(PP_Grid[#Data],$DD941,5),0)</f>
        <v/>
      </c>
      <c r="H941">
        <f>IFERROR(INDEX(PP_Grid[#Data],$DD941,6),0)</f>
        <v/>
      </c>
      <c r="I941">
        <f>IFERROR(INDEX(PP_Grid[#Data],$DD941,7),0)</f>
        <v/>
      </c>
      <c r="J941">
        <f>IFERROR(INDEX(PP_Grid[#Data],$DD941,8),0)</f>
        <v/>
      </c>
      <c r="K941">
        <f>IFERROR(INDEX(PP_Grid[#Data],$DD941,9),0)</f>
        <v/>
      </c>
      <c r="L941">
        <f>IFERROR(INDEX(PP_Grid[#Data],$DD941,10),0)</f>
        <v/>
      </c>
      <c r="M941">
        <f>IFERROR(INDEX(PP_Grid[#Data],$DD941,11),0)</f>
        <v/>
      </c>
      <c r="N941">
        <f>IFERROR(INDEX(PP_Grid[#Data],$DD941,12),0)</f>
        <v/>
      </c>
      <c r="O941">
        <f>IFERROR(INDEX(PP_Grid[#Data],$DD941,13),0)</f>
        <v/>
      </c>
      <c r="P941">
        <f>IFERROR(INDEX(PP_Grid[#Data],$DD941,14),0)</f>
        <v/>
      </c>
      <c r="Q941">
        <f>IFERROR(INDEX(PP_Grid[#Data],$DD941,15),0)</f>
        <v/>
      </c>
      <c r="R941">
        <f>IFERROR(INDEX(PP_Grid[#Data],$DD941,16),0)</f>
        <v/>
      </c>
      <c r="S941">
        <f>IFERROR(INDEX(PP_Grid[#Data],$DD941,17),0)</f>
        <v/>
      </c>
      <c r="T941">
        <f>IFERROR(INDEX(PP_Grid[#Data],$DD941,18),0)</f>
        <v/>
      </c>
      <c r="U941">
        <f>IFERROR(INDEX(PP_Grid[#Data],$DD941,19),0)</f>
        <v/>
      </c>
      <c r="V941">
        <f>IFERROR(INDEX(PP_Grid[#Data],$DD941,20),0)</f>
        <v/>
      </c>
      <c r="W941">
        <f>IFERROR(INDEX(PP_Grid[#Data],$DD941,21),0)</f>
        <v/>
      </c>
      <c r="X941">
        <f>IFERROR(INDEX(PP_Grid[#Data],$DD941,22),0)</f>
        <v/>
      </c>
      <c r="Y941">
        <f>IFERROR(INDEX(PP_Grid[#Data],$DD941,23),0)</f>
        <v/>
      </c>
      <c r="Z941">
        <f>IFERROR(INDEX(PP_Grid[#Data],$DD941,24),0)</f>
        <v/>
      </c>
      <c r="AA941">
        <f>IFERROR(INDEX(PP_Grid[#Data],$DD941,25),0)</f>
        <v/>
      </c>
      <c r="AB941">
        <f>IFERROR(INDEX(PP_Grid[#Data],$DD941,26),0)</f>
        <v/>
      </c>
      <c r="AC941">
        <f>IFERROR(INDEX(PP_Grid[#Data],$DD941,27),0)</f>
        <v/>
      </c>
      <c r="AD941">
        <f>IFERROR(INDEX(PP_Grid[#Data],$DD941,28),0)</f>
        <v/>
      </c>
      <c r="AE941">
        <f>IFERROR(INDEX(PP_Grid[#Data],$DD941,29),0)</f>
        <v/>
      </c>
      <c r="AF941">
        <f>IFERROR(INDEX(PP_Grid[#Data],$DD941,30),0)</f>
        <v/>
      </c>
      <c r="AG941">
        <f>IFERROR(INDEX(PP_Grid[#Data],$DD941,31),0)</f>
        <v/>
      </c>
      <c r="AH941">
        <f>IFERROR(INDEX(PP_Grid[#Data],$DD941,32),0)</f>
        <v/>
      </c>
      <c r="AI941">
        <f>IFERROR(INDEX(PP_Grid[#Data],$DD941,33),0)</f>
        <v/>
      </c>
      <c r="AJ941">
        <f>IFERROR(INDEX(PP_Grid[#Data],$DD941,34),0)</f>
        <v/>
      </c>
      <c r="AK941">
        <f>IFERROR(INDEX(PP_Grid[#Data],$DD941,35),0)</f>
        <v/>
      </c>
      <c r="AL941">
        <f>IFERROR(INDEX(PP_Grid[#Data],$DD941,36),0)</f>
        <v/>
      </c>
      <c r="AM941">
        <f>IFERROR(INDEX(PP_Grid[#Data],$DD941,37),0)</f>
        <v/>
      </c>
      <c r="AN941">
        <f>IFERROR(INDEX(PP_Grid[#Data],$DD941,38),0)</f>
        <v/>
      </c>
      <c r="AO941">
        <f>IFERROR(INDEX(PP_Grid[#Data],$DD941,39),0)</f>
        <v/>
      </c>
      <c r="AP941">
        <f>IFERROR(INDEX(PP_Grid[#Data],$DD941,40),0)</f>
        <v/>
      </c>
      <c r="AQ941">
        <f>IFERROR(INDEX(PP_Grid[#Data],$DD941,41),0)</f>
        <v/>
      </c>
      <c r="AR941">
        <f>IFERROR(INDEX(PP_Grid[#Data],$DD941,42),0)</f>
        <v/>
      </c>
      <c r="AS941">
        <f>IFERROR(INDEX(PP_Grid[#Data],$DD941,43),0)</f>
        <v/>
      </c>
      <c r="AT941">
        <f>IFERROR(INDEX(PP_Grid[#Data],$DD941,44),0)</f>
        <v/>
      </c>
      <c r="AU941">
        <f>IFERROR(INDEX(PP_Grid[#Data],$DD941,45),0)</f>
        <v/>
      </c>
      <c r="AV941">
        <f>IFERROR(INDEX(PP_Grid[#Data],$DD941,46),0)</f>
        <v/>
      </c>
      <c r="AW941">
        <f>IFERROR(INDEX(PP_Grid[#Data],$DD941,47),0)</f>
        <v/>
      </c>
      <c r="AX941">
        <f>IFERROR(INDEX(PP_Grid[#Data],$DD941,48),0)</f>
        <v/>
      </c>
      <c r="AY941">
        <f>IFERROR(INDEX(PP_Grid[#Data],$DD941,49),0)</f>
        <v/>
      </c>
      <c r="AZ941">
        <f>IFERROR(INDEX(PP_Grid[#Data],$DD941,50),0)</f>
        <v/>
      </c>
      <c r="BA941">
        <f>IFERROR(INDEX(PP_Grid[#Data],$DD941,51),0)</f>
        <v/>
      </c>
      <c r="BB941">
        <f>IFERROR(INDEX(PP_Grid[#Data],$DD941,52),0)</f>
        <v/>
      </c>
      <c r="BC941">
        <f>IFERROR(INDEX(PP_Grid[#Data],$DD941,53),0)</f>
        <v/>
      </c>
      <c r="BD941">
        <f>IFERROR(INDEX(PP_Grid[#Data],$DD941,54),0)</f>
        <v/>
      </c>
      <c r="BE941">
        <f>IFERROR(INDEX(PP_Grid[#Data],$DD941,55),0)</f>
        <v/>
      </c>
      <c r="BF941">
        <f>IFERROR(INDEX(PP_Grid[#Data],$DD941,56),0)</f>
        <v/>
      </c>
      <c r="BG941">
        <f>IFERROR(INDEX(PP_Grid[#Data],$DD941,57),0)</f>
        <v/>
      </c>
      <c r="BH941">
        <f>IFERROR(INDEX(PP_Grid[#Data],$DD941,58),0)</f>
        <v/>
      </c>
      <c r="BI941">
        <f>IFERROR(INDEX(PP_Grid[#Data],$DD941,59),0)</f>
        <v/>
      </c>
      <c r="BJ941">
        <f>IFERROR(INDEX(PP_Grid[#Data],$DD941,60),0)</f>
        <v/>
      </c>
      <c r="BK941">
        <f>IFERROR(INDEX(PP_Grid[#Data],$DD941,61),0)</f>
        <v/>
      </c>
      <c r="BL941">
        <f>IFERROR(INDEX(PP_Grid[#Data],$DD941,62),0)</f>
        <v/>
      </c>
      <c r="BM941">
        <f>IFERROR(INDEX(PP_Grid[#Data],$DD941,63),0)</f>
        <v/>
      </c>
      <c r="BN941">
        <f>IFERROR(INDEX(PP_Grid[#Data],$DD941,64),0)</f>
        <v/>
      </c>
      <c r="BO941">
        <f>IFERROR(INDEX(PP_Grid[#Data],$DD941,65),0)</f>
        <v/>
      </c>
      <c r="BP941">
        <f>IFERROR(INDEX(PP_Grid[#Data],$DD941,66),0)</f>
        <v/>
      </c>
      <c r="BQ941">
        <f>IFERROR(INDEX(PP_Grid[#Data],$DD941,67),0)</f>
        <v/>
      </c>
      <c r="BR941">
        <f>IFERROR(INDEX(PP_Grid[#Data],$DD941,68),0)</f>
        <v/>
      </c>
      <c r="BS941">
        <f>IFERROR(INDEX(PP_Grid[#Data],$DD941,69),0)</f>
        <v/>
      </c>
      <c r="BT941">
        <f>IFERROR(INDEX(PP_Grid[#Data],$DD941,70),0)</f>
        <v/>
      </c>
      <c r="BU941">
        <f>IFERROR(INDEX(PP_Grid[#Data],$DD941,71),0)</f>
        <v/>
      </c>
      <c r="BV941">
        <f>IFERROR(INDEX(PP_Grid[#Data],$DD941,72),0)</f>
        <v/>
      </c>
      <c r="BW941">
        <f>IFERROR(INDEX(PP_Grid[#Data],$DD941,73),0)</f>
        <v/>
      </c>
      <c r="BX941">
        <f>IFERROR(INDEX(PP_Grid[#Data],$DD941,74),0)</f>
        <v/>
      </c>
      <c r="BY941">
        <f>IFERROR(INDEX(PP_Grid[#Data],$DD941,75),0)</f>
        <v/>
      </c>
      <c r="BZ941">
        <f>IFERROR(INDEX(PP_Grid[#Data],$DD941,76),0)</f>
        <v/>
      </c>
      <c r="CA941">
        <f>IFERROR(INDEX(PP_Grid[#Data],$DD941,77),0)</f>
        <v/>
      </c>
      <c r="CB941">
        <f>IFERROR(INDEX(PP_Grid[#Data],$DD941,78),0)</f>
        <v/>
      </c>
      <c r="CC941">
        <f>IFERROR(INDEX(PP_Grid[#Data],$DD941,79),0)</f>
        <v/>
      </c>
      <c r="CD941">
        <f>IFERROR(INDEX(PP_Grid[#Data],$DD941,80),0)</f>
        <v/>
      </c>
      <c r="CE941">
        <f>IFERROR(INDEX(PP_Grid[#Data],$DD941,81),0)</f>
        <v/>
      </c>
      <c r="CF941">
        <f>IFERROR(INDEX(PP_Grid[#Data],$DD941,82),0)</f>
        <v/>
      </c>
      <c r="CG941">
        <f>IFERROR(INDEX(PP_Grid[#Data],$DD941,83),0)</f>
        <v/>
      </c>
      <c r="CH941">
        <f>IFERROR(INDEX(PP_Grid[#Data],$DD941,84),0)</f>
        <v/>
      </c>
      <c r="CI941">
        <f>IFERROR(INDEX(PP_Grid[#Data],$DD941,85),0)</f>
        <v/>
      </c>
      <c r="CJ941">
        <f>IFERROR(INDEX(PP_Grid[#Data],$DD941,86),0)</f>
        <v/>
      </c>
      <c r="CK941">
        <f>IFERROR(INDEX(PP_Grid[#Data],$DD941,87),0)</f>
        <v/>
      </c>
      <c r="CL941">
        <f>IFERROR(INDEX(PP_Grid[#Data],$DD941,88),0)</f>
        <v/>
      </c>
      <c r="CM941">
        <f>IFERROR(INDEX(PP_Grid[#Data],$DD941,89),0)</f>
        <v/>
      </c>
      <c r="CN941">
        <f>IFERROR(INDEX(PP_Grid[#Data],$DD941,90),0)</f>
        <v/>
      </c>
      <c r="CO941">
        <f>IFERROR(INDEX(PP_Grid[#Data],$DD941,91),0)</f>
        <v/>
      </c>
      <c r="CP941">
        <f>IFERROR(INDEX(PP_Grid[#Data],$DD941,92),0)</f>
        <v/>
      </c>
      <c r="CQ941">
        <f>IFERROR(INDEX(PP_Grid[#Data],$DD941,93),0)</f>
        <v/>
      </c>
      <c r="CR941">
        <f>IFERROR(INDEX(PP_Grid[#Data],$DD941,94),0)</f>
        <v/>
      </c>
      <c r="CS941">
        <f>IFERROR(INDEX(PP_Grid[#Data],$DD941,95),0)</f>
        <v/>
      </c>
      <c r="CT941">
        <f>IFERROR(INDEX(PP_Grid[#Data],$DD941,96),0)</f>
        <v/>
      </c>
      <c r="CU941">
        <f>IFERROR(INDEX(PP_Grid[#Data],$DD941,97),0)</f>
        <v/>
      </c>
      <c r="CV941">
        <f>IFERROR(INDEX(PP_Grid[#Data],$DD941,98),0)</f>
        <v/>
      </c>
      <c r="CW941">
        <f>IFERROR(INDEX(PP_Grid[#Data],$DD941,99),0)</f>
        <v/>
      </c>
      <c r="CX941">
        <f>IFERROR(INDEX(PP_Grid[#Data],$DD941,100),0)</f>
        <v/>
      </c>
      <c r="CY941">
        <f>IFERROR(INDEX(PP_Grid[#Data],$DD941,101),0)</f>
        <v/>
      </c>
      <c r="CZ941">
        <f>IFERROR(INDEX(PP_Grid[#Data],$DD941,102),0)</f>
        <v/>
      </c>
      <c r="DA941">
        <f>IFERROR(INDEX(PP_Grid[#Data],$DD941,103),0)</f>
        <v/>
      </c>
      <c r="DB941">
        <f>IFERROR(INDEX(PP_Grid[#Data],$DD941,104),0)</f>
        <v/>
      </c>
      <c r="DC941">
        <f>IFERROR(INDEX(PP_Grid[#Data],$DD941,105),0)</f>
        <v/>
      </c>
      <c r="DD941" s="7">
        <f>IFERROR(MATCH($B941,PP_Grid[Intermediate],0),99999)</f>
        <v/>
      </c>
    </row>
    <row r="942">
      <c r="B942" t="inlineStr">
        <is>
          <t>使用量(kg)</t>
        </is>
      </c>
      <c r="C942">
        <f>SUMIFS(M_BOM[RM_Qty_Per_Batch],M_BOM[Intermediate],$B941,M_BOM[Part Name],$A940)</f>
        <v/>
      </c>
      <c r="D942">
        <f>$C942*D941</f>
        <v/>
      </c>
      <c r="E942">
        <f>$C942*E941</f>
        <v/>
      </c>
      <c r="F942">
        <f>$C942*F941</f>
        <v/>
      </c>
      <c r="G942">
        <f>$C942*G941</f>
        <v/>
      </c>
      <c r="H942">
        <f>$C942*H941</f>
        <v/>
      </c>
      <c r="I942">
        <f>$C942*I941</f>
        <v/>
      </c>
      <c r="J942">
        <f>$C942*J941</f>
        <v/>
      </c>
      <c r="K942">
        <f>$C942*K941</f>
        <v/>
      </c>
      <c r="L942">
        <f>$C942*L941</f>
        <v/>
      </c>
      <c r="M942">
        <f>$C942*M941</f>
        <v/>
      </c>
      <c r="N942">
        <f>$C942*N941</f>
        <v/>
      </c>
      <c r="O942">
        <f>$C942*O941</f>
        <v/>
      </c>
      <c r="P942">
        <f>$C942*P941</f>
        <v/>
      </c>
      <c r="Q942">
        <f>$C942*Q941</f>
        <v/>
      </c>
      <c r="R942">
        <f>$C942*R941</f>
        <v/>
      </c>
      <c r="S942">
        <f>$C942*S941</f>
        <v/>
      </c>
      <c r="T942">
        <f>$C942*T941</f>
        <v/>
      </c>
      <c r="U942">
        <f>$C942*U941</f>
        <v/>
      </c>
      <c r="V942">
        <f>$C942*V941</f>
        <v/>
      </c>
      <c r="W942">
        <f>$C942*W941</f>
        <v/>
      </c>
      <c r="X942">
        <f>$C942*X941</f>
        <v/>
      </c>
      <c r="Y942">
        <f>$C942*Y941</f>
        <v/>
      </c>
      <c r="Z942">
        <f>$C942*Z941</f>
        <v/>
      </c>
      <c r="AA942">
        <f>$C942*AA941</f>
        <v/>
      </c>
      <c r="AB942">
        <f>$C942*AB941</f>
        <v/>
      </c>
      <c r="AC942">
        <f>$C942*AC941</f>
        <v/>
      </c>
      <c r="AD942">
        <f>$C942*AD941</f>
        <v/>
      </c>
      <c r="AE942">
        <f>$C942*AE941</f>
        <v/>
      </c>
      <c r="AF942">
        <f>$C942*AF941</f>
        <v/>
      </c>
      <c r="AG942">
        <f>$C942*AG941</f>
        <v/>
      </c>
      <c r="AH942">
        <f>$C942*AH941</f>
        <v/>
      </c>
      <c r="AI942">
        <f>$C942*AI941</f>
        <v/>
      </c>
      <c r="AJ942">
        <f>$C942*AJ941</f>
        <v/>
      </c>
      <c r="AK942">
        <f>$C942*AK941</f>
        <v/>
      </c>
      <c r="AL942">
        <f>$C942*AL941</f>
        <v/>
      </c>
      <c r="AM942">
        <f>$C942*AM941</f>
        <v/>
      </c>
      <c r="AN942">
        <f>$C942*AN941</f>
        <v/>
      </c>
      <c r="AO942">
        <f>$C942*AO941</f>
        <v/>
      </c>
      <c r="AP942">
        <f>$C942*AP941</f>
        <v/>
      </c>
      <c r="AQ942">
        <f>$C942*AQ941</f>
        <v/>
      </c>
      <c r="AR942">
        <f>$C942*AR941</f>
        <v/>
      </c>
      <c r="AS942">
        <f>$C942*AS941</f>
        <v/>
      </c>
      <c r="AT942">
        <f>$C942*AT941</f>
        <v/>
      </c>
      <c r="AU942">
        <f>$C942*AU941</f>
        <v/>
      </c>
      <c r="AV942">
        <f>$C942*AV941</f>
        <v/>
      </c>
      <c r="AW942">
        <f>$C942*AW941</f>
        <v/>
      </c>
      <c r="AX942">
        <f>$C942*AX941</f>
        <v/>
      </c>
      <c r="AY942">
        <f>$C942*AY941</f>
        <v/>
      </c>
      <c r="AZ942">
        <f>$C942*AZ941</f>
        <v/>
      </c>
      <c r="BA942">
        <f>$C942*BA941</f>
        <v/>
      </c>
      <c r="BB942">
        <f>$C942*BB941</f>
        <v/>
      </c>
      <c r="BC942">
        <f>$C942*BC941</f>
        <v/>
      </c>
      <c r="BD942">
        <f>$C942*BD941</f>
        <v/>
      </c>
      <c r="BE942">
        <f>$C942*BE941</f>
        <v/>
      </c>
      <c r="BF942">
        <f>$C942*BF941</f>
        <v/>
      </c>
      <c r="BG942">
        <f>$C942*BG941</f>
        <v/>
      </c>
      <c r="BH942">
        <f>$C942*BH941</f>
        <v/>
      </c>
      <c r="BI942">
        <f>$C942*BI941</f>
        <v/>
      </c>
      <c r="BJ942">
        <f>$C942*BJ941</f>
        <v/>
      </c>
      <c r="BK942">
        <f>$C942*BK941</f>
        <v/>
      </c>
      <c r="BL942">
        <f>$C942*BL941</f>
        <v/>
      </c>
      <c r="BM942">
        <f>$C942*BM941</f>
        <v/>
      </c>
      <c r="BN942">
        <f>$C942*BN941</f>
        <v/>
      </c>
      <c r="BO942">
        <f>$C942*BO941</f>
        <v/>
      </c>
      <c r="BP942">
        <f>$C942*BP941</f>
        <v/>
      </c>
      <c r="BQ942">
        <f>$C942*BQ941</f>
        <v/>
      </c>
      <c r="BR942">
        <f>$C942*BR941</f>
        <v/>
      </c>
      <c r="BS942">
        <f>$C942*BS941</f>
        <v/>
      </c>
      <c r="BT942">
        <f>$C942*BT941</f>
        <v/>
      </c>
      <c r="BU942">
        <f>$C942*BU941</f>
        <v/>
      </c>
      <c r="BV942">
        <f>$C942*BV941</f>
        <v/>
      </c>
      <c r="BW942">
        <f>$C942*BW941</f>
        <v/>
      </c>
      <c r="BX942">
        <f>$C942*BX941</f>
        <v/>
      </c>
      <c r="BY942">
        <f>$C942*BY941</f>
        <v/>
      </c>
      <c r="BZ942">
        <f>$C942*BZ941</f>
        <v/>
      </c>
      <c r="CA942">
        <f>$C942*CA941</f>
        <v/>
      </c>
      <c r="CB942">
        <f>$C942*CB941</f>
        <v/>
      </c>
      <c r="CC942">
        <f>$C942*CC941</f>
        <v/>
      </c>
      <c r="CD942">
        <f>$C942*CD941</f>
        <v/>
      </c>
      <c r="CE942">
        <f>$C942*CE941</f>
        <v/>
      </c>
      <c r="CF942">
        <f>$C942*CF941</f>
        <v/>
      </c>
      <c r="CG942">
        <f>$C942*CG941</f>
        <v/>
      </c>
      <c r="CH942">
        <f>$C942*CH941</f>
        <v/>
      </c>
      <c r="CI942">
        <f>$C942*CI941</f>
        <v/>
      </c>
      <c r="CJ942">
        <f>$C942*CJ941</f>
        <v/>
      </c>
      <c r="CK942">
        <f>$C942*CK941</f>
        <v/>
      </c>
      <c r="CL942">
        <f>$C942*CL941</f>
        <v/>
      </c>
      <c r="CM942">
        <f>$C942*CM941</f>
        <v/>
      </c>
      <c r="CN942">
        <f>$C942*CN941</f>
        <v/>
      </c>
      <c r="CO942">
        <f>$C942*CO941</f>
        <v/>
      </c>
      <c r="CP942">
        <f>$C942*CP941</f>
        <v/>
      </c>
      <c r="CQ942">
        <f>$C942*CQ941</f>
        <v/>
      </c>
      <c r="CR942">
        <f>$C942*CR941</f>
        <v/>
      </c>
      <c r="CS942">
        <f>$C942*CS941</f>
        <v/>
      </c>
      <c r="CT942">
        <f>$C942*CT941</f>
        <v/>
      </c>
      <c r="CU942">
        <f>$C942*CU941</f>
        <v/>
      </c>
      <c r="CV942">
        <f>$C942*CV941</f>
        <v/>
      </c>
      <c r="CW942">
        <f>$C942*CW941</f>
        <v/>
      </c>
      <c r="CX942">
        <f>$C942*CX941</f>
        <v/>
      </c>
      <c r="CY942">
        <f>$C942*CY941</f>
        <v/>
      </c>
      <c r="CZ942">
        <f>$C942*CZ941</f>
        <v/>
      </c>
      <c r="DA942">
        <f>$C942*DA941</f>
        <v/>
      </c>
      <c r="DB942">
        <f>$C942*DB941</f>
        <v/>
      </c>
      <c r="DC942">
        <f>$C942*DC941</f>
        <v/>
      </c>
    </row>
    <row r="943">
      <c r="B943" t="inlineStr">
        <is>
          <t>TVS-267</t>
        </is>
      </c>
      <c r="C943" t="inlineStr">
        <is>
          <t>No. of batches</t>
        </is>
      </c>
      <c r="D943">
        <f>IFERROR(INDEX(PP_Grid[#Data],$DD943,2),0)</f>
        <v/>
      </c>
      <c r="E943">
        <f>IFERROR(INDEX(PP_Grid[#Data],$DD943,3),0)</f>
        <v/>
      </c>
      <c r="F943">
        <f>IFERROR(INDEX(PP_Grid[#Data],$DD943,4),0)</f>
        <v/>
      </c>
      <c r="G943">
        <f>IFERROR(INDEX(PP_Grid[#Data],$DD943,5),0)</f>
        <v/>
      </c>
      <c r="H943">
        <f>IFERROR(INDEX(PP_Grid[#Data],$DD943,6),0)</f>
        <v/>
      </c>
      <c r="I943">
        <f>IFERROR(INDEX(PP_Grid[#Data],$DD943,7),0)</f>
        <v/>
      </c>
      <c r="J943">
        <f>IFERROR(INDEX(PP_Grid[#Data],$DD943,8),0)</f>
        <v/>
      </c>
      <c r="K943">
        <f>IFERROR(INDEX(PP_Grid[#Data],$DD943,9),0)</f>
        <v/>
      </c>
      <c r="L943">
        <f>IFERROR(INDEX(PP_Grid[#Data],$DD943,10),0)</f>
        <v/>
      </c>
      <c r="M943">
        <f>IFERROR(INDEX(PP_Grid[#Data],$DD943,11),0)</f>
        <v/>
      </c>
      <c r="N943">
        <f>IFERROR(INDEX(PP_Grid[#Data],$DD943,12),0)</f>
        <v/>
      </c>
      <c r="O943">
        <f>IFERROR(INDEX(PP_Grid[#Data],$DD943,13),0)</f>
        <v/>
      </c>
      <c r="P943">
        <f>IFERROR(INDEX(PP_Grid[#Data],$DD943,14),0)</f>
        <v/>
      </c>
      <c r="Q943">
        <f>IFERROR(INDEX(PP_Grid[#Data],$DD943,15),0)</f>
        <v/>
      </c>
      <c r="R943">
        <f>IFERROR(INDEX(PP_Grid[#Data],$DD943,16),0)</f>
        <v/>
      </c>
      <c r="S943">
        <f>IFERROR(INDEX(PP_Grid[#Data],$DD943,17),0)</f>
        <v/>
      </c>
      <c r="T943">
        <f>IFERROR(INDEX(PP_Grid[#Data],$DD943,18),0)</f>
        <v/>
      </c>
      <c r="U943">
        <f>IFERROR(INDEX(PP_Grid[#Data],$DD943,19),0)</f>
        <v/>
      </c>
      <c r="V943">
        <f>IFERROR(INDEX(PP_Grid[#Data],$DD943,20),0)</f>
        <v/>
      </c>
      <c r="W943">
        <f>IFERROR(INDEX(PP_Grid[#Data],$DD943,21),0)</f>
        <v/>
      </c>
      <c r="X943">
        <f>IFERROR(INDEX(PP_Grid[#Data],$DD943,22),0)</f>
        <v/>
      </c>
      <c r="Y943">
        <f>IFERROR(INDEX(PP_Grid[#Data],$DD943,23),0)</f>
        <v/>
      </c>
      <c r="Z943">
        <f>IFERROR(INDEX(PP_Grid[#Data],$DD943,24),0)</f>
        <v/>
      </c>
      <c r="AA943">
        <f>IFERROR(INDEX(PP_Grid[#Data],$DD943,25),0)</f>
        <v/>
      </c>
      <c r="AB943">
        <f>IFERROR(INDEX(PP_Grid[#Data],$DD943,26),0)</f>
        <v/>
      </c>
      <c r="AC943">
        <f>IFERROR(INDEX(PP_Grid[#Data],$DD943,27),0)</f>
        <v/>
      </c>
      <c r="AD943">
        <f>IFERROR(INDEX(PP_Grid[#Data],$DD943,28),0)</f>
        <v/>
      </c>
      <c r="AE943">
        <f>IFERROR(INDEX(PP_Grid[#Data],$DD943,29),0)</f>
        <v/>
      </c>
      <c r="AF943">
        <f>IFERROR(INDEX(PP_Grid[#Data],$DD943,30),0)</f>
        <v/>
      </c>
      <c r="AG943">
        <f>IFERROR(INDEX(PP_Grid[#Data],$DD943,31),0)</f>
        <v/>
      </c>
      <c r="AH943">
        <f>IFERROR(INDEX(PP_Grid[#Data],$DD943,32),0)</f>
        <v/>
      </c>
      <c r="AI943">
        <f>IFERROR(INDEX(PP_Grid[#Data],$DD943,33),0)</f>
        <v/>
      </c>
      <c r="AJ943">
        <f>IFERROR(INDEX(PP_Grid[#Data],$DD943,34),0)</f>
        <v/>
      </c>
      <c r="AK943">
        <f>IFERROR(INDEX(PP_Grid[#Data],$DD943,35),0)</f>
        <v/>
      </c>
      <c r="AL943">
        <f>IFERROR(INDEX(PP_Grid[#Data],$DD943,36),0)</f>
        <v/>
      </c>
      <c r="AM943">
        <f>IFERROR(INDEX(PP_Grid[#Data],$DD943,37),0)</f>
        <v/>
      </c>
      <c r="AN943">
        <f>IFERROR(INDEX(PP_Grid[#Data],$DD943,38),0)</f>
        <v/>
      </c>
      <c r="AO943">
        <f>IFERROR(INDEX(PP_Grid[#Data],$DD943,39),0)</f>
        <v/>
      </c>
      <c r="AP943">
        <f>IFERROR(INDEX(PP_Grid[#Data],$DD943,40),0)</f>
        <v/>
      </c>
      <c r="AQ943">
        <f>IFERROR(INDEX(PP_Grid[#Data],$DD943,41),0)</f>
        <v/>
      </c>
      <c r="AR943">
        <f>IFERROR(INDEX(PP_Grid[#Data],$DD943,42),0)</f>
        <v/>
      </c>
      <c r="AS943">
        <f>IFERROR(INDEX(PP_Grid[#Data],$DD943,43),0)</f>
        <v/>
      </c>
      <c r="AT943">
        <f>IFERROR(INDEX(PP_Grid[#Data],$DD943,44),0)</f>
        <v/>
      </c>
      <c r="AU943">
        <f>IFERROR(INDEX(PP_Grid[#Data],$DD943,45),0)</f>
        <v/>
      </c>
      <c r="AV943">
        <f>IFERROR(INDEX(PP_Grid[#Data],$DD943,46),0)</f>
        <v/>
      </c>
      <c r="AW943">
        <f>IFERROR(INDEX(PP_Grid[#Data],$DD943,47),0)</f>
        <v/>
      </c>
      <c r="AX943">
        <f>IFERROR(INDEX(PP_Grid[#Data],$DD943,48),0)</f>
        <v/>
      </c>
      <c r="AY943">
        <f>IFERROR(INDEX(PP_Grid[#Data],$DD943,49),0)</f>
        <v/>
      </c>
      <c r="AZ943">
        <f>IFERROR(INDEX(PP_Grid[#Data],$DD943,50),0)</f>
        <v/>
      </c>
      <c r="BA943">
        <f>IFERROR(INDEX(PP_Grid[#Data],$DD943,51),0)</f>
        <v/>
      </c>
      <c r="BB943">
        <f>IFERROR(INDEX(PP_Grid[#Data],$DD943,52),0)</f>
        <v/>
      </c>
      <c r="BC943">
        <f>IFERROR(INDEX(PP_Grid[#Data],$DD943,53),0)</f>
        <v/>
      </c>
      <c r="BD943">
        <f>IFERROR(INDEX(PP_Grid[#Data],$DD943,54),0)</f>
        <v/>
      </c>
      <c r="BE943">
        <f>IFERROR(INDEX(PP_Grid[#Data],$DD943,55),0)</f>
        <v/>
      </c>
      <c r="BF943">
        <f>IFERROR(INDEX(PP_Grid[#Data],$DD943,56),0)</f>
        <v/>
      </c>
      <c r="BG943">
        <f>IFERROR(INDEX(PP_Grid[#Data],$DD943,57),0)</f>
        <v/>
      </c>
      <c r="BH943">
        <f>IFERROR(INDEX(PP_Grid[#Data],$DD943,58),0)</f>
        <v/>
      </c>
      <c r="BI943">
        <f>IFERROR(INDEX(PP_Grid[#Data],$DD943,59),0)</f>
        <v/>
      </c>
      <c r="BJ943">
        <f>IFERROR(INDEX(PP_Grid[#Data],$DD943,60),0)</f>
        <v/>
      </c>
      <c r="BK943">
        <f>IFERROR(INDEX(PP_Grid[#Data],$DD943,61),0)</f>
        <v/>
      </c>
      <c r="BL943">
        <f>IFERROR(INDEX(PP_Grid[#Data],$DD943,62),0)</f>
        <v/>
      </c>
      <c r="BM943">
        <f>IFERROR(INDEX(PP_Grid[#Data],$DD943,63),0)</f>
        <v/>
      </c>
      <c r="BN943">
        <f>IFERROR(INDEX(PP_Grid[#Data],$DD943,64),0)</f>
        <v/>
      </c>
      <c r="BO943">
        <f>IFERROR(INDEX(PP_Grid[#Data],$DD943,65),0)</f>
        <v/>
      </c>
      <c r="BP943">
        <f>IFERROR(INDEX(PP_Grid[#Data],$DD943,66),0)</f>
        <v/>
      </c>
      <c r="BQ943">
        <f>IFERROR(INDEX(PP_Grid[#Data],$DD943,67),0)</f>
        <v/>
      </c>
      <c r="BR943">
        <f>IFERROR(INDEX(PP_Grid[#Data],$DD943,68),0)</f>
        <v/>
      </c>
      <c r="BS943">
        <f>IFERROR(INDEX(PP_Grid[#Data],$DD943,69),0)</f>
        <v/>
      </c>
      <c r="BT943">
        <f>IFERROR(INDEX(PP_Grid[#Data],$DD943,70),0)</f>
        <v/>
      </c>
      <c r="BU943">
        <f>IFERROR(INDEX(PP_Grid[#Data],$DD943,71),0)</f>
        <v/>
      </c>
      <c r="BV943">
        <f>IFERROR(INDEX(PP_Grid[#Data],$DD943,72),0)</f>
        <v/>
      </c>
      <c r="BW943">
        <f>IFERROR(INDEX(PP_Grid[#Data],$DD943,73),0)</f>
        <v/>
      </c>
      <c r="BX943">
        <f>IFERROR(INDEX(PP_Grid[#Data],$DD943,74),0)</f>
        <v/>
      </c>
      <c r="BY943">
        <f>IFERROR(INDEX(PP_Grid[#Data],$DD943,75),0)</f>
        <v/>
      </c>
      <c r="BZ943">
        <f>IFERROR(INDEX(PP_Grid[#Data],$DD943,76),0)</f>
        <v/>
      </c>
      <c r="CA943">
        <f>IFERROR(INDEX(PP_Grid[#Data],$DD943,77),0)</f>
        <v/>
      </c>
      <c r="CB943">
        <f>IFERROR(INDEX(PP_Grid[#Data],$DD943,78),0)</f>
        <v/>
      </c>
      <c r="CC943">
        <f>IFERROR(INDEX(PP_Grid[#Data],$DD943,79),0)</f>
        <v/>
      </c>
      <c r="CD943">
        <f>IFERROR(INDEX(PP_Grid[#Data],$DD943,80),0)</f>
        <v/>
      </c>
      <c r="CE943">
        <f>IFERROR(INDEX(PP_Grid[#Data],$DD943,81),0)</f>
        <v/>
      </c>
      <c r="CF943">
        <f>IFERROR(INDEX(PP_Grid[#Data],$DD943,82),0)</f>
        <v/>
      </c>
      <c r="CG943">
        <f>IFERROR(INDEX(PP_Grid[#Data],$DD943,83),0)</f>
        <v/>
      </c>
      <c r="CH943">
        <f>IFERROR(INDEX(PP_Grid[#Data],$DD943,84),0)</f>
        <v/>
      </c>
      <c r="CI943">
        <f>IFERROR(INDEX(PP_Grid[#Data],$DD943,85),0)</f>
        <v/>
      </c>
      <c r="CJ943">
        <f>IFERROR(INDEX(PP_Grid[#Data],$DD943,86),0)</f>
        <v/>
      </c>
      <c r="CK943">
        <f>IFERROR(INDEX(PP_Grid[#Data],$DD943,87),0)</f>
        <v/>
      </c>
      <c r="CL943">
        <f>IFERROR(INDEX(PP_Grid[#Data],$DD943,88),0)</f>
        <v/>
      </c>
      <c r="CM943">
        <f>IFERROR(INDEX(PP_Grid[#Data],$DD943,89),0)</f>
        <v/>
      </c>
      <c r="CN943">
        <f>IFERROR(INDEX(PP_Grid[#Data],$DD943,90),0)</f>
        <v/>
      </c>
      <c r="CO943">
        <f>IFERROR(INDEX(PP_Grid[#Data],$DD943,91),0)</f>
        <v/>
      </c>
      <c r="CP943">
        <f>IFERROR(INDEX(PP_Grid[#Data],$DD943,92),0)</f>
        <v/>
      </c>
      <c r="CQ943">
        <f>IFERROR(INDEX(PP_Grid[#Data],$DD943,93),0)</f>
        <v/>
      </c>
      <c r="CR943">
        <f>IFERROR(INDEX(PP_Grid[#Data],$DD943,94),0)</f>
        <v/>
      </c>
      <c r="CS943">
        <f>IFERROR(INDEX(PP_Grid[#Data],$DD943,95),0)</f>
        <v/>
      </c>
      <c r="CT943">
        <f>IFERROR(INDEX(PP_Grid[#Data],$DD943,96),0)</f>
        <v/>
      </c>
      <c r="CU943">
        <f>IFERROR(INDEX(PP_Grid[#Data],$DD943,97),0)</f>
        <v/>
      </c>
      <c r="CV943">
        <f>IFERROR(INDEX(PP_Grid[#Data],$DD943,98),0)</f>
        <v/>
      </c>
      <c r="CW943">
        <f>IFERROR(INDEX(PP_Grid[#Data],$DD943,99),0)</f>
        <v/>
      </c>
      <c r="CX943">
        <f>IFERROR(INDEX(PP_Grid[#Data],$DD943,100),0)</f>
        <v/>
      </c>
      <c r="CY943">
        <f>IFERROR(INDEX(PP_Grid[#Data],$DD943,101),0)</f>
        <v/>
      </c>
      <c r="CZ943">
        <f>IFERROR(INDEX(PP_Grid[#Data],$DD943,102),0)</f>
        <v/>
      </c>
      <c r="DA943">
        <f>IFERROR(INDEX(PP_Grid[#Data],$DD943,103),0)</f>
        <v/>
      </c>
      <c r="DB943">
        <f>IFERROR(INDEX(PP_Grid[#Data],$DD943,104),0)</f>
        <v/>
      </c>
      <c r="DC943">
        <f>IFERROR(INDEX(PP_Grid[#Data],$DD943,105),0)</f>
        <v/>
      </c>
      <c r="DD943" s="7">
        <f>IFERROR(MATCH($B943,PP_Grid[Intermediate],0),99999)</f>
        <v/>
      </c>
    </row>
    <row r="944">
      <c r="B944" t="inlineStr">
        <is>
          <t>使用量(kg)</t>
        </is>
      </c>
      <c r="C944">
        <f>SUMIFS(M_BOM[RM_Qty_Per_Batch],M_BOM[Intermediate],$B943,M_BOM[Part Name],$A940)</f>
        <v/>
      </c>
      <c r="D944">
        <f>$C944*D943</f>
        <v/>
      </c>
      <c r="E944">
        <f>$C944*E943</f>
        <v/>
      </c>
      <c r="F944">
        <f>$C944*F943</f>
        <v/>
      </c>
      <c r="G944">
        <f>$C944*G943</f>
        <v/>
      </c>
      <c r="H944">
        <f>$C944*H943</f>
        <v/>
      </c>
      <c r="I944">
        <f>$C944*I943</f>
        <v/>
      </c>
      <c r="J944">
        <f>$C944*J943</f>
        <v/>
      </c>
      <c r="K944">
        <f>$C944*K943</f>
        <v/>
      </c>
      <c r="L944">
        <f>$C944*L943</f>
        <v/>
      </c>
      <c r="M944">
        <f>$C944*M943</f>
        <v/>
      </c>
      <c r="N944">
        <f>$C944*N943</f>
        <v/>
      </c>
      <c r="O944">
        <f>$C944*O943</f>
        <v/>
      </c>
      <c r="P944">
        <f>$C944*P943</f>
        <v/>
      </c>
      <c r="Q944">
        <f>$C944*Q943</f>
        <v/>
      </c>
      <c r="R944">
        <f>$C944*R943</f>
        <v/>
      </c>
      <c r="S944">
        <f>$C944*S943</f>
        <v/>
      </c>
      <c r="T944">
        <f>$C944*T943</f>
        <v/>
      </c>
      <c r="U944">
        <f>$C944*U943</f>
        <v/>
      </c>
      <c r="V944">
        <f>$C944*V943</f>
        <v/>
      </c>
      <c r="W944">
        <f>$C944*W943</f>
        <v/>
      </c>
      <c r="X944">
        <f>$C944*X943</f>
        <v/>
      </c>
      <c r="Y944">
        <f>$C944*Y943</f>
        <v/>
      </c>
      <c r="Z944">
        <f>$C944*Z943</f>
        <v/>
      </c>
      <c r="AA944">
        <f>$C944*AA943</f>
        <v/>
      </c>
      <c r="AB944">
        <f>$C944*AB943</f>
        <v/>
      </c>
      <c r="AC944">
        <f>$C944*AC943</f>
        <v/>
      </c>
      <c r="AD944">
        <f>$C944*AD943</f>
        <v/>
      </c>
      <c r="AE944">
        <f>$C944*AE943</f>
        <v/>
      </c>
      <c r="AF944">
        <f>$C944*AF943</f>
        <v/>
      </c>
      <c r="AG944">
        <f>$C944*AG943</f>
        <v/>
      </c>
      <c r="AH944">
        <f>$C944*AH943</f>
        <v/>
      </c>
      <c r="AI944">
        <f>$C944*AI943</f>
        <v/>
      </c>
      <c r="AJ944">
        <f>$C944*AJ943</f>
        <v/>
      </c>
      <c r="AK944">
        <f>$C944*AK943</f>
        <v/>
      </c>
      <c r="AL944">
        <f>$C944*AL943</f>
        <v/>
      </c>
      <c r="AM944">
        <f>$C944*AM943</f>
        <v/>
      </c>
      <c r="AN944">
        <f>$C944*AN943</f>
        <v/>
      </c>
      <c r="AO944">
        <f>$C944*AO943</f>
        <v/>
      </c>
      <c r="AP944">
        <f>$C944*AP943</f>
        <v/>
      </c>
      <c r="AQ944">
        <f>$C944*AQ943</f>
        <v/>
      </c>
      <c r="AR944">
        <f>$C944*AR943</f>
        <v/>
      </c>
      <c r="AS944">
        <f>$C944*AS943</f>
        <v/>
      </c>
      <c r="AT944">
        <f>$C944*AT943</f>
        <v/>
      </c>
      <c r="AU944">
        <f>$C944*AU943</f>
        <v/>
      </c>
      <c r="AV944">
        <f>$C944*AV943</f>
        <v/>
      </c>
      <c r="AW944">
        <f>$C944*AW943</f>
        <v/>
      </c>
      <c r="AX944">
        <f>$C944*AX943</f>
        <v/>
      </c>
      <c r="AY944">
        <f>$C944*AY943</f>
        <v/>
      </c>
      <c r="AZ944">
        <f>$C944*AZ943</f>
        <v/>
      </c>
      <c r="BA944">
        <f>$C944*BA943</f>
        <v/>
      </c>
      <c r="BB944">
        <f>$C944*BB943</f>
        <v/>
      </c>
      <c r="BC944">
        <f>$C944*BC943</f>
        <v/>
      </c>
      <c r="BD944">
        <f>$C944*BD943</f>
        <v/>
      </c>
      <c r="BE944">
        <f>$C944*BE943</f>
        <v/>
      </c>
      <c r="BF944">
        <f>$C944*BF943</f>
        <v/>
      </c>
      <c r="BG944">
        <f>$C944*BG943</f>
        <v/>
      </c>
      <c r="BH944">
        <f>$C944*BH943</f>
        <v/>
      </c>
      <c r="BI944">
        <f>$C944*BI943</f>
        <v/>
      </c>
      <c r="BJ944">
        <f>$C944*BJ943</f>
        <v/>
      </c>
      <c r="BK944">
        <f>$C944*BK943</f>
        <v/>
      </c>
      <c r="BL944">
        <f>$C944*BL943</f>
        <v/>
      </c>
      <c r="BM944">
        <f>$C944*BM943</f>
        <v/>
      </c>
      <c r="BN944">
        <f>$C944*BN943</f>
        <v/>
      </c>
      <c r="BO944">
        <f>$C944*BO943</f>
        <v/>
      </c>
      <c r="BP944">
        <f>$C944*BP943</f>
        <v/>
      </c>
      <c r="BQ944">
        <f>$C944*BQ943</f>
        <v/>
      </c>
      <c r="BR944">
        <f>$C944*BR943</f>
        <v/>
      </c>
      <c r="BS944">
        <f>$C944*BS943</f>
        <v/>
      </c>
      <c r="BT944">
        <f>$C944*BT943</f>
        <v/>
      </c>
      <c r="BU944">
        <f>$C944*BU943</f>
        <v/>
      </c>
      <c r="BV944">
        <f>$C944*BV943</f>
        <v/>
      </c>
      <c r="BW944">
        <f>$C944*BW943</f>
        <v/>
      </c>
      <c r="BX944">
        <f>$C944*BX943</f>
        <v/>
      </c>
      <c r="BY944">
        <f>$C944*BY943</f>
        <v/>
      </c>
      <c r="BZ944">
        <f>$C944*BZ943</f>
        <v/>
      </c>
      <c r="CA944">
        <f>$C944*CA943</f>
        <v/>
      </c>
      <c r="CB944">
        <f>$C944*CB943</f>
        <v/>
      </c>
      <c r="CC944">
        <f>$C944*CC943</f>
        <v/>
      </c>
      <c r="CD944">
        <f>$C944*CD943</f>
        <v/>
      </c>
      <c r="CE944">
        <f>$C944*CE943</f>
        <v/>
      </c>
      <c r="CF944">
        <f>$C944*CF943</f>
        <v/>
      </c>
      <c r="CG944">
        <f>$C944*CG943</f>
        <v/>
      </c>
      <c r="CH944">
        <f>$C944*CH943</f>
        <v/>
      </c>
      <c r="CI944">
        <f>$C944*CI943</f>
        <v/>
      </c>
      <c r="CJ944">
        <f>$C944*CJ943</f>
        <v/>
      </c>
      <c r="CK944">
        <f>$C944*CK943</f>
        <v/>
      </c>
      <c r="CL944">
        <f>$C944*CL943</f>
        <v/>
      </c>
      <c r="CM944">
        <f>$C944*CM943</f>
        <v/>
      </c>
      <c r="CN944">
        <f>$C944*CN943</f>
        <v/>
      </c>
      <c r="CO944">
        <f>$C944*CO943</f>
        <v/>
      </c>
      <c r="CP944">
        <f>$C944*CP943</f>
        <v/>
      </c>
      <c r="CQ944">
        <f>$C944*CQ943</f>
        <v/>
      </c>
      <c r="CR944">
        <f>$C944*CR943</f>
        <v/>
      </c>
      <c r="CS944">
        <f>$C944*CS943</f>
        <v/>
      </c>
      <c r="CT944">
        <f>$C944*CT943</f>
        <v/>
      </c>
      <c r="CU944">
        <f>$C944*CU943</f>
        <v/>
      </c>
      <c r="CV944">
        <f>$C944*CV943</f>
        <v/>
      </c>
      <c r="CW944">
        <f>$C944*CW943</f>
        <v/>
      </c>
      <c r="CX944">
        <f>$C944*CX943</f>
        <v/>
      </c>
      <c r="CY944">
        <f>$C944*CY943</f>
        <v/>
      </c>
      <c r="CZ944">
        <f>$C944*CZ943</f>
        <v/>
      </c>
      <c r="DA944">
        <f>$C944*DA943</f>
        <v/>
      </c>
      <c r="DB944">
        <f>$C944*DB943</f>
        <v/>
      </c>
      <c r="DC944">
        <f>$C944*DC943</f>
        <v/>
      </c>
    </row>
    <row r="945">
      <c r="B945" t="inlineStr">
        <is>
          <t>TVS-500</t>
        </is>
      </c>
      <c r="C945" t="inlineStr">
        <is>
          <t>No. of batches</t>
        </is>
      </c>
      <c r="D945">
        <f>IFERROR(INDEX(PP_Grid[#Data],$DD945,2),0)</f>
        <v/>
      </c>
      <c r="E945">
        <f>IFERROR(INDEX(PP_Grid[#Data],$DD945,3),0)</f>
        <v/>
      </c>
      <c r="F945">
        <f>IFERROR(INDEX(PP_Grid[#Data],$DD945,4),0)</f>
        <v/>
      </c>
      <c r="G945">
        <f>IFERROR(INDEX(PP_Grid[#Data],$DD945,5),0)</f>
        <v/>
      </c>
      <c r="H945">
        <f>IFERROR(INDEX(PP_Grid[#Data],$DD945,6),0)</f>
        <v/>
      </c>
      <c r="I945">
        <f>IFERROR(INDEX(PP_Grid[#Data],$DD945,7),0)</f>
        <v/>
      </c>
      <c r="J945">
        <f>IFERROR(INDEX(PP_Grid[#Data],$DD945,8),0)</f>
        <v/>
      </c>
      <c r="K945">
        <f>IFERROR(INDEX(PP_Grid[#Data],$DD945,9),0)</f>
        <v/>
      </c>
      <c r="L945">
        <f>IFERROR(INDEX(PP_Grid[#Data],$DD945,10),0)</f>
        <v/>
      </c>
      <c r="M945">
        <f>IFERROR(INDEX(PP_Grid[#Data],$DD945,11),0)</f>
        <v/>
      </c>
      <c r="N945">
        <f>IFERROR(INDEX(PP_Grid[#Data],$DD945,12),0)</f>
        <v/>
      </c>
      <c r="O945">
        <f>IFERROR(INDEX(PP_Grid[#Data],$DD945,13),0)</f>
        <v/>
      </c>
      <c r="P945">
        <f>IFERROR(INDEX(PP_Grid[#Data],$DD945,14),0)</f>
        <v/>
      </c>
      <c r="Q945">
        <f>IFERROR(INDEX(PP_Grid[#Data],$DD945,15),0)</f>
        <v/>
      </c>
      <c r="R945">
        <f>IFERROR(INDEX(PP_Grid[#Data],$DD945,16),0)</f>
        <v/>
      </c>
      <c r="S945">
        <f>IFERROR(INDEX(PP_Grid[#Data],$DD945,17),0)</f>
        <v/>
      </c>
      <c r="T945">
        <f>IFERROR(INDEX(PP_Grid[#Data],$DD945,18),0)</f>
        <v/>
      </c>
      <c r="U945">
        <f>IFERROR(INDEX(PP_Grid[#Data],$DD945,19),0)</f>
        <v/>
      </c>
      <c r="V945">
        <f>IFERROR(INDEX(PP_Grid[#Data],$DD945,20),0)</f>
        <v/>
      </c>
      <c r="W945">
        <f>IFERROR(INDEX(PP_Grid[#Data],$DD945,21),0)</f>
        <v/>
      </c>
      <c r="X945">
        <f>IFERROR(INDEX(PP_Grid[#Data],$DD945,22),0)</f>
        <v/>
      </c>
      <c r="Y945">
        <f>IFERROR(INDEX(PP_Grid[#Data],$DD945,23),0)</f>
        <v/>
      </c>
      <c r="Z945">
        <f>IFERROR(INDEX(PP_Grid[#Data],$DD945,24),0)</f>
        <v/>
      </c>
      <c r="AA945">
        <f>IFERROR(INDEX(PP_Grid[#Data],$DD945,25),0)</f>
        <v/>
      </c>
      <c r="AB945">
        <f>IFERROR(INDEX(PP_Grid[#Data],$DD945,26),0)</f>
        <v/>
      </c>
      <c r="AC945">
        <f>IFERROR(INDEX(PP_Grid[#Data],$DD945,27),0)</f>
        <v/>
      </c>
      <c r="AD945">
        <f>IFERROR(INDEX(PP_Grid[#Data],$DD945,28),0)</f>
        <v/>
      </c>
      <c r="AE945">
        <f>IFERROR(INDEX(PP_Grid[#Data],$DD945,29),0)</f>
        <v/>
      </c>
      <c r="AF945">
        <f>IFERROR(INDEX(PP_Grid[#Data],$DD945,30),0)</f>
        <v/>
      </c>
      <c r="AG945">
        <f>IFERROR(INDEX(PP_Grid[#Data],$DD945,31),0)</f>
        <v/>
      </c>
      <c r="AH945">
        <f>IFERROR(INDEX(PP_Grid[#Data],$DD945,32),0)</f>
        <v/>
      </c>
      <c r="AI945">
        <f>IFERROR(INDEX(PP_Grid[#Data],$DD945,33),0)</f>
        <v/>
      </c>
      <c r="AJ945">
        <f>IFERROR(INDEX(PP_Grid[#Data],$DD945,34),0)</f>
        <v/>
      </c>
      <c r="AK945">
        <f>IFERROR(INDEX(PP_Grid[#Data],$DD945,35),0)</f>
        <v/>
      </c>
      <c r="AL945">
        <f>IFERROR(INDEX(PP_Grid[#Data],$DD945,36),0)</f>
        <v/>
      </c>
      <c r="AM945">
        <f>IFERROR(INDEX(PP_Grid[#Data],$DD945,37),0)</f>
        <v/>
      </c>
      <c r="AN945">
        <f>IFERROR(INDEX(PP_Grid[#Data],$DD945,38),0)</f>
        <v/>
      </c>
      <c r="AO945">
        <f>IFERROR(INDEX(PP_Grid[#Data],$DD945,39),0)</f>
        <v/>
      </c>
      <c r="AP945">
        <f>IFERROR(INDEX(PP_Grid[#Data],$DD945,40),0)</f>
        <v/>
      </c>
      <c r="AQ945">
        <f>IFERROR(INDEX(PP_Grid[#Data],$DD945,41),0)</f>
        <v/>
      </c>
      <c r="AR945">
        <f>IFERROR(INDEX(PP_Grid[#Data],$DD945,42),0)</f>
        <v/>
      </c>
      <c r="AS945">
        <f>IFERROR(INDEX(PP_Grid[#Data],$DD945,43),0)</f>
        <v/>
      </c>
      <c r="AT945">
        <f>IFERROR(INDEX(PP_Grid[#Data],$DD945,44),0)</f>
        <v/>
      </c>
      <c r="AU945">
        <f>IFERROR(INDEX(PP_Grid[#Data],$DD945,45),0)</f>
        <v/>
      </c>
      <c r="AV945">
        <f>IFERROR(INDEX(PP_Grid[#Data],$DD945,46),0)</f>
        <v/>
      </c>
      <c r="AW945">
        <f>IFERROR(INDEX(PP_Grid[#Data],$DD945,47),0)</f>
        <v/>
      </c>
      <c r="AX945">
        <f>IFERROR(INDEX(PP_Grid[#Data],$DD945,48),0)</f>
        <v/>
      </c>
      <c r="AY945">
        <f>IFERROR(INDEX(PP_Grid[#Data],$DD945,49),0)</f>
        <v/>
      </c>
      <c r="AZ945">
        <f>IFERROR(INDEX(PP_Grid[#Data],$DD945,50),0)</f>
        <v/>
      </c>
      <c r="BA945">
        <f>IFERROR(INDEX(PP_Grid[#Data],$DD945,51),0)</f>
        <v/>
      </c>
      <c r="BB945">
        <f>IFERROR(INDEX(PP_Grid[#Data],$DD945,52),0)</f>
        <v/>
      </c>
      <c r="BC945">
        <f>IFERROR(INDEX(PP_Grid[#Data],$DD945,53),0)</f>
        <v/>
      </c>
      <c r="BD945">
        <f>IFERROR(INDEX(PP_Grid[#Data],$DD945,54),0)</f>
        <v/>
      </c>
      <c r="BE945">
        <f>IFERROR(INDEX(PP_Grid[#Data],$DD945,55),0)</f>
        <v/>
      </c>
      <c r="BF945">
        <f>IFERROR(INDEX(PP_Grid[#Data],$DD945,56),0)</f>
        <v/>
      </c>
      <c r="BG945">
        <f>IFERROR(INDEX(PP_Grid[#Data],$DD945,57),0)</f>
        <v/>
      </c>
      <c r="BH945">
        <f>IFERROR(INDEX(PP_Grid[#Data],$DD945,58),0)</f>
        <v/>
      </c>
      <c r="BI945">
        <f>IFERROR(INDEX(PP_Grid[#Data],$DD945,59),0)</f>
        <v/>
      </c>
      <c r="BJ945">
        <f>IFERROR(INDEX(PP_Grid[#Data],$DD945,60),0)</f>
        <v/>
      </c>
      <c r="BK945">
        <f>IFERROR(INDEX(PP_Grid[#Data],$DD945,61),0)</f>
        <v/>
      </c>
      <c r="BL945">
        <f>IFERROR(INDEX(PP_Grid[#Data],$DD945,62),0)</f>
        <v/>
      </c>
      <c r="BM945">
        <f>IFERROR(INDEX(PP_Grid[#Data],$DD945,63),0)</f>
        <v/>
      </c>
      <c r="BN945">
        <f>IFERROR(INDEX(PP_Grid[#Data],$DD945,64),0)</f>
        <v/>
      </c>
      <c r="BO945">
        <f>IFERROR(INDEX(PP_Grid[#Data],$DD945,65),0)</f>
        <v/>
      </c>
      <c r="BP945">
        <f>IFERROR(INDEX(PP_Grid[#Data],$DD945,66),0)</f>
        <v/>
      </c>
      <c r="BQ945">
        <f>IFERROR(INDEX(PP_Grid[#Data],$DD945,67),0)</f>
        <v/>
      </c>
      <c r="BR945">
        <f>IFERROR(INDEX(PP_Grid[#Data],$DD945,68),0)</f>
        <v/>
      </c>
      <c r="BS945">
        <f>IFERROR(INDEX(PP_Grid[#Data],$DD945,69),0)</f>
        <v/>
      </c>
      <c r="BT945">
        <f>IFERROR(INDEX(PP_Grid[#Data],$DD945,70),0)</f>
        <v/>
      </c>
      <c r="BU945">
        <f>IFERROR(INDEX(PP_Grid[#Data],$DD945,71),0)</f>
        <v/>
      </c>
      <c r="BV945">
        <f>IFERROR(INDEX(PP_Grid[#Data],$DD945,72),0)</f>
        <v/>
      </c>
      <c r="BW945">
        <f>IFERROR(INDEX(PP_Grid[#Data],$DD945,73),0)</f>
        <v/>
      </c>
      <c r="BX945">
        <f>IFERROR(INDEX(PP_Grid[#Data],$DD945,74),0)</f>
        <v/>
      </c>
      <c r="BY945">
        <f>IFERROR(INDEX(PP_Grid[#Data],$DD945,75),0)</f>
        <v/>
      </c>
      <c r="BZ945">
        <f>IFERROR(INDEX(PP_Grid[#Data],$DD945,76),0)</f>
        <v/>
      </c>
      <c r="CA945">
        <f>IFERROR(INDEX(PP_Grid[#Data],$DD945,77),0)</f>
        <v/>
      </c>
      <c r="CB945">
        <f>IFERROR(INDEX(PP_Grid[#Data],$DD945,78),0)</f>
        <v/>
      </c>
      <c r="CC945">
        <f>IFERROR(INDEX(PP_Grid[#Data],$DD945,79),0)</f>
        <v/>
      </c>
      <c r="CD945">
        <f>IFERROR(INDEX(PP_Grid[#Data],$DD945,80),0)</f>
        <v/>
      </c>
      <c r="CE945">
        <f>IFERROR(INDEX(PP_Grid[#Data],$DD945,81),0)</f>
        <v/>
      </c>
      <c r="CF945">
        <f>IFERROR(INDEX(PP_Grid[#Data],$DD945,82),0)</f>
        <v/>
      </c>
      <c r="CG945">
        <f>IFERROR(INDEX(PP_Grid[#Data],$DD945,83),0)</f>
        <v/>
      </c>
      <c r="CH945">
        <f>IFERROR(INDEX(PP_Grid[#Data],$DD945,84),0)</f>
        <v/>
      </c>
      <c r="CI945">
        <f>IFERROR(INDEX(PP_Grid[#Data],$DD945,85),0)</f>
        <v/>
      </c>
      <c r="CJ945">
        <f>IFERROR(INDEX(PP_Grid[#Data],$DD945,86),0)</f>
        <v/>
      </c>
      <c r="CK945">
        <f>IFERROR(INDEX(PP_Grid[#Data],$DD945,87),0)</f>
        <v/>
      </c>
      <c r="CL945">
        <f>IFERROR(INDEX(PP_Grid[#Data],$DD945,88),0)</f>
        <v/>
      </c>
      <c r="CM945">
        <f>IFERROR(INDEX(PP_Grid[#Data],$DD945,89),0)</f>
        <v/>
      </c>
      <c r="CN945">
        <f>IFERROR(INDEX(PP_Grid[#Data],$DD945,90),0)</f>
        <v/>
      </c>
      <c r="CO945">
        <f>IFERROR(INDEX(PP_Grid[#Data],$DD945,91),0)</f>
        <v/>
      </c>
      <c r="CP945">
        <f>IFERROR(INDEX(PP_Grid[#Data],$DD945,92),0)</f>
        <v/>
      </c>
      <c r="CQ945">
        <f>IFERROR(INDEX(PP_Grid[#Data],$DD945,93),0)</f>
        <v/>
      </c>
      <c r="CR945">
        <f>IFERROR(INDEX(PP_Grid[#Data],$DD945,94),0)</f>
        <v/>
      </c>
      <c r="CS945">
        <f>IFERROR(INDEX(PP_Grid[#Data],$DD945,95),0)</f>
        <v/>
      </c>
      <c r="CT945">
        <f>IFERROR(INDEX(PP_Grid[#Data],$DD945,96),0)</f>
        <v/>
      </c>
      <c r="CU945">
        <f>IFERROR(INDEX(PP_Grid[#Data],$DD945,97),0)</f>
        <v/>
      </c>
      <c r="CV945">
        <f>IFERROR(INDEX(PP_Grid[#Data],$DD945,98),0)</f>
        <v/>
      </c>
      <c r="CW945">
        <f>IFERROR(INDEX(PP_Grid[#Data],$DD945,99),0)</f>
        <v/>
      </c>
      <c r="CX945">
        <f>IFERROR(INDEX(PP_Grid[#Data],$DD945,100),0)</f>
        <v/>
      </c>
      <c r="CY945">
        <f>IFERROR(INDEX(PP_Grid[#Data],$DD945,101),0)</f>
        <v/>
      </c>
      <c r="CZ945">
        <f>IFERROR(INDEX(PP_Grid[#Data],$DD945,102),0)</f>
        <v/>
      </c>
      <c r="DA945">
        <f>IFERROR(INDEX(PP_Grid[#Data],$DD945,103),0)</f>
        <v/>
      </c>
      <c r="DB945">
        <f>IFERROR(INDEX(PP_Grid[#Data],$DD945,104),0)</f>
        <v/>
      </c>
      <c r="DC945">
        <f>IFERROR(INDEX(PP_Grid[#Data],$DD945,105),0)</f>
        <v/>
      </c>
      <c r="DD945" s="7">
        <f>IFERROR(MATCH($B945,PP_Grid[Intermediate],0),99999)</f>
        <v/>
      </c>
    </row>
    <row r="946">
      <c r="B946" t="inlineStr">
        <is>
          <t>使用量(kg)</t>
        </is>
      </c>
      <c r="C946">
        <f>SUMIFS(M_BOM[RM_Qty_Per_Batch],M_BOM[Intermediate],$B945,M_BOM[Part Name],$A940)</f>
        <v/>
      </c>
      <c r="D946">
        <f>$C946*D945</f>
        <v/>
      </c>
      <c r="E946">
        <f>$C946*E945</f>
        <v/>
      </c>
      <c r="F946">
        <f>$C946*F945</f>
        <v/>
      </c>
      <c r="G946">
        <f>$C946*G945</f>
        <v/>
      </c>
      <c r="H946">
        <f>$C946*H945</f>
        <v/>
      </c>
      <c r="I946">
        <f>$C946*I945</f>
        <v/>
      </c>
      <c r="J946">
        <f>$C946*J945</f>
        <v/>
      </c>
      <c r="K946">
        <f>$C946*K945</f>
        <v/>
      </c>
      <c r="L946">
        <f>$C946*L945</f>
        <v/>
      </c>
      <c r="M946">
        <f>$C946*M945</f>
        <v/>
      </c>
      <c r="N946">
        <f>$C946*N945</f>
        <v/>
      </c>
      <c r="O946">
        <f>$C946*O945</f>
        <v/>
      </c>
      <c r="P946">
        <f>$C946*P945</f>
        <v/>
      </c>
      <c r="Q946">
        <f>$C946*Q945</f>
        <v/>
      </c>
      <c r="R946">
        <f>$C946*R945</f>
        <v/>
      </c>
      <c r="S946">
        <f>$C946*S945</f>
        <v/>
      </c>
      <c r="T946">
        <f>$C946*T945</f>
        <v/>
      </c>
      <c r="U946">
        <f>$C946*U945</f>
        <v/>
      </c>
      <c r="V946">
        <f>$C946*V945</f>
        <v/>
      </c>
      <c r="W946">
        <f>$C946*W945</f>
        <v/>
      </c>
      <c r="X946">
        <f>$C946*X945</f>
        <v/>
      </c>
      <c r="Y946">
        <f>$C946*Y945</f>
        <v/>
      </c>
      <c r="Z946">
        <f>$C946*Z945</f>
        <v/>
      </c>
      <c r="AA946">
        <f>$C946*AA945</f>
        <v/>
      </c>
      <c r="AB946">
        <f>$C946*AB945</f>
        <v/>
      </c>
      <c r="AC946">
        <f>$C946*AC945</f>
        <v/>
      </c>
      <c r="AD946">
        <f>$C946*AD945</f>
        <v/>
      </c>
      <c r="AE946">
        <f>$C946*AE945</f>
        <v/>
      </c>
      <c r="AF946">
        <f>$C946*AF945</f>
        <v/>
      </c>
      <c r="AG946">
        <f>$C946*AG945</f>
        <v/>
      </c>
      <c r="AH946">
        <f>$C946*AH945</f>
        <v/>
      </c>
      <c r="AI946">
        <f>$C946*AI945</f>
        <v/>
      </c>
      <c r="AJ946">
        <f>$C946*AJ945</f>
        <v/>
      </c>
      <c r="AK946">
        <f>$C946*AK945</f>
        <v/>
      </c>
      <c r="AL946">
        <f>$C946*AL945</f>
        <v/>
      </c>
      <c r="AM946">
        <f>$C946*AM945</f>
        <v/>
      </c>
      <c r="AN946">
        <f>$C946*AN945</f>
        <v/>
      </c>
      <c r="AO946">
        <f>$C946*AO945</f>
        <v/>
      </c>
      <c r="AP946">
        <f>$C946*AP945</f>
        <v/>
      </c>
      <c r="AQ946">
        <f>$C946*AQ945</f>
        <v/>
      </c>
      <c r="AR946">
        <f>$C946*AR945</f>
        <v/>
      </c>
      <c r="AS946">
        <f>$C946*AS945</f>
        <v/>
      </c>
      <c r="AT946">
        <f>$C946*AT945</f>
        <v/>
      </c>
      <c r="AU946">
        <f>$C946*AU945</f>
        <v/>
      </c>
      <c r="AV946">
        <f>$C946*AV945</f>
        <v/>
      </c>
      <c r="AW946">
        <f>$C946*AW945</f>
        <v/>
      </c>
      <c r="AX946">
        <f>$C946*AX945</f>
        <v/>
      </c>
      <c r="AY946">
        <f>$C946*AY945</f>
        <v/>
      </c>
      <c r="AZ946">
        <f>$C946*AZ945</f>
        <v/>
      </c>
      <c r="BA946">
        <f>$C946*BA945</f>
        <v/>
      </c>
      <c r="BB946">
        <f>$C946*BB945</f>
        <v/>
      </c>
      <c r="BC946">
        <f>$C946*BC945</f>
        <v/>
      </c>
      <c r="BD946">
        <f>$C946*BD945</f>
        <v/>
      </c>
      <c r="BE946">
        <f>$C946*BE945</f>
        <v/>
      </c>
      <c r="BF946">
        <f>$C946*BF945</f>
        <v/>
      </c>
      <c r="BG946">
        <f>$C946*BG945</f>
        <v/>
      </c>
      <c r="BH946">
        <f>$C946*BH945</f>
        <v/>
      </c>
      <c r="BI946">
        <f>$C946*BI945</f>
        <v/>
      </c>
      <c r="BJ946">
        <f>$C946*BJ945</f>
        <v/>
      </c>
      <c r="BK946">
        <f>$C946*BK945</f>
        <v/>
      </c>
      <c r="BL946">
        <f>$C946*BL945</f>
        <v/>
      </c>
      <c r="BM946">
        <f>$C946*BM945</f>
        <v/>
      </c>
      <c r="BN946">
        <f>$C946*BN945</f>
        <v/>
      </c>
      <c r="BO946">
        <f>$C946*BO945</f>
        <v/>
      </c>
      <c r="BP946">
        <f>$C946*BP945</f>
        <v/>
      </c>
      <c r="BQ946">
        <f>$C946*BQ945</f>
        <v/>
      </c>
      <c r="BR946">
        <f>$C946*BR945</f>
        <v/>
      </c>
      <c r="BS946">
        <f>$C946*BS945</f>
        <v/>
      </c>
      <c r="BT946">
        <f>$C946*BT945</f>
        <v/>
      </c>
      <c r="BU946">
        <f>$C946*BU945</f>
        <v/>
      </c>
      <c r="BV946">
        <f>$C946*BV945</f>
        <v/>
      </c>
      <c r="BW946">
        <f>$C946*BW945</f>
        <v/>
      </c>
      <c r="BX946">
        <f>$C946*BX945</f>
        <v/>
      </c>
      <c r="BY946">
        <f>$C946*BY945</f>
        <v/>
      </c>
      <c r="BZ946">
        <f>$C946*BZ945</f>
        <v/>
      </c>
      <c r="CA946">
        <f>$C946*CA945</f>
        <v/>
      </c>
      <c r="CB946">
        <f>$C946*CB945</f>
        <v/>
      </c>
      <c r="CC946">
        <f>$C946*CC945</f>
        <v/>
      </c>
      <c r="CD946">
        <f>$C946*CD945</f>
        <v/>
      </c>
      <c r="CE946">
        <f>$C946*CE945</f>
        <v/>
      </c>
      <c r="CF946">
        <f>$C946*CF945</f>
        <v/>
      </c>
      <c r="CG946">
        <f>$C946*CG945</f>
        <v/>
      </c>
      <c r="CH946">
        <f>$C946*CH945</f>
        <v/>
      </c>
      <c r="CI946">
        <f>$C946*CI945</f>
        <v/>
      </c>
      <c r="CJ946">
        <f>$C946*CJ945</f>
        <v/>
      </c>
      <c r="CK946">
        <f>$C946*CK945</f>
        <v/>
      </c>
      <c r="CL946">
        <f>$C946*CL945</f>
        <v/>
      </c>
      <c r="CM946">
        <f>$C946*CM945</f>
        <v/>
      </c>
      <c r="CN946">
        <f>$C946*CN945</f>
        <v/>
      </c>
      <c r="CO946">
        <f>$C946*CO945</f>
        <v/>
      </c>
      <c r="CP946">
        <f>$C946*CP945</f>
        <v/>
      </c>
      <c r="CQ946">
        <f>$C946*CQ945</f>
        <v/>
      </c>
      <c r="CR946">
        <f>$C946*CR945</f>
        <v/>
      </c>
      <c r="CS946">
        <f>$C946*CS945</f>
        <v/>
      </c>
      <c r="CT946">
        <f>$C946*CT945</f>
        <v/>
      </c>
      <c r="CU946">
        <f>$C946*CU945</f>
        <v/>
      </c>
      <c r="CV946">
        <f>$C946*CV945</f>
        <v/>
      </c>
      <c r="CW946">
        <f>$C946*CW945</f>
        <v/>
      </c>
      <c r="CX946">
        <f>$C946*CX945</f>
        <v/>
      </c>
      <c r="CY946">
        <f>$C946*CY945</f>
        <v/>
      </c>
      <c r="CZ946">
        <f>$C946*CZ945</f>
        <v/>
      </c>
      <c r="DA946">
        <f>$C946*DA945</f>
        <v/>
      </c>
      <c r="DB946">
        <f>$C946*DB945</f>
        <v/>
      </c>
      <c r="DC946">
        <f>$C946*DC945</f>
        <v/>
      </c>
    </row>
    <row r="947">
      <c r="B947" s="4" t="inlineStr">
        <is>
          <t>合計使用量(kg)/週</t>
        </is>
      </c>
      <c r="D947">
        <f>'Grid_Requirement'!B23</f>
        <v/>
      </c>
      <c r="E947">
        <f>'Grid_Requirement'!C23</f>
        <v/>
      </c>
      <c r="F947">
        <f>'Grid_Requirement'!D23</f>
        <v/>
      </c>
      <c r="G947">
        <f>'Grid_Requirement'!E23</f>
        <v/>
      </c>
      <c r="H947">
        <f>'Grid_Requirement'!F23</f>
        <v/>
      </c>
      <c r="I947">
        <f>'Grid_Requirement'!G23</f>
        <v/>
      </c>
      <c r="J947">
        <f>'Grid_Requirement'!H23</f>
        <v/>
      </c>
      <c r="K947">
        <f>'Grid_Requirement'!I23</f>
        <v/>
      </c>
      <c r="L947">
        <f>'Grid_Requirement'!J23</f>
        <v/>
      </c>
      <c r="M947">
        <f>'Grid_Requirement'!K23</f>
        <v/>
      </c>
      <c r="N947">
        <f>'Grid_Requirement'!L23</f>
        <v/>
      </c>
      <c r="O947">
        <f>'Grid_Requirement'!M23</f>
        <v/>
      </c>
      <c r="P947">
        <f>'Grid_Requirement'!N23</f>
        <v/>
      </c>
      <c r="Q947">
        <f>'Grid_Requirement'!O23</f>
        <v/>
      </c>
      <c r="R947">
        <f>'Grid_Requirement'!P23</f>
        <v/>
      </c>
      <c r="S947">
        <f>'Grid_Requirement'!Q23</f>
        <v/>
      </c>
      <c r="T947">
        <f>'Grid_Requirement'!R23</f>
        <v/>
      </c>
      <c r="U947">
        <f>'Grid_Requirement'!S23</f>
        <v/>
      </c>
      <c r="V947">
        <f>'Grid_Requirement'!T23</f>
        <v/>
      </c>
      <c r="W947">
        <f>'Grid_Requirement'!U23</f>
        <v/>
      </c>
      <c r="X947">
        <f>'Grid_Requirement'!V23</f>
        <v/>
      </c>
      <c r="Y947">
        <f>'Grid_Requirement'!W23</f>
        <v/>
      </c>
      <c r="Z947">
        <f>'Grid_Requirement'!X23</f>
        <v/>
      </c>
      <c r="AA947">
        <f>'Grid_Requirement'!Y23</f>
        <v/>
      </c>
      <c r="AB947">
        <f>'Grid_Requirement'!Z23</f>
        <v/>
      </c>
      <c r="AC947">
        <f>'Grid_Requirement'!AA23</f>
        <v/>
      </c>
      <c r="AD947">
        <f>'Grid_Requirement'!AB23</f>
        <v/>
      </c>
      <c r="AE947">
        <f>'Grid_Requirement'!AC23</f>
        <v/>
      </c>
      <c r="AF947">
        <f>'Grid_Requirement'!AD23</f>
        <v/>
      </c>
      <c r="AG947">
        <f>'Grid_Requirement'!AE23</f>
        <v/>
      </c>
      <c r="AH947">
        <f>'Grid_Requirement'!AF23</f>
        <v/>
      </c>
      <c r="AI947">
        <f>'Grid_Requirement'!AG23</f>
        <v/>
      </c>
      <c r="AJ947">
        <f>'Grid_Requirement'!AH23</f>
        <v/>
      </c>
      <c r="AK947">
        <f>'Grid_Requirement'!AI23</f>
        <v/>
      </c>
      <c r="AL947">
        <f>'Grid_Requirement'!AJ23</f>
        <v/>
      </c>
      <c r="AM947">
        <f>'Grid_Requirement'!AK23</f>
        <v/>
      </c>
      <c r="AN947">
        <f>'Grid_Requirement'!AL23</f>
        <v/>
      </c>
      <c r="AO947">
        <f>'Grid_Requirement'!AM23</f>
        <v/>
      </c>
      <c r="AP947">
        <f>'Grid_Requirement'!AN23</f>
        <v/>
      </c>
      <c r="AQ947">
        <f>'Grid_Requirement'!AO23</f>
        <v/>
      </c>
      <c r="AR947">
        <f>'Grid_Requirement'!AP23</f>
        <v/>
      </c>
      <c r="AS947">
        <f>'Grid_Requirement'!AQ23</f>
        <v/>
      </c>
      <c r="AT947">
        <f>'Grid_Requirement'!AR23</f>
        <v/>
      </c>
      <c r="AU947">
        <f>'Grid_Requirement'!AS23</f>
        <v/>
      </c>
      <c r="AV947">
        <f>'Grid_Requirement'!AT23</f>
        <v/>
      </c>
      <c r="AW947">
        <f>'Grid_Requirement'!AU23</f>
        <v/>
      </c>
      <c r="AX947">
        <f>'Grid_Requirement'!AV23</f>
        <v/>
      </c>
      <c r="AY947">
        <f>'Grid_Requirement'!AW23</f>
        <v/>
      </c>
      <c r="AZ947">
        <f>'Grid_Requirement'!AX23</f>
        <v/>
      </c>
      <c r="BA947">
        <f>'Grid_Requirement'!AY23</f>
        <v/>
      </c>
      <c r="BB947">
        <f>'Grid_Requirement'!AZ23</f>
        <v/>
      </c>
      <c r="BC947">
        <f>'Grid_Requirement'!BA23</f>
        <v/>
      </c>
      <c r="BD947">
        <f>'Grid_Requirement'!BB23</f>
        <v/>
      </c>
      <c r="BE947">
        <f>'Grid_Requirement'!BC23</f>
        <v/>
      </c>
      <c r="BF947">
        <f>'Grid_Requirement'!BD23</f>
        <v/>
      </c>
      <c r="BG947">
        <f>'Grid_Requirement'!BE23</f>
        <v/>
      </c>
      <c r="BH947">
        <f>'Grid_Requirement'!BF23</f>
        <v/>
      </c>
      <c r="BI947">
        <f>'Grid_Requirement'!BG23</f>
        <v/>
      </c>
      <c r="BJ947">
        <f>'Grid_Requirement'!BH23</f>
        <v/>
      </c>
      <c r="BK947">
        <f>'Grid_Requirement'!BI23</f>
        <v/>
      </c>
      <c r="BL947">
        <f>'Grid_Requirement'!BJ23</f>
        <v/>
      </c>
      <c r="BM947">
        <f>'Grid_Requirement'!BK23</f>
        <v/>
      </c>
      <c r="BN947">
        <f>'Grid_Requirement'!BL23</f>
        <v/>
      </c>
      <c r="BO947">
        <f>'Grid_Requirement'!BM23</f>
        <v/>
      </c>
      <c r="BP947">
        <f>'Grid_Requirement'!BN23</f>
        <v/>
      </c>
      <c r="BQ947">
        <f>'Grid_Requirement'!BO23</f>
        <v/>
      </c>
      <c r="BR947">
        <f>'Grid_Requirement'!BP23</f>
        <v/>
      </c>
      <c r="BS947">
        <f>'Grid_Requirement'!BQ23</f>
        <v/>
      </c>
      <c r="BT947">
        <f>'Grid_Requirement'!BR23</f>
        <v/>
      </c>
      <c r="BU947">
        <f>'Grid_Requirement'!BS23</f>
        <v/>
      </c>
      <c r="BV947">
        <f>'Grid_Requirement'!BT23</f>
        <v/>
      </c>
      <c r="BW947">
        <f>'Grid_Requirement'!BU23</f>
        <v/>
      </c>
      <c r="BX947">
        <f>'Grid_Requirement'!BV23</f>
        <v/>
      </c>
      <c r="BY947">
        <f>'Grid_Requirement'!BW23</f>
        <v/>
      </c>
      <c r="BZ947">
        <f>'Grid_Requirement'!BX23</f>
        <v/>
      </c>
      <c r="CA947">
        <f>'Grid_Requirement'!BY23</f>
        <v/>
      </c>
      <c r="CB947">
        <f>'Grid_Requirement'!BZ23</f>
        <v/>
      </c>
      <c r="CC947">
        <f>'Grid_Requirement'!CA23</f>
        <v/>
      </c>
      <c r="CD947">
        <f>'Grid_Requirement'!CB23</f>
        <v/>
      </c>
      <c r="CE947">
        <f>'Grid_Requirement'!CC23</f>
        <v/>
      </c>
      <c r="CF947">
        <f>'Grid_Requirement'!CD23</f>
        <v/>
      </c>
      <c r="CG947">
        <f>'Grid_Requirement'!CE23</f>
        <v/>
      </c>
      <c r="CH947">
        <f>'Grid_Requirement'!CF23</f>
        <v/>
      </c>
      <c r="CI947">
        <f>'Grid_Requirement'!CG23</f>
        <v/>
      </c>
      <c r="CJ947">
        <f>'Grid_Requirement'!CH23</f>
        <v/>
      </c>
      <c r="CK947">
        <f>'Grid_Requirement'!CI23</f>
        <v/>
      </c>
      <c r="CL947">
        <f>'Grid_Requirement'!CJ23</f>
        <v/>
      </c>
      <c r="CM947">
        <f>'Grid_Requirement'!CK23</f>
        <v/>
      </c>
      <c r="CN947">
        <f>'Grid_Requirement'!CL23</f>
        <v/>
      </c>
      <c r="CO947">
        <f>'Grid_Requirement'!CM23</f>
        <v/>
      </c>
      <c r="CP947">
        <f>'Grid_Requirement'!CN23</f>
        <v/>
      </c>
      <c r="CQ947">
        <f>'Grid_Requirement'!CO23</f>
        <v/>
      </c>
      <c r="CR947">
        <f>'Grid_Requirement'!CP23</f>
        <v/>
      </c>
      <c r="CS947">
        <f>'Grid_Requirement'!CQ23</f>
        <v/>
      </c>
      <c r="CT947">
        <f>'Grid_Requirement'!CR23</f>
        <v/>
      </c>
      <c r="CU947">
        <f>'Grid_Requirement'!CS23</f>
        <v/>
      </c>
      <c r="CV947">
        <f>'Grid_Requirement'!CT23</f>
        <v/>
      </c>
      <c r="CW947">
        <f>'Grid_Requirement'!CU23</f>
        <v/>
      </c>
      <c r="CX947">
        <f>'Grid_Requirement'!CV23</f>
        <v/>
      </c>
      <c r="CY947">
        <f>'Grid_Requirement'!CW23</f>
        <v/>
      </c>
      <c r="CZ947">
        <f>'Grid_Requirement'!CX23</f>
        <v/>
      </c>
      <c r="DA947">
        <f>'Grid_Requirement'!CY23</f>
        <v/>
      </c>
      <c r="DB947">
        <f>'Grid_Requirement'!CZ23</f>
        <v/>
      </c>
      <c r="DC947">
        <f>'Grid_Requirement'!DA23</f>
        <v/>
      </c>
    </row>
    <row r="948">
      <c r="B948" t="inlineStr">
        <is>
          <t>TTAF在庫(実績,kg)</t>
        </is>
      </c>
      <c r="D948">
        <f>'T_TTAFStock'!B27</f>
        <v/>
      </c>
      <c r="E948">
        <f>'T_TTAFStock'!C27</f>
        <v/>
      </c>
      <c r="F948">
        <f>'T_TTAFStock'!D27</f>
        <v/>
      </c>
      <c r="G948">
        <f>'T_TTAFStock'!E27</f>
        <v/>
      </c>
      <c r="H948">
        <f>'T_TTAFStock'!F27</f>
        <v/>
      </c>
      <c r="I948">
        <f>'T_TTAFStock'!G27</f>
        <v/>
      </c>
      <c r="J948">
        <f>'T_TTAFStock'!H27</f>
        <v/>
      </c>
      <c r="K948">
        <f>'T_TTAFStock'!I27</f>
        <v/>
      </c>
      <c r="L948">
        <f>'T_TTAFStock'!J27</f>
        <v/>
      </c>
      <c r="M948">
        <f>'T_TTAFStock'!K27</f>
        <v/>
      </c>
      <c r="N948">
        <f>'T_TTAFStock'!L27</f>
        <v/>
      </c>
      <c r="O948">
        <f>'T_TTAFStock'!M27</f>
        <v/>
      </c>
      <c r="P948">
        <f>'T_TTAFStock'!N27</f>
        <v/>
      </c>
      <c r="Q948">
        <f>'T_TTAFStock'!O27</f>
        <v/>
      </c>
      <c r="R948">
        <f>'T_TTAFStock'!P27</f>
        <v/>
      </c>
      <c r="S948">
        <f>'T_TTAFStock'!Q27</f>
        <v/>
      </c>
      <c r="T948">
        <f>'T_TTAFStock'!R27</f>
        <v/>
      </c>
      <c r="U948">
        <f>'T_TTAFStock'!S27</f>
        <v/>
      </c>
      <c r="V948">
        <f>'T_TTAFStock'!T27</f>
        <v/>
      </c>
      <c r="W948">
        <f>'T_TTAFStock'!U27</f>
        <v/>
      </c>
      <c r="X948">
        <f>'T_TTAFStock'!V27</f>
        <v/>
      </c>
      <c r="Y948">
        <f>'T_TTAFStock'!W27</f>
        <v/>
      </c>
      <c r="Z948">
        <f>'T_TTAFStock'!X27</f>
        <v/>
      </c>
      <c r="AA948">
        <f>'T_TTAFStock'!Y27</f>
        <v/>
      </c>
      <c r="AB948">
        <f>'T_TTAFStock'!Z27</f>
        <v/>
      </c>
      <c r="AC948">
        <f>'T_TTAFStock'!AA27</f>
        <v/>
      </c>
      <c r="AD948">
        <f>'T_TTAFStock'!AB27</f>
        <v/>
      </c>
      <c r="AE948">
        <f>'T_TTAFStock'!AC27</f>
        <v/>
      </c>
      <c r="AF948">
        <f>'T_TTAFStock'!AD27</f>
        <v/>
      </c>
      <c r="AG948">
        <f>'T_TTAFStock'!AE27</f>
        <v/>
      </c>
      <c r="AH948">
        <f>'T_TTAFStock'!AF27</f>
        <v/>
      </c>
      <c r="AI948">
        <f>'T_TTAFStock'!AG27</f>
        <v/>
      </c>
      <c r="AJ948">
        <f>'T_TTAFStock'!AH27</f>
        <v/>
      </c>
      <c r="AK948">
        <f>'T_TTAFStock'!AI27</f>
        <v/>
      </c>
      <c r="AL948">
        <f>'T_TTAFStock'!AJ27</f>
        <v/>
      </c>
      <c r="AM948">
        <f>'T_TTAFStock'!AK27</f>
        <v/>
      </c>
      <c r="AN948">
        <f>'T_TTAFStock'!AL27</f>
        <v/>
      </c>
      <c r="AO948">
        <f>'T_TTAFStock'!AM27</f>
        <v/>
      </c>
      <c r="AP948">
        <f>'T_TTAFStock'!AN27</f>
        <v/>
      </c>
      <c r="AQ948">
        <f>'T_TTAFStock'!AO27</f>
        <v/>
      </c>
      <c r="AR948">
        <f>'T_TTAFStock'!AP27</f>
        <v/>
      </c>
      <c r="AS948">
        <f>'T_TTAFStock'!AQ27</f>
        <v/>
      </c>
      <c r="AT948">
        <f>'T_TTAFStock'!AR27</f>
        <v/>
      </c>
      <c r="AU948">
        <f>'T_TTAFStock'!AS27</f>
        <v/>
      </c>
      <c r="AV948">
        <f>'T_TTAFStock'!AT27</f>
        <v/>
      </c>
      <c r="AW948">
        <f>'T_TTAFStock'!AU27</f>
        <v/>
      </c>
      <c r="AX948">
        <f>'T_TTAFStock'!AV27</f>
        <v/>
      </c>
      <c r="AY948">
        <f>'T_TTAFStock'!AW27</f>
        <v/>
      </c>
      <c r="AZ948">
        <f>'T_TTAFStock'!AX27</f>
        <v/>
      </c>
      <c r="BA948">
        <f>'T_TTAFStock'!AY27</f>
        <v/>
      </c>
      <c r="BB948">
        <f>'T_TTAFStock'!AZ27</f>
        <v/>
      </c>
      <c r="BC948">
        <f>'T_TTAFStock'!BA27</f>
        <v/>
      </c>
      <c r="BD948">
        <f>'T_TTAFStock'!BB27</f>
        <v/>
      </c>
      <c r="BE948">
        <f>'T_TTAFStock'!BC27</f>
        <v/>
      </c>
      <c r="BF948">
        <f>'T_TTAFStock'!BD27</f>
        <v/>
      </c>
      <c r="BG948">
        <f>'T_TTAFStock'!BE27</f>
        <v/>
      </c>
      <c r="BH948">
        <f>'T_TTAFStock'!BF27</f>
        <v/>
      </c>
      <c r="BI948">
        <f>'T_TTAFStock'!BG27</f>
        <v/>
      </c>
      <c r="BJ948">
        <f>'T_TTAFStock'!BH27</f>
        <v/>
      </c>
      <c r="BK948">
        <f>'T_TTAFStock'!BI27</f>
        <v/>
      </c>
      <c r="BL948">
        <f>'T_TTAFStock'!BJ27</f>
        <v/>
      </c>
      <c r="BM948">
        <f>'T_TTAFStock'!BK27</f>
        <v/>
      </c>
      <c r="BN948">
        <f>'T_TTAFStock'!BL27</f>
        <v/>
      </c>
      <c r="BO948">
        <f>'T_TTAFStock'!BM27</f>
        <v/>
      </c>
      <c r="BP948">
        <f>'T_TTAFStock'!BN27</f>
        <v/>
      </c>
      <c r="BQ948">
        <f>'T_TTAFStock'!BO27</f>
        <v/>
      </c>
      <c r="BR948">
        <f>'T_TTAFStock'!BP27</f>
        <v/>
      </c>
      <c r="BS948">
        <f>'T_TTAFStock'!BQ27</f>
        <v/>
      </c>
      <c r="BT948">
        <f>'T_TTAFStock'!BR27</f>
        <v/>
      </c>
      <c r="BU948">
        <f>'T_TTAFStock'!BS27</f>
        <v/>
      </c>
      <c r="BV948">
        <f>'T_TTAFStock'!BT27</f>
        <v/>
      </c>
      <c r="BW948">
        <f>'T_TTAFStock'!BU27</f>
        <v/>
      </c>
      <c r="BX948">
        <f>'T_TTAFStock'!BV27</f>
        <v/>
      </c>
      <c r="BY948">
        <f>'T_TTAFStock'!BW27</f>
        <v/>
      </c>
      <c r="BZ948">
        <f>'T_TTAFStock'!BX27</f>
        <v/>
      </c>
      <c r="CA948">
        <f>'T_TTAFStock'!BY27</f>
        <v/>
      </c>
      <c r="CB948">
        <f>'T_TTAFStock'!BZ27</f>
        <v/>
      </c>
      <c r="CC948">
        <f>'T_TTAFStock'!CA27</f>
        <v/>
      </c>
      <c r="CD948">
        <f>'T_TTAFStock'!CB27</f>
        <v/>
      </c>
      <c r="CE948">
        <f>'T_TTAFStock'!CC27</f>
        <v/>
      </c>
      <c r="CF948">
        <f>'T_TTAFStock'!CD27</f>
        <v/>
      </c>
      <c r="CG948">
        <f>'T_TTAFStock'!CE27</f>
        <v/>
      </c>
      <c r="CH948">
        <f>'T_TTAFStock'!CF27</f>
        <v/>
      </c>
      <c r="CI948">
        <f>'T_TTAFStock'!CG27</f>
        <v/>
      </c>
      <c r="CJ948">
        <f>'T_TTAFStock'!CH27</f>
        <v/>
      </c>
      <c r="CK948">
        <f>'T_TTAFStock'!CI27</f>
        <v/>
      </c>
      <c r="CL948">
        <f>'T_TTAFStock'!CJ27</f>
        <v/>
      </c>
      <c r="CM948">
        <f>'T_TTAFStock'!CK27</f>
        <v/>
      </c>
      <c r="CN948">
        <f>'T_TTAFStock'!CL27</f>
        <v/>
      </c>
      <c r="CO948">
        <f>'T_TTAFStock'!CM27</f>
        <v/>
      </c>
      <c r="CP948">
        <f>'T_TTAFStock'!CN27</f>
        <v/>
      </c>
      <c r="CQ948">
        <f>'T_TTAFStock'!CO27</f>
        <v/>
      </c>
      <c r="CR948">
        <f>'T_TTAFStock'!CP27</f>
        <v/>
      </c>
      <c r="CS948">
        <f>'T_TTAFStock'!CQ27</f>
        <v/>
      </c>
      <c r="CT948">
        <f>'T_TTAFStock'!CR27</f>
        <v/>
      </c>
      <c r="CU948">
        <f>'T_TTAFStock'!CS27</f>
        <v/>
      </c>
      <c r="CV948">
        <f>'T_TTAFStock'!CT27</f>
        <v/>
      </c>
      <c r="CW948">
        <f>'T_TTAFStock'!CU27</f>
        <v/>
      </c>
      <c r="CX948">
        <f>'T_TTAFStock'!CV27</f>
        <v/>
      </c>
      <c r="CY948">
        <f>'T_TTAFStock'!CW27</f>
        <v/>
      </c>
      <c r="CZ948">
        <f>'T_TTAFStock'!CX27</f>
        <v/>
      </c>
      <c r="DA948">
        <f>'T_TTAFStock'!CY27</f>
        <v/>
      </c>
      <c r="DB948">
        <f>'T_TTAFStock'!CZ27</f>
        <v/>
      </c>
      <c r="DC948">
        <f>'T_TTAFStock'!DA27</f>
        <v/>
      </c>
    </row>
    <row r="949">
      <c r="B949" t="inlineStr">
        <is>
          <t>自社在庫(実績,kg)</t>
        </is>
      </c>
      <c r="D949">
        <f>'T_SelfStock'!B27</f>
        <v/>
      </c>
      <c r="E949">
        <f>'T_SelfStock'!C27</f>
        <v/>
      </c>
      <c r="F949">
        <f>'T_SelfStock'!D27</f>
        <v/>
      </c>
      <c r="G949">
        <f>'T_SelfStock'!E27</f>
        <v/>
      </c>
      <c r="H949">
        <f>'T_SelfStock'!F27</f>
        <v/>
      </c>
      <c r="I949">
        <f>'T_SelfStock'!G27</f>
        <v/>
      </c>
      <c r="J949">
        <f>'T_SelfStock'!H27</f>
        <v/>
      </c>
      <c r="K949">
        <f>'T_SelfStock'!I27</f>
        <v/>
      </c>
      <c r="L949">
        <f>'T_SelfStock'!J27</f>
        <v/>
      </c>
      <c r="M949">
        <f>'T_SelfStock'!K27</f>
        <v/>
      </c>
      <c r="N949">
        <f>'T_SelfStock'!L27</f>
        <v/>
      </c>
      <c r="O949">
        <f>'T_SelfStock'!M27</f>
        <v/>
      </c>
      <c r="P949">
        <f>'T_SelfStock'!N27</f>
        <v/>
      </c>
      <c r="Q949">
        <f>'T_SelfStock'!O27</f>
        <v/>
      </c>
      <c r="R949">
        <f>'T_SelfStock'!P27</f>
        <v/>
      </c>
      <c r="S949">
        <f>'T_SelfStock'!Q27</f>
        <v/>
      </c>
      <c r="T949">
        <f>'T_SelfStock'!R27</f>
        <v/>
      </c>
      <c r="U949">
        <f>'T_SelfStock'!S27</f>
        <v/>
      </c>
      <c r="V949">
        <f>'T_SelfStock'!T27</f>
        <v/>
      </c>
      <c r="W949">
        <f>'T_SelfStock'!U27</f>
        <v/>
      </c>
      <c r="X949">
        <f>'T_SelfStock'!V27</f>
        <v/>
      </c>
      <c r="Y949">
        <f>'T_SelfStock'!W27</f>
        <v/>
      </c>
      <c r="Z949">
        <f>'T_SelfStock'!X27</f>
        <v/>
      </c>
      <c r="AA949">
        <f>'T_SelfStock'!Y27</f>
        <v/>
      </c>
      <c r="AB949">
        <f>'T_SelfStock'!Z27</f>
        <v/>
      </c>
      <c r="AC949">
        <f>'T_SelfStock'!AA27</f>
        <v/>
      </c>
      <c r="AD949">
        <f>'T_SelfStock'!AB27</f>
        <v/>
      </c>
      <c r="AE949">
        <f>'T_SelfStock'!AC27</f>
        <v/>
      </c>
      <c r="AF949">
        <f>'T_SelfStock'!AD27</f>
        <v/>
      </c>
      <c r="AG949">
        <f>'T_SelfStock'!AE27</f>
        <v/>
      </c>
      <c r="AH949">
        <f>'T_SelfStock'!AF27</f>
        <v/>
      </c>
      <c r="AI949">
        <f>'T_SelfStock'!AG27</f>
        <v/>
      </c>
      <c r="AJ949">
        <f>'T_SelfStock'!AH27</f>
        <v/>
      </c>
      <c r="AK949">
        <f>'T_SelfStock'!AI27</f>
        <v/>
      </c>
      <c r="AL949">
        <f>'T_SelfStock'!AJ27</f>
        <v/>
      </c>
      <c r="AM949">
        <f>'T_SelfStock'!AK27</f>
        <v/>
      </c>
      <c r="AN949">
        <f>'T_SelfStock'!AL27</f>
        <v/>
      </c>
      <c r="AO949">
        <f>'T_SelfStock'!AM27</f>
        <v/>
      </c>
      <c r="AP949">
        <f>'T_SelfStock'!AN27</f>
        <v/>
      </c>
      <c r="AQ949">
        <f>'T_SelfStock'!AO27</f>
        <v/>
      </c>
      <c r="AR949">
        <f>'T_SelfStock'!AP27</f>
        <v/>
      </c>
      <c r="AS949">
        <f>'T_SelfStock'!AQ27</f>
        <v/>
      </c>
      <c r="AT949">
        <f>'T_SelfStock'!AR27</f>
        <v/>
      </c>
      <c r="AU949">
        <f>'T_SelfStock'!AS27</f>
        <v/>
      </c>
      <c r="AV949">
        <f>'T_SelfStock'!AT27</f>
        <v/>
      </c>
      <c r="AW949">
        <f>'T_SelfStock'!AU27</f>
        <v/>
      </c>
      <c r="AX949">
        <f>'T_SelfStock'!AV27</f>
        <v/>
      </c>
      <c r="AY949">
        <f>'T_SelfStock'!AW27</f>
        <v/>
      </c>
      <c r="AZ949">
        <f>'T_SelfStock'!AX27</f>
        <v/>
      </c>
      <c r="BA949">
        <f>'T_SelfStock'!AY27</f>
        <v/>
      </c>
      <c r="BB949">
        <f>'T_SelfStock'!AZ27</f>
        <v/>
      </c>
      <c r="BC949">
        <f>'T_SelfStock'!BA27</f>
        <v/>
      </c>
      <c r="BD949">
        <f>'T_SelfStock'!BB27</f>
        <v/>
      </c>
      <c r="BE949">
        <f>'T_SelfStock'!BC27</f>
        <v/>
      </c>
      <c r="BF949">
        <f>'T_SelfStock'!BD27</f>
        <v/>
      </c>
      <c r="BG949">
        <f>'T_SelfStock'!BE27</f>
        <v/>
      </c>
      <c r="BH949">
        <f>'T_SelfStock'!BF27</f>
        <v/>
      </c>
      <c r="BI949">
        <f>'T_SelfStock'!BG27</f>
        <v/>
      </c>
      <c r="BJ949">
        <f>'T_SelfStock'!BH27</f>
        <v/>
      </c>
      <c r="BK949">
        <f>'T_SelfStock'!BI27</f>
        <v/>
      </c>
      <c r="BL949">
        <f>'T_SelfStock'!BJ27</f>
        <v/>
      </c>
      <c r="BM949">
        <f>'T_SelfStock'!BK27</f>
        <v/>
      </c>
      <c r="BN949">
        <f>'T_SelfStock'!BL27</f>
        <v/>
      </c>
      <c r="BO949">
        <f>'T_SelfStock'!BM27</f>
        <v/>
      </c>
      <c r="BP949">
        <f>'T_SelfStock'!BN27</f>
        <v/>
      </c>
      <c r="BQ949">
        <f>'T_SelfStock'!BO27</f>
        <v/>
      </c>
      <c r="BR949">
        <f>'T_SelfStock'!BP27</f>
        <v/>
      </c>
      <c r="BS949">
        <f>'T_SelfStock'!BQ27</f>
        <v/>
      </c>
      <c r="BT949">
        <f>'T_SelfStock'!BR27</f>
        <v/>
      </c>
      <c r="BU949">
        <f>'T_SelfStock'!BS27</f>
        <v/>
      </c>
      <c r="BV949">
        <f>'T_SelfStock'!BT27</f>
        <v/>
      </c>
      <c r="BW949">
        <f>'T_SelfStock'!BU27</f>
        <v/>
      </c>
      <c r="BX949">
        <f>'T_SelfStock'!BV27</f>
        <v/>
      </c>
      <c r="BY949">
        <f>'T_SelfStock'!BW27</f>
        <v/>
      </c>
      <c r="BZ949">
        <f>'T_SelfStock'!BX27</f>
        <v/>
      </c>
      <c r="CA949">
        <f>'T_SelfStock'!BY27</f>
        <v/>
      </c>
      <c r="CB949">
        <f>'T_SelfStock'!BZ27</f>
        <v/>
      </c>
      <c r="CC949">
        <f>'T_SelfStock'!CA27</f>
        <v/>
      </c>
      <c r="CD949">
        <f>'T_SelfStock'!CB27</f>
        <v/>
      </c>
      <c r="CE949">
        <f>'T_SelfStock'!CC27</f>
        <v/>
      </c>
      <c r="CF949">
        <f>'T_SelfStock'!CD27</f>
        <v/>
      </c>
      <c r="CG949">
        <f>'T_SelfStock'!CE27</f>
        <v/>
      </c>
      <c r="CH949">
        <f>'T_SelfStock'!CF27</f>
        <v/>
      </c>
      <c r="CI949">
        <f>'T_SelfStock'!CG27</f>
        <v/>
      </c>
      <c r="CJ949">
        <f>'T_SelfStock'!CH27</f>
        <v/>
      </c>
      <c r="CK949">
        <f>'T_SelfStock'!CI27</f>
        <v/>
      </c>
      <c r="CL949">
        <f>'T_SelfStock'!CJ27</f>
        <v/>
      </c>
      <c r="CM949">
        <f>'T_SelfStock'!CK27</f>
        <v/>
      </c>
      <c r="CN949">
        <f>'T_SelfStock'!CL27</f>
        <v/>
      </c>
      <c r="CO949">
        <f>'T_SelfStock'!CM27</f>
        <v/>
      </c>
      <c r="CP949">
        <f>'T_SelfStock'!CN27</f>
        <v/>
      </c>
      <c r="CQ949">
        <f>'T_SelfStock'!CO27</f>
        <v/>
      </c>
      <c r="CR949">
        <f>'T_SelfStock'!CP27</f>
        <v/>
      </c>
      <c r="CS949">
        <f>'T_SelfStock'!CQ27</f>
        <v/>
      </c>
      <c r="CT949">
        <f>'T_SelfStock'!CR27</f>
        <v/>
      </c>
      <c r="CU949">
        <f>'T_SelfStock'!CS27</f>
        <v/>
      </c>
      <c r="CV949">
        <f>'T_SelfStock'!CT27</f>
        <v/>
      </c>
      <c r="CW949">
        <f>'T_SelfStock'!CU27</f>
        <v/>
      </c>
      <c r="CX949">
        <f>'T_SelfStock'!CV27</f>
        <v/>
      </c>
      <c r="CY949">
        <f>'T_SelfStock'!CW27</f>
        <v/>
      </c>
      <c r="CZ949">
        <f>'T_SelfStock'!CX27</f>
        <v/>
      </c>
      <c r="DA949">
        <f>'T_SelfStock'!CY27</f>
        <v/>
      </c>
      <c r="DB949">
        <f>'T_SelfStock'!CZ27</f>
        <v/>
      </c>
      <c r="DC949">
        <f>'T_SelfStock'!DA27</f>
        <v/>
      </c>
    </row>
    <row r="950">
      <c r="B950" s="4" t="inlineStr">
        <is>
          <t>合計在庫(週末時点,kg)</t>
        </is>
      </c>
      <c r="D950">
        <f>'Grid_Stock'!B23</f>
        <v/>
      </c>
      <c r="E950">
        <f>'Grid_Stock'!C23</f>
        <v/>
      </c>
      <c r="F950">
        <f>'Grid_Stock'!D23</f>
        <v/>
      </c>
      <c r="G950">
        <f>'Grid_Stock'!E23</f>
        <v/>
      </c>
      <c r="H950">
        <f>'Grid_Stock'!F23</f>
        <v/>
      </c>
      <c r="I950">
        <f>'Grid_Stock'!G23</f>
        <v/>
      </c>
      <c r="J950">
        <f>'Grid_Stock'!H23</f>
        <v/>
      </c>
      <c r="K950">
        <f>'Grid_Stock'!I23</f>
        <v/>
      </c>
      <c r="L950">
        <f>'Grid_Stock'!J23</f>
        <v/>
      </c>
      <c r="M950">
        <f>'Grid_Stock'!K23</f>
        <v/>
      </c>
      <c r="N950">
        <f>'Grid_Stock'!L23</f>
        <v/>
      </c>
      <c r="O950">
        <f>'Grid_Stock'!M23</f>
        <v/>
      </c>
      <c r="P950">
        <f>'Grid_Stock'!N23</f>
        <v/>
      </c>
      <c r="Q950">
        <f>'Grid_Stock'!O23</f>
        <v/>
      </c>
      <c r="R950">
        <f>'Grid_Stock'!P23</f>
        <v/>
      </c>
      <c r="S950">
        <f>'Grid_Stock'!Q23</f>
        <v/>
      </c>
      <c r="T950">
        <f>'Grid_Stock'!R23</f>
        <v/>
      </c>
      <c r="U950">
        <f>'Grid_Stock'!S23</f>
        <v/>
      </c>
      <c r="V950">
        <f>'Grid_Stock'!T23</f>
        <v/>
      </c>
      <c r="W950">
        <f>'Grid_Stock'!U23</f>
        <v/>
      </c>
      <c r="X950">
        <f>'Grid_Stock'!V23</f>
        <v/>
      </c>
      <c r="Y950">
        <f>'Grid_Stock'!W23</f>
        <v/>
      </c>
      <c r="Z950">
        <f>'Grid_Stock'!X23</f>
        <v/>
      </c>
      <c r="AA950">
        <f>'Grid_Stock'!Y23</f>
        <v/>
      </c>
      <c r="AB950">
        <f>'Grid_Stock'!Z23</f>
        <v/>
      </c>
      <c r="AC950">
        <f>'Grid_Stock'!AA23</f>
        <v/>
      </c>
      <c r="AD950">
        <f>'Grid_Stock'!AB23</f>
        <v/>
      </c>
      <c r="AE950">
        <f>'Grid_Stock'!AC23</f>
        <v/>
      </c>
      <c r="AF950">
        <f>'Grid_Stock'!AD23</f>
        <v/>
      </c>
      <c r="AG950">
        <f>'Grid_Stock'!AE23</f>
        <v/>
      </c>
      <c r="AH950">
        <f>'Grid_Stock'!AF23</f>
        <v/>
      </c>
      <c r="AI950">
        <f>'Grid_Stock'!AG23</f>
        <v/>
      </c>
      <c r="AJ950">
        <f>'Grid_Stock'!AH23</f>
        <v/>
      </c>
      <c r="AK950">
        <f>'Grid_Stock'!AI23</f>
        <v/>
      </c>
      <c r="AL950">
        <f>'Grid_Stock'!AJ23</f>
        <v/>
      </c>
      <c r="AM950">
        <f>'Grid_Stock'!AK23</f>
        <v/>
      </c>
      <c r="AN950">
        <f>'Grid_Stock'!AL23</f>
        <v/>
      </c>
      <c r="AO950">
        <f>'Grid_Stock'!AM23</f>
        <v/>
      </c>
      <c r="AP950">
        <f>'Grid_Stock'!AN23</f>
        <v/>
      </c>
      <c r="AQ950">
        <f>'Grid_Stock'!AO23</f>
        <v/>
      </c>
      <c r="AR950">
        <f>'Grid_Stock'!AP23</f>
        <v/>
      </c>
      <c r="AS950">
        <f>'Grid_Stock'!AQ23</f>
        <v/>
      </c>
      <c r="AT950">
        <f>'Grid_Stock'!AR23</f>
        <v/>
      </c>
      <c r="AU950">
        <f>'Grid_Stock'!AS23</f>
        <v/>
      </c>
      <c r="AV950">
        <f>'Grid_Stock'!AT23</f>
        <v/>
      </c>
      <c r="AW950">
        <f>'Grid_Stock'!AU23</f>
        <v/>
      </c>
      <c r="AX950">
        <f>'Grid_Stock'!AV23</f>
        <v/>
      </c>
      <c r="AY950">
        <f>'Grid_Stock'!AW23</f>
        <v/>
      </c>
      <c r="AZ950">
        <f>'Grid_Stock'!AX23</f>
        <v/>
      </c>
      <c r="BA950">
        <f>'Grid_Stock'!AY23</f>
        <v/>
      </c>
      <c r="BB950">
        <f>'Grid_Stock'!AZ23</f>
        <v/>
      </c>
      <c r="BC950">
        <f>'Grid_Stock'!BA23</f>
        <v/>
      </c>
      <c r="BD950">
        <f>'Grid_Stock'!BB23</f>
        <v/>
      </c>
      <c r="BE950">
        <f>'Grid_Stock'!BC23</f>
        <v/>
      </c>
      <c r="BF950">
        <f>'Grid_Stock'!BD23</f>
        <v/>
      </c>
      <c r="BG950">
        <f>'Grid_Stock'!BE23</f>
        <v/>
      </c>
      <c r="BH950">
        <f>'Grid_Stock'!BF23</f>
        <v/>
      </c>
      <c r="BI950">
        <f>'Grid_Stock'!BG23</f>
        <v/>
      </c>
      <c r="BJ950">
        <f>'Grid_Stock'!BH23</f>
        <v/>
      </c>
      <c r="BK950">
        <f>'Grid_Stock'!BI23</f>
        <v/>
      </c>
      <c r="BL950">
        <f>'Grid_Stock'!BJ23</f>
        <v/>
      </c>
      <c r="BM950">
        <f>'Grid_Stock'!BK23</f>
        <v/>
      </c>
      <c r="BN950">
        <f>'Grid_Stock'!BL23</f>
        <v/>
      </c>
      <c r="BO950">
        <f>'Grid_Stock'!BM23</f>
        <v/>
      </c>
      <c r="BP950">
        <f>'Grid_Stock'!BN23</f>
        <v/>
      </c>
      <c r="BQ950">
        <f>'Grid_Stock'!BO23</f>
        <v/>
      </c>
      <c r="BR950">
        <f>'Grid_Stock'!BP23</f>
        <v/>
      </c>
      <c r="BS950">
        <f>'Grid_Stock'!BQ23</f>
        <v/>
      </c>
      <c r="BT950">
        <f>'Grid_Stock'!BR23</f>
        <v/>
      </c>
      <c r="BU950">
        <f>'Grid_Stock'!BS23</f>
        <v/>
      </c>
      <c r="BV950">
        <f>'Grid_Stock'!BT23</f>
        <v/>
      </c>
      <c r="BW950">
        <f>'Grid_Stock'!BU23</f>
        <v/>
      </c>
      <c r="BX950">
        <f>'Grid_Stock'!BV23</f>
        <v/>
      </c>
      <c r="BY950">
        <f>'Grid_Stock'!BW23</f>
        <v/>
      </c>
      <c r="BZ950">
        <f>'Grid_Stock'!BX23</f>
        <v/>
      </c>
      <c r="CA950">
        <f>'Grid_Stock'!BY23</f>
        <v/>
      </c>
      <c r="CB950">
        <f>'Grid_Stock'!BZ23</f>
        <v/>
      </c>
      <c r="CC950">
        <f>'Grid_Stock'!CA23</f>
        <v/>
      </c>
      <c r="CD950">
        <f>'Grid_Stock'!CB23</f>
        <v/>
      </c>
      <c r="CE950">
        <f>'Grid_Stock'!CC23</f>
        <v/>
      </c>
      <c r="CF950">
        <f>'Grid_Stock'!CD23</f>
        <v/>
      </c>
      <c r="CG950">
        <f>'Grid_Stock'!CE23</f>
        <v/>
      </c>
      <c r="CH950">
        <f>'Grid_Stock'!CF23</f>
        <v/>
      </c>
      <c r="CI950">
        <f>'Grid_Stock'!CG23</f>
        <v/>
      </c>
      <c r="CJ950">
        <f>'Grid_Stock'!CH23</f>
        <v/>
      </c>
      <c r="CK950">
        <f>'Grid_Stock'!CI23</f>
        <v/>
      </c>
      <c r="CL950">
        <f>'Grid_Stock'!CJ23</f>
        <v/>
      </c>
      <c r="CM950">
        <f>'Grid_Stock'!CK23</f>
        <v/>
      </c>
      <c r="CN950">
        <f>'Grid_Stock'!CL23</f>
        <v/>
      </c>
      <c r="CO950">
        <f>'Grid_Stock'!CM23</f>
        <v/>
      </c>
      <c r="CP950">
        <f>'Grid_Stock'!CN23</f>
        <v/>
      </c>
      <c r="CQ950">
        <f>'Grid_Stock'!CO23</f>
        <v/>
      </c>
      <c r="CR950">
        <f>'Grid_Stock'!CP23</f>
        <v/>
      </c>
      <c r="CS950">
        <f>'Grid_Stock'!CQ23</f>
        <v/>
      </c>
      <c r="CT950">
        <f>'Grid_Stock'!CR23</f>
        <v/>
      </c>
      <c r="CU950">
        <f>'Grid_Stock'!CS23</f>
        <v/>
      </c>
      <c r="CV950">
        <f>'Grid_Stock'!CT23</f>
        <v/>
      </c>
      <c r="CW950">
        <f>'Grid_Stock'!CU23</f>
        <v/>
      </c>
      <c r="CX950">
        <f>'Grid_Stock'!CV23</f>
        <v/>
      </c>
      <c r="CY950">
        <f>'Grid_Stock'!CW23</f>
        <v/>
      </c>
      <c r="CZ950">
        <f>'Grid_Stock'!CX23</f>
        <v/>
      </c>
      <c r="DA950">
        <f>'Grid_Stock'!CY23</f>
        <v/>
      </c>
      <c r="DB950">
        <f>'Grid_Stock'!CZ23</f>
        <v/>
      </c>
      <c r="DC950">
        <f>'Grid_Stock'!DA23</f>
        <v/>
      </c>
    </row>
    <row r="951">
      <c r="B951" s="16" t="inlineStr">
        <is>
          <t>（発注の目安はDashboardの基準在庫[下限/上限]と色分けを参照）</t>
        </is>
      </c>
    </row>
    <row r="953">
      <c r="A953" s="14" t="inlineStr">
        <is>
          <t>CHEM-1680</t>
        </is>
      </c>
      <c r="B953" s="14" t="inlineStr">
        <is>
          <t>NAT38</t>
        </is>
      </c>
      <c r="C953" s="15" t="n"/>
      <c r="D953" s="14" t="n"/>
      <c r="E953" s="14" t="n"/>
      <c r="F953" s="14" t="n"/>
      <c r="G953" s="14" t="n"/>
      <c r="H953" s="14" t="n"/>
      <c r="I953" s="14" t="n"/>
      <c r="J953" s="14" t="n"/>
      <c r="K953" s="14" t="n"/>
      <c r="L953" s="14" t="n"/>
      <c r="M953" s="14" t="n"/>
      <c r="N953" s="14" t="n"/>
      <c r="O953" s="14" t="n"/>
      <c r="P953" s="14" t="n"/>
      <c r="Q953" s="14" t="n"/>
      <c r="R953" s="14" t="n"/>
      <c r="S953" s="14" t="n"/>
      <c r="T953" s="14" t="n"/>
      <c r="U953" s="14" t="n"/>
      <c r="V953" s="14" t="n"/>
      <c r="W953" s="14" t="n"/>
      <c r="X953" s="14" t="n"/>
      <c r="Y953" s="14" t="n"/>
      <c r="Z953" s="14" t="n"/>
      <c r="AA953" s="14" t="n"/>
      <c r="AB953" s="14" t="n"/>
      <c r="AC953" s="14" t="n"/>
      <c r="AD953" s="14" t="n"/>
      <c r="AE953" s="14" t="n"/>
      <c r="AF953" s="14" t="n"/>
      <c r="AG953" s="14" t="n"/>
      <c r="AH953" s="14" t="n"/>
      <c r="AI953" s="14" t="n"/>
      <c r="AJ953" s="14" t="n"/>
      <c r="AK953" s="14" t="n"/>
      <c r="AL953" s="14" t="n"/>
      <c r="AM953" s="14" t="n"/>
      <c r="AN953" s="14" t="n"/>
      <c r="AO953" s="14" t="n"/>
      <c r="AP953" s="14" t="n"/>
      <c r="AQ953" s="14" t="n"/>
      <c r="AR953" s="14" t="n"/>
      <c r="AS953" s="14" t="n"/>
      <c r="AT953" s="14" t="n"/>
      <c r="AU953" s="14" t="n"/>
      <c r="AV953" s="14" t="n"/>
      <c r="AW953" s="14" t="n"/>
      <c r="AX953" s="14" t="n"/>
      <c r="AY953" s="14" t="n"/>
      <c r="AZ953" s="14" t="n"/>
      <c r="BA953" s="14" t="n"/>
      <c r="BB953" s="14" t="n"/>
      <c r="BC953" s="14" t="n"/>
      <c r="BD953" s="14" t="n"/>
      <c r="BE953" s="14" t="n"/>
      <c r="BF953" s="14" t="n"/>
      <c r="BG953" s="14" t="n"/>
      <c r="BH953" s="14" t="n"/>
      <c r="BI953" s="14" t="n"/>
      <c r="BJ953" s="14" t="n"/>
      <c r="BK953" s="14" t="n"/>
      <c r="BL953" s="14" t="n"/>
      <c r="BM953" s="14" t="n"/>
      <c r="BN953" s="14" t="n"/>
      <c r="BO953" s="14" t="n"/>
      <c r="BP953" s="14" t="n"/>
      <c r="BQ953" s="14" t="n"/>
      <c r="BR953" s="14" t="n"/>
      <c r="BS953" s="14" t="n"/>
      <c r="BT953" s="14" t="n"/>
      <c r="BU953" s="14" t="n"/>
      <c r="BV953" s="14" t="n"/>
      <c r="BW953" s="14" t="n"/>
      <c r="BX953" s="14" t="n"/>
      <c r="BY953" s="14" t="n"/>
      <c r="BZ953" s="14" t="n"/>
      <c r="CA953" s="14" t="n"/>
      <c r="CB953" s="14" t="n"/>
      <c r="CC953" s="14" t="n"/>
      <c r="CD953" s="14" t="n"/>
      <c r="CE953" s="14" t="n"/>
      <c r="CF953" s="14" t="n"/>
      <c r="CG953" s="14" t="n"/>
      <c r="CH953" s="14" t="n"/>
      <c r="CI953" s="14" t="n"/>
      <c r="CJ953" s="14" t="n"/>
      <c r="CK953" s="14" t="n"/>
      <c r="CL953" s="14" t="n"/>
      <c r="CM953" s="14" t="n"/>
      <c r="CN953" s="14" t="n"/>
      <c r="CO953" s="14" t="n"/>
      <c r="CP953" s="14" t="n"/>
      <c r="CQ953" s="14" t="n"/>
      <c r="CR953" s="14" t="n"/>
      <c r="CS953" s="14" t="n"/>
      <c r="CT953" s="14" t="n"/>
      <c r="CU953" s="14" t="n"/>
      <c r="CV953" s="14" t="n"/>
      <c r="CW953" s="14" t="n"/>
      <c r="CX953" s="14" t="n"/>
      <c r="CY953" s="14" t="n"/>
      <c r="CZ953" s="14" t="n"/>
      <c r="DA953" s="14" t="n"/>
      <c r="DB953" s="14" t="n"/>
      <c r="DC953" s="14" t="n"/>
    </row>
    <row r="954">
      <c r="B954" t="inlineStr">
        <is>
          <t>TPP-611</t>
        </is>
      </c>
      <c r="C954" t="inlineStr">
        <is>
          <t>No. of batches</t>
        </is>
      </c>
      <c r="D954">
        <f>IFERROR(INDEX(PP_Grid[#Data],$DD954,2),0)</f>
        <v/>
      </c>
      <c r="E954">
        <f>IFERROR(INDEX(PP_Grid[#Data],$DD954,3),0)</f>
        <v/>
      </c>
      <c r="F954">
        <f>IFERROR(INDEX(PP_Grid[#Data],$DD954,4),0)</f>
        <v/>
      </c>
      <c r="G954">
        <f>IFERROR(INDEX(PP_Grid[#Data],$DD954,5),0)</f>
        <v/>
      </c>
      <c r="H954">
        <f>IFERROR(INDEX(PP_Grid[#Data],$DD954,6),0)</f>
        <v/>
      </c>
      <c r="I954">
        <f>IFERROR(INDEX(PP_Grid[#Data],$DD954,7),0)</f>
        <v/>
      </c>
      <c r="J954">
        <f>IFERROR(INDEX(PP_Grid[#Data],$DD954,8),0)</f>
        <v/>
      </c>
      <c r="K954">
        <f>IFERROR(INDEX(PP_Grid[#Data],$DD954,9),0)</f>
        <v/>
      </c>
      <c r="L954">
        <f>IFERROR(INDEX(PP_Grid[#Data],$DD954,10),0)</f>
        <v/>
      </c>
      <c r="M954">
        <f>IFERROR(INDEX(PP_Grid[#Data],$DD954,11),0)</f>
        <v/>
      </c>
      <c r="N954">
        <f>IFERROR(INDEX(PP_Grid[#Data],$DD954,12),0)</f>
        <v/>
      </c>
      <c r="O954">
        <f>IFERROR(INDEX(PP_Grid[#Data],$DD954,13),0)</f>
        <v/>
      </c>
      <c r="P954">
        <f>IFERROR(INDEX(PP_Grid[#Data],$DD954,14),0)</f>
        <v/>
      </c>
      <c r="Q954">
        <f>IFERROR(INDEX(PP_Grid[#Data],$DD954,15),0)</f>
        <v/>
      </c>
      <c r="R954">
        <f>IFERROR(INDEX(PP_Grid[#Data],$DD954,16),0)</f>
        <v/>
      </c>
      <c r="S954">
        <f>IFERROR(INDEX(PP_Grid[#Data],$DD954,17),0)</f>
        <v/>
      </c>
      <c r="T954">
        <f>IFERROR(INDEX(PP_Grid[#Data],$DD954,18),0)</f>
        <v/>
      </c>
      <c r="U954">
        <f>IFERROR(INDEX(PP_Grid[#Data],$DD954,19),0)</f>
        <v/>
      </c>
      <c r="V954">
        <f>IFERROR(INDEX(PP_Grid[#Data],$DD954,20),0)</f>
        <v/>
      </c>
      <c r="W954">
        <f>IFERROR(INDEX(PP_Grid[#Data],$DD954,21),0)</f>
        <v/>
      </c>
      <c r="X954">
        <f>IFERROR(INDEX(PP_Grid[#Data],$DD954,22),0)</f>
        <v/>
      </c>
      <c r="Y954">
        <f>IFERROR(INDEX(PP_Grid[#Data],$DD954,23),0)</f>
        <v/>
      </c>
      <c r="Z954">
        <f>IFERROR(INDEX(PP_Grid[#Data],$DD954,24),0)</f>
        <v/>
      </c>
      <c r="AA954">
        <f>IFERROR(INDEX(PP_Grid[#Data],$DD954,25),0)</f>
        <v/>
      </c>
      <c r="AB954">
        <f>IFERROR(INDEX(PP_Grid[#Data],$DD954,26),0)</f>
        <v/>
      </c>
      <c r="AC954">
        <f>IFERROR(INDEX(PP_Grid[#Data],$DD954,27),0)</f>
        <v/>
      </c>
      <c r="AD954">
        <f>IFERROR(INDEX(PP_Grid[#Data],$DD954,28),0)</f>
        <v/>
      </c>
      <c r="AE954">
        <f>IFERROR(INDEX(PP_Grid[#Data],$DD954,29),0)</f>
        <v/>
      </c>
      <c r="AF954">
        <f>IFERROR(INDEX(PP_Grid[#Data],$DD954,30),0)</f>
        <v/>
      </c>
      <c r="AG954">
        <f>IFERROR(INDEX(PP_Grid[#Data],$DD954,31),0)</f>
        <v/>
      </c>
      <c r="AH954">
        <f>IFERROR(INDEX(PP_Grid[#Data],$DD954,32),0)</f>
        <v/>
      </c>
      <c r="AI954">
        <f>IFERROR(INDEX(PP_Grid[#Data],$DD954,33),0)</f>
        <v/>
      </c>
      <c r="AJ954">
        <f>IFERROR(INDEX(PP_Grid[#Data],$DD954,34),0)</f>
        <v/>
      </c>
      <c r="AK954">
        <f>IFERROR(INDEX(PP_Grid[#Data],$DD954,35),0)</f>
        <v/>
      </c>
      <c r="AL954">
        <f>IFERROR(INDEX(PP_Grid[#Data],$DD954,36),0)</f>
        <v/>
      </c>
      <c r="AM954">
        <f>IFERROR(INDEX(PP_Grid[#Data],$DD954,37),0)</f>
        <v/>
      </c>
      <c r="AN954">
        <f>IFERROR(INDEX(PP_Grid[#Data],$DD954,38),0)</f>
        <v/>
      </c>
      <c r="AO954">
        <f>IFERROR(INDEX(PP_Grid[#Data],$DD954,39),0)</f>
        <v/>
      </c>
      <c r="AP954">
        <f>IFERROR(INDEX(PP_Grid[#Data],$DD954,40),0)</f>
        <v/>
      </c>
      <c r="AQ954">
        <f>IFERROR(INDEX(PP_Grid[#Data],$DD954,41),0)</f>
        <v/>
      </c>
      <c r="AR954">
        <f>IFERROR(INDEX(PP_Grid[#Data],$DD954,42),0)</f>
        <v/>
      </c>
      <c r="AS954">
        <f>IFERROR(INDEX(PP_Grid[#Data],$DD954,43),0)</f>
        <v/>
      </c>
      <c r="AT954">
        <f>IFERROR(INDEX(PP_Grid[#Data],$DD954,44),0)</f>
        <v/>
      </c>
      <c r="AU954">
        <f>IFERROR(INDEX(PP_Grid[#Data],$DD954,45),0)</f>
        <v/>
      </c>
      <c r="AV954">
        <f>IFERROR(INDEX(PP_Grid[#Data],$DD954,46),0)</f>
        <v/>
      </c>
      <c r="AW954">
        <f>IFERROR(INDEX(PP_Grid[#Data],$DD954,47),0)</f>
        <v/>
      </c>
      <c r="AX954">
        <f>IFERROR(INDEX(PP_Grid[#Data],$DD954,48),0)</f>
        <v/>
      </c>
      <c r="AY954">
        <f>IFERROR(INDEX(PP_Grid[#Data],$DD954,49),0)</f>
        <v/>
      </c>
      <c r="AZ954">
        <f>IFERROR(INDEX(PP_Grid[#Data],$DD954,50),0)</f>
        <v/>
      </c>
      <c r="BA954">
        <f>IFERROR(INDEX(PP_Grid[#Data],$DD954,51),0)</f>
        <v/>
      </c>
      <c r="BB954">
        <f>IFERROR(INDEX(PP_Grid[#Data],$DD954,52),0)</f>
        <v/>
      </c>
      <c r="BC954">
        <f>IFERROR(INDEX(PP_Grid[#Data],$DD954,53),0)</f>
        <v/>
      </c>
      <c r="BD954">
        <f>IFERROR(INDEX(PP_Grid[#Data],$DD954,54),0)</f>
        <v/>
      </c>
      <c r="BE954">
        <f>IFERROR(INDEX(PP_Grid[#Data],$DD954,55),0)</f>
        <v/>
      </c>
      <c r="BF954">
        <f>IFERROR(INDEX(PP_Grid[#Data],$DD954,56),0)</f>
        <v/>
      </c>
      <c r="BG954">
        <f>IFERROR(INDEX(PP_Grid[#Data],$DD954,57),0)</f>
        <v/>
      </c>
      <c r="BH954">
        <f>IFERROR(INDEX(PP_Grid[#Data],$DD954,58),0)</f>
        <v/>
      </c>
      <c r="BI954">
        <f>IFERROR(INDEX(PP_Grid[#Data],$DD954,59),0)</f>
        <v/>
      </c>
      <c r="BJ954">
        <f>IFERROR(INDEX(PP_Grid[#Data],$DD954,60),0)</f>
        <v/>
      </c>
      <c r="BK954">
        <f>IFERROR(INDEX(PP_Grid[#Data],$DD954,61),0)</f>
        <v/>
      </c>
      <c r="BL954">
        <f>IFERROR(INDEX(PP_Grid[#Data],$DD954,62),0)</f>
        <v/>
      </c>
      <c r="BM954">
        <f>IFERROR(INDEX(PP_Grid[#Data],$DD954,63),0)</f>
        <v/>
      </c>
      <c r="BN954">
        <f>IFERROR(INDEX(PP_Grid[#Data],$DD954,64),0)</f>
        <v/>
      </c>
      <c r="BO954">
        <f>IFERROR(INDEX(PP_Grid[#Data],$DD954,65),0)</f>
        <v/>
      </c>
      <c r="BP954">
        <f>IFERROR(INDEX(PP_Grid[#Data],$DD954,66),0)</f>
        <v/>
      </c>
      <c r="BQ954">
        <f>IFERROR(INDEX(PP_Grid[#Data],$DD954,67),0)</f>
        <v/>
      </c>
      <c r="BR954">
        <f>IFERROR(INDEX(PP_Grid[#Data],$DD954,68),0)</f>
        <v/>
      </c>
      <c r="BS954">
        <f>IFERROR(INDEX(PP_Grid[#Data],$DD954,69),0)</f>
        <v/>
      </c>
      <c r="BT954">
        <f>IFERROR(INDEX(PP_Grid[#Data],$DD954,70),0)</f>
        <v/>
      </c>
      <c r="BU954">
        <f>IFERROR(INDEX(PP_Grid[#Data],$DD954,71),0)</f>
        <v/>
      </c>
      <c r="BV954">
        <f>IFERROR(INDEX(PP_Grid[#Data],$DD954,72),0)</f>
        <v/>
      </c>
      <c r="BW954">
        <f>IFERROR(INDEX(PP_Grid[#Data],$DD954,73),0)</f>
        <v/>
      </c>
      <c r="BX954">
        <f>IFERROR(INDEX(PP_Grid[#Data],$DD954,74),0)</f>
        <v/>
      </c>
      <c r="BY954">
        <f>IFERROR(INDEX(PP_Grid[#Data],$DD954,75),0)</f>
        <v/>
      </c>
      <c r="BZ954">
        <f>IFERROR(INDEX(PP_Grid[#Data],$DD954,76),0)</f>
        <v/>
      </c>
      <c r="CA954">
        <f>IFERROR(INDEX(PP_Grid[#Data],$DD954,77),0)</f>
        <v/>
      </c>
      <c r="CB954">
        <f>IFERROR(INDEX(PP_Grid[#Data],$DD954,78),0)</f>
        <v/>
      </c>
      <c r="CC954">
        <f>IFERROR(INDEX(PP_Grid[#Data],$DD954,79),0)</f>
        <v/>
      </c>
      <c r="CD954">
        <f>IFERROR(INDEX(PP_Grid[#Data],$DD954,80),0)</f>
        <v/>
      </c>
      <c r="CE954">
        <f>IFERROR(INDEX(PP_Grid[#Data],$DD954,81),0)</f>
        <v/>
      </c>
      <c r="CF954">
        <f>IFERROR(INDEX(PP_Grid[#Data],$DD954,82),0)</f>
        <v/>
      </c>
      <c r="CG954">
        <f>IFERROR(INDEX(PP_Grid[#Data],$DD954,83),0)</f>
        <v/>
      </c>
      <c r="CH954">
        <f>IFERROR(INDEX(PP_Grid[#Data],$DD954,84),0)</f>
        <v/>
      </c>
      <c r="CI954">
        <f>IFERROR(INDEX(PP_Grid[#Data],$DD954,85),0)</f>
        <v/>
      </c>
      <c r="CJ954">
        <f>IFERROR(INDEX(PP_Grid[#Data],$DD954,86),0)</f>
        <v/>
      </c>
      <c r="CK954">
        <f>IFERROR(INDEX(PP_Grid[#Data],$DD954,87),0)</f>
        <v/>
      </c>
      <c r="CL954">
        <f>IFERROR(INDEX(PP_Grid[#Data],$DD954,88),0)</f>
        <v/>
      </c>
      <c r="CM954">
        <f>IFERROR(INDEX(PP_Grid[#Data],$DD954,89),0)</f>
        <v/>
      </c>
      <c r="CN954">
        <f>IFERROR(INDEX(PP_Grid[#Data],$DD954,90),0)</f>
        <v/>
      </c>
      <c r="CO954">
        <f>IFERROR(INDEX(PP_Grid[#Data],$DD954,91),0)</f>
        <v/>
      </c>
      <c r="CP954">
        <f>IFERROR(INDEX(PP_Grid[#Data],$DD954,92),0)</f>
        <v/>
      </c>
      <c r="CQ954">
        <f>IFERROR(INDEX(PP_Grid[#Data],$DD954,93),0)</f>
        <v/>
      </c>
      <c r="CR954">
        <f>IFERROR(INDEX(PP_Grid[#Data],$DD954,94),0)</f>
        <v/>
      </c>
      <c r="CS954">
        <f>IFERROR(INDEX(PP_Grid[#Data],$DD954,95),0)</f>
        <v/>
      </c>
      <c r="CT954">
        <f>IFERROR(INDEX(PP_Grid[#Data],$DD954,96),0)</f>
        <v/>
      </c>
      <c r="CU954">
        <f>IFERROR(INDEX(PP_Grid[#Data],$DD954,97),0)</f>
        <v/>
      </c>
      <c r="CV954">
        <f>IFERROR(INDEX(PP_Grid[#Data],$DD954,98),0)</f>
        <v/>
      </c>
      <c r="CW954">
        <f>IFERROR(INDEX(PP_Grid[#Data],$DD954,99),0)</f>
        <v/>
      </c>
      <c r="CX954">
        <f>IFERROR(INDEX(PP_Grid[#Data],$DD954,100),0)</f>
        <v/>
      </c>
      <c r="CY954">
        <f>IFERROR(INDEX(PP_Grid[#Data],$DD954,101),0)</f>
        <v/>
      </c>
      <c r="CZ954">
        <f>IFERROR(INDEX(PP_Grid[#Data],$DD954,102),0)</f>
        <v/>
      </c>
      <c r="DA954">
        <f>IFERROR(INDEX(PP_Grid[#Data],$DD954,103),0)</f>
        <v/>
      </c>
      <c r="DB954">
        <f>IFERROR(INDEX(PP_Grid[#Data],$DD954,104),0)</f>
        <v/>
      </c>
      <c r="DC954">
        <f>IFERROR(INDEX(PP_Grid[#Data],$DD954,105),0)</f>
        <v/>
      </c>
      <c r="DD954" s="7">
        <f>IFERROR(MATCH($B954,PP_Grid[Intermediate],0),99999)</f>
        <v/>
      </c>
    </row>
    <row r="955">
      <c r="B955" t="inlineStr">
        <is>
          <t>使用量(kg)</t>
        </is>
      </c>
      <c r="C955">
        <f>SUMIFS(M_BOM[RM_Qty_Per_Batch],M_BOM[Intermediate],$B954,M_BOM[Part Name],$A953)</f>
        <v/>
      </c>
      <c r="D955">
        <f>$C955*D954</f>
        <v/>
      </c>
      <c r="E955">
        <f>$C955*E954</f>
        <v/>
      </c>
      <c r="F955">
        <f>$C955*F954</f>
        <v/>
      </c>
      <c r="G955">
        <f>$C955*G954</f>
        <v/>
      </c>
      <c r="H955">
        <f>$C955*H954</f>
        <v/>
      </c>
      <c r="I955">
        <f>$C955*I954</f>
        <v/>
      </c>
      <c r="J955">
        <f>$C955*J954</f>
        <v/>
      </c>
      <c r="K955">
        <f>$C955*K954</f>
        <v/>
      </c>
      <c r="L955">
        <f>$C955*L954</f>
        <v/>
      </c>
      <c r="M955">
        <f>$C955*M954</f>
        <v/>
      </c>
      <c r="N955">
        <f>$C955*N954</f>
        <v/>
      </c>
      <c r="O955">
        <f>$C955*O954</f>
        <v/>
      </c>
      <c r="P955">
        <f>$C955*P954</f>
        <v/>
      </c>
      <c r="Q955">
        <f>$C955*Q954</f>
        <v/>
      </c>
      <c r="R955">
        <f>$C955*R954</f>
        <v/>
      </c>
      <c r="S955">
        <f>$C955*S954</f>
        <v/>
      </c>
      <c r="T955">
        <f>$C955*T954</f>
        <v/>
      </c>
      <c r="U955">
        <f>$C955*U954</f>
        <v/>
      </c>
      <c r="V955">
        <f>$C955*V954</f>
        <v/>
      </c>
      <c r="W955">
        <f>$C955*W954</f>
        <v/>
      </c>
      <c r="X955">
        <f>$C955*X954</f>
        <v/>
      </c>
      <c r="Y955">
        <f>$C955*Y954</f>
        <v/>
      </c>
      <c r="Z955">
        <f>$C955*Z954</f>
        <v/>
      </c>
      <c r="AA955">
        <f>$C955*AA954</f>
        <v/>
      </c>
      <c r="AB955">
        <f>$C955*AB954</f>
        <v/>
      </c>
      <c r="AC955">
        <f>$C955*AC954</f>
        <v/>
      </c>
      <c r="AD955">
        <f>$C955*AD954</f>
        <v/>
      </c>
      <c r="AE955">
        <f>$C955*AE954</f>
        <v/>
      </c>
      <c r="AF955">
        <f>$C955*AF954</f>
        <v/>
      </c>
      <c r="AG955">
        <f>$C955*AG954</f>
        <v/>
      </c>
      <c r="AH955">
        <f>$C955*AH954</f>
        <v/>
      </c>
      <c r="AI955">
        <f>$C955*AI954</f>
        <v/>
      </c>
      <c r="AJ955">
        <f>$C955*AJ954</f>
        <v/>
      </c>
      <c r="AK955">
        <f>$C955*AK954</f>
        <v/>
      </c>
      <c r="AL955">
        <f>$C955*AL954</f>
        <v/>
      </c>
      <c r="AM955">
        <f>$C955*AM954</f>
        <v/>
      </c>
      <c r="AN955">
        <f>$C955*AN954</f>
        <v/>
      </c>
      <c r="AO955">
        <f>$C955*AO954</f>
        <v/>
      </c>
      <c r="AP955">
        <f>$C955*AP954</f>
        <v/>
      </c>
      <c r="AQ955">
        <f>$C955*AQ954</f>
        <v/>
      </c>
      <c r="AR955">
        <f>$C955*AR954</f>
        <v/>
      </c>
      <c r="AS955">
        <f>$C955*AS954</f>
        <v/>
      </c>
      <c r="AT955">
        <f>$C955*AT954</f>
        <v/>
      </c>
      <c r="AU955">
        <f>$C955*AU954</f>
        <v/>
      </c>
      <c r="AV955">
        <f>$C955*AV954</f>
        <v/>
      </c>
      <c r="AW955">
        <f>$C955*AW954</f>
        <v/>
      </c>
      <c r="AX955">
        <f>$C955*AX954</f>
        <v/>
      </c>
      <c r="AY955">
        <f>$C955*AY954</f>
        <v/>
      </c>
      <c r="AZ955">
        <f>$C955*AZ954</f>
        <v/>
      </c>
      <c r="BA955">
        <f>$C955*BA954</f>
        <v/>
      </c>
      <c r="BB955">
        <f>$C955*BB954</f>
        <v/>
      </c>
      <c r="BC955">
        <f>$C955*BC954</f>
        <v/>
      </c>
      <c r="BD955">
        <f>$C955*BD954</f>
        <v/>
      </c>
      <c r="BE955">
        <f>$C955*BE954</f>
        <v/>
      </c>
      <c r="BF955">
        <f>$C955*BF954</f>
        <v/>
      </c>
      <c r="BG955">
        <f>$C955*BG954</f>
        <v/>
      </c>
      <c r="BH955">
        <f>$C955*BH954</f>
        <v/>
      </c>
      <c r="BI955">
        <f>$C955*BI954</f>
        <v/>
      </c>
      <c r="BJ955">
        <f>$C955*BJ954</f>
        <v/>
      </c>
      <c r="BK955">
        <f>$C955*BK954</f>
        <v/>
      </c>
      <c r="BL955">
        <f>$C955*BL954</f>
        <v/>
      </c>
      <c r="BM955">
        <f>$C955*BM954</f>
        <v/>
      </c>
      <c r="BN955">
        <f>$C955*BN954</f>
        <v/>
      </c>
      <c r="BO955">
        <f>$C955*BO954</f>
        <v/>
      </c>
      <c r="BP955">
        <f>$C955*BP954</f>
        <v/>
      </c>
      <c r="BQ955">
        <f>$C955*BQ954</f>
        <v/>
      </c>
      <c r="BR955">
        <f>$C955*BR954</f>
        <v/>
      </c>
      <c r="BS955">
        <f>$C955*BS954</f>
        <v/>
      </c>
      <c r="BT955">
        <f>$C955*BT954</f>
        <v/>
      </c>
      <c r="BU955">
        <f>$C955*BU954</f>
        <v/>
      </c>
      <c r="BV955">
        <f>$C955*BV954</f>
        <v/>
      </c>
      <c r="BW955">
        <f>$C955*BW954</f>
        <v/>
      </c>
      <c r="BX955">
        <f>$C955*BX954</f>
        <v/>
      </c>
      <c r="BY955">
        <f>$C955*BY954</f>
        <v/>
      </c>
      <c r="BZ955">
        <f>$C955*BZ954</f>
        <v/>
      </c>
      <c r="CA955">
        <f>$C955*CA954</f>
        <v/>
      </c>
      <c r="CB955">
        <f>$C955*CB954</f>
        <v/>
      </c>
      <c r="CC955">
        <f>$C955*CC954</f>
        <v/>
      </c>
      <c r="CD955">
        <f>$C955*CD954</f>
        <v/>
      </c>
      <c r="CE955">
        <f>$C955*CE954</f>
        <v/>
      </c>
      <c r="CF955">
        <f>$C955*CF954</f>
        <v/>
      </c>
      <c r="CG955">
        <f>$C955*CG954</f>
        <v/>
      </c>
      <c r="CH955">
        <f>$C955*CH954</f>
        <v/>
      </c>
      <c r="CI955">
        <f>$C955*CI954</f>
        <v/>
      </c>
      <c r="CJ955">
        <f>$C955*CJ954</f>
        <v/>
      </c>
      <c r="CK955">
        <f>$C955*CK954</f>
        <v/>
      </c>
      <c r="CL955">
        <f>$C955*CL954</f>
        <v/>
      </c>
      <c r="CM955">
        <f>$C955*CM954</f>
        <v/>
      </c>
      <c r="CN955">
        <f>$C955*CN954</f>
        <v/>
      </c>
      <c r="CO955">
        <f>$C955*CO954</f>
        <v/>
      </c>
      <c r="CP955">
        <f>$C955*CP954</f>
        <v/>
      </c>
      <c r="CQ955">
        <f>$C955*CQ954</f>
        <v/>
      </c>
      <c r="CR955">
        <f>$C955*CR954</f>
        <v/>
      </c>
      <c r="CS955">
        <f>$C955*CS954</f>
        <v/>
      </c>
      <c r="CT955">
        <f>$C955*CT954</f>
        <v/>
      </c>
      <c r="CU955">
        <f>$C955*CU954</f>
        <v/>
      </c>
      <c r="CV955">
        <f>$C955*CV954</f>
        <v/>
      </c>
      <c r="CW955">
        <f>$C955*CW954</f>
        <v/>
      </c>
      <c r="CX955">
        <f>$C955*CX954</f>
        <v/>
      </c>
      <c r="CY955">
        <f>$C955*CY954</f>
        <v/>
      </c>
      <c r="CZ955">
        <f>$C955*CZ954</f>
        <v/>
      </c>
      <c r="DA955">
        <f>$C955*DA954</f>
        <v/>
      </c>
      <c r="DB955">
        <f>$C955*DB954</f>
        <v/>
      </c>
      <c r="DC955">
        <f>$C955*DC954</f>
        <v/>
      </c>
    </row>
    <row r="956">
      <c r="B956" t="inlineStr">
        <is>
          <t>TPP-613</t>
        </is>
      </c>
      <c r="C956" t="inlineStr">
        <is>
          <t>No. of batches</t>
        </is>
      </c>
      <c r="D956">
        <f>IFERROR(INDEX(PP_Grid[#Data],$DD956,2),0)</f>
        <v/>
      </c>
      <c r="E956">
        <f>IFERROR(INDEX(PP_Grid[#Data],$DD956,3),0)</f>
        <v/>
      </c>
      <c r="F956">
        <f>IFERROR(INDEX(PP_Grid[#Data],$DD956,4),0)</f>
        <v/>
      </c>
      <c r="G956">
        <f>IFERROR(INDEX(PP_Grid[#Data],$DD956,5),0)</f>
        <v/>
      </c>
      <c r="H956">
        <f>IFERROR(INDEX(PP_Grid[#Data],$DD956,6),0)</f>
        <v/>
      </c>
      <c r="I956">
        <f>IFERROR(INDEX(PP_Grid[#Data],$DD956,7),0)</f>
        <v/>
      </c>
      <c r="J956">
        <f>IFERROR(INDEX(PP_Grid[#Data],$DD956,8),0)</f>
        <v/>
      </c>
      <c r="K956">
        <f>IFERROR(INDEX(PP_Grid[#Data],$DD956,9),0)</f>
        <v/>
      </c>
      <c r="L956">
        <f>IFERROR(INDEX(PP_Grid[#Data],$DD956,10),0)</f>
        <v/>
      </c>
      <c r="M956">
        <f>IFERROR(INDEX(PP_Grid[#Data],$DD956,11),0)</f>
        <v/>
      </c>
      <c r="N956">
        <f>IFERROR(INDEX(PP_Grid[#Data],$DD956,12),0)</f>
        <v/>
      </c>
      <c r="O956">
        <f>IFERROR(INDEX(PP_Grid[#Data],$DD956,13),0)</f>
        <v/>
      </c>
      <c r="P956">
        <f>IFERROR(INDEX(PP_Grid[#Data],$DD956,14),0)</f>
        <v/>
      </c>
      <c r="Q956">
        <f>IFERROR(INDEX(PP_Grid[#Data],$DD956,15),0)</f>
        <v/>
      </c>
      <c r="R956">
        <f>IFERROR(INDEX(PP_Grid[#Data],$DD956,16),0)</f>
        <v/>
      </c>
      <c r="S956">
        <f>IFERROR(INDEX(PP_Grid[#Data],$DD956,17),0)</f>
        <v/>
      </c>
      <c r="T956">
        <f>IFERROR(INDEX(PP_Grid[#Data],$DD956,18),0)</f>
        <v/>
      </c>
      <c r="U956">
        <f>IFERROR(INDEX(PP_Grid[#Data],$DD956,19),0)</f>
        <v/>
      </c>
      <c r="V956">
        <f>IFERROR(INDEX(PP_Grid[#Data],$DD956,20),0)</f>
        <v/>
      </c>
      <c r="W956">
        <f>IFERROR(INDEX(PP_Grid[#Data],$DD956,21),0)</f>
        <v/>
      </c>
      <c r="X956">
        <f>IFERROR(INDEX(PP_Grid[#Data],$DD956,22),0)</f>
        <v/>
      </c>
      <c r="Y956">
        <f>IFERROR(INDEX(PP_Grid[#Data],$DD956,23),0)</f>
        <v/>
      </c>
      <c r="Z956">
        <f>IFERROR(INDEX(PP_Grid[#Data],$DD956,24),0)</f>
        <v/>
      </c>
      <c r="AA956">
        <f>IFERROR(INDEX(PP_Grid[#Data],$DD956,25),0)</f>
        <v/>
      </c>
      <c r="AB956">
        <f>IFERROR(INDEX(PP_Grid[#Data],$DD956,26),0)</f>
        <v/>
      </c>
      <c r="AC956">
        <f>IFERROR(INDEX(PP_Grid[#Data],$DD956,27),0)</f>
        <v/>
      </c>
      <c r="AD956">
        <f>IFERROR(INDEX(PP_Grid[#Data],$DD956,28),0)</f>
        <v/>
      </c>
      <c r="AE956">
        <f>IFERROR(INDEX(PP_Grid[#Data],$DD956,29),0)</f>
        <v/>
      </c>
      <c r="AF956">
        <f>IFERROR(INDEX(PP_Grid[#Data],$DD956,30),0)</f>
        <v/>
      </c>
      <c r="AG956">
        <f>IFERROR(INDEX(PP_Grid[#Data],$DD956,31),0)</f>
        <v/>
      </c>
      <c r="AH956">
        <f>IFERROR(INDEX(PP_Grid[#Data],$DD956,32),0)</f>
        <v/>
      </c>
      <c r="AI956">
        <f>IFERROR(INDEX(PP_Grid[#Data],$DD956,33),0)</f>
        <v/>
      </c>
      <c r="AJ956">
        <f>IFERROR(INDEX(PP_Grid[#Data],$DD956,34),0)</f>
        <v/>
      </c>
      <c r="AK956">
        <f>IFERROR(INDEX(PP_Grid[#Data],$DD956,35),0)</f>
        <v/>
      </c>
      <c r="AL956">
        <f>IFERROR(INDEX(PP_Grid[#Data],$DD956,36),0)</f>
        <v/>
      </c>
      <c r="AM956">
        <f>IFERROR(INDEX(PP_Grid[#Data],$DD956,37),0)</f>
        <v/>
      </c>
      <c r="AN956">
        <f>IFERROR(INDEX(PP_Grid[#Data],$DD956,38),0)</f>
        <v/>
      </c>
      <c r="AO956">
        <f>IFERROR(INDEX(PP_Grid[#Data],$DD956,39),0)</f>
        <v/>
      </c>
      <c r="AP956">
        <f>IFERROR(INDEX(PP_Grid[#Data],$DD956,40),0)</f>
        <v/>
      </c>
      <c r="AQ956">
        <f>IFERROR(INDEX(PP_Grid[#Data],$DD956,41),0)</f>
        <v/>
      </c>
      <c r="AR956">
        <f>IFERROR(INDEX(PP_Grid[#Data],$DD956,42),0)</f>
        <v/>
      </c>
      <c r="AS956">
        <f>IFERROR(INDEX(PP_Grid[#Data],$DD956,43),0)</f>
        <v/>
      </c>
      <c r="AT956">
        <f>IFERROR(INDEX(PP_Grid[#Data],$DD956,44),0)</f>
        <v/>
      </c>
      <c r="AU956">
        <f>IFERROR(INDEX(PP_Grid[#Data],$DD956,45),0)</f>
        <v/>
      </c>
      <c r="AV956">
        <f>IFERROR(INDEX(PP_Grid[#Data],$DD956,46),0)</f>
        <v/>
      </c>
      <c r="AW956">
        <f>IFERROR(INDEX(PP_Grid[#Data],$DD956,47),0)</f>
        <v/>
      </c>
      <c r="AX956">
        <f>IFERROR(INDEX(PP_Grid[#Data],$DD956,48),0)</f>
        <v/>
      </c>
      <c r="AY956">
        <f>IFERROR(INDEX(PP_Grid[#Data],$DD956,49),0)</f>
        <v/>
      </c>
      <c r="AZ956">
        <f>IFERROR(INDEX(PP_Grid[#Data],$DD956,50),0)</f>
        <v/>
      </c>
      <c r="BA956">
        <f>IFERROR(INDEX(PP_Grid[#Data],$DD956,51),0)</f>
        <v/>
      </c>
      <c r="BB956">
        <f>IFERROR(INDEX(PP_Grid[#Data],$DD956,52),0)</f>
        <v/>
      </c>
      <c r="BC956">
        <f>IFERROR(INDEX(PP_Grid[#Data],$DD956,53),0)</f>
        <v/>
      </c>
      <c r="BD956">
        <f>IFERROR(INDEX(PP_Grid[#Data],$DD956,54),0)</f>
        <v/>
      </c>
      <c r="BE956">
        <f>IFERROR(INDEX(PP_Grid[#Data],$DD956,55),0)</f>
        <v/>
      </c>
      <c r="BF956">
        <f>IFERROR(INDEX(PP_Grid[#Data],$DD956,56),0)</f>
        <v/>
      </c>
      <c r="BG956">
        <f>IFERROR(INDEX(PP_Grid[#Data],$DD956,57),0)</f>
        <v/>
      </c>
      <c r="BH956">
        <f>IFERROR(INDEX(PP_Grid[#Data],$DD956,58),0)</f>
        <v/>
      </c>
      <c r="BI956">
        <f>IFERROR(INDEX(PP_Grid[#Data],$DD956,59),0)</f>
        <v/>
      </c>
      <c r="BJ956">
        <f>IFERROR(INDEX(PP_Grid[#Data],$DD956,60),0)</f>
        <v/>
      </c>
      <c r="BK956">
        <f>IFERROR(INDEX(PP_Grid[#Data],$DD956,61),0)</f>
        <v/>
      </c>
      <c r="BL956">
        <f>IFERROR(INDEX(PP_Grid[#Data],$DD956,62),0)</f>
        <v/>
      </c>
      <c r="BM956">
        <f>IFERROR(INDEX(PP_Grid[#Data],$DD956,63),0)</f>
        <v/>
      </c>
      <c r="BN956">
        <f>IFERROR(INDEX(PP_Grid[#Data],$DD956,64),0)</f>
        <v/>
      </c>
      <c r="BO956">
        <f>IFERROR(INDEX(PP_Grid[#Data],$DD956,65),0)</f>
        <v/>
      </c>
      <c r="BP956">
        <f>IFERROR(INDEX(PP_Grid[#Data],$DD956,66),0)</f>
        <v/>
      </c>
      <c r="BQ956">
        <f>IFERROR(INDEX(PP_Grid[#Data],$DD956,67),0)</f>
        <v/>
      </c>
      <c r="BR956">
        <f>IFERROR(INDEX(PP_Grid[#Data],$DD956,68),0)</f>
        <v/>
      </c>
      <c r="BS956">
        <f>IFERROR(INDEX(PP_Grid[#Data],$DD956,69),0)</f>
        <v/>
      </c>
      <c r="BT956">
        <f>IFERROR(INDEX(PP_Grid[#Data],$DD956,70),0)</f>
        <v/>
      </c>
      <c r="BU956">
        <f>IFERROR(INDEX(PP_Grid[#Data],$DD956,71),0)</f>
        <v/>
      </c>
      <c r="BV956">
        <f>IFERROR(INDEX(PP_Grid[#Data],$DD956,72),0)</f>
        <v/>
      </c>
      <c r="BW956">
        <f>IFERROR(INDEX(PP_Grid[#Data],$DD956,73),0)</f>
        <v/>
      </c>
      <c r="BX956">
        <f>IFERROR(INDEX(PP_Grid[#Data],$DD956,74),0)</f>
        <v/>
      </c>
      <c r="BY956">
        <f>IFERROR(INDEX(PP_Grid[#Data],$DD956,75),0)</f>
        <v/>
      </c>
      <c r="BZ956">
        <f>IFERROR(INDEX(PP_Grid[#Data],$DD956,76),0)</f>
        <v/>
      </c>
      <c r="CA956">
        <f>IFERROR(INDEX(PP_Grid[#Data],$DD956,77),0)</f>
        <v/>
      </c>
      <c r="CB956">
        <f>IFERROR(INDEX(PP_Grid[#Data],$DD956,78),0)</f>
        <v/>
      </c>
      <c r="CC956">
        <f>IFERROR(INDEX(PP_Grid[#Data],$DD956,79),0)</f>
        <v/>
      </c>
      <c r="CD956">
        <f>IFERROR(INDEX(PP_Grid[#Data],$DD956,80),0)</f>
        <v/>
      </c>
      <c r="CE956">
        <f>IFERROR(INDEX(PP_Grid[#Data],$DD956,81),0)</f>
        <v/>
      </c>
      <c r="CF956">
        <f>IFERROR(INDEX(PP_Grid[#Data],$DD956,82),0)</f>
        <v/>
      </c>
      <c r="CG956">
        <f>IFERROR(INDEX(PP_Grid[#Data],$DD956,83),0)</f>
        <v/>
      </c>
      <c r="CH956">
        <f>IFERROR(INDEX(PP_Grid[#Data],$DD956,84),0)</f>
        <v/>
      </c>
      <c r="CI956">
        <f>IFERROR(INDEX(PP_Grid[#Data],$DD956,85),0)</f>
        <v/>
      </c>
      <c r="CJ956">
        <f>IFERROR(INDEX(PP_Grid[#Data],$DD956,86),0)</f>
        <v/>
      </c>
      <c r="CK956">
        <f>IFERROR(INDEX(PP_Grid[#Data],$DD956,87),0)</f>
        <v/>
      </c>
      <c r="CL956">
        <f>IFERROR(INDEX(PP_Grid[#Data],$DD956,88),0)</f>
        <v/>
      </c>
      <c r="CM956">
        <f>IFERROR(INDEX(PP_Grid[#Data],$DD956,89),0)</f>
        <v/>
      </c>
      <c r="CN956">
        <f>IFERROR(INDEX(PP_Grid[#Data],$DD956,90),0)</f>
        <v/>
      </c>
      <c r="CO956">
        <f>IFERROR(INDEX(PP_Grid[#Data],$DD956,91),0)</f>
        <v/>
      </c>
      <c r="CP956">
        <f>IFERROR(INDEX(PP_Grid[#Data],$DD956,92),0)</f>
        <v/>
      </c>
      <c r="CQ956">
        <f>IFERROR(INDEX(PP_Grid[#Data],$DD956,93),0)</f>
        <v/>
      </c>
      <c r="CR956">
        <f>IFERROR(INDEX(PP_Grid[#Data],$DD956,94),0)</f>
        <v/>
      </c>
      <c r="CS956">
        <f>IFERROR(INDEX(PP_Grid[#Data],$DD956,95),0)</f>
        <v/>
      </c>
      <c r="CT956">
        <f>IFERROR(INDEX(PP_Grid[#Data],$DD956,96),0)</f>
        <v/>
      </c>
      <c r="CU956">
        <f>IFERROR(INDEX(PP_Grid[#Data],$DD956,97),0)</f>
        <v/>
      </c>
      <c r="CV956">
        <f>IFERROR(INDEX(PP_Grid[#Data],$DD956,98),0)</f>
        <v/>
      </c>
      <c r="CW956">
        <f>IFERROR(INDEX(PP_Grid[#Data],$DD956,99),0)</f>
        <v/>
      </c>
      <c r="CX956">
        <f>IFERROR(INDEX(PP_Grid[#Data],$DD956,100),0)</f>
        <v/>
      </c>
      <c r="CY956">
        <f>IFERROR(INDEX(PP_Grid[#Data],$DD956,101),0)</f>
        <v/>
      </c>
      <c r="CZ956">
        <f>IFERROR(INDEX(PP_Grid[#Data],$DD956,102),0)</f>
        <v/>
      </c>
      <c r="DA956">
        <f>IFERROR(INDEX(PP_Grid[#Data],$DD956,103),0)</f>
        <v/>
      </c>
      <c r="DB956">
        <f>IFERROR(INDEX(PP_Grid[#Data],$DD956,104),0)</f>
        <v/>
      </c>
      <c r="DC956">
        <f>IFERROR(INDEX(PP_Grid[#Data],$DD956,105),0)</f>
        <v/>
      </c>
      <c r="DD956" s="7">
        <f>IFERROR(MATCH($B956,PP_Grid[Intermediate],0),99999)</f>
        <v/>
      </c>
    </row>
    <row r="957">
      <c r="B957" t="inlineStr">
        <is>
          <t>使用量(kg)</t>
        </is>
      </c>
      <c r="C957">
        <f>SUMIFS(M_BOM[RM_Qty_Per_Batch],M_BOM[Intermediate],$B956,M_BOM[Part Name],$A953)</f>
        <v/>
      </c>
      <c r="D957">
        <f>$C957*D956</f>
        <v/>
      </c>
      <c r="E957">
        <f>$C957*E956</f>
        <v/>
      </c>
      <c r="F957">
        <f>$C957*F956</f>
        <v/>
      </c>
      <c r="G957">
        <f>$C957*G956</f>
        <v/>
      </c>
      <c r="H957">
        <f>$C957*H956</f>
        <v/>
      </c>
      <c r="I957">
        <f>$C957*I956</f>
        <v/>
      </c>
      <c r="J957">
        <f>$C957*J956</f>
        <v/>
      </c>
      <c r="K957">
        <f>$C957*K956</f>
        <v/>
      </c>
      <c r="L957">
        <f>$C957*L956</f>
        <v/>
      </c>
      <c r="M957">
        <f>$C957*M956</f>
        <v/>
      </c>
      <c r="N957">
        <f>$C957*N956</f>
        <v/>
      </c>
      <c r="O957">
        <f>$C957*O956</f>
        <v/>
      </c>
      <c r="P957">
        <f>$C957*P956</f>
        <v/>
      </c>
      <c r="Q957">
        <f>$C957*Q956</f>
        <v/>
      </c>
      <c r="R957">
        <f>$C957*R956</f>
        <v/>
      </c>
      <c r="S957">
        <f>$C957*S956</f>
        <v/>
      </c>
      <c r="T957">
        <f>$C957*T956</f>
        <v/>
      </c>
      <c r="U957">
        <f>$C957*U956</f>
        <v/>
      </c>
      <c r="V957">
        <f>$C957*V956</f>
        <v/>
      </c>
      <c r="W957">
        <f>$C957*W956</f>
        <v/>
      </c>
      <c r="X957">
        <f>$C957*X956</f>
        <v/>
      </c>
      <c r="Y957">
        <f>$C957*Y956</f>
        <v/>
      </c>
      <c r="Z957">
        <f>$C957*Z956</f>
        <v/>
      </c>
      <c r="AA957">
        <f>$C957*AA956</f>
        <v/>
      </c>
      <c r="AB957">
        <f>$C957*AB956</f>
        <v/>
      </c>
      <c r="AC957">
        <f>$C957*AC956</f>
        <v/>
      </c>
      <c r="AD957">
        <f>$C957*AD956</f>
        <v/>
      </c>
      <c r="AE957">
        <f>$C957*AE956</f>
        <v/>
      </c>
      <c r="AF957">
        <f>$C957*AF956</f>
        <v/>
      </c>
      <c r="AG957">
        <f>$C957*AG956</f>
        <v/>
      </c>
      <c r="AH957">
        <f>$C957*AH956</f>
        <v/>
      </c>
      <c r="AI957">
        <f>$C957*AI956</f>
        <v/>
      </c>
      <c r="AJ957">
        <f>$C957*AJ956</f>
        <v/>
      </c>
      <c r="AK957">
        <f>$C957*AK956</f>
        <v/>
      </c>
      <c r="AL957">
        <f>$C957*AL956</f>
        <v/>
      </c>
      <c r="AM957">
        <f>$C957*AM956</f>
        <v/>
      </c>
      <c r="AN957">
        <f>$C957*AN956</f>
        <v/>
      </c>
      <c r="AO957">
        <f>$C957*AO956</f>
        <v/>
      </c>
      <c r="AP957">
        <f>$C957*AP956</f>
        <v/>
      </c>
      <c r="AQ957">
        <f>$C957*AQ956</f>
        <v/>
      </c>
      <c r="AR957">
        <f>$C957*AR956</f>
        <v/>
      </c>
      <c r="AS957">
        <f>$C957*AS956</f>
        <v/>
      </c>
      <c r="AT957">
        <f>$C957*AT956</f>
        <v/>
      </c>
      <c r="AU957">
        <f>$C957*AU956</f>
        <v/>
      </c>
      <c r="AV957">
        <f>$C957*AV956</f>
        <v/>
      </c>
      <c r="AW957">
        <f>$C957*AW956</f>
        <v/>
      </c>
      <c r="AX957">
        <f>$C957*AX956</f>
        <v/>
      </c>
      <c r="AY957">
        <f>$C957*AY956</f>
        <v/>
      </c>
      <c r="AZ957">
        <f>$C957*AZ956</f>
        <v/>
      </c>
      <c r="BA957">
        <f>$C957*BA956</f>
        <v/>
      </c>
      <c r="BB957">
        <f>$C957*BB956</f>
        <v/>
      </c>
      <c r="BC957">
        <f>$C957*BC956</f>
        <v/>
      </c>
      <c r="BD957">
        <f>$C957*BD956</f>
        <v/>
      </c>
      <c r="BE957">
        <f>$C957*BE956</f>
        <v/>
      </c>
      <c r="BF957">
        <f>$C957*BF956</f>
        <v/>
      </c>
      <c r="BG957">
        <f>$C957*BG956</f>
        <v/>
      </c>
      <c r="BH957">
        <f>$C957*BH956</f>
        <v/>
      </c>
      <c r="BI957">
        <f>$C957*BI956</f>
        <v/>
      </c>
      <c r="BJ957">
        <f>$C957*BJ956</f>
        <v/>
      </c>
      <c r="BK957">
        <f>$C957*BK956</f>
        <v/>
      </c>
      <c r="BL957">
        <f>$C957*BL956</f>
        <v/>
      </c>
      <c r="BM957">
        <f>$C957*BM956</f>
        <v/>
      </c>
      <c r="BN957">
        <f>$C957*BN956</f>
        <v/>
      </c>
      <c r="BO957">
        <f>$C957*BO956</f>
        <v/>
      </c>
      <c r="BP957">
        <f>$C957*BP956</f>
        <v/>
      </c>
      <c r="BQ957">
        <f>$C957*BQ956</f>
        <v/>
      </c>
      <c r="BR957">
        <f>$C957*BR956</f>
        <v/>
      </c>
      <c r="BS957">
        <f>$C957*BS956</f>
        <v/>
      </c>
      <c r="BT957">
        <f>$C957*BT956</f>
        <v/>
      </c>
      <c r="BU957">
        <f>$C957*BU956</f>
        <v/>
      </c>
      <c r="BV957">
        <f>$C957*BV956</f>
        <v/>
      </c>
      <c r="BW957">
        <f>$C957*BW956</f>
        <v/>
      </c>
      <c r="BX957">
        <f>$C957*BX956</f>
        <v/>
      </c>
      <c r="BY957">
        <f>$C957*BY956</f>
        <v/>
      </c>
      <c r="BZ957">
        <f>$C957*BZ956</f>
        <v/>
      </c>
      <c r="CA957">
        <f>$C957*CA956</f>
        <v/>
      </c>
      <c r="CB957">
        <f>$C957*CB956</f>
        <v/>
      </c>
      <c r="CC957">
        <f>$C957*CC956</f>
        <v/>
      </c>
      <c r="CD957">
        <f>$C957*CD956</f>
        <v/>
      </c>
      <c r="CE957">
        <f>$C957*CE956</f>
        <v/>
      </c>
      <c r="CF957">
        <f>$C957*CF956</f>
        <v/>
      </c>
      <c r="CG957">
        <f>$C957*CG956</f>
        <v/>
      </c>
      <c r="CH957">
        <f>$C957*CH956</f>
        <v/>
      </c>
      <c r="CI957">
        <f>$C957*CI956</f>
        <v/>
      </c>
      <c r="CJ957">
        <f>$C957*CJ956</f>
        <v/>
      </c>
      <c r="CK957">
        <f>$C957*CK956</f>
        <v/>
      </c>
      <c r="CL957">
        <f>$C957*CL956</f>
        <v/>
      </c>
      <c r="CM957">
        <f>$C957*CM956</f>
        <v/>
      </c>
      <c r="CN957">
        <f>$C957*CN956</f>
        <v/>
      </c>
      <c r="CO957">
        <f>$C957*CO956</f>
        <v/>
      </c>
      <c r="CP957">
        <f>$C957*CP956</f>
        <v/>
      </c>
      <c r="CQ957">
        <f>$C957*CQ956</f>
        <v/>
      </c>
      <c r="CR957">
        <f>$C957*CR956</f>
        <v/>
      </c>
      <c r="CS957">
        <f>$C957*CS956</f>
        <v/>
      </c>
      <c r="CT957">
        <f>$C957*CT956</f>
        <v/>
      </c>
      <c r="CU957">
        <f>$C957*CU956</f>
        <v/>
      </c>
      <c r="CV957">
        <f>$C957*CV956</f>
        <v/>
      </c>
      <c r="CW957">
        <f>$C957*CW956</f>
        <v/>
      </c>
      <c r="CX957">
        <f>$C957*CX956</f>
        <v/>
      </c>
      <c r="CY957">
        <f>$C957*CY956</f>
        <v/>
      </c>
      <c r="CZ957">
        <f>$C957*CZ956</f>
        <v/>
      </c>
      <c r="DA957">
        <f>$C957*DA956</f>
        <v/>
      </c>
      <c r="DB957">
        <f>$C957*DB956</f>
        <v/>
      </c>
      <c r="DC957">
        <f>$C957*DC956</f>
        <v/>
      </c>
    </row>
    <row r="958">
      <c r="B958" t="inlineStr">
        <is>
          <t>TPP-915</t>
        </is>
      </c>
      <c r="C958" t="inlineStr">
        <is>
          <t>No. of batches</t>
        </is>
      </c>
      <c r="D958">
        <f>IFERROR(INDEX(PP_Grid[#Data],$DD958,2),0)</f>
        <v/>
      </c>
      <c r="E958">
        <f>IFERROR(INDEX(PP_Grid[#Data],$DD958,3),0)</f>
        <v/>
      </c>
      <c r="F958">
        <f>IFERROR(INDEX(PP_Grid[#Data],$DD958,4),0)</f>
        <v/>
      </c>
      <c r="G958">
        <f>IFERROR(INDEX(PP_Grid[#Data],$DD958,5),0)</f>
        <v/>
      </c>
      <c r="H958">
        <f>IFERROR(INDEX(PP_Grid[#Data],$DD958,6),0)</f>
        <v/>
      </c>
      <c r="I958">
        <f>IFERROR(INDEX(PP_Grid[#Data],$DD958,7),0)</f>
        <v/>
      </c>
      <c r="J958">
        <f>IFERROR(INDEX(PP_Grid[#Data],$DD958,8),0)</f>
        <v/>
      </c>
      <c r="K958">
        <f>IFERROR(INDEX(PP_Grid[#Data],$DD958,9),0)</f>
        <v/>
      </c>
      <c r="L958">
        <f>IFERROR(INDEX(PP_Grid[#Data],$DD958,10),0)</f>
        <v/>
      </c>
      <c r="M958">
        <f>IFERROR(INDEX(PP_Grid[#Data],$DD958,11),0)</f>
        <v/>
      </c>
      <c r="N958">
        <f>IFERROR(INDEX(PP_Grid[#Data],$DD958,12),0)</f>
        <v/>
      </c>
      <c r="O958">
        <f>IFERROR(INDEX(PP_Grid[#Data],$DD958,13),0)</f>
        <v/>
      </c>
      <c r="P958">
        <f>IFERROR(INDEX(PP_Grid[#Data],$DD958,14),0)</f>
        <v/>
      </c>
      <c r="Q958">
        <f>IFERROR(INDEX(PP_Grid[#Data],$DD958,15),0)</f>
        <v/>
      </c>
      <c r="R958">
        <f>IFERROR(INDEX(PP_Grid[#Data],$DD958,16),0)</f>
        <v/>
      </c>
      <c r="S958">
        <f>IFERROR(INDEX(PP_Grid[#Data],$DD958,17),0)</f>
        <v/>
      </c>
      <c r="T958">
        <f>IFERROR(INDEX(PP_Grid[#Data],$DD958,18),0)</f>
        <v/>
      </c>
      <c r="U958">
        <f>IFERROR(INDEX(PP_Grid[#Data],$DD958,19),0)</f>
        <v/>
      </c>
      <c r="V958">
        <f>IFERROR(INDEX(PP_Grid[#Data],$DD958,20),0)</f>
        <v/>
      </c>
      <c r="W958">
        <f>IFERROR(INDEX(PP_Grid[#Data],$DD958,21),0)</f>
        <v/>
      </c>
      <c r="X958">
        <f>IFERROR(INDEX(PP_Grid[#Data],$DD958,22),0)</f>
        <v/>
      </c>
      <c r="Y958">
        <f>IFERROR(INDEX(PP_Grid[#Data],$DD958,23),0)</f>
        <v/>
      </c>
      <c r="Z958">
        <f>IFERROR(INDEX(PP_Grid[#Data],$DD958,24),0)</f>
        <v/>
      </c>
      <c r="AA958">
        <f>IFERROR(INDEX(PP_Grid[#Data],$DD958,25),0)</f>
        <v/>
      </c>
      <c r="AB958">
        <f>IFERROR(INDEX(PP_Grid[#Data],$DD958,26),0)</f>
        <v/>
      </c>
      <c r="AC958">
        <f>IFERROR(INDEX(PP_Grid[#Data],$DD958,27),0)</f>
        <v/>
      </c>
      <c r="AD958">
        <f>IFERROR(INDEX(PP_Grid[#Data],$DD958,28),0)</f>
        <v/>
      </c>
      <c r="AE958">
        <f>IFERROR(INDEX(PP_Grid[#Data],$DD958,29),0)</f>
        <v/>
      </c>
      <c r="AF958">
        <f>IFERROR(INDEX(PP_Grid[#Data],$DD958,30),0)</f>
        <v/>
      </c>
      <c r="AG958">
        <f>IFERROR(INDEX(PP_Grid[#Data],$DD958,31),0)</f>
        <v/>
      </c>
      <c r="AH958">
        <f>IFERROR(INDEX(PP_Grid[#Data],$DD958,32),0)</f>
        <v/>
      </c>
      <c r="AI958">
        <f>IFERROR(INDEX(PP_Grid[#Data],$DD958,33),0)</f>
        <v/>
      </c>
      <c r="AJ958">
        <f>IFERROR(INDEX(PP_Grid[#Data],$DD958,34),0)</f>
        <v/>
      </c>
      <c r="AK958">
        <f>IFERROR(INDEX(PP_Grid[#Data],$DD958,35),0)</f>
        <v/>
      </c>
      <c r="AL958">
        <f>IFERROR(INDEX(PP_Grid[#Data],$DD958,36),0)</f>
        <v/>
      </c>
      <c r="AM958">
        <f>IFERROR(INDEX(PP_Grid[#Data],$DD958,37),0)</f>
        <v/>
      </c>
      <c r="AN958">
        <f>IFERROR(INDEX(PP_Grid[#Data],$DD958,38),0)</f>
        <v/>
      </c>
      <c r="AO958">
        <f>IFERROR(INDEX(PP_Grid[#Data],$DD958,39),0)</f>
        <v/>
      </c>
      <c r="AP958">
        <f>IFERROR(INDEX(PP_Grid[#Data],$DD958,40),0)</f>
        <v/>
      </c>
      <c r="AQ958">
        <f>IFERROR(INDEX(PP_Grid[#Data],$DD958,41),0)</f>
        <v/>
      </c>
      <c r="AR958">
        <f>IFERROR(INDEX(PP_Grid[#Data],$DD958,42),0)</f>
        <v/>
      </c>
      <c r="AS958">
        <f>IFERROR(INDEX(PP_Grid[#Data],$DD958,43),0)</f>
        <v/>
      </c>
      <c r="AT958">
        <f>IFERROR(INDEX(PP_Grid[#Data],$DD958,44),0)</f>
        <v/>
      </c>
      <c r="AU958">
        <f>IFERROR(INDEX(PP_Grid[#Data],$DD958,45),0)</f>
        <v/>
      </c>
      <c r="AV958">
        <f>IFERROR(INDEX(PP_Grid[#Data],$DD958,46),0)</f>
        <v/>
      </c>
      <c r="AW958">
        <f>IFERROR(INDEX(PP_Grid[#Data],$DD958,47),0)</f>
        <v/>
      </c>
      <c r="AX958">
        <f>IFERROR(INDEX(PP_Grid[#Data],$DD958,48),0)</f>
        <v/>
      </c>
      <c r="AY958">
        <f>IFERROR(INDEX(PP_Grid[#Data],$DD958,49),0)</f>
        <v/>
      </c>
      <c r="AZ958">
        <f>IFERROR(INDEX(PP_Grid[#Data],$DD958,50),0)</f>
        <v/>
      </c>
      <c r="BA958">
        <f>IFERROR(INDEX(PP_Grid[#Data],$DD958,51),0)</f>
        <v/>
      </c>
      <c r="BB958">
        <f>IFERROR(INDEX(PP_Grid[#Data],$DD958,52),0)</f>
        <v/>
      </c>
      <c r="BC958">
        <f>IFERROR(INDEX(PP_Grid[#Data],$DD958,53),0)</f>
        <v/>
      </c>
      <c r="BD958">
        <f>IFERROR(INDEX(PP_Grid[#Data],$DD958,54),0)</f>
        <v/>
      </c>
      <c r="BE958">
        <f>IFERROR(INDEX(PP_Grid[#Data],$DD958,55),0)</f>
        <v/>
      </c>
      <c r="BF958">
        <f>IFERROR(INDEX(PP_Grid[#Data],$DD958,56),0)</f>
        <v/>
      </c>
      <c r="BG958">
        <f>IFERROR(INDEX(PP_Grid[#Data],$DD958,57),0)</f>
        <v/>
      </c>
      <c r="BH958">
        <f>IFERROR(INDEX(PP_Grid[#Data],$DD958,58),0)</f>
        <v/>
      </c>
      <c r="BI958">
        <f>IFERROR(INDEX(PP_Grid[#Data],$DD958,59),0)</f>
        <v/>
      </c>
      <c r="BJ958">
        <f>IFERROR(INDEX(PP_Grid[#Data],$DD958,60),0)</f>
        <v/>
      </c>
      <c r="BK958">
        <f>IFERROR(INDEX(PP_Grid[#Data],$DD958,61),0)</f>
        <v/>
      </c>
      <c r="BL958">
        <f>IFERROR(INDEX(PP_Grid[#Data],$DD958,62),0)</f>
        <v/>
      </c>
      <c r="BM958">
        <f>IFERROR(INDEX(PP_Grid[#Data],$DD958,63),0)</f>
        <v/>
      </c>
      <c r="BN958">
        <f>IFERROR(INDEX(PP_Grid[#Data],$DD958,64),0)</f>
        <v/>
      </c>
      <c r="BO958">
        <f>IFERROR(INDEX(PP_Grid[#Data],$DD958,65),0)</f>
        <v/>
      </c>
      <c r="BP958">
        <f>IFERROR(INDEX(PP_Grid[#Data],$DD958,66),0)</f>
        <v/>
      </c>
      <c r="BQ958">
        <f>IFERROR(INDEX(PP_Grid[#Data],$DD958,67),0)</f>
        <v/>
      </c>
      <c r="BR958">
        <f>IFERROR(INDEX(PP_Grid[#Data],$DD958,68),0)</f>
        <v/>
      </c>
      <c r="BS958">
        <f>IFERROR(INDEX(PP_Grid[#Data],$DD958,69),0)</f>
        <v/>
      </c>
      <c r="BT958">
        <f>IFERROR(INDEX(PP_Grid[#Data],$DD958,70),0)</f>
        <v/>
      </c>
      <c r="BU958">
        <f>IFERROR(INDEX(PP_Grid[#Data],$DD958,71),0)</f>
        <v/>
      </c>
      <c r="BV958">
        <f>IFERROR(INDEX(PP_Grid[#Data],$DD958,72),0)</f>
        <v/>
      </c>
      <c r="BW958">
        <f>IFERROR(INDEX(PP_Grid[#Data],$DD958,73),0)</f>
        <v/>
      </c>
      <c r="BX958">
        <f>IFERROR(INDEX(PP_Grid[#Data],$DD958,74),0)</f>
        <v/>
      </c>
      <c r="BY958">
        <f>IFERROR(INDEX(PP_Grid[#Data],$DD958,75),0)</f>
        <v/>
      </c>
      <c r="BZ958">
        <f>IFERROR(INDEX(PP_Grid[#Data],$DD958,76),0)</f>
        <v/>
      </c>
      <c r="CA958">
        <f>IFERROR(INDEX(PP_Grid[#Data],$DD958,77),0)</f>
        <v/>
      </c>
      <c r="CB958">
        <f>IFERROR(INDEX(PP_Grid[#Data],$DD958,78),0)</f>
        <v/>
      </c>
      <c r="CC958">
        <f>IFERROR(INDEX(PP_Grid[#Data],$DD958,79),0)</f>
        <v/>
      </c>
      <c r="CD958">
        <f>IFERROR(INDEX(PP_Grid[#Data],$DD958,80),0)</f>
        <v/>
      </c>
      <c r="CE958">
        <f>IFERROR(INDEX(PP_Grid[#Data],$DD958,81),0)</f>
        <v/>
      </c>
      <c r="CF958">
        <f>IFERROR(INDEX(PP_Grid[#Data],$DD958,82),0)</f>
        <v/>
      </c>
      <c r="CG958">
        <f>IFERROR(INDEX(PP_Grid[#Data],$DD958,83),0)</f>
        <v/>
      </c>
      <c r="CH958">
        <f>IFERROR(INDEX(PP_Grid[#Data],$DD958,84),0)</f>
        <v/>
      </c>
      <c r="CI958">
        <f>IFERROR(INDEX(PP_Grid[#Data],$DD958,85),0)</f>
        <v/>
      </c>
      <c r="CJ958">
        <f>IFERROR(INDEX(PP_Grid[#Data],$DD958,86),0)</f>
        <v/>
      </c>
      <c r="CK958">
        <f>IFERROR(INDEX(PP_Grid[#Data],$DD958,87),0)</f>
        <v/>
      </c>
      <c r="CL958">
        <f>IFERROR(INDEX(PP_Grid[#Data],$DD958,88),0)</f>
        <v/>
      </c>
      <c r="CM958">
        <f>IFERROR(INDEX(PP_Grid[#Data],$DD958,89),0)</f>
        <v/>
      </c>
      <c r="CN958">
        <f>IFERROR(INDEX(PP_Grid[#Data],$DD958,90),0)</f>
        <v/>
      </c>
      <c r="CO958">
        <f>IFERROR(INDEX(PP_Grid[#Data],$DD958,91),0)</f>
        <v/>
      </c>
      <c r="CP958">
        <f>IFERROR(INDEX(PP_Grid[#Data],$DD958,92),0)</f>
        <v/>
      </c>
      <c r="CQ958">
        <f>IFERROR(INDEX(PP_Grid[#Data],$DD958,93),0)</f>
        <v/>
      </c>
      <c r="CR958">
        <f>IFERROR(INDEX(PP_Grid[#Data],$DD958,94),0)</f>
        <v/>
      </c>
      <c r="CS958">
        <f>IFERROR(INDEX(PP_Grid[#Data],$DD958,95),0)</f>
        <v/>
      </c>
      <c r="CT958">
        <f>IFERROR(INDEX(PP_Grid[#Data],$DD958,96),0)</f>
        <v/>
      </c>
      <c r="CU958">
        <f>IFERROR(INDEX(PP_Grid[#Data],$DD958,97),0)</f>
        <v/>
      </c>
      <c r="CV958">
        <f>IFERROR(INDEX(PP_Grid[#Data],$DD958,98),0)</f>
        <v/>
      </c>
      <c r="CW958">
        <f>IFERROR(INDEX(PP_Grid[#Data],$DD958,99),0)</f>
        <v/>
      </c>
      <c r="CX958">
        <f>IFERROR(INDEX(PP_Grid[#Data],$DD958,100),0)</f>
        <v/>
      </c>
      <c r="CY958">
        <f>IFERROR(INDEX(PP_Grid[#Data],$DD958,101),0)</f>
        <v/>
      </c>
      <c r="CZ958">
        <f>IFERROR(INDEX(PP_Grid[#Data],$DD958,102),0)</f>
        <v/>
      </c>
      <c r="DA958">
        <f>IFERROR(INDEX(PP_Grid[#Data],$DD958,103),0)</f>
        <v/>
      </c>
      <c r="DB958">
        <f>IFERROR(INDEX(PP_Grid[#Data],$DD958,104),0)</f>
        <v/>
      </c>
      <c r="DC958">
        <f>IFERROR(INDEX(PP_Grid[#Data],$DD958,105),0)</f>
        <v/>
      </c>
      <c r="DD958" s="7">
        <f>IFERROR(MATCH($B958,PP_Grid[Intermediate],0),99999)</f>
        <v/>
      </c>
    </row>
    <row r="959">
      <c r="B959" t="inlineStr">
        <is>
          <t>使用量(kg)</t>
        </is>
      </c>
      <c r="C959">
        <f>SUMIFS(M_BOM[RM_Qty_Per_Batch],M_BOM[Intermediate],$B958,M_BOM[Part Name],$A953)</f>
        <v/>
      </c>
      <c r="D959">
        <f>$C959*D958</f>
        <v/>
      </c>
      <c r="E959">
        <f>$C959*E958</f>
        <v/>
      </c>
      <c r="F959">
        <f>$C959*F958</f>
        <v/>
      </c>
      <c r="G959">
        <f>$C959*G958</f>
        <v/>
      </c>
      <c r="H959">
        <f>$C959*H958</f>
        <v/>
      </c>
      <c r="I959">
        <f>$C959*I958</f>
        <v/>
      </c>
      <c r="J959">
        <f>$C959*J958</f>
        <v/>
      </c>
      <c r="K959">
        <f>$C959*K958</f>
        <v/>
      </c>
      <c r="L959">
        <f>$C959*L958</f>
        <v/>
      </c>
      <c r="M959">
        <f>$C959*M958</f>
        <v/>
      </c>
      <c r="N959">
        <f>$C959*N958</f>
        <v/>
      </c>
      <c r="O959">
        <f>$C959*O958</f>
        <v/>
      </c>
      <c r="P959">
        <f>$C959*P958</f>
        <v/>
      </c>
      <c r="Q959">
        <f>$C959*Q958</f>
        <v/>
      </c>
      <c r="R959">
        <f>$C959*R958</f>
        <v/>
      </c>
      <c r="S959">
        <f>$C959*S958</f>
        <v/>
      </c>
      <c r="T959">
        <f>$C959*T958</f>
        <v/>
      </c>
      <c r="U959">
        <f>$C959*U958</f>
        <v/>
      </c>
      <c r="V959">
        <f>$C959*V958</f>
        <v/>
      </c>
      <c r="W959">
        <f>$C959*W958</f>
        <v/>
      </c>
      <c r="X959">
        <f>$C959*X958</f>
        <v/>
      </c>
      <c r="Y959">
        <f>$C959*Y958</f>
        <v/>
      </c>
      <c r="Z959">
        <f>$C959*Z958</f>
        <v/>
      </c>
      <c r="AA959">
        <f>$C959*AA958</f>
        <v/>
      </c>
      <c r="AB959">
        <f>$C959*AB958</f>
        <v/>
      </c>
      <c r="AC959">
        <f>$C959*AC958</f>
        <v/>
      </c>
      <c r="AD959">
        <f>$C959*AD958</f>
        <v/>
      </c>
      <c r="AE959">
        <f>$C959*AE958</f>
        <v/>
      </c>
      <c r="AF959">
        <f>$C959*AF958</f>
        <v/>
      </c>
      <c r="AG959">
        <f>$C959*AG958</f>
        <v/>
      </c>
      <c r="AH959">
        <f>$C959*AH958</f>
        <v/>
      </c>
      <c r="AI959">
        <f>$C959*AI958</f>
        <v/>
      </c>
      <c r="AJ959">
        <f>$C959*AJ958</f>
        <v/>
      </c>
      <c r="AK959">
        <f>$C959*AK958</f>
        <v/>
      </c>
      <c r="AL959">
        <f>$C959*AL958</f>
        <v/>
      </c>
      <c r="AM959">
        <f>$C959*AM958</f>
        <v/>
      </c>
      <c r="AN959">
        <f>$C959*AN958</f>
        <v/>
      </c>
      <c r="AO959">
        <f>$C959*AO958</f>
        <v/>
      </c>
      <c r="AP959">
        <f>$C959*AP958</f>
        <v/>
      </c>
      <c r="AQ959">
        <f>$C959*AQ958</f>
        <v/>
      </c>
      <c r="AR959">
        <f>$C959*AR958</f>
        <v/>
      </c>
      <c r="AS959">
        <f>$C959*AS958</f>
        <v/>
      </c>
      <c r="AT959">
        <f>$C959*AT958</f>
        <v/>
      </c>
      <c r="AU959">
        <f>$C959*AU958</f>
        <v/>
      </c>
      <c r="AV959">
        <f>$C959*AV958</f>
        <v/>
      </c>
      <c r="AW959">
        <f>$C959*AW958</f>
        <v/>
      </c>
      <c r="AX959">
        <f>$C959*AX958</f>
        <v/>
      </c>
      <c r="AY959">
        <f>$C959*AY958</f>
        <v/>
      </c>
      <c r="AZ959">
        <f>$C959*AZ958</f>
        <v/>
      </c>
      <c r="BA959">
        <f>$C959*BA958</f>
        <v/>
      </c>
      <c r="BB959">
        <f>$C959*BB958</f>
        <v/>
      </c>
      <c r="BC959">
        <f>$C959*BC958</f>
        <v/>
      </c>
      <c r="BD959">
        <f>$C959*BD958</f>
        <v/>
      </c>
      <c r="BE959">
        <f>$C959*BE958</f>
        <v/>
      </c>
      <c r="BF959">
        <f>$C959*BF958</f>
        <v/>
      </c>
      <c r="BG959">
        <f>$C959*BG958</f>
        <v/>
      </c>
      <c r="BH959">
        <f>$C959*BH958</f>
        <v/>
      </c>
      <c r="BI959">
        <f>$C959*BI958</f>
        <v/>
      </c>
      <c r="BJ959">
        <f>$C959*BJ958</f>
        <v/>
      </c>
      <c r="BK959">
        <f>$C959*BK958</f>
        <v/>
      </c>
      <c r="BL959">
        <f>$C959*BL958</f>
        <v/>
      </c>
      <c r="BM959">
        <f>$C959*BM958</f>
        <v/>
      </c>
      <c r="BN959">
        <f>$C959*BN958</f>
        <v/>
      </c>
      <c r="BO959">
        <f>$C959*BO958</f>
        <v/>
      </c>
      <c r="BP959">
        <f>$C959*BP958</f>
        <v/>
      </c>
      <c r="BQ959">
        <f>$C959*BQ958</f>
        <v/>
      </c>
      <c r="BR959">
        <f>$C959*BR958</f>
        <v/>
      </c>
      <c r="BS959">
        <f>$C959*BS958</f>
        <v/>
      </c>
      <c r="BT959">
        <f>$C959*BT958</f>
        <v/>
      </c>
      <c r="BU959">
        <f>$C959*BU958</f>
        <v/>
      </c>
      <c r="BV959">
        <f>$C959*BV958</f>
        <v/>
      </c>
      <c r="BW959">
        <f>$C959*BW958</f>
        <v/>
      </c>
      <c r="BX959">
        <f>$C959*BX958</f>
        <v/>
      </c>
      <c r="BY959">
        <f>$C959*BY958</f>
        <v/>
      </c>
      <c r="BZ959">
        <f>$C959*BZ958</f>
        <v/>
      </c>
      <c r="CA959">
        <f>$C959*CA958</f>
        <v/>
      </c>
      <c r="CB959">
        <f>$C959*CB958</f>
        <v/>
      </c>
      <c r="CC959">
        <f>$C959*CC958</f>
        <v/>
      </c>
      <c r="CD959">
        <f>$C959*CD958</f>
        <v/>
      </c>
      <c r="CE959">
        <f>$C959*CE958</f>
        <v/>
      </c>
      <c r="CF959">
        <f>$C959*CF958</f>
        <v/>
      </c>
      <c r="CG959">
        <f>$C959*CG958</f>
        <v/>
      </c>
      <c r="CH959">
        <f>$C959*CH958</f>
        <v/>
      </c>
      <c r="CI959">
        <f>$C959*CI958</f>
        <v/>
      </c>
      <c r="CJ959">
        <f>$C959*CJ958</f>
        <v/>
      </c>
      <c r="CK959">
        <f>$C959*CK958</f>
        <v/>
      </c>
      <c r="CL959">
        <f>$C959*CL958</f>
        <v/>
      </c>
      <c r="CM959">
        <f>$C959*CM958</f>
        <v/>
      </c>
      <c r="CN959">
        <f>$C959*CN958</f>
        <v/>
      </c>
      <c r="CO959">
        <f>$C959*CO958</f>
        <v/>
      </c>
      <c r="CP959">
        <f>$C959*CP958</f>
        <v/>
      </c>
      <c r="CQ959">
        <f>$C959*CQ958</f>
        <v/>
      </c>
      <c r="CR959">
        <f>$C959*CR958</f>
        <v/>
      </c>
      <c r="CS959">
        <f>$C959*CS958</f>
        <v/>
      </c>
      <c r="CT959">
        <f>$C959*CT958</f>
        <v/>
      </c>
      <c r="CU959">
        <f>$C959*CU958</f>
        <v/>
      </c>
      <c r="CV959">
        <f>$C959*CV958</f>
        <v/>
      </c>
      <c r="CW959">
        <f>$C959*CW958</f>
        <v/>
      </c>
      <c r="CX959">
        <f>$C959*CX958</f>
        <v/>
      </c>
      <c r="CY959">
        <f>$C959*CY958</f>
        <v/>
      </c>
      <c r="CZ959">
        <f>$C959*CZ958</f>
        <v/>
      </c>
      <c r="DA959">
        <f>$C959*DA958</f>
        <v/>
      </c>
      <c r="DB959">
        <f>$C959*DB958</f>
        <v/>
      </c>
      <c r="DC959">
        <f>$C959*DC958</f>
        <v/>
      </c>
    </row>
    <row r="960">
      <c r="B960" t="inlineStr">
        <is>
          <t>TPP-920</t>
        </is>
      </c>
      <c r="C960" t="inlineStr">
        <is>
          <t>No. of batches</t>
        </is>
      </c>
      <c r="D960">
        <f>IFERROR(INDEX(PP_Grid[#Data],$DD960,2),0)</f>
        <v/>
      </c>
      <c r="E960">
        <f>IFERROR(INDEX(PP_Grid[#Data],$DD960,3),0)</f>
        <v/>
      </c>
      <c r="F960">
        <f>IFERROR(INDEX(PP_Grid[#Data],$DD960,4),0)</f>
        <v/>
      </c>
      <c r="G960">
        <f>IFERROR(INDEX(PP_Grid[#Data],$DD960,5),0)</f>
        <v/>
      </c>
      <c r="H960">
        <f>IFERROR(INDEX(PP_Grid[#Data],$DD960,6),0)</f>
        <v/>
      </c>
      <c r="I960">
        <f>IFERROR(INDEX(PP_Grid[#Data],$DD960,7),0)</f>
        <v/>
      </c>
      <c r="J960">
        <f>IFERROR(INDEX(PP_Grid[#Data],$DD960,8),0)</f>
        <v/>
      </c>
      <c r="K960">
        <f>IFERROR(INDEX(PP_Grid[#Data],$DD960,9),0)</f>
        <v/>
      </c>
      <c r="L960">
        <f>IFERROR(INDEX(PP_Grid[#Data],$DD960,10),0)</f>
        <v/>
      </c>
      <c r="M960">
        <f>IFERROR(INDEX(PP_Grid[#Data],$DD960,11),0)</f>
        <v/>
      </c>
      <c r="N960">
        <f>IFERROR(INDEX(PP_Grid[#Data],$DD960,12),0)</f>
        <v/>
      </c>
      <c r="O960">
        <f>IFERROR(INDEX(PP_Grid[#Data],$DD960,13),0)</f>
        <v/>
      </c>
      <c r="P960">
        <f>IFERROR(INDEX(PP_Grid[#Data],$DD960,14),0)</f>
        <v/>
      </c>
      <c r="Q960">
        <f>IFERROR(INDEX(PP_Grid[#Data],$DD960,15),0)</f>
        <v/>
      </c>
      <c r="R960">
        <f>IFERROR(INDEX(PP_Grid[#Data],$DD960,16),0)</f>
        <v/>
      </c>
      <c r="S960">
        <f>IFERROR(INDEX(PP_Grid[#Data],$DD960,17),0)</f>
        <v/>
      </c>
      <c r="T960">
        <f>IFERROR(INDEX(PP_Grid[#Data],$DD960,18),0)</f>
        <v/>
      </c>
      <c r="U960">
        <f>IFERROR(INDEX(PP_Grid[#Data],$DD960,19),0)</f>
        <v/>
      </c>
      <c r="V960">
        <f>IFERROR(INDEX(PP_Grid[#Data],$DD960,20),0)</f>
        <v/>
      </c>
      <c r="W960">
        <f>IFERROR(INDEX(PP_Grid[#Data],$DD960,21),0)</f>
        <v/>
      </c>
      <c r="X960">
        <f>IFERROR(INDEX(PP_Grid[#Data],$DD960,22),0)</f>
        <v/>
      </c>
      <c r="Y960">
        <f>IFERROR(INDEX(PP_Grid[#Data],$DD960,23),0)</f>
        <v/>
      </c>
      <c r="Z960">
        <f>IFERROR(INDEX(PP_Grid[#Data],$DD960,24),0)</f>
        <v/>
      </c>
      <c r="AA960">
        <f>IFERROR(INDEX(PP_Grid[#Data],$DD960,25),0)</f>
        <v/>
      </c>
      <c r="AB960">
        <f>IFERROR(INDEX(PP_Grid[#Data],$DD960,26),0)</f>
        <v/>
      </c>
      <c r="AC960">
        <f>IFERROR(INDEX(PP_Grid[#Data],$DD960,27),0)</f>
        <v/>
      </c>
      <c r="AD960">
        <f>IFERROR(INDEX(PP_Grid[#Data],$DD960,28),0)</f>
        <v/>
      </c>
      <c r="AE960">
        <f>IFERROR(INDEX(PP_Grid[#Data],$DD960,29),0)</f>
        <v/>
      </c>
      <c r="AF960">
        <f>IFERROR(INDEX(PP_Grid[#Data],$DD960,30),0)</f>
        <v/>
      </c>
      <c r="AG960">
        <f>IFERROR(INDEX(PP_Grid[#Data],$DD960,31),0)</f>
        <v/>
      </c>
      <c r="AH960">
        <f>IFERROR(INDEX(PP_Grid[#Data],$DD960,32),0)</f>
        <v/>
      </c>
      <c r="AI960">
        <f>IFERROR(INDEX(PP_Grid[#Data],$DD960,33),0)</f>
        <v/>
      </c>
      <c r="AJ960">
        <f>IFERROR(INDEX(PP_Grid[#Data],$DD960,34),0)</f>
        <v/>
      </c>
      <c r="AK960">
        <f>IFERROR(INDEX(PP_Grid[#Data],$DD960,35),0)</f>
        <v/>
      </c>
      <c r="AL960">
        <f>IFERROR(INDEX(PP_Grid[#Data],$DD960,36),0)</f>
        <v/>
      </c>
      <c r="AM960">
        <f>IFERROR(INDEX(PP_Grid[#Data],$DD960,37),0)</f>
        <v/>
      </c>
      <c r="AN960">
        <f>IFERROR(INDEX(PP_Grid[#Data],$DD960,38),0)</f>
        <v/>
      </c>
      <c r="AO960">
        <f>IFERROR(INDEX(PP_Grid[#Data],$DD960,39),0)</f>
        <v/>
      </c>
      <c r="AP960">
        <f>IFERROR(INDEX(PP_Grid[#Data],$DD960,40),0)</f>
        <v/>
      </c>
      <c r="AQ960">
        <f>IFERROR(INDEX(PP_Grid[#Data],$DD960,41),0)</f>
        <v/>
      </c>
      <c r="AR960">
        <f>IFERROR(INDEX(PP_Grid[#Data],$DD960,42),0)</f>
        <v/>
      </c>
      <c r="AS960">
        <f>IFERROR(INDEX(PP_Grid[#Data],$DD960,43),0)</f>
        <v/>
      </c>
      <c r="AT960">
        <f>IFERROR(INDEX(PP_Grid[#Data],$DD960,44),0)</f>
        <v/>
      </c>
      <c r="AU960">
        <f>IFERROR(INDEX(PP_Grid[#Data],$DD960,45),0)</f>
        <v/>
      </c>
      <c r="AV960">
        <f>IFERROR(INDEX(PP_Grid[#Data],$DD960,46),0)</f>
        <v/>
      </c>
      <c r="AW960">
        <f>IFERROR(INDEX(PP_Grid[#Data],$DD960,47),0)</f>
        <v/>
      </c>
      <c r="AX960">
        <f>IFERROR(INDEX(PP_Grid[#Data],$DD960,48),0)</f>
        <v/>
      </c>
      <c r="AY960">
        <f>IFERROR(INDEX(PP_Grid[#Data],$DD960,49),0)</f>
        <v/>
      </c>
      <c r="AZ960">
        <f>IFERROR(INDEX(PP_Grid[#Data],$DD960,50),0)</f>
        <v/>
      </c>
      <c r="BA960">
        <f>IFERROR(INDEX(PP_Grid[#Data],$DD960,51),0)</f>
        <v/>
      </c>
      <c r="BB960">
        <f>IFERROR(INDEX(PP_Grid[#Data],$DD960,52),0)</f>
        <v/>
      </c>
      <c r="BC960">
        <f>IFERROR(INDEX(PP_Grid[#Data],$DD960,53),0)</f>
        <v/>
      </c>
      <c r="BD960">
        <f>IFERROR(INDEX(PP_Grid[#Data],$DD960,54),0)</f>
        <v/>
      </c>
      <c r="BE960">
        <f>IFERROR(INDEX(PP_Grid[#Data],$DD960,55),0)</f>
        <v/>
      </c>
      <c r="BF960">
        <f>IFERROR(INDEX(PP_Grid[#Data],$DD960,56),0)</f>
        <v/>
      </c>
      <c r="BG960">
        <f>IFERROR(INDEX(PP_Grid[#Data],$DD960,57),0)</f>
        <v/>
      </c>
      <c r="BH960">
        <f>IFERROR(INDEX(PP_Grid[#Data],$DD960,58),0)</f>
        <v/>
      </c>
      <c r="BI960">
        <f>IFERROR(INDEX(PP_Grid[#Data],$DD960,59),0)</f>
        <v/>
      </c>
      <c r="BJ960">
        <f>IFERROR(INDEX(PP_Grid[#Data],$DD960,60),0)</f>
        <v/>
      </c>
      <c r="BK960">
        <f>IFERROR(INDEX(PP_Grid[#Data],$DD960,61),0)</f>
        <v/>
      </c>
      <c r="BL960">
        <f>IFERROR(INDEX(PP_Grid[#Data],$DD960,62),0)</f>
        <v/>
      </c>
      <c r="BM960">
        <f>IFERROR(INDEX(PP_Grid[#Data],$DD960,63),0)</f>
        <v/>
      </c>
      <c r="BN960">
        <f>IFERROR(INDEX(PP_Grid[#Data],$DD960,64),0)</f>
        <v/>
      </c>
      <c r="BO960">
        <f>IFERROR(INDEX(PP_Grid[#Data],$DD960,65),0)</f>
        <v/>
      </c>
      <c r="BP960">
        <f>IFERROR(INDEX(PP_Grid[#Data],$DD960,66),0)</f>
        <v/>
      </c>
      <c r="BQ960">
        <f>IFERROR(INDEX(PP_Grid[#Data],$DD960,67),0)</f>
        <v/>
      </c>
      <c r="BR960">
        <f>IFERROR(INDEX(PP_Grid[#Data],$DD960,68),0)</f>
        <v/>
      </c>
      <c r="BS960">
        <f>IFERROR(INDEX(PP_Grid[#Data],$DD960,69),0)</f>
        <v/>
      </c>
      <c r="BT960">
        <f>IFERROR(INDEX(PP_Grid[#Data],$DD960,70),0)</f>
        <v/>
      </c>
      <c r="BU960">
        <f>IFERROR(INDEX(PP_Grid[#Data],$DD960,71),0)</f>
        <v/>
      </c>
      <c r="BV960">
        <f>IFERROR(INDEX(PP_Grid[#Data],$DD960,72),0)</f>
        <v/>
      </c>
      <c r="BW960">
        <f>IFERROR(INDEX(PP_Grid[#Data],$DD960,73),0)</f>
        <v/>
      </c>
      <c r="BX960">
        <f>IFERROR(INDEX(PP_Grid[#Data],$DD960,74),0)</f>
        <v/>
      </c>
      <c r="BY960">
        <f>IFERROR(INDEX(PP_Grid[#Data],$DD960,75),0)</f>
        <v/>
      </c>
      <c r="BZ960">
        <f>IFERROR(INDEX(PP_Grid[#Data],$DD960,76),0)</f>
        <v/>
      </c>
      <c r="CA960">
        <f>IFERROR(INDEX(PP_Grid[#Data],$DD960,77),0)</f>
        <v/>
      </c>
      <c r="CB960">
        <f>IFERROR(INDEX(PP_Grid[#Data],$DD960,78),0)</f>
        <v/>
      </c>
      <c r="CC960">
        <f>IFERROR(INDEX(PP_Grid[#Data],$DD960,79),0)</f>
        <v/>
      </c>
      <c r="CD960">
        <f>IFERROR(INDEX(PP_Grid[#Data],$DD960,80),0)</f>
        <v/>
      </c>
      <c r="CE960">
        <f>IFERROR(INDEX(PP_Grid[#Data],$DD960,81),0)</f>
        <v/>
      </c>
      <c r="CF960">
        <f>IFERROR(INDEX(PP_Grid[#Data],$DD960,82),0)</f>
        <v/>
      </c>
      <c r="CG960">
        <f>IFERROR(INDEX(PP_Grid[#Data],$DD960,83),0)</f>
        <v/>
      </c>
      <c r="CH960">
        <f>IFERROR(INDEX(PP_Grid[#Data],$DD960,84),0)</f>
        <v/>
      </c>
      <c r="CI960">
        <f>IFERROR(INDEX(PP_Grid[#Data],$DD960,85),0)</f>
        <v/>
      </c>
      <c r="CJ960">
        <f>IFERROR(INDEX(PP_Grid[#Data],$DD960,86),0)</f>
        <v/>
      </c>
      <c r="CK960">
        <f>IFERROR(INDEX(PP_Grid[#Data],$DD960,87),0)</f>
        <v/>
      </c>
      <c r="CL960">
        <f>IFERROR(INDEX(PP_Grid[#Data],$DD960,88),0)</f>
        <v/>
      </c>
      <c r="CM960">
        <f>IFERROR(INDEX(PP_Grid[#Data],$DD960,89),0)</f>
        <v/>
      </c>
      <c r="CN960">
        <f>IFERROR(INDEX(PP_Grid[#Data],$DD960,90),0)</f>
        <v/>
      </c>
      <c r="CO960">
        <f>IFERROR(INDEX(PP_Grid[#Data],$DD960,91),0)</f>
        <v/>
      </c>
      <c r="CP960">
        <f>IFERROR(INDEX(PP_Grid[#Data],$DD960,92),0)</f>
        <v/>
      </c>
      <c r="CQ960">
        <f>IFERROR(INDEX(PP_Grid[#Data],$DD960,93),0)</f>
        <v/>
      </c>
      <c r="CR960">
        <f>IFERROR(INDEX(PP_Grid[#Data],$DD960,94),0)</f>
        <v/>
      </c>
      <c r="CS960">
        <f>IFERROR(INDEX(PP_Grid[#Data],$DD960,95),0)</f>
        <v/>
      </c>
      <c r="CT960">
        <f>IFERROR(INDEX(PP_Grid[#Data],$DD960,96),0)</f>
        <v/>
      </c>
      <c r="CU960">
        <f>IFERROR(INDEX(PP_Grid[#Data],$DD960,97),0)</f>
        <v/>
      </c>
      <c r="CV960">
        <f>IFERROR(INDEX(PP_Grid[#Data],$DD960,98),0)</f>
        <v/>
      </c>
      <c r="CW960">
        <f>IFERROR(INDEX(PP_Grid[#Data],$DD960,99),0)</f>
        <v/>
      </c>
      <c r="CX960">
        <f>IFERROR(INDEX(PP_Grid[#Data],$DD960,100),0)</f>
        <v/>
      </c>
      <c r="CY960">
        <f>IFERROR(INDEX(PP_Grid[#Data],$DD960,101),0)</f>
        <v/>
      </c>
      <c r="CZ960">
        <f>IFERROR(INDEX(PP_Grid[#Data],$DD960,102),0)</f>
        <v/>
      </c>
      <c r="DA960">
        <f>IFERROR(INDEX(PP_Grid[#Data],$DD960,103),0)</f>
        <v/>
      </c>
      <c r="DB960">
        <f>IFERROR(INDEX(PP_Grid[#Data],$DD960,104),0)</f>
        <v/>
      </c>
      <c r="DC960">
        <f>IFERROR(INDEX(PP_Grid[#Data],$DD960,105),0)</f>
        <v/>
      </c>
      <c r="DD960" s="7">
        <f>IFERROR(MATCH($B960,PP_Grid[Intermediate],0),99999)</f>
        <v/>
      </c>
    </row>
    <row r="961">
      <c r="B961" t="inlineStr">
        <is>
          <t>使用量(kg)</t>
        </is>
      </c>
      <c r="C961">
        <f>SUMIFS(M_BOM[RM_Qty_Per_Batch],M_BOM[Intermediate],$B960,M_BOM[Part Name],$A953)</f>
        <v/>
      </c>
      <c r="D961">
        <f>$C961*D960</f>
        <v/>
      </c>
      <c r="E961">
        <f>$C961*E960</f>
        <v/>
      </c>
      <c r="F961">
        <f>$C961*F960</f>
        <v/>
      </c>
      <c r="G961">
        <f>$C961*G960</f>
        <v/>
      </c>
      <c r="H961">
        <f>$C961*H960</f>
        <v/>
      </c>
      <c r="I961">
        <f>$C961*I960</f>
        <v/>
      </c>
      <c r="J961">
        <f>$C961*J960</f>
        <v/>
      </c>
      <c r="K961">
        <f>$C961*K960</f>
        <v/>
      </c>
      <c r="L961">
        <f>$C961*L960</f>
        <v/>
      </c>
      <c r="M961">
        <f>$C961*M960</f>
        <v/>
      </c>
      <c r="N961">
        <f>$C961*N960</f>
        <v/>
      </c>
      <c r="O961">
        <f>$C961*O960</f>
        <v/>
      </c>
      <c r="P961">
        <f>$C961*P960</f>
        <v/>
      </c>
      <c r="Q961">
        <f>$C961*Q960</f>
        <v/>
      </c>
      <c r="R961">
        <f>$C961*R960</f>
        <v/>
      </c>
      <c r="S961">
        <f>$C961*S960</f>
        <v/>
      </c>
      <c r="T961">
        <f>$C961*T960</f>
        <v/>
      </c>
      <c r="U961">
        <f>$C961*U960</f>
        <v/>
      </c>
      <c r="V961">
        <f>$C961*V960</f>
        <v/>
      </c>
      <c r="W961">
        <f>$C961*W960</f>
        <v/>
      </c>
      <c r="X961">
        <f>$C961*X960</f>
        <v/>
      </c>
      <c r="Y961">
        <f>$C961*Y960</f>
        <v/>
      </c>
      <c r="Z961">
        <f>$C961*Z960</f>
        <v/>
      </c>
      <c r="AA961">
        <f>$C961*AA960</f>
        <v/>
      </c>
      <c r="AB961">
        <f>$C961*AB960</f>
        <v/>
      </c>
      <c r="AC961">
        <f>$C961*AC960</f>
        <v/>
      </c>
      <c r="AD961">
        <f>$C961*AD960</f>
        <v/>
      </c>
      <c r="AE961">
        <f>$C961*AE960</f>
        <v/>
      </c>
      <c r="AF961">
        <f>$C961*AF960</f>
        <v/>
      </c>
      <c r="AG961">
        <f>$C961*AG960</f>
        <v/>
      </c>
      <c r="AH961">
        <f>$C961*AH960</f>
        <v/>
      </c>
      <c r="AI961">
        <f>$C961*AI960</f>
        <v/>
      </c>
      <c r="AJ961">
        <f>$C961*AJ960</f>
        <v/>
      </c>
      <c r="AK961">
        <f>$C961*AK960</f>
        <v/>
      </c>
      <c r="AL961">
        <f>$C961*AL960</f>
        <v/>
      </c>
      <c r="AM961">
        <f>$C961*AM960</f>
        <v/>
      </c>
      <c r="AN961">
        <f>$C961*AN960</f>
        <v/>
      </c>
      <c r="AO961">
        <f>$C961*AO960</f>
        <v/>
      </c>
      <c r="AP961">
        <f>$C961*AP960</f>
        <v/>
      </c>
      <c r="AQ961">
        <f>$C961*AQ960</f>
        <v/>
      </c>
      <c r="AR961">
        <f>$C961*AR960</f>
        <v/>
      </c>
      <c r="AS961">
        <f>$C961*AS960</f>
        <v/>
      </c>
      <c r="AT961">
        <f>$C961*AT960</f>
        <v/>
      </c>
      <c r="AU961">
        <f>$C961*AU960</f>
        <v/>
      </c>
      <c r="AV961">
        <f>$C961*AV960</f>
        <v/>
      </c>
      <c r="AW961">
        <f>$C961*AW960</f>
        <v/>
      </c>
      <c r="AX961">
        <f>$C961*AX960</f>
        <v/>
      </c>
      <c r="AY961">
        <f>$C961*AY960</f>
        <v/>
      </c>
      <c r="AZ961">
        <f>$C961*AZ960</f>
        <v/>
      </c>
      <c r="BA961">
        <f>$C961*BA960</f>
        <v/>
      </c>
      <c r="BB961">
        <f>$C961*BB960</f>
        <v/>
      </c>
      <c r="BC961">
        <f>$C961*BC960</f>
        <v/>
      </c>
      <c r="BD961">
        <f>$C961*BD960</f>
        <v/>
      </c>
      <c r="BE961">
        <f>$C961*BE960</f>
        <v/>
      </c>
      <c r="BF961">
        <f>$C961*BF960</f>
        <v/>
      </c>
      <c r="BG961">
        <f>$C961*BG960</f>
        <v/>
      </c>
      <c r="BH961">
        <f>$C961*BH960</f>
        <v/>
      </c>
      <c r="BI961">
        <f>$C961*BI960</f>
        <v/>
      </c>
      <c r="BJ961">
        <f>$C961*BJ960</f>
        <v/>
      </c>
      <c r="BK961">
        <f>$C961*BK960</f>
        <v/>
      </c>
      <c r="BL961">
        <f>$C961*BL960</f>
        <v/>
      </c>
      <c r="BM961">
        <f>$C961*BM960</f>
        <v/>
      </c>
      <c r="BN961">
        <f>$C961*BN960</f>
        <v/>
      </c>
      <c r="BO961">
        <f>$C961*BO960</f>
        <v/>
      </c>
      <c r="BP961">
        <f>$C961*BP960</f>
        <v/>
      </c>
      <c r="BQ961">
        <f>$C961*BQ960</f>
        <v/>
      </c>
      <c r="BR961">
        <f>$C961*BR960</f>
        <v/>
      </c>
      <c r="BS961">
        <f>$C961*BS960</f>
        <v/>
      </c>
      <c r="BT961">
        <f>$C961*BT960</f>
        <v/>
      </c>
      <c r="BU961">
        <f>$C961*BU960</f>
        <v/>
      </c>
      <c r="BV961">
        <f>$C961*BV960</f>
        <v/>
      </c>
      <c r="BW961">
        <f>$C961*BW960</f>
        <v/>
      </c>
      <c r="BX961">
        <f>$C961*BX960</f>
        <v/>
      </c>
      <c r="BY961">
        <f>$C961*BY960</f>
        <v/>
      </c>
      <c r="BZ961">
        <f>$C961*BZ960</f>
        <v/>
      </c>
      <c r="CA961">
        <f>$C961*CA960</f>
        <v/>
      </c>
      <c r="CB961">
        <f>$C961*CB960</f>
        <v/>
      </c>
      <c r="CC961">
        <f>$C961*CC960</f>
        <v/>
      </c>
      <c r="CD961">
        <f>$C961*CD960</f>
        <v/>
      </c>
      <c r="CE961">
        <f>$C961*CE960</f>
        <v/>
      </c>
      <c r="CF961">
        <f>$C961*CF960</f>
        <v/>
      </c>
      <c r="CG961">
        <f>$C961*CG960</f>
        <v/>
      </c>
      <c r="CH961">
        <f>$C961*CH960</f>
        <v/>
      </c>
      <c r="CI961">
        <f>$C961*CI960</f>
        <v/>
      </c>
      <c r="CJ961">
        <f>$C961*CJ960</f>
        <v/>
      </c>
      <c r="CK961">
        <f>$C961*CK960</f>
        <v/>
      </c>
      <c r="CL961">
        <f>$C961*CL960</f>
        <v/>
      </c>
      <c r="CM961">
        <f>$C961*CM960</f>
        <v/>
      </c>
      <c r="CN961">
        <f>$C961*CN960</f>
        <v/>
      </c>
      <c r="CO961">
        <f>$C961*CO960</f>
        <v/>
      </c>
      <c r="CP961">
        <f>$C961*CP960</f>
        <v/>
      </c>
      <c r="CQ961">
        <f>$C961*CQ960</f>
        <v/>
      </c>
      <c r="CR961">
        <f>$C961*CR960</f>
        <v/>
      </c>
      <c r="CS961">
        <f>$C961*CS960</f>
        <v/>
      </c>
      <c r="CT961">
        <f>$C961*CT960</f>
        <v/>
      </c>
      <c r="CU961">
        <f>$C961*CU960</f>
        <v/>
      </c>
      <c r="CV961">
        <f>$C961*CV960</f>
        <v/>
      </c>
      <c r="CW961">
        <f>$C961*CW960</f>
        <v/>
      </c>
      <c r="CX961">
        <f>$C961*CX960</f>
        <v/>
      </c>
      <c r="CY961">
        <f>$C961*CY960</f>
        <v/>
      </c>
      <c r="CZ961">
        <f>$C961*CZ960</f>
        <v/>
      </c>
      <c r="DA961">
        <f>$C961*DA960</f>
        <v/>
      </c>
      <c r="DB961">
        <f>$C961*DB960</f>
        <v/>
      </c>
      <c r="DC961">
        <f>$C961*DC960</f>
        <v/>
      </c>
    </row>
    <row r="962">
      <c r="B962" t="inlineStr">
        <is>
          <t>TPP-914</t>
        </is>
      </c>
      <c r="C962" t="inlineStr">
        <is>
          <t>No. of batches</t>
        </is>
      </c>
      <c r="D962">
        <f>IFERROR(INDEX(PP_Grid[#Data],$DD962,2),0)</f>
        <v/>
      </c>
      <c r="E962">
        <f>IFERROR(INDEX(PP_Grid[#Data],$DD962,3),0)</f>
        <v/>
      </c>
      <c r="F962">
        <f>IFERROR(INDEX(PP_Grid[#Data],$DD962,4),0)</f>
        <v/>
      </c>
      <c r="G962">
        <f>IFERROR(INDEX(PP_Grid[#Data],$DD962,5),0)</f>
        <v/>
      </c>
      <c r="H962">
        <f>IFERROR(INDEX(PP_Grid[#Data],$DD962,6),0)</f>
        <v/>
      </c>
      <c r="I962">
        <f>IFERROR(INDEX(PP_Grid[#Data],$DD962,7),0)</f>
        <v/>
      </c>
      <c r="J962">
        <f>IFERROR(INDEX(PP_Grid[#Data],$DD962,8),0)</f>
        <v/>
      </c>
      <c r="K962">
        <f>IFERROR(INDEX(PP_Grid[#Data],$DD962,9),0)</f>
        <v/>
      </c>
      <c r="L962">
        <f>IFERROR(INDEX(PP_Grid[#Data],$DD962,10),0)</f>
        <v/>
      </c>
      <c r="M962">
        <f>IFERROR(INDEX(PP_Grid[#Data],$DD962,11),0)</f>
        <v/>
      </c>
      <c r="N962">
        <f>IFERROR(INDEX(PP_Grid[#Data],$DD962,12),0)</f>
        <v/>
      </c>
      <c r="O962">
        <f>IFERROR(INDEX(PP_Grid[#Data],$DD962,13),0)</f>
        <v/>
      </c>
      <c r="P962">
        <f>IFERROR(INDEX(PP_Grid[#Data],$DD962,14),0)</f>
        <v/>
      </c>
      <c r="Q962">
        <f>IFERROR(INDEX(PP_Grid[#Data],$DD962,15),0)</f>
        <v/>
      </c>
      <c r="R962">
        <f>IFERROR(INDEX(PP_Grid[#Data],$DD962,16),0)</f>
        <v/>
      </c>
      <c r="S962">
        <f>IFERROR(INDEX(PP_Grid[#Data],$DD962,17),0)</f>
        <v/>
      </c>
      <c r="T962">
        <f>IFERROR(INDEX(PP_Grid[#Data],$DD962,18),0)</f>
        <v/>
      </c>
      <c r="U962">
        <f>IFERROR(INDEX(PP_Grid[#Data],$DD962,19),0)</f>
        <v/>
      </c>
      <c r="V962">
        <f>IFERROR(INDEX(PP_Grid[#Data],$DD962,20),0)</f>
        <v/>
      </c>
      <c r="W962">
        <f>IFERROR(INDEX(PP_Grid[#Data],$DD962,21),0)</f>
        <v/>
      </c>
      <c r="X962">
        <f>IFERROR(INDEX(PP_Grid[#Data],$DD962,22),0)</f>
        <v/>
      </c>
      <c r="Y962">
        <f>IFERROR(INDEX(PP_Grid[#Data],$DD962,23),0)</f>
        <v/>
      </c>
      <c r="Z962">
        <f>IFERROR(INDEX(PP_Grid[#Data],$DD962,24),0)</f>
        <v/>
      </c>
      <c r="AA962">
        <f>IFERROR(INDEX(PP_Grid[#Data],$DD962,25),0)</f>
        <v/>
      </c>
      <c r="AB962">
        <f>IFERROR(INDEX(PP_Grid[#Data],$DD962,26),0)</f>
        <v/>
      </c>
      <c r="AC962">
        <f>IFERROR(INDEX(PP_Grid[#Data],$DD962,27),0)</f>
        <v/>
      </c>
      <c r="AD962">
        <f>IFERROR(INDEX(PP_Grid[#Data],$DD962,28),0)</f>
        <v/>
      </c>
      <c r="AE962">
        <f>IFERROR(INDEX(PP_Grid[#Data],$DD962,29),0)</f>
        <v/>
      </c>
      <c r="AF962">
        <f>IFERROR(INDEX(PP_Grid[#Data],$DD962,30),0)</f>
        <v/>
      </c>
      <c r="AG962">
        <f>IFERROR(INDEX(PP_Grid[#Data],$DD962,31),0)</f>
        <v/>
      </c>
      <c r="AH962">
        <f>IFERROR(INDEX(PP_Grid[#Data],$DD962,32),0)</f>
        <v/>
      </c>
      <c r="AI962">
        <f>IFERROR(INDEX(PP_Grid[#Data],$DD962,33),0)</f>
        <v/>
      </c>
      <c r="AJ962">
        <f>IFERROR(INDEX(PP_Grid[#Data],$DD962,34),0)</f>
        <v/>
      </c>
      <c r="AK962">
        <f>IFERROR(INDEX(PP_Grid[#Data],$DD962,35),0)</f>
        <v/>
      </c>
      <c r="AL962">
        <f>IFERROR(INDEX(PP_Grid[#Data],$DD962,36),0)</f>
        <v/>
      </c>
      <c r="AM962">
        <f>IFERROR(INDEX(PP_Grid[#Data],$DD962,37),0)</f>
        <v/>
      </c>
      <c r="AN962">
        <f>IFERROR(INDEX(PP_Grid[#Data],$DD962,38),0)</f>
        <v/>
      </c>
      <c r="AO962">
        <f>IFERROR(INDEX(PP_Grid[#Data],$DD962,39),0)</f>
        <v/>
      </c>
      <c r="AP962">
        <f>IFERROR(INDEX(PP_Grid[#Data],$DD962,40),0)</f>
        <v/>
      </c>
      <c r="AQ962">
        <f>IFERROR(INDEX(PP_Grid[#Data],$DD962,41),0)</f>
        <v/>
      </c>
      <c r="AR962">
        <f>IFERROR(INDEX(PP_Grid[#Data],$DD962,42),0)</f>
        <v/>
      </c>
      <c r="AS962">
        <f>IFERROR(INDEX(PP_Grid[#Data],$DD962,43),0)</f>
        <v/>
      </c>
      <c r="AT962">
        <f>IFERROR(INDEX(PP_Grid[#Data],$DD962,44),0)</f>
        <v/>
      </c>
      <c r="AU962">
        <f>IFERROR(INDEX(PP_Grid[#Data],$DD962,45),0)</f>
        <v/>
      </c>
      <c r="AV962">
        <f>IFERROR(INDEX(PP_Grid[#Data],$DD962,46),0)</f>
        <v/>
      </c>
      <c r="AW962">
        <f>IFERROR(INDEX(PP_Grid[#Data],$DD962,47),0)</f>
        <v/>
      </c>
      <c r="AX962">
        <f>IFERROR(INDEX(PP_Grid[#Data],$DD962,48),0)</f>
        <v/>
      </c>
      <c r="AY962">
        <f>IFERROR(INDEX(PP_Grid[#Data],$DD962,49),0)</f>
        <v/>
      </c>
      <c r="AZ962">
        <f>IFERROR(INDEX(PP_Grid[#Data],$DD962,50),0)</f>
        <v/>
      </c>
      <c r="BA962">
        <f>IFERROR(INDEX(PP_Grid[#Data],$DD962,51),0)</f>
        <v/>
      </c>
      <c r="BB962">
        <f>IFERROR(INDEX(PP_Grid[#Data],$DD962,52),0)</f>
        <v/>
      </c>
      <c r="BC962">
        <f>IFERROR(INDEX(PP_Grid[#Data],$DD962,53),0)</f>
        <v/>
      </c>
      <c r="BD962">
        <f>IFERROR(INDEX(PP_Grid[#Data],$DD962,54),0)</f>
        <v/>
      </c>
      <c r="BE962">
        <f>IFERROR(INDEX(PP_Grid[#Data],$DD962,55),0)</f>
        <v/>
      </c>
      <c r="BF962">
        <f>IFERROR(INDEX(PP_Grid[#Data],$DD962,56),0)</f>
        <v/>
      </c>
      <c r="BG962">
        <f>IFERROR(INDEX(PP_Grid[#Data],$DD962,57),0)</f>
        <v/>
      </c>
      <c r="BH962">
        <f>IFERROR(INDEX(PP_Grid[#Data],$DD962,58),0)</f>
        <v/>
      </c>
      <c r="BI962">
        <f>IFERROR(INDEX(PP_Grid[#Data],$DD962,59),0)</f>
        <v/>
      </c>
      <c r="BJ962">
        <f>IFERROR(INDEX(PP_Grid[#Data],$DD962,60),0)</f>
        <v/>
      </c>
      <c r="BK962">
        <f>IFERROR(INDEX(PP_Grid[#Data],$DD962,61),0)</f>
        <v/>
      </c>
      <c r="BL962">
        <f>IFERROR(INDEX(PP_Grid[#Data],$DD962,62),0)</f>
        <v/>
      </c>
      <c r="BM962">
        <f>IFERROR(INDEX(PP_Grid[#Data],$DD962,63),0)</f>
        <v/>
      </c>
      <c r="BN962">
        <f>IFERROR(INDEX(PP_Grid[#Data],$DD962,64),0)</f>
        <v/>
      </c>
      <c r="BO962">
        <f>IFERROR(INDEX(PP_Grid[#Data],$DD962,65),0)</f>
        <v/>
      </c>
      <c r="BP962">
        <f>IFERROR(INDEX(PP_Grid[#Data],$DD962,66),0)</f>
        <v/>
      </c>
      <c r="BQ962">
        <f>IFERROR(INDEX(PP_Grid[#Data],$DD962,67),0)</f>
        <v/>
      </c>
      <c r="BR962">
        <f>IFERROR(INDEX(PP_Grid[#Data],$DD962,68),0)</f>
        <v/>
      </c>
      <c r="BS962">
        <f>IFERROR(INDEX(PP_Grid[#Data],$DD962,69),0)</f>
        <v/>
      </c>
      <c r="BT962">
        <f>IFERROR(INDEX(PP_Grid[#Data],$DD962,70),0)</f>
        <v/>
      </c>
      <c r="BU962">
        <f>IFERROR(INDEX(PP_Grid[#Data],$DD962,71),0)</f>
        <v/>
      </c>
      <c r="BV962">
        <f>IFERROR(INDEX(PP_Grid[#Data],$DD962,72),0)</f>
        <v/>
      </c>
      <c r="BW962">
        <f>IFERROR(INDEX(PP_Grid[#Data],$DD962,73),0)</f>
        <v/>
      </c>
      <c r="BX962">
        <f>IFERROR(INDEX(PP_Grid[#Data],$DD962,74),0)</f>
        <v/>
      </c>
      <c r="BY962">
        <f>IFERROR(INDEX(PP_Grid[#Data],$DD962,75),0)</f>
        <v/>
      </c>
      <c r="BZ962">
        <f>IFERROR(INDEX(PP_Grid[#Data],$DD962,76),0)</f>
        <v/>
      </c>
      <c r="CA962">
        <f>IFERROR(INDEX(PP_Grid[#Data],$DD962,77),0)</f>
        <v/>
      </c>
      <c r="CB962">
        <f>IFERROR(INDEX(PP_Grid[#Data],$DD962,78),0)</f>
        <v/>
      </c>
      <c r="CC962">
        <f>IFERROR(INDEX(PP_Grid[#Data],$DD962,79),0)</f>
        <v/>
      </c>
      <c r="CD962">
        <f>IFERROR(INDEX(PP_Grid[#Data],$DD962,80),0)</f>
        <v/>
      </c>
      <c r="CE962">
        <f>IFERROR(INDEX(PP_Grid[#Data],$DD962,81),0)</f>
        <v/>
      </c>
      <c r="CF962">
        <f>IFERROR(INDEX(PP_Grid[#Data],$DD962,82),0)</f>
        <v/>
      </c>
      <c r="CG962">
        <f>IFERROR(INDEX(PP_Grid[#Data],$DD962,83),0)</f>
        <v/>
      </c>
      <c r="CH962">
        <f>IFERROR(INDEX(PP_Grid[#Data],$DD962,84),0)</f>
        <v/>
      </c>
      <c r="CI962">
        <f>IFERROR(INDEX(PP_Grid[#Data],$DD962,85),0)</f>
        <v/>
      </c>
      <c r="CJ962">
        <f>IFERROR(INDEX(PP_Grid[#Data],$DD962,86),0)</f>
        <v/>
      </c>
      <c r="CK962">
        <f>IFERROR(INDEX(PP_Grid[#Data],$DD962,87),0)</f>
        <v/>
      </c>
      <c r="CL962">
        <f>IFERROR(INDEX(PP_Grid[#Data],$DD962,88),0)</f>
        <v/>
      </c>
      <c r="CM962">
        <f>IFERROR(INDEX(PP_Grid[#Data],$DD962,89),0)</f>
        <v/>
      </c>
      <c r="CN962">
        <f>IFERROR(INDEX(PP_Grid[#Data],$DD962,90),0)</f>
        <v/>
      </c>
      <c r="CO962">
        <f>IFERROR(INDEX(PP_Grid[#Data],$DD962,91),0)</f>
        <v/>
      </c>
      <c r="CP962">
        <f>IFERROR(INDEX(PP_Grid[#Data],$DD962,92),0)</f>
        <v/>
      </c>
      <c r="CQ962">
        <f>IFERROR(INDEX(PP_Grid[#Data],$DD962,93),0)</f>
        <v/>
      </c>
      <c r="CR962">
        <f>IFERROR(INDEX(PP_Grid[#Data],$DD962,94),0)</f>
        <v/>
      </c>
      <c r="CS962">
        <f>IFERROR(INDEX(PP_Grid[#Data],$DD962,95),0)</f>
        <v/>
      </c>
      <c r="CT962">
        <f>IFERROR(INDEX(PP_Grid[#Data],$DD962,96),0)</f>
        <v/>
      </c>
      <c r="CU962">
        <f>IFERROR(INDEX(PP_Grid[#Data],$DD962,97),0)</f>
        <v/>
      </c>
      <c r="CV962">
        <f>IFERROR(INDEX(PP_Grid[#Data],$DD962,98),0)</f>
        <v/>
      </c>
      <c r="CW962">
        <f>IFERROR(INDEX(PP_Grid[#Data],$DD962,99),0)</f>
        <v/>
      </c>
      <c r="CX962">
        <f>IFERROR(INDEX(PP_Grid[#Data],$DD962,100),0)</f>
        <v/>
      </c>
      <c r="CY962">
        <f>IFERROR(INDEX(PP_Grid[#Data],$DD962,101),0)</f>
        <v/>
      </c>
      <c r="CZ962">
        <f>IFERROR(INDEX(PP_Grid[#Data],$DD962,102),0)</f>
        <v/>
      </c>
      <c r="DA962">
        <f>IFERROR(INDEX(PP_Grid[#Data],$DD962,103),0)</f>
        <v/>
      </c>
      <c r="DB962">
        <f>IFERROR(INDEX(PP_Grid[#Data],$DD962,104),0)</f>
        <v/>
      </c>
      <c r="DC962">
        <f>IFERROR(INDEX(PP_Grid[#Data],$DD962,105),0)</f>
        <v/>
      </c>
      <c r="DD962" s="7">
        <f>IFERROR(MATCH($B962,PP_Grid[Intermediate],0),99999)</f>
        <v/>
      </c>
    </row>
    <row r="963">
      <c r="B963" t="inlineStr">
        <is>
          <t>使用量(kg)</t>
        </is>
      </c>
      <c r="C963">
        <f>SUMIFS(M_BOM[RM_Qty_Per_Batch],M_BOM[Intermediate],$B962,M_BOM[Part Name],$A953)</f>
        <v/>
      </c>
      <c r="D963">
        <f>$C963*D962</f>
        <v/>
      </c>
      <c r="E963">
        <f>$C963*E962</f>
        <v/>
      </c>
      <c r="F963">
        <f>$C963*F962</f>
        <v/>
      </c>
      <c r="G963">
        <f>$C963*G962</f>
        <v/>
      </c>
      <c r="H963">
        <f>$C963*H962</f>
        <v/>
      </c>
      <c r="I963">
        <f>$C963*I962</f>
        <v/>
      </c>
      <c r="J963">
        <f>$C963*J962</f>
        <v/>
      </c>
      <c r="K963">
        <f>$C963*K962</f>
        <v/>
      </c>
      <c r="L963">
        <f>$C963*L962</f>
        <v/>
      </c>
      <c r="M963">
        <f>$C963*M962</f>
        <v/>
      </c>
      <c r="N963">
        <f>$C963*N962</f>
        <v/>
      </c>
      <c r="O963">
        <f>$C963*O962</f>
        <v/>
      </c>
      <c r="P963">
        <f>$C963*P962</f>
        <v/>
      </c>
      <c r="Q963">
        <f>$C963*Q962</f>
        <v/>
      </c>
      <c r="R963">
        <f>$C963*R962</f>
        <v/>
      </c>
      <c r="S963">
        <f>$C963*S962</f>
        <v/>
      </c>
      <c r="T963">
        <f>$C963*T962</f>
        <v/>
      </c>
      <c r="U963">
        <f>$C963*U962</f>
        <v/>
      </c>
      <c r="V963">
        <f>$C963*V962</f>
        <v/>
      </c>
      <c r="W963">
        <f>$C963*W962</f>
        <v/>
      </c>
      <c r="X963">
        <f>$C963*X962</f>
        <v/>
      </c>
      <c r="Y963">
        <f>$C963*Y962</f>
        <v/>
      </c>
      <c r="Z963">
        <f>$C963*Z962</f>
        <v/>
      </c>
      <c r="AA963">
        <f>$C963*AA962</f>
        <v/>
      </c>
      <c r="AB963">
        <f>$C963*AB962</f>
        <v/>
      </c>
      <c r="AC963">
        <f>$C963*AC962</f>
        <v/>
      </c>
      <c r="AD963">
        <f>$C963*AD962</f>
        <v/>
      </c>
      <c r="AE963">
        <f>$C963*AE962</f>
        <v/>
      </c>
      <c r="AF963">
        <f>$C963*AF962</f>
        <v/>
      </c>
      <c r="AG963">
        <f>$C963*AG962</f>
        <v/>
      </c>
      <c r="AH963">
        <f>$C963*AH962</f>
        <v/>
      </c>
      <c r="AI963">
        <f>$C963*AI962</f>
        <v/>
      </c>
      <c r="AJ963">
        <f>$C963*AJ962</f>
        <v/>
      </c>
      <c r="AK963">
        <f>$C963*AK962</f>
        <v/>
      </c>
      <c r="AL963">
        <f>$C963*AL962</f>
        <v/>
      </c>
      <c r="AM963">
        <f>$C963*AM962</f>
        <v/>
      </c>
      <c r="AN963">
        <f>$C963*AN962</f>
        <v/>
      </c>
      <c r="AO963">
        <f>$C963*AO962</f>
        <v/>
      </c>
      <c r="AP963">
        <f>$C963*AP962</f>
        <v/>
      </c>
      <c r="AQ963">
        <f>$C963*AQ962</f>
        <v/>
      </c>
      <c r="AR963">
        <f>$C963*AR962</f>
        <v/>
      </c>
      <c r="AS963">
        <f>$C963*AS962</f>
        <v/>
      </c>
      <c r="AT963">
        <f>$C963*AT962</f>
        <v/>
      </c>
      <c r="AU963">
        <f>$C963*AU962</f>
        <v/>
      </c>
      <c r="AV963">
        <f>$C963*AV962</f>
        <v/>
      </c>
      <c r="AW963">
        <f>$C963*AW962</f>
        <v/>
      </c>
      <c r="AX963">
        <f>$C963*AX962</f>
        <v/>
      </c>
      <c r="AY963">
        <f>$C963*AY962</f>
        <v/>
      </c>
      <c r="AZ963">
        <f>$C963*AZ962</f>
        <v/>
      </c>
      <c r="BA963">
        <f>$C963*BA962</f>
        <v/>
      </c>
      <c r="BB963">
        <f>$C963*BB962</f>
        <v/>
      </c>
      <c r="BC963">
        <f>$C963*BC962</f>
        <v/>
      </c>
      <c r="BD963">
        <f>$C963*BD962</f>
        <v/>
      </c>
      <c r="BE963">
        <f>$C963*BE962</f>
        <v/>
      </c>
      <c r="BF963">
        <f>$C963*BF962</f>
        <v/>
      </c>
      <c r="BG963">
        <f>$C963*BG962</f>
        <v/>
      </c>
      <c r="BH963">
        <f>$C963*BH962</f>
        <v/>
      </c>
      <c r="BI963">
        <f>$C963*BI962</f>
        <v/>
      </c>
      <c r="BJ963">
        <f>$C963*BJ962</f>
        <v/>
      </c>
      <c r="BK963">
        <f>$C963*BK962</f>
        <v/>
      </c>
      <c r="BL963">
        <f>$C963*BL962</f>
        <v/>
      </c>
      <c r="BM963">
        <f>$C963*BM962</f>
        <v/>
      </c>
      <c r="BN963">
        <f>$C963*BN962</f>
        <v/>
      </c>
      <c r="BO963">
        <f>$C963*BO962</f>
        <v/>
      </c>
      <c r="BP963">
        <f>$C963*BP962</f>
        <v/>
      </c>
      <c r="BQ963">
        <f>$C963*BQ962</f>
        <v/>
      </c>
      <c r="BR963">
        <f>$C963*BR962</f>
        <v/>
      </c>
      <c r="BS963">
        <f>$C963*BS962</f>
        <v/>
      </c>
      <c r="BT963">
        <f>$C963*BT962</f>
        <v/>
      </c>
      <c r="BU963">
        <f>$C963*BU962</f>
        <v/>
      </c>
      <c r="BV963">
        <f>$C963*BV962</f>
        <v/>
      </c>
      <c r="BW963">
        <f>$C963*BW962</f>
        <v/>
      </c>
      <c r="BX963">
        <f>$C963*BX962</f>
        <v/>
      </c>
      <c r="BY963">
        <f>$C963*BY962</f>
        <v/>
      </c>
      <c r="BZ963">
        <f>$C963*BZ962</f>
        <v/>
      </c>
      <c r="CA963">
        <f>$C963*CA962</f>
        <v/>
      </c>
      <c r="CB963">
        <f>$C963*CB962</f>
        <v/>
      </c>
      <c r="CC963">
        <f>$C963*CC962</f>
        <v/>
      </c>
      <c r="CD963">
        <f>$C963*CD962</f>
        <v/>
      </c>
      <c r="CE963">
        <f>$C963*CE962</f>
        <v/>
      </c>
      <c r="CF963">
        <f>$C963*CF962</f>
        <v/>
      </c>
      <c r="CG963">
        <f>$C963*CG962</f>
        <v/>
      </c>
      <c r="CH963">
        <f>$C963*CH962</f>
        <v/>
      </c>
      <c r="CI963">
        <f>$C963*CI962</f>
        <v/>
      </c>
      <c r="CJ963">
        <f>$C963*CJ962</f>
        <v/>
      </c>
      <c r="CK963">
        <f>$C963*CK962</f>
        <v/>
      </c>
      <c r="CL963">
        <f>$C963*CL962</f>
        <v/>
      </c>
      <c r="CM963">
        <f>$C963*CM962</f>
        <v/>
      </c>
      <c r="CN963">
        <f>$C963*CN962</f>
        <v/>
      </c>
      <c r="CO963">
        <f>$C963*CO962</f>
        <v/>
      </c>
      <c r="CP963">
        <f>$C963*CP962</f>
        <v/>
      </c>
      <c r="CQ963">
        <f>$C963*CQ962</f>
        <v/>
      </c>
      <c r="CR963">
        <f>$C963*CR962</f>
        <v/>
      </c>
      <c r="CS963">
        <f>$C963*CS962</f>
        <v/>
      </c>
      <c r="CT963">
        <f>$C963*CT962</f>
        <v/>
      </c>
      <c r="CU963">
        <f>$C963*CU962</f>
        <v/>
      </c>
      <c r="CV963">
        <f>$C963*CV962</f>
        <v/>
      </c>
      <c r="CW963">
        <f>$C963*CW962</f>
        <v/>
      </c>
      <c r="CX963">
        <f>$C963*CX962</f>
        <v/>
      </c>
      <c r="CY963">
        <f>$C963*CY962</f>
        <v/>
      </c>
      <c r="CZ963">
        <f>$C963*CZ962</f>
        <v/>
      </c>
      <c r="DA963">
        <f>$C963*DA962</f>
        <v/>
      </c>
      <c r="DB963">
        <f>$C963*DB962</f>
        <v/>
      </c>
      <c r="DC963">
        <f>$C963*DC962</f>
        <v/>
      </c>
    </row>
    <row r="964">
      <c r="B964" t="inlineStr">
        <is>
          <t>TPP-919</t>
        </is>
      </c>
      <c r="C964" t="inlineStr">
        <is>
          <t>No. of batches</t>
        </is>
      </c>
      <c r="D964">
        <f>IFERROR(INDEX(PP_Grid[#Data],$DD964,2),0)</f>
        <v/>
      </c>
      <c r="E964">
        <f>IFERROR(INDEX(PP_Grid[#Data],$DD964,3),0)</f>
        <v/>
      </c>
      <c r="F964">
        <f>IFERROR(INDEX(PP_Grid[#Data],$DD964,4),0)</f>
        <v/>
      </c>
      <c r="G964">
        <f>IFERROR(INDEX(PP_Grid[#Data],$DD964,5),0)</f>
        <v/>
      </c>
      <c r="H964">
        <f>IFERROR(INDEX(PP_Grid[#Data],$DD964,6),0)</f>
        <v/>
      </c>
      <c r="I964">
        <f>IFERROR(INDEX(PP_Grid[#Data],$DD964,7),0)</f>
        <v/>
      </c>
      <c r="J964">
        <f>IFERROR(INDEX(PP_Grid[#Data],$DD964,8),0)</f>
        <v/>
      </c>
      <c r="K964">
        <f>IFERROR(INDEX(PP_Grid[#Data],$DD964,9),0)</f>
        <v/>
      </c>
      <c r="L964">
        <f>IFERROR(INDEX(PP_Grid[#Data],$DD964,10),0)</f>
        <v/>
      </c>
      <c r="M964">
        <f>IFERROR(INDEX(PP_Grid[#Data],$DD964,11),0)</f>
        <v/>
      </c>
      <c r="N964">
        <f>IFERROR(INDEX(PP_Grid[#Data],$DD964,12),0)</f>
        <v/>
      </c>
      <c r="O964">
        <f>IFERROR(INDEX(PP_Grid[#Data],$DD964,13),0)</f>
        <v/>
      </c>
      <c r="P964">
        <f>IFERROR(INDEX(PP_Grid[#Data],$DD964,14),0)</f>
        <v/>
      </c>
      <c r="Q964">
        <f>IFERROR(INDEX(PP_Grid[#Data],$DD964,15),0)</f>
        <v/>
      </c>
      <c r="R964">
        <f>IFERROR(INDEX(PP_Grid[#Data],$DD964,16),0)</f>
        <v/>
      </c>
      <c r="S964">
        <f>IFERROR(INDEX(PP_Grid[#Data],$DD964,17),0)</f>
        <v/>
      </c>
      <c r="T964">
        <f>IFERROR(INDEX(PP_Grid[#Data],$DD964,18),0)</f>
        <v/>
      </c>
      <c r="U964">
        <f>IFERROR(INDEX(PP_Grid[#Data],$DD964,19),0)</f>
        <v/>
      </c>
      <c r="V964">
        <f>IFERROR(INDEX(PP_Grid[#Data],$DD964,20),0)</f>
        <v/>
      </c>
      <c r="W964">
        <f>IFERROR(INDEX(PP_Grid[#Data],$DD964,21),0)</f>
        <v/>
      </c>
      <c r="X964">
        <f>IFERROR(INDEX(PP_Grid[#Data],$DD964,22),0)</f>
        <v/>
      </c>
      <c r="Y964">
        <f>IFERROR(INDEX(PP_Grid[#Data],$DD964,23),0)</f>
        <v/>
      </c>
      <c r="Z964">
        <f>IFERROR(INDEX(PP_Grid[#Data],$DD964,24),0)</f>
        <v/>
      </c>
      <c r="AA964">
        <f>IFERROR(INDEX(PP_Grid[#Data],$DD964,25),0)</f>
        <v/>
      </c>
      <c r="AB964">
        <f>IFERROR(INDEX(PP_Grid[#Data],$DD964,26),0)</f>
        <v/>
      </c>
      <c r="AC964">
        <f>IFERROR(INDEX(PP_Grid[#Data],$DD964,27),0)</f>
        <v/>
      </c>
      <c r="AD964">
        <f>IFERROR(INDEX(PP_Grid[#Data],$DD964,28),0)</f>
        <v/>
      </c>
      <c r="AE964">
        <f>IFERROR(INDEX(PP_Grid[#Data],$DD964,29),0)</f>
        <v/>
      </c>
      <c r="AF964">
        <f>IFERROR(INDEX(PP_Grid[#Data],$DD964,30),0)</f>
        <v/>
      </c>
      <c r="AG964">
        <f>IFERROR(INDEX(PP_Grid[#Data],$DD964,31),0)</f>
        <v/>
      </c>
      <c r="AH964">
        <f>IFERROR(INDEX(PP_Grid[#Data],$DD964,32),0)</f>
        <v/>
      </c>
      <c r="AI964">
        <f>IFERROR(INDEX(PP_Grid[#Data],$DD964,33),0)</f>
        <v/>
      </c>
      <c r="AJ964">
        <f>IFERROR(INDEX(PP_Grid[#Data],$DD964,34),0)</f>
        <v/>
      </c>
      <c r="AK964">
        <f>IFERROR(INDEX(PP_Grid[#Data],$DD964,35),0)</f>
        <v/>
      </c>
      <c r="AL964">
        <f>IFERROR(INDEX(PP_Grid[#Data],$DD964,36),0)</f>
        <v/>
      </c>
      <c r="AM964">
        <f>IFERROR(INDEX(PP_Grid[#Data],$DD964,37),0)</f>
        <v/>
      </c>
      <c r="AN964">
        <f>IFERROR(INDEX(PP_Grid[#Data],$DD964,38),0)</f>
        <v/>
      </c>
      <c r="AO964">
        <f>IFERROR(INDEX(PP_Grid[#Data],$DD964,39),0)</f>
        <v/>
      </c>
      <c r="AP964">
        <f>IFERROR(INDEX(PP_Grid[#Data],$DD964,40),0)</f>
        <v/>
      </c>
      <c r="AQ964">
        <f>IFERROR(INDEX(PP_Grid[#Data],$DD964,41),0)</f>
        <v/>
      </c>
      <c r="AR964">
        <f>IFERROR(INDEX(PP_Grid[#Data],$DD964,42),0)</f>
        <v/>
      </c>
      <c r="AS964">
        <f>IFERROR(INDEX(PP_Grid[#Data],$DD964,43),0)</f>
        <v/>
      </c>
      <c r="AT964">
        <f>IFERROR(INDEX(PP_Grid[#Data],$DD964,44),0)</f>
        <v/>
      </c>
      <c r="AU964">
        <f>IFERROR(INDEX(PP_Grid[#Data],$DD964,45),0)</f>
        <v/>
      </c>
      <c r="AV964">
        <f>IFERROR(INDEX(PP_Grid[#Data],$DD964,46),0)</f>
        <v/>
      </c>
      <c r="AW964">
        <f>IFERROR(INDEX(PP_Grid[#Data],$DD964,47),0)</f>
        <v/>
      </c>
      <c r="AX964">
        <f>IFERROR(INDEX(PP_Grid[#Data],$DD964,48),0)</f>
        <v/>
      </c>
      <c r="AY964">
        <f>IFERROR(INDEX(PP_Grid[#Data],$DD964,49),0)</f>
        <v/>
      </c>
      <c r="AZ964">
        <f>IFERROR(INDEX(PP_Grid[#Data],$DD964,50),0)</f>
        <v/>
      </c>
      <c r="BA964">
        <f>IFERROR(INDEX(PP_Grid[#Data],$DD964,51),0)</f>
        <v/>
      </c>
      <c r="BB964">
        <f>IFERROR(INDEX(PP_Grid[#Data],$DD964,52),0)</f>
        <v/>
      </c>
      <c r="BC964">
        <f>IFERROR(INDEX(PP_Grid[#Data],$DD964,53),0)</f>
        <v/>
      </c>
      <c r="BD964">
        <f>IFERROR(INDEX(PP_Grid[#Data],$DD964,54),0)</f>
        <v/>
      </c>
      <c r="BE964">
        <f>IFERROR(INDEX(PP_Grid[#Data],$DD964,55),0)</f>
        <v/>
      </c>
      <c r="BF964">
        <f>IFERROR(INDEX(PP_Grid[#Data],$DD964,56),0)</f>
        <v/>
      </c>
      <c r="BG964">
        <f>IFERROR(INDEX(PP_Grid[#Data],$DD964,57),0)</f>
        <v/>
      </c>
      <c r="BH964">
        <f>IFERROR(INDEX(PP_Grid[#Data],$DD964,58),0)</f>
        <v/>
      </c>
      <c r="BI964">
        <f>IFERROR(INDEX(PP_Grid[#Data],$DD964,59),0)</f>
        <v/>
      </c>
      <c r="BJ964">
        <f>IFERROR(INDEX(PP_Grid[#Data],$DD964,60),0)</f>
        <v/>
      </c>
      <c r="BK964">
        <f>IFERROR(INDEX(PP_Grid[#Data],$DD964,61),0)</f>
        <v/>
      </c>
      <c r="BL964">
        <f>IFERROR(INDEX(PP_Grid[#Data],$DD964,62),0)</f>
        <v/>
      </c>
      <c r="BM964">
        <f>IFERROR(INDEX(PP_Grid[#Data],$DD964,63),0)</f>
        <v/>
      </c>
      <c r="BN964">
        <f>IFERROR(INDEX(PP_Grid[#Data],$DD964,64),0)</f>
        <v/>
      </c>
      <c r="BO964">
        <f>IFERROR(INDEX(PP_Grid[#Data],$DD964,65),0)</f>
        <v/>
      </c>
      <c r="BP964">
        <f>IFERROR(INDEX(PP_Grid[#Data],$DD964,66),0)</f>
        <v/>
      </c>
      <c r="BQ964">
        <f>IFERROR(INDEX(PP_Grid[#Data],$DD964,67),0)</f>
        <v/>
      </c>
      <c r="BR964">
        <f>IFERROR(INDEX(PP_Grid[#Data],$DD964,68),0)</f>
        <v/>
      </c>
      <c r="BS964">
        <f>IFERROR(INDEX(PP_Grid[#Data],$DD964,69),0)</f>
        <v/>
      </c>
      <c r="BT964">
        <f>IFERROR(INDEX(PP_Grid[#Data],$DD964,70),0)</f>
        <v/>
      </c>
      <c r="BU964">
        <f>IFERROR(INDEX(PP_Grid[#Data],$DD964,71),0)</f>
        <v/>
      </c>
      <c r="BV964">
        <f>IFERROR(INDEX(PP_Grid[#Data],$DD964,72),0)</f>
        <v/>
      </c>
      <c r="BW964">
        <f>IFERROR(INDEX(PP_Grid[#Data],$DD964,73),0)</f>
        <v/>
      </c>
      <c r="BX964">
        <f>IFERROR(INDEX(PP_Grid[#Data],$DD964,74),0)</f>
        <v/>
      </c>
      <c r="BY964">
        <f>IFERROR(INDEX(PP_Grid[#Data],$DD964,75),0)</f>
        <v/>
      </c>
      <c r="BZ964">
        <f>IFERROR(INDEX(PP_Grid[#Data],$DD964,76),0)</f>
        <v/>
      </c>
      <c r="CA964">
        <f>IFERROR(INDEX(PP_Grid[#Data],$DD964,77),0)</f>
        <v/>
      </c>
      <c r="CB964">
        <f>IFERROR(INDEX(PP_Grid[#Data],$DD964,78),0)</f>
        <v/>
      </c>
      <c r="CC964">
        <f>IFERROR(INDEX(PP_Grid[#Data],$DD964,79),0)</f>
        <v/>
      </c>
      <c r="CD964">
        <f>IFERROR(INDEX(PP_Grid[#Data],$DD964,80),0)</f>
        <v/>
      </c>
      <c r="CE964">
        <f>IFERROR(INDEX(PP_Grid[#Data],$DD964,81),0)</f>
        <v/>
      </c>
      <c r="CF964">
        <f>IFERROR(INDEX(PP_Grid[#Data],$DD964,82),0)</f>
        <v/>
      </c>
      <c r="CG964">
        <f>IFERROR(INDEX(PP_Grid[#Data],$DD964,83),0)</f>
        <v/>
      </c>
      <c r="CH964">
        <f>IFERROR(INDEX(PP_Grid[#Data],$DD964,84),0)</f>
        <v/>
      </c>
      <c r="CI964">
        <f>IFERROR(INDEX(PP_Grid[#Data],$DD964,85),0)</f>
        <v/>
      </c>
      <c r="CJ964">
        <f>IFERROR(INDEX(PP_Grid[#Data],$DD964,86),0)</f>
        <v/>
      </c>
      <c r="CK964">
        <f>IFERROR(INDEX(PP_Grid[#Data],$DD964,87),0)</f>
        <v/>
      </c>
      <c r="CL964">
        <f>IFERROR(INDEX(PP_Grid[#Data],$DD964,88),0)</f>
        <v/>
      </c>
      <c r="CM964">
        <f>IFERROR(INDEX(PP_Grid[#Data],$DD964,89),0)</f>
        <v/>
      </c>
      <c r="CN964">
        <f>IFERROR(INDEX(PP_Grid[#Data],$DD964,90),0)</f>
        <v/>
      </c>
      <c r="CO964">
        <f>IFERROR(INDEX(PP_Grid[#Data],$DD964,91),0)</f>
        <v/>
      </c>
      <c r="CP964">
        <f>IFERROR(INDEX(PP_Grid[#Data],$DD964,92),0)</f>
        <v/>
      </c>
      <c r="CQ964">
        <f>IFERROR(INDEX(PP_Grid[#Data],$DD964,93),0)</f>
        <v/>
      </c>
      <c r="CR964">
        <f>IFERROR(INDEX(PP_Grid[#Data],$DD964,94),0)</f>
        <v/>
      </c>
      <c r="CS964">
        <f>IFERROR(INDEX(PP_Grid[#Data],$DD964,95),0)</f>
        <v/>
      </c>
      <c r="CT964">
        <f>IFERROR(INDEX(PP_Grid[#Data],$DD964,96),0)</f>
        <v/>
      </c>
      <c r="CU964">
        <f>IFERROR(INDEX(PP_Grid[#Data],$DD964,97),0)</f>
        <v/>
      </c>
      <c r="CV964">
        <f>IFERROR(INDEX(PP_Grid[#Data],$DD964,98),0)</f>
        <v/>
      </c>
      <c r="CW964">
        <f>IFERROR(INDEX(PP_Grid[#Data],$DD964,99),0)</f>
        <v/>
      </c>
      <c r="CX964">
        <f>IFERROR(INDEX(PP_Grid[#Data],$DD964,100),0)</f>
        <v/>
      </c>
      <c r="CY964">
        <f>IFERROR(INDEX(PP_Grid[#Data],$DD964,101),0)</f>
        <v/>
      </c>
      <c r="CZ964">
        <f>IFERROR(INDEX(PP_Grid[#Data],$DD964,102),0)</f>
        <v/>
      </c>
      <c r="DA964">
        <f>IFERROR(INDEX(PP_Grid[#Data],$DD964,103),0)</f>
        <v/>
      </c>
      <c r="DB964">
        <f>IFERROR(INDEX(PP_Grid[#Data],$DD964,104),0)</f>
        <v/>
      </c>
      <c r="DC964">
        <f>IFERROR(INDEX(PP_Grid[#Data],$DD964,105),0)</f>
        <v/>
      </c>
      <c r="DD964" s="7">
        <f>IFERROR(MATCH($B964,PP_Grid[Intermediate],0),99999)</f>
        <v/>
      </c>
    </row>
    <row r="965">
      <c r="B965" t="inlineStr">
        <is>
          <t>使用量(kg)</t>
        </is>
      </c>
      <c r="C965">
        <f>SUMIFS(M_BOM[RM_Qty_Per_Batch],M_BOM[Intermediate],$B964,M_BOM[Part Name],$A953)</f>
        <v/>
      </c>
      <c r="D965">
        <f>$C965*D964</f>
        <v/>
      </c>
      <c r="E965">
        <f>$C965*E964</f>
        <v/>
      </c>
      <c r="F965">
        <f>$C965*F964</f>
        <v/>
      </c>
      <c r="G965">
        <f>$C965*G964</f>
        <v/>
      </c>
      <c r="H965">
        <f>$C965*H964</f>
        <v/>
      </c>
      <c r="I965">
        <f>$C965*I964</f>
        <v/>
      </c>
      <c r="J965">
        <f>$C965*J964</f>
        <v/>
      </c>
      <c r="K965">
        <f>$C965*K964</f>
        <v/>
      </c>
      <c r="L965">
        <f>$C965*L964</f>
        <v/>
      </c>
      <c r="M965">
        <f>$C965*M964</f>
        <v/>
      </c>
      <c r="N965">
        <f>$C965*N964</f>
        <v/>
      </c>
      <c r="O965">
        <f>$C965*O964</f>
        <v/>
      </c>
      <c r="P965">
        <f>$C965*P964</f>
        <v/>
      </c>
      <c r="Q965">
        <f>$C965*Q964</f>
        <v/>
      </c>
      <c r="R965">
        <f>$C965*R964</f>
        <v/>
      </c>
      <c r="S965">
        <f>$C965*S964</f>
        <v/>
      </c>
      <c r="T965">
        <f>$C965*T964</f>
        <v/>
      </c>
      <c r="U965">
        <f>$C965*U964</f>
        <v/>
      </c>
      <c r="V965">
        <f>$C965*V964</f>
        <v/>
      </c>
      <c r="W965">
        <f>$C965*W964</f>
        <v/>
      </c>
      <c r="X965">
        <f>$C965*X964</f>
        <v/>
      </c>
      <c r="Y965">
        <f>$C965*Y964</f>
        <v/>
      </c>
      <c r="Z965">
        <f>$C965*Z964</f>
        <v/>
      </c>
      <c r="AA965">
        <f>$C965*AA964</f>
        <v/>
      </c>
      <c r="AB965">
        <f>$C965*AB964</f>
        <v/>
      </c>
      <c r="AC965">
        <f>$C965*AC964</f>
        <v/>
      </c>
      <c r="AD965">
        <f>$C965*AD964</f>
        <v/>
      </c>
      <c r="AE965">
        <f>$C965*AE964</f>
        <v/>
      </c>
      <c r="AF965">
        <f>$C965*AF964</f>
        <v/>
      </c>
      <c r="AG965">
        <f>$C965*AG964</f>
        <v/>
      </c>
      <c r="AH965">
        <f>$C965*AH964</f>
        <v/>
      </c>
      <c r="AI965">
        <f>$C965*AI964</f>
        <v/>
      </c>
      <c r="AJ965">
        <f>$C965*AJ964</f>
        <v/>
      </c>
      <c r="AK965">
        <f>$C965*AK964</f>
        <v/>
      </c>
      <c r="AL965">
        <f>$C965*AL964</f>
        <v/>
      </c>
      <c r="AM965">
        <f>$C965*AM964</f>
        <v/>
      </c>
      <c r="AN965">
        <f>$C965*AN964</f>
        <v/>
      </c>
      <c r="AO965">
        <f>$C965*AO964</f>
        <v/>
      </c>
      <c r="AP965">
        <f>$C965*AP964</f>
        <v/>
      </c>
      <c r="AQ965">
        <f>$C965*AQ964</f>
        <v/>
      </c>
      <c r="AR965">
        <f>$C965*AR964</f>
        <v/>
      </c>
      <c r="AS965">
        <f>$C965*AS964</f>
        <v/>
      </c>
      <c r="AT965">
        <f>$C965*AT964</f>
        <v/>
      </c>
      <c r="AU965">
        <f>$C965*AU964</f>
        <v/>
      </c>
      <c r="AV965">
        <f>$C965*AV964</f>
        <v/>
      </c>
      <c r="AW965">
        <f>$C965*AW964</f>
        <v/>
      </c>
      <c r="AX965">
        <f>$C965*AX964</f>
        <v/>
      </c>
      <c r="AY965">
        <f>$C965*AY964</f>
        <v/>
      </c>
      <c r="AZ965">
        <f>$C965*AZ964</f>
        <v/>
      </c>
      <c r="BA965">
        <f>$C965*BA964</f>
        <v/>
      </c>
      <c r="BB965">
        <f>$C965*BB964</f>
        <v/>
      </c>
      <c r="BC965">
        <f>$C965*BC964</f>
        <v/>
      </c>
      <c r="BD965">
        <f>$C965*BD964</f>
        <v/>
      </c>
      <c r="BE965">
        <f>$C965*BE964</f>
        <v/>
      </c>
      <c r="BF965">
        <f>$C965*BF964</f>
        <v/>
      </c>
      <c r="BG965">
        <f>$C965*BG964</f>
        <v/>
      </c>
      <c r="BH965">
        <f>$C965*BH964</f>
        <v/>
      </c>
      <c r="BI965">
        <f>$C965*BI964</f>
        <v/>
      </c>
      <c r="BJ965">
        <f>$C965*BJ964</f>
        <v/>
      </c>
      <c r="BK965">
        <f>$C965*BK964</f>
        <v/>
      </c>
      <c r="BL965">
        <f>$C965*BL964</f>
        <v/>
      </c>
      <c r="BM965">
        <f>$C965*BM964</f>
        <v/>
      </c>
      <c r="BN965">
        <f>$C965*BN964</f>
        <v/>
      </c>
      <c r="BO965">
        <f>$C965*BO964</f>
        <v/>
      </c>
      <c r="BP965">
        <f>$C965*BP964</f>
        <v/>
      </c>
      <c r="BQ965">
        <f>$C965*BQ964</f>
        <v/>
      </c>
      <c r="BR965">
        <f>$C965*BR964</f>
        <v/>
      </c>
      <c r="BS965">
        <f>$C965*BS964</f>
        <v/>
      </c>
      <c r="BT965">
        <f>$C965*BT964</f>
        <v/>
      </c>
      <c r="BU965">
        <f>$C965*BU964</f>
        <v/>
      </c>
      <c r="BV965">
        <f>$C965*BV964</f>
        <v/>
      </c>
      <c r="BW965">
        <f>$C965*BW964</f>
        <v/>
      </c>
      <c r="BX965">
        <f>$C965*BX964</f>
        <v/>
      </c>
      <c r="BY965">
        <f>$C965*BY964</f>
        <v/>
      </c>
      <c r="BZ965">
        <f>$C965*BZ964</f>
        <v/>
      </c>
      <c r="CA965">
        <f>$C965*CA964</f>
        <v/>
      </c>
      <c r="CB965">
        <f>$C965*CB964</f>
        <v/>
      </c>
      <c r="CC965">
        <f>$C965*CC964</f>
        <v/>
      </c>
      <c r="CD965">
        <f>$C965*CD964</f>
        <v/>
      </c>
      <c r="CE965">
        <f>$C965*CE964</f>
        <v/>
      </c>
      <c r="CF965">
        <f>$C965*CF964</f>
        <v/>
      </c>
      <c r="CG965">
        <f>$C965*CG964</f>
        <v/>
      </c>
      <c r="CH965">
        <f>$C965*CH964</f>
        <v/>
      </c>
      <c r="CI965">
        <f>$C965*CI964</f>
        <v/>
      </c>
      <c r="CJ965">
        <f>$C965*CJ964</f>
        <v/>
      </c>
      <c r="CK965">
        <f>$C965*CK964</f>
        <v/>
      </c>
      <c r="CL965">
        <f>$C965*CL964</f>
        <v/>
      </c>
      <c r="CM965">
        <f>$C965*CM964</f>
        <v/>
      </c>
      <c r="CN965">
        <f>$C965*CN964</f>
        <v/>
      </c>
      <c r="CO965">
        <f>$C965*CO964</f>
        <v/>
      </c>
      <c r="CP965">
        <f>$C965*CP964</f>
        <v/>
      </c>
      <c r="CQ965">
        <f>$C965*CQ964</f>
        <v/>
      </c>
      <c r="CR965">
        <f>$C965*CR964</f>
        <v/>
      </c>
      <c r="CS965">
        <f>$C965*CS964</f>
        <v/>
      </c>
      <c r="CT965">
        <f>$C965*CT964</f>
        <v/>
      </c>
      <c r="CU965">
        <f>$C965*CU964</f>
        <v/>
      </c>
      <c r="CV965">
        <f>$C965*CV964</f>
        <v/>
      </c>
      <c r="CW965">
        <f>$C965*CW964</f>
        <v/>
      </c>
      <c r="CX965">
        <f>$C965*CX964</f>
        <v/>
      </c>
      <c r="CY965">
        <f>$C965*CY964</f>
        <v/>
      </c>
      <c r="CZ965">
        <f>$C965*CZ964</f>
        <v/>
      </c>
      <c r="DA965">
        <f>$C965*DA964</f>
        <v/>
      </c>
      <c r="DB965">
        <f>$C965*DB964</f>
        <v/>
      </c>
      <c r="DC965">
        <f>$C965*DC964</f>
        <v/>
      </c>
    </row>
    <row r="966">
      <c r="B966" t="inlineStr">
        <is>
          <t>TPP-916</t>
        </is>
      </c>
      <c r="C966" t="inlineStr">
        <is>
          <t>No. of batches</t>
        </is>
      </c>
      <c r="D966">
        <f>IFERROR(INDEX(PP_Grid[#Data],$DD966,2),0)</f>
        <v/>
      </c>
      <c r="E966">
        <f>IFERROR(INDEX(PP_Grid[#Data],$DD966,3),0)</f>
        <v/>
      </c>
      <c r="F966">
        <f>IFERROR(INDEX(PP_Grid[#Data],$DD966,4),0)</f>
        <v/>
      </c>
      <c r="G966">
        <f>IFERROR(INDEX(PP_Grid[#Data],$DD966,5),0)</f>
        <v/>
      </c>
      <c r="H966">
        <f>IFERROR(INDEX(PP_Grid[#Data],$DD966,6),0)</f>
        <v/>
      </c>
      <c r="I966">
        <f>IFERROR(INDEX(PP_Grid[#Data],$DD966,7),0)</f>
        <v/>
      </c>
      <c r="J966">
        <f>IFERROR(INDEX(PP_Grid[#Data],$DD966,8),0)</f>
        <v/>
      </c>
      <c r="K966">
        <f>IFERROR(INDEX(PP_Grid[#Data],$DD966,9),0)</f>
        <v/>
      </c>
      <c r="L966">
        <f>IFERROR(INDEX(PP_Grid[#Data],$DD966,10),0)</f>
        <v/>
      </c>
      <c r="M966">
        <f>IFERROR(INDEX(PP_Grid[#Data],$DD966,11),0)</f>
        <v/>
      </c>
      <c r="N966">
        <f>IFERROR(INDEX(PP_Grid[#Data],$DD966,12),0)</f>
        <v/>
      </c>
      <c r="O966">
        <f>IFERROR(INDEX(PP_Grid[#Data],$DD966,13),0)</f>
        <v/>
      </c>
      <c r="P966">
        <f>IFERROR(INDEX(PP_Grid[#Data],$DD966,14),0)</f>
        <v/>
      </c>
      <c r="Q966">
        <f>IFERROR(INDEX(PP_Grid[#Data],$DD966,15),0)</f>
        <v/>
      </c>
      <c r="R966">
        <f>IFERROR(INDEX(PP_Grid[#Data],$DD966,16),0)</f>
        <v/>
      </c>
      <c r="S966">
        <f>IFERROR(INDEX(PP_Grid[#Data],$DD966,17),0)</f>
        <v/>
      </c>
      <c r="T966">
        <f>IFERROR(INDEX(PP_Grid[#Data],$DD966,18),0)</f>
        <v/>
      </c>
      <c r="U966">
        <f>IFERROR(INDEX(PP_Grid[#Data],$DD966,19),0)</f>
        <v/>
      </c>
      <c r="V966">
        <f>IFERROR(INDEX(PP_Grid[#Data],$DD966,20),0)</f>
        <v/>
      </c>
      <c r="W966">
        <f>IFERROR(INDEX(PP_Grid[#Data],$DD966,21),0)</f>
        <v/>
      </c>
      <c r="X966">
        <f>IFERROR(INDEX(PP_Grid[#Data],$DD966,22),0)</f>
        <v/>
      </c>
      <c r="Y966">
        <f>IFERROR(INDEX(PP_Grid[#Data],$DD966,23),0)</f>
        <v/>
      </c>
      <c r="Z966">
        <f>IFERROR(INDEX(PP_Grid[#Data],$DD966,24),0)</f>
        <v/>
      </c>
      <c r="AA966">
        <f>IFERROR(INDEX(PP_Grid[#Data],$DD966,25),0)</f>
        <v/>
      </c>
      <c r="AB966">
        <f>IFERROR(INDEX(PP_Grid[#Data],$DD966,26),0)</f>
        <v/>
      </c>
      <c r="AC966">
        <f>IFERROR(INDEX(PP_Grid[#Data],$DD966,27),0)</f>
        <v/>
      </c>
      <c r="AD966">
        <f>IFERROR(INDEX(PP_Grid[#Data],$DD966,28),0)</f>
        <v/>
      </c>
      <c r="AE966">
        <f>IFERROR(INDEX(PP_Grid[#Data],$DD966,29),0)</f>
        <v/>
      </c>
      <c r="AF966">
        <f>IFERROR(INDEX(PP_Grid[#Data],$DD966,30),0)</f>
        <v/>
      </c>
      <c r="AG966">
        <f>IFERROR(INDEX(PP_Grid[#Data],$DD966,31),0)</f>
        <v/>
      </c>
      <c r="AH966">
        <f>IFERROR(INDEX(PP_Grid[#Data],$DD966,32),0)</f>
        <v/>
      </c>
      <c r="AI966">
        <f>IFERROR(INDEX(PP_Grid[#Data],$DD966,33),0)</f>
        <v/>
      </c>
      <c r="AJ966">
        <f>IFERROR(INDEX(PP_Grid[#Data],$DD966,34),0)</f>
        <v/>
      </c>
      <c r="AK966">
        <f>IFERROR(INDEX(PP_Grid[#Data],$DD966,35),0)</f>
        <v/>
      </c>
      <c r="AL966">
        <f>IFERROR(INDEX(PP_Grid[#Data],$DD966,36),0)</f>
        <v/>
      </c>
      <c r="AM966">
        <f>IFERROR(INDEX(PP_Grid[#Data],$DD966,37),0)</f>
        <v/>
      </c>
      <c r="AN966">
        <f>IFERROR(INDEX(PP_Grid[#Data],$DD966,38),0)</f>
        <v/>
      </c>
      <c r="AO966">
        <f>IFERROR(INDEX(PP_Grid[#Data],$DD966,39),0)</f>
        <v/>
      </c>
      <c r="AP966">
        <f>IFERROR(INDEX(PP_Grid[#Data],$DD966,40),0)</f>
        <v/>
      </c>
      <c r="AQ966">
        <f>IFERROR(INDEX(PP_Grid[#Data],$DD966,41),0)</f>
        <v/>
      </c>
      <c r="AR966">
        <f>IFERROR(INDEX(PP_Grid[#Data],$DD966,42),0)</f>
        <v/>
      </c>
      <c r="AS966">
        <f>IFERROR(INDEX(PP_Grid[#Data],$DD966,43),0)</f>
        <v/>
      </c>
      <c r="AT966">
        <f>IFERROR(INDEX(PP_Grid[#Data],$DD966,44),0)</f>
        <v/>
      </c>
      <c r="AU966">
        <f>IFERROR(INDEX(PP_Grid[#Data],$DD966,45),0)</f>
        <v/>
      </c>
      <c r="AV966">
        <f>IFERROR(INDEX(PP_Grid[#Data],$DD966,46),0)</f>
        <v/>
      </c>
      <c r="AW966">
        <f>IFERROR(INDEX(PP_Grid[#Data],$DD966,47),0)</f>
        <v/>
      </c>
      <c r="AX966">
        <f>IFERROR(INDEX(PP_Grid[#Data],$DD966,48),0)</f>
        <v/>
      </c>
      <c r="AY966">
        <f>IFERROR(INDEX(PP_Grid[#Data],$DD966,49),0)</f>
        <v/>
      </c>
      <c r="AZ966">
        <f>IFERROR(INDEX(PP_Grid[#Data],$DD966,50),0)</f>
        <v/>
      </c>
      <c r="BA966">
        <f>IFERROR(INDEX(PP_Grid[#Data],$DD966,51),0)</f>
        <v/>
      </c>
      <c r="BB966">
        <f>IFERROR(INDEX(PP_Grid[#Data],$DD966,52),0)</f>
        <v/>
      </c>
      <c r="BC966">
        <f>IFERROR(INDEX(PP_Grid[#Data],$DD966,53),0)</f>
        <v/>
      </c>
      <c r="BD966">
        <f>IFERROR(INDEX(PP_Grid[#Data],$DD966,54),0)</f>
        <v/>
      </c>
      <c r="BE966">
        <f>IFERROR(INDEX(PP_Grid[#Data],$DD966,55),0)</f>
        <v/>
      </c>
      <c r="BF966">
        <f>IFERROR(INDEX(PP_Grid[#Data],$DD966,56),0)</f>
        <v/>
      </c>
      <c r="BG966">
        <f>IFERROR(INDEX(PP_Grid[#Data],$DD966,57),0)</f>
        <v/>
      </c>
      <c r="BH966">
        <f>IFERROR(INDEX(PP_Grid[#Data],$DD966,58),0)</f>
        <v/>
      </c>
      <c r="BI966">
        <f>IFERROR(INDEX(PP_Grid[#Data],$DD966,59),0)</f>
        <v/>
      </c>
      <c r="BJ966">
        <f>IFERROR(INDEX(PP_Grid[#Data],$DD966,60),0)</f>
        <v/>
      </c>
      <c r="BK966">
        <f>IFERROR(INDEX(PP_Grid[#Data],$DD966,61),0)</f>
        <v/>
      </c>
      <c r="BL966">
        <f>IFERROR(INDEX(PP_Grid[#Data],$DD966,62),0)</f>
        <v/>
      </c>
      <c r="BM966">
        <f>IFERROR(INDEX(PP_Grid[#Data],$DD966,63),0)</f>
        <v/>
      </c>
      <c r="BN966">
        <f>IFERROR(INDEX(PP_Grid[#Data],$DD966,64),0)</f>
        <v/>
      </c>
      <c r="BO966">
        <f>IFERROR(INDEX(PP_Grid[#Data],$DD966,65),0)</f>
        <v/>
      </c>
      <c r="BP966">
        <f>IFERROR(INDEX(PP_Grid[#Data],$DD966,66),0)</f>
        <v/>
      </c>
      <c r="BQ966">
        <f>IFERROR(INDEX(PP_Grid[#Data],$DD966,67),0)</f>
        <v/>
      </c>
      <c r="BR966">
        <f>IFERROR(INDEX(PP_Grid[#Data],$DD966,68),0)</f>
        <v/>
      </c>
      <c r="BS966">
        <f>IFERROR(INDEX(PP_Grid[#Data],$DD966,69),0)</f>
        <v/>
      </c>
      <c r="BT966">
        <f>IFERROR(INDEX(PP_Grid[#Data],$DD966,70),0)</f>
        <v/>
      </c>
      <c r="BU966">
        <f>IFERROR(INDEX(PP_Grid[#Data],$DD966,71),0)</f>
        <v/>
      </c>
      <c r="BV966">
        <f>IFERROR(INDEX(PP_Grid[#Data],$DD966,72),0)</f>
        <v/>
      </c>
      <c r="BW966">
        <f>IFERROR(INDEX(PP_Grid[#Data],$DD966,73),0)</f>
        <v/>
      </c>
      <c r="BX966">
        <f>IFERROR(INDEX(PP_Grid[#Data],$DD966,74),0)</f>
        <v/>
      </c>
      <c r="BY966">
        <f>IFERROR(INDEX(PP_Grid[#Data],$DD966,75),0)</f>
        <v/>
      </c>
      <c r="BZ966">
        <f>IFERROR(INDEX(PP_Grid[#Data],$DD966,76),0)</f>
        <v/>
      </c>
      <c r="CA966">
        <f>IFERROR(INDEX(PP_Grid[#Data],$DD966,77),0)</f>
        <v/>
      </c>
      <c r="CB966">
        <f>IFERROR(INDEX(PP_Grid[#Data],$DD966,78),0)</f>
        <v/>
      </c>
      <c r="CC966">
        <f>IFERROR(INDEX(PP_Grid[#Data],$DD966,79),0)</f>
        <v/>
      </c>
      <c r="CD966">
        <f>IFERROR(INDEX(PP_Grid[#Data],$DD966,80),0)</f>
        <v/>
      </c>
      <c r="CE966">
        <f>IFERROR(INDEX(PP_Grid[#Data],$DD966,81),0)</f>
        <v/>
      </c>
      <c r="CF966">
        <f>IFERROR(INDEX(PP_Grid[#Data],$DD966,82),0)</f>
        <v/>
      </c>
      <c r="CG966">
        <f>IFERROR(INDEX(PP_Grid[#Data],$DD966,83),0)</f>
        <v/>
      </c>
      <c r="CH966">
        <f>IFERROR(INDEX(PP_Grid[#Data],$DD966,84),0)</f>
        <v/>
      </c>
      <c r="CI966">
        <f>IFERROR(INDEX(PP_Grid[#Data],$DD966,85),0)</f>
        <v/>
      </c>
      <c r="CJ966">
        <f>IFERROR(INDEX(PP_Grid[#Data],$DD966,86),0)</f>
        <v/>
      </c>
      <c r="CK966">
        <f>IFERROR(INDEX(PP_Grid[#Data],$DD966,87),0)</f>
        <v/>
      </c>
      <c r="CL966">
        <f>IFERROR(INDEX(PP_Grid[#Data],$DD966,88),0)</f>
        <v/>
      </c>
      <c r="CM966">
        <f>IFERROR(INDEX(PP_Grid[#Data],$DD966,89),0)</f>
        <v/>
      </c>
      <c r="CN966">
        <f>IFERROR(INDEX(PP_Grid[#Data],$DD966,90),0)</f>
        <v/>
      </c>
      <c r="CO966">
        <f>IFERROR(INDEX(PP_Grid[#Data],$DD966,91),0)</f>
        <v/>
      </c>
      <c r="CP966">
        <f>IFERROR(INDEX(PP_Grid[#Data],$DD966,92),0)</f>
        <v/>
      </c>
      <c r="CQ966">
        <f>IFERROR(INDEX(PP_Grid[#Data],$DD966,93),0)</f>
        <v/>
      </c>
      <c r="CR966">
        <f>IFERROR(INDEX(PP_Grid[#Data],$DD966,94),0)</f>
        <v/>
      </c>
      <c r="CS966">
        <f>IFERROR(INDEX(PP_Grid[#Data],$DD966,95),0)</f>
        <v/>
      </c>
      <c r="CT966">
        <f>IFERROR(INDEX(PP_Grid[#Data],$DD966,96),0)</f>
        <v/>
      </c>
      <c r="CU966">
        <f>IFERROR(INDEX(PP_Grid[#Data],$DD966,97),0)</f>
        <v/>
      </c>
      <c r="CV966">
        <f>IFERROR(INDEX(PP_Grid[#Data],$DD966,98),0)</f>
        <v/>
      </c>
      <c r="CW966">
        <f>IFERROR(INDEX(PP_Grid[#Data],$DD966,99),0)</f>
        <v/>
      </c>
      <c r="CX966">
        <f>IFERROR(INDEX(PP_Grid[#Data],$DD966,100),0)</f>
        <v/>
      </c>
      <c r="CY966">
        <f>IFERROR(INDEX(PP_Grid[#Data],$DD966,101),0)</f>
        <v/>
      </c>
      <c r="CZ966">
        <f>IFERROR(INDEX(PP_Grid[#Data],$DD966,102),0)</f>
        <v/>
      </c>
      <c r="DA966">
        <f>IFERROR(INDEX(PP_Grid[#Data],$DD966,103),0)</f>
        <v/>
      </c>
      <c r="DB966">
        <f>IFERROR(INDEX(PP_Grid[#Data],$DD966,104),0)</f>
        <v/>
      </c>
      <c r="DC966">
        <f>IFERROR(INDEX(PP_Grid[#Data],$DD966,105),0)</f>
        <v/>
      </c>
      <c r="DD966" s="7">
        <f>IFERROR(MATCH($B966,PP_Grid[Intermediate],0),99999)</f>
        <v/>
      </c>
    </row>
    <row r="967">
      <c r="B967" t="inlineStr">
        <is>
          <t>使用量(kg)</t>
        </is>
      </c>
      <c r="C967">
        <f>SUMIFS(M_BOM[RM_Qty_Per_Batch],M_BOM[Intermediate],$B966,M_BOM[Part Name],$A953)</f>
        <v/>
      </c>
      <c r="D967">
        <f>$C967*D966</f>
        <v/>
      </c>
      <c r="E967">
        <f>$C967*E966</f>
        <v/>
      </c>
      <c r="F967">
        <f>$C967*F966</f>
        <v/>
      </c>
      <c r="G967">
        <f>$C967*G966</f>
        <v/>
      </c>
      <c r="H967">
        <f>$C967*H966</f>
        <v/>
      </c>
      <c r="I967">
        <f>$C967*I966</f>
        <v/>
      </c>
      <c r="J967">
        <f>$C967*J966</f>
        <v/>
      </c>
      <c r="K967">
        <f>$C967*K966</f>
        <v/>
      </c>
      <c r="L967">
        <f>$C967*L966</f>
        <v/>
      </c>
      <c r="M967">
        <f>$C967*M966</f>
        <v/>
      </c>
      <c r="N967">
        <f>$C967*N966</f>
        <v/>
      </c>
      <c r="O967">
        <f>$C967*O966</f>
        <v/>
      </c>
      <c r="P967">
        <f>$C967*P966</f>
        <v/>
      </c>
      <c r="Q967">
        <f>$C967*Q966</f>
        <v/>
      </c>
      <c r="R967">
        <f>$C967*R966</f>
        <v/>
      </c>
      <c r="S967">
        <f>$C967*S966</f>
        <v/>
      </c>
      <c r="T967">
        <f>$C967*T966</f>
        <v/>
      </c>
      <c r="U967">
        <f>$C967*U966</f>
        <v/>
      </c>
      <c r="V967">
        <f>$C967*V966</f>
        <v/>
      </c>
      <c r="W967">
        <f>$C967*W966</f>
        <v/>
      </c>
      <c r="X967">
        <f>$C967*X966</f>
        <v/>
      </c>
      <c r="Y967">
        <f>$C967*Y966</f>
        <v/>
      </c>
      <c r="Z967">
        <f>$C967*Z966</f>
        <v/>
      </c>
      <c r="AA967">
        <f>$C967*AA966</f>
        <v/>
      </c>
      <c r="AB967">
        <f>$C967*AB966</f>
        <v/>
      </c>
      <c r="AC967">
        <f>$C967*AC966</f>
        <v/>
      </c>
      <c r="AD967">
        <f>$C967*AD966</f>
        <v/>
      </c>
      <c r="AE967">
        <f>$C967*AE966</f>
        <v/>
      </c>
      <c r="AF967">
        <f>$C967*AF966</f>
        <v/>
      </c>
      <c r="AG967">
        <f>$C967*AG966</f>
        <v/>
      </c>
      <c r="AH967">
        <f>$C967*AH966</f>
        <v/>
      </c>
      <c r="AI967">
        <f>$C967*AI966</f>
        <v/>
      </c>
      <c r="AJ967">
        <f>$C967*AJ966</f>
        <v/>
      </c>
      <c r="AK967">
        <f>$C967*AK966</f>
        <v/>
      </c>
      <c r="AL967">
        <f>$C967*AL966</f>
        <v/>
      </c>
      <c r="AM967">
        <f>$C967*AM966</f>
        <v/>
      </c>
      <c r="AN967">
        <f>$C967*AN966</f>
        <v/>
      </c>
      <c r="AO967">
        <f>$C967*AO966</f>
        <v/>
      </c>
      <c r="AP967">
        <f>$C967*AP966</f>
        <v/>
      </c>
      <c r="AQ967">
        <f>$C967*AQ966</f>
        <v/>
      </c>
      <c r="AR967">
        <f>$C967*AR966</f>
        <v/>
      </c>
      <c r="AS967">
        <f>$C967*AS966</f>
        <v/>
      </c>
      <c r="AT967">
        <f>$C967*AT966</f>
        <v/>
      </c>
      <c r="AU967">
        <f>$C967*AU966</f>
        <v/>
      </c>
      <c r="AV967">
        <f>$C967*AV966</f>
        <v/>
      </c>
      <c r="AW967">
        <f>$C967*AW966</f>
        <v/>
      </c>
      <c r="AX967">
        <f>$C967*AX966</f>
        <v/>
      </c>
      <c r="AY967">
        <f>$C967*AY966</f>
        <v/>
      </c>
      <c r="AZ967">
        <f>$C967*AZ966</f>
        <v/>
      </c>
      <c r="BA967">
        <f>$C967*BA966</f>
        <v/>
      </c>
      <c r="BB967">
        <f>$C967*BB966</f>
        <v/>
      </c>
      <c r="BC967">
        <f>$C967*BC966</f>
        <v/>
      </c>
      <c r="BD967">
        <f>$C967*BD966</f>
        <v/>
      </c>
      <c r="BE967">
        <f>$C967*BE966</f>
        <v/>
      </c>
      <c r="BF967">
        <f>$C967*BF966</f>
        <v/>
      </c>
      <c r="BG967">
        <f>$C967*BG966</f>
        <v/>
      </c>
      <c r="BH967">
        <f>$C967*BH966</f>
        <v/>
      </c>
      <c r="BI967">
        <f>$C967*BI966</f>
        <v/>
      </c>
      <c r="BJ967">
        <f>$C967*BJ966</f>
        <v/>
      </c>
      <c r="BK967">
        <f>$C967*BK966</f>
        <v/>
      </c>
      <c r="BL967">
        <f>$C967*BL966</f>
        <v/>
      </c>
      <c r="BM967">
        <f>$C967*BM966</f>
        <v/>
      </c>
      <c r="BN967">
        <f>$C967*BN966</f>
        <v/>
      </c>
      <c r="BO967">
        <f>$C967*BO966</f>
        <v/>
      </c>
      <c r="BP967">
        <f>$C967*BP966</f>
        <v/>
      </c>
      <c r="BQ967">
        <f>$C967*BQ966</f>
        <v/>
      </c>
      <c r="BR967">
        <f>$C967*BR966</f>
        <v/>
      </c>
      <c r="BS967">
        <f>$C967*BS966</f>
        <v/>
      </c>
      <c r="BT967">
        <f>$C967*BT966</f>
        <v/>
      </c>
      <c r="BU967">
        <f>$C967*BU966</f>
        <v/>
      </c>
      <c r="BV967">
        <f>$C967*BV966</f>
        <v/>
      </c>
      <c r="BW967">
        <f>$C967*BW966</f>
        <v/>
      </c>
      <c r="BX967">
        <f>$C967*BX966</f>
        <v/>
      </c>
      <c r="BY967">
        <f>$C967*BY966</f>
        <v/>
      </c>
      <c r="BZ967">
        <f>$C967*BZ966</f>
        <v/>
      </c>
      <c r="CA967">
        <f>$C967*CA966</f>
        <v/>
      </c>
      <c r="CB967">
        <f>$C967*CB966</f>
        <v/>
      </c>
      <c r="CC967">
        <f>$C967*CC966</f>
        <v/>
      </c>
      <c r="CD967">
        <f>$C967*CD966</f>
        <v/>
      </c>
      <c r="CE967">
        <f>$C967*CE966</f>
        <v/>
      </c>
      <c r="CF967">
        <f>$C967*CF966</f>
        <v/>
      </c>
      <c r="CG967">
        <f>$C967*CG966</f>
        <v/>
      </c>
      <c r="CH967">
        <f>$C967*CH966</f>
        <v/>
      </c>
      <c r="CI967">
        <f>$C967*CI966</f>
        <v/>
      </c>
      <c r="CJ967">
        <f>$C967*CJ966</f>
        <v/>
      </c>
      <c r="CK967">
        <f>$C967*CK966</f>
        <v/>
      </c>
      <c r="CL967">
        <f>$C967*CL966</f>
        <v/>
      </c>
      <c r="CM967">
        <f>$C967*CM966</f>
        <v/>
      </c>
      <c r="CN967">
        <f>$C967*CN966</f>
        <v/>
      </c>
      <c r="CO967">
        <f>$C967*CO966</f>
        <v/>
      </c>
      <c r="CP967">
        <f>$C967*CP966</f>
        <v/>
      </c>
      <c r="CQ967">
        <f>$C967*CQ966</f>
        <v/>
      </c>
      <c r="CR967">
        <f>$C967*CR966</f>
        <v/>
      </c>
      <c r="CS967">
        <f>$C967*CS966</f>
        <v/>
      </c>
      <c r="CT967">
        <f>$C967*CT966</f>
        <v/>
      </c>
      <c r="CU967">
        <f>$C967*CU966</f>
        <v/>
      </c>
      <c r="CV967">
        <f>$C967*CV966</f>
        <v/>
      </c>
      <c r="CW967">
        <f>$C967*CW966</f>
        <v/>
      </c>
      <c r="CX967">
        <f>$C967*CX966</f>
        <v/>
      </c>
      <c r="CY967">
        <f>$C967*CY966</f>
        <v/>
      </c>
      <c r="CZ967">
        <f>$C967*CZ966</f>
        <v/>
      </c>
      <c r="DA967">
        <f>$C967*DA966</f>
        <v/>
      </c>
      <c r="DB967">
        <f>$C967*DB966</f>
        <v/>
      </c>
      <c r="DC967">
        <f>$C967*DC966</f>
        <v/>
      </c>
    </row>
    <row r="968">
      <c r="B968" t="inlineStr">
        <is>
          <t>TPP-917</t>
        </is>
      </c>
      <c r="C968" t="inlineStr">
        <is>
          <t>No. of batches</t>
        </is>
      </c>
      <c r="D968">
        <f>IFERROR(INDEX(PP_Grid[#Data],$DD968,2),0)</f>
        <v/>
      </c>
      <c r="E968">
        <f>IFERROR(INDEX(PP_Grid[#Data],$DD968,3),0)</f>
        <v/>
      </c>
      <c r="F968">
        <f>IFERROR(INDEX(PP_Grid[#Data],$DD968,4),0)</f>
        <v/>
      </c>
      <c r="G968">
        <f>IFERROR(INDEX(PP_Grid[#Data],$DD968,5),0)</f>
        <v/>
      </c>
      <c r="H968">
        <f>IFERROR(INDEX(PP_Grid[#Data],$DD968,6),0)</f>
        <v/>
      </c>
      <c r="I968">
        <f>IFERROR(INDEX(PP_Grid[#Data],$DD968,7),0)</f>
        <v/>
      </c>
      <c r="J968">
        <f>IFERROR(INDEX(PP_Grid[#Data],$DD968,8),0)</f>
        <v/>
      </c>
      <c r="K968">
        <f>IFERROR(INDEX(PP_Grid[#Data],$DD968,9),0)</f>
        <v/>
      </c>
      <c r="L968">
        <f>IFERROR(INDEX(PP_Grid[#Data],$DD968,10),0)</f>
        <v/>
      </c>
      <c r="M968">
        <f>IFERROR(INDEX(PP_Grid[#Data],$DD968,11),0)</f>
        <v/>
      </c>
      <c r="N968">
        <f>IFERROR(INDEX(PP_Grid[#Data],$DD968,12),0)</f>
        <v/>
      </c>
      <c r="O968">
        <f>IFERROR(INDEX(PP_Grid[#Data],$DD968,13),0)</f>
        <v/>
      </c>
      <c r="P968">
        <f>IFERROR(INDEX(PP_Grid[#Data],$DD968,14),0)</f>
        <v/>
      </c>
      <c r="Q968">
        <f>IFERROR(INDEX(PP_Grid[#Data],$DD968,15),0)</f>
        <v/>
      </c>
      <c r="R968">
        <f>IFERROR(INDEX(PP_Grid[#Data],$DD968,16),0)</f>
        <v/>
      </c>
      <c r="S968">
        <f>IFERROR(INDEX(PP_Grid[#Data],$DD968,17),0)</f>
        <v/>
      </c>
      <c r="T968">
        <f>IFERROR(INDEX(PP_Grid[#Data],$DD968,18),0)</f>
        <v/>
      </c>
      <c r="U968">
        <f>IFERROR(INDEX(PP_Grid[#Data],$DD968,19),0)</f>
        <v/>
      </c>
      <c r="V968">
        <f>IFERROR(INDEX(PP_Grid[#Data],$DD968,20),0)</f>
        <v/>
      </c>
      <c r="W968">
        <f>IFERROR(INDEX(PP_Grid[#Data],$DD968,21),0)</f>
        <v/>
      </c>
      <c r="X968">
        <f>IFERROR(INDEX(PP_Grid[#Data],$DD968,22),0)</f>
        <v/>
      </c>
      <c r="Y968">
        <f>IFERROR(INDEX(PP_Grid[#Data],$DD968,23),0)</f>
        <v/>
      </c>
      <c r="Z968">
        <f>IFERROR(INDEX(PP_Grid[#Data],$DD968,24),0)</f>
        <v/>
      </c>
      <c r="AA968">
        <f>IFERROR(INDEX(PP_Grid[#Data],$DD968,25),0)</f>
        <v/>
      </c>
      <c r="AB968">
        <f>IFERROR(INDEX(PP_Grid[#Data],$DD968,26),0)</f>
        <v/>
      </c>
      <c r="AC968">
        <f>IFERROR(INDEX(PP_Grid[#Data],$DD968,27),0)</f>
        <v/>
      </c>
      <c r="AD968">
        <f>IFERROR(INDEX(PP_Grid[#Data],$DD968,28),0)</f>
        <v/>
      </c>
      <c r="AE968">
        <f>IFERROR(INDEX(PP_Grid[#Data],$DD968,29),0)</f>
        <v/>
      </c>
      <c r="AF968">
        <f>IFERROR(INDEX(PP_Grid[#Data],$DD968,30),0)</f>
        <v/>
      </c>
      <c r="AG968">
        <f>IFERROR(INDEX(PP_Grid[#Data],$DD968,31),0)</f>
        <v/>
      </c>
      <c r="AH968">
        <f>IFERROR(INDEX(PP_Grid[#Data],$DD968,32),0)</f>
        <v/>
      </c>
      <c r="AI968">
        <f>IFERROR(INDEX(PP_Grid[#Data],$DD968,33),0)</f>
        <v/>
      </c>
      <c r="AJ968">
        <f>IFERROR(INDEX(PP_Grid[#Data],$DD968,34),0)</f>
        <v/>
      </c>
      <c r="AK968">
        <f>IFERROR(INDEX(PP_Grid[#Data],$DD968,35),0)</f>
        <v/>
      </c>
      <c r="AL968">
        <f>IFERROR(INDEX(PP_Grid[#Data],$DD968,36),0)</f>
        <v/>
      </c>
      <c r="AM968">
        <f>IFERROR(INDEX(PP_Grid[#Data],$DD968,37),0)</f>
        <v/>
      </c>
      <c r="AN968">
        <f>IFERROR(INDEX(PP_Grid[#Data],$DD968,38),0)</f>
        <v/>
      </c>
      <c r="AO968">
        <f>IFERROR(INDEX(PP_Grid[#Data],$DD968,39),0)</f>
        <v/>
      </c>
      <c r="AP968">
        <f>IFERROR(INDEX(PP_Grid[#Data],$DD968,40),0)</f>
        <v/>
      </c>
      <c r="AQ968">
        <f>IFERROR(INDEX(PP_Grid[#Data],$DD968,41),0)</f>
        <v/>
      </c>
      <c r="AR968">
        <f>IFERROR(INDEX(PP_Grid[#Data],$DD968,42),0)</f>
        <v/>
      </c>
      <c r="AS968">
        <f>IFERROR(INDEX(PP_Grid[#Data],$DD968,43),0)</f>
        <v/>
      </c>
      <c r="AT968">
        <f>IFERROR(INDEX(PP_Grid[#Data],$DD968,44),0)</f>
        <v/>
      </c>
      <c r="AU968">
        <f>IFERROR(INDEX(PP_Grid[#Data],$DD968,45),0)</f>
        <v/>
      </c>
      <c r="AV968">
        <f>IFERROR(INDEX(PP_Grid[#Data],$DD968,46),0)</f>
        <v/>
      </c>
      <c r="AW968">
        <f>IFERROR(INDEX(PP_Grid[#Data],$DD968,47),0)</f>
        <v/>
      </c>
      <c r="AX968">
        <f>IFERROR(INDEX(PP_Grid[#Data],$DD968,48),0)</f>
        <v/>
      </c>
      <c r="AY968">
        <f>IFERROR(INDEX(PP_Grid[#Data],$DD968,49),0)</f>
        <v/>
      </c>
      <c r="AZ968">
        <f>IFERROR(INDEX(PP_Grid[#Data],$DD968,50),0)</f>
        <v/>
      </c>
      <c r="BA968">
        <f>IFERROR(INDEX(PP_Grid[#Data],$DD968,51),0)</f>
        <v/>
      </c>
      <c r="BB968">
        <f>IFERROR(INDEX(PP_Grid[#Data],$DD968,52),0)</f>
        <v/>
      </c>
      <c r="BC968">
        <f>IFERROR(INDEX(PP_Grid[#Data],$DD968,53),0)</f>
        <v/>
      </c>
      <c r="BD968">
        <f>IFERROR(INDEX(PP_Grid[#Data],$DD968,54),0)</f>
        <v/>
      </c>
      <c r="BE968">
        <f>IFERROR(INDEX(PP_Grid[#Data],$DD968,55),0)</f>
        <v/>
      </c>
      <c r="BF968">
        <f>IFERROR(INDEX(PP_Grid[#Data],$DD968,56),0)</f>
        <v/>
      </c>
      <c r="BG968">
        <f>IFERROR(INDEX(PP_Grid[#Data],$DD968,57),0)</f>
        <v/>
      </c>
      <c r="BH968">
        <f>IFERROR(INDEX(PP_Grid[#Data],$DD968,58),0)</f>
        <v/>
      </c>
      <c r="BI968">
        <f>IFERROR(INDEX(PP_Grid[#Data],$DD968,59),0)</f>
        <v/>
      </c>
      <c r="BJ968">
        <f>IFERROR(INDEX(PP_Grid[#Data],$DD968,60),0)</f>
        <v/>
      </c>
      <c r="BK968">
        <f>IFERROR(INDEX(PP_Grid[#Data],$DD968,61),0)</f>
        <v/>
      </c>
      <c r="BL968">
        <f>IFERROR(INDEX(PP_Grid[#Data],$DD968,62),0)</f>
        <v/>
      </c>
      <c r="BM968">
        <f>IFERROR(INDEX(PP_Grid[#Data],$DD968,63),0)</f>
        <v/>
      </c>
      <c r="BN968">
        <f>IFERROR(INDEX(PP_Grid[#Data],$DD968,64),0)</f>
        <v/>
      </c>
      <c r="BO968">
        <f>IFERROR(INDEX(PP_Grid[#Data],$DD968,65),0)</f>
        <v/>
      </c>
      <c r="BP968">
        <f>IFERROR(INDEX(PP_Grid[#Data],$DD968,66),0)</f>
        <v/>
      </c>
      <c r="BQ968">
        <f>IFERROR(INDEX(PP_Grid[#Data],$DD968,67),0)</f>
        <v/>
      </c>
      <c r="BR968">
        <f>IFERROR(INDEX(PP_Grid[#Data],$DD968,68),0)</f>
        <v/>
      </c>
      <c r="BS968">
        <f>IFERROR(INDEX(PP_Grid[#Data],$DD968,69),0)</f>
        <v/>
      </c>
      <c r="BT968">
        <f>IFERROR(INDEX(PP_Grid[#Data],$DD968,70),0)</f>
        <v/>
      </c>
      <c r="BU968">
        <f>IFERROR(INDEX(PP_Grid[#Data],$DD968,71),0)</f>
        <v/>
      </c>
      <c r="BV968">
        <f>IFERROR(INDEX(PP_Grid[#Data],$DD968,72),0)</f>
        <v/>
      </c>
      <c r="BW968">
        <f>IFERROR(INDEX(PP_Grid[#Data],$DD968,73),0)</f>
        <v/>
      </c>
      <c r="BX968">
        <f>IFERROR(INDEX(PP_Grid[#Data],$DD968,74),0)</f>
        <v/>
      </c>
      <c r="BY968">
        <f>IFERROR(INDEX(PP_Grid[#Data],$DD968,75),0)</f>
        <v/>
      </c>
      <c r="BZ968">
        <f>IFERROR(INDEX(PP_Grid[#Data],$DD968,76),0)</f>
        <v/>
      </c>
      <c r="CA968">
        <f>IFERROR(INDEX(PP_Grid[#Data],$DD968,77),0)</f>
        <v/>
      </c>
      <c r="CB968">
        <f>IFERROR(INDEX(PP_Grid[#Data],$DD968,78),0)</f>
        <v/>
      </c>
      <c r="CC968">
        <f>IFERROR(INDEX(PP_Grid[#Data],$DD968,79),0)</f>
        <v/>
      </c>
      <c r="CD968">
        <f>IFERROR(INDEX(PP_Grid[#Data],$DD968,80),0)</f>
        <v/>
      </c>
      <c r="CE968">
        <f>IFERROR(INDEX(PP_Grid[#Data],$DD968,81),0)</f>
        <v/>
      </c>
      <c r="CF968">
        <f>IFERROR(INDEX(PP_Grid[#Data],$DD968,82),0)</f>
        <v/>
      </c>
      <c r="CG968">
        <f>IFERROR(INDEX(PP_Grid[#Data],$DD968,83),0)</f>
        <v/>
      </c>
      <c r="CH968">
        <f>IFERROR(INDEX(PP_Grid[#Data],$DD968,84),0)</f>
        <v/>
      </c>
      <c r="CI968">
        <f>IFERROR(INDEX(PP_Grid[#Data],$DD968,85),0)</f>
        <v/>
      </c>
      <c r="CJ968">
        <f>IFERROR(INDEX(PP_Grid[#Data],$DD968,86),0)</f>
        <v/>
      </c>
      <c r="CK968">
        <f>IFERROR(INDEX(PP_Grid[#Data],$DD968,87),0)</f>
        <v/>
      </c>
      <c r="CL968">
        <f>IFERROR(INDEX(PP_Grid[#Data],$DD968,88),0)</f>
        <v/>
      </c>
      <c r="CM968">
        <f>IFERROR(INDEX(PP_Grid[#Data],$DD968,89),0)</f>
        <v/>
      </c>
      <c r="CN968">
        <f>IFERROR(INDEX(PP_Grid[#Data],$DD968,90),0)</f>
        <v/>
      </c>
      <c r="CO968">
        <f>IFERROR(INDEX(PP_Grid[#Data],$DD968,91),0)</f>
        <v/>
      </c>
      <c r="CP968">
        <f>IFERROR(INDEX(PP_Grid[#Data],$DD968,92),0)</f>
        <v/>
      </c>
      <c r="CQ968">
        <f>IFERROR(INDEX(PP_Grid[#Data],$DD968,93),0)</f>
        <v/>
      </c>
      <c r="CR968">
        <f>IFERROR(INDEX(PP_Grid[#Data],$DD968,94),0)</f>
        <v/>
      </c>
      <c r="CS968">
        <f>IFERROR(INDEX(PP_Grid[#Data],$DD968,95),0)</f>
        <v/>
      </c>
      <c r="CT968">
        <f>IFERROR(INDEX(PP_Grid[#Data],$DD968,96),0)</f>
        <v/>
      </c>
      <c r="CU968">
        <f>IFERROR(INDEX(PP_Grid[#Data],$DD968,97),0)</f>
        <v/>
      </c>
      <c r="CV968">
        <f>IFERROR(INDEX(PP_Grid[#Data],$DD968,98),0)</f>
        <v/>
      </c>
      <c r="CW968">
        <f>IFERROR(INDEX(PP_Grid[#Data],$DD968,99),0)</f>
        <v/>
      </c>
      <c r="CX968">
        <f>IFERROR(INDEX(PP_Grid[#Data],$DD968,100),0)</f>
        <v/>
      </c>
      <c r="CY968">
        <f>IFERROR(INDEX(PP_Grid[#Data],$DD968,101),0)</f>
        <v/>
      </c>
      <c r="CZ968">
        <f>IFERROR(INDEX(PP_Grid[#Data],$DD968,102),0)</f>
        <v/>
      </c>
      <c r="DA968">
        <f>IFERROR(INDEX(PP_Grid[#Data],$DD968,103),0)</f>
        <v/>
      </c>
      <c r="DB968">
        <f>IFERROR(INDEX(PP_Grid[#Data],$DD968,104),0)</f>
        <v/>
      </c>
      <c r="DC968">
        <f>IFERROR(INDEX(PP_Grid[#Data],$DD968,105),0)</f>
        <v/>
      </c>
      <c r="DD968" s="7">
        <f>IFERROR(MATCH($B968,PP_Grid[Intermediate],0),99999)</f>
        <v/>
      </c>
    </row>
    <row r="969">
      <c r="B969" t="inlineStr">
        <is>
          <t>使用量(kg)</t>
        </is>
      </c>
      <c r="C969">
        <f>SUMIFS(M_BOM[RM_Qty_Per_Batch],M_BOM[Intermediate],$B968,M_BOM[Part Name],$A953)</f>
        <v/>
      </c>
      <c r="D969">
        <f>$C969*D968</f>
        <v/>
      </c>
      <c r="E969">
        <f>$C969*E968</f>
        <v/>
      </c>
      <c r="F969">
        <f>$C969*F968</f>
        <v/>
      </c>
      <c r="G969">
        <f>$C969*G968</f>
        <v/>
      </c>
      <c r="H969">
        <f>$C969*H968</f>
        <v/>
      </c>
      <c r="I969">
        <f>$C969*I968</f>
        <v/>
      </c>
      <c r="J969">
        <f>$C969*J968</f>
        <v/>
      </c>
      <c r="K969">
        <f>$C969*K968</f>
        <v/>
      </c>
      <c r="L969">
        <f>$C969*L968</f>
        <v/>
      </c>
      <c r="M969">
        <f>$C969*M968</f>
        <v/>
      </c>
      <c r="N969">
        <f>$C969*N968</f>
        <v/>
      </c>
      <c r="O969">
        <f>$C969*O968</f>
        <v/>
      </c>
      <c r="P969">
        <f>$C969*P968</f>
        <v/>
      </c>
      <c r="Q969">
        <f>$C969*Q968</f>
        <v/>
      </c>
      <c r="R969">
        <f>$C969*R968</f>
        <v/>
      </c>
      <c r="S969">
        <f>$C969*S968</f>
        <v/>
      </c>
      <c r="T969">
        <f>$C969*T968</f>
        <v/>
      </c>
      <c r="U969">
        <f>$C969*U968</f>
        <v/>
      </c>
      <c r="V969">
        <f>$C969*V968</f>
        <v/>
      </c>
      <c r="W969">
        <f>$C969*W968</f>
        <v/>
      </c>
      <c r="X969">
        <f>$C969*X968</f>
        <v/>
      </c>
      <c r="Y969">
        <f>$C969*Y968</f>
        <v/>
      </c>
      <c r="Z969">
        <f>$C969*Z968</f>
        <v/>
      </c>
      <c r="AA969">
        <f>$C969*AA968</f>
        <v/>
      </c>
      <c r="AB969">
        <f>$C969*AB968</f>
        <v/>
      </c>
      <c r="AC969">
        <f>$C969*AC968</f>
        <v/>
      </c>
      <c r="AD969">
        <f>$C969*AD968</f>
        <v/>
      </c>
      <c r="AE969">
        <f>$C969*AE968</f>
        <v/>
      </c>
      <c r="AF969">
        <f>$C969*AF968</f>
        <v/>
      </c>
      <c r="AG969">
        <f>$C969*AG968</f>
        <v/>
      </c>
      <c r="AH969">
        <f>$C969*AH968</f>
        <v/>
      </c>
      <c r="AI969">
        <f>$C969*AI968</f>
        <v/>
      </c>
      <c r="AJ969">
        <f>$C969*AJ968</f>
        <v/>
      </c>
      <c r="AK969">
        <f>$C969*AK968</f>
        <v/>
      </c>
      <c r="AL969">
        <f>$C969*AL968</f>
        <v/>
      </c>
      <c r="AM969">
        <f>$C969*AM968</f>
        <v/>
      </c>
      <c r="AN969">
        <f>$C969*AN968</f>
        <v/>
      </c>
      <c r="AO969">
        <f>$C969*AO968</f>
        <v/>
      </c>
      <c r="AP969">
        <f>$C969*AP968</f>
        <v/>
      </c>
      <c r="AQ969">
        <f>$C969*AQ968</f>
        <v/>
      </c>
      <c r="AR969">
        <f>$C969*AR968</f>
        <v/>
      </c>
      <c r="AS969">
        <f>$C969*AS968</f>
        <v/>
      </c>
      <c r="AT969">
        <f>$C969*AT968</f>
        <v/>
      </c>
      <c r="AU969">
        <f>$C969*AU968</f>
        <v/>
      </c>
      <c r="AV969">
        <f>$C969*AV968</f>
        <v/>
      </c>
      <c r="AW969">
        <f>$C969*AW968</f>
        <v/>
      </c>
      <c r="AX969">
        <f>$C969*AX968</f>
        <v/>
      </c>
      <c r="AY969">
        <f>$C969*AY968</f>
        <v/>
      </c>
      <c r="AZ969">
        <f>$C969*AZ968</f>
        <v/>
      </c>
      <c r="BA969">
        <f>$C969*BA968</f>
        <v/>
      </c>
      <c r="BB969">
        <f>$C969*BB968</f>
        <v/>
      </c>
      <c r="BC969">
        <f>$C969*BC968</f>
        <v/>
      </c>
      <c r="BD969">
        <f>$C969*BD968</f>
        <v/>
      </c>
      <c r="BE969">
        <f>$C969*BE968</f>
        <v/>
      </c>
      <c r="BF969">
        <f>$C969*BF968</f>
        <v/>
      </c>
      <c r="BG969">
        <f>$C969*BG968</f>
        <v/>
      </c>
      <c r="BH969">
        <f>$C969*BH968</f>
        <v/>
      </c>
      <c r="BI969">
        <f>$C969*BI968</f>
        <v/>
      </c>
      <c r="BJ969">
        <f>$C969*BJ968</f>
        <v/>
      </c>
      <c r="BK969">
        <f>$C969*BK968</f>
        <v/>
      </c>
      <c r="BL969">
        <f>$C969*BL968</f>
        <v/>
      </c>
      <c r="BM969">
        <f>$C969*BM968</f>
        <v/>
      </c>
      <c r="BN969">
        <f>$C969*BN968</f>
        <v/>
      </c>
      <c r="BO969">
        <f>$C969*BO968</f>
        <v/>
      </c>
      <c r="BP969">
        <f>$C969*BP968</f>
        <v/>
      </c>
      <c r="BQ969">
        <f>$C969*BQ968</f>
        <v/>
      </c>
      <c r="BR969">
        <f>$C969*BR968</f>
        <v/>
      </c>
      <c r="BS969">
        <f>$C969*BS968</f>
        <v/>
      </c>
      <c r="BT969">
        <f>$C969*BT968</f>
        <v/>
      </c>
      <c r="BU969">
        <f>$C969*BU968</f>
        <v/>
      </c>
      <c r="BV969">
        <f>$C969*BV968</f>
        <v/>
      </c>
      <c r="BW969">
        <f>$C969*BW968</f>
        <v/>
      </c>
      <c r="BX969">
        <f>$C969*BX968</f>
        <v/>
      </c>
      <c r="BY969">
        <f>$C969*BY968</f>
        <v/>
      </c>
      <c r="BZ969">
        <f>$C969*BZ968</f>
        <v/>
      </c>
      <c r="CA969">
        <f>$C969*CA968</f>
        <v/>
      </c>
      <c r="CB969">
        <f>$C969*CB968</f>
        <v/>
      </c>
      <c r="CC969">
        <f>$C969*CC968</f>
        <v/>
      </c>
      <c r="CD969">
        <f>$C969*CD968</f>
        <v/>
      </c>
      <c r="CE969">
        <f>$C969*CE968</f>
        <v/>
      </c>
      <c r="CF969">
        <f>$C969*CF968</f>
        <v/>
      </c>
      <c r="CG969">
        <f>$C969*CG968</f>
        <v/>
      </c>
      <c r="CH969">
        <f>$C969*CH968</f>
        <v/>
      </c>
      <c r="CI969">
        <f>$C969*CI968</f>
        <v/>
      </c>
      <c r="CJ969">
        <f>$C969*CJ968</f>
        <v/>
      </c>
      <c r="CK969">
        <f>$C969*CK968</f>
        <v/>
      </c>
      <c r="CL969">
        <f>$C969*CL968</f>
        <v/>
      </c>
      <c r="CM969">
        <f>$C969*CM968</f>
        <v/>
      </c>
      <c r="CN969">
        <f>$C969*CN968</f>
        <v/>
      </c>
      <c r="CO969">
        <f>$C969*CO968</f>
        <v/>
      </c>
      <c r="CP969">
        <f>$C969*CP968</f>
        <v/>
      </c>
      <c r="CQ969">
        <f>$C969*CQ968</f>
        <v/>
      </c>
      <c r="CR969">
        <f>$C969*CR968</f>
        <v/>
      </c>
      <c r="CS969">
        <f>$C969*CS968</f>
        <v/>
      </c>
      <c r="CT969">
        <f>$C969*CT968</f>
        <v/>
      </c>
      <c r="CU969">
        <f>$C969*CU968</f>
        <v/>
      </c>
      <c r="CV969">
        <f>$C969*CV968</f>
        <v/>
      </c>
      <c r="CW969">
        <f>$C969*CW968</f>
        <v/>
      </c>
      <c r="CX969">
        <f>$C969*CX968</f>
        <v/>
      </c>
      <c r="CY969">
        <f>$C969*CY968</f>
        <v/>
      </c>
      <c r="CZ969">
        <f>$C969*CZ968</f>
        <v/>
      </c>
      <c r="DA969">
        <f>$C969*DA968</f>
        <v/>
      </c>
      <c r="DB969">
        <f>$C969*DB968</f>
        <v/>
      </c>
      <c r="DC969">
        <f>$C969*DC968</f>
        <v/>
      </c>
    </row>
    <row r="970">
      <c r="B970" t="inlineStr">
        <is>
          <t>TPP-922</t>
        </is>
      </c>
      <c r="C970" t="inlineStr">
        <is>
          <t>No. of batches</t>
        </is>
      </c>
      <c r="D970">
        <f>IFERROR(INDEX(PP_Grid[#Data],$DD970,2),0)</f>
        <v/>
      </c>
      <c r="E970">
        <f>IFERROR(INDEX(PP_Grid[#Data],$DD970,3),0)</f>
        <v/>
      </c>
      <c r="F970">
        <f>IFERROR(INDEX(PP_Grid[#Data],$DD970,4),0)</f>
        <v/>
      </c>
      <c r="G970">
        <f>IFERROR(INDEX(PP_Grid[#Data],$DD970,5),0)</f>
        <v/>
      </c>
      <c r="H970">
        <f>IFERROR(INDEX(PP_Grid[#Data],$DD970,6),0)</f>
        <v/>
      </c>
      <c r="I970">
        <f>IFERROR(INDEX(PP_Grid[#Data],$DD970,7),0)</f>
        <v/>
      </c>
      <c r="J970">
        <f>IFERROR(INDEX(PP_Grid[#Data],$DD970,8),0)</f>
        <v/>
      </c>
      <c r="K970">
        <f>IFERROR(INDEX(PP_Grid[#Data],$DD970,9),0)</f>
        <v/>
      </c>
      <c r="L970">
        <f>IFERROR(INDEX(PP_Grid[#Data],$DD970,10),0)</f>
        <v/>
      </c>
      <c r="M970">
        <f>IFERROR(INDEX(PP_Grid[#Data],$DD970,11),0)</f>
        <v/>
      </c>
      <c r="N970">
        <f>IFERROR(INDEX(PP_Grid[#Data],$DD970,12),0)</f>
        <v/>
      </c>
      <c r="O970">
        <f>IFERROR(INDEX(PP_Grid[#Data],$DD970,13),0)</f>
        <v/>
      </c>
      <c r="P970">
        <f>IFERROR(INDEX(PP_Grid[#Data],$DD970,14),0)</f>
        <v/>
      </c>
      <c r="Q970">
        <f>IFERROR(INDEX(PP_Grid[#Data],$DD970,15),0)</f>
        <v/>
      </c>
      <c r="R970">
        <f>IFERROR(INDEX(PP_Grid[#Data],$DD970,16),0)</f>
        <v/>
      </c>
      <c r="S970">
        <f>IFERROR(INDEX(PP_Grid[#Data],$DD970,17),0)</f>
        <v/>
      </c>
      <c r="T970">
        <f>IFERROR(INDEX(PP_Grid[#Data],$DD970,18),0)</f>
        <v/>
      </c>
      <c r="U970">
        <f>IFERROR(INDEX(PP_Grid[#Data],$DD970,19),0)</f>
        <v/>
      </c>
      <c r="V970">
        <f>IFERROR(INDEX(PP_Grid[#Data],$DD970,20),0)</f>
        <v/>
      </c>
      <c r="W970">
        <f>IFERROR(INDEX(PP_Grid[#Data],$DD970,21),0)</f>
        <v/>
      </c>
      <c r="X970">
        <f>IFERROR(INDEX(PP_Grid[#Data],$DD970,22),0)</f>
        <v/>
      </c>
      <c r="Y970">
        <f>IFERROR(INDEX(PP_Grid[#Data],$DD970,23),0)</f>
        <v/>
      </c>
      <c r="Z970">
        <f>IFERROR(INDEX(PP_Grid[#Data],$DD970,24),0)</f>
        <v/>
      </c>
      <c r="AA970">
        <f>IFERROR(INDEX(PP_Grid[#Data],$DD970,25),0)</f>
        <v/>
      </c>
      <c r="AB970">
        <f>IFERROR(INDEX(PP_Grid[#Data],$DD970,26),0)</f>
        <v/>
      </c>
      <c r="AC970">
        <f>IFERROR(INDEX(PP_Grid[#Data],$DD970,27),0)</f>
        <v/>
      </c>
      <c r="AD970">
        <f>IFERROR(INDEX(PP_Grid[#Data],$DD970,28),0)</f>
        <v/>
      </c>
      <c r="AE970">
        <f>IFERROR(INDEX(PP_Grid[#Data],$DD970,29),0)</f>
        <v/>
      </c>
      <c r="AF970">
        <f>IFERROR(INDEX(PP_Grid[#Data],$DD970,30),0)</f>
        <v/>
      </c>
      <c r="AG970">
        <f>IFERROR(INDEX(PP_Grid[#Data],$DD970,31),0)</f>
        <v/>
      </c>
      <c r="AH970">
        <f>IFERROR(INDEX(PP_Grid[#Data],$DD970,32),0)</f>
        <v/>
      </c>
      <c r="AI970">
        <f>IFERROR(INDEX(PP_Grid[#Data],$DD970,33),0)</f>
        <v/>
      </c>
      <c r="AJ970">
        <f>IFERROR(INDEX(PP_Grid[#Data],$DD970,34),0)</f>
        <v/>
      </c>
      <c r="AK970">
        <f>IFERROR(INDEX(PP_Grid[#Data],$DD970,35),0)</f>
        <v/>
      </c>
      <c r="AL970">
        <f>IFERROR(INDEX(PP_Grid[#Data],$DD970,36),0)</f>
        <v/>
      </c>
      <c r="AM970">
        <f>IFERROR(INDEX(PP_Grid[#Data],$DD970,37),0)</f>
        <v/>
      </c>
      <c r="AN970">
        <f>IFERROR(INDEX(PP_Grid[#Data],$DD970,38),0)</f>
        <v/>
      </c>
      <c r="AO970">
        <f>IFERROR(INDEX(PP_Grid[#Data],$DD970,39),0)</f>
        <v/>
      </c>
      <c r="AP970">
        <f>IFERROR(INDEX(PP_Grid[#Data],$DD970,40),0)</f>
        <v/>
      </c>
      <c r="AQ970">
        <f>IFERROR(INDEX(PP_Grid[#Data],$DD970,41),0)</f>
        <v/>
      </c>
      <c r="AR970">
        <f>IFERROR(INDEX(PP_Grid[#Data],$DD970,42),0)</f>
        <v/>
      </c>
      <c r="AS970">
        <f>IFERROR(INDEX(PP_Grid[#Data],$DD970,43),0)</f>
        <v/>
      </c>
      <c r="AT970">
        <f>IFERROR(INDEX(PP_Grid[#Data],$DD970,44),0)</f>
        <v/>
      </c>
      <c r="AU970">
        <f>IFERROR(INDEX(PP_Grid[#Data],$DD970,45),0)</f>
        <v/>
      </c>
      <c r="AV970">
        <f>IFERROR(INDEX(PP_Grid[#Data],$DD970,46),0)</f>
        <v/>
      </c>
      <c r="AW970">
        <f>IFERROR(INDEX(PP_Grid[#Data],$DD970,47),0)</f>
        <v/>
      </c>
      <c r="AX970">
        <f>IFERROR(INDEX(PP_Grid[#Data],$DD970,48),0)</f>
        <v/>
      </c>
      <c r="AY970">
        <f>IFERROR(INDEX(PP_Grid[#Data],$DD970,49),0)</f>
        <v/>
      </c>
      <c r="AZ970">
        <f>IFERROR(INDEX(PP_Grid[#Data],$DD970,50),0)</f>
        <v/>
      </c>
      <c r="BA970">
        <f>IFERROR(INDEX(PP_Grid[#Data],$DD970,51),0)</f>
        <v/>
      </c>
      <c r="BB970">
        <f>IFERROR(INDEX(PP_Grid[#Data],$DD970,52),0)</f>
        <v/>
      </c>
      <c r="BC970">
        <f>IFERROR(INDEX(PP_Grid[#Data],$DD970,53),0)</f>
        <v/>
      </c>
      <c r="BD970">
        <f>IFERROR(INDEX(PP_Grid[#Data],$DD970,54),0)</f>
        <v/>
      </c>
      <c r="BE970">
        <f>IFERROR(INDEX(PP_Grid[#Data],$DD970,55),0)</f>
        <v/>
      </c>
      <c r="BF970">
        <f>IFERROR(INDEX(PP_Grid[#Data],$DD970,56),0)</f>
        <v/>
      </c>
      <c r="BG970">
        <f>IFERROR(INDEX(PP_Grid[#Data],$DD970,57),0)</f>
        <v/>
      </c>
      <c r="BH970">
        <f>IFERROR(INDEX(PP_Grid[#Data],$DD970,58),0)</f>
        <v/>
      </c>
      <c r="BI970">
        <f>IFERROR(INDEX(PP_Grid[#Data],$DD970,59),0)</f>
        <v/>
      </c>
      <c r="BJ970">
        <f>IFERROR(INDEX(PP_Grid[#Data],$DD970,60),0)</f>
        <v/>
      </c>
      <c r="BK970">
        <f>IFERROR(INDEX(PP_Grid[#Data],$DD970,61),0)</f>
        <v/>
      </c>
      <c r="BL970">
        <f>IFERROR(INDEX(PP_Grid[#Data],$DD970,62),0)</f>
        <v/>
      </c>
      <c r="BM970">
        <f>IFERROR(INDEX(PP_Grid[#Data],$DD970,63),0)</f>
        <v/>
      </c>
      <c r="BN970">
        <f>IFERROR(INDEX(PP_Grid[#Data],$DD970,64),0)</f>
        <v/>
      </c>
      <c r="BO970">
        <f>IFERROR(INDEX(PP_Grid[#Data],$DD970,65),0)</f>
        <v/>
      </c>
      <c r="BP970">
        <f>IFERROR(INDEX(PP_Grid[#Data],$DD970,66),0)</f>
        <v/>
      </c>
      <c r="BQ970">
        <f>IFERROR(INDEX(PP_Grid[#Data],$DD970,67),0)</f>
        <v/>
      </c>
      <c r="BR970">
        <f>IFERROR(INDEX(PP_Grid[#Data],$DD970,68),0)</f>
        <v/>
      </c>
      <c r="BS970">
        <f>IFERROR(INDEX(PP_Grid[#Data],$DD970,69),0)</f>
        <v/>
      </c>
      <c r="BT970">
        <f>IFERROR(INDEX(PP_Grid[#Data],$DD970,70),0)</f>
        <v/>
      </c>
      <c r="BU970">
        <f>IFERROR(INDEX(PP_Grid[#Data],$DD970,71),0)</f>
        <v/>
      </c>
      <c r="BV970">
        <f>IFERROR(INDEX(PP_Grid[#Data],$DD970,72),0)</f>
        <v/>
      </c>
      <c r="BW970">
        <f>IFERROR(INDEX(PP_Grid[#Data],$DD970,73),0)</f>
        <v/>
      </c>
      <c r="BX970">
        <f>IFERROR(INDEX(PP_Grid[#Data],$DD970,74),0)</f>
        <v/>
      </c>
      <c r="BY970">
        <f>IFERROR(INDEX(PP_Grid[#Data],$DD970,75),0)</f>
        <v/>
      </c>
      <c r="BZ970">
        <f>IFERROR(INDEX(PP_Grid[#Data],$DD970,76),0)</f>
        <v/>
      </c>
      <c r="CA970">
        <f>IFERROR(INDEX(PP_Grid[#Data],$DD970,77),0)</f>
        <v/>
      </c>
      <c r="CB970">
        <f>IFERROR(INDEX(PP_Grid[#Data],$DD970,78),0)</f>
        <v/>
      </c>
      <c r="CC970">
        <f>IFERROR(INDEX(PP_Grid[#Data],$DD970,79),0)</f>
        <v/>
      </c>
      <c r="CD970">
        <f>IFERROR(INDEX(PP_Grid[#Data],$DD970,80),0)</f>
        <v/>
      </c>
      <c r="CE970">
        <f>IFERROR(INDEX(PP_Grid[#Data],$DD970,81),0)</f>
        <v/>
      </c>
      <c r="CF970">
        <f>IFERROR(INDEX(PP_Grid[#Data],$DD970,82),0)</f>
        <v/>
      </c>
      <c r="CG970">
        <f>IFERROR(INDEX(PP_Grid[#Data],$DD970,83),0)</f>
        <v/>
      </c>
      <c r="CH970">
        <f>IFERROR(INDEX(PP_Grid[#Data],$DD970,84),0)</f>
        <v/>
      </c>
      <c r="CI970">
        <f>IFERROR(INDEX(PP_Grid[#Data],$DD970,85),0)</f>
        <v/>
      </c>
      <c r="CJ970">
        <f>IFERROR(INDEX(PP_Grid[#Data],$DD970,86),0)</f>
        <v/>
      </c>
      <c r="CK970">
        <f>IFERROR(INDEX(PP_Grid[#Data],$DD970,87),0)</f>
        <v/>
      </c>
      <c r="CL970">
        <f>IFERROR(INDEX(PP_Grid[#Data],$DD970,88),0)</f>
        <v/>
      </c>
      <c r="CM970">
        <f>IFERROR(INDEX(PP_Grid[#Data],$DD970,89),0)</f>
        <v/>
      </c>
      <c r="CN970">
        <f>IFERROR(INDEX(PP_Grid[#Data],$DD970,90),0)</f>
        <v/>
      </c>
      <c r="CO970">
        <f>IFERROR(INDEX(PP_Grid[#Data],$DD970,91),0)</f>
        <v/>
      </c>
      <c r="CP970">
        <f>IFERROR(INDEX(PP_Grid[#Data],$DD970,92),0)</f>
        <v/>
      </c>
      <c r="CQ970">
        <f>IFERROR(INDEX(PP_Grid[#Data],$DD970,93),0)</f>
        <v/>
      </c>
      <c r="CR970">
        <f>IFERROR(INDEX(PP_Grid[#Data],$DD970,94),0)</f>
        <v/>
      </c>
      <c r="CS970">
        <f>IFERROR(INDEX(PP_Grid[#Data],$DD970,95),0)</f>
        <v/>
      </c>
      <c r="CT970">
        <f>IFERROR(INDEX(PP_Grid[#Data],$DD970,96),0)</f>
        <v/>
      </c>
      <c r="CU970">
        <f>IFERROR(INDEX(PP_Grid[#Data],$DD970,97),0)</f>
        <v/>
      </c>
      <c r="CV970">
        <f>IFERROR(INDEX(PP_Grid[#Data],$DD970,98),0)</f>
        <v/>
      </c>
      <c r="CW970">
        <f>IFERROR(INDEX(PP_Grid[#Data],$DD970,99),0)</f>
        <v/>
      </c>
      <c r="CX970">
        <f>IFERROR(INDEX(PP_Grid[#Data],$DD970,100),0)</f>
        <v/>
      </c>
      <c r="CY970">
        <f>IFERROR(INDEX(PP_Grid[#Data],$DD970,101),0)</f>
        <v/>
      </c>
      <c r="CZ970">
        <f>IFERROR(INDEX(PP_Grid[#Data],$DD970,102),0)</f>
        <v/>
      </c>
      <c r="DA970">
        <f>IFERROR(INDEX(PP_Grid[#Data],$DD970,103),0)</f>
        <v/>
      </c>
      <c r="DB970">
        <f>IFERROR(INDEX(PP_Grid[#Data],$DD970,104),0)</f>
        <v/>
      </c>
      <c r="DC970">
        <f>IFERROR(INDEX(PP_Grid[#Data],$DD970,105),0)</f>
        <v/>
      </c>
      <c r="DD970" s="7">
        <f>IFERROR(MATCH($B970,PP_Grid[Intermediate],0),99999)</f>
        <v/>
      </c>
    </row>
    <row r="971">
      <c r="B971" t="inlineStr">
        <is>
          <t>使用量(kg)</t>
        </is>
      </c>
      <c r="C971">
        <f>SUMIFS(M_BOM[RM_Qty_Per_Batch],M_BOM[Intermediate],$B970,M_BOM[Part Name],$A953)</f>
        <v/>
      </c>
      <c r="D971">
        <f>$C971*D970</f>
        <v/>
      </c>
      <c r="E971">
        <f>$C971*E970</f>
        <v/>
      </c>
      <c r="F971">
        <f>$C971*F970</f>
        <v/>
      </c>
      <c r="G971">
        <f>$C971*G970</f>
        <v/>
      </c>
      <c r="H971">
        <f>$C971*H970</f>
        <v/>
      </c>
      <c r="I971">
        <f>$C971*I970</f>
        <v/>
      </c>
      <c r="J971">
        <f>$C971*J970</f>
        <v/>
      </c>
      <c r="K971">
        <f>$C971*K970</f>
        <v/>
      </c>
      <c r="L971">
        <f>$C971*L970</f>
        <v/>
      </c>
      <c r="M971">
        <f>$C971*M970</f>
        <v/>
      </c>
      <c r="N971">
        <f>$C971*N970</f>
        <v/>
      </c>
      <c r="O971">
        <f>$C971*O970</f>
        <v/>
      </c>
      <c r="P971">
        <f>$C971*P970</f>
        <v/>
      </c>
      <c r="Q971">
        <f>$C971*Q970</f>
        <v/>
      </c>
      <c r="R971">
        <f>$C971*R970</f>
        <v/>
      </c>
      <c r="S971">
        <f>$C971*S970</f>
        <v/>
      </c>
      <c r="T971">
        <f>$C971*T970</f>
        <v/>
      </c>
      <c r="U971">
        <f>$C971*U970</f>
        <v/>
      </c>
      <c r="V971">
        <f>$C971*V970</f>
        <v/>
      </c>
      <c r="W971">
        <f>$C971*W970</f>
        <v/>
      </c>
      <c r="X971">
        <f>$C971*X970</f>
        <v/>
      </c>
      <c r="Y971">
        <f>$C971*Y970</f>
        <v/>
      </c>
      <c r="Z971">
        <f>$C971*Z970</f>
        <v/>
      </c>
      <c r="AA971">
        <f>$C971*AA970</f>
        <v/>
      </c>
      <c r="AB971">
        <f>$C971*AB970</f>
        <v/>
      </c>
      <c r="AC971">
        <f>$C971*AC970</f>
        <v/>
      </c>
      <c r="AD971">
        <f>$C971*AD970</f>
        <v/>
      </c>
      <c r="AE971">
        <f>$C971*AE970</f>
        <v/>
      </c>
      <c r="AF971">
        <f>$C971*AF970</f>
        <v/>
      </c>
      <c r="AG971">
        <f>$C971*AG970</f>
        <v/>
      </c>
      <c r="AH971">
        <f>$C971*AH970</f>
        <v/>
      </c>
      <c r="AI971">
        <f>$C971*AI970</f>
        <v/>
      </c>
      <c r="AJ971">
        <f>$C971*AJ970</f>
        <v/>
      </c>
      <c r="AK971">
        <f>$C971*AK970</f>
        <v/>
      </c>
      <c r="AL971">
        <f>$C971*AL970</f>
        <v/>
      </c>
      <c r="AM971">
        <f>$C971*AM970</f>
        <v/>
      </c>
      <c r="AN971">
        <f>$C971*AN970</f>
        <v/>
      </c>
      <c r="AO971">
        <f>$C971*AO970</f>
        <v/>
      </c>
      <c r="AP971">
        <f>$C971*AP970</f>
        <v/>
      </c>
      <c r="AQ971">
        <f>$C971*AQ970</f>
        <v/>
      </c>
      <c r="AR971">
        <f>$C971*AR970</f>
        <v/>
      </c>
      <c r="AS971">
        <f>$C971*AS970</f>
        <v/>
      </c>
      <c r="AT971">
        <f>$C971*AT970</f>
        <v/>
      </c>
      <c r="AU971">
        <f>$C971*AU970</f>
        <v/>
      </c>
      <c r="AV971">
        <f>$C971*AV970</f>
        <v/>
      </c>
      <c r="AW971">
        <f>$C971*AW970</f>
        <v/>
      </c>
      <c r="AX971">
        <f>$C971*AX970</f>
        <v/>
      </c>
      <c r="AY971">
        <f>$C971*AY970</f>
        <v/>
      </c>
      <c r="AZ971">
        <f>$C971*AZ970</f>
        <v/>
      </c>
      <c r="BA971">
        <f>$C971*BA970</f>
        <v/>
      </c>
      <c r="BB971">
        <f>$C971*BB970</f>
        <v/>
      </c>
      <c r="BC971">
        <f>$C971*BC970</f>
        <v/>
      </c>
      <c r="BD971">
        <f>$C971*BD970</f>
        <v/>
      </c>
      <c r="BE971">
        <f>$C971*BE970</f>
        <v/>
      </c>
      <c r="BF971">
        <f>$C971*BF970</f>
        <v/>
      </c>
      <c r="BG971">
        <f>$C971*BG970</f>
        <v/>
      </c>
      <c r="BH971">
        <f>$C971*BH970</f>
        <v/>
      </c>
      <c r="BI971">
        <f>$C971*BI970</f>
        <v/>
      </c>
      <c r="BJ971">
        <f>$C971*BJ970</f>
        <v/>
      </c>
      <c r="BK971">
        <f>$C971*BK970</f>
        <v/>
      </c>
      <c r="BL971">
        <f>$C971*BL970</f>
        <v/>
      </c>
      <c r="BM971">
        <f>$C971*BM970</f>
        <v/>
      </c>
      <c r="BN971">
        <f>$C971*BN970</f>
        <v/>
      </c>
      <c r="BO971">
        <f>$C971*BO970</f>
        <v/>
      </c>
      <c r="BP971">
        <f>$C971*BP970</f>
        <v/>
      </c>
      <c r="BQ971">
        <f>$C971*BQ970</f>
        <v/>
      </c>
      <c r="BR971">
        <f>$C971*BR970</f>
        <v/>
      </c>
      <c r="BS971">
        <f>$C971*BS970</f>
        <v/>
      </c>
      <c r="BT971">
        <f>$C971*BT970</f>
        <v/>
      </c>
      <c r="BU971">
        <f>$C971*BU970</f>
        <v/>
      </c>
      <c r="BV971">
        <f>$C971*BV970</f>
        <v/>
      </c>
      <c r="BW971">
        <f>$C971*BW970</f>
        <v/>
      </c>
      <c r="BX971">
        <f>$C971*BX970</f>
        <v/>
      </c>
      <c r="BY971">
        <f>$C971*BY970</f>
        <v/>
      </c>
      <c r="BZ971">
        <f>$C971*BZ970</f>
        <v/>
      </c>
      <c r="CA971">
        <f>$C971*CA970</f>
        <v/>
      </c>
      <c r="CB971">
        <f>$C971*CB970</f>
        <v/>
      </c>
      <c r="CC971">
        <f>$C971*CC970</f>
        <v/>
      </c>
      <c r="CD971">
        <f>$C971*CD970</f>
        <v/>
      </c>
      <c r="CE971">
        <f>$C971*CE970</f>
        <v/>
      </c>
      <c r="CF971">
        <f>$C971*CF970</f>
        <v/>
      </c>
      <c r="CG971">
        <f>$C971*CG970</f>
        <v/>
      </c>
      <c r="CH971">
        <f>$C971*CH970</f>
        <v/>
      </c>
      <c r="CI971">
        <f>$C971*CI970</f>
        <v/>
      </c>
      <c r="CJ971">
        <f>$C971*CJ970</f>
        <v/>
      </c>
      <c r="CK971">
        <f>$C971*CK970</f>
        <v/>
      </c>
      <c r="CL971">
        <f>$C971*CL970</f>
        <v/>
      </c>
      <c r="CM971">
        <f>$C971*CM970</f>
        <v/>
      </c>
      <c r="CN971">
        <f>$C971*CN970</f>
        <v/>
      </c>
      <c r="CO971">
        <f>$C971*CO970</f>
        <v/>
      </c>
      <c r="CP971">
        <f>$C971*CP970</f>
        <v/>
      </c>
      <c r="CQ971">
        <f>$C971*CQ970</f>
        <v/>
      </c>
      <c r="CR971">
        <f>$C971*CR970</f>
        <v/>
      </c>
      <c r="CS971">
        <f>$C971*CS970</f>
        <v/>
      </c>
      <c r="CT971">
        <f>$C971*CT970</f>
        <v/>
      </c>
      <c r="CU971">
        <f>$C971*CU970</f>
        <v/>
      </c>
      <c r="CV971">
        <f>$C971*CV970</f>
        <v/>
      </c>
      <c r="CW971">
        <f>$C971*CW970</f>
        <v/>
      </c>
      <c r="CX971">
        <f>$C971*CX970</f>
        <v/>
      </c>
      <c r="CY971">
        <f>$C971*CY970</f>
        <v/>
      </c>
      <c r="CZ971">
        <f>$C971*CZ970</f>
        <v/>
      </c>
      <c r="DA971">
        <f>$C971*DA970</f>
        <v/>
      </c>
      <c r="DB971">
        <f>$C971*DB970</f>
        <v/>
      </c>
      <c r="DC971">
        <f>$C971*DC970</f>
        <v/>
      </c>
    </row>
    <row r="972">
      <c r="B972" t="inlineStr">
        <is>
          <t>TPP-923</t>
        </is>
      </c>
      <c r="C972" t="inlineStr">
        <is>
          <t>No. of batches</t>
        </is>
      </c>
      <c r="D972">
        <f>IFERROR(INDEX(PP_Grid[#Data],$DD972,2),0)</f>
        <v/>
      </c>
      <c r="E972">
        <f>IFERROR(INDEX(PP_Grid[#Data],$DD972,3),0)</f>
        <v/>
      </c>
      <c r="F972">
        <f>IFERROR(INDEX(PP_Grid[#Data],$DD972,4),0)</f>
        <v/>
      </c>
      <c r="G972">
        <f>IFERROR(INDEX(PP_Grid[#Data],$DD972,5),0)</f>
        <v/>
      </c>
      <c r="H972">
        <f>IFERROR(INDEX(PP_Grid[#Data],$DD972,6),0)</f>
        <v/>
      </c>
      <c r="I972">
        <f>IFERROR(INDEX(PP_Grid[#Data],$DD972,7),0)</f>
        <v/>
      </c>
      <c r="J972">
        <f>IFERROR(INDEX(PP_Grid[#Data],$DD972,8),0)</f>
        <v/>
      </c>
      <c r="K972">
        <f>IFERROR(INDEX(PP_Grid[#Data],$DD972,9),0)</f>
        <v/>
      </c>
      <c r="L972">
        <f>IFERROR(INDEX(PP_Grid[#Data],$DD972,10),0)</f>
        <v/>
      </c>
      <c r="M972">
        <f>IFERROR(INDEX(PP_Grid[#Data],$DD972,11),0)</f>
        <v/>
      </c>
      <c r="N972">
        <f>IFERROR(INDEX(PP_Grid[#Data],$DD972,12),0)</f>
        <v/>
      </c>
      <c r="O972">
        <f>IFERROR(INDEX(PP_Grid[#Data],$DD972,13),0)</f>
        <v/>
      </c>
      <c r="P972">
        <f>IFERROR(INDEX(PP_Grid[#Data],$DD972,14),0)</f>
        <v/>
      </c>
      <c r="Q972">
        <f>IFERROR(INDEX(PP_Grid[#Data],$DD972,15),0)</f>
        <v/>
      </c>
      <c r="R972">
        <f>IFERROR(INDEX(PP_Grid[#Data],$DD972,16),0)</f>
        <v/>
      </c>
      <c r="S972">
        <f>IFERROR(INDEX(PP_Grid[#Data],$DD972,17),0)</f>
        <v/>
      </c>
      <c r="T972">
        <f>IFERROR(INDEX(PP_Grid[#Data],$DD972,18),0)</f>
        <v/>
      </c>
      <c r="U972">
        <f>IFERROR(INDEX(PP_Grid[#Data],$DD972,19),0)</f>
        <v/>
      </c>
      <c r="V972">
        <f>IFERROR(INDEX(PP_Grid[#Data],$DD972,20),0)</f>
        <v/>
      </c>
      <c r="W972">
        <f>IFERROR(INDEX(PP_Grid[#Data],$DD972,21),0)</f>
        <v/>
      </c>
      <c r="X972">
        <f>IFERROR(INDEX(PP_Grid[#Data],$DD972,22),0)</f>
        <v/>
      </c>
      <c r="Y972">
        <f>IFERROR(INDEX(PP_Grid[#Data],$DD972,23),0)</f>
        <v/>
      </c>
      <c r="Z972">
        <f>IFERROR(INDEX(PP_Grid[#Data],$DD972,24),0)</f>
        <v/>
      </c>
      <c r="AA972">
        <f>IFERROR(INDEX(PP_Grid[#Data],$DD972,25),0)</f>
        <v/>
      </c>
      <c r="AB972">
        <f>IFERROR(INDEX(PP_Grid[#Data],$DD972,26),0)</f>
        <v/>
      </c>
      <c r="AC972">
        <f>IFERROR(INDEX(PP_Grid[#Data],$DD972,27),0)</f>
        <v/>
      </c>
      <c r="AD972">
        <f>IFERROR(INDEX(PP_Grid[#Data],$DD972,28),0)</f>
        <v/>
      </c>
      <c r="AE972">
        <f>IFERROR(INDEX(PP_Grid[#Data],$DD972,29),0)</f>
        <v/>
      </c>
      <c r="AF972">
        <f>IFERROR(INDEX(PP_Grid[#Data],$DD972,30),0)</f>
        <v/>
      </c>
      <c r="AG972">
        <f>IFERROR(INDEX(PP_Grid[#Data],$DD972,31),0)</f>
        <v/>
      </c>
      <c r="AH972">
        <f>IFERROR(INDEX(PP_Grid[#Data],$DD972,32),0)</f>
        <v/>
      </c>
      <c r="AI972">
        <f>IFERROR(INDEX(PP_Grid[#Data],$DD972,33),0)</f>
        <v/>
      </c>
      <c r="AJ972">
        <f>IFERROR(INDEX(PP_Grid[#Data],$DD972,34),0)</f>
        <v/>
      </c>
      <c r="AK972">
        <f>IFERROR(INDEX(PP_Grid[#Data],$DD972,35),0)</f>
        <v/>
      </c>
      <c r="AL972">
        <f>IFERROR(INDEX(PP_Grid[#Data],$DD972,36),0)</f>
        <v/>
      </c>
      <c r="AM972">
        <f>IFERROR(INDEX(PP_Grid[#Data],$DD972,37),0)</f>
        <v/>
      </c>
      <c r="AN972">
        <f>IFERROR(INDEX(PP_Grid[#Data],$DD972,38),0)</f>
        <v/>
      </c>
      <c r="AO972">
        <f>IFERROR(INDEX(PP_Grid[#Data],$DD972,39),0)</f>
        <v/>
      </c>
      <c r="AP972">
        <f>IFERROR(INDEX(PP_Grid[#Data],$DD972,40),0)</f>
        <v/>
      </c>
      <c r="AQ972">
        <f>IFERROR(INDEX(PP_Grid[#Data],$DD972,41),0)</f>
        <v/>
      </c>
      <c r="AR972">
        <f>IFERROR(INDEX(PP_Grid[#Data],$DD972,42),0)</f>
        <v/>
      </c>
      <c r="AS972">
        <f>IFERROR(INDEX(PP_Grid[#Data],$DD972,43),0)</f>
        <v/>
      </c>
      <c r="AT972">
        <f>IFERROR(INDEX(PP_Grid[#Data],$DD972,44),0)</f>
        <v/>
      </c>
      <c r="AU972">
        <f>IFERROR(INDEX(PP_Grid[#Data],$DD972,45),0)</f>
        <v/>
      </c>
      <c r="AV972">
        <f>IFERROR(INDEX(PP_Grid[#Data],$DD972,46),0)</f>
        <v/>
      </c>
      <c r="AW972">
        <f>IFERROR(INDEX(PP_Grid[#Data],$DD972,47),0)</f>
        <v/>
      </c>
      <c r="AX972">
        <f>IFERROR(INDEX(PP_Grid[#Data],$DD972,48),0)</f>
        <v/>
      </c>
      <c r="AY972">
        <f>IFERROR(INDEX(PP_Grid[#Data],$DD972,49),0)</f>
        <v/>
      </c>
      <c r="AZ972">
        <f>IFERROR(INDEX(PP_Grid[#Data],$DD972,50),0)</f>
        <v/>
      </c>
      <c r="BA972">
        <f>IFERROR(INDEX(PP_Grid[#Data],$DD972,51),0)</f>
        <v/>
      </c>
      <c r="BB972">
        <f>IFERROR(INDEX(PP_Grid[#Data],$DD972,52),0)</f>
        <v/>
      </c>
      <c r="BC972">
        <f>IFERROR(INDEX(PP_Grid[#Data],$DD972,53),0)</f>
        <v/>
      </c>
      <c r="BD972">
        <f>IFERROR(INDEX(PP_Grid[#Data],$DD972,54),0)</f>
        <v/>
      </c>
      <c r="BE972">
        <f>IFERROR(INDEX(PP_Grid[#Data],$DD972,55),0)</f>
        <v/>
      </c>
      <c r="BF972">
        <f>IFERROR(INDEX(PP_Grid[#Data],$DD972,56),0)</f>
        <v/>
      </c>
      <c r="BG972">
        <f>IFERROR(INDEX(PP_Grid[#Data],$DD972,57),0)</f>
        <v/>
      </c>
      <c r="BH972">
        <f>IFERROR(INDEX(PP_Grid[#Data],$DD972,58),0)</f>
        <v/>
      </c>
      <c r="BI972">
        <f>IFERROR(INDEX(PP_Grid[#Data],$DD972,59),0)</f>
        <v/>
      </c>
      <c r="BJ972">
        <f>IFERROR(INDEX(PP_Grid[#Data],$DD972,60),0)</f>
        <v/>
      </c>
      <c r="BK972">
        <f>IFERROR(INDEX(PP_Grid[#Data],$DD972,61),0)</f>
        <v/>
      </c>
      <c r="BL972">
        <f>IFERROR(INDEX(PP_Grid[#Data],$DD972,62),0)</f>
        <v/>
      </c>
      <c r="BM972">
        <f>IFERROR(INDEX(PP_Grid[#Data],$DD972,63),0)</f>
        <v/>
      </c>
      <c r="BN972">
        <f>IFERROR(INDEX(PP_Grid[#Data],$DD972,64),0)</f>
        <v/>
      </c>
      <c r="BO972">
        <f>IFERROR(INDEX(PP_Grid[#Data],$DD972,65),0)</f>
        <v/>
      </c>
      <c r="BP972">
        <f>IFERROR(INDEX(PP_Grid[#Data],$DD972,66),0)</f>
        <v/>
      </c>
      <c r="BQ972">
        <f>IFERROR(INDEX(PP_Grid[#Data],$DD972,67),0)</f>
        <v/>
      </c>
      <c r="BR972">
        <f>IFERROR(INDEX(PP_Grid[#Data],$DD972,68),0)</f>
        <v/>
      </c>
      <c r="BS972">
        <f>IFERROR(INDEX(PP_Grid[#Data],$DD972,69),0)</f>
        <v/>
      </c>
      <c r="BT972">
        <f>IFERROR(INDEX(PP_Grid[#Data],$DD972,70),0)</f>
        <v/>
      </c>
      <c r="BU972">
        <f>IFERROR(INDEX(PP_Grid[#Data],$DD972,71),0)</f>
        <v/>
      </c>
      <c r="BV972">
        <f>IFERROR(INDEX(PP_Grid[#Data],$DD972,72),0)</f>
        <v/>
      </c>
      <c r="BW972">
        <f>IFERROR(INDEX(PP_Grid[#Data],$DD972,73),0)</f>
        <v/>
      </c>
      <c r="BX972">
        <f>IFERROR(INDEX(PP_Grid[#Data],$DD972,74),0)</f>
        <v/>
      </c>
      <c r="BY972">
        <f>IFERROR(INDEX(PP_Grid[#Data],$DD972,75),0)</f>
        <v/>
      </c>
      <c r="BZ972">
        <f>IFERROR(INDEX(PP_Grid[#Data],$DD972,76),0)</f>
        <v/>
      </c>
      <c r="CA972">
        <f>IFERROR(INDEX(PP_Grid[#Data],$DD972,77),0)</f>
        <v/>
      </c>
      <c r="CB972">
        <f>IFERROR(INDEX(PP_Grid[#Data],$DD972,78),0)</f>
        <v/>
      </c>
      <c r="CC972">
        <f>IFERROR(INDEX(PP_Grid[#Data],$DD972,79),0)</f>
        <v/>
      </c>
      <c r="CD972">
        <f>IFERROR(INDEX(PP_Grid[#Data],$DD972,80),0)</f>
        <v/>
      </c>
      <c r="CE972">
        <f>IFERROR(INDEX(PP_Grid[#Data],$DD972,81),0)</f>
        <v/>
      </c>
      <c r="CF972">
        <f>IFERROR(INDEX(PP_Grid[#Data],$DD972,82),0)</f>
        <v/>
      </c>
      <c r="CG972">
        <f>IFERROR(INDEX(PP_Grid[#Data],$DD972,83),0)</f>
        <v/>
      </c>
      <c r="CH972">
        <f>IFERROR(INDEX(PP_Grid[#Data],$DD972,84),0)</f>
        <v/>
      </c>
      <c r="CI972">
        <f>IFERROR(INDEX(PP_Grid[#Data],$DD972,85),0)</f>
        <v/>
      </c>
      <c r="CJ972">
        <f>IFERROR(INDEX(PP_Grid[#Data],$DD972,86),0)</f>
        <v/>
      </c>
      <c r="CK972">
        <f>IFERROR(INDEX(PP_Grid[#Data],$DD972,87),0)</f>
        <v/>
      </c>
      <c r="CL972">
        <f>IFERROR(INDEX(PP_Grid[#Data],$DD972,88),0)</f>
        <v/>
      </c>
      <c r="CM972">
        <f>IFERROR(INDEX(PP_Grid[#Data],$DD972,89),0)</f>
        <v/>
      </c>
      <c r="CN972">
        <f>IFERROR(INDEX(PP_Grid[#Data],$DD972,90),0)</f>
        <v/>
      </c>
      <c r="CO972">
        <f>IFERROR(INDEX(PP_Grid[#Data],$DD972,91),0)</f>
        <v/>
      </c>
      <c r="CP972">
        <f>IFERROR(INDEX(PP_Grid[#Data],$DD972,92),0)</f>
        <v/>
      </c>
      <c r="CQ972">
        <f>IFERROR(INDEX(PP_Grid[#Data],$DD972,93),0)</f>
        <v/>
      </c>
      <c r="CR972">
        <f>IFERROR(INDEX(PP_Grid[#Data],$DD972,94),0)</f>
        <v/>
      </c>
      <c r="CS972">
        <f>IFERROR(INDEX(PP_Grid[#Data],$DD972,95),0)</f>
        <v/>
      </c>
      <c r="CT972">
        <f>IFERROR(INDEX(PP_Grid[#Data],$DD972,96),0)</f>
        <v/>
      </c>
      <c r="CU972">
        <f>IFERROR(INDEX(PP_Grid[#Data],$DD972,97),0)</f>
        <v/>
      </c>
      <c r="CV972">
        <f>IFERROR(INDEX(PP_Grid[#Data],$DD972,98),0)</f>
        <v/>
      </c>
      <c r="CW972">
        <f>IFERROR(INDEX(PP_Grid[#Data],$DD972,99),0)</f>
        <v/>
      </c>
      <c r="CX972">
        <f>IFERROR(INDEX(PP_Grid[#Data],$DD972,100),0)</f>
        <v/>
      </c>
      <c r="CY972">
        <f>IFERROR(INDEX(PP_Grid[#Data],$DD972,101),0)</f>
        <v/>
      </c>
      <c r="CZ972">
        <f>IFERROR(INDEX(PP_Grid[#Data],$DD972,102),0)</f>
        <v/>
      </c>
      <c r="DA972">
        <f>IFERROR(INDEX(PP_Grid[#Data],$DD972,103),0)</f>
        <v/>
      </c>
      <c r="DB972">
        <f>IFERROR(INDEX(PP_Grid[#Data],$DD972,104),0)</f>
        <v/>
      </c>
      <c r="DC972">
        <f>IFERROR(INDEX(PP_Grid[#Data],$DD972,105),0)</f>
        <v/>
      </c>
      <c r="DD972" s="7">
        <f>IFERROR(MATCH($B972,PP_Grid[Intermediate],0),99999)</f>
        <v/>
      </c>
    </row>
    <row r="973">
      <c r="B973" t="inlineStr">
        <is>
          <t>使用量(kg)</t>
        </is>
      </c>
      <c r="C973">
        <f>SUMIFS(M_BOM[RM_Qty_Per_Batch],M_BOM[Intermediate],$B972,M_BOM[Part Name],$A953)</f>
        <v/>
      </c>
      <c r="D973">
        <f>$C973*D972</f>
        <v/>
      </c>
      <c r="E973">
        <f>$C973*E972</f>
        <v/>
      </c>
      <c r="F973">
        <f>$C973*F972</f>
        <v/>
      </c>
      <c r="G973">
        <f>$C973*G972</f>
        <v/>
      </c>
      <c r="H973">
        <f>$C973*H972</f>
        <v/>
      </c>
      <c r="I973">
        <f>$C973*I972</f>
        <v/>
      </c>
      <c r="J973">
        <f>$C973*J972</f>
        <v/>
      </c>
      <c r="K973">
        <f>$C973*K972</f>
        <v/>
      </c>
      <c r="L973">
        <f>$C973*L972</f>
        <v/>
      </c>
      <c r="M973">
        <f>$C973*M972</f>
        <v/>
      </c>
      <c r="N973">
        <f>$C973*N972</f>
        <v/>
      </c>
      <c r="O973">
        <f>$C973*O972</f>
        <v/>
      </c>
      <c r="P973">
        <f>$C973*P972</f>
        <v/>
      </c>
      <c r="Q973">
        <f>$C973*Q972</f>
        <v/>
      </c>
      <c r="R973">
        <f>$C973*R972</f>
        <v/>
      </c>
      <c r="S973">
        <f>$C973*S972</f>
        <v/>
      </c>
      <c r="T973">
        <f>$C973*T972</f>
        <v/>
      </c>
      <c r="U973">
        <f>$C973*U972</f>
        <v/>
      </c>
      <c r="V973">
        <f>$C973*V972</f>
        <v/>
      </c>
      <c r="W973">
        <f>$C973*W972</f>
        <v/>
      </c>
      <c r="X973">
        <f>$C973*X972</f>
        <v/>
      </c>
      <c r="Y973">
        <f>$C973*Y972</f>
        <v/>
      </c>
      <c r="Z973">
        <f>$C973*Z972</f>
        <v/>
      </c>
      <c r="AA973">
        <f>$C973*AA972</f>
        <v/>
      </c>
      <c r="AB973">
        <f>$C973*AB972</f>
        <v/>
      </c>
      <c r="AC973">
        <f>$C973*AC972</f>
        <v/>
      </c>
      <c r="AD973">
        <f>$C973*AD972</f>
        <v/>
      </c>
      <c r="AE973">
        <f>$C973*AE972</f>
        <v/>
      </c>
      <c r="AF973">
        <f>$C973*AF972</f>
        <v/>
      </c>
      <c r="AG973">
        <f>$C973*AG972</f>
        <v/>
      </c>
      <c r="AH973">
        <f>$C973*AH972</f>
        <v/>
      </c>
      <c r="AI973">
        <f>$C973*AI972</f>
        <v/>
      </c>
      <c r="AJ973">
        <f>$C973*AJ972</f>
        <v/>
      </c>
      <c r="AK973">
        <f>$C973*AK972</f>
        <v/>
      </c>
      <c r="AL973">
        <f>$C973*AL972</f>
        <v/>
      </c>
      <c r="AM973">
        <f>$C973*AM972</f>
        <v/>
      </c>
      <c r="AN973">
        <f>$C973*AN972</f>
        <v/>
      </c>
      <c r="AO973">
        <f>$C973*AO972</f>
        <v/>
      </c>
      <c r="AP973">
        <f>$C973*AP972</f>
        <v/>
      </c>
      <c r="AQ973">
        <f>$C973*AQ972</f>
        <v/>
      </c>
      <c r="AR973">
        <f>$C973*AR972</f>
        <v/>
      </c>
      <c r="AS973">
        <f>$C973*AS972</f>
        <v/>
      </c>
      <c r="AT973">
        <f>$C973*AT972</f>
        <v/>
      </c>
      <c r="AU973">
        <f>$C973*AU972</f>
        <v/>
      </c>
      <c r="AV973">
        <f>$C973*AV972</f>
        <v/>
      </c>
      <c r="AW973">
        <f>$C973*AW972</f>
        <v/>
      </c>
      <c r="AX973">
        <f>$C973*AX972</f>
        <v/>
      </c>
      <c r="AY973">
        <f>$C973*AY972</f>
        <v/>
      </c>
      <c r="AZ973">
        <f>$C973*AZ972</f>
        <v/>
      </c>
      <c r="BA973">
        <f>$C973*BA972</f>
        <v/>
      </c>
      <c r="BB973">
        <f>$C973*BB972</f>
        <v/>
      </c>
      <c r="BC973">
        <f>$C973*BC972</f>
        <v/>
      </c>
      <c r="BD973">
        <f>$C973*BD972</f>
        <v/>
      </c>
      <c r="BE973">
        <f>$C973*BE972</f>
        <v/>
      </c>
      <c r="BF973">
        <f>$C973*BF972</f>
        <v/>
      </c>
      <c r="BG973">
        <f>$C973*BG972</f>
        <v/>
      </c>
      <c r="BH973">
        <f>$C973*BH972</f>
        <v/>
      </c>
      <c r="BI973">
        <f>$C973*BI972</f>
        <v/>
      </c>
      <c r="BJ973">
        <f>$C973*BJ972</f>
        <v/>
      </c>
      <c r="BK973">
        <f>$C973*BK972</f>
        <v/>
      </c>
      <c r="BL973">
        <f>$C973*BL972</f>
        <v/>
      </c>
      <c r="BM973">
        <f>$C973*BM972</f>
        <v/>
      </c>
      <c r="BN973">
        <f>$C973*BN972</f>
        <v/>
      </c>
      <c r="BO973">
        <f>$C973*BO972</f>
        <v/>
      </c>
      <c r="BP973">
        <f>$C973*BP972</f>
        <v/>
      </c>
      <c r="BQ973">
        <f>$C973*BQ972</f>
        <v/>
      </c>
      <c r="BR973">
        <f>$C973*BR972</f>
        <v/>
      </c>
      <c r="BS973">
        <f>$C973*BS972</f>
        <v/>
      </c>
      <c r="BT973">
        <f>$C973*BT972</f>
        <v/>
      </c>
      <c r="BU973">
        <f>$C973*BU972</f>
        <v/>
      </c>
      <c r="BV973">
        <f>$C973*BV972</f>
        <v/>
      </c>
      <c r="BW973">
        <f>$C973*BW972</f>
        <v/>
      </c>
      <c r="BX973">
        <f>$C973*BX972</f>
        <v/>
      </c>
      <c r="BY973">
        <f>$C973*BY972</f>
        <v/>
      </c>
      <c r="BZ973">
        <f>$C973*BZ972</f>
        <v/>
      </c>
      <c r="CA973">
        <f>$C973*CA972</f>
        <v/>
      </c>
      <c r="CB973">
        <f>$C973*CB972</f>
        <v/>
      </c>
      <c r="CC973">
        <f>$C973*CC972</f>
        <v/>
      </c>
      <c r="CD973">
        <f>$C973*CD972</f>
        <v/>
      </c>
      <c r="CE973">
        <f>$C973*CE972</f>
        <v/>
      </c>
      <c r="CF973">
        <f>$C973*CF972</f>
        <v/>
      </c>
      <c r="CG973">
        <f>$C973*CG972</f>
        <v/>
      </c>
      <c r="CH973">
        <f>$C973*CH972</f>
        <v/>
      </c>
      <c r="CI973">
        <f>$C973*CI972</f>
        <v/>
      </c>
      <c r="CJ973">
        <f>$C973*CJ972</f>
        <v/>
      </c>
      <c r="CK973">
        <f>$C973*CK972</f>
        <v/>
      </c>
      <c r="CL973">
        <f>$C973*CL972</f>
        <v/>
      </c>
      <c r="CM973">
        <f>$C973*CM972</f>
        <v/>
      </c>
      <c r="CN973">
        <f>$C973*CN972</f>
        <v/>
      </c>
      <c r="CO973">
        <f>$C973*CO972</f>
        <v/>
      </c>
      <c r="CP973">
        <f>$C973*CP972</f>
        <v/>
      </c>
      <c r="CQ973">
        <f>$C973*CQ972</f>
        <v/>
      </c>
      <c r="CR973">
        <f>$C973*CR972</f>
        <v/>
      </c>
      <c r="CS973">
        <f>$C973*CS972</f>
        <v/>
      </c>
      <c r="CT973">
        <f>$C973*CT972</f>
        <v/>
      </c>
      <c r="CU973">
        <f>$C973*CU972</f>
        <v/>
      </c>
      <c r="CV973">
        <f>$C973*CV972</f>
        <v/>
      </c>
      <c r="CW973">
        <f>$C973*CW972</f>
        <v/>
      </c>
      <c r="CX973">
        <f>$C973*CX972</f>
        <v/>
      </c>
      <c r="CY973">
        <f>$C973*CY972</f>
        <v/>
      </c>
      <c r="CZ973">
        <f>$C973*CZ972</f>
        <v/>
      </c>
      <c r="DA973">
        <f>$C973*DA972</f>
        <v/>
      </c>
      <c r="DB973">
        <f>$C973*DB972</f>
        <v/>
      </c>
      <c r="DC973">
        <f>$C973*DC972</f>
        <v/>
      </c>
    </row>
    <row r="974">
      <c r="B974" t="inlineStr">
        <is>
          <t>No of times used</t>
        </is>
      </c>
      <c r="C974" t="inlineStr">
        <is>
          <t>No. of batches</t>
        </is>
      </c>
      <c r="D974">
        <f>IFERROR(INDEX(PP_Grid[#Data],$DD974,2),0)</f>
        <v/>
      </c>
      <c r="E974">
        <f>IFERROR(INDEX(PP_Grid[#Data],$DD974,3),0)</f>
        <v/>
      </c>
      <c r="F974">
        <f>IFERROR(INDEX(PP_Grid[#Data],$DD974,4),0)</f>
        <v/>
      </c>
      <c r="G974">
        <f>IFERROR(INDEX(PP_Grid[#Data],$DD974,5),0)</f>
        <v/>
      </c>
      <c r="H974">
        <f>IFERROR(INDEX(PP_Grid[#Data],$DD974,6),0)</f>
        <v/>
      </c>
      <c r="I974">
        <f>IFERROR(INDEX(PP_Grid[#Data],$DD974,7),0)</f>
        <v/>
      </c>
      <c r="J974">
        <f>IFERROR(INDEX(PP_Grid[#Data],$DD974,8),0)</f>
        <v/>
      </c>
      <c r="K974">
        <f>IFERROR(INDEX(PP_Grid[#Data],$DD974,9),0)</f>
        <v/>
      </c>
      <c r="L974">
        <f>IFERROR(INDEX(PP_Grid[#Data],$DD974,10),0)</f>
        <v/>
      </c>
      <c r="M974">
        <f>IFERROR(INDEX(PP_Grid[#Data],$DD974,11),0)</f>
        <v/>
      </c>
      <c r="N974">
        <f>IFERROR(INDEX(PP_Grid[#Data],$DD974,12),0)</f>
        <v/>
      </c>
      <c r="O974">
        <f>IFERROR(INDEX(PP_Grid[#Data],$DD974,13),0)</f>
        <v/>
      </c>
      <c r="P974">
        <f>IFERROR(INDEX(PP_Grid[#Data],$DD974,14),0)</f>
        <v/>
      </c>
      <c r="Q974">
        <f>IFERROR(INDEX(PP_Grid[#Data],$DD974,15),0)</f>
        <v/>
      </c>
      <c r="R974">
        <f>IFERROR(INDEX(PP_Grid[#Data],$DD974,16),0)</f>
        <v/>
      </c>
      <c r="S974">
        <f>IFERROR(INDEX(PP_Grid[#Data],$DD974,17),0)</f>
        <v/>
      </c>
      <c r="T974">
        <f>IFERROR(INDEX(PP_Grid[#Data],$DD974,18),0)</f>
        <v/>
      </c>
      <c r="U974">
        <f>IFERROR(INDEX(PP_Grid[#Data],$DD974,19),0)</f>
        <v/>
      </c>
      <c r="V974">
        <f>IFERROR(INDEX(PP_Grid[#Data],$DD974,20),0)</f>
        <v/>
      </c>
      <c r="W974">
        <f>IFERROR(INDEX(PP_Grid[#Data],$DD974,21),0)</f>
        <v/>
      </c>
      <c r="X974">
        <f>IFERROR(INDEX(PP_Grid[#Data],$DD974,22),0)</f>
        <v/>
      </c>
      <c r="Y974">
        <f>IFERROR(INDEX(PP_Grid[#Data],$DD974,23),0)</f>
        <v/>
      </c>
      <c r="Z974">
        <f>IFERROR(INDEX(PP_Grid[#Data],$DD974,24),0)</f>
        <v/>
      </c>
      <c r="AA974">
        <f>IFERROR(INDEX(PP_Grid[#Data],$DD974,25),0)</f>
        <v/>
      </c>
      <c r="AB974">
        <f>IFERROR(INDEX(PP_Grid[#Data],$DD974,26),0)</f>
        <v/>
      </c>
      <c r="AC974">
        <f>IFERROR(INDEX(PP_Grid[#Data],$DD974,27),0)</f>
        <v/>
      </c>
      <c r="AD974">
        <f>IFERROR(INDEX(PP_Grid[#Data],$DD974,28),0)</f>
        <v/>
      </c>
      <c r="AE974">
        <f>IFERROR(INDEX(PP_Grid[#Data],$DD974,29),0)</f>
        <v/>
      </c>
      <c r="AF974">
        <f>IFERROR(INDEX(PP_Grid[#Data],$DD974,30),0)</f>
        <v/>
      </c>
      <c r="AG974">
        <f>IFERROR(INDEX(PP_Grid[#Data],$DD974,31),0)</f>
        <v/>
      </c>
      <c r="AH974">
        <f>IFERROR(INDEX(PP_Grid[#Data],$DD974,32),0)</f>
        <v/>
      </c>
      <c r="AI974">
        <f>IFERROR(INDEX(PP_Grid[#Data],$DD974,33),0)</f>
        <v/>
      </c>
      <c r="AJ974">
        <f>IFERROR(INDEX(PP_Grid[#Data],$DD974,34),0)</f>
        <v/>
      </c>
      <c r="AK974">
        <f>IFERROR(INDEX(PP_Grid[#Data],$DD974,35),0)</f>
        <v/>
      </c>
      <c r="AL974">
        <f>IFERROR(INDEX(PP_Grid[#Data],$DD974,36),0)</f>
        <v/>
      </c>
      <c r="AM974">
        <f>IFERROR(INDEX(PP_Grid[#Data],$DD974,37),0)</f>
        <v/>
      </c>
      <c r="AN974">
        <f>IFERROR(INDEX(PP_Grid[#Data],$DD974,38),0)</f>
        <v/>
      </c>
      <c r="AO974">
        <f>IFERROR(INDEX(PP_Grid[#Data],$DD974,39),0)</f>
        <v/>
      </c>
      <c r="AP974">
        <f>IFERROR(INDEX(PP_Grid[#Data],$DD974,40),0)</f>
        <v/>
      </c>
      <c r="AQ974">
        <f>IFERROR(INDEX(PP_Grid[#Data],$DD974,41),0)</f>
        <v/>
      </c>
      <c r="AR974">
        <f>IFERROR(INDEX(PP_Grid[#Data],$DD974,42),0)</f>
        <v/>
      </c>
      <c r="AS974">
        <f>IFERROR(INDEX(PP_Grid[#Data],$DD974,43),0)</f>
        <v/>
      </c>
      <c r="AT974">
        <f>IFERROR(INDEX(PP_Grid[#Data],$DD974,44),0)</f>
        <v/>
      </c>
      <c r="AU974">
        <f>IFERROR(INDEX(PP_Grid[#Data],$DD974,45),0)</f>
        <v/>
      </c>
      <c r="AV974">
        <f>IFERROR(INDEX(PP_Grid[#Data],$DD974,46),0)</f>
        <v/>
      </c>
      <c r="AW974">
        <f>IFERROR(INDEX(PP_Grid[#Data],$DD974,47),0)</f>
        <v/>
      </c>
      <c r="AX974">
        <f>IFERROR(INDEX(PP_Grid[#Data],$DD974,48),0)</f>
        <v/>
      </c>
      <c r="AY974">
        <f>IFERROR(INDEX(PP_Grid[#Data],$DD974,49),0)</f>
        <v/>
      </c>
      <c r="AZ974">
        <f>IFERROR(INDEX(PP_Grid[#Data],$DD974,50),0)</f>
        <v/>
      </c>
      <c r="BA974">
        <f>IFERROR(INDEX(PP_Grid[#Data],$DD974,51),0)</f>
        <v/>
      </c>
      <c r="BB974">
        <f>IFERROR(INDEX(PP_Grid[#Data],$DD974,52),0)</f>
        <v/>
      </c>
      <c r="BC974">
        <f>IFERROR(INDEX(PP_Grid[#Data],$DD974,53),0)</f>
        <v/>
      </c>
      <c r="BD974">
        <f>IFERROR(INDEX(PP_Grid[#Data],$DD974,54),0)</f>
        <v/>
      </c>
      <c r="BE974">
        <f>IFERROR(INDEX(PP_Grid[#Data],$DD974,55),0)</f>
        <v/>
      </c>
      <c r="BF974">
        <f>IFERROR(INDEX(PP_Grid[#Data],$DD974,56),0)</f>
        <v/>
      </c>
      <c r="BG974">
        <f>IFERROR(INDEX(PP_Grid[#Data],$DD974,57),0)</f>
        <v/>
      </c>
      <c r="BH974">
        <f>IFERROR(INDEX(PP_Grid[#Data],$DD974,58),0)</f>
        <v/>
      </c>
      <c r="BI974">
        <f>IFERROR(INDEX(PP_Grid[#Data],$DD974,59),0)</f>
        <v/>
      </c>
      <c r="BJ974">
        <f>IFERROR(INDEX(PP_Grid[#Data],$DD974,60),0)</f>
        <v/>
      </c>
      <c r="BK974">
        <f>IFERROR(INDEX(PP_Grid[#Data],$DD974,61),0)</f>
        <v/>
      </c>
      <c r="BL974">
        <f>IFERROR(INDEX(PP_Grid[#Data],$DD974,62),0)</f>
        <v/>
      </c>
      <c r="BM974">
        <f>IFERROR(INDEX(PP_Grid[#Data],$DD974,63),0)</f>
        <v/>
      </c>
      <c r="BN974">
        <f>IFERROR(INDEX(PP_Grid[#Data],$DD974,64),0)</f>
        <v/>
      </c>
      <c r="BO974">
        <f>IFERROR(INDEX(PP_Grid[#Data],$DD974,65),0)</f>
        <v/>
      </c>
      <c r="BP974">
        <f>IFERROR(INDEX(PP_Grid[#Data],$DD974,66),0)</f>
        <v/>
      </c>
      <c r="BQ974">
        <f>IFERROR(INDEX(PP_Grid[#Data],$DD974,67),0)</f>
        <v/>
      </c>
      <c r="BR974">
        <f>IFERROR(INDEX(PP_Grid[#Data],$DD974,68),0)</f>
        <v/>
      </c>
      <c r="BS974">
        <f>IFERROR(INDEX(PP_Grid[#Data],$DD974,69),0)</f>
        <v/>
      </c>
      <c r="BT974">
        <f>IFERROR(INDEX(PP_Grid[#Data],$DD974,70),0)</f>
        <v/>
      </c>
      <c r="BU974">
        <f>IFERROR(INDEX(PP_Grid[#Data],$DD974,71),0)</f>
        <v/>
      </c>
      <c r="BV974">
        <f>IFERROR(INDEX(PP_Grid[#Data],$DD974,72),0)</f>
        <v/>
      </c>
      <c r="BW974">
        <f>IFERROR(INDEX(PP_Grid[#Data],$DD974,73),0)</f>
        <v/>
      </c>
      <c r="BX974">
        <f>IFERROR(INDEX(PP_Grid[#Data],$DD974,74),0)</f>
        <v/>
      </c>
      <c r="BY974">
        <f>IFERROR(INDEX(PP_Grid[#Data],$DD974,75),0)</f>
        <v/>
      </c>
      <c r="BZ974">
        <f>IFERROR(INDEX(PP_Grid[#Data],$DD974,76),0)</f>
        <v/>
      </c>
      <c r="CA974">
        <f>IFERROR(INDEX(PP_Grid[#Data],$DD974,77),0)</f>
        <v/>
      </c>
      <c r="CB974">
        <f>IFERROR(INDEX(PP_Grid[#Data],$DD974,78),0)</f>
        <v/>
      </c>
      <c r="CC974">
        <f>IFERROR(INDEX(PP_Grid[#Data],$DD974,79),0)</f>
        <v/>
      </c>
      <c r="CD974">
        <f>IFERROR(INDEX(PP_Grid[#Data],$DD974,80),0)</f>
        <v/>
      </c>
      <c r="CE974">
        <f>IFERROR(INDEX(PP_Grid[#Data],$DD974,81),0)</f>
        <v/>
      </c>
      <c r="CF974">
        <f>IFERROR(INDEX(PP_Grid[#Data],$DD974,82),0)</f>
        <v/>
      </c>
      <c r="CG974">
        <f>IFERROR(INDEX(PP_Grid[#Data],$DD974,83),0)</f>
        <v/>
      </c>
      <c r="CH974">
        <f>IFERROR(INDEX(PP_Grid[#Data],$DD974,84),0)</f>
        <v/>
      </c>
      <c r="CI974">
        <f>IFERROR(INDEX(PP_Grid[#Data],$DD974,85),0)</f>
        <v/>
      </c>
      <c r="CJ974">
        <f>IFERROR(INDEX(PP_Grid[#Data],$DD974,86),0)</f>
        <v/>
      </c>
      <c r="CK974">
        <f>IFERROR(INDEX(PP_Grid[#Data],$DD974,87),0)</f>
        <v/>
      </c>
      <c r="CL974">
        <f>IFERROR(INDEX(PP_Grid[#Data],$DD974,88),0)</f>
        <v/>
      </c>
      <c r="CM974">
        <f>IFERROR(INDEX(PP_Grid[#Data],$DD974,89),0)</f>
        <v/>
      </c>
      <c r="CN974">
        <f>IFERROR(INDEX(PP_Grid[#Data],$DD974,90),0)</f>
        <v/>
      </c>
      <c r="CO974">
        <f>IFERROR(INDEX(PP_Grid[#Data],$DD974,91),0)</f>
        <v/>
      </c>
      <c r="CP974">
        <f>IFERROR(INDEX(PP_Grid[#Data],$DD974,92),0)</f>
        <v/>
      </c>
      <c r="CQ974">
        <f>IFERROR(INDEX(PP_Grid[#Data],$DD974,93),0)</f>
        <v/>
      </c>
      <c r="CR974">
        <f>IFERROR(INDEX(PP_Grid[#Data],$DD974,94),0)</f>
        <v/>
      </c>
      <c r="CS974">
        <f>IFERROR(INDEX(PP_Grid[#Data],$DD974,95),0)</f>
        <v/>
      </c>
      <c r="CT974">
        <f>IFERROR(INDEX(PP_Grid[#Data],$DD974,96),0)</f>
        <v/>
      </c>
      <c r="CU974">
        <f>IFERROR(INDEX(PP_Grid[#Data],$DD974,97),0)</f>
        <v/>
      </c>
      <c r="CV974">
        <f>IFERROR(INDEX(PP_Grid[#Data],$DD974,98),0)</f>
        <v/>
      </c>
      <c r="CW974">
        <f>IFERROR(INDEX(PP_Grid[#Data],$DD974,99),0)</f>
        <v/>
      </c>
      <c r="CX974">
        <f>IFERROR(INDEX(PP_Grid[#Data],$DD974,100),0)</f>
        <v/>
      </c>
      <c r="CY974">
        <f>IFERROR(INDEX(PP_Grid[#Data],$DD974,101),0)</f>
        <v/>
      </c>
      <c r="CZ974">
        <f>IFERROR(INDEX(PP_Grid[#Data],$DD974,102),0)</f>
        <v/>
      </c>
      <c r="DA974">
        <f>IFERROR(INDEX(PP_Grid[#Data],$DD974,103),0)</f>
        <v/>
      </c>
      <c r="DB974">
        <f>IFERROR(INDEX(PP_Grid[#Data],$DD974,104),0)</f>
        <v/>
      </c>
      <c r="DC974">
        <f>IFERROR(INDEX(PP_Grid[#Data],$DD974,105),0)</f>
        <v/>
      </c>
      <c r="DD974" s="7">
        <f>IFERROR(MATCH($B974,PP_Grid[Intermediate],0),99999)</f>
        <v/>
      </c>
    </row>
    <row r="975">
      <c r="B975" t="inlineStr">
        <is>
          <t>使用量(kg)</t>
        </is>
      </c>
      <c r="C975">
        <f>SUMIFS(M_BOM[RM_Qty_Per_Batch],M_BOM[Intermediate],$B974,M_BOM[Part Name],$A953)</f>
        <v/>
      </c>
      <c r="D975">
        <f>$C975*D974</f>
        <v/>
      </c>
      <c r="E975">
        <f>$C975*E974</f>
        <v/>
      </c>
      <c r="F975">
        <f>$C975*F974</f>
        <v/>
      </c>
      <c r="G975">
        <f>$C975*G974</f>
        <v/>
      </c>
      <c r="H975">
        <f>$C975*H974</f>
        <v/>
      </c>
      <c r="I975">
        <f>$C975*I974</f>
        <v/>
      </c>
      <c r="J975">
        <f>$C975*J974</f>
        <v/>
      </c>
      <c r="K975">
        <f>$C975*K974</f>
        <v/>
      </c>
      <c r="L975">
        <f>$C975*L974</f>
        <v/>
      </c>
      <c r="M975">
        <f>$C975*M974</f>
        <v/>
      </c>
      <c r="N975">
        <f>$C975*N974</f>
        <v/>
      </c>
      <c r="O975">
        <f>$C975*O974</f>
        <v/>
      </c>
      <c r="P975">
        <f>$C975*P974</f>
        <v/>
      </c>
      <c r="Q975">
        <f>$C975*Q974</f>
        <v/>
      </c>
      <c r="R975">
        <f>$C975*R974</f>
        <v/>
      </c>
      <c r="S975">
        <f>$C975*S974</f>
        <v/>
      </c>
      <c r="T975">
        <f>$C975*T974</f>
        <v/>
      </c>
      <c r="U975">
        <f>$C975*U974</f>
        <v/>
      </c>
      <c r="V975">
        <f>$C975*V974</f>
        <v/>
      </c>
      <c r="W975">
        <f>$C975*W974</f>
        <v/>
      </c>
      <c r="X975">
        <f>$C975*X974</f>
        <v/>
      </c>
      <c r="Y975">
        <f>$C975*Y974</f>
        <v/>
      </c>
      <c r="Z975">
        <f>$C975*Z974</f>
        <v/>
      </c>
      <c r="AA975">
        <f>$C975*AA974</f>
        <v/>
      </c>
      <c r="AB975">
        <f>$C975*AB974</f>
        <v/>
      </c>
      <c r="AC975">
        <f>$C975*AC974</f>
        <v/>
      </c>
      <c r="AD975">
        <f>$C975*AD974</f>
        <v/>
      </c>
      <c r="AE975">
        <f>$C975*AE974</f>
        <v/>
      </c>
      <c r="AF975">
        <f>$C975*AF974</f>
        <v/>
      </c>
      <c r="AG975">
        <f>$C975*AG974</f>
        <v/>
      </c>
      <c r="AH975">
        <f>$C975*AH974</f>
        <v/>
      </c>
      <c r="AI975">
        <f>$C975*AI974</f>
        <v/>
      </c>
      <c r="AJ975">
        <f>$C975*AJ974</f>
        <v/>
      </c>
      <c r="AK975">
        <f>$C975*AK974</f>
        <v/>
      </c>
      <c r="AL975">
        <f>$C975*AL974</f>
        <v/>
      </c>
      <c r="AM975">
        <f>$C975*AM974</f>
        <v/>
      </c>
      <c r="AN975">
        <f>$C975*AN974</f>
        <v/>
      </c>
      <c r="AO975">
        <f>$C975*AO974</f>
        <v/>
      </c>
      <c r="AP975">
        <f>$C975*AP974</f>
        <v/>
      </c>
      <c r="AQ975">
        <f>$C975*AQ974</f>
        <v/>
      </c>
      <c r="AR975">
        <f>$C975*AR974</f>
        <v/>
      </c>
      <c r="AS975">
        <f>$C975*AS974</f>
        <v/>
      </c>
      <c r="AT975">
        <f>$C975*AT974</f>
        <v/>
      </c>
      <c r="AU975">
        <f>$C975*AU974</f>
        <v/>
      </c>
      <c r="AV975">
        <f>$C975*AV974</f>
        <v/>
      </c>
      <c r="AW975">
        <f>$C975*AW974</f>
        <v/>
      </c>
      <c r="AX975">
        <f>$C975*AX974</f>
        <v/>
      </c>
      <c r="AY975">
        <f>$C975*AY974</f>
        <v/>
      </c>
      <c r="AZ975">
        <f>$C975*AZ974</f>
        <v/>
      </c>
      <c r="BA975">
        <f>$C975*BA974</f>
        <v/>
      </c>
      <c r="BB975">
        <f>$C975*BB974</f>
        <v/>
      </c>
      <c r="BC975">
        <f>$C975*BC974</f>
        <v/>
      </c>
      <c r="BD975">
        <f>$C975*BD974</f>
        <v/>
      </c>
      <c r="BE975">
        <f>$C975*BE974</f>
        <v/>
      </c>
      <c r="BF975">
        <f>$C975*BF974</f>
        <v/>
      </c>
      <c r="BG975">
        <f>$C975*BG974</f>
        <v/>
      </c>
      <c r="BH975">
        <f>$C975*BH974</f>
        <v/>
      </c>
      <c r="BI975">
        <f>$C975*BI974</f>
        <v/>
      </c>
      <c r="BJ975">
        <f>$C975*BJ974</f>
        <v/>
      </c>
      <c r="BK975">
        <f>$C975*BK974</f>
        <v/>
      </c>
      <c r="BL975">
        <f>$C975*BL974</f>
        <v/>
      </c>
      <c r="BM975">
        <f>$C975*BM974</f>
        <v/>
      </c>
      <c r="BN975">
        <f>$C975*BN974</f>
        <v/>
      </c>
      <c r="BO975">
        <f>$C975*BO974</f>
        <v/>
      </c>
      <c r="BP975">
        <f>$C975*BP974</f>
        <v/>
      </c>
      <c r="BQ975">
        <f>$C975*BQ974</f>
        <v/>
      </c>
      <c r="BR975">
        <f>$C975*BR974</f>
        <v/>
      </c>
      <c r="BS975">
        <f>$C975*BS974</f>
        <v/>
      </c>
      <c r="BT975">
        <f>$C975*BT974</f>
        <v/>
      </c>
      <c r="BU975">
        <f>$C975*BU974</f>
        <v/>
      </c>
      <c r="BV975">
        <f>$C975*BV974</f>
        <v/>
      </c>
      <c r="BW975">
        <f>$C975*BW974</f>
        <v/>
      </c>
      <c r="BX975">
        <f>$C975*BX974</f>
        <v/>
      </c>
      <c r="BY975">
        <f>$C975*BY974</f>
        <v/>
      </c>
      <c r="BZ975">
        <f>$C975*BZ974</f>
        <v/>
      </c>
      <c r="CA975">
        <f>$C975*CA974</f>
        <v/>
      </c>
      <c r="CB975">
        <f>$C975*CB974</f>
        <v/>
      </c>
      <c r="CC975">
        <f>$C975*CC974</f>
        <v/>
      </c>
      <c r="CD975">
        <f>$C975*CD974</f>
        <v/>
      </c>
      <c r="CE975">
        <f>$C975*CE974</f>
        <v/>
      </c>
      <c r="CF975">
        <f>$C975*CF974</f>
        <v/>
      </c>
      <c r="CG975">
        <f>$C975*CG974</f>
        <v/>
      </c>
      <c r="CH975">
        <f>$C975*CH974</f>
        <v/>
      </c>
      <c r="CI975">
        <f>$C975*CI974</f>
        <v/>
      </c>
      <c r="CJ975">
        <f>$C975*CJ974</f>
        <v/>
      </c>
      <c r="CK975">
        <f>$C975*CK974</f>
        <v/>
      </c>
      <c r="CL975">
        <f>$C975*CL974</f>
        <v/>
      </c>
      <c r="CM975">
        <f>$C975*CM974</f>
        <v/>
      </c>
      <c r="CN975">
        <f>$C975*CN974</f>
        <v/>
      </c>
      <c r="CO975">
        <f>$C975*CO974</f>
        <v/>
      </c>
      <c r="CP975">
        <f>$C975*CP974</f>
        <v/>
      </c>
      <c r="CQ975">
        <f>$C975*CQ974</f>
        <v/>
      </c>
      <c r="CR975">
        <f>$C975*CR974</f>
        <v/>
      </c>
      <c r="CS975">
        <f>$C975*CS974</f>
        <v/>
      </c>
      <c r="CT975">
        <f>$C975*CT974</f>
        <v/>
      </c>
      <c r="CU975">
        <f>$C975*CU974</f>
        <v/>
      </c>
      <c r="CV975">
        <f>$C975*CV974</f>
        <v/>
      </c>
      <c r="CW975">
        <f>$C975*CW974</f>
        <v/>
      </c>
      <c r="CX975">
        <f>$C975*CX974</f>
        <v/>
      </c>
      <c r="CY975">
        <f>$C975*CY974</f>
        <v/>
      </c>
      <c r="CZ975">
        <f>$C975*CZ974</f>
        <v/>
      </c>
      <c r="DA975">
        <f>$C975*DA974</f>
        <v/>
      </c>
      <c r="DB975">
        <f>$C975*DB974</f>
        <v/>
      </c>
      <c r="DC975">
        <f>$C975*DC974</f>
        <v/>
      </c>
    </row>
    <row r="976">
      <c r="B976" s="4" t="inlineStr">
        <is>
          <t>合計使用量(kg)/週</t>
        </is>
      </c>
      <c r="D976">
        <f>'Grid_Requirement'!B27</f>
        <v/>
      </c>
      <c r="E976">
        <f>'Grid_Requirement'!C27</f>
        <v/>
      </c>
      <c r="F976">
        <f>'Grid_Requirement'!D27</f>
        <v/>
      </c>
      <c r="G976">
        <f>'Grid_Requirement'!E27</f>
        <v/>
      </c>
      <c r="H976">
        <f>'Grid_Requirement'!F27</f>
        <v/>
      </c>
      <c r="I976">
        <f>'Grid_Requirement'!G27</f>
        <v/>
      </c>
      <c r="J976">
        <f>'Grid_Requirement'!H27</f>
        <v/>
      </c>
      <c r="K976">
        <f>'Grid_Requirement'!I27</f>
        <v/>
      </c>
      <c r="L976">
        <f>'Grid_Requirement'!J27</f>
        <v/>
      </c>
      <c r="M976">
        <f>'Grid_Requirement'!K27</f>
        <v/>
      </c>
      <c r="N976">
        <f>'Grid_Requirement'!L27</f>
        <v/>
      </c>
      <c r="O976">
        <f>'Grid_Requirement'!M27</f>
        <v/>
      </c>
      <c r="P976">
        <f>'Grid_Requirement'!N27</f>
        <v/>
      </c>
      <c r="Q976">
        <f>'Grid_Requirement'!O27</f>
        <v/>
      </c>
      <c r="R976">
        <f>'Grid_Requirement'!P27</f>
        <v/>
      </c>
      <c r="S976">
        <f>'Grid_Requirement'!Q27</f>
        <v/>
      </c>
      <c r="T976">
        <f>'Grid_Requirement'!R27</f>
        <v/>
      </c>
      <c r="U976">
        <f>'Grid_Requirement'!S27</f>
        <v/>
      </c>
      <c r="V976">
        <f>'Grid_Requirement'!T27</f>
        <v/>
      </c>
      <c r="W976">
        <f>'Grid_Requirement'!U27</f>
        <v/>
      </c>
      <c r="X976">
        <f>'Grid_Requirement'!V27</f>
        <v/>
      </c>
      <c r="Y976">
        <f>'Grid_Requirement'!W27</f>
        <v/>
      </c>
      <c r="Z976">
        <f>'Grid_Requirement'!X27</f>
        <v/>
      </c>
      <c r="AA976">
        <f>'Grid_Requirement'!Y27</f>
        <v/>
      </c>
      <c r="AB976">
        <f>'Grid_Requirement'!Z27</f>
        <v/>
      </c>
      <c r="AC976">
        <f>'Grid_Requirement'!AA27</f>
        <v/>
      </c>
      <c r="AD976">
        <f>'Grid_Requirement'!AB27</f>
        <v/>
      </c>
      <c r="AE976">
        <f>'Grid_Requirement'!AC27</f>
        <v/>
      </c>
      <c r="AF976">
        <f>'Grid_Requirement'!AD27</f>
        <v/>
      </c>
      <c r="AG976">
        <f>'Grid_Requirement'!AE27</f>
        <v/>
      </c>
      <c r="AH976">
        <f>'Grid_Requirement'!AF27</f>
        <v/>
      </c>
      <c r="AI976">
        <f>'Grid_Requirement'!AG27</f>
        <v/>
      </c>
      <c r="AJ976">
        <f>'Grid_Requirement'!AH27</f>
        <v/>
      </c>
      <c r="AK976">
        <f>'Grid_Requirement'!AI27</f>
        <v/>
      </c>
      <c r="AL976">
        <f>'Grid_Requirement'!AJ27</f>
        <v/>
      </c>
      <c r="AM976">
        <f>'Grid_Requirement'!AK27</f>
        <v/>
      </c>
      <c r="AN976">
        <f>'Grid_Requirement'!AL27</f>
        <v/>
      </c>
      <c r="AO976">
        <f>'Grid_Requirement'!AM27</f>
        <v/>
      </c>
      <c r="AP976">
        <f>'Grid_Requirement'!AN27</f>
        <v/>
      </c>
      <c r="AQ976">
        <f>'Grid_Requirement'!AO27</f>
        <v/>
      </c>
      <c r="AR976">
        <f>'Grid_Requirement'!AP27</f>
        <v/>
      </c>
      <c r="AS976">
        <f>'Grid_Requirement'!AQ27</f>
        <v/>
      </c>
      <c r="AT976">
        <f>'Grid_Requirement'!AR27</f>
        <v/>
      </c>
      <c r="AU976">
        <f>'Grid_Requirement'!AS27</f>
        <v/>
      </c>
      <c r="AV976">
        <f>'Grid_Requirement'!AT27</f>
        <v/>
      </c>
      <c r="AW976">
        <f>'Grid_Requirement'!AU27</f>
        <v/>
      </c>
      <c r="AX976">
        <f>'Grid_Requirement'!AV27</f>
        <v/>
      </c>
      <c r="AY976">
        <f>'Grid_Requirement'!AW27</f>
        <v/>
      </c>
      <c r="AZ976">
        <f>'Grid_Requirement'!AX27</f>
        <v/>
      </c>
      <c r="BA976">
        <f>'Grid_Requirement'!AY27</f>
        <v/>
      </c>
      <c r="BB976">
        <f>'Grid_Requirement'!AZ27</f>
        <v/>
      </c>
      <c r="BC976">
        <f>'Grid_Requirement'!BA27</f>
        <v/>
      </c>
      <c r="BD976">
        <f>'Grid_Requirement'!BB27</f>
        <v/>
      </c>
      <c r="BE976">
        <f>'Grid_Requirement'!BC27</f>
        <v/>
      </c>
      <c r="BF976">
        <f>'Grid_Requirement'!BD27</f>
        <v/>
      </c>
      <c r="BG976">
        <f>'Grid_Requirement'!BE27</f>
        <v/>
      </c>
      <c r="BH976">
        <f>'Grid_Requirement'!BF27</f>
        <v/>
      </c>
      <c r="BI976">
        <f>'Grid_Requirement'!BG27</f>
        <v/>
      </c>
      <c r="BJ976">
        <f>'Grid_Requirement'!BH27</f>
        <v/>
      </c>
      <c r="BK976">
        <f>'Grid_Requirement'!BI27</f>
        <v/>
      </c>
      <c r="BL976">
        <f>'Grid_Requirement'!BJ27</f>
        <v/>
      </c>
      <c r="BM976">
        <f>'Grid_Requirement'!BK27</f>
        <v/>
      </c>
      <c r="BN976">
        <f>'Grid_Requirement'!BL27</f>
        <v/>
      </c>
      <c r="BO976">
        <f>'Grid_Requirement'!BM27</f>
        <v/>
      </c>
      <c r="BP976">
        <f>'Grid_Requirement'!BN27</f>
        <v/>
      </c>
      <c r="BQ976">
        <f>'Grid_Requirement'!BO27</f>
        <v/>
      </c>
      <c r="BR976">
        <f>'Grid_Requirement'!BP27</f>
        <v/>
      </c>
      <c r="BS976">
        <f>'Grid_Requirement'!BQ27</f>
        <v/>
      </c>
      <c r="BT976">
        <f>'Grid_Requirement'!BR27</f>
        <v/>
      </c>
      <c r="BU976">
        <f>'Grid_Requirement'!BS27</f>
        <v/>
      </c>
      <c r="BV976">
        <f>'Grid_Requirement'!BT27</f>
        <v/>
      </c>
      <c r="BW976">
        <f>'Grid_Requirement'!BU27</f>
        <v/>
      </c>
      <c r="BX976">
        <f>'Grid_Requirement'!BV27</f>
        <v/>
      </c>
      <c r="BY976">
        <f>'Grid_Requirement'!BW27</f>
        <v/>
      </c>
      <c r="BZ976">
        <f>'Grid_Requirement'!BX27</f>
        <v/>
      </c>
      <c r="CA976">
        <f>'Grid_Requirement'!BY27</f>
        <v/>
      </c>
      <c r="CB976">
        <f>'Grid_Requirement'!BZ27</f>
        <v/>
      </c>
      <c r="CC976">
        <f>'Grid_Requirement'!CA27</f>
        <v/>
      </c>
      <c r="CD976">
        <f>'Grid_Requirement'!CB27</f>
        <v/>
      </c>
      <c r="CE976">
        <f>'Grid_Requirement'!CC27</f>
        <v/>
      </c>
      <c r="CF976">
        <f>'Grid_Requirement'!CD27</f>
        <v/>
      </c>
      <c r="CG976">
        <f>'Grid_Requirement'!CE27</f>
        <v/>
      </c>
      <c r="CH976">
        <f>'Grid_Requirement'!CF27</f>
        <v/>
      </c>
      <c r="CI976">
        <f>'Grid_Requirement'!CG27</f>
        <v/>
      </c>
      <c r="CJ976">
        <f>'Grid_Requirement'!CH27</f>
        <v/>
      </c>
      <c r="CK976">
        <f>'Grid_Requirement'!CI27</f>
        <v/>
      </c>
      <c r="CL976">
        <f>'Grid_Requirement'!CJ27</f>
        <v/>
      </c>
      <c r="CM976">
        <f>'Grid_Requirement'!CK27</f>
        <v/>
      </c>
      <c r="CN976">
        <f>'Grid_Requirement'!CL27</f>
        <v/>
      </c>
      <c r="CO976">
        <f>'Grid_Requirement'!CM27</f>
        <v/>
      </c>
      <c r="CP976">
        <f>'Grid_Requirement'!CN27</f>
        <v/>
      </c>
      <c r="CQ976">
        <f>'Grid_Requirement'!CO27</f>
        <v/>
      </c>
      <c r="CR976">
        <f>'Grid_Requirement'!CP27</f>
        <v/>
      </c>
      <c r="CS976">
        <f>'Grid_Requirement'!CQ27</f>
        <v/>
      </c>
      <c r="CT976">
        <f>'Grid_Requirement'!CR27</f>
        <v/>
      </c>
      <c r="CU976">
        <f>'Grid_Requirement'!CS27</f>
        <v/>
      </c>
      <c r="CV976">
        <f>'Grid_Requirement'!CT27</f>
        <v/>
      </c>
      <c r="CW976">
        <f>'Grid_Requirement'!CU27</f>
        <v/>
      </c>
      <c r="CX976">
        <f>'Grid_Requirement'!CV27</f>
        <v/>
      </c>
      <c r="CY976">
        <f>'Grid_Requirement'!CW27</f>
        <v/>
      </c>
      <c r="CZ976">
        <f>'Grid_Requirement'!CX27</f>
        <v/>
      </c>
      <c r="DA976">
        <f>'Grid_Requirement'!CY27</f>
        <v/>
      </c>
      <c r="DB976">
        <f>'Grid_Requirement'!CZ27</f>
        <v/>
      </c>
      <c r="DC976">
        <f>'Grid_Requirement'!DA27</f>
        <v/>
      </c>
    </row>
    <row r="977">
      <c r="B977" t="inlineStr">
        <is>
          <t>TTAF在庫(実績,kg)</t>
        </is>
      </c>
      <c r="D977">
        <f>'T_TTAFStock'!B31</f>
        <v/>
      </c>
      <c r="E977">
        <f>'T_TTAFStock'!C31</f>
        <v/>
      </c>
      <c r="F977">
        <f>'T_TTAFStock'!D31</f>
        <v/>
      </c>
      <c r="G977">
        <f>'T_TTAFStock'!E31</f>
        <v/>
      </c>
      <c r="H977">
        <f>'T_TTAFStock'!F31</f>
        <v/>
      </c>
      <c r="I977">
        <f>'T_TTAFStock'!G31</f>
        <v/>
      </c>
      <c r="J977">
        <f>'T_TTAFStock'!H31</f>
        <v/>
      </c>
      <c r="K977">
        <f>'T_TTAFStock'!I31</f>
        <v/>
      </c>
      <c r="L977">
        <f>'T_TTAFStock'!J31</f>
        <v/>
      </c>
      <c r="M977">
        <f>'T_TTAFStock'!K31</f>
        <v/>
      </c>
      <c r="N977">
        <f>'T_TTAFStock'!L31</f>
        <v/>
      </c>
      <c r="O977">
        <f>'T_TTAFStock'!M31</f>
        <v/>
      </c>
      <c r="P977">
        <f>'T_TTAFStock'!N31</f>
        <v/>
      </c>
      <c r="Q977">
        <f>'T_TTAFStock'!O31</f>
        <v/>
      </c>
      <c r="R977">
        <f>'T_TTAFStock'!P31</f>
        <v/>
      </c>
      <c r="S977">
        <f>'T_TTAFStock'!Q31</f>
        <v/>
      </c>
      <c r="T977">
        <f>'T_TTAFStock'!R31</f>
        <v/>
      </c>
      <c r="U977">
        <f>'T_TTAFStock'!S31</f>
        <v/>
      </c>
      <c r="V977">
        <f>'T_TTAFStock'!T31</f>
        <v/>
      </c>
      <c r="W977">
        <f>'T_TTAFStock'!U31</f>
        <v/>
      </c>
      <c r="X977">
        <f>'T_TTAFStock'!V31</f>
        <v/>
      </c>
      <c r="Y977">
        <f>'T_TTAFStock'!W31</f>
        <v/>
      </c>
      <c r="Z977">
        <f>'T_TTAFStock'!X31</f>
        <v/>
      </c>
      <c r="AA977">
        <f>'T_TTAFStock'!Y31</f>
        <v/>
      </c>
      <c r="AB977">
        <f>'T_TTAFStock'!Z31</f>
        <v/>
      </c>
      <c r="AC977">
        <f>'T_TTAFStock'!AA31</f>
        <v/>
      </c>
      <c r="AD977">
        <f>'T_TTAFStock'!AB31</f>
        <v/>
      </c>
      <c r="AE977">
        <f>'T_TTAFStock'!AC31</f>
        <v/>
      </c>
      <c r="AF977">
        <f>'T_TTAFStock'!AD31</f>
        <v/>
      </c>
      <c r="AG977">
        <f>'T_TTAFStock'!AE31</f>
        <v/>
      </c>
      <c r="AH977">
        <f>'T_TTAFStock'!AF31</f>
        <v/>
      </c>
      <c r="AI977">
        <f>'T_TTAFStock'!AG31</f>
        <v/>
      </c>
      <c r="AJ977">
        <f>'T_TTAFStock'!AH31</f>
        <v/>
      </c>
      <c r="AK977">
        <f>'T_TTAFStock'!AI31</f>
        <v/>
      </c>
      <c r="AL977">
        <f>'T_TTAFStock'!AJ31</f>
        <v/>
      </c>
      <c r="AM977">
        <f>'T_TTAFStock'!AK31</f>
        <v/>
      </c>
      <c r="AN977">
        <f>'T_TTAFStock'!AL31</f>
        <v/>
      </c>
      <c r="AO977">
        <f>'T_TTAFStock'!AM31</f>
        <v/>
      </c>
      <c r="AP977">
        <f>'T_TTAFStock'!AN31</f>
        <v/>
      </c>
      <c r="AQ977">
        <f>'T_TTAFStock'!AO31</f>
        <v/>
      </c>
      <c r="AR977">
        <f>'T_TTAFStock'!AP31</f>
        <v/>
      </c>
      <c r="AS977">
        <f>'T_TTAFStock'!AQ31</f>
        <v/>
      </c>
      <c r="AT977">
        <f>'T_TTAFStock'!AR31</f>
        <v/>
      </c>
      <c r="AU977">
        <f>'T_TTAFStock'!AS31</f>
        <v/>
      </c>
      <c r="AV977">
        <f>'T_TTAFStock'!AT31</f>
        <v/>
      </c>
      <c r="AW977">
        <f>'T_TTAFStock'!AU31</f>
        <v/>
      </c>
      <c r="AX977">
        <f>'T_TTAFStock'!AV31</f>
        <v/>
      </c>
      <c r="AY977">
        <f>'T_TTAFStock'!AW31</f>
        <v/>
      </c>
      <c r="AZ977">
        <f>'T_TTAFStock'!AX31</f>
        <v/>
      </c>
      <c r="BA977">
        <f>'T_TTAFStock'!AY31</f>
        <v/>
      </c>
      <c r="BB977">
        <f>'T_TTAFStock'!AZ31</f>
        <v/>
      </c>
      <c r="BC977">
        <f>'T_TTAFStock'!BA31</f>
        <v/>
      </c>
      <c r="BD977">
        <f>'T_TTAFStock'!BB31</f>
        <v/>
      </c>
      <c r="BE977">
        <f>'T_TTAFStock'!BC31</f>
        <v/>
      </c>
      <c r="BF977">
        <f>'T_TTAFStock'!BD31</f>
        <v/>
      </c>
      <c r="BG977">
        <f>'T_TTAFStock'!BE31</f>
        <v/>
      </c>
      <c r="BH977">
        <f>'T_TTAFStock'!BF31</f>
        <v/>
      </c>
      <c r="BI977">
        <f>'T_TTAFStock'!BG31</f>
        <v/>
      </c>
      <c r="BJ977">
        <f>'T_TTAFStock'!BH31</f>
        <v/>
      </c>
      <c r="BK977">
        <f>'T_TTAFStock'!BI31</f>
        <v/>
      </c>
      <c r="BL977">
        <f>'T_TTAFStock'!BJ31</f>
        <v/>
      </c>
      <c r="BM977">
        <f>'T_TTAFStock'!BK31</f>
        <v/>
      </c>
      <c r="BN977">
        <f>'T_TTAFStock'!BL31</f>
        <v/>
      </c>
      <c r="BO977">
        <f>'T_TTAFStock'!BM31</f>
        <v/>
      </c>
      <c r="BP977">
        <f>'T_TTAFStock'!BN31</f>
        <v/>
      </c>
      <c r="BQ977">
        <f>'T_TTAFStock'!BO31</f>
        <v/>
      </c>
      <c r="BR977">
        <f>'T_TTAFStock'!BP31</f>
        <v/>
      </c>
      <c r="BS977">
        <f>'T_TTAFStock'!BQ31</f>
        <v/>
      </c>
      <c r="BT977">
        <f>'T_TTAFStock'!BR31</f>
        <v/>
      </c>
      <c r="BU977">
        <f>'T_TTAFStock'!BS31</f>
        <v/>
      </c>
      <c r="BV977">
        <f>'T_TTAFStock'!BT31</f>
        <v/>
      </c>
      <c r="BW977">
        <f>'T_TTAFStock'!BU31</f>
        <v/>
      </c>
      <c r="BX977">
        <f>'T_TTAFStock'!BV31</f>
        <v/>
      </c>
      <c r="BY977">
        <f>'T_TTAFStock'!BW31</f>
        <v/>
      </c>
      <c r="BZ977">
        <f>'T_TTAFStock'!BX31</f>
        <v/>
      </c>
      <c r="CA977">
        <f>'T_TTAFStock'!BY31</f>
        <v/>
      </c>
      <c r="CB977">
        <f>'T_TTAFStock'!BZ31</f>
        <v/>
      </c>
      <c r="CC977">
        <f>'T_TTAFStock'!CA31</f>
        <v/>
      </c>
      <c r="CD977">
        <f>'T_TTAFStock'!CB31</f>
        <v/>
      </c>
      <c r="CE977">
        <f>'T_TTAFStock'!CC31</f>
        <v/>
      </c>
      <c r="CF977">
        <f>'T_TTAFStock'!CD31</f>
        <v/>
      </c>
      <c r="CG977">
        <f>'T_TTAFStock'!CE31</f>
        <v/>
      </c>
      <c r="CH977">
        <f>'T_TTAFStock'!CF31</f>
        <v/>
      </c>
      <c r="CI977">
        <f>'T_TTAFStock'!CG31</f>
        <v/>
      </c>
      <c r="CJ977">
        <f>'T_TTAFStock'!CH31</f>
        <v/>
      </c>
      <c r="CK977">
        <f>'T_TTAFStock'!CI31</f>
        <v/>
      </c>
      <c r="CL977">
        <f>'T_TTAFStock'!CJ31</f>
        <v/>
      </c>
      <c r="CM977">
        <f>'T_TTAFStock'!CK31</f>
        <v/>
      </c>
      <c r="CN977">
        <f>'T_TTAFStock'!CL31</f>
        <v/>
      </c>
      <c r="CO977">
        <f>'T_TTAFStock'!CM31</f>
        <v/>
      </c>
      <c r="CP977">
        <f>'T_TTAFStock'!CN31</f>
        <v/>
      </c>
      <c r="CQ977">
        <f>'T_TTAFStock'!CO31</f>
        <v/>
      </c>
      <c r="CR977">
        <f>'T_TTAFStock'!CP31</f>
        <v/>
      </c>
      <c r="CS977">
        <f>'T_TTAFStock'!CQ31</f>
        <v/>
      </c>
      <c r="CT977">
        <f>'T_TTAFStock'!CR31</f>
        <v/>
      </c>
      <c r="CU977">
        <f>'T_TTAFStock'!CS31</f>
        <v/>
      </c>
      <c r="CV977">
        <f>'T_TTAFStock'!CT31</f>
        <v/>
      </c>
      <c r="CW977">
        <f>'T_TTAFStock'!CU31</f>
        <v/>
      </c>
      <c r="CX977">
        <f>'T_TTAFStock'!CV31</f>
        <v/>
      </c>
      <c r="CY977">
        <f>'T_TTAFStock'!CW31</f>
        <v/>
      </c>
      <c r="CZ977">
        <f>'T_TTAFStock'!CX31</f>
        <v/>
      </c>
      <c r="DA977">
        <f>'T_TTAFStock'!CY31</f>
        <v/>
      </c>
      <c r="DB977">
        <f>'T_TTAFStock'!CZ31</f>
        <v/>
      </c>
      <c r="DC977">
        <f>'T_TTAFStock'!DA31</f>
        <v/>
      </c>
    </row>
    <row r="978">
      <c r="B978" t="inlineStr">
        <is>
          <t>自社在庫(実績,kg)</t>
        </is>
      </c>
      <c r="D978">
        <f>'T_SelfStock'!B31</f>
        <v/>
      </c>
      <c r="E978">
        <f>'T_SelfStock'!C31</f>
        <v/>
      </c>
      <c r="F978">
        <f>'T_SelfStock'!D31</f>
        <v/>
      </c>
      <c r="G978">
        <f>'T_SelfStock'!E31</f>
        <v/>
      </c>
      <c r="H978">
        <f>'T_SelfStock'!F31</f>
        <v/>
      </c>
      <c r="I978">
        <f>'T_SelfStock'!G31</f>
        <v/>
      </c>
      <c r="J978">
        <f>'T_SelfStock'!H31</f>
        <v/>
      </c>
      <c r="K978">
        <f>'T_SelfStock'!I31</f>
        <v/>
      </c>
      <c r="L978">
        <f>'T_SelfStock'!J31</f>
        <v/>
      </c>
      <c r="M978">
        <f>'T_SelfStock'!K31</f>
        <v/>
      </c>
      <c r="N978">
        <f>'T_SelfStock'!L31</f>
        <v/>
      </c>
      <c r="O978">
        <f>'T_SelfStock'!M31</f>
        <v/>
      </c>
      <c r="P978">
        <f>'T_SelfStock'!N31</f>
        <v/>
      </c>
      <c r="Q978">
        <f>'T_SelfStock'!O31</f>
        <v/>
      </c>
      <c r="R978">
        <f>'T_SelfStock'!P31</f>
        <v/>
      </c>
      <c r="S978">
        <f>'T_SelfStock'!Q31</f>
        <v/>
      </c>
      <c r="T978">
        <f>'T_SelfStock'!R31</f>
        <v/>
      </c>
      <c r="U978">
        <f>'T_SelfStock'!S31</f>
        <v/>
      </c>
      <c r="V978">
        <f>'T_SelfStock'!T31</f>
        <v/>
      </c>
      <c r="W978">
        <f>'T_SelfStock'!U31</f>
        <v/>
      </c>
      <c r="X978">
        <f>'T_SelfStock'!V31</f>
        <v/>
      </c>
      <c r="Y978">
        <f>'T_SelfStock'!W31</f>
        <v/>
      </c>
      <c r="Z978">
        <f>'T_SelfStock'!X31</f>
        <v/>
      </c>
      <c r="AA978">
        <f>'T_SelfStock'!Y31</f>
        <v/>
      </c>
      <c r="AB978">
        <f>'T_SelfStock'!Z31</f>
        <v/>
      </c>
      <c r="AC978">
        <f>'T_SelfStock'!AA31</f>
        <v/>
      </c>
      <c r="AD978">
        <f>'T_SelfStock'!AB31</f>
        <v/>
      </c>
      <c r="AE978">
        <f>'T_SelfStock'!AC31</f>
        <v/>
      </c>
      <c r="AF978">
        <f>'T_SelfStock'!AD31</f>
        <v/>
      </c>
      <c r="AG978">
        <f>'T_SelfStock'!AE31</f>
        <v/>
      </c>
      <c r="AH978">
        <f>'T_SelfStock'!AF31</f>
        <v/>
      </c>
      <c r="AI978">
        <f>'T_SelfStock'!AG31</f>
        <v/>
      </c>
      <c r="AJ978">
        <f>'T_SelfStock'!AH31</f>
        <v/>
      </c>
      <c r="AK978">
        <f>'T_SelfStock'!AI31</f>
        <v/>
      </c>
      <c r="AL978">
        <f>'T_SelfStock'!AJ31</f>
        <v/>
      </c>
      <c r="AM978">
        <f>'T_SelfStock'!AK31</f>
        <v/>
      </c>
      <c r="AN978">
        <f>'T_SelfStock'!AL31</f>
        <v/>
      </c>
      <c r="AO978">
        <f>'T_SelfStock'!AM31</f>
        <v/>
      </c>
      <c r="AP978">
        <f>'T_SelfStock'!AN31</f>
        <v/>
      </c>
      <c r="AQ978">
        <f>'T_SelfStock'!AO31</f>
        <v/>
      </c>
      <c r="AR978">
        <f>'T_SelfStock'!AP31</f>
        <v/>
      </c>
      <c r="AS978">
        <f>'T_SelfStock'!AQ31</f>
        <v/>
      </c>
      <c r="AT978">
        <f>'T_SelfStock'!AR31</f>
        <v/>
      </c>
      <c r="AU978">
        <f>'T_SelfStock'!AS31</f>
        <v/>
      </c>
      <c r="AV978">
        <f>'T_SelfStock'!AT31</f>
        <v/>
      </c>
      <c r="AW978">
        <f>'T_SelfStock'!AU31</f>
        <v/>
      </c>
      <c r="AX978">
        <f>'T_SelfStock'!AV31</f>
        <v/>
      </c>
      <c r="AY978">
        <f>'T_SelfStock'!AW31</f>
        <v/>
      </c>
      <c r="AZ978">
        <f>'T_SelfStock'!AX31</f>
        <v/>
      </c>
      <c r="BA978">
        <f>'T_SelfStock'!AY31</f>
        <v/>
      </c>
      <c r="BB978">
        <f>'T_SelfStock'!AZ31</f>
        <v/>
      </c>
      <c r="BC978">
        <f>'T_SelfStock'!BA31</f>
        <v/>
      </c>
      <c r="BD978">
        <f>'T_SelfStock'!BB31</f>
        <v/>
      </c>
      <c r="BE978">
        <f>'T_SelfStock'!BC31</f>
        <v/>
      </c>
      <c r="BF978">
        <f>'T_SelfStock'!BD31</f>
        <v/>
      </c>
      <c r="BG978">
        <f>'T_SelfStock'!BE31</f>
        <v/>
      </c>
      <c r="BH978">
        <f>'T_SelfStock'!BF31</f>
        <v/>
      </c>
      <c r="BI978">
        <f>'T_SelfStock'!BG31</f>
        <v/>
      </c>
      <c r="BJ978">
        <f>'T_SelfStock'!BH31</f>
        <v/>
      </c>
      <c r="BK978">
        <f>'T_SelfStock'!BI31</f>
        <v/>
      </c>
      <c r="BL978">
        <f>'T_SelfStock'!BJ31</f>
        <v/>
      </c>
      <c r="BM978">
        <f>'T_SelfStock'!BK31</f>
        <v/>
      </c>
      <c r="BN978">
        <f>'T_SelfStock'!BL31</f>
        <v/>
      </c>
      <c r="BO978">
        <f>'T_SelfStock'!BM31</f>
        <v/>
      </c>
      <c r="BP978">
        <f>'T_SelfStock'!BN31</f>
        <v/>
      </c>
      <c r="BQ978">
        <f>'T_SelfStock'!BO31</f>
        <v/>
      </c>
      <c r="BR978">
        <f>'T_SelfStock'!BP31</f>
        <v/>
      </c>
      <c r="BS978">
        <f>'T_SelfStock'!BQ31</f>
        <v/>
      </c>
      <c r="BT978">
        <f>'T_SelfStock'!BR31</f>
        <v/>
      </c>
      <c r="BU978">
        <f>'T_SelfStock'!BS31</f>
        <v/>
      </c>
      <c r="BV978">
        <f>'T_SelfStock'!BT31</f>
        <v/>
      </c>
      <c r="BW978">
        <f>'T_SelfStock'!BU31</f>
        <v/>
      </c>
      <c r="BX978">
        <f>'T_SelfStock'!BV31</f>
        <v/>
      </c>
      <c r="BY978">
        <f>'T_SelfStock'!BW31</f>
        <v/>
      </c>
      <c r="BZ978">
        <f>'T_SelfStock'!BX31</f>
        <v/>
      </c>
      <c r="CA978">
        <f>'T_SelfStock'!BY31</f>
        <v/>
      </c>
      <c r="CB978">
        <f>'T_SelfStock'!BZ31</f>
        <v/>
      </c>
      <c r="CC978">
        <f>'T_SelfStock'!CA31</f>
        <v/>
      </c>
      <c r="CD978">
        <f>'T_SelfStock'!CB31</f>
        <v/>
      </c>
      <c r="CE978">
        <f>'T_SelfStock'!CC31</f>
        <v/>
      </c>
      <c r="CF978">
        <f>'T_SelfStock'!CD31</f>
        <v/>
      </c>
      <c r="CG978">
        <f>'T_SelfStock'!CE31</f>
        <v/>
      </c>
      <c r="CH978">
        <f>'T_SelfStock'!CF31</f>
        <v/>
      </c>
      <c r="CI978">
        <f>'T_SelfStock'!CG31</f>
        <v/>
      </c>
      <c r="CJ978">
        <f>'T_SelfStock'!CH31</f>
        <v/>
      </c>
      <c r="CK978">
        <f>'T_SelfStock'!CI31</f>
        <v/>
      </c>
      <c r="CL978">
        <f>'T_SelfStock'!CJ31</f>
        <v/>
      </c>
      <c r="CM978">
        <f>'T_SelfStock'!CK31</f>
        <v/>
      </c>
      <c r="CN978">
        <f>'T_SelfStock'!CL31</f>
        <v/>
      </c>
      <c r="CO978">
        <f>'T_SelfStock'!CM31</f>
        <v/>
      </c>
      <c r="CP978">
        <f>'T_SelfStock'!CN31</f>
        <v/>
      </c>
      <c r="CQ978">
        <f>'T_SelfStock'!CO31</f>
        <v/>
      </c>
      <c r="CR978">
        <f>'T_SelfStock'!CP31</f>
        <v/>
      </c>
      <c r="CS978">
        <f>'T_SelfStock'!CQ31</f>
        <v/>
      </c>
      <c r="CT978">
        <f>'T_SelfStock'!CR31</f>
        <v/>
      </c>
      <c r="CU978">
        <f>'T_SelfStock'!CS31</f>
        <v/>
      </c>
      <c r="CV978">
        <f>'T_SelfStock'!CT31</f>
        <v/>
      </c>
      <c r="CW978">
        <f>'T_SelfStock'!CU31</f>
        <v/>
      </c>
      <c r="CX978">
        <f>'T_SelfStock'!CV31</f>
        <v/>
      </c>
      <c r="CY978">
        <f>'T_SelfStock'!CW31</f>
        <v/>
      </c>
      <c r="CZ978">
        <f>'T_SelfStock'!CX31</f>
        <v/>
      </c>
      <c r="DA978">
        <f>'T_SelfStock'!CY31</f>
        <v/>
      </c>
      <c r="DB978">
        <f>'T_SelfStock'!CZ31</f>
        <v/>
      </c>
      <c r="DC978">
        <f>'T_SelfStock'!DA31</f>
        <v/>
      </c>
    </row>
    <row r="979">
      <c r="B979" s="4" t="inlineStr">
        <is>
          <t>合計在庫(週末時点,kg)</t>
        </is>
      </c>
      <c r="D979">
        <f>'Grid_Stock'!B27</f>
        <v/>
      </c>
      <c r="E979">
        <f>'Grid_Stock'!C27</f>
        <v/>
      </c>
      <c r="F979">
        <f>'Grid_Stock'!D27</f>
        <v/>
      </c>
      <c r="G979">
        <f>'Grid_Stock'!E27</f>
        <v/>
      </c>
      <c r="H979">
        <f>'Grid_Stock'!F27</f>
        <v/>
      </c>
      <c r="I979">
        <f>'Grid_Stock'!G27</f>
        <v/>
      </c>
      <c r="J979">
        <f>'Grid_Stock'!H27</f>
        <v/>
      </c>
      <c r="K979">
        <f>'Grid_Stock'!I27</f>
        <v/>
      </c>
      <c r="L979">
        <f>'Grid_Stock'!J27</f>
        <v/>
      </c>
      <c r="M979">
        <f>'Grid_Stock'!K27</f>
        <v/>
      </c>
      <c r="N979">
        <f>'Grid_Stock'!L27</f>
        <v/>
      </c>
      <c r="O979">
        <f>'Grid_Stock'!M27</f>
        <v/>
      </c>
      <c r="P979">
        <f>'Grid_Stock'!N27</f>
        <v/>
      </c>
      <c r="Q979">
        <f>'Grid_Stock'!O27</f>
        <v/>
      </c>
      <c r="R979">
        <f>'Grid_Stock'!P27</f>
        <v/>
      </c>
      <c r="S979">
        <f>'Grid_Stock'!Q27</f>
        <v/>
      </c>
      <c r="T979">
        <f>'Grid_Stock'!R27</f>
        <v/>
      </c>
      <c r="U979">
        <f>'Grid_Stock'!S27</f>
        <v/>
      </c>
      <c r="V979">
        <f>'Grid_Stock'!T27</f>
        <v/>
      </c>
      <c r="W979">
        <f>'Grid_Stock'!U27</f>
        <v/>
      </c>
      <c r="X979">
        <f>'Grid_Stock'!V27</f>
        <v/>
      </c>
      <c r="Y979">
        <f>'Grid_Stock'!W27</f>
        <v/>
      </c>
      <c r="Z979">
        <f>'Grid_Stock'!X27</f>
        <v/>
      </c>
      <c r="AA979">
        <f>'Grid_Stock'!Y27</f>
        <v/>
      </c>
      <c r="AB979">
        <f>'Grid_Stock'!Z27</f>
        <v/>
      </c>
      <c r="AC979">
        <f>'Grid_Stock'!AA27</f>
        <v/>
      </c>
      <c r="AD979">
        <f>'Grid_Stock'!AB27</f>
        <v/>
      </c>
      <c r="AE979">
        <f>'Grid_Stock'!AC27</f>
        <v/>
      </c>
      <c r="AF979">
        <f>'Grid_Stock'!AD27</f>
        <v/>
      </c>
      <c r="AG979">
        <f>'Grid_Stock'!AE27</f>
        <v/>
      </c>
      <c r="AH979">
        <f>'Grid_Stock'!AF27</f>
        <v/>
      </c>
      <c r="AI979">
        <f>'Grid_Stock'!AG27</f>
        <v/>
      </c>
      <c r="AJ979">
        <f>'Grid_Stock'!AH27</f>
        <v/>
      </c>
      <c r="AK979">
        <f>'Grid_Stock'!AI27</f>
        <v/>
      </c>
      <c r="AL979">
        <f>'Grid_Stock'!AJ27</f>
        <v/>
      </c>
      <c r="AM979">
        <f>'Grid_Stock'!AK27</f>
        <v/>
      </c>
      <c r="AN979">
        <f>'Grid_Stock'!AL27</f>
        <v/>
      </c>
      <c r="AO979">
        <f>'Grid_Stock'!AM27</f>
        <v/>
      </c>
      <c r="AP979">
        <f>'Grid_Stock'!AN27</f>
        <v/>
      </c>
      <c r="AQ979">
        <f>'Grid_Stock'!AO27</f>
        <v/>
      </c>
      <c r="AR979">
        <f>'Grid_Stock'!AP27</f>
        <v/>
      </c>
      <c r="AS979">
        <f>'Grid_Stock'!AQ27</f>
        <v/>
      </c>
      <c r="AT979">
        <f>'Grid_Stock'!AR27</f>
        <v/>
      </c>
      <c r="AU979">
        <f>'Grid_Stock'!AS27</f>
        <v/>
      </c>
      <c r="AV979">
        <f>'Grid_Stock'!AT27</f>
        <v/>
      </c>
      <c r="AW979">
        <f>'Grid_Stock'!AU27</f>
        <v/>
      </c>
      <c r="AX979">
        <f>'Grid_Stock'!AV27</f>
        <v/>
      </c>
      <c r="AY979">
        <f>'Grid_Stock'!AW27</f>
        <v/>
      </c>
      <c r="AZ979">
        <f>'Grid_Stock'!AX27</f>
        <v/>
      </c>
      <c r="BA979">
        <f>'Grid_Stock'!AY27</f>
        <v/>
      </c>
      <c r="BB979">
        <f>'Grid_Stock'!AZ27</f>
        <v/>
      </c>
      <c r="BC979">
        <f>'Grid_Stock'!BA27</f>
        <v/>
      </c>
      <c r="BD979">
        <f>'Grid_Stock'!BB27</f>
        <v/>
      </c>
      <c r="BE979">
        <f>'Grid_Stock'!BC27</f>
        <v/>
      </c>
      <c r="BF979">
        <f>'Grid_Stock'!BD27</f>
        <v/>
      </c>
      <c r="BG979">
        <f>'Grid_Stock'!BE27</f>
        <v/>
      </c>
      <c r="BH979">
        <f>'Grid_Stock'!BF27</f>
        <v/>
      </c>
      <c r="BI979">
        <f>'Grid_Stock'!BG27</f>
        <v/>
      </c>
      <c r="BJ979">
        <f>'Grid_Stock'!BH27</f>
        <v/>
      </c>
      <c r="BK979">
        <f>'Grid_Stock'!BI27</f>
        <v/>
      </c>
      <c r="BL979">
        <f>'Grid_Stock'!BJ27</f>
        <v/>
      </c>
      <c r="BM979">
        <f>'Grid_Stock'!BK27</f>
        <v/>
      </c>
      <c r="BN979">
        <f>'Grid_Stock'!BL27</f>
        <v/>
      </c>
      <c r="BO979">
        <f>'Grid_Stock'!BM27</f>
        <v/>
      </c>
      <c r="BP979">
        <f>'Grid_Stock'!BN27</f>
        <v/>
      </c>
      <c r="BQ979">
        <f>'Grid_Stock'!BO27</f>
        <v/>
      </c>
      <c r="BR979">
        <f>'Grid_Stock'!BP27</f>
        <v/>
      </c>
      <c r="BS979">
        <f>'Grid_Stock'!BQ27</f>
        <v/>
      </c>
      <c r="BT979">
        <f>'Grid_Stock'!BR27</f>
        <v/>
      </c>
      <c r="BU979">
        <f>'Grid_Stock'!BS27</f>
        <v/>
      </c>
      <c r="BV979">
        <f>'Grid_Stock'!BT27</f>
        <v/>
      </c>
      <c r="BW979">
        <f>'Grid_Stock'!BU27</f>
        <v/>
      </c>
      <c r="BX979">
        <f>'Grid_Stock'!BV27</f>
        <v/>
      </c>
      <c r="BY979">
        <f>'Grid_Stock'!BW27</f>
        <v/>
      </c>
      <c r="BZ979">
        <f>'Grid_Stock'!BX27</f>
        <v/>
      </c>
      <c r="CA979">
        <f>'Grid_Stock'!BY27</f>
        <v/>
      </c>
      <c r="CB979">
        <f>'Grid_Stock'!BZ27</f>
        <v/>
      </c>
      <c r="CC979">
        <f>'Grid_Stock'!CA27</f>
        <v/>
      </c>
      <c r="CD979">
        <f>'Grid_Stock'!CB27</f>
        <v/>
      </c>
      <c r="CE979">
        <f>'Grid_Stock'!CC27</f>
        <v/>
      </c>
      <c r="CF979">
        <f>'Grid_Stock'!CD27</f>
        <v/>
      </c>
      <c r="CG979">
        <f>'Grid_Stock'!CE27</f>
        <v/>
      </c>
      <c r="CH979">
        <f>'Grid_Stock'!CF27</f>
        <v/>
      </c>
      <c r="CI979">
        <f>'Grid_Stock'!CG27</f>
        <v/>
      </c>
      <c r="CJ979">
        <f>'Grid_Stock'!CH27</f>
        <v/>
      </c>
      <c r="CK979">
        <f>'Grid_Stock'!CI27</f>
        <v/>
      </c>
      <c r="CL979">
        <f>'Grid_Stock'!CJ27</f>
        <v/>
      </c>
      <c r="CM979">
        <f>'Grid_Stock'!CK27</f>
        <v/>
      </c>
      <c r="CN979">
        <f>'Grid_Stock'!CL27</f>
        <v/>
      </c>
      <c r="CO979">
        <f>'Grid_Stock'!CM27</f>
        <v/>
      </c>
      <c r="CP979">
        <f>'Grid_Stock'!CN27</f>
        <v/>
      </c>
      <c r="CQ979">
        <f>'Grid_Stock'!CO27</f>
        <v/>
      </c>
      <c r="CR979">
        <f>'Grid_Stock'!CP27</f>
        <v/>
      </c>
      <c r="CS979">
        <f>'Grid_Stock'!CQ27</f>
        <v/>
      </c>
      <c r="CT979">
        <f>'Grid_Stock'!CR27</f>
        <v/>
      </c>
      <c r="CU979">
        <f>'Grid_Stock'!CS27</f>
        <v/>
      </c>
      <c r="CV979">
        <f>'Grid_Stock'!CT27</f>
        <v/>
      </c>
      <c r="CW979">
        <f>'Grid_Stock'!CU27</f>
        <v/>
      </c>
      <c r="CX979">
        <f>'Grid_Stock'!CV27</f>
        <v/>
      </c>
      <c r="CY979">
        <f>'Grid_Stock'!CW27</f>
        <v/>
      </c>
      <c r="CZ979">
        <f>'Grid_Stock'!CX27</f>
        <v/>
      </c>
      <c r="DA979">
        <f>'Grid_Stock'!CY27</f>
        <v/>
      </c>
      <c r="DB979">
        <f>'Grid_Stock'!CZ27</f>
        <v/>
      </c>
      <c r="DC979">
        <f>'Grid_Stock'!DA27</f>
        <v/>
      </c>
    </row>
    <row r="980">
      <c r="B980" s="16" t="inlineStr">
        <is>
          <t>（発注の目安はDashboardの基準在庫[下限/上限]と色分けを参照）</t>
        </is>
      </c>
    </row>
    <row r="982">
      <c r="A982" s="14" t="inlineStr">
        <is>
          <t>CHEM-1730</t>
        </is>
      </c>
      <c r="B982" s="14" t="inlineStr">
        <is>
          <t>NAT-41</t>
        </is>
      </c>
      <c r="C982" s="15" t="n"/>
      <c r="D982" s="14" t="n"/>
      <c r="E982" s="14" t="n"/>
      <c r="F982" s="14" t="n"/>
      <c r="G982" s="14" t="n"/>
      <c r="H982" s="14" t="n"/>
      <c r="I982" s="14" t="n"/>
      <c r="J982" s="14" t="n"/>
      <c r="K982" s="14" t="n"/>
      <c r="L982" s="14" t="n"/>
      <c r="M982" s="14" t="n"/>
      <c r="N982" s="14" t="n"/>
      <c r="O982" s="14" t="n"/>
      <c r="P982" s="14" t="n"/>
      <c r="Q982" s="14" t="n"/>
      <c r="R982" s="14" t="n"/>
      <c r="S982" s="14" t="n"/>
      <c r="T982" s="14" t="n"/>
      <c r="U982" s="14" t="n"/>
      <c r="V982" s="14" t="n"/>
      <c r="W982" s="14" t="n"/>
      <c r="X982" s="14" t="n"/>
      <c r="Y982" s="14" t="n"/>
      <c r="Z982" s="14" t="n"/>
      <c r="AA982" s="14" t="n"/>
      <c r="AB982" s="14" t="n"/>
      <c r="AC982" s="14" t="n"/>
      <c r="AD982" s="14" t="n"/>
      <c r="AE982" s="14" t="n"/>
      <c r="AF982" s="14" t="n"/>
      <c r="AG982" s="14" t="n"/>
      <c r="AH982" s="14" t="n"/>
      <c r="AI982" s="14" t="n"/>
      <c r="AJ982" s="14" t="n"/>
      <c r="AK982" s="14" t="n"/>
      <c r="AL982" s="14" t="n"/>
      <c r="AM982" s="14" t="n"/>
      <c r="AN982" s="14" t="n"/>
      <c r="AO982" s="14" t="n"/>
      <c r="AP982" s="14" t="n"/>
      <c r="AQ982" s="14" t="n"/>
      <c r="AR982" s="14" t="n"/>
      <c r="AS982" s="14" t="n"/>
      <c r="AT982" s="14" t="n"/>
      <c r="AU982" s="14" t="n"/>
      <c r="AV982" s="14" t="n"/>
      <c r="AW982" s="14" t="n"/>
      <c r="AX982" s="14" t="n"/>
      <c r="AY982" s="14" t="n"/>
      <c r="AZ982" s="14" t="n"/>
      <c r="BA982" s="14" t="n"/>
      <c r="BB982" s="14" t="n"/>
      <c r="BC982" s="14" t="n"/>
      <c r="BD982" s="14" t="n"/>
      <c r="BE982" s="14" t="n"/>
      <c r="BF982" s="14" t="n"/>
      <c r="BG982" s="14" t="n"/>
      <c r="BH982" s="14" t="n"/>
      <c r="BI982" s="14" t="n"/>
      <c r="BJ982" s="14" t="n"/>
      <c r="BK982" s="14" t="n"/>
      <c r="BL982" s="14" t="n"/>
      <c r="BM982" s="14" t="n"/>
      <c r="BN982" s="14" t="n"/>
      <c r="BO982" s="14" t="n"/>
      <c r="BP982" s="14" t="n"/>
      <c r="BQ982" s="14" t="n"/>
      <c r="BR982" s="14" t="n"/>
      <c r="BS982" s="14" t="n"/>
      <c r="BT982" s="14" t="n"/>
      <c r="BU982" s="14" t="n"/>
      <c r="BV982" s="14" t="n"/>
      <c r="BW982" s="14" t="n"/>
      <c r="BX982" s="14" t="n"/>
      <c r="BY982" s="14" t="n"/>
      <c r="BZ982" s="14" t="n"/>
      <c r="CA982" s="14" t="n"/>
      <c r="CB982" s="14" t="n"/>
      <c r="CC982" s="14" t="n"/>
      <c r="CD982" s="14" t="n"/>
      <c r="CE982" s="14" t="n"/>
      <c r="CF982" s="14" t="n"/>
      <c r="CG982" s="14" t="n"/>
      <c r="CH982" s="14" t="n"/>
      <c r="CI982" s="14" t="n"/>
      <c r="CJ982" s="14" t="n"/>
      <c r="CK982" s="14" t="n"/>
      <c r="CL982" s="14" t="n"/>
      <c r="CM982" s="14" t="n"/>
      <c r="CN982" s="14" t="n"/>
      <c r="CO982" s="14" t="n"/>
      <c r="CP982" s="14" t="n"/>
      <c r="CQ982" s="14" t="n"/>
      <c r="CR982" s="14" t="n"/>
      <c r="CS982" s="14" t="n"/>
      <c r="CT982" s="14" t="n"/>
      <c r="CU982" s="14" t="n"/>
      <c r="CV982" s="14" t="n"/>
      <c r="CW982" s="14" t="n"/>
      <c r="CX982" s="14" t="n"/>
      <c r="CY982" s="14" t="n"/>
      <c r="CZ982" s="14" t="n"/>
      <c r="DA982" s="14" t="n"/>
      <c r="DB982" s="14" t="n"/>
      <c r="DC982" s="14" t="n"/>
    </row>
    <row r="983">
      <c r="B983" t="inlineStr">
        <is>
          <t>TPP-911</t>
        </is>
      </c>
      <c r="C983" t="inlineStr">
        <is>
          <t>No. of batches</t>
        </is>
      </c>
      <c r="D983">
        <f>IFERROR(INDEX(PP_Grid[#Data],$DD983,2),0)</f>
        <v/>
      </c>
      <c r="E983">
        <f>IFERROR(INDEX(PP_Grid[#Data],$DD983,3),0)</f>
        <v/>
      </c>
      <c r="F983">
        <f>IFERROR(INDEX(PP_Grid[#Data],$DD983,4),0)</f>
        <v/>
      </c>
      <c r="G983">
        <f>IFERROR(INDEX(PP_Grid[#Data],$DD983,5),0)</f>
        <v/>
      </c>
      <c r="H983">
        <f>IFERROR(INDEX(PP_Grid[#Data],$DD983,6),0)</f>
        <v/>
      </c>
      <c r="I983">
        <f>IFERROR(INDEX(PP_Grid[#Data],$DD983,7),0)</f>
        <v/>
      </c>
      <c r="J983">
        <f>IFERROR(INDEX(PP_Grid[#Data],$DD983,8),0)</f>
        <v/>
      </c>
      <c r="K983">
        <f>IFERROR(INDEX(PP_Grid[#Data],$DD983,9),0)</f>
        <v/>
      </c>
      <c r="L983">
        <f>IFERROR(INDEX(PP_Grid[#Data],$DD983,10),0)</f>
        <v/>
      </c>
      <c r="M983">
        <f>IFERROR(INDEX(PP_Grid[#Data],$DD983,11),0)</f>
        <v/>
      </c>
      <c r="N983">
        <f>IFERROR(INDEX(PP_Grid[#Data],$DD983,12),0)</f>
        <v/>
      </c>
      <c r="O983">
        <f>IFERROR(INDEX(PP_Grid[#Data],$DD983,13),0)</f>
        <v/>
      </c>
      <c r="P983">
        <f>IFERROR(INDEX(PP_Grid[#Data],$DD983,14),0)</f>
        <v/>
      </c>
      <c r="Q983">
        <f>IFERROR(INDEX(PP_Grid[#Data],$DD983,15),0)</f>
        <v/>
      </c>
      <c r="R983">
        <f>IFERROR(INDEX(PP_Grid[#Data],$DD983,16),0)</f>
        <v/>
      </c>
      <c r="S983">
        <f>IFERROR(INDEX(PP_Grid[#Data],$DD983,17),0)</f>
        <v/>
      </c>
      <c r="T983">
        <f>IFERROR(INDEX(PP_Grid[#Data],$DD983,18),0)</f>
        <v/>
      </c>
      <c r="U983">
        <f>IFERROR(INDEX(PP_Grid[#Data],$DD983,19),0)</f>
        <v/>
      </c>
      <c r="V983">
        <f>IFERROR(INDEX(PP_Grid[#Data],$DD983,20),0)</f>
        <v/>
      </c>
      <c r="W983">
        <f>IFERROR(INDEX(PP_Grid[#Data],$DD983,21),0)</f>
        <v/>
      </c>
      <c r="X983">
        <f>IFERROR(INDEX(PP_Grid[#Data],$DD983,22),0)</f>
        <v/>
      </c>
      <c r="Y983">
        <f>IFERROR(INDEX(PP_Grid[#Data],$DD983,23),0)</f>
        <v/>
      </c>
      <c r="Z983">
        <f>IFERROR(INDEX(PP_Grid[#Data],$DD983,24),0)</f>
        <v/>
      </c>
      <c r="AA983">
        <f>IFERROR(INDEX(PP_Grid[#Data],$DD983,25),0)</f>
        <v/>
      </c>
      <c r="AB983">
        <f>IFERROR(INDEX(PP_Grid[#Data],$DD983,26),0)</f>
        <v/>
      </c>
      <c r="AC983">
        <f>IFERROR(INDEX(PP_Grid[#Data],$DD983,27),0)</f>
        <v/>
      </c>
      <c r="AD983">
        <f>IFERROR(INDEX(PP_Grid[#Data],$DD983,28),0)</f>
        <v/>
      </c>
      <c r="AE983">
        <f>IFERROR(INDEX(PP_Grid[#Data],$DD983,29),0)</f>
        <v/>
      </c>
      <c r="AF983">
        <f>IFERROR(INDEX(PP_Grid[#Data],$DD983,30),0)</f>
        <v/>
      </c>
      <c r="AG983">
        <f>IFERROR(INDEX(PP_Grid[#Data],$DD983,31),0)</f>
        <v/>
      </c>
      <c r="AH983">
        <f>IFERROR(INDEX(PP_Grid[#Data],$DD983,32),0)</f>
        <v/>
      </c>
      <c r="AI983">
        <f>IFERROR(INDEX(PP_Grid[#Data],$DD983,33),0)</f>
        <v/>
      </c>
      <c r="AJ983">
        <f>IFERROR(INDEX(PP_Grid[#Data],$DD983,34),0)</f>
        <v/>
      </c>
      <c r="AK983">
        <f>IFERROR(INDEX(PP_Grid[#Data],$DD983,35),0)</f>
        <v/>
      </c>
      <c r="AL983">
        <f>IFERROR(INDEX(PP_Grid[#Data],$DD983,36),0)</f>
        <v/>
      </c>
      <c r="AM983">
        <f>IFERROR(INDEX(PP_Grid[#Data],$DD983,37),0)</f>
        <v/>
      </c>
      <c r="AN983">
        <f>IFERROR(INDEX(PP_Grid[#Data],$DD983,38),0)</f>
        <v/>
      </c>
      <c r="AO983">
        <f>IFERROR(INDEX(PP_Grid[#Data],$DD983,39),0)</f>
        <v/>
      </c>
      <c r="AP983">
        <f>IFERROR(INDEX(PP_Grid[#Data],$DD983,40),0)</f>
        <v/>
      </c>
      <c r="AQ983">
        <f>IFERROR(INDEX(PP_Grid[#Data],$DD983,41),0)</f>
        <v/>
      </c>
      <c r="AR983">
        <f>IFERROR(INDEX(PP_Grid[#Data],$DD983,42),0)</f>
        <v/>
      </c>
      <c r="AS983">
        <f>IFERROR(INDEX(PP_Grid[#Data],$DD983,43),0)</f>
        <v/>
      </c>
      <c r="AT983">
        <f>IFERROR(INDEX(PP_Grid[#Data],$DD983,44),0)</f>
        <v/>
      </c>
      <c r="AU983">
        <f>IFERROR(INDEX(PP_Grid[#Data],$DD983,45),0)</f>
        <v/>
      </c>
      <c r="AV983">
        <f>IFERROR(INDEX(PP_Grid[#Data],$DD983,46),0)</f>
        <v/>
      </c>
      <c r="AW983">
        <f>IFERROR(INDEX(PP_Grid[#Data],$DD983,47),0)</f>
        <v/>
      </c>
      <c r="AX983">
        <f>IFERROR(INDEX(PP_Grid[#Data],$DD983,48),0)</f>
        <v/>
      </c>
      <c r="AY983">
        <f>IFERROR(INDEX(PP_Grid[#Data],$DD983,49),0)</f>
        <v/>
      </c>
      <c r="AZ983">
        <f>IFERROR(INDEX(PP_Grid[#Data],$DD983,50),0)</f>
        <v/>
      </c>
      <c r="BA983">
        <f>IFERROR(INDEX(PP_Grid[#Data],$DD983,51),0)</f>
        <v/>
      </c>
      <c r="BB983">
        <f>IFERROR(INDEX(PP_Grid[#Data],$DD983,52),0)</f>
        <v/>
      </c>
      <c r="BC983">
        <f>IFERROR(INDEX(PP_Grid[#Data],$DD983,53),0)</f>
        <v/>
      </c>
      <c r="BD983">
        <f>IFERROR(INDEX(PP_Grid[#Data],$DD983,54),0)</f>
        <v/>
      </c>
      <c r="BE983">
        <f>IFERROR(INDEX(PP_Grid[#Data],$DD983,55),0)</f>
        <v/>
      </c>
      <c r="BF983">
        <f>IFERROR(INDEX(PP_Grid[#Data],$DD983,56),0)</f>
        <v/>
      </c>
      <c r="BG983">
        <f>IFERROR(INDEX(PP_Grid[#Data],$DD983,57),0)</f>
        <v/>
      </c>
      <c r="BH983">
        <f>IFERROR(INDEX(PP_Grid[#Data],$DD983,58),0)</f>
        <v/>
      </c>
      <c r="BI983">
        <f>IFERROR(INDEX(PP_Grid[#Data],$DD983,59),0)</f>
        <v/>
      </c>
      <c r="BJ983">
        <f>IFERROR(INDEX(PP_Grid[#Data],$DD983,60),0)</f>
        <v/>
      </c>
      <c r="BK983">
        <f>IFERROR(INDEX(PP_Grid[#Data],$DD983,61),0)</f>
        <v/>
      </c>
      <c r="BL983">
        <f>IFERROR(INDEX(PP_Grid[#Data],$DD983,62),0)</f>
        <v/>
      </c>
      <c r="BM983">
        <f>IFERROR(INDEX(PP_Grid[#Data],$DD983,63),0)</f>
        <v/>
      </c>
      <c r="BN983">
        <f>IFERROR(INDEX(PP_Grid[#Data],$DD983,64),0)</f>
        <v/>
      </c>
      <c r="BO983">
        <f>IFERROR(INDEX(PP_Grid[#Data],$DD983,65),0)</f>
        <v/>
      </c>
      <c r="BP983">
        <f>IFERROR(INDEX(PP_Grid[#Data],$DD983,66),0)</f>
        <v/>
      </c>
      <c r="BQ983">
        <f>IFERROR(INDEX(PP_Grid[#Data],$DD983,67),0)</f>
        <v/>
      </c>
      <c r="BR983">
        <f>IFERROR(INDEX(PP_Grid[#Data],$DD983,68),0)</f>
        <v/>
      </c>
      <c r="BS983">
        <f>IFERROR(INDEX(PP_Grid[#Data],$DD983,69),0)</f>
        <v/>
      </c>
      <c r="BT983">
        <f>IFERROR(INDEX(PP_Grid[#Data],$DD983,70),0)</f>
        <v/>
      </c>
      <c r="BU983">
        <f>IFERROR(INDEX(PP_Grid[#Data],$DD983,71),0)</f>
        <v/>
      </c>
      <c r="BV983">
        <f>IFERROR(INDEX(PP_Grid[#Data],$DD983,72),0)</f>
        <v/>
      </c>
      <c r="BW983">
        <f>IFERROR(INDEX(PP_Grid[#Data],$DD983,73),0)</f>
        <v/>
      </c>
      <c r="BX983">
        <f>IFERROR(INDEX(PP_Grid[#Data],$DD983,74),0)</f>
        <v/>
      </c>
      <c r="BY983">
        <f>IFERROR(INDEX(PP_Grid[#Data],$DD983,75),0)</f>
        <v/>
      </c>
      <c r="BZ983">
        <f>IFERROR(INDEX(PP_Grid[#Data],$DD983,76),0)</f>
        <v/>
      </c>
      <c r="CA983">
        <f>IFERROR(INDEX(PP_Grid[#Data],$DD983,77),0)</f>
        <v/>
      </c>
      <c r="CB983">
        <f>IFERROR(INDEX(PP_Grid[#Data],$DD983,78),0)</f>
        <v/>
      </c>
      <c r="CC983">
        <f>IFERROR(INDEX(PP_Grid[#Data],$DD983,79),0)</f>
        <v/>
      </c>
      <c r="CD983">
        <f>IFERROR(INDEX(PP_Grid[#Data],$DD983,80),0)</f>
        <v/>
      </c>
      <c r="CE983">
        <f>IFERROR(INDEX(PP_Grid[#Data],$DD983,81),0)</f>
        <v/>
      </c>
      <c r="CF983">
        <f>IFERROR(INDEX(PP_Grid[#Data],$DD983,82),0)</f>
        <v/>
      </c>
      <c r="CG983">
        <f>IFERROR(INDEX(PP_Grid[#Data],$DD983,83),0)</f>
        <v/>
      </c>
      <c r="CH983">
        <f>IFERROR(INDEX(PP_Grid[#Data],$DD983,84),0)</f>
        <v/>
      </c>
      <c r="CI983">
        <f>IFERROR(INDEX(PP_Grid[#Data],$DD983,85),0)</f>
        <v/>
      </c>
      <c r="CJ983">
        <f>IFERROR(INDEX(PP_Grid[#Data],$DD983,86),0)</f>
        <v/>
      </c>
      <c r="CK983">
        <f>IFERROR(INDEX(PP_Grid[#Data],$DD983,87),0)</f>
        <v/>
      </c>
      <c r="CL983">
        <f>IFERROR(INDEX(PP_Grid[#Data],$DD983,88),0)</f>
        <v/>
      </c>
      <c r="CM983">
        <f>IFERROR(INDEX(PP_Grid[#Data],$DD983,89),0)</f>
        <v/>
      </c>
      <c r="CN983">
        <f>IFERROR(INDEX(PP_Grid[#Data],$DD983,90),0)</f>
        <v/>
      </c>
      <c r="CO983">
        <f>IFERROR(INDEX(PP_Grid[#Data],$DD983,91),0)</f>
        <v/>
      </c>
      <c r="CP983">
        <f>IFERROR(INDEX(PP_Grid[#Data],$DD983,92),0)</f>
        <v/>
      </c>
      <c r="CQ983">
        <f>IFERROR(INDEX(PP_Grid[#Data],$DD983,93),0)</f>
        <v/>
      </c>
      <c r="CR983">
        <f>IFERROR(INDEX(PP_Grid[#Data],$DD983,94),0)</f>
        <v/>
      </c>
      <c r="CS983">
        <f>IFERROR(INDEX(PP_Grid[#Data],$DD983,95),0)</f>
        <v/>
      </c>
      <c r="CT983">
        <f>IFERROR(INDEX(PP_Grid[#Data],$DD983,96),0)</f>
        <v/>
      </c>
      <c r="CU983">
        <f>IFERROR(INDEX(PP_Grid[#Data],$DD983,97),0)</f>
        <v/>
      </c>
      <c r="CV983">
        <f>IFERROR(INDEX(PP_Grid[#Data],$DD983,98),0)</f>
        <v/>
      </c>
      <c r="CW983">
        <f>IFERROR(INDEX(PP_Grid[#Data],$DD983,99),0)</f>
        <v/>
      </c>
      <c r="CX983">
        <f>IFERROR(INDEX(PP_Grid[#Data],$DD983,100),0)</f>
        <v/>
      </c>
      <c r="CY983">
        <f>IFERROR(INDEX(PP_Grid[#Data],$DD983,101),0)</f>
        <v/>
      </c>
      <c r="CZ983">
        <f>IFERROR(INDEX(PP_Grid[#Data],$DD983,102),0)</f>
        <v/>
      </c>
      <c r="DA983">
        <f>IFERROR(INDEX(PP_Grid[#Data],$DD983,103),0)</f>
        <v/>
      </c>
      <c r="DB983">
        <f>IFERROR(INDEX(PP_Grid[#Data],$DD983,104),0)</f>
        <v/>
      </c>
      <c r="DC983">
        <f>IFERROR(INDEX(PP_Grid[#Data],$DD983,105),0)</f>
        <v/>
      </c>
      <c r="DD983" s="7">
        <f>IFERROR(MATCH($B983,PP_Grid[Intermediate],0),99999)</f>
        <v/>
      </c>
    </row>
    <row r="984">
      <c r="B984" t="inlineStr">
        <is>
          <t>使用量(kg)</t>
        </is>
      </c>
      <c r="C984">
        <f>SUMIFS(M_BOM[RM_Qty_Per_Batch],M_BOM[Intermediate],$B983,M_BOM[Part Name],$A982)</f>
        <v/>
      </c>
      <c r="D984">
        <f>$C984*D983</f>
        <v/>
      </c>
      <c r="E984">
        <f>$C984*E983</f>
        <v/>
      </c>
      <c r="F984">
        <f>$C984*F983</f>
        <v/>
      </c>
      <c r="G984">
        <f>$C984*G983</f>
        <v/>
      </c>
      <c r="H984">
        <f>$C984*H983</f>
        <v/>
      </c>
      <c r="I984">
        <f>$C984*I983</f>
        <v/>
      </c>
      <c r="J984">
        <f>$C984*J983</f>
        <v/>
      </c>
      <c r="K984">
        <f>$C984*K983</f>
        <v/>
      </c>
      <c r="L984">
        <f>$C984*L983</f>
        <v/>
      </c>
      <c r="M984">
        <f>$C984*M983</f>
        <v/>
      </c>
      <c r="N984">
        <f>$C984*N983</f>
        <v/>
      </c>
      <c r="O984">
        <f>$C984*O983</f>
        <v/>
      </c>
      <c r="P984">
        <f>$C984*P983</f>
        <v/>
      </c>
      <c r="Q984">
        <f>$C984*Q983</f>
        <v/>
      </c>
      <c r="R984">
        <f>$C984*R983</f>
        <v/>
      </c>
      <c r="S984">
        <f>$C984*S983</f>
        <v/>
      </c>
      <c r="T984">
        <f>$C984*T983</f>
        <v/>
      </c>
      <c r="U984">
        <f>$C984*U983</f>
        <v/>
      </c>
      <c r="V984">
        <f>$C984*V983</f>
        <v/>
      </c>
      <c r="W984">
        <f>$C984*W983</f>
        <v/>
      </c>
      <c r="X984">
        <f>$C984*X983</f>
        <v/>
      </c>
      <c r="Y984">
        <f>$C984*Y983</f>
        <v/>
      </c>
      <c r="Z984">
        <f>$C984*Z983</f>
        <v/>
      </c>
      <c r="AA984">
        <f>$C984*AA983</f>
        <v/>
      </c>
      <c r="AB984">
        <f>$C984*AB983</f>
        <v/>
      </c>
      <c r="AC984">
        <f>$C984*AC983</f>
        <v/>
      </c>
      <c r="AD984">
        <f>$C984*AD983</f>
        <v/>
      </c>
      <c r="AE984">
        <f>$C984*AE983</f>
        <v/>
      </c>
      <c r="AF984">
        <f>$C984*AF983</f>
        <v/>
      </c>
      <c r="AG984">
        <f>$C984*AG983</f>
        <v/>
      </c>
      <c r="AH984">
        <f>$C984*AH983</f>
        <v/>
      </c>
      <c r="AI984">
        <f>$C984*AI983</f>
        <v/>
      </c>
      <c r="AJ984">
        <f>$C984*AJ983</f>
        <v/>
      </c>
      <c r="AK984">
        <f>$C984*AK983</f>
        <v/>
      </c>
      <c r="AL984">
        <f>$C984*AL983</f>
        <v/>
      </c>
      <c r="AM984">
        <f>$C984*AM983</f>
        <v/>
      </c>
      <c r="AN984">
        <f>$C984*AN983</f>
        <v/>
      </c>
      <c r="AO984">
        <f>$C984*AO983</f>
        <v/>
      </c>
      <c r="AP984">
        <f>$C984*AP983</f>
        <v/>
      </c>
      <c r="AQ984">
        <f>$C984*AQ983</f>
        <v/>
      </c>
      <c r="AR984">
        <f>$C984*AR983</f>
        <v/>
      </c>
      <c r="AS984">
        <f>$C984*AS983</f>
        <v/>
      </c>
      <c r="AT984">
        <f>$C984*AT983</f>
        <v/>
      </c>
      <c r="AU984">
        <f>$C984*AU983</f>
        <v/>
      </c>
      <c r="AV984">
        <f>$C984*AV983</f>
        <v/>
      </c>
      <c r="AW984">
        <f>$C984*AW983</f>
        <v/>
      </c>
      <c r="AX984">
        <f>$C984*AX983</f>
        <v/>
      </c>
      <c r="AY984">
        <f>$C984*AY983</f>
        <v/>
      </c>
      <c r="AZ984">
        <f>$C984*AZ983</f>
        <v/>
      </c>
      <c r="BA984">
        <f>$C984*BA983</f>
        <v/>
      </c>
      <c r="BB984">
        <f>$C984*BB983</f>
        <v/>
      </c>
      <c r="BC984">
        <f>$C984*BC983</f>
        <v/>
      </c>
      <c r="BD984">
        <f>$C984*BD983</f>
        <v/>
      </c>
      <c r="BE984">
        <f>$C984*BE983</f>
        <v/>
      </c>
      <c r="BF984">
        <f>$C984*BF983</f>
        <v/>
      </c>
      <c r="BG984">
        <f>$C984*BG983</f>
        <v/>
      </c>
      <c r="BH984">
        <f>$C984*BH983</f>
        <v/>
      </c>
      <c r="BI984">
        <f>$C984*BI983</f>
        <v/>
      </c>
      <c r="BJ984">
        <f>$C984*BJ983</f>
        <v/>
      </c>
      <c r="BK984">
        <f>$C984*BK983</f>
        <v/>
      </c>
      <c r="BL984">
        <f>$C984*BL983</f>
        <v/>
      </c>
      <c r="BM984">
        <f>$C984*BM983</f>
        <v/>
      </c>
      <c r="BN984">
        <f>$C984*BN983</f>
        <v/>
      </c>
      <c r="BO984">
        <f>$C984*BO983</f>
        <v/>
      </c>
      <c r="BP984">
        <f>$C984*BP983</f>
        <v/>
      </c>
      <c r="BQ984">
        <f>$C984*BQ983</f>
        <v/>
      </c>
      <c r="BR984">
        <f>$C984*BR983</f>
        <v/>
      </c>
      <c r="BS984">
        <f>$C984*BS983</f>
        <v/>
      </c>
      <c r="BT984">
        <f>$C984*BT983</f>
        <v/>
      </c>
      <c r="BU984">
        <f>$C984*BU983</f>
        <v/>
      </c>
      <c r="BV984">
        <f>$C984*BV983</f>
        <v/>
      </c>
      <c r="BW984">
        <f>$C984*BW983</f>
        <v/>
      </c>
      <c r="BX984">
        <f>$C984*BX983</f>
        <v/>
      </c>
      <c r="BY984">
        <f>$C984*BY983</f>
        <v/>
      </c>
      <c r="BZ984">
        <f>$C984*BZ983</f>
        <v/>
      </c>
      <c r="CA984">
        <f>$C984*CA983</f>
        <v/>
      </c>
      <c r="CB984">
        <f>$C984*CB983</f>
        <v/>
      </c>
      <c r="CC984">
        <f>$C984*CC983</f>
        <v/>
      </c>
      <c r="CD984">
        <f>$C984*CD983</f>
        <v/>
      </c>
      <c r="CE984">
        <f>$C984*CE983</f>
        <v/>
      </c>
      <c r="CF984">
        <f>$C984*CF983</f>
        <v/>
      </c>
      <c r="CG984">
        <f>$C984*CG983</f>
        <v/>
      </c>
      <c r="CH984">
        <f>$C984*CH983</f>
        <v/>
      </c>
      <c r="CI984">
        <f>$C984*CI983</f>
        <v/>
      </c>
      <c r="CJ984">
        <f>$C984*CJ983</f>
        <v/>
      </c>
      <c r="CK984">
        <f>$C984*CK983</f>
        <v/>
      </c>
      <c r="CL984">
        <f>$C984*CL983</f>
        <v/>
      </c>
      <c r="CM984">
        <f>$C984*CM983</f>
        <v/>
      </c>
      <c r="CN984">
        <f>$C984*CN983</f>
        <v/>
      </c>
      <c r="CO984">
        <f>$C984*CO983</f>
        <v/>
      </c>
      <c r="CP984">
        <f>$C984*CP983</f>
        <v/>
      </c>
      <c r="CQ984">
        <f>$C984*CQ983</f>
        <v/>
      </c>
      <c r="CR984">
        <f>$C984*CR983</f>
        <v/>
      </c>
      <c r="CS984">
        <f>$C984*CS983</f>
        <v/>
      </c>
      <c r="CT984">
        <f>$C984*CT983</f>
        <v/>
      </c>
      <c r="CU984">
        <f>$C984*CU983</f>
        <v/>
      </c>
      <c r="CV984">
        <f>$C984*CV983</f>
        <v/>
      </c>
      <c r="CW984">
        <f>$C984*CW983</f>
        <v/>
      </c>
      <c r="CX984">
        <f>$C984*CX983</f>
        <v/>
      </c>
      <c r="CY984">
        <f>$C984*CY983</f>
        <v/>
      </c>
      <c r="CZ984">
        <f>$C984*CZ983</f>
        <v/>
      </c>
      <c r="DA984">
        <f>$C984*DA983</f>
        <v/>
      </c>
      <c r="DB984">
        <f>$C984*DB983</f>
        <v/>
      </c>
      <c r="DC984">
        <f>$C984*DC983</f>
        <v/>
      </c>
    </row>
    <row r="985">
      <c r="B985" t="inlineStr">
        <is>
          <t>TPP-912</t>
        </is>
      </c>
      <c r="C985" t="inlineStr">
        <is>
          <t>No. of batches</t>
        </is>
      </c>
      <c r="D985">
        <f>IFERROR(INDEX(PP_Grid[#Data],$DD985,2),0)</f>
        <v/>
      </c>
      <c r="E985">
        <f>IFERROR(INDEX(PP_Grid[#Data],$DD985,3),0)</f>
        <v/>
      </c>
      <c r="F985">
        <f>IFERROR(INDEX(PP_Grid[#Data],$DD985,4),0)</f>
        <v/>
      </c>
      <c r="G985">
        <f>IFERROR(INDEX(PP_Grid[#Data],$DD985,5),0)</f>
        <v/>
      </c>
      <c r="H985">
        <f>IFERROR(INDEX(PP_Grid[#Data],$DD985,6),0)</f>
        <v/>
      </c>
      <c r="I985">
        <f>IFERROR(INDEX(PP_Grid[#Data],$DD985,7),0)</f>
        <v/>
      </c>
      <c r="J985">
        <f>IFERROR(INDEX(PP_Grid[#Data],$DD985,8),0)</f>
        <v/>
      </c>
      <c r="K985">
        <f>IFERROR(INDEX(PP_Grid[#Data],$DD985,9),0)</f>
        <v/>
      </c>
      <c r="L985">
        <f>IFERROR(INDEX(PP_Grid[#Data],$DD985,10),0)</f>
        <v/>
      </c>
      <c r="M985">
        <f>IFERROR(INDEX(PP_Grid[#Data],$DD985,11),0)</f>
        <v/>
      </c>
      <c r="N985">
        <f>IFERROR(INDEX(PP_Grid[#Data],$DD985,12),0)</f>
        <v/>
      </c>
      <c r="O985">
        <f>IFERROR(INDEX(PP_Grid[#Data],$DD985,13),0)</f>
        <v/>
      </c>
      <c r="P985">
        <f>IFERROR(INDEX(PP_Grid[#Data],$DD985,14),0)</f>
        <v/>
      </c>
      <c r="Q985">
        <f>IFERROR(INDEX(PP_Grid[#Data],$DD985,15),0)</f>
        <v/>
      </c>
      <c r="R985">
        <f>IFERROR(INDEX(PP_Grid[#Data],$DD985,16),0)</f>
        <v/>
      </c>
      <c r="S985">
        <f>IFERROR(INDEX(PP_Grid[#Data],$DD985,17),0)</f>
        <v/>
      </c>
      <c r="T985">
        <f>IFERROR(INDEX(PP_Grid[#Data],$DD985,18),0)</f>
        <v/>
      </c>
      <c r="U985">
        <f>IFERROR(INDEX(PP_Grid[#Data],$DD985,19),0)</f>
        <v/>
      </c>
      <c r="V985">
        <f>IFERROR(INDEX(PP_Grid[#Data],$DD985,20),0)</f>
        <v/>
      </c>
      <c r="W985">
        <f>IFERROR(INDEX(PP_Grid[#Data],$DD985,21),0)</f>
        <v/>
      </c>
      <c r="X985">
        <f>IFERROR(INDEX(PP_Grid[#Data],$DD985,22),0)</f>
        <v/>
      </c>
      <c r="Y985">
        <f>IFERROR(INDEX(PP_Grid[#Data],$DD985,23),0)</f>
        <v/>
      </c>
      <c r="Z985">
        <f>IFERROR(INDEX(PP_Grid[#Data],$DD985,24),0)</f>
        <v/>
      </c>
      <c r="AA985">
        <f>IFERROR(INDEX(PP_Grid[#Data],$DD985,25),0)</f>
        <v/>
      </c>
      <c r="AB985">
        <f>IFERROR(INDEX(PP_Grid[#Data],$DD985,26),0)</f>
        <v/>
      </c>
      <c r="AC985">
        <f>IFERROR(INDEX(PP_Grid[#Data],$DD985,27),0)</f>
        <v/>
      </c>
      <c r="AD985">
        <f>IFERROR(INDEX(PP_Grid[#Data],$DD985,28),0)</f>
        <v/>
      </c>
      <c r="AE985">
        <f>IFERROR(INDEX(PP_Grid[#Data],$DD985,29),0)</f>
        <v/>
      </c>
      <c r="AF985">
        <f>IFERROR(INDEX(PP_Grid[#Data],$DD985,30),0)</f>
        <v/>
      </c>
      <c r="AG985">
        <f>IFERROR(INDEX(PP_Grid[#Data],$DD985,31),0)</f>
        <v/>
      </c>
      <c r="AH985">
        <f>IFERROR(INDEX(PP_Grid[#Data],$DD985,32),0)</f>
        <v/>
      </c>
      <c r="AI985">
        <f>IFERROR(INDEX(PP_Grid[#Data],$DD985,33),0)</f>
        <v/>
      </c>
      <c r="AJ985">
        <f>IFERROR(INDEX(PP_Grid[#Data],$DD985,34),0)</f>
        <v/>
      </c>
      <c r="AK985">
        <f>IFERROR(INDEX(PP_Grid[#Data],$DD985,35),0)</f>
        <v/>
      </c>
      <c r="AL985">
        <f>IFERROR(INDEX(PP_Grid[#Data],$DD985,36),0)</f>
        <v/>
      </c>
      <c r="AM985">
        <f>IFERROR(INDEX(PP_Grid[#Data],$DD985,37),0)</f>
        <v/>
      </c>
      <c r="AN985">
        <f>IFERROR(INDEX(PP_Grid[#Data],$DD985,38),0)</f>
        <v/>
      </c>
      <c r="AO985">
        <f>IFERROR(INDEX(PP_Grid[#Data],$DD985,39),0)</f>
        <v/>
      </c>
      <c r="AP985">
        <f>IFERROR(INDEX(PP_Grid[#Data],$DD985,40),0)</f>
        <v/>
      </c>
      <c r="AQ985">
        <f>IFERROR(INDEX(PP_Grid[#Data],$DD985,41),0)</f>
        <v/>
      </c>
      <c r="AR985">
        <f>IFERROR(INDEX(PP_Grid[#Data],$DD985,42),0)</f>
        <v/>
      </c>
      <c r="AS985">
        <f>IFERROR(INDEX(PP_Grid[#Data],$DD985,43),0)</f>
        <v/>
      </c>
      <c r="AT985">
        <f>IFERROR(INDEX(PP_Grid[#Data],$DD985,44),0)</f>
        <v/>
      </c>
      <c r="AU985">
        <f>IFERROR(INDEX(PP_Grid[#Data],$DD985,45),0)</f>
        <v/>
      </c>
      <c r="AV985">
        <f>IFERROR(INDEX(PP_Grid[#Data],$DD985,46),0)</f>
        <v/>
      </c>
      <c r="AW985">
        <f>IFERROR(INDEX(PP_Grid[#Data],$DD985,47),0)</f>
        <v/>
      </c>
      <c r="AX985">
        <f>IFERROR(INDEX(PP_Grid[#Data],$DD985,48),0)</f>
        <v/>
      </c>
      <c r="AY985">
        <f>IFERROR(INDEX(PP_Grid[#Data],$DD985,49),0)</f>
        <v/>
      </c>
      <c r="AZ985">
        <f>IFERROR(INDEX(PP_Grid[#Data],$DD985,50),0)</f>
        <v/>
      </c>
      <c r="BA985">
        <f>IFERROR(INDEX(PP_Grid[#Data],$DD985,51),0)</f>
        <v/>
      </c>
      <c r="BB985">
        <f>IFERROR(INDEX(PP_Grid[#Data],$DD985,52),0)</f>
        <v/>
      </c>
      <c r="BC985">
        <f>IFERROR(INDEX(PP_Grid[#Data],$DD985,53),0)</f>
        <v/>
      </c>
      <c r="BD985">
        <f>IFERROR(INDEX(PP_Grid[#Data],$DD985,54),0)</f>
        <v/>
      </c>
      <c r="BE985">
        <f>IFERROR(INDEX(PP_Grid[#Data],$DD985,55),0)</f>
        <v/>
      </c>
      <c r="BF985">
        <f>IFERROR(INDEX(PP_Grid[#Data],$DD985,56),0)</f>
        <v/>
      </c>
      <c r="BG985">
        <f>IFERROR(INDEX(PP_Grid[#Data],$DD985,57),0)</f>
        <v/>
      </c>
      <c r="BH985">
        <f>IFERROR(INDEX(PP_Grid[#Data],$DD985,58),0)</f>
        <v/>
      </c>
      <c r="BI985">
        <f>IFERROR(INDEX(PP_Grid[#Data],$DD985,59),0)</f>
        <v/>
      </c>
      <c r="BJ985">
        <f>IFERROR(INDEX(PP_Grid[#Data],$DD985,60),0)</f>
        <v/>
      </c>
      <c r="BK985">
        <f>IFERROR(INDEX(PP_Grid[#Data],$DD985,61),0)</f>
        <v/>
      </c>
      <c r="BL985">
        <f>IFERROR(INDEX(PP_Grid[#Data],$DD985,62),0)</f>
        <v/>
      </c>
      <c r="BM985">
        <f>IFERROR(INDEX(PP_Grid[#Data],$DD985,63),0)</f>
        <v/>
      </c>
      <c r="BN985">
        <f>IFERROR(INDEX(PP_Grid[#Data],$DD985,64),0)</f>
        <v/>
      </c>
      <c r="BO985">
        <f>IFERROR(INDEX(PP_Grid[#Data],$DD985,65),0)</f>
        <v/>
      </c>
      <c r="BP985">
        <f>IFERROR(INDEX(PP_Grid[#Data],$DD985,66),0)</f>
        <v/>
      </c>
      <c r="BQ985">
        <f>IFERROR(INDEX(PP_Grid[#Data],$DD985,67),0)</f>
        <v/>
      </c>
      <c r="BR985">
        <f>IFERROR(INDEX(PP_Grid[#Data],$DD985,68),0)</f>
        <v/>
      </c>
      <c r="BS985">
        <f>IFERROR(INDEX(PP_Grid[#Data],$DD985,69),0)</f>
        <v/>
      </c>
      <c r="BT985">
        <f>IFERROR(INDEX(PP_Grid[#Data],$DD985,70),0)</f>
        <v/>
      </c>
      <c r="BU985">
        <f>IFERROR(INDEX(PP_Grid[#Data],$DD985,71),0)</f>
        <v/>
      </c>
      <c r="BV985">
        <f>IFERROR(INDEX(PP_Grid[#Data],$DD985,72),0)</f>
        <v/>
      </c>
      <c r="BW985">
        <f>IFERROR(INDEX(PP_Grid[#Data],$DD985,73),0)</f>
        <v/>
      </c>
      <c r="BX985">
        <f>IFERROR(INDEX(PP_Grid[#Data],$DD985,74),0)</f>
        <v/>
      </c>
      <c r="BY985">
        <f>IFERROR(INDEX(PP_Grid[#Data],$DD985,75),0)</f>
        <v/>
      </c>
      <c r="BZ985">
        <f>IFERROR(INDEX(PP_Grid[#Data],$DD985,76),0)</f>
        <v/>
      </c>
      <c r="CA985">
        <f>IFERROR(INDEX(PP_Grid[#Data],$DD985,77),0)</f>
        <v/>
      </c>
      <c r="CB985">
        <f>IFERROR(INDEX(PP_Grid[#Data],$DD985,78),0)</f>
        <v/>
      </c>
      <c r="CC985">
        <f>IFERROR(INDEX(PP_Grid[#Data],$DD985,79),0)</f>
        <v/>
      </c>
      <c r="CD985">
        <f>IFERROR(INDEX(PP_Grid[#Data],$DD985,80),0)</f>
        <v/>
      </c>
      <c r="CE985">
        <f>IFERROR(INDEX(PP_Grid[#Data],$DD985,81),0)</f>
        <v/>
      </c>
      <c r="CF985">
        <f>IFERROR(INDEX(PP_Grid[#Data],$DD985,82),0)</f>
        <v/>
      </c>
      <c r="CG985">
        <f>IFERROR(INDEX(PP_Grid[#Data],$DD985,83),0)</f>
        <v/>
      </c>
      <c r="CH985">
        <f>IFERROR(INDEX(PP_Grid[#Data],$DD985,84),0)</f>
        <v/>
      </c>
      <c r="CI985">
        <f>IFERROR(INDEX(PP_Grid[#Data],$DD985,85),0)</f>
        <v/>
      </c>
      <c r="CJ985">
        <f>IFERROR(INDEX(PP_Grid[#Data],$DD985,86),0)</f>
        <v/>
      </c>
      <c r="CK985">
        <f>IFERROR(INDEX(PP_Grid[#Data],$DD985,87),0)</f>
        <v/>
      </c>
      <c r="CL985">
        <f>IFERROR(INDEX(PP_Grid[#Data],$DD985,88),0)</f>
        <v/>
      </c>
      <c r="CM985">
        <f>IFERROR(INDEX(PP_Grid[#Data],$DD985,89),0)</f>
        <v/>
      </c>
      <c r="CN985">
        <f>IFERROR(INDEX(PP_Grid[#Data],$DD985,90),0)</f>
        <v/>
      </c>
      <c r="CO985">
        <f>IFERROR(INDEX(PP_Grid[#Data],$DD985,91),0)</f>
        <v/>
      </c>
      <c r="CP985">
        <f>IFERROR(INDEX(PP_Grid[#Data],$DD985,92),0)</f>
        <v/>
      </c>
      <c r="CQ985">
        <f>IFERROR(INDEX(PP_Grid[#Data],$DD985,93),0)</f>
        <v/>
      </c>
      <c r="CR985">
        <f>IFERROR(INDEX(PP_Grid[#Data],$DD985,94),0)</f>
        <v/>
      </c>
      <c r="CS985">
        <f>IFERROR(INDEX(PP_Grid[#Data],$DD985,95),0)</f>
        <v/>
      </c>
      <c r="CT985">
        <f>IFERROR(INDEX(PP_Grid[#Data],$DD985,96),0)</f>
        <v/>
      </c>
      <c r="CU985">
        <f>IFERROR(INDEX(PP_Grid[#Data],$DD985,97),0)</f>
        <v/>
      </c>
      <c r="CV985">
        <f>IFERROR(INDEX(PP_Grid[#Data],$DD985,98),0)</f>
        <v/>
      </c>
      <c r="CW985">
        <f>IFERROR(INDEX(PP_Grid[#Data],$DD985,99),0)</f>
        <v/>
      </c>
      <c r="CX985">
        <f>IFERROR(INDEX(PP_Grid[#Data],$DD985,100),0)</f>
        <v/>
      </c>
      <c r="CY985">
        <f>IFERROR(INDEX(PP_Grid[#Data],$DD985,101),0)</f>
        <v/>
      </c>
      <c r="CZ985">
        <f>IFERROR(INDEX(PP_Grid[#Data],$DD985,102),0)</f>
        <v/>
      </c>
      <c r="DA985">
        <f>IFERROR(INDEX(PP_Grid[#Data],$DD985,103),0)</f>
        <v/>
      </c>
      <c r="DB985">
        <f>IFERROR(INDEX(PP_Grid[#Data],$DD985,104),0)</f>
        <v/>
      </c>
      <c r="DC985">
        <f>IFERROR(INDEX(PP_Grid[#Data],$DD985,105),0)</f>
        <v/>
      </c>
      <c r="DD985" s="7">
        <f>IFERROR(MATCH($B985,PP_Grid[Intermediate],0),99999)</f>
        <v/>
      </c>
    </row>
    <row r="986">
      <c r="B986" t="inlineStr">
        <is>
          <t>使用量(kg)</t>
        </is>
      </c>
      <c r="C986">
        <f>SUMIFS(M_BOM[RM_Qty_Per_Batch],M_BOM[Intermediate],$B985,M_BOM[Part Name],$A982)</f>
        <v/>
      </c>
      <c r="D986">
        <f>$C986*D985</f>
        <v/>
      </c>
      <c r="E986">
        <f>$C986*E985</f>
        <v/>
      </c>
      <c r="F986">
        <f>$C986*F985</f>
        <v/>
      </c>
      <c r="G986">
        <f>$C986*G985</f>
        <v/>
      </c>
      <c r="H986">
        <f>$C986*H985</f>
        <v/>
      </c>
      <c r="I986">
        <f>$C986*I985</f>
        <v/>
      </c>
      <c r="J986">
        <f>$C986*J985</f>
        <v/>
      </c>
      <c r="K986">
        <f>$C986*K985</f>
        <v/>
      </c>
      <c r="L986">
        <f>$C986*L985</f>
        <v/>
      </c>
      <c r="M986">
        <f>$C986*M985</f>
        <v/>
      </c>
      <c r="N986">
        <f>$C986*N985</f>
        <v/>
      </c>
      <c r="O986">
        <f>$C986*O985</f>
        <v/>
      </c>
      <c r="P986">
        <f>$C986*P985</f>
        <v/>
      </c>
      <c r="Q986">
        <f>$C986*Q985</f>
        <v/>
      </c>
      <c r="R986">
        <f>$C986*R985</f>
        <v/>
      </c>
      <c r="S986">
        <f>$C986*S985</f>
        <v/>
      </c>
      <c r="T986">
        <f>$C986*T985</f>
        <v/>
      </c>
      <c r="U986">
        <f>$C986*U985</f>
        <v/>
      </c>
      <c r="V986">
        <f>$C986*V985</f>
        <v/>
      </c>
      <c r="W986">
        <f>$C986*W985</f>
        <v/>
      </c>
      <c r="X986">
        <f>$C986*X985</f>
        <v/>
      </c>
      <c r="Y986">
        <f>$C986*Y985</f>
        <v/>
      </c>
      <c r="Z986">
        <f>$C986*Z985</f>
        <v/>
      </c>
      <c r="AA986">
        <f>$C986*AA985</f>
        <v/>
      </c>
      <c r="AB986">
        <f>$C986*AB985</f>
        <v/>
      </c>
      <c r="AC986">
        <f>$C986*AC985</f>
        <v/>
      </c>
      <c r="AD986">
        <f>$C986*AD985</f>
        <v/>
      </c>
      <c r="AE986">
        <f>$C986*AE985</f>
        <v/>
      </c>
      <c r="AF986">
        <f>$C986*AF985</f>
        <v/>
      </c>
      <c r="AG986">
        <f>$C986*AG985</f>
        <v/>
      </c>
      <c r="AH986">
        <f>$C986*AH985</f>
        <v/>
      </c>
      <c r="AI986">
        <f>$C986*AI985</f>
        <v/>
      </c>
      <c r="AJ986">
        <f>$C986*AJ985</f>
        <v/>
      </c>
      <c r="AK986">
        <f>$C986*AK985</f>
        <v/>
      </c>
      <c r="AL986">
        <f>$C986*AL985</f>
        <v/>
      </c>
      <c r="AM986">
        <f>$C986*AM985</f>
        <v/>
      </c>
      <c r="AN986">
        <f>$C986*AN985</f>
        <v/>
      </c>
      <c r="AO986">
        <f>$C986*AO985</f>
        <v/>
      </c>
      <c r="AP986">
        <f>$C986*AP985</f>
        <v/>
      </c>
      <c r="AQ986">
        <f>$C986*AQ985</f>
        <v/>
      </c>
      <c r="AR986">
        <f>$C986*AR985</f>
        <v/>
      </c>
      <c r="AS986">
        <f>$C986*AS985</f>
        <v/>
      </c>
      <c r="AT986">
        <f>$C986*AT985</f>
        <v/>
      </c>
      <c r="AU986">
        <f>$C986*AU985</f>
        <v/>
      </c>
      <c r="AV986">
        <f>$C986*AV985</f>
        <v/>
      </c>
      <c r="AW986">
        <f>$C986*AW985</f>
        <v/>
      </c>
      <c r="AX986">
        <f>$C986*AX985</f>
        <v/>
      </c>
      <c r="AY986">
        <f>$C986*AY985</f>
        <v/>
      </c>
      <c r="AZ986">
        <f>$C986*AZ985</f>
        <v/>
      </c>
      <c r="BA986">
        <f>$C986*BA985</f>
        <v/>
      </c>
      <c r="BB986">
        <f>$C986*BB985</f>
        <v/>
      </c>
      <c r="BC986">
        <f>$C986*BC985</f>
        <v/>
      </c>
      <c r="BD986">
        <f>$C986*BD985</f>
        <v/>
      </c>
      <c r="BE986">
        <f>$C986*BE985</f>
        <v/>
      </c>
      <c r="BF986">
        <f>$C986*BF985</f>
        <v/>
      </c>
      <c r="BG986">
        <f>$C986*BG985</f>
        <v/>
      </c>
      <c r="BH986">
        <f>$C986*BH985</f>
        <v/>
      </c>
      <c r="BI986">
        <f>$C986*BI985</f>
        <v/>
      </c>
      <c r="BJ986">
        <f>$C986*BJ985</f>
        <v/>
      </c>
      <c r="BK986">
        <f>$C986*BK985</f>
        <v/>
      </c>
      <c r="BL986">
        <f>$C986*BL985</f>
        <v/>
      </c>
      <c r="BM986">
        <f>$C986*BM985</f>
        <v/>
      </c>
      <c r="BN986">
        <f>$C986*BN985</f>
        <v/>
      </c>
      <c r="BO986">
        <f>$C986*BO985</f>
        <v/>
      </c>
      <c r="BP986">
        <f>$C986*BP985</f>
        <v/>
      </c>
      <c r="BQ986">
        <f>$C986*BQ985</f>
        <v/>
      </c>
      <c r="BR986">
        <f>$C986*BR985</f>
        <v/>
      </c>
      <c r="BS986">
        <f>$C986*BS985</f>
        <v/>
      </c>
      <c r="BT986">
        <f>$C986*BT985</f>
        <v/>
      </c>
      <c r="BU986">
        <f>$C986*BU985</f>
        <v/>
      </c>
      <c r="BV986">
        <f>$C986*BV985</f>
        <v/>
      </c>
      <c r="BW986">
        <f>$C986*BW985</f>
        <v/>
      </c>
      <c r="BX986">
        <f>$C986*BX985</f>
        <v/>
      </c>
      <c r="BY986">
        <f>$C986*BY985</f>
        <v/>
      </c>
      <c r="BZ986">
        <f>$C986*BZ985</f>
        <v/>
      </c>
      <c r="CA986">
        <f>$C986*CA985</f>
        <v/>
      </c>
      <c r="CB986">
        <f>$C986*CB985</f>
        <v/>
      </c>
      <c r="CC986">
        <f>$C986*CC985</f>
        <v/>
      </c>
      <c r="CD986">
        <f>$C986*CD985</f>
        <v/>
      </c>
      <c r="CE986">
        <f>$C986*CE985</f>
        <v/>
      </c>
      <c r="CF986">
        <f>$C986*CF985</f>
        <v/>
      </c>
      <c r="CG986">
        <f>$C986*CG985</f>
        <v/>
      </c>
      <c r="CH986">
        <f>$C986*CH985</f>
        <v/>
      </c>
      <c r="CI986">
        <f>$C986*CI985</f>
        <v/>
      </c>
      <c r="CJ986">
        <f>$C986*CJ985</f>
        <v/>
      </c>
      <c r="CK986">
        <f>$C986*CK985</f>
        <v/>
      </c>
      <c r="CL986">
        <f>$C986*CL985</f>
        <v/>
      </c>
      <c r="CM986">
        <f>$C986*CM985</f>
        <v/>
      </c>
      <c r="CN986">
        <f>$C986*CN985</f>
        <v/>
      </c>
      <c r="CO986">
        <f>$C986*CO985</f>
        <v/>
      </c>
      <c r="CP986">
        <f>$C986*CP985</f>
        <v/>
      </c>
      <c r="CQ986">
        <f>$C986*CQ985</f>
        <v/>
      </c>
      <c r="CR986">
        <f>$C986*CR985</f>
        <v/>
      </c>
      <c r="CS986">
        <f>$C986*CS985</f>
        <v/>
      </c>
      <c r="CT986">
        <f>$C986*CT985</f>
        <v/>
      </c>
      <c r="CU986">
        <f>$C986*CU985</f>
        <v/>
      </c>
      <c r="CV986">
        <f>$C986*CV985</f>
        <v/>
      </c>
      <c r="CW986">
        <f>$C986*CW985</f>
        <v/>
      </c>
      <c r="CX986">
        <f>$C986*CX985</f>
        <v/>
      </c>
      <c r="CY986">
        <f>$C986*CY985</f>
        <v/>
      </c>
      <c r="CZ986">
        <f>$C986*CZ985</f>
        <v/>
      </c>
      <c r="DA986">
        <f>$C986*DA985</f>
        <v/>
      </c>
      <c r="DB986">
        <f>$C986*DB985</f>
        <v/>
      </c>
      <c r="DC986">
        <f>$C986*DC985</f>
        <v/>
      </c>
    </row>
    <row r="987">
      <c r="B987" t="inlineStr">
        <is>
          <t>No of times used</t>
        </is>
      </c>
      <c r="C987" t="inlineStr">
        <is>
          <t>No. of batches</t>
        </is>
      </c>
      <c r="D987">
        <f>IFERROR(INDEX(PP_Grid[#Data],$DD987,2),0)</f>
        <v/>
      </c>
      <c r="E987">
        <f>IFERROR(INDEX(PP_Grid[#Data],$DD987,3),0)</f>
        <v/>
      </c>
      <c r="F987">
        <f>IFERROR(INDEX(PP_Grid[#Data],$DD987,4),0)</f>
        <v/>
      </c>
      <c r="G987">
        <f>IFERROR(INDEX(PP_Grid[#Data],$DD987,5),0)</f>
        <v/>
      </c>
      <c r="H987">
        <f>IFERROR(INDEX(PP_Grid[#Data],$DD987,6),0)</f>
        <v/>
      </c>
      <c r="I987">
        <f>IFERROR(INDEX(PP_Grid[#Data],$DD987,7),0)</f>
        <v/>
      </c>
      <c r="J987">
        <f>IFERROR(INDEX(PP_Grid[#Data],$DD987,8),0)</f>
        <v/>
      </c>
      <c r="K987">
        <f>IFERROR(INDEX(PP_Grid[#Data],$DD987,9),0)</f>
        <v/>
      </c>
      <c r="L987">
        <f>IFERROR(INDEX(PP_Grid[#Data],$DD987,10),0)</f>
        <v/>
      </c>
      <c r="M987">
        <f>IFERROR(INDEX(PP_Grid[#Data],$DD987,11),0)</f>
        <v/>
      </c>
      <c r="N987">
        <f>IFERROR(INDEX(PP_Grid[#Data],$DD987,12),0)</f>
        <v/>
      </c>
      <c r="O987">
        <f>IFERROR(INDEX(PP_Grid[#Data],$DD987,13),0)</f>
        <v/>
      </c>
      <c r="P987">
        <f>IFERROR(INDEX(PP_Grid[#Data],$DD987,14),0)</f>
        <v/>
      </c>
      <c r="Q987">
        <f>IFERROR(INDEX(PP_Grid[#Data],$DD987,15),0)</f>
        <v/>
      </c>
      <c r="R987">
        <f>IFERROR(INDEX(PP_Grid[#Data],$DD987,16),0)</f>
        <v/>
      </c>
      <c r="S987">
        <f>IFERROR(INDEX(PP_Grid[#Data],$DD987,17),0)</f>
        <v/>
      </c>
      <c r="T987">
        <f>IFERROR(INDEX(PP_Grid[#Data],$DD987,18),0)</f>
        <v/>
      </c>
      <c r="U987">
        <f>IFERROR(INDEX(PP_Grid[#Data],$DD987,19),0)</f>
        <v/>
      </c>
      <c r="V987">
        <f>IFERROR(INDEX(PP_Grid[#Data],$DD987,20),0)</f>
        <v/>
      </c>
      <c r="W987">
        <f>IFERROR(INDEX(PP_Grid[#Data],$DD987,21),0)</f>
        <v/>
      </c>
      <c r="X987">
        <f>IFERROR(INDEX(PP_Grid[#Data],$DD987,22),0)</f>
        <v/>
      </c>
      <c r="Y987">
        <f>IFERROR(INDEX(PP_Grid[#Data],$DD987,23),0)</f>
        <v/>
      </c>
      <c r="Z987">
        <f>IFERROR(INDEX(PP_Grid[#Data],$DD987,24),0)</f>
        <v/>
      </c>
      <c r="AA987">
        <f>IFERROR(INDEX(PP_Grid[#Data],$DD987,25),0)</f>
        <v/>
      </c>
      <c r="AB987">
        <f>IFERROR(INDEX(PP_Grid[#Data],$DD987,26),0)</f>
        <v/>
      </c>
      <c r="AC987">
        <f>IFERROR(INDEX(PP_Grid[#Data],$DD987,27),0)</f>
        <v/>
      </c>
      <c r="AD987">
        <f>IFERROR(INDEX(PP_Grid[#Data],$DD987,28),0)</f>
        <v/>
      </c>
      <c r="AE987">
        <f>IFERROR(INDEX(PP_Grid[#Data],$DD987,29),0)</f>
        <v/>
      </c>
      <c r="AF987">
        <f>IFERROR(INDEX(PP_Grid[#Data],$DD987,30),0)</f>
        <v/>
      </c>
      <c r="AG987">
        <f>IFERROR(INDEX(PP_Grid[#Data],$DD987,31),0)</f>
        <v/>
      </c>
      <c r="AH987">
        <f>IFERROR(INDEX(PP_Grid[#Data],$DD987,32),0)</f>
        <v/>
      </c>
      <c r="AI987">
        <f>IFERROR(INDEX(PP_Grid[#Data],$DD987,33),0)</f>
        <v/>
      </c>
      <c r="AJ987">
        <f>IFERROR(INDEX(PP_Grid[#Data],$DD987,34),0)</f>
        <v/>
      </c>
      <c r="AK987">
        <f>IFERROR(INDEX(PP_Grid[#Data],$DD987,35),0)</f>
        <v/>
      </c>
      <c r="AL987">
        <f>IFERROR(INDEX(PP_Grid[#Data],$DD987,36),0)</f>
        <v/>
      </c>
      <c r="AM987">
        <f>IFERROR(INDEX(PP_Grid[#Data],$DD987,37),0)</f>
        <v/>
      </c>
      <c r="AN987">
        <f>IFERROR(INDEX(PP_Grid[#Data],$DD987,38),0)</f>
        <v/>
      </c>
      <c r="AO987">
        <f>IFERROR(INDEX(PP_Grid[#Data],$DD987,39),0)</f>
        <v/>
      </c>
      <c r="AP987">
        <f>IFERROR(INDEX(PP_Grid[#Data],$DD987,40),0)</f>
        <v/>
      </c>
      <c r="AQ987">
        <f>IFERROR(INDEX(PP_Grid[#Data],$DD987,41),0)</f>
        <v/>
      </c>
      <c r="AR987">
        <f>IFERROR(INDEX(PP_Grid[#Data],$DD987,42),0)</f>
        <v/>
      </c>
      <c r="AS987">
        <f>IFERROR(INDEX(PP_Grid[#Data],$DD987,43),0)</f>
        <v/>
      </c>
      <c r="AT987">
        <f>IFERROR(INDEX(PP_Grid[#Data],$DD987,44),0)</f>
        <v/>
      </c>
      <c r="AU987">
        <f>IFERROR(INDEX(PP_Grid[#Data],$DD987,45),0)</f>
        <v/>
      </c>
      <c r="AV987">
        <f>IFERROR(INDEX(PP_Grid[#Data],$DD987,46),0)</f>
        <v/>
      </c>
      <c r="AW987">
        <f>IFERROR(INDEX(PP_Grid[#Data],$DD987,47),0)</f>
        <v/>
      </c>
      <c r="AX987">
        <f>IFERROR(INDEX(PP_Grid[#Data],$DD987,48),0)</f>
        <v/>
      </c>
      <c r="AY987">
        <f>IFERROR(INDEX(PP_Grid[#Data],$DD987,49),0)</f>
        <v/>
      </c>
      <c r="AZ987">
        <f>IFERROR(INDEX(PP_Grid[#Data],$DD987,50),0)</f>
        <v/>
      </c>
      <c r="BA987">
        <f>IFERROR(INDEX(PP_Grid[#Data],$DD987,51),0)</f>
        <v/>
      </c>
      <c r="BB987">
        <f>IFERROR(INDEX(PP_Grid[#Data],$DD987,52),0)</f>
        <v/>
      </c>
      <c r="BC987">
        <f>IFERROR(INDEX(PP_Grid[#Data],$DD987,53),0)</f>
        <v/>
      </c>
      <c r="BD987">
        <f>IFERROR(INDEX(PP_Grid[#Data],$DD987,54),0)</f>
        <v/>
      </c>
      <c r="BE987">
        <f>IFERROR(INDEX(PP_Grid[#Data],$DD987,55),0)</f>
        <v/>
      </c>
      <c r="BF987">
        <f>IFERROR(INDEX(PP_Grid[#Data],$DD987,56),0)</f>
        <v/>
      </c>
      <c r="BG987">
        <f>IFERROR(INDEX(PP_Grid[#Data],$DD987,57),0)</f>
        <v/>
      </c>
      <c r="BH987">
        <f>IFERROR(INDEX(PP_Grid[#Data],$DD987,58),0)</f>
        <v/>
      </c>
      <c r="BI987">
        <f>IFERROR(INDEX(PP_Grid[#Data],$DD987,59),0)</f>
        <v/>
      </c>
      <c r="BJ987">
        <f>IFERROR(INDEX(PP_Grid[#Data],$DD987,60),0)</f>
        <v/>
      </c>
      <c r="BK987">
        <f>IFERROR(INDEX(PP_Grid[#Data],$DD987,61),0)</f>
        <v/>
      </c>
      <c r="BL987">
        <f>IFERROR(INDEX(PP_Grid[#Data],$DD987,62),0)</f>
        <v/>
      </c>
      <c r="BM987">
        <f>IFERROR(INDEX(PP_Grid[#Data],$DD987,63),0)</f>
        <v/>
      </c>
      <c r="BN987">
        <f>IFERROR(INDEX(PP_Grid[#Data],$DD987,64),0)</f>
        <v/>
      </c>
      <c r="BO987">
        <f>IFERROR(INDEX(PP_Grid[#Data],$DD987,65),0)</f>
        <v/>
      </c>
      <c r="BP987">
        <f>IFERROR(INDEX(PP_Grid[#Data],$DD987,66),0)</f>
        <v/>
      </c>
      <c r="BQ987">
        <f>IFERROR(INDEX(PP_Grid[#Data],$DD987,67),0)</f>
        <v/>
      </c>
      <c r="BR987">
        <f>IFERROR(INDEX(PP_Grid[#Data],$DD987,68),0)</f>
        <v/>
      </c>
      <c r="BS987">
        <f>IFERROR(INDEX(PP_Grid[#Data],$DD987,69),0)</f>
        <v/>
      </c>
      <c r="BT987">
        <f>IFERROR(INDEX(PP_Grid[#Data],$DD987,70),0)</f>
        <v/>
      </c>
      <c r="BU987">
        <f>IFERROR(INDEX(PP_Grid[#Data],$DD987,71),0)</f>
        <v/>
      </c>
      <c r="BV987">
        <f>IFERROR(INDEX(PP_Grid[#Data],$DD987,72),0)</f>
        <v/>
      </c>
      <c r="BW987">
        <f>IFERROR(INDEX(PP_Grid[#Data],$DD987,73),0)</f>
        <v/>
      </c>
      <c r="BX987">
        <f>IFERROR(INDEX(PP_Grid[#Data],$DD987,74),0)</f>
        <v/>
      </c>
      <c r="BY987">
        <f>IFERROR(INDEX(PP_Grid[#Data],$DD987,75),0)</f>
        <v/>
      </c>
      <c r="BZ987">
        <f>IFERROR(INDEX(PP_Grid[#Data],$DD987,76),0)</f>
        <v/>
      </c>
      <c r="CA987">
        <f>IFERROR(INDEX(PP_Grid[#Data],$DD987,77),0)</f>
        <v/>
      </c>
      <c r="CB987">
        <f>IFERROR(INDEX(PP_Grid[#Data],$DD987,78),0)</f>
        <v/>
      </c>
      <c r="CC987">
        <f>IFERROR(INDEX(PP_Grid[#Data],$DD987,79),0)</f>
        <v/>
      </c>
      <c r="CD987">
        <f>IFERROR(INDEX(PP_Grid[#Data],$DD987,80),0)</f>
        <v/>
      </c>
      <c r="CE987">
        <f>IFERROR(INDEX(PP_Grid[#Data],$DD987,81),0)</f>
        <v/>
      </c>
      <c r="CF987">
        <f>IFERROR(INDEX(PP_Grid[#Data],$DD987,82),0)</f>
        <v/>
      </c>
      <c r="CG987">
        <f>IFERROR(INDEX(PP_Grid[#Data],$DD987,83),0)</f>
        <v/>
      </c>
      <c r="CH987">
        <f>IFERROR(INDEX(PP_Grid[#Data],$DD987,84),0)</f>
        <v/>
      </c>
      <c r="CI987">
        <f>IFERROR(INDEX(PP_Grid[#Data],$DD987,85),0)</f>
        <v/>
      </c>
      <c r="CJ987">
        <f>IFERROR(INDEX(PP_Grid[#Data],$DD987,86),0)</f>
        <v/>
      </c>
      <c r="CK987">
        <f>IFERROR(INDEX(PP_Grid[#Data],$DD987,87),0)</f>
        <v/>
      </c>
      <c r="CL987">
        <f>IFERROR(INDEX(PP_Grid[#Data],$DD987,88),0)</f>
        <v/>
      </c>
      <c r="CM987">
        <f>IFERROR(INDEX(PP_Grid[#Data],$DD987,89),0)</f>
        <v/>
      </c>
      <c r="CN987">
        <f>IFERROR(INDEX(PP_Grid[#Data],$DD987,90),0)</f>
        <v/>
      </c>
      <c r="CO987">
        <f>IFERROR(INDEX(PP_Grid[#Data],$DD987,91),0)</f>
        <v/>
      </c>
      <c r="CP987">
        <f>IFERROR(INDEX(PP_Grid[#Data],$DD987,92),0)</f>
        <v/>
      </c>
      <c r="CQ987">
        <f>IFERROR(INDEX(PP_Grid[#Data],$DD987,93),0)</f>
        <v/>
      </c>
      <c r="CR987">
        <f>IFERROR(INDEX(PP_Grid[#Data],$DD987,94),0)</f>
        <v/>
      </c>
      <c r="CS987">
        <f>IFERROR(INDEX(PP_Grid[#Data],$DD987,95),0)</f>
        <v/>
      </c>
      <c r="CT987">
        <f>IFERROR(INDEX(PP_Grid[#Data],$DD987,96),0)</f>
        <v/>
      </c>
      <c r="CU987">
        <f>IFERROR(INDEX(PP_Grid[#Data],$DD987,97),0)</f>
        <v/>
      </c>
      <c r="CV987">
        <f>IFERROR(INDEX(PP_Grid[#Data],$DD987,98),0)</f>
        <v/>
      </c>
      <c r="CW987">
        <f>IFERROR(INDEX(PP_Grid[#Data],$DD987,99),0)</f>
        <v/>
      </c>
      <c r="CX987">
        <f>IFERROR(INDEX(PP_Grid[#Data],$DD987,100),0)</f>
        <v/>
      </c>
      <c r="CY987">
        <f>IFERROR(INDEX(PP_Grid[#Data],$DD987,101),0)</f>
        <v/>
      </c>
      <c r="CZ987">
        <f>IFERROR(INDEX(PP_Grid[#Data],$DD987,102),0)</f>
        <v/>
      </c>
      <c r="DA987">
        <f>IFERROR(INDEX(PP_Grid[#Data],$DD987,103),0)</f>
        <v/>
      </c>
      <c r="DB987">
        <f>IFERROR(INDEX(PP_Grid[#Data],$DD987,104),0)</f>
        <v/>
      </c>
      <c r="DC987">
        <f>IFERROR(INDEX(PP_Grid[#Data],$DD987,105),0)</f>
        <v/>
      </c>
      <c r="DD987" s="7">
        <f>IFERROR(MATCH($B987,PP_Grid[Intermediate],0),99999)</f>
        <v/>
      </c>
    </row>
    <row r="988">
      <c r="B988" t="inlineStr">
        <is>
          <t>使用量(kg)</t>
        </is>
      </c>
      <c r="C988">
        <f>SUMIFS(M_BOM[RM_Qty_Per_Batch],M_BOM[Intermediate],$B987,M_BOM[Part Name],$A982)</f>
        <v/>
      </c>
      <c r="D988">
        <f>$C988*D987</f>
        <v/>
      </c>
      <c r="E988">
        <f>$C988*E987</f>
        <v/>
      </c>
      <c r="F988">
        <f>$C988*F987</f>
        <v/>
      </c>
      <c r="G988">
        <f>$C988*G987</f>
        <v/>
      </c>
      <c r="H988">
        <f>$C988*H987</f>
        <v/>
      </c>
      <c r="I988">
        <f>$C988*I987</f>
        <v/>
      </c>
      <c r="J988">
        <f>$C988*J987</f>
        <v/>
      </c>
      <c r="K988">
        <f>$C988*K987</f>
        <v/>
      </c>
      <c r="L988">
        <f>$C988*L987</f>
        <v/>
      </c>
      <c r="M988">
        <f>$C988*M987</f>
        <v/>
      </c>
      <c r="N988">
        <f>$C988*N987</f>
        <v/>
      </c>
      <c r="O988">
        <f>$C988*O987</f>
        <v/>
      </c>
      <c r="P988">
        <f>$C988*P987</f>
        <v/>
      </c>
      <c r="Q988">
        <f>$C988*Q987</f>
        <v/>
      </c>
      <c r="R988">
        <f>$C988*R987</f>
        <v/>
      </c>
      <c r="S988">
        <f>$C988*S987</f>
        <v/>
      </c>
      <c r="T988">
        <f>$C988*T987</f>
        <v/>
      </c>
      <c r="U988">
        <f>$C988*U987</f>
        <v/>
      </c>
      <c r="V988">
        <f>$C988*V987</f>
        <v/>
      </c>
      <c r="W988">
        <f>$C988*W987</f>
        <v/>
      </c>
      <c r="X988">
        <f>$C988*X987</f>
        <v/>
      </c>
      <c r="Y988">
        <f>$C988*Y987</f>
        <v/>
      </c>
      <c r="Z988">
        <f>$C988*Z987</f>
        <v/>
      </c>
      <c r="AA988">
        <f>$C988*AA987</f>
        <v/>
      </c>
      <c r="AB988">
        <f>$C988*AB987</f>
        <v/>
      </c>
      <c r="AC988">
        <f>$C988*AC987</f>
        <v/>
      </c>
      <c r="AD988">
        <f>$C988*AD987</f>
        <v/>
      </c>
      <c r="AE988">
        <f>$C988*AE987</f>
        <v/>
      </c>
      <c r="AF988">
        <f>$C988*AF987</f>
        <v/>
      </c>
      <c r="AG988">
        <f>$C988*AG987</f>
        <v/>
      </c>
      <c r="AH988">
        <f>$C988*AH987</f>
        <v/>
      </c>
      <c r="AI988">
        <f>$C988*AI987</f>
        <v/>
      </c>
      <c r="AJ988">
        <f>$C988*AJ987</f>
        <v/>
      </c>
      <c r="AK988">
        <f>$C988*AK987</f>
        <v/>
      </c>
      <c r="AL988">
        <f>$C988*AL987</f>
        <v/>
      </c>
      <c r="AM988">
        <f>$C988*AM987</f>
        <v/>
      </c>
      <c r="AN988">
        <f>$C988*AN987</f>
        <v/>
      </c>
      <c r="AO988">
        <f>$C988*AO987</f>
        <v/>
      </c>
      <c r="AP988">
        <f>$C988*AP987</f>
        <v/>
      </c>
      <c r="AQ988">
        <f>$C988*AQ987</f>
        <v/>
      </c>
      <c r="AR988">
        <f>$C988*AR987</f>
        <v/>
      </c>
      <c r="AS988">
        <f>$C988*AS987</f>
        <v/>
      </c>
      <c r="AT988">
        <f>$C988*AT987</f>
        <v/>
      </c>
      <c r="AU988">
        <f>$C988*AU987</f>
        <v/>
      </c>
      <c r="AV988">
        <f>$C988*AV987</f>
        <v/>
      </c>
      <c r="AW988">
        <f>$C988*AW987</f>
        <v/>
      </c>
      <c r="AX988">
        <f>$C988*AX987</f>
        <v/>
      </c>
      <c r="AY988">
        <f>$C988*AY987</f>
        <v/>
      </c>
      <c r="AZ988">
        <f>$C988*AZ987</f>
        <v/>
      </c>
      <c r="BA988">
        <f>$C988*BA987</f>
        <v/>
      </c>
      <c r="BB988">
        <f>$C988*BB987</f>
        <v/>
      </c>
      <c r="BC988">
        <f>$C988*BC987</f>
        <v/>
      </c>
      <c r="BD988">
        <f>$C988*BD987</f>
        <v/>
      </c>
      <c r="BE988">
        <f>$C988*BE987</f>
        <v/>
      </c>
      <c r="BF988">
        <f>$C988*BF987</f>
        <v/>
      </c>
      <c r="BG988">
        <f>$C988*BG987</f>
        <v/>
      </c>
      <c r="BH988">
        <f>$C988*BH987</f>
        <v/>
      </c>
      <c r="BI988">
        <f>$C988*BI987</f>
        <v/>
      </c>
      <c r="BJ988">
        <f>$C988*BJ987</f>
        <v/>
      </c>
      <c r="BK988">
        <f>$C988*BK987</f>
        <v/>
      </c>
      <c r="BL988">
        <f>$C988*BL987</f>
        <v/>
      </c>
      <c r="BM988">
        <f>$C988*BM987</f>
        <v/>
      </c>
      <c r="BN988">
        <f>$C988*BN987</f>
        <v/>
      </c>
      <c r="BO988">
        <f>$C988*BO987</f>
        <v/>
      </c>
      <c r="BP988">
        <f>$C988*BP987</f>
        <v/>
      </c>
      <c r="BQ988">
        <f>$C988*BQ987</f>
        <v/>
      </c>
      <c r="BR988">
        <f>$C988*BR987</f>
        <v/>
      </c>
      <c r="BS988">
        <f>$C988*BS987</f>
        <v/>
      </c>
      <c r="BT988">
        <f>$C988*BT987</f>
        <v/>
      </c>
      <c r="BU988">
        <f>$C988*BU987</f>
        <v/>
      </c>
      <c r="BV988">
        <f>$C988*BV987</f>
        <v/>
      </c>
      <c r="BW988">
        <f>$C988*BW987</f>
        <v/>
      </c>
      <c r="BX988">
        <f>$C988*BX987</f>
        <v/>
      </c>
      <c r="BY988">
        <f>$C988*BY987</f>
        <v/>
      </c>
      <c r="BZ988">
        <f>$C988*BZ987</f>
        <v/>
      </c>
      <c r="CA988">
        <f>$C988*CA987</f>
        <v/>
      </c>
      <c r="CB988">
        <f>$C988*CB987</f>
        <v/>
      </c>
      <c r="CC988">
        <f>$C988*CC987</f>
        <v/>
      </c>
      <c r="CD988">
        <f>$C988*CD987</f>
        <v/>
      </c>
      <c r="CE988">
        <f>$C988*CE987</f>
        <v/>
      </c>
      <c r="CF988">
        <f>$C988*CF987</f>
        <v/>
      </c>
      <c r="CG988">
        <f>$C988*CG987</f>
        <v/>
      </c>
      <c r="CH988">
        <f>$C988*CH987</f>
        <v/>
      </c>
      <c r="CI988">
        <f>$C988*CI987</f>
        <v/>
      </c>
      <c r="CJ988">
        <f>$C988*CJ987</f>
        <v/>
      </c>
      <c r="CK988">
        <f>$C988*CK987</f>
        <v/>
      </c>
      <c r="CL988">
        <f>$C988*CL987</f>
        <v/>
      </c>
      <c r="CM988">
        <f>$C988*CM987</f>
        <v/>
      </c>
      <c r="CN988">
        <f>$C988*CN987</f>
        <v/>
      </c>
      <c r="CO988">
        <f>$C988*CO987</f>
        <v/>
      </c>
      <c r="CP988">
        <f>$C988*CP987</f>
        <v/>
      </c>
      <c r="CQ988">
        <f>$C988*CQ987</f>
        <v/>
      </c>
      <c r="CR988">
        <f>$C988*CR987</f>
        <v/>
      </c>
      <c r="CS988">
        <f>$C988*CS987</f>
        <v/>
      </c>
      <c r="CT988">
        <f>$C988*CT987</f>
        <v/>
      </c>
      <c r="CU988">
        <f>$C988*CU987</f>
        <v/>
      </c>
      <c r="CV988">
        <f>$C988*CV987</f>
        <v/>
      </c>
      <c r="CW988">
        <f>$C988*CW987</f>
        <v/>
      </c>
      <c r="CX988">
        <f>$C988*CX987</f>
        <v/>
      </c>
      <c r="CY988">
        <f>$C988*CY987</f>
        <v/>
      </c>
      <c r="CZ988">
        <f>$C988*CZ987</f>
        <v/>
      </c>
      <c r="DA988">
        <f>$C988*DA987</f>
        <v/>
      </c>
      <c r="DB988">
        <f>$C988*DB987</f>
        <v/>
      </c>
      <c r="DC988">
        <f>$C988*DC987</f>
        <v/>
      </c>
    </row>
    <row r="989">
      <c r="B989" s="4" t="inlineStr">
        <is>
          <t>合計使用量(kg)/週</t>
        </is>
      </c>
      <c r="D989">
        <f>'Grid_Requirement'!B31</f>
        <v/>
      </c>
      <c r="E989">
        <f>'Grid_Requirement'!C31</f>
        <v/>
      </c>
      <c r="F989">
        <f>'Grid_Requirement'!D31</f>
        <v/>
      </c>
      <c r="G989">
        <f>'Grid_Requirement'!E31</f>
        <v/>
      </c>
      <c r="H989">
        <f>'Grid_Requirement'!F31</f>
        <v/>
      </c>
      <c r="I989">
        <f>'Grid_Requirement'!G31</f>
        <v/>
      </c>
      <c r="J989">
        <f>'Grid_Requirement'!H31</f>
        <v/>
      </c>
      <c r="K989">
        <f>'Grid_Requirement'!I31</f>
        <v/>
      </c>
      <c r="L989">
        <f>'Grid_Requirement'!J31</f>
        <v/>
      </c>
      <c r="M989">
        <f>'Grid_Requirement'!K31</f>
        <v/>
      </c>
      <c r="N989">
        <f>'Grid_Requirement'!L31</f>
        <v/>
      </c>
      <c r="O989">
        <f>'Grid_Requirement'!M31</f>
        <v/>
      </c>
      <c r="P989">
        <f>'Grid_Requirement'!N31</f>
        <v/>
      </c>
      <c r="Q989">
        <f>'Grid_Requirement'!O31</f>
        <v/>
      </c>
      <c r="R989">
        <f>'Grid_Requirement'!P31</f>
        <v/>
      </c>
      <c r="S989">
        <f>'Grid_Requirement'!Q31</f>
        <v/>
      </c>
      <c r="T989">
        <f>'Grid_Requirement'!R31</f>
        <v/>
      </c>
      <c r="U989">
        <f>'Grid_Requirement'!S31</f>
        <v/>
      </c>
      <c r="V989">
        <f>'Grid_Requirement'!T31</f>
        <v/>
      </c>
      <c r="W989">
        <f>'Grid_Requirement'!U31</f>
        <v/>
      </c>
      <c r="X989">
        <f>'Grid_Requirement'!V31</f>
        <v/>
      </c>
      <c r="Y989">
        <f>'Grid_Requirement'!W31</f>
        <v/>
      </c>
      <c r="Z989">
        <f>'Grid_Requirement'!X31</f>
        <v/>
      </c>
      <c r="AA989">
        <f>'Grid_Requirement'!Y31</f>
        <v/>
      </c>
      <c r="AB989">
        <f>'Grid_Requirement'!Z31</f>
        <v/>
      </c>
      <c r="AC989">
        <f>'Grid_Requirement'!AA31</f>
        <v/>
      </c>
      <c r="AD989">
        <f>'Grid_Requirement'!AB31</f>
        <v/>
      </c>
      <c r="AE989">
        <f>'Grid_Requirement'!AC31</f>
        <v/>
      </c>
      <c r="AF989">
        <f>'Grid_Requirement'!AD31</f>
        <v/>
      </c>
      <c r="AG989">
        <f>'Grid_Requirement'!AE31</f>
        <v/>
      </c>
      <c r="AH989">
        <f>'Grid_Requirement'!AF31</f>
        <v/>
      </c>
      <c r="AI989">
        <f>'Grid_Requirement'!AG31</f>
        <v/>
      </c>
      <c r="AJ989">
        <f>'Grid_Requirement'!AH31</f>
        <v/>
      </c>
      <c r="AK989">
        <f>'Grid_Requirement'!AI31</f>
        <v/>
      </c>
      <c r="AL989">
        <f>'Grid_Requirement'!AJ31</f>
        <v/>
      </c>
      <c r="AM989">
        <f>'Grid_Requirement'!AK31</f>
        <v/>
      </c>
      <c r="AN989">
        <f>'Grid_Requirement'!AL31</f>
        <v/>
      </c>
      <c r="AO989">
        <f>'Grid_Requirement'!AM31</f>
        <v/>
      </c>
      <c r="AP989">
        <f>'Grid_Requirement'!AN31</f>
        <v/>
      </c>
      <c r="AQ989">
        <f>'Grid_Requirement'!AO31</f>
        <v/>
      </c>
      <c r="AR989">
        <f>'Grid_Requirement'!AP31</f>
        <v/>
      </c>
      <c r="AS989">
        <f>'Grid_Requirement'!AQ31</f>
        <v/>
      </c>
      <c r="AT989">
        <f>'Grid_Requirement'!AR31</f>
        <v/>
      </c>
      <c r="AU989">
        <f>'Grid_Requirement'!AS31</f>
        <v/>
      </c>
      <c r="AV989">
        <f>'Grid_Requirement'!AT31</f>
        <v/>
      </c>
      <c r="AW989">
        <f>'Grid_Requirement'!AU31</f>
        <v/>
      </c>
      <c r="AX989">
        <f>'Grid_Requirement'!AV31</f>
        <v/>
      </c>
      <c r="AY989">
        <f>'Grid_Requirement'!AW31</f>
        <v/>
      </c>
      <c r="AZ989">
        <f>'Grid_Requirement'!AX31</f>
        <v/>
      </c>
      <c r="BA989">
        <f>'Grid_Requirement'!AY31</f>
        <v/>
      </c>
      <c r="BB989">
        <f>'Grid_Requirement'!AZ31</f>
        <v/>
      </c>
      <c r="BC989">
        <f>'Grid_Requirement'!BA31</f>
        <v/>
      </c>
      <c r="BD989">
        <f>'Grid_Requirement'!BB31</f>
        <v/>
      </c>
      <c r="BE989">
        <f>'Grid_Requirement'!BC31</f>
        <v/>
      </c>
      <c r="BF989">
        <f>'Grid_Requirement'!BD31</f>
        <v/>
      </c>
      <c r="BG989">
        <f>'Grid_Requirement'!BE31</f>
        <v/>
      </c>
      <c r="BH989">
        <f>'Grid_Requirement'!BF31</f>
        <v/>
      </c>
      <c r="BI989">
        <f>'Grid_Requirement'!BG31</f>
        <v/>
      </c>
      <c r="BJ989">
        <f>'Grid_Requirement'!BH31</f>
        <v/>
      </c>
      <c r="BK989">
        <f>'Grid_Requirement'!BI31</f>
        <v/>
      </c>
      <c r="BL989">
        <f>'Grid_Requirement'!BJ31</f>
        <v/>
      </c>
      <c r="BM989">
        <f>'Grid_Requirement'!BK31</f>
        <v/>
      </c>
      <c r="BN989">
        <f>'Grid_Requirement'!BL31</f>
        <v/>
      </c>
      <c r="BO989">
        <f>'Grid_Requirement'!BM31</f>
        <v/>
      </c>
      <c r="BP989">
        <f>'Grid_Requirement'!BN31</f>
        <v/>
      </c>
      <c r="BQ989">
        <f>'Grid_Requirement'!BO31</f>
        <v/>
      </c>
      <c r="BR989">
        <f>'Grid_Requirement'!BP31</f>
        <v/>
      </c>
      <c r="BS989">
        <f>'Grid_Requirement'!BQ31</f>
        <v/>
      </c>
      <c r="BT989">
        <f>'Grid_Requirement'!BR31</f>
        <v/>
      </c>
      <c r="BU989">
        <f>'Grid_Requirement'!BS31</f>
        <v/>
      </c>
      <c r="BV989">
        <f>'Grid_Requirement'!BT31</f>
        <v/>
      </c>
      <c r="BW989">
        <f>'Grid_Requirement'!BU31</f>
        <v/>
      </c>
      <c r="BX989">
        <f>'Grid_Requirement'!BV31</f>
        <v/>
      </c>
      <c r="BY989">
        <f>'Grid_Requirement'!BW31</f>
        <v/>
      </c>
      <c r="BZ989">
        <f>'Grid_Requirement'!BX31</f>
        <v/>
      </c>
      <c r="CA989">
        <f>'Grid_Requirement'!BY31</f>
        <v/>
      </c>
      <c r="CB989">
        <f>'Grid_Requirement'!BZ31</f>
        <v/>
      </c>
      <c r="CC989">
        <f>'Grid_Requirement'!CA31</f>
        <v/>
      </c>
      <c r="CD989">
        <f>'Grid_Requirement'!CB31</f>
        <v/>
      </c>
      <c r="CE989">
        <f>'Grid_Requirement'!CC31</f>
        <v/>
      </c>
      <c r="CF989">
        <f>'Grid_Requirement'!CD31</f>
        <v/>
      </c>
      <c r="CG989">
        <f>'Grid_Requirement'!CE31</f>
        <v/>
      </c>
      <c r="CH989">
        <f>'Grid_Requirement'!CF31</f>
        <v/>
      </c>
      <c r="CI989">
        <f>'Grid_Requirement'!CG31</f>
        <v/>
      </c>
      <c r="CJ989">
        <f>'Grid_Requirement'!CH31</f>
        <v/>
      </c>
      <c r="CK989">
        <f>'Grid_Requirement'!CI31</f>
        <v/>
      </c>
      <c r="CL989">
        <f>'Grid_Requirement'!CJ31</f>
        <v/>
      </c>
      <c r="CM989">
        <f>'Grid_Requirement'!CK31</f>
        <v/>
      </c>
      <c r="CN989">
        <f>'Grid_Requirement'!CL31</f>
        <v/>
      </c>
      <c r="CO989">
        <f>'Grid_Requirement'!CM31</f>
        <v/>
      </c>
      <c r="CP989">
        <f>'Grid_Requirement'!CN31</f>
        <v/>
      </c>
      <c r="CQ989">
        <f>'Grid_Requirement'!CO31</f>
        <v/>
      </c>
      <c r="CR989">
        <f>'Grid_Requirement'!CP31</f>
        <v/>
      </c>
      <c r="CS989">
        <f>'Grid_Requirement'!CQ31</f>
        <v/>
      </c>
      <c r="CT989">
        <f>'Grid_Requirement'!CR31</f>
        <v/>
      </c>
      <c r="CU989">
        <f>'Grid_Requirement'!CS31</f>
        <v/>
      </c>
      <c r="CV989">
        <f>'Grid_Requirement'!CT31</f>
        <v/>
      </c>
      <c r="CW989">
        <f>'Grid_Requirement'!CU31</f>
        <v/>
      </c>
      <c r="CX989">
        <f>'Grid_Requirement'!CV31</f>
        <v/>
      </c>
      <c r="CY989">
        <f>'Grid_Requirement'!CW31</f>
        <v/>
      </c>
      <c r="CZ989">
        <f>'Grid_Requirement'!CX31</f>
        <v/>
      </c>
      <c r="DA989">
        <f>'Grid_Requirement'!CY31</f>
        <v/>
      </c>
      <c r="DB989">
        <f>'Grid_Requirement'!CZ31</f>
        <v/>
      </c>
      <c r="DC989">
        <f>'Grid_Requirement'!DA31</f>
        <v/>
      </c>
    </row>
    <row r="990">
      <c r="B990" t="inlineStr">
        <is>
          <t>TTAF在庫(実績,kg)</t>
        </is>
      </c>
      <c r="D990">
        <f>'T_TTAFStock'!B35</f>
        <v/>
      </c>
      <c r="E990">
        <f>'T_TTAFStock'!C35</f>
        <v/>
      </c>
      <c r="F990">
        <f>'T_TTAFStock'!D35</f>
        <v/>
      </c>
      <c r="G990">
        <f>'T_TTAFStock'!E35</f>
        <v/>
      </c>
      <c r="H990">
        <f>'T_TTAFStock'!F35</f>
        <v/>
      </c>
      <c r="I990">
        <f>'T_TTAFStock'!G35</f>
        <v/>
      </c>
      <c r="J990">
        <f>'T_TTAFStock'!H35</f>
        <v/>
      </c>
      <c r="K990">
        <f>'T_TTAFStock'!I35</f>
        <v/>
      </c>
      <c r="L990">
        <f>'T_TTAFStock'!J35</f>
        <v/>
      </c>
      <c r="M990">
        <f>'T_TTAFStock'!K35</f>
        <v/>
      </c>
      <c r="N990">
        <f>'T_TTAFStock'!L35</f>
        <v/>
      </c>
      <c r="O990">
        <f>'T_TTAFStock'!M35</f>
        <v/>
      </c>
      <c r="P990">
        <f>'T_TTAFStock'!N35</f>
        <v/>
      </c>
      <c r="Q990">
        <f>'T_TTAFStock'!O35</f>
        <v/>
      </c>
      <c r="R990">
        <f>'T_TTAFStock'!P35</f>
        <v/>
      </c>
      <c r="S990">
        <f>'T_TTAFStock'!Q35</f>
        <v/>
      </c>
      <c r="T990">
        <f>'T_TTAFStock'!R35</f>
        <v/>
      </c>
      <c r="U990">
        <f>'T_TTAFStock'!S35</f>
        <v/>
      </c>
      <c r="V990">
        <f>'T_TTAFStock'!T35</f>
        <v/>
      </c>
      <c r="W990">
        <f>'T_TTAFStock'!U35</f>
        <v/>
      </c>
      <c r="X990">
        <f>'T_TTAFStock'!V35</f>
        <v/>
      </c>
      <c r="Y990">
        <f>'T_TTAFStock'!W35</f>
        <v/>
      </c>
      <c r="Z990">
        <f>'T_TTAFStock'!X35</f>
        <v/>
      </c>
      <c r="AA990">
        <f>'T_TTAFStock'!Y35</f>
        <v/>
      </c>
      <c r="AB990">
        <f>'T_TTAFStock'!Z35</f>
        <v/>
      </c>
      <c r="AC990">
        <f>'T_TTAFStock'!AA35</f>
        <v/>
      </c>
      <c r="AD990">
        <f>'T_TTAFStock'!AB35</f>
        <v/>
      </c>
      <c r="AE990">
        <f>'T_TTAFStock'!AC35</f>
        <v/>
      </c>
      <c r="AF990">
        <f>'T_TTAFStock'!AD35</f>
        <v/>
      </c>
      <c r="AG990">
        <f>'T_TTAFStock'!AE35</f>
        <v/>
      </c>
      <c r="AH990">
        <f>'T_TTAFStock'!AF35</f>
        <v/>
      </c>
      <c r="AI990">
        <f>'T_TTAFStock'!AG35</f>
        <v/>
      </c>
      <c r="AJ990">
        <f>'T_TTAFStock'!AH35</f>
        <v/>
      </c>
      <c r="AK990">
        <f>'T_TTAFStock'!AI35</f>
        <v/>
      </c>
      <c r="AL990">
        <f>'T_TTAFStock'!AJ35</f>
        <v/>
      </c>
      <c r="AM990">
        <f>'T_TTAFStock'!AK35</f>
        <v/>
      </c>
      <c r="AN990">
        <f>'T_TTAFStock'!AL35</f>
        <v/>
      </c>
      <c r="AO990">
        <f>'T_TTAFStock'!AM35</f>
        <v/>
      </c>
      <c r="AP990">
        <f>'T_TTAFStock'!AN35</f>
        <v/>
      </c>
      <c r="AQ990">
        <f>'T_TTAFStock'!AO35</f>
        <v/>
      </c>
      <c r="AR990">
        <f>'T_TTAFStock'!AP35</f>
        <v/>
      </c>
      <c r="AS990">
        <f>'T_TTAFStock'!AQ35</f>
        <v/>
      </c>
      <c r="AT990">
        <f>'T_TTAFStock'!AR35</f>
        <v/>
      </c>
      <c r="AU990">
        <f>'T_TTAFStock'!AS35</f>
        <v/>
      </c>
      <c r="AV990">
        <f>'T_TTAFStock'!AT35</f>
        <v/>
      </c>
      <c r="AW990">
        <f>'T_TTAFStock'!AU35</f>
        <v/>
      </c>
      <c r="AX990">
        <f>'T_TTAFStock'!AV35</f>
        <v/>
      </c>
      <c r="AY990">
        <f>'T_TTAFStock'!AW35</f>
        <v/>
      </c>
      <c r="AZ990">
        <f>'T_TTAFStock'!AX35</f>
        <v/>
      </c>
      <c r="BA990">
        <f>'T_TTAFStock'!AY35</f>
        <v/>
      </c>
      <c r="BB990">
        <f>'T_TTAFStock'!AZ35</f>
        <v/>
      </c>
      <c r="BC990">
        <f>'T_TTAFStock'!BA35</f>
        <v/>
      </c>
      <c r="BD990">
        <f>'T_TTAFStock'!BB35</f>
        <v/>
      </c>
      <c r="BE990">
        <f>'T_TTAFStock'!BC35</f>
        <v/>
      </c>
      <c r="BF990">
        <f>'T_TTAFStock'!BD35</f>
        <v/>
      </c>
      <c r="BG990">
        <f>'T_TTAFStock'!BE35</f>
        <v/>
      </c>
      <c r="BH990">
        <f>'T_TTAFStock'!BF35</f>
        <v/>
      </c>
      <c r="BI990">
        <f>'T_TTAFStock'!BG35</f>
        <v/>
      </c>
      <c r="BJ990">
        <f>'T_TTAFStock'!BH35</f>
        <v/>
      </c>
      <c r="BK990">
        <f>'T_TTAFStock'!BI35</f>
        <v/>
      </c>
      <c r="BL990">
        <f>'T_TTAFStock'!BJ35</f>
        <v/>
      </c>
      <c r="BM990">
        <f>'T_TTAFStock'!BK35</f>
        <v/>
      </c>
      <c r="BN990">
        <f>'T_TTAFStock'!BL35</f>
        <v/>
      </c>
      <c r="BO990">
        <f>'T_TTAFStock'!BM35</f>
        <v/>
      </c>
      <c r="BP990">
        <f>'T_TTAFStock'!BN35</f>
        <v/>
      </c>
      <c r="BQ990">
        <f>'T_TTAFStock'!BO35</f>
        <v/>
      </c>
      <c r="BR990">
        <f>'T_TTAFStock'!BP35</f>
        <v/>
      </c>
      <c r="BS990">
        <f>'T_TTAFStock'!BQ35</f>
        <v/>
      </c>
      <c r="BT990">
        <f>'T_TTAFStock'!BR35</f>
        <v/>
      </c>
      <c r="BU990">
        <f>'T_TTAFStock'!BS35</f>
        <v/>
      </c>
      <c r="BV990">
        <f>'T_TTAFStock'!BT35</f>
        <v/>
      </c>
      <c r="BW990">
        <f>'T_TTAFStock'!BU35</f>
        <v/>
      </c>
      <c r="BX990">
        <f>'T_TTAFStock'!BV35</f>
        <v/>
      </c>
      <c r="BY990">
        <f>'T_TTAFStock'!BW35</f>
        <v/>
      </c>
      <c r="BZ990">
        <f>'T_TTAFStock'!BX35</f>
        <v/>
      </c>
      <c r="CA990">
        <f>'T_TTAFStock'!BY35</f>
        <v/>
      </c>
      <c r="CB990">
        <f>'T_TTAFStock'!BZ35</f>
        <v/>
      </c>
      <c r="CC990">
        <f>'T_TTAFStock'!CA35</f>
        <v/>
      </c>
      <c r="CD990">
        <f>'T_TTAFStock'!CB35</f>
        <v/>
      </c>
      <c r="CE990">
        <f>'T_TTAFStock'!CC35</f>
        <v/>
      </c>
      <c r="CF990">
        <f>'T_TTAFStock'!CD35</f>
        <v/>
      </c>
      <c r="CG990">
        <f>'T_TTAFStock'!CE35</f>
        <v/>
      </c>
      <c r="CH990">
        <f>'T_TTAFStock'!CF35</f>
        <v/>
      </c>
      <c r="CI990">
        <f>'T_TTAFStock'!CG35</f>
        <v/>
      </c>
      <c r="CJ990">
        <f>'T_TTAFStock'!CH35</f>
        <v/>
      </c>
      <c r="CK990">
        <f>'T_TTAFStock'!CI35</f>
        <v/>
      </c>
      <c r="CL990">
        <f>'T_TTAFStock'!CJ35</f>
        <v/>
      </c>
      <c r="CM990">
        <f>'T_TTAFStock'!CK35</f>
        <v/>
      </c>
      <c r="CN990">
        <f>'T_TTAFStock'!CL35</f>
        <v/>
      </c>
      <c r="CO990">
        <f>'T_TTAFStock'!CM35</f>
        <v/>
      </c>
      <c r="CP990">
        <f>'T_TTAFStock'!CN35</f>
        <v/>
      </c>
      <c r="CQ990">
        <f>'T_TTAFStock'!CO35</f>
        <v/>
      </c>
      <c r="CR990">
        <f>'T_TTAFStock'!CP35</f>
        <v/>
      </c>
      <c r="CS990">
        <f>'T_TTAFStock'!CQ35</f>
        <v/>
      </c>
      <c r="CT990">
        <f>'T_TTAFStock'!CR35</f>
        <v/>
      </c>
      <c r="CU990">
        <f>'T_TTAFStock'!CS35</f>
        <v/>
      </c>
      <c r="CV990">
        <f>'T_TTAFStock'!CT35</f>
        <v/>
      </c>
      <c r="CW990">
        <f>'T_TTAFStock'!CU35</f>
        <v/>
      </c>
      <c r="CX990">
        <f>'T_TTAFStock'!CV35</f>
        <v/>
      </c>
      <c r="CY990">
        <f>'T_TTAFStock'!CW35</f>
        <v/>
      </c>
      <c r="CZ990">
        <f>'T_TTAFStock'!CX35</f>
        <v/>
      </c>
      <c r="DA990">
        <f>'T_TTAFStock'!CY35</f>
        <v/>
      </c>
      <c r="DB990">
        <f>'T_TTAFStock'!CZ35</f>
        <v/>
      </c>
      <c r="DC990">
        <f>'T_TTAFStock'!DA35</f>
        <v/>
      </c>
    </row>
    <row r="991">
      <c r="B991" t="inlineStr">
        <is>
          <t>自社在庫(実績,kg)</t>
        </is>
      </c>
      <c r="D991">
        <f>'T_SelfStock'!B35</f>
        <v/>
      </c>
      <c r="E991">
        <f>'T_SelfStock'!C35</f>
        <v/>
      </c>
      <c r="F991">
        <f>'T_SelfStock'!D35</f>
        <v/>
      </c>
      <c r="G991">
        <f>'T_SelfStock'!E35</f>
        <v/>
      </c>
      <c r="H991">
        <f>'T_SelfStock'!F35</f>
        <v/>
      </c>
      <c r="I991">
        <f>'T_SelfStock'!G35</f>
        <v/>
      </c>
      <c r="J991">
        <f>'T_SelfStock'!H35</f>
        <v/>
      </c>
      <c r="K991">
        <f>'T_SelfStock'!I35</f>
        <v/>
      </c>
      <c r="L991">
        <f>'T_SelfStock'!J35</f>
        <v/>
      </c>
      <c r="M991">
        <f>'T_SelfStock'!K35</f>
        <v/>
      </c>
      <c r="N991">
        <f>'T_SelfStock'!L35</f>
        <v/>
      </c>
      <c r="O991">
        <f>'T_SelfStock'!M35</f>
        <v/>
      </c>
      <c r="P991">
        <f>'T_SelfStock'!N35</f>
        <v/>
      </c>
      <c r="Q991">
        <f>'T_SelfStock'!O35</f>
        <v/>
      </c>
      <c r="R991">
        <f>'T_SelfStock'!P35</f>
        <v/>
      </c>
      <c r="S991">
        <f>'T_SelfStock'!Q35</f>
        <v/>
      </c>
      <c r="T991">
        <f>'T_SelfStock'!R35</f>
        <v/>
      </c>
      <c r="U991">
        <f>'T_SelfStock'!S35</f>
        <v/>
      </c>
      <c r="V991">
        <f>'T_SelfStock'!T35</f>
        <v/>
      </c>
      <c r="W991">
        <f>'T_SelfStock'!U35</f>
        <v/>
      </c>
      <c r="X991">
        <f>'T_SelfStock'!V35</f>
        <v/>
      </c>
      <c r="Y991">
        <f>'T_SelfStock'!W35</f>
        <v/>
      </c>
      <c r="Z991">
        <f>'T_SelfStock'!X35</f>
        <v/>
      </c>
      <c r="AA991">
        <f>'T_SelfStock'!Y35</f>
        <v/>
      </c>
      <c r="AB991">
        <f>'T_SelfStock'!Z35</f>
        <v/>
      </c>
      <c r="AC991">
        <f>'T_SelfStock'!AA35</f>
        <v/>
      </c>
      <c r="AD991">
        <f>'T_SelfStock'!AB35</f>
        <v/>
      </c>
      <c r="AE991">
        <f>'T_SelfStock'!AC35</f>
        <v/>
      </c>
      <c r="AF991">
        <f>'T_SelfStock'!AD35</f>
        <v/>
      </c>
      <c r="AG991">
        <f>'T_SelfStock'!AE35</f>
        <v/>
      </c>
      <c r="AH991">
        <f>'T_SelfStock'!AF35</f>
        <v/>
      </c>
      <c r="AI991">
        <f>'T_SelfStock'!AG35</f>
        <v/>
      </c>
      <c r="AJ991">
        <f>'T_SelfStock'!AH35</f>
        <v/>
      </c>
      <c r="AK991">
        <f>'T_SelfStock'!AI35</f>
        <v/>
      </c>
      <c r="AL991">
        <f>'T_SelfStock'!AJ35</f>
        <v/>
      </c>
      <c r="AM991">
        <f>'T_SelfStock'!AK35</f>
        <v/>
      </c>
      <c r="AN991">
        <f>'T_SelfStock'!AL35</f>
        <v/>
      </c>
      <c r="AO991">
        <f>'T_SelfStock'!AM35</f>
        <v/>
      </c>
      <c r="AP991">
        <f>'T_SelfStock'!AN35</f>
        <v/>
      </c>
      <c r="AQ991">
        <f>'T_SelfStock'!AO35</f>
        <v/>
      </c>
      <c r="AR991">
        <f>'T_SelfStock'!AP35</f>
        <v/>
      </c>
      <c r="AS991">
        <f>'T_SelfStock'!AQ35</f>
        <v/>
      </c>
      <c r="AT991">
        <f>'T_SelfStock'!AR35</f>
        <v/>
      </c>
      <c r="AU991">
        <f>'T_SelfStock'!AS35</f>
        <v/>
      </c>
      <c r="AV991">
        <f>'T_SelfStock'!AT35</f>
        <v/>
      </c>
      <c r="AW991">
        <f>'T_SelfStock'!AU35</f>
        <v/>
      </c>
      <c r="AX991">
        <f>'T_SelfStock'!AV35</f>
        <v/>
      </c>
      <c r="AY991">
        <f>'T_SelfStock'!AW35</f>
        <v/>
      </c>
      <c r="AZ991">
        <f>'T_SelfStock'!AX35</f>
        <v/>
      </c>
      <c r="BA991">
        <f>'T_SelfStock'!AY35</f>
        <v/>
      </c>
      <c r="BB991">
        <f>'T_SelfStock'!AZ35</f>
        <v/>
      </c>
      <c r="BC991">
        <f>'T_SelfStock'!BA35</f>
        <v/>
      </c>
      <c r="BD991">
        <f>'T_SelfStock'!BB35</f>
        <v/>
      </c>
      <c r="BE991">
        <f>'T_SelfStock'!BC35</f>
        <v/>
      </c>
      <c r="BF991">
        <f>'T_SelfStock'!BD35</f>
        <v/>
      </c>
      <c r="BG991">
        <f>'T_SelfStock'!BE35</f>
        <v/>
      </c>
      <c r="BH991">
        <f>'T_SelfStock'!BF35</f>
        <v/>
      </c>
      <c r="BI991">
        <f>'T_SelfStock'!BG35</f>
        <v/>
      </c>
      <c r="BJ991">
        <f>'T_SelfStock'!BH35</f>
        <v/>
      </c>
      <c r="BK991">
        <f>'T_SelfStock'!BI35</f>
        <v/>
      </c>
      <c r="BL991">
        <f>'T_SelfStock'!BJ35</f>
        <v/>
      </c>
      <c r="BM991">
        <f>'T_SelfStock'!BK35</f>
        <v/>
      </c>
      <c r="BN991">
        <f>'T_SelfStock'!BL35</f>
        <v/>
      </c>
      <c r="BO991">
        <f>'T_SelfStock'!BM35</f>
        <v/>
      </c>
      <c r="BP991">
        <f>'T_SelfStock'!BN35</f>
        <v/>
      </c>
      <c r="BQ991">
        <f>'T_SelfStock'!BO35</f>
        <v/>
      </c>
      <c r="BR991">
        <f>'T_SelfStock'!BP35</f>
        <v/>
      </c>
      <c r="BS991">
        <f>'T_SelfStock'!BQ35</f>
        <v/>
      </c>
      <c r="BT991">
        <f>'T_SelfStock'!BR35</f>
        <v/>
      </c>
      <c r="BU991">
        <f>'T_SelfStock'!BS35</f>
        <v/>
      </c>
      <c r="BV991">
        <f>'T_SelfStock'!BT35</f>
        <v/>
      </c>
      <c r="BW991">
        <f>'T_SelfStock'!BU35</f>
        <v/>
      </c>
      <c r="BX991">
        <f>'T_SelfStock'!BV35</f>
        <v/>
      </c>
      <c r="BY991">
        <f>'T_SelfStock'!BW35</f>
        <v/>
      </c>
      <c r="BZ991">
        <f>'T_SelfStock'!BX35</f>
        <v/>
      </c>
      <c r="CA991">
        <f>'T_SelfStock'!BY35</f>
        <v/>
      </c>
      <c r="CB991">
        <f>'T_SelfStock'!BZ35</f>
        <v/>
      </c>
      <c r="CC991">
        <f>'T_SelfStock'!CA35</f>
        <v/>
      </c>
      <c r="CD991">
        <f>'T_SelfStock'!CB35</f>
        <v/>
      </c>
      <c r="CE991">
        <f>'T_SelfStock'!CC35</f>
        <v/>
      </c>
      <c r="CF991">
        <f>'T_SelfStock'!CD35</f>
        <v/>
      </c>
      <c r="CG991">
        <f>'T_SelfStock'!CE35</f>
        <v/>
      </c>
      <c r="CH991">
        <f>'T_SelfStock'!CF35</f>
        <v/>
      </c>
      <c r="CI991">
        <f>'T_SelfStock'!CG35</f>
        <v/>
      </c>
      <c r="CJ991">
        <f>'T_SelfStock'!CH35</f>
        <v/>
      </c>
      <c r="CK991">
        <f>'T_SelfStock'!CI35</f>
        <v/>
      </c>
      <c r="CL991">
        <f>'T_SelfStock'!CJ35</f>
        <v/>
      </c>
      <c r="CM991">
        <f>'T_SelfStock'!CK35</f>
        <v/>
      </c>
      <c r="CN991">
        <f>'T_SelfStock'!CL35</f>
        <v/>
      </c>
      <c r="CO991">
        <f>'T_SelfStock'!CM35</f>
        <v/>
      </c>
      <c r="CP991">
        <f>'T_SelfStock'!CN35</f>
        <v/>
      </c>
      <c r="CQ991">
        <f>'T_SelfStock'!CO35</f>
        <v/>
      </c>
      <c r="CR991">
        <f>'T_SelfStock'!CP35</f>
        <v/>
      </c>
      <c r="CS991">
        <f>'T_SelfStock'!CQ35</f>
        <v/>
      </c>
      <c r="CT991">
        <f>'T_SelfStock'!CR35</f>
        <v/>
      </c>
      <c r="CU991">
        <f>'T_SelfStock'!CS35</f>
        <v/>
      </c>
      <c r="CV991">
        <f>'T_SelfStock'!CT35</f>
        <v/>
      </c>
      <c r="CW991">
        <f>'T_SelfStock'!CU35</f>
        <v/>
      </c>
      <c r="CX991">
        <f>'T_SelfStock'!CV35</f>
        <v/>
      </c>
      <c r="CY991">
        <f>'T_SelfStock'!CW35</f>
        <v/>
      </c>
      <c r="CZ991">
        <f>'T_SelfStock'!CX35</f>
        <v/>
      </c>
      <c r="DA991">
        <f>'T_SelfStock'!CY35</f>
        <v/>
      </c>
      <c r="DB991">
        <f>'T_SelfStock'!CZ35</f>
        <v/>
      </c>
      <c r="DC991">
        <f>'T_SelfStock'!DA35</f>
        <v/>
      </c>
    </row>
    <row r="992">
      <c r="B992" s="4" t="inlineStr">
        <is>
          <t>合計在庫(週末時点,kg)</t>
        </is>
      </c>
      <c r="D992">
        <f>'Grid_Stock'!B31</f>
        <v/>
      </c>
      <c r="E992">
        <f>'Grid_Stock'!C31</f>
        <v/>
      </c>
      <c r="F992">
        <f>'Grid_Stock'!D31</f>
        <v/>
      </c>
      <c r="G992">
        <f>'Grid_Stock'!E31</f>
        <v/>
      </c>
      <c r="H992">
        <f>'Grid_Stock'!F31</f>
        <v/>
      </c>
      <c r="I992">
        <f>'Grid_Stock'!G31</f>
        <v/>
      </c>
      <c r="J992">
        <f>'Grid_Stock'!H31</f>
        <v/>
      </c>
      <c r="K992">
        <f>'Grid_Stock'!I31</f>
        <v/>
      </c>
      <c r="L992">
        <f>'Grid_Stock'!J31</f>
        <v/>
      </c>
      <c r="M992">
        <f>'Grid_Stock'!K31</f>
        <v/>
      </c>
      <c r="N992">
        <f>'Grid_Stock'!L31</f>
        <v/>
      </c>
      <c r="O992">
        <f>'Grid_Stock'!M31</f>
        <v/>
      </c>
      <c r="P992">
        <f>'Grid_Stock'!N31</f>
        <v/>
      </c>
      <c r="Q992">
        <f>'Grid_Stock'!O31</f>
        <v/>
      </c>
      <c r="R992">
        <f>'Grid_Stock'!P31</f>
        <v/>
      </c>
      <c r="S992">
        <f>'Grid_Stock'!Q31</f>
        <v/>
      </c>
      <c r="T992">
        <f>'Grid_Stock'!R31</f>
        <v/>
      </c>
      <c r="U992">
        <f>'Grid_Stock'!S31</f>
        <v/>
      </c>
      <c r="V992">
        <f>'Grid_Stock'!T31</f>
        <v/>
      </c>
      <c r="W992">
        <f>'Grid_Stock'!U31</f>
        <v/>
      </c>
      <c r="X992">
        <f>'Grid_Stock'!V31</f>
        <v/>
      </c>
      <c r="Y992">
        <f>'Grid_Stock'!W31</f>
        <v/>
      </c>
      <c r="Z992">
        <f>'Grid_Stock'!X31</f>
        <v/>
      </c>
      <c r="AA992">
        <f>'Grid_Stock'!Y31</f>
        <v/>
      </c>
      <c r="AB992">
        <f>'Grid_Stock'!Z31</f>
        <v/>
      </c>
      <c r="AC992">
        <f>'Grid_Stock'!AA31</f>
        <v/>
      </c>
      <c r="AD992">
        <f>'Grid_Stock'!AB31</f>
        <v/>
      </c>
      <c r="AE992">
        <f>'Grid_Stock'!AC31</f>
        <v/>
      </c>
      <c r="AF992">
        <f>'Grid_Stock'!AD31</f>
        <v/>
      </c>
      <c r="AG992">
        <f>'Grid_Stock'!AE31</f>
        <v/>
      </c>
      <c r="AH992">
        <f>'Grid_Stock'!AF31</f>
        <v/>
      </c>
      <c r="AI992">
        <f>'Grid_Stock'!AG31</f>
        <v/>
      </c>
      <c r="AJ992">
        <f>'Grid_Stock'!AH31</f>
        <v/>
      </c>
      <c r="AK992">
        <f>'Grid_Stock'!AI31</f>
        <v/>
      </c>
      <c r="AL992">
        <f>'Grid_Stock'!AJ31</f>
        <v/>
      </c>
      <c r="AM992">
        <f>'Grid_Stock'!AK31</f>
        <v/>
      </c>
      <c r="AN992">
        <f>'Grid_Stock'!AL31</f>
        <v/>
      </c>
      <c r="AO992">
        <f>'Grid_Stock'!AM31</f>
        <v/>
      </c>
      <c r="AP992">
        <f>'Grid_Stock'!AN31</f>
        <v/>
      </c>
      <c r="AQ992">
        <f>'Grid_Stock'!AO31</f>
        <v/>
      </c>
      <c r="AR992">
        <f>'Grid_Stock'!AP31</f>
        <v/>
      </c>
      <c r="AS992">
        <f>'Grid_Stock'!AQ31</f>
        <v/>
      </c>
      <c r="AT992">
        <f>'Grid_Stock'!AR31</f>
        <v/>
      </c>
      <c r="AU992">
        <f>'Grid_Stock'!AS31</f>
        <v/>
      </c>
      <c r="AV992">
        <f>'Grid_Stock'!AT31</f>
        <v/>
      </c>
      <c r="AW992">
        <f>'Grid_Stock'!AU31</f>
        <v/>
      </c>
      <c r="AX992">
        <f>'Grid_Stock'!AV31</f>
        <v/>
      </c>
      <c r="AY992">
        <f>'Grid_Stock'!AW31</f>
        <v/>
      </c>
      <c r="AZ992">
        <f>'Grid_Stock'!AX31</f>
        <v/>
      </c>
      <c r="BA992">
        <f>'Grid_Stock'!AY31</f>
        <v/>
      </c>
      <c r="BB992">
        <f>'Grid_Stock'!AZ31</f>
        <v/>
      </c>
      <c r="BC992">
        <f>'Grid_Stock'!BA31</f>
        <v/>
      </c>
      <c r="BD992">
        <f>'Grid_Stock'!BB31</f>
        <v/>
      </c>
      <c r="BE992">
        <f>'Grid_Stock'!BC31</f>
        <v/>
      </c>
      <c r="BF992">
        <f>'Grid_Stock'!BD31</f>
        <v/>
      </c>
      <c r="BG992">
        <f>'Grid_Stock'!BE31</f>
        <v/>
      </c>
      <c r="BH992">
        <f>'Grid_Stock'!BF31</f>
        <v/>
      </c>
      <c r="BI992">
        <f>'Grid_Stock'!BG31</f>
        <v/>
      </c>
      <c r="BJ992">
        <f>'Grid_Stock'!BH31</f>
        <v/>
      </c>
      <c r="BK992">
        <f>'Grid_Stock'!BI31</f>
        <v/>
      </c>
      <c r="BL992">
        <f>'Grid_Stock'!BJ31</f>
        <v/>
      </c>
      <c r="BM992">
        <f>'Grid_Stock'!BK31</f>
        <v/>
      </c>
      <c r="BN992">
        <f>'Grid_Stock'!BL31</f>
        <v/>
      </c>
      <c r="BO992">
        <f>'Grid_Stock'!BM31</f>
        <v/>
      </c>
      <c r="BP992">
        <f>'Grid_Stock'!BN31</f>
        <v/>
      </c>
      <c r="BQ992">
        <f>'Grid_Stock'!BO31</f>
        <v/>
      </c>
      <c r="BR992">
        <f>'Grid_Stock'!BP31</f>
        <v/>
      </c>
      <c r="BS992">
        <f>'Grid_Stock'!BQ31</f>
        <v/>
      </c>
      <c r="BT992">
        <f>'Grid_Stock'!BR31</f>
        <v/>
      </c>
      <c r="BU992">
        <f>'Grid_Stock'!BS31</f>
        <v/>
      </c>
      <c r="BV992">
        <f>'Grid_Stock'!BT31</f>
        <v/>
      </c>
      <c r="BW992">
        <f>'Grid_Stock'!BU31</f>
        <v/>
      </c>
      <c r="BX992">
        <f>'Grid_Stock'!BV31</f>
        <v/>
      </c>
      <c r="BY992">
        <f>'Grid_Stock'!BW31</f>
        <v/>
      </c>
      <c r="BZ992">
        <f>'Grid_Stock'!BX31</f>
        <v/>
      </c>
      <c r="CA992">
        <f>'Grid_Stock'!BY31</f>
        <v/>
      </c>
      <c r="CB992">
        <f>'Grid_Stock'!BZ31</f>
        <v/>
      </c>
      <c r="CC992">
        <f>'Grid_Stock'!CA31</f>
        <v/>
      </c>
      <c r="CD992">
        <f>'Grid_Stock'!CB31</f>
        <v/>
      </c>
      <c r="CE992">
        <f>'Grid_Stock'!CC31</f>
        <v/>
      </c>
      <c r="CF992">
        <f>'Grid_Stock'!CD31</f>
        <v/>
      </c>
      <c r="CG992">
        <f>'Grid_Stock'!CE31</f>
        <v/>
      </c>
      <c r="CH992">
        <f>'Grid_Stock'!CF31</f>
        <v/>
      </c>
      <c r="CI992">
        <f>'Grid_Stock'!CG31</f>
        <v/>
      </c>
      <c r="CJ992">
        <f>'Grid_Stock'!CH31</f>
        <v/>
      </c>
      <c r="CK992">
        <f>'Grid_Stock'!CI31</f>
        <v/>
      </c>
      <c r="CL992">
        <f>'Grid_Stock'!CJ31</f>
        <v/>
      </c>
      <c r="CM992">
        <f>'Grid_Stock'!CK31</f>
        <v/>
      </c>
      <c r="CN992">
        <f>'Grid_Stock'!CL31</f>
        <v/>
      </c>
      <c r="CO992">
        <f>'Grid_Stock'!CM31</f>
        <v/>
      </c>
      <c r="CP992">
        <f>'Grid_Stock'!CN31</f>
        <v/>
      </c>
      <c r="CQ992">
        <f>'Grid_Stock'!CO31</f>
        <v/>
      </c>
      <c r="CR992">
        <f>'Grid_Stock'!CP31</f>
        <v/>
      </c>
      <c r="CS992">
        <f>'Grid_Stock'!CQ31</f>
        <v/>
      </c>
      <c r="CT992">
        <f>'Grid_Stock'!CR31</f>
        <v/>
      </c>
      <c r="CU992">
        <f>'Grid_Stock'!CS31</f>
        <v/>
      </c>
      <c r="CV992">
        <f>'Grid_Stock'!CT31</f>
        <v/>
      </c>
      <c r="CW992">
        <f>'Grid_Stock'!CU31</f>
        <v/>
      </c>
      <c r="CX992">
        <f>'Grid_Stock'!CV31</f>
        <v/>
      </c>
      <c r="CY992">
        <f>'Grid_Stock'!CW31</f>
        <v/>
      </c>
      <c r="CZ992">
        <f>'Grid_Stock'!CX31</f>
        <v/>
      </c>
      <c r="DA992">
        <f>'Grid_Stock'!CY31</f>
        <v/>
      </c>
      <c r="DB992">
        <f>'Grid_Stock'!CZ31</f>
        <v/>
      </c>
      <c r="DC992">
        <f>'Grid_Stock'!DA31</f>
        <v/>
      </c>
    </row>
    <row r="993">
      <c r="B993" s="16" t="inlineStr">
        <is>
          <t>（発注の目安はDashboardの基準在庫[下限/上限]と色分けを参照）</t>
        </is>
      </c>
    </row>
    <row r="995">
      <c r="A995" s="14" t="inlineStr">
        <is>
          <t>CHEM-1770</t>
        </is>
      </c>
      <c r="B995" s="14" t="inlineStr">
        <is>
          <t>RCT-39</t>
        </is>
      </c>
      <c r="C995" s="15" t="n"/>
      <c r="D995" s="14" t="n"/>
      <c r="E995" s="14" t="n"/>
      <c r="F995" s="14" t="n"/>
      <c r="G995" s="14" t="n"/>
      <c r="H995" s="14" t="n"/>
      <c r="I995" s="14" t="n"/>
      <c r="J995" s="14" t="n"/>
      <c r="K995" s="14" t="n"/>
      <c r="L995" s="14" t="n"/>
      <c r="M995" s="14" t="n"/>
      <c r="N995" s="14" t="n"/>
      <c r="O995" s="14" t="n"/>
      <c r="P995" s="14" t="n"/>
      <c r="Q995" s="14" t="n"/>
      <c r="R995" s="14" t="n"/>
      <c r="S995" s="14" t="n"/>
      <c r="T995" s="14" t="n"/>
      <c r="U995" s="14" t="n"/>
      <c r="V995" s="14" t="n"/>
      <c r="W995" s="14" t="n"/>
      <c r="X995" s="14" t="n"/>
      <c r="Y995" s="14" t="n"/>
      <c r="Z995" s="14" t="n"/>
      <c r="AA995" s="14" t="n"/>
      <c r="AB995" s="14" t="n"/>
      <c r="AC995" s="14" t="n"/>
      <c r="AD995" s="14" t="n"/>
      <c r="AE995" s="14" t="n"/>
      <c r="AF995" s="14" t="n"/>
      <c r="AG995" s="14" t="n"/>
      <c r="AH995" s="14" t="n"/>
      <c r="AI995" s="14" t="n"/>
      <c r="AJ995" s="14" t="n"/>
      <c r="AK995" s="14" t="n"/>
      <c r="AL995" s="14" t="n"/>
      <c r="AM995" s="14" t="n"/>
      <c r="AN995" s="14" t="n"/>
      <c r="AO995" s="14" t="n"/>
      <c r="AP995" s="14" t="n"/>
      <c r="AQ995" s="14" t="n"/>
      <c r="AR995" s="14" t="n"/>
      <c r="AS995" s="14" t="n"/>
      <c r="AT995" s="14" t="n"/>
      <c r="AU995" s="14" t="n"/>
      <c r="AV995" s="14" t="n"/>
      <c r="AW995" s="14" t="n"/>
      <c r="AX995" s="14" t="n"/>
      <c r="AY995" s="14" t="n"/>
      <c r="AZ995" s="14" t="n"/>
      <c r="BA995" s="14" t="n"/>
      <c r="BB995" s="14" t="n"/>
      <c r="BC995" s="14" t="n"/>
      <c r="BD995" s="14" t="n"/>
      <c r="BE995" s="14" t="n"/>
      <c r="BF995" s="14" t="n"/>
      <c r="BG995" s="14" t="n"/>
      <c r="BH995" s="14" t="n"/>
      <c r="BI995" s="14" t="n"/>
      <c r="BJ995" s="14" t="n"/>
      <c r="BK995" s="14" t="n"/>
      <c r="BL995" s="14" t="n"/>
      <c r="BM995" s="14" t="n"/>
      <c r="BN995" s="14" t="n"/>
      <c r="BO995" s="14" t="n"/>
      <c r="BP995" s="14" t="n"/>
      <c r="BQ995" s="14" t="n"/>
      <c r="BR995" s="14" t="n"/>
      <c r="BS995" s="14" t="n"/>
      <c r="BT995" s="14" t="n"/>
      <c r="BU995" s="14" t="n"/>
      <c r="BV995" s="14" t="n"/>
      <c r="BW995" s="14" t="n"/>
      <c r="BX995" s="14" t="n"/>
      <c r="BY995" s="14" t="n"/>
      <c r="BZ995" s="14" t="n"/>
      <c r="CA995" s="14" t="n"/>
      <c r="CB995" s="14" t="n"/>
      <c r="CC995" s="14" t="n"/>
      <c r="CD995" s="14" t="n"/>
      <c r="CE995" s="14" t="n"/>
      <c r="CF995" s="14" t="n"/>
      <c r="CG995" s="14" t="n"/>
      <c r="CH995" s="14" t="n"/>
      <c r="CI995" s="14" t="n"/>
      <c r="CJ995" s="14" t="n"/>
      <c r="CK995" s="14" t="n"/>
      <c r="CL995" s="14" t="n"/>
      <c r="CM995" s="14" t="n"/>
      <c r="CN995" s="14" t="n"/>
      <c r="CO995" s="14" t="n"/>
      <c r="CP995" s="14" t="n"/>
      <c r="CQ995" s="14" t="n"/>
      <c r="CR995" s="14" t="n"/>
      <c r="CS995" s="14" t="n"/>
      <c r="CT995" s="14" t="n"/>
      <c r="CU995" s="14" t="n"/>
      <c r="CV995" s="14" t="n"/>
      <c r="CW995" s="14" t="n"/>
      <c r="CX995" s="14" t="n"/>
      <c r="CY995" s="14" t="n"/>
      <c r="CZ995" s="14" t="n"/>
      <c r="DA995" s="14" t="n"/>
      <c r="DB995" s="14" t="n"/>
      <c r="DC995" s="14" t="n"/>
    </row>
    <row r="996">
      <c r="B996" t="inlineStr">
        <is>
          <t>TPP-635</t>
        </is>
      </c>
      <c r="C996" t="inlineStr">
        <is>
          <t>No. of batches</t>
        </is>
      </c>
      <c r="D996">
        <f>IFERROR(INDEX(PP_Grid[#Data],$DD996,2),0)</f>
        <v/>
      </c>
      <c r="E996">
        <f>IFERROR(INDEX(PP_Grid[#Data],$DD996,3),0)</f>
        <v/>
      </c>
      <c r="F996">
        <f>IFERROR(INDEX(PP_Grid[#Data],$DD996,4),0)</f>
        <v/>
      </c>
      <c r="G996">
        <f>IFERROR(INDEX(PP_Grid[#Data],$DD996,5),0)</f>
        <v/>
      </c>
      <c r="H996">
        <f>IFERROR(INDEX(PP_Grid[#Data],$DD996,6),0)</f>
        <v/>
      </c>
      <c r="I996">
        <f>IFERROR(INDEX(PP_Grid[#Data],$DD996,7),0)</f>
        <v/>
      </c>
      <c r="J996">
        <f>IFERROR(INDEX(PP_Grid[#Data],$DD996,8),0)</f>
        <v/>
      </c>
      <c r="K996">
        <f>IFERROR(INDEX(PP_Grid[#Data],$DD996,9),0)</f>
        <v/>
      </c>
      <c r="L996">
        <f>IFERROR(INDEX(PP_Grid[#Data],$DD996,10),0)</f>
        <v/>
      </c>
      <c r="M996">
        <f>IFERROR(INDEX(PP_Grid[#Data],$DD996,11),0)</f>
        <v/>
      </c>
      <c r="N996">
        <f>IFERROR(INDEX(PP_Grid[#Data],$DD996,12),0)</f>
        <v/>
      </c>
      <c r="O996">
        <f>IFERROR(INDEX(PP_Grid[#Data],$DD996,13),0)</f>
        <v/>
      </c>
      <c r="P996">
        <f>IFERROR(INDEX(PP_Grid[#Data],$DD996,14),0)</f>
        <v/>
      </c>
      <c r="Q996">
        <f>IFERROR(INDEX(PP_Grid[#Data],$DD996,15),0)</f>
        <v/>
      </c>
      <c r="R996">
        <f>IFERROR(INDEX(PP_Grid[#Data],$DD996,16),0)</f>
        <v/>
      </c>
      <c r="S996">
        <f>IFERROR(INDEX(PP_Grid[#Data],$DD996,17),0)</f>
        <v/>
      </c>
      <c r="T996">
        <f>IFERROR(INDEX(PP_Grid[#Data],$DD996,18),0)</f>
        <v/>
      </c>
      <c r="U996">
        <f>IFERROR(INDEX(PP_Grid[#Data],$DD996,19),0)</f>
        <v/>
      </c>
      <c r="V996">
        <f>IFERROR(INDEX(PP_Grid[#Data],$DD996,20),0)</f>
        <v/>
      </c>
      <c r="W996">
        <f>IFERROR(INDEX(PP_Grid[#Data],$DD996,21),0)</f>
        <v/>
      </c>
      <c r="X996">
        <f>IFERROR(INDEX(PP_Grid[#Data],$DD996,22),0)</f>
        <v/>
      </c>
      <c r="Y996">
        <f>IFERROR(INDEX(PP_Grid[#Data],$DD996,23),0)</f>
        <v/>
      </c>
      <c r="Z996">
        <f>IFERROR(INDEX(PP_Grid[#Data],$DD996,24),0)</f>
        <v/>
      </c>
      <c r="AA996">
        <f>IFERROR(INDEX(PP_Grid[#Data],$DD996,25),0)</f>
        <v/>
      </c>
      <c r="AB996">
        <f>IFERROR(INDEX(PP_Grid[#Data],$DD996,26),0)</f>
        <v/>
      </c>
      <c r="AC996">
        <f>IFERROR(INDEX(PP_Grid[#Data],$DD996,27),0)</f>
        <v/>
      </c>
      <c r="AD996">
        <f>IFERROR(INDEX(PP_Grid[#Data],$DD996,28),0)</f>
        <v/>
      </c>
      <c r="AE996">
        <f>IFERROR(INDEX(PP_Grid[#Data],$DD996,29),0)</f>
        <v/>
      </c>
      <c r="AF996">
        <f>IFERROR(INDEX(PP_Grid[#Data],$DD996,30),0)</f>
        <v/>
      </c>
      <c r="AG996">
        <f>IFERROR(INDEX(PP_Grid[#Data],$DD996,31),0)</f>
        <v/>
      </c>
      <c r="AH996">
        <f>IFERROR(INDEX(PP_Grid[#Data],$DD996,32),0)</f>
        <v/>
      </c>
      <c r="AI996">
        <f>IFERROR(INDEX(PP_Grid[#Data],$DD996,33),0)</f>
        <v/>
      </c>
      <c r="AJ996">
        <f>IFERROR(INDEX(PP_Grid[#Data],$DD996,34),0)</f>
        <v/>
      </c>
      <c r="AK996">
        <f>IFERROR(INDEX(PP_Grid[#Data],$DD996,35),0)</f>
        <v/>
      </c>
      <c r="AL996">
        <f>IFERROR(INDEX(PP_Grid[#Data],$DD996,36),0)</f>
        <v/>
      </c>
      <c r="AM996">
        <f>IFERROR(INDEX(PP_Grid[#Data],$DD996,37),0)</f>
        <v/>
      </c>
      <c r="AN996">
        <f>IFERROR(INDEX(PP_Grid[#Data],$DD996,38),0)</f>
        <v/>
      </c>
      <c r="AO996">
        <f>IFERROR(INDEX(PP_Grid[#Data],$DD996,39),0)</f>
        <v/>
      </c>
      <c r="AP996">
        <f>IFERROR(INDEX(PP_Grid[#Data],$DD996,40),0)</f>
        <v/>
      </c>
      <c r="AQ996">
        <f>IFERROR(INDEX(PP_Grid[#Data],$DD996,41),0)</f>
        <v/>
      </c>
      <c r="AR996">
        <f>IFERROR(INDEX(PP_Grid[#Data],$DD996,42),0)</f>
        <v/>
      </c>
      <c r="AS996">
        <f>IFERROR(INDEX(PP_Grid[#Data],$DD996,43),0)</f>
        <v/>
      </c>
      <c r="AT996">
        <f>IFERROR(INDEX(PP_Grid[#Data],$DD996,44),0)</f>
        <v/>
      </c>
      <c r="AU996">
        <f>IFERROR(INDEX(PP_Grid[#Data],$DD996,45),0)</f>
        <v/>
      </c>
      <c r="AV996">
        <f>IFERROR(INDEX(PP_Grid[#Data],$DD996,46),0)</f>
        <v/>
      </c>
      <c r="AW996">
        <f>IFERROR(INDEX(PP_Grid[#Data],$DD996,47),0)</f>
        <v/>
      </c>
      <c r="AX996">
        <f>IFERROR(INDEX(PP_Grid[#Data],$DD996,48),0)</f>
        <v/>
      </c>
      <c r="AY996">
        <f>IFERROR(INDEX(PP_Grid[#Data],$DD996,49),0)</f>
        <v/>
      </c>
      <c r="AZ996">
        <f>IFERROR(INDEX(PP_Grid[#Data],$DD996,50),0)</f>
        <v/>
      </c>
      <c r="BA996">
        <f>IFERROR(INDEX(PP_Grid[#Data],$DD996,51),0)</f>
        <v/>
      </c>
      <c r="BB996">
        <f>IFERROR(INDEX(PP_Grid[#Data],$DD996,52),0)</f>
        <v/>
      </c>
      <c r="BC996">
        <f>IFERROR(INDEX(PP_Grid[#Data],$DD996,53),0)</f>
        <v/>
      </c>
      <c r="BD996">
        <f>IFERROR(INDEX(PP_Grid[#Data],$DD996,54),0)</f>
        <v/>
      </c>
      <c r="BE996">
        <f>IFERROR(INDEX(PP_Grid[#Data],$DD996,55),0)</f>
        <v/>
      </c>
      <c r="BF996">
        <f>IFERROR(INDEX(PP_Grid[#Data],$DD996,56),0)</f>
        <v/>
      </c>
      <c r="BG996">
        <f>IFERROR(INDEX(PP_Grid[#Data],$DD996,57),0)</f>
        <v/>
      </c>
      <c r="BH996">
        <f>IFERROR(INDEX(PP_Grid[#Data],$DD996,58),0)</f>
        <v/>
      </c>
      <c r="BI996">
        <f>IFERROR(INDEX(PP_Grid[#Data],$DD996,59),0)</f>
        <v/>
      </c>
      <c r="BJ996">
        <f>IFERROR(INDEX(PP_Grid[#Data],$DD996,60),0)</f>
        <v/>
      </c>
      <c r="BK996">
        <f>IFERROR(INDEX(PP_Grid[#Data],$DD996,61),0)</f>
        <v/>
      </c>
      <c r="BL996">
        <f>IFERROR(INDEX(PP_Grid[#Data],$DD996,62),0)</f>
        <v/>
      </c>
      <c r="BM996">
        <f>IFERROR(INDEX(PP_Grid[#Data],$DD996,63),0)</f>
        <v/>
      </c>
      <c r="BN996">
        <f>IFERROR(INDEX(PP_Grid[#Data],$DD996,64),0)</f>
        <v/>
      </c>
      <c r="BO996">
        <f>IFERROR(INDEX(PP_Grid[#Data],$DD996,65),0)</f>
        <v/>
      </c>
      <c r="BP996">
        <f>IFERROR(INDEX(PP_Grid[#Data],$DD996,66),0)</f>
        <v/>
      </c>
      <c r="BQ996">
        <f>IFERROR(INDEX(PP_Grid[#Data],$DD996,67),0)</f>
        <v/>
      </c>
      <c r="BR996">
        <f>IFERROR(INDEX(PP_Grid[#Data],$DD996,68),0)</f>
        <v/>
      </c>
      <c r="BS996">
        <f>IFERROR(INDEX(PP_Grid[#Data],$DD996,69),0)</f>
        <v/>
      </c>
      <c r="BT996">
        <f>IFERROR(INDEX(PP_Grid[#Data],$DD996,70),0)</f>
        <v/>
      </c>
      <c r="BU996">
        <f>IFERROR(INDEX(PP_Grid[#Data],$DD996,71),0)</f>
        <v/>
      </c>
      <c r="BV996">
        <f>IFERROR(INDEX(PP_Grid[#Data],$DD996,72),0)</f>
        <v/>
      </c>
      <c r="BW996">
        <f>IFERROR(INDEX(PP_Grid[#Data],$DD996,73),0)</f>
        <v/>
      </c>
      <c r="BX996">
        <f>IFERROR(INDEX(PP_Grid[#Data],$DD996,74),0)</f>
        <v/>
      </c>
      <c r="BY996">
        <f>IFERROR(INDEX(PP_Grid[#Data],$DD996,75),0)</f>
        <v/>
      </c>
      <c r="BZ996">
        <f>IFERROR(INDEX(PP_Grid[#Data],$DD996,76),0)</f>
        <v/>
      </c>
      <c r="CA996">
        <f>IFERROR(INDEX(PP_Grid[#Data],$DD996,77),0)</f>
        <v/>
      </c>
      <c r="CB996">
        <f>IFERROR(INDEX(PP_Grid[#Data],$DD996,78),0)</f>
        <v/>
      </c>
      <c r="CC996">
        <f>IFERROR(INDEX(PP_Grid[#Data],$DD996,79),0)</f>
        <v/>
      </c>
      <c r="CD996">
        <f>IFERROR(INDEX(PP_Grid[#Data],$DD996,80),0)</f>
        <v/>
      </c>
      <c r="CE996">
        <f>IFERROR(INDEX(PP_Grid[#Data],$DD996,81),0)</f>
        <v/>
      </c>
      <c r="CF996">
        <f>IFERROR(INDEX(PP_Grid[#Data],$DD996,82),0)</f>
        <v/>
      </c>
      <c r="CG996">
        <f>IFERROR(INDEX(PP_Grid[#Data],$DD996,83),0)</f>
        <v/>
      </c>
      <c r="CH996">
        <f>IFERROR(INDEX(PP_Grid[#Data],$DD996,84),0)</f>
        <v/>
      </c>
      <c r="CI996">
        <f>IFERROR(INDEX(PP_Grid[#Data],$DD996,85),0)</f>
        <v/>
      </c>
      <c r="CJ996">
        <f>IFERROR(INDEX(PP_Grid[#Data],$DD996,86),0)</f>
        <v/>
      </c>
      <c r="CK996">
        <f>IFERROR(INDEX(PP_Grid[#Data],$DD996,87),0)</f>
        <v/>
      </c>
      <c r="CL996">
        <f>IFERROR(INDEX(PP_Grid[#Data],$DD996,88),0)</f>
        <v/>
      </c>
      <c r="CM996">
        <f>IFERROR(INDEX(PP_Grid[#Data],$DD996,89),0)</f>
        <v/>
      </c>
      <c r="CN996">
        <f>IFERROR(INDEX(PP_Grid[#Data],$DD996,90),0)</f>
        <v/>
      </c>
      <c r="CO996">
        <f>IFERROR(INDEX(PP_Grid[#Data],$DD996,91),0)</f>
        <v/>
      </c>
      <c r="CP996">
        <f>IFERROR(INDEX(PP_Grid[#Data],$DD996,92),0)</f>
        <v/>
      </c>
      <c r="CQ996">
        <f>IFERROR(INDEX(PP_Grid[#Data],$DD996,93),0)</f>
        <v/>
      </c>
      <c r="CR996">
        <f>IFERROR(INDEX(PP_Grid[#Data],$DD996,94),0)</f>
        <v/>
      </c>
      <c r="CS996">
        <f>IFERROR(INDEX(PP_Grid[#Data],$DD996,95),0)</f>
        <v/>
      </c>
      <c r="CT996">
        <f>IFERROR(INDEX(PP_Grid[#Data],$DD996,96),0)</f>
        <v/>
      </c>
      <c r="CU996">
        <f>IFERROR(INDEX(PP_Grid[#Data],$DD996,97),0)</f>
        <v/>
      </c>
      <c r="CV996">
        <f>IFERROR(INDEX(PP_Grid[#Data],$DD996,98),0)</f>
        <v/>
      </c>
      <c r="CW996">
        <f>IFERROR(INDEX(PP_Grid[#Data],$DD996,99),0)</f>
        <v/>
      </c>
      <c r="CX996">
        <f>IFERROR(INDEX(PP_Grid[#Data],$DD996,100),0)</f>
        <v/>
      </c>
      <c r="CY996">
        <f>IFERROR(INDEX(PP_Grid[#Data],$DD996,101),0)</f>
        <v/>
      </c>
      <c r="CZ996">
        <f>IFERROR(INDEX(PP_Grid[#Data],$DD996,102),0)</f>
        <v/>
      </c>
      <c r="DA996">
        <f>IFERROR(INDEX(PP_Grid[#Data],$DD996,103),0)</f>
        <v/>
      </c>
      <c r="DB996">
        <f>IFERROR(INDEX(PP_Grid[#Data],$DD996,104),0)</f>
        <v/>
      </c>
      <c r="DC996">
        <f>IFERROR(INDEX(PP_Grid[#Data],$DD996,105),0)</f>
        <v/>
      </c>
      <c r="DD996" s="7">
        <f>IFERROR(MATCH($B996,PP_Grid[Intermediate],0),99999)</f>
        <v/>
      </c>
    </row>
    <row r="997">
      <c r="B997" t="inlineStr">
        <is>
          <t>使用量(kg)</t>
        </is>
      </c>
      <c r="C997">
        <f>SUMIFS(M_BOM[RM_Qty_Per_Batch],M_BOM[Intermediate],$B996,M_BOM[Part Name],$A995)</f>
        <v/>
      </c>
      <c r="D997">
        <f>$C997*D996</f>
        <v/>
      </c>
      <c r="E997">
        <f>$C997*E996</f>
        <v/>
      </c>
      <c r="F997">
        <f>$C997*F996</f>
        <v/>
      </c>
      <c r="G997">
        <f>$C997*G996</f>
        <v/>
      </c>
      <c r="H997">
        <f>$C997*H996</f>
        <v/>
      </c>
      <c r="I997">
        <f>$C997*I996</f>
        <v/>
      </c>
      <c r="J997">
        <f>$C997*J996</f>
        <v/>
      </c>
      <c r="K997">
        <f>$C997*K996</f>
        <v/>
      </c>
      <c r="L997">
        <f>$C997*L996</f>
        <v/>
      </c>
      <c r="M997">
        <f>$C997*M996</f>
        <v/>
      </c>
      <c r="N997">
        <f>$C997*N996</f>
        <v/>
      </c>
      <c r="O997">
        <f>$C997*O996</f>
        <v/>
      </c>
      <c r="P997">
        <f>$C997*P996</f>
        <v/>
      </c>
      <c r="Q997">
        <f>$C997*Q996</f>
        <v/>
      </c>
      <c r="R997">
        <f>$C997*R996</f>
        <v/>
      </c>
      <c r="S997">
        <f>$C997*S996</f>
        <v/>
      </c>
      <c r="T997">
        <f>$C997*T996</f>
        <v/>
      </c>
      <c r="U997">
        <f>$C997*U996</f>
        <v/>
      </c>
      <c r="V997">
        <f>$C997*V996</f>
        <v/>
      </c>
      <c r="W997">
        <f>$C997*W996</f>
        <v/>
      </c>
      <c r="X997">
        <f>$C997*X996</f>
        <v/>
      </c>
      <c r="Y997">
        <f>$C997*Y996</f>
        <v/>
      </c>
      <c r="Z997">
        <f>$C997*Z996</f>
        <v/>
      </c>
      <c r="AA997">
        <f>$C997*AA996</f>
        <v/>
      </c>
      <c r="AB997">
        <f>$C997*AB996</f>
        <v/>
      </c>
      <c r="AC997">
        <f>$C997*AC996</f>
        <v/>
      </c>
      <c r="AD997">
        <f>$C997*AD996</f>
        <v/>
      </c>
      <c r="AE997">
        <f>$C997*AE996</f>
        <v/>
      </c>
      <c r="AF997">
        <f>$C997*AF996</f>
        <v/>
      </c>
      <c r="AG997">
        <f>$C997*AG996</f>
        <v/>
      </c>
      <c r="AH997">
        <f>$C997*AH996</f>
        <v/>
      </c>
      <c r="AI997">
        <f>$C997*AI996</f>
        <v/>
      </c>
      <c r="AJ997">
        <f>$C997*AJ996</f>
        <v/>
      </c>
      <c r="AK997">
        <f>$C997*AK996</f>
        <v/>
      </c>
      <c r="AL997">
        <f>$C997*AL996</f>
        <v/>
      </c>
      <c r="AM997">
        <f>$C997*AM996</f>
        <v/>
      </c>
      <c r="AN997">
        <f>$C997*AN996</f>
        <v/>
      </c>
      <c r="AO997">
        <f>$C997*AO996</f>
        <v/>
      </c>
      <c r="AP997">
        <f>$C997*AP996</f>
        <v/>
      </c>
      <c r="AQ997">
        <f>$C997*AQ996</f>
        <v/>
      </c>
      <c r="AR997">
        <f>$C997*AR996</f>
        <v/>
      </c>
      <c r="AS997">
        <f>$C997*AS996</f>
        <v/>
      </c>
      <c r="AT997">
        <f>$C997*AT996</f>
        <v/>
      </c>
      <c r="AU997">
        <f>$C997*AU996</f>
        <v/>
      </c>
      <c r="AV997">
        <f>$C997*AV996</f>
        <v/>
      </c>
      <c r="AW997">
        <f>$C997*AW996</f>
        <v/>
      </c>
      <c r="AX997">
        <f>$C997*AX996</f>
        <v/>
      </c>
      <c r="AY997">
        <f>$C997*AY996</f>
        <v/>
      </c>
      <c r="AZ997">
        <f>$C997*AZ996</f>
        <v/>
      </c>
      <c r="BA997">
        <f>$C997*BA996</f>
        <v/>
      </c>
      <c r="BB997">
        <f>$C997*BB996</f>
        <v/>
      </c>
      <c r="BC997">
        <f>$C997*BC996</f>
        <v/>
      </c>
      <c r="BD997">
        <f>$C997*BD996</f>
        <v/>
      </c>
      <c r="BE997">
        <f>$C997*BE996</f>
        <v/>
      </c>
      <c r="BF997">
        <f>$C997*BF996</f>
        <v/>
      </c>
      <c r="BG997">
        <f>$C997*BG996</f>
        <v/>
      </c>
      <c r="BH997">
        <f>$C997*BH996</f>
        <v/>
      </c>
      <c r="BI997">
        <f>$C997*BI996</f>
        <v/>
      </c>
      <c r="BJ997">
        <f>$C997*BJ996</f>
        <v/>
      </c>
      <c r="BK997">
        <f>$C997*BK996</f>
        <v/>
      </c>
      <c r="BL997">
        <f>$C997*BL996</f>
        <v/>
      </c>
      <c r="BM997">
        <f>$C997*BM996</f>
        <v/>
      </c>
      <c r="BN997">
        <f>$C997*BN996</f>
        <v/>
      </c>
      <c r="BO997">
        <f>$C997*BO996</f>
        <v/>
      </c>
      <c r="BP997">
        <f>$C997*BP996</f>
        <v/>
      </c>
      <c r="BQ997">
        <f>$C997*BQ996</f>
        <v/>
      </c>
      <c r="BR997">
        <f>$C997*BR996</f>
        <v/>
      </c>
      <c r="BS997">
        <f>$C997*BS996</f>
        <v/>
      </c>
      <c r="BT997">
        <f>$C997*BT996</f>
        <v/>
      </c>
      <c r="BU997">
        <f>$C997*BU996</f>
        <v/>
      </c>
      <c r="BV997">
        <f>$C997*BV996</f>
        <v/>
      </c>
      <c r="BW997">
        <f>$C997*BW996</f>
        <v/>
      </c>
      <c r="BX997">
        <f>$C997*BX996</f>
        <v/>
      </c>
      <c r="BY997">
        <f>$C997*BY996</f>
        <v/>
      </c>
      <c r="BZ997">
        <f>$C997*BZ996</f>
        <v/>
      </c>
      <c r="CA997">
        <f>$C997*CA996</f>
        <v/>
      </c>
      <c r="CB997">
        <f>$C997*CB996</f>
        <v/>
      </c>
      <c r="CC997">
        <f>$C997*CC996</f>
        <v/>
      </c>
      <c r="CD997">
        <f>$C997*CD996</f>
        <v/>
      </c>
      <c r="CE997">
        <f>$C997*CE996</f>
        <v/>
      </c>
      <c r="CF997">
        <f>$C997*CF996</f>
        <v/>
      </c>
      <c r="CG997">
        <f>$C997*CG996</f>
        <v/>
      </c>
      <c r="CH997">
        <f>$C997*CH996</f>
        <v/>
      </c>
      <c r="CI997">
        <f>$C997*CI996</f>
        <v/>
      </c>
      <c r="CJ997">
        <f>$C997*CJ996</f>
        <v/>
      </c>
      <c r="CK997">
        <f>$C997*CK996</f>
        <v/>
      </c>
      <c r="CL997">
        <f>$C997*CL996</f>
        <v/>
      </c>
      <c r="CM997">
        <f>$C997*CM996</f>
        <v/>
      </c>
      <c r="CN997">
        <f>$C997*CN996</f>
        <v/>
      </c>
      <c r="CO997">
        <f>$C997*CO996</f>
        <v/>
      </c>
      <c r="CP997">
        <f>$C997*CP996</f>
        <v/>
      </c>
      <c r="CQ997">
        <f>$C997*CQ996</f>
        <v/>
      </c>
      <c r="CR997">
        <f>$C997*CR996</f>
        <v/>
      </c>
      <c r="CS997">
        <f>$C997*CS996</f>
        <v/>
      </c>
      <c r="CT997">
        <f>$C997*CT996</f>
        <v/>
      </c>
      <c r="CU997">
        <f>$C997*CU996</f>
        <v/>
      </c>
      <c r="CV997">
        <f>$C997*CV996</f>
        <v/>
      </c>
      <c r="CW997">
        <f>$C997*CW996</f>
        <v/>
      </c>
      <c r="CX997">
        <f>$C997*CX996</f>
        <v/>
      </c>
      <c r="CY997">
        <f>$C997*CY996</f>
        <v/>
      </c>
      <c r="CZ997">
        <f>$C997*CZ996</f>
        <v/>
      </c>
      <c r="DA997">
        <f>$C997*DA996</f>
        <v/>
      </c>
      <c r="DB997">
        <f>$C997*DB996</f>
        <v/>
      </c>
      <c r="DC997">
        <f>$C997*DC996</f>
        <v/>
      </c>
    </row>
    <row r="998">
      <c r="B998" t="inlineStr">
        <is>
          <t>No of times used</t>
        </is>
      </c>
      <c r="C998" t="inlineStr">
        <is>
          <t>No. of batches</t>
        </is>
      </c>
      <c r="D998">
        <f>IFERROR(INDEX(PP_Grid[#Data],$DD998,2),0)</f>
        <v/>
      </c>
      <c r="E998">
        <f>IFERROR(INDEX(PP_Grid[#Data],$DD998,3),0)</f>
        <v/>
      </c>
      <c r="F998">
        <f>IFERROR(INDEX(PP_Grid[#Data],$DD998,4),0)</f>
        <v/>
      </c>
      <c r="G998">
        <f>IFERROR(INDEX(PP_Grid[#Data],$DD998,5),0)</f>
        <v/>
      </c>
      <c r="H998">
        <f>IFERROR(INDEX(PP_Grid[#Data],$DD998,6),0)</f>
        <v/>
      </c>
      <c r="I998">
        <f>IFERROR(INDEX(PP_Grid[#Data],$DD998,7),0)</f>
        <v/>
      </c>
      <c r="J998">
        <f>IFERROR(INDEX(PP_Grid[#Data],$DD998,8),0)</f>
        <v/>
      </c>
      <c r="K998">
        <f>IFERROR(INDEX(PP_Grid[#Data],$DD998,9),0)</f>
        <v/>
      </c>
      <c r="L998">
        <f>IFERROR(INDEX(PP_Grid[#Data],$DD998,10),0)</f>
        <v/>
      </c>
      <c r="M998">
        <f>IFERROR(INDEX(PP_Grid[#Data],$DD998,11),0)</f>
        <v/>
      </c>
      <c r="N998">
        <f>IFERROR(INDEX(PP_Grid[#Data],$DD998,12),0)</f>
        <v/>
      </c>
      <c r="O998">
        <f>IFERROR(INDEX(PP_Grid[#Data],$DD998,13),0)</f>
        <v/>
      </c>
      <c r="P998">
        <f>IFERROR(INDEX(PP_Grid[#Data],$DD998,14),0)</f>
        <v/>
      </c>
      <c r="Q998">
        <f>IFERROR(INDEX(PP_Grid[#Data],$DD998,15),0)</f>
        <v/>
      </c>
      <c r="R998">
        <f>IFERROR(INDEX(PP_Grid[#Data],$DD998,16),0)</f>
        <v/>
      </c>
      <c r="S998">
        <f>IFERROR(INDEX(PP_Grid[#Data],$DD998,17),0)</f>
        <v/>
      </c>
      <c r="T998">
        <f>IFERROR(INDEX(PP_Grid[#Data],$DD998,18),0)</f>
        <v/>
      </c>
      <c r="U998">
        <f>IFERROR(INDEX(PP_Grid[#Data],$DD998,19),0)</f>
        <v/>
      </c>
      <c r="V998">
        <f>IFERROR(INDEX(PP_Grid[#Data],$DD998,20),0)</f>
        <v/>
      </c>
      <c r="W998">
        <f>IFERROR(INDEX(PP_Grid[#Data],$DD998,21),0)</f>
        <v/>
      </c>
      <c r="X998">
        <f>IFERROR(INDEX(PP_Grid[#Data],$DD998,22),0)</f>
        <v/>
      </c>
      <c r="Y998">
        <f>IFERROR(INDEX(PP_Grid[#Data],$DD998,23),0)</f>
        <v/>
      </c>
      <c r="Z998">
        <f>IFERROR(INDEX(PP_Grid[#Data],$DD998,24),0)</f>
        <v/>
      </c>
      <c r="AA998">
        <f>IFERROR(INDEX(PP_Grid[#Data],$DD998,25),0)</f>
        <v/>
      </c>
      <c r="AB998">
        <f>IFERROR(INDEX(PP_Grid[#Data],$DD998,26),0)</f>
        <v/>
      </c>
      <c r="AC998">
        <f>IFERROR(INDEX(PP_Grid[#Data],$DD998,27),0)</f>
        <v/>
      </c>
      <c r="AD998">
        <f>IFERROR(INDEX(PP_Grid[#Data],$DD998,28),0)</f>
        <v/>
      </c>
      <c r="AE998">
        <f>IFERROR(INDEX(PP_Grid[#Data],$DD998,29),0)</f>
        <v/>
      </c>
      <c r="AF998">
        <f>IFERROR(INDEX(PP_Grid[#Data],$DD998,30),0)</f>
        <v/>
      </c>
      <c r="AG998">
        <f>IFERROR(INDEX(PP_Grid[#Data],$DD998,31),0)</f>
        <v/>
      </c>
      <c r="AH998">
        <f>IFERROR(INDEX(PP_Grid[#Data],$DD998,32),0)</f>
        <v/>
      </c>
      <c r="AI998">
        <f>IFERROR(INDEX(PP_Grid[#Data],$DD998,33),0)</f>
        <v/>
      </c>
      <c r="AJ998">
        <f>IFERROR(INDEX(PP_Grid[#Data],$DD998,34),0)</f>
        <v/>
      </c>
      <c r="AK998">
        <f>IFERROR(INDEX(PP_Grid[#Data],$DD998,35),0)</f>
        <v/>
      </c>
      <c r="AL998">
        <f>IFERROR(INDEX(PP_Grid[#Data],$DD998,36),0)</f>
        <v/>
      </c>
      <c r="AM998">
        <f>IFERROR(INDEX(PP_Grid[#Data],$DD998,37),0)</f>
        <v/>
      </c>
      <c r="AN998">
        <f>IFERROR(INDEX(PP_Grid[#Data],$DD998,38),0)</f>
        <v/>
      </c>
      <c r="AO998">
        <f>IFERROR(INDEX(PP_Grid[#Data],$DD998,39),0)</f>
        <v/>
      </c>
      <c r="AP998">
        <f>IFERROR(INDEX(PP_Grid[#Data],$DD998,40),0)</f>
        <v/>
      </c>
      <c r="AQ998">
        <f>IFERROR(INDEX(PP_Grid[#Data],$DD998,41),0)</f>
        <v/>
      </c>
      <c r="AR998">
        <f>IFERROR(INDEX(PP_Grid[#Data],$DD998,42),0)</f>
        <v/>
      </c>
      <c r="AS998">
        <f>IFERROR(INDEX(PP_Grid[#Data],$DD998,43),0)</f>
        <v/>
      </c>
      <c r="AT998">
        <f>IFERROR(INDEX(PP_Grid[#Data],$DD998,44),0)</f>
        <v/>
      </c>
      <c r="AU998">
        <f>IFERROR(INDEX(PP_Grid[#Data],$DD998,45),0)</f>
        <v/>
      </c>
      <c r="AV998">
        <f>IFERROR(INDEX(PP_Grid[#Data],$DD998,46),0)</f>
        <v/>
      </c>
      <c r="AW998">
        <f>IFERROR(INDEX(PP_Grid[#Data],$DD998,47),0)</f>
        <v/>
      </c>
      <c r="AX998">
        <f>IFERROR(INDEX(PP_Grid[#Data],$DD998,48),0)</f>
        <v/>
      </c>
      <c r="AY998">
        <f>IFERROR(INDEX(PP_Grid[#Data],$DD998,49),0)</f>
        <v/>
      </c>
      <c r="AZ998">
        <f>IFERROR(INDEX(PP_Grid[#Data],$DD998,50),0)</f>
        <v/>
      </c>
      <c r="BA998">
        <f>IFERROR(INDEX(PP_Grid[#Data],$DD998,51),0)</f>
        <v/>
      </c>
      <c r="BB998">
        <f>IFERROR(INDEX(PP_Grid[#Data],$DD998,52),0)</f>
        <v/>
      </c>
      <c r="BC998">
        <f>IFERROR(INDEX(PP_Grid[#Data],$DD998,53),0)</f>
        <v/>
      </c>
      <c r="BD998">
        <f>IFERROR(INDEX(PP_Grid[#Data],$DD998,54),0)</f>
        <v/>
      </c>
      <c r="BE998">
        <f>IFERROR(INDEX(PP_Grid[#Data],$DD998,55),0)</f>
        <v/>
      </c>
      <c r="BF998">
        <f>IFERROR(INDEX(PP_Grid[#Data],$DD998,56),0)</f>
        <v/>
      </c>
      <c r="BG998">
        <f>IFERROR(INDEX(PP_Grid[#Data],$DD998,57),0)</f>
        <v/>
      </c>
      <c r="BH998">
        <f>IFERROR(INDEX(PP_Grid[#Data],$DD998,58),0)</f>
        <v/>
      </c>
      <c r="BI998">
        <f>IFERROR(INDEX(PP_Grid[#Data],$DD998,59),0)</f>
        <v/>
      </c>
      <c r="BJ998">
        <f>IFERROR(INDEX(PP_Grid[#Data],$DD998,60),0)</f>
        <v/>
      </c>
      <c r="BK998">
        <f>IFERROR(INDEX(PP_Grid[#Data],$DD998,61),0)</f>
        <v/>
      </c>
      <c r="BL998">
        <f>IFERROR(INDEX(PP_Grid[#Data],$DD998,62),0)</f>
        <v/>
      </c>
      <c r="BM998">
        <f>IFERROR(INDEX(PP_Grid[#Data],$DD998,63),0)</f>
        <v/>
      </c>
      <c r="BN998">
        <f>IFERROR(INDEX(PP_Grid[#Data],$DD998,64),0)</f>
        <v/>
      </c>
      <c r="BO998">
        <f>IFERROR(INDEX(PP_Grid[#Data],$DD998,65),0)</f>
        <v/>
      </c>
      <c r="BP998">
        <f>IFERROR(INDEX(PP_Grid[#Data],$DD998,66),0)</f>
        <v/>
      </c>
      <c r="BQ998">
        <f>IFERROR(INDEX(PP_Grid[#Data],$DD998,67),0)</f>
        <v/>
      </c>
      <c r="BR998">
        <f>IFERROR(INDEX(PP_Grid[#Data],$DD998,68),0)</f>
        <v/>
      </c>
      <c r="BS998">
        <f>IFERROR(INDEX(PP_Grid[#Data],$DD998,69),0)</f>
        <v/>
      </c>
      <c r="BT998">
        <f>IFERROR(INDEX(PP_Grid[#Data],$DD998,70),0)</f>
        <v/>
      </c>
      <c r="BU998">
        <f>IFERROR(INDEX(PP_Grid[#Data],$DD998,71),0)</f>
        <v/>
      </c>
      <c r="BV998">
        <f>IFERROR(INDEX(PP_Grid[#Data],$DD998,72),0)</f>
        <v/>
      </c>
      <c r="BW998">
        <f>IFERROR(INDEX(PP_Grid[#Data],$DD998,73),0)</f>
        <v/>
      </c>
      <c r="BX998">
        <f>IFERROR(INDEX(PP_Grid[#Data],$DD998,74),0)</f>
        <v/>
      </c>
      <c r="BY998">
        <f>IFERROR(INDEX(PP_Grid[#Data],$DD998,75),0)</f>
        <v/>
      </c>
      <c r="BZ998">
        <f>IFERROR(INDEX(PP_Grid[#Data],$DD998,76),0)</f>
        <v/>
      </c>
      <c r="CA998">
        <f>IFERROR(INDEX(PP_Grid[#Data],$DD998,77),0)</f>
        <v/>
      </c>
      <c r="CB998">
        <f>IFERROR(INDEX(PP_Grid[#Data],$DD998,78),0)</f>
        <v/>
      </c>
      <c r="CC998">
        <f>IFERROR(INDEX(PP_Grid[#Data],$DD998,79),0)</f>
        <v/>
      </c>
      <c r="CD998">
        <f>IFERROR(INDEX(PP_Grid[#Data],$DD998,80),0)</f>
        <v/>
      </c>
      <c r="CE998">
        <f>IFERROR(INDEX(PP_Grid[#Data],$DD998,81),0)</f>
        <v/>
      </c>
      <c r="CF998">
        <f>IFERROR(INDEX(PP_Grid[#Data],$DD998,82),0)</f>
        <v/>
      </c>
      <c r="CG998">
        <f>IFERROR(INDEX(PP_Grid[#Data],$DD998,83),0)</f>
        <v/>
      </c>
      <c r="CH998">
        <f>IFERROR(INDEX(PP_Grid[#Data],$DD998,84),0)</f>
        <v/>
      </c>
      <c r="CI998">
        <f>IFERROR(INDEX(PP_Grid[#Data],$DD998,85),0)</f>
        <v/>
      </c>
      <c r="CJ998">
        <f>IFERROR(INDEX(PP_Grid[#Data],$DD998,86),0)</f>
        <v/>
      </c>
      <c r="CK998">
        <f>IFERROR(INDEX(PP_Grid[#Data],$DD998,87),0)</f>
        <v/>
      </c>
      <c r="CL998">
        <f>IFERROR(INDEX(PP_Grid[#Data],$DD998,88),0)</f>
        <v/>
      </c>
      <c r="CM998">
        <f>IFERROR(INDEX(PP_Grid[#Data],$DD998,89),0)</f>
        <v/>
      </c>
      <c r="CN998">
        <f>IFERROR(INDEX(PP_Grid[#Data],$DD998,90),0)</f>
        <v/>
      </c>
      <c r="CO998">
        <f>IFERROR(INDEX(PP_Grid[#Data],$DD998,91),0)</f>
        <v/>
      </c>
      <c r="CP998">
        <f>IFERROR(INDEX(PP_Grid[#Data],$DD998,92),0)</f>
        <v/>
      </c>
      <c r="CQ998">
        <f>IFERROR(INDEX(PP_Grid[#Data],$DD998,93),0)</f>
        <v/>
      </c>
      <c r="CR998">
        <f>IFERROR(INDEX(PP_Grid[#Data],$DD998,94),0)</f>
        <v/>
      </c>
      <c r="CS998">
        <f>IFERROR(INDEX(PP_Grid[#Data],$DD998,95),0)</f>
        <v/>
      </c>
      <c r="CT998">
        <f>IFERROR(INDEX(PP_Grid[#Data],$DD998,96),0)</f>
        <v/>
      </c>
      <c r="CU998">
        <f>IFERROR(INDEX(PP_Grid[#Data],$DD998,97),0)</f>
        <v/>
      </c>
      <c r="CV998">
        <f>IFERROR(INDEX(PP_Grid[#Data],$DD998,98),0)</f>
        <v/>
      </c>
      <c r="CW998">
        <f>IFERROR(INDEX(PP_Grid[#Data],$DD998,99),0)</f>
        <v/>
      </c>
      <c r="CX998">
        <f>IFERROR(INDEX(PP_Grid[#Data],$DD998,100),0)</f>
        <v/>
      </c>
      <c r="CY998">
        <f>IFERROR(INDEX(PP_Grid[#Data],$DD998,101),0)</f>
        <v/>
      </c>
      <c r="CZ998">
        <f>IFERROR(INDEX(PP_Grid[#Data],$DD998,102),0)</f>
        <v/>
      </c>
      <c r="DA998">
        <f>IFERROR(INDEX(PP_Grid[#Data],$DD998,103),0)</f>
        <v/>
      </c>
      <c r="DB998">
        <f>IFERROR(INDEX(PP_Grid[#Data],$DD998,104),0)</f>
        <v/>
      </c>
      <c r="DC998">
        <f>IFERROR(INDEX(PP_Grid[#Data],$DD998,105),0)</f>
        <v/>
      </c>
      <c r="DD998" s="7">
        <f>IFERROR(MATCH($B998,PP_Grid[Intermediate],0),99999)</f>
        <v/>
      </c>
    </row>
    <row r="999">
      <c r="B999" t="inlineStr">
        <is>
          <t>使用量(kg)</t>
        </is>
      </c>
      <c r="C999">
        <f>SUMIFS(M_BOM[RM_Qty_Per_Batch],M_BOM[Intermediate],$B998,M_BOM[Part Name],$A995)</f>
        <v/>
      </c>
      <c r="D999">
        <f>$C999*D998</f>
        <v/>
      </c>
      <c r="E999">
        <f>$C999*E998</f>
        <v/>
      </c>
      <c r="F999">
        <f>$C999*F998</f>
        <v/>
      </c>
      <c r="G999">
        <f>$C999*G998</f>
        <v/>
      </c>
      <c r="H999">
        <f>$C999*H998</f>
        <v/>
      </c>
      <c r="I999">
        <f>$C999*I998</f>
        <v/>
      </c>
      <c r="J999">
        <f>$C999*J998</f>
        <v/>
      </c>
      <c r="K999">
        <f>$C999*K998</f>
        <v/>
      </c>
      <c r="L999">
        <f>$C999*L998</f>
        <v/>
      </c>
      <c r="M999">
        <f>$C999*M998</f>
        <v/>
      </c>
      <c r="N999">
        <f>$C999*N998</f>
        <v/>
      </c>
      <c r="O999">
        <f>$C999*O998</f>
        <v/>
      </c>
      <c r="P999">
        <f>$C999*P998</f>
        <v/>
      </c>
      <c r="Q999">
        <f>$C999*Q998</f>
        <v/>
      </c>
      <c r="R999">
        <f>$C999*R998</f>
        <v/>
      </c>
      <c r="S999">
        <f>$C999*S998</f>
        <v/>
      </c>
      <c r="T999">
        <f>$C999*T998</f>
        <v/>
      </c>
      <c r="U999">
        <f>$C999*U998</f>
        <v/>
      </c>
      <c r="V999">
        <f>$C999*V998</f>
        <v/>
      </c>
      <c r="W999">
        <f>$C999*W998</f>
        <v/>
      </c>
      <c r="X999">
        <f>$C999*X998</f>
        <v/>
      </c>
      <c r="Y999">
        <f>$C999*Y998</f>
        <v/>
      </c>
      <c r="Z999">
        <f>$C999*Z998</f>
        <v/>
      </c>
      <c r="AA999">
        <f>$C999*AA998</f>
        <v/>
      </c>
      <c r="AB999">
        <f>$C999*AB998</f>
        <v/>
      </c>
      <c r="AC999">
        <f>$C999*AC998</f>
        <v/>
      </c>
      <c r="AD999">
        <f>$C999*AD998</f>
        <v/>
      </c>
      <c r="AE999">
        <f>$C999*AE998</f>
        <v/>
      </c>
      <c r="AF999">
        <f>$C999*AF998</f>
        <v/>
      </c>
      <c r="AG999">
        <f>$C999*AG998</f>
        <v/>
      </c>
      <c r="AH999">
        <f>$C999*AH998</f>
        <v/>
      </c>
      <c r="AI999">
        <f>$C999*AI998</f>
        <v/>
      </c>
      <c r="AJ999">
        <f>$C999*AJ998</f>
        <v/>
      </c>
      <c r="AK999">
        <f>$C999*AK998</f>
        <v/>
      </c>
      <c r="AL999">
        <f>$C999*AL998</f>
        <v/>
      </c>
      <c r="AM999">
        <f>$C999*AM998</f>
        <v/>
      </c>
      <c r="AN999">
        <f>$C999*AN998</f>
        <v/>
      </c>
      <c r="AO999">
        <f>$C999*AO998</f>
        <v/>
      </c>
      <c r="AP999">
        <f>$C999*AP998</f>
        <v/>
      </c>
      <c r="AQ999">
        <f>$C999*AQ998</f>
        <v/>
      </c>
      <c r="AR999">
        <f>$C999*AR998</f>
        <v/>
      </c>
      <c r="AS999">
        <f>$C999*AS998</f>
        <v/>
      </c>
      <c r="AT999">
        <f>$C999*AT998</f>
        <v/>
      </c>
      <c r="AU999">
        <f>$C999*AU998</f>
        <v/>
      </c>
      <c r="AV999">
        <f>$C999*AV998</f>
        <v/>
      </c>
      <c r="AW999">
        <f>$C999*AW998</f>
        <v/>
      </c>
      <c r="AX999">
        <f>$C999*AX998</f>
        <v/>
      </c>
      <c r="AY999">
        <f>$C999*AY998</f>
        <v/>
      </c>
      <c r="AZ999">
        <f>$C999*AZ998</f>
        <v/>
      </c>
      <c r="BA999">
        <f>$C999*BA998</f>
        <v/>
      </c>
      <c r="BB999">
        <f>$C999*BB998</f>
        <v/>
      </c>
      <c r="BC999">
        <f>$C999*BC998</f>
        <v/>
      </c>
      <c r="BD999">
        <f>$C999*BD998</f>
        <v/>
      </c>
      <c r="BE999">
        <f>$C999*BE998</f>
        <v/>
      </c>
      <c r="BF999">
        <f>$C999*BF998</f>
        <v/>
      </c>
      <c r="BG999">
        <f>$C999*BG998</f>
        <v/>
      </c>
      <c r="BH999">
        <f>$C999*BH998</f>
        <v/>
      </c>
      <c r="BI999">
        <f>$C999*BI998</f>
        <v/>
      </c>
      <c r="BJ999">
        <f>$C999*BJ998</f>
        <v/>
      </c>
      <c r="BK999">
        <f>$C999*BK998</f>
        <v/>
      </c>
      <c r="BL999">
        <f>$C999*BL998</f>
        <v/>
      </c>
      <c r="BM999">
        <f>$C999*BM998</f>
        <v/>
      </c>
      <c r="BN999">
        <f>$C999*BN998</f>
        <v/>
      </c>
      <c r="BO999">
        <f>$C999*BO998</f>
        <v/>
      </c>
      <c r="BP999">
        <f>$C999*BP998</f>
        <v/>
      </c>
      <c r="BQ999">
        <f>$C999*BQ998</f>
        <v/>
      </c>
      <c r="BR999">
        <f>$C999*BR998</f>
        <v/>
      </c>
      <c r="BS999">
        <f>$C999*BS998</f>
        <v/>
      </c>
      <c r="BT999">
        <f>$C999*BT998</f>
        <v/>
      </c>
      <c r="BU999">
        <f>$C999*BU998</f>
        <v/>
      </c>
      <c r="BV999">
        <f>$C999*BV998</f>
        <v/>
      </c>
      <c r="BW999">
        <f>$C999*BW998</f>
        <v/>
      </c>
      <c r="BX999">
        <f>$C999*BX998</f>
        <v/>
      </c>
      <c r="BY999">
        <f>$C999*BY998</f>
        <v/>
      </c>
      <c r="BZ999">
        <f>$C999*BZ998</f>
        <v/>
      </c>
      <c r="CA999">
        <f>$C999*CA998</f>
        <v/>
      </c>
      <c r="CB999">
        <f>$C999*CB998</f>
        <v/>
      </c>
      <c r="CC999">
        <f>$C999*CC998</f>
        <v/>
      </c>
      <c r="CD999">
        <f>$C999*CD998</f>
        <v/>
      </c>
      <c r="CE999">
        <f>$C999*CE998</f>
        <v/>
      </c>
      <c r="CF999">
        <f>$C999*CF998</f>
        <v/>
      </c>
      <c r="CG999">
        <f>$C999*CG998</f>
        <v/>
      </c>
      <c r="CH999">
        <f>$C999*CH998</f>
        <v/>
      </c>
      <c r="CI999">
        <f>$C999*CI998</f>
        <v/>
      </c>
      <c r="CJ999">
        <f>$C999*CJ998</f>
        <v/>
      </c>
      <c r="CK999">
        <f>$C999*CK998</f>
        <v/>
      </c>
      <c r="CL999">
        <f>$C999*CL998</f>
        <v/>
      </c>
      <c r="CM999">
        <f>$C999*CM998</f>
        <v/>
      </c>
      <c r="CN999">
        <f>$C999*CN998</f>
        <v/>
      </c>
      <c r="CO999">
        <f>$C999*CO998</f>
        <v/>
      </c>
      <c r="CP999">
        <f>$C999*CP998</f>
        <v/>
      </c>
      <c r="CQ999">
        <f>$C999*CQ998</f>
        <v/>
      </c>
      <c r="CR999">
        <f>$C999*CR998</f>
        <v/>
      </c>
      <c r="CS999">
        <f>$C999*CS998</f>
        <v/>
      </c>
      <c r="CT999">
        <f>$C999*CT998</f>
        <v/>
      </c>
      <c r="CU999">
        <f>$C999*CU998</f>
        <v/>
      </c>
      <c r="CV999">
        <f>$C999*CV998</f>
        <v/>
      </c>
      <c r="CW999">
        <f>$C999*CW998</f>
        <v/>
      </c>
      <c r="CX999">
        <f>$C999*CX998</f>
        <v/>
      </c>
      <c r="CY999">
        <f>$C999*CY998</f>
        <v/>
      </c>
      <c r="CZ999">
        <f>$C999*CZ998</f>
        <v/>
      </c>
      <c r="DA999">
        <f>$C999*DA998</f>
        <v/>
      </c>
      <c r="DB999">
        <f>$C999*DB998</f>
        <v/>
      </c>
      <c r="DC999">
        <f>$C999*DC998</f>
        <v/>
      </c>
    </row>
    <row r="1000">
      <c r="B1000" s="4" t="inlineStr">
        <is>
          <t>合計使用量(kg)/週</t>
        </is>
      </c>
      <c r="D1000">
        <f>'Grid_Requirement'!B36</f>
        <v/>
      </c>
      <c r="E1000">
        <f>'Grid_Requirement'!C36</f>
        <v/>
      </c>
      <c r="F1000">
        <f>'Grid_Requirement'!D36</f>
        <v/>
      </c>
      <c r="G1000">
        <f>'Grid_Requirement'!E36</f>
        <v/>
      </c>
      <c r="H1000">
        <f>'Grid_Requirement'!F36</f>
        <v/>
      </c>
      <c r="I1000">
        <f>'Grid_Requirement'!G36</f>
        <v/>
      </c>
      <c r="J1000">
        <f>'Grid_Requirement'!H36</f>
        <v/>
      </c>
      <c r="K1000">
        <f>'Grid_Requirement'!I36</f>
        <v/>
      </c>
      <c r="L1000">
        <f>'Grid_Requirement'!J36</f>
        <v/>
      </c>
      <c r="M1000">
        <f>'Grid_Requirement'!K36</f>
        <v/>
      </c>
      <c r="N1000">
        <f>'Grid_Requirement'!L36</f>
        <v/>
      </c>
      <c r="O1000">
        <f>'Grid_Requirement'!M36</f>
        <v/>
      </c>
      <c r="P1000">
        <f>'Grid_Requirement'!N36</f>
        <v/>
      </c>
      <c r="Q1000">
        <f>'Grid_Requirement'!O36</f>
        <v/>
      </c>
      <c r="R1000">
        <f>'Grid_Requirement'!P36</f>
        <v/>
      </c>
      <c r="S1000">
        <f>'Grid_Requirement'!Q36</f>
        <v/>
      </c>
      <c r="T1000">
        <f>'Grid_Requirement'!R36</f>
        <v/>
      </c>
      <c r="U1000">
        <f>'Grid_Requirement'!S36</f>
        <v/>
      </c>
      <c r="V1000">
        <f>'Grid_Requirement'!T36</f>
        <v/>
      </c>
      <c r="W1000">
        <f>'Grid_Requirement'!U36</f>
        <v/>
      </c>
      <c r="X1000">
        <f>'Grid_Requirement'!V36</f>
        <v/>
      </c>
      <c r="Y1000">
        <f>'Grid_Requirement'!W36</f>
        <v/>
      </c>
      <c r="Z1000">
        <f>'Grid_Requirement'!X36</f>
        <v/>
      </c>
      <c r="AA1000">
        <f>'Grid_Requirement'!Y36</f>
        <v/>
      </c>
      <c r="AB1000">
        <f>'Grid_Requirement'!Z36</f>
        <v/>
      </c>
      <c r="AC1000">
        <f>'Grid_Requirement'!AA36</f>
        <v/>
      </c>
      <c r="AD1000">
        <f>'Grid_Requirement'!AB36</f>
        <v/>
      </c>
      <c r="AE1000">
        <f>'Grid_Requirement'!AC36</f>
        <v/>
      </c>
      <c r="AF1000">
        <f>'Grid_Requirement'!AD36</f>
        <v/>
      </c>
      <c r="AG1000">
        <f>'Grid_Requirement'!AE36</f>
        <v/>
      </c>
      <c r="AH1000">
        <f>'Grid_Requirement'!AF36</f>
        <v/>
      </c>
      <c r="AI1000">
        <f>'Grid_Requirement'!AG36</f>
        <v/>
      </c>
      <c r="AJ1000">
        <f>'Grid_Requirement'!AH36</f>
        <v/>
      </c>
      <c r="AK1000">
        <f>'Grid_Requirement'!AI36</f>
        <v/>
      </c>
      <c r="AL1000">
        <f>'Grid_Requirement'!AJ36</f>
        <v/>
      </c>
      <c r="AM1000">
        <f>'Grid_Requirement'!AK36</f>
        <v/>
      </c>
      <c r="AN1000">
        <f>'Grid_Requirement'!AL36</f>
        <v/>
      </c>
      <c r="AO1000">
        <f>'Grid_Requirement'!AM36</f>
        <v/>
      </c>
      <c r="AP1000">
        <f>'Grid_Requirement'!AN36</f>
        <v/>
      </c>
      <c r="AQ1000">
        <f>'Grid_Requirement'!AO36</f>
        <v/>
      </c>
      <c r="AR1000">
        <f>'Grid_Requirement'!AP36</f>
        <v/>
      </c>
      <c r="AS1000">
        <f>'Grid_Requirement'!AQ36</f>
        <v/>
      </c>
      <c r="AT1000">
        <f>'Grid_Requirement'!AR36</f>
        <v/>
      </c>
      <c r="AU1000">
        <f>'Grid_Requirement'!AS36</f>
        <v/>
      </c>
      <c r="AV1000">
        <f>'Grid_Requirement'!AT36</f>
        <v/>
      </c>
      <c r="AW1000">
        <f>'Grid_Requirement'!AU36</f>
        <v/>
      </c>
      <c r="AX1000">
        <f>'Grid_Requirement'!AV36</f>
        <v/>
      </c>
      <c r="AY1000">
        <f>'Grid_Requirement'!AW36</f>
        <v/>
      </c>
      <c r="AZ1000">
        <f>'Grid_Requirement'!AX36</f>
        <v/>
      </c>
      <c r="BA1000">
        <f>'Grid_Requirement'!AY36</f>
        <v/>
      </c>
      <c r="BB1000">
        <f>'Grid_Requirement'!AZ36</f>
        <v/>
      </c>
      <c r="BC1000">
        <f>'Grid_Requirement'!BA36</f>
        <v/>
      </c>
      <c r="BD1000">
        <f>'Grid_Requirement'!BB36</f>
        <v/>
      </c>
      <c r="BE1000">
        <f>'Grid_Requirement'!BC36</f>
        <v/>
      </c>
      <c r="BF1000">
        <f>'Grid_Requirement'!BD36</f>
        <v/>
      </c>
      <c r="BG1000">
        <f>'Grid_Requirement'!BE36</f>
        <v/>
      </c>
      <c r="BH1000">
        <f>'Grid_Requirement'!BF36</f>
        <v/>
      </c>
      <c r="BI1000">
        <f>'Grid_Requirement'!BG36</f>
        <v/>
      </c>
      <c r="BJ1000">
        <f>'Grid_Requirement'!BH36</f>
        <v/>
      </c>
      <c r="BK1000">
        <f>'Grid_Requirement'!BI36</f>
        <v/>
      </c>
      <c r="BL1000">
        <f>'Grid_Requirement'!BJ36</f>
        <v/>
      </c>
      <c r="BM1000">
        <f>'Grid_Requirement'!BK36</f>
        <v/>
      </c>
      <c r="BN1000">
        <f>'Grid_Requirement'!BL36</f>
        <v/>
      </c>
      <c r="BO1000">
        <f>'Grid_Requirement'!BM36</f>
        <v/>
      </c>
      <c r="BP1000">
        <f>'Grid_Requirement'!BN36</f>
        <v/>
      </c>
      <c r="BQ1000">
        <f>'Grid_Requirement'!BO36</f>
        <v/>
      </c>
      <c r="BR1000">
        <f>'Grid_Requirement'!BP36</f>
        <v/>
      </c>
      <c r="BS1000">
        <f>'Grid_Requirement'!BQ36</f>
        <v/>
      </c>
      <c r="BT1000">
        <f>'Grid_Requirement'!BR36</f>
        <v/>
      </c>
      <c r="BU1000">
        <f>'Grid_Requirement'!BS36</f>
        <v/>
      </c>
      <c r="BV1000">
        <f>'Grid_Requirement'!BT36</f>
        <v/>
      </c>
      <c r="BW1000">
        <f>'Grid_Requirement'!BU36</f>
        <v/>
      </c>
      <c r="BX1000">
        <f>'Grid_Requirement'!BV36</f>
        <v/>
      </c>
      <c r="BY1000">
        <f>'Grid_Requirement'!BW36</f>
        <v/>
      </c>
      <c r="BZ1000">
        <f>'Grid_Requirement'!BX36</f>
        <v/>
      </c>
      <c r="CA1000">
        <f>'Grid_Requirement'!BY36</f>
        <v/>
      </c>
      <c r="CB1000">
        <f>'Grid_Requirement'!BZ36</f>
        <v/>
      </c>
      <c r="CC1000">
        <f>'Grid_Requirement'!CA36</f>
        <v/>
      </c>
      <c r="CD1000">
        <f>'Grid_Requirement'!CB36</f>
        <v/>
      </c>
      <c r="CE1000">
        <f>'Grid_Requirement'!CC36</f>
        <v/>
      </c>
      <c r="CF1000">
        <f>'Grid_Requirement'!CD36</f>
        <v/>
      </c>
      <c r="CG1000">
        <f>'Grid_Requirement'!CE36</f>
        <v/>
      </c>
      <c r="CH1000">
        <f>'Grid_Requirement'!CF36</f>
        <v/>
      </c>
      <c r="CI1000">
        <f>'Grid_Requirement'!CG36</f>
        <v/>
      </c>
      <c r="CJ1000">
        <f>'Grid_Requirement'!CH36</f>
        <v/>
      </c>
      <c r="CK1000">
        <f>'Grid_Requirement'!CI36</f>
        <v/>
      </c>
      <c r="CL1000">
        <f>'Grid_Requirement'!CJ36</f>
        <v/>
      </c>
      <c r="CM1000">
        <f>'Grid_Requirement'!CK36</f>
        <v/>
      </c>
      <c r="CN1000">
        <f>'Grid_Requirement'!CL36</f>
        <v/>
      </c>
      <c r="CO1000">
        <f>'Grid_Requirement'!CM36</f>
        <v/>
      </c>
      <c r="CP1000">
        <f>'Grid_Requirement'!CN36</f>
        <v/>
      </c>
      <c r="CQ1000">
        <f>'Grid_Requirement'!CO36</f>
        <v/>
      </c>
      <c r="CR1000">
        <f>'Grid_Requirement'!CP36</f>
        <v/>
      </c>
      <c r="CS1000">
        <f>'Grid_Requirement'!CQ36</f>
        <v/>
      </c>
      <c r="CT1000">
        <f>'Grid_Requirement'!CR36</f>
        <v/>
      </c>
      <c r="CU1000">
        <f>'Grid_Requirement'!CS36</f>
        <v/>
      </c>
      <c r="CV1000">
        <f>'Grid_Requirement'!CT36</f>
        <v/>
      </c>
      <c r="CW1000">
        <f>'Grid_Requirement'!CU36</f>
        <v/>
      </c>
      <c r="CX1000">
        <f>'Grid_Requirement'!CV36</f>
        <v/>
      </c>
      <c r="CY1000">
        <f>'Grid_Requirement'!CW36</f>
        <v/>
      </c>
      <c r="CZ1000">
        <f>'Grid_Requirement'!CX36</f>
        <v/>
      </c>
      <c r="DA1000">
        <f>'Grid_Requirement'!CY36</f>
        <v/>
      </c>
      <c r="DB1000">
        <f>'Grid_Requirement'!CZ36</f>
        <v/>
      </c>
      <c r="DC1000">
        <f>'Grid_Requirement'!DA36</f>
        <v/>
      </c>
    </row>
    <row r="1001">
      <c r="B1001" t="inlineStr">
        <is>
          <t>TTAF在庫(実績,kg)</t>
        </is>
      </c>
      <c r="D1001">
        <f>'T_TTAFStock'!B40</f>
        <v/>
      </c>
      <c r="E1001">
        <f>'T_TTAFStock'!C40</f>
        <v/>
      </c>
      <c r="F1001">
        <f>'T_TTAFStock'!D40</f>
        <v/>
      </c>
      <c r="G1001">
        <f>'T_TTAFStock'!E40</f>
        <v/>
      </c>
      <c r="H1001">
        <f>'T_TTAFStock'!F40</f>
        <v/>
      </c>
      <c r="I1001">
        <f>'T_TTAFStock'!G40</f>
        <v/>
      </c>
      <c r="J1001">
        <f>'T_TTAFStock'!H40</f>
        <v/>
      </c>
      <c r="K1001">
        <f>'T_TTAFStock'!I40</f>
        <v/>
      </c>
      <c r="L1001">
        <f>'T_TTAFStock'!J40</f>
        <v/>
      </c>
      <c r="M1001">
        <f>'T_TTAFStock'!K40</f>
        <v/>
      </c>
      <c r="N1001">
        <f>'T_TTAFStock'!L40</f>
        <v/>
      </c>
      <c r="O1001">
        <f>'T_TTAFStock'!M40</f>
        <v/>
      </c>
      <c r="P1001">
        <f>'T_TTAFStock'!N40</f>
        <v/>
      </c>
      <c r="Q1001">
        <f>'T_TTAFStock'!O40</f>
        <v/>
      </c>
      <c r="R1001">
        <f>'T_TTAFStock'!P40</f>
        <v/>
      </c>
      <c r="S1001">
        <f>'T_TTAFStock'!Q40</f>
        <v/>
      </c>
      <c r="T1001">
        <f>'T_TTAFStock'!R40</f>
        <v/>
      </c>
      <c r="U1001">
        <f>'T_TTAFStock'!S40</f>
        <v/>
      </c>
      <c r="V1001">
        <f>'T_TTAFStock'!T40</f>
        <v/>
      </c>
      <c r="W1001">
        <f>'T_TTAFStock'!U40</f>
        <v/>
      </c>
      <c r="X1001">
        <f>'T_TTAFStock'!V40</f>
        <v/>
      </c>
      <c r="Y1001">
        <f>'T_TTAFStock'!W40</f>
        <v/>
      </c>
      <c r="Z1001">
        <f>'T_TTAFStock'!X40</f>
        <v/>
      </c>
      <c r="AA1001">
        <f>'T_TTAFStock'!Y40</f>
        <v/>
      </c>
      <c r="AB1001">
        <f>'T_TTAFStock'!Z40</f>
        <v/>
      </c>
      <c r="AC1001">
        <f>'T_TTAFStock'!AA40</f>
        <v/>
      </c>
      <c r="AD1001">
        <f>'T_TTAFStock'!AB40</f>
        <v/>
      </c>
      <c r="AE1001">
        <f>'T_TTAFStock'!AC40</f>
        <v/>
      </c>
      <c r="AF1001">
        <f>'T_TTAFStock'!AD40</f>
        <v/>
      </c>
      <c r="AG1001">
        <f>'T_TTAFStock'!AE40</f>
        <v/>
      </c>
      <c r="AH1001">
        <f>'T_TTAFStock'!AF40</f>
        <v/>
      </c>
      <c r="AI1001">
        <f>'T_TTAFStock'!AG40</f>
        <v/>
      </c>
      <c r="AJ1001">
        <f>'T_TTAFStock'!AH40</f>
        <v/>
      </c>
      <c r="AK1001">
        <f>'T_TTAFStock'!AI40</f>
        <v/>
      </c>
      <c r="AL1001">
        <f>'T_TTAFStock'!AJ40</f>
        <v/>
      </c>
      <c r="AM1001">
        <f>'T_TTAFStock'!AK40</f>
        <v/>
      </c>
      <c r="AN1001">
        <f>'T_TTAFStock'!AL40</f>
        <v/>
      </c>
      <c r="AO1001">
        <f>'T_TTAFStock'!AM40</f>
        <v/>
      </c>
      <c r="AP1001">
        <f>'T_TTAFStock'!AN40</f>
        <v/>
      </c>
      <c r="AQ1001">
        <f>'T_TTAFStock'!AO40</f>
        <v/>
      </c>
      <c r="AR1001">
        <f>'T_TTAFStock'!AP40</f>
        <v/>
      </c>
      <c r="AS1001">
        <f>'T_TTAFStock'!AQ40</f>
        <v/>
      </c>
      <c r="AT1001">
        <f>'T_TTAFStock'!AR40</f>
        <v/>
      </c>
      <c r="AU1001">
        <f>'T_TTAFStock'!AS40</f>
        <v/>
      </c>
      <c r="AV1001">
        <f>'T_TTAFStock'!AT40</f>
        <v/>
      </c>
      <c r="AW1001">
        <f>'T_TTAFStock'!AU40</f>
        <v/>
      </c>
      <c r="AX1001">
        <f>'T_TTAFStock'!AV40</f>
        <v/>
      </c>
      <c r="AY1001">
        <f>'T_TTAFStock'!AW40</f>
        <v/>
      </c>
      <c r="AZ1001">
        <f>'T_TTAFStock'!AX40</f>
        <v/>
      </c>
      <c r="BA1001">
        <f>'T_TTAFStock'!AY40</f>
        <v/>
      </c>
      <c r="BB1001">
        <f>'T_TTAFStock'!AZ40</f>
        <v/>
      </c>
      <c r="BC1001">
        <f>'T_TTAFStock'!BA40</f>
        <v/>
      </c>
      <c r="BD1001">
        <f>'T_TTAFStock'!BB40</f>
        <v/>
      </c>
      <c r="BE1001">
        <f>'T_TTAFStock'!BC40</f>
        <v/>
      </c>
      <c r="BF1001">
        <f>'T_TTAFStock'!BD40</f>
        <v/>
      </c>
      <c r="BG1001">
        <f>'T_TTAFStock'!BE40</f>
        <v/>
      </c>
      <c r="BH1001">
        <f>'T_TTAFStock'!BF40</f>
        <v/>
      </c>
      <c r="BI1001">
        <f>'T_TTAFStock'!BG40</f>
        <v/>
      </c>
      <c r="BJ1001">
        <f>'T_TTAFStock'!BH40</f>
        <v/>
      </c>
      <c r="BK1001">
        <f>'T_TTAFStock'!BI40</f>
        <v/>
      </c>
      <c r="BL1001">
        <f>'T_TTAFStock'!BJ40</f>
        <v/>
      </c>
      <c r="BM1001">
        <f>'T_TTAFStock'!BK40</f>
        <v/>
      </c>
      <c r="BN1001">
        <f>'T_TTAFStock'!BL40</f>
        <v/>
      </c>
      <c r="BO1001">
        <f>'T_TTAFStock'!BM40</f>
        <v/>
      </c>
      <c r="BP1001">
        <f>'T_TTAFStock'!BN40</f>
        <v/>
      </c>
      <c r="BQ1001">
        <f>'T_TTAFStock'!BO40</f>
        <v/>
      </c>
      <c r="BR1001">
        <f>'T_TTAFStock'!BP40</f>
        <v/>
      </c>
      <c r="BS1001">
        <f>'T_TTAFStock'!BQ40</f>
        <v/>
      </c>
      <c r="BT1001">
        <f>'T_TTAFStock'!BR40</f>
        <v/>
      </c>
      <c r="BU1001">
        <f>'T_TTAFStock'!BS40</f>
        <v/>
      </c>
      <c r="BV1001">
        <f>'T_TTAFStock'!BT40</f>
        <v/>
      </c>
      <c r="BW1001">
        <f>'T_TTAFStock'!BU40</f>
        <v/>
      </c>
      <c r="BX1001">
        <f>'T_TTAFStock'!BV40</f>
        <v/>
      </c>
      <c r="BY1001">
        <f>'T_TTAFStock'!BW40</f>
        <v/>
      </c>
      <c r="BZ1001">
        <f>'T_TTAFStock'!BX40</f>
        <v/>
      </c>
      <c r="CA1001">
        <f>'T_TTAFStock'!BY40</f>
        <v/>
      </c>
      <c r="CB1001">
        <f>'T_TTAFStock'!BZ40</f>
        <v/>
      </c>
      <c r="CC1001">
        <f>'T_TTAFStock'!CA40</f>
        <v/>
      </c>
      <c r="CD1001">
        <f>'T_TTAFStock'!CB40</f>
        <v/>
      </c>
      <c r="CE1001">
        <f>'T_TTAFStock'!CC40</f>
        <v/>
      </c>
      <c r="CF1001">
        <f>'T_TTAFStock'!CD40</f>
        <v/>
      </c>
      <c r="CG1001">
        <f>'T_TTAFStock'!CE40</f>
        <v/>
      </c>
      <c r="CH1001">
        <f>'T_TTAFStock'!CF40</f>
        <v/>
      </c>
      <c r="CI1001">
        <f>'T_TTAFStock'!CG40</f>
        <v/>
      </c>
      <c r="CJ1001">
        <f>'T_TTAFStock'!CH40</f>
        <v/>
      </c>
      <c r="CK1001">
        <f>'T_TTAFStock'!CI40</f>
        <v/>
      </c>
      <c r="CL1001">
        <f>'T_TTAFStock'!CJ40</f>
        <v/>
      </c>
      <c r="CM1001">
        <f>'T_TTAFStock'!CK40</f>
        <v/>
      </c>
      <c r="CN1001">
        <f>'T_TTAFStock'!CL40</f>
        <v/>
      </c>
      <c r="CO1001">
        <f>'T_TTAFStock'!CM40</f>
        <v/>
      </c>
      <c r="CP1001">
        <f>'T_TTAFStock'!CN40</f>
        <v/>
      </c>
      <c r="CQ1001">
        <f>'T_TTAFStock'!CO40</f>
        <v/>
      </c>
      <c r="CR1001">
        <f>'T_TTAFStock'!CP40</f>
        <v/>
      </c>
      <c r="CS1001">
        <f>'T_TTAFStock'!CQ40</f>
        <v/>
      </c>
      <c r="CT1001">
        <f>'T_TTAFStock'!CR40</f>
        <v/>
      </c>
      <c r="CU1001">
        <f>'T_TTAFStock'!CS40</f>
        <v/>
      </c>
      <c r="CV1001">
        <f>'T_TTAFStock'!CT40</f>
        <v/>
      </c>
      <c r="CW1001">
        <f>'T_TTAFStock'!CU40</f>
        <v/>
      </c>
      <c r="CX1001">
        <f>'T_TTAFStock'!CV40</f>
        <v/>
      </c>
      <c r="CY1001">
        <f>'T_TTAFStock'!CW40</f>
        <v/>
      </c>
      <c r="CZ1001">
        <f>'T_TTAFStock'!CX40</f>
        <v/>
      </c>
      <c r="DA1001">
        <f>'T_TTAFStock'!CY40</f>
        <v/>
      </c>
      <c r="DB1001">
        <f>'T_TTAFStock'!CZ40</f>
        <v/>
      </c>
      <c r="DC1001">
        <f>'T_TTAFStock'!DA40</f>
        <v/>
      </c>
    </row>
    <row r="1002">
      <c r="B1002" t="inlineStr">
        <is>
          <t>自社在庫(実績,kg)</t>
        </is>
      </c>
      <c r="D1002">
        <f>'T_SelfStock'!B40</f>
        <v/>
      </c>
      <c r="E1002">
        <f>'T_SelfStock'!C40</f>
        <v/>
      </c>
      <c r="F1002">
        <f>'T_SelfStock'!D40</f>
        <v/>
      </c>
      <c r="G1002">
        <f>'T_SelfStock'!E40</f>
        <v/>
      </c>
      <c r="H1002">
        <f>'T_SelfStock'!F40</f>
        <v/>
      </c>
      <c r="I1002">
        <f>'T_SelfStock'!G40</f>
        <v/>
      </c>
      <c r="J1002">
        <f>'T_SelfStock'!H40</f>
        <v/>
      </c>
      <c r="K1002">
        <f>'T_SelfStock'!I40</f>
        <v/>
      </c>
      <c r="L1002">
        <f>'T_SelfStock'!J40</f>
        <v/>
      </c>
      <c r="M1002">
        <f>'T_SelfStock'!K40</f>
        <v/>
      </c>
      <c r="N1002">
        <f>'T_SelfStock'!L40</f>
        <v/>
      </c>
      <c r="O1002">
        <f>'T_SelfStock'!M40</f>
        <v/>
      </c>
      <c r="P1002">
        <f>'T_SelfStock'!N40</f>
        <v/>
      </c>
      <c r="Q1002">
        <f>'T_SelfStock'!O40</f>
        <v/>
      </c>
      <c r="R1002">
        <f>'T_SelfStock'!P40</f>
        <v/>
      </c>
      <c r="S1002">
        <f>'T_SelfStock'!Q40</f>
        <v/>
      </c>
      <c r="T1002">
        <f>'T_SelfStock'!R40</f>
        <v/>
      </c>
      <c r="U1002">
        <f>'T_SelfStock'!S40</f>
        <v/>
      </c>
      <c r="V1002">
        <f>'T_SelfStock'!T40</f>
        <v/>
      </c>
      <c r="W1002">
        <f>'T_SelfStock'!U40</f>
        <v/>
      </c>
      <c r="X1002">
        <f>'T_SelfStock'!V40</f>
        <v/>
      </c>
      <c r="Y1002">
        <f>'T_SelfStock'!W40</f>
        <v/>
      </c>
      <c r="Z1002">
        <f>'T_SelfStock'!X40</f>
        <v/>
      </c>
      <c r="AA1002">
        <f>'T_SelfStock'!Y40</f>
        <v/>
      </c>
      <c r="AB1002">
        <f>'T_SelfStock'!Z40</f>
        <v/>
      </c>
      <c r="AC1002">
        <f>'T_SelfStock'!AA40</f>
        <v/>
      </c>
      <c r="AD1002">
        <f>'T_SelfStock'!AB40</f>
        <v/>
      </c>
      <c r="AE1002">
        <f>'T_SelfStock'!AC40</f>
        <v/>
      </c>
      <c r="AF1002">
        <f>'T_SelfStock'!AD40</f>
        <v/>
      </c>
      <c r="AG1002">
        <f>'T_SelfStock'!AE40</f>
        <v/>
      </c>
      <c r="AH1002">
        <f>'T_SelfStock'!AF40</f>
        <v/>
      </c>
      <c r="AI1002">
        <f>'T_SelfStock'!AG40</f>
        <v/>
      </c>
      <c r="AJ1002">
        <f>'T_SelfStock'!AH40</f>
        <v/>
      </c>
      <c r="AK1002">
        <f>'T_SelfStock'!AI40</f>
        <v/>
      </c>
      <c r="AL1002">
        <f>'T_SelfStock'!AJ40</f>
        <v/>
      </c>
      <c r="AM1002">
        <f>'T_SelfStock'!AK40</f>
        <v/>
      </c>
      <c r="AN1002">
        <f>'T_SelfStock'!AL40</f>
        <v/>
      </c>
      <c r="AO1002">
        <f>'T_SelfStock'!AM40</f>
        <v/>
      </c>
      <c r="AP1002">
        <f>'T_SelfStock'!AN40</f>
        <v/>
      </c>
      <c r="AQ1002">
        <f>'T_SelfStock'!AO40</f>
        <v/>
      </c>
      <c r="AR1002">
        <f>'T_SelfStock'!AP40</f>
        <v/>
      </c>
      <c r="AS1002">
        <f>'T_SelfStock'!AQ40</f>
        <v/>
      </c>
      <c r="AT1002">
        <f>'T_SelfStock'!AR40</f>
        <v/>
      </c>
      <c r="AU1002">
        <f>'T_SelfStock'!AS40</f>
        <v/>
      </c>
      <c r="AV1002">
        <f>'T_SelfStock'!AT40</f>
        <v/>
      </c>
      <c r="AW1002">
        <f>'T_SelfStock'!AU40</f>
        <v/>
      </c>
      <c r="AX1002">
        <f>'T_SelfStock'!AV40</f>
        <v/>
      </c>
      <c r="AY1002">
        <f>'T_SelfStock'!AW40</f>
        <v/>
      </c>
      <c r="AZ1002">
        <f>'T_SelfStock'!AX40</f>
        <v/>
      </c>
      <c r="BA1002">
        <f>'T_SelfStock'!AY40</f>
        <v/>
      </c>
      <c r="BB1002">
        <f>'T_SelfStock'!AZ40</f>
        <v/>
      </c>
      <c r="BC1002">
        <f>'T_SelfStock'!BA40</f>
        <v/>
      </c>
      <c r="BD1002">
        <f>'T_SelfStock'!BB40</f>
        <v/>
      </c>
      <c r="BE1002">
        <f>'T_SelfStock'!BC40</f>
        <v/>
      </c>
      <c r="BF1002">
        <f>'T_SelfStock'!BD40</f>
        <v/>
      </c>
      <c r="BG1002">
        <f>'T_SelfStock'!BE40</f>
        <v/>
      </c>
      <c r="BH1002">
        <f>'T_SelfStock'!BF40</f>
        <v/>
      </c>
      <c r="BI1002">
        <f>'T_SelfStock'!BG40</f>
        <v/>
      </c>
      <c r="BJ1002">
        <f>'T_SelfStock'!BH40</f>
        <v/>
      </c>
      <c r="BK1002">
        <f>'T_SelfStock'!BI40</f>
        <v/>
      </c>
      <c r="BL1002">
        <f>'T_SelfStock'!BJ40</f>
        <v/>
      </c>
      <c r="BM1002">
        <f>'T_SelfStock'!BK40</f>
        <v/>
      </c>
      <c r="BN1002">
        <f>'T_SelfStock'!BL40</f>
        <v/>
      </c>
      <c r="BO1002">
        <f>'T_SelfStock'!BM40</f>
        <v/>
      </c>
      <c r="BP1002">
        <f>'T_SelfStock'!BN40</f>
        <v/>
      </c>
      <c r="BQ1002">
        <f>'T_SelfStock'!BO40</f>
        <v/>
      </c>
      <c r="BR1002">
        <f>'T_SelfStock'!BP40</f>
        <v/>
      </c>
      <c r="BS1002">
        <f>'T_SelfStock'!BQ40</f>
        <v/>
      </c>
      <c r="BT1002">
        <f>'T_SelfStock'!BR40</f>
        <v/>
      </c>
      <c r="BU1002">
        <f>'T_SelfStock'!BS40</f>
        <v/>
      </c>
      <c r="BV1002">
        <f>'T_SelfStock'!BT40</f>
        <v/>
      </c>
      <c r="BW1002">
        <f>'T_SelfStock'!BU40</f>
        <v/>
      </c>
      <c r="BX1002">
        <f>'T_SelfStock'!BV40</f>
        <v/>
      </c>
      <c r="BY1002">
        <f>'T_SelfStock'!BW40</f>
        <v/>
      </c>
      <c r="BZ1002">
        <f>'T_SelfStock'!BX40</f>
        <v/>
      </c>
      <c r="CA1002">
        <f>'T_SelfStock'!BY40</f>
        <v/>
      </c>
      <c r="CB1002">
        <f>'T_SelfStock'!BZ40</f>
        <v/>
      </c>
      <c r="CC1002">
        <f>'T_SelfStock'!CA40</f>
        <v/>
      </c>
      <c r="CD1002">
        <f>'T_SelfStock'!CB40</f>
        <v/>
      </c>
      <c r="CE1002">
        <f>'T_SelfStock'!CC40</f>
        <v/>
      </c>
      <c r="CF1002">
        <f>'T_SelfStock'!CD40</f>
        <v/>
      </c>
      <c r="CG1002">
        <f>'T_SelfStock'!CE40</f>
        <v/>
      </c>
      <c r="CH1002">
        <f>'T_SelfStock'!CF40</f>
        <v/>
      </c>
      <c r="CI1002">
        <f>'T_SelfStock'!CG40</f>
        <v/>
      </c>
      <c r="CJ1002">
        <f>'T_SelfStock'!CH40</f>
        <v/>
      </c>
      <c r="CK1002">
        <f>'T_SelfStock'!CI40</f>
        <v/>
      </c>
      <c r="CL1002">
        <f>'T_SelfStock'!CJ40</f>
        <v/>
      </c>
      <c r="CM1002">
        <f>'T_SelfStock'!CK40</f>
        <v/>
      </c>
      <c r="CN1002">
        <f>'T_SelfStock'!CL40</f>
        <v/>
      </c>
      <c r="CO1002">
        <f>'T_SelfStock'!CM40</f>
        <v/>
      </c>
      <c r="CP1002">
        <f>'T_SelfStock'!CN40</f>
        <v/>
      </c>
      <c r="CQ1002">
        <f>'T_SelfStock'!CO40</f>
        <v/>
      </c>
      <c r="CR1002">
        <f>'T_SelfStock'!CP40</f>
        <v/>
      </c>
      <c r="CS1002">
        <f>'T_SelfStock'!CQ40</f>
        <v/>
      </c>
      <c r="CT1002">
        <f>'T_SelfStock'!CR40</f>
        <v/>
      </c>
      <c r="CU1002">
        <f>'T_SelfStock'!CS40</f>
        <v/>
      </c>
      <c r="CV1002">
        <f>'T_SelfStock'!CT40</f>
        <v/>
      </c>
      <c r="CW1002">
        <f>'T_SelfStock'!CU40</f>
        <v/>
      </c>
      <c r="CX1002">
        <f>'T_SelfStock'!CV40</f>
        <v/>
      </c>
      <c r="CY1002">
        <f>'T_SelfStock'!CW40</f>
        <v/>
      </c>
      <c r="CZ1002">
        <f>'T_SelfStock'!CX40</f>
        <v/>
      </c>
      <c r="DA1002">
        <f>'T_SelfStock'!CY40</f>
        <v/>
      </c>
      <c r="DB1002">
        <f>'T_SelfStock'!CZ40</f>
        <v/>
      </c>
      <c r="DC1002">
        <f>'T_SelfStock'!DA40</f>
        <v/>
      </c>
    </row>
    <row r="1003">
      <c r="B1003" s="4" t="inlineStr">
        <is>
          <t>合計在庫(週末時点,kg)</t>
        </is>
      </c>
      <c r="D1003">
        <f>'Grid_Stock'!B36</f>
        <v/>
      </c>
      <c r="E1003">
        <f>'Grid_Stock'!C36</f>
        <v/>
      </c>
      <c r="F1003">
        <f>'Grid_Stock'!D36</f>
        <v/>
      </c>
      <c r="G1003">
        <f>'Grid_Stock'!E36</f>
        <v/>
      </c>
      <c r="H1003">
        <f>'Grid_Stock'!F36</f>
        <v/>
      </c>
      <c r="I1003">
        <f>'Grid_Stock'!G36</f>
        <v/>
      </c>
      <c r="J1003">
        <f>'Grid_Stock'!H36</f>
        <v/>
      </c>
      <c r="K1003">
        <f>'Grid_Stock'!I36</f>
        <v/>
      </c>
      <c r="L1003">
        <f>'Grid_Stock'!J36</f>
        <v/>
      </c>
      <c r="M1003">
        <f>'Grid_Stock'!K36</f>
        <v/>
      </c>
      <c r="N1003">
        <f>'Grid_Stock'!L36</f>
        <v/>
      </c>
      <c r="O1003">
        <f>'Grid_Stock'!M36</f>
        <v/>
      </c>
      <c r="P1003">
        <f>'Grid_Stock'!N36</f>
        <v/>
      </c>
      <c r="Q1003">
        <f>'Grid_Stock'!O36</f>
        <v/>
      </c>
      <c r="R1003">
        <f>'Grid_Stock'!P36</f>
        <v/>
      </c>
      <c r="S1003">
        <f>'Grid_Stock'!Q36</f>
        <v/>
      </c>
      <c r="T1003">
        <f>'Grid_Stock'!R36</f>
        <v/>
      </c>
      <c r="U1003">
        <f>'Grid_Stock'!S36</f>
        <v/>
      </c>
      <c r="V1003">
        <f>'Grid_Stock'!T36</f>
        <v/>
      </c>
      <c r="W1003">
        <f>'Grid_Stock'!U36</f>
        <v/>
      </c>
      <c r="X1003">
        <f>'Grid_Stock'!V36</f>
        <v/>
      </c>
      <c r="Y1003">
        <f>'Grid_Stock'!W36</f>
        <v/>
      </c>
      <c r="Z1003">
        <f>'Grid_Stock'!X36</f>
        <v/>
      </c>
      <c r="AA1003">
        <f>'Grid_Stock'!Y36</f>
        <v/>
      </c>
      <c r="AB1003">
        <f>'Grid_Stock'!Z36</f>
        <v/>
      </c>
      <c r="AC1003">
        <f>'Grid_Stock'!AA36</f>
        <v/>
      </c>
      <c r="AD1003">
        <f>'Grid_Stock'!AB36</f>
        <v/>
      </c>
      <c r="AE1003">
        <f>'Grid_Stock'!AC36</f>
        <v/>
      </c>
      <c r="AF1003">
        <f>'Grid_Stock'!AD36</f>
        <v/>
      </c>
      <c r="AG1003">
        <f>'Grid_Stock'!AE36</f>
        <v/>
      </c>
      <c r="AH1003">
        <f>'Grid_Stock'!AF36</f>
        <v/>
      </c>
      <c r="AI1003">
        <f>'Grid_Stock'!AG36</f>
        <v/>
      </c>
      <c r="AJ1003">
        <f>'Grid_Stock'!AH36</f>
        <v/>
      </c>
      <c r="AK1003">
        <f>'Grid_Stock'!AI36</f>
        <v/>
      </c>
      <c r="AL1003">
        <f>'Grid_Stock'!AJ36</f>
        <v/>
      </c>
      <c r="AM1003">
        <f>'Grid_Stock'!AK36</f>
        <v/>
      </c>
      <c r="AN1003">
        <f>'Grid_Stock'!AL36</f>
        <v/>
      </c>
      <c r="AO1003">
        <f>'Grid_Stock'!AM36</f>
        <v/>
      </c>
      <c r="AP1003">
        <f>'Grid_Stock'!AN36</f>
        <v/>
      </c>
      <c r="AQ1003">
        <f>'Grid_Stock'!AO36</f>
        <v/>
      </c>
      <c r="AR1003">
        <f>'Grid_Stock'!AP36</f>
        <v/>
      </c>
      <c r="AS1003">
        <f>'Grid_Stock'!AQ36</f>
        <v/>
      </c>
      <c r="AT1003">
        <f>'Grid_Stock'!AR36</f>
        <v/>
      </c>
      <c r="AU1003">
        <f>'Grid_Stock'!AS36</f>
        <v/>
      </c>
      <c r="AV1003">
        <f>'Grid_Stock'!AT36</f>
        <v/>
      </c>
      <c r="AW1003">
        <f>'Grid_Stock'!AU36</f>
        <v/>
      </c>
      <c r="AX1003">
        <f>'Grid_Stock'!AV36</f>
        <v/>
      </c>
      <c r="AY1003">
        <f>'Grid_Stock'!AW36</f>
        <v/>
      </c>
      <c r="AZ1003">
        <f>'Grid_Stock'!AX36</f>
        <v/>
      </c>
      <c r="BA1003">
        <f>'Grid_Stock'!AY36</f>
        <v/>
      </c>
      <c r="BB1003">
        <f>'Grid_Stock'!AZ36</f>
        <v/>
      </c>
      <c r="BC1003">
        <f>'Grid_Stock'!BA36</f>
        <v/>
      </c>
      <c r="BD1003">
        <f>'Grid_Stock'!BB36</f>
        <v/>
      </c>
      <c r="BE1003">
        <f>'Grid_Stock'!BC36</f>
        <v/>
      </c>
      <c r="BF1003">
        <f>'Grid_Stock'!BD36</f>
        <v/>
      </c>
      <c r="BG1003">
        <f>'Grid_Stock'!BE36</f>
        <v/>
      </c>
      <c r="BH1003">
        <f>'Grid_Stock'!BF36</f>
        <v/>
      </c>
      <c r="BI1003">
        <f>'Grid_Stock'!BG36</f>
        <v/>
      </c>
      <c r="BJ1003">
        <f>'Grid_Stock'!BH36</f>
        <v/>
      </c>
      <c r="BK1003">
        <f>'Grid_Stock'!BI36</f>
        <v/>
      </c>
      <c r="BL1003">
        <f>'Grid_Stock'!BJ36</f>
        <v/>
      </c>
      <c r="BM1003">
        <f>'Grid_Stock'!BK36</f>
        <v/>
      </c>
      <c r="BN1003">
        <f>'Grid_Stock'!BL36</f>
        <v/>
      </c>
      <c r="BO1003">
        <f>'Grid_Stock'!BM36</f>
        <v/>
      </c>
      <c r="BP1003">
        <f>'Grid_Stock'!BN36</f>
        <v/>
      </c>
      <c r="BQ1003">
        <f>'Grid_Stock'!BO36</f>
        <v/>
      </c>
      <c r="BR1003">
        <f>'Grid_Stock'!BP36</f>
        <v/>
      </c>
      <c r="BS1003">
        <f>'Grid_Stock'!BQ36</f>
        <v/>
      </c>
      <c r="BT1003">
        <f>'Grid_Stock'!BR36</f>
        <v/>
      </c>
      <c r="BU1003">
        <f>'Grid_Stock'!BS36</f>
        <v/>
      </c>
      <c r="BV1003">
        <f>'Grid_Stock'!BT36</f>
        <v/>
      </c>
      <c r="BW1003">
        <f>'Grid_Stock'!BU36</f>
        <v/>
      </c>
      <c r="BX1003">
        <f>'Grid_Stock'!BV36</f>
        <v/>
      </c>
      <c r="BY1003">
        <f>'Grid_Stock'!BW36</f>
        <v/>
      </c>
      <c r="BZ1003">
        <f>'Grid_Stock'!BX36</f>
        <v/>
      </c>
      <c r="CA1003">
        <f>'Grid_Stock'!BY36</f>
        <v/>
      </c>
      <c r="CB1003">
        <f>'Grid_Stock'!BZ36</f>
        <v/>
      </c>
      <c r="CC1003">
        <f>'Grid_Stock'!CA36</f>
        <v/>
      </c>
      <c r="CD1003">
        <f>'Grid_Stock'!CB36</f>
        <v/>
      </c>
      <c r="CE1003">
        <f>'Grid_Stock'!CC36</f>
        <v/>
      </c>
      <c r="CF1003">
        <f>'Grid_Stock'!CD36</f>
        <v/>
      </c>
      <c r="CG1003">
        <f>'Grid_Stock'!CE36</f>
        <v/>
      </c>
      <c r="CH1003">
        <f>'Grid_Stock'!CF36</f>
        <v/>
      </c>
      <c r="CI1003">
        <f>'Grid_Stock'!CG36</f>
        <v/>
      </c>
      <c r="CJ1003">
        <f>'Grid_Stock'!CH36</f>
        <v/>
      </c>
      <c r="CK1003">
        <f>'Grid_Stock'!CI36</f>
        <v/>
      </c>
      <c r="CL1003">
        <f>'Grid_Stock'!CJ36</f>
        <v/>
      </c>
      <c r="CM1003">
        <f>'Grid_Stock'!CK36</f>
        <v/>
      </c>
      <c r="CN1003">
        <f>'Grid_Stock'!CL36</f>
        <v/>
      </c>
      <c r="CO1003">
        <f>'Grid_Stock'!CM36</f>
        <v/>
      </c>
      <c r="CP1003">
        <f>'Grid_Stock'!CN36</f>
        <v/>
      </c>
      <c r="CQ1003">
        <f>'Grid_Stock'!CO36</f>
        <v/>
      </c>
      <c r="CR1003">
        <f>'Grid_Stock'!CP36</f>
        <v/>
      </c>
      <c r="CS1003">
        <f>'Grid_Stock'!CQ36</f>
        <v/>
      </c>
      <c r="CT1003">
        <f>'Grid_Stock'!CR36</f>
        <v/>
      </c>
      <c r="CU1003">
        <f>'Grid_Stock'!CS36</f>
        <v/>
      </c>
      <c r="CV1003">
        <f>'Grid_Stock'!CT36</f>
        <v/>
      </c>
      <c r="CW1003">
        <f>'Grid_Stock'!CU36</f>
        <v/>
      </c>
      <c r="CX1003">
        <f>'Grid_Stock'!CV36</f>
        <v/>
      </c>
      <c r="CY1003">
        <f>'Grid_Stock'!CW36</f>
        <v/>
      </c>
      <c r="CZ1003">
        <f>'Grid_Stock'!CX36</f>
        <v/>
      </c>
      <c r="DA1003">
        <f>'Grid_Stock'!CY36</f>
        <v/>
      </c>
      <c r="DB1003">
        <f>'Grid_Stock'!CZ36</f>
        <v/>
      </c>
      <c r="DC1003">
        <f>'Grid_Stock'!DA36</f>
        <v/>
      </c>
    </row>
    <row r="1004">
      <c r="B1004" s="16" t="inlineStr">
        <is>
          <t>（発注の目安はDashboardの基準在庫[下限/上限]と色分けを参照）</t>
        </is>
      </c>
    </row>
    <row r="1006">
      <c r="A1006" s="14" t="inlineStr">
        <is>
          <t>5SN</t>
        </is>
      </c>
      <c r="B1006" s="14" t="inlineStr">
        <is>
          <t>5SN</t>
        </is>
      </c>
      <c r="C1006" s="15" t="n"/>
      <c r="D1006" s="14" t="n"/>
      <c r="E1006" s="14" t="n"/>
      <c r="F1006" s="14" t="n"/>
      <c r="G1006" s="14" t="n"/>
      <c r="H1006" s="14" t="n"/>
      <c r="I1006" s="14" t="n"/>
      <c r="J1006" s="14" t="n"/>
      <c r="K1006" s="14" t="n"/>
      <c r="L1006" s="14" t="n"/>
      <c r="M1006" s="14" t="n"/>
      <c r="N1006" s="14" t="n"/>
      <c r="O1006" s="14" t="n"/>
      <c r="P1006" s="14" t="n"/>
      <c r="Q1006" s="14" t="n"/>
      <c r="R1006" s="14" t="n"/>
      <c r="S1006" s="14" t="n"/>
      <c r="T1006" s="14" t="n"/>
      <c r="U1006" s="14" t="n"/>
      <c r="V1006" s="14" t="n"/>
      <c r="W1006" s="14" t="n"/>
      <c r="X1006" s="14" t="n"/>
      <c r="Y1006" s="14" t="n"/>
      <c r="Z1006" s="14" t="n"/>
      <c r="AA1006" s="14" t="n"/>
      <c r="AB1006" s="14" t="n"/>
      <c r="AC1006" s="14" t="n"/>
      <c r="AD1006" s="14" t="n"/>
      <c r="AE1006" s="14" t="n"/>
      <c r="AF1006" s="14" t="n"/>
      <c r="AG1006" s="14" t="n"/>
      <c r="AH1006" s="14" t="n"/>
      <c r="AI1006" s="14" t="n"/>
      <c r="AJ1006" s="14" t="n"/>
      <c r="AK1006" s="14" t="n"/>
      <c r="AL1006" s="14" t="n"/>
      <c r="AM1006" s="14" t="n"/>
      <c r="AN1006" s="14" t="n"/>
      <c r="AO1006" s="14" t="n"/>
      <c r="AP1006" s="14" t="n"/>
      <c r="AQ1006" s="14" t="n"/>
      <c r="AR1006" s="14" t="n"/>
      <c r="AS1006" s="14" t="n"/>
      <c r="AT1006" s="14" t="n"/>
      <c r="AU1006" s="14" t="n"/>
      <c r="AV1006" s="14" t="n"/>
      <c r="AW1006" s="14" t="n"/>
      <c r="AX1006" s="14" t="n"/>
      <c r="AY1006" s="14" t="n"/>
      <c r="AZ1006" s="14" t="n"/>
      <c r="BA1006" s="14" t="n"/>
      <c r="BB1006" s="14" t="n"/>
      <c r="BC1006" s="14" t="n"/>
      <c r="BD1006" s="14" t="n"/>
      <c r="BE1006" s="14" t="n"/>
      <c r="BF1006" s="14" t="n"/>
      <c r="BG1006" s="14" t="n"/>
      <c r="BH1006" s="14" t="n"/>
      <c r="BI1006" s="14" t="n"/>
      <c r="BJ1006" s="14" t="n"/>
      <c r="BK1006" s="14" t="n"/>
      <c r="BL1006" s="14" t="n"/>
      <c r="BM1006" s="14" t="n"/>
      <c r="BN1006" s="14" t="n"/>
      <c r="BO1006" s="14" t="n"/>
      <c r="BP1006" s="14" t="n"/>
      <c r="BQ1006" s="14" t="n"/>
      <c r="BR1006" s="14" t="n"/>
      <c r="BS1006" s="14" t="n"/>
      <c r="BT1006" s="14" t="n"/>
      <c r="BU1006" s="14" t="n"/>
      <c r="BV1006" s="14" t="n"/>
      <c r="BW1006" s="14" t="n"/>
      <c r="BX1006" s="14" t="n"/>
      <c r="BY1006" s="14" t="n"/>
      <c r="BZ1006" s="14" t="n"/>
      <c r="CA1006" s="14" t="n"/>
      <c r="CB1006" s="14" t="n"/>
      <c r="CC1006" s="14" t="n"/>
      <c r="CD1006" s="14" t="n"/>
      <c r="CE1006" s="14" t="n"/>
      <c r="CF1006" s="14" t="n"/>
      <c r="CG1006" s="14" t="n"/>
      <c r="CH1006" s="14" t="n"/>
      <c r="CI1006" s="14" t="n"/>
      <c r="CJ1006" s="14" t="n"/>
      <c r="CK1006" s="14" t="n"/>
      <c r="CL1006" s="14" t="n"/>
      <c r="CM1006" s="14" t="n"/>
      <c r="CN1006" s="14" t="n"/>
      <c r="CO1006" s="14" t="n"/>
      <c r="CP1006" s="14" t="n"/>
      <c r="CQ1006" s="14" t="n"/>
      <c r="CR1006" s="14" t="n"/>
      <c r="CS1006" s="14" t="n"/>
      <c r="CT1006" s="14" t="n"/>
      <c r="CU1006" s="14" t="n"/>
      <c r="CV1006" s="14" t="n"/>
      <c r="CW1006" s="14" t="n"/>
      <c r="CX1006" s="14" t="n"/>
      <c r="CY1006" s="14" t="n"/>
      <c r="CZ1006" s="14" t="n"/>
      <c r="DA1006" s="14" t="n"/>
      <c r="DB1006" s="14" t="n"/>
      <c r="DC1006" s="14" t="n"/>
    </row>
    <row r="1007">
      <c r="B1007" t="inlineStr">
        <is>
          <t>0Q110</t>
        </is>
      </c>
      <c r="C1007" t="inlineStr">
        <is>
          <t>No. of batches</t>
        </is>
      </c>
      <c r="D1007">
        <f>IFERROR(INDEX(PP_Grid[#Data],$DD1007,2),0)</f>
        <v/>
      </c>
      <c r="E1007">
        <f>IFERROR(INDEX(PP_Grid[#Data],$DD1007,3),0)</f>
        <v/>
      </c>
      <c r="F1007">
        <f>IFERROR(INDEX(PP_Grid[#Data],$DD1007,4),0)</f>
        <v/>
      </c>
      <c r="G1007">
        <f>IFERROR(INDEX(PP_Grid[#Data],$DD1007,5),0)</f>
        <v/>
      </c>
      <c r="H1007">
        <f>IFERROR(INDEX(PP_Grid[#Data],$DD1007,6),0)</f>
        <v/>
      </c>
      <c r="I1007">
        <f>IFERROR(INDEX(PP_Grid[#Data],$DD1007,7),0)</f>
        <v/>
      </c>
      <c r="J1007">
        <f>IFERROR(INDEX(PP_Grid[#Data],$DD1007,8),0)</f>
        <v/>
      </c>
      <c r="K1007">
        <f>IFERROR(INDEX(PP_Grid[#Data],$DD1007,9),0)</f>
        <v/>
      </c>
      <c r="L1007">
        <f>IFERROR(INDEX(PP_Grid[#Data],$DD1007,10),0)</f>
        <v/>
      </c>
      <c r="M1007">
        <f>IFERROR(INDEX(PP_Grid[#Data],$DD1007,11),0)</f>
        <v/>
      </c>
      <c r="N1007">
        <f>IFERROR(INDEX(PP_Grid[#Data],$DD1007,12),0)</f>
        <v/>
      </c>
      <c r="O1007">
        <f>IFERROR(INDEX(PP_Grid[#Data],$DD1007,13),0)</f>
        <v/>
      </c>
      <c r="P1007">
        <f>IFERROR(INDEX(PP_Grid[#Data],$DD1007,14),0)</f>
        <v/>
      </c>
      <c r="Q1007">
        <f>IFERROR(INDEX(PP_Grid[#Data],$DD1007,15),0)</f>
        <v/>
      </c>
      <c r="R1007">
        <f>IFERROR(INDEX(PP_Grid[#Data],$DD1007,16),0)</f>
        <v/>
      </c>
      <c r="S1007">
        <f>IFERROR(INDEX(PP_Grid[#Data],$DD1007,17),0)</f>
        <v/>
      </c>
      <c r="T1007">
        <f>IFERROR(INDEX(PP_Grid[#Data],$DD1007,18),0)</f>
        <v/>
      </c>
      <c r="U1007">
        <f>IFERROR(INDEX(PP_Grid[#Data],$DD1007,19),0)</f>
        <v/>
      </c>
      <c r="V1007">
        <f>IFERROR(INDEX(PP_Grid[#Data],$DD1007,20),0)</f>
        <v/>
      </c>
      <c r="W1007">
        <f>IFERROR(INDEX(PP_Grid[#Data],$DD1007,21),0)</f>
        <v/>
      </c>
      <c r="X1007">
        <f>IFERROR(INDEX(PP_Grid[#Data],$DD1007,22),0)</f>
        <v/>
      </c>
      <c r="Y1007">
        <f>IFERROR(INDEX(PP_Grid[#Data],$DD1007,23),0)</f>
        <v/>
      </c>
      <c r="Z1007">
        <f>IFERROR(INDEX(PP_Grid[#Data],$DD1007,24),0)</f>
        <v/>
      </c>
      <c r="AA1007">
        <f>IFERROR(INDEX(PP_Grid[#Data],$DD1007,25),0)</f>
        <v/>
      </c>
      <c r="AB1007">
        <f>IFERROR(INDEX(PP_Grid[#Data],$DD1007,26),0)</f>
        <v/>
      </c>
      <c r="AC1007">
        <f>IFERROR(INDEX(PP_Grid[#Data],$DD1007,27),0)</f>
        <v/>
      </c>
      <c r="AD1007">
        <f>IFERROR(INDEX(PP_Grid[#Data],$DD1007,28),0)</f>
        <v/>
      </c>
      <c r="AE1007">
        <f>IFERROR(INDEX(PP_Grid[#Data],$DD1007,29),0)</f>
        <v/>
      </c>
      <c r="AF1007">
        <f>IFERROR(INDEX(PP_Grid[#Data],$DD1007,30),0)</f>
        <v/>
      </c>
      <c r="AG1007">
        <f>IFERROR(INDEX(PP_Grid[#Data],$DD1007,31),0)</f>
        <v/>
      </c>
      <c r="AH1007">
        <f>IFERROR(INDEX(PP_Grid[#Data],$DD1007,32),0)</f>
        <v/>
      </c>
      <c r="AI1007">
        <f>IFERROR(INDEX(PP_Grid[#Data],$DD1007,33),0)</f>
        <v/>
      </c>
      <c r="AJ1007">
        <f>IFERROR(INDEX(PP_Grid[#Data],$DD1007,34),0)</f>
        <v/>
      </c>
      <c r="AK1007">
        <f>IFERROR(INDEX(PP_Grid[#Data],$DD1007,35),0)</f>
        <v/>
      </c>
      <c r="AL1007">
        <f>IFERROR(INDEX(PP_Grid[#Data],$DD1007,36),0)</f>
        <v/>
      </c>
      <c r="AM1007">
        <f>IFERROR(INDEX(PP_Grid[#Data],$DD1007,37),0)</f>
        <v/>
      </c>
      <c r="AN1007">
        <f>IFERROR(INDEX(PP_Grid[#Data],$DD1007,38),0)</f>
        <v/>
      </c>
      <c r="AO1007">
        <f>IFERROR(INDEX(PP_Grid[#Data],$DD1007,39),0)</f>
        <v/>
      </c>
      <c r="AP1007">
        <f>IFERROR(INDEX(PP_Grid[#Data],$DD1007,40),0)</f>
        <v/>
      </c>
      <c r="AQ1007">
        <f>IFERROR(INDEX(PP_Grid[#Data],$DD1007,41),0)</f>
        <v/>
      </c>
      <c r="AR1007">
        <f>IFERROR(INDEX(PP_Grid[#Data],$DD1007,42),0)</f>
        <v/>
      </c>
      <c r="AS1007">
        <f>IFERROR(INDEX(PP_Grid[#Data],$DD1007,43),0)</f>
        <v/>
      </c>
      <c r="AT1007">
        <f>IFERROR(INDEX(PP_Grid[#Data],$DD1007,44),0)</f>
        <v/>
      </c>
      <c r="AU1007">
        <f>IFERROR(INDEX(PP_Grid[#Data],$DD1007,45),0)</f>
        <v/>
      </c>
      <c r="AV1007">
        <f>IFERROR(INDEX(PP_Grid[#Data],$DD1007,46),0)</f>
        <v/>
      </c>
      <c r="AW1007">
        <f>IFERROR(INDEX(PP_Grid[#Data],$DD1007,47),0)</f>
        <v/>
      </c>
      <c r="AX1007">
        <f>IFERROR(INDEX(PP_Grid[#Data],$DD1007,48),0)</f>
        <v/>
      </c>
      <c r="AY1007">
        <f>IFERROR(INDEX(PP_Grid[#Data],$DD1007,49),0)</f>
        <v/>
      </c>
      <c r="AZ1007">
        <f>IFERROR(INDEX(PP_Grid[#Data],$DD1007,50),0)</f>
        <v/>
      </c>
      <c r="BA1007">
        <f>IFERROR(INDEX(PP_Grid[#Data],$DD1007,51),0)</f>
        <v/>
      </c>
      <c r="BB1007">
        <f>IFERROR(INDEX(PP_Grid[#Data],$DD1007,52),0)</f>
        <v/>
      </c>
      <c r="BC1007">
        <f>IFERROR(INDEX(PP_Grid[#Data],$DD1007,53),0)</f>
        <v/>
      </c>
      <c r="BD1007">
        <f>IFERROR(INDEX(PP_Grid[#Data],$DD1007,54),0)</f>
        <v/>
      </c>
      <c r="BE1007">
        <f>IFERROR(INDEX(PP_Grid[#Data],$DD1007,55),0)</f>
        <v/>
      </c>
      <c r="BF1007">
        <f>IFERROR(INDEX(PP_Grid[#Data],$DD1007,56),0)</f>
        <v/>
      </c>
      <c r="BG1007">
        <f>IFERROR(INDEX(PP_Grid[#Data],$DD1007,57),0)</f>
        <v/>
      </c>
      <c r="BH1007">
        <f>IFERROR(INDEX(PP_Grid[#Data],$DD1007,58),0)</f>
        <v/>
      </c>
      <c r="BI1007">
        <f>IFERROR(INDEX(PP_Grid[#Data],$DD1007,59),0)</f>
        <v/>
      </c>
      <c r="BJ1007">
        <f>IFERROR(INDEX(PP_Grid[#Data],$DD1007,60),0)</f>
        <v/>
      </c>
      <c r="BK1007">
        <f>IFERROR(INDEX(PP_Grid[#Data],$DD1007,61),0)</f>
        <v/>
      </c>
      <c r="BL1007">
        <f>IFERROR(INDEX(PP_Grid[#Data],$DD1007,62),0)</f>
        <v/>
      </c>
      <c r="BM1007">
        <f>IFERROR(INDEX(PP_Grid[#Data],$DD1007,63),0)</f>
        <v/>
      </c>
      <c r="BN1007">
        <f>IFERROR(INDEX(PP_Grid[#Data],$DD1007,64),0)</f>
        <v/>
      </c>
      <c r="BO1007">
        <f>IFERROR(INDEX(PP_Grid[#Data],$DD1007,65),0)</f>
        <v/>
      </c>
      <c r="BP1007">
        <f>IFERROR(INDEX(PP_Grid[#Data],$DD1007,66),0)</f>
        <v/>
      </c>
      <c r="BQ1007">
        <f>IFERROR(INDEX(PP_Grid[#Data],$DD1007,67),0)</f>
        <v/>
      </c>
      <c r="BR1007">
        <f>IFERROR(INDEX(PP_Grid[#Data],$DD1007,68),0)</f>
        <v/>
      </c>
      <c r="BS1007">
        <f>IFERROR(INDEX(PP_Grid[#Data],$DD1007,69),0)</f>
        <v/>
      </c>
      <c r="BT1007">
        <f>IFERROR(INDEX(PP_Grid[#Data],$DD1007,70),0)</f>
        <v/>
      </c>
      <c r="BU1007">
        <f>IFERROR(INDEX(PP_Grid[#Data],$DD1007,71),0)</f>
        <v/>
      </c>
      <c r="BV1007">
        <f>IFERROR(INDEX(PP_Grid[#Data],$DD1007,72),0)</f>
        <v/>
      </c>
      <c r="BW1007">
        <f>IFERROR(INDEX(PP_Grid[#Data],$DD1007,73),0)</f>
        <v/>
      </c>
      <c r="BX1007">
        <f>IFERROR(INDEX(PP_Grid[#Data],$DD1007,74),0)</f>
        <v/>
      </c>
      <c r="BY1007">
        <f>IFERROR(INDEX(PP_Grid[#Data],$DD1007,75),0)</f>
        <v/>
      </c>
      <c r="BZ1007">
        <f>IFERROR(INDEX(PP_Grid[#Data],$DD1007,76),0)</f>
        <v/>
      </c>
      <c r="CA1007">
        <f>IFERROR(INDEX(PP_Grid[#Data],$DD1007,77),0)</f>
        <v/>
      </c>
      <c r="CB1007">
        <f>IFERROR(INDEX(PP_Grid[#Data],$DD1007,78),0)</f>
        <v/>
      </c>
      <c r="CC1007">
        <f>IFERROR(INDEX(PP_Grid[#Data],$DD1007,79),0)</f>
        <v/>
      </c>
      <c r="CD1007">
        <f>IFERROR(INDEX(PP_Grid[#Data],$DD1007,80),0)</f>
        <v/>
      </c>
      <c r="CE1007">
        <f>IFERROR(INDEX(PP_Grid[#Data],$DD1007,81),0)</f>
        <v/>
      </c>
      <c r="CF1007">
        <f>IFERROR(INDEX(PP_Grid[#Data],$DD1007,82),0)</f>
        <v/>
      </c>
      <c r="CG1007">
        <f>IFERROR(INDEX(PP_Grid[#Data],$DD1007,83),0)</f>
        <v/>
      </c>
      <c r="CH1007">
        <f>IFERROR(INDEX(PP_Grid[#Data],$DD1007,84),0)</f>
        <v/>
      </c>
      <c r="CI1007">
        <f>IFERROR(INDEX(PP_Grid[#Data],$DD1007,85),0)</f>
        <v/>
      </c>
      <c r="CJ1007">
        <f>IFERROR(INDEX(PP_Grid[#Data],$DD1007,86),0)</f>
        <v/>
      </c>
      <c r="CK1007">
        <f>IFERROR(INDEX(PP_Grid[#Data],$DD1007,87),0)</f>
        <v/>
      </c>
      <c r="CL1007">
        <f>IFERROR(INDEX(PP_Grid[#Data],$DD1007,88),0)</f>
        <v/>
      </c>
      <c r="CM1007">
        <f>IFERROR(INDEX(PP_Grid[#Data],$DD1007,89),0)</f>
        <v/>
      </c>
      <c r="CN1007">
        <f>IFERROR(INDEX(PP_Grid[#Data],$DD1007,90),0)</f>
        <v/>
      </c>
      <c r="CO1007">
        <f>IFERROR(INDEX(PP_Grid[#Data],$DD1007,91),0)</f>
        <v/>
      </c>
      <c r="CP1007">
        <f>IFERROR(INDEX(PP_Grid[#Data],$DD1007,92),0)</f>
        <v/>
      </c>
      <c r="CQ1007">
        <f>IFERROR(INDEX(PP_Grid[#Data],$DD1007,93),0)</f>
        <v/>
      </c>
      <c r="CR1007">
        <f>IFERROR(INDEX(PP_Grid[#Data],$DD1007,94),0)</f>
        <v/>
      </c>
      <c r="CS1007">
        <f>IFERROR(INDEX(PP_Grid[#Data],$DD1007,95),0)</f>
        <v/>
      </c>
      <c r="CT1007">
        <f>IFERROR(INDEX(PP_Grid[#Data],$DD1007,96),0)</f>
        <v/>
      </c>
      <c r="CU1007">
        <f>IFERROR(INDEX(PP_Grid[#Data],$DD1007,97),0)</f>
        <v/>
      </c>
      <c r="CV1007">
        <f>IFERROR(INDEX(PP_Grid[#Data],$DD1007,98),0)</f>
        <v/>
      </c>
      <c r="CW1007">
        <f>IFERROR(INDEX(PP_Grid[#Data],$DD1007,99),0)</f>
        <v/>
      </c>
      <c r="CX1007">
        <f>IFERROR(INDEX(PP_Grid[#Data],$DD1007,100),0)</f>
        <v/>
      </c>
      <c r="CY1007">
        <f>IFERROR(INDEX(PP_Grid[#Data],$DD1007,101),0)</f>
        <v/>
      </c>
      <c r="CZ1007">
        <f>IFERROR(INDEX(PP_Grid[#Data],$DD1007,102),0)</f>
        <v/>
      </c>
      <c r="DA1007">
        <f>IFERROR(INDEX(PP_Grid[#Data],$DD1007,103),0)</f>
        <v/>
      </c>
      <c r="DB1007">
        <f>IFERROR(INDEX(PP_Grid[#Data],$DD1007,104),0)</f>
        <v/>
      </c>
      <c r="DC1007">
        <f>IFERROR(INDEX(PP_Grid[#Data],$DD1007,105),0)</f>
        <v/>
      </c>
      <c r="DD1007" s="7">
        <f>IFERROR(MATCH($B1007,PP_Grid[Intermediate],0),99999)</f>
        <v/>
      </c>
    </row>
    <row r="1008">
      <c r="B1008" t="inlineStr">
        <is>
          <t>使用量(kg)</t>
        </is>
      </c>
      <c r="C1008">
        <f>SUMIFS(M_BOM[RM_Qty_Per_Batch],M_BOM[Intermediate],$B1007,M_BOM[Part Name],$A1006)</f>
        <v/>
      </c>
      <c r="D1008">
        <f>$C1008*D1007</f>
        <v/>
      </c>
      <c r="E1008">
        <f>$C1008*E1007</f>
        <v/>
      </c>
      <c r="F1008">
        <f>$C1008*F1007</f>
        <v/>
      </c>
      <c r="G1008">
        <f>$C1008*G1007</f>
        <v/>
      </c>
      <c r="H1008">
        <f>$C1008*H1007</f>
        <v/>
      </c>
      <c r="I1008">
        <f>$C1008*I1007</f>
        <v/>
      </c>
      <c r="J1008">
        <f>$C1008*J1007</f>
        <v/>
      </c>
      <c r="K1008">
        <f>$C1008*K1007</f>
        <v/>
      </c>
      <c r="L1008">
        <f>$C1008*L1007</f>
        <v/>
      </c>
      <c r="M1008">
        <f>$C1008*M1007</f>
        <v/>
      </c>
      <c r="N1008">
        <f>$C1008*N1007</f>
        <v/>
      </c>
      <c r="O1008">
        <f>$C1008*O1007</f>
        <v/>
      </c>
      <c r="P1008">
        <f>$C1008*P1007</f>
        <v/>
      </c>
      <c r="Q1008">
        <f>$C1008*Q1007</f>
        <v/>
      </c>
      <c r="R1008">
        <f>$C1008*R1007</f>
        <v/>
      </c>
      <c r="S1008">
        <f>$C1008*S1007</f>
        <v/>
      </c>
      <c r="T1008">
        <f>$C1008*T1007</f>
        <v/>
      </c>
      <c r="U1008">
        <f>$C1008*U1007</f>
        <v/>
      </c>
      <c r="V1008">
        <f>$C1008*V1007</f>
        <v/>
      </c>
      <c r="W1008">
        <f>$C1008*W1007</f>
        <v/>
      </c>
      <c r="X1008">
        <f>$C1008*X1007</f>
        <v/>
      </c>
      <c r="Y1008">
        <f>$C1008*Y1007</f>
        <v/>
      </c>
      <c r="Z1008">
        <f>$C1008*Z1007</f>
        <v/>
      </c>
      <c r="AA1008">
        <f>$C1008*AA1007</f>
        <v/>
      </c>
      <c r="AB1008">
        <f>$C1008*AB1007</f>
        <v/>
      </c>
      <c r="AC1008">
        <f>$C1008*AC1007</f>
        <v/>
      </c>
      <c r="AD1008">
        <f>$C1008*AD1007</f>
        <v/>
      </c>
      <c r="AE1008">
        <f>$C1008*AE1007</f>
        <v/>
      </c>
      <c r="AF1008">
        <f>$C1008*AF1007</f>
        <v/>
      </c>
      <c r="AG1008">
        <f>$C1008*AG1007</f>
        <v/>
      </c>
      <c r="AH1008">
        <f>$C1008*AH1007</f>
        <v/>
      </c>
      <c r="AI1008">
        <f>$C1008*AI1007</f>
        <v/>
      </c>
      <c r="AJ1008">
        <f>$C1008*AJ1007</f>
        <v/>
      </c>
      <c r="AK1008">
        <f>$C1008*AK1007</f>
        <v/>
      </c>
      <c r="AL1008">
        <f>$C1008*AL1007</f>
        <v/>
      </c>
      <c r="AM1008">
        <f>$C1008*AM1007</f>
        <v/>
      </c>
      <c r="AN1008">
        <f>$C1008*AN1007</f>
        <v/>
      </c>
      <c r="AO1008">
        <f>$C1008*AO1007</f>
        <v/>
      </c>
      <c r="AP1008">
        <f>$C1008*AP1007</f>
        <v/>
      </c>
      <c r="AQ1008">
        <f>$C1008*AQ1007</f>
        <v/>
      </c>
      <c r="AR1008">
        <f>$C1008*AR1007</f>
        <v/>
      </c>
      <c r="AS1008">
        <f>$C1008*AS1007</f>
        <v/>
      </c>
      <c r="AT1008">
        <f>$C1008*AT1007</f>
        <v/>
      </c>
      <c r="AU1008">
        <f>$C1008*AU1007</f>
        <v/>
      </c>
      <c r="AV1008">
        <f>$C1008*AV1007</f>
        <v/>
      </c>
      <c r="AW1008">
        <f>$C1008*AW1007</f>
        <v/>
      </c>
      <c r="AX1008">
        <f>$C1008*AX1007</f>
        <v/>
      </c>
      <c r="AY1008">
        <f>$C1008*AY1007</f>
        <v/>
      </c>
      <c r="AZ1008">
        <f>$C1008*AZ1007</f>
        <v/>
      </c>
      <c r="BA1008">
        <f>$C1008*BA1007</f>
        <v/>
      </c>
      <c r="BB1008">
        <f>$C1008*BB1007</f>
        <v/>
      </c>
      <c r="BC1008">
        <f>$C1008*BC1007</f>
        <v/>
      </c>
      <c r="BD1008">
        <f>$C1008*BD1007</f>
        <v/>
      </c>
      <c r="BE1008">
        <f>$C1008*BE1007</f>
        <v/>
      </c>
      <c r="BF1008">
        <f>$C1008*BF1007</f>
        <v/>
      </c>
      <c r="BG1008">
        <f>$C1008*BG1007</f>
        <v/>
      </c>
      <c r="BH1008">
        <f>$C1008*BH1007</f>
        <v/>
      </c>
      <c r="BI1008">
        <f>$C1008*BI1007</f>
        <v/>
      </c>
      <c r="BJ1008">
        <f>$C1008*BJ1007</f>
        <v/>
      </c>
      <c r="BK1008">
        <f>$C1008*BK1007</f>
        <v/>
      </c>
      <c r="BL1008">
        <f>$C1008*BL1007</f>
        <v/>
      </c>
      <c r="BM1008">
        <f>$C1008*BM1007</f>
        <v/>
      </c>
      <c r="BN1008">
        <f>$C1008*BN1007</f>
        <v/>
      </c>
      <c r="BO1008">
        <f>$C1008*BO1007</f>
        <v/>
      </c>
      <c r="BP1008">
        <f>$C1008*BP1007</f>
        <v/>
      </c>
      <c r="BQ1008">
        <f>$C1008*BQ1007</f>
        <v/>
      </c>
      <c r="BR1008">
        <f>$C1008*BR1007</f>
        <v/>
      </c>
      <c r="BS1008">
        <f>$C1008*BS1007</f>
        <v/>
      </c>
      <c r="BT1008">
        <f>$C1008*BT1007</f>
        <v/>
      </c>
      <c r="BU1008">
        <f>$C1008*BU1007</f>
        <v/>
      </c>
      <c r="BV1008">
        <f>$C1008*BV1007</f>
        <v/>
      </c>
      <c r="BW1008">
        <f>$C1008*BW1007</f>
        <v/>
      </c>
      <c r="BX1008">
        <f>$C1008*BX1007</f>
        <v/>
      </c>
      <c r="BY1008">
        <f>$C1008*BY1007</f>
        <v/>
      </c>
      <c r="BZ1008">
        <f>$C1008*BZ1007</f>
        <v/>
      </c>
      <c r="CA1008">
        <f>$C1008*CA1007</f>
        <v/>
      </c>
      <c r="CB1008">
        <f>$C1008*CB1007</f>
        <v/>
      </c>
      <c r="CC1008">
        <f>$C1008*CC1007</f>
        <v/>
      </c>
      <c r="CD1008">
        <f>$C1008*CD1007</f>
        <v/>
      </c>
      <c r="CE1008">
        <f>$C1008*CE1007</f>
        <v/>
      </c>
      <c r="CF1008">
        <f>$C1008*CF1007</f>
        <v/>
      </c>
      <c r="CG1008">
        <f>$C1008*CG1007</f>
        <v/>
      </c>
      <c r="CH1008">
        <f>$C1008*CH1007</f>
        <v/>
      </c>
      <c r="CI1008">
        <f>$C1008*CI1007</f>
        <v/>
      </c>
      <c r="CJ1008">
        <f>$C1008*CJ1007</f>
        <v/>
      </c>
      <c r="CK1008">
        <f>$C1008*CK1007</f>
        <v/>
      </c>
      <c r="CL1008">
        <f>$C1008*CL1007</f>
        <v/>
      </c>
      <c r="CM1008">
        <f>$C1008*CM1007</f>
        <v/>
      </c>
      <c r="CN1008">
        <f>$C1008*CN1007</f>
        <v/>
      </c>
      <c r="CO1008">
        <f>$C1008*CO1007</f>
        <v/>
      </c>
      <c r="CP1008">
        <f>$C1008*CP1007</f>
        <v/>
      </c>
      <c r="CQ1008">
        <f>$C1008*CQ1007</f>
        <v/>
      </c>
      <c r="CR1008">
        <f>$C1008*CR1007</f>
        <v/>
      </c>
      <c r="CS1008">
        <f>$C1008*CS1007</f>
        <v/>
      </c>
      <c r="CT1008">
        <f>$C1008*CT1007</f>
        <v/>
      </c>
      <c r="CU1008">
        <f>$C1008*CU1007</f>
        <v/>
      </c>
      <c r="CV1008">
        <f>$C1008*CV1007</f>
        <v/>
      </c>
      <c r="CW1008">
        <f>$C1008*CW1007</f>
        <v/>
      </c>
      <c r="CX1008">
        <f>$C1008*CX1007</f>
        <v/>
      </c>
      <c r="CY1008">
        <f>$C1008*CY1007</f>
        <v/>
      </c>
      <c r="CZ1008">
        <f>$C1008*CZ1007</f>
        <v/>
      </c>
      <c r="DA1008">
        <f>$C1008*DA1007</f>
        <v/>
      </c>
      <c r="DB1008">
        <f>$C1008*DB1007</f>
        <v/>
      </c>
      <c r="DC1008">
        <f>$C1008*DC1007</f>
        <v/>
      </c>
    </row>
    <row r="1009">
      <c r="B1009" s="4" t="inlineStr">
        <is>
          <t>合計使用量(kg)/週</t>
        </is>
      </c>
      <c r="D1009">
        <f>'Grid_Requirement'!B40</f>
        <v/>
      </c>
      <c r="E1009">
        <f>'Grid_Requirement'!C40</f>
        <v/>
      </c>
      <c r="F1009">
        <f>'Grid_Requirement'!D40</f>
        <v/>
      </c>
      <c r="G1009">
        <f>'Grid_Requirement'!E40</f>
        <v/>
      </c>
      <c r="H1009">
        <f>'Grid_Requirement'!F40</f>
        <v/>
      </c>
      <c r="I1009">
        <f>'Grid_Requirement'!G40</f>
        <v/>
      </c>
      <c r="J1009">
        <f>'Grid_Requirement'!H40</f>
        <v/>
      </c>
      <c r="K1009">
        <f>'Grid_Requirement'!I40</f>
        <v/>
      </c>
      <c r="L1009">
        <f>'Grid_Requirement'!J40</f>
        <v/>
      </c>
      <c r="M1009">
        <f>'Grid_Requirement'!K40</f>
        <v/>
      </c>
      <c r="N1009">
        <f>'Grid_Requirement'!L40</f>
        <v/>
      </c>
      <c r="O1009">
        <f>'Grid_Requirement'!M40</f>
        <v/>
      </c>
      <c r="P1009">
        <f>'Grid_Requirement'!N40</f>
        <v/>
      </c>
      <c r="Q1009">
        <f>'Grid_Requirement'!O40</f>
        <v/>
      </c>
      <c r="R1009">
        <f>'Grid_Requirement'!P40</f>
        <v/>
      </c>
      <c r="S1009">
        <f>'Grid_Requirement'!Q40</f>
        <v/>
      </c>
      <c r="T1009">
        <f>'Grid_Requirement'!R40</f>
        <v/>
      </c>
      <c r="U1009">
        <f>'Grid_Requirement'!S40</f>
        <v/>
      </c>
      <c r="V1009">
        <f>'Grid_Requirement'!T40</f>
        <v/>
      </c>
      <c r="W1009">
        <f>'Grid_Requirement'!U40</f>
        <v/>
      </c>
      <c r="X1009">
        <f>'Grid_Requirement'!V40</f>
        <v/>
      </c>
      <c r="Y1009">
        <f>'Grid_Requirement'!W40</f>
        <v/>
      </c>
      <c r="Z1009">
        <f>'Grid_Requirement'!X40</f>
        <v/>
      </c>
      <c r="AA1009">
        <f>'Grid_Requirement'!Y40</f>
        <v/>
      </c>
      <c r="AB1009">
        <f>'Grid_Requirement'!Z40</f>
        <v/>
      </c>
      <c r="AC1009">
        <f>'Grid_Requirement'!AA40</f>
        <v/>
      </c>
      <c r="AD1009">
        <f>'Grid_Requirement'!AB40</f>
        <v/>
      </c>
      <c r="AE1009">
        <f>'Grid_Requirement'!AC40</f>
        <v/>
      </c>
      <c r="AF1009">
        <f>'Grid_Requirement'!AD40</f>
        <v/>
      </c>
      <c r="AG1009">
        <f>'Grid_Requirement'!AE40</f>
        <v/>
      </c>
      <c r="AH1009">
        <f>'Grid_Requirement'!AF40</f>
        <v/>
      </c>
      <c r="AI1009">
        <f>'Grid_Requirement'!AG40</f>
        <v/>
      </c>
      <c r="AJ1009">
        <f>'Grid_Requirement'!AH40</f>
        <v/>
      </c>
      <c r="AK1009">
        <f>'Grid_Requirement'!AI40</f>
        <v/>
      </c>
      <c r="AL1009">
        <f>'Grid_Requirement'!AJ40</f>
        <v/>
      </c>
      <c r="AM1009">
        <f>'Grid_Requirement'!AK40</f>
        <v/>
      </c>
      <c r="AN1009">
        <f>'Grid_Requirement'!AL40</f>
        <v/>
      </c>
      <c r="AO1009">
        <f>'Grid_Requirement'!AM40</f>
        <v/>
      </c>
      <c r="AP1009">
        <f>'Grid_Requirement'!AN40</f>
        <v/>
      </c>
      <c r="AQ1009">
        <f>'Grid_Requirement'!AO40</f>
        <v/>
      </c>
      <c r="AR1009">
        <f>'Grid_Requirement'!AP40</f>
        <v/>
      </c>
      <c r="AS1009">
        <f>'Grid_Requirement'!AQ40</f>
        <v/>
      </c>
      <c r="AT1009">
        <f>'Grid_Requirement'!AR40</f>
        <v/>
      </c>
      <c r="AU1009">
        <f>'Grid_Requirement'!AS40</f>
        <v/>
      </c>
      <c r="AV1009">
        <f>'Grid_Requirement'!AT40</f>
        <v/>
      </c>
      <c r="AW1009">
        <f>'Grid_Requirement'!AU40</f>
        <v/>
      </c>
      <c r="AX1009">
        <f>'Grid_Requirement'!AV40</f>
        <v/>
      </c>
      <c r="AY1009">
        <f>'Grid_Requirement'!AW40</f>
        <v/>
      </c>
      <c r="AZ1009">
        <f>'Grid_Requirement'!AX40</f>
        <v/>
      </c>
      <c r="BA1009">
        <f>'Grid_Requirement'!AY40</f>
        <v/>
      </c>
      <c r="BB1009">
        <f>'Grid_Requirement'!AZ40</f>
        <v/>
      </c>
      <c r="BC1009">
        <f>'Grid_Requirement'!BA40</f>
        <v/>
      </c>
      <c r="BD1009">
        <f>'Grid_Requirement'!BB40</f>
        <v/>
      </c>
      <c r="BE1009">
        <f>'Grid_Requirement'!BC40</f>
        <v/>
      </c>
      <c r="BF1009">
        <f>'Grid_Requirement'!BD40</f>
        <v/>
      </c>
      <c r="BG1009">
        <f>'Grid_Requirement'!BE40</f>
        <v/>
      </c>
      <c r="BH1009">
        <f>'Grid_Requirement'!BF40</f>
        <v/>
      </c>
      <c r="BI1009">
        <f>'Grid_Requirement'!BG40</f>
        <v/>
      </c>
      <c r="BJ1009">
        <f>'Grid_Requirement'!BH40</f>
        <v/>
      </c>
      <c r="BK1009">
        <f>'Grid_Requirement'!BI40</f>
        <v/>
      </c>
      <c r="BL1009">
        <f>'Grid_Requirement'!BJ40</f>
        <v/>
      </c>
      <c r="BM1009">
        <f>'Grid_Requirement'!BK40</f>
        <v/>
      </c>
      <c r="BN1009">
        <f>'Grid_Requirement'!BL40</f>
        <v/>
      </c>
      <c r="BO1009">
        <f>'Grid_Requirement'!BM40</f>
        <v/>
      </c>
      <c r="BP1009">
        <f>'Grid_Requirement'!BN40</f>
        <v/>
      </c>
      <c r="BQ1009">
        <f>'Grid_Requirement'!BO40</f>
        <v/>
      </c>
      <c r="BR1009">
        <f>'Grid_Requirement'!BP40</f>
        <v/>
      </c>
      <c r="BS1009">
        <f>'Grid_Requirement'!BQ40</f>
        <v/>
      </c>
      <c r="BT1009">
        <f>'Grid_Requirement'!BR40</f>
        <v/>
      </c>
      <c r="BU1009">
        <f>'Grid_Requirement'!BS40</f>
        <v/>
      </c>
      <c r="BV1009">
        <f>'Grid_Requirement'!BT40</f>
        <v/>
      </c>
      <c r="BW1009">
        <f>'Grid_Requirement'!BU40</f>
        <v/>
      </c>
      <c r="BX1009">
        <f>'Grid_Requirement'!BV40</f>
        <v/>
      </c>
      <c r="BY1009">
        <f>'Grid_Requirement'!BW40</f>
        <v/>
      </c>
      <c r="BZ1009">
        <f>'Grid_Requirement'!BX40</f>
        <v/>
      </c>
      <c r="CA1009">
        <f>'Grid_Requirement'!BY40</f>
        <v/>
      </c>
      <c r="CB1009">
        <f>'Grid_Requirement'!BZ40</f>
        <v/>
      </c>
      <c r="CC1009">
        <f>'Grid_Requirement'!CA40</f>
        <v/>
      </c>
      <c r="CD1009">
        <f>'Grid_Requirement'!CB40</f>
        <v/>
      </c>
      <c r="CE1009">
        <f>'Grid_Requirement'!CC40</f>
        <v/>
      </c>
      <c r="CF1009">
        <f>'Grid_Requirement'!CD40</f>
        <v/>
      </c>
      <c r="CG1009">
        <f>'Grid_Requirement'!CE40</f>
        <v/>
      </c>
      <c r="CH1009">
        <f>'Grid_Requirement'!CF40</f>
        <v/>
      </c>
      <c r="CI1009">
        <f>'Grid_Requirement'!CG40</f>
        <v/>
      </c>
      <c r="CJ1009">
        <f>'Grid_Requirement'!CH40</f>
        <v/>
      </c>
      <c r="CK1009">
        <f>'Grid_Requirement'!CI40</f>
        <v/>
      </c>
      <c r="CL1009">
        <f>'Grid_Requirement'!CJ40</f>
        <v/>
      </c>
      <c r="CM1009">
        <f>'Grid_Requirement'!CK40</f>
        <v/>
      </c>
      <c r="CN1009">
        <f>'Grid_Requirement'!CL40</f>
        <v/>
      </c>
      <c r="CO1009">
        <f>'Grid_Requirement'!CM40</f>
        <v/>
      </c>
      <c r="CP1009">
        <f>'Grid_Requirement'!CN40</f>
        <v/>
      </c>
      <c r="CQ1009">
        <f>'Grid_Requirement'!CO40</f>
        <v/>
      </c>
      <c r="CR1009">
        <f>'Grid_Requirement'!CP40</f>
        <v/>
      </c>
      <c r="CS1009">
        <f>'Grid_Requirement'!CQ40</f>
        <v/>
      </c>
      <c r="CT1009">
        <f>'Grid_Requirement'!CR40</f>
        <v/>
      </c>
      <c r="CU1009">
        <f>'Grid_Requirement'!CS40</f>
        <v/>
      </c>
      <c r="CV1009">
        <f>'Grid_Requirement'!CT40</f>
        <v/>
      </c>
      <c r="CW1009">
        <f>'Grid_Requirement'!CU40</f>
        <v/>
      </c>
      <c r="CX1009">
        <f>'Grid_Requirement'!CV40</f>
        <v/>
      </c>
      <c r="CY1009">
        <f>'Grid_Requirement'!CW40</f>
        <v/>
      </c>
      <c r="CZ1009">
        <f>'Grid_Requirement'!CX40</f>
        <v/>
      </c>
      <c r="DA1009">
        <f>'Grid_Requirement'!CY40</f>
        <v/>
      </c>
      <c r="DB1009">
        <f>'Grid_Requirement'!CZ40</f>
        <v/>
      </c>
      <c r="DC1009">
        <f>'Grid_Requirement'!DA40</f>
        <v/>
      </c>
    </row>
    <row r="1010">
      <c r="B1010" t="inlineStr">
        <is>
          <t>TTAF在庫(実績,kg)</t>
        </is>
      </c>
      <c r="D1010">
        <f>'T_TTAFStock'!B44</f>
        <v/>
      </c>
      <c r="E1010">
        <f>'T_TTAFStock'!C44</f>
        <v/>
      </c>
      <c r="F1010">
        <f>'T_TTAFStock'!D44</f>
        <v/>
      </c>
      <c r="G1010">
        <f>'T_TTAFStock'!E44</f>
        <v/>
      </c>
      <c r="H1010">
        <f>'T_TTAFStock'!F44</f>
        <v/>
      </c>
      <c r="I1010">
        <f>'T_TTAFStock'!G44</f>
        <v/>
      </c>
      <c r="J1010">
        <f>'T_TTAFStock'!H44</f>
        <v/>
      </c>
      <c r="K1010">
        <f>'T_TTAFStock'!I44</f>
        <v/>
      </c>
      <c r="L1010">
        <f>'T_TTAFStock'!J44</f>
        <v/>
      </c>
      <c r="M1010">
        <f>'T_TTAFStock'!K44</f>
        <v/>
      </c>
      <c r="N1010">
        <f>'T_TTAFStock'!L44</f>
        <v/>
      </c>
      <c r="O1010">
        <f>'T_TTAFStock'!M44</f>
        <v/>
      </c>
      <c r="P1010">
        <f>'T_TTAFStock'!N44</f>
        <v/>
      </c>
      <c r="Q1010">
        <f>'T_TTAFStock'!O44</f>
        <v/>
      </c>
      <c r="R1010">
        <f>'T_TTAFStock'!P44</f>
        <v/>
      </c>
      <c r="S1010">
        <f>'T_TTAFStock'!Q44</f>
        <v/>
      </c>
      <c r="T1010">
        <f>'T_TTAFStock'!R44</f>
        <v/>
      </c>
      <c r="U1010">
        <f>'T_TTAFStock'!S44</f>
        <v/>
      </c>
      <c r="V1010">
        <f>'T_TTAFStock'!T44</f>
        <v/>
      </c>
      <c r="W1010">
        <f>'T_TTAFStock'!U44</f>
        <v/>
      </c>
      <c r="X1010">
        <f>'T_TTAFStock'!V44</f>
        <v/>
      </c>
      <c r="Y1010">
        <f>'T_TTAFStock'!W44</f>
        <v/>
      </c>
      <c r="Z1010">
        <f>'T_TTAFStock'!X44</f>
        <v/>
      </c>
      <c r="AA1010">
        <f>'T_TTAFStock'!Y44</f>
        <v/>
      </c>
      <c r="AB1010">
        <f>'T_TTAFStock'!Z44</f>
        <v/>
      </c>
      <c r="AC1010">
        <f>'T_TTAFStock'!AA44</f>
        <v/>
      </c>
      <c r="AD1010">
        <f>'T_TTAFStock'!AB44</f>
        <v/>
      </c>
      <c r="AE1010">
        <f>'T_TTAFStock'!AC44</f>
        <v/>
      </c>
      <c r="AF1010">
        <f>'T_TTAFStock'!AD44</f>
        <v/>
      </c>
      <c r="AG1010">
        <f>'T_TTAFStock'!AE44</f>
        <v/>
      </c>
      <c r="AH1010">
        <f>'T_TTAFStock'!AF44</f>
        <v/>
      </c>
      <c r="AI1010">
        <f>'T_TTAFStock'!AG44</f>
        <v/>
      </c>
      <c r="AJ1010">
        <f>'T_TTAFStock'!AH44</f>
        <v/>
      </c>
      <c r="AK1010">
        <f>'T_TTAFStock'!AI44</f>
        <v/>
      </c>
      <c r="AL1010">
        <f>'T_TTAFStock'!AJ44</f>
        <v/>
      </c>
      <c r="AM1010">
        <f>'T_TTAFStock'!AK44</f>
        <v/>
      </c>
      <c r="AN1010">
        <f>'T_TTAFStock'!AL44</f>
        <v/>
      </c>
      <c r="AO1010">
        <f>'T_TTAFStock'!AM44</f>
        <v/>
      </c>
      <c r="AP1010">
        <f>'T_TTAFStock'!AN44</f>
        <v/>
      </c>
      <c r="AQ1010">
        <f>'T_TTAFStock'!AO44</f>
        <v/>
      </c>
      <c r="AR1010">
        <f>'T_TTAFStock'!AP44</f>
        <v/>
      </c>
      <c r="AS1010">
        <f>'T_TTAFStock'!AQ44</f>
        <v/>
      </c>
      <c r="AT1010">
        <f>'T_TTAFStock'!AR44</f>
        <v/>
      </c>
      <c r="AU1010">
        <f>'T_TTAFStock'!AS44</f>
        <v/>
      </c>
      <c r="AV1010">
        <f>'T_TTAFStock'!AT44</f>
        <v/>
      </c>
      <c r="AW1010">
        <f>'T_TTAFStock'!AU44</f>
        <v/>
      </c>
      <c r="AX1010">
        <f>'T_TTAFStock'!AV44</f>
        <v/>
      </c>
      <c r="AY1010">
        <f>'T_TTAFStock'!AW44</f>
        <v/>
      </c>
      <c r="AZ1010">
        <f>'T_TTAFStock'!AX44</f>
        <v/>
      </c>
      <c r="BA1010">
        <f>'T_TTAFStock'!AY44</f>
        <v/>
      </c>
      <c r="BB1010">
        <f>'T_TTAFStock'!AZ44</f>
        <v/>
      </c>
      <c r="BC1010">
        <f>'T_TTAFStock'!BA44</f>
        <v/>
      </c>
      <c r="BD1010">
        <f>'T_TTAFStock'!BB44</f>
        <v/>
      </c>
      <c r="BE1010">
        <f>'T_TTAFStock'!BC44</f>
        <v/>
      </c>
      <c r="BF1010">
        <f>'T_TTAFStock'!BD44</f>
        <v/>
      </c>
      <c r="BG1010">
        <f>'T_TTAFStock'!BE44</f>
        <v/>
      </c>
      <c r="BH1010">
        <f>'T_TTAFStock'!BF44</f>
        <v/>
      </c>
      <c r="BI1010">
        <f>'T_TTAFStock'!BG44</f>
        <v/>
      </c>
      <c r="BJ1010">
        <f>'T_TTAFStock'!BH44</f>
        <v/>
      </c>
      <c r="BK1010">
        <f>'T_TTAFStock'!BI44</f>
        <v/>
      </c>
      <c r="BL1010">
        <f>'T_TTAFStock'!BJ44</f>
        <v/>
      </c>
      <c r="BM1010">
        <f>'T_TTAFStock'!BK44</f>
        <v/>
      </c>
      <c r="BN1010">
        <f>'T_TTAFStock'!BL44</f>
        <v/>
      </c>
      <c r="BO1010">
        <f>'T_TTAFStock'!BM44</f>
        <v/>
      </c>
      <c r="BP1010">
        <f>'T_TTAFStock'!BN44</f>
        <v/>
      </c>
      <c r="BQ1010">
        <f>'T_TTAFStock'!BO44</f>
        <v/>
      </c>
      <c r="BR1010">
        <f>'T_TTAFStock'!BP44</f>
        <v/>
      </c>
      <c r="BS1010">
        <f>'T_TTAFStock'!BQ44</f>
        <v/>
      </c>
      <c r="BT1010">
        <f>'T_TTAFStock'!BR44</f>
        <v/>
      </c>
      <c r="BU1010">
        <f>'T_TTAFStock'!BS44</f>
        <v/>
      </c>
      <c r="BV1010">
        <f>'T_TTAFStock'!BT44</f>
        <v/>
      </c>
      <c r="BW1010">
        <f>'T_TTAFStock'!BU44</f>
        <v/>
      </c>
      <c r="BX1010">
        <f>'T_TTAFStock'!BV44</f>
        <v/>
      </c>
      <c r="BY1010">
        <f>'T_TTAFStock'!BW44</f>
        <v/>
      </c>
      <c r="BZ1010">
        <f>'T_TTAFStock'!BX44</f>
        <v/>
      </c>
      <c r="CA1010">
        <f>'T_TTAFStock'!BY44</f>
        <v/>
      </c>
      <c r="CB1010">
        <f>'T_TTAFStock'!BZ44</f>
        <v/>
      </c>
      <c r="CC1010">
        <f>'T_TTAFStock'!CA44</f>
        <v/>
      </c>
      <c r="CD1010">
        <f>'T_TTAFStock'!CB44</f>
        <v/>
      </c>
      <c r="CE1010">
        <f>'T_TTAFStock'!CC44</f>
        <v/>
      </c>
      <c r="CF1010">
        <f>'T_TTAFStock'!CD44</f>
        <v/>
      </c>
      <c r="CG1010">
        <f>'T_TTAFStock'!CE44</f>
        <v/>
      </c>
      <c r="CH1010">
        <f>'T_TTAFStock'!CF44</f>
        <v/>
      </c>
      <c r="CI1010">
        <f>'T_TTAFStock'!CG44</f>
        <v/>
      </c>
      <c r="CJ1010">
        <f>'T_TTAFStock'!CH44</f>
        <v/>
      </c>
      <c r="CK1010">
        <f>'T_TTAFStock'!CI44</f>
        <v/>
      </c>
      <c r="CL1010">
        <f>'T_TTAFStock'!CJ44</f>
        <v/>
      </c>
      <c r="CM1010">
        <f>'T_TTAFStock'!CK44</f>
        <v/>
      </c>
      <c r="CN1010">
        <f>'T_TTAFStock'!CL44</f>
        <v/>
      </c>
      <c r="CO1010">
        <f>'T_TTAFStock'!CM44</f>
        <v/>
      </c>
      <c r="CP1010">
        <f>'T_TTAFStock'!CN44</f>
        <v/>
      </c>
      <c r="CQ1010">
        <f>'T_TTAFStock'!CO44</f>
        <v/>
      </c>
      <c r="CR1010">
        <f>'T_TTAFStock'!CP44</f>
        <v/>
      </c>
      <c r="CS1010">
        <f>'T_TTAFStock'!CQ44</f>
        <v/>
      </c>
      <c r="CT1010">
        <f>'T_TTAFStock'!CR44</f>
        <v/>
      </c>
      <c r="CU1010">
        <f>'T_TTAFStock'!CS44</f>
        <v/>
      </c>
      <c r="CV1010">
        <f>'T_TTAFStock'!CT44</f>
        <v/>
      </c>
      <c r="CW1010">
        <f>'T_TTAFStock'!CU44</f>
        <v/>
      </c>
      <c r="CX1010">
        <f>'T_TTAFStock'!CV44</f>
        <v/>
      </c>
      <c r="CY1010">
        <f>'T_TTAFStock'!CW44</f>
        <v/>
      </c>
      <c r="CZ1010">
        <f>'T_TTAFStock'!CX44</f>
        <v/>
      </c>
      <c r="DA1010">
        <f>'T_TTAFStock'!CY44</f>
        <v/>
      </c>
      <c r="DB1010">
        <f>'T_TTAFStock'!CZ44</f>
        <v/>
      </c>
      <c r="DC1010">
        <f>'T_TTAFStock'!DA44</f>
        <v/>
      </c>
    </row>
    <row r="1011">
      <c r="B1011" t="inlineStr">
        <is>
          <t>自社在庫(実績,kg)</t>
        </is>
      </c>
      <c r="D1011">
        <f>'T_SelfStock'!B44</f>
        <v/>
      </c>
      <c r="E1011">
        <f>'T_SelfStock'!C44</f>
        <v/>
      </c>
      <c r="F1011">
        <f>'T_SelfStock'!D44</f>
        <v/>
      </c>
      <c r="G1011">
        <f>'T_SelfStock'!E44</f>
        <v/>
      </c>
      <c r="H1011">
        <f>'T_SelfStock'!F44</f>
        <v/>
      </c>
      <c r="I1011">
        <f>'T_SelfStock'!G44</f>
        <v/>
      </c>
      <c r="J1011">
        <f>'T_SelfStock'!H44</f>
        <v/>
      </c>
      <c r="K1011">
        <f>'T_SelfStock'!I44</f>
        <v/>
      </c>
      <c r="L1011">
        <f>'T_SelfStock'!J44</f>
        <v/>
      </c>
      <c r="M1011">
        <f>'T_SelfStock'!K44</f>
        <v/>
      </c>
      <c r="N1011">
        <f>'T_SelfStock'!L44</f>
        <v/>
      </c>
      <c r="O1011">
        <f>'T_SelfStock'!M44</f>
        <v/>
      </c>
      <c r="P1011">
        <f>'T_SelfStock'!N44</f>
        <v/>
      </c>
      <c r="Q1011">
        <f>'T_SelfStock'!O44</f>
        <v/>
      </c>
      <c r="R1011">
        <f>'T_SelfStock'!P44</f>
        <v/>
      </c>
      <c r="S1011">
        <f>'T_SelfStock'!Q44</f>
        <v/>
      </c>
      <c r="T1011">
        <f>'T_SelfStock'!R44</f>
        <v/>
      </c>
      <c r="U1011">
        <f>'T_SelfStock'!S44</f>
        <v/>
      </c>
      <c r="V1011">
        <f>'T_SelfStock'!T44</f>
        <v/>
      </c>
      <c r="W1011">
        <f>'T_SelfStock'!U44</f>
        <v/>
      </c>
      <c r="X1011">
        <f>'T_SelfStock'!V44</f>
        <v/>
      </c>
      <c r="Y1011">
        <f>'T_SelfStock'!W44</f>
        <v/>
      </c>
      <c r="Z1011">
        <f>'T_SelfStock'!X44</f>
        <v/>
      </c>
      <c r="AA1011">
        <f>'T_SelfStock'!Y44</f>
        <v/>
      </c>
      <c r="AB1011">
        <f>'T_SelfStock'!Z44</f>
        <v/>
      </c>
      <c r="AC1011">
        <f>'T_SelfStock'!AA44</f>
        <v/>
      </c>
      <c r="AD1011">
        <f>'T_SelfStock'!AB44</f>
        <v/>
      </c>
      <c r="AE1011">
        <f>'T_SelfStock'!AC44</f>
        <v/>
      </c>
      <c r="AF1011">
        <f>'T_SelfStock'!AD44</f>
        <v/>
      </c>
      <c r="AG1011">
        <f>'T_SelfStock'!AE44</f>
        <v/>
      </c>
      <c r="AH1011">
        <f>'T_SelfStock'!AF44</f>
        <v/>
      </c>
      <c r="AI1011">
        <f>'T_SelfStock'!AG44</f>
        <v/>
      </c>
      <c r="AJ1011">
        <f>'T_SelfStock'!AH44</f>
        <v/>
      </c>
      <c r="AK1011">
        <f>'T_SelfStock'!AI44</f>
        <v/>
      </c>
      <c r="AL1011">
        <f>'T_SelfStock'!AJ44</f>
        <v/>
      </c>
      <c r="AM1011">
        <f>'T_SelfStock'!AK44</f>
        <v/>
      </c>
      <c r="AN1011">
        <f>'T_SelfStock'!AL44</f>
        <v/>
      </c>
      <c r="AO1011">
        <f>'T_SelfStock'!AM44</f>
        <v/>
      </c>
      <c r="AP1011">
        <f>'T_SelfStock'!AN44</f>
        <v/>
      </c>
      <c r="AQ1011">
        <f>'T_SelfStock'!AO44</f>
        <v/>
      </c>
      <c r="AR1011">
        <f>'T_SelfStock'!AP44</f>
        <v/>
      </c>
      <c r="AS1011">
        <f>'T_SelfStock'!AQ44</f>
        <v/>
      </c>
      <c r="AT1011">
        <f>'T_SelfStock'!AR44</f>
        <v/>
      </c>
      <c r="AU1011">
        <f>'T_SelfStock'!AS44</f>
        <v/>
      </c>
      <c r="AV1011">
        <f>'T_SelfStock'!AT44</f>
        <v/>
      </c>
      <c r="AW1011">
        <f>'T_SelfStock'!AU44</f>
        <v/>
      </c>
      <c r="AX1011">
        <f>'T_SelfStock'!AV44</f>
        <v/>
      </c>
      <c r="AY1011">
        <f>'T_SelfStock'!AW44</f>
        <v/>
      </c>
      <c r="AZ1011">
        <f>'T_SelfStock'!AX44</f>
        <v/>
      </c>
      <c r="BA1011">
        <f>'T_SelfStock'!AY44</f>
        <v/>
      </c>
      <c r="BB1011">
        <f>'T_SelfStock'!AZ44</f>
        <v/>
      </c>
      <c r="BC1011">
        <f>'T_SelfStock'!BA44</f>
        <v/>
      </c>
      <c r="BD1011">
        <f>'T_SelfStock'!BB44</f>
        <v/>
      </c>
      <c r="BE1011">
        <f>'T_SelfStock'!BC44</f>
        <v/>
      </c>
      <c r="BF1011">
        <f>'T_SelfStock'!BD44</f>
        <v/>
      </c>
      <c r="BG1011">
        <f>'T_SelfStock'!BE44</f>
        <v/>
      </c>
      <c r="BH1011">
        <f>'T_SelfStock'!BF44</f>
        <v/>
      </c>
      <c r="BI1011">
        <f>'T_SelfStock'!BG44</f>
        <v/>
      </c>
      <c r="BJ1011">
        <f>'T_SelfStock'!BH44</f>
        <v/>
      </c>
      <c r="BK1011">
        <f>'T_SelfStock'!BI44</f>
        <v/>
      </c>
      <c r="BL1011">
        <f>'T_SelfStock'!BJ44</f>
        <v/>
      </c>
      <c r="BM1011">
        <f>'T_SelfStock'!BK44</f>
        <v/>
      </c>
      <c r="BN1011">
        <f>'T_SelfStock'!BL44</f>
        <v/>
      </c>
      <c r="BO1011">
        <f>'T_SelfStock'!BM44</f>
        <v/>
      </c>
      <c r="BP1011">
        <f>'T_SelfStock'!BN44</f>
        <v/>
      </c>
      <c r="BQ1011">
        <f>'T_SelfStock'!BO44</f>
        <v/>
      </c>
      <c r="BR1011">
        <f>'T_SelfStock'!BP44</f>
        <v/>
      </c>
      <c r="BS1011">
        <f>'T_SelfStock'!BQ44</f>
        <v/>
      </c>
      <c r="BT1011">
        <f>'T_SelfStock'!BR44</f>
        <v/>
      </c>
      <c r="BU1011">
        <f>'T_SelfStock'!BS44</f>
        <v/>
      </c>
      <c r="BV1011">
        <f>'T_SelfStock'!BT44</f>
        <v/>
      </c>
      <c r="BW1011">
        <f>'T_SelfStock'!BU44</f>
        <v/>
      </c>
      <c r="BX1011">
        <f>'T_SelfStock'!BV44</f>
        <v/>
      </c>
      <c r="BY1011">
        <f>'T_SelfStock'!BW44</f>
        <v/>
      </c>
      <c r="BZ1011">
        <f>'T_SelfStock'!BX44</f>
        <v/>
      </c>
      <c r="CA1011">
        <f>'T_SelfStock'!BY44</f>
        <v/>
      </c>
      <c r="CB1011">
        <f>'T_SelfStock'!BZ44</f>
        <v/>
      </c>
      <c r="CC1011">
        <f>'T_SelfStock'!CA44</f>
        <v/>
      </c>
      <c r="CD1011">
        <f>'T_SelfStock'!CB44</f>
        <v/>
      </c>
      <c r="CE1011">
        <f>'T_SelfStock'!CC44</f>
        <v/>
      </c>
      <c r="CF1011">
        <f>'T_SelfStock'!CD44</f>
        <v/>
      </c>
      <c r="CG1011">
        <f>'T_SelfStock'!CE44</f>
        <v/>
      </c>
      <c r="CH1011">
        <f>'T_SelfStock'!CF44</f>
        <v/>
      </c>
      <c r="CI1011">
        <f>'T_SelfStock'!CG44</f>
        <v/>
      </c>
      <c r="CJ1011">
        <f>'T_SelfStock'!CH44</f>
        <v/>
      </c>
      <c r="CK1011">
        <f>'T_SelfStock'!CI44</f>
        <v/>
      </c>
      <c r="CL1011">
        <f>'T_SelfStock'!CJ44</f>
        <v/>
      </c>
      <c r="CM1011">
        <f>'T_SelfStock'!CK44</f>
        <v/>
      </c>
      <c r="CN1011">
        <f>'T_SelfStock'!CL44</f>
        <v/>
      </c>
      <c r="CO1011">
        <f>'T_SelfStock'!CM44</f>
        <v/>
      </c>
      <c r="CP1011">
        <f>'T_SelfStock'!CN44</f>
        <v/>
      </c>
      <c r="CQ1011">
        <f>'T_SelfStock'!CO44</f>
        <v/>
      </c>
      <c r="CR1011">
        <f>'T_SelfStock'!CP44</f>
        <v/>
      </c>
      <c r="CS1011">
        <f>'T_SelfStock'!CQ44</f>
        <v/>
      </c>
      <c r="CT1011">
        <f>'T_SelfStock'!CR44</f>
        <v/>
      </c>
      <c r="CU1011">
        <f>'T_SelfStock'!CS44</f>
        <v/>
      </c>
      <c r="CV1011">
        <f>'T_SelfStock'!CT44</f>
        <v/>
      </c>
      <c r="CW1011">
        <f>'T_SelfStock'!CU44</f>
        <v/>
      </c>
      <c r="CX1011">
        <f>'T_SelfStock'!CV44</f>
        <v/>
      </c>
      <c r="CY1011">
        <f>'T_SelfStock'!CW44</f>
        <v/>
      </c>
      <c r="CZ1011">
        <f>'T_SelfStock'!CX44</f>
        <v/>
      </c>
      <c r="DA1011">
        <f>'T_SelfStock'!CY44</f>
        <v/>
      </c>
      <c r="DB1011">
        <f>'T_SelfStock'!CZ44</f>
        <v/>
      </c>
      <c r="DC1011">
        <f>'T_SelfStock'!DA44</f>
        <v/>
      </c>
    </row>
    <row r="1012">
      <c r="B1012" s="4" t="inlineStr">
        <is>
          <t>合計在庫(週末時点,kg)</t>
        </is>
      </c>
      <c r="D1012">
        <f>'Grid_Stock'!B40</f>
        <v/>
      </c>
      <c r="E1012">
        <f>'Grid_Stock'!C40</f>
        <v/>
      </c>
      <c r="F1012">
        <f>'Grid_Stock'!D40</f>
        <v/>
      </c>
      <c r="G1012">
        <f>'Grid_Stock'!E40</f>
        <v/>
      </c>
      <c r="H1012">
        <f>'Grid_Stock'!F40</f>
        <v/>
      </c>
      <c r="I1012">
        <f>'Grid_Stock'!G40</f>
        <v/>
      </c>
      <c r="J1012">
        <f>'Grid_Stock'!H40</f>
        <v/>
      </c>
      <c r="K1012">
        <f>'Grid_Stock'!I40</f>
        <v/>
      </c>
      <c r="L1012">
        <f>'Grid_Stock'!J40</f>
        <v/>
      </c>
      <c r="M1012">
        <f>'Grid_Stock'!K40</f>
        <v/>
      </c>
      <c r="N1012">
        <f>'Grid_Stock'!L40</f>
        <v/>
      </c>
      <c r="O1012">
        <f>'Grid_Stock'!M40</f>
        <v/>
      </c>
      <c r="P1012">
        <f>'Grid_Stock'!N40</f>
        <v/>
      </c>
      <c r="Q1012">
        <f>'Grid_Stock'!O40</f>
        <v/>
      </c>
      <c r="R1012">
        <f>'Grid_Stock'!P40</f>
        <v/>
      </c>
      <c r="S1012">
        <f>'Grid_Stock'!Q40</f>
        <v/>
      </c>
      <c r="T1012">
        <f>'Grid_Stock'!R40</f>
        <v/>
      </c>
      <c r="U1012">
        <f>'Grid_Stock'!S40</f>
        <v/>
      </c>
      <c r="V1012">
        <f>'Grid_Stock'!T40</f>
        <v/>
      </c>
      <c r="W1012">
        <f>'Grid_Stock'!U40</f>
        <v/>
      </c>
      <c r="X1012">
        <f>'Grid_Stock'!V40</f>
        <v/>
      </c>
      <c r="Y1012">
        <f>'Grid_Stock'!W40</f>
        <v/>
      </c>
      <c r="Z1012">
        <f>'Grid_Stock'!X40</f>
        <v/>
      </c>
      <c r="AA1012">
        <f>'Grid_Stock'!Y40</f>
        <v/>
      </c>
      <c r="AB1012">
        <f>'Grid_Stock'!Z40</f>
        <v/>
      </c>
      <c r="AC1012">
        <f>'Grid_Stock'!AA40</f>
        <v/>
      </c>
      <c r="AD1012">
        <f>'Grid_Stock'!AB40</f>
        <v/>
      </c>
      <c r="AE1012">
        <f>'Grid_Stock'!AC40</f>
        <v/>
      </c>
      <c r="AF1012">
        <f>'Grid_Stock'!AD40</f>
        <v/>
      </c>
      <c r="AG1012">
        <f>'Grid_Stock'!AE40</f>
        <v/>
      </c>
      <c r="AH1012">
        <f>'Grid_Stock'!AF40</f>
        <v/>
      </c>
      <c r="AI1012">
        <f>'Grid_Stock'!AG40</f>
        <v/>
      </c>
      <c r="AJ1012">
        <f>'Grid_Stock'!AH40</f>
        <v/>
      </c>
      <c r="AK1012">
        <f>'Grid_Stock'!AI40</f>
        <v/>
      </c>
      <c r="AL1012">
        <f>'Grid_Stock'!AJ40</f>
        <v/>
      </c>
      <c r="AM1012">
        <f>'Grid_Stock'!AK40</f>
        <v/>
      </c>
      <c r="AN1012">
        <f>'Grid_Stock'!AL40</f>
        <v/>
      </c>
      <c r="AO1012">
        <f>'Grid_Stock'!AM40</f>
        <v/>
      </c>
      <c r="AP1012">
        <f>'Grid_Stock'!AN40</f>
        <v/>
      </c>
      <c r="AQ1012">
        <f>'Grid_Stock'!AO40</f>
        <v/>
      </c>
      <c r="AR1012">
        <f>'Grid_Stock'!AP40</f>
        <v/>
      </c>
      <c r="AS1012">
        <f>'Grid_Stock'!AQ40</f>
        <v/>
      </c>
      <c r="AT1012">
        <f>'Grid_Stock'!AR40</f>
        <v/>
      </c>
      <c r="AU1012">
        <f>'Grid_Stock'!AS40</f>
        <v/>
      </c>
      <c r="AV1012">
        <f>'Grid_Stock'!AT40</f>
        <v/>
      </c>
      <c r="AW1012">
        <f>'Grid_Stock'!AU40</f>
        <v/>
      </c>
      <c r="AX1012">
        <f>'Grid_Stock'!AV40</f>
        <v/>
      </c>
      <c r="AY1012">
        <f>'Grid_Stock'!AW40</f>
        <v/>
      </c>
      <c r="AZ1012">
        <f>'Grid_Stock'!AX40</f>
        <v/>
      </c>
      <c r="BA1012">
        <f>'Grid_Stock'!AY40</f>
        <v/>
      </c>
      <c r="BB1012">
        <f>'Grid_Stock'!AZ40</f>
        <v/>
      </c>
      <c r="BC1012">
        <f>'Grid_Stock'!BA40</f>
        <v/>
      </c>
      <c r="BD1012">
        <f>'Grid_Stock'!BB40</f>
        <v/>
      </c>
      <c r="BE1012">
        <f>'Grid_Stock'!BC40</f>
        <v/>
      </c>
      <c r="BF1012">
        <f>'Grid_Stock'!BD40</f>
        <v/>
      </c>
      <c r="BG1012">
        <f>'Grid_Stock'!BE40</f>
        <v/>
      </c>
      <c r="BH1012">
        <f>'Grid_Stock'!BF40</f>
        <v/>
      </c>
      <c r="BI1012">
        <f>'Grid_Stock'!BG40</f>
        <v/>
      </c>
      <c r="BJ1012">
        <f>'Grid_Stock'!BH40</f>
        <v/>
      </c>
      <c r="BK1012">
        <f>'Grid_Stock'!BI40</f>
        <v/>
      </c>
      <c r="BL1012">
        <f>'Grid_Stock'!BJ40</f>
        <v/>
      </c>
      <c r="BM1012">
        <f>'Grid_Stock'!BK40</f>
        <v/>
      </c>
      <c r="BN1012">
        <f>'Grid_Stock'!BL40</f>
        <v/>
      </c>
      <c r="BO1012">
        <f>'Grid_Stock'!BM40</f>
        <v/>
      </c>
      <c r="BP1012">
        <f>'Grid_Stock'!BN40</f>
        <v/>
      </c>
      <c r="BQ1012">
        <f>'Grid_Stock'!BO40</f>
        <v/>
      </c>
      <c r="BR1012">
        <f>'Grid_Stock'!BP40</f>
        <v/>
      </c>
      <c r="BS1012">
        <f>'Grid_Stock'!BQ40</f>
        <v/>
      </c>
      <c r="BT1012">
        <f>'Grid_Stock'!BR40</f>
        <v/>
      </c>
      <c r="BU1012">
        <f>'Grid_Stock'!BS40</f>
        <v/>
      </c>
      <c r="BV1012">
        <f>'Grid_Stock'!BT40</f>
        <v/>
      </c>
      <c r="BW1012">
        <f>'Grid_Stock'!BU40</f>
        <v/>
      </c>
      <c r="BX1012">
        <f>'Grid_Stock'!BV40</f>
        <v/>
      </c>
      <c r="BY1012">
        <f>'Grid_Stock'!BW40</f>
        <v/>
      </c>
      <c r="BZ1012">
        <f>'Grid_Stock'!BX40</f>
        <v/>
      </c>
      <c r="CA1012">
        <f>'Grid_Stock'!BY40</f>
        <v/>
      </c>
      <c r="CB1012">
        <f>'Grid_Stock'!BZ40</f>
        <v/>
      </c>
      <c r="CC1012">
        <f>'Grid_Stock'!CA40</f>
        <v/>
      </c>
      <c r="CD1012">
        <f>'Grid_Stock'!CB40</f>
        <v/>
      </c>
      <c r="CE1012">
        <f>'Grid_Stock'!CC40</f>
        <v/>
      </c>
      <c r="CF1012">
        <f>'Grid_Stock'!CD40</f>
        <v/>
      </c>
      <c r="CG1012">
        <f>'Grid_Stock'!CE40</f>
        <v/>
      </c>
      <c r="CH1012">
        <f>'Grid_Stock'!CF40</f>
        <v/>
      </c>
      <c r="CI1012">
        <f>'Grid_Stock'!CG40</f>
        <v/>
      </c>
      <c r="CJ1012">
        <f>'Grid_Stock'!CH40</f>
        <v/>
      </c>
      <c r="CK1012">
        <f>'Grid_Stock'!CI40</f>
        <v/>
      </c>
      <c r="CL1012">
        <f>'Grid_Stock'!CJ40</f>
        <v/>
      </c>
      <c r="CM1012">
        <f>'Grid_Stock'!CK40</f>
        <v/>
      </c>
      <c r="CN1012">
        <f>'Grid_Stock'!CL40</f>
        <v/>
      </c>
      <c r="CO1012">
        <f>'Grid_Stock'!CM40</f>
        <v/>
      </c>
      <c r="CP1012">
        <f>'Grid_Stock'!CN40</f>
        <v/>
      </c>
      <c r="CQ1012">
        <f>'Grid_Stock'!CO40</f>
        <v/>
      </c>
      <c r="CR1012">
        <f>'Grid_Stock'!CP40</f>
        <v/>
      </c>
      <c r="CS1012">
        <f>'Grid_Stock'!CQ40</f>
        <v/>
      </c>
      <c r="CT1012">
        <f>'Grid_Stock'!CR40</f>
        <v/>
      </c>
      <c r="CU1012">
        <f>'Grid_Stock'!CS40</f>
        <v/>
      </c>
      <c r="CV1012">
        <f>'Grid_Stock'!CT40</f>
        <v/>
      </c>
      <c r="CW1012">
        <f>'Grid_Stock'!CU40</f>
        <v/>
      </c>
      <c r="CX1012">
        <f>'Grid_Stock'!CV40</f>
        <v/>
      </c>
      <c r="CY1012">
        <f>'Grid_Stock'!CW40</f>
        <v/>
      </c>
      <c r="CZ1012">
        <f>'Grid_Stock'!CX40</f>
        <v/>
      </c>
      <c r="DA1012">
        <f>'Grid_Stock'!CY40</f>
        <v/>
      </c>
      <c r="DB1012">
        <f>'Grid_Stock'!CZ40</f>
        <v/>
      </c>
      <c r="DC1012">
        <f>'Grid_Stock'!DA40</f>
        <v/>
      </c>
    </row>
    <row r="1013">
      <c r="B1013" s="16" t="inlineStr">
        <is>
          <t>（発注の目安はDashboardの基準在庫[下限/上限]と色分けを参照）</t>
        </is>
      </c>
    </row>
    <row r="1015">
      <c r="A1015" s="14" t="inlineStr">
        <is>
          <t>TDJ</t>
        </is>
      </c>
      <c r="B1015" s="14" t="inlineStr">
        <is>
          <t>(11R-08) TP156- 103-130*TG</t>
        </is>
      </c>
      <c r="C1015" s="15" t="n"/>
      <c r="D1015" s="14" t="n"/>
      <c r="E1015" s="14" t="n"/>
      <c r="F1015" s="14" t="n"/>
      <c r="G1015" s="14" t="n"/>
      <c r="H1015" s="14" t="n"/>
      <c r="I1015" s="14" t="n"/>
      <c r="J1015" s="14" t="n"/>
      <c r="K1015" s="14" t="n"/>
      <c r="L1015" s="14" t="n"/>
      <c r="M1015" s="14" t="n"/>
      <c r="N1015" s="14" t="n"/>
      <c r="O1015" s="14" t="n"/>
      <c r="P1015" s="14" t="n"/>
      <c r="Q1015" s="14" t="n"/>
      <c r="R1015" s="14" t="n"/>
      <c r="S1015" s="14" t="n"/>
      <c r="T1015" s="14" t="n"/>
      <c r="U1015" s="14" t="n"/>
      <c r="V1015" s="14" t="n"/>
      <c r="W1015" s="14" t="n"/>
      <c r="X1015" s="14" t="n"/>
      <c r="Y1015" s="14" t="n"/>
      <c r="Z1015" s="14" t="n"/>
      <c r="AA1015" s="14" t="n"/>
      <c r="AB1015" s="14" t="n"/>
      <c r="AC1015" s="14" t="n"/>
      <c r="AD1015" s="14" t="n"/>
      <c r="AE1015" s="14" t="n"/>
      <c r="AF1015" s="14" t="n"/>
      <c r="AG1015" s="14" t="n"/>
      <c r="AH1015" s="14" t="n"/>
      <c r="AI1015" s="14" t="n"/>
      <c r="AJ1015" s="14" t="n"/>
      <c r="AK1015" s="14" t="n"/>
      <c r="AL1015" s="14" t="n"/>
      <c r="AM1015" s="14" t="n"/>
      <c r="AN1015" s="14" t="n"/>
      <c r="AO1015" s="14" t="n"/>
      <c r="AP1015" s="14" t="n"/>
      <c r="AQ1015" s="14" t="n"/>
      <c r="AR1015" s="14" t="n"/>
      <c r="AS1015" s="14" t="n"/>
      <c r="AT1015" s="14" t="n"/>
      <c r="AU1015" s="14" t="n"/>
      <c r="AV1015" s="14" t="n"/>
      <c r="AW1015" s="14" t="n"/>
      <c r="AX1015" s="14" t="n"/>
      <c r="AY1015" s="14" t="n"/>
      <c r="AZ1015" s="14" t="n"/>
      <c r="BA1015" s="14" t="n"/>
      <c r="BB1015" s="14" t="n"/>
      <c r="BC1015" s="14" t="n"/>
      <c r="BD1015" s="14" t="n"/>
      <c r="BE1015" s="14" t="n"/>
      <c r="BF1015" s="14" t="n"/>
      <c r="BG1015" s="14" t="n"/>
      <c r="BH1015" s="14" t="n"/>
      <c r="BI1015" s="14" t="n"/>
      <c r="BJ1015" s="14" t="n"/>
      <c r="BK1015" s="14" t="n"/>
      <c r="BL1015" s="14" t="n"/>
      <c r="BM1015" s="14" t="n"/>
      <c r="BN1015" s="14" t="n"/>
      <c r="BO1015" s="14" t="n"/>
      <c r="BP1015" s="14" t="n"/>
      <c r="BQ1015" s="14" t="n"/>
      <c r="BR1015" s="14" t="n"/>
      <c r="BS1015" s="14" t="n"/>
      <c r="BT1015" s="14" t="n"/>
      <c r="BU1015" s="14" t="n"/>
      <c r="BV1015" s="14" t="n"/>
      <c r="BW1015" s="14" t="n"/>
      <c r="BX1015" s="14" t="n"/>
      <c r="BY1015" s="14" t="n"/>
      <c r="BZ1015" s="14" t="n"/>
      <c r="CA1015" s="14" t="n"/>
      <c r="CB1015" s="14" t="n"/>
      <c r="CC1015" s="14" t="n"/>
      <c r="CD1015" s="14" t="n"/>
      <c r="CE1015" s="14" t="n"/>
      <c r="CF1015" s="14" t="n"/>
      <c r="CG1015" s="14" t="n"/>
      <c r="CH1015" s="14" t="n"/>
      <c r="CI1015" s="14" t="n"/>
      <c r="CJ1015" s="14" t="n"/>
      <c r="CK1015" s="14" t="n"/>
      <c r="CL1015" s="14" t="n"/>
      <c r="CM1015" s="14" t="n"/>
      <c r="CN1015" s="14" t="n"/>
      <c r="CO1015" s="14" t="n"/>
      <c r="CP1015" s="14" t="n"/>
      <c r="CQ1015" s="14" t="n"/>
      <c r="CR1015" s="14" t="n"/>
      <c r="CS1015" s="14" t="n"/>
      <c r="CT1015" s="14" t="n"/>
      <c r="CU1015" s="14" t="n"/>
      <c r="CV1015" s="14" t="n"/>
      <c r="CW1015" s="14" t="n"/>
      <c r="CX1015" s="14" t="n"/>
      <c r="CY1015" s="14" t="n"/>
      <c r="CZ1015" s="14" t="n"/>
      <c r="DA1015" s="14" t="n"/>
      <c r="DB1015" s="14" t="n"/>
      <c r="DC1015" s="14" t="n"/>
    </row>
    <row r="1016">
      <c r="B1016" t="inlineStr">
        <is>
          <t>0TA30</t>
        </is>
      </c>
      <c r="C1016" t="inlineStr">
        <is>
          <t>No. of batches</t>
        </is>
      </c>
      <c r="D1016">
        <f>IFERROR(INDEX(PP_Grid[#Data],$DD1016,2),0)</f>
        <v/>
      </c>
      <c r="E1016">
        <f>IFERROR(INDEX(PP_Grid[#Data],$DD1016,3),0)</f>
        <v/>
      </c>
      <c r="F1016">
        <f>IFERROR(INDEX(PP_Grid[#Data],$DD1016,4),0)</f>
        <v/>
      </c>
      <c r="G1016">
        <f>IFERROR(INDEX(PP_Grid[#Data],$DD1016,5),0)</f>
        <v/>
      </c>
      <c r="H1016">
        <f>IFERROR(INDEX(PP_Grid[#Data],$DD1016,6),0)</f>
        <v/>
      </c>
      <c r="I1016">
        <f>IFERROR(INDEX(PP_Grid[#Data],$DD1016,7),0)</f>
        <v/>
      </c>
      <c r="J1016">
        <f>IFERROR(INDEX(PP_Grid[#Data],$DD1016,8),0)</f>
        <v/>
      </c>
      <c r="K1016">
        <f>IFERROR(INDEX(PP_Grid[#Data],$DD1016,9),0)</f>
        <v/>
      </c>
      <c r="L1016">
        <f>IFERROR(INDEX(PP_Grid[#Data],$DD1016,10),0)</f>
        <v/>
      </c>
      <c r="M1016">
        <f>IFERROR(INDEX(PP_Grid[#Data],$DD1016,11),0)</f>
        <v/>
      </c>
      <c r="N1016">
        <f>IFERROR(INDEX(PP_Grid[#Data],$DD1016,12),0)</f>
        <v/>
      </c>
      <c r="O1016">
        <f>IFERROR(INDEX(PP_Grid[#Data],$DD1016,13),0)</f>
        <v/>
      </c>
      <c r="P1016">
        <f>IFERROR(INDEX(PP_Grid[#Data],$DD1016,14),0)</f>
        <v/>
      </c>
      <c r="Q1016">
        <f>IFERROR(INDEX(PP_Grid[#Data],$DD1016,15),0)</f>
        <v/>
      </c>
      <c r="R1016">
        <f>IFERROR(INDEX(PP_Grid[#Data],$DD1016,16),0)</f>
        <v/>
      </c>
      <c r="S1016">
        <f>IFERROR(INDEX(PP_Grid[#Data],$DD1016,17),0)</f>
        <v/>
      </c>
      <c r="T1016">
        <f>IFERROR(INDEX(PP_Grid[#Data],$DD1016,18),0)</f>
        <v/>
      </c>
      <c r="U1016">
        <f>IFERROR(INDEX(PP_Grid[#Data],$DD1016,19),0)</f>
        <v/>
      </c>
      <c r="V1016">
        <f>IFERROR(INDEX(PP_Grid[#Data],$DD1016,20),0)</f>
        <v/>
      </c>
      <c r="W1016">
        <f>IFERROR(INDEX(PP_Grid[#Data],$DD1016,21),0)</f>
        <v/>
      </c>
      <c r="X1016">
        <f>IFERROR(INDEX(PP_Grid[#Data],$DD1016,22),0)</f>
        <v/>
      </c>
      <c r="Y1016">
        <f>IFERROR(INDEX(PP_Grid[#Data],$DD1016,23),0)</f>
        <v/>
      </c>
      <c r="Z1016">
        <f>IFERROR(INDEX(PP_Grid[#Data],$DD1016,24),0)</f>
        <v/>
      </c>
      <c r="AA1016">
        <f>IFERROR(INDEX(PP_Grid[#Data],$DD1016,25),0)</f>
        <v/>
      </c>
      <c r="AB1016">
        <f>IFERROR(INDEX(PP_Grid[#Data],$DD1016,26),0)</f>
        <v/>
      </c>
      <c r="AC1016">
        <f>IFERROR(INDEX(PP_Grid[#Data],$DD1016,27),0)</f>
        <v/>
      </c>
      <c r="AD1016">
        <f>IFERROR(INDEX(PP_Grid[#Data],$DD1016,28),0)</f>
        <v/>
      </c>
      <c r="AE1016">
        <f>IFERROR(INDEX(PP_Grid[#Data],$DD1016,29),0)</f>
        <v/>
      </c>
      <c r="AF1016">
        <f>IFERROR(INDEX(PP_Grid[#Data],$DD1016,30),0)</f>
        <v/>
      </c>
      <c r="AG1016">
        <f>IFERROR(INDEX(PP_Grid[#Data],$DD1016,31),0)</f>
        <v/>
      </c>
      <c r="AH1016">
        <f>IFERROR(INDEX(PP_Grid[#Data],$DD1016,32),0)</f>
        <v/>
      </c>
      <c r="AI1016">
        <f>IFERROR(INDEX(PP_Grid[#Data],$DD1016,33),0)</f>
        <v/>
      </c>
      <c r="AJ1016">
        <f>IFERROR(INDEX(PP_Grid[#Data],$DD1016,34),0)</f>
        <v/>
      </c>
      <c r="AK1016">
        <f>IFERROR(INDEX(PP_Grid[#Data],$DD1016,35),0)</f>
        <v/>
      </c>
      <c r="AL1016">
        <f>IFERROR(INDEX(PP_Grid[#Data],$DD1016,36),0)</f>
        <v/>
      </c>
      <c r="AM1016">
        <f>IFERROR(INDEX(PP_Grid[#Data],$DD1016,37),0)</f>
        <v/>
      </c>
      <c r="AN1016">
        <f>IFERROR(INDEX(PP_Grid[#Data],$DD1016,38),0)</f>
        <v/>
      </c>
      <c r="AO1016">
        <f>IFERROR(INDEX(PP_Grid[#Data],$DD1016,39),0)</f>
        <v/>
      </c>
      <c r="AP1016">
        <f>IFERROR(INDEX(PP_Grid[#Data],$DD1016,40),0)</f>
        <v/>
      </c>
      <c r="AQ1016">
        <f>IFERROR(INDEX(PP_Grid[#Data],$DD1016,41),0)</f>
        <v/>
      </c>
      <c r="AR1016">
        <f>IFERROR(INDEX(PP_Grid[#Data],$DD1016,42),0)</f>
        <v/>
      </c>
      <c r="AS1016">
        <f>IFERROR(INDEX(PP_Grid[#Data],$DD1016,43),0)</f>
        <v/>
      </c>
      <c r="AT1016">
        <f>IFERROR(INDEX(PP_Grid[#Data],$DD1016,44),0)</f>
        <v/>
      </c>
      <c r="AU1016">
        <f>IFERROR(INDEX(PP_Grid[#Data],$DD1016,45),0)</f>
        <v/>
      </c>
      <c r="AV1016">
        <f>IFERROR(INDEX(PP_Grid[#Data],$DD1016,46),0)</f>
        <v/>
      </c>
      <c r="AW1016">
        <f>IFERROR(INDEX(PP_Grid[#Data],$DD1016,47),0)</f>
        <v/>
      </c>
      <c r="AX1016">
        <f>IFERROR(INDEX(PP_Grid[#Data],$DD1016,48),0)</f>
        <v/>
      </c>
      <c r="AY1016">
        <f>IFERROR(INDEX(PP_Grid[#Data],$DD1016,49),0)</f>
        <v/>
      </c>
      <c r="AZ1016">
        <f>IFERROR(INDEX(PP_Grid[#Data],$DD1016,50),0)</f>
        <v/>
      </c>
      <c r="BA1016">
        <f>IFERROR(INDEX(PP_Grid[#Data],$DD1016,51),0)</f>
        <v/>
      </c>
      <c r="BB1016">
        <f>IFERROR(INDEX(PP_Grid[#Data],$DD1016,52),0)</f>
        <v/>
      </c>
      <c r="BC1016">
        <f>IFERROR(INDEX(PP_Grid[#Data],$DD1016,53),0)</f>
        <v/>
      </c>
      <c r="BD1016">
        <f>IFERROR(INDEX(PP_Grid[#Data],$DD1016,54),0)</f>
        <v/>
      </c>
      <c r="BE1016">
        <f>IFERROR(INDEX(PP_Grid[#Data],$DD1016,55),0)</f>
        <v/>
      </c>
      <c r="BF1016">
        <f>IFERROR(INDEX(PP_Grid[#Data],$DD1016,56),0)</f>
        <v/>
      </c>
      <c r="BG1016">
        <f>IFERROR(INDEX(PP_Grid[#Data],$DD1016,57),0)</f>
        <v/>
      </c>
      <c r="BH1016">
        <f>IFERROR(INDEX(PP_Grid[#Data],$DD1016,58),0)</f>
        <v/>
      </c>
      <c r="BI1016">
        <f>IFERROR(INDEX(PP_Grid[#Data],$DD1016,59),0)</f>
        <v/>
      </c>
      <c r="BJ1016">
        <f>IFERROR(INDEX(PP_Grid[#Data],$DD1016,60),0)</f>
        <v/>
      </c>
      <c r="BK1016">
        <f>IFERROR(INDEX(PP_Grid[#Data],$DD1016,61),0)</f>
        <v/>
      </c>
      <c r="BL1016">
        <f>IFERROR(INDEX(PP_Grid[#Data],$DD1016,62),0)</f>
        <v/>
      </c>
      <c r="BM1016">
        <f>IFERROR(INDEX(PP_Grid[#Data],$DD1016,63),0)</f>
        <v/>
      </c>
      <c r="BN1016">
        <f>IFERROR(INDEX(PP_Grid[#Data],$DD1016,64),0)</f>
        <v/>
      </c>
      <c r="BO1016">
        <f>IFERROR(INDEX(PP_Grid[#Data],$DD1016,65),0)</f>
        <v/>
      </c>
      <c r="BP1016">
        <f>IFERROR(INDEX(PP_Grid[#Data],$DD1016,66),0)</f>
        <v/>
      </c>
      <c r="BQ1016">
        <f>IFERROR(INDEX(PP_Grid[#Data],$DD1016,67),0)</f>
        <v/>
      </c>
      <c r="BR1016">
        <f>IFERROR(INDEX(PP_Grid[#Data],$DD1016,68),0)</f>
        <v/>
      </c>
      <c r="BS1016">
        <f>IFERROR(INDEX(PP_Grid[#Data],$DD1016,69),0)</f>
        <v/>
      </c>
      <c r="BT1016">
        <f>IFERROR(INDEX(PP_Grid[#Data],$DD1016,70),0)</f>
        <v/>
      </c>
      <c r="BU1016">
        <f>IFERROR(INDEX(PP_Grid[#Data],$DD1016,71),0)</f>
        <v/>
      </c>
      <c r="BV1016">
        <f>IFERROR(INDEX(PP_Grid[#Data],$DD1016,72),0)</f>
        <v/>
      </c>
      <c r="BW1016">
        <f>IFERROR(INDEX(PP_Grid[#Data],$DD1016,73),0)</f>
        <v/>
      </c>
      <c r="BX1016">
        <f>IFERROR(INDEX(PP_Grid[#Data],$DD1016,74),0)</f>
        <v/>
      </c>
      <c r="BY1016">
        <f>IFERROR(INDEX(PP_Grid[#Data],$DD1016,75),0)</f>
        <v/>
      </c>
      <c r="BZ1016">
        <f>IFERROR(INDEX(PP_Grid[#Data],$DD1016,76),0)</f>
        <v/>
      </c>
      <c r="CA1016">
        <f>IFERROR(INDEX(PP_Grid[#Data],$DD1016,77),0)</f>
        <v/>
      </c>
      <c r="CB1016">
        <f>IFERROR(INDEX(PP_Grid[#Data],$DD1016,78),0)</f>
        <v/>
      </c>
      <c r="CC1016">
        <f>IFERROR(INDEX(PP_Grid[#Data],$DD1016,79),0)</f>
        <v/>
      </c>
      <c r="CD1016">
        <f>IFERROR(INDEX(PP_Grid[#Data],$DD1016,80),0)</f>
        <v/>
      </c>
      <c r="CE1016">
        <f>IFERROR(INDEX(PP_Grid[#Data],$DD1016,81),0)</f>
        <v/>
      </c>
      <c r="CF1016">
        <f>IFERROR(INDEX(PP_Grid[#Data],$DD1016,82),0)</f>
        <v/>
      </c>
      <c r="CG1016">
        <f>IFERROR(INDEX(PP_Grid[#Data],$DD1016,83),0)</f>
        <v/>
      </c>
      <c r="CH1016">
        <f>IFERROR(INDEX(PP_Grid[#Data],$DD1016,84),0)</f>
        <v/>
      </c>
      <c r="CI1016">
        <f>IFERROR(INDEX(PP_Grid[#Data],$DD1016,85),0)</f>
        <v/>
      </c>
      <c r="CJ1016">
        <f>IFERROR(INDEX(PP_Grid[#Data],$DD1016,86),0)</f>
        <v/>
      </c>
      <c r="CK1016">
        <f>IFERROR(INDEX(PP_Grid[#Data],$DD1016,87),0)</f>
        <v/>
      </c>
      <c r="CL1016">
        <f>IFERROR(INDEX(PP_Grid[#Data],$DD1016,88),0)</f>
        <v/>
      </c>
      <c r="CM1016">
        <f>IFERROR(INDEX(PP_Grid[#Data],$DD1016,89),0)</f>
        <v/>
      </c>
      <c r="CN1016">
        <f>IFERROR(INDEX(PP_Grid[#Data],$DD1016,90),0)</f>
        <v/>
      </c>
      <c r="CO1016">
        <f>IFERROR(INDEX(PP_Grid[#Data],$DD1016,91),0)</f>
        <v/>
      </c>
      <c r="CP1016">
        <f>IFERROR(INDEX(PP_Grid[#Data],$DD1016,92),0)</f>
        <v/>
      </c>
      <c r="CQ1016">
        <f>IFERROR(INDEX(PP_Grid[#Data],$DD1016,93),0)</f>
        <v/>
      </c>
      <c r="CR1016">
        <f>IFERROR(INDEX(PP_Grid[#Data],$DD1016,94),0)</f>
        <v/>
      </c>
      <c r="CS1016">
        <f>IFERROR(INDEX(PP_Grid[#Data],$DD1016,95),0)</f>
        <v/>
      </c>
      <c r="CT1016">
        <f>IFERROR(INDEX(PP_Grid[#Data],$DD1016,96),0)</f>
        <v/>
      </c>
      <c r="CU1016">
        <f>IFERROR(INDEX(PP_Grid[#Data],$DD1016,97),0)</f>
        <v/>
      </c>
      <c r="CV1016">
        <f>IFERROR(INDEX(PP_Grid[#Data],$DD1016,98),0)</f>
        <v/>
      </c>
      <c r="CW1016">
        <f>IFERROR(INDEX(PP_Grid[#Data],$DD1016,99),0)</f>
        <v/>
      </c>
      <c r="CX1016">
        <f>IFERROR(INDEX(PP_Grid[#Data],$DD1016,100),0)</f>
        <v/>
      </c>
      <c r="CY1016">
        <f>IFERROR(INDEX(PP_Grid[#Data],$DD1016,101),0)</f>
        <v/>
      </c>
      <c r="CZ1016">
        <f>IFERROR(INDEX(PP_Grid[#Data],$DD1016,102),0)</f>
        <v/>
      </c>
      <c r="DA1016">
        <f>IFERROR(INDEX(PP_Grid[#Data],$DD1016,103),0)</f>
        <v/>
      </c>
      <c r="DB1016">
        <f>IFERROR(INDEX(PP_Grid[#Data],$DD1016,104),0)</f>
        <v/>
      </c>
      <c r="DC1016">
        <f>IFERROR(INDEX(PP_Grid[#Data],$DD1016,105),0)</f>
        <v/>
      </c>
      <c r="DD1016" s="7">
        <f>IFERROR(MATCH($B1016,PP_Grid[Intermediate],0),99999)</f>
        <v/>
      </c>
    </row>
    <row r="1017">
      <c r="B1017" t="inlineStr">
        <is>
          <t>使用量(kg)</t>
        </is>
      </c>
      <c r="C1017">
        <f>SUMIFS(M_BOM[RM_Qty_Per_Batch],M_BOM[Intermediate],$B1016,M_BOM[Part Name],$A1015)</f>
        <v/>
      </c>
      <c r="D1017">
        <f>$C1017*D1016</f>
        <v/>
      </c>
      <c r="E1017">
        <f>$C1017*E1016</f>
        <v/>
      </c>
      <c r="F1017">
        <f>$C1017*F1016</f>
        <v/>
      </c>
      <c r="G1017">
        <f>$C1017*G1016</f>
        <v/>
      </c>
      <c r="H1017">
        <f>$C1017*H1016</f>
        <v/>
      </c>
      <c r="I1017">
        <f>$C1017*I1016</f>
        <v/>
      </c>
      <c r="J1017">
        <f>$C1017*J1016</f>
        <v/>
      </c>
      <c r="K1017">
        <f>$C1017*K1016</f>
        <v/>
      </c>
      <c r="L1017">
        <f>$C1017*L1016</f>
        <v/>
      </c>
      <c r="M1017">
        <f>$C1017*M1016</f>
        <v/>
      </c>
      <c r="N1017">
        <f>$C1017*N1016</f>
        <v/>
      </c>
      <c r="O1017">
        <f>$C1017*O1016</f>
        <v/>
      </c>
      <c r="P1017">
        <f>$C1017*P1016</f>
        <v/>
      </c>
      <c r="Q1017">
        <f>$C1017*Q1016</f>
        <v/>
      </c>
      <c r="R1017">
        <f>$C1017*R1016</f>
        <v/>
      </c>
      <c r="S1017">
        <f>$C1017*S1016</f>
        <v/>
      </c>
      <c r="T1017">
        <f>$C1017*T1016</f>
        <v/>
      </c>
      <c r="U1017">
        <f>$C1017*U1016</f>
        <v/>
      </c>
      <c r="V1017">
        <f>$C1017*V1016</f>
        <v/>
      </c>
      <c r="W1017">
        <f>$C1017*W1016</f>
        <v/>
      </c>
      <c r="X1017">
        <f>$C1017*X1016</f>
        <v/>
      </c>
      <c r="Y1017">
        <f>$C1017*Y1016</f>
        <v/>
      </c>
      <c r="Z1017">
        <f>$C1017*Z1016</f>
        <v/>
      </c>
      <c r="AA1017">
        <f>$C1017*AA1016</f>
        <v/>
      </c>
      <c r="AB1017">
        <f>$C1017*AB1016</f>
        <v/>
      </c>
      <c r="AC1017">
        <f>$C1017*AC1016</f>
        <v/>
      </c>
      <c r="AD1017">
        <f>$C1017*AD1016</f>
        <v/>
      </c>
      <c r="AE1017">
        <f>$C1017*AE1016</f>
        <v/>
      </c>
      <c r="AF1017">
        <f>$C1017*AF1016</f>
        <v/>
      </c>
      <c r="AG1017">
        <f>$C1017*AG1016</f>
        <v/>
      </c>
      <c r="AH1017">
        <f>$C1017*AH1016</f>
        <v/>
      </c>
      <c r="AI1017">
        <f>$C1017*AI1016</f>
        <v/>
      </c>
      <c r="AJ1017">
        <f>$C1017*AJ1016</f>
        <v/>
      </c>
      <c r="AK1017">
        <f>$C1017*AK1016</f>
        <v/>
      </c>
      <c r="AL1017">
        <f>$C1017*AL1016</f>
        <v/>
      </c>
      <c r="AM1017">
        <f>$C1017*AM1016</f>
        <v/>
      </c>
      <c r="AN1017">
        <f>$C1017*AN1016</f>
        <v/>
      </c>
      <c r="AO1017">
        <f>$C1017*AO1016</f>
        <v/>
      </c>
      <c r="AP1017">
        <f>$C1017*AP1016</f>
        <v/>
      </c>
      <c r="AQ1017">
        <f>$C1017*AQ1016</f>
        <v/>
      </c>
      <c r="AR1017">
        <f>$C1017*AR1016</f>
        <v/>
      </c>
      <c r="AS1017">
        <f>$C1017*AS1016</f>
        <v/>
      </c>
      <c r="AT1017">
        <f>$C1017*AT1016</f>
        <v/>
      </c>
      <c r="AU1017">
        <f>$C1017*AU1016</f>
        <v/>
      </c>
      <c r="AV1017">
        <f>$C1017*AV1016</f>
        <v/>
      </c>
      <c r="AW1017">
        <f>$C1017*AW1016</f>
        <v/>
      </c>
      <c r="AX1017">
        <f>$C1017*AX1016</f>
        <v/>
      </c>
      <c r="AY1017">
        <f>$C1017*AY1016</f>
        <v/>
      </c>
      <c r="AZ1017">
        <f>$C1017*AZ1016</f>
        <v/>
      </c>
      <c r="BA1017">
        <f>$C1017*BA1016</f>
        <v/>
      </c>
      <c r="BB1017">
        <f>$C1017*BB1016</f>
        <v/>
      </c>
      <c r="BC1017">
        <f>$C1017*BC1016</f>
        <v/>
      </c>
      <c r="BD1017">
        <f>$C1017*BD1016</f>
        <v/>
      </c>
      <c r="BE1017">
        <f>$C1017*BE1016</f>
        <v/>
      </c>
      <c r="BF1017">
        <f>$C1017*BF1016</f>
        <v/>
      </c>
      <c r="BG1017">
        <f>$C1017*BG1016</f>
        <v/>
      </c>
      <c r="BH1017">
        <f>$C1017*BH1016</f>
        <v/>
      </c>
      <c r="BI1017">
        <f>$C1017*BI1016</f>
        <v/>
      </c>
      <c r="BJ1017">
        <f>$C1017*BJ1016</f>
        <v/>
      </c>
      <c r="BK1017">
        <f>$C1017*BK1016</f>
        <v/>
      </c>
      <c r="BL1017">
        <f>$C1017*BL1016</f>
        <v/>
      </c>
      <c r="BM1017">
        <f>$C1017*BM1016</f>
        <v/>
      </c>
      <c r="BN1017">
        <f>$C1017*BN1016</f>
        <v/>
      </c>
      <c r="BO1017">
        <f>$C1017*BO1016</f>
        <v/>
      </c>
      <c r="BP1017">
        <f>$C1017*BP1016</f>
        <v/>
      </c>
      <c r="BQ1017">
        <f>$C1017*BQ1016</f>
        <v/>
      </c>
      <c r="BR1017">
        <f>$C1017*BR1016</f>
        <v/>
      </c>
      <c r="BS1017">
        <f>$C1017*BS1016</f>
        <v/>
      </c>
      <c r="BT1017">
        <f>$C1017*BT1016</f>
        <v/>
      </c>
      <c r="BU1017">
        <f>$C1017*BU1016</f>
        <v/>
      </c>
      <c r="BV1017">
        <f>$C1017*BV1016</f>
        <v/>
      </c>
      <c r="BW1017">
        <f>$C1017*BW1016</f>
        <v/>
      </c>
      <c r="BX1017">
        <f>$C1017*BX1016</f>
        <v/>
      </c>
      <c r="BY1017">
        <f>$C1017*BY1016</f>
        <v/>
      </c>
      <c r="BZ1017">
        <f>$C1017*BZ1016</f>
        <v/>
      </c>
      <c r="CA1017">
        <f>$C1017*CA1016</f>
        <v/>
      </c>
      <c r="CB1017">
        <f>$C1017*CB1016</f>
        <v/>
      </c>
      <c r="CC1017">
        <f>$C1017*CC1016</f>
        <v/>
      </c>
      <c r="CD1017">
        <f>$C1017*CD1016</f>
        <v/>
      </c>
      <c r="CE1017">
        <f>$C1017*CE1016</f>
        <v/>
      </c>
      <c r="CF1017">
        <f>$C1017*CF1016</f>
        <v/>
      </c>
      <c r="CG1017">
        <f>$C1017*CG1016</f>
        <v/>
      </c>
      <c r="CH1017">
        <f>$C1017*CH1016</f>
        <v/>
      </c>
      <c r="CI1017">
        <f>$C1017*CI1016</f>
        <v/>
      </c>
      <c r="CJ1017">
        <f>$C1017*CJ1016</f>
        <v/>
      </c>
      <c r="CK1017">
        <f>$C1017*CK1016</f>
        <v/>
      </c>
      <c r="CL1017">
        <f>$C1017*CL1016</f>
        <v/>
      </c>
      <c r="CM1017">
        <f>$C1017*CM1016</f>
        <v/>
      </c>
      <c r="CN1017">
        <f>$C1017*CN1016</f>
        <v/>
      </c>
      <c r="CO1017">
        <f>$C1017*CO1016</f>
        <v/>
      </c>
      <c r="CP1017">
        <f>$C1017*CP1016</f>
        <v/>
      </c>
      <c r="CQ1017">
        <f>$C1017*CQ1016</f>
        <v/>
      </c>
      <c r="CR1017">
        <f>$C1017*CR1016</f>
        <v/>
      </c>
      <c r="CS1017">
        <f>$C1017*CS1016</f>
        <v/>
      </c>
      <c r="CT1017">
        <f>$C1017*CT1016</f>
        <v/>
      </c>
      <c r="CU1017">
        <f>$C1017*CU1016</f>
        <v/>
      </c>
      <c r="CV1017">
        <f>$C1017*CV1016</f>
        <v/>
      </c>
      <c r="CW1017">
        <f>$C1017*CW1016</f>
        <v/>
      </c>
      <c r="CX1017">
        <f>$C1017*CX1016</f>
        <v/>
      </c>
      <c r="CY1017">
        <f>$C1017*CY1016</f>
        <v/>
      </c>
      <c r="CZ1017">
        <f>$C1017*CZ1016</f>
        <v/>
      </c>
      <c r="DA1017">
        <f>$C1017*DA1016</f>
        <v/>
      </c>
      <c r="DB1017">
        <f>$C1017*DB1016</f>
        <v/>
      </c>
      <c r="DC1017">
        <f>$C1017*DC1016</f>
        <v/>
      </c>
    </row>
    <row r="1018">
      <c r="B1018" s="4" t="inlineStr">
        <is>
          <t>合計使用量(kg)/週</t>
        </is>
      </c>
      <c r="D1018">
        <f>'Grid_Requirement'!B30</f>
        <v/>
      </c>
      <c r="E1018">
        <f>'Grid_Requirement'!C30</f>
        <v/>
      </c>
      <c r="F1018">
        <f>'Grid_Requirement'!D30</f>
        <v/>
      </c>
      <c r="G1018">
        <f>'Grid_Requirement'!E30</f>
        <v/>
      </c>
      <c r="H1018">
        <f>'Grid_Requirement'!F30</f>
        <v/>
      </c>
      <c r="I1018">
        <f>'Grid_Requirement'!G30</f>
        <v/>
      </c>
      <c r="J1018">
        <f>'Grid_Requirement'!H30</f>
        <v/>
      </c>
      <c r="K1018">
        <f>'Grid_Requirement'!I30</f>
        <v/>
      </c>
      <c r="L1018">
        <f>'Grid_Requirement'!J30</f>
        <v/>
      </c>
      <c r="M1018">
        <f>'Grid_Requirement'!K30</f>
        <v/>
      </c>
      <c r="N1018">
        <f>'Grid_Requirement'!L30</f>
        <v/>
      </c>
      <c r="O1018">
        <f>'Grid_Requirement'!M30</f>
        <v/>
      </c>
      <c r="P1018">
        <f>'Grid_Requirement'!N30</f>
        <v/>
      </c>
      <c r="Q1018">
        <f>'Grid_Requirement'!O30</f>
        <v/>
      </c>
      <c r="R1018">
        <f>'Grid_Requirement'!P30</f>
        <v/>
      </c>
      <c r="S1018">
        <f>'Grid_Requirement'!Q30</f>
        <v/>
      </c>
      <c r="T1018">
        <f>'Grid_Requirement'!R30</f>
        <v/>
      </c>
      <c r="U1018">
        <f>'Grid_Requirement'!S30</f>
        <v/>
      </c>
      <c r="V1018">
        <f>'Grid_Requirement'!T30</f>
        <v/>
      </c>
      <c r="W1018">
        <f>'Grid_Requirement'!U30</f>
        <v/>
      </c>
      <c r="X1018">
        <f>'Grid_Requirement'!V30</f>
        <v/>
      </c>
      <c r="Y1018">
        <f>'Grid_Requirement'!W30</f>
        <v/>
      </c>
      <c r="Z1018">
        <f>'Grid_Requirement'!X30</f>
        <v/>
      </c>
      <c r="AA1018">
        <f>'Grid_Requirement'!Y30</f>
        <v/>
      </c>
      <c r="AB1018">
        <f>'Grid_Requirement'!Z30</f>
        <v/>
      </c>
      <c r="AC1018">
        <f>'Grid_Requirement'!AA30</f>
        <v/>
      </c>
      <c r="AD1018">
        <f>'Grid_Requirement'!AB30</f>
        <v/>
      </c>
      <c r="AE1018">
        <f>'Grid_Requirement'!AC30</f>
        <v/>
      </c>
      <c r="AF1018">
        <f>'Grid_Requirement'!AD30</f>
        <v/>
      </c>
      <c r="AG1018">
        <f>'Grid_Requirement'!AE30</f>
        <v/>
      </c>
      <c r="AH1018">
        <f>'Grid_Requirement'!AF30</f>
        <v/>
      </c>
      <c r="AI1018">
        <f>'Grid_Requirement'!AG30</f>
        <v/>
      </c>
      <c r="AJ1018">
        <f>'Grid_Requirement'!AH30</f>
        <v/>
      </c>
      <c r="AK1018">
        <f>'Grid_Requirement'!AI30</f>
        <v/>
      </c>
      <c r="AL1018">
        <f>'Grid_Requirement'!AJ30</f>
        <v/>
      </c>
      <c r="AM1018">
        <f>'Grid_Requirement'!AK30</f>
        <v/>
      </c>
      <c r="AN1018">
        <f>'Grid_Requirement'!AL30</f>
        <v/>
      </c>
      <c r="AO1018">
        <f>'Grid_Requirement'!AM30</f>
        <v/>
      </c>
      <c r="AP1018">
        <f>'Grid_Requirement'!AN30</f>
        <v/>
      </c>
      <c r="AQ1018">
        <f>'Grid_Requirement'!AO30</f>
        <v/>
      </c>
      <c r="AR1018">
        <f>'Grid_Requirement'!AP30</f>
        <v/>
      </c>
      <c r="AS1018">
        <f>'Grid_Requirement'!AQ30</f>
        <v/>
      </c>
      <c r="AT1018">
        <f>'Grid_Requirement'!AR30</f>
        <v/>
      </c>
      <c r="AU1018">
        <f>'Grid_Requirement'!AS30</f>
        <v/>
      </c>
      <c r="AV1018">
        <f>'Grid_Requirement'!AT30</f>
        <v/>
      </c>
      <c r="AW1018">
        <f>'Grid_Requirement'!AU30</f>
        <v/>
      </c>
      <c r="AX1018">
        <f>'Grid_Requirement'!AV30</f>
        <v/>
      </c>
      <c r="AY1018">
        <f>'Grid_Requirement'!AW30</f>
        <v/>
      </c>
      <c r="AZ1018">
        <f>'Grid_Requirement'!AX30</f>
        <v/>
      </c>
      <c r="BA1018">
        <f>'Grid_Requirement'!AY30</f>
        <v/>
      </c>
      <c r="BB1018">
        <f>'Grid_Requirement'!AZ30</f>
        <v/>
      </c>
      <c r="BC1018">
        <f>'Grid_Requirement'!BA30</f>
        <v/>
      </c>
      <c r="BD1018">
        <f>'Grid_Requirement'!BB30</f>
        <v/>
      </c>
      <c r="BE1018">
        <f>'Grid_Requirement'!BC30</f>
        <v/>
      </c>
      <c r="BF1018">
        <f>'Grid_Requirement'!BD30</f>
        <v/>
      </c>
      <c r="BG1018">
        <f>'Grid_Requirement'!BE30</f>
        <v/>
      </c>
      <c r="BH1018">
        <f>'Grid_Requirement'!BF30</f>
        <v/>
      </c>
      <c r="BI1018">
        <f>'Grid_Requirement'!BG30</f>
        <v/>
      </c>
      <c r="BJ1018">
        <f>'Grid_Requirement'!BH30</f>
        <v/>
      </c>
      <c r="BK1018">
        <f>'Grid_Requirement'!BI30</f>
        <v/>
      </c>
      <c r="BL1018">
        <f>'Grid_Requirement'!BJ30</f>
        <v/>
      </c>
      <c r="BM1018">
        <f>'Grid_Requirement'!BK30</f>
        <v/>
      </c>
      <c r="BN1018">
        <f>'Grid_Requirement'!BL30</f>
        <v/>
      </c>
      <c r="BO1018">
        <f>'Grid_Requirement'!BM30</f>
        <v/>
      </c>
      <c r="BP1018">
        <f>'Grid_Requirement'!BN30</f>
        <v/>
      </c>
      <c r="BQ1018">
        <f>'Grid_Requirement'!BO30</f>
        <v/>
      </c>
      <c r="BR1018">
        <f>'Grid_Requirement'!BP30</f>
        <v/>
      </c>
      <c r="BS1018">
        <f>'Grid_Requirement'!BQ30</f>
        <v/>
      </c>
      <c r="BT1018">
        <f>'Grid_Requirement'!BR30</f>
        <v/>
      </c>
      <c r="BU1018">
        <f>'Grid_Requirement'!BS30</f>
        <v/>
      </c>
      <c r="BV1018">
        <f>'Grid_Requirement'!BT30</f>
        <v/>
      </c>
      <c r="BW1018">
        <f>'Grid_Requirement'!BU30</f>
        <v/>
      </c>
      <c r="BX1018">
        <f>'Grid_Requirement'!BV30</f>
        <v/>
      </c>
      <c r="BY1018">
        <f>'Grid_Requirement'!BW30</f>
        <v/>
      </c>
      <c r="BZ1018">
        <f>'Grid_Requirement'!BX30</f>
        <v/>
      </c>
      <c r="CA1018">
        <f>'Grid_Requirement'!BY30</f>
        <v/>
      </c>
      <c r="CB1018">
        <f>'Grid_Requirement'!BZ30</f>
        <v/>
      </c>
      <c r="CC1018">
        <f>'Grid_Requirement'!CA30</f>
        <v/>
      </c>
      <c r="CD1018">
        <f>'Grid_Requirement'!CB30</f>
        <v/>
      </c>
      <c r="CE1018">
        <f>'Grid_Requirement'!CC30</f>
        <v/>
      </c>
      <c r="CF1018">
        <f>'Grid_Requirement'!CD30</f>
        <v/>
      </c>
      <c r="CG1018">
        <f>'Grid_Requirement'!CE30</f>
        <v/>
      </c>
      <c r="CH1018">
        <f>'Grid_Requirement'!CF30</f>
        <v/>
      </c>
      <c r="CI1018">
        <f>'Grid_Requirement'!CG30</f>
        <v/>
      </c>
      <c r="CJ1018">
        <f>'Grid_Requirement'!CH30</f>
        <v/>
      </c>
      <c r="CK1018">
        <f>'Grid_Requirement'!CI30</f>
        <v/>
      </c>
      <c r="CL1018">
        <f>'Grid_Requirement'!CJ30</f>
        <v/>
      </c>
      <c r="CM1018">
        <f>'Grid_Requirement'!CK30</f>
        <v/>
      </c>
      <c r="CN1018">
        <f>'Grid_Requirement'!CL30</f>
        <v/>
      </c>
      <c r="CO1018">
        <f>'Grid_Requirement'!CM30</f>
        <v/>
      </c>
      <c r="CP1018">
        <f>'Grid_Requirement'!CN30</f>
        <v/>
      </c>
      <c r="CQ1018">
        <f>'Grid_Requirement'!CO30</f>
        <v/>
      </c>
      <c r="CR1018">
        <f>'Grid_Requirement'!CP30</f>
        <v/>
      </c>
      <c r="CS1018">
        <f>'Grid_Requirement'!CQ30</f>
        <v/>
      </c>
      <c r="CT1018">
        <f>'Grid_Requirement'!CR30</f>
        <v/>
      </c>
      <c r="CU1018">
        <f>'Grid_Requirement'!CS30</f>
        <v/>
      </c>
      <c r="CV1018">
        <f>'Grid_Requirement'!CT30</f>
        <v/>
      </c>
      <c r="CW1018">
        <f>'Grid_Requirement'!CU30</f>
        <v/>
      </c>
      <c r="CX1018">
        <f>'Grid_Requirement'!CV30</f>
        <v/>
      </c>
      <c r="CY1018">
        <f>'Grid_Requirement'!CW30</f>
        <v/>
      </c>
      <c r="CZ1018">
        <f>'Grid_Requirement'!CX30</f>
        <v/>
      </c>
      <c r="DA1018">
        <f>'Grid_Requirement'!CY30</f>
        <v/>
      </c>
      <c r="DB1018">
        <f>'Grid_Requirement'!CZ30</f>
        <v/>
      </c>
      <c r="DC1018">
        <f>'Grid_Requirement'!DA30</f>
        <v/>
      </c>
    </row>
    <row r="1019">
      <c r="B1019" t="inlineStr">
        <is>
          <t>TTAF在庫(実績,kg)</t>
        </is>
      </c>
      <c r="D1019">
        <f>'T_TTAFStock'!B34</f>
        <v/>
      </c>
      <c r="E1019">
        <f>'T_TTAFStock'!C34</f>
        <v/>
      </c>
      <c r="F1019">
        <f>'T_TTAFStock'!D34</f>
        <v/>
      </c>
      <c r="G1019">
        <f>'T_TTAFStock'!E34</f>
        <v/>
      </c>
      <c r="H1019">
        <f>'T_TTAFStock'!F34</f>
        <v/>
      </c>
      <c r="I1019">
        <f>'T_TTAFStock'!G34</f>
        <v/>
      </c>
      <c r="J1019">
        <f>'T_TTAFStock'!H34</f>
        <v/>
      </c>
      <c r="K1019">
        <f>'T_TTAFStock'!I34</f>
        <v/>
      </c>
      <c r="L1019">
        <f>'T_TTAFStock'!J34</f>
        <v/>
      </c>
      <c r="M1019">
        <f>'T_TTAFStock'!K34</f>
        <v/>
      </c>
      <c r="N1019">
        <f>'T_TTAFStock'!L34</f>
        <v/>
      </c>
      <c r="O1019">
        <f>'T_TTAFStock'!M34</f>
        <v/>
      </c>
      <c r="P1019">
        <f>'T_TTAFStock'!N34</f>
        <v/>
      </c>
      <c r="Q1019">
        <f>'T_TTAFStock'!O34</f>
        <v/>
      </c>
      <c r="R1019">
        <f>'T_TTAFStock'!P34</f>
        <v/>
      </c>
      <c r="S1019">
        <f>'T_TTAFStock'!Q34</f>
        <v/>
      </c>
      <c r="T1019">
        <f>'T_TTAFStock'!R34</f>
        <v/>
      </c>
      <c r="U1019">
        <f>'T_TTAFStock'!S34</f>
        <v/>
      </c>
      <c r="V1019">
        <f>'T_TTAFStock'!T34</f>
        <v/>
      </c>
      <c r="W1019">
        <f>'T_TTAFStock'!U34</f>
        <v/>
      </c>
      <c r="X1019">
        <f>'T_TTAFStock'!V34</f>
        <v/>
      </c>
      <c r="Y1019">
        <f>'T_TTAFStock'!W34</f>
        <v/>
      </c>
      <c r="Z1019">
        <f>'T_TTAFStock'!X34</f>
        <v/>
      </c>
      <c r="AA1019">
        <f>'T_TTAFStock'!Y34</f>
        <v/>
      </c>
      <c r="AB1019">
        <f>'T_TTAFStock'!Z34</f>
        <v/>
      </c>
      <c r="AC1019">
        <f>'T_TTAFStock'!AA34</f>
        <v/>
      </c>
      <c r="AD1019">
        <f>'T_TTAFStock'!AB34</f>
        <v/>
      </c>
      <c r="AE1019">
        <f>'T_TTAFStock'!AC34</f>
        <v/>
      </c>
      <c r="AF1019">
        <f>'T_TTAFStock'!AD34</f>
        <v/>
      </c>
      <c r="AG1019">
        <f>'T_TTAFStock'!AE34</f>
        <v/>
      </c>
      <c r="AH1019">
        <f>'T_TTAFStock'!AF34</f>
        <v/>
      </c>
      <c r="AI1019">
        <f>'T_TTAFStock'!AG34</f>
        <v/>
      </c>
      <c r="AJ1019">
        <f>'T_TTAFStock'!AH34</f>
        <v/>
      </c>
      <c r="AK1019">
        <f>'T_TTAFStock'!AI34</f>
        <v/>
      </c>
      <c r="AL1019">
        <f>'T_TTAFStock'!AJ34</f>
        <v/>
      </c>
      <c r="AM1019">
        <f>'T_TTAFStock'!AK34</f>
        <v/>
      </c>
      <c r="AN1019">
        <f>'T_TTAFStock'!AL34</f>
        <v/>
      </c>
      <c r="AO1019">
        <f>'T_TTAFStock'!AM34</f>
        <v/>
      </c>
      <c r="AP1019">
        <f>'T_TTAFStock'!AN34</f>
        <v/>
      </c>
      <c r="AQ1019">
        <f>'T_TTAFStock'!AO34</f>
        <v/>
      </c>
      <c r="AR1019">
        <f>'T_TTAFStock'!AP34</f>
        <v/>
      </c>
      <c r="AS1019">
        <f>'T_TTAFStock'!AQ34</f>
        <v/>
      </c>
      <c r="AT1019">
        <f>'T_TTAFStock'!AR34</f>
        <v/>
      </c>
      <c r="AU1019">
        <f>'T_TTAFStock'!AS34</f>
        <v/>
      </c>
      <c r="AV1019">
        <f>'T_TTAFStock'!AT34</f>
        <v/>
      </c>
      <c r="AW1019">
        <f>'T_TTAFStock'!AU34</f>
        <v/>
      </c>
      <c r="AX1019">
        <f>'T_TTAFStock'!AV34</f>
        <v/>
      </c>
      <c r="AY1019">
        <f>'T_TTAFStock'!AW34</f>
        <v/>
      </c>
      <c r="AZ1019">
        <f>'T_TTAFStock'!AX34</f>
        <v/>
      </c>
      <c r="BA1019">
        <f>'T_TTAFStock'!AY34</f>
        <v/>
      </c>
      <c r="BB1019">
        <f>'T_TTAFStock'!AZ34</f>
        <v/>
      </c>
      <c r="BC1019">
        <f>'T_TTAFStock'!BA34</f>
        <v/>
      </c>
      <c r="BD1019">
        <f>'T_TTAFStock'!BB34</f>
        <v/>
      </c>
      <c r="BE1019">
        <f>'T_TTAFStock'!BC34</f>
        <v/>
      </c>
      <c r="BF1019">
        <f>'T_TTAFStock'!BD34</f>
        <v/>
      </c>
      <c r="BG1019">
        <f>'T_TTAFStock'!BE34</f>
        <v/>
      </c>
      <c r="BH1019">
        <f>'T_TTAFStock'!BF34</f>
        <v/>
      </c>
      <c r="BI1019">
        <f>'T_TTAFStock'!BG34</f>
        <v/>
      </c>
      <c r="BJ1019">
        <f>'T_TTAFStock'!BH34</f>
        <v/>
      </c>
      <c r="BK1019">
        <f>'T_TTAFStock'!BI34</f>
        <v/>
      </c>
      <c r="BL1019">
        <f>'T_TTAFStock'!BJ34</f>
        <v/>
      </c>
      <c r="BM1019">
        <f>'T_TTAFStock'!BK34</f>
        <v/>
      </c>
      <c r="BN1019">
        <f>'T_TTAFStock'!BL34</f>
        <v/>
      </c>
      <c r="BO1019">
        <f>'T_TTAFStock'!BM34</f>
        <v/>
      </c>
      <c r="BP1019">
        <f>'T_TTAFStock'!BN34</f>
        <v/>
      </c>
      <c r="BQ1019">
        <f>'T_TTAFStock'!BO34</f>
        <v/>
      </c>
      <c r="BR1019">
        <f>'T_TTAFStock'!BP34</f>
        <v/>
      </c>
      <c r="BS1019">
        <f>'T_TTAFStock'!BQ34</f>
        <v/>
      </c>
      <c r="BT1019">
        <f>'T_TTAFStock'!BR34</f>
        <v/>
      </c>
      <c r="BU1019">
        <f>'T_TTAFStock'!BS34</f>
        <v/>
      </c>
      <c r="BV1019">
        <f>'T_TTAFStock'!BT34</f>
        <v/>
      </c>
      <c r="BW1019">
        <f>'T_TTAFStock'!BU34</f>
        <v/>
      </c>
      <c r="BX1019">
        <f>'T_TTAFStock'!BV34</f>
        <v/>
      </c>
      <c r="BY1019">
        <f>'T_TTAFStock'!BW34</f>
        <v/>
      </c>
      <c r="BZ1019">
        <f>'T_TTAFStock'!BX34</f>
        <v/>
      </c>
      <c r="CA1019">
        <f>'T_TTAFStock'!BY34</f>
        <v/>
      </c>
      <c r="CB1019">
        <f>'T_TTAFStock'!BZ34</f>
        <v/>
      </c>
      <c r="CC1019">
        <f>'T_TTAFStock'!CA34</f>
        <v/>
      </c>
      <c r="CD1019">
        <f>'T_TTAFStock'!CB34</f>
        <v/>
      </c>
      <c r="CE1019">
        <f>'T_TTAFStock'!CC34</f>
        <v/>
      </c>
      <c r="CF1019">
        <f>'T_TTAFStock'!CD34</f>
        <v/>
      </c>
      <c r="CG1019">
        <f>'T_TTAFStock'!CE34</f>
        <v/>
      </c>
      <c r="CH1019">
        <f>'T_TTAFStock'!CF34</f>
        <v/>
      </c>
      <c r="CI1019">
        <f>'T_TTAFStock'!CG34</f>
        <v/>
      </c>
      <c r="CJ1019">
        <f>'T_TTAFStock'!CH34</f>
        <v/>
      </c>
      <c r="CK1019">
        <f>'T_TTAFStock'!CI34</f>
        <v/>
      </c>
      <c r="CL1019">
        <f>'T_TTAFStock'!CJ34</f>
        <v/>
      </c>
      <c r="CM1019">
        <f>'T_TTAFStock'!CK34</f>
        <v/>
      </c>
      <c r="CN1019">
        <f>'T_TTAFStock'!CL34</f>
        <v/>
      </c>
      <c r="CO1019">
        <f>'T_TTAFStock'!CM34</f>
        <v/>
      </c>
      <c r="CP1019">
        <f>'T_TTAFStock'!CN34</f>
        <v/>
      </c>
      <c r="CQ1019">
        <f>'T_TTAFStock'!CO34</f>
        <v/>
      </c>
      <c r="CR1019">
        <f>'T_TTAFStock'!CP34</f>
        <v/>
      </c>
      <c r="CS1019">
        <f>'T_TTAFStock'!CQ34</f>
        <v/>
      </c>
      <c r="CT1019">
        <f>'T_TTAFStock'!CR34</f>
        <v/>
      </c>
      <c r="CU1019">
        <f>'T_TTAFStock'!CS34</f>
        <v/>
      </c>
      <c r="CV1019">
        <f>'T_TTAFStock'!CT34</f>
        <v/>
      </c>
      <c r="CW1019">
        <f>'T_TTAFStock'!CU34</f>
        <v/>
      </c>
      <c r="CX1019">
        <f>'T_TTAFStock'!CV34</f>
        <v/>
      </c>
      <c r="CY1019">
        <f>'T_TTAFStock'!CW34</f>
        <v/>
      </c>
      <c r="CZ1019">
        <f>'T_TTAFStock'!CX34</f>
        <v/>
      </c>
      <c r="DA1019">
        <f>'T_TTAFStock'!CY34</f>
        <v/>
      </c>
      <c r="DB1019">
        <f>'T_TTAFStock'!CZ34</f>
        <v/>
      </c>
      <c r="DC1019">
        <f>'T_TTAFStock'!DA34</f>
        <v/>
      </c>
    </row>
    <row r="1020">
      <c r="B1020" t="inlineStr">
        <is>
          <t>自社在庫(実績,kg)</t>
        </is>
      </c>
      <c r="D1020">
        <f>'T_SelfStock'!B34</f>
        <v/>
      </c>
      <c r="E1020">
        <f>'T_SelfStock'!C34</f>
        <v/>
      </c>
      <c r="F1020">
        <f>'T_SelfStock'!D34</f>
        <v/>
      </c>
      <c r="G1020">
        <f>'T_SelfStock'!E34</f>
        <v/>
      </c>
      <c r="H1020">
        <f>'T_SelfStock'!F34</f>
        <v/>
      </c>
      <c r="I1020">
        <f>'T_SelfStock'!G34</f>
        <v/>
      </c>
      <c r="J1020">
        <f>'T_SelfStock'!H34</f>
        <v/>
      </c>
      <c r="K1020">
        <f>'T_SelfStock'!I34</f>
        <v/>
      </c>
      <c r="L1020">
        <f>'T_SelfStock'!J34</f>
        <v/>
      </c>
      <c r="M1020">
        <f>'T_SelfStock'!K34</f>
        <v/>
      </c>
      <c r="N1020">
        <f>'T_SelfStock'!L34</f>
        <v/>
      </c>
      <c r="O1020">
        <f>'T_SelfStock'!M34</f>
        <v/>
      </c>
      <c r="P1020">
        <f>'T_SelfStock'!N34</f>
        <v/>
      </c>
      <c r="Q1020">
        <f>'T_SelfStock'!O34</f>
        <v/>
      </c>
      <c r="R1020">
        <f>'T_SelfStock'!P34</f>
        <v/>
      </c>
      <c r="S1020">
        <f>'T_SelfStock'!Q34</f>
        <v/>
      </c>
      <c r="T1020">
        <f>'T_SelfStock'!R34</f>
        <v/>
      </c>
      <c r="U1020">
        <f>'T_SelfStock'!S34</f>
        <v/>
      </c>
      <c r="V1020">
        <f>'T_SelfStock'!T34</f>
        <v/>
      </c>
      <c r="W1020">
        <f>'T_SelfStock'!U34</f>
        <v/>
      </c>
      <c r="X1020">
        <f>'T_SelfStock'!V34</f>
        <v/>
      </c>
      <c r="Y1020">
        <f>'T_SelfStock'!W34</f>
        <v/>
      </c>
      <c r="Z1020">
        <f>'T_SelfStock'!X34</f>
        <v/>
      </c>
      <c r="AA1020">
        <f>'T_SelfStock'!Y34</f>
        <v/>
      </c>
      <c r="AB1020">
        <f>'T_SelfStock'!Z34</f>
        <v/>
      </c>
      <c r="AC1020">
        <f>'T_SelfStock'!AA34</f>
        <v/>
      </c>
      <c r="AD1020">
        <f>'T_SelfStock'!AB34</f>
        <v/>
      </c>
      <c r="AE1020">
        <f>'T_SelfStock'!AC34</f>
        <v/>
      </c>
      <c r="AF1020">
        <f>'T_SelfStock'!AD34</f>
        <v/>
      </c>
      <c r="AG1020">
        <f>'T_SelfStock'!AE34</f>
        <v/>
      </c>
      <c r="AH1020">
        <f>'T_SelfStock'!AF34</f>
        <v/>
      </c>
      <c r="AI1020">
        <f>'T_SelfStock'!AG34</f>
        <v/>
      </c>
      <c r="AJ1020">
        <f>'T_SelfStock'!AH34</f>
        <v/>
      </c>
      <c r="AK1020">
        <f>'T_SelfStock'!AI34</f>
        <v/>
      </c>
      <c r="AL1020">
        <f>'T_SelfStock'!AJ34</f>
        <v/>
      </c>
      <c r="AM1020">
        <f>'T_SelfStock'!AK34</f>
        <v/>
      </c>
      <c r="AN1020">
        <f>'T_SelfStock'!AL34</f>
        <v/>
      </c>
      <c r="AO1020">
        <f>'T_SelfStock'!AM34</f>
        <v/>
      </c>
      <c r="AP1020">
        <f>'T_SelfStock'!AN34</f>
        <v/>
      </c>
      <c r="AQ1020">
        <f>'T_SelfStock'!AO34</f>
        <v/>
      </c>
      <c r="AR1020">
        <f>'T_SelfStock'!AP34</f>
        <v/>
      </c>
      <c r="AS1020">
        <f>'T_SelfStock'!AQ34</f>
        <v/>
      </c>
      <c r="AT1020">
        <f>'T_SelfStock'!AR34</f>
        <v/>
      </c>
      <c r="AU1020">
        <f>'T_SelfStock'!AS34</f>
        <v/>
      </c>
      <c r="AV1020">
        <f>'T_SelfStock'!AT34</f>
        <v/>
      </c>
      <c r="AW1020">
        <f>'T_SelfStock'!AU34</f>
        <v/>
      </c>
      <c r="AX1020">
        <f>'T_SelfStock'!AV34</f>
        <v/>
      </c>
      <c r="AY1020">
        <f>'T_SelfStock'!AW34</f>
        <v/>
      </c>
      <c r="AZ1020">
        <f>'T_SelfStock'!AX34</f>
        <v/>
      </c>
      <c r="BA1020">
        <f>'T_SelfStock'!AY34</f>
        <v/>
      </c>
      <c r="BB1020">
        <f>'T_SelfStock'!AZ34</f>
        <v/>
      </c>
      <c r="BC1020">
        <f>'T_SelfStock'!BA34</f>
        <v/>
      </c>
      <c r="BD1020">
        <f>'T_SelfStock'!BB34</f>
        <v/>
      </c>
      <c r="BE1020">
        <f>'T_SelfStock'!BC34</f>
        <v/>
      </c>
      <c r="BF1020">
        <f>'T_SelfStock'!BD34</f>
        <v/>
      </c>
      <c r="BG1020">
        <f>'T_SelfStock'!BE34</f>
        <v/>
      </c>
      <c r="BH1020">
        <f>'T_SelfStock'!BF34</f>
        <v/>
      </c>
      <c r="BI1020">
        <f>'T_SelfStock'!BG34</f>
        <v/>
      </c>
      <c r="BJ1020">
        <f>'T_SelfStock'!BH34</f>
        <v/>
      </c>
      <c r="BK1020">
        <f>'T_SelfStock'!BI34</f>
        <v/>
      </c>
      <c r="BL1020">
        <f>'T_SelfStock'!BJ34</f>
        <v/>
      </c>
      <c r="BM1020">
        <f>'T_SelfStock'!BK34</f>
        <v/>
      </c>
      <c r="BN1020">
        <f>'T_SelfStock'!BL34</f>
        <v/>
      </c>
      <c r="BO1020">
        <f>'T_SelfStock'!BM34</f>
        <v/>
      </c>
      <c r="BP1020">
        <f>'T_SelfStock'!BN34</f>
        <v/>
      </c>
      <c r="BQ1020">
        <f>'T_SelfStock'!BO34</f>
        <v/>
      </c>
      <c r="BR1020">
        <f>'T_SelfStock'!BP34</f>
        <v/>
      </c>
      <c r="BS1020">
        <f>'T_SelfStock'!BQ34</f>
        <v/>
      </c>
      <c r="BT1020">
        <f>'T_SelfStock'!BR34</f>
        <v/>
      </c>
      <c r="BU1020">
        <f>'T_SelfStock'!BS34</f>
        <v/>
      </c>
      <c r="BV1020">
        <f>'T_SelfStock'!BT34</f>
        <v/>
      </c>
      <c r="BW1020">
        <f>'T_SelfStock'!BU34</f>
        <v/>
      </c>
      <c r="BX1020">
        <f>'T_SelfStock'!BV34</f>
        <v/>
      </c>
      <c r="BY1020">
        <f>'T_SelfStock'!BW34</f>
        <v/>
      </c>
      <c r="BZ1020">
        <f>'T_SelfStock'!BX34</f>
        <v/>
      </c>
      <c r="CA1020">
        <f>'T_SelfStock'!BY34</f>
        <v/>
      </c>
      <c r="CB1020">
        <f>'T_SelfStock'!BZ34</f>
        <v/>
      </c>
      <c r="CC1020">
        <f>'T_SelfStock'!CA34</f>
        <v/>
      </c>
      <c r="CD1020">
        <f>'T_SelfStock'!CB34</f>
        <v/>
      </c>
      <c r="CE1020">
        <f>'T_SelfStock'!CC34</f>
        <v/>
      </c>
      <c r="CF1020">
        <f>'T_SelfStock'!CD34</f>
        <v/>
      </c>
      <c r="CG1020">
        <f>'T_SelfStock'!CE34</f>
        <v/>
      </c>
      <c r="CH1020">
        <f>'T_SelfStock'!CF34</f>
        <v/>
      </c>
      <c r="CI1020">
        <f>'T_SelfStock'!CG34</f>
        <v/>
      </c>
      <c r="CJ1020">
        <f>'T_SelfStock'!CH34</f>
        <v/>
      </c>
      <c r="CK1020">
        <f>'T_SelfStock'!CI34</f>
        <v/>
      </c>
      <c r="CL1020">
        <f>'T_SelfStock'!CJ34</f>
        <v/>
      </c>
      <c r="CM1020">
        <f>'T_SelfStock'!CK34</f>
        <v/>
      </c>
      <c r="CN1020">
        <f>'T_SelfStock'!CL34</f>
        <v/>
      </c>
      <c r="CO1020">
        <f>'T_SelfStock'!CM34</f>
        <v/>
      </c>
      <c r="CP1020">
        <f>'T_SelfStock'!CN34</f>
        <v/>
      </c>
      <c r="CQ1020">
        <f>'T_SelfStock'!CO34</f>
        <v/>
      </c>
      <c r="CR1020">
        <f>'T_SelfStock'!CP34</f>
        <v/>
      </c>
      <c r="CS1020">
        <f>'T_SelfStock'!CQ34</f>
        <v/>
      </c>
      <c r="CT1020">
        <f>'T_SelfStock'!CR34</f>
        <v/>
      </c>
      <c r="CU1020">
        <f>'T_SelfStock'!CS34</f>
        <v/>
      </c>
      <c r="CV1020">
        <f>'T_SelfStock'!CT34</f>
        <v/>
      </c>
      <c r="CW1020">
        <f>'T_SelfStock'!CU34</f>
        <v/>
      </c>
      <c r="CX1020">
        <f>'T_SelfStock'!CV34</f>
        <v/>
      </c>
      <c r="CY1020">
        <f>'T_SelfStock'!CW34</f>
        <v/>
      </c>
      <c r="CZ1020">
        <f>'T_SelfStock'!CX34</f>
        <v/>
      </c>
      <c r="DA1020">
        <f>'T_SelfStock'!CY34</f>
        <v/>
      </c>
      <c r="DB1020">
        <f>'T_SelfStock'!CZ34</f>
        <v/>
      </c>
      <c r="DC1020">
        <f>'T_SelfStock'!DA34</f>
        <v/>
      </c>
    </row>
    <row r="1021">
      <c r="B1021" s="4" t="inlineStr">
        <is>
          <t>合計在庫(週末時点,kg)</t>
        </is>
      </c>
      <c r="D1021">
        <f>'Grid_Stock'!B30</f>
        <v/>
      </c>
      <c r="E1021">
        <f>'Grid_Stock'!C30</f>
        <v/>
      </c>
      <c r="F1021">
        <f>'Grid_Stock'!D30</f>
        <v/>
      </c>
      <c r="G1021">
        <f>'Grid_Stock'!E30</f>
        <v/>
      </c>
      <c r="H1021">
        <f>'Grid_Stock'!F30</f>
        <v/>
      </c>
      <c r="I1021">
        <f>'Grid_Stock'!G30</f>
        <v/>
      </c>
      <c r="J1021">
        <f>'Grid_Stock'!H30</f>
        <v/>
      </c>
      <c r="K1021">
        <f>'Grid_Stock'!I30</f>
        <v/>
      </c>
      <c r="L1021">
        <f>'Grid_Stock'!J30</f>
        <v/>
      </c>
      <c r="M1021">
        <f>'Grid_Stock'!K30</f>
        <v/>
      </c>
      <c r="N1021">
        <f>'Grid_Stock'!L30</f>
        <v/>
      </c>
      <c r="O1021">
        <f>'Grid_Stock'!M30</f>
        <v/>
      </c>
      <c r="P1021">
        <f>'Grid_Stock'!N30</f>
        <v/>
      </c>
      <c r="Q1021">
        <f>'Grid_Stock'!O30</f>
        <v/>
      </c>
      <c r="R1021">
        <f>'Grid_Stock'!P30</f>
        <v/>
      </c>
      <c r="S1021">
        <f>'Grid_Stock'!Q30</f>
        <v/>
      </c>
      <c r="T1021">
        <f>'Grid_Stock'!R30</f>
        <v/>
      </c>
      <c r="U1021">
        <f>'Grid_Stock'!S30</f>
        <v/>
      </c>
      <c r="V1021">
        <f>'Grid_Stock'!T30</f>
        <v/>
      </c>
      <c r="W1021">
        <f>'Grid_Stock'!U30</f>
        <v/>
      </c>
      <c r="X1021">
        <f>'Grid_Stock'!V30</f>
        <v/>
      </c>
      <c r="Y1021">
        <f>'Grid_Stock'!W30</f>
        <v/>
      </c>
      <c r="Z1021">
        <f>'Grid_Stock'!X30</f>
        <v/>
      </c>
      <c r="AA1021">
        <f>'Grid_Stock'!Y30</f>
        <v/>
      </c>
      <c r="AB1021">
        <f>'Grid_Stock'!Z30</f>
        <v/>
      </c>
      <c r="AC1021">
        <f>'Grid_Stock'!AA30</f>
        <v/>
      </c>
      <c r="AD1021">
        <f>'Grid_Stock'!AB30</f>
        <v/>
      </c>
      <c r="AE1021">
        <f>'Grid_Stock'!AC30</f>
        <v/>
      </c>
      <c r="AF1021">
        <f>'Grid_Stock'!AD30</f>
        <v/>
      </c>
      <c r="AG1021">
        <f>'Grid_Stock'!AE30</f>
        <v/>
      </c>
      <c r="AH1021">
        <f>'Grid_Stock'!AF30</f>
        <v/>
      </c>
      <c r="AI1021">
        <f>'Grid_Stock'!AG30</f>
        <v/>
      </c>
      <c r="AJ1021">
        <f>'Grid_Stock'!AH30</f>
        <v/>
      </c>
      <c r="AK1021">
        <f>'Grid_Stock'!AI30</f>
        <v/>
      </c>
      <c r="AL1021">
        <f>'Grid_Stock'!AJ30</f>
        <v/>
      </c>
      <c r="AM1021">
        <f>'Grid_Stock'!AK30</f>
        <v/>
      </c>
      <c r="AN1021">
        <f>'Grid_Stock'!AL30</f>
        <v/>
      </c>
      <c r="AO1021">
        <f>'Grid_Stock'!AM30</f>
        <v/>
      </c>
      <c r="AP1021">
        <f>'Grid_Stock'!AN30</f>
        <v/>
      </c>
      <c r="AQ1021">
        <f>'Grid_Stock'!AO30</f>
        <v/>
      </c>
      <c r="AR1021">
        <f>'Grid_Stock'!AP30</f>
        <v/>
      </c>
      <c r="AS1021">
        <f>'Grid_Stock'!AQ30</f>
        <v/>
      </c>
      <c r="AT1021">
        <f>'Grid_Stock'!AR30</f>
        <v/>
      </c>
      <c r="AU1021">
        <f>'Grid_Stock'!AS30</f>
        <v/>
      </c>
      <c r="AV1021">
        <f>'Grid_Stock'!AT30</f>
        <v/>
      </c>
      <c r="AW1021">
        <f>'Grid_Stock'!AU30</f>
        <v/>
      </c>
      <c r="AX1021">
        <f>'Grid_Stock'!AV30</f>
        <v/>
      </c>
      <c r="AY1021">
        <f>'Grid_Stock'!AW30</f>
        <v/>
      </c>
      <c r="AZ1021">
        <f>'Grid_Stock'!AX30</f>
        <v/>
      </c>
      <c r="BA1021">
        <f>'Grid_Stock'!AY30</f>
        <v/>
      </c>
      <c r="BB1021">
        <f>'Grid_Stock'!AZ30</f>
        <v/>
      </c>
      <c r="BC1021">
        <f>'Grid_Stock'!BA30</f>
        <v/>
      </c>
      <c r="BD1021">
        <f>'Grid_Stock'!BB30</f>
        <v/>
      </c>
      <c r="BE1021">
        <f>'Grid_Stock'!BC30</f>
        <v/>
      </c>
      <c r="BF1021">
        <f>'Grid_Stock'!BD30</f>
        <v/>
      </c>
      <c r="BG1021">
        <f>'Grid_Stock'!BE30</f>
        <v/>
      </c>
      <c r="BH1021">
        <f>'Grid_Stock'!BF30</f>
        <v/>
      </c>
      <c r="BI1021">
        <f>'Grid_Stock'!BG30</f>
        <v/>
      </c>
      <c r="BJ1021">
        <f>'Grid_Stock'!BH30</f>
        <v/>
      </c>
      <c r="BK1021">
        <f>'Grid_Stock'!BI30</f>
        <v/>
      </c>
      <c r="BL1021">
        <f>'Grid_Stock'!BJ30</f>
        <v/>
      </c>
      <c r="BM1021">
        <f>'Grid_Stock'!BK30</f>
        <v/>
      </c>
      <c r="BN1021">
        <f>'Grid_Stock'!BL30</f>
        <v/>
      </c>
      <c r="BO1021">
        <f>'Grid_Stock'!BM30</f>
        <v/>
      </c>
      <c r="BP1021">
        <f>'Grid_Stock'!BN30</f>
        <v/>
      </c>
      <c r="BQ1021">
        <f>'Grid_Stock'!BO30</f>
        <v/>
      </c>
      <c r="BR1021">
        <f>'Grid_Stock'!BP30</f>
        <v/>
      </c>
      <c r="BS1021">
        <f>'Grid_Stock'!BQ30</f>
        <v/>
      </c>
      <c r="BT1021">
        <f>'Grid_Stock'!BR30</f>
        <v/>
      </c>
      <c r="BU1021">
        <f>'Grid_Stock'!BS30</f>
        <v/>
      </c>
      <c r="BV1021">
        <f>'Grid_Stock'!BT30</f>
        <v/>
      </c>
      <c r="BW1021">
        <f>'Grid_Stock'!BU30</f>
        <v/>
      </c>
      <c r="BX1021">
        <f>'Grid_Stock'!BV30</f>
        <v/>
      </c>
      <c r="BY1021">
        <f>'Grid_Stock'!BW30</f>
        <v/>
      </c>
      <c r="BZ1021">
        <f>'Grid_Stock'!BX30</f>
        <v/>
      </c>
      <c r="CA1021">
        <f>'Grid_Stock'!BY30</f>
        <v/>
      </c>
      <c r="CB1021">
        <f>'Grid_Stock'!BZ30</f>
        <v/>
      </c>
      <c r="CC1021">
        <f>'Grid_Stock'!CA30</f>
        <v/>
      </c>
      <c r="CD1021">
        <f>'Grid_Stock'!CB30</f>
        <v/>
      </c>
      <c r="CE1021">
        <f>'Grid_Stock'!CC30</f>
        <v/>
      </c>
      <c r="CF1021">
        <f>'Grid_Stock'!CD30</f>
        <v/>
      </c>
      <c r="CG1021">
        <f>'Grid_Stock'!CE30</f>
        <v/>
      </c>
      <c r="CH1021">
        <f>'Grid_Stock'!CF30</f>
        <v/>
      </c>
      <c r="CI1021">
        <f>'Grid_Stock'!CG30</f>
        <v/>
      </c>
      <c r="CJ1021">
        <f>'Grid_Stock'!CH30</f>
        <v/>
      </c>
      <c r="CK1021">
        <f>'Grid_Stock'!CI30</f>
        <v/>
      </c>
      <c r="CL1021">
        <f>'Grid_Stock'!CJ30</f>
        <v/>
      </c>
      <c r="CM1021">
        <f>'Grid_Stock'!CK30</f>
        <v/>
      </c>
      <c r="CN1021">
        <f>'Grid_Stock'!CL30</f>
        <v/>
      </c>
      <c r="CO1021">
        <f>'Grid_Stock'!CM30</f>
        <v/>
      </c>
      <c r="CP1021">
        <f>'Grid_Stock'!CN30</f>
        <v/>
      </c>
      <c r="CQ1021">
        <f>'Grid_Stock'!CO30</f>
        <v/>
      </c>
      <c r="CR1021">
        <f>'Grid_Stock'!CP30</f>
        <v/>
      </c>
      <c r="CS1021">
        <f>'Grid_Stock'!CQ30</f>
        <v/>
      </c>
      <c r="CT1021">
        <f>'Grid_Stock'!CR30</f>
        <v/>
      </c>
      <c r="CU1021">
        <f>'Grid_Stock'!CS30</f>
        <v/>
      </c>
      <c r="CV1021">
        <f>'Grid_Stock'!CT30</f>
        <v/>
      </c>
      <c r="CW1021">
        <f>'Grid_Stock'!CU30</f>
        <v/>
      </c>
      <c r="CX1021">
        <f>'Grid_Stock'!CV30</f>
        <v/>
      </c>
      <c r="CY1021">
        <f>'Grid_Stock'!CW30</f>
        <v/>
      </c>
      <c r="CZ1021">
        <f>'Grid_Stock'!CX30</f>
        <v/>
      </c>
      <c r="DA1021">
        <f>'Grid_Stock'!CY30</f>
        <v/>
      </c>
      <c r="DB1021">
        <f>'Grid_Stock'!CZ30</f>
        <v/>
      </c>
      <c r="DC1021">
        <f>'Grid_Stock'!DA30</f>
        <v/>
      </c>
    </row>
    <row r="1022">
      <c r="B1022" s="16" t="inlineStr">
        <is>
          <t>（発注の目安はDashboardの基準在庫[下限/上限]と色分けを参照）</t>
        </is>
      </c>
    </row>
    <row r="1024">
      <c r="A1024" s="14" t="inlineStr">
        <is>
          <t>CHEM-1020</t>
        </is>
      </c>
      <c r="B1024" s="14" t="inlineStr">
        <is>
          <t>Sodium Nitrite</t>
        </is>
      </c>
      <c r="C1024" s="15" t="n"/>
      <c r="D1024" s="14" t="n"/>
      <c r="E1024" s="14" t="n"/>
      <c r="F1024" s="14" t="n"/>
      <c r="G1024" s="14" t="n"/>
      <c r="H1024" s="14" t="n"/>
      <c r="I1024" s="14" t="n"/>
      <c r="J1024" s="14" t="n"/>
      <c r="K1024" s="14" t="n"/>
      <c r="L1024" s="14" t="n"/>
      <c r="M1024" s="14" t="n"/>
      <c r="N1024" s="14" t="n"/>
      <c r="O1024" s="14" t="n"/>
      <c r="P1024" s="14" t="n"/>
      <c r="Q1024" s="14" t="n"/>
      <c r="R1024" s="14" t="n"/>
      <c r="S1024" s="14" t="n"/>
      <c r="T1024" s="14" t="n"/>
      <c r="U1024" s="14" t="n"/>
      <c r="V1024" s="14" t="n"/>
      <c r="W1024" s="14" t="n"/>
      <c r="X1024" s="14" t="n"/>
      <c r="Y1024" s="14" t="n"/>
      <c r="Z1024" s="14" t="n"/>
      <c r="AA1024" s="14" t="n"/>
      <c r="AB1024" s="14" t="n"/>
      <c r="AC1024" s="14" t="n"/>
      <c r="AD1024" s="14" t="n"/>
      <c r="AE1024" s="14" t="n"/>
      <c r="AF1024" s="14" t="n"/>
      <c r="AG1024" s="14" t="n"/>
      <c r="AH1024" s="14" t="n"/>
      <c r="AI1024" s="14" t="n"/>
      <c r="AJ1024" s="14" t="n"/>
      <c r="AK1024" s="14" t="n"/>
      <c r="AL1024" s="14" t="n"/>
      <c r="AM1024" s="14" t="n"/>
      <c r="AN1024" s="14" t="n"/>
      <c r="AO1024" s="14" t="n"/>
      <c r="AP1024" s="14" t="n"/>
      <c r="AQ1024" s="14" t="n"/>
      <c r="AR1024" s="14" t="n"/>
      <c r="AS1024" s="14" t="n"/>
      <c r="AT1024" s="14" t="n"/>
      <c r="AU1024" s="14" t="n"/>
      <c r="AV1024" s="14" t="n"/>
      <c r="AW1024" s="14" t="n"/>
      <c r="AX1024" s="14" t="n"/>
      <c r="AY1024" s="14" t="n"/>
      <c r="AZ1024" s="14" t="n"/>
      <c r="BA1024" s="14" t="n"/>
      <c r="BB1024" s="14" t="n"/>
      <c r="BC1024" s="14" t="n"/>
      <c r="BD1024" s="14" t="n"/>
      <c r="BE1024" s="14" t="n"/>
      <c r="BF1024" s="14" t="n"/>
      <c r="BG1024" s="14" t="n"/>
      <c r="BH1024" s="14" t="n"/>
      <c r="BI1024" s="14" t="n"/>
      <c r="BJ1024" s="14" t="n"/>
      <c r="BK1024" s="14" t="n"/>
      <c r="BL1024" s="14" t="n"/>
      <c r="BM1024" s="14" t="n"/>
      <c r="BN1024" s="14" t="n"/>
      <c r="BO1024" s="14" t="n"/>
      <c r="BP1024" s="14" t="n"/>
      <c r="BQ1024" s="14" t="n"/>
      <c r="BR1024" s="14" t="n"/>
      <c r="BS1024" s="14" t="n"/>
      <c r="BT1024" s="14" t="n"/>
      <c r="BU1024" s="14" t="n"/>
      <c r="BV1024" s="14" t="n"/>
      <c r="BW1024" s="14" t="n"/>
      <c r="BX1024" s="14" t="n"/>
      <c r="BY1024" s="14" t="n"/>
      <c r="BZ1024" s="14" t="n"/>
      <c r="CA1024" s="14" t="n"/>
      <c r="CB1024" s="14" t="n"/>
      <c r="CC1024" s="14" t="n"/>
      <c r="CD1024" s="14" t="n"/>
      <c r="CE1024" s="14" t="n"/>
      <c r="CF1024" s="14" t="n"/>
      <c r="CG1024" s="14" t="n"/>
      <c r="CH1024" s="14" t="n"/>
      <c r="CI1024" s="14" t="n"/>
      <c r="CJ1024" s="14" t="n"/>
      <c r="CK1024" s="14" t="n"/>
      <c r="CL1024" s="14" t="n"/>
      <c r="CM1024" s="14" t="n"/>
      <c r="CN1024" s="14" t="n"/>
      <c r="CO1024" s="14" t="n"/>
      <c r="CP1024" s="14" t="n"/>
      <c r="CQ1024" s="14" t="n"/>
      <c r="CR1024" s="14" t="n"/>
      <c r="CS1024" s="14" t="n"/>
      <c r="CT1024" s="14" t="n"/>
      <c r="CU1024" s="14" t="n"/>
      <c r="CV1024" s="14" t="n"/>
      <c r="CW1024" s="14" t="n"/>
      <c r="CX1024" s="14" t="n"/>
      <c r="CY1024" s="14" t="n"/>
      <c r="CZ1024" s="14" t="n"/>
      <c r="DA1024" s="14" t="n"/>
      <c r="DB1024" s="14" t="n"/>
      <c r="DC1024" s="14" t="n"/>
    </row>
    <row r="1025">
      <c r="B1025" t="inlineStr">
        <is>
          <t>20p</t>
        </is>
      </c>
      <c r="C1025" t="inlineStr">
        <is>
          <t>No. of batches</t>
        </is>
      </c>
      <c r="D1025">
        <f>IFERROR(INDEX(PP_Grid[#Data],$DD1025,2),0)</f>
        <v/>
      </c>
      <c r="E1025">
        <f>IFERROR(INDEX(PP_Grid[#Data],$DD1025,3),0)</f>
        <v/>
      </c>
      <c r="F1025">
        <f>IFERROR(INDEX(PP_Grid[#Data],$DD1025,4),0)</f>
        <v/>
      </c>
      <c r="G1025">
        <f>IFERROR(INDEX(PP_Grid[#Data],$DD1025,5),0)</f>
        <v/>
      </c>
      <c r="H1025">
        <f>IFERROR(INDEX(PP_Grid[#Data],$DD1025,6),0)</f>
        <v/>
      </c>
      <c r="I1025">
        <f>IFERROR(INDEX(PP_Grid[#Data],$DD1025,7),0)</f>
        <v/>
      </c>
      <c r="J1025">
        <f>IFERROR(INDEX(PP_Grid[#Data],$DD1025,8),0)</f>
        <v/>
      </c>
      <c r="K1025">
        <f>IFERROR(INDEX(PP_Grid[#Data],$DD1025,9),0)</f>
        <v/>
      </c>
      <c r="L1025">
        <f>IFERROR(INDEX(PP_Grid[#Data],$DD1025,10),0)</f>
        <v/>
      </c>
      <c r="M1025">
        <f>IFERROR(INDEX(PP_Grid[#Data],$DD1025,11),0)</f>
        <v/>
      </c>
      <c r="N1025">
        <f>IFERROR(INDEX(PP_Grid[#Data],$DD1025,12),0)</f>
        <v/>
      </c>
      <c r="O1025">
        <f>IFERROR(INDEX(PP_Grid[#Data],$DD1025,13),0)</f>
        <v/>
      </c>
      <c r="P1025">
        <f>IFERROR(INDEX(PP_Grid[#Data],$DD1025,14),0)</f>
        <v/>
      </c>
      <c r="Q1025">
        <f>IFERROR(INDEX(PP_Grid[#Data],$DD1025,15),0)</f>
        <v/>
      </c>
      <c r="R1025">
        <f>IFERROR(INDEX(PP_Grid[#Data],$DD1025,16),0)</f>
        <v/>
      </c>
      <c r="S1025">
        <f>IFERROR(INDEX(PP_Grid[#Data],$DD1025,17),0)</f>
        <v/>
      </c>
      <c r="T1025">
        <f>IFERROR(INDEX(PP_Grid[#Data],$DD1025,18),0)</f>
        <v/>
      </c>
      <c r="U1025">
        <f>IFERROR(INDEX(PP_Grid[#Data],$DD1025,19),0)</f>
        <v/>
      </c>
      <c r="V1025">
        <f>IFERROR(INDEX(PP_Grid[#Data],$DD1025,20),0)</f>
        <v/>
      </c>
      <c r="W1025">
        <f>IFERROR(INDEX(PP_Grid[#Data],$DD1025,21),0)</f>
        <v/>
      </c>
      <c r="X1025">
        <f>IFERROR(INDEX(PP_Grid[#Data],$DD1025,22),0)</f>
        <v/>
      </c>
      <c r="Y1025">
        <f>IFERROR(INDEX(PP_Grid[#Data],$DD1025,23),0)</f>
        <v/>
      </c>
      <c r="Z1025">
        <f>IFERROR(INDEX(PP_Grid[#Data],$DD1025,24),0)</f>
        <v/>
      </c>
      <c r="AA1025">
        <f>IFERROR(INDEX(PP_Grid[#Data],$DD1025,25),0)</f>
        <v/>
      </c>
      <c r="AB1025">
        <f>IFERROR(INDEX(PP_Grid[#Data],$DD1025,26),0)</f>
        <v/>
      </c>
      <c r="AC1025">
        <f>IFERROR(INDEX(PP_Grid[#Data],$DD1025,27),0)</f>
        <v/>
      </c>
      <c r="AD1025">
        <f>IFERROR(INDEX(PP_Grid[#Data],$DD1025,28),0)</f>
        <v/>
      </c>
      <c r="AE1025">
        <f>IFERROR(INDEX(PP_Grid[#Data],$DD1025,29),0)</f>
        <v/>
      </c>
      <c r="AF1025">
        <f>IFERROR(INDEX(PP_Grid[#Data],$DD1025,30),0)</f>
        <v/>
      </c>
      <c r="AG1025">
        <f>IFERROR(INDEX(PP_Grid[#Data],$DD1025,31),0)</f>
        <v/>
      </c>
      <c r="AH1025">
        <f>IFERROR(INDEX(PP_Grid[#Data],$DD1025,32),0)</f>
        <v/>
      </c>
      <c r="AI1025">
        <f>IFERROR(INDEX(PP_Grid[#Data],$DD1025,33),0)</f>
        <v/>
      </c>
      <c r="AJ1025">
        <f>IFERROR(INDEX(PP_Grid[#Data],$DD1025,34),0)</f>
        <v/>
      </c>
      <c r="AK1025">
        <f>IFERROR(INDEX(PP_Grid[#Data],$DD1025,35),0)</f>
        <v/>
      </c>
      <c r="AL1025">
        <f>IFERROR(INDEX(PP_Grid[#Data],$DD1025,36),0)</f>
        <v/>
      </c>
      <c r="AM1025">
        <f>IFERROR(INDEX(PP_Grid[#Data],$DD1025,37),0)</f>
        <v/>
      </c>
      <c r="AN1025">
        <f>IFERROR(INDEX(PP_Grid[#Data],$DD1025,38),0)</f>
        <v/>
      </c>
      <c r="AO1025">
        <f>IFERROR(INDEX(PP_Grid[#Data],$DD1025,39),0)</f>
        <v/>
      </c>
      <c r="AP1025">
        <f>IFERROR(INDEX(PP_Grid[#Data],$DD1025,40),0)</f>
        <v/>
      </c>
      <c r="AQ1025">
        <f>IFERROR(INDEX(PP_Grid[#Data],$DD1025,41),0)</f>
        <v/>
      </c>
      <c r="AR1025">
        <f>IFERROR(INDEX(PP_Grid[#Data],$DD1025,42),0)</f>
        <v/>
      </c>
      <c r="AS1025">
        <f>IFERROR(INDEX(PP_Grid[#Data],$DD1025,43),0)</f>
        <v/>
      </c>
      <c r="AT1025">
        <f>IFERROR(INDEX(PP_Grid[#Data],$DD1025,44),0)</f>
        <v/>
      </c>
      <c r="AU1025">
        <f>IFERROR(INDEX(PP_Grid[#Data],$DD1025,45),0)</f>
        <v/>
      </c>
      <c r="AV1025">
        <f>IFERROR(INDEX(PP_Grid[#Data],$DD1025,46),0)</f>
        <v/>
      </c>
      <c r="AW1025">
        <f>IFERROR(INDEX(PP_Grid[#Data],$DD1025,47),0)</f>
        <v/>
      </c>
      <c r="AX1025">
        <f>IFERROR(INDEX(PP_Grid[#Data],$DD1025,48),0)</f>
        <v/>
      </c>
      <c r="AY1025">
        <f>IFERROR(INDEX(PP_Grid[#Data],$DD1025,49),0)</f>
        <v/>
      </c>
      <c r="AZ1025">
        <f>IFERROR(INDEX(PP_Grid[#Data],$DD1025,50),0)</f>
        <v/>
      </c>
      <c r="BA1025">
        <f>IFERROR(INDEX(PP_Grid[#Data],$DD1025,51),0)</f>
        <v/>
      </c>
      <c r="BB1025">
        <f>IFERROR(INDEX(PP_Grid[#Data],$DD1025,52),0)</f>
        <v/>
      </c>
      <c r="BC1025">
        <f>IFERROR(INDEX(PP_Grid[#Data],$DD1025,53),0)</f>
        <v/>
      </c>
      <c r="BD1025">
        <f>IFERROR(INDEX(PP_Grid[#Data],$DD1025,54),0)</f>
        <v/>
      </c>
      <c r="BE1025">
        <f>IFERROR(INDEX(PP_Grid[#Data],$DD1025,55),0)</f>
        <v/>
      </c>
      <c r="BF1025">
        <f>IFERROR(INDEX(PP_Grid[#Data],$DD1025,56),0)</f>
        <v/>
      </c>
      <c r="BG1025">
        <f>IFERROR(INDEX(PP_Grid[#Data],$DD1025,57),0)</f>
        <v/>
      </c>
      <c r="BH1025">
        <f>IFERROR(INDEX(PP_Grid[#Data],$DD1025,58),0)</f>
        <v/>
      </c>
      <c r="BI1025">
        <f>IFERROR(INDEX(PP_Grid[#Data],$DD1025,59),0)</f>
        <v/>
      </c>
      <c r="BJ1025">
        <f>IFERROR(INDEX(PP_Grid[#Data],$DD1025,60),0)</f>
        <v/>
      </c>
      <c r="BK1025">
        <f>IFERROR(INDEX(PP_Grid[#Data],$DD1025,61),0)</f>
        <v/>
      </c>
      <c r="BL1025">
        <f>IFERROR(INDEX(PP_Grid[#Data],$DD1025,62),0)</f>
        <v/>
      </c>
      <c r="BM1025">
        <f>IFERROR(INDEX(PP_Grid[#Data],$DD1025,63),0)</f>
        <v/>
      </c>
      <c r="BN1025">
        <f>IFERROR(INDEX(PP_Grid[#Data],$DD1025,64),0)</f>
        <v/>
      </c>
      <c r="BO1025">
        <f>IFERROR(INDEX(PP_Grid[#Data],$DD1025,65),0)</f>
        <v/>
      </c>
      <c r="BP1025">
        <f>IFERROR(INDEX(PP_Grid[#Data],$DD1025,66),0)</f>
        <v/>
      </c>
      <c r="BQ1025">
        <f>IFERROR(INDEX(PP_Grid[#Data],$DD1025,67),0)</f>
        <v/>
      </c>
      <c r="BR1025">
        <f>IFERROR(INDEX(PP_Grid[#Data],$DD1025,68),0)</f>
        <v/>
      </c>
      <c r="BS1025">
        <f>IFERROR(INDEX(PP_Grid[#Data],$DD1025,69),0)</f>
        <v/>
      </c>
      <c r="BT1025">
        <f>IFERROR(INDEX(PP_Grid[#Data],$DD1025,70),0)</f>
        <v/>
      </c>
      <c r="BU1025">
        <f>IFERROR(INDEX(PP_Grid[#Data],$DD1025,71),0)</f>
        <v/>
      </c>
      <c r="BV1025">
        <f>IFERROR(INDEX(PP_Grid[#Data],$DD1025,72),0)</f>
        <v/>
      </c>
      <c r="BW1025">
        <f>IFERROR(INDEX(PP_Grid[#Data],$DD1025,73),0)</f>
        <v/>
      </c>
      <c r="BX1025">
        <f>IFERROR(INDEX(PP_Grid[#Data],$DD1025,74),0)</f>
        <v/>
      </c>
      <c r="BY1025">
        <f>IFERROR(INDEX(PP_Grid[#Data],$DD1025,75),0)</f>
        <v/>
      </c>
      <c r="BZ1025">
        <f>IFERROR(INDEX(PP_Grid[#Data],$DD1025,76),0)</f>
        <v/>
      </c>
      <c r="CA1025">
        <f>IFERROR(INDEX(PP_Grid[#Data],$DD1025,77),0)</f>
        <v/>
      </c>
      <c r="CB1025">
        <f>IFERROR(INDEX(PP_Grid[#Data],$DD1025,78),0)</f>
        <v/>
      </c>
      <c r="CC1025">
        <f>IFERROR(INDEX(PP_Grid[#Data],$DD1025,79),0)</f>
        <v/>
      </c>
      <c r="CD1025">
        <f>IFERROR(INDEX(PP_Grid[#Data],$DD1025,80),0)</f>
        <v/>
      </c>
      <c r="CE1025">
        <f>IFERROR(INDEX(PP_Grid[#Data],$DD1025,81),0)</f>
        <v/>
      </c>
      <c r="CF1025">
        <f>IFERROR(INDEX(PP_Grid[#Data],$DD1025,82),0)</f>
        <v/>
      </c>
      <c r="CG1025">
        <f>IFERROR(INDEX(PP_Grid[#Data],$DD1025,83),0)</f>
        <v/>
      </c>
      <c r="CH1025">
        <f>IFERROR(INDEX(PP_Grid[#Data],$DD1025,84),0)</f>
        <v/>
      </c>
      <c r="CI1025">
        <f>IFERROR(INDEX(PP_Grid[#Data],$DD1025,85),0)</f>
        <v/>
      </c>
      <c r="CJ1025">
        <f>IFERROR(INDEX(PP_Grid[#Data],$DD1025,86),0)</f>
        <v/>
      </c>
      <c r="CK1025">
        <f>IFERROR(INDEX(PP_Grid[#Data],$DD1025,87),0)</f>
        <v/>
      </c>
      <c r="CL1025">
        <f>IFERROR(INDEX(PP_Grid[#Data],$DD1025,88),0)</f>
        <v/>
      </c>
      <c r="CM1025">
        <f>IFERROR(INDEX(PP_Grid[#Data],$DD1025,89),0)</f>
        <v/>
      </c>
      <c r="CN1025">
        <f>IFERROR(INDEX(PP_Grid[#Data],$DD1025,90),0)</f>
        <v/>
      </c>
      <c r="CO1025">
        <f>IFERROR(INDEX(PP_Grid[#Data],$DD1025,91),0)</f>
        <v/>
      </c>
      <c r="CP1025">
        <f>IFERROR(INDEX(PP_Grid[#Data],$DD1025,92),0)</f>
        <v/>
      </c>
      <c r="CQ1025">
        <f>IFERROR(INDEX(PP_Grid[#Data],$DD1025,93),0)</f>
        <v/>
      </c>
      <c r="CR1025">
        <f>IFERROR(INDEX(PP_Grid[#Data],$DD1025,94),0)</f>
        <v/>
      </c>
      <c r="CS1025">
        <f>IFERROR(INDEX(PP_Grid[#Data],$DD1025,95),0)</f>
        <v/>
      </c>
      <c r="CT1025">
        <f>IFERROR(INDEX(PP_Grid[#Data],$DD1025,96),0)</f>
        <v/>
      </c>
      <c r="CU1025">
        <f>IFERROR(INDEX(PP_Grid[#Data],$DD1025,97),0)</f>
        <v/>
      </c>
      <c r="CV1025">
        <f>IFERROR(INDEX(PP_Grid[#Data],$DD1025,98),0)</f>
        <v/>
      </c>
      <c r="CW1025">
        <f>IFERROR(INDEX(PP_Grid[#Data],$DD1025,99),0)</f>
        <v/>
      </c>
      <c r="CX1025">
        <f>IFERROR(INDEX(PP_Grid[#Data],$DD1025,100),0)</f>
        <v/>
      </c>
      <c r="CY1025">
        <f>IFERROR(INDEX(PP_Grid[#Data],$DD1025,101),0)</f>
        <v/>
      </c>
      <c r="CZ1025">
        <f>IFERROR(INDEX(PP_Grid[#Data],$DD1025,102),0)</f>
        <v/>
      </c>
      <c r="DA1025">
        <f>IFERROR(INDEX(PP_Grid[#Data],$DD1025,103),0)</f>
        <v/>
      </c>
      <c r="DB1025">
        <f>IFERROR(INDEX(PP_Grid[#Data],$DD1025,104),0)</f>
        <v/>
      </c>
      <c r="DC1025">
        <f>IFERROR(INDEX(PP_Grid[#Data],$DD1025,105),0)</f>
        <v/>
      </c>
      <c r="DD1025" s="7">
        <f>IFERROR(MATCH($B1025,PP_Grid[Intermediate],0),99999)</f>
        <v/>
      </c>
    </row>
    <row r="1026">
      <c r="B1026" t="inlineStr">
        <is>
          <t>使用量(kg)</t>
        </is>
      </c>
      <c r="C1026">
        <f>SUMIFS(M_BOM[RM_Qty_Per_Batch],M_BOM[Intermediate],$B1025,M_BOM[Part Name],$A1024)</f>
        <v/>
      </c>
      <c r="D1026">
        <f>$C1026*D1025</f>
        <v/>
      </c>
      <c r="E1026">
        <f>$C1026*E1025</f>
        <v/>
      </c>
      <c r="F1026">
        <f>$C1026*F1025</f>
        <v/>
      </c>
      <c r="G1026">
        <f>$C1026*G1025</f>
        <v/>
      </c>
      <c r="H1026">
        <f>$C1026*H1025</f>
        <v/>
      </c>
      <c r="I1026">
        <f>$C1026*I1025</f>
        <v/>
      </c>
      <c r="J1026">
        <f>$C1026*J1025</f>
        <v/>
      </c>
      <c r="K1026">
        <f>$C1026*K1025</f>
        <v/>
      </c>
      <c r="L1026">
        <f>$C1026*L1025</f>
        <v/>
      </c>
      <c r="M1026">
        <f>$C1026*M1025</f>
        <v/>
      </c>
      <c r="N1026">
        <f>$C1026*N1025</f>
        <v/>
      </c>
      <c r="O1026">
        <f>$C1026*O1025</f>
        <v/>
      </c>
      <c r="P1026">
        <f>$C1026*P1025</f>
        <v/>
      </c>
      <c r="Q1026">
        <f>$C1026*Q1025</f>
        <v/>
      </c>
      <c r="R1026">
        <f>$C1026*R1025</f>
        <v/>
      </c>
      <c r="S1026">
        <f>$C1026*S1025</f>
        <v/>
      </c>
      <c r="T1026">
        <f>$C1026*T1025</f>
        <v/>
      </c>
      <c r="U1026">
        <f>$C1026*U1025</f>
        <v/>
      </c>
      <c r="V1026">
        <f>$C1026*V1025</f>
        <v/>
      </c>
      <c r="W1026">
        <f>$C1026*W1025</f>
        <v/>
      </c>
      <c r="X1026">
        <f>$C1026*X1025</f>
        <v/>
      </c>
      <c r="Y1026">
        <f>$C1026*Y1025</f>
        <v/>
      </c>
      <c r="Z1026">
        <f>$C1026*Z1025</f>
        <v/>
      </c>
      <c r="AA1026">
        <f>$C1026*AA1025</f>
        <v/>
      </c>
      <c r="AB1026">
        <f>$C1026*AB1025</f>
        <v/>
      </c>
      <c r="AC1026">
        <f>$C1026*AC1025</f>
        <v/>
      </c>
      <c r="AD1026">
        <f>$C1026*AD1025</f>
        <v/>
      </c>
      <c r="AE1026">
        <f>$C1026*AE1025</f>
        <v/>
      </c>
      <c r="AF1026">
        <f>$C1026*AF1025</f>
        <v/>
      </c>
      <c r="AG1026">
        <f>$C1026*AG1025</f>
        <v/>
      </c>
      <c r="AH1026">
        <f>$C1026*AH1025</f>
        <v/>
      </c>
      <c r="AI1026">
        <f>$C1026*AI1025</f>
        <v/>
      </c>
      <c r="AJ1026">
        <f>$C1026*AJ1025</f>
        <v/>
      </c>
      <c r="AK1026">
        <f>$C1026*AK1025</f>
        <v/>
      </c>
      <c r="AL1026">
        <f>$C1026*AL1025</f>
        <v/>
      </c>
      <c r="AM1026">
        <f>$C1026*AM1025</f>
        <v/>
      </c>
      <c r="AN1026">
        <f>$C1026*AN1025</f>
        <v/>
      </c>
      <c r="AO1026">
        <f>$C1026*AO1025</f>
        <v/>
      </c>
      <c r="AP1026">
        <f>$C1026*AP1025</f>
        <v/>
      </c>
      <c r="AQ1026">
        <f>$C1026*AQ1025</f>
        <v/>
      </c>
      <c r="AR1026">
        <f>$C1026*AR1025</f>
        <v/>
      </c>
      <c r="AS1026">
        <f>$C1026*AS1025</f>
        <v/>
      </c>
      <c r="AT1026">
        <f>$C1026*AT1025</f>
        <v/>
      </c>
      <c r="AU1026">
        <f>$C1026*AU1025</f>
        <v/>
      </c>
      <c r="AV1026">
        <f>$C1026*AV1025</f>
        <v/>
      </c>
      <c r="AW1026">
        <f>$C1026*AW1025</f>
        <v/>
      </c>
      <c r="AX1026">
        <f>$C1026*AX1025</f>
        <v/>
      </c>
      <c r="AY1026">
        <f>$C1026*AY1025</f>
        <v/>
      </c>
      <c r="AZ1026">
        <f>$C1026*AZ1025</f>
        <v/>
      </c>
      <c r="BA1026">
        <f>$C1026*BA1025</f>
        <v/>
      </c>
      <c r="BB1026">
        <f>$C1026*BB1025</f>
        <v/>
      </c>
      <c r="BC1026">
        <f>$C1026*BC1025</f>
        <v/>
      </c>
      <c r="BD1026">
        <f>$C1026*BD1025</f>
        <v/>
      </c>
      <c r="BE1026">
        <f>$C1026*BE1025</f>
        <v/>
      </c>
      <c r="BF1026">
        <f>$C1026*BF1025</f>
        <v/>
      </c>
      <c r="BG1026">
        <f>$C1026*BG1025</f>
        <v/>
      </c>
      <c r="BH1026">
        <f>$C1026*BH1025</f>
        <v/>
      </c>
      <c r="BI1026">
        <f>$C1026*BI1025</f>
        <v/>
      </c>
      <c r="BJ1026">
        <f>$C1026*BJ1025</f>
        <v/>
      </c>
      <c r="BK1026">
        <f>$C1026*BK1025</f>
        <v/>
      </c>
      <c r="BL1026">
        <f>$C1026*BL1025</f>
        <v/>
      </c>
      <c r="BM1026">
        <f>$C1026*BM1025</f>
        <v/>
      </c>
      <c r="BN1026">
        <f>$C1026*BN1025</f>
        <v/>
      </c>
      <c r="BO1026">
        <f>$C1026*BO1025</f>
        <v/>
      </c>
      <c r="BP1026">
        <f>$C1026*BP1025</f>
        <v/>
      </c>
      <c r="BQ1026">
        <f>$C1026*BQ1025</f>
        <v/>
      </c>
      <c r="BR1026">
        <f>$C1026*BR1025</f>
        <v/>
      </c>
      <c r="BS1026">
        <f>$C1026*BS1025</f>
        <v/>
      </c>
      <c r="BT1026">
        <f>$C1026*BT1025</f>
        <v/>
      </c>
      <c r="BU1026">
        <f>$C1026*BU1025</f>
        <v/>
      </c>
      <c r="BV1026">
        <f>$C1026*BV1025</f>
        <v/>
      </c>
      <c r="BW1026">
        <f>$C1026*BW1025</f>
        <v/>
      </c>
      <c r="BX1026">
        <f>$C1026*BX1025</f>
        <v/>
      </c>
      <c r="BY1026">
        <f>$C1026*BY1025</f>
        <v/>
      </c>
      <c r="BZ1026">
        <f>$C1026*BZ1025</f>
        <v/>
      </c>
      <c r="CA1026">
        <f>$C1026*CA1025</f>
        <v/>
      </c>
      <c r="CB1026">
        <f>$C1026*CB1025</f>
        <v/>
      </c>
      <c r="CC1026">
        <f>$C1026*CC1025</f>
        <v/>
      </c>
      <c r="CD1026">
        <f>$C1026*CD1025</f>
        <v/>
      </c>
      <c r="CE1026">
        <f>$C1026*CE1025</f>
        <v/>
      </c>
      <c r="CF1026">
        <f>$C1026*CF1025</f>
        <v/>
      </c>
      <c r="CG1026">
        <f>$C1026*CG1025</f>
        <v/>
      </c>
      <c r="CH1026">
        <f>$C1026*CH1025</f>
        <v/>
      </c>
      <c r="CI1026">
        <f>$C1026*CI1025</f>
        <v/>
      </c>
      <c r="CJ1026">
        <f>$C1026*CJ1025</f>
        <v/>
      </c>
      <c r="CK1026">
        <f>$C1026*CK1025</f>
        <v/>
      </c>
      <c r="CL1026">
        <f>$C1026*CL1025</f>
        <v/>
      </c>
      <c r="CM1026">
        <f>$C1026*CM1025</f>
        <v/>
      </c>
      <c r="CN1026">
        <f>$C1026*CN1025</f>
        <v/>
      </c>
      <c r="CO1026">
        <f>$C1026*CO1025</f>
        <v/>
      </c>
      <c r="CP1026">
        <f>$C1026*CP1025</f>
        <v/>
      </c>
      <c r="CQ1026">
        <f>$C1026*CQ1025</f>
        <v/>
      </c>
      <c r="CR1026">
        <f>$C1026*CR1025</f>
        <v/>
      </c>
      <c r="CS1026">
        <f>$C1026*CS1025</f>
        <v/>
      </c>
      <c r="CT1026">
        <f>$C1026*CT1025</f>
        <v/>
      </c>
      <c r="CU1026">
        <f>$C1026*CU1025</f>
        <v/>
      </c>
      <c r="CV1026">
        <f>$C1026*CV1025</f>
        <v/>
      </c>
      <c r="CW1026">
        <f>$C1026*CW1025</f>
        <v/>
      </c>
      <c r="CX1026">
        <f>$C1026*CX1025</f>
        <v/>
      </c>
      <c r="CY1026">
        <f>$C1026*CY1025</f>
        <v/>
      </c>
      <c r="CZ1026">
        <f>$C1026*CZ1025</f>
        <v/>
      </c>
      <c r="DA1026">
        <f>$C1026*DA1025</f>
        <v/>
      </c>
      <c r="DB1026">
        <f>$C1026*DB1025</f>
        <v/>
      </c>
      <c r="DC1026">
        <f>$C1026*DC1025</f>
        <v/>
      </c>
    </row>
    <row r="1027">
      <c r="B1027" s="4" t="inlineStr">
        <is>
          <t>合計使用量(kg)/週</t>
        </is>
      </c>
      <c r="D1027">
        <f>'Grid_Requirement'!B37</f>
        <v/>
      </c>
      <c r="E1027">
        <f>'Grid_Requirement'!C37</f>
        <v/>
      </c>
      <c r="F1027">
        <f>'Grid_Requirement'!D37</f>
        <v/>
      </c>
      <c r="G1027">
        <f>'Grid_Requirement'!E37</f>
        <v/>
      </c>
      <c r="H1027">
        <f>'Grid_Requirement'!F37</f>
        <v/>
      </c>
      <c r="I1027">
        <f>'Grid_Requirement'!G37</f>
        <v/>
      </c>
      <c r="J1027">
        <f>'Grid_Requirement'!H37</f>
        <v/>
      </c>
      <c r="K1027">
        <f>'Grid_Requirement'!I37</f>
        <v/>
      </c>
      <c r="L1027">
        <f>'Grid_Requirement'!J37</f>
        <v/>
      </c>
      <c r="M1027">
        <f>'Grid_Requirement'!K37</f>
        <v/>
      </c>
      <c r="N1027">
        <f>'Grid_Requirement'!L37</f>
        <v/>
      </c>
      <c r="O1027">
        <f>'Grid_Requirement'!M37</f>
        <v/>
      </c>
      <c r="P1027">
        <f>'Grid_Requirement'!N37</f>
        <v/>
      </c>
      <c r="Q1027">
        <f>'Grid_Requirement'!O37</f>
        <v/>
      </c>
      <c r="R1027">
        <f>'Grid_Requirement'!P37</f>
        <v/>
      </c>
      <c r="S1027">
        <f>'Grid_Requirement'!Q37</f>
        <v/>
      </c>
      <c r="T1027">
        <f>'Grid_Requirement'!R37</f>
        <v/>
      </c>
      <c r="U1027">
        <f>'Grid_Requirement'!S37</f>
        <v/>
      </c>
      <c r="V1027">
        <f>'Grid_Requirement'!T37</f>
        <v/>
      </c>
      <c r="W1027">
        <f>'Grid_Requirement'!U37</f>
        <v/>
      </c>
      <c r="X1027">
        <f>'Grid_Requirement'!V37</f>
        <v/>
      </c>
      <c r="Y1027">
        <f>'Grid_Requirement'!W37</f>
        <v/>
      </c>
      <c r="Z1027">
        <f>'Grid_Requirement'!X37</f>
        <v/>
      </c>
      <c r="AA1027">
        <f>'Grid_Requirement'!Y37</f>
        <v/>
      </c>
      <c r="AB1027">
        <f>'Grid_Requirement'!Z37</f>
        <v/>
      </c>
      <c r="AC1027">
        <f>'Grid_Requirement'!AA37</f>
        <v/>
      </c>
      <c r="AD1027">
        <f>'Grid_Requirement'!AB37</f>
        <v/>
      </c>
      <c r="AE1027">
        <f>'Grid_Requirement'!AC37</f>
        <v/>
      </c>
      <c r="AF1027">
        <f>'Grid_Requirement'!AD37</f>
        <v/>
      </c>
      <c r="AG1027">
        <f>'Grid_Requirement'!AE37</f>
        <v/>
      </c>
      <c r="AH1027">
        <f>'Grid_Requirement'!AF37</f>
        <v/>
      </c>
      <c r="AI1027">
        <f>'Grid_Requirement'!AG37</f>
        <v/>
      </c>
      <c r="AJ1027">
        <f>'Grid_Requirement'!AH37</f>
        <v/>
      </c>
      <c r="AK1027">
        <f>'Grid_Requirement'!AI37</f>
        <v/>
      </c>
      <c r="AL1027">
        <f>'Grid_Requirement'!AJ37</f>
        <v/>
      </c>
      <c r="AM1027">
        <f>'Grid_Requirement'!AK37</f>
        <v/>
      </c>
      <c r="AN1027">
        <f>'Grid_Requirement'!AL37</f>
        <v/>
      </c>
      <c r="AO1027">
        <f>'Grid_Requirement'!AM37</f>
        <v/>
      </c>
      <c r="AP1027">
        <f>'Grid_Requirement'!AN37</f>
        <v/>
      </c>
      <c r="AQ1027">
        <f>'Grid_Requirement'!AO37</f>
        <v/>
      </c>
      <c r="AR1027">
        <f>'Grid_Requirement'!AP37</f>
        <v/>
      </c>
      <c r="AS1027">
        <f>'Grid_Requirement'!AQ37</f>
        <v/>
      </c>
      <c r="AT1027">
        <f>'Grid_Requirement'!AR37</f>
        <v/>
      </c>
      <c r="AU1027">
        <f>'Grid_Requirement'!AS37</f>
        <v/>
      </c>
      <c r="AV1027">
        <f>'Grid_Requirement'!AT37</f>
        <v/>
      </c>
      <c r="AW1027">
        <f>'Grid_Requirement'!AU37</f>
        <v/>
      </c>
      <c r="AX1027">
        <f>'Grid_Requirement'!AV37</f>
        <v/>
      </c>
      <c r="AY1027">
        <f>'Grid_Requirement'!AW37</f>
        <v/>
      </c>
      <c r="AZ1027">
        <f>'Grid_Requirement'!AX37</f>
        <v/>
      </c>
      <c r="BA1027">
        <f>'Grid_Requirement'!AY37</f>
        <v/>
      </c>
      <c r="BB1027">
        <f>'Grid_Requirement'!AZ37</f>
        <v/>
      </c>
      <c r="BC1027">
        <f>'Grid_Requirement'!BA37</f>
        <v/>
      </c>
      <c r="BD1027">
        <f>'Grid_Requirement'!BB37</f>
        <v/>
      </c>
      <c r="BE1027">
        <f>'Grid_Requirement'!BC37</f>
        <v/>
      </c>
      <c r="BF1027">
        <f>'Grid_Requirement'!BD37</f>
        <v/>
      </c>
      <c r="BG1027">
        <f>'Grid_Requirement'!BE37</f>
        <v/>
      </c>
      <c r="BH1027">
        <f>'Grid_Requirement'!BF37</f>
        <v/>
      </c>
      <c r="BI1027">
        <f>'Grid_Requirement'!BG37</f>
        <v/>
      </c>
      <c r="BJ1027">
        <f>'Grid_Requirement'!BH37</f>
        <v/>
      </c>
      <c r="BK1027">
        <f>'Grid_Requirement'!BI37</f>
        <v/>
      </c>
      <c r="BL1027">
        <f>'Grid_Requirement'!BJ37</f>
        <v/>
      </c>
      <c r="BM1027">
        <f>'Grid_Requirement'!BK37</f>
        <v/>
      </c>
      <c r="BN1027">
        <f>'Grid_Requirement'!BL37</f>
        <v/>
      </c>
      <c r="BO1027">
        <f>'Grid_Requirement'!BM37</f>
        <v/>
      </c>
      <c r="BP1027">
        <f>'Grid_Requirement'!BN37</f>
        <v/>
      </c>
      <c r="BQ1027">
        <f>'Grid_Requirement'!BO37</f>
        <v/>
      </c>
      <c r="BR1027">
        <f>'Grid_Requirement'!BP37</f>
        <v/>
      </c>
      <c r="BS1027">
        <f>'Grid_Requirement'!BQ37</f>
        <v/>
      </c>
      <c r="BT1027">
        <f>'Grid_Requirement'!BR37</f>
        <v/>
      </c>
      <c r="BU1027">
        <f>'Grid_Requirement'!BS37</f>
        <v/>
      </c>
      <c r="BV1027">
        <f>'Grid_Requirement'!BT37</f>
        <v/>
      </c>
      <c r="BW1027">
        <f>'Grid_Requirement'!BU37</f>
        <v/>
      </c>
      <c r="BX1027">
        <f>'Grid_Requirement'!BV37</f>
        <v/>
      </c>
      <c r="BY1027">
        <f>'Grid_Requirement'!BW37</f>
        <v/>
      </c>
      <c r="BZ1027">
        <f>'Grid_Requirement'!BX37</f>
        <v/>
      </c>
      <c r="CA1027">
        <f>'Grid_Requirement'!BY37</f>
        <v/>
      </c>
      <c r="CB1027">
        <f>'Grid_Requirement'!BZ37</f>
        <v/>
      </c>
      <c r="CC1027">
        <f>'Grid_Requirement'!CA37</f>
        <v/>
      </c>
      <c r="CD1027">
        <f>'Grid_Requirement'!CB37</f>
        <v/>
      </c>
      <c r="CE1027">
        <f>'Grid_Requirement'!CC37</f>
        <v/>
      </c>
      <c r="CF1027">
        <f>'Grid_Requirement'!CD37</f>
        <v/>
      </c>
      <c r="CG1027">
        <f>'Grid_Requirement'!CE37</f>
        <v/>
      </c>
      <c r="CH1027">
        <f>'Grid_Requirement'!CF37</f>
        <v/>
      </c>
      <c r="CI1027">
        <f>'Grid_Requirement'!CG37</f>
        <v/>
      </c>
      <c r="CJ1027">
        <f>'Grid_Requirement'!CH37</f>
        <v/>
      </c>
      <c r="CK1027">
        <f>'Grid_Requirement'!CI37</f>
        <v/>
      </c>
      <c r="CL1027">
        <f>'Grid_Requirement'!CJ37</f>
        <v/>
      </c>
      <c r="CM1027">
        <f>'Grid_Requirement'!CK37</f>
        <v/>
      </c>
      <c r="CN1027">
        <f>'Grid_Requirement'!CL37</f>
        <v/>
      </c>
      <c r="CO1027">
        <f>'Grid_Requirement'!CM37</f>
        <v/>
      </c>
      <c r="CP1027">
        <f>'Grid_Requirement'!CN37</f>
        <v/>
      </c>
      <c r="CQ1027">
        <f>'Grid_Requirement'!CO37</f>
        <v/>
      </c>
      <c r="CR1027">
        <f>'Grid_Requirement'!CP37</f>
        <v/>
      </c>
      <c r="CS1027">
        <f>'Grid_Requirement'!CQ37</f>
        <v/>
      </c>
      <c r="CT1027">
        <f>'Grid_Requirement'!CR37</f>
        <v/>
      </c>
      <c r="CU1027">
        <f>'Grid_Requirement'!CS37</f>
        <v/>
      </c>
      <c r="CV1027">
        <f>'Grid_Requirement'!CT37</f>
        <v/>
      </c>
      <c r="CW1027">
        <f>'Grid_Requirement'!CU37</f>
        <v/>
      </c>
      <c r="CX1027">
        <f>'Grid_Requirement'!CV37</f>
        <v/>
      </c>
      <c r="CY1027">
        <f>'Grid_Requirement'!CW37</f>
        <v/>
      </c>
      <c r="CZ1027">
        <f>'Grid_Requirement'!CX37</f>
        <v/>
      </c>
      <c r="DA1027">
        <f>'Grid_Requirement'!CY37</f>
        <v/>
      </c>
      <c r="DB1027">
        <f>'Grid_Requirement'!CZ37</f>
        <v/>
      </c>
      <c r="DC1027">
        <f>'Grid_Requirement'!DA37</f>
        <v/>
      </c>
    </row>
    <row r="1028">
      <c r="B1028" t="inlineStr">
        <is>
          <t>TTAF在庫(実績,kg)</t>
        </is>
      </c>
      <c r="D1028">
        <f>'T_TTAFStock'!B41</f>
        <v/>
      </c>
      <c r="E1028">
        <f>'T_TTAFStock'!C41</f>
        <v/>
      </c>
      <c r="F1028">
        <f>'T_TTAFStock'!D41</f>
        <v/>
      </c>
      <c r="G1028">
        <f>'T_TTAFStock'!E41</f>
        <v/>
      </c>
      <c r="H1028">
        <f>'T_TTAFStock'!F41</f>
        <v/>
      </c>
      <c r="I1028">
        <f>'T_TTAFStock'!G41</f>
        <v/>
      </c>
      <c r="J1028">
        <f>'T_TTAFStock'!H41</f>
        <v/>
      </c>
      <c r="K1028">
        <f>'T_TTAFStock'!I41</f>
        <v/>
      </c>
      <c r="L1028">
        <f>'T_TTAFStock'!J41</f>
        <v/>
      </c>
      <c r="M1028">
        <f>'T_TTAFStock'!K41</f>
        <v/>
      </c>
      <c r="N1028">
        <f>'T_TTAFStock'!L41</f>
        <v/>
      </c>
      <c r="O1028">
        <f>'T_TTAFStock'!M41</f>
        <v/>
      </c>
      <c r="P1028">
        <f>'T_TTAFStock'!N41</f>
        <v/>
      </c>
      <c r="Q1028">
        <f>'T_TTAFStock'!O41</f>
        <v/>
      </c>
      <c r="R1028">
        <f>'T_TTAFStock'!P41</f>
        <v/>
      </c>
      <c r="S1028">
        <f>'T_TTAFStock'!Q41</f>
        <v/>
      </c>
      <c r="T1028">
        <f>'T_TTAFStock'!R41</f>
        <v/>
      </c>
      <c r="U1028">
        <f>'T_TTAFStock'!S41</f>
        <v/>
      </c>
      <c r="V1028">
        <f>'T_TTAFStock'!T41</f>
        <v/>
      </c>
      <c r="W1028">
        <f>'T_TTAFStock'!U41</f>
        <v/>
      </c>
      <c r="X1028">
        <f>'T_TTAFStock'!V41</f>
        <v/>
      </c>
      <c r="Y1028">
        <f>'T_TTAFStock'!W41</f>
        <v/>
      </c>
      <c r="Z1028">
        <f>'T_TTAFStock'!X41</f>
        <v/>
      </c>
      <c r="AA1028">
        <f>'T_TTAFStock'!Y41</f>
        <v/>
      </c>
      <c r="AB1028">
        <f>'T_TTAFStock'!Z41</f>
        <v/>
      </c>
      <c r="AC1028">
        <f>'T_TTAFStock'!AA41</f>
        <v/>
      </c>
      <c r="AD1028">
        <f>'T_TTAFStock'!AB41</f>
        <v/>
      </c>
      <c r="AE1028">
        <f>'T_TTAFStock'!AC41</f>
        <v/>
      </c>
      <c r="AF1028">
        <f>'T_TTAFStock'!AD41</f>
        <v/>
      </c>
      <c r="AG1028">
        <f>'T_TTAFStock'!AE41</f>
        <v/>
      </c>
      <c r="AH1028">
        <f>'T_TTAFStock'!AF41</f>
        <v/>
      </c>
      <c r="AI1028">
        <f>'T_TTAFStock'!AG41</f>
        <v/>
      </c>
      <c r="AJ1028">
        <f>'T_TTAFStock'!AH41</f>
        <v/>
      </c>
      <c r="AK1028">
        <f>'T_TTAFStock'!AI41</f>
        <v/>
      </c>
      <c r="AL1028">
        <f>'T_TTAFStock'!AJ41</f>
        <v/>
      </c>
      <c r="AM1028">
        <f>'T_TTAFStock'!AK41</f>
        <v/>
      </c>
      <c r="AN1028">
        <f>'T_TTAFStock'!AL41</f>
        <v/>
      </c>
      <c r="AO1028">
        <f>'T_TTAFStock'!AM41</f>
        <v/>
      </c>
      <c r="AP1028">
        <f>'T_TTAFStock'!AN41</f>
        <v/>
      </c>
      <c r="AQ1028">
        <f>'T_TTAFStock'!AO41</f>
        <v/>
      </c>
      <c r="AR1028">
        <f>'T_TTAFStock'!AP41</f>
        <v/>
      </c>
      <c r="AS1028">
        <f>'T_TTAFStock'!AQ41</f>
        <v/>
      </c>
      <c r="AT1028">
        <f>'T_TTAFStock'!AR41</f>
        <v/>
      </c>
      <c r="AU1028">
        <f>'T_TTAFStock'!AS41</f>
        <v/>
      </c>
      <c r="AV1028">
        <f>'T_TTAFStock'!AT41</f>
        <v/>
      </c>
      <c r="AW1028">
        <f>'T_TTAFStock'!AU41</f>
        <v/>
      </c>
      <c r="AX1028">
        <f>'T_TTAFStock'!AV41</f>
        <v/>
      </c>
      <c r="AY1028">
        <f>'T_TTAFStock'!AW41</f>
        <v/>
      </c>
      <c r="AZ1028">
        <f>'T_TTAFStock'!AX41</f>
        <v/>
      </c>
      <c r="BA1028">
        <f>'T_TTAFStock'!AY41</f>
        <v/>
      </c>
      <c r="BB1028">
        <f>'T_TTAFStock'!AZ41</f>
        <v/>
      </c>
      <c r="BC1028">
        <f>'T_TTAFStock'!BA41</f>
        <v/>
      </c>
      <c r="BD1028">
        <f>'T_TTAFStock'!BB41</f>
        <v/>
      </c>
      <c r="BE1028">
        <f>'T_TTAFStock'!BC41</f>
        <v/>
      </c>
      <c r="BF1028">
        <f>'T_TTAFStock'!BD41</f>
        <v/>
      </c>
      <c r="BG1028">
        <f>'T_TTAFStock'!BE41</f>
        <v/>
      </c>
      <c r="BH1028">
        <f>'T_TTAFStock'!BF41</f>
        <v/>
      </c>
      <c r="BI1028">
        <f>'T_TTAFStock'!BG41</f>
        <v/>
      </c>
      <c r="BJ1028">
        <f>'T_TTAFStock'!BH41</f>
        <v/>
      </c>
      <c r="BK1028">
        <f>'T_TTAFStock'!BI41</f>
        <v/>
      </c>
      <c r="BL1028">
        <f>'T_TTAFStock'!BJ41</f>
        <v/>
      </c>
      <c r="BM1028">
        <f>'T_TTAFStock'!BK41</f>
        <v/>
      </c>
      <c r="BN1028">
        <f>'T_TTAFStock'!BL41</f>
        <v/>
      </c>
      <c r="BO1028">
        <f>'T_TTAFStock'!BM41</f>
        <v/>
      </c>
      <c r="BP1028">
        <f>'T_TTAFStock'!BN41</f>
        <v/>
      </c>
      <c r="BQ1028">
        <f>'T_TTAFStock'!BO41</f>
        <v/>
      </c>
      <c r="BR1028">
        <f>'T_TTAFStock'!BP41</f>
        <v/>
      </c>
      <c r="BS1028">
        <f>'T_TTAFStock'!BQ41</f>
        <v/>
      </c>
      <c r="BT1028">
        <f>'T_TTAFStock'!BR41</f>
        <v/>
      </c>
      <c r="BU1028">
        <f>'T_TTAFStock'!BS41</f>
        <v/>
      </c>
      <c r="BV1028">
        <f>'T_TTAFStock'!BT41</f>
        <v/>
      </c>
      <c r="BW1028">
        <f>'T_TTAFStock'!BU41</f>
        <v/>
      </c>
      <c r="BX1028">
        <f>'T_TTAFStock'!BV41</f>
        <v/>
      </c>
      <c r="BY1028">
        <f>'T_TTAFStock'!BW41</f>
        <v/>
      </c>
      <c r="BZ1028">
        <f>'T_TTAFStock'!BX41</f>
        <v/>
      </c>
      <c r="CA1028">
        <f>'T_TTAFStock'!BY41</f>
        <v/>
      </c>
      <c r="CB1028">
        <f>'T_TTAFStock'!BZ41</f>
        <v/>
      </c>
      <c r="CC1028">
        <f>'T_TTAFStock'!CA41</f>
        <v/>
      </c>
      <c r="CD1028">
        <f>'T_TTAFStock'!CB41</f>
        <v/>
      </c>
      <c r="CE1028">
        <f>'T_TTAFStock'!CC41</f>
        <v/>
      </c>
      <c r="CF1028">
        <f>'T_TTAFStock'!CD41</f>
        <v/>
      </c>
      <c r="CG1028">
        <f>'T_TTAFStock'!CE41</f>
        <v/>
      </c>
      <c r="CH1028">
        <f>'T_TTAFStock'!CF41</f>
        <v/>
      </c>
      <c r="CI1028">
        <f>'T_TTAFStock'!CG41</f>
        <v/>
      </c>
      <c r="CJ1028">
        <f>'T_TTAFStock'!CH41</f>
        <v/>
      </c>
      <c r="CK1028">
        <f>'T_TTAFStock'!CI41</f>
        <v/>
      </c>
      <c r="CL1028">
        <f>'T_TTAFStock'!CJ41</f>
        <v/>
      </c>
      <c r="CM1028">
        <f>'T_TTAFStock'!CK41</f>
        <v/>
      </c>
      <c r="CN1028">
        <f>'T_TTAFStock'!CL41</f>
        <v/>
      </c>
      <c r="CO1028">
        <f>'T_TTAFStock'!CM41</f>
        <v/>
      </c>
      <c r="CP1028">
        <f>'T_TTAFStock'!CN41</f>
        <v/>
      </c>
      <c r="CQ1028">
        <f>'T_TTAFStock'!CO41</f>
        <v/>
      </c>
      <c r="CR1028">
        <f>'T_TTAFStock'!CP41</f>
        <v/>
      </c>
      <c r="CS1028">
        <f>'T_TTAFStock'!CQ41</f>
        <v/>
      </c>
      <c r="CT1028">
        <f>'T_TTAFStock'!CR41</f>
        <v/>
      </c>
      <c r="CU1028">
        <f>'T_TTAFStock'!CS41</f>
        <v/>
      </c>
      <c r="CV1028">
        <f>'T_TTAFStock'!CT41</f>
        <v/>
      </c>
      <c r="CW1028">
        <f>'T_TTAFStock'!CU41</f>
        <v/>
      </c>
      <c r="CX1028">
        <f>'T_TTAFStock'!CV41</f>
        <v/>
      </c>
      <c r="CY1028">
        <f>'T_TTAFStock'!CW41</f>
        <v/>
      </c>
      <c r="CZ1028">
        <f>'T_TTAFStock'!CX41</f>
        <v/>
      </c>
      <c r="DA1028">
        <f>'T_TTAFStock'!CY41</f>
        <v/>
      </c>
      <c r="DB1028">
        <f>'T_TTAFStock'!CZ41</f>
        <v/>
      </c>
      <c r="DC1028">
        <f>'T_TTAFStock'!DA41</f>
        <v/>
      </c>
    </row>
    <row r="1029">
      <c r="B1029" t="inlineStr">
        <is>
          <t>自社在庫(実績,kg)</t>
        </is>
      </c>
      <c r="D1029">
        <f>'T_SelfStock'!B41</f>
        <v/>
      </c>
      <c r="E1029">
        <f>'T_SelfStock'!C41</f>
        <v/>
      </c>
      <c r="F1029">
        <f>'T_SelfStock'!D41</f>
        <v/>
      </c>
      <c r="G1029">
        <f>'T_SelfStock'!E41</f>
        <v/>
      </c>
      <c r="H1029">
        <f>'T_SelfStock'!F41</f>
        <v/>
      </c>
      <c r="I1029">
        <f>'T_SelfStock'!G41</f>
        <v/>
      </c>
      <c r="J1029">
        <f>'T_SelfStock'!H41</f>
        <v/>
      </c>
      <c r="K1029">
        <f>'T_SelfStock'!I41</f>
        <v/>
      </c>
      <c r="L1029">
        <f>'T_SelfStock'!J41</f>
        <v/>
      </c>
      <c r="M1029">
        <f>'T_SelfStock'!K41</f>
        <v/>
      </c>
      <c r="N1029">
        <f>'T_SelfStock'!L41</f>
        <v/>
      </c>
      <c r="O1029">
        <f>'T_SelfStock'!M41</f>
        <v/>
      </c>
      <c r="P1029">
        <f>'T_SelfStock'!N41</f>
        <v/>
      </c>
      <c r="Q1029">
        <f>'T_SelfStock'!O41</f>
        <v/>
      </c>
      <c r="R1029">
        <f>'T_SelfStock'!P41</f>
        <v/>
      </c>
      <c r="S1029">
        <f>'T_SelfStock'!Q41</f>
        <v/>
      </c>
      <c r="T1029">
        <f>'T_SelfStock'!R41</f>
        <v/>
      </c>
      <c r="U1029">
        <f>'T_SelfStock'!S41</f>
        <v/>
      </c>
      <c r="V1029">
        <f>'T_SelfStock'!T41</f>
        <v/>
      </c>
      <c r="W1029">
        <f>'T_SelfStock'!U41</f>
        <v/>
      </c>
      <c r="X1029">
        <f>'T_SelfStock'!V41</f>
        <v/>
      </c>
      <c r="Y1029">
        <f>'T_SelfStock'!W41</f>
        <v/>
      </c>
      <c r="Z1029">
        <f>'T_SelfStock'!X41</f>
        <v/>
      </c>
      <c r="AA1029">
        <f>'T_SelfStock'!Y41</f>
        <v/>
      </c>
      <c r="AB1029">
        <f>'T_SelfStock'!Z41</f>
        <v/>
      </c>
      <c r="AC1029">
        <f>'T_SelfStock'!AA41</f>
        <v/>
      </c>
      <c r="AD1029">
        <f>'T_SelfStock'!AB41</f>
        <v/>
      </c>
      <c r="AE1029">
        <f>'T_SelfStock'!AC41</f>
        <v/>
      </c>
      <c r="AF1029">
        <f>'T_SelfStock'!AD41</f>
        <v/>
      </c>
      <c r="AG1029">
        <f>'T_SelfStock'!AE41</f>
        <v/>
      </c>
      <c r="AH1029">
        <f>'T_SelfStock'!AF41</f>
        <v/>
      </c>
      <c r="AI1029">
        <f>'T_SelfStock'!AG41</f>
        <v/>
      </c>
      <c r="AJ1029">
        <f>'T_SelfStock'!AH41</f>
        <v/>
      </c>
      <c r="AK1029">
        <f>'T_SelfStock'!AI41</f>
        <v/>
      </c>
      <c r="AL1029">
        <f>'T_SelfStock'!AJ41</f>
        <v/>
      </c>
      <c r="AM1029">
        <f>'T_SelfStock'!AK41</f>
        <v/>
      </c>
      <c r="AN1029">
        <f>'T_SelfStock'!AL41</f>
        <v/>
      </c>
      <c r="AO1029">
        <f>'T_SelfStock'!AM41</f>
        <v/>
      </c>
      <c r="AP1029">
        <f>'T_SelfStock'!AN41</f>
        <v/>
      </c>
      <c r="AQ1029">
        <f>'T_SelfStock'!AO41</f>
        <v/>
      </c>
      <c r="AR1029">
        <f>'T_SelfStock'!AP41</f>
        <v/>
      </c>
      <c r="AS1029">
        <f>'T_SelfStock'!AQ41</f>
        <v/>
      </c>
      <c r="AT1029">
        <f>'T_SelfStock'!AR41</f>
        <v/>
      </c>
      <c r="AU1029">
        <f>'T_SelfStock'!AS41</f>
        <v/>
      </c>
      <c r="AV1029">
        <f>'T_SelfStock'!AT41</f>
        <v/>
      </c>
      <c r="AW1029">
        <f>'T_SelfStock'!AU41</f>
        <v/>
      </c>
      <c r="AX1029">
        <f>'T_SelfStock'!AV41</f>
        <v/>
      </c>
      <c r="AY1029">
        <f>'T_SelfStock'!AW41</f>
        <v/>
      </c>
      <c r="AZ1029">
        <f>'T_SelfStock'!AX41</f>
        <v/>
      </c>
      <c r="BA1029">
        <f>'T_SelfStock'!AY41</f>
        <v/>
      </c>
      <c r="BB1029">
        <f>'T_SelfStock'!AZ41</f>
        <v/>
      </c>
      <c r="BC1029">
        <f>'T_SelfStock'!BA41</f>
        <v/>
      </c>
      <c r="BD1029">
        <f>'T_SelfStock'!BB41</f>
        <v/>
      </c>
      <c r="BE1029">
        <f>'T_SelfStock'!BC41</f>
        <v/>
      </c>
      <c r="BF1029">
        <f>'T_SelfStock'!BD41</f>
        <v/>
      </c>
      <c r="BG1029">
        <f>'T_SelfStock'!BE41</f>
        <v/>
      </c>
      <c r="BH1029">
        <f>'T_SelfStock'!BF41</f>
        <v/>
      </c>
      <c r="BI1029">
        <f>'T_SelfStock'!BG41</f>
        <v/>
      </c>
      <c r="BJ1029">
        <f>'T_SelfStock'!BH41</f>
        <v/>
      </c>
      <c r="BK1029">
        <f>'T_SelfStock'!BI41</f>
        <v/>
      </c>
      <c r="BL1029">
        <f>'T_SelfStock'!BJ41</f>
        <v/>
      </c>
      <c r="BM1029">
        <f>'T_SelfStock'!BK41</f>
        <v/>
      </c>
      <c r="BN1029">
        <f>'T_SelfStock'!BL41</f>
        <v/>
      </c>
      <c r="BO1029">
        <f>'T_SelfStock'!BM41</f>
        <v/>
      </c>
      <c r="BP1029">
        <f>'T_SelfStock'!BN41</f>
        <v/>
      </c>
      <c r="BQ1029">
        <f>'T_SelfStock'!BO41</f>
        <v/>
      </c>
      <c r="BR1029">
        <f>'T_SelfStock'!BP41</f>
        <v/>
      </c>
      <c r="BS1029">
        <f>'T_SelfStock'!BQ41</f>
        <v/>
      </c>
      <c r="BT1029">
        <f>'T_SelfStock'!BR41</f>
        <v/>
      </c>
      <c r="BU1029">
        <f>'T_SelfStock'!BS41</f>
        <v/>
      </c>
      <c r="BV1029">
        <f>'T_SelfStock'!BT41</f>
        <v/>
      </c>
      <c r="BW1029">
        <f>'T_SelfStock'!BU41</f>
        <v/>
      </c>
      <c r="BX1029">
        <f>'T_SelfStock'!BV41</f>
        <v/>
      </c>
      <c r="BY1029">
        <f>'T_SelfStock'!BW41</f>
        <v/>
      </c>
      <c r="BZ1029">
        <f>'T_SelfStock'!BX41</f>
        <v/>
      </c>
      <c r="CA1029">
        <f>'T_SelfStock'!BY41</f>
        <v/>
      </c>
      <c r="CB1029">
        <f>'T_SelfStock'!BZ41</f>
        <v/>
      </c>
      <c r="CC1029">
        <f>'T_SelfStock'!CA41</f>
        <v/>
      </c>
      <c r="CD1029">
        <f>'T_SelfStock'!CB41</f>
        <v/>
      </c>
      <c r="CE1029">
        <f>'T_SelfStock'!CC41</f>
        <v/>
      </c>
      <c r="CF1029">
        <f>'T_SelfStock'!CD41</f>
        <v/>
      </c>
      <c r="CG1029">
        <f>'T_SelfStock'!CE41</f>
        <v/>
      </c>
      <c r="CH1029">
        <f>'T_SelfStock'!CF41</f>
        <v/>
      </c>
      <c r="CI1029">
        <f>'T_SelfStock'!CG41</f>
        <v/>
      </c>
      <c r="CJ1029">
        <f>'T_SelfStock'!CH41</f>
        <v/>
      </c>
      <c r="CK1029">
        <f>'T_SelfStock'!CI41</f>
        <v/>
      </c>
      <c r="CL1029">
        <f>'T_SelfStock'!CJ41</f>
        <v/>
      </c>
      <c r="CM1029">
        <f>'T_SelfStock'!CK41</f>
        <v/>
      </c>
      <c r="CN1029">
        <f>'T_SelfStock'!CL41</f>
        <v/>
      </c>
      <c r="CO1029">
        <f>'T_SelfStock'!CM41</f>
        <v/>
      </c>
      <c r="CP1029">
        <f>'T_SelfStock'!CN41</f>
        <v/>
      </c>
      <c r="CQ1029">
        <f>'T_SelfStock'!CO41</f>
        <v/>
      </c>
      <c r="CR1029">
        <f>'T_SelfStock'!CP41</f>
        <v/>
      </c>
      <c r="CS1029">
        <f>'T_SelfStock'!CQ41</f>
        <v/>
      </c>
      <c r="CT1029">
        <f>'T_SelfStock'!CR41</f>
        <v/>
      </c>
      <c r="CU1029">
        <f>'T_SelfStock'!CS41</f>
        <v/>
      </c>
      <c r="CV1029">
        <f>'T_SelfStock'!CT41</f>
        <v/>
      </c>
      <c r="CW1029">
        <f>'T_SelfStock'!CU41</f>
        <v/>
      </c>
      <c r="CX1029">
        <f>'T_SelfStock'!CV41</f>
        <v/>
      </c>
      <c r="CY1029">
        <f>'T_SelfStock'!CW41</f>
        <v/>
      </c>
      <c r="CZ1029">
        <f>'T_SelfStock'!CX41</f>
        <v/>
      </c>
      <c r="DA1029">
        <f>'T_SelfStock'!CY41</f>
        <v/>
      </c>
      <c r="DB1029">
        <f>'T_SelfStock'!CZ41</f>
        <v/>
      </c>
      <c r="DC1029">
        <f>'T_SelfStock'!DA41</f>
        <v/>
      </c>
    </row>
    <row r="1030">
      <c r="B1030" s="4" t="inlineStr">
        <is>
          <t>合計在庫(週末時点,kg)</t>
        </is>
      </c>
      <c r="D1030">
        <f>'Grid_Stock'!B37</f>
        <v/>
      </c>
      <c r="E1030">
        <f>'Grid_Stock'!C37</f>
        <v/>
      </c>
      <c r="F1030">
        <f>'Grid_Stock'!D37</f>
        <v/>
      </c>
      <c r="G1030">
        <f>'Grid_Stock'!E37</f>
        <v/>
      </c>
      <c r="H1030">
        <f>'Grid_Stock'!F37</f>
        <v/>
      </c>
      <c r="I1030">
        <f>'Grid_Stock'!G37</f>
        <v/>
      </c>
      <c r="J1030">
        <f>'Grid_Stock'!H37</f>
        <v/>
      </c>
      <c r="K1030">
        <f>'Grid_Stock'!I37</f>
        <v/>
      </c>
      <c r="L1030">
        <f>'Grid_Stock'!J37</f>
        <v/>
      </c>
      <c r="M1030">
        <f>'Grid_Stock'!K37</f>
        <v/>
      </c>
      <c r="N1030">
        <f>'Grid_Stock'!L37</f>
        <v/>
      </c>
      <c r="O1030">
        <f>'Grid_Stock'!M37</f>
        <v/>
      </c>
      <c r="P1030">
        <f>'Grid_Stock'!N37</f>
        <v/>
      </c>
      <c r="Q1030">
        <f>'Grid_Stock'!O37</f>
        <v/>
      </c>
      <c r="R1030">
        <f>'Grid_Stock'!P37</f>
        <v/>
      </c>
      <c r="S1030">
        <f>'Grid_Stock'!Q37</f>
        <v/>
      </c>
      <c r="T1030">
        <f>'Grid_Stock'!R37</f>
        <v/>
      </c>
      <c r="U1030">
        <f>'Grid_Stock'!S37</f>
        <v/>
      </c>
      <c r="V1030">
        <f>'Grid_Stock'!T37</f>
        <v/>
      </c>
      <c r="W1030">
        <f>'Grid_Stock'!U37</f>
        <v/>
      </c>
      <c r="X1030">
        <f>'Grid_Stock'!V37</f>
        <v/>
      </c>
      <c r="Y1030">
        <f>'Grid_Stock'!W37</f>
        <v/>
      </c>
      <c r="Z1030">
        <f>'Grid_Stock'!X37</f>
        <v/>
      </c>
      <c r="AA1030">
        <f>'Grid_Stock'!Y37</f>
        <v/>
      </c>
      <c r="AB1030">
        <f>'Grid_Stock'!Z37</f>
        <v/>
      </c>
      <c r="AC1030">
        <f>'Grid_Stock'!AA37</f>
        <v/>
      </c>
      <c r="AD1030">
        <f>'Grid_Stock'!AB37</f>
        <v/>
      </c>
      <c r="AE1030">
        <f>'Grid_Stock'!AC37</f>
        <v/>
      </c>
      <c r="AF1030">
        <f>'Grid_Stock'!AD37</f>
        <v/>
      </c>
      <c r="AG1030">
        <f>'Grid_Stock'!AE37</f>
        <v/>
      </c>
      <c r="AH1030">
        <f>'Grid_Stock'!AF37</f>
        <v/>
      </c>
      <c r="AI1030">
        <f>'Grid_Stock'!AG37</f>
        <v/>
      </c>
      <c r="AJ1030">
        <f>'Grid_Stock'!AH37</f>
        <v/>
      </c>
      <c r="AK1030">
        <f>'Grid_Stock'!AI37</f>
        <v/>
      </c>
      <c r="AL1030">
        <f>'Grid_Stock'!AJ37</f>
        <v/>
      </c>
      <c r="AM1030">
        <f>'Grid_Stock'!AK37</f>
        <v/>
      </c>
      <c r="AN1030">
        <f>'Grid_Stock'!AL37</f>
        <v/>
      </c>
      <c r="AO1030">
        <f>'Grid_Stock'!AM37</f>
        <v/>
      </c>
      <c r="AP1030">
        <f>'Grid_Stock'!AN37</f>
        <v/>
      </c>
      <c r="AQ1030">
        <f>'Grid_Stock'!AO37</f>
        <v/>
      </c>
      <c r="AR1030">
        <f>'Grid_Stock'!AP37</f>
        <v/>
      </c>
      <c r="AS1030">
        <f>'Grid_Stock'!AQ37</f>
        <v/>
      </c>
      <c r="AT1030">
        <f>'Grid_Stock'!AR37</f>
        <v/>
      </c>
      <c r="AU1030">
        <f>'Grid_Stock'!AS37</f>
        <v/>
      </c>
      <c r="AV1030">
        <f>'Grid_Stock'!AT37</f>
        <v/>
      </c>
      <c r="AW1030">
        <f>'Grid_Stock'!AU37</f>
        <v/>
      </c>
      <c r="AX1030">
        <f>'Grid_Stock'!AV37</f>
        <v/>
      </c>
      <c r="AY1030">
        <f>'Grid_Stock'!AW37</f>
        <v/>
      </c>
      <c r="AZ1030">
        <f>'Grid_Stock'!AX37</f>
        <v/>
      </c>
      <c r="BA1030">
        <f>'Grid_Stock'!AY37</f>
        <v/>
      </c>
      <c r="BB1030">
        <f>'Grid_Stock'!AZ37</f>
        <v/>
      </c>
      <c r="BC1030">
        <f>'Grid_Stock'!BA37</f>
        <v/>
      </c>
      <c r="BD1030">
        <f>'Grid_Stock'!BB37</f>
        <v/>
      </c>
      <c r="BE1030">
        <f>'Grid_Stock'!BC37</f>
        <v/>
      </c>
      <c r="BF1030">
        <f>'Grid_Stock'!BD37</f>
        <v/>
      </c>
      <c r="BG1030">
        <f>'Grid_Stock'!BE37</f>
        <v/>
      </c>
      <c r="BH1030">
        <f>'Grid_Stock'!BF37</f>
        <v/>
      </c>
      <c r="BI1030">
        <f>'Grid_Stock'!BG37</f>
        <v/>
      </c>
      <c r="BJ1030">
        <f>'Grid_Stock'!BH37</f>
        <v/>
      </c>
      <c r="BK1030">
        <f>'Grid_Stock'!BI37</f>
        <v/>
      </c>
      <c r="BL1030">
        <f>'Grid_Stock'!BJ37</f>
        <v/>
      </c>
      <c r="BM1030">
        <f>'Grid_Stock'!BK37</f>
        <v/>
      </c>
      <c r="BN1030">
        <f>'Grid_Stock'!BL37</f>
        <v/>
      </c>
      <c r="BO1030">
        <f>'Grid_Stock'!BM37</f>
        <v/>
      </c>
      <c r="BP1030">
        <f>'Grid_Stock'!BN37</f>
        <v/>
      </c>
      <c r="BQ1030">
        <f>'Grid_Stock'!BO37</f>
        <v/>
      </c>
      <c r="BR1030">
        <f>'Grid_Stock'!BP37</f>
        <v/>
      </c>
      <c r="BS1030">
        <f>'Grid_Stock'!BQ37</f>
        <v/>
      </c>
      <c r="BT1030">
        <f>'Grid_Stock'!BR37</f>
        <v/>
      </c>
      <c r="BU1030">
        <f>'Grid_Stock'!BS37</f>
        <v/>
      </c>
      <c r="BV1030">
        <f>'Grid_Stock'!BT37</f>
        <v/>
      </c>
      <c r="BW1030">
        <f>'Grid_Stock'!BU37</f>
        <v/>
      </c>
      <c r="BX1030">
        <f>'Grid_Stock'!BV37</f>
        <v/>
      </c>
      <c r="BY1030">
        <f>'Grid_Stock'!BW37</f>
        <v/>
      </c>
      <c r="BZ1030">
        <f>'Grid_Stock'!BX37</f>
        <v/>
      </c>
      <c r="CA1030">
        <f>'Grid_Stock'!BY37</f>
        <v/>
      </c>
      <c r="CB1030">
        <f>'Grid_Stock'!BZ37</f>
        <v/>
      </c>
      <c r="CC1030">
        <f>'Grid_Stock'!CA37</f>
        <v/>
      </c>
      <c r="CD1030">
        <f>'Grid_Stock'!CB37</f>
        <v/>
      </c>
      <c r="CE1030">
        <f>'Grid_Stock'!CC37</f>
        <v/>
      </c>
      <c r="CF1030">
        <f>'Grid_Stock'!CD37</f>
        <v/>
      </c>
      <c r="CG1030">
        <f>'Grid_Stock'!CE37</f>
        <v/>
      </c>
      <c r="CH1030">
        <f>'Grid_Stock'!CF37</f>
        <v/>
      </c>
      <c r="CI1030">
        <f>'Grid_Stock'!CG37</f>
        <v/>
      </c>
      <c r="CJ1030">
        <f>'Grid_Stock'!CH37</f>
        <v/>
      </c>
      <c r="CK1030">
        <f>'Grid_Stock'!CI37</f>
        <v/>
      </c>
      <c r="CL1030">
        <f>'Grid_Stock'!CJ37</f>
        <v/>
      </c>
      <c r="CM1030">
        <f>'Grid_Stock'!CK37</f>
        <v/>
      </c>
      <c r="CN1030">
        <f>'Grid_Stock'!CL37</f>
        <v/>
      </c>
      <c r="CO1030">
        <f>'Grid_Stock'!CM37</f>
        <v/>
      </c>
      <c r="CP1030">
        <f>'Grid_Stock'!CN37</f>
        <v/>
      </c>
      <c r="CQ1030">
        <f>'Grid_Stock'!CO37</f>
        <v/>
      </c>
      <c r="CR1030">
        <f>'Grid_Stock'!CP37</f>
        <v/>
      </c>
      <c r="CS1030">
        <f>'Grid_Stock'!CQ37</f>
        <v/>
      </c>
      <c r="CT1030">
        <f>'Grid_Stock'!CR37</f>
        <v/>
      </c>
      <c r="CU1030">
        <f>'Grid_Stock'!CS37</f>
        <v/>
      </c>
      <c r="CV1030">
        <f>'Grid_Stock'!CT37</f>
        <v/>
      </c>
      <c r="CW1030">
        <f>'Grid_Stock'!CU37</f>
        <v/>
      </c>
      <c r="CX1030">
        <f>'Grid_Stock'!CV37</f>
        <v/>
      </c>
      <c r="CY1030">
        <f>'Grid_Stock'!CW37</f>
        <v/>
      </c>
      <c r="CZ1030">
        <f>'Grid_Stock'!CX37</f>
        <v/>
      </c>
      <c r="DA1030">
        <f>'Grid_Stock'!CY37</f>
        <v/>
      </c>
      <c r="DB1030">
        <f>'Grid_Stock'!CZ37</f>
        <v/>
      </c>
      <c r="DC1030">
        <f>'Grid_Stock'!DA37</f>
        <v/>
      </c>
    </row>
    <row r="1031">
      <c r="B1031" s="16" t="inlineStr">
        <is>
          <t>（発注の目安はDashboardの基準在庫[下限/上限]と色分けを参照）</t>
        </is>
      </c>
    </row>
    <row r="1033">
      <c r="A1033" s="14" t="inlineStr">
        <is>
          <t>Ester Film</t>
        </is>
      </c>
      <c r="B1033" s="14" t="inlineStr">
        <is>
          <t>Ester Film</t>
        </is>
      </c>
      <c r="C1033" s="15" t="n"/>
      <c r="D1033" s="14" t="n"/>
      <c r="E1033" s="14" t="n"/>
      <c r="F1033" s="14" t="n"/>
      <c r="G1033" s="14" t="n"/>
      <c r="H1033" s="14" t="n"/>
      <c r="I1033" s="14" t="n"/>
      <c r="J1033" s="14" t="n"/>
      <c r="K1033" s="14" t="n"/>
      <c r="L1033" s="14" t="n"/>
      <c r="M1033" s="14" t="n"/>
      <c r="N1033" s="14" t="n"/>
      <c r="O1033" s="14" t="n"/>
      <c r="P1033" s="14" t="n"/>
      <c r="Q1033" s="14" t="n"/>
      <c r="R1033" s="14" t="n"/>
      <c r="S1033" s="14" t="n"/>
      <c r="T1033" s="14" t="n"/>
      <c r="U1033" s="14" t="n"/>
      <c r="V1033" s="14" t="n"/>
      <c r="W1033" s="14" t="n"/>
      <c r="X1033" s="14" t="n"/>
      <c r="Y1033" s="14" t="n"/>
      <c r="Z1033" s="14" t="n"/>
      <c r="AA1033" s="14" t="n"/>
      <c r="AB1033" s="14" t="n"/>
      <c r="AC1033" s="14" t="n"/>
      <c r="AD1033" s="14" t="n"/>
      <c r="AE1033" s="14" t="n"/>
      <c r="AF1033" s="14" t="n"/>
      <c r="AG1033" s="14" t="n"/>
      <c r="AH1033" s="14" t="n"/>
      <c r="AI1033" s="14" t="n"/>
      <c r="AJ1033" s="14" t="n"/>
      <c r="AK1033" s="14" t="n"/>
      <c r="AL1033" s="14" t="n"/>
      <c r="AM1033" s="14" t="n"/>
      <c r="AN1033" s="14" t="n"/>
      <c r="AO1033" s="14" t="n"/>
      <c r="AP1033" s="14" t="n"/>
      <c r="AQ1033" s="14" t="n"/>
      <c r="AR1033" s="14" t="n"/>
      <c r="AS1033" s="14" t="n"/>
      <c r="AT1033" s="14" t="n"/>
      <c r="AU1033" s="14" t="n"/>
      <c r="AV1033" s="14" t="n"/>
      <c r="AW1033" s="14" t="n"/>
      <c r="AX1033" s="14" t="n"/>
      <c r="AY1033" s="14" t="n"/>
      <c r="AZ1033" s="14" t="n"/>
      <c r="BA1033" s="14" t="n"/>
      <c r="BB1033" s="14" t="n"/>
      <c r="BC1033" s="14" t="n"/>
      <c r="BD1033" s="14" t="n"/>
      <c r="BE1033" s="14" t="n"/>
      <c r="BF1033" s="14" t="n"/>
      <c r="BG1033" s="14" t="n"/>
      <c r="BH1033" s="14" t="n"/>
      <c r="BI1033" s="14" t="n"/>
      <c r="BJ1033" s="14" t="n"/>
      <c r="BK1033" s="14" t="n"/>
      <c r="BL1033" s="14" t="n"/>
      <c r="BM1033" s="14" t="n"/>
      <c r="BN1033" s="14" t="n"/>
      <c r="BO1033" s="14" t="n"/>
      <c r="BP1033" s="14" t="n"/>
      <c r="BQ1033" s="14" t="n"/>
      <c r="BR1033" s="14" t="n"/>
      <c r="BS1033" s="14" t="n"/>
      <c r="BT1033" s="14" t="n"/>
      <c r="BU1033" s="14" t="n"/>
      <c r="BV1033" s="14" t="n"/>
      <c r="BW1033" s="14" t="n"/>
      <c r="BX1033" s="14" t="n"/>
      <c r="BY1033" s="14" t="n"/>
      <c r="BZ1033" s="14" t="n"/>
      <c r="CA1033" s="14" t="n"/>
      <c r="CB1033" s="14" t="n"/>
      <c r="CC1033" s="14" t="n"/>
      <c r="CD1033" s="14" t="n"/>
      <c r="CE1033" s="14" t="n"/>
      <c r="CF1033" s="14" t="n"/>
      <c r="CG1033" s="14" t="n"/>
      <c r="CH1033" s="14" t="n"/>
      <c r="CI1033" s="14" t="n"/>
      <c r="CJ1033" s="14" t="n"/>
      <c r="CK1033" s="14" t="n"/>
      <c r="CL1033" s="14" t="n"/>
      <c r="CM1033" s="14" t="n"/>
      <c r="CN1033" s="14" t="n"/>
      <c r="CO1033" s="14" t="n"/>
      <c r="CP1033" s="14" t="n"/>
      <c r="CQ1033" s="14" t="n"/>
      <c r="CR1033" s="14" t="n"/>
      <c r="CS1033" s="14" t="n"/>
      <c r="CT1033" s="14" t="n"/>
      <c r="CU1033" s="14" t="n"/>
      <c r="CV1033" s="14" t="n"/>
      <c r="CW1033" s="14" t="n"/>
      <c r="CX1033" s="14" t="n"/>
      <c r="CY1033" s="14" t="n"/>
      <c r="CZ1033" s="14" t="n"/>
      <c r="DA1033" s="14" t="n"/>
      <c r="DB1033" s="14" t="n"/>
      <c r="DC1033" s="14" t="n"/>
    </row>
    <row r="1034">
      <c r="B1034" t="inlineStr">
        <is>
          <t>Ester Film</t>
        </is>
      </c>
      <c r="C1034" t="inlineStr">
        <is>
          <t>No. of batches</t>
        </is>
      </c>
      <c r="D1034">
        <f>IFERROR(INDEX(PP_Grid[#Data],$DD1034,2),0)</f>
        <v/>
      </c>
      <c r="E1034">
        <f>IFERROR(INDEX(PP_Grid[#Data],$DD1034,3),0)</f>
        <v/>
      </c>
      <c r="F1034">
        <f>IFERROR(INDEX(PP_Grid[#Data],$DD1034,4),0)</f>
        <v/>
      </c>
      <c r="G1034">
        <f>IFERROR(INDEX(PP_Grid[#Data],$DD1034,5),0)</f>
        <v/>
      </c>
      <c r="H1034">
        <f>IFERROR(INDEX(PP_Grid[#Data],$DD1034,6),0)</f>
        <v/>
      </c>
      <c r="I1034">
        <f>IFERROR(INDEX(PP_Grid[#Data],$DD1034,7),0)</f>
        <v/>
      </c>
      <c r="J1034">
        <f>IFERROR(INDEX(PP_Grid[#Data],$DD1034,8),0)</f>
        <v/>
      </c>
      <c r="K1034">
        <f>IFERROR(INDEX(PP_Grid[#Data],$DD1034,9),0)</f>
        <v/>
      </c>
      <c r="L1034">
        <f>IFERROR(INDEX(PP_Grid[#Data],$DD1034,10),0)</f>
        <v/>
      </c>
      <c r="M1034">
        <f>IFERROR(INDEX(PP_Grid[#Data],$DD1034,11),0)</f>
        <v/>
      </c>
      <c r="N1034">
        <f>IFERROR(INDEX(PP_Grid[#Data],$DD1034,12),0)</f>
        <v/>
      </c>
      <c r="O1034">
        <f>IFERROR(INDEX(PP_Grid[#Data],$DD1034,13),0)</f>
        <v/>
      </c>
      <c r="P1034">
        <f>IFERROR(INDEX(PP_Grid[#Data],$DD1034,14),0)</f>
        <v/>
      </c>
      <c r="Q1034">
        <f>IFERROR(INDEX(PP_Grid[#Data],$DD1034,15),0)</f>
        <v/>
      </c>
      <c r="R1034">
        <f>IFERROR(INDEX(PP_Grid[#Data],$DD1034,16),0)</f>
        <v/>
      </c>
      <c r="S1034">
        <f>IFERROR(INDEX(PP_Grid[#Data],$DD1034,17),0)</f>
        <v/>
      </c>
      <c r="T1034">
        <f>IFERROR(INDEX(PP_Grid[#Data],$DD1034,18),0)</f>
        <v/>
      </c>
      <c r="U1034">
        <f>IFERROR(INDEX(PP_Grid[#Data],$DD1034,19),0)</f>
        <v/>
      </c>
      <c r="V1034">
        <f>IFERROR(INDEX(PP_Grid[#Data],$DD1034,20),0)</f>
        <v/>
      </c>
      <c r="W1034">
        <f>IFERROR(INDEX(PP_Grid[#Data],$DD1034,21),0)</f>
        <v/>
      </c>
      <c r="X1034">
        <f>IFERROR(INDEX(PP_Grid[#Data],$DD1034,22),0)</f>
        <v/>
      </c>
      <c r="Y1034">
        <f>IFERROR(INDEX(PP_Grid[#Data],$DD1034,23),0)</f>
        <v/>
      </c>
      <c r="Z1034">
        <f>IFERROR(INDEX(PP_Grid[#Data],$DD1034,24),0)</f>
        <v/>
      </c>
      <c r="AA1034">
        <f>IFERROR(INDEX(PP_Grid[#Data],$DD1034,25),0)</f>
        <v/>
      </c>
      <c r="AB1034">
        <f>IFERROR(INDEX(PP_Grid[#Data],$DD1034,26),0)</f>
        <v/>
      </c>
      <c r="AC1034">
        <f>IFERROR(INDEX(PP_Grid[#Data],$DD1034,27),0)</f>
        <v/>
      </c>
      <c r="AD1034">
        <f>IFERROR(INDEX(PP_Grid[#Data],$DD1034,28),0)</f>
        <v/>
      </c>
      <c r="AE1034">
        <f>IFERROR(INDEX(PP_Grid[#Data],$DD1034,29),0)</f>
        <v/>
      </c>
      <c r="AF1034">
        <f>IFERROR(INDEX(PP_Grid[#Data],$DD1034,30),0)</f>
        <v/>
      </c>
      <c r="AG1034">
        <f>IFERROR(INDEX(PP_Grid[#Data],$DD1034,31),0)</f>
        <v/>
      </c>
      <c r="AH1034">
        <f>IFERROR(INDEX(PP_Grid[#Data],$DD1034,32),0)</f>
        <v/>
      </c>
      <c r="AI1034">
        <f>IFERROR(INDEX(PP_Grid[#Data],$DD1034,33),0)</f>
        <v/>
      </c>
      <c r="AJ1034">
        <f>IFERROR(INDEX(PP_Grid[#Data],$DD1034,34),0)</f>
        <v/>
      </c>
      <c r="AK1034">
        <f>IFERROR(INDEX(PP_Grid[#Data],$DD1034,35),0)</f>
        <v/>
      </c>
      <c r="AL1034">
        <f>IFERROR(INDEX(PP_Grid[#Data],$DD1034,36),0)</f>
        <v/>
      </c>
      <c r="AM1034">
        <f>IFERROR(INDEX(PP_Grid[#Data],$DD1034,37),0)</f>
        <v/>
      </c>
      <c r="AN1034">
        <f>IFERROR(INDEX(PP_Grid[#Data],$DD1034,38),0)</f>
        <v/>
      </c>
      <c r="AO1034">
        <f>IFERROR(INDEX(PP_Grid[#Data],$DD1034,39),0)</f>
        <v/>
      </c>
      <c r="AP1034">
        <f>IFERROR(INDEX(PP_Grid[#Data],$DD1034,40),0)</f>
        <v/>
      </c>
      <c r="AQ1034">
        <f>IFERROR(INDEX(PP_Grid[#Data],$DD1034,41),0)</f>
        <v/>
      </c>
      <c r="AR1034">
        <f>IFERROR(INDEX(PP_Grid[#Data],$DD1034,42),0)</f>
        <v/>
      </c>
      <c r="AS1034">
        <f>IFERROR(INDEX(PP_Grid[#Data],$DD1034,43),0)</f>
        <v/>
      </c>
      <c r="AT1034">
        <f>IFERROR(INDEX(PP_Grid[#Data],$DD1034,44),0)</f>
        <v/>
      </c>
      <c r="AU1034">
        <f>IFERROR(INDEX(PP_Grid[#Data],$DD1034,45),0)</f>
        <v/>
      </c>
      <c r="AV1034">
        <f>IFERROR(INDEX(PP_Grid[#Data],$DD1034,46),0)</f>
        <v/>
      </c>
      <c r="AW1034">
        <f>IFERROR(INDEX(PP_Grid[#Data],$DD1034,47),0)</f>
        <v/>
      </c>
      <c r="AX1034">
        <f>IFERROR(INDEX(PP_Grid[#Data],$DD1034,48),0)</f>
        <v/>
      </c>
      <c r="AY1034">
        <f>IFERROR(INDEX(PP_Grid[#Data],$DD1034,49),0)</f>
        <v/>
      </c>
      <c r="AZ1034">
        <f>IFERROR(INDEX(PP_Grid[#Data],$DD1034,50),0)</f>
        <v/>
      </c>
      <c r="BA1034">
        <f>IFERROR(INDEX(PP_Grid[#Data],$DD1034,51),0)</f>
        <v/>
      </c>
      <c r="BB1034">
        <f>IFERROR(INDEX(PP_Grid[#Data],$DD1034,52),0)</f>
        <v/>
      </c>
      <c r="BC1034">
        <f>IFERROR(INDEX(PP_Grid[#Data],$DD1034,53),0)</f>
        <v/>
      </c>
      <c r="BD1034">
        <f>IFERROR(INDEX(PP_Grid[#Data],$DD1034,54),0)</f>
        <v/>
      </c>
      <c r="BE1034">
        <f>IFERROR(INDEX(PP_Grid[#Data],$DD1034,55),0)</f>
        <v/>
      </c>
      <c r="BF1034">
        <f>IFERROR(INDEX(PP_Grid[#Data],$DD1034,56),0)</f>
        <v/>
      </c>
      <c r="BG1034">
        <f>IFERROR(INDEX(PP_Grid[#Data],$DD1034,57),0)</f>
        <v/>
      </c>
      <c r="BH1034">
        <f>IFERROR(INDEX(PP_Grid[#Data],$DD1034,58),0)</f>
        <v/>
      </c>
      <c r="BI1034">
        <f>IFERROR(INDEX(PP_Grid[#Data],$DD1034,59),0)</f>
        <v/>
      </c>
      <c r="BJ1034">
        <f>IFERROR(INDEX(PP_Grid[#Data],$DD1034,60),0)</f>
        <v/>
      </c>
      <c r="BK1034">
        <f>IFERROR(INDEX(PP_Grid[#Data],$DD1034,61),0)</f>
        <v/>
      </c>
      <c r="BL1034">
        <f>IFERROR(INDEX(PP_Grid[#Data],$DD1034,62),0)</f>
        <v/>
      </c>
      <c r="BM1034">
        <f>IFERROR(INDEX(PP_Grid[#Data],$DD1034,63),0)</f>
        <v/>
      </c>
      <c r="BN1034">
        <f>IFERROR(INDEX(PP_Grid[#Data],$DD1034,64),0)</f>
        <v/>
      </c>
      <c r="BO1034">
        <f>IFERROR(INDEX(PP_Grid[#Data],$DD1034,65),0)</f>
        <v/>
      </c>
      <c r="BP1034">
        <f>IFERROR(INDEX(PP_Grid[#Data],$DD1034,66),0)</f>
        <v/>
      </c>
      <c r="BQ1034">
        <f>IFERROR(INDEX(PP_Grid[#Data],$DD1034,67),0)</f>
        <v/>
      </c>
      <c r="BR1034">
        <f>IFERROR(INDEX(PP_Grid[#Data],$DD1034,68),0)</f>
        <v/>
      </c>
      <c r="BS1034">
        <f>IFERROR(INDEX(PP_Grid[#Data],$DD1034,69),0)</f>
        <v/>
      </c>
      <c r="BT1034">
        <f>IFERROR(INDEX(PP_Grid[#Data],$DD1034,70),0)</f>
        <v/>
      </c>
      <c r="BU1034">
        <f>IFERROR(INDEX(PP_Grid[#Data],$DD1034,71),0)</f>
        <v/>
      </c>
      <c r="BV1034">
        <f>IFERROR(INDEX(PP_Grid[#Data],$DD1034,72),0)</f>
        <v/>
      </c>
      <c r="BW1034">
        <f>IFERROR(INDEX(PP_Grid[#Data],$DD1034,73),0)</f>
        <v/>
      </c>
      <c r="BX1034">
        <f>IFERROR(INDEX(PP_Grid[#Data],$DD1034,74),0)</f>
        <v/>
      </c>
      <c r="BY1034">
        <f>IFERROR(INDEX(PP_Grid[#Data],$DD1034,75),0)</f>
        <v/>
      </c>
      <c r="BZ1034">
        <f>IFERROR(INDEX(PP_Grid[#Data],$DD1034,76),0)</f>
        <v/>
      </c>
      <c r="CA1034">
        <f>IFERROR(INDEX(PP_Grid[#Data],$DD1034,77),0)</f>
        <v/>
      </c>
      <c r="CB1034">
        <f>IFERROR(INDEX(PP_Grid[#Data],$DD1034,78),0)</f>
        <v/>
      </c>
      <c r="CC1034">
        <f>IFERROR(INDEX(PP_Grid[#Data],$DD1034,79),0)</f>
        <v/>
      </c>
      <c r="CD1034">
        <f>IFERROR(INDEX(PP_Grid[#Data],$DD1034,80),0)</f>
        <v/>
      </c>
      <c r="CE1034">
        <f>IFERROR(INDEX(PP_Grid[#Data],$DD1034,81),0)</f>
        <v/>
      </c>
      <c r="CF1034">
        <f>IFERROR(INDEX(PP_Grid[#Data],$DD1034,82),0)</f>
        <v/>
      </c>
      <c r="CG1034">
        <f>IFERROR(INDEX(PP_Grid[#Data],$DD1034,83),0)</f>
        <v/>
      </c>
      <c r="CH1034">
        <f>IFERROR(INDEX(PP_Grid[#Data],$DD1034,84),0)</f>
        <v/>
      </c>
      <c r="CI1034">
        <f>IFERROR(INDEX(PP_Grid[#Data],$DD1034,85),0)</f>
        <v/>
      </c>
      <c r="CJ1034">
        <f>IFERROR(INDEX(PP_Grid[#Data],$DD1034,86),0)</f>
        <v/>
      </c>
      <c r="CK1034">
        <f>IFERROR(INDEX(PP_Grid[#Data],$DD1034,87),0)</f>
        <v/>
      </c>
      <c r="CL1034">
        <f>IFERROR(INDEX(PP_Grid[#Data],$DD1034,88),0)</f>
        <v/>
      </c>
      <c r="CM1034">
        <f>IFERROR(INDEX(PP_Grid[#Data],$DD1034,89),0)</f>
        <v/>
      </c>
      <c r="CN1034">
        <f>IFERROR(INDEX(PP_Grid[#Data],$DD1034,90),0)</f>
        <v/>
      </c>
      <c r="CO1034">
        <f>IFERROR(INDEX(PP_Grid[#Data],$DD1034,91),0)</f>
        <v/>
      </c>
      <c r="CP1034">
        <f>IFERROR(INDEX(PP_Grid[#Data],$DD1034,92),0)</f>
        <v/>
      </c>
      <c r="CQ1034">
        <f>IFERROR(INDEX(PP_Grid[#Data],$DD1034,93),0)</f>
        <v/>
      </c>
      <c r="CR1034">
        <f>IFERROR(INDEX(PP_Grid[#Data],$DD1034,94),0)</f>
        <v/>
      </c>
      <c r="CS1034">
        <f>IFERROR(INDEX(PP_Grid[#Data],$DD1034,95),0)</f>
        <v/>
      </c>
      <c r="CT1034">
        <f>IFERROR(INDEX(PP_Grid[#Data],$DD1034,96),0)</f>
        <v/>
      </c>
      <c r="CU1034">
        <f>IFERROR(INDEX(PP_Grid[#Data],$DD1034,97),0)</f>
        <v/>
      </c>
      <c r="CV1034">
        <f>IFERROR(INDEX(PP_Grid[#Data],$DD1034,98),0)</f>
        <v/>
      </c>
      <c r="CW1034">
        <f>IFERROR(INDEX(PP_Grid[#Data],$DD1034,99),0)</f>
        <v/>
      </c>
      <c r="CX1034">
        <f>IFERROR(INDEX(PP_Grid[#Data],$DD1034,100),0)</f>
        <v/>
      </c>
      <c r="CY1034">
        <f>IFERROR(INDEX(PP_Grid[#Data],$DD1034,101),0)</f>
        <v/>
      </c>
      <c r="CZ1034">
        <f>IFERROR(INDEX(PP_Grid[#Data],$DD1034,102),0)</f>
        <v/>
      </c>
      <c r="DA1034">
        <f>IFERROR(INDEX(PP_Grid[#Data],$DD1034,103),0)</f>
        <v/>
      </c>
      <c r="DB1034">
        <f>IFERROR(INDEX(PP_Grid[#Data],$DD1034,104),0)</f>
        <v/>
      </c>
      <c r="DC1034">
        <f>IFERROR(INDEX(PP_Grid[#Data],$DD1034,105),0)</f>
        <v/>
      </c>
      <c r="DD1034" s="7">
        <f>IFERROR(MATCH($B1034,PP_Grid[Intermediate],0),99999)</f>
        <v/>
      </c>
    </row>
    <row r="1035">
      <c r="B1035" t="inlineStr">
        <is>
          <t>使用量(kg)</t>
        </is>
      </c>
      <c r="C1035">
        <f>SUMIFS(M_BOM[RM_Qty_Per_Batch],M_BOM[Intermediate],$B1034,M_BOM[Part Name],$A1033)</f>
        <v/>
      </c>
      <c r="D1035">
        <f>$C1035*D1034</f>
        <v/>
      </c>
      <c r="E1035">
        <f>$C1035*E1034</f>
        <v/>
      </c>
      <c r="F1035">
        <f>$C1035*F1034</f>
        <v/>
      </c>
      <c r="G1035">
        <f>$C1035*G1034</f>
        <v/>
      </c>
      <c r="H1035">
        <f>$C1035*H1034</f>
        <v/>
      </c>
      <c r="I1035">
        <f>$C1035*I1034</f>
        <v/>
      </c>
      <c r="J1035">
        <f>$C1035*J1034</f>
        <v/>
      </c>
      <c r="K1035">
        <f>$C1035*K1034</f>
        <v/>
      </c>
      <c r="L1035">
        <f>$C1035*L1034</f>
        <v/>
      </c>
      <c r="M1035">
        <f>$C1035*M1034</f>
        <v/>
      </c>
      <c r="N1035">
        <f>$C1035*N1034</f>
        <v/>
      </c>
      <c r="O1035">
        <f>$C1035*O1034</f>
        <v/>
      </c>
      <c r="P1035">
        <f>$C1035*P1034</f>
        <v/>
      </c>
      <c r="Q1035">
        <f>$C1035*Q1034</f>
        <v/>
      </c>
      <c r="R1035">
        <f>$C1035*R1034</f>
        <v/>
      </c>
      <c r="S1035">
        <f>$C1035*S1034</f>
        <v/>
      </c>
      <c r="T1035">
        <f>$C1035*T1034</f>
        <v/>
      </c>
      <c r="U1035">
        <f>$C1035*U1034</f>
        <v/>
      </c>
      <c r="V1035">
        <f>$C1035*V1034</f>
        <v/>
      </c>
      <c r="W1035">
        <f>$C1035*W1034</f>
        <v/>
      </c>
      <c r="X1035">
        <f>$C1035*X1034</f>
        <v/>
      </c>
      <c r="Y1035">
        <f>$C1035*Y1034</f>
        <v/>
      </c>
      <c r="Z1035">
        <f>$C1035*Z1034</f>
        <v/>
      </c>
      <c r="AA1035">
        <f>$C1035*AA1034</f>
        <v/>
      </c>
      <c r="AB1035">
        <f>$C1035*AB1034</f>
        <v/>
      </c>
      <c r="AC1035">
        <f>$C1035*AC1034</f>
        <v/>
      </c>
      <c r="AD1035">
        <f>$C1035*AD1034</f>
        <v/>
      </c>
      <c r="AE1035">
        <f>$C1035*AE1034</f>
        <v/>
      </c>
      <c r="AF1035">
        <f>$C1035*AF1034</f>
        <v/>
      </c>
      <c r="AG1035">
        <f>$C1035*AG1034</f>
        <v/>
      </c>
      <c r="AH1035">
        <f>$C1035*AH1034</f>
        <v/>
      </c>
      <c r="AI1035">
        <f>$C1035*AI1034</f>
        <v/>
      </c>
      <c r="AJ1035">
        <f>$C1035*AJ1034</f>
        <v/>
      </c>
      <c r="AK1035">
        <f>$C1035*AK1034</f>
        <v/>
      </c>
      <c r="AL1035">
        <f>$C1035*AL1034</f>
        <v/>
      </c>
      <c r="AM1035">
        <f>$C1035*AM1034</f>
        <v/>
      </c>
      <c r="AN1035">
        <f>$C1035*AN1034</f>
        <v/>
      </c>
      <c r="AO1035">
        <f>$C1035*AO1034</f>
        <v/>
      </c>
      <c r="AP1035">
        <f>$C1035*AP1034</f>
        <v/>
      </c>
      <c r="AQ1035">
        <f>$C1035*AQ1034</f>
        <v/>
      </c>
      <c r="AR1035">
        <f>$C1035*AR1034</f>
        <v/>
      </c>
      <c r="AS1035">
        <f>$C1035*AS1034</f>
        <v/>
      </c>
      <c r="AT1035">
        <f>$C1035*AT1034</f>
        <v/>
      </c>
      <c r="AU1035">
        <f>$C1035*AU1034</f>
        <v/>
      </c>
      <c r="AV1035">
        <f>$C1035*AV1034</f>
        <v/>
      </c>
      <c r="AW1035">
        <f>$C1035*AW1034</f>
        <v/>
      </c>
      <c r="AX1035">
        <f>$C1035*AX1034</f>
        <v/>
      </c>
      <c r="AY1035">
        <f>$C1035*AY1034</f>
        <v/>
      </c>
      <c r="AZ1035">
        <f>$C1035*AZ1034</f>
        <v/>
      </c>
      <c r="BA1035">
        <f>$C1035*BA1034</f>
        <v/>
      </c>
      <c r="BB1035">
        <f>$C1035*BB1034</f>
        <v/>
      </c>
      <c r="BC1035">
        <f>$C1035*BC1034</f>
        <v/>
      </c>
      <c r="BD1035">
        <f>$C1035*BD1034</f>
        <v/>
      </c>
      <c r="BE1035">
        <f>$C1035*BE1034</f>
        <v/>
      </c>
      <c r="BF1035">
        <f>$C1035*BF1034</f>
        <v/>
      </c>
      <c r="BG1035">
        <f>$C1035*BG1034</f>
        <v/>
      </c>
      <c r="BH1035">
        <f>$C1035*BH1034</f>
        <v/>
      </c>
      <c r="BI1035">
        <f>$C1035*BI1034</f>
        <v/>
      </c>
      <c r="BJ1035">
        <f>$C1035*BJ1034</f>
        <v/>
      </c>
      <c r="BK1035">
        <f>$C1035*BK1034</f>
        <v/>
      </c>
      <c r="BL1035">
        <f>$C1035*BL1034</f>
        <v/>
      </c>
      <c r="BM1035">
        <f>$C1035*BM1034</f>
        <v/>
      </c>
      <c r="BN1035">
        <f>$C1035*BN1034</f>
        <v/>
      </c>
      <c r="BO1035">
        <f>$C1035*BO1034</f>
        <v/>
      </c>
      <c r="BP1035">
        <f>$C1035*BP1034</f>
        <v/>
      </c>
      <c r="BQ1035">
        <f>$C1035*BQ1034</f>
        <v/>
      </c>
      <c r="BR1035">
        <f>$C1035*BR1034</f>
        <v/>
      </c>
      <c r="BS1035">
        <f>$C1035*BS1034</f>
        <v/>
      </c>
      <c r="BT1035">
        <f>$C1035*BT1034</f>
        <v/>
      </c>
      <c r="BU1035">
        <f>$C1035*BU1034</f>
        <v/>
      </c>
      <c r="BV1035">
        <f>$C1035*BV1034</f>
        <v/>
      </c>
      <c r="BW1035">
        <f>$C1035*BW1034</f>
        <v/>
      </c>
      <c r="BX1035">
        <f>$C1035*BX1034</f>
        <v/>
      </c>
      <c r="BY1035">
        <f>$C1035*BY1034</f>
        <v/>
      </c>
      <c r="BZ1035">
        <f>$C1035*BZ1034</f>
        <v/>
      </c>
      <c r="CA1035">
        <f>$C1035*CA1034</f>
        <v/>
      </c>
      <c r="CB1035">
        <f>$C1035*CB1034</f>
        <v/>
      </c>
      <c r="CC1035">
        <f>$C1035*CC1034</f>
        <v/>
      </c>
      <c r="CD1035">
        <f>$C1035*CD1034</f>
        <v/>
      </c>
      <c r="CE1035">
        <f>$C1035*CE1034</f>
        <v/>
      </c>
      <c r="CF1035">
        <f>$C1035*CF1034</f>
        <v/>
      </c>
      <c r="CG1035">
        <f>$C1035*CG1034</f>
        <v/>
      </c>
      <c r="CH1035">
        <f>$C1035*CH1034</f>
        <v/>
      </c>
      <c r="CI1035">
        <f>$C1035*CI1034</f>
        <v/>
      </c>
      <c r="CJ1035">
        <f>$C1035*CJ1034</f>
        <v/>
      </c>
      <c r="CK1035">
        <f>$C1035*CK1034</f>
        <v/>
      </c>
      <c r="CL1035">
        <f>$C1035*CL1034</f>
        <v/>
      </c>
      <c r="CM1035">
        <f>$C1035*CM1034</f>
        <v/>
      </c>
      <c r="CN1035">
        <f>$C1035*CN1034</f>
        <v/>
      </c>
      <c r="CO1035">
        <f>$C1035*CO1034</f>
        <v/>
      </c>
      <c r="CP1035">
        <f>$C1035*CP1034</f>
        <v/>
      </c>
      <c r="CQ1035">
        <f>$C1035*CQ1034</f>
        <v/>
      </c>
      <c r="CR1035">
        <f>$C1035*CR1034</f>
        <v/>
      </c>
      <c r="CS1035">
        <f>$C1035*CS1034</f>
        <v/>
      </c>
      <c r="CT1035">
        <f>$C1035*CT1034</f>
        <v/>
      </c>
      <c r="CU1035">
        <f>$C1035*CU1034</f>
        <v/>
      </c>
      <c r="CV1035">
        <f>$C1035*CV1034</f>
        <v/>
      </c>
      <c r="CW1035">
        <f>$C1035*CW1034</f>
        <v/>
      </c>
      <c r="CX1035">
        <f>$C1035*CX1034</f>
        <v/>
      </c>
      <c r="CY1035">
        <f>$C1035*CY1034</f>
        <v/>
      </c>
      <c r="CZ1035">
        <f>$C1035*CZ1034</f>
        <v/>
      </c>
      <c r="DA1035">
        <f>$C1035*DA1034</f>
        <v/>
      </c>
      <c r="DB1035">
        <f>$C1035*DB1034</f>
        <v/>
      </c>
      <c r="DC1035">
        <f>$C1035*DC1034</f>
        <v/>
      </c>
    </row>
    <row r="1036">
      <c r="B1036" s="4" t="inlineStr">
        <is>
          <t>合計使用量(kg)/週</t>
        </is>
      </c>
      <c r="D1036">
        <f>'Grid_Requirement'!B38</f>
        <v/>
      </c>
      <c r="E1036">
        <f>'Grid_Requirement'!C38</f>
        <v/>
      </c>
      <c r="F1036">
        <f>'Grid_Requirement'!D38</f>
        <v/>
      </c>
      <c r="G1036">
        <f>'Grid_Requirement'!E38</f>
        <v/>
      </c>
      <c r="H1036">
        <f>'Grid_Requirement'!F38</f>
        <v/>
      </c>
      <c r="I1036">
        <f>'Grid_Requirement'!G38</f>
        <v/>
      </c>
      <c r="J1036">
        <f>'Grid_Requirement'!H38</f>
        <v/>
      </c>
      <c r="K1036">
        <f>'Grid_Requirement'!I38</f>
        <v/>
      </c>
      <c r="L1036">
        <f>'Grid_Requirement'!J38</f>
        <v/>
      </c>
      <c r="M1036">
        <f>'Grid_Requirement'!K38</f>
        <v/>
      </c>
      <c r="N1036">
        <f>'Grid_Requirement'!L38</f>
        <v/>
      </c>
      <c r="O1036">
        <f>'Grid_Requirement'!M38</f>
        <v/>
      </c>
      <c r="P1036">
        <f>'Grid_Requirement'!N38</f>
        <v/>
      </c>
      <c r="Q1036">
        <f>'Grid_Requirement'!O38</f>
        <v/>
      </c>
      <c r="R1036">
        <f>'Grid_Requirement'!P38</f>
        <v/>
      </c>
      <c r="S1036">
        <f>'Grid_Requirement'!Q38</f>
        <v/>
      </c>
      <c r="T1036">
        <f>'Grid_Requirement'!R38</f>
        <v/>
      </c>
      <c r="U1036">
        <f>'Grid_Requirement'!S38</f>
        <v/>
      </c>
      <c r="V1036">
        <f>'Grid_Requirement'!T38</f>
        <v/>
      </c>
      <c r="W1036">
        <f>'Grid_Requirement'!U38</f>
        <v/>
      </c>
      <c r="X1036">
        <f>'Grid_Requirement'!V38</f>
        <v/>
      </c>
      <c r="Y1036">
        <f>'Grid_Requirement'!W38</f>
        <v/>
      </c>
      <c r="Z1036">
        <f>'Grid_Requirement'!X38</f>
        <v/>
      </c>
      <c r="AA1036">
        <f>'Grid_Requirement'!Y38</f>
        <v/>
      </c>
      <c r="AB1036">
        <f>'Grid_Requirement'!Z38</f>
        <v/>
      </c>
      <c r="AC1036">
        <f>'Grid_Requirement'!AA38</f>
        <v/>
      </c>
      <c r="AD1036">
        <f>'Grid_Requirement'!AB38</f>
        <v/>
      </c>
      <c r="AE1036">
        <f>'Grid_Requirement'!AC38</f>
        <v/>
      </c>
      <c r="AF1036">
        <f>'Grid_Requirement'!AD38</f>
        <v/>
      </c>
      <c r="AG1036">
        <f>'Grid_Requirement'!AE38</f>
        <v/>
      </c>
      <c r="AH1036">
        <f>'Grid_Requirement'!AF38</f>
        <v/>
      </c>
      <c r="AI1036">
        <f>'Grid_Requirement'!AG38</f>
        <v/>
      </c>
      <c r="AJ1036">
        <f>'Grid_Requirement'!AH38</f>
        <v/>
      </c>
      <c r="AK1036">
        <f>'Grid_Requirement'!AI38</f>
        <v/>
      </c>
      <c r="AL1036">
        <f>'Grid_Requirement'!AJ38</f>
        <v/>
      </c>
      <c r="AM1036">
        <f>'Grid_Requirement'!AK38</f>
        <v/>
      </c>
      <c r="AN1036">
        <f>'Grid_Requirement'!AL38</f>
        <v/>
      </c>
      <c r="AO1036">
        <f>'Grid_Requirement'!AM38</f>
        <v/>
      </c>
      <c r="AP1036">
        <f>'Grid_Requirement'!AN38</f>
        <v/>
      </c>
      <c r="AQ1036">
        <f>'Grid_Requirement'!AO38</f>
        <v/>
      </c>
      <c r="AR1036">
        <f>'Grid_Requirement'!AP38</f>
        <v/>
      </c>
      <c r="AS1036">
        <f>'Grid_Requirement'!AQ38</f>
        <v/>
      </c>
      <c r="AT1036">
        <f>'Grid_Requirement'!AR38</f>
        <v/>
      </c>
      <c r="AU1036">
        <f>'Grid_Requirement'!AS38</f>
        <v/>
      </c>
      <c r="AV1036">
        <f>'Grid_Requirement'!AT38</f>
        <v/>
      </c>
      <c r="AW1036">
        <f>'Grid_Requirement'!AU38</f>
        <v/>
      </c>
      <c r="AX1036">
        <f>'Grid_Requirement'!AV38</f>
        <v/>
      </c>
      <c r="AY1036">
        <f>'Grid_Requirement'!AW38</f>
        <v/>
      </c>
      <c r="AZ1036">
        <f>'Grid_Requirement'!AX38</f>
        <v/>
      </c>
      <c r="BA1036">
        <f>'Grid_Requirement'!AY38</f>
        <v/>
      </c>
      <c r="BB1036">
        <f>'Grid_Requirement'!AZ38</f>
        <v/>
      </c>
      <c r="BC1036">
        <f>'Grid_Requirement'!BA38</f>
        <v/>
      </c>
      <c r="BD1036">
        <f>'Grid_Requirement'!BB38</f>
        <v/>
      </c>
      <c r="BE1036">
        <f>'Grid_Requirement'!BC38</f>
        <v/>
      </c>
      <c r="BF1036">
        <f>'Grid_Requirement'!BD38</f>
        <v/>
      </c>
      <c r="BG1036">
        <f>'Grid_Requirement'!BE38</f>
        <v/>
      </c>
      <c r="BH1036">
        <f>'Grid_Requirement'!BF38</f>
        <v/>
      </c>
      <c r="BI1036">
        <f>'Grid_Requirement'!BG38</f>
        <v/>
      </c>
      <c r="BJ1036">
        <f>'Grid_Requirement'!BH38</f>
        <v/>
      </c>
      <c r="BK1036">
        <f>'Grid_Requirement'!BI38</f>
        <v/>
      </c>
      <c r="BL1036">
        <f>'Grid_Requirement'!BJ38</f>
        <v/>
      </c>
      <c r="BM1036">
        <f>'Grid_Requirement'!BK38</f>
        <v/>
      </c>
      <c r="BN1036">
        <f>'Grid_Requirement'!BL38</f>
        <v/>
      </c>
      <c r="BO1036">
        <f>'Grid_Requirement'!BM38</f>
        <v/>
      </c>
      <c r="BP1036">
        <f>'Grid_Requirement'!BN38</f>
        <v/>
      </c>
      <c r="BQ1036">
        <f>'Grid_Requirement'!BO38</f>
        <v/>
      </c>
      <c r="BR1036">
        <f>'Grid_Requirement'!BP38</f>
        <v/>
      </c>
      <c r="BS1036">
        <f>'Grid_Requirement'!BQ38</f>
        <v/>
      </c>
      <c r="BT1036">
        <f>'Grid_Requirement'!BR38</f>
        <v/>
      </c>
      <c r="BU1036">
        <f>'Grid_Requirement'!BS38</f>
        <v/>
      </c>
      <c r="BV1036">
        <f>'Grid_Requirement'!BT38</f>
        <v/>
      </c>
      <c r="BW1036">
        <f>'Grid_Requirement'!BU38</f>
        <v/>
      </c>
      <c r="BX1036">
        <f>'Grid_Requirement'!BV38</f>
        <v/>
      </c>
      <c r="BY1036">
        <f>'Grid_Requirement'!BW38</f>
        <v/>
      </c>
      <c r="BZ1036">
        <f>'Grid_Requirement'!BX38</f>
        <v/>
      </c>
      <c r="CA1036">
        <f>'Grid_Requirement'!BY38</f>
        <v/>
      </c>
      <c r="CB1036">
        <f>'Grid_Requirement'!BZ38</f>
        <v/>
      </c>
      <c r="CC1036">
        <f>'Grid_Requirement'!CA38</f>
        <v/>
      </c>
      <c r="CD1036">
        <f>'Grid_Requirement'!CB38</f>
        <v/>
      </c>
      <c r="CE1036">
        <f>'Grid_Requirement'!CC38</f>
        <v/>
      </c>
      <c r="CF1036">
        <f>'Grid_Requirement'!CD38</f>
        <v/>
      </c>
      <c r="CG1036">
        <f>'Grid_Requirement'!CE38</f>
        <v/>
      </c>
      <c r="CH1036">
        <f>'Grid_Requirement'!CF38</f>
        <v/>
      </c>
      <c r="CI1036">
        <f>'Grid_Requirement'!CG38</f>
        <v/>
      </c>
      <c r="CJ1036">
        <f>'Grid_Requirement'!CH38</f>
        <v/>
      </c>
      <c r="CK1036">
        <f>'Grid_Requirement'!CI38</f>
        <v/>
      </c>
      <c r="CL1036">
        <f>'Grid_Requirement'!CJ38</f>
        <v/>
      </c>
      <c r="CM1036">
        <f>'Grid_Requirement'!CK38</f>
        <v/>
      </c>
      <c r="CN1036">
        <f>'Grid_Requirement'!CL38</f>
        <v/>
      </c>
      <c r="CO1036">
        <f>'Grid_Requirement'!CM38</f>
        <v/>
      </c>
      <c r="CP1036">
        <f>'Grid_Requirement'!CN38</f>
        <v/>
      </c>
      <c r="CQ1036">
        <f>'Grid_Requirement'!CO38</f>
        <v/>
      </c>
      <c r="CR1036">
        <f>'Grid_Requirement'!CP38</f>
        <v/>
      </c>
      <c r="CS1036">
        <f>'Grid_Requirement'!CQ38</f>
        <v/>
      </c>
      <c r="CT1036">
        <f>'Grid_Requirement'!CR38</f>
        <v/>
      </c>
      <c r="CU1036">
        <f>'Grid_Requirement'!CS38</f>
        <v/>
      </c>
      <c r="CV1036">
        <f>'Grid_Requirement'!CT38</f>
        <v/>
      </c>
      <c r="CW1036">
        <f>'Grid_Requirement'!CU38</f>
        <v/>
      </c>
      <c r="CX1036">
        <f>'Grid_Requirement'!CV38</f>
        <v/>
      </c>
      <c r="CY1036">
        <f>'Grid_Requirement'!CW38</f>
        <v/>
      </c>
      <c r="CZ1036">
        <f>'Grid_Requirement'!CX38</f>
        <v/>
      </c>
      <c r="DA1036">
        <f>'Grid_Requirement'!CY38</f>
        <v/>
      </c>
      <c r="DB1036">
        <f>'Grid_Requirement'!CZ38</f>
        <v/>
      </c>
      <c r="DC1036">
        <f>'Grid_Requirement'!DA38</f>
        <v/>
      </c>
    </row>
    <row r="1037">
      <c r="B1037" t="inlineStr">
        <is>
          <t>TTAF在庫(実績,kg)</t>
        </is>
      </c>
      <c r="D1037">
        <f>'T_TTAFStock'!B42</f>
        <v/>
      </c>
      <c r="E1037">
        <f>'T_TTAFStock'!C42</f>
        <v/>
      </c>
      <c r="F1037">
        <f>'T_TTAFStock'!D42</f>
        <v/>
      </c>
      <c r="G1037">
        <f>'T_TTAFStock'!E42</f>
        <v/>
      </c>
      <c r="H1037">
        <f>'T_TTAFStock'!F42</f>
        <v/>
      </c>
      <c r="I1037">
        <f>'T_TTAFStock'!G42</f>
        <v/>
      </c>
      <c r="J1037">
        <f>'T_TTAFStock'!H42</f>
        <v/>
      </c>
      <c r="K1037">
        <f>'T_TTAFStock'!I42</f>
        <v/>
      </c>
      <c r="L1037">
        <f>'T_TTAFStock'!J42</f>
        <v/>
      </c>
      <c r="M1037">
        <f>'T_TTAFStock'!K42</f>
        <v/>
      </c>
      <c r="N1037">
        <f>'T_TTAFStock'!L42</f>
        <v/>
      </c>
      <c r="O1037">
        <f>'T_TTAFStock'!M42</f>
        <v/>
      </c>
      <c r="P1037">
        <f>'T_TTAFStock'!N42</f>
        <v/>
      </c>
      <c r="Q1037">
        <f>'T_TTAFStock'!O42</f>
        <v/>
      </c>
      <c r="R1037">
        <f>'T_TTAFStock'!P42</f>
        <v/>
      </c>
      <c r="S1037">
        <f>'T_TTAFStock'!Q42</f>
        <v/>
      </c>
      <c r="T1037">
        <f>'T_TTAFStock'!R42</f>
        <v/>
      </c>
      <c r="U1037">
        <f>'T_TTAFStock'!S42</f>
        <v/>
      </c>
      <c r="V1037">
        <f>'T_TTAFStock'!T42</f>
        <v/>
      </c>
      <c r="W1037">
        <f>'T_TTAFStock'!U42</f>
        <v/>
      </c>
      <c r="X1037">
        <f>'T_TTAFStock'!V42</f>
        <v/>
      </c>
      <c r="Y1037">
        <f>'T_TTAFStock'!W42</f>
        <v/>
      </c>
      <c r="Z1037">
        <f>'T_TTAFStock'!X42</f>
        <v/>
      </c>
      <c r="AA1037">
        <f>'T_TTAFStock'!Y42</f>
        <v/>
      </c>
      <c r="AB1037">
        <f>'T_TTAFStock'!Z42</f>
        <v/>
      </c>
      <c r="AC1037">
        <f>'T_TTAFStock'!AA42</f>
        <v/>
      </c>
      <c r="AD1037">
        <f>'T_TTAFStock'!AB42</f>
        <v/>
      </c>
      <c r="AE1037">
        <f>'T_TTAFStock'!AC42</f>
        <v/>
      </c>
      <c r="AF1037">
        <f>'T_TTAFStock'!AD42</f>
        <v/>
      </c>
      <c r="AG1037">
        <f>'T_TTAFStock'!AE42</f>
        <v/>
      </c>
      <c r="AH1037">
        <f>'T_TTAFStock'!AF42</f>
        <v/>
      </c>
      <c r="AI1037">
        <f>'T_TTAFStock'!AG42</f>
        <v/>
      </c>
      <c r="AJ1037">
        <f>'T_TTAFStock'!AH42</f>
        <v/>
      </c>
      <c r="AK1037">
        <f>'T_TTAFStock'!AI42</f>
        <v/>
      </c>
      <c r="AL1037">
        <f>'T_TTAFStock'!AJ42</f>
        <v/>
      </c>
      <c r="AM1037">
        <f>'T_TTAFStock'!AK42</f>
        <v/>
      </c>
      <c r="AN1037">
        <f>'T_TTAFStock'!AL42</f>
        <v/>
      </c>
      <c r="AO1037">
        <f>'T_TTAFStock'!AM42</f>
        <v/>
      </c>
      <c r="AP1037">
        <f>'T_TTAFStock'!AN42</f>
        <v/>
      </c>
      <c r="AQ1037">
        <f>'T_TTAFStock'!AO42</f>
        <v/>
      </c>
      <c r="AR1037">
        <f>'T_TTAFStock'!AP42</f>
        <v/>
      </c>
      <c r="AS1037">
        <f>'T_TTAFStock'!AQ42</f>
        <v/>
      </c>
      <c r="AT1037">
        <f>'T_TTAFStock'!AR42</f>
        <v/>
      </c>
      <c r="AU1037">
        <f>'T_TTAFStock'!AS42</f>
        <v/>
      </c>
      <c r="AV1037">
        <f>'T_TTAFStock'!AT42</f>
        <v/>
      </c>
      <c r="AW1037">
        <f>'T_TTAFStock'!AU42</f>
        <v/>
      </c>
      <c r="AX1037">
        <f>'T_TTAFStock'!AV42</f>
        <v/>
      </c>
      <c r="AY1037">
        <f>'T_TTAFStock'!AW42</f>
        <v/>
      </c>
      <c r="AZ1037">
        <f>'T_TTAFStock'!AX42</f>
        <v/>
      </c>
      <c r="BA1037">
        <f>'T_TTAFStock'!AY42</f>
        <v/>
      </c>
      <c r="BB1037">
        <f>'T_TTAFStock'!AZ42</f>
        <v/>
      </c>
      <c r="BC1037">
        <f>'T_TTAFStock'!BA42</f>
        <v/>
      </c>
      <c r="BD1037">
        <f>'T_TTAFStock'!BB42</f>
        <v/>
      </c>
      <c r="BE1037">
        <f>'T_TTAFStock'!BC42</f>
        <v/>
      </c>
      <c r="BF1037">
        <f>'T_TTAFStock'!BD42</f>
        <v/>
      </c>
      <c r="BG1037">
        <f>'T_TTAFStock'!BE42</f>
        <v/>
      </c>
      <c r="BH1037">
        <f>'T_TTAFStock'!BF42</f>
        <v/>
      </c>
      <c r="BI1037">
        <f>'T_TTAFStock'!BG42</f>
        <v/>
      </c>
      <c r="BJ1037">
        <f>'T_TTAFStock'!BH42</f>
        <v/>
      </c>
      <c r="BK1037">
        <f>'T_TTAFStock'!BI42</f>
        <v/>
      </c>
      <c r="BL1037">
        <f>'T_TTAFStock'!BJ42</f>
        <v/>
      </c>
      <c r="BM1037">
        <f>'T_TTAFStock'!BK42</f>
        <v/>
      </c>
      <c r="BN1037">
        <f>'T_TTAFStock'!BL42</f>
        <v/>
      </c>
      <c r="BO1037">
        <f>'T_TTAFStock'!BM42</f>
        <v/>
      </c>
      <c r="BP1037">
        <f>'T_TTAFStock'!BN42</f>
        <v/>
      </c>
      <c r="BQ1037">
        <f>'T_TTAFStock'!BO42</f>
        <v/>
      </c>
      <c r="BR1037">
        <f>'T_TTAFStock'!BP42</f>
        <v/>
      </c>
      <c r="BS1037">
        <f>'T_TTAFStock'!BQ42</f>
        <v/>
      </c>
      <c r="BT1037">
        <f>'T_TTAFStock'!BR42</f>
        <v/>
      </c>
      <c r="BU1037">
        <f>'T_TTAFStock'!BS42</f>
        <v/>
      </c>
      <c r="BV1037">
        <f>'T_TTAFStock'!BT42</f>
        <v/>
      </c>
      <c r="BW1037">
        <f>'T_TTAFStock'!BU42</f>
        <v/>
      </c>
      <c r="BX1037">
        <f>'T_TTAFStock'!BV42</f>
        <v/>
      </c>
      <c r="BY1037">
        <f>'T_TTAFStock'!BW42</f>
        <v/>
      </c>
      <c r="BZ1037">
        <f>'T_TTAFStock'!BX42</f>
        <v/>
      </c>
      <c r="CA1037">
        <f>'T_TTAFStock'!BY42</f>
        <v/>
      </c>
      <c r="CB1037">
        <f>'T_TTAFStock'!BZ42</f>
        <v/>
      </c>
      <c r="CC1037">
        <f>'T_TTAFStock'!CA42</f>
        <v/>
      </c>
      <c r="CD1037">
        <f>'T_TTAFStock'!CB42</f>
        <v/>
      </c>
      <c r="CE1037">
        <f>'T_TTAFStock'!CC42</f>
        <v/>
      </c>
      <c r="CF1037">
        <f>'T_TTAFStock'!CD42</f>
        <v/>
      </c>
      <c r="CG1037">
        <f>'T_TTAFStock'!CE42</f>
        <v/>
      </c>
      <c r="CH1037">
        <f>'T_TTAFStock'!CF42</f>
        <v/>
      </c>
      <c r="CI1037">
        <f>'T_TTAFStock'!CG42</f>
        <v/>
      </c>
      <c r="CJ1037">
        <f>'T_TTAFStock'!CH42</f>
        <v/>
      </c>
      <c r="CK1037">
        <f>'T_TTAFStock'!CI42</f>
        <v/>
      </c>
      <c r="CL1037">
        <f>'T_TTAFStock'!CJ42</f>
        <v/>
      </c>
      <c r="CM1037">
        <f>'T_TTAFStock'!CK42</f>
        <v/>
      </c>
      <c r="CN1037">
        <f>'T_TTAFStock'!CL42</f>
        <v/>
      </c>
      <c r="CO1037">
        <f>'T_TTAFStock'!CM42</f>
        <v/>
      </c>
      <c r="CP1037">
        <f>'T_TTAFStock'!CN42</f>
        <v/>
      </c>
      <c r="CQ1037">
        <f>'T_TTAFStock'!CO42</f>
        <v/>
      </c>
      <c r="CR1037">
        <f>'T_TTAFStock'!CP42</f>
        <v/>
      </c>
      <c r="CS1037">
        <f>'T_TTAFStock'!CQ42</f>
        <v/>
      </c>
      <c r="CT1037">
        <f>'T_TTAFStock'!CR42</f>
        <v/>
      </c>
      <c r="CU1037">
        <f>'T_TTAFStock'!CS42</f>
        <v/>
      </c>
      <c r="CV1037">
        <f>'T_TTAFStock'!CT42</f>
        <v/>
      </c>
      <c r="CW1037">
        <f>'T_TTAFStock'!CU42</f>
        <v/>
      </c>
      <c r="CX1037">
        <f>'T_TTAFStock'!CV42</f>
        <v/>
      </c>
      <c r="CY1037">
        <f>'T_TTAFStock'!CW42</f>
        <v/>
      </c>
      <c r="CZ1037">
        <f>'T_TTAFStock'!CX42</f>
        <v/>
      </c>
      <c r="DA1037">
        <f>'T_TTAFStock'!CY42</f>
        <v/>
      </c>
      <c r="DB1037">
        <f>'T_TTAFStock'!CZ42</f>
        <v/>
      </c>
      <c r="DC1037">
        <f>'T_TTAFStock'!DA42</f>
        <v/>
      </c>
    </row>
    <row r="1038">
      <c r="B1038" t="inlineStr">
        <is>
          <t>自社在庫(実績,kg)</t>
        </is>
      </c>
      <c r="D1038">
        <f>'T_SelfStock'!B42</f>
        <v/>
      </c>
      <c r="E1038">
        <f>'T_SelfStock'!C42</f>
        <v/>
      </c>
      <c r="F1038">
        <f>'T_SelfStock'!D42</f>
        <v/>
      </c>
      <c r="G1038">
        <f>'T_SelfStock'!E42</f>
        <v/>
      </c>
      <c r="H1038">
        <f>'T_SelfStock'!F42</f>
        <v/>
      </c>
      <c r="I1038">
        <f>'T_SelfStock'!G42</f>
        <v/>
      </c>
      <c r="J1038">
        <f>'T_SelfStock'!H42</f>
        <v/>
      </c>
      <c r="K1038">
        <f>'T_SelfStock'!I42</f>
        <v/>
      </c>
      <c r="L1038">
        <f>'T_SelfStock'!J42</f>
        <v/>
      </c>
      <c r="M1038">
        <f>'T_SelfStock'!K42</f>
        <v/>
      </c>
      <c r="N1038">
        <f>'T_SelfStock'!L42</f>
        <v/>
      </c>
      <c r="O1038">
        <f>'T_SelfStock'!M42</f>
        <v/>
      </c>
      <c r="P1038">
        <f>'T_SelfStock'!N42</f>
        <v/>
      </c>
      <c r="Q1038">
        <f>'T_SelfStock'!O42</f>
        <v/>
      </c>
      <c r="R1038">
        <f>'T_SelfStock'!P42</f>
        <v/>
      </c>
      <c r="S1038">
        <f>'T_SelfStock'!Q42</f>
        <v/>
      </c>
      <c r="T1038">
        <f>'T_SelfStock'!R42</f>
        <v/>
      </c>
      <c r="U1038">
        <f>'T_SelfStock'!S42</f>
        <v/>
      </c>
      <c r="V1038">
        <f>'T_SelfStock'!T42</f>
        <v/>
      </c>
      <c r="W1038">
        <f>'T_SelfStock'!U42</f>
        <v/>
      </c>
      <c r="X1038">
        <f>'T_SelfStock'!V42</f>
        <v/>
      </c>
      <c r="Y1038">
        <f>'T_SelfStock'!W42</f>
        <v/>
      </c>
      <c r="Z1038">
        <f>'T_SelfStock'!X42</f>
        <v/>
      </c>
      <c r="AA1038">
        <f>'T_SelfStock'!Y42</f>
        <v/>
      </c>
      <c r="AB1038">
        <f>'T_SelfStock'!Z42</f>
        <v/>
      </c>
      <c r="AC1038">
        <f>'T_SelfStock'!AA42</f>
        <v/>
      </c>
      <c r="AD1038">
        <f>'T_SelfStock'!AB42</f>
        <v/>
      </c>
      <c r="AE1038">
        <f>'T_SelfStock'!AC42</f>
        <v/>
      </c>
      <c r="AF1038">
        <f>'T_SelfStock'!AD42</f>
        <v/>
      </c>
      <c r="AG1038">
        <f>'T_SelfStock'!AE42</f>
        <v/>
      </c>
      <c r="AH1038">
        <f>'T_SelfStock'!AF42</f>
        <v/>
      </c>
      <c r="AI1038">
        <f>'T_SelfStock'!AG42</f>
        <v/>
      </c>
      <c r="AJ1038">
        <f>'T_SelfStock'!AH42</f>
        <v/>
      </c>
      <c r="AK1038">
        <f>'T_SelfStock'!AI42</f>
        <v/>
      </c>
      <c r="AL1038">
        <f>'T_SelfStock'!AJ42</f>
        <v/>
      </c>
      <c r="AM1038">
        <f>'T_SelfStock'!AK42</f>
        <v/>
      </c>
      <c r="AN1038">
        <f>'T_SelfStock'!AL42</f>
        <v/>
      </c>
      <c r="AO1038">
        <f>'T_SelfStock'!AM42</f>
        <v/>
      </c>
      <c r="AP1038">
        <f>'T_SelfStock'!AN42</f>
        <v/>
      </c>
      <c r="AQ1038">
        <f>'T_SelfStock'!AO42</f>
        <v/>
      </c>
      <c r="AR1038">
        <f>'T_SelfStock'!AP42</f>
        <v/>
      </c>
      <c r="AS1038">
        <f>'T_SelfStock'!AQ42</f>
        <v/>
      </c>
      <c r="AT1038">
        <f>'T_SelfStock'!AR42</f>
        <v/>
      </c>
      <c r="AU1038">
        <f>'T_SelfStock'!AS42</f>
        <v/>
      </c>
      <c r="AV1038">
        <f>'T_SelfStock'!AT42</f>
        <v/>
      </c>
      <c r="AW1038">
        <f>'T_SelfStock'!AU42</f>
        <v/>
      </c>
      <c r="AX1038">
        <f>'T_SelfStock'!AV42</f>
        <v/>
      </c>
      <c r="AY1038">
        <f>'T_SelfStock'!AW42</f>
        <v/>
      </c>
      <c r="AZ1038">
        <f>'T_SelfStock'!AX42</f>
        <v/>
      </c>
      <c r="BA1038">
        <f>'T_SelfStock'!AY42</f>
        <v/>
      </c>
      <c r="BB1038">
        <f>'T_SelfStock'!AZ42</f>
        <v/>
      </c>
      <c r="BC1038">
        <f>'T_SelfStock'!BA42</f>
        <v/>
      </c>
      <c r="BD1038">
        <f>'T_SelfStock'!BB42</f>
        <v/>
      </c>
      <c r="BE1038">
        <f>'T_SelfStock'!BC42</f>
        <v/>
      </c>
      <c r="BF1038">
        <f>'T_SelfStock'!BD42</f>
        <v/>
      </c>
      <c r="BG1038">
        <f>'T_SelfStock'!BE42</f>
        <v/>
      </c>
      <c r="BH1038">
        <f>'T_SelfStock'!BF42</f>
        <v/>
      </c>
      <c r="BI1038">
        <f>'T_SelfStock'!BG42</f>
        <v/>
      </c>
      <c r="BJ1038">
        <f>'T_SelfStock'!BH42</f>
        <v/>
      </c>
      <c r="BK1038">
        <f>'T_SelfStock'!BI42</f>
        <v/>
      </c>
      <c r="BL1038">
        <f>'T_SelfStock'!BJ42</f>
        <v/>
      </c>
      <c r="BM1038">
        <f>'T_SelfStock'!BK42</f>
        <v/>
      </c>
      <c r="BN1038">
        <f>'T_SelfStock'!BL42</f>
        <v/>
      </c>
      <c r="BO1038">
        <f>'T_SelfStock'!BM42</f>
        <v/>
      </c>
      <c r="BP1038">
        <f>'T_SelfStock'!BN42</f>
        <v/>
      </c>
      <c r="BQ1038">
        <f>'T_SelfStock'!BO42</f>
        <v/>
      </c>
      <c r="BR1038">
        <f>'T_SelfStock'!BP42</f>
        <v/>
      </c>
      <c r="BS1038">
        <f>'T_SelfStock'!BQ42</f>
        <v/>
      </c>
      <c r="BT1038">
        <f>'T_SelfStock'!BR42</f>
        <v/>
      </c>
      <c r="BU1038">
        <f>'T_SelfStock'!BS42</f>
        <v/>
      </c>
      <c r="BV1038">
        <f>'T_SelfStock'!BT42</f>
        <v/>
      </c>
      <c r="BW1038">
        <f>'T_SelfStock'!BU42</f>
        <v/>
      </c>
      <c r="BX1038">
        <f>'T_SelfStock'!BV42</f>
        <v/>
      </c>
      <c r="BY1038">
        <f>'T_SelfStock'!BW42</f>
        <v/>
      </c>
      <c r="BZ1038">
        <f>'T_SelfStock'!BX42</f>
        <v/>
      </c>
      <c r="CA1038">
        <f>'T_SelfStock'!BY42</f>
        <v/>
      </c>
      <c r="CB1038">
        <f>'T_SelfStock'!BZ42</f>
        <v/>
      </c>
      <c r="CC1038">
        <f>'T_SelfStock'!CA42</f>
        <v/>
      </c>
      <c r="CD1038">
        <f>'T_SelfStock'!CB42</f>
        <v/>
      </c>
      <c r="CE1038">
        <f>'T_SelfStock'!CC42</f>
        <v/>
      </c>
      <c r="CF1038">
        <f>'T_SelfStock'!CD42</f>
        <v/>
      </c>
      <c r="CG1038">
        <f>'T_SelfStock'!CE42</f>
        <v/>
      </c>
      <c r="CH1038">
        <f>'T_SelfStock'!CF42</f>
        <v/>
      </c>
      <c r="CI1038">
        <f>'T_SelfStock'!CG42</f>
        <v/>
      </c>
      <c r="CJ1038">
        <f>'T_SelfStock'!CH42</f>
        <v/>
      </c>
      <c r="CK1038">
        <f>'T_SelfStock'!CI42</f>
        <v/>
      </c>
      <c r="CL1038">
        <f>'T_SelfStock'!CJ42</f>
        <v/>
      </c>
      <c r="CM1038">
        <f>'T_SelfStock'!CK42</f>
        <v/>
      </c>
      <c r="CN1038">
        <f>'T_SelfStock'!CL42</f>
        <v/>
      </c>
      <c r="CO1038">
        <f>'T_SelfStock'!CM42</f>
        <v/>
      </c>
      <c r="CP1038">
        <f>'T_SelfStock'!CN42</f>
        <v/>
      </c>
      <c r="CQ1038">
        <f>'T_SelfStock'!CO42</f>
        <v/>
      </c>
      <c r="CR1038">
        <f>'T_SelfStock'!CP42</f>
        <v/>
      </c>
      <c r="CS1038">
        <f>'T_SelfStock'!CQ42</f>
        <v/>
      </c>
      <c r="CT1038">
        <f>'T_SelfStock'!CR42</f>
        <v/>
      </c>
      <c r="CU1038">
        <f>'T_SelfStock'!CS42</f>
        <v/>
      </c>
      <c r="CV1038">
        <f>'T_SelfStock'!CT42</f>
        <v/>
      </c>
      <c r="CW1038">
        <f>'T_SelfStock'!CU42</f>
        <v/>
      </c>
      <c r="CX1038">
        <f>'T_SelfStock'!CV42</f>
        <v/>
      </c>
      <c r="CY1038">
        <f>'T_SelfStock'!CW42</f>
        <v/>
      </c>
      <c r="CZ1038">
        <f>'T_SelfStock'!CX42</f>
        <v/>
      </c>
      <c r="DA1038">
        <f>'T_SelfStock'!CY42</f>
        <v/>
      </c>
      <c r="DB1038">
        <f>'T_SelfStock'!CZ42</f>
        <v/>
      </c>
      <c r="DC1038">
        <f>'T_SelfStock'!DA42</f>
        <v/>
      </c>
    </row>
    <row r="1039">
      <c r="B1039" s="4" t="inlineStr">
        <is>
          <t>合計在庫(週末時点,kg)</t>
        </is>
      </c>
      <c r="D1039">
        <f>'Grid_Stock'!B38</f>
        <v/>
      </c>
      <c r="E1039">
        <f>'Grid_Stock'!C38</f>
        <v/>
      </c>
      <c r="F1039">
        <f>'Grid_Stock'!D38</f>
        <v/>
      </c>
      <c r="G1039">
        <f>'Grid_Stock'!E38</f>
        <v/>
      </c>
      <c r="H1039">
        <f>'Grid_Stock'!F38</f>
        <v/>
      </c>
      <c r="I1039">
        <f>'Grid_Stock'!G38</f>
        <v/>
      </c>
      <c r="J1039">
        <f>'Grid_Stock'!H38</f>
        <v/>
      </c>
      <c r="K1039">
        <f>'Grid_Stock'!I38</f>
        <v/>
      </c>
      <c r="L1039">
        <f>'Grid_Stock'!J38</f>
        <v/>
      </c>
      <c r="M1039">
        <f>'Grid_Stock'!K38</f>
        <v/>
      </c>
      <c r="N1039">
        <f>'Grid_Stock'!L38</f>
        <v/>
      </c>
      <c r="O1039">
        <f>'Grid_Stock'!M38</f>
        <v/>
      </c>
      <c r="P1039">
        <f>'Grid_Stock'!N38</f>
        <v/>
      </c>
      <c r="Q1039">
        <f>'Grid_Stock'!O38</f>
        <v/>
      </c>
      <c r="R1039">
        <f>'Grid_Stock'!P38</f>
        <v/>
      </c>
      <c r="S1039">
        <f>'Grid_Stock'!Q38</f>
        <v/>
      </c>
      <c r="T1039">
        <f>'Grid_Stock'!R38</f>
        <v/>
      </c>
      <c r="U1039">
        <f>'Grid_Stock'!S38</f>
        <v/>
      </c>
      <c r="V1039">
        <f>'Grid_Stock'!T38</f>
        <v/>
      </c>
      <c r="W1039">
        <f>'Grid_Stock'!U38</f>
        <v/>
      </c>
      <c r="X1039">
        <f>'Grid_Stock'!V38</f>
        <v/>
      </c>
      <c r="Y1039">
        <f>'Grid_Stock'!W38</f>
        <v/>
      </c>
      <c r="Z1039">
        <f>'Grid_Stock'!X38</f>
        <v/>
      </c>
      <c r="AA1039">
        <f>'Grid_Stock'!Y38</f>
        <v/>
      </c>
      <c r="AB1039">
        <f>'Grid_Stock'!Z38</f>
        <v/>
      </c>
      <c r="AC1039">
        <f>'Grid_Stock'!AA38</f>
        <v/>
      </c>
      <c r="AD1039">
        <f>'Grid_Stock'!AB38</f>
        <v/>
      </c>
      <c r="AE1039">
        <f>'Grid_Stock'!AC38</f>
        <v/>
      </c>
      <c r="AF1039">
        <f>'Grid_Stock'!AD38</f>
        <v/>
      </c>
      <c r="AG1039">
        <f>'Grid_Stock'!AE38</f>
        <v/>
      </c>
      <c r="AH1039">
        <f>'Grid_Stock'!AF38</f>
        <v/>
      </c>
      <c r="AI1039">
        <f>'Grid_Stock'!AG38</f>
        <v/>
      </c>
      <c r="AJ1039">
        <f>'Grid_Stock'!AH38</f>
        <v/>
      </c>
      <c r="AK1039">
        <f>'Grid_Stock'!AI38</f>
        <v/>
      </c>
      <c r="AL1039">
        <f>'Grid_Stock'!AJ38</f>
        <v/>
      </c>
      <c r="AM1039">
        <f>'Grid_Stock'!AK38</f>
        <v/>
      </c>
      <c r="AN1039">
        <f>'Grid_Stock'!AL38</f>
        <v/>
      </c>
      <c r="AO1039">
        <f>'Grid_Stock'!AM38</f>
        <v/>
      </c>
      <c r="AP1039">
        <f>'Grid_Stock'!AN38</f>
        <v/>
      </c>
      <c r="AQ1039">
        <f>'Grid_Stock'!AO38</f>
        <v/>
      </c>
      <c r="AR1039">
        <f>'Grid_Stock'!AP38</f>
        <v/>
      </c>
      <c r="AS1039">
        <f>'Grid_Stock'!AQ38</f>
        <v/>
      </c>
      <c r="AT1039">
        <f>'Grid_Stock'!AR38</f>
        <v/>
      </c>
      <c r="AU1039">
        <f>'Grid_Stock'!AS38</f>
        <v/>
      </c>
      <c r="AV1039">
        <f>'Grid_Stock'!AT38</f>
        <v/>
      </c>
      <c r="AW1039">
        <f>'Grid_Stock'!AU38</f>
        <v/>
      </c>
      <c r="AX1039">
        <f>'Grid_Stock'!AV38</f>
        <v/>
      </c>
      <c r="AY1039">
        <f>'Grid_Stock'!AW38</f>
        <v/>
      </c>
      <c r="AZ1039">
        <f>'Grid_Stock'!AX38</f>
        <v/>
      </c>
      <c r="BA1039">
        <f>'Grid_Stock'!AY38</f>
        <v/>
      </c>
      <c r="BB1039">
        <f>'Grid_Stock'!AZ38</f>
        <v/>
      </c>
      <c r="BC1039">
        <f>'Grid_Stock'!BA38</f>
        <v/>
      </c>
      <c r="BD1039">
        <f>'Grid_Stock'!BB38</f>
        <v/>
      </c>
      <c r="BE1039">
        <f>'Grid_Stock'!BC38</f>
        <v/>
      </c>
      <c r="BF1039">
        <f>'Grid_Stock'!BD38</f>
        <v/>
      </c>
      <c r="BG1039">
        <f>'Grid_Stock'!BE38</f>
        <v/>
      </c>
      <c r="BH1039">
        <f>'Grid_Stock'!BF38</f>
        <v/>
      </c>
      <c r="BI1039">
        <f>'Grid_Stock'!BG38</f>
        <v/>
      </c>
      <c r="BJ1039">
        <f>'Grid_Stock'!BH38</f>
        <v/>
      </c>
      <c r="BK1039">
        <f>'Grid_Stock'!BI38</f>
        <v/>
      </c>
      <c r="BL1039">
        <f>'Grid_Stock'!BJ38</f>
        <v/>
      </c>
      <c r="BM1039">
        <f>'Grid_Stock'!BK38</f>
        <v/>
      </c>
      <c r="BN1039">
        <f>'Grid_Stock'!BL38</f>
        <v/>
      </c>
      <c r="BO1039">
        <f>'Grid_Stock'!BM38</f>
        <v/>
      </c>
      <c r="BP1039">
        <f>'Grid_Stock'!BN38</f>
        <v/>
      </c>
      <c r="BQ1039">
        <f>'Grid_Stock'!BO38</f>
        <v/>
      </c>
      <c r="BR1039">
        <f>'Grid_Stock'!BP38</f>
        <v/>
      </c>
      <c r="BS1039">
        <f>'Grid_Stock'!BQ38</f>
        <v/>
      </c>
      <c r="BT1039">
        <f>'Grid_Stock'!BR38</f>
        <v/>
      </c>
      <c r="BU1039">
        <f>'Grid_Stock'!BS38</f>
        <v/>
      </c>
      <c r="BV1039">
        <f>'Grid_Stock'!BT38</f>
        <v/>
      </c>
      <c r="BW1039">
        <f>'Grid_Stock'!BU38</f>
        <v/>
      </c>
      <c r="BX1039">
        <f>'Grid_Stock'!BV38</f>
        <v/>
      </c>
      <c r="BY1039">
        <f>'Grid_Stock'!BW38</f>
        <v/>
      </c>
      <c r="BZ1039">
        <f>'Grid_Stock'!BX38</f>
        <v/>
      </c>
      <c r="CA1039">
        <f>'Grid_Stock'!BY38</f>
        <v/>
      </c>
      <c r="CB1039">
        <f>'Grid_Stock'!BZ38</f>
        <v/>
      </c>
      <c r="CC1039">
        <f>'Grid_Stock'!CA38</f>
        <v/>
      </c>
      <c r="CD1039">
        <f>'Grid_Stock'!CB38</f>
        <v/>
      </c>
      <c r="CE1039">
        <f>'Grid_Stock'!CC38</f>
        <v/>
      </c>
      <c r="CF1039">
        <f>'Grid_Stock'!CD38</f>
        <v/>
      </c>
      <c r="CG1039">
        <f>'Grid_Stock'!CE38</f>
        <v/>
      </c>
      <c r="CH1039">
        <f>'Grid_Stock'!CF38</f>
        <v/>
      </c>
      <c r="CI1039">
        <f>'Grid_Stock'!CG38</f>
        <v/>
      </c>
      <c r="CJ1039">
        <f>'Grid_Stock'!CH38</f>
        <v/>
      </c>
      <c r="CK1039">
        <f>'Grid_Stock'!CI38</f>
        <v/>
      </c>
      <c r="CL1039">
        <f>'Grid_Stock'!CJ38</f>
        <v/>
      </c>
      <c r="CM1039">
        <f>'Grid_Stock'!CK38</f>
        <v/>
      </c>
      <c r="CN1039">
        <f>'Grid_Stock'!CL38</f>
        <v/>
      </c>
      <c r="CO1039">
        <f>'Grid_Stock'!CM38</f>
        <v/>
      </c>
      <c r="CP1039">
        <f>'Grid_Stock'!CN38</f>
        <v/>
      </c>
      <c r="CQ1039">
        <f>'Grid_Stock'!CO38</f>
        <v/>
      </c>
      <c r="CR1039">
        <f>'Grid_Stock'!CP38</f>
        <v/>
      </c>
      <c r="CS1039">
        <f>'Grid_Stock'!CQ38</f>
        <v/>
      </c>
      <c r="CT1039">
        <f>'Grid_Stock'!CR38</f>
        <v/>
      </c>
      <c r="CU1039">
        <f>'Grid_Stock'!CS38</f>
        <v/>
      </c>
      <c r="CV1039">
        <f>'Grid_Stock'!CT38</f>
        <v/>
      </c>
      <c r="CW1039">
        <f>'Grid_Stock'!CU38</f>
        <v/>
      </c>
      <c r="CX1039">
        <f>'Grid_Stock'!CV38</f>
        <v/>
      </c>
      <c r="CY1039">
        <f>'Grid_Stock'!CW38</f>
        <v/>
      </c>
      <c r="CZ1039">
        <f>'Grid_Stock'!CX38</f>
        <v/>
      </c>
      <c r="DA1039">
        <f>'Grid_Stock'!CY38</f>
        <v/>
      </c>
      <c r="DB1039">
        <f>'Grid_Stock'!CZ38</f>
        <v/>
      </c>
      <c r="DC1039">
        <f>'Grid_Stock'!DA38</f>
        <v/>
      </c>
    </row>
    <row r="1040">
      <c r="B1040" s="16" t="inlineStr">
        <is>
          <t>（発注の目安はDashboardの基準在庫[下限/上限]と色分けを参照）</t>
        </is>
      </c>
    </row>
    <row r="1042">
      <c r="A1042" s="14" t="inlineStr">
        <is>
          <t>3TP</t>
        </is>
      </c>
      <c r="B1042" s="14" t="inlineStr">
        <is>
          <t>3TP</t>
        </is>
      </c>
      <c r="C1042" s="15" t="n"/>
      <c r="D1042" s="14" t="n"/>
      <c r="E1042" s="14" t="n"/>
      <c r="F1042" s="14" t="n"/>
      <c r="G1042" s="14" t="n"/>
      <c r="H1042" s="14" t="n"/>
      <c r="I1042" s="14" t="n"/>
      <c r="J1042" s="14" t="n"/>
      <c r="K1042" s="14" t="n"/>
      <c r="L1042" s="14" t="n"/>
      <c r="M1042" s="14" t="n"/>
      <c r="N1042" s="14" t="n"/>
      <c r="O1042" s="14" t="n"/>
      <c r="P1042" s="14" t="n"/>
      <c r="Q1042" s="14" t="n"/>
      <c r="R1042" s="14" t="n"/>
      <c r="S1042" s="14" t="n"/>
      <c r="T1042" s="14" t="n"/>
      <c r="U1042" s="14" t="n"/>
      <c r="V1042" s="14" t="n"/>
      <c r="W1042" s="14" t="n"/>
      <c r="X1042" s="14" t="n"/>
      <c r="Y1042" s="14" t="n"/>
      <c r="Z1042" s="14" t="n"/>
      <c r="AA1042" s="14" t="n"/>
      <c r="AB1042" s="14" t="n"/>
      <c r="AC1042" s="14" t="n"/>
      <c r="AD1042" s="14" t="n"/>
      <c r="AE1042" s="14" t="n"/>
      <c r="AF1042" s="14" t="n"/>
      <c r="AG1042" s="14" t="n"/>
      <c r="AH1042" s="14" t="n"/>
      <c r="AI1042" s="14" t="n"/>
      <c r="AJ1042" s="14" t="n"/>
      <c r="AK1042" s="14" t="n"/>
      <c r="AL1042" s="14" t="n"/>
      <c r="AM1042" s="14" t="n"/>
      <c r="AN1042" s="14" t="n"/>
      <c r="AO1042" s="14" t="n"/>
      <c r="AP1042" s="14" t="n"/>
      <c r="AQ1042" s="14" t="n"/>
      <c r="AR1042" s="14" t="n"/>
      <c r="AS1042" s="14" t="n"/>
      <c r="AT1042" s="14" t="n"/>
      <c r="AU1042" s="14" t="n"/>
      <c r="AV1042" s="14" t="n"/>
      <c r="AW1042" s="14" t="n"/>
      <c r="AX1042" s="14" t="n"/>
      <c r="AY1042" s="14" t="n"/>
      <c r="AZ1042" s="14" t="n"/>
      <c r="BA1042" s="14" t="n"/>
      <c r="BB1042" s="14" t="n"/>
      <c r="BC1042" s="14" t="n"/>
      <c r="BD1042" s="14" t="n"/>
      <c r="BE1042" s="14" t="n"/>
      <c r="BF1042" s="14" t="n"/>
      <c r="BG1042" s="14" t="n"/>
      <c r="BH1042" s="14" t="n"/>
      <c r="BI1042" s="14" t="n"/>
      <c r="BJ1042" s="14" t="n"/>
      <c r="BK1042" s="14" t="n"/>
      <c r="BL1042" s="14" t="n"/>
      <c r="BM1042" s="14" t="n"/>
      <c r="BN1042" s="14" t="n"/>
      <c r="BO1042" s="14" t="n"/>
      <c r="BP1042" s="14" t="n"/>
      <c r="BQ1042" s="14" t="n"/>
      <c r="BR1042" s="14" t="n"/>
      <c r="BS1042" s="14" t="n"/>
      <c r="BT1042" s="14" t="n"/>
      <c r="BU1042" s="14" t="n"/>
      <c r="BV1042" s="14" t="n"/>
      <c r="BW1042" s="14" t="n"/>
      <c r="BX1042" s="14" t="n"/>
      <c r="BY1042" s="14" t="n"/>
      <c r="BZ1042" s="14" t="n"/>
      <c r="CA1042" s="14" t="n"/>
      <c r="CB1042" s="14" t="n"/>
      <c r="CC1042" s="14" t="n"/>
      <c r="CD1042" s="14" t="n"/>
      <c r="CE1042" s="14" t="n"/>
      <c r="CF1042" s="14" t="n"/>
      <c r="CG1042" s="14" t="n"/>
      <c r="CH1042" s="14" t="n"/>
      <c r="CI1042" s="14" t="n"/>
      <c r="CJ1042" s="14" t="n"/>
      <c r="CK1042" s="14" t="n"/>
      <c r="CL1042" s="14" t="n"/>
      <c r="CM1042" s="14" t="n"/>
      <c r="CN1042" s="14" t="n"/>
      <c r="CO1042" s="14" t="n"/>
      <c r="CP1042" s="14" t="n"/>
      <c r="CQ1042" s="14" t="n"/>
      <c r="CR1042" s="14" t="n"/>
      <c r="CS1042" s="14" t="n"/>
      <c r="CT1042" s="14" t="n"/>
      <c r="CU1042" s="14" t="n"/>
      <c r="CV1042" s="14" t="n"/>
      <c r="CW1042" s="14" t="n"/>
      <c r="CX1042" s="14" t="n"/>
      <c r="CY1042" s="14" t="n"/>
      <c r="CZ1042" s="14" t="n"/>
      <c r="DA1042" s="14" t="n"/>
      <c r="DB1042" s="14" t="n"/>
      <c r="DC1042" s="14" t="n"/>
    </row>
    <row r="1043">
      <c r="B1043" t="inlineStr">
        <is>
          <t>F2290</t>
        </is>
      </c>
      <c r="C1043" t="inlineStr">
        <is>
          <t>No. of batches</t>
        </is>
      </c>
      <c r="D1043">
        <f>IFERROR(INDEX(PP_Grid[#Data],$DD1043,2),0)</f>
        <v/>
      </c>
      <c r="E1043">
        <f>IFERROR(INDEX(PP_Grid[#Data],$DD1043,3),0)</f>
        <v/>
      </c>
      <c r="F1043">
        <f>IFERROR(INDEX(PP_Grid[#Data],$DD1043,4),0)</f>
        <v/>
      </c>
      <c r="G1043">
        <f>IFERROR(INDEX(PP_Grid[#Data],$DD1043,5),0)</f>
        <v/>
      </c>
      <c r="H1043">
        <f>IFERROR(INDEX(PP_Grid[#Data],$DD1043,6),0)</f>
        <v/>
      </c>
      <c r="I1043">
        <f>IFERROR(INDEX(PP_Grid[#Data],$DD1043,7),0)</f>
        <v/>
      </c>
      <c r="J1043">
        <f>IFERROR(INDEX(PP_Grid[#Data],$DD1043,8),0)</f>
        <v/>
      </c>
      <c r="K1043">
        <f>IFERROR(INDEX(PP_Grid[#Data],$DD1043,9),0)</f>
        <v/>
      </c>
      <c r="L1043">
        <f>IFERROR(INDEX(PP_Grid[#Data],$DD1043,10),0)</f>
        <v/>
      </c>
      <c r="M1043">
        <f>IFERROR(INDEX(PP_Grid[#Data],$DD1043,11),0)</f>
        <v/>
      </c>
      <c r="N1043">
        <f>IFERROR(INDEX(PP_Grid[#Data],$DD1043,12),0)</f>
        <v/>
      </c>
      <c r="O1043">
        <f>IFERROR(INDEX(PP_Grid[#Data],$DD1043,13),0)</f>
        <v/>
      </c>
      <c r="P1043">
        <f>IFERROR(INDEX(PP_Grid[#Data],$DD1043,14),0)</f>
        <v/>
      </c>
      <c r="Q1043">
        <f>IFERROR(INDEX(PP_Grid[#Data],$DD1043,15),0)</f>
        <v/>
      </c>
      <c r="R1043">
        <f>IFERROR(INDEX(PP_Grid[#Data],$DD1043,16),0)</f>
        <v/>
      </c>
      <c r="S1043">
        <f>IFERROR(INDEX(PP_Grid[#Data],$DD1043,17),0)</f>
        <v/>
      </c>
      <c r="T1043">
        <f>IFERROR(INDEX(PP_Grid[#Data],$DD1043,18),0)</f>
        <v/>
      </c>
      <c r="U1043">
        <f>IFERROR(INDEX(PP_Grid[#Data],$DD1043,19),0)</f>
        <v/>
      </c>
      <c r="V1043">
        <f>IFERROR(INDEX(PP_Grid[#Data],$DD1043,20),0)</f>
        <v/>
      </c>
      <c r="W1043">
        <f>IFERROR(INDEX(PP_Grid[#Data],$DD1043,21),0)</f>
        <v/>
      </c>
      <c r="X1043">
        <f>IFERROR(INDEX(PP_Grid[#Data],$DD1043,22),0)</f>
        <v/>
      </c>
      <c r="Y1043">
        <f>IFERROR(INDEX(PP_Grid[#Data],$DD1043,23),0)</f>
        <v/>
      </c>
      <c r="Z1043">
        <f>IFERROR(INDEX(PP_Grid[#Data],$DD1043,24),0)</f>
        <v/>
      </c>
      <c r="AA1043">
        <f>IFERROR(INDEX(PP_Grid[#Data],$DD1043,25),0)</f>
        <v/>
      </c>
      <c r="AB1043">
        <f>IFERROR(INDEX(PP_Grid[#Data],$DD1043,26),0)</f>
        <v/>
      </c>
      <c r="AC1043">
        <f>IFERROR(INDEX(PP_Grid[#Data],$DD1043,27),0)</f>
        <v/>
      </c>
      <c r="AD1043">
        <f>IFERROR(INDEX(PP_Grid[#Data],$DD1043,28),0)</f>
        <v/>
      </c>
      <c r="AE1043">
        <f>IFERROR(INDEX(PP_Grid[#Data],$DD1043,29),0)</f>
        <v/>
      </c>
      <c r="AF1043">
        <f>IFERROR(INDEX(PP_Grid[#Data],$DD1043,30),0)</f>
        <v/>
      </c>
      <c r="AG1043">
        <f>IFERROR(INDEX(PP_Grid[#Data],$DD1043,31),0)</f>
        <v/>
      </c>
      <c r="AH1043">
        <f>IFERROR(INDEX(PP_Grid[#Data],$DD1043,32),0)</f>
        <v/>
      </c>
      <c r="AI1043">
        <f>IFERROR(INDEX(PP_Grid[#Data],$DD1043,33),0)</f>
        <v/>
      </c>
      <c r="AJ1043">
        <f>IFERROR(INDEX(PP_Grid[#Data],$DD1043,34),0)</f>
        <v/>
      </c>
      <c r="AK1043">
        <f>IFERROR(INDEX(PP_Grid[#Data],$DD1043,35),0)</f>
        <v/>
      </c>
      <c r="AL1043">
        <f>IFERROR(INDEX(PP_Grid[#Data],$DD1043,36),0)</f>
        <v/>
      </c>
      <c r="AM1043">
        <f>IFERROR(INDEX(PP_Grid[#Data],$DD1043,37),0)</f>
        <v/>
      </c>
      <c r="AN1043">
        <f>IFERROR(INDEX(PP_Grid[#Data],$DD1043,38),0)</f>
        <v/>
      </c>
      <c r="AO1043">
        <f>IFERROR(INDEX(PP_Grid[#Data],$DD1043,39),0)</f>
        <v/>
      </c>
      <c r="AP1043">
        <f>IFERROR(INDEX(PP_Grid[#Data],$DD1043,40),0)</f>
        <v/>
      </c>
      <c r="AQ1043">
        <f>IFERROR(INDEX(PP_Grid[#Data],$DD1043,41),0)</f>
        <v/>
      </c>
      <c r="AR1043">
        <f>IFERROR(INDEX(PP_Grid[#Data],$DD1043,42),0)</f>
        <v/>
      </c>
      <c r="AS1043">
        <f>IFERROR(INDEX(PP_Grid[#Data],$DD1043,43),0)</f>
        <v/>
      </c>
      <c r="AT1043">
        <f>IFERROR(INDEX(PP_Grid[#Data],$DD1043,44),0)</f>
        <v/>
      </c>
      <c r="AU1043">
        <f>IFERROR(INDEX(PP_Grid[#Data],$DD1043,45),0)</f>
        <v/>
      </c>
      <c r="AV1043">
        <f>IFERROR(INDEX(PP_Grid[#Data],$DD1043,46),0)</f>
        <v/>
      </c>
      <c r="AW1043">
        <f>IFERROR(INDEX(PP_Grid[#Data],$DD1043,47),0)</f>
        <v/>
      </c>
      <c r="AX1043">
        <f>IFERROR(INDEX(PP_Grid[#Data],$DD1043,48),0)</f>
        <v/>
      </c>
      <c r="AY1043">
        <f>IFERROR(INDEX(PP_Grid[#Data],$DD1043,49),0)</f>
        <v/>
      </c>
      <c r="AZ1043">
        <f>IFERROR(INDEX(PP_Grid[#Data],$DD1043,50),0)</f>
        <v/>
      </c>
      <c r="BA1043">
        <f>IFERROR(INDEX(PP_Grid[#Data],$DD1043,51),0)</f>
        <v/>
      </c>
      <c r="BB1043">
        <f>IFERROR(INDEX(PP_Grid[#Data],$DD1043,52),0)</f>
        <v/>
      </c>
      <c r="BC1043">
        <f>IFERROR(INDEX(PP_Grid[#Data],$DD1043,53),0)</f>
        <v/>
      </c>
      <c r="BD1043">
        <f>IFERROR(INDEX(PP_Grid[#Data],$DD1043,54),0)</f>
        <v/>
      </c>
      <c r="BE1043">
        <f>IFERROR(INDEX(PP_Grid[#Data],$DD1043,55),0)</f>
        <v/>
      </c>
      <c r="BF1043">
        <f>IFERROR(INDEX(PP_Grid[#Data],$DD1043,56),0)</f>
        <v/>
      </c>
      <c r="BG1043">
        <f>IFERROR(INDEX(PP_Grid[#Data],$DD1043,57),0)</f>
        <v/>
      </c>
      <c r="BH1043">
        <f>IFERROR(INDEX(PP_Grid[#Data],$DD1043,58),0)</f>
        <v/>
      </c>
      <c r="BI1043">
        <f>IFERROR(INDEX(PP_Grid[#Data],$DD1043,59),0)</f>
        <v/>
      </c>
      <c r="BJ1043">
        <f>IFERROR(INDEX(PP_Grid[#Data],$DD1043,60),0)</f>
        <v/>
      </c>
      <c r="BK1043">
        <f>IFERROR(INDEX(PP_Grid[#Data],$DD1043,61),0)</f>
        <v/>
      </c>
      <c r="BL1043">
        <f>IFERROR(INDEX(PP_Grid[#Data],$DD1043,62),0)</f>
        <v/>
      </c>
      <c r="BM1043">
        <f>IFERROR(INDEX(PP_Grid[#Data],$DD1043,63),0)</f>
        <v/>
      </c>
      <c r="BN1043">
        <f>IFERROR(INDEX(PP_Grid[#Data],$DD1043,64),0)</f>
        <v/>
      </c>
      <c r="BO1043">
        <f>IFERROR(INDEX(PP_Grid[#Data],$DD1043,65),0)</f>
        <v/>
      </c>
      <c r="BP1043">
        <f>IFERROR(INDEX(PP_Grid[#Data],$DD1043,66),0)</f>
        <v/>
      </c>
      <c r="BQ1043">
        <f>IFERROR(INDEX(PP_Grid[#Data],$DD1043,67),0)</f>
        <v/>
      </c>
      <c r="BR1043">
        <f>IFERROR(INDEX(PP_Grid[#Data],$DD1043,68),0)</f>
        <v/>
      </c>
      <c r="BS1043">
        <f>IFERROR(INDEX(PP_Grid[#Data],$DD1043,69),0)</f>
        <v/>
      </c>
      <c r="BT1043">
        <f>IFERROR(INDEX(PP_Grid[#Data],$DD1043,70),0)</f>
        <v/>
      </c>
      <c r="BU1043">
        <f>IFERROR(INDEX(PP_Grid[#Data],$DD1043,71),0)</f>
        <v/>
      </c>
      <c r="BV1043">
        <f>IFERROR(INDEX(PP_Grid[#Data],$DD1043,72),0)</f>
        <v/>
      </c>
      <c r="BW1043">
        <f>IFERROR(INDEX(PP_Grid[#Data],$DD1043,73),0)</f>
        <v/>
      </c>
      <c r="BX1043">
        <f>IFERROR(INDEX(PP_Grid[#Data],$DD1043,74),0)</f>
        <v/>
      </c>
      <c r="BY1043">
        <f>IFERROR(INDEX(PP_Grid[#Data],$DD1043,75),0)</f>
        <v/>
      </c>
      <c r="BZ1043">
        <f>IFERROR(INDEX(PP_Grid[#Data],$DD1043,76),0)</f>
        <v/>
      </c>
      <c r="CA1043">
        <f>IFERROR(INDEX(PP_Grid[#Data],$DD1043,77),0)</f>
        <v/>
      </c>
      <c r="CB1043">
        <f>IFERROR(INDEX(PP_Grid[#Data],$DD1043,78),0)</f>
        <v/>
      </c>
      <c r="CC1043">
        <f>IFERROR(INDEX(PP_Grid[#Data],$DD1043,79),0)</f>
        <v/>
      </c>
      <c r="CD1043">
        <f>IFERROR(INDEX(PP_Grid[#Data],$DD1043,80),0)</f>
        <v/>
      </c>
      <c r="CE1043">
        <f>IFERROR(INDEX(PP_Grid[#Data],$DD1043,81),0)</f>
        <v/>
      </c>
      <c r="CF1043">
        <f>IFERROR(INDEX(PP_Grid[#Data],$DD1043,82),0)</f>
        <v/>
      </c>
      <c r="CG1043">
        <f>IFERROR(INDEX(PP_Grid[#Data],$DD1043,83),0)</f>
        <v/>
      </c>
      <c r="CH1043">
        <f>IFERROR(INDEX(PP_Grid[#Data],$DD1043,84),0)</f>
        <v/>
      </c>
      <c r="CI1043">
        <f>IFERROR(INDEX(PP_Grid[#Data],$DD1043,85),0)</f>
        <v/>
      </c>
      <c r="CJ1043">
        <f>IFERROR(INDEX(PP_Grid[#Data],$DD1043,86),0)</f>
        <v/>
      </c>
      <c r="CK1043">
        <f>IFERROR(INDEX(PP_Grid[#Data],$DD1043,87),0)</f>
        <v/>
      </c>
      <c r="CL1043">
        <f>IFERROR(INDEX(PP_Grid[#Data],$DD1043,88),0)</f>
        <v/>
      </c>
      <c r="CM1043">
        <f>IFERROR(INDEX(PP_Grid[#Data],$DD1043,89),0)</f>
        <v/>
      </c>
      <c r="CN1043">
        <f>IFERROR(INDEX(PP_Grid[#Data],$DD1043,90),0)</f>
        <v/>
      </c>
      <c r="CO1043">
        <f>IFERROR(INDEX(PP_Grid[#Data],$DD1043,91),0)</f>
        <v/>
      </c>
      <c r="CP1043">
        <f>IFERROR(INDEX(PP_Grid[#Data],$DD1043,92),0)</f>
        <v/>
      </c>
      <c r="CQ1043">
        <f>IFERROR(INDEX(PP_Grid[#Data],$DD1043,93),0)</f>
        <v/>
      </c>
      <c r="CR1043">
        <f>IFERROR(INDEX(PP_Grid[#Data],$DD1043,94),0)</f>
        <v/>
      </c>
      <c r="CS1043">
        <f>IFERROR(INDEX(PP_Grid[#Data],$DD1043,95),0)</f>
        <v/>
      </c>
      <c r="CT1043">
        <f>IFERROR(INDEX(PP_Grid[#Data],$DD1043,96),0)</f>
        <v/>
      </c>
      <c r="CU1043">
        <f>IFERROR(INDEX(PP_Grid[#Data],$DD1043,97),0)</f>
        <v/>
      </c>
      <c r="CV1043">
        <f>IFERROR(INDEX(PP_Grid[#Data],$DD1043,98),0)</f>
        <v/>
      </c>
      <c r="CW1043">
        <f>IFERROR(INDEX(PP_Grid[#Data],$DD1043,99),0)</f>
        <v/>
      </c>
      <c r="CX1043">
        <f>IFERROR(INDEX(PP_Grid[#Data],$DD1043,100),0)</f>
        <v/>
      </c>
      <c r="CY1043">
        <f>IFERROR(INDEX(PP_Grid[#Data],$DD1043,101),0)</f>
        <v/>
      </c>
      <c r="CZ1043">
        <f>IFERROR(INDEX(PP_Grid[#Data],$DD1043,102),0)</f>
        <v/>
      </c>
      <c r="DA1043">
        <f>IFERROR(INDEX(PP_Grid[#Data],$DD1043,103),0)</f>
        <v/>
      </c>
      <c r="DB1043">
        <f>IFERROR(INDEX(PP_Grid[#Data],$DD1043,104),0)</f>
        <v/>
      </c>
      <c r="DC1043">
        <f>IFERROR(INDEX(PP_Grid[#Data],$DD1043,105),0)</f>
        <v/>
      </c>
      <c r="DD1043" s="7">
        <f>IFERROR(MATCH($B1043,PP_Grid[Intermediate],0),99999)</f>
        <v/>
      </c>
    </row>
    <row r="1044">
      <c r="B1044" t="inlineStr">
        <is>
          <t>使用量(kg)</t>
        </is>
      </c>
      <c r="C1044">
        <f>SUMIFS(M_BOM[RM_Qty_Per_Batch],M_BOM[Intermediate],$B1043,M_BOM[Part Name],$A1042)</f>
        <v/>
      </c>
      <c r="D1044">
        <f>$C1044*D1043</f>
        <v/>
      </c>
      <c r="E1044">
        <f>$C1044*E1043</f>
        <v/>
      </c>
      <c r="F1044">
        <f>$C1044*F1043</f>
        <v/>
      </c>
      <c r="G1044">
        <f>$C1044*G1043</f>
        <v/>
      </c>
      <c r="H1044">
        <f>$C1044*H1043</f>
        <v/>
      </c>
      <c r="I1044">
        <f>$C1044*I1043</f>
        <v/>
      </c>
      <c r="J1044">
        <f>$C1044*J1043</f>
        <v/>
      </c>
      <c r="K1044">
        <f>$C1044*K1043</f>
        <v/>
      </c>
      <c r="L1044">
        <f>$C1044*L1043</f>
        <v/>
      </c>
      <c r="M1044">
        <f>$C1044*M1043</f>
        <v/>
      </c>
      <c r="N1044">
        <f>$C1044*N1043</f>
        <v/>
      </c>
      <c r="O1044">
        <f>$C1044*O1043</f>
        <v/>
      </c>
      <c r="P1044">
        <f>$C1044*P1043</f>
        <v/>
      </c>
      <c r="Q1044">
        <f>$C1044*Q1043</f>
        <v/>
      </c>
      <c r="R1044">
        <f>$C1044*R1043</f>
        <v/>
      </c>
      <c r="S1044">
        <f>$C1044*S1043</f>
        <v/>
      </c>
      <c r="T1044">
        <f>$C1044*T1043</f>
        <v/>
      </c>
      <c r="U1044">
        <f>$C1044*U1043</f>
        <v/>
      </c>
      <c r="V1044">
        <f>$C1044*V1043</f>
        <v/>
      </c>
      <c r="W1044">
        <f>$C1044*W1043</f>
        <v/>
      </c>
      <c r="X1044">
        <f>$C1044*X1043</f>
        <v/>
      </c>
      <c r="Y1044">
        <f>$C1044*Y1043</f>
        <v/>
      </c>
      <c r="Z1044">
        <f>$C1044*Z1043</f>
        <v/>
      </c>
      <c r="AA1044">
        <f>$C1044*AA1043</f>
        <v/>
      </c>
      <c r="AB1044">
        <f>$C1044*AB1043</f>
        <v/>
      </c>
      <c r="AC1044">
        <f>$C1044*AC1043</f>
        <v/>
      </c>
      <c r="AD1044">
        <f>$C1044*AD1043</f>
        <v/>
      </c>
      <c r="AE1044">
        <f>$C1044*AE1043</f>
        <v/>
      </c>
      <c r="AF1044">
        <f>$C1044*AF1043</f>
        <v/>
      </c>
      <c r="AG1044">
        <f>$C1044*AG1043</f>
        <v/>
      </c>
      <c r="AH1044">
        <f>$C1044*AH1043</f>
        <v/>
      </c>
      <c r="AI1044">
        <f>$C1044*AI1043</f>
        <v/>
      </c>
      <c r="AJ1044">
        <f>$C1044*AJ1043</f>
        <v/>
      </c>
      <c r="AK1044">
        <f>$C1044*AK1043</f>
        <v/>
      </c>
      <c r="AL1044">
        <f>$C1044*AL1043</f>
        <v/>
      </c>
      <c r="AM1044">
        <f>$C1044*AM1043</f>
        <v/>
      </c>
      <c r="AN1044">
        <f>$C1044*AN1043</f>
        <v/>
      </c>
      <c r="AO1044">
        <f>$C1044*AO1043</f>
        <v/>
      </c>
      <c r="AP1044">
        <f>$C1044*AP1043</f>
        <v/>
      </c>
      <c r="AQ1044">
        <f>$C1044*AQ1043</f>
        <v/>
      </c>
      <c r="AR1044">
        <f>$C1044*AR1043</f>
        <v/>
      </c>
      <c r="AS1044">
        <f>$C1044*AS1043</f>
        <v/>
      </c>
      <c r="AT1044">
        <f>$C1044*AT1043</f>
        <v/>
      </c>
      <c r="AU1044">
        <f>$C1044*AU1043</f>
        <v/>
      </c>
      <c r="AV1044">
        <f>$C1044*AV1043</f>
        <v/>
      </c>
      <c r="AW1044">
        <f>$C1044*AW1043</f>
        <v/>
      </c>
      <c r="AX1044">
        <f>$C1044*AX1043</f>
        <v/>
      </c>
      <c r="AY1044">
        <f>$C1044*AY1043</f>
        <v/>
      </c>
      <c r="AZ1044">
        <f>$C1044*AZ1043</f>
        <v/>
      </c>
      <c r="BA1044">
        <f>$C1044*BA1043</f>
        <v/>
      </c>
      <c r="BB1044">
        <f>$C1044*BB1043</f>
        <v/>
      </c>
      <c r="BC1044">
        <f>$C1044*BC1043</f>
        <v/>
      </c>
      <c r="BD1044">
        <f>$C1044*BD1043</f>
        <v/>
      </c>
      <c r="BE1044">
        <f>$C1044*BE1043</f>
        <v/>
      </c>
      <c r="BF1044">
        <f>$C1044*BF1043</f>
        <v/>
      </c>
      <c r="BG1044">
        <f>$C1044*BG1043</f>
        <v/>
      </c>
      <c r="BH1044">
        <f>$C1044*BH1043</f>
        <v/>
      </c>
      <c r="BI1044">
        <f>$C1044*BI1043</f>
        <v/>
      </c>
      <c r="BJ1044">
        <f>$C1044*BJ1043</f>
        <v/>
      </c>
      <c r="BK1044">
        <f>$C1044*BK1043</f>
        <v/>
      </c>
      <c r="BL1044">
        <f>$C1044*BL1043</f>
        <v/>
      </c>
      <c r="BM1044">
        <f>$C1044*BM1043</f>
        <v/>
      </c>
      <c r="BN1044">
        <f>$C1044*BN1043</f>
        <v/>
      </c>
      <c r="BO1044">
        <f>$C1044*BO1043</f>
        <v/>
      </c>
      <c r="BP1044">
        <f>$C1044*BP1043</f>
        <v/>
      </c>
      <c r="BQ1044">
        <f>$C1044*BQ1043</f>
        <v/>
      </c>
      <c r="BR1044">
        <f>$C1044*BR1043</f>
        <v/>
      </c>
      <c r="BS1044">
        <f>$C1044*BS1043</f>
        <v/>
      </c>
      <c r="BT1044">
        <f>$C1044*BT1043</f>
        <v/>
      </c>
      <c r="BU1044">
        <f>$C1044*BU1043</f>
        <v/>
      </c>
      <c r="BV1044">
        <f>$C1044*BV1043</f>
        <v/>
      </c>
      <c r="BW1044">
        <f>$C1044*BW1043</f>
        <v/>
      </c>
      <c r="BX1044">
        <f>$C1044*BX1043</f>
        <v/>
      </c>
      <c r="BY1044">
        <f>$C1044*BY1043</f>
        <v/>
      </c>
      <c r="BZ1044">
        <f>$C1044*BZ1043</f>
        <v/>
      </c>
      <c r="CA1044">
        <f>$C1044*CA1043</f>
        <v/>
      </c>
      <c r="CB1044">
        <f>$C1044*CB1043</f>
        <v/>
      </c>
      <c r="CC1044">
        <f>$C1044*CC1043</f>
        <v/>
      </c>
      <c r="CD1044">
        <f>$C1044*CD1043</f>
        <v/>
      </c>
      <c r="CE1044">
        <f>$C1044*CE1043</f>
        <v/>
      </c>
      <c r="CF1044">
        <f>$C1044*CF1043</f>
        <v/>
      </c>
      <c r="CG1044">
        <f>$C1044*CG1043</f>
        <v/>
      </c>
      <c r="CH1044">
        <f>$C1044*CH1043</f>
        <v/>
      </c>
      <c r="CI1044">
        <f>$C1044*CI1043</f>
        <v/>
      </c>
      <c r="CJ1044">
        <f>$C1044*CJ1043</f>
        <v/>
      </c>
      <c r="CK1044">
        <f>$C1044*CK1043</f>
        <v/>
      </c>
      <c r="CL1044">
        <f>$C1044*CL1043</f>
        <v/>
      </c>
      <c r="CM1044">
        <f>$C1044*CM1043</f>
        <v/>
      </c>
      <c r="CN1044">
        <f>$C1044*CN1043</f>
        <v/>
      </c>
      <c r="CO1044">
        <f>$C1044*CO1043</f>
        <v/>
      </c>
      <c r="CP1044">
        <f>$C1044*CP1043</f>
        <v/>
      </c>
      <c r="CQ1044">
        <f>$C1044*CQ1043</f>
        <v/>
      </c>
      <c r="CR1044">
        <f>$C1044*CR1043</f>
        <v/>
      </c>
      <c r="CS1044">
        <f>$C1044*CS1043</f>
        <v/>
      </c>
      <c r="CT1044">
        <f>$C1044*CT1043</f>
        <v/>
      </c>
      <c r="CU1044">
        <f>$C1044*CU1043</f>
        <v/>
      </c>
      <c r="CV1044">
        <f>$C1044*CV1043</f>
        <v/>
      </c>
      <c r="CW1044">
        <f>$C1044*CW1043</f>
        <v/>
      </c>
      <c r="CX1044">
        <f>$C1044*CX1043</f>
        <v/>
      </c>
      <c r="CY1044">
        <f>$C1044*CY1043</f>
        <v/>
      </c>
      <c r="CZ1044">
        <f>$C1044*CZ1043</f>
        <v/>
      </c>
      <c r="DA1044">
        <f>$C1044*DA1043</f>
        <v/>
      </c>
      <c r="DB1044">
        <f>$C1044*DB1043</f>
        <v/>
      </c>
      <c r="DC1044">
        <f>$C1044*DC1043</f>
        <v/>
      </c>
    </row>
    <row r="1045">
      <c r="B1045" s="4" t="inlineStr">
        <is>
          <t>合計使用量(kg)/週</t>
        </is>
      </c>
      <c r="D1045">
        <f>'Grid_Requirement'!B44</f>
        <v/>
      </c>
      <c r="E1045">
        <f>'Grid_Requirement'!C44</f>
        <v/>
      </c>
      <c r="F1045">
        <f>'Grid_Requirement'!D44</f>
        <v/>
      </c>
      <c r="G1045">
        <f>'Grid_Requirement'!E44</f>
        <v/>
      </c>
      <c r="H1045">
        <f>'Grid_Requirement'!F44</f>
        <v/>
      </c>
      <c r="I1045">
        <f>'Grid_Requirement'!G44</f>
        <v/>
      </c>
      <c r="J1045">
        <f>'Grid_Requirement'!H44</f>
        <v/>
      </c>
      <c r="K1045">
        <f>'Grid_Requirement'!I44</f>
        <v/>
      </c>
      <c r="L1045">
        <f>'Grid_Requirement'!J44</f>
        <v/>
      </c>
      <c r="M1045">
        <f>'Grid_Requirement'!K44</f>
        <v/>
      </c>
      <c r="N1045">
        <f>'Grid_Requirement'!L44</f>
        <v/>
      </c>
      <c r="O1045">
        <f>'Grid_Requirement'!M44</f>
        <v/>
      </c>
      <c r="P1045">
        <f>'Grid_Requirement'!N44</f>
        <v/>
      </c>
      <c r="Q1045">
        <f>'Grid_Requirement'!O44</f>
        <v/>
      </c>
      <c r="R1045">
        <f>'Grid_Requirement'!P44</f>
        <v/>
      </c>
      <c r="S1045">
        <f>'Grid_Requirement'!Q44</f>
        <v/>
      </c>
      <c r="T1045">
        <f>'Grid_Requirement'!R44</f>
        <v/>
      </c>
      <c r="U1045">
        <f>'Grid_Requirement'!S44</f>
        <v/>
      </c>
      <c r="V1045">
        <f>'Grid_Requirement'!T44</f>
        <v/>
      </c>
      <c r="W1045">
        <f>'Grid_Requirement'!U44</f>
        <v/>
      </c>
      <c r="X1045">
        <f>'Grid_Requirement'!V44</f>
        <v/>
      </c>
      <c r="Y1045">
        <f>'Grid_Requirement'!W44</f>
        <v/>
      </c>
      <c r="Z1045">
        <f>'Grid_Requirement'!X44</f>
        <v/>
      </c>
      <c r="AA1045">
        <f>'Grid_Requirement'!Y44</f>
        <v/>
      </c>
      <c r="AB1045">
        <f>'Grid_Requirement'!Z44</f>
        <v/>
      </c>
      <c r="AC1045">
        <f>'Grid_Requirement'!AA44</f>
        <v/>
      </c>
      <c r="AD1045">
        <f>'Grid_Requirement'!AB44</f>
        <v/>
      </c>
      <c r="AE1045">
        <f>'Grid_Requirement'!AC44</f>
        <v/>
      </c>
      <c r="AF1045">
        <f>'Grid_Requirement'!AD44</f>
        <v/>
      </c>
      <c r="AG1045">
        <f>'Grid_Requirement'!AE44</f>
        <v/>
      </c>
      <c r="AH1045">
        <f>'Grid_Requirement'!AF44</f>
        <v/>
      </c>
      <c r="AI1045">
        <f>'Grid_Requirement'!AG44</f>
        <v/>
      </c>
      <c r="AJ1045">
        <f>'Grid_Requirement'!AH44</f>
        <v/>
      </c>
      <c r="AK1045">
        <f>'Grid_Requirement'!AI44</f>
        <v/>
      </c>
      <c r="AL1045">
        <f>'Grid_Requirement'!AJ44</f>
        <v/>
      </c>
      <c r="AM1045">
        <f>'Grid_Requirement'!AK44</f>
        <v/>
      </c>
      <c r="AN1045">
        <f>'Grid_Requirement'!AL44</f>
        <v/>
      </c>
      <c r="AO1045">
        <f>'Grid_Requirement'!AM44</f>
        <v/>
      </c>
      <c r="AP1045">
        <f>'Grid_Requirement'!AN44</f>
        <v/>
      </c>
      <c r="AQ1045">
        <f>'Grid_Requirement'!AO44</f>
        <v/>
      </c>
      <c r="AR1045">
        <f>'Grid_Requirement'!AP44</f>
        <v/>
      </c>
      <c r="AS1045">
        <f>'Grid_Requirement'!AQ44</f>
        <v/>
      </c>
      <c r="AT1045">
        <f>'Grid_Requirement'!AR44</f>
        <v/>
      </c>
      <c r="AU1045">
        <f>'Grid_Requirement'!AS44</f>
        <v/>
      </c>
      <c r="AV1045">
        <f>'Grid_Requirement'!AT44</f>
        <v/>
      </c>
      <c r="AW1045">
        <f>'Grid_Requirement'!AU44</f>
        <v/>
      </c>
      <c r="AX1045">
        <f>'Grid_Requirement'!AV44</f>
        <v/>
      </c>
      <c r="AY1045">
        <f>'Grid_Requirement'!AW44</f>
        <v/>
      </c>
      <c r="AZ1045">
        <f>'Grid_Requirement'!AX44</f>
        <v/>
      </c>
      <c r="BA1045">
        <f>'Grid_Requirement'!AY44</f>
        <v/>
      </c>
      <c r="BB1045">
        <f>'Grid_Requirement'!AZ44</f>
        <v/>
      </c>
      <c r="BC1045">
        <f>'Grid_Requirement'!BA44</f>
        <v/>
      </c>
      <c r="BD1045">
        <f>'Grid_Requirement'!BB44</f>
        <v/>
      </c>
      <c r="BE1045">
        <f>'Grid_Requirement'!BC44</f>
        <v/>
      </c>
      <c r="BF1045">
        <f>'Grid_Requirement'!BD44</f>
        <v/>
      </c>
      <c r="BG1045">
        <f>'Grid_Requirement'!BE44</f>
        <v/>
      </c>
      <c r="BH1045">
        <f>'Grid_Requirement'!BF44</f>
        <v/>
      </c>
      <c r="BI1045">
        <f>'Grid_Requirement'!BG44</f>
        <v/>
      </c>
      <c r="BJ1045">
        <f>'Grid_Requirement'!BH44</f>
        <v/>
      </c>
      <c r="BK1045">
        <f>'Grid_Requirement'!BI44</f>
        <v/>
      </c>
      <c r="BL1045">
        <f>'Grid_Requirement'!BJ44</f>
        <v/>
      </c>
      <c r="BM1045">
        <f>'Grid_Requirement'!BK44</f>
        <v/>
      </c>
      <c r="BN1045">
        <f>'Grid_Requirement'!BL44</f>
        <v/>
      </c>
      <c r="BO1045">
        <f>'Grid_Requirement'!BM44</f>
        <v/>
      </c>
      <c r="BP1045">
        <f>'Grid_Requirement'!BN44</f>
        <v/>
      </c>
      <c r="BQ1045">
        <f>'Grid_Requirement'!BO44</f>
        <v/>
      </c>
      <c r="BR1045">
        <f>'Grid_Requirement'!BP44</f>
        <v/>
      </c>
      <c r="BS1045">
        <f>'Grid_Requirement'!BQ44</f>
        <v/>
      </c>
      <c r="BT1045">
        <f>'Grid_Requirement'!BR44</f>
        <v/>
      </c>
      <c r="BU1045">
        <f>'Grid_Requirement'!BS44</f>
        <v/>
      </c>
      <c r="BV1045">
        <f>'Grid_Requirement'!BT44</f>
        <v/>
      </c>
      <c r="BW1045">
        <f>'Grid_Requirement'!BU44</f>
        <v/>
      </c>
      <c r="BX1045">
        <f>'Grid_Requirement'!BV44</f>
        <v/>
      </c>
      <c r="BY1045">
        <f>'Grid_Requirement'!BW44</f>
        <v/>
      </c>
      <c r="BZ1045">
        <f>'Grid_Requirement'!BX44</f>
        <v/>
      </c>
      <c r="CA1045">
        <f>'Grid_Requirement'!BY44</f>
        <v/>
      </c>
      <c r="CB1045">
        <f>'Grid_Requirement'!BZ44</f>
        <v/>
      </c>
      <c r="CC1045">
        <f>'Grid_Requirement'!CA44</f>
        <v/>
      </c>
      <c r="CD1045">
        <f>'Grid_Requirement'!CB44</f>
        <v/>
      </c>
      <c r="CE1045">
        <f>'Grid_Requirement'!CC44</f>
        <v/>
      </c>
      <c r="CF1045">
        <f>'Grid_Requirement'!CD44</f>
        <v/>
      </c>
      <c r="CG1045">
        <f>'Grid_Requirement'!CE44</f>
        <v/>
      </c>
      <c r="CH1045">
        <f>'Grid_Requirement'!CF44</f>
        <v/>
      </c>
      <c r="CI1045">
        <f>'Grid_Requirement'!CG44</f>
        <v/>
      </c>
      <c r="CJ1045">
        <f>'Grid_Requirement'!CH44</f>
        <v/>
      </c>
      <c r="CK1045">
        <f>'Grid_Requirement'!CI44</f>
        <v/>
      </c>
      <c r="CL1045">
        <f>'Grid_Requirement'!CJ44</f>
        <v/>
      </c>
      <c r="CM1045">
        <f>'Grid_Requirement'!CK44</f>
        <v/>
      </c>
      <c r="CN1045">
        <f>'Grid_Requirement'!CL44</f>
        <v/>
      </c>
      <c r="CO1045">
        <f>'Grid_Requirement'!CM44</f>
        <v/>
      </c>
      <c r="CP1045">
        <f>'Grid_Requirement'!CN44</f>
        <v/>
      </c>
      <c r="CQ1045">
        <f>'Grid_Requirement'!CO44</f>
        <v/>
      </c>
      <c r="CR1045">
        <f>'Grid_Requirement'!CP44</f>
        <v/>
      </c>
      <c r="CS1045">
        <f>'Grid_Requirement'!CQ44</f>
        <v/>
      </c>
      <c r="CT1045">
        <f>'Grid_Requirement'!CR44</f>
        <v/>
      </c>
      <c r="CU1045">
        <f>'Grid_Requirement'!CS44</f>
        <v/>
      </c>
      <c r="CV1045">
        <f>'Grid_Requirement'!CT44</f>
        <v/>
      </c>
      <c r="CW1045">
        <f>'Grid_Requirement'!CU44</f>
        <v/>
      </c>
      <c r="CX1045">
        <f>'Grid_Requirement'!CV44</f>
        <v/>
      </c>
      <c r="CY1045">
        <f>'Grid_Requirement'!CW44</f>
        <v/>
      </c>
      <c r="CZ1045">
        <f>'Grid_Requirement'!CX44</f>
        <v/>
      </c>
      <c r="DA1045">
        <f>'Grid_Requirement'!CY44</f>
        <v/>
      </c>
      <c r="DB1045">
        <f>'Grid_Requirement'!CZ44</f>
        <v/>
      </c>
      <c r="DC1045">
        <f>'Grid_Requirement'!DA44</f>
        <v/>
      </c>
    </row>
    <row r="1046">
      <c r="B1046" t="inlineStr">
        <is>
          <t>TTAF在庫(実績,kg)</t>
        </is>
      </c>
      <c r="D1046">
        <f>'T_TTAFStock'!B48</f>
        <v/>
      </c>
      <c r="E1046">
        <f>'T_TTAFStock'!C48</f>
        <v/>
      </c>
      <c r="F1046">
        <f>'T_TTAFStock'!D48</f>
        <v/>
      </c>
      <c r="G1046">
        <f>'T_TTAFStock'!E48</f>
        <v/>
      </c>
      <c r="H1046">
        <f>'T_TTAFStock'!F48</f>
        <v/>
      </c>
      <c r="I1046">
        <f>'T_TTAFStock'!G48</f>
        <v/>
      </c>
      <c r="J1046">
        <f>'T_TTAFStock'!H48</f>
        <v/>
      </c>
      <c r="K1046">
        <f>'T_TTAFStock'!I48</f>
        <v/>
      </c>
      <c r="L1046">
        <f>'T_TTAFStock'!J48</f>
        <v/>
      </c>
      <c r="M1046">
        <f>'T_TTAFStock'!K48</f>
        <v/>
      </c>
      <c r="N1046">
        <f>'T_TTAFStock'!L48</f>
        <v/>
      </c>
      <c r="O1046">
        <f>'T_TTAFStock'!M48</f>
        <v/>
      </c>
      <c r="P1046">
        <f>'T_TTAFStock'!N48</f>
        <v/>
      </c>
      <c r="Q1046">
        <f>'T_TTAFStock'!O48</f>
        <v/>
      </c>
      <c r="R1046">
        <f>'T_TTAFStock'!P48</f>
        <v/>
      </c>
      <c r="S1046">
        <f>'T_TTAFStock'!Q48</f>
        <v/>
      </c>
      <c r="T1046">
        <f>'T_TTAFStock'!R48</f>
        <v/>
      </c>
      <c r="U1046">
        <f>'T_TTAFStock'!S48</f>
        <v/>
      </c>
      <c r="V1046">
        <f>'T_TTAFStock'!T48</f>
        <v/>
      </c>
      <c r="W1046">
        <f>'T_TTAFStock'!U48</f>
        <v/>
      </c>
      <c r="X1046">
        <f>'T_TTAFStock'!V48</f>
        <v/>
      </c>
      <c r="Y1046">
        <f>'T_TTAFStock'!W48</f>
        <v/>
      </c>
      <c r="Z1046">
        <f>'T_TTAFStock'!X48</f>
        <v/>
      </c>
      <c r="AA1046">
        <f>'T_TTAFStock'!Y48</f>
        <v/>
      </c>
      <c r="AB1046">
        <f>'T_TTAFStock'!Z48</f>
        <v/>
      </c>
      <c r="AC1046">
        <f>'T_TTAFStock'!AA48</f>
        <v/>
      </c>
      <c r="AD1046">
        <f>'T_TTAFStock'!AB48</f>
        <v/>
      </c>
      <c r="AE1046">
        <f>'T_TTAFStock'!AC48</f>
        <v/>
      </c>
      <c r="AF1046">
        <f>'T_TTAFStock'!AD48</f>
        <v/>
      </c>
      <c r="AG1046">
        <f>'T_TTAFStock'!AE48</f>
        <v/>
      </c>
      <c r="AH1046">
        <f>'T_TTAFStock'!AF48</f>
        <v/>
      </c>
      <c r="AI1046">
        <f>'T_TTAFStock'!AG48</f>
        <v/>
      </c>
      <c r="AJ1046">
        <f>'T_TTAFStock'!AH48</f>
        <v/>
      </c>
      <c r="AK1046">
        <f>'T_TTAFStock'!AI48</f>
        <v/>
      </c>
      <c r="AL1046">
        <f>'T_TTAFStock'!AJ48</f>
        <v/>
      </c>
      <c r="AM1046">
        <f>'T_TTAFStock'!AK48</f>
        <v/>
      </c>
      <c r="AN1046">
        <f>'T_TTAFStock'!AL48</f>
        <v/>
      </c>
      <c r="AO1046">
        <f>'T_TTAFStock'!AM48</f>
        <v/>
      </c>
      <c r="AP1046">
        <f>'T_TTAFStock'!AN48</f>
        <v/>
      </c>
      <c r="AQ1046">
        <f>'T_TTAFStock'!AO48</f>
        <v/>
      </c>
      <c r="AR1046">
        <f>'T_TTAFStock'!AP48</f>
        <v/>
      </c>
      <c r="AS1046">
        <f>'T_TTAFStock'!AQ48</f>
        <v/>
      </c>
      <c r="AT1046">
        <f>'T_TTAFStock'!AR48</f>
        <v/>
      </c>
      <c r="AU1046">
        <f>'T_TTAFStock'!AS48</f>
        <v/>
      </c>
      <c r="AV1046">
        <f>'T_TTAFStock'!AT48</f>
        <v/>
      </c>
      <c r="AW1046">
        <f>'T_TTAFStock'!AU48</f>
        <v/>
      </c>
      <c r="AX1046">
        <f>'T_TTAFStock'!AV48</f>
        <v/>
      </c>
      <c r="AY1046">
        <f>'T_TTAFStock'!AW48</f>
        <v/>
      </c>
      <c r="AZ1046">
        <f>'T_TTAFStock'!AX48</f>
        <v/>
      </c>
      <c r="BA1046">
        <f>'T_TTAFStock'!AY48</f>
        <v/>
      </c>
      <c r="BB1046">
        <f>'T_TTAFStock'!AZ48</f>
        <v/>
      </c>
      <c r="BC1046">
        <f>'T_TTAFStock'!BA48</f>
        <v/>
      </c>
      <c r="BD1046">
        <f>'T_TTAFStock'!BB48</f>
        <v/>
      </c>
      <c r="BE1046">
        <f>'T_TTAFStock'!BC48</f>
        <v/>
      </c>
      <c r="BF1046">
        <f>'T_TTAFStock'!BD48</f>
        <v/>
      </c>
      <c r="BG1046">
        <f>'T_TTAFStock'!BE48</f>
        <v/>
      </c>
      <c r="BH1046">
        <f>'T_TTAFStock'!BF48</f>
        <v/>
      </c>
      <c r="BI1046">
        <f>'T_TTAFStock'!BG48</f>
        <v/>
      </c>
      <c r="BJ1046">
        <f>'T_TTAFStock'!BH48</f>
        <v/>
      </c>
      <c r="BK1046">
        <f>'T_TTAFStock'!BI48</f>
        <v/>
      </c>
      <c r="BL1046">
        <f>'T_TTAFStock'!BJ48</f>
        <v/>
      </c>
      <c r="BM1046">
        <f>'T_TTAFStock'!BK48</f>
        <v/>
      </c>
      <c r="BN1046">
        <f>'T_TTAFStock'!BL48</f>
        <v/>
      </c>
      <c r="BO1046">
        <f>'T_TTAFStock'!BM48</f>
        <v/>
      </c>
      <c r="BP1046">
        <f>'T_TTAFStock'!BN48</f>
        <v/>
      </c>
      <c r="BQ1046">
        <f>'T_TTAFStock'!BO48</f>
        <v/>
      </c>
      <c r="BR1046">
        <f>'T_TTAFStock'!BP48</f>
        <v/>
      </c>
      <c r="BS1046">
        <f>'T_TTAFStock'!BQ48</f>
        <v/>
      </c>
      <c r="BT1046">
        <f>'T_TTAFStock'!BR48</f>
        <v/>
      </c>
      <c r="BU1046">
        <f>'T_TTAFStock'!BS48</f>
        <v/>
      </c>
      <c r="BV1046">
        <f>'T_TTAFStock'!BT48</f>
        <v/>
      </c>
      <c r="BW1046">
        <f>'T_TTAFStock'!BU48</f>
        <v/>
      </c>
      <c r="BX1046">
        <f>'T_TTAFStock'!BV48</f>
        <v/>
      </c>
      <c r="BY1046">
        <f>'T_TTAFStock'!BW48</f>
        <v/>
      </c>
      <c r="BZ1046">
        <f>'T_TTAFStock'!BX48</f>
        <v/>
      </c>
      <c r="CA1046">
        <f>'T_TTAFStock'!BY48</f>
        <v/>
      </c>
      <c r="CB1046">
        <f>'T_TTAFStock'!BZ48</f>
        <v/>
      </c>
      <c r="CC1046">
        <f>'T_TTAFStock'!CA48</f>
        <v/>
      </c>
      <c r="CD1046">
        <f>'T_TTAFStock'!CB48</f>
        <v/>
      </c>
      <c r="CE1046">
        <f>'T_TTAFStock'!CC48</f>
        <v/>
      </c>
      <c r="CF1046">
        <f>'T_TTAFStock'!CD48</f>
        <v/>
      </c>
      <c r="CG1046">
        <f>'T_TTAFStock'!CE48</f>
        <v/>
      </c>
      <c r="CH1046">
        <f>'T_TTAFStock'!CF48</f>
        <v/>
      </c>
      <c r="CI1046">
        <f>'T_TTAFStock'!CG48</f>
        <v/>
      </c>
      <c r="CJ1046">
        <f>'T_TTAFStock'!CH48</f>
        <v/>
      </c>
      <c r="CK1046">
        <f>'T_TTAFStock'!CI48</f>
        <v/>
      </c>
      <c r="CL1046">
        <f>'T_TTAFStock'!CJ48</f>
        <v/>
      </c>
      <c r="CM1046">
        <f>'T_TTAFStock'!CK48</f>
        <v/>
      </c>
      <c r="CN1046">
        <f>'T_TTAFStock'!CL48</f>
        <v/>
      </c>
      <c r="CO1046">
        <f>'T_TTAFStock'!CM48</f>
        <v/>
      </c>
      <c r="CP1046">
        <f>'T_TTAFStock'!CN48</f>
        <v/>
      </c>
      <c r="CQ1046">
        <f>'T_TTAFStock'!CO48</f>
        <v/>
      </c>
      <c r="CR1046">
        <f>'T_TTAFStock'!CP48</f>
        <v/>
      </c>
      <c r="CS1046">
        <f>'T_TTAFStock'!CQ48</f>
        <v/>
      </c>
      <c r="CT1046">
        <f>'T_TTAFStock'!CR48</f>
        <v/>
      </c>
      <c r="CU1046">
        <f>'T_TTAFStock'!CS48</f>
        <v/>
      </c>
      <c r="CV1046">
        <f>'T_TTAFStock'!CT48</f>
        <v/>
      </c>
      <c r="CW1046">
        <f>'T_TTAFStock'!CU48</f>
        <v/>
      </c>
      <c r="CX1046">
        <f>'T_TTAFStock'!CV48</f>
        <v/>
      </c>
      <c r="CY1046">
        <f>'T_TTAFStock'!CW48</f>
        <v/>
      </c>
      <c r="CZ1046">
        <f>'T_TTAFStock'!CX48</f>
        <v/>
      </c>
      <c r="DA1046">
        <f>'T_TTAFStock'!CY48</f>
        <v/>
      </c>
      <c r="DB1046">
        <f>'T_TTAFStock'!CZ48</f>
        <v/>
      </c>
      <c r="DC1046">
        <f>'T_TTAFStock'!DA48</f>
        <v/>
      </c>
    </row>
    <row r="1047">
      <c r="B1047" t="inlineStr">
        <is>
          <t>自社在庫(実績,kg)</t>
        </is>
      </c>
      <c r="D1047">
        <f>'T_SelfStock'!B48</f>
        <v/>
      </c>
      <c r="E1047">
        <f>'T_SelfStock'!C48</f>
        <v/>
      </c>
      <c r="F1047">
        <f>'T_SelfStock'!D48</f>
        <v/>
      </c>
      <c r="G1047">
        <f>'T_SelfStock'!E48</f>
        <v/>
      </c>
      <c r="H1047">
        <f>'T_SelfStock'!F48</f>
        <v/>
      </c>
      <c r="I1047">
        <f>'T_SelfStock'!G48</f>
        <v/>
      </c>
      <c r="J1047">
        <f>'T_SelfStock'!H48</f>
        <v/>
      </c>
      <c r="K1047">
        <f>'T_SelfStock'!I48</f>
        <v/>
      </c>
      <c r="L1047">
        <f>'T_SelfStock'!J48</f>
        <v/>
      </c>
      <c r="M1047">
        <f>'T_SelfStock'!K48</f>
        <v/>
      </c>
      <c r="N1047">
        <f>'T_SelfStock'!L48</f>
        <v/>
      </c>
      <c r="O1047">
        <f>'T_SelfStock'!M48</f>
        <v/>
      </c>
      <c r="P1047">
        <f>'T_SelfStock'!N48</f>
        <v/>
      </c>
      <c r="Q1047">
        <f>'T_SelfStock'!O48</f>
        <v/>
      </c>
      <c r="R1047">
        <f>'T_SelfStock'!P48</f>
        <v/>
      </c>
      <c r="S1047">
        <f>'T_SelfStock'!Q48</f>
        <v/>
      </c>
      <c r="T1047">
        <f>'T_SelfStock'!R48</f>
        <v/>
      </c>
      <c r="U1047">
        <f>'T_SelfStock'!S48</f>
        <v/>
      </c>
      <c r="V1047">
        <f>'T_SelfStock'!T48</f>
        <v/>
      </c>
      <c r="W1047">
        <f>'T_SelfStock'!U48</f>
        <v/>
      </c>
      <c r="X1047">
        <f>'T_SelfStock'!V48</f>
        <v/>
      </c>
      <c r="Y1047">
        <f>'T_SelfStock'!W48</f>
        <v/>
      </c>
      <c r="Z1047">
        <f>'T_SelfStock'!X48</f>
        <v/>
      </c>
      <c r="AA1047">
        <f>'T_SelfStock'!Y48</f>
        <v/>
      </c>
      <c r="AB1047">
        <f>'T_SelfStock'!Z48</f>
        <v/>
      </c>
      <c r="AC1047">
        <f>'T_SelfStock'!AA48</f>
        <v/>
      </c>
      <c r="AD1047">
        <f>'T_SelfStock'!AB48</f>
        <v/>
      </c>
      <c r="AE1047">
        <f>'T_SelfStock'!AC48</f>
        <v/>
      </c>
      <c r="AF1047">
        <f>'T_SelfStock'!AD48</f>
        <v/>
      </c>
      <c r="AG1047">
        <f>'T_SelfStock'!AE48</f>
        <v/>
      </c>
      <c r="AH1047">
        <f>'T_SelfStock'!AF48</f>
        <v/>
      </c>
      <c r="AI1047">
        <f>'T_SelfStock'!AG48</f>
        <v/>
      </c>
      <c r="AJ1047">
        <f>'T_SelfStock'!AH48</f>
        <v/>
      </c>
      <c r="AK1047">
        <f>'T_SelfStock'!AI48</f>
        <v/>
      </c>
      <c r="AL1047">
        <f>'T_SelfStock'!AJ48</f>
        <v/>
      </c>
      <c r="AM1047">
        <f>'T_SelfStock'!AK48</f>
        <v/>
      </c>
      <c r="AN1047">
        <f>'T_SelfStock'!AL48</f>
        <v/>
      </c>
      <c r="AO1047">
        <f>'T_SelfStock'!AM48</f>
        <v/>
      </c>
      <c r="AP1047">
        <f>'T_SelfStock'!AN48</f>
        <v/>
      </c>
      <c r="AQ1047">
        <f>'T_SelfStock'!AO48</f>
        <v/>
      </c>
      <c r="AR1047">
        <f>'T_SelfStock'!AP48</f>
        <v/>
      </c>
      <c r="AS1047">
        <f>'T_SelfStock'!AQ48</f>
        <v/>
      </c>
      <c r="AT1047">
        <f>'T_SelfStock'!AR48</f>
        <v/>
      </c>
      <c r="AU1047">
        <f>'T_SelfStock'!AS48</f>
        <v/>
      </c>
      <c r="AV1047">
        <f>'T_SelfStock'!AT48</f>
        <v/>
      </c>
      <c r="AW1047">
        <f>'T_SelfStock'!AU48</f>
        <v/>
      </c>
      <c r="AX1047">
        <f>'T_SelfStock'!AV48</f>
        <v/>
      </c>
      <c r="AY1047">
        <f>'T_SelfStock'!AW48</f>
        <v/>
      </c>
      <c r="AZ1047">
        <f>'T_SelfStock'!AX48</f>
        <v/>
      </c>
      <c r="BA1047">
        <f>'T_SelfStock'!AY48</f>
        <v/>
      </c>
      <c r="BB1047">
        <f>'T_SelfStock'!AZ48</f>
        <v/>
      </c>
      <c r="BC1047">
        <f>'T_SelfStock'!BA48</f>
        <v/>
      </c>
      <c r="BD1047">
        <f>'T_SelfStock'!BB48</f>
        <v/>
      </c>
      <c r="BE1047">
        <f>'T_SelfStock'!BC48</f>
        <v/>
      </c>
      <c r="BF1047">
        <f>'T_SelfStock'!BD48</f>
        <v/>
      </c>
      <c r="BG1047">
        <f>'T_SelfStock'!BE48</f>
        <v/>
      </c>
      <c r="BH1047">
        <f>'T_SelfStock'!BF48</f>
        <v/>
      </c>
      <c r="BI1047">
        <f>'T_SelfStock'!BG48</f>
        <v/>
      </c>
      <c r="BJ1047">
        <f>'T_SelfStock'!BH48</f>
        <v/>
      </c>
      <c r="BK1047">
        <f>'T_SelfStock'!BI48</f>
        <v/>
      </c>
      <c r="BL1047">
        <f>'T_SelfStock'!BJ48</f>
        <v/>
      </c>
      <c r="BM1047">
        <f>'T_SelfStock'!BK48</f>
        <v/>
      </c>
      <c r="BN1047">
        <f>'T_SelfStock'!BL48</f>
        <v/>
      </c>
      <c r="BO1047">
        <f>'T_SelfStock'!BM48</f>
        <v/>
      </c>
      <c r="BP1047">
        <f>'T_SelfStock'!BN48</f>
        <v/>
      </c>
      <c r="BQ1047">
        <f>'T_SelfStock'!BO48</f>
        <v/>
      </c>
      <c r="BR1047">
        <f>'T_SelfStock'!BP48</f>
        <v/>
      </c>
      <c r="BS1047">
        <f>'T_SelfStock'!BQ48</f>
        <v/>
      </c>
      <c r="BT1047">
        <f>'T_SelfStock'!BR48</f>
        <v/>
      </c>
      <c r="BU1047">
        <f>'T_SelfStock'!BS48</f>
        <v/>
      </c>
      <c r="BV1047">
        <f>'T_SelfStock'!BT48</f>
        <v/>
      </c>
      <c r="BW1047">
        <f>'T_SelfStock'!BU48</f>
        <v/>
      </c>
      <c r="BX1047">
        <f>'T_SelfStock'!BV48</f>
        <v/>
      </c>
      <c r="BY1047">
        <f>'T_SelfStock'!BW48</f>
        <v/>
      </c>
      <c r="BZ1047">
        <f>'T_SelfStock'!BX48</f>
        <v/>
      </c>
      <c r="CA1047">
        <f>'T_SelfStock'!BY48</f>
        <v/>
      </c>
      <c r="CB1047">
        <f>'T_SelfStock'!BZ48</f>
        <v/>
      </c>
      <c r="CC1047">
        <f>'T_SelfStock'!CA48</f>
        <v/>
      </c>
      <c r="CD1047">
        <f>'T_SelfStock'!CB48</f>
        <v/>
      </c>
      <c r="CE1047">
        <f>'T_SelfStock'!CC48</f>
        <v/>
      </c>
      <c r="CF1047">
        <f>'T_SelfStock'!CD48</f>
        <v/>
      </c>
      <c r="CG1047">
        <f>'T_SelfStock'!CE48</f>
        <v/>
      </c>
      <c r="CH1047">
        <f>'T_SelfStock'!CF48</f>
        <v/>
      </c>
      <c r="CI1047">
        <f>'T_SelfStock'!CG48</f>
        <v/>
      </c>
      <c r="CJ1047">
        <f>'T_SelfStock'!CH48</f>
        <v/>
      </c>
      <c r="CK1047">
        <f>'T_SelfStock'!CI48</f>
        <v/>
      </c>
      <c r="CL1047">
        <f>'T_SelfStock'!CJ48</f>
        <v/>
      </c>
      <c r="CM1047">
        <f>'T_SelfStock'!CK48</f>
        <v/>
      </c>
      <c r="CN1047">
        <f>'T_SelfStock'!CL48</f>
        <v/>
      </c>
      <c r="CO1047">
        <f>'T_SelfStock'!CM48</f>
        <v/>
      </c>
      <c r="CP1047">
        <f>'T_SelfStock'!CN48</f>
        <v/>
      </c>
      <c r="CQ1047">
        <f>'T_SelfStock'!CO48</f>
        <v/>
      </c>
      <c r="CR1047">
        <f>'T_SelfStock'!CP48</f>
        <v/>
      </c>
      <c r="CS1047">
        <f>'T_SelfStock'!CQ48</f>
        <v/>
      </c>
      <c r="CT1047">
        <f>'T_SelfStock'!CR48</f>
        <v/>
      </c>
      <c r="CU1047">
        <f>'T_SelfStock'!CS48</f>
        <v/>
      </c>
      <c r="CV1047">
        <f>'T_SelfStock'!CT48</f>
        <v/>
      </c>
      <c r="CW1047">
        <f>'T_SelfStock'!CU48</f>
        <v/>
      </c>
      <c r="CX1047">
        <f>'T_SelfStock'!CV48</f>
        <v/>
      </c>
      <c r="CY1047">
        <f>'T_SelfStock'!CW48</f>
        <v/>
      </c>
      <c r="CZ1047">
        <f>'T_SelfStock'!CX48</f>
        <v/>
      </c>
      <c r="DA1047">
        <f>'T_SelfStock'!CY48</f>
        <v/>
      </c>
      <c r="DB1047">
        <f>'T_SelfStock'!CZ48</f>
        <v/>
      </c>
      <c r="DC1047">
        <f>'T_SelfStock'!DA48</f>
        <v/>
      </c>
    </row>
    <row r="1048">
      <c r="B1048" s="4" t="inlineStr">
        <is>
          <t>合計在庫(週末時点,kg)</t>
        </is>
      </c>
      <c r="D1048">
        <f>'Grid_Stock'!B44</f>
        <v/>
      </c>
      <c r="E1048">
        <f>'Grid_Stock'!C44</f>
        <v/>
      </c>
      <c r="F1048">
        <f>'Grid_Stock'!D44</f>
        <v/>
      </c>
      <c r="G1048">
        <f>'Grid_Stock'!E44</f>
        <v/>
      </c>
      <c r="H1048">
        <f>'Grid_Stock'!F44</f>
        <v/>
      </c>
      <c r="I1048">
        <f>'Grid_Stock'!G44</f>
        <v/>
      </c>
      <c r="J1048">
        <f>'Grid_Stock'!H44</f>
        <v/>
      </c>
      <c r="K1048">
        <f>'Grid_Stock'!I44</f>
        <v/>
      </c>
      <c r="L1048">
        <f>'Grid_Stock'!J44</f>
        <v/>
      </c>
      <c r="M1048">
        <f>'Grid_Stock'!K44</f>
        <v/>
      </c>
      <c r="N1048">
        <f>'Grid_Stock'!L44</f>
        <v/>
      </c>
      <c r="O1048">
        <f>'Grid_Stock'!M44</f>
        <v/>
      </c>
      <c r="P1048">
        <f>'Grid_Stock'!N44</f>
        <v/>
      </c>
      <c r="Q1048">
        <f>'Grid_Stock'!O44</f>
        <v/>
      </c>
      <c r="R1048">
        <f>'Grid_Stock'!P44</f>
        <v/>
      </c>
      <c r="S1048">
        <f>'Grid_Stock'!Q44</f>
        <v/>
      </c>
      <c r="T1048">
        <f>'Grid_Stock'!R44</f>
        <v/>
      </c>
      <c r="U1048">
        <f>'Grid_Stock'!S44</f>
        <v/>
      </c>
      <c r="V1048">
        <f>'Grid_Stock'!T44</f>
        <v/>
      </c>
      <c r="W1048">
        <f>'Grid_Stock'!U44</f>
        <v/>
      </c>
      <c r="X1048">
        <f>'Grid_Stock'!V44</f>
        <v/>
      </c>
      <c r="Y1048">
        <f>'Grid_Stock'!W44</f>
        <v/>
      </c>
      <c r="Z1048">
        <f>'Grid_Stock'!X44</f>
        <v/>
      </c>
      <c r="AA1048">
        <f>'Grid_Stock'!Y44</f>
        <v/>
      </c>
      <c r="AB1048">
        <f>'Grid_Stock'!Z44</f>
        <v/>
      </c>
      <c r="AC1048">
        <f>'Grid_Stock'!AA44</f>
        <v/>
      </c>
      <c r="AD1048">
        <f>'Grid_Stock'!AB44</f>
        <v/>
      </c>
      <c r="AE1048">
        <f>'Grid_Stock'!AC44</f>
        <v/>
      </c>
      <c r="AF1048">
        <f>'Grid_Stock'!AD44</f>
        <v/>
      </c>
      <c r="AG1048">
        <f>'Grid_Stock'!AE44</f>
        <v/>
      </c>
      <c r="AH1048">
        <f>'Grid_Stock'!AF44</f>
        <v/>
      </c>
      <c r="AI1048">
        <f>'Grid_Stock'!AG44</f>
        <v/>
      </c>
      <c r="AJ1048">
        <f>'Grid_Stock'!AH44</f>
        <v/>
      </c>
      <c r="AK1048">
        <f>'Grid_Stock'!AI44</f>
        <v/>
      </c>
      <c r="AL1048">
        <f>'Grid_Stock'!AJ44</f>
        <v/>
      </c>
      <c r="AM1048">
        <f>'Grid_Stock'!AK44</f>
        <v/>
      </c>
      <c r="AN1048">
        <f>'Grid_Stock'!AL44</f>
        <v/>
      </c>
      <c r="AO1048">
        <f>'Grid_Stock'!AM44</f>
        <v/>
      </c>
      <c r="AP1048">
        <f>'Grid_Stock'!AN44</f>
        <v/>
      </c>
      <c r="AQ1048">
        <f>'Grid_Stock'!AO44</f>
        <v/>
      </c>
      <c r="AR1048">
        <f>'Grid_Stock'!AP44</f>
        <v/>
      </c>
      <c r="AS1048">
        <f>'Grid_Stock'!AQ44</f>
        <v/>
      </c>
      <c r="AT1048">
        <f>'Grid_Stock'!AR44</f>
        <v/>
      </c>
      <c r="AU1048">
        <f>'Grid_Stock'!AS44</f>
        <v/>
      </c>
      <c r="AV1048">
        <f>'Grid_Stock'!AT44</f>
        <v/>
      </c>
      <c r="AW1048">
        <f>'Grid_Stock'!AU44</f>
        <v/>
      </c>
      <c r="AX1048">
        <f>'Grid_Stock'!AV44</f>
        <v/>
      </c>
      <c r="AY1048">
        <f>'Grid_Stock'!AW44</f>
        <v/>
      </c>
      <c r="AZ1048">
        <f>'Grid_Stock'!AX44</f>
        <v/>
      </c>
      <c r="BA1048">
        <f>'Grid_Stock'!AY44</f>
        <v/>
      </c>
      <c r="BB1048">
        <f>'Grid_Stock'!AZ44</f>
        <v/>
      </c>
      <c r="BC1048">
        <f>'Grid_Stock'!BA44</f>
        <v/>
      </c>
      <c r="BD1048">
        <f>'Grid_Stock'!BB44</f>
        <v/>
      </c>
      <c r="BE1048">
        <f>'Grid_Stock'!BC44</f>
        <v/>
      </c>
      <c r="BF1048">
        <f>'Grid_Stock'!BD44</f>
        <v/>
      </c>
      <c r="BG1048">
        <f>'Grid_Stock'!BE44</f>
        <v/>
      </c>
      <c r="BH1048">
        <f>'Grid_Stock'!BF44</f>
        <v/>
      </c>
      <c r="BI1048">
        <f>'Grid_Stock'!BG44</f>
        <v/>
      </c>
      <c r="BJ1048">
        <f>'Grid_Stock'!BH44</f>
        <v/>
      </c>
      <c r="BK1048">
        <f>'Grid_Stock'!BI44</f>
        <v/>
      </c>
      <c r="BL1048">
        <f>'Grid_Stock'!BJ44</f>
        <v/>
      </c>
      <c r="BM1048">
        <f>'Grid_Stock'!BK44</f>
        <v/>
      </c>
      <c r="BN1048">
        <f>'Grid_Stock'!BL44</f>
        <v/>
      </c>
      <c r="BO1048">
        <f>'Grid_Stock'!BM44</f>
        <v/>
      </c>
      <c r="BP1048">
        <f>'Grid_Stock'!BN44</f>
        <v/>
      </c>
      <c r="BQ1048">
        <f>'Grid_Stock'!BO44</f>
        <v/>
      </c>
      <c r="BR1048">
        <f>'Grid_Stock'!BP44</f>
        <v/>
      </c>
      <c r="BS1048">
        <f>'Grid_Stock'!BQ44</f>
        <v/>
      </c>
      <c r="BT1048">
        <f>'Grid_Stock'!BR44</f>
        <v/>
      </c>
      <c r="BU1048">
        <f>'Grid_Stock'!BS44</f>
        <v/>
      </c>
      <c r="BV1048">
        <f>'Grid_Stock'!BT44</f>
        <v/>
      </c>
      <c r="BW1048">
        <f>'Grid_Stock'!BU44</f>
        <v/>
      </c>
      <c r="BX1048">
        <f>'Grid_Stock'!BV44</f>
        <v/>
      </c>
      <c r="BY1048">
        <f>'Grid_Stock'!BW44</f>
        <v/>
      </c>
      <c r="BZ1048">
        <f>'Grid_Stock'!BX44</f>
        <v/>
      </c>
      <c r="CA1048">
        <f>'Grid_Stock'!BY44</f>
        <v/>
      </c>
      <c r="CB1048">
        <f>'Grid_Stock'!BZ44</f>
        <v/>
      </c>
      <c r="CC1048">
        <f>'Grid_Stock'!CA44</f>
        <v/>
      </c>
      <c r="CD1048">
        <f>'Grid_Stock'!CB44</f>
        <v/>
      </c>
      <c r="CE1048">
        <f>'Grid_Stock'!CC44</f>
        <v/>
      </c>
      <c r="CF1048">
        <f>'Grid_Stock'!CD44</f>
        <v/>
      </c>
      <c r="CG1048">
        <f>'Grid_Stock'!CE44</f>
        <v/>
      </c>
      <c r="CH1048">
        <f>'Grid_Stock'!CF44</f>
        <v/>
      </c>
      <c r="CI1048">
        <f>'Grid_Stock'!CG44</f>
        <v/>
      </c>
      <c r="CJ1048">
        <f>'Grid_Stock'!CH44</f>
        <v/>
      </c>
      <c r="CK1048">
        <f>'Grid_Stock'!CI44</f>
        <v/>
      </c>
      <c r="CL1048">
        <f>'Grid_Stock'!CJ44</f>
        <v/>
      </c>
      <c r="CM1048">
        <f>'Grid_Stock'!CK44</f>
        <v/>
      </c>
      <c r="CN1048">
        <f>'Grid_Stock'!CL44</f>
        <v/>
      </c>
      <c r="CO1048">
        <f>'Grid_Stock'!CM44</f>
        <v/>
      </c>
      <c r="CP1048">
        <f>'Grid_Stock'!CN44</f>
        <v/>
      </c>
      <c r="CQ1048">
        <f>'Grid_Stock'!CO44</f>
        <v/>
      </c>
      <c r="CR1048">
        <f>'Grid_Stock'!CP44</f>
        <v/>
      </c>
      <c r="CS1048">
        <f>'Grid_Stock'!CQ44</f>
        <v/>
      </c>
      <c r="CT1048">
        <f>'Grid_Stock'!CR44</f>
        <v/>
      </c>
      <c r="CU1048">
        <f>'Grid_Stock'!CS44</f>
        <v/>
      </c>
      <c r="CV1048">
        <f>'Grid_Stock'!CT44</f>
        <v/>
      </c>
      <c r="CW1048">
        <f>'Grid_Stock'!CU44</f>
        <v/>
      </c>
      <c r="CX1048">
        <f>'Grid_Stock'!CV44</f>
        <v/>
      </c>
      <c r="CY1048">
        <f>'Grid_Stock'!CW44</f>
        <v/>
      </c>
      <c r="CZ1048">
        <f>'Grid_Stock'!CX44</f>
        <v/>
      </c>
      <c r="DA1048">
        <f>'Grid_Stock'!CY44</f>
        <v/>
      </c>
      <c r="DB1048">
        <f>'Grid_Stock'!CZ44</f>
        <v/>
      </c>
      <c r="DC1048">
        <f>'Grid_Stock'!DA44</f>
        <v/>
      </c>
    </row>
    <row r="1049">
      <c r="B1049" s="16" t="inlineStr">
        <is>
          <t>（発注の目安はDashboardの基準在庫[下限/上限]と色分けを参照）</t>
        </is>
      </c>
    </row>
    <row r="1051">
      <c r="A1051" s="14" t="inlineStr">
        <is>
          <t>9RN</t>
        </is>
      </c>
      <c r="B1051" s="14" t="inlineStr">
        <is>
          <t>N30S89R11WF7  4FK13117080</t>
        </is>
      </c>
      <c r="C1051" s="15" t="n"/>
      <c r="D1051" s="14" t="n"/>
      <c r="E1051" s="14" t="n"/>
      <c r="F1051" s="14" t="n"/>
      <c r="G1051" s="14" t="n"/>
      <c r="H1051" s="14" t="n"/>
      <c r="I1051" s="14" t="n"/>
      <c r="J1051" s="14" t="n"/>
      <c r="K1051" s="14" t="n"/>
      <c r="L1051" s="14" t="n"/>
      <c r="M1051" s="14" t="n"/>
      <c r="N1051" s="14" t="n"/>
      <c r="O1051" s="14" t="n"/>
      <c r="P1051" s="14" t="n"/>
      <c r="Q1051" s="14" t="n"/>
      <c r="R1051" s="14" t="n"/>
      <c r="S1051" s="14" t="n"/>
      <c r="T1051" s="14" t="n"/>
      <c r="U1051" s="14" t="n"/>
      <c r="V1051" s="14" t="n"/>
      <c r="W1051" s="14" t="n"/>
      <c r="X1051" s="14" t="n"/>
      <c r="Y1051" s="14" t="n"/>
      <c r="Z1051" s="14" t="n"/>
      <c r="AA1051" s="14" t="n"/>
      <c r="AB1051" s="14" t="n"/>
      <c r="AC1051" s="14" t="n"/>
      <c r="AD1051" s="14" t="n"/>
      <c r="AE1051" s="14" t="n"/>
      <c r="AF1051" s="14" t="n"/>
      <c r="AG1051" s="14" t="n"/>
      <c r="AH1051" s="14" t="n"/>
      <c r="AI1051" s="14" t="n"/>
      <c r="AJ1051" s="14" t="n"/>
      <c r="AK1051" s="14" t="n"/>
      <c r="AL1051" s="14" t="n"/>
      <c r="AM1051" s="14" t="n"/>
      <c r="AN1051" s="14" t="n"/>
      <c r="AO1051" s="14" t="n"/>
      <c r="AP1051" s="14" t="n"/>
      <c r="AQ1051" s="14" t="n"/>
      <c r="AR1051" s="14" t="n"/>
      <c r="AS1051" s="14" t="n"/>
      <c r="AT1051" s="14" t="n"/>
      <c r="AU1051" s="14" t="n"/>
      <c r="AV1051" s="14" t="n"/>
      <c r="AW1051" s="14" t="n"/>
      <c r="AX1051" s="14" t="n"/>
      <c r="AY1051" s="14" t="n"/>
      <c r="AZ1051" s="14" t="n"/>
      <c r="BA1051" s="14" t="n"/>
      <c r="BB1051" s="14" t="n"/>
      <c r="BC1051" s="14" t="n"/>
      <c r="BD1051" s="14" t="n"/>
      <c r="BE1051" s="14" t="n"/>
      <c r="BF1051" s="14" t="n"/>
      <c r="BG1051" s="14" t="n"/>
      <c r="BH1051" s="14" t="n"/>
      <c r="BI1051" s="14" t="n"/>
      <c r="BJ1051" s="14" t="n"/>
      <c r="BK1051" s="14" t="n"/>
      <c r="BL1051" s="14" t="n"/>
      <c r="BM1051" s="14" t="n"/>
      <c r="BN1051" s="14" t="n"/>
      <c r="BO1051" s="14" t="n"/>
      <c r="BP1051" s="14" t="n"/>
      <c r="BQ1051" s="14" t="n"/>
      <c r="BR1051" s="14" t="n"/>
      <c r="BS1051" s="14" t="n"/>
      <c r="BT1051" s="14" t="n"/>
      <c r="BU1051" s="14" t="n"/>
      <c r="BV1051" s="14" t="n"/>
      <c r="BW1051" s="14" t="n"/>
      <c r="BX1051" s="14" t="n"/>
      <c r="BY1051" s="14" t="n"/>
      <c r="BZ1051" s="14" t="n"/>
      <c r="CA1051" s="14" t="n"/>
      <c r="CB1051" s="14" t="n"/>
      <c r="CC1051" s="14" t="n"/>
      <c r="CD1051" s="14" t="n"/>
      <c r="CE1051" s="14" t="n"/>
      <c r="CF1051" s="14" t="n"/>
      <c r="CG1051" s="14" t="n"/>
      <c r="CH1051" s="14" t="n"/>
      <c r="CI1051" s="14" t="n"/>
      <c r="CJ1051" s="14" t="n"/>
      <c r="CK1051" s="14" t="n"/>
      <c r="CL1051" s="14" t="n"/>
      <c r="CM1051" s="14" t="n"/>
      <c r="CN1051" s="14" t="n"/>
      <c r="CO1051" s="14" t="n"/>
      <c r="CP1051" s="14" t="n"/>
      <c r="CQ1051" s="14" t="n"/>
      <c r="CR1051" s="14" t="n"/>
      <c r="CS1051" s="14" t="n"/>
      <c r="CT1051" s="14" t="n"/>
      <c r="CU1051" s="14" t="n"/>
      <c r="CV1051" s="14" t="n"/>
      <c r="CW1051" s="14" t="n"/>
      <c r="CX1051" s="14" t="n"/>
      <c r="CY1051" s="14" t="n"/>
      <c r="CZ1051" s="14" t="n"/>
      <c r="DA1051" s="14" t="n"/>
      <c r="DB1051" s="14" t="n"/>
      <c r="DC1051" s="14" t="n"/>
    </row>
    <row r="1052">
      <c r="B1052" t="inlineStr">
        <is>
          <t>K0050</t>
        </is>
      </c>
      <c r="C1052" t="inlineStr">
        <is>
          <t>No. of batches</t>
        </is>
      </c>
      <c r="D1052">
        <f>IFERROR(INDEX(PP_Grid[#Data],$DD1052,2),0)</f>
        <v/>
      </c>
      <c r="E1052">
        <f>IFERROR(INDEX(PP_Grid[#Data],$DD1052,3),0)</f>
        <v/>
      </c>
      <c r="F1052">
        <f>IFERROR(INDEX(PP_Grid[#Data],$DD1052,4),0)</f>
        <v/>
      </c>
      <c r="G1052">
        <f>IFERROR(INDEX(PP_Grid[#Data],$DD1052,5),0)</f>
        <v/>
      </c>
      <c r="H1052">
        <f>IFERROR(INDEX(PP_Grid[#Data],$DD1052,6),0)</f>
        <v/>
      </c>
      <c r="I1052">
        <f>IFERROR(INDEX(PP_Grid[#Data],$DD1052,7),0)</f>
        <v/>
      </c>
      <c r="J1052">
        <f>IFERROR(INDEX(PP_Grid[#Data],$DD1052,8),0)</f>
        <v/>
      </c>
      <c r="K1052">
        <f>IFERROR(INDEX(PP_Grid[#Data],$DD1052,9),0)</f>
        <v/>
      </c>
      <c r="L1052">
        <f>IFERROR(INDEX(PP_Grid[#Data],$DD1052,10),0)</f>
        <v/>
      </c>
      <c r="M1052">
        <f>IFERROR(INDEX(PP_Grid[#Data],$DD1052,11),0)</f>
        <v/>
      </c>
      <c r="N1052">
        <f>IFERROR(INDEX(PP_Grid[#Data],$DD1052,12),0)</f>
        <v/>
      </c>
      <c r="O1052">
        <f>IFERROR(INDEX(PP_Grid[#Data],$DD1052,13),0)</f>
        <v/>
      </c>
      <c r="P1052">
        <f>IFERROR(INDEX(PP_Grid[#Data],$DD1052,14),0)</f>
        <v/>
      </c>
      <c r="Q1052">
        <f>IFERROR(INDEX(PP_Grid[#Data],$DD1052,15),0)</f>
        <v/>
      </c>
      <c r="R1052">
        <f>IFERROR(INDEX(PP_Grid[#Data],$DD1052,16),0)</f>
        <v/>
      </c>
      <c r="S1052">
        <f>IFERROR(INDEX(PP_Grid[#Data],$DD1052,17),0)</f>
        <v/>
      </c>
      <c r="T1052">
        <f>IFERROR(INDEX(PP_Grid[#Data],$DD1052,18),0)</f>
        <v/>
      </c>
      <c r="U1052">
        <f>IFERROR(INDEX(PP_Grid[#Data],$DD1052,19),0)</f>
        <v/>
      </c>
      <c r="V1052">
        <f>IFERROR(INDEX(PP_Grid[#Data],$DD1052,20),0)</f>
        <v/>
      </c>
      <c r="W1052">
        <f>IFERROR(INDEX(PP_Grid[#Data],$DD1052,21),0)</f>
        <v/>
      </c>
      <c r="X1052">
        <f>IFERROR(INDEX(PP_Grid[#Data],$DD1052,22),0)</f>
        <v/>
      </c>
      <c r="Y1052">
        <f>IFERROR(INDEX(PP_Grid[#Data],$DD1052,23),0)</f>
        <v/>
      </c>
      <c r="Z1052">
        <f>IFERROR(INDEX(PP_Grid[#Data],$DD1052,24),0)</f>
        <v/>
      </c>
      <c r="AA1052">
        <f>IFERROR(INDEX(PP_Grid[#Data],$DD1052,25),0)</f>
        <v/>
      </c>
      <c r="AB1052">
        <f>IFERROR(INDEX(PP_Grid[#Data],$DD1052,26),0)</f>
        <v/>
      </c>
      <c r="AC1052">
        <f>IFERROR(INDEX(PP_Grid[#Data],$DD1052,27),0)</f>
        <v/>
      </c>
      <c r="AD1052">
        <f>IFERROR(INDEX(PP_Grid[#Data],$DD1052,28),0)</f>
        <v/>
      </c>
      <c r="AE1052">
        <f>IFERROR(INDEX(PP_Grid[#Data],$DD1052,29),0)</f>
        <v/>
      </c>
      <c r="AF1052">
        <f>IFERROR(INDEX(PP_Grid[#Data],$DD1052,30),0)</f>
        <v/>
      </c>
      <c r="AG1052">
        <f>IFERROR(INDEX(PP_Grid[#Data],$DD1052,31),0)</f>
        <v/>
      </c>
      <c r="AH1052">
        <f>IFERROR(INDEX(PP_Grid[#Data],$DD1052,32),0)</f>
        <v/>
      </c>
      <c r="AI1052">
        <f>IFERROR(INDEX(PP_Grid[#Data],$DD1052,33),0)</f>
        <v/>
      </c>
      <c r="AJ1052">
        <f>IFERROR(INDEX(PP_Grid[#Data],$DD1052,34),0)</f>
        <v/>
      </c>
      <c r="AK1052">
        <f>IFERROR(INDEX(PP_Grid[#Data],$DD1052,35),0)</f>
        <v/>
      </c>
      <c r="AL1052">
        <f>IFERROR(INDEX(PP_Grid[#Data],$DD1052,36),0)</f>
        <v/>
      </c>
      <c r="AM1052">
        <f>IFERROR(INDEX(PP_Grid[#Data],$DD1052,37),0)</f>
        <v/>
      </c>
      <c r="AN1052">
        <f>IFERROR(INDEX(PP_Grid[#Data],$DD1052,38),0)</f>
        <v/>
      </c>
      <c r="AO1052">
        <f>IFERROR(INDEX(PP_Grid[#Data],$DD1052,39),0)</f>
        <v/>
      </c>
      <c r="AP1052">
        <f>IFERROR(INDEX(PP_Grid[#Data],$DD1052,40),0)</f>
        <v/>
      </c>
      <c r="AQ1052">
        <f>IFERROR(INDEX(PP_Grid[#Data],$DD1052,41),0)</f>
        <v/>
      </c>
      <c r="AR1052">
        <f>IFERROR(INDEX(PP_Grid[#Data],$DD1052,42),0)</f>
        <v/>
      </c>
      <c r="AS1052">
        <f>IFERROR(INDEX(PP_Grid[#Data],$DD1052,43),0)</f>
        <v/>
      </c>
      <c r="AT1052">
        <f>IFERROR(INDEX(PP_Grid[#Data],$DD1052,44),0)</f>
        <v/>
      </c>
      <c r="AU1052">
        <f>IFERROR(INDEX(PP_Grid[#Data],$DD1052,45),0)</f>
        <v/>
      </c>
      <c r="AV1052">
        <f>IFERROR(INDEX(PP_Grid[#Data],$DD1052,46),0)</f>
        <v/>
      </c>
      <c r="AW1052">
        <f>IFERROR(INDEX(PP_Grid[#Data],$DD1052,47),0)</f>
        <v/>
      </c>
      <c r="AX1052">
        <f>IFERROR(INDEX(PP_Grid[#Data],$DD1052,48),0)</f>
        <v/>
      </c>
      <c r="AY1052">
        <f>IFERROR(INDEX(PP_Grid[#Data],$DD1052,49),0)</f>
        <v/>
      </c>
      <c r="AZ1052">
        <f>IFERROR(INDEX(PP_Grid[#Data],$DD1052,50),0)</f>
        <v/>
      </c>
      <c r="BA1052">
        <f>IFERROR(INDEX(PP_Grid[#Data],$DD1052,51),0)</f>
        <v/>
      </c>
      <c r="BB1052">
        <f>IFERROR(INDEX(PP_Grid[#Data],$DD1052,52),0)</f>
        <v/>
      </c>
      <c r="BC1052">
        <f>IFERROR(INDEX(PP_Grid[#Data],$DD1052,53),0)</f>
        <v/>
      </c>
      <c r="BD1052">
        <f>IFERROR(INDEX(PP_Grid[#Data],$DD1052,54),0)</f>
        <v/>
      </c>
      <c r="BE1052">
        <f>IFERROR(INDEX(PP_Grid[#Data],$DD1052,55),0)</f>
        <v/>
      </c>
      <c r="BF1052">
        <f>IFERROR(INDEX(PP_Grid[#Data],$DD1052,56),0)</f>
        <v/>
      </c>
      <c r="BG1052">
        <f>IFERROR(INDEX(PP_Grid[#Data],$DD1052,57),0)</f>
        <v/>
      </c>
      <c r="BH1052">
        <f>IFERROR(INDEX(PP_Grid[#Data],$DD1052,58),0)</f>
        <v/>
      </c>
      <c r="BI1052">
        <f>IFERROR(INDEX(PP_Grid[#Data],$DD1052,59),0)</f>
        <v/>
      </c>
      <c r="BJ1052">
        <f>IFERROR(INDEX(PP_Grid[#Data],$DD1052,60),0)</f>
        <v/>
      </c>
      <c r="BK1052">
        <f>IFERROR(INDEX(PP_Grid[#Data],$DD1052,61),0)</f>
        <v/>
      </c>
      <c r="BL1052">
        <f>IFERROR(INDEX(PP_Grid[#Data],$DD1052,62),0)</f>
        <v/>
      </c>
      <c r="BM1052">
        <f>IFERROR(INDEX(PP_Grid[#Data],$DD1052,63),0)</f>
        <v/>
      </c>
      <c r="BN1052">
        <f>IFERROR(INDEX(PP_Grid[#Data],$DD1052,64),0)</f>
        <v/>
      </c>
      <c r="BO1052">
        <f>IFERROR(INDEX(PP_Grid[#Data],$DD1052,65),0)</f>
        <v/>
      </c>
      <c r="BP1052">
        <f>IFERROR(INDEX(PP_Grid[#Data],$DD1052,66),0)</f>
        <v/>
      </c>
      <c r="BQ1052">
        <f>IFERROR(INDEX(PP_Grid[#Data],$DD1052,67),0)</f>
        <v/>
      </c>
      <c r="BR1052">
        <f>IFERROR(INDEX(PP_Grid[#Data],$DD1052,68),0)</f>
        <v/>
      </c>
      <c r="BS1052">
        <f>IFERROR(INDEX(PP_Grid[#Data],$DD1052,69),0)</f>
        <v/>
      </c>
      <c r="BT1052">
        <f>IFERROR(INDEX(PP_Grid[#Data],$DD1052,70),0)</f>
        <v/>
      </c>
      <c r="BU1052">
        <f>IFERROR(INDEX(PP_Grid[#Data],$DD1052,71),0)</f>
        <v/>
      </c>
      <c r="BV1052">
        <f>IFERROR(INDEX(PP_Grid[#Data],$DD1052,72),0)</f>
        <v/>
      </c>
      <c r="BW1052">
        <f>IFERROR(INDEX(PP_Grid[#Data],$DD1052,73),0)</f>
        <v/>
      </c>
      <c r="BX1052">
        <f>IFERROR(INDEX(PP_Grid[#Data],$DD1052,74),0)</f>
        <v/>
      </c>
      <c r="BY1052">
        <f>IFERROR(INDEX(PP_Grid[#Data],$DD1052,75),0)</f>
        <v/>
      </c>
      <c r="BZ1052">
        <f>IFERROR(INDEX(PP_Grid[#Data],$DD1052,76),0)</f>
        <v/>
      </c>
      <c r="CA1052">
        <f>IFERROR(INDEX(PP_Grid[#Data],$DD1052,77),0)</f>
        <v/>
      </c>
      <c r="CB1052">
        <f>IFERROR(INDEX(PP_Grid[#Data],$DD1052,78),0)</f>
        <v/>
      </c>
      <c r="CC1052">
        <f>IFERROR(INDEX(PP_Grid[#Data],$DD1052,79),0)</f>
        <v/>
      </c>
      <c r="CD1052">
        <f>IFERROR(INDEX(PP_Grid[#Data],$DD1052,80),0)</f>
        <v/>
      </c>
      <c r="CE1052">
        <f>IFERROR(INDEX(PP_Grid[#Data],$DD1052,81),0)</f>
        <v/>
      </c>
      <c r="CF1052">
        <f>IFERROR(INDEX(PP_Grid[#Data],$DD1052,82),0)</f>
        <v/>
      </c>
      <c r="CG1052">
        <f>IFERROR(INDEX(PP_Grid[#Data],$DD1052,83),0)</f>
        <v/>
      </c>
      <c r="CH1052">
        <f>IFERROR(INDEX(PP_Grid[#Data],$DD1052,84),0)</f>
        <v/>
      </c>
      <c r="CI1052">
        <f>IFERROR(INDEX(PP_Grid[#Data],$DD1052,85),0)</f>
        <v/>
      </c>
      <c r="CJ1052">
        <f>IFERROR(INDEX(PP_Grid[#Data],$DD1052,86),0)</f>
        <v/>
      </c>
      <c r="CK1052">
        <f>IFERROR(INDEX(PP_Grid[#Data],$DD1052,87),0)</f>
        <v/>
      </c>
      <c r="CL1052">
        <f>IFERROR(INDEX(PP_Grid[#Data],$DD1052,88),0)</f>
        <v/>
      </c>
      <c r="CM1052">
        <f>IFERROR(INDEX(PP_Grid[#Data],$DD1052,89),0)</f>
        <v/>
      </c>
      <c r="CN1052">
        <f>IFERROR(INDEX(PP_Grid[#Data],$DD1052,90),0)</f>
        <v/>
      </c>
      <c r="CO1052">
        <f>IFERROR(INDEX(PP_Grid[#Data],$DD1052,91),0)</f>
        <v/>
      </c>
      <c r="CP1052">
        <f>IFERROR(INDEX(PP_Grid[#Data],$DD1052,92),0)</f>
        <v/>
      </c>
      <c r="CQ1052">
        <f>IFERROR(INDEX(PP_Grid[#Data],$DD1052,93),0)</f>
        <v/>
      </c>
      <c r="CR1052">
        <f>IFERROR(INDEX(PP_Grid[#Data],$DD1052,94),0)</f>
        <v/>
      </c>
      <c r="CS1052">
        <f>IFERROR(INDEX(PP_Grid[#Data],$DD1052,95),0)</f>
        <v/>
      </c>
      <c r="CT1052">
        <f>IFERROR(INDEX(PP_Grid[#Data],$DD1052,96),0)</f>
        <v/>
      </c>
      <c r="CU1052">
        <f>IFERROR(INDEX(PP_Grid[#Data],$DD1052,97),0)</f>
        <v/>
      </c>
      <c r="CV1052">
        <f>IFERROR(INDEX(PP_Grid[#Data],$DD1052,98),0)</f>
        <v/>
      </c>
      <c r="CW1052">
        <f>IFERROR(INDEX(PP_Grid[#Data],$DD1052,99),0)</f>
        <v/>
      </c>
      <c r="CX1052">
        <f>IFERROR(INDEX(PP_Grid[#Data],$DD1052,100),0)</f>
        <v/>
      </c>
      <c r="CY1052">
        <f>IFERROR(INDEX(PP_Grid[#Data],$DD1052,101),0)</f>
        <v/>
      </c>
      <c r="CZ1052">
        <f>IFERROR(INDEX(PP_Grid[#Data],$DD1052,102),0)</f>
        <v/>
      </c>
      <c r="DA1052">
        <f>IFERROR(INDEX(PP_Grid[#Data],$DD1052,103),0)</f>
        <v/>
      </c>
      <c r="DB1052">
        <f>IFERROR(INDEX(PP_Grid[#Data],$DD1052,104),0)</f>
        <v/>
      </c>
      <c r="DC1052">
        <f>IFERROR(INDEX(PP_Grid[#Data],$DD1052,105),0)</f>
        <v/>
      </c>
      <c r="DD1052" s="7">
        <f>IFERROR(MATCH($B1052,PP_Grid[Intermediate],0),99999)</f>
        <v/>
      </c>
    </row>
    <row r="1053">
      <c r="B1053" t="inlineStr">
        <is>
          <t>使用量(kg)</t>
        </is>
      </c>
      <c r="C1053">
        <f>SUMIFS(M_BOM[RM_Qty_Per_Batch],M_BOM[Intermediate],$B1052,M_BOM[Part Name],$A1051)</f>
        <v/>
      </c>
      <c r="D1053">
        <f>$C1053*D1052</f>
        <v/>
      </c>
      <c r="E1053">
        <f>$C1053*E1052</f>
        <v/>
      </c>
      <c r="F1053">
        <f>$C1053*F1052</f>
        <v/>
      </c>
      <c r="G1053">
        <f>$C1053*G1052</f>
        <v/>
      </c>
      <c r="H1053">
        <f>$C1053*H1052</f>
        <v/>
      </c>
      <c r="I1053">
        <f>$C1053*I1052</f>
        <v/>
      </c>
      <c r="J1053">
        <f>$C1053*J1052</f>
        <v/>
      </c>
      <c r="K1053">
        <f>$C1053*K1052</f>
        <v/>
      </c>
      <c r="L1053">
        <f>$C1053*L1052</f>
        <v/>
      </c>
      <c r="M1053">
        <f>$C1053*M1052</f>
        <v/>
      </c>
      <c r="N1053">
        <f>$C1053*N1052</f>
        <v/>
      </c>
      <c r="O1053">
        <f>$C1053*O1052</f>
        <v/>
      </c>
      <c r="P1053">
        <f>$C1053*P1052</f>
        <v/>
      </c>
      <c r="Q1053">
        <f>$C1053*Q1052</f>
        <v/>
      </c>
      <c r="R1053">
        <f>$C1053*R1052</f>
        <v/>
      </c>
      <c r="S1053">
        <f>$C1053*S1052</f>
        <v/>
      </c>
      <c r="T1053">
        <f>$C1053*T1052</f>
        <v/>
      </c>
      <c r="U1053">
        <f>$C1053*U1052</f>
        <v/>
      </c>
      <c r="V1053">
        <f>$C1053*V1052</f>
        <v/>
      </c>
      <c r="W1053">
        <f>$C1053*W1052</f>
        <v/>
      </c>
      <c r="X1053">
        <f>$C1053*X1052</f>
        <v/>
      </c>
      <c r="Y1053">
        <f>$C1053*Y1052</f>
        <v/>
      </c>
      <c r="Z1053">
        <f>$C1053*Z1052</f>
        <v/>
      </c>
      <c r="AA1053">
        <f>$C1053*AA1052</f>
        <v/>
      </c>
      <c r="AB1053">
        <f>$C1053*AB1052</f>
        <v/>
      </c>
      <c r="AC1053">
        <f>$C1053*AC1052</f>
        <v/>
      </c>
      <c r="AD1053">
        <f>$C1053*AD1052</f>
        <v/>
      </c>
      <c r="AE1053">
        <f>$C1053*AE1052</f>
        <v/>
      </c>
      <c r="AF1053">
        <f>$C1053*AF1052</f>
        <v/>
      </c>
      <c r="AG1053">
        <f>$C1053*AG1052</f>
        <v/>
      </c>
      <c r="AH1053">
        <f>$C1053*AH1052</f>
        <v/>
      </c>
      <c r="AI1053">
        <f>$C1053*AI1052</f>
        <v/>
      </c>
      <c r="AJ1053">
        <f>$C1053*AJ1052</f>
        <v/>
      </c>
      <c r="AK1053">
        <f>$C1053*AK1052</f>
        <v/>
      </c>
      <c r="AL1053">
        <f>$C1053*AL1052</f>
        <v/>
      </c>
      <c r="AM1053">
        <f>$C1053*AM1052</f>
        <v/>
      </c>
      <c r="AN1053">
        <f>$C1053*AN1052</f>
        <v/>
      </c>
      <c r="AO1053">
        <f>$C1053*AO1052</f>
        <v/>
      </c>
      <c r="AP1053">
        <f>$C1053*AP1052</f>
        <v/>
      </c>
      <c r="AQ1053">
        <f>$C1053*AQ1052</f>
        <v/>
      </c>
      <c r="AR1053">
        <f>$C1053*AR1052</f>
        <v/>
      </c>
      <c r="AS1053">
        <f>$C1053*AS1052</f>
        <v/>
      </c>
      <c r="AT1053">
        <f>$C1053*AT1052</f>
        <v/>
      </c>
      <c r="AU1053">
        <f>$C1053*AU1052</f>
        <v/>
      </c>
      <c r="AV1053">
        <f>$C1053*AV1052</f>
        <v/>
      </c>
      <c r="AW1053">
        <f>$C1053*AW1052</f>
        <v/>
      </c>
      <c r="AX1053">
        <f>$C1053*AX1052</f>
        <v/>
      </c>
      <c r="AY1053">
        <f>$C1053*AY1052</f>
        <v/>
      </c>
      <c r="AZ1053">
        <f>$C1053*AZ1052</f>
        <v/>
      </c>
      <c r="BA1053">
        <f>$C1053*BA1052</f>
        <v/>
      </c>
      <c r="BB1053">
        <f>$C1053*BB1052</f>
        <v/>
      </c>
      <c r="BC1053">
        <f>$C1053*BC1052</f>
        <v/>
      </c>
      <c r="BD1053">
        <f>$C1053*BD1052</f>
        <v/>
      </c>
      <c r="BE1053">
        <f>$C1053*BE1052</f>
        <v/>
      </c>
      <c r="BF1053">
        <f>$C1053*BF1052</f>
        <v/>
      </c>
      <c r="BG1053">
        <f>$C1053*BG1052</f>
        <v/>
      </c>
      <c r="BH1053">
        <f>$C1053*BH1052</f>
        <v/>
      </c>
      <c r="BI1053">
        <f>$C1053*BI1052</f>
        <v/>
      </c>
      <c r="BJ1053">
        <f>$C1053*BJ1052</f>
        <v/>
      </c>
      <c r="BK1053">
        <f>$C1053*BK1052</f>
        <v/>
      </c>
      <c r="BL1053">
        <f>$C1053*BL1052</f>
        <v/>
      </c>
      <c r="BM1053">
        <f>$C1053*BM1052</f>
        <v/>
      </c>
      <c r="BN1053">
        <f>$C1053*BN1052</f>
        <v/>
      </c>
      <c r="BO1053">
        <f>$C1053*BO1052</f>
        <v/>
      </c>
      <c r="BP1053">
        <f>$C1053*BP1052</f>
        <v/>
      </c>
      <c r="BQ1053">
        <f>$C1053*BQ1052</f>
        <v/>
      </c>
      <c r="BR1053">
        <f>$C1053*BR1052</f>
        <v/>
      </c>
      <c r="BS1053">
        <f>$C1053*BS1052</f>
        <v/>
      </c>
      <c r="BT1053">
        <f>$C1053*BT1052</f>
        <v/>
      </c>
      <c r="BU1053">
        <f>$C1053*BU1052</f>
        <v/>
      </c>
      <c r="BV1053">
        <f>$C1053*BV1052</f>
        <v/>
      </c>
      <c r="BW1053">
        <f>$C1053*BW1052</f>
        <v/>
      </c>
      <c r="BX1053">
        <f>$C1053*BX1052</f>
        <v/>
      </c>
      <c r="BY1053">
        <f>$C1053*BY1052</f>
        <v/>
      </c>
      <c r="BZ1053">
        <f>$C1053*BZ1052</f>
        <v/>
      </c>
      <c r="CA1053">
        <f>$C1053*CA1052</f>
        <v/>
      </c>
      <c r="CB1053">
        <f>$C1053*CB1052</f>
        <v/>
      </c>
      <c r="CC1053">
        <f>$C1053*CC1052</f>
        <v/>
      </c>
      <c r="CD1053">
        <f>$C1053*CD1052</f>
        <v/>
      </c>
      <c r="CE1053">
        <f>$C1053*CE1052</f>
        <v/>
      </c>
      <c r="CF1053">
        <f>$C1053*CF1052</f>
        <v/>
      </c>
      <c r="CG1053">
        <f>$C1053*CG1052</f>
        <v/>
      </c>
      <c r="CH1053">
        <f>$C1053*CH1052</f>
        <v/>
      </c>
      <c r="CI1053">
        <f>$C1053*CI1052</f>
        <v/>
      </c>
      <c r="CJ1053">
        <f>$C1053*CJ1052</f>
        <v/>
      </c>
      <c r="CK1053">
        <f>$C1053*CK1052</f>
        <v/>
      </c>
      <c r="CL1053">
        <f>$C1053*CL1052</f>
        <v/>
      </c>
      <c r="CM1053">
        <f>$C1053*CM1052</f>
        <v/>
      </c>
      <c r="CN1053">
        <f>$C1053*CN1052</f>
        <v/>
      </c>
      <c r="CO1053">
        <f>$C1053*CO1052</f>
        <v/>
      </c>
      <c r="CP1053">
        <f>$C1053*CP1052</f>
        <v/>
      </c>
      <c r="CQ1053">
        <f>$C1053*CQ1052</f>
        <v/>
      </c>
      <c r="CR1053">
        <f>$C1053*CR1052</f>
        <v/>
      </c>
      <c r="CS1053">
        <f>$C1053*CS1052</f>
        <v/>
      </c>
      <c r="CT1053">
        <f>$C1053*CT1052</f>
        <v/>
      </c>
      <c r="CU1053">
        <f>$C1053*CU1052</f>
        <v/>
      </c>
      <c r="CV1053">
        <f>$C1053*CV1052</f>
        <v/>
      </c>
      <c r="CW1053">
        <f>$C1053*CW1052</f>
        <v/>
      </c>
      <c r="CX1053">
        <f>$C1053*CX1052</f>
        <v/>
      </c>
      <c r="CY1053">
        <f>$C1053*CY1052</f>
        <v/>
      </c>
      <c r="CZ1053">
        <f>$C1053*CZ1052</f>
        <v/>
      </c>
      <c r="DA1053">
        <f>$C1053*DA1052</f>
        <v/>
      </c>
      <c r="DB1053">
        <f>$C1053*DB1052</f>
        <v/>
      </c>
      <c r="DC1053">
        <f>$C1053*DC1052</f>
        <v/>
      </c>
    </row>
    <row r="1054">
      <c r="B1054" s="4" t="inlineStr">
        <is>
          <t>合計使用量(kg)/週</t>
        </is>
      </c>
      <c r="D1054">
        <f>'Grid_Requirement'!B14</f>
        <v/>
      </c>
      <c r="E1054">
        <f>'Grid_Requirement'!C14</f>
        <v/>
      </c>
      <c r="F1054">
        <f>'Grid_Requirement'!D14</f>
        <v/>
      </c>
      <c r="G1054">
        <f>'Grid_Requirement'!E14</f>
        <v/>
      </c>
      <c r="H1054">
        <f>'Grid_Requirement'!F14</f>
        <v/>
      </c>
      <c r="I1054">
        <f>'Grid_Requirement'!G14</f>
        <v/>
      </c>
      <c r="J1054">
        <f>'Grid_Requirement'!H14</f>
        <v/>
      </c>
      <c r="K1054">
        <f>'Grid_Requirement'!I14</f>
        <v/>
      </c>
      <c r="L1054">
        <f>'Grid_Requirement'!J14</f>
        <v/>
      </c>
      <c r="M1054">
        <f>'Grid_Requirement'!K14</f>
        <v/>
      </c>
      <c r="N1054">
        <f>'Grid_Requirement'!L14</f>
        <v/>
      </c>
      <c r="O1054">
        <f>'Grid_Requirement'!M14</f>
        <v/>
      </c>
      <c r="P1054">
        <f>'Grid_Requirement'!N14</f>
        <v/>
      </c>
      <c r="Q1054">
        <f>'Grid_Requirement'!O14</f>
        <v/>
      </c>
      <c r="R1054">
        <f>'Grid_Requirement'!P14</f>
        <v/>
      </c>
      <c r="S1054">
        <f>'Grid_Requirement'!Q14</f>
        <v/>
      </c>
      <c r="T1054">
        <f>'Grid_Requirement'!R14</f>
        <v/>
      </c>
      <c r="U1054">
        <f>'Grid_Requirement'!S14</f>
        <v/>
      </c>
      <c r="V1054">
        <f>'Grid_Requirement'!T14</f>
        <v/>
      </c>
      <c r="W1054">
        <f>'Grid_Requirement'!U14</f>
        <v/>
      </c>
      <c r="X1054">
        <f>'Grid_Requirement'!V14</f>
        <v/>
      </c>
      <c r="Y1054">
        <f>'Grid_Requirement'!W14</f>
        <v/>
      </c>
      <c r="Z1054">
        <f>'Grid_Requirement'!X14</f>
        <v/>
      </c>
      <c r="AA1054">
        <f>'Grid_Requirement'!Y14</f>
        <v/>
      </c>
      <c r="AB1054">
        <f>'Grid_Requirement'!Z14</f>
        <v/>
      </c>
      <c r="AC1054">
        <f>'Grid_Requirement'!AA14</f>
        <v/>
      </c>
      <c r="AD1054">
        <f>'Grid_Requirement'!AB14</f>
        <v/>
      </c>
      <c r="AE1054">
        <f>'Grid_Requirement'!AC14</f>
        <v/>
      </c>
      <c r="AF1054">
        <f>'Grid_Requirement'!AD14</f>
        <v/>
      </c>
      <c r="AG1054">
        <f>'Grid_Requirement'!AE14</f>
        <v/>
      </c>
      <c r="AH1054">
        <f>'Grid_Requirement'!AF14</f>
        <v/>
      </c>
      <c r="AI1054">
        <f>'Grid_Requirement'!AG14</f>
        <v/>
      </c>
      <c r="AJ1054">
        <f>'Grid_Requirement'!AH14</f>
        <v/>
      </c>
      <c r="AK1054">
        <f>'Grid_Requirement'!AI14</f>
        <v/>
      </c>
      <c r="AL1054">
        <f>'Grid_Requirement'!AJ14</f>
        <v/>
      </c>
      <c r="AM1054">
        <f>'Grid_Requirement'!AK14</f>
        <v/>
      </c>
      <c r="AN1054">
        <f>'Grid_Requirement'!AL14</f>
        <v/>
      </c>
      <c r="AO1054">
        <f>'Grid_Requirement'!AM14</f>
        <v/>
      </c>
      <c r="AP1054">
        <f>'Grid_Requirement'!AN14</f>
        <v/>
      </c>
      <c r="AQ1054">
        <f>'Grid_Requirement'!AO14</f>
        <v/>
      </c>
      <c r="AR1054">
        <f>'Grid_Requirement'!AP14</f>
        <v/>
      </c>
      <c r="AS1054">
        <f>'Grid_Requirement'!AQ14</f>
        <v/>
      </c>
      <c r="AT1054">
        <f>'Grid_Requirement'!AR14</f>
        <v/>
      </c>
      <c r="AU1054">
        <f>'Grid_Requirement'!AS14</f>
        <v/>
      </c>
      <c r="AV1054">
        <f>'Grid_Requirement'!AT14</f>
        <v/>
      </c>
      <c r="AW1054">
        <f>'Grid_Requirement'!AU14</f>
        <v/>
      </c>
      <c r="AX1054">
        <f>'Grid_Requirement'!AV14</f>
        <v/>
      </c>
      <c r="AY1054">
        <f>'Grid_Requirement'!AW14</f>
        <v/>
      </c>
      <c r="AZ1054">
        <f>'Grid_Requirement'!AX14</f>
        <v/>
      </c>
      <c r="BA1054">
        <f>'Grid_Requirement'!AY14</f>
        <v/>
      </c>
      <c r="BB1054">
        <f>'Grid_Requirement'!AZ14</f>
        <v/>
      </c>
      <c r="BC1054">
        <f>'Grid_Requirement'!BA14</f>
        <v/>
      </c>
      <c r="BD1054">
        <f>'Grid_Requirement'!BB14</f>
        <v/>
      </c>
      <c r="BE1054">
        <f>'Grid_Requirement'!BC14</f>
        <v/>
      </c>
      <c r="BF1054">
        <f>'Grid_Requirement'!BD14</f>
        <v/>
      </c>
      <c r="BG1054">
        <f>'Grid_Requirement'!BE14</f>
        <v/>
      </c>
      <c r="BH1054">
        <f>'Grid_Requirement'!BF14</f>
        <v/>
      </c>
      <c r="BI1054">
        <f>'Grid_Requirement'!BG14</f>
        <v/>
      </c>
      <c r="BJ1054">
        <f>'Grid_Requirement'!BH14</f>
        <v/>
      </c>
      <c r="BK1054">
        <f>'Grid_Requirement'!BI14</f>
        <v/>
      </c>
      <c r="BL1054">
        <f>'Grid_Requirement'!BJ14</f>
        <v/>
      </c>
      <c r="BM1054">
        <f>'Grid_Requirement'!BK14</f>
        <v/>
      </c>
      <c r="BN1054">
        <f>'Grid_Requirement'!BL14</f>
        <v/>
      </c>
      <c r="BO1054">
        <f>'Grid_Requirement'!BM14</f>
        <v/>
      </c>
      <c r="BP1054">
        <f>'Grid_Requirement'!BN14</f>
        <v/>
      </c>
      <c r="BQ1054">
        <f>'Grid_Requirement'!BO14</f>
        <v/>
      </c>
      <c r="BR1054">
        <f>'Grid_Requirement'!BP14</f>
        <v/>
      </c>
      <c r="BS1054">
        <f>'Grid_Requirement'!BQ14</f>
        <v/>
      </c>
      <c r="BT1054">
        <f>'Grid_Requirement'!BR14</f>
        <v/>
      </c>
      <c r="BU1054">
        <f>'Grid_Requirement'!BS14</f>
        <v/>
      </c>
      <c r="BV1054">
        <f>'Grid_Requirement'!BT14</f>
        <v/>
      </c>
      <c r="BW1054">
        <f>'Grid_Requirement'!BU14</f>
        <v/>
      </c>
      <c r="BX1054">
        <f>'Grid_Requirement'!BV14</f>
        <v/>
      </c>
      <c r="BY1054">
        <f>'Grid_Requirement'!BW14</f>
        <v/>
      </c>
      <c r="BZ1054">
        <f>'Grid_Requirement'!BX14</f>
        <v/>
      </c>
      <c r="CA1054">
        <f>'Grid_Requirement'!BY14</f>
        <v/>
      </c>
      <c r="CB1054">
        <f>'Grid_Requirement'!BZ14</f>
        <v/>
      </c>
      <c r="CC1054">
        <f>'Grid_Requirement'!CA14</f>
        <v/>
      </c>
      <c r="CD1054">
        <f>'Grid_Requirement'!CB14</f>
        <v/>
      </c>
      <c r="CE1054">
        <f>'Grid_Requirement'!CC14</f>
        <v/>
      </c>
      <c r="CF1054">
        <f>'Grid_Requirement'!CD14</f>
        <v/>
      </c>
      <c r="CG1054">
        <f>'Grid_Requirement'!CE14</f>
        <v/>
      </c>
      <c r="CH1054">
        <f>'Grid_Requirement'!CF14</f>
        <v/>
      </c>
      <c r="CI1054">
        <f>'Grid_Requirement'!CG14</f>
        <v/>
      </c>
      <c r="CJ1054">
        <f>'Grid_Requirement'!CH14</f>
        <v/>
      </c>
      <c r="CK1054">
        <f>'Grid_Requirement'!CI14</f>
        <v/>
      </c>
      <c r="CL1054">
        <f>'Grid_Requirement'!CJ14</f>
        <v/>
      </c>
      <c r="CM1054">
        <f>'Grid_Requirement'!CK14</f>
        <v/>
      </c>
      <c r="CN1054">
        <f>'Grid_Requirement'!CL14</f>
        <v/>
      </c>
      <c r="CO1054">
        <f>'Grid_Requirement'!CM14</f>
        <v/>
      </c>
      <c r="CP1054">
        <f>'Grid_Requirement'!CN14</f>
        <v/>
      </c>
      <c r="CQ1054">
        <f>'Grid_Requirement'!CO14</f>
        <v/>
      </c>
      <c r="CR1054">
        <f>'Grid_Requirement'!CP14</f>
        <v/>
      </c>
      <c r="CS1054">
        <f>'Grid_Requirement'!CQ14</f>
        <v/>
      </c>
      <c r="CT1054">
        <f>'Grid_Requirement'!CR14</f>
        <v/>
      </c>
      <c r="CU1054">
        <f>'Grid_Requirement'!CS14</f>
        <v/>
      </c>
      <c r="CV1054">
        <f>'Grid_Requirement'!CT14</f>
        <v/>
      </c>
      <c r="CW1054">
        <f>'Grid_Requirement'!CU14</f>
        <v/>
      </c>
      <c r="CX1054">
        <f>'Grid_Requirement'!CV14</f>
        <v/>
      </c>
      <c r="CY1054">
        <f>'Grid_Requirement'!CW14</f>
        <v/>
      </c>
      <c r="CZ1054">
        <f>'Grid_Requirement'!CX14</f>
        <v/>
      </c>
      <c r="DA1054">
        <f>'Grid_Requirement'!CY14</f>
        <v/>
      </c>
      <c r="DB1054">
        <f>'Grid_Requirement'!CZ14</f>
        <v/>
      </c>
      <c r="DC1054">
        <f>'Grid_Requirement'!DA14</f>
        <v/>
      </c>
    </row>
    <row r="1055">
      <c r="B1055" t="inlineStr">
        <is>
          <t>TTAF在庫(実績,kg)</t>
        </is>
      </c>
      <c r="D1055">
        <f>'T_TTAFStock'!B18</f>
        <v/>
      </c>
      <c r="E1055">
        <f>'T_TTAFStock'!C18</f>
        <v/>
      </c>
      <c r="F1055">
        <f>'T_TTAFStock'!D18</f>
        <v/>
      </c>
      <c r="G1055">
        <f>'T_TTAFStock'!E18</f>
        <v/>
      </c>
      <c r="H1055">
        <f>'T_TTAFStock'!F18</f>
        <v/>
      </c>
      <c r="I1055">
        <f>'T_TTAFStock'!G18</f>
        <v/>
      </c>
      <c r="J1055">
        <f>'T_TTAFStock'!H18</f>
        <v/>
      </c>
      <c r="K1055">
        <f>'T_TTAFStock'!I18</f>
        <v/>
      </c>
      <c r="L1055">
        <f>'T_TTAFStock'!J18</f>
        <v/>
      </c>
      <c r="M1055">
        <f>'T_TTAFStock'!K18</f>
        <v/>
      </c>
      <c r="N1055">
        <f>'T_TTAFStock'!L18</f>
        <v/>
      </c>
      <c r="O1055">
        <f>'T_TTAFStock'!M18</f>
        <v/>
      </c>
      <c r="P1055">
        <f>'T_TTAFStock'!N18</f>
        <v/>
      </c>
      <c r="Q1055">
        <f>'T_TTAFStock'!O18</f>
        <v/>
      </c>
      <c r="R1055">
        <f>'T_TTAFStock'!P18</f>
        <v/>
      </c>
      <c r="S1055">
        <f>'T_TTAFStock'!Q18</f>
        <v/>
      </c>
      <c r="T1055">
        <f>'T_TTAFStock'!R18</f>
        <v/>
      </c>
      <c r="U1055">
        <f>'T_TTAFStock'!S18</f>
        <v/>
      </c>
      <c r="V1055">
        <f>'T_TTAFStock'!T18</f>
        <v/>
      </c>
      <c r="W1055">
        <f>'T_TTAFStock'!U18</f>
        <v/>
      </c>
      <c r="X1055">
        <f>'T_TTAFStock'!V18</f>
        <v/>
      </c>
      <c r="Y1055">
        <f>'T_TTAFStock'!W18</f>
        <v/>
      </c>
      <c r="Z1055">
        <f>'T_TTAFStock'!X18</f>
        <v/>
      </c>
      <c r="AA1055">
        <f>'T_TTAFStock'!Y18</f>
        <v/>
      </c>
      <c r="AB1055">
        <f>'T_TTAFStock'!Z18</f>
        <v/>
      </c>
      <c r="AC1055">
        <f>'T_TTAFStock'!AA18</f>
        <v/>
      </c>
      <c r="AD1055">
        <f>'T_TTAFStock'!AB18</f>
        <v/>
      </c>
      <c r="AE1055">
        <f>'T_TTAFStock'!AC18</f>
        <v/>
      </c>
      <c r="AF1055">
        <f>'T_TTAFStock'!AD18</f>
        <v/>
      </c>
      <c r="AG1055">
        <f>'T_TTAFStock'!AE18</f>
        <v/>
      </c>
      <c r="AH1055">
        <f>'T_TTAFStock'!AF18</f>
        <v/>
      </c>
      <c r="AI1055">
        <f>'T_TTAFStock'!AG18</f>
        <v/>
      </c>
      <c r="AJ1055">
        <f>'T_TTAFStock'!AH18</f>
        <v/>
      </c>
      <c r="AK1055">
        <f>'T_TTAFStock'!AI18</f>
        <v/>
      </c>
      <c r="AL1055">
        <f>'T_TTAFStock'!AJ18</f>
        <v/>
      </c>
      <c r="AM1055">
        <f>'T_TTAFStock'!AK18</f>
        <v/>
      </c>
      <c r="AN1055">
        <f>'T_TTAFStock'!AL18</f>
        <v/>
      </c>
      <c r="AO1055">
        <f>'T_TTAFStock'!AM18</f>
        <v/>
      </c>
      <c r="AP1055">
        <f>'T_TTAFStock'!AN18</f>
        <v/>
      </c>
      <c r="AQ1055">
        <f>'T_TTAFStock'!AO18</f>
        <v/>
      </c>
      <c r="AR1055">
        <f>'T_TTAFStock'!AP18</f>
        <v/>
      </c>
      <c r="AS1055">
        <f>'T_TTAFStock'!AQ18</f>
        <v/>
      </c>
      <c r="AT1055">
        <f>'T_TTAFStock'!AR18</f>
        <v/>
      </c>
      <c r="AU1055">
        <f>'T_TTAFStock'!AS18</f>
        <v/>
      </c>
      <c r="AV1055">
        <f>'T_TTAFStock'!AT18</f>
        <v/>
      </c>
      <c r="AW1055">
        <f>'T_TTAFStock'!AU18</f>
        <v/>
      </c>
      <c r="AX1055">
        <f>'T_TTAFStock'!AV18</f>
        <v/>
      </c>
      <c r="AY1055">
        <f>'T_TTAFStock'!AW18</f>
        <v/>
      </c>
      <c r="AZ1055">
        <f>'T_TTAFStock'!AX18</f>
        <v/>
      </c>
      <c r="BA1055">
        <f>'T_TTAFStock'!AY18</f>
        <v/>
      </c>
      <c r="BB1055">
        <f>'T_TTAFStock'!AZ18</f>
        <v/>
      </c>
      <c r="BC1055">
        <f>'T_TTAFStock'!BA18</f>
        <v/>
      </c>
      <c r="BD1055">
        <f>'T_TTAFStock'!BB18</f>
        <v/>
      </c>
      <c r="BE1055">
        <f>'T_TTAFStock'!BC18</f>
        <v/>
      </c>
      <c r="BF1055">
        <f>'T_TTAFStock'!BD18</f>
        <v/>
      </c>
      <c r="BG1055">
        <f>'T_TTAFStock'!BE18</f>
        <v/>
      </c>
      <c r="BH1055">
        <f>'T_TTAFStock'!BF18</f>
        <v/>
      </c>
      <c r="BI1055">
        <f>'T_TTAFStock'!BG18</f>
        <v/>
      </c>
      <c r="BJ1055">
        <f>'T_TTAFStock'!BH18</f>
        <v/>
      </c>
      <c r="BK1055">
        <f>'T_TTAFStock'!BI18</f>
        <v/>
      </c>
      <c r="BL1055">
        <f>'T_TTAFStock'!BJ18</f>
        <v/>
      </c>
      <c r="BM1055">
        <f>'T_TTAFStock'!BK18</f>
        <v/>
      </c>
      <c r="BN1055">
        <f>'T_TTAFStock'!BL18</f>
        <v/>
      </c>
      <c r="BO1055">
        <f>'T_TTAFStock'!BM18</f>
        <v/>
      </c>
      <c r="BP1055">
        <f>'T_TTAFStock'!BN18</f>
        <v/>
      </c>
      <c r="BQ1055">
        <f>'T_TTAFStock'!BO18</f>
        <v/>
      </c>
      <c r="BR1055">
        <f>'T_TTAFStock'!BP18</f>
        <v/>
      </c>
      <c r="BS1055">
        <f>'T_TTAFStock'!BQ18</f>
        <v/>
      </c>
      <c r="BT1055">
        <f>'T_TTAFStock'!BR18</f>
        <v/>
      </c>
      <c r="BU1055">
        <f>'T_TTAFStock'!BS18</f>
        <v/>
      </c>
      <c r="BV1055">
        <f>'T_TTAFStock'!BT18</f>
        <v/>
      </c>
      <c r="BW1055">
        <f>'T_TTAFStock'!BU18</f>
        <v/>
      </c>
      <c r="BX1055">
        <f>'T_TTAFStock'!BV18</f>
        <v/>
      </c>
      <c r="BY1055">
        <f>'T_TTAFStock'!BW18</f>
        <v/>
      </c>
      <c r="BZ1055">
        <f>'T_TTAFStock'!BX18</f>
        <v/>
      </c>
      <c r="CA1055">
        <f>'T_TTAFStock'!BY18</f>
        <v/>
      </c>
      <c r="CB1055">
        <f>'T_TTAFStock'!BZ18</f>
        <v/>
      </c>
      <c r="CC1055">
        <f>'T_TTAFStock'!CA18</f>
        <v/>
      </c>
      <c r="CD1055">
        <f>'T_TTAFStock'!CB18</f>
        <v/>
      </c>
      <c r="CE1055">
        <f>'T_TTAFStock'!CC18</f>
        <v/>
      </c>
      <c r="CF1055">
        <f>'T_TTAFStock'!CD18</f>
        <v/>
      </c>
      <c r="CG1055">
        <f>'T_TTAFStock'!CE18</f>
        <v/>
      </c>
      <c r="CH1055">
        <f>'T_TTAFStock'!CF18</f>
        <v/>
      </c>
      <c r="CI1055">
        <f>'T_TTAFStock'!CG18</f>
        <v/>
      </c>
      <c r="CJ1055">
        <f>'T_TTAFStock'!CH18</f>
        <v/>
      </c>
      <c r="CK1055">
        <f>'T_TTAFStock'!CI18</f>
        <v/>
      </c>
      <c r="CL1055">
        <f>'T_TTAFStock'!CJ18</f>
        <v/>
      </c>
      <c r="CM1055">
        <f>'T_TTAFStock'!CK18</f>
        <v/>
      </c>
      <c r="CN1055">
        <f>'T_TTAFStock'!CL18</f>
        <v/>
      </c>
      <c r="CO1055">
        <f>'T_TTAFStock'!CM18</f>
        <v/>
      </c>
      <c r="CP1055">
        <f>'T_TTAFStock'!CN18</f>
        <v/>
      </c>
      <c r="CQ1055">
        <f>'T_TTAFStock'!CO18</f>
        <v/>
      </c>
      <c r="CR1055">
        <f>'T_TTAFStock'!CP18</f>
        <v/>
      </c>
      <c r="CS1055">
        <f>'T_TTAFStock'!CQ18</f>
        <v/>
      </c>
      <c r="CT1055">
        <f>'T_TTAFStock'!CR18</f>
        <v/>
      </c>
      <c r="CU1055">
        <f>'T_TTAFStock'!CS18</f>
        <v/>
      </c>
      <c r="CV1055">
        <f>'T_TTAFStock'!CT18</f>
        <v/>
      </c>
      <c r="CW1055">
        <f>'T_TTAFStock'!CU18</f>
        <v/>
      </c>
      <c r="CX1055">
        <f>'T_TTAFStock'!CV18</f>
        <v/>
      </c>
      <c r="CY1055">
        <f>'T_TTAFStock'!CW18</f>
        <v/>
      </c>
      <c r="CZ1055">
        <f>'T_TTAFStock'!CX18</f>
        <v/>
      </c>
      <c r="DA1055">
        <f>'T_TTAFStock'!CY18</f>
        <v/>
      </c>
      <c r="DB1055">
        <f>'T_TTAFStock'!CZ18</f>
        <v/>
      </c>
      <c r="DC1055">
        <f>'T_TTAFStock'!DA18</f>
        <v/>
      </c>
    </row>
    <row r="1056">
      <c r="B1056" t="inlineStr">
        <is>
          <t>自社在庫(実績,kg)</t>
        </is>
      </c>
      <c r="D1056">
        <f>'T_SelfStock'!B18</f>
        <v/>
      </c>
      <c r="E1056">
        <f>'T_SelfStock'!C18</f>
        <v/>
      </c>
      <c r="F1056">
        <f>'T_SelfStock'!D18</f>
        <v/>
      </c>
      <c r="G1056">
        <f>'T_SelfStock'!E18</f>
        <v/>
      </c>
      <c r="H1056">
        <f>'T_SelfStock'!F18</f>
        <v/>
      </c>
      <c r="I1056">
        <f>'T_SelfStock'!G18</f>
        <v/>
      </c>
      <c r="J1056">
        <f>'T_SelfStock'!H18</f>
        <v/>
      </c>
      <c r="K1056">
        <f>'T_SelfStock'!I18</f>
        <v/>
      </c>
      <c r="L1056">
        <f>'T_SelfStock'!J18</f>
        <v/>
      </c>
      <c r="M1056">
        <f>'T_SelfStock'!K18</f>
        <v/>
      </c>
      <c r="N1056">
        <f>'T_SelfStock'!L18</f>
        <v/>
      </c>
      <c r="O1056">
        <f>'T_SelfStock'!M18</f>
        <v/>
      </c>
      <c r="P1056">
        <f>'T_SelfStock'!N18</f>
        <v/>
      </c>
      <c r="Q1056">
        <f>'T_SelfStock'!O18</f>
        <v/>
      </c>
      <c r="R1056">
        <f>'T_SelfStock'!P18</f>
        <v/>
      </c>
      <c r="S1056">
        <f>'T_SelfStock'!Q18</f>
        <v/>
      </c>
      <c r="T1056">
        <f>'T_SelfStock'!R18</f>
        <v/>
      </c>
      <c r="U1056">
        <f>'T_SelfStock'!S18</f>
        <v/>
      </c>
      <c r="V1056">
        <f>'T_SelfStock'!T18</f>
        <v/>
      </c>
      <c r="W1056">
        <f>'T_SelfStock'!U18</f>
        <v/>
      </c>
      <c r="X1056">
        <f>'T_SelfStock'!V18</f>
        <v/>
      </c>
      <c r="Y1056">
        <f>'T_SelfStock'!W18</f>
        <v/>
      </c>
      <c r="Z1056">
        <f>'T_SelfStock'!X18</f>
        <v/>
      </c>
      <c r="AA1056">
        <f>'T_SelfStock'!Y18</f>
        <v/>
      </c>
      <c r="AB1056">
        <f>'T_SelfStock'!Z18</f>
        <v/>
      </c>
      <c r="AC1056">
        <f>'T_SelfStock'!AA18</f>
        <v/>
      </c>
      <c r="AD1056">
        <f>'T_SelfStock'!AB18</f>
        <v/>
      </c>
      <c r="AE1056">
        <f>'T_SelfStock'!AC18</f>
        <v/>
      </c>
      <c r="AF1056">
        <f>'T_SelfStock'!AD18</f>
        <v/>
      </c>
      <c r="AG1056">
        <f>'T_SelfStock'!AE18</f>
        <v/>
      </c>
      <c r="AH1056">
        <f>'T_SelfStock'!AF18</f>
        <v/>
      </c>
      <c r="AI1056">
        <f>'T_SelfStock'!AG18</f>
        <v/>
      </c>
      <c r="AJ1056">
        <f>'T_SelfStock'!AH18</f>
        <v/>
      </c>
      <c r="AK1056">
        <f>'T_SelfStock'!AI18</f>
        <v/>
      </c>
      <c r="AL1056">
        <f>'T_SelfStock'!AJ18</f>
        <v/>
      </c>
      <c r="AM1056">
        <f>'T_SelfStock'!AK18</f>
        <v/>
      </c>
      <c r="AN1056">
        <f>'T_SelfStock'!AL18</f>
        <v/>
      </c>
      <c r="AO1056">
        <f>'T_SelfStock'!AM18</f>
        <v/>
      </c>
      <c r="AP1056">
        <f>'T_SelfStock'!AN18</f>
        <v/>
      </c>
      <c r="AQ1056">
        <f>'T_SelfStock'!AO18</f>
        <v/>
      </c>
      <c r="AR1056">
        <f>'T_SelfStock'!AP18</f>
        <v/>
      </c>
      <c r="AS1056">
        <f>'T_SelfStock'!AQ18</f>
        <v/>
      </c>
      <c r="AT1056">
        <f>'T_SelfStock'!AR18</f>
        <v/>
      </c>
      <c r="AU1056">
        <f>'T_SelfStock'!AS18</f>
        <v/>
      </c>
      <c r="AV1056">
        <f>'T_SelfStock'!AT18</f>
        <v/>
      </c>
      <c r="AW1056">
        <f>'T_SelfStock'!AU18</f>
        <v/>
      </c>
      <c r="AX1056">
        <f>'T_SelfStock'!AV18</f>
        <v/>
      </c>
      <c r="AY1056">
        <f>'T_SelfStock'!AW18</f>
        <v/>
      </c>
      <c r="AZ1056">
        <f>'T_SelfStock'!AX18</f>
        <v/>
      </c>
      <c r="BA1056">
        <f>'T_SelfStock'!AY18</f>
        <v/>
      </c>
      <c r="BB1056">
        <f>'T_SelfStock'!AZ18</f>
        <v/>
      </c>
      <c r="BC1056">
        <f>'T_SelfStock'!BA18</f>
        <v/>
      </c>
      <c r="BD1056">
        <f>'T_SelfStock'!BB18</f>
        <v/>
      </c>
      <c r="BE1056">
        <f>'T_SelfStock'!BC18</f>
        <v/>
      </c>
      <c r="BF1056">
        <f>'T_SelfStock'!BD18</f>
        <v/>
      </c>
      <c r="BG1056">
        <f>'T_SelfStock'!BE18</f>
        <v/>
      </c>
      <c r="BH1056">
        <f>'T_SelfStock'!BF18</f>
        <v/>
      </c>
      <c r="BI1056">
        <f>'T_SelfStock'!BG18</f>
        <v/>
      </c>
      <c r="BJ1056">
        <f>'T_SelfStock'!BH18</f>
        <v/>
      </c>
      <c r="BK1056">
        <f>'T_SelfStock'!BI18</f>
        <v/>
      </c>
      <c r="BL1056">
        <f>'T_SelfStock'!BJ18</f>
        <v/>
      </c>
      <c r="BM1056">
        <f>'T_SelfStock'!BK18</f>
        <v/>
      </c>
      <c r="BN1056">
        <f>'T_SelfStock'!BL18</f>
        <v/>
      </c>
      <c r="BO1056">
        <f>'T_SelfStock'!BM18</f>
        <v/>
      </c>
      <c r="BP1056">
        <f>'T_SelfStock'!BN18</f>
        <v/>
      </c>
      <c r="BQ1056">
        <f>'T_SelfStock'!BO18</f>
        <v/>
      </c>
      <c r="BR1056">
        <f>'T_SelfStock'!BP18</f>
        <v/>
      </c>
      <c r="BS1056">
        <f>'T_SelfStock'!BQ18</f>
        <v/>
      </c>
      <c r="BT1056">
        <f>'T_SelfStock'!BR18</f>
        <v/>
      </c>
      <c r="BU1056">
        <f>'T_SelfStock'!BS18</f>
        <v/>
      </c>
      <c r="BV1056">
        <f>'T_SelfStock'!BT18</f>
        <v/>
      </c>
      <c r="BW1056">
        <f>'T_SelfStock'!BU18</f>
        <v/>
      </c>
      <c r="BX1056">
        <f>'T_SelfStock'!BV18</f>
        <v/>
      </c>
      <c r="BY1056">
        <f>'T_SelfStock'!BW18</f>
        <v/>
      </c>
      <c r="BZ1056">
        <f>'T_SelfStock'!BX18</f>
        <v/>
      </c>
      <c r="CA1056">
        <f>'T_SelfStock'!BY18</f>
        <v/>
      </c>
      <c r="CB1056">
        <f>'T_SelfStock'!BZ18</f>
        <v/>
      </c>
      <c r="CC1056">
        <f>'T_SelfStock'!CA18</f>
        <v/>
      </c>
      <c r="CD1056">
        <f>'T_SelfStock'!CB18</f>
        <v/>
      </c>
      <c r="CE1056">
        <f>'T_SelfStock'!CC18</f>
        <v/>
      </c>
      <c r="CF1056">
        <f>'T_SelfStock'!CD18</f>
        <v/>
      </c>
      <c r="CG1056">
        <f>'T_SelfStock'!CE18</f>
        <v/>
      </c>
      <c r="CH1056">
        <f>'T_SelfStock'!CF18</f>
        <v/>
      </c>
      <c r="CI1056">
        <f>'T_SelfStock'!CG18</f>
        <v/>
      </c>
      <c r="CJ1056">
        <f>'T_SelfStock'!CH18</f>
        <v/>
      </c>
      <c r="CK1056">
        <f>'T_SelfStock'!CI18</f>
        <v/>
      </c>
      <c r="CL1056">
        <f>'T_SelfStock'!CJ18</f>
        <v/>
      </c>
      <c r="CM1056">
        <f>'T_SelfStock'!CK18</f>
        <v/>
      </c>
      <c r="CN1056">
        <f>'T_SelfStock'!CL18</f>
        <v/>
      </c>
      <c r="CO1056">
        <f>'T_SelfStock'!CM18</f>
        <v/>
      </c>
      <c r="CP1056">
        <f>'T_SelfStock'!CN18</f>
        <v/>
      </c>
      <c r="CQ1056">
        <f>'T_SelfStock'!CO18</f>
        <v/>
      </c>
      <c r="CR1056">
        <f>'T_SelfStock'!CP18</f>
        <v/>
      </c>
      <c r="CS1056">
        <f>'T_SelfStock'!CQ18</f>
        <v/>
      </c>
      <c r="CT1056">
        <f>'T_SelfStock'!CR18</f>
        <v/>
      </c>
      <c r="CU1056">
        <f>'T_SelfStock'!CS18</f>
        <v/>
      </c>
      <c r="CV1056">
        <f>'T_SelfStock'!CT18</f>
        <v/>
      </c>
      <c r="CW1056">
        <f>'T_SelfStock'!CU18</f>
        <v/>
      </c>
      <c r="CX1056">
        <f>'T_SelfStock'!CV18</f>
        <v/>
      </c>
      <c r="CY1056">
        <f>'T_SelfStock'!CW18</f>
        <v/>
      </c>
      <c r="CZ1056">
        <f>'T_SelfStock'!CX18</f>
        <v/>
      </c>
      <c r="DA1056">
        <f>'T_SelfStock'!CY18</f>
        <v/>
      </c>
      <c r="DB1056">
        <f>'T_SelfStock'!CZ18</f>
        <v/>
      </c>
      <c r="DC1056">
        <f>'T_SelfStock'!DA18</f>
        <v/>
      </c>
    </row>
    <row r="1057">
      <c r="B1057" s="4" t="inlineStr">
        <is>
          <t>合計在庫(週末時点,kg)</t>
        </is>
      </c>
      <c r="D1057">
        <f>'Grid_Stock'!B14</f>
        <v/>
      </c>
      <c r="E1057">
        <f>'Grid_Stock'!C14</f>
        <v/>
      </c>
      <c r="F1057">
        <f>'Grid_Stock'!D14</f>
        <v/>
      </c>
      <c r="G1057">
        <f>'Grid_Stock'!E14</f>
        <v/>
      </c>
      <c r="H1057">
        <f>'Grid_Stock'!F14</f>
        <v/>
      </c>
      <c r="I1057">
        <f>'Grid_Stock'!G14</f>
        <v/>
      </c>
      <c r="J1057">
        <f>'Grid_Stock'!H14</f>
        <v/>
      </c>
      <c r="K1057">
        <f>'Grid_Stock'!I14</f>
        <v/>
      </c>
      <c r="L1057">
        <f>'Grid_Stock'!J14</f>
        <v/>
      </c>
      <c r="M1057">
        <f>'Grid_Stock'!K14</f>
        <v/>
      </c>
      <c r="N1057">
        <f>'Grid_Stock'!L14</f>
        <v/>
      </c>
      <c r="O1057">
        <f>'Grid_Stock'!M14</f>
        <v/>
      </c>
      <c r="P1057">
        <f>'Grid_Stock'!N14</f>
        <v/>
      </c>
      <c r="Q1057">
        <f>'Grid_Stock'!O14</f>
        <v/>
      </c>
      <c r="R1057">
        <f>'Grid_Stock'!P14</f>
        <v/>
      </c>
      <c r="S1057">
        <f>'Grid_Stock'!Q14</f>
        <v/>
      </c>
      <c r="T1057">
        <f>'Grid_Stock'!R14</f>
        <v/>
      </c>
      <c r="U1057">
        <f>'Grid_Stock'!S14</f>
        <v/>
      </c>
      <c r="V1057">
        <f>'Grid_Stock'!T14</f>
        <v/>
      </c>
      <c r="W1057">
        <f>'Grid_Stock'!U14</f>
        <v/>
      </c>
      <c r="X1057">
        <f>'Grid_Stock'!V14</f>
        <v/>
      </c>
      <c r="Y1057">
        <f>'Grid_Stock'!W14</f>
        <v/>
      </c>
      <c r="Z1057">
        <f>'Grid_Stock'!X14</f>
        <v/>
      </c>
      <c r="AA1057">
        <f>'Grid_Stock'!Y14</f>
        <v/>
      </c>
      <c r="AB1057">
        <f>'Grid_Stock'!Z14</f>
        <v/>
      </c>
      <c r="AC1057">
        <f>'Grid_Stock'!AA14</f>
        <v/>
      </c>
      <c r="AD1057">
        <f>'Grid_Stock'!AB14</f>
        <v/>
      </c>
      <c r="AE1057">
        <f>'Grid_Stock'!AC14</f>
        <v/>
      </c>
      <c r="AF1057">
        <f>'Grid_Stock'!AD14</f>
        <v/>
      </c>
      <c r="AG1057">
        <f>'Grid_Stock'!AE14</f>
        <v/>
      </c>
      <c r="AH1057">
        <f>'Grid_Stock'!AF14</f>
        <v/>
      </c>
      <c r="AI1057">
        <f>'Grid_Stock'!AG14</f>
        <v/>
      </c>
      <c r="AJ1057">
        <f>'Grid_Stock'!AH14</f>
        <v/>
      </c>
      <c r="AK1057">
        <f>'Grid_Stock'!AI14</f>
        <v/>
      </c>
      <c r="AL1057">
        <f>'Grid_Stock'!AJ14</f>
        <v/>
      </c>
      <c r="AM1057">
        <f>'Grid_Stock'!AK14</f>
        <v/>
      </c>
      <c r="AN1057">
        <f>'Grid_Stock'!AL14</f>
        <v/>
      </c>
      <c r="AO1057">
        <f>'Grid_Stock'!AM14</f>
        <v/>
      </c>
      <c r="AP1057">
        <f>'Grid_Stock'!AN14</f>
        <v/>
      </c>
      <c r="AQ1057">
        <f>'Grid_Stock'!AO14</f>
        <v/>
      </c>
      <c r="AR1057">
        <f>'Grid_Stock'!AP14</f>
        <v/>
      </c>
      <c r="AS1057">
        <f>'Grid_Stock'!AQ14</f>
        <v/>
      </c>
      <c r="AT1057">
        <f>'Grid_Stock'!AR14</f>
        <v/>
      </c>
      <c r="AU1057">
        <f>'Grid_Stock'!AS14</f>
        <v/>
      </c>
      <c r="AV1057">
        <f>'Grid_Stock'!AT14</f>
        <v/>
      </c>
      <c r="AW1057">
        <f>'Grid_Stock'!AU14</f>
        <v/>
      </c>
      <c r="AX1057">
        <f>'Grid_Stock'!AV14</f>
        <v/>
      </c>
      <c r="AY1057">
        <f>'Grid_Stock'!AW14</f>
        <v/>
      </c>
      <c r="AZ1057">
        <f>'Grid_Stock'!AX14</f>
        <v/>
      </c>
      <c r="BA1057">
        <f>'Grid_Stock'!AY14</f>
        <v/>
      </c>
      <c r="BB1057">
        <f>'Grid_Stock'!AZ14</f>
        <v/>
      </c>
      <c r="BC1057">
        <f>'Grid_Stock'!BA14</f>
        <v/>
      </c>
      <c r="BD1057">
        <f>'Grid_Stock'!BB14</f>
        <v/>
      </c>
      <c r="BE1057">
        <f>'Grid_Stock'!BC14</f>
        <v/>
      </c>
      <c r="BF1057">
        <f>'Grid_Stock'!BD14</f>
        <v/>
      </c>
      <c r="BG1057">
        <f>'Grid_Stock'!BE14</f>
        <v/>
      </c>
      <c r="BH1057">
        <f>'Grid_Stock'!BF14</f>
        <v/>
      </c>
      <c r="BI1057">
        <f>'Grid_Stock'!BG14</f>
        <v/>
      </c>
      <c r="BJ1057">
        <f>'Grid_Stock'!BH14</f>
        <v/>
      </c>
      <c r="BK1057">
        <f>'Grid_Stock'!BI14</f>
        <v/>
      </c>
      <c r="BL1057">
        <f>'Grid_Stock'!BJ14</f>
        <v/>
      </c>
      <c r="BM1057">
        <f>'Grid_Stock'!BK14</f>
        <v/>
      </c>
      <c r="BN1057">
        <f>'Grid_Stock'!BL14</f>
        <v/>
      </c>
      <c r="BO1057">
        <f>'Grid_Stock'!BM14</f>
        <v/>
      </c>
      <c r="BP1057">
        <f>'Grid_Stock'!BN14</f>
        <v/>
      </c>
      <c r="BQ1057">
        <f>'Grid_Stock'!BO14</f>
        <v/>
      </c>
      <c r="BR1057">
        <f>'Grid_Stock'!BP14</f>
        <v/>
      </c>
      <c r="BS1057">
        <f>'Grid_Stock'!BQ14</f>
        <v/>
      </c>
      <c r="BT1057">
        <f>'Grid_Stock'!BR14</f>
        <v/>
      </c>
      <c r="BU1057">
        <f>'Grid_Stock'!BS14</f>
        <v/>
      </c>
      <c r="BV1057">
        <f>'Grid_Stock'!BT14</f>
        <v/>
      </c>
      <c r="BW1057">
        <f>'Grid_Stock'!BU14</f>
        <v/>
      </c>
      <c r="BX1057">
        <f>'Grid_Stock'!BV14</f>
        <v/>
      </c>
      <c r="BY1057">
        <f>'Grid_Stock'!BW14</f>
        <v/>
      </c>
      <c r="BZ1057">
        <f>'Grid_Stock'!BX14</f>
        <v/>
      </c>
      <c r="CA1057">
        <f>'Grid_Stock'!BY14</f>
        <v/>
      </c>
      <c r="CB1057">
        <f>'Grid_Stock'!BZ14</f>
        <v/>
      </c>
      <c r="CC1057">
        <f>'Grid_Stock'!CA14</f>
        <v/>
      </c>
      <c r="CD1057">
        <f>'Grid_Stock'!CB14</f>
        <v/>
      </c>
      <c r="CE1057">
        <f>'Grid_Stock'!CC14</f>
        <v/>
      </c>
      <c r="CF1057">
        <f>'Grid_Stock'!CD14</f>
        <v/>
      </c>
      <c r="CG1057">
        <f>'Grid_Stock'!CE14</f>
        <v/>
      </c>
      <c r="CH1057">
        <f>'Grid_Stock'!CF14</f>
        <v/>
      </c>
      <c r="CI1057">
        <f>'Grid_Stock'!CG14</f>
        <v/>
      </c>
      <c r="CJ1057">
        <f>'Grid_Stock'!CH14</f>
        <v/>
      </c>
      <c r="CK1057">
        <f>'Grid_Stock'!CI14</f>
        <v/>
      </c>
      <c r="CL1057">
        <f>'Grid_Stock'!CJ14</f>
        <v/>
      </c>
      <c r="CM1057">
        <f>'Grid_Stock'!CK14</f>
        <v/>
      </c>
      <c r="CN1057">
        <f>'Grid_Stock'!CL14</f>
        <v/>
      </c>
      <c r="CO1057">
        <f>'Grid_Stock'!CM14</f>
        <v/>
      </c>
      <c r="CP1057">
        <f>'Grid_Stock'!CN14</f>
        <v/>
      </c>
      <c r="CQ1057">
        <f>'Grid_Stock'!CO14</f>
        <v/>
      </c>
      <c r="CR1057">
        <f>'Grid_Stock'!CP14</f>
        <v/>
      </c>
      <c r="CS1057">
        <f>'Grid_Stock'!CQ14</f>
        <v/>
      </c>
      <c r="CT1057">
        <f>'Grid_Stock'!CR14</f>
        <v/>
      </c>
      <c r="CU1057">
        <f>'Grid_Stock'!CS14</f>
        <v/>
      </c>
      <c r="CV1057">
        <f>'Grid_Stock'!CT14</f>
        <v/>
      </c>
      <c r="CW1057">
        <f>'Grid_Stock'!CU14</f>
        <v/>
      </c>
      <c r="CX1057">
        <f>'Grid_Stock'!CV14</f>
        <v/>
      </c>
      <c r="CY1057">
        <f>'Grid_Stock'!CW14</f>
        <v/>
      </c>
      <c r="CZ1057">
        <f>'Grid_Stock'!CX14</f>
        <v/>
      </c>
      <c r="DA1057">
        <f>'Grid_Stock'!CY14</f>
        <v/>
      </c>
      <c r="DB1057">
        <f>'Grid_Stock'!CZ14</f>
        <v/>
      </c>
      <c r="DC1057">
        <f>'Grid_Stock'!DA14</f>
        <v/>
      </c>
    </row>
    <row r="1058">
      <c r="B1058" s="16" t="inlineStr">
        <is>
          <t>（発注の目安はDashboardの基準在庫[下限/上限]と色分けを参照）</t>
        </is>
      </c>
    </row>
    <row r="1060">
      <c r="A1060" s="14" t="inlineStr">
        <is>
          <t>PP Film</t>
        </is>
      </c>
      <c r="B1060" s="14" t="inlineStr">
        <is>
          <t>PP Film</t>
        </is>
      </c>
      <c r="C1060" s="15" t="n"/>
      <c r="D1060" s="14" t="n"/>
      <c r="E1060" s="14" t="n"/>
      <c r="F1060" s="14" t="n"/>
      <c r="G1060" s="14" t="n"/>
      <c r="H1060" s="14" t="n"/>
      <c r="I1060" s="14" t="n"/>
      <c r="J1060" s="14" t="n"/>
      <c r="K1060" s="14" t="n"/>
      <c r="L1060" s="14" t="n"/>
      <c r="M1060" s="14" t="n"/>
      <c r="N1060" s="14" t="n"/>
      <c r="O1060" s="14" t="n"/>
      <c r="P1060" s="14" t="n"/>
      <c r="Q1060" s="14" t="n"/>
      <c r="R1060" s="14" t="n"/>
      <c r="S1060" s="14" t="n"/>
      <c r="T1060" s="14" t="n"/>
      <c r="U1060" s="14" t="n"/>
      <c r="V1060" s="14" t="n"/>
      <c r="W1060" s="14" t="n"/>
      <c r="X1060" s="14" t="n"/>
      <c r="Y1060" s="14" t="n"/>
      <c r="Z1060" s="14" t="n"/>
      <c r="AA1060" s="14" t="n"/>
      <c r="AB1060" s="14" t="n"/>
      <c r="AC1060" s="14" t="n"/>
      <c r="AD1060" s="14" t="n"/>
      <c r="AE1060" s="14" t="n"/>
      <c r="AF1060" s="14" t="n"/>
      <c r="AG1060" s="14" t="n"/>
      <c r="AH1060" s="14" t="n"/>
      <c r="AI1060" s="14" t="n"/>
      <c r="AJ1060" s="14" t="n"/>
      <c r="AK1060" s="14" t="n"/>
      <c r="AL1060" s="14" t="n"/>
      <c r="AM1060" s="14" t="n"/>
      <c r="AN1060" s="14" t="n"/>
      <c r="AO1060" s="14" t="n"/>
      <c r="AP1060" s="14" t="n"/>
      <c r="AQ1060" s="14" t="n"/>
      <c r="AR1060" s="14" t="n"/>
      <c r="AS1060" s="14" t="n"/>
      <c r="AT1060" s="14" t="n"/>
      <c r="AU1060" s="14" t="n"/>
      <c r="AV1060" s="14" t="n"/>
      <c r="AW1060" s="14" t="n"/>
      <c r="AX1060" s="14" t="n"/>
      <c r="AY1060" s="14" t="n"/>
      <c r="AZ1060" s="14" t="n"/>
      <c r="BA1060" s="14" t="n"/>
      <c r="BB1060" s="14" t="n"/>
      <c r="BC1060" s="14" t="n"/>
      <c r="BD1060" s="14" t="n"/>
      <c r="BE1060" s="14" t="n"/>
      <c r="BF1060" s="14" t="n"/>
      <c r="BG1060" s="14" t="n"/>
      <c r="BH1060" s="14" t="n"/>
      <c r="BI1060" s="14" t="n"/>
      <c r="BJ1060" s="14" t="n"/>
      <c r="BK1060" s="14" t="n"/>
      <c r="BL1060" s="14" t="n"/>
      <c r="BM1060" s="14" t="n"/>
      <c r="BN1060" s="14" t="n"/>
      <c r="BO1060" s="14" t="n"/>
      <c r="BP1060" s="14" t="n"/>
      <c r="BQ1060" s="14" t="n"/>
      <c r="BR1060" s="14" t="n"/>
      <c r="BS1060" s="14" t="n"/>
      <c r="BT1060" s="14" t="n"/>
      <c r="BU1060" s="14" t="n"/>
      <c r="BV1060" s="14" t="n"/>
      <c r="BW1060" s="14" t="n"/>
      <c r="BX1060" s="14" t="n"/>
      <c r="BY1060" s="14" t="n"/>
      <c r="BZ1060" s="14" t="n"/>
      <c r="CA1060" s="14" t="n"/>
      <c r="CB1060" s="14" t="n"/>
      <c r="CC1060" s="14" t="n"/>
      <c r="CD1060" s="14" t="n"/>
      <c r="CE1060" s="14" t="n"/>
      <c r="CF1060" s="14" t="n"/>
      <c r="CG1060" s="14" t="n"/>
      <c r="CH1060" s="14" t="n"/>
      <c r="CI1060" s="14" t="n"/>
      <c r="CJ1060" s="14" t="n"/>
      <c r="CK1060" s="14" t="n"/>
      <c r="CL1060" s="14" t="n"/>
      <c r="CM1060" s="14" t="n"/>
      <c r="CN1060" s="14" t="n"/>
      <c r="CO1060" s="14" t="n"/>
      <c r="CP1060" s="14" t="n"/>
      <c r="CQ1060" s="14" t="n"/>
      <c r="CR1060" s="14" t="n"/>
      <c r="CS1060" s="14" t="n"/>
      <c r="CT1060" s="14" t="n"/>
      <c r="CU1060" s="14" t="n"/>
      <c r="CV1060" s="14" t="n"/>
      <c r="CW1060" s="14" t="n"/>
      <c r="CX1060" s="14" t="n"/>
      <c r="CY1060" s="14" t="n"/>
      <c r="CZ1060" s="14" t="n"/>
      <c r="DA1060" s="14" t="n"/>
      <c r="DB1060" s="14" t="n"/>
      <c r="DC1060" s="14" t="n"/>
    </row>
    <row r="1061">
      <c r="B1061" t="inlineStr">
        <is>
          <t>PP Film</t>
        </is>
      </c>
      <c r="C1061" t="inlineStr">
        <is>
          <t>No. of batches</t>
        </is>
      </c>
      <c r="D1061">
        <f>IFERROR(INDEX(PP_Grid[#Data],$DD1061,2),0)</f>
        <v/>
      </c>
      <c r="E1061">
        <f>IFERROR(INDEX(PP_Grid[#Data],$DD1061,3),0)</f>
        <v/>
      </c>
      <c r="F1061">
        <f>IFERROR(INDEX(PP_Grid[#Data],$DD1061,4),0)</f>
        <v/>
      </c>
      <c r="G1061">
        <f>IFERROR(INDEX(PP_Grid[#Data],$DD1061,5),0)</f>
        <v/>
      </c>
      <c r="H1061">
        <f>IFERROR(INDEX(PP_Grid[#Data],$DD1061,6),0)</f>
        <v/>
      </c>
      <c r="I1061">
        <f>IFERROR(INDEX(PP_Grid[#Data],$DD1061,7),0)</f>
        <v/>
      </c>
      <c r="J1061">
        <f>IFERROR(INDEX(PP_Grid[#Data],$DD1061,8),0)</f>
        <v/>
      </c>
      <c r="K1061">
        <f>IFERROR(INDEX(PP_Grid[#Data],$DD1061,9),0)</f>
        <v/>
      </c>
      <c r="L1061">
        <f>IFERROR(INDEX(PP_Grid[#Data],$DD1061,10),0)</f>
        <v/>
      </c>
      <c r="M1061">
        <f>IFERROR(INDEX(PP_Grid[#Data],$DD1061,11),0)</f>
        <v/>
      </c>
      <c r="N1061">
        <f>IFERROR(INDEX(PP_Grid[#Data],$DD1061,12),0)</f>
        <v/>
      </c>
      <c r="O1061">
        <f>IFERROR(INDEX(PP_Grid[#Data],$DD1061,13),0)</f>
        <v/>
      </c>
      <c r="P1061">
        <f>IFERROR(INDEX(PP_Grid[#Data],$DD1061,14),0)</f>
        <v/>
      </c>
      <c r="Q1061">
        <f>IFERROR(INDEX(PP_Grid[#Data],$DD1061,15),0)</f>
        <v/>
      </c>
      <c r="R1061">
        <f>IFERROR(INDEX(PP_Grid[#Data],$DD1061,16),0)</f>
        <v/>
      </c>
      <c r="S1061">
        <f>IFERROR(INDEX(PP_Grid[#Data],$DD1061,17),0)</f>
        <v/>
      </c>
      <c r="T1061">
        <f>IFERROR(INDEX(PP_Grid[#Data],$DD1061,18),0)</f>
        <v/>
      </c>
      <c r="U1061">
        <f>IFERROR(INDEX(PP_Grid[#Data],$DD1061,19),0)</f>
        <v/>
      </c>
      <c r="V1061">
        <f>IFERROR(INDEX(PP_Grid[#Data],$DD1061,20),0)</f>
        <v/>
      </c>
      <c r="W1061">
        <f>IFERROR(INDEX(PP_Grid[#Data],$DD1061,21),0)</f>
        <v/>
      </c>
      <c r="X1061">
        <f>IFERROR(INDEX(PP_Grid[#Data],$DD1061,22),0)</f>
        <v/>
      </c>
      <c r="Y1061">
        <f>IFERROR(INDEX(PP_Grid[#Data],$DD1061,23),0)</f>
        <v/>
      </c>
      <c r="Z1061">
        <f>IFERROR(INDEX(PP_Grid[#Data],$DD1061,24),0)</f>
        <v/>
      </c>
      <c r="AA1061">
        <f>IFERROR(INDEX(PP_Grid[#Data],$DD1061,25),0)</f>
        <v/>
      </c>
      <c r="AB1061">
        <f>IFERROR(INDEX(PP_Grid[#Data],$DD1061,26),0)</f>
        <v/>
      </c>
      <c r="AC1061">
        <f>IFERROR(INDEX(PP_Grid[#Data],$DD1061,27),0)</f>
        <v/>
      </c>
      <c r="AD1061">
        <f>IFERROR(INDEX(PP_Grid[#Data],$DD1061,28),0)</f>
        <v/>
      </c>
      <c r="AE1061">
        <f>IFERROR(INDEX(PP_Grid[#Data],$DD1061,29),0)</f>
        <v/>
      </c>
      <c r="AF1061">
        <f>IFERROR(INDEX(PP_Grid[#Data],$DD1061,30),0)</f>
        <v/>
      </c>
      <c r="AG1061">
        <f>IFERROR(INDEX(PP_Grid[#Data],$DD1061,31),0)</f>
        <v/>
      </c>
      <c r="AH1061">
        <f>IFERROR(INDEX(PP_Grid[#Data],$DD1061,32),0)</f>
        <v/>
      </c>
      <c r="AI1061">
        <f>IFERROR(INDEX(PP_Grid[#Data],$DD1061,33),0)</f>
        <v/>
      </c>
      <c r="AJ1061">
        <f>IFERROR(INDEX(PP_Grid[#Data],$DD1061,34),0)</f>
        <v/>
      </c>
      <c r="AK1061">
        <f>IFERROR(INDEX(PP_Grid[#Data],$DD1061,35),0)</f>
        <v/>
      </c>
      <c r="AL1061">
        <f>IFERROR(INDEX(PP_Grid[#Data],$DD1061,36),0)</f>
        <v/>
      </c>
      <c r="AM1061">
        <f>IFERROR(INDEX(PP_Grid[#Data],$DD1061,37),0)</f>
        <v/>
      </c>
      <c r="AN1061">
        <f>IFERROR(INDEX(PP_Grid[#Data],$DD1061,38),0)</f>
        <v/>
      </c>
      <c r="AO1061">
        <f>IFERROR(INDEX(PP_Grid[#Data],$DD1061,39),0)</f>
        <v/>
      </c>
      <c r="AP1061">
        <f>IFERROR(INDEX(PP_Grid[#Data],$DD1061,40),0)</f>
        <v/>
      </c>
      <c r="AQ1061">
        <f>IFERROR(INDEX(PP_Grid[#Data],$DD1061,41),0)</f>
        <v/>
      </c>
      <c r="AR1061">
        <f>IFERROR(INDEX(PP_Grid[#Data],$DD1061,42),0)</f>
        <v/>
      </c>
      <c r="AS1061">
        <f>IFERROR(INDEX(PP_Grid[#Data],$DD1061,43),0)</f>
        <v/>
      </c>
      <c r="AT1061">
        <f>IFERROR(INDEX(PP_Grid[#Data],$DD1061,44),0)</f>
        <v/>
      </c>
      <c r="AU1061">
        <f>IFERROR(INDEX(PP_Grid[#Data],$DD1061,45),0)</f>
        <v/>
      </c>
      <c r="AV1061">
        <f>IFERROR(INDEX(PP_Grid[#Data],$DD1061,46),0)</f>
        <v/>
      </c>
      <c r="AW1061">
        <f>IFERROR(INDEX(PP_Grid[#Data],$DD1061,47),0)</f>
        <v/>
      </c>
      <c r="AX1061">
        <f>IFERROR(INDEX(PP_Grid[#Data],$DD1061,48),0)</f>
        <v/>
      </c>
      <c r="AY1061">
        <f>IFERROR(INDEX(PP_Grid[#Data],$DD1061,49),0)</f>
        <v/>
      </c>
      <c r="AZ1061">
        <f>IFERROR(INDEX(PP_Grid[#Data],$DD1061,50),0)</f>
        <v/>
      </c>
      <c r="BA1061">
        <f>IFERROR(INDEX(PP_Grid[#Data],$DD1061,51),0)</f>
        <v/>
      </c>
      <c r="BB1061">
        <f>IFERROR(INDEX(PP_Grid[#Data],$DD1061,52),0)</f>
        <v/>
      </c>
      <c r="BC1061">
        <f>IFERROR(INDEX(PP_Grid[#Data],$DD1061,53),0)</f>
        <v/>
      </c>
      <c r="BD1061">
        <f>IFERROR(INDEX(PP_Grid[#Data],$DD1061,54),0)</f>
        <v/>
      </c>
      <c r="BE1061">
        <f>IFERROR(INDEX(PP_Grid[#Data],$DD1061,55),0)</f>
        <v/>
      </c>
      <c r="BF1061">
        <f>IFERROR(INDEX(PP_Grid[#Data],$DD1061,56),0)</f>
        <v/>
      </c>
      <c r="BG1061">
        <f>IFERROR(INDEX(PP_Grid[#Data],$DD1061,57),0)</f>
        <v/>
      </c>
      <c r="BH1061">
        <f>IFERROR(INDEX(PP_Grid[#Data],$DD1061,58),0)</f>
        <v/>
      </c>
      <c r="BI1061">
        <f>IFERROR(INDEX(PP_Grid[#Data],$DD1061,59),0)</f>
        <v/>
      </c>
      <c r="BJ1061">
        <f>IFERROR(INDEX(PP_Grid[#Data],$DD1061,60),0)</f>
        <v/>
      </c>
      <c r="BK1061">
        <f>IFERROR(INDEX(PP_Grid[#Data],$DD1061,61),0)</f>
        <v/>
      </c>
      <c r="BL1061">
        <f>IFERROR(INDEX(PP_Grid[#Data],$DD1061,62),0)</f>
        <v/>
      </c>
      <c r="BM1061">
        <f>IFERROR(INDEX(PP_Grid[#Data],$DD1061,63),0)</f>
        <v/>
      </c>
      <c r="BN1061">
        <f>IFERROR(INDEX(PP_Grid[#Data],$DD1061,64),0)</f>
        <v/>
      </c>
      <c r="BO1061">
        <f>IFERROR(INDEX(PP_Grid[#Data],$DD1061,65),0)</f>
        <v/>
      </c>
      <c r="BP1061">
        <f>IFERROR(INDEX(PP_Grid[#Data],$DD1061,66),0)</f>
        <v/>
      </c>
      <c r="BQ1061">
        <f>IFERROR(INDEX(PP_Grid[#Data],$DD1061,67),0)</f>
        <v/>
      </c>
      <c r="BR1061">
        <f>IFERROR(INDEX(PP_Grid[#Data],$DD1061,68),0)</f>
        <v/>
      </c>
      <c r="BS1061">
        <f>IFERROR(INDEX(PP_Grid[#Data],$DD1061,69),0)</f>
        <v/>
      </c>
      <c r="BT1061">
        <f>IFERROR(INDEX(PP_Grid[#Data],$DD1061,70),0)</f>
        <v/>
      </c>
      <c r="BU1061">
        <f>IFERROR(INDEX(PP_Grid[#Data],$DD1061,71),0)</f>
        <v/>
      </c>
      <c r="BV1061">
        <f>IFERROR(INDEX(PP_Grid[#Data],$DD1061,72),0)</f>
        <v/>
      </c>
      <c r="BW1061">
        <f>IFERROR(INDEX(PP_Grid[#Data],$DD1061,73),0)</f>
        <v/>
      </c>
      <c r="BX1061">
        <f>IFERROR(INDEX(PP_Grid[#Data],$DD1061,74),0)</f>
        <v/>
      </c>
      <c r="BY1061">
        <f>IFERROR(INDEX(PP_Grid[#Data],$DD1061,75),0)</f>
        <v/>
      </c>
      <c r="BZ1061">
        <f>IFERROR(INDEX(PP_Grid[#Data],$DD1061,76),0)</f>
        <v/>
      </c>
      <c r="CA1061">
        <f>IFERROR(INDEX(PP_Grid[#Data],$DD1061,77),0)</f>
        <v/>
      </c>
      <c r="CB1061">
        <f>IFERROR(INDEX(PP_Grid[#Data],$DD1061,78),0)</f>
        <v/>
      </c>
      <c r="CC1061">
        <f>IFERROR(INDEX(PP_Grid[#Data],$DD1061,79),0)</f>
        <v/>
      </c>
      <c r="CD1061">
        <f>IFERROR(INDEX(PP_Grid[#Data],$DD1061,80),0)</f>
        <v/>
      </c>
      <c r="CE1061">
        <f>IFERROR(INDEX(PP_Grid[#Data],$DD1061,81),0)</f>
        <v/>
      </c>
      <c r="CF1061">
        <f>IFERROR(INDEX(PP_Grid[#Data],$DD1061,82),0)</f>
        <v/>
      </c>
      <c r="CG1061">
        <f>IFERROR(INDEX(PP_Grid[#Data],$DD1061,83),0)</f>
        <v/>
      </c>
      <c r="CH1061">
        <f>IFERROR(INDEX(PP_Grid[#Data],$DD1061,84),0)</f>
        <v/>
      </c>
      <c r="CI1061">
        <f>IFERROR(INDEX(PP_Grid[#Data],$DD1061,85),0)</f>
        <v/>
      </c>
      <c r="CJ1061">
        <f>IFERROR(INDEX(PP_Grid[#Data],$DD1061,86),0)</f>
        <v/>
      </c>
      <c r="CK1061">
        <f>IFERROR(INDEX(PP_Grid[#Data],$DD1061,87),0)</f>
        <v/>
      </c>
      <c r="CL1061">
        <f>IFERROR(INDEX(PP_Grid[#Data],$DD1061,88),0)</f>
        <v/>
      </c>
      <c r="CM1061">
        <f>IFERROR(INDEX(PP_Grid[#Data],$DD1061,89),0)</f>
        <v/>
      </c>
      <c r="CN1061">
        <f>IFERROR(INDEX(PP_Grid[#Data],$DD1061,90),0)</f>
        <v/>
      </c>
      <c r="CO1061">
        <f>IFERROR(INDEX(PP_Grid[#Data],$DD1061,91),0)</f>
        <v/>
      </c>
      <c r="CP1061">
        <f>IFERROR(INDEX(PP_Grid[#Data],$DD1061,92),0)</f>
        <v/>
      </c>
      <c r="CQ1061">
        <f>IFERROR(INDEX(PP_Grid[#Data],$DD1061,93),0)</f>
        <v/>
      </c>
      <c r="CR1061">
        <f>IFERROR(INDEX(PP_Grid[#Data],$DD1061,94),0)</f>
        <v/>
      </c>
      <c r="CS1061">
        <f>IFERROR(INDEX(PP_Grid[#Data],$DD1061,95),0)</f>
        <v/>
      </c>
      <c r="CT1061">
        <f>IFERROR(INDEX(PP_Grid[#Data],$DD1061,96),0)</f>
        <v/>
      </c>
      <c r="CU1061">
        <f>IFERROR(INDEX(PP_Grid[#Data],$DD1061,97),0)</f>
        <v/>
      </c>
      <c r="CV1061">
        <f>IFERROR(INDEX(PP_Grid[#Data],$DD1061,98),0)</f>
        <v/>
      </c>
      <c r="CW1061">
        <f>IFERROR(INDEX(PP_Grid[#Data],$DD1061,99),0)</f>
        <v/>
      </c>
      <c r="CX1061">
        <f>IFERROR(INDEX(PP_Grid[#Data],$DD1061,100),0)</f>
        <v/>
      </c>
      <c r="CY1061">
        <f>IFERROR(INDEX(PP_Grid[#Data],$DD1061,101),0)</f>
        <v/>
      </c>
      <c r="CZ1061">
        <f>IFERROR(INDEX(PP_Grid[#Data],$DD1061,102),0)</f>
        <v/>
      </c>
      <c r="DA1061">
        <f>IFERROR(INDEX(PP_Grid[#Data],$DD1061,103),0)</f>
        <v/>
      </c>
      <c r="DB1061">
        <f>IFERROR(INDEX(PP_Grid[#Data],$DD1061,104),0)</f>
        <v/>
      </c>
      <c r="DC1061">
        <f>IFERROR(INDEX(PP_Grid[#Data],$DD1061,105),0)</f>
        <v/>
      </c>
      <c r="DD1061" s="7">
        <f>IFERROR(MATCH($B1061,PP_Grid[Intermediate],0),99999)</f>
        <v/>
      </c>
    </row>
    <row r="1062">
      <c r="B1062" t="inlineStr">
        <is>
          <t>使用量(kg)</t>
        </is>
      </c>
      <c r="C1062">
        <f>SUMIFS(M_BOM[RM_Qty_Per_Batch],M_BOM[Intermediate],$B1061,M_BOM[Part Name],$A1060)</f>
        <v/>
      </c>
      <c r="D1062">
        <f>$C1062*D1061</f>
        <v/>
      </c>
      <c r="E1062">
        <f>$C1062*E1061</f>
        <v/>
      </c>
      <c r="F1062">
        <f>$C1062*F1061</f>
        <v/>
      </c>
      <c r="G1062">
        <f>$C1062*G1061</f>
        <v/>
      </c>
      <c r="H1062">
        <f>$C1062*H1061</f>
        <v/>
      </c>
      <c r="I1062">
        <f>$C1062*I1061</f>
        <v/>
      </c>
      <c r="J1062">
        <f>$C1062*J1061</f>
        <v/>
      </c>
      <c r="K1062">
        <f>$C1062*K1061</f>
        <v/>
      </c>
      <c r="L1062">
        <f>$C1062*L1061</f>
        <v/>
      </c>
      <c r="M1062">
        <f>$C1062*M1061</f>
        <v/>
      </c>
      <c r="N1062">
        <f>$C1062*N1061</f>
        <v/>
      </c>
      <c r="O1062">
        <f>$C1062*O1061</f>
        <v/>
      </c>
      <c r="P1062">
        <f>$C1062*P1061</f>
        <v/>
      </c>
      <c r="Q1062">
        <f>$C1062*Q1061</f>
        <v/>
      </c>
      <c r="R1062">
        <f>$C1062*R1061</f>
        <v/>
      </c>
      <c r="S1062">
        <f>$C1062*S1061</f>
        <v/>
      </c>
      <c r="T1062">
        <f>$C1062*T1061</f>
        <v/>
      </c>
      <c r="U1062">
        <f>$C1062*U1061</f>
        <v/>
      </c>
      <c r="V1062">
        <f>$C1062*V1061</f>
        <v/>
      </c>
      <c r="W1062">
        <f>$C1062*W1061</f>
        <v/>
      </c>
      <c r="X1062">
        <f>$C1062*X1061</f>
        <v/>
      </c>
      <c r="Y1062">
        <f>$C1062*Y1061</f>
        <v/>
      </c>
      <c r="Z1062">
        <f>$C1062*Z1061</f>
        <v/>
      </c>
      <c r="AA1062">
        <f>$C1062*AA1061</f>
        <v/>
      </c>
      <c r="AB1062">
        <f>$C1062*AB1061</f>
        <v/>
      </c>
      <c r="AC1062">
        <f>$C1062*AC1061</f>
        <v/>
      </c>
      <c r="AD1062">
        <f>$C1062*AD1061</f>
        <v/>
      </c>
      <c r="AE1062">
        <f>$C1062*AE1061</f>
        <v/>
      </c>
      <c r="AF1062">
        <f>$C1062*AF1061</f>
        <v/>
      </c>
      <c r="AG1062">
        <f>$C1062*AG1061</f>
        <v/>
      </c>
      <c r="AH1062">
        <f>$C1062*AH1061</f>
        <v/>
      </c>
      <c r="AI1062">
        <f>$C1062*AI1061</f>
        <v/>
      </c>
      <c r="AJ1062">
        <f>$C1062*AJ1061</f>
        <v/>
      </c>
      <c r="AK1062">
        <f>$C1062*AK1061</f>
        <v/>
      </c>
      <c r="AL1062">
        <f>$C1062*AL1061</f>
        <v/>
      </c>
      <c r="AM1062">
        <f>$C1062*AM1061</f>
        <v/>
      </c>
      <c r="AN1062">
        <f>$C1062*AN1061</f>
        <v/>
      </c>
      <c r="AO1062">
        <f>$C1062*AO1061</f>
        <v/>
      </c>
      <c r="AP1062">
        <f>$C1062*AP1061</f>
        <v/>
      </c>
      <c r="AQ1062">
        <f>$C1062*AQ1061</f>
        <v/>
      </c>
      <c r="AR1062">
        <f>$C1062*AR1061</f>
        <v/>
      </c>
      <c r="AS1062">
        <f>$C1062*AS1061</f>
        <v/>
      </c>
      <c r="AT1062">
        <f>$C1062*AT1061</f>
        <v/>
      </c>
      <c r="AU1062">
        <f>$C1062*AU1061</f>
        <v/>
      </c>
      <c r="AV1062">
        <f>$C1062*AV1061</f>
        <v/>
      </c>
      <c r="AW1062">
        <f>$C1062*AW1061</f>
        <v/>
      </c>
      <c r="AX1062">
        <f>$C1062*AX1061</f>
        <v/>
      </c>
      <c r="AY1062">
        <f>$C1062*AY1061</f>
        <v/>
      </c>
      <c r="AZ1062">
        <f>$C1062*AZ1061</f>
        <v/>
      </c>
      <c r="BA1062">
        <f>$C1062*BA1061</f>
        <v/>
      </c>
      <c r="BB1062">
        <f>$C1062*BB1061</f>
        <v/>
      </c>
      <c r="BC1062">
        <f>$C1062*BC1061</f>
        <v/>
      </c>
      <c r="BD1062">
        <f>$C1062*BD1061</f>
        <v/>
      </c>
      <c r="BE1062">
        <f>$C1062*BE1061</f>
        <v/>
      </c>
      <c r="BF1062">
        <f>$C1062*BF1061</f>
        <v/>
      </c>
      <c r="BG1062">
        <f>$C1062*BG1061</f>
        <v/>
      </c>
      <c r="BH1062">
        <f>$C1062*BH1061</f>
        <v/>
      </c>
      <c r="BI1062">
        <f>$C1062*BI1061</f>
        <v/>
      </c>
      <c r="BJ1062">
        <f>$C1062*BJ1061</f>
        <v/>
      </c>
      <c r="BK1062">
        <f>$C1062*BK1061</f>
        <v/>
      </c>
      <c r="BL1062">
        <f>$C1062*BL1061</f>
        <v/>
      </c>
      <c r="BM1062">
        <f>$C1062*BM1061</f>
        <v/>
      </c>
      <c r="BN1062">
        <f>$C1062*BN1061</f>
        <v/>
      </c>
      <c r="BO1062">
        <f>$C1062*BO1061</f>
        <v/>
      </c>
      <c r="BP1062">
        <f>$C1062*BP1061</f>
        <v/>
      </c>
      <c r="BQ1062">
        <f>$C1062*BQ1061</f>
        <v/>
      </c>
      <c r="BR1062">
        <f>$C1062*BR1061</f>
        <v/>
      </c>
      <c r="BS1062">
        <f>$C1062*BS1061</f>
        <v/>
      </c>
      <c r="BT1062">
        <f>$C1062*BT1061</f>
        <v/>
      </c>
      <c r="BU1062">
        <f>$C1062*BU1061</f>
        <v/>
      </c>
      <c r="BV1062">
        <f>$C1062*BV1061</f>
        <v/>
      </c>
      <c r="BW1062">
        <f>$C1062*BW1061</f>
        <v/>
      </c>
      <c r="BX1062">
        <f>$C1062*BX1061</f>
        <v/>
      </c>
      <c r="BY1062">
        <f>$C1062*BY1061</f>
        <v/>
      </c>
      <c r="BZ1062">
        <f>$C1062*BZ1061</f>
        <v/>
      </c>
      <c r="CA1062">
        <f>$C1062*CA1061</f>
        <v/>
      </c>
      <c r="CB1062">
        <f>$C1062*CB1061</f>
        <v/>
      </c>
      <c r="CC1062">
        <f>$C1062*CC1061</f>
        <v/>
      </c>
      <c r="CD1062">
        <f>$C1062*CD1061</f>
        <v/>
      </c>
      <c r="CE1062">
        <f>$C1062*CE1061</f>
        <v/>
      </c>
      <c r="CF1062">
        <f>$C1062*CF1061</f>
        <v/>
      </c>
      <c r="CG1062">
        <f>$C1062*CG1061</f>
        <v/>
      </c>
      <c r="CH1062">
        <f>$C1062*CH1061</f>
        <v/>
      </c>
      <c r="CI1062">
        <f>$C1062*CI1061</f>
        <v/>
      </c>
      <c r="CJ1062">
        <f>$C1062*CJ1061</f>
        <v/>
      </c>
      <c r="CK1062">
        <f>$C1062*CK1061</f>
        <v/>
      </c>
      <c r="CL1062">
        <f>$C1062*CL1061</f>
        <v/>
      </c>
      <c r="CM1062">
        <f>$C1062*CM1061</f>
        <v/>
      </c>
      <c r="CN1062">
        <f>$C1062*CN1061</f>
        <v/>
      </c>
      <c r="CO1062">
        <f>$C1062*CO1061</f>
        <v/>
      </c>
      <c r="CP1062">
        <f>$C1062*CP1061</f>
        <v/>
      </c>
      <c r="CQ1062">
        <f>$C1062*CQ1061</f>
        <v/>
      </c>
      <c r="CR1062">
        <f>$C1062*CR1061</f>
        <v/>
      </c>
      <c r="CS1062">
        <f>$C1062*CS1061</f>
        <v/>
      </c>
      <c r="CT1062">
        <f>$C1062*CT1061</f>
        <v/>
      </c>
      <c r="CU1062">
        <f>$C1062*CU1061</f>
        <v/>
      </c>
      <c r="CV1062">
        <f>$C1062*CV1061</f>
        <v/>
      </c>
      <c r="CW1062">
        <f>$C1062*CW1061</f>
        <v/>
      </c>
      <c r="CX1062">
        <f>$C1062*CX1061</f>
        <v/>
      </c>
      <c r="CY1062">
        <f>$C1062*CY1061</f>
        <v/>
      </c>
      <c r="CZ1062">
        <f>$C1062*CZ1061</f>
        <v/>
      </c>
      <c r="DA1062">
        <f>$C1062*DA1061</f>
        <v/>
      </c>
      <c r="DB1062">
        <f>$C1062*DB1061</f>
        <v/>
      </c>
      <c r="DC1062">
        <f>$C1062*DC1061</f>
        <v/>
      </c>
    </row>
    <row r="1063">
      <c r="B1063" s="4" t="inlineStr">
        <is>
          <t>合計使用量(kg)/週</t>
        </is>
      </c>
      <c r="D1063">
        <f>'Grid_Requirement'!B39</f>
        <v/>
      </c>
      <c r="E1063">
        <f>'Grid_Requirement'!C39</f>
        <v/>
      </c>
      <c r="F1063">
        <f>'Grid_Requirement'!D39</f>
        <v/>
      </c>
      <c r="G1063">
        <f>'Grid_Requirement'!E39</f>
        <v/>
      </c>
      <c r="H1063">
        <f>'Grid_Requirement'!F39</f>
        <v/>
      </c>
      <c r="I1063">
        <f>'Grid_Requirement'!G39</f>
        <v/>
      </c>
      <c r="J1063">
        <f>'Grid_Requirement'!H39</f>
        <v/>
      </c>
      <c r="K1063">
        <f>'Grid_Requirement'!I39</f>
        <v/>
      </c>
      <c r="L1063">
        <f>'Grid_Requirement'!J39</f>
        <v/>
      </c>
      <c r="M1063">
        <f>'Grid_Requirement'!K39</f>
        <v/>
      </c>
      <c r="N1063">
        <f>'Grid_Requirement'!L39</f>
        <v/>
      </c>
      <c r="O1063">
        <f>'Grid_Requirement'!M39</f>
        <v/>
      </c>
      <c r="P1063">
        <f>'Grid_Requirement'!N39</f>
        <v/>
      </c>
      <c r="Q1063">
        <f>'Grid_Requirement'!O39</f>
        <v/>
      </c>
      <c r="R1063">
        <f>'Grid_Requirement'!P39</f>
        <v/>
      </c>
      <c r="S1063">
        <f>'Grid_Requirement'!Q39</f>
        <v/>
      </c>
      <c r="T1063">
        <f>'Grid_Requirement'!R39</f>
        <v/>
      </c>
      <c r="U1063">
        <f>'Grid_Requirement'!S39</f>
        <v/>
      </c>
      <c r="V1063">
        <f>'Grid_Requirement'!T39</f>
        <v/>
      </c>
      <c r="W1063">
        <f>'Grid_Requirement'!U39</f>
        <v/>
      </c>
      <c r="X1063">
        <f>'Grid_Requirement'!V39</f>
        <v/>
      </c>
      <c r="Y1063">
        <f>'Grid_Requirement'!W39</f>
        <v/>
      </c>
      <c r="Z1063">
        <f>'Grid_Requirement'!X39</f>
        <v/>
      </c>
      <c r="AA1063">
        <f>'Grid_Requirement'!Y39</f>
        <v/>
      </c>
      <c r="AB1063">
        <f>'Grid_Requirement'!Z39</f>
        <v/>
      </c>
      <c r="AC1063">
        <f>'Grid_Requirement'!AA39</f>
        <v/>
      </c>
      <c r="AD1063">
        <f>'Grid_Requirement'!AB39</f>
        <v/>
      </c>
      <c r="AE1063">
        <f>'Grid_Requirement'!AC39</f>
        <v/>
      </c>
      <c r="AF1063">
        <f>'Grid_Requirement'!AD39</f>
        <v/>
      </c>
      <c r="AG1063">
        <f>'Grid_Requirement'!AE39</f>
        <v/>
      </c>
      <c r="AH1063">
        <f>'Grid_Requirement'!AF39</f>
        <v/>
      </c>
      <c r="AI1063">
        <f>'Grid_Requirement'!AG39</f>
        <v/>
      </c>
      <c r="AJ1063">
        <f>'Grid_Requirement'!AH39</f>
        <v/>
      </c>
      <c r="AK1063">
        <f>'Grid_Requirement'!AI39</f>
        <v/>
      </c>
      <c r="AL1063">
        <f>'Grid_Requirement'!AJ39</f>
        <v/>
      </c>
      <c r="AM1063">
        <f>'Grid_Requirement'!AK39</f>
        <v/>
      </c>
      <c r="AN1063">
        <f>'Grid_Requirement'!AL39</f>
        <v/>
      </c>
      <c r="AO1063">
        <f>'Grid_Requirement'!AM39</f>
        <v/>
      </c>
      <c r="AP1063">
        <f>'Grid_Requirement'!AN39</f>
        <v/>
      </c>
      <c r="AQ1063">
        <f>'Grid_Requirement'!AO39</f>
        <v/>
      </c>
      <c r="AR1063">
        <f>'Grid_Requirement'!AP39</f>
        <v/>
      </c>
      <c r="AS1063">
        <f>'Grid_Requirement'!AQ39</f>
        <v/>
      </c>
      <c r="AT1063">
        <f>'Grid_Requirement'!AR39</f>
        <v/>
      </c>
      <c r="AU1063">
        <f>'Grid_Requirement'!AS39</f>
        <v/>
      </c>
      <c r="AV1063">
        <f>'Grid_Requirement'!AT39</f>
        <v/>
      </c>
      <c r="AW1063">
        <f>'Grid_Requirement'!AU39</f>
        <v/>
      </c>
      <c r="AX1063">
        <f>'Grid_Requirement'!AV39</f>
        <v/>
      </c>
      <c r="AY1063">
        <f>'Grid_Requirement'!AW39</f>
        <v/>
      </c>
      <c r="AZ1063">
        <f>'Grid_Requirement'!AX39</f>
        <v/>
      </c>
      <c r="BA1063">
        <f>'Grid_Requirement'!AY39</f>
        <v/>
      </c>
      <c r="BB1063">
        <f>'Grid_Requirement'!AZ39</f>
        <v/>
      </c>
      <c r="BC1063">
        <f>'Grid_Requirement'!BA39</f>
        <v/>
      </c>
      <c r="BD1063">
        <f>'Grid_Requirement'!BB39</f>
        <v/>
      </c>
      <c r="BE1063">
        <f>'Grid_Requirement'!BC39</f>
        <v/>
      </c>
      <c r="BF1063">
        <f>'Grid_Requirement'!BD39</f>
        <v/>
      </c>
      <c r="BG1063">
        <f>'Grid_Requirement'!BE39</f>
        <v/>
      </c>
      <c r="BH1063">
        <f>'Grid_Requirement'!BF39</f>
        <v/>
      </c>
      <c r="BI1063">
        <f>'Grid_Requirement'!BG39</f>
        <v/>
      </c>
      <c r="BJ1063">
        <f>'Grid_Requirement'!BH39</f>
        <v/>
      </c>
      <c r="BK1063">
        <f>'Grid_Requirement'!BI39</f>
        <v/>
      </c>
      <c r="BL1063">
        <f>'Grid_Requirement'!BJ39</f>
        <v/>
      </c>
      <c r="BM1063">
        <f>'Grid_Requirement'!BK39</f>
        <v/>
      </c>
      <c r="BN1063">
        <f>'Grid_Requirement'!BL39</f>
        <v/>
      </c>
      <c r="BO1063">
        <f>'Grid_Requirement'!BM39</f>
        <v/>
      </c>
      <c r="BP1063">
        <f>'Grid_Requirement'!BN39</f>
        <v/>
      </c>
      <c r="BQ1063">
        <f>'Grid_Requirement'!BO39</f>
        <v/>
      </c>
      <c r="BR1063">
        <f>'Grid_Requirement'!BP39</f>
        <v/>
      </c>
      <c r="BS1063">
        <f>'Grid_Requirement'!BQ39</f>
        <v/>
      </c>
      <c r="BT1063">
        <f>'Grid_Requirement'!BR39</f>
        <v/>
      </c>
      <c r="BU1063">
        <f>'Grid_Requirement'!BS39</f>
        <v/>
      </c>
      <c r="BV1063">
        <f>'Grid_Requirement'!BT39</f>
        <v/>
      </c>
      <c r="BW1063">
        <f>'Grid_Requirement'!BU39</f>
        <v/>
      </c>
      <c r="BX1063">
        <f>'Grid_Requirement'!BV39</f>
        <v/>
      </c>
      <c r="BY1063">
        <f>'Grid_Requirement'!BW39</f>
        <v/>
      </c>
      <c r="BZ1063">
        <f>'Grid_Requirement'!BX39</f>
        <v/>
      </c>
      <c r="CA1063">
        <f>'Grid_Requirement'!BY39</f>
        <v/>
      </c>
      <c r="CB1063">
        <f>'Grid_Requirement'!BZ39</f>
        <v/>
      </c>
      <c r="CC1063">
        <f>'Grid_Requirement'!CA39</f>
        <v/>
      </c>
      <c r="CD1063">
        <f>'Grid_Requirement'!CB39</f>
        <v/>
      </c>
      <c r="CE1063">
        <f>'Grid_Requirement'!CC39</f>
        <v/>
      </c>
      <c r="CF1063">
        <f>'Grid_Requirement'!CD39</f>
        <v/>
      </c>
      <c r="CG1063">
        <f>'Grid_Requirement'!CE39</f>
        <v/>
      </c>
      <c r="CH1063">
        <f>'Grid_Requirement'!CF39</f>
        <v/>
      </c>
      <c r="CI1063">
        <f>'Grid_Requirement'!CG39</f>
        <v/>
      </c>
      <c r="CJ1063">
        <f>'Grid_Requirement'!CH39</f>
        <v/>
      </c>
      <c r="CK1063">
        <f>'Grid_Requirement'!CI39</f>
        <v/>
      </c>
      <c r="CL1063">
        <f>'Grid_Requirement'!CJ39</f>
        <v/>
      </c>
      <c r="CM1063">
        <f>'Grid_Requirement'!CK39</f>
        <v/>
      </c>
      <c r="CN1063">
        <f>'Grid_Requirement'!CL39</f>
        <v/>
      </c>
      <c r="CO1063">
        <f>'Grid_Requirement'!CM39</f>
        <v/>
      </c>
      <c r="CP1063">
        <f>'Grid_Requirement'!CN39</f>
        <v/>
      </c>
      <c r="CQ1063">
        <f>'Grid_Requirement'!CO39</f>
        <v/>
      </c>
      <c r="CR1063">
        <f>'Grid_Requirement'!CP39</f>
        <v/>
      </c>
      <c r="CS1063">
        <f>'Grid_Requirement'!CQ39</f>
        <v/>
      </c>
      <c r="CT1063">
        <f>'Grid_Requirement'!CR39</f>
        <v/>
      </c>
      <c r="CU1063">
        <f>'Grid_Requirement'!CS39</f>
        <v/>
      </c>
      <c r="CV1063">
        <f>'Grid_Requirement'!CT39</f>
        <v/>
      </c>
      <c r="CW1063">
        <f>'Grid_Requirement'!CU39</f>
        <v/>
      </c>
      <c r="CX1063">
        <f>'Grid_Requirement'!CV39</f>
        <v/>
      </c>
      <c r="CY1063">
        <f>'Grid_Requirement'!CW39</f>
        <v/>
      </c>
      <c r="CZ1063">
        <f>'Grid_Requirement'!CX39</f>
        <v/>
      </c>
      <c r="DA1063">
        <f>'Grid_Requirement'!CY39</f>
        <v/>
      </c>
      <c r="DB1063">
        <f>'Grid_Requirement'!CZ39</f>
        <v/>
      </c>
      <c r="DC1063">
        <f>'Grid_Requirement'!DA39</f>
        <v/>
      </c>
    </row>
    <row r="1064">
      <c r="B1064" t="inlineStr">
        <is>
          <t>TTAF在庫(実績,kg)</t>
        </is>
      </c>
      <c r="D1064">
        <f>'T_TTAFStock'!B43</f>
        <v/>
      </c>
      <c r="E1064">
        <f>'T_TTAFStock'!C43</f>
        <v/>
      </c>
      <c r="F1064">
        <f>'T_TTAFStock'!D43</f>
        <v/>
      </c>
      <c r="G1064">
        <f>'T_TTAFStock'!E43</f>
        <v/>
      </c>
      <c r="H1064">
        <f>'T_TTAFStock'!F43</f>
        <v/>
      </c>
      <c r="I1064">
        <f>'T_TTAFStock'!G43</f>
        <v/>
      </c>
      <c r="J1064">
        <f>'T_TTAFStock'!H43</f>
        <v/>
      </c>
      <c r="K1064">
        <f>'T_TTAFStock'!I43</f>
        <v/>
      </c>
      <c r="L1064">
        <f>'T_TTAFStock'!J43</f>
        <v/>
      </c>
      <c r="M1064">
        <f>'T_TTAFStock'!K43</f>
        <v/>
      </c>
      <c r="N1064">
        <f>'T_TTAFStock'!L43</f>
        <v/>
      </c>
      <c r="O1064">
        <f>'T_TTAFStock'!M43</f>
        <v/>
      </c>
      <c r="P1064">
        <f>'T_TTAFStock'!N43</f>
        <v/>
      </c>
      <c r="Q1064">
        <f>'T_TTAFStock'!O43</f>
        <v/>
      </c>
      <c r="R1064">
        <f>'T_TTAFStock'!P43</f>
        <v/>
      </c>
      <c r="S1064">
        <f>'T_TTAFStock'!Q43</f>
        <v/>
      </c>
      <c r="T1064">
        <f>'T_TTAFStock'!R43</f>
        <v/>
      </c>
      <c r="U1064">
        <f>'T_TTAFStock'!S43</f>
        <v/>
      </c>
      <c r="V1064">
        <f>'T_TTAFStock'!T43</f>
        <v/>
      </c>
      <c r="W1064">
        <f>'T_TTAFStock'!U43</f>
        <v/>
      </c>
      <c r="X1064">
        <f>'T_TTAFStock'!V43</f>
        <v/>
      </c>
      <c r="Y1064">
        <f>'T_TTAFStock'!W43</f>
        <v/>
      </c>
      <c r="Z1064">
        <f>'T_TTAFStock'!X43</f>
        <v/>
      </c>
      <c r="AA1064">
        <f>'T_TTAFStock'!Y43</f>
        <v/>
      </c>
      <c r="AB1064">
        <f>'T_TTAFStock'!Z43</f>
        <v/>
      </c>
      <c r="AC1064">
        <f>'T_TTAFStock'!AA43</f>
        <v/>
      </c>
      <c r="AD1064">
        <f>'T_TTAFStock'!AB43</f>
        <v/>
      </c>
      <c r="AE1064">
        <f>'T_TTAFStock'!AC43</f>
        <v/>
      </c>
      <c r="AF1064">
        <f>'T_TTAFStock'!AD43</f>
        <v/>
      </c>
      <c r="AG1064">
        <f>'T_TTAFStock'!AE43</f>
        <v/>
      </c>
      <c r="AH1064">
        <f>'T_TTAFStock'!AF43</f>
        <v/>
      </c>
      <c r="AI1064">
        <f>'T_TTAFStock'!AG43</f>
        <v/>
      </c>
      <c r="AJ1064">
        <f>'T_TTAFStock'!AH43</f>
        <v/>
      </c>
      <c r="AK1064">
        <f>'T_TTAFStock'!AI43</f>
        <v/>
      </c>
      <c r="AL1064">
        <f>'T_TTAFStock'!AJ43</f>
        <v/>
      </c>
      <c r="AM1064">
        <f>'T_TTAFStock'!AK43</f>
        <v/>
      </c>
      <c r="AN1064">
        <f>'T_TTAFStock'!AL43</f>
        <v/>
      </c>
      <c r="AO1064">
        <f>'T_TTAFStock'!AM43</f>
        <v/>
      </c>
      <c r="AP1064">
        <f>'T_TTAFStock'!AN43</f>
        <v/>
      </c>
      <c r="AQ1064">
        <f>'T_TTAFStock'!AO43</f>
        <v/>
      </c>
      <c r="AR1064">
        <f>'T_TTAFStock'!AP43</f>
        <v/>
      </c>
      <c r="AS1064">
        <f>'T_TTAFStock'!AQ43</f>
        <v/>
      </c>
      <c r="AT1064">
        <f>'T_TTAFStock'!AR43</f>
        <v/>
      </c>
      <c r="AU1064">
        <f>'T_TTAFStock'!AS43</f>
        <v/>
      </c>
      <c r="AV1064">
        <f>'T_TTAFStock'!AT43</f>
        <v/>
      </c>
      <c r="AW1064">
        <f>'T_TTAFStock'!AU43</f>
        <v/>
      </c>
      <c r="AX1064">
        <f>'T_TTAFStock'!AV43</f>
        <v/>
      </c>
      <c r="AY1064">
        <f>'T_TTAFStock'!AW43</f>
        <v/>
      </c>
      <c r="AZ1064">
        <f>'T_TTAFStock'!AX43</f>
        <v/>
      </c>
      <c r="BA1064">
        <f>'T_TTAFStock'!AY43</f>
        <v/>
      </c>
      <c r="BB1064">
        <f>'T_TTAFStock'!AZ43</f>
        <v/>
      </c>
      <c r="BC1064">
        <f>'T_TTAFStock'!BA43</f>
        <v/>
      </c>
      <c r="BD1064">
        <f>'T_TTAFStock'!BB43</f>
        <v/>
      </c>
      <c r="BE1064">
        <f>'T_TTAFStock'!BC43</f>
        <v/>
      </c>
      <c r="BF1064">
        <f>'T_TTAFStock'!BD43</f>
        <v/>
      </c>
      <c r="BG1064">
        <f>'T_TTAFStock'!BE43</f>
        <v/>
      </c>
      <c r="BH1064">
        <f>'T_TTAFStock'!BF43</f>
        <v/>
      </c>
      <c r="BI1064">
        <f>'T_TTAFStock'!BG43</f>
        <v/>
      </c>
      <c r="BJ1064">
        <f>'T_TTAFStock'!BH43</f>
        <v/>
      </c>
      <c r="BK1064">
        <f>'T_TTAFStock'!BI43</f>
        <v/>
      </c>
      <c r="BL1064">
        <f>'T_TTAFStock'!BJ43</f>
        <v/>
      </c>
      <c r="BM1064">
        <f>'T_TTAFStock'!BK43</f>
        <v/>
      </c>
      <c r="BN1064">
        <f>'T_TTAFStock'!BL43</f>
        <v/>
      </c>
      <c r="BO1064">
        <f>'T_TTAFStock'!BM43</f>
        <v/>
      </c>
      <c r="BP1064">
        <f>'T_TTAFStock'!BN43</f>
        <v/>
      </c>
      <c r="BQ1064">
        <f>'T_TTAFStock'!BO43</f>
        <v/>
      </c>
      <c r="BR1064">
        <f>'T_TTAFStock'!BP43</f>
        <v/>
      </c>
      <c r="BS1064">
        <f>'T_TTAFStock'!BQ43</f>
        <v/>
      </c>
      <c r="BT1064">
        <f>'T_TTAFStock'!BR43</f>
        <v/>
      </c>
      <c r="BU1064">
        <f>'T_TTAFStock'!BS43</f>
        <v/>
      </c>
      <c r="BV1064">
        <f>'T_TTAFStock'!BT43</f>
        <v/>
      </c>
      <c r="BW1064">
        <f>'T_TTAFStock'!BU43</f>
        <v/>
      </c>
      <c r="BX1064">
        <f>'T_TTAFStock'!BV43</f>
        <v/>
      </c>
      <c r="BY1064">
        <f>'T_TTAFStock'!BW43</f>
        <v/>
      </c>
      <c r="BZ1064">
        <f>'T_TTAFStock'!BX43</f>
        <v/>
      </c>
      <c r="CA1064">
        <f>'T_TTAFStock'!BY43</f>
        <v/>
      </c>
      <c r="CB1064">
        <f>'T_TTAFStock'!BZ43</f>
        <v/>
      </c>
      <c r="CC1064">
        <f>'T_TTAFStock'!CA43</f>
        <v/>
      </c>
      <c r="CD1064">
        <f>'T_TTAFStock'!CB43</f>
        <v/>
      </c>
      <c r="CE1064">
        <f>'T_TTAFStock'!CC43</f>
        <v/>
      </c>
      <c r="CF1064">
        <f>'T_TTAFStock'!CD43</f>
        <v/>
      </c>
      <c r="CG1064">
        <f>'T_TTAFStock'!CE43</f>
        <v/>
      </c>
      <c r="CH1064">
        <f>'T_TTAFStock'!CF43</f>
        <v/>
      </c>
      <c r="CI1064">
        <f>'T_TTAFStock'!CG43</f>
        <v/>
      </c>
      <c r="CJ1064">
        <f>'T_TTAFStock'!CH43</f>
        <v/>
      </c>
      <c r="CK1064">
        <f>'T_TTAFStock'!CI43</f>
        <v/>
      </c>
      <c r="CL1064">
        <f>'T_TTAFStock'!CJ43</f>
        <v/>
      </c>
      <c r="CM1064">
        <f>'T_TTAFStock'!CK43</f>
        <v/>
      </c>
      <c r="CN1064">
        <f>'T_TTAFStock'!CL43</f>
        <v/>
      </c>
      <c r="CO1064">
        <f>'T_TTAFStock'!CM43</f>
        <v/>
      </c>
      <c r="CP1064">
        <f>'T_TTAFStock'!CN43</f>
        <v/>
      </c>
      <c r="CQ1064">
        <f>'T_TTAFStock'!CO43</f>
        <v/>
      </c>
      <c r="CR1064">
        <f>'T_TTAFStock'!CP43</f>
        <v/>
      </c>
      <c r="CS1064">
        <f>'T_TTAFStock'!CQ43</f>
        <v/>
      </c>
      <c r="CT1064">
        <f>'T_TTAFStock'!CR43</f>
        <v/>
      </c>
      <c r="CU1064">
        <f>'T_TTAFStock'!CS43</f>
        <v/>
      </c>
      <c r="CV1064">
        <f>'T_TTAFStock'!CT43</f>
        <v/>
      </c>
      <c r="CW1064">
        <f>'T_TTAFStock'!CU43</f>
        <v/>
      </c>
      <c r="CX1064">
        <f>'T_TTAFStock'!CV43</f>
        <v/>
      </c>
      <c r="CY1064">
        <f>'T_TTAFStock'!CW43</f>
        <v/>
      </c>
      <c r="CZ1064">
        <f>'T_TTAFStock'!CX43</f>
        <v/>
      </c>
      <c r="DA1064">
        <f>'T_TTAFStock'!CY43</f>
        <v/>
      </c>
      <c r="DB1064">
        <f>'T_TTAFStock'!CZ43</f>
        <v/>
      </c>
      <c r="DC1064">
        <f>'T_TTAFStock'!DA43</f>
        <v/>
      </c>
    </row>
    <row r="1065">
      <c r="B1065" t="inlineStr">
        <is>
          <t>自社在庫(実績,kg)</t>
        </is>
      </c>
      <c r="D1065">
        <f>'T_SelfStock'!B43</f>
        <v/>
      </c>
      <c r="E1065">
        <f>'T_SelfStock'!C43</f>
        <v/>
      </c>
      <c r="F1065">
        <f>'T_SelfStock'!D43</f>
        <v/>
      </c>
      <c r="G1065">
        <f>'T_SelfStock'!E43</f>
        <v/>
      </c>
      <c r="H1065">
        <f>'T_SelfStock'!F43</f>
        <v/>
      </c>
      <c r="I1065">
        <f>'T_SelfStock'!G43</f>
        <v/>
      </c>
      <c r="J1065">
        <f>'T_SelfStock'!H43</f>
        <v/>
      </c>
      <c r="K1065">
        <f>'T_SelfStock'!I43</f>
        <v/>
      </c>
      <c r="L1065">
        <f>'T_SelfStock'!J43</f>
        <v/>
      </c>
      <c r="M1065">
        <f>'T_SelfStock'!K43</f>
        <v/>
      </c>
      <c r="N1065">
        <f>'T_SelfStock'!L43</f>
        <v/>
      </c>
      <c r="O1065">
        <f>'T_SelfStock'!M43</f>
        <v/>
      </c>
      <c r="P1065">
        <f>'T_SelfStock'!N43</f>
        <v/>
      </c>
      <c r="Q1065">
        <f>'T_SelfStock'!O43</f>
        <v/>
      </c>
      <c r="R1065">
        <f>'T_SelfStock'!P43</f>
        <v/>
      </c>
      <c r="S1065">
        <f>'T_SelfStock'!Q43</f>
        <v/>
      </c>
      <c r="T1065">
        <f>'T_SelfStock'!R43</f>
        <v/>
      </c>
      <c r="U1065">
        <f>'T_SelfStock'!S43</f>
        <v/>
      </c>
      <c r="V1065">
        <f>'T_SelfStock'!T43</f>
        <v/>
      </c>
      <c r="W1065">
        <f>'T_SelfStock'!U43</f>
        <v/>
      </c>
      <c r="X1065">
        <f>'T_SelfStock'!V43</f>
        <v/>
      </c>
      <c r="Y1065">
        <f>'T_SelfStock'!W43</f>
        <v/>
      </c>
      <c r="Z1065">
        <f>'T_SelfStock'!X43</f>
        <v/>
      </c>
      <c r="AA1065">
        <f>'T_SelfStock'!Y43</f>
        <v/>
      </c>
      <c r="AB1065">
        <f>'T_SelfStock'!Z43</f>
        <v/>
      </c>
      <c r="AC1065">
        <f>'T_SelfStock'!AA43</f>
        <v/>
      </c>
      <c r="AD1065">
        <f>'T_SelfStock'!AB43</f>
        <v/>
      </c>
      <c r="AE1065">
        <f>'T_SelfStock'!AC43</f>
        <v/>
      </c>
      <c r="AF1065">
        <f>'T_SelfStock'!AD43</f>
        <v/>
      </c>
      <c r="AG1065">
        <f>'T_SelfStock'!AE43</f>
        <v/>
      </c>
      <c r="AH1065">
        <f>'T_SelfStock'!AF43</f>
        <v/>
      </c>
      <c r="AI1065">
        <f>'T_SelfStock'!AG43</f>
        <v/>
      </c>
      <c r="AJ1065">
        <f>'T_SelfStock'!AH43</f>
        <v/>
      </c>
      <c r="AK1065">
        <f>'T_SelfStock'!AI43</f>
        <v/>
      </c>
      <c r="AL1065">
        <f>'T_SelfStock'!AJ43</f>
        <v/>
      </c>
      <c r="AM1065">
        <f>'T_SelfStock'!AK43</f>
        <v/>
      </c>
      <c r="AN1065">
        <f>'T_SelfStock'!AL43</f>
        <v/>
      </c>
      <c r="AO1065">
        <f>'T_SelfStock'!AM43</f>
        <v/>
      </c>
      <c r="AP1065">
        <f>'T_SelfStock'!AN43</f>
        <v/>
      </c>
      <c r="AQ1065">
        <f>'T_SelfStock'!AO43</f>
        <v/>
      </c>
      <c r="AR1065">
        <f>'T_SelfStock'!AP43</f>
        <v/>
      </c>
      <c r="AS1065">
        <f>'T_SelfStock'!AQ43</f>
        <v/>
      </c>
      <c r="AT1065">
        <f>'T_SelfStock'!AR43</f>
        <v/>
      </c>
      <c r="AU1065">
        <f>'T_SelfStock'!AS43</f>
        <v/>
      </c>
      <c r="AV1065">
        <f>'T_SelfStock'!AT43</f>
        <v/>
      </c>
      <c r="AW1065">
        <f>'T_SelfStock'!AU43</f>
        <v/>
      </c>
      <c r="AX1065">
        <f>'T_SelfStock'!AV43</f>
        <v/>
      </c>
      <c r="AY1065">
        <f>'T_SelfStock'!AW43</f>
        <v/>
      </c>
      <c r="AZ1065">
        <f>'T_SelfStock'!AX43</f>
        <v/>
      </c>
      <c r="BA1065">
        <f>'T_SelfStock'!AY43</f>
        <v/>
      </c>
      <c r="BB1065">
        <f>'T_SelfStock'!AZ43</f>
        <v/>
      </c>
      <c r="BC1065">
        <f>'T_SelfStock'!BA43</f>
        <v/>
      </c>
      <c r="BD1065">
        <f>'T_SelfStock'!BB43</f>
        <v/>
      </c>
      <c r="BE1065">
        <f>'T_SelfStock'!BC43</f>
        <v/>
      </c>
      <c r="BF1065">
        <f>'T_SelfStock'!BD43</f>
        <v/>
      </c>
      <c r="BG1065">
        <f>'T_SelfStock'!BE43</f>
        <v/>
      </c>
      <c r="BH1065">
        <f>'T_SelfStock'!BF43</f>
        <v/>
      </c>
      <c r="BI1065">
        <f>'T_SelfStock'!BG43</f>
        <v/>
      </c>
      <c r="BJ1065">
        <f>'T_SelfStock'!BH43</f>
        <v/>
      </c>
      <c r="BK1065">
        <f>'T_SelfStock'!BI43</f>
        <v/>
      </c>
      <c r="BL1065">
        <f>'T_SelfStock'!BJ43</f>
        <v/>
      </c>
      <c r="BM1065">
        <f>'T_SelfStock'!BK43</f>
        <v/>
      </c>
      <c r="BN1065">
        <f>'T_SelfStock'!BL43</f>
        <v/>
      </c>
      <c r="BO1065">
        <f>'T_SelfStock'!BM43</f>
        <v/>
      </c>
      <c r="BP1065">
        <f>'T_SelfStock'!BN43</f>
        <v/>
      </c>
      <c r="BQ1065">
        <f>'T_SelfStock'!BO43</f>
        <v/>
      </c>
      <c r="BR1065">
        <f>'T_SelfStock'!BP43</f>
        <v/>
      </c>
      <c r="BS1065">
        <f>'T_SelfStock'!BQ43</f>
        <v/>
      </c>
      <c r="BT1065">
        <f>'T_SelfStock'!BR43</f>
        <v/>
      </c>
      <c r="BU1065">
        <f>'T_SelfStock'!BS43</f>
        <v/>
      </c>
      <c r="BV1065">
        <f>'T_SelfStock'!BT43</f>
        <v/>
      </c>
      <c r="BW1065">
        <f>'T_SelfStock'!BU43</f>
        <v/>
      </c>
      <c r="BX1065">
        <f>'T_SelfStock'!BV43</f>
        <v/>
      </c>
      <c r="BY1065">
        <f>'T_SelfStock'!BW43</f>
        <v/>
      </c>
      <c r="BZ1065">
        <f>'T_SelfStock'!BX43</f>
        <v/>
      </c>
      <c r="CA1065">
        <f>'T_SelfStock'!BY43</f>
        <v/>
      </c>
      <c r="CB1065">
        <f>'T_SelfStock'!BZ43</f>
        <v/>
      </c>
      <c r="CC1065">
        <f>'T_SelfStock'!CA43</f>
        <v/>
      </c>
      <c r="CD1065">
        <f>'T_SelfStock'!CB43</f>
        <v/>
      </c>
      <c r="CE1065">
        <f>'T_SelfStock'!CC43</f>
        <v/>
      </c>
      <c r="CF1065">
        <f>'T_SelfStock'!CD43</f>
        <v/>
      </c>
      <c r="CG1065">
        <f>'T_SelfStock'!CE43</f>
        <v/>
      </c>
      <c r="CH1065">
        <f>'T_SelfStock'!CF43</f>
        <v/>
      </c>
      <c r="CI1065">
        <f>'T_SelfStock'!CG43</f>
        <v/>
      </c>
      <c r="CJ1065">
        <f>'T_SelfStock'!CH43</f>
        <v/>
      </c>
      <c r="CK1065">
        <f>'T_SelfStock'!CI43</f>
        <v/>
      </c>
      <c r="CL1065">
        <f>'T_SelfStock'!CJ43</f>
        <v/>
      </c>
      <c r="CM1065">
        <f>'T_SelfStock'!CK43</f>
        <v/>
      </c>
      <c r="CN1065">
        <f>'T_SelfStock'!CL43</f>
        <v/>
      </c>
      <c r="CO1065">
        <f>'T_SelfStock'!CM43</f>
        <v/>
      </c>
      <c r="CP1065">
        <f>'T_SelfStock'!CN43</f>
        <v/>
      </c>
      <c r="CQ1065">
        <f>'T_SelfStock'!CO43</f>
        <v/>
      </c>
      <c r="CR1065">
        <f>'T_SelfStock'!CP43</f>
        <v/>
      </c>
      <c r="CS1065">
        <f>'T_SelfStock'!CQ43</f>
        <v/>
      </c>
      <c r="CT1065">
        <f>'T_SelfStock'!CR43</f>
        <v/>
      </c>
      <c r="CU1065">
        <f>'T_SelfStock'!CS43</f>
        <v/>
      </c>
      <c r="CV1065">
        <f>'T_SelfStock'!CT43</f>
        <v/>
      </c>
      <c r="CW1065">
        <f>'T_SelfStock'!CU43</f>
        <v/>
      </c>
      <c r="CX1065">
        <f>'T_SelfStock'!CV43</f>
        <v/>
      </c>
      <c r="CY1065">
        <f>'T_SelfStock'!CW43</f>
        <v/>
      </c>
      <c r="CZ1065">
        <f>'T_SelfStock'!CX43</f>
        <v/>
      </c>
      <c r="DA1065">
        <f>'T_SelfStock'!CY43</f>
        <v/>
      </c>
      <c r="DB1065">
        <f>'T_SelfStock'!CZ43</f>
        <v/>
      </c>
      <c r="DC1065">
        <f>'T_SelfStock'!DA43</f>
        <v/>
      </c>
    </row>
    <row r="1066">
      <c r="B1066" s="4" t="inlineStr">
        <is>
          <t>合計在庫(週末時点,kg)</t>
        </is>
      </c>
      <c r="D1066">
        <f>'Grid_Stock'!B39</f>
        <v/>
      </c>
      <c r="E1066">
        <f>'Grid_Stock'!C39</f>
        <v/>
      </c>
      <c r="F1066">
        <f>'Grid_Stock'!D39</f>
        <v/>
      </c>
      <c r="G1066">
        <f>'Grid_Stock'!E39</f>
        <v/>
      </c>
      <c r="H1066">
        <f>'Grid_Stock'!F39</f>
        <v/>
      </c>
      <c r="I1066">
        <f>'Grid_Stock'!G39</f>
        <v/>
      </c>
      <c r="J1066">
        <f>'Grid_Stock'!H39</f>
        <v/>
      </c>
      <c r="K1066">
        <f>'Grid_Stock'!I39</f>
        <v/>
      </c>
      <c r="L1066">
        <f>'Grid_Stock'!J39</f>
        <v/>
      </c>
      <c r="M1066">
        <f>'Grid_Stock'!K39</f>
        <v/>
      </c>
      <c r="N1066">
        <f>'Grid_Stock'!L39</f>
        <v/>
      </c>
      <c r="O1066">
        <f>'Grid_Stock'!M39</f>
        <v/>
      </c>
      <c r="P1066">
        <f>'Grid_Stock'!N39</f>
        <v/>
      </c>
      <c r="Q1066">
        <f>'Grid_Stock'!O39</f>
        <v/>
      </c>
      <c r="R1066">
        <f>'Grid_Stock'!P39</f>
        <v/>
      </c>
      <c r="S1066">
        <f>'Grid_Stock'!Q39</f>
        <v/>
      </c>
      <c r="T1066">
        <f>'Grid_Stock'!R39</f>
        <v/>
      </c>
      <c r="U1066">
        <f>'Grid_Stock'!S39</f>
        <v/>
      </c>
      <c r="V1066">
        <f>'Grid_Stock'!T39</f>
        <v/>
      </c>
      <c r="W1066">
        <f>'Grid_Stock'!U39</f>
        <v/>
      </c>
      <c r="X1066">
        <f>'Grid_Stock'!V39</f>
        <v/>
      </c>
      <c r="Y1066">
        <f>'Grid_Stock'!W39</f>
        <v/>
      </c>
      <c r="Z1066">
        <f>'Grid_Stock'!X39</f>
        <v/>
      </c>
      <c r="AA1066">
        <f>'Grid_Stock'!Y39</f>
        <v/>
      </c>
      <c r="AB1066">
        <f>'Grid_Stock'!Z39</f>
        <v/>
      </c>
      <c r="AC1066">
        <f>'Grid_Stock'!AA39</f>
        <v/>
      </c>
      <c r="AD1066">
        <f>'Grid_Stock'!AB39</f>
        <v/>
      </c>
      <c r="AE1066">
        <f>'Grid_Stock'!AC39</f>
        <v/>
      </c>
      <c r="AF1066">
        <f>'Grid_Stock'!AD39</f>
        <v/>
      </c>
      <c r="AG1066">
        <f>'Grid_Stock'!AE39</f>
        <v/>
      </c>
      <c r="AH1066">
        <f>'Grid_Stock'!AF39</f>
        <v/>
      </c>
      <c r="AI1066">
        <f>'Grid_Stock'!AG39</f>
        <v/>
      </c>
      <c r="AJ1066">
        <f>'Grid_Stock'!AH39</f>
        <v/>
      </c>
      <c r="AK1066">
        <f>'Grid_Stock'!AI39</f>
        <v/>
      </c>
      <c r="AL1066">
        <f>'Grid_Stock'!AJ39</f>
        <v/>
      </c>
      <c r="AM1066">
        <f>'Grid_Stock'!AK39</f>
        <v/>
      </c>
      <c r="AN1066">
        <f>'Grid_Stock'!AL39</f>
        <v/>
      </c>
      <c r="AO1066">
        <f>'Grid_Stock'!AM39</f>
        <v/>
      </c>
      <c r="AP1066">
        <f>'Grid_Stock'!AN39</f>
        <v/>
      </c>
      <c r="AQ1066">
        <f>'Grid_Stock'!AO39</f>
        <v/>
      </c>
      <c r="AR1066">
        <f>'Grid_Stock'!AP39</f>
        <v/>
      </c>
      <c r="AS1066">
        <f>'Grid_Stock'!AQ39</f>
        <v/>
      </c>
      <c r="AT1066">
        <f>'Grid_Stock'!AR39</f>
        <v/>
      </c>
      <c r="AU1066">
        <f>'Grid_Stock'!AS39</f>
        <v/>
      </c>
      <c r="AV1066">
        <f>'Grid_Stock'!AT39</f>
        <v/>
      </c>
      <c r="AW1066">
        <f>'Grid_Stock'!AU39</f>
        <v/>
      </c>
      <c r="AX1066">
        <f>'Grid_Stock'!AV39</f>
        <v/>
      </c>
      <c r="AY1066">
        <f>'Grid_Stock'!AW39</f>
        <v/>
      </c>
      <c r="AZ1066">
        <f>'Grid_Stock'!AX39</f>
        <v/>
      </c>
      <c r="BA1066">
        <f>'Grid_Stock'!AY39</f>
        <v/>
      </c>
      <c r="BB1066">
        <f>'Grid_Stock'!AZ39</f>
        <v/>
      </c>
      <c r="BC1066">
        <f>'Grid_Stock'!BA39</f>
        <v/>
      </c>
      <c r="BD1066">
        <f>'Grid_Stock'!BB39</f>
        <v/>
      </c>
      <c r="BE1066">
        <f>'Grid_Stock'!BC39</f>
        <v/>
      </c>
      <c r="BF1066">
        <f>'Grid_Stock'!BD39</f>
        <v/>
      </c>
      <c r="BG1066">
        <f>'Grid_Stock'!BE39</f>
        <v/>
      </c>
      <c r="BH1066">
        <f>'Grid_Stock'!BF39</f>
        <v/>
      </c>
      <c r="BI1066">
        <f>'Grid_Stock'!BG39</f>
        <v/>
      </c>
      <c r="BJ1066">
        <f>'Grid_Stock'!BH39</f>
        <v/>
      </c>
      <c r="BK1066">
        <f>'Grid_Stock'!BI39</f>
        <v/>
      </c>
      <c r="BL1066">
        <f>'Grid_Stock'!BJ39</f>
        <v/>
      </c>
      <c r="BM1066">
        <f>'Grid_Stock'!BK39</f>
        <v/>
      </c>
      <c r="BN1066">
        <f>'Grid_Stock'!BL39</f>
        <v/>
      </c>
      <c r="BO1066">
        <f>'Grid_Stock'!BM39</f>
        <v/>
      </c>
      <c r="BP1066">
        <f>'Grid_Stock'!BN39</f>
        <v/>
      </c>
      <c r="BQ1066">
        <f>'Grid_Stock'!BO39</f>
        <v/>
      </c>
      <c r="BR1066">
        <f>'Grid_Stock'!BP39</f>
        <v/>
      </c>
      <c r="BS1066">
        <f>'Grid_Stock'!BQ39</f>
        <v/>
      </c>
      <c r="BT1066">
        <f>'Grid_Stock'!BR39</f>
        <v/>
      </c>
      <c r="BU1066">
        <f>'Grid_Stock'!BS39</f>
        <v/>
      </c>
      <c r="BV1066">
        <f>'Grid_Stock'!BT39</f>
        <v/>
      </c>
      <c r="BW1066">
        <f>'Grid_Stock'!BU39</f>
        <v/>
      </c>
      <c r="BX1066">
        <f>'Grid_Stock'!BV39</f>
        <v/>
      </c>
      <c r="BY1066">
        <f>'Grid_Stock'!BW39</f>
        <v/>
      </c>
      <c r="BZ1066">
        <f>'Grid_Stock'!BX39</f>
        <v/>
      </c>
      <c r="CA1066">
        <f>'Grid_Stock'!BY39</f>
        <v/>
      </c>
      <c r="CB1066">
        <f>'Grid_Stock'!BZ39</f>
        <v/>
      </c>
      <c r="CC1066">
        <f>'Grid_Stock'!CA39</f>
        <v/>
      </c>
      <c r="CD1066">
        <f>'Grid_Stock'!CB39</f>
        <v/>
      </c>
      <c r="CE1066">
        <f>'Grid_Stock'!CC39</f>
        <v/>
      </c>
      <c r="CF1066">
        <f>'Grid_Stock'!CD39</f>
        <v/>
      </c>
      <c r="CG1066">
        <f>'Grid_Stock'!CE39</f>
        <v/>
      </c>
      <c r="CH1066">
        <f>'Grid_Stock'!CF39</f>
        <v/>
      </c>
      <c r="CI1066">
        <f>'Grid_Stock'!CG39</f>
        <v/>
      </c>
      <c r="CJ1066">
        <f>'Grid_Stock'!CH39</f>
        <v/>
      </c>
      <c r="CK1066">
        <f>'Grid_Stock'!CI39</f>
        <v/>
      </c>
      <c r="CL1066">
        <f>'Grid_Stock'!CJ39</f>
        <v/>
      </c>
      <c r="CM1066">
        <f>'Grid_Stock'!CK39</f>
        <v/>
      </c>
      <c r="CN1066">
        <f>'Grid_Stock'!CL39</f>
        <v/>
      </c>
      <c r="CO1066">
        <f>'Grid_Stock'!CM39</f>
        <v/>
      </c>
      <c r="CP1066">
        <f>'Grid_Stock'!CN39</f>
        <v/>
      </c>
      <c r="CQ1066">
        <f>'Grid_Stock'!CO39</f>
        <v/>
      </c>
      <c r="CR1066">
        <f>'Grid_Stock'!CP39</f>
        <v/>
      </c>
      <c r="CS1066">
        <f>'Grid_Stock'!CQ39</f>
        <v/>
      </c>
      <c r="CT1066">
        <f>'Grid_Stock'!CR39</f>
        <v/>
      </c>
      <c r="CU1066">
        <f>'Grid_Stock'!CS39</f>
        <v/>
      </c>
      <c r="CV1066">
        <f>'Grid_Stock'!CT39</f>
        <v/>
      </c>
      <c r="CW1066">
        <f>'Grid_Stock'!CU39</f>
        <v/>
      </c>
      <c r="CX1066">
        <f>'Grid_Stock'!CV39</f>
        <v/>
      </c>
      <c r="CY1066">
        <f>'Grid_Stock'!CW39</f>
        <v/>
      </c>
      <c r="CZ1066">
        <f>'Grid_Stock'!CX39</f>
        <v/>
      </c>
      <c r="DA1066">
        <f>'Grid_Stock'!CY39</f>
        <v/>
      </c>
      <c r="DB1066">
        <f>'Grid_Stock'!CZ39</f>
        <v/>
      </c>
      <c r="DC1066">
        <f>'Grid_Stock'!DA39</f>
        <v/>
      </c>
    </row>
    <row r="1067">
      <c r="B1067" s="16" t="inlineStr">
        <is>
          <t>（発注の目安はDashboardの基準在庫[下限/上限]と色分けを参照）</t>
        </is>
      </c>
    </row>
    <row r="1069">
      <c r="A1069" s="14" t="inlineStr">
        <is>
          <t>CHEM-1820</t>
        </is>
      </c>
      <c r="B1069" s="14" t="inlineStr">
        <is>
          <t>JCK-472</t>
        </is>
      </c>
      <c r="C1069" s="15" t="n"/>
      <c r="D1069" s="14" t="n"/>
      <c r="E1069" s="14" t="n"/>
      <c r="F1069" s="14" t="n"/>
      <c r="G1069" s="14" t="n"/>
      <c r="H1069" s="14" t="n"/>
      <c r="I1069" s="14" t="n"/>
      <c r="J1069" s="14" t="n"/>
      <c r="K1069" s="14" t="n"/>
      <c r="L1069" s="14" t="n"/>
      <c r="M1069" s="14" t="n"/>
      <c r="N1069" s="14" t="n"/>
      <c r="O1069" s="14" t="n"/>
      <c r="P1069" s="14" t="n"/>
      <c r="Q1069" s="14" t="n"/>
      <c r="R1069" s="14" t="n"/>
      <c r="S1069" s="14" t="n"/>
      <c r="T1069" s="14" t="n"/>
      <c r="U1069" s="14" t="n"/>
      <c r="V1069" s="14" t="n"/>
      <c r="W1069" s="14" t="n"/>
      <c r="X1069" s="14" t="n"/>
      <c r="Y1069" s="14" t="n"/>
      <c r="Z1069" s="14" t="n"/>
      <c r="AA1069" s="14" t="n"/>
      <c r="AB1069" s="14" t="n"/>
      <c r="AC1069" s="14" t="n"/>
      <c r="AD1069" s="14" t="n"/>
      <c r="AE1069" s="14" t="n"/>
      <c r="AF1069" s="14" t="n"/>
      <c r="AG1069" s="14" t="n"/>
      <c r="AH1069" s="14" t="n"/>
      <c r="AI1069" s="14" t="n"/>
      <c r="AJ1069" s="14" t="n"/>
      <c r="AK1069" s="14" t="n"/>
      <c r="AL1069" s="14" t="n"/>
      <c r="AM1069" s="14" t="n"/>
      <c r="AN1069" s="14" t="n"/>
      <c r="AO1069" s="14" t="n"/>
      <c r="AP1069" s="14" t="n"/>
      <c r="AQ1069" s="14" t="n"/>
      <c r="AR1069" s="14" t="n"/>
      <c r="AS1069" s="14" t="n"/>
      <c r="AT1069" s="14" t="n"/>
      <c r="AU1069" s="14" t="n"/>
      <c r="AV1069" s="14" t="n"/>
      <c r="AW1069" s="14" t="n"/>
      <c r="AX1069" s="14" t="n"/>
      <c r="AY1069" s="14" t="n"/>
      <c r="AZ1069" s="14" t="n"/>
      <c r="BA1069" s="14" t="n"/>
      <c r="BB1069" s="14" t="n"/>
      <c r="BC1069" s="14" t="n"/>
      <c r="BD1069" s="14" t="n"/>
      <c r="BE1069" s="14" t="n"/>
      <c r="BF1069" s="14" t="n"/>
      <c r="BG1069" s="14" t="n"/>
      <c r="BH1069" s="14" t="n"/>
      <c r="BI1069" s="14" t="n"/>
      <c r="BJ1069" s="14" t="n"/>
      <c r="BK1069" s="14" t="n"/>
      <c r="BL1069" s="14" t="n"/>
      <c r="BM1069" s="14" t="n"/>
      <c r="BN1069" s="14" t="n"/>
      <c r="BO1069" s="14" t="n"/>
      <c r="BP1069" s="14" t="n"/>
      <c r="BQ1069" s="14" t="n"/>
      <c r="BR1069" s="14" t="n"/>
      <c r="BS1069" s="14" t="n"/>
      <c r="BT1069" s="14" t="n"/>
      <c r="BU1069" s="14" t="n"/>
      <c r="BV1069" s="14" t="n"/>
      <c r="BW1069" s="14" t="n"/>
      <c r="BX1069" s="14" t="n"/>
      <c r="BY1069" s="14" t="n"/>
      <c r="BZ1069" s="14" t="n"/>
      <c r="CA1069" s="14" t="n"/>
      <c r="CB1069" s="14" t="n"/>
      <c r="CC1069" s="14" t="n"/>
      <c r="CD1069" s="14" t="n"/>
      <c r="CE1069" s="14" t="n"/>
      <c r="CF1069" s="14" t="n"/>
      <c r="CG1069" s="14" t="n"/>
      <c r="CH1069" s="14" t="n"/>
      <c r="CI1069" s="14" t="n"/>
      <c r="CJ1069" s="14" t="n"/>
      <c r="CK1069" s="14" t="n"/>
      <c r="CL1069" s="14" t="n"/>
      <c r="CM1069" s="14" t="n"/>
      <c r="CN1069" s="14" t="n"/>
      <c r="CO1069" s="14" t="n"/>
      <c r="CP1069" s="14" t="n"/>
      <c r="CQ1069" s="14" t="n"/>
      <c r="CR1069" s="14" t="n"/>
      <c r="CS1069" s="14" t="n"/>
      <c r="CT1069" s="14" t="n"/>
      <c r="CU1069" s="14" t="n"/>
      <c r="CV1069" s="14" t="n"/>
      <c r="CW1069" s="14" t="n"/>
      <c r="CX1069" s="14" t="n"/>
      <c r="CY1069" s="14" t="n"/>
      <c r="CZ1069" s="14" t="n"/>
      <c r="DA1069" s="14" t="n"/>
      <c r="DB1069" s="14" t="n"/>
      <c r="DC1069" s="14" t="n"/>
    </row>
    <row r="1070">
      <c r="B1070" t="inlineStr">
        <is>
          <t>TPP-1459</t>
        </is>
      </c>
      <c r="C1070" t="inlineStr">
        <is>
          <t>No. of batches</t>
        </is>
      </c>
      <c r="D1070">
        <f>IFERROR(INDEX(PP_Grid[#Data],$DD1070,2),0)</f>
        <v/>
      </c>
      <c r="E1070">
        <f>IFERROR(INDEX(PP_Grid[#Data],$DD1070,3),0)</f>
        <v/>
      </c>
      <c r="F1070">
        <f>IFERROR(INDEX(PP_Grid[#Data],$DD1070,4),0)</f>
        <v/>
      </c>
      <c r="G1070">
        <f>IFERROR(INDEX(PP_Grid[#Data],$DD1070,5),0)</f>
        <v/>
      </c>
      <c r="H1070">
        <f>IFERROR(INDEX(PP_Grid[#Data],$DD1070,6),0)</f>
        <v/>
      </c>
      <c r="I1070">
        <f>IFERROR(INDEX(PP_Grid[#Data],$DD1070,7),0)</f>
        <v/>
      </c>
      <c r="J1070">
        <f>IFERROR(INDEX(PP_Grid[#Data],$DD1070,8),0)</f>
        <v/>
      </c>
      <c r="K1070">
        <f>IFERROR(INDEX(PP_Grid[#Data],$DD1070,9),0)</f>
        <v/>
      </c>
      <c r="L1070">
        <f>IFERROR(INDEX(PP_Grid[#Data],$DD1070,10),0)</f>
        <v/>
      </c>
      <c r="M1070">
        <f>IFERROR(INDEX(PP_Grid[#Data],$DD1070,11),0)</f>
        <v/>
      </c>
      <c r="N1070">
        <f>IFERROR(INDEX(PP_Grid[#Data],$DD1070,12),0)</f>
        <v/>
      </c>
      <c r="O1070">
        <f>IFERROR(INDEX(PP_Grid[#Data],$DD1070,13),0)</f>
        <v/>
      </c>
      <c r="P1070">
        <f>IFERROR(INDEX(PP_Grid[#Data],$DD1070,14),0)</f>
        <v/>
      </c>
      <c r="Q1070">
        <f>IFERROR(INDEX(PP_Grid[#Data],$DD1070,15),0)</f>
        <v/>
      </c>
      <c r="R1070">
        <f>IFERROR(INDEX(PP_Grid[#Data],$DD1070,16),0)</f>
        <v/>
      </c>
      <c r="S1070">
        <f>IFERROR(INDEX(PP_Grid[#Data],$DD1070,17),0)</f>
        <v/>
      </c>
      <c r="T1070">
        <f>IFERROR(INDEX(PP_Grid[#Data],$DD1070,18),0)</f>
        <v/>
      </c>
      <c r="U1070">
        <f>IFERROR(INDEX(PP_Grid[#Data],$DD1070,19),0)</f>
        <v/>
      </c>
      <c r="V1070">
        <f>IFERROR(INDEX(PP_Grid[#Data],$DD1070,20),0)</f>
        <v/>
      </c>
      <c r="W1070">
        <f>IFERROR(INDEX(PP_Grid[#Data],$DD1070,21),0)</f>
        <v/>
      </c>
      <c r="X1070">
        <f>IFERROR(INDEX(PP_Grid[#Data],$DD1070,22),0)</f>
        <v/>
      </c>
      <c r="Y1070">
        <f>IFERROR(INDEX(PP_Grid[#Data],$DD1070,23),0)</f>
        <v/>
      </c>
      <c r="Z1070">
        <f>IFERROR(INDEX(PP_Grid[#Data],$DD1070,24),0)</f>
        <v/>
      </c>
      <c r="AA1070">
        <f>IFERROR(INDEX(PP_Grid[#Data],$DD1070,25),0)</f>
        <v/>
      </c>
      <c r="AB1070">
        <f>IFERROR(INDEX(PP_Grid[#Data],$DD1070,26),0)</f>
        <v/>
      </c>
      <c r="AC1070">
        <f>IFERROR(INDEX(PP_Grid[#Data],$DD1070,27),0)</f>
        <v/>
      </c>
      <c r="AD1070">
        <f>IFERROR(INDEX(PP_Grid[#Data],$DD1070,28),0)</f>
        <v/>
      </c>
      <c r="AE1070">
        <f>IFERROR(INDEX(PP_Grid[#Data],$DD1070,29),0)</f>
        <v/>
      </c>
      <c r="AF1070">
        <f>IFERROR(INDEX(PP_Grid[#Data],$DD1070,30),0)</f>
        <v/>
      </c>
      <c r="AG1070">
        <f>IFERROR(INDEX(PP_Grid[#Data],$DD1070,31),0)</f>
        <v/>
      </c>
      <c r="AH1070">
        <f>IFERROR(INDEX(PP_Grid[#Data],$DD1070,32),0)</f>
        <v/>
      </c>
      <c r="AI1070">
        <f>IFERROR(INDEX(PP_Grid[#Data],$DD1070,33),0)</f>
        <v/>
      </c>
      <c r="AJ1070">
        <f>IFERROR(INDEX(PP_Grid[#Data],$DD1070,34),0)</f>
        <v/>
      </c>
      <c r="AK1070">
        <f>IFERROR(INDEX(PP_Grid[#Data],$DD1070,35),0)</f>
        <v/>
      </c>
      <c r="AL1070">
        <f>IFERROR(INDEX(PP_Grid[#Data],$DD1070,36),0)</f>
        <v/>
      </c>
      <c r="AM1070">
        <f>IFERROR(INDEX(PP_Grid[#Data],$DD1070,37),0)</f>
        <v/>
      </c>
      <c r="AN1070">
        <f>IFERROR(INDEX(PP_Grid[#Data],$DD1070,38),0)</f>
        <v/>
      </c>
      <c r="AO1070">
        <f>IFERROR(INDEX(PP_Grid[#Data],$DD1070,39),0)</f>
        <v/>
      </c>
      <c r="AP1070">
        <f>IFERROR(INDEX(PP_Grid[#Data],$DD1070,40),0)</f>
        <v/>
      </c>
      <c r="AQ1070">
        <f>IFERROR(INDEX(PP_Grid[#Data],$DD1070,41),0)</f>
        <v/>
      </c>
      <c r="AR1070">
        <f>IFERROR(INDEX(PP_Grid[#Data],$DD1070,42),0)</f>
        <v/>
      </c>
      <c r="AS1070">
        <f>IFERROR(INDEX(PP_Grid[#Data],$DD1070,43),0)</f>
        <v/>
      </c>
      <c r="AT1070">
        <f>IFERROR(INDEX(PP_Grid[#Data],$DD1070,44),0)</f>
        <v/>
      </c>
      <c r="AU1070">
        <f>IFERROR(INDEX(PP_Grid[#Data],$DD1070,45),0)</f>
        <v/>
      </c>
      <c r="AV1070">
        <f>IFERROR(INDEX(PP_Grid[#Data],$DD1070,46),0)</f>
        <v/>
      </c>
      <c r="AW1070">
        <f>IFERROR(INDEX(PP_Grid[#Data],$DD1070,47),0)</f>
        <v/>
      </c>
      <c r="AX1070">
        <f>IFERROR(INDEX(PP_Grid[#Data],$DD1070,48),0)</f>
        <v/>
      </c>
      <c r="AY1070">
        <f>IFERROR(INDEX(PP_Grid[#Data],$DD1070,49),0)</f>
        <v/>
      </c>
      <c r="AZ1070">
        <f>IFERROR(INDEX(PP_Grid[#Data],$DD1070,50),0)</f>
        <v/>
      </c>
      <c r="BA1070">
        <f>IFERROR(INDEX(PP_Grid[#Data],$DD1070,51),0)</f>
        <v/>
      </c>
      <c r="BB1070">
        <f>IFERROR(INDEX(PP_Grid[#Data],$DD1070,52),0)</f>
        <v/>
      </c>
      <c r="BC1070">
        <f>IFERROR(INDEX(PP_Grid[#Data],$DD1070,53),0)</f>
        <v/>
      </c>
      <c r="BD1070">
        <f>IFERROR(INDEX(PP_Grid[#Data],$DD1070,54),0)</f>
        <v/>
      </c>
      <c r="BE1070">
        <f>IFERROR(INDEX(PP_Grid[#Data],$DD1070,55),0)</f>
        <v/>
      </c>
      <c r="BF1070">
        <f>IFERROR(INDEX(PP_Grid[#Data],$DD1070,56),0)</f>
        <v/>
      </c>
      <c r="BG1070">
        <f>IFERROR(INDEX(PP_Grid[#Data],$DD1070,57),0)</f>
        <v/>
      </c>
      <c r="BH1070">
        <f>IFERROR(INDEX(PP_Grid[#Data],$DD1070,58),0)</f>
        <v/>
      </c>
      <c r="BI1070">
        <f>IFERROR(INDEX(PP_Grid[#Data],$DD1070,59),0)</f>
        <v/>
      </c>
      <c r="BJ1070">
        <f>IFERROR(INDEX(PP_Grid[#Data],$DD1070,60),0)</f>
        <v/>
      </c>
      <c r="BK1070">
        <f>IFERROR(INDEX(PP_Grid[#Data],$DD1070,61),0)</f>
        <v/>
      </c>
      <c r="BL1070">
        <f>IFERROR(INDEX(PP_Grid[#Data],$DD1070,62),0)</f>
        <v/>
      </c>
      <c r="BM1070">
        <f>IFERROR(INDEX(PP_Grid[#Data],$DD1070,63),0)</f>
        <v/>
      </c>
      <c r="BN1070">
        <f>IFERROR(INDEX(PP_Grid[#Data],$DD1070,64),0)</f>
        <v/>
      </c>
      <c r="BO1070">
        <f>IFERROR(INDEX(PP_Grid[#Data],$DD1070,65),0)</f>
        <v/>
      </c>
      <c r="BP1070">
        <f>IFERROR(INDEX(PP_Grid[#Data],$DD1070,66),0)</f>
        <v/>
      </c>
      <c r="BQ1070">
        <f>IFERROR(INDEX(PP_Grid[#Data],$DD1070,67),0)</f>
        <v/>
      </c>
      <c r="BR1070">
        <f>IFERROR(INDEX(PP_Grid[#Data],$DD1070,68),0)</f>
        <v/>
      </c>
      <c r="BS1070">
        <f>IFERROR(INDEX(PP_Grid[#Data],$DD1070,69),0)</f>
        <v/>
      </c>
      <c r="BT1070">
        <f>IFERROR(INDEX(PP_Grid[#Data],$DD1070,70),0)</f>
        <v/>
      </c>
      <c r="BU1070">
        <f>IFERROR(INDEX(PP_Grid[#Data],$DD1070,71),0)</f>
        <v/>
      </c>
      <c r="BV1070">
        <f>IFERROR(INDEX(PP_Grid[#Data],$DD1070,72),0)</f>
        <v/>
      </c>
      <c r="BW1070">
        <f>IFERROR(INDEX(PP_Grid[#Data],$DD1070,73),0)</f>
        <v/>
      </c>
      <c r="BX1070">
        <f>IFERROR(INDEX(PP_Grid[#Data],$DD1070,74),0)</f>
        <v/>
      </c>
      <c r="BY1070">
        <f>IFERROR(INDEX(PP_Grid[#Data],$DD1070,75),0)</f>
        <v/>
      </c>
      <c r="BZ1070">
        <f>IFERROR(INDEX(PP_Grid[#Data],$DD1070,76),0)</f>
        <v/>
      </c>
      <c r="CA1070">
        <f>IFERROR(INDEX(PP_Grid[#Data],$DD1070,77),0)</f>
        <v/>
      </c>
      <c r="CB1070">
        <f>IFERROR(INDEX(PP_Grid[#Data],$DD1070,78),0)</f>
        <v/>
      </c>
      <c r="CC1070">
        <f>IFERROR(INDEX(PP_Grid[#Data],$DD1070,79),0)</f>
        <v/>
      </c>
      <c r="CD1070">
        <f>IFERROR(INDEX(PP_Grid[#Data],$DD1070,80),0)</f>
        <v/>
      </c>
      <c r="CE1070">
        <f>IFERROR(INDEX(PP_Grid[#Data],$DD1070,81),0)</f>
        <v/>
      </c>
      <c r="CF1070">
        <f>IFERROR(INDEX(PP_Grid[#Data],$DD1070,82),0)</f>
        <v/>
      </c>
      <c r="CG1070">
        <f>IFERROR(INDEX(PP_Grid[#Data],$DD1070,83),0)</f>
        <v/>
      </c>
      <c r="CH1070">
        <f>IFERROR(INDEX(PP_Grid[#Data],$DD1070,84),0)</f>
        <v/>
      </c>
      <c r="CI1070">
        <f>IFERROR(INDEX(PP_Grid[#Data],$DD1070,85),0)</f>
        <v/>
      </c>
      <c r="CJ1070">
        <f>IFERROR(INDEX(PP_Grid[#Data],$DD1070,86),0)</f>
        <v/>
      </c>
      <c r="CK1070">
        <f>IFERROR(INDEX(PP_Grid[#Data],$DD1070,87),0)</f>
        <v/>
      </c>
      <c r="CL1070">
        <f>IFERROR(INDEX(PP_Grid[#Data],$DD1070,88),0)</f>
        <v/>
      </c>
      <c r="CM1070">
        <f>IFERROR(INDEX(PP_Grid[#Data],$DD1070,89),0)</f>
        <v/>
      </c>
      <c r="CN1070">
        <f>IFERROR(INDEX(PP_Grid[#Data],$DD1070,90),0)</f>
        <v/>
      </c>
      <c r="CO1070">
        <f>IFERROR(INDEX(PP_Grid[#Data],$DD1070,91),0)</f>
        <v/>
      </c>
      <c r="CP1070">
        <f>IFERROR(INDEX(PP_Grid[#Data],$DD1070,92),0)</f>
        <v/>
      </c>
      <c r="CQ1070">
        <f>IFERROR(INDEX(PP_Grid[#Data],$DD1070,93),0)</f>
        <v/>
      </c>
      <c r="CR1070">
        <f>IFERROR(INDEX(PP_Grid[#Data],$DD1070,94),0)</f>
        <v/>
      </c>
      <c r="CS1070">
        <f>IFERROR(INDEX(PP_Grid[#Data],$DD1070,95),0)</f>
        <v/>
      </c>
      <c r="CT1070">
        <f>IFERROR(INDEX(PP_Grid[#Data],$DD1070,96),0)</f>
        <v/>
      </c>
      <c r="CU1070">
        <f>IFERROR(INDEX(PP_Grid[#Data],$DD1070,97),0)</f>
        <v/>
      </c>
      <c r="CV1070">
        <f>IFERROR(INDEX(PP_Grid[#Data],$DD1070,98),0)</f>
        <v/>
      </c>
      <c r="CW1070">
        <f>IFERROR(INDEX(PP_Grid[#Data],$DD1070,99),0)</f>
        <v/>
      </c>
      <c r="CX1070">
        <f>IFERROR(INDEX(PP_Grid[#Data],$DD1070,100),0)</f>
        <v/>
      </c>
      <c r="CY1070">
        <f>IFERROR(INDEX(PP_Grid[#Data],$DD1070,101),0)</f>
        <v/>
      </c>
      <c r="CZ1070">
        <f>IFERROR(INDEX(PP_Grid[#Data],$DD1070,102),0)</f>
        <v/>
      </c>
      <c r="DA1070">
        <f>IFERROR(INDEX(PP_Grid[#Data],$DD1070,103),0)</f>
        <v/>
      </c>
      <c r="DB1070">
        <f>IFERROR(INDEX(PP_Grid[#Data],$DD1070,104),0)</f>
        <v/>
      </c>
      <c r="DC1070">
        <f>IFERROR(INDEX(PP_Grid[#Data],$DD1070,105),0)</f>
        <v/>
      </c>
      <c r="DD1070" s="7">
        <f>IFERROR(MATCH($B1070,PP_Grid[Intermediate],0),99999)</f>
        <v/>
      </c>
    </row>
    <row r="1071">
      <c r="B1071" t="inlineStr">
        <is>
          <t>使用量(kg)</t>
        </is>
      </c>
      <c r="C1071">
        <f>SUMIFS(M_BOM[RM_Qty_Per_Batch],M_BOM[Intermediate],$B1070,M_BOM[Part Name],$A1069)</f>
        <v/>
      </c>
      <c r="D1071">
        <f>$C1071*D1070</f>
        <v/>
      </c>
      <c r="E1071">
        <f>$C1071*E1070</f>
        <v/>
      </c>
      <c r="F1071">
        <f>$C1071*F1070</f>
        <v/>
      </c>
      <c r="G1071">
        <f>$C1071*G1070</f>
        <v/>
      </c>
      <c r="H1071">
        <f>$C1071*H1070</f>
        <v/>
      </c>
      <c r="I1071">
        <f>$C1071*I1070</f>
        <v/>
      </c>
      <c r="J1071">
        <f>$C1071*J1070</f>
        <v/>
      </c>
      <c r="K1071">
        <f>$C1071*K1070</f>
        <v/>
      </c>
      <c r="L1071">
        <f>$C1071*L1070</f>
        <v/>
      </c>
      <c r="M1071">
        <f>$C1071*M1070</f>
        <v/>
      </c>
      <c r="N1071">
        <f>$C1071*N1070</f>
        <v/>
      </c>
      <c r="O1071">
        <f>$C1071*O1070</f>
        <v/>
      </c>
      <c r="P1071">
        <f>$C1071*P1070</f>
        <v/>
      </c>
      <c r="Q1071">
        <f>$C1071*Q1070</f>
        <v/>
      </c>
      <c r="R1071">
        <f>$C1071*R1070</f>
        <v/>
      </c>
      <c r="S1071">
        <f>$C1071*S1070</f>
        <v/>
      </c>
      <c r="T1071">
        <f>$C1071*T1070</f>
        <v/>
      </c>
      <c r="U1071">
        <f>$C1071*U1070</f>
        <v/>
      </c>
      <c r="V1071">
        <f>$C1071*V1070</f>
        <v/>
      </c>
      <c r="W1071">
        <f>$C1071*W1070</f>
        <v/>
      </c>
      <c r="X1071">
        <f>$C1071*X1070</f>
        <v/>
      </c>
      <c r="Y1071">
        <f>$C1071*Y1070</f>
        <v/>
      </c>
      <c r="Z1071">
        <f>$C1071*Z1070</f>
        <v/>
      </c>
      <c r="AA1071">
        <f>$C1071*AA1070</f>
        <v/>
      </c>
      <c r="AB1071">
        <f>$C1071*AB1070</f>
        <v/>
      </c>
      <c r="AC1071">
        <f>$C1071*AC1070</f>
        <v/>
      </c>
      <c r="AD1071">
        <f>$C1071*AD1070</f>
        <v/>
      </c>
      <c r="AE1071">
        <f>$C1071*AE1070</f>
        <v/>
      </c>
      <c r="AF1071">
        <f>$C1071*AF1070</f>
        <v/>
      </c>
      <c r="AG1071">
        <f>$C1071*AG1070</f>
        <v/>
      </c>
      <c r="AH1071">
        <f>$C1071*AH1070</f>
        <v/>
      </c>
      <c r="AI1071">
        <f>$C1071*AI1070</f>
        <v/>
      </c>
      <c r="AJ1071">
        <f>$C1071*AJ1070</f>
        <v/>
      </c>
      <c r="AK1071">
        <f>$C1071*AK1070</f>
        <v/>
      </c>
      <c r="AL1071">
        <f>$C1071*AL1070</f>
        <v/>
      </c>
      <c r="AM1071">
        <f>$C1071*AM1070</f>
        <v/>
      </c>
      <c r="AN1071">
        <f>$C1071*AN1070</f>
        <v/>
      </c>
      <c r="AO1071">
        <f>$C1071*AO1070</f>
        <v/>
      </c>
      <c r="AP1071">
        <f>$C1071*AP1070</f>
        <v/>
      </c>
      <c r="AQ1071">
        <f>$C1071*AQ1070</f>
        <v/>
      </c>
      <c r="AR1071">
        <f>$C1071*AR1070</f>
        <v/>
      </c>
      <c r="AS1071">
        <f>$C1071*AS1070</f>
        <v/>
      </c>
      <c r="AT1071">
        <f>$C1071*AT1070</f>
        <v/>
      </c>
      <c r="AU1071">
        <f>$C1071*AU1070</f>
        <v/>
      </c>
      <c r="AV1071">
        <f>$C1071*AV1070</f>
        <v/>
      </c>
      <c r="AW1071">
        <f>$C1071*AW1070</f>
        <v/>
      </c>
      <c r="AX1071">
        <f>$C1071*AX1070</f>
        <v/>
      </c>
      <c r="AY1071">
        <f>$C1071*AY1070</f>
        <v/>
      </c>
      <c r="AZ1071">
        <f>$C1071*AZ1070</f>
        <v/>
      </c>
      <c r="BA1071">
        <f>$C1071*BA1070</f>
        <v/>
      </c>
      <c r="BB1071">
        <f>$C1071*BB1070</f>
        <v/>
      </c>
      <c r="BC1071">
        <f>$C1071*BC1070</f>
        <v/>
      </c>
      <c r="BD1071">
        <f>$C1071*BD1070</f>
        <v/>
      </c>
      <c r="BE1071">
        <f>$C1071*BE1070</f>
        <v/>
      </c>
      <c r="BF1071">
        <f>$C1071*BF1070</f>
        <v/>
      </c>
      <c r="BG1071">
        <f>$C1071*BG1070</f>
        <v/>
      </c>
      <c r="BH1071">
        <f>$C1071*BH1070</f>
        <v/>
      </c>
      <c r="BI1071">
        <f>$C1071*BI1070</f>
        <v/>
      </c>
      <c r="BJ1071">
        <f>$C1071*BJ1070</f>
        <v/>
      </c>
      <c r="BK1071">
        <f>$C1071*BK1070</f>
        <v/>
      </c>
      <c r="BL1071">
        <f>$C1071*BL1070</f>
        <v/>
      </c>
      <c r="BM1071">
        <f>$C1071*BM1070</f>
        <v/>
      </c>
      <c r="BN1071">
        <f>$C1071*BN1070</f>
        <v/>
      </c>
      <c r="BO1071">
        <f>$C1071*BO1070</f>
        <v/>
      </c>
      <c r="BP1071">
        <f>$C1071*BP1070</f>
        <v/>
      </c>
      <c r="BQ1071">
        <f>$C1071*BQ1070</f>
        <v/>
      </c>
      <c r="BR1071">
        <f>$C1071*BR1070</f>
        <v/>
      </c>
      <c r="BS1071">
        <f>$C1071*BS1070</f>
        <v/>
      </c>
      <c r="BT1071">
        <f>$C1071*BT1070</f>
        <v/>
      </c>
      <c r="BU1071">
        <f>$C1071*BU1070</f>
        <v/>
      </c>
      <c r="BV1071">
        <f>$C1071*BV1070</f>
        <v/>
      </c>
      <c r="BW1071">
        <f>$C1071*BW1070</f>
        <v/>
      </c>
      <c r="BX1071">
        <f>$C1071*BX1070</f>
        <v/>
      </c>
      <c r="BY1071">
        <f>$C1071*BY1070</f>
        <v/>
      </c>
      <c r="BZ1071">
        <f>$C1071*BZ1070</f>
        <v/>
      </c>
      <c r="CA1071">
        <f>$C1071*CA1070</f>
        <v/>
      </c>
      <c r="CB1071">
        <f>$C1071*CB1070</f>
        <v/>
      </c>
      <c r="CC1071">
        <f>$C1071*CC1070</f>
        <v/>
      </c>
      <c r="CD1071">
        <f>$C1071*CD1070</f>
        <v/>
      </c>
      <c r="CE1071">
        <f>$C1071*CE1070</f>
        <v/>
      </c>
      <c r="CF1071">
        <f>$C1071*CF1070</f>
        <v/>
      </c>
      <c r="CG1071">
        <f>$C1071*CG1070</f>
        <v/>
      </c>
      <c r="CH1071">
        <f>$C1071*CH1070</f>
        <v/>
      </c>
      <c r="CI1071">
        <f>$C1071*CI1070</f>
        <v/>
      </c>
      <c r="CJ1071">
        <f>$C1071*CJ1070</f>
        <v/>
      </c>
      <c r="CK1071">
        <f>$C1071*CK1070</f>
        <v/>
      </c>
      <c r="CL1071">
        <f>$C1071*CL1070</f>
        <v/>
      </c>
      <c r="CM1071">
        <f>$C1071*CM1070</f>
        <v/>
      </c>
      <c r="CN1071">
        <f>$C1071*CN1070</f>
        <v/>
      </c>
      <c r="CO1071">
        <f>$C1071*CO1070</f>
        <v/>
      </c>
      <c r="CP1071">
        <f>$C1071*CP1070</f>
        <v/>
      </c>
      <c r="CQ1071">
        <f>$C1071*CQ1070</f>
        <v/>
      </c>
      <c r="CR1071">
        <f>$C1071*CR1070</f>
        <v/>
      </c>
      <c r="CS1071">
        <f>$C1071*CS1070</f>
        <v/>
      </c>
      <c r="CT1071">
        <f>$C1071*CT1070</f>
        <v/>
      </c>
      <c r="CU1071">
        <f>$C1071*CU1070</f>
        <v/>
      </c>
      <c r="CV1071">
        <f>$C1071*CV1070</f>
        <v/>
      </c>
      <c r="CW1071">
        <f>$C1071*CW1070</f>
        <v/>
      </c>
      <c r="CX1071">
        <f>$C1071*CX1070</f>
        <v/>
      </c>
      <c r="CY1071">
        <f>$C1071*CY1070</f>
        <v/>
      </c>
      <c r="CZ1071">
        <f>$C1071*CZ1070</f>
        <v/>
      </c>
      <c r="DA1071">
        <f>$C1071*DA1070</f>
        <v/>
      </c>
      <c r="DB1071">
        <f>$C1071*DB1070</f>
        <v/>
      </c>
      <c r="DC1071">
        <f>$C1071*DC1070</f>
        <v/>
      </c>
    </row>
    <row r="1072">
      <c r="B1072" t="inlineStr">
        <is>
          <t>TPP-1466</t>
        </is>
      </c>
      <c r="C1072" t="inlineStr">
        <is>
          <t>No. of batches</t>
        </is>
      </c>
      <c r="D1072">
        <f>IFERROR(INDEX(PP_Grid[#Data],$DD1072,2),0)</f>
        <v/>
      </c>
      <c r="E1072">
        <f>IFERROR(INDEX(PP_Grid[#Data],$DD1072,3),0)</f>
        <v/>
      </c>
      <c r="F1072">
        <f>IFERROR(INDEX(PP_Grid[#Data],$DD1072,4),0)</f>
        <v/>
      </c>
      <c r="G1072">
        <f>IFERROR(INDEX(PP_Grid[#Data],$DD1072,5),0)</f>
        <v/>
      </c>
      <c r="H1072">
        <f>IFERROR(INDEX(PP_Grid[#Data],$DD1072,6),0)</f>
        <v/>
      </c>
      <c r="I1072">
        <f>IFERROR(INDEX(PP_Grid[#Data],$DD1072,7),0)</f>
        <v/>
      </c>
      <c r="J1072">
        <f>IFERROR(INDEX(PP_Grid[#Data],$DD1072,8),0)</f>
        <v/>
      </c>
      <c r="K1072">
        <f>IFERROR(INDEX(PP_Grid[#Data],$DD1072,9),0)</f>
        <v/>
      </c>
      <c r="L1072">
        <f>IFERROR(INDEX(PP_Grid[#Data],$DD1072,10),0)</f>
        <v/>
      </c>
      <c r="M1072">
        <f>IFERROR(INDEX(PP_Grid[#Data],$DD1072,11),0)</f>
        <v/>
      </c>
      <c r="N1072">
        <f>IFERROR(INDEX(PP_Grid[#Data],$DD1072,12),0)</f>
        <v/>
      </c>
      <c r="O1072">
        <f>IFERROR(INDEX(PP_Grid[#Data],$DD1072,13),0)</f>
        <v/>
      </c>
      <c r="P1072">
        <f>IFERROR(INDEX(PP_Grid[#Data],$DD1072,14),0)</f>
        <v/>
      </c>
      <c r="Q1072">
        <f>IFERROR(INDEX(PP_Grid[#Data],$DD1072,15),0)</f>
        <v/>
      </c>
      <c r="R1072">
        <f>IFERROR(INDEX(PP_Grid[#Data],$DD1072,16),0)</f>
        <v/>
      </c>
      <c r="S1072">
        <f>IFERROR(INDEX(PP_Grid[#Data],$DD1072,17),0)</f>
        <v/>
      </c>
      <c r="T1072">
        <f>IFERROR(INDEX(PP_Grid[#Data],$DD1072,18),0)</f>
        <v/>
      </c>
      <c r="U1072">
        <f>IFERROR(INDEX(PP_Grid[#Data],$DD1072,19),0)</f>
        <v/>
      </c>
      <c r="V1072">
        <f>IFERROR(INDEX(PP_Grid[#Data],$DD1072,20),0)</f>
        <v/>
      </c>
      <c r="W1072">
        <f>IFERROR(INDEX(PP_Grid[#Data],$DD1072,21),0)</f>
        <v/>
      </c>
      <c r="X1072">
        <f>IFERROR(INDEX(PP_Grid[#Data],$DD1072,22),0)</f>
        <v/>
      </c>
      <c r="Y1072">
        <f>IFERROR(INDEX(PP_Grid[#Data],$DD1072,23),0)</f>
        <v/>
      </c>
      <c r="Z1072">
        <f>IFERROR(INDEX(PP_Grid[#Data],$DD1072,24),0)</f>
        <v/>
      </c>
      <c r="AA1072">
        <f>IFERROR(INDEX(PP_Grid[#Data],$DD1072,25),0)</f>
        <v/>
      </c>
      <c r="AB1072">
        <f>IFERROR(INDEX(PP_Grid[#Data],$DD1072,26),0)</f>
        <v/>
      </c>
      <c r="AC1072">
        <f>IFERROR(INDEX(PP_Grid[#Data],$DD1072,27),0)</f>
        <v/>
      </c>
      <c r="AD1072">
        <f>IFERROR(INDEX(PP_Grid[#Data],$DD1072,28),0)</f>
        <v/>
      </c>
      <c r="AE1072">
        <f>IFERROR(INDEX(PP_Grid[#Data],$DD1072,29),0)</f>
        <v/>
      </c>
      <c r="AF1072">
        <f>IFERROR(INDEX(PP_Grid[#Data],$DD1072,30),0)</f>
        <v/>
      </c>
      <c r="AG1072">
        <f>IFERROR(INDEX(PP_Grid[#Data],$DD1072,31),0)</f>
        <v/>
      </c>
      <c r="AH1072">
        <f>IFERROR(INDEX(PP_Grid[#Data],$DD1072,32),0)</f>
        <v/>
      </c>
      <c r="AI1072">
        <f>IFERROR(INDEX(PP_Grid[#Data],$DD1072,33),0)</f>
        <v/>
      </c>
      <c r="AJ1072">
        <f>IFERROR(INDEX(PP_Grid[#Data],$DD1072,34),0)</f>
        <v/>
      </c>
      <c r="AK1072">
        <f>IFERROR(INDEX(PP_Grid[#Data],$DD1072,35),0)</f>
        <v/>
      </c>
      <c r="AL1072">
        <f>IFERROR(INDEX(PP_Grid[#Data],$DD1072,36),0)</f>
        <v/>
      </c>
      <c r="AM1072">
        <f>IFERROR(INDEX(PP_Grid[#Data],$DD1072,37),0)</f>
        <v/>
      </c>
      <c r="AN1072">
        <f>IFERROR(INDEX(PP_Grid[#Data],$DD1072,38),0)</f>
        <v/>
      </c>
      <c r="AO1072">
        <f>IFERROR(INDEX(PP_Grid[#Data],$DD1072,39),0)</f>
        <v/>
      </c>
      <c r="AP1072">
        <f>IFERROR(INDEX(PP_Grid[#Data],$DD1072,40),0)</f>
        <v/>
      </c>
      <c r="AQ1072">
        <f>IFERROR(INDEX(PP_Grid[#Data],$DD1072,41),0)</f>
        <v/>
      </c>
      <c r="AR1072">
        <f>IFERROR(INDEX(PP_Grid[#Data],$DD1072,42),0)</f>
        <v/>
      </c>
      <c r="AS1072">
        <f>IFERROR(INDEX(PP_Grid[#Data],$DD1072,43),0)</f>
        <v/>
      </c>
      <c r="AT1072">
        <f>IFERROR(INDEX(PP_Grid[#Data],$DD1072,44),0)</f>
        <v/>
      </c>
      <c r="AU1072">
        <f>IFERROR(INDEX(PP_Grid[#Data],$DD1072,45),0)</f>
        <v/>
      </c>
      <c r="AV1072">
        <f>IFERROR(INDEX(PP_Grid[#Data],$DD1072,46),0)</f>
        <v/>
      </c>
      <c r="AW1072">
        <f>IFERROR(INDEX(PP_Grid[#Data],$DD1072,47),0)</f>
        <v/>
      </c>
      <c r="AX1072">
        <f>IFERROR(INDEX(PP_Grid[#Data],$DD1072,48),0)</f>
        <v/>
      </c>
      <c r="AY1072">
        <f>IFERROR(INDEX(PP_Grid[#Data],$DD1072,49),0)</f>
        <v/>
      </c>
      <c r="AZ1072">
        <f>IFERROR(INDEX(PP_Grid[#Data],$DD1072,50),0)</f>
        <v/>
      </c>
      <c r="BA1072">
        <f>IFERROR(INDEX(PP_Grid[#Data],$DD1072,51),0)</f>
        <v/>
      </c>
      <c r="BB1072">
        <f>IFERROR(INDEX(PP_Grid[#Data],$DD1072,52),0)</f>
        <v/>
      </c>
      <c r="BC1072">
        <f>IFERROR(INDEX(PP_Grid[#Data],$DD1072,53),0)</f>
        <v/>
      </c>
      <c r="BD1072">
        <f>IFERROR(INDEX(PP_Grid[#Data],$DD1072,54),0)</f>
        <v/>
      </c>
      <c r="BE1072">
        <f>IFERROR(INDEX(PP_Grid[#Data],$DD1072,55),0)</f>
        <v/>
      </c>
      <c r="BF1072">
        <f>IFERROR(INDEX(PP_Grid[#Data],$DD1072,56),0)</f>
        <v/>
      </c>
      <c r="BG1072">
        <f>IFERROR(INDEX(PP_Grid[#Data],$DD1072,57),0)</f>
        <v/>
      </c>
      <c r="BH1072">
        <f>IFERROR(INDEX(PP_Grid[#Data],$DD1072,58),0)</f>
        <v/>
      </c>
      <c r="BI1072">
        <f>IFERROR(INDEX(PP_Grid[#Data],$DD1072,59),0)</f>
        <v/>
      </c>
      <c r="BJ1072">
        <f>IFERROR(INDEX(PP_Grid[#Data],$DD1072,60),0)</f>
        <v/>
      </c>
      <c r="BK1072">
        <f>IFERROR(INDEX(PP_Grid[#Data],$DD1072,61),0)</f>
        <v/>
      </c>
      <c r="BL1072">
        <f>IFERROR(INDEX(PP_Grid[#Data],$DD1072,62),0)</f>
        <v/>
      </c>
      <c r="BM1072">
        <f>IFERROR(INDEX(PP_Grid[#Data],$DD1072,63),0)</f>
        <v/>
      </c>
      <c r="BN1072">
        <f>IFERROR(INDEX(PP_Grid[#Data],$DD1072,64),0)</f>
        <v/>
      </c>
      <c r="BO1072">
        <f>IFERROR(INDEX(PP_Grid[#Data],$DD1072,65),0)</f>
        <v/>
      </c>
      <c r="BP1072">
        <f>IFERROR(INDEX(PP_Grid[#Data],$DD1072,66),0)</f>
        <v/>
      </c>
      <c r="BQ1072">
        <f>IFERROR(INDEX(PP_Grid[#Data],$DD1072,67),0)</f>
        <v/>
      </c>
      <c r="BR1072">
        <f>IFERROR(INDEX(PP_Grid[#Data],$DD1072,68),0)</f>
        <v/>
      </c>
      <c r="BS1072">
        <f>IFERROR(INDEX(PP_Grid[#Data],$DD1072,69),0)</f>
        <v/>
      </c>
      <c r="BT1072">
        <f>IFERROR(INDEX(PP_Grid[#Data],$DD1072,70),0)</f>
        <v/>
      </c>
      <c r="BU1072">
        <f>IFERROR(INDEX(PP_Grid[#Data],$DD1072,71),0)</f>
        <v/>
      </c>
      <c r="BV1072">
        <f>IFERROR(INDEX(PP_Grid[#Data],$DD1072,72),0)</f>
        <v/>
      </c>
      <c r="BW1072">
        <f>IFERROR(INDEX(PP_Grid[#Data],$DD1072,73),0)</f>
        <v/>
      </c>
      <c r="BX1072">
        <f>IFERROR(INDEX(PP_Grid[#Data],$DD1072,74),0)</f>
        <v/>
      </c>
      <c r="BY1072">
        <f>IFERROR(INDEX(PP_Grid[#Data],$DD1072,75),0)</f>
        <v/>
      </c>
      <c r="BZ1072">
        <f>IFERROR(INDEX(PP_Grid[#Data],$DD1072,76),0)</f>
        <v/>
      </c>
      <c r="CA1072">
        <f>IFERROR(INDEX(PP_Grid[#Data],$DD1072,77),0)</f>
        <v/>
      </c>
      <c r="CB1072">
        <f>IFERROR(INDEX(PP_Grid[#Data],$DD1072,78),0)</f>
        <v/>
      </c>
      <c r="CC1072">
        <f>IFERROR(INDEX(PP_Grid[#Data],$DD1072,79),0)</f>
        <v/>
      </c>
      <c r="CD1072">
        <f>IFERROR(INDEX(PP_Grid[#Data],$DD1072,80),0)</f>
        <v/>
      </c>
      <c r="CE1072">
        <f>IFERROR(INDEX(PP_Grid[#Data],$DD1072,81),0)</f>
        <v/>
      </c>
      <c r="CF1072">
        <f>IFERROR(INDEX(PP_Grid[#Data],$DD1072,82),0)</f>
        <v/>
      </c>
      <c r="CG1072">
        <f>IFERROR(INDEX(PP_Grid[#Data],$DD1072,83),0)</f>
        <v/>
      </c>
      <c r="CH1072">
        <f>IFERROR(INDEX(PP_Grid[#Data],$DD1072,84),0)</f>
        <v/>
      </c>
      <c r="CI1072">
        <f>IFERROR(INDEX(PP_Grid[#Data],$DD1072,85),0)</f>
        <v/>
      </c>
      <c r="CJ1072">
        <f>IFERROR(INDEX(PP_Grid[#Data],$DD1072,86),0)</f>
        <v/>
      </c>
      <c r="CK1072">
        <f>IFERROR(INDEX(PP_Grid[#Data],$DD1072,87),0)</f>
        <v/>
      </c>
      <c r="CL1072">
        <f>IFERROR(INDEX(PP_Grid[#Data],$DD1072,88),0)</f>
        <v/>
      </c>
      <c r="CM1072">
        <f>IFERROR(INDEX(PP_Grid[#Data],$DD1072,89),0)</f>
        <v/>
      </c>
      <c r="CN1072">
        <f>IFERROR(INDEX(PP_Grid[#Data],$DD1072,90),0)</f>
        <v/>
      </c>
      <c r="CO1072">
        <f>IFERROR(INDEX(PP_Grid[#Data],$DD1072,91),0)</f>
        <v/>
      </c>
      <c r="CP1072">
        <f>IFERROR(INDEX(PP_Grid[#Data],$DD1072,92),0)</f>
        <v/>
      </c>
      <c r="CQ1072">
        <f>IFERROR(INDEX(PP_Grid[#Data],$DD1072,93),0)</f>
        <v/>
      </c>
      <c r="CR1072">
        <f>IFERROR(INDEX(PP_Grid[#Data],$DD1072,94),0)</f>
        <v/>
      </c>
      <c r="CS1072">
        <f>IFERROR(INDEX(PP_Grid[#Data],$DD1072,95),0)</f>
        <v/>
      </c>
      <c r="CT1072">
        <f>IFERROR(INDEX(PP_Grid[#Data],$DD1072,96),0)</f>
        <v/>
      </c>
      <c r="CU1072">
        <f>IFERROR(INDEX(PP_Grid[#Data],$DD1072,97),0)</f>
        <v/>
      </c>
      <c r="CV1072">
        <f>IFERROR(INDEX(PP_Grid[#Data],$DD1072,98),0)</f>
        <v/>
      </c>
      <c r="CW1072">
        <f>IFERROR(INDEX(PP_Grid[#Data],$DD1072,99),0)</f>
        <v/>
      </c>
      <c r="CX1072">
        <f>IFERROR(INDEX(PP_Grid[#Data],$DD1072,100),0)</f>
        <v/>
      </c>
      <c r="CY1072">
        <f>IFERROR(INDEX(PP_Grid[#Data],$DD1072,101),0)</f>
        <v/>
      </c>
      <c r="CZ1072">
        <f>IFERROR(INDEX(PP_Grid[#Data],$DD1072,102),0)</f>
        <v/>
      </c>
      <c r="DA1072">
        <f>IFERROR(INDEX(PP_Grid[#Data],$DD1072,103),0)</f>
        <v/>
      </c>
      <c r="DB1072">
        <f>IFERROR(INDEX(PP_Grid[#Data],$DD1072,104),0)</f>
        <v/>
      </c>
      <c r="DC1072">
        <f>IFERROR(INDEX(PP_Grid[#Data],$DD1072,105),0)</f>
        <v/>
      </c>
      <c r="DD1072" s="7">
        <f>IFERROR(MATCH($B1072,PP_Grid[Intermediate],0),99999)</f>
        <v/>
      </c>
    </row>
    <row r="1073">
      <c r="B1073" t="inlineStr">
        <is>
          <t>使用量(kg)</t>
        </is>
      </c>
      <c r="C1073">
        <f>SUMIFS(M_BOM[RM_Qty_Per_Batch],M_BOM[Intermediate],$B1072,M_BOM[Part Name],$A1069)</f>
        <v/>
      </c>
      <c r="D1073">
        <f>$C1073*D1072</f>
        <v/>
      </c>
      <c r="E1073">
        <f>$C1073*E1072</f>
        <v/>
      </c>
      <c r="F1073">
        <f>$C1073*F1072</f>
        <v/>
      </c>
      <c r="G1073">
        <f>$C1073*G1072</f>
        <v/>
      </c>
      <c r="H1073">
        <f>$C1073*H1072</f>
        <v/>
      </c>
      <c r="I1073">
        <f>$C1073*I1072</f>
        <v/>
      </c>
      <c r="J1073">
        <f>$C1073*J1072</f>
        <v/>
      </c>
      <c r="K1073">
        <f>$C1073*K1072</f>
        <v/>
      </c>
      <c r="L1073">
        <f>$C1073*L1072</f>
        <v/>
      </c>
      <c r="M1073">
        <f>$C1073*M1072</f>
        <v/>
      </c>
      <c r="N1073">
        <f>$C1073*N1072</f>
        <v/>
      </c>
      <c r="O1073">
        <f>$C1073*O1072</f>
        <v/>
      </c>
      <c r="P1073">
        <f>$C1073*P1072</f>
        <v/>
      </c>
      <c r="Q1073">
        <f>$C1073*Q1072</f>
        <v/>
      </c>
      <c r="R1073">
        <f>$C1073*R1072</f>
        <v/>
      </c>
      <c r="S1073">
        <f>$C1073*S1072</f>
        <v/>
      </c>
      <c r="T1073">
        <f>$C1073*T1072</f>
        <v/>
      </c>
      <c r="U1073">
        <f>$C1073*U1072</f>
        <v/>
      </c>
      <c r="V1073">
        <f>$C1073*V1072</f>
        <v/>
      </c>
      <c r="W1073">
        <f>$C1073*W1072</f>
        <v/>
      </c>
      <c r="X1073">
        <f>$C1073*X1072</f>
        <v/>
      </c>
      <c r="Y1073">
        <f>$C1073*Y1072</f>
        <v/>
      </c>
      <c r="Z1073">
        <f>$C1073*Z1072</f>
        <v/>
      </c>
      <c r="AA1073">
        <f>$C1073*AA1072</f>
        <v/>
      </c>
      <c r="AB1073">
        <f>$C1073*AB1072</f>
        <v/>
      </c>
      <c r="AC1073">
        <f>$C1073*AC1072</f>
        <v/>
      </c>
      <c r="AD1073">
        <f>$C1073*AD1072</f>
        <v/>
      </c>
      <c r="AE1073">
        <f>$C1073*AE1072</f>
        <v/>
      </c>
      <c r="AF1073">
        <f>$C1073*AF1072</f>
        <v/>
      </c>
      <c r="AG1073">
        <f>$C1073*AG1072</f>
        <v/>
      </c>
      <c r="AH1073">
        <f>$C1073*AH1072</f>
        <v/>
      </c>
      <c r="AI1073">
        <f>$C1073*AI1072</f>
        <v/>
      </c>
      <c r="AJ1073">
        <f>$C1073*AJ1072</f>
        <v/>
      </c>
      <c r="AK1073">
        <f>$C1073*AK1072</f>
        <v/>
      </c>
      <c r="AL1073">
        <f>$C1073*AL1072</f>
        <v/>
      </c>
      <c r="AM1073">
        <f>$C1073*AM1072</f>
        <v/>
      </c>
      <c r="AN1073">
        <f>$C1073*AN1072</f>
        <v/>
      </c>
      <c r="AO1073">
        <f>$C1073*AO1072</f>
        <v/>
      </c>
      <c r="AP1073">
        <f>$C1073*AP1072</f>
        <v/>
      </c>
      <c r="AQ1073">
        <f>$C1073*AQ1072</f>
        <v/>
      </c>
      <c r="AR1073">
        <f>$C1073*AR1072</f>
        <v/>
      </c>
      <c r="AS1073">
        <f>$C1073*AS1072</f>
        <v/>
      </c>
      <c r="AT1073">
        <f>$C1073*AT1072</f>
        <v/>
      </c>
      <c r="AU1073">
        <f>$C1073*AU1072</f>
        <v/>
      </c>
      <c r="AV1073">
        <f>$C1073*AV1072</f>
        <v/>
      </c>
      <c r="AW1073">
        <f>$C1073*AW1072</f>
        <v/>
      </c>
      <c r="AX1073">
        <f>$C1073*AX1072</f>
        <v/>
      </c>
      <c r="AY1073">
        <f>$C1073*AY1072</f>
        <v/>
      </c>
      <c r="AZ1073">
        <f>$C1073*AZ1072</f>
        <v/>
      </c>
      <c r="BA1073">
        <f>$C1073*BA1072</f>
        <v/>
      </c>
      <c r="BB1073">
        <f>$C1073*BB1072</f>
        <v/>
      </c>
      <c r="BC1073">
        <f>$C1073*BC1072</f>
        <v/>
      </c>
      <c r="BD1073">
        <f>$C1073*BD1072</f>
        <v/>
      </c>
      <c r="BE1073">
        <f>$C1073*BE1072</f>
        <v/>
      </c>
      <c r="BF1073">
        <f>$C1073*BF1072</f>
        <v/>
      </c>
      <c r="BG1073">
        <f>$C1073*BG1072</f>
        <v/>
      </c>
      <c r="BH1073">
        <f>$C1073*BH1072</f>
        <v/>
      </c>
      <c r="BI1073">
        <f>$C1073*BI1072</f>
        <v/>
      </c>
      <c r="BJ1073">
        <f>$C1073*BJ1072</f>
        <v/>
      </c>
      <c r="BK1073">
        <f>$C1073*BK1072</f>
        <v/>
      </c>
      <c r="BL1073">
        <f>$C1073*BL1072</f>
        <v/>
      </c>
      <c r="BM1073">
        <f>$C1073*BM1072</f>
        <v/>
      </c>
      <c r="BN1073">
        <f>$C1073*BN1072</f>
        <v/>
      </c>
      <c r="BO1073">
        <f>$C1073*BO1072</f>
        <v/>
      </c>
      <c r="BP1073">
        <f>$C1073*BP1072</f>
        <v/>
      </c>
      <c r="BQ1073">
        <f>$C1073*BQ1072</f>
        <v/>
      </c>
      <c r="BR1073">
        <f>$C1073*BR1072</f>
        <v/>
      </c>
      <c r="BS1073">
        <f>$C1073*BS1072</f>
        <v/>
      </c>
      <c r="BT1073">
        <f>$C1073*BT1072</f>
        <v/>
      </c>
      <c r="BU1073">
        <f>$C1073*BU1072</f>
        <v/>
      </c>
      <c r="BV1073">
        <f>$C1073*BV1072</f>
        <v/>
      </c>
      <c r="BW1073">
        <f>$C1073*BW1072</f>
        <v/>
      </c>
      <c r="BX1073">
        <f>$C1073*BX1072</f>
        <v/>
      </c>
      <c r="BY1073">
        <f>$C1073*BY1072</f>
        <v/>
      </c>
      <c r="BZ1073">
        <f>$C1073*BZ1072</f>
        <v/>
      </c>
      <c r="CA1073">
        <f>$C1073*CA1072</f>
        <v/>
      </c>
      <c r="CB1073">
        <f>$C1073*CB1072</f>
        <v/>
      </c>
      <c r="CC1073">
        <f>$C1073*CC1072</f>
        <v/>
      </c>
      <c r="CD1073">
        <f>$C1073*CD1072</f>
        <v/>
      </c>
      <c r="CE1073">
        <f>$C1073*CE1072</f>
        <v/>
      </c>
      <c r="CF1073">
        <f>$C1073*CF1072</f>
        <v/>
      </c>
      <c r="CG1073">
        <f>$C1073*CG1072</f>
        <v/>
      </c>
      <c r="CH1073">
        <f>$C1073*CH1072</f>
        <v/>
      </c>
      <c r="CI1073">
        <f>$C1073*CI1072</f>
        <v/>
      </c>
      <c r="CJ1073">
        <f>$C1073*CJ1072</f>
        <v/>
      </c>
      <c r="CK1073">
        <f>$C1073*CK1072</f>
        <v/>
      </c>
      <c r="CL1073">
        <f>$C1073*CL1072</f>
        <v/>
      </c>
      <c r="CM1073">
        <f>$C1073*CM1072</f>
        <v/>
      </c>
      <c r="CN1073">
        <f>$C1073*CN1072</f>
        <v/>
      </c>
      <c r="CO1073">
        <f>$C1073*CO1072</f>
        <v/>
      </c>
      <c r="CP1073">
        <f>$C1073*CP1072</f>
        <v/>
      </c>
      <c r="CQ1073">
        <f>$C1073*CQ1072</f>
        <v/>
      </c>
      <c r="CR1073">
        <f>$C1073*CR1072</f>
        <v/>
      </c>
      <c r="CS1073">
        <f>$C1073*CS1072</f>
        <v/>
      </c>
      <c r="CT1073">
        <f>$C1073*CT1072</f>
        <v/>
      </c>
      <c r="CU1073">
        <f>$C1073*CU1072</f>
        <v/>
      </c>
      <c r="CV1073">
        <f>$C1073*CV1072</f>
        <v/>
      </c>
      <c r="CW1073">
        <f>$C1073*CW1072</f>
        <v/>
      </c>
      <c r="CX1073">
        <f>$C1073*CX1072</f>
        <v/>
      </c>
      <c r="CY1073">
        <f>$C1073*CY1072</f>
        <v/>
      </c>
      <c r="CZ1073">
        <f>$C1073*CZ1072</f>
        <v/>
      </c>
      <c r="DA1073">
        <f>$C1073*DA1072</f>
        <v/>
      </c>
      <c r="DB1073">
        <f>$C1073*DB1072</f>
        <v/>
      </c>
      <c r="DC1073">
        <f>$C1073*DC1072</f>
        <v/>
      </c>
    </row>
    <row r="1074">
      <c r="B1074" t="inlineStr">
        <is>
          <t>TSP-219</t>
        </is>
      </c>
      <c r="C1074" t="inlineStr">
        <is>
          <t>No. of batches</t>
        </is>
      </c>
      <c r="D1074">
        <f>IFERROR(INDEX(PP_Grid[#Data],$DD1074,2),0)</f>
        <v/>
      </c>
      <c r="E1074">
        <f>IFERROR(INDEX(PP_Grid[#Data],$DD1074,3),0)</f>
        <v/>
      </c>
      <c r="F1074">
        <f>IFERROR(INDEX(PP_Grid[#Data],$DD1074,4),0)</f>
        <v/>
      </c>
      <c r="G1074">
        <f>IFERROR(INDEX(PP_Grid[#Data],$DD1074,5),0)</f>
        <v/>
      </c>
      <c r="H1074">
        <f>IFERROR(INDEX(PP_Grid[#Data],$DD1074,6),0)</f>
        <v/>
      </c>
      <c r="I1074">
        <f>IFERROR(INDEX(PP_Grid[#Data],$DD1074,7),0)</f>
        <v/>
      </c>
      <c r="J1074">
        <f>IFERROR(INDEX(PP_Grid[#Data],$DD1074,8),0)</f>
        <v/>
      </c>
      <c r="K1074">
        <f>IFERROR(INDEX(PP_Grid[#Data],$DD1074,9),0)</f>
        <v/>
      </c>
      <c r="L1074">
        <f>IFERROR(INDEX(PP_Grid[#Data],$DD1074,10),0)</f>
        <v/>
      </c>
      <c r="M1074">
        <f>IFERROR(INDEX(PP_Grid[#Data],$DD1074,11),0)</f>
        <v/>
      </c>
      <c r="N1074">
        <f>IFERROR(INDEX(PP_Grid[#Data],$DD1074,12),0)</f>
        <v/>
      </c>
      <c r="O1074">
        <f>IFERROR(INDEX(PP_Grid[#Data],$DD1074,13),0)</f>
        <v/>
      </c>
      <c r="P1074">
        <f>IFERROR(INDEX(PP_Grid[#Data],$DD1074,14),0)</f>
        <v/>
      </c>
      <c r="Q1074">
        <f>IFERROR(INDEX(PP_Grid[#Data],$DD1074,15),0)</f>
        <v/>
      </c>
      <c r="R1074">
        <f>IFERROR(INDEX(PP_Grid[#Data],$DD1074,16),0)</f>
        <v/>
      </c>
      <c r="S1074">
        <f>IFERROR(INDEX(PP_Grid[#Data],$DD1074,17),0)</f>
        <v/>
      </c>
      <c r="T1074">
        <f>IFERROR(INDEX(PP_Grid[#Data],$DD1074,18),0)</f>
        <v/>
      </c>
      <c r="U1074">
        <f>IFERROR(INDEX(PP_Grid[#Data],$DD1074,19),0)</f>
        <v/>
      </c>
      <c r="V1074">
        <f>IFERROR(INDEX(PP_Grid[#Data],$DD1074,20),0)</f>
        <v/>
      </c>
      <c r="W1074">
        <f>IFERROR(INDEX(PP_Grid[#Data],$DD1074,21),0)</f>
        <v/>
      </c>
      <c r="X1074">
        <f>IFERROR(INDEX(PP_Grid[#Data],$DD1074,22),0)</f>
        <v/>
      </c>
      <c r="Y1074">
        <f>IFERROR(INDEX(PP_Grid[#Data],$DD1074,23),0)</f>
        <v/>
      </c>
      <c r="Z1074">
        <f>IFERROR(INDEX(PP_Grid[#Data],$DD1074,24),0)</f>
        <v/>
      </c>
      <c r="AA1074">
        <f>IFERROR(INDEX(PP_Grid[#Data],$DD1074,25),0)</f>
        <v/>
      </c>
      <c r="AB1074">
        <f>IFERROR(INDEX(PP_Grid[#Data],$DD1074,26),0)</f>
        <v/>
      </c>
      <c r="AC1074">
        <f>IFERROR(INDEX(PP_Grid[#Data],$DD1074,27),0)</f>
        <v/>
      </c>
      <c r="AD1074">
        <f>IFERROR(INDEX(PP_Grid[#Data],$DD1074,28),0)</f>
        <v/>
      </c>
      <c r="AE1074">
        <f>IFERROR(INDEX(PP_Grid[#Data],$DD1074,29),0)</f>
        <v/>
      </c>
      <c r="AF1074">
        <f>IFERROR(INDEX(PP_Grid[#Data],$DD1074,30),0)</f>
        <v/>
      </c>
      <c r="AG1074">
        <f>IFERROR(INDEX(PP_Grid[#Data],$DD1074,31),0)</f>
        <v/>
      </c>
      <c r="AH1074">
        <f>IFERROR(INDEX(PP_Grid[#Data],$DD1074,32),0)</f>
        <v/>
      </c>
      <c r="AI1074">
        <f>IFERROR(INDEX(PP_Grid[#Data],$DD1074,33),0)</f>
        <v/>
      </c>
      <c r="AJ1074">
        <f>IFERROR(INDEX(PP_Grid[#Data],$DD1074,34),0)</f>
        <v/>
      </c>
      <c r="AK1074">
        <f>IFERROR(INDEX(PP_Grid[#Data],$DD1074,35),0)</f>
        <v/>
      </c>
      <c r="AL1074">
        <f>IFERROR(INDEX(PP_Grid[#Data],$DD1074,36),0)</f>
        <v/>
      </c>
      <c r="AM1074">
        <f>IFERROR(INDEX(PP_Grid[#Data],$DD1074,37),0)</f>
        <v/>
      </c>
      <c r="AN1074">
        <f>IFERROR(INDEX(PP_Grid[#Data],$DD1074,38),0)</f>
        <v/>
      </c>
      <c r="AO1074">
        <f>IFERROR(INDEX(PP_Grid[#Data],$DD1074,39),0)</f>
        <v/>
      </c>
      <c r="AP1074">
        <f>IFERROR(INDEX(PP_Grid[#Data],$DD1074,40),0)</f>
        <v/>
      </c>
      <c r="AQ1074">
        <f>IFERROR(INDEX(PP_Grid[#Data],$DD1074,41),0)</f>
        <v/>
      </c>
      <c r="AR1074">
        <f>IFERROR(INDEX(PP_Grid[#Data],$DD1074,42),0)</f>
        <v/>
      </c>
      <c r="AS1074">
        <f>IFERROR(INDEX(PP_Grid[#Data],$DD1074,43),0)</f>
        <v/>
      </c>
      <c r="AT1074">
        <f>IFERROR(INDEX(PP_Grid[#Data],$DD1074,44),0)</f>
        <v/>
      </c>
      <c r="AU1074">
        <f>IFERROR(INDEX(PP_Grid[#Data],$DD1074,45),0)</f>
        <v/>
      </c>
      <c r="AV1074">
        <f>IFERROR(INDEX(PP_Grid[#Data],$DD1074,46),0)</f>
        <v/>
      </c>
      <c r="AW1074">
        <f>IFERROR(INDEX(PP_Grid[#Data],$DD1074,47),0)</f>
        <v/>
      </c>
      <c r="AX1074">
        <f>IFERROR(INDEX(PP_Grid[#Data],$DD1074,48),0)</f>
        <v/>
      </c>
      <c r="AY1074">
        <f>IFERROR(INDEX(PP_Grid[#Data],$DD1074,49),0)</f>
        <v/>
      </c>
      <c r="AZ1074">
        <f>IFERROR(INDEX(PP_Grid[#Data],$DD1074,50),0)</f>
        <v/>
      </c>
      <c r="BA1074">
        <f>IFERROR(INDEX(PP_Grid[#Data],$DD1074,51),0)</f>
        <v/>
      </c>
      <c r="BB1074">
        <f>IFERROR(INDEX(PP_Grid[#Data],$DD1074,52),0)</f>
        <v/>
      </c>
      <c r="BC1074">
        <f>IFERROR(INDEX(PP_Grid[#Data],$DD1074,53),0)</f>
        <v/>
      </c>
      <c r="BD1074">
        <f>IFERROR(INDEX(PP_Grid[#Data],$DD1074,54),0)</f>
        <v/>
      </c>
      <c r="BE1074">
        <f>IFERROR(INDEX(PP_Grid[#Data],$DD1074,55),0)</f>
        <v/>
      </c>
      <c r="BF1074">
        <f>IFERROR(INDEX(PP_Grid[#Data],$DD1074,56),0)</f>
        <v/>
      </c>
      <c r="BG1074">
        <f>IFERROR(INDEX(PP_Grid[#Data],$DD1074,57),0)</f>
        <v/>
      </c>
      <c r="BH1074">
        <f>IFERROR(INDEX(PP_Grid[#Data],$DD1074,58),0)</f>
        <v/>
      </c>
      <c r="BI1074">
        <f>IFERROR(INDEX(PP_Grid[#Data],$DD1074,59),0)</f>
        <v/>
      </c>
      <c r="BJ1074">
        <f>IFERROR(INDEX(PP_Grid[#Data],$DD1074,60),0)</f>
        <v/>
      </c>
      <c r="BK1074">
        <f>IFERROR(INDEX(PP_Grid[#Data],$DD1074,61),0)</f>
        <v/>
      </c>
      <c r="BL1074">
        <f>IFERROR(INDEX(PP_Grid[#Data],$DD1074,62),0)</f>
        <v/>
      </c>
      <c r="BM1074">
        <f>IFERROR(INDEX(PP_Grid[#Data],$DD1074,63),0)</f>
        <v/>
      </c>
      <c r="BN1074">
        <f>IFERROR(INDEX(PP_Grid[#Data],$DD1074,64),0)</f>
        <v/>
      </c>
      <c r="BO1074">
        <f>IFERROR(INDEX(PP_Grid[#Data],$DD1074,65),0)</f>
        <v/>
      </c>
      <c r="BP1074">
        <f>IFERROR(INDEX(PP_Grid[#Data],$DD1074,66),0)</f>
        <v/>
      </c>
      <c r="BQ1074">
        <f>IFERROR(INDEX(PP_Grid[#Data],$DD1074,67),0)</f>
        <v/>
      </c>
      <c r="BR1074">
        <f>IFERROR(INDEX(PP_Grid[#Data],$DD1074,68),0)</f>
        <v/>
      </c>
      <c r="BS1074">
        <f>IFERROR(INDEX(PP_Grid[#Data],$DD1074,69),0)</f>
        <v/>
      </c>
      <c r="BT1074">
        <f>IFERROR(INDEX(PP_Grid[#Data],$DD1074,70),0)</f>
        <v/>
      </c>
      <c r="BU1074">
        <f>IFERROR(INDEX(PP_Grid[#Data],$DD1074,71),0)</f>
        <v/>
      </c>
      <c r="BV1074">
        <f>IFERROR(INDEX(PP_Grid[#Data],$DD1074,72),0)</f>
        <v/>
      </c>
      <c r="BW1074">
        <f>IFERROR(INDEX(PP_Grid[#Data],$DD1074,73),0)</f>
        <v/>
      </c>
      <c r="BX1074">
        <f>IFERROR(INDEX(PP_Grid[#Data],$DD1074,74),0)</f>
        <v/>
      </c>
      <c r="BY1074">
        <f>IFERROR(INDEX(PP_Grid[#Data],$DD1074,75),0)</f>
        <v/>
      </c>
      <c r="BZ1074">
        <f>IFERROR(INDEX(PP_Grid[#Data],$DD1074,76),0)</f>
        <v/>
      </c>
      <c r="CA1074">
        <f>IFERROR(INDEX(PP_Grid[#Data],$DD1074,77),0)</f>
        <v/>
      </c>
      <c r="CB1074">
        <f>IFERROR(INDEX(PP_Grid[#Data],$DD1074,78),0)</f>
        <v/>
      </c>
      <c r="CC1074">
        <f>IFERROR(INDEX(PP_Grid[#Data],$DD1074,79),0)</f>
        <v/>
      </c>
      <c r="CD1074">
        <f>IFERROR(INDEX(PP_Grid[#Data],$DD1074,80),0)</f>
        <v/>
      </c>
      <c r="CE1074">
        <f>IFERROR(INDEX(PP_Grid[#Data],$DD1074,81),0)</f>
        <v/>
      </c>
      <c r="CF1074">
        <f>IFERROR(INDEX(PP_Grid[#Data],$DD1074,82),0)</f>
        <v/>
      </c>
      <c r="CG1074">
        <f>IFERROR(INDEX(PP_Grid[#Data],$DD1074,83),0)</f>
        <v/>
      </c>
      <c r="CH1074">
        <f>IFERROR(INDEX(PP_Grid[#Data],$DD1074,84),0)</f>
        <v/>
      </c>
      <c r="CI1074">
        <f>IFERROR(INDEX(PP_Grid[#Data],$DD1074,85),0)</f>
        <v/>
      </c>
      <c r="CJ1074">
        <f>IFERROR(INDEX(PP_Grid[#Data],$DD1074,86),0)</f>
        <v/>
      </c>
      <c r="CK1074">
        <f>IFERROR(INDEX(PP_Grid[#Data],$DD1074,87),0)</f>
        <v/>
      </c>
      <c r="CL1074">
        <f>IFERROR(INDEX(PP_Grid[#Data],$DD1074,88),0)</f>
        <v/>
      </c>
      <c r="CM1074">
        <f>IFERROR(INDEX(PP_Grid[#Data],$DD1074,89),0)</f>
        <v/>
      </c>
      <c r="CN1074">
        <f>IFERROR(INDEX(PP_Grid[#Data],$DD1074,90),0)</f>
        <v/>
      </c>
      <c r="CO1074">
        <f>IFERROR(INDEX(PP_Grid[#Data],$DD1074,91),0)</f>
        <v/>
      </c>
      <c r="CP1074">
        <f>IFERROR(INDEX(PP_Grid[#Data],$DD1074,92),0)</f>
        <v/>
      </c>
      <c r="CQ1074">
        <f>IFERROR(INDEX(PP_Grid[#Data],$DD1074,93),0)</f>
        <v/>
      </c>
      <c r="CR1074">
        <f>IFERROR(INDEX(PP_Grid[#Data],$DD1074,94),0)</f>
        <v/>
      </c>
      <c r="CS1074">
        <f>IFERROR(INDEX(PP_Grid[#Data],$DD1074,95),0)</f>
        <v/>
      </c>
      <c r="CT1074">
        <f>IFERROR(INDEX(PP_Grid[#Data],$DD1074,96),0)</f>
        <v/>
      </c>
      <c r="CU1074">
        <f>IFERROR(INDEX(PP_Grid[#Data],$DD1074,97),0)</f>
        <v/>
      </c>
      <c r="CV1074">
        <f>IFERROR(INDEX(PP_Grid[#Data],$DD1074,98),0)</f>
        <v/>
      </c>
      <c r="CW1074">
        <f>IFERROR(INDEX(PP_Grid[#Data],$DD1074,99),0)</f>
        <v/>
      </c>
      <c r="CX1074">
        <f>IFERROR(INDEX(PP_Grid[#Data],$DD1074,100),0)</f>
        <v/>
      </c>
      <c r="CY1074">
        <f>IFERROR(INDEX(PP_Grid[#Data],$DD1074,101),0)</f>
        <v/>
      </c>
      <c r="CZ1074">
        <f>IFERROR(INDEX(PP_Grid[#Data],$DD1074,102),0)</f>
        <v/>
      </c>
      <c r="DA1074">
        <f>IFERROR(INDEX(PP_Grid[#Data],$DD1074,103),0)</f>
        <v/>
      </c>
      <c r="DB1074">
        <f>IFERROR(INDEX(PP_Grid[#Data],$DD1074,104),0)</f>
        <v/>
      </c>
      <c r="DC1074">
        <f>IFERROR(INDEX(PP_Grid[#Data],$DD1074,105),0)</f>
        <v/>
      </c>
      <c r="DD1074" s="7">
        <f>IFERROR(MATCH($B1074,PP_Grid[Intermediate],0),99999)</f>
        <v/>
      </c>
    </row>
    <row r="1075">
      <c r="B1075" t="inlineStr">
        <is>
          <t>使用量(kg)</t>
        </is>
      </c>
      <c r="C1075">
        <f>SUMIFS(M_BOM[RM_Qty_Per_Batch],M_BOM[Intermediate],$B1074,M_BOM[Part Name],$A1069)</f>
        <v/>
      </c>
      <c r="D1075">
        <f>$C1075*D1074</f>
        <v/>
      </c>
      <c r="E1075">
        <f>$C1075*E1074</f>
        <v/>
      </c>
      <c r="F1075">
        <f>$C1075*F1074</f>
        <v/>
      </c>
      <c r="G1075">
        <f>$C1075*G1074</f>
        <v/>
      </c>
      <c r="H1075">
        <f>$C1075*H1074</f>
        <v/>
      </c>
      <c r="I1075">
        <f>$C1075*I1074</f>
        <v/>
      </c>
      <c r="J1075">
        <f>$C1075*J1074</f>
        <v/>
      </c>
      <c r="K1075">
        <f>$C1075*K1074</f>
        <v/>
      </c>
      <c r="L1075">
        <f>$C1075*L1074</f>
        <v/>
      </c>
      <c r="M1075">
        <f>$C1075*M1074</f>
        <v/>
      </c>
      <c r="N1075">
        <f>$C1075*N1074</f>
        <v/>
      </c>
      <c r="O1075">
        <f>$C1075*O1074</f>
        <v/>
      </c>
      <c r="P1075">
        <f>$C1075*P1074</f>
        <v/>
      </c>
      <c r="Q1075">
        <f>$C1075*Q1074</f>
        <v/>
      </c>
      <c r="R1075">
        <f>$C1075*R1074</f>
        <v/>
      </c>
      <c r="S1075">
        <f>$C1075*S1074</f>
        <v/>
      </c>
      <c r="T1075">
        <f>$C1075*T1074</f>
        <v/>
      </c>
      <c r="U1075">
        <f>$C1075*U1074</f>
        <v/>
      </c>
      <c r="V1075">
        <f>$C1075*V1074</f>
        <v/>
      </c>
      <c r="W1075">
        <f>$C1075*W1074</f>
        <v/>
      </c>
      <c r="X1075">
        <f>$C1075*X1074</f>
        <v/>
      </c>
      <c r="Y1075">
        <f>$C1075*Y1074</f>
        <v/>
      </c>
      <c r="Z1075">
        <f>$C1075*Z1074</f>
        <v/>
      </c>
      <c r="AA1075">
        <f>$C1075*AA1074</f>
        <v/>
      </c>
      <c r="AB1075">
        <f>$C1075*AB1074</f>
        <v/>
      </c>
      <c r="AC1075">
        <f>$C1075*AC1074</f>
        <v/>
      </c>
      <c r="AD1075">
        <f>$C1075*AD1074</f>
        <v/>
      </c>
      <c r="AE1075">
        <f>$C1075*AE1074</f>
        <v/>
      </c>
      <c r="AF1075">
        <f>$C1075*AF1074</f>
        <v/>
      </c>
      <c r="AG1075">
        <f>$C1075*AG1074</f>
        <v/>
      </c>
      <c r="AH1075">
        <f>$C1075*AH1074</f>
        <v/>
      </c>
      <c r="AI1075">
        <f>$C1075*AI1074</f>
        <v/>
      </c>
      <c r="AJ1075">
        <f>$C1075*AJ1074</f>
        <v/>
      </c>
      <c r="AK1075">
        <f>$C1075*AK1074</f>
        <v/>
      </c>
      <c r="AL1075">
        <f>$C1075*AL1074</f>
        <v/>
      </c>
      <c r="AM1075">
        <f>$C1075*AM1074</f>
        <v/>
      </c>
      <c r="AN1075">
        <f>$C1075*AN1074</f>
        <v/>
      </c>
      <c r="AO1075">
        <f>$C1075*AO1074</f>
        <v/>
      </c>
      <c r="AP1075">
        <f>$C1075*AP1074</f>
        <v/>
      </c>
      <c r="AQ1075">
        <f>$C1075*AQ1074</f>
        <v/>
      </c>
      <c r="AR1075">
        <f>$C1075*AR1074</f>
        <v/>
      </c>
      <c r="AS1075">
        <f>$C1075*AS1074</f>
        <v/>
      </c>
      <c r="AT1075">
        <f>$C1075*AT1074</f>
        <v/>
      </c>
      <c r="AU1075">
        <f>$C1075*AU1074</f>
        <v/>
      </c>
      <c r="AV1075">
        <f>$C1075*AV1074</f>
        <v/>
      </c>
      <c r="AW1075">
        <f>$C1075*AW1074</f>
        <v/>
      </c>
      <c r="AX1075">
        <f>$C1075*AX1074</f>
        <v/>
      </c>
      <c r="AY1075">
        <f>$C1075*AY1074</f>
        <v/>
      </c>
      <c r="AZ1075">
        <f>$C1075*AZ1074</f>
        <v/>
      </c>
      <c r="BA1075">
        <f>$C1075*BA1074</f>
        <v/>
      </c>
      <c r="BB1075">
        <f>$C1075*BB1074</f>
        <v/>
      </c>
      <c r="BC1075">
        <f>$C1075*BC1074</f>
        <v/>
      </c>
      <c r="BD1075">
        <f>$C1075*BD1074</f>
        <v/>
      </c>
      <c r="BE1075">
        <f>$C1075*BE1074</f>
        <v/>
      </c>
      <c r="BF1075">
        <f>$C1075*BF1074</f>
        <v/>
      </c>
      <c r="BG1075">
        <f>$C1075*BG1074</f>
        <v/>
      </c>
      <c r="BH1075">
        <f>$C1075*BH1074</f>
        <v/>
      </c>
      <c r="BI1075">
        <f>$C1075*BI1074</f>
        <v/>
      </c>
      <c r="BJ1075">
        <f>$C1075*BJ1074</f>
        <v/>
      </c>
      <c r="BK1075">
        <f>$C1075*BK1074</f>
        <v/>
      </c>
      <c r="BL1075">
        <f>$C1075*BL1074</f>
        <v/>
      </c>
      <c r="BM1075">
        <f>$C1075*BM1074</f>
        <v/>
      </c>
      <c r="BN1075">
        <f>$C1075*BN1074</f>
        <v/>
      </c>
      <c r="BO1075">
        <f>$C1075*BO1074</f>
        <v/>
      </c>
      <c r="BP1075">
        <f>$C1075*BP1074</f>
        <v/>
      </c>
      <c r="BQ1075">
        <f>$C1075*BQ1074</f>
        <v/>
      </c>
      <c r="BR1075">
        <f>$C1075*BR1074</f>
        <v/>
      </c>
      <c r="BS1075">
        <f>$C1075*BS1074</f>
        <v/>
      </c>
      <c r="BT1075">
        <f>$C1075*BT1074</f>
        <v/>
      </c>
      <c r="BU1075">
        <f>$C1075*BU1074</f>
        <v/>
      </c>
      <c r="BV1075">
        <f>$C1075*BV1074</f>
        <v/>
      </c>
      <c r="BW1075">
        <f>$C1075*BW1074</f>
        <v/>
      </c>
      <c r="BX1075">
        <f>$C1075*BX1074</f>
        <v/>
      </c>
      <c r="BY1075">
        <f>$C1075*BY1074</f>
        <v/>
      </c>
      <c r="BZ1075">
        <f>$C1075*BZ1074</f>
        <v/>
      </c>
      <c r="CA1075">
        <f>$C1075*CA1074</f>
        <v/>
      </c>
      <c r="CB1075">
        <f>$C1075*CB1074</f>
        <v/>
      </c>
      <c r="CC1075">
        <f>$C1075*CC1074</f>
        <v/>
      </c>
      <c r="CD1075">
        <f>$C1075*CD1074</f>
        <v/>
      </c>
      <c r="CE1075">
        <f>$C1075*CE1074</f>
        <v/>
      </c>
      <c r="CF1075">
        <f>$C1075*CF1074</f>
        <v/>
      </c>
      <c r="CG1075">
        <f>$C1075*CG1074</f>
        <v/>
      </c>
      <c r="CH1075">
        <f>$C1075*CH1074</f>
        <v/>
      </c>
      <c r="CI1075">
        <f>$C1075*CI1074</f>
        <v/>
      </c>
      <c r="CJ1075">
        <f>$C1075*CJ1074</f>
        <v/>
      </c>
      <c r="CK1075">
        <f>$C1075*CK1074</f>
        <v/>
      </c>
      <c r="CL1075">
        <f>$C1075*CL1074</f>
        <v/>
      </c>
      <c r="CM1075">
        <f>$C1075*CM1074</f>
        <v/>
      </c>
      <c r="CN1075">
        <f>$C1075*CN1074</f>
        <v/>
      </c>
      <c r="CO1075">
        <f>$C1075*CO1074</f>
        <v/>
      </c>
      <c r="CP1075">
        <f>$C1075*CP1074</f>
        <v/>
      </c>
      <c r="CQ1075">
        <f>$C1075*CQ1074</f>
        <v/>
      </c>
      <c r="CR1075">
        <f>$C1075*CR1074</f>
        <v/>
      </c>
      <c r="CS1075">
        <f>$C1075*CS1074</f>
        <v/>
      </c>
      <c r="CT1075">
        <f>$C1075*CT1074</f>
        <v/>
      </c>
      <c r="CU1075">
        <f>$C1075*CU1074</f>
        <v/>
      </c>
      <c r="CV1075">
        <f>$C1075*CV1074</f>
        <v/>
      </c>
      <c r="CW1075">
        <f>$C1075*CW1074</f>
        <v/>
      </c>
      <c r="CX1075">
        <f>$C1075*CX1074</f>
        <v/>
      </c>
      <c r="CY1075">
        <f>$C1075*CY1074</f>
        <v/>
      </c>
      <c r="CZ1075">
        <f>$C1075*CZ1074</f>
        <v/>
      </c>
      <c r="DA1075">
        <f>$C1075*DA1074</f>
        <v/>
      </c>
      <c r="DB1075">
        <f>$C1075*DB1074</f>
        <v/>
      </c>
      <c r="DC1075">
        <f>$C1075*DC1074</f>
        <v/>
      </c>
    </row>
    <row r="1076">
      <c r="B1076" s="4" t="inlineStr">
        <is>
          <t>合計使用量(kg)/週</t>
        </is>
      </c>
      <c r="D1076">
        <f>'Grid_Requirement'!B28</f>
        <v/>
      </c>
      <c r="E1076">
        <f>'Grid_Requirement'!C28</f>
        <v/>
      </c>
      <c r="F1076">
        <f>'Grid_Requirement'!D28</f>
        <v/>
      </c>
      <c r="G1076">
        <f>'Grid_Requirement'!E28</f>
        <v/>
      </c>
      <c r="H1076">
        <f>'Grid_Requirement'!F28</f>
        <v/>
      </c>
      <c r="I1076">
        <f>'Grid_Requirement'!G28</f>
        <v/>
      </c>
      <c r="J1076">
        <f>'Grid_Requirement'!H28</f>
        <v/>
      </c>
      <c r="K1076">
        <f>'Grid_Requirement'!I28</f>
        <v/>
      </c>
      <c r="L1076">
        <f>'Grid_Requirement'!J28</f>
        <v/>
      </c>
      <c r="M1076">
        <f>'Grid_Requirement'!K28</f>
        <v/>
      </c>
      <c r="N1076">
        <f>'Grid_Requirement'!L28</f>
        <v/>
      </c>
      <c r="O1076">
        <f>'Grid_Requirement'!M28</f>
        <v/>
      </c>
      <c r="P1076">
        <f>'Grid_Requirement'!N28</f>
        <v/>
      </c>
      <c r="Q1076">
        <f>'Grid_Requirement'!O28</f>
        <v/>
      </c>
      <c r="R1076">
        <f>'Grid_Requirement'!P28</f>
        <v/>
      </c>
      <c r="S1076">
        <f>'Grid_Requirement'!Q28</f>
        <v/>
      </c>
      <c r="T1076">
        <f>'Grid_Requirement'!R28</f>
        <v/>
      </c>
      <c r="U1076">
        <f>'Grid_Requirement'!S28</f>
        <v/>
      </c>
      <c r="V1076">
        <f>'Grid_Requirement'!T28</f>
        <v/>
      </c>
      <c r="W1076">
        <f>'Grid_Requirement'!U28</f>
        <v/>
      </c>
      <c r="X1076">
        <f>'Grid_Requirement'!V28</f>
        <v/>
      </c>
      <c r="Y1076">
        <f>'Grid_Requirement'!W28</f>
        <v/>
      </c>
      <c r="Z1076">
        <f>'Grid_Requirement'!X28</f>
        <v/>
      </c>
      <c r="AA1076">
        <f>'Grid_Requirement'!Y28</f>
        <v/>
      </c>
      <c r="AB1076">
        <f>'Grid_Requirement'!Z28</f>
        <v/>
      </c>
      <c r="AC1076">
        <f>'Grid_Requirement'!AA28</f>
        <v/>
      </c>
      <c r="AD1076">
        <f>'Grid_Requirement'!AB28</f>
        <v/>
      </c>
      <c r="AE1076">
        <f>'Grid_Requirement'!AC28</f>
        <v/>
      </c>
      <c r="AF1076">
        <f>'Grid_Requirement'!AD28</f>
        <v/>
      </c>
      <c r="AG1076">
        <f>'Grid_Requirement'!AE28</f>
        <v/>
      </c>
      <c r="AH1076">
        <f>'Grid_Requirement'!AF28</f>
        <v/>
      </c>
      <c r="AI1076">
        <f>'Grid_Requirement'!AG28</f>
        <v/>
      </c>
      <c r="AJ1076">
        <f>'Grid_Requirement'!AH28</f>
        <v/>
      </c>
      <c r="AK1076">
        <f>'Grid_Requirement'!AI28</f>
        <v/>
      </c>
      <c r="AL1076">
        <f>'Grid_Requirement'!AJ28</f>
        <v/>
      </c>
      <c r="AM1076">
        <f>'Grid_Requirement'!AK28</f>
        <v/>
      </c>
      <c r="AN1076">
        <f>'Grid_Requirement'!AL28</f>
        <v/>
      </c>
      <c r="AO1076">
        <f>'Grid_Requirement'!AM28</f>
        <v/>
      </c>
      <c r="AP1076">
        <f>'Grid_Requirement'!AN28</f>
        <v/>
      </c>
      <c r="AQ1076">
        <f>'Grid_Requirement'!AO28</f>
        <v/>
      </c>
      <c r="AR1076">
        <f>'Grid_Requirement'!AP28</f>
        <v/>
      </c>
      <c r="AS1076">
        <f>'Grid_Requirement'!AQ28</f>
        <v/>
      </c>
      <c r="AT1076">
        <f>'Grid_Requirement'!AR28</f>
        <v/>
      </c>
      <c r="AU1076">
        <f>'Grid_Requirement'!AS28</f>
        <v/>
      </c>
      <c r="AV1076">
        <f>'Grid_Requirement'!AT28</f>
        <v/>
      </c>
      <c r="AW1076">
        <f>'Grid_Requirement'!AU28</f>
        <v/>
      </c>
      <c r="AX1076">
        <f>'Grid_Requirement'!AV28</f>
        <v/>
      </c>
      <c r="AY1076">
        <f>'Grid_Requirement'!AW28</f>
        <v/>
      </c>
      <c r="AZ1076">
        <f>'Grid_Requirement'!AX28</f>
        <v/>
      </c>
      <c r="BA1076">
        <f>'Grid_Requirement'!AY28</f>
        <v/>
      </c>
      <c r="BB1076">
        <f>'Grid_Requirement'!AZ28</f>
        <v/>
      </c>
      <c r="BC1076">
        <f>'Grid_Requirement'!BA28</f>
        <v/>
      </c>
      <c r="BD1076">
        <f>'Grid_Requirement'!BB28</f>
        <v/>
      </c>
      <c r="BE1076">
        <f>'Grid_Requirement'!BC28</f>
        <v/>
      </c>
      <c r="BF1076">
        <f>'Grid_Requirement'!BD28</f>
        <v/>
      </c>
      <c r="BG1076">
        <f>'Grid_Requirement'!BE28</f>
        <v/>
      </c>
      <c r="BH1076">
        <f>'Grid_Requirement'!BF28</f>
        <v/>
      </c>
      <c r="BI1076">
        <f>'Grid_Requirement'!BG28</f>
        <v/>
      </c>
      <c r="BJ1076">
        <f>'Grid_Requirement'!BH28</f>
        <v/>
      </c>
      <c r="BK1076">
        <f>'Grid_Requirement'!BI28</f>
        <v/>
      </c>
      <c r="BL1076">
        <f>'Grid_Requirement'!BJ28</f>
        <v/>
      </c>
      <c r="BM1076">
        <f>'Grid_Requirement'!BK28</f>
        <v/>
      </c>
      <c r="BN1076">
        <f>'Grid_Requirement'!BL28</f>
        <v/>
      </c>
      <c r="BO1076">
        <f>'Grid_Requirement'!BM28</f>
        <v/>
      </c>
      <c r="BP1076">
        <f>'Grid_Requirement'!BN28</f>
        <v/>
      </c>
      <c r="BQ1076">
        <f>'Grid_Requirement'!BO28</f>
        <v/>
      </c>
      <c r="BR1076">
        <f>'Grid_Requirement'!BP28</f>
        <v/>
      </c>
      <c r="BS1076">
        <f>'Grid_Requirement'!BQ28</f>
        <v/>
      </c>
      <c r="BT1076">
        <f>'Grid_Requirement'!BR28</f>
        <v/>
      </c>
      <c r="BU1076">
        <f>'Grid_Requirement'!BS28</f>
        <v/>
      </c>
      <c r="BV1076">
        <f>'Grid_Requirement'!BT28</f>
        <v/>
      </c>
      <c r="BW1076">
        <f>'Grid_Requirement'!BU28</f>
        <v/>
      </c>
      <c r="BX1076">
        <f>'Grid_Requirement'!BV28</f>
        <v/>
      </c>
      <c r="BY1076">
        <f>'Grid_Requirement'!BW28</f>
        <v/>
      </c>
      <c r="BZ1076">
        <f>'Grid_Requirement'!BX28</f>
        <v/>
      </c>
      <c r="CA1076">
        <f>'Grid_Requirement'!BY28</f>
        <v/>
      </c>
      <c r="CB1076">
        <f>'Grid_Requirement'!BZ28</f>
        <v/>
      </c>
      <c r="CC1076">
        <f>'Grid_Requirement'!CA28</f>
        <v/>
      </c>
      <c r="CD1076">
        <f>'Grid_Requirement'!CB28</f>
        <v/>
      </c>
      <c r="CE1076">
        <f>'Grid_Requirement'!CC28</f>
        <v/>
      </c>
      <c r="CF1076">
        <f>'Grid_Requirement'!CD28</f>
        <v/>
      </c>
      <c r="CG1076">
        <f>'Grid_Requirement'!CE28</f>
        <v/>
      </c>
      <c r="CH1076">
        <f>'Grid_Requirement'!CF28</f>
        <v/>
      </c>
      <c r="CI1076">
        <f>'Grid_Requirement'!CG28</f>
        <v/>
      </c>
      <c r="CJ1076">
        <f>'Grid_Requirement'!CH28</f>
        <v/>
      </c>
      <c r="CK1076">
        <f>'Grid_Requirement'!CI28</f>
        <v/>
      </c>
      <c r="CL1076">
        <f>'Grid_Requirement'!CJ28</f>
        <v/>
      </c>
      <c r="CM1076">
        <f>'Grid_Requirement'!CK28</f>
        <v/>
      </c>
      <c r="CN1076">
        <f>'Grid_Requirement'!CL28</f>
        <v/>
      </c>
      <c r="CO1076">
        <f>'Grid_Requirement'!CM28</f>
        <v/>
      </c>
      <c r="CP1076">
        <f>'Grid_Requirement'!CN28</f>
        <v/>
      </c>
      <c r="CQ1076">
        <f>'Grid_Requirement'!CO28</f>
        <v/>
      </c>
      <c r="CR1076">
        <f>'Grid_Requirement'!CP28</f>
        <v/>
      </c>
      <c r="CS1076">
        <f>'Grid_Requirement'!CQ28</f>
        <v/>
      </c>
      <c r="CT1076">
        <f>'Grid_Requirement'!CR28</f>
        <v/>
      </c>
      <c r="CU1076">
        <f>'Grid_Requirement'!CS28</f>
        <v/>
      </c>
      <c r="CV1076">
        <f>'Grid_Requirement'!CT28</f>
        <v/>
      </c>
      <c r="CW1076">
        <f>'Grid_Requirement'!CU28</f>
        <v/>
      </c>
      <c r="CX1076">
        <f>'Grid_Requirement'!CV28</f>
        <v/>
      </c>
      <c r="CY1076">
        <f>'Grid_Requirement'!CW28</f>
        <v/>
      </c>
      <c r="CZ1076">
        <f>'Grid_Requirement'!CX28</f>
        <v/>
      </c>
      <c r="DA1076">
        <f>'Grid_Requirement'!CY28</f>
        <v/>
      </c>
      <c r="DB1076">
        <f>'Grid_Requirement'!CZ28</f>
        <v/>
      </c>
      <c r="DC1076">
        <f>'Grid_Requirement'!DA28</f>
        <v/>
      </c>
    </row>
    <row r="1077">
      <c r="B1077" t="inlineStr">
        <is>
          <t>TTAF在庫(実績,kg)</t>
        </is>
      </c>
      <c r="D1077">
        <f>'T_TTAFStock'!B32</f>
        <v/>
      </c>
      <c r="E1077">
        <f>'T_TTAFStock'!C32</f>
        <v/>
      </c>
      <c r="F1077">
        <f>'T_TTAFStock'!D32</f>
        <v/>
      </c>
      <c r="G1077">
        <f>'T_TTAFStock'!E32</f>
        <v/>
      </c>
      <c r="H1077">
        <f>'T_TTAFStock'!F32</f>
        <v/>
      </c>
      <c r="I1077">
        <f>'T_TTAFStock'!G32</f>
        <v/>
      </c>
      <c r="J1077">
        <f>'T_TTAFStock'!H32</f>
        <v/>
      </c>
      <c r="K1077">
        <f>'T_TTAFStock'!I32</f>
        <v/>
      </c>
      <c r="L1077">
        <f>'T_TTAFStock'!J32</f>
        <v/>
      </c>
      <c r="M1077">
        <f>'T_TTAFStock'!K32</f>
        <v/>
      </c>
      <c r="N1077">
        <f>'T_TTAFStock'!L32</f>
        <v/>
      </c>
      <c r="O1077">
        <f>'T_TTAFStock'!M32</f>
        <v/>
      </c>
      <c r="P1077">
        <f>'T_TTAFStock'!N32</f>
        <v/>
      </c>
      <c r="Q1077">
        <f>'T_TTAFStock'!O32</f>
        <v/>
      </c>
      <c r="R1077">
        <f>'T_TTAFStock'!P32</f>
        <v/>
      </c>
      <c r="S1077">
        <f>'T_TTAFStock'!Q32</f>
        <v/>
      </c>
      <c r="T1077">
        <f>'T_TTAFStock'!R32</f>
        <v/>
      </c>
      <c r="U1077">
        <f>'T_TTAFStock'!S32</f>
        <v/>
      </c>
      <c r="V1077">
        <f>'T_TTAFStock'!T32</f>
        <v/>
      </c>
      <c r="W1077">
        <f>'T_TTAFStock'!U32</f>
        <v/>
      </c>
      <c r="X1077">
        <f>'T_TTAFStock'!V32</f>
        <v/>
      </c>
      <c r="Y1077">
        <f>'T_TTAFStock'!W32</f>
        <v/>
      </c>
      <c r="Z1077">
        <f>'T_TTAFStock'!X32</f>
        <v/>
      </c>
      <c r="AA1077">
        <f>'T_TTAFStock'!Y32</f>
        <v/>
      </c>
      <c r="AB1077">
        <f>'T_TTAFStock'!Z32</f>
        <v/>
      </c>
      <c r="AC1077">
        <f>'T_TTAFStock'!AA32</f>
        <v/>
      </c>
      <c r="AD1077">
        <f>'T_TTAFStock'!AB32</f>
        <v/>
      </c>
      <c r="AE1077">
        <f>'T_TTAFStock'!AC32</f>
        <v/>
      </c>
      <c r="AF1077">
        <f>'T_TTAFStock'!AD32</f>
        <v/>
      </c>
      <c r="AG1077">
        <f>'T_TTAFStock'!AE32</f>
        <v/>
      </c>
      <c r="AH1077">
        <f>'T_TTAFStock'!AF32</f>
        <v/>
      </c>
      <c r="AI1077">
        <f>'T_TTAFStock'!AG32</f>
        <v/>
      </c>
      <c r="AJ1077">
        <f>'T_TTAFStock'!AH32</f>
        <v/>
      </c>
      <c r="AK1077">
        <f>'T_TTAFStock'!AI32</f>
        <v/>
      </c>
      <c r="AL1077">
        <f>'T_TTAFStock'!AJ32</f>
        <v/>
      </c>
      <c r="AM1077">
        <f>'T_TTAFStock'!AK32</f>
        <v/>
      </c>
      <c r="AN1077">
        <f>'T_TTAFStock'!AL32</f>
        <v/>
      </c>
      <c r="AO1077">
        <f>'T_TTAFStock'!AM32</f>
        <v/>
      </c>
      <c r="AP1077">
        <f>'T_TTAFStock'!AN32</f>
        <v/>
      </c>
      <c r="AQ1077">
        <f>'T_TTAFStock'!AO32</f>
        <v/>
      </c>
      <c r="AR1077">
        <f>'T_TTAFStock'!AP32</f>
        <v/>
      </c>
      <c r="AS1077">
        <f>'T_TTAFStock'!AQ32</f>
        <v/>
      </c>
      <c r="AT1077">
        <f>'T_TTAFStock'!AR32</f>
        <v/>
      </c>
      <c r="AU1077">
        <f>'T_TTAFStock'!AS32</f>
        <v/>
      </c>
      <c r="AV1077">
        <f>'T_TTAFStock'!AT32</f>
        <v/>
      </c>
      <c r="AW1077">
        <f>'T_TTAFStock'!AU32</f>
        <v/>
      </c>
      <c r="AX1077">
        <f>'T_TTAFStock'!AV32</f>
        <v/>
      </c>
      <c r="AY1077">
        <f>'T_TTAFStock'!AW32</f>
        <v/>
      </c>
      <c r="AZ1077">
        <f>'T_TTAFStock'!AX32</f>
        <v/>
      </c>
      <c r="BA1077">
        <f>'T_TTAFStock'!AY32</f>
        <v/>
      </c>
      <c r="BB1077">
        <f>'T_TTAFStock'!AZ32</f>
        <v/>
      </c>
      <c r="BC1077">
        <f>'T_TTAFStock'!BA32</f>
        <v/>
      </c>
      <c r="BD1077">
        <f>'T_TTAFStock'!BB32</f>
        <v/>
      </c>
      <c r="BE1077">
        <f>'T_TTAFStock'!BC32</f>
        <v/>
      </c>
      <c r="BF1077">
        <f>'T_TTAFStock'!BD32</f>
        <v/>
      </c>
      <c r="BG1077">
        <f>'T_TTAFStock'!BE32</f>
        <v/>
      </c>
      <c r="BH1077">
        <f>'T_TTAFStock'!BF32</f>
        <v/>
      </c>
      <c r="BI1077">
        <f>'T_TTAFStock'!BG32</f>
        <v/>
      </c>
      <c r="BJ1077">
        <f>'T_TTAFStock'!BH32</f>
        <v/>
      </c>
      <c r="BK1077">
        <f>'T_TTAFStock'!BI32</f>
        <v/>
      </c>
      <c r="BL1077">
        <f>'T_TTAFStock'!BJ32</f>
        <v/>
      </c>
      <c r="BM1077">
        <f>'T_TTAFStock'!BK32</f>
        <v/>
      </c>
      <c r="BN1077">
        <f>'T_TTAFStock'!BL32</f>
        <v/>
      </c>
      <c r="BO1077">
        <f>'T_TTAFStock'!BM32</f>
        <v/>
      </c>
      <c r="BP1077">
        <f>'T_TTAFStock'!BN32</f>
        <v/>
      </c>
      <c r="BQ1077">
        <f>'T_TTAFStock'!BO32</f>
        <v/>
      </c>
      <c r="BR1077">
        <f>'T_TTAFStock'!BP32</f>
        <v/>
      </c>
      <c r="BS1077">
        <f>'T_TTAFStock'!BQ32</f>
        <v/>
      </c>
      <c r="BT1077">
        <f>'T_TTAFStock'!BR32</f>
        <v/>
      </c>
      <c r="BU1077">
        <f>'T_TTAFStock'!BS32</f>
        <v/>
      </c>
      <c r="BV1077">
        <f>'T_TTAFStock'!BT32</f>
        <v/>
      </c>
      <c r="BW1077">
        <f>'T_TTAFStock'!BU32</f>
        <v/>
      </c>
      <c r="BX1077">
        <f>'T_TTAFStock'!BV32</f>
        <v/>
      </c>
      <c r="BY1077">
        <f>'T_TTAFStock'!BW32</f>
        <v/>
      </c>
      <c r="BZ1077">
        <f>'T_TTAFStock'!BX32</f>
        <v/>
      </c>
      <c r="CA1077">
        <f>'T_TTAFStock'!BY32</f>
        <v/>
      </c>
      <c r="CB1077">
        <f>'T_TTAFStock'!BZ32</f>
        <v/>
      </c>
      <c r="CC1077">
        <f>'T_TTAFStock'!CA32</f>
        <v/>
      </c>
      <c r="CD1077">
        <f>'T_TTAFStock'!CB32</f>
        <v/>
      </c>
      <c r="CE1077">
        <f>'T_TTAFStock'!CC32</f>
        <v/>
      </c>
      <c r="CF1077">
        <f>'T_TTAFStock'!CD32</f>
        <v/>
      </c>
      <c r="CG1077">
        <f>'T_TTAFStock'!CE32</f>
        <v/>
      </c>
      <c r="CH1077">
        <f>'T_TTAFStock'!CF32</f>
        <v/>
      </c>
      <c r="CI1077">
        <f>'T_TTAFStock'!CG32</f>
        <v/>
      </c>
      <c r="CJ1077">
        <f>'T_TTAFStock'!CH32</f>
        <v/>
      </c>
      <c r="CK1077">
        <f>'T_TTAFStock'!CI32</f>
        <v/>
      </c>
      <c r="CL1077">
        <f>'T_TTAFStock'!CJ32</f>
        <v/>
      </c>
      <c r="CM1077">
        <f>'T_TTAFStock'!CK32</f>
        <v/>
      </c>
      <c r="CN1077">
        <f>'T_TTAFStock'!CL32</f>
        <v/>
      </c>
      <c r="CO1077">
        <f>'T_TTAFStock'!CM32</f>
        <v/>
      </c>
      <c r="CP1077">
        <f>'T_TTAFStock'!CN32</f>
        <v/>
      </c>
      <c r="CQ1077">
        <f>'T_TTAFStock'!CO32</f>
        <v/>
      </c>
      <c r="CR1077">
        <f>'T_TTAFStock'!CP32</f>
        <v/>
      </c>
      <c r="CS1077">
        <f>'T_TTAFStock'!CQ32</f>
        <v/>
      </c>
      <c r="CT1077">
        <f>'T_TTAFStock'!CR32</f>
        <v/>
      </c>
      <c r="CU1077">
        <f>'T_TTAFStock'!CS32</f>
        <v/>
      </c>
      <c r="CV1077">
        <f>'T_TTAFStock'!CT32</f>
        <v/>
      </c>
      <c r="CW1077">
        <f>'T_TTAFStock'!CU32</f>
        <v/>
      </c>
      <c r="CX1077">
        <f>'T_TTAFStock'!CV32</f>
        <v/>
      </c>
      <c r="CY1077">
        <f>'T_TTAFStock'!CW32</f>
        <v/>
      </c>
      <c r="CZ1077">
        <f>'T_TTAFStock'!CX32</f>
        <v/>
      </c>
      <c r="DA1077">
        <f>'T_TTAFStock'!CY32</f>
        <v/>
      </c>
      <c r="DB1077">
        <f>'T_TTAFStock'!CZ32</f>
        <v/>
      </c>
      <c r="DC1077">
        <f>'T_TTAFStock'!DA32</f>
        <v/>
      </c>
    </row>
    <row r="1078">
      <c r="B1078" t="inlineStr">
        <is>
          <t>自社在庫(実績,kg)</t>
        </is>
      </c>
      <c r="D1078">
        <f>'T_SelfStock'!B32</f>
        <v/>
      </c>
      <c r="E1078">
        <f>'T_SelfStock'!C32</f>
        <v/>
      </c>
      <c r="F1078">
        <f>'T_SelfStock'!D32</f>
        <v/>
      </c>
      <c r="G1078">
        <f>'T_SelfStock'!E32</f>
        <v/>
      </c>
      <c r="H1078">
        <f>'T_SelfStock'!F32</f>
        <v/>
      </c>
      <c r="I1078">
        <f>'T_SelfStock'!G32</f>
        <v/>
      </c>
      <c r="J1078">
        <f>'T_SelfStock'!H32</f>
        <v/>
      </c>
      <c r="K1078">
        <f>'T_SelfStock'!I32</f>
        <v/>
      </c>
      <c r="L1078">
        <f>'T_SelfStock'!J32</f>
        <v/>
      </c>
      <c r="M1078">
        <f>'T_SelfStock'!K32</f>
        <v/>
      </c>
      <c r="N1078">
        <f>'T_SelfStock'!L32</f>
        <v/>
      </c>
      <c r="O1078">
        <f>'T_SelfStock'!M32</f>
        <v/>
      </c>
      <c r="P1078">
        <f>'T_SelfStock'!N32</f>
        <v/>
      </c>
      <c r="Q1078">
        <f>'T_SelfStock'!O32</f>
        <v/>
      </c>
      <c r="R1078">
        <f>'T_SelfStock'!P32</f>
        <v/>
      </c>
      <c r="S1078">
        <f>'T_SelfStock'!Q32</f>
        <v/>
      </c>
      <c r="T1078">
        <f>'T_SelfStock'!R32</f>
        <v/>
      </c>
      <c r="U1078">
        <f>'T_SelfStock'!S32</f>
        <v/>
      </c>
      <c r="V1078">
        <f>'T_SelfStock'!T32</f>
        <v/>
      </c>
      <c r="W1078">
        <f>'T_SelfStock'!U32</f>
        <v/>
      </c>
      <c r="X1078">
        <f>'T_SelfStock'!V32</f>
        <v/>
      </c>
      <c r="Y1078">
        <f>'T_SelfStock'!W32</f>
        <v/>
      </c>
      <c r="Z1078">
        <f>'T_SelfStock'!X32</f>
        <v/>
      </c>
      <c r="AA1078">
        <f>'T_SelfStock'!Y32</f>
        <v/>
      </c>
      <c r="AB1078">
        <f>'T_SelfStock'!Z32</f>
        <v/>
      </c>
      <c r="AC1078">
        <f>'T_SelfStock'!AA32</f>
        <v/>
      </c>
      <c r="AD1078">
        <f>'T_SelfStock'!AB32</f>
        <v/>
      </c>
      <c r="AE1078">
        <f>'T_SelfStock'!AC32</f>
        <v/>
      </c>
      <c r="AF1078">
        <f>'T_SelfStock'!AD32</f>
        <v/>
      </c>
      <c r="AG1078">
        <f>'T_SelfStock'!AE32</f>
        <v/>
      </c>
      <c r="AH1078">
        <f>'T_SelfStock'!AF32</f>
        <v/>
      </c>
      <c r="AI1078">
        <f>'T_SelfStock'!AG32</f>
        <v/>
      </c>
      <c r="AJ1078">
        <f>'T_SelfStock'!AH32</f>
        <v/>
      </c>
      <c r="AK1078">
        <f>'T_SelfStock'!AI32</f>
        <v/>
      </c>
      <c r="AL1078">
        <f>'T_SelfStock'!AJ32</f>
        <v/>
      </c>
      <c r="AM1078">
        <f>'T_SelfStock'!AK32</f>
        <v/>
      </c>
      <c r="AN1078">
        <f>'T_SelfStock'!AL32</f>
        <v/>
      </c>
      <c r="AO1078">
        <f>'T_SelfStock'!AM32</f>
        <v/>
      </c>
      <c r="AP1078">
        <f>'T_SelfStock'!AN32</f>
        <v/>
      </c>
      <c r="AQ1078">
        <f>'T_SelfStock'!AO32</f>
        <v/>
      </c>
      <c r="AR1078">
        <f>'T_SelfStock'!AP32</f>
        <v/>
      </c>
      <c r="AS1078">
        <f>'T_SelfStock'!AQ32</f>
        <v/>
      </c>
      <c r="AT1078">
        <f>'T_SelfStock'!AR32</f>
        <v/>
      </c>
      <c r="AU1078">
        <f>'T_SelfStock'!AS32</f>
        <v/>
      </c>
      <c r="AV1078">
        <f>'T_SelfStock'!AT32</f>
        <v/>
      </c>
      <c r="AW1078">
        <f>'T_SelfStock'!AU32</f>
        <v/>
      </c>
      <c r="AX1078">
        <f>'T_SelfStock'!AV32</f>
        <v/>
      </c>
      <c r="AY1078">
        <f>'T_SelfStock'!AW32</f>
        <v/>
      </c>
      <c r="AZ1078">
        <f>'T_SelfStock'!AX32</f>
        <v/>
      </c>
      <c r="BA1078">
        <f>'T_SelfStock'!AY32</f>
        <v/>
      </c>
      <c r="BB1078">
        <f>'T_SelfStock'!AZ32</f>
        <v/>
      </c>
      <c r="BC1078">
        <f>'T_SelfStock'!BA32</f>
        <v/>
      </c>
      <c r="BD1078">
        <f>'T_SelfStock'!BB32</f>
        <v/>
      </c>
      <c r="BE1078">
        <f>'T_SelfStock'!BC32</f>
        <v/>
      </c>
      <c r="BF1078">
        <f>'T_SelfStock'!BD32</f>
        <v/>
      </c>
      <c r="BG1078">
        <f>'T_SelfStock'!BE32</f>
        <v/>
      </c>
      <c r="BH1078">
        <f>'T_SelfStock'!BF32</f>
        <v/>
      </c>
      <c r="BI1078">
        <f>'T_SelfStock'!BG32</f>
        <v/>
      </c>
      <c r="BJ1078">
        <f>'T_SelfStock'!BH32</f>
        <v/>
      </c>
      <c r="BK1078">
        <f>'T_SelfStock'!BI32</f>
        <v/>
      </c>
      <c r="BL1078">
        <f>'T_SelfStock'!BJ32</f>
        <v/>
      </c>
      <c r="BM1078">
        <f>'T_SelfStock'!BK32</f>
        <v/>
      </c>
      <c r="BN1078">
        <f>'T_SelfStock'!BL32</f>
        <v/>
      </c>
      <c r="BO1078">
        <f>'T_SelfStock'!BM32</f>
        <v/>
      </c>
      <c r="BP1078">
        <f>'T_SelfStock'!BN32</f>
        <v/>
      </c>
      <c r="BQ1078">
        <f>'T_SelfStock'!BO32</f>
        <v/>
      </c>
      <c r="BR1078">
        <f>'T_SelfStock'!BP32</f>
        <v/>
      </c>
      <c r="BS1078">
        <f>'T_SelfStock'!BQ32</f>
        <v/>
      </c>
      <c r="BT1078">
        <f>'T_SelfStock'!BR32</f>
        <v/>
      </c>
      <c r="BU1078">
        <f>'T_SelfStock'!BS32</f>
        <v/>
      </c>
      <c r="BV1078">
        <f>'T_SelfStock'!BT32</f>
        <v/>
      </c>
      <c r="BW1078">
        <f>'T_SelfStock'!BU32</f>
        <v/>
      </c>
      <c r="BX1078">
        <f>'T_SelfStock'!BV32</f>
        <v/>
      </c>
      <c r="BY1078">
        <f>'T_SelfStock'!BW32</f>
        <v/>
      </c>
      <c r="BZ1078">
        <f>'T_SelfStock'!BX32</f>
        <v/>
      </c>
      <c r="CA1078">
        <f>'T_SelfStock'!BY32</f>
        <v/>
      </c>
      <c r="CB1078">
        <f>'T_SelfStock'!BZ32</f>
        <v/>
      </c>
      <c r="CC1078">
        <f>'T_SelfStock'!CA32</f>
        <v/>
      </c>
      <c r="CD1078">
        <f>'T_SelfStock'!CB32</f>
        <v/>
      </c>
      <c r="CE1078">
        <f>'T_SelfStock'!CC32</f>
        <v/>
      </c>
      <c r="CF1078">
        <f>'T_SelfStock'!CD32</f>
        <v/>
      </c>
      <c r="CG1078">
        <f>'T_SelfStock'!CE32</f>
        <v/>
      </c>
      <c r="CH1078">
        <f>'T_SelfStock'!CF32</f>
        <v/>
      </c>
      <c r="CI1078">
        <f>'T_SelfStock'!CG32</f>
        <v/>
      </c>
      <c r="CJ1078">
        <f>'T_SelfStock'!CH32</f>
        <v/>
      </c>
      <c r="CK1078">
        <f>'T_SelfStock'!CI32</f>
        <v/>
      </c>
      <c r="CL1078">
        <f>'T_SelfStock'!CJ32</f>
        <v/>
      </c>
      <c r="CM1078">
        <f>'T_SelfStock'!CK32</f>
        <v/>
      </c>
      <c r="CN1078">
        <f>'T_SelfStock'!CL32</f>
        <v/>
      </c>
      <c r="CO1078">
        <f>'T_SelfStock'!CM32</f>
        <v/>
      </c>
      <c r="CP1078">
        <f>'T_SelfStock'!CN32</f>
        <v/>
      </c>
      <c r="CQ1078">
        <f>'T_SelfStock'!CO32</f>
        <v/>
      </c>
      <c r="CR1078">
        <f>'T_SelfStock'!CP32</f>
        <v/>
      </c>
      <c r="CS1078">
        <f>'T_SelfStock'!CQ32</f>
        <v/>
      </c>
      <c r="CT1078">
        <f>'T_SelfStock'!CR32</f>
        <v/>
      </c>
      <c r="CU1078">
        <f>'T_SelfStock'!CS32</f>
        <v/>
      </c>
      <c r="CV1078">
        <f>'T_SelfStock'!CT32</f>
        <v/>
      </c>
      <c r="CW1078">
        <f>'T_SelfStock'!CU32</f>
        <v/>
      </c>
      <c r="CX1078">
        <f>'T_SelfStock'!CV32</f>
        <v/>
      </c>
      <c r="CY1078">
        <f>'T_SelfStock'!CW32</f>
        <v/>
      </c>
      <c r="CZ1078">
        <f>'T_SelfStock'!CX32</f>
        <v/>
      </c>
      <c r="DA1078">
        <f>'T_SelfStock'!CY32</f>
        <v/>
      </c>
      <c r="DB1078">
        <f>'T_SelfStock'!CZ32</f>
        <v/>
      </c>
      <c r="DC1078">
        <f>'T_SelfStock'!DA32</f>
        <v/>
      </c>
    </row>
    <row r="1079">
      <c r="B1079" s="4" t="inlineStr">
        <is>
          <t>合計在庫(週末時点,kg)</t>
        </is>
      </c>
      <c r="D1079">
        <f>'Grid_Stock'!B28</f>
        <v/>
      </c>
      <c r="E1079">
        <f>'Grid_Stock'!C28</f>
        <v/>
      </c>
      <c r="F1079">
        <f>'Grid_Stock'!D28</f>
        <v/>
      </c>
      <c r="G1079">
        <f>'Grid_Stock'!E28</f>
        <v/>
      </c>
      <c r="H1079">
        <f>'Grid_Stock'!F28</f>
        <v/>
      </c>
      <c r="I1079">
        <f>'Grid_Stock'!G28</f>
        <v/>
      </c>
      <c r="J1079">
        <f>'Grid_Stock'!H28</f>
        <v/>
      </c>
      <c r="K1079">
        <f>'Grid_Stock'!I28</f>
        <v/>
      </c>
      <c r="L1079">
        <f>'Grid_Stock'!J28</f>
        <v/>
      </c>
      <c r="M1079">
        <f>'Grid_Stock'!K28</f>
        <v/>
      </c>
      <c r="N1079">
        <f>'Grid_Stock'!L28</f>
        <v/>
      </c>
      <c r="O1079">
        <f>'Grid_Stock'!M28</f>
        <v/>
      </c>
      <c r="P1079">
        <f>'Grid_Stock'!N28</f>
        <v/>
      </c>
      <c r="Q1079">
        <f>'Grid_Stock'!O28</f>
        <v/>
      </c>
      <c r="R1079">
        <f>'Grid_Stock'!P28</f>
        <v/>
      </c>
      <c r="S1079">
        <f>'Grid_Stock'!Q28</f>
        <v/>
      </c>
      <c r="T1079">
        <f>'Grid_Stock'!R28</f>
        <v/>
      </c>
      <c r="U1079">
        <f>'Grid_Stock'!S28</f>
        <v/>
      </c>
      <c r="V1079">
        <f>'Grid_Stock'!T28</f>
        <v/>
      </c>
      <c r="W1079">
        <f>'Grid_Stock'!U28</f>
        <v/>
      </c>
      <c r="X1079">
        <f>'Grid_Stock'!V28</f>
        <v/>
      </c>
      <c r="Y1079">
        <f>'Grid_Stock'!W28</f>
        <v/>
      </c>
      <c r="Z1079">
        <f>'Grid_Stock'!X28</f>
        <v/>
      </c>
      <c r="AA1079">
        <f>'Grid_Stock'!Y28</f>
        <v/>
      </c>
      <c r="AB1079">
        <f>'Grid_Stock'!Z28</f>
        <v/>
      </c>
      <c r="AC1079">
        <f>'Grid_Stock'!AA28</f>
        <v/>
      </c>
      <c r="AD1079">
        <f>'Grid_Stock'!AB28</f>
        <v/>
      </c>
      <c r="AE1079">
        <f>'Grid_Stock'!AC28</f>
        <v/>
      </c>
      <c r="AF1079">
        <f>'Grid_Stock'!AD28</f>
        <v/>
      </c>
      <c r="AG1079">
        <f>'Grid_Stock'!AE28</f>
        <v/>
      </c>
      <c r="AH1079">
        <f>'Grid_Stock'!AF28</f>
        <v/>
      </c>
      <c r="AI1079">
        <f>'Grid_Stock'!AG28</f>
        <v/>
      </c>
      <c r="AJ1079">
        <f>'Grid_Stock'!AH28</f>
        <v/>
      </c>
      <c r="AK1079">
        <f>'Grid_Stock'!AI28</f>
        <v/>
      </c>
      <c r="AL1079">
        <f>'Grid_Stock'!AJ28</f>
        <v/>
      </c>
      <c r="AM1079">
        <f>'Grid_Stock'!AK28</f>
        <v/>
      </c>
      <c r="AN1079">
        <f>'Grid_Stock'!AL28</f>
        <v/>
      </c>
      <c r="AO1079">
        <f>'Grid_Stock'!AM28</f>
        <v/>
      </c>
      <c r="AP1079">
        <f>'Grid_Stock'!AN28</f>
        <v/>
      </c>
      <c r="AQ1079">
        <f>'Grid_Stock'!AO28</f>
        <v/>
      </c>
      <c r="AR1079">
        <f>'Grid_Stock'!AP28</f>
        <v/>
      </c>
      <c r="AS1079">
        <f>'Grid_Stock'!AQ28</f>
        <v/>
      </c>
      <c r="AT1079">
        <f>'Grid_Stock'!AR28</f>
        <v/>
      </c>
      <c r="AU1079">
        <f>'Grid_Stock'!AS28</f>
        <v/>
      </c>
      <c r="AV1079">
        <f>'Grid_Stock'!AT28</f>
        <v/>
      </c>
      <c r="AW1079">
        <f>'Grid_Stock'!AU28</f>
        <v/>
      </c>
      <c r="AX1079">
        <f>'Grid_Stock'!AV28</f>
        <v/>
      </c>
      <c r="AY1079">
        <f>'Grid_Stock'!AW28</f>
        <v/>
      </c>
      <c r="AZ1079">
        <f>'Grid_Stock'!AX28</f>
        <v/>
      </c>
      <c r="BA1079">
        <f>'Grid_Stock'!AY28</f>
        <v/>
      </c>
      <c r="BB1079">
        <f>'Grid_Stock'!AZ28</f>
        <v/>
      </c>
      <c r="BC1079">
        <f>'Grid_Stock'!BA28</f>
        <v/>
      </c>
      <c r="BD1079">
        <f>'Grid_Stock'!BB28</f>
        <v/>
      </c>
      <c r="BE1079">
        <f>'Grid_Stock'!BC28</f>
        <v/>
      </c>
      <c r="BF1079">
        <f>'Grid_Stock'!BD28</f>
        <v/>
      </c>
      <c r="BG1079">
        <f>'Grid_Stock'!BE28</f>
        <v/>
      </c>
      <c r="BH1079">
        <f>'Grid_Stock'!BF28</f>
        <v/>
      </c>
      <c r="BI1079">
        <f>'Grid_Stock'!BG28</f>
        <v/>
      </c>
      <c r="BJ1079">
        <f>'Grid_Stock'!BH28</f>
        <v/>
      </c>
      <c r="BK1079">
        <f>'Grid_Stock'!BI28</f>
        <v/>
      </c>
      <c r="BL1079">
        <f>'Grid_Stock'!BJ28</f>
        <v/>
      </c>
      <c r="BM1079">
        <f>'Grid_Stock'!BK28</f>
        <v/>
      </c>
      <c r="BN1079">
        <f>'Grid_Stock'!BL28</f>
        <v/>
      </c>
      <c r="BO1079">
        <f>'Grid_Stock'!BM28</f>
        <v/>
      </c>
      <c r="BP1079">
        <f>'Grid_Stock'!BN28</f>
        <v/>
      </c>
      <c r="BQ1079">
        <f>'Grid_Stock'!BO28</f>
        <v/>
      </c>
      <c r="BR1079">
        <f>'Grid_Stock'!BP28</f>
        <v/>
      </c>
      <c r="BS1079">
        <f>'Grid_Stock'!BQ28</f>
        <v/>
      </c>
      <c r="BT1079">
        <f>'Grid_Stock'!BR28</f>
        <v/>
      </c>
      <c r="BU1079">
        <f>'Grid_Stock'!BS28</f>
        <v/>
      </c>
      <c r="BV1079">
        <f>'Grid_Stock'!BT28</f>
        <v/>
      </c>
      <c r="BW1079">
        <f>'Grid_Stock'!BU28</f>
        <v/>
      </c>
      <c r="BX1079">
        <f>'Grid_Stock'!BV28</f>
        <v/>
      </c>
      <c r="BY1079">
        <f>'Grid_Stock'!BW28</f>
        <v/>
      </c>
      <c r="BZ1079">
        <f>'Grid_Stock'!BX28</f>
        <v/>
      </c>
      <c r="CA1079">
        <f>'Grid_Stock'!BY28</f>
        <v/>
      </c>
      <c r="CB1079">
        <f>'Grid_Stock'!BZ28</f>
        <v/>
      </c>
      <c r="CC1079">
        <f>'Grid_Stock'!CA28</f>
        <v/>
      </c>
      <c r="CD1079">
        <f>'Grid_Stock'!CB28</f>
        <v/>
      </c>
      <c r="CE1079">
        <f>'Grid_Stock'!CC28</f>
        <v/>
      </c>
      <c r="CF1079">
        <f>'Grid_Stock'!CD28</f>
        <v/>
      </c>
      <c r="CG1079">
        <f>'Grid_Stock'!CE28</f>
        <v/>
      </c>
      <c r="CH1079">
        <f>'Grid_Stock'!CF28</f>
        <v/>
      </c>
      <c r="CI1079">
        <f>'Grid_Stock'!CG28</f>
        <v/>
      </c>
      <c r="CJ1079">
        <f>'Grid_Stock'!CH28</f>
        <v/>
      </c>
      <c r="CK1079">
        <f>'Grid_Stock'!CI28</f>
        <v/>
      </c>
      <c r="CL1079">
        <f>'Grid_Stock'!CJ28</f>
        <v/>
      </c>
      <c r="CM1079">
        <f>'Grid_Stock'!CK28</f>
        <v/>
      </c>
      <c r="CN1079">
        <f>'Grid_Stock'!CL28</f>
        <v/>
      </c>
      <c r="CO1079">
        <f>'Grid_Stock'!CM28</f>
        <v/>
      </c>
      <c r="CP1079">
        <f>'Grid_Stock'!CN28</f>
        <v/>
      </c>
      <c r="CQ1079">
        <f>'Grid_Stock'!CO28</f>
        <v/>
      </c>
      <c r="CR1079">
        <f>'Grid_Stock'!CP28</f>
        <v/>
      </c>
      <c r="CS1079">
        <f>'Grid_Stock'!CQ28</f>
        <v/>
      </c>
      <c r="CT1079">
        <f>'Grid_Stock'!CR28</f>
        <v/>
      </c>
      <c r="CU1079">
        <f>'Grid_Stock'!CS28</f>
        <v/>
      </c>
      <c r="CV1079">
        <f>'Grid_Stock'!CT28</f>
        <v/>
      </c>
      <c r="CW1079">
        <f>'Grid_Stock'!CU28</f>
        <v/>
      </c>
      <c r="CX1079">
        <f>'Grid_Stock'!CV28</f>
        <v/>
      </c>
      <c r="CY1079">
        <f>'Grid_Stock'!CW28</f>
        <v/>
      </c>
      <c r="CZ1079">
        <f>'Grid_Stock'!CX28</f>
        <v/>
      </c>
      <c r="DA1079">
        <f>'Grid_Stock'!CY28</f>
        <v/>
      </c>
      <c r="DB1079">
        <f>'Grid_Stock'!CZ28</f>
        <v/>
      </c>
      <c r="DC1079">
        <f>'Grid_Stock'!DA28</f>
        <v/>
      </c>
    </row>
    <row r="1080">
      <c r="B1080" s="16" t="inlineStr">
        <is>
          <t>（発注の目安はDashboardの基準在庫[下限/上限]と色分けを参照）</t>
        </is>
      </c>
    </row>
    <row r="1082">
      <c r="A1082" s="14" t="inlineStr">
        <is>
          <t>CHEM-1830</t>
        </is>
      </c>
      <c r="B1082" s="14" t="inlineStr">
        <is>
          <t>RCT-43</t>
        </is>
      </c>
      <c r="C1082" s="15" t="n"/>
      <c r="D1082" s="14" t="n"/>
      <c r="E1082" s="14" t="n"/>
      <c r="F1082" s="14" t="n"/>
      <c r="G1082" s="14" t="n"/>
      <c r="H1082" s="14" t="n"/>
      <c r="I1082" s="14" t="n"/>
      <c r="J1082" s="14" t="n"/>
      <c r="K1082" s="14" t="n"/>
      <c r="L1082" s="14" t="n"/>
      <c r="M1082" s="14" t="n"/>
      <c r="N1082" s="14" t="n"/>
      <c r="O1082" s="14" t="n"/>
      <c r="P1082" s="14" t="n"/>
      <c r="Q1082" s="14" t="n"/>
      <c r="R1082" s="14" t="n"/>
      <c r="S1082" s="14" t="n"/>
      <c r="T1082" s="14" t="n"/>
      <c r="U1082" s="14" t="n"/>
      <c r="V1082" s="14" t="n"/>
      <c r="W1082" s="14" t="n"/>
      <c r="X1082" s="14" t="n"/>
      <c r="Y1082" s="14" t="n"/>
      <c r="Z1082" s="14" t="n"/>
      <c r="AA1082" s="14" t="n"/>
      <c r="AB1082" s="14" t="n"/>
      <c r="AC1082" s="14" t="n"/>
      <c r="AD1082" s="14" t="n"/>
      <c r="AE1082" s="14" t="n"/>
      <c r="AF1082" s="14" t="n"/>
      <c r="AG1082" s="14" t="n"/>
      <c r="AH1082" s="14" t="n"/>
      <c r="AI1082" s="14" t="n"/>
      <c r="AJ1082" s="14" t="n"/>
      <c r="AK1082" s="14" t="n"/>
      <c r="AL1082" s="14" t="n"/>
      <c r="AM1082" s="14" t="n"/>
      <c r="AN1082" s="14" t="n"/>
      <c r="AO1082" s="14" t="n"/>
      <c r="AP1082" s="14" t="n"/>
      <c r="AQ1082" s="14" t="n"/>
      <c r="AR1082" s="14" t="n"/>
      <c r="AS1082" s="14" t="n"/>
      <c r="AT1082" s="14" t="n"/>
      <c r="AU1082" s="14" t="n"/>
      <c r="AV1082" s="14" t="n"/>
      <c r="AW1082" s="14" t="n"/>
      <c r="AX1082" s="14" t="n"/>
      <c r="AY1082" s="14" t="n"/>
      <c r="AZ1082" s="14" t="n"/>
      <c r="BA1082" s="14" t="n"/>
      <c r="BB1082" s="14" t="n"/>
      <c r="BC1082" s="14" t="n"/>
      <c r="BD1082" s="14" t="n"/>
      <c r="BE1082" s="14" t="n"/>
      <c r="BF1082" s="14" t="n"/>
      <c r="BG1082" s="14" t="n"/>
      <c r="BH1082" s="14" t="n"/>
      <c r="BI1082" s="14" t="n"/>
      <c r="BJ1082" s="14" t="n"/>
      <c r="BK1082" s="14" t="n"/>
      <c r="BL1082" s="14" t="n"/>
      <c r="BM1082" s="14" t="n"/>
      <c r="BN1082" s="14" t="n"/>
      <c r="BO1082" s="14" t="n"/>
      <c r="BP1082" s="14" t="n"/>
      <c r="BQ1082" s="14" t="n"/>
      <c r="BR1082" s="14" t="n"/>
      <c r="BS1082" s="14" t="n"/>
      <c r="BT1082" s="14" t="n"/>
      <c r="BU1082" s="14" t="n"/>
      <c r="BV1082" s="14" t="n"/>
      <c r="BW1082" s="14" t="n"/>
      <c r="BX1082" s="14" t="n"/>
      <c r="BY1082" s="14" t="n"/>
      <c r="BZ1082" s="14" t="n"/>
      <c r="CA1082" s="14" t="n"/>
      <c r="CB1082" s="14" t="n"/>
      <c r="CC1082" s="14" t="n"/>
      <c r="CD1082" s="14" t="n"/>
      <c r="CE1082" s="14" t="n"/>
      <c r="CF1082" s="14" t="n"/>
      <c r="CG1082" s="14" t="n"/>
      <c r="CH1082" s="14" t="n"/>
      <c r="CI1082" s="14" t="n"/>
      <c r="CJ1082" s="14" t="n"/>
      <c r="CK1082" s="14" t="n"/>
      <c r="CL1082" s="14" t="n"/>
      <c r="CM1082" s="14" t="n"/>
      <c r="CN1082" s="14" t="n"/>
      <c r="CO1082" s="14" t="n"/>
      <c r="CP1082" s="14" t="n"/>
      <c r="CQ1082" s="14" t="n"/>
      <c r="CR1082" s="14" t="n"/>
      <c r="CS1082" s="14" t="n"/>
      <c r="CT1082" s="14" t="n"/>
      <c r="CU1082" s="14" t="n"/>
      <c r="CV1082" s="14" t="n"/>
      <c r="CW1082" s="14" t="n"/>
      <c r="CX1082" s="14" t="n"/>
      <c r="CY1082" s="14" t="n"/>
      <c r="CZ1082" s="14" t="n"/>
      <c r="DA1082" s="14" t="n"/>
      <c r="DB1082" s="14" t="n"/>
      <c r="DC1082" s="14" t="n"/>
    </row>
    <row r="1083">
      <c r="B1083" t="inlineStr">
        <is>
          <t>TPP-2245</t>
        </is>
      </c>
      <c r="C1083" t="inlineStr">
        <is>
          <t>No. of batches</t>
        </is>
      </c>
      <c r="D1083">
        <f>IFERROR(INDEX(PP_Grid[#Data],$DD1083,2),0)</f>
        <v/>
      </c>
      <c r="E1083">
        <f>IFERROR(INDEX(PP_Grid[#Data],$DD1083,3),0)</f>
        <v/>
      </c>
      <c r="F1083">
        <f>IFERROR(INDEX(PP_Grid[#Data],$DD1083,4),0)</f>
        <v/>
      </c>
      <c r="G1083">
        <f>IFERROR(INDEX(PP_Grid[#Data],$DD1083,5),0)</f>
        <v/>
      </c>
      <c r="H1083">
        <f>IFERROR(INDEX(PP_Grid[#Data],$DD1083,6),0)</f>
        <v/>
      </c>
      <c r="I1083">
        <f>IFERROR(INDEX(PP_Grid[#Data],$DD1083,7),0)</f>
        <v/>
      </c>
      <c r="J1083">
        <f>IFERROR(INDEX(PP_Grid[#Data],$DD1083,8),0)</f>
        <v/>
      </c>
      <c r="K1083">
        <f>IFERROR(INDEX(PP_Grid[#Data],$DD1083,9),0)</f>
        <v/>
      </c>
      <c r="L1083">
        <f>IFERROR(INDEX(PP_Grid[#Data],$DD1083,10),0)</f>
        <v/>
      </c>
      <c r="M1083">
        <f>IFERROR(INDEX(PP_Grid[#Data],$DD1083,11),0)</f>
        <v/>
      </c>
      <c r="N1083">
        <f>IFERROR(INDEX(PP_Grid[#Data],$DD1083,12),0)</f>
        <v/>
      </c>
      <c r="O1083">
        <f>IFERROR(INDEX(PP_Grid[#Data],$DD1083,13),0)</f>
        <v/>
      </c>
      <c r="P1083">
        <f>IFERROR(INDEX(PP_Grid[#Data],$DD1083,14),0)</f>
        <v/>
      </c>
      <c r="Q1083">
        <f>IFERROR(INDEX(PP_Grid[#Data],$DD1083,15),0)</f>
        <v/>
      </c>
      <c r="R1083">
        <f>IFERROR(INDEX(PP_Grid[#Data],$DD1083,16),0)</f>
        <v/>
      </c>
      <c r="S1083">
        <f>IFERROR(INDEX(PP_Grid[#Data],$DD1083,17),0)</f>
        <v/>
      </c>
      <c r="T1083">
        <f>IFERROR(INDEX(PP_Grid[#Data],$DD1083,18),0)</f>
        <v/>
      </c>
      <c r="U1083">
        <f>IFERROR(INDEX(PP_Grid[#Data],$DD1083,19),0)</f>
        <v/>
      </c>
      <c r="V1083">
        <f>IFERROR(INDEX(PP_Grid[#Data],$DD1083,20),0)</f>
        <v/>
      </c>
      <c r="W1083">
        <f>IFERROR(INDEX(PP_Grid[#Data],$DD1083,21),0)</f>
        <v/>
      </c>
      <c r="X1083">
        <f>IFERROR(INDEX(PP_Grid[#Data],$DD1083,22),0)</f>
        <v/>
      </c>
      <c r="Y1083">
        <f>IFERROR(INDEX(PP_Grid[#Data],$DD1083,23),0)</f>
        <v/>
      </c>
      <c r="Z1083">
        <f>IFERROR(INDEX(PP_Grid[#Data],$DD1083,24),0)</f>
        <v/>
      </c>
      <c r="AA1083">
        <f>IFERROR(INDEX(PP_Grid[#Data],$DD1083,25),0)</f>
        <v/>
      </c>
      <c r="AB1083">
        <f>IFERROR(INDEX(PP_Grid[#Data],$DD1083,26),0)</f>
        <v/>
      </c>
      <c r="AC1083">
        <f>IFERROR(INDEX(PP_Grid[#Data],$DD1083,27),0)</f>
        <v/>
      </c>
      <c r="AD1083">
        <f>IFERROR(INDEX(PP_Grid[#Data],$DD1083,28),0)</f>
        <v/>
      </c>
      <c r="AE1083">
        <f>IFERROR(INDEX(PP_Grid[#Data],$DD1083,29),0)</f>
        <v/>
      </c>
      <c r="AF1083">
        <f>IFERROR(INDEX(PP_Grid[#Data],$DD1083,30),0)</f>
        <v/>
      </c>
      <c r="AG1083">
        <f>IFERROR(INDEX(PP_Grid[#Data],$DD1083,31),0)</f>
        <v/>
      </c>
      <c r="AH1083">
        <f>IFERROR(INDEX(PP_Grid[#Data],$DD1083,32),0)</f>
        <v/>
      </c>
      <c r="AI1083">
        <f>IFERROR(INDEX(PP_Grid[#Data],$DD1083,33),0)</f>
        <v/>
      </c>
      <c r="AJ1083">
        <f>IFERROR(INDEX(PP_Grid[#Data],$DD1083,34),0)</f>
        <v/>
      </c>
      <c r="AK1083">
        <f>IFERROR(INDEX(PP_Grid[#Data],$DD1083,35),0)</f>
        <v/>
      </c>
      <c r="AL1083">
        <f>IFERROR(INDEX(PP_Grid[#Data],$DD1083,36),0)</f>
        <v/>
      </c>
      <c r="AM1083">
        <f>IFERROR(INDEX(PP_Grid[#Data],$DD1083,37),0)</f>
        <v/>
      </c>
      <c r="AN1083">
        <f>IFERROR(INDEX(PP_Grid[#Data],$DD1083,38),0)</f>
        <v/>
      </c>
      <c r="AO1083">
        <f>IFERROR(INDEX(PP_Grid[#Data],$DD1083,39),0)</f>
        <v/>
      </c>
      <c r="AP1083">
        <f>IFERROR(INDEX(PP_Grid[#Data],$DD1083,40),0)</f>
        <v/>
      </c>
      <c r="AQ1083">
        <f>IFERROR(INDEX(PP_Grid[#Data],$DD1083,41),0)</f>
        <v/>
      </c>
      <c r="AR1083">
        <f>IFERROR(INDEX(PP_Grid[#Data],$DD1083,42),0)</f>
        <v/>
      </c>
      <c r="AS1083">
        <f>IFERROR(INDEX(PP_Grid[#Data],$DD1083,43),0)</f>
        <v/>
      </c>
      <c r="AT1083">
        <f>IFERROR(INDEX(PP_Grid[#Data],$DD1083,44),0)</f>
        <v/>
      </c>
      <c r="AU1083">
        <f>IFERROR(INDEX(PP_Grid[#Data],$DD1083,45),0)</f>
        <v/>
      </c>
      <c r="AV1083">
        <f>IFERROR(INDEX(PP_Grid[#Data],$DD1083,46),0)</f>
        <v/>
      </c>
      <c r="AW1083">
        <f>IFERROR(INDEX(PP_Grid[#Data],$DD1083,47),0)</f>
        <v/>
      </c>
      <c r="AX1083">
        <f>IFERROR(INDEX(PP_Grid[#Data],$DD1083,48),0)</f>
        <v/>
      </c>
      <c r="AY1083">
        <f>IFERROR(INDEX(PP_Grid[#Data],$DD1083,49),0)</f>
        <v/>
      </c>
      <c r="AZ1083">
        <f>IFERROR(INDEX(PP_Grid[#Data],$DD1083,50),0)</f>
        <v/>
      </c>
      <c r="BA1083">
        <f>IFERROR(INDEX(PP_Grid[#Data],$DD1083,51),0)</f>
        <v/>
      </c>
      <c r="BB1083">
        <f>IFERROR(INDEX(PP_Grid[#Data],$DD1083,52),0)</f>
        <v/>
      </c>
      <c r="BC1083">
        <f>IFERROR(INDEX(PP_Grid[#Data],$DD1083,53),0)</f>
        <v/>
      </c>
      <c r="BD1083">
        <f>IFERROR(INDEX(PP_Grid[#Data],$DD1083,54),0)</f>
        <v/>
      </c>
      <c r="BE1083">
        <f>IFERROR(INDEX(PP_Grid[#Data],$DD1083,55),0)</f>
        <v/>
      </c>
      <c r="BF1083">
        <f>IFERROR(INDEX(PP_Grid[#Data],$DD1083,56),0)</f>
        <v/>
      </c>
      <c r="BG1083">
        <f>IFERROR(INDEX(PP_Grid[#Data],$DD1083,57),0)</f>
        <v/>
      </c>
      <c r="BH1083">
        <f>IFERROR(INDEX(PP_Grid[#Data],$DD1083,58),0)</f>
        <v/>
      </c>
      <c r="BI1083">
        <f>IFERROR(INDEX(PP_Grid[#Data],$DD1083,59),0)</f>
        <v/>
      </c>
      <c r="BJ1083">
        <f>IFERROR(INDEX(PP_Grid[#Data],$DD1083,60),0)</f>
        <v/>
      </c>
      <c r="BK1083">
        <f>IFERROR(INDEX(PP_Grid[#Data],$DD1083,61),0)</f>
        <v/>
      </c>
      <c r="BL1083">
        <f>IFERROR(INDEX(PP_Grid[#Data],$DD1083,62),0)</f>
        <v/>
      </c>
      <c r="BM1083">
        <f>IFERROR(INDEX(PP_Grid[#Data],$DD1083,63),0)</f>
        <v/>
      </c>
      <c r="BN1083">
        <f>IFERROR(INDEX(PP_Grid[#Data],$DD1083,64),0)</f>
        <v/>
      </c>
      <c r="BO1083">
        <f>IFERROR(INDEX(PP_Grid[#Data],$DD1083,65),0)</f>
        <v/>
      </c>
      <c r="BP1083">
        <f>IFERROR(INDEX(PP_Grid[#Data],$DD1083,66),0)</f>
        <v/>
      </c>
      <c r="BQ1083">
        <f>IFERROR(INDEX(PP_Grid[#Data],$DD1083,67),0)</f>
        <v/>
      </c>
      <c r="BR1083">
        <f>IFERROR(INDEX(PP_Grid[#Data],$DD1083,68),0)</f>
        <v/>
      </c>
      <c r="BS1083">
        <f>IFERROR(INDEX(PP_Grid[#Data],$DD1083,69),0)</f>
        <v/>
      </c>
      <c r="BT1083">
        <f>IFERROR(INDEX(PP_Grid[#Data],$DD1083,70),0)</f>
        <v/>
      </c>
      <c r="BU1083">
        <f>IFERROR(INDEX(PP_Grid[#Data],$DD1083,71),0)</f>
        <v/>
      </c>
      <c r="BV1083">
        <f>IFERROR(INDEX(PP_Grid[#Data],$DD1083,72),0)</f>
        <v/>
      </c>
      <c r="BW1083">
        <f>IFERROR(INDEX(PP_Grid[#Data],$DD1083,73),0)</f>
        <v/>
      </c>
      <c r="BX1083">
        <f>IFERROR(INDEX(PP_Grid[#Data],$DD1083,74),0)</f>
        <v/>
      </c>
      <c r="BY1083">
        <f>IFERROR(INDEX(PP_Grid[#Data],$DD1083,75),0)</f>
        <v/>
      </c>
      <c r="BZ1083">
        <f>IFERROR(INDEX(PP_Grid[#Data],$DD1083,76),0)</f>
        <v/>
      </c>
      <c r="CA1083">
        <f>IFERROR(INDEX(PP_Grid[#Data],$DD1083,77),0)</f>
        <v/>
      </c>
      <c r="CB1083">
        <f>IFERROR(INDEX(PP_Grid[#Data],$DD1083,78),0)</f>
        <v/>
      </c>
      <c r="CC1083">
        <f>IFERROR(INDEX(PP_Grid[#Data],$DD1083,79),0)</f>
        <v/>
      </c>
      <c r="CD1083">
        <f>IFERROR(INDEX(PP_Grid[#Data],$DD1083,80),0)</f>
        <v/>
      </c>
      <c r="CE1083">
        <f>IFERROR(INDEX(PP_Grid[#Data],$DD1083,81),0)</f>
        <v/>
      </c>
      <c r="CF1083">
        <f>IFERROR(INDEX(PP_Grid[#Data],$DD1083,82),0)</f>
        <v/>
      </c>
      <c r="CG1083">
        <f>IFERROR(INDEX(PP_Grid[#Data],$DD1083,83),0)</f>
        <v/>
      </c>
      <c r="CH1083">
        <f>IFERROR(INDEX(PP_Grid[#Data],$DD1083,84),0)</f>
        <v/>
      </c>
      <c r="CI1083">
        <f>IFERROR(INDEX(PP_Grid[#Data],$DD1083,85),0)</f>
        <v/>
      </c>
      <c r="CJ1083">
        <f>IFERROR(INDEX(PP_Grid[#Data],$DD1083,86),0)</f>
        <v/>
      </c>
      <c r="CK1083">
        <f>IFERROR(INDEX(PP_Grid[#Data],$DD1083,87),0)</f>
        <v/>
      </c>
      <c r="CL1083">
        <f>IFERROR(INDEX(PP_Grid[#Data],$DD1083,88),0)</f>
        <v/>
      </c>
      <c r="CM1083">
        <f>IFERROR(INDEX(PP_Grid[#Data],$DD1083,89),0)</f>
        <v/>
      </c>
      <c r="CN1083">
        <f>IFERROR(INDEX(PP_Grid[#Data],$DD1083,90),0)</f>
        <v/>
      </c>
      <c r="CO1083">
        <f>IFERROR(INDEX(PP_Grid[#Data],$DD1083,91),0)</f>
        <v/>
      </c>
      <c r="CP1083">
        <f>IFERROR(INDEX(PP_Grid[#Data],$DD1083,92),0)</f>
        <v/>
      </c>
      <c r="CQ1083">
        <f>IFERROR(INDEX(PP_Grid[#Data],$DD1083,93),0)</f>
        <v/>
      </c>
      <c r="CR1083">
        <f>IFERROR(INDEX(PP_Grid[#Data],$DD1083,94),0)</f>
        <v/>
      </c>
      <c r="CS1083">
        <f>IFERROR(INDEX(PP_Grid[#Data],$DD1083,95),0)</f>
        <v/>
      </c>
      <c r="CT1083">
        <f>IFERROR(INDEX(PP_Grid[#Data],$DD1083,96),0)</f>
        <v/>
      </c>
      <c r="CU1083">
        <f>IFERROR(INDEX(PP_Grid[#Data],$DD1083,97),0)</f>
        <v/>
      </c>
      <c r="CV1083">
        <f>IFERROR(INDEX(PP_Grid[#Data],$DD1083,98),0)</f>
        <v/>
      </c>
      <c r="CW1083">
        <f>IFERROR(INDEX(PP_Grid[#Data],$DD1083,99),0)</f>
        <v/>
      </c>
      <c r="CX1083">
        <f>IFERROR(INDEX(PP_Grid[#Data],$DD1083,100),0)</f>
        <v/>
      </c>
      <c r="CY1083">
        <f>IFERROR(INDEX(PP_Grid[#Data],$DD1083,101),0)</f>
        <v/>
      </c>
      <c r="CZ1083">
        <f>IFERROR(INDEX(PP_Grid[#Data],$DD1083,102),0)</f>
        <v/>
      </c>
      <c r="DA1083">
        <f>IFERROR(INDEX(PP_Grid[#Data],$DD1083,103),0)</f>
        <v/>
      </c>
      <c r="DB1083">
        <f>IFERROR(INDEX(PP_Grid[#Data],$DD1083,104),0)</f>
        <v/>
      </c>
      <c r="DC1083">
        <f>IFERROR(INDEX(PP_Grid[#Data],$DD1083,105),0)</f>
        <v/>
      </c>
      <c r="DD1083" s="7">
        <f>IFERROR(MATCH($B1083,PP_Grid[Intermediate],0),99999)</f>
        <v/>
      </c>
    </row>
    <row r="1084">
      <c r="B1084" t="inlineStr">
        <is>
          <t>使用量(kg)</t>
        </is>
      </c>
      <c r="C1084">
        <f>SUMIFS(M_BOM[RM_Qty_Per_Batch],M_BOM[Intermediate],$B1083,M_BOM[Part Name],$A1082)</f>
        <v/>
      </c>
      <c r="D1084">
        <f>$C1084*D1083</f>
        <v/>
      </c>
      <c r="E1084">
        <f>$C1084*E1083</f>
        <v/>
      </c>
      <c r="F1084">
        <f>$C1084*F1083</f>
        <v/>
      </c>
      <c r="G1084">
        <f>$C1084*G1083</f>
        <v/>
      </c>
      <c r="H1084">
        <f>$C1084*H1083</f>
        <v/>
      </c>
      <c r="I1084">
        <f>$C1084*I1083</f>
        <v/>
      </c>
      <c r="J1084">
        <f>$C1084*J1083</f>
        <v/>
      </c>
      <c r="K1084">
        <f>$C1084*K1083</f>
        <v/>
      </c>
      <c r="L1084">
        <f>$C1084*L1083</f>
        <v/>
      </c>
      <c r="M1084">
        <f>$C1084*M1083</f>
        <v/>
      </c>
      <c r="N1084">
        <f>$C1084*N1083</f>
        <v/>
      </c>
      <c r="O1084">
        <f>$C1084*O1083</f>
        <v/>
      </c>
      <c r="P1084">
        <f>$C1084*P1083</f>
        <v/>
      </c>
      <c r="Q1084">
        <f>$C1084*Q1083</f>
        <v/>
      </c>
      <c r="R1084">
        <f>$C1084*R1083</f>
        <v/>
      </c>
      <c r="S1084">
        <f>$C1084*S1083</f>
        <v/>
      </c>
      <c r="T1084">
        <f>$C1084*T1083</f>
        <v/>
      </c>
      <c r="U1084">
        <f>$C1084*U1083</f>
        <v/>
      </c>
      <c r="V1084">
        <f>$C1084*V1083</f>
        <v/>
      </c>
      <c r="W1084">
        <f>$C1084*W1083</f>
        <v/>
      </c>
      <c r="X1084">
        <f>$C1084*X1083</f>
        <v/>
      </c>
      <c r="Y1084">
        <f>$C1084*Y1083</f>
        <v/>
      </c>
      <c r="Z1084">
        <f>$C1084*Z1083</f>
        <v/>
      </c>
      <c r="AA1084">
        <f>$C1084*AA1083</f>
        <v/>
      </c>
      <c r="AB1084">
        <f>$C1084*AB1083</f>
        <v/>
      </c>
      <c r="AC1084">
        <f>$C1084*AC1083</f>
        <v/>
      </c>
      <c r="AD1084">
        <f>$C1084*AD1083</f>
        <v/>
      </c>
      <c r="AE1084">
        <f>$C1084*AE1083</f>
        <v/>
      </c>
      <c r="AF1084">
        <f>$C1084*AF1083</f>
        <v/>
      </c>
      <c r="AG1084">
        <f>$C1084*AG1083</f>
        <v/>
      </c>
      <c r="AH1084">
        <f>$C1084*AH1083</f>
        <v/>
      </c>
      <c r="AI1084">
        <f>$C1084*AI1083</f>
        <v/>
      </c>
      <c r="AJ1084">
        <f>$C1084*AJ1083</f>
        <v/>
      </c>
      <c r="AK1084">
        <f>$C1084*AK1083</f>
        <v/>
      </c>
      <c r="AL1084">
        <f>$C1084*AL1083</f>
        <v/>
      </c>
      <c r="AM1084">
        <f>$C1084*AM1083</f>
        <v/>
      </c>
      <c r="AN1084">
        <f>$C1084*AN1083</f>
        <v/>
      </c>
      <c r="AO1084">
        <f>$C1084*AO1083</f>
        <v/>
      </c>
      <c r="AP1084">
        <f>$C1084*AP1083</f>
        <v/>
      </c>
      <c r="AQ1084">
        <f>$C1084*AQ1083</f>
        <v/>
      </c>
      <c r="AR1084">
        <f>$C1084*AR1083</f>
        <v/>
      </c>
      <c r="AS1084">
        <f>$C1084*AS1083</f>
        <v/>
      </c>
      <c r="AT1084">
        <f>$C1084*AT1083</f>
        <v/>
      </c>
      <c r="AU1084">
        <f>$C1084*AU1083</f>
        <v/>
      </c>
      <c r="AV1084">
        <f>$C1084*AV1083</f>
        <v/>
      </c>
      <c r="AW1084">
        <f>$C1084*AW1083</f>
        <v/>
      </c>
      <c r="AX1084">
        <f>$C1084*AX1083</f>
        <v/>
      </c>
      <c r="AY1084">
        <f>$C1084*AY1083</f>
        <v/>
      </c>
      <c r="AZ1084">
        <f>$C1084*AZ1083</f>
        <v/>
      </c>
      <c r="BA1084">
        <f>$C1084*BA1083</f>
        <v/>
      </c>
      <c r="BB1084">
        <f>$C1084*BB1083</f>
        <v/>
      </c>
      <c r="BC1084">
        <f>$C1084*BC1083</f>
        <v/>
      </c>
      <c r="BD1084">
        <f>$C1084*BD1083</f>
        <v/>
      </c>
      <c r="BE1084">
        <f>$C1084*BE1083</f>
        <v/>
      </c>
      <c r="BF1084">
        <f>$C1084*BF1083</f>
        <v/>
      </c>
      <c r="BG1084">
        <f>$C1084*BG1083</f>
        <v/>
      </c>
      <c r="BH1084">
        <f>$C1084*BH1083</f>
        <v/>
      </c>
      <c r="BI1084">
        <f>$C1084*BI1083</f>
        <v/>
      </c>
      <c r="BJ1084">
        <f>$C1084*BJ1083</f>
        <v/>
      </c>
      <c r="BK1084">
        <f>$C1084*BK1083</f>
        <v/>
      </c>
      <c r="BL1084">
        <f>$C1084*BL1083</f>
        <v/>
      </c>
      <c r="BM1084">
        <f>$C1084*BM1083</f>
        <v/>
      </c>
      <c r="BN1084">
        <f>$C1084*BN1083</f>
        <v/>
      </c>
      <c r="BO1084">
        <f>$C1084*BO1083</f>
        <v/>
      </c>
      <c r="BP1084">
        <f>$C1084*BP1083</f>
        <v/>
      </c>
      <c r="BQ1084">
        <f>$C1084*BQ1083</f>
        <v/>
      </c>
      <c r="BR1084">
        <f>$C1084*BR1083</f>
        <v/>
      </c>
      <c r="BS1084">
        <f>$C1084*BS1083</f>
        <v/>
      </c>
      <c r="BT1084">
        <f>$C1084*BT1083</f>
        <v/>
      </c>
      <c r="BU1084">
        <f>$C1084*BU1083</f>
        <v/>
      </c>
      <c r="BV1084">
        <f>$C1084*BV1083</f>
        <v/>
      </c>
      <c r="BW1084">
        <f>$C1084*BW1083</f>
        <v/>
      </c>
      <c r="BX1084">
        <f>$C1084*BX1083</f>
        <v/>
      </c>
      <c r="BY1084">
        <f>$C1084*BY1083</f>
        <v/>
      </c>
      <c r="BZ1084">
        <f>$C1084*BZ1083</f>
        <v/>
      </c>
      <c r="CA1084">
        <f>$C1084*CA1083</f>
        <v/>
      </c>
      <c r="CB1084">
        <f>$C1084*CB1083</f>
        <v/>
      </c>
      <c r="CC1084">
        <f>$C1084*CC1083</f>
        <v/>
      </c>
      <c r="CD1084">
        <f>$C1084*CD1083</f>
        <v/>
      </c>
      <c r="CE1084">
        <f>$C1084*CE1083</f>
        <v/>
      </c>
      <c r="CF1084">
        <f>$C1084*CF1083</f>
        <v/>
      </c>
      <c r="CG1084">
        <f>$C1084*CG1083</f>
        <v/>
      </c>
      <c r="CH1084">
        <f>$C1084*CH1083</f>
        <v/>
      </c>
      <c r="CI1084">
        <f>$C1084*CI1083</f>
        <v/>
      </c>
      <c r="CJ1084">
        <f>$C1084*CJ1083</f>
        <v/>
      </c>
      <c r="CK1084">
        <f>$C1084*CK1083</f>
        <v/>
      </c>
      <c r="CL1084">
        <f>$C1084*CL1083</f>
        <v/>
      </c>
      <c r="CM1084">
        <f>$C1084*CM1083</f>
        <v/>
      </c>
      <c r="CN1084">
        <f>$C1084*CN1083</f>
        <v/>
      </c>
      <c r="CO1084">
        <f>$C1084*CO1083</f>
        <v/>
      </c>
      <c r="CP1084">
        <f>$C1084*CP1083</f>
        <v/>
      </c>
      <c r="CQ1084">
        <f>$C1084*CQ1083</f>
        <v/>
      </c>
      <c r="CR1084">
        <f>$C1084*CR1083</f>
        <v/>
      </c>
      <c r="CS1084">
        <f>$C1084*CS1083</f>
        <v/>
      </c>
      <c r="CT1084">
        <f>$C1084*CT1083</f>
        <v/>
      </c>
      <c r="CU1084">
        <f>$C1084*CU1083</f>
        <v/>
      </c>
      <c r="CV1084">
        <f>$C1084*CV1083</f>
        <v/>
      </c>
      <c r="CW1084">
        <f>$C1084*CW1083</f>
        <v/>
      </c>
      <c r="CX1084">
        <f>$C1084*CX1083</f>
        <v/>
      </c>
      <c r="CY1084">
        <f>$C1084*CY1083</f>
        <v/>
      </c>
      <c r="CZ1084">
        <f>$C1084*CZ1083</f>
        <v/>
      </c>
      <c r="DA1084">
        <f>$C1084*DA1083</f>
        <v/>
      </c>
      <c r="DB1084">
        <f>$C1084*DB1083</f>
        <v/>
      </c>
      <c r="DC1084">
        <f>$C1084*DC1083</f>
        <v/>
      </c>
    </row>
    <row r="1085">
      <c r="B1085" t="inlineStr">
        <is>
          <t>TSP-1558</t>
        </is>
      </c>
      <c r="C1085" t="inlineStr">
        <is>
          <t>No. of batches</t>
        </is>
      </c>
      <c r="D1085">
        <f>IFERROR(INDEX(PP_Grid[#Data],$DD1085,2),0)</f>
        <v/>
      </c>
      <c r="E1085">
        <f>IFERROR(INDEX(PP_Grid[#Data],$DD1085,3),0)</f>
        <v/>
      </c>
      <c r="F1085">
        <f>IFERROR(INDEX(PP_Grid[#Data],$DD1085,4),0)</f>
        <v/>
      </c>
      <c r="G1085">
        <f>IFERROR(INDEX(PP_Grid[#Data],$DD1085,5),0)</f>
        <v/>
      </c>
      <c r="H1085">
        <f>IFERROR(INDEX(PP_Grid[#Data],$DD1085,6),0)</f>
        <v/>
      </c>
      <c r="I1085">
        <f>IFERROR(INDEX(PP_Grid[#Data],$DD1085,7),0)</f>
        <v/>
      </c>
      <c r="J1085">
        <f>IFERROR(INDEX(PP_Grid[#Data],$DD1085,8),0)</f>
        <v/>
      </c>
      <c r="K1085">
        <f>IFERROR(INDEX(PP_Grid[#Data],$DD1085,9),0)</f>
        <v/>
      </c>
      <c r="L1085">
        <f>IFERROR(INDEX(PP_Grid[#Data],$DD1085,10),0)</f>
        <v/>
      </c>
      <c r="M1085">
        <f>IFERROR(INDEX(PP_Grid[#Data],$DD1085,11),0)</f>
        <v/>
      </c>
      <c r="N1085">
        <f>IFERROR(INDEX(PP_Grid[#Data],$DD1085,12),0)</f>
        <v/>
      </c>
      <c r="O1085">
        <f>IFERROR(INDEX(PP_Grid[#Data],$DD1085,13),0)</f>
        <v/>
      </c>
      <c r="P1085">
        <f>IFERROR(INDEX(PP_Grid[#Data],$DD1085,14),0)</f>
        <v/>
      </c>
      <c r="Q1085">
        <f>IFERROR(INDEX(PP_Grid[#Data],$DD1085,15),0)</f>
        <v/>
      </c>
      <c r="R1085">
        <f>IFERROR(INDEX(PP_Grid[#Data],$DD1085,16),0)</f>
        <v/>
      </c>
      <c r="S1085">
        <f>IFERROR(INDEX(PP_Grid[#Data],$DD1085,17),0)</f>
        <v/>
      </c>
      <c r="T1085">
        <f>IFERROR(INDEX(PP_Grid[#Data],$DD1085,18),0)</f>
        <v/>
      </c>
      <c r="U1085">
        <f>IFERROR(INDEX(PP_Grid[#Data],$DD1085,19),0)</f>
        <v/>
      </c>
      <c r="V1085">
        <f>IFERROR(INDEX(PP_Grid[#Data],$DD1085,20),0)</f>
        <v/>
      </c>
      <c r="W1085">
        <f>IFERROR(INDEX(PP_Grid[#Data],$DD1085,21),0)</f>
        <v/>
      </c>
      <c r="X1085">
        <f>IFERROR(INDEX(PP_Grid[#Data],$DD1085,22),0)</f>
        <v/>
      </c>
      <c r="Y1085">
        <f>IFERROR(INDEX(PP_Grid[#Data],$DD1085,23),0)</f>
        <v/>
      </c>
      <c r="Z1085">
        <f>IFERROR(INDEX(PP_Grid[#Data],$DD1085,24),0)</f>
        <v/>
      </c>
      <c r="AA1085">
        <f>IFERROR(INDEX(PP_Grid[#Data],$DD1085,25),0)</f>
        <v/>
      </c>
      <c r="AB1085">
        <f>IFERROR(INDEX(PP_Grid[#Data],$DD1085,26),0)</f>
        <v/>
      </c>
      <c r="AC1085">
        <f>IFERROR(INDEX(PP_Grid[#Data],$DD1085,27),0)</f>
        <v/>
      </c>
      <c r="AD1085">
        <f>IFERROR(INDEX(PP_Grid[#Data],$DD1085,28),0)</f>
        <v/>
      </c>
      <c r="AE1085">
        <f>IFERROR(INDEX(PP_Grid[#Data],$DD1085,29),0)</f>
        <v/>
      </c>
      <c r="AF1085">
        <f>IFERROR(INDEX(PP_Grid[#Data],$DD1085,30),0)</f>
        <v/>
      </c>
      <c r="AG1085">
        <f>IFERROR(INDEX(PP_Grid[#Data],$DD1085,31),0)</f>
        <v/>
      </c>
      <c r="AH1085">
        <f>IFERROR(INDEX(PP_Grid[#Data],$DD1085,32),0)</f>
        <v/>
      </c>
      <c r="AI1085">
        <f>IFERROR(INDEX(PP_Grid[#Data],$DD1085,33),0)</f>
        <v/>
      </c>
      <c r="AJ1085">
        <f>IFERROR(INDEX(PP_Grid[#Data],$DD1085,34),0)</f>
        <v/>
      </c>
      <c r="AK1085">
        <f>IFERROR(INDEX(PP_Grid[#Data],$DD1085,35),0)</f>
        <v/>
      </c>
      <c r="AL1085">
        <f>IFERROR(INDEX(PP_Grid[#Data],$DD1085,36),0)</f>
        <v/>
      </c>
      <c r="AM1085">
        <f>IFERROR(INDEX(PP_Grid[#Data],$DD1085,37),0)</f>
        <v/>
      </c>
      <c r="AN1085">
        <f>IFERROR(INDEX(PP_Grid[#Data],$DD1085,38),0)</f>
        <v/>
      </c>
      <c r="AO1085">
        <f>IFERROR(INDEX(PP_Grid[#Data],$DD1085,39),0)</f>
        <v/>
      </c>
      <c r="AP1085">
        <f>IFERROR(INDEX(PP_Grid[#Data],$DD1085,40),0)</f>
        <v/>
      </c>
      <c r="AQ1085">
        <f>IFERROR(INDEX(PP_Grid[#Data],$DD1085,41),0)</f>
        <v/>
      </c>
      <c r="AR1085">
        <f>IFERROR(INDEX(PP_Grid[#Data],$DD1085,42),0)</f>
        <v/>
      </c>
      <c r="AS1085">
        <f>IFERROR(INDEX(PP_Grid[#Data],$DD1085,43),0)</f>
        <v/>
      </c>
      <c r="AT1085">
        <f>IFERROR(INDEX(PP_Grid[#Data],$DD1085,44),0)</f>
        <v/>
      </c>
      <c r="AU1085">
        <f>IFERROR(INDEX(PP_Grid[#Data],$DD1085,45),0)</f>
        <v/>
      </c>
      <c r="AV1085">
        <f>IFERROR(INDEX(PP_Grid[#Data],$DD1085,46),0)</f>
        <v/>
      </c>
      <c r="AW1085">
        <f>IFERROR(INDEX(PP_Grid[#Data],$DD1085,47),0)</f>
        <v/>
      </c>
      <c r="AX1085">
        <f>IFERROR(INDEX(PP_Grid[#Data],$DD1085,48),0)</f>
        <v/>
      </c>
      <c r="AY1085">
        <f>IFERROR(INDEX(PP_Grid[#Data],$DD1085,49),0)</f>
        <v/>
      </c>
      <c r="AZ1085">
        <f>IFERROR(INDEX(PP_Grid[#Data],$DD1085,50),0)</f>
        <v/>
      </c>
      <c r="BA1085">
        <f>IFERROR(INDEX(PP_Grid[#Data],$DD1085,51),0)</f>
        <v/>
      </c>
      <c r="BB1085">
        <f>IFERROR(INDEX(PP_Grid[#Data],$DD1085,52),0)</f>
        <v/>
      </c>
      <c r="BC1085">
        <f>IFERROR(INDEX(PP_Grid[#Data],$DD1085,53),0)</f>
        <v/>
      </c>
      <c r="BD1085">
        <f>IFERROR(INDEX(PP_Grid[#Data],$DD1085,54),0)</f>
        <v/>
      </c>
      <c r="BE1085">
        <f>IFERROR(INDEX(PP_Grid[#Data],$DD1085,55),0)</f>
        <v/>
      </c>
      <c r="BF1085">
        <f>IFERROR(INDEX(PP_Grid[#Data],$DD1085,56),0)</f>
        <v/>
      </c>
      <c r="BG1085">
        <f>IFERROR(INDEX(PP_Grid[#Data],$DD1085,57),0)</f>
        <v/>
      </c>
      <c r="BH1085">
        <f>IFERROR(INDEX(PP_Grid[#Data],$DD1085,58),0)</f>
        <v/>
      </c>
      <c r="BI1085">
        <f>IFERROR(INDEX(PP_Grid[#Data],$DD1085,59),0)</f>
        <v/>
      </c>
      <c r="BJ1085">
        <f>IFERROR(INDEX(PP_Grid[#Data],$DD1085,60),0)</f>
        <v/>
      </c>
      <c r="BK1085">
        <f>IFERROR(INDEX(PP_Grid[#Data],$DD1085,61),0)</f>
        <v/>
      </c>
      <c r="BL1085">
        <f>IFERROR(INDEX(PP_Grid[#Data],$DD1085,62),0)</f>
        <v/>
      </c>
      <c r="BM1085">
        <f>IFERROR(INDEX(PP_Grid[#Data],$DD1085,63),0)</f>
        <v/>
      </c>
      <c r="BN1085">
        <f>IFERROR(INDEX(PP_Grid[#Data],$DD1085,64),0)</f>
        <v/>
      </c>
      <c r="BO1085">
        <f>IFERROR(INDEX(PP_Grid[#Data],$DD1085,65),0)</f>
        <v/>
      </c>
      <c r="BP1085">
        <f>IFERROR(INDEX(PP_Grid[#Data],$DD1085,66),0)</f>
        <v/>
      </c>
      <c r="BQ1085">
        <f>IFERROR(INDEX(PP_Grid[#Data],$DD1085,67),0)</f>
        <v/>
      </c>
      <c r="BR1085">
        <f>IFERROR(INDEX(PP_Grid[#Data],$DD1085,68),0)</f>
        <v/>
      </c>
      <c r="BS1085">
        <f>IFERROR(INDEX(PP_Grid[#Data],$DD1085,69),0)</f>
        <v/>
      </c>
      <c r="BT1085">
        <f>IFERROR(INDEX(PP_Grid[#Data],$DD1085,70),0)</f>
        <v/>
      </c>
      <c r="BU1085">
        <f>IFERROR(INDEX(PP_Grid[#Data],$DD1085,71),0)</f>
        <v/>
      </c>
      <c r="BV1085">
        <f>IFERROR(INDEX(PP_Grid[#Data],$DD1085,72),0)</f>
        <v/>
      </c>
      <c r="BW1085">
        <f>IFERROR(INDEX(PP_Grid[#Data],$DD1085,73),0)</f>
        <v/>
      </c>
      <c r="BX1085">
        <f>IFERROR(INDEX(PP_Grid[#Data],$DD1085,74),0)</f>
        <v/>
      </c>
      <c r="BY1085">
        <f>IFERROR(INDEX(PP_Grid[#Data],$DD1085,75),0)</f>
        <v/>
      </c>
      <c r="BZ1085">
        <f>IFERROR(INDEX(PP_Grid[#Data],$DD1085,76),0)</f>
        <v/>
      </c>
      <c r="CA1085">
        <f>IFERROR(INDEX(PP_Grid[#Data],$DD1085,77),0)</f>
        <v/>
      </c>
      <c r="CB1085">
        <f>IFERROR(INDEX(PP_Grid[#Data],$DD1085,78),0)</f>
        <v/>
      </c>
      <c r="CC1085">
        <f>IFERROR(INDEX(PP_Grid[#Data],$DD1085,79),0)</f>
        <v/>
      </c>
      <c r="CD1085">
        <f>IFERROR(INDEX(PP_Grid[#Data],$DD1085,80),0)</f>
        <v/>
      </c>
      <c r="CE1085">
        <f>IFERROR(INDEX(PP_Grid[#Data],$DD1085,81),0)</f>
        <v/>
      </c>
      <c r="CF1085">
        <f>IFERROR(INDEX(PP_Grid[#Data],$DD1085,82),0)</f>
        <v/>
      </c>
      <c r="CG1085">
        <f>IFERROR(INDEX(PP_Grid[#Data],$DD1085,83),0)</f>
        <v/>
      </c>
      <c r="CH1085">
        <f>IFERROR(INDEX(PP_Grid[#Data],$DD1085,84),0)</f>
        <v/>
      </c>
      <c r="CI1085">
        <f>IFERROR(INDEX(PP_Grid[#Data],$DD1085,85),0)</f>
        <v/>
      </c>
      <c r="CJ1085">
        <f>IFERROR(INDEX(PP_Grid[#Data],$DD1085,86),0)</f>
        <v/>
      </c>
      <c r="CK1085">
        <f>IFERROR(INDEX(PP_Grid[#Data],$DD1085,87),0)</f>
        <v/>
      </c>
      <c r="CL1085">
        <f>IFERROR(INDEX(PP_Grid[#Data],$DD1085,88),0)</f>
        <v/>
      </c>
      <c r="CM1085">
        <f>IFERROR(INDEX(PP_Grid[#Data],$DD1085,89),0)</f>
        <v/>
      </c>
      <c r="CN1085">
        <f>IFERROR(INDEX(PP_Grid[#Data],$DD1085,90),0)</f>
        <v/>
      </c>
      <c r="CO1085">
        <f>IFERROR(INDEX(PP_Grid[#Data],$DD1085,91),0)</f>
        <v/>
      </c>
      <c r="CP1085">
        <f>IFERROR(INDEX(PP_Grid[#Data],$DD1085,92),0)</f>
        <v/>
      </c>
      <c r="CQ1085">
        <f>IFERROR(INDEX(PP_Grid[#Data],$DD1085,93),0)</f>
        <v/>
      </c>
      <c r="CR1085">
        <f>IFERROR(INDEX(PP_Grid[#Data],$DD1085,94),0)</f>
        <v/>
      </c>
      <c r="CS1085">
        <f>IFERROR(INDEX(PP_Grid[#Data],$DD1085,95),0)</f>
        <v/>
      </c>
      <c r="CT1085">
        <f>IFERROR(INDEX(PP_Grid[#Data],$DD1085,96),0)</f>
        <v/>
      </c>
      <c r="CU1085">
        <f>IFERROR(INDEX(PP_Grid[#Data],$DD1085,97),0)</f>
        <v/>
      </c>
      <c r="CV1085">
        <f>IFERROR(INDEX(PP_Grid[#Data],$DD1085,98),0)</f>
        <v/>
      </c>
      <c r="CW1085">
        <f>IFERROR(INDEX(PP_Grid[#Data],$DD1085,99),0)</f>
        <v/>
      </c>
      <c r="CX1085">
        <f>IFERROR(INDEX(PP_Grid[#Data],$DD1085,100),0)</f>
        <v/>
      </c>
      <c r="CY1085">
        <f>IFERROR(INDEX(PP_Grid[#Data],$DD1085,101),0)</f>
        <v/>
      </c>
      <c r="CZ1085">
        <f>IFERROR(INDEX(PP_Grid[#Data],$DD1085,102),0)</f>
        <v/>
      </c>
      <c r="DA1085">
        <f>IFERROR(INDEX(PP_Grid[#Data],$DD1085,103),0)</f>
        <v/>
      </c>
      <c r="DB1085">
        <f>IFERROR(INDEX(PP_Grid[#Data],$DD1085,104),0)</f>
        <v/>
      </c>
      <c r="DC1085">
        <f>IFERROR(INDEX(PP_Grid[#Data],$DD1085,105),0)</f>
        <v/>
      </c>
      <c r="DD1085" s="7">
        <f>IFERROR(MATCH($B1085,PP_Grid[Intermediate],0),99999)</f>
        <v/>
      </c>
    </row>
    <row r="1086">
      <c r="B1086" t="inlineStr">
        <is>
          <t>使用量(kg)</t>
        </is>
      </c>
      <c r="C1086">
        <f>SUMIFS(M_BOM[RM_Qty_Per_Batch],M_BOM[Intermediate],$B1085,M_BOM[Part Name],$A1082)</f>
        <v/>
      </c>
      <c r="D1086">
        <f>$C1086*D1085</f>
        <v/>
      </c>
      <c r="E1086">
        <f>$C1086*E1085</f>
        <v/>
      </c>
      <c r="F1086">
        <f>$C1086*F1085</f>
        <v/>
      </c>
      <c r="G1086">
        <f>$C1086*G1085</f>
        <v/>
      </c>
      <c r="H1086">
        <f>$C1086*H1085</f>
        <v/>
      </c>
      <c r="I1086">
        <f>$C1086*I1085</f>
        <v/>
      </c>
      <c r="J1086">
        <f>$C1086*J1085</f>
        <v/>
      </c>
      <c r="K1086">
        <f>$C1086*K1085</f>
        <v/>
      </c>
      <c r="L1086">
        <f>$C1086*L1085</f>
        <v/>
      </c>
      <c r="M1086">
        <f>$C1086*M1085</f>
        <v/>
      </c>
      <c r="N1086">
        <f>$C1086*N1085</f>
        <v/>
      </c>
      <c r="O1086">
        <f>$C1086*O1085</f>
        <v/>
      </c>
      <c r="P1086">
        <f>$C1086*P1085</f>
        <v/>
      </c>
      <c r="Q1086">
        <f>$C1086*Q1085</f>
        <v/>
      </c>
      <c r="R1086">
        <f>$C1086*R1085</f>
        <v/>
      </c>
      <c r="S1086">
        <f>$C1086*S1085</f>
        <v/>
      </c>
      <c r="T1086">
        <f>$C1086*T1085</f>
        <v/>
      </c>
      <c r="U1086">
        <f>$C1086*U1085</f>
        <v/>
      </c>
      <c r="V1086">
        <f>$C1086*V1085</f>
        <v/>
      </c>
      <c r="W1086">
        <f>$C1086*W1085</f>
        <v/>
      </c>
      <c r="X1086">
        <f>$C1086*X1085</f>
        <v/>
      </c>
      <c r="Y1086">
        <f>$C1086*Y1085</f>
        <v/>
      </c>
      <c r="Z1086">
        <f>$C1086*Z1085</f>
        <v/>
      </c>
      <c r="AA1086">
        <f>$C1086*AA1085</f>
        <v/>
      </c>
      <c r="AB1086">
        <f>$C1086*AB1085</f>
        <v/>
      </c>
      <c r="AC1086">
        <f>$C1086*AC1085</f>
        <v/>
      </c>
      <c r="AD1086">
        <f>$C1086*AD1085</f>
        <v/>
      </c>
      <c r="AE1086">
        <f>$C1086*AE1085</f>
        <v/>
      </c>
      <c r="AF1086">
        <f>$C1086*AF1085</f>
        <v/>
      </c>
      <c r="AG1086">
        <f>$C1086*AG1085</f>
        <v/>
      </c>
      <c r="AH1086">
        <f>$C1086*AH1085</f>
        <v/>
      </c>
      <c r="AI1086">
        <f>$C1086*AI1085</f>
        <v/>
      </c>
      <c r="AJ1086">
        <f>$C1086*AJ1085</f>
        <v/>
      </c>
      <c r="AK1086">
        <f>$C1086*AK1085</f>
        <v/>
      </c>
      <c r="AL1086">
        <f>$C1086*AL1085</f>
        <v/>
      </c>
      <c r="AM1086">
        <f>$C1086*AM1085</f>
        <v/>
      </c>
      <c r="AN1086">
        <f>$C1086*AN1085</f>
        <v/>
      </c>
      <c r="AO1086">
        <f>$C1086*AO1085</f>
        <v/>
      </c>
      <c r="AP1086">
        <f>$C1086*AP1085</f>
        <v/>
      </c>
      <c r="AQ1086">
        <f>$C1086*AQ1085</f>
        <v/>
      </c>
      <c r="AR1086">
        <f>$C1086*AR1085</f>
        <v/>
      </c>
      <c r="AS1086">
        <f>$C1086*AS1085</f>
        <v/>
      </c>
      <c r="AT1086">
        <f>$C1086*AT1085</f>
        <v/>
      </c>
      <c r="AU1086">
        <f>$C1086*AU1085</f>
        <v/>
      </c>
      <c r="AV1086">
        <f>$C1086*AV1085</f>
        <v/>
      </c>
      <c r="AW1086">
        <f>$C1086*AW1085</f>
        <v/>
      </c>
      <c r="AX1086">
        <f>$C1086*AX1085</f>
        <v/>
      </c>
      <c r="AY1086">
        <f>$C1086*AY1085</f>
        <v/>
      </c>
      <c r="AZ1086">
        <f>$C1086*AZ1085</f>
        <v/>
      </c>
      <c r="BA1086">
        <f>$C1086*BA1085</f>
        <v/>
      </c>
      <c r="BB1086">
        <f>$C1086*BB1085</f>
        <v/>
      </c>
      <c r="BC1086">
        <f>$C1086*BC1085</f>
        <v/>
      </c>
      <c r="BD1086">
        <f>$C1086*BD1085</f>
        <v/>
      </c>
      <c r="BE1086">
        <f>$C1086*BE1085</f>
        <v/>
      </c>
      <c r="BF1086">
        <f>$C1086*BF1085</f>
        <v/>
      </c>
      <c r="BG1086">
        <f>$C1086*BG1085</f>
        <v/>
      </c>
      <c r="BH1086">
        <f>$C1086*BH1085</f>
        <v/>
      </c>
      <c r="BI1086">
        <f>$C1086*BI1085</f>
        <v/>
      </c>
      <c r="BJ1086">
        <f>$C1086*BJ1085</f>
        <v/>
      </c>
      <c r="BK1086">
        <f>$C1086*BK1085</f>
        <v/>
      </c>
      <c r="BL1086">
        <f>$C1086*BL1085</f>
        <v/>
      </c>
      <c r="BM1086">
        <f>$C1086*BM1085</f>
        <v/>
      </c>
      <c r="BN1086">
        <f>$C1086*BN1085</f>
        <v/>
      </c>
      <c r="BO1086">
        <f>$C1086*BO1085</f>
        <v/>
      </c>
      <c r="BP1086">
        <f>$C1086*BP1085</f>
        <v/>
      </c>
      <c r="BQ1086">
        <f>$C1086*BQ1085</f>
        <v/>
      </c>
      <c r="BR1086">
        <f>$C1086*BR1085</f>
        <v/>
      </c>
      <c r="BS1086">
        <f>$C1086*BS1085</f>
        <v/>
      </c>
      <c r="BT1086">
        <f>$C1086*BT1085</f>
        <v/>
      </c>
      <c r="BU1086">
        <f>$C1086*BU1085</f>
        <v/>
      </c>
      <c r="BV1086">
        <f>$C1086*BV1085</f>
        <v/>
      </c>
      <c r="BW1086">
        <f>$C1086*BW1085</f>
        <v/>
      </c>
      <c r="BX1086">
        <f>$C1086*BX1085</f>
        <v/>
      </c>
      <c r="BY1086">
        <f>$C1086*BY1085</f>
        <v/>
      </c>
      <c r="BZ1086">
        <f>$C1086*BZ1085</f>
        <v/>
      </c>
      <c r="CA1086">
        <f>$C1086*CA1085</f>
        <v/>
      </c>
      <c r="CB1086">
        <f>$C1086*CB1085</f>
        <v/>
      </c>
      <c r="CC1086">
        <f>$C1086*CC1085</f>
        <v/>
      </c>
      <c r="CD1086">
        <f>$C1086*CD1085</f>
        <v/>
      </c>
      <c r="CE1086">
        <f>$C1086*CE1085</f>
        <v/>
      </c>
      <c r="CF1086">
        <f>$C1086*CF1085</f>
        <v/>
      </c>
      <c r="CG1086">
        <f>$C1086*CG1085</f>
        <v/>
      </c>
      <c r="CH1086">
        <f>$C1086*CH1085</f>
        <v/>
      </c>
      <c r="CI1086">
        <f>$C1086*CI1085</f>
        <v/>
      </c>
      <c r="CJ1086">
        <f>$C1086*CJ1085</f>
        <v/>
      </c>
      <c r="CK1086">
        <f>$C1086*CK1085</f>
        <v/>
      </c>
      <c r="CL1086">
        <f>$C1086*CL1085</f>
        <v/>
      </c>
      <c r="CM1086">
        <f>$C1086*CM1085</f>
        <v/>
      </c>
      <c r="CN1086">
        <f>$C1086*CN1085</f>
        <v/>
      </c>
      <c r="CO1086">
        <f>$C1086*CO1085</f>
        <v/>
      </c>
      <c r="CP1086">
        <f>$C1086*CP1085</f>
        <v/>
      </c>
      <c r="CQ1086">
        <f>$C1086*CQ1085</f>
        <v/>
      </c>
      <c r="CR1086">
        <f>$C1086*CR1085</f>
        <v/>
      </c>
      <c r="CS1086">
        <f>$C1086*CS1085</f>
        <v/>
      </c>
      <c r="CT1086">
        <f>$C1086*CT1085</f>
        <v/>
      </c>
      <c r="CU1086">
        <f>$C1086*CU1085</f>
        <v/>
      </c>
      <c r="CV1086">
        <f>$C1086*CV1085</f>
        <v/>
      </c>
      <c r="CW1086">
        <f>$C1086*CW1085</f>
        <v/>
      </c>
      <c r="CX1086">
        <f>$C1086*CX1085</f>
        <v/>
      </c>
      <c r="CY1086">
        <f>$C1086*CY1085</f>
        <v/>
      </c>
      <c r="CZ1086">
        <f>$C1086*CZ1085</f>
        <v/>
      </c>
      <c r="DA1086">
        <f>$C1086*DA1085</f>
        <v/>
      </c>
      <c r="DB1086">
        <f>$C1086*DB1085</f>
        <v/>
      </c>
      <c r="DC1086">
        <f>$C1086*DC1085</f>
        <v/>
      </c>
    </row>
    <row r="1087">
      <c r="B1087" t="inlineStr">
        <is>
          <t>TSP-1559</t>
        </is>
      </c>
      <c r="C1087" t="inlineStr">
        <is>
          <t>No. of batches</t>
        </is>
      </c>
      <c r="D1087">
        <f>IFERROR(INDEX(PP_Grid[#Data],$DD1087,2),0)</f>
        <v/>
      </c>
      <c r="E1087">
        <f>IFERROR(INDEX(PP_Grid[#Data],$DD1087,3),0)</f>
        <v/>
      </c>
      <c r="F1087">
        <f>IFERROR(INDEX(PP_Grid[#Data],$DD1087,4),0)</f>
        <v/>
      </c>
      <c r="G1087">
        <f>IFERROR(INDEX(PP_Grid[#Data],$DD1087,5),0)</f>
        <v/>
      </c>
      <c r="H1087">
        <f>IFERROR(INDEX(PP_Grid[#Data],$DD1087,6),0)</f>
        <v/>
      </c>
      <c r="I1087">
        <f>IFERROR(INDEX(PP_Grid[#Data],$DD1087,7),0)</f>
        <v/>
      </c>
      <c r="J1087">
        <f>IFERROR(INDEX(PP_Grid[#Data],$DD1087,8),0)</f>
        <v/>
      </c>
      <c r="K1087">
        <f>IFERROR(INDEX(PP_Grid[#Data],$DD1087,9),0)</f>
        <v/>
      </c>
      <c r="L1087">
        <f>IFERROR(INDEX(PP_Grid[#Data],$DD1087,10),0)</f>
        <v/>
      </c>
      <c r="M1087">
        <f>IFERROR(INDEX(PP_Grid[#Data],$DD1087,11),0)</f>
        <v/>
      </c>
      <c r="N1087">
        <f>IFERROR(INDEX(PP_Grid[#Data],$DD1087,12),0)</f>
        <v/>
      </c>
      <c r="O1087">
        <f>IFERROR(INDEX(PP_Grid[#Data],$DD1087,13),0)</f>
        <v/>
      </c>
      <c r="P1087">
        <f>IFERROR(INDEX(PP_Grid[#Data],$DD1087,14),0)</f>
        <v/>
      </c>
      <c r="Q1087">
        <f>IFERROR(INDEX(PP_Grid[#Data],$DD1087,15),0)</f>
        <v/>
      </c>
      <c r="R1087">
        <f>IFERROR(INDEX(PP_Grid[#Data],$DD1087,16),0)</f>
        <v/>
      </c>
      <c r="S1087">
        <f>IFERROR(INDEX(PP_Grid[#Data],$DD1087,17),0)</f>
        <v/>
      </c>
      <c r="T1087">
        <f>IFERROR(INDEX(PP_Grid[#Data],$DD1087,18),0)</f>
        <v/>
      </c>
      <c r="U1087">
        <f>IFERROR(INDEX(PP_Grid[#Data],$DD1087,19),0)</f>
        <v/>
      </c>
      <c r="V1087">
        <f>IFERROR(INDEX(PP_Grid[#Data],$DD1087,20),0)</f>
        <v/>
      </c>
      <c r="W1087">
        <f>IFERROR(INDEX(PP_Grid[#Data],$DD1087,21),0)</f>
        <v/>
      </c>
      <c r="X1087">
        <f>IFERROR(INDEX(PP_Grid[#Data],$DD1087,22),0)</f>
        <v/>
      </c>
      <c r="Y1087">
        <f>IFERROR(INDEX(PP_Grid[#Data],$DD1087,23),0)</f>
        <v/>
      </c>
      <c r="Z1087">
        <f>IFERROR(INDEX(PP_Grid[#Data],$DD1087,24),0)</f>
        <v/>
      </c>
      <c r="AA1087">
        <f>IFERROR(INDEX(PP_Grid[#Data],$DD1087,25),0)</f>
        <v/>
      </c>
      <c r="AB1087">
        <f>IFERROR(INDEX(PP_Grid[#Data],$DD1087,26),0)</f>
        <v/>
      </c>
      <c r="AC1087">
        <f>IFERROR(INDEX(PP_Grid[#Data],$DD1087,27),0)</f>
        <v/>
      </c>
      <c r="AD1087">
        <f>IFERROR(INDEX(PP_Grid[#Data],$DD1087,28),0)</f>
        <v/>
      </c>
      <c r="AE1087">
        <f>IFERROR(INDEX(PP_Grid[#Data],$DD1087,29),0)</f>
        <v/>
      </c>
      <c r="AF1087">
        <f>IFERROR(INDEX(PP_Grid[#Data],$DD1087,30),0)</f>
        <v/>
      </c>
      <c r="AG1087">
        <f>IFERROR(INDEX(PP_Grid[#Data],$DD1087,31),0)</f>
        <v/>
      </c>
      <c r="AH1087">
        <f>IFERROR(INDEX(PP_Grid[#Data],$DD1087,32),0)</f>
        <v/>
      </c>
      <c r="AI1087">
        <f>IFERROR(INDEX(PP_Grid[#Data],$DD1087,33),0)</f>
        <v/>
      </c>
      <c r="AJ1087">
        <f>IFERROR(INDEX(PP_Grid[#Data],$DD1087,34),0)</f>
        <v/>
      </c>
      <c r="AK1087">
        <f>IFERROR(INDEX(PP_Grid[#Data],$DD1087,35),0)</f>
        <v/>
      </c>
      <c r="AL1087">
        <f>IFERROR(INDEX(PP_Grid[#Data],$DD1087,36),0)</f>
        <v/>
      </c>
      <c r="AM1087">
        <f>IFERROR(INDEX(PP_Grid[#Data],$DD1087,37),0)</f>
        <v/>
      </c>
      <c r="AN1087">
        <f>IFERROR(INDEX(PP_Grid[#Data],$DD1087,38),0)</f>
        <v/>
      </c>
      <c r="AO1087">
        <f>IFERROR(INDEX(PP_Grid[#Data],$DD1087,39),0)</f>
        <v/>
      </c>
      <c r="AP1087">
        <f>IFERROR(INDEX(PP_Grid[#Data],$DD1087,40),0)</f>
        <v/>
      </c>
      <c r="AQ1087">
        <f>IFERROR(INDEX(PP_Grid[#Data],$DD1087,41),0)</f>
        <v/>
      </c>
      <c r="AR1087">
        <f>IFERROR(INDEX(PP_Grid[#Data],$DD1087,42),0)</f>
        <v/>
      </c>
      <c r="AS1087">
        <f>IFERROR(INDEX(PP_Grid[#Data],$DD1087,43),0)</f>
        <v/>
      </c>
      <c r="AT1087">
        <f>IFERROR(INDEX(PP_Grid[#Data],$DD1087,44),0)</f>
        <v/>
      </c>
      <c r="AU1087">
        <f>IFERROR(INDEX(PP_Grid[#Data],$DD1087,45),0)</f>
        <v/>
      </c>
      <c r="AV1087">
        <f>IFERROR(INDEX(PP_Grid[#Data],$DD1087,46),0)</f>
        <v/>
      </c>
      <c r="AW1087">
        <f>IFERROR(INDEX(PP_Grid[#Data],$DD1087,47),0)</f>
        <v/>
      </c>
      <c r="AX1087">
        <f>IFERROR(INDEX(PP_Grid[#Data],$DD1087,48),0)</f>
        <v/>
      </c>
      <c r="AY1087">
        <f>IFERROR(INDEX(PP_Grid[#Data],$DD1087,49),0)</f>
        <v/>
      </c>
      <c r="AZ1087">
        <f>IFERROR(INDEX(PP_Grid[#Data],$DD1087,50),0)</f>
        <v/>
      </c>
      <c r="BA1087">
        <f>IFERROR(INDEX(PP_Grid[#Data],$DD1087,51),0)</f>
        <v/>
      </c>
      <c r="BB1087">
        <f>IFERROR(INDEX(PP_Grid[#Data],$DD1087,52),0)</f>
        <v/>
      </c>
      <c r="BC1087">
        <f>IFERROR(INDEX(PP_Grid[#Data],$DD1087,53),0)</f>
        <v/>
      </c>
      <c r="BD1087">
        <f>IFERROR(INDEX(PP_Grid[#Data],$DD1087,54),0)</f>
        <v/>
      </c>
      <c r="BE1087">
        <f>IFERROR(INDEX(PP_Grid[#Data],$DD1087,55),0)</f>
        <v/>
      </c>
      <c r="BF1087">
        <f>IFERROR(INDEX(PP_Grid[#Data],$DD1087,56),0)</f>
        <v/>
      </c>
      <c r="BG1087">
        <f>IFERROR(INDEX(PP_Grid[#Data],$DD1087,57),0)</f>
        <v/>
      </c>
      <c r="BH1087">
        <f>IFERROR(INDEX(PP_Grid[#Data],$DD1087,58),0)</f>
        <v/>
      </c>
      <c r="BI1087">
        <f>IFERROR(INDEX(PP_Grid[#Data],$DD1087,59),0)</f>
        <v/>
      </c>
      <c r="BJ1087">
        <f>IFERROR(INDEX(PP_Grid[#Data],$DD1087,60),0)</f>
        <v/>
      </c>
      <c r="BK1087">
        <f>IFERROR(INDEX(PP_Grid[#Data],$DD1087,61),0)</f>
        <v/>
      </c>
      <c r="BL1087">
        <f>IFERROR(INDEX(PP_Grid[#Data],$DD1087,62),0)</f>
        <v/>
      </c>
      <c r="BM1087">
        <f>IFERROR(INDEX(PP_Grid[#Data],$DD1087,63),0)</f>
        <v/>
      </c>
      <c r="BN1087">
        <f>IFERROR(INDEX(PP_Grid[#Data],$DD1087,64),0)</f>
        <v/>
      </c>
      <c r="BO1087">
        <f>IFERROR(INDEX(PP_Grid[#Data],$DD1087,65),0)</f>
        <v/>
      </c>
      <c r="BP1087">
        <f>IFERROR(INDEX(PP_Grid[#Data],$DD1087,66),0)</f>
        <v/>
      </c>
      <c r="BQ1087">
        <f>IFERROR(INDEX(PP_Grid[#Data],$DD1087,67),0)</f>
        <v/>
      </c>
      <c r="BR1087">
        <f>IFERROR(INDEX(PP_Grid[#Data],$DD1087,68),0)</f>
        <v/>
      </c>
      <c r="BS1087">
        <f>IFERROR(INDEX(PP_Grid[#Data],$DD1087,69),0)</f>
        <v/>
      </c>
      <c r="BT1087">
        <f>IFERROR(INDEX(PP_Grid[#Data],$DD1087,70),0)</f>
        <v/>
      </c>
      <c r="BU1087">
        <f>IFERROR(INDEX(PP_Grid[#Data],$DD1087,71),0)</f>
        <v/>
      </c>
      <c r="BV1087">
        <f>IFERROR(INDEX(PP_Grid[#Data],$DD1087,72),0)</f>
        <v/>
      </c>
      <c r="BW1087">
        <f>IFERROR(INDEX(PP_Grid[#Data],$DD1087,73),0)</f>
        <v/>
      </c>
      <c r="BX1087">
        <f>IFERROR(INDEX(PP_Grid[#Data],$DD1087,74),0)</f>
        <v/>
      </c>
      <c r="BY1087">
        <f>IFERROR(INDEX(PP_Grid[#Data],$DD1087,75),0)</f>
        <v/>
      </c>
      <c r="BZ1087">
        <f>IFERROR(INDEX(PP_Grid[#Data],$DD1087,76),0)</f>
        <v/>
      </c>
      <c r="CA1087">
        <f>IFERROR(INDEX(PP_Grid[#Data],$DD1087,77),0)</f>
        <v/>
      </c>
      <c r="CB1087">
        <f>IFERROR(INDEX(PP_Grid[#Data],$DD1087,78),0)</f>
        <v/>
      </c>
      <c r="CC1087">
        <f>IFERROR(INDEX(PP_Grid[#Data],$DD1087,79),0)</f>
        <v/>
      </c>
      <c r="CD1087">
        <f>IFERROR(INDEX(PP_Grid[#Data],$DD1087,80),0)</f>
        <v/>
      </c>
      <c r="CE1087">
        <f>IFERROR(INDEX(PP_Grid[#Data],$DD1087,81),0)</f>
        <v/>
      </c>
      <c r="CF1087">
        <f>IFERROR(INDEX(PP_Grid[#Data],$DD1087,82),0)</f>
        <v/>
      </c>
      <c r="CG1087">
        <f>IFERROR(INDEX(PP_Grid[#Data],$DD1087,83),0)</f>
        <v/>
      </c>
      <c r="CH1087">
        <f>IFERROR(INDEX(PP_Grid[#Data],$DD1087,84),0)</f>
        <v/>
      </c>
      <c r="CI1087">
        <f>IFERROR(INDEX(PP_Grid[#Data],$DD1087,85),0)</f>
        <v/>
      </c>
      <c r="CJ1087">
        <f>IFERROR(INDEX(PP_Grid[#Data],$DD1087,86),0)</f>
        <v/>
      </c>
      <c r="CK1087">
        <f>IFERROR(INDEX(PP_Grid[#Data],$DD1087,87),0)</f>
        <v/>
      </c>
      <c r="CL1087">
        <f>IFERROR(INDEX(PP_Grid[#Data],$DD1087,88),0)</f>
        <v/>
      </c>
      <c r="CM1087">
        <f>IFERROR(INDEX(PP_Grid[#Data],$DD1087,89),0)</f>
        <v/>
      </c>
      <c r="CN1087">
        <f>IFERROR(INDEX(PP_Grid[#Data],$DD1087,90),0)</f>
        <v/>
      </c>
      <c r="CO1087">
        <f>IFERROR(INDEX(PP_Grid[#Data],$DD1087,91),0)</f>
        <v/>
      </c>
      <c r="CP1087">
        <f>IFERROR(INDEX(PP_Grid[#Data],$DD1087,92),0)</f>
        <v/>
      </c>
      <c r="CQ1087">
        <f>IFERROR(INDEX(PP_Grid[#Data],$DD1087,93),0)</f>
        <v/>
      </c>
      <c r="CR1087">
        <f>IFERROR(INDEX(PP_Grid[#Data],$DD1087,94),0)</f>
        <v/>
      </c>
      <c r="CS1087">
        <f>IFERROR(INDEX(PP_Grid[#Data],$DD1087,95),0)</f>
        <v/>
      </c>
      <c r="CT1087">
        <f>IFERROR(INDEX(PP_Grid[#Data],$DD1087,96),0)</f>
        <v/>
      </c>
      <c r="CU1087">
        <f>IFERROR(INDEX(PP_Grid[#Data],$DD1087,97),0)</f>
        <v/>
      </c>
      <c r="CV1087">
        <f>IFERROR(INDEX(PP_Grid[#Data],$DD1087,98),0)</f>
        <v/>
      </c>
      <c r="CW1087">
        <f>IFERROR(INDEX(PP_Grid[#Data],$DD1087,99),0)</f>
        <v/>
      </c>
      <c r="CX1087">
        <f>IFERROR(INDEX(PP_Grid[#Data],$DD1087,100),0)</f>
        <v/>
      </c>
      <c r="CY1087">
        <f>IFERROR(INDEX(PP_Grid[#Data],$DD1087,101),0)</f>
        <v/>
      </c>
      <c r="CZ1087">
        <f>IFERROR(INDEX(PP_Grid[#Data],$DD1087,102),0)</f>
        <v/>
      </c>
      <c r="DA1087">
        <f>IFERROR(INDEX(PP_Grid[#Data],$DD1087,103),0)</f>
        <v/>
      </c>
      <c r="DB1087">
        <f>IFERROR(INDEX(PP_Grid[#Data],$DD1087,104),0)</f>
        <v/>
      </c>
      <c r="DC1087">
        <f>IFERROR(INDEX(PP_Grid[#Data],$DD1087,105),0)</f>
        <v/>
      </c>
      <c r="DD1087" s="7">
        <f>IFERROR(MATCH($B1087,PP_Grid[Intermediate],0),99999)</f>
        <v/>
      </c>
    </row>
    <row r="1088">
      <c r="B1088" t="inlineStr">
        <is>
          <t>使用量(kg)</t>
        </is>
      </c>
      <c r="C1088">
        <f>SUMIFS(M_BOM[RM_Qty_Per_Batch],M_BOM[Intermediate],$B1087,M_BOM[Part Name],$A1082)</f>
        <v/>
      </c>
      <c r="D1088">
        <f>$C1088*D1087</f>
        <v/>
      </c>
      <c r="E1088">
        <f>$C1088*E1087</f>
        <v/>
      </c>
      <c r="F1088">
        <f>$C1088*F1087</f>
        <v/>
      </c>
      <c r="G1088">
        <f>$C1088*G1087</f>
        <v/>
      </c>
      <c r="H1088">
        <f>$C1088*H1087</f>
        <v/>
      </c>
      <c r="I1088">
        <f>$C1088*I1087</f>
        <v/>
      </c>
      <c r="J1088">
        <f>$C1088*J1087</f>
        <v/>
      </c>
      <c r="K1088">
        <f>$C1088*K1087</f>
        <v/>
      </c>
      <c r="L1088">
        <f>$C1088*L1087</f>
        <v/>
      </c>
      <c r="M1088">
        <f>$C1088*M1087</f>
        <v/>
      </c>
      <c r="N1088">
        <f>$C1088*N1087</f>
        <v/>
      </c>
      <c r="O1088">
        <f>$C1088*O1087</f>
        <v/>
      </c>
      <c r="P1088">
        <f>$C1088*P1087</f>
        <v/>
      </c>
      <c r="Q1088">
        <f>$C1088*Q1087</f>
        <v/>
      </c>
      <c r="R1088">
        <f>$C1088*R1087</f>
        <v/>
      </c>
      <c r="S1088">
        <f>$C1088*S1087</f>
        <v/>
      </c>
      <c r="T1088">
        <f>$C1088*T1087</f>
        <v/>
      </c>
      <c r="U1088">
        <f>$C1088*U1087</f>
        <v/>
      </c>
      <c r="V1088">
        <f>$C1088*V1087</f>
        <v/>
      </c>
      <c r="W1088">
        <f>$C1088*W1087</f>
        <v/>
      </c>
      <c r="X1088">
        <f>$C1088*X1087</f>
        <v/>
      </c>
      <c r="Y1088">
        <f>$C1088*Y1087</f>
        <v/>
      </c>
      <c r="Z1088">
        <f>$C1088*Z1087</f>
        <v/>
      </c>
      <c r="AA1088">
        <f>$C1088*AA1087</f>
        <v/>
      </c>
      <c r="AB1088">
        <f>$C1088*AB1087</f>
        <v/>
      </c>
      <c r="AC1088">
        <f>$C1088*AC1087</f>
        <v/>
      </c>
      <c r="AD1088">
        <f>$C1088*AD1087</f>
        <v/>
      </c>
      <c r="AE1088">
        <f>$C1088*AE1087</f>
        <v/>
      </c>
      <c r="AF1088">
        <f>$C1088*AF1087</f>
        <v/>
      </c>
      <c r="AG1088">
        <f>$C1088*AG1087</f>
        <v/>
      </c>
      <c r="AH1088">
        <f>$C1088*AH1087</f>
        <v/>
      </c>
      <c r="AI1088">
        <f>$C1088*AI1087</f>
        <v/>
      </c>
      <c r="AJ1088">
        <f>$C1088*AJ1087</f>
        <v/>
      </c>
      <c r="AK1088">
        <f>$C1088*AK1087</f>
        <v/>
      </c>
      <c r="AL1088">
        <f>$C1088*AL1087</f>
        <v/>
      </c>
      <c r="AM1088">
        <f>$C1088*AM1087</f>
        <v/>
      </c>
      <c r="AN1088">
        <f>$C1088*AN1087</f>
        <v/>
      </c>
      <c r="AO1088">
        <f>$C1088*AO1087</f>
        <v/>
      </c>
      <c r="AP1088">
        <f>$C1088*AP1087</f>
        <v/>
      </c>
      <c r="AQ1088">
        <f>$C1088*AQ1087</f>
        <v/>
      </c>
      <c r="AR1088">
        <f>$C1088*AR1087</f>
        <v/>
      </c>
      <c r="AS1088">
        <f>$C1088*AS1087</f>
        <v/>
      </c>
      <c r="AT1088">
        <f>$C1088*AT1087</f>
        <v/>
      </c>
      <c r="AU1088">
        <f>$C1088*AU1087</f>
        <v/>
      </c>
      <c r="AV1088">
        <f>$C1088*AV1087</f>
        <v/>
      </c>
      <c r="AW1088">
        <f>$C1088*AW1087</f>
        <v/>
      </c>
      <c r="AX1088">
        <f>$C1088*AX1087</f>
        <v/>
      </c>
      <c r="AY1088">
        <f>$C1088*AY1087</f>
        <v/>
      </c>
      <c r="AZ1088">
        <f>$C1088*AZ1087</f>
        <v/>
      </c>
      <c r="BA1088">
        <f>$C1088*BA1087</f>
        <v/>
      </c>
      <c r="BB1088">
        <f>$C1088*BB1087</f>
        <v/>
      </c>
      <c r="BC1088">
        <f>$C1088*BC1087</f>
        <v/>
      </c>
      <c r="BD1088">
        <f>$C1088*BD1087</f>
        <v/>
      </c>
      <c r="BE1088">
        <f>$C1088*BE1087</f>
        <v/>
      </c>
      <c r="BF1088">
        <f>$C1088*BF1087</f>
        <v/>
      </c>
      <c r="BG1088">
        <f>$C1088*BG1087</f>
        <v/>
      </c>
      <c r="BH1088">
        <f>$C1088*BH1087</f>
        <v/>
      </c>
      <c r="BI1088">
        <f>$C1088*BI1087</f>
        <v/>
      </c>
      <c r="BJ1088">
        <f>$C1088*BJ1087</f>
        <v/>
      </c>
      <c r="BK1088">
        <f>$C1088*BK1087</f>
        <v/>
      </c>
      <c r="BL1088">
        <f>$C1088*BL1087</f>
        <v/>
      </c>
      <c r="BM1088">
        <f>$C1088*BM1087</f>
        <v/>
      </c>
      <c r="BN1088">
        <f>$C1088*BN1087</f>
        <v/>
      </c>
      <c r="BO1088">
        <f>$C1088*BO1087</f>
        <v/>
      </c>
      <c r="BP1088">
        <f>$C1088*BP1087</f>
        <v/>
      </c>
      <c r="BQ1088">
        <f>$C1088*BQ1087</f>
        <v/>
      </c>
      <c r="BR1088">
        <f>$C1088*BR1087</f>
        <v/>
      </c>
      <c r="BS1088">
        <f>$C1088*BS1087</f>
        <v/>
      </c>
      <c r="BT1088">
        <f>$C1088*BT1087</f>
        <v/>
      </c>
      <c r="BU1088">
        <f>$C1088*BU1087</f>
        <v/>
      </c>
      <c r="BV1088">
        <f>$C1088*BV1087</f>
        <v/>
      </c>
      <c r="BW1088">
        <f>$C1088*BW1087</f>
        <v/>
      </c>
      <c r="BX1088">
        <f>$C1088*BX1087</f>
        <v/>
      </c>
      <c r="BY1088">
        <f>$C1088*BY1087</f>
        <v/>
      </c>
      <c r="BZ1088">
        <f>$C1088*BZ1087</f>
        <v/>
      </c>
      <c r="CA1088">
        <f>$C1088*CA1087</f>
        <v/>
      </c>
      <c r="CB1088">
        <f>$C1088*CB1087</f>
        <v/>
      </c>
      <c r="CC1088">
        <f>$C1088*CC1087</f>
        <v/>
      </c>
      <c r="CD1088">
        <f>$C1088*CD1087</f>
        <v/>
      </c>
      <c r="CE1088">
        <f>$C1088*CE1087</f>
        <v/>
      </c>
      <c r="CF1088">
        <f>$C1088*CF1087</f>
        <v/>
      </c>
      <c r="CG1088">
        <f>$C1088*CG1087</f>
        <v/>
      </c>
      <c r="CH1088">
        <f>$C1088*CH1087</f>
        <v/>
      </c>
      <c r="CI1088">
        <f>$C1088*CI1087</f>
        <v/>
      </c>
      <c r="CJ1088">
        <f>$C1088*CJ1087</f>
        <v/>
      </c>
      <c r="CK1088">
        <f>$C1088*CK1087</f>
        <v/>
      </c>
      <c r="CL1088">
        <f>$C1088*CL1087</f>
        <v/>
      </c>
      <c r="CM1088">
        <f>$C1088*CM1087</f>
        <v/>
      </c>
      <c r="CN1088">
        <f>$C1088*CN1087</f>
        <v/>
      </c>
      <c r="CO1088">
        <f>$C1088*CO1087</f>
        <v/>
      </c>
      <c r="CP1088">
        <f>$C1088*CP1087</f>
        <v/>
      </c>
      <c r="CQ1088">
        <f>$C1088*CQ1087</f>
        <v/>
      </c>
      <c r="CR1088">
        <f>$C1088*CR1087</f>
        <v/>
      </c>
      <c r="CS1088">
        <f>$C1088*CS1087</f>
        <v/>
      </c>
      <c r="CT1088">
        <f>$C1088*CT1087</f>
        <v/>
      </c>
      <c r="CU1088">
        <f>$C1088*CU1087</f>
        <v/>
      </c>
      <c r="CV1088">
        <f>$C1088*CV1087</f>
        <v/>
      </c>
      <c r="CW1088">
        <f>$C1088*CW1087</f>
        <v/>
      </c>
      <c r="CX1088">
        <f>$C1088*CX1087</f>
        <v/>
      </c>
      <c r="CY1088">
        <f>$C1088*CY1087</f>
        <v/>
      </c>
      <c r="CZ1088">
        <f>$C1088*CZ1087</f>
        <v/>
      </c>
      <c r="DA1088">
        <f>$C1088*DA1087</f>
        <v/>
      </c>
      <c r="DB1088">
        <f>$C1088*DB1087</f>
        <v/>
      </c>
      <c r="DC1088">
        <f>$C1088*DC1087</f>
        <v/>
      </c>
    </row>
    <row r="1089">
      <c r="B1089" t="inlineStr">
        <is>
          <t>TSP-2157</t>
        </is>
      </c>
      <c r="C1089" t="inlineStr">
        <is>
          <t>No. of batches</t>
        </is>
      </c>
      <c r="D1089">
        <f>IFERROR(INDEX(PP_Grid[#Data],$DD1089,2),0)</f>
        <v/>
      </c>
      <c r="E1089">
        <f>IFERROR(INDEX(PP_Grid[#Data],$DD1089,3),0)</f>
        <v/>
      </c>
      <c r="F1089">
        <f>IFERROR(INDEX(PP_Grid[#Data],$DD1089,4),0)</f>
        <v/>
      </c>
      <c r="G1089">
        <f>IFERROR(INDEX(PP_Grid[#Data],$DD1089,5),0)</f>
        <v/>
      </c>
      <c r="H1089">
        <f>IFERROR(INDEX(PP_Grid[#Data],$DD1089,6),0)</f>
        <v/>
      </c>
      <c r="I1089">
        <f>IFERROR(INDEX(PP_Grid[#Data],$DD1089,7),0)</f>
        <v/>
      </c>
      <c r="J1089">
        <f>IFERROR(INDEX(PP_Grid[#Data],$DD1089,8),0)</f>
        <v/>
      </c>
      <c r="K1089">
        <f>IFERROR(INDEX(PP_Grid[#Data],$DD1089,9),0)</f>
        <v/>
      </c>
      <c r="L1089">
        <f>IFERROR(INDEX(PP_Grid[#Data],$DD1089,10),0)</f>
        <v/>
      </c>
      <c r="M1089">
        <f>IFERROR(INDEX(PP_Grid[#Data],$DD1089,11),0)</f>
        <v/>
      </c>
      <c r="N1089">
        <f>IFERROR(INDEX(PP_Grid[#Data],$DD1089,12),0)</f>
        <v/>
      </c>
      <c r="O1089">
        <f>IFERROR(INDEX(PP_Grid[#Data],$DD1089,13),0)</f>
        <v/>
      </c>
      <c r="P1089">
        <f>IFERROR(INDEX(PP_Grid[#Data],$DD1089,14),0)</f>
        <v/>
      </c>
      <c r="Q1089">
        <f>IFERROR(INDEX(PP_Grid[#Data],$DD1089,15),0)</f>
        <v/>
      </c>
      <c r="R1089">
        <f>IFERROR(INDEX(PP_Grid[#Data],$DD1089,16),0)</f>
        <v/>
      </c>
      <c r="S1089">
        <f>IFERROR(INDEX(PP_Grid[#Data],$DD1089,17),0)</f>
        <v/>
      </c>
      <c r="T1089">
        <f>IFERROR(INDEX(PP_Grid[#Data],$DD1089,18),0)</f>
        <v/>
      </c>
      <c r="U1089">
        <f>IFERROR(INDEX(PP_Grid[#Data],$DD1089,19),0)</f>
        <v/>
      </c>
      <c r="V1089">
        <f>IFERROR(INDEX(PP_Grid[#Data],$DD1089,20),0)</f>
        <v/>
      </c>
      <c r="W1089">
        <f>IFERROR(INDEX(PP_Grid[#Data],$DD1089,21),0)</f>
        <v/>
      </c>
      <c r="X1089">
        <f>IFERROR(INDEX(PP_Grid[#Data],$DD1089,22),0)</f>
        <v/>
      </c>
      <c r="Y1089">
        <f>IFERROR(INDEX(PP_Grid[#Data],$DD1089,23),0)</f>
        <v/>
      </c>
      <c r="Z1089">
        <f>IFERROR(INDEX(PP_Grid[#Data],$DD1089,24),0)</f>
        <v/>
      </c>
      <c r="AA1089">
        <f>IFERROR(INDEX(PP_Grid[#Data],$DD1089,25),0)</f>
        <v/>
      </c>
      <c r="AB1089">
        <f>IFERROR(INDEX(PP_Grid[#Data],$DD1089,26),0)</f>
        <v/>
      </c>
      <c r="AC1089">
        <f>IFERROR(INDEX(PP_Grid[#Data],$DD1089,27),0)</f>
        <v/>
      </c>
      <c r="AD1089">
        <f>IFERROR(INDEX(PP_Grid[#Data],$DD1089,28),0)</f>
        <v/>
      </c>
      <c r="AE1089">
        <f>IFERROR(INDEX(PP_Grid[#Data],$DD1089,29),0)</f>
        <v/>
      </c>
      <c r="AF1089">
        <f>IFERROR(INDEX(PP_Grid[#Data],$DD1089,30),0)</f>
        <v/>
      </c>
      <c r="AG1089">
        <f>IFERROR(INDEX(PP_Grid[#Data],$DD1089,31),0)</f>
        <v/>
      </c>
      <c r="AH1089">
        <f>IFERROR(INDEX(PP_Grid[#Data],$DD1089,32),0)</f>
        <v/>
      </c>
      <c r="AI1089">
        <f>IFERROR(INDEX(PP_Grid[#Data],$DD1089,33),0)</f>
        <v/>
      </c>
      <c r="AJ1089">
        <f>IFERROR(INDEX(PP_Grid[#Data],$DD1089,34),0)</f>
        <v/>
      </c>
      <c r="AK1089">
        <f>IFERROR(INDEX(PP_Grid[#Data],$DD1089,35),0)</f>
        <v/>
      </c>
      <c r="AL1089">
        <f>IFERROR(INDEX(PP_Grid[#Data],$DD1089,36),0)</f>
        <v/>
      </c>
      <c r="AM1089">
        <f>IFERROR(INDEX(PP_Grid[#Data],$DD1089,37),0)</f>
        <v/>
      </c>
      <c r="AN1089">
        <f>IFERROR(INDEX(PP_Grid[#Data],$DD1089,38),0)</f>
        <v/>
      </c>
      <c r="AO1089">
        <f>IFERROR(INDEX(PP_Grid[#Data],$DD1089,39),0)</f>
        <v/>
      </c>
      <c r="AP1089">
        <f>IFERROR(INDEX(PP_Grid[#Data],$DD1089,40),0)</f>
        <v/>
      </c>
      <c r="AQ1089">
        <f>IFERROR(INDEX(PP_Grid[#Data],$DD1089,41),0)</f>
        <v/>
      </c>
      <c r="AR1089">
        <f>IFERROR(INDEX(PP_Grid[#Data],$DD1089,42),0)</f>
        <v/>
      </c>
      <c r="AS1089">
        <f>IFERROR(INDEX(PP_Grid[#Data],$DD1089,43),0)</f>
        <v/>
      </c>
      <c r="AT1089">
        <f>IFERROR(INDEX(PP_Grid[#Data],$DD1089,44),0)</f>
        <v/>
      </c>
      <c r="AU1089">
        <f>IFERROR(INDEX(PP_Grid[#Data],$DD1089,45),0)</f>
        <v/>
      </c>
      <c r="AV1089">
        <f>IFERROR(INDEX(PP_Grid[#Data],$DD1089,46),0)</f>
        <v/>
      </c>
      <c r="AW1089">
        <f>IFERROR(INDEX(PP_Grid[#Data],$DD1089,47),0)</f>
        <v/>
      </c>
      <c r="AX1089">
        <f>IFERROR(INDEX(PP_Grid[#Data],$DD1089,48),0)</f>
        <v/>
      </c>
      <c r="AY1089">
        <f>IFERROR(INDEX(PP_Grid[#Data],$DD1089,49),0)</f>
        <v/>
      </c>
      <c r="AZ1089">
        <f>IFERROR(INDEX(PP_Grid[#Data],$DD1089,50),0)</f>
        <v/>
      </c>
      <c r="BA1089">
        <f>IFERROR(INDEX(PP_Grid[#Data],$DD1089,51),0)</f>
        <v/>
      </c>
      <c r="BB1089">
        <f>IFERROR(INDEX(PP_Grid[#Data],$DD1089,52),0)</f>
        <v/>
      </c>
      <c r="BC1089">
        <f>IFERROR(INDEX(PP_Grid[#Data],$DD1089,53),0)</f>
        <v/>
      </c>
      <c r="BD1089">
        <f>IFERROR(INDEX(PP_Grid[#Data],$DD1089,54),0)</f>
        <v/>
      </c>
      <c r="BE1089">
        <f>IFERROR(INDEX(PP_Grid[#Data],$DD1089,55),0)</f>
        <v/>
      </c>
      <c r="BF1089">
        <f>IFERROR(INDEX(PP_Grid[#Data],$DD1089,56),0)</f>
        <v/>
      </c>
      <c r="BG1089">
        <f>IFERROR(INDEX(PP_Grid[#Data],$DD1089,57),0)</f>
        <v/>
      </c>
      <c r="BH1089">
        <f>IFERROR(INDEX(PP_Grid[#Data],$DD1089,58),0)</f>
        <v/>
      </c>
      <c r="BI1089">
        <f>IFERROR(INDEX(PP_Grid[#Data],$DD1089,59),0)</f>
        <v/>
      </c>
      <c r="BJ1089">
        <f>IFERROR(INDEX(PP_Grid[#Data],$DD1089,60),0)</f>
        <v/>
      </c>
      <c r="BK1089">
        <f>IFERROR(INDEX(PP_Grid[#Data],$DD1089,61),0)</f>
        <v/>
      </c>
      <c r="BL1089">
        <f>IFERROR(INDEX(PP_Grid[#Data],$DD1089,62),0)</f>
        <v/>
      </c>
      <c r="BM1089">
        <f>IFERROR(INDEX(PP_Grid[#Data],$DD1089,63),0)</f>
        <v/>
      </c>
      <c r="BN1089">
        <f>IFERROR(INDEX(PP_Grid[#Data],$DD1089,64),0)</f>
        <v/>
      </c>
      <c r="BO1089">
        <f>IFERROR(INDEX(PP_Grid[#Data],$DD1089,65),0)</f>
        <v/>
      </c>
      <c r="BP1089">
        <f>IFERROR(INDEX(PP_Grid[#Data],$DD1089,66),0)</f>
        <v/>
      </c>
      <c r="BQ1089">
        <f>IFERROR(INDEX(PP_Grid[#Data],$DD1089,67),0)</f>
        <v/>
      </c>
      <c r="BR1089">
        <f>IFERROR(INDEX(PP_Grid[#Data],$DD1089,68),0)</f>
        <v/>
      </c>
      <c r="BS1089">
        <f>IFERROR(INDEX(PP_Grid[#Data],$DD1089,69),0)</f>
        <v/>
      </c>
      <c r="BT1089">
        <f>IFERROR(INDEX(PP_Grid[#Data],$DD1089,70),0)</f>
        <v/>
      </c>
      <c r="BU1089">
        <f>IFERROR(INDEX(PP_Grid[#Data],$DD1089,71),0)</f>
        <v/>
      </c>
      <c r="BV1089">
        <f>IFERROR(INDEX(PP_Grid[#Data],$DD1089,72),0)</f>
        <v/>
      </c>
      <c r="BW1089">
        <f>IFERROR(INDEX(PP_Grid[#Data],$DD1089,73),0)</f>
        <v/>
      </c>
      <c r="BX1089">
        <f>IFERROR(INDEX(PP_Grid[#Data],$DD1089,74),0)</f>
        <v/>
      </c>
      <c r="BY1089">
        <f>IFERROR(INDEX(PP_Grid[#Data],$DD1089,75),0)</f>
        <v/>
      </c>
      <c r="BZ1089">
        <f>IFERROR(INDEX(PP_Grid[#Data],$DD1089,76),0)</f>
        <v/>
      </c>
      <c r="CA1089">
        <f>IFERROR(INDEX(PP_Grid[#Data],$DD1089,77),0)</f>
        <v/>
      </c>
      <c r="CB1089">
        <f>IFERROR(INDEX(PP_Grid[#Data],$DD1089,78),0)</f>
        <v/>
      </c>
      <c r="CC1089">
        <f>IFERROR(INDEX(PP_Grid[#Data],$DD1089,79),0)</f>
        <v/>
      </c>
      <c r="CD1089">
        <f>IFERROR(INDEX(PP_Grid[#Data],$DD1089,80),0)</f>
        <v/>
      </c>
      <c r="CE1089">
        <f>IFERROR(INDEX(PP_Grid[#Data],$DD1089,81),0)</f>
        <v/>
      </c>
      <c r="CF1089">
        <f>IFERROR(INDEX(PP_Grid[#Data],$DD1089,82),0)</f>
        <v/>
      </c>
      <c r="CG1089">
        <f>IFERROR(INDEX(PP_Grid[#Data],$DD1089,83),0)</f>
        <v/>
      </c>
      <c r="CH1089">
        <f>IFERROR(INDEX(PP_Grid[#Data],$DD1089,84),0)</f>
        <v/>
      </c>
      <c r="CI1089">
        <f>IFERROR(INDEX(PP_Grid[#Data],$DD1089,85),0)</f>
        <v/>
      </c>
      <c r="CJ1089">
        <f>IFERROR(INDEX(PP_Grid[#Data],$DD1089,86),0)</f>
        <v/>
      </c>
      <c r="CK1089">
        <f>IFERROR(INDEX(PP_Grid[#Data],$DD1089,87),0)</f>
        <v/>
      </c>
      <c r="CL1089">
        <f>IFERROR(INDEX(PP_Grid[#Data],$DD1089,88),0)</f>
        <v/>
      </c>
      <c r="CM1089">
        <f>IFERROR(INDEX(PP_Grid[#Data],$DD1089,89),0)</f>
        <v/>
      </c>
      <c r="CN1089">
        <f>IFERROR(INDEX(PP_Grid[#Data],$DD1089,90),0)</f>
        <v/>
      </c>
      <c r="CO1089">
        <f>IFERROR(INDEX(PP_Grid[#Data],$DD1089,91),0)</f>
        <v/>
      </c>
      <c r="CP1089">
        <f>IFERROR(INDEX(PP_Grid[#Data],$DD1089,92),0)</f>
        <v/>
      </c>
      <c r="CQ1089">
        <f>IFERROR(INDEX(PP_Grid[#Data],$DD1089,93),0)</f>
        <v/>
      </c>
      <c r="CR1089">
        <f>IFERROR(INDEX(PP_Grid[#Data],$DD1089,94),0)</f>
        <v/>
      </c>
      <c r="CS1089">
        <f>IFERROR(INDEX(PP_Grid[#Data],$DD1089,95),0)</f>
        <v/>
      </c>
      <c r="CT1089">
        <f>IFERROR(INDEX(PP_Grid[#Data],$DD1089,96),0)</f>
        <v/>
      </c>
      <c r="CU1089">
        <f>IFERROR(INDEX(PP_Grid[#Data],$DD1089,97),0)</f>
        <v/>
      </c>
      <c r="CV1089">
        <f>IFERROR(INDEX(PP_Grid[#Data],$DD1089,98),0)</f>
        <v/>
      </c>
      <c r="CW1089">
        <f>IFERROR(INDEX(PP_Grid[#Data],$DD1089,99),0)</f>
        <v/>
      </c>
      <c r="CX1089">
        <f>IFERROR(INDEX(PP_Grid[#Data],$DD1089,100),0)</f>
        <v/>
      </c>
      <c r="CY1089">
        <f>IFERROR(INDEX(PP_Grid[#Data],$DD1089,101),0)</f>
        <v/>
      </c>
      <c r="CZ1089">
        <f>IFERROR(INDEX(PP_Grid[#Data],$DD1089,102),0)</f>
        <v/>
      </c>
      <c r="DA1089">
        <f>IFERROR(INDEX(PP_Grid[#Data],$DD1089,103),0)</f>
        <v/>
      </c>
      <c r="DB1089">
        <f>IFERROR(INDEX(PP_Grid[#Data],$DD1089,104),0)</f>
        <v/>
      </c>
      <c r="DC1089">
        <f>IFERROR(INDEX(PP_Grid[#Data],$DD1089,105),0)</f>
        <v/>
      </c>
      <c r="DD1089" s="7">
        <f>IFERROR(MATCH($B1089,PP_Grid[Intermediate],0),99999)</f>
        <v/>
      </c>
    </row>
    <row r="1090">
      <c r="B1090" t="inlineStr">
        <is>
          <t>使用量(kg)</t>
        </is>
      </c>
      <c r="C1090">
        <f>SUMIFS(M_BOM[RM_Qty_Per_Batch],M_BOM[Intermediate],$B1089,M_BOM[Part Name],$A1082)</f>
        <v/>
      </c>
      <c r="D1090">
        <f>$C1090*D1089</f>
        <v/>
      </c>
      <c r="E1090">
        <f>$C1090*E1089</f>
        <v/>
      </c>
      <c r="F1090">
        <f>$C1090*F1089</f>
        <v/>
      </c>
      <c r="G1090">
        <f>$C1090*G1089</f>
        <v/>
      </c>
      <c r="H1090">
        <f>$C1090*H1089</f>
        <v/>
      </c>
      <c r="I1090">
        <f>$C1090*I1089</f>
        <v/>
      </c>
      <c r="J1090">
        <f>$C1090*J1089</f>
        <v/>
      </c>
      <c r="K1090">
        <f>$C1090*K1089</f>
        <v/>
      </c>
      <c r="L1090">
        <f>$C1090*L1089</f>
        <v/>
      </c>
      <c r="M1090">
        <f>$C1090*M1089</f>
        <v/>
      </c>
      <c r="N1090">
        <f>$C1090*N1089</f>
        <v/>
      </c>
      <c r="O1090">
        <f>$C1090*O1089</f>
        <v/>
      </c>
      <c r="P1090">
        <f>$C1090*P1089</f>
        <v/>
      </c>
      <c r="Q1090">
        <f>$C1090*Q1089</f>
        <v/>
      </c>
      <c r="R1090">
        <f>$C1090*R1089</f>
        <v/>
      </c>
      <c r="S1090">
        <f>$C1090*S1089</f>
        <v/>
      </c>
      <c r="T1090">
        <f>$C1090*T1089</f>
        <v/>
      </c>
      <c r="U1090">
        <f>$C1090*U1089</f>
        <v/>
      </c>
      <c r="V1090">
        <f>$C1090*V1089</f>
        <v/>
      </c>
      <c r="W1090">
        <f>$C1090*W1089</f>
        <v/>
      </c>
      <c r="X1090">
        <f>$C1090*X1089</f>
        <v/>
      </c>
      <c r="Y1090">
        <f>$C1090*Y1089</f>
        <v/>
      </c>
      <c r="Z1090">
        <f>$C1090*Z1089</f>
        <v/>
      </c>
      <c r="AA1090">
        <f>$C1090*AA1089</f>
        <v/>
      </c>
      <c r="AB1090">
        <f>$C1090*AB1089</f>
        <v/>
      </c>
      <c r="AC1090">
        <f>$C1090*AC1089</f>
        <v/>
      </c>
      <c r="AD1090">
        <f>$C1090*AD1089</f>
        <v/>
      </c>
      <c r="AE1090">
        <f>$C1090*AE1089</f>
        <v/>
      </c>
      <c r="AF1090">
        <f>$C1090*AF1089</f>
        <v/>
      </c>
      <c r="AG1090">
        <f>$C1090*AG1089</f>
        <v/>
      </c>
      <c r="AH1090">
        <f>$C1090*AH1089</f>
        <v/>
      </c>
      <c r="AI1090">
        <f>$C1090*AI1089</f>
        <v/>
      </c>
      <c r="AJ1090">
        <f>$C1090*AJ1089</f>
        <v/>
      </c>
      <c r="AK1090">
        <f>$C1090*AK1089</f>
        <v/>
      </c>
      <c r="AL1090">
        <f>$C1090*AL1089</f>
        <v/>
      </c>
      <c r="AM1090">
        <f>$C1090*AM1089</f>
        <v/>
      </c>
      <c r="AN1090">
        <f>$C1090*AN1089</f>
        <v/>
      </c>
      <c r="AO1090">
        <f>$C1090*AO1089</f>
        <v/>
      </c>
      <c r="AP1090">
        <f>$C1090*AP1089</f>
        <v/>
      </c>
      <c r="AQ1090">
        <f>$C1090*AQ1089</f>
        <v/>
      </c>
      <c r="AR1090">
        <f>$C1090*AR1089</f>
        <v/>
      </c>
      <c r="AS1090">
        <f>$C1090*AS1089</f>
        <v/>
      </c>
      <c r="AT1090">
        <f>$C1090*AT1089</f>
        <v/>
      </c>
      <c r="AU1090">
        <f>$C1090*AU1089</f>
        <v/>
      </c>
      <c r="AV1090">
        <f>$C1090*AV1089</f>
        <v/>
      </c>
      <c r="AW1090">
        <f>$C1090*AW1089</f>
        <v/>
      </c>
      <c r="AX1090">
        <f>$C1090*AX1089</f>
        <v/>
      </c>
      <c r="AY1090">
        <f>$C1090*AY1089</f>
        <v/>
      </c>
      <c r="AZ1090">
        <f>$C1090*AZ1089</f>
        <v/>
      </c>
      <c r="BA1090">
        <f>$C1090*BA1089</f>
        <v/>
      </c>
      <c r="BB1090">
        <f>$C1090*BB1089</f>
        <v/>
      </c>
      <c r="BC1090">
        <f>$C1090*BC1089</f>
        <v/>
      </c>
      <c r="BD1090">
        <f>$C1090*BD1089</f>
        <v/>
      </c>
      <c r="BE1090">
        <f>$C1090*BE1089</f>
        <v/>
      </c>
      <c r="BF1090">
        <f>$C1090*BF1089</f>
        <v/>
      </c>
      <c r="BG1090">
        <f>$C1090*BG1089</f>
        <v/>
      </c>
      <c r="BH1090">
        <f>$C1090*BH1089</f>
        <v/>
      </c>
      <c r="BI1090">
        <f>$C1090*BI1089</f>
        <v/>
      </c>
      <c r="BJ1090">
        <f>$C1090*BJ1089</f>
        <v/>
      </c>
      <c r="BK1090">
        <f>$C1090*BK1089</f>
        <v/>
      </c>
      <c r="BL1090">
        <f>$C1090*BL1089</f>
        <v/>
      </c>
      <c r="BM1090">
        <f>$C1090*BM1089</f>
        <v/>
      </c>
      <c r="BN1090">
        <f>$C1090*BN1089</f>
        <v/>
      </c>
      <c r="BO1090">
        <f>$C1090*BO1089</f>
        <v/>
      </c>
      <c r="BP1090">
        <f>$C1090*BP1089</f>
        <v/>
      </c>
      <c r="BQ1090">
        <f>$C1090*BQ1089</f>
        <v/>
      </c>
      <c r="BR1090">
        <f>$C1090*BR1089</f>
        <v/>
      </c>
      <c r="BS1090">
        <f>$C1090*BS1089</f>
        <v/>
      </c>
      <c r="BT1090">
        <f>$C1090*BT1089</f>
        <v/>
      </c>
      <c r="BU1090">
        <f>$C1090*BU1089</f>
        <v/>
      </c>
      <c r="BV1090">
        <f>$C1090*BV1089</f>
        <v/>
      </c>
      <c r="BW1090">
        <f>$C1090*BW1089</f>
        <v/>
      </c>
      <c r="BX1090">
        <f>$C1090*BX1089</f>
        <v/>
      </c>
      <c r="BY1090">
        <f>$C1090*BY1089</f>
        <v/>
      </c>
      <c r="BZ1090">
        <f>$C1090*BZ1089</f>
        <v/>
      </c>
      <c r="CA1090">
        <f>$C1090*CA1089</f>
        <v/>
      </c>
      <c r="CB1090">
        <f>$C1090*CB1089</f>
        <v/>
      </c>
      <c r="CC1090">
        <f>$C1090*CC1089</f>
        <v/>
      </c>
      <c r="CD1090">
        <f>$C1090*CD1089</f>
        <v/>
      </c>
      <c r="CE1090">
        <f>$C1090*CE1089</f>
        <v/>
      </c>
      <c r="CF1090">
        <f>$C1090*CF1089</f>
        <v/>
      </c>
      <c r="CG1090">
        <f>$C1090*CG1089</f>
        <v/>
      </c>
      <c r="CH1090">
        <f>$C1090*CH1089</f>
        <v/>
      </c>
      <c r="CI1090">
        <f>$C1090*CI1089</f>
        <v/>
      </c>
      <c r="CJ1090">
        <f>$C1090*CJ1089</f>
        <v/>
      </c>
      <c r="CK1090">
        <f>$C1090*CK1089</f>
        <v/>
      </c>
      <c r="CL1090">
        <f>$C1090*CL1089</f>
        <v/>
      </c>
      <c r="CM1090">
        <f>$C1090*CM1089</f>
        <v/>
      </c>
      <c r="CN1090">
        <f>$C1090*CN1089</f>
        <v/>
      </c>
      <c r="CO1090">
        <f>$C1090*CO1089</f>
        <v/>
      </c>
      <c r="CP1090">
        <f>$C1090*CP1089</f>
        <v/>
      </c>
      <c r="CQ1090">
        <f>$C1090*CQ1089</f>
        <v/>
      </c>
      <c r="CR1090">
        <f>$C1090*CR1089</f>
        <v/>
      </c>
      <c r="CS1090">
        <f>$C1090*CS1089</f>
        <v/>
      </c>
      <c r="CT1090">
        <f>$C1090*CT1089</f>
        <v/>
      </c>
      <c r="CU1090">
        <f>$C1090*CU1089</f>
        <v/>
      </c>
      <c r="CV1090">
        <f>$C1090*CV1089</f>
        <v/>
      </c>
      <c r="CW1090">
        <f>$C1090*CW1089</f>
        <v/>
      </c>
      <c r="CX1090">
        <f>$C1090*CX1089</f>
        <v/>
      </c>
      <c r="CY1090">
        <f>$C1090*CY1089</f>
        <v/>
      </c>
      <c r="CZ1090">
        <f>$C1090*CZ1089</f>
        <v/>
      </c>
      <c r="DA1090">
        <f>$C1090*DA1089</f>
        <v/>
      </c>
      <c r="DB1090">
        <f>$C1090*DB1089</f>
        <v/>
      </c>
      <c r="DC1090">
        <f>$C1090*DC1089</f>
        <v/>
      </c>
    </row>
    <row r="1091">
      <c r="B1091" t="inlineStr">
        <is>
          <t>TSP-2168</t>
        </is>
      </c>
      <c r="C1091" t="inlineStr">
        <is>
          <t>No. of batches</t>
        </is>
      </c>
      <c r="D1091">
        <f>IFERROR(INDEX(PP_Grid[#Data],$DD1091,2),0)</f>
        <v/>
      </c>
      <c r="E1091">
        <f>IFERROR(INDEX(PP_Grid[#Data],$DD1091,3),0)</f>
        <v/>
      </c>
      <c r="F1091">
        <f>IFERROR(INDEX(PP_Grid[#Data],$DD1091,4),0)</f>
        <v/>
      </c>
      <c r="G1091">
        <f>IFERROR(INDEX(PP_Grid[#Data],$DD1091,5),0)</f>
        <v/>
      </c>
      <c r="H1091">
        <f>IFERROR(INDEX(PP_Grid[#Data],$DD1091,6),0)</f>
        <v/>
      </c>
      <c r="I1091">
        <f>IFERROR(INDEX(PP_Grid[#Data],$DD1091,7),0)</f>
        <v/>
      </c>
      <c r="J1091">
        <f>IFERROR(INDEX(PP_Grid[#Data],$DD1091,8),0)</f>
        <v/>
      </c>
      <c r="K1091">
        <f>IFERROR(INDEX(PP_Grid[#Data],$DD1091,9),0)</f>
        <v/>
      </c>
      <c r="L1091">
        <f>IFERROR(INDEX(PP_Grid[#Data],$DD1091,10),0)</f>
        <v/>
      </c>
      <c r="M1091">
        <f>IFERROR(INDEX(PP_Grid[#Data],$DD1091,11),0)</f>
        <v/>
      </c>
      <c r="N1091">
        <f>IFERROR(INDEX(PP_Grid[#Data],$DD1091,12),0)</f>
        <v/>
      </c>
      <c r="O1091">
        <f>IFERROR(INDEX(PP_Grid[#Data],$DD1091,13),0)</f>
        <v/>
      </c>
      <c r="P1091">
        <f>IFERROR(INDEX(PP_Grid[#Data],$DD1091,14),0)</f>
        <v/>
      </c>
      <c r="Q1091">
        <f>IFERROR(INDEX(PP_Grid[#Data],$DD1091,15),0)</f>
        <v/>
      </c>
      <c r="R1091">
        <f>IFERROR(INDEX(PP_Grid[#Data],$DD1091,16),0)</f>
        <v/>
      </c>
      <c r="S1091">
        <f>IFERROR(INDEX(PP_Grid[#Data],$DD1091,17),0)</f>
        <v/>
      </c>
      <c r="T1091">
        <f>IFERROR(INDEX(PP_Grid[#Data],$DD1091,18),0)</f>
        <v/>
      </c>
      <c r="U1091">
        <f>IFERROR(INDEX(PP_Grid[#Data],$DD1091,19),0)</f>
        <v/>
      </c>
      <c r="V1091">
        <f>IFERROR(INDEX(PP_Grid[#Data],$DD1091,20),0)</f>
        <v/>
      </c>
      <c r="W1091">
        <f>IFERROR(INDEX(PP_Grid[#Data],$DD1091,21),0)</f>
        <v/>
      </c>
      <c r="X1091">
        <f>IFERROR(INDEX(PP_Grid[#Data],$DD1091,22),0)</f>
        <v/>
      </c>
      <c r="Y1091">
        <f>IFERROR(INDEX(PP_Grid[#Data],$DD1091,23),0)</f>
        <v/>
      </c>
      <c r="Z1091">
        <f>IFERROR(INDEX(PP_Grid[#Data],$DD1091,24),0)</f>
        <v/>
      </c>
      <c r="AA1091">
        <f>IFERROR(INDEX(PP_Grid[#Data],$DD1091,25),0)</f>
        <v/>
      </c>
      <c r="AB1091">
        <f>IFERROR(INDEX(PP_Grid[#Data],$DD1091,26),0)</f>
        <v/>
      </c>
      <c r="AC1091">
        <f>IFERROR(INDEX(PP_Grid[#Data],$DD1091,27),0)</f>
        <v/>
      </c>
      <c r="AD1091">
        <f>IFERROR(INDEX(PP_Grid[#Data],$DD1091,28),0)</f>
        <v/>
      </c>
      <c r="AE1091">
        <f>IFERROR(INDEX(PP_Grid[#Data],$DD1091,29),0)</f>
        <v/>
      </c>
      <c r="AF1091">
        <f>IFERROR(INDEX(PP_Grid[#Data],$DD1091,30),0)</f>
        <v/>
      </c>
      <c r="AG1091">
        <f>IFERROR(INDEX(PP_Grid[#Data],$DD1091,31),0)</f>
        <v/>
      </c>
      <c r="AH1091">
        <f>IFERROR(INDEX(PP_Grid[#Data],$DD1091,32),0)</f>
        <v/>
      </c>
      <c r="AI1091">
        <f>IFERROR(INDEX(PP_Grid[#Data],$DD1091,33),0)</f>
        <v/>
      </c>
      <c r="AJ1091">
        <f>IFERROR(INDEX(PP_Grid[#Data],$DD1091,34),0)</f>
        <v/>
      </c>
      <c r="AK1091">
        <f>IFERROR(INDEX(PP_Grid[#Data],$DD1091,35),0)</f>
        <v/>
      </c>
      <c r="AL1091">
        <f>IFERROR(INDEX(PP_Grid[#Data],$DD1091,36),0)</f>
        <v/>
      </c>
      <c r="AM1091">
        <f>IFERROR(INDEX(PP_Grid[#Data],$DD1091,37),0)</f>
        <v/>
      </c>
      <c r="AN1091">
        <f>IFERROR(INDEX(PP_Grid[#Data],$DD1091,38),0)</f>
        <v/>
      </c>
      <c r="AO1091">
        <f>IFERROR(INDEX(PP_Grid[#Data],$DD1091,39),0)</f>
        <v/>
      </c>
      <c r="AP1091">
        <f>IFERROR(INDEX(PP_Grid[#Data],$DD1091,40),0)</f>
        <v/>
      </c>
      <c r="AQ1091">
        <f>IFERROR(INDEX(PP_Grid[#Data],$DD1091,41),0)</f>
        <v/>
      </c>
      <c r="AR1091">
        <f>IFERROR(INDEX(PP_Grid[#Data],$DD1091,42),0)</f>
        <v/>
      </c>
      <c r="AS1091">
        <f>IFERROR(INDEX(PP_Grid[#Data],$DD1091,43),0)</f>
        <v/>
      </c>
      <c r="AT1091">
        <f>IFERROR(INDEX(PP_Grid[#Data],$DD1091,44),0)</f>
        <v/>
      </c>
      <c r="AU1091">
        <f>IFERROR(INDEX(PP_Grid[#Data],$DD1091,45),0)</f>
        <v/>
      </c>
      <c r="AV1091">
        <f>IFERROR(INDEX(PP_Grid[#Data],$DD1091,46),0)</f>
        <v/>
      </c>
      <c r="AW1091">
        <f>IFERROR(INDEX(PP_Grid[#Data],$DD1091,47),0)</f>
        <v/>
      </c>
      <c r="AX1091">
        <f>IFERROR(INDEX(PP_Grid[#Data],$DD1091,48),0)</f>
        <v/>
      </c>
      <c r="AY1091">
        <f>IFERROR(INDEX(PP_Grid[#Data],$DD1091,49),0)</f>
        <v/>
      </c>
      <c r="AZ1091">
        <f>IFERROR(INDEX(PP_Grid[#Data],$DD1091,50),0)</f>
        <v/>
      </c>
      <c r="BA1091">
        <f>IFERROR(INDEX(PP_Grid[#Data],$DD1091,51),0)</f>
        <v/>
      </c>
      <c r="BB1091">
        <f>IFERROR(INDEX(PP_Grid[#Data],$DD1091,52),0)</f>
        <v/>
      </c>
      <c r="BC1091">
        <f>IFERROR(INDEX(PP_Grid[#Data],$DD1091,53),0)</f>
        <v/>
      </c>
      <c r="BD1091">
        <f>IFERROR(INDEX(PP_Grid[#Data],$DD1091,54),0)</f>
        <v/>
      </c>
      <c r="BE1091">
        <f>IFERROR(INDEX(PP_Grid[#Data],$DD1091,55),0)</f>
        <v/>
      </c>
      <c r="BF1091">
        <f>IFERROR(INDEX(PP_Grid[#Data],$DD1091,56),0)</f>
        <v/>
      </c>
      <c r="BG1091">
        <f>IFERROR(INDEX(PP_Grid[#Data],$DD1091,57),0)</f>
        <v/>
      </c>
      <c r="BH1091">
        <f>IFERROR(INDEX(PP_Grid[#Data],$DD1091,58),0)</f>
        <v/>
      </c>
      <c r="BI1091">
        <f>IFERROR(INDEX(PP_Grid[#Data],$DD1091,59),0)</f>
        <v/>
      </c>
      <c r="BJ1091">
        <f>IFERROR(INDEX(PP_Grid[#Data],$DD1091,60),0)</f>
        <v/>
      </c>
      <c r="BK1091">
        <f>IFERROR(INDEX(PP_Grid[#Data],$DD1091,61),0)</f>
        <v/>
      </c>
      <c r="BL1091">
        <f>IFERROR(INDEX(PP_Grid[#Data],$DD1091,62),0)</f>
        <v/>
      </c>
      <c r="BM1091">
        <f>IFERROR(INDEX(PP_Grid[#Data],$DD1091,63),0)</f>
        <v/>
      </c>
      <c r="BN1091">
        <f>IFERROR(INDEX(PP_Grid[#Data],$DD1091,64),0)</f>
        <v/>
      </c>
      <c r="BO1091">
        <f>IFERROR(INDEX(PP_Grid[#Data],$DD1091,65),0)</f>
        <v/>
      </c>
      <c r="BP1091">
        <f>IFERROR(INDEX(PP_Grid[#Data],$DD1091,66),0)</f>
        <v/>
      </c>
      <c r="BQ1091">
        <f>IFERROR(INDEX(PP_Grid[#Data],$DD1091,67),0)</f>
        <v/>
      </c>
      <c r="BR1091">
        <f>IFERROR(INDEX(PP_Grid[#Data],$DD1091,68),0)</f>
        <v/>
      </c>
      <c r="BS1091">
        <f>IFERROR(INDEX(PP_Grid[#Data],$DD1091,69),0)</f>
        <v/>
      </c>
      <c r="BT1091">
        <f>IFERROR(INDEX(PP_Grid[#Data],$DD1091,70),0)</f>
        <v/>
      </c>
      <c r="BU1091">
        <f>IFERROR(INDEX(PP_Grid[#Data],$DD1091,71),0)</f>
        <v/>
      </c>
      <c r="BV1091">
        <f>IFERROR(INDEX(PP_Grid[#Data],$DD1091,72),0)</f>
        <v/>
      </c>
      <c r="BW1091">
        <f>IFERROR(INDEX(PP_Grid[#Data],$DD1091,73),0)</f>
        <v/>
      </c>
      <c r="BX1091">
        <f>IFERROR(INDEX(PP_Grid[#Data],$DD1091,74),0)</f>
        <v/>
      </c>
      <c r="BY1091">
        <f>IFERROR(INDEX(PP_Grid[#Data],$DD1091,75),0)</f>
        <v/>
      </c>
      <c r="BZ1091">
        <f>IFERROR(INDEX(PP_Grid[#Data],$DD1091,76),0)</f>
        <v/>
      </c>
      <c r="CA1091">
        <f>IFERROR(INDEX(PP_Grid[#Data],$DD1091,77),0)</f>
        <v/>
      </c>
      <c r="CB1091">
        <f>IFERROR(INDEX(PP_Grid[#Data],$DD1091,78),0)</f>
        <v/>
      </c>
      <c r="CC1091">
        <f>IFERROR(INDEX(PP_Grid[#Data],$DD1091,79),0)</f>
        <v/>
      </c>
      <c r="CD1091">
        <f>IFERROR(INDEX(PP_Grid[#Data],$DD1091,80),0)</f>
        <v/>
      </c>
      <c r="CE1091">
        <f>IFERROR(INDEX(PP_Grid[#Data],$DD1091,81),0)</f>
        <v/>
      </c>
      <c r="CF1091">
        <f>IFERROR(INDEX(PP_Grid[#Data],$DD1091,82),0)</f>
        <v/>
      </c>
      <c r="CG1091">
        <f>IFERROR(INDEX(PP_Grid[#Data],$DD1091,83),0)</f>
        <v/>
      </c>
      <c r="CH1091">
        <f>IFERROR(INDEX(PP_Grid[#Data],$DD1091,84),0)</f>
        <v/>
      </c>
      <c r="CI1091">
        <f>IFERROR(INDEX(PP_Grid[#Data],$DD1091,85),0)</f>
        <v/>
      </c>
      <c r="CJ1091">
        <f>IFERROR(INDEX(PP_Grid[#Data],$DD1091,86),0)</f>
        <v/>
      </c>
      <c r="CK1091">
        <f>IFERROR(INDEX(PP_Grid[#Data],$DD1091,87),0)</f>
        <v/>
      </c>
      <c r="CL1091">
        <f>IFERROR(INDEX(PP_Grid[#Data],$DD1091,88),0)</f>
        <v/>
      </c>
      <c r="CM1091">
        <f>IFERROR(INDEX(PP_Grid[#Data],$DD1091,89),0)</f>
        <v/>
      </c>
      <c r="CN1091">
        <f>IFERROR(INDEX(PP_Grid[#Data],$DD1091,90),0)</f>
        <v/>
      </c>
      <c r="CO1091">
        <f>IFERROR(INDEX(PP_Grid[#Data],$DD1091,91),0)</f>
        <v/>
      </c>
      <c r="CP1091">
        <f>IFERROR(INDEX(PP_Grid[#Data],$DD1091,92),0)</f>
        <v/>
      </c>
      <c r="CQ1091">
        <f>IFERROR(INDEX(PP_Grid[#Data],$DD1091,93),0)</f>
        <v/>
      </c>
      <c r="CR1091">
        <f>IFERROR(INDEX(PP_Grid[#Data],$DD1091,94),0)</f>
        <v/>
      </c>
      <c r="CS1091">
        <f>IFERROR(INDEX(PP_Grid[#Data],$DD1091,95),0)</f>
        <v/>
      </c>
      <c r="CT1091">
        <f>IFERROR(INDEX(PP_Grid[#Data],$DD1091,96),0)</f>
        <v/>
      </c>
      <c r="CU1091">
        <f>IFERROR(INDEX(PP_Grid[#Data],$DD1091,97),0)</f>
        <v/>
      </c>
      <c r="CV1091">
        <f>IFERROR(INDEX(PP_Grid[#Data],$DD1091,98),0)</f>
        <v/>
      </c>
      <c r="CW1091">
        <f>IFERROR(INDEX(PP_Grid[#Data],$DD1091,99),0)</f>
        <v/>
      </c>
      <c r="CX1091">
        <f>IFERROR(INDEX(PP_Grid[#Data],$DD1091,100),0)</f>
        <v/>
      </c>
      <c r="CY1091">
        <f>IFERROR(INDEX(PP_Grid[#Data],$DD1091,101),0)</f>
        <v/>
      </c>
      <c r="CZ1091">
        <f>IFERROR(INDEX(PP_Grid[#Data],$DD1091,102),0)</f>
        <v/>
      </c>
      <c r="DA1091">
        <f>IFERROR(INDEX(PP_Grid[#Data],$DD1091,103),0)</f>
        <v/>
      </c>
      <c r="DB1091">
        <f>IFERROR(INDEX(PP_Grid[#Data],$DD1091,104),0)</f>
        <v/>
      </c>
      <c r="DC1091">
        <f>IFERROR(INDEX(PP_Grid[#Data],$DD1091,105),0)</f>
        <v/>
      </c>
      <c r="DD1091" s="7">
        <f>IFERROR(MATCH($B1091,PP_Grid[Intermediate],0),99999)</f>
        <v/>
      </c>
    </row>
    <row r="1092">
      <c r="B1092" t="inlineStr">
        <is>
          <t>使用量(kg)</t>
        </is>
      </c>
      <c r="C1092">
        <f>SUMIFS(M_BOM[RM_Qty_Per_Batch],M_BOM[Intermediate],$B1091,M_BOM[Part Name],$A1082)</f>
        <v/>
      </c>
      <c r="D1092">
        <f>$C1092*D1091</f>
        <v/>
      </c>
      <c r="E1092">
        <f>$C1092*E1091</f>
        <v/>
      </c>
      <c r="F1092">
        <f>$C1092*F1091</f>
        <v/>
      </c>
      <c r="G1092">
        <f>$C1092*G1091</f>
        <v/>
      </c>
      <c r="H1092">
        <f>$C1092*H1091</f>
        <v/>
      </c>
      <c r="I1092">
        <f>$C1092*I1091</f>
        <v/>
      </c>
      <c r="J1092">
        <f>$C1092*J1091</f>
        <v/>
      </c>
      <c r="K1092">
        <f>$C1092*K1091</f>
        <v/>
      </c>
      <c r="L1092">
        <f>$C1092*L1091</f>
        <v/>
      </c>
      <c r="M1092">
        <f>$C1092*M1091</f>
        <v/>
      </c>
      <c r="N1092">
        <f>$C1092*N1091</f>
        <v/>
      </c>
      <c r="O1092">
        <f>$C1092*O1091</f>
        <v/>
      </c>
      <c r="P1092">
        <f>$C1092*P1091</f>
        <v/>
      </c>
      <c r="Q1092">
        <f>$C1092*Q1091</f>
        <v/>
      </c>
      <c r="R1092">
        <f>$C1092*R1091</f>
        <v/>
      </c>
      <c r="S1092">
        <f>$C1092*S1091</f>
        <v/>
      </c>
      <c r="T1092">
        <f>$C1092*T1091</f>
        <v/>
      </c>
      <c r="U1092">
        <f>$C1092*U1091</f>
        <v/>
      </c>
      <c r="V1092">
        <f>$C1092*V1091</f>
        <v/>
      </c>
      <c r="W1092">
        <f>$C1092*W1091</f>
        <v/>
      </c>
      <c r="X1092">
        <f>$C1092*X1091</f>
        <v/>
      </c>
      <c r="Y1092">
        <f>$C1092*Y1091</f>
        <v/>
      </c>
      <c r="Z1092">
        <f>$C1092*Z1091</f>
        <v/>
      </c>
      <c r="AA1092">
        <f>$C1092*AA1091</f>
        <v/>
      </c>
      <c r="AB1092">
        <f>$C1092*AB1091</f>
        <v/>
      </c>
      <c r="AC1092">
        <f>$C1092*AC1091</f>
        <v/>
      </c>
      <c r="AD1092">
        <f>$C1092*AD1091</f>
        <v/>
      </c>
      <c r="AE1092">
        <f>$C1092*AE1091</f>
        <v/>
      </c>
      <c r="AF1092">
        <f>$C1092*AF1091</f>
        <v/>
      </c>
      <c r="AG1092">
        <f>$C1092*AG1091</f>
        <v/>
      </c>
      <c r="AH1092">
        <f>$C1092*AH1091</f>
        <v/>
      </c>
      <c r="AI1092">
        <f>$C1092*AI1091</f>
        <v/>
      </c>
      <c r="AJ1092">
        <f>$C1092*AJ1091</f>
        <v/>
      </c>
      <c r="AK1092">
        <f>$C1092*AK1091</f>
        <v/>
      </c>
      <c r="AL1092">
        <f>$C1092*AL1091</f>
        <v/>
      </c>
      <c r="AM1092">
        <f>$C1092*AM1091</f>
        <v/>
      </c>
      <c r="AN1092">
        <f>$C1092*AN1091</f>
        <v/>
      </c>
      <c r="AO1092">
        <f>$C1092*AO1091</f>
        <v/>
      </c>
      <c r="AP1092">
        <f>$C1092*AP1091</f>
        <v/>
      </c>
      <c r="AQ1092">
        <f>$C1092*AQ1091</f>
        <v/>
      </c>
      <c r="AR1092">
        <f>$C1092*AR1091</f>
        <v/>
      </c>
      <c r="AS1092">
        <f>$C1092*AS1091</f>
        <v/>
      </c>
      <c r="AT1092">
        <f>$C1092*AT1091</f>
        <v/>
      </c>
      <c r="AU1092">
        <f>$C1092*AU1091</f>
        <v/>
      </c>
      <c r="AV1092">
        <f>$C1092*AV1091</f>
        <v/>
      </c>
      <c r="AW1092">
        <f>$C1092*AW1091</f>
        <v/>
      </c>
      <c r="AX1092">
        <f>$C1092*AX1091</f>
        <v/>
      </c>
      <c r="AY1092">
        <f>$C1092*AY1091</f>
        <v/>
      </c>
      <c r="AZ1092">
        <f>$C1092*AZ1091</f>
        <v/>
      </c>
      <c r="BA1092">
        <f>$C1092*BA1091</f>
        <v/>
      </c>
      <c r="BB1092">
        <f>$C1092*BB1091</f>
        <v/>
      </c>
      <c r="BC1092">
        <f>$C1092*BC1091</f>
        <v/>
      </c>
      <c r="BD1092">
        <f>$C1092*BD1091</f>
        <v/>
      </c>
      <c r="BE1092">
        <f>$C1092*BE1091</f>
        <v/>
      </c>
      <c r="BF1092">
        <f>$C1092*BF1091</f>
        <v/>
      </c>
      <c r="BG1092">
        <f>$C1092*BG1091</f>
        <v/>
      </c>
      <c r="BH1092">
        <f>$C1092*BH1091</f>
        <v/>
      </c>
      <c r="BI1092">
        <f>$C1092*BI1091</f>
        <v/>
      </c>
      <c r="BJ1092">
        <f>$C1092*BJ1091</f>
        <v/>
      </c>
      <c r="BK1092">
        <f>$C1092*BK1091</f>
        <v/>
      </c>
      <c r="BL1092">
        <f>$C1092*BL1091</f>
        <v/>
      </c>
      <c r="BM1092">
        <f>$C1092*BM1091</f>
        <v/>
      </c>
      <c r="BN1092">
        <f>$C1092*BN1091</f>
        <v/>
      </c>
      <c r="BO1092">
        <f>$C1092*BO1091</f>
        <v/>
      </c>
      <c r="BP1092">
        <f>$C1092*BP1091</f>
        <v/>
      </c>
      <c r="BQ1092">
        <f>$C1092*BQ1091</f>
        <v/>
      </c>
      <c r="BR1092">
        <f>$C1092*BR1091</f>
        <v/>
      </c>
      <c r="BS1092">
        <f>$C1092*BS1091</f>
        <v/>
      </c>
      <c r="BT1092">
        <f>$C1092*BT1091</f>
        <v/>
      </c>
      <c r="BU1092">
        <f>$C1092*BU1091</f>
        <v/>
      </c>
      <c r="BV1092">
        <f>$C1092*BV1091</f>
        <v/>
      </c>
      <c r="BW1092">
        <f>$C1092*BW1091</f>
        <v/>
      </c>
      <c r="BX1092">
        <f>$C1092*BX1091</f>
        <v/>
      </c>
      <c r="BY1092">
        <f>$C1092*BY1091</f>
        <v/>
      </c>
      <c r="BZ1092">
        <f>$C1092*BZ1091</f>
        <v/>
      </c>
      <c r="CA1092">
        <f>$C1092*CA1091</f>
        <v/>
      </c>
      <c r="CB1092">
        <f>$C1092*CB1091</f>
        <v/>
      </c>
      <c r="CC1092">
        <f>$C1092*CC1091</f>
        <v/>
      </c>
      <c r="CD1092">
        <f>$C1092*CD1091</f>
        <v/>
      </c>
      <c r="CE1092">
        <f>$C1092*CE1091</f>
        <v/>
      </c>
      <c r="CF1092">
        <f>$C1092*CF1091</f>
        <v/>
      </c>
      <c r="CG1092">
        <f>$C1092*CG1091</f>
        <v/>
      </c>
      <c r="CH1092">
        <f>$C1092*CH1091</f>
        <v/>
      </c>
      <c r="CI1092">
        <f>$C1092*CI1091</f>
        <v/>
      </c>
      <c r="CJ1092">
        <f>$C1092*CJ1091</f>
        <v/>
      </c>
      <c r="CK1092">
        <f>$C1092*CK1091</f>
        <v/>
      </c>
      <c r="CL1092">
        <f>$C1092*CL1091</f>
        <v/>
      </c>
      <c r="CM1092">
        <f>$C1092*CM1091</f>
        <v/>
      </c>
      <c r="CN1092">
        <f>$C1092*CN1091</f>
        <v/>
      </c>
      <c r="CO1092">
        <f>$C1092*CO1091</f>
        <v/>
      </c>
      <c r="CP1092">
        <f>$C1092*CP1091</f>
        <v/>
      </c>
      <c r="CQ1092">
        <f>$C1092*CQ1091</f>
        <v/>
      </c>
      <c r="CR1092">
        <f>$C1092*CR1091</f>
        <v/>
      </c>
      <c r="CS1092">
        <f>$C1092*CS1091</f>
        <v/>
      </c>
      <c r="CT1092">
        <f>$C1092*CT1091</f>
        <v/>
      </c>
      <c r="CU1092">
        <f>$C1092*CU1091</f>
        <v/>
      </c>
      <c r="CV1092">
        <f>$C1092*CV1091</f>
        <v/>
      </c>
      <c r="CW1092">
        <f>$C1092*CW1091</f>
        <v/>
      </c>
      <c r="CX1092">
        <f>$C1092*CX1091</f>
        <v/>
      </c>
      <c r="CY1092">
        <f>$C1092*CY1091</f>
        <v/>
      </c>
      <c r="CZ1092">
        <f>$C1092*CZ1091</f>
        <v/>
      </c>
      <c r="DA1092">
        <f>$C1092*DA1091</f>
        <v/>
      </c>
      <c r="DB1092">
        <f>$C1092*DB1091</f>
        <v/>
      </c>
      <c r="DC1092">
        <f>$C1092*DC1091</f>
        <v/>
      </c>
    </row>
    <row r="1093">
      <c r="B1093" s="4" t="inlineStr">
        <is>
          <t>合計使用量(kg)/週</t>
        </is>
      </c>
      <c r="D1093">
        <f>'Grid_Requirement'!B26</f>
        <v/>
      </c>
      <c r="E1093">
        <f>'Grid_Requirement'!C26</f>
        <v/>
      </c>
      <c r="F1093">
        <f>'Grid_Requirement'!D26</f>
        <v/>
      </c>
      <c r="G1093">
        <f>'Grid_Requirement'!E26</f>
        <v/>
      </c>
      <c r="H1093">
        <f>'Grid_Requirement'!F26</f>
        <v/>
      </c>
      <c r="I1093">
        <f>'Grid_Requirement'!G26</f>
        <v/>
      </c>
      <c r="J1093">
        <f>'Grid_Requirement'!H26</f>
        <v/>
      </c>
      <c r="K1093">
        <f>'Grid_Requirement'!I26</f>
        <v/>
      </c>
      <c r="L1093">
        <f>'Grid_Requirement'!J26</f>
        <v/>
      </c>
      <c r="M1093">
        <f>'Grid_Requirement'!K26</f>
        <v/>
      </c>
      <c r="N1093">
        <f>'Grid_Requirement'!L26</f>
        <v/>
      </c>
      <c r="O1093">
        <f>'Grid_Requirement'!M26</f>
        <v/>
      </c>
      <c r="P1093">
        <f>'Grid_Requirement'!N26</f>
        <v/>
      </c>
      <c r="Q1093">
        <f>'Grid_Requirement'!O26</f>
        <v/>
      </c>
      <c r="R1093">
        <f>'Grid_Requirement'!P26</f>
        <v/>
      </c>
      <c r="S1093">
        <f>'Grid_Requirement'!Q26</f>
        <v/>
      </c>
      <c r="T1093">
        <f>'Grid_Requirement'!R26</f>
        <v/>
      </c>
      <c r="U1093">
        <f>'Grid_Requirement'!S26</f>
        <v/>
      </c>
      <c r="V1093">
        <f>'Grid_Requirement'!T26</f>
        <v/>
      </c>
      <c r="W1093">
        <f>'Grid_Requirement'!U26</f>
        <v/>
      </c>
      <c r="X1093">
        <f>'Grid_Requirement'!V26</f>
        <v/>
      </c>
      <c r="Y1093">
        <f>'Grid_Requirement'!W26</f>
        <v/>
      </c>
      <c r="Z1093">
        <f>'Grid_Requirement'!X26</f>
        <v/>
      </c>
      <c r="AA1093">
        <f>'Grid_Requirement'!Y26</f>
        <v/>
      </c>
      <c r="AB1093">
        <f>'Grid_Requirement'!Z26</f>
        <v/>
      </c>
      <c r="AC1093">
        <f>'Grid_Requirement'!AA26</f>
        <v/>
      </c>
      <c r="AD1093">
        <f>'Grid_Requirement'!AB26</f>
        <v/>
      </c>
      <c r="AE1093">
        <f>'Grid_Requirement'!AC26</f>
        <v/>
      </c>
      <c r="AF1093">
        <f>'Grid_Requirement'!AD26</f>
        <v/>
      </c>
      <c r="AG1093">
        <f>'Grid_Requirement'!AE26</f>
        <v/>
      </c>
      <c r="AH1093">
        <f>'Grid_Requirement'!AF26</f>
        <v/>
      </c>
      <c r="AI1093">
        <f>'Grid_Requirement'!AG26</f>
        <v/>
      </c>
      <c r="AJ1093">
        <f>'Grid_Requirement'!AH26</f>
        <v/>
      </c>
      <c r="AK1093">
        <f>'Grid_Requirement'!AI26</f>
        <v/>
      </c>
      <c r="AL1093">
        <f>'Grid_Requirement'!AJ26</f>
        <v/>
      </c>
      <c r="AM1093">
        <f>'Grid_Requirement'!AK26</f>
        <v/>
      </c>
      <c r="AN1093">
        <f>'Grid_Requirement'!AL26</f>
        <v/>
      </c>
      <c r="AO1093">
        <f>'Grid_Requirement'!AM26</f>
        <v/>
      </c>
      <c r="AP1093">
        <f>'Grid_Requirement'!AN26</f>
        <v/>
      </c>
      <c r="AQ1093">
        <f>'Grid_Requirement'!AO26</f>
        <v/>
      </c>
      <c r="AR1093">
        <f>'Grid_Requirement'!AP26</f>
        <v/>
      </c>
      <c r="AS1093">
        <f>'Grid_Requirement'!AQ26</f>
        <v/>
      </c>
      <c r="AT1093">
        <f>'Grid_Requirement'!AR26</f>
        <v/>
      </c>
      <c r="AU1093">
        <f>'Grid_Requirement'!AS26</f>
        <v/>
      </c>
      <c r="AV1093">
        <f>'Grid_Requirement'!AT26</f>
        <v/>
      </c>
      <c r="AW1093">
        <f>'Grid_Requirement'!AU26</f>
        <v/>
      </c>
      <c r="AX1093">
        <f>'Grid_Requirement'!AV26</f>
        <v/>
      </c>
      <c r="AY1093">
        <f>'Grid_Requirement'!AW26</f>
        <v/>
      </c>
      <c r="AZ1093">
        <f>'Grid_Requirement'!AX26</f>
        <v/>
      </c>
      <c r="BA1093">
        <f>'Grid_Requirement'!AY26</f>
        <v/>
      </c>
      <c r="BB1093">
        <f>'Grid_Requirement'!AZ26</f>
        <v/>
      </c>
      <c r="BC1093">
        <f>'Grid_Requirement'!BA26</f>
        <v/>
      </c>
      <c r="BD1093">
        <f>'Grid_Requirement'!BB26</f>
        <v/>
      </c>
      <c r="BE1093">
        <f>'Grid_Requirement'!BC26</f>
        <v/>
      </c>
      <c r="BF1093">
        <f>'Grid_Requirement'!BD26</f>
        <v/>
      </c>
      <c r="BG1093">
        <f>'Grid_Requirement'!BE26</f>
        <v/>
      </c>
      <c r="BH1093">
        <f>'Grid_Requirement'!BF26</f>
        <v/>
      </c>
      <c r="BI1093">
        <f>'Grid_Requirement'!BG26</f>
        <v/>
      </c>
      <c r="BJ1093">
        <f>'Grid_Requirement'!BH26</f>
        <v/>
      </c>
      <c r="BK1093">
        <f>'Grid_Requirement'!BI26</f>
        <v/>
      </c>
      <c r="BL1093">
        <f>'Grid_Requirement'!BJ26</f>
        <v/>
      </c>
      <c r="BM1093">
        <f>'Grid_Requirement'!BK26</f>
        <v/>
      </c>
      <c r="BN1093">
        <f>'Grid_Requirement'!BL26</f>
        <v/>
      </c>
      <c r="BO1093">
        <f>'Grid_Requirement'!BM26</f>
        <v/>
      </c>
      <c r="BP1093">
        <f>'Grid_Requirement'!BN26</f>
        <v/>
      </c>
      <c r="BQ1093">
        <f>'Grid_Requirement'!BO26</f>
        <v/>
      </c>
      <c r="BR1093">
        <f>'Grid_Requirement'!BP26</f>
        <v/>
      </c>
      <c r="BS1093">
        <f>'Grid_Requirement'!BQ26</f>
        <v/>
      </c>
      <c r="BT1093">
        <f>'Grid_Requirement'!BR26</f>
        <v/>
      </c>
      <c r="BU1093">
        <f>'Grid_Requirement'!BS26</f>
        <v/>
      </c>
      <c r="BV1093">
        <f>'Grid_Requirement'!BT26</f>
        <v/>
      </c>
      <c r="BW1093">
        <f>'Grid_Requirement'!BU26</f>
        <v/>
      </c>
      <c r="BX1093">
        <f>'Grid_Requirement'!BV26</f>
        <v/>
      </c>
      <c r="BY1093">
        <f>'Grid_Requirement'!BW26</f>
        <v/>
      </c>
      <c r="BZ1093">
        <f>'Grid_Requirement'!BX26</f>
        <v/>
      </c>
      <c r="CA1093">
        <f>'Grid_Requirement'!BY26</f>
        <v/>
      </c>
      <c r="CB1093">
        <f>'Grid_Requirement'!BZ26</f>
        <v/>
      </c>
      <c r="CC1093">
        <f>'Grid_Requirement'!CA26</f>
        <v/>
      </c>
      <c r="CD1093">
        <f>'Grid_Requirement'!CB26</f>
        <v/>
      </c>
      <c r="CE1093">
        <f>'Grid_Requirement'!CC26</f>
        <v/>
      </c>
      <c r="CF1093">
        <f>'Grid_Requirement'!CD26</f>
        <v/>
      </c>
      <c r="CG1093">
        <f>'Grid_Requirement'!CE26</f>
        <v/>
      </c>
      <c r="CH1093">
        <f>'Grid_Requirement'!CF26</f>
        <v/>
      </c>
      <c r="CI1093">
        <f>'Grid_Requirement'!CG26</f>
        <v/>
      </c>
      <c r="CJ1093">
        <f>'Grid_Requirement'!CH26</f>
        <v/>
      </c>
      <c r="CK1093">
        <f>'Grid_Requirement'!CI26</f>
        <v/>
      </c>
      <c r="CL1093">
        <f>'Grid_Requirement'!CJ26</f>
        <v/>
      </c>
      <c r="CM1093">
        <f>'Grid_Requirement'!CK26</f>
        <v/>
      </c>
      <c r="CN1093">
        <f>'Grid_Requirement'!CL26</f>
        <v/>
      </c>
      <c r="CO1093">
        <f>'Grid_Requirement'!CM26</f>
        <v/>
      </c>
      <c r="CP1093">
        <f>'Grid_Requirement'!CN26</f>
        <v/>
      </c>
      <c r="CQ1093">
        <f>'Grid_Requirement'!CO26</f>
        <v/>
      </c>
      <c r="CR1093">
        <f>'Grid_Requirement'!CP26</f>
        <v/>
      </c>
      <c r="CS1093">
        <f>'Grid_Requirement'!CQ26</f>
        <v/>
      </c>
      <c r="CT1093">
        <f>'Grid_Requirement'!CR26</f>
        <v/>
      </c>
      <c r="CU1093">
        <f>'Grid_Requirement'!CS26</f>
        <v/>
      </c>
      <c r="CV1093">
        <f>'Grid_Requirement'!CT26</f>
        <v/>
      </c>
      <c r="CW1093">
        <f>'Grid_Requirement'!CU26</f>
        <v/>
      </c>
      <c r="CX1093">
        <f>'Grid_Requirement'!CV26</f>
        <v/>
      </c>
      <c r="CY1093">
        <f>'Grid_Requirement'!CW26</f>
        <v/>
      </c>
      <c r="CZ1093">
        <f>'Grid_Requirement'!CX26</f>
        <v/>
      </c>
      <c r="DA1093">
        <f>'Grid_Requirement'!CY26</f>
        <v/>
      </c>
      <c r="DB1093">
        <f>'Grid_Requirement'!CZ26</f>
        <v/>
      </c>
      <c r="DC1093">
        <f>'Grid_Requirement'!DA26</f>
        <v/>
      </c>
    </row>
    <row r="1094">
      <c r="B1094" t="inlineStr">
        <is>
          <t>TTAF在庫(実績,kg)</t>
        </is>
      </c>
      <c r="D1094">
        <f>'T_TTAFStock'!B30</f>
        <v/>
      </c>
      <c r="E1094">
        <f>'T_TTAFStock'!C30</f>
        <v/>
      </c>
      <c r="F1094">
        <f>'T_TTAFStock'!D30</f>
        <v/>
      </c>
      <c r="G1094">
        <f>'T_TTAFStock'!E30</f>
        <v/>
      </c>
      <c r="H1094">
        <f>'T_TTAFStock'!F30</f>
        <v/>
      </c>
      <c r="I1094">
        <f>'T_TTAFStock'!G30</f>
        <v/>
      </c>
      <c r="J1094">
        <f>'T_TTAFStock'!H30</f>
        <v/>
      </c>
      <c r="K1094">
        <f>'T_TTAFStock'!I30</f>
        <v/>
      </c>
      <c r="L1094">
        <f>'T_TTAFStock'!J30</f>
        <v/>
      </c>
      <c r="M1094">
        <f>'T_TTAFStock'!K30</f>
        <v/>
      </c>
      <c r="N1094">
        <f>'T_TTAFStock'!L30</f>
        <v/>
      </c>
      <c r="O1094">
        <f>'T_TTAFStock'!M30</f>
        <v/>
      </c>
      <c r="P1094">
        <f>'T_TTAFStock'!N30</f>
        <v/>
      </c>
      <c r="Q1094">
        <f>'T_TTAFStock'!O30</f>
        <v/>
      </c>
      <c r="R1094">
        <f>'T_TTAFStock'!P30</f>
        <v/>
      </c>
      <c r="S1094">
        <f>'T_TTAFStock'!Q30</f>
        <v/>
      </c>
      <c r="T1094">
        <f>'T_TTAFStock'!R30</f>
        <v/>
      </c>
      <c r="U1094">
        <f>'T_TTAFStock'!S30</f>
        <v/>
      </c>
      <c r="V1094">
        <f>'T_TTAFStock'!T30</f>
        <v/>
      </c>
      <c r="W1094">
        <f>'T_TTAFStock'!U30</f>
        <v/>
      </c>
      <c r="X1094">
        <f>'T_TTAFStock'!V30</f>
        <v/>
      </c>
      <c r="Y1094">
        <f>'T_TTAFStock'!W30</f>
        <v/>
      </c>
      <c r="Z1094">
        <f>'T_TTAFStock'!X30</f>
        <v/>
      </c>
      <c r="AA1094">
        <f>'T_TTAFStock'!Y30</f>
        <v/>
      </c>
      <c r="AB1094">
        <f>'T_TTAFStock'!Z30</f>
        <v/>
      </c>
      <c r="AC1094">
        <f>'T_TTAFStock'!AA30</f>
        <v/>
      </c>
      <c r="AD1094">
        <f>'T_TTAFStock'!AB30</f>
        <v/>
      </c>
      <c r="AE1094">
        <f>'T_TTAFStock'!AC30</f>
        <v/>
      </c>
      <c r="AF1094">
        <f>'T_TTAFStock'!AD30</f>
        <v/>
      </c>
      <c r="AG1094">
        <f>'T_TTAFStock'!AE30</f>
        <v/>
      </c>
      <c r="AH1094">
        <f>'T_TTAFStock'!AF30</f>
        <v/>
      </c>
      <c r="AI1094">
        <f>'T_TTAFStock'!AG30</f>
        <v/>
      </c>
      <c r="AJ1094">
        <f>'T_TTAFStock'!AH30</f>
        <v/>
      </c>
      <c r="AK1094">
        <f>'T_TTAFStock'!AI30</f>
        <v/>
      </c>
      <c r="AL1094">
        <f>'T_TTAFStock'!AJ30</f>
        <v/>
      </c>
      <c r="AM1094">
        <f>'T_TTAFStock'!AK30</f>
        <v/>
      </c>
      <c r="AN1094">
        <f>'T_TTAFStock'!AL30</f>
        <v/>
      </c>
      <c r="AO1094">
        <f>'T_TTAFStock'!AM30</f>
        <v/>
      </c>
      <c r="AP1094">
        <f>'T_TTAFStock'!AN30</f>
        <v/>
      </c>
      <c r="AQ1094">
        <f>'T_TTAFStock'!AO30</f>
        <v/>
      </c>
      <c r="AR1094">
        <f>'T_TTAFStock'!AP30</f>
        <v/>
      </c>
      <c r="AS1094">
        <f>'T_TTAFStock'!AQ30</f>
        <v/>
      </c>
      <c r="AT1094">
        <f>'T_TTAFStock'!AR30</f>
        <v/>
      </c>
      <c r="AU1094">
        <f>'T_TTAFStock'!AS30</f>
        <v/>
      </c>
      <c r="AV1094">
        <f>'T_TTAFStock'!AT30</f>
        <v/>
      </c>
      <c r="AW1094">
        <f>'T_TTAFStock'!AU30</f>
        <v/>
      </c>
      <c r="AX1094">
        <f>'T_TTAFStock'!AV30</f>
        <v/>
      </c>
      <c r="AY1094">
        <f>'T_TTAFStock'!AW30</f>
        <v/>
      </c>
      <c r="AZ1094">
        <f>'T_TTAFStock'!AX30</f>
        <v/>
      </c>
      <c r="BA1094">
        <f>'T_TTAFStock'!AY30</f>
        <v/>
      </c>
      <c r="BB1094">
        <f>'T_TTAFStock'!AZ30</f>
        <v/>
      </c>
      <c r="BC1094">
        <f>'T_TTAFStock'!BA30</f>
        <v/>
      </c>
      <c r="BD1094">
        <f>'T_TTAFStock'!BB30</f>
        <v/>
      </c>
      <c r="BE1094">
        <f>'T_TTAFStock'!BC30</f>
        <v/>
      </c>
      <c r="BF1094">
        <f>'T_TTAFStock'!BD30</f>
        <v/>
      </c>
      <c r="BG1094">
        <f>'T_TTAFStock'!BE30</f>
        <v/>
      </c>
      <c r="BH1094">
        <f>'T_TTAFStock'!BF30</f>
        <v/>
      </c>
      <c r="BI1094">
        <f>'T_TTAFStock'!BG30</f>
        <v/>
      </c>
      <c r="BJ1094">
        <f>'T_TTAFStock'!BH30</f>
        <v/>
      </c>
      <c r="BK1094">
        <f>'T_TTAFStock'!BI30</f>
        <v/>
      </c>
      <c r="BL1094">
        <f>'T_TTAFStock'!BJ30</f>
        <v/>
      </c>
      <c r="BM1094">
        <f>'T_TTAFStock'!BK30</f>
        <v/>
      </c>
      <c r="BN1094">
        <f>'T_TTAFStock'!BL30</f>
        <v/>
      </c>
      <c r="BO1094">
        <f>'T_TTAFStock'!BM30</f>
        <v/>
      </c>
      <c r="BP1094">
        <f>'T_TTAFStock'!BN30</f>
        <v/>
      </c>
      <c r="BQ1094">
        <f>'T_TTAFStock'!BO30</f>
        <v/>
      </c>
      <c r="BR1094">
        <f>'T_TTAFStock'!BP30</f>
        <v/>
      </c>
      <c r="BS1094">
        <f>'T_TTAFStock'!BQ30</f>
        <v/>
      </c>
      <c r="BT1094">
        <f>'T_TTAFStock'!BR30</f>
        <v/>
      </c>
      <c r="BU1094">
        <f>'T_TTAFStock'!BS30</f>
        <v/>
      </c>
      <c r="BV1094">
        <f>'T_TTAFStock'!BT30</f>
        <v/>
      </c>
      <c r="BW1094">
        <f>'T_TTAFStock'!BU30</f>
        <v/>
      </c>
      <c r="BX1094">
        <f>'T_TTAFStock'!BV30</f>
        <v/>
      </c>
      <c r="BY1094">
        <f>'T_TTAFStock'!BW30</f>
        <v/>
      </c>
      <c r="BZ1094">
        <f>'T_TTAFStock'!BX30</f>
        <v/>
      </c>
      <c r="CA1094">
        <f>'T_TTAFStock'!BY30</f>
        <v/>
      </c>
      <c r="CB1094">
        <f>'T_TTAFStock'!BZ30</f>
        <v/>
      </c>
      <c r="CC1094">
        <f>'T_TTAFStock'!CA30</f>
        <v/>
      </c>
      <c r="CD1094">
        <f>'T_TTAFStock'!CB30</f>
        <v/>
      </c>
      <c r="CE1094">
        <f>'T_TTAFStock'!CC30</f>
        <v/>
      </c>
      <c r="CF1094">
        <f>'T_TTAFStock'!CD30</f>
        <v/>
      </c>
      <c r="CG1094">
        <f>'T_TTAFStock'!CE30</f>
        <v/>
      </c>
      <c r="CH1094">
        <f>'T_TTAFStock'!CF30</f>
        <v/>
      </c>
      <c r="CI1094">
        <f>'T_TTAFStock'!CG30</f>
        <v/>
      </c>
      <c r="CJ1094">
        <f>'T_TTAFStock'!CH30</f>
        <v/>
      </c>
      <c r="CK1094">
        <f>'T_TTAFStock'!CI30</f>
        <v/>
      </c>
      <c r="CL1094">
        <f>'T_TTAFStock'!CJ30</f>
        <v/>
      </c>
      <c r="CM1094">
        <f>'T_TTAFStock'!CK30</f>
        <v/>
      </c>
      <c r="CN1094">
        <f>'T_TTAFStock'!CL30</f>
        <v/>
      </c>
      <c r="CO1094">
        <f>'T_TTAFStock'!CM30</f>
        <v/>
      </c>
      <c r="CP1094">
        <f>'T_TTAFStock'!CN30</f>
        <v/>
      </c>
      <c r="CQ1094">
        <f>'T_TTAFStock'!CO30</f>
        <v/>
      </c>
      <c r="CR1094">
        <f>'T_TTAFStock'!CP30</f>
        <v/>
      </c>
      <c r="CS1094">
        <f>'T_TTAFStock'!CQ30</f>
        <v/>
      </c>
      <c r="CT1094">
        <f>'T_TTAFStock'!CR30</f>
        <v/>
      </c>
      <c r="CU1094">
        <f>'T_TTAFStock'!CS30</f>
        <v/>
      </c>
      <c r="CV1094">
        <f>'T_TTAFStock'!CT30</f>
        <v/>
      </c>
      <c r="CW1094">
        <f>'T_TTAFStock'!CU30</f>
        <v/>
      </c>
      <c r="CX1094">
        <f>'T_TTAFStock'!CV30</f>
        <v/>
      </c>
      <c r="CY1094">
        <f>'T_TTAFStock'!CW30</f>
        <v/>
      </c>
      <c r="CZ1094">
        <f>'T_TTAFStock'!CX30</f>
        <v/>
      </c>
      <c r="DA1094">
        <f>'T_TTAFStock'!CY30</f>
        <v/>
      </c>
      <c r="DB1094">
        <f>'T_TTAFStock'!CZ30</f>
        <v/>
      </c>
      <c r="DC1094">
        <f>'T_TTAFStock'!DA30</f>
        <v/>
      </c>
    </row>
    <row r="1095">
      <c r="B1095" t="inlineStr">
        <is>
          <t>自社在庫(実績,kg)</t>
        </is>
      </c>
      <c r="D1095">
        <f>'T_SelfStock'!B30</f>
        <v/>
      </c>
      <c r="E1095">
        <f>'T_SelfStock'!C30</f>
        <v/>
      </c>
      <c r="F1095">
        <f>'T_SelfStock'!D30</f>
        <v/>
      </c>
      <c r="G1095">
        <f>'T_SelfStock'!E30</f>
        <v/>
      </c>
      <c r="H1095">
        <f>'T_SelfStock'!F30</f>
        <v/>
      </c>
      <c r="I1095">
        <f>'T_SelfStock'!G30</f>
        <v/>
      </c>
      <c r="J1095">
        <f>'T_SelfStock'!H30</f>
        <v/>
      </c>
      <c r="K1095">
        <f>'T_SelfStock'!I30</f>
        <v/>
      </c>
      <c r="L1095">
        <f>'T_SelfStock'!J30</f>
        <v/>
      </c>
      <c r="M1095">
        <f>'T_SelfStock'!K30</f>
        <v/>
      </c>
      <c r="N1095">
        <f>'T_SelfStock'!L30</f>
        <v/>
      </c>
      <c r="O1095">
        <f>'T_SelfStock'!M30</f>
        <v/>
      </c>
      <c r="P1095">
        <f>'T_SelfStock'!N30</f>
        <v/>
      </c>
      <c r="Q1095">
        <f>'T_SelfStock'!O30</f>
        <v/>
      </c>
      <c r="R1095">
        <f>'T_SelfStock'!P30</f>
        <v/>
      </c>
      <c r="S1095">
        <f>'T_SelfStock'!Q30</f>
        <v/>
      </c>
      <c r="T1095">
        <f>'T_SelfStock'!R30</f>
        <v/>
      </c>
      <c r="U1095">
        <f>'T_SelfStock'!S30</f>
        <v/>
      </c>
      <c r="V1095">
        <f>'T_SelfStock'!T30</f>
        <v/>
      </c>
      <c r="W1095">
        <f>'T_SelfStock'!U30</f>
        <v/>
      </c>
      <c r="X1095">
        <f>'T_SelfStock'!V30</f>
        <v/>
      </c>
      <c r="Y1095">
        <f>'T_SelfStock'!W30</f>
        <v/>
      </c>
      <c r="Z1095">
        <f>'T_SelfStock'!X30</f>
        <v/>
      </c>
      <c r="AA1095">
        <f>'T_SelfStock'!Y30</f>
        <v/>
      </c>
      <c r="AB1095">
        <f>'T_SelfStock'!Z30</f>
        <v/>
      </c>
      <c r="AC1095">
        <f>'T_SelfStock'!AA30</f>
        <v/>
      </c>
      <c r="AD1095">
        <f>'T_SelfStock'!AB30</f>
        <v/>
      </c>
      <c r="AE1095">
        <f>'T_SelfStock'!AC30</f>
        <v/>
      </c>
      <c r="AF1095">
        <f>'T_SelfStock'!AD30</f>
        <v/>
      </c>
      <c r="AG1095">
        <f>'T_SelfStock'!AE30</f>
        <v/>
      </c>
      <c r="AH1095">
        <f>'T_SelfStock'!AF30</f>
        <v/>
      </c>
      <c r="AI1095">
        <f>'T_SelfStock'!AG30</f>
        <v/>
      </c>
      <c r="AJ1095">
        <f>'T_SelfStock'!AH30</f>
        <v/>
      </c>
      <c r="AK1095">
        <f>'T_SelfStock'!AI30</f>
        <v/>
      </c>
      <c r="AL1095">
        <f>'T_SelfStock'!AJ30</f>
        <v/>
      </c>
      <c r="AM1095">
        <f>'T_SelfStock'!AK30</f>
        <v/>
      </c>
      <c r="AN1095">
        <f>'T_SelfStock'!AL30</f>
        <v/>
      </c>
      <c r="AO1095">
        <f>'T_SelfStock'!AM30</f>
        <v/>
      </c>
      <c r="AP1095">
        <f>'T_SelfStock'!AN30</f>
        <v/>
      </c>
      <c r="AQ1095">
        <f>'T_SelfStock'!AO30</f>
        <v/>
      </c>
      <c r="AR1095">
        <f>'T_SelfStock'!AP30</f>
        <v/>
      </c>
      <c r="AS1095">
        <f>'T_SelfStock'!AQ30</f>
        <v/>
      </c>
      <c r="AT1095">
        <f>'T_SelfStock'!AR30</f>
        <v/>
      </c>
      <c r="AU1095">
        <f>'T_SelfStock'!AS30</f>
        <v/>
      </c>
      <c r="AV1095">
        <f>'T_SelfStock'!AT30</f>
        <v/>
      </c>
      <c r="AW1095">
        <f>'T_SelfStock'!AU30</f>
        <v/>
      </c>
      <c r="AX1095">
        <f>'T_SelfStock'!AV30</f>
        <v/>
      </c>
      <c r="AY1095">
        <f>'T_SelfStock'!AW30</f>
        <v/>
      </c>
      <c r="AZ1095">
        <f>'T_SelfStock'!AX30</f>
        <v/>
      </c>
      <c r="BA1095">
        <f>'T_SelfStock'!AY30</f>
        <v/>
      </c>
      <c r="BB1095">
        <f>'T_SelfStock'!AZ30</f>
        <v/>
      </c>
      <c r="BC1095">
        <f>'T_SelfStock'!BA30</f>
        <v/>
      </c>
      <c r="BD1095">
        <f>'T_SelfStock'!BB30</f>
        <v/>
      </c>
      <c r="BE1095">
        <f>'T_SelfStock'!BC30</f>
        <v/>
      </c>
      <c r="BF1095">
        <f>'T_SelfStock'!BD30</f>
        <v/>
      </c>
      <c r="BG1095">
        <f>'T_SelfStock'!BE30</f>
        <v/>
      </c>
      <c r="BH1095">
        <f>'T_SelfStock'!BF30</f>
        <v/>
      </c>
      <c r="BI1095">
        <f>'T_SelfStock'!BG30</f>
        <v/>
      </c>
      <c r="BJ1095">
        <f>'T_SelfStock'!BH30</f>
        <v/>
      </c>
      <c r="BK1095">
        <f>'T_SelfStock'!BI30</f>
        <v/>
      </c>
      <c r="BL1095">
        <f>'T_SelfStock'!BJ30</f>
        <v/>
      </c>
      <c r="BM1095">
        <f>'T_SelfStock'!BK30</f>
        <v/>
      </c>
      <c r="BN1095">
        <f>'T_SelfStock'!BL30</f>
        <v/>
      </c>
      <c r="BO1095">
        <f>'T_SelfStock'!BM30</f>
        <v/>
      </c>
      <c r="BP1095">
        <f>'T_SelfStock'!BN30</f>
        <v/>
      </c>
      <c r="BQ1095">
        <f>'T_SelfStock'!BO30</f>
        <v/>
      </c>
      <c r="BR1095">
        <f>'T_SelfStock'!BP30</f>
        <v/>
      </c>
      <c r="BS1095">
        <f>'T_SelfStock'!BQ30</f>
        <v/>
      </c>
      <c r="BT1095">
        <f>'T_SelfStock'!BR30</f>
        <v/>
      </c>
      <c r="BU1095">
        <f>'T_SelfStock'!BS30</f>
        <v/>
      </c>
      <c r="BV1095">
        <f>'T_SelfStock'!BT30</f>
        <v/>
      </c>
      <c r="BW1095">
        <f>'T_SelfStock'!BU30</f>
        <v/>
      </c>
      <c r="BX1095">
        <f>'T_SelfStock'!BV30</f>
        <v/>
      </c>
      <c r="BY1095">
        <f>'T_SelfStock'!BW30</f>
        <v/>
      </c>
      <c r="BZ1095">
        <f>'T_SelfStock'!BX30</f>
        <v/>
      </c>
      <c r="CA1095">
        <f>'T_SelfStock'!BY30</f>
        <v/>
      </c>
      <c r="CB1095">
        <f>'T_SelfStock'!BZ30</f>
        <v/>
      </c>
      <c r="CC1095">
        <f>'T_SelfStock'!CA30</f>
        <v/>
      </c>
      <c r="CD1095">
        <f>'T_SelfStock'!CB30</f>
        <v/>
      </c>
      <c r="CE1095">
        <f>'T_SelfStock'!CC30</f>
        <v/>
      </c>
      <c r="CF1095">
        <f>'T_SelfStock'!CD30</f>
        <v/>
      </c>
      <c r="CG1095">
        <f>'T_SelfStock'!CE30</f>
        <v/>
      </c>
      <c r="CH1095">
        <f>'T_SelfStock'!CF30</f>
        <v/>
      </c>
      <c r="CI1095">
        <f>'T_SelfStock'!CG30</f>
        <v/>
      </c>
      <c r="CJ1095">
        <f>'T_SelfStock'!CH30</f>
        <v/>
      </c>
      <c r="CK1095">
        <f>'T_SelfStock'!CI30</f>
        <v/>
      </c>
      <c r="CL1095">
        <f>'T_SelfStock'!CJ30</f>
        <v/>
      </c>
      <c r="CM1095">
        <f>'T_SelfStock'!CK30</f>
        <v/>
      </c>
      <c r="CN1095">
        <f>'T_SelfStock'!CL30</f>
        <v/>
      </c>
      <c r="CO1095">
        <f>'T_SelfStock'!CM30</f>
        <v/>
      </c>
      <c r="CP1095">
        <f>'T_SelfStock'!CN30</f>
        <v/>
      </c>
      <c r="CQ1095">
        <f>'T_SelfStock'!CO30</f>
        <v/>
      </c>
      <c r="CR1095">
        <f>'T_SelfStock'!CP30</f>
        <v/>
      </c>
      <c r="CS1095">
        <f>'T_SelfStock'!CQ30</f>
        <v/>
      </c>
      <c r="CT1095">
        <f>'T_SelfStock'!CR30</f>
        <v/>
      </c>
      <c r="CU1095">
        <f>'T_SelfStock'!CS30</f>
        <v/>
      </c>
      <c r="CV1095">
        <f>'T_SelfStock'!CT30</f>
        <v/>
      </c>
      <c r="CW1095">
        <f>'T_SelfStock'!CU30</f>
        <v/>
      </c>
      <c r="CX1095">
        <f>'T_SelfStock'!CV30</f>
        <v/>
      </c>
      <c r="CY1095">
        <f>'T_SelfStock'!CW30</f>
        <v/>
      </c>
      <c r="CZ1095">
        <f>'T_SelfStock'!CX30</f>
        <v/>
      </c>
      <c r="DA1095">
        <f>'T_SelfStock'!CY30</f>
        <v/>
      </c>
      <c r="DB1095">
        <f>'T_SelfStock'!CZ30</f>
        <v/>
      </c>
      <c r="DC1095">
        <f>'T_SelfStock'!DA30</f>
        <v/>
      </c>
    </row>
    <row r="1096">
      <c r="B1096" s="4" t="inlineStr">
        <is>
          <t>合計在庫(週末時点,kg)</t>
        </is>
      </c>
      <c r="D1096">
        <f>'Grid_Stock'!B26</f>
        <v/>
      </c>
      <c r="E1096">
        <f>'Grid_Stock'!C26</f>
        <v/>
      </c>
      <c r="F1096">
        <f>'Grid_Stock'!D26</f>
        <v/>
      </c>
      <c r="G1096">
        <f>'Grid_Stock'!E26</f>
        <v/>
      </c>
      <c r="H1096">
        <f>'Grid_Stock'!F26</f>
        <v/>
      </c>
      <c r="I1096">
        <f>'Grid_Stock'!G26</f>
        <v/>
      </c>
      <c r="J1096">
        <f>'Grid_Stock'!H26</f>
        <v/>
      </c>
      <c r="K1096">
        <f>'Grid_Stock'!I26</f>
        <v/>
      </c>
      <c r="L1096">
        <f>'Grid_Stock'!J26</f>
        <v/>
      </c>
      <c r="M1096">
        <f>'Grid_Stock'!K26</f>
        <v/>
      </c>
      <c r="N1096">
        <f>'Grid_Stock'!L26</f>
        <v/>
      </c>
      <c r="O1096">
        <f>'Grid_Stock'!M26</f>
        <v/>
      </c>
      <c r="P1096">
        <f>'Grid_Stock'!N26</f>
        <v/>
      </c>
      <c r="Q1096">
        <f>'Grid_Stock'!O26</f>
        <v/>
      </c>
      <c r="R1096">
        <f>'Grid_Stock'!P26</f>
        <v/>
      </c>
      <c r="S1096">
        <f>'Grid_Stock'!Q26</f>
        <v/>
      </c>
      <c r="T1096">
        <f>'Grid_Stock'!R26</f>
        <v/>
      </c>
      <c r="U1096">
        <f>'Grid_Stock'!S26</f>
        <v/>
      </c>
      <c r="V1096">
        <f>'Grid_Stock'!T26</f>
        <v/>
      </c>
      <c r="W1096">
        <f>'Grid_Stock'!U26</f>
        <v/>
      </c>
      <c r="X1096">
        <f>'Grid_Stock'!V26</f>
        <v/>
      </c>
      <c r="Y1096">
        <f>'Grid_Stock'!W26</f>
        <v/>
      </c>
      <c r="Z1096">
        <f>'Grid_Stock'!X26</f>
        <v/>
      </c>
      <c r="AA1096">
        <f>'Grid_Stock'!Y26</f>
        <v/>
      </c>
      <c r="AB1096">
        <f>'Grid_Stock'!Z26</f>
        <v/>
      </c>
      <c r="AC1096">
        <f>'Grid_Stock'!AA26</f>
        <v/>
      </c>
      <c r="AD1096">
        <f>'Grid_Stock'!AB26</f>
        <v/>
      </c>
      <c r="AE1096">
        <f>'Grid_Stock'!AC26</f>
        <v/>
      </c>
      <c r="AF1096">
        <f>'Grid_Stock'!AD26</f>
        <v/>
      </c>
      <c r="AG1096">
        <f>'Grid_Stock'!AE26</f>
        <v/>
      </c>
      <c r="AH1096">
        <f>'Grid_Stock'!AF26</f>
        <v/>
      </c>
      <c r="AI1096">
        <f>'Grid_Stock'!AG26</f>
        <v/>
      </c>
      <c r="AJ1096">
        <f>'Grid_Stock'!AH26</f>
        <v/>
      </c>
      <c r="AK1096">
        <f>'Grid_Stock'!AI26</f>
        <v/>
      </c>
      <c r="AL1096">
        <f>'Grid_Stock'!AJ26</f>
        <v/>
      </c>
      <c r="AM1096">
        <f>'Grid_Stock'!AK26</f>
        <v/>
      </c>
      <c r="AN1096">
        <f>'Grid_Stock'!AL26</f>
        <v/>
      </c>
      <c r="AO1096">
        <f>'Grid_Stock'!AM26</f>
        <v/>
      </c>
      <c r="AP1096">
        <f>'Grid_Stock'!AN26</f>
        <v/>
      </c>
      <c r="AQ1096">
        <f>'Grid_Stock'!AO26</f>
        <v/>
      </c>
      <c r="AR1096">
        <f>'Grid_Stock'!AP26</f>
        <v/>
      </c>
      <c r="AS1096">
        <f>'Grid_Stock'!AQ26</f>
        <v/>
      </c>
      <c r="AT1096">
        <f>'Grid_Stock'!AR26</f>
        <v/>
      </c>
      <c r="AU1096">
        <f>'Grid_Stock'!AS26</f>
        <v/>
      </c>
      <c r="AV1096">
        <f>'Grid_Stock'!AT26</f>
        <v/>
      </c>
      <c r="AW1096">
        <f>'Grid_Stock'!AU26</f>
        <v/>
      </c>
      <c r="AX1096">
        <f>'Grid_Stock'!AV26</f>
        <v/>
      </c>
      <c r="AY1096">
        <f>'Grid_Stock'!AW26</f>
        <v/>
      </c>
      <c r="AZ1096">
        <f>'Grid_Stock'!AX26</f>
        <v/>
      </c>
      <c r="BA1096">
        <f>'Grid_Stock'!AY26</f>
        <v/>
      </c>
      <c r="BB1096">
        <f>'Grid_Stock'!AZ26</f>
        <v/>
      </c>
      <c r="BC1096">
        <f>'Grid_Stock'!BA26</f>
        <v/>
      </c>
      <c r="BD1096">
        <f>'Grid_Stock'!BB26</f>
        <v/>
      </c>
      <c r="BE1096">
        <f>'Grid_Stock'!BC26</f>
        <v/>
      </c>
      <c r="BF1096">
        <f>'Grid_Stock'!BD26</f>
        <v/>
      </c>
      <c r="BG1096">
        <f>'Grid_Stock'!BE26</f>
        <v/>
      </c>
      <c r="BH1096">
        <f>'Grid_Stock'!BF26</f>
        <v/>
      </c>
      <c r="BI1096">
        <f>'Grid_Stock'!BG26</f>
        <v/>
      </c>
      <c r="BJ1096">
        <f>'Grid_Stock'!BH26</f>
        <v/>
      </c>
      <c r="BK1096">
        <f>'Grid_Stock'!BI26</f>
        <v/>
      </c>
      <c r="BL1096">
        <f>'Grid_Stock'!BJ26</f>
        <v/>
      </c>
      <c r="BM1096">
        <f>'Grid_Stock'!BK26</f>
        <v/>
      </c>
      <c r="BN1096">
        <f>'Grid_Stock'!BL26</f>
        <v/>
      </c>
      <c r="BO1096">
        <f>'Grid_Stock'!BM26</f>
        <v/>
      </c>
      <c r="BP1096">
        <f>'Grid_Stock'!BN26</f>
        <v/>
      </c>
      <c r="BQ1096">
        <f>'Grid_Stock'!BO26</f>
        <v/>
      </c>
      <c r="BR1096">
        <f>'Grid_Stock'!BP26</f>
        <v/>
      </c>
      <c r="BS1096">
        <f>'Grid_Stock'!BQ26</f>
        <v/>
      </c>
      <c r="BT1096">
        <f>'Grid_Stock'!BR26</f>
        <v/>
      </c>
      <c r="BU1096">
        <f>'Grid_Stock'!BS26</f>
        <v/>
      </c>
      <c r="BV1096">
        <f>'Grid_Stock'!BT26</f>
        <v/>
      </c>
      <c r="BW1096">
        <f>'Grid_Stock'!BU26</f>
        <v/>
      </c>
      <c r="BX1096">
        <f>'Grid_Stock'!BV26</f>
        <v/>
      </c>
      <c r="BY1096">
        <f>'Grid_Stock'!BW26</f>
        <v/>
      </c>
      <c r="BZ1096">
        <f>'Grid_Stock'!BX26</f>
        <v/>
      </c>
      <c r="CA1096">
        <f>'Grid_Stock'!BY26</f>
        <v/>
      </c>
      <c r="CB1096">
        <f>'Grid_Stock'!BZ26</f>
        <v/>
      </c>
      <c r="CC1096">
        <f>'Grid_Stock'!CA26</f>
        <v/>
      </c>
      <c r="CD1096">
        <f>'Grid_Stock'!CB26</f>
        <v/>
      </c>
      <c r="CE1096">
        <f>'Grid_Stock'!CC26</f>
        <v/>
      </c>
      <c r="CF1096">
        <f>'Grid_Stock'!CD26</f>
        <v/>
      </c>
      <c r="CG1096">
        <f>'Grid_Stock'!CE26</f>
        <v/>
      </c>
      <c r="CH1096">
        <f>'Grid_Stock'!CF26</f>
        <v/>
      </c>
      <c r="CI1096">
        <f>'Grid_Stock'!CG26</f>
        <v/>
      </c>
      <c r="CJ1096">
        <f>'Grid_Stock'!CH26</f>
        <v/>
      </c>
      <c r="CK1096">
        <f>'Grid_Stock'!CI26</f>
        <v/>
      </c>
      <c r="CL1096">
        <f>'Grid_Stock'!CJ26</f>
        <v/>
      </c>
      <c r="CM1096">
        <f>'Grid_Stock'!CK26</f>
        <v/>
      </c>
      <c r="CN1096">
        <f>'Grid_Stock'!CL26</f>
        <v/>
      </c>
      <c r="CO1096">
        <f>'Grid_Stock'!CM26</f>
        <v/>
      </c>
      <c r="CP1096">
        <f>'Grid_Stock'!CN26</f>
        <v/>
      </c>
      <c r="CQ1096">
        <f>'Grid_Stock'!CO26</f>
        <v/>
      </c>
      <c r="CR1096">
        <f>'Grid_Stock'!CP26</f>
        <v/>
      </c>
      <c r="CS1096">
        <f>'Grid_Stock'!CQ26</f>
        <v/>
      </c>
      <c r="CT1096">
        <f>'Grid_Stock'!CR26</f>
        <v/>
      </c>
      <c r="CU1096">
        <f>'Grid_Stock'!CS26</f>
        <v/>
      </c>
      <c r="CV1096">
        <f>'Grid_Stock'!CT26</f>
        <v/>
      </c>
      <c r="CW1096">
        <f>'Grid_Stock'!CU26</f>
        <v/>
      </c>
      <c r="CX1096">
        <f>'Grid_Stock'!CV26</f>
        <v/>
      </c>
      <c r="CY1096">
        <f>'Grid_Stock'!CW26</f>
        <v/>
      </c>
      <c r="CZ1096">
        <f>'Grid_Stock'!CX26</f>
        <v/>
      </c>
      <c r="DA1096">
        <f>'Grid_Stock'!CY26</f>
        <v/>
      </c>
      <c r="DB1096">
        <f>'Grid_Stock'!CZ26</f>
        <v/>
      </c>
      <c r="DC1096">
        <f>'Grid_Stock'!DA26</f>
        <v/>
      </c>
    </row>
    <row r="1097">
      <c r="B1097" s="16" t="inlineStr">
        <is>
          <t>（発注の目安はDashboardの基準在庫[下限/上限]と色分けを参照）</t>
        </is>
      </c>
    </row>
    <row r="1099">
      <c r="A1099" s="14" t="inlineStr">
        <is>
          <t>CHEM-1570</t>
        </is>
      </c>
      <c r="B1099" s="14" t="inlineStr">
        <is>
          <t>NOPAGOAL A</t>
        </is>
      </c>
      <c r="C1099" s="15" t="n"/>
      <c r="D1099" s="14" t="n"/>
      <c r="E1099" s="14" t="n"/>
      <c r="F1099" s="14" t="n"/>
      <c r="G1099" s="14" t="n"/>
      <c r="H1099" s="14" t="n"/>
      <c r="I1099" s="14" t="n"/>
      <c r="J1099" s="14" t="n"/>
      <c r="K1099" s="14" t="n"/>
      <c r="L1099" s="14" t="n"/>
      <c r="M1099" s="14" t="n"/>
      <c r="N1099" s="14" t="n"/>
      <c r="O1099" s="14" t="n"/>
      <c r="P1099" s="14" t="n"/>
      <c r="Q1099" s="14" t="n"/>
      <c r="R1099" s="14" t="n"/>
      <c r="S1099" s="14" t="n"/>
      <c r="T1099" s="14" t="n"/>
      <c r="U1099" s="14" t="n"/>
      <c r="V1099" s="14" t="n"/>
      <c r="W1099" s="14" t="n"/>
      <c r="X1099" s="14" t="n"/>
      <c r="Y1099" s="14" t="n"/>
      <c r="Z1099" s="14" t="n"/>
      <c r="AA1099" s="14" t="n"/>
      <c r="AB1099" s="14" t="n"/>
      <c r="AC1099" s="14" t="n"/>
      <c r="AD1099" s="14" t="n"/>
      <c r="AE1099" s="14" t="n"/>
      <c r="AF1099" s="14" t="n"/>
      <c r="AG1099" s="14" t="n"/>
      <c r="AH1099" s="14" t="n"/>
      <c r="AI1099" s="14" t="n"/>
      <c r="AJ1099" s="14" t="n"/>
      <c r="AK1099" s="14" t="n"/>
      <c r="AL1099" s="14" t="n"/>
      <c r="AM1099" s="14" t="n"/>
      <c r="AN1099" s="14" t="n"/>
      <c r="AO1099" s="14" t="n"/>
      <c r="AP1099" s="14" t="n"/>
      <c r="AQ1099" s="14" t="n"/>
      <c r="AR1099" s="14" t="n"/>
      <c r="AS1099" s="14" t="n"/>
      <c r="AT1099" s="14" t="n"/>
      <c r="AU1099" s="14" t="n"/>
      <c r="AV1099" s="14" t="n"/>
      <c r="AW1099" s="14" t="n"/>
      <c r="AX1099" s="14" t="n"/>
      <c r="AY1099" s="14" t="n"/>
      <c r="AZ1099" s="14" t="n"/>
      <c r="BA1099" s="14" t="n"/>
      <c r="BB1099" s="14" t="n"/>
      <c r="BC1099" s="14" t="n"/>
      <c r="BD1099" s="14" t="n"/>
      <c r="BE1099" s="14" t="n"/>
      <c r="BF1099" s="14" t="n"/>
      <c r="BG1099" s="14" t="n"/>
      <c r="BH1099" s="14" t="n"/>
      <c r="BI1099" s="14" t="n"/>
      <c r="BJ1099" s="14" t="n"/>
      <c r="BK1099" s="14" t="n"/>
      <c r="BL1099" s="14" t="n"/>
      <c r="BM1099" s="14" t="n"/>
      <c r="BN1099" s="14" t="n"/>
      <c r="BO1099" s="14" t="n"/>
      <c r="BP1099" s="14" t="n"/>
      <c r="BQ1099" s="14" t="n"/>
      <c r="BR1099" s="14" t="n"/>
      <c r="BS1099" s="14" t="n"/>
      <c r="BT1099" s="14" t="n"/>
      <c r="BU1099" s="14" t="n"/>
      <c r="BV1099" s="14" t="n"/>
      <c r="BW1099" s="14" t="n"/>
      <c r="BX1099" s="14" t="n"/>
      <c r="BY1099" s="14" t="n"/>
      <c r="BZ1099" s="14" t="n"/>
      <c r="CA1099" s="14" t="n"/>
      <c r="CB1099" s="14" t="n"/>
      <c r="CC1099" s="14" t="n"/>
      <c r="CD1099" s="14" t="n"/>
      <c r="CE1099" s="14" t="n"/>
      <c r="CF1099" s="14" t="n"/>
      <c r="CG1099" s="14" t="n"/>
      <c r="CH1099" s="14" t="n"/>
      <c r="CI1099" s="14" t="n"/>
      <c r="CJ1099" s="14" t="n"/>
      <c r="CK1099" s="14" t="n"/>
      <c r="CL1099" s="14" t="n"/>
      <c r="CM1099" s="14" t="n"/>
      <c r="CN1099" s="14" t="n"/>
      <c r="CO1099" s="14" t="n"/>
      <c r="CP1099" s="14" t="n"/>
      <c r="CQ1099" s="14" t="n"/>
      <c r="CR1099" s="14" t="n"/>
      <c r="CS1099" s="14" t="n"/>
      <c r="CT1099" s="14" t="n"/>
      <c r="CU1099" s="14" t="n"/>
      <c r="CV1099" s="14" t="n"/>
      <c r="CW1099" s="14" t="n"/>
      <c r="CX1099" s="14" t="n"/>
      <c r="CY1099" s="14" t="n"/>
      <c r="CZ1099" s="14" t="n"/>
      <c r="DA1099" s="14" t="n"/>
      <c r="DB1099" s="14" t="n"/>
      <c r="DC1099" s="14" t="n"/>
    </row>
    <row r="1100">
      <c r="B1100" t="inlineStr">
        <is>
          <t>TSP-1388</t>
        </is>
      </c>
      <c r="C1100" t="inlineStr">
        <is>
          <t>No. of batches</t>
        </is>
      </c>
      <c r="D1100">
        <f>IFERROR(INDEX(PP_Grid[#Data],$DD1100,2),0)</f>
        <v/>
      </c>
      <c r="E1100">
        <f>IFERROR(INDEX(PP_Grid[#Data],$DD1100,3),0)</f>
        <v/>
      </c>
      <c r="F1100">
        <f>IFERROR(INDEX(PP_Grid[#Data],$DD1100,4),0)</f>
        <v/>
      </c>
      <c r="G1100">
        <f>IFERROR(INDEX(PP_Grid[#Data],$DD1100,5),0)</f>
        <v/>
      </c>
      <c r="H1100">
        <f>IFERROR(INDEX(PP_Grid[#Data],$DD1100,6),0)</f>
        <v/>
      </c>
      <c r="I1100">
        <f>IFERROR(INDEX(PP_Grid[#Data],$DD1100,7),0)</f>
        <v/>
      </c>
      <c r="J1100">
        <f>IFERROR(INDEX(PP_Grid[#Data],$DD1100,8),0)</f>
        <v/>
      </c>
      <c r="K1100">
        <f>IFERROR(INDEX(PP_Grid[#Data],$DD1100,9),0)</f>
        <v/>
      </c>
      <c r="L1100">
        <f>IFERROR(INDEX(PP_Grid[#Data],$DD1100,10),0)</f>
        <v/>
      </c>
      <c r="M1100">
        <f>IFERROR(INDEX(PP_Grid[#Data],$DD1100,11),0)</f>
        <v/>
      </c>
      <c r="N1100">
        <f>IFERROR(INDEX(PP_Grid[#Data],$DD1100,12),0)</f>
        <v/>
      </c>
      <c r="O1100">
        <f>IFERROR(INDEX(PP_Grid[#Data],$DD1100,13),0)</f>
        <v/>
      </c>
      <c r="P1100">
        <f>IFERROR(INDEX(PP_Grid[#Data],$DD1100,14),0)</f>
        <v/>
      </c>
      <c r="Q1100">
        <f>IFERROR(INDEX(PP_Grid[#Data],$DD1100,15),0)</f>
        <v/>
      </c>
      <c r="R1100">
        <f>IFERROR(INDEX(PP_Grid[#Data],$DD1100,16),0)</f>
        <v/>
      </c>
      <c r="S1100">
        <f>IFERROR(INDEX(PP_Grid[#Data],$DD1100,17),0)</f>
        <v/>
      </c>
      <c r="T1100">
        <f>IFERROR(INDEX(PP_Grid[#Data],$DD1100,18),0)</f>
        <v/>
      </c>
      <c r="U1100">
        <f>IFERROR(INDEX(PP_Grid[#Data],$DD1100,19),0)</f>
        <v/>
      </c>
      <c r="V1100">
        <f>IFERROR(INDEX(PP_Grid[#Data],$DD1100,20),0)</f>
        <v/>
      </c>
      <c r="W1100">
        <f>IFERROR(INDEX(PP_Grid[#Data],$DD1100,21),0)</f>
        <v/>
      </c>
      <c r="X1100">
        <f>IFERROR(INDEX(PP_Grid[#Data],$DD1100,22),0)</f>
        <v/>
      </c>
      <c r="Y1100">
        <f>IFERROR(INDEX(PP_Grid[#Data],$DD1100,23),0)</f>
        <v/>
      </c>
      <c r="Z1100">
        <f>IFERROR(INDEX(PP_Grid[#Data],$DD1100,24),0)</f>
        <v/>
      </c>
      <c r="AA1100">
        <f>IFERROR(INDEX(PP_Grid[#Data],$DD1100,25),0)</f>
        <v/>
      </c>
      <c r="AB1100">
        <f>IFERROR(INDEX(PP_Grid[#Data],$DD1100,26),0)</f>
        <v/>
      </c>
      <c r="AC1100">
        <f>IFERROR(INDEX(PP_Grid[#Data],$DD1100,27),0)</f>
        <v/>
      </c>
      <c r="AD1100">
        <f>IFERROR(INDEX(PP_Grid[#Data],$DD1100,28),0)</f>
        <v/>
      </c>
      <c r="AE1100">
        <f>IFERROR(INDEX(PP_Grid[#Data],$DD1100,29),0)</f>
        <v/>
      </c>
      <c r="AF1100">
        <f>IFERROR(INDEX(PP_Grid[#Data],$DD1100,30),0)</f>
        <v/>
      </c>
      <c r="AG1100">
        <f>IFERROR(INDEX(PP_Grid[#Data],$DD1100,31),0)</f>
        <v/>
      </c>
      <c r="AH1100">
        <f>IFERROR(INDEX(PP_Grid[#Data],$DD1100,32),0)</f>
        <v/>
      </c>
      <c r="AI1100">
        <f>IFERROR(INDEX(PP_Grid[#Data],$DD1100,33),0)</f>
        <v/>
      </c>
      <c r="AJ1100">
        <f>IFERROR(INDEX(PP_Grid[#Data],$DD1100,34),0)</f>
        <v/>
      </c>
      <c r="AK1100">
        <f>IFERROR(INDEX(PP_Grid[#Data],$DD1100,35),0)</f>
        <v/>
      </c>
      <c r="AL1100">
        <f>IFERROR(INDEX(PP_Grid[#Data],$DD1100,36),0)</f>
        <v/>
      </c>
      <c r="AM1100">
        <f>IFERROR(INDEX(PP_Grid[#Data],$DD1100,37),0)</f>
        <v/>
      </c>
      <c r="AN1100">
        <f>IFERROR(INDEX(PP_Grid[#Data],$DD1100,38),0)</f>
        <v/>
      </c>
      <c r="AO1100">
        <f>IFERROR(INDEX(PP_Grid[#Data],$DD1100,39),0)</f>
        <v/>
      </c>
      <c r="AP1100">
        <f>IFERROR(INDEX(PP_Grid[#Data],$DD1100,40),0)</f>
        <v/>
      </c>
      <c r="AQ1100">
        <f>IFERROR(INDEX(PP_Grid[#Data],$DD1100,41),0)</f>
        <v/>
      </c>
      <c r="AR1100">
        <f>IFERROR(INDEX(PP_Grid[#Data],$DD1100,42),0)</f>
        <v/>
      </c>
      <c r="AS1100">
        <f>IFERROR(INDEX(PP_Grid[#Data],$DD1100,43),0)</f>
        <v/>
      </c>
      <c r="AT1100">
        <f>IFERROR(INDEX(PP_Grid[#Data],$DD1100,44),0)</f>
        <v/>
      </c>
      <c r="AU1100">
        <f>IFERROR(INDEX(PP_Grid[#Data],$DD1100,45),0)</f>
        <v/>
      </c>
      <c r="AV1100">
        <f>IFERROR(INDEX(PP_Grid[#Data],$DD1100,46),0)</f>
        <v/>
      </c>
      <c r="AW1100">
        <f>IFERROR(INDEX(PP_Grid[#Data],$DD1100,47),0)</f>
        <v/>
      </c>
      <c r="AX1100">
        <f>IFERROR(INDEX(PP_Grid[#Data],$DD1100,48),0)</f>
        <v/>
      </c>
      <c r="AY1100">
        <f>IFERROR(INDEX(PP_Grid[#Data],$DD1100,49),0)</f>
        <v/>
      </c>
      <c r="AZ1100">
        <f>IFERROR(INDEX(PP_Grid[#Data],$DD1100,50),0)</f>
        <v/>
      </c>
      <c r="BA1100">
        <f>IFERROR(INDEX(PP_Grid[#Data],$DD1100,51),0)</f>
        <v/>
      </c>
      <c r="BB1100">
        <f>IFERROR(INDEX(PP_Grid[#Data],$DD1100,52),0)</f>
        <v/>
      </c>
      <c r="BC1100">
        <f>IFERROR(INDEX(PP_Grid[#Data],$DD1100,53),0)</f>
        <v/>
      </c>
      <c r="BD1100">
        <f>IFERROR(INDEX(PP_Grid[#Data],$DD1100,54),0)</f>
        <v/>
      </c>
      <c r="BE1100">
        <f>IFERROR(INDEX(PP_Grid[#Data],$DD1100,55),0)</f>
        <v/>
      </c>
      <c r="BF1100">
        <f>IFERROR(INDEX(PP_Grid[#Data],$DD1100,56),0)</f>
        <v/>
      </c>
      <c r="BG1100">
        <f>IFERROR(INDEX(PP_Grid[#Data],$DD1100,57),0)</f>
        <v/>
      </c>
      <c r="BH1100">
        <f>IFERROR(INDEX(PP_Grid[#Data],$DD1100,58),0)</f>
        <v/>
      </c>
      <c r="BI1100">
        <f>IFERROR(INDEX(PP_Grid[#Data],$DD1100,59),0)</f>
        <v/>
      </c>
      <c r="BJ1100">
        <f>IFERROR(INDEX(PP_Grid[#Data],$DD1100,60),0)</f>
        <v/>
      </c>
      <c r="BK1100">
        <f>IFERROR(INDEX(PP_Grid[#Data],$DD1100,61),0)</f>
        <v/>
      </c>
      <c r="BL1100">
        <f>IFERROR(INDEX(PP_Grid[#Data],$DD1100,62),0)</f>
        <v/>
      </c>
      <c r="BM1100">
        <f>IFERROR(INDEX(PP_Grid[#Data],$DD1100,63),0)</f>
        <v/>
      </c>
      <c r="BN1100">
        <f>IFERROR(INDEX(PP_Grid[#Data],$DD1100,64),0)</f>
        <v/>
      </c>
      <c r="BO1100">
        <f>IFERROR(INDEX(PP_Grid[#Data],$DD1100,65),0)</f>
        <v/>
      </c>
      <c r="BP1100">
        <f>IFERROR(INDEX(PP_Grid[#Data],$DD1100,66),0)</f>
        <v/>
      </c>
      <c r="BQ1100">
        <f>IFERROR(INDEX(PP_Grid[#Data],$DD1100,67),0)</f>
        <v/>
      </c>
      <c r="BR1100">
        <f>IFERROR(INDEX(PP_Grid[#Data],$DD1100,68),0)</f>
        <v/>
      </c>
      <c r="BS1100">
        <f>IFERROR(INDEX(PP_Grid[#Data],$DD1100,69),0)</f>
        <v/>
      </c>
      <c r="BT1100">
        <f>IFERROR(INDEX(PP_Grid[#Data],$DD1100,70),0)</f>
        <v/>
      </c>
      <c r="BU1100">
        <f>IFERROR(INDEX(PP_Grid[#Data],$DD1100,71),0)</f>
        <v/>
      </c>
      <c r="BV1100">
        <f>IFERROR(INDEX(PP_Grid[#Data],$DD1100,72),0)</f>
        <v/>
      </c>
      <c r="BW1100">
        <f>IFERROR(INDEX(PP_Grid[#Data],$DD1100,73),0)</f>
        <v/>
      </c>
      <c r="BX1100">
        <f>IFERROR(INDEX(PP_Grid[#Data],$DD1100,74),0)</f>
        <v/>
      </c>
      <c r="BY1100">
        <f>IFERROR(INDEX(PP_Grid[#Data],$DD1100,75),0)</f>
        <v/>
      </c>
      <c r="BZ1100">
        <f>IFERROR(INDEX(PP_Grid[#Data],$DD1100,76),0)</f>
        <v/>
      </c>
      <c r="CA1100">
        <f>IFERROR(INDEX(PP_Grid[#Data],$DD1100,77),0)</f>
        <v/>
      </c>
      <c r="CB1100">
        <f>IFERROR(INDEX(PP_Grid[#Data],$DD1100,78),0)</f>
        <v/>
      </c>
      <c r="CC1100">
        <f>IFERROR(INDEX(PP_Grid[#Data],$DD1100,79),0)</f>
        <v/>
      </c>
      <c r="CD1100">
        <f>IFERROR(INDEX(PP_Grid[#Data],$DD1100,80),0)</f>
        <v/>
      </c>
      <c r="CE1100">
        <f>IFERROR(INDEX(PP_Grid[#Data],$DD1100,81),0)</f>
        <v/>
      </c>
      <c r="CF1100">
        <f>IFERROR(INDEX(PP_Grid[#Data],$DD1100,82),0)</f>
        <v/>
      </c>
      <c r="CG1100">
        <f>IFERROR(INDEX(PP_Grid[#Data],$DD1100,83),0)</f>
        <v/>
      </c>
      <c r="CH1100">
        <f>IFERROR(INDEX(PP_Grid[#Data],$DD1100,84),0)</f>
        <v/>
      </c>
      <c r="CI1100">
        <f>IFERROR(INDEX(PP_Grid[#Data],$DD1100,85),0)</f>
        <v/>
      </c>
      <c r="CJ1100">
        <f>IFERROR(INDEX(PP_Grid[#Data],$DD1100,86),0)</f>
        <v/>
      </c>
      <c r="CK1100">
        <f>IFERROR(INDEX(PP_Grid[#Data],$DD1100,87),0)</f>
        <v/>
      </c>
      <c r="CL1100">
        <f>IFERROR(INDEX(PP_Grid[#Data],$DD1100,88),0)</f>
        <v/>
      </c>
      <c r="CM1100">
        <f>IFERROR(INDEX(PP_Grid[#Data],$DD1100,89),0)</f>
        <v/>
      </c>
      <c r="CN1100">
        <f>IFERROR(INDEX(PP_Grid[#Data],$DD1100,90),0)</f>
        <v/>
      </c>
      <c r="CO1100">
        <f>IFERROR(INDEX(PP_Grid[#Data],$DD1100,91),0)</f>
        <v/>
      </c>
      <c r="CP1100">
        <f>IFERROR(INDEX(PP_Grid[#Data],$DD1100,92),0)</f>
        <v/>
      </c>
      <c r="CQ1100">
        <f>IFERROR(INDEX(PP_Grid[#Data],$DD1100,93),0)</f>
        <v/>
      </c>
      <c r="CR1100">
        <f>IFERROR(INDEX(PP_Grid[#Data],$DD1100,94),0)</f>
        <v/>
      </c>
      <c r="CS1100">
        <f>IFERROR(INDEX(PP_Grid[#Data],$DD1100,95),0)</f>
        <v/>
      </c>
      <c r="CT1100">
        <f>IFERROR(INDEX(PP_Grid[#Data],$DD1100,96),0)</f>
        <v/>
      </c>
      <c r="CU1100">
        <f>IFERROR(INDEX(PP_Grid[#Data],$DD1100,97),0)</f>
        <v/>
      </c>
      <c r="CV1100">
        <f>IFERROR(INDEX(PP_Grid[#Data],$DD1100,98),0)</f>
        <v/>
      </c>
      <c r="CW1100">
        <f>IFERROR(INDEX(PP_Grid[#Data],$DD1100,99),0)</f>
        <v/>
      </c>
      <c r="CX1100">
        <f>IFERROR(INDEX(PP_Grid[#Data],$DD1100,100),0)</f>
        <v/>
      </c>
      <c r="CY1100">
        <f>IFERROR(INDEX(PP_Grid[#Data],$DD1100,101),0)</f>
        <v/>
      </c>
      <c r="CZ1100">
        <f>IFERROR(INDEX(PP_Grid[#Data],$DD1100,102),0)</f>
        <v/>
      </c>
      <c r="DA1100">
        <f>IFERROR(INDEX(PP_Grid[#Data],$DD1100,103),0)</f>
        <v/>
      </c>
      <c r="DB1100">
        <f>IFERROR(INDEX(PP_Grid[#Data],$DD1100,104),0)</f>
        <v/>
      </c>
      <c r="DC1100">
        <f>IFERROR(INDEX(PP_Grid[#Data],$DD1100,105),0)</f>
        <v/>
      </c>
      <c r="DD1100" s="7">
        <f>IFERROR(MATCH($B1100,PP_Grid[Intermediate],0),99999)</f>
        <v/>
      </c>
    </row>
    <row r="1101">
      <c r="B1101" t="inlineStr">
        <is>
          <t>使用量(kg)</t>
        </is>
      </c>
      <c r="C1101">
        <f>SUMIFS(M_BOM[RM_Qty_Per_Batch],M_BOM[Intermediate],$B1100,M_BOM[Part Name],$A1099)</f>
        <v/>
      </c>
      <c r="D1101">
        <f>$C1101*D1100</f>
        <v/>
      </c>
      <c r="E1101">
        <f>$C1101*E1100</f>
        <v/>
      </c>
      <c r="F1101">
        <f>$C1101*F1100</f>
        <v/>
      </c>
      <c r="G1101">
        <f>$C1101*G1100</f>
        <v/>
      </c>
      <c r="H1101">
        <f>$C1101*H1100</f>
        <v/>
      </c>
      <c r="I1101">
        <f>$C1101*I1100</f>
        <v/>
      </c>
      <c r="J1101">
        <f>$C1101*J1100</f>
        <v/>
      </c>
      <c r="K1101">
        <f>$C1101*K1100</f>
        <v/>
      </c>
      <c r="L1101">
        <f>$C1101*L1100</f>
        <v/>
      </c>
      <c r="M1101">
        <f>$C1101*M1100</f>
        <v/>
      </c>
      <c r="N1101">
        <f>$C1101*N1100</f>
        <v/>
      </c>
      <c r="O1101">
        <f>$C1101*O1100</f>
        <v/>
      </c>
      <c r="P1101">
        <f>$C1101*P1100</f>
        <v/>
      </c>
      <c r="Q1101">
        <f>$C1101*Q1100</f>
        <v/>
      </c>
      <c r="R1101">
        <f>$C1101*R1100</f>
        <v/>
      </c>
      <c r="S1101">
        <f>$C1101*S1100</f>
        <v/>
      </c>
      <c r="T1101">
        <f>$C1101*T1100</f>
        <v/>
      </c>
      <c r="U1101">
        <f>$C1101*U1100</f>
        <v/>
      </c>
      <c r="V1101">
        <f>$C1101*V1100</f>
        <v/>
      </c>
      <c r="W1101">
        <f>$C1101*W1100</f>
        <v/>
      </c>
      <c r="X1101">
        <f>$C1101*X1100</f>
        <v/>
      </c>
      <c r="Y1101">
        <f>$C1101*Y1100</f>
        <v/>
      </c>
      <c r="Z1101">
        <f>$C1101*Z1100</f>
        <v/>
      </c>
      <c r="AA1101">
        <f>$C1101*AA1100</f>
        <v/>
      </c>
      <c r="AB1101">
        <f>$C1101*AB1100</f>
        <v/>
      </c>
      <c r="AC1101">
        <f>$C1101*AC1100</f>
        <v/>
      </c>
      <c r="AD1101">
        <f>$C1101*AD1100</f>
        <v/>
      </c>
      <c r="AE1101">
        <f>$C1101*AE1100</f>
        <v/>
      </c>
      <c r="AF1101">
        <f>$C1101*AF1100</f>
        <v/>
      </c>
      <c r="AG1101">
        <f>$C1101*AG1100</f>
        <v/>
      </c>
      <c r="AH1101">
        <f>$C1101*AH1100</f>
        <v/>
      </c>
      <c r="AI1101">
        <f>$C1101*AI1100</f>
        <v/>
      </c>
      <c r="AJ1101">
        <f>$C1101*AJ1100</f>
        <v/>
      </c>
      <c r="AK1101">
        <f>$C1101*AK1100</f>
        <v/>
      </c>
      <c r="AL1101">
        <f>$C1101*AL1100</f>
        <v/>
      </c>
      <c r="AM1101">
        <f>$C1101*AM1100</f>
        <v/>
      </c>
      <c r="AN1101">
        <f>$C1101*AN1100</f>
        <v/>
      </c>
      <c r="AO1101">
        <f>$C1101*AO1100</f>
        <v/>
      </c>
      <c r="AP1101">
        <f>$C1101*AP1100</f>
        <v/>
      </c>
      <c r="AQ1101">
        <f>$C1101*AQ1100</f>
        <v/>
      </c>
      <c r="AR1101">
        <f>$C1101*AR1100</f>
        <v/>
      </c>
      <c r="AS1101">
        <f>$C1101*AS1100</f>
        <v/>
      </c>
      <c r="AT1101">
        <f>$C1101*AT1100</f>
        <v/>
      </c>
      <c r="AU1101">
        <f>$C1101*AU1100</f>
        <v/>
      </c>
      <c r="AV1101">
        <f>$C1101*AV1100</f>
        <v/>
      </c>
      <c r="AW1101">
        <f>$C1101*AW1100</f>
        <v/>
      </c>
      <c r="AX1101">
        <f>$C1101*AX1100</f>
        <v/>
      </c>
      <c r="AY1101">
        <f>$C1101*AY1100</f>
        <v/>
      </c>
      <c r="AZ1101">
        <f>$C1101*AZ1100</f>
        <v/>
      </c>
      <c r="BA1101">
        <f>$C1101*BA1100</f>
        <v/>
      </c>
      <c r="BB1101">
        <f>$C1101*BB1100</f>
        <v/>
      </c>
      <c r="BC1101">
        <f>$C1101*BC1100</f>
        <v/>
      </c>
      <c r="BD1101">
        <f>$C1101*BD1100</f>
        <v/>
      </c>
      <c r="BE1101">
        <f>$C1101*BE1100</f>
        <v/>
      </c>
      <c r="BF1101">
        <f>$C1101*BF1100</f>
        <v/>
      </c>
      <c r="BG1101">
        <f>$C1101*BG1100</f>
        <v/>
      </c>
      <c r="BH1101">
        <f>$C1101*BH1100</f>
        <v/>
      </c>
      <c r="BI1101">
        <f>$C1101*BI1100</f>
        <v/>
      </c>
      <c r="BJ1101">
        <f>$C1101*BJ1100</f>
        <v/>
      </c>
      <c r="BK1101">
        <f>$C1101*BK1100</f>
        <v/>
      </c>
      <c r="BL1101">
        <f>$C1101*BL1100</f>
        <v/>
      </c>
      <c r="BM1101">
        <f>$C1101*BM1100</f>
        <v/>
      </c>
      <c r="BN1101">
        <f>$C1101*BN1100</f>
        <v/>
      </c>
      <c r="BO1101">
        <f>$C1101*BO1100</f>
        <v/>
      </c>
      <c r="BP1101">
        <f>$C1101*BP1100</f>
        <v/>
      </c>
      <c r="BQ1101">
        <f>$C1101*BQ1100</f>
        <v/>
      </c>
      <c r="BR1101">
        <f>$C1101*BR1100</f>
        <v/>
      </c>
      <c r="BS1101">
        <f>$C1101*BS1100</f>
        <v/>
      </c>
      <c r="BT1101">
        <f>$C1101*BT1100</f>
        <v/>
      </c>
      <c r="BU1101">
        <f>$C1101*BU1100</f>
        <v/>
      </c>
      <c r="BV1101">
        <f>$C1101*BV1100</f>
        <v/>
      </c>
      <c r="BW1101">
        <f>$C1101*BW1100</f>
        <v/>
      </c>
      <c r="BX1101">
        <f>$C1101*BX1100</f>
        <v/>
      </c>
      <c r="BY1101">
        <f>$C1101*BY1100</f>
        <v/>
      </c>
      <c r="BZ1101">
        <f>$C1101*BZ1100</f>
        <v/>
      </c>
      <c r="CA1101">
        <f>$C1101*CA1100</f>
        <v/>
      </c>
      <c r="CB1101">
        <f>$C1101*CB1100</f>
        <v/>
      </c>
      <c r="CC1101">
        <f>$C1101*CC1100</f>
        <v/>
      </c>
      <c r="CD1101">
        <f>$C1101*CD1100</f>
        <v/>
      </c>
      <c r="CE1101">
        <f>$C1101*CE1100</f>
        <v/>
      </c>
      <c r="CF1101">
        <f>$C1101*CF1100</f>
        <v/>
      </c>
      <c r="CG1101">
        <f>$C1101*CG1100</f>
        <v/>
      </c>
      <c r="CH1101">
        <f>$C1101*CH1100</f>
        <v/>
      </c>
      <c r="CI1101">
        <f>$C1101*CI1100</f>
        <v/>
      </c>
      <c r="CJ1101">
        <f>$C1101*CJ1100</f>
        <v/>
      </c>
      <c r="CK1101">
        <f>$C1101*CK1100</f>
        <v/>
      </c>
      <c r="CL1101">
        <f>$C1101*CL1100</f>
        <v/>
      </c>
      <c r="CM1101">
        <f>$C1101*CM1100</f>
        <v/>
      </c>
      <c r="CN1101">
        <f>$C1101*CN1100</f>
        <v/>
      </c>
      <c r="CO1101">
        <f>$C1101*CO1100</f>
        <v/>
      </c>
      <c r="CP1101">
        <f>$C1101*CP1100</f>
        <v/>
      </c>
      <c r="CQ1101">
        <f>$C1101*CQ1100</f>
        <v/>
      </c>
      <c r="CR1101">
        <f>$C1101*CR1100</f>
        <v/>
      </c>
      <c r="CS1101">
        <f>$C1101*CS1100</f>
        <v/>
      </c>
      <c r="CT1101">
        <f>$C1101*CT1100</f>
        <v/>
      </c>
      <c r="CU1101">
        <f>$C1101*CU1100</f>
        <v/>
      </c>
      <c r="CV1101">
        <f>$C1101*CV1100</f>
        <v/>
      </c>
      <c r="CW1101">
        <f>$C1101*CW1100</f>
        <v/>
      </c>
      <c r="CX1101">
        <f>$C1101*CX1100</f>
        <v/>
      </c>
      <c r="CY1101">
        <f>$C1101*CY1100</f>
        <v/>
      </c>
      <c r="CZ1101">
        <f>$C1101*CZ1100</f>
        <v/>
      </c>
      <c r="DA1101">
        <f>$C1101*DA1100</f>
        <v/>
      </c>
      <c r="DB1101">
        <f>$C1101*DB1100</f>
        <v/>
      </c>
      <c r="DC1101">
        <f>$C1101*DC1100</f>
        <v/>
      </c>
    </row>
    <row r="1102">
      <c r="B1102" t="inlineStr">
        <is>
          <t>TSP-1444</t>
        </is>
      </c>
      <c r="C1102" t="inlineStr">
        <is>
          <t>No. of batches</t>
        </is>
      </c>
      <c r="D1102">
        <f>IFERROR(INDEX(PP_Grid[#Data],$DD1102,2),0)</f>
        <v/>
      </c>
      <c r="E1102">
        <f>IFERROR(INDEX(PP_Grid[#Data],$DD1102,3),0)</f>
        <v/>
      </c>
      <c r="F1102">
        <f>IFERROR(INDEX(PP_Grid[#Data],$DD1102,4),0)</f>
        <v/>
      </c>
      <c r="G1102">
        <f>IFERROR(INDEX(PP_Grid[#Data],$DD1102,5),0)</f>
        <v/>
      </c>
      <c r="H1102">
        <f>IFERROR(INDEX(PP_Grid[#Data],$DD1102,6),0)</f>
        <v/>
      </c>
      <c r="I1102">
        <f>IFERROR(INDEX(PP_Grid[#Data],$DD1102,7),0)</f>
        <v/>
      </c>
      <c r="J1102">
        <f>IFERROR(INDEX(PP_Grid[#Data],$DD1102,8),0)</f>
        <v/>
      </c>
      <c r="K1102">
        <f>IFERROR(INDEX(PP_Grid[#Data],$DD1102,9),0)</f>
        <v/>
      </c>
      <c r="L1102">
        <f>IFERROR(INDEX(PP_Grid[#Data],$DD1102,10),0)</f>
        <v/>
      </c>
      <c r="M1102">
        <f>IFERROR(INDEX(PP_Grid[#Data],$DD1102,11),0)</f>
        <v/>
      </c>
      <c r="N1102">
        <f>IFERROR(INDEX(PP_Grid[#Data],$DD1102,12),0)</f>
        <v/>
      </c>
      <c r="O1102">
        <f>IFERROR(INDEX(PP_Grid[#Data],$DD1102,13),0)</f>
        <v/>
      </c>
      <c r="P1102">
        <f>IFERROR(INDEX(PP_Grid[#Data],$DD1102,14),0)</f>
        <v/>
      </c>
      <c r="Q1102">
        <f>IFERROR(INDEX(PP_Grid[#Data],$DD1102,15),0)</f>
        <v/>
      </c>
      <c r="R1102">
        <f>IFERROR(INDEX(PP_Grid[#Data],$DD1102,16),0)</f>
        <v/>
      </c>
      <c r="S1102">
        <f>IFERROR(INDEX(PP_Grid[#Data],$DD1102,17),0)</f>
        <v/>
      </c>
      <c r="T1102">
        <f>IFERROR(INDEX(PP_Grid[#Data],$DD1102,18),0)</f>
        <v/>
      </c>
      <c r="U1102">
        <f>IFERROR(INDEX(PP_Grid[#Data],$DD1102,19),0)</f>
        <v/>
      </c>
      <c r="V1102">
        <f>IFERROR(INDEX(PP_Grid[#Data],$DD1102,20),0)</f>
        <v/>
      </c>
      <c r="W1102">
        <f>IFERROR(INDEX(PP_Grid[#Data],$DD1102,21),0)</f>
        <v/>
      </c>
      <c r="X1102">
        <f>IFERROR(INDEX(PP_Grid[#Data],$DD1102,22),0)</f>
        <v/>
      </c>
      <c r="Y1102">
        <f>IFERROR(INDEX(PP_Grid[#Data],$DD1102,23),0)</f>
        <v/>
      </c>
      <c r="Z1102">
        <f>IFERROR(INDEX(PP_Grid[#Data],$DD1102,24),0)</f>
        <v/>
      </c>
      <c r="AA1102">
        <f>IFERROR(INDEX(PP_Grid[#Data],$DD1102,25),0)</f>
        <v/>
      </c>
      <c r="AB1102">
        <f>IFERROR(INDEX(PP_Grid[#Data],$DD1102,26),0)</f>
        <v/>
      </c>
      <c r="AC1102">
        <f>IFERROR(INDEX(PP_Grid[#Data],$DD1102,27),0)</f>
        <v/>
      </c>
      <c r="AD1102">
        <f>IFERROR(INDEX(PP_Grid[#Data],$DD1102,28),0)</f>
        <v/>
      </c>
      <c r="AE1102">
        <f>IFERROR(INDEX(PP_Grid[#Data],$DD1102,29),0)</f>
        <v/>
      </c>
      <c r="AF1102">
        <f>IFERROR(INDEX(PP_Grid[#Data],$DD1102,30),0)</f>
        <v/>
      </c>
      <c r="AG1102">
        <f>IFERROR(INDEX(PP_Grid[#Data],$DD1102,31),0)</f>
        <v/>
      </c>
      <c r="AH1102">
        <f>IFERROR(INDEX(PP_Grid[#Data],$DD1102,32),0)</f>
        <v/>
      </c>
      <c r="AI1102">
        <f>IFERROR(INDEX(PP_Grid[#Data],$DD1102,33),0)</f>
        <v/>
      </c>
      <c r="AJ1102">
        <f>IFERROR(INDEX(PP_Grid[#Data],$DD1102,34),0)</f>
        <v/>
      </c>
      <c r="AK1102">
        <f>IFERROR(INDEX(PP_Grid[#Data],$DD1102,35),0)</f>
        <v/>
      </c>
      <c r="AL1102">
        <f>IFERROR(INDEX(PP_Grid[#Data],$DD1102,36),0)</f>
        <v/>
      </c>
      <c r="AM1102">
        <f>IFERROR(INDEX(PP_Grid[#Data],$DD1102,37),0)</f>
        <v/>
      </c>
      <c r="AN1102">
        <f>IFERROR(INDEX(PP_Grid[#Data],$DD1102,38),0)</f>
        <v/>
      </c>
      <c r="AO1102">
        <f>IFERROR(INDEX(PP_Grid[#Data],$DD1102,39),0)</f>
        <v/>
      </c>
      <c r="AP1102">
        <f>IFERROR(INDEX(PP_Grid[#Data],$DD1102,40),0)</f>
        <v/>
      </c>
      <c r="AQ1102">
        <f>IFERROR(INDEX(PP_Grid[#Data],$DD1102,41),0)</f>
        <v/>
      </c>
      <c r="AR1102">
        <f>IFERROR(INDEX(PP_Grid[#Data],$DD1102,42),0)</f>
        <v/>
      </c>
      <c r="AS1102">
        <f>IFERROR(INDEX(PP_Grid[#Data],$DD1102,43),0)</f>
        <v/>
      </c>
      <c r="AT1102">
        <f>IFERROR(INDEX(PP_Grid[#Data],$DD1102,44),0)</f>
        <v/>
      </c>
      <c r="AU1102">
        <f>IFERROR(INDEX(PP_Grid[#Data],$DD1102,45),0)</f>
        <v/>
      </c>
      <c r="AV1102">
        <f>IFERROR(INDEX(PP_Grid[#Data],$DD1102,46),0)</f>
        <v/>
      </c>
      <c r="AW1102">
        <f>IFERROR(INDEX(PP_Grid[#Data],$DD1102,47),0)</f>
        <v/>
      </c>
      <c r="AX1102">
        <f>IFERROR(INDEX(PP_Grid[#Data],$DD1102,48),0)</f>
        <v/>
      </c>
      <c r="AY1102">
        <f>IFERROR(INDEX(PP_Grid[#Data],$DD1102,49),0)</f>
        <v/>
      </c>
      <c r="AZ1102">
        <f>IFERROR(INDEX(PP_Grid[#Data],$DD1102,50),0)</f>
        <v/>
      </c>
      <c r="BA1102">
        <f>IFERROR(INDEX(PP_Grid[#Data],$DD1102,51),0)</f>
        <v/>
      </c>
      <c r="BB1102">
        <f>IFERROR(INDEX(PP_Grid[#Data],$DD1102,52),0)</f>
        <v/>
      </c>
      <c r="BC1102">
        <f>IFERROR(INDEX(PP_Grid[#Data],$DD1102,53),0)</f>
        <v/>
      </c>
      <c r="BD1102">
        <f>IFERROR(INDEX(PP_Grid[#Data],$DD1102,54),0)</f>
        <v/>
      </c>
      <c r="BE1102">
        <f>IFERROR(INDEX(PP_Grid[#Data],$DD1102,55),0)</f>
        <v/>
      </c>
      <c r="BF1102">
        <f>IFERROR(INDEX(PP_Grid[#Data],$DD1102,56),0)</f>
        <v/>
      </c>
      <c r="BG1102">
        <f>IFERROR(INDEX(PP_Grid[#Data],$DD1102,57),0)</f>
        <v/>
      </c>
      <c r="BH1102">
        <f>IFERROR(INDEX(PP_Grid[#Data],$DD1102,58),0)</f>
        <v/>
      </c>
      <c r="BI1102">
        <f>IFERROR(INDEX(PP_Grid[#Data],$DD1102,59),0)</f>
        <v/>
      </c>
      <c r="BJ1102">
        <f>IFERROR(INDEX(PP_Grid[#Data],$DD1102,60),0)</f>
        <v/>
      </c>
      <c r="BK1102">
        <f>IFERROR(INDEX(PP_Grid[#Data],$DD1102,61),0)</f>
        <v/>
      </c>
      <c r="BL1102">
        <f>IFERROR(INDEX(PP_Grid[#Data],$DD1102,62),0)</f>
        <v/>
      </c>
      <c r="BM1102">
        <f>IFERROR(INDEX(PP_Grid[#Data],$DD1102,63),0)</f>
        <v/>
      </c>
      <c r="BN1102">
        <f>IFERROR(INDEX(PP_Grid[#Data],$DD1102,64),0)</f>
        <v/>
      </c>
      <c r="BO1102">
        <f>IFERROR(INDEX(PP_Grid[#Data],$DD1102,65),0)</f>
        <v/>
      </c>
      <c r="BP1102">
        <f>IFERROR(INDEX(PP_Grid[#Data],$DD1102,66),0)</f>
        <v/>
      </c>
      <c r="BQ1102">
        <f>IFERROR(INDEX(PP_Grid[#Data],$DD1102,67),0)</f>
        <v/>
      </c>
      <c r="BR1102">
        <f>IFERROR(INDEX(PP_Grid[#Data],$DD1102,68),0)</f>
        <v/>
      </c>
      <c r="BS1102">
        <f>IFERROR(INDEX(PP_Grid[#Data],$DD1102,69),0)</f>
        <v/>
      </c>
      <c r="BT1102">
        <f>IFERROR(INDEX(PP_Grid[#Data],$DD1102,70),0)</f>
        <v/>
      </c>
      <c r="BU1102">
        <f>IFERROR(INDEX(PP_Grid[#Data],$DD1102,71),0)</f>
        <v/>
      </c>
      <c r="BV1102">
        <f>IFERROR(INDEX(PP_Grid[#Data],$DD1102,72),0)</f>
        <v/>
      </c>
      <c r="BW1102">
        <f>IFERROR(INDEX(PP_Grid[#Data],$DD1102,73),0)</f>
        <v/>
      </c>
      <c r="BX1102">
        <f>IFERROR(INDEX(PP_Grid[#Data],$DD1102,74),0)</f>
        <v/>
      </c>
      <c r="BY1102">
        <f>IFERROR(INDEX(PP_Grid[#Data],$DD1102,75),0)</f>
        <v/>
      </c>
      <c r="BZ1102">
        <f>IFERROR(INDEX(PP_Grid[#Data],$DD1102,76),0)</f>
        <v/>
      </c>
      <c r="CA1102">
        <f>IFERROR(INDEX(PP_Grid[#Data],$DD1102,77),0)</f>
        <v/>
      </c>
      <c r="CB1102">
        <f>IFERROR(INDEX(PP_Grid[#Data],$DD1102,78),0)</f>
        <v/>
      </c>
      <c r="CC1102">
        <f>IFERROR(INDEX(PP_Grid[#Data],$DD1102,79),0)</f>
        <v/>
      </c>
      <c r="CD1102">
        <f>IFERROR(INDEX(PP_Grid[#Data],$DD1102,80),0)</f>
        <v/>
      </c>
      <c r="CE1102">
        <f>IFERROR(INDEX(PP_Grid[#Data],$DD1102,81),0)</f>
        <v/>
      </c>
      <c r="CF1102">
        <f>IFERROR(INDEX(PP_Grid[#Data],$DD1102,82),0)</f>
        <v/>
      </c>
      <c r="CG1102">
        <f>IFERROR(INDEX(PP_Grid[#Data],$DD1102,83),0)</f>
        <v/>
      </c>
      <c r="CH1102">
        <f>IFERROR(INDEX(PP_Grid[#Data],$DD1102,84),0)</f>
        <v/>
      </c>
      <c r="CI1102">
        <f>IFERROR(INDEX(PP_Grid[#Data],$DD1102,85),0)</f>
        <v/>
      </c>
      <c r="CJ1102">
        <f>IFERROR(INDEX(PP_Grid[#Data],$DD1102,86),0)</f>
        <v/>
      </c>
      <c r="CK1102">
        <f>IFERROR(INDEX(PP_Grid[#Data],$DD1102,87),0)</f>
        <v/>
      </c>
      <c r="CL1102">
        <f>IFERROR(INDEX(PP_Grid[#Data],$DD1102,88),0)</f>
        <v/>
      </c>
      <c r="CM1102">
        <f>IFERROR(INDEX(PP_Grid[#Data],$DD1102,89),0)</f>
        <v/>
      </c>
      <c r="CN1102">
        <f>IFERROR(INDEX(PP_Grid[#Data],$DD1102,90),0)</f>
        <v/>
      </c>
      <c r="CO1102">
        <f>IFERROR(INDEX(PP_Grid[#Data],$DD1102,91),0)</f>
        <v/>
      </c>
      <c r="CP1102">
        <f>IFERROR(INDEX(PP_Grid[#Data],$DD1102,92),0)</f>
        <v/>
      </c>
      <c r="CQ1102">
        <f>IFERROR(INDEX(PP_Grid[#Data],$DD1102,93),0)</f>
        <v/>
      </c>
      <c r="CR1102">
        <f>IFERROR(INDEX(PP_Grid[#Data],$DD1102,94),0)</f>
        <v/>
      </c>
      <c r="CS1102">
        <f>IFERROR(INDEX(PP_Grid[#Data],$DD1102,95),0)</f>
        <v/>
      </c>
      <c r="CT1102">
        <f>IFERROR(INDEX(PP_Grid[#Data],$DD1102,96),0)</f>
        <v/>
      </c>
      <c r="CU1102">
        <f>IFERROR(INDEX(PP_Grid[#Data],$DD1102,97),0)</f>
        <v/>
      </c>
      <c r="CV1102">
        <f>IFERROR(INDEX(PP_Grid[#Data],$DD1102,98),0)</f>
        <v/>
      </c>
      <c r="CW1102">
        <f>IFERROR(INDEX(PP_Grid[#Data],$DD1102,99),0)</f>
        <v/>
      </c>
      <c r="CX1102">
        <f>IFERROR(INDEX(PP_Grid[#Data],$DD1102,100),0)</f>
        <v/>
      </c>
      <c r="CY1102">
        <f>IFERROR(INDEX(PP_Grid[#Data],$DD1102,101),0)</f>
        <v/>
      </c>
      <c r="CZ1102">
        <f>IFERROR(INDEX(PP_Grid[#Data],$DD1102,102),0)</f>
        <v/>
      </c>
      <c r="DA1102">
        <f>IFERROR(INDEX(PP_Grid[#Data],$DD1102,103),0)</f>
        <v/>
      </c>
      <c r="DB1102">
        <f>IFERROR(INDEX(PP_Grid[#Data],$DD1102,104),0)</f>
        <v/>
      </c>
      <c r="DC1102">
        <f>IFERROR(INDEX(PP_Grid[#Data],$DD1102,105),0)</f>
        <v/>
      </c>
      <c r="DD1102" s="7">
        <f>IFERROR(MATCH($B1102,PP_Grid[Intermediate],0),99999)</f>
        <v/>
      </c>
    </row>
    <row r="1103">
      <c r="B1103" t="inlineStr">
        <is>
          <t>使用量(kg)</t>
        </is>
      </c>
      <c r="C1103">
        <f>SUMIFS(M_BOM[RM_Qty_Per_Batch],M_BOM[Intermediate],$B1102,M_BOM[Part Name],$A1099)</f>
        <v/>
      </c>
      <c r="D1103">
        <f>$C1103*D1102</f>
        <v/>
      </c>
      <c r="E1103">
        <f>$C1103*E1102</f>
        <v/>
      </c>
      <c r="F1103">
        <f>$C1103*F1102</f>
        <v/>
      </c>
      <c r="G1103">
        <f>$C1103*G1102</f>
        <v/>
      </c>
      <c r="H1103">
        <f>$C1103*H1102</f>
        <v/>
      </c>
      <c r="I1103">
        <f>$C1103*I1102</f>
        <v/>
      </c>
      <c r="J1103">
        <f>$C1103*J1102</f>
        <v/>
      </c>
      <c r="K1103">
        <f>$C1103*K1102</f>
        <v/>
      </c>
      <c r="L1103">
        <f>$C1103*L1102</f>
        <v/>
      </c>
      <c r="M1103">
        <f>$C1103*M1102</f>
        <v/>
      </c>
      <c r="N1103">
        <f>$C1103*N1102</f>
        <v/>
      </c>
      <c r="O1103">
        <f>$C1103*O1102</f>
        <v/>
      </c>
      <c r="P1103">
        <f>$C1103*P1102</f>
        <v/>
      </c>
      <c r="Q1103">
        <f>$C1103*Q1102</f>
        <v/>
      </c>
      <c r="R1103">
        <f>$C1103*R1102</f>
        <v/>
      </c>
      <c r="S1103">
        <f>$C1103*S1102</f>
        <v/>
      </c>
      <c r="T1103">
        <f>$C1103*T1102</f>
        <v/>
      </c>
      <c r="U1103">
        <f>$C1103*U1102</f>
        <v/>
      </c>
      <c r="V1103">
        <f>$C1103*V1102</f>
        <v/>
      </c>
      <c r="W1103">
        <f>$C1103*W1102</f>
        <v/>
      </c>
      <c r="X1103">
        <f>$C1103*X1102</f>
        <v/>
      </c>
      <c r="Y1103">
        <f>$C1103*Y1102</f>
        <v/>
      </c>
      <c r="Z1103">
        <f>$C1103*Z1102</f>
        <v/>
      </c>
      <c r="AA1103">
        <f>$C1103*AA1102</f>
        <v/>
      </c>
      <c r="AB1103">
        <f>$C1103*AB1102</f>
        <v/>
      </c>
      <c r="AC1103">
        <f>$C1103*AC1102</f>
        <v/>
      </c>
      <c r="AD1103">
        <f>$C1103*AD1102</f>
        <v/>
      </c>
      <c r="AE1103">
        <f>$C1103*AE1102</f>
        <v/>
      </c>
      <c r="AF1103">
        <f>$C1103*AF1102</f>
        <v/>
      </c>
      <c r="AG1103">
        <f>$C1103*AG1102</f>
        <v/>
      </c>
      <c r="AH1103">
        <f>$C1103*AH1102</f>
        <v/>
      </c>
      <c r="AI1103">
        <f>$C1103*AI1102</f>
        <v/>
      </c>
      <c r="AJ1103">
        <f>$C1103*AJ1102</f>
        <v/>
      </c>
      <c r="AK1103">
        <f>$C1103*AK1102</f>
        <v/>
      </c>
      <c r="AL1103">
        <f>$C1103*AL1102</f>
        <v/>
      </c>
      <c r="AM1103">
        <f>$C1103*AM1102</f>
        <v/>
      </c>
      <c r="AN1103">
        <f>$C1103*AN1102</f>
        <v/>
      </c>
      <c r="AO1103">
        <f>$C1103*AO1102</f>
        <v/>
      </c>
      <c r="AP1103">
        <f>$C1103*AP1102</f>
        <v/>
      </c>
      <c r="AQ1103">
        <f>$C1103*AQ1102</f>
        <v/>
      </c>
      <c r="AR1103">
        <f>$C1103*AR1102</f>
        <v/>
      </c>
      <c r="AS1103">
        <f>$C1103*AS1102</f>
        <v/>
      </c>
      <c r="AT1103">
        <f>$C1103*AT1102</f>
        <v/>
      </c>
      <c r="AU1103">
        <f>$C1103*AU1102</f>
        <v/>
      </c>
      <c r="AV1103">
        <f>$C1103*AV1102</f>
        <v/>
      </c>
      <c r="AW1103">
        <f>$C1103*AW1102</f>
        <v/>
      </c>
      <c r="AX1103">
        <f>$C1103*AX1102</f>
        <v/>
      </c>
      <c r="AY1103">
        <f>$C1103*AY1102</f>
        <v/>
      </c>
      <c r="AZ1103">
        <f>$C1103*AZ1102</f>
        <v/>
      </c>
      <c r="BA1103">
        <f>$C1103*BA1102</f>
        <v/>
      </c>
      <c r="BB1103">
        <f>$C1103*BB1102</f>
        <v/>
      </c>
      <c r="BC1103">
        <f>$C1103*BC1102</f>
        <v/>
      </c>
      <c r="BD1103">
        <f>$C1103*BD1102</f>
        <v/>
      </c>
      <c r="BE1103">
        <f>$C1103*BE1102</f>
        <v/>
      </c>
      <c r="BF1103">
        <f>$C1103*BF1102</f>
        <v/>
      </c>
      <c r="BG1103">
        <f>$C1103*BG1102</f>
        <v/>
      </c>
      <c r="BH1103">
        <f>$C1103*BH1102</f>
        <v/>
      </c>
      <c r="BI1103">
        <f>$C1103*BI1102</f>
        <v/>
      </c>
      <c r="BJ1103">
        <f>$C1103*BJ1102</f>
        <v/>
      </c>
      <c r="BK1103">
        <f>$C1103*BK1102</f>
        <v/>
      </c>
      <c r="BL1103">
        <f>$C1103*BL1102</f>
        <v/>
      </c>
      <c r="BM1103">
        <f>$C1103*BM1102</f>
        <v/>
      </c>
      <c r="BN1103">
        <f>$C1103*BN1102</f>
        <v/>
      </c>
      <c r="BO1103">
        <f>$C1103*BO1102</f>
        <v/>
      </c>
      <c r="BP1103">
        <f>$C1103*BP1102</f>
        <v/>
      </c>
      <c r="BQ1103">
        <f>$C1103*BQ1102</f>
        <v/>
      </c>
      <c r="BR1103">
        <f>$C1103*BR1102</f>
        <v/>
      </c>
      <c r="BS1103">
        <f>$C1103*BS1102</f>
        <v/>
      </c>
      <c r="BT1103">
        <f>$C1103*BT1102</f>
        <v/>
      </c>
      <c r="BU1103">
        <f>$C1103*BU1102</f>
        <v/>
      </c>
      <c r="BV1103">
        <f>$C1103*BV1102</f>
        <v/>
      </c>
      <c r="BW1103">
        <f>$C1103*BW1102</f>
        <v/>
      </c>
      <c r="BX1103">
        <f>$C1103*BX1102</f>
        <v/>
      </c>
      <c r="BY1103">
        <f>$C1103*BY1102</f>
        <v/>
      </c>
      <c r="BZ1103">
        <f>$C1103*BZ1102</f>
        <v/>
      </c>
      <c r="CA1103">
        <f>$C1103*CA1102</f>
        <v/>
      </c>
      <c r="CB1103">
        <f>$C1103*CB1102</f>
        <v/>
      </c>
      <c r="CC1103">
        <f>$C1103*CC1102</f>
        <v/>
      </c>
      <c r="CD1103">
        <f>$C1103*CD1102</f>
        <v/>
      </c>
      <c r="CE1103">
        <f>$C1103*CE1102</f>
        <v/>
      </c>
      <c r="CF1103">
        <f>$C1103*CF1102</f>
        <v/>
      </c>
      <c r="CG1103">
        <f>$C1103*CG1102</f>
        <v/>
      </c>
      <c r="CH1103">
        <f>$C1103*CH1102</f>
        <v/>
      </c>
      <c r="CI1103">
        <f>$C1103*CI1102</f>
        <v/>
      </c>
      <c r="CJ1103">
        <f>$C1103*CJ1102</f>
        <v/>
      </c>
      <c r="CK1103">
        <f>$C1103*CK1102</f>
        <v/>
      </c>
      <c r="CL1103">
        <f>$C1103*CL1102</f>
        <v/>
      </c>
      <c r="CM1103">
        <f>$C1103*CM1102</f>
        <v/>
      </c>
      <c r="CN1103">
        <f>$C1103*CN1102</f>
        <v/>
      </c>
      <c r="CO1103">
        <f>$C1103*CO1102</f>
        <v/>
      </c>
      <c r="CP1103">
        <f>$C1103*CP1102</f>
        <v/>
      </c>
      <c r="CQ1103">
        <f>$C1103*CQ1102</f>
        <v/>
      </c>
      <c r="CR1103">
        <f>$C1103*CR1102</f>
        <v/>
      </c>
      <c r="CS1103">
        <f>$C1103*CS1102</f>
        <v/>
      </c>
      <c r="CT1103">
        <f>$C1103*CT1102</f>
        <v/>
      </c>
      <c r="CU1103">
        <f>$C1103*CU1102</f>
        <v/>
      </c>
      <c r="CV1103">
        <f>$C1103*CV1102</f>
        <v/>
      </c>
      <c r="CW1103">
        <f>$C1103*CW1102</f>
        <v/>
      </c>
      <c r="CX1103">
        <f>$C1103*CX1102</f>
        <v/>
      </c>
      <c r="CY1103">
        <f>$C1103*CY1102</f>
        <v/>
      </c>
      <c r="CZ1103">
        <f>$C1103*CZ1102</f>
        <v/>
      </c>
      <c r="DA1103">
        <f>$C1103*DA1102</f>
        <v/>
      </c>
      <c r="DB1103">
        <f>$C1103*DB1102</f>
        <v/>
      </c>
      <c r="DC1103">
        <f>$C1103*DC1102</f>
        <v/>
      </c>
    </row>
    <row r="1104">
      <c r="B1104" t="inlineStr">
        <is>
          <t>TSP-1445</t>
        </is>
      </c>
      <c r="C1104" t="inlineStr">
        <is>
          <t>No. of batches</t>
        </is>
      </c>
      <c r="D1104">
        <f>IFERROR(INDEX(PP_Grid[#Data],$DD1104,2),0)</f>
        <v/>
      </c>
      <c r="E1104">
        <f>IFERROR(INDEX(PP_Grid[#Data],$DD1104,3),0)</f>
        <v/>
      </c>
      <c r="F1104">
        <f>IFERROR(INDEX(PP_Grid[#Data],$DD1104,4),0)</f>
        <v/>
      </c>
      <c r="G1104">
        <f>IFERROR(INDEX(PP_Grid[#Data],$DD1104,5),0)</f>
        <v/>
      </c>
      <c r="H1104">
        <f>IFERROR(INDEX(PP_Grid[#Data],$DD1104,6),0)</f>
        <v/>
      </c>
      <c r="I1104">
        <f>IFERROR(INDEX(PP_Grid[#Data],$DD1104,7),0)</f>
        <v/>
      </c>
      <c r="J1104">
        <f>IFERROR(INDEX(PP_Grid[#Data],$DD1104,8),0)</f>
        <v/>
      </c>
      <c r="K1104">
        <f>IFERROR(INDEX(PP_Grid[#Data],$DD1104,9),0)</f>
        <v/>
      </c>
      <c r="L1104">
        <f>IFERROR(INDEX(PP_Grid[#Data],$DD1104,10),0)</f>
        <v/>
      </c>
      <c r="M1104">
        <f>IFERROR(INDEX(PP_Grid[#Data],$DD1104,11),0)</f>
        <v/>
      </c>
      <c r="N1104">
        <f>IFERROR(INDEX(PP_Grid[#Data],$DD1104,12),0)</f>
        <v/>
      </c>
      <c r="O1104">
        <f>IFERROR(INDEX(PP_Grid[#Data],$DD1104,13),0)</f>
        <v/>
      </c>
      <c r="P1104">
        <f>IFERROR(INDEX(PP_Grid[#Data],$DD1104,14),0)</f>
        <v/>
      </c>
      <c r="Q1104">
        <f>IFERROR(INDEX(PP_Grid[#Data],$DD1104,15),0)</f>
        <v/>
      </c>
      <c r="R1104">
        <f>IFERROR(INDEX(PP_Grid[#Data],$DD1104,16),0)</f>
        <v/>
      </c>
      <c r="S1104">
        <f>IFERROR(INDEX(PP_Grid[#Data],$DD1104,17),0)</f>
        <v/>
      </c>
      <c r="T1104">
        <f>IFERROR(INDEX(PP_Grid[#Data],$DD1104,18),0)</f>
        <v/>
      </c>
      <c r="U1104">
        <f>IFERROR(INDEX(PP_Grid[#Data],$DD1104,19),0)</f>
        <v/>
      </c>
      <c r="V1104">
        <f>IFERROR(INDEX(PP_Grid[#Data],$DD1104,20),0)</f>
        <v/>
      </c>
      <c r="W1104">
        <f>IFERROR(INDEX(PP_Grid[#Data],$DD1104,21),0)</f>
        <v/>
      </c>
      <c r="X1104">
        <f>IFERROR(INDEX(PP_Grid[#Data],$DD1104,22),0)</f>
        <v/>
      </c>
      <c r="Y1104">
        <f>IFERROR(INDEX(PP_Grid[#Data],$DD1104,23),0)</f>
        <v/>
      </c>
      <c r="Z1104">
        <f>IFERROR(INDEX(PP_Grid[#Data],$DD1104,24),0)</f>
        <v/>
      </c>
      <c r="AA1104">
        <f>IFERROR(INDEX(PP_Grid[#Data],$DD1104,25),0)</f>
        <v/>
      </c>
      <c r="AB1104">
        <f>IFERROR(INDEX(PP_Grid[#Data],$DD1104,26),0)</f>
        <v/>
      </c>
      <c r="AC1104">
        <f>IFERROR(INDEX(PP_Grid[#Data],$DD1104,27),0)</f>
        <v/>
      </c>
      <c r="AD1104">
        <f>IFERROR(INDEX(PP_Grid[#Data],$DD1104,28),0)</f>
        <v/>
      </c>
      <c r="AE1104">
        <f>IFERROR(INDEX(PP_Grid[#Data],$DD1104,29),0)</f>
        <v/>
      </c>
      <c r="AF1104">
        <f>IFERROR(INDEX(PP_Grid[#Data],$DD1104,30),0)</f>
        <v/>
      </c>
      <c r="AG1104">
        <f>IFERROR(INDEX(PP_Grid[#Data],$DD1104,31),0)</f>
        <v/>
      </c>
      <c r="AH1104">
        <f>IFERROR(INDEX(PP_Grid[#Data],$DD1104,32),0)</f>
        <v/>
      </c>
      <c r="AI1104">
        <f>IFERROR(INDEX(PP_Grid[#Data],$DD1104,33),0)</f>
        <v/>
      </c>
      <c r="AJ1104">
        <f>IFERROR(INDEX(PP_Grid[#Data],$DD1104,34),0)</f>
        <v/>
      </c>
      <c r="AK1104">
        <f>IFERROR(INDEX(PP_Grid[#Data],$DD1104,35),0)</f>
        <v/>
      </c>
      <c r="AL1104">
        <f>IFERROR(INDEX(PP_Grid[#Data],$DD1104,36),0)</f>
        <v/>
      </c>
      <c r="AM1104">
        <f>IFERROR(INDEX(PP_Grid[#Data],$DD1104,37),0)</f>
        <v/>
      </c>
      <c r="AN1104">
        <f>IFERROR(INDEX(PP_Grid[#Data],$DD1104,38),0)</f>
        <v/>
      </c>
      <c r="AO1104">
        <f>IFERROR(INDEX(PP_Grid[#Data],$DD1104,39),0)</f>
        <v/>
      </c>
      <c r="AP1104">
        <f>IFERROR(INDEX(PP_Grid[#Data],$DD1104,40),0)</f>
        <v/>
      </c>
      <c r="AQ1104">
        <f>IFERROR(INDEX(PP_Grid[#Data],$DD1104,41),0)</f>
        <v/>
      </c>
      <c r="AR1104">
        <f>IFERROR(INDEX(PP_Grid[#Data],$DD1104,42),0)</f>
        <v/>
      </c>
      <c r="AS1104">
        <f>IFERROR(INDEX(PP_Grid[#Data],$DD1104,43),0)</f>
        <v/>
      </c>
      <c r="AT1104">
        <f>IFERROR(INDEX(PP_Grid[#Data],$DD1104,44),0)</f>
        <v/>
      </c>
      <c r="AU1104">
        <f>IFERROR(INDEX(PP_Grid[#Data],$DD1104,45),0)</f>
        <v/>
      </c>
      <c r="AV1104">
        <f>IFERROR(INDEX(PP_Grid[#Data],$DD1104,46),0)</f>
        <v/>
      </c>
      <c r="AW1104">
        <f>IFERROR(INDEX(PP_Grid[#Data],$DD1104,47),0)</f>
        <v/>
      </c>
      <c r="AX1104">
        <f>IFERROR(INDEX(PP_Grid[#Data],$DD1104,48),0)</f>
        <v/>
      </c>
      <c r="AY1104">
        <f>IFERROR(INDEX(PP_Grid[#Data],$DD1104,49),0)</f>
        <v/>
      </c>
      <c r="AZ1104">
        <f>IFERROR(INDEX(PP_Grid[#Data],$DD1104,50),0)</f>
        <v/>
      </c>
      <c r="BA1104">
        <f>IFERROR(INDEX(PP_Grid[#Data],$DD1104,51),0)</f>
        <v/>
      </c>
      <c r="BB1104">
        <f>IFERROR(INDEX(PP_Grid[#Data],$DD1104,52),0)</f>
        <v/>
      </c>
      <c r="BC1104">
        <f>IFERROR(INDEX(PP_Grid[#Data],$DD1104,53),0)</f>
        <v/>
      </c>
      <c r="BD1104">
        <f>IFERROR(INDEX(PP_Grid[#Data],$DD1104,54),0)</f>
        <v/>
      </c>
      <c r="BE1104">
        <f>IFERROR(INDEX(PP_Grid[#Data],$DD1104,55),0)</f>
        <v/>
      </c>
      <c r="BF1104">
        <f>IFERROR(INDEX(PP_Grid[#Data],$DD1104,56),0)</f>
        <v/>
      </c>
      <c r="BG1104">
        <f>IFERROR(INDEX(PP_Grid[#Data],$DD1104,57),0)</f>
        <v/>
      </c>
      <c r="BH1104">
        <f>IFERROR(INDEX(PP_Grid[#Data],$DD1104,58),0)</f>
        <v/>
      </c>
      <c r="BI1104">
        <f>IFERROR(INDEX(PP_Grid[#Data],$DD1104,59),0)</f>
        <v/>
      </c>
      <c r="BJ1104">
        <f>IFERROR(INDEX(PP_Grid[#Data],$DD1104,60),0)</f>
        <v/>
      </c>
      <c r="BK1104">
        <f>IFERROR(INDEX(PP_Grid[#Data],$DD1104,61),0)</f>
        <v/>
      </c>
      <c r="BL1104">
        <f>IFERROR(INDEX(PP_Grid[#Data],$DD1104,62),0)</f>
        <v/>
      </c>
      <c r="BM1104">
        <f>IFERROR(INDEX(PP_Grid[#Data],$DD1104,63),0)</f>
        <v/>
      </c>
      <c r="BN1104">
        <f>IFERROR(INDEX(PP_Grid[#Data],$DD1104,64),0)</f>
        <v/>
      </c>
      <c r="BO1104">
        <f>IFERROR(INDEX(PP_Grid[#Data],$DD1104,65),0)</f>
        <v/>
      </c>
      <c r="BP1104">
        <f>IFERROR(INDEX(PP_Grid[#Data],$DD1104,66),0)</f>
        <v/>
      </c>
      <c r="BQ1104">
        <f>IFERROR(INDEX(PP_Grid[#Data],$DD1104,67),0)</f>
        <v/>
      </c>
      <c r="BR1104">
        <f>IFERROR(INDEX(PP_Grid[#Data],$DD1104,68),0)</f>
        <v/>
      </c>
      <c r="BS1104">
        <f>IFERROR(INDEX(PP_Grid[#Data],$DD1104,69),0)</f>
        <v/>
      </c>
      <c r="BT1104">
        <f>IFERROR(INDEX(PP_Grid[#Data],$DD1104,70),0)</f>
        <v/>
      </c>
      <c r="BU1104">
        <f>IFERROR(INDEX(PP_Grid[#Data],$DD1104,71),0)</f>
        <v/>
      </c>
      <c r="BV1104">
        <f>IFERROR(INDEX(PP_Grid[#Data],$DD1104,72),0)</f>
        <v/>
      </c>
      <c r="BW1104">
        <f>IFERROR(INDEX(PP_Grid[#Data],$DD1104,73),0)</f>
        <v/>
      </c>
      <c r="BX1104">
        <f>IFERROR(INDEX(PP_Grid[#Data],$DD1104,74),0)</f>
        <v/>
      </c>
      <c r="BY1104">
        <f>IFERROR(INDEX(PP_Grid[#Data],$DD1104,75),0)</f>
        <v/>
      </c>
      <c r="BZ1104">
        <f>IFERROR(INDEX(PP_Grid[#Data],$DD1104,76),0)</f>
        <v/>
      </c>
      <c r="CA1104">
        <f>IFERROR(INDEX(PP_Grid[#Data],$DD1104,77),0)</f>
        <v/>
      </c>
      <c r="CB1104">
        <f>IFERROR(INDEX(PP_Grid[#Data],$DD1104,78),0)</f>
        <v/>
      </c>
      <c r="CC1104">
        <f>IFERROR(INDEX(PP_Grid[#Data],$DD1104,79),0)</f>
        <v/>
      </c>
      <c r="CD1104">
        <f>IFERROR(INDEX(PP_Grid[#Data],$DD1104,80),0)</f>
        <v/>
      </c>
      <c r="CE1104">
        <f>IFERROR(INDEX(PP_Grid[#Data],$DD1104,81),0)</f>
        <v/>
      </c>
      <c r="CF1104">
        <f>IFERROR(INDEX(PP_Grid[#Data],$DD1104,82),0)</f>
        <v/>
      </c>
      <c r="CG1104">
        <f>IFERROR(INDEX(PP_Grid[#Data],$DD1104,83),0)</f>
        <v/>
      </c>
      <c r="CH1104">
        <f>IFERROR(INDEX(PP_Grid[#Data],$DD1104,84),0)</f>
        <v/>
      </c>
      <c r="CI1104">
        <f>IFERROR(INDEX(PP_Grid[#Data],$DD1104,85),0)</f>
        <v/>
      </c>
      <c r="CJ1104">
        <f>IFERROR(INDEX(PP_Grid[#Data],$DD1104,86),0)</f>
        <v/>
      </c>
      <c r="CK1104">
        <f>IFERROR(INDEX(PP_Grid[#Data],$DD1104,87),0)</f>
        <v/>
      </c>
      <c r="CL1104">
        <f>IFERROR(INDEX(PP_Grid[#Data],$DD1104,88),0)</f>
        <v/>
      </c>
      <c r="CM1104">
        <f>IFERROR(INDEX(PP_Grid[#Data],$DD1104,89),0)</f>
        <v/>
      </c>
      <c r="CN1104">
        <f>IFERROR(INDEX(PP_Grid[#Data],$DD1104,90),0)</f>
        <v/>
      </c>
      <c r="CO1104">
        <f>IFERROR(INDEX(PP_Grid[#Data],$DD1104,91),0)</f>
        <v/>
      </c>
      <c r="CP1104">
        <f>IFERROR(INDEX(PP_Grid[#Data],$DD1104,92),0)</f>
        <v/>
      </c>
      <c r="CQ1104">
        <f>IFERROR(INDEX(PP_Grid[#Data],$DD1104,93),0)</f>
        <v/>
      </c>
      <c r="CR1104">
        <f>IFERROR(INDEX(PP_Grid[#Data],$DD1104,94),0)</f>
        <v/>
      </c>
      <c r="CS1104">
        <f>IFERROR(INDEX(PP_Grid[#Data],$DD1104,95),0)</f>
        <v/>
      </c>
      <c r="CT1104">
        <f>IFERROR(INDEX(PP_Grid[#Data],$DD1104,96),0)</f>
        <v/>
      </c>
      <c r="CU1104">
        <f>IFERROR(INDEX(PP_Grid[#Data],$DD1104,97),0)</f>
        <v/>
      </c>
      <c r="CV1104">
        <f>IFERROR(INDEX(PP_Grid[#Data],$DD1104,98),0)</f>
        <v/>
      </c>
      <c r="CW1104">
        <f>IFERROR(INDEX(PP_Grid[#Data],$DD1104,99),0)</f>
        <v/>
      </c>
      <c r="CX1104">
        <f>IFERROR(INDEX(PP_Grid[#Data],$DD1104,100),0)</f>
        <v/>
      </c>
      <c r="CY1104">
        <f>IFERROR(INDEX(PP_Grid[#Data],$DD1104,101),0)</f>
        <v/>
      </c>
      <c r="CZ1104">
        <f>IFERROR(INDEX(PP_Grid[#Data],$DD1104,102),0)</f>
        <v/>
      </c>
      <c r="DA1104">
        <f>IFERROR(INDEX(PP_Grid[#Data],$DD1104,103),0)</f>
        <v/>
      </c>
      <c r="DB1104">
        <f>IFERROR(INDEX(PP_Grid[#Data],$DD1104,104),0)</f>
        <v/>
      </c>
      <c r="DC1104">
        <f>IFERROR(INDEX(PP_Grid[#Data],$DD1104,105),0)</f>
        <v/>
      </c>
      <c r="DD1104" s="7">
        <f>IFERROR(MATCH($B1104,PP_Grid[Intermediate],0),99999)</f>
        <v/>
      </c>
    </row>
    <row r="1105">
      <c r="B1105" t="inlineStr">
        <is>
          <t>使用量(kg)</t>
        </is>
      </c>
      <c r="C1105">
        <f>SUMIFS(M_BOM[RM_Qty_Per_Batch],M_BOM[Intermediate],$B1104,M_BOM[Part Name],$A1099)</f>
        <v/>
      </c>
      <c r="D1105">
        <f>$C1105*D1104</f>
        <v/>
      </c>
      <c r="E1105">
        <f>$C1105*E1104</f>
        <v/>
      </c>
      <c r="F1105">
        <f>$C1105*F1104</f>
        <v/>
      </c>
      <c r="G1105">
        <f>$C1105*G1104</f>
        <v/>
      </c>
      <c r="H1105">
        <f>$C1105*H1104</f>
        <v/>
      </c>
      <c r="I1105">
        <f>$C1105*I1104</f>
        <v/>
      </c>
      <c r="J1105">
        <f>$C1105*J1104</f>
        <v/>
      </c>
      <c r="K1105">
        <f>$C1105*K1104</f>
        <v/>
      </c>
      <c r="L1105">
        <f>$C1105*L1104</f>
        <v/>
      </c>
      <c r="M1105">
        <f>$C1105*M1104</f>
        <v/>
      </c>
      <c r="N1105">
        <f>$C1105*N1104</f>
        <v/>
      </c>
      <c r="O1105">
        <f>$C1105*O1104</f>
        <v/>
      </c>
      <c r="P1105">
        <f>$C1105*P1104</f>
        <v/>
      </c>
      <c r="Q1105">
        <f>$C1105*Q1104</f>
        <v/>
      </c>
      <c r="R1105">
        <f>$C1105*R1104</f>
        <v/>
      </c>
      <c r="S1105">
        <f>$C1105*S1104</f>
        <v/>
      </c>
      <c r="T1105">
        <f>$C1105*T1104</f>
        <v/>
      </c>
      <c r="U1105">
        <f>$C1105*U1104</f>
        <v/>
      </c>
      <c r="V1105">
        <f>$C1105*V1104</f>
        <v/>
      </c>
      <c r="W1105">
        <f>$C1105*W1104</f>
        <v/>
      </c>
      <c r="X1105">
        <f>$C1105*X1104</f>
        <v/>
      </c>
      <c r="Y1105">
        <f>$C1105*Y1104</f>
        <v/>
      </c>
      <c r="Z1105">
        <f>$C1105*Z1104</f>
        <v/>
      </c>
      <c r="AA1105">
        <f>$C1105*AA1104</f>
        <v/>
      </c>
      <c r="AB1105">
        <f>$C1105*AB1104</f>
        <v/>
      </c>
      <c r="AC1105">
        <f>$C1105*AC1104</f>
        <v/>
      </c>
      <c r="AD1105">
        <f>$C1105*AD1104</f>
        <v/>
      </c>
      <c r="AE1105">
        <f>$C1105*AE1104</f>
        <v/>
      </c>
      <c r="AF1105">
        <f>$C1105*AF1104</f>
        <v/>
      </c>
      <c r="AG1105">
        <f>$C1105*AG1104</f>
        <v/>
      </c>
      <c r="AH1105">
        <f>$C1105*AH1104</f>
        <v/>
      </c>
      <c r="AI1105">
        <f>$C1105*AI1104</f>
        <v/>
      </c>
      <c r="AJ1105">
        <f>$C1105*AJ1104</f>
        <v/>
      </c>
      <c r="AK1105">
        <f>$C1105*AK1104</f>
        <v/>
      </c>
      <c r="AL1105">
        <f>$C1105*AL1104</f>
        <v/>
      </c>
      <c r="AM1105">
        <f>$C1105*AM1104</f>
        <v/>
      </c>
      <c r="AN1105">
        <f>$C1105*AN1104</f>
        <v/>
      </c>
      <c r="AO1105">
        <f>$C1105*AO1104</f>
        <v/>
      </c>
      <c r="AP1105">
        <f>$C1105*AP1104</f>
        <v/>
      </c>
      <c r="AQ1105">
        <f>$C1105*AQ1104</f>
        <v/>
      </c>
      <c r="AR1105">
        <f>$C1105*AR1104</f>
        <v/>
      </c>
      <c r="AS1105">
        <f>$C1105*AS1104</f>
        <v/>
      </c>
      <c r="AT1105">
        <f>$C1105*AT1104</f>
        <v/>
      </c>
      <c r="AU1105">
        <f>$C1105*AU1104</f>
        <v/>
      </c>
      <c r="AV1105">
        <f>$C1105*AV1104</f>
        <v/>
      </c>
      <c r="AW1105">
        <f>$C1105*AW1104</f>
        <v/>
      </c>
      <c r="AX1105">
        <f>$C1105*AX1104</f>
        <v/>
      </c>
      <c r="AY1105">
        <f>$C1105*AY1104</f>
        <v/>
      </c>
      <c r="AZ1105">
        <f>$C1105*AZ1104</f>
        <v/>
      </c>
      <c r="BA1105">
        <f>$C1105*BA1104</f>
        <v/>
      </c>
      <c r="BB1105">
        <f>$C1105*BB1104</f>
        <v/>
      </c>
      <c r="BC1105">
        <f>$C1105*BC1104</f>
        <v/>
      </c>
      <c r="BD1105">
        <f>$C1105*BD1104</f>
        <v/>
      </c>
      <c r="BE1105">
        <f>$C1105*BE1104</f>
        <v/>
      </c>
      <c r="BF1105">
        <f>$C1105*BF1104</f>
        <v/>
      </c>
      <c r="BG1105">
        <f>$C1105*BG1104</f>
        <v/>
      </c>
      <c r="BH1105">
        <f>$C1105*BH1104</f>
        <v/>
      </c>
      <c r="BI1105">
        <f>$C1105*BI1104</f>
        <v/>
      </c>
      <c r="BJ1105">
        <f>$C1105*BJ1104</f>
        <v/>
      </c>
      <c r="BK1105">
        <f>$C1105*BK1104</f>
        <v/>
      </c>
      <c r="BL1105">
        <f>$C1105*BL1104</f>
        <v/>
      </c>
      <c r="BM1105">
        <f>$C1105*BM1104</f>
        <v/>
      </c>
      <c r="BN1105">
        <f>$C1105*BN1104</f>
        <v/>
      </c>
      <c r="BO1105">
        <f>$C1105*BO1104</f>
        <v/>
      </c>
      <c r="BP1105">
        <f>$C1105*BP1104</f>
        <v/>
      </c>
      <c r="BQ1105">
        <f>$C1105*BQ1104</f>
        <v/>
      </c>
      <c r="BR1105">
        <f>$C1105*BR1104</f>
        <v/>
      </c>
      <c r="BS1105">
        <f>$C1105*BS1104</f>
        <v/>
      </c>
      <c r="BT1105">
        <f>$C1105*BT1104</f>
        <v/>
      </c>
      <c r="BU1105">
        <f>$C1105*BU1104</f>
        <v/>
      </c>
      <c r="BV1105">
        <f>$C1105*BV1104</f>
        <v/>
      </c>
      <c r="BW1105">
        <f>$C1105*BW1104</f>
        <v/>
      </c>
      <c r="BX1105">
        <f>$C1105*BX1104</f>
        <v/>
      </c>
      <c r="BY1105">
        <f>$C1105*BY1104</f>
        <v/>
      </c>
      <c r="BZ1105">
        <f>$C1105*BZ1104</f>
        <v/>
      </c>
      <c r="CA1105">
        <f>$C1105*CA1104</f>
        <v/>
      </c>
      <c r="CB1105">
        <f>$C1105*CB1104</f>
        <v/>
      </c>
      <c r="CC1105">
        <f>$C1105*CC1104</f>
        <v/>
      </c>
      <c r="CD1105">
        <f>$C1105*CD1104</f>
        <v/>
      </c>
      <c r="CE1105">
        <f>$C1105*CE1104</f>
        <v/>
      </c>
      <c r="CF1105">
        <f>$C1105*CF1104</f>
        <v/>
      </c>
      <c r="CG1105">
        <f>$C1105*CG1104</f>
        <v/>
      </c>
      <c r="CH1105">
        <f>$C1105*CH1104</f>
        <v/>
      </c>
      <c r="CI1105">
        <f>$C1105*CI1104</f>
        <v/>
      </c>
      <c r="CJ1105">
        <f>$C1105*CJ1104</f>
        <v/>
      </c>
      <c r="CK1105">
        <f>$C1105*CK1104</f>
        <v/>
      </c>
      <c r="CL1105">
        <f>$C1105*CL1104</f>
        <v/>
      </c>
      <c r="CM1105">
        <f>$C1105*CM1104</f>
        <v/>
      </c>
      <c r="CN1105">
        <f>$C1105*CN1104</f>
        <v/>
      </c>
      <c r="CO1105">
        <f>$C1105*CO1104</f>
        <v/>
      </c>
      <c r="CP1105">
        <f>$C1105*CP1104</f>
        <v/>
      </c>
      <c r="CQ1105">
        <f>$C1105*CQ1104</f>
        <v/>
      </c>
      <c r="CR1105">
        <f>$C1105*CR1104</f>
        <v/>
      </c>
      <c r="CS1105">
        <f>$C1105*CS1104</f>
        <v/>
      </c>
      <c r="CT1105">
        <f>$C1105*CT1104</f>
        <v/>
      </c>
      <c r="CU1105">
        <f>$C1105*CU1104</f>
        <v/>
      </c>
      <c r="CV1105">
        <f>$C1105*CV1104</f>
        <v/>
      </c>
      <c r="CW1105">
        <f>$C1105*CW1104</f>
        <v/>
      </c>
      <c r="CX1105">
        <f>$C1105*CX1104</f>
        <v/>
      </c>
      <c r="CY1105">
        <f>$C1105*CY1104</f>
        <v/>
      </c>
      <c r="CZ1105">
        <f>$C1105*CZ1104</f>
        <v/>
      </c>
      <c r="DA1105">
        <f>$C1105*DA1104</f>
        <v/>
      </c>
      <c r="DB1105">
        <f>$C1105*DB1104</f>
        <v/>
      </c>
      <c r="DC1105">
        <f>$C1105*DC1104</f>
        <v/>
      </c>
    </row>
    <row r="1106">
      <c r="B1106" t="inlineStr">
        <is>
          <t>TSP-1446</t>
        </is>
      </c>
      <c r="C1106" t="inlineStr">
        <is>
          <t>No. of batches</t>
        </is>
      </c>
      <c r="D1106">
        <f>IFERROR(INDEX(PP_Grid[#Data],$DD1106,2),0)</f>
        <v/>
      </c>
      <c r="E1106">
        <f>IFERROR(INDEX(PP_Grid[#Data],$DD1106,3),0)</f>
        <v/>
      </c>
      <c r="F1106">
        <f>IFERROR(INDEX(PP_Grid[#Data],$DD1106,4),0)</f>
        <v/>
      </c>
      <c r="G1106">
        <f>IFERROR(INDEX(PP_Grid[#Data],$DD1106,5),0)</f>
        <v/>
      </c>
      <c r="H1106">
        <f>IFERROR(INDEX(PP_Grid[#Data],$DD1106,6),0)</f>
        <v/>
      </c>
      <c r="I1106">
        <f>IFERROR(INDEX(PP_Grid[#Data],$DD1106,7),0)</f>
        <v/>
      </c>
      <c r="J1106">
        <f>IFERROR(INDEX(PP_Grid[#Data],$DD1106,8),0)</f>
        <v/>
      </c>
      <c r="K1106">
        <f>IFERROR(INDEX(PP_Grid[#Data],$DD1106,9),0)</f>
        <v/>
      </c>
      <c r="L1106">
        <f>IFERROR(INDEX(PP_Grid[#Data],$DD1106,10),0)</f>
        <v/>
      </c>
      <c r="M1106">
        <f>IFERROR(INDEX(PP_Grid[#Data],$DD1106,11),0)</f>
        <v/>
      </c>
      <c r="N1106">
        <f>IFERROR(INDEX(PP_Grid[#Data],$DD1106,12),0)</f>
        <v/>
      </c>
      <c r="O1106">
        <f>IFERROR(INDEX(PP_Grid[#Data],$DD1106,13),0)</f>
        <v/>
      </c>
      <c r="P1106">
        <f>IFERROR(INDEX(PP_Grid[#Data],$DD1106,14),0)</f>
        <v/>
      </c>
      <c r="Q1106">
        <f>IFERROR(INDEX(PP_Grid[#Data],$DD1106,15),0)</f>
        <v/>
      </c>
      <c r="R1106">
        <f>IFERROR(INDEX(PP_Grid[#Data],$DD1106,16),0)</f>
        <v/>
      </c>
      <c r="S1106">
        <f>IFERROR(INDEX(PP_Grid[#Data],$DD1106,17),0)</f>
        <v/>
      </c>
      <c r="T1106">
        <f>IFERROR(INDEX(PP_Grid[#Data],$DD1106,18),0)</f>
        <v/>
      </c>
      <c r="U1106">
        <f>IFERROR(INDEX(PP_Grid[#Data],$DD1106,19),0)</f>
        <v/>
      </c>
      <c r="V1106">
        <f>IFERROR(INDEX(PP_Grid[#Data],$DD1106,20),0)</f>
        <v/>
      </c>
      <c r="W1106">
        <f>IFERROR(INDEX(PP_Grid[#Data],$DD1106,21),0)</f>
        <v/>
      </c>
      <c r="X1106">
        <f>IFERROR(INDEX(PP_Grid[#Data],$DD1106,22),0)</f>
        <v/>
      </c>
      <c r="Y1106">
        <f>IFERROR(INDEX(PP_Grid[#Data],$DD1106,23),0)</f>
        <v/>
      </c>
      <c r="Z1106">
        <f>IFERROR(INDEX(PP_Grid[#Data],$DD1106,24),0)</f>
        <v/>
      </c>
      <c r="AA1106">
        <f>IFERROR(INDEX(PP_Grid[#Data],$DD1106,25),0)</f>
        <v/>
      </c>
      <c r="AB1106">
        <f>IFERROR(INDEX(PP_Grid[#Data],$DD1106,26),0)</f>
        <v/>
      </c>
      <c r="AC1106">
        <f>IFERROR(INDEX(PP_Grid[#Data],$DD1106,27),0)</f>
        <v/>
      </c>
      <c r="AD1106">
        <f>IFERROR(INDEX(PP_Grid[#Data],$DD1106,28),0)</f>
        <v/>
      </c>
      <c r="AE1106">
        <f>IFERROR(INDEX(PP_Grid[#Data],$DD1106,29),0)</f>
        <v/>
      </c>
      <c r="AF1106">
        <f>IFERROR(INDEX(PP_Grid[#Data],$DD1106,30),0)</f>
        <v/>
      </c>
      <c r="AG1106">
        <f>IFERROR(INDEX(PP_Grid[#Data],$DD1106,31),0)</f>
        <v/>
      </c>
      <c r="AH1106">
        <f>IFERROR(INDEX(PP_Grid[#Data],$DD1106,32),0)</f>
        <v/>
      </c>
      <c r="AI1106">
        <f>IFERROR(INDEX(PP_Grid[#Data],$DD1106,33),0)</f>
        <v/>
      </c>
      <c r="AJ1106">
        <f>IFERROR(INDEX(PP_Grid[#Data],$DD1106,34),0)</f>
        <v/>
      </c>
      <c r="AK1106">
        <f>IFERROR(INDEX(PP_Grid[#Data],$DD1106,35),0)</f>
        <v/>
      </c>
      <c r="AL1106">
        <f>IFERROR(INDEX(PP_Grid[#Data],$DD1106,36),0)</f>
        <v/>
      </c>
      <c r="AM1106">
        <f>IFERROR(INDEX(PP_Grid[#Data],$DD1106,37),0)</f>
        <v/>
      </c>
      <c r="AN1106">
        <f>IFERROR(INDEX(PP_Grid[#Data],$DD1106,38),0)</f>
        <v/>
      </c>
      <c r="AO1106">
        <f>IFERROR(INDEX(PP_Grid[#Data],$DD1106,39),0)</f>
        <v/>
      </c>
      <c r="AP1106">
        <f>IFERROR(INDEX(PP_Grid[#Data],$DD1106,40),0)</f>
        <v/>
      </c>
      <c r="AQ1106">
        <f>IFERROR(INDEX(PP_Grid[#Data],$DD1106,41),0)</f>
        <v/>
      </c>
      <c r="AR1106">
        <f>IFERROR(INDEX(PP_Grid[#Data],$DD1106,42),0)</f>
        <v/>
      </c>
      <c r="AS1106">
        <f>IFERROR(INDEX(PP_Grid[#Data],$DD1106,43),0)</f>
        <v/>
      </c>
      <c r="AT1106">
        <f>IFERROR(INDEX(PP_Grid[#Data],$DD1106,44),0)</f>
        <v/>
      </c>
      <c r="AU1106">
        <f>IFERROR(INDEX(PP_Grid[#Data],$DD1106,45),0)</f>
        <v/>
      </c>
      <c r="AV1106">
        <f>IFERROR(INDEX(PP_Grid[#Data],$DD1106,46),0)</f>
        <v/>
      </c>
      <c r="AW1106">
        <f>IFERROR(INDEX(PP_Grid[#Data],$DD1106,47),0)</f>
        <v/>
      </c>
      <c r="AX1106">
        <f>IFERROR(INDEX(PP_Grid[#Data],$DD1106,48),0)</f>
        <v/>
      </c>
      <c r="AY1106">
        <f>IFERROR(INDEX(PP_Grid[#Data],$DD1106,49),0)</f>
        <v/>
      </c>
      <c r="AZ1106">
        <f>IFERROR(INDEX(PP_Grid[#Data],$DD1106,50),0)</f>
        <v/>
      </c>
      <c r="BA1106">
        <f>IFERROR(INDEX(PP_Grid[#Data],$DD1106,51),0)</f>
        <v/>
      </c>
      <c r="BB1106">
        <f>IFERROR(INDEX(PP_Grid[#Data],$DD1106,52),0)</f>
        <v/>
      </c>
      <c r="BC1106">
        <f>IFERROR(INDEX(PP_Grid[#Data],$DD1106,53),0)</f>
        <v/>
      </c>
      <c r="BD1106">
        <f>IFERROR(INDEX(PP_Grid[#Data],$DD1106,54),0)</f>
        <v/>
      </c>
      <c r="BE1106">
        <f>IFERROR(INDEX(PP_Grid[#Data],$DD1106,55),0)</f>
        <v/>
      </c>
      <c r="BF1106">
        <f>IFERROR(INDEX(PP_Grid[#Data],$DD1106,56),0)</f>
        <v/>
      </c>
      <c r="BG1106">
        <f>IFERROR(INDEX(PP_Grid[#Data],$DD1106,57),0)</f>
        <v/>
      </c>
      <c r="BH1106">
        <f>IFERROR(INDEX(PP_Grid[#Data],$DD1106,58),0)</f>
        <v/>
      </c>
      <c r="BI1106">
        <f>IFERROR(INDEX(PP_Grid[#Data],$DD1106,59),0)</f>
        <v/>
      </c>
      <c r="BJ1106">
        <f>IFERROR(INDEX(PP_Grid[#Data],$DD1106,60),0)</f>
        <v/>
      </c>
      <c r="BK1106">
        <f>IFERROR(INDEX(PP_Grid[#Data],$DD1106,61),0)</f>
        <v/>
      </c>
      <c r="BL1106">
        <f>IFERROR(INDEX(PP_Grid[#Data],$DD1106,62),0)</f>
        <v/>
      </c>
      <c r="BM1106">
        <f>IFERROR(INDEX(PP_Grid[#Data],$DD1106,63),0)</f>
        <v/>
      </c>
      <c r="BN1106">
        <f>IFERROR(INDEX(PP_Grid[#Data],$DD1106,64),0)</f>
        <v/>
      </c>
      <c r="BO1106">
        <f>IFERROR(INDEX(PP_Grid[#Data],$DD1106,65),0)</f>
        <v/>
      </c>
      <c r="BP1106">
        <f>IFERROR(INDEX(PP_Grid[#Data],$DD1106,66),0)</f>
        <v/>
      </c>
      <c r="BQ1106">
        <f>IFERROR(INDEX(PP_Grid[#Data],$DD1106,67),0)</f>
        <v/>
      </c>
      <c r="BR1106">
        <f>IFERROR(INDEX(PP_Grid[#Data],$DD1106,68),0)</f>
        <v/>
      </c>
      <c r="BS1106">
        <f>IFERROR(INDEX(PP_Grid[#Data],$DD1106,69),0)</f>
        <v/>
      </c>
      <c r="BT1106">
        <f>IFERROR(INDEX(PP_Grid[#Data],$DD1106,70),0)</f>
        <v/>
      </c>
      <c r="BU1106">
        <f>IFERROR(INDEX(PP_Grid[#Data],$DD1106,71),0)</f>
        <v/>
      </c>
      <c r="BV1106">
        <f>IFERROR(INDEX(PP_Grid[#Data],$DD1106,72),0)</f>
        <v/>
      </c>
      <c r="BW1106">
        <f>IFERROR(INDEX(PP_Grid[#Data],$DD1106,73),0)</f>
        <v/>
      </c>
      <c r="BX1106">
        <f>IFERROR(INDEX(PP_Grid[#Data],$DD1106,74),0)</f>
        <v/>
      </c>
      <c r="BY1106">
        <f>IFERROR(INDEX(PP_Grid[#Data],$DD1106,75),0)</f>
        <v/>
      </c>
      <c r="BZ1106">
        <f>IFERROR(INDEX(PP_Grid[#Data],$DD1106,76),0)</f>
        <v/>
      </c>
      <c r="CA1106">
        <f>IFERROR(INDEX(PP_Grid[#Data],$DD1106,77),0)</f>
        <v/>
      </c>
      <c r="CB1106">
        <f>IFERROR(INDEX(PP_Grid[#Data],$DD1106,78),0)</f>
        <v/>
      </c>
      <c r="CC1106">
        <f>IFERROR(INDEX(PP_Grid[#Data],$DD1106,79),0)</f>
        <v/>
      </c>
      <c r="CD1106">
        <f>IFERROR(INDEX(PP_Grid[#Data],$DD1106,80),0)</f>
        <v/>
      </c>
      <c r="CE1106">
        <f>IFERROR(INDEX(PP_Grid[#Data],$DD1106,81),0)</f>
        <v/>
      </c>
      <c r="CF1106">
        <f>IFERROR(INDEX(PP_Grid[#Data],$DD1106,82),0)</f>
        <v/>
      </c>
      <c r="CG1106">
        <f>IFERROR(INDEX(PP_Grid[#Data],$DD1106,83),0)</f>
        <v/>
      </c>
      <c r="CH1106">
        <f>IFERROR(INDEX(PP_Grid[#Data],$DD1106,84),0)</f>
        <v/>
      </c>
      <c r="CI1106">
        <f>IFERROR(INDEX(PP_Grid[#Data],$DD1106,85),0)</f>
        <v/>
      </c>
      <c r="CJ1106">
        <f>IFERROR(INDEX(PP_Grid[#Data],$DD1106,86),0)</f>
        <v/>
      </c>
      <c r="CK1106">
        <f>IFERROR(INDEX(PP_Grid[#Data],$DD1106,87),0)</f>
        <v/>
      </c>
      <c r="CL1106">
        <f>IFERROR(INDEX(PP_Grid[#Data],$DD1106,88),0)</f>
        <v/>
      </c>
      <c r="CM1106">
        <f>IFERROR(INDEX(PP_Grid[#Data],$DD1106,89),0)</f>
        <v/>
      </c>
      <c r="CN1106">
        <f>IFERROR(INDEX(PP_Grid[#Data],$DD1106,90),0)</f>
        <v/>
      </c>
      <c r="CO1106">
        <f>IFERROR(INDEX(PP_Grid[#Data],$DD1106,91),0)</f>
        <v/>
      </c>
      <c r="CP1106">
        <f>IFERROR(INDEX(PP_Grid[#Data],$DD1106,92),0)</f>
        <v/>
      </c>
      <c r="CQ1106">
        <f>IFERROR(INDEX(PP_Grid[#Data],$DD1106,93),0)</f>
        <v/>
      </c>
      <c r="CR1106">
        <f>IFERROR(INDEX(PP_Grid[#Data],$DD1106,94),0)</f>
        <v/>
      </c>
      <c r="CS1106">
        <f>IFERROR(INDEX(PP_Grid[#Data],$DD1106,95),0)</f>
        <v/>
      </c>
      <c r="CT1106">
        <f>IFERROR(INDEX(PP_Grid[#Data],$DD1106,96),0)</f>
        <v/>
      </c>
      <c r="CU1106">
        <f>IFERROR(INDEX(PP_Grid[#Data],$DD1106,97),0)</f>
        <v/>
      </c>
      <c r="CV1106">
        <f>IFERROR(INDEX(PP_Grid[#Data],$DD1106,98),0)</f>
        <v/>
      </c>
      <c r="CW1106">
        <f>IFERROR(INDEX(PP_Grid[#Data],$DD1106,99),0)</f>
        <v/>
      </c>
      <c r="CX1106">
        <f>IFERROR(INDEX(PP_Grid[#Data],$DD1106,100),0)</f>
        <v/>
      </c>
      <c r="CY1106">
        <f>IFERROR(INDEX(PP_Grid[#Data],$DD1106,101),0)</f>
        <v/>
      </c>
      <c r="CZ1106">
        <f>IFERROR(INDEX(PP_Grid[#Data],$DD1106,102),0)</f>
        <v/>
      </c>
      <c r="DA1106">
        <f>IFERROR(INDEX(PP_Grid[#Data],$DD1106,103),0)</f>
        <v/>
      </c>
      <c r="DB1106">
        <f>IFERROR(INDEX(PP_Grid[#Data],$DD1106,104),0)</f>
        <v/>
      </c>
      <c r="DC1106">
        <f>IFERROR(INDEX(PP_Grid[#Data],$DD1106,105),0)</f>
        <v/>
      </c>
      <c r="DD1106" s="7">
        <f>IFERROR(MATCH($B1106,PP_Grid[Intermediate],0),99999)</f>
        <v/>
      </c>
    </row>
    <row r="1107">
      <c r="B1107" t="inlineStr">
        <is>
          <t>使用量(kg)</t>
        </is>
      </c>
      <c r="C1107">
        <f>SUMIFS(M_BOM[RM_Qty_Per_Batch],M_BOM[Intermediate],$B1106,M_BOM[Part Name],$A1099)</f>
        <v/>
      </c>
      <c r="D1107">
        <f>$C1107*D1106</f>
        <v/>
      </c>
      <c r="E1107">
        <f>$C1107*E1106</f>
        <v/>
      </c>
      <c r="F1107">
        <f>$C1107*F1106</f>
        <v/>
      </c>
      <c r="G1107">
        <f>$C1107*G1106</f>
        <v/>
      </c>
      <c r="H1107">
        <f>$C1107*H1106</f>
        <v/>
      </c>
      <c r="I1107">
        <f>$C1107*I1106</f>
        <v/>
      </c>
      <c r="J1107">
        <f>$C1107*J1106</f>
        <v/>
      </c>
      <c r="K1107">
        <f>$C1107*K1106</f>
        <v/>
      </c>
      <c r="L1107">
        <f>$C1107*L1106</f>
        <v/>
      </c>
      <c r="M1107">
        <f>$C1107*M1106</f>
        <v/>
      </c>
      <c r="N1107">
        <f>$C1107*N1106</f>
        <v/>
      </c>
      <c r="O1107">
        <f>$C1107*O1106</f>
        <v/>
      </c>
      <c r="P1107">
        <f>$C1107*P1106</f>
        <v/>
      </c>
      <c r="Q1107">
        <f>$C1107*Q1106</f>
        <v/>
      </c>
      <c r="R1107">
        <f>$C1107*R1106</f>
        <v/>
      </c>
      <c r="S1107">
        <f>$C1107*S1106</f>
        <v/>
      </c>
      <c r="T1107">
        <f>$C1107*T1106</f>
        <v/>
      </c>
      <c r="U1107">
        <f>$C1107*U1106</f>
        <v/>
      </c>
      <c r="V1107">
        <f>$C1107*V1106</f>
        <v/>
      </c>
      <c r="W1107">
        <f>$C1107*W1106</f>
        <v/>
      </c>
      <c r="X1107">
        <f>$C1107*X1106</f>
        <v/>
      </c>
      <c r="Y1107">
        <f>$C1107*Y1106</f>
        <v/>
      </c>
      <c r="Z1107">
        <f>$C1107*Z1106</f>
        <v/>
      </c>
      <c r="AA1107">
        <f>$C1107*AA1106</f>
        <v/>
      </c>
      <c r="AB1107">
        <f>$C1107*AB1106</f>
        <v/>
      </c>
      <c r="AC1107">
        <f>$C1107*AC1106</f>
        <v/>
      </c>
      <c r="AD1107">
        <f>$C1107*AD1106</f>
        <v/>
      </c>
      <c r="AE1107">
        <f>$C1107*AE1106</f>
        <v/>
      </c>
      <c r="AF1107">
        <f>$C1107*AF1106</f>
        <v/>
      </c>
      <c r="AG1107">
        <f>$C1107*AG1106</f>
        <v/>
      </c>
      <c r="AH1107">
        <f>$C1107*AH1106</f>
        <v/>
      </c>
      <c r="AI1107">
        <f>$C1107*AI1106</f>
        <v/>
      </c>
      <c r="AJ1107">
        <f>$C1107*AJ1106</f>
        <v/>
      </c>
      <c r="AK1107">
        <f>$C1107*AK1106</f>
        <v/>
      </c>
      <c r="AL1107">
        <f>$C1107*AL1106</f>
        <v/>
      </c>
      <c r="AM1107">
        <f>$C1107*AM1106</f>
        <v/>
      </c>
      <c r="AN1107">
        <f>$C1107*AN1106</f>
        <v/>
      </c>
      <c r="AO1107">
        <f>$C1107*AO1106</f>
        <v/>
      </c>
      <c r="AP1107">
        <f>$C1107*AP1106</f>
        <v/>
      </c>
      <c r="AQ1107">
        <f>$C1107*AQ1106</f>
        <v/>
      </c>
      <c r="AR1107">
        <f>$C1107*AR1106</f>
        <v/>
      </c>
      <c r="AS1107">
        <f>$C1107*AS1106</f>
        <v/>
      </c>
      <c r="AT1107">
        <f>$C1107*AT1106</f>
        <v/>
      </c>
      <c r="AU1107">
        <f>$C1107*AU1106</f>
        <v/>
      </c>
      <c r="AV1107">
        <f>$C1107*AV1106</f>
        <v/>
      </c>
      <c r="AW1107">
        <f>$C1107*AW1106</f>
        <v/>
      </c>
      <c r="AX1107">
        <f>$C1107*AX1106</f>
        <v/>
      </c>
      <c r="AY1107">
        <f>$C1107*AY1106</f>
        <v/>
      </c>
      <c r="AZ1107">
        <f>$C1107*AZ1106</f>
        <v/>
      </c>
      <c r="BA1107">
        <f>$C1107*BA1106</f>
        <v/>
      </c>
      <c r="BB1107">
        <f>$C1107*BB1106</f>
        <v/>
      </c>
      <c r="BC1107">
        <f>$C1107*BC1106</f>
        <v/>
      </c>
      <c r="BD1107">
        <f>$C1107*BD1106</f>
        <v/>
      </c>
      <c r="BE1107">
        <f>$C1107*BE1106</f>
        <v/>
      </c>
      <c r="BF1107">
        <f>$C1107*BF1106</f>
        <v/>
      </c>
      <c r="BG1107">
        <f>$C1107*BG1106</f>
        <v/>
      </c>
      <c r="BH1107">
        <f>$C1107*BH1106</f>
        <v/>
      </c>
      <c r="BI1107">
        <f>$C1107*BI1106</f>
        <v/>
      </c>
      <c r="BJ1107">
        <f>$C1107*BJ1106</f>
        <v/>
      </c>
      <c r="BK1107">
        <f>$C1107*BK1106</f>
        <v/>
      </c>
      <c r="BL1107">
        <f>$C1107*BL1106</f>
        <v/>
      </c>
      <c r="BM1107">
        <f>$C1107*BM1106</f>
        <v/>
      </c>
      <c r="BN1107">
        <f>$C1107*BN1106</f>
        <v/>
      </c>
      <c r="BO1107">
        <f>$C1107*BO1106</f>
        <v/>
      </c>
      <c r="BP1107">
        <f>$C1107*BP1106</f>
        <v/>
      </c>
      <c r="BQ1107">
        <f>$C1107*BQ1106</f>
        <v/>
      </c>
      <c r="BR1107">
        <f>$C1107*BR1106</f>
        <v/>
      </c>
      <c r="BS1107">
        <f>$C1107*BS1106</f>
        <v/>
      </c>
      <c r="BT1107">
        <f>$C1107*BT1106</f>
        <v/>
      </c>
      <c r="BU1107">
        <f>$C1107*BU1106</f>
        <v/>
      </c>
      <c r="BV1107">
        <f>$C1107*BV1106</f>
        <v/>
      </c>
      <c r="BW1107">
        <f>$C1107*BW1106</f>
        <v/>
      </c>
      <c r="BX1107">
        <f>$C1107*BX1106</f>
        <v/>
      </c>
      <c r="BY1107">
        <f>$C1107*BY1106</f>
        <v/>
      </c>
      <c r="BZ1107">
        <f>$C1107*BZ1106</f>
        <v/>
      </c>
      <c r="CA1107">
        <f>$C1107*CA1106</f>
        <v/>
      </c>
      <c r="CB1107">
        <f>$C1107*CB1106</f>
        <v/>
      </c>
      <c r="CC1107">
        <f>$C1107*CC1106</f>
        <v/>
      </c>
      <c r="CD1107">
        <f>$C1107*CD1106</f>
        <v/>
      </c>
      <c r="CE1107">
        <f>$C1107*CE1106</f>
        <v/>
      </c>
      <c r="CF1107">
        <f>$C1107*CF1106</f>
        <v/>
      </c>
      <c r="CG1107">
        <f>$C1107*CG1106</f>
        <v/>
      </c>
      <c r="CH1107">
        <f>$C1107*CH1106</f>
        <v/>
      </c>
      <c r="CI1107">
        <f>$C1107*CI1106</f>
        <v/>
      </c>
      <c r="CJ1107">
        <f>$C1107*CJ1106</f>
        <v/>
      </c>
      <c r="CK1107">
        <f>$C1107*CK1106</f>
        <v/>
      </c>
      <c r="CL1107">
        <f>$C1107*CL1106</f>
        <v/>
      </c>
      <c r="CM1107">
        <f>$C1107*CM1106</f>
        <v/>
      </c>
      <c r="CN1107">
        <f>$C1107*CN1106</f>
        <v/>
      </c>
      <c r="CO1107">
        <f>$C1107*CO1106</f>
        <v/>
      </c>
      <c r="CP1107">
        <f>$C1107*CP1106</f>
        <v/>
      </c>
      <c r="CQ1107">
        <f>$C1107*CQ1106</f>
        <v/>
      </c>
      <c r="CR1107">
        <f>$C1107*CR1106</f>
        <v/>
      </c>
      <c r="CS1107">
        <f>$C1107*CS1106</f>
        <v/>
      </c>
      <c r="CT1107">
        <f>$C1107*CT1106</f>
        <v/>
      </c>
      <c r="CU1107">
        <f>$C1107*CU1106</f>
        <v/>
      </c>
      <c r="CV1107">
        <f>$C1107*CV1106</f>
        <v/>
      </c>
      <c r="CW1107">
        <f>$C1107*CW1106</f>
        <v/>
      </c>
      <c r="CX1107">
        <f>$C1107*CX1106</f>
        <v/>
      </c>
      <c r="CY1107">
        <f>$C1107*CY1106</f>
        <v/>
      </c>
      <c r="CZ1107">
        <f>$C1107*CZ1106</f>
        <v/>
      </c>
      <c r="DA1107">
        <f>$C1107*DA1106</f>
        <v/>
      </c>
      <c r="DB1107">
        <f>$C1107*DB1106</f>
        <v/>
      </c>
      <c r="DC1107">
        <f>$C1107*DC1106</f>
        <v/>
      </c>
    </row>
    <row r="1108">
      <c r="B1108" t="inlineStr">
        <is>
          <t>TSP-1448</t>
        </is>
      </c>
      <c r="C1108" t="inlineStr">
        <is>
          <t>No. of batches</t>
        </is>
      </c>
      <c r="D1108">
        <f>IFERROR(INDEX(PP_Grid[#Data],$DD1108,2),0)</f>
        <v/>
      </c>
      <c r="E1108">
        <f>IFERROR(INDEX(PP_Grid[#Data],$DD1108,3),0)</f>
        <v/>
      </c>
      <c r="F1108">
        <f>IFERROR(INDEX(PP_Grid[#Data],$DD1108,4),0)</f>
        <v/>
      </c>
      <c r="G1108">
        <f>IFERROR(INDEX(PP_Grid[#Data],$DD1108,5),0)</f>
        <v/>
      </c>
      <c r="H1108">
        <f>IFERROR(INDEX(PP_Grid[#Data],$DD1108,6),0)</f>
        <v/>
      </c>
      <c r="I1108">
        <f>IFERROR(INDEX(PP_Grid[#Data],$DD1108,7),0)</f>
        <v/>
      </c>
      <c r="J1108">
        <f>IFERROR(INDEX(PP_Grid[#Data],$DD1108,8),0)</f>
        <v/>
      </c>
      <c r="K1108">
        <f>IFERROR(INDEX(PP_Grid[#Data],$DD1108,9),0)</f>
        <v/>
      </c>
      <c r="L1108">
        <f>IFERROR(INDEX(PP_Grid[#Data],$DD1108,10),0)</f>
        <v/>
      </c>
      <c r="M1108">
        <f>IFERROR(INDEX(PP_Grid[#Data],$DD1108,11),0)</f>
        <v/>
      </c>
      <c r="N1108">
        <f>IFERROR(INDEX(PP_Grid[#Data],$DD1108,12),0)</f>
        <v/>
      </c>
      <c r="O1108">
        <f>IFERROR(INDEX(PP_Grid[#Data],$DD1108,13),0)</f>
        <v/>
      </c>
      <c r="P1108">
        <f>IFERROR(INDEX(PP_Grid[#Data],$DD1108,14),0)</f>
        <v/>
      </c>
      <c r="Q1108">
        <f>IFERROR(INDEX(PP_Grid[#Data],$DD1108,15),0)</f>
        <v/>
      </c>
      <c r="R1108">
        <f>IFERROR(INDEX(PP_Grid[#Data],$DD1108,16),0)</f>
        <v/>
      </c>
      <c r="S1108">
        <f>IFERROR(INDEX(PP_Grid[#Data],$DD1108,17),0)</f>
        <v/>
      </c>
      <c r="T1108">
        <f>IFERROR(INDEX(PP_Grid[#Data],$DD1108,18),0)</f>
        <v/>
      </c>
      <c r="U1108">
        <f>IFERROR(INDEX(PP_Grid[#Data],$DD1108,19),0)</f>
        <v/>
      </c>
      <c r="V1108">
        <f>IFERROR(INDEX(PP_Grid[#Data],$DD1108,20),0)</f>
        <v/>
      </c>
      <c r="W1108">
        <f>IFERROR(INDEX(PP_Grid[#Data],$DD1108,21),0)</f>
        <v/>
      </c>
      <c r="X1108">
        <f>IFERROR(INDEX(PP_Grid[#Data],$DD1108,22),0)</f>
        <v/>
      </c>
      <c r="Y1108">
        <f>IFERROR(INDEX(PP_Grid[#Data],$DD1108,23),0)</f>
        <v/>
      </c>
      <c r="Z1108">
        <f>IFERROR(INDEX(PP_Grid[#Data],$DD1108,24),0)</f>
        <v/>
      </c>
      <c r="AA1108">
        <f>IFERROR(INDEX(PP_Grid[#Data],$DD1108,25),0)</f>
        <v/>
      </c>
      <c r="AB1108">
        <f>IFERROR(INDEX(PP_Grid[#Data],$DD1108,26),0)</f>
        <v/>
      </c>
      <c r="AC1108">
        <f>IFERROR(INDEX(PP_Grid[#Data],$DD1108,27),0)</f>
        <v/>
      </c>
      <c r="AD1108">
        <f>IFERROR(INDEX(PP_Grid[#Data],$DD1108,28),0)</f>
        <v/>
      </c>
      <c r="AE1108">
        <f>IFERROR(INDEX(PP_Grid[#Data],$DD1108,29),0)</f>
        <v/>
      </c>
      <c r="AF1108">
        <f>IFERROR(INDEX(PP_Grid[#Data],$DD1108,30),0)</f>
        <v/>
      </c>
      <c r="AG1108">
        <f>IFERROR(INDEX(PP_Grid[#Data],$DD1108,31),0)</f>
        <v/>
      </c>
      <c r="AH1108">
        <f>IFERROR(INDEX(PP_Grid[#Data],$DD1108,32),0)</f>
        <v/>
      </c>
      <c r="AI1108">
        <f>IFERROR(INDEX(PP_Grid[#Data],$DD1108,33),0)</f>
        <v/>
      </c>
      <c r="AJ1108">
        <f>IFERROR(INDEX(PP_Grid[#Data],$DD1108,34),0)</f>
        <v/>
      </c>
      <c r="AK1108">
        <f>IFERROR(INDEX(PP_Grid[#Data],$DD1108,35),0)</f>
        <v/>
      </c>
      <c r="AL1108">
        <f>IFERROR(INDEX(PP_Grid[#Data],$DD1108,36),0)</f>
        <v/>
      </c>
      <c r="AM1108">
        <f>IFERROR(INDEX(PP_Grid[#Data],$DD1108,37),0)</f>
        <v/>
      </c>
      <c r="AN1108">
        <f>IFERROR(INDEX(PP_Grid[#Data],$DD1108,38),0)</f>
        <v/>
      </c>
      <c r="AO1108">
        <f>IFERROR(INDEX(PP_Grid[#Data],$DD1108,39),0)</f>
        <v/>
      </c>
      <c r="AP1108">
        <f>IFERROR(INDEX(PP_Grid[#Data],$DD1108,40),0)</f>
        <v/>
      </c>
      <c r="AQ1108">
        <f>IFERROR(INDEX(PP_Grid[#Data],$DD1108,41),0)</f>
        <v/>
      </c>
      <c r="AR1108">
        <f>IFERROR(INDEX(PP_Grid[#Data],$DD1108,42),0)</f>
        <v/>
      </c>
      <c r="AS1108">
        <f>IFERROR(INDEX(PP_Grid[#Data],$DD1108,43),0)</f>
        <v/>
      </c>
      <c r="AT1108">
        <f>IFERROR(INDEX(PP_Grid[#Data],$DD1108,44),0)</f>
        <v/>
      </c>
      <c r="AU1108">
        <f>IFERROR(INDEX(PP_Grid[#Data],$DD1108,45),0)</f>
        <v/>
      </c>
      <c r="AV1108">
        <f>IFERROR(INDEX(PP_Grid[#Data],$DD1108,46),0)</f>
        <v/>
      </c>
      <c r="AW1108">
        <f>IFERROR(INDEX(PP_Grid[#Data],$DD1108,47),0)</f>
        <v/>
      </c>
      <c r="AX1108">
        <f>IFERROR(INDEX(PP_Grid[#Data],$DD1108,48),0)</f>
        <v/>
      </c>
      <c r="AY1108">
        <f>IFERROR(INDEX(PP_Grid[#Data],$DD1108,49),0)</f>
        <v/>
      </c>
      <c r="AZ1108">
        <f>IFERROR(INDEX(PP_Grid[#Data],$DD1108,50),0)</f>
        <v/>
      </c>
      <c r="BA1108">
        <f>IFERROR(INDEX(PP_Grid[#Data],$DD1108,51),0)</f>
        <v/>
      </c>
      <c r="BB1108">
        <f>IFERROR(INDEX(PP_Grid[#Data],$DD1108,52),0)</f>
        <v/>
      </c>
      <c r="BC1108">
        <f>IFERROR(INDEX(PP_Grid[#Data],$DD1108,53),0)</f>
        <v/>
      </c>
      <c r="BD1108">
        <f>IFERROR(INDEX(PP_Grid[#Data],$DD1108,54),0)</f>
        <v/>
      </c>
      <c r="BE1108">
        <f>IFERROR(INDEX(PP_Grid[#Data],$DD1108,55),0)</f>
        <v/>
      </c>
      <c r="BF1108">
        <f>IFERROR(INDEX(PP_Grid[#Data],$DD1108,56),0)</f>
        <v/>
      </c>
      <c r="BG1108">
        <f>IFERROR(INDEX(PP_Grid[#Data],$DD1108,57),0)</f>
        <v/>
      </c>
      <c r="BH1108">
        <f>IFERROR(INDEX(PP_Grid[#Data],$DD1108,58),0)</f>
        <v/>
      </c>
      <c r="BI1108">
        <f>IFERROR(INDEX(PP_Grid[#Data],$DD1108,59),0)</f>
        <v/>
      </c>
      <c r="BJ1108">
        <f>IFERROR(INDEX(PP_Grid[#Data],$DD1108,60),0)</f>
        <v/>
      </c>
      <c r="BK1108">
        <f>IFERROR(INDEX(PP_Grid[#Data],$DD1108,61),0)</f>
        <v/>
      </c>
      <c r="BL1108">
        <f>IFERROR(INDEX(PP_Grid[#Data],$DD1108,62),0)</f>
        <v/>
      </c>
      <c r="BM1108">
        <f>IFERROR(INDEX(PP_Grid[#Data],$DD1108,63),0)</f>
        <v/>
      </c>
      <c r="BN1108">
        <f>IFERROR(INDEX(PP_Grid[#Data],$DD1108,64),0)</f>
        <v/>
      </c>
      <c r="BO1108">
        <f>IFERROR(INDEX(PP_Grid[#Data],$DD1108,65),0)</f>
        <v/>
      </c>
      <c r="BP1108">
        <f>IFERROR(INDEX(PP_Grid[#Data],$DD1108,66),0)</f>
        <v/>
      </c>
      <c r="BQ1108">
        <f>IFERROR(INDEX(PP_Grid[#Data],$DD1108,67),0)</f>
        <v/>
      </c>
      <c r="BR1108">
        <f>IFERROR(INDEX(PP_Grid[#Data],$DD1108,68),0)</f>
        <v/>
      </c>
      <c r="BS1108">
        <f>IFERROR(INDEX(PP_Grid[#Data],$DD1108,69),0)</f>
        <v/>
      </c>
      <c r="BT1108">
        <f>IFERROR(INDEX(PP_Grid[#Data],$DD1108,70),0)</f>
        <v/>
      </c>
      <c r="BU1108">
        <f>IFERROR(INDEX(PP_Grid[#Data],$DD1108,71),0)</f>
        <v/>
      </c>
      <c r="BV1108">
        <f>IFERROR(INDEX(PP_Grid[#Data],$DD1108,72),0)</f>
        <v/>
      </c>
      <c r="BW1108">
        <f>IFERROR(INDEX(PP_Grid[#Data],$DD1108,73),0)</f>
        <v/>
      </c>
      <c r="BX1108">
        <f>IFERROR(INDEX(PP_Grid[#Data],$DD1108,74),0)</f>
        <v/>
      </c>
      <c r="BY1108">
        <f>IFERROR(INDEX(PP_Grid[#Data],$DD1108,75),0)</f>
        <v/>
      </c>
      <c r="BZ1108">
        <f>IFERROR(INDEX(PP_Grid[#Data],$DD1108,76),0)</f>
        <v/>
      </c>
      <c r="CA1108">
        <f>IFERROR(INDEX(PP_Grid[#Data],$DD1108,77),0)</f>
        <v/>
      </c>
      <c r="CB1108">
        <f>IFERROR(INDEX(PP_Grid[#Data],$DD1108,78),0)</f>
        <v/>
      </c>
      <c r="CC1108">
        <f>IFERROR(INDEX(PP_Grid[#Data],$DD1108,79),0)</f>
        <v/>
      </c>
      <c r="CD1108">
        <f>IFERROR(INDEX(PP_Grid[#Data],$DD1108,80),0)</f>
        <v/>
      </c>
      <c r="CE1108">
        <f>IFERROR(INDEX(PP_Grid[#Data],$DD1108,81),0)</f>
        <v/>
      </c>
      <c r="CF1108">
        <f>IFERROR(INDEX(PP_Grid[#Data],$DD1108,82),0)</f>
        <v/>
      </c>
      <c r="CG1108">
        <f>IFERROR(INDEX(PP_Grid[#Data],$DD1108,83),0)</f>
        <v/>
      </c>
      <c r="CH1108">
        <f>IFERROR(INDEX(PP_Grid[#Data],$DD1108,84),0)</f>
        <v/>
      </c>
      <c r="CI1108">
        <f>IFERROR(INDEX(PP_Grid[#Data],$DD1108,85),0)</f>
        <v/>
      </c>
      <c r="CJ1108">
        <f>IFERROR(INDEX(PP_Grid[#Data],$DD1108,86),0)</f>
        <v/>
      </c>
      <c r="CK1108">
        <f>IFERROR(INDEX(PP_Grid[#Data],$DD1108,87),0)</f>
        <v/>
      </c>
      <c r="CL1108">
        <f>IFERROR(INDEX(PP_Grid[#Data],$DD1108,88),0)</f>
        <v/>
      </c>
      <c r="CM1108">
        <f>IFERROR(INDEX(PP_Grid[#Data],$DD1108,89),0)</f>
        <v/>
      </c>
      <c r="CN1108">
        <f>IFERROR(INDEX(PP_Grid[#Data],$DD1108,90),0)</f>
        <v/>
      </c>
      <c r="CO1108">
        <f>IFERROR(INDEX(PP_Grid[#Data],$DD1108,91),0)</f>
        <v/>
      </c>
      <c r="CP1108">
        <f>IFERROR(INDEX(PP_Grid[#Data],$DD1108,92),0)</f>
        <v/>
      </c>
      <c r="CQ1108">
        <f>IFERROR(INDEX(PP_Grid[#Data],$DD1108,93),0)</f>
        <v/>
      </c>
      <c r="CR1108">
        <f>IFERROR(INDEX(PP_Grid[#Data],$DD1108,94),0)</f>
        <v/>
      </c>
      <c r="CS1108">
        <f>IFERROR(INDEX(PP_Grid[#Data],$DD1108,95),0)</f>
        <v/>
      </c>
      <c r="CT1108">
        <f>IFERROR(INDEX(PP_Grid[#Data],$DD1108,96),0)</f>
        <v/>
      </c>
      <c r="CU1108">
        <f>IFERROR(INDEX(PP_Grid[#Data],$DD1108,97),0)</f>
        <v/>
      </c>
      <c r="CV1108">
        <f>IFERROR(INDEX(PP_Grid[#Data],$DD1108,98),0)</f>
        <v/>
      </c>
      <c r="CW1108">
        <f>IFERROR(INDEX(PP_Grid[#Data],$DD1108,99),0)</f>
        <v/>
      </c>
      <c r="CX1108">
        <f>IFERROR(INDEX(PP_Grid[#Data],$DD1108,100),0)</f>
        <v/>
      </c>
      <c r="CY1108">
        <f>IFERROR(INDEX(PP_Grid[#Data],$DD1108,101),0)</f>
        <v/>
      </c>
      <c r="CZ1108">
        <f>IFERROR(INDEX(PP_Grid[#Data],$DD1108,102),0)</f>
        <v/>
      </c>
      <c r="DA1108">
        <f>IFERROR(INDEX(PP_Grid[#Data],$DD1108,103),0)</f>
        <v/>
      </c>
      <c r="DB1108">
        <f>IFERROR(INDEX(PP_Grid[#Data],$DD1108,104),0)</f>
        <v/>
      </c>
      <c r="DC1108">
        <f>IFERROR(INDEX(PP_Grid[#Data],$DD1108,105),0)</f>
        <v/>
      </c>
      <c r="DD1108" s="7">
        <f>IFERROR(MATCH($B1108,PP_Grid[Intermediate],0),99999)</f>
        <v/>
      </c>
    </row>
    <row r="1109">
      <c r="B1109" t="inlineStr">
        <is>
          <t>使用量(kg)</t>
        </is>
      </c>
      <c r="C1109">
        <f>SUMIFS(M_BOM[RM_Qty_Per_Batch],M_BOM[Intermediate],$B1108,M_BOM[Part Name],$A1099)</f>
        <v/>
      </c>
      <c r="D1109">
        <f>$C1109*D1108</f>
        <v/>
      </c>
      <c r="E1109">
        <f>$C1109*E1108</f>
        <v/>
      </c>
      <c r="F1109">
        <f>$C1109*F1108</f>
        <v/>
      </c>
      <c r="G1109">
        <f>$C1109*G1108</f>
        <v/>
      </c>
      <c r="H1109">
        <f>$C1109*H1108</f>
        <v/>
      </c>
      <c r="I1109">
        <f>$C1109*I1108</f>
        <v/>
      </c>
      <c r="J1109">
        <f>$C1109*J1108</f>
        <v/>
      </c>
      <c r="K1109">
        <f>$C1109*K1108</f>
        <v/>
      </c>
      <c r="L1109">
        <f>$C1109*L1108</f>
        <v/>
      </c>
      <c r="M1109">
        <f>$C1109*M1108</f>
        <v/>
      </c>
      <c r="N1109">
        <f>$C1109*N1108</f>
        <v/>
      </c>
      <c r="O1109">
        <f>$C1109*O1108</f>
        <v/>
      </c>
      <c r="P1109">
        <f>$C1109*P1108</f>
        <v/>
      </c>
      <c r="Q1109">
        <f>$C1109*Q1108</f>
        <v/>
      </c>
      <c r="R1109">
        <f>$C1109*R1108</f>
        <v/>
      </c>
      <c r="S1109">
        <f>$C1109*S1108</f>
        <v/>
      </c>
      <c r="T1109">
        <f>$C1109*T1108</f>
        <v/>
      </c>
      <c r="U1109">
        <f>$C1109*U1108</f>
        <v/>
      </c>
      <c r="V1109">
        <f>$C1109*V1108</f>
        <v/>
      </c>
      <c r="W1109">
        <f>$C1109*W1108</f>
        <v/>
      </c>
      <c r="X1109">
        <f>$C1109*X1108</f>
        <v/>
      </c>
      <c r="Y1109">
        <f>$C1109*Y1108</f>
        <v/>
      </c>
      <c r="Z1109">
        <f>$C1109*Z1108</f>
        <v/>
      </c>
      <c r="AA1109">
        <f>$C1109*AA1108</f>
        <v/>
      </c>
      <c r="AB1109">
        <f>$C1109*AB1108</f>
        <v/>
      </c>
      <c r="AC1109">
        <f>$C1109*AC1108</f>
        <v/>
      </c>
      <c r="AD1109">
        <f>$C1109*AD1108</f>
        <v/>
      </c>
      <c r="AE1109">
        <f>$C1109*AE1108</f>
        <v/>
      </c>
      <c r="AF1109">
        <f>$C1109*AF1108</f>
        <v/>
      </c>
      <c r="AG1109">
        <f>$C1109*AG1108</f>
        <v/>
      </c>
      <c r="AH1109">
        <f>$C1109*AH1108</f>
        <v/>
      </c>
      <c r="AI1109">
        <f>$C1109*AI1108</f>
        <v/>
      </c>
      <c r="AJ1109">
        <f>$C1109*AJ1108</f>
        <v/>
      </c>
      <c r="AK1109">
        <f>$C1109*AK1108</f>
        <v/>
      </c>
      <c r="AL1109">
        <f>$C1109*AL1108</f>
        <v/>
      </c>
      <c r="AM1109">
        <f>$C1109*AM1108</f>
        <v/>
      </c>
      <c r="AN1109">
        <f>$C1109*AN1108</f>
        <v/>
      </c>
      <c r="AO1109">
        <f>$C1109*AO1108</f>
        <v/>
      </c>
      <c r="AP1109">
        <f>$C1109*AP1108</f>
        <v/>
      </c>
      <c r="AQ1109">
        <f>$C1109*AQ1108</f>
        <v/>
      </c>
      <c r="AR1109">
        <f>$C1109*AR1108</f>
        <v/>
      </c>
      <c r="AS1109">
        <f>$C1109*AS1108</f>
        <v/>
      </c>
      <c r="AT1109">
        <f>$C1109*AT1108</f>
        <v/>
      </c>
      <c r="AU1109">
        <f>$C1109*AU1108</f>
        <v/>
      </c>
      <c r="AV1109">
        <f>$C1109*AV1108</f>
        <v/>
      </c>
      <c r="AW1109">
        <f>$C1109*AW1108</f>
        <v/>
      </c>
      <c r="AX1109">
        <f>$C1109*AX1108</f>
        <v/>
      </c>
      <c r="AY1109">
        <f>$C1109*AY1108</f>
        <v/>
      </c>
      <c r="AZ1109">
        <f>$C1109*AZ1108</f>
        <v/>
      </c>
      <c r="BA1109">
        <f>$C1109*BA1108</f>
        <v/>
      </c>
      <c r="BB1109">
        <f>$C1109*BB1108</f>
        <v/>
      </c>
      <c r="BC1109">
        <f>$C1109*BC1108</f>
        <v/>
      </c>
      <c r="BD1109">
        <f>$C1109*BD1108</f>
        <v/>
      </c>
      <c r="BE1109">
        <f>$C1109*BE1108</f>
        <v/>
      </c>
      <c r="BF1109">
        <f>$C1109*BF1108</f>
        <v/>
      </c>
      <c r="BG1109">
        <f>$C1109*BG1108</f>
        <v/>
      </c>
      <c r="BH1109">
        <f>$C1109*BH1108</f>
        <v/>
      </c>
      <c r="BI1109">
        <f>$C1109*BI1108</f>
        <v/>
      </c>
      <c r="BJ1109">
        <f>$C1109*BJ1108</f>
        <v/>
      </c>
      <c r="BK1109">
        <f>$C1109*BK1108</f>
        <v/>
      </c>
      <c r="BL1109">
        <f>$C1109*BL1108</f>
        <v/>
      </c>
      <c r="BM1109">
        <f>$C1109*BM1108</f>
        <v/>
      </c>
      <c r="BN1109">
        <f>$C1109*BN1108</f>
        <v/>
      </c>
      <c r="BO1109">
        <f>$C1109*BO1108</f>
        <v/>
      </c>
      <c r="BP1109">
        <f>$C1109*BP1108</f>
        <v/>
      </c>
      <c r="BQ1109">
        <f>$C1109*BQ1108</f>
        <v/>
      </c>
      <c r="BR1109">
        <f>$C1109*BR1108</f>
        <v/>
      </c>
      <c r="BS1109">
        <f>$C1109*BS1108</f>
        <v/>
      </c>
      <c r="BT1109">
        <f>$C1109*BT1108</f>
        <v/>
      </c>
      <c r="BU1109">
        <f>$C1109*BU1108</f>
        <v/>
      </c>
      <c r="BV1109">
        <f>$C1109*BV1108</f>
        <v/>
      </c>
      <c r="BW1109">
        <f>$C1109*BW1108</f>
        <v/>
      </c>
      <c r="BX1109">
        <f>$C1109*BX1108</f>
        <v/>
      </c>
      <c r="BY1109">
        <f>$C1109*BY1108</f>
        <v/>
      </c>
      <c r="BZ1109">
        <f>$C1109*BZ1108</f>
        <v/>
      </c>
      <c r="CA1109">
        <f>$C1109*CA1108</f>
        <v/>
      </c>
      <c r="CB1109">
        <f>$C1109*CB1108</f>
        <v/>
      </c>
      <c r="CC1109">
        <f>$C1109*CC1108</f>
        <v/>
      </c>
      <c r="CD1109">
        <f>$C1109*CD1108</f>
        <v/>
      </c>
      <c r="CE1109">
        <f>$C1109*CE1108</f>
        <v/>
      </c>
      <c r="CF1109">
        <f>$C1109*CF1108</f>
        <v/>
      </c>
      <c r="CG1109">
        <f>$C1109*CG1108</f>
        <v/>
      </c>
      <c r="CH1109">
        <f>$C1109*CH1108</f>
        <v/>
      </c>
      <c r="CI1109">
        <f>$C1109*CI1108</f>
        <v/>
      </c>
      <c r="CJ1109">
        <f>$C1109*CJ1108</f>
        <v/>
      </c>
      <c r="CK1109">
        <f>$C1109*CK1108</f>
        <v/>
      </c>
      <c r="CL1109">
        <f>$C1109*CL1108</f>
        <v/>
      </c>
      <c r="CM1109">
        <f>$C1109*CM1108</f>
        <v/>
      </c>
      <c r="CN1109">
        <f>$C1109*CN1108</f>
        <v/>
      </c>
      <c r="CO1109">
        <f>$C1109*CO1108</f>
        <v/>
      </c>
      <c r="CP1109">
        <f>$C1109*CP1108</f>
        <v/>
      </c>
      <c r="CQ1109">
        <f>$C1109*CQ1108</f>
        <v/>
      </c>
      <c r="CR1109">
        <f>$C1109*CR1108</f>
        <v/>
      </c>
      <c r="CS1109">
        <f>$C1109*CS1108</f>
        <v/>
      </c>
      <c r="CT1109">
        <f>$C1109*CT1108</f>
        <v/>
      </c>
      <c r="CU1109">
        <f>$C1109*CU1108</f>
        <v/>
      </c>
      <c r="CV1109">
        <f>$C1109*CV1108</f>
        <v/>
      </c>
      <c r="CW1109">
        <f>$C1109*CW1108</f>
        <v/>
      </c>
      <c r="CX1109">
        <f>$C1109*CX1108</f>
        <v/>
      </c>
      <c r="CY1109">
        <f>$C1109*CY1108</f>
        <v/>
      </c>
      <c r="CZ1109">
        <f>$C1109*CZ1108</f>
        <v/>
      </c>
      <c r="DA1109">
        <f>$C1109*DA1108</f>
        <v/>
      </c>
      <c r="DB1109">
        <f>$C1109*DB1108</f>
        <v/>
      </c>
      <c r="DC1109">
        <f>$C1109*DC1108</f>
        <v/>
      </c>
    </row>
    <row r="1110">
      <c r="B1110" t="inlineStr">
        <is>
          <t>TSP-1449</t>
        </is>
      </c>
      <c r="C1110" t="inlineStr">
        <is>
          <t>No. of batches</t>
        </is>
      </c>
      <c r="D1110">
        <f>IFERROR(INDEX(PP_Grid[#Data],$DD1110,2),0)</f>
        <v/>
      </c>
      <c r="E1110">
        <f>IFERROR(INDEX(PP_Grid[#Data],$DD1110,3),0)</f>
        <v/>
      </c>
      <c r="F1110">
        <f>IFERROR(INDEX(PP_Grid[#Data],$DD1110,4),0)</f>
        <v/>
      </c>
      <c r="G1110">
        <f>IFERROR(INDEX(PP_Grid[#Data],$DD1110,5),0)</f>
        <v/>
      </c>
      <c r="H1110">
        <f>IFERROR(INDEX(PP_Grid[#Data],$DD1110,6),0)</f>
        <v/>
      </c>
      <c r="I1110">
        <f>IFERROR(INDEX(PP_Grid[#Data],$DD1110,7),0)</f>
        <v/>
      </c>
      <c r="J1110">
        <f>IFERROR(INDEX(PP_Grid[#Data],$DD1110,8),0)</f>
        <v/>
      </c>
      <c r="K1110">
        <f>IFERROR(INDEX(PP_Grid[#Data],$DD1110,9),0)</f>
        <v/>
      </c>
      <c r="L1110">
        <f>IFERROR(INDEX(PP_Grid[#Data],$DD1110,10),0)</f>
        <v/>
      </c>
      <c r="M1110">
        <f>IFERROR(INDEX(PP_Grid[#Data],$DD1110,11),0)</f>
        <v/>
      </c>
      <c r="N1110">
        <f>IFERROR(INDEX(PP_Grid[#Data],$DD1110,12),0)</f>
        <v/>
      </c>
      <c r="O1110">
        <f>IFERROR(INDEX(PP_Grid[#Data],$DD1110,13),0)</f>
        <v/>
      </c>
      <c r="P1110">
        <f>IFERROR(INDEX(PP_Grid[#Data],$DD1110,14),0)</f>
        <v/>
      </c>
      <c r="Q1110">
        <f>IFERROR(INDEX(PP_Grid[#Data],$DD1110,15),0)</f>
        <v/>
      </c>
      <c r="R1110">
        <f>IFERROR(INDEX(PP_Grid[#Data],$DD1110,16),0)</f>
        <v/>
      </c>
      <c r="S1110">
        <f>IFERROR(INDEX(PP_Grid[#Data],$DD1110,17),0)</f>
        <v/>
      </c>
      <c r="T1110">
        <f>IFERROR(INDEX(PP_Grid[#Data],$DD1110,18),0)</f>
        <v/>
      </c>
      <c r="U1110">
        <f>IFERROR(INDEX(PP_Grid[#Data],$DD1110,19),0)</f>
        <v/>
      </c>
      <c r="V1110">
        <f>IFERROR(INDEX(PP_Grid[#Data],$DD1110,20),0)</f>
        <v/>
      </c>
      <c r="W1110">
        <f>IFERROR(INDEX(PP_Grid[#Data],$DD1110,21),0)</f>
        <v/>
      </c>
      <c r="X1110">
        <f>IFERROR(INDEX(PP_Grid[#Data],$DD1110,22),0)</f>
        <v/>
      </c>
      <c r="Y1110">
        <f>IFERROR(INDEX(PP_Grid[#Data],$DD1110,23),0)</f>
        <v/>
      </c>
      <c r="Z1110">
        <f>IFERROR(INDEX(PP_Grid[#Data],$DD1110,24),0)</f>
        <v/>
      </c>
      <c r="AA1110">
        <f>IFERROR(INDEX(PP_Grid[#Data],$DD1110,25),0)</f>
        <v/>
      </c>
      <c r="AB1110">
        <f>IFERROR(INDEX(PP_Grid[#Data],$DD1110,26),0)</f>
        <v/>
      </c>
      <c r="AC1110">
        <f>IFERROR(INDEX(PP_Grid[#Data],$DD1110,27),0)</f>
        <v/>
      </c>
      <c r="AD1110">
        <f>IFERROR(INDEX(PP_Grid[#Data],$DD1110,28),0)</f>
        <v/>
      </c>
      <c r="AE1110">
        <f>IFERROR(INDEX(PP_Grid[#Data],$DD1110,29),0)</f>
        <v/>
      </c>
      <c r="AF1110">
        <f>IFERROR(INDEX(PP_Grid[#Data],$DD1110,30),0)</f>
        <v/>
      </c>
      <c r="AG1110">
        <f>IFERROR(INDEX(PP_Grid[#Data],$DD1110,31),0)</f>
        <v/>
      </c>
      <c r="AH1110">
        <f>IFERROR(INDEX(PP_Grid[#Data],$DD1110,32),0)</f>
        <v/>
      </c>
      <c r="AI1110">
        <f>IFERROR(INDEX(PP_Grid[#Data],$DD1110,33),0)</f>
        <v/>
      </c>
      <c r="AJ1110">
        <f>IFERROR(INDEX(PP_Grid[#Data],$DD1110,34),0)</f>
        <v/>
      </c>
      <c r="AK1110">
        <f>IFERROR(INDEX(PP_Grid[#Data],$DD1110,35),0)</f>
        <v/>
      </c>
      <c r="AL1110">
        <f>IFERROR(INDEX(PP_Grid[#Data],$DD1110,36),0)</f>
        <v/>
      </c>
      <c r="AM1110">
        <f>IFERROR(INDEX(PP_Grid[#Data],$DD1110,37),0)</f>
        <v/>
      </c>
      <c r="AN1110">
        <f>IFERROR(INDEX(PP_Grid[#Data],$DD1110,38),0)</f>
        <v/>
      </c>
      <c r="AO1110">
        <f>IFERROR(INDEX(PP_Grid[#Data],$DD1110,39),0)</f>
        <v/>
      </c>
      <c r="AP1110">
        <f>IFERROR(INDEX(PP_Grid[#Data],$DD1110,40),0)</f>
        <v/>
      </c>
      <c r="AQ1110">
        <f>IFERROR(INDEX(PP_Grid[#Data],$DD1110,41),0)</f>
        <v/>
      </c>
      <c r="AR1110">
        <f>IFERROR(INDEX(PP_Grid[#Data],$DD1110,42),0)</f>
        <v/>
      </c>
      <c r="AS1110">
        <f>IFERROR(INDEX(PP_Grid[#Data],$DD1110,43),0)</f>
        <v/>
      </c>
      <c r="AT1110">
        <f>IFERROR(INDEX(PP_Grid[#Data],$DD1110,44),0)</f>
        <v/>
      </c>
      <c r="AU1110">
        <f>IFERROR(INDEX(PP_Grid[#Data],$DD1110,45),0)</f>
        <v/>
      </c>
      <c r="AV1110">
        <f>IFERROR(INDEX(PP_Grid[#Data],$DD1110,46),0)</f>
        <v/>
      </c>
      <c r="AW1110">
        <f>IFERROR(INDEX(PP_Grid[#Data],$DD1110,47),0)</f>
        <v/>
      </c>
      <c r="AX1110">
        <f>IFERROR(INDEX(PP_Grid[#Data],$DD1110,48),0)</f>
        <v/>
      </c>
      <c r="AY1110">
        <f>IFERROR(INDEX(PP_Grid[#Data],$DD1110,49),0)</f>
        <v/>
      </c>
      <c r="AZ1110">
        <f>IFERROR(INDEX(PP_Grid[#Data],$DD1110,50),0)</f>
        <v/>
      </c>
      <c r="BA1110">
        <f>IFERROR(INDEX(PP_Grid[#Data],$DD1110,51),0)</f>
        <v/>
      </c>
      <c r="BB1110">
        <f>IFERROR(INDEX(PP_Grid[#Data],$DD1110,52),0)</f>
        <v/>
      </c>
      <c r="BC1110">
        <f>IFERROR(INDEX(PP_Grid[#Data],$DD1110,53),0)</f>
        <v/>
      </c>
      <c r="BD1110">
        <f>IFERROR(INDEX(PP_Grid[#Data],$DD1110,54),0)</f>
        <v/>
      </c>
      <c r="BE1110">
        <f>IFERROR(INDEX(PP_Grid[#Data],$DD1110,55),0)</f>
        <v/>
      </c>
      <c r="BF1110">
        <f>IFERROR(INDEX(PP_Grid[#Data],$DD1110,56),0)</f>
        <v/>
      </c>
      <c r="BG1110">
        <f>IFERROR(INDEX(PP_Grid[#Data],$DD1110,57),0)</f>
        <v/>
      </c>
      <c r="BH1110">
        <f>IFERROR(INDEX(PP_Grid[#Data],$DD1110,58),0)</f>
        <v/>
      </c>
      <c r="BI1110">
        <f>IFERROR(INDEX(PP_Grid[#Data],$DD1110,59),0)</f>
        <v/>
      </c>
      <c r="BJ1110">
        <f>IFERROR(INDEX(PP_Grid[#Data],$DD1110,60),0)</f>
        <v/>
      </c>
      <c r="BK1110">
        <f>IFERROR(INDEX(PP_Grid[#Data],$DD1110,61),0)</f>
        <v/>
      </c>
      <c r="BL1110">
        <f>IFERROR(INDEX(PP_Grid[#Data],$DD1110,62),0)</f>
        <v/>
      </c>
      <c r="BM1110">
        <f>IFERROR(INDEX(PP_Grid[#Data],$DD1110,63),0)</f>
        <v/>
      </c>
      <c r="BN1110">
        <f>IFERROR(INDEX(PP_Grid[#Data],$DD1110,64),0)</f>
        <v/>
      </c>
      <c r="BO1110">
        <f>IFERROR(INDEX(PP_Grid[#Data],$DD1110,65),0)</f>
        <v/>
      </c>
      <c r="BP1110">
        <f>IFERROR(INDEX(PP_Grid[#Data],$DD1110,66),0)</f>
        <v/>
      </c>
      <c r="BQ1110">
        <f>IFERROR(INDEX(PP_Grid[#Data],$DD1110,67),0)</f>
        <v/>
      </c>
      <c r="BR1110">
        <f>IFERROR(INDEX(PP_Grid[#Data],$DD1110,68),0)</f>
        <v/>
      </c>
      <c r="BS1110">
        <f>IFERROR(INDEX(PP_Grid[#Data],$DD1110,69),0)</f>
        <v/>
      </c>
      <c r="BT1110">
        <f>IFERROR(INDEX(PP_Grid[#Data],$DD1110,70),0)</f>
        <v/>
      </c>
      <c r="BU1110">
        <f>IFERROR(INDEX(PP_Grid[#Data],$DD1110,71),0)</f>
        <v/>
      </c>
      <c r="BV1110">
        <f>IFERROR(INDEX(PP_Grid[#Data],$DD1110,72),0)</f>
        <v/>
      </c>
      <c r="BW1110">
        <f>IFERROR(INDEX(PP_Grid[#Data],$DD1110,73),0)</f>
        <v/>
      </c>
      <c r="BX1110">
        <f>IFERROR(INDEX(PP_Grid[#Data],$DD1110,74),0)</f>
        <v/>
      </c>
      <c r="BY1110">
        <f>IFERROR(INDEX(PP_Grid[#Data],$DD1110,75),0)</f>
        <v/>
      </c>
      <c r="BZ1110">
        <f>IFERROR(INDEX(PP_Grid[#Data],$DD1110,76),0)</f>
        <v/>
      </c>
      <c r="CA1110">
        <f>IFERROR(INDEX(PP_Grid[#Data],$DD1110,77),0)</f>
        <v/>
      </c>
      <c r="CB1110">
        <f>IFERROR(INDEX(PP_Grid[#Data],$DD1110,78),0)</f>
        <v/>
      </c>
      <c r="CC1110">
        <f>IFERROR(INDEX(PP_Grid[#Data],$DD1110,79),0)</f>
        <v/>
      </c>
      <c r="CD1110">
        <f>IFERROR(INDEX(PP_Grid[#Data],$DD1110,80),0)</f>
        <v/>
      </c>
      <c r="CE1110">
        <f>IFERROR(INDEX(PP_Grid[#Data],$DD1110,81),0)</f>
        <v/>
      </c>
      <c r="CF1110">
        <f>IFERROR(INDEX(PP_Grid[#Data],$DD1110,82),0)</f>
        <v/>
      </c>
      <c r="CG1110">
        <f>IFERROR(INDEX(PP_Grid[#Data],$DD1110,83),0)</f>
        <v/>
      </c>
      <c r="CH1110">
        <f>IFERROR(INDEX(PP_Grid[#Data],$DD1110,84),0)</f>
        <v/>
      </c>
      <c r="CI1110">
        <f>IFERROR(INDEX(PP_Grid[#Data],$DD1110,85),0)</f>
        <v/>
      </c>
      <c r="CJ1110">
        <f>IFERROR(INDEX(PP_Grid[#Data],$DD1110,86),0)</f>
        <v/>
      </c>
      <c r="CK1110">
        <f>IFERROR(INDEX(PP_Grid[#Data],$DD1110,87),0)</f>
        <v/>
      </c>
      <c r="CL1110">
        <f>IFERROR(INDEX(PP_Grid[#Data],$DD1110,88),0)</f>
        <v/>
      </c>
      <c r="CM1110">
        <f>IFERROR(INDEX(PP_Grid[#Data],$DD1110,89),0)</f>
        <v/>
      </c>
      <c r="CN1110">
        <f>IFERROR(INDEX(PP_Grid[#Data],$DD1110,90),0)</f>
        <v/>
      </c>
      <c r="CO1110">
        <f>IFERROR(INDEX(PP_Grid[#Data],$DD1110,91),0)</f>
        <v/>
      </c>
      <c r="CP1110">
        <f>IFERROR(INDEX(PP_Grid[#Data],$DD1110,92),0)</f>
        <v/>
      </c>
      <c r="CQ1110">
        <f>IFERROR(INDEX(PP_Grid[#Data],$DD1110,93),0)</f>
        <v/>
      </c>
      <c r="CR1110">
        <f>IFERROR(INDEX(PP_Grid[#Data],$DD1110,94),0)</f>
        <v/>
      </c>
      <c r="CS1110">
        <f>IFERROR(INDEX(PP_Grid[#Data],$DD1110,95),0)</f>
        <v/>
      </c>
      <c r="CT1110">
        <f>IFERROR(INDEX(PP_Grid[#Data],$DD1110,96),0)</f>
        <v/>
      </c>
      <c r="CU1110">
        <f>IFERROR(INDEX(PP_Grid[#Data],$DD1110,97),0)</f>
        <v/>
      </c>
      <c r="CV1110">
        <f>IFERROR(INDEX(PP_Grid[#Data],$DD1110,98),0)</f>
        <v/>
      </c>
      <c r="CW1110">
        <f>IFERROR(INDEX(PP_Grid[#Data],$DD1110,99),0)</f>
        <v/>
      </c>
      <c r="CX1110">
        <f>IFERROR(INDEX(PP_Grid[#Data],$DD1110,100),0)</f>
        <v/>
      </c>
      <c r="CY1110">
        <f>IFERROR(INDEX(PP_Grid[#Data],$DD1110,101),0)</f>
        <v/>
      </c>
      <c r="CZ1110">
        <f>IFERROR(INDEX(PP_Grid[#Data],$DD1110,102),0)</f>
        <v/>
      </c>
      <c r="DA1110">
        <f>IFERROR(INDEX(PP_Grid[#Data],$DD1110,103),0)</f>
        <v/>
      </c>
      <c r="DB1110">
        <f>IFERROR(INDEX(PP_Grid[#Data],$DD1110,104),0)</f>
        <v/>
      </c>
      <c r="DC1110">
        <f>IFERROR(INDEX(PP_Grid[#Data],$DD1110,105),0)</f>
        <v/>
      </c>
      <c r="DD1110" s="7">
        <f>IFERROR(MATCH($B1110,PP_Grid[Intermediate],0),99999)</f>
        <v/>
      </c>
    </row>
    <row r="1111">
      <c r="B1111" t="inlineStr">
        <is>
          <t>使用量(kg)</t>
        </is>
      </c>
      <c r="C1111">
        <f>SUMIFS(M_BOM[RM_Qty_Per_Batch],M_BOM[Intermediate],$B1110,M_BOM[Part Name],$A1099)</f>
        <v/>
      </c>
      <c r="D1111">
        <f>$C1111*D1110</f>
        <v/>
      </c>
      <c r="E1111">
        <f>$C1111*E1110</f>
        <v/>
      </c>
      <c r="F1111">
        <f>$C1111*F1110</f>
        <v/>
      </c>
      <c r="G1111">
        <f>$C1111*G1110</f>
        <v/>
      </c>
      <c r="H1111">
        <f>$C1111*H1110</f>
        <v/>
      </c>
      <c r="I1111">
        <f>$C1111*I1110</f>
        <v/>
      </c>
      <c r="J1111">
        <f>$C1111*J1110</f>
        <v/>
      </c>
      <c r="K1111">
        <f>$C1111*K1110</f>
        <v/>
      </c>
      <c r="L1111">
        <f>$C1111*L1110</f>
        <v/>
      </c>
      <c r="M1111">
        <f>$C1111*M1110</f>
        <v/>
      </c>
      <c r="N1111">
        <f>$C1111*N1110</f>
        <v/>
      </c>
      <c r="O1111">
        <f>$C1111*O1110</f>
        <v/>
      </c>
      <c r="P1111">
        <f>$C1111*P1110</f>
        <v/>
      </c>
      <c r="Q1111">
        <f>$C1111*Q1110</f>
        <v/>
      </c>
      <c r="R1111">
        <f>$C1111*R1110</f>
        <v/>
      </c>
      <c r="S1111">
        <f>$C1111*S1110</f>
        <v/>
      </c>
      <c r="T1111">
        <f>$C1111*T1110</f>
        <v/>
      </c>
      <c r="U1111">
        <f>$C1111*U1110</f>
        <v/>
      </c>
      <c r="V1111">
        <f>$C1111*V1110</f>
        <v/>
      </c>
      <c r="W1111">
        <f>$C1111*W1110</f>
        <v/>
      </c>
      <c r="X1111">
        <f>$C1111*X1110</f>
        <v/>
      </c>
      <c r="Y1111">
        <f>$C1111*Y1110</f>
        <v/>
      </c>
      <c r="Z1111">
        <f>$C1111*Z1110</f>
        <v/>
      </c>
      <c r="AA1111">
        <f>$C1111*AA1110</f>
        <v/>
      </c>
      <c r="AB1111">
        <f>$C1111*AB1110</f>
        <v/>
      </c>
      <c r="AC1111">
        <f>$C1111*AC1110</f>
        <v/>
      </c>
      <c r="AD1111">
        <f>$C1111*AD1110</f>
        <v/>
      </c>
      <c r="AE1111">
        <f>$C1111*AE1110</f>
        <v/>
      </c>
      <c r="AF1111">
        <f>$C1111*AF1110</f>
        <v/>
      </c>
      <c r="AG1111">
        <f>$C1111*AG1110</f>
        <v/>
      </c>
      <c r="AH1111">
        <f>$C1111*AH1110</f>
        <v/>
      </c>
      <c r="AI1111">
        <f>$C1111*AI1110</f>
        <v/>
      </c>
      <c r="AJ1111">
        <f>$C1111*AJ1110</f>
        <v/>
      </c>
      <c r="AK1111">
        <f>$C1111*AK1110</f>
        <v/>
      </c>
      <c r="AL1111">
        <f>$C1111*AL1110</f>
        <v/>
      </c>
      <c r="AM1111">
        <f>$C1111*AM1110</f>
        <v/>
      </c>
      <c r="AN1111">
        <f>$C1111*AN1110</f>
        <v/>
      </c>
      <c r="AO1111">
        <f>$C1111*AO1110</f>
        <v/>
      </c>
      <c r="AP1111">
        <f>$C1111*AP1110</f>
        <v/>
      </c>
      <c r="AQ1111">
        <f>$C1111*AQ1110</f>
        <v/>
      </c>
      <c r="AR1111">
        <f>$C1111*AR1110</f>
        <v/>
      </c>
      <c r="AS1111">
        <f>$C1111*AS1110</f>
        <v/>
      </c>
      <c r="AT1111">
        <f>$C1111*AT1110</f>
        <v/>
      </c>
      <c r="AU1111">
        <f>$C1111*AU1110</f>
        <v/>
      </c>
      <c r="AV1111">
        <f>$C1111*AV1110</f>
        <v/>
      </c>
      <c r="AW1111">
        <f>$C1111*AW1110</f>
        <v/>
      </c>
      <c r="AX1111">
        <f>$C1111*AX1110</f>
        <v/>
      </c>
      <c r="AY1111">
        <f>$C1111*AY1110</f>
        <v/>
      </c>
      <c r="AZ1111">
        <f>$C1111*AZ1110</f>
        <v/>
      </c>
      <c r="BA1111">
        <f>$C1111*BA1110</f>
        <v/>
      </c>
      <c r="BB1111">
        <f>$C1111*BB1110</f>
        <v/>
      </c>
      <c r="BC1111">
        <f>$C1111*BC1110</f>
        <v/>
      </c>
      <c r="BD1111">
        <f>$C1111*BD1110</f>
        <v/>
      </c>
      <c r="BE1111">
        <f>$C1111*BE1110</f>
        <v/>
      </c>
      <c r="BF1111">
        <f>$C1111*BF1110</f>
        <v/>
      </c>
      <c r="BG1111">
        <f>$C1111*BG1110</f>
        <v/>
      </c>
      <c r="BH1111">
        <f>$C1111*BH1110</f>
        <v/>
      </c>
      <c r="BI1111">
        <f>$C1111*BI1110</f>
        <v/>
      </c>
      <c r="BJ1111">
        <f>$C1111*BJ1110</f>
        <v/>
      </c>
      <c r="BK1111">
        <f>$C1111*BK1110</f>
        <v/>
      </c>
      <c r="BL1111">
        <f>$C1111*BL1110</f>
        <v/>
      </c>
      <c r="BM1111">
        <f>$C1111*BM1110</f>
        <v/>
      </c>
      <c r="BN1111">
        <f>$C1111*BN1110</f>
        <v/>
      </c>
      <c r="BO1111">
        <f>$C1111*BO1110</f>
        <v/>
      </c>
      <c r="BP1111">
        <f>$C1111*BP1110</f>
        <v/>
      </c>
      <c r="BQ1111">
        <f>$C1111*BQ1110</f>
        <v/>
      </c>
      <c r="BR1111">
        <f>$C1111*BR1110</f>
        <v/>
      </c>
      <c r="BS1111">
        <f>$C1111*BS1110</f>
        <v/>
      </c>
      <c r="BT1111">
        <f>$C1111*BT1110</f>
        <v/>
      </c>
      <c r="BU1111">
        <f>$C1111*BU1110</f>
        <v/>
      </c>
      <c r="BV1111">
        <f>$C1111*BV1110</f>
        <v/>
      </c>
      <c r="BW1111">
        <f>$C1111*BW1110</f>
        <v/>
      </c>
      <c r="BX1111">
        <f>$C1111*BX1110</f>
        <v/>
      </c>
      <c r="BY1111">
        <f>$C1111*BY1110</f>
        <v/>
      </c>
      <c r="BZ1111">
        <f>$C1111*BZ1110</f>
        <v/>
      </c>
      <c r="CA1111">
        <f>$C1111*CA1110</f>
        <v/>
      </c>
      <c r="CB1111">
        <f>$C1111*CB1110</f>
        <v/>
      </c>
      <c r="CC1111">
        <f>$C1111*CC1110</f>
        <v/>
      </c>
      <c r="CD1111">
        <f>$C1111*CD1110</f>
        <v/>
      </c>
      <c r="CE1111">
        <f>$C1111*CE1110</f>
        <v/>
      </c>
      <c r="CF1111">
        <f>$C1111*CF1110</f>
        <v/>
      </c>
      <c r="CG1111">
        <f>$C1111*CG1110</f>
        <v/>
      </c>
      <c r="CH1111">
        <f>$C1111*CH1110</f>
        <v/>
      </c>
      <c r="CI1111">
        <f>$C1111*CI1110</f>
        <v/>
      </c>
      <c r="CJ1111">
        <f>$C1111*CJ1110</f>
        <v/>
      </c>
      <c r="CK1111">
        <f>$C1111*CK1110</f>
        <v/>
      </c>
      <c r="CL1111">
        <f>$C1111*CL1110</f>
        <v/>
      </c>
      <c r="CM1111">
        <f>$C1111*CM1110</f>
        <v/>
      </c>
      <c r="CN1111">
        <f>$C1111*CN1110</f>
        <v/>
      </c>
      <c r="CO1111">
        <f>$C1111*CO1110</f>
        <v/>
      </c>
      <c r="CP1111">
        <f>$C1111*CP1110</f>
        <v/>
      </c>
      <c r="CQ1111">
        <f>$C1111*CQ1110</f>
        <v/>
      </c>
      <c r="CR1111">
        <f>$C1111*CR1110</f>
        <v/>
      </c>
      <c r="CS1111">
        <f>$C1111*CS1110</f>
        <v/>
      </c>
      <c r="CT1111">
        <f>$C1111*CT1110</f>
        <v/>
      </c>
      <c r="CU1111">
        <f>$C1111*CU1110</f>
        <v/>
      </c>
      <c r="CV1111">
        <f>$C1111*CV1110</f>
        <v/>
      </c>
      <c r="CW1111">
        <f>$C1111*CW1110</f>
        <v/>
      </c>
      <c r="CX1111">
        <f>$C1111*CX1110</f>
        <v/>
      </c>
      <c r="CY1111">
        <f>$C1111*CY1110</f>
        <v/>
      </c>
      <c r="CZ1111">
        <f>$C1111*CZ1110</f>
        <v/>
      </c>
      <c r="DA1111">
        <f>$C1111*DA1110</f>
        <v/>
      </c>
      <c r="DB1111">
        <f>$C1111*DB1110</f>
        <v/>
      </c>
      <c r="DC1111">
        <f>$C1111*DC1110</f>
        <v/>
      </c>
    </row>
    <row r="1112">
      <c r="B1112" t="inlineStr">
        <is>
          <t>TSP-1499</t>
        </is>
      </c>
      <c r="C1112" t="inlineStr">
        <is>
          <t>No. of batches</t>
        </is>
      </c>
      <c r="D1112">
        <f>IFERROR(INDEX(PP_Grid[#Data],$DD1112,2),0)</f>
        <v/>
      </c>
      <c r="E1112">
        <f>IFERROR(INDEX(PP_Grid[#Data],$DD1112,3),0)</f>
        <v/>
      </c>
      <c r="F1112">
        <f>IFERROR(INDEX(PP_Grid[#Data],$DD1112,4),0)</f>
        <v/>
      </c>
      <c r="G1112">
        <f>IFERROR(INDEX(PP_Grid[#Data],$DD1112,5),0)</f>
        <v/>
      </c>
      <c r="H1112">
        <f>IFERROR(INDEX(PP_Grid[#Data],$DD1112,6),0)</f>
        <v/>
      </c>
      <c r="I1112">
        <f>IFERROR(INDEX(PP_Grid[#Data],$DD1112,7),0)</f>
        <v/>
      </c>
      <c r="J1112">
        <f>IFERROR(INDEX(PP_Grid[#Data],$DD1112,8),0)</f>
        <v/>
      </c>
      <c r="K1112">
        <f>IFERROR(INDEX(PP_Grid[#Data],$DD1112,9),0)</f>
        <v/>
      </c>
      <c r="L1112">
        <f>IFERROR(INDEX(PP_Grid[#Data],$DD1112,10),0)</f>
        <v/>
      </c>
      <c r="M1112">
        <f>IFERROR(INDEX(PP_Grid[#Data],$DD1112,11),0)</f>
        <v/>
      </c>
      <c r="N1112">
        <f>IFERROR(INDEX(PP_Grid[#Data],$DD1112,12),0)</f>
        <v/>
      </c>
      <c r="O1112">
        <f>IFERROR(INDEX(PP_Grid[#Data],$DD1112,13),0)</f>
        <v/>
      </c>
      <c r="P1112">
        <f>IFERROR(INDEX(PP_Grid[#Data],$DD1112,14),0)</f>
        <v/>
      </c>
      <c r="Q1112">
        <f>IFERROR(INDEX(PP_Grid[#Data],$DD1112,15),0)</f>
        <v/>
      </c>
      <c r="R1112">
        <f>IFERROR(INDEX(PP_Grid[#Data],$DD1112,16),0)</f>
        <v/>
      </c>
      <c r="S1112">
        <f>IFERROR(INDEX(PP_Grid[#Data],$DD1112,17),0)</f>
        <v/>
      </c>
      <c r="T1112">
        <f>IFERROR(INDEX(PP_Grid[#Data],$DD1112,18),0)</f>
        <v/>
      </c>
      <c r="U1112">
        <f>IFERROR(INDEX(PP_Grid[#Data],$DD1112,19),0)</f>
        <v/>
      </c>
      <c r="V1112">
        <f>IFERROR(INDEX(PP_Grid[#Data],$DD1112,20),0)</f>
        <v/>
      </c>
      <c r="W1112">
        <f>IFERROR(INDEX(PP_Grid[#Data],$DD1112,21),0)</f>
        <v/>
      </c>
      <c r="X1112">
        <f>IFERROR(INDEX(PP_Grid[#Data],$DD1112,22),0)</f>
        <v/>
      </c>
      <c r="Y1112">
        <f>IFERROR(INDEX(PP_Grid[#Data],$DD1112,23),0)</f>
        <v/>
      </c>
      <c r="Z1112">
        <f>IFERROR(INDEX(PP_Grid[#Data],$DD1112,24),0)</f>
        <v/>
      </c>
      <c r="AA1112">
        <f>IFERROR(INDEX(PP_Grid[#Data],$DD1112,25),0)</f>
        <v/>
      </c>
      <c r="AB1112">
        <f>IFERROR(INDEX(PP_Grid[#Data],$DD1112,26),0)</f>
        <v/>
      </c>
      <c r="AC1112">
        <f>IFERROR(INDEX(PP_Grid[#Data],$DD1112,27),0)</f>
        <v/>
      </c>
      <c r="AD1112">
        <f>IFERROR(INDEX(PP_Grid[#Data],$DD1112,28),0)</f>
        <v/>
      </c>
      <c r="AE1112">
        <f>IFERROR(INDEX(PP_Grid[#Data],$DD1112,29),0)</f>
        <v/>
      </c>
      <c r="AF1112">
        <f>IFERROR(INDEX(PP_Grid[#Data],$DD1112,30),0)</f>
        <v/>
      </c>
      <c r="AG1112">
        <f>IFERROR(INDEX(PP_Grid[#Data],$DD1112,31),0)</f>
        <v/>
      </c>
      <c r="AH1112">
        <f>IFERROR(INDEX(PP_Grid[#Data],$DD1112,32),0)</f>
        <v/>
      </c>
      <c r="AI1112">
        <f>IFERROR(INDEX(PP_Grid[#Data],$DD1112,33),0)</f>
        <v/>
      </c>
      <c r="AJ1112">
        <f>IFERROR(INDEX(PP_Grid[#Data],$DD1112,34),0)</f>
        <v/>
      </c>
      <c r="AK1112">
        <f>IFERROR(INDEX(PP_Grid[#Data],$DD1112,35),0)</f>
        <v/>
      </c>
      <c r="AL1112">
        <f>IFERROR(INDEX(PP_Grid[#Data],$DD1112,36),0)</f>
        <v/>
      </c>
      <c r="AM1112">
        <f>IFERROR(INDEX(PP_Grid[#Data],$DD1112,37),0)</f>
        <v/>
      </c>
      <c r="AN1112">
        <f>IFERROR(INDEX(PP_Grid[#Data],$DD1112,38),0)</f>
        <v/>
      </c>
      <c r="AO1112">
        <f>IFERROR(INDEX(PP_Grid[#Data],$DD1112,39),0)</f>
        <v/>
      </c>
      <c r="AP1112">
        <f>IFERROR(INDEX(PP_Grid[#Data],$DD1112,40),0)</f>
        <v/>
      </c>
      <c r="AQ1112">
        <f>IFERROR(INDEX(PP_Grid[#Data],$DD1112,41),0)</f>
        <v/>
      </c>
      <c r="AR1112">
        <f>IFERROR(INDEX(PP_Grid[#Data],$DD1112,42),0)</f>
        <v/>
      </c>
      <c r="AS1112">
        <f>IFERROR(INDEX(PP_Grid[#Data],$DD1112,43),0)</f>
        <v/>
      </c>
      <c r="AT1112">
        <f>IFERROR(INDEX(PP_Grid[#Data],$DD1112,44),0)</f>
        <v/>
      </c>
      <c r="AU1112">
        <f>IFERROR(INDEX(PP_Grid[#Data],$DD1112,45),0)</f>
        <v/>
      </c>
      <c r="AV1112">
        <f>IFERROR(INDEX(PP_Grid[#Data],$DD1112,46),0)</f>
        <v/>
      </c>
      <c r="AW1112">
        <f>IFERROR(INDEX(PP_Grid[#Data],$DD1112,47),0)</f>
        <v/>
      </c>
      <c r="AX1112">
        <f>IFERROR(INDEX(PP_Grid[#Data],$DD1112,48),0)</f>
        <v/>
      </c>
      <c r="AY1112">
        <f>IFERROR(INDEX(PP_Grid[#Data],$DD1112,49),0)</f>
        <v/>
      </c>
      <c r="AZ1112">
        <f>IFERROR(INDEX(PP_Grid[#Data],$DD1112,50),0)</f>
        <v/>
      </c>
      <c r="BA1112">
        <f>IFERROR(INDEX(PP_Grid[#Data],$DD1112,51),0)</f>
        <v/>
      </c>
      <c r="BB1112">
        <f>IFERROR(INDEX(PP_Grid[#Data],$DD1112,52),0)</f>
        <v/>
      </c>
      <c r="BC1112">
        <f>IFERROR(INDEX(PP_Grid[#Data],$DD1112,53),0)</f>
        <v/>
      </c>
      <c r="BD1112">
        <f>IFERROR(INDEX(PP_Grid[#Data],$DD1112,54),0)</f>
        <v/>
      </c>
      <c r="BE1112">
        <f>IFERROR(INDEX(PP_Grid[#Data],$DD1112,55),0)</f>
        <v/>
      </c>
      <c r="BF1112">
        <f>IFERROR(INDEX(PP_Grid[#Data],$DD1112,56),0)</f>
        <v/>
      </c>
      <c r="BG1112">
        <f>IFERROR(INDEX(PP_Grid[#Data],$DD1112,57),0)</f>
        <v/>
      </c>
      <c r="BH1112">
        <f>IFERROR(INDEX(PP_Grid[#Data],$DD1112,58),0)</f>
        <v/>
      </c>
      <c r="BI1112">
        <f>IFERROR(INDEX(PP_Grid[#Data],$DD1112,59),0)</f>
        <v/>
      </c>
      <c r="BJ1112">
        <f>IFERROR(INDEX(PP_Grid[#Data],$DD1112,60),0)</f>
        <v/>
      </c>
      <c r="BK1112">
        <f>IFERROR(INDEX(PP_Grid[#Data],$DD1112,61),0)</f>
        <v/>
      </c>
      <c r="BL1112">
        <f>IFERROR(INDEX(PP_Grid[#Data],$DD1112,62),0)</f>
        <v/>
      </c>
      <c r="BM1112">
        <f>IFERROR(INDEX(PP_Grid[#Data],$DD1112,63),0)</f>
        <v/>
      </c>
      <c r="BN1112">
        <f>IFERROR(INDEX(PP_Grid[#Data],$DD1112,64),0)</f>
        <v/>
      </c>
      <c r="BO1112">
        <f>IFERROR(INDEX(PP_Grid[#Data],$DD1112,65),0)</f>
        <v/>
      </c>
      <c r="BP1112">
        <f>IFERROR(INDEX(PP_Grid[#Data],$DD1112,66),0)</f>
        <v/>
      </c>
      <c r="BQ1112">
        <f>IFERROR(INDEX(PP_Grid[#Data],$DD1112,67),0)</f>
        <v/>
      </c>
      <c r="BR1112">
        <f>IFERROR(INDEX(PP_Grid[#Data],$DD1112,68),0)</f>
        <v/>
      </c>
      <c r="BS1112">
        <f>IFERROR(INDEX(PP_Grid[#Data],$DD1112,69),0)</f>
        <v/>
      </c>
      <c r="BT1112">
        <f>IFERROR(INDEX(PP_Grid[#Data],$DD1112,70),0)</f>
        <v/>
      </c>
      <c r="BU1112">
        <f>IFERROR(INDEX(PP_Grid[#Data],$DD1112,71),0)</f>
        <v/>
      </c>
      <c r="BV1112">
        <f>IFERROR(INDEX(PP_Grid[#Data],$DD1112,72),0)</f>
        <v/>
      </c>
      <c r="BW1112">
        <f>IFERROR(INDEX(PP_Grid[#Data],$DD1112,73),0)</f>
        <v/>
      </c>
      <c r="BX1112">
        <f>IFERROR(INDEX(PP_Grid[#Data],$DD1112,74),0)</f>
        <v/>
      </c>
      <c r="BY1112">
        <f>IFERROR(INDEX(PP_Grid[#Data],$DD1112,75),0)</f>
        <v/>
      </c>
      <c r="BZ1112">
        <f>IFERROR(INDEX(PP_Grid[#Data],$DD1112,76),0)</f>
        <v/>
      </c>
      <c r="CA1112">
        <f>IFERROR(INDEX(PP_Grid[#Data],$DD1112,77),0)</f>
        <v/>
      </c>
      <c r="CB1112">
        <f>IFERROR(INDEX(PP_Grid[#Data],$DD1112,78),0)</f>
        <v/>
      </c>
      <c r="CC1112">
        <f>IFERROR(INDEX(PP_Grid[#Data],$DD1112,79),0)</f>
        <v/>
      </c>
      <c r="CD1112">
        <f>IFERROR(INDEX(PP_Grid[#Data],$DD1112,80),0)</f>
        <v/>
      </c>
      <c r="CE1112">
        <f>IFERROR(INDEX(PP_Grid[#Data],$DD1112,81),0)</f>
        <v/>
      </c>
      <c r="CF1112">
        <f>IFERROR(INDEX(PP_Grid[#Data],$DD1112,82),0)</f>
        <v/>
      </c>
      <c r="CG1112">
        <f>IFERROR(INDEX(PP_Grid[#Data],$DD1112,83),0)</f>
        <v/>
      </c>
      <c r="CH1112">
        <f>IFERROR(INDEX(PP_Grid[#Data],$DD1112,84),0)</f>
        <v/>
      </c>
      <c r="CI1112">
        <f>IFERROR(INDEX(PP_Grid[#Data],$DD1112,85),0)</f>
        <v/>
      </c>
      <c r="CJ1112">
        <f>IFERROR(INDEX(PP_Grid[#Data],$DD1112,86),0)</f>
        <v/>
      </c>
      <c r="CK1112">
        <f>IFERROR(INDEX(PP_Grid[#Data],$DD1112,87),0)</f>
        <v/>
      </c>
      <c r="CL1112">
        <f>IFERROR(INDEX(PP_Grid[#Data],$DD1112,88),0)</f>
        <v/>
      </c>
      <c r="CM1112">
        <f>IFERROR(INDEX(PP_Grid[#Data],$DD1112,89),0)</f>
        <v/>
      </c>
      <c r="CN1112">
        <f>IFERROR(INDEX(PP_Grid[#Data],$DD1112,90),0)</f>
        <v/>
      </c>
      <c r="CO1112">
        <f>IFERROR(INDEX(PP_Grid[#Data],$DD1112,91),0)</f>
        <v/>
      </c>
      <c r="CP1112">
        <f>IFERROR(INDEX(PP_Grid[#Data],$DD1112,92),0)</f>
        <v/>
      </c>
      <c r="CQ1112">
        <f>IFERROR(INDEX(PP_Grid[#Data],$DD1112,93),0)</f>
        <v/>
      </c>
      <c r="CR1112">
        <f>IFERROR(INDEX(PP_Grid[#Data],$DD1112,94),0)</f>
        <v/>
      </c>
      <c r="CS1112">
        <f>IFERROR(INDEX(PP_Grid[#Data],$DD1112,95),0)</f>
        <v/>
      </c>
      <c r="CT1112">
        <f>IFERROR(INDEX(PP_Grid[#Data],$DD1112,96),0)</f>
        <v/>
      </c>
      <c r="CU1112">
        <f>IFERROR(INDEX(PP_Grid[#Data],$DD1112,97),0)</f>
        <v/>
      </c>
      <c r="CV1112">
        <f>IFERROR(INDEX(PP_Grid[#Data],$DD1112,98),0)</f>
        <v/>
      </c>
      <c r="CW1112">
        <f>IFERROR(INDEX(PP_Grid[#Data],$DD1112,99),0)</f>
        <v/>
      </c>
      <c r="CX1112">
        <f>IFERROR(INDEX(PP_Grid[#Data],$DD1112,100),0)</f>
        <v/>
      </c>
      <c r="CY1112">
        <f>IFERROR(INDEX(PP_Grid[#Data],$DD1112,101),0)</f>
        <v/>
      </c>
      <c r="CZ1112">
        <f>IFERROR(INDEX(PP_Grid[#Data],$DD1112,102),0)</f>
        <v/>
      </c>
      <c r="DA1112">
        <f>IFERROR(INDEX(PP_Grid[#Data],$DD1112,103),0)</f>
        <v/>
      </c>
      <c r="DB1112">
        <f>IFERROR(INDEX(PP_Grid[#Data],$DD1112,104),0)</f>
        <v/>
      </c>
      <c r="DC1112">
        <f>IFERROR(INDEX(PP_Grid[#Data],$DD1112,105),0)</f>
        <v/>
      </c>
      <c r="DD1112" s="7">
        <f>IFERROR(MATCH($B1112,PP_Grid[Intermediate],0),99999)</f>
        <v/>
      </c>
    </row>
    <row r="1113">
      <c r="B1113" t="inlineStr">
        <is>
          <t>使用量(kg)</t>
        </is>
      </c>
      <c r="C1113">
        <f>SUMIFS(M_BOM[RM_Qty_Per_Batch],M_BOM[Intermediate],$B1112,M_BOM[Part Name],$A1099)</f>
        <v/>
      </c>
      <c r="D1113">
        <f>$C1113*D1112</f>
        <v/>
      </c>
      <c r="E1113">
        <f>$C1113*E1112</f>
        <v/>
      </c>
      <c r="F1113">
        <f>$C1113*F1112</f>
        <v/>
      </c>
      <c r="G1113">
        <f>$C1113*G1112</f>
        <v/>
      </c>
      <c r="H1113">
        <f>$C1113*H1112</f>
        <v/>
      </c>
      <c r="I1113">
        <f>$C1113*I1112</f>
        <v/>
      </c>
      <c r="J1113">
        <f>$C1113*J1112</f>
        <v/>
      </c>
      <c r="K1113">
        <f>$C1113*K1112</f>
        <v/>
      </c>
      <c r="L1113">
        <f>$C1113*L1112</f>
        <v/>
      </c>
      <c r="M1113">
        <f>$C1113*M1112</f>
        <v/>
      </c>
      <c r="N1113">
        <f>$C1113*N1112</f>
        <v/>
      </c>
      <c r="O1113">
        <f>$C1113*O1112</f>
        <v/>
      </c>
      <c r="P1113">
        <f>$C1113*P1112</f>
        <v/>
      </c>
      <c r="Q1113">
        <f>$C1113*Q1112</f>
        <v/>
      </c>
      <c r="R1113">
        <f>$C1113*R1112</f>
        <v/>
      </c>
      <c r="S1113">
        <f>$C1113*S1112</f>
        <v/>
      </c>
      <c r="T1113">
        <f>$C1113*T1112</f>
        <v/>
      </c>
      <c r="U1113">
        <f>$C1113*U1112</f>
        <v/>
      </c>
      <c r="V1113">
        <f>$C1113*V1112</f>
        <v/>
      </c>
      <c r="W1113">
        <f>$C1113*W1112</f>
        <v/>
      </c>
      <c r="X1113">
        <f>$C1113*X1112</f>
        <v/>
      </c>
      <c r="Y1113">
        <f>$C1113*Y1112</f>
        <v/>
      </c>
      <c r="Z1113">
        <f>$C1113*Z1112</f>
        <v/>
      </c>
      <c r="AA1113">
        <f>$C1113*AA1112</f>
        <v/>
      </c>
      <c r="AB1113">
        <f>$C1113*AB1112</f>
        <v/>
      </c>
      <c r="AC1113">
        <f>$C1113*AC1112</f>
        <v/>
      </c>
      <c r="AD1113">
        <f>$C1113*AD1112</f>
        <v/>
      </c>
      <c r="AE1113">
        <f>$C1113*AE1112</f>
        <v/>
      </c>
      <c r="AF1113">
        <f>$C1113*AF1112</f>
        <v/>
      </c>
      <c r="AG1113">
        <f>$C1113*AG1112</f>
        <v/>
      </c>
      <c r="AH1113">
        <f>$C1113*AH1112</f>
        <v/>
      </c>
      <c r="AI1113">
        <f>$C1113*AI1112</f>
        <v/>
      </c>
      <c r="AJ1113">
        <f>$C1113*AJ1112</f>
        <v/>
      </c>
      <c r="AK1113">
        <f>$C1113*AK1112</f>
        <v/>
      </c>
      <c r="AL1113">
        <f>$C1113*AL1112</f>
        <v/>
      </c>
      <c r="AM1113">
        <f>$C1113*AM1112</f>
        <v/>
      </c>
      <c r="AN1113">
        <f>$C1113*AN1112</f>
        <v/>
      </c>
      <c r="AO1113">
        <f>$C1113*AO1112</f>
        <v/>
      </c>
      <c r="AP1113">
        <f>$C1113*AP1112</f>
        <v/>
      </c>
      <c r="AQ1113">
        <f>$C1113*AQ1112</f>
        <v/>
      </c>
      <c r="AR1113">
        <f>$C1113*AR1112</f>
        <v/>
      </c>
      <c r="AS1113">
        <f>$C1113*AS1112</f>
        <v/>
      </c>
      <c r="AT1113">
        <f>$C1113*AT1112</f>
        <v/>
      </c>
      <c r="AU1113">
        <f>$C1113*AU1112</f>
        <v/>
      </c>
      <c r="AV1113">
        <f>$C1113*AV1112</f>
        <v/>
      </c>
      <c r="AW1113">
        <f>$C1113*AW1112</f>
        <v/>
      </c>
      <c r="AX1113">
        <f>$C1113*AX1112</f>
        <v/>
      </c>
      <c r="AY1113">
        <f>$C1113*AY1112</f>
        <v/>
      </c>
      <c r="AZ1113">
        <f>$C1113*AZ1112</f>
        <v/>
      </c>
      <c r="BA1113">
        <f>$C1113*BA1112</f>
        <v/>
      </c>
      <c r="BB1113">
        <f>$C1113*BB1112</f>
        <v/>
      </c>
      <c r="BC1113">
        <f>$C1113*BC1112</f>
        <v/>
      </c>
      <c r="BD1113">
        <f>$C1113*BD1112</f>
        <v/>
      </c>
      <c r="BE1113">
        <f>$C1113*BE1112</f>
        <v/>
      </c>
      <c r="BF1113">
        <f>$C1113*BF1112</f>
        <v/>
      </c>
      <c r="BG1113">
        <f>$C1113*BG1112</f>
        <v/>
      </c>
      <c r="BH1113">
        <f>$C1113*BH1112</f>
        <v/>
      </c>
      <c r="BI1113">
        <f>$C1113*BI1112</f>
        <v/>
      </c>
      <c r="BJ1113">
        <f>$C1113*BJ1112</f>
        <v/>
      </c>
      <c r="BK1113">
        <f>$C1113*BK1112</f>
        <v/>
      </c>
      <c r="BL1113">
        <f>$C1113*BL1112</f>
        <v/>
      </c>
      <c r="BM1113">
        <f>$C1113*BM1112</f>
        <v/>
      </c>
      <c r="BN1113">
        <f>$C1113*BN1112</f>
        <v/>
      </c>
      <c r="BO1113">
        <f>$C1113*BO1112</f>
        <v/>
      </c>
      <c r="BP1113">
        <f>$C1113*BP1112</f>
        <v/>
      </c>
      <c r="BQ1113">
        <f>$C1113*BQ1112</f>
        <v/>
      </c>
      <c r="BR1113">
        <f>$C1113*BR1112</f>
        <v/>
      </c>
      <c r="BS1113">
        <f>$C1113*BS1112</f>
        <v/>
      </c>
      <c r="BT1113">
        <f>$C1113*BT1112</f>
        <v/>
      </c>
      <c r="BU1113">
        <f>$C1113*BU1112</f>
        <v/>
      </c>
      <c r="BV1113">
        <f>$C1113*BV1112</f>
        <v/>
      </c>
      <c r="BW1113">
        <f>$C1113*BW1112</f>
        <v/>
      </c>
      <c r="BX1113">
        <f>$C1113*BX1112</f>
        <v/>
      </c>
      <c r="BY1113">
        <f>$C1113*BY1112</f>
        <v/>
      </c>
      <c r="BZ1113">
        <f>$C1113*BZ1112</f>
        <v/>
      </c>
      <c r="CA1113">
        <f>$C1113*CA1112</f>
        <v/>
      </c>
      <c r="CB1113">
        <f>$C1113*CB1112</f>
        <v/>
      </c>
      <c r="CC1113">
        <f>$C1113*CC1112</f>
        <v/>
      </c>
      <c r="CD1113">
        <f>$C1113*CD1112</f>
        <v/>
      </c>
      <c r="CE1113">
        <f>$C1113*CE1112</f>
        <v/>
      </c>
      <c r="CF1113">
        <f>$C1113*CF1112</f>
        <v/>
      </c>
      <c r="CG1113">
        <f>$C1113*CG1112</f>
        <v/>
      </c>
      <c r="CH1113">
        <f>$C1113*CH1112</f>
        <v/>
      </c>
      <c r="CI1113">
        <f>$C1113*CI1112</f>
        <v/>
      </c>
      <c r="CJ1113">
        <f>$C1113*CJ1112</f>
        <v/>
      </c>
      <c r="CK1113">
        <f>$C1113*CK1112</f>
        <v/>
      </c>
      <c r="CL1113">
        <f>$C1113*CL1112</f>
        <v/>
      </c>
      <c r="CM1113">
        <f>$C1113*CM1112</f>
        <v/>
      </c>
      <c r="CN1113">
        <f>$C1113*CN1112</f>
        <v/>
      </c>
      <c r="CO1113">
        <f>$C1113*CO1112</f>
        <v/>
      </c>
      <c r="CP1113">
        <f>$C1113*CP1112</f>
        <v/>
      </c>
      <c r="CQ1113">
        <f>$C1113*CQ1112</f>
        <v/>
      </c>
      <c r="CR1113">
        <f>$C1113*CR1112</f>
        <v/>
      </c>
      <c r="CS1113">
        <f>$C1113*CS1112</f>
        <v/>
      </c>
      <c r="CT1113">
        <f>$C1113*CT1112</f>
        <v/>
      </c>
      <c r="CU1113">
        <f>$C1113*CU1112</f>
        <v/>
      </c>
      <c r="CV1113">
        <f>$C1113*CV1112</f>
        <v/>
      </c>
      <c r="CW1113">
        <f>$C1113*CW1112</f>
        <v/>
      </c>
      <c r="CX1113">
        <f>$C1113*CX1112</f>
        <v/>
      </c>
      <c r="CY1113">
        <f>$C1113*CY1112</f>
        <v/>
      </c>
      <c r="CZ1113">
        <f>$C1113*CZ1112</f>
        <v/>
      </c>
      <c r="DA1113">
        <f>$C1113*DA1112</f>
        <v/>
      </c>
      <c r="DB1113">
        <f>$C1113*DB1112</f>
        <v/>
      </c>
      <c r="DC1113">
        <f>$C1113*DC1112</f>
        <v/>
      </c>
    </row>
    <row r="1114">
      <c r="B1114" t="inlineStr">
        <is>
          <t>TSP-1558</t>
        </is>
      </c>
      <c r="C1114" t="inlineStr">
        <is>
          <t>No. of batches</t>
        </is>
      </c>
      <c r="D1114">
        <f>IFERROR(INDEX(PP_Grid[#Data],$DD1114,2),0)</f>
        <v/>
      </c>
      <c r="E1114">
        <f>IFERROR(INDEX(PP_Grid[#Data],$DD1114,3),0)</f>
        <v/>
      </c>
      <c r="F1114">
        <f>IFERROR(INDEX(PP_Grid[#Data],$DD1114,4),0)</f>
        <v/>
      </c>
      <c r="G1114">
        <f>IFERROR(INDEX(PP_Grid[#Data],$DD1114,5),0)</f>
        <v/>
      </c>
      <c r="H1114">
        <f>IFERROR(INDEX(PP_Grid[#Data],$DD1114,6),0)</f>
        <v/>
      </c>
      <c r="I1114">
        <f>IFERROR(INDEX(PP_Grid[#Data],$DD1114,7),0)</f>
        <v/>
      </c>
      <c r="J1114">
        <f>IFERROR(INDEX(PP_Grid[#Data],$DD1114,8),0)</f>
        <v/>
      </c>
      <c r="K1114">
        <f>IFERROR(INDEX(PP_Grid[#Data],$DD1114,9),0)</f>
        <v/>
      </c>
      <c r="L1114">
        <f>IFERROR(INDEX(PP_Grid[#Data],$DD1114,10),0)</f>
        <v/>
      </c>
      <c r="M1114">
        <f>IFERROR(INDEX(PP_Grid[#Data],$DD1114,11),0)</f>
        <v/>
      </c>
      <c r="N1114">
        <f>IFERROR(INDEX(PP_Grid[#Data],$DD1114,12),0)</f>
        <v/>
      </c>
      <c r="O1114">
        <f>IFERROR(INDEX(PP_Grid[#Data],$DD1114,13),0)</f>
        <v/>
      </c>
      <c r="P1114">
        <f>IFERROR(INDEX(PP_Grid[#Data],$DD1114,14),0)</f>
        <v/>
      </c>
      <c r="Q1114">
        <f>IFERROR(INDEX(PP_Grid[#Data],$DD1114,15),0)</f>
        <v/>
      </c>
      <c r="R1114">
        <f>IFERROR(INDEX(PP_Grid[#Data],$DD1114,16),0)</f>
        <v/>
      </c>
      <c r="S1114">
        <f>IFERROR(INDEX(PP_Grid[#Data],$DD1114,17),0)</f>
        <v/>
      </c>
      <c r="T1114">
        <f>IFERROR(INDEX(PP_Grid[#Data],$DD1114,18),0)</f>
        <v/>
      </c>
      <c r="U1114">
        <f>IFERROR(INDEX(PP_Grid[#Data],$DD1114,19),0)</f>
        <v/>
      </c>
      <c r="V1114">
        <f>IFERROR(INDEX(PP_Grid[#Data],$DD1114,20),0)</f>
        <v/>
      </c>
      <c r="W1114">
        <f>IFERROR(INDEX(PP_Grid[#Data],$DD1114,21),0)</f>
        <v/>
      </c>
      <c r="X1114">
        <f>IFERROR(INDEX(PP_Grid[#Data],$DD1114,22),0)</f>
        <v/>
      </c>
      <c r="Y1114">
        <f>IFERROR(INDEX(PP_Grid[#Data],$DD1114,23),0)</f>
        <v/>
      </c>
      <c r="Z1114">
        <f>IFERROR(INDEX(PP_Grid[#Data],$DD1114,24),0)</f>
        <v/>
      </c>
      <c r="AA1114">
        <f>IFERROR(INDEX(PP_Grid[#Data],$DD1114,25),0)</f>
        <v/>
      </c>
      <c r="AB1114">
        <f>IFERROR(INDEX(PP_Grid[#Data],$DD1114,26),0)</f>
        <v/>
      </c>
      <c r="AC1114">
        <f>IFERROR(INDEX(PP_Grid[#Data],$DD1114,27),0)</f>
        <v/>
      </c>
      <c r="AD1114">
        <f>IFERROR(INDEX(PP_Grid[#Data],$DD1114,28),0)</f>
        <v/>
      </c>
      <c r="AE1114">
        <f>IFERROR(INDEX(PP_Grid[#Data],$DD1114,29),0)</f>
        <v/>
      </c>
      <c r="AF1114">
        <f>IFERROR(INDEX(PP_Grid[#Data],$DD1114,30),0)</f>
        <v/>
      </c>
      <c r="AG1114">
        <f>IFERROR(INDEX(PP_Grid[#Data],$DD1114,31),0)</f>
        <v/>
      </c>
      <c r="AH1114">
        <f>IFERROR(INDEX(PP_Grid[#Data],$DD1114,32),0)</f>
        <v/>
      </c>
      <c r="AI1114">
        <f>IFERROR(INDEX(PP_Grid[#Data],$DD1114,33),0)</f>
        <v/>
      </c>
      <c r="AJ1114">
        <f>IFERROR(INDEX(PP_Grid[#Data],$DD1114,34),0)</f>
        <v/>
      </c>
      <c r="AK1114">
        <f>IFERROR(INDEX(PP_Grid[#Data],$DD1114,35),0)</f>
        <v/>
      </c>
      <c r="AL1114">
        <f>IFERROR(INDEX(PP_Grid[#Data],$DD1114,36),0)</f>
        <v/>
      </c>
      <c r="AM1114">
        <f>IFERROR(INDEX(PP_Grid[#Data],$DD1114,37),0)</f>
        <v/>
      </c>
      <c r="AN1114">
        <f>IFERROR(INDEX(PP_Grid[#Data],$DD1114,38),0)</f>
        <v/>
      </c>
      <c r="AO1114">
        <f>IFERROR(INDEX(PP_Grid[#Data],$DD1114,39),0)</f>
        <v/>
      </c>
      <c r="AP1114">
        <f>IFERROR(INDEX(PP_Grid[#Data],$DD1114,40),0)</f>
        <v/>
      </c>
      <c r="AQ1114">
        <f>IFERROR(INDEX(PP_Grid[#Data],$DD1114,41),0)</f>
        <v/>
      </c>
      <c r="AR1114">
        <f>IFERROR(INDEX(PP_Grid[#Data],$DD1114,42),0)</f>
        <v/>
      </c>
      <c r="AS1114">
        <f>IFERROR(INDEX(PP_Grid[#Data],$DD1114,43),0)</f>
        <v/>
      </c>
      <c r="AT1114">
        <f>IFERROR(INDEX(PP_Grid[#Data],$DD1114,44),0)</f>
        <v/>
      </c>
      <c r="AU1114">
        <f>IFERROR(INDEX(PP_Grid[#Data],$DD1114,45),0)</f>
        <v/>
      </c>
      <c r="AV1114">
        <f>IFERROR(INDEX(PP_Grid[#Data],$DD1114,46),0)</f>
        <v/>
      </c>
      <c r="AW1114">
        <f>IFERROR(INDEX(PP_Grid[#Data],$DD1114,47),0)</f>
        <v/>
      </c>
      <c r="AX1114">
        <f>IFERROR(INDEX(PP_Grid[#Data],$DD1114,48),0)</f>
        <v/>
      </c>
      <c r="AY1114">
        <f>IFERROR(INDEX(PP_Grid[#Data],$DD1114,49),0)</f>
        <v/>
      </c>
      <c r="AZ1114">
        <f>IFERROR(INDEX(PP_Grid[#Data],$DD1114,50),0)</f>
        <v/>
      </c>
      <c r="BA1114">
        <f>IFERROR(INDEX(PP_Grid[#Data],$DD1114,51),0)</f>
        <v/>
      </c>
      <c r="BB1114">
        <f>IFERROR(INDEX(PP_Grid[#Data],$DD1114,52),0)</f>
        <v/>
      </c>
      <c r="BC1114">
        <f>IFERROR(INDEX(PP_Grid[#Data],$DD1114,53),0)</f>
        <v/>
      </c>
      <c r="BD1114">
        <f>IFERROR(INDEX(PP_Grid[#Data],$DD1114,54),0)</f>
        <v/>
      </c>
      <c r="BE1114">
        <f>IFERROR(INDEX(PP_Grid[#Data],$DD1114,55),0)</f>
        <v/>
      </c>
      <c r="BF1114">
        <f>IFERROR(INDEX(PP_Grid[#Data],$DD1114,56),0)</f>
        <v/>
      </c>
      <c r="BG1114">
        <f>IFERROR(INDEX(PP_Grid[#Data],$DD1114,57),0)</f>
        <v/>
      </c>
      <c r="BH1114">
        <f>IFERROR(INDEX(PP_Grid[#Data],$DD1114,58),0)</f>
        <v/>
      </c>
      <c r="BI1114">
        <f>IFERROR(INDEX(PP_Grid[#Data],$DD1114,59),0)</f>
        <v/>
      </c>
      <c r="BJ1114">
        <f>IFERROR(INDEX(PP_Grid[#Data],$DD1114,60),0)</f>
        <v/>
      </c>
      <c r="BK1114">
        <f>IFERROR(INDEX(PP_Grid[#Data],$DD1114,61),0)</f>
        <v/>
      </c>
      <c r="BL1114">
        <f>IFERROR(INDEX(PP_Grid[#Data],$DD1114,62),0)</f>
        <v/>
      </c>
      <c r="BM1114">
        <f>IFERROR(INDEX(PP_Grid[#Data],$DD1114,63),0)</f>
        <v/>
      </c>
      <c r="BN1114">
        <f>IFERROR(INDEX(PP_Grid[#Data],$DD1114,64),0)</f>
        <v/>
      </c>
      <c r="BO1114">
        <f>IFERROR(INDEX(PP_Grid[#Data],$DD1114,65),0)</f>
        <v/>
      </c>
      <c r="BP1114">
        <f>IFERROR(INDEX(PP_Grid[#Data],$DD1114,66),0)</f>
        <v/>
      </c>
      <c r="BQ1114">
        <f>IFERROR(INDEX(PP_Grid[#Data],$DD1114,67),0)</f>
        <v/>
      </c>
      <c r="BR1114">
        <f>IFERROR(INDEX(PP_Grid[#Data],$DD1114,68),0)</f>
        <v/>
      </c>
      <c r="BS1114">
        <f>IFERROR(INDEX(PP_Grid[#Data],$DD1114,69),0)</f>
        <v/>
      </c>
      <c r="BT1114">
        <f>IFERROR(INDEX(PP_Grid[#Data],$DD1114,70),0)</f>
        <v/>
      </c>
      <c r="BU1114">
        <f>IFERROR(INDEX(PP_Grid[#Data],$DD1114,71),0)</f>
        <v/>
      </c>
      <c r="BV1114">
        <f>IFERROR(INDEX(PP_Grid[#Data],$DD1114,72),0)</f>
        <v/>
      </c>
      <c r="BW1114">
        <f>IFERROR(INDEX(PP_Grid[#Data],$DD1114,73),0)</f>
        <v/>
      </c>
      <c r="BX1114">
        <f>IFERROR(INDEX(PP_Grid[#Data],$DD1114,74),0)</f>
        <v/>
      </c>
      <c r="BY1114">
        <f>IFERROR(INDEX(PP_Grid[#Data],$DD1114,75),0)</f>
        <v/>
      </c>
      <c r="BZ1114">
        <f>IFERROR(INDEX(PP_Grid[#Data],$DD1114,76),0)</f>
        <v/>
      </c>
      <c r="CA1114">
        <f>IFERROR(INDEX(PP_Grid[#Data],$DD1114,77),0)</f>
        <v/>
      </c>
      <c r="CB1114">
        <f>IFERROR(INDEX(PP_Grid[#Data],$DD1114,78),0)</f>
        <v/>
      </c>
      <c r="CC1114">
        <f>IFERROR(INDEX(PP_Grid[#Data],$DD1114,79),0)</f>
        <v/>
      </c>
      <c r="CD1114">
        <f>IFERROR(INDEX(PP_Grid[#Data],$DD1114,80),0)</f>
        <v/>
      </c>
      <c r="CE1114">
        <f>IFERROR(INDEX(PP_Grid[#Data],$DD1114,81),0)</f>
        <v/>
      </c>
      <c r="CF1114">
        <f>IFERROR(INDEX(PP_Grid[#Data],$DD1114,82),0)</f>
        <v/>
      </c>
      <c r="CG1114">
        <f>IFERROR(INDEX(PP_Grid[#Data],$DD1114,83),0)</f>
        <v/>
      </c>
      <c r="CH1114">
        <f>IFERROR(INDEX(PP_Grid[#Data],$DD1114,84),0)</f>
        <v/>
      </c>
      <c r="CI1114">
        <f>IFERROR(INDEX(PP_Grid[#Data],$DD1114,85),0)</f>
        <v/>
      </c>
      <c r="CJ1114">
        <f>IFERROR(INDEX(PP_Grid[#Data],$DD1114,86),0)</f>
        <v/>
      </c>
      <c r="CK1114">
        <f>IFERROR(INDEX(PP_Grid[#Data],$DD1114,87),0)</f>
        <v/>
      </c>
      <c r="CL1114">
        <f>IFERROR(INDEX(PP_Grid[#Data],$DD1114,88),0)</f>
        <v/>
      </c>
      <c r="CM1114">
        <f>IFERROR(INDEX(PP_Grid[#Data],$DD1114,89),0)</f>
        <v/>
      </c>
      <c r="CN1114">
        <f>IFERROR(INDEX(PP_Grid[#Data],$DD1114,90),0)</f>
        <v/>
      </c>
      <c r="CO1114">
        <f>IFERROR(INDEX(PP_Grid[#Data],$DD1114,91),0)</f>
        <v/>
      </c>
      <c r="CP1114">
        <f>IFERROR(INDEX(PP_Grid[#Data],$DD1114,92),0)</f>
        <v/>
      </c>
      <c r="CQ1114">
        <f>IFERROR(INDEX(PP_Grid[#Data],$DD1114,93),0)</f>
        <v/>
      </c>
      <c r="CR1114">
        <f>IFERROR(INDEX(PP_Grid[#Data],$DD1114,94),0)</f>
        <v/>
      </c>
      <c r="CS1114">
        <f>IFERROR(INDEX(PP_Grid[#Data],$DD1114,95),0)</f>
        <v/>
      </c>
      <c r="CT1114">
        <f>IFERROR(INDEX(PP_Grid[#Data],$DD1114,96),0)</f>
        <v/>
      </c>
      <c r="CU1114">
        <f>IFERROR(INDEX(PP_Grid[#Data],$DD1114,97),0)</f>
        <v/>
      </c>
      <c r="CV1114">
        <f>IFERROR(INDEX(PP_Grid[#Data],$DD1114,98),0)</f>
        <v/>
      </c>
      <c r="CW1114">
        <f>IFERROR(INDEX(PP_Grid[#Data],$DD1114,99),0)</f>
        <v/>
      </c>
      <c r="CX1114">
        <f>IFERROR(INDEX(PP_Grid[#Data],$DD1114,100),0)</f>
        <v/>
      </c>
      <c r="CY1114">
        <f>IFERROR(INDEX(PP_Grid[#Data],$DD1114,101),0)</f>
        <v/>
      </c>
      <c r="CZ1114">
        <f>IFERROR(INDEX(PP_Grid[#Data],$DD1114,102),0)</f>
        <v/>
      </c>
      <c r="DA1114">
        <f>IFERROR(INDEX(PP_Grid[#Data],$DD1114,103),0)</f>
        <v/>
      </c>
      <c r="DB1114">
        <f>IFERROR(INDEX(PP_Grid[#Data],$DD1114,104),0)</f>
        <v/>
      </c>
      <c r="DC1114">
        <f>IFERROR(INDEX(PP_Grid[#Data],$DD1114,105),0)</f>
        <v/>
      </c>
      <c r="DD1114" s="7">
        <f>IFERROR(MATCH($B1114,PP_Grid[Intermediate],0),99999)</f>
        <v/>
      </c>
    </row>
    <row r="1115">
      <c r="B1115" t="inlineStr">
        <is>
          <t>使用量(kg)</t>
        </is>
      </c>
      <c r="C1115">
        <f>SUMIFS(M_BOM[RM_Qty_Per_Batch],M_BOM[Intermediate],$B1114,M_BOM[Part Name],$A1099)</f>
        <v/>
      </c>
      <c r="D1115">
        <f>$C1115*D1114</f>
        <v/>
      </c>
      <c r="E1115">
        <f>$C1115*E1114</f>
        <v/>
      </c>
      <c r="F1115">
        <f>$C1115*F1114</f>
        <v/>
      </c>
      <c r="G1115">
        <f>$C1115*G1114</f>
        <v/>
      </c>
      <c r="H1115">
        <f>$C1115*H1114</f>
        <v/>
      </c>
      <c r="I1115">
        <f>$C1115*I1114</f>
        <v/>
      </c>
      <c r="J1115">
        <f>$C1115*J1114</f>
        <v/>
      </c>
      <c r="K1115">
        <f>$C1115*K1114</f>
        <v/>
      </c>
      <c r="L1115">
        <f>$C1115*L1114</f>
        <v/>
      </c>
      <c r="M1115">
        <f>$C1115*M1114</f>
        <v/>
      </c>
      <c r="N1115">
        <f>$C1115*N1114</f>
        <v/>
      </c>
      <c r="O1115">
        <f>$C1115*O1114</f>
        <v/>
      </c>
      <c r="P1115">
        <f>$C1115*P1114</f>
        <v/>
      </c>
      <c r="Q1115">
        <f>$C1115*Q1114</f>
        <v/>
      </c>
      <c r="R1115">
        <f>$C1115*R1114</f>
        <v/>
      </c>
      <c r="S1115">
        <f>$C1115*S1114</f>
        <v/>
      </c>
      <c r="T1115">
        <f>$C1115*T1114</f>
        <v/>
      </c>
      <c r="U1115">
        <f>$C1115*U1114</f>
        <v/>
      </c>
      <c r="V1115">
        <f>$C1115*V1114</f>
        <v/>
      </c>
      <c r="W1115">
        <f>$C1115*W1114</f>
        <v/>
      </c>
      <c r="X1115">
        <f>$C1115*X1114</f>
        <v/>
      </c>
      <c r="Y1115">
        <f>$C1115*Y1114</f>
        <v/>
      </c>
      <c r="Z1115">
        <f>$C1115*Z1114</f>
        <v/>
      </c>
      <c r="AA1115">
        <f>$C1115*AA1114</f>
        <v/>
      </c>
      <c r="AB1115">
        <f>$C1115*AB1114</f>
        <v/>
      </c>
      <c r="AC1115">
        <f>$C1115*AC1114</f>
        <v/>
      </c>
      <c r="AD1115">
        <f>$C1115*AD1114</f>
        <v/>
      </c>
      <c r="AE1115">
        <f>$C1115*AE1114</f>
        <v/>
      </c>
      <c r="AF1115">
        <f>$C1115*AF1114</f>
        <v/>
      </c>
      <c r="AG1115">
        <f>$C1115*AG1114</f>
        <v/>
      </c>
      <c r="AH1115">
        <f>$C1115*AH1114</f>
        <v/>
      </c>
      <c r="AI1115">
        <f>$C1115*AI1114</f>
        <v/>
      </c>
      <c r="AJ1115">
        <f>$C1115*AJ1114</f>
        <v/>
      </c>
      <c r="AK1115">
        <f>$C1115*AK1114</f>
        <v/>
      </c>
      <c r="AL1115">
        <f>$C1115*AL1114</f>
        <v/>
      </c>
      <c r="AM1115">
        <f>$C1115*AM1114</f>
        <v/>
      </c>
      <c r="AN1115">
        <f>$C1115*AN1114</f>
        <v/>
      </c>
      <c r="AO1115">
        <f>$C1115*AO1114</f>
        <v/>
      </c>
      <c r="AP1115">
        <f>$C1115*AP1114</f>
        <v/>
      </c>
      <c r="AQ1115">
        <f>$C1115*AQ1114</f>
        <v/>
      </c>
      <c r="AR1115">
        <f>$C1115*AR1114</f>
        <v/>
      </c>
      <c r="AS1115">
        <f>$C1115*AS1114</f>
        <v/>
      </c>
      <c r="AT1115">
        <f>$C1115*AT1114</f>
        <v/>
      </c>
      <c r="AU1115">
        <f>$C1115*AU1114</f>
        <v/>
      </c>
      <c r="AV1115">
        <f>$C1115*AV1114</f>
        <v/>
      </c>
      <c r="AW1115">
        <f>$C1115*AW1114</f>
        <v/>
      </c>
      <c r="AX1115">
        <f>$C1115*AX1114</f>
        <v/>
      </c>
      <c r="AY1115">
        <f>$C1115*AY1114</f>
        <v/>
      </c>
      <c r="AZ1115">
        <f>$C1115*AZ1114</f>
        <v/>
      </c>
      <c r="BA1115">
        <f>$C1115*BA1114</f>
        <v/>
      </c>
      <c r="BB1115">
        <f>$C1115*BB1114</f>
        <v/>
      </c>
      <c r="BC1115">
        <f>$C1115*BC1114</f>
        <v/>
      </c>
      <c r="BD1115">
        <f>$C1115*BD1114</f>
        <v/>
      </c>
      <c r="BE1115">
        <f>$C1115*BE1114</f>
        <v/>
      </c>
      <c r="BF1115">
        <f>$C1115*BF1114</f>
        <v/>
      </c>
      <c r="BG1115">
        <f>$C1115*BG1114</f>
        <v/>
      </c>
      <c r="BH1115">
        <f>$C1115*BH1114</f>
        <v/>
      </c>
      <c r="BI1115">
        <f>$C1115*BI1114</f>
        <v/>
      </c>
      <c r="BJ1115">
        <f>$C1115*BJ1114</f>
        <v/>
      </c>
      <c r="BK1115">
        <f>$C1115*BK1114</f>
        <v/>
      </c>
      <c r="BL1115">
        <f>$C1115*BL1114</f>
        <v/>
      </c>
      <c r="BM1115">
        <f>$C1115*BM1114</f>
        <v/>
      </c>
      <c r="BN1115">
        <f>$C1115*BN1114</f>
        <v/>
      </c>
      <c r="BO1115">
        <f>$C1115*BO1114</f>
        <v/>
      </c>
      <c r="BP1115">
        <f>$C1115*BP1114</f>
        <v/>
      </c>
      <c r="BQ1115">
        <f>$C1115*BQ1114</f>
        <v/>
      </c>
      <c r="BR1115">
        <f>$C1115*BR1114</f>
        <v/>
      </c>
      <c r="BS1115">
        <f>$C1115*BS1114</f>
        <v/>
      </c>
      <c r="BT1115">
        <f>$C1115*BT1114</f>
        <v/>
      </c>
      <c r="BU1115">
        <f>$C1115*BU1114</f>
        <v/>
      </c>
      <c r="BV1115">
        <f>$C1115*BV1114</f>
        <v/>
      </c>
      <c r="BW1115">
        <f>$C1115*BW1114</f>
        <v/>
      </c>
      <c r="BX1115">
        <f>$C1115*BX1114</f>
        <v/>
      </c>
      <c r="BY1115">
        <f>$C1115*BY1114</f>
        <v/>
      </c>
      <c r="BZ1115">
        <f>$C1115*BZ1114</f>
        <v/>
      </c>
      <c r="CA1115">
        <f>$C1115*CA1114</f>
        <v/>
      </c>
      <c r="CB1115">
        <f>$C1115*CB1114</f>
        <v/>
      </c>
      <c r="CC1115">
        <f>$C1115*CC1114</f>
        <v/>
      </c>
      <c r="CD1115">
        <f>$C1115*CD1114</f>
        <v/>
      </c>
      <c r="CE1115">
        <f>$C1115*CE1114</f>
        <v/>
      </c>
      <c r="CF1115">
        <f>$C1115*CF1114</f>
        <v/>
      </c>
      <c r="CG1115">
        <f>$C1115*CG1114</f>
        <v/>
      </c>
      <c r="CH1115">
        <f>$C1115*CH1114</f>
        <v/>
      </c>
      <c r="CI1115">
        <f>$C1115*CI1114</f>
        <v/>
      </c>
      <c r="CJ1115">
        <f>$C1115*CJ1114</f>
        <v/>
      </c>
      <c r="CK1115">
        <f>$C1115*CK1114</f>
        <v/>
      </c>
      <c r="CL1115">
        <f>$C1115*CL1114</f>
        <v/>
      </c>
      <c r="CM1115">
        <f>$C1115*CM1114</f>
        <v/>
      </c>
      <c r="CN1115">
        <f>$C1115*CN1114</f>
        <v/>
      </c>
      <c r="CO1115">
        <f>$C1115*CO1114</f>
        <v/>
      </c>
      <c r="CP1115">
        <f>$C1115*CP1114</f>
        <v/>
      </c>
      <c r="CQ1115">
        <f>$C1115*CQ1114</f>
        <v/>
      </c>
      <c r="CR1115">
        <f>$C1115*CR1114</f>
        <v/>
      </c>
      <c r="CS1115">
        <f>$C1115*CS1114</f>
        <v/>
      </c>
      <c r="CT1115">
        <f>$C1115*CT1114</f>
        <v/>
      </c>
      <c r="CU1115">
        <f>$C1115*CU1114</f>
        <v/>
      </c>
      <c r="CV1115">
        <f>$C1115*CV1114</f>
        <v/>
      </c>
      <c r="CW1115">
        <f>$C1115*CW1114</f>
        <v/>
      </c>
      <c r="CX1115">
        <f>$C1115*CX1114</f>
        <v/>
      </c>
      <c r="CY1115">
        <f>$C1115*CY1114</f>
        <v/>
      </c>
      <c r="CZ1115">
        <f>$C1115*CZ1114</f>
        <v/>
      </c>
      <c r="DA1115">
        <f>$C1115*DA1114</f>
        <v/>
      </c>
      <c r="DB1115">
        <f>$C1115*DB1114</f>
        <v/>
      </c>
      <c r="DC1115">
        <f>$C1115*DC1114</f>
        <v/>
      </c>
    </row>
    <row r="1116">
      <c r="B1116" t="inlineStr">
        <is>
          <t>TSP-655</t>
        </is>
      </c>
      <c r="C1116" t="inlineStr">
        <is>
          <t>No. of batches</t>
        </is>
      </c>
      <c r="D1116">
        <f>IFERROR(INDEX(PP_Grid[#Data],$DD1116,2),0)</f>
        <v/>
      </c>
      <c r="E1116">
        <f>IFERROR(INDEX(PP_Grid[#Data],$DD1116,3),0)</f>
        <v/>
      </c>
      <c r="F1116">
        <f>IFERROR(INDEX(PP_Grid[#Data],$DD1116,4),0)</f>
        <v/>
      </c>
      <c r="G1116">
        <f>IFERROR(INDEX(PP_Grid[#Data],$DD1116,5),0)</f>
        <v/>
      </c>
      <c r="H1116">
        <f>IFERROR(INDEX(PP_Grid[#Data],$DD1116,6),0)</f>
        <v/>
      </c>
      <c r="I1116">
        <f>IFERROR(INDEX(PP_Grid[#Data],$DD1116,7),0)</f>
        <v/>
      </c>
      <c r="J1116">
        <f>IFERROR(INDEX(PP_Grid[#Data],$DD1116,8),0)</f>
        <v/>
      </c>
      <c r="K1116">
        <f>IFERROR(INDEX(PP_Grid[#Data],$DD1116,9),0)</f>
        <v/>
      </c>
      <c r="L1116">
        <f>IFERROR(INDEX(PP_Grid[#Data],$DD1116,10),0)</f>
        <v/>
      </c>
      <c r="M1116">
        <f>IFERROR(INDEX(PP_Grid[#Data],$DD1116,11),0)</f>
        <v/>
      </c>
      <c r="N1116">
        <f>IFERROR(INDEX(PP_Grid[#Data],$DD1116,12),0)</f>
        <v/>
      </c>
      <c r="O1116">
        <f>IFERROR(INDEX(PP_Grid[#Data],$DD1116,13),0)</f>
        <v/>
      </c>
      <c r="P1116">
        <f>IFERROR(INDEX(PP_Grid[#Data],$DD1116,14),0)</f>
        <v/>
      </c>
      <c r="Q1116">
        <f>IFERROR(INDEX(PP_Grid[#Data],$DD1116,15),0)</f>
        <v/>
      </c>
      <c r="R1116">
        <f>IFERROR(INDEX(PP_Grid[#Data],$DD1116,16),0)</f>
        <v/>
      </c>
      <c r="S1116">
        <f>IFERROR(INDEX(PP_Grid[#Data],$DD1116,17),0)</f>
        <v/>
      </c>
      <c r="T1116">
        <f>IFERROR(INDEX(PP_Grid[#Data],$DD1116,18),0)</f>
        <v/>
      </c>
      <c r="U1116">
        <f>IFERROR(INDEX(PP_Grid[#Data],$DD1116,19),0)</f>
        <v/>
      </c>
      <c r="V1116">
        <f>IFERROR(INDEX(PP_Grid[#Data],$DD1116,20),0)</f>
        <v/>
      </c>
      <c r="W1116">
        <f>IFERROR(INDEX(PP_Grid[#Data],$DD1116,21),0)</f>
        <v/>
      </c>
      <c r="X1116">
        <f>IFERROR(INDEX(PP_Grid[#Data],$DD1116,22),0)</f>
        <v/>
      </c>
      <c r="Y1116">
        <f>IFERROR(INDEX(PP_Grid[#Data],$DD1116,23),0)</f>
        <v/>
      </c>
      <c r="Z1116">
        <f>IFERROR(INDEX(PP_Grid[#Data],$DD1116,24),0)</f>
        <v/>
      </c>
      <c r="AA1116">
        <f>IFERROR(INDEX(PP_Grid[#Data],$DD1116,25),0)</f>
        <v/>
      </c>
      <c r="AB1116">
        <f>IFERROR(INDEX(PP_Grid[#Data],$DD1116,26),0)</f>
        <v/>
      </c>
      <c r="AC1116">
        <f>IFERROR(INDEX(PP_Grid[#Data],$DD1116,27),0)</f>
        <v/>
      </c>
      <c r="AD1116">
        <f>IFERROR(INDEX(PP_Grid[#Data],$DD1116,28),0)</f>
        <v/>
      </c>
      <c r="AE1116">
        <f>IFERROR(INDEX(PP_Grid[#Data],$DD1116,29),0)</f>
        <v/>
      </c>
      <c r="AF1116">
        <f>IFERROR(INDEX(PP_Grid[#Data],$DD1116,30),0)</f>
        <v/>
      </c>
      <c r="AG1116">
        <f>IFERROR(INDEX(PP_Grid[#Data],$DD1116,31),0)</f>
        <v/>
      </c>
      <c r="AH1116">
        <f>IFERROR(INDEX(PP_Grid[#Data],$DD1116,32),0)</f>
        <v/>
      </c>
      <c r="AI1116">
        <f>IFERROR(INDEX(PP_Grid[#Data],$DD1116,33),0)</f>
        <v/>
      </c>
      <c r="AJ1116">
        <f>IFERROR(INDEX(PP_Grid[#Data],$DD1116,34),0)</f>
        <v/>
      </c>
      <c r="AK1116">
        <f>IFERROR(INDEX(PP_Grid[#Data],$DD1116,35),0)</f>
        <v/>
      </c>
      <c r="AL1116">
        <f>IFERROR(INDEX(PP_Grid[#Data],$DD1116,36),0)</f>
        <v/>
      </c>
      <c r="AM1116">
        <f>IFERROR(INDEX(PP_Grid[#Data],$DD1116,37),0)</f>
        <v/>
      </c>
      <c r="AN1116">
        <f>IFERROR(INDEX(PP_Grid[#Data],$DD1116,38),0)</f>
        <v/>
      </c>
      <c r="AO1116">
        <f>IFERROR(INDEX(PP_Grid[#Data],$DD1116,39),0)</f>
        <v/>
      </c>
      <c r="AP1116">
        <f>IFERROR(INDEX(PP_Grid[#Data],$DD1116,40),0)</f>
        <v/>
      </c>
      <c r="AQ1116">
        <f>IFERROR(INDEX(PP_Grid[#Data],$DD1116,41),0)</f>
        <v/>
      </c>
      <c r="AR1116">
        <f>IFERROR(INDEX(PP_Grid[#Data],$DD1116,42),0)</f>
        <v/>
      </c>
      <c r="AS1116">
        <f>IFERROR(INDEX(PP_Grid[#Data],$DD1116,43),0)</f>
        <v/>
      </c>
      <c r="AT1116">
        <f>IFERROR(INDEX(PP_Grid[#Data],$DD1116,44),0)</f>
        <v/>
      </c>
      <c r="AU1116">
        <f>IFERROR(INDEX(PP_Grid[#Data],$DD1116,45),0)</f>
        <v/>
      </c>
      <c r="AV1116">
        <f>IFERROR(INDEX(PP_Grid[#Data],$DD1116,46),0)</f>
        <v/>
      </c>
      <c r="AW1116">
        <f>IFERROR(INDEX(PP_Grid[#Data],$DD1116,47),0)</f>
        <v/>
      </c>
      <c r="AX1116">
        <f>IFERROR(INDEX(PP_Grid[#Data],$DD1116,48),0)</f>
        <v/>
      </c>
      <c r="AY1116">
        <f>IFERROR(INDEX(PP_Grid[#Data],$DD1116,49),0)</f>
        <v/>
      </c>
      <c r="AZ1116">
        <f>IFERROR(INDEX(PP_Grid[#Data],$DD1116,50),0)</f>
        <v/>
      </c>
      <c r="BA1116">
        <f>IFERROR(INDEX(PP_Grid[#Data],$DD1116,51),0)</f>
        <v/>
      </c>
      <c r="BB1116">
        <f>IFERROR(INDEX(PP_Grid[#Data],$DD1116,52),0)</f>
        <v/>
      </c>
      <c r="BC1116">
        <f>IFERROR(INDEX(PP_Grid[#Data],$DD1116,53),0)</f>
        <v/>
      </c>
      <c r="BD1116">
        <f>IFERROR(INDEX(PP_Grid[#Data],$DD1116,54),0)</f>
        <v/>
      </c>
      <c r="BE1116">
        <f>IFERROR(INDEX(PP_Grid[#Data],$DD1116,55),0)</f>
        <v/>
      </c>
      <c r="BF1116">
        <f>IFERROR(INDEX(PP_Grid[#Data],$DD1116,56),0)</f>
        <v/>
      </c>
      <c r="BG1116">
        <f>IFERROR(INDEX(PP_Grid[#Data],$DD1116,57),0)</f>
        <v/>
      </c>
      <c r="BH1116">
        <f>IFERROR(INDEX(PP_Grid[#Data],$DD1116,58),0)</f>
        <v/>
      </c>
      <c r="BI1116">
        <f>IFERROR(INDEX(PP_Grid[#Data],$DD1116,59),0)</f>
        <v/>
      </c>
      <c r="BJ1116">
        <f>IFERROR(INDEX(PP_Grid[#Data],$DD1116,60),0)</f>
        <v/>
      </c>
      <c r="BK1116">
        <f>IFERROR(INDEX(PP_Grid[#Data],$DD1116,61),0)</f>
        <v/>
      </c>
      <c r="BL1116">
        <f>IFERROR(INDEX(PP_Grid[#Data],$DD1116,62),0)</f>
        <v/>
      </c>
      <c r="BM1116">
        <f>IFERROR(INDEX(PP_Grid[#Data],$DD1116,63),0)</f>
        <v/>
      </c>
      <c r="BN1116">
        <f>IFERROR(INDEX(PP_Grid[#Data],$DD1116,64),0)</f>
        <v/>
      </c>
      <c r="BO1116">
        <f>IFERROR(INDEX(PP_Grid[#Data],$DD1116,65),0)</f>
        <v/>
      </c>
      <c r="BP1116">
        <f>IFERROR(INDEX(PP_Grid[#Data],$DD1116,66),0)</f>
        <v/>
      </c>
      <c r="BQ1116">
        <f>IFERROR(INDEX(PP_Grid[#Data],$DD1116,67),0)</f>
        <v/>
      </c>
      <c r="BR1116">
        <f>IFERROR(INDEX(PP_Grid[#Data],$DD1116,68),0)</f>
        <v/>
      </c>
      <c r="BS1116">
        <f>IFERROR(INDEX(PP_Grid[#Data],$DD1116,69),0)</f>
        <v/>
      </c>
      <c r="BT1116">
        <f>IFERROR(INDEX(PP_Grid[#Data],$DD1116,70),0)</f>
        <v/>
      </c>
      <c r="BU1116">
        <f>IFERROR(INDEX(PP_Grid[#Data],$DD1116,71),0)</f>
        <v/>
      </c>
      <c r="BV1116">
        <f>IFERROR(INDEX(PP_Grid[#Data],$DD1116,72),0)</f>
        <v/>
      </c>
      <c r="BW1116">
        <f>IFERROR(INDEX(PP_Grid[#Data],$DD1116,73),0)</f>
        <v/>
      </c>
      <c r="BX1116">
        <f>IFERROR(INDEX(PP_Grid[#Data],$DD1116,74),0)</f>
        <v/>
      </c>
      <c r="BY1116">
        <f>IFERROR(INDEX(PP_Grid[#Data],$DD1116,75),0)</f>
        <v/>
      </c>
      <c r="BZ1116">
        <f>IFERROR(INDEX(PP_Grid[#Data],$DD1116,76),0)</f>
        <v/>
      </c>
      <c r="CA1116">
        <f>IFERROR(INDEX(PP_Grid[#Data],$DD1116,77),0)</f>
        <v/>
      </c>
      <c r="CB1116">
        <f>IFERROR(INDEX(PP_Grid[#Data],$DD1116,78),0)</f>
        <v/>
      </c>
      <c r="CC1116">
        <f>IFERROR(INDEX(PP_Grid[#Data],$DD1116,79),0)</f>
        <v/>
      </c>
      <c r="CD1116">
        <f>IFERROR(INDEX(PP_Grid[#Data],$DD1116,80),0)</f>
        <v/>
      </c>
      <c r="CE1116">
        <f>IFERROR(INDEX(PP_Grid[#Data],$DD1116,81),0)</f>
        <v/>
      </c>
      <c r="CF1116">
        <f>IFERROR(INDEX(PP_Grid[#Data],$DD1116,82),0)</f>
        <v/>
      </c>
      <c r="CG1116">
        <f>IFERROR(INDEX(PP_Grid[#Data],$DD1116,83),0)</f>
        <v/>
      </c>
      <c r="CH1116">
        <f>IFERROR(INDEX(PP_Grid[#Data],$DD1116,84),0)</f>
        <v/>
      </c>
      <c r="CI1116">
        <f>IFERROR(INDEX(PP_Grid[#Data],$DD1116,85),0)</f>
        <v/>
      </c>
      <c r="CJ1116">
        <f>IFERROR(INDEX(PP_Grid[#Data],$DD1116,86),0)</f>
        <v/>
      </c>
      <c r="CK1116">
        <f>IFERROR(INDEX(PP_Grid[#Data],$DD1116,87),0)</f>
        <v/>
      </c>
      <c r="CL1116">
        <f>IFERROR(INDEX(PP_Grid[#Data],$DD1116,88),0)</f>
        <v/>
      </c>
      <c r="CM1116">
        <f>IFERROR(INDEX(PP_Grid[#Data],$DD1116,89),0)</f>
        <v/>
      </c>
      <c r="CN1116">
        <f>IFERROR(INDEX(PP_Grid[#Data],$DD1116,90),0)</f>
        <v/>
      </c>
      <c r="CO1116">
        <f>IFERROR(INDEX(PP_Grid[#Data],$DD1116,91),0)</f>
        <v/>
      </c>
      <c r="CP1116">
        <f>IFERROR(INDEX(PP_Grid[#Data],$DD1116,92),0)</f>
        <v/>
      </c>
      <c r="CQ1116">
        <f>IFERROR(INDEX(PP_Grid[#Data],$DD1116,93),0)</f>
        <v/>
      </c>
      <c r="CR1116">
        <f>IFERROR(INDEX(PP_Grid[#Data],$DD1116,94),0)</f>
        <v/>
      </c>
      <c r="CS1116">
        <f>IFERROR(INDEX(PP_Grid[#Data],$DD1116,95),0)</f>
        <v/>
      </c>
      <c r="CT1116">
        <f>IFERROR(INDEX(PP_Grid[#Data],$DD1116,96),0)</f>
        <v/>
      </c>
      <c r="CU1116">
        <f>IFERROR(INDEX(PP_Grid[#Data],$DD1116,97),0)</f>
        <v/>
      </c>
      <c r="CV1116">
        <f>IFERROR(INDEX(PP_Grid[#Data],$DD1116,98),0)</f>
        <v/>
      </c>
      <c r="CW1116">
        <f>IFERROR(INDEX(PP_Grid[#Data],$DD1116,99),0)</f>
        <v/>
      </c>
      <c r="CX1116">
        <f>IFERROR(INDEX(PP_Grid[#Data],$DD1116,100),0)</f>
        <v/>
      </c>
      <c r="CY1116">
        <f>IFERROR(INDEX(PP_Grid[#Data],$DD1116,101),0)</f>
        <v/>
      </c>
      <c r="CZ1116">
        <f>IFERROR(INDEX(PP_Grid[#Data],$DD1116,102),0)</f>
        <v/>
      </c>
      <c r="DA1116">
        <f>IFERROR(INDEX(PP_Grid[#Data],$DD1116,103),0)</f>
        <v/>
      </c>
      <c r="DB1116">
        <f>IFERROR(INDEX(PP_Grid[#Data],$DD1116,104),0)</f>
        <v/>
      </c>
      <c r="DC1116">
        <f>IFERROR(INDEX(PP_Grid[#Data],$DD1116,105),0)</f>
        <v/>
      </c>
      <c r="DD1116" s="7">
        <f>IFERROR(MATCH($B1116,PP_Grid[Intermediate],0),99999)</f>
        <v/>
      </c>
    </row>
    <row r="1117">
      <c r="B1117" t="inlineStr">
        <is>
          <t>使用量(kg)</t>
        </is>
      </c>
      <c r="C1117">
        <f>SUMIFS(M_BOM[RM_Qty_Per_Batch],M_BOM[Intermediate],$B1116,M_BOM[Part Name],$A1099)</f>
        <v/>
      </c>
      <c r="D1117">
        <f>$C1117*D1116</f>
        <v/>
      </c>
      <c r="E1117">
        <f>$C1117*E1116</f>
        <v/>
      </c>
      <c r="F1117">
        <f>$C1117*F1116</f>
        <v/>
      </c>
      <c r="G1117">
        <f>$C1117*G1116</f>
        <v/>
      </c>
      <c r="H1117">
        <f>$C1117*H1116</f>
        <v/>
      </c>
      <c r="I1117">
        <f>$C1117*I1116</f>
        <v/>
      </c>
      <c r="J1117">
        <f>$C1117*J1116</f>
        <v/>
      </c>
      <c r="K1117">
        <f>$C1117*K1116</f>
        <v/>
      </c>
      <c r="L1117">
        <f>$C1117*L1116</f>
        <v/>
      </c>
      <c r="M1117">
        <f>$C1117*M1116</f>
        <v/>
      </c>
      <c r="N1117">
        <f>$C1117*N1116</f>
        <v/>
      </c>
      <c r="O1117">
        <f>$C1117*O1116</f>
        <v/>
      </c>
      <c r="P1117">
        <f>$C1117*P1116</f>
        <v/>
      </c>
      <c r="Q1117">
        <f>$C1117*Q1116</f>
        <v/>
      </c>
      <c r="R1117">
        <f>$C1117*R1116</f>
        <v/>
      </c>
      <c r="S1117">
        <f>$C1117*S1116</f>
        <v/>
      </c>
      <c r="T1117">
        <f>$C1117*T1116</f>
        <v/>
      </c>
      <c r="U1117">
        <f>$C1117*U1116</f>
        <v/>
      </c>
      <c r="V1117">
        <f>$C1117*V1116</f>
        <v/>
      </c>
      <c r="W1117">
        <f>$C1117*W1116</f>
        <v/>
      </c>
      <c r="X1117">
        <f>$C1117*X1116</f>
        <v/>
      </c>
      <c r="Y1117">
        <f>$C1117*Y1116</f>
        <v/>
      </c>
      <c r="Z1117">
        <f>$C1117*Z1116</f>
        <v/>
      </c>
      <c r="AA1117">
        <f>$C1117*AA1116</f>
        <v/>
      </c>
      <c r="AB1117">
        <f>$C1117*AB1116</f>
        <v/>
      </c>
      <c r="AC1117">
        <f>$C1117*AC1116</f>
        <v/>
      </c>
      <c r="AD1117">
        <f>$C1117*AD1116</f>
        <v/>
      </c>
      <c r="AE1117">
        <f>$C1117*AE1116</f>
        <v/>
      </c>
      <c r="AF1117">
        <f>$C1117*AF1116</f>
        <v/>
      </c>
      <c r="AG1117">
        <f>$C1117*AG1116</f>
        <v/>
      </c>
      <c r="AH1117">
        <f>$C1117*AH1116</f>
        <v/>
      </c>
      <c r="AI1117">
        <f>$C1117*AI1116</f>
        <v/>
      </c>
      <c r="AJ1117">
        <f>$C1117*AJ1116</f>
        <v/>
      </c>
      <c r="AK1117">
        <f>$C1117*AK1116</f>
        <v/>
      </c>
      <c r="AL1117">
        <f>$C1117*AL1116</f>
        <v/>
      </c>
      <c r="AM1117">
        <f>$C1117*AM1116</f>
        <v/>
      </c>
      <c r="AN1117">
        <f>$C1117*AN1116</f>
        <v/>
      </c>
      <c r="AO1117">
        <f>$C1117*AO1116</f>
        <v/>
      </c>
      <c r="AP1117">
        <f>$C1117*AP1116</f>
        <v/>
      </c>
      <c r="AQ1117">
        <f>$C1117*AQ1116</f>
        <v/>
      </c>
      <c r="AR1117">
        <f>$C1117*AR1116</f>
        <v/>
      </c>
      <c r="AS1117">
        <f>$C1117*AS1116</f>
        <v/>
      </c>
      <c r="AT1117">
        <f>$C1117*AT1116</f>
        <v/>
      </c>
      <c r="AU1117">
        <f>$C1117*AU1116</f>
        <v/>
      </c>
      <c r="AV1117">
        <f>$C1117*AV1116</f>
        <v/>
      </c>
      <c r="AW1117">
        <f>$C1117*AW1116</f>
        <v/>
      </c>
      <c r="AX1117">
        <f>$C1117*AX1116</f>
        <v/>
      </c>
      <c r="AY1117">
        <f>$C1117*AY1116</f>
        <v/>
      </c>
      <c r="AZ1117">
        <f>$C1117*AZ1116</f>
        <v/>
      </c>
      <c r="BA1117">
        <f>$C1117*BA1116</f>
        <v/>
      </c>
      <c r="BB1117">
        <f>$C1117*BB1116</f>
        <v/>
      </c>
      <c r="BC1117">
        <f>$C1117*BC1116</f>
        <v/>
      </c>
      <c r="BD1117">
        <f>$C1117*BD1116</f>
        <v/>
      </c>
      <c r="BE1117">
        <f>$C1117*BE1116</f>
        <v/>
      </c>
      <c r="BF1117">
        <f>$C1117*BF1116</f>
        <v/>
      </c>
      <c r="BG1117">
        <f>$C1117*BG1116</f>
        <v/>
      </c>
      <c r="BH1117">
        <f>$C1117*BH1116</f>
        <v/>
      </c>
      <c r="BI1117">
        <f>$C1117*BI1116</f>
        <v/>
      </c>
      <c r="BJ1117">
        <f>$C1117*BJ1116</f>
        <v/>
      </c>
      <c r="BK1117">
        <f>$C1117*BK1116</f>
        <v/>
      </c>
      <c r="BL1117">
        <f>$C1117*BL1116</f>
        <v/>
      </c>
      <c r="BM1117">
        <f>$C1117*BM1116</f>
        <v/>
      </c>
      <c r="BN1117">
        <f>$C1117*BN1116</f>
        <v/>
      </c>
      <c r="BO1117">
        <f>$C1117*BO1116</f>
        <v/>
      </c>
      <c r="BP1117">
        <f>$C1117*BP1116</f>
        <v/>
      </c>
      <c r="BQ1117">
        <f>$C1117*BQ1116</f>
        <v/>
      </c>
      <c r="BR1117">
        <f>$C1117*BR1116</f>
        <v/>
      </c>
      <c r="BS1117">
        <f>$C1117*BS1116</f>
        <v/>
      </c>
      <c r="BT1117">
        <f>$C1117*BT1116</f>
        <v/>
      </c>
      <c r="BU1117">
        <f>$C1117*BU1116</f>
        <v/>
      </c>
      <c r="BV1117">
        <f>$C1117*BV1116</f>
        <v/>
      </c>
      <c r="BW1117">
        <f>$C1117*BW1116</f>
        <v/>
      </c>
      <c r="BX1117">
        <f>$C1117*BX1116</f>
        <v/>
      </c>
      <c r="BY1117">
        <f>$C1117*BY1116</f>
        <v/>
      </c>
      <c r="BZ1117">
        <f>$C1117*BZ1116</f>
        <v/>
      </c>
      <c r="CA1117">
        <f>$C1117*CA1116</f>
        <v/>
      </c>
      <c r="CB1117">
        <f>$C1117*CB1116</f>
        <v/>
      </c>
      <c r="CC1117">
        <f>$C1117*CC1116</f>
        <v/>
      </c>
      <c r="CD1117">
        <f>$C1117*CD1116</f>
        <v/>
      </c>
      <c r="CE1117">
        <f>$C1117*CE1116</f>
        <v/>
      </c>
      <c r="CF1117">
        <f>$C1117*CF1116</f>
        <v/>
      </c>
      <c r="CG1117">
        <f>$C1117*CG1116</f>
        <v/>
      </c>
      <c r="CH1117">
        <f>$C1117*CH1116</f>
        <v/>
      </c>
      <c r="CI1117">
        <f>$C1117*CI1116</f>
        <v/>
      </c>
      <c r="CJ1117">
        <f>$C1117*CJ1116</f>
        <v/>
      </c>
      <c r="CK1117">
        <f>$C1117*CK1116</f>
        <v/>
      </c>
      <c r="CL1117">
        <f>$C1117*CL1116</f>
        <v/>
      </c>
      <c r="CM1117">
        <f>$C1117*CM1116</f>
        <v/>
      </c>
      <c r="CN1117">
        <f>$C1117*CN1116</f>
        <v/>
      </c>
      <c r="CO1117">
        <f>$C1117*CO1116</f>
        <v/>
      </c>
      <c r="CP1117">
        <f>$C1117*CP1116</f>
        <v/>
      </c>
      <c r="CQ1117">
        <f>$C1117*CQ1116</f>
        <v/>
      </c>
      <c r="CR1117">
        <f>$C1117*CR1116</f>
        <v/>
      </c>
      <c r="CS1117">
        <f>$C1117*CS1116</f>
        <v/>
      </c>
      <c r="CT1117">
        <f>$C1117*CT1116</f>
        <v/>
      </c>
      <c r="CU1117">
        <f>$C1117*CU1116</f>
        <v/>
      </c>
      <c r="CV1117">
        <f>$C1117*CV1116</f>
        <v/>
      </c>
      <c r="CW1117">
        <f>$C1117*CW1116</f>
        <v/>
      </c>
      <c r="CX1117">
        <f>$C1117*CX1116</f>
        <v/>
      </c>
      <c r="CY1117">
        <f>$C1117*CY1116</f>
        <v/>
      </c>
      <c r="CZ1117">
        <f>$C1117*CZ1116</f>
        <v/>
      </c>
      <c r="DA1117">
        <f>$C1117*DA1116</f>
        <v/>
      </c>
      <c r="DB1117">
        <f>$C1117*DB1116</f>
        <v/>
      </c>
      <c r="DC1117">
        <f>$C1117*DC1116</f>
        <v/>
      </c>
    </row>
    <row r="1118">
      <c r="B1118" t="inlineStr">
        <is>
          <t>TSP-656</t>
        </is>
      </c>
      <c r="C1118" t="inlineStr">
        <is>
          <t>No. of batches</t>
        </is>
      </c>
      <c r="D1118">
        <f>IFERROR(INDEX(PP_Grid[#Data],$DD1118,2),0)</f>
        <v/>
      </c>
      <c r="E1118">
        <f>IFERROR(INDEX(PP_Grid[#Data],$DD1118,3),0)</f>
        <v/>
      </c>
      <c r="F1118">
        <f>IFERROR(INDEX(PP_Grid[#Data],$DD1118,4),0)</f>
        <v/>
      </c>
      <c r="G1118">
        <f>IFERROR(INDEX(PP_Grid[#Data],$DD1118,5),0)</f>
        <v/>
      </c>
      <c r="H1118">
        <f>IFERROR(INDEX(PP_Grid[#Data],$DD1118,6),0)</f>
        <v/>
      </c>
      <c r="I1118">
        <f>IFERROR(INDEX(PP_Grid[#Data],$DD1118,7),0)</f>
        <v/>
      </c>
      <c r="J1118">
        <f>IFERROR(INDEX(PP_Grid[#Data],$DD1118,8),0)</f>
        <v/>
      </c>
      <c r="K1118">
        <f>IFERROR(INDEX(PP_Grid[#Data],$DD1118,9),0)</f>
        <v/>
      </c>
      <c r="L1118">
        <f>IFERROR(INDEX(PP_Grid[#Data],$DD1118,10),0)</f>
        <v/>
      </c>
      <c r="M1118">
        <f>IFERROR(INDEX(PP_Grid[#Data],$DD1118,11),0)</f>
        <v/>
      </c>
      <c r="N1118">
        <f>IFERROR(INDEX(PP_Grid[#Data],$DD1118,12),0)</f>
        <v/>
      </c>
      <c r="O1118">
        <f>IFERROR(INDEX(PP_Grid[#Data],$DD1118,13),0)</f>
        <v/>
      </c>
      <c r="P1118">
        <f>IFERROR(INDEX(PP_Grid[#Data],$DD1118,14),0)</f>
        <v/>
      </c>
      <c r="Q1118">
        <f>IFERROR(INDEX(PP_Grid[#Data],$DD1118,15),0)</f>
        <v/>
      </c>
      <c r="R1118">
        <f>IFERROR(INDEX(PP_Grid[#Data],$DD1118,16),0)</f>
        <v/>
      </c>
      <c r="S1118">
        <f>IFERROR(INDEX(PP_Grid[#Data],$DD1118,17),0)</f>
        <v/>
      </c>
      <c r="T1118">
        <f>IFERROR(INDEX(PP_Grid[#Data],$DD1118,18),0)</f>
        <v/>
      </c>
      <c r="U1118">
        <f>IFERROR(INDEX(PP_Grid[#Data],$DD1118,19),0)</f>
        <v/>
      </c>
      <c r="V1118">
        <f>IFERROR(INDEX(PP_Grid[#Data],$DD1118,20),0)</f>
        <v/>
      </c>
      <c r="W1118">
        <f>IFERROR(INDEX(PP_Grid[#Data],$DD1118,21),0)</f>
        <v/>
      </c>
      <c r="X1118">
        <f>IFERROR(INDEX(PP_Grid[#Data],$DD1118,22),0)</f>
        <v/>
      </c>
      <c r="Y1118">
        <f>IFERROR(INDEX(PP_Grid[#Data],$DD1118,23),0)</f>
        <v/>
      </c>
      <c r="Z1118">
        <f>IFERROR(INDEX(PP_Grid[#Data],$DD1118,24),0)</f>
        <v/>
      </c>
      <c r="AA1118">
        <f>IFERROR(INDEX(PP_Grid[#Data],$DD1118,25),0)</f>
        <v/>
      </c>
      <c r="AB1118">
        <f>IFERROR(INDEX(PP_Grid[#Data],$DD1118,26),0)</f>
        <v/>
      </c>
      <c r="AC1118">
        <f>IFERROR(INDEX(PP_Grid[#Data],$DD1118,27),0)</f>
        <v/>
      </c>
      <c r="AD1118">
        <f>IFERROR(INDEX(PP_Grid[#Data],$DD1118,28),0)</f>
        <v/>
      </c>
      <c r="AE1118">
        <f>IFERROR(INDEX(PP_Grid[#Data],$DD1118,29),0)</f>
        <v/>
      </c>
      <c r="AF1118">
        <f>IFERROR(INDEX(PP_Grid[#Data],$DD1118,30),0)</f>
        <v/>
      </c>
      <c r="AG1118">
        <f>IFERROR(INDEX(PP_Grid[#Data],$DD1118,31),0)</f>
        <v/>
      </c>
      <c r="AH1118">
        <f>IFERROR(INDEX(PP_Grid[#Data],$DD1118,32),0)</f>
        <v/>
      </c>
      <c r="AI1118">
        <f>IFERROR(INDEX(PP_Grid[#Data],$DD1118,33),0)</f>
        <v/>
      </c>
      <c r="AJ1118">
        <f>IFERROR(INDEX(PP_Grid[#Data],$DD1118,34),0)</f>
        <v/>
      </c>
      <c r="AK1118">
        <f>IFERROR(INDEX(PP_Grid[#Data],$DD1118,35),0)</f>
        <v/>
      </c>
      <c r="AL1118">
        <f>IFERROR(INDEX(PP_Grid[#Data],$DD1118,36),0)</f>
        <v/>
      </c>
      <c r="AM1118">
        <f>IFERROR(INDEX(PP_Grid[#Data],$DD1118,37),0)</f>
        <v/>
      </c>
      <c r="AN1118">
        <f>IFERROR(INDEX(PP_Grid[#Data],$DD1118,38),0)</f>
        <v/>
      </c>
      <c r="AO1118">
        <f>IFERROR(INDEX(PP_Grid[#Data],$DD1118,39),0)</f>
        <v/>
      </c>
      <c r="AP1118">
        <f>IFERROR(INDEX(PP_Grid[#Data],$DD1118,40),0)</f>
        <v/>
      </c>
      <c r="AQ1118">
        <f>IFERROR(INDEX(PP_Grid[#Data],$DD1118,41),0)</f>
        <v/>
      </c>
      <c r="AR1118">
        <f>IFERROR(INDEX(PP_Grid[#Data],$DD1118,42),0)</f>
        <v/>
      </c>
      <c r="AS1118">
        <f>IFERROR(INDEX(PP_Grid[#Data],$DD1118,43),0)</f>
        <v/>
      </c>
      <c r="AT1118">
        <f>IFERROR(INDEX(PP_Grid[#Data],$DD1118,44),0)</f>
        <v/>
      </c>
      <c r="AU1118">
        <f>IFERROR(INDEX(PP_Grid[#Data],$DD1118,45),0)</f>
        <v/>
      </c>
      <c r="AV1118">
        <f>IFERROR(INDEX(PP_Grid[#Data],$DD1118,46),0)</f>
        <v/>
      </c>
      <c r="AW1118">
        <f>IFERROR(INDEX(PP_Grid[#Data],$DD1118,47),0)</f>
        <v/>
      </c>
      <c r="AX1118">
        <f>IFERROR(INDEX(PP_Grid[#Data],$DD1118,48),0)</f>
        <v/>
      </c>
      <c r="AY1118">
        <f>IFERROR(INDEX(PP_Grid[#Data],$DD1118,49),0)</f>
        <v/>
      </c>
      <c r="AZ1118">
        <f>IFERROR(INDEX(PP_Grid[#Data],$DD1118,50),0)</f>
        <v/>
      </c>
      <c r="BA1118">
        <f>IFERROR(INDEX(PP_Grid[#Data],$DD1118,51),0)</f>
        <v/>
      </c>
      <c r="BB1118">
        <f>IFERROR(INDEX(PP_Grid[#Data],$DD1118,52),0)</f>
        <v/>
      </c>
      <c r="BC1118">
        <f>IFERROR(INDEX(PP_Grid[#Data],$DD1118,53),0)</f>
        <v/>
      </c>
      <c r="BD1118">
        <f>IFERROR(INDEX(PP_Grid[#Data],$DD1118,54),0)</f>
        <v/>
      </c>
      <c r="BE1118">
        <f>IFERROR(INDEX(PP_Grid[#Data],$DD1118,55),0)</f>
        <v/>
      </c>
      <c r="BF1118">
        <f>IFERROR(INDEX(PP_Grid[#Data],$DD1118,56),0)</f>
        <v/>
      </c>
      <c r="BG1118">
        <f>IFERROR(INDEX(PP_Grid[#Data],$DD1118,57),0)</f>
        <v/>
      </c>
      <c r="BH1118">
        <f>IFERROR(INDEX(PP_Grid[#Data],$DD1118,58),0)</f>
        <v/>
      </c>
      <c r="BI1118">
        <f>IFERROR(INDEX(PP_Grid[#Data],$DD1118,59),0)</f>
        <v/>
      </c>
      <c r="BJ1118">
        <f>IFERROR(INDEX(PP_Grid[#Data],$DD1118,60),0)</f>
        <v/>
      </c>
      <c r="BK1118">
        <f>IFERROR(INDEX(PP_Grid[#Data],$DD1118,61),0)</f>
        <v/>
      </c>
      <c r="BL1118">
        <f>IFERROR(INDEX(PP_Grid[#Data],$DD1118,62),0)</f>
        <v/>
      </c>
      <c r="BM1118">
        <f>IFERROR(INDEX(PP_Grid[#Data],$DD1118,63),0)</f>
        <v/>
      </c>
      <c r="BN1118">
        <f>IFERROR(INDEX(PP_Grid[#Data],$DD1118,64),0)</f>
        <v/>
      </c>
      <c r="BO1118">
        <f>IFERROR(INDEX(PP_Grid[#Data],$DD1118,65),0)</f>
        <v/>
      </c>
      <c r="BP1118">
        <f>IFERROR(INDEX(PP_Grid[#Data],$DD1118,66),0)</f>
        <v/>
      </c>
      <c r="BQ1118">
        <f>IFERROR(INDEX(PP_Grid[#Data],$DD1118,67),0)</f>
        <v/>
      </c>
      <c r="BR1118">
        <f>IFERROR(INDEX(PP_Grid[#Data],$DD1118,68),0)</f>
        <v/>
      </c>
      <c r="BS1118">
        <f>IFERROR(INDEX(PP_Grid[#Data],$DD1118,69),0)</f>
        <v/>
      </c>
      <c r="BT1118">
        <f>IFERROR(INDEX(PP_Grid[#Data],$DD1118,70),0)</f>
        <v/>
      </c>
      <c r="BU1118">
        <f>IFERROR(INDEX(PP_Grid[#Data],$DD1118,71),0)</f>
        <v/>
      </c>
      <c r="BV1118">
        <f>IFERROR(INDEX(PP_Grid[#Data],$DD1118,72),0)</f>
        <v/>
      </c>
      <c r="BW1118">
        <f>IFERROR(INDEX(PP_Grid[#Data],$DD1118,73),0)</f>
        <v/>
      </c>
      <c r="BX1118">
        <f>IFERROR(INDEX(PP_Grid[#Data],$DD1118,74),0)</f>
        <v/>
      </c>
      <c r="BY1118">
        <f>IFERROR(INDEX(PP_Grid[#Data],$DD1118,75),0)</f>
        <v/>
      </c>
      <c r="BZ1118">
        <f>IFERROR(INDEX(PP_Grid[#Data],$DD1118,76),0)</f>
        <v/>
      </c>
      <c r="CA1118">
        <f>IFERROR(INDEX(PP_Grid[#Data],$DD1118,77),0)</f>
        <v/>
      </c>
      <c r="CB1118">
        <f>IFERROR(INDEX(PP_Grid[#Data],$DD1118,78),0)</f>
        <v/>
      </c>
      <c r="CC1118">
        <f>IFERROR(INDEX(PP_Grid[#Data],$DD1118,79),0)</f>
        <v/>
      </c>
      <c r="CD1118">
        <f>IFERROR(INDEX(PP_Grid[#Data],$DD1118,80),0)</f>
        <v/>
      </c>
      <c r="CE1118">
        <f>IFERROR(INDEX(PP_Grid[#Data],$DD1118,81),0)</f>
        <v/>
      </c>
      <c r="CF1118">
        <f>IFERROR(INDEX(PP_Grid[#Data],$DD1118,82),0)</f>
        <v/>
      </c>
      <c r="CG1118">
        <f>IFERROR(INDEX(PP_Grid[#Data],$DD1118,83),0)</f>
        <v/>
      </c>
      <c r="CH1118">
        <f>IFERROR(INDEX(PP_Grid[#Data],$DD1118,84),0)</f>
        <v/>
      </c>
      <c r="CI1118">
        <f>IFERROR(INDEX(PP_Grid[#Data],$DD1118,85),0)</f>
        <v/>
      </c>
      <c r="CJ1118">
        <f>IFERROR(INDEX(PP_Grid[#Data],$DD1118,86),0)</f>
        <v/>
      </c>
      <c r="CK1118">
        <f>IFERROR(INDEX(PP_Grid[#Data],$DD1118,87),0)</f>
        <v/>
      </c>
      <c r="CL1118">
        <f>IFERROR(INDEX(PP_Grid[#Data],$DD1118,88),0)</f>
        <v/>
      </c>
      <c r="CM1118">
        <f>IFERROR(INDEX(PP_Grid[#Data],$DD1118,89),0)</f>
        <v/>
      </c>
      <c r="CN1118">
        <f>IFERROR(INDEX(PP_Grid[#Data],$DD1118,90),0)</f>
        <v/>
      </c>
      <c r="CO1118">
        <f>IFERROR(INDEX(PP_Grid[#Data],$DD1118,91),0)</f>
        <v/>
      </c>
      <c r="CP1118">
        <f>IFERROR(INDEX(PP_Grid[#Data],$DD1118,92),0)</f>
        <v/>
      </c>
      <c r="CQ1118">
        <f>IFERROR(INDEX(PP_Grid[#Data],$DD1118,93),0)</f>
        <v/>
      </c>
      <c r="CR1118">
        <f>IFERROR(INDEX(PP_Grid[#Data],$DD1118,94),0)</f>
        <v/>
      </c>
      <c r="CS1118">
        <f>IFERROR(INDEX(PP_Grid[#Data],$DD1118,95),0)</f>
        <v/>
      </c>
      <c r="CT1118">
        <f>IFERROR(INDEX(PP_Grid[#Data],$DD1118,96),0)</f>
        <v/>
      </c>
      <c r="CU1118">
        <f>IFERROR(INDEX(PP_Grid[#Data],$DD1118,97),0)</f>
        <v/>
      </c>
      <c r="CV1118">
        <f>IFERROR(INDEX(PP_Grid[#Data],$DD1118,98),0)</f>
        <v/>
      </c>
      <c r="CW1118">
        <f>IFERROR(INDEX(PP_Grid[#Data],$DD1118,99),0)</f>
        <v/>
      </c>
      <c r="CX1118">
        <f>IFERROR(INDEX(PP_Grid[#Data],$DD1118,100),0)</f>
        <v/>
      </c>
      <c r="CY1118">
        <f>IFERROR(INDEX(PP_Grid[#Data],$DD1118,101),0)</f>
        <v/>
      </c>
      <c r="CZ1118">
        <f>IFERROR(INDEX(PP_Grid[#Data],$DD1118,102),0)</f>
        <v/>
      </c>
      <c r="DA1118">
        <f>IFERROR(INDEX(PP_Grid[#Data],$DD1118,103),0)</f>
        <v/>
      </c>
      <c r="DB1118">
        <f>IFERROR(INDEX(PP_Grid[#Data],$DD1118,104),0)</f>
        <v/>
      </c>
      <c r="DC1118">
        <f>IFERROR(INDEX(PP_Grid[#Data],$DD1118,105),0)</f>
        <v/>
      </c>
      <c r="DD1118" s="7">
        <f>IFERROR(MATCH($B1118,PP_Grid[Intermediate],0),99999)</f>
        <v/>
      </c>
    </row>
    <row r="1119">
      <c r="B1119" t="inlineStr">
        <is>
          <t>使用量(kg)</t>
        </is>
      </c>
      <c r="C1119">
        <f>SUMIFS(M_BOM[RM_Qty_Per_Batch],M_BOM[Intermediate],$B1118,M_BOM[Part Name],$A1099)</f>
        <v/>
      </c>
      <c r="D1119">
        <f>$C1119*D1118</f>
        <v/>
      </c>
      <c r="E1119">
        <f>$C1119*E1118</f>
        <v/>
      </c>
      <c r="F1119">
        <f>$C1119*F1118</f>
        <v/>
      </c>
      <c r="G1119">
        <f>$C1119*G1118</f>
        <v/>
      </c>
      <c r="H1119">
        <f>$C1119*H1118</f>
        <v/>
      </c>
      <c r="I1119">
        <f>$C1119*I1118</f>
        <v/>
      </c>
      <c r="J1119">
        <f>$C1119*J1118</f>
        <v/>
      </c>
      <c r="K1119">
        <f>$C1119*K1118</f>
        <v/>
      </c>
      <c r="L1119">
        <f>$C1119*L1118</f>
        <v/>
      </c>
      <c r="M1119">
        <f>$C1119*M1118</f>
        <v/>
      </c>
      <c r="N1119">
        <f>$C1119*N1118</f>
        <v/>
      </c>
      <c r="O1119">
        <f>$C1119*O1118</f>
        <v/>
      </c>
      <c r="P1119">
        <f>$C1119*P1118</f>
        <v/>
      </c>
      <c r="Q1119">
        <f>$C1119*Q1118</f>
        <v/>
      </c>
      <c r="R1119">
        <f>$C1119*R1118</f>
        <v/>
      </c>
      <c r="S1119">
        <f>$C1119*S1118</f>
        <v/>
      </c>
      <c r="T1119">
        <f>$C1119*T1118</f>
        <v/>
      </c>
      <c r="U1119">
        <f>$C1119*U1118</f>
        <v/>
      </c>
      <c r="V1119">
        <f>$C1119*V1118</f>
        <v/>
      </c>
      <c r="W1119">
        <f>$C1119*W1118</f>
        <v/>
      </c>
      <c r="X1119">
        <f>$C1119*X1118</f>
        <v/>
      </c>
      <c r="Y1119">
        <f>$C1119*Y1118</f>
        <v/>
      </c>
      <c r="Z1119">
        <f>$C1119*Z1118</f>
        <v/>
      </c>
      <c r="AA1119">
        <f>$C1119*AA1118</f>
        <v/>
      </c>
      <c r="AB1119">
        <f>$C1119*AB1118</f>
        <v/>
      </c>
      <c r="AC1119">
        <f>$C1119*AC1118</f>
        <v/>
      </c>
      <c r="AD1119">
        <f>$C1119*AD1118</f>
        <v/>
      </c>
      <c r="AE1119">
        <f>$C1119*AE1118</f>
        <v/>
      </c>
      <c r="AF1119">
        <f>$C1119*AF1118</f>
        <v/>
      </c>
      <c r="AG1119">
        <f>$C1119*AG1118</f>
        <v/>
      </c>
      <c r="AH1119">
        <f>$C1119*AH1118</f>
        <v/>
      </c>
      <c r="AI1119">
        <f>$C1119*AI1118</f>
        <v/>
      </c>
      <c r="AJ1119">
        <f>$C1119*AJ1118</f>
        <v/>
      </c>
      <c r="AK1119">
        <f>$C1119*AK1118</f>
        <v/>
      </c>
      <c r="AL1119">
        <f>$C1119*AL1118</f>
        <v/>
      </c>
      <c r="AM1119">
        <f>$C1119*AM1118</f>
        <v/>
      </c>
      <c r="AN1119">
        <f>$C1119*AN1118</f>
        <v/>
      </c>
      <c r="AO1119">
        <f>$C1119*AO1118</f>
        <v/>
      </c>
      <c r="AP1119">
        <f>$C1119*AP1118</f>
        <v/>
      </c>
      <c r="AQ1119">
        <f>$C1119*AQ1118</f>
        <v/>
      </c>
      <c r="AR1119">
        <f>$C1119*AR1118</f>
        <v/>
      </c>
      <c r="AS1119">
        <f>$C1119*AS1118</f>
        <v/>
      </c>
      <c r="AT1119">
        <f>$C1119*AT1118</f>
        <v/>
      </c>
      <c r="AU1119">
        <f>$C1119*AU1118</f>
        <v/>
      </c>
      <c r="AV1119">
        <f>$C1119*AV1118</f>
        <v/>
      </c>
      <c r="AW1119">
        <f>$C1119*AW1118</f>
        <v/>
      </c>
      <c r="AX1119">
        <f>$C1119*AX1118</f>
        <v/>
      </c>
      <c r="AY1119">
        <f>$C1119*AY1118</f>
        <v/>
      </c>
      <c r="AZ1119">
        <f>$C1119*AZ1118</f>
        <v/>
      </c>
      <c r="BA1119">
        <f>$C1119*BA1118</f>
        <v/>
      </c>
      <c r="BB1119">
        <f>$C1119*BB1118</f>
        <v/>
      </c>
      <c r="BC1119">
        <f>$C1119*BC1118</f>
        <v/>
      </c>
      <c r="BD1119">
        <f>$C1119*BD1118</f>
        <v/>
      </c>
      <c r="BE1119">
        <f>$C1119*BE1118</f>
        <v/>
      </c>
      <c r="BF1119">
        <f>$C1119*BF1118</f>
        <v/>
      </c>
      <c r="BG1119">
        <f>$C1119*BG1118</f>
        <v/>
      </c>
      <c r="BH1119">
        <f>$C1119*BH1118</f>
        <v/>
      </c>
      <c r="BI1119">
        <f>$C1119*BI1118</f>
        <v/>
      </c>
      <c r="BJ1119">
        <f>$C1119*BJ1118</f>
        <v/>
      </c>
      <c r="BK1119">
        <f>$C1119*BK1118</f>
        <v/>
      </c>
      <c r="BL1119">
        <f>$C1119*BL1118</f>
        <v/>
      </c>
      <c r="BM1119">
        <f>$C1119*BM1118</f>
        <v/>
      </c>
      <c r="BN1119">
        <f>$C1119*BN1118</f>
        <v/>
      </c>
      <c r="BO1119">
        <f>$C1119*BO1118</f>
        <v/>
      </c>
      <c r="BP1119">
        <f>$C1119*BP1118</f>
        <v/>
      </c>
      <c r="BQ1119">
        <f>$C1119*BQ1118</f>
        <v/>
      </c>
      <c r="BR1119">
        <f>$C1119*BR1118</f>
        <v/>
      </c>
      <c r="BS1119">
        <f>$C1119*BS1118</f>
        <v/>
      </c>
      <c r="BT1119">
        <f>$C1119*BT1118</f>
        <v/>
      </c>
      <c r="BU1119">
        <f>$C1119*BU1118</f>
        <v/>
      </c>
      <c r="BV1119">
        <f>$C1119*BV1118</f>
        <v/>
      </c>
      <c r="BW1119">
        <f>$C1119*BW1118</f>
        <v/>
      </c>
      <c r="BX1119">
        <f>$C1119*BX1118</f>
        <v/>
      </c>
      <c r="BY1119">
        <f>$C1119*BY1118</f>
        <v/>
      </c>
      <c r="BZ1119">
        <f>$C1119*BZ1118</f>
        <v/>
      </c>
      <c r="CA1119">
        <f>$C1119*CA1118</f>
        <v/>
      </c>
      <c r="CB1119">
        <f>$C1119*CB1118</f>
        <v/>
      </c>
      <c r="CC1119">
        <f>$C1119*CC1118</f>
        <v/>
      </c>
      <c r="CD1119">
        <f>$C1119*CD1118</f>
        <v/>
      </c>
      <c r="CE1119">
        <f>$C1119*CE1118</f>
        <v/>
      </c>
      <c r="CF1119">
        <f>$C1119*CF1118</f>
        <v/>
      </c>
      <c r="CG1119">
        <f>$C1119*CG1118</f>
        <v/>
      </c>
      <c r="CH1119">
        <f>$C1119*CH1118</f>
        <v/>
      </c>
      <c r="CI1119">
        <f>$C1119*CI1118</f>
        <v/>
      </c>
      <c r="CJ1119">
        <f>$C1119*CJ1118</f>
        <v/>
      </c>
      <c r="CK1119">
        <f>$C1119*CK1118</f>
        <v/>
      </c>
      <c r="CL1119">
        <f>$C1119*CL1118</f>
        <v/>
      </c>
      <c r="CM1119">
        <f>$C1119*CM1118</f>
        <v/>
      </c>
      <c r="CN1119">
        <f>$C1119*CN1118</f>
        <v/>
      </c>
      <c r="CO1119">
        <f>$C1119*CO1118</f>
        <v/>
      </c>
      <c r="CP1119">
        <f>$C1119*CP1118</f>
        <v/>
      </c>
      <c r="CQ1119">
        <f>$C1119*CQ1118</f>
        <v/>
      </c>
      <c r="CR1119">
        <f>$C1119*CR1118</f>
        <v/>
      </c>
      <c r="CS1119">
        <f>$C1119*CS1118</f>
        <v/>
      </c>
      <c r="CT1119">
        <f>$C1119*CT1118</f>
        <v/>
      </c>
      <c r="CU1119">
        <f>$C1119*CU1118</f>
        <v/>
      </c>
      <c r="CV1119">
        <f>$C1119*CV1118</f>
        <v/>
      </c>
      <c r="CW1119">
        <f>$C1119*CW1118</f>
        <v/>
      </c>
      <c r="CX1119">
        <f>$C1119*CX1118</f>
        <v/>
      </c>
      <c r="CY1119">
        <f>$C1119*CY1118</f>
        <v/>
      </c>
      <c r="CZ1119">
        <f>$C1119*CZ1118</f>
        <v/>
      </c>
      <c r="DA1119">
        <f>$C1119*DA1118</f>
        <v/>
      </c>
      <c r="DB1119">
        <f>$C1119*DB1118</f>
        <v/>
      </c>
      <c r="DC1119">
        <f>$C1119*DC1118</f>
        <v/>
      </c>
    </row>
    <row r="1120">
      <c r="B1120" t="inlineStr">
        <is>
          <t>TSP-903</t>
        </is>
      </c>
      <c r="C1120" t="inlineStr">
        <is>
          <t>No. of batches</t>
        </is>
      </c>
      <c r="D1120">
        <f>IFERROR(INDEX(PP_Grid[#Data],$DD1120,2),0)</f>
        <v/>
      </c>
      <c r="E1120">
        <f>IFERROR(INDEX(PP_Grid[#Data],$DD1120,3),0)</f>
        <v/>
      </c>
      <c r="F1120">
        <f>IFERROR(INDEX(PP_Grid[#Data],$DD1120,4),0)</f>
        <v/>
      </c>
      <c r="G1120">
        <f>IFERROR(INDEX(PP_Grid[#Data],$DD1120,5),0)</f>
        <v/>
      </c>
      <c r="H1120">
        <f>IFERROR(INDEX(PP_Grid[#Data],$DD1120,6),0)</f>
        <v/>
      </c>
      <c r="I1120">
        <f>IFERROR(INDEX(PP_Grid[#Data],$DD1120,7),0)</f>
        <v/>
      </c>
      <c r="J1120">
        <f>IFERROR(INDEX(PP_Grid[#Data],$DD1120,8),0)</f>
        <v/>
      </c>
      <c r="K1120">
        <f>IFERROR(INDEX(PP_Grid[#Data],$DD1120,9),0)</f>
        <v/>
      </c>
      <c r="L1120">
        <f>IFERROR(INDEX(PP_Grid[#Data],$DD1120,10),0)</f>
        <v/>
      </c>
      <c r="M1120">
        <f>IFERROR(INDEX(PP_Grid[#Data],$DD1120,11),0)</f>
        <v/>
      </c>
      <c r="N1120">
        <f>IFERROR(INDEX(PP_Grid[#Data],$DD1120,12),0)</f>
        <v/>
      </c>
      <c r="O1120">
        <f>IFERROR(INDEX(PP_Grid[#Data],$DD1120,13),0)</f>
        <v/>
      </c>
      <c r="P1120">
        <f>IFERROR(INDEX(PP_Grid[#Data],$DD1120,14),0)</f>
        <v/>
      </c>
      <c r="Q1120">
        <f>IFERROR(INDEX(PP_Grid[#Data],$DD1120,15),0)</f>
        <v/>
      </c>
      <c r="R1120">
        <f>IFERROR(INDEX(PP_Grid[#Data],$DD1120,16),0)</f>
        <v/>
      </c>
      <c r="S1120">
        <f>IFERROR(INDEX(PP_Grid[#Data],$DD1120,17),0)</f>
        <v/>
      </c>
      <c r="T1120">
        <f>IFERROR(INDEX(PP_Grid[#Data],$DD1120,18),0)</f>
        <v/>
      </c>
      <c r="U1120">
        <f>IFERROR(INDEX(PP_Grid[#Data],$DD1120,19),0)</f>
        <v/>
      </c>
      <c r="V1120">
        <f>IFERROR(INDEX(PP_Grid[#Data],$DD1120,20),0)</f>
        <v/>
      </c>
      <c r="W1120">
        <f>IFERROR(INDEX(PP_Grid[#Data],$DD1120,21),0)</f>
        <v/>
      </c>
      <c r="X1120">
        <f>IFERROR(INDEX(PP_Grid[#Data],$DD1120,22),0)</f>
        <v/>
      </c>
      <c r="Y1120">
        <f>IFERROR(INDEX(PP_Grid[#Data],$DD1120,23),0)</f>
        <v/>
      </c>
      <c r="Z1120">
        <f>IFERROR(INDEX(PP_Grid[#Data],$DD1120,24),0)</f>
        <v/>
      </c>
      <c r="AA1120">
        <f>IFERROR(INDEX(PP_Grid[#Data],$DD1120,25),0)</f>
        <v/>
      </c>
      <c r="AB1120">
        <f>IFERROR(INDEX(PP_Grid[#Data],$DD1120,26),0)</f>
        <v/>
      </c>
      <c r="AC1120">
        <f>IFERROR(INDEX(PP_Grid[#Data],$DD1120,27),0)</f>
        <v/>
      </c>
      <c r="AD1120">
        <f>IFERROR(INDEX(PP_Grid[#Data],$DD1120,28),0)</f>
        <v/>
      </c>
      <c r="AE1120">
        <f>IFERROR(INDEX(PP_Grid[#Data],$DD1120,29),0)</f>
        <v/>
      </c>
      <c r="AF1120">
        <f>IFERROR(INDEX(PP_Grid[#Data],$DD1120,30),0)</f>
        <v/>
      </c>
      <c r="AG1120">
        <f>IFERROR(INDEX(PP_Grid[#Data],$DD1120,31),0)</f>
        <v/>
      </c>
      <c r="AH1120">
        <f>IFERROR(INDEX(PP_Grid[#Data],$DD1120,32),0)</f>
        <v/>
      </c>
      <c r="AI1120">
        <f>IFERROR(INDEX(PP_Grid[#Data],$DD1120,33),0)</f>
        <v/>
      </c>
      <c r="AJ1120">
        <f>IFERROR(INDEX(PP_Grid[#Data],$DD1120,34),0)</f>
        <v/>
      </c>
      <c r="AK1120">
        <f>IFERROR(INDEX(PP_Grid[#Data],$DD1120,35),0)</f>
        <v/>
      </c>
      <c r="AL1120">
        <f>IFERROR(INDEX(PP_Grid[#Data],$DD1120,36),0)</f>
        <v/>
      </c>
      <c r="AM1120">
        <f>IFERROR(INDEX(PP_Grid[#Data],$DD1120,37),0)</f>
        <v/>
      </c>
      <c r="AN1120">
        <f>IFERROR(INDEX(PP_Grid[#Data],$DD1120,38),0)</f>
        <v/>
      </c>
      <c r="AO1120">
        <f>IFERROR(INDEX(PP_Grid[#Data],$DD1120,39),0)</f>
        <v/>
      </c>
      <c r="AP1120">
        <f>IFERROR(INDEX(PP_Grid[#Data],$DD1120,40),0)</f>
        <v/>
      </c>
      <c r="AQ1120">
        <f>IFERROR(INDEX(PP_Grid[#Data],$DD1120,41),0)</f>
        <v/>
      </c>
      <c r="AR1120">
        <f>IFERROR(INDEX(PP_Grid[#Data],$DD1120,42),0)</f>
        <v/>
      </c>
      <c r="AS1120">
        <f>IFERROR(INDEX(PP_Grid[#Data],$DD1120,43),0)</f>
        <v/>
      </c>
      <c r="AT1120">
        <f>IFERROR(INDEX(PP_Grid[#Data],$DD1120,44),0)</f>
        <v/>
      </c>
      <c r="AU1120">
        <f>IFERROR(INDEX(PP_Grid[#Data],$DD1120,45),0)</f>
        <v/>
      </c>
      <c r="AV1120">
        <f>IFERROR(INDEX(PP_Grid[#Data],$DD1120,46),0)</f>
        <v/>
      </c>
      <c r="AW1120">
        <f>IFERROR(INDEX(PP_Grid[#Data],$DD1120,47),0)</f>
        <v/>
      </c>
      <c r="AX1120">
        <f>IFERROR(INDEX(PP_Grid[#Data],$DD1120,48),0)</f>
        <v/>
      </c>
      <c r="AY1120">
        <f>IFERROR(INDEX(PP_Grid[#Data],$DD1120,49),0)</f>
        <v/>
      </c>
      <c r="AZ1120">
        <f>IFERROR(INDEX(PP_Grid[#Data],$DD1120,50),0)</f>
        <v/>
      </c>
      <c r="BA1120">
        <f>IFERROR(INDEX(PP_Grid[#Data],$DD1120,51),0)</f>
        <v/>
      </c>
      <c r="BB1120">
        <f>IFERROR(INDEX(PP_Grid[#Data],$DD1120,52),0)</f>
        <v/>
      </c>
      <c r="BC1120">
        <f>IFERROR(INDEX(PP_Grid[#Data],$DD1120,53),0)</f>
        <v/>
      </c>
      <c r="BD1120">
        <f>IFERROR(INDEX(PP_Grid[#Data],$DD1120,54),0)</f>
        <v/>
      </c>
      <c r="BE1120">
        <f>IFERROR(INDEX(PP_Grid[#Data],$DD1120,55),0)</f>
        <v/>
      </c>
      <c r="BF1120">
        <f>IFERROR(INDEX(PP_Grid[#Data],$DD1120,56),0)</f>
        <v/>
      </c>
      <c r="BG1120">
        <f>IFERROR(INDEX(PP_Grid[#Data],$DD1120,57),0)</f>
        <v/>
      </c>
      <c r="BH1120">
        <f>IFERROR(INDEX(PP_Grid[#Data],$DD1120,58),0)</f>
        <v/>
      </c>
      <c r="BI1120">
        <f>IFERROR(INDEX(PP_Grid[#Data],$DD1120,59),0)</f>
        <v/>
      </c>
      <c r="BJ1120">
        <f>IFERROR(INDEX(PP_Grid[#Data],$DD1120,60),0)</f>
        <v/>
      </c>
      <c r="BK1120">
        <f>IFERROR(INDEX(PP_Grid[#Data],$DD1120,61),0)</f>
        <v/>
      </c>
      <c r="BL1120">
        <f>IFERROR(INDEX(PP_Grid[#Data],$DD1120,62),0)</f>
        <v/>
      </c>
      <c r="BM1120">
        <f>IFERROR(INDEX(PP_Grid[#Data],$DD1120,63),0)</f>
        <v/>
      </c>
      <c r="BN1120">
        <f>IFERROR(INDEX(PP_Grid[#Data],$DD1120,64),0)</f>
        <v/>
      </c>
      <c r="BO1120">
        <f>IFERROR(INDEX(PP_Grid[#Data],$DD1120,65),0)</f>
        <v/>
      </c>
      <c r="BP1120">
        <f>IFERROR(INDEX(PP_Grid[#Data],$DD1120,66),0)</f>
        <v/>
      </c>
      <c r="BQ1120">
        <f>IFERROR(INDEX(PP_Grid[#Data],$DD1120,67),0)</f>
        <v/>
      </c>
      <c r="BR1120">
        <f>IFERROR(INDEX(PP_Grid[#Data],$DD1120,68),0)</f>
        <v/>
      </c>
      <c r="BS1120">
        <f>IFERROR(INDEX(PP_Grid[#Data],$DD1120,69),0)</f>
        <v/>
      </c>
      <c r="BT1120">
        <f>IFERROR(INDEX(PP_Grid[#Data],$DD1120,70),0)</f>
        <v/>
      </c>
      <c r="BU1120">
        <f>IFERROR(INDEX(PP_Grid[#Data],$DD1120,71),0)</f>
        <v/>
      </c>
      <c r="BV1120">
        <f>IFERROR(INDEX(PP_Grid[#Data],$DD1120,72),0)</f>
        <v/>
      </c>
      <c r="BW1120">
        <f>IFERROR(INDEX(PP_Grid[#Data],$DD1120,73),0)</f>
        <v/>
      </c>
      <c r="BX1120">
        <f>IFERROR(INDEX(PP_Grid[#Data],$DD1120,74),0)</f>
        <v/>
      </c>
      <c r="BY1120">
        <f>IFERROR(INDEX(PP_Grid[#Data],$DD1120,75),0)</f>
        <v/>
      </c>
      <c r="BZ1120">
        <f>IFERROR(INDEX(PP_Grid[#Data],$DD1120,76),0)</f>
        <v/>
      </c>
      <c r="CA1120">
        <f>IFERROR(INDEX(PP_Grid[#Data],$DD1120,77),0)</f>
        <v/>
      </c>
      <c r="CB1120">
        <f>IFERROR(INDEX(PP_Grid[#Data],$DD1120,78),0)</f>
        <v/>
      </c>
      <c r="CC1120">
        <f>IFERROR(INDEX(PP_Grid[#Data],$DD1120,79),0)</f>
        <v/>
      </c>
      <c r="CD1120">
        <f>IFERROR(INDEX(PP_Grid[#Data],$DD1120,80),0)</f>
        <v/>
      </c>
      <c r="CE1120">
        <f>IFERROR(INDEX(PP_Grid[#Data],$DD1120,81),0)</f>
        <v/>
      </c>
      <c r="CF1120">
        <f>IFERROR(INDEX(PP_Grid[#Data],$DD1120,82),0)</f>
        <v/>
      </c>
      <c r="CG1120">
        <f>IFERROR(INDEX(PP_Grid[#Data],$DD1120,83),0)</f>
        <v/>
      </c>
      <c r="CH1120">
        <f>IFERROR(INDEX(PP_Grid[#Data],$DD1120,84),0)</f>
        <v/>
      </c>
      <c r="CI1120">
        <f>IFERROR(INDEX(PP_Grid[#Data],$DD1120,85),0)</f>
        <v/>
      </c>
      <c r="CJ1120">
        <f>IFERROR(INDEX(PP_Grid[#Data],$DD1120,86),0)</f>
        <v/>
      </c>
      <c r="CK1120">
        <f>IFERROR(INDEX(PP_Grid[#Data],$DD1120,87),0)</f>
        <v/>
      </c>
      <c r="CL1120">
        <f>IFERROR(INDEX(PP_Grid[#Data],$DD1120,88),0)</f>
        <v/>
      </c>
      <c r="CM1120">
        <f>IFERROR(INDEX(PP_Grid[#Data],$DD1120,89),0)</f>
        <v/>
      </c>
      <c r="CN1120">
        <f>IFERROR(INDEX(PP_Grid[#Data],$DD1120,90),0)</f>
        <v/>
      </c>
      <c r="CO1120">
        <f>IFERROR(INDEX(PP_Grid[#Data],$DD1120,91),0)</f>
        <v/>
      </c>
      <c r="CP1120">
        <f>IFERROR(INDEX(PP_Grid[#Data],$DD1120,92),0)</f>
        <v/>
      </c>
      <c r="CQ1120">
        <f>IFERROR(INDEX(PP_Grid[#Data],$DD1120,93),0)</f>
        <v/>
      </c>
      <c r="CR1120">
        <f>IFERROR(INDEX(PP_Grid[#Data],$DD1120,94),0)</f>
        <v/>
      </c>
      <c r="CS1120">
        <f>IFERROR(INDEX(PP_Grid[#Data],$DD1120,95),0)</f>
        <v/>
      </c>
      <c r="CT1120">
        <f>IFERROR(INDEX(PP_Grid[#Data],$DD1120,96),0)</f>
        <v/>
      </c>
      <c r="CU1120">
        <f>IFERROR(INDEX(PP_Grid[#Data],$DD1120,97),0)</f>
        <v/>
      </c>
      <c r="CV1120">
        <f>IFERROR(INDEX(PP_Grid[#Data],$DD1120,98),0)</f>
        <v/>
      </c>
      <c r="CW1120">
        <f>IFERROR(INDEX(PP_Grid[#Data],$DD1120,99),0)</f>
        <v/>
      </c>
      <c r="CX1120">
        <f>IFERROR(INDEX(PP_Grid[#Data],$DD1120,100),0)</f>
        <v/>
      </c>
      <c r="CY1120">
        <f>IFERROR(INDEX(PP_Grid[#Data],$DD1120,101),0)</f>
        <v/>
      </c>
      <c r="CZ1120">
        <f>IFERROR(INDEX(PP_Grid[#Data],$DD1120,102),0)</f>
        <v/>
      </c>
      <c r="DA1120">
        <f>IFERROR(INDEX(PP_Grid[#Data],$DD1120,103),0)</f>
        <v/>
      </c>
      <c r="DB1120">
        <f>IFERROR(INDEX(PP_Grid[#Data],$DD1120,104),0)</f>
        <v/>
      </c>
      <c r="DC1120">
        <f>IFERROR(INDEX(PP_Grid[#Data],$DD1120,105),0)</f>
        <v/>
      </c>
      <c r="DD1120" s="7">
        <f>IFERROR(MATCH($B1120,PP_Grid[Intermediate],0),99999)</f>
        <v/>
      </c>
    </row>
    <row r="1121">
      <c r="B1121" t="inlineStr">
        <is>
          <t>使用量(kg)</t>
        </is>
      </c>
      <c r="C1121">
        <f>SUMIFS(M_BOM[RM_Qty_Per_Batch],M_BOM[Intermediate],$B1120,M_BOM[Part Name],$A1099)</f>
        <v/>
      </c>
      <c r="D1121">
        <f>$C1121*D1120</f>
        <v/>
      </c>
      <c r="E1121">
        <f>$C1121*E1120</f>
        <v/>
      </c>
      <c r="F1121">
        <f>$C1121*F1120</f>
        <v/>
      </c>
      <c r="G1121">
        <f>$C1121*G1120</f>
        <v/>
      </c>
      <c r="H1121">
        <f>$C1121*H1120</f>
        <v/>
      </c>
      <c r="I1121">
        <f>$C1121*I1120</f>
        <v/>
      </c>
      <c r="J1121">
        <f>$C1121*J1120</f>
        <v/>
      </c>
      <c r="K1121">
        <f>$C1121*K1120</f>
        <v/>
      </c>
      <c r="L1121">
        <f>$C1121*L1120</f>
        <v/>
      </c>
      <c r="M1121">
        <f>$C1121*M1120</f>
        <v/>
      </c>
      <c r="N1121">
        <f>$C1121*N1120</f>
        <v/>
      </c>
      <c r="O1121">
        <f>$C1121*O1120</f>
        <v/>
      </c>
      <c r="P1121">
        <f>$C1121*P1120</f>
        <v/>
      </c>
      <c r="Q1121">
        <f>$C1121*Q1120</f>
        <v/>
      </c>
      <c r="R1121">
        <f>$C1121*R1120</f>
        <v/>
      </c>
      <c r="S1121">
        <f>$C1121*S1120</f>
        <v/>
      </c>
      <c r="T1121">
        <f>$C1121*T1120</f>
        <v/>
      </c>
      <c r="U1121">
        <f>$C1121*U1120</f>
        <v/>
      </c>
      <c r="V1121">
        <f>$C1121*V1120</f>
        <v/>
      </c>
      <c r="W1121">
        <f>$C1121*W1120</f>
        <v/>
      </c>
      <c r="X1121">
        <f>$C1121*X1120</f>
        <v/>
      </c>
      <c r="Y1121">
        <f>$C1121*Y1120</f>
        <v/>
      </c>
      <c r="Z1121">
        <f>$C1121*Z1120</f>
        <v/>
      </c>
      <c r="AA1121">
        <f>$C1121*AA1120</f>
        <v/>
      </c>
      <c r="AB1121">
        <f>$C1121*AB1120</f>
        <v/>
      </c>
      <c r="AC1121">
        <f>$C1121*AC1120</f>
        <v/>
      </c>
      <c r="AD1121">
        <f>$C1121*AD1120</f>
        <v/>
      </c>
      <c r="AE1121">
        <f>$C1121*AE1120</f>
        <v/>
      </c>
      <c r="AF1121">
        <f>$C1121*AF1120</f>
        <v/>
      </c>
      <c r="AG1121">
        <f>$C1121*AG1120</f>
        <v/>
      </c>
      <c r="AH1121">
        <f>$C1121*AH1120</f>
        <v/>
      </c>
      <c r="AI1121">
        <f>$C1121*AI1120</f>
        <v/>
      </c>
      <c r="AJ1121">
        <f>$C1121*AJ1120</f>
        <v/>
      </c>
      <c r="AK1121">
        <f>$C1121*AK1120</f>
        <v/>
      </c>
      <c r="AL1121">
        <f>$C1121*AL1120</f>
        <v/>
      </c>
      <c r="AM1121">
        <f>$C1121*AM1120</f>
        <v/>
      </c>
      <c r="AN1121">
        <f>$C1121*AN1120</f>
        <v/>
      </c>
      <c r="AO1121">
        <f>$C1121*AO1120</f>
        <v/>
      </c>
      <c r="AP1121">
        <f>$C1121*AP1120</f>
        <v/>
      </c>
      <c r="AQ1121">
        <f>$C1121*AQ1120</f>
        <v/>
      </c>
      <c r="AR1121">
        <f>$C1121*AR1120</f>
        <v/>
      </c>
      <c r="AS1121">
        <f>$C1121*AS1120</f>
        <v/>
      </c>
      <c r="AT1121">
        <f>$C1121*AT1120</f>
        <v/>
      </c>
      <c r="AU1121">
        <f>$C1121*AU1120</f>
        <v/>
      </c>
      <c r="AV1121">
        <f>$C1121*AV1120</f>
        <v/>
      </c>
      <c r="AW1121">
        <f>$C1121*AW1120</f>
        <v/>
      </c>
      <c r="AX1121">
        <f>$C1121*AX1120</f>
        <v/>
      </c>
      <c r="AY1121">
        <f>$C1121*AY1120</f>
        <v/>
      </c>
      <c r="AZ1121">
        <f>$C1121*AZ1120</f>
        <v/>
      </c>
      <c r="BA1121">
        <f>$C1121*BA1120</f>
        <v/>
      </c>
      <c r="BB1121">
        <f>$C1121*BB1120</f>
        <v/>
      </c>
      <c r="BC1121">
        <f>$C1121*BC1120</f>
        <v/>
      </c>
      <c r="BD1121">
        <f>$C1121*BD1120</f>
        <v/>
      </c>
      <c r="BE1121">
        <f>$C1121*BE1120</f>
        <v/>
      </c>
      <c r="BF1121">
        <f>$C1121*BF1120</f>
        <v/>
      </c>
      <c r="BG1121">
        <f>$C1121*BG1120</f>
        <v/>
      </c>
      <c r="BH1121">
        <f>$C1121*BH1120</f>
        <v/>
      </c>
      <c r="BI1121">
        <f>$C1121*BI1120</f>
        <v/>
      </c>
      <c r="BJ1121">
        <f>$C1121*BJ1120</f>
        <v/>
      </c>
      <c r="BK1121">
        <f>$C1121*BK1120</f>
        <v/>
      </c>
      <c r="BL1121">
        <f>$C1121*BL1120</f>
        <v/>
      </c>
      <c r="BM1121">
        <f>$C1121*BM1120</f>
        <v/>
      </c>
      <c r="BN1121">
        <f>$C1121*BN1120</f>
        <v/>
      </c>
      <c r="BO1121">
        <f>$C1121*BO1120</f>
        <v/>
      </c>
      <c r="BP1121">
        <f>$C1121*BP1120</f>
        <v/>
      </c>
      <c r="BQ1121">
        <f>$C1121*BQ1120</f>
        <v/>
      </c>
      <c r="BR1121">
        <f>$C1121*BR1120</f>
        <v/>
      </c>
      <c r="BS1121">
        <f>$C1121*BS1120</f>
        <v/>
      </c>
      <c r="BT1121">
        <f>$C1121*BT1120</f>
        <v/>
      </c>
      <c r="BU1121">
        <f>$C1121*BU1120</f>
        <v/>
      </c>
      <c r="BV1121">
        <f>$C1121*BV1120</f>
        <v/>
      </c>
      <c r="BW1121">
        <f>$C1121*BW1120</f>
        <v/>
      </c>
      <c r="BX1121">
        <f>$C1121*BX1120</f>
        <v/>
      </c>
      <c r="BY1121">
        <f>$C1121*BY1120</f>
        <v/>
      </c>
      <c r="BZ1121">
        <f>$C1121*BZ1120</f>
        <v/>
      </c>
      <c r="CA1121">
        <f>$C1121*CA1120</f>
        <v/>
      </c>
      <c r="CB1121">
        <f>$C1121*CB1120</f>
        <v/>
      </c>
      <c r="CC1121">
        <f>$C1121*CC1120</f>
        <v/>
      </c>
      <c r="CD1121">
        <f>$C1121*CD1120</f>
        <v/>
      </c>
      <c r="CE1121">
        <f>$C1121*CE1120</f>
        <v/>
      </c>
      <c r="CF1121">
        <f>$C1121*CF1120</f>
        <v/>
      </c>
      <c r="CG1121">
        <f>$C1121*CG1120</f>
        <v/>
      </c>
      <c r="CH1121">
        <f>$C1121*CH1120</f>
        <v/>
      </c>
      <c r="CI1121">
        <f>$C1121*CI1120</f>
        <v/>
      </c>
      <c r="CJ1121">
        <f>$C1121*CJ1120</f>
        <v/>
      </c>
      <c r="CK1121">
        <f>$C1121*CK1120</f>
        <v/>
      </c>
      <c r="CL1121">
        <f>$C1121*CL1120</f>
        <v/>
      </c>
      <c r="CM1121">
        <f>$C1121*CM1120</f>
        <v/>
      </c>
      <c r="CN1121">
        <f>$C1121*CN1120</f>
        <v/>
      </c>
      <c r="CO1121">
        <f>$C1121*CO1120</f>
        <v/>
      </c>
      <c r="CP1121">
        <f>$C1121*CP1120</f>
        <v/>
      </c>
      <c r="CQ1121">
        <f>$C1121*CQ1120</f>
        <v/>
      </c>
      <c r="CR1121">
        <f>$C1121*CR1120</f>
        <v/>
      </c>
      <c r="CS1121">
        <f>$C1121*CS1120</f>
        <v/>
      </c>
      <c r="CT1121">
        <f>$C1121*CT1120</f>
        <v/>
      </c>
      <c r="CU1121">
        <f>$C1121*CU1120</f>
        <v/>
      </c>
      <c r="CV1121">
        <f>$C1121*CV1120</f>
        <v/>
      </c>
      <c r="CW1121">
        <f>$C1121*CW1120</f>
        <v/>
      </c>
      <c r="CX1121">
        <f>$C1121*CX1120</f>
        <v/>
      </c>
      <c r="CY1121">
        <f>$C1121*CY1120</f>
        <v/>
      </c>
      <c r="CZ1121">
        <f>$C1121*CZ1120</f>
        <v/>
      </c>
      <c r="DA1121">
        <f>$C1121*DA1120</f>
        <v/>
      </c>
      <c r="DB1121">
        <f>$C1121*DB1120</f>
        <v/>
      </c>
      <c r="DC1121">
        <f>$C1121*DC1120</f>
        <v/>
      </c>
    </row>
    <row r="1122">
      <c r="B1122" t="inlineStr">
        <is>
          <t>TSP-935</t>
        </is>
      </c>
      <c r="C1122" t="inlineStr">
        <is>
          <t>No. of batches</t>
        </is>
      </c>
      <c r="D1122">
        <f>IFERROR(INDEX(PP_Grid[#Data],$DD1122,2),0)</f>
        <v/>
      </c>
      <c r="E1122">
        <f>IFERROR(INDEX(PP_Grid[#Data],$DD1122,3),0)</f>
        <v/>
      </c>
      <c r="F1122">
        <f>IFERROR(INDEX(PP_Grid[#Data],$DD1122,4),0)</f>
        <v/>
      </c>
      <c r="G1122">
        <f>IFERROR(INDEX(PP_Grid[#Data],$DD1122,5),0)</f>
        <v/>
      </c>
      <c r="H1122">
        <f>IFERROR(INDEX(PP_Grid[#Data],$DD1122,6),0)</f>
        <v/>
      </c>
      <c r="I1122">
        <f>IFERROR(INDEX(PP_Grid[#Data],$DD1122,7),0)</f>
        <v/>
      </c>
      <c r="J1122">
        <f>IFERROR(INDEX(PP_Grid[#Data],$DD1122,8),0)</f>
        <v/>
      </c>
      <c r="K1122">
        <f>IFERROR(INDEX(PP_Grid[#Data],$DD1122,9),0)</f>
        <v/>
      </c>
      <c r="L1122">
        <f>IFERROR(INDEX(PP_Grid[#Data],$DD1122,10),0)</f>
        <v/>
      </c>
      <c r="M1122">
        <f>IFERROR(INDEX(PP_Grid[#Data],$DD1122,11),0)</f>
        <v/>
      </c>
      <c r="N1122">
        <f>IFERROR(INDEX(PP_Grid[#Data],$DD1122,12),0)</f>
        <v/>
      </c>
      <c r="O1122">
        <f>IFERROR(INDEX(PP_Grid[#Data],$DD1122,13),0)</f>
        <v/>
      </c>
      <c r="P1122">
        <f>IFERROR(INDEX(PP_Grid[#Data],$DD1122,14),0)</f>
        <v/>
      </c>
      <c r="Q1122">
        <f>IFERROR(INDEX(PP_Grid[#Data],$DD1122,15),0)</f>
        <v/>
      </c>
      <c r="R1122">
        <f>IFERROR(INDEX(PP_Grid[#Data],$DD1122,16),0)</f>
        <v/>
      </c>
      <c r="S1122">
        <f>IFERROR(INDEX(PP_Grid[#Data],$DD1122,17),0)</f>
        <v/>
      </c>
      <c r="T1122">
        <f>IFERROR(INDEX(PP_Grid[#Data],$DD1122,18),0)</f>
        <v/>
      </c>
      <c r="U1122">
        <f>IFERROR(INDEX(PP_Grid[#Data],$DD1122,19),0)</f>
        <v/>
      </c>
      <c r="V1122">
        <f>IFERROR(INDEX(PP_Grid[#Data],$DD1122,20),0)</f>
        <v/>
      </c>
      <c r="W1122">
        <f>IFERROR(INDEX(PP_Grid[#Data],$DD1122,21),0)</f>
        <v/>
      </c>
      <c r="X1122">
        <f>IFERROR(INDEX(PP_Grid[#Data],$DD1122,22),0)</f>
        <v/>
      </c>
      <c r="Y1122">
        <f>IFERROR(INDEX(PP_Grid[#Data],$DD1122,23),0)</f>
        <v/>
      </c>
      <c r="Z1122">
        <f>IFERROR(INDEX(PP_Grid[#Data],$DD1122,24),0)</f>
        <v/>
      </c>
      <c r="AA1122">
        <f>IFERROR(INDEX(PP_Grid[#Data],$DD1122,25),0)</f>
        <v/>
      </c>
      <c r="AB1122">
        <f>IFERROR(INDEX(PP_Grid[#Data],$DD1122,26),0)</f>
        <v/>
      </c>
      <c r="AC1122">
        <f>IFERROR(INDEX(PP_Grid[#Data],$DD1122,27),0)</f>
        <v/>
      </c>
      <c r="AD1122">
        <f>IFERROR(INDEX(PP_Grid[#Data],$DD1122,28),0)</f>
        <v/>
      </c>
      <c r="AE1122">
        <f>IFERROR(INDEX(PP_Grid[#Data],$DD1122,29),0)</f>
        <v/>
      </c>
      <c r="AF1122">
        <f>IFERROR(INDEX(PP_Grid[#Data],$DD1122,30),0)</f>
        <v/>
      </c>
      <c r="AG1122">
        <f>IFERROR(INDEX(PP_Grid[#Data],$DD1122,31),0)</f>
        <v/>
      </c>
      <c r="AH1122">
        <f>IFERROR(INDEX(PP_Grid[#Data],$DD1122,32),0)</f>
        <v/>
      </c>
      <c r="AI1122">
        <f>IFERROR(INDEX(PP_Grid[#Data],$DD1122,33),0)</f>
        <v/>
      </c>
      <c r="AJ1122">
        <f>IFERROR(INDEX(PP_Grid[#Data],$DD1122,34),0)</f>
        <v/>
      </c>
      <c r="AK1122">
        <f>IFERROR(INDEX(PP_Grid[#Data],$DD1122,35),0)</f>
        <v/>
      </c>
      <c r="AL1122">
        <f>IFERROR(INDEX(PP_Grid[#Data],$DD1122,36),0)</f>
        <v/>
      </c>
      <c r="AM1122">
        <f>IFERROR(INDEX(PP_Grid[#Data],$DD1122,37),0)</f>
        <v/>
      </c>
      <c r="AN1122">
        <f>IFERROR(INDEX(PP_Grid[#Data],$DD1122,38),0)</f>
        <v/>
      </c>
      <c r="AO1122">
        <f>IFERROR(INDEX(PP_Grid[#Data],$DD1122,39),0)</f>
        <v/>
      </c>
      <c r="AP1122">
        <f>IFERROR(INDEX(PP_Grid[#Data],$DD1122,40),0)</f>
        <v/>
      </c>
      <c r="AQ1122">
        <f>IFERROR(INDEX(PP_Grid[#Data],$DD1122,41),0)</f>
        <v/>
      </c>
      <c r="AR1122">
        <f>IFERROR(INDEX(PP_Grid[#Data],$DD1122,42),0)</f>
        <v/>
      </c>
      <c r="AS1122">
        <f>IFERROR(INDEX(PP_Grid[#Data],$DD1122,43),0)</f>
        <v/>
      </c>
      <c r="AT1122">
        <f>IFERROR(INDEX(PP_Grid[#Data],$DD1122,44),0)</f>
        <v/>
      </c>
      <c r="AU1122">
        <f>IFERROR(INDEX(PP_Grid[#Data],$DD1122,45),0)</f>
        <v/>
      </c>
      <c r="AV1122">
        <f>IFERROR(INDEX(PP_Grid[#Data],$DD1122,46),0)</f>
        <v/>
      </c>
      <c r="AW1122">
        <f>IFERROR(INDEX(PP_Grid[#Data],$DD1122,47),0)</f>
        <v/>
      </c>
      <c r="AX1122">
        <f>IFERROR(INDEX(PP_Grid[#Data],$DD1122,48),0)</f>
        <v/>
      </c>
      <c r="AY1122">
        <f>IFERROR(INDEX(PP_Grid[#Data],$DD1122,49),0)</f>
        <v/>
      </c>
      <c r="AZ1122">
        <f>IFERROR(INDEX(PP_Grid[#Data],$DD1122,50),0)</f>
        <v/>
      </c>
      <c r="BA1122">
        <f>IFERROR(INDEX(PP_Grid[#Data],$DD1122,51),0)</f>
        <v/>
      </c>
      <c r="BB1122">
        <f>IFERROR(INDEX(PP_Grid[#Data],$DD1122,52),0)</f>
        <v/>
      </c>
      <c r="BC1122">
        <f>IFERROR(INDEX(PP_Grid[#Data],$DD1122,53),0)</f>
        <v/>
      </c>
      <c r="BD1122">
        <f>IFERROR(INDEX(PP_Grid[#Data],$DD1122,54),0)</f>
        <v/>
      </c>
      <c r="BE1122">
        <f>IFERROR(INDEX(PP_Grid[#Data],$DD1122,55),0)</f>
        <v/>
      </c>
      <c r="BF1122">
        <f>IFERROR(INDEX(PP_Grid[#Data],$DD1122,56),0)</f>
        <v/>
      </c>
      <c r="BG1122">
        <f>IFERROR(INDEX(PP_Grid[#Data],$DD1122,57),0)</f>
        <v/>
      </c>
      <c r="BH1122">
        <f>IFERROR(INDEX(PP_Grid[#Data],$DD1122,58),0)</f>
        <v/>
      </c>
      <c r="BI1122">
        <f>IFERROR(INDEX(PP_Grid[#Data],$DD1122,59),0)</f>
        <v/>
      </c>
      <c r="BJ1122">
        <f>IFERROR(INDEX(PP_Grid[#Data],$DD1122,60),0)</f>
        <v/>
      </c>
      <c r="BK1122">
        <f>IFERROR(INDEX(PP_Grid[#Data],$DD1122,61),0)</f>
        <v/>
      </c>
      <c r="BL1122">
        <f>IFERROR(INDEX(PP_Grid[#Data],$DD1122,62),0)</f>
        <v/>
      </c>
      <c r="BM1122">
        <f>IFERROR(INDEX(PP_Grid[#Data],$DD1122,63),0)</f>
        <v/>
      </c>
      <c r="BN1122">
        <f>IFERROR(INDEX(PP_Grid[#Data],$DD1122,64),0)</f>
        <v/>
      </c>
      <c r="BO1122">
        <f>IFERROR(INDEX(PP_Grid[#Data],$DD1122,65),0)</f>
        <v/>
      </c>
      <c r="BP1122">
        <f>IFERROR(INDEX(PP_Grid[#Data],$DD1122,66),0)</f>
        <v/>
      </c>
      <c r="BQ1122">
        <f>IFERROR(INDEX(PP_Grid[#Data],$DD1122,67),0)</f>
        <v/>
      </c>
      <c r="BR1122">
        <f>IFERROR(INDEX(PP_Grid[#Data],$DD1122,68),0)</f>
        <v/>
      </c>
      <c r="BS1122">
        <f>IFERROR(INDEX(PP_Grid[#Data],$DD1122,69),0)</f>
        <v/>
      </c>
      <c r="BT1122">
        <f>IFERROR(INDEX(PP_Grid[#Data],$DD1122,70),0)</f>
        <v/>
      </c>
      <c r="BU1122">
        <f>IFERROR(INDEX(PP_Grid[#Data],$DD1122,71),0)</f>
        <v/>
      </c>
      <c r="BV1122">
        <f>IFERROR(INDEX(PP_Grid[#Data],$DD1122,72),0)</f>
        <v/>
      </c>
      <c r="BW1122">
        <f>IFERROR(INDEX(PP_Grid[#Data],$DD1122,73),0)</f>
        <v/>
      </c>
      <c r="BX1122">
        <f>IFERROR(INDEX(PP_Grid[#Data],$DD1122,74),0)</f>
        <v/>
      </c>
      <c r="BY1122">
        <f>IFERROR(INDEX(PP_Grid[#Data],$DD1122,75),0)</f>
        <v/>
      </c>
      <c r="BZ1122">
        <f>IFERROR(INDEX(PP_Grid[#Data],$DD1122,76),0)</f>
        <v/>
      </c>
      <c r="CA1122">
        <f>IFERROR(INDEX(PP_Grid[#Data],$DD1122,77),0)</f>
        <v/>
      </c>
      <c r="CB1122">
        <f>IFERROR(INDEX(PP_Grid[#Data],$DD1122,78),0)</f>
        <v/>
      </c>
      <c r="CC1122">
        <f>IFERROR(INDEX(PP_Grid[#Data],$DD1122,79),0)</f>
        <v/>
      </c>
      <c r="CD1122">
        <f>IFERROR(INDEX(PP_Grid[#Data],$DD1122,80),0)</f>
        <v/>
      </c>
      <c r="CE1122">
        <f>IFERROR(INDEX(PP_Grid[#Data],$DD1122,81),0)</f>
        <v/>
      </c>
      <c r="CF1122">
        <f>IFERROR(INDEX(PP_Grid[#Data],$DD1122,82),0)</f>
        <v/>
      </c>
      <c r="CG1122">
        <f>IFERROR(INDEX(PP_Grid[#Data],$DD1122,83),0)</f>
        <v/>
      </c>
      <c r="CH1122">
        <f>IFERROR(INDEX(PP_Grid[#Data],$DD1122,84),0)</f>
        <v/>
      </c>
      <c r="CI1122">
        <f>IFERROR(INDEX(PP_Grid[#Data],$DD1122,85),0)</f>
        <v/>
      </c>
      <c r="CJ1122">
        <f>IFERROR(INDEX(PP_Grid[#Data],$DD1122,86),0)</f>
        <v/>
      </c>
      <c r="CK1122">
        <f>IFERROR(INDEX(PP_Grid[#Data],$DD1122,87),0)</f>
        <v/>
      </c>
      <c r="CL1122">
        <f>IFERROR(INDEX(PP_Grid[#Data],$DD1122,88),0)</f>
        <v/>
      </c>
      <c r="CM1122">
        <f>IFERROR(INDEX(PP_Grid[#Data],$DD1122,89),0)</f>
        <v/>
      </c>
      <c r="CN1122">
        <f>IFERROR(INDEX(PP_Grid[#Data],$DD1122,90),0)</f>
        <v/>
      </c>
      <c r="CO1122">
        <f>IFERROR(INDEX(PP_Grid[#Data],$DD1122,91),0)</f>
        <v/>
      </c>
      <c r="CP1122">
        <f>IFERROR(INDEX(PP_Grid[#Data],$DD1122,92),0)</f>
        <v/>
      </c>
      <c r="CQ1122">
        <f>IFERROR(INDEX(PP_Grid[#Data],$DD1122,93),0)</f>
        <v/>
      </c>
      <c r="CR1122">
        <f>IFERROR(INDEX(PP_Grid[#Data],$DD1122,94),0)</f>
        <v/>
      </c>
      <c r="CS1122">
        <f>IFERROR(INDEX(PP_Grid[#Data],$DD1122,95),0)</f>
        <v/>
      </c>
      <c r="CT1122">
        <f>IFERROR(INDEX(PP_Grid[#Data],$DD1122,96),0)</f>
        <v/>
      </c>
      <c r="CU1122">
        <f>IFERROR(INDEX(PP_Grid[#Data],$DD1122,97),0)</f>
        <v/>
      </c>
      <c r="CV1122">
        <f>IFERROR(INDEX(PP_Grid[#Data],$DD1122,98),0)</f>
        <v/>
      </c>
      <c r="CW1122">
        <f>IFERROR(INDEX(PP_Grid[#Data],$DD1122,99),0)</f>
        <v/>
      </c>
      <c r="CX1122">
        <f>IFERROR(INDEX(PP_Grid[#Data],$DD1122,100),0)</f>
        <v/>
      </c>
      <c r="CY1122">
        <f>IFERROR(INDEX(PP_Grid[#Data],$DD1122,101),0)</f>
        <v/>
      </c>
      <c r="CZ1122">
        <f>IFERROR(INDEX(PP_Grid[#Data],$DD1122,102),0)</f>
        <v/>
      </c>
      <c r="DA1122">
        <f>IFERROR(INDEX(PP_Grid[#Data],$DD1122,103),0)</f>
        <v/>
      </c>
      <c r="DB1122">
        <f>IFERROR(INDEX(PP_Grid[#Data],$DD1122,104),0)</f>
        <v/>
      </c>
      <c r="DC1122">
        <f>IFERROR(INDEX(PP_Grid[#Data],$DD1122,105),0)</f>
        <v/>
      </c>
      <c r="DD1122" s="7">
        <f>IFERROR(MATCH($B1122,PP_Grid[Intermediate],0),99999)</f>
        <v/>
      </c>
    </row>
    <row r="1123">
      <c r="B1123" t="inlineStr">
        <is>
          <t>使用量(kg)</t>
        </is>
      </c>
      <c r="C1123">
        <f>SUMIFS(M_BOM[RM_Qty_Per_Batch],M_BOM[Intermediate],$B1122,M_BOM[Part Name],$A1099)</f>
        <v/>
      </c>
      <c r="D1123">
        <f>$C1123*D1122</f>
        <v/>
      </c>
      <c r="E1123">
        <f>$C1123*E1122</f>
        <v/>
      </c>
      <c r="F1123">
        <f>$C1123*F1122</f>
        <v/>
      </c>
      <c r="G1123">
        <f>$C1123*G1122</f>
        <v/>
      </c>
      <c r="H1123">
        <f>$C1123*H1122</f>
        <v/>
      </c>
      <c r="I1123">
        <f>$C1123*I1122</f>
        <v/>
      </c>
      <c r="J1123">
        <f>$C1123*J1122</f>
        <v/>
      </c>
      <c r="K1123">
        <f>$C1123*K1122</f>
        <v/>
      </c>
      <c r="L1123">
        <f>$C1123*L1122</f>
        <v/>
      </c>
      <c r="M1123">
        <f>$C1123*M1122</f>
        <v/>
      </c>
      <c r="N1123">
        <f>$C1123*N1122</f>
        <v/>
      </c>
      <c r="O1123">
        <f>$C1123*O1122</f>
        <v/>
      </c>
      <c r="P1123">
        <f>$C1123*P1122</f>
        <v/>
      </c>
      <c r="Q1123">
        <f>$C1123*Q1122</f>
        <v/>
      </c>
      <c r="R1123">
        <f>$C1123*R1122</f>
        <v/>
      </c>
      <c r="S1123">
        <f>$C1123*S1122</f>
        <v/>
      </c>
      <c r="T1123">
        <f>$C1123*T1122</f>
        <v/>
      </c>
      <c r="U1123">
        <f>$C1123*U1122</f>
        <v/>
      </c>
      <c r="V1123">
        <f>$C1123*V1122</f>
        <v/>
      </c>
      <c r="W1123">
        <f>$C1123*W1122</f>
        <v/>
      </c>
      <c r="X1123">
        <f>$C1123*X1122</f>
        <v/>
      </c>
      <c r="Y1123">
        <f>$C1123*Y1122</f>
        <v/>
      </c>
      <c r="Z1123">
        <f>$C1123*Z1122</f>
        <v/>
      </c>
      <c r="AA1123">
        <f>$C1123*AA1122</f>
        <v/>
      </c>
      <c r="AB1123">
        <f>$C1123*AB1122</f>
        <v/>
      </c>
      <c r="AC1123">
        <f>$C1123*AC1122</f>
        <v/>
      </c>
      <c r="AD1123">
        <f>$C1123*AD1122</f>
        <v/>
      </c>
      <c r="AE1123">
        <f>$C1123*AE1122</f>
        <v/>
      </c>
      <c r="AF1123">
        <f>$C1123*AF1122</f>
        <v/>
      </c>
      <c r="AG1123">
        <f>$C1123*AG1122</f>
        <v/>
      </c>
      <c r="AH1123">
        <f>$C1123*AH1122</f>
        <v/>
      </c>
      <c r="AI1123">
        <f>$C1123*AI1122</f>
        <v/>
      </c>
      <c r="AJ1123">
        <f>$C1123*AJ1122</f>
        <v/>
      </c>
      <c r="AK1123">
        <f>$C1123*AK1122</f>
        <v/>
      </c>
      <c r="AL1123">
        <f>$C1123*AL1122</f>
        <v/>
      </c>
      <c r="AM1123">
        <f>$C1123*AM1122</f>
        <v/>
      </c>
      <c r="AN1123">
        <f>$C1123*AN1122</f>
        <v/>
      </c>
      <c r="AO1123">
        <f>$C1123*AO1122</f>
        <v/>
      </c>
      <c r="AP1123">
        <f>$C1123*AP1122</f>
        <v/>
      </c>
      <c r="AQ1123">
        <f>$C1123*AQ1122</f>
        <v/>
      </c>
      <c r="AR1123">
        <f>$C1123*AR1122</f>
        <v/>
      </c>
      <c r="AS1123">
        <f>$C1123*AS1122</f>
        <v/>
      </c>
      <c r="AT1123">
        <f>$C1123*AT1122</f>
        <v/>
      </c>
      <c r="AU1123">
        <f>$C1123*AU1122</f>
        <v/>
      </c>
      <c r="AV1123">
        <f>$C1123*AV1122</f>
        <v/>
      </c>
      <c r="AW1123">
        <f>$C1123*AW1122</f>
        <v/>
      </c>
      <c r="AX1123">
        <f>$C1123*AX1122</f>
        <v/>
      </c>
      <c r="AY1123">
        <f>$C1123*AY1122</f>
        <v/>
      </c>
      <c r="AZ1123">
        <f>$C1123*AZ1122</f>
        <v/>
      </c>
      <c r="BA1123">
        <f>$C1123*BA1122</f>
        <v/>
      </c>
      <c r="BB1123">
        <f>$C1123*BB1122</f>
        <v/>
      </c>
      <c r="BC1123">
        <f>$C1123*BC1122</f>
        <v/>
      </c>
      <c r="BD1123">
        <f>$C1123*BD1122</f>
        <v/>
      </c>
      <c r="BE1123">
        <f>$C1123*BE1122</f>
        <v/>
      </c>
      <c r="BF1123">
        <f>$C1123*BF1122</f>
        <v/>
      </c>
      <c r="BG1123">
        <f>$C1123*BG1122</f>
        <v/>
      </c>
      <c r="BH1123">
        <f>$C1123*BH1122</f>
        <v/>
      </c>
      <c r="BI1123">
        <f>$C1123*BI1122</f>
        <v/>
      </c>
      <c r="BJ1123">
        <f>$C1123*BJ1122</f>
        <v/>
      </c>
      <c r="BK1123">
        <f>$C1123*BK1122</f>
        <v/>
      </c>
      <c r="BL1123">
        <f>$C1123*BL1122</f>
        <v/>
      </c>
      <c r="BM1123">
        <f>$C1123*BM1122</f>
        <v/>
      </c>
      <c r="BN1123">
        <f>$C1123*BN1122</f>
        <v/>
      </c>
      <c r="BO1123">
        <f>$C1123*BO1122</f>
        <v/>
      </c>
      <c r="BP1123">
        <f>$C1123*BP1122</f>
        <v/>
      </c>
      <c r="BQ1123">
        <f>$C1123*BQ1122</f>
        <v/>
      </c>
      <c r="BR1123">
        <f>$C1123*BR1122</f>
        <v/>
      </c>
      <c r="BS1123">
        <f>$C1123*BS1122</f>
        <v/>
      </c>
      <c r="BT1123">
        <f>$C1123*BT1122</f>
        <v/>
      </c>
      <c r="BU1123">
        <f>$C1123*BU1122</f>
        <v/>
      </c>
      <c r="BV1123">
        <f>$C1123*BV1122</f>
        <v/>
      </c>
      <c r="BW1123">
        <f>$C1123*BW1122</f>
        <v/>
      </c>
      <c r="BX1123">
        <f>$C1123*BX1122</f>
        <v/>
      </c>
      <c r="BY1123">
        <f>$C1123*BY1122</f>
        <v/>
      </c>
      <c r="BZ1123">
        <f>$C1123*BZ1122</f>
        <v/>
      </c>
      <c r="CA1123">
        <f>$C1123*CA1122</f>
        <v/>
      </c>
      <c r="CB1123">
        <f>$C1123*CB1122</f>
        <v/>
      </c>
      <c r="CC1123">
        <f>$C1123*CC1122</f>
        <v/>
      </c>
      <c r="CD1123">
        <f>$C1123*CD1122</f>
        <v/>
      </c>
      <c r="CE1123">
        <f>$C1123*CE1122</f>
        <v/>
      </c>
      <c r="CF1123">
        <f>$C1123*CF1122</f>
        <v/>
      </c>
      <c r="CG1123">
        <f>$C1123*CG1122</f>
        <v/>
      </c>
      <c r="CH1123">
        <f>$C1123*CH1122</f>
        <v/>
      </c>
      <c r="CI1123">
        <f>$C1123*CI1122</f>
        <v/>
      </c>
      <c r="CJ1123">
        <f>$C1123*CJ1122</f>
        <v/>
      </c>
      <c r="CK1123">
        <f>$C1123*CK1122</f>
        <v/>
      </c>
      <c r="CL1123">
        <f>$C1123*CL1122</f>
        <v/>
      </c>
      <c r="CM1123">
        <f>$C1123*CM1122</f>
        <v/>
      </c>
      <c r="CN1123">
        <f>$C1123*CN1122</f>
        <v/>
      </c>
      <c r="CO1123">
        <f>$C1123*CO1122</f>
        <v/>
      </c>
      <c r="CP1123">
        <f>$C1123*CP1122</f>
        <v/>
      </c>
      <c r="CQ1123">
        <f>$C1123*CQ1122</f>
        <v/>
      </c>
      <c r="CR1123">
        <f>$C1123*CR1122</f>
        <v/>
      </c>
      <c r="CS1123">
        <f>$C1123*CS1122</f>
        <v/>
      </c>
      <c r="CT1123">
        <f>$C1123*CT1122</f>
        <v/>
      </c>
      <c r="CU1123">
        <f>$C1123*CU1122</f>
        <v/>
      </c>
      <c r="CV1123">
        <f>$C1123*CV1122</f>
        <v/>
      </c>
      <c r="CW1123">
        <f>$C1123*CW1122</f>
        <v/>
      </c>
      <c r="CX1123">
        <f>$C1123*CX1122</f>
        <v/>
      </c>
      <c r="CY1123">
        <f>$C1123*CY1122</f>
        <v/>
      </c>
      <c r="CZ1123">
        <f>$C1123*CZ1122</f>
        <v/>
      </c>
      <c r="DA1123">
        <f>$C1123*DA1122</f>
        <v/>
      </c>
      <c r="DB1123">
        <f>$C1123*DB1122</f>
        <v/>
      </c>
      <c r="DC1123">
        <f>$C1123*DC1122</f>
        <v/>
      </c>
    </row>
    <row r="1124">
      <c r="B1124" t="inlineStr">
        <is>
          <t>TSP-937</t>
        </is>
      </c>
      <c r="C1124" t="inlineStr">
        <is>
          <t>No. of batches</t>
        </is>
      </c>
      <c r="D1124">
        <f>IFERROR(INDEX(PP_Grid[#Data],$DD1124,2),0)</f>
        <v/>
      </c>
      <c r="E1124">
        <f>IFERROR(INDEX(PP_Grid[#Data],$DD1124,3),0)</f>
        <v/>
      </c>
      <c r="F1124">
        <f>IFERROR(INDEX(PP_Grid[#Data],$DD1124,4),0)</f>
        <v/>
      </c>
      <c r="G1124">
        <f>IFERROR(INDEX(PP_Grid[#Data],$DD1124,5),0)</f>
        <v/>
      </c>
      <c r="H1124">
        <f>IFERROR(INDEX(PP_Grid[#Data],$DD1124,6),0)</f>
        <v/>
      </c>
      <c r="I1124">
        <f>IFERROR(INDEX(PP_Grid[#Data],$DD1124,7),0)</f>
        <v/>
      </c>
      <c r="J1124">
        <f>IFERROR(INDEX(PP_Grid[#Data],$DD1124,8),0)</f>
        <v/>
      </c>
      <c r="K1124">
        <f>IFERROR(INDEX(PP_Grid[#Data],$DD1124,9),0)</f>
        <v/>
      </c>
      <c r="L1124">
        <f>IFERROR(INDEX(PP_Grid[#Data],$DD1124,10),0)</f>
        <v/>
      </c>
      <c r="M1124">
        <f>IFERROR(INDEX(PP_Grid[#Data],$DD1124,11),0)</f>
        <v/>
      </c>
      <c r="N1124">
        <f>IFERROR(INDEX(PP_Grid[#Data],$DD1124,12),0)</f>
        <v/>
      </c>
      <c r="O1124">
        <f>IFERROR(INDEX(PP_Grid[#Data],$DD1124,13),0)</f>
        <v/>
      </c>
      <c r="P1124">
        <f>IFERROR(INDEX(PP_Grid[#Data],$DD1124,14),0)</f>
        <v/>
      </c>
      <c r="Q1124">
        <f>IFERROR(INDEX(PP_Grid[#Data],$DD1124,15),0)</f>
        <v/>
      </c>
      <c r="R1124">
        <f>IFERROR(INDEX(PP_Grid[#Data],$DD1124,16),0)</f>
        <v/>
      </c>
      <c r="S1124">
        <f>IFERROR(INDEX(PP_Grid[#Data],$DD1124,17),0)</f>
        <v/>
      </c>
      <c r="T1124">
        <f>IFERROR(INDEX(PP_Grid[#Data],$DD1124,18),0)</f>
        <v/>
      </c>
      <c r="U1124">
        <f>IFERROR(INDEX(PP_Grid[#Data],$DD1124,19),0)</f>
        <v/>
      </c>
      <c r="V1124">
        <f>IFERROR(INDEX(PP_Grid[#Data],$DD1124,20),0)</f>
        <v/>
      </c>
      <c r="W1124">
        <f>IFERROR(INDEX(PP_Grid[#Data],$DD1124,21),0)</f>
        <v/>
      </c>
      <c r="X1124">
        <f>IFERROR(INDEX(PP_Grid[#Data],$DD1124,22),0)</f>
        <v/>
      </c>
      <c r="Y1124">
        <f>IFERROR(INDEX(PP_Grid[#Data],$DD1124,23),0)</f>
        <v/>
      </c>
      <c r="Z1124">
        <f>IFERROR(INDEX(PP_Grid[#Data],$DD1124,24),0)</f>
        <v/>
      </c>
      <c r="AA1124">
        <f>IFERROR(INDEX(PP_Grid[#Data],$DD1124,25),0)</f>
        <v/>
      </c>
      <c r="AB1124">
        <f>IFERROR(INDEX(PP_Grid[#Data],$DD1124,26),0)</f>
        <v/>
      </c>
      <c r="AC1124">
        <f>IFERROR(INDEX(PP_Grid[#Data],$DD1124,27),0)</f>
        <v/>
      </c>
      <c r="AD1124">
        <f>IFERROR(INDEX(PP_Grid[#Data],$DD1124,28),0)</f>
        <v/>
      </c>
      <c r="AE1124">
        <f>IFERROR(INDEX(PP_Grid[#Data],$DD1124,29),0)</f>
        <v/>
      </c>
      <c r="AF1124">
        <f>IFERROR(INDEX(PP_Grid[#Data],$DD1124,30),0)</f>
        <v/>
      </c>
      <c r="AG1124">
        <f>IFERROR(INDEX(PP_Grid[#Data],$DD1124,31),0)</f>
        <v/>
      </c>
      <c r="AH1124">
        <f>IFERROR(INDEX(PP_Grid[#Data],$DD1124,32),0)</f>
        <v/>
      </c>
      <c r="AI1124">
        <f>IFERROR(INDEX(PP_Grid[#Data],$DD1124,33),0)</f>
        <v/>
      </c>
      <c r="AJ1124">
        <f>IFERROR(INDEX(PP_Grid[#Data],$DD1124,34),0)</f>
        <v/>
      </c>
      <c r="AK1124">
        <f>IFERROR(INDEX(PP_Grid[#Data],$DD1124,35),0)</f>
        <v/>
      </c>
      <c r="AL1124">
        <f>IFERROR(INDEX(PP_Grid[#Data],$DD1124,36),0)</f>
        <v/>
      </c>
      <c r="AM1124">
        <f>IFERROR(INDEX(PP_Grid[#Data],$DD1124,37),0)</f>
        <v/>
      </c>
      <c r="AN1124">
        <f>IFERROR(INDEX(PP_Grid[#Data],$DD1124,38),0)</f>
        <v/>
      </c>
      <c r="AO1124">
        <f>IFERROR(INDEX(PP_Grid[#Data],$DD1124,39),0)</f>
        <v/>
      </c>
      <c r="AP1124">
        <f>IFERROR(INDEX(PP_Grid[#Data],$DD1124,40),0)</f>
        <v/>
      </c>
      <c r="AQ1124">
        <f>IFERROR(INDEX(PP_Grid[#Data],$DD1124,41),0)</f>
        <v/>
      </c>
      <c r="AR1124">
        <f>IFERROR(INDEX(PP_Grid[#Data],$DD1124,42),0)</f>
        <v/>
      </c>
      <c r="AS1124">
        <f>IFERROR(INDEX(PP_Grid[#Data],$DD1124,43),0)</f>
        <v/>
      </c>
      <c r="AT1124">
        <f>IFERROR(INDEX(PP_Grid[#Data],$DD1124,44),0)</f>
        <v/>
      </c>
      <c r="AU1124">
        <f>IFERROR(INDEX(PP_Grid[#Data],$DD1124,45),0)</f>
        <v/>
      </c>
      <c r="AV1124">
        <f>IFERROR(INDEX(PP_Grid[#Data],$DD1124,46),0)</f>
        <v/>
      </c>
      <c r="AW1124">
        <f>IFERROR(INDEX(PP_Grid[#Data],$DD1124,47),0)</f>
        <v/>
      </c>
      <c r="AX1124">
        <f>IFERROR(INDEX(PP_Grid[#Data],$DD1124,48),0)</f>
        <v/>
      </c>
      <c r="AY1124">
        <f>IFERROR(INDEX(PP_Grid[#Data],$DD1124,49),0)</f>
        <v/>
      </c>
      <c r="AZ1124">
        <f>IFERROR(INDEX(PP_Grid[#Data],$DD1124,50),0)</f>
        <v/>
      </c>
      <c r="BA1124">
        <f>IFERROR(INDEX(PP_Grid[#Data],$DD1124,51),0)</f>
        <v/>
      </c>
      <c r="BB1124">
        <f>IFERROR(INDEX(PP_Grid[#Data],$DD1124,52),0)</f>
        <v/>
      </c>
      <c r="BC1124">
        <f>IFERROR(INDEX(PP_Grid[#Data],$DD1124,53),0)</f>
        <v/>
      </c>
      <c r="BD1124">
        <f>IFERROR(INDEX(PP_Grid[#Data],$DD1124,54),0)</f>
        <v/>
      </c>
      <c r="BE1124">
        <f>IFERROR(INDEX(PP_Grid[#Data],$DD1124,55),0)</f>
        <v/>
      </c>
      <c r="BF1124">
        <f>IFERROR(INDEX(PP_Grid[#Data],$DD1124,56),0)</f>
        <v/>
      </c>
      <c r="BG1124">
        <f>IFERROR(INDEX(PP_Grid[#Data],$DD1124,57),0)</f>
        <v/>
      </c>
      <c r="BH1124">
        <f>IFERROR(INDEX(PP_Grid[#Data],$DD1124,58),0)</f>
        <v/>
      </c>
      <c r="BI1124">
        <f>IFERROR(INDEX(PP_Grid[#Data],$DD1124,59),0)</f>
        <v/>
      </c>
      <c r="BJ1124">
        <f>IFERROR(INDEX(PP_Grid[#Data],$DD1124,60),0)</f>
        <v/>
      </c>
      <c r="BK1124">
        <f>IFERROR(INDEX(PP_Grid[#Data],$DD1124,61),0)</f>
        <v/>
      </c>
      <c r="BL1124">
        <f>IFERROR(INDEX(PP_Grid[#Data],$DD1124,62),0)</f>
        <v/>
      </c>
      <c r="BM1124">
        <f>IFERROR(INDEX(PP_Grid[#Data],$DD1124,63),0)</f>
        <v/>
      </c>
      <c r="BN1124">
        <f>IFERROR(INDEX(PP_Grid[#Data],$DD1124,64),0)</f>
        <v/>
      </c>
      <c r="BO1124">
        <f>IFERROR(INDEX(PP_Grid[#Data],$DD1124,65),0)</f>
        <v/>
      </c>
      <c r="BP1124">
        <f>IFERROR(INDEX(PP_Grid[#Data],$DD1124,66),0)</f>
        <v/>
      </c>
      <c r="BQ1124">
        <f>IFERROR(INDEX(PP_Grid[#Data],$DD1124,67),0)</f>
        <v/>
      </c>
      <c r="BR1124">
        <f>IFERROR(INDEX(PP_Grid[#Data],$DD1124,68),0)</f>
        <v/>
      </c>
      <c r="BS1124">
        <f>IFERROR(INDEX(PP_Grid[#Data],$DD1124,69),0)</f>
        <v/>
      </c>
      <c r="BT1124">
        <f>IFERROR(INDEX(PP_Grid[#Data],$DD1124,70),0)</f>
        <v/>
      </c>
      <c r="BU1124">
        <f>IFERROR(INDEX(PP_Grid[#Data],$DD1124,71),0)</f>
        <v/>
      </c>
      <c r="BV1124">
        <f>IFERROR(INDEX(PP_Grid[#Data],$DD1124,72),0)</f>
        <v/>
      </c>
      <c r="BW1124">
        <f>IFERROR(INDEX(PP_Grid[#Data],$DD1124,73),0)</f>
        <v/>
      </c>
      <c r="BX1124">
        <f>IFERROR(INDEX(PP_Grid[#Data],$DD1124,74),0)</f>
        <v/>
      </c>
      <c r="BY1124">
        <f>IFERROR(INDEX(PP_Grid[#Data],$DD1124,75),0)</f>
        <v/>
      </c>
      <c r="BZ1124">
        <f>IFERROR(INDEX(PP_Grid[#Data],$DD1124,76),0)</f>
        <v/>
      </c>
      <c r="CA1124">
        <f>IFERROR(INDEX(PP_Grid[#Data],$DD1124,77),0)</f>
        <v/>
      </c>
      <c r="CB1124">
        <f>IFERROR(INDEX(PP_Grid[#Data],$DD1124,78),0)</f>
        <v/>
      </c>
      <c r="CC1124">
        <f>IFERROR(INDEX(PP_Grid[#Data],$DD1124,79),0)</f>
        <v/>
      </c>
      <c r="CD1124">
        <f>IFERROR(INDEX(PP_Grid[#Data],$DD1124,80),0)</f>
        <v/>
      </c>
      <c r="CE1124">
        <f>IFERROR(INDEX(PP_Grid[#Data],$DD1124,81),0)</f>
        <v/>
      </c>
      <c r="CF1124">
        <f>IFERROR(INDEX(PP_Grid[#Data],$DD1124,82),0)</f>
        <v/>
      </c>
      <c r="CG1124">
        <f>IFERROR(INDEX(PP_Grid[#Data],$DD1124,83),0)</f>
        <v/>
      </c>
      <c r="CH1124">
        <f>IFERROR(INDEX(PP_Grid[#Data],$DD1124,84),0)</f>
        <v/>
      </c>
      <c r="CI1124">
        <f>IFERROR(INDEX(PP_Grid[#Data],$DD1124,85),0)</f>
        <v/>
      </c>
      <c r="CJ1124">
        <f>IFERROR(INDEX(PP_Grid[#Data],$DD1124,86),0)</f>
        <v/>
      </c>
      <c r="CK1124">
        <f>IFERROR(INDEX(PP_Grid[#Data],$DD1124,87),0)</f>
        <v/>
      </c>
      <c r="CL1124">
        <f>IFERROR(INDEX(PP_Grid[#Data],$DD1124,88),0)</f>
        <v/>
      </c>
      <c r="CM1124">
        <f>IFERROR(INDEX(PP_Grid[#Data],$DD1124,89),0)</f>
        <v/>
      </c>
      <c r="CN1124">
        <f>IFERROR(INDEX(PP_Grid[#Data],$DD1124,90),0)</f>
        <v/>
      </c>
      <c r="CO1124">
        <f>IFERROR(INDEX(PP_Grid[#Data],$DD1124,91),0)</f>
        <v/>
      </c>
      <c r="CP1124">
        <f>IFERROR(INDEX(PP_Grid[#Data],$DD1124,92),0)</f>
        <v/>
      </c>
      <c r="CQ1124">
        <f>IFERROR(INDEX(PP_Grid[#Data],$DD1124,93),0)</f>
        <v/>
      </c>
      <c r="CR1124">
        <f>IFERROR(INDEX(PP_Grid[#Data],$DD1124,94),0)</f>
        <v/>
      </c>
      <c r="CS1124">
        <f>IFERROR(INDEX(PP_Grid[#Data],$DD1124,95),0)</f>
        <v/>
      </c>
      <c r="CT1124">
        <f>IFERROR(INDEX(PP_Grid[#Data],$DD1124,96),0)</f>
        <v/>
      </c>
      <c r="CU1124">
        <f>IFERROR(INDEX(PP_Grid[#Data],$DD1124,97),0)</f>
        <v/>
      </c>
      <c r="CV1124">
        <f>IFERROR(INDEX(PP_Grid[#Data],$DD1124,98),0)</f>
        <v/>
      </c>
      <c r="CW1124">
        <f>IFERROR(INDEX(PP_Grid[#Data],$DD1124,99),0)</f>
        <v/>
      </c>
      <c r="CX1124">
        <f>IFERROR(INDEX(PP_Grid[#Data],$DD1124,100),0)</f>
        <v/>
      </c>
      <c r="CY1124">
        <f>IFERROR(INDEX(PP_Grid[#Data],$DD1124,101),0)</f>
        <v/>
      </c>
      <c r="CZ1124">
        <f>IFERROR(INDEX(PP_Grid[#Data],$DD1124,102),0)</f>
        <v/>
      </c>
      <c r="DA1124">
        <f>IFERROR(INDEX(PP_Grid[#Data],$DD1124,103),0)</f>
        <v/>
      </c>
      <c r="DB1124">
        <f>IFERROR(INDEX(PP_Grid[#Data],$DD1124,104),0)</f>
        <v/>
      </c>
      <c r="DC1124">
        <f>IFERROR(INDEX(PP_Grid[#Data],$DD1124,105),0)</f>
        <v/>
      </c>
      <c r="DD1124" s="7">
        <f>IFERROR(MATCH($B1124,PP_Grid[Intermediate],0),99999)</f>
        <v/>
      </c>
    </row>
    <row r="1125">
      <c r="B1125" t="inlineStr">
        <is>
          <t>使用量(kg)</t>
        </is>
      </c>
      <c r="C1125">
        <f>SUMIFS(M_BOM[RM_Qty_Per_Batch],M_BOM[Intermediate],$B1124,M_BOM[Part Name],$A1099)</f>
        <v/>
      </c>
      <c r="D1125">
        <f>$C1125*D1124</f>
        <v/>
      </c>
      <c r="E1125">
        <f>$C1125*E1124</f>
        <v/>
      </c>
      <c r="F1125">
        <f>$C1125*F1124</f>
        <v/>
      </c>
      <c r="G1125">
        <f>$C1125*G1124</f>
        <v/>
      </c>
      <c r="H1125">
        <f>$C1125*H1124</f>
        <v/>
      </c>
      <c r="I1125">
        <f>$C1125*I1124</f>
        <v/>
      </c>
      <c r="J1125">
        <f>$C1125*J1124</f>
        <v/>
      </c>
      <c r="K1125">
        <f>$C1125*K1124</f>
        <v/>
      </c>
      <c r="L1125">
        <f>$C1125*L1124</f>
        <v/>
      </c>
      <c r="M1125">
        <f>$C1125*M1124</f>
        <v/>
      </c>
      <c r="N1125">
        <f>$C1125*N1124</f>
        <v/>
      </c>
      <c r="O1125">
        <f>$C1125*O1124</f>
        <v/>
      </c>
      <c r="P1125">
        <f>$C1125*P1124</f>
        <v/>
      </c>
      <c r="Q1125">
        <f>$C1125*Q1124</f>
        <v/>
      </c>
      <c r="R1125">
        <f>$C1125*R1124</f>
        <v/>
      </c>
      <c r="S1125">
        <f>$C1125*S1124</f>
        <v/>
      </c>
      <c r="T1125">
        <f>$C1125*T1124</f>
        <v/>
      </c>
      <c r="U1125">
        <f>$C1125*U1124</f>
        <v/>
      </c>
      <c r="V1125">
        <f>$C1125*V1124</f>
        <v/>
      </c>
      <c r="W1125">
        <f>$C1125*W1124</f>
        <v/>
      </c>
      <c r="X1125">
        <f>$C1125*X1124</f>
        <v/>
      </c>
      <c r="Y1125">
        <f>$C1125*Y1124</f>
        <v/>
      </c>
      <c r="Z1125">
        <f>$C1125*Z1124</f>
        <v/>
      </c>
      <c r="AA1125">
        <f>$C1125*AA1124</f>
        <v/>
      </c>
      <c r="AB1125">
        <f>$C1125*AB1124</f>
        <v/>
      </c>
      <c r="AC1125">
        <f>$C1125*AC1124</f>
        <v/>
      </c>
      <c r="AD1125">
        <f>$C1125*AD1124</f>
        <v/>
      </c>
      <c r="AE1125">
        <f>$C1125*AE1124</f>
        <v/>
      </c>
      <c r="AF1125">
        <f>$C1125*AF1124</f>
        <v/>
      </c>
      <c r="AG1125">
        <f>$C1125*AG1124</f>
        <v/>
      </c>
      <c r="AH1125">
        <f>$C1125*AH1124</f>
        <v/>
      </c>
      <c r="AI1125">
        <f>$C1125*AI1124</f>
        <v/>
      </c>
      <c r="AJ1125">
        <f>$C1125*AJ1124</f>
        <v/>
      </c>
      <c r="AK1125">
        <f>$C1125*AK1124</f>
        <v/>
      </c>
      <c r="AL1125">
        <f>$C1125*AL1124</f>
        <v/>
      </c>
      <c r="AM1125">
        <f>$C1125*AM1124</f>
        <v/>
      </c>
      <c r="AN1125">
        <f>$C1125*AN1124</f>
        <v/>
      </c>
      <c r="AO1125">
        <f>$C1125*AO1124</f>
        <v/>
      </c>
      <c r="AP1125">
        <f>$C1125*AP1124</f>
        <v/>
      </c>
      <c r="AQ1125">
        <f>$C1125*AQ1124</f>
        <v/>
      </c>
      <c r="AR1125">
        <f>$C1125*AR1124</f>
        <v/>
      </c>
      <c r="AS1125">
        <f>$C1125*AS1124</f>
        <v/>
      </c>
      <c r="AT1125">
        <f>$C1125*AT1124</f>
        <v/>
      </c>
      <c r="AU1125">
        <f>$C1125*AU1124</f>
        <v/>
      </c>
      <c r="AV1125">
        <f>$C1125*AV1124</f>
        <v/>
      </c>
      <c r="AW1125">
        <f>$C1125*AW1124</f>
        <v/>
      </c>
      <c r="AX1125">
        <f>$C1125*AX1124</f>
        <v/>
      </c>
      <c r="AY1125">
        <f>$C1125*AY1124</f>
        <v/>
      </c>
      <c r="AZ1125">
        <f>$C1125*AZ1124</f>
        <v/>
      </c>
      <c r="BA1125">
        <f>$C1125*BA1124</f>
        <v/>
      </c>
      <c r="BB1125">
        <f>$C1125*BB1124</f>
        <v/>
      </c>
      <c r="BC1125">
        <f>$C1125*BC1124</f>
        <v/>
      </c>
      <c r="BD1125">
        <f>$C1125*BD1124</f>
        <v/>
      </c>
      <c r="BE1125">
        <f>$C1125*BE1124</f>
        <v/>
      </c>
      <c r="BF1125">
        <f>$C1125*BF1124</f>
        <v/>
      </c>
      <c r="BG1125">
        <f>$C1125*BG1124</f>
        <v/>
      </c>
      <c r="BH1125">
        <f>$C1125*BH1124</f>
        <v/>
      </c>
      <c r="BI1125">
        <f>$C1125*BI1124</f>
        <v/>
      </c>
      <c r="BJ1125">
        <f>$C1125*BJ1124</f>
        <v/>
      </c>
      <c r="BK1125">
        <f>$C1125*BK1124</f>
        <v/>
      </c>
      <c r="BL1125">
        <f>$C1125*BL1124</f>
        <v/>
      </c>
      <c r="BM1125">
        <f>$C1125*BM1124</f>
        <v/>
      </c>
      <c r="BN1125">
        <f>$C1125*BN1124</f>
        <v/>
      </c>
      <c r="BO1125">
        <f>$C1125*BO1124</f>
        <v/>
      </c>
      <c r="BP1125">
        <f>$C1125*BP1124</f>
        <v/>
      </c>
      <c r="BQ1125">
        <f>$C1125*BQ1124</f>
        <v/>
      </c>
      <c r="BR1125">
        <f>$C1125*BR1124</f>
        <v/>
      </c>
      <c r="BS1125">
        <f>$C1125*BS1124</f>
        <v/>
      </c>
      <c r="BT1125">
        <f>$C1125*BT1124</f>
        <v/>
      </c>
      <c r="BU1125">
        <f>$C1125*BU1124</f>
        <v/>
      </c>
      <c r="BV1125">
        <f>$C1125*BV1124</f>
        <v/>
      </c>
      <c r="BW1125">
        <f>$C1125*BW1124</f>
        <v/>
      </c>
      <c r="BX1125">
        <f>$C1125*BX1124</f>
        <v/>
      </c>
      <c r="BY1125">
        <f>$C1125*BY1124</f>
        <v/>
      </c>
      <c r="BZ1125">
        <f>$C1125*BZ1124</f>
        <v/>
      </c>
      <c r="CA1125">
        <f>$C1125*CA1124</f>
        <v/>
      </c>
      <c r="CB1125">
        <f>$C1125*CB1124</f>
        <v/>
      </c>
      <c r="CC1125">
        <f>$C1125*CC1124</f>
        <v/>
      </c>
      <c r="CD1125">
        <f>$C1125*CD1124</f>
        <v/>
      </c>
      <c r="CE1125">
        <f>$C1125*CE1124</f>
        <v/>
      </c>
      <c r="CF1125">
        <f>$C1125*CF1124</f>
        <v/>
      </c>
      <c r="CG1125">
        <f>$C1125*CG1124</f>
        <v/>
      </c>
      <c r="CH1125">
        <f>$C1125*CH1124</f>
        <v/>
      </c>
      <c r="CI1125">
        <f>$C1125*CI1124</f>
        <v/>
      </c>
      <c r="CJ1125">
        <f>$C1125*CJ1124</f>
        <v/>
      </c>
      <c r="CK1125">
        <f>$C1125*CK1124</f>
        <v/>
      </c>
      <c r="CL1125">
        <f>$C1125*CL1124</f>
        <v/>
      </c>
      <c r="CM1125">
        <f>$C1125*CM1124</f>
        <v/>
      </c>
      <c r="CN1125">
        <f>$C1125*CN1124</f>
        <v/>
      </c>
      <c r="CO1125">
        <f>$C1125*CO1124</f>
        <v/>
      </c>
      <c r="CP1125">
        <f>$C1125*CP1124</f>
        <v/>
      </c>
      <c r="CQ1125">
        <f>$C1125*CQ1124</f>
        <v/>
      </c>
      <c r="CR1125">
        <f>$C1125*CR1124</f>
        <v/>
      </c>
      <c r="CS1125">
        <f>$C1125*CS1124</f>
        <v/>
      </c>
      <c r="CT1125">
        <f>$C1125*CT1124</f>
        <v/>
      </c>
      <c r="CU1125">
        <f>$C1125*CU1124</f>
        <v/>
      </c>
      <c r="CV1125">
        <f>$C1125*CV1124</f>
        <v/>
      </c>
      <c r="CW1125">
        <f>$C1125*CW1124</f>
        <v/>
      </c>
      <c r="CX1125">
        <f>$C1125*CX1124</f>
        <v/>
      </c>
      <c r="CY1125">
        <f>$C1125*CY1124</f>
        <v/>
      </c>
      <c r="CZ1125">
        <f>$C1125*CZ1124</f>
        <v/>
      </c>
      <c r="DA1125">
        <f>$C1125*DA1124</f>
        <v/>
      </c>
      <c r="DB1125">
        <f>$C1125*DB1124</f>
        <v/>
      </c>
      <c r="DC1125">
        <f>$C1125*DC1124</f>
        <v/>
      </c>
    </row>
    <row r="1126">
      <c r="B1126" t="inlineStr">
        <is>
          <t>TSP-959</t>
        </is>
      </c>
      <c r="C1126" t="inlineStr">
        <is>
          <t>No. of batches</t>
        </is>
      </c>
      <c r="D1126">
        <f>IFERROR(INDEX(PP_Grid[#Data],$DD1126,2),0)</f>
        <v/>
      </c>
      <c r="E1126">
        <f>IFERROR(INDEX(PP_Grid[#Data],$DD1126,3),0)</f>
        <v/>
      </c>
      <c r="F1126">
        <f>IFERROR(INDEX(PP_Grid[#Data],$DD1126,4),0)</f>
        <v/>
      </c>
      <c r="G1126">
        <f>IFERROR(INDEX(PP_Grid[#Data],$DD1126,5),0)</f>
        <v/>
      </c>
      <c r="H1126">
        <f>IFERROR(INDEX(PP_Grid[#Data],$DD1126,6),0)</f>
        <v/>
      </c>
      <c r="I1126">
        <f>IFERROR(INDEX(PP_Grid[#Data],$DD1126,7),0)</f>
        <v/>
      </c>
      <c r="J1126">
        <f>IFERROR(INDEX(PP_Grid[#Data],$DD1126,8),0)</f>
        <v/>
      </c>
      <c r="K1126">
        <f>IFERROR(INDEX(PP_Grid[#Data],$DD1126,9),0)</f>
        <v/>
      </c>
      <c r="L1126">
        <f>IFERROR(INDEX(PP_Grid[#Data],$DD1126,10),0)</f>
        <v/>
      </c>
      <c r="M1126">
        <f>IFERROR(INDEX(PP_Grid[#Data],$DD1126,11),0)</f>
        <v/>
      </c>
      <c r="N1126">
        <f>IFERROR(INDEX(PP_Grid[#Data],$DD1126,12),0)</f>
        <v/>
      </c>
      <c r="O1126">
        <f>IFERROR(INDEX(PP_Grid[#Data],$DD1126,13),0)</f>
        <v/>
      </c>
      <c r="P1126">
        <f>IFERROR(INDEX(PP_Grid[#Data],$DD1126,14),0)</f>
        <v/>
      </c>
      <c r="Q1126">
        <f>IFERROR(INDEX(PP_Grid[#Data],$DD1126,15),0)</f>
        <v/>
      </c>
      <c r="R1126">
        <f>IFERROR(INDEX(PP_Grid[#Data],$DD1126,16),0)</f>
        <v/>
      </c>
      <c r="S1126">
        <f>IFERROR(INDEX(PP_Grid[#Data],$DD1126,17),0)</f>
        <v/>
      </c>
      <c r="T1126">
        <f>IFERROR(INDEX(PP_Grid[#Data],$DD1126,18),0)</f>
        <v/>
      </c>
      <c r="U1126">
        <f>IFERROR(INDEX(PP_Grid[#Data],$DD1126,19),0)</f>
        <v/>
      </c>
      <c r="V1126">
        <f>IFERROR(INDEX(PP_Grid[#Data],$DD1126,20),0)</f>
        <v/>
      </c>
      <c r="W1126">
        <f>IFERROR(INDEX(PP_Grid[#Data],$DD1126,21),0)</f>
        <v/>
      </c>
      <c r="X1126">
        <f>IFERROR(INDEX(PP_Grid[#Data],$DD1126,22),0)</f>
        <v/>
      </c>
      <c r="Y1126">
        <f>IFERROR(INDEX(PP_Grid[#Data],$DD1126,23),0)</f>
        <v/>
      </c>
      <c r="Z1126">
        <f>IFERROR(INDEX(PP_Grid[#Data],$DD1126,24),0)</f>
        <v/>
      </c>
      <c r="AA1126">
        <f>IFERROR(INDEX(PP_Grid[#Data],$DD1126,25),0)</f>
        <v/>
      </c>
      <c r="AB1126">
        <f>IFERROR(INDEX(PP_Grid[#Data],$DD1126,26),0)</f>
        <v/>
      </c>
      <c r="AC1126">
        <f>IFERROR(INDEX(PP_Grid[#Data],$DD1126,27),0)</f>
        <v/>
      </c>
      <c r="AD1126">
        <f>IFERROR(INDEX(PP_Grid[#Data],$DD1126,28),0)</f>
        <v/>
      </c>
      <c r="AE1126">
        <f>IFERROR(INDEX(PP_Grid[#Data],$DD1126,29),0)</f>
        <v/>
      </c>
      <c r="AF1126">
        <f>IFERROR(INDEX(PP_Grid[#Data],$DD1126,30),0)</f>
        <v/>
      </c>
      <c r="AG1126">
        <f>IFERROR(INDEX(PP_Grid[#Data],$DD1126,31),0)</f>
        <v/>
      </c>
      <c r="AH1126">
        <f>IFERROR(INDEX(PP_Grid[#Data],$DD1126,32),0)</f>
        <v/>
      </c>
      <c r="AI1126">
        <f>IFERROR(INDEX(PP_Grid[#Data],$DD1126,33),0)</f>
        <v/>
      </c>
      <c r="AJ1126">
        <f>IFERROR(INDEX(PP_Grid[#Data],$DD1126,34),0)</f>
        <v/>
      </c>
      <c r="AK1126">
        <f>IFERROR(INDEX(PP_Grid[#Data],$DD1126,35),0)</f>
        <v/>
      </c>
      <c r="AL1126">
        <f>IFERROR(INDEX(PP_Grid[#Data],$DD1126,36),0)</f>
        <v/>
      </c>
      <c r="AM1126">
        <f>IFERROR(INDEX(PP_Grid[#Data],$DD1126,37),0)</f>
        <v/>
      </c>
      <c r="AN1126">
        <f>IFERROR(INDEX(PP_Grid[#Data],$DD1126,38),0)</f>
        <v/>
      </c>
      <c r="AO1126">
        <f>IFERROR(INDEX(PP_Grid[#Data],$DD1126,39),0)</f>
        <v/>
      </c>
      <c r="AP1126">
        <f>IFERROR(INDEX(PP_Grid[#Data],$DD1126,40),0)</f>
        <v/>
      </c>
      <c r="AQ1126">
        <f>IFERROR(INDEX(PP_Grid[#Data],$DD1126,41),0)</f>
        <v/>
      </c>
      <c r="AR1126">
        <f>IFERROR(INDEX(PP_Grid[#Data],$DD1126,42),0)</f>
        <v/>
      </c>
      <c r="AS1126">
        <f>IFERROR(INDEX(PP_Grid[#Data],$DD1126,43),0)</f>
        <v/>
      </c>
      <c r="AT1126">
        <f>IFERROR(INDEX(PP_Grid[#Data],$DD1126,44),0)</f>
        <v/>
      </c>
      <c r="AU1126">
        <f>IFERROR(INDEX(PP_Grid[#Data],$DD1126,45),0)</f>
        <v/>
      </c>
      <c r="AV1126">
        <f>IFERROR(INDEX(PP_Grid[#Data],$DD1126,46),0)</f>
        <v/>
      </c>
      <c r="AW1126">
        <f>IFERROR(INDEX(PP_Grid[#Data],$DD1126,47),0)</f>
        <v/>
      </c>
      <c r="AX1126">
        <f>IFERROR(INDEX(PP_Grid[#Data],$DD1126,48),0)</f>
        <v/>
      </c>
      <c r="AY1126">
        <f>IFERROR(INDEX(PP_Grid[#Data],$DD1126,49),0)</f>
        <v/>
      </c>
      <c r="AZ1126">
        <f>IFERROR(INDEX(PP_Grid[#Data],$DD1126,50),0)</f>
        <v/>
      </c>
      <c r="BA1126">
        <f>IFERROR(INDEX(PP_Grid[#Data],$DD1126,51),0)</f>
        <v/>
      </c>
      <c r="BB1126">
        <f>IFERROR(INDEX(PP_Grid[#Data],$DD1126,52),0)</f>
        <v/>
      </c>
      <c r="BC1126">
        <f>IFERROR(INDEX(PP_Grid[#Data],$DD1126,53),0)</f>
        <v/>
      </c>
      <c r="BD1126">
        <f>IFERROR(INDEX(PP_Grid[#Data],$DD1126,54),0)</f>
        <v/>
      </c>
      <c r="BE1126">
        <f>IFERROR(INDEX(PP_Grid[#Data],$DD1126,55),0)</f>
        <v/>
      </c>
      <c r="BF1126">
        <f>IFERROR(INDEX(PP_Grid[#Data],$DD1126,56),0)</f>
        <v/>
      </c>
      <c r="BG1126">
        <f>IFERROR(INDEX(PP_Grid[#Data],$DD1126,57),0)</f>
        <v/>
      </c>
      <c r="BH1126">
        <f>IFERROR(INDEX(PP_Grid[#Data],$DD1126,58),0)</f>
        <v/>
      </c>
      <c r="BI1126">
        <f>IFERROR(INDEX(PP_Grid[#Data],$DD1126,59),0)</f>
        <v/>
      </c>
      <c r="BJ1126">
        <f>IFERROR(INDEX(PP_Grid[#Data],$DD1126,60),0)</f>
        <v/>
      </c>
      <c r="BK1126">
        <f>IFERROR(INDEX(PP_Grid[#Data],$DD1126,61),0)</f>
        <v/>
      </c>
      <c r="BL1126">
        <f>IFERROR(INDEX(PP_Grid[#Data],$DD1126,62),0)</f>
        <v/>
      </c>
      <c r="BM1126">
        <f>IFERROR(INDEX(PP_Grid[#Data],$DD1126,63),0)</f>
        <v/>
      </c>
      <c r="BN1126">
        <f>IFERROR(INDEX(PP_Grid[#Data],$DD1126,64),0)</f>
        <v/>
      </c>
      <c r="BO1126">
        <f>IFERROR(INDEX(PP_Grid[#Data],$DD1126,65),0)</f>
        <v/>
      </c>
      <c r="BP1126">
        <f>IFERROR(INDEX(PP_Grid[#Data],$DD1126,66),0)</f>
        <v/>
      </c>
      <c r="BQ1126">
        <f>IFERROR(INDEX(PP_Grid[#Data],$DD1126,67),0)</f>
        <v/>
      </c>
      <c r="BR1126">
        <f>IFERROR(INDEX(PP_Grid[#Data],$DD1126,68),0)</f>
        <v/>
      </c>
      <c r="BS1126">
        <f>IFERROR(INDEX(PP_Grid[#Data],$DD1126,69),0)</f>
        <v/>
      </c>
      <c r="BT1126">
        <f>IFERROR(INDEX(PP_Grid[#Data],$DD1126,70),0)</f>
        <v/>
      </c>
      <c r="BU1126">
        <f>IFERROR(INDEX(PP_Grid[#Data],$DD1126,71),0)</f>
        <v/>
      </c>
      <c r="BV1126">
        <f>IFERROR(INDEX(PP_Grid[#Data],$DD1126,72),0)</f>
        <v/>
      </c>
      <c r="BW1126">
        <f>IFERROR(INDEX(PP_Grid[#Data],$DD1126,73),0)</f>
        <v/>
      </c>
      <c r="BX1126">
        <f>IFERROR(INDEX(PP_Grid[#Data],$DD1126,74),0)</f>
        <v/>
      </c>
      <c r="BY1126">
        <f>IFERROR(INDEX(PP_Grid[#Data],$DD1126,75),0)</f>
        <v/>
      </c>
      <c r="BZ1126">
        <f>IFERROR(INDEX(PP_Grid[#Data],$DD1126,76),0)</f>
        <v/>
      </c>
      <c r="CA1126">
        <f>IFERROR(INDEX(PP_Grid[#Data],$DD1126,77),0)</f>
        <v/>
      </c>
      <c r="CB1126">
        <f>IFERROR(INDEX(PP_Grid[#Data],$DD1126,78),0)</f>
        <v/>
      </c>
      <c r="CC1126">
        <f>IFERROR(INDEX(PP_Grid[#Data],$DD1126,79),0)</f>
        <v/>
      </c>
      <c r="CD1126">
        <f>IFERROR(INDEX(PP_Grid[#Data],$DD1126,80),0)</f>
        <v/>
      </c>
      <c r="CE1126">
        <f>IFERROR(INDEX(PP_Grid[#Data],$DD1126,81),0)</f>
        <v/>
      </c>
      <c r="CF1126">
        <f>IFERROR(INDEX(PP_Grid[#Data],$DD1126,82),0)</f>
        <v/>
      </c>
      <c r="CG1126">
        <f>IFERROR(INDEX(PP_Grid[#Data],$DD1126,83),0)</f>
        <v/>
      </c>
      <c r="CH1126">
        <f>IFERROR(INDEX(PP_Grid[#Data],$DD1126,84),0)</f>
        <v/>
      </c>
      <c r="CI1126">
        <f>IFERROR(INDEX(PP_Grid[#Data],$DD1126,85),0)</f>
        <v/>
      </c>
      <c r="CJ1126">
        <f>IFERROR(INDEX(PP_Grid[#Data],$DD1126,86),0)</f>
        <v/>
      </c>
      <c r="CK1126">
        <f>IFERROR(INDEX(PP_Grid[#Data],$DD1126,87),0)</f>
        <v/>
      </c>
      <c r="CL1126">
        <f>IFERROR(INDEX(PP_Grid[#Data],$DD1126,88),0)</f>
        <v/>
      </c>
      <c r="CM1126">
        <f>IFERROR(INDEX(PP_Grid[#Data],$DD1126,89),0)</f>
        <v/>
      </c>
      <c r="CN1126">
        <f>IFERROR(INDEX(PP_Grid[#Data],$DD1126,90),0)</f>
        <v/>
      </c>
      <c r="CO1126">
        <f>IFERROR(INDEX(PP_Grid[#Data],$DD1126,91),0)</f>
        <v/>
      </c>
      <c r="CP1126">
        <f>IFERROR(INDEX(PP_Grid[#Data],$DD1126,92),0)</f>
        <v/>
      </c>
      <c r="CQ1126">
        <f>IFERROR(INDEX(PP_Grid[#Data],$DD1126,93),0)</f>
        <v/>
      </c>
      <c r="CR1126">
        <f>IFERROR(INDEX(PP_Grid[#Data],$DD1126,94),0)</f>
        <v/>
      </c>
      <c r="CS1126">
        <f>IFERROR(INDEX(PP_Grid[#Data],$DD1126,95),0)</f>
        <v/>
      </c>
      <c r="CT1126">
        <f>IFERROR(INDEX(PP_Grid[#Data],$DD1126,96),0)</f>
        <v/>
      </c>
      <c r="CU1126">
        <f>IFERROR(INDEX(PP_Grid[#Data],$DD1126,97),0)</f>
        <v/>
      </c>
      <c r="CV1126">
        <f>IFERROR(INDEX(PP_Grid[#Data],$DD1126,98),0)</f>
        <v/>
      </c>
      <c r="CW1126">
        <f>IFERROR(INDEX(PP_Grid[#Data],$DD1126,99),0)</f>
        <v/>
      </c>
      <c r="CX1126">
        <f>IFERROR(INDEX(PP_Grid[#Data],$DD1126,100),0)</f>
        <v/>
      </c>
      <c r="CY1126">
        <f>IFERROR(INDEX(PP_Grid[#Data],$DD1126,101),0)</f>
        <v/>
      </c>
      <c r="CZ1126">
        <f>IFERROR(INDEX(PP_Grid[#Data],$DD1126,102),0)</f>
        <v/>
      </c>
      <c r="DA1126">
        <f>IFERROR(INDEX(PP_Grid[#Data],$DD1126,103),0)</f>
        <v/>
      </c>
      <c r="DB1126">
        <f>IFERROR(INDEX(PP_Grid[#Data],$DD1126,104),0)</f>
        <v/>
      </c>
      <c r="DC1126">
        <f>IFERROR(INDEX(PP_Grid[#Data],$DD1126,105),0)</f>
        <v/>
      </c>
      <c r="DD1126" s="7">
        <f>IFERROR(MATCH($B1126,PP_Grid[Intermediate],0),99999)</f>
        <v/>
      </c>
    </row>
    <row r="1127">
      <c r="B1127" t="inlineStr">
        <is>
          <t>使用量(kg)</t>
        </is>
      </c>
      <c r="C1127">
        <f>SUMIFS(M_BOM[RM_Qty_Per_Batch],M_BOM[Intermediate],$B1126,M_BOM[Part Name],$A1099)</f>
        <v/>
      </c>
      <c r="D1127">
        <f>$C1127*D1126</f>
        <v/>
      </c>
      <c r="E1127">
        <f>$C1127*E1126</f>
        <v/>
      </c>
      <c r="F1127">
        <f>$C1127*F1126</f>
        <v/>
      </c>
      <c r="G1127">
        <f>$C1127*G1126</f>
        <v/>
      </c>
      <c r="H1127">
        <f>$C1127*H1126</f>
        <v/>
      </c>
      <c r="I1127">
        <f>$C1127*I1126</f>
        <v/>
      </c>
      <c r="J1127">
        <f>$C1127*J1126</f>
        <v/>
      </c>
      <c r="K1127">
        <f>$C1127*K1126</f>
        <v/>
      </c>
      <c r="L1127">
        <f>$C1127*L1126</f>
        <v/>
      </c>
      <c r="M1127">
        <f>$C1127*M1126</f>
        <v/>
      </c>
      <c r="N1127">
        <f>$C1127*N1126</f>
        <v/>
      </c>
      <c r="O1127">
        <f>$C1127*O1126</f>
        <v/>
      </c>
      <c r="P1127">
        <f>$C1127*P1126</f>
        <v/>
      </c>
      <c r="Q1127">
        <f>$C1127*Q1126</f>
        <v/>
      </c>
      <c r="R1127">
        <f>$C1127*R1126</f>
        <v/>
      </c>
      <c r="S1127">
        <f>$C1127*S1126</f>
        <v/>
      </c>
      <c r="T1127">
        <f>$C1127*T1126</f>
        <v/>
      </c>
      <c r="U1127">
        <f>$C1127*U1126</f>
        <v/>
      </c>
      <c r="V1127">
        <f>$C1127*V1126</f>
        <v/>
      </c>
      <c r="W1127">
        <f>$C1127*W1126</f>
        <v/>
      </c>
      <c r="X1127">
        <f>$C1127*X1126</f>
        <v/>
      </c>
      <c r="Y1127">
        <f>$C1127*Y1126</f>
        <v/>
      </c>
      <c r="Z1127">
        <f>$C1127*Z1126</f>
        <v/>
      </c>
      <c r="AA1127">
        <f>$C1127*AA1126</f>
        <v/>
      </c>
      <c r="AB1127">
        <f>$C1127*AB1126</f>
        <v/>
      </c>
      <c r="AC1127">
        <f>$C1127*AC1126</f>
        <v/>
      </c>
      <c r="AD1127">
        <f>$C1127*AD1126</f>
        <v/>
      </c>
      <c r="AE1127">
        <f>$C1127*AE1126</f>
        <v/>
      </c>
      <c r="AF1127">
        <f>$C1127*AF1126</f>
        <v/>
      </c>
      <c r="AG1127">
        <f>$C1127*AG1126</f>
        <v/>
      </c>
      <c r="AH1127">
        <f>$C1127*AH1126</f>
        <v/>
      </c>
      <c r="AI1127">
        <f>$C1127*AI1126</f>
        <v/>
      </c>
      <c r="AJ1127">
        <f>$C1127*AJ1126</f>
        <v/>
      </c>
      <c r="AK1127">
        <f>$C1127*AK1126</f>
        <v/>
      </c>
      <c r="AL1127">
        <f>$C1127*AL1126</f>
        <v/>
      </c>
      <c r="AM1127">
        <f>$C1127*AM1126</f>
        <v/>
      </c>
      <c r="AN1127">
        <f>$C1127*AN1126</f>
        <v/>
      </c>
      <c r="AO1127">
        <f>$C1127*AO1126</f>
        <v/>
      </c>
      <c r="AP1127">
        <f>$C1127*AP1126</f>
        <v/>
      </c>
      <c r="AQ1127">
        <f>$C1127*AQ1126</f>
        <v/>
      </c>
      <c r="AR1127">
        <f>$C1127*AR1126</f>
        <v/>
      </c>
      <c r="AS1127">
        <f>$C1127*AS1126</f>
        <v/>
      </c>
      <c r="AT1127">
        <f>$C1127*AT1126</f>
        <v/>
      </c>
      <c r="AU1127">
        <f>$C1127*AU1126</f>
        <v/>
      </c>
      <c r="AV1127">
        <f>$C1127*AV1126</f>
        <v/>
      </c>
      <c r="AW1127">
        <f>$C1127*AW1126</f>
        <v/>
      </c>
      <c r="AX1127">
        <f>$C1127*AX1126</f>
        <v/>
      </c>
      <c r="AY1127">
        <f>$C1127*AY1126</f>
        <v/>
      </c>
      <c r="AZ1127">
        <f>$C1127*AZ1126</f>
        <v/>
      </c>
      <c r="BA1127">
        <f>$C1127*BA1126</f>
        <v/>
      </c>
      <c r="BB1127">
        <f>$C1127*BB1126</f>
        <v/>
      </c>
      <c r="BC1127">
        <f>$C1127*BC1126</f>
        <v/>
      </c>
      <c r="BD1127">
        <f>$C1127*BD1126</f>
        <v/>
      </c>
      <c r="BE1127">
        <f>$C1127*BE1126</f>
        <v/>
      </c>
      <c r="BF1127">
        <f>$C1127*BF1126</f>
        <v/>
      </c>
      <c r="BG1127">
        <f>$C1127*BG1126</f>
        <v/>
      </c>
      <c r="BH1127">
        <f>$C1127*BH1126</f>
        <v/>
      </c>
      <c r="BI1127">
        <f>$C1127*BI1126</f>
        <v/>
      </c>
      <c r="BJ1127">
        <f>$C1127*BJ1126</f>
        <v/>
      </c>
      <c r="BK1127">
        <f>$C1127*BK1126</f>
        <v/>
      </c>
      <c r="BL1127">
        <f>$C1127*BL1126</f>
        <v/>
      </c>
      <c r="BM1127">
        <f>$C1127*BM1126</f>
        <v/>
      </c>
      <c r="BN1127">
        <f>$C1127*BN1126</f>
        <v/>
      </c>
      <c r="BO1127">
        <f>$C1127*BO1126</f>
        <v/>
      </c>
      <c r="BP1127">
        <f>$C1127*BP1126</f>
        <v/>
      </c>
      <c r="BQ1127">
        <f>$C1127*BQ1126</f>
        <v/>
      </c>
      <c r="BR1127">
        <f>$C1127*BR1126</f>
        <v/>
      </c>
      <c r="BS1127">
        <f>$C1127*BS1126</f>
        <v/>
      </c>
      <c r="BT1127">
        <f>$C1127*BT1126</f>
        <v/>
      </c>
      <c r="BU1127">
        <f>$C1127*BU1126</f>
        <v/>
      </c>
      <c r="BV1127">
        <f>$C1127*BV1126</f>
        <v/>
      </c>
      <c r="BW1127">
        <f>$C1127*BW1126</f>
        <v/>
      </c>
      <c r="BX1127">
        <f>$C1127*BX1126</f>
        <v/>
      </c>
      <c r="BY1127">
        <f>$C1127*BY1126</f>
        <v/>
      </c>
      <c r="BZ1127">
        <f>$C1127*BZ1126</f>
        <v/>
      </c>
      <c r="CA1127">
        <f>$C1127*CA1126</f>
        <v/>
      </c>
      <c r="CB1127">
        <f>$C1127*CB1126</f>
        <v/>
      </c>
      <c r="CC1127">
        <f>$C1127*CC1126</f>
        <v/>
      </c>
      <c r="CD1127">
        <f>$C1127*CD1126</f>
        <v/>
      </c>
      <c r="CE1127">
        <f>$C1127*CE1126</f>
        <v/>
      </c>
      <c r="CF1127">
        <f>$C1127*CF1126</f>
        <v/>
      </c>
      <c r="CG1127">
        <f>$C1127*CG1126</f>
        <v/>
      </c>
      <c r="CH1127">
        <f>$C1127*CH1126</f>
        <v/>
      </c>
      <c r="CI1127">
        <f>$C1127*CI1126</f>
        <v/>
      </c>
      <c r="CJ1127">
        <f>$C1127*CJ1126</f>
        <v/>
      </c>
      <c r="CK1127">
        <f>$C1127*CK1126</f>
        <v/>
      </c>
      <c r="CL1127">
        <f>$C1127*CL1126</f>
        <v/>
      </c>
      <c r="CM1127">
        <f>$C1127*CM1126</f>
        <v/>
      </c>
      <c r="CN1127">
        <f>$C1127*CN1126</f>
        <v/>
      </c>
      <c r="CO1127">
        <f>$C1127*CO1126</f>
        <v/>
      </c>
      <c r="CP1127">
        <f>$C1127*CP1126</f>
        <v/>
      </c>
      <c r="CQ1127">
        <f>$C1127*CQ1126</f>
        <v/>
      </c>
      <c r="CR1127">
        <f>$C1127*CR1126</f>
        <v/>
      </c>
      <c r="CS1127">
        <f>$C1127*CS1126</f>
        <v/>
      </c>
      <c r="CT1127">
        <f>$C1127*CT1126</f>
        <v/>
      </c>
      <c r="CU1127">
        <f>$C1127*CU1126</f>
        <v/>
      </c>
      <c r="CV1127">
        <f>$C1127*CV1126</f>
        <v/>
      </c>
      <c r="CW1127">
        <f>$C1127*CW1126</f>
        <v/>
      </c>
      <c r="CX1127">
        <f>$C1127*CX1126</f>
        <v/>
      </c>
      <c r="CY1127">
        <f>$C1127*CY1126</f>
        <v/>
      </c>
      <c r="CZ1127">
        <f>$C1127*CZ1126</f>
        <v/>
      </c>
      <c r="DA1127">
        <f>$C1127*DA1126</f>
        <v/>
      </c>
      <c r="DB1127">
        <f>$C1127*DB1126</f>
        <v/>
      </c>
      <c r="DC1127">
        <f>$C1127*DC1126</f>
        <v/>
      </c>
    </row>
    <row r="1128">
      <c r="B1128" t="inlineStr">
        <is>
          <t>TSP-966</t>
        </is>
      </c>
      <c r="C1128" t="inlineStr">
        <is>
          <t>No. of batches</t>
        </is>
      </c>
      <c r="D1128">
        <f>IFERROR(INDEX(PP_Grid[#Data],$DD1128,2),0)</f>
        <v/>
      </c>
      <c r="E1128">
        <f>IFERROR(INDEX(PP_Grid[#Data],$DD1128,3),0)</f>
        <v/>
      </c>
      <c r="F1128">
        <f>IFERROR(INDEX(PP_Grid[#Data],$DD1128,4),0)</f>
        <v/>
      </c>
      <c r="G1128">
        <f>IFERROR(INDEX(PP_Grid[#Data],$DD1128,5),0)</f>
        <v/>
      </c>
      <c r="H1128">
        <f>IFERROR(INDEX(PP_Grid[#Data],$DD1128,6),0)</f>
        <v/>
      </c>
      <c r="I1128">
        <f>IFERROR(INDEX(PP_Grid[#Data],$DD1128,7),0)</f>
        <v/>
      </c>
      <c r="J1128">
        <f>IFERROR(INDEX(PP_Grid[#Data],$DD1128,8),0)</f>
        <v/>
      </c>
      <c r="K1128">
        <f>IFERROR(INDEX(PP_Grid[#Data],$DD1128,9),0)</f>
        <v/>
      </c>
      <c r="L1128">
        <f>IFERROR(INDEX(PP_Grid[#Data],$DD1128,10),0)</f>
        <v/>
      </c>
      <c r="M1128">
        <f>IFERROR(INDEX(PP_Grid[#Data],$DD1128,11),0)</f>
        <v/>
      </c>
      <c r="N1128">
        <f>IFERROR(INDEX(PP_Grid[#Data],$DD1128,12),0)</f>
        <v/>
      </c>
      <c r="O1128">
        <f>IFERROR(INDEX(PP_Grid[#Data],$DD1128,13),0)</f>
        <v/>
      </c>
      <c r="P1128">
        <f>IFERROR(INDEX(PP_Grid[#Data],$DD1128,14),0)</f>
        <v/>
      </c>
      <c r="Q1128">
        <f>IFERROR(INDEX(PP_Grid[#Data],$DD1128,15),0)</f>
        <v/>
      </c>
      <c r="R1128">
        <f>IFERROR(INDEX(PP_Grid[#Data],$DD1128,16),0)</f>
        <v/>
      </c>
      <c r="S1128">
        <f>IFERROR(INDEX(PP_Grid[#Data],$DD1128,17),0)</f>
        <v/>
      </c>
      <c r="T1128">
        <f>IFERROR(INDEX(PP_Grid[#Data],$DD1128,18),0)</f>
        <v/>
      </c>
      <c r="U1128">
        <f>IFERROR(INDEX(PP_Grid[#Data],$DD1128,19),0)</f>
        <v/>
      </c>
      <c r="V1128">
        <f>IFERROR(INDEX(PP_Grid[#Data],$DD1128,20),0)</f>
        <v/>
      </c>
      <c r="W1128">
        <f>IFERROR(INDEX(PP_Grid[#Data],$DD1128,21),0)</f>
        <v/>
      </c>
      <c r="X1128">
        <f>IFERROR(INDEX(PP_Grid[#Data],$DD1128,22),0)</f>
        <v/>
      </c>
      <c r="Y1128">
        <f>IFERROR(INDEX(PP_Grid[#Data],$DD1128,23),0)</f>
        <v/>
      </c>
      <c r="Z1128">
        <f>IFERROR(INDEX(PP_Grid[#Data],$DD1128,24),0)</f>
        <v/>
      </c>
      <c r="AA1128">
        <f>IFERROR(INDEX(PP_Grid[#Data],$DD1128,25),0)</f>
        <v/>
      </c>
      <c r="AB1128">
        <f>IFERROR(INDEX(PP_Grid[#Data],$DD1128,26),0)</f>
        <v/>
      </c>
      <c r="AC1128">
        <f>IFERROR(INDEX(PP_Grid[#Data],$DD1128,27),0)</f>
        <v/>
      </c>
      <c r="AD1128">
        <f>IFERROR(INDEX(PP_Grid[#Data],$DD1128,28),0)</f>
        <v/>
      </c>
      <c r="AE1128">
        <f>IFERROR(INDEX(PP_Grid[#Data],$DD1128,29),0)</f>
        <v/>
      </c>
      <c r="AF1128">
        <f>IFERROR(INDEX(PP_Grid[#Data],$DD1128,30),0)</f>
        <v/>
      </c>
      <c r="AG1128">
        <f>IFERROR(INDEX(PP_Grid[#Data],$DD1128,31),0)</f>
        <v/>
      </c>
      <c r="AH1128">
        <f>IFERROR(INDEX(PP_Grid[#Data],$DD1128,32),0)</f>
        <v/>
      </c>
      <c r="AI1128">
        <f>IFERROR(INDEX(PP_Grid[#Data],$DD1128,33),0)</f>
        <v/>
      </c>
      <c r="AJ1128">
        <f>IFERROR(INDEX(PP_Grid[#Data],$DD1128,34),0)</f>
        <v/>
      </c>
      <c r="AK1128">
        <f>IFERROR(INDEX(PP_Grid[#Data],$DD1128,35),0)</f>
        <v/>
      </c>
      <c r="AL1128">
        <f>IFERROR(INDEX(PP_Grid[#Data],$DD1128,36),0)</f>
        <v/>
      </c>
      <c r="AM1128">
        <f>IFERROR(INDEX(PP_Grid[#Data],$DD1128,37),0)</f>
        <v/>
      </c>
      <c r="AN1128">
        <f>IFERROR(INDEX(PP_Grid[#Data],$DD1128,38),0)</f>
        <v/>
      </c>
      <c r="AO1128">
        <f>IFERROR(INDEX(PP_Grid[#Data],$DD1128,39),0)</f>
        <v/>
      </c>
      <c r="AP1128">
        <f>IFERROR(INDEX(PP_Grid[#Data],$DD1128,40),0)</f>
        <v/>
      </c>
      <c r="AQ1128">
        <f>IFERROR(INDEX(PP_Grid[#Data],$DD1128,41),0)</f>
        <v/>
      </c>
      <c r="AR1128">
        <f>IFERROR(INDEX(PP_Grid[#Data],$DD1128,42),0)</f>
        <v/>
      </c>
      <c r="AS1128">
        <f>IFERROR(INDEX(PP_Grid[#Data],$DD1128,43),0)</f>
        <v/>
      </c>
      <c r="AT1128">
        <f>IFERROR(INDEX(PP_Grid[#Data],$DD1128,44),0)</f>
        <v/>
      </c>
      <c r="AU1128">
        <f>IFERROR(INDEX(PP_Grid[#Data],$DD1128,45),0)</f>
        <v/>
      </c>
      <c r="AV1128">
        <f>IFERROR(INDEX(PP_Grid[#Data],$DD1128,46),0)</f>
        <v/>
      </c>
      <c r="AW1128">
        <f>IFERROR(INDEX(PP_Grid[#Data],$DD1128,47),0)</f>
        <v/>
      </c>
      <c r="AX1128">
        <f>IFERROR(INDEX(PP_Grid[#Data],$DD1128,48),0)</f>
        <v/>
      </c>
      <c r="AY1128">
        <f>IFERROR(INDEX(PP_Grid[#Data],$DD1128,49),0)</f>
        <v/>
      </c>
      <c r="AZ1128">
        <f>IFERROR(INDEX(PP_Grid[#Data],$DD1128,50),0)</f>
        <v/>
      </c>
      <c r="BA1128">
        <f>IFERROR(INDEX(PP_Grid[#Data],$DD1128,51),0)</f>
        <v/>
      </c>
      <c r="BB1128">
        <f>IFERROR(INDEX(PP_Grid[#Data],$DD1128,52),0)</f>
        <v/>
      </c>
      <c r="BC1128">
        <f>IFERROR(INDEX(PP_Grid[#Data],$DD1128,53),0)</f>
        <v/>
      </c>
      <c r="BD1128">
        <f>IFERROR(INDEX(PP_Grid[#Data],$DD1128,54),0)</f>
        <v/>
      </c>
      <c r="BE1128">
        <f>IFERROR(INDEX(PP_Grid[#Data],$DD1128,55),0)</f>
        <v/>
      </c>
      <c r="BF1128">
        <f>IFERROR(INDEX(PP_Grid[#Data],$DD1128,56),0)</f>
        <v/>
      </c>
      <c r="BG1128">
        <f>IFERROR(INDEX(PP_Grid[#Data],$DD1128,57),0)</f>
        <v/>
      </c>
      <c r="BH1128">
        <f>IFERROR(INDEX(PP_Grid[#Data],$DD1128,58),0)</f>
        <v/>
      </c>
      <c r="BI1128">
        <f>IFERROR(INDEX(PP_Grid[#Data],$DD1128,59),0)</f>
        <v/>
      </c>
      <c r="BJ1128">
        <f>IFERROR(INDEX(PP_Grid[#Data],$DD1128,60),0)</f>
        <v/>
      </c>
      <c r="BK1128">
        <f>IFERROR(INDEX(PP_Grid[#Data],$DD1128,61),0)</f>
        <v/>
      </c>
      <c r="BL1128">
        <f>IFERROR(INDEX(PP_Grid[#Data],$DD1128,62),0)</f>
        <v/>
      </c>
      <c r="BM1128">
        <f>IFERROR(INDEX(PP_Grid[#Data],$DD1128,63),0)</f>
        <v/>
      </c>
      <c r="BN1128">
        <f>IFERROR(INDEX(PP_Grid[#Data],$DD1128,64),0)</f>
        <v/>
      </c>
      <c r="BO1128">
        <f>IFERROR(INDEX(PP_Grid[#Data],$DD1128,65),0)</f>
        <v/>
      </c>
      <c r="BP1128">
        <f>IFERROR(INDEX(PP_Grid[#Data],$DD1128,66),0)</f>
        <v/>
      </c>
      <c r="BQ1128">
        <f>IFERROR(INDEX(PP_Grid[#Data],$DD1128,67),0)</f>
        <v/>
      </c>
      <c r="BR1128">
        <f>IFERROR(INDEX(PP_Grid[#Data],$DD1128,68),0)</f>
        <v/>
      </c>
      <c r="BS1128">
        <f>IFERROR(INDEX(PP_Grid[#Data],$DD1128,69),0)</f>
        <v/>
      </c>
      <c r="BT1128">
        <f>IFERROR(INDEX(PP_Grid[#Data],$DD1128,70),0)</f>
        <v/>
      </c>
      <c r="BU1128">
        <f>IFERROR(INDEX(PP_Grid[#Data],$DD1128,71),0)</f>
        <v/>
      </c>
      <c r="BV1128">
        <f>IFERROR(INDEX(PP_Grid[#Data],$DD1128,72),0)</f>
        <v/>
      </c>
      <c r="BW1128">
        <f>IFERROR(INDEX(PP_Grid[#Data],$DD1128,73),0)</f>
        <v/>
      </c>
      <c r="BX1128">
        <f>IFERROR(INDEX(PP_Grid[#Data],$DD1128,74),0)</f>
        <v/>
      </c>
      <c r="BY1128">
        <f>IFERROR(INDEX(PP_Grid[#Data],$DD1128,75),0)</f>
        <v/>
      </c>
      <c r="BZ1128">
        <f>IFERROR(INDEX(PP_Grid[#Data],$DD1128,76),0)</f>
        <v/>
      </c>
      <c r="CA1128">
        <f>IFERROR(INDEX(PP_Grid[#Data],$DD1128,77),0)</f>
        <v/>
      </c>
      <c r="CB1128">
        <f>IFERROR(INDEX(PP_Grid[#Data],$DD1128,78),0)</f>
        <v/>
      </c>
      <c r="CC1128">
        <f>IFERROR(INDEX(PP_Grid[#Data],$DD1128,79),0)</f>
        <v/>
      </c>
      <c r="CD1128">
        <f>IFERROR(INDEX(PP_Grid[#Data],$DD1128,80),0)</f>
        <v/>
      </c>
      <c r="CE1128">
        <f>IFERROR(INDEX(PP_Grid[#Data],$DD1128,81),0)</f>
        <v/>
      </c>
      <c r="CF1128">
        <f>IFERROR(INDEX(PP_Grid[#Data],$DD1128,82),0)</f>
        <v/>
      </c>
      <c r="CG1128">
        <f>IFERROR(INDEX(PP_Grid[#Data],$DD1128,83),0)</f>
        <v/>
      </c>
      <c r="CH1128">
        <f>IFERROR(INDEX(PP_Grid[#Data],$DD1128,84),0)</f>
        <v/>
      </c>
      <c r="CI1128">
        <f>IFERROR(INDEX(PP_Grid[#Data],$DD1128,85),0)</f>
        <v/>
      </c>
      <c r="CJ1128">
        <f>IFERROR(INDEX(PP_Grid[#Data],$DD1128,86),0)</f>
        <v/>
      </c>
      <c r="CK1128">
        <f>IFERROR(INDEX(PP_Grid[#Data],$DD1128,87),0)</f>
        <v/>
      </c>
      <c r="CL1128">
        <f>IFERROR(INDEX(PP_Grid[#Data],$DD1128,88),0)</f>
        <v/>
      </c>
      <c r="CM1128">
        <f>IFERROR(INDEX(PP_Grid[#Data],$DD1128,89),0)</f>
        <v/>
      </c>
      <c r="CN1128">
        <f>IFERROR(INDEX(PP_Grid[#Data],$DD1128,90),0)</f>
        <v/>
      </c>
      <c r="CO1128">
        <f>IFERROR(INDEX(PP_Grid[#Data],$DD1128,91),0)</f>
        <v/>
      </c>
      <c r="CP1128">
        <f>IFERROR(INDEX(PP_Grid[#Data],$DD1128,92),0)</f>
        <v/>
      </c>
      <c r="CQ1128">
        <f>IFERROR(INDEX(PP_Grid[#Data],$DD1128,93),0)</f>
        <v/>
      </c>
      <c r="CR1128">
        <f>IFERROR(INDEX(PP_Grid[#Data],$DD1128,94),0)</f>
        <v/>
      </c>
      <c r="CS1128">
        <f>IFERROR(INDEX(PP_Grid[#Data],$DD1128,95),0)</f>
        <v/>
      </c>
      <c r="CT1128">
        <f>IFERROR(INDEX(PP_Grid[#Data],$DD1128,96),0)</f>
        <v/>
      </c>
      <c r="CU1128">
        <f>IFERROR(INDEX(PP_Grid[#Data],$DD1128,97),0)</f>
        <v/>
      </c>
      <c r="CV1128">
        <f>IFERROR(INDEX(PP_Grid[#Data],$DD1128,98),0)</f>
        <v/>
      </c>
      <c r="CW1128">
        <f>IFERROR(INDEX(PP_Grid[#Data],$DD1128,99),0)</f>
        <v/>
      </c>
      <c r="CX1128">
        <f>IFERROR(INDEX(PP_Grid[#Data],$DD1128,100),0)</f>
        <v/>
      </c>
      <c r="CY1128">
        <f>IFERROR(INDEX(PP_Grid[#Data],$DD1128,101),0)</f>
        <v/>
      </c>
      <c r="CZ1128">
        <f>IFERROR(INDEX(PP_Grid[#Data],$DD1128,102),0)</f>
        <v/>
      </c>
      <c r="DA1128">
        <f>IFERROR(INDEX(PP_Grid[#Data],$DD1128,103),0)</f>
        <v/>
      </c>
      <c r="DB1128">
        <f>IFERROR(INDEX(PP_Grid[#Data],$DD1128,104),0)</f>
        <v/>
      </c>
      <c r="DC1128">
        <f>IFERROR(INDEX(PP_Grid[#Data],$DD1128,105),0)</f>
        <v/>
      </c>
      <c r="DD1128" s="7">
        <f>IFERROR(MATCH($B1128,PP_Grid[Intermediate],0),99999)</f>
        <v/>
      </c>
    </row>
    <row r="1129">
      <c r="B1129" t="inlineStr">
        <is>
          <t>使用量(kg)</t>
        </is>
      </c>
      <c r="C1129">
        <f>SUMIFS(M_BOM[RM_Qty_Per_Batch],M_BOM[Intermediate],$B1128,M_BOM[Part Name],$A1099)</f>
        <v/>
      </c>
      <c r="D1129">
        <f>$C1129*D1128</f>
        <v/>
      </c>
      <c r="E1129">
        <f>$C1129*E1128</f>
        <v/>
      </c>
      <c r="F1129">
        <f>$C1129*F1128</f>
        <v/>
      </c>
      <c r="G1129">
        <f>$C1129*G1128</f>
        <v/>
      </c>
      <c r="H1129">
        <f>$C1129*H1128</f>
        <v/>
      </c>
      <c r="I1129">
        <f>$C1129*I1128</f>
        <v/>
      </c>
      <c r="J1129">
        <f>$C1129*J1128</f>
        <v/>
      </c>
      <c r="K1129">
        <f>$C1129*K1128</f>
        <v/>
      </c>
      <c r="L1129">
        <f>$C1129*L1128</f>
        <v/>
      </c>
      <c r="M1129">
        <f>$C1129*M1128</f>
        <v/>
      </c>
      <c r="N1129">
        <f>$C1129*N1128</f>
        <v/>
      </c>
      <c r="O1129">
        <f>$C1129*O1128</f>
        <v/>
      </c>
      <c r="P1129">
        <f>$C1129*P1128</f>
        <v/>
      </c>
      <c r="Q1129">
        <f>$C1129*Q1128</f>
        <v/>
      </c>
      <c r="R1129">
        <f>$C1129*R1128</f>
        <v/>
      </c>
      <c r="S1129">
        <f>$C1129*S1128</f>
        <v/>
      </c>
      <c r="T1129">
        <f>$C1129*T1128</f>
        <v/>
      </c>
      <c r="U1129">
        <f>$C1129*U1128</f>
        <v/>
      </c>
      <c r="V1129">
        <f>$C1129*V1128</f>
        <v/>
      </c>
      <c r="W1129">
        <f>$C1129*W1128</f>
        <v/>
      </c>
      <c r="X1129">
        <f>$C1129*X1128</f>
        <v/>
      </c>
      <c r="Y1129">
        <f>$C1129*Y1128</f>
        <v/>
      </c>
      <c r="Z1129">
        <f>$C1129*Z1128</f>
        <v/>
      </c>
      <c r="AA1129">
        <f>$C1129*AA1128</f>
        <v/>
      </c>
      <c r="AB1129">
        <f>$C1129*AB1128</f>
        <v/>
      </c>
      <c r="AC1129">
        <f>$C1129*AC1128</f>
        <v/>
      </c>
      <c r="AD1129">
        <f>$C1129*AD1128</f>
        <v/>
      </c>
      <c r="AE1129">
        <f>$C1129*AE1128</f>
        <v/>
      </c>
      <c r="AF1129">
        <f>$C1129*AF1128</f>
        <v/>
      </c>
      <c r="AG1129">
        <f>$C1129*AG1128</f>
        <v/>
      </c>
      <c r="AH1129">
        <f>$C1129*AH1128</f>
        <v/>
      </c>
      <c r="AI1129">
        <f>$C1129*AI1128</f>
        <v/>
      </c>
      <c r="AJ1129">
        <f>$C1129*AJ1128</f>
        <v/>
      </c>
      <c r="AK1129">
        <f>$C1129*AK1128</f>
        <v/>
      </c>
      <c r="AL1129">
        <f>$C1129*AL1128</f>
        <v/>
      </c>
      <c r="AM1129">
        <f>$C1129*AM1128</f>
        <v/>
      </c>
      <c r="AN1129">
        <f>$C1129*AN1128</f>
        <v/>
      </c>
      <c r="AO1129">
        <f>$C1129*AO1128</f>
        <v/>
      </c>
      <c r="AP1129">
        <f>$C1129*AP1128</f>
        <v/>
      </c>
      <c r="AQ1129">
        <f>$C1129*AQ1128</f>
        <v/>
      </c>
      <c r="AR1129">
        <f>$C1129*AR1128</f>
        <v/>
      </c>
      <c r="AS1129">
        <f>$C1129*AS1128</f>
        <v/>
      </c>
      <c r="AT1129">
        <f>$C1129*AT1128</f>
        <v/>
      </c>
      <c r="AU1129">
        <f>$C1129*AU1128</f>
        <v/>
      </c>
      <c r="AV1129">
        <f>$C1129*AV1128</f>
        <v/>
      </c>
      <c r="AW1129">
        <f>$C1129*AW1128</f>
        <v/>
      </c>
      <c r="AX1129">
        <f>$C1129*AX1128</f>
        <v/>
      </c>
      <c r="AY1129">
        <f>$C1129*AY1128</f>
        <v/>
      </c>
      <c r="AZ1129">
        <f>$C1129*AZ1128</f>
        <v/>
      </c>
      <c r="BA1129">
        <f>$C1129*BA1128</f>
        <v/>
      </c>
      <c r="BB1129">
        <f>$C1129*BB1128</f>
        <v/>
      </c>
      <c r="BC1129">
        <f>$C1129*BC1128</f>
        <v/>
      </c>
      <c r="BD1129">
        <f>$C1129*BD1128</f>
        <v/>
      </c>
      <c r="BE1129">
        <f>$C1129*BE1128</f>
        <v/>
      </c>
      <c r="BF1129">
        <f>$C1129*BF1128</f>
        <v/>
      </c>
      <c r="BG1129">
        <f>$C1129*BG1128</f>
        <v/>
      </c>
      <c r="BH1129">
        <f>$C1129*BH1128</f>
        <v/>
      </c>
      <c r="BI1129">
        <f>$C1129*BI1128</f>
        <v/>
      </c>
      <c r="BJ1129">
        <f>$C1129*BJ1128</f>
        <v/>
      </c>
      <c r="BK1129">
        <f>$C1129*BK1128</f>
        <v/>
      </c>
      <c r="BL1129">
        <f>$C1129*BL1128</f>
        <v/>
      </c>
      <c r="BM1129">
        <f>$C1129*BM1128</f>
        <v/>
      </c>
      <c r="BN1129">
        <f>$C1129*BN1128</f>
        <v/>
      </c>
      <c r="BO1129">
        <f>$C1129*BO1128</f>
        <v/>
      </c>
      <c r="BP1129">
        <f>$C1129*BP1128</f>
        <v/>
      </c>
      <c r="BQ1129">
        <f>$C1129*BQ1128</f>
        <v/>
      </c>
      <c r="BR1129">
        <f>$C1129*BR1128</f>
        <v/>
      </c>
      <c r="BS1129">
        <f>$C1129*BS1128</f>
        <v/>
      </c>
      <c r="BT1129">
        <f>$C1129*BT1128</f>
        <v/>
      </c>
      <c r="BU1129">
        <f>$C1129*BU1128</f>
        <v/>
      </c>
      <c r="BV1129">
        <f>$C1129*BV1128</f>
        <v/>
      </c>
      <c r="BW1129">
        <f>$C1129*BW1128</f>
        <v/>
      </c>
      <c r="BX1129">
        <f>$C1129*BX1128</f>
        <v/>
      </c>
      <c r="BY1129">
        <f>$C1129*BY1128</f>
        <v/>
      </c>
      <c r="BZ1129">
        <f>$C1129*BZ1128</f>
        <v/>
      </c>
      <c r="CA1129">
        <f>$C1129*CA1128</f>
        <v/>
      </c>
      <c r="CB1129">
        <f>$C1129*CB1128</f>
        <v/>
      </c>
      <c r="CC1129">
        <f>$C1129*CC1128</f>
        <v/>
      </c>
      <c r="CD1129">
        <f>$C1129*CD1128</f>
        <v/>
      </c>
      <c r="CE1129">
        <f>$C1129*CE1128</f>
        <v/>
      </c>
      <c r="CF1129">
        <f>$C1129*CF1128</f>
        <v/>
      </c>
      <c r="CG1129">
        <f>$C1129*CG1128</f>
        <v/>
      </c>
      <c r="CH1129">
        <f>$C1129*CH1128</f>
        <v/>
      </c>
      <c r="CI1129">
        <f>$C1129*CI1128</f>
        <v/>
      </c>
      <c r="CJ1129">
        <f>$C1129*CJ1128</f>
        <v/>
      </c>
      <c r="CK1129">
        <f>$C1129*CK1128</f>
        <v/>
      </c>
      <c r="CL1129">
        <f>$C1129*CL1128</f>
        <v/>
      </c>
      <c r="CM1129">
        <f>$C1129*CM1128</f>
        <v/>
      </c>
      <c r="CN1129">
        <f>$C1129*CN1128</f>
        <v/>
      </c>
      <c r="CO1129">
        <f>$C1129*CO1128</f>
        <v/>
      </c>
      <c r="CP1129">
        <f>$C1129*CP1128</f>
        <v/>
      </c>
      <c r="CQ1129">
        <f>$C1129*CQ1128</f>
        <v/>
      </c>
      <c r="CR1129">
        <f>$C1129*CR1128</f>
        <v/>
      </c>
      <c r="CS1129">
        <f>$C1129*CS1128</f>
        <v/>
      </c>
      <c r="CT1129">
        <f>$C1129*CT1128</f>
        <v/>
      </c>
      <c r="CU1129">
        <f>$C1129*CU1128</f>
        <v/>
      </c>
      <c r="CV1129">
        <f>$C1129*CV1128</f>
        <v/>
      </c>
      <c r="CW1129">
        <f>$C1129*CW1128</f>
        <v/>
      </c>
      <c r="CX1129">
        <f>$C1129*CX1128</f>
        <v/>
      </c>
      <c r="CY1129">
        <f>$C1129*CY1128</f>
        <v/>
      </c>
      <c r="CZ1129">
        <f>$C1129*CZ1128</f>
        <v/>
      </c>
      <c r="DA1129">
        <f>$C1129*DA1128</f>
        <v/>
      </c>
      <c r="DB1129">
        <f>$C1129*DB1128</f>
        <v/>
      </c>
      <c r="DC1129">
        <f>$C1129*DC1128</f>
        <v/>
      </c>
    </row>
    <row r="1130">
      <c r="B1130" t="inlineStr">
        <is>
          <t>TSZ-616</t>
        </is>
      </c>
      <c r="C1130" t="inlineStr">
        <is>
          <t>No. of batches</t>
        </is>
      </c>
      <c r="D1130">
        <f>IFERROR(INDEX(PP_Grid[#Data],$DD1130,2),0)</f>
        <v/>
      </c>
      <c r="E1130">
        <f>IFERROR(INDEX(PP_Grid[#Data],$DD1130,3),0)</f>
        <v/>
      </c>
      <c r="F1130">
        <f>IFERROR(INDEX(PP_Grid[#Data],$DD1130,4),0)</f>
        <v/>
      </c>
      <c r="G1130">
        <f>IFERROR(INDEX(PP_Grid[#Data],$DD1130,5),0)</f>
        <v/>
      </c>
      <c r="H1130">
        <f>IFERROR(INDEX(PP_Grid[#Data],$DD1130,6),0)</f>
        <v/>
      </c>
      <c r="I1130">
        <f>IFERROR(INDEX(PP_Grid[#Data],$DD1130,7),0)</f>
        <v/>
      </c>
      <c r="J1130">
        <f>IFERROR(INDEX(PP_Grid[#Data],$DD1130,8),0)</f>
        <v/>
      </c>
      <c r="K1130">
        <f>IFERROR(INDEX(PP_Grid[#Data],$DD1130,9),0)</f>
        <v/>
      </c>
      <c r="L1130">
        <f>IFERROR(INDEX(PP_Grid[#Data],$DD1130,10),0)</f>
        <v/>
      </c>
      <c r="M1130">
        <f>IFERROR(INDEX(PP_Grid[#Data],$DD1130,11),0)</f>
        <v/>
      </c>
      <c r="N1130">
        <f>IFERROR(INDEX(PP_Grid[#Data],$DD1130,12),0)</f>
        <v/>
      </c>
      <c r="O1130">
        <f>IFERROR(INDEX(PP_Grid[#Data],$DD1130,13),0)</f>
        <v/>
      </c>
      <c r="P1130">
        <f>IFERROR(INDEX(PP_Grid[#Data],$DD1130,14),0)</f>
        <v/>
      </c>
      <c r="Q1130">
        <f>IFERROR(INDEX(PP_Grid[#Data],$DD1130,15),0)</f>
        <v/>
      </c>
      <c r="R1130">
        <f>IFERROR(INDEX(PP_Grid[#Data],$DD1130,16),0)</f>
        <v/>
      </c>
      <c r="S1130">
        <f>IFERROR(INDEX(PP_Grid[#Data],$DD1130,17),0)</f>
        <v/>
      </c>
      <c r="T1130">
        <f>IFERROR(INDEX(PP_Grid[#Data],$DD1130,18),0)</f>
        <v/>
      </c>
      <c r="U1130">
        <f>IFERROR(INDEX(PP_Grid[#Data],$DD1130,19),0)</f>
        <v/>
      </c>
      <c r="V1130">
        <f>IFERROR(INDEX(PP_Grid[#Data],$DD1130,20),0)</f>
        <v/>
      </c>
      <c r="W1130">
        <f>IFERROR(INDEX(PP_Grid[#Data],$DD1130,21),0)</f>
        <v/>
      </c>
      <c r="X1130">
        <f>IFERROR(INDEX(PP_Grid[#Data],$DD1130,22),0)</f>
        <v/>
      </c>
      <c r="Y1130">
        <f>IFERROR(INDEX(PP_Grid[#Data],$DD1130,23),0)</f>
        <v/>
      </c>
      <c r="Z1130">
        <f>IFERROR(INDEX(PP_Grid[#Data],$DD1130,24),0)</f>
        <v/>
      </c>
      <c r="AA1130">
        <f>IFERROR(INDEX(PP_Grid[#Data],$DD1130,25),0)</f>
        <v/>
      </c>
      <c r="AB1130">
        <f>IFERROR(INDEX(PP_Grid[#Data],$DD1130,26),0)</f>
        <v/>
      </c>
      <c r="AC1130">
        <f>IFERROR(INDEX(PP_Grid[#Data],$DD1130,27),0)</f>
        <v/>
      </c>
      <c r="AD1130">
        <f>IFERROR(INDEX(PP_Grid[#Data],$DD1130,28),0)</f>
        <v/>
      </c>
      <c r="AE1130">
        <f>IFERROR(INDEX(PP_Grid[#Data],$DD1130,29),0)</f>
        <v/>
      </c>
      <c r="AF1130">
        <f>IFERROR(INDEX(PP_Grid[#Data],$DD1130,30),0)</f>
        <v/>
      </c>
      <c r="AG1130">
        <f>IFERROR(INDEX(PP_Grid[#Data],$DD1130,31),0)</f>
        <v/>
      </c>
      <c r="AH1130">
        <f>IFERROR(INDEX(PP_Grid[#Data],$DD1130,32),0)</f>
        <v/>
      </c>
      <c r="AI1130">
        <f>IFERROR(INDEX(PP_Grid[#Data],$DD1130,33),0)</f>
        <v/>
      </c>
      <c r="AJ1130">
        <f>IFERROR(INDEX(PP_Grid[#Data],$DD1130,34),0)</f>
        <v/>
      </c>
      <c r="AK1130">
        <f>IFERROR(INDEX(PP_Grid[#Data],$DD1130,35),0)</f>
        <v/>
      </c>
      <c r="AL1130">
        <f>IFERROR(INDEX(PP_Grid[#Data],$DD1130,36),0)</f>
        <v/>
      </c>
      <c r="AM1130">
        <f>IFERROR(INDEX(PP_Grid[#Data],$DD1130,37),0)</f>
        <v/>
      </c>
      <c r="AN1130">
        <f>IFERROR(INDEX(PP_Grid[#Data],$DD1130,38),0)</f>
        <v/>
      </c>
      <c r="AO1130">
        <f>IFERROR(INDEX(PP_Grid[#Data],$DD1130,39),0)</f>
        <v/>
      </c>
      <c r="AP1130">
        <f>IFERROR(INDEX(PP_Grid[#Data],$DD1130,40),0)</f>
        <v/>
      </c>
      <c r="AQ1130">
        <f>IFERROR(INDEX(PP_Grid[#Data],$DD1130,41),0)</f>
        <v/>
      </c>
      <c r="AR1130">
        <f>IFERROR(INDEX(PP_Grid[#Data],$DD1130,42),0)</f>
        <v/>
      </c>
      <c r="AS1130">
        <f>IFERROR(INDEX(PP_Grid[#Data],$DD1130,43),0)</f>
        <v/>
      </c>
      <c r="AT1130">
        <f>IFERROR(INDEX(PP_Grid[#Data],$DD1130,44),0)</f>
        <v/>
      </c>
      <c r="AU1130">
        <f>IFERROR(INDEX(PP_Grid[#Data],$DD1130,45),0)</f>
        <v/>
      </c>
      <c r="AV1130">
        <f>IFERROR(INDEX(PP_Grid[#Data],$DD1130,46),0)</f>
        <v/>
      </c>
      <c r="AW1130">
        <f>IFERROR(INDEX(PP_Grid[#Data],$DD1130,47),0)</f>
        <v/>
      </c>
      <c r="AX1130">
        <f>IFERROR(INDEX(PP_Grid[#Data],$DD1130,48),0)</f>
        <v/>
      </c>
      <c r="AY1130">
        <f>IFERROR(INDEX(PP_Grid[#Data],$DD1130,49),0)</f>
        <v/>
      </c>
      <c r="AZ1130">
        <f>IFERROR(INDEX(PP_Grid[#Data],$DD1130,50),0)</f>
        <v/>
      </c>
      <c r="BA1130">
        <f>IFERROR(INDEX(PP_Grid[#Data],$DD1130,51),0)</f>
        <v/>
      </c>
      <c r="BB1130">
        <f>IFERROR(INDEX(PP_Grid[#Data],$DD1130,52),0)</f>
        <v/>
      </c>
      <c r="BC1130">
        <f>IFERROR(INDEX(PP_Grid[#Data],$DD1130,53),0)</f>
        <v/>
      </c>
      <c r="BD1130">
        <f>IFERROR(INDEX(PP_Grid[#Data],$DD1130,54),0)</f>
        <v/>
      </c>
      <c r="BE1130">
        <f>IFERROR(INDEX(PP_Grid[#Data],$DD1130,55),0)</f>
        <v/>
      </c>
      <c r="BF1130">
        <f>IFERROR(INDEX(PP_Grid[#Data],$DD1130,56),0)</f>
        <v/>
      </c>
      <c r="BG1130">
        <f>IFERROR(INDEX(PP_Grid[#Data],$DD1130,57),0)</f>
        <v/>
      </c>
      <c r="BH1130">
        <f>IFERROR(INDEX(PP_Grid[#Data],$DD1130,58),0)</f>
        <v/>
      </c>
      <c r="BI1130">
        <f>IFERROR(INDEX(PP_Grid[#Data],$DD1130,59),0)</f>
        <v/>
      </c>
      <c r="BJ1130">
        <f>IFERROR(INDEX(PP_Grid[#Data],$DD1130,60),0)</f>
        <v/>
      </c>
      <c r="BK1130">
        <f>IFERROR(INDEX(PP_Grid[#Data],$DD1130,61),0)</f>
        <v/>
      </c>
      <c r="BL1130">
        <f>IFERROR(INDEX(PP_Grid[#Data],$DD1130,62),0)</f>
        <v/>
      </c>
      <c r="BM1130">
        <f>IFERROR(INDEX(PP_Grid[#Data],$DD1130,63),0)</f>
        <v/>
      </c>
      <c r="BN1130">
        <f>IFERROR(INDEX(PP_Grid[#Data],$DD1130,64),0)</f>
        <v/>
      </c>
      <c r="BO1130">
        <f>IFERROR(INDEX(PP_Grid[#Data],$DD1130,65),0)</f>
        <v/>
      </c>
      <c r="BP1130">
        <f>IFERROR(INDEX(PP_Grid[#Data],$DD1130,66),0)</f>
        <v/>
      </c>
      <c r="BQ1130">
        <f>IFERROR(INDEX(PP_Grid[#Data],$DD1130,67),0)</f>
        <v/>
      </c>
      <c r="BR1130">
        <f>IFERROR(INDEX(PP_Grid[#Data],$DD1130,68),0)</f>
        <v/>
      </c>
      <c r="BS1130">
        <f>IFERROR(INDEX(PP_Grid[#Data],$DD1130,69),0)</f>
        <v/>
      </c>
      <c r="BT1130">
        <f>IFERROR(INDEX(PP_Grid[#Data],$DD1130,70),0)</f>
        <v/>
      </c>
      <c r="BU1130">
        <f>IFERROR(INDEX(PP_Grid[#Data],$DD1130,71),0)</f>
        <v/>
      </c>
      <c r="BV1130">
        <f>IFERROR(INDEX(PP_Grid[#Data],$DD1130,72),0)</f>
        <v/>
      </c>
      <c r="BW1130">
        <f>IFERROR(INDEX(PP_Grid[#Data],$DD1130,73),0)</f>
        <v/>
      </c>
      <c r="BX1130">
        <f>IFERROR(INDEX(PP_Grid[#Data],$DD1130,74),0)</f>
        <v/>
      </c>
      <c r="BY1130">
        <f>IFERROR(INDEX(PP_Grid[#Data],$DD1130,75),0)</f>
        <v/>
      </c>
      <c r="BZ1130">
        <f>IFERROR(INDEX(PP_Grid[#Data],$DD1130,76),0)</f>
        <v/>
      </c>
      <c r="CA1130">
        <f>IFERROR(INDEX(PP_Grid[#Data],$DD1130,77),0)</f>
        <v/>
      </c>
      <c r="CB1130">
        <f>IFERROR(INDEX(PP_Grid[#Data],$DD1130,78),0)</f>
        <v/>
      </c>
      <c r="CC1130">
        <f>IFERROR(INDEX(PP_Grid[#Data],$DD1130,79),0)</f>
        <v/>
      </c>
      <c r="CD1130">
        <f>IFERROR(INDEX(PP_Grid[#Data],$DD1130,80),0)</f>
        <v/>
      </c>
      <c r="CE1130">
        <f>IFERROR(INDEX(PP_Grid[#Data],$DD1130,81),0)</f>
        <v/>
      </c>
      <c r="CF1130">
        <f>IFERROR(INDEX(PP_Grid[#Data],$DD1130,82),0)</f>
        <v/>
      </c>
      <c r="CG1130">
        <f>IFERROR(INDEX(PP_Grid[#Data],$DD1130,83),0)</f>
        <v/>
      </c>
      <c r="CH1130">
        <f>IFERROR(INDEX(PP_Grid[#Data],$DD1130,84),0)</f>
        <v/>
      </c>
      <c r="CI1130">
        <f>IFERROR(INDEX(PP_Grid[#Data],$DD1130,85),0)</f>
        <v/>
      </c>
      <c r="CJ1130">
        <f>IFERROR(INDEX(PP_Grid[#Data],$DD1130,86),0)</f>
        <v/>
      </c>
      <c r="CK1130">
        <f>IFERROR(INDEX(PP_Grid[#Data],$DD1130,87),0)</f>
        <v/>
      </c>
      <c r="CL1130">
        <f>IFERROR(INDEX(PP_Grid[#Data],$DD1130,88),0)</f>
        <v/>
      </c>
      <c r="CM1130">
        <f>IFERROR(INDEX(PP_Grid[#Data],$DD1130,89),0)</f>
        <v/>
      </c>
      <c r="CN1130">
        <f>IFERROR(INDEX(PP_Grid[#Data],$DD1130,90),0)</f>
        <v/>
      </c>
      <c r="CO1130">
        <f>IFERROR(INDEX(PP_Grid[#Data],$DD1130,91),0)</f>
        <v/>
      </c>
      <c r="CP1130">
        <f>IFERROR(INDEX(PP_Grid[#Data],$DD1130,92),0)</f>
        <v/>
      </c>
      <c r="CQ1130">
        <f>IFERROR(INDEX(PP_Grid[#Data],$DD1130,93),0)</f>
        <v/>
      </c>
      <c r="CR1130">
        <f>IFERROR(INDEX(PP_Grid[#Data],$DD1130,94),0)</f>
        <v/>
      </c>
      <c r="CS1130">
        <f>IFERROR(INDEX(PP_Grid[#Data],$DD1130,95),0)</f>
        <v/>
      </c>
      <c r="CT1130">
        <f>IFERROR(INDEX(PP_Grid[#Data],$DD1130,96),0)</f>
        <v/>
      </c>
      <c r="CU1130">
        <f>IFERROR(INDEX(PP_Grid[#Data],$DD1130,97),0)</f>
        <v/>
      </c>
      <c r="CV1130">
        <f>IFERROR(INDEX(PP_Grid[#Data],$DD1130,98),0)</f>
        <v/>
      </c>
      <c r="CW1130">
        <f>IFERROR(INDEX(PP_Grid[#Data],$DD1130,99),0)</f>
        <v/>
      </c>
      <c r="CX1130">
        <f>IFERROR(INDEX(PP_Grid[#Data],$DD1130,100),0)</f>
        <v/>
      </c>
      <c r="CY1130">
        <f>IFERROR(INDEX(PP_Grid[#Data],$DD1130,101),0)</f>
        <v/>
      </c>
      <c r="CZ1130">
        <f>IFERROR(INDEX(PP_Grid[#Data],$DD1130,102),0)</f>
        <v/>
      </c>
      <c r="DA1130">
        <f>IFERROR(INDEX(PP_Grid[#Data],$DD1130,103),0)</f>
        <v/>
      </c>
      <c r="DB1130">
        <f>IFERROR(INDEX(PP_Grid[#Data],$DD1130,104),0)</f>
        <v/>
      </c>
      <c r="DC1130">
        <f>IFERROR(INDEX(PP_Grid[#Data],$DD1130,105),0)</f>
        <v/>
      </c>
      <c r="DD1130" s="7">
        <f>IFERROR(MATCH($B1130,PP_Grid[Intermediate],0),99999)</f>
        <v/>
      </c>
    </row>
    <row r="1131">
      <c r="B1131" t="inlineStr">
        <is>
          <t>使用量(kg)</t>
        </is>
      </c>
      <c r="C1131">
        <f>SUMIFS(M_BOM[RM_Qty_Per_Batch],M_BOM[Intermediate],$B1130,M_BOM[Part Name],$A1099)</f>
        <v/>
      </c>
      <c r="D1131">
        <f>$C1131*D1130</f>
        <v/>
      </c>
      <c r="E1131">
        <f>$C1131*E1130</f>
        <v/>
      </c>
      <c r="F1131">
        <f>$C1131*F1130</f>
        <v/>
      </c>
      <c r="G1131">
        <f>$C1131*G1130</f>
        <v/>
      </c>
      <c r="H1131">
        <f>$C1131*H1130</f>
        <v/>
      </c>
      <c r="I1131">
        <f>$C1131*I1130</f>
        <v/>
      </c>
      <c r="J1131">
        <f>$C1131*J1130</f>
        <v/>
      </c>
      <c r="K1131">
        <f>$C1131*K1130</f>
        <v/>
      </c>
      <c r="L1131">
        <f>$C1131*L1130</f>
        <v/>
      </c>
      <c r="M1131">
        <f>$C1131*M1130</f>
        <v/>
      </c>
      <c r="N1131">
        <f>$C1131*N1130</f>
        <v/>
      </c>
      <c r="O1131">
        <f>$C1131*O1130</f>
        <v/>
      </c>
      <c r="P1131">
        <f>$C1131*P1130</f>
        <v/>
      </c>
      <c r="Q1131">
        <f>$C1131*Q1130</f>
        <v/>
      </c>
      <c r="R1131">
        <f>$C1131*R1130</f>
        <v/>
      </c>
      <c r="S1131">
        <f>$C1131*S1130</f>
        <v/>
      </c>
      <c r="T1131">
        <f>$C1131*T1130</f>
        <v/>
      </c>
      <c r="U1131">
        <f>$C1131*U1130</f>
        <v/>
      </c>
      <c r="V1131">
        <f>$C1131*V1130</f>
        <v/>
      </c>
      <c r="W1131">
        <f>$C1131*W1130</f>
        <v/>
      </c>
      <c r="X1131">
        <f>$C1131*X1130</f>
        <v/>
      </c>
      <c r="Y1131">
        <f>$C1131*Y1130</f>
        <v/>
      </c>
      <c r="Z1131">
        <f>$C1131*Z1130</f>
        <v/>
      </c>
      <c r="AA1131">
        <f>$C1131*AA1130</f>
        <v/>
      </c>
      <c r="AB1131">
        <f>$C1131*AB1130</f>
        <v/>
      </c>
      <c r="AC1131">
        <f>$C1131*AC1130</f>
        <v/>
      </c>
      <c r="AD1131">
        <f>$C1131*AD1130</f>
        <v/>
      </c>
      <c r="AE1131">
        <f>$C1131*AE1130</f>
        <v/>
      </c>
      <c r="AF1131">
        <f>$C1131*AF1130</f>
        <v/>
      </c>
      <c r="AG1131">
        <f>$C1131*AG1130</f>
        <v/>
      </c>
      <c r="AH1131">
        <f>$C1131*AH1130</f>
        <v/>
      </c>
      <c r="AI1131">
        <f>$C1131*AI1130</f>
        <v/>
      </c>
      <c r="AJ1131">
        <f>$C1131*AJ1130</f>
        <v/>
      </c>
      <c r="AK1131">
        <f>$C1131*AK1130</f>
        <v/>
      </c>
      <c r="AL1131">
        <f>$C1131*AL1130</f>
        <v/>
      </c>
      <c r="AM1131">
        <f>$C1131*AM1130</f>
        <v/>
      </c>
      <c r="AN1131">
        <f>$C1131*AN1130</f>
        <v/>
      </c>
      <c r="AO1131">
        <f>$C1131*AO1130</f>
        <v/>
      </c>
      <c r="AP1131">
        <f>$C1131*AP1130</f>
        <v/>
      </c>
      <c r="AQ1131">
        <f>$C1131*AQ1130</f>
        <v/>
      </c>
      <c r="AR1131">
        <f>$C1131*AR1130</f>
        <v/>
      </c>
      <c r="AS1131">
        <f>$C1131*AS1130</f>
        <v/>
      </c>
      <c r="AT1131">
        <f>$C1131*AT1130</f>
        <v/>
      </c>
      <c r="AU1131">
        <f>$C1131*AU1130</f>
        <v/>
      </c>
      <c r="AV1131">
        <f>$C1131*AV1130</f>
        <v/>
      </c>
      <c r="AW1131">
        <f>$C1131*AW1130</f>
        <v/>
      </c>
      <c r="AX1131">
        <f>$C1131*AX1130</f>
        <v/>
      </c>
      <c r="AY1131">
        <f>$C1131*AY1130</f>
        <v/>
      </c>
      <c r="AZ1131">
        <f>$C1131*AZ1130</f>
        <v/>
      </c>
      <c r="BA1131">
        <f>$C1131*BA1130</f>
        <v/>
      </c>
      <c r="BB1131">
        <f>$C1131*BB1130</f>
        <v/>
      </c>
      <c r="BC1131">
        <f>$C1131*BC1130</f>
        <v/>
      </c>
      <c r="BD1131">
        <f>$C1131*BD1130</f>
        <v/>
      </c>
      <c r="BE1131">
        <f>$C1131*BE1130</f>
        <v/>
      </c>
      <c r="BF1131">
        <f>$C1131*BF1130</f>
        <v/>
      </c>
      <c r="BG1131">
        <f>$C1131*BG1130</f>
        <v/>
      </c>
      <c r="BH1131">
        <f>$C1131*BH1130</f>
        <v/>
      </c>
      <c r="BI1131">
        <f>$C1131*BI1130</f>
        <v/>
      </c>
      <c r="BJ1131">
        <f>$C1131*BJ1130</f>
        <v/>
      </c>
      <c r="BK1131">
        <f>$C1131*BK1130</f>
        <v/>
      </c>
      <c r="BL1131">
        <f>$C1131*BL1130</f>
        <v/>
      </c>
      <c r="BM1131">
        <f>$C1131*BM1130</f>
        <v/>
      </c>
      <c r="BN1131">
        <f>$C1131*BN1130</f>
        <v/>
      </c>
      <c r="BO1131">
        <f>$C1131*BO1130</f>
        <v/>
      </c>
      <c r="BP1131">
        <f>$C1131*BP1130</f>
        <v/>
      </c>
      <c r="BQ1131">
        <f>$C1131*BQ1130</f>
        <v/>
      </c>
      <c r="BR1131">
        <f>$C1131*BR1130</f>
        <v/>
      </c>
      <c r="BS1131">
        <f>$C1131*BS1130</f>
        <v/>
      </c>
      <c r="BT1131">
        <f>$C1131*BT1130</f>
        <v/>
      </c>
      <c r="BU1131">
        <f>$C1131*BU1130</f>
        <v/>
      </c>
      <c r="BV1131">
        <f>$C1131*BV1130</f>
        <v/>
      </c>
      <c r="BW1131">
        <f>$C1131*BW1130</f>
        <v/>
      </c>
      <c r="BX1131">
        <f>$C1131*BX1130</f>
        <v/>
      </c>
      <c r="BY1131">
        <f>$C1131*BY1130</f>
        <v/>
      </c>
      <c r="BZ1131">
        <f>$C1131*BZ1130</f>
        <v/>
      </c>
      <c r="CA1131">
        <f>$C1131*CA1130</f>
        <v/>
      </c>
      <c r="CB1131">
        <f>$C1131*CB1130</f>
        <v/>
      </c>
      <c r="CC1131">
        <f>$C1131*CC1130</f>
        <v/>
      </c>
      <c r="CD1131">
        <f>$C1131*CD1130</f>
        <v/>
      </c>
      <c r="CE1131">
        <f>$C1131*CE1130</f>
        <v/>
      </c>
      <c r="CF1131">
        <f>$C1131*CF1130</f>
        <v/>
      </c>
      <c r="CG1131">
        <f>$C1131*CG1130</f>
        <v/>
      </c>
      <c r="CH1131">
        <f>$C1131*CH1130</f>
        <v/>
      </c>
      <c r="CI1131">
        <f>$C1131*CI1130</f>
        <v/>
      </c>
      <c r="CJ1131">
        <f>$C1131*CJ1130</f>
        <v/>
      </c>
      <c r="CK1131">
        <f>$C1131*CK1130</f>
        <v/>
      </c>
      <c r="CL1131">
        <f>$C1131*CL1130</f>
        <v/>
      </c>
      <c r="CM1131">
        <f>$C1131*CM1130</f>
        <v/>
      </c>
      <c r="CN1131">
        <f>$C1131*CN1130</f>
        <v/>
      </c>
      <c r="CO1131">
        <f>$C1131*CO1130</f>
        <v/>
      </c>
      <c r="CP1131">
        <f>$C1131*CP1130</f>
        <v/>
      </c>
      <c r="CQ1131">
        <f>$C1131*CQ1130</f>
        <v/>
      </c>
      <c r="CR1131">
        <f>$C1131*CR1130</f>
        <v/>
      </c>
      <c r="CS1131">
        <f>$C1131*CS1130</f>
        <v/>
      </c>
      <c r="CT1131">
        <f>$C1131*CT1130</f>
        <v/>
      </c>
      <c r="CU1131">
        <f>$C1131*CU1130</f>
        <v/>
      </c>
      <c r="CV1131">
        <f>$C1131*CV1130</f>
        <v/>
      </c>
      <c r="CW1131">
        <f>$C1131*CW1130</f>
        <v/>
      </c>
      <c r="CX1131">
        <f>$C1131*CX1130</f>
        <v/>
      </c>
      <c r="CY1131">
        <f>$C1131*CY1130</f>
        <v/>
      </c>
      <c r="CZ1131">
        <f>$C1131*CZ1130</f>
        <v/>
      </c>
      <c r="DA1131">
        <f>$C1131*DA1130</f>
        <v/>
      </c>
      <c r="DB1131">
        <f>$C1131*DB1130</f>
        <v/>
      </c>
      <c r="DC1131">
        <f>$C1131*DC1130</f>
        <v/>
      </c>
    </row>
    <row r="1132">
      <c r="B1132" t="inlineStr">
        <is>
          <t>TVS-267</t>
        </is>
      </c>
      <c r="C1132" t="inlineStr">
        <is>
          <t>No. of batches</t>
        </is>
      </c>
      <c r="D1132">
        <f>IFERROR(INDEX(PP_Grid[#Data],$DD1132,2),0)</f>
        <v/>
      </c>
      <c r="E1132">
        <f>IFERROR(INDEX(PP_Grid[#Data],$DD1132,3),0)</f>
        <v/>
      </c>
      <c r="F1132">
        <f>IFERROR(INDEX(PP_Grid[#Data],$DD1132,4),0)</f>
        <v/>
      </c>
      <c r="G1132">
        <f>IFERROR(INDEX(PP_Grid[#Data],$DD1132,5),0)</f>
        <v/>
      </c>
      <c r="H1132">
        <f>IFERROR(INDEX(PP_Grid[#Data],$DD1132,6),0)</f>
        <v/>
      </c>
      <c r="I1132">
        <f>IFERROR(INDEX(PP_Grid[#Data],$DD1132,7),0)</f>
        <v/>
      </c>
      <c r="J1132">
        <f>IFERROR(INDEX(PP_Grid[#Data],$DD1132,8),0)</f>
        <v/>
      </c>
      <c r="K1132">
        <f>IFERROR(INDEX(PP_Grid[#Data],$DD1132,9),0)</f>
        <v/>
      </c>
      <c r="L1132">
        <f>IFERROR(INDEX(PP_Grid[#Data],$DD1132,10),0)</f>
        <v/>
      </c>
      <c r="M1132">
        <f>IFERROR(INDEX(PP_Grid[#Data],$DD1132,11),0)</f>
        <v/>
      </c>
      <c r="N1132">
        <f>IFERROR(INDEX(PP_Grid[#Data],$DD1132,12),0)</f>
        <v/>
      </c>
      <c r="O1132">
        <f>IFERROR(INDEX(PP_Grid[#Data],$DD1132,13),0)</f>
        <v/>
      </c>
      <c r="P1132">
        <f>IFERROR(INDEX(PP_Grid[#Data],$DD1132,14),0)</f>
        <v/>
      </c>
      <c r="Q1132">
        <f>IFERROR(INDEX(PP_Grid[#Data],$DD1132,15),0)</f>
        <v/>
      </c>
      <c r="R1132">
        <f>IFERROR(INDEX(PP_Grid[#Data],$DD1132,16),0)</f>
        <v/>
      </c>
      <c r="S1132">
        <f>IFERROR(INDEX(PP_Grid[#Data],$DD1132,17),0)</f>
        <v/>
      </c>
      <c r="T1132">
        <f>IFERROR(INDEX(PP_Grid[#Data],$DD1132,18),0)</f>
        <v/>
      </c>
      <c r="U1132">
        <f>IFERROR(INDEX(PP_Grid[#Data],$DD1132,19),0)</f>
        <v/>
      </c>
      <c r="V1132">
        <f>IFERROR(INDEX(PP_Grid[#Data],$DD1132,20),0)</f>
        <v/>
      </c>
      <c r="W1132">
        <f>IFERROR(INDEX(PP_Grid[#Data],$DD1132,21),0)</f>
        <v/>
      </c>
      <c r="X1132">
        <f>IFERROR(INDEX(PP_Grid[#Data],$DD1132,22),0)</f>
        <v/>
      </c>
      <c r="Y1132">
        <f>IFERROR(INDEX(PP_Grid[#Data],$DD1132,23),0)</f>
        <v/>
      </c>
      <c r="Z1132">
        <f>IFERROR(INDEX(PP_Grid[#Data],$DD1132,24),0)</f>
        <v/>
      </c>
      <c r="AA1132">
        <f>IFERROR(INDEX(PP_Grid[#Data],$DD1132,25),0)</f>
        <v/>
      </c>
      <c r="AB1132">
        <f>IFERROR(INDEX(PP_Grid[#Data],$DD1132,26),0)</f>
        <v/>
      </c>
      <c r="AC1132">
        <f>IFERROR(INDEX(PP_Grid[#Data],$DD1132,27),0)</f>
        <v/>
      </c>
      <c r="AD1132">
        <f>IFERROR(INDEX(PP_Grid[#Data],$DD1132,28),0)</f>
        <v/>
      </c>
      <c r="AE1132">
        <f>IFERROR(INDEX(PP_Grid[#Data],$DD1132,29),0)</f>
        <v/>
      </c>
      <c r="AF1132">
        <f>IFERROR(INDEX(PP_Grid[#Data],$DD1132,30),0)</f>
        <v/>
      </c>
      <c r="AG1132">
        <f>IFERROR(INDEX(PP_Grid[#Data],$DD1132,31),0)</f>
        <v/>
      </c>
      <c r="AH1132">
        <f>IFERROR(INDEX(PP_Grid[#Data],$DD1132,32),0)</f>
        <v/>
      </c>
      <c r="AI1132">
        <f>IFERROR(INDEX(PP_Grid[#Data],$DD1132,33),0)</f>
        <v/>
      </c>
      <c r="AJ1132">
        <f>IFERROR(INDEX(PP_Grid[#Data],$DD1132,34),0)</f>
        <v/>
      </c>
      <c r="AK1132">
        <f>IFERROR(INDEX(PP_Grid[#Data],$DD1132,35),0)</f>
        <v/>
      </c>
      <c r="AL1132">
        <f>IFERROR(INDEX(PP_Grid[#Data],$DD1132,36),0)</f>
        <v/>
      </c>
      <c r="AM1132">
        <f>IFERROR(INDEX(PP_Grid[#Data],$DD1132,37),0)</f>
        <v/>
      </c>
      <c r="AN1132">
        <f>IFERROR(INDEX(PP_Grid[#Data],$DD1132,38),0)</f>
        <v/>
      </c>
      <c r="AO1132">
        <f>IFERROR(INDEX(PP_Grid[#Data],$DD1132,39),0)</f>
        <v/>
      </c>
      <c r="AP1132">
        <f>IFERROR(INDEX(PP_Grid[#Data],$DD1132,40),0)</f>
        <v/>
      </c>
      <c r="AQ1132">
        <f>IFERROR(INDEX(PP_Grid[#Data],$DD1132,41),0)</f>
        <v/>
      </c>
      <c r="AR1132">
        <f>IFERROR(INDEX(PP_Grid[#Data],$DD1132,42),0)</f>
        <v/>
      </c>
      <c r="AS1132">
        <f>IFERROR(INDEX(PP_Grid[#Data],$DD1132,43),0)</f>
        <v/>
      </c>
      <c r="AT1132">
        <f>IFERROR(INDEX(PP_Grid[#Data],$DD1132,44),0)</f>
        <v/>
      </c>
      <c r="AU1132">
        <f>IFERROR(INDEX(PP_Grid[#Data],$DD1132,45),0)</f>
        <v/>
      </c>
      <c r="AV1132">
        <f>IFERROR(INDEX(PP_Grid[#Data],$DD1132,46),0)</f>
        <v/>
      </c>
      <c r="AW1132">
        <f>IFERROR(INDEX(PP_Grid[#Data],$DD1132,47),0)</f>
        <v/>
      </c>
      <c r="AX1132">
        <f>IFERROR(INDEX(PP_Grid[#Data],$DD1132,48),0)</f>
        <v/>
      </c>
      <c r="AY1132">
        <f>IFERROR(INDEX(PP_Grid[#Data],$DD1132,49),0)</f>
        <v/>
      </c>
      <c r="AZ1132">
        <f>IFERROR(INDEX(PP_Grid[#Data],$DD1132,50),0)</f>
        <v/>
      </c>
      <c r="BA1132">
        <f>IFERROR(INDEX(PP_Grid[#Data],$DD1132,51),0)</f>
        <v/>
      </c>
      <c r="BB1132">
        <f>IFERROR(INDEX(PP_Grid[#Data],$DD1132,52),0)</f>
        <v/>
      </c>
      <c r="BC1132">
        <f>IFERROR(INDEX(PP_Grid[#Data],$DD1132,53),0)</f>
        <v/>
      </c>
      <c r="BD1132">
        <f>IFERROR(INDEX(PP_Grid[#Data],$DD1132,54),0)</f>
        <v/>
      </c>
      <c r="BE1132">
        <f>IFERROR(INDEX(PP_Grid[#Data],$DD1132,55),0)</f>
        <v/>
      </c>
      <c r="BF1132">
        <f>IFERROR(INDEX(PP_Grid[#Data],$DD1132,56),0)</f>
        <v/>
      </c>
      <c r="BG1132">
        <f>IFERROR(INDEX(PP_Grid[#Data],$DD1132,57),0)</f>
        <v/>
      </c>
      <c r="BH1132">
        <f>IFERROR(INDEX(PP_Grid[#Data],$DD1132,58),0)</f>
        <v/>
      </c>
      <c r="BI1132">
        <f>IFERROR(INDEX(PP_Grid[#Data],$DD1132,59),0)</f>
        <v/>
      </c>
      <c r="BJ1132">
        <f>IFERROR(INDEX(PP_Grid[#Data],$DD1132,60),0)</f>
        <v/>
      </c>
      <c r="BK1132">
        <f>IFERROR(INDEX(PP_Grid[#Data],$DD1132,61),0)</f>
        <v/>
      </c>
      <c r="BL1132">
        <f>IFERROR(INDEX(PP_Grid[#Data],$DD1132,62),0)</f>
        <v/>
      </c>
      <c r="BM1132">
        <f>IFERROR(INDEX(PP_Grid[#Data],$DD1132,63),0)</f>
        <v/>
      </c>
      <c r="BN1132">
        <f>IFERROR(INDEX(PP_Grid[#Data],$DD1132,64),0)</f>
        <v/>
      </c>
      <c r="BO1132">
        <f>IFERROR(INDEX(PP_Grid[#Data],$DD1132,65),0)</f>
        <v/>
      </c>
      <c r="BP1132">
        <f>IFERROR(INDEX(PP_Grid[#Data],$DD1132,66),0)</f>
        <v/>
      </c>
      <c r="BQ1132">
        <f>IFERROR(INDEX(PP_Grid[#Data],$DD1132,67),0)</f>
        <v/>
      </c>
      <c r="BR1132">
        <f>IFERROR(INDEX(PP_Grid[#Data],$DD1132,68),0)</f>
        <v/>
      </c>
      <c r="BS1132">
        <f>IFERROR(INDEX(PP_Grid[#Data],$DD1132,69),0)</f>
        <v/>
      </c>
      <c r="BT1132">
        <f>IFERROR(INDEX(PP_Grid[#Data],$DD1132,70),0)</f>
        <v/>
      </c>
      <c r="BU1132">
        <f>IFERROR(INDEX(PP_Grid[#Data],$DD1132,71),0)</f>
        <v/>
      </c>
      <c r="BV1132">
        <f>IFERROR(INDEX(PP_Grid[#Data],$DD1132,72),0)</f>
        <v/>
      </c>
      <c r="BW1132">
        <f>IFERROR(INDEX(PP_Grid[#Data],$DD1132,73),0)</f>
        <v/>
      </c>
      <c r="BX1132">
        <f>IFERROR(INDEX(PP_Grid[#Data],$DD1132,74),0)</f>
        <v/>
      </c>
      <c r="BY1132">
        <f>IFERROR(INDEX(PP_Grid[#Data],$DD1132,75),0)</f>
        <v/>
      </c>
      <c r="BZ1132">
        <f>IFERROR(INDEX(PP_Grid[#Data],$DD1132,76),0)</f>
        <v/>
      </c>
      <c r="CA1132">
        <f>IFERROR(INDEX(PP_Grid[#Data],$DD1132,77),0)</f>
        <v/>
      </c>
      <c r="CB1132">
        <f>IFERROR(INDEX(PP_Grid[#Data],$DD1132,78),0)</f>
        <v/>
      </c>
      <c r="CC1132">
        <f>IFERROR(INDEX(PP_Grid[#Data],$DD1132,79),0)</f>
        <v/>
      </c>
      <c r="CD1132">
        <f>IFERROR(INDEX(PP_Grid[#Data],$DD1132,80),0)</f>
        <v/>
      </c>
      <c r="CE1132">
        <f>IFERROR(INDEX(PP_Grid[#Data],$DD1132,81),0)</f>
        <v/>
      </c>
      <c r="CF1132">
        <f>IFERROR(INDEX(PP_Grid[#Data],$DD1132,82),0)</f>
        <v/>
      </c>
      <c r="CG1132">
        <f>IFERROR(INDEX(PP_Grid[#Data],$DD1132,83),0)</f>
        <v/>
      </c>
      <c r="CH1132">
        <f>IFERROR(INDEX(PP_Grid[#Data],$DD1132,84),0)</f>
        <v/>
      </c>
      <c r="CI1132">
        <f>IFERROR(INDEX(PP_Grid[#Data],$DD1132,85),0)</f>
        <v/>
      </c>
      <c r="CJ1132">
        <f>IFERROR(INDEX(PP_Grid[#Data],$DD1132,86),0)</f>
        <v/>
      </c>
      <c r="CK1132">
        <f>IFERROR(INDEX(PP_Grid[#Data],$DD1132,87),0)</f>
        <v/>
      </c>
      <c r="CL1132">
        <f>IFERROR(INDEX(PP_Grid[#Data],$DD1132,88),0)</f>
        <v/>
      </c>
      <c r="CM1132">
        <f>IFERROR(INDEX(PP_Grid[#Data],$DD1132,89),0)</f>
        <v/>
      </c>
      <c r="CN1132">
        <f>IFERROR(INDEX(PP_Grid[#Data],$DD1132,90),0)</f>
        <v/>
      </c>
      <c r="CO1132">
        <f>IFERROR(INDEX(PP_Grid[#Data],$DD1132,91),0)</f>
        <v/>
      </c>
      <c r="CP1132">
        <f>IFERROR(INDEX(PP_Grid[#Data],$DD1132,92),0)</f>
        <v/>
      </c>
      <c r="CQ1132">
        <f>IFERROR(INDEX(PP_Grid[#Data],$DD1132,93),0)</f>
        <v/>
      </c>
      <c r="CR1132">
        <f>IFERROR(INDEX(PP_Grid[#Data],$DD1132,94),0)</f>
        <v/>
      </c>
      <c r="CS1132">
        <f>IFERROR(INDEX(PP_Grid[#Data],$DD1132,95),0)</f>
        <v/>
      </c>
      <c r="CT1132">
        <f>IFERROR(INDEX(PP_Grid[#Data],$DD1132,96),0)</f>
        <v/>
      </c>
      <c r="CU1132">
        <f>IFERROR(INDEX(PP_Grid[#Data],$DD1132,97),0)</f>
        <v/>
      </c>
      <c r="CV1132">
        <f>IFERROR(INDEX(PP_Grid[#Data],$DD1132,98),0)</f>
        <v/>
      </c>
      <c r="CW1132">
        <f>IFERROR(INDEX(PP_Grid[#Data],$DD1132,99),0)</f>
        <v/>
      </c>
      <c r="CX1132">
        <f>IFERROR(INDEX(PP_Grid[#Data],$DD1132,100),0)</f>
        <v/>
      </c>
      <c r="CY1132">
        <f>IFERROR(INDEX(PP_Grid[#Data],$DD1132,101),0)</f>
        <v/>
      </c>
      <c r="CZ1132">
        <f>IFERROR(INDEX(PP_Grid[#Data],$DD1132,102),0)</f>
        <v/>
      </c>
      <c r="DA1132">
        <f>IFERROR(INDEX(PP_Grid[#Data],$DD1132,103),0)</f>
        <v/>
      </c>
      <c r="DB1132">
        <f>IFERROR(INDEX(PP_Grid[#Data],$DD1132,104),0)</f>
        <v/>
      </c>
      <c r="DC1132">
        <f>IFERROR(INDEX(PP_Grid[#Data],$DD1132,105),0)</f>
        <v/>
      </c>
      <c r="DD1132" s="7">
        <f>IFERROR(MATCH($B1132,PP_Grid[Intermediate],0),99999)</f>
        <v/>
      </c>
    </row>
    <row r="1133">
      <c r="B1133" t="inlineStr">
        <is>
          <t>使用量(kg)</t>
        </is>
      </c>
      <c r="C1133">
        <f>SUMIFS(M_BOM[RM_Qty_Per_Batch],M_BOM[Intermediate],$B1132,M_BOM[Part Name],$A1099)</f>
        <v/>
      </c>
      <c r="D1133">
        <f>$C1133*D1132</f>
        <v/>
      </c>
      <c r="E1133">
        <f>$C1133*E1132</f>
        <v/>
      </c>
      <c r="F1133">
        <f>$C1133*F1132</f>
        <v/>
      </c>
      <c r="G1133">
        <f>$C1133*G1132</f>
        <v/>
      </c>
      <c r="H1133">
        <f>$C1133*H1132</f>
        <v/>
      </c>
      <c r="I1133">
        <f>$C1133*I1132</f>
        <v/>
      </c>
      <c r="J1133">
        <f>$C1133*J1132</f>
        <v/>
      </c>
      <c r="K1133">
        <f>$C1133*K1132</f>
        <v/>
      </c>
      <c r="L1133">
        <f>$C1133*L1132</f>
        <v/>
      </c>
      <c r="M1133">
        <f>$C1133*M1132</f>
        <v/>
      </c>
      <c r="N1133">
        <f>$C1133*N1132</f>
        <v/>
      </c>
      <c r="O1133">
        <f>$C1133*O1132</f>
        <v/>
      </c>
      <c r="P1133">
        <f>$C1133*P1132</f>
        <v/>
      </c>
      <c r="Q1133">
        <f>$C1133*Q1132</f>
        <v/>
      </c>
      <c r="R1133">
        <f>$C1133*R1132</f>
        <v/>
      </c>
      <c r="S1133">
        <f>$C1133*S1132</f>
        <v/>
      </c>
      <c r="T1133">
        <f>$C1133*T1132</f>
        <v/>
      </c>
      <c r="U1133">
        <f>$C1133*U1132</f>
        <v/>
      </c>
      <c r="V1133">
        <f>$C1133*V1132</f>
        <v/>
      </c>
      <c r="W1133">
        <f>$C1133*W1132</f>
        <v/>
      </c>
      <c r="X1133">
        <f>$C1133*X1132</f>
        <v/>
      </c>
      <c r="Y1133">
        <f>$C1133*Y1132</f>
        <v/>
      </c>
      <c r="Z1133">
        <f>$C1133*Z1132</f>
        <v/>
      </c>
      <c r="AA1133">
        <f>$C1133*AA1132</f>
        <v/>
      </c>
      <c r="AB1133">
        <f>$C1133*AB1132</f>
        <v/>
      </c>
      <c r="AC1133">
        <f>$C1133*AC1132</f>
        <v/>
      </c>
      <c r="AD1133">
        <f>$C1133*AD1132</f>
        <v/>
      </c>
      <c r="AE1133">
        <f>$C1133*AE1132</f>
        <v/>
      </c>
      <c r="AF1133">
        <f>$C1133*AF1132</f>
        <v/>
      </c>
      <c r="AG1133">
        <f>$C1133*AG1132</f>
        <v/>
      </c>
      <c r="AH1133">
        <f>$C1133*AH1132</f>
        <v/>
      </c>
      <c r="AI1133">
        <f>$C1133*AI1132</f>
        <v/>
      </c>
      <c r="AJ1133">
        <f>$C1133*AJ1132</f>
        <v/>
      </c>
      <c r="AK1133">
        <f>$C1133*AK1132</f>
        <v/>
      </c>
      <c r="AL1133">
        <f>$C1133*AL1132</f>
        <v/>
      </c>
      <c r="AM1133">
        <f>$C1133*AM1132</f>
        <v/>
      </c>
      <c r="AN1133">
        <f>$C1133*AN1132</f>
        <v/>
      </c>
      <c r="AO1133">
        <f>$C1133*AO1132</f>
        <v/>
      </c>
      <c r="AP1133">
        <f>$C1133*AP1132</f>
        <v/>
      </c>
      <c r="AQ1133">
        <f>$C1133*AQ1132</f>
        <v/>
      </c>
      <c r="AR1133">
        <f>$C1133*AR1132</f>
        <v/>
      </c>
      <c r="AS1133">
        <f>$C1133*AS1132</f>
        <v/>
      </c>
      <c r="AT1133">
        <f>$C1133*AT1132</f>
        <v/>
      </c>
      <c r="AU1133">
        <f>$C1133*AU1132</f>
        <v/>
      </c>
      <c r="AV1133">
        <f>$C1133*AV1132</f>
        <v/>
      </c>
      <c r="AW1133">
        <f>$C1133*AW1132</f>
        <v/>
      </c>
      <c r="AX1133">
        <f>$C1133*AX1132</f>
        <v/>
      </c>
      <c r="AY1133">
        <f>$C1133*AY1132</f>
        <v/>
      </c>
      <c r="AZ1133">
        <f>$C1133*AZ1132</f>
        <v/>
      </c>
      <c r="BA1133">
        <f>$C1133*BA1132</f>
        <v/>
      </c>
      <c r="BB1133">
        <f>$C1133*BB1132</f>
        <v/>
      </c>
      <c r="BC1133">
        <f>$C1133*BC1132</f>
        <v/>
      </c>
      <c r="BD1133">
        <f>$C1133*BD1132</f>
        <v/>
      </c>
      <c r="BE1133">
        <f>$C1133*BE1132</f>
        <v/>
      </c>
      <c r="BF1133">
        <f>$C1133*BF1132</f>
        <v/>
      </c>
      <c r="BG1133">
        <f>$C1133*BG1132</f>
        <v/>
      </c>
      <c r="BH1133">
        <f>$C1133*BH1132</f>
        <v/>
      </c>
      <c r="BI1133">
        <f>$C1133*BI1132</f>
        <v/>
      </c>
      <c r="BJ1133">
        <f>$C1133*BJ1132</f>
        <v/>
      </c>
      <c r="BK1133">
        <f>$C1133*BK1132</f>
        <v/>
      </c>
      <c r="BL1133">
        <f>$C1133*BL1132</f>
        <v/>
      </c>
      <c r="BM1133">
        <f>$C1133*BM1132</f>
        <v/>
      </c>
      <c r="BN1133">
        <f>$C1133*BN1132</f>
        <v/>
      </c>
      <c r="BO1133">
        <f>$C1133*BO1132</f>
        <v/>
      </c>
      <c r="BP1133">
        <f>$C1133*BP1132</f>
        <v/>
      </c>
      <c r="BQ1133">
        <f>$C1133*BQ1132</f>
        <v/>
      </c>
      <c r="BR1133">
        <f>$C1133*BR1132</f>
        <v/>
      </c>
      <c r="BS1133">
        <f>$C1133*BS1132</f>
        <v/>
      </c>
      <c r="BT1133">
        <f>$C1133*BT1132</f>
        <v/>
      </c>
      <c r="BU1133">
        <f>$C1133*BU1132</f>
        <v/>
      </c>
      <c r="BV1133">
        <f>$C1133*BV1132</f>
        <v/>
      </c>
      <c r="BW1133">
        <f>$C1133*BW1132</f>
        <v/>
      </c>
      <c r="BX1133">
        <f>$C1133*BX1132</f>
        <v/>
      </c>
      <c r="BY1133">
        <f>$C1133*BY1132</f>
        <v/>
      </c>
      <c r="BZ1133">
        <f>$C1133*BZ1132</f>
        <v/>
      </c>
      <c r="CA1133">
        <f>$C1133*CA1132</f>
        <v/>
      </c>
      <c r="CB1133">
        <f>$C1133*CB1132</f>
        <v/>
      </c>
      <c r="CC1133">
        <f>$C1133*CC1132</f>
        <v/>
      </c>
      <c r="CD1133">
        <f>$C1133*CD1132</f>
        <v/>
      </c>
      <c r="CE1133">
        <f>$C1133*CE1132</f>
        <v/>
      </c>
      <c r="CF1133">
        <f>$C1133*CF1132</f>
        <v/>
      </c>
      <c r="CG1133">
        <f>$C1133*CG1132</f>
        <v/>
      </c>
      <c r="CH1133">
        <f>$C1133*CH1132</f>
        <v/>
      </c>
      <c r="CI1133">
        <f>$C1133*CI1132</f>
        <v/>
      </c>
      <c r="CJ1133">
        <f>$C1133*CJ1132</f>
        <v/>
      </c>
      <c r="CK1133">
        <f>$C1133*CK1132</f>
        <v/>
      </c>
      <c r="CL1133">
        <f>$C1133*CL1132</f>
        <v/>
      </c>
      <c r="CM1133">
        <f>$C1133*CM1132</f>
        <v/>
      </c>
      <c r="CN1133">
        <f>$C1133*CN1132</f>
        <v/>
      </c>
      <c r="CO1133">
        <f>$C1133*CO1132</f>
        <v/>
      </c>
      <c r="CP1133">
        <f>$C1133*CP1132</f>
        <v/>
      </c>
      <c r="CQ1133">
        <f>$C1133*CQ1132</f>
        <v/>
      </c>
      <c r="CR1133">
        <f>$C1133*CR1132</f>
        <v/>
      </c>
      <c r="CS1133">
        <f>$C1133*CS1132</f>
        <v/>
      </c>
      <c r="CT1133">
        <f>$C1133*CT1132</f>
        <v/>
      </c>
      <c r="CU1133">
        <f>$C1133*CU1132</f>
        <v/>
      </c>
      <c r="CV1133">
        <f>$C1133*CV1132</f>
        <v/>
      </c>
      <c r="CW1133">
        <f>$C1133*CW1132</f>
        <v/>
      </c>
      <c r="CX1133">
        <f>$C1133*CX1132</f>
        <v/>
      </c>
      <c r="CY1133">
        <f>$C1133*CY1132</f>
        <v/>
      </c>
      <c r="CZ1133">
        <f>$C1133*CZ1132</f>
        <v/>
      </c>
      <c r="DA1133">
        <f>$C1133*DA1132</f>
        <v/>
      </c>
      <c r="DB1133">
        <f>$C1133*DB1132</f>
        <v/>
      </c>
      <c r="DC1133">
        <f>$C1133*DC1132</f>
        <v/>
      </c>
    </row>
    <row r="1134">
      <c r="B1134" t="inlineStr">
        <is>
          <t>TVS-833</t>
        </is>
      </c>
      <c r="C1134" t="inlineStr">
        <is>
          <t>No. of batches</t>
        </is>
      </c>
      <c r="D1134">
        <f>IFERROR(INDEX(PP_Grid[#Data],$DD1134,2),0)</f>
        <v/>
      </c>
      <c r="E1134">
        <f>IFERROR(INDEX(PP_Grid[#Data],$DD1134,3),0)</f>
        <v/>
      </c>
      <c r="F1134">
        <f>IFERROR(INDEX(PP_Grid[#Data],$DD1134,4),0)</f>
        <v/>
      </c>
      <c r="G1134">
        <f>IFERROR(INDEX(PP_Grid[#Data],$DD1134,5),0)</f>
        <v/>
      </c>
      <c r="H1134">
        <f>IFERROR(INDEX(PP_Grid[#Data],$DD1134,6),0)</f>
        <v/>
      </c>
      <c r="I1134">
        <f>IFERROR(INDEX(PP_Grid[#Data],$DD1134,7),0)</f>
        <v/>
      </c>
      <c r="J1134">
        <f>IFERROR(INDEX(PP_Grid[#Data],$DD1134,8),0)</f>
        <v/>
      </c>
      <c r="K1134">
        <f>IFERROR(INDEX(PP_Grid[#Data],$DD1134,9),0)</f>
        <v/>
      </c>
      <c r="L1134">
        <f>IFERROR(INDEX(PP_Grid[#Data],$DD1134,10),0)</f>
        <v/>
      </c>
      <c r="M1134">
        <f>IFERROR(INDEX(PP_Grid[#Data],$DD1134,11),0)</f>
        <v/>
      </c>
      <c r="N1134">
        <f>IFERROR(INDEX(PP_Grid[#Data],$DD1134,12),0)</f>
        <v/>
      </c>
      <c r="O1134">
        <f>IFERROR(INDEX(PP_Grid[#Data],$DD1134,13),0)</f>
        <v/>
      </c>
      <c r="P1134">
        <f>IFERROR(INDEX(PP_Grid[#Data],$DD1134,14),0)</f>
        <v/>
      </c>
      <c r="Q1134">
        <f>IFERROR(INDEX(PP_Grid[#Data],$DD1134,15),0)</f>
        <v/>
      </c>
      <c r="R1134">
        <f>IFERROR(INDEX(PP_Grid[#Data],$DD1134,16),0)</f>
        <v/>
      </c>
      <c r="S1134">
        <f>IFERROR(INDEX(PP_Grid[#Data],$DD1134,17),0)</f>
        <v/>
      </c>
      <c r="T1134">
        <f>IFERROR(INDEX(PP_Grid[#Data],$DD1134,18),0)</f>
        <v/>
      </c>
      <c r="U1134">
        <f>IFERROR(INDEX(PP_Grid[#Data],$DD1134,19),0)</f>
        <v/>
      </c>
      <c r="V1134">
        <f>IFERROR(INDEX(PP_Grid[#Data],$DD1134,20),0)</f>
        <v/>
      </c>
      <c r="W1134">
        <f>IFERROR(INDEX(PP_Grid[#Data],$DD1134,21),0)</f>
        <v/>
      </c>
      <c r="X1134">
        <f>IFERROR(INDEX(PP_Grid[#Data],$DD1134,22),0)</f>
        <v/>
      </c>
      <c r="Y1134">
        <f>IFERROR(INDEX(PP_Grid[#Data],$DD1134,23),0)</f>
        <v/>
      </c>
      <c r="Z1134">
        <f>IFERROR(INDEX(PP_Grid[#Data],$DD1134,24),0)</f>
        <v/>
      </c>
      <c r="AA1134">
        <f>IFERROR(INDEX(PP_Grid[#Data],$DD1134,25),0)</f>
        <v/>
      </c>
      <c r="AB1134">
        <f>IFERROR(INDEX(PP_Grid[#Data],$DD1134,26),0)</f>
        <v/>
      </c>
      <c r="AC1134">
        <f>IFERROR(INDEX(PP_Grid[#Data],$DD1134,27),0)</f>
        <v/>
      </c>
      <c r="AD1134">
        <f>IFERROR(INDEX(PP_Grid[#Data],$DD1134,28),0)</f>
        <v/>
      </c>
      <c r="AE1134">
        <f>IFERROR(INDEX(PP_Grid[#Data],$DD1134,29),0)</f>
        <v/>
      </c>
      <c r="AF1134">
        <f>IFERROR(INDEX(PP_Grid[#Data],$DD1134,30),0)</f>
        <v/>
      </c>
      <c r="AG1134">
        <f>IFERROR(INDEX(PP_Grid[#Data],$DD1134,31),0)</f>
        <v/>
      </c>
      <c r="AH1134">
        <f>IFERROR(INDEX(PP_Grid[#Data],$DD1134,32),0)</f>
        <v/>
      </c>
      <c r="AI1134">
        <f>IFERROR(INDEX(PP_Grid[#Data],$DD1134,33),0)</f>
        <v/>
      </c>
      <c r="AJ1134">
        <f>IFERROR(INDEX(PP_Grid[#Data],$DD1134,34),0)</f>
        <v/>
      </c>
      <c r="AK1134">
        <f>IFERROR(INDEX(PP_Grid[#Data],$DD1134,35),0)</f>
        <v/>
      </c>
      <c r="AL1134">
        <f>IFERROR(INDEX(PP_Grid[#Data],$DD1134,36),0)</f>
        <v/>
      </c>
      <c r="AM1134">
        <f>IFERROR(INDEX(PP_Grid[#Data],$DD1134,37),0)</f>
        <v/>
      </c>
      <c r="AN1134">
        <f>IFERROR(INDEX(PP_Grid[#Data],$DD1134,38),0)</f>
        <v/>
      </c>
      <c r="AO1134">
        <f>IFERROR(INDEX(PP_Grid[#Data],$DD1134,39),0)</f>
        <v/>
      </c>
      <c r="AP1134">
        <f>IFERROR(INDEX(PP_Grid[#Data],$DD1134,40),0)</f>
        <v/>
      </c>
      <c r="AQ1134">
        <f>IFERROR(INDEX(PP_Grid[#Data],$DD1134,41),0)</f>
        <v/>
      </c>
      <c r="AR1134">
        <f>IFERROR(INDEX(PP_Grid[#Data],$DD1134,42),0)</f>
        <v/>
      </c>
      <c r="AS1134">
        <f>IFERROR(INDEX(PP_Grid[#Data],$DD1134,43),0)</f>
        <v/>
      </c>
      <c r="AT1134">
        <f>IFERROR(INDEX(PP_Grid[#Data],$DD1134,44),0)</f>
        <v/>
      </c>
      <c r="AU1134">
        <f>IFERROR(INDEX(PP_Grid[#Data],$DD1134,45),0)</f>
        <v/>
      </c>
      <c r="AV1134">
        <f>IFERROR(INDEX(PP_Grid[#Data],$DD1134,46),0)</f>
        <v/>
      </c>
      <c r="AW1134">
        <f>IFERROR(INDEX(PP_Grid[#Data],$DD1134,47),0)</f>
        <v/>
      </c>
      <c r="AX1134">
        <f>IFERROR(INDEX(PP_Grid[#Data],$DD1134,48),0)</f>
        <v/>
      </c>
      <c r="AY1134">
        <f>IFERROR(INDEX(PP_Grid[#Data],$DD1134,49),0)</f>
        <v/>
      </c>
      <c r="AZ1134">
        <f>IFERROR(INDEX(PP_Grid[#Data],$DD1134,50),0)</f>
        <v/>
      </c>
      <c r="BA1134">
        <f>IFERROR(INDEX(PP_Grid[#Data],$DD1134,51),0)</f>
        <v/>
      </c>
      <c r="BB1134">
        <f>IFERROR(INDEX(PP_Grid[#Data],$DD1134,52),0)</f>
        <v/>
      </c>
      <c r="BC1134">
        <f>IFERROR(INDEX(PP_Grid[#Data],$DD1134,53),0)</f>
        <v/>
      </c>
      <c r="BD1134">
        <f>IFERROR(INDEX(PP_Grid[#Data],$DD1134,54),0)</f>
        <v/>
      </c>
      <c r="BE1134">
        <f>IFERROR(INDEX(PP_Grid[#Data],$DD1134,55),0)</f>
        <v/>
      </c>
      <c r="BF1134">
        <f>IFERROR(INDEX(PP_Grid[#Data],$DD1134,56),0)</f>
        <v/>
      </c>
      <c r="BG1134">
        <f>IFERROR(INDEX(PP_Grid[#Data],$DD1134,57),0)</f>
        <v/>
      </c>
      <c r="BH1134">
        <f>IFERROR(INDEX(PP_Grid[#Data],$DD1134,58),0)</f>
        <v/>
      </c>
      <c r="BI1134">
        <f>IFERROR(INDEX(PP_Grid[#Data],$DD1134,59),0)</f>
        <v/>
      </c>
      <c r="BJ1134">
        <f>IFERROR(INDEX(PP_Grid[#Data],$DD1134,60),0)</f>
        <v/>
      </c>
      <c r="BK1134">
        <f>IFERROR(INDEX(PP_Grid[#Data],$DD1134,61),0)</f>
        <v/>
      </c>
      <c r="BL1134">
        <f>IFERROR(INDEX(PP_Grid[#Data],$DD1134,62),0)</f>
        <v/>
      </c>
      <c r="BM1134">
        <f>IFERROR(INDEX(PP_Grid[#Data],$DD1134,63),0)</f>
        <v/>
      </c>
      <c r="BN1134">
        <f>IFERROR(INDEX(PP_Grid[#Data],$DD1134,64),0)</f>
        <v/>
      </c>
      <c r="BO1134">
        <f>IFERROR(INDEX(PP_Grid[#Data],$DD1134,65),0)</f>
        <v/>
      </c>
      <c r="BP1134">
        <f>IFERROR(INDEX(PP_Grid[#Data],$DD1134,66),0)</f>
        <v/>
      </c>
      <c r="BQ1134">
        <f>IFERROR(INDEX(PP_Grid[#Data],$DD1134,67),0)</f>
        <v/>
      </c>
      <c r="BR1134">
        <f>IFERROR(INDEX(PP_Grid[#Data],$DD1134,68),0)</f>
        <v/>
      </c>
      <c r="BS1134">
        <f>IFERROR(INDEX(PP_Grid[#Data],$DD1134,69),0)</f>
        <v/>
      </c>
      <c r="BT1134">
        <f>IFERROR(INDEX(PP_Grid[#Data],$DD1134,70),0)</f>
        <v/>
      </c>
      <c r="BU1134">
        <f>IFERROR(INDEX(PP_Grid[#Data],$DD1134,71),0)</f>
        <v/>
      </c>
      <c r="BV1134">
        <f>IFERROR(INDEX(PP_Grid[#Data],$DD1134,72),0)</f>
        <v/>
      </c>
      <c r="BW1134">
        <f>IFERROR(INDEX(PP_Grid[#Data],$DD1134,73),0)</f>
        <v/>
      </c>
      <c r="BX1134">
        <f>IFERROR(INDEX(PP_Grid[#Data],$DD1134,74),0)</f>
        <v/>
      </c>
      <c r="BY1134">
        <f>IFERROR(INDEX(PP_Grid[#Data],$DD1134,75),0)</f>
        <v/>
      </c>
      <c r="BZ1134">
        <f>IFERROR(INDEX(PP_Grid[#Data],$DD1134,76),0)</f>
        <v/>
      </c>
      <c r="CA1134">
        <f>IFERROR(INDEX(PP_Grid[#Data],$DD1134,77),0)</f>
        <v/>
      </c>
      <c r="CB1134">
        <f>IFERROR(INDEX(PP_Grid[#Data],$DD1134,78),0)</f>
        <v/>
      </c>
      <c r="CC1134">
        <f>IFERROR(INDEX(PP_Grid[#Data],$DD1134,79),0)</f>
        <v/>
      </c>
      <c r="CD1134">
        <f>IFERROR(INDEX(PP_Grid[#Data],$DD1134,80),0)</f>
        <v/>
      </c>
      <c r="CE1134">
        <f>IFERROR(INDEX(PP_Grid[#Data],$DD1134,81),0)</f>
        <v/>
      </c>
      <c r="CF1134">
        <f>IFERROR(INDEX(PP_Grid[#Data],$DD1134,82),0)</f>
        <v/>
      </c>
      <c r="CG1134">
        <f>IFERROR(INDEX(PP_Grid[#Data],$DD1134,83),0)</f>
        <v/>
      </c>
      <c r="CH1134">
        <f>IFERROR(INDEX(PP_Grid[#Data],$DD1134,84),0)</f>
        <v/>
      </c>
      <c r="CI1134">
        <f>IFERROR(INDEX(PP_Grid[#Data],$DD1134,85),0)</f>
        <v/>
      </c>
      <c r="CJ1134">
        <f>IFERROR(INDEX(PP_Grid[#Data],$DD1134,86),0)</f>
        <v/>
      </c>
      <c r="CK1134">
        <f>IFERROR(INDEX(PP_Grid[#Data],$DD1134,87),0)</f>
        <v/>
      </c>
      <c r="CL1134">
        <f>IFERROR(INDEX(PP_Grid[#Data],$DD1134,88),0)</f>
        <v/>
      </c>
      <c r="CM1134">
        <f>IFERROR(INDEX(PP_Grid[#Data],$DD1134,89),0)</f>
        <v/>
      </c>
      <c r="CN1134">
        <f>IFERROR(INDEX(PP_Grid[#Data],$DD1134,90),0)</f>
        <v/>
      </c>
      <c r="CO1134">
        <f>IFERROR(INDEX(PP_Grid[#Data],$DD1134,91),0)</f>
        <v/>
      </c>
      <c r="CP1134">
        <f>IFERROR(INDEX(PP_Grid[#Data],$DD1134,92),0)</f>
        <v/>
      </c>
      <c r="CQ1134">
        <f>IFERROR(INDEX(PP_Grid[#Data],$DD1134,93),0)</f>
        <v/>
      </c>
      <c r="CR1134">
        <f>IFERROR(INDEX(PP_Grid[#Data],$DD1134,94),0)</f>
        <v/>
      </c>
      <c r="CS1134">
        <f>IFERROR(INDEX(PP_Grid[#Data],$DD1134,95),0)</f>
        <v/>
      </c>
      <c r="CT1134">
        <f>IFERROR(INDEX(PP_Grid[#Data],$DD1134,96),0)</f>
        <v/>
      </c>
      <c r="CU1134">
        <f>IFERROR(INDEX(PP_Grid[#Data],$DD1134,97),0)</f>
        <v/>
      </c>
      <c r="CV1134">
        <f>IFERROR(INDEX(PP_Grid[#Data],$DD1134,98),0)</f>
        <v/>
      </c>
      <c r="CW1134">
        <f>IFERROR(INDEX(PP_Grid[#Data],$DD1134,99),0)</f>
        <v/>
      </c>
      <c r="CX1134">
        <f>IFERROR(INDEX(PP_Grid[#Data],$DD1134,100),0)</f>
        <v/>
      </c>
      <c r="CY1134">
        <f>IFERROR(INDEX(PP_Grid[#Data],$DD1134,101),0)</f>
        <v/>
      </c>
      <c r="CZ1134">
        <f>IFERROR(INDEX(PP_Grid[#Data],$DD1134,102),0)</f>
        <v/>
      </c>
      <c r="DA1134">
        <f>IFERROR(INDEX(PP_Grid[#Data],$DD1134,103),0)</f>
        <v/>
      </c>
      <c r="DB1134">
        <f>IFERROR(INDEX(PP_Grid[#Data],$DD1134,104),0)</f>
        <v/>
      </c>
      <c r="DC1134">
        <f>IFERROR(INDEX(PP_Grid[#Data],$DD1134,105),0)</f>
        <v/>
      </c>
      <c r="DD1134" s="7">
        <f>IFERROR(MATCH($B1134,PP_Grid[Intermediate],0),99999)</f>
        <v/>
      </c>
    </row>
    <row r="1135">
      <c r="B1135" t="inlineStr">
        <is>
          <t>使用量(kg)</t>
        </is>
      </c>
      <c r="C1135">
        <f>SUMIFS(M_BOM[RM_Qty_Per_Batch],M_BOM[Intermediate],$B1134,M_BOM[Part Name],$A1099)</f>
        <v/>
      </c>
      <c r="D1135">
        <f>$C1135*D1134</f>
        <v/>
      </c>
      <c r="E1135">
        <f>$C1135*E1134</f>
        <v/>
      </c>
      <c r="F1135">
        <f>$C1135*F1134</f>
        <v/>
      </c>
      <c r="G1135">
        <f>$C1135*G1134</f>
        <v/>
      </c>
      <c r="H1135">
        <f>$C1135*H1134</f>
        <v/>
      </c>
      <c r="I1135">
        <f>$C1135*I1134</f>
        <v/>
      </c>
      <c r="J1135">
        <f>$C1135*J1134</f>
        <v/>
      </c>
      <c r="K1135">
        <f>$C1135*K1134</f>
        <v/>
      </c>
      <c r="L1135">
        <f>$C1135*L1134</f>
        <v/>
      </c>
      <c r="M1135">
        <f>$C1135*M1134</f>
        <v/>
      </c>
      <c r="N1135">
        <f>$C1135*N1134</f>
        <v/>
      </c>
      <c r="O1135">
        <f>$C1135*O1134</f>
        <v/>
      </c>
      <c r="P1135">
        <f>$C1135*P1134</f>
        <v/>
      </c>
      <c r="Q1135">
        <f>$C1135*Q1134</f>
        <v/>
      </c>
      <c r="R1135">
        <f>$C1135*R1134</f>
        <v/>
      </c>
      <c r="S1135">
        <f>$C1135*S1134</f>
        <v/>
      </c>
      <c r="T1135">
        <f>$C1135*T1134</f>
        <v/>
      </c>
      <c r="U1135">
        <f>$C1135*U1134</f>
        <v/>
      </c>
      <c r="V1135">
        <f>$C1135*V1134</f>
        <v/>
      </c>
      <c r="W1135">
        <f>$C1135*W1134</f>
        <v/>
      </c>
      <c r="X1135">
        <f>$C1135*X1134</f>
        <v/>
      </c>
      <c r="Y1135">
        <f>$C1135*Y1134</f>
        <v/>
      </c>
      <c r="Z1135">
        <f>$C1135*Z1134</f>
        <v/>
      </c>
      <c r="AA1135">
        <f>$C1135*AA1134</f>
        <v/>
      </c>
      <c r="AB1135">
        <f>$C1135*AB1134</f>
        <v/>
      </c>
      <c r="AC1135">
        <f>$C1135*AC1134</f>
        <v/>
      </c>
      <c r="AD1135">
        <f>$C1135*AD1134</f>
        <v/>
      </c>
      <c r="AE1135">
        <f>$C1135*AE1134</f>
        <v/>
      </c>
      <c r="AF1135">
        <f>$C1135*AF1134</f>
        <v/>
      </c>
      <c r="AG1135">
        <f>$C1135*AG1134</f>
        <v/>
      </c>
      <c r="AH1135">
        <f>$C1135*AH1134</f>
        <v/>
      </c>
      <c r="AI1135">
        <f>$C1135*AI1134</f>
        <v/>
      </c>
      <c r="AJ1135">
        <f>$C1135*AJ1134</f>
        <v/>
      </c>
      <c r="AK1135">
        <f>$C1135*AK1134</f>
        <v/>
      </c>
      <c r="AL1135">
        <f>$C1135*AL1134</f>
        <v/>
      </c>
      <c r="AM1135">
        <f>$C1135*AM1134</f>
        <v/>
      </c>
      <c r="AN1135">
        <f>$C1135*AN1134</f>
        <v/>
      </c>
      <c r="AO1135">
        <f>$C1135*AO1134</f>
        <v/>
      </c>
      <c r="AP1135">
        <f>$C1135*AP1134</f>
        <v/>
      </c>
      <c r="AQ1135">
        <f>$C1135*AQ1134</f>
        <v/>
      </c>
      <c r="AR1135">
        <f>$C1135*AR1134</f>
        <v/>
      </c>
      <c r="AS1135">
        <f>$C1135*AS1134</f>
        <v/>
      </c>
      <c r="AT1135">
        <f>$C1135*AT1134</f>
        <v/>
      </c>
      <c r="AU1135">
        <f>$C1135*AU1134</f>
        <v/>
      </c>
      <c r="AV1135">
        <f>$C1135*AV1134</f>
        <v/>
      </c>
      <c r="AW1135">
        <f>$C1135*AW1134</f>
        <v/>
      </c>
      <c r="AX1135">
        <f>$C1135*AX1134</f>
        <v/>
      </c>
      <c r="AY1135">
        <f>$C1135*AY1134</f>
        <v/>
      </c>
      <c r="AZ1135">
        <f>$C1135*AZ1134</f>
        <v/>
      </c>
      <c r="BA1135">
        <f>$C1135*BA1134</f>
        <v/>
      </c>
      <c r="BB1135">
        <f>$C1135*BB1134</f>
        <v/>
      </c>
      <c r="BC1135">
        <f>$C1135*BC1134</f>
        <v/>
      </c>
      <c r="BD1135">
        <f>$C1135*BD1134</f>
        <v/>
      </c>
      <c r="BE1135">
        <f>$C1135*BE1134</f>
        <v/>
      </c>
      <c r="BF1135">
        <f>$C1135*BF1134</f>
        <v/>
      </c>
      <c r="BG1135">
        <f>$C1135*BG1134</f>
        <v/>
      </c>
      <c r="BH1135">
        <f>$C1135*BH1134</f>
        <v/>
      </c>
      <c r="BI1135">
        <f>$C1135*BI1134</f>
        <v/>
      </c>
      <c r="BJ1135">
        <f>$C1135*BJ1134</f>
        <v/>
      </c>
      <c r="BK1135">
        <f>$C1135*BK1134</f>
        <v/>
      </c>
      <c r="BL1135">
        <f>$C1135*BL1134</f>
        <v/>
      </c>
      <c r="BM1135">
        <f>$C1135*BM1134</f>
        <v/>
      </c>
      <c r="BN1135">
        <f>$C1135*BN1134</f>
        <v/>
      </c>
      <c r="BO1135">
        <f>$C1135*BO1134</f>
        <v/>
      </c>
      <c r="BP1135">
        <f>$C1135*BP1134</f>
        <v/>
      </c>
      <c r="BQ1135">
        <f>$C1135*BQ1134</f>
        <v/>
      </c>
      <c r="BR1135">
        <f>$C1135*BR1134</f>
        <v/>
      </c>
      <c r="BS1135">
        <f>$C1135*BS1134</f>
        <v/>
      </c>
      <c r="BT1135">
        <f>$C1135*BT1134</f>
        <v/>
      </c>
      <c r="BU1135">
        <f>$C1135*BU1134</f>
        <v/>
      </c>
      <c r="BV1135">
        <f>$C1135*BV1134</f>
        <v/>
      </c>
      <c r="BW1135">
        <f>$C1135*BW1134</f>
        <v/>
      </c>
      <c r="BX1135">
        <f>$C1135*BX1134</f>
        <v/>
      </c>
      <c r="BY1135">
        <f>$C1135*BY1134</f>
        <v/>
      </c>
      <c r="BZ1135">
        <f>$C1135*BZ1134</f>
        <v/>
      </c>
      <c r="CA1135">
        <f>$C1135*CA1134</f>
        <v/>
      </c>
      <c r="CB1135">
        <f>$C1135*CB1134</f>
        <v/>
      </c>
      <c r="CC1135">
        <f>$C1135*CC1134</f>
        <v/>
      </c>
      <c r="CD1135">
        <f>$C1135*CD1134</f>
        <v/>
      </c>
      <c r="CE1135">
        <f>$C1135*CE1134</f>
        <v/>
      </c>
      <c r="CF1135">
        <f>$C1135*CF1134</f>
        <v/>
      </c>
      <c r="CG1135">
        <f>$C1135*CG1134</f>
        <v/>
      </c>
      <c r="CH1135">
        <f>$C1135*CH1134</f>
        <v/>
      </c>
      <c r="CI1135">
        <f>$C1135*CI1134</f>
        <v/>
      </c>
      <c r="CJ1135">
        <f>$C1135*CJ1134</f>
        <v/>
      </c>
      <c r="CK1135">
        <f>$C1135*CK1134</f>
        <v/>
      </c>
      <c r="CL1135">
        <f>$C1135*CL1134</f>
        <v/>
      </c>
      <c r="CM1135">
        <f>$C1135*CM1134</f>
        <v/>
      </c>
      <c r="CN1135">
        <f>$C1135*CN1134</f>
        <v/>
      </c>
      <c r="CO1135">
        <f>$C1135*CO1134</f>
        <v/>
      </c>
      <c r="CP1135">
        <f>$C1135*CP1134</f>
        <v/>
      </c>
      <c r="CQ1135">
        <f>$C1135*CQ1134</f>
        <v/>
      </c>
      <c r="CR1135">
        <f>$C1135*CR1134</f>
        <v/>
      </c>
      <c r="CS1135">
        <f>$C1135*CS1134</f>
        <v/>
      </c>
      <c r="CT1135">
        <f>$C1135*CT1134</f>
        <v/>
      </c>
      <c r="CU1135">
        <f>$C1135*CU1134</f>
        <v/>
      </c>
      <c r="CV1135">
        <f>$C1135*CV1134</f>
        <v/>
      </c>
      <c r="CW1135">
        <f>$C1135*CW1134</f>
        <v/>
      </c>
      <c r="CX1135">
        <f>$C1135*CX1134</f>
        <v/>
      </c>
      <c r="CY1135">
        <f>$C1135*CY1134</f>
        <v/>
      </c>
      <c r="CZ1135">
        <f>$C1135*CZ1134</f>
        <v/>
      </c>
      <c r="DA1135">
        <f>$C1135*DA1134</f>
        <v/>
      </c>
      <c r="DB1135">
        <f>$C1135*DB1134</f>
        <v/>
      </c>
      <c r="DC1135">
        <f>$C1135*DC1134</f>
        <v/>
      </c>
    </row>
    <row r="1136">
      <c r="B1136" s="4" t="inlineStr">
        <is>
          <t>合計使用量(kg)/週</t>
        </is>
      </c>
      <c r="D1136">
        <f>'Grid_Requirement'!B16</f>
        <v/>
      </c>
      <c r="E1136">
        <f>'Grid_Requirement'!C16</f>
        <v/>
      </c>
      <c r="F1136">
        <f>'Grid_Requirement'!D16</f>
        <v/>
      </c>
      <c r="G1136">
        <f>'Grid_Requirement'!E16</f>
        <v/>
      </c>
      <c r="H1136">
        <f>'Grid_Requirement'!F16</f>
        <v/>
      </c>
      <c r="I1136">
        <f>'Grid_Requirement'!G16</f>
        <v/>
      </c>
      <c r="J1136">
        <f>'Grid_Requirement'!H16</f>
        <v/>
      </c>
      <c r="K1136">
        <f>'Grid_Requirement'!I16</f>
        <v/>
      </c>
      <c r="L1136">
        <f>'Grid_Requirement'!J16</f>
        <v/>
      </c>
      <c r="M1136">
        <f>'Grid_Requirement'!K16</f>
        <v/>
      </c>
      <c r="N1136">
        <f>'Grid_Requirement'!L16</f>
        <v/>
      </c>
      <c r="O1136">
        <f>'Grid_Requirement'!M16</f>
        <v/>
      </c>
      <c r="P1136">
        <f>'Grid_Requirement'!N16</f>
        <v/>
      </c>
      <c r="Q1136">
        <f>'Grid_Requirement'!O16</f>
        <v/>
      </c>
      <c r="R1136">
        <f>'Grid_Requirement'!P16</f>
        <v/>
      </c>
      <c r="S1136">
        <f>'Grid_Requirement'!Q16</f>
        <v/>
      </c>
      <c r="T1136">
        <f>'Grid_Requirement'!R16</f>
        <v/>
      </c>
      <c r="U1136">
        <f>'Grid_Requirement'!S16</f>
        <v/>
      </c>
      <c r="V1136">
        <f>'Grid_Requirement'!T16</f>
        <v/>
      </c>
      <c r="W1136">
        <f>'Grid_Requirement'!U16</f>
        <v/>
      </c>
      <c r="X1136">
        <f>'Grid_Requirement'!V16</f>
        <v/>
      </c>
      <c r="Y1136">
        <f>'Grid_Requirement'!W16</f>
        <v/>
      </c>
      <c r="Z1136">
        <f>'Grid_Requirement'!X16</f>
        <v/>
      </c>
      <c r="AA1136">
        <f>'Grid_Requirement'!Y16</f>
        <v/>
      </c>
      <c r="AB1136">
        <f>'Grid_Requirement'!Z16</f>
        <v/>
      </c>
      <c r="AC1136">
        <f>'Grid_Requirement'!AA16</f>
        <v/>
      </c>
      <c r="AD1136">
        <f>'Grid_Requirement'!AB16</f>
        <v/>
      </c>
      <c r="AE1136">
        <f>'Grid_Requirement'!AC16</f>
        <v/>
      </c>
      <c r="AF1136">
        <f>'Grid_Requirement'!AD16</f>
        <v/>
      </c>
      <c r="AG1136">
        <f>'Grid_Requirement'!AE16</f>
        <v/>
      </c>
      <c r="AH1136">
        <f>'Grid_Requirement'!AF16</f>
        <v/>
      </c>
      <c r="AI1136">
        <f>'Grid_Requirement'!AG16</f>
        <v/>
      </c>
      <c r="AJ1136">
        <f>'Grid_Requirement'!AH16</f>
        <v/>
      </c>
      <c r="AK1136">
        <f>'Grid_Requirement'!AI16</f>
        <v/>
      </c>
      <c r="AL1136">
        <f>'Grid_Requirement'!AJ16</f>
        <v/>
      </c>
      <c r="AM1136">
        <f>'Grid_Requirement'!AK16</f>
        <v/>
      </c>
      <c r="AN1136">
        <f>'Grid_Requirement'!AL16</f>
        <v/>
      </c>
      <c r="AO1136">
        <f>'Grid_Requirement'!AM16</f>
        <v/>
      </c>
      <c r="AP1136">
        <f>'Grid_Requirement'!AN16</f>
        <v/>
      </c>
      <c r="AQ1136">
        <f>'Grid_Requirement'!AO16</f>
        <v/>
      </c>
      <c r="AR1136">
        <f>'Grid_Requirement'!AP16</f>
        <v/>
      </c>
      <c r="AS1136">
        <f>'Grid_Requirement'!AQ16</f>
        <v/>
      </c>
      <c r="AT1136">
        <f>'Grid_Requirement'!AR16</f>
        <v/>
      </c>
      <c r="AU1136">
        <f>'Grid_Requirement'!AS16</f>
        <v/>
      </c>
      <c r="AV1136">
        <f>'Grid_Requirement'!AT16</f>
        <v/>
      </c>
      <c r="AW1136">
        <f>'Grid_Requirement'!AU16</f>
        <v/>
      </c>
      <c r="AX1136">
        <f>'Grid_Requirement'!AV16</f>
        <v/>
      </c>
      <c r="AY1136">
        <f>'Grid_Requirement'!AW16</f>
        <v/>
      </c>
      <c r="AZ1136">
        <f>'Grid_Requirement'!AX16</f>
        <v/>
      </c>
      <c r="BA1136">
        <f>'Grid_Requirement'!AY16</f>
        <v/>
      </c>
      <c r="BB1136">
        <f>'Grid_Requirement'!AZ16</f>
        <v/>
      </c>
      <c r="BC1136">
        <f>'Grid_Requirement'!BA16</f>
        <v/>
      </c>
      <c r="BD1136">
        <f>'Grid_Requirement'!BB16</f>
        <v/>
      </c>
      <c r="BE1136">
        <f>'Grid_Requirement'!BC16</f>
        <v/>
      </c>
      <c r="BF1136">
        <f>'Grid_Requirement'!BD16</f>
        <v/>
      </c>
      <c r="BG1136">
        <f>'Grid_Requirement'!BE16</f>
        <v/>
      </c>
      <c r="BH1136">
        <f>'Grid_Requirement'!BF16</f>
        <v/>
      </c>
      <c r="BI1136">
        <f>'Grid_Requirement'!BG16</f>
        <v/>
      </c>
      <c r="BJ1136">
        <f>'Grid_Requirement'!BH16</f>
        <v/>
      </c>
      <c r="BK1136">
        <f>'Grid_Requirement'!BI16</f>
        <v/>
      </c>
      <c r="BL1136">
        <f>'Grid_Requirement'!BJ16</f>
        <v/>
      </c>
      <c r="BM1136">
        <f>'Grid_Requirement'!BK16</f>
        <v/>
      </c>
      <c r="BN1136">
        <f>'Grid_Requirement'!BL16</f>
        <v/>
      </c>
      <c r="BO1136">
        <f>'Grid_Requirement'!BM16</f>
        <v/>
      </c>
      <c r="BP1136">
        <f>'Grid_Requirement'!BN16</f>
        <v/>
      </c>
      <c r="BQ1136">
        <f>'Grid_Requirement'!BO16</f>
        <v/>
      </c>
      <c r="BR1136">
        <f>'Grid_Requirement'!BP16</f>
        <v/>
      </c>
      <c r="BS1136">
        <f>'Grid_Requirement'!BQ16</f>
        <v/>
      </c>
      <c r="BT1136">
        <f>'Grid_Requirement'!BR16</f>
        <v/>
      </c>
      <c r="BU1136">
        <f>'Grid_Requirement'!BS16</f>
        <v/>
      </c>
      <c r="BV1136">
        <f>'Grid_Requirement'!BT16</f>
        <v/>
      </c>
      <c r="BW1136">
        <f>'Grid_Requirement'!BU16</f>
        <v/>
      </c>
      <c r="BX1136">
        <f>'Grid_Requirement'!BV16</f>
        <v/>
      </c>
      <c r="BY1136">
        <f>'Grid_Requirement'!BW16</f>
        <v/>
      </c>
      <c r="BZ1136">
        <f>'Grid_Requirement'!BX16</f>
        <v/>
      </c>
      <c r="CA1136">
        <f>'Grid_Requirement'!BY16</f>
        <v/>
      </c>
      <c r="CB1136">
        <f>'Grid_Requirement'!BZ16</f>
        <v/>
      </c>
      <c r="CC1136">
        <f>'Grid_Requirement'!CA16</f>
        <v/>
      </c>
      <c r="CD1136">
        <f>'Grid_Requirement'!CB16</f>
        <v/>
      </c>
      <c r="CE1136">
        <f>'Grid_Requirement'!CC16</f>
        <v/>
      </c>
      <c r="CF1136">
        <f>'Grid_Requirement'!CD16</f>
        <v/>
      </c>
      <c r="CG1136">
        <f>'Grid_Requirement'!CE16</f>
        <v/>
      </c>
      <c r="CH1136">
        <f>'Grid_Requirement'!CF16</f>
        <v/>
      </c>
      <c r="CI1136">
        <f>'Grid_Requirement'!CG16</f>
        <v/>
      </c>
      <c r="CJ1136">
        <f>'Grid_Requirement'!CH16</f>
        <v/>
      </c>
      <c r="CK1136">
        <f>'Grid_Requirement'!CI16</f>
        <v/>
      </c>
      <c r="CL1136">
        <f>'Grid_Requirement'!CJ16</f>
        <v/>
      </c>
      <c r="CM1136">
        <f>'Grid_Requirement'!CK16</f>
        <v/>
      </c>
      <c r="CN1136">
        <f>'Grid_Requirement'!CL16</f>
        <v/>
      </c>
      <c r="CO1136">
        <f>'Grid_Requirement'!CM16</f>
        <v/>
      </c>
      <c r="CP1136">
        <f>'Grid_Requirement'!CN16</f>
        <v/>
      </c>
      <c r="CQ1136">
        <f>'Grid_Requirement'!CO16</f>
        <v/>
      </c>
      <c r="CR1136">
        <f>'Grid_Requirement'!CP16</f>
        <v/>
      </c>
      <c r="CS1136">
        <f>'Grid_Requirement'!CQ16</f>
        <v/>
      </c>
      <c r="CT1136">
        <f>'Grid_Requirement'!CR16</f>
        <v/>
      </c>
      <c r="CU1136">
        <f>'Grid_Requirement'!CS16</f>
        <v/>
      </c>
      <c r="CV1136">
        <f>'Grid_Requirement'!CT16</f>
        <v/>
      </c>
      <c r="CW1136">
        <f>'Grid_Requirement'!CU16</f>
        <v/>
      </c>
      <c r="CX1136">
        <f>'Grid_Requirement'!CV16</f>
        <v/>
      </c>
      <c r="CY1136">
        <f>'Grid_Requirement'!CW16</f>
        <v/>
      </c>
      <c r="CZ1136">
        <f>'Grid_Requirement'!CX16</f>
        <v/>
      </c>
      <c r="DA1136">
        <f>'Grid_Requirement'!CY16</f>
        <v/>
      </c>
      <c r="DB1136">
        <f>'Grid_Requirement'!CZ16</f>
        <v/>
      </c>
      <c r="DC1136">
        <f>'Grid_Requirement'!DA16</f>
        <v/>
      </c>
    </row>
    <row r="1137">
      <c r="B1137" t="inlineStr">
        <is>
          <t>TTAF在庫(実績,kg)</t>
        </is>
      </c>
      <c r="D1137">
        <f>'T_TTAFStock'!B20</f>
        <v/>
      </c>
      <c r="E1137">
        <f>'T_TTAFStock'!C20</f>
        <v/>
      </c>
      <c r="F1137">
        <f>'T_TTAFStock'!D20</f>
        <v/>
      </c>
      <c r="G1137">
        <f>'T_TTAFStock'!E20</f>
        <v/>
      </c>
      <c r="H1137">
        <f>'T_TTAFStock'!F20</f>
        <v/>
      </c>
      <c r="I1137">
        <f>'T_TTAFStock'!G20</f>
        <v/>
      </c>
      <c r="J1137">
        <f>'T_TTAFStock'!H20</f>
        <v/>
      </c>
      <c r="K1137">
        <f>'T_TTAFStock'!I20</f>
        <v/>
      </c>
      <c r="L1137">
        <f>'T_TTAFStock'!J20</f>
        <v/>
      </c>
      <c r="M1137">
        <f>'T_TTAFStock'!K20</f>
        <v/>
      </c>
      <c r="N1137">
        <f>'T_TTAFStock'!L20</f>
        <v/>
      </c>
      <c r="O1137">
        <f>'T_TTAFStock'!M20</f>
        <v/>
      </c>
      <c r="P1137">
        <f>'T_TTAFStock'!N20</f>
        <v/>
      </c>
      <c r="Q1137">
        <f>'T_TTAFStock'!O20</f>
        <v/>
      </c>
      <c r="R1137">
        <f>'T_TTAFStock'!P20</f>
        <v/>
      </c>
      <c r="S1137">
        <f>'T_TTAFStock'!Q20</f>
        <v/>
      </c>
      <c r="T1137">
        <f>'T_TTAFStock'!R20</f>
        <v/>
      </c>
      <c r="U1137">
        <f>'T_TTAFStock'!S20</f>
        <v/>
      </c>
      <c r="V1137">
        <f>'T_TTAFStock'!T20</f>
        <v/>
      </c>
      <c r="W1137">
        <f>'T_TTAFStock'!U20</f>
        <v/>
      </c>
      <c r="X1137">
        <f>'T_TTAFStock'!V20</f>
        <v/>
      </c>
      <c r="Y1137">
        <f>'T_TTAFStock'!W20</f>
        <v/>
      </c>
      <c r="Z1137">
        <f>'T_TTAFStock'!X20</f>
        <v/>
      </c>
      <c r="AA1137">
        <f>'T_TTAFStock'!Y20</f>
        <v/>
      </c>
      <c r="AB1137">
        <f>'T_TTAFStock'!Z20</f>
        <v/>
      </c>
      <c r="AC1137">
        <f>'T_TTAFStock'!AA20</f>
        <v/>
      </c>
      <c r="AD1137">
        <f>'T_TTAFStock'!AB20</f>
        <v/>
      </c>
      <c r="AE1137">
        <f>'T_TTAFStock'!AC20</f>
        <v/>
      </c>
      <c r="AF1137">
        <f>'T_TTAFStock'!AD20</f>
        <v/>
      </c>
      <c r="AG1137">
        <f>'T_TTAFStock'!AE20</f>
        <v/>
      </c>
      <c r="AH1137">
        <f>'T_TTAFStock'!AF20</f>
        <v/>
      </c>
      <c r="AI1137">
        <f>'T_TTAFStock'!AG20</f>
        <v/>
      </c>
      <c r="AJ1137">
        <f>'T_TTAFStock'!AH20</f>
        <v/>
      </c>
      <c r="AK1137">
        <f>'T_TTAFStock'!AI20</f>
        <v/>
      </c>
      <c r="AL1137">
        <f>'T_TTAFStock'!AJ20</f>
        <v/>
      </c>
      <c r="AM1137">
        <f>'T_TTAFStock'!AK20</f>
        <v/>
      </c>
      <c r="AN1137">
        <f>'T_TTAFStock'!AL20</f>
        <v/>
      </c>
      <c r="AO1137">
        <f>'T_TTAFStock'!AM20</f>
        <v/>
      </c>
      <c r="AP1137">
        <f>'T_TTAFStock'!AN20</f>
        <v/>
      </c>
      <c r="AQ1137">
        <f>'T_TTAFStock'!AO20</f>
        <v/>
      </c>
      <c r="AR1137">
        <f>'T_TTAFStock'!AP20</f>
        <v/>
      </c>
      <c r="AS1137">
        <f>'T_TTAFStock'!AQ20</f>
        <v/>
      </c>
      <c r="AT1137">
        <f>'T_TTAFStock'!AR20</f>
        <v/>
      </c>
      <c r="AU1137">
        <f>'T_TTAFStock'!AS20</f>
        <v/>
      </c>
      <c r="AV1137">
        <f>'T_TTAFStock'!AT20</f>
        <v/>
      </c>
      <c r="AW1137">
        <f>'T_TTAFStock'!AU20</f>
        <v/>
      </c>
      <c r="AX1137">
        <f>'T_TTAFStock'!AV20</f>
        <v/>
      </c>
      <c r="AY1137">
        <f>'T_TTAFStock'!AW20</f>
        <v/>
      </c>
      <c r="AZ1137">
        <f>'T_TTAFStock'!AX20</f>
        <v/>
      </c>
      <c r="BA1137">
        <f>'T_TTAFStock'!AY20</f>
        <v/>
      </c>
      <c r="BB1137">
        <f>'T_TTAFStock'!AZ20</f>
        <v/>
      </c>
      <c r="BC1137">
        <f>'T_TTAFStock'!BA20</f>
        <v/>
      </c>
      <c r="BD1137">
        <f>'T_TTAFStock'!BB20</f>
        <v/>
      </c>
      <c r="BE1137">
        <f>'T_TTAFStock'!BC20</f>
        <v/>
      </c>
      <c r="BF1137">
        <f>'T_TTAFStock'!BD20</f>
        <v/>
      </c>
      <c r="BG1137">
        <f>'T_TTAFStock'!BE20</f>
        <v/>
      </c>
      <c r="BH1137">
        <f>'T_TTAFStock'!BF20</f>
        <v/>
      </c>
      <c r="BI1137">
        <f>'T_TTAFStock'!BG20</f>
        <v/>
      </c>
      <c r="BJ1137">
        <f>'T_TTAFStock'!BH20</f>
        <v/>
      </c>
      <c r="BK1137">
        <f>'T_TTAFStock'!BI20</f>
        <v/>
      </c>
      <c r="BL1137">
        <f>'T_TTAFStock'!BJ20</f>
        <v/>
      </c>
      <c r="BM1137">
        <f>'T_TTAFStock'!BK20</f>
        <v/>
      </c>
      <c r="BN1137">
        <f>'T_TTAFStock'!BL20</f>
        <v/>
      </c>
      <c r="BO1137">
        <f>'T_TTAFStock'!BM20</f>
        <v/>
      </c>
      <c r="BP1137">
        <f>'T_TTAFStock'!BN20</f>
        <v/>
      </c>
      <c r="BQ1137">
        <f>'T_TTAFStock'!BO20</f>
        <v/>
      </c>
      <c r="BR1137">
        <f>'T_TTAFStock'!BP20</f>
        <v/>
      </c>
      <c r="BS1137">
        <f>'T_TTAFStock'!BQ20</f>
        <v/>
      </c>
      <c r="BT1137">
        <f>'T_TTAFStock'!BR20</f>
        <v/>
      </c>
      <c r="BU1137">
        <f>'T_TTAFStock'!BS20</f>
        <v/>
      </c>
      <c r="BV1137">
        <f>'T_TTAFStock'!BT20</f>
        <v/>
      </c>
      <c r="BW1137">
        <f>'T_TTAFStock'!BU20</f>
        <v/>
      </c>
      <c r="BX1137">
        <f>'T_TTAFStock'!BV20</f>
        <v/>
      </c>
      <c r="BY1137">
        <f>'T_TTAFStock'!BW20</f>
        <v/>
      </c>
      <c r="BZ1137">
        <f>'T_TTAFStock'!BX20</f>
        <v/>
      </c>
      <c r="CA1137">
        <f>'T_TTAFStock'!BY20</f>
        <v/>
      </c>
      <c r="CB1137">
        <f>'T_TTAFStock'!BZ20</f>
        <v/>
      </c>
      <c r="CC1137">
        <f>'T_TTAFStock'!CA20</f>
        <v/>
      </c>
      <c r="CD1137">
        <f>'T_TTAFStock'!CB20</f>
        <v/>
      </c>
      <c r="CE1137">
        <f>'T_TTAFStock'!CC20</f>
        <v/>
      </c>
      <c r="CF1137">
        <f>'T_TTAFStock'!CD20</f>
        <v/>
      </c>
      <c r="CG1137">
        <f>'T_TTAFStock'!CE20</f>
        <v/>
      </c>
      <c r="CH1137">
        <f>'T_TTAFStock'!CF20</f>
        <v/>
      </c>
      <c r="CI1137">
        <f>'T_TTAFStock'!CG20</f>
        <v/>
      </c>
      <c r="CJ1137">
        <f>'T_TTAFStock'!CH20</f>
        <v/>
      </c>
      <c r="CK1137">
        <f>'T_TTAFStock'!CI20</f>
        <v/>
      </c>
      <c r="CL1137">
        <f>'T_TTAFStock'!CJ20</f>
        <v/>
      </c>
      <c r="CM1137">
        <f>'T_TTAFStock'!CK20</f>
        <v/>
      </c>
      <c r="CN1137">
        <f>'T_TTAFStock'!CL20</f>
        <v/>
      </c>
      <c r="CO1137">
        <f>'T_TTAFStock'!CM20</f>
        <v/>
      </c>
      <c r="CP1137">
        <f>'T_TTAFStock'!CN20</f>
        <v/>
      </c>
      <c r="CQ1137">
        <f>'T_TTAFStock'!CO20</f>
        <v/>
      </c>
      <c r="CR1137">
        <f>'T_TTAFStock'!CP20</f>
        <v/>
      </c>
      <c r="CS1137">
        <f>'T_TTAFStock'!CQ20</f>
        <v/>
      </c>
      <c r="CT1137">
        <f>'T_TTAFStock'!CR20</f>
        <v/>
      </c>
      <c r="CU1137">
        <f>'T_TTAFStock'!CS20</f>
        <v/>
      </c>
      <c r="CV1137">
        <f>'T_TTAFStock'!CT20</f>
        <v/>
      </c>
      <c r="CW1137">
        <f>'T_TTAFStock'!CU20</f>
        <v/>
      </c>
      <c r="CX1137">
        <f>'T_TTAFStock'!CV20</f>
        <v/>
      </c>
      <c r="CY1137">
        <f>'T_TTAFStock'!CW20</f>
        <v/>
      </c>
      <c r="CZ1137">
        <f>'T_TTAFStock'!CX20</f>
        <v/>
      </c>
      <c r="DA1137">
        <f>'T_TTAFStock'!CY20</f>
        <v/>
      </c>
      <c r="DB1137">
        <f>'T_TTAFStock'!CZ20</f>
        <v/>
      </c>
      <c r="DC1137">
        <f>'T_TTAFStock'!DA20</f>
        <v/>
      </c>
    </row>
    <row r="1138">
      <c r="B1138" t="inlineStr">
        <is>
          <t>自社在庫(実績,kg)</t>
        </is>
      </c>
      <c r="D1138">
        <f>'T_SelfStock'!B20</f>
        <v/>
      </c>
      <c r="E1138">
        <f>'T_SelfStock'!C20</f>
        <v/>
      </c>
      <c r="F1138">
        <f>'T_SelfStock'!D20</f>
        <v/>
      </c>
      <c r="G1138">
        <f>'T_SelfStock'!E20</f>
        <v/>
      </c>
      <c r="H1138">
        <f>'T_SelfStock'!F20</f>
        <v/>
      </c>
      <c r="I1138">
        <f>'T_SelfStock'!G20</f>
        <v/>
      </c>
      <c r="J1138">
        <f>'T_SelfStock'!H20</f>
        <v/>
      </c>
      <c r="K1138">
        <f>'T_SelfStock'!I20</f>
        <v/>
      </c>
      <c r="L1138">
        <f>'T_SelfStock'!J20</f>
        <v/>
      </c>
      <c r="M1138">
        <f>'T_SelfStock'!K20</f>
        <v/>
      </c>
      <c r="N1138">
        <f>'T_SelfStock'!L20</f>
        <v/>
      </c>
      <c r="O1138">
        <f>'T_SelfStock'!M20</f>
        <v/>
      </c>
      <c r="P1138">
        <f>'T_SelfStock'!N20</f>
        <v/>
      </c>
      <c r="Q1138">
        <f>'T_SelfStock'!O20</f>
        <v/>
      </c>
      <c r="R1138">
        <f>'T_SelfStock'!P20</f>
        <v/>
      </c>
      <c r="S1138">
        <f>'T_SelfStock'!Q20</f>
        <v/>
      </c>
      <c r="T1138">
        <f>'T_SelfStock'!R20</f>
        <v/>
      </c>
      <c r="U1138">
        <f>'T_SelfStock'!S20</f>
        <v/>
      </c>
      <c r="V1138">
        <f>'T_SelfStock'!T20</f>
        <v/>
      </c>
      <c r="W1138">
        <f>'T_SelfStock'!U20</f>
        <v/>
      </c>
      <c r="X1138">
        <f>'T_SelfStock'!V20</f>
        <v/>
      </c>
      <c r="Y1138">
        <f>'T_SelfStock'!W20</f>
        <v/>
      </c>
      <c r="Z1138">
        <f>'T_SelfStock'!X20</f>
        <v/>
      </c>
      <c r="AA1138">
        <f>'T_SelfStock'!Y20</f>
        <v/>
      </c>
      <c r="AB1138">
        <f>'T_SelfStock'!Z20</f>
        <v/>
      </c>
      <c r="AC1138">
        <f>'T_SelfStock'!AA20</f>
        <v/>
      </c>
      <c r="AD1138">
        <f>'T_SelfStock'!AB20</f>
        <v/>
      </c>
      <c r="AE1138">
        <f>'T_SelfStock'!AC20</f>
        <v/>
      </c>
      <c r="AF1138">
        <f>'T_SelfStock'!AD20</f>
        <v/>
      </c>
      <c r="AG1138">
        <f>'T_SelfStock'!AE20</f>
        <v/>
      </c>
      <c r="AH1138">
        <f>'T_SelfStock'!AF20</f>
        <v/>
      </c>
      <c r="AI1138">
        <f>'T_SelfStock'!AG20</f>
        <v/>
      </c>
      <c r="AJ1138">
        <f>'T_SelfStock'!AH20</f>
        <v/>
      </c>
      <c r="AK1138">
        <f>'T_SelfStock'!AI20</f>
        <v/>
      </c>
      <c r="AL1138">
        <f>'T_SelfStock'!AJ20</f>
        <v/>
      </c>
      <c r="AM1138">
        <f>'T_SelfStock'!AK20</f>
        <v/>
      </c>
      <c r="AN1138">
        <f>'T_SelfStock'!AL20</f>
        <v/>
      </c>
      <c r="AO1138">
        <f>'T_SelfStock'!AM20</f>
        <v/>
      </c>
      <c r="AP1138">
        <f>'T_SelfStock'!AN20</f>
        <v/>
      </c>
      <c r="AQ1138">
        <f>'T_SelfStock'!AO20</f>
        <v/>
      </c>
      <c r="AR1138">
        <f>'T_SelfStock'!AP20</f>
        <v/>
      </c>
      <c r="AS1138">
        <f>'T_SelfStock'!AQ20</f>
        <v/>
      </c>
      <c r="AT1138">
        <f>'T_SelfStock'!AR20</f>
        <v/>
      </c>
      <c r="AU1138">
        <f>'T_SelfStock'!AS20</f>
        <v/>
      </c>
      <c r="AV1138">
        <f>'T_SelfStock'!AT20</f>
        <v/>
      </c>
      <c r="AW1138">
        <f>'T_SelfStock'!AU20</f>
        <v/>
      </c>
      <c r="AX1138">
        <f>'T_SelfStock'!AV20</f>
        <v/>
      </c>
      <c r="AY1138">
        <f>'T_SelfStock'!AW20</f>
        <v/>
      </c>
      <c r="AZ1138">
        <f>'T_SelfStock'!AX20</f>
        <v/>
      </c>
      <c r="BA1138">
        <f>'T_SelfStock'!AY20</f>
        <v/>
      </c>
      <c r="BB1138">
        <f>'T_SelfStock'!AZ20</f>
        <v/>
      </c>
      <c r="BC1138">
        <f>'T_SelfStock'!BA20</f>
        <v/>
      </c>
      <c r="BD1138">
        <f>'T_SelfStock'!BB20</f>
        <v/>
      </c>
      <c r="BE1138">
        <f>'T_SelfStock'!BC20</f>
        <v/>
      </c>
      <c r="BF1138">
        <f>'T_SelfStock'!BD20</f>
        <v/>
      </c>
      <c r="BG1138">
        <f>'T_SelfStock'!BE20</f>
        <v/>
      </c>
      <c r="BH1138">
        <f>'T_SelfStock'!BF20</f>
        <v/>
      </c>
      <c r="BI1138">
        <f>'T_SelfStock'!BG20</f>
        <v/>
      </c>
      <c r="BJ1138">
        <f>'T_SelfStock'!BH20</f>
        <v/>
      </c>
      <c r="BK1138">
        <f>'T_SelfStock'!BI20</f>
        <v/>
      </c>
      <c r="BL1138">
        <f>'T_SelfStock'!BJ20</f>
        <v/>
      </c>
      <c r="BM1138">
        <f>'T_SelfStock'!BK20</f>
        <v/>
      </c>
      <c r="BN1138">
        <f>'T_SelfStock'!BL20</f>
        <v/>
      </c>
      <c r="BO1138">
        <f>'T_SelfStock'!BM20</f>
        <v/>
      </c>
      <c r="BP1138">
        <f>'T_SelfStock'!BN20</f>
        <v/>
      </c>
      <c r="BQ1138">
        <f>'T_SelfStock'!BO20</f>
        <v/>
      </c>
      <c r="BR1138">
        <f>'T_SelfStock'!BP20</f>
        <v/>
      </c>
      <c r="BS1138">
        <f>'T_SelfStock'!BQ20</f>
        <v/>
      </c>
      <c r="BT1138">
        <f>'T_SelfStock'!BR20</f>
        <v/>
      </c>
      <c r="BU1138">
        <f>'T_SelfStock'!BS20</f>
        <v/>
      </c>
      <c r="BV1138">
        <f>'T_SelfStock'!BT20</f>
        <v/>
      </c>
      <c r="BW1138">
        <f>'T_SelfStock'!BU20</f>
        <v/>
      </c>
      <c r="BX1138">
        <f>'T_SelfStock'!BV20</f>
        <v/>
      </c>
      <c r="BY1138">
        <f>'T_SelfStock'!BW20</f>
        <v/>
      </c>
      <c r="BZ1138">
        <f>'T_SelfStock'!BX20</f>
        <v/>
      </c>
      <c r="CA1138">
        <f>'T_SelfStock'!BY20</f>
        <v/>
      </c>
      <c r="CB1138">
        <f>'T_SelfStock'!BZ20</f>
        <v/>
      </c>
      <c r="CC1138">
        <f>'T_SelfStock'!CA20</f>
        <v/>
      </c>
      <c r="CD1138">
        <f>'T_SelfStock'!CB20</f>
        <v/>
      </c>
      <c r="CE1138">
        <f>'T_SelfStock'!CC20</f>
        <v/>
      </c>
      <c r="CF1138">
        <f>'T_SelfStock'!CD20</f>
        <v/>
      </c>
      <c r="CG1138">
        <f>'T_SelfStock'!CE20</f>
        <v/>
      </c>
      <c r="CH1138">
        <f>'T_SelfStock'!CF20</f>
        <v/>
      </c>
      <c r="CI1138">
        <f>'T_SelfStock'!CG20</f>
        <v/>
      </c>
      <c r="CJ1138">
        <f>'T_SelfStock'!CH20</f>
        <v/>
      </c>
      <c r="CK1138">
        <f>'T_SelfStock'!CI20</f>
        <v/>
      </c>
      <c r="CL1138">
        <f>'T_SelfStock'!CJ20</f>
        <v/>
      </c>
      <c r="CM1138">
        <f>'T_SelfStock'!CK20</f>
        <v/>
      </c>
      <c r="CN1138">
        <f>'T_SelfStock'!CL20</f>
        <v/>
      </c>
      <c r="CO1138">
        <f>'T_SelfStock'!CM20</f>
        <v/>
      </c>
      <c r="CP1138">
        <f>'T_SelfStock'!CN20</f>
        <v/>
      </c>
      <c r="CQ1138">
        <f>'T_SelfStock'!CO20</f>
        <v/>
      </c>
      <c r="CR1138">
        <f>'T_SelfStock'!CP20</f>
        <v/>
      </c>
      <c r="CS1138">
        <f>'T_SelfStock'!CQ20</f>
        <v/>
      </c>
      <c r="CT1138">
        <f>'T_SelfStock'!CR20</f>
        <v/>
      </c>
      <c r="CU1138">
        <f>'T_SelfStock'!CS20</f>
        <v/>
      </c>
      <c r="CV1138">
        <f>'T_SelfStock'!CT20</f>
        <v/>
      </c>
      <c r="CW1138">
        <f>'T_SelfStock'!CU20</f>
        <v/>
      </c>
      <c r="CX1138">
        <f>'T_SelfStock'!CV20</f>
        <v/>
      </c>
      <c r="CY1138">
        <f>'T_SelfStock'!CW20</f>
        <v/>
      </c>
      <c r="CZ1138">
        <f>'T_SelfStock'!CX20</f>
        <v/>
      </c>
      <c r="DA1138">
        <f>'T_SelfStock'!CY20</f>
        <v/>
      </c>
      <c r="DB1138">
        <f>'T_SelfStock'!CZ20</f>
        <v/>
      </c>
      <c r="DC1138">
        <f>'T_SelfStock'!DA20</f>
        <v/>
      </c>
    </row>
    <row r="1139">
      <c r="B1139" s="4" t="inlineStr">
        <is>
          <t>合計在庫(週末時点,kg)</t>
        </is>
      </c>
      <c r="D1139">
        <f>'Grid_Stock'!B16</f>
        <v/>
      </c>
      <c r="E1139">
        <f>'Grid_Stock'!C16</f>
        <v/>
      </c>
      <c r="F1139">
        <f>'Grid_Stock'!D16</f>
        <v/>
      </c>
      <c r="G1139">
        <f>'Grid_Stock'!E16</f>
        <v/>
      </c>
      <c r="H1139">
        <f>'Grid_Stock'!F16</f>
        <v/>
      </c>
      <c r="I1139">
        <f>'Grid_Stock'!G16</f>
        <v/>
      </c>
      <c r="J1139">
        <f>'Grid_Stock'!H16</f>
        <v/>
      </c>
      <c r="K1139">
        <f>'Grid_Stock'!I16</f>
        <v/>
      </c>
      <c r="L1139">
        <f>'Grid_Stock'!J16</f>
        <v/>
      </c>
      <c r="M1139">
        <f>'Grid_Stock'!K16</f>
        <v/>
      </c>
      <c r="N1139">
        <f>'Grid_Stock'!L16</f>
        <v/>
      </c>
      <c r="O1139">
        <f>'Grid_Stock'!M16</f>
        <v/>
      </c>
      <c r="P1139">
        <f>'Grid_Stock'!N16</f>
        <v/>
      </c>
      <c r="Q1139">
        <f>'Grid_Stock'!O16</f>
        <v/>
      </c>
      <c r="R1139">
        <f>'Grid_Stock'!P16</f>
        <v/>
      </c>
      <c r="S1139">
        <f>'Grid_Stock'!Q16</f>
        <v/>
      </c>
      <c r="T1139">
        <f>'Grid_Stock'!R16</f>
        <v/>
      </c>
      <c r="U1139">
        <f>'Grid_Stock'!S16</f>
        <v/>
      </c>
      <c r="V1139">
        <f>'Grid_Stock'!T16</f>
        <v/>
      </c>
      <c r="W1139">
        <f>'Grid_Stock'!U16</f>
        <v/>
      </c>
      <c r="X1139">
        <f>'Grid_Stock'!V16</f>
        <v/>
      </c>
      <c r="Y1139">
        <f>'Grid_Stock'!W16</f>
        <v/>
      </c>
      <c r="Z1139">
        <f>'Grid_Stock'!X16</f>
        <v/>
      </c>
      <c r="AA1139">
        <f>'Grid_Stock'!Y16</f>
        <v/>
      </c>
      <c r="AB1139">
        <f>'Grid_Stock'!Z16</f>
        <v/>
      </c>
      <c r="AC1139">
        <f>'Grid_Stock'!AA16</f>
        <v/>
      </c>
      <c r="AD1139">
        <f>'Grid_Stock'!AB16</f>
        <v/>
      </c>
      <c r="AE1139">
        <f>'Grid_Stock'!AC16</f>
        <v/>
      </c>
      <c r="AF1139">
        <f>'Grid_Stock'!AD16</f>
        <v/>
      </c>
      <c r="AG1139">
        <f>'Grid_Stock'!AE16</f>
        <v/>
      </c>
      <c r="AH1139">
        <f>'Grid_Stock'!AF16</f>
        <v/>
      </c>
      <c r="AI1139">
        <f>'Grid_Stock'!AG16</f>
        <v/>
      </c>
      <c r="AJ1139">
        <f>'Grid_Stock'!AH16</f>
        <v/>
      </c>
      <c r="AK1139">
        <f>'Grid_Stock'!AI16</f>
        <v/>
      </c>
      <c r="AL1139">
        <f>'Grid_Stock'!AJ16</f>
        <v/>
      </c>
      <c r="AM1139">
        <f>'Grid_Stock'!AK16</f>
        <v/>
      </c>
      <c r="AN1139">
        <f>'Grid_Stock'!AL16</f>
        <v/>
      </c>
      <c r="AO1139">
        <f>'Grid_Stock'!AM16</f>
        <v/>
      </c>
      <c r="AP1139">
        <f>'Grid_Stock'!AN16</f>
        <v/>
      </c>
      <c r="AQ1139">
        <f>'Grid_Stock'!AO16</f>
        <v/>
      </c>
      <c r="AR1139">
        <f>'Grid_Stock'!AP16</f>
        <v/>
      </c>
      <c r="AS1139">
        <f>'Grid_Stock'!AQ16</f>
        <v/>
      </c>
      <c r="AT1139">
        <f>'Grid_Stock'!AR16</f>
        <v/>
      </c>
      <c r="AU1139">
        <f>'Grid_Stock'!AS16</f>
        <v/>
      </c>
      <c r="AV1139">
        <f>'Grid_Stock'!AT16</f>
        <v/>
      </c>
      <c r="AW1139">
        <f>'Grid_Stock'!AU16</f>
        <v/>
      </c>
      <c r="AX1139">
        <f>'Grid_Stock'!AV16</f>
        <v/>
      </c>
      <c r="AY1139">
        <f>'Grid_Stock'!AW16</f>
        <v/>
      </c>
      <c r="AZ1139">
        <f>'Grid_Stock'!AX16</f>
        <v/>
      </c>
      <c r="BA1139">
        <f>'Grid_Stock'!AY16</f>
        <v/>
      </c>
      <c r="BB1139">
        <f>'Grid_Stock'!AZ16</f>
        <v/>
      </c>
      <c r="BC1139">
        <f>'Grid_Stock'!BA16</f>
        <v/>
      </c>
      <c r="BD1139">
        <f>'Grid_Stock'!BB16</f>
        <v/>
      </c>
      <c r="BE1139">
        <f>'Grid_Stock'!BC16</f>
        <v/>
      </c>
      <c r="BF1139">
        <f>'Grid_Stock'!BD16</f>
        <v/>
      </c>
      <c r="BG1139">
        <f>'Grid_Stock'!BE16</f>
        <v/>
      </c>
      <c r="BH1139">
        <f>'Grid_Stock'!BF16</f>
        <v/>
      </c>
      <c r="BI1139">
        <f>'Grid_Stock'!BG16</f>
        <v/>
      </c>
      <c r="BJ1139">
        <f>'Grid_Stock'!BH16</f>
        <v/>
      </c>
      <c r="BK1139">
        <f>'Grid_Stock'!BI16</f>
        <v/>
      </c>
      <c r="BL1139">
        <f>'Grid_Stock'!BJ16</f>
        <v/>
      </c>
      <c r="BM1139">
        <f>'Grid_Stock'!BK16</f>
        <v/>
      </c>
      <c r="BN1139">
        <f>'Grid_Stock'!BL16</f>
        <v/>
      </c>
      <c r="BO1139">
        <f>'Grid_Stock'!BM16</f>
        <v/>
      </c>
      <c r="BP1139">
        <f>'Grid_Stock'!BN16</f>
        <v/>
      </c>
      <c r="BQ1139">
        <f>'Grid_Stock'!BO16</f>
        <v/>
      </c>
      <c r="BR1139">
        <f>'Grid_Stock'!BP16</f>
        <v/>
      </c>
      <c r="BS1139">
        <f>'Grid_Stock'!BQ16</f>
        <v/>
      </c>
      <c r="BT1139">
        <f>'Grid_Stock'!BR16</f>
        <v/>
      </c>
      <c r="BU1139">
        <f>'Grid_Stock'!BS16</f>
        <v/>
      </c>
      <c r="BV1139">
        <f>'Grid_Stock'!BT16</f>
        <v/>
      </c>
      <c r="BW1139">
        <f>'Grid_Stock'!BU16</f>
        <v/>
      </c>
      <c r="BX1139">
        <f>'Grid_Stock'!BV16</f>
        <v/>
      </c>
      <c r="BY1139">
        <f>'Grid_Stock'!BW16</f>
        <v/>
      </c>
      <c r="BZ1139">
        <f>'Grid_Stock'!BX16</f>
        <v/>
      </c>
      <c r="CA1139">
        <f>'Grid_Stock'!BY16</f>
        <v/>
      </c>
      <c r="CB1139">
        <f>'Grid_Stock'!BZ16</f>
        <v/>
      </c>
      <c r="CC1139">
        <f>'Grid_Stock'!CA16</f>
        <v/>
      </c>
      <c r="CD1139">
        <f>'Grid_Stock'!CB16</f>
        <v/>
      </c>
      <c r="CE1139">
        <f>'Grid_Stock'!CC16</f>
        <v/>
      </c>
      <c r="CF1139">
        <f>'Grid_Stock'!CD16</f>
        <v/>
      </c>
      <c r="CG1139">
        <f>'Grid_Stock'!CE16</f>
        <v/>
      </c>
      <c r="CH1139">
        <f>'Grid_Stock'!CF16</f>
        <v/>
      </c>
      <c r="CI1139">
        <f>'Grid_Stock'!CG16</f>
        <v/>
      </c>
      <c r="CJ1139">
        <f>'Grid_Stock'!CH16</f>
        <v/>
      </c>
      <c r="CK1139">
        <f>'Grid_Stock'!CI16</f>
        <v/>
      </c>
      <c r="CL1139">
        <f>'Grid_Stock'!CJ16</f>
        <v/>
      </c>
      <c r="CM1139">
        <f>'Grid_Stock'!CK16</f>
        <v/>
      </c>
      <c r="CN1139">
        <f>'Grid_Stock'!CL16</f>
        <v/>
      </c>
      <c r="CO1139">
        <f>'Grid_Stock'!CM16</f>
        <v/>
      </c>
      <c r="CP1139">
        <f>'Grid_Stock'!CN16</f>
        <v/>
      </c>
      <c r="CQ1139">
        <f>'Grid_Stock'!CO16</f>
        <v/>
      </c>
      <c r="CR1139">
        <f>'Grid_Stock'!CP16</f>
        <v/>
      </c>
      <c r="CS1139">
        <f>'Grid_Stock'!CQ16</f>
        <v/>
      </c>
      <c r="CT1139">
        <f>'Grid_Stock'!CR16</f>
        <v/>
      </c>
      <c r="CU1139">
        <f>'Grid_Stock'!CS16</f>
        <v/>
      </c>
      <c r="CV1139">
        <f>'Grid_Stock'!CT16</f>
        <v/>
      </c>
      <c r="CW1139">
        <f>'Grid_Stock'!CU16</f>
        <v/>
      </c>
      <c r="CX1139">
        <f>'Grid_Stock'!CV16</f>
        <v/>
      </c>
      <c r="CY1139">
        <f>'Grid_Stock'!CW16</f>
        <v/>
      </c>
      <c r="CZ1139">
        <f>'Grid_Stock'!CX16</f>
        <v/>
      </c>
      <c r="DA1139">
        <f>'Grid_Stock'!CY16</f>
        <v/>
      </c>
      <c r="DB1139">
        <f>'Grid_Stock'!CZ16</f>
        <v/>
      </c>
      <c r="DC1139">
        <f>'Grid_Stock'!DA16</f>
        <v/>
      </c>
    </row>
    <row r="1140">
      <c r="B1140" s="16" t="inlineStr">
        <is>
          <t>（発注の目安はDashboardの基準在庫[下限/上限]と色分けを参照）</t>
        </is>
      </c>
    </row>
    <row r="1142">
      <c r="A1142" s="14" t="inlineStr">
        <is>
          <t>CHEM-1840</t>
        </is>
      </c>
      <c r="B1142" s="14" t="inlineStr">
        <is>
          <t>KAOCERA2020</t>
        </is>
      </c>
      <c r="C1142" s="15" t="n"/>
      <c r="D1142" s="14" t="n"/>
      <c r="E1142" s="14" t="n"/>
      <c r="F1142" s="14" t="n"/>
      <c r="G1142" s="14" t="n"/>
      <c r="H1142" s="14" t="n"/>
      <c r="I1142" s="14" t="n"/>
      <c r="J1142" s="14" t="n"/>
      <c r="K1142" s="14" t="n"/>
      <c r="L1142" s="14" t="n"/>
      <c r="M1142" s="14" t="n"/>
      <c r="N1142" s="14" t="n"/>
      <c r="O1142" s="14" t="n"/>
      <c r="P1142" s="14" t="n"/>
      <c r="Q1142" s="14" t="n"/>
      <c r="R1142" s="14" t="n"/>
      <c r="S1142" s="14" t="n"/>
      <c r="T1142" s="14" t="n"/>
      <c r="U1142" s="14" t="n"/>
      <c r="V1142" s="14" t="n"/>
      <c r="W1142" s="14" t="n"/>
      <c r="X1142" s="14" t="n"/>
      <c r="Y1142" s="14" t="n"/>
      <c r="Z1142" s="14" t="n"/>
      <c r="AA1142" s="14" t="n"/>
      <c r="AB1142" s="14" t="n"/>
      <c r="AC1142" s="14" t="n"/>
      <c r="AD1142" s="14" t="n"/>
      <c r="AE1142" s="14" t="n"/>
      <c r="AF1142" s="14" t="n"/>
      <c r="AG1142" s="14" t="n"/>
      <c r="AH1142" s="14" t="n"/>
      <c r="AI1142" s="14" t="n"/>
      <c r="AJ1142" s="14" t="n"/>
      <c r="AK1142" s="14" t="n"/>
      <c r="AL1142" s="14" t="n"/>
      <c r="AM1142" s="14" t="n"/>
      <c r="AN1142" s="14" t="n"/>
      <c r="AO1142" s="14" t="n"/>
      <c r="AP1142" s="14" t="n"/>
      <c r="AQ1142" s="14" t="n"/>
      <c r="AR1142" s="14" t="n"/>
      <c r="AS1142" s="14" t="n"/>
      <c r="AT1142" s="14" t="n"/>
      <c r="AU1142" s="14" t="n"/>
      <c r="AV1142" s="14" t="n"/>
      <c r="AW1142" s="14" t="n"/>
      <c r="AX1142" s="14" t="n"/>
      <c r="AY1142" s="14" t="n"/>
      <c r="AZ1142" s="14" t="n"/>
      <c r="BA1142" s="14" t="n"/>
      <c r="BB1142" s="14" t="n"/>
      <c r="BC1142" s="14" t="n"/>
      <c r="BD1142" s="14" t="n"/>
      <c r="BE1142" s="14" t="n"/>
      <c r="BF1142" s="14" t="n"/>
      <c r="BG1142" s="14" t="n"/>
      <c r="BH1142" s="14" t="n"/>
      <c r="BI1142" s="14" t="n"/>
      <c r="BJ1142" s="14" t="n"/>
      <c r="BK1142" s="14" t="n"/>
      <c r="BL1142" s="14" t="n"/>
      <c r="BM1142" s="14" t="n"/>
      <c r="BN1142" s="14" t="n"/>
      <c r="BO1142" s="14" t="n"/>
      <c r="BP1142" s="14" t="n"/>
      <c r="BQ1142" s="14" t="n"/>
      <c r="BR1142" s="14" t="n"/>
      <c r="BS1142" s="14" t="n"/>
      <c r="BT1142" s="14" t="n"/>
      <c r="BU1142" s="14" t="n"/>
      <c r="BV1142" s="14" t="n"/>
      <c r="BW1142" s="14" t="n"/>
      <c r="BX1142" s="14" t="n"/>
      <c r="BY1142" s="14" t="n"/>
      <c r="BZ1142" s="14" t="n"/>
      <c r="CA1142" s="14" t="n"/>
      <c r="CB1142" s="14" t="n"/>
      <c r="CC1142" s="14" t="n"/>
      <c r="CD1142" s="14" t="n"/>
      <c r="CE1142" s="14" t="n"/>
      <c r="CF1142" s="14" t="n"/>
      <c r="CG1142" s="14" t="n"/>
      <c r="CH1142" s="14" t="n"/>
      <c r="CI1142" s="14" t="n"/>
      <c r="CJ1142" s="14" t="n"/>
      <c r="CK1142" s="14" t="n"/>
      <c r="CL1142" s="14" t="n"/>
      <c r="CM1142" s="14" t="n"/>
      <c r="CN1142" s="14" t="n"/>
      <c r="CO1142" s="14" t="n"/>
      <c r="CP1142" s="14" t="n"/>
      <c r="CQ1142" s="14" t="n"/>
      <c r="CR1142" s="14" t="n"/>
      <c r="CS1142" s="14" t="n"/>
      <c r="CT1142" s="14" t="n"/>
      <c r="CU1142" s="14" t="n"/>
      <c r="CV1142" s="14" t="n"/>
      <c r="CW1142" s="14" t="n"/>
      <c r="CX1142" s="14" t="n"/>
      <c r="CY1142" s="14" t="n"/>
      <c r="CZ1142" s="14" t="n"/>
      <c r="DA1142" s="14" t="n"/>
      <c r="DB1142" s="14" t="n"/>
      <c r="DC1142" s="14" t="n"/>
    </row>
    <row r="1143">
      <c r="B1143" t="inlineStr">
        <is>
          <t>TSP-1558</t>
        </is>
      </c>
      <c r="C1143" t="inlineStr">
        <is>
          <t>No. of batches</t>
        </is>
      </c>
      <c r="D1143">
        <f>IFERROR(INDEX(PP_Grid[#Data],$DD1143,2),0)</f>
        <v/>
      </c>
      <c r="E1143">
        <f>IFERROR(INDEX(PP_Grid[#Data],$DD1143,3),0)</f>
        <v/>
      </c>
      <c r="F1143">
        <f>IFERROR(INDEX(PP_Grid[#Data],$DD1143,4),0)</f>
        <v/>
      </c>
      <c r="G1143">
        <f>IFERROR(INDEX(PP_Grid[#Data],$DD1143,5),0)</f>
        <v/>
      </c>
      <c r="H1143">
        <f>IFERROR(INDEX(PP_Grid[#Data],$DD1143,6),0)</f>
        <v/>
      </c>
      <c r="I1143">
        <f>IFERROR(INDEX(PP_Grid[#Data],$DD1143,7),0)</f>
        <v/>
      </c>
      <c r="J1143">
        <f>IFERROR(INDEX(PP_Grid[#Data],$DD1143,8),0)</f>
        <v/>
      </c>
      <c r="K1143">
        <f>IFERROR(INDEX(PP_Grid[#Data],$DD1143,9),0)</f>
        <v/>
      </c>
      <c r="L1143">
        <f>IFERROR(INDEX(PP_Grid[#Data],$DD1143,10),0)</f>
        <v/>
      </c>
      <c r="M1143">
        <f>IFERROR(INDEX(PP_Grid[#Data],$DD1143,11),0)</f>
        <v/>
      </c>
      <c r="N1143">
        <f>IFERROR(INDEX(PP_Grid[#Data],$DD1143,12),0)</f>
        <v/>
      </c>
      <c r="O1143">
        <f>IFERROR(INDEX(PP_Grid[#Data],$DD1143,13),0)</f>
        <v/>
      </c>
      <c r="P1143">
        <f>IFERROR(INDEX(PP_Grid[#Data],$DD1143,14),0)</f>
        <v/>
      </c>
      <c r="Q1143">
        <f>IFERROR(INDEX(PP_Grid[#Data],$DD1143,15),0)</f>
        <v/>
      </c>
      <c r="R1143">
        <f>IFERROR(INDEX(PP_Grid[#Data],$DD1143,16),0)</f>
        <v/>
      </c>
      <c r="S1143">
        <f>IFERROR(INDEX(PP_Grid[#Data],$DD1143,17),0)</f>
        <v/>
      </c>
      <c r="T1143">
        <f>IFERROR(INDEX(PP_Grid[#Data],$DD1143,18),0)</f>
        <v/>
      </c>
      <c r="U1143">
        <f>IFERROR(INDEX(PP_Grid[#Data],$DD1143,19),0)</f>
        <v/>
      </c>
      <c r="V1143">
        <f>IFERROR(INDEX(PP_Grid[#Data],$DD1143,20),0)</f>
        <v/>
      </c>
      <c r="W1143">
        <f>IFERROR(INDEX(PP_Grid[#Data],$DD1143,21),0)</f>
        <v/>
      </c>
      <c r="X1143">
        <f>IFERROR(INDEX(PP_Grid[#Data],$DD1143,22),0)</f>
        <v/>
      </c>
      <c r="Y1143">
        <f>IFERROR(INDEX(PP_Grid[#Data],$DD1143,23),0)</f>
        <v/>
      </c>
      <c r="Z1143">
        <f>IFERROR(INDEX(PP_Grid[#Data],$DD1143,24),0)</f>
        <v/>
      </c>
      <c r="AA1143">
        <f>IFERROR(INDEX(PP_Grid[#Data],$DD1143,25),0)</f>
        <v/>
      </c>
      <c r="AB1143">
        <f>IFERROR(INDEX(PP_Grid[#Data],$DD1143,26),0)</f>
        <v/>
      </c>
      <c r="AC1143">
        <f>IFERROR(INDEX(PP_Grid[#Data],$DD1143,27),0)</f>
        <v/>
      </c>
      <c r="AD1143">
        <f>IFERROR(INDEX(PP_Grid[#Data],$DD1143,28),0)</f>
        <v/>
      </c>
      <c r="AE1143">
        <f>IFERROR(INDEX(PP_Grid[#Data],$DD1143,29),0)</f>
        <v/>
      </c>
      <c r="AF1143">
        <f>IFERROR(INDEX(PP_Grid[#Data],$DD1143,30),0)</f>
        <v/>
      </c>
      <c r="AG1143">
        <f>IFERROR(INDEX(PP_Grid[#Data],$DD1143,31),0)</f>
        <v/>
      </c>
      <c r="AH1143">
        <f>IFERROR(INDEX(PP_Grid[#Data],$DD1143,32),0)</f>
        <v/>
      </c>
      <c r="AI1143">
        <f>IFERROR(INDEX(PP_Grid[#Data],$DD1143,33),0)</f>
        <v/>
      </c>
      <c r="AJ1143">
        <f>IFERROR(INDEX(PP_Grid[#Data],$DD1143,34),0)</f>
        <v/>
      </c>
      <c r="AK1143">
        <f>IFERROR(INDEX(PP_Grid[#Data],$DD1143,35),0)</f>
        <v/>
      </c>
      <c r="AL1143">
        <f>IFERROR(INDEX(PP_Grid[#Data],$DD1143,36),0)</f>
        <v/>
      </c>
      <c r="AM1143">
        <f>IFERROR(INDEX(PP_Grid[#Data],$DD1143,37),0)</f>
        <v/>
      </c>
      <c r="AN1143">
        <f>IFERROR(INDEX(PP_Grid[#Data],$DD1143,38),0)</f>
        <v/>
      </c>
      <c r="AO1143">
        <f>IFERROR(INDEX(PP_Grid[#Data],$DD1143,39),0)</f>
        <v/>
      </c>
      <c r="AP1143">
        <f>IFERROR(INDEX(PP_Grid[#Data],$DD1143,40),0)</f>
        <v/>
      </c>
      <c r="AQ1143">
        <f>IFERROR(INDEX(PP_Grid[#Data],$DD1143,41),0)</f>
        <v/>
      </c>
      <c r="AR1143">
        <f>IFERROR(INDEX(PP_Grid[#Data],$DD1143,42),0)</f>
        <v/>
      </c>
      <c r="AS1143">
        <f>IFERROR(INDEX(PP_Grid[#Data],$DD1143,43),0)</f>
        <v/>
      </c>
      <c r="AT1143">
        <f>IFERROR(INDEX(PP_Grid[#Data],$DD1143,44),0)</f>
        <v/>
      </c>
      <c r="AU1143">
        <f>IFERROR(INDEX(PP_Grid[#Data],$DD1143,45),0)</f>
        <v/>
      </c>
      <c r="AV1143">
        <f>IFERROR(INDEX(PP_Grid[#Data],$DD1143,46),0)</f>
        <v/>
      </c>
      <c r="AW1143">
        <f>IFERROR(INDEX(PP_Grid[#Data],$DD1143,47),0)</f>
        <v/>
      </c>
      <c r="AX1143">
        <f>IFERROR(INDEX(PP_Grid[#Data],$DD1143,48),0)</f>
        <v/>
      </c>
      <c r="AY1143">
        <f>IFERROR(INDEX(PP_Grid[#Data],$DD1143,49),0)</f>
        <v/>
      </c>
      <c r="AZ1143">
        <f>IFERROR(INDEX(PP_Grid[#Data],$DD1143,50),0)</f>
        <v/>
      </c>
      <c r="BA1143">
        <f>IFERROR(INDEX(PP_Grid[#Data],$DD1143,51),0)</f>
        <v/>
      </c>
      <c r="BB1143">
        <f>IFERROR(INDEX(PP_Grid[#Data],$DD1143,52),0)</f>
        <v/>
      </c>
      <c r="BC1143">
        <f>IFERROR(INDEX(PP_Grid[#Data],$DD1143,53),0)</f>
        <v/>
      </c>
      <c r="BD1143">
        <f>IFERROR(INDEX(PP_Grid[#Data],$DD1143,54),0)</f>
        <v/>
      </c>
      <c r="BE1143">
        <f>IFERROR(INDEX(PP_Grid[#Data],$DD1143,55),0)</f>
        <v/>
      </c>
      <c r="BF1143">
        <f>IFERROR(INDEX(PP_Grid[#Data],$DD1143,56),0)</f>
        <v/>
      </c>
      <c r="BG1143">
        <f>IFERROR(INDEX(PP_Grid[#Data],$DD1143,57),0)</f>
        <v/>
      </c>
      <c r="BH1143">
        <f>IFERROR(INDEX(PP_Grid[#Data],$DD1143,58),0)</f>
        <v/>
      </c>
      <c r="BI1143">
        <f>IFERROR(INDEX(PP_Grid[#Data],$DD1143,59),0)</f>
        <v/>
      </c>
      <c r="BJ1143">
        <f>IFERROR(INDEX(PP_Grid[#Data],$DD1143,60),0)</f>
        <v/>
      </c>
      <c r="BK1143">
        <f>IFERROR(INDEX(PP_Grid[#Data],$DD1143,61),0)</f>
        <v/>
      </c>
      <c r="BL1143">
        <f>IFERROR(INDEX(PP_Grid[#Data],$DD1143,62),0)</f>
        <v/>
      </c>
      <c r="BM1143">
        <f>IFERROR(INDEX(PP_Grid[#Data],$DD1143,63),0)</f>
        <v/>
      </c>
      <c r="BN1143">
        <f>IFERROR(INDEX(PP_Grid[#Data],$DD1143,64),0)</f>
        <v/>
      </c>
      <c r="BO1143">
        <f>IFERROR(INDEX(PP_Grid[#Data],$DD1143,65),0)</f>
        <v/>
      </c>
      <c r="BP1143">
        <f>IFERROR(INDEX(PP_Grid[#Data],$DD1143,66),0)</f>
        <v/>
      </c>
      <c r="BQ1143">
        <f>IFERROR(INDEX(PP_Grid[#Data],$DD1143,67),0)</f>
        <v/>
      </c>
      <c r="BR1143">
        <f>IFERROR(INDEX(PP_Grid[#Data],$DD1143,68),0)</f>
        <v/>
      </c>
      <c r="BS1143">
        <f>IFERROR(INDEX(PP_Grid[#Data],$DD1143,69),0)</f>
        <v/>
      </c>
      <c r="BT1143">
        <f>IFERROR(INDEX(PP_Grid[#Data],$DD1143,70),0)</f>
        <v/>
      </c>
      <c r="BU1143">
        <f>IFERROR(INDEX(PP_Grid[#Data],$DD1143,71),0)</f>
        <v/>
      </c>
      <c r="BV1143">
        <f>IFERROR(INDEX(PP_Grid[#Data],$DD1143,72),0)</f>
        <v/>
      </c>
      <c r="BW1143">
        <f>IFERROR(INDEX(PP_Grid[#Data],$DD1143,73),0)</f>
        <v/>
      </c>
      <c r="BX1143">
        <f>IFERROR(INDEX(PP_Grid[#Data],$DD1143,74),0)</f>
        <v/>
      </c>
      <c r="BY1143">
        <f>IFERROR(INDEX(PP_Grid[#Data],$DD1143,75),0)</f>
        <v/>
      </c>
      <c r="BZ1143">
        <f>IFERROR(INDEX(PP_Grid[#Data],$DD1143,76),0)</f>
        <v/>
      </c>
      <c r="CA1143">
        <f>IFERROR(INDEX(PP_Grid[#Data],$DD1143,77),0)</f>
        <v/>
      </c>
      <c r="CB1143">
        <f>IFERROR(INDEX(PP_Grid[#Data],$DD1143,78),0)</f>
        <v/>
      </c>
      <c r="CC1143">
        <f>IFERROR(INDEX(PP_Grid[#Data],$DD1143,79),0)</f>
        <v/>
      </c>
      <c r="CD1143">
        <f>IFERROR(INDEX(PP_Grid[#Data],$DD1143,80),0)</f>
        <v/>
      </c>
      <c r="CE1143">
        <f>IFERROR(INDEX(PP_Grid[#Data],$DD1143,81),0)</f>
        <v/>
      </c>
      <c r="CF1143">
        <f>IFERROR(INDEX(PP_Grid[#Data],$DD1143,82),0)</f>
        <v/>
      </c>
      <c r="CG1143">
        <f>IFERROR(INDEX(PP_Grid[#Data],$DD1143,83),0)</f>
        <v/>
      </c>
      <c r="CH1143">
        <f>IFERROR(INDEX(PP_Grid[#Data],$DD1143,84),0)</f>
        <v/>
      </c>
      <c r="CI1143">
        <f>IFERROR(INDEX(PP_Grid[#Data],$DD1143,85),0)</f>
        <v/>
      </c>
      <c r="CJ1143">
        <f>IFERROR(INDEX(PP_Grid[#Data],$DD1143,86),0)</f>
        <v/>
      </c>
      <c r="CK1143">
        <f>IFERROR(INDEX(PP_Grid[#Data],$DD1143,87),0)</f>
        <v/>
      </c>
      <c r="CL1143">
        <f>IFERROR(INDEX(PP_Grid[#Data],$DD1143,88),0)</f>
        <v/>
      </c>
      <c r="CM1143">
        <f>IFERROR(INDEX(PP_Grid[#Data],$DD1143,89),0)</f>
        <v/>
      </c>
      <c r="CN1143">
        <f>IFERROR(INDEX(PP_Grid[#Data],$DD1143,90),0)</f>
        <v/>
      </c>
      <c r="CO1143">
        <f>IFERROR(INDEX(PP_Grid[#Data],$DD1143,91),0)</f>
        <v/>
      </c>
      <c r="CP1143">
        <f>IFERROR(INDEX(PP_Grid[#Data],$DD1143,92),0)</f>
        <v/>
      </c>
      <c r="CQ1143">
        <f>IFERROR(INDEX(PP_Grid[#Data],$DD1143,93),0)</f>
        <v/>
      </c>
      <c r="CR1143">
        <f>IFERROR(INDEX(PP_Grid[#Data],$DD1143,94),0)</f>
        <v/>
      </c>
      <c r="CS1143">
        <f>IFERROR(INDEX(PP_Grid[#Data],$DD1143,95),0)</f>
        <v/>
      </c>
      <c r="CT1143">
        <f>IFERROR(INDEX(PP_Grid[#Data],$DD1143,96),0)</f>
        <v/>
      </c>
      <c r="CU1143">
        <f>IFERROR(INDEX(PP_Grid[#Data],$DD1143,97),0)</f>
        <v/>
      </c>
      <c r="CV1143">
        <f>IFERROR(INDEX(PP_Grid[#Data],$DD1143,98),0)</f>
        <v/>
      </c>
      <c r="CW1143">
        <f>IFERROR(INDEX(PP_Grid[#Data],$DD1143,99),0)</f>
        <v/>
      </c>
      <c r="CX1143">
        <f>IFERROR(INDEX(PP_Grid[#Data],$DD1143,100),0)</f>
        <v/>
      </c>
      <c r="CY1143">
        <f>IFERROR(INDEX(PP_Grid[#Data],$DD1143,101),0)</f>
        <v/>
      </c>
      <c r="CZ1143">
        <f>IFERROR(INDEX(PP_Grid[#Data],$DD1143,102),0)</f>
        <v/>
      </c>
      <c r="DA1143">
        <f>IFERROR(INDEX(PP_Grid[#Data],$DD1143,103),0)</f>
        <v/>
      </c>
      <c r="DB1143">
        <f>IFERROR(INDEX(PP_Grid[#Data],$DD1143,104),0)</f>
        <v/>
      </c>
      <c r="DC1143">
        <f>IFERROR(INDEX(PP_Grid[#Data],$DD1143,105),0)</f>
        <v/>
      </c>
      <c r="DD1143" s="7">
        <f>IFERROR(MATCH($B1143,PP_Grid[Intermediate],0),99999)</f>
        <v/>
      </c>
    </row>
    <row r="1144">
      <c r="B1144" t="inlineStr">
        <is>
          <t>使用量(kg)</t>
        </is>
      </c>
      <c r="C1144">
        <f>SUMIFS(M_BOM[RM_Qty_Per_Batch],M_BOM[Intermediate],$B1143,M_BOM[Part Name],$A1142)</f>
        <v/>
      </c>
      <c r="D1144">
        <f>$C1144*D1143</f>
        <v/>
      </c>
      <c r="E1144">
        <f>$C1144*E1143</f>
        <v/>
      </c>
      <c r="F1144">
        <f>$C1144*F1143</f>
        <v/>
      </c>
      <c r="G1144">
        <f>$C1144*G1143</f>
        <v/>
      </c>
      <c r="H1144">
        <f>$C1144*H1143</f>
        <v/>
      </c>
      <c r="I1144">
        <f>$C1144*I1143</f>
        <v/>
      </c>
      <c r="J1144">
        <f>$C1144*J1143</f>
        <v/>
      </c>
      <c r="K1144">
        <f>$C1144*K1143</f>
        <v/>
      </c>
      <c r="L1144">
        <f>$C1144*L1143</f>
        <v/>
      </c>
      <c r="M1144">
        <f>$C1144*M1143</f>
        <v/>
      </c>
      <c r="N1144">
        <f>$C1144*N1143</f>
        <v/>
      </c>
      <c r="O1144">
        <f>$C1144*O1143</f>
        <v/>
      </c>
      <c r="P1144">
        <f>$C1144*P1143</f>
        <v/>
      </c>
      <c r="Q1144">
        <f>$C1144*Q1143</f>
        <v/>
      </c>
      <c r="R1144">
        <f>$C1144*R1143</f>
        <v/>
      </c>
      <c r="S1144">
        <f>$C1144*S1143</f>
        <v/>
      </c>
      <c r="T1144">
        <f>$C1144*T1143</f>
        <v/>
      </c>
      <c r="U1144">
        <f>$C1144*U1143</f>
        <v/>
      </c>
      <c r="V1144">
        <f>$C1144*V1143</f>
        <v/>
      </c>
      <c r="W1144">
        <f>$C1144*W1143</f>
        <v/>
      </c>
      <c r="X1144">
        <f>$C1144*X1143</f>
        <v/>
      </c>
      <c r="Y1144">
        <f>$C1144*Y1143</f>
        <v/>
      </c>
      <c r="Z1144">
        <f>$C1144*Z1143</f>
        <v/>
      </c>
      <c r="AA1144">
        <f>$C1144*AA1143</f>
        <v/>
      </c>
      <c r="AB1144">
        <f>$C1144*AB1143</f>
        <v/>
      </c>
      <c r="AC1144">
        <f>$C1144*AC1143</f>
        <v/>
      </c>
      <c r="AD1144">
        <f>$C1144*AD1143</f>
        <v/>
      </c>
      <c r="AE1144">
        <f>$C1144*AE1143</f>
        <v/>
      </c>
      <c r="AF1144">
        <f>$C1144*AF1143</f>
        <v/>
      </c>
      <c r="AG1144">
        <f>$C1144*AG1143</f>
        <v/>
      </c>
      <c r="AH1144">
        <f>$C1144*AH1143</f>
        <v/>
      </c>
      <c r="AI1144">
        <f>$C1144*AI1143</f>
        <v/>
      </c>
      <c r="AJ1144">
        <f>$C1144*AJ1143</f>
        <v/>
      </c>
      <c r="AK1144">
        <f>$C1144*AK1143</f>
        <v/>
      </c>
      <c r="AL1144">
        <f>$C1144*AL1143</f>
        <v/>
      </c>
      <c r="AM1144">
        <f>$C1144*AM1143</f>
        <v/>
      </c>
      <c r="AN1144">
        <f>$C1144*AN1143</f>
        <v/>
      </c>
      <c r="AO1144">
        <f>$C1144*AO1143</f>
        <v/>
      </c>
      <c r="AP1144">
        <f>$C1144*AP1143</f>
        <v/>
      </c>
      <c r="AQ1144">
        <f>$C1144*AQ1143</f>
        <v/>
      </c>
      <c r="AR1144">
        <f>$C1144*AR1143</f>
        <v/>
      </c>
      <c r="AS1144">
        <f>$C1144*AS1143</f>
        <v/>
      </c>
      <c r="AT1144">
        <f>$C1144*AT1143</f>
        <v/>
      </c>
      <c r="AU1144">
        <f>$C1144*AU1143</f>
        <v/>
      </c>
      <c r="AV1144">
        <f>$C1144*AV1143</f>
        <v/>
      </c>
      <c r="AW1144">
        <f>$C1144*AW1143</f>
        <v/>
      </c>
      <c r="AX1144">
        <f>$C1144*AX1143</f>
        <v/>
      </c>
      <c r="AY1144">
        <f>$C1144*AY1143</f>
        <v/>
      </c>
      <c r="AZ1144">
        <f>$C1144*AZ1143</f>
        <v/>
      </c>
      <c r="BA1144">
        <f>$C1144*BA1143</f>
        <v/>
      </c>
      <c r="BB1144">
        <f>$C1144*BB1143</f>
        <v/>
      </c>
      <c r="BC1144">
        <f>$C1144*BC1143</f>
        <v/>
      </c>
      <c r="BD1144">
        <f>$C1144*BD1143</f>
        <v/>
      </c>
      <c r="BE1144">
        <f>$C1144*BE1143</f>
        <v/>
      </c>
      <c r="BF1144">
        <f>$C1144*BF1143</f>
        <v/>
      </c>
      <c r="BG1144">
        <f>$C1144*BG1143</f>
        <v/>
      </c>
      <c r="BH1144">
        <f>$C1144*BH1143</f>
        <v/>
      </c>
      <c r="BI1144">
        <f>$C1144*BI1143</f>
        <v/>
      </c>
      <c r="BJ1144">
        <f>$C1144*BJ1143</f>
        <v/>
      </c>
      <c r="BK1144">
        <f>$C1144*BK1143</f>
        <v/>
      </c>
      <c r="BL1144">
        <f>$C1144*BL1143</f>
        <v/>
      </c>
      <c r="BM1144">
        <f>$C1144*BM1143</f>
        <v/>
      </c>
      <c r="BN1144">
        <f>$C1144*BN1143</f>
        <v/>
      </c>
      <c r="BO1144">
        <f>$C1144*BO1143</f>
        <v/>
      </c>
      <c r="BP1144">
        <f>$C1144*BP1143</f>
        <v/>
      </c>
      <c r="BQ1144">
        <f>$C1144*BQ1143</f>
        <v/>
      </c>
      <c r="BR1144">
        <f>$C1144*BR1143</f>
        <v/>
      </c>
      <c r="BS1144">
        <f>$C1144*BS1143</f>
        <v/>
      </c>
      <c r="BT1144">
        <f>$C1144*BT1143</f>
        <v/>
      </c>
      <c r="BU1144">
        <f>$C1144*BU1143</f>
        <v/>
      </c>
      <c r="BV1144">
        <f>$C1144*BV1143</f>
        <v/>
      </c>
      <c r="BW1144">
        <f>$C1144*BW1143</f>
        <v/>
      </c>
      <c r="BX1144">
        <f>$C1144*BX1143</f>
        <v/>
      </c>
      <c r="BY1144">
        <f>$C1144*BY1143</f>
        <v/>
      </c>
      <c r="BZ1144">
        <f>$C1144*BZ1143</f>
        <v/>
      </c>
      <c r="CA1144">
        <f>$C1144*CA1143</f>
        <v/>
      </c>
      <c r="CB1144">
        <f>$C1144*CB1143</f>
        <v/>
      </c>
      <c r="CC1144">
        <f>$C1144*CC1143</f>
        <v/>
      </c>
      <c r="CD1144">
        <f>$C1144*CD1143</f>
        <v/>
      </c>
      <c r="CE1144">
        <f>$C1144*CE1143</f>
        <v/>
      </c>
      <c r="CF1144">
        <f>$C1144*CF1143</f>
        <v/>
      </c>
      <c r="CG1144">
        <f>$C1144*CG1143</f>
        <v/>
      </c>
      <c r="CH1144">
        <f>$C1144*CH1143</f>
        <v/>
      </c>
      <c r="CI1144">
        <f>$C1144*CI1143</f>
        <v/>
      </c>
      <c r="CJ1144">
        <f>$C1144*CJ1143</f>
        <v/>
      </c>
      <c r="CK1144">
        <f>$C1144*CK1143</f>
        <v/>
      </c>
      <c r="CL1144">
        <f>$C1144*CL1143</f>
        <v/>
      </c>
      <c r="CM1144">
        <f>$C1144*CM1143</f>
        <v/>
      </c>
      <c r="CN1144">
        <f>$C1144*CN1143</f>
        <v/>
      </c>
      <c r="CO1144">
        <f>$C1144*CO1143</f>
        <v/>
      </c>
      <c r="CP1144">
        <f>$C1144*CP1143</f>
        <v/>
      </c>
      <c r="CQ1144">
        <f>$C1144*CQ1143</f>
        <v/>
      </c>
      <c r="CR1144">
        <f>$C1144*CR1143</f>
        <v/>
      </c>
      <c r="CS1144">
        <f>$C1144*CS1143</f>
        <v/>
      </c>
      <c r="CT1144">
        <f>$C1144*CT1143</f>
        <v/>
      </c>
      <c r="CU1144">
        <f>$C1144*CU1143</f>
        <v/>
      </c>
      <c r="CV1144">
        <f>$C1144*CV1143</f>
        <v/>
      </c>
      <c r="CW1144">
        <f>$C1144*CW1143</f>
        <v/>
      </c>
      <c r="CX1144">
        <f>$C1144*CX1143</f>
        <v/>
      </c>
      <c r="CY1144">
        <f>$C1144*CY1143</f>
        <v/>
      </c>
      <c r="CZ1144">
        <f>$C1144*CZ1143</f>
        <v/>
      </c>
      <c r="DA1144">
        <f>$C1144*DA1143</f>
        <v/>
      </c>
      <c r="DB1144">
        <f>$C1144*DB1143</f>
        <v/>
      </c>
      <c r="DC1144">
        <f>$C1144*DC1143</f>
        <v/>
      </c>
    </row>
    <row r="1145">
      <c r="B1145" t="inlineStr">
        <is>
          <t>TSP-1559</t>
        </is>
      </c>
      <c r="C1145" t="inlineStr">
        <is>
          <t>No. of batches</t>
        </is>
      </c>
      <c r="D1145">
        <f>IFERROR(INDEX(PP_Grid[#Data],$DD1145,2),0)</f>
        <v/>
      </c>
      <c r="E1145">
        <f>IFERROR(INDEX(PP_Grid[#Data],$DD1145,3),0)</f>
        <v/>
      </c>
      <c r="F1145">
        <f>IFERROR(INDEX(PP_Grid[#Data],$DD1145,4),0)</f>
        <v/>
      </c>
      <c r="G1145">
        <f>IFERROR(INDEX(PP_Grid[#Data],$DD1145,5),0)</f>
        <v/>
      </c>
      <c r="H1145">
        <f>IFERROR(INDEX(PP_Grid[#Data],$DD1145,6),0)</f>
        <v/>
      </c>
      <c r="I1145">
        <f>IFERROR(INDEX(PP_Grid[#Data],$DD1145,7),0)</f>
        <v/>
      </c>
      <c r="J1145">
        <f>IFERROR(INDEX(PP_Grid[#Data],$DD1145,8),0)</f>
        <v/>
      </c>
      <c r="K1145">
        <f>IFERROR(INDEX(PP_Grid[#Data],$DD1145,9),0)</f>
        <v/>
      </c>
      <c r="L1145">
        <f>IFERROR(INDEX(PP_Grid[#Data],$DD1145,10),0)</f>
        <v/>
      </c>
      <c r="M1145">
        <f>IFERROR(INDEX(PP_Grid[#Data],$DD1145,11),0)</f>
        <v/>
      </c>
      <c r="N1145">
        <f>IFERROR(INDEX(PP_Grid[#Data],$DD1145,12),0)</f>
        <v/>
      </c>
      <c r="O1145">
        <f>IFERROR(INDEX(PP_Grid[#Data],$DD1145,13),0)</f>
        <v/>
      </c>
      <c r="P1145">
        <f>IFERROR(INDEX(PP_Grid[#Data],$DD1145,14),0)</f>
        <v/>
      </c>
      <c r="Q1145">
        <f>IFERROR(INDEX(PP_Grid[#Data],$DD1145,15),0)</f>
        <v/>
      </c>
      <c r="R1145">
        <f>IFERROR(INDEX(PP_Grid[#Data],$DD1145,16),0)</f>
        <v/>
      </c>
      <c r="S1145">
        <f>IFERROR(INDEX(PP_Grid[#Data],$DD1145,17),0)</f>
        <v/>
      </c>
      <c r="T1145">
        <f>IFERROR(INDEX(PP_Grid[#Data],$DD1145,18),0)</f>
        <v/>
      </c>
      <c r="U1145">
        <f>IFERROR(INDEX(PP_Grid[#Data],$DD1145,19),0)</f>
        <v/>
      </c>
      <c r="V1145">
        <f>IFERROR(INDEX(PP_Grid[#Data],$DD1145,20),0)</f>
        <v/>
      </c>
      <c r="W1145">
        <f>IFERROR(INDEX(PP_Grid[#Data],$DD1145,21),0)</f>
        <v/>
      </c>
      <c r="X1145">
        <f>IFERROR(INDEX(PP_Grid[#Data],$DD1145,22),0)</f>
        <v/>
      </c>
      <c r="Y1145">
        <f>IFERROR(INDEX(PP_Grid[#Data],$DD1145,23),0)</f>
        <v/>
      </c>
      <c r="Z1145">
        <f>IFERROR(INDEX(PP_Grid[#Data],$DD1145,24),0)</f>
        <v/>
      </c>
      <c r="AA1145">
        <f>IFERROR(INDEX(PP_Grid[#Data],$DD1145,25),0)</f>
        <v/>
      </c>
      <c r="AB1145">
        <f>IFERROR(INDEX(PP_Grid[#Data],$DD1145,26),0)</f>
        <v/>
      </c>
      <c r="AC1145">
        <f>IFERROR(INDEX(PP_Grid[#Data],$DD1145,27),0)</f>
        <v/>
      </c>
      <c r="AD1145">
        <f>IFERROR(INDEX(PP_Grid[#Data],$DD1145,28),0)</f>
        <v/>
      </c>
      <c r="AE1145">
        <f>IFERROR(INDEX(PP_Grid[#Data],$DD1145,29),0)</f>
        <v/>
      </c>
      <c r="AF1145">
        <f>IFERROR(INDEX(PP_Grid[#Data],$DD1145,30),0)</f>
        <v/>
      </c>
      <c r="AG1145">
        <f>IFERROR(INDEX(PP_Grid[#Data],$DD1145,31),0)</f>
        <v/>
      </c>
      <c r="AH1145">
        <f>IFERROR(INDEX(PP_Grid[#Data],$DD1145,32),0)</f>
        <v/>
      </c>
      <c r="AI1145">
        <f>IFERROR(INDEX(PP_Grid[#Data],$DD1145,33),0)</f>
        <v/>
      </c>
      <c r="AJ1145">
        <f>IFERROR(INDEX(PP_Grid[#Data],$DD1145,34),0)</f>
        <v/>
      </c>
      <c r="AK1145">
        <f>IFERROR(INDEX(PP_Grid[#Data],$DD1145,35),0)</f>
        <v/>
      </c>
      <c r="AL1145">
        <f>IFERROR(INDEX(PP_Grid[#Data],$DD1145,36),0)</f>
        <v/>
      </c>
      <c r="AM1145">
        <f>IFERROR(INDEX(PP_Grid[#Data],$DD1145,37),0)</f>
        <v/>
      </c>
      <c r="AN1145">
        <f>IFERROR(INDEX(PP_Grid[#Data],$DD1145,38),0)</f>
        <v/>
      </c>
      <c r="AO1145">
        <f>IFERROR(INDEX(PP_Grid[#Data],$DD1145,39),0)</f>
        <v/>
      </c>
      <c r="AP1145">
        <f>IFERROR(INDEX(PP_Grid[#Data],$DD1145,40),0)</f>
        <v/>
      </c>
      <c r="AQ1145">
        <f>IFERROR(INDEX(PP_Grid[#Data],$DD1145,41),0)</f>
        <v/>
      </c>
      <c r="AR1145">
        <f>IFERROR(INDEX(PP_Grid[#Data],$DD1145,42),0)</f>
        <v/>
      </c>
      <c r="AS1145">
        <f>IFERROR(INDEX(PP_Grid[#Data],$DD1145,43),0)</f>
        <v/>
      </c>
      <c r="AT1145">
        <f>IFERROR(INDEX(PP_Grid[#Data],$DD1145,44),0)</f>
        <v/>
      </c>
      <c r="AU1145">
        <f>IFERROR(INDEX(PP_Grid[#Data],$DD1145,45),0)</f>
        <v/>
      </c>
      <c r="AV1145">
        <f>IFERROR(INDEX(PP_Grid[#Data],$DD1145,46),0)</f>
        <v/>
      </c>
      <c r="AW1145">
        <f>IFERROR(INDEX(PP_Grid[#Data],$DD1145,47),0)</f>
        <v/>
      </c>
      <c r="AX1145">
        <f>IFERROR(INDEX(PP_Grid[#Data],$DD1145,48),0)</f>
        <v/>
      </c>
      <c r="AY1145">
        <f>IFERROR(INDEX(PP_Grid[#Data],$DD1145,49),0)</f>
        <v/>
      </c>
      <c r="AZ1145">
        <f>IFERROR(INDEX(PP_Grid[#Data],$DD1145,50),0)</f>
        <v/>
      </c>
      <c r="BA1145">
        <f>IFERROR(INDEX(PP_Grid[#Data],$DD1145,51),0)</f>
        <v/>
      </c>
      <c r="BB1145">
        <f>IFERROR(INDEX(PP_Grid[#Data],$DD1145,52),0)</f>
        <v/>
      </c>
      <c r="BC1145">
        <f>IFERROR(INDEX(PP_Grid[#Data],$DD1145,53),0)</f>
        <v/>
      </c>
      <c r="BD1145">
        <f>IFERROR(INDEX(PP_Grid[#Data],$DD1145,54),0)</f>
        <v/>
      </c>
      <c r="BE1145">
        <f>IFERROR(INDEX(PP_Grid[#Data],$DD1145,55),0)</f>
        <v/>
      </c>
      <c r="BF1145">
        <f>IFERROR(INDEX(PP_Grid[#Data],$DD1145,56),0)</f>
        <v/>
      </c>
      <c r="BG1145">
        <f>IFERROR(INDEX(PP_Grid[#Data],$DD1145,57),0)</f>
        <v/>
      </c>
      <c r="BH1145">
        <f>IFERROR(INDEX(PP_Grid[#Data],$DD1145,58),0)</f>
        <v/>
      </c>
      <c r="BI1145">
        <f>IFERROR(INDEX(PP_Grid[#Data],$DD1145,59),0)</f>
        <v/>
      </c>
      <c r="BJ1145">
        <f>IFERROR(INDEX(PP_Grid[#Data],$DD1145,60),0)</f>
        <v/>
      </c>
      <c r="BK1145">
        <f>IFERROR(INDEX(PP_Grid[#Data],$DD1145,61),0)</f>
        <v/>
      </c>
      <c r="BL1145">
        <f>IFERROR(INDEX(PP_Grid[#Data],$DD1145,62),0)</f>
        <v/>
      </c>
      <c r="BM1145">
        <f>IFERROR(INDEX(PP_Grid[#Data],$DD1145,63),0)</f>
        <v/>
      </c>
      <c r="BN1145">
        <f>IFERROR(INDEX(PP_Grid[#Data],$DD1145,64),0)</f>
        <v/>
      </c>
      <c r="BO1145">
        <f>IFERROR(INDEX(PP_Grid[#Data],$DD1145,65),0)</f>
        <v/>
      </c>
      <c r="BP1145">
        <f>IFERROR(INDEX(PP_Grid[#Data],$DD1145,66),0)</f>
        <v/>
      </c>
      <c r="BQ1145">
        <f>IFERROR(INDEX(PP_Grid[#Data],$DD1145,67),0)</f>
        <v/>
      </c>
      <c r="BR1145">
        <f>IFERROR(INDEX(PP_Grid[#Data],$DD1145,68),0)</f>
        <v/>
      </c>
      <c r="BS1145">
        <f>IFERROR(INDEX(PP_Grid[#Data],$DD1145,69),0)</f>
        <v/>
      </c>
      <c r="BT1145">
        <f>IFERROR(INDEX(PP_Grid[#Data],$DD1145,70),0)</f>
        <v/>
      </c>
      <c r="BU1145">
        <f>IFERROR(INDEX(PP_Grid[#Data],$DD1145,71),0)</f>
        <v/>
      </c>
      <c r="BV1145">
        <f>IFERROR(INDEX(PP_Grid[#Data],$DD1145,72),0)</f>
        <v/>
      </c>
      <c r="BW1145">
        <f>IFERROR(INDEX(PP_Grid[#Data],$DD1145,73),0)</f>
        <v/>
      </c>
      <c r="BX1145">
        <f>IFERROR(INDEX(PP_Grid[#Data],$DD1145,74),0)</f>
        <v/>
      </c>
      <c r="BY1145">
        <f>IFERROR(INDEX(PP_Grid[#Data],$DD1145,75),0)</f>
        <v/>
      </c>
      <c r="BZ1145">
        <f>IFERROR(INDEX(PP_Grid[#Data],$DD1145,76),0)</f>
        <v/>
      </c>
      <c r="CA1145">
        <f>IFERROR(INDEX(PP_Grid[#Data],$DD1145,77),0)</f>
        <v/>
      </c>
      <c r="CB1145">
        <f>IFERROR(INDEX(PP_Grid[#Data],$DD1145,78),0)</f>
        <v/>
      </c>
      <c r="CC1145">
        <f>IFERROR(INDEX(PP_Grid[#Data],$DD1145,79),0)</f>
        <v/>
      </c>
      <c r="CD1145">
        <f>IFERROR(INDEX(PP_Grid[#Data],$DD1145,80),0)</f>
        <v/>
      </c>
      <c r="CE1145">
        <f>IFERROR(INDEX(PP_Grid[#Data],$DD1145,81),0)</f>
        <v/>
      </c>
      <c r="CF1145">
        <f>IFERROR(INDEX(PP_Grid[#Data],$DD1145,82),0)</f>
        <v/>
      </c>
      <c r="CG1145">
        <f>IFERROR(INDEX(PP_Grid[#Data],$DD1145,83),0)</f>
        <v/>
      </c>
      <c r="CH1145">
        <f>IFERROR(INDEX(PP_Grid[#Data],$DD1145,84),0)</f>
        <v/>
      </c>
      <c r="CI1145">
        <f>IFERROR(INDEX(PP_Grid[#Data],$DD1145,85),0)</f>
        <v/>
      </c>
      <c r="CJ1145">
        <f>IFERROR(INDEX(PP_Grid[#Data],$DD1145,86),0)</f>
        <v/>
      </c>
      <c r="CK1145">
        <f>IFERROR(INDEX(PP_Grid[#Data],$DD1145,87),0)</f>
        <v/>
      </c>
      <c r="CL1145">
        <f>IFERROR(INDEX(PP_Grid[#Data],$DD1145,88),0)</f>
        <v/>
      </c>
      <c r="CM1145">
        <f>IFERROR(INDEX(PP_Grid[#Data],$DD1145,89),0)</f>
        <v/>
      </c>
      <c r="CN1145">
        <f>IFERROR(INDEX(PP_Grid[#Data],$DD1145,90),0)</f>
        <v/>
      </c>
      <c r="CO1145">
        <f>IFERROR(INDEX(PP_Grid[#Data],$DD1145,91),0)</f>
        <v/>
      </c>
      <c r="CP1145">
        <f>IFERROR(INDEX(PP_Grid[#Data],$DD1145,92),0)</f>
        <v/>
      </c>
      <c r="CQ1145">
        <f>IFERROR(INDEX(PP_Grid[#Data],$DD1145,93),0)</f>
        <v/>
      </c>
      <c r="CR1145">
        <f>IFERROR(INDEX(PP_Grid[#Data],$DD1145,94),0)</f>
        <v/>
      </c>
      <c r="CS1145">
        <f>IFERROR(INDEX(PP_Grid[#Data],$DD1145,95),0)</f>
        <v/>
      </c>
      <c r="CT1145">
        <f>IFERROR(INDEX(PP_Grid[#Data],$DD1145,96),0)</f>
        <v/>
      </c>
      <c r="CU1145">
        <f>IFERROR(INDEX(PP_Grid[#Data],$DD1145,97),0)</f>
        <v/>
      </c>
      <c r="CV1145">
        <f>IFERROR(INDEX(PP_Grid[#Data],$DD1145,98),0)</f>
        <v/>
      </c>
      <c r="CW1145">
        <f>IFERROR(INDEX(PP_Grid[#Data],$DD1145,99),0)</f>
        <v/>
      </c>
      <c r="CX1145">
        <f>IFERROR(INDEX(PP_Grid[#Data],$DD1145,100),0)</f>
        <v/>
      </c>
      <c r="CY1145">
        <f>IFERROR(INDEX(PP_Grid[#Data],$DD1145,101),0)</f>
        <v/>
      </c>
      <c r="CZ1145">
        <f>IFERROR(INDEX(PP_Grid[#Data],$DD1145,102),0)</f>
        <v/>
      </c>
      <c r="DA1145">
        <f>IFERROR(INDEX(PP_Grid[#Data],$DD1145,103),0)</f>
        <v/>
      </c>
      <c r="DB1145">
        <f>IFERROR(INDEX(PP_Grid[#Data],$DD1145,104),0)</f>
        <v/>
      </c>
      <c r="DC1145">
        <f>IFERROR(INDEX(PP_Grid[#Data],$DD1145,105),0)</f>
        <v/>
      </c>
      <c r="DD1145" s="7">
        <f>IFERROR(MATCH($B1145,PP_Grid[Intermediate],0),99999)</f>
        <v/>
      </c>
    </row>
    <row r="1146">
      <c r="B1146" t="inlineStr">
        <is>
          <t>使用量(kg)</t>
        </is>
      </c>
      <c r="C1146">
        <f>SUMIFS(M_BOM[RM_Qty_Per_Batch],M_BOM[Intermediate],$B1145,M_BOM[Part Name],$A1142)</f>
        <v/>
      </c>
      <c r="D1146">
        <f>$C1146*D1145</f>
        <v/>
      </c>
      <c r="E1146">
        <f>$C1146*E1145</f>
        <v/>
      </c>
      <c r="F1146">
        <f>$C1146*F1145</f>
        <v/>
      </c>
      <c r="G1146">
        <f>$C1146*G1145</f>
        <v/>
      </c>
      <c r="H1146">
        <f>$C1146*H1145</f>
        <v/>
      </c>
      <c r="I1146">
        <f>$C1146*I1145</f>
        <v/>
      </c>
      <c r="J1146">
        <f>$C1146*J1145</f>
        <v/>
      </c>
      <c r="K1146">
        <f>$C1146*K1145</f>
        <v/>
      </c>
      <c r="L1146">
        <f>$C1146*L1145</f>
        <v/>
      </c>
      <c r="M1146">
        <f>$C1146*M1145</f>
        <v/>
      </c>
      <c r="N1146">
        <f>$C1146*N1145</f>
        <v/>
      </c>
      <c r="O1146">
        <f>$C1146*O1145</f>
        <v/>
      </c>
      <c r="P1146">
        <f>$C1146*P1145</f>
        <v/>
      </c>
      <c r="Q1146">
        <f>$C1146*Q1145</f>
        <v/>
      </c>
      <c r="R1146">
        <f>$C1146*R1145</f>
        <v/>
      </c>
      <c r="S1146">
        <f>$C1146*S1145</f>
        <v/>
      </c>
      <c r="T1146">
        <f>$C1146*T1145</f>
        <v/>
      </c>
      <c r="U1146">
        <f>$C1146*U1145</f>
        <v/>
      </c>
      <c r="V1146">
        <f>$C1146*V1145</f>
        <v/>
      </c>
      <c r="W1146">
        <f>$C1146*W1145</f>
        <v/>
      </c>
      <c r="X1146">
        <f>$C1146*X1145</f>
        <v/>
      </c>
      <c r="Y1146">
        <f>$C1146*Y1145</f>
        <v/>
      </c>
      <c r="Z1146">
        <f>$C1146*Z1145</f>
        <v/>
      </c>
      <c r="AA1146">
        <f>$C1146*AA1145</f>
        <v/>
      </c>
      <c r="AB1146">
        <f>$C1146*AB1145</f>
        <v/>
      </c>
      <c r="AC1146">
        <f>$C1146*AC1145</f>
        <v/>
      </c>
      <c r="AD1146">
        <f>$C1146*AD1145</f>
        <v/>
      </c>
      <c r="AE1146">
        <f>$C1146*AE1145</f>
        <v/>
      </c>
      <c r="AF1146">
        <f>$C1146*AF1145</f>
        <v/>
      </c>
      <c r="AG1146">
        <f>$C1146*AG1145</f>
        <v/>
      </c>
      <c r="AH1146">
        <f>$C1146*AH1145</f>
        <v/>
      </c>
      <c r="AI1146">
        <f>$C1146*AI1145</f>
        <v/>
      </c>
      <c r="AJ1146">
        <f>$C1146*AJ1145</f>
        <v/>
      </c>
      <c r="AK1146">
        <f>$C1146*AK1145</f>
        <v/>
      </c>
      <c r="AL1146">
        <f>$C1146*AL1145</f>
        <v/>
      </c>
      <c r="AM1146">
        <f>$C1146*AM1145</f>
        <v/>
      </c>
      <c r="AN1146">
        <f>$C1146*AN1145</f>
        <v/>
      </c>
      <c r="AO1146">
        <f>$C1146*AO1145</f>
        <v/>
      </c>
      <c r="AP1146">
        <f>$C1146*AP1145</f>
        <v/>
      </c>
      <c r="AQ1146">
        <f>$C1146*AQ1145</f>
        <v/>
      </c>
      <c r="AR1146">
        <f>$C1146*AR1145</f>
        <v/>
      </c>
      <c r="AS1146">
        <f>$C1146*AS1145</f>
        <v/>
      </c>
      <c r="AT1146">
        <f>$C1146*AT1145</f>
        <v/>
      </c>
      <c r="AU1146">
        <f>$C1146*AU1145</f>
        <v/>
      </c>
      <c r="AV1146">
        <f>$C1146*AV1145</f>
        <v/>
      </c>
      <c r="AW1146">
        <f>$C1146*AW1145</f>
        <v/>
      </c>
      <c r="AX1146">
        <f>$C1146*AX1145</f>
        <v/>
      </c>
      <c r="AY1146">
        <f>$C1146*AY1145</f>
        <v/>
      </c>
      <c r="AZ1146">
        <f>$C1146*AZ1145</f>
        <v/>
      </c>
      <c r="BA1146">
        <f>$C1146*BA1145</f>
        <v/>
      </c>
      <c r="BB1146">
        <f>$C1146*BB1145</f>
        <v/>
      </c>
      <c r="BC1146">
        <f>$C1146*BC1145</f>
        <v/>
      </c>
      <c r="BD1146">
        <f>$C1146*BD1145</f>
        <v/>
      </c>
      <c r="BE1146">
        <f>$C1146*BE1145</f>
        <v/>
      </c>
      <c r="BF1146">
        <f>$C1146*BF1145</f>
        <v/>
      </c>
      <c r="BG1146">
        <f>$C1146*BG1145</f>
        <v/>
      </c>
      <c r="BH1146">
        <f>$C1146*BH1145</f>
        <v/>
      </c>
      <c r="BI1146">
        <f>$C1146*BI1145</f>
        <v/>
      </c>
      <c r="BJ1146">
        <f>$C1146*BJ1145</f>
        <v/>
      </c>
      <c r="BK1146">
        <f>$C1146*BK1145</f>
        <v/>
      </c>
      <c r="BL1146">
        <f>$C1146*BL1145</f>
        <v/>
      </c>
      <c r="BM1146">
        <f>$C1146*BM1145</f>
        <v/>
      </c>
      <c r="BN1146">
        <f>$C1146*BN1145</f>
        <v/>
      </c>
      <c r="BO1146">
        <f>$C1146*BO1145</f>
        <v/>
      </c>
      <c r="BP1146">
        <f>$C1146*BP1145</f>
        <v/>
      </c>
      <c r="BQ1146">
        <f>$C1146*BQ1145</f>
        <v/>
      </c>
      <c r="BR1146">
        <f>$C1146*BR1145</f>
        <v/>
      </c>
      <c r="BS1146">
        <f>$C1146*BS1145</f>
        <v/>
      </c>
      <c r="BT1146">
        <f>$C1146*BT1145</f>
        <v/>
      </c>
      <c r="BU1146">
        <f>$C1146*BU1145</f>
        <v/>
      </c>
      <c r="BV1146">
        <f>$C1146*BV1145</f>
        <v/>
      </c>
      <c r="BW1146">
        <f>$C1146*BW1145</f>
        <v/>
      </c>
      <c r="BX1146">
        <f>$C1146*BX1145</f>
        <v/>
      </c>
      <c r="BY1146">
        <f>$C1146*BY1145</f>
        <v/>
      </c>
      <c r="BZ1146">
        <f>$C1146*BZ1145</f>
        <v/>
      </c>
      <c r="CA1146">
        <f>$C1146*CA1145</f>
        <v/>
      </c>
      <c r="CB1146">
        <f>$C1146*CB1145</f>
        <v/>
      </c>
      <c r="CC1146">
        <f>$C1146*CC1145</f>
        <v/>
      </c>
      <c r="CD1146">
        <f>$C1146*CD1145</f>
        <v/>
      </c>
      <c r="CE1146">
        <f>$C1146*CE1145</f>
        <v/>
      </c>
      <c r="CF1146">
        <f>$C1146*CF1145</f>
        <v/>
      </c>
      <c r="CG1146">
        <f>$C1146*CG1145</f>
        <v/>
      </c>
      <c r="CH1146">
        <f>$C1146*CH1145</f>
        <v/>
      </c>
      <c r="CI1146">
        <f>$C1146*CI1145</f>
        <v/>
      </c>
      <c r="CJ1146">
        <f>$C1146*CJ1145</f>
        <v/>
      </c>
      <c r="CK1146">
        <f>$C1146*CK1145</f>
        <v/>
      </c>
      <c r="CL1146">
        <f>$C1146*CL1145</f>
        <v/>
      </c>
      <c r="CM1146">
        <f>$C1146*CM1145</f>
        <v/>
      </c>
      <c r="CN1146">
        <f>$C1146*CN1145</f>
        <v/>
      </c>
      <c r="CO1146">
        <f>$C1146*CO1145</f>
        <v/>
      </c>
      <c r="CP1146">
        <f>$C1146*CP1145</f>
        <v/>
      </c>
      <c r="CQ1146">
        <f>$C1146*CQ1145</f>
        <v/>
      </c>
      <c r="CR1146">
        <f>$C1146*CR1145</f>
        <v/>
      </c>
      <c r="CS1146">
        <f>$C1146*CS1145</f>
        <v/>
      </c>
      <c r="CT1146">
        <f>$C1146*CT1145</f>
        <v/>
      </c>
      <c r="CU1146">
        <f>$C1146*CU1145</f>
        <v/>
      </c>
      <c r="CV1146">
        <f>$C1146*CV1145</f>
        <v/>
      </c>
      <c r="CW1146">
        <f>$C1146*CW1145</f>
        <v/>
      </c>
      <c r="CX1146">
        <f>$C1146*CX1145</f>
        <v/>
      </c>
      <c r="CY1146">
        <f>$C1146*CY1145</f>
        <v/>
      </c>
      <c r="CZ1146">
        <f>$C1146*CZ1145</f>
        <v/>
      </c>
      <c r="DA1146">
        <f>$C1146*DA1145</f>
        <v/>
      </c>
      <c r="DB1146">
        <f>$C1146*DB1145</f>
        <v/>
      </c>
      <c r="DC1146">
        <f>$C1146*DC1145</f>
        <v/>
      </c>
    </row>
    <row r="1147">
      <c r="B1147" s="4" t="inlineStr">
        <is>
          <t>合計使用量(kg)/週</t>
        </is>
      </c>
      <c r="D1147">
        <f>'Grid_Requirement'!B29</f>
        <v/>
      </c>
      <c r="E1147">
        <f>'Grid_Requirement'!C29</f>
        <v/>
      </c>
      <c r="F1147">
        <f>'Grid_Requirement'!D29</f>
        <v/>
      </c>
      <c r="G1147">
        <f>'Grid_Requirement'!E29</f>
        <v/>
      </c>
      <c r="H1147">
        <f>'Grid_Requirement'!F29</f>
        <v/>
      </c>
      <c r="I1147">
        <f>'Grid_Requirement'!G29</f>
        <v/>
      </c>
      <c r="J1147">
        <f>'Grid_Requirement'!H29</f>
        <v/>
      </c>
      <c r="K1147">
        <f>'Grid_Requirement'!I29</f>
        <v/>
      </c>
      <c r="L1147">
        <f>'Grid_Requirement'!J29</f>
        <v/>
      </c>
      <c r="M1147">
        <f>'Grid_Requirement'!K29</f>
        <v/>
      </c>
      <c r="N1147">
        <f>'Grid_Requirement'!L29</f>
        <v/>
      </c>
      <c r="O1147">
        <f>'Grid_Requirement'!M29</f>
        <v/>
      </c>
      <c r="P1147">
        <f>'Grid_Requirement'!N29</f>
        <v/>
      </c>
      <c r="Q1147">
        <f>'Grid_Requirement'!O29</f>
        <v/>
      </c>
      <c r="R1147">
        <f>'Grid_Requirement'!P29</f>
        <v/>
      </c>
      <c r="S1147">
        <f>'Grid_Requirement'!Q29</f>
        <v/>
      </c>
      <c r="T1147">
        <f>'Grid_Requirement'!R29</f>
        <v/>
      </c>
      <c r="U1147">
        <f>'Grid_Requirement'!S29</f>
        <v/>
      </c>
      <c r="V1147">
        <f>'Grid_Requirement'!T29</f>
        <v/>
      </c>
      <c r="W1147">
        <f>'Grid_Requirement'!U29</f>
        <v/>
      </c>
      <c r="X1147">
        <f>'Grid_Requirement'!V29</f>
        <v/>
      </c>
      <c r="Y1147">
        <f>'Grid_Requirement'!W29</f>
        <v/>
      </c>
      <c r="Z1147">
        <f>'Grid_Requirement'!X29</f>
        <v/>
      </c>
      <c r="AA1147">
        <f>'Grid_Requirement'!Y29</f>
        <v/>
      </c>
      <c r="AB1147">
        <f>'Grid_Requirement'!Z29</f>
        <v/>
      </c>
      <c r="AC1147">
        <f>'Grid_Requirement'!AA29</f>
        <v/>
      </c>
      <c r="AD1147">
        <f>'Grid_Requirement'!AB29</f>
        <v/>
      </c>
      <c r="AE1147">
        <f>'Grid_Requirement'!AC29</f>
        <v/>
      </c>
      <c r="AF1147">
        <f>'Grid_Requirement'!AD29</f>
        <v/>
      </c>
      <c r="AG1147">
        <f>'Grid_Requirement'!AE29</f>
        <v/>
      </c>
      <c r="AH1147">
        <f>'Grid_Requirement'!AF29</f>
        <v/>
      </c>
      <c r="AI1147">
        <f>'Grid_Requirement'!AG29</f>
        <v/>
      </c>
      <c r="AJ1147">
        <f>'Grid_Requirement'!AH29</f>
        <v/>
      </c>
      <c r="AK1147">
        <f>'Grid_Requirement'!AI29</f>
        <v/>
      </c>
      <c r="AL1147">
        <f>'Grid_Requirement'!AJ29</f>
        <v/>
      </c>
      <c r="AM1147">
        <f>'Grid_Requirement'!AK29</f>
        <v/>
      </c>
      <c r="AN1147">
        <f>'Grid_Requirement'!AL29</f>
        <v/>
      </c>
      <c r="AO1147">
        <f>'Grid_Requirement'!AM29</f>
        <v/>
      </c>
      <c r="AP1147">
        <f>'Grid_Requirement'!AN29</f>
        <v/>
      </c>
      <c r="AQ1147">
        <f>'Grid_Requirement'!AO29</f>
        <v/>
      </c>
      <c r="AR1147">
        <f>'Grid_Requirement'!AP29</f>
        <v/>
      </c>
      <c r="AS1147">
        <f>'Grid_Requirement'!AQ29</f>
        <v/>
      </c>
      <c r="AT1147">
        <f>'Grid_Requirement'!AR29</f>
        <v/>
      </c>
      <c r="AU1147">
        <f>'Grid_Requirement'!AS29</f>
        <v/>
      </c>
      <c r="AV1147">
        <f>'Grid_Requirement'!AT29</f>
        <v/>
      </c>
      <c r="AW1147">
        <f>'Grid_Requirement'!AU29</f>
        <v/>
      </c>
      <c r="AX1147">
        <f>'Grid_Requirement'!AV29</f>
        <v/>
      </c>
      <c r="AY1147">
        <f>'Grid_Requirement'!AW29</f>
        <v/>
      </c>
      <c r="AZ1147">
        <f>'Grid_Requirement'!AX29</f>
        <v/>
      </c>
      <c r="BA1147">
        <f>'Grid_Requirement'!AY29</f>
        <v/>
      </c>
      <c r="BB1147">
        <f>'Grid_Requirement'!AZ29</f>
        <v/>
      </c>
      <c r="BC1147">
        <f>'Grid_Requirement'!BA29</f>
        <v/>
      </c>
      <c r="BD1147">
        <f>'Grid_Requirement'!BB29</f>
        <v/>
      </c>
      <c r="BE1147">
        <f>'Grid_Requirement'!BC29</f>
        <v/>
      </c>
      <c r="BF1147">
        <f>'Grid_Requirement'!BD29</f>
        <v/>
      </c>
      <c r="BG1147">
        <f>'Grid_Requirement'!BE29</f>
        <v/>
      </c>
      <c r="BH1147">
        <f>'Grid_Requirement'!BF29</f>
        <v/>
      </c>
      <c r="BI1147">
        <f>'Grid_Requirement'!BG29</f>
        <v/>
      </c>
      <c r="BJ1147">
        <f>'Grid_Requirement'!BH29</f>
        <v/>
      </c>
      <c r="BK1147">
        <f>'Grid_Requirement'!BI29</f>
        <v/>
      </c>
      <c r="BL1147">
        <f>'Grid_Requirement'!BJ29</f>
        <v/>
      </c>
      <c r="BM1147">
        <f>'Grid_Requirement'!BK29</f>
        <v/>
      </c>
      <c r="BN1147">
        <f>'Grid_Requirement'!BL29</f>
        <v/>
      </c>
      <c r="BO1147">
        <f>'Grid_Requirement'!BM29</f>
        <v/>
      </c>
      <c r="BP1147">
        <f>'Grid_Requirement'!BN29</f>
        <v/>
      </c>
      <c r="BQ1147">
        <f>'Grid_Requirement'!BO29</f>
        <v/>
      </c>
      <c r="BR1147">
        <f>'Grid_Requirement'!BP29</f>
        <v/>
      </c>
      <c r="BS1147">
        <f>'Grid_Requirement'!BQ29</f>
        <v/>
      </c>
      <c r="BT1147">
        <f>'Grid_Requirement'!BR29</f>
        <v/>
      </c>
      <c r="BU1147">
        <f>'Grid_Requirement'!BS29</f>
        <v/>
      </c>
      <c r="BV1147">
        <f>'Grid_Requirement'!BT29</f>
        <v/>
      </c>
      <c r="BW1147">
        <f>'Grid_Requirement'!BU29</f>
        <v/>
      </c>
      <c r="BX1147">
        <f>'Grid_Requirement'!BV29</f>
        <v/>
      </c>
      <c r="BY1147">
        <f>'Grid_Requirement'!BW29</f>
        <v/>
      </c>
      <c r="BZ1147">
        <f>'Grid_Requirement'!BX29</f>
        <v/>
      </c>
      <c r="CA1147">
        <f>'Grid_Requirement'!BY29</f>
        <v/>
      </c>
      <c r="CB1147">
        <f>'Grid_Requirement'!BZ29</f>
        <v/>
      </c>
      <c r="CC1147">
        <f>'Grid_Requirement'!CA29</f>
        <v/>
      </c>
      <c r="CD1147">
        <f>'Grid_Requirement'!CB29</f>
        <v/>
      </c>
      <c r="CE1147">
        <f>'Grid_Requirement'!CC29</f>
        <v/>
      </c>
      <c r="CF1147">
        <f>'Grid_Requirement'!CD29</f>
        <v/>
      </c>
      <c r="CG1147">
        <f>'Grid_Requirement'!CE29</f>
        <v/>
      </c>
      <c r="CH1147">
        <f>'Grid_Requirement'!CF29</f>
        <v/>
      </c>
      <c r="CI1147">
        <f>'Grid_Requirement'!CG29</f>
        <v/>
      </c>
      <c r="CJ1147">
        <f>'Grid_Requirement'!CH29</f>
        <v/>
      </c>
      <c r="CK1147">
        <f>'Grid_Requirement'!CI29</f>
        <v/>
      </c>
      <c r="CL1147">
        <f>'Grid_Requirement'!CJ29</f>
        <v/>
      </c>
      <c r="CM1147">
        <f>'Grid_Requirement'!CK29</f>
        <v/>
      </c>
      <c r="CN1147">
        <f>'Grid_Requirement'!CL29</f>
        <v/>
      </c>
      <c r="CO1147">
        <f>'Grid_Requirement'!CM29</f>
        <v/>
      </c>
      <c r="CP1147">
        <f>'Grid_Requirement'!CN29</f>
        <v/>
      </c>
      <c r="CQ1147">
        <f>'Grid_Requirement'!CO29</f>
        <v/>
      </c>
      <c r="CR1147">
        <f>'Grid_Requirement'!CP29</f>
        <v/>
      </c>
      <c r="CS1147">
        <f>'Grid_Requirement'!CQ29</f>
        <v/>
      </c>
      <c r="CT1147">
        <f>'Grid_Requirement'!CR29</f>
        <v/>
      </c>
      <c r="CU1147">
        <f>'Grid_Requirement'!CS29</f>
        <v/>
      </c>
      <c r="CV1147">
        <f>'Grid_Requirement'!CT29</f>
        <v/>
      </c>
      <c r="CW1147">
        <f>'Grid_Requirement'!CU29</f>
        <v/>
      </c>
      <c r="CX1147">
        <f>'Grid_Requirement'!CV29</f>
        <v/>
      </c>
      <c r="CY1147">
        <f>'Grid_Requirement'!CW29</f>
        <v/>
      </c>
      <c r="CZ1147">
        <f>'Grid_Requirement'!CX29</f>
        <v/>
      </c>
      <c r="DA1147">
        <f>'Grid_Requirement'!CY29</f>
        <v/>
      </c>
      <c r="DB1147">
        <f>'Grid_Requirement'!CZ29</f>
        <v/>
      </c>
      <c r="DC1147">
        <f>'Grid_Requirement'!DA29</f>
        <v/>
      </c>
    </row>
    <row r="1148">
      <c r="B1148" t="inlineStr">
        <is>
          <t>TTAF在庫(実績,kg)</t>
        </is>
      </c>
      <c r="D1148">
        <f>'T_TTAFStock'!B33</f>
        <v/>
      </c>
      <c r="E1148">
        <f>'T_TTAFStock'!C33</f>
        <v/>
      </c>
      <c r="F1148">
        <f>'T_TTAFStock'!D33</f>
        <v/>
      </c>
      <c r="G1148">
        <f>'T_TTAFStock'!E33</f>
        <v/>
      </c>
      <c r="H1148">
        <f>'T_TTAFStock'!F33</f>
        <v/>
      </c>
      <c r="I1148">
        <f>'T_TTAFStock'!G33</f>
        <v/>
      </c>
      <c r="J1148">
        <f>'T_TTAFStock'!H33</f>
        <v/>
      </c>
      <c r="K1148">
        <f>'T_TTAFStock'!I33</f>
        <v/>
      </c>
      <c r="L1148">
        <f>'T_TTAFStock'!J33</f>
        <v/>
      </c>
      <c r="M1148">
        <f>'T_TTAFStock'!K33</f>
        <v/>
      </c>
      <c r="N1148">
        <f>'T_TTAFStock'!L33</f>
        <v/>
      </c>
      <c r="O1148">
        <f>'T_TTAFStock'!M33</f>
        <v/>
      </c>
      <c r="P1148">
        <f>'T_TTAFStock'!N33</f>
        <v/>
      </c>
      <c r="Q1148">
        <f>'T_TTAFStock'!O33</f>
        <v/>
      </c>
      <c r="R1148">
        <f>'T_TTAFStock'!P33</f>
        <v/>
      </c>
      <c r="S1148">
        <f>'T_TTAFStock'!Q33</f>
        <v/>
      </c>
      <c r="T1148">
        <f>'T_TTAFStock'!R33</f>
        <v/>
      </c>
      <c r="U1148">
        <f>'T_TTAFStock'!S33</f>
        <v/>
      </c>
      <c r="V1148">
        <f>'T_TTAFStock'!T33</f>
        <v/>
      </c>
      <c r="W1148">
        <f>'T_TTAFStock'!U33</f>
        <v/>
      </c>
      <c r="X1148">
        <f>'T_TTAFStock'!V33</f>
        <v/>
      </c>
      <c r="Y1148">
        <f>'T_TTAFStock'!W33</f>
        <v/>
      </c>
      <c r="Z1148">
        <f>'T_TTAFStock'!X33</f>
        <v/>
      </c>
      <c r="AA1148">
        <f>'T_TTAFStock'!Y33</f>
        <v/>
      </c>
      <c r="AB1148">
        <f>'T_TTAFStock'!Z33</f>
        <v/>
      </c>
      <c r="AC1148">
        <f>'T_TTAFStock'!AA33</f>
        <v/>
      </c>
      <c r="AD1148">
        <f>'T_TTAFStock'!AB33</f>
        <v/>
      </c>
      <c r="AE1148">
        <f>'T_TTAFStock'!AC33</f>
        <v/>
      </c>
      <c r="AF1148">
        <f>'T_TTAFStock'!AD33</f>
        <v/>
      </c>
      <c r="AG1148">
        <f>'T_TTAFStock'!AE33</f>
        <v/>
      </c>
      <c r="AH1148">
        <f>'T_TTAFStock'!AF33</f>
        <v/>
      </c>
      <c r="AI1148">
        <f>'T_TTAFStock'!AG33</f>
        <v/>
      </c>
      <c r="AJ1148">
        <f>'T_TTAFStock'!AH33</f>
        <v/>
      </c>
      <c r="AK1148">
        <f>'T_TTAFStock'!AI33</f>
        <v/>
      </c>
      <c r="AL1148">
        <f>'T_TTAFStock'!AJ33</f>
        <v/>
      </c>
      <c r="AM1148">
        <f>'T_TTAFStock'!AK33</f>
        <v/>
      </c>
      <c r="AN1148">
        <f>'T_TTAFStock'!AL33</f>
        <v/>
      </c>
      <c r="AO1148">
        <f>'T_TTAFStock'!AM33</f>
        <v/>
      </c>
      <c r="AP1148">
        <f>'T_TTAFStock'!AN33</f>
        <v/>
      </c>
      <c r="AQ1148">
        <f>'T_TTAFStock'!AO33</f>
        <v/>
      </c>
      <c r="AR1148">
        <f>'T_TTAFStock'!AP33</f>
        <v/>
      </c>
      <c r="AS1148">
        <f>'T_TTAFStock'!AQ33</f>
        <v/>
      </c>
      <c r="AT1148">
        <f>'T_TTAFStock'!AR33</f>
        <v/>
      </c>
      <c r="AU1148">
        <f>'T_TTAFStock'!AS33</f>
        <v/>
      </c>
      <c r="AV1148">
        <f>'T_TTAFStock'!AT33</f>
        <v/>
      </c>
      <c r="AW1148">
        <f>'T_TTAFStock'!AU33</f>
        <v/>
      </c>
      <c r="AX1148">
        <f>'T_TTAFStock'!AV33</f>
        <v/>
      </c>
      <c r="AY1148">
        <f>'T_TTAFStock'!AW33</f>
        <v/>
      </c>
      <c r="AZ1148">
        <f>'T_TTAFStock'!AX33</f>
        <v/>
      </c>
      <c r="BA1148">
        <f>'T_TTAFStock'!AY33</f>
        <v/>
      </c>
      <c r="BB1148">
        <f>'T_TTAFStock'!AZ33</f>
        <v/>
      </c>
      <c r="BC1148">
        <f>'T_TTAFStock'!BA33</f>
        <v/>
      </c>
      <c r="BD1148">
        <f>'T_TTAFStock'!BB33</f>
        <v/>
      </c>
      <c r="BE1148">
        <f>'T_TTAFStock'!BC33</f>
        <v/>
      </c>
      <c r="BF1148">
        <f>'T_TTAFStock'!BD33</f>
        <v/>
      </c>
      <c r="BG1148">
        <f>'T_TTAFStock'!BE33</f>
        <v/>
      </c>
      <c r="BH1148">
        <f>'T_TTAFStock'!BF33</f>
        <v/>
      </c>
      <c r="BI1148">
        <f>'T_TTAFStock'!BG33</f>
        <v/>
      </c>
      <c r="BJ1148">
        <f>'T_TTAFStock'!BH33</f>
        <v/>
      </c>
      <c r="BK1148">
        <f>'T_TTAFStock'!BI33</f>
        <v/>
      </c>
      <c r="BL1148">
        <f>'T_TTAFStock'!BJ33</f>
        <v/>
      </c>
      <c r="BM1148">
        <f>'T_TTAFStock'!BK33</f>
        <v/>
      </c>
      <c r="BN1148">
        <f>'T_TTAFStock'!BL33</f>
        <v/>
      </c>
      <c r="BO1148">
        <f>'T_TTAFStock'!BM33</f>
        <v/>
      </c>
      <c r="BP1148">
        <f>'T_TTAFStock'!BN33</f>
        <v/>
      </c>
      <c r="BQ1148">
        <f>'T_TTAFStock'!BO33</f>
        <v/>
      </c>
      <c r="BR1148">
        <f>'T_TTAFStock'!BP33</f>
        <v/>
      </c>
      <c r="BS1148">
        <f>'T_TTAFStock'!BQ33</f>
        <v/>
      </c>
      <c r="BT1148">
        <f>'T_TTAFStock'!BR33</f>
        <v/>
      </c>
      <c r="BU1148">
        <f>'T_TTAFStock'!BS33</f>
        <v/>
      </c>
      <c r="BV1148">
        <f>'T_TTAFStock'!BT33</f>
        <v/>
      </c>
      <c r="BW1148">
        <f>'T_TTAFStock'!BU33</f>
        <v/>
      </c>
      <c r="BX1148">
        <f>'T_TTAFStock'!BV33</f>
        <v/>
      </c>
      <c r="BY1148">
        <f>'T_TTAFStock'!BW33</f>
        <v/>
      </c>
      <c r="BZ1148">
        <f>'T_TTAFStock'!BX33</f>
        <v/>
      </c>
      <c r="CA1148">
        <f>'T_TTAFStock'!BY33</f>
        <v/>
      </c>
      <c r="CB1148">
        <f>'T_TTAFStock'!BZ33</f>
        <v/>
      </c>
      <c r="CC1148">
        <f>'T_TTAFStock'!CA33</f>
        <v/>
      </c>
      <c r="CD1148">
        <f>'T_TTAFStock'!CB33</f>
        <v/>
      </c>
      <c r="CE1148">
        <f>'T_TTAFStock'!CC33</f>
        <v/>
      </c>
      <c r="CF1148">
        <f>'T_TTAFStock'!CD33</f>
        <v/>
      </c>
      <c r="CG1148">
        <f>'T_TTAFStock'!CE33</f>
        <v/>
      </c>
      <c r="CH1148">
        <f>'T_TTAFStock'!CF33</f>
        <v/>
      </c>
      <c r="CI1148">
        <f>'T_TTAFStock'!CG33</f>
        <v/>
      </c>
      <c r="CJ1148">
        <f>'T_TTAFStock'!CH33</f>
        <v/>
      </c>
      <c r="CK1148">
        <f>'T_TTAFStock'!CI33</f>
        <v/>
      </c>
      <c r="CL1148">
        <f>'T_TTAFStock'!CJ33</f>
        <v/>
      </c>
      <c r="CM1148">
        <f>'T_TTAFStock'!CK33</f>
        <v/>
      </c>
      <c r="CN1148">
        <f>'T_TTAFStock'!CL33</f>
        <v/>
      </c>
      <c r="CO1148">
        <f>'T_TTAFStock'!CM33</f>
        <v/>
      </c>
      <c r="CP1148">
        <f>'T_TTAFStock'!CN33</f>
        <v/>
      </c>
      <c r="CQ1148">
        <f>'T_TTAFStock'!CO33</f>
        <v/>
      </c>
      <c r="CR1148">
        <f>'T_TTAFStock'!CP33</f>
        <v/>
      </c>
      <c r="CS1148">
        <f>'T_TTAFStock'!CQ33</f>
        <v/>
      </c>
      <c r="CT1148">
        <f>'T_TTAFStock'!CR33</f>
        <v/>
      </c>
      <c r="CU1148">
        <f>'T_TTAFStock'!CS33</f>
        <v/>
      </c>
      <c r="CV1148">
        <f>'T_TTAFStock'!CT33</f>
        <v/>
      </c>
      <c r="CW1148">
        <f>'T_TTAFStock'!CU33</f>
        <v/>
      </c>
      <c r="CX1148">
        <f>'T_TTAFStock'!CV33</f>
        <v/>
      </c>
      <c r="CY1148">
        <f>'T_TTAFStock'!CW33</f>
        <v/>
      </c>
      <c r="CZ1148">
        <f>'T_TTAFStock'!CX33</f>
        <v/>
      </c>
      <c r="DA1148">
        <f>'T_TTAFStock'!CY33</f>
        <v/>
      </c>
      <c r="DB1148">
        <f>'T_TTAFStock'!CZ33</f>
        <v/>
      </c>
      <c r="DC1148">
        <f>'T_TTAFStock'!DA33</f>
        <v/>
      </c>
    </row>
    <row r="1149">
      <c r="B1149" t="inlineStr">
        <is>
          <t>自社在庫(実績,kg)</t>
        </is>
      </c>
      <c r="D1149">
        <f>'T_SelfStock'!B33</f>
        <v/>
      </c>
      <c r="E1149">
        <f>'T_SelfStock'!C33</f>
        <v/>
      </c>
      <c r="F1149">
        <f>'T_SelfStock'!D33</f>
        <v/>
      </c>
      <c r="G1149">
        <f>'T_SelfStock'!E33</f>
        <v/>
      </c>
      <c r="H1149">
        <f>'T_SelfStock'!F33</f>
        <v/>
      </c>
      <c r="I1149">
        <f>'T_SelfStock'!G33</f>
        <v/>
      </c>
      <c r="J1149">
        <f>'T_SelfStock'!H33</f>
        <v/>
      </c>
      <c r="K1149">
        <f>'T_SelfStock'!I33</f>
        <v/>
      </c>
      <c r="L1149">
        <f>'T_SelfStock'!J33</f>
        <v/>
      </c>
      <c r="M1149">
        <f>'T_SelfStock'!K33</f>
        <v/>
      </c>
      <c r="N1149">
        <f>'T_SelfStock'!L33</f>
        <v/>
      </c>
      <c r="O1149">
        <f>'T_SelfStock'!M33</f>
        <v/>
      </c>
      <c r="P1149">
        <f>'T_SelfStock'!N33</f>
        <v/>
      </c>
      <c r="Q1149">
        <f>'T_SelfStock'!O33</f>
        <v/>
      </c>
      <c r="R1149">
        <f>'T_SelfStock'!P33</f>
        <v/>
      </c>
      <c r="S1149">
        <f>'T_SelfStock'!Q33</f>
        <v/>
      </c>
      <c r="T1149">
        <f>'T_SelfStock'!R33</f>
        <v/>
      </c>
      <c r="U1149">
        <f>'T_SelfStock'!S33</f>
        <v/>
      </c>
      <c r="V1149">
        <f>'T_SelfStock'!T33</f>
        <v/>
      </c>
      <c r="W1149">
        <f>'T_SelfStock'!U33</f>
        <v/>
      </c>
      <c r="X1149">
        <f>'T_SelfStock'!V33</f>
        <v/>
      </c>
      <c r="Y1149">
        <f>'T_SelfStock'!W33</f>
        <v/>
      </c>
      <c r="Z1149">
        <f>'T_SelfStock'!X33</f>
        <v/>
      </c>
      <c r="AA1149">
        <f>'T_SelfStock'!Y33</f>
        <v/>
      </c>
      <c r="AB1149">
        <f>'T_SelfStock'!Z33</f>
        <v/>
      </c>
      <c r="AC1149">
        <f>'T_SelfStock'!AA33</f>
        <v/>
      </c>
      <c r="AD1149">
        <f>'T_SelfStock'!AB33</f>
        <v/>
      </c>
      <c r="AE1149">
        <f>'T_SelfStock'!AC33</f>
        <v/>
      </c>
      <c r="AF1149">
        <f>'T_SelfStock'!AD33</f>
        <v/>
      </c>
      <c r="AG1149">
        <f>'T_SelfStock'!AE33</f>
        <v/>
      </c>
      <c r="AH1149">
        <f>'T_SelfStock'!AF33</f>
        <v/>
      </c>
      <c r="AI1149">
        <f>'T_SelfStock'!AG33</f>
        <v/>
      </c>
      <c r="AJ1149">
        <f>'T_SelfStock'!AH33</f>
        <v/>
      </c>
      <c r="AK1149">
        <f>'T_SelfStock'!AI33</f>
        <v/>
      </c>
      <c r="AL1149">
        <f>'T_SelfStock'!AJ33</f>
        <v/>
      </c>
      <c r="AM1149">
        <f>'T_SelfStock'!AK33</f>
        <v/>
      </c>
      <c r="AN1149">
        <f>'T_SelfStock'!AL33</f>
        <v/>
      </c>
      <c r="AO1149">
        <f>'T_SelfStock'!AM33</f>
        <v/>
      </c>
      <c r="AP1149">
        <f>'T_SelfStock'!AN33</f>
        <v/>
      </c>
      <c r="AQ1149">
        <f>'T_SelfStock'!AO33</f>
        <v/>
      </c>
      <c r="AR1149">
        <f>'T_SelfStock'!AP33</f>
        <v/>
      </c>
      <c r="AS1149">
        <f>'T_SelfStock'!AQ33</f>
        <v/>
      </c>
      <c r="AT1149">
        <f>'T_SelfStock'!AR33</f>
        <v/>
      </c>
      <c r="AU1149">
        <f>'T_SelfStock'!AS33</f>
        <v/>
      </c>
      <c r="AV1149">
        <f>'T_SelfStock'!AT33</f>
        <v/>
      </c>
      <c r="AW1149">
        <f>'T_SelfStock'!AU33</f>
        <v/>
      </c>
      <c r="AX1149">
        <f>'T_SelfStock'!AV33</f>
        <v/>
      </c>
      <c r="AY1149">
        <f>'T_SelfStock'!AW33</f>
        <v/>
      </c>
      <c r="AZ1149">
        <f>'T_SelfStock'!AX33</f>
        <v/>
      </c>
      <c r="BA1149">
        <f>'T_SelfStock'!AY33</f>
        <v/>
      </c>
      <c r="BB1149">
        <f>'T_SelfStock'!AZ33</f>
        <v/>
      </c>
      <c r="BC1149">
        <f>'T_SelfStock'!BA33</f>
        <v/>
      </c>
      <c r="BD1149">
        <f>'T_SelfStock'!BB33</f>
        <v/>
      </c>
      <c r="BE1149">
        <f>'T_SelfStock'!BC33</f>
        <v/>
      </c>
      <c r="BF1149">
        <f>'T_SelfStock'!BD33</f>
        <v/>
      </c>
      <c r="BG1149">
        <f>'T_SelfStock'!BE33</f>
        <v/>
      </c>
      <c r="BH1149">
        <f>'T_SelfStock'!BF33</f>
        <v/>
      </c>
      <c r="BI1149">
        <f>'T_SelfStock'!BG33</f>
        <v/>
      </c>
      <c r="BJ1149">
        <f>'T_SelfStock'!BH33</f>
        <v/>
      </c>
      <c r="BK1149">
        <f>'T_SelfStock'!BI33</f>
        <v/>
      </c>
      <c r="BL1149">
        <f>'T_SelfStock'!BJ33</f>
        <v/>
      </c>
      <c r="BM1149">
        <f>'T_SelfStock'!BK33</f>
        <v/>
      </c>
      <c r="BN1149">
        <f>'T_SelfStock'!BL33</f>
        <v/>
      </c>
      <c r="BO1149">
        <f>'T_SelfStock'!BM33</f>
        <v/>
      </c>
      <c r="BP1149">
        <f>'T_SelfStock'!BN33</f>
        <v/>
      </c>
      <c r="BQ1149">
        <f>'T_SelfStock'!BO33</f>
        <v/>
      </c>
      <c r="BR1149">
        <f>'T_SelfStock'!BP33</f>
        <v/>
      </c>
      <c r="BS1149">
        <f>'T_SelfStock'!BQ33</f>
        <v/>
      </c>
      <c r="BT1149">
        <f>'T_SelfStock'!BR33</f>
        <v/>
      </c>
      <c r="BU1149">
        <f>'T_SelfStock'!BS33</f>
        <v/>
      </c>
      <c r="BV1149">
        <f>'T_SelfStock'!BT33</f>
        <v/>
      </c>
      <c r="BW1149">
        <f>'T_SelfStock'!BU33</f>
        <v/>
      </c>
      <c r="BX1149">
        <f>'T_SelfStock'!BV33</f>
        <v/>
      </c>
      <c r="BY1149">
        <f>'T_SelfStock'!BW33</f>
        <v/>
      </c>
      <c r="BZ1149">
        <f>'T_SelfStock'!BX33</f>
        <v/>
      </c>
      <c r="CA1149">
        <f>'T_SelfStock'!BY33</f>
        <v/>
      </c>
      <c r="CB1149">
        <f>'T_SelfStock'!BZ33</f>
        <v/>
      </c>
      <c r="CC1149">
        <f>'T_SelfStock'!CA33</f>
        <v/>
      </c>
      <c r="CD1149">
        <f>'T_SelfStock'!CB33</f>
        <v/>
      </c>
      <c r="CE1149">
        <f>'T_SelfStock'!CC33</f>
        <v/>
      </c>
      <c r="CF1149">
        <f>'T_SelfStock'!CD33</f>
        <v/>
      </c>
      <c r="CG1149">
        <f>'T_SelfStock'!CE33</f>
        <v/>
      </c>
      <c r="CH1149">
        <f>'T_SelfStock'!CF33</f>
        <v/>
      </c>
      <c r="CI1149">
        <f>'T_SelfStock'!CG33</f>
        <v/>
      </c>
      <c r="CJ1149">
        <f>'T_SelfStock'!CH33</f>
        <v/>
      </c>
      <c r="CK1149">
        <f>'T_SelfStock'!CI33</f>
        <v/>
      </c>
      <c r="CL1149">
        <f>'T_SelfStock'!CJ33</f>
        <v/>
      </c>
      <c r="CM1149">
        <f>'T_SelfStock'!CK33</f>
        <v/>
      </c>
      <c r="CN1149">
        <f>'T_SelfStock'!CL33</f>
        <v/>
      </c>
      <c r="CO1149">
        <f>'T_SelfStock'!CM33</f>
        <v/>
      </c>
      <c r="CP1149">
        <f>'T_SelfStock'!CN33</f>
        <v/>
      </c>
      <c r="CQ1149">
        <f>'T_SelfStock'!CO33</f>
        <v/>
      </c>
      <c r="CR1149">
        <f>'T_SelfStock'!CP33</f>
        <v/>
      </c>
      <c r="CS1149">
        <f>'T_SelfStock'!CQ33</f>
        <v/>
      </c>
      <c r="CT1149">
        <f>'T_SelfStock'!CR33</f>
        <v/>
      </c>
      <c r="CU1149">
        <f>'T_SelfStock'!CS33</f>
        <v/>
      </c>
      <c r="CV1149">
        <f>'T_SelfStock'!CT33</f>
        <v/>
      </c>
      <c r="CW1149">
        <f>'T_SelfStock'!CU33</f>
        <v/>
      </c>
      <c r="CX1149">
        <f>'T_SelfStock'!CV33</f>
        <v/>
      </c>
      <c r="CY1149">
        <f>'T_SelfStock'!CW33</f>
        <v/>
      </c>
      <c r="CZ1149">
        <f>'T_SelfStock'!CX33</f>
        <v/>
      </c>
      <c r="DA1149">
        <f>'T_SelfStock'!CY33</f>
        <v/>
      </c>
      <c r="DB1149">
        <f>'T_SelfStock'!CZ33</f>
        <v/>
      </c>
      <c r="DC1149">
        <f>'T_SelfStock'!DA33</f>
        <v/>
      </c>
    </row>
    <row r="1150">
      <c r="B1150" s="4" t="inlineStr">
        <is>
          <t>合計在庫(週末時点,kg)</t>
        </is>
      </c>
      <c r="D1150">
        <f>'Grid_Stock'!B29</f>
        <v/>
      </c>
      <c r="E1150">
        <f>'Grid_Stock'!C29</f>
        <v/>
      </c>
      <c r="F1150">
        <f>'Grid_Stock'!D29</f>
        <v/>
      </c>
      <c r="G1150">
        <f>'Grid_Stock'!E29</f>
        <v/>
      </c>
      <c r="H1150">
        <f>'Grid_Stock'!F29</f>
        <v/>
      </c>
      <c r="I1150">
        <f>'Grid_Stock'!G29</f>
        <v/>
      </c>
      <c r="J1150">
        <f>'Grid_Stock'!H29</f>
        <v/>
      </c>
      <c r="K1150">
        <f>'Grid_Stock'!I29</f>
        <v/>
      </c>
      <c r="L1150">
        <f>'Grid_Stock'!J29</f>
        <v/>
      </c>
      <c r="M1150">
        <f>'Grid_Stock'!K29</f>
        <v/>
      </c>
      <c r="N1150">
        <f>'Grid_Stock'!L29</f>
        <v/>
      </c>
      <c r="O1150">
        <f>'Grid_Stock'!M29</f>
        <v/>
      </c>
      <c r="P1150">
        <f>'Grid_Stock'!N29</f>
        <v/>
      </c>
      <c r="Q1150">
        <f>'Grid_Stock'!O29</f>
        <v/>
      </c>
      <c r="R1150">
        <f>'Grid_Stock'!P29</f>
        <v/>
      </c>
      <c r="S1150">
        <f>'Grid_Stock'!Q29</f>
        <v/>
      </c>
      <c r="T1150">
        <f>'Grid_Stock'!R29</f>
        <v/>
      </c>
      <c r="U1150">
        <f>'Grid_Stock'!S29</f>
        <v/>
      </c>
      <c r="V1150">
        <f>'Grid_Stock'!T29</f>
        <v/>
      </c>
      <c r="W1150">
        <f>'Grid_Stock'!U29</f>
        <v/>
      </c>
      <c r="X1150">
        <f>'Grid_Stock'!V29</f>
        <v/>
      </c>
      <c r="Y1150">
        <f>'Grid_Stock'!W29</f>
        <v/>
      </c>
      <c r="Z1150">
        <f>'Grid_Stock'!X29</f>
        <v/>
      </c>
      <c r="AA1150">
        <f>'Grid_Stock'!Y29</f>
        <v/>
      </c>
      <c r="AB1150">
        <f>'Grid_Stock'!Z29</f>
        <v/>
      </c>
      <c r="AC1150">
        <f>'Grid_Stock'!AA29</f>
        <v/>
      </c>
      <c r="AD1150">
        <f>'Grid_Stock'!AB29</f>
        <v/>
      </c>
      <c r="AE1150">
        <f>'Grid_Stock'!AC29</f>
        <v/>
      </c>
      <c r="AF1150">
        <f>'Grid_Stock'!AD29</f>
        <v/>
      </c>
      <c r="AG1150">
        <f>'Grid_Stock'!AE29</f>
        <v/>
      </c>
      <c r="AH1150">
        <f>'Grid_Stock'!AF29</f>
        <v/>
      </c>
      <c r="AI1150">
        <f>'Grid_Stock'!AG29</f>
        <v/>
      </c>
      <c r="AJ1150">
        <f>'Grid_Stock'!AH29</f>
        <v/>
      </c>
      <c r="AK1150">
        <f>'Grid_Stock'!AI29</f>
        <v/>
      </c>
      <c r="AL1150">
        <f>'Grid_Stock'!AJ29</f>
        <v/>
      </c>
      <c r="AM1150">
        <f>'Grid_Stock'!AK29</f>
        <v/>
      </c>
      <c r="AN1150">
        <f>'Grid_Stock'!AL29</f>
        <v/>
      </c>
      <c r="AO1150">
        <f>'Grid_Stock'!AM29</f>
        <v/>
      </c>
      <c r="AP1150">
        <f>'Grid_Stock'!AN29</f>
        <v/>
      </c>
      <c r="AQ1150">
        <f>'Grid_Stock'!AO29</f>
        <v/>
      </c>
      <c r="AR1150">
        <f>'Grid_Stock'!AP29</f>
        <v/>
      </c>
      <c r="AS1150">
        <f>'Grid_Stock'!AQ29</f>
        <v/>
      </c>
      <c r="AT1150">
        <f>'Grid_Stock'!AR29</f>
        <v/>
      </c>
      <c r="AU1150">
        <f>'Grid_Stock'!AS29</f>
        <v/>
      </c>
      <c r="AV1150">
        <f>'Grid_Stock'!AT29</f>
        <v/>
      </c>
      <c r="AW1150">
        <f>'Grid_Stock'!AU29</f>
        <v/>
      </c>
      <c r="AX1150">
        <f>'Grid_Stock'!AV29</f>
        <v/>
      </c>
      <c r="AY1150">
        <f>'Grid_Stock'!AW29</f>
        <v/>
      </c>
      <c r="AZ1150">
        <f>'Grid_Stock'!AX29</f>
        <v/>
      </c>
      <c r="BA1150">
        <f>'Grid_Stock'!AY29</f>
        <v/>
      </c>
      <c r="BB1150">
        <f>'Grid_Stock'!AZ29</f>
        <v/>
      </c>
      <c r="BC1150">
        <f>'Grid_Stock'!BA29</f>
        <v/>
      </c>
      <c r="BD1150">
        <f>'Grid_Stock'!BB29</f>
        <v/>
      </c>
      <c r="BE1150">
        <f>'Grid_Stock'!BC29</f>
        <v/>
      </c>
      <c r="BF1150">
        <f>'Grid_Stock'!BD29</f>
        <v/>
      </c>
      <c r="BG1150">
        <f>'Grid_Stock'!BE29</f>
        <v/>
      </c>
      <c r="BH1150">
        <f>'Grid_Stock'!BF29</f>
        <v/>
      </c>
      <c r="BI1150">
        <f>'Grid_Stock'!BG29</f>
        <v/>
      </c>
      <c r="BJ1150">
        <f>'Grid_Stock'!BH29</f>
        <v/>
      </c>
      <c r="BK1150">
        <f>'Grid_Stock'!BI29</f>
        <v/>
      </c>
      <c r="BL1150">
        <f>'Grid_Stock'!BJ29</f>
        <v/>
      </c>
      <c r="BM1150">
        <f>'Grid_Stock'!BK29</f>
        <v/>
      </c>
      <c r="BN1150">
        <f>'Grid_Stock'!BL29</f>
        <v/>
      </c>
      <c r="BO1150">
        <f>'Grid_Stock'!BM29</f>
        <v/>
      </c>
      <c r="BP1150">
        <f>'Grid_Stock'!BN29</f>
        <v/>
      </c>
      <c r="BQ1150">
        <f>'Grid_Stock'!BO29</f>
        <v/>
      </c>
      <c r="BR1150">
        <f>'Grid_Stock'!BP29</f>
        <v/>
      </c>
      <c r="BS1150">
        <f>'Grid_Stock'!BQ29</f>
        <v/>
      </c>
      <c r="BT1150">
        <f>'Grid_Stock'!BR29</f>
        <v/>
      </c>
      <c r="BU1150">
        <f>'Grid_Stock'!BS29</f>
        <v/>
      </c>
      <c r="BV1150">
        <f>'Grid_Stock'!BT29</f>
        <v/>
      </c>
      <c r="BW1150">
        <f>'Grid_Stock'!BU29</f>
        <v/>
      </c>
      <c r="BX1150">
        <f>'Grid_Stock'!BV29</f>
        <v/>
      </c>
      <c r="BY1150">
        <f>'Grid_Stock'!BW29</f>
        <v/>
      </c>
      <c r="BZ1150">
        <f>'Grid_Stock'!BX29</f>
        <v/>
      </c>
      <c r="CA1150">
        <f>'Grid_Stock'!BY29</f>
        <v/>
      </c>
      <c r="CB1150">
        <f>'Grid_Stock'!BZ29</f>
        <v/>
      </c>
      <c r="CC1150">
        <f>'Grid_Stock'!CA29</f>
        <v/>
      </c>
      <c r="CD1150">
        <f>'Grid_Stock'!CB29</f>
        <v/>
      </c>
      <c r="CE1150">
        <f>'Grid_Stock'!CC29</f>
        <v/>
      </c>
      <c r="CF1150">
        <f>'Grid_Stock'!CD29</f>
        <v/>
      </c>
      <c r="CG1150">
        <f>'Grid_Stock'!CE29</f>
        <v/>
      </c>
      <c r="CH1150">
        <f>'Grid_Stock'!CF29</f>
        <v/>
      </c>
      <c r="CI1150">
        <f>'Grid_Stock'!CG29</f>
        <v/>
      </c>
      <c r="CJ1150">
        <f>'Grid_Stock'!CH29</f>
        <v/>
      </c>
      <c r="CK1150">
        <f>'Grid_Stock'!CI29</f>
        <v/>
      </c>
      <c r="CL1150">
        <f>'Grid_Stock'!CJ29</f>
        <v/>
      </c>
      <c r="CM1150">
        <f>'Grid_Stock'!CK29</f>
        <v/>
      </c>
      <c r="CN1150">
        <f>'Grid_Stock'!CL29</f>
        <v/>
      </c>
      <c r="CO1150">
        <f>'Grid_Stock'!CM29</f>
        <v/>
      </c>
      <c r="CP1150">
        <f>'Grid_Stock'!CN29</f>
        <v/>
      </c>
      <c r="CQ1150">
        <f>'Grid_Stock'!CO29</f>
        <v/>
      </c>
      <c r="CR1150">
        <f>'Grid_Stock'!CP29</f>
        <v/>
      </c>
      <c r="CS1150">
        <f>'Grid_Stock'!CQ29</f>
        <v/>
      </c>
      <c r="CT1150">
        <f>'Grid_Stock'!CR29</f>
        <v/>
      </c>
      <c r="CU1150">
        <f>'Grid_Stock'!CS29</f>
        <v/>
      </c>
      <c r="CV1150">
        <f>'Grid_Stock'!CT29</f>
        <v/>
      </c>
      <c r="CW1150">
        <f>'Grid_Stock'!CU29</f>
        <v/>
      </c>
      <c r="CX1150">
        <f>'Grid_Stock'!CV29</f>
        <v/>
      </c>
      <c r="CY1150">
        <f>'Grid_Stock'!CW29</f>
        <v/>
      </c>
      <c r="CZ1150">
        <f>'Grid_Stock'!CX29</f>
        <v/>
      </c>
      <c r="DA1150">
        <f>'Grid_Stock'!CY29</f>
        <v/>
      </c>
      <c r="DB1150">
        <f>'Grid_Stock'!CZ29</f>
        <v/>
      </c>
      <c r="DC1150">
        <f>'Grid_Stock'!DA29</f>
        <v/>
      </c>
    </row>
    <row r="1151">
      <c r="B1151" s="16" t="inlineStr">
        <is>
          <t>（発注の目安はDashboardの基準在庫[下限/上限]と色分けを参照）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U49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46226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Chemicals : TTAF Supply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IFERROR(INDEX(M_RawMaterials[Description],MATCH("CHEM-1250",M_RawMaterials[Part Name],0)),"")</f>
        <v/>
      </c>
      <c r="C15" s="12" t="inlineStr">
        <is>
          <t>71288614901</t>
        </is>
      </c>
      <c r="D15" s="12" t="inlineStr">
        <is>
          <t>CHEM-1250</t>
        </is>
      </c>
      <c r="E15" s="12" t="inlineStr">
        <is>
          <t>kg</t>
        </is>
      </c>
      <c r="F15" s="12">
        <f>IFERROR(INDEX(M_RawMaterials[基準在庫下限_要入力],MATCH("CHEM-1250",M_RawMaterials[Part Name],0)),0)</f>
        <v/>
      </c>
      <c r="G15" s="12">
        <f>INDEX(Grid_Stock[#Data],1,$P$7)</f>
        <v/>
      </c>
      <c r="H15" s="12">
        <f>MAX(0,$F15-INDEX(Grid_Stock[#Data],1,$P$7+0))</f>
        <v/>
      </c>
      <c r="I15" s="12">
        <f>MAX(0,$F15-INDEX(Grid_Stock[#Data],1,$P$7+1))</f>
        <v/>
      </c>
      <c r="J15" s="12">
        <f>MAX(0,$F15-INDEX(Grid_Stock[#Data],1,$P$7+2))</f>
        <v/>
      </c>
      <c r="K15" s="12">
        <f>MAX(0,$F15-INDEX(Grid_Stock[#Data],1,$P$7+3))</f>
        <v/>
      </c>
      <c r="L15" s="12">
        <f>MAX(0,$F15-INDEX(Grid_Stock[#Data],1,$P$7+4))</f>
        <v/>
      </c>
      <c r="M15" s="12">
        <f>MAX(0,$F15-INDEX(Grid_Stock[#Data],1,$P$7+5))</f>
        <v/>
      </c>
      <c r="N15" s="12">
        <f>MAX(0,$F15-INDEX(Grid_Stock[#Data],1,$P$7+6))</f>
        <v/>
      </c>
      <c r="O15" s="12">
        <f>MAX(0,$F15-INDEX(Grid_Stock[#Data],1,$P$7+7))</f>
        <v/>
      </c>
      <c r="P15" s="12">
        <f>MAX(0,$F15-INDEX(Grid_Stock[#Data],1,$P$7+8))</f>
        <v/>
      </c>
      <c r="Q15" s="12">
        <f>MAX(0,$F15-INDEX(Grid_Stock[#Data],1,$P$7+9))</f>
        <v/>
      </c>
      <c r="R15" s="12">
        <f>MAX(0,$F15-INDEX(Grid_Stock[#Data],1,$P$7+10))</f>
        <v/>
      </c>
      <c r="S15" s="12">
        <f>MAX(0,$F15-INDEX(Grid_Stock[#Data],1,$P$7+11))</f>
        <v/>
      </c>
      <c r="T15" s="12">
        <f>MAX(0,$F15-INDEX(Grid_Stock[#Data],1,$P$7+12))</f>
        <v/>
      </c>
      <c r="U15" s="12">
        <f>SUM(H15:T15)</f>
        <v/>
      </c>
    </row>
    <row r="16">
      <c r="B16" s="13">
        <f>IFERROR(INDEX(M_RawMaterials[Description],MATCH("CHEM-1670",M_RawMaterials[Part Name],0)),"")</f>
        <v/>
      </c>
      <c r="C16" s="13" t="inlineStr">
        <is>
          <t>712886265</t>
        </is>
      </c>
      <c r="D16" s="13" t="inlineStr">
        <is>
          <t>CHEM-1670</t>
        </is>
      </c>
      <c r="E16" s="13" t="inlineStr">
        <is>
          <t>kg</t>
        </is>
      </c>
      <c r="F16" s="13">
        <f>IFERROR(INDEX(M_RawMaterials[基準在庫下限_要入力],MATCH("CHEM-1670",M_RawMaterials[Part Name],0)),0)</f>
        <v/>
      </c>
      <c r="G16" s="13">
        <f>INDEX(Grid_Stock[#Data],2,$P$7)</f>
        <v/>
      </c>
      <c r="H16" s="13">
        <f>MAX(0,$F16-INDEX(Grid_Stock[#Data],2,$P$7+0))</f>
        <v/>
      </c>
      <c r="I16" s="13">
        <f>MAX(0,$F16-INDEX(Grid_Stock[#Data],2,$P$7+1))</f>
        <v/>
      </c>
      <c r="J16" s="13">
        <f>MAX(0,$F16-INDEX(Grid_Stock[#Data],2,$P$7+2))</f>
        <v/>
      </c>
      <c r="K16" s="13">
        <f>MAX(0,$F16-INDEX(Grid_Stock[#Data],2,$P$7+3))</f>
        <v/>
      </c>
      <c r="L16" s="13">
        <f>MAX(0,$F16-INDEX(Grid_Stock[#Data],2,$P$7+4))</f>
        <v/>
      </c>
      <c r="M16" s="13">
        <f>MAX(0,$F16-INDEX(Grid_Stock[#Data],2,$P$7+5))</f>
        <v/>
      </c>
      <c r="N16" s="13">
        <f>MAX(0,$F16-INDEX(Grid_Stock[#Data],2,$P$7+6))</f>
        <v/>
      </c>
      <c r="O16" s="13">
        <f>MAX(0,$F16-INDEX(Grid_Stock[#Data],2,$P$7+7))</f>
        <v/>
      </c>
      <c r="P16" s="13">
        <f>MAX(0,$F16-INDEX(Grid_Stock[#Data],2,$P$7+8))</f>
        <v/>
      </c>
      <c r="Q16" s="13">
        <f>MAX(0,$F16-INDEX(Grid_Stock[#Data],2,$P$7+9))</f>
        <v/>
      </c>
      <c r="R16" s="13">
        <f>MAX(0,$F16-INDEX(Grid_Stock[#Data],2,$P$7+10))</f>
        <v/>
      </c>
      <c r="S16" s="13">
        <f>MAX(0,$F16-INDEX(Grid_Stock[#Data],2,$P$7+11))</f>
        <v/>
      </c>
      <c r="T16" s="13">
        <f>MAX(0,$F16-INDEX(Grid_Stock[#Data],2,$P$7+12))</f>
        <v/>
      </c>
      <c r="U16" s="13">
        <f>SUM(H16:T16)</f>
        <v/>
      </c>
    </row>
    <row r="17">
      <c r="B17" s="12">
        <f>IFERROR(INDEX(M_RawMaterials[Description],MATCH("CHEM-1700",M_RawMaterials[Part Name],0)),"")</f>
        <v/>
      </c>
      <c r="C17" s="12" t="inlineStr">
        <is>
          <t>712886270</t>
        </is>
      </c>
      <c r="D17" s="12" t="inlineStr">
        <is>
          <t>CHEM-1700</t>
        </is>
      </c>
      <c r="E17" s="12" t="inlineStr">
        <is>
          <t>kg</t>
        </is>
      </c>
      <c r="F17" s="12">
        <f>IFERROR(INDEX(M_RawMaterials[基準在庫下限_要入力],MATCH("CHEM-1700",M_RawMaterials[Part Name],0)),0)</f>
        <v/>
      </c>
      <c r="G17" s="12">
        <f>INDEX(Grid_Stock[#Data],3,$P$7)</f>
        <v/>
      </c>
      <c r="H17" s="12">
        <f>MAX(0,$F17-INDEX(Grid_Stock[#Data],3,$P$7+0))</f>
        <v/>
      </c>
      <c r="I17" s="12">
        <f>MAX(0,$F17-INDEX(Grid_Stock[#Data],3,$P$7+1))</f>
        <v/>
      </c>
      <c r="J17" s="12">
        <f>MAX(0,$F17-INDEX(Grid_Stock[#Data],3,$P$7+2))</f>
        <v/>
      </c>
      <c r="K17" s="12">
        <f>MAX(0,$F17-INDEX(Grid_Stock[#Data],3,$P$7+3))</f>
        <v/>
      </c>
      <c r="L17" s="12">
        <f>MAX(0,$F17-INDEX(Grid_Stock[#Data],3,$P$7+4))</f>
        <v/>
      </c>
      <c r="M17" s="12">
        <f>MAX(0,$F17-INDEX(Grid_Stock[#Data],3,$P$7+5))</f>
        <v/>
      </c>
      <c r="N17" s="12">
        <f>MAX(0,$F17-INDEX(Grid_Stock[#Data],3,$P$7+6))</f>
        <v/>
      </c>
      <c r="O17" s="12">
        <f>MAX(0,$F17-INDEX(Grid_Stock[#Data],3,$P$7+7))</f>
        <v/>
      </c>
      <c r="P17" s="12">
        <f>MAX(0,$F17-INDEX(Grid_Stock[#Data],3,$P$7+8))</f>
        <v/>
      </c>
      <c r="Q17" s="12">
        <f>MAX(0,$F17-INDEX(Grid_Stock[#Data],3,$P$7+9))</f>
        <v/>
      </c>
      <c r="R17" s="12">
        <f>MAX(0,$F17-INDEX(Grid_Stock[#Data],3,$P$7+10))</f>
        <v/>
      </c>
      <c r="S17" s="12">
        <f>MAX(0,$F17-INDEX(Grid_Stock[#Data],3,$P$7+11))</f>
        <v/>
      </c>
      <c r="T17" s="12">
        <f>MAX(0,$F17-INDEX(Grid_Stock[#Data],3,$P$7+12))</f>
        <v/>
      </c>
      <c r="U17" s="12">
        <f>SUM(H17:T17)</f>
        <v/>
      </c>
    </row>
    <row r="18">
      <c r="B18" s="13">
        <f>IFERROR(INDEX(M_RawMaterials[Description],MATCH("CHEM-1420",M_RawMaterials[Part Name],0)),"")</f>
        <v/>
      </c>
      <c r="C18" s="13" t="inlineStr">
        <is>
          <t>71288629601</t>
        </is>
      </c>
      <c r="D18" s="13" t="inlineStr">
        <is>
          <t>CHEM-1420</t>
        </is>
      </c>
      <c r="E18" s="13" t="inlineStr">
        <is>
          <t>kg</t>
        </is>
      </c>
      <c r="F18" s="13">
        <f>IFERROR(INDEX(M_RawMaterials[基準在庫下限_要入力],MATCH("CHEM-1420",M_RawMaterials[Part Name],0)),0)</f>
        <v/>
      </c>
      <c r="G18" s="13">
        <f>INDEX(Grid_Stock[#Data],4,$P$7)</f>
        <v/>
      </c>
      <c r="H18" s="13">
        <f>MAX(0,$F18-INDEX(Grid_Stock[#Data],4,$P$7+0))</f>
        <v/>
      </c>
      <c r="I18" s="13">
        <f>MAX(0,$F18-INDEX(Grid_Stock[#Data],4,$P$7+1))</f>
        <v/>
      </c>
      <c r="J18" s="13">
        <f>MAX(0,$F18-INDEX(Grid_Stock[#Data],4,$P$7+2))</f>
        <v/>
      </c>
      <c r="K18" s="13">
        <f>MAX(0,$F18-INDEX(Grid_Stock[#Data],4,$P$7+3))</f>
        <v/>
      </c>
      <c r="L18" s="13">
        <f>MAX(0,$F18-INDEX(Grid_Stock[#Data],4,$P$7+4))</f>
        <v/>
      </c>
      <c r="M18" s="13">
        <f>MAX(0,$F18-INDEX(Grid_Stock[#Data],4,$P$7+5))</f>
        <v/>
      </c>
      <c r="N18" s="13">
        <f>MAX(0,$F18-INDEX(Grid_Stock[#Data],4,$P$7+6))</f>
        <v/>
      </c>
      <c r="O18" s="13">
        <f>MAX(0,$F18-INDEX(Grid_Stock[#Data],4,$P$7+7))</f>
        <v/>
      </c>
      <c r="P18" s="13">
        <f>MAX(0,$F18-INDEX(Grid_Stock[#Data],4,$P$7+8))</f>
        <v/>
      </c>
      <c r="Q18" s="13">
        <f>MAX(0,$F18-INDEX(Grid_Stock[#Data],4,$P$7+9))</f>
        <v/>
      </c>
      <c r="R18" s="13">
        <f>MAX(0,$F18-INDEX(Grid_Stock[#Data],4,$P$7+10))</f>
        <v/>
      </c>
      <c r="S18" s="13">
        <f>MAX(0,$F18-INDEX(Grid_Stock[#Data],4,$P$7+11))</f>
        <v/>
      </c>
      <c r="T18" s="13">
        <f>MAX(0,$F18-INDEX(Grid_Stock[#Data],4,$P$7+12))</f>
        <v/>
      </c>
      <c r="U18" s="13">
        <f>SUM(H18:T18)</f>
        <v/>
      </c>
    </row>
    <row r="19">
      <c r="B19" s="12">
        <f>IFERROR(INDEX(M_RawMaterials[Description],MATCH("CHEM-1530",M_RawMaterials[Part Name],0)),"")</f>
        <v/>
      </c>
      <c r="C19" s="12" t="inlineStr">
        <is>
          <t>71388003501</t>
        </is>
      </c>
      <c r="D19" s="12" t="inlineStr">
        <is>
          <t>CHEM-1530</t>
        </is>
      </c>
      <c r="E19" s="12" t="inlineStr">
        <is>
          <t>kg</t>
        </is>
      </c>
      <c r="F19" s="12">
        <f>IFERROR(INDEX(M_RawMaterials[基準在庫下限_要入力],MATCH("CHEM-1530",M_RawMaterials[Part Name],0)),0)</f>
        <v/>
      </c>
      <c r="G19" s="12">
        <f>INDEX(Grid_Stock[#Data],5,$P$7)</f>
        <v/>
      </c>
      <c r="H19" s="12">
        <f>MAX(0,$F19-INDEX(Grid_Stock[#Data],5,$P$7+0))</f>
        <v/>
      </c>
      <c r="I19" s="12">
        <f>MAX(0,$F19-INDEX(Grid_Stock[#Data],5,$P$7+1))</f>
        <v/>
      </c>
      <c r="J19" s="12">
        <f>MAX(0,$F19-INDEX(Grid_Stock[#Data],5,$P$7+2))</f>
        <v/>
      </c>
      <c r="K19" s="12">
        <f>MAX(0,$F19-INDEX(Grid_Stock[#Data],5,$P$7+3))</f>
        <v/>
      </c>
      <c r="L19" s="12">
        <f>MAX(0,$F19-INDEX(Grid_Stock[#Data],5,$P$7+4))</f>
        <v/>
      </c>
      <c r="M19" s="12">
        <f>MAX(0,$F19-INDEX(Grid_Stock[#Data],5,$P$7+5))</f>
        <v/>
      </c>
      <c r="N19" s="12">
        <f>MAX(0,$F19-INDEX(Grid_Stock[#Data],5,$P$7+6))</f>
        <v/>
      </c>
      <c r="O19" s="12">
        <f>MAX(0,$F19-INDEX(Grid_Stock[#Data],5,$P$7+7))</f>
        <v/>
      </c>
      <c r="P19" s="12">
        <f>MAX(0,$F19-INDEX(Grid_Stock[#Data],5,$P$7+8))</f>
        <v/>
      </c>
      <c r="Q19" s="12">
        <f>MAX(0,$F19-INDEX(Grid_Stock[#Data],5,$P$7+9))</f>
        <v/>
      </c>
      <c r="R19" s="12">
        <f>MAX(0,$F19-INDEX(Grid_Stock[#Data],5,$P$7+10))</f>
        <v/>
      </c>
      <c r="S19" s="12">
        <f>MAX(0,$F19-INDEX(Grid_Stock[#Data],5,$P$7+11))</f>
        <v/>
      </c>
      <c r="T19" s="12">
        <f>MAX(0,$F19-INDEX(Grid_Stock[#Data],5,$P$7+12))</f>
        <v/>
      </c>
      <c r="U19" s="12">
        <f>SUM(H19:T19)</f>
        <v/>
      </c>
    </row>
    <row r="20">
      <c r="B20" s="13">
        <f>IFERROR(INDEX(M_RawMaterials[Description],MATCH("CHEM-1540",M_RawMaterials[Part Name],0)),"")</f>
        <v/>
      </c>
      <c r="C20" s="13" t="inlineStr">
        <is>
          <t>71388005801</t>
        </is>
      </c>
      <c r="D20" s="13" t="inlineStr">
        <is>
          <t>CHEM-1540</t>
        </is>
      </c>
      <c r="E20" s="13" t="inlineStr">
        <is>
          <t>kg</t>
        </is>
      </c>
      <c r="F20" s="13">
        <f>IFERROR(INDEX(M_RawMaterials[基準在庫下限_要入力],MATCH("CHEM-1540",M_RawMaterials[Part Name],0)),0)</f>
        <v/>
      </c>
      <c r="G20" s="13">
        <f>INDEX(Grid_Stock[#Data],6,$P$7)</f>
        <v/>
      </c>
      <c r="H20" s="13">
        <f>MAX(0,$F20-INDEX(Grid_Stock[#Data],6,$P$7+0))</f>
        <v/>
      </c>
      <c r="I20" s="13">
        <f>MAX(0,$F20-INDEX(Grid_Stock[#Data],6,$P$7+1))</f>
        <v/>
      </c>
      <c r="J20" s="13">
        <f>MAX(0,$F20-INDEX(Grid_Stock[#Data],6,$P$7+2))</f>
        <v/>
      </c>
      <c r="K20" s="13">
        <f>MAX(0,$F20-INDEX(Grid_Stock[#Data],6,$P$7+3))</f>
        <v/>
      </c>
      <c r="L20" s="13">
        <f>MAX(0,$F20-INDEX(Grid_Stock[#Data],6,$P$7+4))</f>
        <v/>
      </c>
      <c r="M20" s="13">
        <f>MAX(0,$F20-INDEX(Grid_Stock[#Data],6,$P$7+5))</f>
        <v/>
      </c>
      <c r="N20" s="13">
        <f>MAX(0,$F20-INDEX(Grid_Stock[#Data],6,$P$7+6))</f>
        <v/>
      </c>
      <c r="O20" s="13">
        <f>MAX(0,$F20-INDEX(Grid_Stock[#Data],6,$P$7+7))</f>
        <v/>
      </c>
      <c r="P20" s="13">
        <f>MAX(0,$F20-INDEX(Grid_Stock[#Data],6,$P$7+8))</f>
        <v/>
      </c>
      <c r="Q20" s="13">
        <f>MAX(0,$F20-INDEX(Grid_Stock[#Data],6,$P$7+9))</f>
        <v/>
      </c>
      <c r="R20" s="13">
        <f>MAX(0,$F20-INDEX(Grid_Stock[#Data],6,$P$7+10))</f>
        <v/>
      </c>
      <c r="S20" s="13">
        <f>MAX(0,$F20-INDEX(Grid_Stock[#Data],6,$P$7+11))</f>
        <v/>
      </c>
      <c r="T20" s="13">
        <f>MAX(0,$F20-INDEX(Grid_Stock[#Data],6,$P$7+12))</f>
        <v/>
      </c>
      <c r="U20" s="13">
        <f>SUM(H20:T20)</f>
        <v/>
      </c>
    </row>
    <row r="21">
      <c r="B21" s="12">
        <f>IFERROR(INDEX(M_RawMaterials[Description],MATCH("CHEM-1690",M_RawMaterials[Part Name],0)),"")</f>
        <v/>
      </c>
      <c r="C21" s="12" t="inlineStr">
        <is>
          <t>734831040</t>
        </is>
      </c>
      <c r="D21" s="12" t="inlineStr">
        <is>
          <t>CHEM-1690</t>
        </is>
      </c>
      <c r="E21" s="12" t="inlineStr">
        <is>
          <t>kg</t>
        </is>
      </c>
      <c r="F21" s="12">
        <f>IFERROR(INDEX(M_RawMaterials[基準在庫下限_要入力],MATCH("CHEM-1690",M_RawMaterials[Part Name],0)),0)</f>
        <v/>
      </c>
      <c r="G21" s="12">
        <f>INDEX(Grid_Stock[#Data],7,$P$7)</f>
        <v/>
      </c>
      <c r="H21" s="12">
        <f>MAX(0,$F21-INDEX(Grid_Stock[#Data],7,$P$7+0))</f>
        <v/>
      </c>
      <c r="I21" s="12">
        <f>MAX(0,$F21-INDEX(Grid_Stock[#Data],7,$P$7+1))</f>
        <v/>
      </c>
      <c r="J21" s="12">
        <f>MAX(0,$F21-INDEX(Grid_Stock[#Data],7,$P$7+2))</f>
        <v/>
      </c>
      <c r="K21" s="12">
        <f>MAX(0,$F21-INDEX(Grid_Stock[#Data],7,$P$7+3))</f>
        <v/>
      </c>
      <c r="L21" s="12">
        <f>MAX(0,$F21-INDEX(Grid_Stock[#Data],7,$P$7+4))</f>
        <v/>
      </c>
      <c r="M21" s="12">
        <f>MAX(0,$F21-INDEX(Grid_Stock[#Data],7,$P$7+5))</f>
        <v/>
      </c>
      <c r="N21" s="12">
        <f>MAX(0,$F21-INDEX(Grid_Stock[#Data],7,$P$7+6))</f>
        <v/>
      </c>
      <c r="O21" s="12">
        <f>MAX(0,$F21-INDEX(Grid_Stock[#Data],7,$P$7+7))</f>
        <v/>
      </c>
      <c r="P21" s="12">
        <f>MAX(0,$F21-INDEX(Grid_Stock[#Data],7,$P$7+8))</f>
        <v/>
      </c>
      <c r="Q21" s="12">
        <f>MAX(0,$F21-INDEX(Grid_Stock[#Data],7,$P$7+9))</f>
        <v/>
      </c>
      <c r="R21" s="12">
        <f>MAX(0,$F21-INDEX(Grid_Stock[#Data],7,$P$7+10))</f>
        <v/>
      </c>
      <c r="S21" s="12">
        <f>MAX(0,$F21-INDEX(Grid_Stock[#Data],7,$P$7+11))</f>
        <v/>
      </c>
      <c r="T21" s="12">
        <f>MAX(0,$F21-INDEX(Grid_Stock[#Data],7,$P$7+12))</f>
        <v/>
      </c>
      <c r="U21" s="12">
        <f>SUM(H21:T21)</f>
        <v/>
      </c>
    </row>
    <row r="22">
      <c r="B22" s="13">
        <f>IFERROR(INDEX(M_RawMaterials[Description],MATCH("CHEM-1720",M_RawMaterials[Part Name],0)),"")</f>
        <v/>
      </c>
      <c r="C22" s="13" t="inlineStr">
        <is>
          <t>734831050</t>
        </is>
      </c>
      <c r="D22" s="13" t="inlineStr">
        <is>
          <t>CHEM-1720</t>
        </is>
      </c>
      <c r="E22" s="13" t="inlineStr">
        <is>
          <t>kg</t>
        </is>
      </c>
      <c r="F22" s="13">
        <f>IFERROR(INDEX(M_RawMaterials[基準在庫下限_要入力],MATCH("CHEM-1720",M_RawMaterials[Part Name],0)),0)</f>
        <v/>
      </c>
      <c r="G22" s="13">
        <f>INDEX(Grid_Stock[#Data],8,$P$7)</f>
        <v/>
      </c>
      <c r="H22" s="13">
        <f>MAX(0,$F22-INDEX(Grid_Stock[#Data],8,$P$7+0))</f>
        <v/>
      </c>
      <c r="I22" s="13">
        <f>MAX(0,$F22-INDEX(Grid_Stock[#Data],8,$P$7+1))</f>
        <v/>
      </c>
      <c r="J22" s="13">
        <f>MAX(0,$F22-INDEX(Grid_Stock[#Data],8,$P$7+2))</f>
        <v/>
      </c>
      <c r="K22" s="13">
        <f>MAX(0,$F22-INDEX(Grid_Stock[#Data],8,$P$7+3))</f>
        <v/>
      </c>
      <c r="L22" s="13">
        <f>MAX(0,$F22-INDEX(Grid_Stock[#Data],8,$P$7+4))</f>
        <v/>
      </c>
      <c r="M22" s="13">
        <f>MAX(0,$F22-INDEX(Grid_Stock[#Data],8,$P$7+5))</f>
        <v/>
      </c>
      <c r="N22" s="13">
        <f>MAX(0,$F22-INDEX(Grid_Stock[#Data],8,$P$7+6))</f>
        <v/>
      </c>
      <c r="O22" s="13">
        <f>MAX(0,$F22-INDEX(Grid_Stock[#Data],8,$P$7+7))</f>
        <v/>
      </c>
      <c r="P22" s="13">
        <f>MAX(0,$F22-INDEX(Grid_Stock[#Data],8,$P$7+8))</f>
        <v/>
      </c>
      <c r="Q22" s="13">
        <f>MAX(0,$F22-INDEX(Grid_Stock[#Data],8,$P$7+9))</f>
        <v/>
      </c>
      <c r="R22" s="13">
        <f>MAX(0,$F22-INDEX(Grid_Stock[#Data],8,$P$7+10))</f>
        <v/>
      </c>
      <c r="S22" s="13">
        <f>MAX(0,$F22-INDEX(Grid_Stock[#Data],8,$P$7+11))</f>
        <v/>
      </c>
      <c r="T22" s="13">
        <f>MAX(0,$F22-INDEX(Grid_Stock[#Data],8,$P$7+12))</f>
        <v/>
      </c>
      <c r="U22" s="13">
        <f>SUM(H22:T22)</f>
        <v/>
      </c>
    </row>
    <row r="23">
      <c r="B23" s="12">
        <f>IFERROR(INDEX(M_RawMaterials[Description],MATCH("CHEM-1440",M_RawMaterials[Part Name],0)),"")</f>
        <v/>
      </c>
      <c r="C23" s="12" t="inlineStr">
        <is>
          <t>83988005701</t>
        </is>
      </c>
      <c r="D23" s="12" t="inlineStr">
        <is>
          <t>CHEM-1440</t>
        </is>
      </c>
      <c r="E23" s="12" t="inlineStr">
        <is>
          <t>kg</t>
        </is>
      </c>
      <c r="F23" s="12">
        <f>IFERROR(INDEX(M_RawMaterials[基準在庫下限_要入力],MATCH("CHEM-1440",M_RawMaterials[Part Name],0)),0)</f>
        <v/>
      </c>
      <c r="G23" s="12">
        <f>INDEX(Grid_Stock[#Data],9,$P$7)</f>
        <v/>
      </c>
      <c r="H23" s="12">
        <f>MAX(0,$F23-INDEX(Grid_Stock[#Data],9,$P$7+0))</f>
        <v/>
      </c>
      <c r="I23" s="12">
        <f>MAX(0,$F23-INDEX(Grid_Stock[#Data],9,$P$7+1))</f>
        <v/>
      </c>
      <c r="J23" s="12">
        <f>MAX(0,$F23-INDEX(Grid_Stock[#Data],9,$P$7+2))</f>
        <v/>
      </c>
      <c r="K23" s="12">
        <f>MAX(0,$F23-INDEX(Grid_Stock[#Data],9,$P$7+3))</f>
        <v/>
      </c>
      <c r="L23" s="12">
        <f>MAX(0,$F23-INDEX(Grid_Stock[#Data],9,$P$7+4))</f>
        <v/>
      </c>
      <c r="M23" s="12">
        <f>MAX(0,$F23-INDEX(Grid_Stock[#Data],9,$P$7+5))</f>
        <v/>
      </c>
      <c r="N23" s="12">
        <f>MAX(0,$F23-INDEX(Grid_Stock[#Data],9,$P$7+6))</f>
        <v/>
      </c>
      <c r="O23" s="12">
        <f>MAX(0,$F23-INDEX(Grid_Stock[#Data],9,$P$7+7))</f>
        <v/>
      </c>
      <c r="P23" s="12">
        <f>MAX(0,$F23-INDEX(Grid_Stock[#Data],9,$P$7+8))</f>
        <v/>
      </c>
      <c r="Q23" s="12">
        <f>MAX(0,$F23-INDEX(Grid_Stock[#Data],9,$P$7+9))</f>
        <v/>
      </c>
      <c r="R23" s="12">
        <f>MAX(0,$F23-INDEX(Grid_Stock[#Data],9,$P$7+10))</f>
        <v/>
      </c>
      <c r="S23" s="12">
        <f>MAX(0,$F23-INDEX(Grid_Stock[#Data],9,$P$7+11))</f>
        <v/>
      </c>
      <c r="T23" s="12">
        <f>MAX(0,$F23-INDEX(Grid_Stock[#Data],9,$P$7+12))</f>
        <v/>
      </c>
      <c r="U23" s="12">
        <f>SUM(H23:T23)</f>
        <v/>
      </c>
    </row>
    <row r="24">
      <c r="B24" s="13">
        <f>IFERROR(INDEX(M_RawMaterials[Description],MATCH("4HL",M_RawMaterials[Part Name],0)),"")</f>
        <v/>
      </c>
      <c r="C24" s="13" t="inlineStr">
        <is>
          <t>N60H27R08-JP</t>
        </is>
      </c>
      <c r="D24" s="13" t="inlineStr">
        <is>
          <t>4HL</t>
        </is>
      </c>
      <c r="E24" s="13" t="inlineStr">
        <is>
          <t>kg</t>
        </is>
      </c>
      <c r="F24" s="13">
        <f>IFERROR(INDEX(M_RawMaterials[基準在庫下限_要入力],MATCH("4HL",M_RawMaterials[Part Name],0)),0)</f>
        <v/>
      </c>
      <c r="G24" s="13">
        <f>INDEX(Grid_Stock[#Data],10,$P$7)</f>
        <v/>
      </c>
      <c r="H24" s="13">
        <f>MAX(0,$F24-INDEX(Grid_Stock[#Data],10,$P$7+0))</f>
        <v/>
      </c>
      <c r="I24" s="13">
        <f>MAX(0,$F24-INDEX(Grid_Stock[#Data],10,$P$7+1))</f>
        <v/>
      </c>
      <c r="J24" s="13">
        <f>MAX(0,$F24-INDEX(Grid_Stock[#Data],10,$P$7+2))</f>
        <v/>
      </c>
      <c r="K24" s="13">
        <f>MAX(0,$F24-INDEX(Grid_Stock[#Data],10,$P$7+3))</f>
        <v/>
      </c>
      <c r="L24" s="13">
        <f>MAX(0,$F24-INDEX(Grid_Stock[#Data],10,$P$7+4))</f>
        <v/>
      </c>
      <c r="M24" s="13">
        <f>MAX(0,$F24-INDEX(Grid_Stock[#Data],10,$P$7+5))</f>
        <v/>
      </c>
      <c r="N24" s="13">
        <f>MAX(0,$F24-INDEX(Grid_Stock[#Data],10,$P$7+6))</f>
        <v/>
      </c>
      <c r="O24" s="13">
        <f>MAX(0,$F24-INDEX(Grid_Stock[#Data],10,$P$7+7))</f>
        <v/>
      </c>
      <c r="P24" s="13">
        <f>MAX(0,$F24-INDEX(Grid_Stock[#Data],10,$P$7+8))</f>
        <v/>
      </c>
      <c r="Q24" s="13">
        <f>MAX(0,$F24-INDEX(Grid_Stock[#Data],10,$P$7+9))</f>
        <v/>
      </c>
      <c r="R24" s="13">
        <f>MAX(0,$F24-INDEX(Grid_Stock[#Data],10,$P$7+10))</f>
        <v/>
      </c>
      <c r="S24" s="13">
        <f>MAX(0,$F24-INDEX(Grid_Stock[#Data],10,$P$7+11))</f>
        <v/>
      </c>
      <c r="T24" s="13">
        <f>MAX(0,$F24-INDEX(Grid_Stock[#Data],10,$P$7+12))</f>
        <v/>
      </c>
      <c r="U24" s="13">
        <f>SUM(H24:T24)</f>
        <v/>
      </c>
    </row>
    <row r="25">
      <c r="B25" s="12">
        <f>IFERROR(INDEX(M_RawMaterials[Description],MATCH("1EK",M_RawMaterials[Part Name],0)),"")</f>
        <v/>
      </c>
      <c r="C25" s="12" t="inlineStr">
        <is>
          <t>N60H29R08-JP</t>
        </is>
      </c>
      <c r="D25" s="12" t="inlineStr">
        <is>
          <t>1EK</t>
        </is>
      </c>
      <c r="E25" s="12" t="inlineStr">
        <is>
          <t>kg</t>
        </is>
      </c>
      <c r="F25" s="12">
        <f>IFERROR(INDEX(M_RawMaterials[基準在庫下限_要入力],MATCH("1EK",M_RawMaterials[Part Name],0)),0)</f>
        <v/>
      </c>
      <c r="G25" s="12">
        <f>INDEX(Grid_Stock[#Data],11,$P$7)</f>
        <v/>
      </c>
      <c r="H25" s="12">
        <f>MAX(0,$F25-INDEX(Grid_Stock[#Data],11,$P$7+0))</f>
        <v/>
      </c>
      <c r="I25" s="12">
        <f>MAX(0,$F25-INDEX(Grid_Stock[#Data],11,$P$7+1))</f>
        <v/>
      </c>
      <c r="J25" s="12">
        <f>MAX(0,$F25-INDEX(Grid_Stock[#Data],11,$P$7+2))</f>
        <v/>
      </c>
      <c r="K25" s="12">
        <f>MAX(0,$F25-INDEX(Grid_Stock[#Data],11,$P$7+3))</f>
        <v/>
      </c>
      <c r="L25" s="12">
        <f>MAX(0,$F25-INDEX(Grid_Stock[#Data],11,$P$7+4))</f>
        <v/>
      </c>
      <c r="M25" s="12">
        <f>MAX(0,$F25-INDEX(Grid_Stock[#Data],11,$P$7+5))</f>
        <v/>
      </c>
      <c r="N25" s="12">
        <f>MAX(0,$F25-INDEX(Grid_Stock[#Data],11,$P$7+6))</f>
        <v/>
      </c>
      <c r="O25" s="12">
        <f>MAX(0,$F25-INDEX(Grid_Stock[#Data],11,$P$7+7))</f>
        <v/>
      </c>
      <c r="P25" s="12">
        <f>MAX(0,$F25-INDEX(Grid_Stock[#Data],11,$P$7+8))</f>
        <v/>
      </c>
      <c r="Q25" s="12">
        <f>MAX(0,$F25-INDEX(Grid_Stock[#Data],11,$P$7+9))</f>
        <v/>
      </c>
      <c r="R25" s="12">
        <f>MAX(0,$F25-INDEX(Grid_Stock[#Data],11,$P$7+10))</f>
        <v/>
      </c>
      <c r="S25" s="12">
        <f>MAX(0,$F25-INDEX(Grid_Stock[#Data],11,$P$7+11))</f>
        <v/>
      </c>
      <c r="T25" s="12">
        <f>MAX(0,$F25-INDEX(Grid_Stock[#Data],11,$P$7+12))</f>
        <v/>
      </c>
      <c r="U25" s="12">
        <f>SUM(H25:T25)</f>
        <v/>
      </c>
    </row>
    <row r="26">
      <c r="B26" s="13">
        <f>IFERROR(INDEX(M_RawMaterials[Description],MATCH("7CL",M_RawMaterials[Part Name],0)),"")</f>
        <v/>
      </c>
      <c r="C26" s="13" t="inlineStr">
        <is>
          <t>N75H28R08-JP</t>
        </is>
      </c>
      <c r="D26" s="13" t="inlineStr">
        <is>
          <t>7CL</t>
        </is>
      </c>
      <c r="E26" s="13" t="inlineStr">
        <is>
          <t>kg</t>
        </is>
      </c>
      <c r="F26" s="13">
        <f>IFERROR(INDEX(M_RawMaterials[基準在庫下限_要入力],MATCH("7CL",M_RawMaterials[Part Name],0)),0)</f>
        <v/>
      </c>
      <c r="G26" s="13">
        <f>INDEX(Grid_Stock[#Data],12,$P$7)</f>
        <v/>
      </c>
      <c r="H26" s="13">
        <f>MAX(0,$F26-INDEX(Grid_Stock[#Data],12,$P$7+0))</f>
        <v/>
      </c>
      <c r="I26" s="13">
        <f>MAX(0,$F26-INDEX(Grid_Stock[#Data],12,$P$7+1))</f>
        <v/>
      </c>
      <c r="J26" s="13">
        <f>MAX(0,$F26-INDEX(Grid_Stock[#Data],12,$P$7+2))</f>
        <v/>
      </c>
      <c r="K26" s="13">
        <f>MAX(0,$F26-INDEX(Grid_Stock[#Data],12,$P$7+3))</f>
        <v/>
      </c>
      <c r="L26" s="13">
        <f>MAX(0,$F26-INDEX(Grid_Stock[#Data],12,$P$7+4))</f>
        <v/>
      </c>
      <c r="M26" s="13">
        <f>MAX(0,$F26-INDEX(Grid_Stock[#Data],12,$P$7+5))</f>
        <v/>
      </c>
      <c r="N26" s="13">
        <f>MAX(0,$F26-INDEX(Grid_Stock[#Data],12,$P$7+6))</f>
        <v/>
      </c>
      <c r="O26" s="13">
        <f>MAX(0,$F26-INDEX(Grid_Stock[#Data],12,$P$7+7))</f>
        <v/>
      </c>
      <c r="P26" s="13">
        <f>MAX(0,$F26-INDEX(Grid_Stock[#Data],12,$P$7+8))</f>
        <v/>
      </c>
      <c r="Q26" s="13">
        <f>MAX(0,$F26-INDEX(Grid_Stock[#Data],12,$P$7+9))</f>
        <v/>
      </c>
      <c r="R26" s="13">
        <f>MAX(0,$F26-INDEX(Grid_Stock[#Data],12,$P$7+10))</f>
        <v/>
      </c>
      <c r="S26" s="13">
        <f>MAX(0,$F26-INDEX(Grid_Stock[#Data],12,$P$7+11))</f>
        <v/>
      </c>
      <c r="T26" s="13">
        <f>MAX(0,$F26-INDEX(Grid_Stock[#Data],12,$P$7+12))</f>
        <v/>
      </c>
      <c r="U26" s="13">
        <f>SUM(H26:T26)</f>
        <v/>
      </c>
    </row>
    <row r="27">
      <c r="B27" s="12">
        <f>IFERROR(INDEX(M_RawMaterials[Description],MATCH("CHEM-1400",M_RawMaterials[Part Name],0)),"")</f>
        <v/>
      </c>
      <c r="C27" s="12" t="inlineStr">
        <is>
          <t>71288617001</t>
        </is>
      </c>
      <c r="D27" s="12" t="inlineStr">
        <is>
          <t>CHEM-1400</t>
        </is>
      </c>
      <c r="E27" s="12" t="inlineStr">
        <is>
          <t>kg</t>
        </is>
      </c>
      <c r="F27" s="12">
        <f>IFERROR(INDEX(M_RawMaterials[基準在庫下限_要入力],MATCH("CHEM-1400",M_RawMaterials[Part Name],0)),0)</f>
        <v/>
      </c>
      <c r="G27" s="12">
        <f>INDEX(Grid_Stock[#Data],14,$P$7)</f>
        <v/>
      </c>
      <c r="H27" s="12">
        <f>MAX(0,$F27-INDEX(Grid_Stock[#Data],14,$P$7+0))</f>
        <v/>
      </c>
      <c r="I27" s="12">
        <f>MAX(0,$F27-INDEX(Grid_Stock[#Data],14,$P$7+1))</f>
        <v/>
      </c>
      <c r="J27" s="12">
        <f>MAX(0,$F27-INDEX(Grid_Stock[#Data],14,$P$7+2))</f>
        <v/>
      </c>
      <c r="K27" s="12">
        <f>MAX(0,$F27-INDEX(Grid_Stock[#Data],14,$P$7+3))</f>
        <v/>
      </c>
      <c r="L27" s="12">
        <f>MAX(0,$F27-INDEX(Grid_Stock[#Data],14,$P$7+4))</f>
        <v/>
      </c>
      <c r="M27" s="12">
        <f>MAX(0,$F27-INDEX(Grid_Stock[#Data],14,$P$7+5))</f>
        <v/>
      </c>
      <c r="N27" s="12">
        <f>MAX(0,$F27-INDEX(Grid_Stock[#Data],14,$P$7+6))</f>
        <v/>
      </c>
      <c r="O27" s="12">
        <f>MAX(0,$F27-INDEX(Grid_Stock[#Data],14,$P$7+7))</f>
        <v/>
      </c>
      <c r="P27" s="12">
        <f>MAX(0,$F27-INDEX(Grid_Stock[#Data],14,$P$7+8))</f>
        <v/>
      </c>
      <c r="Q27" s="12">
        <f>MAX(0,$F27-INDEX(Grid_Stock[#Data],14,$P$7+9))</f>
        <v/>
      </c>
      <c r="R27" s="12">
        <f>MAX(0,$F27-INDEX(Grid_Stock[#Data],14,$P$7+10))</f>
        <v/>
      </c>
      <c r="S27" s="12">
        <f>MAX(0,$F27-INDEX(Grid_Stock[#Data],14,$P$7+11))</f>
        <v/>
      </c>
      <c r="T27" s="12">
        <f>MAX(0,$F27-INDEX(Grid_Stock[#Data],14,$P$7+12))</f>
        <v/>
      </c>
      <c r="U27" s="12">
        <f>SUM(H27:T27)</f>
        <v/>
      </c>
    </row>
    <row r="28">
      <c r="B28" s="13">
        <f>IFERROR(INDEX(M_RawMaterials[Description],MATCH("CHEM-1570",M_RawMaterials[Part Name],0)),"")</f>
        <v/>
      </c>
      <c r="C28" s="13" t="inlineStr">
        <is>
          <t>71288624802</t>
        </is>
      </c>
      <c r="D28" s="13" t="inlineStr">
        <is>
          <t>CHEM-1570</t>
        </is>
      </c>
      <c r="E28" s="13" t="inlineStr">
        <is>
          <t>kg</t>
        </is>
      </c>
      <c r="F28" s="13">
        <f>IFERROR(INDEX(M_RawMaterials[基準在庫下限_要入力],MATCH("CHEM-1570",M_RawMaterials[Part Name],0)),0)</f>
        <v/>
      </c>
      <c r="G28" s="13">
        <f>INDEX(Grid_Stock[#Data],15,$P$7)</f>
        <v/>
      </c>
      <c r="H28" s="13">
        <f>MAX(0,$F28-INDEX(Grid_Stock[#Data],15,$P$7+0))</f>
        <v/>
      </c>
      <c r="I28" s="13">
        <f>MAX(0,$F28-INDEX(Grid_Stock[#Data],15,$P$7+1))</f>
        <v/>
      </c>
      <c r="J28" s="13">
        <f>MAX(0,$F28-INDEX(Grid_Stock[#Data],15,$P$7+2))</f>
        <v/>
      </c>
      <c r="K28" s="13">
        <f>MAX(0,$F28-INDEX(Grid_Stock[#Data],15,$P$7+3))</f>
        <v/>
      </c>
      <c r="L28" s="13">
        <f>MAX(0,$F28-INDEX(Grid_Stock[#Data],15,$P$7+4))</f>
        <v/>
      </c>
      <c r="M28" s="13">
        <f>MAX(0,$F28-INDEX(Grid_Stock[#Data],15,$P$7+5))</f>
        <v/>
      </c>
      <c r="N28" s="13">
        <f>MAX(0,$F28-INDEX(Grid_Stock[#Data],15,$P$7+6))</f>
        <v/>
      </c>
      <c r="O28" s="13">
        <f>MAX(0,$F28-INDEX(Grid_Stock[#Data],15,$P$7+7))</f>
        <v/>
      </c>
      <c r="P28" s="13">
        <f>MAX(0,$F28-INDEX(Grid_Stock[#Data],15,$P$7+8))</f>
        <v/>
      </c>
      <c r="Q28" s="13">
        <f>MAX(0,$F28-INDEX(Grid_Stock[#Data],15,$P$7+9))</f>
        <v/>
      </c>
      <c r="R28" s="13">
        <f>MAX(0,$F28-INDEX(Grid_Stock[#Data],15,$P$7+10))</f>
        <v/>
      </c>
      <c r="S28" s="13">
        <f>MAX(0,$F28-INDEX(Grid_Stock[#Data],15,$P$7+11))</f>
        <v/>
      </c>
      <c r="T28" s="13">
        <f>MAX(0,$F28-INDEX(Grid_Stock[#Data],15,$P$7+12))</f>
        <v/>
      </c>
      <c r="U28" s="13">
        <f>SUM(H28:T28)</f>
        <v/>
      </c>
    </row>
    <row r="29">
      <c r="B29" s="12">
        <f>IFERROR(INDEX(M_RawMaterials[Description],MATCH("CHEM-1650",M_RawMaterials[Part Name],0)),"")</f>
        <v/>
      </c>
      <c r="C29" s="12" t="inlineStr">
        <is>
          <t>712886256</t>
        </is>
      </c>
      <c r="D29" s="12" t="inlineStr">
        <is>
          <t>CHEM-1650</t>
        </is>
      </c>
      <c r="E29" s="12" t="inlineStr">
        <is>
          <t>kg</t>
        </is>
      </c>
      <c r="F29" s="12">
        <f>IFERROR(INDEX(M_RawMaterials[基準在庫下限_要入力],MATCH("CHEM-1650",M_RawMaterials[Part Name],0)),0)</f>
        <v/>
      </c>
      <c r="G29" s="12">
        <f>INDEX(Grid_Stock[#Data],16,$P$7)</f>
        <v/>
      </c>
      <c r="H29" s="12">
        <f>MAX(0,$F29-INDEX(Grid_Stock[#Data],16,$P$7+0))</f>
        <v/>
      </c>
      <c r="I29" s="12">
        <f>MAX(0,$F29-INDEX(Grid_Stock[#Data],16,$P$7+1))</f>
        <v/>
      </c>
      <c r="J29" s="12">
        <f>MAX(0,$F29-INDEX(Grid_Stock[#Data],16,$P$7+2))</f>
        <v/>
      </c>
      <c r="K29" s="12">
        <f>MAX(0,$F29-INDEX(Grid_Stock[#Data],16,$P$7+3))</f>
        <v/>
      </c>
      <c r="L29" s="12">
        <f>MAX(0,$F29-INDEX(Grid_Stock[#Data],16,$P$7+4))</f>
        <v/>
      </c>
      <c r="M29" s="12">
        <f>MAX(0,$F29-INDEX(Grid_Stock[#Data],16,$P$7+5))</f>
        <v/>
      </c>
      <c r="N29" s="12">
        <f>MAX(0,$F29-INDEX(Grid_Stock[#Data],16,$P$7+6))</f>
        <v/>
      </c>
      <c r="O29" s="12">
        <f>MAX(0,$F29-INDEX(Grid_Stock[#Data],16,$P$7+7))</f>
        <v/>
      </c>
      <c r="P29" s="12">
        <f>MAX(0,$F29-INDEX(Grid_Stock[#Data],16,$P$7+8))</f>
        <v/>
      </c>
      <c r="Q29" s="12">
        <f>MAX(0,$F29-INDEX(Grid_Stock[#Data],16,$P$7+9))</f>
        <v/>
      </c>
      <c r="R29" s="12">
        <f>MAX(0,$F29-INDEX(Grid_Stock[#Data],16,$P$7+10))</f>
        <v/>
      </c>
      <c r="S29" s="12">
        <f>MAX(0,$F29-INDEX(Grid_Stock[#Data],16,$P$7+11))</f>
        <v/>
      </c>
      <c r="T29" s="12">
        <f>MAX(0,$F29-INDEX(Grid_Stock[#Data],16,$P$7+12))</f>
        <v/>
      </c>
      <c r="U29" s="12">
        <f>SUM(H29:T29)</f>
        <v/>
      </c>
    </row>
    <row r="30">
      <c r="B30" s="13">
        <f>IFERROR(INDEX(M_RawMaterials[Description],MATCH("CHEM-1600",M_RawMaterials[Part Name],0)),"")</f>
        <v/>
      </c>
      <c r="C30" s="13" t="inlineStr">
        <is>
          <t>71388005101</t>
        </is>
      </c>
      <c r="D30" s="13" t="inlineStr">
        <is>
          <t>CHEM-1600</t>
        </is>
      </c>
      <c r="E30" s="13" t="inlineStr">
        <is>
          <t>kg</t>
        </is>
      </c>
      <c r="F30" s="13">
        <f>IFERROR(INDEX(M_RawMaterials[基準在庫下限_要入力],MATCH("CHEM-1600",M_RawMaterials[Part Name],0)),0)</f>
        <v/>
      </c>
      <c r="G30" s="13">
        <f>INDEX(Grid_Stock[#Data],18,$P$7)</f>
        <v/>
      </c>
      <c r="H30" s="13">
        <f>MAX(0,$F30-INDEX(Grid_Stock[#Data],18,$P$7+0))</f>
        <v/>
      </c>
      <c r="I30" s="13">
        <f>MAX(0,$F30-INDEX(Grid_Stock[#Data],18,$P$7+1))</f>
        <v/>
      </c>
      <c r="J30" s="13">
        <f>MAX(0,$F30-INDEX(Grid_Stock[#Data],18,$P$7+2))</f>
        <v/>
      </c>
      <c r="K30" s="13">
        <f>MAX(0,$F30-INDEX(Grid_Stock[#Data],18,$P$7+3))</f>
        <v/>
      </c>
      <c r="L30" s="13">
        <f>MAX(0,$F30-INDEX(Grid_Stock[#Data],18,$P$7+4))</f>
        <v/>
      </c>
      <c r="M30" s="13">
        <f>MAX(0,$F30-INDEX(Grid_Stock[#Data],18,$P$7+5))</f>
        <v/>
      </c>
      <c r="N30" s="13">
        <f>MAX(0,$F30-INDEX(Grid_Stock[#Data],18,$P$7+6))</f>
        <v/>
      </c>
      <c r="O30" s="13">
        <f>MAX(0,$F30-INDEX(Grid_Stock[#Data],18,$P$7+7))</f>
        <v/>
      </c>
      <c r="P30" s="13">
        <f>MAX(0,$F30-INDEX(Grid_Stock[#Data],18,$P$7+8))</f>
        <v/>
      </c>
      <c r="Q30" s="13">
        <f>MAX(0,$F30-INDEX(Grid_Stock[#Data],18,$P$7+9))</f>
        <v/>
      </c>
      <c r="R30" s="13">
        <f>MAX(0,$F30-INDEX(Grid_Stock[#Data],18,$P$7+10))</f>
        <v/>
      </c>
      <c r="S30" s="13">
        <f>MAX(0,$F30-INDEX(Grid_Stock[#Data],18,$P$7+11))</f>
        <v/>
      </c>
      <c r="T30" s="13">
        <f>MAX(0,$F30-INDEX(Grid_Stock[#Data],18,$P$7+12))</f>
        <v/>
      </c>
      <c r="U30" s="13">
        <f>SUM(H30:T30)</f>
        <v/>
      </c>
    </row>
    <row r="31">
      <c r="B31" s="12">
        <f>IFERROR(INDEX(M_RawMaterials[Description],MATCH("CHEM-1240",M_RawMaterials[Part Name],0)),"")</f>
        <v/>
      </c>
      <c r="C31" s="12" t="inlineStr">
        <is>
          <t>83988008101</t>
        </is>
      </c>
      <c r="D31" s="12" t="inlineStr">
        <is>
          <t>CHEM-1240</t>
        </is>
      </c>
      <c r="E31" s="12" t="inlineStr">
        <is>
          <t>kg</t>
        </is>
      </c>
      <c r="F31" s="12">
        <f>IFERROR(INDEX(M_RawMaterials[基準在庫下限_要入力],MATCH("CHEM-1240",M_RawMaterials[Part Name],0)),0)</f>
        <v/>
      </c>
      <c r="G31" s="12">
        <f>INDEX(Grid_Stock[#Data],20,$P$7)</f>
        <v/>
      </c>
      <c r="H31" s="12">
        <f>MAX(0,$F31-INDEX(Grid_Stock[#Data],20,$P$7+0))</f>
        <v/>
      </c>
      <c r="I31" s="12">
        <f>MAX(0,$F31-INDEX(Grid_Stock[#Data],20,$P$7+1))</f>
        <v/>
      </c>
      <c r="J31" s="12">
        <f>MAX(0,$F31-INDEX(Grid_Stock[#Data],20,$P$7+2))</f>
        <v/>
      </c>
      <c r="K31" s="12">
        <f>MAX(0,$F31-INDEX(Grid_Stock[#Data],20,$P$7+3))</f>
        <v/>
      </c>
      <c r="L31" s="12">
        <f>MAX(0,$F31-INDEX(Grid_Stock[#Data],20,$P$7+4))</f>
        <v/>
      </c>
      <c r="M31" s="12">
        <f>MAX(0,$F31-INDEX(Grid_Stock[#Data],20,$P$7+5))</f>
        <v/>
      </c>
      <c r="N31" s="12">
        <f>MAX(0,$F31-INDEX(Grid_Stock[#Data],20,$P$7+6))</f>
        <v/>
      </c>
      <c r="O31" s="12">
        <f>MAX(0,$F31-INDEX(Grid_Stock[#Data],20,$P$7+7))</f>
        <v/>
      </c>
      <c r="P31" s="12">
        <f>MAX(0,$F31-INDEX(Grid_Stock[#Data],20,$P$7+8))</f>
        <v/>
      </c>
      <c r="Q31" s="12">
        <f>MAX(0,$F31-INDEX(Grid_Stock[#Data],20,$P$7+9))</f>
        <v/>
      </c>
      <c r="R31" s="12">
        <f>MAX(0,$F31-INDEX(Grid_Stock[#Data],20,$P$7+10))</f>
        <v/>
      </c>
      <c r="S31" s="12">
        <f>MAX(0,$F31-INDEX(Grid_Stock[#Data],20,$P$7+11))</f>
        <v/>
      </c>
      <c r="T31" s="12">
        <f>MAX(0,$F31-INDEX(Grid_Stock[#Data],20,$P$7+12))</f>
        <v/>
      </c>
      <c r="U31" s="12">
        <f>SUM(H31:T31)</f>
        <v/>
      </c>
    </row>
    <row r="32">
      <c r="B32" s="13">
        <f>IFERROR(INDEX(M_RawMaterials[Description],MATCH("CHEM-1760",M_RawMaterials[Part Name],0)),"")</f>
        <v/>
      </c>
      <c r="C32" s="13" t="inlineStr">
        <is>
          <t>713880079</t>
        </is>
      </c>
      <c r="D32" s="13" t="inlineStr">
        <is>
          <t>CHEM-1760</t>
        </is>
      </c>
      <c r="E32" s="13" t="inlineStr">
        <is>
          <t>kg</t>
        </is>
      </c>
      <c r="F32" s="13">
        <f>IFERROR(INDEX(M_RawMaterials[基準在庫下限_要入力],MATCH("CHEM-1760",M_RawMaterials[Part Name],0)),0)</f>
        <v/>
      </c>
      <c r="G32" s="13">
        <f>INDEX(Grid_Stock[#Data],22,$P$7)</f>
        <v/>
      </c>
      <c r="H32" s="13">
        <f>MAX(0,$F32-INDEX(Grid_Stock[#Data],22,$P$7+0))</f>
        <v/>
      </c>
      <c r="I32" s="13">
        <f>MAX(0,$F32-INDEX(Grid_Stock[#Data],22,$P$7+1))</f>
        <v/>
      </c>
      <c r="J32" s="13">
        <f>MAX(0,$F32-INDEX(Grid_Stock[#Data],22,$P$7+2))</f>
        <v/>
      </c>
      <c r="K32" s="13">
        <f>MAX(0,$F32-INDEX(Grid_Stock[#Data],22,$P$7+3))</f>
        <v/>
      </c>
      <c r="L32" s="13">
        <f>MAX(0,$F32-INDEX(Grid_Stock[#Data],22,$P$7+4))</f>
        <v/>
      </c>
      <c r="M32" s="13">
        <f>MAX(0,$F32-INDEX(Grid_Stock[#Data],22,$P$7+5))</f>
        <v/>
      </c>
      <c r="N32" s="13">
        <f>MAX(0,$F32-INDEX(Grid_Stock[#Data],22,$P$7+6))</f>
        <v/>
      </c>
      <c r="O32" s="13">
        <f>MAX(0,$F32-INDEX(Grid_Stock[#Data],22,$P$7+7))</f>
        <v/>
      </c>
      <c r="P32" s="13">
        <f>MAX(0,$F32-INDEX(Grid_Stock[#Data],22,$P$7+8))</f>
        <v/>
      </c>
      <c r="Q32" s="13">
        <f>MAX(0,$F32-INDEX(Grid_Stock[#Data],22,$P$7+9))</f>
        <v/>
      </c>
      <c r="R32" s="13">
        <f>MAX(0,$F32-INDEX(Grid_Stock[#Data],22,$P$7+10))</f>
        <v/>
      </c>
      <c r="S32" s="13">
        <f>MAX(0,$F32-INDEX(Grid_Stock[#Data],22,$P$7+11))</f>
        <v/>
      </c>
      <c r="T32" s="13">
        <f>MAX(0,$F32-INDEX(Grid_Stock[#Data],22,$P$7+12))</f>
        <v/>
      </c>
      <c r="U32" s="13">
        <f>SUM(H32:T32)</f>
        <v/>
      </c>
    </row>
    <row r="33">
      <c r="B33" s="12">
        <f>IFERROR(INDEX(M_RawMaterials[Description],MATCH("Original Towel",M_RawMaterials[Part Name],0)),"")</f>
        <v/>
      </c>
      <c r="C33" s="12" t="inlineStr">
        <is>
          <t>859882220</t>
        </is>
      </c>
      <c r="D33" s="12" t="inlineStr">
        <is>
          <t>Original Towel</t>
        </is>
      </c>
      <c r="E33" s="12" t="inlineStr">
        <is>
          <t>kg</t>
        </is>
      </c>
      <c r="F33" s="12">
        <f>IFERROR(INDEX(M_RawMaterials[基準在庫下限_要入力],MATCH("Original Towel",M_RawMaterials[Part Name],0)),0)</f>
        <v/>
      </c>
      <c r="G33" s="12">
        <f>INDEX(Grid_Stock[#Data],23,$P$7)</f>
        <v/>
      </c>
      <c r="H33" s="12">
        <f>MAX(0,$F33-INDEX(Grid_Stock[#Data],23,$P$7+0))</f>
        <v/>
      </c>
      <c r="I33" s="12">
        <f>MAX(0,$F33-INDEX(Grid_Stock[#Data],23,$P$7+1))</f>
        <v/>
      </c>
      <c r="J33" s="12">
        <f>MAX(0,$F33-INDEX(Grid_Stock[#Data],23,$P$7+2))</f>
        <v/>
      </c>
      <c r="K33" s="12">
        <f>MAX(0,$F33-INDEX(Grid_Stock[#Data],23,$P$7+3))</f>
        <v/>
      </c>
      <c r="L33" s="12">
        <f>MAX(0,$F33-INDEX(Grid_Stock[#Data],23,$P$7+4))</f>
        <v/>
      </c>
      <c r="M33" s="12">
        <f>MAX(0,$F33-INDEX(Grid_Stock[#Data],23,$P$7+5))</f>
        <v/>
      </c>
      <c r="N33" s="12">
        <f>MAX(0,$F33-INDEX(Grid_Stock[#Data],23,$P$7+6))</f>
        <v/>
      </c>
      <c r="O33" s="12">
        <f>MAX(0,$F33-INDEX(Grid_Stock[#Data],23,$P$7+7))</f>
        <v/>
      </c>
      <c r="P33" s="12">
        <f>MAX(0,$F33-INDEX(Grid_Stock[#Data],23,$P$7+8))</f>
        <v/>
      </c>
      <c r="Q33" s="12">
        <f>MAX(0,$F33-INDEX(Grid_Stock[#Data],23,$P$7+9))</f>
        <v/>
      </c>
      <c r="R33" s="12">
        <f>MAX(0,$F33-INDEX(Grid_Stock[#Data],23,$P$7+10))</f>
        <v/>
      </c>
      <c r="S33" s="12">
        <f>MAX(0,$F33-INDEX(Grid_Stock[#Data],23,$P$7+11))</f>
        <v/>
      </c>
      <c r="T33" s="12">
        <f>MAX(0,$F33-INDEX(Grid_Stock[#Data],23,$P$7+12))</f>
        <v/>
      </c>
      <c r="U33" s="12">
        <f>SUM(H33:T33)</f>
        <v/>
      </c>
    </row>
    <row r="34">
      <c r="B34" s="13">
        <f>IFERROR(INDEX(M_RawMaterials[Description],MATCH("CHEM-1200",M_RawMaterials[Part Name],0)),"")</f>
        <v/>
      </c>
      <c r="C34" s="13" t="inlineStr">
        <is>
          <t>839880012</t>
        </is>
      </c>
      <c r="D34" s="13" t="inlineStr">
        <is>
          <t>CHEM-1200</t>
        </is>
      </c>
      <c r="E34" s="13" t="inlineStr">
        <is>
          <t>kg</t>
        </is>
      </c>
      <c r="F34" s="13">
        <f>IFERROR(INDEX(M_RawMaterials[基準在庫下限_要入力],MATCH("CHEM-1200",M_RawMaterials[Part Name],0)),0)</f>
        <v/>
      </c>
      <c r="G34" s="13">
        <f>INDEX(Grid_Stock[#Data],24,$P$7)</f>
        <v/>
      </c>
      <c r="H34" s="13">
        <f>MAX(0,$F34-INDEX(Grid_Stock[#Data],24,$P$7+0))</f>
        <v/>
      </c>
      <c r="I34" s="13">
        <f>MAX(0,$F34-INDEX(Grid_Stock[#Data],24,$P$7+1))</f>
        <v/>
      </c>
      <c r="J34" s="13">
        <f>MAX(0,$F34-INDEX(Grid_Stock[#Data],24,$P$7+2))</f>
        <v/>
      </c>
      <c r="K34" s="13">
        <f>MAX(0,$F34-INDEX(Grid_Stock[#Data],24,$P$7+3))</f>
        <v/>
      </c>
      <c r="L34" s="13">
        <f>MAX(0,$F34-INDEX(Grid_Stock[#Data],24,$P$7+4))</f>
        <v/>
      </c>
      <c r="M34" s="13">
        <f>MAX(0,$F34-INDEX(Grid_Stock[#Data],24,$P$7+5))</f>
        <v/>
      </c>
      <c r="N34" s="13">
        <f>MAX(0,$F34-INDEX(Grid_Stock[#Data],24,$P$7+6))</f>
        <v/>
      </c>
      <c r="O34" s="13">
        <f>MAX(0,$F34-INDEX(Grid_Stock[#Data],24,$P$7+7))</f>
        <v/>
      </c>
      <c r="P34" s="13">
        <f>MAX(0,$F34-INDEX(Grid_Stock[#Data],24,$P$7+8))</f>
        <v/>
      </c>
      <c r="Q34" s="13">
        <f>MAX(0,$F34-INDEX(Grid_Stock[#Data],24,$P$7+9))</f>
        <v/>
      </c>
      <c r="R34" s="13">
        <f>MAX(0,$F34-INDEX(Grid_Stock[#Data],24,$P$7+10))</f>
        <v/>
      </c>
      <c r="S34" s="13">
        <f>MAX(0,$F34-INDEX(Grid_Stock[#Data],24,$P$7+11))</f>
        <v/>
      </c>
      <c r="T34" s="13">
        <f>MAX(0,$F34-INDEX(Grid_Stock[#Data],24,$P$7+12))</f>
        <v/>
      </c>
      <c r="U34" s="13">
        <f>SUM(H34:T34)</f>
        <v/>
      </c>
    </row>
    <row r="35">
      <c r="B35" s="12">
        <f>IFERROR(INDEX(M_RawMaterials[Description],MATCH("CHEM-1830",M_RawMaterials[Part Name],0)),"")</f>
        <v/>
      </c>
      <c r="C35" s="12" t="inlineStr">
        <is>
          <t>713880083</t>
        </is>
      </c>
      <c r="D35" s="12" t="inlineStr">
        <is>
          <t>CHEM-1830</t>
        </is>
      </c>
      <c r="E35" s="12" t="inlineStr">
        <is>
          <t>kg</t>
        </is>
      </c>
      <c r="F35" s="12">
        <f>IFERROR(INDEX(M_RawMaterials[基準在庫下限_要入力],MATCH("CHEM-1830",M_RawMaterials[Part Name],0)),0)</f>
        <v/>
      </c>
      <c r="G35" s="12">
        <f>INDEX(Grid_Stock[#Data],25,$P$7)</f>
        <v/>
      </c>
      <c r="H35" s="12">
        <f>MAX(0,$F35-INDEX(Grid_Stock[#Data],25,$P$7+0))</f>
        <v/>
      </c>
      <c r="I35" s="12">
        <f>MAX(0,$F35-INDEX(Grid_Stock[#Data],25,$P$7+1))</f>
        <v/>
      </c>
      <c r="J35" s="12">
        <f>MAX(0,$F35-INDEX(Grid_Stock[#Data],25,$P$7+2))</f>
        <v/>
      </c>
      <c r="K35" s="12">
        <f>MAX(0,$F35-INDEX(Grid_Stock[#Data],25,$P$7+3))</f>
        <v/>
      </c>
      <c r="L35" s="12">
        <f>MAX(0,$F35-INDEX(Grid_Stock[#Data],25,$P$7+4))</f>
        <v/>
      </c>
      <c r="M35" s="12">
        <f>MAX(0,$F35-INDEX(Grid_Stock[#Data],25,$P$7+5))</f>
        <v/>
      </c>
      <c r="N35" s="12">
        <f>MAX(0,$F35-INDEX(Grid_Stock[#Data],25,$P$7+6))</f>
        <v/>
      </c>
      <c r="O35" s="12">
        <f>MAX(0,$F35-INDEX(Grid_Stock[#Data],25,$P$7+7))</f>
        <v/>
      </c>
      <c r="P35" s="12">
        <f>MAX(0,$F35-INDEX(Grid_Stock[#Data],25,$P$7+8))</f>
        <v/>
      </c>
      <c r="Q35" s="12">
        <f>MAX(0,$F35-INDEX(Grid_Stock[#Data],25,$P$7+9))</f>
        <v/>
      </c>
      <c r="R35" s="12">
        <f>MAX(0,$F35-INDEX(Grid_Stock[#Data],25,$P$7+10))</f>
        <v/>
      </c>
      <c r="S35" s="12">
        <f>MAX(0,$F35-INDEX(Grid_Stock[#Data],25,$P$7+11))</f>
        <v/>
      </c>
      <c r="T35" s="12">
        <f>MAX(0,$F35-INDEX(Grid_Stock[#Data],25,$P$7+12))</f>
        <v/>
      </c>
      <c r="U35" s="12">
        <f>SUM(H35:T35)</f>
        <v/>
      </c>
    </row>
    <row r="36">
      <c r="B36" s="13">
        <f>IFERROR(INDEX(M_RawMaterials[Description],MATCH("CHEM-1680",M_RawMaterials[Part Name],0)),"")</f>
        <v/>
      </c>
      <c r="C36" s="13" t="inlineStr">
        <is>
          <t>713880069</t>
        </is>
      </c>
      <c r="D36" s="13" t="inlineStr">
        <is>
          <t>CHEM-1680</t>
        </is>
      </c>
      <c r="E36" s="13" t="inlineStr">
        <is>
          <t>kg</t>
        </is>
      </c>
      <c r="F36" s="13">
        <f>IFERROR(INDEX(M_RawMaterials[基準在庫下限_要入力],MATCH("CHEM-1680",M_RawMaterials[Part Name],0)),0)</f>
        <v/>
      </c>
      <c r="G36" s="13">
        <f>INDEX(Grid_Stock[#Data],26,$P$7)</f>
        <v/>
      </c>
      <c r="H36" s="13">
        <f>MAX(0,$F36-INDEX(Grid_Stock[#Data],26,$P$7+0))</f>
        <v/>
      </c>
      <c r="I36" s="13">
        <f>MAX(0,$F36-INDEX(Grid_Stock[#Data],26,$P$7+1))</f>
        <v/>
      </c>
      <c r="J36" s="13">
        <f>MAX(0,$F36-INDEX(Grid_Stock[#Data],26,$P$7+2))</f>
        <v/>
      </c>
      <c r="K36" s="13">
        <f>MAX(0,$F36-INDEX(Grid_Stock[#Data],26,$P$7+3))</f>
        <v/>
      </c>
      <c r="L36" s="13">
        <f>MAX(0,$F36-INDEX(Grid_Stock[#Data],26,$P$7+4))</f>
        <v/>
      </c>
      <c r="M36" s="13">
        <f>MAX(0,$F36-INDEX(Grid_Stock[#Data],26,$P$7+5))</f>
        <v/>
      </c>
      <c r="N36" s="13">
        <f>MAX(0,$F36-INDEX(Grid_Stock[#Data],26,$P$7+6))</f>
        <v/>
      </c>
      <c r="O36" s="13">
        <f>MAX(0,$F36-INDEX(Grid_Stock[#Data],26,$P$7+7))</f>
        <v/>
      </c>
      <c r="P36" s="13">
        <f>MAX(0,$F36-INDEX(Grid_Stock[#Data],26,$P$7+8))</f>
        <v/>
      </c>
      <c r="Q36" s="13">
        <f>MAX(0,$F36-INDEX(Grid_Stock[#Data],26,$P$7+9))</f>
        <v/>
      </c>
      <c r="R36" s="13">
        <f>MAX(0,$F36-INDEX(Grid_Stock[#Data],26,$P$7+10))</f>
        <v/>
      </c>
      <c r="S36" s="13">
        <f>MAX(0,$F36-INDEX(Grid_Stock[#Data],26,$P$7+11))</f>
        <v/>
      </c>
      <c r="T36" s="13">
        <f>MAX(0,$F36-INDEX(Grid_Stock[#Data],26,$P$7+12))</f>
        <v/>
      </c>
      <c r="U36" s="13">
        <f>SUM(H36:T36)</f>
        <v/>
      </c>
    </row>
    <row r="37">
      <c r="B37" s="12">
        <f>IFERROR(INDEX(M_RawMaterials[Description],MATCH("CHEM-1820",M_RawMaterials[Part Name],0)),"")</f>
        <v/>
      </c>
      <c r="C37" s="12" t="inlineStr">
        <is>
          <t>713880091</t>
        </is>
      </c>
      <c r="D37" s="12" t="inlineStr">
        <is>
          <t>CHEM-1820</t>
        </is>
      </c>
      <c r="E37" s="12" t="inlineStr">
        <is>
          <t>kg</t>
        </is>
      </c>
      <c r="F37" s="12">
        <f>IFERROR(INDEX(M_RawMaterials[基準在庫下限_要入力],MATCH("CHEM-1820",M_RawMaterials[Part Name],0)),0)</f>
        <v/>
      </c>
      <c r="G37" s="12">
        <f>INDEX(Grid_Stock[#Data],27,$P$7)</f>
        <v/>
      </c>
      <c r="H37" s="12">
        <f>MAX(0,$F37-INDEX(Grid_Stock[#Data],27,$P$7+0))</f>
        <v/>
      </c>
      <c r="I37" s="12">
        <f>MAX(0,$F37-INDEX(Grid_Stock[#Data],27,$P$7+1))</f>
        <v/>
      </c>
      <c r="J37" s="12">
        <f>MAX(0,$F37-INDEX(Grid_Stock[#Data],27,$P$7+2))</f>
        <v/>
      </c>
      <c r="K37" s="12">
        <f>MAX(0,$F37-INDEX(Grid_Stock[#Data],27,$P$7+3))</f>
        <v/>
      </c>
      <c r="L37" s="12">
        <f>MAX(0,$F37-INDEX(Grid_Stock[#Data],27,$P$7+4))</f>
        <v/>
      </c>
      <c r="M37" s="12">
        <f>MAX(0,$F37-INDEX(Grid_Stock[#Data],27,$P$7+5))</f>
        <v/>
      </c>
      <c r="N37" s="12">
        <f>MAX(0,$F37-INDEX(Grid_Stock[#Data],27,$P$7+6))</f>
        <v/>
      </c>
      <c r="O37" s="12">
        <f>MAX(0,$F37-INDEX(Grid_Stock[#Data],27,$P$7+7))</f>
        <v/>
      </c>
      <c r="P37" s="12">
        <f>MAX(0,$F37-INDEX(Grid_Stock[#Data],27,$P$7+8))</f>
        <v/>
      </c>
      <c r="Q37" s="12">
        <f>MAX(0,$F37-INDEX(Grid_Stock[#Data],27,$P$7+9))</f>
        <v/>
      </c>
      <c r="R37" s="12">
        <f>MAX(0,$F37-INDEX(Grid_Stock[#Data],27,$P$7+10))</f>
        <v/>
      </c>
      <c r="S37" s="12">
        <f>MAX(0,$F37-INDEX(Grid_Stock[#Data],27,$P$7+11))</f>
        <v/>
      </c>
      <c r="T37" s="12">
        <f>MAX(0,$F37-INDEX(Grid_Stock[#Data],27,$P$7+12))</f>
        <v/>
      </c>
      <c r="U37" s="12">
        <f>SUM(H37:T37)</f>
        <v/>
      </c>
    </row>
    <row r="38">
      <c r="B38" s="13">
        <f>IFERROR(INDEX(M_RawMaterials[Description],MATCH("CHEM-1840",M_RawMaterials[Part Name],0)),"")</f>
        <v/>
      </c>
      <c r="C38" s="13" t="inlineStr">
        <is>
          <t>712886281</t>
        </is>
      </c>
      <c r="D38" s="13" t="inlineStr">
        <is>
          <t>CHEM-1840</t>
        </is>
      </c>
      <c r="E38" s="13" t="inlineStr">
        <is>
          <t>kg</t>
        </is>
      </c>
      <c r="F38" s="13">
        <f>IFERROR(INDEX(M_RawMaterials[基準在庫下限_要入力],MATCH("CHEM-1840",M_RawMaterials[Part Name],0)),0)</f>
        <v/>
      </c>
      <c r="G38" s="13">
        <f>INDEX(Grid_Stock[#Data],28,$P$7)</f>
        <v/>
      </c>
      <c r="H38" s="13">
        <f>MAX(0,$F38-INDEX(Grid_Stock[#Data],28,$P$7+0))</f>
        <v/>
      </c>
      <c r="I38" s="13">
        <f>MAX(0,$F38-INDEX(Grid_Stock[#Data],28,$P$7+1))</f>
        <v/>
      </c>
      <c r="J38" s="13">
        <f>MAX(0,$F38-INDEX(Grid_Stock[#Data],28,$P$7+2))</f>
        <v/>
      </c>
      <c r="K38" s="13">
        <f>MAX(0,$F38-INDEX(Grid_Stock[#Data],28,$P$7+3))</f>
        <v/>
      </c>
      <c r="L38" s="13">
        <f>MAX(0,$F38-INDEX(Grid_Stock[#Data],28,$P$7+4))</f>
        <v/>
      </c>
      <c r="M38" s="13">
        <f>MAX(0,$F38-INDEX(Grid_Stock[#Data],28,$P$7+5))</f>
        <v/>
      </c>
      <c r="N38" s="13">
        <f>MAX(0,$F38-INDEX(Grid_Stock[#Data],28,$P$7+6))</f>
        <v/>
      </c>
      <c r="O38" s="13">
        <f>MAX(0,$F38-INDEX(Grid_Stock[#Data],28,$P$7+7))</f>
        <v/>
      </c>
      <c r="P38" s="13">
        <f>MAX(0,$F38-INDEX(Grid_Stock[#Data],28,$P$7+8))</f>
        <v/>
      </c>
      <c r="Q38" s="13">
        <f>MAX(0,$F38-INDEX(Grid_Stock[#Data],28,$P$7+9))</f>
        <v/>
      </c>
      <c r="R38" s="13">
        <f>MAX(0,$F38-INDEX(Grid_Stock[#Data],28,$P$7+10))</f>
        <v/>
      </c>
      <c r="S38" s="13">
        <f>MAX(0,$F38-INDEX(Grid_Stock[#Data],28,$P$7+11))</f>
        <v/>
      </c>
      <c r="T38" s="13">
        <f>MAX(0,$F38-INDEX(Grid_Stock[#Data],28,$P$7+12))</f>
        <v/>
      </c>
      <c r="U38" s="13">
        <f>SUM(H38:T38)</f>
        <v/>
      </c>
    </row>
    <row r="39">
      <c r="B39" s="12">
        <f>IFERROR(INDEX(M_RawMaterials[Description],MATCH("CHEM-1730",M_RawMaterials[Part Name],0)),"")</f>
        <v/>
      </c>
      <c r="C39" s="12" t="inlineStr">
        <is>
          <t>71388007701</t>
        </is>
      </c>
      <c r="D39" s="12" t="inlineStr">
        <is>
          <t>CHEM-1730</t>
        </is>
      </c>
      <c r="E39" s="12" t="inlineStr">
        <is>
          <t>kg</t>
        </is>
      </c>
      <c r="F39" s="12">
        <f>IFERROR(INDEX(M_RawMaterials[基準在庫下限_要入力],MATCH("CHEM-1730",M_RawMaterials[Part Name],0)),0)</f>
        <v/>
      </c>
      <c r="G39" s="12">
        <f>INDEX(Grid_Stock[#Data],30,$P$7)</f>
        <v/>
      </c>
      <c r="H39" s="12">
        <f>MAX(0,$F39-INDEX(Grid_Stock[#Data],30,$P$7+0))</f>
        <v/>
      </c>
      <c r="I39" s="12">
        <f>MAX(0,$F39-INDEX(Grid_Stock[#Data],30,$P$7+1))</f>
        <v/>
      </c>
      <c r="J39" s="12">
        <f>MAX(0,$F39-INDEX(Grid_Stock[#Data],30,$P$7+2))</f>
        <v/>
      </c>
      <c r="K39" s="12">
        <f>MAX(0,$F39-INDEX(Grid_Stock[#Data],30,$P$7+3))</f>
        <v/>
      </c>
      <c r="L39" s="12">
        <f>MAX(0,$F39-INDEX(Grid_Stock[#Data],30,$P$7+4))</f>
        <v/>
      </c>
      <c r="M39" s="12">
        <f>MAX(0,$F39-INDEX(Grid_Stock[#Data],30,$P$7+5))</f>
        <v/>
      </c>
      <c r="N39" s="12">
        <f>MAX(0,$F39-INDEX(Grid_Stock[#Data],30,$P$7+6))</f>
        <v/>
      </c>
      <c r="O39" s="12">
        <f>MAX(0,$F39-INDEX(Grid_Stock[#Data],30,$P$7+7))</f>
        <v/>
      </c>
      <c r="P39" s="12">
        <f>MAX(0,$F39-INDEX(Grid_Stock[#Data],30,$P$7+8))</f>
        <v/>
      </c>
      <c r="Q39" s="12">
        <f>MAX(0,$F39-INDEX(Grid_Stock[#Data],30,$P$7+9))</f>
        <v/>
      </c>
      <c r="R39" s="12">
        <f>MAX(0,$F39-INDEX(Grid_Stock[#Data],30,$P$7+10))</f>
        <v/>
      </c>
      <c r="S39" s="12">
        <f>MAX(0,$F39-INDEX(Grid_Stock[#Data],30,$P$7+11))</f>
        <v/>
      </c>
      <c r="T39" s="12">
        <f>MAX(0,$F39-INDEX(Grid_Stock[#Data],30,$P$7+12))</f>
        <v/>
      </c>
      <c r="U39" s="12">
        <f>SUM(H39:T39)</f>
        <v/>
      </c>
    </row>
    <row r="40">
      <c r="B40" s="13">
        <f>IFERROR(INDEX(M_RawMaterials[Description],MATCH("CHEM-1430",M_RawMaterials[Part Name],0)),"")</f>
        <v/>
      </c>
      <c r="C40" s="13" t="inlineStr">
        <is>
          <t>71388004301</t>
        </is>
      </c>
      <c r="D40" s="13" t="inlineStr">
        <is>
          <t>CHEM-1430</t>
        </is>
      </c>
      <c r="E40" s="13" t="inlineStr">
        <is>
          <t>kg</t>
        </is>
      </c>
      <c r="F40" s="13">
        <f>IFERROR(INDEX(M_RawMaterials[基準在庫下限_要入力],MATCH("CHEM-1430",M_RawMaterials[Part Name],0)),0)</f>
        <v/>
      </c>
      <c r="G40" s="13">
        <f>INDEX(Grid_Stock[#Data],31,$P$7)</f>
        <v/>
      </c>
      <c r="H40" s="13">
        <f>MAX(0,$F40-INDEX(Grid_Stock[#Data],31,$P$7+0))</f>
        <v/>
      </c>
      <c r="I40" s="13">
        <f>MAX(0,$F40-INDEX(Grid_Stock[#Data],31,$P$7+1))</f>
        <v/>
      </c>
      <c r="J40" s="13">
        <f>MAX(0,$F40-INDEX(Grid_Stock[#Data],31,$P$7+2))</f>
        <v/>
      </c>
      <c r="K40" s="13">
        <f>MAX(0,$F40-INDEX(Grid_Stock[#Data],31,$P$7+3))</f>
        <v/>
      </c>
      <c r="L40" s="13">
        <f>MAX(0,$F40-INDEX(Grid_Stock[#Data],31,$P$7+4))</f>
        <v/>
      </c>
      <c r="M40" s="13">
        <f>MAX(0,$F40-INDEX(Grid_Stock[#Data],31,$P$7+5))</f>
        <v/>
      </c>
      <c r="N40" s="13">
        <f>MAX(0,$F40-INDEX(Grid_Stock[#Data],31,$P$7+6))</f>
        <v/>
      </c>
      <c r="O40" s="13">
        <f>MAX(0,$F40-INDEX(Grid_Stock[#Data],31,$P$7+7))</f>
        <v/>
      </c>
      <c r="P40" s="13">
        <f>MAX(0,$F40-INDEX(Grid_Stock[#Data],31,$P$7+8))</f>
        <v/>
      </c>
      <c r="Q40" s="13">
        <f>MAX(0,$F40-INDEX(Grid_Stock[#Data],31,$P$7+9))</f>
        <v/>
      </c>
      <c r="R40" s="13">
        <f>MAX(0,$F40-INDEX(Grid_Stock[#Data],31,$P$7+10))</f>
        <v/>
      </c>
      <c r="S40" s="13">
        <f>MAX(0,$F40-INDEX(Grid_Stock[#Data],31,$P$7+11))</f>
        <v/>
      </c>
      <c r="T40" s="13">
        <f>MAX(0,$F40-INDEX(Grid_Stock[#Data],31,$P$7+12))</f>
        <v/>
      </c>
      <c r="U40" s="13">
        <f>SUM(H40:T40)</f>
        <v/>
      </c>
    </row>
    <row r="41">
      <c r="B41" s="12">
        <f>IFERROR(INDEX(M_RawMaterials[Description],MATCH("CHEM-1480",M_RawMaterials[Part Name],0)),"")</f>
        <v/>
      </c>
      <c r="C41" s="12" t="inlineStr">
        <is>
          <t>NAT30</t>
        </is>
      </c>
      <c r="D41" s="12" t="inlineStr">
        <is>
          <t>CHEM-1480</t>
        </is>
      </c>
      <c r="E41" s="12" t="inlineStr">
        <is>
          <t>kg</t>
        </is>
      </c>
      <c r="F41" s="12">
        <f>IFERROR(INDEX(M_RawMaterials[基準在庫下限_要入力],MATCH("CHEM-1480",M_RawMaterials[Part Name],0)),0)</f>
        <v/>
      </c>
      <c r="G41" s="12">
        <f>INDEX(Grid_Stock[#Data],32,$P$7)</f>
        <v/>
      </c>
      <c r="H41" s="12">
        <f>MAX(0,$F41-INDEX(Grid_Stock[#Data],32,$P$7+0))</f>
        <v/>
      </c>
      <c r="I41" s="12">
        <f>MAX(0,$F41-INDEX(Grid_Stock[#Data],32,$P$7+1))</f>
        <v/>
      </c>
      <c r="J41" s="12">
        <f>MAX(0,$F41-INDEX(Grid_Stock[#Data],32,$P$7+2))</f>
        <v/>
      </c>
      <c r="K41" s="12">
        <f>MAX(0,$F41-INDEX(Grid_Stock[#Data],32,$P$7+3))</f>
        <v/>
      </c>
      <c r="L41" s="12">
        <f>MAX(0,$F41-INDEX(Grid_Stock[#Data],32,$P$7+4))</f>
        <v/>
      </c>
      <c r="M41" s="12">
        <f>MAX(0,$F41-INDEX(Grid_Stock[#Data],32,$P$7+5))</f>
        <v/>
      </c>
      <c r="N41" s="12">
        <f>MAX(0,$F41-INDEX(Grid_Stock[#Data],32,$P$7+6))</f>
        <v/>
      </c>
      <c r="O41" s="12">
        <f>MAX(0,$F41-INDEX(Grid_Stock[#Data],32,$P$7+7))</f>
        <v/>
      </c>
      <c r="P41" s="12">
        <f>MAX(0,$F41-INDEX(Grid_Stock[#Data],32,$P$7+8))</f>
        <v/>
      </c>
      <c r="Q41" s="12">
        <f>MAX(0,$F41-INDEX(Grid_Stock[#Data],32,$P$7+9))</f>
        <v/>
      </c>
      <c r="R41" s="12">
        <f>MAX(0,$F41-INDEX(Grid_Stock[#Data],32,$P$7+10))</f>
        <v/>
      </c>
      <c r="S41" s="12">
        <f>MAX(0,$F41-INDEX(Grid_Stock[#Data],32,$P$7+11))</f>
        <v/>
      </c>
      <c r="T41" s="12">
        <f>MAX(0,$F41-INDEX(Grid_Stock[#Data],32,$P$7+12))</f>
        <v/>
      </c>
      <c r="U41" s="12">
        <f>SUM(H41:T41)</f>
        <v/>
      </c>
    </row>
    <row r="42">
      <c r="B42" s="13">
        <f>IFERROR(INDEX(M_RawMaterials[Description],MATCH("CHEM-1560",M_RawMaterials[Part Name],0)),"")</f>
        <v/>
      </c>
      <c r="C42" s="13" t="inlineStr">
        <is>
          <t>734831030</t>
        </is>
      </c>
      <c r="D42" s="13" t="inlineStr">
        <is>
          <t>CHEM-1560</t>
        </is>
      </c>
      <c r="E42" s="13" t="inlineStr">
        <is>
          <t>kg</t>
        </is>
      </c>
      <c r="F42" s="13">
        <f>IFERROR(INDEX(M_RawMaterials[基準在庫下限_要入力],MATCH("CHEM-1560",M_RawMaterials[Part Name],0)),0)</f>
        <v/>
      </c>
      <c r="G42" s="13">
        <f>INDEX(Grid_Stock[#Data],33,$P$7)</f>
        <v/>
      </c>
      <c r="H42" s="13">
        <f>MAX(0,$F42-INDEX(Grid_Stock[#Data],33,$P$7+0))</f>
        <v/>
      </c>
      <c r="I42" s="13">
        <f>MAX(0,$F42-INDEX(Grid_Stock[#Data],33,$P$7+1))</f>
        <v/>
      </c>
      <c r="J42" s="13">
        <f>MAX(0,$F42-INDEX(Grid_Stock[#Data],33,$P$7+2))</f>
        <v/>
      </c>
      <c r="K42" s="13">
        <f>MAX(0,$F42-INDEX(Grid_Stock[#Data],33,$P$7+3))</f>
        <v/>
      </c>
      <c r="L42" s="13">
        <f>MAX(0,$F42-INDEX(Grid_Stock[#Data],33,$P$7+4))</f>
        <v/>
      </c>
      <c r="M42" s="13">
        <f>MAX(0,$F42-INDEX(Grid_Stock[#Data],33,$P$7+5))</f>
        <v/>
      </c>
      <c r="N42" s="13">
        <f>MAX(0,$F42-INDEX(Grid_Stock[#Data],33,$P$7+6))</f>
        <v/>
      </c>
      <c r="O42" s="13">
        <f>MAX(0,$F42-INDEX(Grid_Stock[#Data],33,$P$7+7))</f>
        <v/>
      </c>
      <c r="P42" s="13">
        <f>MAX(0,$F42-INDEX(Grid_Stock[#Data],33,$P$7+8))</f>
        <v/>
      </c>
      <c r="Q42" s="13">
        <f>MAX(0,$F42-INDEX(Grid_Stock[#Data],33,$P$7+9))</f>
        <v/>
      </c>
      <c r="R42" s="13">
        <f>MAX(0,$F42-INDEX(Grid_Stock[#Data],33,$P$7+10))</f>
        <v/>
      </c>
      <c r="S42" s="13">
        <f>MAX(0,$F42-INDEX(Grid_Stock[#Data],33,$P$7+11))</f>
        <v/>
      </c>
      <c r="T42" s="13">
        <f>MAX(0,$F42-INDEX(Grid_Stock[#Data],33,$P$7+12))</f>
        <v/>
      </c>
      <c r="U42" s="13">
        <f>SUM(H42:T42)</f>
        <v/>
      </c>
    </row>
    <row r="43">
      <c r="B43" s="12">
        <f>IFERROR(INDEX(M_RawMaterials[Description],MATCH("CHEM-1510",M_RawMaterials[Part Name],0)),"")</f>
        <v/>
      </c>
      <c r="C43" s="12" t="inlineStr">
        <is>
          <t>71288625001</t>
        </is>
      </c>
      <c r="D43" s="12" t="inlineStr">
        <is>
          <t>CHEM-1510</t>
        </is>
      </c>
      <c r="E43" s="12" t="inlineStr">
        <is>
          <t>kg</t>
        </is>
      </c>
      <c r="F43" s="12">
        <f>IFERROR(INDEX(M_RawMaterials[基準在庫下限_要入力],MATCH("CHEM-1510",M_RawMaterials[Part Name],0)),0)</f>
        <v/>
      </c>
      <c r="G43" s="12">
        <f>INDEX(Grid_Stock[#Data],34,$P$7)</f>
        <v/>
      </c>
      <c r="H43" s="12">
        <f>MAX(0,$F43-INDEX(Grid_Stock[#Data],34,$P$7+0))</f>
        <v/>
      </c>
      <c r="I43" s="12">
        <f>MAX(0,$F43-INDEX(Grid_Stock[#Data],34,$P$7+1))</f>
        <v/>
      </c>
      <c r="J43" s="12">
        <f>MAX(0,$F43-INDEX(Grid_Stock[#Data],34,$P$7+2))</f>
        <v/>
      </c>
      <c r="K43" s="12">
        <f>MAX(0,$F43-INDEX(Grid_Stock[#Data],34,$P$7+3))</f>
        <v/>
      </c>
      <c r="L43" s="12">
        <f>MAX(0,$F43-INDEX(Grid_Stock[#Data],34,$P$7+4))</f>
        <v/>
      </c>
      <c r="M43" s="12">
        <f>MAX(0,$F43-INDEX(Grid_Stock[#Data],34,$P$7+5))</f>
        <v/>
      </c>
      <c r="N43" s="12">
        <f>MAX(0,$F43-INDEX(Grid_Stock[#Data],34,$P$7+6))</f>
        <v/>
      </c>
      <c r="O43" s="12">
        <f>MAX(0,$F43-INDEX(Grid_Stock[#Data],34,$P$7+7))</f>
        <v/>
      </c>
      <c r="P43" s="12">
        <f>MAX(0,$F43-INDEX(Grid_Stock[#Data],34,$P$7+8))</f>
        <v/>
      </c>
      <c r="Q43" s="12">
        <f>MAX(0,$F43-INDEX(Grid_Stock[#Data],34,$P$7+9))</f>
        <v/>
      </c>
      <c r="R43" s="12">
        <f>MAX(0,$F43-INDEX(Grid_Stock[#Data],34,$P$7+10))</f>
        <v/>
      </c>
      <c r="S43" s="12">
        <f>MAX(0,$F43-INDEX(Grid_Stock[#Data],34,$P$7+11))</f>
        <v/>
      </c>
      <c r="T43" s="12">
        <f>MAX(0,$F43-INDEX(Grid_Stock[#Data],34,$P$7+12))</f>
        <v/>
      </c>
      <c r="U43" s="12">
        <f>SUM(H43:T43)</f>
        <v/>
      </c>
    </row>
    <row r="44">
      <c r="B44" s="13">
        <f>IFERROR(INDEX(M_RawMaterials[Description],MATCH("CHEM-1770",M_RawMaterials[Part Name],0)),"")</f>
        <v/>
      </c>
      <c r="C44" s="13" t="inlineStr">
        <is>
          <t>New</t>
        </is>
      </c>
      <c r="D44" s="13" t="inlineStr">
        <is>
          <t>CHEM-1770</t>
        </is>
      </c>
      <c r="E44" s="13" t="inlineStr">
        <is>
          <t>kg</t>
        </is>
      </c>
      <c r="F44" s="13">
        <f>IFERROR(INDEX(M_RawMaterials[基準在庫下限_要入力],MATCH("CHEM-1770",M_RawMaterials[Part Name],0)),0)</f>
        <v/>
      </c>
      <c r="G44" s="13">
        <f>INDEX(Grid_Stock[#Data],35,$P$7)</f>
        <v/>
      </c>
      <c r="H44" s="13">
        <f>MAX(0,$F44-INDEX(Grid_Stock[#Data],35,$P$7+0))</f>
        <v/>
      </c>
      <c r="I44" s="13">
        <f>MAX(0,$F44-INDEX(Grid_Stock[#Data],35,$P$7+1))</f>
        <v/>
      </c>
      <c r="J44" s="13">
        <f>MAX(0,$F44-INDEX(Grid_Stock[#Data],35,$P$7+2))</f>
        <v/>
      </c>
      <c r="K44" s="13">
        <f>MAX(0,$F44-INDEX(Grid_Stock[#Data],35,$P$7+3))</f>
        <v/>
      </c>
      <c r="L44" s="13">
        <f>MAX(0,$F44-INDEX(Grid_Stock[#Data],35,$P$7+4))</f>
        <v/>
      </c>
      <c r="M44" s="13">
        <f>MAX(0,$F44-INDEX(Grid_Stock[#Data],35,$P$7+5))</f>
        <v/>
      </c>
      <c r="N44" s="13">
        <f>MAX(0,$F44-INDEX(Grid_Stock[#Data],35,$P$7+6))</f>
        <v/>
      </c>
      <c r="O44" s="13">
        <f>MAX(0,$F44-INDEX(Grid_Stock[#Data],35,$P$7+7))</f>
        <v/>
      </c>
      <c r="P44" s="13">
        <f>MAX(0,$F44-INDEX(Grid_Stock[#Data],35,$P$7+8))</f>
        <v/>
      </c>
      <c r="Q44" s="13">
        <f>MAX(0,$F44-INDEX(Grid_Stock[#Data],35,$P$7+9))</f>
        <v/>
      </c>
      <c r="R44" s="13">
        <f>MAX(0,$F44-INDEX(Grid_Stock[#Data],35,$P$7+10))</f>
        <v/>
      </c>
      <c r="S44" s="13">
        <f>MAX(0,$F44-INDEX(Grid_Stock[#Data],35,$P$7+11))</f>
        <v/>
      </c>
      <c r="T44" s="13">
        <f>MAX(0,$F44-INDEX(Grid_Stock[#Data],35,$P$7+12))</f>
        <v/>
      </c>
      <c r="U44" s="13">
        <f>SUM(H44:T44)</f>
        <v/>
      </c>
    </row>
    <row r="45">
      <c r="B45" s="12">
        <f>IFERROR(INDEX(M_RawMaterials[Description],MATCH("CHEM-1020",M_RawMaterials[Part Name],0)),"")</f>
        <v/>
      </c>
      <c r="C45" s="12" t="inlineStr"/>
      <c r="D45" s="12" t="inlineStr">
        <is>
          <t>CHEM-1020</t>
        </is>
      </c>
      <c r="E45" s="12" t="inlineStr">
        <is>
          <t>kg</t>
        </is>
      </c>
      <c r="F45" s="12">
        <f>IFERROR(INDEX(M_RawMaterials[基準在庫下限_要入力],MATCH("CHEM-1020",M_RawMaterials[Part Name],0)),0)</f>
        <v/>
      </c>
      <c r="G45" s="12">
        <f>INDEX(Grid_Stock[#Data],36,$P$7)</f>
        <v/>
      </c>
      <c r="H45" s="12">
        <f>MAX(0,$F45-INDEX(Grid_Stock[#Data],36,$P$7+0))</f>
        <v/>
      </c>
      <c r="I45" s="12">
        <f>MAX(0,$F45-INDEX(Grid_Stock[#Data],36,$P$7+1))</f>
        <v/>
      </c>
      <c r="J45" s="12">
        <f>MAX(0,$F45-INDEX(Grid_Stock[#Data],36,$P$7+2))</f>
        <v/>
      </c>
      <c r="K45" s="12">
        <f>MAX(0,$F45-INDEX(Grid_Stock[#Data],36,$P$7+3))</f>
        <v/>
      </c>
      <c r="L45" s="12">
        <f>MAX(0,$F45-INDEX(Grid_Stock[#Data],36,$P$7+4))</f>
        <v/>
      </c>
      <c r="M45" s="12">
        <f>MAX(0,$F45-INDEX(Grid_Stock[#Data],36,$P$7+5))</f>
        <v/>
      </c>
      <c r="N45" s="12">
        <f>MAX(0,$F45-INDEX(Grid_Stock[#Data],36,$P$7+6))</f>
        <v/>
      </c>
      <c r="O45" s="12">
        <f>MAX(0,$F45-INDEX(Grid_Stock[#Data],36,$P$7+7))</f>
        <v/>
      </c>
      <c r="P45" s="12">
        <f>MAX(0,$F45-INDEX(Grid_Stock[#Data],36,$P$7+8))</f>
        <v/>
      </c>
      <c r="Q45" s="12">
        <f>MAX(0,$F45-INDEX(Grid_Stock[#Data],36,$P$7+9))</f>
        <v/>
      </c>
      <c r="R45" s="12">
        <f>MAX(0,$F45-INDEX(Grid_Stock[#Data],36,$P$7+10))</f>
        <v/>
      </c>
      <c r="S45" s="12">
        <f>MAX(0,$F45-INDEX(Grid_Stock[#Data],36,$P$7+11))</f>
        <v/>
      </c>
      <c r="T45" s="12">
        <f>MAX(0,$F45-INDEX(Grid_Stock[#Data],36,$P$7+12))</f>
        <v/>
      </c>
      <c r="U45" s="12">
        <f>SUM(H45:T45)</f>
        <v/>
      </c>
    </row>
    <row r="46">
      <c r="B46" s="13">
        <f>IFERROR(INDEX(M_RawMaterials[Description],MATCH("1JN",M_RawMaterials[Part Name],0)),"")</f>
        <v/>
      </c>
      <c r="C46" s="13" t="inlineStr"/>
      <c r="D46" s="13" t="inlineStr">
        <is>
          <t>1JN</t>
        </is>
      </c>
      <c r="E46" s="13" t="inlineStr">
        <is>
          <t>kg</t>
        </is>
      </c>
      <c r="F46" s="13">
        <f>IFERROR(INDEX(M_RawMaterials[基準在庫下限_要入力],MATCH("1JN",M_RawMaterials[Part Name],0)),0)</f>
        <v/>
      </c>
      <c r="G46" s="13">
        <f>INDEX(Grid_Stock[#Data],40,$P$7)</f>
        <v/>
      </c>
      <c r="H46" s="13">
        <f>MAX(0,$F46-INDEX(Grid_Stock[#Data],40,$P$7+0))</f>
        <v/>
      </c>
      <c r="I46" s="13">
        <f>MAX(0,$F46-INDEX(Grid_Stock[#Data],40,$P$7+1))</f>
        <v/>
      </c>
      <c r="J46" s="13">
        <f>MAX(0,$F46-INDEX(Grid_Stock[#Data],40,$P$7+2))</f>
        <v/>
      </c>
      <c r="K46" s="13">
        <f>MAX(0,$F46-INDEX(Grid_Stock[#Data],40,$P$7+3))</f>
        <v/>
      </c>
      <c r="L46" s="13">
        <f>MAX(0,$F46-INDEX(Grid_Stock[#Data],40,$P$7+4))</f>
        <v/>
      </c>
      <c r="M46" s="13">
        <f>MAX(0,$F46-INDEX(Grid_Stock[#Data],40,$P$7+5))</f>
        <v/>
      </c>
      <c r="N46" s="13">
        <f>MAX(0,$F46-INDEX(Grid_Stock[#Data],40,$P$7+6))</f>
        <v/>
      </c>
      <c r="O46" s="13">
        <f>MAX(0,$F46-INDEX(Grid_Stock[#Data],40,$P$7+7))</f>
        <v/>
      </c>
      <c r="P46" s="13">
        <f>MAX(0,$F46-INDEX(Grid_Stock[#Data],40,$P$7+8))</f>
        <v/>
      </c>
      <c r="Q46" s="13">
        <f>MAX(0,$F46-INDEX(Grid_Stock[#Data],40,$P$7+9))</f>
        <v/>
      </c>
      <c r="R46" s="13">
        <f>MAX(0,$F46-INDEX(Grid_Stock[#Data],40,$P$7+10))</f>
        <v/>
      </c>
      <c r="S46" s="13">
        <f>MAX(0,$F46-INDEX(Grid_Stock[#Data],40,$P$7+11))</f>
        <v/>
      </c>
      <c r="T46" s="13">
        <f>MAX(0,$F46-INDEX(Grid_Stock[#Data],40,$P$7+12))</f>
        <v/>
      </c>
      <c r="U46" s="13">
        <f>SUM(H46:T46)</f>
        <v/>
      </c>
    </row>
    <row r="47">
      <c r="B47" s="12">
        <f>IFERROR(INDEX(M_RawMaterials[Description],MATCH("V03",M_RawMaterials[Part Name],0)),"")</f>
        <v/>
      </c>
      <c r="C47" s="12" t="inlineStr"/>
      <c r="D47" s="12" t="inlineStr">
        <is>
          <t>V03</t>
        </is>
      </c>
      <c r="E47" s="12" t="inlineStr">
        <is>
          <t>kg</t>
        </is>
      </c>
      <c r="F47" s="12">
        <f>IFERROR(INDEX(M_RawMaterials[基準在庫下限_要入力],MATCH("V03",M_RawMaterials[Part Name],0)),0)</f>
        <v/>
      </c>
      <c r="G47" s="12">
        <f>INDEX(Grid_Stock[#Data],41,$P$7)</f>
        <v/>
      </c>
      <c r="H47" s="12">
        <f>MAX(0,$F47-INDEX(Grid_Stock[#Data],41,$P$7+0))</f>
        <v/>
      </c>
      <c r="I47" s="12">
        <f>MAX(0,$F47-INDEX(Grid_Stock[#Data],41,$P$7+1))</f>
        <v/>
      </c>
      <c r="J47" s="12">
        <f>MAX(0,$F47-INDEX(Grid_Stock[#Data],41,$P$7+2))</f>
        <v/>
      </c>
      <c r="K47" s="12">
        <f>MAX(0,$F47-INDEX(Grid_Stock[#Data],41,$P$7+3))</f>
        <v/>
      </c>
      <c r="L47" s="12">
        <f>MAX(0,$F47-INDEX(Grid_Stock[#Data],41,$P$7+4))</f>
        <v/>
      </c>
      <c r="M47" s="12">
        <f>MAX(0,$F47-INDEX(Grid_Stock[#Data],41,$P$7+5))</f>
        <v/>
      </c>
      <c r="N47" s="12">
        <f>MAX(0,$F47-INDEX(Grid_Stock[#Data],41,$P$7+6))</f>
        <v/>
      </c>
      <c r="O47" s="12">
        <f>MAX(0,$F47-INDEX(Grid_Stock[#Data],41,$P$7+7))</f>
        <v/>
      </c>
      <c r="P47" s="12">
        <f>MAX(0,$F47-INDEX(Grid_Stock[#Data],41,$P$7+8))</f>
        <v/>
      </c>
      <c r="Q47" s="12">
        <f>MAX(0,$F47-INDEX(Grid_Stock[#Data],41,$P$7+9))</f>
        <v/>
      </c>
      <c r="R47" s="12">
        <f>MAX(0,$F47-INDEX(Grid_Stock[#Data],41,$P$7+10))</f>
        <v/>
      </c>
      <c r="S47" s="12">
        <f>MAX(0,$F47-INDEX(Grid_Stock[#Data],41,$P$7+11))</f>
        <v/>
      </c>
      <c r="T47" s="12">
        <f>MAX(0,$F47-INDEX(Grid_Stock[#Data],41,$P$7+12))</f>
        <v/>
      </c>
      <c r="U47" s="12">
        <f>SUM(H47:T47)</f>
        <v/>
      </c>
    </row>
    <row r="48">
      <c r="B48" s="13">
        <f>IFERROR(INDEX(M_RawMaterials[Description],MATCH("V19",M_RawMaterials[Part Name],0)),"")</f>
        <v/>
      </c>
      <c r="C48" s="13" t="inlineStr"/>
      <c r="D48" s="13" t="inlineStr">
        <is>
          <t>V19</t>
        </is>
      </c>
      <c r="E48" s="13" t="inlineStr">
        <is>
          <t>kg</t>
        </is>
      </c>
      <c r="F48" s="13">
        <f>IFERROR(INDEX(M_RawMaterials[基準在庫下限_要入力],MATCH("V19",M_RawMaterials[Part Name],0)),0)</f>
        <v/>
      </c>
      <c r="G48" s="13">
        <f>INDEX(Grid_Stock[#Data],42,$P$7)</f>
        <v/>
      </c>
      <c r="H48" s="13">
        <f>MAX(0,$F48-INDEX(Grid_Stock[#Data],42,$P$7+0))</f>
        <v/>
      </c>
      <c r="I48" s="13">
        <f>MAX(0,$F48-INDEX(Grid_Stock[#Data],42,$P$7+1))</f>
        <v/>
      </c>
      <c r="J48" s="13">
        <f>MAX(0,$F48-INDEX(Grid_Stock[#Data],42,$P$7+2))</f>
        <v/>
      </c>
      <c r="K48" s="13">
        <f>MAX(0,$F48-INDEX(Grid_Stock[#Data],42,$P$7+3))</f>
        <v/>
      </c>
      <c r="L48" s="13">
        <f>MAX(0,$F48-INDEX(Grid_Stock[#Data],42,$P$7+4))</f>
        <v/>
      </c>
      <c r="M48" s="13">
        <f>MAX(0,$F48-INDEX(Grid_Stock[#Data],42,$P$7+5))</f>
        <v/>
      </c>
      <c r="N48" s="13">
        <f>MAX(0,$F48-INDEX(Grid_Stock[#Data],42,$P$7+6))</f>
        <v/>
      </c>
      <c r="O48" s="13">
        <f>MAX(0,$F48-INDEX(Grid_Stock[#Data],42,$P$7+7))</f>
        <v/>
      </c>
      <c r="P48" s="13">
        <f>MAX(0,$F48-INDEX(Grid_Stock[#Data],42,$P$7+8))</f>
        <v/>
      </c>
      <c r="Q48" s="13">
        <f>MAX(0,$F48-INDEX(Grid_Stock[#Data],42,$P$7+9))</f>
        <v/>
      </c>
      <c r="R48" s="13">
        <f>MAX(0,$F48-INDEX(Grid_Stock[#Data],42,$P$7+10))</f>
        <v/>
      </c>
      <c r="S48" s="13">
        <f>MAX(0,$F48-INDEX(Grid_Stock[#Data],42,$P$7+11))</f>
        <v/>
      </c>
      <c r="T48" s="13">
        <f>MAX(0,$F48-INDEX(Grid_Stock[#Data],42,$P$7+12))</f>
        <v/>
      </c>
      <c r="U48" s="13">
        <f>SUM(H48:T48)</f>
        <v/>
      </c>
    </row>
    <row r="49">
      <c r="B49" s="12">
        <f>IFERROR(INDEX(M_RawMaterials[Description],MATCH("A043",M_RawMaterials[Part Name],0)),"")</f>
        <v/>
      </c>
      <c r="C49" s="12" t="inlineStr"/>
      <c r="D49" s="12" t="inlineStr">
        <is>
          <t>A043</t>
        </is>
      </c>
      <c r="E49" s="12" t="inlineStr">
        <is>
          <t>kg</t>
        </is>
      </c>
      <c r="F49" s="12">
        <f>IFERROR(INDEX(M_RawMaterials[基準在庫下限_要入力],MATCH("A043",M_RawMaterials[Part Name],0)),0)</f>
        <v/>
      </c>
      <c r="G49" s="12">
        <f>INDEX(Grid_Stock[#Data],44,$P$7)</f>
        <v/>
      </c>
      <c r="H49" s="12">
        <f>MAX(0,$F49-INDEX(Grid_Stock[#Data],44,$P$7+0))</f>
        <v/>
      </c>
      <c r="I49" s="12">
        <f>MAX(0,$F49-INDEX(Grid_Stock[#Data],44,$P$7+1))</f>
        <v/>
      </c>
      <c r="J49" s="12">
        <f>MAX(0,$F49-INDEX(Grid_Stock[#Data],44,$P$7+2))</f>
        <v/>
      </c>
      <c r="K49" s="12">
        <f>MAX(0,$F49-INDEX(Grid_Stock[#Data],44,$P$7+3))</f>
        <v/>
      </c>
      <c r="L49" s="12">
        <f>MAX(0,$F49-INDEX(Grid_Stock[#Data],44,$P$7+4))</f>
        <v/>
      </c>
      <c r="M49" s="12">
        <f>MAX(0,$F49-INDEX(Grid_Stock[#Data],44,$P$7+5))</f>
        <v/>
      </c>
      <c r="N49" s="12">
        <f>MAX(0,$F49-INDEX(Grid_Stock[#Data],44,$P$7+6))</f>
        <v/>
      </c>
      <c r="O49" s="12">
        <f>MAX(0,$F49-INDEX(Grid_Stock[#Data],44,$P$7+7))</f>
        <v/>
      </c>
      <c r="P49" s="12">
        <f>MAX(0,$F49-INDEX(Grid_Stock[#Data],44,$P$7+8))</f>
        <v/>
      </c>
      <c r="Q49" s="12">
        <f>MAX(0,$F49-INDEX(Grid_Stock[#Data],44,$P$7+9))</f>
        <v/>
      </c>
      <c r="R49" s="12">
        <f>MAX(0,$F49-INDEX(Grid_Stock[#Data],44,$P$7+10))</f>
        <v/>
      </c>
      <c r="S49" s="12">
        <f>MAX(0,$F49-INDEX(Grid_Stock[#Data],44,$P$7+11))</f>
        <v/>
      </c>
      <c r="T49" s="12">
        <f>MAX(0,$F49-INDEX(Grid_Stock[#Data],44,$P$7+12))</f>
        <v/>
      </c>
      <c r="U49" s="12">
        <f>SUM(H49:T49)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U16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46226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Hazardous Chemicals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IFERROR(INDEX(M_RawMaterials[Description],MATCH("CHEM-1660",M_RawMaterials[Part Name],0)),"")</f>
        <v/>
      </c>
      <c r="C15" s="12" t="inlineStr">
        <is>
          <t>71288627101</t>
        </is>
      </c>
      <c r="D15" s="12" t="inlineStr">
        <is>
          <t>CHEM-1660</t>
        </is>
      </c>
      <c r="E15" s="12" t="inlineStr">
        <is>
          <t>kg</t>
        </is>
      </c>
      <c r="F15" s="12">
        <f>IFERROR(INDEX(M_RawMaterials[基準在庫下限_要入力],MATCH("CHEM-1660",M_RawMaterials[Part Name],0)),0)</f>
        <v/>
      </c>
      <c r="G15" s="12">
        <f>INDEX(Grid_Stock[#Data],17,$P$7)</f>
        <v/>
      </c>
      <c r="H15" s="12">
        <f>MAX(0,$F15-INDEX(Grid_Stock[#Data],17,$P$7+0))</f>
        <v/>
      </c>
      <c r="I15" s="12">
        <f>MAX(0,$F15-INDEX(Grid_Stock[#Data],17,$P$7+1))</f>
        <v/>
      </c>
      <c r="J15" s="12">
        <f>MAX(0,$F15-INDEX(Grid_Stock[#Data],17,$P$7+2))</f>
        <v/>
      </c>
      <c r="K15" s="12">
        <f>MAX(0,$F15-INDEX(Grid_Stock[#Data],17,$P$7+3))</f>
        <v/>
      </c>
      <c r="L15" s="12">
        <f>MAX(0,$F15-INDEX(Grid_Stock[#Data],17,$P$7+4))</f>
        <v/>
      </c>
      <c r="M15" s="12">
        <f>MAX(0,$F15-INDEX(Grid_Stock[#Data],17,$P$7+5))</f>
        <v/>
      </c>
      <c r="N15" s="12">
        <f>MAX(0,$F15-INDEX(Grid_Stock[#Data],17,$P$7+6))</f>
        <v/>
      </c>
      <c r="O15" s="12">
        <f>MAX(0,$F15-INDEX(Grid_Stock[#Data],17,$P$7+7))</f>
        <v/>
      </c>
      <c r="P15" s="12">
        <f>MAX(0,$F15-INDEX(Grid_Stock[#Data],17,$P$7+8))</f>
        <v/>
      </c>
      <c r="Q15" s="12">
        <f>MAX(0,$F15-INDEX(Grid_Stock[#Data],17,$P$7+9))</f>
        <v/>
      </c>
      <c r="R15" s="12">
        <f>MAX(0,$F15-INDEX(Grid_Stock[#Data],17,$P$7+10))</f>
        <v/>
      </c>
      <c r="S15" s="12">
        <f>MAX(0,$F15-INDEX(Grid_Stock[#Data],17,$P$7+11))</f>
        <v/>
      </c>
      <c r="T15" s="12">
        <f>MAX(0,$F15-INDEX(Grid_Stock[#Data],17,$P$7+12))</f>
        <v/>
      </c>
      <c r="U15" s="12">
        <f>SUM(H15:T15)</f>
        <v/>
      </c>
    </row>
    <row r="16">
      <c r="B16" s="13">
        <f>IFERROR(INDEX(M_RawMaterials[Description],MATCH("CHEM-1280",M_RawMaterials[Part Name],0)),"")</f>
        <v/>
      </c>
      <c r="C16" s="13" t="inlineStr">
        <is>
          <t>83988002202</t>
        </is>
      </c>
      <c r="D16" s="13" t="inlineStr">
        <is>
          <t>CHEM-1280</t>
        </is>
      </c>
      <c r="E16" s="13" t="inlineStr">
        <is>
          <t>kg</t>
        </is>
      </c>
      <c r="F16" s="13">
        <f>IFERROR(INDEX(M_RawMaterials[基準在庫下限_要入力],MATCH("CHEM-1280",M_RawMaterials[Part Name],0)),0)</f>
        <v/>
      </c>
      <c r="G16" s="13">
        <f>INDEX(Grid_Stock[#Data],19,$P$7)</f>
        <v/>
      </c>
      <c r="H16" s="13">
        <f>MAX(0,$F16-INDEX(Grid_Stock[#Data],19,$P$7+0))</f>
        <v/>
      </c>
      <c r="I16" s="13">
        <f>MAX(0,$F16-INDEX(Grid_Stock[#Data],19,$P$7+1))</f>
        <v/>
      </c>
      <c r="J16" s="13">
        <f>MAX(0,$F16-INDEX(Grid_Stock[#Data],19,$P$7+2))</f>
        <v/>
      </c>
      <c r="K16" s="13">
        <f>MAX(0,$F16-INDEX(Grid_Stock[#Data],19,$P$7+3))</f>
        <v/>
      </c>
      <c r="L16" s="13">
        <f>MAX(0,$F16-INDEX(Grid_Stock[#Data],19,$P$7+4))</f>
        <v/>
      </c>
      <c r="M16" s="13">
        <f>MAX(0,$F16-INDEX(Grid_Stock[#Data],19,$P$7+5))</f>
        <v/>
      </c>
      <c r="N16" s="13">
        <f>MAX(0,$F16-INDEX(Grid_Stock[#Data],19,$P$7+6))</f>
        <v/>
      </c>
      <c r="O16" s="13">
        <f>MAX(0,$F16-INDEX(Grid_Stock[#Data],19,$P$7+7))</f>
        <v/>
      </c>
      <c r="P16" s="13">
        <f>MAX(0,$F16-INDEX(Grid_Stock[#Data],19,$P$7+8))</f>
        <v/>
      </c>
      <c r="Q16" s="13">
        <f>MAX(0,$F16-INDEX(Grid_Stock[#Data],19,$P$7+9))</f>
        <v/>
      </c>
      <c r="R16" s="13">
        <f>MAX(0,$F16-INDEX(Grid_Stock[#Data],19,$P$7+10))</f>
        <v/>
      </c>
      <c r="S16" s="13">
        <f>MAX(0,$F16-INDEX(Grid_Stock[#Data],19,$P$7+11))</f>
        <v/>
      </c>
      <c r="T16" s="13">
        <f>MAX(0,$F16-INDEX(Grid_Stock[#Data],19,$P$7+12))</f>
        <v/>
      </c>
      <c r="U16" s="13">
        <f>SUM(H16:T16)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U21"/>
  <sheetViews>
    <sheetView workbookViewId="0">
      <pane xSplit="7" ySplit="14" topLeftCell="H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2" max="2"/>
    <col width="14" customWidth="1" min="3" max="3"/>
    <col width="12" customWidth="1" min="4" max="4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</cols>
  <sheetData>
    <row r="2">
      <c r="B2" t="inlineStr">
        <is>
          <t>TO：（サプライヤー／TTAF担当者名を入力）</t>
        </is>
      </c>
      <c r="N2" t="inlineStr">
        <is>
          <t>Order Date:</t>
        </is>
      </c>
      <c r="P2" s="17" t="n">
        <v>46226</v>
      </c>
    </row>
    <row r="3">
      <c r="B3" t="inlineStr">
        <is>
          <t xml:space="preserve">　　　　　（会社名）</t>
        </is>
      </c>
      <c r="N3" t="inlineStr">
        <is>
          <t>Issue Month:</t>
        </is>
      </c>
    </row>
    <row r="4">
      <c r="N4" t="inlineStr">
        <is>
          <t>Firm Month:</t>
        </is>
      </c>
    </row>
    <row r="5">
      <c r="B5" t="inlineStr">
        <is>
          <t>FROM：（発行者名）</t>
        </is>
      </c>
      <c r="N5" t="inlineStr">
        <is>
          <t>Revision</t>
        </is>
      </c>
      <c r="P5" t="inlineStr">
        <is>
          <t>00</t>
        </is>
      </c>
    </row>
    <row r="6">
      <c r="B6" t="inlineStr">
        <is>
          <t xml:space="preserve">　　　　　（自社名）</t>
        </is>
      </c>
    </row>
    <row r="7">
      <c r="N7" t="inlineStr">
        <is>
          <t>基準週(WeekIndex, 翌月の頭を推奨):</t>
        </is>
      </c>
      <c r="P7" s="18" t="n">
        <v>31</v>
      </c>
    </row>
    <row r="8">
      <c r="B8" s="2" t="inlineStr">
        <is>
          <t>Substrates</t>
        </is>
      </c>
    </row>
    <row r="10">
      <c r="B10" s="8" t="n"/>
      <c r="C10" s="8" t="n"/>
      <c r="D10" s="8" t="n"/>
      <c r="E10" s="8" t="n"/>
      <c r="F10" s="8" t="n"/>
      <c r="G10" s="8" t="n"/>
      <c r="H10" s="8">
        <f>INDEX(Cal_Weeks[MonthYearLabel],$P$7)</f>
        <v/>
      </c>
      <c r="I10" s="8">
        <f>IF(INDEX(Cal_Weeks[MonthYearLabel],$P$7+1)&lt;&gt;INDEX(Cal_Weeks[MonthYearLabel],$P$7+0),INDEX(Cal_Weeks[MonthYearLabel],$P$7+1),"")</f>
        <v/>
      </c>
      <c r="J10" s="8">
        <f>IF(INDEX(Cal_Weeks[MonthYearLabel],$P$7+2)&lt;&gt;INDEX(Cal_Weeks[MonthYearLabel],$P$7+1),INDEX(Cal_Weeks[MonthYearLabel],$P$7+2),"")</f>
        <v/>
      </c>
      <c r="K10" s="8">
        <f>IF(INDEX(Cal_Weeks[MonthYearLabel],$P$7+3)&lt;&gt;INDEX(Cal_Weeks[MonthYearLabel],$P$7+2),INDEX(Cal_Weeks[MonthYearLabel],$P$7+3),"")</f>
        <v/>
      </c>
      <c r="L10" s="8">
        <f>IF(INDEX(Cal_Weeks[MonthYearLabel],$P$7+4)&lt;&gt;INDEX(Cal_Weeks[MonthYearLabel],$P$7+3),INDEX(Cal_Weeks[MonthYearLabel],$P$7+4),"")</f>
        <v/>
      </c>
      <c r="M10" s="8">
        <f>IF(INDEX(Cal_Weeks[MonthYearLabel],$P$7+5)&lt;&gt;INDEX(Cal_Weeks[MonthYearLabel],$P$7+4),INDEX(Cal_Weeks[MonthYearLabel],$P$7+5),"")</f>
        <v/>
      </c>
      <c r="N10" s="8">
        <f>IF(INDEX(Cal_Weeks[MonthYearLabel],$P$7+6)&lt;&gt;INDEX(Cal_Weeks[MonthYearLabel],$P$7+5),INDEX(Cal_Weeks[MonthYearLabel],$P$7+6),"")</f>
        <v/>
      </c>
      <c r="O10" s="8">
        <f>IF(INDEX(Cal_Weeks[MonthYearLabel],$P$7+7)&lt;&gt;INDEX(Cal_Weeks[MonthYearLabel],$P$7+6),INDEX(Cal_Weeks[MonthYearLabel],$P$7+7),"")</f>
        <v/>
      </c>
      <c r="P10" s="8">
        <f>IF(INDEX(Cal_Weeks[MonthYearLabel],$P$7+8)&lt;&gt;INDEX(Cal_Weeks[MonthYearLabel],$P$7+7),INDEX(Cal_Weeks[MonthYearLabel],$P$7+8),"")</f>
        <v/>
      </c>
      <c r="Q10" s="8">
        <f>IF(INDEX(Cal_Weeks[MonthYearLabel],$P$7+9)&lt;&gt;INDEX(Cal_Weeks[MonthYearLabel],$P$7+8),INDEX(Cal_Weeks[MonthYearLabel],$P$7+9),"")</f>
        <v/>
      </c>
      <c r="R10" s="8">
        <f>IF(INDEX(Cal_Weeks[MonthYearLabel],$P$7+10)&lt;&gt;INDEX(Cal_Weeks[MonthYearLabel],$P$7+9),INDEX(Cal_Weeks[MonthYearLabel],$P$7+10),"")</f>
        <v/>
      </c>
      <c r="S10" s="8">
        <f>IF(INDEX(Cal_Weeks[MonthYearLabel],$P$7+11)&lt;&gt;INDEX(Cal_Weeks[MonthYearLabel],$P$7+10),INDEX(Cal_Weeks[MonthYearLabel],$P$7+11),"")</f>
        <v/>
      </c>
      <c r="T10" s="8">
        <f>IF(INDEX(Cal_Weeks[MonthYearLabel],$P$7+12)&lt;&gt;INDEX(Cal_Weeks[MonthYearLabel],$P$7+11),INDEX(Cal_Weeks[MonthYearLabel],$P$7+12),"")</f>
        <v/>
      </c>
      <c r="U10" s="8" t="n"/>
    </row>
    <row r="11">
      <c r="B11" s="9" t="n"/>
      <c r="C11" s="9" t="n"/>
      <c r="D11" s="9" t="n"/>
      <c r="E11" s="9" t="n"/>
      <c r="F11" s="9" t="n"/>
      <c r="G11" s="9" t="n"/>
      <c r="H11" s="10">
        <f>INDEX(Cal_Weeks[WeekStart],$P$7+0)</f>
        <v/>
      </c>
      <c r="I11" s="10">
        <f>INDEX(Cal_Weeks[WeekStart],$P$7+1)</f>
        <v/>
      </c>
      <c r="J11" s="10">
        <f>INDEX(Cal_Weeks[WeekStart],$P$7+2)</f>
        <v/>
      </c>
      <c r="K11" s="10">
        <f>INDEX(Cal_Weeks[WeekStart],$P$7+3)</f>
        <v/>
      </c>
      <c r="L11" s="10">
        <f>INDEX(Cal_Weeks[WeekStart],$P$7+4)</f>
        <v/>
      </c>
      <c r="M11" s="10">
        <f>INDEX(Cal_Weeks[WeekStart],$P$7+5)</f>
        <v/>
      </c>
      <c r="N11" s="10">
        <f>INDEX(Cal_Weeks[WeekStart],$P$7+6)</f>
        <v/>
      </c>
      <c r="O11" s="10">
        <f>INDEX(Cal_Weeks[WeekStart],$P$7+7)</f>
        <v/>
      </c>
      <c r="P11" s="10">
        <f>INDEX(Cal_Weeks[WeekStart],$P$7+8)</f>
        <v/>
      </c>
      <c r="Q11" s="10">
        <f>INDEX(Cal_Weeks[WeekStart],$P$7+9)</f>
        <v/>
      </c>
      <c r="R11" s="10">
        <f>INDEX(Cal_Weeks[WeekStart],$P$7+10)</f>
        <v/>
      </c>
      <c r="S11" s="10">
        <f>INDEX(Cal_Weeks[WeekStart],$P$7+11)</f>
        <v/>
      </c>
      <c r="T11" s="10">
        <f>INDEX(Cal_Weeks[WeekStart],$P$7+12)</f>
        <v/>
      </c>
      <c r="U11" s="9" t="n"/>
    </row>
    <row r="12">
      <c r="B12" s="9" t="n"/>
      <c r="C12" s="9" t="n"/>
      <c r="D12" s="9" t="n"/>
      <c r="E12" s="9" t="n"/>
      <c r="F12" s="9" t="n"/>
      <c r="G12" s="9" t="n"/>
      <c r="H12" s="9">
        <f>INDEX(Cal_Weeks[WeekOfYear],$P$7+0)</f>
        <v/>
      </c>
      <c r="I12" s="9">
        <f>INDEX(Cal_Weeks[WeekOfYear],$P$7+1)</f>
        <v/>
      </c>
      <c r="J12" s="9">
        <f>INDEX(Cal_Weeks[WeekOfYear],$P$7+2)</f>
        <v/>
      </c>
      <c r="K12" s="9">
        <f>INDEX(Cal_Weeks[WeekOfYear],$P$7+3)</f>
        <v/>
      </c>
      <c r="L12" s="9">
        <f>INDEX(Cal_Weeks[WeekOfYear],$P$7+4)</f>
        <v/>
      </c>
      <c r="M12" s="9">
        <f>INDEX(Cal_Weeks[WeekOfYear],$P$7+5)</f>
        <v/>
      </c>
      <c r="N12" s="9">
        <f>INDEX(Cal_Weeks[WeekOfYear],$P$7+6)</f>
        <v/>
      </c>
      <c r="O12" s="9">
        <f>INDEX(Cal_Weeks[WeekOfYear],$P$7+7)</f>
        <v/>
      </c>
      <c r="P12" s="9">
        <f>INDEX(Cal_Weeks[WeekOfYear],$P$7+8)</f>
        <v/>
      </c>
      <c r="Q12" s="9">
        <f>INDEX(Cal_Weeks[WeekOfYear],$P$7+9)</f>
        <v/>
      </c>
      <c r="R12" s="9">
        <f>INDEX(Cal_Weeks[WeekOfYear],$P$7+10)</f>
        <v/>
      </c>
      <c r="S12" s="9">
        <f>INDEX(Cal_Weeks[WeekOfYear],$P$7+11)</f>
        <v/>
      </c>
      <c r="T12" s="9">
        <f>INDEX(Cal_Weeks[WeekOfYear],$P$7+12)</f>
        <v/>
      </c>
      <c r="U12" s="9" t="n"/>
    </row>
    <row r="13">
      <c r="B13" s="9" t="n"/>
      <c r="C13" s="9" t="n"/>
      <c r="D13" s="9" t="n"/>
      <c r="E13" s="9" t="n"/>
      <c r="F13" s="9" t="n"/>
      <c r="G13" s="9" t="n"/>
      <c r="H13" s="9">
        <f>IF(INDEX(Cal_Weeks[MonthYearLabel],$P$7+0)=INDEX(Cal_Weeks[MonthYearLabel],$P$7),"Firm","Forecast")</f>
        <v/>
      </c>
      <c r="I13" s="9">
        <f>IF(INDEX(Cal_Weeks[MonthYearLabel],$P$7+1)=INDEX(Cal_Weeks[MonthYearLabel],$P$7),"Firm","Forecast")</f>
        <v/>
      </c>
      <c r="J13" s="9">
        <f>IF(INDEX(Cal_Weeks[MonthYearLabel],$P$7+2)=INDEX(Cal_Weeks[MonthYearLabel],$P$7),"Firm","Forecast")</f>
        <v/>
      </c>
      <c r="K13" s="9">
        <f>IF(INDEX(Cal_Weeks[MonthYearLabel],$P$7+3)=INDEX(Cal_Weeks[MonthYearLabel],$P$7),"Firm","Forecast")</f>
        <v/>
      </c>
      <c r="L13" s="9">
        <f>IF(INDEX(Cal_Weeks[MonthYearLabel],$P$7+4)=INDEX(Cal_Weeks[MonthYearLabel],$P$7),"Firm","Forecast")</f>
        <v/>
      </c>
      <c r="M13" s="9">
        <f>IF(INDEX(Cal_Weeks[MonthYearLabel],$P$7+5)=INDEX(Cal_Weeks[MonthYearLabel],$P$7),"Firm","Forecast")</f>
        <v/>
      </c>
      <c r="N13" s="9">
        <f>IF(INDEX(Cal_Weeks[MonthYearLabel],$P$7+6)=INDEX(Cal_Weeks[MonthYearLabel],$P$7),"Firm","Forecast")</f>
        <v/>
      </c>
      <c r="O13" s="9">
        <f>IF(INDEX(Cal_Weeks[MonthYearLabel],$P$7+7)=INDEX(Cal_Weeks[MonthYearLabel],$P$7),"Firm","Forecast")</f>
        <v/>
      </c>
      <c r="P13" s="9">
        <f>IF(INDEX(Cal_Weeks[MonthYearLabel],$P$7+8)=INDEX(Cal_Weeks[MonthYearLabel],$P$7),"Firm","Forecast")</f>
        <v/>
      </c>
      <c r="Q13" s="9">
        <f>IF(INDEX(Cal_Weeks[MonthYearLabel],$P$7+9)=INDEX(Cal_Weeks[MonthYearLabel],$P$7),"Firm","Forecast")</f>
        <v/>
      </c>
      <c r="R13" s="9">
        <f>IF(INDEX(Cal_Weeks[MonthYearLabel],$P$7+10)=INDEX(Cal_Weeks[MonthYearLabel],$P$7),"Firm","Forecast")</f>
        <v/>
      </c>
      <c r="S13" s="9">
        <f>IF(INDEX(Cal_Weeks[MonthYearLabel],$P$7+11)=INDEX(Cal_Weeks[MonthYearLabel],$P$7),"Firm","Forecast")</f>
        <v/>
      </c>
      <c r="T13" s="9">
        <f>IF(INDEX(Cal_Weeks[MonthYearLabel],$P$7+12)=INDEX(Cal_Weeks[MonthYearLabel],$P$7),"Firm","Forecast")</f>
        <v/>
      </c>
      <c r="U13" s="9" t="n"/>
    </row>
    <row r="14">
      <c r="B14" s="19" t="inlineStr">
        <is>
          <t>Part Name</t>
        </is>
      </c>
      <c r="C14" s="19" t="inlineStr">
        <is>
          <t>TTAF Code</t>
        </is>
      </c>
      <c r="D14" s="19" t="inlineStr">
        <is>
          <t>CSA Code</t>
        </is>
      </c>
      <c r="E14" s="19" t="inlineStr">
        <is>
          <t>UOM</t>
        </is>
      </c>
      <c r="F14" s="19" t="inlineStr">
        <is>
          <t>SafetyStock</t>
        </is>
      </c>
      <c r="G14" s="19" t="inlineStr">
        <is>
          <t>CurrentStock</t>
        </is>
      </c>
      <c r="H14" s="19">
        <f>INDEX(Cal_Weeks[Label],$P$7+0)</f>
        <v/>
      </c>
      <c r="I14" s="19">
        <f>INDEX(Cal_Weeks[Label],$P$7+1)</f>
        <v/>
      </c>
      <c r="J14" s="19">
        <f>INDEX(Cal_Weeks[Label],$P$7+2)</f>
        <v/>
      </c>
      <c r="K14" s="19">
        <f>INDEX(Cal_Weeks[Label],$P$7+3)</f>
        <v/>
      </c>
      <c r="L14" s="19">
        <f>INDEX(Cal_Weeks[Label],$P$7+4)</f>
        <v/>
      </c>
      <c r="M14" s="19">
        <f>INDEX(Cal_Weeks[Label],$P$7+5)</f>
        <v/>
      </c>
      <c r="N14" s="19">
        <f>INDEX(Cal_Weeks[Label],$P$7+6)</f>
        <v/>
      </c>
      <c r="O14" s="19">
        <f>INDEX(Cal_Weeks[Label],$P$7+7)</f>
        <v/>
      </c>
      <c r="P14" s="19">
        <f>INDEX(Cal_Weeks[Label],$P$7+8)</f>
        <v/>
      </c>
      <c r="Q14" s="19">
        <f>INDEX(Cal_Weeks[Label],$P$7+9)</f>
        <v/>
      </c>
      <c r="R14" s="19">
        <f>INDEX(Cal_Weeks[Label],$P$7+10)</f>
        <v/>
      </c>
      <c r="S14" s="19">
        <f>INDEX(Cal_Weeks[Label],$P$7+11)</f>
        <v/>
      </c>
      <c r="T14" s="19">
        <f>INDEX(Cal_Weeks[Label],$P$7+12)</f>
        <v/>
      </c>
      <c r="U14" s="19" t="inlineStr">
        <is>
          <t>Total</t>
        </is>
      </c>
    </row>
    <row r="15">
      <c r="B15" s="12">
        <f>IFERROR(INDEX(M_RawMaterials[Description],MATCH("9RN",M_RawMaterials[Part Name],0)),"")</f>
        <v/>
      </c>
      <c r="C15" s="12" t="inlineStr">
        <is>
          <t>1846515030 ( 4FK13117080Z)</t>
        </is>
      </c>
      <c r="D15" s="12" t="inlineStr">
        <is>
          <t>9RN</t>
        </is>
      </c>
      <c r="E15" s="12" t="inlineStr">
        <is>
          <t>kg</t>
        </is>
      </c>
      <c r="F15" s="12">
        <f>IFERROR(INDEX(M_RawMaterials[基準在庫下限_要入力],MATCH("9RN",M_RawMaterials[Part Name],0)),0)</f>
        <v/>
      </c>
      <c r="G15" s="12">
        <f>INDEX(Grid_Stock[#Data],13,$P$7)</f>
        <v/>
      </c>
      <c r="H15" s="12">
        <f>MAX(0,$F15-INDEX(Grid_Stock[#Data],13,$P$7+0))</f>
        <v/>
      </c>
      <c r="I15" s="12">
        <f>MAX(0,$F15-INDEX(Grid_Stock[#Data],13,$P$7+1))</f>
        <v/>
      </c>
      <c r="J15" s="12">
        <f>MAX(0,$F15-INDEX(Grid_Stock[#Data],13,$P$7+2))</f>
        <v/>
      </c>
      <c r="K15" s="12">
        <f>MAX(0,$F15-INDEX(Grid_Stock[#Data],13,$P$7+3))</f>
        <v/>
      </c>
      <c r="L15" s="12">
        <f>MAX(0,$F15-INDEX(Grid_Stock[#Data],13,$P$7+4))</f>
        <v/>
      </c>
      <c r="M15" s="12">
        <f>MAX(0,$F15-INDEX(Grid_Stock[#Data],13,$P$7+5))</f>
        <v/>
      </c>
      <c r="N15" s="12">
        <f>MAX(0,$F15-INDEX(Grid_Stock[#Data],13,$P$7+6))</f>
        <v/>
      </c>
      <c r="O15" s="12">
        <f>MAX(0,$F15-INDEX(Grid_Stock[#Data],13,$P$7+7))</f>
        <v/>
      </c>
      <c r="P15" s="12">
        <f>MAX(0,$F15-INDEX(Grid_Stock[#Data],13,$P$7+8))</f>
        <v/>
      </c>
      <c r="Q15" s="12">
        <f>MAX(0,$F15-INDEX(Grid_Stock[#Data],13,$P$7+9))</f>
        <v/>
      </c>
      <c r="R15" s="12">
        <f>MAX(0,$F15-INDEX(Grid_Stock[#Data],13,$P$7+10))</f>
        <v/>
      </c>
      <c r="S15" s="12">
        <f>MAX(0,$F15-INDEX(Grid_Stock[#Data],13,$P$7+11))</f>
        <v/>
      </c>
      <c r="T15" s="12">
        <f>MAX(0,$F15-INDEX(Grid_Stock[#Data],13,$P$7+12))</f>
        <v/>
      </c>
      <c r="U15" s="12">
        <f>SUM(H15:T15)</f>
        <v/>
      </c>
    </row>
    <row r="16">
      <c r="B16" s="13">
        <f>IFERROR(INDEX(M_RawMaterials[Description],MATCH("0JN",M_RawMaterials[Part Name],0)),"")</f>
        <v/>
      </c>
      <c r="C16" s="13" t="inlineStr">
        <is>
          <t>KFD13117100</t>
        </is>
      </c>
      <c r="D16" s="13" t="inlineStr">
        <is>
          <t>0JN</t>
        </is>
      </c>
      <c r="E16" s="13" t="inlineStr">
        <is>
          <t>kg</t>
        </is>
      </c>
      <c r="F16" s="13">
        <f>IFERROR(INDEX(M_RawMaterials[基準在庫下限_要入力],MATCH("0JN",M_RawMaterials[Part Name],0)),0)</f>
        <v/>
      </c>
      <c r="G16" s="13">
        <f>INDEX(Grid_Stock[#Data],21,$P$7)</f>
        <v/>
      </c>
      <c r="H16" s="13">
        <f>MAX(0,$F16-INDEX(Grid_Stock[#Data],21,$P$7+0))</f>
        <v/>
      </c>
      <c r="I16" s="13">
        <f>MAX(0,$F16-INDEX(Grid_Stock[#Data],21,$P$7+1))</f>
        <v/>
      </c>
      <c r="J16" s="13">
        <f>MAX(0,$F16-INDEX(Grid_Stock[#Data],21,$P$7+2))</f>
        <v/>
      </c>
      <c r="K16" s="13">
        <f>MAX(0,$F16-INDEX(Grid_Stock[#Data],21,$P$7+3))</f>
        <v/>
      </c>
      <c r="L16" s="13">
        <f>MAX(0,$F16-INDEX(Grid_Stock[#Data],21,$P$7+4))</f>
        <v/>
      </c>
      <c r="M16" s="13">
        <f>MAX(0,$F16-INDEX(Grid_Stock[#Data],21,$P$7+5))</f>
        <v/>
      </c>
      <c r="N16" s="13">
        <f>MAX(0,$F16-INDEX(Grid_Stock[#Data],21,$P$7+6))</f>
        <v/>
      </c>
      <c r="O16" s="13">
        <f>MAX(0,$F16-INDEX(Grid_Stock[#Data],21,$P$7+7))</f>
        <v/>
      </c>
      <c r="P16" s="13">
        <f>MAX(0,$F16-INDEX(Grid_Stock[#Data],21,$P$7+8))</f>
        <v/>
      </c>
      <c r="Q16" s="13">
        <f>MAX(0,$F16-INDEX(Grid_Stock[#Data],21,$P$7+9))</f>
        <v/>
      </c>
      <c r="R16" s="13">
        <f>MAX(0,$F16-INDEX(Grid_Stock[#Data],21,$P$7+10))</f>
        <v/>
      </c>
      <c r="S16" s="13">
        <f>MAX(0,$F16-INDEX(Grid_Stock[#Data],21,$P$7+11))</f>
        <v/>
      </c>
      <c r="T16" s="13">
        <f>MAX(0,$F16-INDEX(Grid_Stock[#Data],21,$P$7+12))</f>
        <v/>
      </c>
      <c r="U16" s="13">
        <f>SUM(H16:T16)</f>
        <v/>
      </c>
    </row>
    <row r="17">
      <c r="B17" s="12">
        <f>IFERROR(INDEX(M_RawMaterials[Description],MATCH("TDJ",M_RawMaterials[Part Name],0)),"")</f>
        <v/>
      </c>
      <c r="C17" s="12" t="inlineStr">
        <is>
          <t>1846537010</t>
        </is>
      </c>
      <c r="D17" s="12" t="inlineStr">
        <is>
          <t>TDJ</t>
        </is>
      </c>
      <c r="E17" s="12" t="inlineStr">
        <is>
          <t>kg</t>
        </is>
      </c>
      <c r="F17" s="12">
        <f>IFERROR(INDEX(M_RawMaterials[基準在庫下限_要入力],MATCH("TDJ",M_RawMaterials[Part Name],0)),0)</f>
        <v/>
      </c>
      <c r="G17" s="12">
        <f>INDEX(Grid_Stock[#Data],29,$P$7)</f>
        <v/>
      </c>
      <c r="H17" s="12">
        <f>MAX(0,$F17-INDEX(Grid_Stock[#Data],29,$P$7+0))</f>
        <v/>
      </c>
      <c r="I17" s="12">
        <f>MAX(0,$F17-INDEX(Grid_Stock[#Data],29,$P$7+1))</f>
        <v/>
      </c>
      <c r="J17" s="12">
        <f>MAX(0,$F17-INDEX(Grid_Stock[#Data],29,$P$7+2))</f>
        <v/>
      </c>
      <c r="K17" s="12">
        <f>MAX(0,$F17-INDEX(Grid_Stock[#Data],29,$P$7+3))</f>
        <v/>
      </c>
      <c r="L17" s="12">
        <f>MAX(0,$F17-INDEX(Grid_Stock[#Data],29,$P$7+4))</f>
        <v/>
      </c>
      <c r="M17" s="12">
        <f>MAX(0,$F17-INDEX(Grid_Stock[#Data],29,$P$7+5))</f>
        <v/>
      </c>
      <c r="N17" s="12">
        <f>MAX(0,$F17-INDEX(Grid_Stock[#Data],29,$P$7+6))</f>
        <v/>
      </c>
      <c r="O17" s="12">
        <f>MAX(0,$F17-INDEX(Grid_Stock[#Data],29,$P$7+7))</f>
        <v/>
      </c>
      <c r="P17" s="12">
        <f>MAX(0,$F17-INDEX(Grid_Stock[#Data],29,$P$7+8))</f>
        <v/>
      </c>
      <c r="Q17" s="12">
        <f>MAX(0,$F17-INDEX(Grid_Stock[#Data],29,$P$7+9))</f>
        <v/>
      </c>
      <c r="R17" s="12">
        <f>MAX(0,$F17-INDEX(Grid_Stock[#Data],29,$P$7+10))</f>
        <v/>
      </c>
      <c r="S17" s="12">
        <f>MAX(0,$F17-INDEX(Grid_Stock[#Data],29,$P$7+11))</f>
        <v/>
      </c>
      <c r="T17" s="12">
        <f>MAX(0,$F17-INDEX(Grid_Stock[#Data],29,$P$7+12))</f>
        <v/>
      </c>
      <c r="U17" s="12">
        <f>SUM(H17:T17)</f>
        <v/>
      </c>
    </row>
    <row r="18">
      <c r="B18" s="13">
        <f>IFERROR(INDEX(M_RawMaterials[Description],MATCH("Ester Film",M_RawMaterials[Part Name],0)),"")</f>
        <v/>
      </c>
      <c r="C18" s="13" t="inlineStr"/>
      <c r="D18" s="13" t="inlineStr">
        <is>
          <t>Ester Film</t>
        </is>
      </c>
      <c r="E18" s="13" t="inlineStr">
        <is>
          <t>kg</t>
        </is>
      </c>
      <c r="F18" s="13">
        <f>IFERROR(INDEX(M_RawMaterials[基準在庫下限_要入力],MATCH("Ester Film",M_RawMaterials[Part Name],0)),0)</f>
        <v/>
      </c>
      <c r="G18" s="13">
        <f>INDEX(Grid_Stock[#Data],37,$P$7)</f>
        <v/>
      </c>
      <c r="H18" s="13">
        <f>MAX(0,$F18-INDEX(Grid_Stock[#Data],37,$P$7+0))</f>
        <v/>
      </c>
      <c r="I18" s="13">
        <f>MAX(0,$F18-INDEX(Grid_Stock[#Data],37,$P$7+1))</f>
        <v/>
      </c>
      <c r="J18" s="13">
        <f>MAX(0,$F18-INDEX(Grid_Stock[#Data],37,$P$7+2))</f>
        <v/>
      </c>
      <c r="K18" s="13">
        <f>MAX(0,$F18-INDEX(Grid_Stock[#Data],37,$P$7+3))</f>
        <v/>
      </c>
      <c r="L18" s="13">
        <f>MAX(0,$F18-INDEX(Grid_Stock[#Data],37,$P$7+4))</f>
        <v/>
      </c>
      <c r="M18" s="13">
        <f>MAX(0,$F18-INDEX(Grid_Stock[#Data],37,$P$7+5))</f>
        <v/>
      </c>
      <c r="N18" s="13">
        <f>MAX(0,$F18-INDEX(Grid_Stock[#Data],37,$P$7+6))</f>
        <v/>
      </c>
      <c r="O18" s="13">
        <f>MAX(0,$F18-INDEX(Grid_Stock[#Data],37,$P$7+7))</f>
        <v/>
      </c>
      <c r="P18" s="13">
        <f>MAX(0,$F18-INDEX(Grid_Stock[#Data],37,$P$7+8))</f>
        <v/>
      </c>
      <c r="Q18" s="13">
        <f>MAX(0,$F18-INDEX(Grid_Stock[#Data],37,$P$7+9))</f>
        <v/>
      </c>
      <c r="R18" s="13">
        <f>MAX(0,$F18-INDEX(Grid_Stock[#Data],37,$P$7+10))</f>
        <v/>
      </c>
      <c r="S18" s="13">
        <f>MAX(0,$F18-INDEX(Grid_Stock[#Data],37,$P$7+11))</f>
        <v/>
      </c>
      <c r="T18" s="13">
        <f>MAX(0,$F18-INDEX(Grid_Stock[#Data],37,$P$7+12))</f>
        <v/>
      </c>
      <c r="U18" s="13">
        <f>SUM(H18:T18)</f>
        <v/>
      </c>
    </row>
    <row r="19">
      <c r="B19" s="12">
        <f>IFERROR(INDEX(M_RawMaterials[Description],MATCH("PP Film",M_RawMaterials[Part Name],0)),"")</f>
        <v/>
      </c>
      <c r="C19" s="12" t="inlineStr">
        <is>
          <t>83988405701</t>
        </is>
      </c>
      <c r="D19" s="12" t="inlineStr">
        <is>
          <t>PP Film</t>
        </is>
      </c>
      <c r="E19" s="12" t="inlineStr">
        <is>
          <t>kg</t>
        </is>
      </c>
      <c r="F19" s="12">
        <f>IFERROR(INDEX(M_RawMaterials[基準在庫下限_要入力],MATCH("PP Film",M_RawMaterials[Part Name],0)),0)</f>
        <v/>
      </c>
      <c r="G19" s="12">
        <f>INDEX(Grid_Stock[#Data],38,$P$7)</f>
        <v/>
      </c>
      <c r="H19" s="12">
        <f>MAX(0,$F19-INDEX(Grid_Stock[#Data],38,$P$7+0))</f>
        <v/>
      </c>
      <c r="I19" s="12">
        <f>MAX(0,$F19-INDEX(Grid_Stock[#Data],38,$P$7+1))</f>
        <v/>
      </c>
      <c r="J19" s="12">
        <f>MAX(0,$F19-INDEX(Grid_Stock[#Data],38,$P$7+2))</f>
        <v/>
      </c>
      <c r="K19" s="12">
        <f>MAX(0,$F19-INDEX(Grid_Stock[#Data],38,$P$7+3))</f>
        <v/>
      </c>
      <c r="L19" s="12">
        <f>MAX(0,$F19-INDEX(Grid_Stock[#Data],38,$P$7+4))</f>
        <v/>
      </c>
      <c r="M19" s="12">
        <f>MAX(0,$F19-INDEX(Grid_Stock[#Data],38,$P$7+5))</f>
        <v/>
      </c>
      <c r="N19" s="12">
        <f>MAX(0,$F19-INDEX(Grid_Stock[#Data],38,$P$7+6))</f>
        <v/>
      </c>
      <c r="O19" s="12">
        <f>MAX(0,$F19-INDEX(Grid_Stock[#Data],38,$P$7+7))</f>
        <v/>
      </c>
      <c r="P19" s="12">
        <f>MAX(0,$F19-INDEX(Grid_Stock[#Data],38,$P$7+8))</f>
        <v/>
      </c>
      <c r="Q19" s="12">
        <f>MAX(0,$F19-INDEX(Grid_Stock[#Data],38,$P$7+9))</f>
        <v/>
      </c>
      <c r="R19" s="12">
        <f>MAX(0,$F19-INDEX(Grid_Stock[#Data],38,$P$7+10))</f>
        <v/>
      </c>
      <c r="S19" s="12">
        <f>MAX(0,$F19-INDEX(Grid_Stock[#Data],38,$P$7+11))</f>
        <v/>
      </c>
      <c r="T19" s="12">
        <f>MAX(0,$F19-INDEX(Grid_Stock[#Data],38,$P$7+12))</f>
        <v/>
      </c>
      <c r="U19" s="12">
        <f>SUM(H19:T19)</f>
        <v/>
      </c>
    </row>
    <row r="20">
      <c r="B20" s="13">
        <f>IFERROR(INDEX(M_RawMaterials[Description],MATCH("5SN",M_RawMaterials[Part Name],0)),"")</f>
        <v/>
      </c>
      <c r="C20" s="13" t="inlineStr"/>
      <c r="D20" s="13" t="inlineStr">
        <is>
          <t>5SN</t>
        </is>
      </c>
      <c r="E20" s="13" t="inlineStr">
        <is>
          <t>kg</t>
        </is>
      </c>
      <c r="F20" s="13">
        <f>IFERROR(INDEX(M_RawMaterials[基準在庫下限_要入力],MATCH("5SN",M_RawMaterials[Part Name],0)),0)</f>
        <v/>
      </c>
      <c r="G20" s="13">
        <f>INDEX(Grid_Stock[#Data],39,$P$7)</f>
        <v/>
      </c>
      <c r="H20" s="13">
        <f>MAX(0,$F20-INDEX(Grid_Stock[#Data],39,$P$7+0))</f>
        <v/>
      </c>
      <c r="I20" s="13">
        <f>MAX(0,$F20-INDEX(Grid_Stock[#Data],39,$P$7+1))</f>
        <v/>
      </c>
      <c r="J20" s="13">
        <f>MAX(0,$F20-INDEX(Grid_Stock[#Data],39,$P$7+2))</f>
        <v/>
      </c>
      <c r="K20" s="13">
        <f>MAX(0,$F20-INDEX(Grid_Stock[#Data],39,$P$7+3))</f>
        <v/>
      </c>
      <c r="L20" s="13">
        <f>MAX(0,$F20-INDEX(Grid_Stock[#Data],39,$P$7+4))</f>
        <v/>
      </c>
      <c r="M20" s="13">
        <f>MAX(0,$F20-INDEX(Grid_Stock[#Data],39,$P$7+5))</f>
        <v/>
      </c>
      <c r="N20" s="13">
        <f>MAX(0,$F20-INDEX(Grid_Stock[#Data],39,$P$7+6))</f>
        <v/>
      </c>
      <c r="O20" s="13">
        <f>MAX(0,$F20-INDEX(Grid_Stock[#Data],39,$P$7+7))</f>
        <v/>
      </c>
      <c r="P20" s="13">
        <f>MAX(0,$F20-INDEX(Grid_Stock[#Data],39,$P$7+8))</f>
        <v/>
      </c>
      <c r="Q20" s="13">
        <f>MAX(0,$F20-INDEX(Grid_Stock[#Data],39,$P$7+9))</f>
        <v/>
      </c>
      <c r="R20" s="13">
        <f>MAX(0,$F20-INDEX(Grid_Stock[#Data],39,$P$7+10))</f>
        <v/>
      </c>
      <c r="S20" s="13">
        <f>MAX(0,$F20-INDEX(Grid_Stock[#Data],39,$P$7+11))</f>
        <v/>
      </c>
      <c r="T20" s="13">
        <f>MAX(0,$F20-INDEX(Grid_Stock[#Data],39,$P$7+12))</f>
        <v/>
      </c>
      <c r="U20" s="13">
        <f>SUM(H20:T20)</f>
        <v/>
      </c>
    </row>
    <row r="21">
      <c r="B21" s="12">
        <f>IFERROR(INDEX(M_RawMaterials[Description],MATCH("3TP",M_RawMaterials[Part Name],0)),"")</f>
        <v/>
      </c>
      <c r="C21" s="12" t="inlineStr"/>
      <c r="D21" s="12" t="inlineStr">
        <is>
          <t>3TP</t>
        </is>
      </c>
      <c r="E21" s="12" t="inlineStr">
        <is>
          <t>kg</t>
        </is>
      </c>
      <c r="F21" s="12">
        <f>IFERROR(INDEX(M_RawMaterials[基準在庫下限_要入力],MATCH("3TP",M_RawMaterials[Part Name],0)),0)</f>
        <v/>
      </c>
      <c r="G21" s="12">
        <f>INDEX(Grid_Stock[#Data],43,$P$7)</f>
        <v/>
      </c>
      <c r="H21" s="12">
        <f>MAX(0,$F21-INDEX(Grid_Stock[#Data],43,$P$7+0))</f>
        <v/>
      </c>
      <c r="I21" s="12">
        <f>MAX(0,$F21-INDEX(Grid_Stock[#Data],43,$P$7+1))</f>
        <v/>
      </c>
      <c r="J21" s="12">
        <f>MAX(0,$F21-INDEX(Grid_Stock[#Data],43,$P$7+2))</f>
        <v/>
      </c>
      <c r="K21" s="12">
        <f>MAX(0,$F21-INDEX(Grid_Stock[#Data],43,$P$7+3))</f>
        <v/>
      </c>
      <c r="L21" s="12">
        <f>MAX(0,$F21-INDEX(Grid_Stock[#Data],43,$P$7+4))</f>
        <v/>
      </c>
      <c r="M21" s="12">
        <f>MAX(0,$F21-INDEX(Grid_Stock[#Data],43,$P$7+5))</f>
        <v/>
      </c>
      <c r="N21" s="12">
        <f>MAX(0,$F21-INDEX(Grid_Stock[#Data],43,$P$7+6))</f>
        <v/>
      </c>
      <c r="O21" s="12">
        <f>MAX(0,$F21-INDEX(Grid_Stock[#Data],43,$P$7+7))</f>
        <v/>
      </c>
      <c r="P21" s="12">
        <f>MAX(0,$F21-INDEX(Grid_Stock[#Data],43,$P$7+8))</f>
        <v/>
      </c>
      <c r="Q21" s="12">
        <f>MAX(0,$F21-INDEX(Grid_Stock[#Data],43,$P$7+9))</f>
        <v/>
      </c>
      <c r="R21" s="12">
        <f>MAX(0,$F21-INDEX(Grid_Stock[#Data],43,$P$7+10))</f>
        <v/>
      </c>
      <c r="S21" s="12">
        <f>MAX(0,$F21-INDEX(Grid_Stock[#Data],43,$P$7+11))</f>
        <v/>
      </c>
      <c r="T21" s="12">
        <f>MAX(0,$F21-INDEX(Grid_Stock[#Data],43,$P$7+12))</f>
        <v/>
      </c>
      <c r="U21" s="12">
        <f>SUM(H21:T21)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20" t="inlineStr">
        <is>
          <t>Part Name</t>
        </is>
      </c>
      <c r="B1" s="20" t="inlineStr">
        <is>
          <t>PO_No</t>
        </is>
      </c>
      <c r="C1" s="20" t="inlineStr">
        <is>
          <t>Order_Date_発注日</t>
        </is>
      </c>
      <c r="D1" s="20" t="inlineStr">
        <is>
          <t>Confirmed_Qty</t>
        </is>
      </c>
      <c r="E1" s="20" t="inlineStr">
        <is>
          <t>Latest_ETA</t>
        </is>
      </c>
      <c r="F1" s="20" t="inlineStr">
        <is>
          <t>Received_Date</t>
        </is>
      </c>
      <c r="G1" s="20" t="inlineStr">
        <is>
          <t>Status</t>
        </is>
      </c>
      <c r="H1" s="20" t="inlineStr">
        <is>
          <t>Effective_Week</t>
        </is>
      </c>
    </row>
    <row r="2">
      <c r="A2" t="inlineStr">
        <is>
          <t>1EK</t>
        </is>
      </c>
      <c r="B2" t="inlineStr">
        <is>
          <t>PO065838</t>
        </is>
      </c>
      <c r="C2" s="21" t="n"/>
      <c r="D2" t="n">
        <v>9120</v>
      </c>
      <c r="E2" s="17" t="n">
        <v>45938</v>
      </c>
      <c r="G2" t="inlineStr">
        <is>
          <t>TTAF Stock</t>
        </is>
      </c>
      <c r="H2">
        <f>IFERROR(MAX(1,MIN(104,INT((IF(F2="",E2,F2)-(DATE(Cal_Weeks!$B$1,1,1)-WEEKDAY(DATE(Cal_Weeks!$B$1,1,1),3)))/7)+1)),"")</f>
        <v/>
      </c>
    </row>
    <row r="3">
      <c r="A3" t="inlineStr">
        <is>
          <t>0JN</t>
        </is>
      </c>
      <c r="B3" t="inlineStr">
        <is>
          <t>PO066017</t>
        </is>
      </c>
      <c r="C3" s="21" t="n"/>
      <c r="D3" t="n">
        <v>10913</v>
      </c>
      <c r="E3" s="17" t="n">
        <v>45972</v>
      </c>
      <c r="G3" t="inlineStr">
        <is>
          <t>TTAF Stock</t>
        </is>
      </c>
      <c r="H3">
        <f>IFERROR(MAX(1,MIN(104,INT((IF(F3="",E3,F3)-(DATE(Cal_Weeks!$B$1,1,1)-WEEKDAY(DATE(Cal_Weeks!$B$1,1,1),3)))/7)+1)),"")</f>
        <v/>
      </c>
    </row>
    <row r="4">
      <c r="A4" t="inlineStr">
        <is>
          <t>4HL</t>
        </is>
      </c>
      <c r="B4" t="inlineStr">
        <is>
          <t>PO066191</t>
        </is>
      </c>
      <c r="C4" s="21" t="n"/>
      <c r="D4" t="n">
        <v>960</v>
      </c>
      <c r="E4" s="17" t="n">
        <v>46007</v>
      </c>
      <c r="F4" s="17" t="n">
        <v>46028</v>
      </c>
      <c r="G4" t="inlineStr">
        <is>
          <t>TTAF Stock</t>
        </is>
      </c>
      <c r="H4">
        <f>IFERROR(MAX(1,MIN(104,INT((IF(F4="",E4,F4)-(DATE(Cal_Weeks!$B$1,1,1)-WEEKDAY(DATE(Cal_Weeks!$B$1,1,1),3)))/7)+1)),"")</f>
        <v/>
      </c>
    </row>
    <row r="5">
      <c r="A5" t="inlineStr">
        <is>
          <t>4HL</t>
        </is>
      </c>
      <c r="B5" t="inlineStr">
        <is>
          <t>PO066191</t>
        </is>
      </c>
      <c r="C5" s="21" t="n"/>
      <c r="D5" t="n">
        <v>9600</v>
      </c>
      <c r="E5" s="17" t="n">
        <v>46008</v>
      </c>
      <c r="F5" s="17" t="n">
        <v>46022</v>
      </c>
      <c r="G5" t="inlineStr">
        <is>
          <t>TTAF Stock</t>
        </is>
      </c>
      <c r="H5">
        <f>IFERROR(MAX(1,MIN(104,INT((IF(F5="",E5,F5)-(DATE(Cal_Weeks!$B$1,1,1)-WEEKDAY(DATE(Cal_Weeks!$B$1,1,1),3)))/7)+1)),"")</f>
        <v/>
      </c>
    </row>
    <row r="6">
      <c r="A6" t="inlineStr">
        <is>
          <t>4HL</t>
        </is>
      </c>
      <c r="B6" t="inlineStr">
        <is>
          <t>PO066191</t>
        </is>
      </c>
      <c r="C6" s="21" t="n"/>
      <c r="D6" t="n">
        <v>9600</v>
      </c>
      <c r="E6" s="17" t="n">
        <v>46007</v>
      </c>
      <c r="F6" s="17" t="n">
        <v>46028</v>
      </c>
      <c r="G6" t="inlineStr">
        <is>
          <t>TTAF Stock</t>
        </is>
      </c>
      <c r="H6">
        <f>IFERROR(MAX(1,MIN(104,INT((IF(F6="",E6,F6)-(DATE(Cal_Weeks!$B$1,1,1)-WEEKDAY(DATE(Cal_Weeks!$B$1,1,1),3)))/7)+1)),"")</f>
        <v/>
      </c>
    </row>
    <row r="7">
      <c r="A7" t="inlineStr">
        <is>
          <t>4HL</t>
        </is>
      </c>
      <c r="B7" t="inlineStr">
        <is>
          <t>PO066191</t>
        </is>
      </c>
      <c r="C7" s="21" t="n"/>
      <c r="D7" t="n">
        <v>9120</v>
      </c>
      <c r="E7" s="17" t="n">
        <v>46012</v>
      </c>
      <c r="F7" s="17" t="n">
        <v>46022</v>
      </c>
      <c r="G7" t="inlineStr">
        <is>
          <t>TTAF Stock</t>
        </is>
      </c>
      <c r="H7">
        <f>IFERROR(MAX(1,MIN(104,INT((IF(F7="",E7,F7)-(DATE(Cal_Weeks!$B$1,1,1)-WEEKDAY(DATE(Cal_Weeks!$B$1,1,1),3)))/7)+1)),"")</f>
        <v/>
      </c>
    </row>
    <row r="8">
      <c r="A8" t="inlineStr">
        <is>
          <t>1EK</t>
        </is>
      </c>
      <c r="B8" t="inlineStr">
        <is>
          <t>PO066191</t>
        </is>
      </c>
      <c r="C8" s="21" t="n"/>
      <c r="D8" t="n">
        <v>8160</v>
      </c>
      <c r="E8" s="17" t="n">
        <v>46007</v>
      </c>
      <c r="F8" s="17" t="n">
        <v>46028</v>
      </c>
      <c r="G8" t="inlineStr">
        <is>
          <t>TTAF Stock</t>
        </is>
      </c>
      <c r="H8">
        <f>IFERROR(MAX(1,MIN(104,INT((IF(F8="",E8,F8)-(DATE(Cal_Weeks!$B$1,1,1)-WEEKDAY(DATE(Cal_Weeks!$B$1,1,1),3)))/7)+1)),"")</f>
        <v/>
      </c>
    </row>
    <row r="9">
      <c r="A9" t="inlineStr">
        <is>
          <t>CHEM-1250</t>
        </is>
      </c>
      <c r="B9" t="inlineStr">
        <is>
          <t>PO066524</t>
        </is>
      </c>
      <c r="C9" s="21" t="n"/>
      <c r="D9" t="n">
        <v>75</v>
      </c>
      <c r="E9" s="17" t="n">
        <v>46006</v>
      </c>
      <c r="F9" s="17" t="n">
        <v>46014</v>
      </c>
      <c r="G9" t="inlineStr">
        <is>
          <t>TTAF Stock</t>
        </is>
      </c>
      <c r="H9">
        <f>IFERROR(MAX(1,MIN(104,INT((IF(F9="",E9,F9)-(DATE(Cal_Weeks!$B$1,1,1)-WEEKDAY(DATE(Cal_Weeks!$B$1,1,1),3)))/7)+1)),"")</f>
        <v/>
      </c>
    </row>
    <row r="10">
      <c r="A10" t="inlineStr">
        <is>
          <t>CHEM-1400</t>
        </is>
      </c>
      <c r="B10" t="inlineStr">
        <is>
          <t>PO066524</t>
        </is>
      </c>
      <c r="C10" s="21" t="n"/>
      <c r="D10" t="n">
        <v>400</v>
      </c>
      <c r="E10" s="17" t="n">
        <v>46006</v>
      </c>
      <c r="F10" s="17" t="n">
        <v>46014</v>
      </c>
      <c r="G10" t="inlineStr">
        <is>
          <t>TTAF Stock</t>
        </is>
      </c>
      <c r="H10">
        <f>IFERROR(MAX(1,MIN(104,INT((IF(F10="",E10,F10)-(DATE(Cal_Weeks!$B$1,1,1)-WEEKDAY(DATE(Cal_Weeks!$B$1,1,1),3)))/7)+1)),"")</f>
        <v/>
      </c>
    </row>
    <row r="11">
      <c r="A11" t="inlineStr">
        <is>
          <t>CHEM-1570</t>
        </is>
      </c>
      <c r="B11" t="inlineStr">
        <is>
          <t>PO066524</t>
        </is>
      </c>
      <c r="C11" s="21" t="n"/>
      <c r="D11" t="n">
        <v>18</v>
      </c>
      <c r="E11" s="17" t="n">
        <v>46006</v>
      </c>
      <c r="F11" s="17" t="n">
        <v>46014</v>
      </c>
      <c r="G11" t="inlineStr">
        <is>
          <t>TTAF Stock</t>
        </is>
      </c>
      <c r="H11">
        <f>IFERROR(MAX(1,MIN(104,INT((IF(F11="",E11,F11)-(DATE(Cal_Weeks!$B$1,1,1)-WEEKDAY(DATE(Cal_Weeks!$B$1,1,1),3)))/7)+1)),"")</f>
        <v/>
      </c>
    </row>
    <row r="12">
      <c r="A12" t="inlineStr">
        <is>
          <t>CHEM-1670</t>
        </is>
      </c>
      <c r="B12" t="inlineStr">
        <is>
          <t>PO066524</t>
        </is>
      </c>
      <c r="C12" s="21" t="n"/>
      <c r="D12" t="n">
        <v>360</v>
      </c>
      <c r="E12" s="17" t="n">
        <v>46006</v>
      </c>
      <c r="F12" s="17" t="n">
        <v>46014</v>
      </c>
      <c r="G12" t="inlineStr">
        <is>
          <t>TTAF Stock</t>
        </is>
      </c>
      <c r="H12">
        <f>IFERROR(MAX(1,MIN(104,INT((IF(F12="",E12,F12)-(DATE(Cal_Weeks!$B$1,1,1)-WEEKDAY(DATE(Cal_Weeks!$B$1,1,1),3)))/7)+1)),"")</f>
        <v/>
      </c>
    </row>
    <row r="13">
      <c r="A13" t="inlineStr">
        <is>
          <t>CHEM-1700</t>
        </is>
      </c>
      <c r="B13" t="inlineStr">
        <is>
          <t>PO066524</t>
        </is>
      </c>
      <c r="C13" s="21" t="n"/>
      <c r="D13" t="n">
        <v>60</v>
      </c>
      <c r="E13" s="17" t="n">
        <v>46006</v>
      </c>
      <c r="F13" s="17" t="n">
        <v>46014</v>
      </c>
      <c r="G13" t="inlineStr">
        <is>
          <t>TTAF Stock</t>
        </is>
      </c>
      <c r="H13">
        <f>IFERROR(MAX(1,MIN(104,INT((IF(F13="",E13,F13)-(DATE(Cal_Weeks!$B$1,1,1)-WEEKDAY(DATE(Cal_Weeks!$B$1,1,1),3)))/7)+1)),"")</f>
        <v/>
      </c>
    </row>
    <row r="14">
      <c r="A14" t="inlineStr">
        <is>
          <t>CHEM-1660</t>
        </is>
      </c>
      <c r="B14" t="inlineStr">
        <is>
          <t>PO066513</t>
        </is>
      </c>
      <c r="C14" s="21" t="n"/>
      <c r="D14" t="n">
        <v>135</v>
      </c>
      <c r="E14" s="17" t="n">
        <v>46006</v>
      </c>
      <c r="F14" s="17" t="n">
        <v>46010</v>
      </c>
      <c r="G14" t="inlineStr">
        <is>
          <t>TTAF Stock</t>
        </is>
      </c>
      <c r="H14">
        <f>IFERROR(MAX(1,MIN(104,INT((IF(F14="",E14,F14)-(DATE(Cal_Weeks!$B$1,1,1)-WEEKDAY(DATE(Cal_Weeks!$B$1,1,1),3)))/7)+1)),"")</f>
        <v/>
      </c>
    </row>
    <row r="15">
      <c r="A15" t="inlineStr">
        <is>
          <t>CHEM-1420</t>
        </is>
      </c>
      <c r="B15" t="inlineStr">
        <is>
          <t>PO066524</t>
        </is>
      </c>
      <c r="C15" s="21" t="n"/>
      <c r="D15" t="n">
        <v>240</v>
      </c>
      <c r="E15" s="17" t="n">
        <v>46006</v>
      </c>
      <c r="F15" s="17" t="n">
        <v>46014</v>
      </c>
      <c r="G15" t="inlineStr">
        <is>
          <t>TTAF Stock</t>
        </is>
      </c>
      <c r="H15">
        <f>IFERROR(MAX(1,MIN(104,INT((IF(F15="",E15,F15)-(DATE(Cal_Weeks!$B$1,1,1)-WEEKDAY(DATE(Cal_Weeks!$B$1,1,1),3)))/7)+1)),"")</f>
        <v/>
      </c>
    </row>
    <row r="16">
      <c r="A16" t="inlineStr">
        <is>
          <t>CHEM-1530</t>
        </is>
      </c>
      <c r="B16" t="inlineStr">
        <is>
          <t>PO066524</t>
        </is>
      </c>
      <c r="C16" s="21" t="n"/>
      <c r="D16" t="n">
        <v>2100</v>
      </c>
      <c r="E16" s="17" t="n">
        <v>46006</v>
      </c>
      <c r="F16" s="17" t="n">
        <v>46014</v>
      </c>
      <c r="G16" t="inlineStr">
        <is>
          <t>TTAF Stock</t>
        </is>
      </c>
      <c r="H16">
        <f>IFERROR(MAX(1,MIN(104,INT((IF(F16="",E16,F16)-(DATE(Cal_Weeks!$B$1,1,1)-WEEKDAY(DATE(Cal_Weeks!$B$1,1,1),3)))/7)+1)),"")</f>
        <v/>
      </c>
    </row>
    <row r="17">
      <c r="A17" t="inlineStr">
        <is>
          <t>CHEM-1600</t>
        </is>
      </c>
      <c r="B17" t="inlineStr">
        <is>
          <t>PO066524</t>
        </is>
      </c>
      <c r="C17" s="21" t="n"/>
      <c r="D17" t="n">
        <v>425</v>
      </c>
      <c r="E17" s="17" t="n">
        <v>46006</v>
      </c>
      <c r="F17" s="17" t="n">
        <v>46014</v>
      </c>
      <c r="G17" t="inlineStr">
        <is>
          <t>TTAF Stock</t>
        </is>
      </c>
      <c r="H17">
        <f>IFERROR(MAX(1,MIN(104,INT((IF(F17="",E17,F17)-(DATE(Cal_Weeks!$B$1,1,1)-WEEKDAY(DATE(Cal_Weeks!$B$1,1,1),3)))/7)+1)),"")</f>
        <v/>
      </c>
    </row>
    <row r="18">
      <c r="A18" t="inlineStr">
        <is>
          <t>CHEM-1540</t>
        </is>
      </c>
      <c r="B18" t="inlineStr">
        <is>
          <t>PO066524</t>
        </is>
      </c>
      <c r="C18" s="21" t="n"/>
      <c r="D18" t="n">
        <v>2500</v>
      </c>
      <c r="E18" s="17" t="n">
        <v>46006</v>
      </c>
      <c r="F18" s="17" t="n">
        <v>46014</v>
      </c>
      <c r="G18" t="inlineStr">
        <is>
          <t>TTAF Stock</t>
        </is>
      </c>
      <c r="H18">
        <f>IFERROR(MAX(1,MIN(104,INT((IF(F18="",E18,F18)-(DATE(Cal_Weeks!$B$1,1,1)-WEEKDAY(DATE(Cal_Weeks!$B$1,1,1),3)))/7)+1)),"")</f>
        <v/>
      </c>
    </row>
    <row r="19">
      <c r="A19" t="inlineStr">
        <is>
          <t>CHEM-1720</t>
        </is>
      </c>
      <c r="B19" t="inlineStr">
        <is>
          <t>PO066524</t>
        </is>
      </c>
      <c r="C19" s="21" t="n"/>
      <c r="D19" t="n">
        <v>1200</v>
      </c>
      <c r="E19" s="17" t="n">
        <v>46006</v>
      </c>
      <c r="F19" s="17" t="n">
        <v>46014</v>
      </c>
      <c r="G19" t="inlineStr">
        <is>
          <t>TTAF Stock</t>
        </is>
      </c>
      <c r="H19">
        <f>IFERROR(MAX(1,MIN(104,INT((IF(F19="",E19,F19)-(DATE(Cal_Weeks!$B$1,1,1)-WEEKDAY(DATE(Cal_Weeks!$B$1,1,1),3)))/7)+1)),"")</f>
        <v/>
      </c>
    </row>
    <row r="20">
      <c r="A20" t="inlineStr">
        <is>
          <t>CHEM-1280</t>
        </is>
      </c>
      <c r="B20" t="inlineStr">
        <is>
          <t>PO066513</t>
        </is>
      </c>
      <c r="C20" s="21" t="n"/>
      <c r="D20" t="n">
        <v>1000</v>
      </c>
      <c r="E20" s="17" t="n">
        <v>46006</v>
      </c>
      <c r="F20" s="17" t="n">
        <v>46010</v>
      </c>
      <c r="G20" t="inlineStr">
        <is>
          <t>TTAF Stock</t>
        </is>
      </c>
      <c r="H20">
        <f>IFERROR(MAX(1,MIN(104,INT((IF(F20="",E20,F20)-(DATE(Cal_Weeks!$B$1,1,1)-WEEKDAY(DATE(Cal_Weeks!$B$1,1,1),3)))/7)+1)),"")</f>
        <v/>
      </c>
    </row>
    <row r="21">
      <c r="A21" t="inlineStr">
        <is>
          <t>CHEM-1440</t>
        </is>
      </c>
      <c r="B21" t="inlineStr">
        <is>
          <t>PO066524</t>
        </is>
      </c>
      <c r="C21" s="21" t="n"/>
      <c r="D21" t="n">
        <v>150</v>
      </c>
      <c r="E21" s="17" t="n">
        <v>46006</v>
      </c>
      <c r="F21" s="17" t="n">
        <v>46014</v>
      </c>
      <c r="G21" t="inlineStr">
        <is>
          <t>TTAF Stock</t>
        </is>
      </c>
      <c r="H21">
        <f>IFERROR(MAX(1,MIN(104,INT((IF(F21="",E21,F21)-(DATE(Cal_Weeks!$B$1,1,1)-WEEKDAY(DATE(Cal_Weeks!$B$1,1,1),3)))/7)+1)),"")</f>
        <v/>
      </c>
    </row>
    <row r="22">
      <c r="A22" t="inlineStr">
        <is>
          <t>CHEM-1240</t>
        </is>
      </c>
      <c r="B22" t="inlineStr">
        <is>
          <t>PO066524</t>
        </is>
      </c>
      <c r="C22" s="21" t="n"/>
      <c r="D22" t="n">
        <v>440</v>
      </c>
      <c r="E22" s="17" t="n">
        <v>46006</v>
      </c>
      <c r="F22" s="17" t="n">
        <v>46014</v>
      </c>
      <c r="G22" t="inlineStr">
        <is>
          <t>TTAF Stock</t>
        </is>
      </c>
      <c r="H22">
        <f>IFERROR(MAX(1,MIN(104,INT((IF(F22="",E22,F22)-(DATE(Cal_Weeks!$B$1,1,1)-WEEKDAY(DATE(Cal_Weeks!$B$1,1,1),3)))/7)+1)),"")</f>
        <v/>
      </c>
    </row>
    <row r="23">
      <c r="A23" t="inlineStr">
        <is>
          <t>4HL</t>
        </is>
      </c>
      <c r="B23" t="inlineStr">
        <is>
          <t>PO066428</t>
        </is>
      </c>
      <c r="C23" s="21" t="n"/>
      <c r="D23" t="n">
        <v>2400</v>
      </c>
      <c r="E23" s="17" t="n">
        <v>46035</v>
      </c>
      <c r="F23" s="17" t="n">
        <v>46043</v>
      </c>
      <c r="G23" t="inlineStr">
        <is>
          <t>TTAF Stock</t>
        </is>
      </c>
      <c r="H23">
        <f>IFERROR(MAX(1,MIN(104,INT((IF(F23="",E23,F23)-(DATE(Cal_Weeks!$B$1,1,1)-WEEKDAY(DATE(Cal_Weeks!$B$1,1,1),3)))/7)+1)),"")</f>
        <v/>
      </c>
    </row>
    <row r="24">
      <c r="A24" t="inlineStr">
        <is>
          <t>4HL</t>
        </is>
      </c>
      <c r="B24" t="inlineStr">
        <is>
          <t>PO066428</t>
        </is>
      </c>
      <c r="C24" s="21" t="n"/>
      <c r="D24" t="n">
        <v>9120</v>
      </c>
      <c r="E24" s="17" t="n">
        <v>46019</v>
      </c>
      <c r="F24" s="17" t="n">
        <v>46030</v>
      </c>
      <c r="G24" t="inlineStr">
        <is>
          <t>TTAF Stock</t>
        </is>
      </c>
      <c r="H24">
        <f>IFERROR(MAX(1,MIN(104,INT((IF(F24="",E24,F24)-(DATE(Cal_Weeks!$B$1,1,1)-WEEKDAY(DATE(Cal_Weeks!$B$1,1,1),3)))/7)+1)),"")</f>
        <v/>
      </c>
    </row>
    <row r="25">
      <c r="A25" t="inlineStr">
        <is>
          <t>4HL</t>
        </is>
      </c>
      <c r="B25" t="inlineStr">
        <is>
          <t>PO066428</t>
        </is>
      </c>
      <c r="C25" s="21" t="n"/>
      <c r="D25" t="n">
        <v>9600</v>
      </c>
      <c r="E25" s="17" t="n">
        <v>46035</v>
      </c>
      <c r="F25" s="17" t="n">
        <v>46042</v>
      </c>
      <c r="G25" t="inlineStr">
        <is>
          <t>TTAF Stock</t>
        </is>
      </c>
      <c r="H25">
        <f>IFERROR(MAX(1,MIN(104,INT((IF(F25="",E25,F25)-(DATE(Cal_Weeks!$B$1,1,1)-WEEKDAY(DATE(Cal_Weeks!$B$1,1,1),3)))/7)+1)),"")</f>
        <v/>
      </c>
    </row>
    <row r="26">
      <c r="A26" t="inlineStr">
        <is>
          <t>4HL</t>
        </is>
      </c>
      <c r="B26" t="inlineStr">
        <is>
          <t>PO066428</t>
        </is>
      </c>
      <c r="C26" s="21" t="n"/>
      <c r="D26" t="n">
        <v>9600</v>
      </c>
      <c r="E26" s="17" t="n">
        <v>46042</v>
      </c>
      <c r="F26" s="17" t="n">
        <v>46049</v>
      </c>
      <c r="G26" t="inlineStr">
        <is>
          <t>TTAF Stock</t>
        </is>
      </c>
      <c r="H26">
        <f>IFERROR(MAX(1,MIN(104,INT((IF(F26="",E26,F26)-(DATE(Cal_Weeks!$B$1,1,1)-WEEKDAY(DATE(Cal_Weeks!$B$1,1,1),3)))/7)+1)),"")</f>
        <v/>
      </c>
    </row>
    <row r="27">
      <c r="A27" t="inlineStr">
        <is>
          <t>4HL</t>
        </is>
      </c>
      <c r="B27" t="inlineStr">
        <is>
          <t>PO066428</t>
        </is>
      </c>
      <c r="C27" s="21" t="n"/>
      <c r="D27" t="n">
        <v>9600</v>
      </c>
      <c r="E27" s="17" t="n">
        <v>46029</v>
      </c>
      <c r="F27" s="17" t="n">
        <v>46031</v>
      </c>
      <c r="G27" t="inlineStr">
        <is>
          <t>TTAF Stock</t>
        </is>
      </c>
      <c r="H27">
        <f>IFERROR(MAX(1,MIN(104,INT((IF(F27="",E27,F27)-(DATE(Cal_Weeks!$B$1,1,1)-WEEKDAY(DATE(Cal_Weeks!$B$1,1,1),3)))/7)+1)),"")</f>
        <v/>
      </c>
    </row>
    <row r="28">
      <c r="A28" t="inlineStr">
        <is>
          <t>1EK</t>
        </is>
      </c>
      <c r="B28" t="inlineStr">
        <is>
          <t>PO066428</t>
        </is>
      </c>
      <c r="C28" s="21" t="n"/>
      <c r="D28" t="n">
        <v>3840</v>
      </c>
      <c r="E28" s="17" t="n">
        <v>45982</v>
      </c>
      <c r="G28" t="inlineStr">
        <is>
          <t>TTAF Stock</t>
        </is>
      </c>
      <c r="H28">
        <f>IFERROR(MAX(1,MIN(104,INT((IF(F28="",E28,F28)-(DATE(Cal_Weeks!$B$1,1,1)-WEEKDAY(DATE(Cal_Weeks!$B$1,1,1),3)))/7)+1)),"")</f>
        <v/>
      </c>
    </row>
    <row r="29">
      <c r="A29" t="inlineStr">
        <is>
          <t>1EK</t>
        </is>
      </c>
      <c r="B29" t="inlineStr">
        <is>
          <t>PO066428</t>
        </is>
      </c>
      <c r="C29" s="21" t="n"/>
      <c r="D29" t="n">
        <v>5760</v>
      </c>
      <c r="E29" s="17" t="n">
        <v>46035</v>
      </c>
      <c r="F29" s="17" t="n">
        <v>46042</v>
      </c>
      <c r="G29" t="inlineStr">
        <is>
          <t>TTAF Stock</t>
        </is>
      </c>
      <c r="H29">
        <f>IFERROR(MAX(1,MIN(104,INT((IF(F29="",E29,F29)-(DATE(Cal_Weeks!$B$1,1,1)-WEEKDAY(DATE(Cal_Weeks!$B$1,1,1),3)))/7)+1)),"")</f>
        <v/>
      </c>
    </row>
    <row r="30">
      <c r="A30" t="inlineStr">
        <is>
          <t>1EK</t>
        </is>
      </c>
      <c r="B30" t="inlineStr">
        <is>
          <t>PO066428</t>
        </is>
      </c>
      <c r="C30" s="21" t="n"/>
      <c r="D30" t="n">
        <v>9600</v>
      </c>
      <c r="E30" s="17" t="n">
        <v>46021</v>
      </c>
      <c r="F30" s="17" t="n">
        <v>46032</v>
      </c>
      <c r="G30" t="inlineStr">
        <is>
          <t>TTAF Stock</t>
        </is>
      </c>
      <c r="H30">
        <f>IFERROR(MAX(1,MIN(104,INT((IF(F30="",E30,F30)-(DATE(Cal_Weeks!$B$1,1,1)-WEEKDAY(DATE(Cal_Weeks!$B$1,1,1),3)))/7)+1)),"")</f>
        <v/>
      </c>
    </row>
    <row r="31">
      <c r="A31" t="inlineStr">
        <is>
          <t>1EK</t>
        </is>
      </c>
      <c r="B31" t="inlineStr">
        <is>
          <t>PO066428</t>
        </is>
      </c>
      <c r="C31" s="21" t="n"/>
      <c r="D31" t="n">
        <v>9600</v>
      </c>
      <c r="E31" s="17" t="n">
        <v>46029</v>
      </c>
      <c r="F31" s="17" t="n">
        <v>46031</v>
      </c>
      <c r="G31" t="inlineStr">
        <is>
          <t>TTAF Stock</t>
        </is>
      </c>
      <c r="H31">
        <f>IFERROR(MAX(1,MIN(104,INT((IF(F31="",E31,F31)-(DATE(Cal_Weeks!$B$1,1,1)-WEEKDAY(DATE(Cal_Weeks!$B$1,1,1),3)))/7)+1)),"")</f>
        <v/>
      </c>
    </row>
    <row r="32">
      <c r="A32" t="inlineStr">
        <is>
          <t>1EK</t>
        </is>
      </c>
      <c r="B32" t="inlineStr">
        <is>
          <t>PO066428</t>
        </is>
      </c>
      <c r="C32" s="21" t="n"/>
      <c r="D32" t="n">
        <v>4800</v>
      </c>
      <c r="E32" s="17" t="n">
        <v>46050</v>
      </c>
      <c r="F32" s="17" t="n">
        <v>46056</v>
      </c>
      <c r="G32" t="inlineStr">
        <is>
          <t>TTAF Stock</t>
        </is>
      </c>
      <c r="H32">
        <f>IFERROR(MAX(1,MIN(104,INT((IF(F32="",E32,F32)-(DATE(Cal_Weeks!$B$1,1,1)-WEEKDAY(DATE(Cal_Weeks!$B$1,1,1),3)))/7)+1)),"")</f>
        <v/>
      </c>
    </row>
    <row r="33">
      <c r="A33" t="inlineStr">
        <is>
          <t>7CL</t>
        </is>
      </c>
      <c r="B33" t="inlineStr">
        <is>
          <t>PO066428</t>
        </is>
      </c>
      <c r="C33" s="21" t="n"/>
      <c r="D33" t="n">
        <v>8100</v>
      </c>
      <c r="E33" s="17" t="n">
        <v>46035</v>
      </c>
      <c r="F33" s="17" t="n">
        <v>46043</v>
      </c>
      <c r="G33" t="inlineStr">
        <is>
          <t>TTAF Stock</t>
        </is>
      </c>
      <c r="H33">
        <f>IFERROR(MAX(1,MIN(104,INT((IF(F33="",E33,F33)-(DATE(Cal_Weeks!$B$1,1,1)-WEEKDAY(DATE(Cal_Weeks!$B$1,1,1),3)))/7)+1)),"")</f>
        <v/>
      </c>
    </row>
    <row r="34">
      <c r="A34" t="inlineStr">
        <is>
          <t>9RN</t>
        </is>
      </c>
      <c r="B34" t="inlineStr">
        <is>
          <t>PO066528</t>
        </is>
      </c>
      <c r="C34" s="21" t="n"/>
      <c r="D34" t="n">
        <v>21274</v>
      </c>
      <c r="E34" s="17" t="n">
        <v>46018</v>
      </c>
      <c r="F34" s="17" t="n">
        <v>46030</v>
      </c>
      <c r="G34" t="inlineStr">
        <is>
          <t>TTAF Stock</t>
        </is>
      </c>
      <c r="H34">
        <f>IFERROR(MAX(1,MIN(104,INT((IF(F34="",E34,F34)-(DATE(Cal_Weeks!$B$1,1,1)-WEEKDAY(DATE(Cal_Weeks!$B$1,1,1),3)))/7)+1)),"")</f>
        <v/>
      </c>
    </row>
    <row r="35">
      <c r="A35" t="inlineStr">
        <is>
          <t>9RN</t>
        </is>
      </c>
      <c r="B35" t="inlineStr">
        <is>
          <t>PO066528</t>
        </is>
      </c>
      <c r="C35" s="21" t="n"/>
      <c r="D35" t="n">
        <v>9702</v>
      </c>
      <c r="E35" s="17" t="n">
        <v>46018</v>
      </c>
      <c r="F35" s="17" t="n">
        <v>46030</v>
      </c>
      <c r="G35" t="inlineStr">
        <is>
          <t>TTAF Stock</t>
        </is>
      </c>
      <c r="H35">
        <f>IFERROR(MAX(1,MIN(104,INT((IF(F35="",E35,F35)-(DATE(Cal_Weeks!$B$1,1,1)-WEEKDAY(DATE(Cal_Weeks!$B$1,1,1),3)))/7)+1)),"")</f>
        <v/>
      </c>
    </row>
    <row r="36">
      <c r="A36" t="inlineStr">
        <is>
          <t>0JN</t>
        </is>
      </c>
      <c r="B36" t="inlineStr">
        <is>
          <t>PO066525</t>
        </is>
      </c>
      <c r="C36" s="21" t="n"/>
      <c r="D36" t="n">
        <v>18609</v>
      </c>
      <c r="E36" s="17" t="n">
        <v>46023</v>
      </c>
      <c r="G36" t="inlineStr">
        <is>
          <t>TTAF Stock</t>
        </is>
      </c>
      <c r="H36">
        <f>IFERROR(MAX(1,MIN(104,INT((IF(F36="",E36,F36)-(DATE(Cal_Weeks!$B$1,1,1)-WEEKDAY(DATE(Cal_Weeks!$B$1,1,1),3)))/7)+1)),"")</f>
        <v/>
      </c>
    </row>
    <row r="37">
      <c r="A37" t="inlineStr">
        <is>
          <t>CHEM-1250</t>
        </is>
      </c>
      <c r="B37" t="inlineStr">
        <is>
          <t>PO066734</t>
        </is>
      </c>
      <c r="C37" s="21" t="n"/>
      <c r="D37" t="n">
        <v>100</v>
      </c>
      <c r="E37" s="17" t="n">
        <v>46027</v>
      </c>
      <c r="F37" s="17" t="n">
        <v>46037</v>
      </c>
      <c r="G37" t="inlineStr">
        <is>
          <t>TTAF Stock</t>
        </is>
      </c>
      <c r="H37">
        <f>IFERROR(MAX(1,MIN(104,INT((IF(F37="",E37,F37)-(DATE(Cal_Weeks!$B$1,1,1)-WEEKDAY(DATE(Cal_Weeks!$B$1,1,1),3)))/7)+1)),"")</f>
        <v/>
      </c>
    </row>
    <row r="38">
      <c r="A38" t="inlineStr">
        <is>
          <t>CHEM-1200</t>
        </is>
      </c>
      <c r="B38" t="inlineStr">
        <is>
          <t>PO066734</t>
        </is>
      </c>
      <c r="C38" s="21" t="n"/>
      <c r="D38" t="n">
        <v>25</v>
      </c>
      <c r="E38" s="17" t="n">
        <v>46027</v>
      </c>
      <c r="F38" s="17" t="n">
        <v>46037</v>
      </c>
      <c r="G38" t="inlineStr">
        <is>
          <t>TTAF Stock</t>
        </is>
      </c>
      <c r="H38">
        <f>IFERROR(MAX(1,MIN(104,INT((IF(F38="",E38,F38)-(DATE(Cal_Weeks!$B$1,1,1)-WEEKDAY(DATE(Cal_Weeks!$B$1,1,1),3)))/7)+1)),"")</f>
        <v/>
      </c>
    </row>
    <row r="39">
      <c r="A39" t="inlineStr">
        <is>
          <t>CHEM-1570</t>
        </is>
      </c>
      <c r="B39" t="inlineStr">
        <is>
          <t>PO066734</t>
        </is>
      </c>
      <c r="C39" s="21" t="n"/>
      <c r="D39" t="n">
        <v>36</v>
      </c>
      <c r="E39" s="17" t="n">
        <v>46027</v>
      </c>
      <c r="F39" s="17" t="n">
        <v>46037</v>
      </c>
      <c r="G39" t="inlineStr">
        <is>
          <t>TTAF Stock</t>
        </is>
      </c>
      <c r="H39">
        <f>IFERROR(MAX(1,MIN(104,INT((IF(F39="",E39,F39)-(DATE(Cal_Weeks!$B$1,1,1)-WEEKDAY(DATE(Cal_Weeks!$B$1,1,1),3)))/7)+1)),"")</f>
        <v/>
      </c>
    </row>
    <row r="40">
      <c r="A40" t="inlineStr">
        <is>
          <t>CHEM-1670</t>
        </is>
      </c>
      <c r="B40" t="inlineStr">
        <is>
          <t>PO066734</t>
        </is>
      </c>
      <c r="C40" s="21" t="n"/>
      <c r="D40" t="n">
        <v>180</v>
      </c>
      <c r="E40" s="17" t="n">
        <v>46027</v>
      </c>
      <c r="F40" s="17" t="n">
        <v>46037</v>
      </c>
      <c r="G40" t="inlineStr">
        <is>
          <t>TTAF Stock</t>
        </is>
      </c>
      <c r="H40">
        <f>IFERROR(MAX(1,MIN(104,INT((IF(F40="",E40,F40)-(DATE(Cal_Weeks!$B$1,1,1)-WEEKDAY(DATE(Cal_Weeks!$B$1,1,1),3)))/7)+1)),"")</f>
        <v/>
      </c>
    </row>
    <row r="41">
      <c r="A41" t="inlineStr">
        <is>
          <t>CHEM-1700</t>
        </is>
      </c>
      <c r="B41" t="inlineStr">
        <is>
          <t>PO066734</t>
        </is>
      </c>
      <c r="C41" s="21" t="n"/>
      <c r="D41" t="n">
        <v>90</v>
      </c>
      <c r="E41" s="17" t="n">
        <v>46027</v>
      </c>
      <c r="F41" s="17" t="n">
        <v>46037</v>
      </c>
      <c r="G41" t="inlineStr">
        <is>
          <t>TTAF Stock</t>
        </is>
      </c>
      <c r="H41">
        <f>IFERROR(MAX(1,MIN(104,INT((IF(F41="",E41,F41)-(DATE(Cal_Weeks!$B$1,1,1)-WEEKDAY(DATE(Cal_Weeks!$B$1,1,1),3)))/7)+1)),"")</f>
        <v/>
      </c>
    </row>
    <row r="42">
      <c r="A42" t="inlineStr">
        <is>
          <t>CHEM-1660</t>
        </is>
      </c>
      <c r="B42" t="inlineStr"/>
      <c r="C42" s="21" t="n"/>
      <c r="D42" t="n">
        <v>60</v>
      </c>
      <c r="E42" s="17" t="n">
        <v>46027</v>
      </c>
      <c r="F42" s="17" t="n">
        <v>46037</v>
      </c>
      <c r="G42" t="inlineStr">
        <is>
          <t>TTAF Stock</t>
        </is>
      </c>
      <c r="H42">
        <f>IFERROR(MAX(1,MIN(104,INT((IF(F42="",E42,F42)-(DATE(Cal_Weeks!$B$1,1,1)-WEEKDAY(DATE(Cal_Weeks!$B$1,1,1),3)))/7)+1)),"")</f>
        <v/>
      </c>
    </row>
    <row r="43">
      <c r="A43" t="inlineStr">
        <is>
          <t>CHEM-1420</t>
        </is>
      </c>
      <c r="B43" t="inlineStr">
        <is>
          <t>PO066734</t>
        </is>
      </c>
      <c r="C43" s="21" t="n"/>
      <c r="D43" t="n">
        <v>240</v>
      </c>
      <c r="E43" s="17" t="n">
        <v>46027</v>
      </c>
      <c r="F43" s="17" t="n">
        <v>46037</v>
      </c>
      <c r="G43" t="inlineStr">
        <is>
          <t>TTAF Stock</t>
        </is>
      </c>
      <c r="H43">
        <f>IFERROR(MAX(1,MIN(104,INT((IF(F43="",E43,F43)-(DATE(Cal_Weeks!$B$1,1,1)-WEEKDAY(DATE(Cal_Weeks!$B$1,1,1),3)))/7)+1)),"")</f>
        <v/>
      </c>
    </row>
    <row r="44">
      <c r="A44" t="inlineStr">
        <is>
          <t>CHEM-1530</t>
        </is>
      </c>
      <c r="B44" t="inlineStr">
        <is>
          <t>PO066734</t>
        </is>
      </c>
      <c r="C44" s="21" t="n"/>
      <c r="D44" t="n">
        <v>1400</v>
      </c>
      <c r="E44" s="17" t="n">
        <v>46027</v>
      </c>
      <c r="F44" s="17" t="n">
        <v>46037</v>
      </c>
      <c r="G44" t="inlineStr">
        <is>
          <t>TTAF Stock</t>
        </is>
      </c>
      <c r="H44">
        <f>IFERROR(MAX(1,MIN(104,INT((IF(F44="",E44,F44)-(DATE(Cal_Weeks!$B$1,1,1)-WEEKDAY(DATE(Cal_Weeks!$B$1,1,1),3)))/7)+1)),"")</f>
        <v/>
      </c>
    </row>
    <row r="45">
      <c r="A45" t="inlineStr">
        <is>
          <t>CHEM-1600</t>
        </is>
      </c>
      <c r="B45" t="inlineStr">
        <is>
          <t>PO066734</t>
        </is>
      </c>
      <c r="C45" s="21" t="n"/>
      <c r="D45" t="n">
        <v>250</v>
      </c>
      <c r="E45" s="17" t="n">
        <v>46027</v>
      </c>
      <c r="F45" s="17" t="n">
        <v>46037</v>
      </c>
      <c r="G45" t="inlineStr">
        <is>
          <t>TTAF Stock</t>
        </is>
      </c>
      <c r="H45">
        <f>IFERROR(MAX(1,MIN(104,INT((IF(F45="",E45,F45)-(DATE(Cal_Weeks!$B$1,1,1)-WEEKDAY(DATE(Cal_Weeks!$B$1,1,1),3)))/7)+1)),"")</f>
        <v/>
      </c>
    </row>
    <row r="46">
      <c r="A46" t="inlineStr">
        <is>
          <t>CHEM-1540</t>
        </is>
      </c>
      <c r="B46" t="inlineStr">
        <is>
          <t>PO066734</t>
        </is>
      </c>
      <c r="C46" s="21" t="n"/>
      <c r="D46" t="n">
        <v>5000</v>
      </c>
      <c r="E46" s="17" t="n">
        <v>46027</v>
      </c>
      <c r="F46" s="17" t="n">
        <v>46037</v>
      </c>
      <c r="G46" t="inlineStr">
        <is>
          <t>TTAF Stock</t>
        </is>
      </c>
      <c r="H46">
        <f>IFERROR(MAX(1,MIN(104,INT((IF(F46="",E46,F46)-(DATE(Cal_Weeks!$B$1,1,1)-WEEKDAY(DATE(Cal_Weeks!$B$1,1,1),3)))/7)+1)),"")</f>
        <v/>
      </c>
    </row>
    <row r="47">
      <c r="A47" t="inlineStr">
        <is>
          <t>CHEM-1720</t>
        </is>
      </c>
      <c r="B47" t="inlineStr">
        <is>
          <t>PO066734</t>
        </is>
      </c>
      <c r="C47" s="21" t="n"/>
      <c r="D47" t="n">
        <v>1920</v>
      </c>
      <c r="E47" s="17" t="n">
        <v>46027</v>
      </c>
      <c r="F47" s="17" t="n">
        <v>46037</v>
      </c>
      <c r="G47" t="inlineStr">
        <is>
          <t>TTAF Stock</t>
        </is>
      </c>
      <c r="H47">
        <f>IFERROR(MAX(1,MIN(104,INT((IF(F47="",E47,F47)-(DATE(Cal_Weeks!$B$1,1,1)-WEEKDAY(DATE(Cal_Weeks!$B$1,1,1),3)))/7)+1)),"")</f>
        <v/>
      </c>
    </row>
    <row r="48">
      <c r="A48" t="inlineStr">
        <is>
          <t>CHEM-1280</t>
        </is>
      </c>
      <c r="B48" t="inlineStr"/>
      <c r="C48" s="21" t="n"/>
      <c r="D48" t="n">
        <v>1000</v>
      </c>
      <c r="E48" s="17" t="n">
        <v>46027</v>
      </c>
      <c r="F48" s="17" t="n">
        <v>46037</v>
      </c>
      <c r="G48" t="inlineStr">
        <is>
          <t>TTAF Stock</t>
        </is>
      </c>
      <c r="H48">
        <f>IFERROR(MAX(1,MIN(104,INT((IF(F48="",E48,F48)-(DATE(Cal_Weeks!$B$1,1,1)-WEEKDAY(DATE(Cal_Weeks!$B$1,1,1),3)))/7)+1)),"")</f>
        <v/>
      </c>
    </row>
    <row r="49">
      <c r="A49" t="inlineStr">
        <is>
          <t>CHEM-1440</t>
        </is>
      </c>
      <c r="B49" t="inlineStr">
        <is>
          <t>PO066734</t>
        </is>
      </c>
      <c r="C49" s="21" t="n"/>
      <c r="D49" t="n">
        <v>200</v>
      </c>
      <c r="E49" s="17" t="n">
        <v>46027</v>
      </c>
      <c r="F49" s="17" t="n">
        <v>46037</v>
      </c>
      <c r="G49" t="inlineStr">
        <is>
          <t>TTAF Stock</t>
        </is>
      </c>
      <c r="H49">
        <f>IFERROR(MAX(1,MIN(104,INT((IF(F49="",E49,F49)-(DATE(Cal_Weeks!$B$1,1,1)-WEEKDAY(DATE(Cal_Weeks!$B$1,1,1),3)))/7)+1)),"")</f>
        <v/>
      </c>
    </row>
    <row r="50">
      <c r="A50" t="inlineStr">
        <is>
          <t>CHEM-1240</t>
        </is>
      </c>
      <c r="B50" t="inlineStr">
        <is>
          <t>PO066734</t>
        </is>
      </c>
      <c r="C50" s="21" t="n"/>
      <c r="D50" t="n">
        <v>660</v>
      </c>
      <c r="E50" s="17" t="n">
        <v>46027</v>
      </c>
      <c r="F50" s="17" t="n">
        <v>46037</v>
      </c>
      <c r="G50" t="inlineStr">
        <is>
          <t>TTAF Stock</t>
        </is>
      </c>
      <c r="H50">
        <f>IFERROR(MAX(1,MIN(104,INT((IF(F50="",E50,F50)-(DATE(Cal_Weeks!$B$1,1,1)-WEEKDAY(DATE(Cal_Weeks!$B$1,1,1),3)))/7)+1)),"")</f>
        <v/>
      </c>
    </row>
    <row r="51">
      <c r="A51" t="inlineStr">
        <is>
          <t>CHEM-1830</t>
        </is>
      </c>
      <c r="B51" t="inlineStr">
        <is>
          <t>PO066761</t>
        </is>
      </c>
      <c r="C51" s="21" t="n"/>
      <c r="D51" t="n">
        <v>150</v>
      </c>
      <c r="E51" s="17" t="n">
        <v>46027</v>
      </c>
      <c r="F51" s="17" t="n">
        <v>46037</v>
      </c>
      <c r="G51" t="inlineStr">
        <is>
          <t>TTAF Stock</t>
        </is>
      </c>
      <c r="H51">
        <f>IFERROR(MAX(1,MIN(104,INT((IF(F51="",E51,F51)-(DATE(Cal_Weeks!$B$1,1,1)-WEEKDAY(DATE(Cal_Weeks!$B$1,1,1),3)))/7)+1)),"")</f>
        <v/>
      </c>
    </row>
    <row r="52">
      <c r="A52" t="inlineStr">
        <is>
          <t>4HL</t>
        </is>
      </c>
      <c r="B52" t="inlineStr"/>
      <c r="C52" s="21" t="n"/>
      <c r="D52" t="n">
        <v>9600</v>
      </c>
      <c r="E52" s="17" t="n">
        <v>46048</v>
      </c>
      <c r="F52" s="17" t="n">
        <v>46051</v>
      </c>
      <c r="G52" t="inlineStr">
        <is>
          <t>TTAF Stock</t>
        </is>
      </c>
      <c r="H52">
        <f>IFERROR(MAX(1,MIN(104,INT((IF(F52="",E52,F52)-(DATE(Cal_Weeks!$B$1,1,1)-WEEKDAY(DATE(Cal_Weeks!$B$1,1,1),3)))/7)+1)),"")</f>
        <v/>
      </c>
    </row>
    <row r="53">
      <c r="A53" t="inlineStr">
        <is>
          <t>4HL</t>
        </is>
      </c>
      <c r="B53" t="inlineStr"/>
      <c r="C53" s="21" t="n"/>
      <c r="D53" t="n">
        <v>17280</v>
      </c>
      <c r="E53" s="17" t="n">
        <v>46069</v>
      </c>
      <c r="F53" s="17" t="n">
        <v>46070</v>
      </c>
      <c r="G53" t="inlineStr">
        <is>
          <t>TTAF Stock</t>
        </is>
      </c>
      <c r="H53">
        <f>IFERROR(MAX(1,MIN(104,INT((IF(F53="",E53,F53)-(DATE(Cal_Weeks!$B$1,1,1)-WEEKDAY(DATE(Cal_Weeks!$B$1,1,1),3)))/7)+1)),"")</f>
        <v/>
      </c>
    </row>
    <row r="54">
      <c r="A54" t="inlineStr">
        <is>
          <t>4HL</t>
        </is>
      </c>
      <c r="B54" t="inlineStr"/>
      <c r="C54" s="21" t="n"/>
      <c r="D54" t="n">
        <v>9600</v>
      </c>
      <c r="E54" s="17" t="n">
        <v>46056</v>
      </c>
      <c r="F54" s="17" t="n">
        <v>46062</v>
      </c>
      <c r="G54" t="inlineStr">
        <is>
          <t>TTAF Stock</t>
        </is>
      </c>
      <c r="H54">
        <f>IFERROR(MAX(1,MIN(104,INT((IF(F54="",E54,F54)-(DATE(Cal_Weeks!$B$1,1,1)-WEEKDAY(DATE(Cal_Weeks!$B$1,1,1),3)))/7)+1)),"")</f>
        <v/>
      </c>
    </row>
    <row r="55">
      <c r="A55" t="inlineStr">
        <is>
          <t>4HL</t>
        </is>
      </c>
      <c r="B55" t="inlineStr"/>
      <c r="C55" s="21" t="n"/>
      <c r="D55" t="n">
        <v>1920</v>
      </c>
      <c r="E55" s="17" t="n">
        <v>46069</v>
      </c>
      <c r="F55" s="17" t="n">
        <v>46069</v>
      </c>
      <c r="G55" t="inlineStr">
        <is>
          <t>TTAF Stock</t>
        </is>
      </c>
      <c r="H55">
        <f>IFERROR(MAX(1,MIN(104,INT((IF(F55="",E55,F55)-(DATE(Cal_Weeks!$B$1,1,1)-WEEKDAY(DATE(Cal_Weeks!$B$1,1,1),3)))/7)+1)),"")</f>
        <v/>
      </c>
    </row>
    <row r="56">
      <c r="A56" t="inlineStr">
        <is>
          <t>4HL</t>
        </is>
      </c>
      <c r="B56" t="inlineStr"/>
      <c r="C56" s="21" t="n"/>
      <c r="D56" t="n">
        <v>5280</v>
      </c>
      <c r="E56" s="17" t="n">
        <v>46087</v>
      </c>
      <c r="F56" s="17" t="n">
        <v>46092</v>
      </c>
      <c r="G56" t="inlineStr">
        <is>
          <t>TTAF Stock</t>
        </is>
      </c>
      <c r="H56">
        <f>IFERROR(MAX(1,MIN(104,INT((IF(F56="",E56,F56)-(DATE(Cal_Weeks!$B$1,1,1)-WEEKDAY(DATE(Cal_Weeks!$B$1,1,1),3)))/7)+1)),"")</f>
        <v/>
      </c>
    </row>
    <row r="57">
      <c r="A57" t="inlineStr">
        <is>
          <t>4HL</t>
        </is>
      </c>
      <c r="B57" t="inlineStr"/>
      <c r="C57" s="21" t="n"/>
      <c r="D57" t="n">
        <v>365</v>
      </c>
      <c r="E57" s="17" t="n">
        <v>46069</v>
      </c>
      <c r="F57" s="17" t="n">
        <v>46070</v>
      </c>
      <c r="G57" t="inlineStr">
        <is>
          <t>TTAF Stock</t>
        </is>
      </c>
      <c r="H57">
        <f>IFERROR(MAX(1,MIN(104,INT((IF(F57="",E57,F57)-(DATE(Cal_Weeks!$B$1,1,1)-WEEKDAY(DATE(Cal_Weeks!$B$1,1,1),3)))/7)+1)),"")</f>
        <v/>
      </c>
    </row>
    <row r="58">
      <c r="A58" t="inlineStr">
        <is>
          <t>1EK</t>
        </is>
      </c>
      <c r="B58" t="inlineStr"/>
      <c r="C58" s="21" t="n"/>
      <c r="D58" t="n">
        <v>7200</v>
      </c>
      <c r="E58" s="17" t="n">
        <v>46069</v>
      </c>
      <c r="F58" s="17" t="n">
        <v>46069</v>
      </c>
      <c r="G58" t="inlineStr">
        <is>
          <t>TTAF Stock</t>
        </is>
      </c>
      <c r="H58">
        <f>IFERROR(MAX(1,MIN(104,INT((IF(F58="",E58,F58)-(DATE(Cal_Weeks!$B$1,1,1)-WEEKDAY(DATE(Cal_Weeks!$B$1,1,1),3)))/7)+1)),"")</f>
        <v/>
      </c>
    </row>
    <row r="59">
      <c r="A59" t="inlineStr">
        <is>
          <t>1EK</t>
        </is>
      </c>
      <c r="B59" t="inlineStr"/>
      <c r="C59" s="21" t="n"/>
      <c r="D59" t="n">
        <v>6720</v>
      </c>
      <c r="E59" s="17" t="n">
        <v>46087</v>
      </c>
      <c r="F59" s="17" t="n">
        <v>46092</v>
      </c>
      <c r="G59" t="inlineStr">
        <is>
          <t>TTAF Stock</t>
        </is>
      </c>
      <c r="H59">
        <f>IFERROR(MAX(1,MIN(104,INT((IF(F59="",E59,F59)-(DATE(Cal_Weeks!$B$1,1,1)-WEEKDAY(DATE(Cal_Weeks!$B$1,1,1),3)))/7)+1)),"")</f>
        <v/>
      </c>
    </row>
    <row r="60">
      <c r="A60" t="inlineStr">
        <is>
          <t>1EK</t>
        </is>
      </c>
      <c r="B60" t="inlineStr"/>
      <c r="C60" s="21" t="n"/>
      <c r="D60" t="n">
        <v>160</v>
      </c>
      <c r="E60" s="17" t="n">
        <v>46069</v>
      </c>
      <c r="F60" s="17" t="n">
        <v>46069</v>
      </c>
      <c r="G60" t="inlineStr">
        <is>
          <t>TTAF Stock</t>
        </is>
      </c>
      <c r="H60">
        <f>IFERROR(MAX(1,MIN(104,INT((IF(F60="",E60,F60)-(DATE(Cal_Weeks!$B$1,1,1)-WEEKDAY(DATE(Cal_Weeks!$B$1,1,1),3)))/7)+1)),"")</f>
        <v/>
      </c>
    </row>
    <row r="61">
      <c r="A61" t="inlineStr">
        <is>
          <t>1EK</t>
        </is>
      </c>
      <c r="B61" t="inlineStr"/>
      <c r="C61" s="21" t="n"/>
      <c r="D61" t="n">
        <v>474</v>
      </c>
      <c r="E61" s="17" t="n">
        <v>46087</v>
      </c>
      <c r="F61" s="17" t="n">
        <v>46092</v>
      </c>
      <c r="G61" t="inlineStr">
        <is>
          <t>TTAF Stock</t>
        </is>
      </c>
      <c r="H61">
        <f>IFERROR(MAX(1,MIN(104,INT((IF(F61="",E61,F61)-(DATE(Cal_Weeks!$B$1,1,1)-WEEKDAY(DATE(Cal_Weeks!$B$1,1,1),3)))/7)+1)),"")</f>
        <v/>
      </c>
    </row>
    <row r="62">
      <c r="A62" t="inlineStr">
        <is>
          <t>7CL</t>
        </is>
      </c>
      <c r="B62" t="inlineStr"/>
      <c r="C62" s="21" t="n"/>
      <c r="D62" t="n">
        <v>1620</v>
      </c>
      <c r="E62" s="17" t="n">
        <v>46069</v>
      </c>
      <c r="F62" s="17" t="n">
        <v>46070</v>
      </c>
      <c r="G62" t="inlineStr">
        <is>
          <t>TTAF Stock</t>
        </is>
      </c>
      <c r="H62">
        <f>IFERROR(MAX(1,MIN(104,INT((IF(F62="",E62,F62)-(DATE(Cal_Weeks!$B$1,1,1)-WEEKDAY(DATE(Cal_Weeks!$B$1,1,1),3)))/7)+1)),"")</f>
        <v/>
      </c>
    </row>
    <row r="63">
      <c r="A63" t="inlineStr">
        <is>
          <t>9RN</t>
        </is>
      </c>
      <c r="B63" t="inlineStr">
        <is>
          <t>PO066735</t>
        </is>
      </c>
      <c r="C63" s="21" t="n"/>
      <c r="D63" t="n">
        <v>19206</v>
      </c>
      <c r="E63" s="17" t="n">
        <v>46033</v>
      </c>
      <c r="F63" s="17" t="n">
        <v>46041</v>
      </c>
      <c r="G63" t="inlineStr">
        <is>
          <t>TTAF Stock</t>
        </is>
      </c>
      <c r="H63">
        <f>IFERROR(MAX(1,MIN(104,INT((IF(F63="",E63,F63)-(DATE(Cal_Weeks!$B$1,1,1)-WEEKDAY(DATE(Cal_Weeks!$B$1,1,1),3)))/7)+1)),"")</f>
        <v/>
      </c>
    </row>
    <row r="64">
      <c r="A64" t="inlineStr">
        <is>
          <t>9RN</t>
        </is>
      </c>
      <c r="B64" t="inlineStr">
        <is>
          <t>PO066735</t>
        </is>
      </c>
      <c r="C64" s="21" t="n"/>
      <c r="D64" t="n">
        <v>15642</v>
      </c>
      <c r="E64" s="17" t="n">
        <v>46033</v>
      </c>
      <c r="F64" s="17" t="n">
        <v>46041</v>
      </c>
      <c r="G64" t="inlineStr">
        <is>
          <t>TTAF Stock</t>
        </is>
      </c>
      <c r="H64">
        <f>IFERROR(MAX(1,MIN(104,INT((IF(F64="",E64,F64)-(DATE(Cal_Weeks!$B$1,1,1)-WEEKDAY(DATE(Cal_Weeks!$B$1,1,1),3)))/7)+1)),"")</f>
        <v/>
      </c>
    </row>
    <row r="65">
      <c r="A65" t="inlineStr">
        <is>
          <t>0JN</t>
        </is>
      </c>
      <c r="B65" t="inlineStr">
        <is>
          <t>PO066755</t>
        </is>
      </c>
      <c r="C65" s="21" t="n"/>
      <c r="D65" t="n">
        <v>1584</v>
      </c>
      <c r="E65" s="17" t="n">
        <v>46047</v>
      </c>
      <c r="F65" s="17" t="n">
        <v>46049</v>
      </c>
      <c r="G65" t="inlineStr">
        <is>
          <t>TTAF Stock</t>
        </is>
      </c>
      <c r="H65">
        <f>IFERROR(MAX(1,MIN(104,INT((IF(F65="",E65,F65)-(DATE(Cal_Weeks!$B$1,1,1)-WEEKDAY(DATE(Cal_Weeks!$B$1,1,1),3)))/7)+1)),"")</f>
        <v/>
      </c>
    </row>
    <row r="66">
      <c r="A66" t="inlineStr">
        <is>
          <t>0JN</t>
        </is>
      </c>
      <c r="B66" t="inlineStr">
        <is>
          <t>PO066755</t>
        </is>
      </c>
      <c r="C66" s="21" t="n"/>
      <c r="D66" t="n">
        <v>18530</v>
      </c>
      <c r="E66" s="17" t="n">
        <v>46076</v>
      </c>
      <c r="F66" s="17" t="n">
        <v>46079</v>
      </c>
      <c r="G66" t="inlineStr">
        <is>
          <t>TTAF Stock</t>
        </is>
      </c>
      <c r="H66">
        <f>IFERROR(MAX(1,MIN(104,INT((IF(F66="",E66,F66)-(DATE(Cal_Weeks!$B$1,1,1)-WEEKDAY(DATE(Cal_Weeks!$B$1,1,1),3)))/7)+1)),"")</f>
        <v/>
      </c>
    </row>
    <row r="67">
      <c r="A67" t="inlineStr">
        <is>
          <t>CHEM-1240</t>
        </is>
      </c>
      <c r="B67" t="inlineStr">
        <is>
          <t>PO066939</t>
        </is>
      </c>
      <c r="C67" s="21" t="n"/>
      <c r="D67" t="n">
        <v>880</v>
      </c>
      <c r="E67" s="17" t="n">
        <v>46068</v>
      </c>
      <c r="F67" s="17" t="n">
        <v>46072</v>
      </c>
      <c r="G67" t="inlineStr">
        <is>
          <t>TTAF Stock</t>
        </is>
      </c>
      <c r="H67">
        <f>IFERROR(MAX(1,MIN(104,INT((IF(F67="",E67,F67)-(DATE(Cal_Weeks!$B$1,1,1)-WEEKDAY(DATE(Cal_Weeks!$B$1,1,1),3)))/7)+1)),"")</f>
        <v/>
      </c>
    </row>
    <row r="68">
      <c r="A68" t="inlineStr">
        <is>
          <t>CHEM-1250</t>
        </is>
      </c>
      <c r="B68" t="inlineStr">
        <is>
          <t>PO066939</t>
        </is>
      </c>
      <c r="C68" s="21" t="n"/>
      <c r="D68" t="n">
        <v>50</v>
      </c>
      <c r="E68" s="17" t="n">
        <v>46068</v>
      </c>
      <c r="F68" s="17" t="n">
        <v>46072</v>
      </c>
      <c r="G68" t="inlineStr">
        <is>
          <t>TTAF Stock</t>
        </is>
      </c>
      <c r="H68">
        <f>IFERROR(MAX(1,MIN(104,INT((IF(F68="",E68,F68)-(DATE(Cal_Weeks!$B$1,1,1)-WEEKDAY(DATE(Cal_Weeks!$B$1,1,1),3)))/7)+1)),"")</f>
        <v/>
      </c>
    </row>
    <row r="69">
      <c r="A69" t="inlineStr">
        <is>
          <t>CHEM-1400</t>
        </is>
      </c>
      <c r="B69" t="inlineStr">
        <is>
          <t>PO066939</t>
        </is>
      </c>
      <c r="C69" s="21" t="n"/>
      <c r="D69" t="n">
        <v>250</v>
      </c>
      <c r="E69" s="17" t="n">
        <v>46068</v>
      </c>
      <c r="F69" s="17" t="n">
        <v>46072</v>
      </c>
      <c r="G69" t="inlineStr">
        <is>
          <t>TTAF Stock</t>
        </is>
      </c>
      <c r="H69">
        <f>IFERROR(MAX(1,MIN(104,INT((IF(F69="",E69,F69)-(DATE(Cal_Weeks!$B$1,1,1)-WEEKDAY(DATE(Cal_Weeks!$B$1,1,1),3)))/7)+1)),"")</f>
        <v/>
      </c>
    </row>
    <row r="70">
      <c r="A70" t="inlineStr">
        <is>
          <t>CHEM-1420</t>
        </is>
      </c>
      <c r="B70" t="inlineStr">
        <is>
          <t>PO066939</t>
        </is>
      </c>
      <c r="C70" s="21" t="n"/>
      <c r="D70" t="n">
        <v>240</v>
      </c>
      <c r="E70" s="17" t="n">
        <v>46068</v>
      </c>
      <c r="F70" s="17" t="n">
        <v>46072</v>
      </c>
      <c r="G70" t="inlineStr">
        <is>
          <t>TTAF Stock</t>
        </is>
      </c>
      <c r="H70">
        <f>IFERROR(MAX(1,MIN(104,INT((IF(F70="",E70,F70)-(DATE(Cal_Weeks!$B$1,1,1)-WEEKDAY(DATE(Cal_Weeks!$B$1,1,1),3)))/7)+1)),"")</f>
        <v/>
      </c>
    </row>
    <row r="71">
      <c r="A71" t="inlineStr">
        <is>
          <t>CHEM-1440</t>
        </is>
      </c>
      <c r="B71" t="inlineStr">
        <is>
          <t>PO066939</t>
        </is>
      </c>
      <c r="C71" s="21" t="n"/>
      <c r="D71" t="n">
        <v>200</v>
      </c>
      <c r="E71" s="17" t="n">
        <v>46068</v>
      </c>
      <c r="F71" s="17" t="n">
        <v>46072</v>
      </c>
      <c r="G71" t="inlineStr">
        <is>
          <t>TTAF Stock</t>
        </is>
      </c>
      <c r="H71">
        <f>IFERROR(MAX(1,MIN(104,INT((IF(F71="",E71,F71)-(DATE(Cal_Weeks!$B$1,1,1)-WEEKDAY(DATE(Cal_Weeks!$B$1,1,1),3)))/7)+1)),"")</f>
        <v/>
      </c>
    </row>
    <row r="72">
      <c r="A72" t="inlineStr">
        <is>
          <t>CHEM-1540</t>
        </is>
      </c>
      <c r="B72" t="inlineStr">
        <is>
          <t>PO066939</t>
        </is>
      </c>
      <c r="C72" s="21" t="n"/>
      <c r="D72" t="n">
        <v>2500</v>
      </c>
      <c r="E72" s="17" t="n">
        <v>46068</v>
      </c>
      <c r="F72" s="17" t="n">
        <v>46072</v>
      </c>
      <c r="G72" t="inlineStr">
        <is>
          <t>TTAF Stock</t>
        </is>
      </c>
      <c r="H72">
        <f>IFERROR(MAX(1,MIN(104,INT((IF(F72="",E72,F72)-(DATE(Cal_Weeks!$B$1,1,1)-WEEKDAY(DATE(Cal_Weeks!$B$1,1,1),3)))/7)+1)),"")</f>
        <v/>
      </c>
    </row>
    <row r="73">
      <c r="A73" t="inlineStr">
        <is>
          <t>CHEM-1530</t>
        </is>
      </c>
      <c r="B73" t="inlineStr">
        <is>
          <t>PO066939</t>
        </is>
      </c>
      <c r="C73" s="21" t="n"/>
      <c r="D73" t="n">
        <v>2100</v>
      </c>
      <c r="E73" s="17" t="n">
        <v>46068</v>
      </c>
      <c r="F73" s="17" t="n">
        <v>46072</v>
      </c>
      <c r="G73" t="inlineStr">
        <is>
          <t>TTAF Stock</t>
        </is>
      </c>
      <c r="H73">
        <f>IFERROR(MAX(1,MIN(104,INT((IF(F73="",E73,F73)-(DATE(Cal_Weeks!$B$1,1,1)-WEEKDAY(DATE(Cal_Weeks!$B$1,1,1),3)))/7)+1)),"")</f>
        <v/>
      </c>
    </row>
    <row r="74">
      <c r="A74" t="inlineStr">
        <is>
          <t>CHEM-1600</t>
        </is>
      </c>
      <c r="B74" t="inlineStr">
        <is>
          <t>PO066939</t>
        </is>
      </c>
      <c r="C74" s="21" t="n"/>
      <c r="D74" t="n">
        <v>300</v>
      </c>
      <c r="E74" s="17" t="n">
        <v>46068</v>
      </c>
      <c r="F74" s="17" t="n">
        <v>46072</v>
      </c>
      <c r="G74" t="inlineStr">
        <is>
          <t>TTAF Stock</t>
        </is>
      </c>
      <c r="H74">
        <f>IFERROR(MAX(1,MIN(104,INT((IF(F74="",E74,F74)-(DATE(Cal_Weeks!$B$1,1,1)-WEEKDAY(DATE(Cal_Weeks!$B$1,1,1),3)))/7)+1)),"")</f>
        <v/>
      </c>
    </row>
    <row r="75">
      <c r="A75" t="inlineStr">
        <is>
          <t>CHEM-1570</t>
        </is>
      </c>
      <c r="B75" t="inlineStr">
        <is>
          <t>PO066939</t>
        </is>
      </c>
      <c r="C75" s="21" t="n"/>
      <c r="D75" t="n">
        <v>36</v>
      </c>
      <c r="E75" s="17" t="n">
        <v>46068</v>
      </c>
      <c r="F75" s="17" t="n">
        <v>46072</v>
      </c>
      <c r="G75" t="inlineStr">
        <is>
          <t>TTAF Stock</t>
        </is>
      </c>
      <c r="H75">
        <f>IFERROR(MAX(1,MIN(104,INT((IF(F75="",E75,F75)-(DATE(Cal_Weeks!$B$1,1,1)-WEEKDAY(DATE(Cal_Weeks!$B$1,1,1),3)))/7)+1)),"")</f>
        <v/>
      </c>
    </row>
    <row r="76">
      <c r="A76" t="inlineStr">
        <is>
          <t>CHEM-1670</t>
        </is>
      </c>
      <c r="B76" t="inlineStr">
        <is>
          <t>PO066939</t>
        </is>
      </c>
      <c r="C76" s="21" t="n"/>
      <c r="D76" t="n">
        <v>180</v>
      </c>
      <c r="E76" s="17" t="n">
        <v>46068</v>
      </c>
      <c r="F76" s="17" t="n">
        <v>46072</v>
      </c>
      <c r="G76" t="inlineStr">
        <is>
          <t>TTAF Stock</t>
        </is>
      </c>
      <c r="H76">
        <f>IFERROR(MAX(1,MIN(104,INT((IF(F76="",E76,F76)-(DATE(Cal_Weeks!$B$1,1,1)-WEEKDAY(DATE(Cal_Weeks!$B$1,1,1),3)))/7)+1)),"")</f>
        <v/>
      </c>
    </row>
    <row r="77">
      <c r="A77" t="inlineStr">
        <is>
          <t>CHEM-1690</t>
        </is>
      </c>
      <c r="B77" t="inlineStr">
        <is>
          <t>PO066939</t>
        </is>
      </c>
      <c r="C77" s="21" t="n"/>
      <c r="D77" t="n">
        <v>135</v>
      </c>
      <c r="E77" s="17" t="n">
        <v>46068</v>
      </c>
      <c r="F77" s="17" t="n">
        <v>46072</v>
      </c>
      <c r="G77" t="inlineStr">
        <is>
          <t>TTAF Stock</t>
        </is>
      </c>
      <c r="H77">
        <f>IFERROR(MAX(1,MIN(104,INT((IF(F77="",E77,F77)-(DATE(Cal_Weeks!$B$1,1,1)-WEEKDAY(DATE(Cal_Weeks!$B$1,1,1),3)))/7)+1)),"")</f>
        <v/>
      </c>
    </row>
    <row r="78">
      <c r="A78" t="inlineStr">
        <is>
          <t>CHEM-1700</t>
        </is>
      </c>
      <c r="B78" t="inlineStr">
        <is>
          <t>PO066939</t>
        </is>
      </c>
      <c r="C78" s="21" t="n"/>
      <c r="D78" t="n">
        <v>60</v>
      </c>
      <c r="E78" s="17" t="n">
        <v>46068</v>
      </c>
      <c r="F78" s="17" t="n">
        <v>46072</v>
      </c>
      <c r="G78" t="inlineStr">
        <is>
          <t>TTAF Stock</t>
        </is>
      </c>
      <c r="H78">
        <f>IFERROR(MAX(1,MIN(104,INT((IF(F78="",E78,F78)-(DATE(Cal_Weeks!$B$1,1,1)-WEEKDAY(DATE(Cal_Weeks!$B$1,1,1),3)))/7)+1)),"")</f>
        <v/>
      </c>
    </row>
    <row r="79">
      <c r="A79" t="inlineStr">
        <is>
          <t>CHEM-1720</t>
        </is>
      </c>
      <c r="B79" t="inlineStr">
        <is>
          <t>PO066939</t>
        </is>
      </c>
      <c r="C79" s="21" t="n"/>
      <c r="D79" t="n">
        <v>2040</v>
      </c>
      <c r="E79" s="17" t="n">
        <v>46068</v>
      </c>
      <c r="F79" s="17" t="n">
        <v>46072</v>
      </c>
      <c r="G79" t="inlineStr">
        <is>
          <t>TTAF Stock</t>
        </is>
      </c>
      <c r="H79">
        <f>IFERROR(MAX(1,MIN(104,INT((IF(F79="",E79,F79)-(DATE(Cal_Weeks!$B$1,1,1)-WEEKDAY(DATE(Cal_Weeks!$B$1,1,1),3)))/7)+1)),"")</f>
        <v/>
      </c>
    </row>
    <row r="80">
      <c r="A80" t="inlineStr">
        <is>
          <t>CHEM-1760</t>
        </is>
      </c>
      <c r="B80" t="inlineStr">
        <is>
          <t>PO066939</t>
        </is>
      </c>
      <c r="C80" s="21" t="n"/>
      <c r="D80" t="n">
        <v>17</v>
      </c>
      <c r="E80" s="17" t="n">
        <v>46068</v>
      </c>
      <c r="F80" s="17" t="n">
        <v>46072</v>
      </c>
      <c r="G80" t="inlineStr">
        <is>
          <t>TTAF Stock</t>
        </is>
      </c>
      <c r="H80">
        <f>IFERROR(MAX(1,MIN(104,INT((IF(F80="",E80,F80)-(DATE(Cal_Weeks!$B$1,1,1)-WEEKDAY(DATE(Cal_Weeks!$B$1,1,1),3)))/7)+1)),"")</f>
        <v/>
      </c>
    </row>
    <row r="81">
      <c r="A81" t="inlineStr">
        <is>
          <t>CHEM-1200</t>
        </is>
      </c>
      <c r="B81" t="inlineStr">
        <is>
          <t>PO066939</t>
        </is>
      </c>
      <c r="C81" s="21" t="n"/>
      <c r="D81" t="n">
        <v>25</v>
      </c>
      <c r="E81" s="17" t="n">
        <v>46068</v>
      </c>
      <c r="F81" s="17" t="n">
        <v>46072</v>
      </c>
      <c r="G81" t="inlineStr">
        <is>
          <t>TTAF Stock</t>
        </is>
      </c>
      <c r="H81">
        <f>IFERROR(MAX(1,MIN(104,INT((IF(F81="",E81,F81)-(DATE(Cal_Weeks!$B$1,1,1)-WEEKDAY(DATE(Cal_Weeks!$B$1,1,1),3)))/7)+1)),"")</f>
        <v/>
      </c>
    </row>
    <row r="82">
      <c r="A82" t="inlineStr">
        <is>
          <t>CHEM-1680</t>
        </is>
      </c>
      <c r="B82" t="inlineStr">
        <is>
          <t>PO066939</t>
        </is>
      </c>
      <c r="C82" s="21" t="n"/>
      <c r="D82" t="n">
        <v>200</v>
      </c>
      <c r="E82" s="17" t="n">
        <v>46068</v>
      </c>
      <c r="F82" s="17" t="n">
        <v>46072</v>
      </c>
      <c r="G82" t="inlineStr">
        <is>
          <t>TTAF Stock</t>
        </is>
      </c>
      <c r="H82">
        <f>IFERROR(MAX(1,MIN(104,INT((IF(F82="",E82,F82)-(DATE(Cal_Weeks!$B$1,1,1)-WEEKDAY(DATE(Cal_Weeks!$B$1,1,1),3)))/7)+1)),"")</f>
        <v/>
      </c>
    </row>
    <row r="83">
      <c r="A83" t="inlineStr">
        <is>
          <t>CHEM-1660</t>
        </is>
      </c>
      <c r="B83" t="inlineStr">
        <is>
          <t>PO066949</t>
        </is>
      </c>
      <c r="C83" s="21" t="n"/>
      <c r="D83" t="n">
        <v>60</v>
      </c>
      <c r="E83" s="17" t="n">
        <v>46056</v>
      </c>
      <c r="G83" t="inlineStr">
        <is>
          <t>TTAF Stock</t>
        </is>
      </c>
      <c r="H83">
        <f>IFERROR(MAX(1,MIN(104,INT((IF(F83="",E83,F83)-(DATE(Cal_Weeks!$B$1,1,1)-WEEKDAY(DATE(Cal_Weeks!$B$1,1,1),3)))/7)+1)),"")</f>
        <v/>
      </c>
    </row>
    <row r="84">
      <c r="A84" t="inlineStr">
        <is>
          <t>CHEM-1830</t>
        </is>
      </c>
      <c r="B84" t="inlineStr"/>
      <c r="C84" s="21" t="n"/>
      <c r="D84" t="n">
        <v>75</v>
      </c>
      <c r="E84" s="17" t="n">
        <v>46068</v>
      </c>
      <c r="F84" s="17" t="n">
        <v>46072</v>
      </c>
      <c r="G84" t="inlineStr">
        <is>
          <t>TTAF Stock</t>
        </is>
      </c>
      <c r="H84">
        <f>IFERROR(MAX(1,MIN(104,INT((IF(F84="",E84,F84)-(DATE(Cal_Weeks!$B$1,1,1)-WEEKDAY(DATE(Cal_Weeks!$B$1,1,1),3)))/7)+1)),"")</f>
        <v/>
      </c>
    </row>
    <row r="85">
      <c r="A85" t="inlineStr">
        <is>
          <t>CHEM-1820</t>
        </is>
      </c>
      <c r="B85" t="inlineStr"/>
      <c r="C85" s="21" t="n"/>
      <c r="D85" t="n">
        <v>500</v>
      </c>
      <c r="E85" s="17" t="n">
        <v>46068</v>
      </c>
      <c r="F85" s="17" t="n">
        <v>46072</v>
      </c>
      <c r="G85" t="inlineStr">
        <is>
          <t>TTAF Stock</t>
        </is>
      </c>
      <c r="H85">
        <f>IFERROR(MAX(1,MIN(104,INT((IF(F85="",E85,F85)-(DATE(Cal_Weeks!$B$1,1,1)-WEEKDAY(DATE(Cal_Weeks!$B$1,1,1),3)))/7)+1)),"")</f>
        <v/>
      </c>
    </row>
    <row r="86">
      <c r="A86" t="inlineStr">
        <is>
          <t>CHEM-1840</t>
        </is>
      </c>
      <c r="B86" t="inlineStr"/>
      <c r="C86" s="21" t="n"/>
      <c r="D86" t="n">
        <v>18</v>
      </c>
      <c r="E86" s="17" t="n">
        <v>46068</v>
      </c>
      <c r="F86" s="17" t="n">
        <v>46072</v>
      </c>
      <c r="G86" t="inlineStr">
        <is>
          <t>TTAF Stock</t>
        </is>
      </c>
      <c r="H86">
        <f>IFERROR(MAX(1,MIN(104,INT((IF(F86="",E86,F86)-(DATE(Cal_Weeks!$B$1,1,1)-WEEKDAY(DATE(Cal_Weeks!$B$1,1,1),3)))/7)+1)),"")</f>
        <v/>
      </c>
    </row>
    <row r="87">
      <c r="A87" t="inlineStr">
        <is>
          <t>4HL</t>
        </is>
      </c>
      <c r="B87" t="inlineStr"/>
      <c r="C87" s="21" t="n"/>
      <c r="D87" t="n">
        <v>9120</v>
      </c>
      <c r="E87" s="17" t="n">
        <v>46075</v>
      </c>
      <c r="F87" s="17" t="n">
        <v>46079</v>
      </c>
      <c r="G87" t="inlineStr">
        <is>
          <t>TTAF Stock</t>
        </is>
      </c>
      <c r="H87">
        <f>IFERROR(MAX(1,MIN(104,INT((IF(F87="",E87,F87)-(DATE(Cal_Weeks!$B$1,1,1)-WEEKDAY(DATE(Cal_Weeks!$B$1,1,1),3)))/7)+1)),"")</f>
        <v/>
      </c>
    </row>
    <row r="88">
      <c r="A88" t="inlineStr">
        <is>
          <t>4HL</t>
        </is>
      </c>
      <c r="B88" t="inlineStr"/>
      <c r="C88" s="21" t="n"/>
      <c r="D88" t="n">
        <v>14400</v>
      </c>
      <c r="E88" s="17" t="n">
        <v>46097</v>
      </c>
      <c r="F88" s="17" t="n">
        <v>46102</v>
      </c>
      <c r="G88" t="inlineStr">
        <is>
          <t>TTAF Stock</t>
        </is>
      </c>
      <c r="H88">
        <f>IFERROR(MAX(1,MIN(104,INT((IF(F88="",E88,F88)-(DATE(Cal_Weeks!$B$1,1,1)-WEEKDAY(DATE(Cal_Weeks!$B$1,1,1),3)))/7)+1)),"")</f>
        <v/>
      </c>
    </row>
    <row r="89">
      <c r="A89" t="inlineStr">
        <is>
          <t>4HL</t>
        </is>
      </c>
      <c r="B89" t="inlineStr"/>
      <c r="C89" s="21" t="n"/>
      <c r="D89" t="n">
        <v>14400</v>
      </c>
      <c r="E89" s="17" t="n">
        <v>46082</v>
      </c>
      <c r="F89" s="17" t="n">
        <v>46090</v>
      </c>
      <c r="G89" t="inlineStr">
        <is>
          <t>TTAF Stock</t>
        </is>
      </c>
      <c r="H89">
        <f>IFERROR(MAX(1,MIN(104,INT((IF(F89="",E89,F89)-(DATE(Cal_Weeks!$B$1,1,1)-WEEKDAY(DATE(Cal_Weeks!$B$1,1,1),3)))/7)+1)),"")</f>
        <v/>
      </c>
    </row>
    <row r="90">
      <c r="A90" t="inlineStr">
        <is>
          <t>4HL</t>
        </is>
      </c>
      <c r="B90" t="inlineStr"/>
      <c r="C90" s="21" t="n"/>
      <c r="D90" t="n">
        <v>20640</v>
      </c>
      <c r="E90" s="17" t="n">
        <v>46092</v>
      </c>
      <c r="F90" s="17" t="n">
        <v>46098</v>
      </c>
      <c r="G90" t="inlineStr">
        <is>
          <t>TTAF Stock</t>
        </is>
      </c>
      <c r="H90">
        <f>IFERROR(MAX(1,MIN(104,INT((IF(F90="",E90,F90)-(DATE(Cal_Weeks!$B$1,1,1)-WEEKDAY(DATE(Cal_Weeks!$B$1,1,1),3)))/7)+1)),"")</f>
        <v/>
      </c>
    </row>
    <row r="91">
      <c r="A91" t="inlineStr">
        <is>
          <t>4HL</t>
        </is>
      </c>
      <c r="B91" t="inlineStr"/>
      <c r="C91" s="21" t="n"/>
      <c r="D91" t="n">
        <v>16320</v>
      </c>
      <c r="E91" s="17" t="n">
        <v>46103</v>
      </c>
      <c r="F91" s="17" t="n">
        <v>46108</v>
      </c>
      <c r="G91" t="inlineStr">
        <is>
          <t>TTAF Stock</t>
        </is>
      </c>
      <c r="H91">
        <f>IFERROR(MAX(1,MIN(104,INT((IF(F91="",E91,F91)-(DATE(Cal_Weeks!$B$1,1,1)-WEEKDAY(DATE(Cal_Weeks!$B$1,1,1),3)))/7)+1)),"")</f>
        <v/>
      </c>
    </row>
    <row r="92">
      <c r="A92" t="inlineStr">
        <is>
          <t>4HL</t>
        </is>
      </c>
      <c r="B92" t="inlineStr"/>
      <c r="C92" s="21" t="n"/>
      <c r="D92" t="n">
        <v>960</v>
      </c>
      <c r="E92" s="17" t="n">
        <v>46104</v>
      </c>
      <c r="F92" s="17" t="n">
        <v>46112</v>
      </c>
      <c r="G92" t="inlineStr">
        <is>
          <t>TTAF Stock</t>
        </is>
      </c>
      <c r="H92">
        <f>IFERROR(MAX(1,MIN(104,INT((IF(F92="",E92,F92)-(DATE(Cal_Weeks!$B$1,1,1)-WEEKDAY(DATE(Cal_Weeks!$B$1,1,1),3)))/7)+1)),"")</f>
        <v/>
      </c>
    </row>
    <row r="93">
      <c r="A93" t="inlineStr">
        <is>
          <t>4HL</t>
        </is>
      </c>
      <c r="B93" t="inlineStr"/>
      <c r="C93" s="21" t="n"/>
      <c r="D93" t="n">
        <v>432</v>
      </c>
      <c r="E93" s="17" t="n">
        <v>46075</v>
      </c>
      <c r="F93" s="17" t="n">
        <v>46079</v>
      </c>
      <c r="G93" t="inlineStr">
        <is>
          <t>TTAF Stock</t>
        </is>
      </c>
      <c r="H93">
        <f>IFERROR(MAX(1,MIN(104,INT((IF(F93="",E93,F93)-(DATE(Cal_Weeks!$B$1,1,1)-WEEKDAY(DATE(Cal_Weeks!$B$1,1,1),3)))/7)+1)),"")</f>
        <v/>
      </c>
    </row>
    <row r="94">
      <c r="A94" t="inlineStr">
        <is>
          <t>1EK</t>
        </is>
      </c>
      <c r="B94" t="inlineStr"/>
      <c r="C94" s="21" t="n"/>
      <c r="D94" t="n">
        <v>14400</v>
      </c>
      <c r="E94" s="17" t="n">
        <v>46075</v>
      </c>
      <c r="F94" s="17" t="n">
        <v>46079</v>
      </c>
      <c r="G94" t="inlineStr">
        <is>
          <t>TTAF Stock</t>
        </is>
      </c>
      <c r="H94">
        <f>IFERROR(MAX(1,MIN(104,INT((IF(F94="",E94,F94)-(DATE(Cal_Weeks!$B$1,1,1)-WEEKDAY(DATE(Cal_Weeks!$B$1,1,1),3)))/7)+1)),"")</f>
        <v/>
      </c>
    </row>
    <row r="95">
      <c r="A95" t="inlineStr">
        <is>
          <t>1EK</t>
        </is>
      </c>
      <c r="B95" t="inlineStr"/>
      <c r="C95" s="21" t="n"/>
      <c r="D95" t="n">
        <v>14400</v>
      </c>
      <c r="E95" s="17" t="n">
        <v>46082</v>
      </c>
      <c r="F95" s="17" t="n">
        <v>46090</v>
      </c>
      <c r="G95" t="inlineStr">
        <is>
          <t>TTAF Stock</t>
        </is>
      </c>
      <c r="H95">
        <f>IFERROR(MAX(1,MIN(104,INT((IF(F95="",E95,F95)-(DATE(Cal_Weeks!$B$1,1,1)-WEEKDAY(DATE(Cal_Weeks!$B$1,1,1),3)))/7)+1)),"")</f>
        <v/>
      </c>
    </row>
    <row r="96">
      <c r="A96" t="inlineStr">
        <is>
          <t>1EK</t>
        </is>
      </c>
      <c r="B96" t="inlineStr"/>
      <c r="C96" s="21" t="n"/>
      <c r="D96" t="n">
        <v>9120</v>
      </c>
      <c r="E96" s="17" t="n">
        <v>46092</v>
      </c>
      <c r="F96" s="17" t="n">
        <v>46098</v>
      </c>
      <c r="G96" t="inlineStr">
        <is>
          <t>TTAF Stock</t>
        </is>
      </c>
      <c r="H96">
        <f>IFERROR(MAX(1,MIN(104,INT((IF(F96="",E96,F96)-(DATE(Cal_Weeks!$B$1,1,1)-WEEKDAY(DATE(Cal_Weeks!$B$1,1,1),3)))/7)+1)),"")</f>
        <v/>
      </c>
    </row>
    <row r="97">
      <c r="A97" t="inlineStr">
        <is>
          <t>TDJ</t>
        </is>
      </c>
      <c r="B97" t="inlineStr">
        <is>
          <t>PO066946</t>
        </is>
      </c>
      <c r="C97" s="21" t="n"/>
      <c r="D97" t="n">
        <v>784</v>
      </c>
      <c r="E97" s="17" t="n">
        <v>46112</v>
      </c>
      <c r="F97" s="17" t="n">
        <v>46114</v>
      </c>
      <c r="G97" t="inlineStr">
        <is>
          <t>TTAF Stock</t>
        </is>
      </c>
      <c r="H97">
        <f>IFERROR(MAX(1,MIN(104,INT((IF(F97="",E97,F97)-(DATE(Cal_Weeks!$B$1,1,1)-WEEKDAY(DATE(Cal_Weeks!$B$1,1,1),3)))/7)+1)),"")</f>
        <v/>
      </c>
    </row>
    <row r="98">
      <c r="A98" t="inlineStr">
        <is>
          <t>9RN</t>
        </is>
      </c>
      <c r="B98" t="inlineStr">
        <is>
          <t>PO066934</t>
        </is>
      </c>
      <c r="C98" s="21" t="n"/>
      <c r="D98" t="n">
        <v>21780</v>
      </c>
      <c r="E98" s="17" t="n">
        <v>46068</v>
      </c>
      <c r="F98" s="17" t="n">
        <v>46072</v>
      </c>
      <c r="G98" t="inlineStr">
        <is>
          <t>TTAF Stock</t>
        </is>
      </c>
      <c r="H98">
        <f>IFERROR(MAX(1,MIN(104,INT((IF(F98="",E98,F98)-(DATE(Cal_Weeks!$B$1,1,1)-WEEKDAY(DATE(Cal_Weeks!$B$1,1,1),3)))/7)+1)),"")</f>
        <v/>
      </c>
    </row>
    <row r="99">
      <c r="A99" t="inlineStr">
        <is>
          <t>0JN</t>
        </is>
      </c>
      <c r="B99" t="inlineStr">
        <is>
          <t>PO066940</t>
        </is>
      </c>
      <c r="C99" s="21" t="n"/>
      <c r="D99" t="n">
        <v>8243</v>
      </c>
      <c r="E99" s="17" t="n">
        <v>46095</v>
      </c>
      <c r="F99" s="17" t="n">
        <v>46099</v>
      </c>
      <c r="G99" t="inlineStr">
        <is>
          <t>TTAF Stock</t>
        </is>
      </c>
      <c r="H99">
        <f>IFERROR(MAX(1,MIN(104,INT((IF(F99="",E99,F99)-(DATE(Cal_Weeks!$B$1,1,1)-WEEKDAY(DATE(Cal_Weeks!$B$1,1,1),3)))/7)+1)),"")</f>
        <v/>
      </c>
    </row>
    <row r="100">
      <c r="A100" t="inlineStr">
        <is>
          <t>CHEM-1240</t>
        </is>
      </c>
      <c r="B100" t="inlineStr">
        <is>
          <t>PO067067</t>
        </is>
      </c>
      <c r="C100" s="21" t="n"/>
      <c r="D100" t="n">
        <v>440</v>
      </c>
      <c r="E100" s="17" t="n">
        <v>46092</v>
      </c>
      <c r="F100" s="17" t="n">
        <v>46099</v>
      </c>
      <c r="G100" t="inlineStr">
        <is>
          <t>TTAF Stock</t>
        </is>
      </c>
      <c r="H100">
        <f>IFERROR(MAX(1,MIN(104,INT((IF(F100="",E100,F100)-(DATE(Cal_Weeks!$B$1,1,1)-WEEKDAY(DATE(Cal_Weeks!$B$1,1,1),3)))/7)+1)),"")</f>
        <v/>
      </c>
    </row>
    <row r="101">
      <c r="A101" t="inlineStr">
        <is>
          <t>CHEM-1250</t>
        </is>
      </c>
      <c r="B101" t="inlineStr">
        <is>
          <t>PO067067</t>
        </is>
      </c>
      <c r="C101" s="21" t="n"/>
      <c r="D101" t="n">
        <v>100</v>
      </c>
      <c r="E101" s="17" t="n">
        <v>46092</v>
      </c>
      <c r="F101" s="17" t="n">
        <v>46099</v>
      </c>
      <c r="G101" t="inlineStr">
        <is>
          <t>TTAF Stock</t>
        </is>
      </c>
      <c r="H101">
        <f>IFERROR(MAX(1,MIN(104,INT((IF(F101="",E101,F101)-(DATE(Cal_Weeks!$B$1,1,1)-WEEKDAY(DATE(Cal_Weeks!$B$1,1,1),3)))/7)+1)),"")</f>
        <v/>
      </c>
    </row>
    <row r="102">
      <c r="A102" t="inlineStr">
        <is>
          <t>CHEM-1400</t>
        </is>
      </c>
      <c r="B102" t="inlineStr">
        <is>
          <t>PO067067</t>
        </is>
      </c>
      <c r="C102" s="21" t="n"/>
      <c r="D102" t="n">
        <v>100</v>
      </c>
      <c r="E102" s="17" t="n">
        <v>46092</v>
      </c>
      <c r="F102" s="17" t="n">
        <v>46099</v>
      </c>
      <c r="G102" t="inlineStr">
        <is>
          <t>TTAF Stock</t>
        </is>
      </c>
      <c r="H102">
        <f>IFERROR(MAX(1,MIN(104,INT((IF(F102="",E102,F102)-(DATE(Cal_Weeks!$B$1,1,1)-WEEKDAY(DATE(Cal_Weeks!$B$1,1,1),3)))/7)+1)),"")</f>
        <v/>
      </c>
    </row>
    <row r="103">
      <c r="A103" t="inlineStr">
        <is>
          <t>CHEM-1420</t>
        </is>
      </c>
      <c r="B103" t="inlineStr">
        <is>
          <t>PO067067</t>
        </is>
      </c>
      <c r="C103" s="21" t="n"/>
      <c r="D103" t="n">
        <v>160</v>
      </c>
      <c r="E103" s="17" t="n">
        <v>46092</v>
      </c>
      <c r="F103" s="17" t="n">
        <v>46099</v>
      </c>
      <c r="G103" t="inlineStr">
        <is>
          <t>TTAF Stock</t>
        </is>
      </c>
      <c r="H103">
        <f>IFERROR(MAX(1,MIN(104,INT((IF(F103="",E103,F103)-(DATE(Cal_Weeks!$B$1,1,1)-WEEKDAY(DATE(Cal_Weeks!$B$1,1,1),3)))/7)+1)),"")</f>
        <v/>
      </c>
    </row>
    <row r="104">
      <c r="A104" t="inlineStr">
        <is>
          <t>CHEM-1440</t>
        </is>
      </c>
      <c r="B104" t="inlineStr">
        <is>
          <t>PO067067</t>
        </is>
      </c>
      <c r="C104" s="21" t="n"/>
      <c r="D104" t="n">
        <v>200</v>
      </c>
      <c r="E104" s="17" t="n">
        <v>46092</v>
      </c>
      <c r="F104" s="17" t="n">
        <v>46099</v>
      </c>
      <c r="G104" t="inlineStr">
        <is>
          <t>TTAF Stock</t>
        </is>
      </c>
      <c r="H104">
        <f>IFERROR(MAX(1,MIN(104,INT((IF(F104="",E104,F104)-(DATE(Cal_Weeks!$B$1,1,1)-WEEKDAY(DATE(Cal_Weeks!$B$1,1,1),3)))/7)+1)),"")</f>
        <v/>
      </c>
    </row>
    <row r="105">
      <c r="A105" t="inlineStr">
        <is>
          <t>CHEM-1540</t>
        </is>
      </c>
      <c r="B105" t="inlineStr">
        <is>
          <t>PO067067</t>
        </is>
      </c>
      <c r="C105" s="21" t="n"/>
      <c r="D105" t="n">
        <v>3000</v>
      </c>
      <c r="E105" s="17" t="n">
        <v>46092</v>
      </c>
      <c r="F105" s="17" t="n">
        <v>46099</v>
      </c>
      <c r="G105" t="inlineStr">
        <is>
          <t>TTAF Stock</t>
        </is>
      </c>
      <c r="H105">
        <f>IFERROR(MAX(1,MIN(104,INT((IF(F105="",E105,F105)-(DATE(Cal_Weeks!$B$1,1,1)-WEEKDAY(DATE(Cal_Weeks!$B$1,1,1),3)))/7)+1)),"")</f>
        <v/>
      </c>
    </row>
    <row r="106">
      <c r="A106" t="inlineStr">
        <is>
          <t>CHEM-1530</t>
        </is>
      </c>
      <c r="B106" t="inlineStr">
        <is>
          <t>PO067067</t>
        </is>
      </c>
      <c r="C106" s="21" t="n"/>
      <c r="D106" t="n">
        <v>2100</v>
      </c>
      <c r="E106" s="17" t="n">
        <v>46092</v>
      </c>
      <c r="F106" s="17" t="n">
        <v>46099</v>
      </c>
      <c r="G106" t="inlineStr">
        <is>
          <t>TTAF Stock</t>
        </is>
      </c>
      <c r="H106">
        <f>IFERROR(MAX(1,MIN(104,INT((IF(F106="",E106,F106)-(DATE(Cal_Weeks!$B$1,1,1)-WEEKDAY(DATE(Cal_Weeks!$B$1,1,1),3)))/7)+1)),"")</f>
        <v/>
      </c>
    </row>
    <row r="107">
      <c r="A107" t="inlineStr">
        <is>
          <t>CHEM-1600</t>
        </is>
      </c>
      <c r="B107" t="inlineStr">
        <is>
          <t>PO067067</t>
        </is>
      </c>
      <c r="C107" s="21" t="n"/>
      <c r="D107" t="n">
        <v>100</v>
      </c>
      <c r="E107" s="17" t="n">
        <v>46092</v>
      </c>
      <c r="F107" s="17" t="n">
        <v>46099</v>
      </c>
      <c r="G107" t="inlineStr">
        <is>
          <t>TTAF Stock</t>
        </is>
      </c>
      <c r="H107">
        <f>IFERROR(MAX(1,MIN(104,INT((IF(F107="",E107,F107)-(DATE(Cal_Weeks!$B$1,1,1)-WEEKDAY(DATE(Cal_Weeks!$B$1,1,1),3)))/7)+1)),"")</f>
        <v/>
      </c>
    </row>
    <row r="108">
      <c r="A108" t="inlineStr">
        <is>
          <t>CHEM-1570</t>
        </is>
      </c>
      <c r="B108" t="inlineStr">
        <is>
          <t>PO067067</t>
        </is>
      </c>
      <c r="C108" s="21" t="n"/>
      <c r="D108" t="n">
        <v>36</v>
      </c>
      <c r="E108" s="17" t="n">
        <v>46092</v>
      </c>
      <c r="F108" s="17" t="n">
        <v>46099</v>
      </c>
      <c r="G108" t="inlineStr">
        <is>
          <t>TTAF Stock</t>
        </is>
      </c>
      <c r="H108">
        <f>IFERROR(MAX(1,MIN(104,INT((IF(F108="",E108,F108)-(DATE(Cal_Weeks!$B$1,1,1)-WEEKDAY(DATE(Cal_Weeks!$B$1,1,1),3)))/7)+1)),"")</f>
        <v/>
      </c>
    </row>
    <row r="109">
      <c r="A109" t="inlineStr">
        <is>
          <t>CHEM-1670</t>
        </is>
      </c>
      <c r="B109" t="inlineStr">
        <is>
          <t>PO067067</t>
        </is>
      </c>
      <c r="C109" s="21" t="n"/>
      <c r="D109" t="n">
        <v>180</v>
      </c>
      <c r="E109" s="17" t="n">
        <v>46092</v>
      </c>
      <c r="F109" s="17" t="n">
        <v>46099</v>
      </c>
      <c r="G109" t="inlineStr">
        <is>
          <t>TTAF Stock</t>
        </is>
      </c>
      <c r="H109">
        <f>IFERROR(MAX(1,MIN(104,INT((IF(F109="",E109,F109)-(DATE(Cal_Weeks!$B$1,1,1)-WEEKDAY(DATE(Cal_Weeks!$B$1,1,1),3)))/7)+1)),"")</f>
        <v/>
      </c>
    </row>
    <row r="110">
      <c r="A110" t="inlineStr">
        <is>
          <t>CHEM-1700</t>
        </is>
      </c>
      <c r="B110" t="inlineStr">
        <is>
          <t>PO067067</t>
        </is>
      </c>
      <c r="C110" s="21" t="n"/>
      <c r="D110" t="n">
        <v>60</v>
      </c>
      <c r="E110" s="17" t="n">
        <v>46092</v>
      </c>
      <c r="F110" s="17" t="n">
        <v>46099</v>
      </c>
      <c r="G110" t="inlineStr">
        <is>
          <t>TTAF Stock</t>
        </is>
      </c>
      <c r="H110">
        <f>IFERROR(MAX(1,MIN(104,INT((IF(F110="",E110,F110)-(DATE(Cal_Weeks!$B$1,1,1)-WEEKDAY(DATE(Cal_Weeks!$B$1,1,1),3)))/7)+1)),"")</f>
        <v/>
      </c>
    </row>
    <row r="111">
      <c r="A111" t="inlineStr">
        <is>
          <t>CHEM-1720</t>
        </is>
      </c>
      <c r="B111" t="inlineStr">
        <is>
          <t>PO067067</t>
        </is>
      </c>
      <c r="C111" s="21" t="n"/>
      <c r="D111" t="n">
        <v>720</v>
      </c>
      <c r="E111" s="17" t="n">
        <v>46092</v>
      </c>
      <c r="F111" s="17" t="n">
        <v>46099</v>
      </c>
      <c r="G111" t="inlineStr">
        <is>
          <t>TTAF Stock</t>
        </is>
      </c>
      <c r="H111">
        <f>IFERROR(MAX(1,MIN(104,INT((IF(F111="",E111,F111)-(DATE(Cal_Weeks!$B$1,1,1)-WEEKDAY(DATE(Cal_Weeks!$B$1,1,1),3)))/7)+1)),"")</f>
        <v/>
      </c>
    </row>
    <row r="112">
      <c r="A112" t="inlineStr">
        <is>
          <t>PP Film</t>
        </is>
      </c>
      <c r="B112" t="inlineStr">
        <is>
          <t>PO067067</t>
        </is>
      </c>
      <c r="C112" s="21" t="n"/>
      <c r="D112" t="n">
        <v>3000</v>
      </c>
      <c r="E112" s="17" t="n">
        <v>46092</v>
      </c>
      <c r="F112" s="17" t="n">
        <v>46099</v>
      </c>
      <c r="G112" t="inlineStr">
        <is>
          <t>TTAF Stock</t>
        </is>
      </c>
      <c r="H112">
        <f>IFERROR(MAX(1,MIN(104,INT((IF(F112="",E112,F112)-(DATE(Cal_Weeks!$B$1,1,1)-WEEKDAY(DATE(Cal_Weeks!$B$1,1,1),3)))/7)+1)),"")</f>
        <v/>
      </c>
    </row>
    <row r="113">
      <c r="A113" t="inlineStr">
        <is>
          <t>CHEM-1650</t>
        </is>
      </c>
      <c r="B113" t="inlineStr">
        <is>
          <t>PO067067</t>
        </is>
      </c>
      <c r="C113" s="21" t="n"/>
      <c r="D113" t="n">
        <v>25</v>
      </c>
      <c r="E113" s="17" t="n">
        <v>46092</v>
      </c>
      <c r="F113" s="17" t="n">
        <v>46099</v>
      </c>
      <c r="G113" t="inlineStr">
        <is>
          <t>TTAF Stock</t>
        </is>
      </c>
      <c r="H113">
        <f>IFERROR(MAX(1,MIN(104,INT((IF(F113="",E113,F113)-(DATE(Cal_Weeks!$B$1,1,1)-WEEKDAY(DATE(Cal_Weeks!$B$1,1,1),3)))/7)+1)),"")</f>
        <v/>
      </c>
    </row>
    <row r="114">
      <c r="A114" t="inlineStr">
        <is>
          <t>Original Towel</t>
        </is>
      </c>
      <c r="B114" t="inlineStr">
        <is>
          <t>PO067067</t>
        </is>
      </c>
      <c r="C114" s="21" t="n"/>
      <c r="D114" t="n">
        <v>10000</v>
      </c>
      <c r="E114" s="17" t="n">
        <v>46092</v>
      </c>
      <c r="F114" s="17" t="n">
        <v>46099</v>
      </c>
      <c r="G114" t="inlineStr">
        <is>
          <t>TTAF Stock</t>
        </is>
      </c>
      <c r="H114">
        <f>IFERROR(MAX(1,MIN(104,INT((IF(F114="",E114,F114)-(DATE(Cal_Weeks!$B$1,1,1)-WEEKDAY(DATE(Cal_Weeks!$B$1,1,1),3)))/7)+1)),"")</f>
        <v/>
      </c>
    </row>
    <row r="115">
      <c r="A115" t="inlineStr">
        <is>
          <t>CHEM-1660</t>
        </is>
      </c>
      <c r="B115" t="inlineStr">
        <is>
          <t>PO067070</t>
        </is>
      </c>
      <c r="C115" s="21" t="n"/>
      <c r="D115" t="n">
        <v>180</v>
      </c>
      <c r="E115" s="17" t="n">
        <v>46092</v>
      </c>
      <c r="F115" s="17" t="n">
        <v>46099</v>
      </c>
      <c r="G115" t="inlineStr">
        <is>
          <t>TTAF Stock</t>
        </is>
      </c>
      <c r="H115">
        <f>IFERROR(MAX(1,MIN(104,INT((IF(F115="",E115,F115)-(DATE(Cal_Weeks!$B$1,1,1)-WEEKDAY(DATE(Cal_Weeks!$B$1,1,1),3)))/7)+1)),"")</f>
        <v/>
      </c>
    </row>
    <row r="116">
      <c r="A116" t="inlineStr">
        <is>
          <t>CHEM-1280</t>
        </is>
      </c>
      <c r="B116" t="inlineStr">
        <is>
          <t>PO067070</t>
        </is>
      </c>
      <c r="C116" s="21" t="n"/>
      <c r="D116" t="n">
        <v>1000</v>
      </c>
      <c r="E116" s="17" t="n">
        <v>46092</v>
      </c>
      <c r="F116" s="17" t="n">
        <v>46099</v>
      </c>
      <c r="G116" t="inlineStr">
        <is>
          <t>TTAF Stock</t>
        </is>
      </c>
      <c r="H116">
        <f>IFERROR(MAX(1,MIN(104,INT((IF(F116="",E116,F116)-(DATE(Cal_Weeks!$B$1,1,1)-WEEKDAY(DATE(Cal_Weeks!$B$1,1,1),3)))/7)+1)),"")</f>
        <v/>
      </c>
    </row>
    <row r="117">
      <c r="A117" t="inlineStr">
        <is>
          <t>4HL</t>
        </is>
      </c>
      <c r="B117" t="inlineStr"/>
      <c r="C117" s="21" t="n"/>
      <c r="D117" t="n">
        <v>960</v>
      </c>
      <c r="E117" s="17" t="n">
        <v>46112</v>
      </c>
      <c r="F117" s="17" t="n">
        <v>46119</v>
      </c>
      <c r="G117" t="inlineStr">
        <is>
          <t>TTAF Stock</t>
        </is>
      </c>
      <c r="H117">
        <f>IFERROR(MAX(1,MIN(104,INT((IF(F117="",E117,F117)-(DATE(Cal_Weeks!$B$1,1,1)-WEEKDAY(DATE(Cal_Weeks!$B$1,1,1),3)))/7)+1)),"")</f>
        <v/>
      </c>
    </row>
    <row r="118">
      <c r="A118" t="inlineStr">
        <is>
          <t>4HL</t>
        </is>
      </c>
      <c r="B118" t="inlineStr"/>
      <c r="C118" s="21" t="n"/>
      <c r="D118" t="n">
        <v>9600</v>
      </c>
      <c r="E118" s="17" t="n">
        <v>46120</v>
      </c>
      <c r="F118" s="17" t="n">
        <v>46128</v>
      </c>
      <c r="G118" t="inlineStr">
        <is>
          <t>TTAF Stock</t>
        </is>
      </c>
      <c r="H118">
        <f>IFERROR(MAX(1,MIN(104,INT((IF(F118="",E118,F118)-(DATE(Cal_Weeks!$B$1,1,1)-WEEKDAY(DATE(Cal_Weeks!$B$1,1,1),3)))/7)+1)),"")</f>
        <v/>
      </c>
    </row>
    <row r="119">
      <c r="A119" t="inlineStr">
        <is>
          <t>4HL</t>
        </is>
      </c>
      <c r="B119" t="inlineStr"/>
      <c r="C119" s="21" t="n"/>
      <c r="D119" t="n">
        <v>4800</v>
      </c>
      <c r="E119" s="17" t="n">
        <v>46112</v>
      </c>
      <c r="F119" s="17" t="n">
        <v>46125</v>
      </c>
      <c r="G119" t="inlineStr">
        <is>
          <t>TTAF Stock</t>
        </is>
      </c>
      <c r="H119">
        <f>IFERROR(MAX(1,MIN(104,INT((IF(F119="",E119,F119)-(DATE(Cal_Weeks!$B$1,1,1)-WEEKDAY(DATE(Cal_Weeks!$B$1,1,1),3)))/7)+1)),"")</f>
        <v/>
      </c>
    </row>
    <row r="120">
      <c r="A120" t="inlineStr">
        <is>
          <t>4HL</t>
        </is>
      </c>
      <c r="B120" t="inlineStr"/>
      <c r="C120" s="21" t="n"/>
      <c r="D120" t="n">
        <v>480</v>
      </c>
      <c r="E120" s="17" t="n">
        <v>46112</v>
      </c>
      <c r="F120" s="17" t="n">
        <v>46114</v>
      </c>
      <c r="G120" t="inlineStr">
        <is>
          <t>TTAF Stock</t>
        </is>
      </c>
      <c r="H120">
        <f>IFERROR(MAX(1,MIN(104,INT((IF(F120="",E120,F120)-(DATE(Cal_Weeks!$B$1,1,1)-WEEKDAY(DATE(Cal_Weeks!$B$1,1,1),3)))/7)+1)),"")</f>
        <v/>
      </c>
    </row>
    <row r="121">
      <c r="A121" t="inlineStr">
        <is>
          <t>4HL</t>
        </is>
      </c>
      <c r="B121" t="inlineStr"/>
      <c r="C121" s="21" t="n"/>
      <c r="D121" t="n">
        <v>5760</v>
      </c>
      <c r="E121" s="17" t="n">
        <v>46125</v>
      </c>
      <c r="F121" s="17" t="n">
        <v>46132</v>
      </c>
      <c r="G121" t="inlineStr">
        <is>
          <t>TTAF Stock</t>
        </is>
      </c>
      <c r="H121">
        <f>IFERROR(MAX(1,MIN(104,INT((IF(F121="",E121,F121)-(DATE(Cal_Weeks!$B$1,1,1)-WEEKDAY(DATE(Cal_Weeks!$B$1,1,1),3)))/7)+1)),"")</f>
        <v/>
      </c>
    </row>
    <row r="122">
      <c r="A122" t="inlineStr">
        <is>
          <t>4HL</t>
        </is>
      </c>
      <c r="B122" t="inlineStr"/>
      <c r="C122" s="21" t="n"/>
      <c r="D122" t="n">
        <v>156</v>
      </c>
      <c r="E122" s="17" t="n">
        <v>46112</v>
      </c>
      <c r="F122" s="17" t="n">
        <v>46114</v>
      </c>
      <c r="G122" t="inlineStr">
        <is>
          <t>TTAF Stock</t>
        </is>
      </c>
      <c r="H122">
        <f>IFERROR(MAX(1,MIN(104,INT((IF(F122="",E122,F122)-(DATE(Cal_Weeks!$B$1,1,1)-WEEKDAY(DATE(Cal_Weeks!$B$1,1,1),3)))/7)+1)),"")</f>
        <v/>
      </c>
    </row>
    <row r="123">
      <c r="A123" t="inlineStr">
        <is>
          <t>4HL</t>
        </is>
      </c>
      <c r="B123" t="inlineStr"/>
      <c r="C123" s="21" t="n"/>
      <c r="D123" t="n">
        <v>144</v>
      </c>
      <c r="E123" s="17" t="n">
        <v>46112</v>
      </c>
      <c r="F123" s="17" t="n">
        <v>46126</v>
      </c>
      <c r="G123" t="inlineStr">
        <is>
          <t>TTAF Stock</t>
        </is>
      </c>
      <c r="H123">
        <f>IFERROR(MAX(1,MIN(104,INT((IF(F123="",E123,F123)-(DATE(Cal_Weeks!$B$1,1,1)-WEEKDAY(DATE(Cal_Weeks!$B$1,1,1),3)))/7)+1)),"")</f>
        <v/>
      </c>
    </row>
    <row r="124">
      <c r="A124" t="inlineStr">
        <is>
          <t>1EK</t>
        </is>
      </c>
      <c r="B124" t="inlineStr"/>
      <c r="C124" s="21" t="n"/>
      <c r="D124" t="n">
        <v>4800</v>
      </c>
      <c r="E124" s="17" t="n">
        <v>46098</v>
      </c>
      <c r="F124" s="17" t="n">
        <v>46105</v>
      </c>
      <c r="G124" t="inlineStr">
        <is>
          <t>TTAF Stock</t>
        </is>
      </c>
      <c r="H124">
        <f>IFERROR(MAX(1,MIN(104,INT((IF(F124="",E124,F124)-(DATE(Cal_Weeks!$B$1,1,1)-WEEKDAY(DATE(Cal_Weeks!$B$1,1,1),3)))/7)+1)),"")</f>
        <v/>
      </c>
    </row>
    <row r="125">
      <c r="A125" t="inlineStr">
        <is>
          <t>1EK</t>
        </is>
      </c>
      <c r="B125" t="inlineStr"/>
      <c r="C125" s="21" t="n"/>
      <c r="D125" t="n">
        <v>10080</v>
      </c>
      <c r="E125" s="17" t="n">
        <v>46112</v>
      </c>
      <c r="F125" s="17" t="n">
        <v>46115</v>
      </c>
      <c r="G125" t="inlineStr">
        <is>
          <t>TTAF Stock</t>
        </is>
      </c>
      <c r="H125">
        <f>IFERROR(MAX(1,MIN(104,INT((IF(F125="",E125,F125)-(DATE(Cal_Weeks!$B$1,1,1)-WEEKDAY(DATE(Cal_Weeks!$B$1,1,1),3)))/7)+1)),"")</f>
        <v/>
      </c>
    </row>
    <row r="126">
      <c r="A126" t="inlineStr">
        <is>
          <t>1EK</t>
        </is>
      </c>
      <c r="B126" t="inlineStr"/>
      <c r="C126" s="21" t="n"/>
      <c r="D126" t="n">
        <v>1920</v>
      </c>
      <c r="E126" s="17" t="n">
        <v>46112</v>
      </c>
      <c r="F126" s="17" t="n">
        <v>46114</v>
      </c>
      <c r="G126" t="inlineStr">
        <is>
          <t>TTAF Stock</t>
        </is>
      </c>
      <c r="H126">
        <f>IFERROR(MAX(1,MIN(104,INT((IF(F126="",E126,F126)-(DATE(Cal_Weeks!$B$1,1,1)-WEEKDAY(DATE(Cal_Weeks!$B$1,1,1),3)))/7)+1)),"")</f>
        <v/>
      </c>
    </row>
    <row r="127">
      <c r="A127" t="inlineStr">
        <is>
          <t>TDJ</t>
        </is>
      </c>
      <c r="B127" t="inlineStr">
        <is>
          <t>PO067121</t>
        </is>
      </c>
      <c r="C127" s="21" t="n"/>
      <c r="D127" t="n">
        <v>784</v>
      </c>
      <c r="E127" s="17" t="n">
        <v>46136</v>
      </c>
      <c r="F127" s="17" t="n">
        <v>46147</v>
      </c>
      <c r="G127" t="inlineStr">
        <is>
          <t>TTAF Stock</t>
        </is>
      </c>
      <c r="H127">
        <f>IFERROR(MAX(1,MIN(104,INT((IF(F127="",E127,F127)-(DATE(Cal_Weeks!$B$1,1,1)-WEEKDAY(DATE(Cal_Weeks!$B$1,1,1),3)))/7)+1)),"")</f>
        <v/>
      </c>
    </row>
    <row r="128">
      <c r="A128" t="inlineStr">
        <is>
          <t>TDJ</t>
        </is>
      </c>
      <c r="B128" t="inlineStr">
        <is>
          <t>PO067121</t>
        </is>
      </c>
      <c r="C128" s="21" t="n"/>
      <c r="D128" t="n">
        <v>205</v>
      </c>
      <c r="E128" s="17" t="n">
        <v>46136</v>
      </c>
      <c r="F128" s="17" t="n">
        <v>46147</v>
      </c>
      <c r="G128" t="inlineStr">
        <is>
          <t>TTAF Stock</t>
        </is>
      </c>
      <c r="H128">
        <f>IFERROR(MAX(1,MIN(104,INT((IF(F128="",E128,F128)-(DATE(Cal_Weeks!$B$1,1,1)-WEEKDAY(DATE(Cal_Weeks!$B$1,1,1),3)))/7)+1)),"")</f>
        <v/>
      </c>
    </row>
    <row r="129">
      <c r="A129" t="inlineStr">
        <is>
          <t>9RN</t>
        </is>
      </c>
      <c r="B129" t="inlineStr">
        <is>
          <t>PO067086</t>
        </is>
      </c>
      <c r="C129" s="21" t="n"/>
      <c r="D129" t="n">
        <v>22792</v>
      </c>
      <c r="E129" s="17" t="n">
        <v>46112</v>
      </c>
      <c r="F129" s="17" t="n">
        <v>46125</v>
      </c>
      <c r="G129" t="inlineStr">
        <is>
          <t>TTAF Stock</t>
        </is>
      </c>
      <c r="H129">
        <f>IFERROR(MAX(1,MIN(104,INT((IF(F129="",E129,F129)-(DATE(Cal_Weeks!$B$1,1,1)-WEEKDAY(DATE(Cal_Weeks!$B$1,1,1),3)))/7)+1)),"")</f>
        <v/>
      </c>
    </row>
    <row r="130">
      <c r="A130" t="inlineStr">
        <is>
          <t>9RN</t>
        </is>
      </c>
      <c r="B130" t="inlineStr">
        <is>
          <t>PO067086</t>
        </is>
      </c>
      <c r="C130" s="21" t="n"/>
      <c r="D130" t="n">
        <v>4796</v>
      </c>
      <c r="E130" s="17" t="n">
        <v>46112</v>
      </c>
      <c r="F130" s="17" t="n">
        <v>46125</v>
      </c>
      <c r="G130" t="inlineStr">
        <is>
          <t>TTAF Stock</t>
        </is>
      </c>
      <c r="H130">
        <f>IFERROR(MAX(1,MIN(104,INT((IF(F130="",E130,F130)-(DATE(Cal_Weeks!$B$1,1,1)-WEEKDAY(DATE(Cal_Weeks!$B$1,1,1),3)))/7)+1)),"")</f>
        <v/>
      </c>
    </row>
    <row r="131">
      <c r="A131" t="inlineStr">
        <is>
          <t>0JN</t>
        </is>
      </c>
      <c r="B131" t="inlineStr">
        <is>
          <t>PO067071</t>
        </is>
      </c>
      <c r="C131" s="21" t="n"/>
      <c r="D131" t="n">
        <v>18835</v>
      </c>
      <c r="E131" s="17" t="n">
        <v>46103</v>
      </c>
      <c r="F131" s="17" t="n">
        <v>46112</v>
      </c>
      <c r="G131" t="inlineStr">
        <is>
          <t>TTAF Stock</t>
        </is>
      </c>
      <c r="H131">
        <f>IFERROR(MAX(1,MIN(104,INT((IF(F131="",E131,F131)-(DATE(Cal_Weeks!$B$1,1,1)-WEEKDAY(DATE(Cal_Weeks!$B$1,1,1),3)))/7)+1)),"")</f>
        <v/>
      </c>
    </row>
    <row r="132">
      <c r="A132" t="inlineStr">
        <is>
          <t>0JN</t>
        </is>
      </c>
      <c r="B132" t="inlineStr">
        <is>
          <t>PO067071</t>
        </is>
      </c>
      <c r="C132" s="21" t="n"/>
      <c r="D132" t="n">
        <v>9289</v>
      </c>
      <c r="E132" s="17" t="n">
        <v>46116</v>
      </c>
      <c r="F132" s="17" t="n">
        <v>46120</v>
      </c>
      <c r="G132" t="inlineStr">
        <is>
          <t>TTAF Stock</t>
        </is>
      </c>
      <c r="H132">
        <f>IFERROR(MAX(1,MIN(104,INT((IF(F132="",E132,F132)-(DATE(Cal_Weeks!$B$1,1,1)-WEEKDAY(DATE(Cal_Weeks!$B$1,1,1),3)))/7)+1)),"")</f>
        <v/>
      </c>
    </row>
    <row r="133">
      <c r="A133" t="inlineStr">
        <is>
          <t>0JN</t>
        </is>
      </c>
      <c r="B133" t="inlineStr">
        <is>
          <t>PO067071</t>
        </is>
      </c>
      <c r="C133" s="21" t="n"/>
      <c r="D133" t="n">
        <v>11522</v>
      </c>
      <c r="E133" s="17" t="n">
        <v>46138</v>
      </c>
      <c r="F133" s="17" t="n">
        <v>46147</v>
      </c>
      <c r="G133" t="inlineStr">
        <is>
          <t>TTAF Stock</t>
        </is>
      </c>
      <c r="H133">
        <f>IFERROR(MAX(1,MIN(104,INT((IF(F133="",E133,F133)-(DATE(Cal_Weeks!$B$1,1,1)-WEEKDAY(DATE(Cal_Weeks!$B$1,1,1),3)))/7)+1)),"")</f>
        <v/>
      </c>
    </row>
    <row r="134">
      <c r="A134" t="inlineStr">
        <is>
          <t>CHEM-1250</t>
        </is>
      </c>
      <c r="B134" t="inlineStr">
        <is>
          <t>PO067281</t>
        </is>
      </c>
      <c r="C134" s="21" t="n"/>
      <c r="D134" t="n">
        <v>150</v>
      </c>
      <c r="E134" s="17" t="n">
        <v>46117</v>
      </c>
      <c r="G134" t="inlineStr">
        <is>
          <t>TTAF Stock</t>
        </is>
      </c>
      <c r="H134">
        <f>IFERROR(MAX(1,MIN(104,INT((IF(F134="",E134,F134)-(DATE(Cal_Weeks!$B$1,1,1)-WEEKDAY(DATE(Cal_Weeks!$B$1,1,1),3)))/7)+1)),"")</f>
        <v/>
      </c>
    </row>
    <row r="135">
      <c r="A135" t="inlineStr">
        <is>
          <t>CHEM-1400</t>
        </is>
      </c>
      <c r="B135" t="inlineStr">
        <is>
          <t>PO067281</t>
        </is>
      </c>
      <c r="C135" s="21" t="n"/>
      <c r="D135" t="n">
        <v>300</v>
      </c>
      <c r="E135" s="17" t="n">
        <v>46117</v>
      </c>
      <c r="G135" t="inlineStr">
        <is>
          <t>TTAF Stock</t>
        </is>
      </c>
      <c r="H135">
        <f>IFERROR(MAX(1,MIN(104,INT((IF(F135="",E135,F135)-(DATE(Cal_Weeks!$B$1,1,1)-WEEKDAY(DATE(Cal_Weeks!$B$1,1,1),3)))/7)+1)),"")</f>
        <v/>
      </c>
    </row>
    <row r="136">
      <c r="A136" t="inlineStr">
        <is>
          <t>CHEM-1420</t>
        </is>
      </c>
      <c r="B136" t="inlineStr">
        <is>
          <t>PO067281</t>
        </is>
      </c>
      <c r="C136" s="21" t="n"/>
      <c r="D136" t="n">
        <v>240</v>
      </c>
      <c r="E136" s="17" t="n">
        <v>46117</v>
      </c>
      <c r="G136" t="inlineStr">
        <is>
          <t>TTAF Stock</t>
        </is>
      </c>
      <c r="H136">
        <f>IFERROR(MAX(1,MIN(104,INT((IF(F136="",E136,F136)-(DATE(Cal_Weeks!$B$1,1,1)-WEEKDAY(DATE(Cal_Weeks!$B$1,1,1),3)))/7)+1)),"")</f>
        <v/>
      </c>
    </row>
    <row r="137">
      <c r="A137" t="inlineStr">
        <is>
          <t>CHEM-1440</t>
        </is>
      </c>
      <c r="B137" t="inlineStr">
        <is>
          <t>PO067281</t>
        </is>
      </c>
      <c r="C137" s="21" t="n"/>
      <c r="D137" t="n">
        <v>200</v>
      </c>
      <c r="E137" s="17" t="n">
        <v>46117</v>
      </c>
      <c r="G137" t="inlineStr">
        <is>
          <t>TTAF Stock</t>
        </is>
      </c>
      <c r="H137">
        <f>IFERROR(MAX(1,MIN(104,INT((IF(F137="",E137,F137)-(DATE(Cal_Weeks!$B$1,1,1)-WEEKDAY(DATE(Cal_Weeks!$B$1,1,1),3)))/7)+1)),"")</f>
        <v/>
      </c>
    </row>
    <row r="138">
      <c r="A138" t="inlineStr">
        <is>
          <t>CHEM-1540</t>
        </is>
      </c>
      <c r="B138" t="inlineStr">
        <is>
          <t>PO067281</t>
        </is>
      </c>
      <c r="C138" s="21" t="n"/>
      <c r="D138" t="n">
        <v>2000</v>
      </c>
      <c r="E138" s="17" t="n">
        <v>46117</v>
      </c>
      <c r="G138" t="inlineStr">
        <is>
          <t>TTAF Stock</t>
        </is>
      </c>
      <c r="H138">
        <f>IFERROR(MAX(1,MIN(104,INT((IF(F138="",E138,F138)-(DATE(Cal_Weeks!$B$1,1,1)-WEEKDAY(DATE(Cal_Weeks!$B$1,1,1),3)))/7)+1)),"")</f>
        <v/>
      </c>
    </row>
    <row r="139">
      <c r="A139" t="inlineStr">
        <is>
          <t>CHEM-1530</t>
        </is>
      </c>
      <c r="B139" t="inlineStr">
        <is>
          <t>PO067281</t>
        </is>
      </c>
      <c r="C139" s="21" t="n"/>
      <c r="D139" t="n">
        <v>2800</v>
      </c>
      <c r="E139" s="17" t="n">
        <v>46117</v>
      </c>
      <c r="G139" t="inlineStr">
        <is>
          <t>TTAF Stock</t>
        </is>
      </c>
      <c r="H139">
        <f>IFERROR(MAX(1,MIN(104,INT((IF(F139="",E139,F139)-(DATE(Cal_Weeks!$B$1,1,1)-WEEKDAY(DATE(Cal_Weeks!$B$1,1,1),3)))/7)+1)),"")</f>
        <v/>
      </c>
    </row>
    <row r="140">
      <c r="A140" t="inlineStr">
        <is>
          <t>CHEM-1600</t>
        </is>
      </c>
      <c r="B140" t="inlineStr">
        <is>
          <t>PO067281</t>
        </is>
      </c>
      <c r="C140" s="21" t="n"/>
      <c r="D140" t="n">
        <v>250</v>
      </c>
      <c r="E140" s="17" t="n">
        <v>46117</v>
      </c>
      <c r="G140" t="inlineStr">
        <is>
          <t>TTAF Stock</t>
        </is>
      </c>
      <c r="H140">
        <f>IFERROR(MAX(1,MIN(104,INT((IF(F140="",E140,F140)-(DATE(Cal_Weeks!$B$1,1,1)-WEEKDAY(DATE(Cal_Weeks!$B$1,1,1),3)))/7)+1)),"")</f>
        <v/>
      </c>
    </row>
    <row r="141">
      <c r="A141" t="inlineStr">
        <is>
          <t>CHEM-1570</t>
        </is>
      </c>
      <c r="B141" t="inlineStr">
        <is>
          <t>PO067281</t>
        </is>
      </c>
      <c r="C141" s="21" t="n"/>
      <c r="D141" t="n">
        <v>36</v>
      </c>
      <c r="E141" s="17" t="n">
        <v>46117</v>
      </c>
      <c r="G141" t="inlineStr">
        <is>
          <t>TTAF Stock</t>
        </is>
      </c>
      <c r="H141">
        <f>IFERROR(MAX(1,MIN(104,INT((IF(F141="",E141,F141)-(DATE(Cal_Weeks!$B$1,1,1)-WEEKDAY(DATE(Cal_Weeks!$B$1,1,1),3)))/7)+1)),"")</f>
        <v/>
      </c>
    </row>
    <row r="142">
      <c r="A142" t="inlineStr">
        <is>
          <t>CHEM-1670</t>
        </is>
      </c>
      <c r="B142" t="inlineStr">
        <is>
          <t>PO067281</t>
        </is>
      </c>
      <c r="C142" s="21" t="n"/>
      <c r="D142" t="n">
        <v>180</v>
      </c>
      <c r="E142" s="17" t="n">
        <v>46117</v>
      </c>
      <c r="G142" t="inlineStr">
        <is>
          <t>TTAF Stock</t>
        </is>
      </c>
      <c r="H142">
        <f>IFERROR(MAX(1,MIN(104,INT((IF(F142="",E142,F142)-(DATE(Cal_Weeks!$B$1,1,1)-WEEKDAY(DATE(Cal_Weeks!$B$1,1,1),3)))/7)+1)),"")</f>
        <v/>
      </c>
    </row>
    <row r="143">
      <c r="A143" t="inlineStr">
        <is>
          <t>CHEM-1690</t>
        </is>
      </c>
      <c r="B143" t="inlineStr">
        <is>
          <t>PO067281</t>
        </is>
      </c>
      <c r="C143" s="21" t="n"/>
      <c r="D143" t="n">
        <v>135</v>
      </c>
      <c r="E143" s="17" t="n">
        <v>46117</v>
      </c>
      <c r="G143" t="inlineStr">
        <is>
          <t>TTAF Stock</t>
        </is>
      </c>
      <c r="H143">
        <f>IFERROR(MAX(1,MIN(104,INT((IF(F143="",E143,F143)-(DATE(Cal_Weeks!$B$1,1,1)-WEEKDAY(DATE(Cal_Weeks!$B$1,1,1),3)))/7)+1)),"")</f>
        <v/>
      </c>
    </row>
    <row r="144">
      <c r="A144" t="inlineStr">
        <is>
          <t>CHEM-1700</t>
        </is>
      </c>
      <c r="B144" t="inlineStr">
        <is>
          <t>PO067281</t>
        </is>
      </c>
      <c r="C144" s="21" t="n"/>
      <c r="D144" t="n">
        <v>60</v>
      </c>
      <c r="E144" s="17" t="n">
        <v>46117</v>
      </c>
      <c r="G144" t="inlineStr">
        <is>
          <t>TTAF Stock</t>
        </is>
      </c>
      <c r="H144">
        <f>IFERROR(MAX(1,MIN(104,INT((IF(F144="",E144,F144)-(DATE(Cal_Weeks!$B$1,1,1)-WEEKDAY(DATE(Cal_Weeks!$B$1,1,1),3)))/7)+1)),"")</f>
        <v/>
      </c>
    </row>
    <row r="145">
      <c r="A145" t="inlineStr">
        <is>
          <t>CHEM-1720</t>
        </is>
      </c>
      <c r="B145" t="inlineStr">
        <is>
          <t>PO067281</t>
        </is>
      </c>
      <c r="C145" s="21" t="n"/>
      <c r="D145" t="n">
        <v>720</v>
      </c>
      <c r="E145" s="17" t="n">
        <v>46117</v>
      </c>
      <c r="G145" t="inlineStr">
        <is>
          <t>TTAF Stock</t>
        </is>
      </c>
      <c r="H145">
        <f>IFERROR(MAX(1,MIN(104,INT((IF(F145="",E145,F145)-(DATE(Cal_Weeks!$B$1,1,1)-WEEKDAY(DATE(Cal_Weeks!$B$1,1,1),3)))/7)+1)),"")</f>
        <v/>
      </c>
    </row>
    <row r="146">
      <c r="A146" t="inlineStr">
        <is>
          <t>CHEM-1760</t>
        </is>
      </c>
      <c r="B146" t="inlineStr">
        <is>
          <t>PO067281</t>
        </is>
      </c>
      <c r="C146" s="21" t="n"/>
      <c r="D146" t="n">
        <v>17</v>
      </c>
      <c r="E146" s="17" t="n">
        <v>46117</v>
      </c>
      <c r="G146" t="inlineStr">
        <is>
          <t>TTAF Stock</t>
        </is>
      </c>
      <c r="H146">
        <f>IFERROR(MAX(1,MIN(104,INT((IF(F146="",E146,F146)-(DATE(Cal_Weeks!$B$1,1,1)-WEEKDAY(DATE(Cal_Weeks!$B$1,1,1),3)))/7)+1)),"")</f>
        <v/>
      </c>
    </row>
    <row r="147">
      <c r="A147" t="inlineStr">
        <is>
          <t>CHEM-1200</t>
        </is>
      </c>
      <c r="B147" t="inlineStr">
        <is>
          <t>PO067281</t>
        </is>
      </c>
      <c r="C147" s="21" t="n"/>
      <c r="D147" t="n">
        <v>25</v>
      </c>
      <c r="E147" s="17" t="n">
        <v>46117</v>
      </c>
      <c r="G147" t="inlineStr">
        <is>
          <t>TTAF Stock</t>
        </is>
      </c>
      <c r="H147">
        <f>IFERROR(MAX(1,MIN(104,INT((IF(F147="",E147,F147)-(DATE(Cal_Weeks!$B$1,1,1)-WEEKDAY(DATE(Cal_Weeks!$B$1,1,1),3)))/7)+1)),"")</f>
        <v/>
      </c>
    </row>
    <row r="148">
      <c r="A148" t="inlineStr">
        <is>
          <t>CHEM-1680</t>
        </is>
      </c>
      <c r="B148" t="inlineStr">
        <is>
          <t>PO067281</t>
        </is>
      </c>
      <c r="C148" s="21" t="n"/>
      <c r="D148" t="n">
        <v>200</v>
      </c>
      <c r="E148" s="17" t="n">
        <v>46117</v>
      </c>
      <c r="G148" t="inlineStr">
        <is>
          <t>TTAF Stock</t>
        </is>
      </c>
      <c r="H148">
        <f>IFERROR(MAX(1,MIN(104,INT((IF(F148="",E148,F148)-(DATE(Cal_Weeks!$B$1,1,1)-WEEKDAY(DATE(Cal_Weeks!$B$1,1,1),3)))/7)+1)),"")</f>
        <v/>
      </c>
    </row>
    <row r="149">
      <c r="A149" t="inlineStr">
        <is>
          <t>CHEM-1660</t>
        </is>
      </c>
      <c r="B149" t="inlineStr">
        <is>
          <t>PO067274</t>
        </is>
      </c>
      <c r="C149" s="21" t="n"/>
      <c r="D149" t="n">
        <v>180</v>
      </c>
      <c r="E149" s="17" t="n">
        <v>46117</v>
      </c>
      <c r="G149" t="inlineStr">
        <is>
          <t>TTAF Stock</t>
        </is>
      </c>
      <c r="H149">
        <f>IFERROR(MAX(1,MIN(104,INT((IF(F149="",E149,F149)-(DATE(Cal_Weeks!$B$1,1,1)-WEEKDAY(DATE(Cal_Weeks!$B$1,1,1),3)))/7)+1)),"")</f>
        <v/>
      </c>
    </row>
    <row r="150">
      <c r="A150" t="inlineStr">
        <is>
          <t>4HL</t>
        </is>
      </c>
      <c r="B150" t="inlineStr"/>
      <c r="C150" s="21" t="n"/>
      <c r="D150" t="n">
        <v>19200</v>
      </c>
      <c r="E150" s="17" t="n">
        <v>46131</v>
      </c>
      <c r="F150" s="17" t="n">
        <v>46135</v>
      </c>
      <c r="G150" t="inlineStr">
        <is>
          <t>TTAF Stock</t>
        </is>
      </c>
      <c r="H150">
        <f>IFERROR(MAX(1,MIN(104,INT((IF(F150="",E150,F150)-(DATE(Cal_Weeks!$B$1,1,1)-WEEKDAY(DATE(Cal_Weeks!$B$1,1,1),3)))/7)+1)),"")</f>
        <v/>
      </c>
    </row>
    <row r="151">
      <c r="A151" t="inlineStr">
        <is>
          <t>4HL</t>
        </is>
      </c>
      <c r="B151" t="inlineStr"/>
      <c r="C151" s="21" t="n"/>
      <c r="D151" t="n">
        <v>19200</v>
      </c>
      <c r="E151" s="17" t="n">
        <v>46136</v>
      </c>
      <c r="F151" s="17" t="n">
        <v>46136</v>
      </c>
      <c r="G151" t="inlineStr">
        <is>
          <t>TTAF Stock</t>
        </is>
      </c>
      <c r="H151">
        <f>IFERROR(MAX(1,MIN(104,INT((IF(F151="",E151,F151)-(DATE(Cal_Weeks!$B$1,1,1)-WEEKDAY(DATE(Cal_Weeks!$B$1,1,1),3)))/7)+1)),"")</f>
        <v/>
      </c>
    </row>
    <row r="152">
      <c r="A152" t="inlineStr">
        <is>
          <t>4HL</t>
        </is>
      </c>
      <c r="B152" t="inlineStr"/>
      <c r="C152" s="21" t="n"/>
      <c r="D152" t="n">
        <v>15840</v>
      </c>
      <c r="E152" s="17" t="n">
        <v>46155</v>
      </c>
      <c r="F152" s="17" t="n">
        <v>46161</v>
      </c>
      <c r="G152" t="inlineStr">
        <is>
          <t>TTAF Stock</t>
        </is>
      </c>
      <c r="H152">
        <f>IFERROR(MAX(1,MIN(104,INT((IF(F152="",E152,F152)-(DATE(Cal_Weeks!$B$1,1,1)-WEEKDAY(DATE(Cal_Weeks!$B$1,1,1),3)))/7)+1)),"")</f>
        <v/>
      </c>
    </row>
    <row r="153">
      <c r="A153" t="inlineStr">
        <is>
          <t>4HL</t>
        </is>
      </c>
      <c r="B153" t="inlineStr"/>
      <c r="C153" s="21" t="n"/>
      <c r="D153" t="n">
        <v>5760</v>
      </c>
      <c r="E153" s="17" t="n">
        <v>46159</v>
      </c>
      <c r="F153" s="17" t="n">
        <v>46167</v>
      </c>
      <c r="G153" t="inlineStr">
        <is>
          <t>TTAF Stock</t>
        </is>
      </c>
      <c r="H153">
        <f>IFERROR(MAX(1,MIN(104,INT((IF(F153="",E153,F153)-(DATE(Cal_Weeks!$B$1,1,1)-WEEKDAY(DATE(Cal_Weeks!$B$1,1,1),3)))/7)+1)),"")</f>
        <v/>
      </c>
    </row>
    <row r="154">
      <c r="A154" t="inlineStr">
        <is>
          <t>4HL</t>
        </is>
      </c>
      <c r="B154" t="inlineStr"/>
      <c r="C154" s="21" t="n"/>
      <c r="D154" t="n">
        <v>246</v>
      </c>
      <c r="E154" s="17" t="n">
        <v>46155</v>
      </c>
      <c r="F154" s="17" t="n">
        <v>46161</v>
      </c>
      <c r="G154" t="inlineStr">
        <is>
          <t>TTAF Stock</t>
        </is>
      </c>
      <c r="H154">
        <f>IFERROR(MAX(1,MIN(104,INT((IF(F154="",E154,F154)-(DATE(Cal_Weeks!$B$1,1,1)-WEEKDAY(DATE(Cal_Weeks!$B$1,1,1),3)))/7)+1)),"")</f>
        <v/>
      </c>
    </row>
    <row r="155">
      <c r="A155" t="inlineStr">
        <is>
          <t>1EK</t>
        </is>
      </c>
      <c r="B155" t="inlineStr"/>
      <c r="C155" s="21" t="n"/>
      <c r="D155" t="n">
        <v>8640</v>
      </c>
      <c r="E155" s="17" t="n">
        <v>46146</v>
      </c>
      <c r="F155" s="17" t="n">
        <v>46150</v>
      </c>
      <c r="G155" t="inlineStr">
        <is>
          <t>TTAF Stock</t>
        </is>
      </c>
      <c r="H155">
        <f>IFERROR(MAX(1,MIN(104,INT((IF(F155="",E155,F155)-(DATE(Cal_Weeks!$B$1,1,1)-WEEKDAY(DATE(Cal_Weeks!$B$1,1,1),3)))/7)+1)),"")</f>
        <v/>
      </c>
    </row>
    <row r="156">
      <c r="A156" t="inlineStr">
        <is>
          <t>1EK</t>
        </is>
      </c>
      <c r="B156" t="inlineStr"/>
      <c r="C156" s="21" t="n"/>
      <c r="D156" t="n">
        <v>9120</v>
      </c>
      <c r="E156" s="17" t="n">
        <v>46155</v>
      </c>
      <c r="F156" s="17" t="n">
        <v>46161</v>
      </c>
      <c r="G156" t="inlineStr">
        <is>
          <t>TTAF Stock</t>
        </is>
      </c>
      <c r="H156">
        <f>IFERROR(MAX(1,MIN(104,INT((IF(F156="",E156,F156)-(DATE(Cal_Weeks!$B$1,1,1)-WEEKDAY(DATE(Cal_Weeks!$B$1,1,1),3)))/7)+1)),"")</f>
        <v/>
      </c>
    </row>
    <row r="157">
      <c r="A157" t="inlineStr">
        <is>
          <t>1EK</t>
        </is>
      </c>
      <c r="B157" t="inlineStr"/>
      <c r="C157" s="21" t="n"/>
      <c r="D157" t="n">
        <v>9600</v>
      </c>
      <c r="E157" s="17" t="n">
        <v>46151</v>
      </c>
      <c r="F157" s="17" t="n">
        <v>46161</v>
      </c>
      <c r="G157" t="inlineStr">
        <is>
          <t>TTAF Stock</t>
        </is>
      </c>
      <c r="H157">
        <f>IFERROR(MAX(1,MIN(104,INT((IF(F157="",E157,F157)-(DATE(Cal_Weeks!$B$1,1,1)-WEEKDAY(DATE(Cal_Weeks!$B$1,1,1),3)))/7)+1)),"")</f>
        <v/>
      </c>
    </row>
    <row r="158">
      <c r="A158" t="inlineStr">
        <is>
          <t>1EK</t>
        </is>
      </c>
      <c r="B158" t="inlineStr"/>
      <c r="C158" s="21" t="n"/>
      <c r="D158" t="n">
        <v>2880</v>
      </c>
      <c r="E158" s="17" t="n">
        <v>46155</v>
      </c>
      <c r="F158" s="17" t="n">
        <v>46161</v>
      </c>
      <c r="G158" t="inlineStr">
        <is>
          <t>TTAF Stock</t>
        </is>
      </c>
      <c r="H158">
        <f>IFERROR(MAX(1,MIN(104,INT((IF(F158="",E158,F158)-(DATE(Cal_Weeks!$B$1,1,1)-WEEKDAY(DATE(Cal_Weeks!$B$1,1,1),3)))/7)+1)),"")</f>
        <v/>
      </c>
    </row>
    <row r="159">
      <c r="A159" t="inlineStr">
        <is>
          <t>1EK</t>
        </is>
      </c>
      <c r="B159" t="inlineStr"/>
      <c r="C159" s="21" t="n"/>
      <c r="D159" t="n">
        <v>392</v>
      </c>
      <c r="E159" s="17" t="n">
        <v>46155</v>
      </c>
      <c r="F159" s="17" t="n">
        <v>46161</v>
      </c>
      <c r="G159" t="inlineStr">
        <is>
          <t>TTAF Stock</t>
        </is>
      </c>
      <c r="H159">
        <f>IFERROR(MAX(1,MIN(104,INT((IF(F159="",E159,F159)-(DATE(Cal_Weeks!$B$1,1,1)-WEEKDAY(DATE(Cal_Weeks!$B$1,1,1),3)))/7)+1)),"")</f>
        <v/>
      </c>
    </row>
    <row r="160">
      <c r="A160" t="inlineStr">
        <is>
          <t>1EK</t>
        </is>
      </c>
      <c r="B160" t="inlineStr"/>
      <c r="C160" s="21" t="n"/>
      <c r="D160" t="n">
        <v>745</v>
      </c>
      <c r="E160" s="17" t="n">
        <v>46146</v>
      </c>
      <c r="F160" s="17" t="n">
        <v>46153</v>
      </c>
      <c r="G160" t="inlineStr">
        <is>
          <t>TTAF Stock</t>
        </is>
      </c>
      <c r="H160">
        <f>IFERROR(MAX(1,MIN(104,INT((IF(F160="",E160,F160)-(DATE(Cal_Weeks!$B$1,1,1)-WEEKDAY(DATE(Cal_Weeks!$B$1,1,1),3)))/7)+1)),"")</f>
        <v/>
      </c>
    </row>
    <row r="161">
      <c r="A161" t="inlineStr">
        <is>
          <t>9RN</t>
        </is>
      </c>
      <c r="B161" t="inlineStr">
        <is>
          <t>PO067280</t>
        </is>
      </c>
      <c r="C161" s="21" t="n"/>
      <c r="D161" t="n">
        <v>22869</v>
      </c>
      <c r="E161" s="17" t="n">
        <v>46131</v>
      </c>
      <c r="F161" s="17" t="n">
        <v>46136</v>
      </c>
      <c r="G161" t="inlineStr">
        <is>
          <t>TTAF Stock</t>
        </is>
      </c>
      <c r="H161">
        <f>IFERROR(MAX(1,MIN(104,INT((IF(F161="",E161,F161)-(DATE(Cal_Weeks!$B$1,1,1)-WEEKDAY(DATE(Cal_Weeks!$B$1,1,1),3)))/7)+1)),"")</f>
        <v/>
      </c>
    </row>
    <row r="162">
      <c r="A162" t="inlineStr">
        <is>
          <t>9RN</t>
        </is>
      </c>
      <c r="B162" t="inlineStr">
        <is>
          <t>PO067280</t>
        </is>
      </c>
      <c r="C162" s="21" t="n"/>
      <c r="D162" t="n">
        <v>18216</v>
      </c>
      <c r="E162" s="17" t="n">
        <v>46131</v>
      </c>
      <c r="F162" s="17" t="n">
        <v>46136</v>
      </c>
      <c r="G162" t="inlineStr">
        <is>
          <t>TTAF Stock</t>
        </is>
      </c>
      <c r="H162">
        <f>IFERROR(MAX(1,MIN(104,INT((IF(F162="",E162,F162)-(DATE(Cal_Weeks!$B$1,1,1)-WEEKDAY(DATE(Cal_Weeks!$B$1,1,1),3)))/7)+1)),"")</f>
        <v/>
      </c>
    </row>
    <row r="163">
      <c r="A163" t="inlineStr">
        <is>
          <t>9RN</t>
        </is>
      </c>
      <c r="B163" t="inlineStr">
        <is>
          <t>PO067280</t>
        </is>
      </c>
      <c r="C163" s="21" t="n"/>
      <c r="D163" t="n">
        <v>19140</v>
      </c>
      <c r="E163" s="17" t="n">
        <v>46164</v>
      </c>
      <c r="F163" s="17" t="n">
        <v>46170</v>
      </c>
      <c r="G163" t="inlineStr">
        <is>
          <t>TTAF Stock</t>
        </is>
      </c>
      <c r="H163">
        <f>IFERROR(MAX(1,MIN(104,INT((IF(F163="",E163,F163)-(DATE(Cal_Weeks!$B$1,1,1)-WEEKDAY(DATE(Cal_Weeks!$B$1,1,1),3)))/7)+1)),"")</f>
        <v/>
      </c>
    </row>
    <row r="164">
      <c r="A164" t="inlineStr">
        <is>
          <t>9RN</t>
        </is>
      </c>
      <c r="B164" t="inlineStr">
        <is>
          <t>PO067280</t>
        </is>
      </c>
      <c r="C164" s="21" t="n"/>
      <c r="D164" t="n">
        <v>14795</v>
      </c>
      <c r="E164" s="17" t="n">
        <v>46164</v>
      </c>
      <c r="F164" s="17" t="n">
        <v>46169</v>
      </c>
      <c r="G164" t="inlineStr">
        <is>
          <t>TTAF Stock</t>
        </is>
      </c>
      <c r="H164">
        <f>IFERROR(MAX(1,MIN(104,INT((IF(F164="",E164,F164)-(DATE(Cal_Weeks!$B$1,1,1)-WEEKDAY(DATE(Cal_Weeks!$B$1,1,1),3)))/7)+1)),"")</f>
        <v/>
      </c>
    </row>
    <row r="165">
      <c r="A165" t="inlineStr">
        <is>
          <t>0JN</t>
        </is>
      </c>
      <c r="B165" t="inlineStr">
        <is>
          <t>PO067278</t>
        </is>
      </c>
      <c r="C165" s="21" t="n"/>
      <c r="D165" t="n">
        <v>7117</v>
      </c>
      <c r="E165" s="17" t="n">
        <v>46138</v>
      </c>
      <c r="F165" s="17" t="n">
        <v>46147</v>
      </c>
      <c r="G165" t="inlineStr">
        <is>
          <t>TTAF Stock</t>
        </is>
      </c>
      <c r="H165">
        <f>IFERROR(MAX(1,MIN(104,INT((IF(F165="",E165,F165)-(DATE(Cal_Weeks!$B$1,1,1)-WEEKDAY(DATE(Cal_Weeks!$B$1,1,1),3)))/7)+1)),"")</f>
        <v/>
      </c>
    </row>
    <row r="166">
      <c r="A166" t="inlineStr">
        <is>
          <t>0JN</t>
        </is>
      </c>
      <c r="B166" t="inlineStr">
        <is>
          <t>PO067278</t>
        </is>
      </c>
      <c r="C166" s="21" t="n"/>
      <c r="D166" t="n">
        <v>12672</v>
      </c>
      <c r="E166" s="17" t="n">
        <v>46138</v>
      </c>
      <c r="F166" s="17" t="n">
        <v>46147</v>
      </c>
      <c r="G166" t="inlineStr">
        <is>
          <t>TTAF Stock</t>
        </is>
      </c>
      <c r="H166">
        <f>IFERROR(MAX(1,MIN(104,INT((IF(F166="",E166,F166)-(DATE(Cal_Weeks!$B$1,1,1)-WEEKDAY(DATE(Cal_Weeks!$B$1,1,1),3)))/7)+1)),"")</f>
        <v/>
      </c>
    </row>
    <row r="167">
      <c r="A167" t="inlineStr">
        <is>
          <t>0JN</t>
        </is>
      </c>
      <c r="B167" t="inlineStr">
        <is>
          <t>PO067278</t>
        </is>
      </c>
      <c r="C167" s="21" t="n"/>
      <c r="D167" t="n">
        <v>18825</v>
      </c>
      <c r="E167" s="17" t="n">
        <v>46165</v>
      </c>
      <c r="F167" s="17" t="n">
        <v>46170</v>
      </c>
      <c r="G167" t="inlineStr">
        <is>
          <t>TTAF Stock</t>
        </is>
      </c>
      <c r="H167">
        <f>IFERROR(MAX(1,MIN(104,INT((IF(F167="",E167,F167)-(DATE(Cal_Weeks!$B$1,1,1)-WEEKDAY(DATE(Cal_Weeks!$B$1,1,1),3)))/7)+1)),"")</f>
        <v/>
      </c>
    </row>
    <row r="168">
      <c r="A168" t="inlineStr">
        <is>
          <t>0JN</t>
        </is>
      </c>
      <c r="B168" t="inlineStr">
        <is>
          <t>PO067278</t>
        </is>
      </c>
      <c r="C168" s="21" t="n"/>
      <c r="D168" t="n">
        <v>1188</v>
      </c>
      <c r="E168" s="17" t="n">
        <v>46172</v>
      </c>
      <c r="G168" t="inlineStr">
        <is>
          <t>In-transit</t>
        </is>
      </c>
      <c r="H168">
        <f>IFERROR(MAX(1,MIN(104,INT((IF(F168="",E168,F168)-(DATE(Cal_Weeks!$B$1,1,1)-WEEKDAY(DATE(Cal_Weeks!$B$1,1,1),3)))/7)+1)),"")</f>
        <v/>
      </c>
    </row>
    <row r="169">
      <c r="A169" t="inlineStr">
        <is>
          <t>CHEM-1240</t>
        </is>
      </c>
      <c r="B169" t="inlineStr">
        <is>
          <t>PO067529</t>
        </is>
      </c>
      <c r="C169" s="21" t="n"/>
      <c r="D169" t="n">
        <v>660</v>
      </c>
      <c r="E169" s="17" t="n">
        <v>46156</v>
      </c>
      <c r="F169" s="17" t="n">
        <v>46164</v>
      </c>
      <c r="G169" t="inlineStr">
        <is>
          <t>TTAF Stock</t>
        </is>
      </c>
      <c r="H169">
        <f>IFERROR(MAX(1,MIN(104,INT((IF(F169="",E169,F169)-(DATE(Cal_Weeks!$B$1,1,1)-WEEKDAY(DATE(Cal_Weeks!$B$1,1,1),3)))/7)+1)),"")</f>
        <v/>
      </c>
    </row>
    <row r="170">
      <c r="A170" t="inlineStr">
        <is>
          <t>CHEM-1250</t>
        </is>
      </c>
      <c r="B170" t="inlineStr">
        <is>
          <t>PO067529</t>
        </is>
      </c>
      <c r="C170" s="21" t="n"/>
      <c r="D170" t="n">
        <v>150</v>
      </c>
      <c r="E170" s="17" t="n">
        <v>46156</v>
      </c>
      <c r="F170" s="17" t="n">
        <v>46164</v>
      </c>
      <c r="G170" t="inlineStr">
        <is>
          <t>TTAF Stock</t>
        </is>
      </c>
      <c r="H170">
        <f>IFERROR(MAX(1,MIN(104,INT((IF(F170="",E170,F170)-(DATE(Cal_Weeks!$B$1,1,1)-WEEKDAY(DATE(Cal_Weeks!$B$1,1,1),3)))/7)+1)),"")</f>
        <v/>
      </c>
    </row>
    <row r="171">
      <c r="A171" t="inlineStr">
        <is>
          <t>CHEM-1400</t>
        </is>
      </c>
      <c r="B171" t="inlineStr">
        <is>
          <t>PO067529</t>
        </is>
      </c>
      <c r="C171" s="21" t="n"/>
      <c r="D171" t="n">
        <v>350</v>
      </c>
      <c r="E171" s="17" t="n">
        <v>46156</v>
      </c>
      <c r="F171" s="17" t="n">
        <v>46164</v>
      </c>
      <c r="G171" t="inlineStr">
        <is>
          <t>TTAF Stock</t>
        </is>
      </c>
      <c r="H171">
        <f>IFERROR(MAX(1,MIN(104,INT((IF(F171="",E171,F171)-(DATE(Cal_Weeks!$B$1,1,1)-WEEKDAY(DATE(Cal_Weeks!$B$1,1,1),3)))/7)+1)),"")</f>
        <v/>
      </c>
    </row>
    <row r="172">
      <c r="A172" t="inlineStr">
        <is>
          <t>CHEM-1420</t>
        </is>
      </c>
      <c r="B172" t="inlineStr">
        <is>
          <t>PO067529</t>
        </is>
      </c>
      <c r="C172" s="21" t="n"/>
      <c r="D172" t="n">
        <v>320</v>
      </c>
      <c r="E172" s="17" t="n">
        <v>46156</v>
      </c>
      <c r="F172" s="17" t="n">
        <v>46164</v>
      </c>
      <c r="G172" t="inlineStr">
        <is>
          <t>TTAF Stock</t>
        </is>
      </c>
      <c r="H172">
        <f>IFERROR(MAX(1,MIN(104,INT((IF(F172="",E172,F172)-(DATE(Cal_Weeks!$B$1,1,1)-WEEKDAY(DATE(Cal_Weeks!$B$1,1,1),3)))/7)+1)),"")</f>
        <v/>
      </c>
    </row>
    <row r="173">
      <c r="A173" t="inlineStr">
        <is>
          <t>CHEM-1440</t>
        </is>
      </c>
      <c r="B173" t="inlineStr">
        <is>
          <t>PO067529</t>
        </is>
      </c>
      <c r="C173" s="21" t="n"/>
      <c r="D173" t="n">
        <v>200</v>
      </c>
      <c r="E173" s="17" t="n">
        <v>46156</v>
      </c>
      <c r="F173" s="17" t="n">
        <v>46164</v>
      </c>
      <c r="G173" t="inlineStr">
        <is>
          <t>TTAF Stock</t>
        </is>
      </c>
      <c r="H173">
        <f>IFERROR(MAX(1,MIN(104,INT((IF(F173="",E173,F173)-(DATE(Cal_Weeks!$B$1,1,1)-WEEKDAY(DATE(Cal_Weeks!$B$1,1,1),3)))/7)+1)),"")</f>
        <v/>
      </c>
    </row>
    <row r="174">
      <c r="A174" t="inlineStr">
        <is>
          <t>CHEM-1540</t>
        </is>
      </c>
      <c r="B174" t="inlineStr">
        <is>
          <t>PO067529</t>
        </is>
      </c>
      <c r="C174" s="21" t="n"/>
      <c r="D174" t="n">
        <v>2500</v>
      </c>
      <c r="E174" s="17" t="n">
        <v>46156</v>
      </c>
      <c r="F174" s="17" t="n">
        <v>46164</v>
      </c>
      <c r="G174" t="inlineStr">
        <is>
          <t>TTAF Stock</t>
        </is>
      </c>
      <c r="H174">
        <f>IFERROR(MAX(1,MIN(104,INT((IF(F174="",E174,F174)-(DATE(Cal_Weeks!$B$1,1,1)-WEEKDAY(DATE(Cal_Weeks!$B$1,1,1),3)))/7)+1)),"")</f>
        <v/>
      </c>
    </row>
    <row r="175">
      <c r="A175" t="inlineStr">
        <is>
          <t>CHEM-1530</t>
        </is>
      </c>
      <c r="B175" t="inlineStr">
        <is>
          <t>PO067529</t>
        </is>
      </c>
      <c r="C175" s="21" t="n"/>
      <c r="D175" t="n">
        <v>3500</v>
      </c>
      <c r="E175" s="17" t="n">
        <v>46156</v>
      </c>
      <c r="F175" s="17" t="n">
        <v>46164</v>
      </c>
      <c r="G175" t="inlineStr">
        <is>
          <t>TTAF Stock</t>
        </is>
      </c>
      <c r="H175">
        <f>IFERROR(MAX(1,MIN(104,INT((IF(F175="",E175,F175)-(DATE(Cal_Weeks!$B$1,1,1)-WEEKDAY(DATE(Cal_Weeks!$B$1,1,1),3)))/7)+1)),"")</f>
        <v/>
      </c>
    </row>
    <row r="176">
      <c r="A176" t="inlineStr">
        <is>
          <t>CHEM-1600</t>
        </is>
      </c>
      <c r="B176" t="inlineStr">
        <is>
          <t>PO067529</t>
        </is>
      </c>
      <c r="C176" s="21" t="n"/>
      <c r="D176" t="n">
        <v>350</v>
      </c>
      <c r="E176" s="17" t="n">
        <v>46156</v>
      </c>
      <c r="F176" s="17" t="n">
        <v>46164</v>
      </c>
      <c r="G176" t="inlineStr">
        <is>
          <t>TTAF Stock</t>
        </is>
      </c>
      <c r="H176">
        <f>IFERROR(MAX(1,MIN(104,INT((IF(F176="",E176,F176)-(DATE(Cal_Weeks!$B$1,1,1)-WEEKDAY(DATE(Cal_Weeks!$B$1,1,1),3)))/7)+1)),"")</f>
        <v/>
      </c>
    </row>
    <row r="177">
      <c r="A177" t="inlineStr">
        <is>
          <t>CHEM-1570</t>
        </is>
      </c>
      <c r="B177" t="inlineStr">
        <is>
          <t>PO067529</t>
        </is>
      </c>
      <c r="C177" s="21" t="n"/>
      <c r="D177" t="n">
        <v>36</v>
      </c>
      <c r="E177" s="17" t="n">
        <v>46156</v>
      </c>
      <c r="F177" s="17" t="n">
        <v>46164</v>
      </c>
      <c r="G177" t="inlineStr">
        <is>
          <t>TTAF Stock</t>
        </is>
      </c>
      <c r="H177">
        <f>IFERROR(MAX(1,MIN(104,INT((IF(F177="",E177,F177)-(DATE(Cal_Weeks!$B$1,1,1)-WEEKDAY(DATE(Cal_Weeks!$B$1,1,1),3)))/7)+1)),"")</f>
        <v/>
      </c>
    </row>
    <row r="178">
      <c r="A178" t="inlineStr">
        <is>
          <t>CHEM-1670</t>
        </is>
      </c>
      <c r="B178" t="inlineStr">
        <is>
          <t>PO067529</t>
        </is>
      </c>
      <c r="C178" s="21" t="n"/>
      <c r="D178" t="n">
        <v>180</v>
      </c>
      <c r="E178" s="17" t="n">
        <v>46156</v>
      </c>
      <c r="F178" s="17" t="n">
        <v>46164</v>
      </c>
      <c r="G178" t="inlineStr">
        <is>
          <t>TTAF Stock</t>
        </is>
      </c>
      <c r="H178">
        <f>IFERROR(MAX(1,MIN(104,INT((IF(F178="",E178,F178)-(DATE(Cal_Weeks!$B$1,1,1)-WEEKDAY(DATE(Cal_Weeks!$B$1,1,1),3)))/7)+1)),"")</f>
        <v/>
      </c>
    </row>
    <row r="179">
      <c r="A179" t="inlineStr">
        <is>
          <t>CHEM-1690</t>
        </is>
      </c>
      <c r="B179" t="inlineStr">
        <is>
          <t>PO067529</t>
        </is>
      </c>
      <c r="C179" s="21" t="n"/>
      <c r="D179" t="n">
        <v>135</v>
      </c>
      <c r="E179" s="17" t="n">
        <v>46156</v>
      </c>
      <c r="F179" s="17" t="n">
        <v>46164</v>
      </c>
      <c r="G179" t="inlineStr">
        <is>
          <t>TTAF Stock</t>
        </is>
      </c>
      <c r="H179">
        <f>IFERROR(MAX(1,MIN(104,INT((IF(F179="",E179,F179)-(DATE(Cal_Weeks!$B$1,1,1)-WEEKDAY(DATE(Cal_Weeks!$B$1,1,1),3)))/7)+1)),"")</f>
        <v/>
      </c>
    </row>
    <row r="180">
      <c r="A180" t="inlineStr">
        <is>
          <t>CHEM-1700</t>
        </is>
      </c>
      <c r="B180" t="inlineStr">
        <is>
          <t>PO067529</t>
        </is>
      </c>
      <c r="C180" s="21" t="n"/>
      <c r="D180" t="n">
        <v>60</v>
      </c>
      <c r="E180" s="17" t="n">
        <v>46156</v>
      </c>
      <c r="F180" s="17" t="n">
        <v>46164</v>
      </c>
      <c r="G180" t="inlineStr">
        <is>
          <t>TTAF Stock</t>
        </is>
      </c>
      <c r="H180">
        <f>IFERROR(MAX(1,MIN(104,INT((IF(F180="",E180,F180)-(DATE(Cal_Weeks!$B$1,1,1)-WEEKDAY(DATE(Cal_Weeks!$B$1,1,1),3)))/7)+1)),"")</f>
        <v/>
      </c>
    </row>
    <row r="181">
      <c r="A181" t="inlineStr">
        <is>
          <t>CHEM-1720</t>
        </is>
      </c>
      <c r="B181" t="inlineStr">
        <is>
          <t>PO067529</t>
        </is>
      </c>
      <c r="C181" s="21" t="n"/>
      <c r="D181" t="n">
        <v>1080</v>
      </c>
      <c r="E181" s="17" t="n">
        <v>46156</v>
      </c>
      <c r="F181" s="17" t="n">
        <v>46164</v>
      </c>
      <c r="G181" t="inlineStr">
        <is>
          <t>TTAF Stock</t>
        </is>
      </c>
      <c r="H181">
        <f>IFERROR(MAX(1,MIN(104,INT((IF(F181="",E181,F181)-(DATE(Cal_Weeks!$B$1,1,1)-WEEKDAY(DATE(Cal_Weeks!$B$1,1,1),3)))/7)+1)),"")</f>
        <v/>
      </c>
    </row>
    <row r="182">
      <c r="A182" t="inlineStr">
        <is>
          <t>CHEM-1680</t>
        </is>
      </c>
      <c r="B182" t="inlineStr">
        <is>
          <t>PO067529</t>
        </is>
      </c>
      <c r="C182" s="21" t="n"/>
      <c r="D182" t="n">
        <v>200</v>
      </c>
      <c r="E182" s="17" t="n">
        <v>46156</v>
      </c>
      <c r="F182" s="17" t="n">
        <v>46164</v>
      </c>
      <c r="G182" t="inlineStr">
        <is>
          <t>TTAF Stock</t>
        </is>
      </c>
      <c r="H182">
        <f>IFERROR(MAX(1,MIN(104,INT((IF(F182="",E182,F182)-(DATE(Cal_Weeks!$B$1,1,1)-WEEKDAY(DATE(Cal_Weeks!$B$1,1,1),3)))/7)+1)),"")</f>
        <v/>
      </c>
    </row>
    <row r="183">
      <c r="A183" t="inlineStr">
        <is>
          <t>CHEM-1730</t>
        </is>
      </c>
      <c r="B183" t="inlineStr">
        <is>
          <t>PO067529</t>
        </is>
      </c>
      <c r="C183" s="21" t="n"/>
      <c r="D183" t="n">
        <v>200</v>
      </c>
      <c r="E183" s="17" t="n">
        <v>46156</v>
      </c>
      <c r="F183" s="17" t="n">
        <v>46164</v>
      </c>
      <c r="G183" t="inlineStr">
        <is>
          <t>TTAF Stock</t>
        </is>
      </c>
      <c r="H183">
        <f>IFERROR(MAX(1,MIN(104,INT((IF(F183="",E183,F183)-(DATE(Cal_Weeks!$B$1,1,1)-WEEKDAY(DATE(Cal_Weeks!$B$1,1,1),3)))/7)+1)),"")</f>
        <v/>
      </c>
    </row>
    <row r="184">
      <c r="A184" t="inlineStr">
        <is>
          <t>CHEM-1660</t>
        </is>
      </c>
      <c r="B184" t="inlineStr">
        <is>
          <t>PO067514</t>
        </is>
      </c>
      <c r="C184" s="21" t="n"/>
      <c r="D184" t="n">
        <v>120</v>
      </c>
      <c r="E184" s="17" t="n">
        <v>46155</v>
      </c>
      <c r="F184" s="17" t="n">
        <v>46163</v>
      </c>
      <c r="G184" t="inlineStr">
        <is>
          <t>TTAF Stock</t>
        </is>
      </c>
      <c r="H184">
        <f>IFERROR(MAX(1,MIN(104,INT((IF(F184="",E184,F184)-(DATE(Cal_Weeks!$B$1,1,1)-WEEKDAY(DATE(Cal_Weeks!$B$1,1,1),3)))/7)+1)),"")</f>
        <v/>
      </c>
    </row>
    <row r="185">
      <c r="A185" t="inlineStr">
        <is>
          <t>CHEM-1280</t>
        </is>
      </c>
      <c r="B185" t="inlineStr">
        <is>
          <t>PO067514</t>
        </is>
      </c>
      <c r="C185" s="21" t="n"/>
      <c r="D185" t="n">
        <v>1000</v>
      </c>
      <c r="E185" s="17" t="n">
        <v>46155</v>
      </c>
      <c r="F185" s="17" t="n">
        <v>46163</v>
      </c>
      <c r="G185" t="inlineStr">
        <is>
          <t>TTAF Stock</t>
        </is>
      </c>
      <c r="H185">
        <f>IFERROR(MAX(1,MIN(104,INT((IF(F185="",E185,F185)-(DATE(Cal_Weeks!$B$1,1,1)-WEEKDAY(DATE(Cal_Weeks!$B$1,1,1),3)))/7)+1)),"")</f>
        <v/>
      </c>
    </row>
    <row r="186">
      <c r="A186" t="inlineStr">
        <is>
          <t>4HL</t>
        </is>
      </c>
      <c r="B186" t="inlineStr"/>
      <c r="C186" s="21" t="n"/>
      <c r="D186" t="n">
        <v>6720</v>
      </c>
      <c r="E186" s="17" t="n">
        <v>46164</v>
      </c>
      <c r="F186" s="17" t="n">
        <v>46169</v>
      </c>
      <c r="G186" t="inlineStr">
        <is>
          <t>TTAF Stock</t>
        </is>
      </c>
      <c r="H186">
        <f>IFERROR(MAX(1,MIN(104,INT((IF(F186="",E186,F186)-(DATE(Cal_Weeks!$B$1,1,1)-WEEKDAY(DATE(Cal_Weeks!$B$1,1,1),3)))/7)+1)),"")</f>
        <v/>
      </c>
    </row>
    <row r="187">
      <c r="A187" t="inlineStr">
        <is>
          <t>4HL</t>
        </is>
      </c>
      <c r="B187" t="inlineStr"/>
      <c r="C187" s="21" t="n"/>
      <c r="D187" t="n">
        <v>14400</v>
      </c>
      <c r="E187" s="17" t="n">
        <v>46170</v>
      </c>
      <c r="G187" t="inlineStr">
        <is>
          <t>In-transit</t>
        </is>
      </c>
      <c r="H187">
        <f>IFERROR(MAX(1,MIN(104,INT((IF(F187="",E187,F187)-(DATE(Cal_Weeks!$B$1,1,1)-WEEKDAY(DATE(Cal_Weeks!$B$1,1,1),3)))/7)+1)),"")</f>
        <v/>
      </c>
    </row>
    <row r="188">
      <c r="A188" t="inlineStr">
        <is>
          <t>4HL</t>
        </is>
      </c>
      <c r="B188" t="inlineStr"/>
      <c r="C188" s="21" t="n"/>
      <c r="D188" t="n">
        <v>9600</v>
      </c>
      <c r="E188" s="17" t="n">
        <v>46175</v>
      </c>
      <c r="G188" t="inlineStr">
        <is>
          <t>In-transit</t>
        </is>
      </c>
      <c r="H188">
        <f>IFERROR(MAX(1,MIN(104,INT((IF(F188="",E188,F188)-(DATE(Cal_Weeks!$B$1,1,1)-WEEKDAY(DATE(Cal_Weeks!$B$1,1,1),3)))/7)+1)),"")</f>
        <v/>
      </c>
    </row>
    <row r="189">
      <c r="A189" t="inlineStr">
        <is>
          <t>4HL</t>
        </is>
      </c>
      <c r="B189" t="inlineStr"/>
      <c r="C189" s="21" t="n"/>
      <c r="D189" t="n">
        <v>13440</v>
      </c>
      <c r="E189" s="17" t="n">
        <v>46181</v>
      </c>
      <c r="G189" t="inlineStr">
        <is>
          <t>In-transit</t>
        </is>
      </c>
      <c r="H189">
        <f>IFERROR(MAX(1,MIN(104,INT((IF(F189="",E189,F189)-(DATE(Cal_Weeks!$B$1,1,1)-WEEKDAY(DATE(Cal_Weeks!$B$1,1,1),3)))/7)+1)),"")</f>
        <v/>
      </c>
    </row>
    <row r="190">
      <c r="A190" t="inlineStr">
        <is>
          <t>4HL</t>
        </is>
      </c>
      <c r="B190" t="inlineStr"/>
      <c r="C190" s="21" t="n"/>
      <c r="D190" t="n">
        <v>11040</v>
      </c>
      <c r="E190" s="17" t="n">
        <v>46181</v>
      </c>
      <c r="G190" t="inlineStr">
        <is>
          <t>In-transit</t>
        </is>
      </c>
      <c r="H190">
        <f>IFERROR(MAX(1,MIN(104,INT((IF(F190="",E190,F190)-(DATE(Cal_Weeks!$B$1,1,1)-WEEKDAY(DATE(Cal_Weeks!$B$1,1,1),3)))/7)+1)),"")</f>
        <v/>
      </c>
    </row>
    <row r="191">
      <c r="A191" t="inlineStr">
        <is>
          <t>4HL</t>
        </is>
      </c>
      <c r="B191" t="inlineStr"/>
      <c r="C191" s="21" t="n"/>
      <c r="D191" t="n">
        <v>346</v>
      </c>
      <c r="E191" s="17" t="n">
        <v>46164</v>
      </c>
      <c r="F191" s="17" t="n">
        <v>46169</v>
      </c>
      <c r="G191" t="inlineStr">
        <is>
          <t>TTAF Stock</t>
        </is>
      </c>
      <c r="H191">
        <f>IFERROR(MAX(1,MIN(104,INT((IF(F191="",E191,F191)-(DATE(Cal_Weeks!$B$1,1,1)-WEEKDAY(DATE(Cal_Weeks!$B$1,1,1),3)))/7)+1)),"")</f>
        <v/>
      </c>
    </row>
    <row r="192">
      <c r="A192" t="inlineStr">
        <is>
          <t>1EK</t>
        </is>
      </c>
      <c r="B192" t="inlineStr"/>
      <c r="C192" s="21" t="n"/>
      <c r="D192" t="n">
        <v>4800</v>
      </c>
      <c r="E192" s="17" t="n">
        <v>46164</v>
      </c>
      <c r="F192" s="17" t="n">
        <v>46169</v>
      </c>
      <c r="G192" t="inlineStr">
        <is>
          <t>TTAF Stock</t>
        </is>
      </c>
      <c r="H192">
        <f>IFERROR(MAX(1,MIN(104,INT((IF(F192="",E192,F192)-(DATE(Cal_Weeks!$B$1,1,1)-WEEKDAY(DATE(Cal_Weeks!$B$1,1,1),3)))/7)+1)),"")</f>
        <v/>
      </c>
    </row>
    <row r="193">
      <c r="A193" t="inlineStr">
        <is>
          <t>1EK</t>
        </is>
      </c>
      <c r="B193" t="inlineStr"/>
      <c r="C193" s="21" t="n"/>
      <c r="D193" t="n">
        <v>434</v>
      </c>
      <c r="E193" s="17" t="n">
        <v>46164</v>
      </c>
      <c r="F193" s="17" t="n">
        <v>46169</v>
      </c>
      <c r="G193" t="inlineStr">
        <is>
          <t>TTAF Stock</t>
        </is>
      </c>
      <c r="H193">
        <f>IFERROR(MAX(1,MIN(104,INT((IF(F193="",E193,F193)-(DATE(Cal_Weeks!$B$1,1,1)-WEEKDAY(DATE(Cal_Weeks!$B$1,1,1),3)))/7)+1)),"")</f>
        <v/>
      </c>
    </row>
    <row r="194">
      <c r="A194" t="inlineStr">
        <is>
          <t>9RN</t>
        </is>
      </c>
      <c r="B194" t="inlineStr">
        <is>
          <t>PO067508</t>
        </is>
      </c>
      <c r="C194" s="21" t="n"/>
      <c r="D194" t="n">
        <v>15554</v>
      </c>
      <c r="E194" s="17" t="n">
        <v>46175</v>
      </c>
      <c r="G194" t="inlineStr">
        <is>
          <t>In-transit</t>
        </is>
      </c>
      <c r="H194">
        <f>IFERROR(MAX(1,MIN(104,INT((IF(F194="",E194,F194)-(DATE(Cal_Weeks!$B$1,1,1)-WEEKDAY(DATE(Cal_Weeks!$B$1,1,1),3)))/7)+1)),"")</f>
        <v/>
      </c>
    </row>
    <row r="195">
      <c r="A195" t="inlineStr">
        <is>
          <t>9RN</t>
        </is>
      </c>
      <c r="B195" t="inlineStr">
        <is>
          <t>PO067508</t>
        </is>
      </c>
      <c r="C195" s="21" t="n"/>
      <c r="D195" t="n">
        <v>20746</v>
      </c>
      <c r="E195" s="17" t="n">
        <v>46188</v>
      </c>
      <c r="G195" t="inlineStr">
        <is>
          <t>In-transit</t>
        </is>
      </c>
      <c r="H195">
        <f>IFERROR(MAX(1,MIN(104,INT((IF(F195="",E195,F195)-(DATE(Cal_Weeks!$B$1,1,1)-WEEKDAY(DATE(Cal_Weeks!$B$1,1,1),3)))/7)+1)),"")</f>
        <v/>
      </c>
    </row>
    <row r="196">
      <c r="A196" t="inlineStr">
        <is>
          <t>0JN</t>
        </is>
      </c>
      <c r="B196" t="inlineStr">
        <is>
          <t>PO067515</t>
        </is>
      </c>
      <c r="C196" s="21" t="n"/>
      <c r="D196" t="n">
        <v>7919</v>
      </c>
      <c r="E196" s="17" t="n">
        <v>46172</v>
      </c>
      <c r="G196" t="inlineStr">
        <is>
          <t>In-transit</t>
        </is>
      </c>
      <c r="H196">
        <f>IFERROR(MAX(1,MIN(104,INT((IF(F196="",E196,F196)-(DATE(Cal_Weeks!$B$1,1,1)-WEEKDAY(DATE(Cal_Weeks!$B$1,1,1),3)))/7)+1)),"")</f>
        <v/>
      </c>
    </row>
    <row r="197">
      <c r="A197" t="inlineStr">
        <is>
          <t>CHEM-1240</t>
        </is>
      </c>
      <c r="B197" t="inlineStr">
        <is>
          <t>PO068015</t>
        </is>
      </c>
      <c r="C197" s="21" t="n"/>
      <c r="D197" t="n">
        <v>660</v>
      </c>
      <c r="E197" s="17" t="n">
        <v>46181</v>
      </c>
      <c r="G197" t="inlineStr">
        <is>
          <t>In-transit</t>
        </is>
      </c>
      <c r="H197">
        <f>IFERROR(MAX(1,MIN(104,INT((IF(F197="",E197,F197)-(DATE(Cal_Weeks!$B$1,1,1)-WEEKDAY(DATE(Cal_Weeks!$B$1,1,1),3)))/7)+1)),"")</f>
        <v/>
      </c>
    </row>
    <row r="198">
      <c r="A198" t="inlineStr">
        <is>
          <t>CHEM-1250</t>
        </is>
      </c>
      <c r="B198" t="inlineStr">
        <is>
          <t>PO068015</t>
        </is>
      </c>
      <c r="C198" s="21" t="n"/>
      <c r="D198" t="n">
        <v>50</v>
      </c>
      <c r="E198" s="17" t="n">
        <v>46181</v>
      </c>
      <c r="G198" t="inlineStr">
        <is>
          <t>In-transit</t>
        </is>
      </c>
      <c r="H198">
        <f>IFERROR(MAX(1,MIN(104,INT((IF(F198="",E198,F198)-(DATE(Cal_Weeks!$B$1,1,1)-WEEKDAY(DATE(Cal_Weeks!$B$1,1,1),3)))/7)+1)),"")</f>
        <v/>
      </c>
    </row>
    <row r="199">
      <c r="A199" t="inlineStr">
        <is>
          <t>CHEM-1400</t>
        </is>
      </c>
      <c r="B199" t="inlineStr">
        <is>
          <t>PO068015</t>
        </is>
      </c>
      <c r="C199" s="21" t="n"/>
      <c r="D199" t="n">
        <v>200</v>
      </c>
      <c r="E199" s="17" t="n">
        <v>46181</v>
      </c>
      <c r="G199" t="inlineStr">
        <is>
          <t>In-transit</t>
        </is>
      </c>
      <c r="H199">
        <f>IFERROR(MAX(1,MIN(104,INT((IF(F199="",E199,F199)-(DATE(Cal_Weeks!$B$1,1,1)-WEEKDAY(DATE(Cal_Weeks!$B$1,1,1),3)))/7)+1)),"")</f>
        <v/>
      </c>
    </row>
    <row r="200">
      <c r="A200" t="inlineStr">
        <is>
          <t>CHEM-1420</t>
        </is>
      </c>
      <c r="B200" t="inlineStr">
        <is>
          <t>PO068015</t>
        </is>
      </c>
      <c r="C200" s="21" t="n"/>
      <c r="D200" t="n">
        <v>240</v>
      </c>
      <c r="E200" s="17" t="n">
        <v>46181</v>
      </c>
      <c r="G200" t="inlineStr">
        <is>
          <t>In-transit</t>
        </is>
      </c>
      <c r="H200">
        <f>IFERROR(MAX(1,MIN(104,INT((IF(F200="",E200,F200)-(DATE(Cal_Weeks!$B$1,1,1)-WEEKDAY(DATE(Cal_Weeks!$B$1,1,1),3)))/7)+1)),"")</f>
        <v/>
      </c>
    </row>
    <row r="201">
      <c r="A201" t="inlineStr">
        <is>
          <t>CHEM-1540</t>
        </is>
      </c>
      <c r="B201" t="inlineStr">
        <is>
          <t>PO068015</t>
        </is>
      </c>
      <c r="C201" s="21" t="n"/>
      <c r="D201" t="n">
        <v>4500</v>
      </c>
      <c r="E201" s="17" t="n">
        <v>46181</v>
      </c>
      <c r="G201" t="inlineStr">
        <is>
          <t>In-transit</t>
        </is>
      </c>
      <c r="H201">
        <f>IFERROR(MAX(1,MIN(104,INT((IF(F201="",E201,F201)-(DATE(Cal_Weeks!$B$1,1,1)-WEEKDAY(DATE(Cal_Weeks!$B$1,1,1),3)))/7)+1)),"")</f>
        <v/>
      </c>
    </row>
    <row r="202">
      <c r="A202" t="inlineStr">
        <is>
          <t>CHEM-1530</t>
        </is>
      </c>
      <c r="B202" t="inlineStr">
        <is>
          <t>PO068015</t>
        </is>
      </c>
      <c r="C202" s="21" t="n"/>
      <c r="D202" t="n">
        <v>2100</v>
      </c>
      <c r="E202" s="17" t="n">
        <v>46181</v>
      </c>
      <c r="G202" t="inlineStr">
        <is>
          <t>In-transit</t>
        </is>
      </c>
      <c r="H202">
        <f>IFERROR(MAX(1,MIN(104,INT((IF(F202="",E202,F202)-(DATE(Cal_Weeks!$B$1,1,1)-WEEKDAY(DATE(Cal_Weeks!$B$1,1,1),3)))/7)+1)),"")</f>
        <v/>
      </c>
    </row>
    <row r="203">
      <c r="A203" t="inlineStr">
        <is>
          <t>CHEM-1570</t>
        </is>
      </c>
      <c r="B203" t="inlineStr">
        <is>
          <t>PO068015</t>
        </is>
      </c>
      <c r="C203" s="21" t="n"/>
      <c r="D203" t="n">
        <v>18</v>
      </c>
      <c r="E203" s="17" t="n">
        <v>46181</v>
      </c>
      <c r="G203" t="inlineStr">
        <is>
          <t>In-transit</t>
        </is>
      </c>
      <c r="H203">
        <f>IFERROR(MAX(1,MIN(104,INT((IF(F203="",E203,F203)-(DATE(Cal_Weeks!$B$1,1,1)-WEEKDAY(DATE(Cal_Weeks!$B$1,1,1),3)))/7)+1)),"")</f>
        <v/>
      </c>
    </row>
    <row r="204">
      <c r="A204" t="inlineStr">
        <is>
          <t>CHEM-1670</t>
        </is>
      </c>
      <c r="B204" t="inlineStr">
        <is>
          <t>PO068015</t>
        </is>
      </c>
      <c r="C204" s="21" t="n"/>
      <c r="D204" t="n">
        <v>360</v>
      </c>
      <c r="E204" s="17" t="n">
        <v>46181</v>
      </c>
      <c r="G204" t="inlineStr">
        <is>
          <t>In-transit</t>
        </is>
      </c>
      <c r="H204">
        <f>IFERROR(MAX(1,MIN(104,INT((IF(F204="",E204,F204)-(DATE(Cal_Weeks!$B$1,1,1)-WEEKDAY(DATE(Cal_Weeks!$B$1,1,1),3)))/7)+1)),"")</f>
        <v/>
      </c>
    </row>
    <row r="205">
      <c r="A205" t="inlineStr">
        <is>
          <t>CHEM-1690</t>
        </is>
      </c>
      <c r="B205" t="inlineStr">
        <is>
          <t>PO068015</t>
        </is>
      </c>
      <c r="C205" s="21" t="n"/>
      <c r="D205" t="n">
        <v>135</v>
      </c>
      <c r="E205" s="17" t="n">
        <v>46181</v>
      </c>
      <c r="G205" t="inlineStr">
        <is>
          <t>In-transit</t>
        </is>
      </c>
      <c r="H205">
        <f>IFERROR(MAX(1,MIN(104,INT((IF(F205="",E205,F205)-(DATE(Cal_Weeks!$B$1,1,1)-WEEKDAY(DATE(Cal_Weeks!$B$1,1,1),3)))/7)+1)),"")</f>
        <v/>
      </c>
    </row>
    <row r="206">
      <c r="A206" t="inlineStr">
        <is>
          <t>CHEM-1700</t>
        </is>
      </c>
      <c r="B206" t="inlineStr">
        <is>
          <t>PO068015</t>
        </is>
      </c>
      <c r="C206" s="21" t="n"/>
      <c r="D206" t="n">
        <v>60</v>
      </c>
      <c r="E206" s="17" t="n">
        <v>46181</v>
      </c>
      <c r="G206" t="inlineStr">
        <is>
          <t>In-transit</t>
        </is>
      </c>
      <c r="H206">
        <f>IFERROR(MAX(1,MIN(104,INT((IF(F206="",E206,F206)-(DATE(Cal_Weeks!$B$1,1,1)-WEEKDAY(DATE(Cal_Weeks!$B$1,1,1),3)))/7)+1)),"")</f>
        <v/>
      </c>
    </row>
    <row r="207">
      <c r="A207" t="inlineStr">
        <is>
          <t>CHEM-1720</t>
        </is>
      </c>
      <c r="B207" t="inlineStr">
        <is>
          <t>PO068015</t>
        </is>
      </c>
      <c r="C207" s="21" t="n"/>
      <c r="D207" t="n">
        <v>1320</v>
      </c>
      <c r="E207" s="17" t="n">
        <v>46181</v>
      </c>
      <c r="G207" t="inlineStr">
        <is>
          <t>In-transit</t>
        </is>
      </c>
      <c r="H207">
        <f>IFERROR(MAX(1,MIN(104,INT((IF(F207="",E207,F207)-(DATE(Cal_Weeks!$B$1,1,1)-WEEKDAY(DATE(Cal_Weeks!$B$1,1,1),3)))/7)+1)),"")</f>
        <v/>
      </c>
    </row>
    <row r="208">
      <c r="A208" t="inlineStr">
        <is>
          <t>CHEM-1760</t>
        </is>
      </c>
      <c r="B208" t="inlineStr">
        <is>
          <t>PO068015</t>
        </is>
      </c>
      <c r="C208" s="21" t="n"/>
      <c r="D208" t="n">
        <v>17</v>
      </c>
      <c r="E208" s="17" t="n">
        <v>46181</v>
      </c>
      <c r="G208" t="inlineStr">
        <is>
          <t>In-transit</t>
        </is>
      </c>
      <c r="H208">
        <f>IFERROR(MAX(1,MIN(104,INT((IF(F208="",E208,F208)-(DATE(Cal_Weeks!$B$1,1,1)-WEEKDAY(DATE(Cal_Weeks!$B$1,1,1),3)))/7)+1)),"")</f>
        <v/>
      </c>
    </row>
    <row r="209">
      <c r="A209" t="inlineStr">
        <is>
          <t>CHEM-1200</t>
        </is>
      </c>
      <c r="B209" t="inlineStr">
        <is>
          <t>PO068015</t>
        </is>
      </c>
      <c r="C209" s="21" t="n"/>
      <c r="D209" t="n">
        <v>25</v>
      </c>
      <c r="E209" s="17" t="n">
        <v>46181</v>
      </c>
      <c r="G209" t="inlineStr">
        <is>
          <t>In-transit</t>
        </is>
      </c>
      <c r="H209">
        <f>IFERROR(MAX(1,MIN(104,INT((IF(F209="",E209,F209)-(DATE(Cal_Weeks!$B$1,1,1)-WEEKDAY(DATE(Cal_Weeks!$B$1,1,1),3)))/7)+1)),"")</f>
        <v/>
      </c>
    </row>
    <row r="210">
      <c r="A210" t="inlineStr">
        <is>
          <t>CHEM-1840</t>
        </is>
      </c>
      <c r="B210" t="inlineStr">
        <is>
          <t>PO068015</t>
        </is>
      </c>
      <c r="C210" s="21" t="n"/>
      <c r="D210" t="n">
        <v>18</v>
      </c>
      <c r="E210" s="17" t="n">
        <v>46181</v>
      </c>
      <c r="G210" t="inlineStr">
        <is>
          <t>In-transit</t>
        </is>
      </c>
      <c r="H210">
        <f>IFERROR(MAX(1,MIN(104,INT((IF(F210="",E210,F210)-(DATE(Cal_Weeks!$B$1,1,1)-WEEKDAY(DATE(Cal_Weeks!$B$1,1,1),3)))/7)+1)),"")</f>
        <v/>
      </c>
    </row>
    <row r="211">
      <c r="A211" t="inlineStr">
        <is>
          <t>CHEM-1660</t>
        </is>
      </c>
      <c r="B211" t="inlineStr">
        <is>
          <t>PO067957</t>
        </is>
      </c>
      <c r="C211" s="21" t="n"/>
      <c r="D211" t="n">
        <v>180</v>
      </c>
      <c r="E211" s="17" t="n">
        <v>46181</v>
      </c>
      <c r="G211" t="inlineStr">
        <is>
          <t>In-transit</t>
        </is>
      </c>
      <c r="H211">
        <f>IFERROR(MAX(1,MIN(104,INT((IF(F211="",E211,F211)-(DATE(Cal_Weeks!$B$1,1,1)-WEEKDAY(DATE(Cal_Weeks!$B$1,1,1),3)))/7)+1)),"")</f>
        <v/>
      </c>
    </row>
    <row r="212">
      <c r="A212" t="inlineStr">
        <is>
          <t>CHEM-1280</t>
        </is>
      </c>
      <c r="B212" t="inlineStr">
        <is>
          <t>PO067957</t>
        </is>
      </c>
      <c r="C212" s="21" t="n"/>
      <c r="D212" t="n">
        <v>1000</v>
      </c>
      <c r="E212" s="17" t="n">
        <v>46181</v>
      </c>
      <c r="G212" t="inlineStr">
        <is>
          <t>In-transit</t>
        </is>
      </c>
      <c r="H212">
        <f>IFERROR(MAX(1,MIN(104,INT((IF(F212="",E212,F212)-(DATE(Cal_Weeks!$B$1,1,1)-WEEKDAY(DATE(Cal_Weeks!$B$1,1,1),3)))/7)+1)),"")</f>
        <v/>
      </c>
    </row>
    <row r="213">
      <c r="A213" t="inlineStr">
        <is>
          <t>4HL</t>
        </is>
      </c>
      <c r="B213" t="inlineStr"/>
      <c r="C213" s="21" t="n"/>
      <c r="D213" t="n">
        <v>12000</v>
      </c>
      <c r="E213" s="17" t="n">
        <v>46213</v>
      </c>
      <c r="G213" t="inlineStr">
        <is>
          <t>Unconfirmed</t>
        </is>
      </c>
      <c r="H213">
        <f>IFERROR(MAX(1,MIN(104,INT((IF(F213="",E213,F213)-(DATE(Cal_Weeks!$B$1,1,1)-WEEKDAY(DATE(Cal_Weeks!$B$1,1,1),3)))/7)+1)),"")</f>
        <v/>
      </c>
    </row>
    <row r="214">
      <c r="A214" t="inlineStr">
        <is>
          <t>4HL</t>
        </is>
      </c>
      <c r="B214" t="inlineStr"/>
      <c r="C214" s="21" t="n"/>
      <c r="D214" t="n">
        <v>6240</v>
      </c>
      <c r="E214" s="17" t="n">
        <v>46215</v>
      </c>
      <c r="G214" t="inlineStr">
        <is>
          <t>Unconfirmed</t>
        </is>
      </c>
      <c r="H214">
        <f>IFERROR(MAX(1,MIN(104,INT((IF(F214="",E214,F214)-(DATE(Cal_Weeks!$B$1,1,1)-WEEKDAY(DATE(Cal_Weeks!$B$1,1,1),3)))/7)+1)),"")</f>
        <v/>
      </c>
    </row>
    <row r="215">
      <c r="A215" t="inlineStr">
        <is>
          <t>4HL</t>
        </is>
      </c>
      <c r="B215" t="inlineStr"/>
      <c r="C215" s="21" t="n"/>
      <c r="D215" t="n">
        <v>6240</v>
      </c>
      <c r="E215" s="17" t="n">
        <v>46220</v>
      </c>
      <c r="G215" t="inlineStr">
        <is>
          <t>Unconfirmed</t>
        </is>
      </c>
      <c r="H215">
        <f>IFERROR(MAX(1,MIN(104,INT((IF(F215="",E215,F215)-(DATE(Cal_Weeks!$B$1,1,1)-WEEKDAY(DATE(Cal_Weeks!$B$1,1,1),3)))/7)+1)),"")</f>
        <v/>
      </c>
    </row>
    <row r="216">
      <c r="A216" t="inlineStr">
        <is>
          <t>4HL</t>
        </is>
      </c>
      <c r="B216" t="inlineStr"/>
      <c r="C216" s="21" t="n"/>
      <c r="D216" t="n">
        <v>5972</v>
      </c>
      <c r="E216" s="17" t="n">
        <v>46222</v>
      </c>
      <c r="G216" t="inlineStr">
        <is>
          <t>Unconfirmed</t>
        </is>
      </c>
      <c r="H216">
        <f>IFERROR(MAX(1,MIN(104,INT((IF(F216="",E216,F216)-(DATE(Cal_Weeks!$B$1,1,1)-WEEKDAY(DATE(Cal_Weeks!$B$1,1,1),3)))/7)+1)),"")</f>
        <v/>
      </c>
    </row>
    <row r="217">
      <c r="A217" t="inlineStr">
        <is>
          <t>4HL</t>
        </is>
      </c>
      <c r="B217" t="inlineStr"/>
      <c r="C217" s="21" t="n"/>
      <c r="D217" t="n">
        <v>5760</v>
      </c>
      <c r="E217" s="17" t="n">
        <v>46227</v>
      </c>
      <c r="G217" t="inlineStr">
        <is>
          <t>Unconfirmed</t>
        </is>
      </c>
      <c r="H217">
        <f>IFERROR(MAX(1,MIN(104,INT((IF(F217="",E217,F217)-(DATE(Cal_Weeks!$B$1,1,1)-WEEKDAY(DATE(Cal_Weeks!$B$1,1,1),3)))/7)+1)),"")</f>
        <v/>
      </c>
    </row>
    <row r="218">
      <c r="A218" t="inlineStr">
        <is>
          <t>4HL</t>
        </is>
      </c>
      <c r="B218" t="inlineStr"/>
      <c r="C218" s="21" t="n"/>
      <c r="D218" t="n">
        <v>6240</v>
      </c>
      <c r="E218" s="17" t="n">
        <v>46229</v>
      </c>
      <c r="G218" t="inlineStr">
        <is>
          <t>Unconfirmed</t>
        </is>
      </c>
      <c r="H218">
        <f>IFERROR(MAX(1,MIN(104,INT((IF(F218="",E218,F218)-(DATE(Cal_Weeks!$B$1,1,1)-WEEKDAY(DATE(Cal_Weeks!$B$1,1,1),3)))/7)+1)),"")</f>
        <v/>
      </c>
    </row>
    <row r="219">
      <c r="A219" t="inlineStr">
        <is>
          <t>4HL</t>
        </is>
      </c>
      <c r="B219" t="inlineStr"/>
      <c r="C219" s="21" t="n"/>
      <c r="D219" t="n">
        <v>5902</v>
      </c>
      <c r="E219" s="17" t="n">
        <v>46234</v>
      </c>
      <c r="G219" t="inlineStr">
        <is>
          <t>Unconfirmed</t>
        </is>
      </c>
      <c r="H219">
        <f>IFERROR(MAX(1,MIN(104,INT((IF(F219="",E219,F219)-(DATE(Cal_Weeks!$B$1,1,1)-WEEKDAY(DATE(Cal_Weeks!$B$1,1,1),3)))/7)+1)),"")</f>
        <v/>
      </c>
    </row>
    <row r="220">
      <c r="A220" t="inlineStr">
        <is>
          <t>4HL</t>
        </is>
      </c>
      <c r="B220" t="inlineStr"/>
      <c r="C220" s="21" t="n"/>
      <c r="D220" t="n">
        <v>6240</v>
      </c>
      <c r="E220" s="17" t="n">
        <v>46236</v>
      </c>
      <c r="G220" t="inlineStr">
        <is>
          <t>Unconfirmed</t>
        </is>
      </c>
      <c r="H220">
        <f>IFERROR(MAX(1,MIN(104,INT((IF(F220="",E220,F220)-(DATE(Cal_Weeks!$B$1,1,1)-WEEKDAY(DATE(Cal_Weeks!$B$1,1,1),3)))/7)+1)),"")</f>
        <v/>
      </c>
    </row>
    <row r="221">
      <c r="A221" t="inlineStr">
        <is>
          <t>4HL</t>
        </is>
      </c>
      <c r="B221" t="inlineStr"/>
      <c r="C221" s="21" t="n"/>
      <c r="D221" t="n">
        <v>5760</v>
      </c>
      <c r="E221" s="17" t="n">
        <v>46241</v>
      </c>
      <c r="G221" t="inlineStr">
        <is>
          <t>Unconfirmed</t>
        </is>
      </c>
      <c r="H221">
        <f>IFERROR(MAX(1,MIN(104,INT((IF(F221="",E221,F221)-(DATE(Cal_Weeks!$B$1,1,1)-WEEKDAY(DATE(Cal_Weeks!$B$1,1,1),3)))/7)+1)),"")</f>
        <v/>
      </c>
    </row>
    <row r="222">
      <c r="A222" t="inlineStr">
        <is>
          <t>TDJ</t>
        </is>
      </c>
      <c r="B222" t="inlineStr"/>
      <c r="C222" s="21" t="n"/>
      <c r="D222" t="n">
        <v>392</v>
      </c>
      <c r="E222" s="17" t="n">
        <v>46222</v>
      </c>
      <c r="G222" t="inlineStr">
        <is>
          <t>Unconfirmed</t>
        </is>
      </c>
      <c r="H222">
        <f>IFERROR(MAX(1,MIN(104,INT((IF(F222="",E222,F222)-(DATE(Cal_Weeks!$B$1,1,1)-WEEKDAY(DATE(Cal_Weeks!$B$1,1,1),3)))/7)+1)),"")</f>
        <v/>
      </c>
    </row>
    <row r="223">
      <c r="A223" t="inlineStr">
        <is>
          <t>TDJ</t>
        </is>
      </c>
      <c r="B223" t="inlineStr"/>
      <c r="C223" s="21" t="n"/>
      <c r="D223" t="n">
        <v>200</v>
      </c>
      <c r="E223" s="17" t="n">
        <v>46227</v>
      </c>
      <c r="G223" t="inlineStr">
        <is>
          <t>Unconfirmed</t>
        </is>
      </c>
      <c r="H223">
        <f>IFERROR(MAX(1,MIN(104,INT((IF(F223="",E223,F223)-(DATE(Cal_Weeks!$B$1,1,1)-WEEKDAY(DATE(Cal_Weeks!$B$1,1,1),3)))/7)+1)),"")</f>
        <v/>
      </c>
    </row>
    <row r="224">
      <c r="A224" t="inlineStr">
        <is>
          <t>TDJ</t>
        </is>
      </c>
      <c r="B224" t="inlineStr"/>
      <c r="C224" s="21" t="n"/>
      <c r="D224" t="n">
        <v>392</v>
      </c>
      <c r="E224" s="17" t="n">
        <v>46229</v>
      </c>
      <c r="G224" t="inlineStr">
        <is>
          <t>Unconfirmed</t>
        </is>
      </c>
      <c r="H224">
        <f>IFERROR(MAX(1,MIN(104,INT((IF(F224="",E224,F224)-(DATE(Cal_Weeks!$B$1,1,1)-WEEKDAY(DATE(Cal_Weeks!$B$1,1,1),3)))/7)+1)),"")</f>
        <v/>
      </c>
    </row>
    <row r="225">
      <c r="A225" t="inlineStr">
        <is>
          <t>TDJ</t>
        </is>
      </c>
      <c r="B225" t="inlineStr"/>
      <c r="C225" s="21" t="n"/>
      <c r="D225" t="n">
        <v>392</v>
      </c>
      <c r="E225" s="17" t="n">
        <v>46236</v>
      </c>
      <c r="G225" t="inlineStr">
        <is>
          <t>Unconfirmed</t>
        </is>
      </c>
      <c r="H225">
        <f>IFERROR(MAX(1,MIN(104,INT((IF(F225="",E225,F225)-(DATE(Cal_Weeks!$B$1,1,1)-WEEKDAY(DATE(Cal_Weeks!$B$1,1,1),3)))/7)+1)),"")</f>
        <v/>
      </c>
    </row>
    <row r="226">
      <c r="A226" t="inlineStr">
        <is>
          <t>TDJ</t>
        </is>
      </c>
      <c r="B226" t="inlineStr"/>
      <c r="C226" s="21" t="n"/>
      <c r="D226" t="n">
        <v>392</v>
      </c>
      <c r="E226" s="17" t="n">
        <v>46241</v>
      </c>
      <c r="G226" t="inlineStr">
        <is>
          <t>Unconfirmed</t>
        </is>
      </c>
      <c r="H226">
        <f>IFERROR(MAX(1,MIN(104,INT((IF(F226="",E226,F226)-(DATE(Cal_Weeks!$B$1,1,1)-WEEKDAY(DATE(Cal_Weeks!$B$1,1,1),3)))/7)+1)),"")</f>
        <v/>
      </c>
    </row>
    <row r="227">
      <c r="A227" t="inlineStr">
        <is>
          <t>0JN</t>
        </is>
      </c>
      <c r="B227" t="inlineStr">
        <is>
          <t>PO067815</t>
        </is>
      </c>
      <c r="C227" s="21" t="n"/>
      <c r="D227" t="n">
        <v>12672</v>
      </c>
      <c r="E227" s="17" t="n">
        <v>46203</v>
      </c>
      <c r="G227" t="inlineStr">
        <is>
          <t>Unconfirmed</t>
        </is>
      </c>
      <c r="H227">
        <f>IFERROR(MAX(1,MIN(104,INT((IF(F227="",E227,F227)-(DATE(Cal_Weeks!$B$1,1,1)-WEEKDAY(DATE(Cal_Weeks!$B$1,1,1),3)))/7)+1)),"")</f>
        <v/>
      </c>
    </row>
    <row r="228">
      <c r="A228" t="inlineStr">
        <is>
          <t>CHEM-1240</t>
        </is>
      </c>
      <c r="B228" t="inlineStr">
        <is>
          <t>PO067960</t>
        </is>
      </c>
      <c r="C228" s="21" t="n"/>
      <c r="D228" t="n">
        <v>440</v>
      </c>
      <c r="E228" s="17" t="n">
        <v>46206</v>
      </c>
      <c r="G228" t="inlineStr">
        <is>
          <t>Unconfirmed</t>
        </is>
      </c>
      <c r="H228">
        <f>IFERROR(MAX(1,MIN(104,INT((IF(F228="",E228,F228)-(DATE(Cal_Weeks!$B$1,1,1)-WEEKDAY(DATE(Cal_Weeks!$B$1,1,1),3)))/7)+1)),"")</f>
        <v/>
      </c>
    </row>
    <row r="229">
      <c r="A229" t="inlineStr">
        <is>
          <t>CHEM-1250</t>
        </is>
      </c>
      <c r="B229" t="inlineStr">
        <is>
          <t>PO067960</t>
        </is>
      </c>
      <c r="C229" s="21" t="n"/>
      <c r="D229" t="n">
        <v>125</v>
      </c>
      <c r="E229" s="17" t="n">
        <v>46206</v>
      </c>
      <c r="G229" t="inlineStr">
        <is>
          <t>Unconfirmed</t>
        </is>
      </c>
      <c r="H229">
        <f>IFERROR(MAX(1,MIN(104,INT((IF(F229="",E229,F229)-(DATE(Cal_Weeks!$B$1,1,1)-WEEKDAY(DATE(Cal_Weeks!$B$1,1,1),3)))/7)+1)),"")</f>
        <v/>
      </c>
    </row>
    <row r="230">
      <c r="A230" t="inlineStr">
        <is>
          <t>CHEM-1400</t>
        </is>
      </c>
      <c r="B230" t="inlineStr">
        <is>
          <t>PO067960</t>
        </is>
      </c>
      <c r="C230" s="21" t="n"/>
      <c r="D230" t="n">
        <v>250</v>
      </c>
      <c r="E230" s="17" t="n">
        <v>46206</v>
      </c>
      <c r="G230" t="inlineStr">
        <is>
          <t>Unconfirmed</t>
        </is>
      </c>
      <c r="H230">
        <f>IFERROR(MAX(1,MIN(104,INT((IF(F230="",E230,F230)-(DATE(Cal_Weeks!$B$1,1,1)-WEEKDAY(DATE(Cal_Weeks!$B$1,1,1),3)))/7)+1)),"")</f>
        <v/>
      </c>
    </row>
    <row r="231">
      <c r="A231" t="inlineStr">
        <is>
          <t>CHEM-1420</t>
        </is>
      </c>
      <c r="B231" t="inlineStr">
        <is>
          <t>PO067960</t>
        </is>
      </c>
      <c r="C231" s="21" t="n"/>
      <c r="D231" t="n">
        <v>240</v>
      </c>
      <c r="E231" s="17" t="n">
        <v>46206</v>
      </c>
      <c r="G231" t="inlineStr">
        <is>
          <t>Unconfirmed</t>
        </is>
      </c>
      <c r="H231">
        <f>IFERROR(MAX(1,MIN(104,INT((IF(F231="",E231,F231)-(DATE(Cal_Weeks!$B$1,1,1)-WEEKDAY(DATE(Cal_Weeks!$B$1,1,1),3)))/7)+1)),"")</f>
        <v/>
      </c>
    </row>
    <row r="232">
      <c r="A232" t="inlineStr">
        <is>
          <t>CHEM-1440</t>
        </is>
      </c>
      <c r="B232" t="inlineStr">
        <is>
          <t>PO067960</t>
        </is>
      </c>
      <c r="C232" s="21" t="n"/>
      <c r="D232" t="n">
        <v>200</v>
      </c>
      <c r="E232" s="17" t="n">
        <v>46206</v>
      </c>
      <c r="G232" t="inlineStr">
        <is>
          <t>Unconfirmed</t>
        </is>
      </c>
      <c r="H232">
        <f>IFERROR(MAX(1,MIN(104,INT((IF(F232="",E232,F232)-(DATE(Cal_Weeks!$B$1,1,1)-WEEKDAY(DATE(Cal_Weeks!$B$1,1,1),3)))/7)+1)),"")</f>
        <v/>
      </c>
    </row>
    <row r="233">
      <c r="A233" t="inlineStr">
        <is>
          <t>CHEM-1540</t>
        </is>
      </c>
      <c r="B233" t="inlineStr">
        <is>
          <t>PO067960</t>
        </is>
      </c>
      <c r="C233" s="21" t="n"/>
      <c r="D233" t="n">
        <v>2000</v>
      </c>
      <c r="E233" s="17" t="n">
        <v>46206</v>
      </c>
      <c r="G233" t="inlineStr">
        <is>
          <t>Unconfirmed</t>
        </is>
      </c>
      <c r="H233">
        <f>IFERROR(MAX(1,MIN(104,INT((IF(F233="",E233,F233)-(DATE(Cal_Weeks!$B$1,1,1)-WEEKDAY(DATE(Cal_Weeks!$B$1,1,1),3)))/7)+1)),"")</f>
        <v/>
      </c>
    </row>
    <row r="234">
      <c r="A234" t="inlineStr">
        <is>
          <t>CHEM-1530</t>
        </is>
      </c>
      <c r="B234" t="inlineStr">
        <is>
          <t>PO067960</t>
        </is>
      </c>
      <c r="C234" s="21" t="n"/>
      <c r="D234" t="n">
        <v>2100</v>
      </c>
      <c r="E234" s="17" t="n">
        <v>46206</v>
      </c>
      <c r="G234" t="inlineStr">
        <is>
          <t>Unconfirmed</t>
        </is>
      </c>
      <c r="H234">
        <f>IFERROR(MAX(1,MIN(104,INT((IF(F234="",E234,F234)-(DATE(Cal_Weeks!$B$1,1,1)-WEEKDAY(DATE(Cal_Weeks!$B$1,1,1),3)))/7)+1)),"")</f>
        <v/>
      </c>
    </row>
    <row r="235">
      <c r="A235" t="inlineStr">
        <is>
          <t>CHEM-1600</t>
        </is>
      </c>
      <c r="B235" t="inlineStr">
        <is>
          <t>PO067960</t>
        </is>
      </c>
      <c r="C235" s="21" t="n"/>
      <c r="D235" t="n">
        <v>300</v>
      </c>
      <c r="E235" s="17" t="n">
        <v>46206</v>
      </c>
      <c r="G235" t="inlineStr">
        <is>
          <t>Unconfirmed</t>
        </is>
      </c>
      <c r="H235">
        <f>IFERROR(MAX(1,MIN(104,INT((IF(F235="",E235,F235)-(DATE(Cal_Weeks!$B$1,1,1)-WEEKDAY(DATE(Cal_Weeks!$B$1,1,1),3)))/7)+1)),"")</f>
        <v/>
      </c>
    </row>
    <row r="236">
      <c r="A236" t="inlineStr">
        <is>
          <t>CHEM-1570</t>
        </is>
      </c>
      <c r="B236" t="inlineStr">
        <is>
          <t>PO067960</t>
        </is>
      </c>
      <c r="C236" s="21" t="n"/>
      <c r="D236" t="n">
        <v>54</v>
      </c>
      <c r="E236" s="17" t="n">
        <v>46206</v>
      </c>
      <c r="G236" t="inlineStr">
        <is>
          <t>Unconfirmed</t>
        </is>
      </c>
      <c r="H236">
        <f>IFERROR(MAX(1,MIN(104,INT((IF(F236="",E236,F236)-(DATE(Cal_Weeks!$B$1,1,1)-WEEKDAY(DATE(Cal_Weeks!$B$1,1,1),3)))/7)+1)),"")</f>
        <v/>
      </c>
    </row>
    <row r="237">
      <c r="A237" t="inlineStr">
        <is>
          <t>CHEM-1670</t>
        </is>
      </c>
      <c r="B237" t="inlineStr">
        <is>
          <t>PO067960</t>
        </is>
      </c>
      <c r="C237" s="21" t="n"/>
      <c r="D237" t="n">
        <v>180</v>
      </c>
      <c r="E237" s="17" t="n">
        <v>46206</v>
      </c>
      <c r="G237" t="inlineStr">
        <is>
          <t>Unconfirmed</t>
        </is>
      </c>
      <c r="H237">
        <f>IFERROR(MAX(1,MIN(104,INT((IF(F237="",E237,F237)-(DATE(Cal_Weeks!$B$1,1,1)-WEEKDAY(DATE(Cal_Weeks!$B$1,1,1),3)))/7)+1)),"")</f>
        <v/>
      </c>
    </row>
    <row r="238">
      <c r="A238" t="inlineStr">
        <is>
          <t>CHEM-1700</t>
        </is>
      </c>
      <c r="B238" t="inlineStr">
        <is>
          <t>PO067960</t>
        </is>
      </c>
      <c r="C238" s="21" t="n"/>
      <c r="D238" t="n">
        <v>90</v>
      </c>
      <c r="E238" s="17" t="n">
        <v>46206</v>
      </c>
      <c r="G238" t="inlineStr">
        <is>
          <t>Unconfirmed</t>
        </is>
      </c>
      <c r="H238">
        <f>IFERROR(MAX(1,MIN(104,INT((IF(F238="",E238,F238)-(DATE(Cal_Weeks!$B$1,1,1)-WEEKDAY(DATE(Cal_Weeks!$B$1,1,1),3)))/7)+1)),"")</f>
        <v/>
      </c>
    </row>
    <row r="239">
      <c r="A239" t="inlineStr">
        <is>
          <t>CHEM-1720</t>
        </is>
      </c>
      <c r="B239" t="inlineStr">
        <is>
          <t>PO067960</t>
        </is>
      </c>
      <c r="C239" s="21" t="n"/>
      <c r="D239" t="n">
        <v>960</v>
      </c>
      <c r="E239" s="17" t="n">
        <v>46206</v>
      </c>
      <c r="G239" t="inlineStr">
        <is>
          <t>Unconfirmed</t>
        </is>
      </c>
      <c r="H239">
        <f>IFERROR(MAX(1,MIN(104,INT((IF(F239="",E239,F239)-(DATE(Cal_Weeks!$B$1,1,1)-WEEKDAY(DATE(Cal_Weeks!$B$1,1,1),3)))/7)+1)),"")</f>
        <v/>
      </c>
    </row>
    <row r="240">
      <c r="A240" t="inlineStr">
        <is>
          <t>CHEM-1200</t>
        </is>
      </c>
      <c r="B240" t="inlineStr">
        <is>
          <t>PO067960</t>
        </is>
      </c>
      <c r="C240" s="21" t="n"/>
      <c r="D240" t="n">
        <v>25</v>
      </c>
      <c r="E240" s="17" t="n">
        <v>46206</v>
      </c>
      <c r="G240" t="inlineStr">
        <is>
          <t>Unconfirmed</t>
        </is>
      </c>
      <c r="H240">
        <f>IFERROR(MAX(1,MIN(104,INT((IF(F240="",E240,F240)-(DATE(Cal_Weeks!$B$1,1,1)-WEEKDAY(DATE(Cal_Weeks!$B$1,1,1),3)))/7)+1)),"")</f>
        <v/>
      </c>
    </row>
    <row r="241">
      <c r="A241" t="inlineStr">
        <is>
          <t>CHEM-1680</t>
        </is>
      </c>
      <c r="B241" t="inlineStr">
        <is>
          <t>PO067960</t>
        </is>
      </c>
      <c r="C241" s="21" t="n"/>
      <c r="D241" t="n">
        <v>100</v>
      </c>
      <c r="E241" s="17" t="n">
        <v>46206</v>
      </c>
      <c r="G241" t="inlineStr">
        <is>
          <t>Unconfirmed</t>
        </is>
      </c>
      <c r="H241">
        <f>IFERROR(MAX(1,MIN(104,INT((IF(F241="",E241,F241)-(DATE(Cal_Weeks!$B$1,1,1)-WEEKDAY(DATE(Cal_Weeks!$B$1,1,1),3)))/7)+1)),"")</f>
        <v/>
      </c>
    </row>
    <row r="242">
      <c r="A242" t="inlineStr">
        <is>
          <t>CHEM-1840</t>
        </is>
      </c>
      <c r="B242" t="inlineStr">
        <is>
          <t>PO067960</t>
        </is>
      </c>
      <c r="C242" s="21" t="n"/>
      <c r="D242" t="n">
        <v>18</v>
      </c>
      <c r="E242" s="17" t="n">
        <v>46206</v>
      </c>
      <c r="G242" t="inlineStr">
        <is>
          <t>Unconfirmed</t>
        </is>
      </c>
      <c r="H242">
        <f>IFERROR(MAX(1,MIN(104,INT((IF(F242="",E242,F242)-(DATE(Cal_Weeks!$B$1,1,1)-WEEKDAY(DATE(Cal_Weeks!$B$1,1,1),3)))/7)+1)),"")</f>
        <v/>
      </c>
    </row>
    <row r="243">
      <c r="A243" t="inlineStr">
        <is>
          <t>CHEM-1660</t>
        </is>
      </c>
      <c r="B243" t="inlineStr">
        <is>
          <t>PO067957</t>
        </is>
      </c>
      <c r="C243" s="21" t="n"/>
      <c r="D243" t="n">
        <v>150</v>
      </c>
      <c r="E243" s="17" t="n">
        <v>46205</v>
      </c>
      <c r="G243" t="inlineStr">
        <is>
          <t>Unconfirmed</t>
        </is>
      </c>
      <c r="H243">
        <f>IFERROR(MAX(1,MIN(104,INT((IF(F243="",E243,F243)-(DATE(Cal_Weeks!$B$1,1,1)-WEEKDAY(DATE(Cal_Weeks!$B$1,1,1),3)))/7)+1)),"")</f>
        <v/>
      </c>
    </row>
    <row r="244">
      <c r="A244" t="inlineStr">
        <is>
          <t>CHEM-1280</t>
        </is>
      </c>
      <c r="B244" t="inlineStr">
        <is>
          <t>PO067957</t>
        </is>
      </c>
      <c r="C244" s="21" t="n"/>
      <c r="D244" t="n">
        <v>1500</v>
      </c>
      <c r="E244" s="17" t="n">
        <v>46205</v>
      </c>
      <c r="G244" t="inlineStr">
        <is>
          <t>Unconfirmed</t>
        </is>
      </c>
      <c r="H244">
        <f>IFERROR(MAX(1,MIN(104,INT((IF(F244="",E244,F244)-(DATE(Cal_Weeks!$B$1,1,1)-WEEKDAY(DATE(Cal_Weeks!$B$1,1,1),3)))/7)+1)),"")</f>
        <v/>
      </c>
    </row>
    <row r="245">
      <c r="A245" t="inlineStr">
        <is>
          <t>0JN</t>
        </is>
      </c>
      <c r="B245" t="inlineStr">
        <is>
          <t>PO067959</t>
        </is>
      </c>
      <c r="C245" s="21" t="n"/>
      <c r="D245" t="n">
        <v>18612</v>
      </c>
      <c r="E245" s="17" t="n">
        <v>46234</v>
      </c>
      <c r="G245" t="inlineStr">
        <is>
          <t>Unconfirmed</t>
        </is>
      </c>
      <c r="H245">
        <f>IFERROR(MAX(1,MIN(104,INT((IF(F245="",E245,F245)-(DATE(Cal_Weeks!$B$1,1,1)-WEEKDAY(DATE(Cal_Weeks!$B$1,1,1),3)))/7)+1)),"")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5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2" customWidth="1" min="3" max="3"/>
  </cols>
  <sheetData>
    <row r="1">
      <c r="A1" s="20" t="inlineStr">
        <is>
          <t>Part Name</t>
        </is>
      </c>
      <c r="B1" s="20" t="inlineStr">
        <is>
          <t>Opening_Qty_要入力</t>
        </is>
      </c>
      <c r="C1" s="20" t="inlineStr">
        <is>
          <t>AsOf</t>
        </is>
      </c>
    </row>
    <row r="2">
      <c r="A2" t="inlineStr">
        <is>
          <t>CHEM-1250</t>
        </is>
      </c>
      <c r="B2" s="21" t="n">
        <v>0</v>
      </c>
      <c r="C2" s="22" t="n">
        <v>46020</v>
      </c>
    </row>
    <row r="3">
      <c r="A3" t="inlineStr">
        <is>
          <t>CHEM-1670</t>
        </is>
      </c>
      <c r="B3" s="21" t="n">
        <v>0</v>
      </c>
      <c r="C3" s="22" t="n">
        <v>46020</v>
      </c>
    </row>
    <row r="4">
      <c r="A4" t="inlineStr">
        <is>
          <t>CHEM-1700</t>
        </is>
      </c>
      <c r="B4" s="21" t="n">
        <v>0</v>
      </c>
      <c r="C4" s="22" t="n">
        <v>46020</v>
      </c>
    </row>
    <row r="5">
      <c r="A5" t="inlineStr">
        <is>
          <t>CHEM-1420</t>
        </is>
      </c>
      <c r="B5" s="21" t="n">
        <v>0</v>
      </c>
      <c r="C5" s="22" t="n">
        <v>46020</v>
      </c>
    </row>
    <row r="6">
      <c r="A6" t="inlineStr">
        <is>
          <t>CHEM-1530</t>
        </is>
      </c>
      <c r="B6" s="21" t="n">
        <v>0</v>
      </c>
      <c r="C6" s="22" t="n">
        <v>46020</v>
      </c>
    </row>
    <row r="7">
      <c r="A7" t="inlineStr">
        <is>
          <t>CHEM-1540</t>
        </is>
      </c>
      <c r="B7" s="21" t="n">
        <v>0</v>
      </c>
      <c r="C7" s="22" t="n">
        <v>46020</v>
      </c>
    </row>
    <row r="8">
      <c r="A8" t="inlineStr">
        <is>
          <t>CHEM-1690</t>
        </is>
      </c>
      <c r="B8" s="21" t="n">
        <v>0</v>
      </c>
      <c r="C8" s="22" t="n">
        <v>46020</v>
      </c>
    </row>
    <row r="9">
      <c r="A9" t="inlineStr">
        <is>
          <t>CHEM-1720</t>
        </is>
      </c>
      <c r="B9" s="21" t="n">
        <v>0</v>
      </c>
      <c r="C9" s="22" t="n">
        <v>46020</v>
      </c>
    </row>
    <row r="10">
      <c r="A10" t="inlineStr">
        <is>
          <t>CHEM-1440</t>
        </is>
      </c>
      <c r="B10" s="21" t="n">
        <v>0</v>
      </c>
      <c r="C10" s="22" t="n">
        <v>46020</v>
      </c>
    </row>
    <row r="11">
      <c r="A11" t="inlineStr">
        <is>
          <t>4HL</t>
        </is>
      </c>
      <c r="B11" s="21" t="n">
        <v>0</v>
      </c>
      <c r="C11" s="22" t="n">
        <v>46020</v>
      </c>
    </row>
    <row r="12">
      <c r="A12" t="inlineStr">
        <is>
          <t>1EK</t>
        </is>
      </c>
      <c r="B12" s="21" t="n">
        <v>0</v>
      </c>
      <c r="C12" s="22" t="n">
        <v>46020</v>
      </c>
    </row>
    <row r="13">
      <c r="A13" t="inlineStr">
        <is>
          <t>7CL</t>
        </is>
      </c>
      <c r="B13" s="21" t="n">
        <v>0</v>
      </c>
      <c r="C13" s="22" t="n">
        <v>46020</v>
      </c>
    </row>
    <row r="14">
      <c r="A14" t="inlineStr">
        <is>
          <t>9RN</t>
        </is>
      </c>
      <c r="B14" s="21" t="n">
        <v>0</v>
      </c>
      <c r="C14" s="22" t="n">
        <v>46020</v>
      </c>
    </row>
    <row r="15">
      <c r="A15" t="inlineStr">
        <is>
          <t>CHEM-1400</t>
        </is>
      </c>
      <c r="B15" s="21" t="n">
        <v>0</v>
      </c>
      <c r="C15" s="22" t="n">
        <v>46020</v>
      </c>
    </row>
    <row r="16">
      <c r="A16" t="inlineStr">
        <is>
          <t>CHEM-1570</t>
        </is>
      </c>
      <c r="B16" s="21" t="n">
        <v>0</v>
      </c>
      <c r="C16" s="22" t="n">
        <v>46020</v>
      </c>
    </row>
    <row r="17">
      <c r="A17" t="inlineStr">
        <is>
          <t>CHEM-1650</t>
        </is>
      </c>
      <c r="B17" s="21" t="n">
        <v>0</v>
      </c>
      <c r="C17" s="22" t="n">
        <v>46020</v>
      </c>
    </row>
    <row r="18">
      <c r="A18" t="inlineStr">
        <is>
          <t>CHEM-1660</t>
        </is>
      </c>
      <c r="B18" s="21" t="n">
        <v>0</v>
      </c>
      <c r="C18" s="22" t="n">
        <v>46020</v>
      </c>
    </row>
    <row r="19">
      <c r="A19" t="inlineStr">
        <is>
          <t>CHEM-1600</t>
        </is>
      </c>
      <c r="B19" s="21" t="n">
        <v>0</v>
      </c>
      <c r="C19" s="22" t="n">
        <v>46020</v>
      </c>
    </row>
    <row r="20">
      <c r="A20" t="inlineStr">
        <is>
          <t>CHEM-1280</t>
        </is>
      </c>
      <c r="B20" s="21" t="n">
        <v>0</v>
      </c>
      <c r="C20" s="22" t="n">
        <v>46020</v>
      </c>
    </row>
    <row r="21">
      <c r="A21" t="inlineStr">
        <is>
          <t>CHEM-1240</t>
        </is>
      </c>
      <c r="B21" s="21" t="n">
        <v>0</v>
      </c>
      <c r="C21" s="22" t="n">
        <v>46020</v>
      </c>
    </row>
    <row r="22">
      <c r="A22" t="inlineStr">
        <is>
          <t>0JN</t>
        </is>
      </c>
      <c r="B22" s="21" t="n">
        <v>0</v>
      </c>
      <c r="C22" s="22" t="n">
        <v>46020</v>
      </c>
    </row>
    <row r="23">
      <c r="A23" t="inlineStr">
        <is>
          <t>CHEM-1760</t>
        </is>
      </c>
      <c r="B23" s="21" t="n">
        <v>0</v>
      </c>
      <c r="C23" s="22" t="n">
        <v>46020</v>
      </c>
    </row>
    <row r="24">
      <c r="A24" t="inlineStr">
        <is>
          <t>Original Towel</t>
        </is>
      </c>
      <c r="B24" s="21" t="n">
        <v>0</v>
      </c>
      <c r="C24" s="22" t="n">
        <v>46020</v>
      </c>
    </row>
    <row r="25">
      <c r="A25" t="inlineStr">
        <is>
          <t>CHEM-1200</t>
        </is>
      </c>
      <c r="B25" s="21" t="n">
        <v>0</v>
      </c>
      <c r="C25" s="22" t="n">
        <v>46020</v>
      </c>
    </row>
    <row r="26">
      <c r="A26" t="inlineStr">
        <is>
          <t>CHEM-1830</t>
        </is>
      </c>
      <c r="B26" s="21" t="n">
        <v>0</v>
      </c>
      <c r="C26" s="22" t="n">
        <v>46020</v>
      </c>
    </row>
    <row r="27">
      <c r="A27" t="inlineStr">
        <is>
          <t>CHEM-1680</t>
        </is>
      </c>
      <c r="B27" s="21" t="n">
        <v>0</v>
      </c>
      <c r="C27" s="22" t="n">
        <v>46020</v>
      </c>
    </row>
    <row r="28">
      <c r="A28" t="inlineStr">
        <is>
          <t>CHEM-1820</t>
        </is>
      </c>
      <c r="B28" s="21" t="n">
        <v>0</v>
      </c>
      <c r="C28" s="22" t="n">
        <v>46020</v>
      </c>
    </row>
    <row r="29">
      <c r="A29" t="inlineStr">
        <is>
          <t>CHEM-1840</t>
        </is>
      </c>
      <c r="B29" s="21" t="n">
        <v>0</v>
      </c>
      <c r="C29" s="22" t="n">
        <v>46020</v>
      </c>
    </row>
    <row r="30">
      <c r="A30" t="inlineStr">
        <is>
          <t>TDJ</t>
        </is>
      </c>
      <c r="B30" s="21" t="n">
        <v>0</v>
      </c>
      <c r="C30" s="22" t="n">
        <v>46020</v>
      </c>
    </row>
    <row r="31">
      <c r="A31" t="inlineStr">
        <is>
          <t>CHEM-1730</t>
        </is>
      </c>
      <c r="B31" s="21" t="n">
        <v>0</v>
      </c>
      <c r="C31" s="22" t="n">
        <v>46020</v>
      </c>
    </row>
    <row r="32">
      <c r="A32" t="inlineStr">
        <is>
          <t>CHEM-1430</t>
        </is>
      </c>
      <c r="B32" s="21" t="n">
        <v>0</v>
      </c>
      <c r="C32" s="22" t="n">
        <v>46020</v>
      </c>
    </row>
    <row r="33">
      <c r="A33" t="inlineStr">
        <is>
          <t>CHEM-1480</t>
        </is>
      </c>
      <c r="B33" s="21" t="n">
        <v>0</v>
      </c>
      <c r="C33" s="22" t="n">
        <v>46020</v>
      </c>
    </row>
    <row r="34">
      <c r="A34" t="inlineStr">
        <is>
          <t>CHEM-1560</t>
        </is>
      </c>
      <c r="B34" s="21" t="n">
        <v>0</v>
      </c>
      <c r="C34" s="22" t="n">
        <v>46020</v>
      </c>
    </row>
    <row r="35">
      <c r="A35" t="inlineStr">
        <is>
          <t>CHEM-1510</t>
        </is>
      </c>
      <c r="B35" s="21" t="n">
        <v>0</v>
      </c>
      <c r="C35" s="22" t="n">
        <v>46020</v>
      </c>
    </row>
    <row r="36">
      <c r="A36" t="inlineStr">
        <is>
          <t>CHEM-1770</t>
        </is>
      </c>
      <c r="B36" s="21" t="n">
        <v>0</v>
      </c>
      <c r="C36" s="22" t="n">
        <v>46020</v>
      </c>
    </row>
    <row r="37">
      <c r="A37" t="inlineStr">
        <is>
          <t>CHEM-1020</t>
        </is>
      </c>
      <c r="B37" s="21" t="n">
        <v>0</v>
      </c>
      <c r="C37" s="22" t="n">
        <v>46020</v>
      </c>
    </row>
    <row r="38">
      <c r="A38" t="inlineStr">
        <is>
          <t>Ester Film</t>
        </is>
      </c>
      <c r="B38" s="21" t="n">
        <v>0</v>
      </c>
      <c r="C38" s="22" t="n">
        <v>46020</v>
      </c>
    </row>
    <row r="39">
      <c r="A39" t="inlineStr">
        <is>
          <t>PP Film</t>
        </is>
      </c>
      <c r="B39" s="21" t="n">
        <v>0</v>
      </c>
      <c r="C39" s="22" t="n">
        <v>46020</v>
      </c>
    </row>
    <row r="40">
      <c r="A40" t="inlineStr">
        <is>
          <t>5SN</t>
        </is>
      </c>
      <c r="B40" s="21" t="n">
        <v>0</v>
      </c>
      <c r="C40" s="22" t="n">
        <v>46020</v>
      </c>
    </row>
    <row r="41">
      <c r="A41" t="inlineStr">
        <is>
          <t>1JN</t>
        </is>
      </c>
      <c r="B41" s="21" t="n">
        <v>0</v>
      </c>
      <c r="C41" s="22" t="n">
        <v>46020</v>
      </c>
    </row>
    <row r="42">
      <c r="A42" t="inlineStr">
        <is>
          <t>V03</t>
        </is>
      </c>
      <c r="B42" s="21" t="n">
        <v>0</v>
      </c>
      <c r="C42" s="22" t="n">
        <v>46020</v>
      </c>
    </row>
    <row r="43">
      <c r="A43" t="inlineStr">
        <is>
          <t>V19</t>
        </is>
      </c>
      <c r="B43" s="21" t="n">
        <v>0</v>
      </c>
      <c r="C43" s="22" t="n">
        <v>46020</v>
      </c>
    </row>
    <row r="44">
      <c r="A44" t="inlineStr">
        <is>
          <t>3TP</t>
        </is>
      </c>
      <c r="B44" s="21" t="n">
        <v>0</v>
      </c>
      <c r="C44" s="22" t="n">
        <v>46020</v>
      </c>
    </row>
    <row r="45">
      <c r="A45" t="inlineStr">
        <is>
          <t>A043</t>
        </is>
      </c>
      <c r="B45" s="21" t="n">
        <v>0</v>
      </c>
      <c r="C45" s="22" t="n">
        <v>46020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30" customWidth="1" min="5" max="5"/>
  </cols>
  <sheetData>
    <row r="1">
      <c r="A1" s="20" t="inlineStr">
        <is>
          <t>Part Name</t>
        </is>
      </c>
      <c r="B1" s="20" t="inlineStr">
        <is>
          <t>Date_棚卸実施日</t>
        </is>
      </c>
      <c r="C1" s="20" t="inlineStr">
        <is>
          <t>WeekIndex</t>
        </is>
      </c>
      <c r="D1" s="20" t="inlineStr">
        <is>
          <t>CountedQty</t>
        </is>
      </c>
      <c r="E1" s="20" t="inlineStr">
        <is>
          <t>Notes</t>
        </is>
      </c>
    </row>
    <row r="2">
      <c r="A2" t="inlineStr">
        <is>
          <t>(例) CHEM-1010</t>
        </is>
      </c>
      <c r="B2" s="17" t="n">
        <v>46020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  <c r="E2" t="inlineStr">
        <is>
          <t>棚卸実施時にこの行へ追記(Dateを入力するとWeekIndexは自動計算されます)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IF(COUNTIFS(T_SelfStock_Log[Part Name],$A6,T_SelfStock_Log[WeekIndex],1)=0,"",SUMIFS(T_SelfStock_Log[Self_Qty],T_SelfStock_Log[Part Name],$A6,T_SelfStock_Log[WeekIndex],1))</f>
        <v/>
      </c>
      <c r="C6" s="12">
        <f>IF(COUNTIFS(T_SelfStock_Log[Part Name],$A6,T_SelfStock_Log[WeekIndex],2)=0,"",SUMIFS(T_SelfStock_Log[Self_Qty],T_SelfStock_Log[Part Name],$A6,T_SelfStock_Log[WeekIndex],2))</f>
        <v/>
      </c>
      <c r="D6" s="12">
        <f>IF(COUNTIFS(T_SelfStock_Log[Part Name],$A6,T_SelfStock_Log[WeekIndex],3)=0,"",SUMIFS(T_SelfStock_Log[Self_Qty],T_SelfStock_Log[Part Name],$A6,T_SelfStock_Log[WeekIndex],3))</f>
        <v/>
      </c>
      <c r="E6" s="12">
        <f>IF(COUNTIFS(T_SelfStock_Log[Part Name],$A6,T_SelfStock_Log[WeekIndex],4)=0,"",SUMIFS(T_SelfStock_Log[Self_Qty],T_SelfStock_Log[Part Name],$A6,T_SelfStock_Log[WeekIndex],4))</f>
        <v/>
      </c>
      <c r="F6" s="12">
        <f>IF(COUNTIFS(T_SelfStock_Log[Part Name],$A6,T_SelfStock_Log[WeekIndex],5)=0,"",SUMIFS(T_SelfStock_Log[Self_Qty],T_SelfStock_Log[Part Name],$A6,T_SelfStock_Log[WeekIndex],5))</f>
        <v/>
      </c>
      <c r="G6" s="12">
        <f>IF(COUNTIFS(T_SelfStock_Log[Part Name],$A6,T_SelfStock_Log[WeekIndex],6)=0,"",SUMIFS(T_SelfStock_Log[Self_Qty],T_SelfStock_Log[Part Name],$A6,T_SelfStock_Log[WeekIndex],6))</f>
        <v/>
      </c>
      <c r="H6" s="12">
        <f>IF(COUNTIFS(T_SelfStock_Log[Part Name],$A6,T_SelfStock_Log[WeekIndex],7)=0,"",SUMIFS(T_SelfStock_Log[Self_Qty],T_SelfStock_Log[Part Name],$A6,T_SelfStock_Log[WeekIndex],7))</f>
        <v/>
      </c>
      <c r="I6" s="12">
        <f>IF(COUNTIFS(T_SelfStock_Log[Part Name],$A6,T_SelfStock_Log[WeekIndex],8)=0,"",SUMIFS(T_SelfStock_Log[Self_Qty],T_SelfStock_Log[Part Name],$A6,T_SelfStock_Log[WeekIndex],8))</f>
        <v/>
      </c>
      <c r="J6" s="12">
        <f>IF(COUNTIFS(T_SelfStock_Log[Part Name],$A6,T_SelfStock_Log[WeekIndex],9)=0,"",SUMIFS(T_SelfStock_Log[Self_Qty],T_SelfStock_Log[Part Name],$A6,T_SelfStock_Log[WeekIndex],9))</f>
        <v/>
      </c>
      <c r="K6" s="12">
        <f>IF(COUNTIFS(T_SelfStock_Log[Part Name],$A6,T_SelfStock_Log[WeekIndex],10)=0,"",SUMIFS(T_SelfStock_Log[Self_Qty],T_SelfStock_Log[Part Name],$A6,T_SelfStock_Log[WeekIndex],10))</f>
        <v/>
      </c>
      <c r="L6" s="12">
        <f>IF(COUNTIFS(T_SelfStock_Log[Part Name],$A6,T_SelfStock_Log[WeekIndex],11)=0,"",SUMIFS(T_SelfStock_Log[Self_Qty],T_SelfStock_Log[Part Name],$A6,T_SelfStock_Log[WeekIndex],11))</f>
        <v/>
      </c>
      <c r="M6" s="12">
        <f>IF(COUNTIFS(T_SelfStock_Log[Part Name],$A6,T_SelfStock_Log[WeekIndex],12)=0,"",SUMIFS(T_SelfStock_Log[Self_Qty],T_SelfStock_Log[Part Name],$A6,T_SelfStock_Log[WeekIndex],12))</f>
        <v/>
      </c>
      <c r="N6" s="12">
        <f>IF(COUNTIFS(T_SelfStock_Log[Part Name],$A6,T_SelfStock_Log[WeekIndex],13)=0,"",SUMIFS(T_SelfStock_Log[Self_Qty],T_SelfStock_Log[Part Name],$A6,T_SelfStock_Log[WeekIndex],13))</f>
        <v/>
      </c>
      <c r="O6" s="12">
        <f>IF(COUNTIFS(T_SelfStock_Log[Part Name],$A6,T_SelfStock_Log[WeekIndex],14)=0,"",SUMIFS(T_SelfStock_Log[Self_Qty],T_SelfStock_Log[Part Name],$A6,T_SelfStock_Log[WeekIndex],14))</f>
        <v/>
      </c>
      <c r="P6" s="12">
        <f>IF(COUNTIFS(T_SelfStock_Log[Part Name],$A6,T_SelfStock_Log[WeekIndex],15)=0,"",SUMIFS(T_SelfStock_Log[Self_Qty],T_SelfStock_Log[Part Name],$A6,T_SelfStock_Log[WeekIndex],15))</f>
        <v/>
      </c>
      <c r="Q6" s="12">
        <f>IF(COUNTIFS(T_SelfStock_Log[Part Name],$A6,T_SelfStock_Log[WeekIndex],16)=0,"",SUMIFS(T_SelfStock_Log[Self_Qty],T_SelfStock_Log[Part Name],$A6,T_SelfStock_Log[WeekIndex],16))</f>
        <v/>
      </c>
      <c r="R6" s="12">
        <f>IF(COUNTIFS(T_SelfStock_Log[Part Name],$A6,T_SelfStock_Log[WeekIndex],17)=0,"",SUMIFS(T_SelfStock_Log[Self_Qty],T_SelfStock_Log[Part Name],$A6,T_SelfStock_Log[WeekIndex],17))</f>
        <v/>
      </c>
      <c r="S6" s="12">
        <f>IF(COUNTIFS(T_SelfStock_Log[Part Name],$A6,T_SelfStock_Log[WeekIndex],18)=0,"",SUMIFS(T_SelfStock_Log[Self_Qty],T_SelfStock_Log[Part Name],$A6,T_SelfStock_Log[WeekIndex],18))</f>
        <v/>
      </c>
      <c r="T6" s="12">
        <f>IF(COUNTIFS(T_SelfStock_Log[Part Name],$A6,T_SelfStock_Log[WeekIndex],19)=0,"",SUMIFS(T_SelfStock_Log[Self_Qty],T_SelfStock_Log[Part Name],$A6,T_SelfStock_Log[WeekIndex],19))</f>
        <v/>
      </c>
      <c r="U6" s="12">
        <f>IF(COUNTIFS(T_SelfStock_Log[Part Name],$A6,T_SelfStock_Log[WeekIndex],20)=0,"",SUMIFS(T_SelfStock_Log[Self_Qty],T_SelfStock_Log[Part Name],$A6,T_SelfStock_Log[WeekIndex],20))</f>
        <v/>
      </c>
      <c r="V6" s="12">
        <f>IF(COUNTIFS(T_SelfStock_Log[Part Name],$A6,T_SelfStock_Log[WeekIndex],21)=0,"",SUMIFS(T_SelfStock_Log[Self_Qty],T_SelfStock_Log[Part Name],$A6,T_SelfStock_Log[WeekIndex],21))</f>
        <v/>
      </c>
      <c r="W6" s="12">
        <f>IF(COUNTIFS(T_SelfStock_Log[Part Name],$A6,T_SelfStock_Log[WeekIndex],22)=0,"",SUMIFS(T_SelfStock_Log[Self_Qty],T_SelfStock_Log[Part Name],$A6,T_SelfStock_Log[WeekIndex],22))</f>
        <v/>
      </c>
      <c r="X6" s="12">
        <f>IF(COUNTIFS(T_SelfStock_Log[Part Name],$A6,T_SelfStock_Log[WeekIndex],23)=0,"",SUMIFS(T_SelfStock_Log[Self_Qty],T_SelfStock_Log[Part Name],$A6,T_SelfStock_Log[WeekIndex],23))</f>
        <v/>
      </c>
      <c r="Y6" s="12">
        <f>IF(COUNTIFS(T_SelfStock_Log[Part Name],$A6,T_SelfStock_Log[WeekIndex],24)=0,"",SUMIFS(T_SelfStock_Log[Self_Qty],T_SelfStock_Log[Part Name],$A6,T_SelfStock_Log[WeekIndex],24))</f>
        <v/>
      </c>
      <c r="Z6" s="12">
        <f>IF(COUNTIFS(T_SelfStock_Log[Part Name],$A6,T_SelfStock_Log[WeekIndex],25)=0,"",SUMIFS(T_SelfStock_Log[Self_Qty],T_SelfStock_Log[Part Name],$A6,T_SelfStock_Log[WeekIndex],25))</f>
        <v/>
      </c>
      <c r="AA6" s="12">
        <f>IF(COUNTIFS(T_SelfStock_Log[Part Name],$A6,T_SelfStock_Log[WeekIndex],26)=0,"",SUMIFS(T_SelfStock_Log[Self_Qty],T_SelfStock_Log[Part Name],$A6,T_SelfStock_Log[WeekIndex],26))</f>
        <v/>
      </c>
      <c r="AB6" s="12">
        <f>IF(COUNTIFS(T_SelfStock_Log[Part Name],$A6,T_SelfStock_Log[WeekIndex],27)=0,"",SUMIFS(T_SelfStock_Log[Self_Qty],T_SelfStock_Log[Part Name],$A6,T_SelfStock_Log[WeekIndex],27))</f>
        <v/>
      </c>
      <c r="AC6" s="12">
        <f>IF(COUNTIFS(T_SelfStock_Log[Part Name],$A6,T_SelfStock_Log[WeekIndex],28)=0,"",SUMIFS(T_SelfStock_Log[Self_Qty],T_SelfStock_Log[Part Name],$A6,T_SelfStock_Log[WeekIndex],28))</f>
        <v/>
      </c>
      <c r="AD6" s="12">
        <f>IF(COUNTIFS(T_SelfStock_Log[Part Name],$A6,T_SelfStock_Log[WeekIndex],29)=0,"",SUMIFS(T_SelfStock_Log[Self_Qty],T_SelfStock_Log[Part Name],$A6,T_SelfStock_Log[WeekIndex],29))</f>
        <v/>
      </c>
      <c r="AE6" s="12">
        <f>IF(COUNTIFS(T_SelfStock_Log[Part Name],$A6,T_SelfStock_Log[WeekIndex],30)=0,"",SUMIFS(T_SelfStock_Log[Self_Qty],T_SelfStock_Log[Part Name],$A6,T_SelfStock_Log[WeekIndex],30))</f>
        <v/>
      </c>
      <c r="AF6" s="12">
        <f>IF(COUNTIFS(T_SelfStock_Log[Part Name],$A6,T_SelfStock_Log[WeekIndex],31)=0,"",SUMIFS(T_SelfStock_Log[Self_Qty],T_SelfStock_Log[Part Name],$A6,T_SelfStock_Log[WeekIndex],31))</f>
        <v/>
      </c>
      <c r="AG6" s="12">
        <f>IF(COUNTIFS(T_SelfStock_Log[Part Name],$A6,T_SelfStock_Log[WeekIndex],32)=0,"",SUMIFS(T_SelfStock_Log[Self_Qty],T_SelfStock_Log[Part Name],$A6,T_SelfStock_Log[WeekIndex],32))</f>
        <v/>
      </c>
      <c r="AH6" s="12">
        <f>IF(COUNTIFS(T_SelfStock_Log[Part Name],$A6,T_SelfStock_Log[WeekIndex],33)=0,"",SUMIFS(T_SelfStock_Log[Self_Qty],T_SelfStock_Log[Part Name],$A6,T_SelfStock_Log[WeekIndex],33))</f>
        <v/>
      </c>
      <c r="AI6" s="12">
        <f>IF(COUNTIFS(T_SelfStock_Log[Part Name],$A6,T_SelfStock_Log[WeekIndex],34)=0,"",SUMIFS(T_SelfStock_Log[Self_Qty],T_SelfStock_Log[Part Name],$A6,T_SelfStock_Log[WeekIndex],34))</f>
        <v/>
      </c>
      <c r="AJ6" s="12">
        <f>IF(COUNTIFS(T_SelfStock_Log[Part Name],$A6,T_SelfStock_Log[WeekIndex],35)=0,"",SUMIFS(T_SelfStock_Log[Self_Qty],T_SelfStock_Log[Part Name],$A6,T_SelfStock_Log[WeekIndex],35))</f>
        <v/>
      </c>
      <c r="AK6" s="12">
        <f>IF(COUNTIFS(T_SelfStock_Log[Part Name],$A6,T_SelfStock_Log[WeekIndex],36)=0,"",SUMIFS(T_SelfStock_Log[Self_Qty],T_SelfStock_Log[Part Name],$A6,T_SelfStock_Log[WeekIndex],36))</f>
        <v/>
      </c>
      <c r="AL6" s="12">
        <f>IF(COUNTIFS(T_SelfStock_Log[Part Name],$A6,T_SelfStock_Log[WeekIndex],37)=0,"",SUMIFS(T_SelfStock_Log[Self_Qty],T_SelfStock_Log[Part Name],$A6,T_SelfStock_Log[WeekIndex],37))</f>
        <v/>
      </c>
      <c r="AM6" s="12">
        <f>IF(COUNTIFS(T_SelfStock_Log[Part Name],$A6,T_SelfStock_Log[WeekIndex],38)=0,"",SUMIFS(T_SelfStock_Log[Self_Qty],T_SelfStock_Log[Part Name],$A6,T_SelfStock_Log[WeekIndex],38))</f>
        <v/>
      </c>
      <c r="AN6" s="12">
        <f>IF(COUNTIFS(T_SelfStock_Log[Part Name],$A6,T_SelfStock_Log[WeekIndex],39)=0,"",SUMIFS(T_SelfStock_Log[Self_Qty],T_SelfStock_Log[Part Name],$A6,T_SelfStock_Log[WeekIndex],39))</f>
        <v/>
      </c>
      <c r="AO6" s="12">
        <f>IF(COUNTIFS(T_SelfStock_Log[Part Name],$A6,T_SelfStock_Log[WeekIndex],40)=0,"",SUMIFS(T_SelfStock_Log[Self_Qty],T_SelfStock_Log[Part Name],$A6,T_SelfStock_Log[WeekIndex],40))</f>
        <v/>
      </c>
      <c r="AP6" s="12">
        <f>IF(COUNTIFS(T_SelfStock_Log[Part Name],$A6,T_SelfStock_Log[WeekIndex],41)=0,"",SUMIFS(T_SelfStock_Log[Self_Qty],T_SelfStock_Log[Part Name],$A6,T_SelfStock_Log[WeekIndex],41))</f>
        <v/>
      </c>
      <c r="AQ6" s="12">
        <f>IF(COUNTIFS(T_SelfStock_Log[Part Name],$A6,T_SelfStock_Log[WeekIndex],42)=0,"",SUMIFS(T_SelfStock_Log[Self_Qty],T_SelfStock_Log[Part Name],$A6,T_SelfStock_Log[WeekIndex],42))</f>
        <v/>
      </c>
      <c r="AR6" s="12">
        <f>IF(COUNTIFS(T_SelfStock_Log[Part Name],$A6,T_SelfStock_Log[WeekIndex],43)=0,"",SUMIFS(T_SelfStock_Log[Self_Qty],T_SelfStock_Log[Part Name],$A6,T_SelfStock_Log[WeekIndex],43))</f>
        <v/>
      </c>
      <c r="AS6" s="12">
        <f>IF(COUNTIFS(T_SelfStock_Log[Part Name],$A6,T_SelfStock_Log[WeekIndex],44)=0,"",SUMIFS(T_SelfStock_Log[Self_Qty],T_SelfStock_Log[Part Name],$A6,T_SelfStock_Log[WeekIndex],44))</f>
        <v/>
      </c>
      <c r="AT6" s="12">
        <f>IF(COUNTIFS(T_SelfStock_Log[Part Name],$A6,T_SelfStock_Log[WeekIndex],45)=0,"",SUMIFS(T_SelfStock_Log[Self_Qty],T_SelfStock_Log[Part Name],$A6,T_SelfStock_Log[WeekIndex],45))</f>
        <v/>
      </c>
      <c r="AU6" s="12">
        <f>IF(COUNTIFS(T_SelfStock_Log[Part Name],$A6,T_SelfStock_Log[WeekIndex],46)=0,"",SUMIFS(T_SelfStock_Log[Self_Qty],T_SelfStock_Log[Part Name],$A6,T_SelfStock_Log[WeekIndex],46))</f>
        <v/>
      </c>
      <c r="AV6" s="12">
        <f>IF(COUNTIFS(T_SelfStock_Log[Part Name],$A6,T_SelfStock_Log[WeekIndex],47)=0,"",SUMIFS(T_SelfStock_Log[Self_Qty],T_SelfStock_Log[Part Name],$A6,T_SelfStock_Log[WeekIndex],47))</f>
        <v/>
      </c>
      <c r="AW6" s="12">
        <f>IF(COUNTIFS(T_SelfStock_Log[Part Name],$A6,T_SelfStock_Log[WeekIndex],48)=0,"",SUMIFS(T_SelfStock_Log[Self_Qty],T_SelfStock_Log[Part Name],$A6,T_SelfStock_Log[WeekIndex],48))</f>
        <v/>
      </c>
      <c r="AX6" s="12">
        <f>IF(COUNTIFS(T_SelfStock_Log[Part Name],$A6,T_SelfStock_Log[WeekIndex],49)=0,"",SUMIFS(T_SelfStock_Log[Self_Qty],T_SelfStock_Log[Part Name],$A6,T_SelfStock_Log[WeekIndex],49))</f>
        <v/>
      </c>
      <c r="AY6" s="12">
        <f>IF(COUNTIFS(T_SelfStock_Log[Part Name],$A6,T_SelfStock_Log[WeekIndex],50)=0,"",SUMIFS(T_SelfStock_Log[Self_Qty],T_SelfStock_Log[Part Name],$A6,T_SelfStock_Log[WeekIndex],50))</f>
        <v/>
      </c>
      <c r="AZ6" s="12">
        <f>IF(COUNTIFS(T_SelfStock_Log[Part Name],$A6,T_SelfStock_Log[WeekIndex],51)=0,"",SUMIFS(T_SelfStock_Log[Self_Qty],T_SelfStock_Log[Part Name],$A6,T_SelfStock_Log[WeekIndex],51))</f>
        <v/>
      </c>
      <c r="BA6" s="12">
        <f>IF(COUNTIFS(T_SelfStock_Log[Part Name],$A6,T_SelfStock_Log[WeekIndex],52)=0,"",SUMIFS(T_SelfStock_Log[Self_Qty],T_SelfStock_Log[Part Name],$A6,T_SelfStock_Log[WeekIndex],52))</f>
        <v/>
      </c>
      <c r="BB6" s="12">
        <f>IF(COUNTIFS(T_SelfStock_Log[Part Name],$A6,T_SelfStock_Log[WeekIndex],53)=0,"",SUMIFS(T_SelfStock_Log[Self_Qty],T_SelfStock_Log[Part Name],$A6,T_SelfStock_Log[WeekIndex],53))</f>
        <v/>
      </c>
      <c r="BC6" s="12">
        <f>IF(COUNTIFS(T_SelfStock_Log[Part Name],$A6,T_SelfStock_Log[WeekIndex],54)=0,"",SUMIFS(T_SelfStock_Log[Self_Qty],T_SelfStock_Log[Part Name],$A6,T_SelfStock_Log[WeekIndex],54))</f>
        <v/>
      </c>
      <c r="BD6" s="12">
        <f>IF(COUNTIFS(T_SelfStock_Log[Part Name],$A6,T_SelfStock_Log[WeekIndex],55)=0,"",SUMIFS(T_SelfStock_Log[Self_Qty],T_SelfStock_Log[Part Name],$A6,T_SelfStock_Log[WeekIndex],55))</f>
        <v/>
      </c>
      <c r="BE6" s="12">
        <f>IF(COUNTIFS(T_SelfStock_Log[Part Name],$A6,T_SelfStock_Log[WeekIndex],56)=0,"",SUMIFS(T_SelfStock_Log[Self_Qty],T_SelfStock_Log[Part Name],$A6,T_SelfStock_Log[WeekIndex],56))</f>
        <v/>
      </c>
      <c r="BF6" s="12">
        <f>IF(COUNTIFS(T_SelfStock_Log[Part Name],$A6,T_SelfStock_Log[WeekIndex],57)=0,"",SUMIFS(T_SelfStock_Log[Self_Qty],T_SelfStock_Log[Part Name],$A6,T_SelfStock_Log[WeekIndex],57))</f>
        <v/>
      </c>
      <c r="BG6" s="12">
        <f>IF(COUNTIFS(T_SelfStock_Log[Part Name],$A6,T_SelfStock_Log[WeekIndex],58)=0,"",SUMIFS(T_SelfStock_Log[Self_Qty],T_SelfStock_Log[Part Name],$A6,T_SelfStock_Log[WeekIndex],58))</f>
        <v/>
      </c>
      <c r="BH6" s="12">
        <f>IF(COUNTIFS(T_SelfStock_Log[Part Name],$A6,T_SelfStock_Log[WeekIndex],59)=0,"",SUMIFS(T_SelfStock_Log[Self_Qty],T_SelfStock_Log[Part Name],$A6,T_SelfStock_Log[WeekIndex],59))</f>
        <v/>
      </c>
      <c r="BI6" s="12">
        <f>IF(COUNTIFS(T_SelfStock_Log[Part Name],$A6,T_SelfStock_Log[WeekIndex],60)=0,"",SUMIFS(T_SelfStock_Log[Self_Qty],T_SelfStock_Log[Part Name],$A6,T_SelfStock_Log[WeekIndex],60))</f>
        <v/>
      </c>
      <c r="BJ6" s="12">
        <f>IF(COUNTIFS(T_SelfStock_Log[Part Name],$A6,T_SelfStock_Log[WeekIndex],61)=0,"",SUMIFS(T_SelfStock_Log[Self_Qty],T_SelfStock_Log[Part Name],$A6,T_SelfStock_Log[WeekIndex],61))</f>
        <v/>
      </c>
      <c r="BK6" s="12">
        <f>IF(COUNTIFS(T_SelfStock_Log[Part Name],$A6,T_SelfStock_Log[WeekIndex],62)=0,"",SUMIFS(T_SelfStock_Log[Self_Qty],T_SelfStock_Log[Part Name],$A6,T_SelfStock_Log[WeekIndex],62))</f>
        <v/>
      </c>
      <c r="BL6" s="12">
        <f>IF(COUNTIFS(T_SelfStock_Log[Part Name],$A6,T_SelfStock_Log[WeekIndex],63)=0,"",SUMIFS(T_SelfStock_Log[Self_Qty],T_SelfStock_Log[Part Name],$A6,T_SelfStock_Log[WeekIndex],63))</f>
        <v/>
      </c>
      <c r="BM6" s="12">
        <f>IF(COUNTIFS(T_SelfStock_Log[Part Name],$A6,T_SelfStock_Log[WeekIndex],64)=0,"",SUMIFS(T_SelfStock_Log[Self_Qty],T_SelfStock_Log[Part Name],$A6,T_SelfStock_Log[WeekIndex],64))</f>
        <v/>
      </c>
      <c r="BN6" s="12">
        <f>IF(COUNTIFS(T_SelfStock_Log[Part Name],$A6,T_SelfStock_Log[WeekIndex],65)=0,"",SUMIFS(T_SelfStock_Log[Self_Qty],T_SelfStock_Log[Part Name],$A6,T_SelfStock_Log[WeekIndex],65))</f>
        <v/>
      </c>
      <c r="BO6" s="12">
        <f>IF(COUNTIFS(T_SelfStock_Log[Part Name],$A6,T_SelfStock_Log[WeekIndex],66)=0,"",SUMIFS(T_SelfStock_Log[Self_Qty],T_SelfStock_Log[Part Name],$A6,T_SelfStock_Log[WeekIndex],66))</f>
        <v/>
      </c>
      <c r="BP6" s="12">
        <f>IF(COUNTIFS(T_SelfStock_Log[Part Name],$A6,T_SelfStock_Log[WeekIndex],67)=0,"",SUMIFS(T_SelfStock_Log[Self_Qty],T_SelfStock_Log[Part Name],$A6,T_SelfStock_Log[WeekIndex],67))</f>
        <v/>
      </c>
      <c r="BQ6" s="12">
        <f>IF(COUNTIFS(T_SelfStock_Log[Part Name],$A6,T_SelfStock_Log[WeekIndex],68)=0,"",SUMIFS(T_SelfStock_Log[Self_Qty],T_SelfStock_Log[Part Name],$A6,T_SelfStock_Log[WeekIndex],68))</f>
        <v/>
      </c>
      <c r="BR6" s="12">
        <f>IF(COUNTIFS(T_SelfStock_Log[Part Name],$A6,T_SelfStock_Log[WeekIndex],69)=0,"",SUMIFS(T_SelfStock_Log[Self_Qty],T_SelfStock_Log[Part Name],$A6,T_SelfStock_Log[WeekIndex],69))</f>
        <v/>
      </c>
      <c r="BS6" s="12">
        <f>IF(COUNTIFS(T_SelfStock_Log[Part Name],$A6,T_SelfStock_Log[WeekIndex],70)=0,"",SUMIFS(T_SelfStock_Log[Self_Qty],T_SelfStock_Log[Part Name],$A6,T_SelfStock_Log[WeekIndex],70))</f>
        <v/>
      </c>
      <c r="BT6" s="12">
        <f>IF(COUNTIFS(T_SelfStock_Log[Part Name],$A6,T_SelfStock_Log[WeekIndex],71)=0,"",SUMIFS(T_SelfStock_Log[Self_Qty],T_SelfStock_Log[Part Name],$A6,T_SelfStock_Log[WeekIndex],71))</f>
        <v/>
      </c>
      <c r="BU6" s="12">
        <f>IF(COUNTIFS(T_SelfStock_Log[Part Name],$A6,T_SelfStock_Log[WeekIndex],72)=0,"",SUMIFS(T_SelfStock_Log[Self_Qty],T_SelfStock_Log[Part Name],$A6,T_SelfStock_Log[WeekIndex],72))</f>
        <v/>
      </c>
      <c r="BV6" s="12">
        <f>IF(COUNTIFS(T_SelfStock_Log[Part Name],$A6,T_SelfStock_Log[WeekIndex],73)=0,"",SUMIFS(T_SelfStock_Log[Self_Qty],T_SelfStock_Log[Part Name],$A6,T_SelfStock_Log[WeekIndex],73))</f>
        <v/>
      </c>
      <c r="BW6" s="12">
        <f>IF(COUNTIFS(T_SelfStock_Log[Part Name],$A6,T_SelfStock_Log[WeekIndex],74)=0,"",SUMIFS(T_SelfStock_Log[Self_Qty],T_SelfStock_Log[Part Name],$A6,T_SelfStock_Log[WeekIndex],74))</f>
        <v/>
      </c>
      <c r="BX6" s="12">
        <f>IF(COUNTIFS(T_SelfStock_Log[Part Name],$A6,T_SelfStock_Log[WeekIndex],75)=0,"",SUMIFS(T_SelfStock_Log[Self_Qty],T_SelfStock_Log[Part Name],$A6,T_SelfStock_Log[WeekIndex],75))</f>
        <v/>
      </c>
      <c r="BY6" s="12">
        <f>IF(COUNTIFS(T_SelfStock_Log[Part Name],$A6,T_SelfStock_Log[WeekIndex],76)=0,"",SUMIFS(T_SelfStock_Log[Self_Qty],T_SelfStock_Log[Part Name],$A6,T_SelfStock_Log[WeekIndex],76))</f>
        <v/>
      </c>
      <c r="BZ6" s="12">
        <f>IF(COUNTIFS(T_SelfStock_Log[Part Name],$A6,T_SelfStock_Log[WeekIndex],77)=0,"",SUMIFS(T_SelfStock_Log[Self_Qty],T_SelfStock_Log[Part Name],$A6,T_SelfStock_Log[WeekIndex],77))</f>
        <v/>
      </c>
      <c r="CA6" s="12">
        <f>IF(COUNTIFS(T_SelfStock_Log[Part Name],$A6,T_SelfStock_Log[WeekIndex],78)=0,"",SUMIFS(T_SelfStock_Log[Self_Qty],T_SelfStock_Log[Part Name],$A6,T_SelfStock_Log[WeekIndex],78))</f>
        <v/>
      </c>
      <c r="CB6" s="12">
        <f>IF(COUNTIFS(T_SelfStock_Log[Part Name],$A6,T_SelfStock_Log[WeekIndex],79)=0,"",SUMIFS(T_SelfStock_Log[Self_Qty],T_SelfStock_Log[Part Name],$A6,T_SelfStock_Log[WeekIndex],79))</f>
        <v/>
      </c>
      <c r="CC6" s="12">
        <f>IF(COUNTIFS(T_SelfStock_Log[Part Name],$A6,T_SelfStock_Log[WeekIndex],80)=0,"",SUMIFS(T_SelfStock_Log[Self_Qty],T_SelfStock_Log[Part Name],$A6,T_SelfStock_Log[WeekIndex],80))</f>
        <v/>
      </c>
      <c r="CD6" s="12">
        <f>IF(COUNTIFS(T_SelfStock_Log[Part Name],$A6,T_SelfStock_Log[WeekIndex],81)=0,"",SUMIFS(T_SelfStock_Log[Self_Qty],T_SelfStock_Log[Part Name],$A6,T_SelfStock_Log[WeekIndex],81))</f>
        <v/>
      </c>
      <c r="CE6" s="12">
        <f>IF(COUNTIFS(T_SelfStock_Log[Part Name],$A6,T_SelfStock_Log[WeekIndex],82)=0,"",SUMIFS(T_SelfStock_Log[Self_Qty],T_SelfStock_Log[Part Name],$A6,T_SelfStock_Log[WeekIndex],82))</f>
        <v/>
      </c>
      <c r="CF6" s="12">
        <f>IF(COUNTIFS(T_SelfStock_Log[Part Name],$A6,T_SelfStock_Log[WeekIndex],83)=0,"",SUMIFS(T_SelfStock_Log[Self_Qty],T_SelfStock_Log[Part Name],$A6,T_SelfStock_Log[WeekIndex],83))</f>
        <v/>
      </c>
      <c r="CG6" s="12">
        <f>IF(COUNTIFS(T_SelfStock_Log[Part Name],$A6,T_SelfStock_Log[WeekIndex],84)=0,"",SUMIFS(T_SelfStock_Log[Self_Qty],T_SelfStock_Log[Part Name],$A6,T_SelfStock_Log[WeekIndex],84))</f>
        <v/>
      </c>
      <c r="CH6" s="12">
        <f>IF(COUNTIFS(T_SelfStock_Log[Part Name],$A6,T_SelfStock_Log[WeekIndex],85)=0,"",SUMIFS(T_SelfStock_Log[Self_Qty],T_SelfStock_Log[Part Name],$A6,T_SelfStock_Log[WeekIndex],85))</f>
        <v/>
      </c>
      <c r="CI6" s="12">
        <f>IF(COUNTIFS(T_SelfStock_Log[Part Name],$A6,T_SelfStock_Log[WeekIndex],86)=0,"",SUMIFS(T_SelfStock_Log[Self_Qty],T_SelfStock_Log[Part Name],$A6,T_SelfStock_Log[WeekIndex],86))</f>
        <v/>
      </c>
      <c r="CJ6" s="12">
        <f>IF(COUNTIFS(T_SelfStock_Log[Part Name],$A6,T_SelfStock_Log[WeekIndex],87)=0,"",SUMIFS(T_SelfStock_Log[Self_Qty],T_SelfStock_Log[Part Name],$A6,T_SelfStock_Log[WeekIndex],87))</f>
        <v/>
      </c>
      <c r="CK6" s="12">
        <f>IF(COUNTIFS(T_SelfStock_Log[Part Name],$A6,T_SelfStock_Log[WeekIndex],88)=0,"",SUMIFS(T_SelfStock_Log[Self_Qty],T_SelfStock_Log[Part Name],$A6,T_SelfStock_Log[WeekIndex],88))</f>
        <v/>
      </c>
      <c r="CL6" s="12">
        <f>IF(COUNTIFS(T_SelfStock_Log[Part Name],$A6,T_SelfStock_Log[WeekIndex],89)=0,"",SUMIFS(T_SelfStock_Log[Self_Qty],T_SelfStock_Log[Part Name],$A6,T_SelfStock_Log[WeekIndex],89))</f>
        <v/>
      </c>
      <c r="CM6" s="12">
        <f>IF(COUNTIFS(T_SelfStock_Log[Part Name],$A6,T_SelfStock_Log[WeekIndex],90)=0,"",SUMIFS(T_SelfStock_Log[Self_Qty],T_SelfStock_Log[Part Name],$A6,T_SelfStock_Log[WeekIndex],90))</f>
        <v/>
      </c>
      <c r="CN6" s="12">
        <f>IF(COUNTIFS(T_SelfStock_Log[Part Name],$A6,T_SelfStock_Log[WeekIndex],91)=0,"",SUMIFS(T_SelfStock_Log[Self_Qty],T_SelfStock_Log[Part Name],$A6,T_SelfStock_Log[WeekIndex],91))</f>
        <v/>
      </c>
      <c r="CO6" s="12">
        <f>IF(COUNTIFS(T_SelfStock_Log[Part Name],$A6,T_SelfStock_Log[WeekIndex],92)=0,"",SUMIFS(T_SelfStock_Log[Self_Qty],T_SelfStock_Log[Part Name],$A6,T_SelfStock_Log[WeekIndex],92))</f>
        <v/>
      </c>
      <c r="CP6" s="12">
        <f>IF(COUNTIFS(T_SelfStock_Log[Part Name],$A6,T_SelfStock_Log[WeekIndex],93)=0,"",SUMIFS(T_SelfStock_Log[Self_Qty],T_SelfStock_Log[Part Name],$A6,T_SelfStock_Log[WeekIndex],93))</f>
        <v/>
      </c>
      <c r="CQ6" s="12">
        <f>IF(COUNTIFS(T_SelfStock_Log[Part Name],$A6,T_SelfStock_Log[WeekIndex],94)=0,"",SUMIFS(T_SelfStock_Log[Self_Qty],T_SelfStock_Log[Part Name],$A6,T_SelfStock_Log[WeekIndex],94))</f>
        <v/>
      </c>
      <c r="CR6" s="12">
        <f>IF(COUNTIFS(T_SelfStock_Log[Part Name],$A6,T_SelfStock_Log[WeekIndex],95)=0,"",SUMIFS(T_SelfStock_Log[Self_Qty],T_SelfStock_Log[Part Name],$A6,T_SelfStock_Log[WeekIndex],95))</f>
        <v/>
      </c>
      <c r="CS6" s="12">
        <f>IF(COUNTIFS(T_SelfStock_Log[Part Name],$A6,T_SelfStock_Log[WeekIndex],96)=0,"",SUMIFS(T_SelfStock_Log[Self_Qty],T_SelfStock_Log[Part Name],$A6,T_SelfStock_Log[WeekIndex],96))</f>
        <v/>
      </c>
      <c r="CT6" s="12">
        <f>IF(COUNTIFS(T_SelfStock_Log[Part Name],$A6,T_SelfStock_Log[WeekIndex],97)=0,"",SUMIFS(T_SelfStock_Log[Self_Qty],T_SelfStock_Log[Part Name],$A6,T_SelfStock_Log[WeekIndex],97))</f>
        <v/>
      </c>
      <c r="CU6" s="12">
        <f>IF(COUNTIFS(T_SelfStock_Log[Part Name],$A6,T_SelfStock_Log[WeekIndex],98)=0,"",SUMIFS(T_SelfStock_Log[Self_Qty],T_SelfStock_Log[Part Name],$A6,T_SelfStock_Log[WeekIndex],98))</f>
        <v/>
      </c>
      <c r="CV6" s="12">
        <f>IF(COUNTIFS(T_SelfStock_Log[Part Name],$A6,T_SelfStock_Log[WeekIndex],99)=0,"",SUMIFS(T_SelfStock_Log[Self_Qty],T_SelfStock_Log[Part Name],$A6,T_SelfStock_Log[WeekIndex],99))</f>
        <v/>
      </c>
      <c r="CW6" s="12">
        <f>IF(COUNTIFS(T_SelfStock_Log[Part Name],$A6,T_SelfStock_Log[WeekIndex],100)=0,"",SUMIFS(T_SelfStock_Log[Self_Qty],T_SelfStock_Log[Part Name],$A6,T_SelfStock_Log[WeekIndex],100))</f>
        <v/>
      </c>
      <c r="CX6" s="12">
        <f>IF(COUNTIFS(T_SelfStock_Log[Part Name],$A6,T_SelfStock_Log[WeekIndex],101)=0,"",SUMIFS(T_SelfStock_Log[Self_Qty],T_SelfStock_Log[Part Name],$A6,T_SelfStock_Log[WeekIndex],101))</f>
        <v/>
      </c>
      <c r="CY6" s="12">
        <f>IF(COUNTIFS(T_SelfStock_Log[Part Name],$A6,T_SelfStock_Log[WeekIndex],102)=0,"",SUMIFS(T_SelfStock_Log[Self_Qty],T_SelfStock_Log[Part Name],$A6,T_SelfStock_Log[WeekIndex],102))</f>
        <v/>
      </c>
      <c r="CZ6" s="12">
        <f>IF(COUNTIFS(T_SelfStock_Log[Part Name],$A6,T_SelfStock_Log[WeekIndex],103)=0,"",SUMIFS(T_SelfStock_Log[Self_Qty],T_SelfStock_Log[Part Name],$A6,T_SelfStock_Log[WeekIndex],103))</f>
        <v/>
      </c>
      <c r="DA6" s="12">
        <f>IF(COUNTIFS(T_SelfStock_Log[Part Name],$A6,T_SelfStock_Log[WeekIndex],104)=0,"",SUMIFS(T_SelfStock_Log[Self_Qty],T_SelfStock_Log[Part Name],$A6,T_SelfStock_Log[WeekIndex],104))</f>
        <v/>
      </c>
    </row>
    <row r="7">
      <c r="A7" s="13" t="inlineStr">
        <is>
          <t>CHEM-1670</t>
        </is>
      </c>
      <c r="B7" s="13">
        <f>IF(COUNTIFS(T_SelfStock_Log[Part Name],$A7,T_SelfStock_Log[WeekIndex],1)=0,"",SUMIFS(T_SelfStock_Log[Self_Qty],T_SelfStock_Log[Part Name],$A7,T_SelfStock_Log[WeekIndex],1))</f>
        <v/>
      </c>
      <c r="C7" s="13">
        <f>IF(COUNTIFS(T_SelfStock_Log[Part Name],$A7,T_SelfStock_Log[WeekIndex],2)=0,"",SUMIFS(T_SelfStock_Log[Self_Qty],T_SelfStock_Log[Part Name],$A7,T_SelfStock_Log[WeekIndex],2))</f>
        <v/>
      </c>
      <c r="D7" s="13">
        <f>IF(COUNTIFS(T_SelfStock_Log[Part Name],$A7,T_SelfStock_Log[WeekIndex],3)=0,"",SUMIFS(T_SelfStock_Log[Self_Qty],T_SelfStock_Log[Part Name],$A7,T_SelfStock_Log[WeekIndex],3))</f>
        <v/>
      </c>
      <c r="E7" s="13">
        <f>IF(COUNTIFS(T_SelfStock_Log[Part Name],$A7,T_SelfStock_Log[WeekIndex],4)=0,"",SUMIFS(T_SelfStock_Log[Self_Qty],T_SelfStock_Log[Part Name],$A7,T_SelfStock_Log[WeekIndex],4))</f>
        <v/>
      </c>
      <c r="F7" s="13">
        <f>IF(COUNTIFS(T_SelfStock_Log[Part Name],$A7,T_SelfStock_Log[WeekIndex],5)=0,"",SUMIFS(T_SelfStock_Log[Self_Qty],T_SelfStock_Log[Part Name],$A7,T_SelfStock_Log[WeekIndex],5))</f>
        <v/>
      </c>
      <c r="G7" s="13">
        <f>IF(COUNTIFS(T_SelfStock_Log[Part Name],$A7,T_SelfStock_Log[WeekIndex],6)=0,"",SUMIFS(T_SelfStock_Log[Self_Qty],T_SelfStock_Log[Part Name],$A7,T_SelfStock_Log[WeekIndex],6))</f>
        <v/>
      </c>
      <c r="H7" s="13">
        <f>IF(COUNTIFS(T_SelfStock_Log[Part Name],$A7,T_SelfStock_Log[WeekIndex],7)=0,"",SUMIFS(T_SelfStock_Log[Self_Qty],T_SelfStock_Log[Part Name],$A7,T_SelfStock_Log[WeekIndex],7))</f>
        <v/>
      </c>
      <c r="I7" s="13">
        <f>IF(COUNTIFS(T_SelfStock_Log[Part Name],$A7,T_SelfStock_Log[WeekIndex],8)=0,"",SUMIFS(T_SelfStock_Log[Self_Qty],T_SelfStock_Log[Part Name],$A7,T_SelfStock_Log[WeekIndex],8))</f>
        <v/>
      </c>
      <c r="J7" s="13">
        <f>IF(COUNTIFS(T_SelfStock_Log[Part Name],$A7,T_SelfStock_Log[WeekIndex],9)=0,"",SUMIFS(T_SelfStock_Log[Self_Qty],T_SelfStock_Log[Part Name],$A7,T_SelfStock_Log[WeekIndex],9))</f>
        <v/>
      </c>
      <c r="K7" s="13">
        <f>IF(COUNTIFS(T_SelfStock_Log[Part Name],$A7,T_SelfStock_Log[WeekIndex],10)=0,"",SUMIFS(T_SelfStock_Log[Self_Qty],T_SelfStock_Log[Part Name],$A7,T_SelfStock_Log[WeekIndex],10))</f>
        <v/>
      </c>
      <c r="L7" s="13">
        <f>IF(COUNTIFS(T_SelfStock_Log[Part Name],$A7,T_SelfStock_Log[WeekIndex],11)=0,"",SUMIFS(T_SelfStock_Log[Self_Qty],T_SelfStock_Log[Part Name],$A7,T_SelfStock_Log[WeekIndex],11))</f>
        <v/>
      </c>
      <c r="M7" s="13">
        <f>IF(COUNTIFS(T_SelfStock_Log[Part Name],$A7,T_SelfStock_Log[WeekIndex],12)=0,"",SUMIFS(T_SelfStock_Log[Self_Qty],T_SelfStock_Log[Part Name],$A7,T_SelfStock_Log[WeekIndex],12))</f>
        <v/>
      </c>
      <c r="N7" s="13">
        <f>IF(COUNTIFS(T_SelfStock_Log[Part Name],$A7,T_SelfStock_Log[WeekIndex],13)=0,"",SUMIFS(T_SelfStock_Log[Self_Qty],T_SelfStock_Log[Part Name],$A7,T_SelfStock_Log[WeekIndex],13))</f>
        <v/>
      </c>
      <c r="O7" s="13">
        <f>IF(COUNTIFS(T_SelfStock_Log[Part Name],$A7,T_SelfStock_Log[WeekIndex],14)=0,"",SUMIFS(T_SelfStock_Log[Self_Qty],T_SelfStock_Log[Part Name],$A7,T_SelfStock_Log[WeekIndex],14))</f>
        <v/>
      </c>
      <c r="P7" s="13">
        <f>IF(COUNTIFS(T_SelfStock_Log[Part Name],$A7,T_SelfStock_Log[WeekIndex],15)=0,"",SUMIFS(T_SelfStock_Log[Self_Qty],T_SelfStock_Log[Part Name],$A7,T_SelfStock_Log[WeekIndex],15))</f>
        <v/>
      </c>
      <c r="Q7" s="13">
        <f>IF(COUNTIFS(T_SelfStock_Log[Part Name],$A7,T_SelfStock_Log[WeekIndex],16)=0,"",SUMIFS(T_SelfStock_Log[Self_Qty],T_SelfStock_Log[Part Name],$A7,T_SelfStock_Log[WeekIndex],16))</f>
        <v/>
      </c>
      <c r="R7" s="13">
        <f>IF(COUNTIFS(T_SelfStock_Log[Part Name],$A7,T_SelfStock_Log[WeekIndex],17)=0,"",SUMIFS(T_SelfStock_Log[Self_Qty],T_SelfStock_Log[Part Name],$A7,T_SelfStock_Log[WeekIndex],17))</f>
        <v/>
      </c>
      <c r="S7" s="13">
        <f>IF(COUNTIFS(T_SelfStock_Log[Part Name],$A7,T_SelfStock_Log[WeekIndex],18)=0,"",SUMIFS(T_SelfStock_Log[Self_Qty],T_SelfStock_Log[Part Name],$A7,T_SelfStock_Log[WeekIndex],18))</f>
        <v/>
      </c>
      <c r="T7" s="13">
        <f>IF(COUNTIFS(T_SelfStock_Log[Part Name],$A7,T_SelfStock_Log[WeekIndex],19)=0,"",SUMIFS(T_SelfStock_Log[Self_Qty],T_SelfStock_Log[Part Name],$A7,T_SelfStock_Log[WeekIndex],19))</f>
        <v/>
      </c>
      <c r="U7" s="13">
        <f>IF(COUNTIFS(T_SelfStock_Log[Part Name],$A7,T_SelfStock_Log[WeekIndex],20)=0,"",SUMIFS(T_SelfStock_Log[Self_Qty],T_SelfStock_Log[Part Name],$A7,T_SelfStock_Log[WeekIndex],20))</f>
        <v/>
      </c>
      <c r="V7" s="13">
        <f>IF(COUNTIFS(T_SelfStock_Log[Part Name],$A7,T_SelfStock_Log[WeekIndex],21)=0,"",SUMIFS(T_SelfStock_Log[Self_Qty],T_SelfStock_Log[Part Name],$A7,T_SelfStock_Log[WeekIndex],21))</f>
        <v/>
      </c>
      <c r="W7" s="13">
        <f>IF(COUNTIFS(T_SelfStock_Log[Part Name],$A7,T_SelfStock_Log[WeekIndex],22)=0,"",SUMIFS(T_SelfStock_Log[Self_Qty],T_SelfStock_Log[Part Name],$A7,T_SelfStock_Log[WeekIndex],22))</f>
        <v/>
      </c>
      <c r="X7" s="13">
        <f>IF(COUNTIFS(T_SelfStock_Log[Part Name],$A7,T_SelfStock_Log[WeekIndex],23)=0,"",SUMIFS(T_SelfStock_Log[Self_Qty],T_SelfStock_Log[Part Name],$A7,T_SelfStock_Log[WeekIndex],23))</f>
        <v/>
      </c>
      <c r="Y7" s="13">
        <f>IF(COUNTIFS(T_SelfStock_Log[Part Name],$A7,T_SelfStock_Log[WeekIndex],24)=0,"",SUMIFS(T_SelfStock_Log[Self_Qty],T_SelfStock_Log[Part Name],$A7,T_SelfStock_Log[WeekIndex],24))</f>
        <v/>
      </c>
      <c r="Z7" s="13">
        <f>IF(COUNTIFS(T_SelfStock_Log[Part Name],$A7,T_SelfStock_Log[WeekIndex],25)=0,"",SUMIFS(T_SelfStock_Log[Self_Qty],T_SelfStock_Log[Part Name],$A7,T_SelfStock_Log[WeekIndex],25))</f>
        <v/>
      </c>
      <c r="AA7" s="13">
        <f>IF(COUNTIFS(T_SelfStock_Log[Part Name],$A7,T_SelfStock_Log[WeekIndex],26)=0,"",SUMIFS(T_SelfStock_Log[Self_Qty],T_SelfStock_Log[Part Name],$A7,T_SelfStock_Log[WeekIndex],26))</f>
        <v/>
      </c>
      <c r="AB7" s="13">
        <f>IF(COUNTIFS(T_SelfStock_Log[Part Name],$A7,T_SelfStock_Log[WeekIndex],27)=0,"",SUMIFS(T_SelfStock_Log[Self_Qty],T_SelfStock_Log[Part Name],$A7,T_SelfStock_Log[WeekIndex],27))</f>
        <v/>
      </c>
      <c r="AC7" s="13">
        <f>IF(COUNTIFS(T_SelfStock_Log[Part Name],$A7,T_SelfStock_Log[WeekIndex],28)=0,"",SUMIFS(T_SelfStock_Log[Self_Qty],T_SelfStock_Log[Part Name],$A7,T_SelfStock_Log[WeekIndex],28))</f>
        <v/>
      </c>
      <c r="AD7" s="13">
        <f>IF(COUNTIFS(T_SelfStock_Log[Part Name],$A7,T_SelfStock_Log[WeekIndex],29)=0,"",SUMIFS(T_SelfStock_Log[Self_Qty],T_SelfStock_Log[Part Name],$A7,T_SelfStock_Log[WeekIndex],29))</f>
        <v/>
      </c>
      <c r="AE7" s="13">
        <f>IF(COUNTIFS(T_SelfStock_Log[Part Name],$A7,T_SelfStock_Log[WeekIndex],30)=0,"",SUMIFS(T_SelfStock_Log[Self_Qty],T_SelfStock_Log[Part Name],$A7,T_SelfStock_Log[WeekIndex],30))</f>
        <v/>
      </c>
      <c r="AF7" s="13">
        <f>IF(COUNTIFS(T_SelfStock_Log[Part Name],$A7,T_SelfStock_Log[WeekIndex],31)=0,"",SUMIFS(T_SelfStock_Log[Self_Qty],T_SelfStock_Log[Part Name],$A7,T_SelfStock_Log[WeekIndex],31))</f>
        <v/>
      </c>
      <c r="AG7" s="13">
        <f>IF(COUNTIFS(T_SelfStock_Log[Part Name],$A7,T_SelfStock_Log[WeekIndex],32)=0,"",SUMIFS(T_SelfStock_Log[Self_Qty],T_SelfStock_Log[Part Name],$A7,T_SelfStock_Log[WeekIndex],32))</f>
        <v/>
      </c>
      <c r="AH7" s="13">
        <f>IF(COUNTIFS(T_SelfStock_Log[Part Name],$A7,T_SelfStock_Log[WeekIndex],33)=0,"",SUMIFS(T_SelfStock_Log[Self_Qty],T_SelfStock_Log[Part Name],$A7,T_SelfStock_Log[WeekIndex],33))</f>
        <v/>
      </c>
      <c r="AI7" s="13">
        <f>IF(COUNTIFS(T_SelfStock_Log[Part Name],$A7,T_SelfStock_Log[WeekIndex],34)=0,"",SUMIFS(T_SelfStock_Log[Self_Qty],T_SelfStock_Log[Part Name],$A7,T_SelfStock_Log[WeekIndex],34))</f>
        <v/>
      </c>
      <c r="AJ7" s="13">
        <f>IF(COUNTIFS(T_SelfStock_Log[Part Name],$A7,T_SelfStock_Log[WeekIndex],35)=0,"",SUMIFS(T_SelfStock_Log[Self_Qty],T_SelfStock_Log[Part Name],$A7,T_SelfStock_Log[WeekIndex],35))</f>
        <v/>
      </c>
      <c r="AK7" s="13">
        <f>IF(COUNTIFS(T_SelfStock_Log[Part Name],$A7,T_SelfStock_Log[WeekIndex],36)=0,"",SUMIFS(T_SelfStock_Log[Self_Qty],T_SelfStock_Log[Part Name],$A7,T_SelfStock_Log[WeekIndex],36))</f>
        <v/>
      </c>
      <c r="AL7" s="13">
        <f>IF(COUNTIFS(T_SelfStock_Log[Part Name],$A7,T_SelfStock_Log[WeekIndex],37)=0,"",SUMIFS(T_SelfStock_Log[Self_Qty],T_SelfStock_Log[Part Name],$A7,T_SelfStock_Log[WeekIndex],37))</f>
        <v/>
      </c>
      <c r="AM7" s="13">
        <f>IF(COUNTIFS(T_SelfStock_Log[Part Name],$A7,T_SelfStock_Log[WeekIndex],38)=0,"",SUMIFS(T_SelfStock_Log[Self_Qty],T_SelfStock_Log[Part Name],$A7,T_SelfStock_Log[WeekIndex],38))</f>
        <v/>
      </c>
      <c r="AN7" s="13">
        <f>IF(COUNTIFS(T_SelfStock_Log[Part Name],$A7,T_SelfStock_Log[WeekIndex],39)=0,"",SUMIFS(T_SelfStock_Log[Self_Qty],T_SelfStock_Log[Part Name],$A7,T_SelfStock_Log[WeekIndex],39))</f>
        <v/>
      </c>
      <c r="AO7" s="13">
        <f>IF(COUNTIFS(T_SelfStock_Log[Part Name],$A7,T_SelfStock_Log[WeekIndex],40)=0,"",SUMIFS(T_SelfStock_Log[Self_Qty],T_SelfStock_Log[Part Name],$A7,T_SelfStock_Log[WeekIndex],40))</f>
        <v/>
      </c>
      <c r="AP7" s="13">
        <f>IF(COUNTIFS(T_SelfStock_Log[Part Name],$A7,T_SelfStock_Log[WeekIndex],41)=0,"",SUMIFS(T_SelfStock_Log[Self_Qty],T_SelfStock_Log[Part Name],$A7,T_SelfStock_Log[WeekIndex],41))</f>
        <v/>
      </c>
      <c r="AQ7" s="13">
        <f>IF(COUNTIFS(T_SelfStock_Log[Part Name],$A7,T_SelfStock_Log[WeekIndex],42)=0,"",SUMIFS(T_SelfStock_Log[Self_Qty],T_SelfStock_Log[Part Name],$A7,T_SelfStock_Log[WeekIndex],42))</f>
        <v/>
      </c>
      <c r="AR7" s="13">
        <f>IF(COUNTIFS(T_SelfStock_Log[Part Name],$A7,T_SelfStock_Log[WeekIndex],43)=0,"",SUMIFS(T_SelfStock_Log[Self_Qty],T_SelfStock_Log[Part Name],$A7,T_SelfStock_Log[WeekIndex],43))</f>
        <v/>
      </c>
      <c r="AS7" s="13">
        <f>IF(COUNTIFS(T_SelfStock_Log[Part Name],$A7,T_SelfStock_Log[WeekIndex],44)=0,"",SUMIFS(T_SelfStock_Log[Self_Qty],T_SelfStock_Log[Part Name],$A7,T_SelfStock_Log[WeekIndex],44))</f>
        <v/>
      </c>
      <c r="AT7" s="13">
        <f>IF(COUNTIFS(T_SelfStock_Log[Part Name],$A7,T_SelfStock_Log[WeekIndex],45)=0,"",SUMIFS(T_SelfStock_Log[Self_Qty],T_SelfStock_Log[Part Name],$A7,T_SelfStock_Log[WeekIndex],45))</f>
        <v/>
      </c>
      <c r="AU7" s="13">
        <f>IF(COUNTIFS(T_SelfStock_Log[Part Name],$A7,T_SelfStock_Log[WeekIndex],46)=0,"",SUMIFS(T_SelfStock_Log[Self_Qty],T_SelfStock_Log[Part Name],$A7,T_SelfStock_Log[WeekIndex],46))</f>
        <v/>
      </c>
      <c r="AV7" s="13">
        <f>IF(COUNTIFS(T_SelfStock_Log[Part Name],$A7,T_SelfStock_Log[WeekIndex],47)=0,"",SUMIFS(T_SelfStock_Log[Self_Qty],T_SelfStock_Log[Part Name],$A7,T_SelfStock_Log[WeekIndex],47))</f>
        <v/>
      </c>
      <c r="AW7" s="13">
        <f>IF(COUNTIFS(T_SelfStock_Log[Part Name],$A7,T_SelfStock_Log[WeekIndex],48)=0,"",SUMIFS(T_SelfStock_Log[Self_Qty],T_SelfStock_Log[Part Name],$A7,T_SelfStock_Log[WeekIndex],48))</f>
        <v/>
      </c>
      <c r="AX7" s="13">
        <f>IF(COUNTIFS(T_SelfStock_Log[Part Name],$A7,T_SelfStock_Log[WeekIndex],49)=0,"",SUMIFS(T_SelfStock_Log[Self_Qty],T_SelfStock_Log[Part Name],$A7,T_SelfStock_Log[WeekIndex],49))</f>
        <v/>
      </c>
      <c r="AY7" s="13">
        <f>IF(COUNTIFS(T_SelfStock_Log[Part Name],$A7,T_SelfStock_Log[WeekIndex],50)=0,"",SUMIFS(T_SelfStock_Log[Self_Qty],T_SelfStock_Log[Part Name],$A7,T_SelfStock_Log[WeekIndex],50))</f>
        <v/>
      </c>
      <c r="AZ7" s="13">
        <f>IF(COUNTIFS(T_SelfStock_Log[Part Name],$A7,T_SelfStock_Log[WeekIndex],51)=0,"",SUMIFS(T_SelfStock_Log[Self_Qty],T_SelfStock_Log[Part Name],$A7,T_SelfStock_Log[WeekIndex],51))</f>
        <v/>
      </c>
      <c r="BA7" s="13">
        <f>IF(COUNTIFS(T_SelfStock_Log[Part Name],$A7,T_SelfStock_Log[WeekIndex],52)=0,"",SUMIFS(T_SelfStock_Log[Self_Qty],T_SelfStock_Log[Part Name],$A7,T_SelfStock_Log[WeekIndex],52))</f>
        <v/>
      </c>
      <c r="BB7" s="13">
        <f>IF(COUNTIFS(T_SelfStock_Log[Part Name],$A7,T_SelfStock_Log[WeekIndex],53)=0,"",SUMIFS(T_SelfStock_Log[Self_Qty],T_SelfStock_Log[Part Name],$A7,T_SelfStock_Log[WeekIndex],53))</f>
        <v/>
      </c>
      <c r="BC7" s="13">
        <f>IF(COUNTIFS(T_SelfStock_Log[Part Name],$A7,T_SelfStock_Log[WeekIndex],54)=0,"",SUMIFS(T_SelfStock_Log[Self_Qty],T_SelfStock_Log[Part Name],$A7,T_SelfStock_Log[WeekIndex],54))</f>
        <v/>
      </c>
      <c r="BD7" s="13">
        <f>IF(COUNTIFS(T_SelfStock_Log[Part Name],$A7,T_SelfStock_Log[WeekIndex],55)=0,"",SUMIFS(T_SelfStock_Log[Self_Qty],T_SelfStock_Log[Part Name],$A7,T_SelfStock_Log[WeekIndex],55))</f>
        <v/>
      </c>
      <c r="BE7" s="13">
        <f>IF(COUNTIFS(T_SelfStock_Log[Part Name],$A7,T_SelfStock_Log[WeekIndex],56)=0,"",SUMIFS(T_SelfStock_Log[Self_Qty],T_SelfStock_Log[Part Name],$A7,T_SelfStock_Log[WeekIndex],56))</f>
        <v/>
      </c>
      <c r="BF7" s="13">
        <f>IF(COUNTIFS(T_SelfStock_Log[Part Name],$A7,T_SelfStock_Log[WeekIndex],57)=0,"",SUMIFS(T_SelfStock_Log[Self_Qty],T_SelfStock_Log[Part Name],$A7,T_SelfStock_Log[WeekIndex],57))</f>
        <v/>
      </c>
      <c r="BG7" s="13">
        <f>IF(COUNTIFS(T_SelfStock_Log[Part Name],$A7,T_SelfStock_Log[WeekIndex],58)=0,"",SUMIFS(T_SelfStock_Log[Self_Qty],T_SelfStock_Log[Part Name],$A7,T_SelfStock_Log[WeekIndex],58))</f>
        <v/>
      </c>
      <c r="BH7" s="13">
        <f>IF(COUNTIFS(T_SelfStock_Log[Part Name],$A7,T_SelfStock_Log[WeekIndex],59)=0,"",SUMIFS(T_SelfStock_Log[Self_Qty],T_SelfStock_Log[Part Name],$A7,T_SelfStock_Log[WeekIndex],59))</f>
        <v/>
      </c>
      <c r="BI7" s="13">
        <f>IF(COUNTIFS(T_SelfStock_Log[Part Name],$A7,T_SelfStock_Log[WeekIndex],60)=0,"",SUMIFS(T_SelfStock_Log[Self_Qty],T_SelfStock_Log[Part Name],$A7,T_SelfStock_Log[WeekIndex],60))</f>
        <v/>
      </c>
      <c r="BJ7" s="13">
        <f>IF(COUNTIFS(T_SelfStock_Log[Part Name],$A7,T_SelfStock_Log[WeekIndex],61)=0,"",SUMIFS(T_SelfStock_Log[Self_Qty],T_SelfStock_Log[Part Name],$A7,T_SelfStock_Log[WeekIndex],61))</f>
        <v/>
      </c>
      <c r="BK7" s="13">
        <f>IF(COUNTIFS(T_SelfStock_Log[Part Name],$A7,T_SelfStock_Log[WeekIndex],62)=0,"",SUMIFS(T_SelfStock_Log[Self_Qty],T_SelfStock_Log[Part Name],$A7,T_SelfStock_Log[WeekIndex],62))</f>
        <v/>
      </c>
      <c r="BL7" s="13">
        <f>IF(COUNTIFS(T_SelfStock_Log[Part Name],$A7,T_SelfStock_Log[WeekIndex],63)=0,"",SUMIFS(T_SelfStock_Log[Self_Qty],T_SelfStock_Log[Part Name],$A7,T_SelfStock_Log[WeekIndex],63))</f>
        <v/>
      </c>
      <c r="BM7" s="13">
        <f>IF(COUNTIFS(T_SelfStock_Log[Part Name],$A7,T_SelfStock_Log[WeekIndex],64)=0,"",SUMIFS(T_SelfStock_Log[Self_Qty],T_SelfStock_Log[Part Name],$A7,T_SelfStock_Log[WeekIndex],64))</f>
        <v/>
      </c>
      <c r="BN7" s="13">
        <f>IF(COUNTIFS(T_SelfStock_Log[Part Name],$A7,T_SelfStock_Log[WeekIndex],65)=0,"",SUMIFS(T_SelfStock_Log[Self_Qty],T_SelfStock_Log[Part Name],$A7,T_SelfStock_Log[WeekIndex],65))</f>
        <v/>
      </c>
      <c r="BO7" s="13">
        <f>IF(COUNTIFS(T_SelfStock_Log[Part Name],$A7,T_SelfStock_Log[WeekIndex],66)=0,"",SUMIFS(T_SelfStock_Log[Self_Qty],T_SelfStock_Log[Part Name],$A7,T_SelfStock_Log[WeekIndex],66))</f>
        <v/>
      </c>
      <c r="BP7" s="13">
        <f>IF(COUNTIFS(T_SelfStock_Log[Part Name],$A7,T_SelfStock_Log[WeekIndex],67)=0,"",SUMIFS(T_SelfStock_Log[Self_Qty],T_SelfStock_Log[Part Name],$A7,T_SelfStock_Log[WeekIndex],67))</f>
        <v/>
      </c>
      <c r="BQ7" s="13">
        <f>IF(COUNTIFS(T_SelfStock_Log[Part Name],$A7,T_SelfStock_Log[WeekIndex],68)=0,"",SUMIFS(T_SelfStock_Log[Self_Qty],T_SelfStock_Log[Part Name],$A7,T_SelfStock_Log[WeekIndex],68))</f>
        <v/>
      </c>
      <c r="BR7" s="13">
        <f>IF(COUNTIFS(T_SelfStock_Log[Part Name],$A7,T_SelfStock_Log[WeekIndex],69)=0,"",SUMIFS(T_SelfStock_Log[Self_Qty],T_SelfStock_Log[Part Name],$A7,T_SelfStock_Log[WeekIndex],69))</f>
        <v/>
      </c>
      <c r="BS7" s="13">
        <f>IF(COUNTIFS(T_SelfStock_Log[Part Name],$A7,T_SelfStock_Log[WeekIndex],70)=0,"",SUMIFS(T_SelfStock_Log[Self_Qty],T_SelfStock_Log[Part Name],$A7,T_SelfStock_Log[WeekIndex],70))</f>
        <v/>
      </c>
      <c r="BT7" s="13">
        <f>IF(COUNTIFS(T_SelfStock_Log[Part Name],$A7,T_SelfStock_Log[WeekIndex],71)=0,"",SUMIFS(T_SelfStock_Log[Self_Qty],T_SelfStock_Log[Part Name],$A7,T_SelfStock_Log[WeekIndex],71))</f>
        <v/>
      </c>
      <c r="BU7" s="13">
        <f>IF(COUNTIFS(T_SelfStock_Log[Part Name],$A7,T_SelfStock_Log[WeekIndex],72)=0,"",SUMIFS(T_SelfStock_Log[Self_Qty],T_SelfStock_Log[Part Name],$A7,T_SelfStock_Log[WeekIndex],72))</f>
        <v/>
      </c>
      <c r="BV7" s="13">
        <f>IF(COUNTIFS(T_SelfStock_Log[Part Name],$A7,T_SelfStock_Log[WeekIndex],73)=0,"",SUMIFS(T_SelfStock_Log[Self_Qty],T_SelfStock_Log[Part Name],$A7,T_SelfStock_Log[WeekIndex],73))</f>
        <v/>
      </c>
      <c r="BW7" s="13">
        <f>IF(COUNTIFS(T_SelfStock_Log[Part Name],$A7,T_SelfStock_Log[WeekIndex],74)=0,"",SUMIFS(T_SelfStock_Log[Self_Qty],T_SelfStock_Log[Part Name],$A7,T_SelfStock_Log[WeekIndex],74))</f>
        <v/>
      </c>
      <c r="BX7" s="13">
        <f>IF(COUNTIFS(T_SelfStock_Log[Part Name],$A7,T_SelfStock_Log[WeekIndex],75)=0,"",SUMIFS(T_SelfStock_Log[Self_Qty],T_SelfStock_Log[Part Name],$A7,T_SelfStock_Log[WeekIndex],75))</f>
        <v/>
      </c>
      <c r="BY7" s="13">
        <f>IF(COUNTIFS(T_SelfStock_Log[Part Name],$A7,T_SelfStock_Log[WeekIndex],76)=0,"",SUMIFS(T_SelfStock_Log[Self_Qty],T_SelfStock_Log[Part Name],$A7,T_SelfStock_Log[WeekIndex],76))</f>
        <v/>
      </c>
      <c r="BZ7" s="13">
        <f>IF(COUNTIFS(T_SelfStock_Log[Part Name],$A7,T_SelfStock_Log[WeekIndex],77)=0,"",SUMIFS(T_SelfStock_Log[Self_Qty],T_SelfStock_Log[Part Name],$A7,T_SelfStock_Log[WeekIndex],77))</f>
        <v/>
      </c>
      <c r="CA7" s="13">
        <f>IF(COUNTIFS(T_SelfStock_Log[Part Name],$A7,T_SelfStock_Log[WeekIndex],78)=0,"",SUMIFS(T_SelfStock_Log[Self_Qty],T_SelfStock_Log[Part Name],$A7,T_SelfStock_Log[WeekIndex],78))</f>
        <v/>
      </c>
      <c r="CB7" s="13">
        <f>IF(COUNTIFS(T_SelfStock_Log[Part Name],$A7,T_SelfStock_Log[WeekIndex],79)=0,"",SUMIFS(T_SelfStock_Log[Self_Qty],T_SelfStock_Log[Part Name],$A7,T_SelfStock_Log[WeekIndex],79))</f>
        <v/>
      </c>
      <c r="CC7" s="13">
        <f>IF(COUNTIFS(T_SelfStock_Log[Part Name],$A7,T_SelfStock_Log[WeekIndex],80)=0,"",SUMIFS(T_SelfStock_Log[Self_Qty],T_SelfStock_Log[Part Name],$A7,T_SelfStock_Log[WeekIndex],80))</f>
        <v/>
      </c>
      <c r="CD7" s="13">
        <f>IF(COUNTIFS(T_SelfStock_Log[Part Name],$A7,T_SelfStock_Log[WeekIndex],81)=0,"",SUMIFS(T_SelfStock_Log[Self_Qty],T_SelfStock_Log[Part Name],$A7,T_SelfStock_Log[WeekIndex],81))</f>
        <v/>
      </c>
      <c r="CE7" s="13">
        <f>IF(COUNTIFS(T_SelfStock_Log[Part Name],$A7,T_SelfStock_Log[WeekIndex],82)=0,"",SUMIFS(T_SelfStock_Log[Self_Qty],T_SelfStock_Log[Part Name],$A7,T_SelfStock_Log[WeekIndex],82))</f>
        <v/>
      </c>
      <c r="CF7" s="13">
        <f>IF(COUNTIFS(T_SelfStock_Log[Part Name],$A7,T_SelfStock_Log[WeekIndex],83)=0,"",SUMIFS(T_SelfStock_Log[Self_Qty],T_SelfStock_Log[Part Name],$A7,T_SelfStock_Log[WeekIndex],83))</f>
        <v/>
      </c>
      <c r="CG7" s="13">
        <f>IF(COUNTIFS(T_SelfStock_Log[Part Name],$A7,T_SelfStock_Log[WeekIndex],84)=0,"",SUMIFS(T_SelfStock_Log[Self_Qty],T_SelfStock_Log[Part Name],$A7,T_SelfStock_Log[WeekIndex],84))</f>
        <v/>
      </c>
      <c r="CH7" s="13">
        <f>IF(COUNTIFS(T_SelfStock_Log[Part Name],$A7,T_SelfStock_Log[WeekIndex],85)=0,"",SUMIFS(T_SelfStock_Log[Self_Qty],T_SelfStock_Log[Part Name],$A7,T_SelfStock_Log[WeekIndex],85))</f>
        <v/>
      </c>
      <c r="CI7" s="13">
        <f>IF(COUNTIFS(T_SelfStock_Log[Part Name],$A7,T_SelfStock_Log[WeekIndex],86)=0,"",SUMIFS(T_SelfStock_Log[Self_Qty],T_SelfStock_Log[Part Name],$A7,T_SelfStock_Log[WeekIndex],86))</f>
        <v/>
      </c>
      <c r="CJ7" s="13">
        <f>IF(COUNTIFS(T_SelfStock_Log[Part Name],$A7,T_SelfStock_Log[WeekIndex],87)=0,"",SUMIFS(T_SelfStock_Log[Self_Qty],T_SelfStock_Log[Part Name],$A7,T_SelfStock_Log[WeekIndex],87))</f>
        <v/>
      </c>
      <c r="CK7" s="13">
        <f>IF(COUNTIFS(T_SelfStock_Log[Part Name],$A7,T_SelfStock_Log[WeekIndex],88)=0,"",SUMIFS(T_SelfStock_Log[Self_Qty],T_SelfStock_Log[Part Name],$A7,T_SelfStock_Log[WeekIndex],88))</f>
        <v/>
      </c>
      <c r="CL7" s="13">
        <f>IF(COUNTIFS(T_SelfStock_Log[Part Name],$A7,T_SelfStock_Log[WeekIndex],89)=0,"",SUMIFS(T_SelfStock_Log[Self_Qty],T_SelfStock_Log[Part Name],$A7,T_SelfStock_Log[WeekIndex],89))</f>
        <v/>
      </c>
      <c r="CM7" s="13">
        <f>IF(COUNTIFS(T_SelfStock_Log[Part Name],$A7,T_SelfStock_Log[WeekIndex],90)=0,"",SUMIFS(T_SelfStock_Log[Self_Qty],T_SelfStock_Log[Part Name],$A7,T_SelfStock_Log[WeekIndex],90))</f>
        <v/>
      </c>
      <c r="CN7" s="13">
        <f>IF(COUNTIFS(T_SelfStock_Log[Part Name],$A7,T_SelfStock_Log[WeekIndex],91)=0,"",SUMIFS(T_SelfStock_Log[Self_Qty],T_SelfStock_Log[Part Name],$A7,T_SelfStock_Log[WeekIndex],91))</f>
        <v/>
      </c>
      <c r="CO7" s="13">
        <f>IF(COUNTIFS(T_SelfStock_Log[Part Name],$A7,T_SelfStock_Log[WeekIndex],92)=0,"",SUMIFS(T_SelfStock_Log[Self_Qty],T_SelfStock_Log[Part Name],$A7,T_SelfStock_Log[WeekIndex],92))</f>
        <v/>
      </c>
      <c r="CP7" s="13">
        <f>IF(COUNTIFS(T_SelfStock_Log[Part Name],$A7,T_SelfStock_Log[WeekIndex],93)=0,"",SUMIFS(T_SelfStock_Log[Self_Qty],T_SelfStock_Log[Part Name],$A7,T_SelfStock_Log[WeekIndex],93))</f>
        <v/>
      </c>
      <c r="CQ7" s="13">
        <f>IF(COUNTIFS(T_SelfStock_Log[Part Name],$A7,T_SelfStock_Log[WeekIndex],94)=0,"",SUMIFS(T_SelfStock_Log[Self_Qty],T_SelfStock_Log[Part Name],$A7,T_SelfStock_Log[WeekIndex],94))</f>
        <v/>
      </c>
      <c r="CR7" s="13">
        <f>IF(COUNTIFS(T_SelfStock_Log[Part Name],$A7,T_SelfStock_Log[WeekIndex],95)=0,"",SUMIFS(T_SelfStock_Log[Self_Qty],T_SelfStock_Log[Part Name],$A7,T_SelfStock_Log[WeekIndex],95))</f>
        <v/>
      </c>
      <c r="CS7" s="13">
        <f>IF(COUNTIFS(T_SelfStock_Log[Part Name],$A7,T_SelfStock_Log[WeekIndex],96)=0,"",SUMIFS(T_SelfStock_Log[Self_Qty],T_SelfStock_Log[Part Name],$A7,T_SelfStock_Log[WeekIndex],96))</f>
        <v/>
      </c>
      <c r="CT7" s="13">
        <f>IF(COUNTIFS(T_SelfStock_Log[Part Name],$A7,T_SelfStock_Log[WeekIndex],97)=0,"",SUMIFS(T_SelfStock_Log[Self_Qty],T_SelfStock_Log[Part Name],$A7,T_SelfStock_Log[WeekIndex],97))</f>
        <v/>
      </c>
      <c r="CU7" s="13">
        <f>IF(COUNTIFS(T_SelfStock_Log[Part Name],$A7,T_SelfStock_Log[WeekIndex],98)=0,"",SUMIFS(T_SelfStock_Log[Self_Qty],T_SelfStock_Log[Part Name],$A7,T_SelfStock_Log[WeekIndex],98))</f>
        <v/>
      </c>
      <c r="CV7" s="13">
        <f>IF(COUNTIFS(T_SelfStock_Log[Part Name],$A7,T_SelfStock_Log[WeekIndex],99)=0,"",SUMIFS(T_SelfStock_Log[Self_Qty],T_SelfStock_Log[Part Name],$A7,T_SelfStock_Log[WeekIndex],99))</f>
        <v/>
      </c>
      <c r="CW7" s="13">
        <f>IF(COUNTIFS(T_SelfStock_Log[Part Name],$A7,T_SelfStock_Log[WeekIndex],100)=0,"",SUMIFS(T_SelfStock_Log[Self_Qty],T_SelfStock_Log[Part Name],$A7,T_SelfStock_Log[WeekIndex],100))</f>
        <v/>
      </c>
      <c r="CX7" s="13">
        <f>IF(COUNTIFS(T_SelfStock_Log[Part Name],$A7,T_SelfStock_Log[WeekIndex],101)=0,"",SUMIFS(T_SelfStock_Log[Self_Qty],T_SelfStock_Log[Part Name],$A7,T_SelfStock_Log[WeekIndex],101))</f>
        <v/>
      </c>
      <c r="CY7" s="13">
        <f>IF(COUNTIFS(T_SelfStock_Log[Part Name],$A7,T_SelfStock_Log[WeekIndex],102)=0,"",SUMIFS(T_SelfStock_Log[Self_Qty],T_SelfStock_Log[Part Name],$A7,T_SelfStock_Log[WeekIndex],102))</f>
        <v/>
      </c>
      <c r="CZ7" s="13">
        <f>IF(COUNTIFS(T_SelfStock_Log[Part Name],$A7,T_SelfStock_Log[WeekIndex],103)=0,"",SUMIFS(T_SelfStock_Log[Self_Qty],T_SelfStock_Log[Part Name],$A7,T_SelfStock_Log[WeekIndex],103))</f>
        <v/>
      </c>
      <c r="DA7" s="13">
        <f>IF(COUNTIFS(T_SelfStock_Log[Part Name],$A7,T_SelfStock_Log[WeekIndex],104)=0,"",SUMIFS(T_SelfStock_Log[Self_Qty],T_SelfStock_Log[Part Name],$A7,T_SelfStock_Log[WeekIndex],104))</f>
        <v/>
      </c>
    </row>
    <row r="8">
      <c r="A8" s="12" t="inlineStr">
        <is>
          <t>CHEM-1700</t>
        </is>
      </c>
      <c r="B8" s="12">
        <f>IF(COUNTIFS(T_SelfStock_Log[Part Name],$A8,T_SelfStock_Log[WeekIndex],1)=0,"",SUMIFS(T_SelfStock_Log[Self_Qty],T_SelfStock_Log[Part Name],$A8,T_SelfStock_Log[WeekIndex],1))</f>
        <v/>
      </c>
      <c r="C8" s="12">
        <f>IF(COUNTIFS(T_SelfStock_Log[Part Name],$A8,T_SelfStock_Log[WeekIndex],2)=0,"",SUMIFS(T_SelfStock_Log[Self_Qty],T_SelfStock_Log[Part Name],$A8,T_SelfStock_Log[WeekIndex],2))</f>
        <v/>
      </c>
      <c r="D8" s="12">
        <f>IF(COUNTIFS(T_SelfStock_Log[Part Name],$A8,T_SelfStock_Log[WeekIndex],3)=0,"",SUMIFS(T_SelfStock_Log[Self_Qty],T_SelfStock_Log[Part Name],$A8,T_SelfStock_Log[WeekIndex],3))</f>
        <v/>
      </c>
      <c r="E8" s="12">
        <f>IF(COUNTIFS(T_SelfStock_Log[Part Name],$A8,T_SelfStock_Log[WeekIndex],4)=0,"",SUMIFS(T_SelfStock_Log[Self_Qty],T_SelfStock_Log[Part Name],$A8,T_SelfStock_Log[WeekIndex],4))</f>
        <v/>
      </c>
      <c r="F8" s="12">
        <f>IF(COUNTIFS(T_SelfStock_Log[Part Name],$A8,T_SelfStock_Log[WeekIndex],5)=0,"",SUMIFS(T_SelfStock_Log[Self_Qty],T_SelfStock_Log[Part Name],$A8,T_SelfStock_Log[WeekIndex],5))</f>
        <v/>
      </c>
      <c r="G8" s="12">
        <f>IF(COUNTIFS(T_SelfStock_Log[Part Name],$A8,T_SelfStock_Log[WeekIndex],6)=0,"",SUMIFS(T_SelfStock_Log[Self_Qty],T_SelfStock_Log[Part Name],$A8,T_SelfStock_Log[WeekIndex],6))</f>
        <v/>
      </c>
      <c r="H8" s="12">
        <f>IF(COUNTIFS(T_SelfStock_Log[Part Name],$A8,T_SelfStock_Log[WeekIndex],7)=0,"",SUMIFS(T_SelfStock_Log[Self_Qty],T_SelfStock_Log[Part Name],$A8,T_SelfStock_Log[WeekIndex],7))</f>
        <v/>
      </c>
      <c r="I8" s="12">
        <f>IF(COUNTIFS(T_SelfStock_Log[Part Name],$A8,T_SelfStock_Log[WeekIndex],8)=0,"",SUMIFS(T_SelfStock_Log[Self_Qty],T_SelfStock_Log[Part Name],$A8,T_SelfStock_Log[WeekIndex],8))</f>
        <v/>
      </c>
      <c r="J8" s="12">
        <f>IF(COUNTIFS(T_SelfStock_Log[Part Name],$A8,T_SelfStock_Log[WeekIndex],9)=0,"",SUMIFS(T_SelfStock_Log[Self_Qty],T_SelfStock_Log[Part Name],$A8,T_SelfStock_Log[WeekIndex],9))</f>
        <v/>
      </c>
      <c r="K8" s="12">
        <f>IF(COUNTIFS(T_SelfStock_Log[Part Name],$A8,T_SelfStock_Log[WeekIndex],10)=0,"",SUMIFS(T_SelfStock_Log[Self_Qty],T_SelfStock_Log[Part Name],$A8,T_SelfStock_Log[WeekIndex],10))</f>
        <v/>
      </c>
      <c r="L8" s="12">
        <f>IF(COUNTIFS(T_SelfStock_Log[Part Name],$A8,T_SelfStock_Log[WeekIndex],11)=0,"",SUMIFS(T_SelfStock_Log[Self_Qty],T_SelfStock_Log[Part Name],$A8,T_SelfStock_Log[WeekIndex],11))</f>
        <v/>
      </c>
      <c r="M8" s="12">
        <f>IF(COUNTIFS(T_SelfStock_Log[Part Name],$A8,T_SelfStock_Log[WeekIndex],12)=0,"",SUMIFS(T_SelfStock_Log[Self_Qty],T_SelfStock_Log[Part Name],$A8,T_SelfStock_Log[WeekIndex],12))</f>
        <v/>
      </c>
      <c r="N8" s="12">
        <f>IF(COUNTIFS(T_SelfStock_Log[Part Name],$A8,T_SelfStock_Log[WeekIndex],13)=0,"",SUMIFS(T_SelfStock_Log[Self_Qty],T_SelfStock_Log[Part Name],$A8,T_SelfStock_Log[WeekIndex],13))</f>
        <v/>
      </c>
      <c r="O8" s="12">
        <f>IF(COUNTIFS(T_SelfStock_Log[Part Name],$A8,T_SelfStock_Log[WeekIndex],14)=0,"",SUMIFS(T_SelfStock_Log[Self_Qty],T_SelfStock_Log[Part Name],$A8,T_SelfStock_Log[WeekIndex],14))</f>
        <v/>
      </c>
      <c r="P8" s="12">
        <f>IF(COUNTIFS(T_SelfStock_Log[Part Name],$A8,T_SelfStock_Log[WeekIndex],15)=0,"",SUMIFS(T_SelfStock_Log[Self_Qty],T_SelfStock_Log[Part Name],$A8,T_SelfStock_Log[WeekIndex],15))</f>
        <v/>
      </c>
      <c r="Q8" s="12">
        <f>IF(COUNTIFS(T_SelfStock_Log[Part Name],$A8,T_SelfStock_Log[WeekIndex],16)=0,"",SUMIFS(T_SelfStock_Log[Self_Qty],T_SelfStock_Log[Part Name],$A8,T_SelfStock_Log[WeekIndex],16))</f>
        <v/>
      </c>
      <c r="R8" s="12">
        <f>IF(COUNTIFS(T_SelfStock_Log[Part Name],$A8,T_SelfStock_Log[WeekIndex],17)=0,"",SUMIFS(T_SelfStock_Log[Self_Qty],T_SelfStock_Log[Part Name],$A8,T_SelfStock_Log[WeekIndex],17))</f>
        <v/>
      </c>
      <c r="S8" s="12">
        <f>IF(COUNTIFS(T_SelfStock_Log[Part Name],$A8,T_SelfStock_Log[WeekIndex],18)=0,"",SUMIFS(T_SelfStock_Log[Self_Qty],T_SelfStock_Log[Part Name],$A8,T_SelfStock_Log[WeekIndex],18))</f>
        <v/>
      </c>
      <c r="T8" s="12">
        <f>IF(COUNTIFS(T_SelfStock_Log[Part Name],$A8,T_SelfStock_Log[WeekIndex],19)=0,"",SUMIFS(T_SelfStock_Log[Self_Qty],T_SelfStock_Log[Part Name],$A8,T_SelfStock_Log[WeekIndex],19))</f>
        <v/>
      </c>
      <c r="U8" s="12">
        <f>IF(COUNTIFS(T_SelfStock_Log[Part Name],$A8,T_SelfStock_Log[WeekIndex],20)=0,"",SUMIFS(T_SelfStock_Log[Self_Qty],T_SelfStock_Log[Part Name],$A8,T_SelfStock_Log[WeekIndex],20))</f>
        <v/>
      </c>
      <c r="V8" s="12">
        <f>IF(COUNTIFS(T_SelfStock_Log[Part Name],$A8,T_SelfStock_Log[WeekIndex],21)=0,"",SUMIFS(T_SelfStock_Log[Self_Qty],T_SelfStock_Log[Part Name],$A8,T_SelfStock_Log[WeekIndex],21))</f>
        <v/>
      </c>
      <c r="W8" s="12">
        <f>IF(COUNTIFS(T_SelfStock_Log[Part Name],$A8,T_SelfStock_Log[WeekIndex],22)=0,"",SUMIFS(T_SelfStock_Log[Self_Qty],T_SelfStock_Log[Part Name],$A8,T_SelfStock_Log[WeekIndex],22))</f>
        <v/>
      </c>
      <c r="X8" s="12">
        <f>IF(COUNTIFS(T_SelfStock_Log[Part Name],$A8,T_SelfStock_Log[WeekIndex],23)=0,"",SUMIFS(T_SelfStock_Log[Self_Qty],T_SelfStock_Log[Part Name],$A8,T_SelfStock_Log[WeekIndex],23))</f>
        <v/>
      </c>
      <c r="Y8" s="12">
        <f>IF(COUNTIFS(T_SelfStock_Log[Part Name],$A8,T_SelfStock_Log[WeekIndex],24)=0,"",SUMIFS(T_SelfStock_Log[Self_Qty],T_SelfStock_Log[Part Name],$A8,T_SelfStock_Log[WeekIndex],24))</f>
        <v/>
      </c>
      <c r="Z8" s="12">
        <f>IF(COUNTIFS(T_SelfStock_Log[Part Name],$A8,T_SelfStock_Log[WeekIndex],25)=0,"",SUMIFS(T_SelfStock_Log[Self_Qty],T_SelfStock_Log[Part Name],$A8,T_SelfStock_Log[WeekIndex],25))</f>
        <v/>
      </c>
      <c r="AA8" s="12">
        <f>IF(COUNTIFS(T_SelfStock_Log[Part Name],$A8,T_SelfStock_Log[WeekIndex],26)=0,"",SUMIFS(T_SelfStock_Log[Self_Qty],T_SelfStock_Log[Part Name],$A8,T_SelfStock_Log[WeekIndex],26))</f>
        <v/>
      </c>
      <c r="AB8" s="12">
        <f>IF(COUNTIFS(T_SelfStock_Log[Part Name],$A8,T_SelfStock_Log[WeekIndex],27)=0,"",SUMIFS(T_SelfStock_Log[Self_Qty],T_SelfStock_Log[Part Name],$A8,T_SelfStock_Log[WeekIndex],27))</f>
        <v/>
      </c>
      <c r="AC8" s="12">
        <f>IF(COUNTIFS(T_SelfStock_Log[Part Name],$A8,T_SelfStock_Log[WeekIndex],28)=0,"",SUMIFS(T_SelfStock_Log[Self_Qty],T_SelfStock_Log[Part Name],$A8,T_SelfStock_Log[WeekIndex],28))</f>
        <v/>
      </c>
      <c r="AD8" s="12">
        <f>IF(COUNTIFS(T_SelfStock_Log[Part Name],$A8,T_SelfStock_Log[WeekIndex],29)=0,"",SUMIFS(T_SelfStock_Log[Self_Qty],T_SelfStock_Log[Part Name],$A8,T_SelfStock_Log[WeekIndex],29))</f>
        <v/>
      </c>
      <c r="AE8" s="12">
        <f>IF(COUNTIFS(T_SelfStock_Log[Part Name],$A8,T_SelfStock_Log[WeekIndex],30)=0,"",SUMIFS(T_SelfStock_Log[Self_Qty],T_SelfStock_Log[Part Name],$A8,T_SelfStock_Log[WeekIndex],30))</f>
        <v/>
      </c>
      <c r="AF8" s="12">
        <f>IF(COUNTIFS(T_SelfStock_Log[Part Name],$A8,T_SelfStock_Log[WeekIndex],31)=0,"",SUMIFS(T_SelfStock_Log[Self_Qty],T_SelfStock_Log[Part Name],$A8,T_SelfStock_Log[WeekIndex],31))</f>
        <v/>
      </c>
      <c r="AG8" s="12">
        <f>IF(COUNTIFS(T_SelfStock_Log[Part Name],$A8,T_SelfStock_Log[WeekIndex],32)=0,"",SUMIFS(T_SelfStock_Log[Self_Qty],T_SelfStock_Log[Part Name],$A8,T_SelfStock_Log[WeekIndex],32))</f>
        <v/>
      </c>
      <c r="AH8" s="12">
        <f>IF(COUNTIFS(T_SelfStock_Log[Part Name],$A8,T_SelfStock_Log[WeekIndex],33)=0,"",SUMIFS(T_SelfStock_Log[Self_Qty],T_SelfStock_Log[Part Name],$A8,T_SelfStock_Log[WeekIndex],33))</f>
        <v/>
      </c>
      <c r="AI8" s="12">
        <f>IF(COUNTIFS(T_SelfStock_Log[Part Name],$A8,T_SelfStock_Log[WeekIndex],34)=0,"",SUMIFS(T_SelfStock_Log[Self_Qty],T_SelfStock_Log[Part Name],$A8,T_SelfStock_Log[WeekIndex],34))</f>
        <v/>
      </c>
      <c r="AJ8" s="12">
        <f>IF(COUNTIFS(T_SelfStock_Log[Part Name],$A8,T_SelfStock_Log[WeekIndex],35)=0,"",SUMIFS(T_SelfStock_Log[Self_Qty],T_SelfStock_Log[Part Name],$A8,T_SelfStock_Log[WeekIndex],35))</f>
        <v/>
      </c>
      <c r="AK8" s="12">
        <f>IF(COUNTIFS(T_SelfStock_Log[Part Name],$A8,T_SelfStock_Log[WeekIndex],36)=0,"",SUMIFS(T_SelfStock_Log[Self_Qty],T_SelfStock_Log[Part Name],$A8,T_SelfStock_Log[WeekIndex],36))</f>
        <v/>
      </c>
      <c r="AL8" s="12">
        <f>IF(COUNTIFS(T_SelfStock_Log[Part Name],$A8,T_SelfStock_Log[WeekIndex],37)=0,"",SUMIFS(T_SelfStock_Log[Self_Qty],T_SelfStock_Log[Part Name],$A8,T_SelfStock_Log[WeekIndex],37))</f>
        <v/>
      </c>
      <c r="AM8" s="12">
        <f>IF(COUNTIFS(T_SelfStock_Log[Part Name],$A8,T_SelfStock_Log[WeekIndex],38)=0,"",SUMIFS(T_SelfStock_Log[Self_Qty],T_SelfStock_Log[Part Name],$A8,T_SelfStock_Log[WeekIndex],38))</f>
        <v/>
      </c>
      <c r="AN8" s="12">
        <f>IF(COUNTIFS(T_SelfStock_Log[Part Name],$A8,T_SelfStock_Log[WeekIndex],39)=0,"",SUMIFS(T_SelfStock_Log[Self_Qty],T_SelfStock_Log[Part Name],$A8,T_SelfStock_Log[WeekIndex],39))</f>
        <v/>
      </c>
      <c r="AO8" s="12">
        <f>IF(COUNTIFS(T_SelfStock_Log[Part Name],$A8,T_SelfStock_Log[WeekIndex],40)=0,"",SUMIFS(T_SelfStock_Log[Self_Qty],T_SelfStock_Log[Part Name],$A8,T_SelfStock_Log[WeekIndex],40))</f>
        <v/>
      </c>
      <c r="AP8" s="12">
        <f>IF(COUNTIFS(T_SelfStock_Log[Part Name],$A8,T_SelfStock_Log[WeekIndex],41)=0,"",SUMIFS(T_SelfStock_Log[Self_Qty],T_SelfStock_Log[Part Name],$A8,T_SelfStock_Log[WeekIndex],41))</f>
        <v/>
      </c>
      <c r="AQ8" s="12">
        <f>IF(COUNTIFS(T_SelfStock_Log[Part Name],$A8,T_SelfStock_Log[WeekIndex],42)=0,"",SUMIFS(T_SelfStock_Log[Self_Qty],T_SelfStock_Log[Part Name],$A8,T_SelfStock_Log[WeekIndex],42))</f>
        <v/>
      </c>
      <c r="AR8" s="12">
        <f>IF(COUNTIFS(T_SelfStock_Log[Part Name],$A8,T_SelfStock_Log[WeekIndex],43)=0,"",SUMIFS(T_SelfStock_Log[Self_Qty],T_SelfStock_Log[Part Name],$A8,T_SelfStock_Log[WeekIndex],43))</f>
        <v/>
      </c>
      <c r="AS8" s="12">
        <f>IF(COUNTIFS(T_SelfStock_Log[Part Name],$A8,T_SelfStock_Log[WeekIndex],44)=0,"",SUMIFS(T_SelfStock_Log[Self_Qty],T_SelfStock_Log[Part Name],$A8,T_SelfStock_Log[WeekIndex],44))</f>
        <v/>
      </c>
      <c r="AT8" s="12">
        <f>IF(COUNTIFS(T_SelfStock_Log[Part Name],$A8,T_SelfStock_Log[WeekIndex],45)=0,"",SUMIFS(T_SelfStock_Log[Self_Qty],T_SelfStock_Log[Part Name],$A8,T_SelfStock_Log[WeekIndex],45))</f>
        <v/>
      </c>
      <c r="AU8" s="12">
        <f>IF(COUNTIFS(T_SelfStock_Log[Part Name],$A8,T_SelfStock_Log[WeekIndex],46)=0,"",SUMIFS(T_SelfStock_Log[Self_Qty],T_SelfStock_Log[Part Name],$A8,T_SelfStock_Log[WeekIndex],46))</f>
        <v/>
      </c>
      <c r="AV8" s="12">
        <f>IF(COUNTIFS(T_SelfStock_Log[Part Name],$A8,T_SelfStock_Log[WeekIndex],47)=0,"",SUMIFS(T_SelfStock_Log[Self_Qty],T_SelfStock_Log[Part Name],$A8,T_SelfStock_Log[WeekIndex],47))</f>
        <v/>
      </c>
      <c r="AW8" s="12">
        <f>IF(COUNTIFS(T_SelfStock_Log[Part Name],$A8,T_SelfStock_Log[WeekIndex],48)=0,"",SUMIFS(T_SelfStock_Log[Self_Qty],T_SelfStock_Log[Part Name],$A8,T_SelfStock_Log[WeekIndex],48))</f>
        <v/>
      </c>
      <c r="AX8" s="12">
        <f>IF(COUNTIFS(T_SelfStock_Log[Part Name],$A8,T_SelfStock_Log[WeekIndex],49)=0,"",SUMIFS(T_SelfStock_Log[Self_Qty],T_SelfStock_Log[Part Name],$A8,T_SelfStock_Log[WeekIndex],49))</f>
        <v/>
      </c>
      <c r="AY8" s="12">
        <f>IF(COUNTIFS(T_SelfStock_Log[Part Name],$A8,T_SelfStock_Log[WeekIndex],50)=0,"",SUMIFS(T_SelfStock_Log[Self_Qty],T_SelfStock_Log[Part Name],$A8,T_SelfStock_Log[WeekIndex],50))</f>
        <v/>
      </c>
      <c r="AZ8" s="12">
        <f>IF(COUNTIFS(T_SelfStock_Log[Part Name],$A8,T_SelfStock_Log[WeekIndex],51)=0,"",SUMIFS(T_SelfStock_Log[Self_Qty],T_SelfStock_Log[Part Name],$A8,T_SelfStock_Log[WeekIndex],51))</f>
        <v/>
      </c>
      <c r="BA8" s="12">
        <f>IF(COUNTIFS(T_SelfStock_Log[Part Name],$A8,T_SelfStock_Log[WeekIndex],52)=0,"",SUMIFS(T_SelfStock_Log[Self_Qty],T_SelfStock_Log[Part Name],$A8,T_SelfStock_Log[WeekIndex],52))</f>
        <v/>
      </c>
      <c r="BB8" s="12">
        <f>IF(COUNTIFS(T_SelfStock_Log[Part Name],$A8,T_SelfStock_Log[WeekIndex],53)=0,"",SUMIFS(T_SelfStock_Log[Self_Qty],T_SelfStock_Log[Part Name],$A8,T_SelfStock_Log[WeekIndex],53))</f>
        <v/>
      </c>
      <c r="BC8" s="12">
        <f>IF(COUNTIFS(T_SelfStock_Log[Part Name],$A8,T_SelfStock_Log[WeekIndex],54)=0,"",SUMIFS(T_SelfStock_Log[Self_Qty],T_SelfStock_Log[Part Name],$A8,T_SelfStock_Log[WeekIndex],54))</f>
        <v/>
      </c>
      <c r="BD8" s="12">
        <f>IF(COUNTIFS(T_SelfStock_Log[Part Name],$A8,T_SelfStock_Log[WeekIndex],55)=0,"",SUMIFS(T_SelfStock_Log[Self_Qty],T_SelfStock_Log[Part Name],$A8,T_SelfStock_Log[WeekIndex],55))</f>
        <v/>
      </c>
      <c r="BE8" s="12">
        <f>IF(COUNTIFS(T_SelfStock_Log[Part Name],$A8,T_SelfStock_Log[WeekIndex],56)=0,"",SUMIFS(T_SelfStock_Log[Self_Qty],T_SelfStock_Log[Part Name],$A8,T_SelfStock_Log[WeekIndex],56))</f>
        <v/>
      </c>
      <c r="BF8" s="12">
        <f>IF(COUNTIFS(T_SelfStock_Log[Part Name],$A8,T_SelfStock_Log[WeekIndex],57)=0,"",SUMIFS(T_SelfStock_Log[Self_Qty],T_SelfStock_Log[Part Name],$A8,T_SelfStock_Log[WeekIndex],57))</f>
        <v/>
      </c>
      <c r="BG8" s="12">
        <f>IF(COUNTIFS(T_SelfStock_Log[Part Name],$A8,T_SelfStock_Log[WeekIndex],58)=0,"",SUMIFS(T_SelfStock_Log[Self_Qty],T_SelfStock_Log[Part Name],$A8,T_SelfStock_Log[WeekIndex],58))</f>
        <v/>
      </c>
      <c r="BH8" s="12">
        <f>IF(COUNTIFS(T_SelfStock_Log[Part Name],$A8,T_SelfStock_Log[WeekIndex],59)=0,"",SUMIFS(T_SelfStock_Log[Self_Qty],T_SelfStock_Log[Part Name],$A8,T_SelfStock_Log[WeekIndex],59))</f>
        <v/>
      </c>
      <c r="BI8" s="12">
        <f>IF(COUNTIFS(T_SelfStock_Log[Part Name],$A8,T_SelfStock_Log[WeekIndex],60)=0,"",SUMIFS(T_SelfStock_Log[Self_Qty],T_SelfStock_Log[Part Name],$A8,T_SelfStock_Log[WeekIndex],60))</f>
        <v/>
      </c>
      <c r="BJ8" s="12">
        <f>IF(COUNTIFS(T_SelfStock_Log[Part Name],$A8,T_SelfStock_Log[WeekIndex],61)=0,"",SUMIFS(T_SelfStock_Log[Self_Qty],T_SelfStock_Log[Part Name],$A8,T_SelfStock_Log[WeekIndex],61))</f>
        <v/>
      </c>
      <c r="BK8" s="12">
        <f>IF(COUNTIFS(T_SelfStock_Log[Part Name],$A8,T_SelfStock_Log[WeekIndex],62)=0,"",SUMIFS(T_SelfStock_Log[Self_Qty],T_SelfStock_Log[Part Name],$A8,T_SelfStock_Log[WeekIndex],62))</f>
        <v/>
      </c>
      <c r="BL8" s="12">
        <f>IF(COUNTIFS(T_SelfStock_Log[Part Name],$A8,T_SelfStock_Log[WeekIndex],63)=0,"",SUMIFS(T_SelfStock_Log[Self_Qty],T_SelfStock_Log[Part Name],$A8,T_SelfStock_Log[WeekIndex],63))</f>
        <v/>
      </c>
      <c r="BM8" s="12">
        <f>IF(COUNTIFS(T_SelfStock_Log[Part Name],$A8,T_SelfStock_Log[WeekIndex],64)=0,"",SUMIFS(T_SelfStock_Log[Self_Qty],T_SelfStock_Log[Part Name],$A8,T_SelfStock_Log[WeekIndex],64))</f>
        <v/>
      </c>
      <c r="BN8" s="12">
        <f>IF(COUNTIFS(T_SelfStock_Log[Part Name],$A8,T_SelfStock_Log[WeekIndex],65)=0,"",SUMIFS(T_SelfStock_Log[Self_Qty],T_SelfStock_Log[Part Name],$A8,T_SelfStock_Log[WeekIndex],65))</f>
        <v/>
      </c>
      <c r="BO8" s="12">
        <f>IF(COUNTIFS(T_SelfStock_Log[Part Name],$A8,T_SelfStock_Log[WeekIndex],66)=0,"",SUMIFS(T_SelfStock_Log[Self_Qty],T_SelfStock_Log[Part Name],$A8,T_SelfStock_Log[WeekIndex],66))</f>
        <v/>
      </c>
      <c r="BP8" s="12">
        <f>IF(COUNTIFS(T_SelfStock_Log[Part Name],$A8,T_SelfStock_Log[WeekIndex],67)=0,"",SUMIFS(T_SelfStock_Log[Self_Qty],T_SelfStock_Log[Part Name],$A8,T_SelfStock_Log[WeekIndex],67))</f>
        <v/>
      </c>
      <c r="BQ8" s="12">
        <f>IF(COUNTIFS(T_SelfStock_Log[Part Name],$A8,T_SelfStock_Log[WeekIndex],68)=0,"",SUMIFS(T_SelfStock_Log[Self_Qty],T_SelfStock_Log[Part Name],$A8,T_SelfStock_Log[WeekIndex],68))</f>
        <v/>
      </c>
      <c r="BR8" s="12">
        <f>IF(COUNTIFS(T_SelfStock_Log[Part Name],$A8,T_SelfStock_Log[WeekIndex],69)=0,"",SUMIFS(T_SelfStock_Log[Self_Qty],T_SelfStock_Log[Part Name],$A8,T_SelfStock_Log[WeekIndex],69))</f>
        <v/>
      </c>
      <c r="BS8" s="12">
        <f>IF(COUNTIFS(T_SelfStock_Log[Part Name],$A8,T_SelfStock_Log[WeekIndex],70)=0,"",SUMIFS(T_SelfStock_Log[Self_Qty],T_SelfStock_Log[Part Name],$A8,T_SelfStock_Log[WeekIndex],70))</f>
        <v/>
      </c>
      <c r="BT8" s="12">
        <f>IF(COUNTIFS(T_SelfStock_Log[Part Name],$A8,T_SelfStock_Log[WeekIndex],71)=0,"",SUMIFS(T_SelfStock_Log[Self_Qty],T_SelfStock_Log[Part Name],$A8,T_SelfStock_Log[WeekIndex],71))</f>
        <v/>
      </c>
      <c r="BU8" s="12">
        <f>IF(COUNTIFS(T_SelfStock_Log[Part Name],$A8,T_SelfStock_Log[WeekIndex],72)=0,"",SUMIFS(T_SelfStock_Log[Self_Qty],T_SelfStock_Log[Part Name],$A8,T_SelfStock_Log[WeekIndex],72))</f>
        <v/>
      </c>
      <c r="BV8" s="12">
        <f>IF(COUNTIFS(T_SelfStock_Log[Part Name],$A8,T_SelfStock_Log[WeekIndex],73)=0,"",SUMIFS(T_SelfStock_Log[Self_Qty],T_SelfStock_Log[Part Name],$A8,T_SelfStock_Log[WeekIndex],73))</f>
        <v/>
      </c>
      <c r="BW8" s="12">
        <f>IF(COUNTIFS(T_SelfStock_Log[Part Name],$A8,T_SelfStock_Log[WeekIndex],74)=0,"",SUMIFS(T_SelfStock_Log[Self_Qty],T_SelfStock_Log[Part Name],$A8,T_SelfStock_Log[WeekIndex],74))</f>
        <v/>
      </c>
      <c r="BX8" s="12">
        <f>IF(COUNTIFS(T_SelfStock_Log[Part Name],$A8,T_SelfStock_Log[WeekIndex],75)=0,"",SUMIFS(T_SelfStock_Log[Self_Qty],T_SelfStock_Log[Part Name],$A8,T_SelfStock_Log[WeekIndex],75))</f>
        <v/>
      </c>
      <c r="BY8" s="12">
        <f>IF(COUNTIFS(T_SelfStock_Log[Part Name],$A8,T_SelfStock_Log[WeekIndex],76)=0,"",SUMIFS(T_SelfStock_Log[Self_Qty],T_SelfStock_Log[Part Name],$A8,T_SelfStock_Log[WeekIndex],76))</f>
        <v/>
      </c>
      <c r="BZ8" s="12">
        <f>IF(COUNTIFS(T_SelfStock_Log[Part Name],$A8,T_SelfStock_Log[WeekIndex],77)=0,"",SUMIFS(T_SelfStock_Log[Self_Qty],T_SelfStock_Log[Part Name],$A8,T_SelfStock_Log[WeekIndex],77))</f>
        <v/>
      </c>
      <c r="CA8" s="12">
        <f>IF(COUNTIFS(T_SelfStock_Log[Part Name],$A8,T_SelfStock_Log[WeekIndex],78)=0,"",SUMIFS(T_SelfStock_Log[Self_Qty],T_SelfStock_Log[Part Name],$A8,T_SelfStock_Log[WeekIndex],78))</f>
        <v/>
      </c>
      <c r="CB8" s="12">
        <f>IF(COUNTIFS(T_SelfStock_Log[Part Name],$A8,T_SelfStock_Log[WeekIndex],79)=0,"",SUMIFS(T_SelfStock_Log[Self_Qty],T_SelfStock_Log[Part Name],$A8,T_SelfStock_Log[WeekIndex],79))</f>
        <v/>
      </c>
      <c r="CC8" s="12">
        <f>IF(COUNTIFS(T_SelfStock_Log[Part Name],$A8,T_SelfStock_Log[WeekIndex],80)=0,"",SUMIFS(T_SelfStock_Log[Self_Qty],T_SelfStock_Log[Part Name],$A8,T_SelfStock_Log[WeekIndex],80))</f>
        <v/>
      </c>
      <c r="CD8" s="12">
        <f>IF(COUNTIFS(T_SelfStock_Log[Part Name],$A8,T_SelfStock_Log[WeekIndex],81)=0,"",SUMIFS(T_SelfStock_Log[Self_Qty],T_SelfStock_Log[Part Name],$A8,T_SelfStock_Log[WeekIndex],81))</f>
        <v/>
      </c>
      <c r="CE8" s="12">
        <f>IF(COUNTIFS(T_SelfStock_Log[Part Name],$A8,T_SelfStock_Log[WeekIndex],82)=0,"",SUMIFS(T_SelfStock_Log[Self_Qty],T_SelfStock_Log[Part Name],$A8,T_SelfStock_Log[WeekIndex],82))</f>
        <v/>
      </c>
      <c r="CF8" s="12">
        <f>IF(COUNTIFS(T_SelfStock_Log[Part Name],$A8,T_SelfStock_Log[WeekIndex],83)=0,"",SUMIFS(T_SelfStock_Log[Self_Qty],T_SelfStock_Log[Part Name],$A8,T_SelfStock_Log[WeekIndex],83))</f>
        <v/>
      </c>
      <c r="CG8" s="12">
        <f>IF(COUNTIFS(T_SelfStock_Log[Part Name],$A8,T_SelfStock_Log[WeekIndex],84)=0,"",SUMIFS(T_SelfStock_Log[Self_Qty],T_SelfStock_Log[Part Name],$A8,T_SelfStock_Log[WeekIndex],84))</f>
        <v/>
      </c>
      <c r="CH8" s="12">
        <f>IF(COUNTIFS(T_SelfStock_Log[Part Name],$A8,T_SelfStock_Log[WeekIndex],85)=0,"",SUMIFS(T_SelfStock_Log[Self_Qty],T_SelfStock_Log[Part Name],$A8,T_SelfStock_Log[WeekIndex],85))</f>
        <v/>
      </c>
      <c r="CI8" s="12">
        <f>IF(COUNTIFS(T_SelfStock_Log[Part Name],$A8,T_SelfStock_Log[WeekIndex],86)=0,"",SUMIFS(T_SelfStock_Log[Self_Qty],T_SelfStock_Log[Part Name],$A8,T_SelfStock_Log[WeekIndex],86))</f>
        <v/>
      </c>
      <c r="CJ8" s="12">
        <f>IF(COUNTIFS(T_SelfStock_Log[Part Name],$A8,T_SelfStock_Log[WeekIndex],87)=0,"",SUMIFS(T_SelfStock_Log[Self_Qty],T_SelfStock_Log[Part Name],$A8,T_SelfStock_Log[WeekIndex],87))</f>
        <v/>
      </c>
      <c r="CK8" s="12">
        <f>IF(COUNTIFS(T_SelfStock_Log[Part Name],$A8,T_SelfStock_Log[WeekIndex],88)=0,"",SUMIFS(T_SelfStock_Log[Self_Qty],T_SelfStock_Log[Part Name],$A8,T_SelfStock_Log[WeekIndex],88))</f>
        <v/>
      </c>
      <c r="CL8" s="12">
        <f>IF(COUNTIFS(T_SelfStock_Log[Part Name],$A8,T_SelfStock_Log[WeekIndex],89)=0,"",SUMIFS(T_SelfStock_Log[Self_Qty],T_SelfStock_Log[Part Name],$A8,T_SelfStock_Log[WeekIndex],89))</f>
        <v/>
      </c>
      <c r="CM8" s="12">
        <f>IF(COUNTIFS(T_SelfStock_Log[Part Name],$A8,T_SelfStock_Log[WeekIndex],90)=0,"",SUMIFS(T_SelfStock_Log[Self_Qty],T_SelfStock_Log[Part Name],$A8,T_SelfStock_Log[WeekIndex],90))</f>
        <v/>
      </c>
      <c r="CN8" s="12">
        <f>IF(COUNTIFS(T_SelfStock_Log[Part Name],$A8,T_SelfStock_Log[WeekIndex],91)=0,"",SUMIFS(T_SelfStock_Log[Self_Qty],T_SelfStock_Log[Part Name],$A8,T_SelfStock_Log[WeekIndex],91))</f>
        <v/>
      </c>
      <c r="CO8" s="12">
        <f>IF(COUNTIFS(T_SelfStock_Log[Part Name],$A8,T_SelfStock_Log[WeekIndex],92)=0,"",SUMIFS(T_SelfStock_Log[Self_Qty],T_SelfStock_Log[Part Name],$A8,T_SelfStock_Log[WeekIndex],92))</f>
        <v/>
      </c>
      <c r="CP8" s="12">
        <f>IF(COUNTIFS(T_SelfStock_Log[Part Name],$A8,T_SelfStock_Log[WeekIndex],93)=0,"",SUMIFS(T_SelfStock_Log[Self_Qty],T_SelfStock_Log[Part Name],$A8,T_SelfStock_Log[WeekIndex],93))</f>
        <v/>
      </c>
      <c r="CQ8" s="12">
        <f>IF(COUNTIFS(T_SelfStock_Log[Part Name],$A8,T_SelfStock_Log[WeekIndex],94)=0,"",SUMIFS(T_SelfStock_Log[Self_Qty],T_SelfStock_Log[Part Name],$A8,T_SelfStock_Log[WeekIndex],94))</f>
        <v/>
      </c>
      <c r="CR8" s="12">
        <f>IF(COUNTIFS(T_SelfStock_Log[Part Name],$A8,T_SelfStock_Log[WeekIndex],95)=0,"",SUMIFS(T_SelfStock_Log[Self_Qty],T_SelfStock_Log[Part Name],$A8,T_SelfStock_Log[WeekIndex],95))</f>
        <v/>
      </c>
      <c r="CS8" s="12">
        <f>IF(COUNTIFS(T_SelfStock_Log[Part Name],$A8,T_SelfStock_Log[WeekIndex],96)=0,"",SUMIFS(T_SelfStock_Log[Self_Qty],T_SelfStock_Log[Part Name],$A8,T_SelfStock_Log[WeekIndex],96))</f>
        <v/>
      </c>
      <c r="CT8" s="12">
        <f>IF(COUNTIFS(T_SelfStock_Log[Part Name],$A8,T_SelfStock_Log[WeekIndex],97)=0,"",SUMIFS(T_SelfStock_Log[Self_Qty],T_SelfStock_Log[Part Name],$A8,T_SelfStock_Log[WeekIndex],97))</f>
        <v/>
      </c>
      <c r="CU8" s="12">
        <f>IF(COUNTIFS(T_SelfStock_Log[Part Name],$A8,T_SelfStock_Log[WeekIndex],98)=0,"",SUMIFS(T_SelfStock_Log[Self_Qty],T_SelfStock_Log[Part Name],$A8,T_SelfStock_Log[WeekIndex],98))</f>
        <v/>
      </c>
      <c r="CV8" s="12">
        <f>IF(COUNTIFS(T_SelfStock_Log[Part Name],$A8,T_SelfStock_Log[WeekIndex],99)=0,"",SUMIFS(T_SelfStock_Log[Self_Qty],T_SelfStock_Log[Part Name],$A8,T_SelfStock_Log[WeekIndex],99))</f>
        <v/>
      </c>
      <c r="CW8" s="12">
        <f>IF(COUNTIFS(T_SelfStock_Log[Part Name],$A8,T_SelfStock_Log[WeekIndex],100)=0,"",SUMIFS(T_SelfStock_Log[Self_Qty],T_SelfStock_Log[Part Name],$A8,T_SelfStock_Log[WeekIndex],100))</f>
        <v/>
      </c>
      <c r="CX8" s="12">
        <f>IF(COUNTIFS(T_SelfStock_Log[Part Name],$A8,T_SelfStock_Log[WeekIndex],101)=0,"",SUMIFS(T_SelfStock_Log[Self_Qty],T_SelfStock_Log[Part Name],$A8,T_SelfStock_Log[WeekIndex],101))</f>
        <v/>
      </c>
      <c r="CY8" s="12">
        <f>IF(COUNTIFS(T_SelfStock_Log[Part Name],$A8,T_SelfStock_Log[WeekIndex],102)=0,"",SUMIFS(T_SelfStock_Log[Self_Qty],T_SelfStock_Log[Part Name],$A8,T_SelfStock_Log[WeekIndex],102))</f>
        <v/>
      </c>
      <c r="CZ8" s="12">
        <f>IF(COUNTIFS(T_SelfStock_Log[Part Name],$A8,T_SelfStock_Log[WeekIndex],103)=0,"",SUMIFS(T_SelfStock_Log[Self_Qty],T_SelfStock_Log[Part Name],$A8,T_SelfStock_Log[WeekIndex],103))</f>
        <v/>
      </c>
      <c r="DA8" s="12">
        <f>IF(COUNTIFS(T_SelfStock_Log[Part Name],$A8,T_SelfStock_Log[WeekIndex],104)=0,"",SUMIFS(T_SelfStock_Log[Self_Qty],T_SelfStock_Log[Part Name],$A8,T_SelfStock_Log[WeekIndex],104))</f>
        <v/>
      </c>
    </row>
    <row r="9">
      <c r="A9" s="13" t="inlineStr">
        <is>
          <t>CHEM-1420</t>
        </is>
      </c>
      <c r="B9" s="13">
        <f>IF(COUNTIFS(T_SelfStock_Log[Part Name],$A9,T_SelfStock_Log[WeekIndex],1)=0,"",SUMIFS(T_SelfStock_Log[Self_Qty],T_SelfStock_Log[Part Name],$A9,T_SelfStock_Log[WeekIndex],1))</f>
        <v/>
      </c>
      <c r="C9" s="13">
        <f>IF(COUNTIFS(T_SelfStock_Log[Part Name],$A9,T_SelfStock_Log[WeekIndex],2)=0,"",SUMIFS(T_SelfStock_Log[Self_Qty],T_SelfStock_Log[Part Name],$A9,T_SelfStock_Log[WeekIndex],2))</f>
        <v/>
      </c>
      <c r="D9" s="13">
        <f>IF(COUNTIFS(T_SelfStock_Log[Part Name],$A9,T_SelfStock_Log[WeekIndex],3)=0,"",SUMIFS(T_SelfStock_Log[Self_Qty],T_SelfStock_Log[Part Name],$A9,T_SelfStock_Log[WeekIndex],3))</f>
        <v/>
      </c>
      <c r="E9" s="13">
        <f>IF(COUNTIFS(T_SelfStock_Log[Part Name],$A9,T_SelfStock_Log[WeekIndex],4)=0,"",SUMIFS(T_SelfStock_Log[Self_Qty],T_SelfStock_Log[Part Name],$A9,T_SelfStock_Log[WeekIndex],4))</f>
        <v/>
      </c>
      <c r="F9" s="13">
        <f>IF(COUNTIFS(T_SelfStock_Log[Part Name],$A9,T_SelfStock_Log[WeekIndex],5)=0,"",SUMIFS(T_SelfStock_Log[Self_Qty],T_SelfStock_Log[Part Name],$A9,T_SelfStock_Log[WeekIndex],5))</f>
        <v/>
      </c>
      <c r="G9" s="13">
        <f>IF(COUNTIFS(T_SelfStock_Log[Part Name],$A9,T_SelfStock_Log[WeekIndex],6)=0,"",SUMIFS(T_SelfStock_Log[Self_Qty],T_SelfStock_Log[Part Name],$A9,T_SelfStock_Log[WeekIndex],6))</f>
        <v/>
      </c>
      <c r="H9" s="13">
        <f>IF(COUNTIFS(T_SelfStock_Log[Part Name],$A9,T_SelfStock_Log[WeekIndex],7)=0,"",SUMIFS(T_SelfStock_Log[Self_Qty],T_SelfStock_Log[Part Name],$A9,T_SelfStock_Log[WeekIndex],7))</f>
        <v/>
      </c>
      <c r="I9" s="13">
        <f>IF(COUNTIFS(T_SelfStock_Log[Part Name],$A9,T_SelfStock_Log[WeekIndex],8)=0,"",SUMIFS(T_SelfStock_Log[Self_Qty],T_SelfStock_Log[Part Name],$A9,T_SelfStock_Log[WeekIndex],8))</f>
        <v/>
      </c>
      <c r="J9" s="13">
        <f>IF(COUNTIFS(T_SelfStock_Log[Part Name],$A9,T_SelfStock_Log[WeekIndex],9)=0,"",SUMIFS(T_SelfStock_Log[Self_Qty],T_SelfStock_Log[Part Name],$A9,T_SelfStock_Log[WeekIndex],9))</f>
        <v/>
      </c>
      <c r="K9" s="13">
        <f>IF(COUNTIFS(T_SelfStock_Log[Part Name],$A9,T_SelfStock_Log[WeekIndex],10)=0,"",SUMIFS(T_SelfStock_Log[Self_Qty],T_SelfStock_Log[Part Name],$A9,T_SelfStock_Log[WeekIndex],10))</f>
        <v/>
      </c>
      <c r="L9" s="13">
        <f>IF(COUNTIFS(T_SelfStock_Log[Part Name],$A9,T_SelfStock_Log[WeekIndex],11)=0,"",SUMIFS(T_SelfStock_Log[Self_Qty],T_SelfStock_Log[Part Name],$A9,T_SelfStock_Log[WeekIndex],11))</f>
        <v/>
      </c>
      <c r="M9" s="13">
        <f>IF(COUNTIFS(T_SelfStock_Log[Part Name],$A9,T_SelfStock_Log[WeekIndex],12)=0,"",SUMIFS(T_SelfStock_Log[Self_Qty],T_SelfStock_Log[Part Name],$A9,T_SelfStock_Log[WeekIndex],12))</f>
        <v/>
      </c>
      <c r="N9" s="13">
        <f>IF(COUNTIFS(T_SelfStock_Log[Part Name],$A9,T_SelfStock_Log[WeekIndex],13)=0,"",SUMIFS(T_SelfStock_Log[Self_Qty],T_SelfStock_Log[Part Name],$A9,T_SelfStock_Log[WeekIndex],13))</f>
        <v/>
      </c>
      <c r="O9" s="13">
        <f>IF(COUNTIFS(T_SelfStock_Log[Part Name],$A9,T_SelfStock_Log[WeekIndex],14)=0,"",SUMIFS(T_SelfStock_Log[Self_Qty],T_SelfStock_Log[Part Name],$A9,T_SelfStock_Log[WeekIndex],14))</f>
        <v/>
      </c>
      <c r="P9" s="13">
        <f>IF(COUNTIFS(T_SelfStock_Log[Part Name],$A9,T_SelfStock_Log[WeekIndex],15)=0,"",SUMIFS(T_SelfStock_Log[Self_Qty],T_SelfStock_Log[Part Name],$A9,T_SelfStock_Log[WeekIndex],15))</f>
        <v/>
      </c>
      <c r="Q9" s="13">
        <f>IF(COUNTIFS(T_SelfStock_Log[Part Name],$A9,T_SelfStock_Log[WeekIndex],16)=0,"",SUMIFS(T_SelfStock_Log[Self_Qty],T_SelfStock_Log[Part Name],$A9,T_SelfStock_Log[WeekIndex],16))</f>
        <v/>
      </c>
      <c r="R9" s="13">
        <f>IF(COUNTIFS(T_SelfStock_Log[Part Name],$A9,T_SelfStock_Log[WeekIndex],17)=0,"",SUMIFS(T_SelfStock_Log[Self_Qty],T_SelfStock_Log[Part Name],$A9,T_SelfStock_Log[WeekIndex],17))</f>
        <v/>
      </c>
      <c r="S9" s="13">
        <f>IF(COUNTIFS(T_SelfStock_Log[Part Name],$A9,T_SelfStock_Log[WeekIndex],18)=0,"",SUMIFS(T_SelfStock_Log[Self_Qty],T_SelfStock_Log[Part Name],$A9,T_SelfStock_Log[WeekIndex],18))</f>
        <v/>
      </c>
      <c r="T9" s="13">
        <f>IF(COUNTIFS(T_SelfStock_Log[Part Name],$A9,T_SelfStock_Log[WeekIndex],19)=0,"",SUMIFS(T_SelfStock_Log[Self_Qty],T_SelfStock_Log[Part Name],$A9,T_SelfStock_Log[WeekIndex],19))</f>
        <v/>
      </c>
      <c r="U9" s="13">
        <f>IF(COUNTIFS(T_SelfStock_Log[Part Name],$A9,T_SelfStock_Log[WeekIndex],20)=0,"",SUMIFS(T_SelfStock_Log[Self_Qty],T_SelfStock_Log[Part Name],$A9,T_SelfStock_Log[WeekIndex],20))</f>
        <v/>
      </c>
      <c r="V9" s="13">
        <f>IF(COUNTIFS(T_SelfStock_Log[Part Name],$A9,T_SelfStock_Log[WeekIndex],21)=0,"",SUMIFS(T_SelfStock_Log[Self_Qty],T_SelfStock_Log[Part Name],$A9,T_SelfStock_Log[WeekIndex],21))</f>
        <v/>
      </c>
      <c r="W9" s="13">
        <f>IF(COUNTIFS(T_SelfStock_Log[Part Name],$A9,T_SelfStock_Log[WeekIndex],22)=0,"",SUMIFS(T_SelfStock_Log[Self_Qty],T_SelfStock_Log[Part Name],$A9,T_SelfStock_Log[WeekIndex],22))</f>
        <v/>
      </c>
      <c r="X9" s="13">
        <f>IF(COUNTIFS(T_SelfStock_Log[Part Name],$A9,T_SelfStock_Log[WeekIndex],23)=0,"",SUMIFS(T_SelfStock_Log[Self_Qty],T_SelfStock_Log[Part Name],$A9,T_SelfStock_Log[WeekIndex],23))</f>
        <v/>
      </c>
      <c r="Y9" s="13">
        <f>IF(COUNTIFS(T_SelfStock_Log[Part Name],$A9,T_SelfStock_Log[WeekIndex],24)=0,"",SUMIFS(T_SelfStock_Log[Self_Qty],T_SelfStock_Log[Part Name],$A9,T_SelfStock_Log[WeekIndex],24))</f>
        <v/>
      </c>
      <c r="Z9" s="13">
        <f>IF(COUNTIFS(T_SelfStock_Log[Part Name],$A9,T_SelfStock_Log[WeekIndex],25)=0,"",SUMIFS(T_SelfStock_Log[Self_Qty],T_SelfStock_Log[Part Name],$A9,T_SelfStock_Log[WeekIndex],25))</f>
        <v/>
      </c>
      <c r="AA9" s="13">
        <f>IF(COUNTIFS(T_SelfStock_Log[Part Name],$A9,T_SelfStock_Log[WeekIndex],26)=0,"",SUMIFS(T_SelfStock_Log[Self_Qty],T_SelfStock_Log[Part Name],$A9,T_SelfStock_Log[WeekIndex],26))</f>
        <v/>
      </c>
      <c r="AB9" s="13">
        <f>IF(COUNTIFS(T_SelfStock_Log[Part Name],$A9,T_SelfStock_Log[WeekIndex],27)=0,"",SUMIFS(T_SelfStock_Log[Self_Qty],T_SelfStock_Log[Part Name],$A9,T_SelfStock_Log[WeekIndex],27))</f>
        <v/>
      </c>
      <c r="AC9" s="13">
        <f>IF(COUNTIFS(T_SelfStock_Log[Part Name],$A9,T_SelfStock_Log[WeekIndex],28)=0,"",SUMIFS(T_SelfStock_Log[Self_Qty],T_SelfStock_Log[Part Name],$A9,T_SelfStock_Log[WeekIndex],28))</f>
        <v/>
      </c>
      <c r="AD9" s="13">
        <f>IF(COUNTIFS(T_SelfStock_Log[Part Name],$A9,T_SelfStock_Log[WeekIndex],29)=0,"",SUMIFS(T_SelfStock_Log[Self_Qty],T_SelfStock_Log[Part Name],$A9,T_SelfStock_Log[WeekIndex],29))</f>
        <v/>
      </c>
      <c r="AE9" s="13">
        <f>IF(COUNTIFS(T_SelfStock_Log[Part Name],$A9,T_SelfStock_Log[WeekIndex],30)=0,"",SUMIFS(T_SelfStock_Log[Self_Qty],T_SelfStock_Log[Part Name],$A9,T_SelfStock_Log[WeekIndex],30))</f>
        <v/>
      </c>
      <c r="AF9" s="13">
        <f>IF(COUNTIFS(T_SelfStock_Log[Part Name],$A9,T_SelfStock_Log[WeekIndex],31)=0,"",SUMIFS(T_SelfStock_Log[Self_Qty],T_SelfStock_Log[Part Name],$A9,T_SelfStock_Log[WeekIndex],31))</f>
        <v/>
      </c>
      <c r="AG9" s="13">
        <f>IF(COUNTIFS(T_SelfStock_Log[Part Name],$A9,T_SelfStock_Log[WeekIndex],32)=0,"",SUMIFS(T_SelfStock_Log[Self_Qty],T_SelfStock_Log[Part Name],$A9,T_SelfStock_Log[WeekIndex],32))</f>
        <v/>
      </c>
      <c r="AH9" s="13">
        <f>IF(COUNTIFS(T_SelfStock_Log[Part Name],$A9,T_SelfStock_Log[WeekIndex],33)=0,"",SUMIFS(T_SelfStock_Log[Self_Qty],T_SelfStock_Log[Part Name],$A9,T_SelfStock_Log[WeekIndex],33))</f>
        <v/>
      </c>
      <c r="AI9" s="13">
        <f>IF(COUNTIFS(T_SelfStock_Log[Part Name],$A9,T_SelfStock_Log[WeekIndex],34)=0,"",SUMIFS(T_SelfStock_Log[Self_Qty],T_SelfStock_Log[Part Name],$A9,T_SelfStock_Log[WeekIndex],34))</f>
        <v/>
      </c>
      <c r="AJ9" s="13">
        <f>IF(COUNTIFS(T_SelfStock_Log[Part Name],$A9,T_SelfStock_Log[WeekIndex],35)=0,"",SUMIFS(T_SelfStock_Log[Self_Qty],T_SelfStock_Log[Part Name],$A9,T_SelfStock_Log[WeekIndex],35))</f>
        <v/>
      </c>
      <c r="AK9" s="13">
        <f>IF(COUNTIFS(T_SelfStock_Log[Part Name],$A9,T_SelfStock_Log[WeekIndex],36)=0,"",SUMIFS(T_SelfStock_Log[Self_Qty],T_SelfStock_Log[Part Name],$A9,T_SelfStock_Log[WeekIndex],36))</f>
        <v/>
      </c>
      <c r="AL9" s="13">
        <f>IF(COUNTIFS(T_SelfStock_Log[Part Name],$A9,T_SelfStock_Log[WeekIndex],37)=0,"",SUMIFS(T_SelfStock_Log[Self_Qty],T_SelfStock_Log[Part Name],$A9,T_SelfStock_Log[WeekIndex],37))</f>
        <v/>
      </c>
      <c r="AM9" s="13">
        <f>IF(COUNTIFS(T_SelfStock_Log[Part Name],$A9,T_SelfStock_Log[WeekIndex],38)=0,"",SUMIFS(T_SelfStock_Log[Self_Qty],T_SelfStock_Log[Part Name],$A9,T_SelfStock_Log[WeekIndex],38))</f>
        <v/>
      </c>
      <c r="AN9" s="13">
        <f>IF(COUNTIFS(T_SelfStock_Log[Part Name],$A9,T_SelfStock_Log[WeekIndex],39)=0,"",SUMIFS(T_SelfStock_Log[Self_Qty],T_SelfStock_Log[Part Name],$A9,T_SelfStock_Log[WeekIndex],39))</f>
        <v/>
      </c>
      <c r="AO9" s="13">
        <f>IF(COUNTIFS(T_SelfStock_Log[Part Name],$A9,T_SelfStock_Log[WeekIndex],40)=0,"",SUMIFS(T_SelfStock_Log[Self_Qty],T_SelfStock_Log[Part Name],$A9,T_SelfStock_Log[WeekIndex],40))</f>
        <v/>
      </c>
      <c r="AP9" s="13">
        <f>IF(COUNTIFS(T_SelfStock_Log[Part Name],$A9,T_SelfStock_Log[WeekIndex],41)=0,"",SUMIFS(T_SelfStock_Log[Self_Qty],T_SelfStock_Log[Part Name],$A9,T_SelfStock_Log[WeekIndex],41))</f>
        <v/>
      </c>
      <c r="AQ9" s="13">
        <f>IF(COUNTIFS(T_SelfStock_Log[Part Name],$A9,T_SelfStock_Log[WeekIndex],42)=0,"",SUMIFS(T_SelfStock_Log[Self_Qty],T_SelfStock_Log[Part Name],$A9,T_SelfStock_Log[WeekIndex],42))</f>
        <v/>
      </c>
      <c r="AR9" s="13">
        <f>IF(COUNTIFS(T_SelfStock_Log[Part Name],$A9,T_SelfStock_Log[WeekIndex],43)=0,"",SUMIFS(T_SelfStock_Log[Self_Qty],T_SelfStock_Log[Part Name],$A9,T_SelfStock_Log[WeekIndex],43))</f>
        <v/>
      </c>
      <c r="AS9" s="13">
        <f>IF(COUNTIFS(T_SelfStock_Log[Part Name],$A9,T_SelfStock_Log[WeekIndex],44)=0,"",SUMIFS(T_SelfStock_Log[Self_Qty],T_SelfStock_Log[Part Name],$A9,T_SelfStock_Log[WeekIndex],44))</f>
        <v/>
      </c>
      <c r="AT9" s="13">
        <f>IF(COUNTIFS(T_SelfStock_Log[Part Name],$A9,T_SelfStock_Log[WeekIndex],45)=0,"",SUMIFS(T_SelfStock_Log[Self_Qty],T_SelfStock_Log[Part Name],$A9,T_SelfStock_Log[WeekIndex],45))</f>
        <v/>
      </c>
      <c r="AU9" s="13">
        <f>IF(COUNTIFS(T_SelfStock_Log[Part Name],$A9,T_SelfStock_Log[WeekIndex],46)=0,"",SUMIFS(T_SelfStock_Log[Self_Qty],T_SelfStock_Log[Part Name],$A9,T_SelfStock_Log[WeekIndex],46))</f>
        <v/>
      </c>
      <c r="AV9" s="13">
        <f>IF(COUNTIFS(T_SelfStock_Log[Part Name],$A9,T_SelfStock_Log[WeekIndex],47)=0,"",SUMIFS(T_SelfStock_Log[Self_Qty],T_SelfStock_Log[Part Name],$A9,T_SelfStock_Log[WeekIndex],47))</f>
        <v/>
      </c>
      <c r="AW9" s="13">
        <f>IF(COUNTIFS(T_SelfStock_Log[Part Name],$A9,T_SelfStock_Log[WeekIndex],48)=0,"",SUMIFS(T_SelfStock_Log[Self_Qty],T_SelfStock_Log[Part Name],$A9,T_SelfStock_Log[WeekIndex],48))</f>
        <v/>
      </c>
      <c r="AX9" s="13">
        <f>IF(COUNTIFS(T_SelfStock_Log[Part Name],$A9,T_SelfStock_Log[WeekIndex],49)=0,"",SUMIFS(T_SelfStock_Log[Self_Qty],T_SelfStock_Log[Part Name],$A9,T_SelfStock_Log[WeekIndex],49))</f>
        <v/>
      </c>
      <c r="AY9" s="13">
        <f>IF(COUNTIFS(T_SelfStock_Log[Part Name],$A9,T_SelfStock_Log[WeekIndex],50)=0,"",SUMIFS(T_SelfStock_Log[Self_Qty],T_SelfStock_Log[Part Name],$A9,T_SelfStock_Log[WeekIndex],50))</f>
        <v/>
      </c>
      <c r="AZ9" s="13">
        <f>IF(COUNTIFS(T_SelfStock_Log[Part Name],$A9,T_SelfStock_Log[WeekIndex],51)=0,"",SUMIFS(T_SelfStock_Log[Self_Qty],T_SelfStock_Log[Part Name],$A9,T_SelfStock_Log[WeekIndex],51))</f>
        <v/>
      </c>
      <c r="BA9" s="13">
        <f>IF(COUNTIFS(T_SelfStock_Log[Part Name],$A9,T_SelfStock_Log[WeekIndex],52)=0,"",SUMIFS(T_SelfStock_Log[Self_Qty],T_SelfStock_Log[Part Name],$A9,T_SelfStock_Log[WeekIndex],52))</f>
        <v/>
      </c>
      <c r="BB9" s="13">
        <f>IF(COUNTIFS(T_SelfStock_Log[Part Name],$A9,T_SelfStock_Log[WeekIndex],53)=0,"",SUMIFS(T_SelfStock_Log[Self_Qty],T_SelfStock_Log[Part Name],$A9,T_SelfStock_Log[WeekIndex],53))</f>
        <v/>
      </c>
      <c r="BC9" s="13">
        <f>IF(COUNTIFS(T_SelfStock_Log[Part Name],$A9,T_SelfStock_Log[WeekIndex],54)=0,"",SUMIFS(T_SelfStock_Log[Self_Qty],T_SelfStock_Log[Part Name],$A9,T_SelfStock_Log[WeekIndex],54))</f>
        <v/>
      </c>
      <c r="BD9" s="13">
        <f>IF(COUNTIFS(T_SelfStock_Log[Part Name],$A9,T_SelfStock_Log[WeekIndex],55)=0,"",SUMIFS(T_SelfStock_Log[Self_Qty],T_SelfStock_Log[Part Name],$A9,T_SelfStock_Log[WeekIndex],55))</f>
        <v/>
      </c>
      <c r="BE9" s="13">
        <f>IF(COUNTIFS(T_SelfStock_Log[Part Name],$A9,T_SelfStock_Log[WeekIndex],56)=0,"",SUMIFS(T_SelfStock_Log[Self_Qty],T_SelfStock_Log[Part Name],$A9,T_SelfStock_Log[WeekIndex],56))</f>
        <v/>
      </c>
      <c r="BF9" s="13">
        <f>IF(COUNTIFS(T_SelfStock_Log[Part Name],$A9,T_SelfStock_Log[WeekIndex],57)=0,"",SUMIFS(T_SelfStock_Log[Self_Qty],T_SelfStock_Log[Part Name],$A9,T_SelfStock_Log[WeekIndex],57))</f>
        <v/>
      </c>
      <c r="BG9" s="13">
        <f>IF(COUNTIFS(T_SelfStock_Log[Part Name],$A9,T_SelfStock_Log[WeekIndex],58)=0,"",SUMIFS(T_SelfStock_Log[Self_Qty],T_SelfStock_Log[Part Name],$A9,T_SelfStock_Log[WeekIndex],58))</f>
        <v/>
      </c>
      <c r="BH9" s="13">
        <f>IF(COUNTIFS(T_SelfStock_Log[Part Name],$A9,T_SelfStock_Log[WeekIndex],59)=0,"",SUMIFS(T_SelfStock_Log[Self_Qty],T_SelfStock_Log[Part Name],$A9,T_SelfStock_Log[WeekIndex],59))</f>
        <v/>
      </c>
      <c r="BI9" s="13">
        <f>IF(COUNTIFS(T_SelfStock_Log[Part Name],$A9,T_SelfStock_Log[WeekIndex],60)=0,"",SUMIFS(T_SelfStock_Log[Self_Qty],T_SelfStock_Log[Part Name],$A9,T_SelfStock_Log[WeekIndex],60))</f>
        <v/>
      </c>
      <c r="BJ9" s="13">
        <f>IF(COUNTIFS(T_SelfStock_Log[Part Name],$A9,T_SelfStock_Log[WeekIndex],61)=0,"",SUMIFS(T_SelfStock_Log[Self_Qty],T_SelfStock_Log[Part Name],$A9,T_SelfStock_Log[WeekIndex],61))</f>
        <v/>
      </c>
      <c r="BK9" s="13">
        <f>IF(COUNTIFS(T_SelfStock_Log[Part Name],$A9,T_SelfStock_Log[WeekIndex],62)=0,"",SUMIFS(T_SelfStock_Log[Self_Qty],T_SelfStock_Log[Part Name],$A9,T_SelfStock_Log[WeekIndex],62))</f>
        <v/>
      </c>
      <c r="BL9" s="13">
        <f>IF(COUNTIFS(T_SelfStock_Log[Part Name],$A9,T_SelfStock_Log[WeekIndex],63)=0,"",SUMIFS(T_SelfStock_Log[Self_Qty],T_SelfStock_Log[Part Name],$A9,T_SelfStock_Log[WeekIndex],63))</f>
        <v/>
      </c>
      <c r="BM9" s="13">
        <f>IF(COUNTIFS(T_SelfStock_Log[Part Name],$A9,T_SelfStock_Log[WeekIndex],64)=0,"",SUMIFS(T_SelfStock_Log[Self_Qty],T_SelfStock_Log[Part Name],$A9,T_SelfStock_Log[WeekIndex],64))</f>
        <v/>
      </c>
      <c r="BN9" s="13">
        <f>IF(COUNTIFS(T_SelfStock_Log[Part Name],$A9,T_SelfStock_Log[WeekIndex],65)=0,"",SUMIFS(T_SelfStock_Log[Self_Qty],T_SelfStock_Log[Part Name],$A9,T_SelfStock_Log[WeekIndex],65))</f>
        <v/>
      </c>
      <c r="BO9" s="13">
        <f>IF(COUNTIFS(T_SelfStock_Log[Part Name],$A9,T_SelfStock_Log[WeekIndex],66)=0,"",SUMIFS(T_SelfStock_Log[Self_Qty],T_SelfStock_Log[Part Name],$A9,T_SelfStock_Log[WeekIndex],66))</f>
        <v/>
      </c>
      <c r="BP9" s="13">
        <f>IF(COUNTIFS(T_SelfStock_Log[Part Name],$A9,T_SelfStock_Log[WeekIndex],67)=0,"",SUMIFS(T_SelfStock_Log[Self_Qty],T_SelfStock_Log[Part Name],$A9,T_SelfStock_Log[WeekIndex],67))</f>
        <v/>
      </c>
      <c r="BQ9" s="13">
        <f>IF(COUNTIFS(T_SelfStock_Log[Part Name],$A9,T_SelfStock_Log[WeekIndex],68)=0,"",SUMIFS(T_SelfStock_Log[Self_Qty],T_SelfStock_Log[Part Name],$A9,T_SelfStock_Log[WeekIndex],68))</f>
        <v/>
      </c>
      <c r="BR9" s="13">
        <f>IF(COUNTIFS(T_SelfStock_Log[Part Name],$A9,T_SelfStock_Log[WeekIndex],69)=0,"",SUMIFS(T_SelfStock_Log[Self_Qty],T_SelfStock_Log[Part Name],$A9,T_SelfStock_Log[WeekIndex],69))</f>
        <v/>
      </c>
      <c r="BS9" s="13">
        <f>IF(COUNTIFS(T_SelfStock_Log[Part Name],$A9,T_SelfStock_Log[WeekIndex],70)=0,"",SUMIFS(T_SelfStock_Log[Self_Qty],T_SelfStock_Log[Part Name],$A9,T_SelfStock_Log[WeekIndex],70))</f>
        <v/>
      </c>
      <c r="BT9" s="13">
        <f>IF(COUNTIFS(T_SelfStock_Log[Part Name],$A9,T_SelfStock_Log[WeekIndex],71)=0,"",SUMIFS(T_SelfStock_Log[Self_Qty],T_SelfStock_Log[Part Name],$A9,T_SelfStock_Log[WeekIndex],71))</f>
        <v/>
      </c>
      <c r="BU9" s="13">
        <f>IF(COUNTIFS(T_SelfStock_Log[Part Name],$A9,T_SelfStock_Log[WeekIndex],72)=0,"",SUMIFS(T_SelfStock_Log[Self_Qty],T_SelfStock_Log[Part Name],$A9,T_SelfStock_Log[WeekIndex],72))</f>
        <v/>
      </c>
      <c r="BV9" s="13">
        <f>IF(COUNTIFS(T_SelfStock_Log[Part Name],$A9,T_SelfStock_Log[WeekIndex],73)=0,"",SUMIFS(T_SelfStock_Log[Self_Qty],T_SelfStock_Log[Part Name],$A9,T_SelfStock_Log[WeekIndex],73))</f>
        <v/>
      </c>
      <c r="BW9" s="13">
        <f>IF(COUNTIFS(T_SelfStock_Log[Part Name],$A9,T_SelfStock_Log[WeekIndex],74)=0,"",SUMIFS(T_SelfStock_Log[Self_Qty],T_SelfStock_Log[Part Name],$A9,T_SelfStock_Log[WeekIndex],74))</f>
        <v/>
      </c>
      <c r="BX9" s="13">
        <f>IF(COUNTIFS(T_SelfStock_Log[Part Name],$A9,T_SelfStock_Log[WeekIndex],75)=0,"",SUMIFS(T_SelfStock_Log[Self_Qty],T_SelfStock_Log[Part Name],$A9,T_SelfStock_Log[WeekIndex],75))</f>
        <v/>
      </c>
      <c r="BY9" s="13">
        <f>IF(COUNTIFS(T_SelfStock_Log[Part Name],$A9,T_SelfStock_Log[WeekIndex],76)=0,"",SUMIFS(T_SelfStock_Log[Self_Qty],T_SelfStock_Log[Part Name],$A9,T_SelfStock_Log[WeekIndex],76))</f>
        <v/>
      </c>
      <c r="BZ9" s="13">
        <f>IF(COUNTIFS(T_SelfStock_Log[Part Name],$A9,T_SelfStock_Log[WeekIndex],77)=0,"",SUMIFS(T_SelfStock_Log[Self_Qty],T_SelfStock_Log[Part Name],$A9,T_SelfStock_Log[WeekIndex],77))</f>
        <v/>
      </c>
      <c r="CA9" s="13">
        <f>IF(COUNTIFS(T_SelfStock_Log[Part Name],$A9,T_SelfStock_Log[WeekIndex],78)=0,"",SUMIFS(T_SelfStock_Log[Self_Qty],T_SelfStock_Log[Part Name],$A9,T_SelfStock_Log[WeekIndex],78))</f>
        <v/>
      </c>
      <c r="CB9" s="13">
        <f>IF(COUNTIFS(T_SelfStock_Log[Part Name],$A9,T_SelfStock_Log[WeekIndex],79)=0,"",SUMIFS(T_SelfStock_Log[Self_Qty],T_SelfStock_Log[Part Name],$A9,T_SelfStock_Log[WeekIndex],79))</f>
        <v/>
      </c>
      <c r="CC9" s="13">
        <f>IF(COUNTIFS(T_SelfStock_Log[Part Name],$A9,T_SelfStock_Log[WeekIndex],80)=0,"",SUMIFS(T_SelfStock_Log[Self_Qty],T_SelfStock_Log[Part Name],$A9,T_SelfStock_Log[WeekIndex],80))</f>
        <v/>
      </c>
      <c r="CD9" s="13">
        <f>IF(COUNTIFS(T_SelfStock_Log[Part Name],$A9,T_SelfStock_Log[WeekIndex],81)=0,"",SUMIFS(T_SelfStock_Log[Self_Qty],T_SelfStock_Log[Part Name],$A9,T_SelfStock_Log[WeekIndex],81))</f>
        <v/>
      </c>
      <c r="CE9" s="13">
        <f>IF(COUNTIFS(T_SelfStock_Log[Part Name],$A9,T_SelfStock_Log[WeekIndex],82)=0,"",SUMIFS(T_SelfStock_Log[Self_Qty],T_SelfStock_Log[Part Name],$A9,T_SelfStock_Log[WeekIndex],82))</f>
        <v/>
      </c>
      <c r="CF9" s="13">
        <f>IF(COUNTIFS(T_SelfStock_Log[Part Name],$A9,T_SelfStock_Log[WeekIndex],83)=0,"",SUMIFS(T_SelfStock_Log[Self_Qty],T_SelfStock_Log[Part Name],$A9,T_SelfStock_Log[WeekIndex],83))</f>
        <v/>
      </c>
      <c r="CG9" s="13">
        <f>IF(COUNTIFS(T_SelfStock_Log[Part Name],$A9,T_SelfStock_Log[WeekIndex],84)=0,"",SUMIFS(T_SelfStock_Log[Self_Qty],T_SelfStock_Log[Part Name],$A9,T_SelfStock_Log[WeekIndex],84))</f>
        <v/>
      </c>
      <c r="CH9" s="13">
        <f>IF(COUNTIFS(T_SelfStock_Log[Part Name],$A9,T_SelfStock_Log[WeekIndex],85)=0,"",SUMIFS(T_SelfStock_Log[Self_Qty],T_SelfStock_Log[Part Name],$A9,T_SelfStock_Log[WeekIndex],85))</f>
        <v/>
      </c>
      <c r="CI9" s="13">
        <f>IF(COUNTIFS(T_SelfStock_Log[Part Name],$A9,T_SelfStock_Log[WeekIndex],86)=0,"",SUMIFS(T_SelfStock_Log[Self_Qty],T_SelfStock_Log[Part Name],$A9,T_SelfStock_Log[WeekIndex],86))</f>
        <v/>
      </c>
      <c r="CJ9" s="13">
        <f>IF(COUNTIFS(T_SelfStock_Log[Part Name],$A9,T_SelfStock_Log[WeekIndex],87)=0,"",SUMIFS(T_SelfStock_Log[Self_Qty],T_SelfStock_Log[Part Name],$A9,T_SelfStock_Log[WeekIndex],87))</f>
        <v/>
      </c>
      <c r="CK9" s="13">
        <f>IF(COUNTIFS(T_SelfStock_Log[Part Name],$A9,T_SelfStock_Log[WeekIndex],88)=0,"",SUMIFS(T_SelfStock_Log[Self_Qty],T_SelfStock_Log[Part Name],$A9,T_SelfStock_Log[WeekIndex],88))</f>
        <v/>
      </c>
      <c r="CL9" s="13">
        <f>IF(COUNTIFS(T_SelfStock_Log[Part Name],$A9,T_SelfStock_Log[WeekIndex],89)=0,"",SUMIFS(T_SelfStock_Log[Self_Qty],T_SelfStock_Log[Part Name],$A9,T_SelfStock_Log[WeekIndex],89))</f>
        <v/>
      </c>
      <c r="CM9" s="13">
        <f>IF(COUNTIFS(T_SelfStock_Log[Part Name],$A9,T_SelfStock_Log[WeekIndex],90)=0,"",SUMIFS(T_SelfStock_Log[Self_Qty],T_SelfStock_Log[Part Name],$A9,T_SelfStock_Log[WeekIndex],90))</f>
        <v/>
      </c>
      <c r="CN9" s="13">
        <f>IF(COUNTIFS(T_SelfStock_Log[Part Name],$A9,T_SelfStock_Log[WeekIndex],91)=0,"",SUMIFS(T_SelfStock_Log[Self_Qty],T_SelfStock_Log[Part Name],$A9,T_SelfStock_Log[WeekIndex],91))</f>
        <v/>
      </c>
      <c r="CO9" s="13">
        <f>IF(COUNTIFS(T_SelfStock_Log[Part Name],$A9,T_SelfStock_Log[WeekIndex],92)=0,"",SUMIFS(T_SelfStock_Log[Self_Qty],T_SelfStock_Log[Part Name],$A9,T_SelfStock_Log[WeekIndex],92))</f>
        <v/>
      </c>
      <c r="CP9" s="13">
        <f>IF(COUNTIFS(T_SelfStock_Log[Part Name],$A9,T_SelfStock_Log[WeekIndex],93)=0,"",SUMIFS(T_SelfStock_Log[Self_Qty],T_SelfStock_Log[Part Name],$A9,T_SelfStock_Log[WeekIndex],93))</f>
        <v/>
      </c>
      <c r="CQ9" s="13">
        <f>IF(COUNTIFS(T_SelfStock_Log[Part Name],$A9,T_SelfStock_Log[WeekIndex],94)=0,"",SUMIFS(T_SelfStock_Log[Self_Qty],T_SelfStock_Log[Part Name],$A9,T_SelfStock_Log[WeekIndex],94))</f>
        <v/>
      </c>
      <c r="CR9" s="13">
        <f>IF(COUNTIFS(T_SelfStock_Log[Part Name],$A9,T_SelfStock_Log[WeekIndex],95)=0,"",SUMIFS(T_SelfStock_Log[Self_Qty],T_SelfStock_Log[Part Name],$A9,T_SelfStock_Log[WeekIndex],95))</f>
        <v/>
      </c>
      <c r="CS9" s="13">
        <f>IF(COUNTIFS(T_SelfStock_Log[Part Name],$A9,T_SelfStock_Log[WeekIndex],96)=0,"",SUMIFS(T_SelfStock_Log[Self_Qty],T_SelfStock_Log[Part Name],$A9,T_SelfStock_Log[WeekIndex],96))</f>
        <v/>
      </c>
      <c r="CT9" s="13">
        <f>IF(COUNTIFS(T_SelfStock_Log[Part Name],$A9,T_SelfStock_Log[WeekIndex],97)=0,"",SUMIFS(T_SelfStock_Log[Self_Qty],T_SelfStock_Log[Part Name],$A9,T_SelfStock_Log[WeekIndex],97))</f>
        <v/>
      </c>
      <c r="CU9" s="13">
        <f>IF(COUNTIFS(T_SelfStock_Log[Part Name],$A9,T_SelfStock_Log[WeekIndex],98)=0,"",SUMIFS(T_SelfStock_Log[Self_Qty],T_SelfStock_Log[Part Name],$A9,T_SelfStock_Log[WeekIndex],98))</f>
        <v/>
      </c>
      <c r="CV9" s="13">
        <f>IF(COUNTIFS(T_SelfStock_Log[Part Name],$A9,T_SelfStock_Log[WeekIndex],99)=0,"",SUMIFS(T_SelfStock_Log[Self_Qty],T_SelfStock_Log[Part Name],$A9,T_SelfStock_Log[WeekIndex],99))</f>
        <v/>
      </c>
      <c r="CW9" s="13">
        <f>IF(COUNTIFS(T_SelfStock_Log[Part Name],$A9,T_SelfStock_Log[WeekIndex],100)=0,"",SUMIFS(T_SelfStock_Log[Self_Qty],T_SelfStock_Log[Part Name],$A9,T_SelfStock_Log[WeekIndex],100))</f>
        <v/>
      </c>
      <c r="CX9" s="13">
        <f>IF(COUNTIFS(T_SelfStock_Log[Part Name],$A9,T_SelfStock_Log[WeekIndex],101)=0,"",SUMIFS(T_SelfStock_Log[Self_Qty],T_SelfStock_Log[Part Name],$A9,T_SelfStock_Log[WeekIndex],101))</f>
        <v/>
      </c>
      <c r="CY9" s="13">
        <f>IF(COUNTIFS(T_SelfStock_Log[Part Name],$A9,T_SelfStock_Log[WeekIndex],102)=0,"",SUMIFS(T_SelfStock_Log[Self_Qty],T_SelfStock_Log[Part Name],$A9,T_SelfStock_Log[WeekIndex],102))</f>
        <v/>
      </c>
      <c r="CZ9" s="13">
        <f>IF(COUNTIFS(T_SelfStock_Log[Part Name],$A9,T_SelfStock_Log[WeekIndex],103)=0,"",SUMIFS(T_SelfStock_Log[Self_Qty],T_SelfStock_Log[Part Name],$A9,T_SelfStock_Log[WeekIndex],103))</f>
        <v/>
      </c>
      <c r="DA9" s="13">
        <f>IF(COUNTIFS(T_SelfStock_Log[Part Name],$A9,T_SelfStock_Log[WeekIndex],104)=0,"",SUMIFS(T_SelfStock_Log[Self_Qty],T_SelfStock_Log[Part Name],$A9,T_SelfStock_Log[WeekIndex],104))</f>
        <v/>
      </c>
    </row>
    <row r="10">
      <c r="A10" s="12" t="inlineStr">
        <is>
          <t>CHEM-1530</t>
        </is>
      </c>
      <c r="B10" s="12">
        <f>IF(COUNTIFS(T_SelfStock_Log[Part Name],$A10,T_SelfStock_Log[WeekIndex],1)=0,"",SUMIFS(T_SelfStock_Log[Self_Qty],T_SelfStock_Log[Part Name],$A10,T_SelfStock_Log[WeekIndex],1))</f>
        <v/>
      </c>
      <c r="C10" s="12">
        <f>IF(COUNTIFS(T_SelfStock_Log[Part Name],$A10,T_SelfStock_Log[WeekIndex],2)=0,"",SUMIFS(T_SelfStock_Log[Self_Qty],T_SelfStock_Log[Part Name],$A10,T_SelfStock_Log[WeekIndex],2))</f>
        <v/>
      </c>
      <c r="D10" s="12">
        <f>IF(COUNTIFS(T_SelfStock_Log[Part Name],$A10,T_SelfStock_Log[WeekIndex],3)=0,"",SUMIFS(T_SelfStock_Log[Self_Qty],T_SelfStock_Log[Part Name],$A10,T_SelfStock_Log[WeekIndex],3))</f>
        <v/>
      </c>
      <c r="E10" s="12">
        <f>IF(COUNTIFS(T_SelfStock_Log[Part Name],$A10,T_SelfStock_Log[WeekIndex],4)=0,"",SUMIFS(T_SelfStock_Log[Self_Qty],T_SelfStock_Log[Part Name],$A10,T_SelfStock_Log[WeekIndex],4))</f>
        <v/>
      </c>
      <c r="F10" s="12">
        <f>IF(COUNTIFS(T_SelfStock_Log[Part Name],$A10,T_SelfStock_Log[WeekIndex],5)=0,"",SUMIFS(T_SelfStock_Log[Self_Qty],T_SelfStock_Log[Part Name],$A10,T_SelfStock_Log[WeekIndex],5))</f>
        <v/>
      </c>
      <c r="G10" s="12">
        <f>IF(COUNTIFS(T_SelfStock_Log[Part Name],$A10,T_SelfStock_Log[WeekIndex],6)=0,"",SUMIFS(T_SelfStock_Log[Self_Qty],T_SelfStock_Log[Part Name],$A10,T_SelfStock_Log[WeekIndex],6))</f>
        <v/>
      </c>
      <c r="H10" s="12">
        <f>IF(COUNTIFS(T_SelfStock_Log[Part Name],$A10,T_SelfStock_Log[WeekIndex],7)=0,"",SUMIFS(T_SelfStock_Log[Self_Qty],T_SelfStock_Log[Part Name],$A10,T_SelfStock_Log[WeekIndex],7))</f>
        <v/>
      </c>
      <c r="I10" s="12">
        <f>IF(COUNTIFS(T_SelfStock_Log[Part Name],$A10,T_SelfStock_Log[WeekIndex],8)=0,"",SUMIFS(T_SelfStock_Log[Self_Qty],T_SelfStock_Log[Part Name],$A10,T_SelfStock_Log[WeekIndex],8))</f>
        <v/>
      </c>
      <c r="J10" s="12">
        <f>IF(COUNTIFS(T_SelfStock_Log[Part Name],$A10,T_SelfStock_Log[WeekIndex],9)=0,"",SUMIFS(T_SelfStock_Log[Self_Qty],T_SelfStock_Log[Part Name],$A10,T_SelfStock_Log[WeekIndex],9))</f>
        <v/>
      </c>
      <c r="K10" s="12">
        <f>IF(COUNTIFS(T_SelfStock_Log[Part Name],$A10,T_SelfStock_Log[WeekIndex],10)=0,"",SUMIFS(T_SelfStock_Log[Self_Qty],T_SelfStock_Log[Part Name],$A10,T_SelfStock_Log[WeekIndex],10))</f>
        <v/>
      </c>
      <c r="L10" s="12">
        <f>IF(COUNTIFS(T_SelfStock_Log[Part Name],$A10,T_SelfStock_Log[WeekIndex],11)=0,"",SUMIFS(T_SelfStock_Log[Self_Qty],T_SelfStock_Log[Part Name],$A10,T_SelfStock_Log[WeekIndex],11))</f>
        <v/>
      </c>
      <c r="M10" s="12">
        <f>IF(COUNTIFS(T_SelfStock_Log[Part Name],$A10,T_SelfStock_Log[WeekIndex],12)=0,"",SUMIFS(T_SelfStock_Log[Self_Qty],T_SelfStock_Log[Part Name],$A10,T_SelfStock_Log[WeekIndex],12))</f>
        <v/>
      </c>
      <c r="N10" s="12">
        <f>IF(COUNTIFS(T_SelfStock_Log[Part Name],$A10,T_SelfStock_Log[WeekIndex],13)=0,"",SUMIFS(T_SelfStock_Log[Self_Qty],T_SelfStock_Log[Part Name],$A10,T_SelfStock_Log[WeekIndex],13))</f>
        <v/>
      </c>
      <c r="O10" s="12">
        <f>IF(COUNTIFS(T_SelfStock_Log[Part Name],$A10,T_SelfStock_Log[WeekIndex],14)=0,"",SUMIFS(T_SelfStock_Log[Self_Qty],T_SelfStock_Log[Part Name],$A10,T_SelfStock_Log[WeekIndex],14))</f>
        <v/>
      </c>
      <c r="P10" s="12">
        <f>IF(COUNTIFS(T_SelfStock_Log[Part Name],$A10,T_SelfStock_Log[WeekIndex],15)=0,"",SUMIFS(T_SelfStock_Log[Self_Qty],T_SelfStock_Log[Part Name],$A10,T_SelfStock_Log[WeekIndex],15))</f>
        <v/>
      </c>
      <c r="Q10" s="12">
        <f>IF(COUNTIFS(T_SelfStock_Log[Part Name],$A10,T_SelfStock_Log[WeekIndex],16)=0,"",SUMIFS(T_SelfStock_Log[Self_Qty],T_SelfStock_Log[Part Name],$A10,T_SelfStock_Log[WeekIndex],16))</f>
        <v/>
      </c>
      <c r="R10" s="12">
        <f>IF(COUNTIFS(T_SelfStock_Log[Part Name],$A10,T_SelfStock_Log[WeekIndex],17)=0,"",SUMIFS(T_SelfStock_Log[Self_Qty],T_SelfStock_Log[Part Name],$A10,T_SelfStock_Log[WeekIndex],17))</f>
        <v/>
      </c>
      <c r="S10" s="12">
        <f>IF(COUNTIFS(T_SelfStock_Log[Part Name],$A10,T_SelfStock_Log[WeekIndex],18)=0,"",SUMIFS(T_SelfStock_Log[Self_Qty],T_SelfStock_Log[Part Name],$A10,T_SelfStock_Log[WeekIndex],18))</f>
        <v/>
      </c>
      <c r="T10" s="12">
        <f>IF(COUNTIFS(T_SelfStock_Log[Part Name],$A10,T_SelfStock_Log[WeekIndex],19)=0,"",SUMIFS(T_SelfStock_Log[Self_Qty],T_SelfStock_Log[Part Name],$A10,T_SelfStock_Log[WeekIndex],19))</f>
        <v/>
      </c>
      <c r="U10" s="12">
        <f>IF(COUNTIFS(T_SelfStock_Log[Part Name],$A10,T_SelfStock_Log[WeekIndex],20)=0,"",SUMIFS(T_SelfStock_Log[Self_Qty],T_SelfStock_Log[Part Name],$A10,T_SelfStock_Log[WeekIndex],20))</f>
        <v/>
      </c>
      <c r="V10" s="12">
        <f>IF(COUNTIFS(T_SelfStock_Log[Part Name],$A10,T_SelfStock_Log[WeekIndex],21)=0,"",SUMIFS(T_SelfStock_Log[Self_Qty],T_SelfStock_Log[Part Name],$A10,T_SelfStock_Log[WeekIndex],21))</f>
        <v/>
      </c>
      <c r="W10" s="12">
        <f>IF(COUNTIFS(T_SelfStock_Log[Part Name],$A10,T_SelfStock_Log[WeekIndex],22)=0,"",SUMIFS(T_SelfStock_Log[Self_Qty],T_SelfStock_Log[Part Name],$A10,T_SelfStock_Log[WeekIndex],22))</f>
        <v/>
      </c>
      <c r="X10" s="12">
        <f>IF(COUNTIFS(T_SelfStock_Log[Part Name],$A10,T_SelfStock_Log[WeekIndex],23)=0,"",SUMIFS(T_SelfStock_Log[Self_Qty],T_SelfStock_Log[Part Name],$A10,T_SelfStock_Log[WeekIndex],23))</f>
        <v/>
      </c>
      <c r="Y10" s="12">
        <f>IF(COUNTIFS(T_SelfStock_Log[Part Name],$A10,T_SelfStock_Log[WeekIndex],24)=0,"",SUMIFS(T_SelfStock_Log[Self_Qty],T_SelfStock_Log[Part Name],$A10,T_SelfStock_Log[WeekIndex],24))</f>
        <v/>
      </c>
      <c r="Z10" s="12">
        <f>IF(COUNTIFS(T_SelfStock_Log[Part Name],$A10,T_SelfStock_Log[WeekIndex],25)=0,"",SUMIFS(T_SelfStock_Log[Self_Qty],T_SelfStock_Log[Part Name],$A10,T_SelfStock_Log[WeekIndex],25))</f>
        <v/>
      </c>
      <c r="AA10" s="12">
        <f>IF(COUNTIFS(T_SelfStock_Log[Part Name],$A10,T_SelfStock_Log[WeekIndex],26)=0,"",SUMIFS(T_SelfStock_Log[Self_Qty],T_SelfStock_Log[Part Name],$A10,T_SelfStock_Log[WeekIndex],26))</f>
        <v/>
      </c>
      <c r="AB10" s="12">
        <f>IF(COUNTIFS(T_SelfStock_Log[Part Name],$A10,T_SelfStock_Log[WeekIndex],27)=0,"",SUMIFS(T_SelfStock_Log[Self_Qty],T_SelfStock_Log[Part Name],$A10,T_SelfStock_Log[WeekIndex],27))</f>
        <v/>
      </c>
      <c r="AC10" s="12">
        <f>IF(COUNTIFS(T_SelfStock_Log[Part Name],$A10,T_SelfStock_Log[WeekIndex],28)=0,"",SUMIFS(T_SelfStock_Log[Self_Qty],T_SelfStock_Log[Part Name],$A10,T_SelfStock_Log[WeekIndex],28))</f>
        <v/>
      </c>
      <c r="AD10" s="12">
        <f>IF(COUNTIFS(T_SelfStock_Log[Part Name],$A10,T_SelfStock_Log[WeekIndex],29)=0,"",SUMIFS(T_SelfStock_Log[Self_Qty],T_SelfStock_Log[Part Name],$A10,T_SelfStock_Log[WeekIndex],29))</f>
        <v/>
      </c>
      <c r="AE10" s="12">
        <f>IF(COUNTIFS(T_SelfStock_Log[Part Name],$A10,T_SelfStock_Log[WeekIndex],30)=0,"",SUMIFS(T_SelfStock_Log[Self_Qty],T_SelfStock_Log[Part Name],$A10,T_SelfStock_Log[WeekIndex],30))</f>
        <v/>
      </c>
      <c r="AF10" s="12">
        <f>IF(COUNTIFS(T_SelfStock_Log[Part Name],$A10,T_SelfStock_Log[WeekIndex],31)=0,"",SUMIFS(T_SelfStock_Log[Self_Qty],T_SelfStock_Log[Part Name],$A10,T_SelfStock_Log[WeekIndex],31))</f>
        <v/>
      </c>
      <c r="AG10" s="12">
        <f>IF(COUNTIFS(T_SelfStock_Log[Part Name],$A10,T_SelfStock_Log[WeekIndex],32)=0,"",SUMIFS(T_SelfStock_Log[Self_Qty],T_SelfStock_Log[Part Name],$A10,T_SelfStock_Log[WeekIndex],32))</f>
        <v/>
      </c>
      <c r="AH10" s="12">
        <f>IF(COUNTIFS(T_SelfStock_Log[Part Name],$A10,T_SelfStock_Log[WeekIndex],33)=0,"",SUMIFS(T_SelfStock_Log[Self_Qty],T_SelfStock_Log[Part Name],$A10,T_SelfStock_Log[WeekIndex],33))</f>
        <v/>
      </c>
      <c r="AI10" s="12">
        <f>IF(COUNTIFS(T_SelfStock_Log[Part Name],$A10,T_SelfStock_Log[WeekIndex],34)=0,"",SUMIFS(T_SelfStock_Log[Self_Qty],T_SelfStock_Log[Part Name],$A10,T_SelfStock_Log[WeekIndex],34))</f>
        <v/>
      </c>
      <c r="AJ10" s="12">
        <f>IF(COUNTIFS(T_SelfStock_Log[Part Name],$A10,T_SelfStock_Log[WeekIndex],35)=0,"",SUMIFS(T_SelfStock_Log[Self_Qty],T_SelfStock_Log[Part Name],$A10,T_SelfStock_Log[WeekIndex],35))</f>
        <v/>
      </c>
      <c r="AK10" s="12">
        <f>IF(COUNTIFS(T_SelfStock_Log[Part Name],$A10,T_SelfStock_Log[WeekIndex],36)=0,"",SUMIFS(T_SelfStock_Log[Self_Qty],T_SelfStock_Log[Part Name],$A10,T_SelfStock_Log[WeekIndex],36))</f>
        <v/>
      </c>
      <c r="AL10" s="12">
        <f>IF(COUNTIFS(T_SelfStock_Log[Part Name],$A10,T_SelfStock_Log[WeekIndex],37)=0,"",SUMIFS(T_SelfStock_Log[Self_Qty],T_SelfStock_Log[Part Name],$A10,T_SelfStock_Log[WeekIndex],37))</f>
        <v/>
      </c>
      <c r="AM10" s="12">
        <f>IF(COUNTIFS(T_SelfStock_Log[Part Name],$A10,T_SelfStock_Log[WeekIndex],38)=0,"",SUMIFS(T_SelfStock_Log[Self_Qty],T_SelfStock_Log[Part Name],$A10,T_SelfStock_Log[WeekIndex],38))</f>
        <v/>
      </c>
      <c r="AN10" s="12">
        <f>IF(COUNTIFS(T_SelfStock_Log[Part Name],$A10,T_SelfStock_Log[WeekIndex],39)=0,"",SUMIFS(T_SelfStock_Log[Self_Qty],T_SelfStock_Log[Part Name],$A10,T_SelfStock_Log[WeekIndex],39))</f>
        <v/>
      </c>
      <c r="AO10" s="12">
        <f>IF(COUNTIFS(T_SelfStock_Log[Part Name],$A10,T_SelfStock_Log[WeekIndex],40)=0,"",SUMIFS(T_SelfStock_Log[Self_Qty],T_SelfStock_Log[Part Name],$A10,T_SelfStock_Log[WeekIndex],40))</f>
        <v/>
      </c>
      <c r="AP10" s="12">
        <f>IF(COUNTIFS(T_SelfStock_Log[Part Name],$A10,T_SelfStock_Log[WeekIndex],41)=0,"",SUMIFS(T_SelfStock_Log[Self_Qty],T_SelfStock_Log[Part Name],$A10,T_SelfStock_Log[WeekIndex],41))</f>
        <v/>
      </c>
      <c r="AQ10" s="12">
        <f>IF(COUNTIFS(T_SelfStock_Log[Part Name],$A10,T_SelfStock_Log[WeekIndex],42)=0,"",SUMIFS(T_SelfStock_Log[Self_Qty],T_SelfStock_Log[Part Name],$A10,T_SelfStock_Log[WeekIndex],42))</f>
        <v/>
      </c>
      <c r="AR10" s="12">
        <f>IF(COUNTIFS(T_SelfStock_Log[Part Name],$A10,T_SelfStock_Log[WeekIndex],43)=0,"",SUMIFS(T_SelfStock_Log[Self_Qty],T_SelfStock_Log[Part Name],$A10,T_SelfStock_Log[WeekIndex],43))</f>
        <v/>
      </c>
      <c r="AS10" s="12">
        <f>IF(COUNTIFS(T_SelfStock_Log[Part Name],$A10,T_SelfStock_Log[WeekIndex],44)=0,"",SUMIFS(T_SelfStock_Log[Self_Qty],T_SelfStock_Log[Part Name],$A10,T_SelfStock_Log[WeekIndex],44))</f>
        <v/>
      </c>
      <c r="AT10" s="12">
        <f>IF(COUNTIFS(T_SelfStock_Log[Part Name],$A10,T_SelfStock_Log[WeekIndex],45)=0,"",SUMIFS(T_SelfStock_Log[Self_Qty],T_SelfStock_Log[Part Name],$A10,T_SelfStock_Log[WeekIndex],45))</f>
        <v/>
      </c>
      <c r="AU10" s="12">
        <f>IF(COUNTIFS(T_SelfStock_Log[Part Name],$A10,T_SelfStock_Log[WeekIndex],46)=0,"",SUMIFS(T_SelfStock_Log[Self_Qty],T_SelfStock_Log[Part Name],$A10,T_SelfStock_Log[WeekIndex],46))</f>
        <v/>
      </c>
      <c r="AV10" s="12">
        <f>IF(COUNTIFS(T_SelfStock_Log[Part Name],$A10,T_SelfStock_Log[WeekIndex],47)=0,"",SUMIFS(T_SelfStock_Log[Self_Qty],T_SelfStock_Log[Part Name],$A10,T_SelfStock_Log[WeekIndex],47))</f>
        <v/>
      </c>
      <c r="AW10" s="12">
        <f>IF(COUNTIFS(T_SelfStock_Log[Part Name],$A10,T_SelfStock_Log[WeekIndex],48)=0,"",SUMIFS(T_SelfStock_Log[Self_Qty],T_SelfStock_Log[Part Name],$A10,T_SelfStock_Log[WeekIndex],48))</f>
        <v/>
      </c>
      <c r="AX10" s="12">
        <f>IF(COUNTIFS(T_SelfStock_Log[Part Name],$A10,T_SelfStock_Log[WeekIndex],49)=0,"",SUMIFS(T_SelfStock_Log[Self_Qty],T_SelfStock_Log[Part Name],$A10,T_SelfStock_Log[WeekIndex],49))</f>
        <v/>
      </c>
      <c r="AY10" s="12">
        <f>IF(COUNTIFS(T_SelfStock_Log[Part Name],$A10,T_SelfStock_Log[WeekIndex],50)=0,"",SUMIFS(T_SelfStock_Log[Self_Qty],T_SelfStock_Log[Part Name],$A10,T_SelfStock_Log[WeekIndex],50))</f>
        <v/>
      </c>
      <c r="AZ10" s="12">
        <f>IF(COUNTIFS(T_SelfStock_Log[Part Name],$A10,T_SelfStock_Log[WeekIndex],51)=0,"",SUMIFS(T_SelfStock_Log[Self_Qty],T_SelfStock_Log[Part Name],$A10,T_SelfStock_Log[WeekIndex],51))</f>
        <v/>
      </c>
      <c r="BA10" s="12">
        <f>IF(COUNTIFS(T_SelfStock_Log[Part Name],$A10,T_SelfStock_Log[WeekIndex],52)=0,"",SUMIFS(T_SelfStock_Log[Self_Qty],T_SelfStock_Log[Part Name],$A10,T_SelfStock_Log[WeekIndex],52))</f>
        <v/>
      </c>
      <c r="BB10" s="12">
        <f>IF(COUNTIFS(T_SelfStock_Log[Part Name],$A10,T_SelfStock_Log[WeekIndex],53)=0,"",SUMIFS(T_SelfStock_Log[Self_Qty],T_SelfStock_Log[Part Name],$A10,T_SelfStock_Log[WeekIndex],53))</f>
        <v/>
      </c>
      <c r="BC10" s="12">
        <f>IF(COUNTIFS(T_SelfStock_Log[Part Name],$A10,T_SelfStock_Log[WeekIndex],54)=0,"",SUMIFS(T_SelfStock_Log[Self_Qty],T_SelfStock_Log[Part Name],$A10,T_SelfStock_Log[WeekIndex],54))</f>
        <v/>
      </c>
      <c r="BD10" s="12">
        <f>IF(COUNTIFS(T_SelfStock_Log[Part Name],$A10,T_SelfStock_Log[WeekIndex],55)=0,"",SUMIFS(T_SelfStock_Log[Self_Qty],T_SelfStock_Log[Part Name],$A10,T_SelfStock_Log[WeekIndex],55))</f>
        <v/>
      </c>
      <c r="BE10" s="12">
        <f>IF(COUNTIFS(T_SelfStock_Log[Part Name],$A10,T_SelfStock_Log[WeekIndex],56)=0,"",SUMIFS(T_SelfStock_Log[Self_Qty],T_SelfStock_Log[Part Name],$A10,T_SelfStock_Log[WeekIndex],56))</f>
        <v/>
      </c>
      <c r="BF10" s="12">
        <f>IF(COUNTIFS(T_SelfStock_Log[Part Name],$A10,T_SelfStock_Log[WeekIndex],57)=0,"",SUMIFS(T_SelfStock_Log[Self_Qty],T_SelfStock_Log[Part Name],$A10,T_SelfStock_Log[WeekIndex],57))</f>
        <v/>
      </c>
      <c r="BG10" s="12">
        <f>IF(COUNTIFS(T_SelfStock_Log[Part Name],$A10,T_SelfStock_Log[WeekIndex],58)=0,"",SUMIFS(T_SelfStock_Log[Self_Qty],T_SelfStock_Log[Part Name],$A10,T_SelfStock_Log[WeekIndex],58))</f>
        <v/>
      </c>
      <c r="BH10" s="12">
        <f>IF(COUNTIFS(T_SelfStock_Log[Part Name],$A10,T_SelfStock_Log[WeekIndex],59)=0,"",SUMIFS(T_SelfStock_Log[Self_Qty],T_SelfStock_Log[Part Name],$A10,T_SelfStock_Log[WeekIndex],59))</f>
        <v/>
      </c>
      <c r="BI10" s="12">
        <f>IF(COUNTIFS(T_SelfStock_Log[Part Name],$A10,T_SelfStock_Log[WeekIndex],60)=0,"",SUMIFS(T_SelfStock_Log[Self_Qty],T_SelfStock_Log[Part Name],$A10,T_SelfStock_Log[WeekIndex],60))</f>
        <v/>
      </c>
      <c r="BJ10" s="12">
        <f>IF(COUNTIFS(T_SelfStock_Log[Part Name],$A10,T_SelfStock_Log[WeekIndex],61)=0,"",SUMIFS(T_SelfStock_Log[Self_Qty],T_SelfStock_Log[Part Name],$A10,T_SelfStock_Log[WeekIndex],61))</f>
        <v/>
      </c>
      <c r="BK10" s="12">
        <f>IF(COUNTIFS(T_SelfStock_Log[Part Name],$A10,T_SelfStock_Log[WeekIndex],62)=0,"",SUMIFS(T_SelfStock_Log[Self_Qty],T_SelfStock_Log[Part Name],$A10,T_SelfStock_Log[WeekIndex],62))</f>
        <v/>
      </c>
      <c r="BL10" s="12">
        <f>IF(COUNTIFS(T_SelfStock_Log[Part Name],$A10,T_SelfStock_Log[WeekIndex],63)=0,"",SUMIFS(T_SelfStock_Log[Self_Qty],T_SelfStock_Log[Part Name],$A10,T_SelfStock_Log[WeekIndex],63))</f>
        <v/>
      </c>
      <c r="BM10" s="12">
        <f>IF(COUNTIFS(T_SelfStock_Log[Part Name],$A10,T_SelfStock_Log[WeekIndex],64)=0,"",SUMIFS(T_SelfStock_Log[Self_Qty],T_SelfStock_Log[Part Name],$A10,T_SelfStock_Log[WeekIndex],64))</f>
        <v/>
      </c>
      <c r="BN10" s="12">
        <f>IF(COUNTIFS(T_SelfStock_Log[Part Name],$A10,T_SelfStock_Log[WeekIndex],65)=0,"",SUMIFS(T_SelfStock_Log[Self_Qty],T_SelfStock_Log[Part Name],$A10,T_SelfStock_Log[WeekIndex],65))</f>
        <v/>
      </c>
      <c r="BO10" s="12">
        <f>IF(COUNTIFS(T_SelfStock_Log[Part Name],$A10,T_SelfStock_Log[WeekIndex],66)=0,"",SUMIFS(T_SelfStock_Log[Self_Qty],T_SelfStock_Log[Part Name],$A10,T_SelfStock_Log[WeekIndex],66))</f>
        <v/>
      </c>
      <c r="BP10" s="12">
        <f>IF(COUNTIFS(T_SelfStock_Log[Part Name],$A10,T_SelfStock_Log[WeekIndex],67)=0,"",SUMIFS(T_SelfStock_Log[Self_Qty],T_SelfStock_Log[Part Name],$A10,T_SelfStock_Log[WeekIndex],67))</f>
        <v/>
      </c>
      <c r="BQ10" s="12">
        <f>IF(COUNTIFS(T_SelfStock_Log[Part Name],$A10,T_SelfStock_Log[WeekIndex],68)=0,"",SUMIFS(T_SelfStock_Log[Self_Qty],T_SelfStock_Log[Part Name],$A10,T_SelfStock_Log[WeekIndex],68))</f>
        <v/>
      </c>
      <c r="BR10" s="12">
        <f>IF(COUNTIFS(T_SelfStock_Log[Part Name],$A10,T_SelfStock_Log[WeekIndex],69)=0,"",SUMIFS(T_SelfStock_Log[Self_Qty],T_SelfStock_Log[Part Name],$A10,T_SelfStock_Log[WeekIndex],69))</f>
        <v/>
      </c>
      <c r="BS10" s="12">
        <f>IF(COUNTIFS(T_SelfStock_Log[Part Name],$A10,T_SelfStock_Log[WeekIndex],70)=0,"",SUMIFS(T_SelfStock_Log[Self_Qty],T_SelfStock_Log[Part Name],$A10,T_SelfStock_Log[WeekIndex],70))</f>
        <v/>
      </c>
      <c r="BT10" s="12">
        <f>IF(COUNTIFS(T_SelfStock_Log[Part Name],$A10,T_SelfStock_Log[WeekIndex],71)=0,"",SUMIFS(T_SelfStock_Log[Self_Qty],T_SelfStock_Log[Part Name],$A10,T_SelfStock_Log[WeekIndex],71))</f>
        <v/>
      </c>
      <c r="BU10" s="12">
        <f>IF(COUNTIFS(T_SelfStock_Log[Part Name],$A10,T_SelfStock_Log[WeekIndex],72)=0,"",SUMIFS(T_SelfStock_Log[Self_Qty],T_SelfStock_Log[Part Name],$A10,T_SelfStock_Log[WeekIndex],72))</f>
        <v/>
      </c>
      <c r="BV10" s="12">
        <f>IF(COUNTIFS(T_SelfStock_Log[Part Name],$A10,T_SelfStock_Log[WeekIndex],73)=0,"",SUMIFS(T_SelfStock_Log[Self_Qty],T_SelfStock_Log[Part Name],$A10,T_SelfStock_Log[WeekIndex],73))</f>
        <v/>
      </c>
      <c r="BW10" s="12">
        <f>IF(COUNTIFS(T_SelfStock_Log[Part Name],$A10,T_SelfStock_Log[WeekIndex],74)=0,"",SUMIFS(T_SelfStock_Log[Self_Qty],T_SelfStock_Log[Part Name],$A10,T_SelfStock_Log[WeekIndex],74))</f>
        <v/>
      </c>
      <c r="BX10" s="12">
        <f>IF(COUNTIFS(T_SelfStock_Log[Part Name],$A10,T_SelfStock_Log[WeekIndex],75)=0,"",SUMIFS(T_SelfStock_Log[Self_Qty],T_SelfStock_Log[Part Name],$A10,T_SelfStock_Log[WeekIndex],75))</f>
        <v/>
      </c>
      <c r="BY10" s="12">
        <f>IF(COUNTIFS(T_SelfStock_Log[Part Name],$A10,T_SelfStock_Log[WeekIndex],76)=0,"",SUMIFS(T_SelfStock_Log[Self_Qty],T_SelfStock_Log[Part Name],$A10,T_SelfStock_Log[WeekIndex],76))</f>
        <v/>
      </c>
      <c r="BZ10" s="12">
        <f>IF(COUNTIFS(T_SelfStock_Log[Part Name],$A10,T_SelfStock_Log[WeekIndex],77)=0,"",SUMIFS(T_SelfStock_Log[Self_Qty],T_SelfStock_Log[Part Name],$A10,T_SelfStock_Log[WeekIndex],77))</f>
        <v/>
      </c>
      <c r="CA10" s="12">
        <f>IF(COUNTIFS(T_SelfStock_Log[Part Name],$A10,T_SelfStock_Log[WeekIndex],78)=0,"",SUMIFS(T_SelfStock_Log[Self_Qty],T_SelfStock_Log[Part Name],$A10,T_SelfStock_Log[WeekIndex],78))</f>
        <v/>
      </c>
      <c r="CB10" s="12">
        <f>IF(COUNTIFS(T_SelfStock_Log[Part Name],$A10,T_SelfStock_Log[WeekIndex],79)=0,"",SUMIFS(T_SelfStock_Log[Self_Qty],T_SelfStock_Log[Part Name],$A10,T_SelfStock_Log[WeekIndex],79))</f>
        <v/>
      </c>
      <c r="CC10" s="12">
        <f>IF(COUNTIFS(T_SelfStock_Log[Part Name],$A10,T_SelfStock_Log[WeekIndex],80)=0,"",SUMIFS(T_SelfStock_Log[Self_Qty],T_SelfStock_Log[Part Name],$A10,T_SelfStock_Log[WeekIndex],80))</f>
        <v/>
      </c>
      <c r="CD10" s="12">
        <f>IF(COUNTIFS(T_SelfStock_Log[Part Name],$A10,T_SelfStock_Log[WeekIndex],81)=0,"",SUMIFS(T_SelfStock_Log[Self_Qty],T_SelfStock_Log[Part Name],$A10,T_SelfStock_Log[WeekIndex],81))</f>
        <v/>
      </c>
      <c r="CE10" s="12">
        <f>IF(COUNTIFS(T_SelfStock_Log[Part Name],$A10,T_SelfStock_Log[WeekIndex],82)=0,"",SUMIFS(T_SelfStock_Log[Self_Qty],T_SelfStock_Log[Part Name],$A10,T_SelfStock_Log[WeekIndex],82))</f>
        <v/>
      </c>
      <c r="CF10" s="12">
        <f>IF(COUNTIFS(T_SelfStock_Log[Part Name],$A10,T_SelfStock_Log[WeekIndex],83)=0,"",SUMIFS(T_SelfStock_Log[Self_Qty],T_SelfStock_Log[Part Name],$A10,T_SelfStock_Log[WeekIndex],83))</f>
        <v/>
      </c>
      <c r="CG10" s="12">
        <f>IF(COUNTIFS(T_SelfStock_Log[Part Name],$A10,T_SelfStock_Log[WeekIndex],84)=0,"",SUMIFS(T_SelfStock_Log[Self_Qty],T_SelfStock_Log[Part Name],$A10,T_SelfStock_Log[WeekIndex],84))</f>
        <v/>
      </c>
      <c r="CH10" s="12">
        <f>IF(COUNTIFS(T_SelfStock_Log[Part Name],$A10,T_SelfStock_Log[WeekIndex],85)=0,"",SUMIFS(T_SelfStock_Log[Self_Qty],T_SelfStock_Log[Part Name],$A10,T_SelfStock_Log[WeekIndex],85))</f>
        <v/>
      </c>
      <c r="CI10" s="12">
        <f>IF(COUNTIFS(T_SelfStock_Log[Part Name],$A10,T_SelfStock_Log[WeekIndex],86)=0,"",SUMIFS(T_SelfStock_Log[Self_Qty],T_SelfStock_Log[Part Name],$A10,T_SelfStock_Log[WeekIndex],86))</f>
        <v/>
      </c>
      <c r="CJ10" s="12">
        <f>IF(COUNTIFS(T_SelfStock_Log[Part Name],$A10,T_SelfStock_Log[WeekIndex],87)=0,"",SUMIFS(T_SelfStock_Log[Self_Qty],T_SelfStock_Log[Part Name],$A10,T_SelfStock_Log[WeekIndex],87))</f>
        <v/>
      </c>
      <c r="CK10" s="12">
        <f>IF(COUNTIFS(T_SelfStock_Log[Part Name],$A10,T_SelfStock_Log[WeekIndex],88)=0,"",SUMIFS(T_SelfStock_Log[Self_Qty],T_SelfStock_Log[Part Name],$A10,T_SelfStock_Log[WeekIndex],88))</f>
        <v/>
      </c>
      <c r="CL10" s="12">
        <f>IF(COUNTIFS(T_SelfStock_Log[Part Name],$A10,T_SelfStock_Log[WeekIndex],89)=0,"",SUMIFS(T_SelfStock_Log[Self_Qty],T_SelfStock_Log[Part Name],$A10,T_SelfStock_Log[WeekIndex],89))</f>
        <v/>
      </c>
      <c r="CM10" s="12">
        <f>IF(COUNTIFS(T_SelfStock_Log[Part Name],$A10,T_SelfStock_Log[WeekIndex],90)=0,"",SUMIFS(T_SelfStock_Log[Self_Qty],T_SelfStock_Log[Part Name],$A10,T_SelfStock_Log[WeekIndex],90))</f>
        <v/>
      </c>
      <c r="CN10" s="12">
        <f>IF(COUNTIFS(T_SelfStock_Log[Part Name],$A10,T_SelfStock_Log[WeekIndex],91)=0,"",SUMIFS(T_SelfStock_Log[Self_Qty],T_SelfStock_Log[Part Name],$A10,T_SelfStock_Log[WeekIndex],91))</f>
        <v/>
      </c>
      <c r="CO10" s="12">
        <f>IF(COUNTIFS(T_SelfStock_Log[Part Name],$A10,T_SelfStock_Log[WeekIndex],92)=0,"",SUMIFS(T_SelfStock_Log[Self_Qty],T_SelfStock_Log[Part Name],$A10,T_SelfStock_Log[WeekIndex],92))</f>
        <v/>
      </c>
      <c r="CP10" s="12">
        <f>IF(COUNTIFS(T_SelfStock_Log[Part Name],$A10,T_SelfStock_Log[WeekIndex],93)=0,"",SUMIFS(T_SelfStock_Log[Self_Qty],T_SelfStock_Log[Part Name],$A10,T_SelfStock_Log[WeekIndex],93))</f>
        <v/>
      </c>
      <c r="CQ10" s="12">
        <f>IF(COUNTIFS(T_SelfStock_Log[Part Name],$A10,T_SelfStock_Log[WeekIndex],94)=0,"",SUMIFS(T_SelfStock_Log[Self_Qty],T_SelfStock_Log[Part Name],$A10,T_SelfStock_Log[WeekIndex],94))</f>
        <v/>
      </c>
      <c r="CR10" s="12">
        <f>IF(COUNTIFS(T_SelfStock_Log[Part Name],$A10,T_SelfStock_Log[WeekIndex],95)=0,"",SUMIFS(T_SelfStock_Log[Self_Qty],T_SelfStock_Log[Part Name],$A10,T_SelfStock_Log[WeekIndex],95))</f>
        <v/>
      </c>
      <c r="CS10" s="12">
        <f>IF(COUNTIFS(T_SelfStock_Log[Part Name],$A10,T_SelfStock_Log[WeekIndex],96)=0,"",SUMIFS(T_SelfStock_Log[Self_Qty],T_SelfStock_Log[Part Name],$A10,T_SelfStock_Log[WeekIndex],96))</f>
        <v/>
      </c>
      <c r="CT10" s="12">
        <f>IF(COUNTIFS(T_SelfStock_Log[Part Name],$A10,T_SelfStock_Log[WeekIndex],97)=0,"",SUMIFS(T_SelfStock_Log[Self_Qty],T_SelfStock_Log[Part Name],$A10,T_SelfStock_Log[WeekIndex],97))</f>
        <v/>
      </c>
      <c r="CU10" s="12">
        <f>IF(COUNTIFS(T_SelfStock_Log[Part Name],$A10,T_SelfStock_Log[WeekIndex],98)=0,"",SUMIFS(T_SelfStock_Log[Self_Qty],T_SelfStock_Log[Part Name],$A10,T_SelfStock_Log[WeekIndex],98))</f>
        <v/>
      </c>
      <c r="CV10" s="12">
        <f>IF(COUNTIFS(T_SelfStock_Log[Part Name],$A10,T_SelfStock_Log[WeekIndex],99)=0,"",SUMIFS(T_SelfStock_Log[Self_Qty],T_SelfStock_Log[Part Name],$A10,T_SelfStock_Log[WeekIndex],99))</f>
        <v/>
      </c>
      <c r="CW10" s="12">
        <f>IF(COUNTIFS(T_SelfStock_Log[Part Name],$A10,T_SelfStock_Log[WeekIndex],100)=0,"",SUMIFS(T_SelfStock_Log[Self_Qty],T_SelfStock_Log[Part Name],$A10,T_SelfStock_Log[WeekIndex],100))</f>
        <v/>
      </c>
      <c r="CX10" s="12">
        <f>IF(COUNTIFS(T_SelfStock_Log[Part Name],$A10,T_SelfStock_Log[WeekIndex],101)=0,"",SUMIFS(T_SelfStock_Log[Self_Qty],T_SelfStock_Log[Part Name],$A10,T_SelfStock_Log[WeekIndex],101))</f>
        <v/>
      </c>
      <c r="CY10" s="12">
        <f>IF(COUNTIFS(T_SelfStock_Log[Part Name],$A10,T_SelfStock_Log[WeekIndex],102)=0,"",SUMIFS(T_SelfStock_Log[Self_Qty],T_SelfStock_Log[Part Name],$A10,T_SelfStock_Log[WeekIndex],102))</f>
        <v/>
      </c>
      <c r="CZ10" s="12">
        <f>IF(COUNTIFS(T_SelfStock_Log[Part Name],$A10,T_SelfStock_Log[WeekIndex],103)=0,"",SUMIFS(T_SelfStock_Log[Self_Qty],T_SelfStock_Log[Part Name],$A10,T_SelfStock_Log[WeekIndex],103))</f>
        <v/>
      </c>
      <c r="DA10" s="12">
        <f>IF(COUNTIFS(T_SelfStock_Log[Part Name],$A10,T_SelfStock_Log[WeekIndex],104)=0,"",SUMIFS(T_SelfStock_Log[Self_Qty],T_SelfStock_Log[Part Name],$A10,T_SelfStock_Log[WeekIndex],104))</f>
        <v/>
      </c>
    </row>
    <row r="11">
      <c r="A11" s="13" t="inlineStr">
        <is>
          <t>CHEM-1540</t>
        </is>
      </c>
      <c r="B11" s="13">
        <f>IF(COUNTIFS(T_SelfStock_Log[Part Name],$A11,T_SelfStock_Log[WeekIndex],1)=0,"",SUMIFS(T_SelfStock_Log[Self_Qty],T_SelfStock_Log[Part Name],$A11,T_SelfStock_Log[WeekIndex],1))</f>
        <v/>
      </c>
      <c r="C11" s="13">
        <f>IF(COUNTIFS(T_SelfStock_Log[Part Name],$A11,T_SelfStock_Log[WeekIndex],2)=0,"",SUMIFS(T_SelfStock_Log[Self_Qty],T_SelfStock_Log[Part Name],$A11,T_SelfStock_Log[WeekIndex],2))</f>
        <v/>
      </c>
      <c r="D11" s="13">
        <f>IF(COUNTIFS(T_SelfStock_Log[Part Name],$A11,T_SelfStock_Log[WeekIndex],3)=0,"",SUMIFS(T_SelfStock_Log[Self_Qty],T_SelfStock_Log[Part Name],$A11,T_SelfStock_Log[WeekIndex],3))</f>
        <v/>
      </c>
      <c r="E11" s="13">
        <f>IF(COUNTIFS(T_SelfStock_Log[Part Name],$A11,T_SelfStock_Log[WeekIndex],4)=0,"",SUMIFS(T_SelfStock_Log[Self_Qty],T_SelfStock_Log[Part Name],$A11,T_SelfStock_Log[WeekIndex],4))</f>
        <v/>
      </c>
      <c r="F11" s="13">
        <f>IF(COUNTIFS(T_SelfStock_Log[Part Name],$A11,T_SelfStock_Log[WeekIndex],5)=0,"",SUMIFS(T_SelfStock_Log[Self_Qty],T_SelfStock_Log[Part Name],$A11,T_SelfStock_Log[WeekIndex],5))</f>
        <v/>
      </c>
      <c r="G11" s="13">
        <f>IF(COUNTIFS(T_SelfStock_Log[Part Name],$A11,T_SelfStock_Log[WeekIndex],6)=0,"",SUMIFS(T_SelfStock_Log[Self_Qty],T_SelfStock_Log[Part Name],$A11,T_SelfStock_Log[WeekIndex],6))</f>
        <v/>
      </c>
      <c r="H11" s="13">
        <f>IF(COUNTIFS(T_SelfStock_Log[Part Name],$A11,T_SelfStock_Log[WeekIndex],7)=0,"",SUMIFS(T_SelfStock_Log[Self_Qty],T_SelfStock_Log[Part Name],$A11,T_SelfStock_Log[WeekIndex],7))</f>
        <v/>
      </c>
      <c r="I11" s="13">
        <f>IF(COUNTIFS(T_SelfStock_Log[Part Name],$A11,T_SelfStock_Log[WeekIndex],8)=0,"",SUMIFS(T_SelfStock_Log[Self_Qty],T_SelfStock_Log[Part Name],$A11,T_SelfStock_Log[WeekIndex],8))</f>
        <v/>
      </c>
      <c r="J11" s="13">
        <f>IF(COUNTIFS(T_SelfStock_Log[Part Name],$A11,T_SelfStock_Log[WeekIndex],9)=0,"",SUMIFS(T_SelfStock_Log[Self_Qty],T_SelfStock_Log[Part Name],$A11,T_SelfStock_Log[WeekIndex],9))</f>
        <v/>
      </c>
      <c r="K11" s="13">
        <f>IF(COUNTIFS(T_SelfStock_Log[Part Name],$A11,T_SelfStock_Log[WeekIndex],10)=0,"",SUMIFS(T_SelfStock_Log[Self_Qty],T_SelfStock_Log[Part Name],$A11,T_SelfStock_Log[WeekIndex],10))</f>
        <v/>
      </c>
      <c r="L11" s="13">
        <f>IF(COUNTIFS(T_SelfStock_Log[Part Name],$A11,T_SelfStock_Log[WeekIndex],11)=0,"",SUMIFS(T_SelfStock_Log[Self_Qty],T_SelfStock_Log[Part Name],$A11,T_SelfStock_Log[WeekIndex],11))</f>
        <v/>
      </c>
      <c r="M11" s="13">
        <f>IF(COUNTIFS(T_SelfStock_Log[Part Name],$A11,T_SelfStock_Log[WeekIndex],12)=0,"",SUMIFS(T_SelfStock_Log[Self_Qty],T_SelfStock_Log[Part Name],$A11,T_SelfStock_Log[WeekIndex],12))</f>
        <v/>
      </c>
      <c r="N11" s="13">
        <f>IF(COUNTIFS(T_SelfStock_Log[Part Name],$A11,T_SelfStock_Log[WeekIndex],13)=0,"",SUMIFS(T_SelfStock_Log[Self_Qty],T_SelfStock_Log[Part Name],$A11,T_SelfStock_Log[WeekIndex],13))</f>
        <v/>
      </c>
      <c r="O11" s="13">
        <f>IF(COUNTIFS(T_SelfStock_Log[Part Name],$A11,T_SelfStock_Log[WeekIndex],14)=0,"",SUMIFS(T_SelfStock_Log[Self_Qty],T_SelfStock_Log[Part Name],$A11,T_SelfStock_Log[WeekIndex],14))</f>
        <v/>
      </c>
      <c r="P11" s="13">
        <f>IF(COUNTIFS(T_SelfStock_Log[Part Name],$A11,T_SelfStock_Log[WeekIndex],15)=0,"",SUMIFS(T_SelfStock_Log[Self_Qty],T_SelfStock_Log[Part Name],$A11,T_SelfStock_Log[WeekIndex],15))</f>
        <v/>
      </c>
      <c r="Q11" s="13">
        <f>IF(COUNTIFS(T_SelfStock_Log[Part Name],$A11,T_SelfStock_Log[WeekIndex],16)=0,"",SUMIFS(T_SelfStock_Log[Self_Qty],T_SelfStock_Log[Part Name],$A11,T_SelfStock_Log[WeekIndex],16))</f>
        <v/>
      </c>
      <c r="R11" s="13">
        <f>IF(COUNTIFS(T_SelfStock_Log[Part Name],$A11,T_SelfStock_Log[WeekIndex],17)=0,"",SUMIFS(T_SelfStock_Log[Self_Qty],T_SelfStock_Log[Part Name],$A11,T_SelfStock_Log[WeekIndex],17))</f>
        <v/>
      </c>
      <c r="S11" s="13">
        <f>IF(COUNTIFS(T_SelfStock_Log[Part Name],$A11,T_SelfStock_Log[WeekIndex],18)=0,"",SUMIFS(T_SelfStock_Log[Self_Qty],T_SelfStock_Log[Part Name],$A11,T_SelfStock_Log[WeekIndex],18))</f>
        <v/>
      </c>
      <c r="T11" s="13">
        <f>IF(COUNTIFS(T_SelfStock_Log[Part Name],$A11,T_SelfStock_Log[WeekIndex],19)=0,"",SUMIFS(T_SelfStock_Log[Self_Qty],T_SelfStock_Log[Part Name],$A11,T_SelfStock_Log[WeekIndex],19))</f>
        <v/>
      </c>
      <c r="U11" s="13">
        <f>IF(COUNTIFS(T_SelfStock_Log[Part Name],$A11,T_SelfStock_Log[WeekIndex],20)=0,"",SUMIFS(T_SelfStock_Log[Self_Qty],T_SelfStock_Log[Part Name],$A11,T_SelfStock_Log[WeekIndex],20))</f>
        <v/>
      </c>
      <c r="V11" s="13">
        <f>IF(COUNTIFS(T_SelfStock_Log[Part Name],$A11,T_SelfStock_Log[WeekIndex],21)=0,"",SUMIFS(T_SelfStock_Log[Self_Qty],T_SelfStock_Log[Part Name],$A11,T_SelfStock_Log[WeekIndex],21))</f>
        <v/>
      </c>
      <c r="W11" s="13">
        <f>IF(COUNTIFS(T_SelfStock_Log[Part Name],$A11,T_SelfStock_Log[WeekIndex],22)=0,"",SUMIFS(T_SelfStock_Log[Self_Qty],T_SelfStock_Log[Part Name],$A11,T_SelfStock_Log[WeekIndex],22))</f>
        <v/>
      </c>
      <c r="X11" s="13">
        <f>IF(COUNTIFS(T_SelfStock_Log[Part Name],$A11,T_SelfStock_Log[WeekIndex],23)=0,"",SUMIFS(T_SelfStock_Log[Self_Qty],T_SelfStock_Log[Part Name],$A11,T_SelfStock_Log[WeekIndex],23))</f>
        <v/>
      </c>
      <c r="Y11" s="13">
        <f>IF(COUNTIFS(T_SelfStock_Log[Part Name],$A11,T_SelfStock_Log[WeekIndex],24)=0,"",SUMIFS(T_SelfStock_Log[Self_Qty],T_SelfStock_Log[Part Name],$A11,T_SelfStock_Log[WeekIndex],24))</f>
        <v/>
      </c>
      <c r="Z11" s="13">
        <f>IF(COUNTIFS(T_SelfStock_Log[Part Name],$A11,T_SelfStock_Log[WeekIndex],25)=0,"",SUMIFS(T_SelfStock_Log[Self_Qty],T_SelfStock_Log[Part Name],$A11,T_SelfStock_Log[WeekIndex],25))</f>
        <v/>
      </c>
      <c r="AA11" s="13">
        <f>IF(COUNTIFS(T_SelfStock_Log[Part Name],$A11,T_SelfStock_Log[WeekIndex],26)=0,"",SUMIFS(T_SelfStock_Log[Self_Qty],T_SelfStock_Log[Part Name],$A11,T_SelfStock_Log[WeekIndex],26))</f>
        <v/>
      </c>
      <c r="AB11" s="13">
        <f>IF(COUNTIFS(T_SelfStock_Log[Part Name],$A11,T_SelfStock_Log[WeekIndex],27)=0,"",SUMIFS(T_SelfStock_Log[Self_Qty],T_SelfStock_Log[Part Name],$A11,T_SelfStock_Log[WeekIndex],27))</f>
        <v/>
      </c>
      <c r="AC11" s="13">
        <f>IF(COUNTIFS(T_SelfStock_Log[Part Name],$A11,T_SelfStock_Log[WeekIndex],28)=0,"",SUMIFS(T_SelfStock_Log[Self_Qty],T_SelfStock_Log[Part Name],$A11,T_SelfStock_Log[WeekIndex],28))</f>
        <v/>
      </c>
      <c r="AD11" s="13">
        <f>IF(COUNTIFS(T_SelfStock_Log[Part Name],$A11,T_SelfStock_Log[WeekIndex],29)=0,"",SUMIFS(T_SelfStock_Log[Self_Qty],T_SelfStock_Log[Part Name],$A11,T_SelfStock_Log[WeekIndex],29))</f>
        <v/>
      </c>
      <c r="AE11" s="13">
        <f>IF(COUNTIFS(T_SelfStock_Log[Part Name],$A11,T_SelfStock_Log[WeekIndex],30)=0,"",SUMIFS(T_SelfStock_Log[Self_Qty],T_SelfStock_Log[Part Name],$A11,T_SelfStock_Log[WeekIndex],30))</f>
        <v/>
      </c>
      <c r="AF11" s="13">
        <f>IF(COUNTIFS(T_SelfStock_Log[Part Name],$A11,T_SelfStock_Log[WeekIndex],31)=0,"",SUMIFS(T_SelfStock_Log[Self_Qty],T_SelfStock_Log[Part Name],$A11,T_SelfStock_Log[WeekIndex],31))</f>
        <v/>
      </c>
      <c r="AG11" s="13">
        <f>IF(COUNTIFS(T_SelfStock_Log[Part Name],$A11,T_SelfStock_Log[WeekIndex],32)=0,"",SUMIFS(T_SelfStock_Log[Self_Qty],T_SelfStock_Log[Part Name],$A11,T_SelfStock_Log[WeekIndex],32))</f>
        <v/>
      </c>
      <c r="AH11" s="13">
        <f>IF(COUNTIFS(T_SelfStock_Log[Part Name],$A11,T_SelfStock_Log[WeekIndex],33)=0,"",SUMIFS(T_SelfStock_Log[Self_Qty],T_SelfStock_Log[Part Name],$A11,T_SelfStock_Log[WeekIndex],33))</f>
        <v/>
      </c>
      <c r="AI11" s="13">
        <f>IF(COUNTIFS(T_SelfStock_Log[Part Name],$A11,T_SelfStock_Log[WeekIndex],34)=0,"",SUMIFS(T_SelfStock_Log[Self_Qty],T_SelfStock_Log[Part Name],$A11,T_SelfStock_Log[WeekIndex],34))</f>
        <v/>
      </c>
      <c r="AJ11" s="13">
        <f>IF(COUNTIFS(T_SelfStock_Log[Part Name],$A11,T_SelfStock_Log[WeekIndex],35)=0,"",SUMIFS(T_SelfStock_Log[Self_Qty],T_SelfStock_Log[Part Name],$A11,T_SelfStock_Log[WeekIndex],35))</f>
        <v/>
      </c>
      <c r="AK11" s="13">
        <f>IF(COUNTIFS(T_SelfStock_Log[Part Name],$A11,T_SelfStock_Log[WeekIndex],36)=0,"",SUMIFS(T_SelfStock_Log[Self_Qty],T_SelfStock_Log[Part Name],$A11,T_SelfStock_Log[WeekIndex],36))</f>
        <v/>
      </c>
      <c r="AL11" s="13">
        <f>IF(COUNTIFS(T_SelfStock_Log[Part Name],$A11,T_SelfStock_Log[WeekIndex],37)=0,"",SUMIFS(T_SelfStock_Log[Self_Qty],T_SelfStock_Log[Part Name],$A11,T_SelfStock_Log[WeekIndex],37))</f>
        <v/>
      </c>
      <c r="AM11" s="13">
        <f>IF(COUNTIFS(T_SelfStock_Log[Part Name],$A11,T_SelfStock_Log[WeekIndex],38)=0,"",SUMIFS(T_SelfStock_Log[Self_Qty],T_SelfStock_Log[Part Name],$A11,T_SelfStock_Log[WeekIndex],38))</f>
        <v/>
      </c>
      <c r="AN11" s="13">
        <f>IF(COUNTIFS(T_SelfStock_Log[Part Name],$A11,T_SelfStock_Log[WeekIndex],39)=0,"",SUMIFS(T_SelfStock_Log[Self_Qty],T_SelfStock_Log[Part Name],$A11,T_SelfStock_Log[WeekIndex],39))</f>
        <v/>
      </c>
      <c r="AO11" s="13">
        <f>IF(COUNTIFS(T_SelfStock_Log[Part Name],$A11,T_SelfStock_Log[WeekIndex],40)=0,"",SUMIFS(T_SelfStock_Log[Self_Qty],T_SelfStock_Log[Part Name],$A11,T_SelfStock_Log[WeekIndex],40))</f>
        <v/>
      </c>
      <c r="AP11" s="13">
        <f>IF(COUNTIFS(T_SelfStock_Log[Part Name],$A11,T_SelfStock_Log[WeekIndex],41)=0,"",SUMIFS(T_SelfStock_Log[Self_Qty],T_SelfStock_Log[Part Name],$A11,T_SelfStock_Log[WeekIndex],41))</f>
        <v/>
      </c>
      <c r="AQ11" s="13">
        <f>IF(COUNTIFS(T_SelfStock_Log[Part Name],$A11,T_SelfStock_Log[WeekIndex],42)=0,"",SUMIFS(T_SelfStock_Log[Self_Qty],T_SelfStock_Log[Part Name],$A11,T_SelfStock_Log[WeekIndex],42))</f>
        <v/>
      </c>
      <c r="AR11" s="13">
        <f>IF(COUNTIFS(T_SelfStock_Log[Part Name],$A11,T_SelfStock_Log[WeekIndex],43)=0,"",SUMIFS(T_SelfStock_Log[Self_Qty],T_SelfStock_Log[Part Name],$A11,T_SelfStock_Log[WeekIndex],43))</f>
        <v/>
      </c>
      <c r="AS11" s="13">
        <f>IF(COUNTIFS(T_SelfStock_Log[Part Name],$A11,T_SelfStock_Log[WeekIndex],44)=0,"",SUMIFS(T_SelfStock_Log[Self_Qty],T_SelfStock_Log[Part Name],$A11,T_SelfStock_Log[WeekIndex],44))</f>
        <v/>
      </c>
      <c r="AT11" s="13">
        <f>IF(COUNTIFS(T_SelfStock_Log[Part Name],$A11,T_SelfStock_Log[WeekIndex],45)=0,"",SUMIFS(T_SelfStock_Log[Self_Qty],T_SelfStock_Log[Part Name],$A11,T_SelfStock_Log[WeekIndex],45))</f>
        <v/>
      </c>
      <c r="AU11" s="13">
        <f>IF(COUNTIFS(T_SelfStock_Log[Part Name],$A11,T_SelfStock_Log[WeekIndex],46)=0,"",SUMIFS(T_SelfStock_Log[Self_Qty],T_SelfStock_Log[Part Name],$A11,T_SelfStock_Log[WeekIndex],46))</f>
        <v/>
      </c>
      <c r="AV11" s="13">
        <f>IF(COUNTIFS(T_SelfStock_Log[Part Name],$A11,T_SelfStock_Log[WeekIndex],47)=0,"",SUMIFS(T_SelfStock_Log[Self_Qty],T_SelfStock_Log[Part Name],$A11,T_SelfStock_Log[WeekIndex],47))</f>
        <v/>
      </c>
      <c r="AW11" s="13">
        <f>IF(COUNTIFS(T_SelfStock_Log[Part Name],$A11,T_SelfStock_Log[WeekIndex],48)=0,"",SUMIFS(T_SelfStock_Log[Self_Qty],T_SelfStock_Log[Part Name],$A11,T_SelfStock_Log[WeekIndex],48))</f>
        <v/>
      </c>
      <c r="AX11" s="13">
        <f>IF(COUNTIFS(T_SelfStock_Log[Part Name],$A11,T_SelfStock_Log[WeekIndex],49)=0,"",SUMIFS(T_SelfStock_Log[Self_Qty],T_SelfStock_Log[Part Name],$A11,T_SelfStock_Log[WeekIndex],49))</f>
        <v/>
      </c>
      <c r="AY11" s="13">
        <f>IF(COUNTIFS(T_SelfStock_Log[Part Name],$A11,T_SelfStock_Log[WeekIndex],50)=0,"",SUMIFS(T_SelfStock_Log[Self_Qty],T_SelfStock_Log[Part Name],$A11,T_SelfStock_Log[WeekIndex],50))</f>
        <v/>
      </c>
      <c r="AZ11" s="13">
        <f>IF(COUNTIFS(T_SelfStock_Log[Part Name],$A11,T_SelfStock_Log[WeekIndex],51)=0,"",SUMIFS(T_SelfStock_Log[Self_Qty],T_SelfStock_Log[Part Name],$A11,T_SelfStock_Log[WeekIndex],51))</f>
        <v/>
      </c>
      <c r="BA11" s="13">
        <f>IF(COUNTIFS(T_SelfStock_Log[Part Name],$A11,T_SelfStock_Log[WeekIndex],52)=0,"",SUMIFS(T_SelfStock_Log[Self_Qty],T_SelfStock_Log[Part Name],$A11,T_SelfStock_Log[WeekIndex],52))</f>
        <v/>
      </c>
      <c r="BB11" s="13">
        <f>IF(COUNTIFS(T_SelfStock_Log[Part Name],$A11,T_SelfStock_Log[WeekIndex],53)=0,"",SUMIFS(T_SelfStock_Log[Self_Qty],T_SelfStock_Log[Part Name],$A11,T_SelfStock_Log[WeekIndex],53))</f>
        <v/>
      </c>
      <c r="BC11" s="13">
        <f>IF(COUNTIFS(T_SelfStock_Log[Part Name],$A11,T_SelfStock_Log[WeekIndex],54)=0,"",SUMIFS(T_SelfStock_Log[Self_Qty],T_SelfStock_Log[Part Name],$A11,T_SelfStock_Log[WeekIndex],54))</f>
        <v/>
      </c>
      <c r="BD11" s="13">
        <f>IF(COUNTIFS(T_SelfStock_Log[Part Name],$A11,T_SelfStock_Log[WeekIndex],55)=0,"",SUMIFS(T_SelfStock_Log[Self_Qty],T_SelfStock_Log[Part Name],$A11,T_SelfStock_Log[WeekIndex],55))</f>
        <v/>
      </c>
      <c r="BE11" s="13">
        <f>IF(COUNTIFS(T_SelfStock_Log[Part Name],$A11,T_SelfStock_Log[WeekIndex],56)=0,"",SUMIFS(T_SelfStock_Log[Self_Qty],T_SelfStock_Log[Part Name],$A11,T_SelfStock_Log[WeekIndex],56))</f>
        <v/>
      </c>
      <c r="BF11" s="13">
        <f>IF(COUNTIFS(T_SelfStock_Log[Part Name],$A11,T_SelfStock_Log[WeekIndex],57)=0,"",SUMIFS(T_SelfStock_Log[Self_Qty],T_SelfStock_Log[Part Name],$A11,T_SelfStock_Log[WeekIndex],57))</f>
        <v/>
      </c>
      <c r="BG11" s="13">
        <f>IF(COUNTIFS(T_SelfStock_Log[Part Name],$A11,T_SelfStock_Log[WeekIndex],58)=0,"",SUMIFS(T_SelfStock_Log[Self_Qty],T_SelfStock_Log[Part Name],$A11,T_SelfStock_Log[WeekIndex],58))</f>
        <v/>
      </c>
      <c r="BH11" s="13">
        <f>IF(COUNTIFS(T_SelfStock_Log[Part Name],$A11,T_SelfStock_Log[WeekIndex],59)=0,"",SUMIFS(T_SelfStock_Log[Self_Qty],T_SelfStock_Log[Part Name],$A11,T_SelfStock_Log[WeekIndex],59))</f>
        <v/>
      </c>
      <c r="BI11" s="13">
        <f>IF(COUNTIFS(T_SelfStock_Log[Part Name],$A11,T_SelfStock_Log[WeekIndex],60)=0,"",SUMIFS(T_SelfStock_Log[Self_Qty],T_SelfStock_Log[Part Name],$A11,T_SelfStock_Log[WeekIndex],60))</f>
        <v/>
      </c>
      <c r="BJ11" s="13">
        <f>IF(COUNTIFS(T_SelfStock_Log[Part Name],$A11,T_SelfStock_Log[WeekIndex],61)=0,"",SUMIFS(T_SelfStock_Log[Self_Qty],T_SelfStock_Log[Part Name],$A11,T_SelfStock_Log[WeekIndex],61))</f>
        <v/>
      </c>
      <c r="BK11" s="13">
        <f>IF(COUNTIFS(T_SelfStock_Log[Part Name],$A11,T_SelfStock_Log[WeekIndex],62)=0,"",SUMIFS(T_SelfStock_Log[Self_Qty],T_SelfStock_Log[Part Name],$A11,T_SelfStock_Log[WeekIndex],62))</f>
        <v/>
      </c>
      <c r="BL11" s="13">
        <f>IF(COUNTIFS(T_SelfStock_Log[Part Name],$A11,T_SelfStock_Log[WeekIndex],63)=0,"",SUMIFS(T_SelfStock_Log[Self_Qty],T_SelfStock_Log[Part Name],$A11,T_SelfStock_Log[WeekIndex],63))</f>
        <v/>
      </c>
      <c r="BM11" s="13">
        <f>IF(COUNTIFS(T_SelfStock_Log[Part Name],$A11,T_SelfStock_Log[WeekIndex],64)=0,"",SUMIFS(T_SelfStock_Log[Self_Qty],T_SelfStock_Log[Part Name],$A11,T_SelfStock_Log[WeekIndex],64))</f>
        <v/>
      </c>
      <c r="BN11" s="13">
        <f>IF(COUNTIFS(T_SelfStock_Log[Part Name],$A11,T_SelfStock_Log[WeekIndex],65)=0,"",SUMIFS(T_SelfStock_Log[Self_Qty],T_SelfStock_Log[Part Name],$A11,T_SelfStock_Log[WeekIndex],65))</f>
        <v/>
      </c>
      <c r="BO11" s="13">
        <f>IF(COUNTIFS(T_SelfStock_Log[Part Name],$A11,T_SelfStock_Log[WeekIndex],66)=0,"",SUMIFS(T_SelfStock_Log[Self_Qty],T_SelfStock_Log[Part Name],$A11,T_SelfStock_Log[WeekIndex],66))</f>
        <v/>
      </c>
      <c r="BP11" s="13">
        <f>IF(COUNTIFS(T_SelfStock_Log[Part Name],$A11,T_SelfStock_Log[WeekIndex],67)=0,"",SUMIFS(T_SelfStock_Log[Self_Qty],T_SelfStock_Log[Part Name],$A11,T_SelfStock_Log[WeekIndex],67))</f>
        <v/>
      </c>
      <c r="BQ11" s="13">
        <f>IF(COUNTIFS(T_SelfStock_Log[Part Name],$A11,T_SelfStock_Log[WeekIndex],68)=0,"",SUMIFS(T_SelfStock_Log[Self_Qty],T_SelfStock_Log[Part Name],$A11,T_SelfStock_Log[WeekIndex],68))</f>
        <v/>
      </c>
      <c r="BR11" s="13">
        <f>IF(COUNTIFS(T_SelfStock_Log[Part Name],$A11,T_SelfStock_Log[WeekIndex],69)=0,"",SUMIFS(T_SelfStock_Log[Self_Qty],T_SelfStock_Log[Part Name],$A11,T_SelfStock_Log[WeekIndex],69))</f>
        <v/>
      </c>
      <c r="BS11" s="13">
        <f>IF(COUNTIFS(T_SelfStock_Log[Part Name],$A11,T_SelfStock_Log[WeekIndex],70)=0,"",SUMIFS(T_SelfStock_Log[Self_Qty],T_SelfStock_Log[Part Name],$A11,T_SelfStock_Log[WeekIndex],70))</f>
        <v/>
      </c>
      <c r="BT11" s="13">
        <f>IF(COUNTIFS(T_SelfStock_Log[Part Name],$A11,T_SelfStock_Log[WeekIndex],71)=0,"",SUMIFS(T_SelfStock_Log[Self_Qty],T_SelfStock_Log[Part Name],$A11,T_SelfStock_Log[WeekIndex],71))</f>
        <v/>
      </c>
      <c r="BU11" s="13">
        <f>IF(COUNTIFS(T_SelfStock_Log[Part Name],$A11,T_SelfStock_Log[WeekIndex],72)=0,"",SUMIFS(T_SelfStock_Log[Self_Qty],T_SelfStock_Log[Part Name],$A11,T_SelfStock_Log[WeekIndex],72))</f>
        <v/>
      </c>
      <c r="BV11" s="13">
        <f>IF(COUNTIFS(T_SelfStock_Log[Part Name],$A11,T_SelfStock_Log[WeekIndex],73)=0,"",SUMIFS(T_SelfStock_Log[Self_Qty],T_SelfStock_Log[Part Name],$A11,T_SelfStock_Log[WeekIndex],73))</f>
        <v/>
      </c>
      <c r="BW11" s="13">
        <f>IF(COUNTIFS(T_SelfStock_Log[Part Name],$A11,T_SelfStock_Log[WeekIndex],74)=0,"",SUMIFS(T_SelfStock_Log[Self_Qty],T_SelfStock_Log[Part Name],$A11,T_SelfStock_Log[WeekIndex],74))</f>
        <v/>
      </c>
      <c r="BX11" s="13">
        <f>IF(COUNTIFS(T_SelfStock_Log[Part Name],$A11,T_SelfStock_Log[WeekIndex],75)=0,"",SUMIFS(T_SelfStock_Log[Self_Qty],T_SelfStock_Log[Part Name],$A11,T_SelfStock_Log[WeekIndex],75))</f>
        <v/>
      </c>
      <c r="BY11" s="13">
        <f>IF(COUNTIFS(T_SelfStock_Log[Part Name],$A11,T_SelfStock_Log[WeekIndex],76)=0,"",SUMIFS(T_SelfStock_Log[Self_Qty],T_SelfStock_Log[Part Name],$A11,T_SelfStock_Log[WeekIndex],76))</f>
        <v/>
      </c>
      <c r="BZ11" s="13">
        <f>IF(COUNTIFS(T_SelfStock_Log[Part Name],$A11,T_SelfStock_Log[WeekIndex],77)=0,"",SUMIFS(T_SelfStock_Log[Self_Qty],T_SelfStock_Log[Part Name],$A11,T_SelfStock_Log[WeekIndex],77))</f>
        <v/>
      </c>
      <c r="CA11" s="13">
        <f>IF(COUNTIFS(T_SelfStock_Log[Part Name],$A11,T_SelfStock_Log[WeekIndex],78)=0,"",SUMIFS(T_SelfStock_Log[Self_Qty],T_SelfStock_Log[Part Name],$A11,T_SelfStock_Log[WeekIndex],78))</f>
        <v/>
      </c>
      <c r="CB11" s="13">
        <f>IF(COUNTIFS(T_SelfStock_Log[Part Name],$A11,T_SelfStock_Log[WeekIndex],79)=0,"",SUMIFS(T_SelfStock_Log[Self_Qty],T_SelfStock_Log[Part Name],$A11,T_SelfStock_Log[WeekIndex],79))</f>
        <v/>
      </c>
      <c r="CC11" s="13">
        <f>IF(COUNTIFS(T_SelfStock_Log[Part Name],$A11,T_SelfStock_Log[WeekIndex],80)=0,"",SUMIFS(T_SelfStock_Log[Self_Qty],T_SelfStock_Log[Part Name],$A11,T_SelfStock_Log[WeekIndex],80))</f>
        <v/>
      </c>
      <c r="CD11" s="13">
        <f>IF(COUNTIFS(T_SelfStock_Log[Part Name],$A11,T_SelfStock_Log[WeekIndex],81)=0,"",SUMIFS(T_SelfStock_Log[Self_Qty],T_SelfStock_Log[Part Name],$A11,T_SelfStock_Log[WeekIndex],81))</f>
        <v/>
      </c>
      <c r="CE11" s="13">
        <f>IF(COUNTIFS(T_SelfStock_Log[Part Name],$A11,T_SelfStock_Log[WeekIndex],82)=0,"",SUMIFS(T_SelfStock_Log[Self_Qty],T_SelfStock_Log[Part Name],$A11,T_SelfStock_Log[WeekIndex],82))</f>
        <v/>
      </c>
      <c r="CF11" s="13">
        <f>IF(COUNTIFS(T_SelfStock_Log[Part Name],$A11,T_SelfStock_Log[WeekIndex],83)=0,"",SUMIFS(T_SelfStock_Log[Self_Qty],T_SelfStock_Log[Part Name],$A11,T_SelfStock_Log[WeekIndex],83))</f>
        <v/>
      </c>
      <c r="CG11" s="13">
        <f>IF(COUNTIFS(T_SelfStock_Log[Part Name],$A11,T_SelfStock_Log[WeekIndex],84)=0,"",SUMIFS(T_SelfStock_Log[Self_Qty],T_SelfStock_Log[Part Name],$A11,T_SelfStock_Log[WeekIndex],84))</f>
        <v/>
      </c>
      <c r="CH11" s="13">
        <f>IF(COUNTIFS(T_SelfStock_Log[Part Name],$A11,T_SelfStock_Log[WeekIndex],85)=0,"",SUMIFS(T_SelfStock_Log[Self_Qty],T_SelfStock_Log[Part Name],$A11,T_SelfStock_Log[WeekIndex],85))</f>
        <v/>
      </c>
      <c r="CI11" s="13">
        <f>IF(COUNTIFS(T_SelfStock_Log[Part Name],$A11,T_SelfStock_Log[WeekIndex],86)=0,"",SUMIFS(T_SelfStock_Log[Self_Qty],T_SelfStock_Log[Part Name],$A11,T_SelfStock_Log[WeekIndex],86))</f>
        <v/>
      </c>
      <c r="CJ11" s="13">
        <f>IF(COUNTIFS(T_SelfStock_Log[Part Name],$A11,T_SelfStock_Log[WeekIndex],87)=0,"",SUMIFS(T_SelfStock_Log[Self_Qty],T_SelfStock_Log[Part Name],$A11,T_SelfStock_Log[WeekIndex],87))</f>
        <v/>
      </c>
      <c r="CK11" s="13">
        <f>IF(COUNTIFS(T_SelfStock_Log[Part Name],$A11,T_SelfStock_Log[WeekIndex],88)=0,"",SUMIFS(T_SelfStock_Log[Self_Qty],T_SelfStock_Log[Part Name],$A11,T_SelfStock_Log[WeekIndex],88))</f>
        <v/>
      </c>
      <c r="CL11" s="13">
        <f>IF(COUNTIFS(T_SelfStock_Log[Part Name],$A11,T_SelfStock_Log[WeekIndex],89)=0,"",SUMIFS(T_SelfStock_Log[Self_Qty],T_SelfStock_Log[Part Name],$A11,T_SelfStock_Log[WeekIndex],89))</f>
        <v/>
      </c>
      <c r="CM11" s="13">
        <f>IF(COUNTIFS(T_SelfStock_Log[Part Name],$A11,T_SelfStock_Log[WeekIndex],90)=0,"",SUMIFS(T_SelfStock_Log[Self_Qty],T_SelfStock_Log[Part Name],$A11,T_SelfStock_Log[WeekIndex],90))</f>
        <v/>
      </c>
      <c r="CN11" s="13">
        <f>IF(COUNTIFS(T_SelfStock_Log[Part Name],$A11,T_SelfStock_Log[WeekIndex],91)=0,"",SUMIFS(T_SelfStock_Log[Self_Qty],T_SelfStock_Log[Part Name],$A11,T_SelfStock_Log[WeekIndex],91))</f>
        <v/>
      </c>
      <c r="CO11" s="13">
        <f>IF(COUNTIFS(T_SelfStock_Log[Part Name],$A11,T_SelfStock_Log[WeekIndex],92)=0,"",SUMIFS(T_SelfStock_Log[Self_Qty],T_SelfStock_Log[Part Name],$A11,T_SelfStock_Log[WeekIndex],92))</f>
        <v/>
      </c>
      <c r="CP11" s="13">
        <f>IF(COUNTIFS(T_SelfStock_Log[Part Name],$A11,T_SelfStock_Log[WeekIndex],93)=0,"",SUMIFS(T_SelfStock_Log[Self_Qty],T_SelfStock_Log[Part Name],$A11,T_SelfStock_Log[WeekIndex],93))</f>
        <v/>
      </c>
      <c r="CQ11" s="13">
        <f>IF(COUNTIFS(T_SelfStock_Log[Part Name],$A11,T_SelfStock_Log[WeekIndex],94)=0,"",SUMIFS(T_SelfStock_Log[Self_Qty],T_SelfStock_Log[Part Name],$A11,T_SelfStock_Log[WeekIndex],94))</f>
        <v/>
      </c>
      <c r="CR11" s="13">
        <f>IF(COUNTIFS(T_SelfStock_Log[Part Name],$A11,T_SelfStock_Log[WeekIndex],95)=0,"",SUMIFS(T_SelfStock_Log[Self_Qty],T_SelfStock_Log[Part Name],$A11,T_SelfStock_Log[WeekIndex],95))</f>
        <v/>
      </c>
      <c r="CS11" s="13">
        <f>IF(COUNTIFS(T_SelfStock_Log[Part Name],$A11,T_SelfStock_Log[WeekIndex],96)=0,"",SUMIFS(T_SelfStock_Log[Self_Qty],T_SelfStock_Log[Part Name],$A11,T_SelfStock_Log[WeekIndex],96))</f>
        <v/>
      </c>
      <c r="CT11" s="13">
        <f>IF(COUNTIFS(T_SelfStock_Log[Part Name],$A11,T_SelfStock_Log[WeekIndex],97)=0,"",SUMIFS(T_SelfStock_Log[Self_Qty],T_SelfStock_Log[Part Name],$A11,T_SelfStock_Log[WeekIndex],97))</f>
        <v/>
      </c>
      <c r="CU11" s="13">
        <f>IF(COUNTIFS(T_SelfStock_Log[Part Name],$A11,T_SelfStock_Log[WeekIndex],98)=0,"",SUMIFS(T_SelfStock_Log[Self_Qty],T_SelfStock_Log[Part Name],$A11,T_SelfStock_Log[WeekIndex],98))</f>
        <v/>
      </c>
      <c r="CV11" s="13">
        <f>IF(COUNTIFS(T_SelfStock_Log[Part Name],$A11,T_SelfStock_Log[WeekIndex],99)=0,"",SUMIFS(T_SelfStock_Log[Self_Qty],T_SelfStock_Log[Part Name],$A11,T_SelfStock_Log[WeekIndex],99))</f>
        <v/>
      </c>
      <c r="CW11" s="13">
        <f>IF(COUNTIFS(T_SelfStock_Log[Part Name],$A11,T_SelfStock_Log[WeekIndex],100)=0,"",SUMIFS(T_SelfStock_Log[Self_Qty],T_SelfStock_Log[Part Name],$A11,T_SelfStock_Log[WeekIndex],100))</f>
        <v/>
      </c>
      <c r="CX11" s="13">
        <f>IF(COUNTIFS(T_SelfStock_Log[Part Name],$A11,T_SelfStock_Log[WeekIndex],101)=0,"",SUMIFS(T_SelfStock_Log[Self_Qty],T_SelfStock_Log[Part Name],$A11,T_SelfStock_Log[WeekIndex],101))</f>
        <v/>
      </c>
      <c r="CY11" s="13">
        <f>IF(COUNTIFS(T_SelfStock_Log[Part Name],$A11,T_SelfStock_Log[WeekIndex],102)=0,"",SUMIFS(T_SelfStock_Log[Self_Qty],T_SelfStock_Log[Part Name],$A11,T_SelfStock_Log[WeekIndex],102))</f>
        <v/>
      </c>
      <c r="CZ11" s="13">
        <f>IF(COUNTIFS(T_SelfStock_Log[Part Name],$A11,T_SelfStock_Log[WeekIndex],103)=0,"",SUMIFS(T_SelfStock_Log[Self_Qty],T_SelfStock_Log[Part Name],$A11,T_SelfStock_Log[WeekIndex],103))</f>
        <v/>
      </c>
      <c r="DA11" s="13">
        <f>IF(COUNTIFS(T_SelfStock_Log[Part Name],$A11,T_SelfStock_Log[WeekIndex],104)=0,"",SUMIFS(T_SelfStock_Log[Self_Qty],T_SelfStock_Log[Part Name],$A11,T_SelfStock_Log[WeekIndex],104))</f>
        <v/>
      </c>
    </row>
    <row r="12">
      <c r="A12" s="12" t="inlineStr">
        <is>
          <t>CHEM-1690</t>
        </is>
      </c>
      <c r="B12" s="12">
        <f>IF(COUNTIFS(T_SelfStock_Log[Part Name],$A12,T_SelfStock_Log[WeekIndex],1)=0,"",SUMIFS(T_SelfStock_Log[Self_Qty],T_SelfStock_Log[Part Name],$A12,T_SelfStock_Log[WeekIndex],1))</f>
        <v/>
      </c>
      <c r="C12" s="12">
        <f>IF(COUNTIFS(T_SelfStock_Log[Part Name],$A12,T_SelfStock_Log[WeekIndex],2)=0,"",SUMIFS(T_SelfStock_Log[Self_Qty],T_SelfStock_Log[Part Name],$A12,T_SelfStock_Log[WeekIndex],2))</f>
        <v/>
      </c>
      <c r="D12" s="12">
        <f>IF(COUNTIFS(T_SelfStock_Log[Part Name],$A12,T_SelfStock_Log[WeekIndex],3)=0,"",SUMIFS(T_SelfStock_Log[Self_Qty],T_SelfStock_Log[Part Name],$A12,T_SelfStock_Log[WeekIndex],3))</f>
        <v/>
      </c>
      <c r="E12" s="12">
        <f>IF(COUNTIFS(T_SelfStock_Log[Part Name],$A12,T_SelfStock_Log[WeekIndex],4)=0,"",SUMIFS(T_SelfStock_Log[Self_Qty],T_SelfStock_Log[Part Name],$A12,T_SelfStock_Log[WeekIndex],4))</f>
        <v/>
      </c>
      <c r="F12" s="12">
        <f>IF(COUNTIFS(T_SelfStock_Log[Part Name],$A12,T_SelfStock_Log[WeekIndex],5)=0,"",SUMIFS(T_SelfStock_Log[Self_Qty],T_SelfStock_Log[Part Name],$A12,T_SelfStock_Log[WeekIndex],5))</f>
        <v/>
      </c>
      <c r="G12" s="12">
        <f>IF(COUNTIFS(T_SelfStock_Log[Part Name],$A12,T_SelfStock_Log[WeekIndex],6)=0,"",SUMIFS(T_SelfStock_Log[Self_Qty],T_SelfStock_Log[Part Name],$A12,T_SelfStock_Log[WeekIndex],6))</f>
        <v/>
      </c>
      <c r="H12" s="12">
        <f>IF(COUNTIFS(T_SelfStock_Log[Part Name],$A12,T_SelfStock_Log[WeekIndex],7)=0,"",SUMIFS(T_SelfStock_Log[Self_Qty],T_SelfStock_Log[Part Name],$A12,T_SelfStock_Log[WeekIndex],7))</f>
        <v/>
      </c>
      <c r="I12" s="12">
        <f>IF(COUNTIFS(T_SelfStock_Log[Part Name],$A12,T_SelfStock_Log[WeekIndex],8)=0,"",SUMIFS(T_SelfStock_Log[Self_Qty],T_SelfStock_Log[Part Name],$A12,T_SelfStock_Log[WeekIndex],8))</f>
        <v/>
      </c>
      <c r="J12" s="12">
        <f>IF(COUNTIFS(T_SelfStock_Log[Part Name],$A12,T_SelfStock_Log[WeekIndex],9)=0,"",SUMIFS(T_SelfStock_Log[Self_Qty],T_SelfStock_Log[Part Name],$A12,T_SelfStock_Log[WeekIndex],9))</f>
        <v/>
      </c>
      <c r="K12" s="12">
        <f>IF(COUNTIFS(T_SelfStock_Log[Part Name],$A12,T_SelfStock_Log[WeekIndex],10)=0,"",SUMIFS(T_SelfStock_Log[Self_Qty],T_SelfStock_Log[Part Name],$A12,T_SelfStock_Log[WeekIndex],10))</f>
        <v/>
      </c>
      <c r="L12" s="12">
        <f>IF(COUNTIFS(T_SelfStock_Log[Part Name],$A12,T_SelfStock_Log[WeekIndex],11)=0,"",SUMIFS(T_SelfStock_Log[Self_Qty],T_SelfStock_Log[Part Name],$A12,T_SelfStock_Log[WeekIndex],11))</f>
        <v/>
      </c>
      <c r="M12" s="12">
        <f>IF(COUNTIFS(T_SelfStock_Log[Part Name],$A12,T_SelfStock_Log[WeekIndex],12)=0,"",SUMIFS(T_SelfStock_Log[Self_Qty],T_SelfStock_Log[Part Name],$A12,T_SelfStock_Log[WeekIndex],12))</f>
        <v/>
      </c>
      <c r="N12" s="12">
        <f>IF(COUNTIFS(T_SelfStock_Log[Part Name],$A12,T_SelfStock_Log[WeekIndex],13)=0,"",SUMIFS(T_SelfStock_Log[Self_Qty],T_SelfStock_Log[Part Name],$A12,T_SelfStock_Log[WeekIndex],13))</f>
        <v/>
      </c>
      <c r="O12" s="12">
        <f>IF(COUNTIFS(T_SelfStock_Log[Part Name],$A12,T_SelfStock_Log[WeekIndex],14)=0,"",SUMIFS(T_SelfStock_Log[Self_Qty],T_SelfStock_Log[Part Name],$A12,T_SelfStock_Log[WeekIndex],14))</f>
        <v/>
      </c>
      <c r="P12" s="12">
        <f>IF(COUNTIFS(T_SelfStock_Log[Part Name],$A12,T_SelfStock_Log[WeekIndex],15)=0,"",SUMIFS(T_SelfStock_Log[Self_Qty],T_SelfStock_Log[Part Name],$A12,T_SelfStock_Log[WeekIndex],15))</f>
        <v/>
      </c>
      <c r="Q12" s="12">
        <f>IF(COUNTIFS(T_SelfStock_Log[Part Name],$A12,T_SelfStock_Log[WeekIndex],16)=0,"",SUMIFS(T_SelfStock_Log[Self_Qty],T_SelfStock_Log[Part Name],$A12,T_SelfStock_Log[WeekIndex],16))</f>
        <v/>
      </c>
      <c r="R12" s="12">
        <f>IF(COUNTIFS(T_SelfStock_Log[Part Name],$A12,T_SelfStock_Log[WeekIndex],17)=0,"",SUMIFS(T_SelfStock_Log[Self_Qty],T_SelfStock_Log[Part Name],$A12,T_SelfStock_Log[WeekIndex],17))</f>
        <v/>
      </c>
      <c r="S12" s="12">
        <f>IF(COUNTIFS(T_SelfStock_Log[Part Name],$A12,T_SelfStock_Log[WeekIndex],18)=0,"",SUMIFS(T_SelfStock_Log[Self_Qty],T_SelfStock_Log[Part Name],$A12,T_SelfStock_Log[WeekIndex],18))</f>
        <v/>
      </c>
      <c r="T12" s="12">
        <f>IF(COUNTIFS(T_SelfStock_Log[Part Name],$A12,T_SelfStock_Log[WeekIndex],19)=0,"",SUMIFS(T_SelfStock_Log[Self_Qty],T_SelfStock_Log[Part Name],$A12,T_SelfStock_Log[WeekIndex],19))</f>
        <v/>
      </c>
      <c r="U12" s="12">
        <f>IF(COUNTIFS(T_SelfStock_Log[Part Name],$A12,T_SelfStock_Log[WeekIndex],20)=0,"",SUMIFS(T_SelfStock_Log[Self_Qty],T_SelfStock_Log[Part Name],$A12,T_SelfStock_Log[WeekIndex],20))</f>
        <v/>
      </c>
      <c r="V12" s="12">
        <f>IF(COUNTIFS(T_SelfStock_Log[Part Name],$A12,T_SelfStock_Log[WeekIndex],21)=0,"",SUMIFS(T_SelfStock_Log[Self_Qty],T_SelfStock_Log[Part Name],$A12,T_SelfStock_Log[WeekIndex],21))</f>
        <v/>
      </c>
      <c r="W12" s="12">
        <f>IF(COUNTIFS(T_SelfStock_Log[Part Name],$A12,T_SelfStock_Log[WeekIndex],22)=0,"",SUMIFS(T_SelfStock_Log[Self_Qty],T_SelfStock_Log[Part Name],$A12,T_SelfStock_Log[WeekIndex],22))</f>
        <v/>
      </c>
      <c r="X12" s="12">
        <f>IF(COUNTIFS(T_SelfStock_Log[Part Name],$A12,T_SelfStock_Log[WeekIndex],23)=0,"",SUMIFS(T_SelfStock_Log[Self_Qty],T_SelfStock_Log[Part Name],$A12,T_SelfStock_Log[WeekIndex],23))</f>
        <v/>
      </c>
      <c r="Y12" s="12">
        <f>IF(COUNTIFS(T_SelfStock_Log[Part Name],$A12,T_SelfStock_Log[WeekIndex],24)=0,"",SUMIFS(T_SelfStock_Log[Self_Qty],T_SelfStock_Log[Part Name],$A12,T_SelfStock_Log[WeekIndex],24))</f>
        <v/>
      </c>
      <c r="Z12" s="12">
        <f>IF(COUNTIFS(T_SelfStock_Log[Part Name],$A12,T_SelfStock_Log[WeekIndex],25)=0,"",SUMIFS(T_SelfStock_Log[Self_Qty],T_SelfStock_Log[Part Name],$A12,T_SelfStock_Log[WeekIndex],25))</f>
        <v/>
      </c>
      <c r="AA12" s="12">
        <f>IF(COUNTIFS(T_SelfStock_Log[Part Name],$A12,T_SelfStock_Log[WeekIndex],26)=0,"",SUMIFS(T_SelfStock_Log[Self_Qty],T_SelfStock_Log[Part Name],$A12,T_SelfStock_Log[WeekIndex],26))</f>
        <v/>
      </c>
      <c r="AB12" s="12">
        <f>IF(COUNTIFS(T_SelfStock_Log[Part Name],$A12,T_SelfStock_Log[WeekIndex],27)=0,"",SUMIFS(T_SelfStock_Log[Self_Qty],T_SelfStock_Log[Part Name],$A12,T_SelfStock_Log[WeekIndex],27))</f>
        <v/>
      </c>
      <c r="AC12" s="12">
        <f>IF(COUNTIFS(T_SelfStock_Log[Part Name],$A12,T_SelfStock_Log[WeekIndex],28)=0,"",SUMIFS(T_SelfStock_Log[Self_Qty],T_SelfStock_Log[Part Name],$A12,T_SelfStock_Log[WeekIndex],28))</f>
        <v/>
      </c>
      <c r="AD12" s="12">
        <f>IF(COUNTIFS(T_SelfStock_Log[Part Name],$A12,T_SelfStock_Log[WeekIndex],29)=0,"",SUMIFS(T_SelfStock_Log[Self_Qty],T_SelfStock_Log[Part Name],$A12,T_SelfStock_Log[WeekIndex],29))</f>
        <v/>
      </c>
      <c r="AE12" s="12">
        <f>IF(COUNTIFS(T_SelfStock_Log[Part Name],$A12,T_SelfStock_Log[WeekIndex],30)=0,"",SUMIFS(T_SelfStock_Log[Self_Qty],T_SelfStock_Log[Part Name],$A12,T_SelfStock_Log[WeekIndex],30))</f>
        <v/>
      </c>
      <c r="AF12" s="12">
        <f>IF(COUNTIFS(T_SelfStock_Log[Part Name],$A12,T_SelfStock_Log[WeekIndex],31)=0,"",SUMIFS(T_SelfStock_Log[Self_Qty],T_SelfStock_Log[Part Name],$A12,T_SelfStock_Log[WeekIndex],31))</f>
        <v/>
      </c>
      <c r="AG12" s="12">
        <f>IF(COUNTIFS(T_SelfStock_Log[Part Name],$A12,T_SelfStock_Log[WeekIndex],32)=0,"",SUMIFS(T_SelfStock_Log[Self_Qty],T_SelfStock_Log[Part Name],$A12,T_SelfStock_Log[WeekIndex],32))</f>
        <v/>
      </c>
      <c r="AH12" s="12">
        <f>IF(COUNTIFS(T_SelfStock_Log[Part Name],$A12,T_SelfStock_Log[WeekIndex],33)=0,"",SUMIFS(T_SelfStock_Log[Self_Qty],T_SelfStock_Log[Part Name],$A12,T_SelfStock_Log[WeekIndex],33))</f>
        <v/>
      </c>
      <c r="AI12" s="12">
        <f>IF(COUNTIFS(T_SelfStock_Log[Part Name],$A12,T_SelfStock_Log[WeekIndex],34)=0,"",SUMIFS(T_SelfStock_Log[Self_Qty],T_SelfStock_Log[Part Name],$A12,T_SelfStock_Log[WeekIndex],34))</f>
        <v/>
      </c>
      <c r="AJ12" s="12">
        <f>IF(COUNTIFS(T_SelfStock_Log[Part Name],$A12,T_SelfStock_Log[WeekIndex],35)=0,"",SUMIFS(T_SelfStock_Log[Self_Qty],T_SelfStock_Log[Part Name],$A12,T_SelfStock_Log[WeekIndex],35))</f>
        <v/>
      </c>
      <c r="AK12" s="12">
        <f>IF(COUNTIFS(T_SelfStock_Log[Part Name],$A12,T_SelfStock_Log[WeekIndex],36)=0,"",SUMIFS(T_SelfStock_Log[Self_Qty],T_SelfStock_Log[Part Name],$A12,T_SelfStock_Log[WeekIndex],36))</f>
        <v/>
      </c>
      <c r="AL12" s="12">
        <f>IF(COUNTIFS(T_SelfStock_Log[Part Name],$A12,T_SelfStock_Log[WeekIndex],37)=0,"",SUMIFS(T_SelfStock_Log[Self_Qty],T_SelfStock_Log[Part Name],$A12,T_SelfStock_Log[WeekIndex],37))</f>
        <v/>
      </c>
      <c r="AM12" s="12">
        <f>IF(COUNTIFS(T_SelfStock_Log[Part Name],$A12,T_SelfStock_Log[WeekIndex],38)=0,"",SUMIFS(T_SelfStock_Log[Self_Qty],T_SelfStock_Log[Part Name],$A12,T_SelfStock_Log[WeekIndex],38))</f>
        <v/>
      </c>
      <c r="AN12" s="12">
        <f>IF(COUNTIFS(T_SelfStock_Log[Part Name],$A12,T_SelfStock_Log[WeekIndex],39)=0,"",SUMIFS(T_SelfStock_Log[Self_Qty],T_SelfStock_Log[Part Name],$A12,T_SelfStock_Log[WeekIndex],39))</f>
        <v/>
      </c>
      <c r="AO12" s="12">
        <f>IF(COUNTIFS(T_SelfStock_Log[Part Name],$A12,T_SelfStock_Log[WeekIndex],40)=0,"",SUMIFS(T_SelfStock_Log[Self_Qty],T_SelfStock_Log[Part Name],$A12,T_SelfStock_Log[WeekIndex],40))</f>
        <v/>
      </c>
      <c r="AP12" s="12">
        <f>IF(COUNTIFS(T_SelfStock_Log[Part Name],$A12,T_SelfStock_Log[WeekIndex],41)=0,"",SUMIFS(T_SelfStock_Log[Self_Qty],T_SelfStock_Log[Part Name],$A12,T_SelfStock_Log[WeekIndex],41))</f>
        <v/>
      </c>
      <c r="AQ12" s="12">
        <f>IF(COUNTIFS(T_SelfStock_Log[Part Name],$A12,T_SelfStock_Log[WeekIndex],42)=0,"",SUMIFS(T_SelfStock_Log[Self_Qty],T_SelfStock_Log[Part Name],$A12,T_SelfStock_Log[WeekIndex],42))</f>
        <v/>
      </c>
      <c r="AR12" s="12">
        <f>IF(COUNTIFS(T_SelfStock_Log[Part Name],$A12,T_SelfStock_Log[WeekIndex],43)=0,"",SUMIFS(T_SelfStock_Log[Self_Qty],T_SelfStock_Log[Part Name],$A12,T_SelfStock_Log[WeekIndex],43))</f>
        <v/>
      </c>
      <c r="AS12" s="12">
        <f>IF(COUNTIFS(T_SelfStock_Log[Part Name],$A12,T_SelfStock_Log[WeekIndex],44)=0,"",SUMIFS(T_SelfStock_Log[Self_Qty],T_SelfStock_Log[Part Name],$A12,T_SelfStock_Log[WeekIndex],44))</f>
        <v/>
      </c>
      <c r="AT12" s="12">
        <f>IF(COUNTIFS(T_SelfStock_Log[Part Name],$A12,T_SelfStock_Log[WeekIndex],45)=0,"",SUMIFS(T_SelfStock_Log[Self_Qty],T_SelfStock_Log[Part Name],$A12,T_SelfStock_Log[WeekIndex],45))</f>
        <v/>
      </c>
      <c r="AU12" s="12">
        <f>IF(COUNTIFS(T_SelfStock_Log[Part Name],$A12,T_SelfStock_Log[WeekIndex],46)=0,"",SUMIFS(T_SelfStock_Log[Self_Qty],T_SelfStock_Log[Part Name],$A12,T_SelfStock_Log[WeekIndex],46))</f>
        <v/>
      </c>
      <c r="AV12" s="12">
        <f>IF(COUNTIFS(T_SelfStock_Log[Part Name],$A12,T_SelfStock_Log[WeekIndex],47)=0,"",SUMIFS(T_SelfStock_Log[Self_Qty],T_SelfStock_Log[Part Name],$A12,T_SelfStock_Log[WeekIndex],47))</f>
        <v/>
      </c>
      <c r="AW12" s="12">
        <f>IF(COUNTIFS(T_SelfStock_Log[Part Name],$A12,T_SelfStock_Log[WeekIndex],48)=0,"",SUMIFS(T_SelfStock_Log[Self_Qty],T_SelfStock_Log[Part Name],$A12,T_SelfStock_Log[WeekIndex],48))</f>
        <v/>
      </c>
      <c r="AX12" s="12">
        <f>IF(COUNTIFS(T_SelfStock_Log[Part Name],$A12,T_SelfStock_Log[WeekIndex],49)=0,"",SUMIFS(T_SelfStock_Log[Self_Qty],T_SelfStock_Log[Part Name],$A12,T_SelfStock_Log[WeekIndex],49))</f>
        <v/>
      </c>
      <c r="AY12" s="12">
        <f>IF(COUNTIFS(T_SelfStock_Log[Part Name],$A12,T_SelfStock_Log[WeekIndex],50)=0,"",SUMIFS(T_SelfStock_Log[Self_Qty],T_SelfStock_Log[Part Name],$A12,T_SelfStock_Log[WeekIndex],50))</f>
        <v/>
      </c>
      <c r="AZ12" s="12">
        <f>IF(COUNTIFS(T_SelfStock_Log[Part Name],$A12,T_SelfStock_Log[WeekIndex],51)=0,"",SUMIFS(T_SelfStock_Log[Self_Qty],T_SelfStock_Log[Part Name],$A12,T_SelfStock_Log[WeekIndex],51))</f>
        <v/>
      </c>
      <c r="BA12" s="12">
        <f>IF(COUNTIFS(T_SelfStock_Log[Part Name],$A12,T_SelfStock_Log[WeekIndex],52)=0,"",SUMIFS(T_SelfStock_Log[Self_Qty],T_SelfStock_Log[Part Name],$A12,T_SelfStock_Log[WeekIndex],52))</f>
        <v/>
      </c>
      <c r="BB12" s="12">
        <f>IF(COUNTIFS(T_SelfStock_Log[Part Name],$A12,T_SelfStock_Log[WeekIndex],53)=0,"",SUMIFS(T_SelfStock_Log[Self_Qty],T_SelfStock_Log[Part Name],$A12,T_SelfStock_Log[WeekIndex],53))</f>
        <v/>
      </c>
      <c r="BC12" s="12">
        <f>IF(COUNTIFS(T_SelfStock_Log[Part Name],$A12,T_SelfStock_Log[WeekIndex],54)=0,"",SUMIFS(T_SelfStock_Log[Self_Qty],T_SelfStock_Log[Part Name],$A12,T_SelfStock_Log[WeekIndex],54))</f>
        <v/>
      </c>
      <c r="BD12" s="12">
        <f>IF(COUNTIFS(T_SelfStock_Log[Part Name],$A12,T_SelfStock_Log[WeekIndex],55)=0,"",SUMIFS(T_SelfStock_Log[Self_Qty],T_SelfStock_Log[Part Name],$A12,T_SelfStock_Log[WeekIndex],55))</f>
        <v/>
      </c>
      <c r="BE12" s="12">
        <f>IF(COUNTIFS(T_SelfStock_Log[Part Name],$A12,T_SelfStock_Log[WeekIndex],56)=0,"",SUMIFS(T_SelfStock_Log[Self_Qty],T_SelfStock_Log[Part Name],$A12,T_SelfStock_Log[WeekIndex],56))</f>
        <v/>
      </c>
      <c r="BF12" s="12">
        <f>IF(COUNTIFS(T_SelfStock_Log[Part Name],$A12,T_SelfStock_Log[WeekIndex],57)=0,"",SUMIFS(T_SelfStock_Log[Self_Qty],T_SelfStock_Log[Part Name],$A12,T_SelfStock_Log[WeekIndex],57))</f>
        <v/>
      </c>
      <c r="BG12" s="12">
        <f>IF(COUNTIFS(T_SelfStock_Log[Part Name],$A12,T_SelfStock_Log[WeekIndex],58)=0,"",SUMIFS(T_SelfStock_Log[Self_Qty],T_SelfStock_Log[Part Name],$A12,T_SelfStock_Log[WeekIndex],58))</f>
        <v/>
      </c>
      <c r="BH12" s="12">
        <f>IF(COUNTIFS(T_SelfStock_Log[Part Name],$A12,T_SelfStock_Log[WeekIndex],59)=0,"",SUMIFS(T_SelfStock_Log[Self_Qty],T_SelfStock_Log[Part Name],$A12,T_SelfStock_Log[WeekIndex],59))</f>
        <v/>
      </c>
      <c r="BI12" s="12">
        <f>IF(COUNTIFS(T_SelfStock_Log[Part Name],$A12,T_SelfStock_Log[WeekIndex],60)=0,"",SUMIFS(T_SelfStock_Log[Self_Qty],T_SelfStock_Log[Part Name],$A12,T_SelfStock_Log[WeekIndex],60))</f>
        <v/>
      </c>
      <c r="BJ12" s="12">
        <f>IF(COUNTIFS(T_SelfStock_Log[Part Name],$A12,T_SelfStock_Log[WeekIndex],61)=0,"",SUMIFS(T_SelfStock_Log[Self_Qty],T_SelfStock_Log[Part Name],$A12,T_SelfStock_Log[WeekIndex],61))</f>
        <v/>
      </c>
      <c r="BK12" s="12">
        <f>IF(COUNTIFS(T_SelfStock_Log[Part Name],$A12,T_SelfStock_Log[WeekIndex],62)=0,"",SUMIFS(T_SelfStock_Log[Self_Qty],T_SelfStock_Log[Part Name],$A12,T_SelfStock_Log[WeekIndex],62))</f>
        <v/>
      </c>
      <c r="BL12" s="12">
        <f>IF(COUNTIFS(T_SelfStock_Log[Part Name],$A12,T_SelfStock_Log[WeekIndex],63)=0,"",SUMIFS(T_SelfStock_Log[Self_Qty],T_SelfStock_Log[Part Name],$A12,T_SelfStock_Log[WeekIndex],63))</f>
        <v/>
      </c>
      <c r="BM12" s="12">
        <f>IF(COUNTIFS(T_SelfStock_Log[Part Name],$A12,T_SelfStock_Log[WeekIndex],64)=0,"",SUMIFS(T_SelfStock_Log[Self_Qty],T_SelfStock_Log[Part Name],$A12,T_SelfStock_Log[WeekIndex],64))</f>
        <v/>
      </c>
      <c r="BN12" s="12">
        <f>IF(COUNTIFS(T_SelfStock_Log[Part Name],$A12,T_SelfStock_Log[WeekIndex],65)=0,"",SUMIFS(T_SelfStock_Log[Self_Qty],T_SelfStock_Log[Part Name],$A12,T_SelfStock_Log[WeekIndex],65))</f>
        <v/>
      </c>
      <c r="BO12" s="12">
        <f>IF(COUNTIFS(T_SelfStock_Log[Part Name],$A12,T_SelfStock_Log[WeekIndex],66)=0,"",SUMIFS(T_SelfStock_Log[Self_Qty],T_SelfStock_Log[Part Name],$A12,T_SelfStock_Log[WeekIndex],66))</f>
        <v/>
      </c>
      <c r="BP12" s="12">
        <f>IF(COUNTIFS(T_SelfStock_Log[Part Name],$A12,T_SelfStock_Log[WeekIndex],67)=0,"",SUMIFS(T_SelfStock_Log[Self_Qty],T_SelfStock_Log[Part Name],$A12,T_SelfStock_Log[WeekIndex],67))</f>
        <v/>
      </c>
      <c r="BQ12" s="12">
        <f>IF(COUNTIFS(T_SelfStock_Log[Part Name],$A12,T_SelfStock_Log[WeekIndex],68)=0,"",SUMIFS(T_SelfStock_Log[Self_Qty],T_SelfStock_Log[Part Name],$A12,T_SelfStock_Log[WeekIndex],68))</f>
        <v/>
      </c>
      <c r="BR12" s="12">
        <f>IF(COUNTIFS(T_SelfStock_Log[Part Name],$A12,T_SelfStock_Log[WeekIndex],69)=0,"",SUMIFS(T_SelfStock_Log[Self_Qty],T_SelfStock_Log[Part Name],$A12,T_SelfStock_Log[WeekIndex],69))</f>
        <v/>
      </c>
      <c r="BS12" s="12">
        <f>IF(COUNTIFS(T_SelfStock_Log[Part Name],$A12,T_SelfStock_Log[WeekIndex],70)=0,"",SUMIFS(T_SelfStock_Log[Self_Qty],T_SelfStock_Log[Part Name],$A12,T_SelfStock_Log[WeekIndex],70))</f>
        <v/>
      </c>
      <c r="BT12" s="12">
        <f>IF(COUNTIFS(T_SelfStock_Log[Part Name],$A12,T_SelfStock_Log[WeekIndex],71)=0,"",SUMIFS(T_SelfStock_Log[Self_Qty],T_SelfStock_Log[Part Name],$A12,T_SelfStock_Log[WeekIndex],71))</f>
        <v/>
      </c>
      <c r="BU12" s="12">
        <f>IF(COUNTIFS(T_SelfStock_Log[Part Name],$A12,T_SelfStock_Log[WeekIndex],72)=0,"",SUMIFS(T_SelfStock_Log[Self_Qty],T_SelfStock_Log[Part Name],$A12,T_SelfStock_Log[WeekIndex],72))</f>
        <v/>
      </c>
      <c r="BV12" s="12">
        <f>IF(COUNTIFS(T_SelfStock_Log[Part Name],$A12,T_SelfStock_Log[WeekIndex],73)=0,"",SUMIFS(T_SelfStock_Log[Self_Qty],T_SelfStock_Log[Part Name],$A12,T_SelfStock_Log[WeekIndex],73))</f>
        <v/>
      </c>
      <c r="BW12" s="12">
        <f>IF(COUNTIFS(T_SelfStock_Log[Part Name],$A12,T_SelfStock_Log[WeekIndex],74)=0,"",SUMIFS(T_SelfStock_Log[Self_Qty],T_SelfStock_Log[Part Name],$A12,T_SelfStock_Log[WeekIndex],74))</f>
        <v/>
      </c>
      <c r="BX12" s="12">
        <f>IF(COUNTIFS(T_SelfStock_Log[Part Name],$A12,T_SelfStock_Log[WeekIndex],75)=0,"",SUMIFS(T_SelfStock_Log[Self_Qty],T_SelfStock_Log[Part Name],$A12,T_SelfStock_Log[WeekIndex],75))</f>
        <v/>
      </c>
      <c r="BY12" s="12">
        <f>IF(COUNTIFS(T_SelfStock_Log[Part Name],$A12,T_SelfStock_Log[WeekIndex],76)=0,"",SUMIFS(T_SelfStock_Log[Self_Qty],T_SelfStock_Log[Part Name],$A12,T_SelfStock_Log[WeekIndex],76))</f>
        <v/>
      </c>
      <c r="BZ12" s="12">
        <f>IF(COUNTIFS(T_SelfStock_Log[Part Name],$A12,T_SelfStock_Log[WeekIndex],77)=0,"",SUMIFS(T_SelfStock_Log[Self_Qty],T_SelfStock_Log[Part Name],$A12,T_SelfStock_Log[WeekIndex],77))</f>
        <v/>
      </c>
      <c r="CA12" s="12">
        <f>IF(COUNTIFS(T_SelfStock_Log[Part Name],$A12,T_SelfStock_Log[WeekIndex],78)=0,"",SUMIFS(T_SelfStock_Log[Self_Qty],T_SelfStock_Log[Part Name],$A12,T_SelfStock_Log[WeekIndex],78))</f>
        <v/>
      </c>
      <c r="CB12" s="12">
        <f>IF(COUNTIFS(T_SelfStock_Log[Part Name],$A12,T_SelfStock_Log[WeekIndex],79)=0,"",SUMIFS(T_SelfStock_Log[Self_Qty],T_SelfStock_Log[Part Name],$A12,T_SelfStock_Log[WeekIndex],79))</f>
        <v/>
      </c>
      <c r="CC12" s="12">
        <f>IF(COUNTIFS(T_SelfStock_Log[Part Name],$A12,T_SelfStock_Log[WeekIndex],80)=0,"",SUMIFS(T_SelfStock_Log[Self_Qty],T_SelfStock_Log[Part Name],$A12,T_SelfStock_Log[WeekIndex],80))</f>
        <v/>
      </c>
      <c r="CD12" s="12">
        <f>IF(COUNTIFS(T_SelfStock_Log[Part Name],$A12,T_SelfStock_Log[WeekIndex],81)=0,"",SUMIFS(T_SelfStock_Log[Self_Qty],T_SelfStock_Log[Part Name],$A12,T_SelfStock_Log[WeekIndex],81))</f>
        <v/>
      </c>
      <c r="CE12" s="12">
        <f>IF(COUNTIFS(T_SelfStock_Log[Part Name],$A12,T_SelfStock_Log[WeekIndex],82)=0,"",SUMIFS(T_SelfStock_Log[Self_Qty],T_SelfStock_Log[Part Name],$A12,T_SelfStock_Log[WeekIndex],82))</f>
        <v/>
      </c>
      <c r="CF12" s="12">
        <f>IF(COUNTIFS(T_SelfStock_Log[Part Name],$A12,T_SelfStock_Log[WeekIndex],83)=0,"",SUMIFS(T_SelfStock_Log[Self_Qty],T_SelfStock_Log[Part Name],$A12,T_SelfStock_Log[WeekIndex],83))</f>
        <v/>
      </c>
      <c r="CG12" s="12">
        <f>IF(COUNTIFS(T_SelfStock_Log[Part Name],$A12,T_SelfStock_Log[WeekIndex],84)=0,"",SUMIFS(T_SelfStock_Log[Self_Qty],T_SelfStock_Log[Part Name],$A12,T_SelfStock_Log[WeekIndex],84))</f>
        <v/>
      </c>
      <c r="CH12" s="12">
        <f>IF(COUNTIFS(T_SelfStock_Log[Part Name],$A12,T_SelfStock_Log[WeekIndex],85)=0,"",SUMIFS(T_SelfStock_Log[Self_Qty],T_SelfStock_Log[Part Name],$A12,T_SelfStock_Log[WeekIndex],85))</f>
        <v/>
      </c>
      <c r="CI12" s="12">
        <f>IF(COUNTIFS(T_SelfStock_Log[Part Name],$A12,T_SelfStock_Log[WeekIndex],86)=0,"",SUMIFS(T_SelfStock_Log[Self_Qty],T_SelfStock_Log[Part Name],$A12,T_SelfStock_Log[WeekIndex],86))</f>
        <v/>
      </c>
      <c r="CJ12" s="12">
        <f>IF(COUNTIFS(T_SelfStock_Log[Part Name],$A12,T_SelfStock_Log[WeekIndex],87)=0,"",SUMIFS(T_SelfStock_Log[Self_Qty],T_SelfStock_Log[Part Name],$A12,T_SelfStock_Log[WeekIndex],87))</f>
        <v/>
      </c>
      <c r="CK12" s="12">
        <f>IF(COUNTIFS(T_SelfStock_Log[Part Name],$A12,T_SelfStock_Log[WeekIndex],88)=0,"",SUMIFS(T_SelfStock_Log[Self_Qty],T_SelfStock_Log[Part Name],$A12,T_SelfStock_Log[WeekIndex],88))</f>
        <v/>
      </c>
      <c r="CL12" s="12">
        <f>IF(COUNTIFS(T_SelfStock_Log[Part Name],$A12,T_SelfStock_Log[WeekIndex],89)=0,"",SUMIFS(T_SelfStock_Log[Self_Qty],T_SelfStock_Log[Part Name],$A12,T_SelfStock_Log[WeekIndex],89))</f>
        <v/>
      </c>
      <c r="CM12" s="12">
        <f>IF(COUNTIFS(T_SelfStock_Log[Part Name],$A12,T_SelfStock_Log[WeekIndex],90)=0,"",SUMIFS(T_SelfStock_Log[Self_Qty],T_SelfStock_Log[Part Name],$A12,T_SelfStock_Log[WeekIndex],90))</f>
        <v/>
      </c>
      <c r="CN12" s="12">
        <f>IF(COUNTIFS(T_SelfStock_Log[Part Name],$A12,T_SelfStock_Log[WeekIndex],91)=0,"",SUMIFS(T_SelfStock_Log[Self_Qty],T_SelfStock_Log[Part Name],$A12,T_SelfStock_Log[WeekIndex],91))</f>
        <v/>
      </c>
      <c r="CO12" s="12">
        <f>IF(COUNTIFS(T_SelfStock_Log[Part Name],$A12,T_SelfStock_Log[WeekIndex],92)=0,"",SUMIFS(T_SelfStock_Log[Self_Qty],T_SelfStock_Log[Part Name],$A12,T_SelfStock_Log[WeekIndex],92))</f>
        <v/>
      </c>
      <c r="CP12" s="12">
        <f>IF(COUNTIFS(T_SelfStock_Log[Part Name],$A12,T_SelfStock_Log[WeekIndex],93)=0,"",SUMIFS(T_SelfStock_Log[Self_Qty],T_SelfStock_Log[Part Name],$A12,T_SelfStock_Log[WeekIndex],93))</f>
        <v/>
      </c>
      <c r="CQ12" s="12">
        <f>IF(COUNTIFS(T_SelfStock_Log[Part Name],$A12,T_SelfStock_Log[WeekIndex],94)=0,"",SUMIFS(T_SelfStock_Log[Self_Qty],T_SelfStock_Log[Part Name],$A12,T_SelfStock_Log[WeekIndex],94))</f>
        <v/>
      </c>
      <c r="CR12" s="12">
        <f>IF(COUNTIFS(T_SelfStock_Log[Part Name],$A12,T_SelfStock_Log[WeekIndex],95)=0,"",SUMIFS(T_SelfStock_Log[Self_Qty],T_SelfStock_Log[Part Name],$A12,T_SelfStock_Log[WeekIndex],95))</f>
        <v/>
      </c>
      <c r="CS12" s="12">
        <f>IF(COUNTIFS(T_SelfStock_Log[Part Name],$A12,T_SelfStock_Log[WeekIndex],96)=0,"",SUMIFS(T_SelfStock_Log[Self_Qty],T_SelfStock_Log[Part Name],$A12,T_SelfStock_Log[WeekIndex],96))</f>
        <v/>
      </c>
      <c r="CT12" s="12">
        <f>IF(COUNTIFS(T_SelfStock_Log[Part Name],$A12,T_SelfStock_Log[WeekIndex],97)=0,"",SUMIFS(T_SelfStock_Log[Self_Qty],T_SelfStock_Log[Part Name],$A12,T_SelfStock_Log[WeekIndex],97))</f>
        <v/>
      </c>
      <c r="CU12" s="12">
        <f>IF(COUNTIFS(T_SelfStock_Log[Part Name],$A12,T_SelfStock_Log[WeekIndex],98)=0,"",SUMIFS(T_SelfStock_Log[Self_Qty],T_SelfStock_Log[Part Name],$A12,T_SelfStock_Log[WeekIndex],98))</f>
        <v/>
      </c>
      <c r="CV12" s="12">
        <f>IF(COUNTIFS(T_SelfStock_Log[Part Name],$A12,T_SelfStock_Log[WeekIndex],99)=0,"",SUMIFS(T_SelfStock_Log[Self_Qty],T_SelfStock_Log[Part Name],$A12,T_SelfStock_Log[WeekIndex],99))</f>
        <v/>
      </c>
      <c r="CW12" s="12">
        <f>IF(COUNTIFS(T_SelfStock_Log[Part Name],$A12,T_SelfStock_Log[WeekIndex],100)=0,"",SUMIFS(T_SelfStock_Log[Self_Qty],T_SelfStock_Log[Part Name],$A12,T_SelfStock_Log[WeekIndex],100))</f>
        <v/>
      </c>
      <c r="CX12" s="12">
        <f>IF(COUNTIFS(T_SelfStock_Log[Part Name],$A12,T_SelfStock_Log[WeekIndex],101)=0,"",SUMIFS(T_SelfStock_Log[Self_Qty],T_SelfStock_Log[Part Name],$A12,T_SelfStock_Log[WeekIndex],101))</f>
        <v/>
      </c>
      <c r="CY12" s="12">
        <f>IF(COUNTIFS(T_SelfStock_Log[Part Name],$A12,T_SelfStock_Log[WeekIndex],102)=0,"",SUMIFS(T_SelfStock_Log[Self_Qty],T_SelfStock_Log[Part Name],$A12,T_SelfStock_Log[WeekIndex],102))</f>
        <v/>
      </c>
      <c r="CZ12" s="12">
        <f>IF(COUNTIFS(T_SelfStock_Log[Part Name],$A12,T_SelfStock_Log[WeekIndex],103)=0,"",SUMIFS(T_SelfStock_Log[Self_Qty],T_SelfStock_Log[Part Name],$A12,T_SelfStock_Log[WeekIndex],103))</f>
        <v/>
      </c>
      <c r="DA12" s="12">
        <f>IF(COUNTIFS(T_SelfStock_Log[Part Name],$A12,T_SelfStock_Log[WeekIndex],104)=0,"",SUMIFS(T_SelfStock_Log[Self_Qty],T_SelfStock_Log[Part Name],$A12,T_SelfStock_Log[WeekIndex],104))</f>
        <v/>
      </c>
    </row>
    <row r="13">
      <c r="A13" s="13" t="inlineStr">
        <is>
          <t>CHEM-1720</t>
        </is>
      </c>
      <c r="B13" s="13">
        <f>IF(COUNTIFS(T_SelfStock_Log[Part Name],$A13,T_SelfStock_Log[WeekIndex],1)=0,"",SUMIFS(T_SelfStock_Log[Self_Qty],T_SelfStock_Log[Part Name],$A13,T_SelfStock_Log[WeekIndex],1))</f>
        <v/>
      </c>
      <c r="C13" s="13">
        <f>IF(COUNTIFS(T_SelfStock_Log[Part Name],$A13,T_SelfStock_Log[WeekIndex],2)=0,"",SUMIFS(T_SelfStock_Log[Self_Qty],T_SelfStock_Log[Part Name],$A13,T_SelfStock_Log[WeekIndex],2))</f>
        <v/>
      </c>
      <c r="D13" s="13">
        <f>IF(COUNTIFS(T_SelfStock_Log[Part Name],$A13,T_SelfStock_Log[WeekIndex],3)=0,"",SUMIFS(T_SelfStock_Log[Self_Qty],T_SelfStock_Log[Part Name],$A13,T_SelfStock_Log[WeekIndex],3))</f>
        <v/>
      </c>
      <c r="E13" s="13">
        <f>IF(COUNTIFS(T_SelfStock_Log[Part Name],$A13,T_SelfStock_Log[WeekIndex],4)=0,"",SUMIFS(T_SelfStock_Log[Self_Qty],T_SelfStock_Log[Part Name],$A13,T_SelfStock_Log[WeekIndex],4))</f>
        <v/>
      </c>
      <c r="F13" s="13">
        <f>IF(COUNTIFS(T_SelfStock_Log[Part Name],$A13,T_SelfStock_Log[WeekIndex],5)=0,"",SUMIFS(T_SelfStock_Log[Self_Qty],T_SelfStock_Log[Part Name],$A13,T_SelfStock_Log[WeekIndex],5))</f>
        <v/>
      </c>
      <c r="G13" s="13">
        <f>IF(COUNTIFS(T_SelfStock_Log[Part Name],$A13,T_SelfStock_Log[WeekIndex],6)=0,"",SUMIFS(T_SelfStock_Log[Self_Qty],T_SelfStock_Log[Part Name],$A13,T_SelfStock_Log[WeekIndex],6))</f>
        <v/>
      </c>
      <c r="H13" s="13">
        <f>IF(COUNTIFS(T_SelfStock_Log[Part Name],$A13,T_SelfStock_Log[WeekIndex],7)=0,"",SUMIFS(T_SelfStock_Log[Self_Qty],T_SelfStock_Log[Part Name],$A13,T_SelfStock_Log[WeekIndex],7))</f>
        <v/>
      </c>
      <c r="I13" s="13">
        <f>IF(COUNTIFS(T_SelfStock_Log[Part Name],$A13,T_SelfStock_Log[WeekIndex],8)=0,"",SUMIFS(T_SelfStock_Log[Self_Qty],T_SelfStock_Log[Part Name],$A13,T_SelfStock_Log[WeekIndex],8))</f>
        <v/>
      </c>
      <c r="J13" s="13">
        <f>IF(COUNTIFS(T_SelfStock_Log[Part Name],$A13,T_SelfStock_Log[WeekIndex],9)=0,"",SUMIFS(T_SelfStock_Log[Self_Qty],T_SelfStock_Log[Part Name],$A13,T_SelfStock_Log[WeekIndex],9))</f>
        <v/>
      </c>
      <c r="K13" s="13">
        <f>IF(COUNTIFS(T_SelfStock_Log[Part Name],$A13,T_SelfStock_Log[WeekIndex],10)=0,"",SUMIFS(T_SelfStock_Log[Self_Qty],T_SelfStock_Log[Part Name],$A13,T_SelfStock_Log[WeekIndex],10))</f>
        <v/>
      </c>
      <c r="L13" s="13">
        <f>IF(COUNTIFS(T_SelfStock_Log[Part Name],$A13,T_SelfStock_Log[WeekIndex],11)=0,"",SUMIFS(T_SelfStock_Log[Self_Qty],T_SelfStock_Log[Part Name],$A13,T_SelfStock_Log[WeekIndex],11))</f>
        <v/>
      </c>
      <c r="M13" s="13">
        <f>IF(COUNTIFS(T_SelfStock_Log[Part Name],$A13,T_SelfStock_Log[WeekIndex],12)=0,"",SUMIFS(T_SelfStock_Log[Self_Qty],T_SelfStock_Log[Part Name],$A13,T_SelfStock_Log[WeekIndex],12))</f>
        <v/>
      </c>
      <c r="N13" s="13">
        <f>IF(COUNTIFS(T_SelfStock_Log[Part Name],$A13,T_SelfStock_Log[WeekIndex],13)=0,"",SUMIFS(T_SelfStock_Log[Self_Qty],T_SelfStock_Log[Part Name],$A13,T_SelfStock_Log[WeekIndex],13))</f>
        <v/>
      </c>
      <c r="O13" s="13">
        <f>IF(COUNTIFS(T_SelfStock_Log[Part Name],$A13,T_SelfStock_Log[WeekIndex],14)=0,"",SUMIFS(T_SelfStock_Log[Self_Qty],T_SelfStock_Log[Part Name],$A13,T_SelfStock_Log[WeekIndex],14))</f>
        <v/>
      </c>
      <c r="P13" s="13">
        <f>IF(COUNTIFS(T_SelfStock_Log[Part Name],$A13,T_SelfStock_Log[WeekIndex],15)=0,"",SUMIFS(T_SelfStock_Log[Self_Qty],T_SelfStock_Log[Part Name],$A13,T_SelfStock_Log[WeekIndex],15))</f>
        <v/>
      </c>
      <c r="Q13" s="13">
        <f>IF(COUNTIFS(T_SelfStock_Log[Part Name],$A13,T_SelfStock_Log[WeekIndex],16)=0,"",SUMIFS(T_SelfStock_Log[Self_Qty],T_SelfStock_Log[Part Name],$A13,T_SelfStock_Log[WeekIndex],16))</f>
        <v/>
      </c>
      <c r="R13" s="13">
        <f>IF(COUNTIFS(T_SelfStock_Log[Part Name],$A13,T_SelfStock_Log[WeekIndex],17)=0,"",SUMIFS(T_SelfStock_Log[Self_Qty],T_SelfStock_Log[Part Name],$A13,T_SelfStock_Log[WeekIndex],17))</f>
        <v/>
      </c>
      <c r="S13" s="13">
        <f>IF(COUNTIFS(T_SelfStock_Log[Part Name],$A13,T_SelfStock_Log[WeekIndex],18)=0,"",SUMIFS(T_SelfStock_Log[Self_Qty],T_SelfStock_Log[Part Name],$A13,T_SelfStock_Log[WeekIndex],18))</f>
        <v/>
      </c>
      <c r="T13" s="13">
        <f>IF(COUNTIFS(T_SelfStock_Log[Part Name],$A13,T_SelfStock_Log[WeekIndex],19)=0,"",SUMIFS(T_SelfStock_Log[Self_Qty],T_SelfStock_Log[Part Name],$A13,T_SelfStock_Log[WeekIndex],19))</f>
        <v/>
      </c>
      <c r="U13" s="13">
        <f>IF(COUNTIFS(T_SelfStock_Log[Part Name],$A13,T_SelfStock_Log[WeekIndex],20)=0,"",SUMIFS(T_SelfStock_Log[Self_Qty],T_SelfStock_Log[Part Name],$A13,T_SelfStock_Log[WeekIndex],20))</f>
        <v/>
      </c>
      <c r="V13" s="13">
        <f>IF(COUNTIFS(T_SelfStock_Log[Part Name],$A13,T_SelfStock_Log[WeekIndex],21)=0,"",SUMIFS(T_SelfStock_Log[Self_Qty],T_SelfStock_Log[Part Name],$A13,T_SelfStock_Log[WeekIndex],21))</f>
        <v/>
      </c>
      <c r="W13" s="13">
        <f>IF(COUNTIFS(T_SelfStock_Log[Part Name],$A13,T_SelfStock_Log[WeekIndex],22)=0,"",SUMIFS(T_SelfStock_Log[Self_Qty],T_SelfStock_Log[Part Name],$A13,T_SelfStock_Log[WeekIndex],22))</f>
        <v/>
      </c>
      <c r="X13" s="13">
        <f>IF(COUNTIFS(T_SelfStock_Log[Part Name],$A13,T_SelfStock_Log[WeekIndex],23)=0,"",SUMIFS(T_SelfStock_Log[Self_Qty],T_SelfStock_Log[Part Name],$A13,T_SelfStock_Log[WeekIndex],23))</f>
        <v/>
      </c>
      <c r="Y13" s="13">
        <f>IF(COUNTIFS(T_SelfStock_Log[Part Name],$A13,T_SelfStock_Log[WeekIndex],24)=0,"",SUMIFS(T_SelfStock_Log[Self_Qty],T_SelfStock_Log[Part Name],$A13,T_SelfStock_Log[WeekIndex],24))</f>
        <v/>
      </c>
      <c r="Z13" s="13">
        <f>IF(COUNTIFS(T_SelfStock_Log[Part Name],$A13,T_SelfStock_Log[WeekIndex],25)=0,"",SUMIFS(T_SelfStock_Log[Self_Qty],T_SelfStock_Log[Part Name],$A13,T_SelfStock_Log[WeekIndex],25))</f>
        <v/>
      </c>
      <c r="AA13" s="13">
        <f>IF(COUNTIFS(T_SelfStock_Log[Part Name],$A13,T_SelfStock_Log[WeekIndex],26)=0,"",SUMIFS(T_SelfStock_Log[Self_Qty],T_SelfStock_Log[Part Name],$A13,T_SelfStock_Log[WeekIndex],26))</f>
        <v/>
      </c>
      <c r="AB13" s="13">
        <f>IF(COUNTIFS(T_SelfStock_Log[Part Name],$A13,T_SelfStock_Log[WeekIndex],27)=0,"",SUMIFS(T_SelfStock_Log[Self_Qty],T_SelfStock_Log[Part Name],$A13,T_SelfStock_Log[WeekIndex],27))</f>
        <v/>
      </c>
      <c r="AC13" s="13">
        <f>IF(COUNTIFS(T_SelfStock_Log[Part Name],$A13,T_SelfStock_Log[WeekIndex],28)=0,"",SUMIFS(T_SelfStock_Log[Self_Qty],T_SelfStock_Log[Part Name],$A13,T_SelfStock_Log[WeekIndex],28))</f>
        <v/>
      </c>
      <c r="AD13" s="13">
        <f>IF(COUNTIFS(T_SelfStock_Log[Part Name],$A13,T_SelfStock_Log[WeekIndex],29)=0,"",SUMIFS(T_SelfStock_Log[Self_Qty],T_SelfStock_Log[Part Name],$A13,T_SelfStock_Log[WeekIndex],29))</f>
        <v/>
      </c>
      <c r="AE13" s="13">
        <f>IF(COUNTIFS(T_SelfStock_Log[Part Name],$A13,T_SelfStock_Log[WeekIndex],30)=0,"",SUMIFS(T_SelfStock_Log[Self_Qty],T_SelfStock_Log[Part Name],$A13,T_SelfStock_Log[WeekIndex],30))</f>
        <v/>
      </c>
      <c r="AF13" s="13">
        <f>IF(COUNTIFS(T_SelfStock_Log[Part Name],$A13,T_SelfStock_Log[WeekIndex],31)=0,"",SUMIFS(T_SelfStock_Log[Self_Qty],T_SelfStock_Log[Part Name],$A13,T_SelfStock_Log[WeekIndex],31))</f>
        <v/>
      </c>
      <c r="AG13" s="13">
        <f>IF(COUNTIFS(T_SelfStock_Log[Part Name],$A13,T_SelfStock_Log[WeekIndex],32)=0,"",SUMIFS(T_SelfStock_Log[Self_Qty],T_SelfStock_Log[Part Name],$A13,T_SelfStock_Log[WeekIndex],32))</f>
        <v/>
      </c>
      <c r="AH13" s="13">
        <f>IF(COUNTIFS(T_SelfStock_Log[Part Name],$A13,T_SelfStock_Log[WeekIndex],33)=0,"",SUMIFS(T_SelfStock_Log[Self_Qty],T_SelfStock_Log[Part Name],$A13,T_SelfStock_Log[WeekIndex],33))</f>
        <v/>
      </c>
      <c r="AI13" s="13">
        <f>IF(COUNTIFS(T_SelfStock_Log[Part Name],$A13,T_SelfStock_Log[WeekIndex],34)=0,"",SUMIFS(T_SelfStock_Log[Self_Qty],T_SelfStock_Log[Part Name],$A13,T_SelfStock_Log[WeekIndex],34))</f>
        <v/>
      </c>
      <c r="AJ13" s="13">
        <f>IF(COUNTIFS(T_SelfStock_Log[Part Name],$A13,T_SelfStock_Log[WeekIndex],35)=0,"",SUMIFS(T_SelfStock_Log[Self_Qty],T_SelfStock_Log[Part Name],$A13,T_SelfStock_Log[WeekIndex],35))</f>
        <v/>
      </c>
      <c r="AK13" s="13">
        <f>IF(COUNTIFS(T_SelfStock_Log[Part Name],$A13,T_SelfStock_Log[WeekIndex],36)=0,"",SUMIFS(T_SelfStock_Log[Self_Qty],T_SelfStock_Log[Part Name],$A13,T_SelfStock_Log[WeekIndex],36))</f>
        <v/>
      </c>
      <c r="AL13" s="13">
        <f>IF(COUNTIFS(T_SelfStock_Log[Part Name],$A13,T_SelfStock_Log[WeekIndex],37)=0,"",SUMIFS(T_SelfStock_Log[Self_Qty],T_SelfStock_Log[Part Name],$A13,T_SelfStock_Log[WeekIndex],37))</f>
        <v/>
      </c>
      <c r="AM13" s="13">
        <f>IF(COUNTIFS(T_SelfStock_Log[Part Name],$A13,T_SelfStock_Log[WeekIndex],38)=0,"",SUMIFS(T_SelfStock_Log[Self_Qty],T_SelfStock_Log[Part Name],$A13,T_SelfStock_Log[WeekIndex],38))</f>
        <v/>
      </c>
      <c r="AN13" s="13">
        <f>IF(COUNTIFS(T_SelfStock_Log[Part Name],$A13,T_SelfStock_Log[WeekIndex],39)=0,"",SUMIFS(T_SelfStock_Log[Self_Qty],T_SelfStock_Log[Part Name],$A13,T_SelfStock_Log[WeekIndex],39))</f>
        <v/>
      </c>
      <c r="AO13" s="13">
        <f>IF(COUNTIFS(T_SelfStock_Log[Part Name],$A13,T_SelfStock_Log[WeekIndex],40)=0,"",SUMIFS(T_SelfStock_Log[Self_Qty],T_SelfStock_Log[Part Name],$A13,T_SelfStock_Log[WeekIndex],40))</f>
        <v/>
      </c>
      <c r="AP13" s="13">
        <f>IF(COUNTIFS(T_SelfStock_Log[Part Name],$A13,T_SelfStock_Log[WeekIndex],41)=0,"",SUMIFS(T_SelfStock_Log[Self_Qty],T_SelfStock_Log[Part Name],$A13,T_SelfStock_Log[WeekIndex],41))</f>
        <v/>
      </c>
      <c r="AQ13" s="13">
        <f>IF(COUNTIFS(T_SelfStock_Log[Part Name],$A13,T_SelfStock_Log[WeekIndex],42)=0,"",SUMIFS(T_SelfStock_Log[Self_Qty],T_SelfStock_Log[Part Name],$A13,T_SelfStock_Log[WeekIndex],42))</f>
        <v/>
      </c>
      <c r="AR13" s="13">
        <f>IF(COUNTIFS(T_SelfStock_Log[Part Name],$A13,T_SelfStock_Log[WeekIndex],43)=0,"",SUMIFS(T_SelfStock_Log[Self_Qty],T_SelfStock_Log[Part Name],$A13,T_SelfStock_Log[WeekIndex],43))</f>
        <v/>
      </c>
      <c r="AS13" s="13">
        <f>IF(COUNTIFS(T_SelfStock_Log[Part Name],$A13,T_SelfStock_Log[WeekIndex],44)=0,"",SUMIFS(T_SelfStock_Log[Self_Qty],T_SelfStock_Log[Part Name],$A13,T_SelfStock_Log[WeekIndex],44))</f>
        <v/>
      </c>
      <c r="AT13" s="13">
        <f>IF(COUNTIFS(T_SelfStock_Log[Part Name],$A13,T_SelfStock_Log[WeekIndex],45)=0,"",SUMIFS(T_SelfStock_Log[Self_Qty],T_SelfStock_Log[Part Name],$A13,T_SelfStock_Log[WeekIndex],45))</f>
        <v/>
      </c>
      <c r="AU13" s="13">
        <f>IF(COUNTIFS(T_SelfStock_Log[Part Name],$A13,T_SelfStock_Log[WeekIndex],46)=0,"",SUMIFS(T_SelfStock_Log[Self_Qty],T_SelfStock_Log[Part Name],$A13,T_SelfStock_Log[WeekIndex],46))</f>
        <v/>
      </c>
      <c r="AV13" s="13">
        <f>IF(COUNTIFS(T_SelfStock_Log[Part Name],$A13,T_SelfStock_Log[WeekIndex],47)=0,"",SUMIFS(T_SelfStock_Log[Self_Qty],T_SelfStock_Log[Part Name],$A13,T_SelfStock_Log[WeekIndex],47))</f>
        <v/>
      </c>
      <c r="AW13" s="13">
        <f>IF(COUNTIFS(T_SelfStock_Log[Part Name],$A13,T_SelfStock_Log[WeekIndex],48)=0,"",SUMIFS(T_SelfStock_Log[Self_Qty],T_SelfStock_Log[Part Name],$A13,T_SelfStock_Log[WeekIndex],48))</f>
        <v/>
      </c>
      <c r="AX13" s="13">
        <f>IF(COUNTIFS(T_SelfStock_Log[Part Name],$A13,T_SelfStock_Log[WeekIndex],49)=0,"",SUMIFS(T_SelfStock_Log[Self_Qty],T_SelfStock_Log[Part Name],$A13,T_SelfStock_Log[WeekIndex],49))</f>
        <v/>
      </c>
      <c r="AY13" s="13">
        <f>IF(COUNTIFS(T_SelfStock_Log[Part Name],$A13,T_SelfStock_Log[WeekIndex],50)=0,"",SUMIFS(T_SelfStock_Log[Self_Qty],T_SelfStock_Log[Part Name],$A13,T_SelfStock_Log[WeekIndex],50))</f>
        <v/>
      </c>
      <c r="AZ13" s="13">
        <f>IF(COUNTIFS(T_SelfStock_Log[Part Name],$A13,T_SelfStock_Log[WeekIndex],51)=0,"",SUMIFS(T_SelfStock_Log[Self_Qty],T_SelfStock_Log[Part Name],$A13,T_SelfStock_Log[WeekIndex],51))</f>
        <v/>
      </c>
      <c r="BA13" s="13">
        <f>IF(COUNTIFS(T_SelfStock_Log[Part Name],$A13,T_SelfStock_Log[WeekIndex],52)=0,"",SUMIFS(T_SelfStock_Log[Self_Qty],T_SelfStock_Log[Part Name],$A13,T_SelfStock_Log[WeekIndex],52))</f>
        <v/>
      </c>
      <c r="BB13" s="13">
        <f>IF(COUNTIFS(T_SelfStock_Log[Part Name],$A13,T_SelfStock_Log[WeekIndex],53)=0,"",SUMIFS(T_SelfStock_Log[Self_Qty],T_SelfStock_Log[Part Name],$A13,T_SelfStock_Log[WeekIndex],53))</f>
        <v/>
      </c>
      <c r="BC13" s="13">
        <f>IF(COUNTIFS(T_SelfStock_Log[Part Name],$A13,T_SelfStock_Log[WeekIndex],54)=0,"",SUMIFS(T_SelfStock_Log[Self_Qty],T_SelfStock_Log[Part Name],$A13,T_SelfStock_Log[WeekIndex],54))</f>
        <v/>
      </c>
      <c r="BD13" s="13">
        <f>IF(COUNTIFS(T_SelfStock_Log[Part Name],$A13,T_SelfStock_Log[WeekIndex],55)=0,"",SUMIFS(T_SelfStock_Log[Self_Qty],T_SelfStock_Log[Part Name],$A13,T_SelfStock_Log[WeekIndex],55))</f>
        <v/>
      </c>
      <c r="BE13" s="13">
        <f>IF(COUNTIFS(T_SelfStock_Log[Part Name],$A13,T_SelfStock_Log[WeekIndex],56)=0,"",SUMIFS(T_SelfStock_Log[Self_Qty],T_SelfStock_Log[Part Name],$A13,T_SelfStock_Log[WeekIndex],56))</f>
        <v/>
      </c>
      <c r="BF13" s="13">
        <f>IF(COUNTIFS(T_SelfStock_Log[Part Name],$A13,T_SelfStock_Log[WeekIndex],57)=0,"",SUMIFS(T_SelfStock_Log[Self_Qty],T_SelfStock_Log[Part Name],$A13,T_SelfStock_Log[WeekIndex],57))</f>
        <v/>
      </c>
      <c r="BG13" s="13">
        <f>IF(COUNTIFS(T_SelfStock_Log[Part Name],$A13,T_SelfStock_Log[WeekIndex],58)=0,"",SUMIFS(T_SelfStock_Log[Self_Qty],T_SelfStock_Log[Part Name],$A13,T_SelfStock_Log[WeekIndex],58))</f>
        <v/>
      </c>
      <c r="BH13" s="13">
        <f>IF(COUNTIFS(T_SelfStock_Log[Part Name],$A13,T_SelfStock_Log[WeekIndex],59)=0,"",SUMIFS(T_SelfStock_Log[Self_Qty],T_SelfStock_Log[Part Name],$A13,T_SelfStock_Log[WeekIndex],59))</f>
        <v/>
      </c>
      <c r="BI13" s="13">
        <f>IF(COUNTIFS(T_SelfStock_Log[Part Name],$A13,T_SelfStock_Log[WeekIndex],60)=0,"",SUMIFS(T_SelfStock_Log[Self_Qty],T_SelfStock_Log[Part Name],$A13,T_SelfStock_Log[WeekIndex],60))</f>
        <v/>
      </c>
      <c r="BJ13" s="13">
        <f>IF(COUNTIFS(T_SelfStock_Log[Part Name],$A13,T_SelfStock_Log[WeekIndex],61)=0,"",SUMIFS(T_SelfStock_Log[Self_Qty],T_SelfStock_Log[Part Name],$A13,T_SelfStock_Log[WeekIndex],61))</f>
        <v/>
      </c>
      <c r="BK13" s="13">
        <f>IF(COUNTIFS(T_SelfStock_Log[Part Name],$A13,T_SelfStock_Log[WeekIndex],62)=0,"",SUMIFS(T_SelfStock_Log[Self_Qty],T_SelfStock_Log[Part Name],$A13,T_SelfStock_Log[WeekIndex],62))</f>
        <v/>
      </c>
      <c r="BL13" s="13">
        <f>IF(COUNTIFS(T_SelfStock_Log[Part Name],$A13,T_SelfStock_Log[WeekIndex],63)=0,"",SUMIFS(T_SelfStock_Log[Self_Qty],T_SelfStock_Log[Part Name],$A13,T_SelfStock_Log[WeekIndex],63))</f>
        <v/>
      </c>
      <c r="BM13" s="13">
        <f>IF(COUNTIFS(T_SelfStock_Log[Part Name],$A13,T_SelfStock_Log[WeekIndex],64)=0,"",SUMIFS(T_SelfStock_Log[Self_Qty],T_SelfStock_Log[Part Name],$A13,T_SelfStock_Log[WeekIndex],64))</f>
        <v/>
      </c>
      <c r="BN13" s="13">
        <f>IF(COUNTIFS(T_SelfStock_Log[Part Name],$A13,T_SelfStock_Log[WeekIndex],65)=0,"",SUMIFS(T_SelfStock_Log[Self_Qty],T_SelfStock_Log[Part Name],$A13,T_SelfStock_Log[WeekIndex],65))</f>
        <v/>
      </c>
      <c r="BO13" s="13">
        <f>IF(COUNTIFS(T_SelfStock_Log[Part Name],$A13,T_SelfStock_Log[WeekIndex],66)=0,"",SUMIFS(T_SelfStock_Log[Self_Qty],T_SelfStock_Log[Part Name],$A13,T_SelfStock_Log[WeekIndex],66))</f>
        <v/>
      </c>
      <c r="BP13" s="13">
        <f>IF(COUNTIFS(T_SelfStock_Log[Part Name],$A13,T_SelfStock_Log[WeekIndex],67)=0,"",SUMIFS(T_SelfStock_Log[Self_Qty],T_SelfStock_Log[Part Name],$A13,T_SelfStock_Log[WeekIndex],67))</f>
        <v/>
      </c>
      <c r="BQ13" s="13">
        <f>IF(COUNTIFS(T_SelfStock_Log[Part Name],$A13,T_SelfStock_Log[WeekIndex],68)=0,"",SUMIFS(T_SelfStock_Log[Self_Qty],T_SelfStock_Log[Part Name],$A13,T_SelfStock_Log[WeekIndex],68))</f>
        <v/>
      </c>
      <c r="BR13" s="13">
        <f>IF(COUNTIFS(T_SelfStock_Log[Part Name],$A13,T_SelfStock_Log[WeekIndex],69)=0,"",SUMIFS(T_SelfStock_Log[Self_Qty],T_SelfStock_Log[Part Name],$A13,T_SelfStock_Log[WeekIndex],69))</f>
        <v/>
      </c>
      <c r="BS13" s="13">
        <f>IF(COUNTIFS(T_SelfStock_Log[Part Name],$A13,T_SelfStock_Log[WeekIndex],70)=0,"",SUMIFS(T_SelfStock_Log[Self_Qty],T_SelfStock_Log[Part Name],$A13,T_SelfStock_Log[WeekIndex],70))</f>
        <v/>
      </c>
      <c r="BT13" s="13">
        <f>IF(COUNTIFS(T_SelfStock_Log[Part Name],$A13,T_SelfStock_Log[WeekIndex],71)=0,"",SUMIFS(T_SelfStock_Log[Self_Qty],T_SelfStock_Log[Part Name],$A13,T_SelfStock_Log[WeekIndex],71))</f>
        <v/>
      </c>
      <c r="BU13" s="13">
        <f>IF(COUNTIFS(T_SelfStock_Log[Part Name],$A13,T_SelfStock_Log[WeekIndex],72)=0,"",SUMIFS(T_SelfStock_Log[Self_Qty],T_SelfStock_Log[Part Name],$A13,T_SelfStock_Log[WeekIndex],72))</f>
        <v/>
      </c>
      <c r="BV13" s="13">
        <f>IF(COUNTIFS(T_SelfStock_Log[Part Name],$A13,T_SelfStock_Log[WeekIndex],73)=0,"",SUMIFS(T_SelfStock_Log[Self_Qty],T_SelfStock_Log[Part Name],$A13,T_SelfStock_Log[WeekIndex],73))</f>
        <v/>
      </c>
      <c r="BW13" s="13">
        <f>IF(COUNTIFS(T_SelfStock_Log[Part Name],$A13,T_SelfStock_Log[WeekIndex],74)=0,"",SUMIFS(T_SelfStock_Log[Self_Qty],T_SelfStock_Log[Part Name],$A13,T_SelfStock_Log[WeekIndex],74))</f>
        <v/>
      </c>
      <c r="BX13" s="13">
        <f>IF(COUNTIFS(T_SelfStock_Log[Part Name],$A13,T_SelfStock_Log[WeekIndex],75)=0,"",SUMIFS(T_SelfStock_Log[Self_Qty],T_SelfStock_Log[Part Name],$A13,T_SelfStock_Log[WeekIndex],75))</f>
        <v/>
      </c>
      <c r="BY13" s="13">
        <f>IF(COUNTIFS(T_SelfStock_Log[Part Name],$A13,T_SelfStock_Log[WeekIndex],76)=0,"",SUMIFS(T_SelfStock_Log[Self_Qty],T_SelfStock_Log[Part Name],$A13,T_SelfStock_Log[WeekIndex],76))</f>
        <v/>
      </c>
      <c r="BZ13" s="13">
        <f>IF(COUNTIFS(T_SelfStock_Log[Part Name],$A13,T_SelfStock_Log[WeekIndex],77)=0,"",SUMIFS(T_SelfStock_Log[Self_Qty],T_SelfStock_Log[Part Name],$A13,T_SelfStock_Log[WeekIndex],77))</f>
        <v/>
      </c>
      <c r="CA13" s="13">
        <f>IF(COUNTIFS(T_SelfStock_Log[Part Name],$A13,T_SelfStock_Log[WeekIndex],78)=0,"",SUMIFS(T_SelfStock_Log[Self_Qty],T_SelfStock_Log[Part Name],$A13,T_SelfStock_Log[WeekIndex],78))</f>
        <v/>
      </c>
      <c r="CB13" s="13">
        <f>IF(COUNTIFS(T_SelfStock_Log[Part Name],$A13,T_SelfStock_Log[WeekIndex],79)=0,"",SUMIFS(T_SelfStock_Log[Self_Qty],T_SelfStock_Log[Part Name],$A13,T_SelfStock_Log[WeekIndex],79))</f>
        <v/>
      </c>
      <c r="CC13" s="13">
        <f>IF(COUNTIFS(T_SelfStock_Log[Part Name],$A13,T_SelfStock_Log[WeekIndex],80)=0,"",SUMIFS(T_SelfStock_Log[Self_Qty],T_SelfStock_Log[Part Name],$A13,T_SelfStock_Log[WeekIndex],80))</f>
        <v/>
      </c>
      <c r="CD13" s="13">
        <f>IF(COUNTIFS(T_SelfStock_Log[Part Name],$A13,T_SelfStock_Log[WeekIndex],81)=0,"",SUMIFS(T_SelfStock_Log[Self_Qty],T_SelfStock_Log[Part Name],$A13,T_SelfStock_Log[WeekIndex],81))</f>
        <v/>
      </c>
      <c r="CE13" s="13">
        <f>IF(COUNTIFS(T_SelfStock_Log[Part Name],$A13,T_SelfStock_Log[WeekIndex],82)=0,"",SUMIFS(T_SelfStock_Log[Self_Qty],T_SelfStock_Log[Part Name],$A13,T_SelfStock_Log[WeekIndex],82))</f>
        <v/>
      </c>
      <c r="CF13" s="13">
        <f>IF(COUNTIFS(T_SelfStock_Log[Part Name],$A13,T_SelfStock_Log[WeekIndex],83)=0,"",SUMIFS(T_SelfStock_Log[Self_Qty],T_SelfStock_Log[Part Name],$A13,T_SelfStock_Log[WeekIndex],83))</f>
        <v/>
      </c>
      <c r="CG13" s="13">
        <f>IF(COUNTIFS(T_SelfStock_Log[Part Name],$A13,T_SelfStock_Log[WeekIndex],84)=0,"",SUMIFS(T_SelfStock_Log[Self_Qty],T_SelfStock_Log[Part Name],$A13,T_SelfStock_Log[WeekIndex],84))</f>
        <v/>
      </c>
      <c r="CH13" s="13">
        <f>IF(COUNTIFS(T_SelfStock_Log[Part Name],$A13,T_SelfStock_Log[WeekIndex],85)=0,"",SUMIFS(T_SelfStock_Log[Self_Qty],T_SelfStock_Log[Part Name],$A13,T_SelfStock_Log[WeekIndex],85))</f>
        <v/>
      </c>
      <c r="CI13" s="13">
        <f>IF(COUNTIFS(T_SelfStock_Log[Part Name],$A13,T_SelfStock_Log[WeekIndex],86)=0,"",SUMIFS(T_SelfStock_Log[Self_Qty],T_SelfStock_Log[Part Name],$A13,T_SelfStock_Log[WeekIndex],86))</f>
        <v/>
      </c>
      <c r="CJ13" s="13">
        <f>IF(COUNTIFS(T_SelfStock_Log[Part Name],$A13,T_SelfStock_Log[WeekIndex],87)=0,"",SUMIFS(T_SelfStock_Log[Self_Qty],T_SelfStock_Log[Part Name],$A13,T_SelfStock_Log[WeekIndex],87))</f>
        <v/>
      </c>
      <c r="CK13" s="13">
        <f>IF(COUNTIFS(T_SelfStock_Log[Part Name],$A13,T_SelfStock_Log[WeekIndex],88)=0,"",SUMIFS(T_SelfStock_Log[Self_Qty],T_SelfStock_Log[Part Name],$A13,T_SelfStock_Log[WeekIndex],88))</f>
        <v/>
      </c>
      <c r="CL13" s="13">
        <f>IF(COUNTIFS(T_SelfStock_Log[Part Name],$A13,T_SelfStock_Log[WeekIndex],89)=0,"",SUMIFS(T_SelfStock_Log[Self_Qty],T_SelfStock_Log[Part Name],$A13,T_SelfStock_Log[WeekIndex],89))</f>
        <v/>
      </c>
      <c r="CM13" s="13">
        <f>IF(COUNTIFS(T_SelfStock_Log[Part Name],$A13,T_SelfStock_Log[WeekIndex],90)=0,"",SUMIFS(T_SelfStock_Log[Self_Qty],T_SelfStock_Log[Part Name],$A13,T_SelfStock_Log[WeekIndex],90))</f>
        <v/>
      </c>
      <c r="CN13" s="13">
        <f>IF(COUNTIFS(T_SelfStock_Log[Part Name],$A13,T_SelfStock_Log[WeekIndex],91)=0,"",SUMIFS(T_SelfStock_Log[Self_Qty],T_SelfStock_Log[Part Name],$A13,T_SelfStock_Log[WeekIndex],91))</f>
        <v/>
      </c>
      <c r="CO13" s="13">
        <f>IF(COUNTIFS(T_SelfStock_Log[Part Name],$A13,T_SelfStock_Log[WeekIndex],92)=0,"",SUMIFS(T_SelfStock_Log[Self_Qty],T_SelfStock_Log[Part Name],$A13,T_SelfStock_Log[WeekIndex],92))</f>
        <v/>
      </c>
      <c r="CP13" s="13">
        <f>IF(COUNTIFS(T_SelfStock_Log[Part Name],$A13,T_SelfStock_Log[WeekIndex],93)=0,"",SUMIFS(T_SelfStock_Log[Self_Qty],T_SelfStock_Log[Part Name],$A13,T_SelfStock_Log[WeekIndex],93))</f>
        <v/>
      </c>
      <c r="CQ13" s="13">
        <f>IF(COUNTIFS(T_SelfStock_Log[Part Name],$A13,T_SelfStock_Log[WeekIndex],94)=0,"",SUMIFS(T_SelfStock_Log[Self_Qty],T_SelfStock_Log[Part Name],$A13,T_SelfStock_Log[WeekIndex],94))</f>
        <v/>
      </c>
      <c r="CR13" s="13">
        <f>IF(COUNTIFS(T_SelfStock_Log[Part Name],$A13,T_SelfStock_Log[WeekIndex],95)=0,"",SUMIFS(T_SelfStock_Log[Self_Qty],T_SelfStock_Log[Part Name],$A13,T_SelfStock_Log[WeekIndex],95))</f>
        <v/>
      </c>
      <c r="CS13" s="13">
        <f>IF(COUNTIFS(T_SelfStock_Log[Part Name],$A13,T_SelfStock_Log[WeekIndex],96)=0,"",SUMIFS(T_SelfStock_Log[Self_Qty],T_SelfStock_Log[Part Name],$A13,T_SelfStock_Log[WeekIndex],96))</f>
        <v/>
      </c>
      <c r="CT13" s="13">
        <f>IF(COUNTIFS(T_SelfStock_Log[Part Name],$A13,T_SelfStock_Log[WeekIndex],97)=0,"",SUMIFS(T_SelfStock_Log[Self_Qty],T_SelfStock_Log[Part Name],$A13,T_SelfStock_Log[WeekIndex],97))</f>
        <v/>
      </c>
      <c r="CU13" s="13">
        <f>IF(COUNTIFS(T_SelfStock_Log[Part Name],$A13,T_SelfStock_Log[WeekIndex],98)=0,"",SUMIFS(T_SelfStock_Log[Self_Qty],T_SelfStock_Log[Part Name],$A13,T_SelfStock_Log[WeekIndex],98))</f>
        <v/>
      </c>
      <c r="CV13" s="13">
        <f>IF(COUNTIFS(T_SelfStock_Log[Part Name],$A13,T_SelfStock_Log[WeekIndex],99)=0,"",SUMIFS(T_SelfStock_Log[Self_Qty],T_SelfStock_Log[Part Name],$A13,T_SelfStock_Log[WeekIndex],99))</f>
        <v/>
      </c>
      <c r="CW13" s="13">
        <f>IF(COUNTIFS(T_SelfStock_Log[Part Name],$A13,T_SelfStock_Log[WeekIndex],100)=0,"",SUMIFS(T_SelfStock_Log[Self_Qty],T_SelfStock_Log[Part Name],$A13,T_SelfStock_Log[WeekIndex],100))</f>
        <v/>
      </c>
      <c r="CX13" s="13">
        <f>IF(COUNTIFS(T_SelfStock_Log[Part Name],$A13,T_SelfStock_Log[WeekIndex],101)=0,"",SUMIFS(T_SelfStock_Log[Self_Qty],T_SelfStock_Log[Part Name],$A13,T_SelfStock_Log[WeekIndex],101))</f>
        <v/>
      </c>
      <c r="CY13" s="13">
        <f>IF(COUNTIFS(T_SelfStock_Log[Part Name],$A13,T_SelfStock_Log[WeekIndex],102)=0,"",SUMIFS(T_SelfStock_Log[Self_Qty],T_SelfStock_Log[Part Name],$A13,T_SelfStock_Log[WeekIndex],102))</f>
        <v/>
      </c>
      <c r="CZ13" s="13">
        <f>IF(COUNTIFS(T_SelfStock_Log[Part Name],$A13,T_SelfStock_Log[WeekIndex],103)=0,"",SUMIFS(T_SelfStock_Log[Self_Qty],T_SelfStock_Log[Part Name],$A13,T_SelfStock_Log[WeekIndex],103))</f>
        <v/>
      </c>
      <c r="DA13" s="13">
        <f>IF(COUNTIFS(T_SelfStock_Log[Part Name],$A13,T_SelfStock_Log[WeekIndex],104)=0,"",SUMIFS(T_SelfStock_Log[Self_Qty],T_SelfStock_Log[Part Name],$A13,T_SelfStock_Log[WeekIndex],104))</f>
        <v/>
      </c>
    </row>
    <row r="14">
      <c r="A14" s="12" t="inlineStr">
        <is>
          <t>CHEM-1440</t>
        </is>
      </c>
      <c r="B14" s="12">
        <f>IF(COUNTIFS(T_SelfStock_Log[Part Name],$A14,T_SelfStock_Log[WeekIndex],1)=0,"",SUMIFS(T_SelfStock_Log[Self_Qty],T_SelfStock_Log[Part Name],$A14,T_SelfStock_Log[WeekIndex],1))</f>
        <v/>
      </c>
      <c r="C14" s="12">
        <f>IF(COUNTIFS(T_SelfStock_Log[Part Name],$A14,T_SelfStock_Log[WeekIndex],2)=0,"",SUMIFS(T_SelfStock_Log[Self_Qty],T_SelfStock_Log[Part Name],$A14,T_SelfStock_Log[WeekIndex],2))</f>
        <v/>
      </c>
      <c r="D14" s="12">
        <f>IF(COUNTIFS(T_SelfStock_Log[Part Name],$A14,T_SelfStock_Log[WeekIndex],3)=0,"",SUMIFS(T_SelfStock_Log[Self_Qty],T_SelfStock_Log[Part Name],$A14,T_SelfStock_Log[WeekIndex],3))</f>
        <v/>
      </c>
      <c r="E14" s="12">
        <f>IF(COUNTIFS(T_SelfStock_Log[Part Name],$A14,T_SelfStock_Log[WeekIndex],4)=0,"",SUMIFS(T_SelfStock_Log[Self_Qty],T_SelfStock_Log[Part Name],$A14,T_SelfStock_Log[WeekIndex],4))</f>
        <v/>
      </c>
      <c r="F14" s="12">
        <f>IF(COUNTIFS(T_SelfStock_Log[Part Name],$A14,T_SelfStock_Log[WeekIndex],5)=0,"",SUMIFS(T_SelfStock_Log[Self_Qty],T_SelfStock_Log[Part Name],$A14,T_SelfStock_Log[WeekIndex],5))</f>
        <v/>
      </c>
      <c r="G14" s="12">
        <f>IF(COUNTIFS(T_SelfStock_Log[Part Name],$A14,T_SelfStock_Log[WeekIndex],6)=0,"",SUMIFS(T_SelfStock_Log[Self_Qty],T_SelfStock_Log[Part Name],$A14,T_SelfStock_Log[WeekIndex],6))</f>
        <v/>
      </c>
      <c r="H14" s="12">
        <f>IF(COUNTIFS(T_SelfStock_Log[Part Name],$A14,T_SelfStock_Log[WeekIndex],7)=0,"",SUMIFS(T_SelfStock_Log[Self_Qty],T_SelfStock_Log[Part Name],$A14,T_SelfStock_Log[WeekIndex],7))</f>
        <v/>
      </c>
      <c r="I14" s="12">
        <f>IF(COUNTIFS(T_SelfStock_Log[Part Name],$A14,T_SelfStock_Log[WeekIndex],8)=0,"",SUMIFS(T_SelfStock_Log[Self_Qty],T_SelfStock_Log[Part Name],$A14,T_SelfStock_Log[WeekIndex],8))</f>
        <v/>
      </c>
      <c r="J14" s="12">
        <f>IF(COUNTIFS(T_SelfStock_Log[Part Name],$A14,T_SelfStock_Log[WeekIndex],9)=0,"",SUMIFS(T_SelfStock_Log[Self_Qty],T_SelfStock_Log[Part Name],$A14,T_SelfStock_Log[WeekIndex],9))</f>
        <v/>
      </c>
      <c r="K14" s="12">
        <f>IF(COUNTIFS(T_SelfStock_Log[Part Name],$A14,T_SelfStock_Log[WeekIndex],10)=0,"",SUMIFS(T_SelfStock_Log[Self_Qty],T_SelfStock_Log[Part Name],$A14,T_SelfStock_Log[WeekIndex],10))</f>
        <v/>
      </c>
      <c r="L14" s="12">
        <f>IF(COUNTIFS(T_SelfStock_Log[Part Name],$A14,T_SelfStock_Log[WeekIndex],11)=0,"",SUMIFS(T_SelfStock_Log[Self_Qty],T_SelfStock_Log[Part Name],$A14,T_SelfStock_Log[WeekIndex],11))</f>
        <v/>
      </c>
      <c r="M14" s="12">
        <f>IF(COUNTIFS(T_SelfStock_Log[Part Name],$A14,T_SelfStock_Log[WeekIndex],12)=0,"",SUMIFS(T_SelfStock_Log[Self_Qty],T_SelfStock_Log[Part Name],$A14,T_SelfStock_Log[WeekIndex],12))</f>
        <v/>
      </c>
      <c r="N14" s="12">
        <f>IF(COUNTIFS(T_SelfStock_Log[Part Name],$A14,T_SelfStock_Log[WeekIndex],13)=0,"",SUMIFS(T_SelfStock_Log[Self_Qty],T_SelfStock_Log[Part Name],$A14,T_SelfStock_Log[WeekIndex],13))</f>
        <v/>
      </c>
      <c r="O14" s="12">
        <f>IF(COUNTIFS(T_SelfStock_Log[Part Name],$A14,T_SelfStock_Log[WeekIndex],14)=0,"",SUMIFS(T_SelfStock_Log[Self_Qty],T_SelfStock_Log[Part Name],$A14,T_SelfStock_Log[WeekIndex],14))</f>
        <v/>
      </c>
      <c r="P14" s="12">
        <f>IF(COUNTIFS(T_SelfStock_Log[Part Name],$A14,T_SelfStock_Log[WeekIndex],15)=0,"",SUMIFS(T_SelfStock_Log[Self_Qty],T_SelfStock_Log[Part Name],$A14,T_SelfStock_Log[WeekIndex],15))</f>
        <v/>
      </c>
      <c r="Q14" s="12">
        <f>IF(COUNTIFS(T_SelfStock_Log[Part Name],$A14,T_SelfStock_Log[WeekIndex],16)=0,"",SUMIFS(T_SelfStock_Log[Self_Qty],T_SelfStock_Log[Part Name],$A14,T_SelfStock_Log[WeekIndex],16))</f>
        <v/>
      </c>
      <c r="R14" s="12">
        <f>IF(COUNTIFS(T_SelfStock_Log[Part Name],$A14,T_SelfStock_Log[WeekIndex],17)=0,"",SUMIFS(T_SelfStock_Log[Self_Qty],T_SelfStock_Log[Part Name],$A14,T_SelfStock_Log[WeekIndex],17))</f>
        <v/>
      </c>
      <c r="S14" s="12">
        <f>IF(COUNTIFS(T_SelfStock_Log[Part Name],$A14,T_SelfStock_Log[WeekIndex],18)=0,"",SUMIFS(T_SelfStock_Log[Self_Qty],T_SelfStock_Log[Part Name],$A14,T_SelfStock_Log[WeekIndex],18))</f>
        <v/>
      </c>
      <c r="T14" s="12">
        <f>IF(COUNTIFS(T_SelfStock_Log[Part Name],$A14,T_SelfStock_Log[WeekIndex],19)=0,"",SUMIFS(T_SelfStock_Log[Self_Qty],T_SelfStock_Log[Part Name],$A14,T_SelfStock_Log[WeekIndex],19))</f>
        <v/>
      </c>
      <c r="U14" s="12">
        <f>IF(COUNTIFS(T_SelfStock_Log[Part Name],$A14,T_SelfStock_Log[WeekIndex],20)=0,"",SUMIFS(T_SelfStock_Log[Self_Qty],T_SelfStock_Log[Part Name],$A14,T_SelfStock_Log[WeekIndex],20))</f>
        <v/>
      </c>
      <c r="V14" s="12">
        <f>IF(COUNTIFS(T_SelfStock_Log[Part Name],$A14,T_SelfStock_Log[WeekIndex],21)=0,"",SUMIFS(T_SelfStock_Log[Self_Qty],T_SelfStock_Log[Part Name],$A14,T_SelfStock_Log[WeekIndex],21))</f>
        <v/>
      </c>
      <c r="W14" s="12">
        <f>IF(COUNTIFS(T_SelfStock_Log[Part Name],$A14,T_SelfStock_Log[WeekIndex],22)=0,"",SUMIFS(T_SelfStock_Log[Self_Qty],T_SelfStock_Log[Part Name],$A14,T_SelfStock_Log[WeekIndex],22))</f>
        <v/>
      </c>
      <c r="X14" s="12">
        <f>IF(COUNTIFS(T_SelfStock_Log[Part Name],$A14,T_SelfStock_Log[WeekIndex],23)=0,"",SUMIFS(T_SelfStock_Log[Self_Qty],T_SelfStock_Log[Part Name],$A14,T_SelfStock_Log[WeekIndex],23))</f>
        <v/>
      </c>
      <c r="Y14" s="12">
        <f>IF(COUNTIFS(T_SelfStock_Log[Part Name],$A14,T_SelfStock_Log[WeekIndex],24)=0,"",SUMIFS(T_SelfStock_Log[Self_Qty],T_SelfStock_Log[Part Name],$A14,T_SelfStock_Log[WeekIndex],24))</f>
        <v/>
      </c>
      <c r="Z14" s="12">
        <f>IF(COUNTIFS(T_SelfStock_Log[Part Name],$A14,T_SelfStock_Log[WeekIndex],25)=0,"",SUMIFS(T_SelfStock_Log[Self_Qty],T_SelfStock_Log[Part Name],$A14,T_SelfStock_Log[WeekIndex],25))</f>
        <v/>
      </c>
      <c r="AA14" s="12">
        <f>IF(COUNTIFS(T_SelfStock_Log[Part Name],$A14,T_SelfStock_Log[WeekIndex],26)=0,"",SUMIFS(T_SelfStock_Log[Self_Qty],T_SelfStock_Log[Part Name],$A14,T_SelfStock_Log[WeekIndex],26))</f>
        <v/>
      </c>
      <c r="AB14" s="12">
        <f>IF(COUNTIFS(T_SelfStock_Log[Part Name],$A14,T_SelfStock_Log[WeekIndex],27)=0,"",SUMIFS(T_SelfStock_Log[Self_Qty],T_SelfStock_Log[Part Name],$A14,T_SelfStock_Log[WeekIndex],27))</f>
        <v/>
      </c>
      <c r="AC14" s="12">
        <f>IF(COUNTIFS(T_SelfStock_Log[Part Name],$A14,T_SelfStock_Log[WeekIndex],28)=0,"",SUMIFS(T_SelfStock_Log[Self_Qty],T_SelfStock_Log[Part Name],$A14,T_SelfStock_Log[WeekIndex],28))</f>
        <v/>
      </c>
      <c r="AD14" s="12">
        <f>IF(COUNTIFS(T_SelfStock_Log[Part Name],$A14,T_SelfStock_Log[WeekIndex],29)=0,"",SUMIFS(T_SelfStock_Log[Self_Qty],T_SelfStock_Log[Part Name],$A14,T_SelfStock_Log[WeekIndex],29))</f>
        <v/>
      </c>
      <c r="AE14" s="12">
        <f>IF(COUNTIFS(T_SelfStock_Log[Part Name],$A14,T_SelfStock_Log[WeekIndex],30)=0,"",SUMIFS(T_SelfStock_Log[Self_Qty],T_SelfStock_Log[Part Name],$A14,T_SelfStock_Log[WeekIndex],30))</f>
        <v/>
      </c>
      <c r="AF14" s="12">
        <f>IF(COUNTIFS(T_SelfStock_Log[Part Name],$A14,T_SelfStock_Log[WeekIndex],31)=0,"",SUMIFS(T_SelfStock_Log[Self_Qty],T_SelfStock_Log[Part Name],$A14,T_SelfStock_Log[WeekIndex],31))</f>
        <v/>
      </c>
      <c r="AG14" s="12">
        <f>IF(COUNTIFS(T_SelfStock_Log[Part Name],$A14,T_SelfStock_Log[WeekIndex],32)=0,"",SUMIFS(T_SelfStock_Log[Self_Qty],T_SelfStock_Log[Part Name],$A14,T_SelfStock_Log[WeekIndex],32))</f>
        <v/>
      </c>
      <c r="AH14" s="12">
        <f>IF(COUNTIFS(T_SelfStock_Log[Part Name],$A14,T_SelfStock_Log[WeekIndex],33)=0,"",SUMIFS(T_SelfStock_Log[Self_Qty],T_SelfStock_Log[Part Name],$A14,T_SelfStock_Log[WeekIndex],33))</f>
        <v/>
      </c>
      <c r="AI14" s="12">
        <f>IF(COUNTIFS(T_SelfStock_Log[Part Name],$A14,T_SelfStock_Log[WeekIndex],34)=0,"",SUMIFS(T_SelfStock_Log[Self_Qty],T_SelfStock_Log[Part Name],$A14,T_SelfStock_Log[WeekIndex],34))</f>
        <v/>
      </c>
      <c r="AJ14" s="12">
        <f>IF(COUNTIFS(T_SelfStock_Log[Part Name],$A14,T_SelfStock_Log[WeekIndex],35)=0,"",SUMIFS(T_SelfStock_Log[Self_Qty],T_SelfStock_Log[Part Name],$A14,T_SelfStock_Log[WeekIndex],35))</f>
        <v/>
      </c>
      <c r="AK14" s="12">
        <f>IF(COUNTIFS(T_SelfStock_Log[Part Name],$A14,T_SelfStock_Log[WeekIndex],36)=0,"",SUMIFS(T_SelfStock_Log[Self_Qty],T_SelfStock_Log[Part Name],$A14,T_SelfStock_Log[WeekIndex],36))</f>
        <v/>
      </c>
      <c r="AL14" s="12">
        <f>IF(COUNTIFS(T_SelfStock_Log[Part Name],$A14,T_SelfStock_Log[WeekIndex],37)=0,"",SUMIFS(T_SelfStock_Log[Self_Qty],T_SelfStock_Log[Part Name],$A14,T_SelfStock_Log[WeekIndex],37))</f>
        <v/>
      </c>
      <c r="AM14" s="12">
        <f>IF(COUNTIFS(T_SelfStock_Log[Part Name],$A14,T_SelfStock_Log[WeekIndex],38)=0,"",SUMIFS(T_SelfStock_Log[Self_Qty],T_SelfStock_Log[Part Name],$A14,T_SelfStock_Log[WeekIndex],38))</f>
        <v/>
      </c>
      <c r="AN14" s="12">
        <f>IF(COUNTIFS(T_SelfStock_Log[Part Name],$A14,T_SelfStock_Log[WeekIndex],39)=0,"",SUMIFS(T_SelfStock_Log[Self_Qty],T_SelfStock_Log[Part Name],$A14,T_SelfStock_Log[WeekIndex],39))</f>
        <v/>
      </c>
      <c r="AO14" s="12">
        <f>IF(COUNTIFS(T_SelfStock_Log[Part Name],$A14,T_SelfStock_Log[WeekIndex],40)=0,"",SUMIFS(T_SelfStock_Log[Self_Qty],T_SelfStock_Log[Part Name],$A14,T_SelfStock_Log[WeekIndex],40))</f>
        <v/>
      </c>
      <c r="AP14" s="12">
        <f>IF(COUNTIFS(T_SelfStock_Log[Part Name],$A14,T_SelfStock_Log[WeekIndex],41)=0,"",SUMIFS(T_SelfStock_Log[Self_Qty],T_SelfStock_Log[Part Name],$A14,T_SelfStock_Log[WeekIndex],41))</f>
        <v/>
      </c>
      <c r="AQ14" s="12">
        <f>IF(COUNTIFS(T_SelfStock_Log[Part Name],$A14,T_SelfStock_Log[WeekIndex],42)=0,"",SUMIFS(T_SelfStock_Log[Self_Qty],T_SelfStock_Log[Part Name],$A14,T_SelfStock_Log[WeekIndex],42))</f>
        <v/>
      </c>
      <c r="AR14" s="12">
        <f>IF(COUNTIFS(T_SelfStock_Log[Part Name],$A14,T_SelfStock_Log[WeekIndex],43)=0,"",SUMIFS(T_SelfStock_Log[Self_Qty],T_SelfStock_Log[Part Name],$A14,T_SelfStock_Log[WeekIndex],43))</f>
        <v/>
      </c>
      <c r="AS14" s="12">
        <f>IF(COUNTIFS(T_SelfStock_Log[Part Name],$A14,T_SelfStock_Log[WeekIndex],44)=0,"",SUMIFS(T_SelfStock_Log[Self_Qty],T_SelfStock_Log[Part Name],$A14,T_SelfStock_Log[WeekIndex],44))</f>
        <v/>
      </c>
      <c r="AT14" s="12">
        <f>IF(COUNTIFS(T_SelfStock_Log[Part Name],$A14,T_SelfStock_Log[WeekIndex],45)=0,"",SUMIFS(T_SelfStock_Log[Self_Qty],T_SelfStock_Log[Part Name],$A14,T_SelfStock_Log[WeekIndex],45))</f>
        <v/>
      </c>
      <c r="AU14" s="12">
        <f>IF(COUNTIFS(T_SelfStock_Log[Part Name],$A14,T_SelfStock_Log[WeekIndex],46)=0,"",SUMIFS(T_SelfStock_Log[Self_Qty],T_SelfStock_Log[Part Name],$A14,T_SelfStock_Log[WeekIndex],46))</f>
        <v/>
      </c>
      <c r="AV14" s="12">
        <f>IF(COUNTIFS(T_SelfStock_Log[Part Name],$A14,T_SelfStock_Log[WeekIndex],47)=0,"",SUMIFS(T_SelfStock_Log[Self_Qty],T_SelfStock_Log[Part Name],$A14,T_SelfStock_Log[WeekIndex],47))</f>
        <v/>
      </c>
      <c r="AW14" s="12">
        <f>IF(COUNTIFS(T_SelfStock_Log[Part Name],$A14,T_SelfStock_Log[WeekIndex],48)=0,"",SUMIFS(T_SelfStock_Log[Self_Qty],T_SelfStock_Log[Part Name],$A14,T_SelfStock_Log[WeekIndex],48))</f>
        <v/>
      </c>
      <c r="AX14" s="12">
        <f>IF(COUNTIFS(T_SelfStock_Log[Part Name],$A14,T_SelfStock_Log[WeekIndex],49)=0,"",SUMIFS(T_SelfStock_Log[Self_Qty],T_SelfStock_Log[Part Name],$A14,T_SelfStock_Log[WeekIndex],49))</f>
        <v/>
      </c>
      <c r="AY14" s="12">
        <f>IF(COUNTIFS(T_SelfStock_Log[Part Name],$A14,T_SelfStock_Log[WeekIndex],50)=0,"",SUMIFS(T_SelfStock_Log[Self_Qty],T_SelfStock_Log[Part Name],$A14,T_SelfStock_Log[WeekIndex],50))</f>
        <v/>
      </c>
      <c r="AZ14" s="12">
        <f>IF(COUNTIFS(T_SelfStock_Log[Part Name],$A14,T_SelfStock_Log[WeekIndex],51)=0,"",SUMIFS(T_SelfStock_Log[Self_Qty],T_SelfStock_Log[Part Name],$A14,T_SelfStock_Log[WeekIndex],51))</f>
        <v/>
      </c>
      <c r="BA14" s="12">
        <f>IF(COUNTIFS(T_SelfStock_Log[Part Name],$A14,T_SelfStock_Log[WeekIndex],52)=0,"",SUMIFS(T_SelfStock_Log[Self_Qty],T_SelfStock_Log[Part Name],$A14,T_SelfStock_Log[WeekIndex],52))</f>
        <v/>
      </c>
      <c r="BB14" s="12">
        <f>IF(COUNTIFS(T_SelfStock_Log[Part Name],$A14,T_SelfStock_Log[WeekIndex],53)=0,"",SUMIFS(T_SelfStock_Log[Self_Qty],T_SelfStock_Log[Part Name],$A14,T_SelfStock_Log[WeekIndex],53))</f>
        <v/>
      </c>
      <c r="BC14" s="12">
        <f>IF(COUNTIFS(T_SelfStock_Log[Part Name],$A14,T_SelfStock_Log[WeekIndex],54)=0,"",SUMIFS(T_SelfStock_Log[Self_Qty],T_SelfStock_Log[Part Name],$A14,T_SelfStock_Log[WeekIndex],54))</f>
        <v/>
      </c>
      <c r="BD14" s="12">
        <f>IF(COUNTIFS(T_SelfStock_Log[Part Name],$A14,T_SelfStock_Log[WeekIndex],55)=0,"",SUMIFS(T_SelfStock_Log[Self_Qty],T_SelfStock_Log[Part Name],$A14,T_SelfStock_Log[WeekIndex],55))</f>
        <v/>
      </c>
      <c r="BE14" s="12">
        <f>IF(COUNTIFS(T_SelfStock_Log[Part Name],$A14,T_SelfStock_Log[WeekIndex],56)=0,"",SUMIFS(T_SelfStock_Log[Self_Qty],T_SelfStock_Log[Part Name],$A14,T_SelfStock_Log[WeekIndex],56))</f>
        <v/>
      </c>
      <c r="BF14" s="12">
        <f>IF(COUNTIFS(T_SelfStock_Log[Part Name],$A14,T_SelfStock_Log[WeekIndex],57)=0,"",SUMIFS(T_SelfStock_Log[Self_Qty],T_SelfStock_Log[Part Name],$A14,T_SelfStock_Log[WeekIndex],57))</f>
        <v/>
      </c>
      <c r="BG14" s="12">
        <f>IF(COUNTIFS(T_SelfStock_Log[Part Name],$A14,T_SelfStock_Log[WeekIndex],58)=0,"",SUMIFS(T_SelfStock_Log[Self_Qty],T_SelfStock_Log[Part Name],$A14,T_SelfStock_Log[WeekIndex],58))</f>
        <v/>
      </c>
      <c r="BH14" s="12">
        <f>IF(COUNTIFS(T_SelfStock_Log[Part Name],$A14,T_SelfStock_Log[WeekIndex],59)=0,"",SUMIFS(T_SelfStock_Log[Self_Qty],T_SelfStock_Log[Part Name],$A14,T_SelfStock_Log[WeekIndex],59))</f>
        <v/>
      </c>
      <c r="BI14" s="12">
        <f>IF(COUNTIFS(T_SelfStock_Log[Part Name],$A14,T_SelfStock_Log[WeekIndex],60)=0,"",SUMIFS(T_SelfStock_Log[Self_Qty],T_SelfStock_Log[Part Name],$A14,T_SelfStock_Log[WeekIndex],60))</f>
        <v/>
      </c>
      <c r="BJ14" s="12">
        <f>IF(COUNTIFS(T_SelfStock_Log[Part Name],$A14,T_SelfStock_Log[WeekIndex],61)=0,"",SUMIFS(T_SelfStock_Log[Self_Qty],T_SelfStock_Log[Part Name],$A14,T_SelfStock_Log[WeekIndex],61))</f>
        <v/>
      </c>
      <c r="BK14" s="12">
        <f>IF(COUNTIFS(T_SelfStock_Log[Part Name],$A14,T_SelfStock_Log[WeekIndex],62)=0,"",SUMIFS(T_SelfStock_Log[Self_Qty],T_SelfStock_Log[Part Name],$A14,T_SelfStock_Log[WeekIndex],62))</f>
        <v/>
      </c>
      <c r="BL14" s="12">
        <f>IF(COUNTIFS(T_SelfStock_Log[Part Name],$A14,T_SelfStock_Log[WeekIndex],63)=0,"",SUMIFS(T_SelfStock_Log[Self_Qty],T_SelfStock_Log[Part Name],$A14,T_SelfStock_Log[WeekIndex],63))</f>
        <v/>
      </c>
      <c r="BM14" s="12">
        <f>IF(COUNTIFS(T_SelfStock_Log[Part Name],$A14,T_SelfStock_Log[WeekIndex],64)=0,"",SUMIFS(T_SelfStock_Log[Self_Qty],T_SelfStock_Log[Part Name],$A14,T_SelfStock_Log[WeekIndex],64))</f>
        <v/>
      </c>
      <c r="BN14" s="12">
        <f>IF(COUNTIFS(T_SelfStock_Log[Part Name],$A14,T_SelfStock_Log[WeekIndex],65)=0,"",SUMIFS(T_SelfStock_Log[Self_Qty],T_SelfStock_Log[Part Name],$A14,T_SelfStock_Log[WeekIndex],65))</f>
        <v/>
      </c>
      <c r="BO14" s="12">
        <f>IF(COUNTIFS(T_SelfStock_Log[Part Name],$A14,T_SelfStock_Log[WeekIndex],66)=0,"",SUMIFS(T_SelfStock_Log[Self_Qty],T_SelfStock_Log[Part Name],$A14,T_SelfStock_Log[WeekIndex],66))</f>
        <v/>
      </c>
      <c r="BP14" s="12">
        <f>IF(COUNTIFS(T_SelfStock_Log[Part Name],$A14,T_SelfStock_Log[WeekIndex],67)=0,"",SUMIFS(T_SelfStock_Log[Self_Qty],T_SelfStock_Log[Part Name],$A14,T_SelfStock_Log[WeekIndex],67))</f>
        <v/>
      </c>
      <c r="BQ14" s="12">
        <f>IF(COUNTIFS(T_SelfStock_Log[Part Name],$A14,T_SelfStock_Log[WeekIndex],68)=0,"",SUMIFS(T_SelfStock_Log[Self_Qty],T_SelfStock_Log[Part Name],$A14,T_SelfStock_Log[WeekIndex],68))</f>
        <v/>
      </c>
      <c r="BR14" s="12">
        <f>IF(COUNTIFS(T_SelfStock_Log[Part Name],$A14,T_SelfStock_Log[WeekIndex],69)=0,"",SUMIFS(T_SelfStock_Log[Self_Qty],T_SelfStock_Log[Part Name],$A14,T_SelfStock_Log[WeekIndex],69))</f>
        <v/>
      </c>
      <c r="BS14" s="12">
        <f>IF(COUNTIFS(T_SelfStock_Log[Part Name],$A14,T_SelfStock_Log[WeekIndex],70)=0,"",SUMIFS(T_SelfStock_Log[Self_Qty],T_SelfStock_Log[Part Name],$A14,T_SelfStock_Log[WeekIndex],70))</f>
        <v/>
      </c>
      <c r="BT14" s="12">
        <f>IF(COUNTIFS(T_SelfStock_Log[Part Name],$A14,T_SelfStock_Log[WeekIndex],71)=0,"",SUMIFS(T_SelfStock_Log[Self_Qty],T_SelfStock_Log[Part Name],$A14,T_SelfStock_Log[WeekIndex],71))</f>
        <v/>
      </c>
      <c r="BU14" s="12">
        <f>IF(COUNTIFS(T_SelfStock_Log[Part Name],$A14,T_SelfStock_Log[WeekIndex],72)=0,"",SUMIFS(T_SelfStock_Log[Self_Qty],T_SelfStock_Log[Part Name],$A14,T_SelfStock_Log[WeekIndex],72))</f>
        <v/>
      </c>
      <c r="BV14" s="12">
        <f>IF(COUNTIFS(T_SelfStock_Log[Part Name],$A14,T_SelfStock_Log[WeekIndex],73)=0,"",SUMIFS(T_SelfStock_Log[Self_Qty],T_SelfStock_Log[Part Name],$A14,T_SelfStock_Log[WeekIndex],73))</f>
        <v/>
      </c>
      <c r="BW14" s="12">
        <f>IF(COUNTIFS(T_SelfStock_Log[Part Name],$A14,T_SelfStock_Log[WeekIndex],74)=0,"",SUMIFS(T_SelfStock_Log[Self_Qty],T_SelfStock_Log[Part Name],$A14,T_SelfStock_Log[WeekIndex],74))</f>
        <v/>
      </c>
      <c r="BX14" s="12">
        <f>IF(COUNTIFS(T_SelfStock_Log[Part Name],$A14,T_SelfStock_Log[WeekIndex],75)=0,"",SUMIFS(T_SelfStock_Log[Self_Qty],T_SelfStock_Log[Part Name],$A14,T_SelfStock_Log[WeekIndex],75))</f>
        <v/>
      </c>
      <c r="BY14" s="12">
        <f>IF(COUNTIFS(T_SelfStock_Log[Part Name],$A14,T_SelfStock_Log[WeekIndex],76)=0,"",SUMIFS(T_SelfStock_Log[Self_Qty],T_SelfStock_Log[Part Name],$A14,T_SelfStock_Log[WeekIndex],76))</f>
        <v/>
      </c>
      <c r="BZ14" s="12">
        <f>IF(COUNTIFS(T_SelfStock_Log[Part Name],$A14,T_SelfStock_Log[WeekIndex],77)=0,"",SUMIFS(T_SelfStock_Log[Self_Qty],T_SelfStock_Log[Part Name],$A14,T_SelfStock_Log[WeekIndex],77))</f>
        <v/>
      </c>
      <c r="CA14" s="12">
        <f>IF(COUNTIFS(T_SelfStock_Log[Part Name],$A14,T_SelfStock_Log[WeekIndex],78)=0,"",SUMIFS(T_SelfStock_Log[Self_Qty],T_SelfStock_Log[Part Name],$A14,T_SelfStock_Log[WeekIndex],78))</f>
        <v/>
      </c>
      <c r="CB14" s="12">
        <f>IF(COUNTIFS(T_SelfStock_Log[Part Name],$A14,T_SelfStock_Log[WeekIndex],79)=0,"",SUMIFS(T_SelfStock_Log[Self_Qty],T_SelfStock_Log[Part Name],$A14,T_SelfStock_Log[WeekIndex],79))</f>
        <v/>
      </c>
      <c r="CC14" s="12">
        <f>IF(COUNTIFS(T_SelfStock_Log[Part Name],$A14,T_SelfStock_Log[WeekIndex],80)=0,"",SUMIFS(T_SelfStock_Log[Self_Qty],T_SelfStock_Log[Part Name],$A14,T_SelfStock_Log[WeekIndex],80))</f>
        <v/>
      </c>
      <c r="CD14" s="12">
        <f>IF(COUNTIFS(T_SelfStock_Log[Part Name],$A14,T_SelfStock_Log[WeekIndex],81)=0,"",SUMIFS(T_SelfStock_Log[Self_Qty],T_SelfStock_Log[Part Name],$A14,T_SelfStock_Log[WeekIndex],81))</f>
        <v/>
      </c>
      <c r="CE14" s="12">
        <f>IF(COUNTIFS(T_SelfStock_Log[Part Name],$A14,T_SelfStock_Log[WeekIndex],82)=0,"",SUMIFS(T_SelfStock_Log[Self_Qty],T_SelfStock_Log[Part Name],$A14,T_SelfStock_Log[WeekIndex],82))</f>
        <v/>
      </c>
      <c r="CF14" s="12">
        <f>IF(COUNTIFS(T_SelfStock_Log[Part Name],$A14,T_SelfStock_Log[WeekIndex],83)=0,"",SUMIFS(T_SelfStock_Log[Self_Qty],T_SelfStock_Log[Part Name],$A14,T_SelfStock_Log[WeekIndex],83))</f>
        <v/>
      </c>
      <c r="CG14" s="12">
        <f>IF(COUNTIFS(T_SelfStock_Log[Part Name],$A14,T_SelfStock_Log[WeekIndex],84)=0,"",SUMIFS(T_SelfStock_Log[Self_Qty],T_SelfStock_Log[Part Name],$A14,T_SelfStock_Log[WeekIndex],84))</f>
        <v/>
      </c>
      <c r="CH14" s="12">
        <f>IF(COUNTIFS(T_SelfStock_Log[Part Name],$A14,T_SelfStock_Log[WeekIndex],85)=0,"",SUMIFS(T_SelfStock_Log[Self_Qty],T_SelfStock_Log[Part Name],$A14,T_SelfStock_Log[WeekIndex],85))</f>
        <v/>
      </c>
      <c r="CI14" s="12">
        <f>IF(COUNTIFS(T_SelfStock_Log[Part Name],$A14,T_SelfStock_Log[WeekIndex],86)=0,"",SUMIFS(T_SelfStock_Log[Self_Qty],T_SelfStock_Log[Part Name],$A14,T_SelfStock_Log[WeekIndex],86))</f>
        <v/>
      </c>
      <c r="CJ14" s="12">
        <f>IF(COUNTIFS(T_SelfStock_Log[Part Name],$A14,T_SelfStock_Log[WeekIndex],87)=0,"",SUMIFS(T_SelfStock_Log[Self_Qty],T_SelfStock_Log[Part Name],$A14,T_SelfStock_Log[WeekIndex],87))</f>
        <v/>
      </c>
      <c r="CK14" s="12">
        <f>IF(COUNTIFS(T_SelfStock_Log[Part Name],$A14,T_SelfStock_Log[WeekIndex],88)=0,"",SUMIFS(T_SelfStock_Log[Self_Qty],T_SelfStock_Log[Part Name],$A14,T_SelfStock_Log[WeekIndex],88))</f>
        <v/>
      </c>
      <c r="CL14" s="12">
        <f>IF(COUNTIFS(T_SelfStock_Log[Part Name],$A14,T_SelfStock_Log[WeekIndex],89)=0,"",SUMIFS(T_SelfStock_Log[Self_Qty],T_SelfStock_Log[Part Name],$A14,T_SelfStock_Log[WeekIndex],89))</f>
        <v/>
      </c>
      <c r="CM14" s="12">
        <f>IF(COUNTIFS(T_SelfStock_Log[Part Name],$A14,T_SelfStock_Log[WeekIndex],90)=0,"",SUMIFS(T_SelfStock_Log[Self_Qty],T_SelfStock_Log[Part Name],$A14,T_SelfStock_Log[WeekIndex],90))</f>
        <v/>
      </c>
      <c r="CN14" s="12">
        <f>IF(COUNTIFS(T_SelfStock_Log[Part Name],$A14,T_SelfStock_Log[WeekIndex],91)=0,"",SUMIFS(T_SelfStock_Log[Self_Qty],T_SelfStock_Log[Part Name],$A14,T_SelfStock_Log[WeekIndex],91))</f>
        <v/>
      </c>
      <c r="CO14" s="12">
        <f>IF(COUNTIFS(T_SelfStock_Log[Part Name],$A14,T_SelfStock_Log[WeekIndex],92)=0,"",SUMIFS(T_SelfStock_Log[Self_Qty],T_SelfStock_Log[Part Name],$A14,T_SelfStock_Log[WeekIndex],92))</f>
        <v/>
      </c>
      <c r="CP14" s="12">
        <f>IF(COUNTIFS(T_SelfStock_Log[Part Name],$A14,T_SelfStock_Log[WeekIndex],93)=0,"",SUMIFS(T_SelfStock_Log[Self_Qty],T_SelfStock_Log[Part Name],$A14,T_SelfStock_Log[WeekIndex],93))</f>
        <v/>
      </c>
      <c r="CQ14" s="12">
        <f>IF(COUNTIFS(T_SelfStock_Log[Part Name],$A14,T_SelfStock_Log[WeekIndex],94)=0,"",SUMIFS(T_SelfStock_Log[Self_Qty],T_SelfStock_Log[Part Name],$A14,T_SelfStock_Log[WeekIndex],94))</f>
        <v/>
      </c>
      <c r="CR14" s="12">
        <f>IF(COUNTIFS(T_SelfStock_Log[Part Name],$A14,T_SelfStock_Log[WeekIndex],95)=0,"",SUMIFS(T_SelfStock_Log[Self_Qty],T_SelfStock_Log[Part Name],$A14,T_SelfStock_Log[WeekIndex],95))</f>
        <v/>
      </c>
      <c r="CS14" s="12">
        <f>IF(COUNTIFS(T_SelfStock_Log[Part Name],$A14,T_SelfStock_Log[WeekIndex],96)=0,"",SUMIFS(T_SelfStock_Log[Self_Qty],T_SelfStock_Log[Part Name],$A14,T_SelfStock_Log[WeekIndex],96))</f>
        <v/>
      </c>
      <c r="CT14" s="12">
        <f>IF(COUNTIFS(T_SelfStock_Log[Part Name],$A14,T_SelfStock_Log[WeekIndex],97)=0,"",SUMIFS(T_SelfStock_Log[Self_Qty],T_SelfStock_Log[Part Name],$A14,T_SelfStock_Log[WeekIndex],97))</f>
        <v/>
      </c>
      <c r="CU14" s="12">
        <f>IF(COUNTIFS(T_SelfStock_Log[Part Name],$A14,T_SelfStock_Log[WeekIndex],98)=0,"",SUMIFS(T_SelfStock_Log[Self_Qty],T_SelfStock_Log[Part Name],$A14,T_SelfStock_Log[WeekIndex],98))</f>
        <v/>
      </c>
      <c r="CV14" s="12">
        <f>IF(COUNTIFS(T_SelfStock_Log[Part Name],$A14,T_SelfStock_Log[WeekIndex],99)=0,"",SUMIFS(T_SelfStock_Log[Self_Qty],T_SelfStock_Log[Part Name],$A14,T_SelfStock_Log[WeekIndex],99))</f>
        <v/>
      </c>
      <c r="CW14" s="12">
        <f>IF(COUNTIFS(T_SelfStock_Log[Part Name],$A14,T_SelfStock_Log[WeekIndex],100)=0,"",SUMIFS(T_SelfStock_Log[Self_Qty],T_SelfStock_Log[Part Name],$A14,T_SelfStock_Log[WeekIndex],100))</f>
        <v/>
      </c>
      <c r="CX14" s="12">
        <f>IF(COUNTIFS(T_SelfStock_Log[Part Name],$A14,T_SelfStock_Log[WeekIndex],101)=0,"",SUMIFS(T_SelfStock_Log[Self_Qty],T_SelfStock_Log[Part Name],$A14,T_SelfStock_Log[WeekIndex],101))</f>
        <v/>
      </c>
      <c r="CY14" s="12">
        <f>IF(COUNTIFS(T_SelfStock_Log[Part Name],$A14,T_SelfStock_Log[WeekIndex],102)=0,"",SUMIFS(T_SelfStock_Log[Self_Qty],T_SelfStock_Log[Part Name],$A14,T_SelfStock_Log[WeekIndex],102))</f>
        <v/>
      </c>
      <c r="CZ14" s="12">
        <f>IF(COUNTIFS(T_SelfStock_Log[Part Name],$A14,T_SelfStock_Log[WeekIndex],103)=0,"",SUMIFS(T_SelfStock_Log[Self_Qty],T_SelfStock_Log[Part Name],$A14,T_SelfStock_Log[WeekIndex],103))</f>
        <v/>
      </c>
      <c r="DA14" s="12">
        <f>IF(COUNTIFS(T_SelfStock_Log[Part Name],$A14,T_SelfStock_Log[WeekIndex],104)=0,"",SUMIFS(T_SelfStock_Log[Self_Qty],T_SelfStock_Log[Part Name],$A14,T_SelfStock_Log[WeekIndex],104))</f>
        <v/>
      </c>
    </row>
    <row r="15">
      <c r="A15" s="13" t="inlineStr">
        <is>
          <t>4HL</t>
        </is>
      </c>
      <c r="B15" s="13">
        <f>IF(COUNTIFS(T_SelfStock_Log[Part Name],$A15,T_SelfStock_Log[WeekIndex],1)=0,"",SUMIFS(T_SelfStock_Log[Self_Qty],T_SelfStock_Log[Part Name],$A15,T_SelfStock_Log[WeekIndex],1))</f>
        <v/>
      </c>
      <c r="C15" s="13">
        <f>IF(COUNTIFS(T_SelfStock_Log[Part Name],$A15,T_SelfStock_Log[WeekIndex],2)=0,"",SUMIFS(T_SelfStock_Log[Self_Qty],T_SelfStock_Log[Part Name],$A15,T_SelfStock_Log[WeekIndex],2))</f>
        <v/>
      </c>
      <c r="D15" s="13">
        <f>IF(COUNTIFS(T_SelfStock_Log[Part Name],$A15,T_SelfStock_Log[WeekIndex],3)=0,"",SUMIFS(T_SelfStock_Log[Self_Qty],T_SelfStock_Log[Part Name],$A15,T_SelfStock_Log[WeekIndex],3))</f>
        <v/>
      </c>
      <c r="E15" s="13">
        <f>IF(COUNTIFS(T_SelfStock_Log[Part Name],$A15,T_SelfStock_Log[WeekIndex],4)=0,"",SUMIFS(T_SelfStock_Log[Self_Qty],T_SelfStock_Log[Part Name],$A15,T_SelfStock_Log[WeekIndex],4))</f>
        <v/>
      </c>
      <c r="F15" s="13">
        <f>IF(COUNTIFS(T_SelfStock_Log[Part Name],$A15,T_SelfStock_Log[WeekIndex],5)=0,"",SUMIFS(T_SelfStock_Log[Self_Qty],T_SelfStock_Log[Part Name],$A15,T_SelfStock_Log[WeekIndex],5))</f>
        <v/>
      </c>
      <c r="G15" s="13">
        <f>IF(COUNTIFS(T_SelfStock_Log[Part Name],$A15,T_SelfStock_Log[WeekIndex],6)=0,"",SUMIFS(T_SelfStock_Log[Self_Qty],T_SelfStock_Log[Part Name],$A15,T_SelfStock_Log[WeekIndex],6))</f>
        <v/>
      </c>
      <c r="H15" s="13">
        <f>IF(COUNTIFS(T_SelfStock_Log[Part Name],$A15,T_SelfStock_Log[WeekIndex],7)=0,"",SUMIFS(T_SelfStock_Log[Self_Qty],T_SelfStock_Log[Part Name],$A15,T_SelfStock_Log[WeekIndex],7))</f>
        <v/>
      </c>
      <c r="I15" s="13">
        <f>IF(COUNTIFS(T_SelfStock_Log[Part Name],$A15,T_SelfStock_Log[WeekIndex],8)=0,"",SUMIFS(T_SelfStock_Log[Self_Qty],T_SelfStock_Log[Part Name],$A15,T_SelfStock_Log[WeekIndex],8))</f>
        <v/>
      </c>
      <c r="J15" s="13">
        <f>IF(COUNTIFS(T_SelfStock_Log[Part Name],$A15,T_SelfStock_Log[WeekIndex],9)=0,"",SUMIFS(T_SelfStock_Log[Self_Qty],T_SelfStock_Log[Part Name],$A15,T_SelfStock_Log[WeekIndex],9))</f>
        <v/>
      </c>
      <c r="K15" s="13">
        <f>IF(COUNTIFS(T_SelfStock_Log[Part Name],$A15,T_SelfStock_Log[WeekIndex],10)=0,"",SUMIFS(T_SelfStock_Log[Self_Qty],T_SelfStock_Log[Part Name],$A15,T_SelfStock_Log[WeekIndex],10))</f>
        <v/>
      </c>
      <c r="L15" s="13">
        <f>IF(COUNTIFS(T_SelfStock_Log[Part Name],$A15,T_SelfStock_Log[WeekIndex],11)=0,"",SUMIFS(T_SelfStock_Log[Self_Qty],T_SelfStock_Log[Part Name],$A15,T_SelfStock_Log[WeekIndex],11))</f>
        <v/>
      </c>
      <c r="M15" s="13">
        <f>IF(COUNTIFS(T_SelfStock_Log[Part Name],$A15,T_SelfStock_Log[WeekIndex],12)=0,"",SUMIFS(T_SelfStock_Log[Self_Qty],T_SelfStock_Log[Part Name],$A15,T_SelfStock_Log[WeekIndex],12))</f>
        <v/>
      </c>
      <c r="N15" s="13">
        <f>IF(COUNTIFS(T_SelfStock_Log[Part Name],$A15,T_SelfStock_Log[WeekIndex],13)=0,"",SUMIFS(T_SelfStock_Log[Self_Qty],T_SelfStock_Log[Part Name],$A15,T_SelfStock_Log[WeekIndex],13))</f>
        <v/>
      </c>
      <c r="O15" s="13">
        <f>IF(COUNTIFS(T_SelfStock_Log[Part Name],$A15,T_SelfStock_Log[WeekIndex],14)=0,"",SUMIFS(T_SelfStock_Log[Self_Qty],T_SelfStock_Log[Part Name],$A15,T_SelfStock_Log[WeekIndex],14))</f>
        <v/>
      </c>
      <c r="P15" s="13">
        <f>IF(COUNTIFS(T_SelfStock_Log[Part Name],$A15,T_SelfStock_Log[WeekIndex],15)=0,"",SUMIFS(T_SelfStock_Log[Self_Qty],T_SelfStock_Log[Part Name],$A15,T_SelfStock_Log[WeekIndex],15))</f>
        <v/>
      </c>
      <c r="Q15" s="13">
        <f>IF(COUNTIFS(T_SelfStock_Log[Part Name],$A15,T_SelfStock_Log[WeekIndex],16)=0,"",SUMIFS(T_SelfStock_Log[Self_Qty],T_SelfStock_Log[Part Name],$A15,T_SelfStock_Log[WeekIndex],16))</f>
        <v/>
      </c>
      <c r="R15" s="13">
        <f>IF(COUNTIFS(T_SelfStock_Log[Part Name],$A15,T_SelfStock_Log[WeekIndex],17)=0,"",SUMIFS(T_SelfStock_Log[Self_Qty],T_SelfStock_Log[Part Name],$A15,T_SelfStock_Log[WeekIndex],17))</f>
        <v/>
      </c>
      <c r="S15" s="13">
        <f>IF(COUNTIFS(T_SelfStock_Log[Part Name],$A15,T_SelfStock_Log[WeekIndex],18)=0,"",SUMIFS(T_SelfStock_Log[Self_Qty],T_SelfStock_Log[Part Name],$A15,T_SelfStock_Log[WeekIndex],18))</f>
        <v/>
      </c>
      <c r="T15" s="13">
        <f>IF(COUNTIFS(T_SelfStock_Log[Part Name],$A15,T_SelfStock_Log[WeekIndex],19)=0,"",SUMIFS(T_SelfStock_Log[Self_Qty],T_SelfStock_Log[Part Name],$A15,T_SelfStock_Log[WeekIndex],19))</f>
        <v/>
      </c>
      <c r="U15" s="13">
        <f>IF(COUNTIFS(T_SelfStock_Log[Part Name],$A15,T_SelfStock_Log[WeekIndex],20)=0,"",SUMIFS(T_SelfStock_Log[Self_Qty],T_SelfStock_Log[Part Name],$A15,T_SelfStock_Log[WeekIndex],20))</f>
        <v/>
      </c>
      <c r="V15" s="13">
        <f>IF(COUNTIFS(T_SelfStock_Log[Part Name],$A15,T_SelfStock_Log[WeekIndex],21)=0,"",SUMIFS(T_SelfStock_Log[Self_Qty],T_SelfStock_Log[Part Name],$A15,T_SelfStock_Log[WeekIndex],21))</f>
        <v/>
      </c>
      <c r="W15" s="13">
        <f>IF(COUNTIFS(T_SelfStock_Log[Part Name],$A15,T_SelfStock_Log[WeekIndex],22)=0,"",SUMIFS(T_SelfStock_Log[Self_Qty],T_SelfStock_Log[Part Name],$A15,T_SelfStock_Log[WeekIndex],22))</f>
        <v/>
      </c>
      <c r="X15" s="13">
        <f>IF(COUNTIFS(T_SelfStock_Log[Part Name],$A15,T_SelfStock_Log[WeekIndex],23)=0,"",SUMIFS(T_SelfStock_Log[Self_Qty],T_SelfStock_Log[Part Name],$A15,T_SelfStock_Log[WeekIndex],23))</f>
        <v/>
      </c>
      <c r="Y15" s="13">
        <f>IF(COUNTIFS(T_SelfStock_Log[Part Name],$A15,T_SelfStock_Log[WeekIndex],24)=0,"",SUMIFS(T_SelfStock_Log[Self_Qty],T_SelfStock_Log[Part Name],$A15,T_SelfStock_Log[WeekIndex],24))</f>
        <v/>
      </c>
      <c r="Z15" s="13">
        <f>IF(COUNTIFS(T_SelfStock_Log[Part Name],$A15,T_SelfStock_Log[WeekIndex],25)=0,"",SUMIFS(T_SelfStock_Log[Self_Qty],T_SelfStock_Log[Part Name],$A15,T_SelfStock_Log[WeekIndex],25))</f>
        <v/>
      </c>
      <c r="AA15" s="13">
        <f>IF(COUNTIFS(T_SelfStock_Log[Part Name],$A15,T_SelfStock_Log[WeekIndex],26)=0,"",SUMIFS(T_SelfStock_Log[Self_Qty],T_SelfStock_Log[Part Name],$A15,T_SelfStock_Log[WeekIndex],26))</f>
        <v/>
      </c>
      <c r="AB15" s="13">
        <f>IF(COUNTIFS(T_SelfStock_Log[Part Name],$A15,T_SelfStock_Log[WeekIndex],27)=0,"",SUMIFS(T_SelfStock_Log[Self_Qty],T_SelfStock_Log[Part Name],$A15,T_SelfStock_Log[WeekIndex],27))</f>
        <v/>
      </c>
      <c r="AC15" s="13">
        <f>IF(COUNTIFS(T_SelfStock_Log[Part Name],$A15,T_SelfStock_Log[WeekIndex],28)=0,"",SUMIFS(T_SelfStock_Log[Self_Qty],T_SelfStock_Log[Part Name],$A15,T_SelfStock_Log[WeekIndex],28))</f>
        <v/>
      </c>
      <c r="AD15" s="13">
        <f>IF(COUNTIFS(T_SelfStock_Log[Part Name],$A15,T_SelfStock_Log[WeekIndex],29)=0,"",SUMIFS(T_SelfStock_Log[Self_Qty],T_SelfStock_Log[Part Name],$A15,T_SelfStock_Log[WeekIndex],29))</f>
        <v/>
      </c>
      <c r="AE15" s="13">
        <f>IF(COUNTIFS(T_SelfStock_Log[Part Name],$A15,T_SelfStock_Log[WeekIndex],30)=0,"",SUMIFS(T_SelfStock_Log[Self_Qty],T_SelfStock_Log[Part Name],$A15,T_SelfStock_Log[WeekIndex],30))</f>
        <v/>
      </c>
      <c r="AF15" s="13">
        <f>IF(COUNTIFS(T_SelfStock_Log[Part Name],$A15,T_SelfStock_Log[WeekIndex],31)=0,"",SUMIFS(T_SelfStock_Log[Self_Qty],T_SelfStock_Log[Part Name],$A15,T_SelfStock_Log[WeekIndex],31))</f>
        <v/>
      </c>
      <c r="AG15" s="13">
        <f>IF(COUNTIFS(T_SelfStock_Log[Part Name],$A15,T_SelfStock_Log[WeekIndex],32)=0,"",SUMIFS(T_SelfStock_Log[Self_Qty],T_SelfStock_Log[Part Name],$A15,T_SelfStock_Log[WeekIndex],32))</f>
        <v/>
      </c>
      <c r="AH15" s="13">
        <f>IF(COUNTIFS(T_SelfStock_Log[Part Name],$A15,T_SelfStock_Log[WeekIndex],33)=0,"",SUMIFS(T_SelfStock_Log[Self_Qty],T_SelfStock_Log[Part Name],$A15,T_SelfStock_Log[WeekIndex],33))</f>
        <v/>
      </c>
      <c r="AI15" s="13">
        <f>IF(COUNTIFS(T_SelfStock_Log[Part Name],$A15,T_SelfStock_Log[WeekIndex],34)=0,"",SUMIFS(T_SelfStock_Log[Self_Qty],T_SelfStock_Log[Part Name],$A15,T_SelfStock_Log[WeekIndex],34))</f>
        <v/>
      </c>
      <c r="AJ15" s="13">
        <f>IF(COUNTIFS(T_SelfStock_Log[Part Name],$A15,T_SelfStock_Log[WeekIndex],35)=0,"",SUMIFS(T_SelfStock_Log[Self_Qty],T_SelfStock_Log[Part Name],$A15,T_SelfStock_Log[WeekIndex],35))</f>
        <v/>
      </c>
      <c r="AK15" s="13">
        <f>IF(COUNTIFS(T_SelfStock_Log[Part Name],$A15,T_SelfStock_Log[WeekIndex],36)=0,"",SUMIFS(T_SelfStock_Log[Self_Qty],T_SelfStock_Log[Part Name],$A15,T_SelfStock_Log[WeekIndex],36))</f>
        <v/>
      </c>
      <c r="AL15" s="13">
        <f>IF(COUNTIFS(T_SelfStock_Log[Part Name],$A15,T_SelfStock_Log[WeekIndex],37)=0,"",SUMIFS(T_SelfStock_Log[Self_Qty],T_SelfStock_Log[Part Name],$A15,T_SelfStock_Log[WeekIndex],37))</f>
        <v/>
      </c>
      <c r="AM15" s="13">
        <f>IF(COUNTIFS(T_SelfStock_Log[Part Name],$A15,T_SelfStock_Log[WeekIndex],38)=0,"",SUMIFS(T_SelfStock_Log[Self_Qty],T_SelfStock_Log[Part Name],$A15,T_SelfStock_Log[WeekIndex],38))</f>
        <v/>
      </c>
      <c r="AN15" s="13">
        <f>IF(COUNTIFS(T_SelfStock_Log[Part Name],$A15,T_SelfStock_Log[WeekIndex],39)=0,"",SUMIFS(T_SelfStock_Log[Self_Qty],T_SelfStock_Log[Part Name],$A15,T_SelfStock_Log[WeekIndex],39))</f>
        <v/>
      </c>
      <c r="AO15" s="13">
        <f>IF(COUNTIFS(T_SelfStock_Log[Part Name],$A15,T_SelfStock_Log[WeekIndex],40)=0,"",SUMIFS(T_SelfStock_Log[Self_Qty],T_SelfStock_Log[Part Name],$A15,T_SelfStock_Log[WeekIndex],40))</f>
        <v/>
      </c>
      <c r="AP15" s="13">
        <f>IF(COUNTIFS(T_SelfStock_Log[Part Name],$A15,T_SelfStock_Log[WeekIndex],41)=0,"",SUMIFS(T_SelfStock_Log[Self_Qty],T_SelfStock_Log[Part Name],$A15,T_SelfStock_Log[WeekIndex],41))</f>
        <v/>
      </c>
      <c r="AQ15" s="13">
        <f>IF(COUNTIFS(T_SelfStock_Log[Part Name],$A15,T_SelfStock_Log[WeekIndex],42)=0,"",SUMIFS(T_SelfStock_Log[Self_Qty],T_SelfStock_Log[Part Name],$A15,T_SelfStock_Log[WeekIndex],42))</f>
        <v/>
      </c>
      <c r="AR15" s="13">
        <f>IF(COUNTIFS(T_SelfStock_Log[Part Name],$A15,T_SelfStock_Log[WeekIndex],43)=0,"",SUMIFS(T_SelfStock_Log[Self_Qty],T_SelfStock_Log[Part Name],$A15,T_SelfStock_Log[WeekIndex],43))</f>
        <v/>
      </c>
      <c r="AS15" s="13">
        <f>IF(COUNTIFS(T_SelfStock_Log[Part Name],$A15,T_SelfStock_Log[WeekIndex],44)=0,"",SUMIFS(T_SelfStock_Log[Self_Qty],T_SelfStock_Log[Part Name],$A15,T_SelfStock_Log[WeekIndex],44))</f>
        <v/>
      </c>
      <c r="AT15" s="13">
        <f>IF(COUNTIFS(T_SelfStock_Log[Part Name],$A15,T_SelfStock_Log[WeekIndex],45)=0,"",SUMIFS(T_SelfStock_Log[Self_Qty],T_SelfStock_Log[Part Name],$A15,T_SelfStock_Log[WeekIndex],45))</f>
        <v/>
      </c>
      <c r="AU15" s="13">
        <f>IF(COUNTIFS(T_SelfStock_Log[Part Name],$A15,T_SelfStock_Log[WeekIndex],46)=0,"",SUMIFS(T_SelfStock_Log[Self_Qty],T_SelfStock_Log[Part Name],$A15,T_SelfStock_Log[WeekIndex],46))</f>
        <v/>
      </c>
      <c r="AV15" s="13">
        <f>IF(COUNTIFS(T_SelfStock_Log[Part Name],$A15,T_SelfStock_Log[WeekIndex],47)=0,"",SUMIFS(T_SelfStock_Log[Self_Qty],T_SelfStock_Log[Part Name],$A15,T_SelfStock_Log[WeekIndex],47))</f>
        <v/>
      </c>
      <c r="AW15" s="13">
        <f>IF(COUNTIFS(T_SelfStock_Log[Part Name],$A15,T_SelfStock_Log[WeekIndex],48)=0,"",SUMIFS(T_SelfStock_Log[Self_Qty],T_SelfStock_Log[Part Name],$A15,T_SelfStock_Log[WeekIndex],48))</f>
        <v/>
      </c>
      <c r="AX15" s="13">
        <f>IF(COUNTIFS(T_SelfStock_Log[Part Name],$A15,T_SelfStock_Log[WeekIndex],49)=0,"",SUMIFS(T_SelfStock_Log[Self_Qty],T_SelfStock_Log[Part Name],$A15,T_SelfStock_Log[WeekIndex],49))</f>
        <v/>
      </c>
      <c r="AY15" s="13">
        <f>IF(COUNTIFS(T_SelfStock_Log[Part Name],$A15,T_SelfStock_Log[WeekIndex],50)=0,"",SUMIFS(T_SelfStock_Log[Self_Qty],T_SelfStock_Log[Part Name],$A15,T_SelfStock_Log[WeekIndex],50))</f>
        <v/>
      </c>
      <c r="AZ15" s="13">
        <f>IF(COUNTIFS(T_SelfStock_Log[Part Name],$A15,T_SelfStock_Log[WeekIndex],51)=0,"",SUMIFS(T_SelfStock_Log[Self_Qty],T_SelfStock_Log[Part Name],$A15,T_SelfStock_Log[WeekIndex],51))</f>
        <v/>
      </c>
      <c r="BA15" s="13">
        <f>IF(COUNTIFS(T_SelfStock_Log[Part Name],$A15,T_SelfStock_Log[WeekIndex],52)=0,"",SUMIFS(T_SelfStock_Log[Self_Qty],T_SelfStock_Log[Part Name],$A15,T_SelfStock_Log[WeekIndex],52))</f>
        <v/>
      </c>
      <c r="BB15" s="13">
        <f>IF(COUNTIFS(T_SelfStock_Log[Part Name],$A15,T_SelfStock_Log[WeekIndex],53)=0,"",SUMIFS(T_SelfStock_Log[Self_Qty],T_SelfStock_Log[Part Name],$A15,T_SelfStock_Log[WeekIndex],53))</f>
        <v/>
      </c>
      <c r="BC15" s="13">
        <f>IF(COUNTIFS(T_SelfStock_Log[Part Name],$A15,T_SelfStock_Log[WeekIndex],54)=0,"",SUMIFS(T_SelfStock_Log[Self_Qty],T_SelfStock_Log[Part Name],$A15,T_SelfStock_Log[WeekIndex],54))</f>
        <v/>
      </c>
      <c r="BD15" s="13">
        <f>IF(COUNTIFS(T_SelfStock_Log[Part Name],$A15,T_SelfStock_Log[WeekIndex],55)=0,"",SUMIFS(T_SelfStock_Log[Self_Qty],T_SelfStock_Log[Part Name],$A15,T_SelfStock_Log[WeekIndex],55))</f>
        <v/>
      </c>
      <c r="BE15" s="13">
        <f>IF(COUNTIFS(T_SelfStock_Log[Part Name],$A15,T_SelfStock_Log[WeekIndex],56)=0,"",SUMIFS(T_SelfStock_Log[Self_Qty],T_SelfStock_Log[Part Name],$A15,T_SelfStock_Log[WeekIndex],56))</f>
        <v/>
      </c>
      <c r="BF15" s="13">
        <f>IF(COUNTIFS(T_SelfStock_Log[Part Name],$A15,T_SelfStock_Log[WeekIndex],57)=0,"",SUMIFS(T_SelfStock_Log[Self_Qty],T_SelfStock_Log[Part Name],$A15,T_SelfStock_Log[WeekIndex],57))</f>
        <v/>
      </c>
      <c r="BG15" s="13">
        <f>IF(COUNTIFS(T_SelfStock_Log[Part Name],$A15,T_SelfStock_Log[WeekIndex],58)=0,"",SUMIFS(T_SelfStock_Log[Self_Qty],T_SelfStock_Log[Part Name],$A15,T_SelfStock_Log[WeekIndex],58))</f>
        <v/>
      </c>
      <c r="BH15" s="13">
        <f>IF(COUNTIFS(T_SelfStock_Log[Part Name],$A15,T_SelfStock_Log[WeekIndex],59)=0,"",SUMIFS(T_SelfStock_Log[Self_Qty],T_SelfStock_Log[Part Name],$A15,T_SelfStock_Log[WeekIndex],59))</f>
        <v/>
      </c>
      <c r="BI15" s="13">
        <f>IF(COUNTIFS(T_SelfStock_Log[Part Name],$A15,T_SelfStock_Log[WeekIndex],60)=0,"",SUMIFS(T_SelfStock_Log[Self_Qty],T_SelfStock_Log[Part Name],$A15,T_SelfStock_Log[WeekIndex],60))</f>
        <v/>
      </c>
      <c r="BJ15" s="13">
        <f>IF(COUNTIFS(T_SelfStock_Log[Part Name],$A15,T_SelfStock_Log[WeekIndex],61)=0,"",SUMIFS(T_SelfStock_Log[Self_Qty],T_SelfStock_Log[Part Name],$A15,T_SelfStock_Log[WeekIndex],61))</f>
        <v/>
      </c>
      <c r="BK15" s="13">
        <f>IF(COUNTIFS(T_SelfStock_Log[Part Name],$A15,T_SelfStock_Log[WeekIndex],62)=0,"",SUMIFS(T_SelfStock_Log[Self_Qty],T_SelfStock_Log[Part Name],$A15,T_SelfStock_Log[WeekIndex],62))</f>
        <v/>
      </c>
      <c r="BL15" s="13">
        <f>IF(COUNTIFS(T_SelfStock_Log[Part Name],$A15,T_SelfStock_Log[WeekIndex],63)=0,"",SUMIFS(T_SelfStock_Log[Self_Qty],T_SelfStock_Log[Part Name],$A15,T_SelfStock_Log[WeekIndex],63))</f>
        <v/>
      </c>
      <c r="BM15" s="13">
        <f>IF(COUNTIFS(T_SelfStock_Log[Part Name],$A15,T_SelfStock_Log[WeekIndex],64)=0,"",SUMIFS(T_SelfStock_Log[Self_Qty],T_SelfStock_Log[Part Name],$A15,T_SelfStock_Log[WeekIndex],64))</f>
        <v/>
      </c>
      <c r="BN15" s="13">
        <f>IF(COUNTIFS(T_SelfStock_Log[Part Name],$A15,T_SelfStock_Log[WeekIndex],65)=0,"",SUMIFS(T_SelfStock_Log[Self_Qty],T_SelfStock_Log[Part Name],$A15,T_SelfStock_Log[WeekIndex],65))</f>
        <v/>
      </c>
      <c r="BO15" s="13">
        <f>IF(COUNTIFS(T_SelfStock_Log[Part Name],$A15,T_SelfStock_Log[WeekIndex],66)=0,"",SUMIFS(T_SelfStock_Log[Self_Qty],T_SelfStock_Log[Part Name],$A15,T_SelfStock_Log[WeekIndex],66))</f>
        <v/>
      </c>
      <c r="BP15" s="13">
        <f>IF(COUNTIFS(T_SelfStock_Log[Part Name],$A15,T_SelfStock_Log[WeekIndex],67)=0,"",SUMIFS(T_SelfStock_Log[Self_Qty],T_SelfStock_Log[Part Name],$A15,T_SelfStock_Log[WeekIndex],67))</f>
        <v/>
      </c>
      <c r="BQ15" s="13">
        <f>IF(COUNTIFS(T_SelfStock_Log[Part Name],$A15,T_SelfStock_Log[WeekIndex],68)=0,"",SUMIFS(T_SelfStock_Log[Self_Qty],T_SelfStock_Log[Part Name],$A15,T_SelfStock_Log[WeekIndex],68))</f>
        <v/>
      </c>
      <c r="BR15" s="13">
        <f>IF(COUNTIFS(T_SelfStock_Log[Part Name],$A15,T_SelfStock_Log[WeekIndex],69)=0,"",SUMIFS(T_SelfStock_Log[Self_Qty],T_SelfStock_Log[Part Name],$A15,T_SelfStock_Log[WeekIndex],69))</f>
        <v/>
      </c>
      <c r="BS15" s="13">
        <f>IF(COUNTIFS(T_SelfStock_Log[Part Name],$A15,T_SelfStock_Log[WeekIndex],70)=0,"",SUMIFS(T_SelfStock_Log[Self_Qty],T_SelfStock_Log[Part Name],$A15,T_SelfStock_Log[WeekIndex],70))</f>
        <v/>
      </c>
      <c r="BT15" s="13">
        <f>IF(COUNTIFS(T_SelfStock_Log[Part Name],$A15,T_SelfStock_Log[WeekIndex],71)=0,"",SUMIFS(T_SelfStock_Log[Self_Qty],T_SelfStock_Log[Part Name],$A15,T_SelfStock_Log[WeekIndex],71))</f>
        <v/>
      </c>
      <c r="BU15" s="13">
        <f>IF(COUNTIFS(T_SelfStock_Log[Part Name],$A15,T_SelfStock_Log[WeekIndex],72)=0,"",SUMIFS(T_SelfStock_Log[Self_Qty],T_SelfStock_Log[Part Name],$A15,T_SelfStock_Log[WeekIndex],72))</f>
        <v/>
      </c>
      <c r="BV15" s="13">
        <f>IF(COUNTIFS(T_SelfStock_Log[Part Name],$A15,T_SelfStock_Log[WeekIndex],73)=0,"",SUMIFS(T_SelfStock_Log[Self_Qty],T_SelfStock_Log[Part Name],$A15,T_SelfStock_Log[WeekIndex],73))</f>
        <v/>
      </c>
      <c r="BW15" s="13">
        <f>IF(COUNTIFS(T_SelfStock_Log[Part Name],$A15,T_SelfStock_Log[WeekIndex],74)=0,"",SUMIFS(T_SelfStock_Log[Self_Qty],T_SelfStock_Log[Part Name],$A15,T_SelfStock_Log[WeekIndex],74))</f>
        <v/>
      </c>
      <c r="BX15" s="13">
        <f>IF(COUNTIFS(T_SelfStock_Log[Part Name],$A15,T_SelfStock_Log[WeekIndex],75)=0,"",SUMIFS(T_SelfStock_Log[Self_Qty],T_SelfStock_Log[Part Name],$A15,T_SelfStock_Log[WeekIndex],75))</f>
        <v/>
      </c>
      <c r="BY15" s="13">
        <f>IF(COUNTIFS(T_SelfStock_Log[Part Name],$A15,T_SelfStock_Log[WeekIndex],76)=0,"",SUMIFS(T_SelfStock_Log[Self_Qty],T_SelfStock_Log[Part Name],$A15,T_SelfStock_Log[WeekIndex],76))</f>
        <v/>
      </c>
      <c r="BZ15" s="13">
        <f>IF(COUNTIFS(T_SelfStock_Log[Part Name],$A15,T_SelfStock_Log[WeekIndex],77)=0,"",SUMIFS(T_SelfStock_Log[Self_Qty],T_SelfStock_Log[Part Name],$A15,T_SelfStock_Log[WeekIndex],77))</f>
        <v/>
      </c>
      <c r="CA15" s="13">
        <f>IF(COUNTIFS(T_SelfStock_Log[Part Name],$A15,T_SelfStock_Log[WeekIndex],78)=0,"",SUMIFS(T_SelfStock_Log[Self_Qty],T_SelfStock_Log[Part Name],$A15,T_SelfStock_Log[WeekIndex],78))</f>
        <v/>
      </c>
      <c r="CB15" s="13">
        <f>IF(COUNTIFS(T_SelfStock_Log[Part Name],$A15,T_SelfStock_Log[WeekIndex],79)=0,"",SUMIFS(T_SelfStock_Log[Self_Qty],T_SelfStock_Log[Part Name],$A15,T_SelfStock_Log[WeekIndex],79))</f>
        <v/>
      </c>
      <c r="CC15" s="13">
        <f>IF(COUNTIFS(T_SelfStock_Log[Part Name],$A15,T_SelfStock_Log[WeekIndex],80)=0,"",SUMIFS(T_SelfStock_Log[Self_Qty],T_SelfStock_Log[Part Name],$A15,T_SelfStock_Log[WeekIndex],80))</f>
        <v/>
      </c>
      <c r="CD15" s="13">
        <f>IF(COUNTIFS(T_SelfStock_Log[Part Name],$A15,T_SelfStock_Log[WeekIndex],81)=0,"",SUMIFS(T_SelfStock_Log[Self_Qty],T_SelfStock_Log[Part Name],$A15,T_SelfStock_Log[WeekIndex],81))</f>
        <v/>
      </c>
      <c r="CE15" s="13">
        <f>IF(COUNTIFS(T_SelfStock_Log[Part Name],$A15,T_SelfStock_Log[WeekIndex],82)=0,"",SUMIFS(T_SelfStock_Log[Self_Qty],T_SelfStock_Log[Part Name],$A15,T_SelfStock_Log[WeekIndex],82))</f>
        <v/>
      </c>
      <c r="CF15" s="13">
        <f>IF(COUNTIFS(T_SelfStock_Log[Part Name],$A15,T_SelfStock_Log[WeekIndex],83)=0,"",SUMIFS(T_SelfStock_Log[Self_Qty],T_SelfStock_Log[Part Name],$A15,T_SelfStock_Log[WeekIndex],83))</f>
        <v/>
      </c>
      <c r="CG15" s="13">
        <f>IF(COUNTIFS(T_SelfStock_Log[Part Name],$A15,T_SelfStock_Log[WeekIndex],84)=0,"",SUMIFS(T_SelfStock_Log[Self_Qty],T_SelfStock_Log[Part Name],$A15,T_SelfStock_Log[WeekIndex],84))</f>
        <v/>
      </c>
      <c r="CH15" s="13">
        <f>IF(COUNTIFS(T_SelfStock_Log[Part Name],$A15,T_SelfStock_Log[WeekIndex],85)=0,"",SUMIFS(T_SelfStock_Log[Self_Qty],T_SelfStock_Log[Part Name],$A15,T_SelfStock_Log[WeekIndex],85))</f>
        <v/>
      </c>
      <c r="CI15" s="13">
        <f>IF(COUNTIFS(T_SelfStock_Log[Part Name],$A15,T_SelfStock_Log[WeekIndex],86)=0,"",SUMIFS(T_SelfStock_Log[Self_Qty],T_SelfStock_Log[Part Name],$A15,T_SelfStock_Log[WeekIndex],86))</f>
        <v/>
      </c>
      <c r="CJ15" s="13">
        <f>IF(COUNTIFS(T_SelfStock_Log[Part Name],$A15,T_SelfStock_Log[WeekIndex],87)=0,"",SUMIFS(T_SelfStock_Log[Self_Qty],T_SelfStock_Log[Part Name],$A15,T_SelfStock_Log[WeekIndex],87))</f>
        <v/>
      </c>
      <c r="CK15" s="13">
        <f>IF(COUNTIFS(T_SelfStock_Log[Part Name],$A15,T_SelfStock_Log[WeekIndex],88)=0,"",SUMIFS(T_SelfStock_Log[Self_Qty],T_SelfStock_Log[Part Name],$A15,T_SelfStock_Log[WeekIndex],88))</f>
        <v/>
      </c>
      <c r="CL15" s="13">
        <f>IF(COUNTIFS(T_SelfStock_Log[Part Name],$A15,T_SelfStock_Log[WeekIndex],89)=0,"",SUMIFS(T_SelfStock_Log[Self_Qty],T_SelfStock_Log[Part Name],$A15,T_SelfStock_Log[WeekIndex],89))</f>
        <v/>
      </c>
      <c r="CM15" s="13">
        <f>IF(COUNTIFS(T_SelfStock_Log[Part Name],$A15,T_SelfStock_Log[WeekIndex],90)=0,"",SUMIFS(T_SelfStock_Log[Self_Qty],T_SelfStock_Log[Part Name],$A15,T_SelfStock_Log[WeekIndex],90))</f>
        <v/>
      </c>
      <c r="CN15" s="13">
        <f>IF(COUNTIFS(T_SelfStock_Log[Part Name],$A15,T_SelfStock_Log[WeekIndex],91)=0,"",SUMIFS(T_SelfStock_Log[Self_Qty],T_SelfStock_Log[Part Name],$A15,T_SelfStock_Log[WeekIndex],91))</f>
        <v/>
      </c>
      <c r="CO15" s="13">
        <f>IF(COUNTIFS(T_SelfStock_Log[Part Name],$A15,T_SelfStock_Log[WeekIndex],92)=0,"",SUMIFS(T_SelfStock_Log[Self_Qty],T_SelfStock_Log[Part Name],$A15,T_SelfStock_Log[WeekIndex],92))</f>
        <v/>
      </c>
      <c r="CP15" s="13">
        <f>IF(COUNTIFS(T_SelfStock_Log[Part Name],$A15,T_SelfStock_Log[WeekIndex],93)=0,"",SUMIFS(T_SelfStock_Log[Self_Qty],T_SelfStock_Log[Part Name],$A15,T_SelfStock_Log[WeekIndex],93))</f>
        <v/>
      </c>
      <c r="CQ15" s="13">
        <f>IF(COUNTIFS(T_SelfStock_Log[Part Name],$A15,T_SelfStock_Log[WeekIndex],94)=0,"",SUMIFS(T_SelfStock_Log[Self_Qty],T_SelfStock_Log[Part Name],$A15,T_SelfStock_Log[WeekIndex],94))</f>
        <v/>
      </c>
      <c r="CR15" s="13">
        <f>IF(COUNTIFS(T_SelfStock_Log[Part Name],$A15,T_SelfStock_Log[WeekIndex],95)=0,"",SUMIFS(T_SelfStock_Log[Self_Qty],T_SelfStock_Log[Part Name],$A15,T_SelfStock_Log[WeekIndex],95))</f>
        <v/>
      </c>
      <c r="CS15" s="13">
        <f>IF(COUNTIFS(T_SelfStock_Log[Part Name],$A15,T_SelfStock_Log[WeekIndex],96)=0,"",SUMIFS(T_SelfStock_Log[Self_Qty],T_SelfStock_Log[Part Name],$A15,T_SelfStock_Log[WeekIndex],96))</f>
        <v/>
      </c>
      <c r="CT15" s="13">
        <f>IF(COUNTIFS(T_SelfStock_Log[Part Name],$A15,T_SelfStock_Log[WeekIndex],97)=0,"",SUMIFS(T_SelfStock_Log[Self_Qty],T_SelfStock_Log[Part Name],$A15,T_SelfStock_Log[WeekIndex],97))</f>
        <v/>
      </c>
      <c r="CU15" s="13">
        <f>IF(COUNTIFS(T_SelfStock_Log[Part Name],$A15,T_SelfStock_Log[WeekIndex],98)=0,"",SUMIFS(T_SelfStock_Log[Self_Qty],T_SelfStock_Log[Part Name],$A15,T_SelfStock_Log[WeekIndex],98))</f>
        <v/>
      </c>
      <c r="CV15" s="13">
        <f>IF(COUNTIFS(T_SelfStock_Log[Part Name],$A15,T_SelfStock_Log[WeekIndex],99)=0,"",SUMIFS(T_SelfStock_Log[Self_Qty],T_SelfStock_Log[Part Name],$A15,T_SelfStock_Log[WeekIndex],99))</f>
        <v/>
      </c>
      <c r="CW15" s="13">
        <f>IF(COUNTIFS(T_SelfStock_Log[Part Name],$A15,T_SelfStock_Log[WeekIndex],100)=0,"",SUMIFS(T_SelfStock_Log[Self_Qty],T_SelfStock_Log[Part Name],$A15,T_SelfStock_Log[WeekIndex],100))</f>
        <v/>
      </c>
      <c r="CX15" s="13">
        <f>IF(COUNTIFS(T_SelfStock_Log[Part Name],$A15,T_SelfStock_Log[WeekIndex],101)=0,"",SUMIFS(T_SelfStock_Log[Self_Qty],T_SelfStock_Log[Part Name],$A15,T_SelfStock_Log[WeekIndex],101))</f>
        <v/>
      </c>
      <c r="CY15" s="13">
        <f>IF(COUNTIFS(T_SelfStock_Log[Part Name],$A15,T_SelfStock_Log[WeekIndex],102)=0,"",SUMIFS(T_SelfStock_Log[Self_Qty],T_SelfStock_Log[Part Name],$A15,T_SelfStock_Log[WeekIndex],102))</f>
        <v/>
      </c>
      <c r="CZ15" s="13">
        <f>IF(COUNTIFS(T_SelfStock_Log[Part Name],$A15,T_SelfStock_Log[WeekIndex],103)=0,"",SUMIFS(T_SelfStock_Log[Self_Qty],T_SelfStock_Log[Part Name],$A15,T_SelfStock_Log[WeekIndex],103))</f>
        <v/>
      </c>
      <c r="DA15" s="13">
        <f>IF(COUNTIFS(T_SelfStock_Log[Part Name],$A15,T_SelfStock_Log[WeekIndex],104)=0,"",SUMIFS(T_SelfStock_Log[Self_Qty],T_SelfStock_Log[Part Name],$A15,T_SelfStock_Log[WeekIndex],104))</f>
        <v/>
      </c>
    </row>
    <row r="16">
      <c r="A16" s="12" t="inlineStr">
        <is>
          <t>1EK</t>
        </is>
      </c>
      <c r="B16" s="12">
        <f>IF(COUNTIFS(T_SelfStock_Log[Part Name],$A16,T_SelfStock_Log[WeekIndex],1)=0,"",SUMIFS(T_SelfStock_Log[Self_Qty],T_SelfStock_Log[Part Name],$A16,T_SelfStock_Log[WeekIndex],1))</f>
        <v/>
      </c>
      <c r="C16" s="12">
        <f>IF(COUNTIFS(T_SelfStock_Log[Part Name],$A16,T_SelfStock_Log[WeekIndex],2)=0,"",SUMIFS(T_SelfStock_Log[Self_Qty],T_SelfStock_Log[Part Name],$A16,T_SelfStock_Log[WeekIndex],2))</f>
        <v/>
      </c>
      <c r="D16" s="12">
        <f>IF(COUNTIFS(T_SelfStock_Log[Part Name],$A16,T_SelfStock_Log[WeekIndex],3)=0,"",SUMIFS(T_SelfStock_Log[Self_Qty],T_SelfStock_Log[Part Name],$A16,T_SelfStock_Log[WeekIndex],3))</f>
        <v/>
      </c>
      <c r="E16" s="12">
        <f>IF(COUNTIFS(T_SelfStock_Log[Part Name],$A16,T_SelfStock_Log[WeekIndex],4)=0,"",SUMIFS(T_SelfStock_Log[Self_Qty],T_SelfStock_Log[Part Name],$A16,T_SelfStock_Log[WeekIndex],4))</f>
        <v/>
      </c>
      <c r="F16" s="12">
        <f>IF(COUNTIFS(T_SelfStock_Log[Part Name],$A16,T_SelfStock_Log[WeekIndex],5)=0,"",SUMIFS(T_SelfStock_Log[Self_Qty],T_SelfStock_Log[Part Name],$A16,T_SelfStock_Log[WeekIndex],5))</f>
        <v/>
      </c>
      <c r="G16" s="12">
        <f>IF(COUNTIFS(T_SelfStock_Log[Part Name],$A16,T_SelfStock_Log[WeekIndex],6)=0,"",SUMIFS(T_SelfStock_Log[Self_Qty],T_SelfStock_Log[Part Name],$A16,T_SelfStock_Log[WeekIndex],6))</f>
        <v/>
      </c>
      <c r="H16" s="12">
        <f>IF(COUNTIFS(T_SelfStock_Log[Part Name],$A16,T_SelfStock_Log[WeekIndex],7)=0,"",SUMIFS(T_SelfStock_Log[Self_Qty],T_SelfStock_Log[Part Name],$A16,T_SelfStock_Log[WeekIndex],7))</f>
        <v/>
      </c>
      <c r="I16" s="12">
        <f>IF(COUNTIFS(T_SelfStock_Log[Part Name],$A16,T_SelfStock_Log[WeekIndex],8)=0,"",SUMIFS(T_SelfStock_Log[Self_Qty],T_SelfStock_Log[Part Name],$A16,T_SelfStock_Log[WeekIndex],8))</f>
        <v/>
      </c>
      <c r="J16" s="12">
        <f>IF(COUNTIFS(T_SelfStock_Log[Part Name],$A16,T_SelfStock_Log[WeekIndex],9)=0,"",SUMIFS(T_SelfStock_Log[Self_Qty],T_SelfStock_Log[Part Name],$A16,T_SelfStock_Log[WeekIndex],9))</f>
        <v/>
      </c>
      <c r="K16" s="12">
        <f>IF(COUNTIFS(T_SelfStock_Log[Part Name],$A16,T_SelfStock_Log[WeekIndex],10)=0,"",SUMIFS(T_SelfStock_Log[Self_Qty],T_SelfStock_Log[Part Name],$A16,T_SelfStock_Log[WeekIndex],10))</f>
        <v/>
      </c>
      <c r="L16" s="12">
        <f>IF(COUNTIFS(T_SelfStock_Log[Part Name],$A16,T_SelfStock_Log[WeekIndex],11)=0,"",SUMIFS(T_SelfStock_Log[Self_Qty],T_SelfStock_Log[Part Name],$A16,T_SelfStock_Log[WeekIndex],11))</f>
        <v/>
      </c>
      <c r="M16" s="12">
        <f>IF(COUNTIFS(T_SelfStock_Log[Part Name],$A16,T_SelfStock_Log[WeekIndex],12)=0,"",SUMIFS(T_SelfStock_Log[Self_Qty],T_SelfStock_Log[Part Name],$A16,T_SelfStock_Log[WeekIndex],12))</f>
        <v/>
      </c>
      <c r="N16" s="12">
        <f>IF(COUNTIFS(T_SelfStock_Log[Part Name],$A16,T_SelfStock_Log[WeekIndex],13)=0,"",SUMIFS(T_SelfStock_Log[Self_Qty],T_SelfStock_Log[Part Name],$A16,T_SelfStock_Log[WeekIndex],13))</f>
        <v/>
      </c>
      <c r="O16" s="12">
        <f>IF(COUNTIFS(T_SelfStock_Log[Part Name],$A16,T_SelfStock_Log[WeekIndex],14)=0,"",SUMIFS(T_SelfStock_Log[Self_Qty],T_SelfStock_Log[Part Name],$A16,T_SelfStock_Log[WeekIndex],14))</f>
        <v/>
      </c>
      <c r="P16" s="12">
        <f>IF(COUNTIFS(T_SelfStock_Log[Part Name],$A16,T_SelfStock_Log[WeekIndex],15)=0,"",SUMIFS(T_SelfStock_Log[Self_Qty],T_SelfStock_Log[Part Name],$A16,T_SelfStock_Log[WeekIndex],15))</f>
        <v/>
      </c>
      <c r="Q16" s="12">
        <f>IF(COUNTIFS(T_SelfStock_Log[Part Name],$A16,T_SelfStock_Log[WeekIndex],16)=0,"",SUMIFS(T_SelfStock_Log[Self_Qty],T_SelfStock_Log[Part Name],$A16,T_SelfStock_Log[WeekIndex],16))</f>
        <v/>
      </c>
      <c r="R16" s="12">
        <f>IF(COUNTIFS(T_SelfStock_Log[Part Name],$A16,T_SelfStock_Log[WeekIndex],17)=0,"",SUMIFS(T_SelfStock_Log[Self_Qty],T_SelfStock_Log[Part Name],$A16,T_SelfStock_Log[WeekIndex],17))</f>
        <v/>
      </c>
      <c r="S16" s="12">
        <f>IF(COUNTIFS(T_SelfStock_Log[Part Name],$A16,T_SelfStock_Log[WeekIndex],18)=0,"",SUMIFS(T_SelfStock_Log[Self_Qty],T_SelfStock_Log[Part Name],$A16,T_SelfStock_Log[WeekIndex],18))</f>
        <v/>
      </c>
      <c r="T16" s="12">
        <f>IF(COUNTIFS(T_SelfStock_Log[Part Name],$A16,T_SelfStock_Log[WeekIndex],19)=0,"",SUMIFS(T_SelfStock_Log[Self_Qty],T_SelfStock_Log[Part Name],$A16,T_SelfStock_Log[WeekIndex],19))</f>
        <v/>
      </c>
      <c r="U16" s="12">
        <f>IF(COUNTIFS(T_SelfStock_Log[Part Name],$A16,T_SelfStock_Log[WeekIndex],20)=0,"",SUMIFS(T_SelfStock_Log[Self_Qty],T_SelfStock_Log[Part Name],$A16,T_SelfStock_Log[WeekIndex],20))</f>
        <v/>
      </c>
      <c r="V16" s="12">
        <f>IF(COUNTIFS(T_SelfStock_Log[Part Name],$A16,T_SelfStock_Log[WeekIndex],21)=0,"",SUMIFS(T_SelfStock_Log[Self_Qty],T_SelfStock_Log[Part Name],$A16,T_SelfStock_Log[WeekIndex],21))</f>
        <v/>
      </c>
      <c r="W16" s="12">
        <f>IF(COUNTIFS(T_SelfStock_Log[Part Name],$A16,T_SelfStock_Log[WeekIndex],22)=0,"",SUMIFS(T_SelfStock_Log[Self_Qty],T_SelfStock_Log[Part Name],$A16,T_SelfStock_Log[WeekIndex],22))</f>
        <v/>
      </c>
      <c r="X16" s="12">
        <f>IF(COUNTIFS(T_SelfStock_Log[Part Name],$A16,T_SelfStock_Log[WeekIndex],23)=0,"",SUMIFS(T_SelfStock_Log[Self_Qty],T_SelfStock_Log[Part Name],$A16,T_SelfStock_Log[WeekIndex],23))</f>
        <v/>
      </c>
      <c r="Y16" s="12">
        <f>IF(COUNTIFS(T_SelfStock_Log[Part Name],$A16,T_SelfStock_Log[WeekIndex],24)=0,"",SUMIFS(T_SelfStock_Log[Self_Qty],T_SelfStock_Log[Part Name],$A16,T_SelfStock_Log[WeekIndex],24))</f>
        <v/>
      </c>
      <c r="Z16" s="12">
        <f>IF(COUNTIFS(T_SelfStock_Log[Part Name],$A16,T_SelfStock_Log[WeekIndex],25)=0,"",SUMIFS(T_SelfStock_Log[Self_Qty],T_SelfStock_Log[Part Name],$A16,T_SelfStock_Log[WeekIndex],25))</f>
        <v/>
      </c>
      <c r="AA16" s="12">
        <f>IF(COUNTIFS(T_SelfStock_Log[Part Name],$A16,T_SelfStock_Log[WeekIndex],26)=0,"",SUMIFS(T_SelfStock_Log[Self_Qty],T_SelfStock_Log[Part Name],$A16,T_SelfStock_Log[WeekIndex],26))</f>
        <v/>
      </c>
      <c r="AB16" s="12">
        <f>IF(COUNTIFS(T_SelfStock_Log[Part Name],$A16,T_SelfStock_Log[WeekIndex],27)=0,"",SUMIFS(T_SelfStock_Log[Self_Qty],T_SelfStock_Log[Part Name],$A16,T_SelfStock_Log[WeekIndex],27))</f>
        <v/>
      </c>
      <c r="AC16" s="12">
        <f>IF(COUNTIFS(T_SelfStock_Log[Part Name],$A16,T_SelfStock_Log[WeekIndex],28)=0,"",SUMIFS(T_SelfStock_Log[Self_Qty],T_SelfStock_Log[Part Name],$A16,T_SelfStock_Log[WeekIndex],28))</f>
        <v/>
      </c>
      <c r="AD16" s="12">
        <f>IF(COUNTIFS(T_SelfStock_Log[Part Name],$A16,T_SelfStock_Log[WeekIndex],29)=0,"",SUMIFS(T_SelfStock_Log[Self_Qty],T_SelfStock_Log[Part Name],$A16,T_SelfStock_Log[WeekIndex],29))</f>
        <v/>
      </c>
      <c r="AE16" s="12">
        <f>IF(COUNTIFS(T_SelfStock_Log[Part Name],$A16,T_SelfStock_Log[WeekIndex],30)=0,"",SUMIFS(T_SelfStock_Log[Self_Qty],T_SelfStock_Log[Part Name],$A16,T_SelfStock_Log[WeekIndex],30))</f>
        <v/>
      </c>
      <c r="AF16" s="12">
        <f>IF(COUNTIFS(T_SelfStock_Log[Part Name],$A16,T_SelfStock_Log[WeekIndex],31)=0,"",SUMIFS(T_SelfStock_Log[Self_Qty],T_SelfStock_Log[Part Name],$A16,T_SelfStock_Log[WeekIndex],31))</f>
        <v/>
      </c>
      <c r="AG16" s="12">
        <f>IF(COUNTIFS(T_SelfStock_Log[Part Name],$A16,T_SelfStock_Log[WeekIndex],32)=0,"",SUMIFS(T_SelfStock_Log[Self_Qty],T_SelfStock_Log[Part Name],$A16,T_SelfStock_Log[WeekIndex],32))</f>
        <v/>
      </c>
      <c r="AH16" s="12">
        <f>IF(COUNTIFS(T_SelfStock_Log[Part Name],$A16,T_SelfStock_Log[WeekIndex],33)=0,"",SUMIFS(T_SelfStock_Log[Self_Qty],T_SelfStock_Log[Part Name],$A16,T_SelfStock_Log[WeekIndex],33))</f>
        <v/>
      </c>
      <c r="AI16" s="12">
        <f>IF(COUNTIFS(T_SelfStock_Log[Part Name],$A16,T_SelfStock_Log[WeekIndex],34)=0,"",SUMIFS(T_SelfStock_Log[Self_Qty],T_SelfStock_Log[Part Name],$A16,T_SelfStock_Log[WeekIndex],34))</f>
        <v/>
      </c>
      <c r="AJ16" s="12">
        <f>IF(COUNTIFS(T_SelfStock_Log[Part Name],$A16,T_SelfStock_Log[WeekIndex],35)=0,"",SUMIFS(T_SelfStock_Log[Self_Qty],T_SelfStock_Log[Part Name],$A16,T_SelfStock_Log[WeekIndex],35))</f>
        <v/>
      </c>
      <c r="AK16" s="12">
        <f>IF(COUNTIFS(T_SelfStock_Log[Part Name],$A16,T_SelfStock_Log[WeekIndex],36)=0,"",SUMIFS(T_SelfStock_Log[Self_Qty],T_SelfStock_Log[Part Name],$A16,T_SelfStock_Log[WeekIndex],36))</f>
        <v/>
      </c>
      <c r="AL16" s="12">
        <f>IF(COUNTIFS(T_SelfStock_Log[Part Name],$A16,T_SelfStock_Log[WeekIndex],37)=0,"",SUMIFS(T_SelfStock_Log[Self_Qty],T_SelfStock_Log[Part Name],$A16,T_SelfStock_Log[WeekIndex],37))</f>
        <v/>
      </c>
      <c r="AM16" s="12">
        <f>IF(COUNTIFS(T_SelfStock_Log[Part Name],$A16,T_SelfStock_Log[WeekIndex],38)=0,"",SUMIFS(T_SelfStock_Log[Self_Qty],T_SelfStock_Log[Part Name],$A16,T_SelfStock_Log[WeekIndex],38))</f>
        <v/>
      </c>
      <c r="AN16" s="12">
        <f>IF(COUNTIFS(T_SelfStock_Log[Part Name],$A16,T_SelfStock_Log[WeekIndex],39)=0,"",SUMIFS(T_SelfStock_Log[Self_Qty],T_SelfStock_Log[Part Name],$A16,T_SelfStock_Log[WeekIndex],39))</f>
        <v/>
      </c>
      <c r="AO16" s="12">
        <f>IF(COUNTIFS(T_SelfStock_Log[Part Name],$A16,T_SelfStock_Log[WeekIndex],40)=0,"",SUMIFS(T_SelfStock_Log[Self_Qty],T_SelfStock_Log[Part Name],$A16,T_SelfStock_Log[WeekIndex],40))</f>
        <v/>
      </c>
      <c r="AP16" s="12">
        <f>IF(COUNTIFS(T_SelfStock_Log[Part Name],$A16,T_SelfStock_Log[WeekIndex],41)=0,"",SUMIFS(T_SelfStock_Log[Self_Qty],T_SelfStock_Log[Part Name],$A16,T_SelfStock_Log[WeekIndex],41))</f>
        <v/>
      </c>
      <c r="AQ16" s="12">
        <f>IF(COUNTIFS(T_SelfStock_Log[Part Name],$A16,T_SelfStock_Log[WeekIndex],42)=0,"",SUMIFS(T_SelfStock_Log[Self_Qty],T_SelfStock_Log[Part Name],$A16,T_SelfStock_Log[WeekIndex],42))</f>
        <v/>
      </c>
      <c r="AR16" s="12">
        <f>IF(COUNTIFS(T_SelfStock_Log[Part Name],$A16,T_SelfStock_Log[WeekIndex],43)=0,"",SUMIFS(T_SelfStock_Log[Self_Qty],T_SelfStock_Log[Part Name],$A16,T_SelfStock_Log[WeekIndex],43))</f>
        <v/>
      </c>
      <c r="AS16" s="12">
        <f>IF(COUNTIFS(T_SelfStock_Log[Part Name],$A16,T_SelfStock_Log[WeekIndex],44)=0,"",SUMIFS(T_SelfStock_Log[Self_Qty],T_SelfStock_Log[Part Name],$A16,T_SelfStock_Log[WeekIndex],44))</f>
        <v/>
      </c>
      <c r="AT16" s="12">
        <f>IF(COUNTIFS(T_SelfStock_Log[Part Name],$A16,T_SelfStock_Log[WeekIndex],45)=0,"",SUMIFS(T_SelfStock_Log[Self_Qty],T_SelfStock_Log[Part Name],$A16,T_SelfStock_Log[WeekIndex],45))</f>
        <v/>
      </c>
      <c r="AU16" s="12">
        <f>IF(COUNTIFS(T_SelfStock_Log[Part Name],$A16,T_SelfStock_Log[WeekIndex],46)=0,"",SUMIFS(T_SelfStock_Log[Self_Qty],T_SelfStock_Log[Part Name],$A16,T_SelfStock_Log[WeekIndex],46))</f>
        <v/>
      </c>
      <c r="AV16" s="12">
        <f>IF(COUNTIFS(T_SelfStock_Log[Part Name],$A16,T_SelfStock_Log[WeekIndex],47)=0,"",SUMIFS(T_SelfStock_Log[Self_Qty],T_SelfStock_Log[Part Name],$A16,T_SelfStock_Log[WeekIndex],47))</f>
        <v/>
      </c>
      <c r="AW16" s="12">
        <f>IF(COUNTIFS(T_SelfStock_Log[Part Name],$A16,T_SelfStock_Log[WeekIndex],48)=0,"",SUMIFS(T_SelfStock_Log[Self_Qty],T_SelfStock_Log[Part Name],$A16,T_SelfStock_Log[WeekIndex],48))</f>
        <v/>
      </c>
      <c r="AX16" s="12">
        <f>IF(COUNTIFS(T_SelfStock_Log[Part Name],$A16,T_SelfStock_Log[WeekIndex],49)=0,"",SUMIFS(T_SelfStock_Log[Self_Qty],T_SelfStock_Log[Part Name],$A16,T_SelfStock_Log[WeekIndex],49))</f>
        <v/>
      </c>
      <c r="AY16" s="12">
        <f>IF(COUNTIFS(T_SelfStock_Log[Part Name],$A16,T_SelfStock_Log[WeekIndex],50)=0,"",SUMIFS(T_SelfStock_Log[Self_Qty],T_SelfStock_Log[Part Name],$A16,T_SelfStock_Log[WeekIndex],50))</f>
        <v/>
      </c>
      <c r="AZ16" s="12">
        <f>IF(COUNTIFS(T_SelfStock_Log[Part Name],$A16,T_SelfStock_Log[WeekIndex],51)=0,"",SUMIFS(T_SelfStock_Log[Self_Qty],T_SelfStock_Log[Part Name],$A16,T_SelfStock_Log[WeekIndex],51))</f>
        <v/>
      </c>
      <c r="BA16" s="12">
        <f>IF(COUNTIFS(T_SelfStock_Log[Part Name],$A16,T_SelfStock_Log[WeekIndex],52)=0,"",SUMIFS(T_SelfStock_Log[Self_Qty],T_SelfStock_Log[Part Name],$A16,T_SelfStock_Log[WeekIndex],52))</f>
        <v/>
      </c>
      <c r="BB16" s="12">
        <f>IF(COUNTIFS(T_SelfStock_Log[Part Name],$A16,T_SelfStock_Log[WeekIndex],53)=0,"",SUMIFS(T_SelfStock_Log[Self_Qty],T_SelfStock_Log[Part Name],$A16,T_SelfStock_Log[WeekIndex],53))</f>
        <v/>
      </c>
      <c r="BC16" s="12">
        <f>IF(COUNTIFS(T_SelfStock_Log[Part Name],$A16,T_SelfStock_Log[WeekIndex],54)=0,"",SUMIFS(T_SelfStock_Log[Self_Qty],T_SelfStock_Log[Part Name],$A16,T_SelfStock_Log[WeekIndex],54))</f>
        <v/>
      </c>
      <c r="BD16" s="12">
        <f>IF(COUNTIFS(T_SelfStock_Log[Part Name],$A16,T_SelfStock_Log[WeekIndex],55)=0,"",SUMIFS(T_SelfStock_Log[Self_Qty],T_SelfStock_Log[Part Name],$A16,T_SelfStock_Log[WeekIndex],55))</f>
        <v/>
      </c>
      <c r="BE16" s="12">
        <f>IF(COUNTIFS(T_SelfStock_Log[Part Name],$A16,T_SelfStock_Log[WeekIndex],56)=0,"",SUMIFS(T_SelfStock_Log[Self_Qty],T_SelfStock_Log[Part Name],$A16,T_SelfStock_Log[WeekIndex],56))</f>
        <v/>
      </c>
      <c r="BF16" s="12">
        <f>IF(COUNTIFS(T_SelfStock_Log[Part Name],$A16,T_SelfStock_Log[WeekIndex],57)=0,"",SUMIFS(T_SelfStock_Log[Self_Qty],T_SelfStock_Log[Part Name],$A16,T_SelfStock_Log[WeekIndex],57))</f>
        <v/>
      </c>
      <c r="BG16" s="12">
        <f>IF(COUNTIFS(T_SelfStock_Log[Part Name],$A16,T_SelfStock_Log[WeekIndex],58)=0,"",SUMIFS(T_SelfStock_Log[Self_Qty],T_SelfStock_Log[Part Name],$A16,T_SelfStock_Log[WeekIndex],58))</f>
        <v/>
      </c>
      <c r="BH16" s="12">
        <f>IF(COUNTIFS(T_SelfStock_Log[Part Name],$A16,T_SelfStock_Log[WeekIndex],59)=0,"",SUMIFS(T_SelfStock_Log[Self_Qty],T_SelfStock_Log[Part Name],$A16,T_SelfStock_Log[WeekIndex],59))</f>
        <v/>
      </c>
      <c r="BI16" s="12">
        <f>IF(COUNTIFS(T_SelfStock_Log[Part Name],$A16,T_SelfStock_Log[WeekIndex],60)=0,"",SUMIFS(T_SelfStock_Log[Self_Qty],T_SelfStock_Log[Part Name],$A16,T_SelfStock_Log[WeekIndex],60))</f>
        <v/>
      </c>
      <c r="BJ16" s="12">
        <f>IF(COUNTIFS(T_SelfStock_Log[Part Name],$A16,T_SelfStock_Log[WeekIndex],61)=0,"",SUMIFS(T_SelfStock_Log[Self_Qty],T_SelfStock_Log[Part Name],$A16,T_SelfStock_Log[WeekIndex],61))</f>
        <v/>
      </c>
      <c r="BK16" s="12">
        <f>IF(COUNTIFS(T_SelfStock_Log[Part Name],$A16,T_SelfStock_Log[WeekIndex],62)=0,"",SUMIFS(T_SelfStock_Log[Self_Qty],T_SelfStock_Log[Part Name],$A16,T_SelfStock_Log[WeekIndex],62))</f>
        <v/>
      </c>
      <c r="BL16" s="12">
        <f>IF(COUNTIFS(T_SelfStock_Log[Part Name],$A16,T_SelfStock_Log[WeekIndex],63)=0,"",SUMIFS(T_SelfStock_Log[Self_Qty],T_SelfStock_Log[Part Name],$A16,T_SelfStock_Log[WeekIndex],63))</f>
        <v/>
      </c>
      <c r="BM16" s="12">
        <f>IF(COUNTIFS(T_SelfStock_Log[Part Name],$A16,T_SelfStock_Log[WeekIndex],64)=0,"",SUMIFS(T_SelfStock_Log[Self_Qty],T_SelfStock_Log[Part Name],$A16,T_SelfStock_Log[WeekIndex],64))</f>
        <v/>
      </c>
      <c r="BN16" s="12">
        <f>IF(COUNTIFS(T_SelfStock_Log[Part Name],$A16,T_SelfStock_Log[WeekIndex],65)=0,"",SUMIFS(T_SelfStock_Log[Self_Qty],T_SelfStock_Log[Part Name],$A16,T_SelfStock_Log[WeekIndex],65))</f>
        <v/>
      </c>
      <c r="BO16" s="12">
        <f>IF(COUNTIFS(T_SelfStock_Log[Part Name],$A16,T_SelfStock_Log[WeekIndex],66)=0,"",SUMIFS(T_SelfStock_Log[Self_Qty],T_SelfStock_Log[Part Name],$A16,T_SelfStock_Log[WeekIndex],66))</f>
        <v/>
      </c>
      <c r="BP16" s="12">
        <f>IF(COUNTIFS(T_SelfStock_Log[Part Name],$A16,T_SelfStock_Log[WeekIndex],67)=0,"",SUMIFS(T_SelfStock_Log[Self_Qty],T_SelfStock_Log[Part Name],$A16,T_SelfStock_Log[WeekIndex],67))</f>
        <v/>
      </c>
      <c r="BQ16" s="12">
        <f>IF(COUNTIFS(T_SelfStock_Log[Part Name],$A16,T_SelfStock_Log[WeekIndex],68)=0,"",SUMIFS(T_SelfStock_Log[Self_Qty],T_SelfStock_Log[Part Name],$A16,T_SelfStock_Log[WeekIndex],68))</f>
        <v/>
      </c>
      <c r="BR16" s="12">
        <f>IF(COUNTIFS(T_SelfStock_Log[Part Name],$A16,T_SelfStock_Log[WeekIndex],69)=0,"",SUMIFS(T_SelfStock_Log[Self_Qty],T_SelfStock_Log[Part Name],$A16,T_SelfStock_Log[WeekIndex],69))</f>
        <v/>
      </c>
      <c r="BS16" s="12">
        <f>IF(COUNTIFS(T_SelfStock_Log[Part Name],$A16,T_SelfStock_Log[WeekIndex],70)=0,"",SUMIFS(T_SelfStock_Log[Self_Qty],T_SelfStock_Log[Part Name],$A16,T_SelfStock_Log[WeekIndex],70))</f>
        <v/>
      </c>
      <c r="BT16" s="12">
        <f>IF(COUNTIFS(T_SelfStock_Log[Part Name],$A16,T_SelfStock_Log[WeekIndex],71)=0,"",SUMIFS(T_SelfStock_Log[Self_Qty],T_SelfStock_Log[Part Name],$A16,T_SelfStock_Log[WeekIndex],71))</f>
        <v/>
      </c>
      <c r="BU16" s="12">
        <f>IF(COUNTIFS(T_SelfStock_Log[Part Name],$A16,T_SelfStock_Log[WeekIndex],72)=0,"",SUMIFS(T_SelfStock_Log[Self_Qty],T_SelfStock_Log[Part Name],$A16,T_SelfStock_Log[WeekIndex],72))</f>
        <v/>
      </c>
      <c r="BV16" s="12">
        <f>IF(COUNTIFS(T_SelfStock_Log[Part Name],$A16,T_SelfStock_Log[WeekIndex],73)=0,"",SUMIFS(T_SelfStock_Log[Self_Qty],T_SelfStock_Log[Part Name],$A16,T_SelfStock_Log[WeekIndex],73))</f>
        <v/>
      </c>
      <c r="BW16" s="12">
        <f>IF(COUNTIFS(T_SelfStock_Log[Part Name],$A16,T_SelfStock_Log[WeekIndex],74)=0,"",SUMIFS(T_SelfStock_Log[Self_Qty],T_SelfStock_Log[Part Name],$A16,T_SelfStock_Log[WeekIndex],74))</f>
        <v/>
      </c>
      <c r="BX16" s="12">
        <f>IF(COUNTIFS(T_SelfStock_Log[Part Name],$A16,T_SelfStock_Log[WeekIndex],75)=0,"",SUMIFS(T_SelfStock_Log[Self_Qty],T_SelfStock_Log[Part Name],$A16,T_SelfStock_Log[WeekIndex],75))</f>
        <v/>
      </c>
      <c r="BY16" s="12">
        <f>IF(COUNTIFS(T_SelfStock_Log[Part Name],$A16,T_SelfStock_Log[WeekIndex],76)=0,"",SUMIFS(T_SelfStock_Log[Self_Qty],T_SelfStock_Log[Part Name],$A16,T_SelfStock_Log[WeekIndex],76))</f>
        <v/>
      </c>
      <c r="BZ16" s="12">
        <f>IF(COUNTIFS(T_SelfStock_Log[Part Name],$A16,T_SelfStock_Log[WeekIndex],77)=0,"",SUMIFS(T_SelfStock_Log[Self_Qty],T_SelfStock_Log[Part Name],$A16,T_SelfStock_Log[WeekIndex],77))</f>
        <v/>
      </c>
      <c r="CA16" s="12">
        <f>IF(COUNTIFS(T_SelfStock_Log[Part Name],$A16,T_SelfStock_Log[WeekIndex],78)=0,"",SUMIFS(T_SelfStock_Log[Self_Qty],T_SelfStock_Log[Part Name],$A16,T_SelfStock_Log[WeekIndex],78))</f>
        <v/>
      </c>
      <c r="CB16" s="12">
        <f>IF(COUNTIFS(T_SelfStock_Log[Part Name],$A16,T_SelfStock_Log[WeekIndex],79)=0,"",SUMIFS(T_SelfStock_Log[Self_Qty],T_SelfStock_Log[Part Name],$A16,T_SelfStock_Log[WeekIndex],79))</f>
        <v/>
      </c>
      <c r="CC16" s="12">
        <f>IF(COUNTIFS(T_SelfStock_Log[Part Name],$A16,T_SelfStock_Log[WeekIndex],80)=0,"",SUMIFS(T_SelfStock_Log[Self_Qty],T_SelfStock_Log[Part Name],$A16,T_SelfStock_Log[WeekIndex],80))</f>
        <v/>
      </c>
      <c r="CD16" s="12">
        <f>IF(COUNTIFS(T_SelfStock_Log[Part Name],$A16,T_SelfStock_Log[WeekIndex],81)=0,"",SUMIFS(T_SelfStock_Log[Self_Qty],T_SelfStock_Log[Part Name],$A16,T_SelfStock_Log[WeekIndex],81))</f>
        <v/>
      </c>
      <c r="CE16" s="12">
        <f>IF(COUNTIFS(T_SelfStock_Log[Part Name],$A16,T_SelfStock_Log[WeekIndex],82)=0,"",SUMIFS(T_SelfStock_Log[Self_Qty],T_SelfStock_Log[Part Name],$A16,T_SelfStock_Log[WeekIndex],82))</f>
        <v/>
      </c>
      <c r="CF16" s="12">
        <f>IF(COUNTIFS(T_SelfStock_Log[Part Name],$A16,T_SelfStock_Log[WeekIndex],83)=0,"",SUMIFS(T_SelfStock_Log[Self_Qty],T_SelfStock_Log[Part Name],$A16,T_SelfStock_Log[WeekIndex],83))</f>
        <v/>
      </c>
      <c r="CG16" s="12">
        <f>IF(COUNTIFS(T_SelfStock_Log[Part Name],$A16,T_SelfStock_Log[WeekIndex],84)=0,"",SUMIFS(T_SelfStock_Log[Self_Qty],T_SelfStock_Log[Part Name],$A16,T_SelfStock_Log[WeekIndex],84))</f>
        <v/>
      </c>
      <c r="CH16" s="12">
        <f>IF(COUNTIFS(T_SelfStock_Log[Part Name],$A16,T_SelfStock_Log[WeekIndex],85)=0,"",SUMIFS(T_SelfStock_Log[Self_Qty],T_SelfStock_Log[Part Name],$A16,T_SelfStock_Log[WeekIndex],85))</f>
        <v/>
      </c>
      <c r="CI16" s="12">
        <f>IF(COUNTIFS(T_SelfStock_Log[Part Name],$A16,T_SelfStock_Log[WeekIndex],86)=0,"",SUMIFS(T_SelfStock_Log[Self_Qty],T_SelfStock_Log[Part Name],$A16,T_SelfStock_Log[WeekIndex],86))</f>
        <v/>
      </c>
      <c r="CJ16" s="12">
        <f>IF(COUNTIFS(T_SelfStock_Log[Part Name],$A16,T_SelfStock_Log[WeekIndex],87)=0,"",SUMIFS(T_SelfStock_Log[Self_Qty],T_SelfStock_Log[Part Name],$A16,T_SelfStock_Log[WeekIndex],87))</f>
        <v/>
      </c>
      <c r="CK16" s="12">
        <f>IF(COUNTIFS(T_SelfStock_Log[Part Name],$A16,T_SelfStock_Log[WeekIndex],88)=0,"",SUMIFS(T_SelfStock_Log[Self_Qty],T_SelfStock_Log[Part Name],$A16,T_SelfStock_Log[WeekIndex],88))</f>
        <v/>
      </c>
      <c r="CL16" s="12">
        <f>IF(COUNTIFS(T_SelfStock_Log[Part Name],$A16,T_SelfStock_Log[WeekIndex],89)=0,"",SUMIFS(T_SelfStock_Log[Self_Qty],T_SelfStock_Log[Part Name],$A16,T_SelfStock_Log[WeekIndex],89))</f>
        <v/>
      </c>
      <c r="CM16" s="12">
        <f>IF(COUNTIFS(T_SelfStock_Log[Part Name],$A16,T_SelfStock_Log[WeekIndex],90)=0,"",SUMIFS(T_SelfStock_Log[Self_Qty],T_SelfStock_Log[Part Name],$A16,T_SelfStock_Log[WeekIndex],90))</f>
        <v/>
      </c>
      <c r="CN16" s="12">
        <f>IF(COUNTIFS(T_SelfStock_Log[Part Name],$A16,T_SelfStock_Log[WeekIndex],91)=0,"",SUMIFS(T_SelfStock_Log[Self_Qty],T_SelfStock_Log[Part Name],$A16,T_SelfStock_Log[WeekIndex],91))</f>
        <v/>
      </c>
      <c r="CO16" s="12">
        <f>IF(COUNTIFS(T_SelfStock_Log[Part Name],$A16,T_SelfStock_Log[WeekIndex],92)=0,"",SUMIFS(T_SelfStock_Log[Self_Qty],T_SelfStock_Log[Part Name],$A16,T_SelfStock_Log[WeekIndex],92))</f>
        <v/>
      </c>
      <c r="CP16" s="12">
        <f>IF(COUNTIFS(T_SelfStock_Log[Part Name],$A16,T_SelfStock_Log[WeekIndex],93)=0,"",SUMIFS(T_SelfStock_Log[Self_Qty],T_SelfStock_Log[Part Name],$A16,T_SelfStock_Log[WeekIndex],93))</f>
        <v/>
      </c>
      <c r="CQ16" s="12">
        <f>IF(COUNTIFS(T_SelfStock_Log[Part Name],$A16,T_SelfStock_Log[WeekIndex],94)=0,"",SUMIFS(T_SelfStock_Log[Self_Qty],T_SelfStock_Log[Part Name],$A16,T_SelfStock_Log[WeekIndex],94))</f>
        <v/>
      </c>
      <c r="CR16" s="12">
        <f>IF(COUNTIFS(T_SelfStock_Log[Part Name],$A16,T_SelfStock_Log[WeekIndex],95)=0,"",SUMIFS(T_SelfStock_Log[Self_Qty],T_SelfStock_Log[Part Name],$A16,T_SelfStock_Log[WeekIndex],95))</f>
        <v/>
      </c>
      <c r="CS16" s="12">
        <f>IF(COUNTIFS(T_SelfStock_Log[Part Name],$A16,T_SelfStock_Log[WeekIndex],96)=0,"",SUMIFS(T_SelfStock_Log[Self_Qty],T_SelfStock_Log[Part Name],$A16,T_SelfStock_Log[WeekIndex],96))</f>
        <v/>
      </c>
      <c r="CT16" s="12">
        <f>IF(COUNTIFS(T_SelfStock_Log[Part Name],$A16,T_SelfStock_Log[WeekIndex],97)=0,"",SUMIFS(T_SelfStock_Log[Self_Qty],T_SelfStock_Log[Part Name],$A16,T_SelfStock_Log[WeekIndex],97))</f>
        <v/>
      </c>
      <c r="CU16" s="12">
        <f>IF(COUNTIFS(T_SelfStock_Log[Part Name],$A16,T_SelfStock_Log[WeekIndex],98)=0,"",SUMIFS(T_SelfStock_Log[Self_Qty],T_SelfStock_Log[Part Name],$A16,T_SelfStock_Log[WeekIndex],98))</f>
        <v/>
      </c>
      <c r="CV16" s="12">
        <f>IF(COUNTIFS(T_SelfStock_Log[Part Name],$A16,T_SelfStock_Log[WeekIndex],99)=0,"",SUMIFS(T_SelfStock_Log[Self_Qty],T_SelfStock_Log[Part Name],$A16,T_SelfStock_Log[WeekIndex],99))</f>
        <v/>
      </c>
      <c r="CW16" s="12">
        <f>IF(COUNTIFS(T_SelfStock_Log[Part Name],$A16,T_SelfStock_Log[WeekIndex],100)=0,"",SUMIFS(T_SelfStock_Log[Self_Qty],T_SelfStock_Log[Part Name],$A16,T_SelfStock_Log[WeekIndex],100))</f>
        <v/>
      </c>
      <c r="CX16" s="12">
        <f>IF(COUNTIFS(T_SelfStock_Log[Part Name],$A16,T_SelfStock_Log[WeekIndex],101)=0,"",SUMIFS(T_SelfStock_Log[Self_Qty],T_SelfStock_Log[Part Name],$A16,T_SelfStock_Log[WeekIndex],101))</f>
        <v/>
      </c>
      <c r="CY16" s="12">
        <f>IF(COUNTIFS(T_SelfStock_Log[Part Name],$A16,T_SelfStock_Log[WeekIndex],102)=0,"",SUMIFS(T_SelfStock_Log[Self_Qty],T_SelfStock_Log[Part Name],$A16,T_SelfStock_Log[WeekIndex],102))</f>
        <v/>
      </c>
      <c r="CZ16" s="12">
        <f>IF(COUNTIFS(T_SelfStock_Log[Part Name],$A16,T_SelfStock_Log[WeekIndex],103)=0,"",SUMIFS(T_SelfStock_Log[Self_Qty],T_SelfStock_Log[Part Name],$A16,T_SelfStock_Log[WeekIndex],103))</f>
        <v/>
      </c>
      <c r="DA16" s="12">
        <f>IF(COUNTIFS(T_SelfStock_Log[Part Name],$A16,T_SelfStock_Log[WeekIndex],104)=0,"",SUMIFS(T_SelfStock_Log[Self_Qty],T_SelfStock_Log[Part Name],$A16,T_SelfStock_Log[WeekIndex],104))</f>
        <v/>
      </c>
    </row>
    <row r="17">
      <c r="A17" s="13" t="inlineStr">
        <is>
          <t>7CL</t>
        </is>
      </c>
      <c r="B17" s="13">
        <f>IF(COUNTIFS(T_SelfStock_Log[Part Name],$A17,T_SelfStock_Log[WeekIndex],1)=0,"",SUMIFS(T_SelfStock_Log[Self_Qty],T_SelfStock_Log[Part Name],$A17,T_SelfStock_Log[WeekIndex],1))</f>
        <v/>
      </c>
      <c r="C17" s="13">
        <f>IF(COUNTIFS(T_SelfStock_Log[Part Name],$A17,T_SelfStock_Log[WeekIndex],2)=0,"",SUMIFS(T_SelfStock_Log[Self_Qty],T_SelfStock_Log[Part Name],$A17,T_SelfStock_Log[WeekIndex],2))</f>
        <v/>
      </c>
      <c r="D17" s="13">
        <f>IF(COUNTIFS(T_SelfStock_Log[Part Name],$A17,T_SelfStock_Log[WeekIndex],3)=0,"",SUMIFS(T_SelfStock_Log[Self_Qty],T_SelfStock_Log[Part Name],$A17,T_SelfStock_Log[WeekIndex],3))</f>
        <v/>
      </c>
      <c r="E17" s="13">
        <f>IF(COUNTIFS(T_SelfStock_Log[Part Name],$A17,T_SelfStock_Log[WeekIndex],4)=0,"",SUMIFS(T_SelfStock_Log[Self_Qty],T_SelfStock_Log[Part Name],$A17,T_SelfStock_Log[WeekIndex],4))</f>
        <v/>
      </c>
      <c r="F17" s="13">
        <f>IF(COUNTIFS(T_SelfStock_Log[Part Name],$A17,T_SelfStock_Log[WeekIndex],5)=0,"",SUMIFS(T_SelfStock_Log[Self_Qty],T_SelfStock_Log[Part Name],$A17,T_SelfStock_Log[WeekIndex],5))</f>
        <v/>
      </c>
      <c r="G17" s="13">
        <f>IF(COUNTIFS(T_SelfStock_Log[Part Name],$A17,T_SelfStock_Log[WeekIndex],6)=0,"",SUMIFS(T_SelfStock_Log[Self_Qty],T_SelfStock_Log[Part Name],$A17,T_SelfStock_Log[WeekIndex],6))</f>
        <v/>
      </c>
      <c r="H17" s="13">
        <f>IF(COUNTIFS(T_SelfStock_Log[Part Name],$A17,T_SelfStock_Log[WeekIndex],7)=0,"",SUMIFS(T_SelfStock_Log[Self_Qty],T_SelfStock_Log[Part Name],$A17,T_SelfStock_Log[WeekIndex],7))</f>
        <v/>
      </c>
      <c r="I17" s="13">
        <f>IF(COUNTIFS(T_SelfStock_Log[Part Name],$A17,T_SelfStock_Log[WeekIndex],8)=0,"",SUMIFS(T_SelfStock_Log[Self_Qty],T_SelfStock_Log[Part Name],$A17,T_SelfStock_Log[WeekIndex],8))</f>
        <v/>
      </c>
      <c r="J17" s="13">
        <f>IF(COUNTIFS(T_SelfStock_Log[Part Name],$A17,T_SelfStock_Log[WeekIndex],9)=0,"",SUMIFS(T_SelfStock_Log[Self_Qty],T_SelfStock_Log[Part Name],$A17,T_SelfStock_Log[WeekIndex],9))</f>
        <v/>
      </c>
      <c r="K17" s="13">
        <f>IF(COUNTIFS(T_SelfStock_Log[Part Name],$A17,T_SelfStock_Log[WeekIndex],10)=0,"",SUMIFS(T_SelfStock_Log[Self_Qty],T_SelfStock_Log[Part Name],$A17,T_SelfStock_Log[WeekIndex],10))</f>
        <v/>
      </c>
      <c r="L17" s="13">
        <f>IF(COUNTIFS(T_SelfStock_Log[Part Name],$A17,T_SelfStock_Log[WeekIndex],11)=0,"",SUMIFS(T_SelfStock_Log[Self_Qty],T_SelfStock_Log[Part Name],$A17,T_SelfStock_Log[WeekIndex],11))</f>
        <v/>
      </c>
      <c r="M17" s="13">
        <f>IF(COUNTIFS(T_SelfStock_Log[Part Name],$A17,T_SelfStock_Log[WeekIndex],12)=0,"",SUMIFS(T_SelfStock_Log[Self_Qty],T_SelfStock_Log[Part Name],$A17,T_SelfStock_Log[WeekIndex],12))</f>
        <v/>
      </c>
      <c r="N17" s="13">
        <f>IF(COUNTIFS(T_SelfStock_Log[Part Name],$A17,T_SelfStock_Log[WeekIndex],13)=0,"",SUMIFS(T_SelfStock_Log[Self_Qty],T_SelfStock_Log[Part Name],$A17,T_SelfStock_Log[WeekIndex],13))</f>
        <v/>
      </c>
      <c r="O17" s="13">
        <f>IF(COUNTIFS(T_SelfStock_Log[Part Name],$A17,T_SelfStock_Log[WeekIndex],14)=0,"",SUMIFS(T_SelfStock_Log[Self_Qty],T_SelfStock_Log[Part Name],$A17,T_SelfStock_Log[WeekIndex],14))</f>
        <v/>
      </c>
      <c r="P17" s="13">
        <f>IF(COUNTIFS(T_SelfStock_Log[Part Name],$A17,T_SelfStock_Log[WeekIndex],15)=0,"",SUMIFS(T_SelfStock_Log[Self_Qty],T_SelfStock_Log[Part Name],$A17,T_SelfStock_Log[WeekIndex],15))</f>
        <v/>
      </c>
      <c r="Q17" s="13">
        <f>IF(COUNTIFS(T_SelfStock_Log[Part Name],$A17,T_SelfStock_Log[WeekIndex],16)=0,"",SUMIFS(T_SelfStock_Log[Self_Qty],T_SelfStock_Log[Part Name],$A17,T_SelfStock_Log[WeekIndex],16))</f>
        <v/>
      </c>
      <c r="R17" s="13">
        <f>IF(COUNTIFS(T_SelfStock_Log[Part Name],$A17,T_SelfStock_Log[WeekIndex],17)=0,"",SUMIFS(T_SelfStock_Log[Self_Qty],T_SelfStock_Log[Part Name],$A17,T_SelfStock_Log[WeekIndex],17))</f>
        <v/>
      </c>
      <c r="S17" s="13">
        <f>IF(COUNTIFS(T_SelfStock_Log[Part Name],$A17,T_SelfStock_Log[WeekIndex],18)=0,"",SUMIFS(T_SelfStock_Log[Self_Qty],T_SelfStock_Log[Part Name],$A17,T_SelfStock_Log[WeekIndex],18))</f>
        <v/>
      </c>
      <c r="T17" s="13">
        <f>IF(COUNTIFS(T_SelfStock_Log[Part Name],$A17,T_SelfStock_Log[WeekIndex],19)=0,"",SUMIFS(T_SelfStock_Log[Self_Qty],T_SelfStock_Log[Part Name],$A17,T_SelfStock_Log[WeekIndex],19))</f>
        <v/>
      </c>
      <c r="U17" s="13">
        <f>IF(COUNTIFS(T_SelfStock_Log[Part Name],$A17,T_SelfStock_Log[WeekIndex],20)=0,"",SUMIFS(T_SelfStock_Log[Self_Qty],T_SelfStock_Log[Part Name],$A17,T_SelfStock_Log[WeekIndex],20))</f>
        <v/>
      </c>
      <c r="V17" s="13">
        <f>IF(COUNTIFS(T_SelfStock_Log[Part Name],$A17,T_SelfStock_Log[WeekIndex],21)=0,"",SUMIFS(T_SelfStock_Log[Self_Qty],T_SelfStock_Log[Part Name],$A17,T_SelfStock_Log[WeekIndex],21))</f>
        <v/>
      </c>
      <c r="W17" s="13">
        <f>IF(COUNTIFS(T_SelfStock_Log[Part Name],$A17,T_SelfStock_Log[WeekIndex],22)=0,"",SUMIFS(T_SelfStock_Log[Self_Qty],T_SelfStock_Log[Part Name],$A17,T_SelfStock_Log[WeekIndex],22))</f>
        <v/>
      </c>
      <c r="X17" s="13">
        <f>IF(COUNTIFS(T_SelfStock_Log[Part Name],$A17,T_SelfStock_Log[WeekIndex],23)=0,"",SUMIFS(T_SelfStock_Log[Self_Qty],T_SelfStock_Log[Part Name],$A17,T_SelfStock_Log[WeekIndex],23))</f>
        <v/>
      </c>
      <c r="Y17" s="13">
        <f>IF(COUNTIFS(T_SelfStock_Log[Part Name],$A17,T_SelfStock_Log[WeekIndex],24)=0,"",SUMIFS(T_SelfStock_Log[Self_Qty],T_SelfStock_Log[Part Name],$A17,T_SelfStock_Log[WeekIndex],24))</f>
        <v/>
      </c>
      <c r="Z17" s="13">
        <f>IF(COUNTIFS(T_SelfStock_Log[Part Name],$A17,T_SelfStock_Log[WeekIndex],25)=0,"",SUMIFS(T_SelfStock_Log[Self_Qty],T_SelfStock_Log[Part Name],$A17,T_SelfStock_Log[WeekIndex],25))</f>
        <v/>
      </c>
      <c r="AA17" s="13">
        <f>IF(COUNTIFS(T_SelfStock_Log[Part Name],$A17,T_SelfStock_Log[WeekIndex],26)=0,"",SUMIFS(T_SelfStock_Log[Self_Qty],T_SelfStock_Log[Part Name],$A17,T_SelfStock_Log[WeekIndex],26))</f>
        <v/>
      </c>
      <c r="AB17" s="13">
        <f>IF(COUNTIFS(T_SelfStock_Log[Part Name],$A17,T_SelfStock_Log[WeekIndex],27)=0,"",SUMIFS(T_SelfStock_Log[Self_Qty],T_SelfStock_Log[Part Name],$A17,T_SelfStock_Log[WeekIndex],27))</f>
        <v/>
      </c>
      <c r="AC17" s="13">
        <f>IF(COUNTIFS(T_SelfStock_Log[Part Name],$A17,T_SelfStock_Log[WeekIndex],28)=0,"",SUMIFS(T_SelfStock_Log[Self_Qty],T_SelfStock_Log[Part Name],$A17,T_SelfStock_Log[WeekIndex],28))</f>
        <v/>
      </c>
      <c r="AD17" s="13">
        <f>IF(COUNTIFS(T_SelfStock_Log[Part Name],$A17,T_SelfStock_Log[WeekIndex],29)=0,"",SUMIFS(T_SelfStock_Log[Self_Qty],T_SelfStock_Log[Part Name],$A17,T_SelfStock_Log[WeekIndex],29))</f>
        <v/>
      </c>
      <c r="AE17" s="13">
        <f>IF(COUNTIFS(T_SelfStock_Log[Part Name],$A17,T_SelfStock_Log[WeekIndex],30)=0,"",SUMIFS(T_SelfStock_Log[Self_Qty],T_SelfStock_Log[Part Name],$A17,T_SelfStock_Log[WeekIndex],30))</f>
        <v/>
      </c>
      <c r="AF17" s="13">
        <f>IF(COUNTIFS(T_SelfStock_Log[Part Name],$A17,T_SelfStock_Log[WeekIndex],31)=0,"",SUMIFS(T_SelfStock_Log[Self_Qty],T_SelfStock_Log[Part Name],$A17,T_SelfStock_Log[WeekIndex],31))</f>
        <v/>
      </c>
      <c r="AG17" s="13">
        <f>IF(COUNTIFS(T_SelfStock_Log[Part Name],$A17,T_SelfStock_Log[WeekIndex],32)=0,"",SUMIFS(T_SelfStock_Log[Self_Qty],T_SelfStock_Log[Part Name],$A17,T_SelfStock_Log[WeekIndex],32))</f>
        <v/>
      </c>
      <c r="AH17" s="13">
        <f>IF(COUNTIFS(T_SelfStock_Log[Part Name],$A17,T_SelfStock_Log[WeekIndex],33)=0,"",SUMIFS(T_SelfStock_Log[Self_Qty],T_SelfStock_Log[Part Name],$A17,T_SelfStock_Log[WeekIndex],33))</f>
        <v/>
      </c>
      <c r="AI17" s="13">
        <f>IF(COUNTIFS(T_SelfStock_Log[Part Name],$A17,T_SelfStock_Log[WeekIndex],34)=0,"",SUMIFS(T_SelfStock_Log[Self_Qty],T_SelfStock_Log[Part Name],$A17,T_SelfStock_Log[WeekIndex],34))</f>
        <v/>
      </c>
      <c r="AJ17" s="13">
        <f>IF(COUNTIFS(T_SelfStock_Log[Part Name],$A17,T_SelfStock_Log[WeekIndex],35)=0,"",SUMIFS(T_SelfStock_Log[Self_Qty],T_SelfStock_Log[Part Name],$A17,T_SelfStock_Log[WeekIndex],35))</f>
        <v/>
      </c>
      <c r="AK17" s="13">
        <f>IF(COUNTIFS(T_SelfStock_Log[Part Name],$A17,T_SelfStock_Log[WeekIndex],36)=0,"",SUMIFS(T_SelfStock_Log[Self_Qty],T_SelfStock_Log[Part Name],$A17,T_SelfStock_Log[WeekIndex],36))</f>
        <v/>
      </c>
      <c r="AL17" s="13">
        <f>IF(COUNTIFS(T_SelfStock_Log[Part Name],$A17,T_SelfStock_Log[WeekIndex],37)=0,"",SUMIFS(T_SelfStock_Log[Self_Qty],T_SelfStock_Log[Part Name],$A17,T_SelfStock_Log[WeekIndex],37))</f>
        <v/>
      </c>
      <c r="AM17" s="13">
        <f>IF(COUNTIFS(T_SelfStock_Log[Part Name],$A17,T_SelfStock_Log[WeekIndex],38)=0,"",SUMIFS(T_SelfStock_Log[Self_Qty],T_SelfStock_Log[Part Name],$A17,T_SelfStock_Log[WeekIndex],38))</f>
        <v/>
      </c>
      <c r="AN17" s="13">
        <f>IF(COUNTIFS(T_SelfStock_Log[Part Name],$A17,T_SelfStock_Log[WeekIndex],39)=0,"",SUMIFS(T_SelfStock_Log[Self_Qty],T_SelfStock_Log[Part Name],$A17,T_SelfStock_Log[WeekIndex],39))</f>
        <v/>
      </c>
      <c r="AO17" s="13">
        <f>IF(COUNTIFS(T_SelfStock_Log[Part Name],$A17,T_SelfStock_Log[WeekIndex],40)=0,"",SUMIFS(T_SelfStock_Log[Self_Qty],T_SelfStock_Log[Part Name],$A17,T_SelfStock_Log[WeekIndex],40))</f>
        <v/>
      </c>
      <c r="AP17" s="13">
        <f>IF(COUNTIFS(T_SelfStock_Log[Part Name],$A17,T_SelfStock_Log[WeekIndex],41)=0,"",SUMIFS(T_SelfStock_Log[Self_Qty],T_SelfStock_Log[Part Name],$A17,T_SelfStock_Log[WeekIndex],41))</f>
        <v/>
      </c>
      <c r="AQ17" s="13">
        <f>IF(COUNTIFS(T_SelfStock_Log[Part Name],$A17,T_SelfStock_Log[WeekIndex],42)=0,"",SUMIFS(T_SelfStock_Log[Self_Qty],T_SelfStock_Log[Part Name],$A17,T_SelfStock_Log[WeekIndex],42))</f>
        <v/>
      </c>
      <c r="AR17" s="13">
        <f>IF(COUNTIFS(T_SelfStock_Log[Part Name],$A17,T_SelfStock_Log[WeekIndex],43)=0,"",SUMIFS(T_SelfStock_Log[Self_Qty],T_SelfStock_Log[Part Name],$A17,T_SelfStock_Log[WeekIndex],43))</f>
        <v/>
      </c>
      <c r="AS17" s="13">
        <f>IF(COUNTIFS(T_SelfStock_Log[Part Name],$A17,T_SelfStock_Log[WeekIndex],44)=0,"",SUMIFS(T_SelfStock_Log[Self_Qty],T_SelfStock_Log[Part Name],$A17,T_SelfStock_Log[WeekIndex],44))</f>
        <v/>
      </c>
      <c r="AT17" s="13">
        <f>IF(COUNTIFS(T_SelfStock_Log[Part Name],$A17,T_SelfStock_Log[WeekIndex],45)=0,"",SUMIFS(T_SelfStock_Log[Self_Qty],T_SelfStock_Log[Part Name],$A17,T_SelfStock_Log[WeekIndex],45))</f>
        <v/>
      </c>
      <c r="AU17" s="13">
        <f>IF(COUNTIFS(T_SelfStock_Log[Part Name],$A17,T_SelfStock_Log[WeekIndex],46)=0,"",SUMIFS(T_SelfStock_Log[Self_Qty],T_SelfStock_Log[Part Name],$A17,T_SelfStock_Log[WeekIndex],46))</f>
        <v/>
      </c>
      <c r="AV17" s="13">
        <f>IF(COUNTIFS(T_SelfStock_Log[Part Name],$A17,T_SelfStock_Log[WeekIndex],47)=0,"",SUMIFS(T_SelfStock_Log[Self_Qty],T_SelfStock_Log[Part Name],$A17,T_SelfStock_Log[WeekIndex],47))</f>
        <v/>
      </c>
      <c r="AW17" s="13">
        <f>IF(COUNTIFS(T_SelfStock_Log[Part Name],$A17,T_SelfStock_Log[WeekIndex],48)=0,"",SUMIFS(T_SelfStock_Log[Self_Qty],T_SelfStock_Log[Part Name],$A17,T_SelfStock_Log[WeekIndex],48))</f>
        <v/>
      </c>
      <c r="AX17" s="13">
        <f>IF(COUNTIFS(T_SelfStock_Log[Part Name],$A17,T_SelfStock_Log[WeekIndex],49)=0,"",SUMIFS(T_SelfStock_Log[Self_Qty],T_SelfStock_Log[Part Name],$A17,T_SelfStock_Log[WeekIndex],49))</f>
        <v/>
      </c>
      <c r="AY17" s="13">
        <f>IF(COUNTIFS(T_SelfStock_Log[Part Name],$A17,T_SelfStock_Log[WeekIndex],50)=0,"",SUMIFS(T_SelfStock_Log[Self_Qty],T_SelfStock_Log[Part Name],$A17,T_SelfStock_Log[WeekIndex],50))</f>
        <v/>
      </c>
      <c r="AZ17" s="13">
        <f>IF(COUNTIFS(T_SelfStock_Log[Part Name],$A17,T_SelfStock_Log[WeekIndex],51)=0,"",SUMIFS(T_SelfStock_Log[Self_Qty],T_SelfStock_Log[Part Name],$A17,T_SelfStock_Log[WeekIndex],51))</f>
        <v/>
      </c>
      <c r="BA17" s="13">
        <f>IF(COUNTIFS(T_SelfStock_Log[Part Name],$A17,T_SelfStock_Log[WeekIndex],52)=0,"",SUMIFS(T_SelfStock_Log[Self_Qty],T_SelfStock_Log[Part Name],$A17,T_SelfStock_Log[WeekIndex],52))</f>
        <v/>
      </c>
      <c r="BB17" s="13">
        <f>IF(COUNTIFS(T_SelfStock_Log[Part Name],$A17,T_SelfStock_Log[WeekIndex],53)=0,"",SUMIFS(T_SelfStock_Log[Self_Qty],T_SelfStock_Log[Part Name],$A17,T_SelfStock_Log[WeekIndex],53))</f>
        <v/>
      </c>
      <c r="BC17" s="13">
        <f>IF(COUNTIFS(T_SelfStock_Log[Part Name],$A17,T_SelfStock_Log[WeekIndex],54)=0,"",SUMIFS(T_SelfStock_Log[Self_Qty],T_SelfStock_Log[Part Name],$A17,T_SelfStock_Log[WeekIndex],54))</f>
        <v/>
      </c>
      <c r="BD17" s="13">
        <f>IF(COUNTIFS(T_SelfStock_Log[Part Name],$A17,T_SelfStock_Log[WeekIndex],55)=0,"",SUMIFS(T_SelfStock_Log[Self_Qty],T_SelfStock_Log[Part Name],$A17,T_SelfStock_Log[WeekIndex],55))</f>
        <v/>
      </c>
      <c r="BE17" s="13">
        <f>IF(COUNTIFS(T_SelfStock_Log[Part Name],$A17,T_SelfStock_Log[WeekIndex],56)=0,"",SUMIFS(T_SelfStock_Log[Self_Qty],T_SelfStock_Log[Part Name],$A17,T_SelfStock_Log[WeekIndex],56))</f>
        <v/>
      </c>
      <c r="BF17" s="13">
        <f>IF(COUNTIFS(T_SelfStock_Log[Part Name],$A17,T_SelfStock_Log[WeekIndex],57)=0,"",SUMIFS(T_SelfStock_Log[Self_Qty],T_SelfStock_Log[Part Name],$A17,T_SelfStock_Log[WeekIndex],57))</f>
        <v/>
      </c>
      <c r="BG17" s="13">
        <f>IF(COUNTIFS(T_SelfStock_Log[Part Name],$A17,T_SelfStock_Log[WeekIndex],58)=0,"",SUMIFS(T_SelfStock_Log[Self_Qty],T_SelfStock_Log[Part Name],$A17,T_SelfStock_Log[WeekIndex],58))</f>
        <v/>
      </c>
      <c r="BH17" s="13">
        <f>IF(COUNTIFS(T_SelfStock_Log[Part Name],$A17,T_SelfStock_Log[WeekIndex],59)=0,"",SUMIFS(T_SelfStock_Log[Self_Qty],T_SelfStock_Log[Part Name],$A17,T_SelfStock_Log[WeekIndex],59))</f>
        <v/>
      </c>
      <c r="BI17" s="13">
        <f>IF(COUNTIFS(T_SelfStock_Log[Part Name],$A17,T_SelfStock_Log[WeekIndex],60)=0,"",SUMIFS(T_SelfStock_Log[Self_Qty],T_SelfStock_Log[Part Name],$A17,T_SelfStock_Log[WeekIndex],60))</f>
        <v/>
      </c>
      <c r="BJ17" s="13">
        <f>IF(COUNTIFS(T_SelfStock_Log[Part Name],$A17,T_SelfStock_Log[WeekIndex],61)=0,"",SUMIFS(T_SelfStock_Log[Self_Qty],T_SelfStock_Log[Part Name],$A17,T_SelfStock_Log[WeekIndex],61))</f>
        <v/>
      </c>
      <c r="BK17" s="13">
        <f>IF(COUNTIFS(T_SelfStock_Log[Part Name],$A17,T_SelfStock_Log[WeekIndex],62)=0,"",SUMIFS(T_SelfStock_Log[Self_Qty],T_SelfStock_Log[Part Name],$A17,T_SelfStock_Log[WeekIndex],62))</f>
        <v/>
      </c>
      <c r="BL17" s="13">
        <f>IF(COUNTIFS(T_SelfStock_Log[Part Name],$A17,T_SelfStock_Log[WeekIndex],63)=0,"",SUMIFS(T_SelfStock_Log[Self_Qty],T_SelfStock_Log[Part Name],$A17,T_SelfStock_Log[WeekIndex],63))</f>
        <v/>
      </c>
      <c r="BM17" s="13">
        <f>IF(COUNTIFS(T_SelfStock_Log[Part Name],$A17,T_SelfStock_Log[WeekIndex],64)=0,"",SUMIFS(T_SelfStock_Log[Self_Qty],T_SelfStock_Log[Part Name],$A17,T_SelfStock_Log[WeekIndex],64))</f>
        <v/>
      </c>
      <c r="BN17" s="13">
        <f>IF(COUNTIFS(T_SelfStock_Log[Part Name],$A17,T_SelfStock_Log[WeekIndex],65)=0,"",SUMIFS(T_SelfStock_Log[Self_Qty],T_SelfStock_Log[Part Name],$A17,T_SelfStock_Log[WeekIndex],65))</f>
        <v/>
      </c>
      <c r="BO17" s="13">
        <f>IF(COUNTIFS(T_SelfStock_Log[Part Name],$A17,T_SelfStock_Log[WeekIndex],66)=0,"",SUMIFS(T_SelfStock_Log[Self_Qty],T_SelfStock_Log[Part Name],$A17,T_SelfStock_Log[WeekIndex],66))</f>
        <v/>
      </c>
      <c r="BP17" s="13">
        <f>IF(COUNTIFS(T_SelfStock_Log[Part Name],$A17,T_SelfStock_Log[WeekIndex],67)=0,"",SUMIFS(T_SelfStock_Log[Self_Qty],T_SelfStock_Log[Part Name],$A17,T_SelfStock_Log[WeekIndex],67))</f>
        <v/>
      </c>
      <c r="BQ17" s="13">
        <f>IF(COUNTIFS(T_SelfStock_Log[Part Name],$A17,T_SelfStock_Log[WeekIndex],68)=0,"",SUMIFS(T_SelfStock_Log[Self_Qty],T_SelfStock_Log[Part Name],$A17,T_SelfStock_Log[WeekIndex],68))</f>
        <v/>
      </c>
      <c r="BR17" s="13">
        <f>IF(COUNTIFS(T_SelfStock_Log[Part Name],$A17,T_SelfStock_Log[WeekIndex],69)=0,"",SUMIFS(T_SelfStock_Log[Self_Qty],T_SelfStock_Log[Part Name],$A17,T_SelfStock_Log[WeekIndex],69))</f>
        <v/>
      </c>
      <c r="BS17" s="13">
        <f>IF(COUNTIFS(T_SelfStock_Log[Part Name],$A17,T_SelfStock_Log[WeekIndex],70)=0,"",SUMIFS(T_SelfStock_Log[Self_Qty],T_SelfStock_Log[Part Name],$A17,T_SelfStock_Log[WeekIndex],70))</f>
        <v/>
      </c>
      <c r="BT17" s="13">
        <f>IF(COUNTIFS(T_SelfStock_Log[Part Name],$A17,T_SelfStock_Log[WeekIndex],71)=0,"",SUMIFS(T_SelfStock_Log[Self_Qty],T_SelfStock_Log[Part Name],$A17,T_SelfStock_Log[WeekIndex],71))</f>
        <v/>
      </c>
      <c r="BU17" s="13">
        <f>IF(COUNTIFS(T_SelfStock_Log[Part Name],$A17,T_SelfStock_Log[WeekIndex],72)=0,"",SUMIFS(T_SelfStock_Log[Self_Qty],T_SelfStock_Log[Part Name],$A17,T_SelfStock_Log[WeekIndex],72))</f>
        <v/>
      </c>
      <c r="BV17" s="13">
        <f>IF(COUNTIFS(T_SelfStock_Log[Part Name],$A17,T_SelfStock_Log[WeekIndex],73)=0,"",SUMIFS(T_SelfStock_Log[Self_Qty],T_SelfStock_Log[Part Name],$A17,T_SelfStock_Log[WeekIndex],73))</f>
        <v/>
      </c>
      <c r="BW17" s="13">
        <f>IF(COUNTIFS(T_SelfStock_Log[Part Name],$A17,T_SelfStock_Log[WeekIndex],74)=0,"",SUMIFS(T_SelfStock_Log[Self_Qty],T_SelfStock_Log[Part Name],$A17,T_SelfStock_Log[WeekIndex],74))</f>
        <v/>
      </c>
      <c r="BX17" s="13">
        <f>IF(COUNTIFS(T_SelfStock_Log[Part Name],$A17,T_SelfStock_Log[WeekIndex],75)=0,"",SUMIFS(T_SelfStock_Log[Self_Qty],T_SelfStock_Log[Part Name],$A17,T_SelfStock_Log[WeekIndex],75))</f>
        <v/>
      </c>
      <c r="BY17" s="13">
        <f>IF(COUNTIFS(T_SelfStock_Log[Part Name],$A17,T_SelfStock_Log[WeekIndex],76)=0,"",SUMIFS(T_SelfStock_Log[Self_Qty],T_SelfStock_Log[Part Name],$A17,T_SelfStock_Log[WeekIndex],76))</f>
        <v/>
      </c>
      <c r="BZ17" s="13">
        <f>IF(COUNTIFS(T_SelfStock_Log[Part Name],$A17,T_SelfStock_Log[WeekIndex],77)=0,"",SUMIFS(T_SelfStock_Log[Self_Qty],T_SelfStock_Log[Part Name],$A17,T_SelfStock_Log[WeekIndex],77))</f>
        <v/>
      </c>
      <c r="CA17" s="13">
        <f>IF(COUNTIFS(T_SelfStock_Log[Part Name],$A17,T_SelfStock_Log[WeekIndex],78)=0,"",SUMIFS(T_SelfStock_Log[Self_Qty],T_SelfStock_Log[Part Name],$A17,T_SelfStock_Log[WeekIndex],78))</f>
        <v/>
      </c>
      <c r="CB17" s="13">
        <f>IF(COUNTIFS(T_SelfStock_Log[Part Name],$A17,T_SelfStock_Log[WeekIndex],79)=0,"",SUMIFS(T_SelfStock_Log[Self_Qty],T_SelfStock_Log[Part Name],$A17,T_SelfStock_Log[WeekIndex],79))</f>
        <v/>
      </c>
      <c r="CC17" s="13">
        <f>IF(COUNTIFS(T_SelfStock_Log[Part Name],$A17,T_SelfStock_Log[WeekIndex],80)=0,"",SUMIFS(T_SelfStock_Log[Self_Qty],T_SelfStock_Log[Part Name],$A17,T_SelfStock_Log[WeekIndex],80))</f>
        <v/>
      </c>
      <c r="CD17" s="13">
        <f>IF(COUNTIFS(T_SelfStock_Log[Part Name],$A17,T_SelfStock_Log[WeekIndex],81)=0,"",SUMIFS(T_SelfStock_Log[Self_Qty],T_SelfStock_Log[Part Name],$A17,T_SelfStock_Log[WeekIndex],81))</f>
        <v/>
      </c>
      <c r="CE17" s="13">
        <f>IF(COUNTIFS(T_SelfStock_Log[Part Name],$A17,T_SelfStock_Log[WeekIndex],82)=0,"",SUMIFS(T_SelfStock_Log[Self_Qty],T_SelfStock_Log[Part Name],$A17,T_SelfStock_Log[WeekIndex],82))</f>
        <v/>
      </c>
      <c r="CF17" s="13">
        <f>IF(COUNTIFS(T_SelfStock_Log[Part Name],$A17,T_SelfStock_Log[WeekIndex],83)=0,"",SUMIFS(T_SelfStock_Log[Self_Qty],T_SelfStock_Log[Part Name],$A17,T_SelfStock_Log[WeekIndex],83))</f>
        <v/>
      </c>
      <c r="CG17" s="13">
        <f>IF(COUNTIFS(T_SelfStock_Log[Part Name],$A17,T_SelfStock_Log[WeekIndex],84)=0,"",SUMIFS(T_SelfStock_Log[Self_Qty],T_SelfStock_Log[Part Name],$A17,T_SelfStock_Log[WeekIndex],84))</f>
        <v/>
      </c>
      <c r="CH17" s="13">
        <f>IF(COUNTIFS(T_SelfStock_Log[Part Name],$A17,T_SelfStock_Log[WeekIndex],85)=0,"",SUMIFS(T_SelfStock_Log[Self_Qty],T_SelfStock_Log[Part Name],$A17,T_SelfStock_Log[WeekIndex],85))</f>
        <v/>
      </c>
      <c r="CI17" s="13">
        <f>IF(COUNTIFS(T_SelfStock_Log[Part Name],$A17,T_SelfStock_Log[WeekIndex],86)=0,"",SUMIFS(T_SelfStock_Log[Self_Qty],T_SelfStock_Log[Part Name],$A17,T_SelfStock_Log[WeekIndex],86))</f>
        <v/>
      </c>
      <c r="CJ17" s="13">
        <f>IF(COUNTIFS(T_SelfStock_Log[Part Name],$A17,T_SelfStock_Log[WeekIndex],87)=0,"",SUMIFS(T_SelfStock_Log[Self_Qty],T_SelfStock_Log[Part Name],$A17,T_SelfStock_Log[WeekIndex],87))</f>
        <v/>
      </c>
      <c r="CK17" s="13">
        <f>IF(COUNTIFS(T_SelfStock_Log[Part Name],$A17,T_SelfStock_Log[WeekIndex],88)=0,"",SUMIFS(T_SelfStock_Log[Self_Qty],T_SelfStock_Log[Part Name],$A17,T_SelfStock_Log[WeekIndex],88))</f>
        <v/>
      </c>
      <c r="CL17" s="13">
        <f>IF(COUNTIFS(T_SelfStock_Log[Part Name],$A17,T_SelfStock_Log[WeekIndex],89)=0,"",SUMIFS(T_SelfStock_Log[Self_Qty],T_SelfStock_Log[Part Name],$A17,T_SelfStock_Log[WeekIndex],89))</f>
        <v/>
      </c>
      <c r="CM17" s="13">
        <f>IF(COUNTIFS(T_SelfStock_Log[Part Name],$A17,T_SelfStock_Log[WeekIndex],90)=0,"",SUMIFS(T_SelfStock_Log[Self_Qty],T_SelfStock_Log[Part Name],$A17,T_SelfStock_Log[WeekIndex],90))</f>
        <v/>
      </c>
      <c r="CN17" s="13">
        <f>IF(COUNTIFS(T_SelfStock_Log[Part Name],$A17,T_SelfStock_Log[WeekIndex],91)=0,"",SUMIFS(T_SelfStock_Log[Self_Qty],T_SelfStock_Log[Part Name],$A17,T_SelfStock_Log[WeekIndex],91))</f>
        <v/>
      </c>
      <c r="CO17" s="13">
        <f>IF(COUNTIFS(T_SelfStock_Log[Part Name],$A17,T_SelfStock_Log[WeekIndex],92)=0,"",SUMIFS(T_SelfStock_Log[Self_Qty],T_SelfStock_Log[Part Name],$A17,T_SelfStock_Log[WeekIndex],92))</f>
        <v/>
      </c>
      <c r="CP17" s="13">
        <f>IF(COUNTIFS(T_SelfStock_Log[Part Name],$A17,T_SelfStock_Log[WeekIndex],93)=0,"",SUMIFS(T_SelfStock_Log[Self_Qty],T_SelfStock_Log[Part Name],$A17,T_SelfStock_Log[WeekIndex],93))</f>
        <v/>
      </c>
      <c r="CQ17" s="13">
        <f>IF(COUNTIFS(T_SelfStock_Log[Part Name],$A17,T_SelfStock_Log[WeekIndex],94)=0,"",SUMIFS(T_SelfStock_Log[Self_Qty],T_SelfStock_Log[Part Name],$A17,T_SelfStock_Log[WeekIndex],94))</f>
        <v/>
      </c>
      <c r="CR17" s="13">
        <f>IF(COUNTIFS(T_SelfStock_Log[Part Name],$A17,T_SelfStock_Log[WeekIndex],95)=0,"",SUMIFS(T_SelfStock_Log[Self_Qty],T_SelfStock_Log[Part Name],$A17,T_SelfStock_Log[WeekIndex],95))</f>
        <v/>
      </c>
      <c r="CS17" s="13">
        <f>IF(COUNTIFS(T_SelfStock_Log[Part Name],$A17,T_SelfStock_Log[WeekIndex],96)=0,"",SUMIFS(T_SelfStock_Log[Self_Qty],T_SelfStock_Log[Part Name],$A17,T_SelfStock_Log[WeekIndex],96))</f>
        <v/>
      </c>
      <c r="CT17" s="13">
        <f>IF(COUNTIFS(T_SelfStock_Log[Part Name],$A17,T_SelfStock_Log[WeekIndex],97)=0,"",SUMIFS(T_SelfStock_Log[Self_Qty],T_SelfStock_Log[Part Name],$A17,T_SelfStock_Log[WeekIndex],97))</f>
        <v/>
      </c>
      <c r="CU17" s="13">
        <f>IF(COUNTIFS(T_SelfStock_Log[Part Name],$A17,T_SelfStock_Log[WeekIndex],98)=0,"",SUMIFS(T_SelfStock_Log[Self_Qty],T_SelfStock_Log[Part Name],$A17,T_SelfStock_Log[WeekIndex],98))</f>
        <v/>
      </c>
      <c r="CV17" s="13">
        <f>IF(COUNTIFS(T_SelfStock_Log[Part Name],$A17,T_SelfStock_Log[WeekIndex],99)=0,"",SUMIFS(T_SelfStock_Log[Self_Qty],T_SelfStock_Log[Part Name],$A17,T_SelfStock_Log[WeekIndex],99))</f>
        <v/>
      </c>
      <c r="CW17" s="13">
        <f>IF(COUNTIFS(T_SelfStock_Log[Part Name],$A17,T_SelfStock_Log[WeekIndex],100)=0,"",SUMIFS(T_SelfStock_Log[Self_Qty],T_SelfStock_Log[Part Name],$A17,T_SelfStock_Log[WeekIndex],100))</f>
        <v/>
      </c>
      <c r="CX17" s="13">
        <f>IF(COUNTIFS(T_SelfStock_Log[Part Name],$A17,T_SelfStock_Log[WeekIndex],101)=0,"",SUMIFS(T_SelfStock_Log[Self_Qty],T_SelfStock_Log[Part Name],$A17,T_SelfStock_Log[WeekIndex],101))</f>
        <v/>
      </c>
      <c r="CY17" s="13">
        <f>IF(COUNTIFS(T_SelfStock_Log[Part Name],$A17,T_SelfStock_Log[WeekIndex],102)=0,"",SUMIFS(T_SelfStock_Log[Self_Qty],T_SelfStock_Log[Part Name],$A17,T_SelfStock_Log[WeekIndex],102))</f>
        <v/>
      </c>
      <c r="CZ17" s="13">
        <f>IF(COUNTIFS(T_SelfStock_Log[Part Name],$A17,T_SelfStock_Log[WeekIndex],103)=0,"",SUMIFS(T_SelfStock_Log[Self_Qty],T_SelfStock_Log[Part Name],$A17,T_SelfStock_Log[WeekIndex],103))</f>
        <v/>
      </c>
      <c r="DA17" s="13">
        <f>IF(COUNTIFS(T_SelfStock_Log[Part Name],$A17,T_SelfStock_Log[WeekIndex],104)=0,"",SUMIFS(T_SelfStock_Log[Self_Qty],T_SelfStock_Log[Part Name],$A17,T_SelfStock_Log[WeekIndex],104))</f>
        <v/>
      </c>
    </row>
    <row r="18">
      <c r="A18" s="12" t="inlineStr">
        <is>
          <t>9RN</t>
        </is>
      </c>
      <c r="B18" s="12">
        <f>IF(COUNTIFS(T_SelfStock_Log[Part Name],$A18,T_SelfStock_Log[WeekIndex],1)=0,"",SUMIFS(T_SelfStock_Log[Self_Qty],T_SelfStock_Log[Part Name],$A18,T_SelfStock_Log[WeekIndex],1))</f>
        <v/>
      </c>
      <c r="C18" s="12">
        <f>IF(COUNTIFS(T_SelfStock_Log[Part Name],$A18,T_SelfStock_Log[WeekIndex],2)=0,"",SUMIFS(T_SelfStock_Log[Self_Qty],T_SelfStock_Log[Part Name],$A18,T_SelfStock_Log[WeekIndex],2))</f>
        <v/>
      </c>
      <c r="D18" s="12">
        <f>IF(COUNTIFS(T_SelfStock_Log[Part Name],$A18,T_SelfStock_Log[WeekIndex],3)=0,"",SUMIFS(T_SelfStock_Log[Self_Qty],T_SelfStock_Log[Part Name],$A18,T_SelfStock_Log[WeekIndex],3))</f>
        <v/>
      </c>
      <c r="E18" s="12">
        <f>IF(COUNTIFS(T_SelfStock_Log[Part Name],$A18,T_SelfStock_Log[WeekIndex],4)=0,"",SUMIFS(T_SelfStock_Log[Self_Qty],T_SelfStock_Log[Part Name],$A18,T_SelfStock_Log[WeekIndex],4))</f>
        <v/>
      </c>
      <c r="F18" s="12">
        <f>IF(COUNTIFS(T_SelfStock_Log[Part Name],$A18,T_SelfStock_Log[WeekIndex],5)=0,"",SUMIFS(T_SelfStock_Log[Self_Qty],T_SelfStock_Log[Part Name],$A18,T_SelfStock_Log[WeekIndex],5))</f>
        <v/>
      </c>
      <c r="G18" s="12">
        <f>IF(COUNTIFS(T_SelfStock_Log[Part Name],$A18,T_SelfStock_Log[WeekIndex],6)=0,"",SUMIFS(T_SelfStock_Log[Self_Qty],T_SelfStock_Log[Part Name],$A18,T_SelfStock_Log[WeekIndex],6))</f>
        <v/>
      </c>
      <c r="H18" s="12">
        <f>IF(COUNTIFS(T_SelfStock_Log[Part Name],$A18,T_SelfStock_Log[WeekIndex],7)=0,"",SUMIFS(T_SelfStock_Log[Self_Qty],T_SelfStock_Log[Part Name],$A18,T_SelfStock_Log[WeekIndex],7))</f>
        <v/>
      </c>
      <c r="I18" s="12">
        <f>IF(COUNTIFS(T_SelfStock_Log[Part Name],$A18,T_SelfStock_Log[WeekIndex],8)=0,"",SUMIFS(T_SelfStock_Log[Self_Qty],T_SelfStock_Log[Part Name],$A18,T_SelfStock_Log[WeekIndex],8))</f>
        <v/>
      </c>
      <c r="J18" s="12">
        <f>IF(COUNTIFS(T_SelfStock_Log[Part Name],$A18,T_SelfStock_Log[WeekIndex],9)=0,"",SUMIFS(T_SelfStock_Log[Self_Qty],T_SelfStock_Log[Part Name],$A18,T_SelfStock_Log[WeekIndex],9))</f>
        <v/>
      </c>
      <c r="K18" s="12">
        <f>IF(COUNTIFS(T_SelfStock_Log[Part Name],$A18,T_SelfStock_Log[WeekIndex],10)=0,"",SUMIFS(T_SelfStock_Log[Self_Qty],T_SelfStock_Log[Part Name],$A18,T_SelfStock_Log[WeekIndex],10))</f>
        <v/>
      </c>
      <c r="L18" s="12">
        <f>IF(COUNTIFS(T_SelfStock_Log[Part Name],$A18,T_SelfStock_Log[WeekIndex],11)=0,"",SUMIFS(T_SelfStock_Log[Self_Qty],T_SelfStock_Log[Part Name],$A18,T_SelfStock_Log[WeekIndex],11))</f>
        <v/>
      </c>
      <c r="M18" s="12">
        <f>IF(COUNTIFS(T_SelfStock_Log[Part Name],$A18,T_SelfStock_Log[WeekIndex],12)=0,"",SUMIFS(T_SelfStock_Log[Self_Qty],T_SelfStock_Log[Part Name],$A18,T_SelfStock_Log[WeekIndex],12))</f>
        <v/>
      </c>
      <c r="N18" s="12">
        <f>IF(COUNTIFS(T_SelfStock_Log[Part Name],$A18,T_SelfStock_Log[WeekIndex],13)=0,"",SUMIFS(T_SelfStock_Log[Self_Qty],T_SelfStock_Log[Part Name],$A18,T_SelfStock_Log[WeekIndex],13))</f>
        <v/>
      </c>
      <c r="O18" s="12">
        <f>IF(COUNTIFS(T_SelfStock_Log[Part Name],$A18,T_SelfStock_Log[WeekIndex],14)=0,"",SUMIFS(T_SelfStock_Log[Self_Qty],T_SelfStock_Log[Part Name],$A18,T_SelfStock_Log[WeekIndex],14))</f>
        <v/>
      </c>
      <c r="P18" s="12">
        <f>IF(COUNTIFS(T_SelfStock_Log[Part Name],$A18,T_SelfStock_Log[WeekIndex],15)=0,"",SUMIFS(T_SelfStock_Log[Self_Qty],T_SelfStock_Log[Part Name],$A18,T_SelfStock_Log[WeekIndex],15))</f>
        <v/>
      </c>
      <c r="Q18" s="12">
        <f>IF(COUNTIFS(T_SelfStock_Log[Part Name],$A18,T_SelfStock_Log[WeekIndex],16)=0,"",SUMIFS(T_SelfStock_Log[Self_Qty],T_SelfStock_Log[Part Name],$A18,T_SelfStock_Log[WeekIndex],16))</f>
        <v/>
      </c>
      <c r="R18" s="12">
        <f>IF(COUNTIFS(T_SelfStock_Log[Part Name],$A18,T_SelfStock_Log[WeekIndex],17)=0,"",SUMIFS(T_SelfStock_Log[Self_Qty],T_SelfStock_Log[Part Name],$A18,T_SelfStock_Log[WeekIndex],17))</f>
        <v/>
      </c>
      <c r="S18" s="12">
        <f>IF(COUNTIFS(T_SelfStock_Log[Part Name],$A18,T_SelfStock_Log[WeekIndex],18)=0,"",SUMIFS(T_SelfStock_Log[Self_Qty],T_SelfStock_Log[Part Name],$A18,T_SelfStock_Log[WeekIndex],18))</f>
        <v/>
      </c>
      <c r="T18" s="12">
        <f>IF(COUNTIFS(T_SelfStock_Log[Part Name],$A18,T_SelfStock_Log[WeekIndex],19)=0,"",SUMIFS(T_SelfStock_Log[Self_Qty],T_SelfStock_Log[Part Name],$A18,T_SelfStock_Log[WeekIndex],19))</f>
        <v/>
      </c>
      <c r="U18" s="12">
        <f>IF(COUNTIFS(T_SelfStock_Log[Part Name],$A18,T_SelfStock_Log[WeekIndex],20)=0,"",SUMIFS(T_SelfStock_Log[Self_Qty],T_SelfStock_Log[Part Name],$A18,T_SelfStock_Log[WeekIndex],20))</f>
        <v/>
      </c>
      <c r="V18" s="12">
        <f>IF(COUNTIFS(T_SelfStock_Log[Part Name],$A18,T_SelfStock_Log[WeekIndex],21)=0,"",SUMIFS(T_SelfStock_Log[Self_Qty],T_SelfStock_Log[Part Name],$A18,T_SelfStock_Log[WeekIndex],21))</f>
        <v/>
      </c>
      <c r="W18" s="12">
        <f>IF(COUNTIFS(T_SelfStock_Log[Part Name],$A18,T_SelfStock_Log[WeekIndex],22)=0,"",SUMIFS(T_SelfStock_Log[Self_Qty],T_SelfStock_Log[Part Name],$A18,T_SelfStock_Log[WeekIndex],22))</f>
        <v/>
      </c>
      <c r="X18" s="12">
        <f>IF(COUNTIFS(T_SelfStock_Log[Part Name],$A18,T_SelfStock_Log[WeekIndex],23)=0,"",SUMIFS(T_SelfStock_Log[Self_Qty],T_SelfStock_Log[Part Name],$A18,T_SelfStock_Log[WeekIndex],23))</f>
        <v/>
      </c>
      <c r="Y18" s="12">
        <f>IF(COUNTIFS(T_SelfStock_Log[Part Name],$A18,T_SelfStock_Log[WeekIndex],24)=0,"",SUMIFS(T_SelfStock_Log[Self_Qty],T_SelfStock_Log[Part Name],$A18,T_SelfStock_Log[WeekIndex],24))</f>
        <v/>
      </c>
      <c r="Z18" s="12">
        <f>IF(COUNTIFS(T_SelfStock_Log[Part Name],$A18,T_SelfStock_Log[WeekIndex],25)=0,"",SUMIFS(T_SelfStock_Log[Self_Qty],T_SelfStock_Log[Part Name],$A18,T_SelfStock_Log[WeekIndex],25))</f>
        <v/>
      </c>
      <c r="AA18" s="12">
        <f>IF(COUNTIFS(T_SelfStock_Log[Part Name],$A18,T_SelfStock_Log[WeekIndex],26)=0,"",SUMIFS(T_SelfStock_Log[Self_Qty],T_SelfStock_Log[Part Name],$A18,T_SelfStock_Log[WeekIndex],26))</f>
        <v/>
      </c>
      <c r="AB18" s="12">
        <f>IF(COUNTIFS(T_SelfStock_Log[Part Name],$A18,T_SelfStock_Log[WeekIndex],27)=0,"",SUMIFS(T_SelfStock_Log[Self_Qty],T_SelfStock_Log[Part Name],$A18,T_SelfStock_Log[WeekIndex],27))</f>
        <v/>
      </c>
      <c r="AC18" s="12">
        <f>IF(COUNTIFS(T_SelfStock_Log[Part Name],$A18,T_SelfStock_Log[WeekIndex],28)=0,"",SUMIFS(T_SelfStock_Log[Self_Qty],T_SelfStock_Log[Part Name],$A18,T_SelfStock_Log[WeekIndex],28))</f>
        <v/>
      </c>
      <c r="AD18" s="12">
        <f>IF(COUNTIFS(T_SelfStock_Log[Part Name],$A18,T_SelfStock_Log[WeekIndex],29)=0,"",SUMIFS(T_SelfStock_Log[Self_Qty],T_SelfStock_Log[Part Name],$A18,T_SelfStock_Log[WeekIndex],29))</f>
        <v/>
      </c>
      <c r="AE18" s="12">
        <f>IF(COUNTIFS(T_SelfStock_Log[Part Name],$A18,T_SelfStock_Log[WeekIndex],30)=0,"",SUMIFS(T_SelfStock_Log[Self_Qty],T_SelfStock_Log[Part Name],$A18,T_SelfStock_Log[WeekIndex],30))</f>
        <v/>
      </c>
      <c r="AF18" s="12">
        <f>IF(COUNTIFS(T_SelfStock_Log[Part Name],$A18,T_SelfStock_Log[WeekIndex],31)=0,"",SUMIFS(T_SelfStock_Log[Self_Qty],T_SelfStock_Log[Part Name],$A18,T_SelfStock_Log[WeekIndex],31))</f>
        <v/>
      </c>
      <c r="AG18" s="12">
        <f>IF(COUNTIFS(T_SelfStock_Log[Part Name],$A18,T_SelfStock_Log[WeekIndex],32)=0,"",SUMIFS(T_SelfStock_Log[Self_Qty],T_SelfStock_Log[Part Name],$A18,T_SelfStock_Log[WeekIndex],32))</f>
        <v/>
      </c>
      <c r="AH18" s="12">
        <f>IF(COUNTIFS(T_SelfStock_Log[Part Name],$A18,T_SelfStock_Log[WeekIndex],33)=0,"",SUMIFS(T_SelfStock_Log[Self_Qty],T_SelfStock_Log[Part Name],$A18,T_SelfStock_Log[WeekIndex],33))</f>
        <v/>
      </c>
      <c r="AI18" s="12">
        <f>IF(COUNTIFS(T_SelfStock_Log[Part Name],$A18,T_SelfStock_Log[WeekIndex],34)=0,"",SUMIFS(T_SelfStock_Log[Self_Qty],T_SelfStock_Log[Part Name],$A18,T_SelfStock_Log[WeekIndex],34))</f>
        <v/>
      </c>
      <c r="AJ18" s="12">
        <f>IF(COUNTIFS(T_SelfStock_Log[Part Name],$A18,T_SelfStock_Log[WeekIndex],35)=0,"",SUMIFS(T_SelfStock_Log[Self_Qty],T_SelfStock_Log[Part Name],$A18,T_SelfStock_Log[WeekIndex],35))</f>
        <v/>
      </c>
      <c r="AK18" s="12">
        <f>IF(COUNTIFS(T_SelfStock_Log[Part Name],$A18,T_SelfStock_Log[WeekIndex],36)=0,"",SUMIFS(T_SelfStock_Log[Self_Qty],T_SelfStock_Log[Part Name],$A18,T_SelfStock_Log[WeekIndex],36))</f>
        <v/>
      </c>
      <c r="AL18" s="12">
        <f>IF(COUNTIFS(T_SelfStock_Log[Part Name],$A18,T_SelfStock_Log[WeekIndex],37)=0,"",SUMIFS(T_SelfStock_Log[Self_Qty],T_SelfStock_Log[Part Name],$A18,T_SelfStock_Log[WeekIndex],37))</f>
        <v/>
      </c>
      <c r="AM18" s="12">
        <f>IF(COUNTIFS(T_SelfStock_Log[Part Name],$A18,T_SelfStock_Log[WeekIndex],38)=0,"",SUMIFS(T_SelfStock_Log[Self_Qty],T_SelfStock_Log[Part Name],$A18,T_SelfStock_Log[WeekIndex],38))</f>
        <v/>
      </c>
      <c r="AN18" s="12">
        <f>IF(COUNTIFS(T_SelfStock_Log[Part Name],$A18,T_SelfStock_Log[WeekIndex],39)=0,"",SUMIFS(T_SelfStock_Log[Self_Qty],T_SelfStock_Log[Part Name],$A18,T_SelfStock_Log[WeekIndex],39))</f>
        <v/>
      </c>
      <c r="AO18" s="12">
        <f>IF(COUNTIFS(T_SelfStock_Log[Part Name],$A18,T_SelfStock_Log[WeekIndex],40)=0,"",SUMIFS(T_SelfStock_Log[Self_Qty],T_SelfStock_Log[Part Name],$A18,T_SelfStock_Log[WeekIndex],40))</f>
        <v/>
      </c>
      <c r="AP18" s="12">
        <f>IF(COUNTIFS(T_SelfStock_Log[Part Name],$A18,T_SelfStock_Log[WeekIndex],41)=0,"",SUMIFS(T_SelfStock_Log[Self_Qty],T_SelfStock_Log[Part Name],$A18,T_SelfStock_Log[WeekIndex],41))</f>
        <v/>
      </c>
      <c r="AQ18" s="12">
        <f>IF(COUNTIFS(T_SelfStock_Log[Part Name],$A18,T_SelfStock_Log[WeekIndex],42)=0,"",SUMIFS(T_SelfStock_Log[Self_Qty],T_SelfStock_Log[Part Name],$A18,T_SelfStock_Log[WeekIndex],42))</f>
        <v/>
      </c>
      <c r="AR18" s="12">
        <f>IF(COUNTIFS(T_SelfStock_Log[Part Name],$A18,T_SelfStock_Log[WeekIndex],43)=0,"",SUMIFS(T_SelfStock_Log[Self_Qty],T_SelfStock_Log[Part Name],$A18,T_SelfStock_Log[WeekIndex],43))</f>
        <v/>
      </c>
      <c r="AS18" s="12">
        <f>IF(COUNTIFS(T_SelfStock_Log[Part Name],$A18,T_SelfStock_Log[WeekIndex],44)=0,"",SUMIFS(T_SelfStock_Log[Self_Qty],T_SelfStock_Log[Part Name],$A18,T_SelfStock_Log[WeekIndex],44))</f>
        <v/>
      </c>
      <c r="AT18" s="12">
        <f>IF(COUNTIFS(T_SelfStock_Log[Part Name],$A18,T_SelfStock_Log[WeekIndex],45)=0,"",SUMIFS(T_SelfStock_Log[Self_Qty],T_SelfStock_Log[Part Name],$A18,T_SelfStock_Log[WeekIndex],45))</f>
        <v/>
      </c>
      <c r="AU18" s="12">
        <f>IF(COUNTIFS(T_SelfStock_Log[Part Name],$A18,T_SelfStock_Log[WeekIndex],46)=0,"",SUMIFS(T_SelfStock_Log[Self_Qty],T_SelfStock_Log[Part Name],$A18,T_SelfStock_Log[WeekIndex],46))</f>
        <v/>
      </c>
      <c r="AV18" s="12">
        <f>IF(COUNTIFS(T_SelfStock_Log[Part Name],$A18,T_SelfStock_Log[WeekIndex],47)=0,"",SUMIFS(T_SelfStock_Log[Self_Qty],T_SelfStock_Log[Part Name],$A18,T_SelfStock_Log[WeekIndex],47))</f>
        <v/>
      </c>
      <c r="AW18" s="12">
        <f>IF(COUNTIFS(T_SelfStock_Log[Part Name],$A18,T_SelfStock_Log[WeekIndex],48)=0,"",SUMIFS(T_SelfStock_Log[Self_Qty],T_SelfStock_Log[Part Name],$A18,T_SelfStock_Log[WeekIndex],48))</f>
        <v/>
      </c>
      <c r="AX18" s="12">
        <f>IF(COUNTIFS(T_SelfStock_Log[Part Name],$A18,T_SelfStock_Log[WeekIndex],49)=0,"",SUMIFS(T_SelfStock_Log[Self_Qty],T_SelfStock_Log[Part Name],$A18,T_SelfStock_Log[WeekIndex],49))</f>
        <v/>
      </c>
      <c r="AY18" s="12">
        <f>IF(COUNTIFS(T_SelfStock_Log[Part Name],$A18,T_SelfStock_Log[WeekIndex],50)=0,"",SUMIFS(T_SelfStock_Log[Self_Qty],T_SelfStock_Log[Part Name],$A18,T_SelfStock_Log[WeekIndex],50))</f>
        <v/>
      </c>
      <c r="AZ18" s="12">
        <f>IF(COUNTIFS(T_SelfStock_Log[Part Name],$A18,T_SelfStock_Log[WeekIndex],51)=0,"",SUMIFS(T_SelfStock_Log[Self_Qty],T_SelfStock_Log[Part Name],$A18,T_SelfStock_Log[WeekIndex],51))</f>
        <v/>
      </c>
      <c r="BA18" s="12">
        <f>IF(COUNTIFS(T_SelfStock_Log[Part Name],$A18,T_SelfStock_Log[WeekIndex],52)=0,"",SUMIFS(T_SelfStock_Log[Self_Qty],T_SelfStock_Log[Part Name],$A18,T_SelfStock_Log[WeekIndex],52))</f>
        <v/>
      </c>
      <c r="BB18" s="12">
        <f>IF(COUNTIFS(T_SelfStock_Log[Part Name],$A18,T_SelfStock_Log[WeekIndex],53)=0,"",SUMIFS(T_SelfStock_Log[Self_Qty],T_SelfStock_Log[Part Name],$A18,T_SelfStock_Log[WeekIndex],53))</f>
        <v/>
      </c>
      <c r="BC18" s="12">
        <f>IF(COUNTIFS(T_SelfStock_Log[Part Name],$A18,T_SelfStock_Log[WeekIndex],54)=0,"",SUMIFS(T_SelfStock_Log[Self_Qty],T_SelfStock_Log[Part Name],$A18,T_SelfStock_Log[WeekIndex],54))</f>
        <v/>
      </c>
      <c r="BD18" s="12">
        <f>IF(COUNTIFS(T_SelfStock_Log[Part Name],$A18,T_SelfStock_Log[WeekIndex],55)=0,"",SUMIFS(T_SelfStock_Log[Self_Qty],T_SelfStock_Log[Part Name],$A18,T_SelfStock_Log[WeekIndex],55))</f>
        <v/>
      </c>
      <c r="BE18" s="12">
        <f>IF(COUNTIFS(T_SelfStock_Log[Part Name],$A18,T_SelfStock_Log[WeekIndex],56)=0,"",SUMIFS(T_SelfStock_Log[Self_Qty],T_SelfStock_Log[Part Name],$A18,T_SelfStock_Log[WeekIndex],56))</f>
        <v/>
      </c>
      <c r="BF18" s="12">
        <f>IF(COUNTIFS(T_SelfStock_Log[Part Name],$A18,T_SelfStock_Log[WeekIndex],57)=0,"",SUMIFS(T_SelfStock_Log[Self_Qty],T_SelfStock_Log[Part Name],$A18,T_SelfStock_Log[WeekIndex],57))</f>
        <v/>
      </c>
      <c r="BG18" s="12">
        <f>IF(COUNTIFS(T_SelfStock_Log[Part Name],$A18,T_SelfStock_Log[WeekIndex],58)=0,"",SUMIFS(T_SelfStock_Log[Self_Qty],T_SelfStock_Log[Part Name],$A18,T_SelfStock_Log[WeekIndex],58))</f>
        <v/>
      </c>
      <c r="BH18" s="12">
        <f>IF(COUNTIFS(T_SelfStock_Log[Part Name],$A18,T_SelfStock_Log[WeekIndex],59)=0,"",SUMIFS(T_SelfStock_Log[Self_Qty],T_SelfStock_Log[Part Name],$A18,T_SelfStock_Log[WeekIndex],59))</f>
        <v/>
      </c>
      <c r="BI18" s="12">
        <f>IF(COUNTIFS(T_SelfStock_Log[Part Name],$A18,T_SelfStock_Log[WeekIndex],60)=0,"",SUMIFS(T_SelfStock_Log[Self_Qty],T_SelfStock_Log[Part Name],$A18,T_SelfStock_Log[WeekIndex],60))</f>
        <v/>
      </c>
      <c r="BJ18" s="12">
        <f>IF(COUNTIFS(T_SelfStock_Log[Part Name],$A18,T_SelfStock_Log[WeekIndex],61)=0,"",SUMIFS(T_SelfStock_Log[Self_Qty],T_SelfStock_Log[Part Name],$A18,T_SelfStock_Log[WeekIndex],61))</f>
        <v/>
      </c>
      <c r="BK18" s="12">
        <f>IF(COUNTIFS(T_SelfStock_Log[Part Name],$A18,T_SelfStock_Log[WeekIndex],62)=0,"",SUMIFS(T_SelfStock_Log[Self_Qty],T_SelfStock_Log[Part Name],$A18,T_SelfStock_Log[WeekIndex],62))</f>
        <v/>
      </c>
      <c r="BL18" s="12">
        <f>IF(COUNTIFS(T_SelfStock_Log[Part Name],$A18,T_SelfStock_Log[WeekIndex],63)=0,"",SUMIFS(T_SelfStock_Log[Self_Qty],T_SelfStock_Log[Part Name],$A18,T_SelfStock_Log[WeekIndex],63))</f>
        <v/>
      </c>
      <c r="BM18" s="12">
        <f>IF(COUNTIFS(T_SelfStock_Log[Part Name],$A18,T_SelfStock_Log[WeekIndex],64)=0,"",SUMIFS(T_SelfStock_Log[Self_Qty],T_SelfStock_Log[Part Name],$A18,T_SelfStock_Log[WeekIndex],64))</f>
        <v/>
      </c>
      <c r="BN18" s="12">
        <f>IF(COUNTIFS(T_SelfStock_Log[Part Name],$A18,T_SelfStock_Log[WeekIndex],65)=0,"",SUMIFS(T_SelfStock_Log[Self_Qty],T_SelfStock_Log[Part Name],$A18,T_SelfStock_Log[WeekIndex],65))</f>
        <v/>
      </c>
      <c r="BO18" s="12">
        <f>IF(COUNTIFS(T_SelfStock_Log[Part Name],$A18,T_SelfStock_Log[WeekIndex],66)=0,"",SUMIFS(T_SelfStock_Log[Self_Qty],T_SelfStock_Log[Part Name],$A18,T_SelfStock_Log[WeekIndex],66))</f>
        <v/>
      </c>
      <c r="BP18" s="12">
        <f>IF(COUNTIFS(T_SelfStock_Log[Part Name],$A18,T_SelfStock_Log[WeekIndex],67)=0,"",SUMIFS(T_SelfStock_Log[Self_Qty],T_SelfStock_Log[Part Name],$A18,T_SelfStock_Log[WeekIndex],67))</f>
        <v/>
      </c>
      <c r="BQ18" s="12">
        <f>IF(COUNTIFS(T_SelfStock_Log[Part Name],$A18,T_SelfStock_Log[WeekIndex],68)=0,"",SUMIFS(T_SelfStock_Log[Self_Qty],T_SelfStock_Log[Part Name],$A18,T_SelfStock_Log[WeekIndex],68))</f>
        <v/>
      </c>
      <c r="BR18" s="12">
        <f>IF(COUNTIFS(T_SelfStock_Log[Part Name],$A18,T_SelfStock_Log[WeekIndex],69)=0,"",SUMIFS(T_SelfStock_Log[Self_Qty],T_SelfStock_Log[Part Name],$A18,T_SelfStock_Log[WeekIndex],69))</f>
        <v/>
      </c>
      <c r="BS18" s="12">
        <f>IF(COUNTIFS(T_SelfStock_Log[Part Name],$A18,T_SelfStock_Log[WeekIndex],70)=0,"",SUMIFS(T_SelfStock_Log[Self_Qty],T_SelfStock_Log[Part Name],$A18,T_SelfStock_Log[WeekIndex],70))</f>
        <v/>
      </c>
      <c r="BT18" s="12">
        <f>IF(COUNTIFS(T_SelfStock_Log[Part Name],$A18,T_SelfStock_Log[WeekIndex],71)=0,"",SUMIFS(T_SelfStock_Log[Self_Qty],T_SelfStock_Log[Part Name],$A18,T_SelfStock_Log[WeekIndex],71))</f>
        <v/>
      </c>
      <c r="BU18" s="12">
        <f>IF(COUNTIFS(T_SelfStock_Log[Part Name],$A18,T_SelfStock_Log[WeekIndex],72)=0,"",SUMIFS(T_SelfStock_Log[Self_Qty],T_SelfStock_Log[Part Name],$A18,T_SelfStock_Log[WeekIndex],72))</f>
        <v/>
      </c>
      <c r="BV18" s="12">
        <f>IF(COUNTIFS(T_SelfStock_Log[Part Name],$A18,T_SelfStock_Log[WeekIndex],73)=0,"",SUMIFS(T_SelfStock_Log[Self_Qty],T_SelfStock_Log[Part Name],$A18,T_SelfStock_Log[WeekIndex],73))</f>
        <v/>
      </c>
      <c r="BW18" s="12">
        <f>IF(COUNTIFS(T_SelfStock_Log[Part Name],$A18,T_SelfStock_Log[WeekIndex],74)=0,"",SUMIFS(T_SelfStock_Log[Self_Qty],T_SelfStock_Log[Part Name],$A18,T_SelfStock_Log[WeekIndex],74))</f>
        <v/>
      </c>
      <c r="BX18" s="12">
        <f>IF(COUNTIFS(T_SelfStock_Log[Part Name],$A18,T_SelfStock_Log[WeekIndex],75)=0,"",SUMIFS(T_SelfStock_Log[Self_Qty],T_SelfStock_Log[Part Name],$A18,T_SelfStock_Log[WeekIndex],75))</f>
        <v/>
      </c>
      <c r="BY18" s="12">
        <f>IF(COUNTIFS(T_SelfStock_Log[Part Name],$A18,T_SelfStock_Log[WeekIndex],76)=0,"",SUMIFS(T_SelfStock_Log[Self_Qty],T_SelfStock_Log[Part Name],$A18,T_SelfStock_Log[WeekIndex],76))</f>
        <v/>
      </c>
      <c r="BZ18" s="12">
        <f>IF(COUNTIFS(T_SelfStock_Log[Part Name],$A18,T_SelfStock_Log[WeekIndex],77)=0,"",SUMIFS(T_SelfStock_Log[Self_Qty],T_SelfStock_Log[Part Name],$A18,T_SelfStock_Log[WeekIndex],77))</f>
        <v/>
      </c>
      <c r="CA18" s="12">
        <f>IF(COUNTIFS(T_SelfStock_Log[Part Name],$A18,T_SelfStock_Log[WeekIndex],78)=0,"",SUMIFS(T_SelfStock_Log[Self_Qty],T_SelfStock_Log[Part Name],$A18,T_SelfStock_Log[WeekIndex],78))</f>
        <v/>
      </c>
      <c r="CB18" s="12">
        <f>IF(COUNTIFS(T_SelfStock_Log[Part Name],$A18,T_SelfStock_Log[WeekIndex],79)=0,"",SUMIFS(T_SelfStock_Log[Self_Qty],T_SelfStock_Log[Part Name],$A18,T_SelfStock_Log[WeekIndex],79))</f>
        <v/>
      </c>
      <c r="CC18" s="12">
        <f>IF(COUNTIFS(T_SelfStock_Log[Part Name],$A18,T_SelfStock_Log[WeekIndex],80)=0,"",SUMIFS(T_SelfStock_Log[Self_Qty],T_SelfStock_Log[Part Name],$A18,T_SelfStock_Log[WeekIndex],80))</f>
        <v/>
      </c>
      <c r="CD18" s="12">
        <f>IF(COUNTIFS(T_SelfStock_Log[Part Name],$A18,T_SelfStock_Log[WeekIndex],81)=0,"",SUMIFS(T_SelfStock_Log[Self_Qty],T_SelfStock_Log[Part Name],$A18,T_SelfStock_Log[WeekIndex],81))</f>
        <v/>
      </c>
      <c r="CE18" s="12">
        <f>IF(COUNTIFS(T_SelfStock_Log[Part Name],$A18,T_SelfStock_Log[WeekIndex],82)=0,"",SUMIFS(T_SelfStock_Log[Self_Qty],T_SelfStock_Log[Part Name],$A18,T_SelfStock_Log[WeekIndex],82))</f>
        <v/>
      </c>
      <c r="CF18" s="12">
        <f>IF(COUNTIFS(T_SelfStock_Log[Part Name],$A18,T_SelfStock_Log[WeekIndex],83)=0,"",SUMIFS(T_SelfStock_Log[Self_Qty],T_SelfStock_Log[Part Name],$A18,T_SelfStock_Log[WeekIndex],83))</f>
        <v/>
      </c>
      <c r="CG18" s="12">
        <f>IF(COUNTIFS(T_SelfStock_Log[Part Name],$A18,T_SelfStock_Log[WeekIndex],84)=0,"",SUMIFS(T_SelfStock_Log[Self_Qty],T_SelfStock_Log[Part Name],$A18,T_SelfStock_Log[WeekIndex],84))</f>
        <v/>
      </c>
      <c r="CH18" s="12">
        <f>IF(COUNTIFS(T_SelfStock_Log[Part Name],$A18,T_SelfStock_Log[WeekIndex],85)=0,"",SUMIFS(T_SelfStock_Log[Self_Qty],T_SelfStock_Log[Part Name],$A18,T_SelfStock_Log[WeekIndex],85))</f>
        <v/>
      </c>
      <c r="CI18" s="12">
        <f>IF(COUNTIFS(T_SelfStock_Log[Part Name],$A18,T_SelfStock_Log[WeekIndex],86)=0,"",SUMIFS(T_SelfStock_Log[Self_Qty],T_SelfStock_Log[Part Name],$A18,T_SelfStock_Log[WeekIndex],86))</f>
        <v/>
      </c>
      <c r="CJ18" s="12">
        <f>IF(COUNTIFS(T_SelfStock_Log[Part Name],$A18,T_SelfStock_Log[WeekIndex],87)=0,"",SUMIFS(T_SelfStock_Log[Self_Qty],T_SelfStock_Log[Part Name],$A18,T_SelfStock_Log[WeekIndex],87))</f>
        <v/>
      </c>
      <c r="CK18" s="12">
        <f>IF(COUNTIFS(T_SelfStock_Log[Part Name],$A18,T_SelfStock_Log[WeekIndex],88)=0,"",SUMIFS(T_SelfStock_Log[Self_Qty],T_SelfStock_Log[Part Name],$A18,T_SelfStock_Log[WeekIndex],88))</f>
        <v/>
      </c>
      <c r="CL18" s="12">
        <f>IF(COUNTIFS(T_SelfStock_Log[Part Name],$A18,T_SelfStock_Log[WeekIndex],89)=0,"",SUMIFS(T_SelfStock_Log[Self_Qty],T_SelfStock_Log[Part Name],$A18,T_SelfStock_Log[WeekIndex],89))</f>
        <v/>
      </c>
      <c r="CM18" s="12">
        <f>IF(COUNTIFS(T_SelfStock_Log[Part Name],$A18,T_SelfStock_Log[WeekIndex],90)=0,"",SUMIFS(T_SelfStock_Log[Self_Qty],T_SelfStock_Log[Part Name],$A18,T_SelfStock_Log[WeekIndex],90))</f>
        <v/>
      </c>
      <c r="CN18" s="12">
        <f>IF(COUNTIFS(T_SelfStock_Log[Part Name],$A18,T_SelfStock_Log[WeekIndex],91)=0,"",SUMIFS(T_SelfStock_Log[Self_Qty],T_SelfStock_Log[Part Name],$A18,T_SelfStock_Log[WeekIndex],91))</f>
        <v/>
      </c>
      <c r="CO18" s="12">
        <f>IF(COUNTIFS(T_SelfStock_Log[Part Name],$A18,T_SelfStock_Log[WeekIndex],92)=0,"",SUMIFS(T_SelfStock_Log[Self_Qty],T_SelfStock_Log[Part Name],$A18,T_SelfStock_Log[WeekIndex],92))</f>
        <v/>
      </c>
      <c r="CP18" s="12">
        <f>IF(COUNTIFS(T_SelfStock_Log[Part Name],$A18,T_SelfStock_Log[WeekIndex],93)=0,"",SUMIFS(T_SelfStock_Log[Self_Qty],T_SelfStock_Log[Part Name],$A18,T_SelfStock_Log[WeekIndex],93))</f>
        <v/>
      </c>
      <c r="CQ18" s="12">
        <f>IF(COUNTIFS(T_SelfStock_Log[Part Name],$A18,T_SelfStock_Log[WeekIndex],94)=0,"",SUMIFS(T_SelfStock_Log[Self_Qty],T_SelfStock_Log[Part Name],$A18,T_SelfStock_Log[WeekIndex],94))</f>
        <v/>
      </c>
      <c r="CR18" s="12">
        <f>IF(COUNTIFS(T_SelfStock_Log[Part Name],$A18,T_SelfStock_Log[WeekIndex],95)=0,"",SUMIFS(T_SelfStock_Log[Self_Qty],T_SelfStock_Log[Part Name],$A18,T_SelfStock_Log[WeekIndex],95))</f>
        <v/>
      </c>
      <c r="CS18" s="12">
        <f>IF(COUNTIFS(T_SelfStock_Log[Part Name],$A18,T_SelfStock_Log[WeekIndex],96)=0,"",SUMIFS(T_SelfStock_Log[Self_Qty],T_SelfStock_Log[Part Name],$A18,T_SelfStock_Log[WeekIndex],96))</f>
        <v/>
      </c>
      <c r="CT18" s="12">
        <f>IF(COUNTIFS(T_SelfStock_Log[Part Name],$A18,T_SelfStock_Log[WeekIndex],97)=0,"",SUMIFS(T_SelfStock_Log[Self_Qty],T_SelfStock_Log[Part Name],$A18,T_SelfStock_Log[WeekIndex],97))</f>
        <v/>
      </c>
      <c r="CU18" s="12">
        <f>IF(COUNTIFS(T_SelfStock_Log[Part Name],$A18,T_SelfStock_Log[WeekIndex],98)=0,"",SUMIFS(T_SelfStock_Log[Self_Qty],T_SelfStock_Log[Part Name],$A18,T_SelfStock_Log[WeekIndex],98))</f>
        <v/>
      </c>
      <c r="CV18" s="12">
        <f>IF(COUNTIFS(T_SelfStock_Log[Part Name],$A18,T_SelfStock_Log[WeekIndex],99)=0,"",SUMIFS(T_SelfStock_Log[Self_Qty],T_SelfStock_Log[Part Name],$A18,T_SelfStock_Log[WeekIndex],99))</f>
        <v/>
      </c>
      <c r="CW18" s="12">
        <f>IF(COUNTIFS(T_SelfStock_Log[Part Name],$A18,T_SelfStock_Log[WeekIndex],100)=0,"",SUMIFS(T_SelfStock_Log[Self_Qty],T_SelfStock_Log[Part Name],$A18,T_SelfStock_Log[WeekIndex],100))</f>
        <v/>
      </c>
      <c r="CX18" s="12">
        <f>IF(COUNTIFS(T_SelfStock_Log[Part Name],$A18,T_SelfStock_Log[WeekIndex],101)=0,"",SUMIFS(T_SelfStock_Log[Self_Qty],T_SelfStock_Log[Part Name],$A18,T_SelfStock_Log[WeekIndex],101))</f>
        <v/>
      </c>
      <c r="CY18" s="12">
        <f>IF(COUNTIFS(T_SelfStock_Log[Part Name],$A18,T_SelfStock_Log[WeekIndex],102)=0,"",SUMIFS(T_SelfStock_Log[Self_Qty],T_SelfStock_Log[Part Name],$A18,T_SelfStock_Log[WeekIndex],102))</f>
        <v/>
      </c>
      <c r="CZ18" s="12">
        <f>IF(COUNTIFS(T_SelfStock_Log[Part Name],$A18,T_SelfStock_Log[WeekIndex],103)=0,"",SUMIFS(T_SelfStock_Log[Self_Qty],T_SelfStock_Log[Part Name],$A18,T_SelfStock_Log[WeekIndex],103))</f>
        <v/>
      </c>
      <c r="DA18" s="12">
        <f>IF(COUNTIFS(T_SelfStock_Log[Part Name],$A18,T_SelfStock_Log[WeekIndex],104)=0,"",SUMIFS(T_SelfStock_Log[Self_Qty],T_SelfStock_Log[Part Name],$A18,T_SelfStock_Log[WeekIndex],104))</f>
        <v/>
      </c>
    </row>
    <row r="19">
      <c r="A19" s="13" t="inlineStr">
        <is>
          <t>CHEM-1400</t>
        </is>
      </c>
      <c r="B19" s="13">
        <f>IF(COUNTIFS(T_SelfStock_Log[Part Name],$A19,T_SelfStock_Log[WeekIndex],1)=0,"",SUMIFS(T_SelfStock_Log[Self_Qty],T_SelfStock_Log[Part Name],$A19,T_SelfStock_Log[WeekIndex],1))</f>
        <v/>
      </c>
      <c r="C19" s="13">
        <f>IF(COUNTIFS(T_SelfStock_Log[Part Name],$A19,T_SelfStock_Log[WeekIndex],2)=0,"",SUMIFS(T_SelfStock_Log[Self_Qty],T_SelfStock_Log[Part Name],$A19,T_SelfStock_Log[WeekIndex],2))</f>
        <v/>
      </c>
      <c r="D19" s="13">
        <f>IF(COUNTIFS(T_SelfStock_Log[Part Name],$A19,T_SelfStock_Log[WeekIndex],3)=0,"",SUMIFS(T_SelfStock_Log[Self_Qty],T_SelfStock_Log[Part Name],$A19,T_SelfStock_Log[WeekIndex],3))</f>
        <v/>
      </c>
      <c r="E19" s="13">
        <f>IF(COUNTIFS(T_SelfStock_Log[Part Name],$A19,T_SelfStock_Log[WeekIndex],4)=0,"",SUMIFS(T_SelfStock_Log[Self_Qty],T_SelfStock_Log[Part Name],$A19,T_SelfStock_Log[WeekIndex],4))</f>
        <v/>
      </c>
      <c r="F19" s="13">
        <f>IF(COUNTIFS(T_SelfStock_Log[Part Name],$A19,T_SelfStock_Log[WeekIndex],5)=0,"",SUMIFS(T_SelfStock_Log[Self_Qty],T_SelfStock_Log[Part Name],$A19,T_SelfStock_Log[WeekIndex],5))</f>
        <v/>
      </c>
      <c r="G19" s="13">
        <f>IF(COUNTIFS(T_SelfStock_Log[Part Name],$A19,T_SelfStock_Log[WeekIndex],6)=0,"",SUMIFS(T_SelfStock_Log[Self_Qty],T_SelfStock_Log[Part Name],$A19,T_SelfStock_Log[WeekIndex],6))</f>
        <v/>
      </c>
      <c r="H19" s="13">
        <f>IF(COUNTIFS(T_SelfStock_Log[Part Name],$A19,T_SelfStock_Log[WeekIndex],7)=0,"",SUMIFS(T_SelfStock_Log[Self_Qty],T_SelfStock_Log[Part Name],$A19,T_SelfStock_Log[WeekIndex],7))</f>
        <v/>
      </c>
      <c r="I19" s="13">
        <f>IF(COUNTIFS(T_SelfStock_Log[Part Name],$A19,T_SelfStock_Log[WeekIndex],8)=0,"",SUMIFS(T_SelfStock_Log[Self_Qty],T_SelfStock_Log[Part Name],$A19,T_SelfStock_Log[WeekIndex],8))</f>
        <v/>
      </c>
      <c r="J19" s="13">
        <f>IF(COUNTIFS(T_SelfStock_Log[Part Name],$A19,T_SelfStock_Log[WeekIndex],9)=0,"",SUMIFS(T_SelfStock_Log[Self_Qty],T_SelfStock_Log[Part Name],$A19,T_SelfStock_Log[WeekIndex],9))</f>
        <v/>
      </c>
      <c r="K19" s="13">
        <f>IF(COUNTIFS(T_SelfStock_Log[Part Name],$A19,T_SelfStock_Log[WeekIndex],10)=0,"",SUMIFS(T_SelfStock_Log[Self_Qty],T_SelfStock_Log[Part Name],$A19,T_SelfStock_Log[WeekIndex],10))</f>
        <v/>
      </c>
      <c r="L19" s="13">
        <f>IF(COUNTIFS(T_SelfStock_Log[Part Name],$A19,T_SelfStock_Log[WeekIndex],11)=0,"",SUMIFS(T_SelfStock_Log[Self_Qty],T_SelfStock_Log[Part Name],$A19,T_SelfStock_Log[WeekIndex],11))</f>
        <v/>
      </c>
      <c r="M19" s="13">
        <f>IF(COUNTIFS(T_SelfStock_Log[Part Name],$A19,T_SelfStock_Log[WeekIndex],12)=0,"",SUMIFS(T_SelfStock_Log[Self_Qty],T_SelfStock_Log[Part Name],$A19,T_SelfStock_Log[WeekIndex],12))</f>
        <v/>
      </c>
      <c r="N19" s="13">
        <f>IF(COUNTIFS(T_SelfStock_Log[Part Name],$A19,T_SelfStock_Log[WeekIndex],13)=0,"",SUMIFS(T_SelfStock_Log[Self_Qty],T_SelfStock_Log[Part Name],$A19,T_SelfStock_Log[WeekIndex],13))</f>
        <v/>
      </c>
      <c r="O19" s="13">
        <f>IF(COUNTIFS(T_SelfStock_Log[Part Name],$A19,T_SelfStock_Log[WeekIndex],14)=0,"",SUMIFS(T_SelfStock_Log[Self_Qty],T_SelfStock_Log[Part Name],$A19,T_SelfStock_Log[WeekIndex],14))</f>
        <v/>
      </c>
      <c r="P19" s="13">
        <f>IF(COUNTIFS(T_SelfStock_Log[Part Name],$A19,T_SelfStock_Log[WeekIndex],15)=0,"",SUMIFS(T_SelfStock_Log[Self_Qty],T_SelfStock_Log[Part Name],$A19,T_SelfStock_Log[WeekIndex],15))</f>
        <v/>
      </c>
      <c r="Q19" s="13">
        <f>IF(COUNTIFS(T_SelfStock_Log[Part Name],$A19,T_SelfStock_Log[WeekIndex],16)=0,"",SUMIFS(T_SelfStock_Log[Self_Qty],T_SelfStock_Log[Part Name],$A19,T_SelfStock_Log[WeekIndex],16))</f>
        <v/>
      </c>
      <c r="R19" s="13">
        <f>IF(COUNTIFS(T_SelfStock_Log[Part Name],$A19,T_SelfStock_Log[WeekIndex],17)=0,"",SUMIFS(T_SelfStock_Log[Self_Qty],T_SelfStock_Log[Part Name],$A19,T_SelfStock_Log[WeekIndex],17))</f>
        <v/>
      </c>
      <c r="S19" s="13">
        <f>IF(COUNTIFS(T_SelfStock_Log[Part Name],$A19,T_SelfStock_Log[WeekIndex],18)=0,"",SUMIFS(T_SelfStock_Log[Self_Qty],T_SelfStock_Log[Part Name],$A19,T_SelfStock_Log[WeekIndex],18))</f>
        <v/>
      </c>
      <c r="T19" s="13">
        <f>IF(COUNTIFS(T_SelfStock_Log[Part Name],$A19,T_SelfStock_Log[WeekIndex],19)=0,"",SUMIFS(T_SelfStock_Log[Self_Qty],T_SelfStock_Log[Part Name],$A19,T_SelfStock_Log[WeekIndex],19))</f>
        <v/>
      </c>
      <c r="U19" s="13">
        <f>IF(COUNTIFS(T_SelfStock_Log[Part Name],$A19,T_SelfStock_Log[WeekIndex],20)=0,"",SUMIFS(T_SelfStock_Log[Self_Qty],T_SelfStock_Log[Part Name],$A19,T_SelfStock_Log[WeekIndex],20))</f>
        <v/>
      </c>
      <c r="V19" s="13">
        <f>IF(COUNTIFS(T_SelfStock_Log[Part Name],$A19,T_SelfStock_Log[WeekIndex],21)=0,"",SUMIFS(T_SelfStock_Log[Self_Qty],T_SelfStock_Log[Part Name],$A19,T_SelfStock_Log[WeekIndex],21))</f>
        <v/>
      </c>
      <c r="W19" s="13">
        <f>IF(COUNTIFS(T_SelfStock_Log[Part Name],$A19,T_SelfStock_Log[WeekIndex],22)=0,"",SUMIFS(T_SelfStock_Log[Self_Qty],T_SelfStock_Log[Part Name],$A19,T_SelfStock_Log[WeekIndex],22))</f>
        <v/>
      </c>
      <c r="X19" s="13">
        <f>IF(COUNTIFS(T_SelfStock_Log[Part Name],$A19,T_SelfStock_Log[WeekIndex],23)=0,"",SUMIFS(T_SelfStock_Log[Self_Qty],T_SelfStock_Log[Part Name],$A19,T_SelfStock_Log[WeekIndex],23))</f>
        <v/>
      </c>
      <c r="Y19" s="13">
        <f>IF(COUNTIFS(T_SelfStock_Log[Part Name],$A19,T_SelfStock_Log[WeekIndex],24)=0,"",SUMIFS(T_SelfStock_Log[Self_Qty],T_SelfStock_Log[Part Name],$A19,T_SelfStock_Log[WeekIndex],24))</f>
        <v/>
      </c>
      <c r="Z19" s="13">
        <f>IF(COUNTIFS(T_SelfStock_Log[Part Name],$A19,T_SelfStock_Log[WeekIndex],25)=0,"",SUMIFS(T_SelfStock_Log[Self_Qty],T_SelfStock_Log[Part Name],$A19,T_SelfStock_Log[WeekIndex],25))</f>
        <v/>
      </c>
      <c r="AA19" s="13">
        <f>IF(COUNTIFS(T_SelfStock_Log[Part Name],$A19,T_SelfStock_Log[WeekIndex],26)=0,"",SUMIFS(T_SelfStock_Log[Self_Qty],T_SelfStock_Log[Part Name],$A19,T_SelfStock_Log[WeekIndex],26))</f>
        <v/>
      </c>
      <c r="AB19" s="13">
        <f>IF(COUNTIFS(T_SelfStock_Log[Part Name],$A19,T_SelfStock_Log[WeekIndex],27)=0,"",SUMIFS(T_SelfStock_Log[Self_Qty],T_SelfStock_Log[Part Name],$A19,T_SelfStock_Log[WeekIndex],27))</f>
        <v/>
      </c>
      <c r="AC19" s="13">
        <f>IF(COUNTIFS(T_SelfStock_Log[Part Name],$A19,T_SelfStock_Log[WeekIndex],28)=0,"",SUMIFS(T_SelfStock_Log[Self_Qty],T_SelfStock_Log[Part Name],$A19,T_SelfStock_Log[WeekIndex],28))</f>
        <v/>
      </c>
      <c r="AD19" s="13">
        <f>IF(COUNTIFS(T_SelfStock_Log[Part Name],$A19,T_SelfStock_Log[WeekIndex],29)=0,"",SUMIFS(T_SelfStock_Log[Self_Qty],T_SelfStock_Log[Part Name],$A19,T_SelfStock_Log[WeekIndex],29))</f>
        <v/>
      </c>
      <c r="AE19" s="13">
        <f>IF(COUNTIFS(T_SelfStock_Log[Part Name],$A19,T_SelfStock_Log[WeekIndex],30)=0,"",SUMIFS(T_SelfStock_Log[Self_Qty],T_SelfStock_Log[Part Name],$A19,T_SelfStock_Log[WeekIndex],30))</f>
        <v/>
      </c>
      <c r="AF19" s="13">
        <f>IF(COUNTIFS(T_SelfStock_Log[Part Name],$A19,T_SelfStock_Log[WeekIndex],31)=0,"",SUMIFS(T_SelfStock_Log[Self_Qty],T_SelfStock_Log[Part Name],$A19,T_SelfStock_Log[WeekIndex],31))</f>
        <v/>
      </c>
      <c r="AG19" s="13">
        <f>IF(COUNTIFS(T_SelfStock_Log[Part Name],$A19,T_SelfStock_Log[WeekIndex],32)=0,"",SUMIFS(T_SelfStock_Log[Self_Qty],T_SelfStock_Log[Part Name],$A19,T_SelfStock_Log[WeekIndex],32))</f>
        <v/>
      </c>
      <c r="AH19" s="13">
        <f>IF(COUNTIFS(T_SelfStock_Log[Part Name],$A19,T_SelfStock_Log[WeekIndex],33)=0,"",SUMIFS(T_SelfStock_Log[Self_Qty],T_SelfStock_Log[Part Name],$A19,T_SelfStock_Log[WeekIndex],33))</f>
        <v/>
      </c>
      <c r="AI19" s="13">
        <f>IF(COUNTIFS(T_SelfStock_Log[Part Name],$A19,T_SelfStock_Log[WeekIndex],34)=0,"",SUMIFS(T_SelfStock_Log[Self_Qty],T_SelfStock_Log[Part Name],$A19,T_SelfStock_Log[WeekIndex],34))</f>
        <v/>
      </c>
      <c r="AJ19" s="13">
        <f>IF(COUNTIFS(T_SelfStock_Log[Part Name],$A19,T_SelfStock_Log[WeekIndex],35)=0,"",SUMIFS(T_SelfStock_Log[Self_Qty],T_SelfStock_Log[Part Name],$A19,T_SelfStock_Log[WeekIndex],35))</f>
        <v/>
      </c>
      <c r="AK19" s="13">
        <f>IF(COUNTIFS(T_SelfStock_Log[Part Name],$A19,T_SelfStock_Log[WeekIndex],36)=0,"",SUMIFS(T_SelfStock_Log[Self_Qty],T_SelfStock_Log[Part Name],$A19,T_SelfStock_Log[WeekIndex],36))</f>
        <v/>
      </c>
      <c r="AL19" s="13">
        <f>IF(COUNTIFS(T_SelfStock_Log[Part Name],$A19,T_SelfStock_Log[WeekIndex],37)=0,"",SUMIFS(T_SelfStock_Log[Self_Qty],T_SelfStock_Log[Part Name],$A19,T_SelfStock_Log[WeekIndex],37))</f>
        <v/>
      </c>
      <c r="AM19" s="13">
        <f>IF(COUNTIFS(T_SelfStock_Log[Part Name],$A19,T_SelfStock_Log[WeekIndex],38)=0,"",SUMIFS(T_SelfStock_Log[Self_Qty],T_SelfStock_Log[Part Name],$A19,T_SelfStock_Log[WeekIndex],38))</f>
        <v/>
      </c>
      <c r="AN19" s="13">
        <f>IF(COUNTIFS(T_SelfStock_Log[Part Name],$A19,T_SelfStock_Log[WeekIndex],39)=0,"",SUMIFS(T_SelfStock_Log[Self_Qty],T_SelfStock_Log[Part Name],$A19,T_SelfStock_Log[WeekIndex],39))</f>
        <v/>
      </c>
      <c r="AO19" s="13">
        <f>IF(COUNTIFS(T_SelfStock_Log[Part Name],$A19,T_SelfStock_Log[WeekIndex],40)=0,"",SUMIFS(T_SelfStock_Log[Self_Qty],T_SelfStock_Log[Part Name],$A19,T_SelfStock_Log[WeekIndex],40))</f>
        <v/>
      </c>
      <c r="AP19" s="13">
        <f>IF(COUNTIFS(T_SelfStock_Log[Part Name],$A19,T_SelfStock_Log[WeekIndex],41)=0,"",SUMIFS(T_SelfStock_Log[Self_Qty],T_SelfStock_Log[Part Name],$A19,T_SelfStock_Log[WeekIndex],41))</f>
        <v/>
      </c>
      <c r="AQ19" s="13">
        <f>IF(COUNTIFS(T_SelfStock_Log[Part Name],$A19,T_SelfStock_Log[WeekIndex],42)=0,"",SUMIFS(T_SelfStock_Log[Self_Qty],T_SelfStock_Log[Part Name],$A19,T_SelfStock_Log[WeekIndex],42))</f>
        <v/>
      </c>
      <c r="AR19" s="13">
        <f>IF(COUNTIFS(T_SelfStock_Log[Part Name],$A19,T_SelfStock_Log[WeekIndex],43)=0,"",SUMIFS(T_SelfStock_Log[Self_Qty],T_SelfStock_Log[Part Name],$A19,T_SelfStock_Log[WeekIndex],43))</f>
        <v/>
      </c>
      <c r="AS19" s="13">
        <f>IF(COUNTIFS(T_SelfStock_Log[Part Name],$A19,T_SelfStock_Log[WeekIndex],44)=0,"",SUMIFS(T_SelfStock_Log[Self_Qty],T_SelfStock_Log[Part Name],$A19,T_SelfStock_Log[WeekIndex],44))</f>
        <v/>
      </c>
      <c r="AT19" s="13">
        <f>IF(COUNTIFS(T_SelfStock_Log[Part Name],$A19,T_SelfStock_Log[WeekIndex],45)=0,"",SUMIFS(T_SelfStock_Log[Self_Qty],T_SelfStock_Log[Part Name],$A19,T_SelfStock_Log[WeekIndex],45))</f>
        <v/>
      </c>
      <c r="AU19" s="13">
        <f>IF(COUNTIFS(T_SelfStock_Log[Part Name],$A19,T_SelfStock_Log[WeekIndex],46)=0,"",SUMIFS(T_SelfStock_Log[Self_Qty],T_SelfStock_Log[Part Name],$A19,T_SelfStock_Log[WeekIndex],46))</f>
        <v/>
      </c>
      <c r="AV19" s="13">
        <f>IF(COUNTIFS(T_SelfStock_Log[Part Name],$A19,T_SelfStock_Log[WeekIndex],47)=0,"",SUMIFS(T_SelfStock_Log[Self_Qty],T_SelfStock_Log[Part Name],$A19,T_SelfStock_Log[WeekIndex],47))</f>
        <v/>
      </c>
      <c r="AW19" s="13">
        <f>IF(COUNTIFS(T_SelfStock_Log[Part Name],$A19,T_SelfStock_Log[WeekIndex],48)=0,"",SUMIFS(T_SelfStock_Log[Self_Qty],T_SelfStock_Log[Part Name],$A19,T_SelfStock_Log[WeekIndex],48))</f>
        <v/>
      </c>
      <c r="AX19" s="13">
        <f>IF(COUNTIFS(T_SelfStock_Log[Part Name],$A19,T_SelfStock_Log[WeekIndex],49)=0,"",SUMIFS(T_SelfStock_Log[Self_Qty],T_SelfStock_Log[Part Name],$A19,T_SelfStock_Log[WeekIndex],49))</f>
        <v/>
      </c>
      <c r="AY19" s="13">
        <f>IF(COUNTIFS(T_SelfStock_Log[Part Name],$A19,T_SelfStock_Log[WeekIndex],50)=0,"",SUMIFS(T_SelfStock_Log[Self_Qty],T_SelfStock_Log[Part Name],$A19,T_SelfStock_Log[WeekIndex],50))</f>
        <v/>
      </c>
      <c r="AZ19" s="13">
        <f>IF(COUNTIFS(T_SelfStock_Log[Part Name],$A19,T_SelfStock_Log[WeekIndex],51)=0,"",SUMIFS(T_SelfStock_Log[Self_Qty],T_SelfStock_Log[Part Name],$A19,T_SelfStock_Log[WeekIndex],51))</f>
        <v/>
      </c>
      <c r="BA19" s="13">
        <f>IF(COUNTIFS(T_SelfStock_Log[Part Name],$A19,T_SelfStock_Log[WeekIndex],52)=0,"",SUMIFS(T_SelfStock_Log[Self_Qty],T_SelfStock_Log[Part Name],$A19,T_SelfStock_Log[WeekIndex],52))</f>
        <v/>
      </c>
      <c r="BB19" s="13">
        <f>IF(COUNTIFS(T_SelfStock_Log[Part Name],$A19,T_SelfStock_Log[WeekIndex],53)=0,"",SUMIFS(T_SelfStock_Log[Self_Qty],T_SelfStock_Log[Part Name],$A19,T_SelfStock_Log[WeekIndex],53))</f>
        <v/>
      </c>
      <c r="BC19" s="13">
        <f>IF(COUNTIFS(T_SelfStock_Log[Part Name],$A19,T_SelfStock_Log[WeekIndex],54)=0,"",SUMIFS(T_SelfStock_Log[Self_Qty],T_SelfStock_Log[Part Name],$A19,T_SelfStock_Log[WeekIndex],54))</f>
        <v/>
      </c>
      <c r="BD19" s="13">
        <f>IF(COUNTIFS(T_SelfStock_Log[Part Name],$A19,T_SelfStock_Log[WeekIndex],55)=0,"",SUMIFS(T_SelfStock_Log[Self_Qty],T_SelfStock_Log[Part Name],$A19,T_SelfStock_Log[WeekIndex],55))</f>
        <v/>
      </c>
      <c r="BE19" s="13">
        <f>IF(COUNTIFS(T_SelfStock_Log[Part Name],$A19,T_SelfStock_Log[WeekIndex],56)=0,"",SUMIFS(T_SelfStock_Log[Self_Qty],T_SelfStock_Log[Part Name],$A19,T_SelfStock_Log[WeekIndex],56))</f>
        <v/>
      </c>
      <c r="BF19" s="13">
        <f>IF(COUNTIFS(T_SelfStock_Log[Part Name],$A19,T_SelfStock_Log[WeekIndex],57)=0,"",SUMIFS(T_SelfStock_Log[Self_Qty],T_SelfStock_Log[Part Name],$A19,T_SelfStock_Log[WeekIndex],57))</f>
        <v/>
      </c>
      <c r="BG19" s="13">
        <f>IF(COUNTIFS(T_SelfStock_Log[Part Name],$A19,T_SelfStock_Log[WeekIndex],58)=0,"",SUMIFS(T_SelfStock_Log[Self_Qty],T_SelfStock_Log[Part Name],$A19,T_SelfStock_Log[WeekIndex],58))</f>
        <v/>
      </c>
      <c r="BH19" s="13">
        <f>IF(COUNTIFS(T_SelfStock_Log[Part Name],$A19,T_SelfStock_Log[WeekIndex],59)=0,"",SUMIFS(T_SelfStock_Log[Self_Qty],T_SelfStock_Log[Part Name],$A19,T_SelfStock_Log[WeekIndex],59))</f>
        <v/>
      </c>
      <c r="BI19" s="13">
        <f>IF(COUNTIFS(T_SelfStock_Log[Part Name],$A19,T_SelfStock_Log[WeekIndex],60)=0,"",SUMIFS(T_SelfStock_Log[Self_Qty],T_SelfStock_Log[Part Name],$A19,T_SelfStock_Log[WeekIndex],60))</f>
        <v/>
      </c>
      <c r="BJ19" s="13">
        <f>IF(COUNTIFS(T_SelfStock_Log[Part Name],$A19,T_SelfStock_Log[WeekIndex],61)=0,"",SUMIFS(T_SelfStock_Log[Self_Qty],T_SelfStock_Log[Part Name],$A19,T_SelfStock_Log[WeekIndex],61))</f>
        <v/>
      </c>
      <c r="BK19" s="13">
        <f>IF(COUNTIFS(T_SelfStock_Log[Part Name],$A19,T_SelfStock_Log[WeekIndex],62)=0,"",SUMIFS(T_SelfStock_Log[Self_Qty],T_SelfStock_Log[Part Name],$A19,T_SelfStock_Log[WeekIndex],62))</f>
        <v/>
      </c>
      <c r="BL19" s="13">
        <f>IF(COUNTIFS(T_SelfStock_Log[Part Name],$A19,T_SelfStock_Log[WeekIndex],63)=0,"",SUMIFS(T_SelfStock_Log[Self_Qty],T_SelfStock_Log[Part Name],$A19,T_SelfStock_Log[WeekIndex],63))</f>
        <v/>
      </c>
      <c r="BM19" s="13">
        <f>IF(COUNTIFS(T_SelfStock_Log[Part Name],$A19,T_SelfStock_Log[WeekIndex],64)=0,"",SUMIFS(T_SelfStock_Log[Self_Qty],T_SelfStock_Log[Part Name],$A19,T_SelfStock_Log[WeekIndex],64))</f>
        <v/>
      </c>
      <c r="BN19" s="13">
        <f>IF(COUNTIFS(T_SelfStock_Log[Part Name],$A19,T_SelfStock_Log[WeekIndex],65)=0,"",SUMIFS(T_SelfStock_Log[Self_Qty],T_SelfStock_Log[Part Name],$A19,T_SelfStock_Log[WeekIndex],65))</f>
        <v/>
      </c>
      <c r="BO19" s="13">
        <f>IF(COUNTIFS(T_SelfStock_Log[Part Name],$A19,T_SelfStock_Log[WeekIndex],66)=0,"",SUMIFS(T_SelfStock_Log[Self_Qty],T_SelfStock_Log[Part Name],$A19,T_SelfStock_Log[WeekIndex],66))</f>
        <v/>
      </c>
      <c r="BP19" s="13">
        <f>IF(COUNTIFS(T_SelfStock_Log[Part Name],$A19,T_SelfStock_Log[WeekIndex],67)=0,"",SUMIFS(T_SelfStock_Log[Self_Qty],T_SelfStock_Log[Part Name],$A19,T_SelfStock_Log[WeekIndex],67))</f>
        <v/>
      </c>
      <c r="BQ19" s="13">
        <f>IF(COUNTIFS(T_SelfStock_Log[Part Name],$A19,T_SelfStock_Log[WeekIndex],68)=0,"",SUMIFS(T_SelfStock_Log[Self_Qty],T_SelfStock_Log[Part Name],$A19,T_SelfStock_Log[WeekIndex],68))</f>
        <v/>
      </c>
      <c r="BR19" s="13">
        <f>IF(COUNTIFS(T_SelfStock_Log[Part Name],$A19,T_SelfStock_Log[WeekIndex],69)=0,"",SUMIFS(T_SelfStock_Log[Self_Qty],T_SelfStock_Log[Part Name],$A19,T_SelfStock_Log[WeekIndex],69))</f>
        <v/>
      </c>
      <c r="BS19" s="13">
        <f>IF(COUNTIFS(T_SelfStock_Log[Part Name],$A19,T_SelfStock_Log[WeekIndex],70)=0,"",SUMIFS(T_SelfStock_Log[Self_Qty],T_SelfStock_Log[Part Name],$A19,T_SelfStock_Log[WeekIndex],70))</f>
        <v/>
      </c>
      <c r="BT19" s="13">
        <f>IF(COUNTIFS(T_SelfStock_Log[Part Name],$A19,T_SelfStock_Log[WeekIndex],71)=0,"",SUMIFS(T_SelfStock_Log[Self_Qty],T_SelfStock_Log[Part Name],$A19,T_SelfStock_Log[WeekIndex],71))</f>
        <v/>
      </c>
      <c r="BU19" s="13">
        <f>IF(COUNTIFS(T_SelfStock_Log[Part Name],$A19,T_SelfStock_Log[WeekIndex],72)=0,"",SUMIFS(T_SelfStock_Log[Self_Qty],T_SelfStock_Log[Part Name],$A19,T_SelfStock_Log[WeekIndex],72))</f>
        <v/>
      </c>
      <c r="BV19" s="13">
        <f>IF(COUNTIFS(T_SelfStock_Log[Part Name],$A19,T_SelfStock_Log[WeekIndex],73)=0,"",SUMIFS(T_SelfStock_Log[Self_Qty],T_SelfStock_Log[Part Name],$A19,T_SelfStock_Log[WeekIndex],73))</f>
        <v/>
      </c>
      <c r="BW19" s="13">
        <f>IF(COUNTIFS(T_SelfStock_Log[Part Name],$A19,T_SelfStock_Log[WeekIndex],74)=0,"",SUMIFS(T_SelfStock_Log[Self_Qty],T_SelfStock_Log[Part Name],$A19,T_SelfStock_Log[WeekIndex],74))</f>
        <v/>
      </c>
      <c r="BX19" s="13">
        <f>IF(COUNTIFS(T_SelfStock_Log[Part Name],$A19,T_SelfStock_Log[WeekIndex],75)=0,"",SUMIFS(T_SelfStock_Log[Self_Qty],T_SelfStock_Log[Part Name],$A19,T_SelfStock_Log[WeekIndex],75))</f>
        <v/>
      </c>
      <c r="BY19" s="13">
        <f>IF(COUNTIFS(T_SelfStock_Log[Part Name],$A19,T_SelfStock_Log[WeekIndex],76)=0,"",SUMIFS(T_SelfStock_Log[Self_Qty],T_SelfStock_Log[Part Name],$A19,T_SelfStock_Log[WeekIndex],76))</f>
        <v/>
      </c>
      <c r="BZ19" s="13">
        <f>IF(COUNTIFS(T_SelfStock_Log[Part Name],$A19,T_SelfStock_Log[WeekIndex],77)=0,"",SUMIFS(T_SelfStock_Log[Self_Qty],T_SelfStock_Log[Part Name],$A19,T_SelfStock_Log[WeekIndex],77))</f>
        <v/>
      </c>
      <c r="CA19" s="13">
        <f>IF(COUNTIFS(T_SelfStock_Log[Part Name],$A19,T_SelfStock_Log[WeekIndex],78)=0,"",SUMIFS(T_SelfStock_Log[Self_Qty],T_SelfStock_Log[Part Name],$A19,T_SelfStock_Log[WeekIndex],78))</f>
        <v/>
      </c>
      <c r="CB19" s="13">
        <f>IF(COUNTIFS(T_SelfStock_Log[Part Name],$A19,T_SelfStock_Log[WeekIndex],79)=0,"",SUMIFS(T_SelfStock_Log[Self_Qty],T_SelfStock_Log[Part Name],$A19,T_SelfStock_Log[WeekIndex],79))</f>
        <v/>
      </c>
      <c r="CC19" s="13">
        <f>IF(COUNTIFS(T_SelfStock_Log[Part Name],$A19,T_SelfStock_Log[WeekIndex],80)=0,"",SUMIFS(T_SelfStock_Log[Self_Qty],T_SelfStock_Log[Part Name],$A19,T_SelfStock_Log[WeekIndex],80))</f>
        <v/>
      </c>
      <c r="CD19" s="13">
        <f>IF(COUNTIFS(T_SelfStock_Log[Part Name],$A19,T_SelfStock_Log[WeekIndex],81)=0,"",SUMIFS(T_SelfStock_Log[Self_Qty],T_SelfStock_Log[Part Name],$A19,T_SelfStock_Log[WeekIndex],81))</f>
        <v/>
      </c>
      <c r="CE19" s="13">
        <f>IF(COUNTIFS(T_SelfStock_Log[Part Name],$A19,T_SelfStock_Log[WeekIndex],82)=0,"",SUMIFS(T_SelfStock_Log[Self_Qty],T_SelfStock_Log[Part Name],$A19,T_SelfStock_Log[WeekIndex],82))</f>
        <v/>
      </c>
      <c r="CF19" s="13">
        <f>IF(COUNTIFS(T_SelfStock_Log[Part Name],$A19,T_SelfStock_Log[WeekIndex],83)=0,"",SUMIFS(T_SelfStock_Log[Self_Qty],T_SelfStock_Log[Part Name],$A19,T_SelfStock_Log[WeekIndex],83))</f>
        <v/>
      </c>
      <c r="CG19" s="13">
        <f>IF(COUNTIFS(T_SelfStock_Log[Part Name],$A19,T_SelfStock_Log[WeekIndex],84)=0,"",SUMIFS(T_SelfStock_Log[Self_Qty],T_SelfStock_Log[Part Name],$A19,T_SelfStock_Log[WeekIndex],84))</f>
        <v/>
      </c>
      <c r="CH19" s="13">
        <f>IF(COUNTIFS(T_SelfStock_Log[Part Name],$A19,T_SelfStock_Log[WeekIndex],85)=0,"",SUMIFS(T_SelfStock_Log[Self_Qty],T_SelfStock_Log[Part Name],$A19,T_SelfStock_Log[WeekIndex],85))</f>
        <v/>
      </c>
      <c r="CI19" s="13">
        <f>IF(COUNTIFS(T_SelfStock_Log[Part Name],$A19,T_SelfStock_Log[WeekIndex],86)=0,"",SUMIFS(T_SelfStock_Log[Self_Qty],T_SelfStock_Log[Part Name],$A19,T_SelfStock_Log[WeekIndex],86))</f>
        <v/>
      </c>
      <c r="CJ19" s="13">
        <f>IF(COUNTIFS(T_SelfStock_Log[Part Name],$A19,T_SelfStock_Log[WeekIndex],87)=0,"",SUMIFS(T_SelfStock_Log[Self_Qty],T_SelfStock_Log[Part Name],$A19,T_SelfStock_Log[WeekIndex],87))</f>
        <v/>
      </c>
      <c r="CK19" s="13">
        <f>IF(COUNTIFS(T_SelfStock_Log[Part Name],$A19,T_SelfStock_Log[WeekIndex],88)=0,"",SUMIFS(T_SelfStock_Log[Self_Qty],T_SelfStock_Log[Part Name],$A19,T_SelfStock_Log[WeekIndex],88))</f>
        <v/>
      </c>
      <c r="CL19" s="13">
        <f>IF(COUNTIFS(T_SelfStock_Log[Part Name],$A19,T_SelfStock_Log[WeekIndex],89)=0,"",SUMIFS(T_SelfStock_Log[Self_Qty],T_SelfStock_Log[Part Name],$A19,T_SelfStock_Log[WeekIndex],89))</f>
        <v/>
      </c>
      <c r="CM19" s="13">
        <f>IF(COUNTIFS(T_SelfStock_Log[Part Name],$A19,T_SelfStock_Log[WeekIndex],90)=0,"",SUMIFS(T_SelfStock_Log[Self_Qty],T_SelfStock_Log[Part Name],$A19,T_SelfStock_Log[WeekIndex],90))</f>
        <v/>
      </c>
      <c r="CN19" s="13">
        <f>IF(COUNTIFS(T_SelfStock_Log[Part Name],$A19,T_SelfStock_Log[WeekIndex],91)=0,"",SUMIFS(T_SelfStock_Log[Self_Qty],T_SelfStock_Log[Part Name],$A19,T_SelfStock_Log[WeekIndex],91))</f>
        <v/>
      </c>
      <c r="CO19" s="13">
        <f>IF(COUNTIFS(T_SelfStock_Log[Part Name],$A19,T_SelfStock_Log[WeekIndex],92)=0,"",SUMIFS(T_SelfStock_Log[Self_Qty],T_SelfStock_Log[Part Name],$A19,T_SelfStock_Log[WeekIndex],92))</f>
        <v/>
      </c>
      <c r="CP19" s="13">
        <f>IF(COUNTIFS(T_SelfStock_Log[Part Name],$A19,T_SelfStock_Log[WeekIndex],93)=0,"",SUMIFS(T_SelfStock_Log[Self_Qty],T_SelfStock_Log[Part Name],$A19,T_SelfStock_Log[WeekIndex],93))</f>
        <v/>
      </c>
      <c r="CQ19" s="13">
        <f>IF(COUNTIFS(T_SelfStock_Log[Part Name],$A19,T_SelfStock_Log[WeekIndex],94)=0,"",SUMIFS(T_SelfStock_Log[Self_Qty],T_SelfStock_Log[Part Name],$A19,T_SelfStock_Log[WeekIndex],94))</f>
        <v/>
      </c>
      <c r="CR19" s="13">
        <f>IF(COUNTIFS(T_SelfStock_Log[Part Name],$A19,T_SelfStock_Log[WeekIndex],95)=0,"",SUMIFS(T_SelfStock_Log[Self_Qty],T_SelfStock_Log[Part Name],$A19,T_SelfStock_Log[WeekIndex],95))</f>
        <v/>
      </c>
      <c r="CS19" s="13">
        <f>IF(COUNTIFS(T_SelfStock_Log[Part Name],$A19,T_SelfStock_Log[WeekIndex],96)=0,"",SUMIFS(T_SelfStock_Log[Self_Qty],T_SelfStock_Log[Part Name],$A19,T_SelfStock_Log[WeekIndex],96))</f>
        <v/>
      </c>
      <c r="CT19" s="13">
        <f>IF(COUNTIFS(T_SelfStock_Log[Part Name],$A19,T_SelfStock_Log[WeekIndex],97)=0,"",SUMIFS(T_SelfStock_Log[Self_Qty],T_SelfStock_Log[Part Name],$A19,T_SelfStock_Log[WeekIndex],97))</f>
        <v/>
      </c>
      <c r="CU19" s="13">
        <f>IF(COUNTIFS(T_SelfStock_Log[Part Name],$A19,T_SelfStock_Log[WeekIndex],98)=0,"",SUMIFS(T_SelfStock_Log[Self_Qty],T_SelfStock_Log[Part Name],$A19,T_SelfStock_Log[WeekIndex],98))</f>
        <v/>
      </c>
      <c r="CV19" s="13">
        <f>IF(COUNTIFS(T_SelfStock_Log[Part Name],$A19,T_SelfStock_Log[WeekIndex],99)=0,"",SUMIFS(T_SelfStock_Log[Self_Qty],T_SelfStock_Log[Part Name],$A19,T_SelfStock_Log[WeekIndex],99))</f>
        <v/>
      </c>
      <c r="CW19" s="13">
        <f>IF(COUNTIFS(T_SelfStock_Log[Part Name],$A19,T_SelfStock_Log[WeekIndex],100)=0,"",SUMIFS(T_SelfStock_Log[Self_Qty],T_SelfStock_Log[Part Name],$A19,T_SelfStock_Log[WeekIndex],100))</f>
        <v/>
      </c>
      <c r="CX19" s="13">
        <f>IF(COUNTIFS(T_SelfStock_Log[Part Name],$A19,T_SelfStock_Log[WeekIndex],101)=0,"",SUMIFS(T_SelfStock_Log[Self_Qty],T_SelfStock_Log[Part Name],$A19,T_SelfStock_Log[WeekIndex],101))</f>
        <v/>
      </c>
      <c r="CY19" s="13">
        <f>IF(COUNTIFS(T_SelfStock_Log[Part Name],$A19,T_SelfStock_Log[WeekIndex],102)=0,"",SUMIFS(T_SelfStock_Log[Self_Qty],T_SelfStock_Log[Part Name],$A19,T_SelfStock_Log[WeekIndex],102))</f>
        <v/>
      </c>
      <c r="CZ19" s="13">
        <f>IF(COUNTIFS(T_SelfStock_Log[Part Name],$A19,T_SelfStock_Log[WeekIndex],103)=0,"",SUMIFS(T_SelfStock_Log[Self_Qty],T_SelfStock_Log[Part Name],$A19,T_SelfStock_Log[WeekIndex],103))</f>
        <v/>
      </c>
      <c r="DA19" s="13">
        <f>IF(COUNTIFS(T_SelfStock_Log[Part Name],$A19,T_SelfStock_Log[WeekIndex],104)=0,"",SUMIFS(T_SelfStock_Log[Self_Qty],T_SelfStock_Log[Part Name],$A19,T_SelfStock_Log[WeekIndex],104))</f>
        <v/>
      </c>
    </row>
    <row r="20">
      <c r="A20" s="12" t="inlineStr">
        <is>
          <t>CHEM-1570</t>
        </is>
      </c>
      <c r="B20" s="12">
        <f>IF(COUNTIFS(T_SelfStock_Log[Part Name],$A20,T_SelfStock_Log[WeekIndex],1)=0,"",SUMIFS(T_SelfStock_Log[Self_Qty],T_SelfStock_Log[Part Name],$A20,T_SelfStock_Log[WeekIndex],1))</f>
        <v/>
      </c>
      <c r="C20" s="12">
        <f>IF(COUNTIFS(T_SelfStock_Log[Part Name],$A20,T_SelfStock_Log[WeekIndex],2)=0,"",SUMIFS(T_SelfStock_Log[Self_Qty],T_SelfStock_Log[Part Name],$A20,T_SelfStock_Log[WeekIndex],2))</f>
        <v/>
      </c>
      <c r="D20" s="12">
        <f>IF(COUNTIFS(T_SelfStock_Log[Part Name],$A20,T_SelfStock_Log[WeekIndex],3)=0,"",SUMIFS(T_SelfStock_Log[Self_Qty],T_SelfStock_Log[Part Name],$A20,T_SelfStock_Log[WeekIndex],3))</f>
        <v/>
      </c>
      <c r="E20" s="12">
        <f>IF(COUNTIFS(T_SelfStock_Log[Part Name],$A20,T_SelfStock_Log[WeekIndex],4)=0,"",SUMIFS(T_SelfStock_Log[Self_Qty],T_SelfStock_Log[Part Name],$A20,T_SelfStock_Log[WeekIndex],4))</f>
        <v/>
      </c>
      <c r="F20" s="12">
        <f>IF(COUNTIFS(T_SelfStock_Log[Part Name],$A20,T_SelfStock_Log[WeekIndex],5)=0,"",SUMIFS(T_SelfStock_Log[Self_Qty],T_SelfStock_Log[Part Name],$A20,T_SelfStock_Log[WeekIndex],5))</f>
        <v/>
      </c>
      <c r="G20" s="12">
        <f>IF(COUNTIFS(T_SelfStock_Log[Part Name],$A20,T_SelfStock_Log[WeekIndex],6)=0,"",SUMIFS(T_SelfStock_Log[Self_Qty],T_SelfStock_Log[Part Name],$A20,T_SelfStock_Log[WeekIndex],6))</f>
        <v/>
      </c>
      <c r="H20" s="12">
        <f>IF(COUNTIFS(T_SelfStock_Log[Part Name],$A20,T_SelfStock_Log[WeekIndex],7)=0,"",SUMIFS(T_SelfStock_Log[Self_Qty],T_SelfStock_Log[Part Name],$A20,T_SelfStock_Log[WeekIndex],7))</f>
        <v/>
      </c>
      <c r="I20" s="12">
        <f>IF(COUNTIFS(T_SelfStock_Log[Part Name],$A20,T_SelfStock_Log[WeekIndex],8)=0,"",SUMIFS(T_SelfStock_Log[Self_Qty],T_SelfStock_Log[Part Name],$A20,T_SelfStock_Log[WeekIndex],8))</f>
        <v/>
      </c>
      <c r="J20" s="12">
        <f>IF(COUNTIFS(T_SelfStock_Log[Part Name],$A20,T_SelfStock_Log[WeekIndex],9)=0,"",SUMIFS(T_SelfStock_Log[Self_Qty],T_SelfStock_Log[Part Name],$A20,T_SelfStock_Log[WeekIndex],9))</f>
        <v/>
      </c>
      <c r="K20" s="12">
        <f>IF(COUNTIFS(T_SelfStock_Log[Part Name],$A20,T_SelfStock_Log[WeekIndex],10)=0,"",SUMIFS(T_SelfStock_Log[Self_Qty],T_SelfStock_Log[Part Name],$A20,T_SelfStock_Log[WeekIndex],10))</f>
        <v/>
      </c>
      <c r="L20" s="12">
        <f>IF(COUNTIFS(T_SelfStock_Log[Part Name],$A20,T_SelfStock_Log[WeekIndex],11)=0,"",SUMIFS(T_SelfStock_Log[Self_Qty],T_SelfStock_Log[Part Name],$A20,T_SelfStock_Log[WeekIndex],11))</f>
        <v/>
      </c>
      <c r="M20" s="12">
        <f>IF(COUNTIFS(T_SelfStock_Log[Part Name],$A20,T_SelfStock_Log[WeekIndex],12)=0,"",SUMIFS(T_SelfStock_Log[Self_Qty],T_SelfStock_Log[Part Name],$A20,T_SelfStock_Log[WeekIndex],12))</f>
        <v/>
      </c>
      <c r="N20" s="12">
        <f>IF(COUNTIFS(T_SelfStock_Log[Part Name],$A20,T_SelfStock_Log[WeekIndex],13)=0,"",SUMIFS(T_SelfStock_Log[Self_Qty],T_SelfStock_Log[Part Name],$A20,T_SelfStock_Log[WeekIndex],13))</f>
        <v/>
      </c>
      <c r="O20" s="12">
        <f>IF(COUNTIFS(T_SelfStock_Log[Part Name],$A20,T_SelfStock_Log[WeekIndex],14)=0,"",SUMIFS(T_SelfStock_Log[Self_Qty],T_SelfStock_Log[Part Name],$A20,T_SelfStock_Log[WeekIndex],14))</f>
        <v/>
      </c>
      <c r="P20" s="12">
        <f>IF(COUNTIFS(T_SelfStock_Log[Part Name],$A20,T_SelfStock_Log[WeekIndex],15)=0,"",SUMIFS(T_SelfStock_Log[Self_Qty],T_SelfStock_Log[Part Name],$A20,T_SelfStock_Log[WeekIndex],15))</f>
        <v/>
      </c>
      <c r="Q20" s="12">
        <f>IF(COUNTIFS(T_SelfStock_Log[Part Name],$A20,T_SelfStock_Log[WeekIndex],16)=0,"",SUMIFS(T_SelfStock_Log[Self_Qty],T_SelfStock_Log[Part Name],$A20,T_SelfStock_Log[WeekIndex],16))</f>
        <v/>
      </c>
      <c r="R20" s="12">
        <f>IF(COUNTIFS(T_SelfStock_Log[Part Name],$A20,T_SelfStock_Log[WeekIndex],17)=0,"",SUMIFS(T_SelfStock_Log[Self_Qty],T_SelfStock_Log[Part Name],$A20,T_SelfStock_Log[WeekIndex],17))</f>
        <v/>
      </c>
      <c r="S20" s="12">
        <f>IF(COUNTIFS(T_SelfStock_Log[Part Name],$A20,T_SelfStock_Log[WeekIndex],18)=0,"",SUMIFS(T_SelfStock_Log[Self_Qty],T_SelfStock_Log[Part Name],$A20,T_SelfStock_Log[WeekIndex],18))</f>
        <v/>
      </c>
      <c r="T20" s="12">
        <f>IF(COUNTIFS(T_SelfStock_Log[Part Name],$A20,T_SelfStock_Log[WeekIndex],19)=0,"",SUMIFS(T_SelfStock_Log[Self_Qty],T_SelfStock_Log[Part Name],$A20,T_SelfStock_Log[WeekIndex],19))</f>
        <v/>
      </c>
      <c r="U20" s="12">
        <f>IF(COUNTIFS(T_SelfStock_Log[Part Name],$A20,T_SelfStock_Log[WeekIndex],20)=0,"",SUMIFS(T_SelfStock_Log[Self_Qty],T_SelfStock_Log[Part Name],$A20,T_SelfStock_Log[WeekIndex],20))</f>
        <v/>
      </c>
      <c r="V20" s="12">
        <f>IF(COUNTIFS(T_SelfStock_Log[Part Name],$A20,T_SelfStock_Log[WeekIndex],21)=0,"",SUMIFS(T_SelfStock_Log[Self_Qty],T_SelfStock_Log[Part Name],$A20,T_SelfStock_Log[WeekIndex],21))</f>
        <v/>
      </c>
      <c r="W20" s="12">
        <f>IF(COUNTIFS(T_SelfStock_Log[Part Name],$A20,T_SelfStock_Log[WeekIndex],22)=0,"",SUMIFS(T_SelfStock_Log[Self_Qty],T_SelfStock_Log[Part Name],$A20,T_SelfStock_Log[WeekIndex],22))</f>
        <v/>
      </c>
      <c r="X20" s="12">
        <f>IF(COUNTIFS(T_SelfStock_Log[Part Name],$A20,T_SelfStock_Log[WeekIndex],23)=0,"",SUMIFS(T_SelfStock_Log[Self_Qty],T_SelfStock_Log[Part Name],$A20,T_SelfStock_Log[WeekIndex],23))</f>
        <v/>
      </c>
      <c r="Y20" s="12">
        <f>IF(COUNTIFS(T_SelfStock_Log[Part Name],$A20,T_SelfStock_Log[WeekIndex],24)=0,"",SUMIFS(T_SelfStock_Log[Self_Qty],T_SelfStock_Log[Part Name],$A20,T_SelfStock_Log[WeekIndex],24))</f>
        <v/>
      </c>
      <c r="Z20" s="12">
        <f>IF(COUNTIFS(T_SelfStock_Log[Part Name],$A20,T_SelfStock_Log[WeekIndex],25)=0,"",SUMIFS(T_SelfStock_Log[Self_Qty],T_SelfStock_Log[Part Name],$A20,T_SelfStock_Log[WeekIndex],25))</f>
        <v/>
      </c>
      <c r="AA20" s="12">
        <f>IF(COUNTIFS(T_SelfStock_Log[Part Name],$A20,T_SelfStock_Log[WeekIndex],26)=0,"",SUMIFS(T_SelfStock_Log[Self_Qty],T_SelfStock_Log[Part Name],$A20,T_SelfStock_Log[WeekIndex],26))</f>
        <v/>
      </c>
      <c r="AB20" s="12">
        <f>IF(COUNTIFS(T_SelfStock_Log[Part Name],$A20,T_SelfStock_Log[WeekIndex],27)=0,"",SUMIFS(T_SelfStock_Log[Self_Qty],T_SelfStock_Log[Part Name],$A20,T_SelfStock_Log[WeekIndex],27))</f>
        <v/>
      </c>
      <c r="AC20" s="12">
        <f>IF(COUNTIFS(T_SelfStock_Log[Part Name],$A20,T_SelfStock_Log[WeekIndex],28)=0,"",SUMIFS(T_SelfStock_Log[Self_Qty],T_SelfStock_Log[Part Name],$A20,T_SelfStock_Log[WeekIndex],28))</f>
        <v/>
      </c>
      <c r="AD20" s="12">
        <f>IF(COUNTIFS(T_SelfStock_Log[Part Name],$A20,T_SelfStock_Log[WeekIndex],29)=0,"",SUMIFS(T_SelfStock_Log[Self_Qty],T_SelfStock_Log[Part Name],$A20,T_SelfStock_Log[WeekIndex],29))</f>
        <v/>
      </c>
      <c r="AE20" s="12">
        <f>IF(COUNTIFS(T_SelfStock_Log[Part Name],$A20,T_SelfStock_Log[WeekIndex],30)=0,"",SUMIFS(T_SelfStock_Log[Self_Qty],T_SelfStock_Log[Part Name],$A20,T_SelfStock_Log[WeekIndex],30))</f>
        <v/>
      </c>
      <c r="AF20" s="12">
        <f>IF(COUNTIFS(T_SelfStock_Log[Part Name],$A20,T_SelfStock_Log[WeekIndex],31)=0,"",SUMIFS(T_SelfStock_Log[Self_Qty],T_SelfStock_Log[Part Name],$A20,T_SelfStock_Log[WeekIndex],31))</f>
        <v/>
      </c>
      <c r="AG20" s="12">
        <f>IF(COUNTIFS(T_SelfStock_Log[Part Name],$A20,T_SelfStock_Log[WeekIndex],32)=0,"",SUMIFS(T_SelfStock_Log[Self_Qty],T_SelfStock_Log[Part Name],$A20,T_SelfStock_Log[WeekIndex],32))</f>
        <v/>
      </c>
      <c r="AH20" s="12">
        <f>IF(COUNTIFS(T_SelfStock_Log[Part Name],$A20,T_SelfStock_Log[WeekIndex],33)=0,"",SUMIFS(T_SelfStock_Log[Self_Qty],T_SelfStock_Log[Part Name],$A20,T_SelfStock_Log[WeekIndex],33))</f>
        <v/>
      </c>
      <c r="AI20" s="12">
        <f>IF(COUNTIFS(T_SelfStock_Log[Part Name],$A20,T_SelfStock_Log[WeekIndex],34)=0,"",SUMIFS(T_SelfStock_Log[Self_Qty],T_SelfStock_Log[Part Name],$A20,T_SelfStock_Log[WeekIndex],34))</f>
        <v/>
      </c>
      <c r="AJ20" s="12">
        <f>IF(COUNTIFS(T_SelfStock_Log[Part Name],$A20,T_SelfStock_Log[WeekIndex],35)=0,"",SUMIFS(T_SelfStock_Log[Self_Qty],T_SelfStock_Log[Part Name],$A20,T_SelfStock_Log[WeekIndex],35))</f>
        <v/>
      </c>
      <c r="AK20" s="12">
        <f>IF(COUNTIFS(T_SelfStock_Log[Part Name],$A20,T_SelfStock_Log[WeekIndex],36)=0,"",SUMIFS(T_SelfStock_Log[Self_Qty],T_SelfStock_Log[Part Name],$A20,T_SelfStock_Log[WeekIndex],36))</f>
        <v/>
      </c>
      <c r="AL20" s="12">
        <f>IF(COUNTIFS(T_SelfStock_Log[Part Name],$A20,T_SelfStock_Log[WeekIndex],37)=0,"",SUMIFS(T_SelfStock_Log[Self_Qty],T_SelfStock_Log[Part Name],$A20,T_SelfStock_Log[WeekIndex],37))</f>
        <v/>
      </c>
      <c r="AM20" s="12">
        <f>IF(COUNTIFS(T_SelfStock_Log[Part Name],$A20,T_SelfStock_Log[WeekIndex],38)=0,"",SUMIFS(T_SelfStock_Log[Self_Qty],T_SelfStock_Log[Part Name],$A20,T_SelfStock_Log[WeekIndex],38))</f>
        <v/>
      </c>
      <c r="AN20" s="12">
        <f>IF(COUNTIFS(T_SelfStock_Log[Part Name],$A20,T_SelfStock_Log[WeekIndex],39)=0,"",SUMIFS(T_SelfStock_Log[Self_Qty],T_SelfStock_Log[Part Name],$A20,T_SelfStock_Log[WeekIndex],39))</f>
        <v/>
      </c>
      <c r="AO20" s="12">
        <f>IF(COUNTIFS(T_SelfStock_Log[Part Name],$A20,T_SelfStock_Log[WeekIndex],40)=0,"",SUMIFS(T_SelfStock_Log[Self_Qty],T_SelfStock_Log[Part Name],$A20,T_SelfStock_Log[WeekIndex],40))</f>
        <v/>
      </c>
      <c r="AP20" s="12">
        <f>IF(COUNTIFS(T_SelfStock_Log[Part Name],$A20,T_SelfStock_Log[WeekIndex],41)=0,"",SUMIFS(T_SelfStock_Log[Self_Qty],T_SelfStock_Log[Part Name],$A20,T_SelfStock_Log[WeekIndex],41))</f>
        <v/>
      </c>
      <c r="AQ20" s="12">
        <f>IF(COUNTIFS(T_SelfStock_Log[Part Name],$A20,T_SelfStock_Log[WeekIndex],42)=0,"",SUMIFS(T_SelfStock_Log[Self_Qty],T_SelfStock_Log[Part Name],$A20,T_SelfStock_Log[WeekIndex],42))</f>
        <v/>
      </c>
      <c r="AR20" s="12">
        <f>IF(COUNTIFS(T_SelfStock_Log[Part Name],$A20,T_SelfStock_Log[WeekIndex],43)=0,"",SUMIFS(T_SelfStock_Log[Self_Qty],T_SelfStock_Log[Part Name],$A20,T_SelfStock_Log[WeekIndex],43))</f>
        <v/>
      </c>
      <c r="AS20" s="12">
        <f>IF(COUNTIFS(T_SelfStock_Log[Part Name],$A20,T_SelfStock_Log[WeekIndex],44)=0,"",SUMIFS(T_SelfStock_Log[Self_Qty],T_SelfStock_Log[Part Name],$A20,T_SelfStock_Log[WeekIndex],44))</f>
        <v/>
      </c>
      <c r="AT20" s="12">
        <f>IF(COUNTIFS(T_SelfStock_Log[Part Name],$A20,T_SelfStock_Log[WeekIndex],45)=0,"",SUMIFS(T_SelfStock_Log[Self_Qty],T_SelfStock_Log[Part Name],$A20,T_SelfStock_Log[WeekIndex],45))</f>
        <v/>
      </c>
      <c r="AU20" s="12">
        <f>IF(COUNTIFS(T_SelfStock_Log[Part Name],$A20,T_SelfStock_Log[WeekIndex],46)=0,"",SUMIFS(T_SelfStock_Log[Self_Qty],T_SelfStock_Log[Part Name],$A20,T_SelfStock_Log[WeekIndex],46))</f>
        <v/>
      </c>
      <c r="AV20" s="12">
        <f>IF(COUNTIFS(T_SelfStock_Log[Part Name],$A20,T_SelfStock_Log[WeekIndex],47)=0,"",SUMIFS(T_SelfStock_Log[Self_Qty],T_SelfStock_Log[Part Name],$A20,T_SelfStock_Log[WeekIndex],47))</f>
        <v/>
      </c>
      <c r="AW20" s="12">
        <f>IF(COUNTIFS(T_SelfStock_Log[Part Name],$A20,T_SelfStock_Log[WeekIndex],48)=0,"",SUMIFS(T_SelfStock_Log[Self_Qty],T_SelfStock_Log[Part Name],$A20,T_SelfStock_Log[WeekIndex],48))</f>
        <v/>
      </c>
      <c r="AX20" s="12">
        <f>IF(COUNTIFS(T_SelfStock_Log[Part Name],$A20,T_SelfStock_Log[WeekIndex],49)=0,"",SUMIFS(T_SelfStock_Log[Self_Qty],T_SelfStock_Log[Part Name],$A20,T_SelfStock_Log[WeekIndex],49))</f>
        <v/>
      </c>
      <c r="AY20" s="12">
        <f>IF(COUNTIFS(T_SelfStock_Log[Part Name],$A20,T_SelfStock_Log[WeekIndex],50)=0,"",SUMIFS(T_SelfStock_Log[Self_Qty],T_SelfStock_Log[Part Name],$A20,T_SelfStock_Log[WeekIndex],50))</f>
        <v/>
      </c>
      <c r="AZ20" s="12">
        <f>IF(COUNTIFS(T_SelfStock_Log[Part Name],$A20,T_SelfStock_Log[WeekIndex],51)=0,"",SUMIFS(T_SelfStock_Log[Self_Qty],T_SelfStock_Log[Part Name],$A20,T_SelfStock_Log[WeekIndex],51))</f>
        <v/>
      </c>
      <c r="BA20" s="12">
        <f>IF(COUNTIFS(T_SelfStock_Log[Part Name],$A20,T_SelfStock_Log[WeekIndex],52)=0,"",SUMIFS(T_SelfStock_Log[Self_Qty],T_SelfStock_Log[Part Name],$A20,T_SelfStock_Log[WeekIndex],52))</f>
        <v/>
      </c>
      <c r="BB20" s="12">
        <f>IF(COUNTIFS(T_SelfStock_Log[Part Name],$A20,T_SelfStock_Log[WeekIndex],53)=0,"",SUMIFS(T_SelfStock_Log[Self_Qty],T_SelfStock_Log[Part Name],$A20,T_SelfStock_Log[WeekIndex],53))</f>
        <v/>
      </c>
      <c r="BC20" s="12">
        <f>IF(COUNTIFS(T_SelfStock_Log[Part Name],$A20,T_SelfStock_Log[WeekIndex],54)=0,"",SUMIFS(T_SelfStock_Log[Self_Qty],T_SelfStock_Log[Part Name],$A20,T_SelfStock_Log[WeekIndex],54))</f>
        <v/>
      </c>
      <c r="BD20" s="12">
        <f>IF(COUNTIFS(T_SelfStock_Log[Part Name],$A20,T_SelfStock_Log[WeekIndex],55)=0,"",SUMIFS(T_SelfStock_Log[Self_Qty],T_SelfStock_Log[Part Name],$A20,T_SelfStock_Log[WeekIndex],55))</f>
        <v/>
      </c>
      <c r="BE20" s="12">
        <f>IF(COUNTIFS(T_SelfStock_Log[Part Name],$A20,T_SelfStock_Log[WeekIndex],56)=0,"",SUMIFS(T_SelfStock_Log[Self_Qty],T_SelfStock_Log[Part Name],$A20,T_SelfStock_Log[WeekIndex],56))</f>
        <v/>
      </c>
      <c r="BF20" s="12">
        <f>IF(COUNTIFS(T_SelfStock_Log[Part Name],$A20,T_SelfStock_Log[WeekIndex],57)=0,"",SUMIFS(T_SelfStock_Log[Self_Qty],T_SelfStock_Log[Part Name],$A20,T_SelfStock_Log[WeekIndex],57))</f>
        <v/>
      </c>
      <c r="BG20" s="12">
        <f>IF(COUNTIFS(T_SelfStock_Log[Part Name],$A20,T_SelfStock_Log[WeekIndex],58)=0,"",SUMIFS(T_SelfStock_Log[Self_Qty],T_SelfStock_Log[Part Name],$A20,T_SelfStock_Log[WeekIndex],58))</f>
        <v/>
      </c>
      <c r="BH20" s="12">
        <f>IF(COUNTIFS(T_SelfStock_Log[Part Name],$A20,T_SelfStock_Log[WeekIndex],59)=0,"",SUMIFS(T_SelfStock_Log[Self_Qty],T_SelfStock_Log[Part Name],$A20,T_SelfStock_Log[WeekIndex],59))</f>
        <v/>
      </c>
      <c r="BI20" s="12">
        <f>IF(COUNTIFS(T_SelfStock_Log[Part Name],$A20,T_SelfStock_Log[WeekIndex],60)=0,"",SUMIFS(T_SelfStock_Log[Self_Qty],T_SelfStock_Log[Part Name],$A20,T_SelfStock_Log[WeekIndex],60))</f>
        <v/>
      </c>
      <c r="BJ20" s="12">
        <f>IF(COUNTIFS(T_SelfStock_Log[Part Name],$A20,T_SelfStock_Log[WeekIndex],61)=0,"",SUMIFS(T_SelfStock_Log[Self_Qty],T_SelfStock_Log[Part Name],$A20,T_SelfStock_Log[WeekIndex],61))</f>
        <v/>
      </c>
      <c r="BK20" s="12">
        <f>IF(COUNTIFS(T_SelfStock_Log[Part Name],$A20,T_SelfStock_Log[WeekIndex],62)=0,"",SUMIFS(T_SelfStock_Log[Self_Qty],T_SelfStock_Log[Part Name],$A20,T_SelfStock_Log[WeekIndex],62))</f>
        <v/>
      </c>
      <c r="BL20" s="12">
        <f>IF(COUNTIFS(T_SelfStock_Log[Part Name],$A20,T_SelfStock_Log[WeekIndex],63)=0,"",SUMIFS(T_SelfStock_Log[Self_Qty],T_SelfStock_Log[Part Name],$A20,T_SelfStock_Log[WeekIndex],63))</f>
        <v/>
      </c>
      <c r="BM20" s="12">
        <f>IF(COUNTIFS(T_SelfStock_Log[Part Name],$A20,T_SelfStock_Log[WeekIndex],64)=0,"",SUMIFS(T_SelfStock_Log[Self_Qty],T_SelfStock_Log[Part Name],$A20,T_SelfStock_Log[WeekIndex],64))</f>
        <v/>
      </c>
      <c r="BN20" s="12">
        <f>IF(COUNTIFS(T_SelfStock_Log[Part Name],$A20,T_SelfStock_Log[WeekIndex],65)=0,"",SUMIFS(T_SelfStock_Log[Self_Qty],T_SelfStock_Log[Part Name],$A20,T_SelfStock_Log[WeekIndex],65))</f>
        <v/>
      </c>
      <c r="BO20" s="12">
        <f>IF(COUNTIFS(T_SelfStock_Log[Part Name],$A20,T_SelfStock_Log[WeekIndex],66)=0,"",SUMIFS(T_SelfStock_Log[Self_Qty],T_SelfStock_Log[Part Name],$A20,T_SelfStock_Log[WeekIndex],66))</f>
        <v/>
      </c>
      <c r="BP20" s="12">
        <f>IF(COUNTIFS(T_SelfStock_Log[Part Name],$A20,T_SelfStock_Log[WeekIndex],67)=0,"",SUMIFS(T_SelfStock_Log[Self_Qty],T_SelfStock_Log[Part Name],$A20,T_SelfStock_Log[WeekIndex],67))</f>
        <v/>
      </c>
      <c r="BQ20" s="12">
        <f>IF(COUNTIFS(T_SelfStock_Log[Part Name],$A20,T_SelfStock_Log[WeekIndex],68)=0,"",SUMIFS(T_SelfStock_Log[Self_Qty],T_SelfStock_Log[Part Name],$A20,T_SelfStock_Log[WeekIndex],68))</f>
        <v/>
      </c>
      <c r="BR20" s="12">
        <f>IF(COUNTIFS(T_SelfStock_Log[Part Name],$A20,T_SelfStock_Log[WeekIndex],69)=0,"",SUMIFS(T_SelfStock_Log[Self_Qty],T_SelfStock_Log[Part Name],$A20,T_SelfStock_Log[WeekIndex],69))</f>
        <v/>
      </c>
      <c r="BS20" s="12">
        <f>IF(COUNTIFS(T_SelfStock_Log[Part Name],$A20,T_SelfStock_Log[WeekIndex],70)=0,"",SUMIFS(T_SelfStock_Log[Self_Qty],T_SelfStock_Log[Part Name],$A20,T_SelfStock_Log[WeekIndex],70))</f>
        <v/>
      </c>
      <c r="BT20" s="12">
        <f>IF(COUNTIFS(T_SelfStock_Log[Part Name],$A20,T_SelfStock_Log[WeekIndex],71)=0,"",SUMIFS(T_SelfStock_Log[Self_Qty],T_SelfStock_Log[Part Name],$A20,T_SelfStock_Log[WeekIndex],71))</f>
        <v/>
      </c>
      <c r="BU20" s="12">
        <f>IF(COUNTIFS(T_SelfStock_Log[Part Name],$A20,T_SelfStock_Log[WeekIndex],72)=0,"",SUMIFS(T_SelfStock_Log[Self_Qty],T_SelfStock_Log[Part Name],$A20,T_SelfStock_Log[WeekIndex],72))</f>
        <v/>
      </c>
      <c r="BV20" s="12">
        <f>IF(COUNTIFS(T_SelfStock_Log[Part Name],$A20,T_SelfStock_Log[WeekIndex],73)=0,"",SUMIFS(T_SelfStock_Log[Self_Qty],T_SelfStock_Log[Part Name],$A20,T_SelfStock_Log[WeekIndex],73))</f>
        <v/>
      </c>
      <c r="BW20" s="12">
        <f>IF(COUNTIFS(T_SelfStock_Log[Part Name],$A20,T_SelfStock_Log[WeekIndex],74)=0,"",SUMIFS(T_SelfStock_Log[Self_Qty],T_SelfStock_Log[Part Name],$A20,T_SelfStock_Log[WeekIndex],74))</f>
        <v/>
      </c>
      <c r="BX20" s="12">
        <f>IF(COUNTIFS(T_SelfStock_Log[Part Name],$A20,T_SelfStock_Log[WeekIndex],75)=0,"",SUMIFS(T_SelfStock_Log[Self_Qty],T_SelfStock_Log[Part Name],$A20,T_SelfStock_Log[WeekIndex],75))</f>
        <v/>
      </c>
      <c r="BY20" s="12">
        <f>IF(COUNTIFS(T_SelfStock_Log[Part Name],$A20,T_SelfStock_Log[WeekIndex],76)=0,"",SUMIFS(T_SelfStock_Log[Self_Qty],T_SelfStock_Log[Part Name],$A20,T_SelfStock_Log[WeekIndex],76))</f>
        <v/>
      </c>
      <c r="BZ20" s="12">
        <f>IF(COUNTIFS(T_SelfStock_Log[Part Name],$A20,T_SelfStock_Log[WeekIndex],77)=0,"",SUMIFS(T_SelfStock_Log[Self_Qty],T_SelfStock_Log[Part Name],$A20,T_SelfStock_Log[WeekIndex],77))</f>
        <v/>
      </c>
      <c r="CA20" s="12">
        <f>IF(COUNTIFS(T_SelfStock_Log[Part Name],$A20,T_SelfStock_Log[WeekIndex],78)=0,"",SUMIFS(T_SelfStock_Log[Self_Qty],T_SelfStock_Log[Part Name],$A20,T_SelfStock_Log[WeekIndex],78))</f>
        <v/>
      </c>
      <c r="CB20" s="12">
        <f>IF(COUNTIFS(T_SelfStock_Log[Part Name],$A20,T_SelfStock_Log[WeekIndex],79)=0,"",SUMIFS(T_SelfStock_Log[Self_Qty],T_SelfStock_Log[Part Name],$A20,T_SelfStock_Log[WeekIndex],79))</f>
        <v/>
      </c>
      <c r="CC20" s="12">
        <f>IF(COUNTIFS(T_SelfStock_Log[Part Name],$A20,T_SelfStock_Log[WeekIndex],80)=0,"",SUMIFS(T_SelfStock_Log[Self_Qty],T_SelfStock_Log[Part Name],$A20,T_SelfStock_Log[WeekIndex],80))</f>
        <v/>
      </c>
      <c r="CD20" s="12">
        <f>IF(COUNTIFS(T_SelfStock_Log[Part Name],$A20,T_SelfStock_Log[WeekIndex],81)=0,"",SUMIFS(T_SelfStock_Log[Self_Qty],T_SelfStock_Log[Part Name],$A20,T_SelfStock_Log[WeekIndex],81))</f>
        <v/>
      </c>
      <c r="CE20" s="12">
        <f>IF(COUNTIFS(T_SelfStock_Log[Part Name],$A20,T_SelfStock_Log[WeekIndex],82)=0,"",SUMIFS(T_SelfStock_Log[Self_Qty],T_SelfStock_Log[Part Name],$A20,T_SelfStock_Log[WeekIndex],82))</f>
        <v/>
      </c>
      <c r="CF20" s="12">
        <f>IF(COUNTIFS(T_SelfStock_Log[Part Name],$A20,T_SelfStock_Log[WeekIndex],83)=0,"",SUMIFS(T_SelfStock_Log[Self_Qty],T_SelfStock_Log[Part Name],$A20,T_SelfStock_Log[WeekIndex],83))</f>
        <v/>
      </c>
      <c r="CG20" s="12">
        <f>IF(COUNTIFS(T_SelfStock_Log[Part Name],$A20,T_SelfStock_Log[WeekIndex],84)=0,"",SUMIFS(T_SelfStock_Log[Self_Qty],T_SelfStock_Log[Part Name],$A20,T_SelfStock_Log[WeekIndex],84))</f>
        <v/>
      </c>
      <c r="CH20" s="12">
        <f>IF(COUNTIFS(T_SelfStock_Log[Part Name],$A20,T_SelfStock_Log[WeekIndex],85)=0,"",SUMIFS(T_SelfStock_Log[Self_Qty],T_SelfStock_Log[Part Name],$A20,T_SelfStock_Log[WeekIndex],85))</f>
        <v/>
      </c>
      <c r="CI20" s="12">
        <f>IF(COUNTIFS(T_SelfStock_Log[Part Name],$A20,T_SelfStock_Log[WeekIndex],86)=0,"",SUMIFS(T_SelfStock_Log[Self_Qty],T_SelfStock_Log[Part Name],$A20,T_SelfStock_Log[WeekIndex],86))</f>
        <v/>
      </c>
      <c r="CJ20" s="12">
        <f>IF(COUNTIFS(T_SelfStock_Log[Part Name],$A20,T_SelfStock_Log[WeekIndex],87)=0,"",SUMIFS(T_SelfStock_Log[Self_Qty],T_SelfStock_Log[Part Name],$A20,T_SelfStock_Log[WeekIndex],87))</f>
        <v/>
      </c>
      <c r="CK20" s="12">
        <f>IF(COUNTIFS(T_SelfStock_Log[Part Name],$A20,T_SelfStock_Log[WeekIndex],88)=0,"",SUMIFS(T_SelfStock_Log[Self_Qty],T_SelfStock_Log[Part Name],$A20,T_SelfStock_Log[WeekIndex],88))</f>
        <v/>
      </c>
      <c r="CL20" s="12">
        <f>IF(COUNTIFS(T_SelfStock_Log[Part Name],$A20,T_SelfStock_Log[WeekIndex],89)=0,"",SUMIFS(T_SelfStock_Log[Self_Qty],T_SelfStock_Log[Part Name],$A20,T_SelfStock_Log[WeekIndex],89))</f>
        <v/>
      </c>
      <c r="CM20" s="12">
        <f>IF(COUNTIFS(T_SelfStock_Log[Part Name],$A20,T_SelfStock_Log[WeekIndex],90)=0,"",SUMIFS(T_SelfStock_Log[Self_Qty],T_SelfStock_Log[Part Name],$A20,T_SelfStock_Log[WeekIndex],90))</f>
        <v/>
      </c>
      <c r="CN20" s="12">
        <f>IF(COUNTIFS(T_SelfStock_Log[Part Name],$A20,T_SelfStock_Log[WeekIndex],91)=0,"",SUMIFS(T_SelfStock_Log[Self_Qty],T_SelfStock_Log[Part Name],$A20,T_SelfStock_Log[WeekIndex],91))</f>
        <v/>
      </c>
      <c r="CO20" s="12">
        <f>IF(COUNTIFS(T_SelfStock_Log[Part Name],$A20,T_SelfStock_Log[WeekIndex],92)=0,"",SUMIFS(T_SelfStock_Log[Self_Qty],T_SelfStock_Log[Part Name],$A20,T_SelfStock_Log[WeekIndex],92))</f>
        <v/>
      </c>
      <c r="CP20" s="12">
        <f>IF(COUNTIFS(T_SelfStock_Log[Part Name],$A20,T_SelfStock_Log[WeekIndex],93)=0,"",SUMIFS(T_SelfStock_Log[Self_Qty],T_SelfStock_Log[Part Name],$A20,T_SelfStock_Log[WeekIndex],93))</f>
        <v/>
      </c>
      <c r="CQ20" s="12">
        <f>IF(COUNTIFS(T_SelfStock_Log[Part Name],$A20,T_SelfStock_Log[WeekIndex],94)=0,"",SUMIFS(T_SelfStock_Log[Self_Qty],T_SelfStock_Log[Part Name],$A20,T_SelfStock_Log[WeekIndex],94))</f>
        <v/>
      </c>
      <c r="CR20" s="12">
        <f>IF(COUNTIFS(T_SelfStock_Log[Part Name],$A20,T_SelfStock_Log[WeekIndex],95)=0,"",SUMIFS(T_SelfStock_Log[Self_Qty],T_SelfStock_Log[Part Name],$A20,T_SelfStock_Log[WeekIndex],95))</f>
        <v/>
      </c>
      <c r="CS20" s="12">
        <f>IF(COUNTIFS(T_SelfStock_Log[Part Name],$A20,T_SelfStock_Log[WeekIndex],96)=0,"",SUMIFS(T_SelfStock_Log[Self_Qty],T_SelfStock_Log[Part Name],$A20,T_SelfStock_Log[WeekIndex],96))</f>
        <v/>
      </c>
      <c r="CT20" s="12">
        <f>IF(COUNTIFS(T_SelfStock_Log[Part Name],$A20,T_SelfStock_Log[WeekIndex],97)=0,"",SUMIFS(T_SelfStock_Log[Self_Qty],T_SelfStock_Log[Part Name],$A20,T_SelfStock_Log[WeekIndex],97))</f>
        <v/>
      </c>
      <c r="CU20" s="12">
        <f>IF(COUNTIFS(T_SelfStock_Log[Part Name],$A20,T_SelfStock_Log[WeekIndex],98)=0,"",SUMIFS(T_SelfStock_Log[Self_Qty],T_SelfStock_Log[Part Name],$A20,T_SelfStock_Log[WeekIndex],98))</f>
        <v/>
      </c>
      <c r="CV20" s="12">
        <f>IF(COUNTIFS(T_SelfStock_Log[Part Name],$A20,T_SelfStock_Log[WeekIndex],99)=0,"",SUMIFS(T_SelfStock_Log[Self_Qty],T_SelfStock_Log[Part Name],$A20,T_SelfStock_Log[WeekIndex],99))</f>
        <v/>
      </c>
      <c r="CW20" s="12">
        <f>IF(COUNTIFS(T_SelfStock_Log[Part Name],$A20,T_SelfStock_Log[WeekIndex],100)=0,"",SUMIFS(T_SelfStock_Log[Self_Qty],T_SelfStock_Log[Part Name],$A20,T_SelfStock_Log[WeekIndex],100))</f>
        <v/>
      </c>
      <c r="CX20" s="12">
        <f>IF(COUNTIFS(T_SelfStock_Log[Part Name],$A20,T_SelfStock_Log[WeekIndex],101)=0,"",SUMIFS(T_SelfStock_Log[Self_Qty],T_SelfStock_Log[Part Name],$A20,T_SelfStock_Log[WeekIndex],101))</f>
        <v/>
      </c>
      <c r="CY20" s="12">
        <f>IF(COUNTIFS(T_SelfStock_Log[Part Name],$A20,T_SelfStock_Log[WeekIndex],102)=0,"",SUMIFS(T_SelfStock_Log[Self_Qty],T_SelfStock_Log[Part Name],$A20,T_SelfStock_Log[WeekIndex],102))</f>
        <v/>
      </c>
      <c r="CZ20" s="12">
        <f>IF(COUNTIFS(T_SelfStock_Log[Part Name],$A20,T_SelfStock_Log[WeekIndex],103)=0,"",SUMIFS(T_SelfStock_Log[Self_Qty],T_SelfStock_Log[Part Name],$A20,T_SelfStock_Log[WeekIndex],103))</f>
        <v/>
      </c>
      <c r="DA20" s="12">
        <f>IF(COUNTIFS(T_SelfStock_Log[Part Name],$A20,T_SelfStock_Log[WeekIndex],104)=0,"",SUMIFS(T_SelfStock_Log[Self_Qty],T_SelfStock_Log[Part Name],$A20,T_SelfStock_Log[WeekIndex],104))</f>
        <v/>
      </c>
    </row>
    <row r="21">
      <c r="A21" s="13" t="inlineStr">
        <is>
          <t>CHEM-1650</t>
        </is>
      </c>
      <c r="B21" s="13">
        <f>IF(COUNTIFS(T_SelfStock_Log[Part Name],$A21,T_SelfStock_Log[WeekIndex],1)=0,"",SUMIFS(T_SelfStock_Log[Self_Qty],T_SelfStock_Log[Part Name],$A21,T_SelfStock_Log[WeekIndex],1))</f>
        <v/>
      </c>
      <c r="C21" s="13">
        <f>IF(COUNTIFS(T_SelfStock_Log[Part Name],$A21,T_SelfStock_Log[WeekIndex],2)=0,"",SUMIFS(T_SelfStock_Log[Self_Qty],T_SelfStock_Log[Part Name],$A21,T_SelfStock_Log[WeekIndex],2))</f>
        <v/>
      </c>
      <c r="D21" s="13">
        <f>IF(COUNTIFS(T_SelfStock_Log[Part Name],$A21,T_SelfStock_Log[WeekIndex],3)=0,"",SUMIFS(T_SelfStock_Log[Self_Qty],T_SelfStock_Log[Part Name],$A21,T_SelfStock_Log[WeekIndex],3))</f>
        <v/>
      </c>
      <c r="E21" s="13">
        <f>IF(COUNTIFS(T_SelfStock_Log[Part Name],$A21,T_SelfStock_Log[WeekIndex],4)=0,"",SUMIFS(T_SelfStock_Log[Self_Qty],T_SelfStock_Log[Part Name],$A21,T_SelfStock_Log[WeekIndex],4))</f>
        <v/>
      </c>
      <c r="F21" s="13">
        <f>IF(COUNTIFS(T_SelfStock_Log[Part Name],$A21,T_SelfStock_Log[WeekIndex],5)=0,"",SUMIFS(T_SelfStock_Log[Self_Qty],T_SelfStock_Log[Part Name],$A21,T_SelfStock_Log[WeekIndex],5))</f>
        <v/>
      </c>
      <c r="G21" s="13">
        <f>IF(COUNTIFS(T_SelfStock_Log[Part Name],$A21,T_SelfStock_Log[WeekIndex],6)=0,"",SUMIFS(T_SelfStock_Log[Self_Qty],T_SelfStock_Log[Part Name],$A21,T_SelfStock_Log[WeekIndex],6))</f>
        <v/>
      </c>
      <c r="H21" s="13">
        <f>IF(COUNTIFS(T_SelfStock_Log[Part Name],$A21,T_SelfStock_Log[WeekIndex],7)=0,"",SUMIFS(T_SelfStock_Log[Self_Qty],T_SelfStock_Log[Part Name],$A21,T_SelfStock_Log[WeekIndex],7))</f>
        <v/>
      </c>
      <c r="I21" s="13">
        <f>IF(COUNTIFS(T_SelfStock_Log[Part Name],$A21,T_SelfStock_Log[WeekIndex],8)=0,"",SUMIFS(T_SelfStock_Log[Self_Qty],T_SelfStock_Log[Part Name],$A21,T_SelfStock_Log[WeekIndex],8))</f>
        <v/>
      </c>
      <c r="J21" s="13">
        <f>IF(COUNTIFS(T_SelfStock_Log[Part Name],$A21,T_SelfStock_Log[WeekIndex],9)=0,"",SUMIFS(T_SelfStock_Log[Self_Qty],T_SelfStock_Log[Part Name],$A21,T_SelfStock_Log[WeekIndex],9))</f>
        <v/>
      </c>
      <c r="K21" s="13">
        <f>IF(COUNTIFS(T_SelfStock_Log[Part Name],$A21,T_SelfStock_Log[WeekIndex],10)=0,"",SUMIFS(T_SelfStock_Log[Self_Qty],T_SelfStock_Log[Part Name],$A21,T_SelfStock_Log[WeekIndex],10))</f>
        <v/>
      </c>
      <c r="L21" s="13">
        <f>IF(COUNTIFS(T_SelfStock_Log[Part Name],$A21,T_SelfStock_Log[WeekIndex],11)=0,"",SUMIFS(T_SelfStock_Log[Self_Qty],T_SelfStock_Log[Part Name],$A21,T_SelfStock_Log[WeekIndex],11))</f>
        <v/>
      </c>
      <c r="M21" s="13">
        <f>IF(COUNTIFS(T_SelfStock_Log[Part Name],$A21,T_SelfStock_Log[WeekIndex],12)=0,"",SUMIFS(T_SelfStock_Log[Self_Qty],T_SelfStock_Log[Part Name],$A21,T_SelfStock_Log[WeekIndex],12))</f>
        <v/>
      </c>
      <c r="N21" s="13">
        <f>IF(COUNTIFS(T_SelfStock_Log[Part Name],$A21,T_SelfStock_Log[WeekIndex],13)=0,"",SUMIFS(T_SelfStock_Log[Self_Qty],T_SelfStock_Log[Part Name],$A21,T_SelfStock_Log[WeekIndex],13))</f>
        <v/>
      </c>
      <c r="O21" s="13">
        <f>IF(COUNTIFS(T_SelfStock_Log[Part Name],$A21,T_SelfStock_Log[WeekIndex],14)=0,"",SUMIFS(T_SelfStock_Log[Self_Qty],T_SelfStock_Log[Part Name],$A21,T_SelfStock_Log[WeekIndex],14))</f>
        <v/>
      </c>
      <c r="P21" s="13">
        <f>IF(COUNTIFS(T_SelfStock_Log[Part Name],$A21,T_SelfStock_Log[WeekIndex],15)=0,"",SUMIFS(T_SelfStock_Log[Self_Qty],T_SelfStock_Log[Part Name],$A21,T_SelfStock_Log[WeekIndex],15))</f>
        <v/>
      </c>
      <c r="Q21" s="13">
        <f>IF(COUNTIFS(T_SelfStock_Log[Part Name],$A21,T_SelfStock_Log[WeekIndex],16)=0,"",SUMIFS(T_SelfStock_Log[Self_Qty],T_SelfStock_Log[Part Name],$A21,T_SelfStock_Log[WeekIndex],16))</f>
        <v/>
      </c>
      <c r="R21" s="13">
        <f>IF(COUNTIFS(T_SelfStock_Log[Part Name],$A21,T_SelfStock_Log[WeekIndex],17)=0,"",SUMIFS(T_SelfStock_Log[Self_Qty],T_SelfStock_Log[Part Name],$A21,T_SelfStock_Log[WeekIndex],17))</f>
        <v/>
      </c>
      <c r="S21" s="13">
        <f>IF(COUNTIFS(T_SelfStock_Log[Part Name],$A21,T_SelfStock_Log[WeekIndex],18)=0,"",SUMIFS(T_SelfStock_Log[Self_Qty],T_SelfStock_Log[Part Name],$A21,T_SelfStock_Log[WeekIndex],18))</f>
        <v/>
      </c>
      <c r="T21" s="13">
        <f>IF(COUNTIFS(T_SelfStock_Log[Part Name],$A21,T_SelfStock_Log[WeekIndex],19)=0,"",SUMIFS(T_SelfStock_Log[Self_Qty],T_SelfStock_Log[Part Name],$A21,T_SelfStock_Log[WeekIndex],19))</f>
        <v/>
      </c>
      <c r="U21" s="13">
        <f>IF(COUNTIFS(T_SelfStock_Log[Part Name],$A21,T_SelfStock_Log[WeekIndex],20)=0,"",SUMIFS(T_SelfStock_Log[Self_Qty],T_SelfStock_Log[Part Name],$A21,T_SelfStock_Log[WeekIndex],20))</f>
        <v/>
      </c>
      <c r="V21" s="13">
        <f>IF(COUNTIFS(T_SelfStock_Log[Part Name],$A21,T_SelfStock_Log[WeekIndex],21)=0,"",SUMIFS(T_SelfStock_Log[Self_Qty],T_SelfStock_Log[Part Name],$A21,T_SelfStock_Log[WeekIndex],21))</f>
        <v/>
      </c>
      <c r="W21" s="13">
        <f>IF(COUNTIFS(T_SelfStock_Log[Part Name],$A21,T_SelfStock_Log[WeekIndex],22)=0,"",SUMIFS(T_SelfStock_Log[Self_Qty],T_SelfStock_Log[Part Name],$A21,T_SelfStock_Log[WeekIndex],22))</f>
        <v/>
      </c>
      <c r="X21" s="13">
        <f>IF(COUNTIFS(T_SelfStock_Log[Part Name],$A21,T_SelfStock_Log[WeekIndex],23)=0,"",SUMIFS(T_SelfStock_Log[Self_Qty],T_SelfStock_Log[Part Name],$A21,T_SelfStock_Log[WeekIndex],23))</f>
        <v/>
      </c>
      <c r="Y21" s="13">
        <f>IF(COUNTIFS(T_SelfStock_Log[Part Name],$A21,T_SelfStock_Log[WeekIndex],24)=0,"",SUMIFS(T_SelfStock_Log[Self_Qty],T_SelfStock_Log[Part Name],$A21,T_SelfStock_Log[WeekIndex],24))</f>
        <v/>
      </c>
      <c r="Z21" s="13">
        <f>IF(COUNTIFS(T_SelfStock_Log[Part Name],$A21,T_SelfStock_Log[WeekIndex],25)=0,"",SUMIFS(T_SelfStock_Log[Self_Qty],T_SelfStock_Log[Part Name],$A21,T_SelfStock_Log[WeekIndex],25))</f>
        <v/>
      </c>
      <c r="AA21" s="13">
        <f>IF(COUNTIFS(T_SelfStock_Log[Part Name],$A21,T_SelfStock_Log[WeekIndex],26)=0,"",SUMIFS(T_SelfStock_Log[Self_Qty],T_SelfStock_Log[Part Name],$A21,T_SelfStock_Log[WeekIndex],26))</f>
        <v/>
      </c>
      <c r="AB21" s="13">
        <f>IF(COUNTIFS(T_SelfStock_Log[Part Name],$A21,T_SelfStock_Log[WeekIndex],27)=0,"",SUMIFS(T_SelfStock_Log[Self_Qty],T_SelfStock_Log[Part Name],$A21,T_SelfStock_Log[WeekIndex],27))</f>
        <v/>
      </c>
      <c r="AC21" s="13">
        <f>IF(COUNTIFS(T_SelfStock_Log[Part Name],$A21,T_SelfStock_Log[WeekIndex],28)=0,"",SUMIFS(T_SelfStock_Log[Self_Qty],T_SelfStock_Log[Part Name],$A21,T_SelfStock_Log[WeekIndex],28))</f>
        <v/>
      </c>
      <c r="AD21" s="13">
        <f>IF(COUNTIFS(T_SelfStock_Log[Part Name],$A21,T_SelfStock_Log[WeekIndex],29)=0,"",SUMIFS(T_SelfStock_Log[Self_Qty],T_SelfStock_Log[Part Name],$A21,T_SelfStock_Log[WeekIndex],29))</f>
        <v/>
      </c>
      <c r="AE21" s="13">
        <f>IF(COUNTIFS(T_SelfStock_Log[Part Name],$A21,T_SelfStock_Log[WeekIndex],30)=0,"",SUMIFS(T_SelfStock_Log[Self_Qty],T_SelfStock_Log[Part Name],$A21,T_SelfStock_Log[WeekIndex],30))</f>
        <v/>
      </c>
      <c r="AF21" s="13">
        <f>IF(COUNTIFS(T_SelfStock_Log[Part Name],$A21,T_SelfStock_Log[WeekIndex],31)=0,"",SUMIFS(T_SelfStock_Log[Self_Qty],T_SelfStock_Log[Part Name],$A21,T_SelfStock_Log[WeekIndex],31))</f>
        <v/>
      </c>
      <c r="AG21" s="13">
        <f>IF(COUNTIFS(T_SelfStock_Log[Part Name],$A21,T_SelfStock_Log[WeekIndex],32)=0,"",SUMIFS(T_SelfStock_Log[Self_Qty],T_SelfStock_Log[Part Name],$A21,T_SelfStock_Log[WeekIndex],32))</f>
        <v/>
      </c>
      <c r="AH21" s="13">
        <f>IF(COUNTIFS(T_SelfStock_Log[Part Name],$A21,T_SelfStock_Log[WeekIndex],33)=0,"",SUMIFS(T_SelfStock_Log[Self_Qty],T_SelfStock_Log[Part Name],$A21,T_SelfStock_Log[WeekIndex],33))</f>
        <v/>
      </c>
      <c r="AI21" s="13">
        <f>IF(COUNTIFS(T_SelfStock_Log[Part Name],$A21,T_SelfStock_Log[WeekIndex],34)=0,"",SUMIFS(T_SelfStock_Log[Self_Qty],T_SelfStock_Log[Part Name],$A21,T_SelfStock_Log[WeekIndex],34))</f>
        <v/>
      </c>
      <c r="AJ21" s="13">
        <f>IF(COUNTIFS(T_SelfStock_Log[Part Name],$A21,T_SelfStock_Log[WeekIndex],35)=0,"",SUMIFS(T_SelfStock_Log[Self_Qty],T_SelfStock_Log[Part Name],$A21,T_SelfStock_Log[WeekIndex],35))</f>
        <v/>
      </c>
      <c r="AK21" s="13">
        <f>IF(COUNTIFS(T_SelfStock_Log[Part Name],$A21,T_SelfStock_Log[WeekIndex],36)=0,"",SUMIFS(T_SelfStock_Log[Self_Qty],T_SelfStock_Log[Part Name],$A21,T_SelfStock_Log[WeekIndex],36))</f>
        <v/>
      </c>
      <c r="AL21" s="13">
        <f>IF(COUNTIFS(T_SelfStock_Log[Part Name],$A21,T_SelfStock_Log[WeekIndex],37)=0,"",SUMIFS(T_SelfStock_Log[Self_Qty],T_SelfStock_Log[Part Name],$A21,T_SelfStock_Log[WeekIndex],37))</f>
        <v/>
      </c>
      <c r="AM21" s="13">
        <f>IF(COUNTIFS(T_SelfStock_Log[Part Name],$A21,T_SelfStock_Log[WeekIndex],38)=0,"",SUMIFS(T_SelfStock_Log[Self_Qty],T_SelfStock_Log[Part Name],$A21,T_SelfStock_Log[WeekIndex],38))</f>
        <v/>
      </c>
      <c r="AN21" s="13">
        <f>IF(COUNTIFS(T_SelfStock_Log[Part Name],$A21,T_SelfStock_Log[WeekIndex],39)=0,"",SUMIFS(T_SelfStock_Log[Self_Qty],T_SelfStock_Log[Part Name],$A21,T_SelfStock_Log[WeekIndex],39))</f>
        <v/>
      </c>
      <c r="AO21" s="13">
        <f>IF(COUNTIFS(T_SelfStock_Log[Part Name],$A21,T_SelfStock_Log[WeekIndex],40)=0,"",SUMIFS(T_SelfStock_Log[Self_Qty],T_SelfStock_Log[Part Name],$A21,T_SelfStock_Log[WeekIndex],40))</f>
        <v/>
      </c>
      <c r="AP21" s="13">
        <f>IF(COUNTIFS(T_SelfStock_Log[Part Name],$A21,T_SelfStock_Log[WeekIndex],41)=0,"",SUMIFS(T_SelfStock_Log[Self_Qty],T_SelfStock_Log[Part Name],$A21,T_SelfStock_Log[WeekIndex],41))</f>
        <v/>
      </c>
      <c r="AQ21" s="13">
        <f>IF(COUNTIFS(T_SelfStock_Log[Part Name],$A21,T_SelfStock_Log[WeekIndex],42)=0,"",SUMIFS(T_SelfStock_Log[Self_Qty],T_SelfStock_Log[Part Name],$A21,T_SelfStock_Log[WeekIndex],42))</f>
        <v/>
      </c>
      <c r="AR21" s="13">
        <f>IF(COUNTIFS(T_SelfStock_Log[Part Name],$A21,T_SelfStock_Log[WeekIndex],43)=0,"",SUMIFS(T_SelfStock_Log[Self_Qty],T_SelfStock_Log[Part Name],$A21,T_SelfStock_Log[WeekIndex],43))</f>
        <v/>
      </c>
      <c r="AS21" s="13">
        <f>IF(COUNTIFS(T_SelfStock_Log[Part Name],$A21,T_SelfStock_Log[WeekIndex],44)=0,"",SUMIFS(T_SelfStock_Log[Self_Qty],T_SelfStock_Log[Part Name],$A21,T_SelfStock_Log[WeekIndex],44))</f>
        <v/>
      </c>
      <c r="AT21" s="13">
        <f>IF(COUNTIFS(T_SelfStock_Log[Part Name],$A21,T_SelfStock_Log[WeekIndex],45)=0,"",SUMIFS(T_SelfStock_Log[Self_Qty],T_SelfStock_Log[Part Name],$A21,T_SelfStock_Log[WeekIndex],45))</f>
        <v/>
      </c>
      <c r="AU21" s="13">
        <f>IF(COUNTIFS(T_SelfStock_Log[Part Name],$A21,T_SelfStock_Log[WeekIndex],46)=0,"",SUMIFS(T_SelfStock_Log[Self_Qty],T_SelfStock_Log[Part Name],$A21,T_SelfStock_Log[WeekIndex],46))</f>
        <v/>
      </c>
      <c r="AV21" s="13">
        <f>IF(COUNTIFS(T_SelfStock_Log[Part Name],$A21,T_SelfStock_Log[WeekIndex],47)=0,"",SUMIFS(T_SelfStock_Log[Self_Qty],T_SelfStock_Log[Part Name],$A21,T_SelfStock_Log[WeekIndex],47))</f>
        <v/>
      </c>
      <c r="AW21" s="13">
        <f>IF(COUNTIFS(T_SelfStock_Log[Part Name],$A21,T_SelfStock_Log[WeekIndex],48)=0,"",SUMIFS(T_SelfStock_Log[Self_Qty],T_SelfStock_Log[Part Name],$A21,T_SelfStock_Log[WeekIndex],48))</f>
        <v/>
      </c>
      <c r="AX21" s="13">
        <f>IF(COUNTIFS(T_SelfStock_Log[Part Name],$A21,T_SelfStock_Log[WeekIndex],49)=0,"",SUMIFS(T_SelfStock_Log[Self_Qty],T_SelfStock_Log[Part Name],$A21,T_SelfStock_Log[WeekIndex],49))</f>
        <v/>
      </c>
      <c r="AY21" s="13">
        <f>IF(COUNTIFS(T_SelfStock_Log[Part Name],$A21,T_SelfStock_Log[WeekIndex],50)=0,"",SUMIFS(T_SelfStock_Log[Self_Qty],T_SelfStock_Log[Part Name],$A21,T_SelfStock_Log[WeekIndex],50))</f>
        <v/>
      </c>
      <c r="AZ21" s="13">
        <f>IF(COUNTIFS(T_SelfStock_Log[Part Name],$A21,T_SelfStock_Log[WeekIndex],51)=0,"",SUMIFS(T_SelfStock_Log[Self_Qty],T_SelfStock_Log[Part Name],$A21,T_SelfStock_Log[WeekIndex],51))</f>
        <v/>
      </c>
      <c r="BA21" s="13">
        <f>IF(COUNTIFS(T_SelfStock_Log[Part Name],$A21,T_SelfStock_Log[WeekIndex],52)=0,"",SUMIFS(T_SelfStock_Log[Self_Qty],T_SelfStock_Log[Part Name],$A21,T_SelfStock_Log[WeekIndex],52))</f>
        <v/>
      </c>
      <c r="BB21" s="13">
        <f>IF(COUNTIFS(T_SelfStock_Log[Part Name],$A21,T_SelfStock_Log[WeekIndex],53)=0,"",SUMIFS(T_SelfStock_Log[Self_Qty],T_SelfStock_Log[Part Name],$A21,T_SelfStock_Log[WeekIndex],53))</f>
        <v/>
      </c>
      <c r="BC21" s="13">
        <f>IF(COUNTIFS(T_SelfStock_Log[Part Name],$A21,T_SelfStock_Log[WeekIndex],54)=0,"",SUMIFS(T_SelfStock_Log[Self_Qty],T_SelfStock_Log[Part Name],$A21,T_SelfStock_Log[WeekIndex],54))</f>
        <v/>
      </c>
      <c r="BD21" s="13">
        <f>IF(COUNTIFS(T_SelfStock_Log[Part Name],$A21,T_SelfStock_Log[WeekIndex],55)=0,"",SUMIFS(T_SelfStock_Log[Self_Qty],T_SelfStock_Log[Part Name],$A21,T_SelfStock_Log[WeekIndex],55))</f>
        <v/>
      </c>
      <c r="BE21" s="13">
        <f>IF(COUNTIFS(T_SelfStock_Log[Part Name],$A21,T_SelfStock_Log[WeekIndex],56)=0,"",SUMIFS(T_SelfStock_Log[Self_Qty],T_SelfStock_Log[Part Name],$A21,T_SelfStock_Log[WeekIndex],56))</f>
        <v/>
      </c>
      <c r="BF21" s="13">
        <f>IF(COUNTIFS(T_SelfStock_Log[Part Name],$A21,T_SelfStock_Log[WeekIndex],57)=0,"",SUMIFS(T_SelfStock_Log[Self_Qty],T_SelfStock_Log[Part Name],$A21,T_SelfStock_Log[WeekIndex],57))</f>
        <v/>
      </c>
      <c r="BG21" s="13">
        <f>IF(COUNTIFS(T_SelfStock_Log[Part Name],$A21,T_SelfStock_Log[WeekIndex],58)=0,"",SUMIFS(T_SelfStock_Log[Self_Qty],T_SelfStock_Log[Part Name],$A21,T_SelfStock_Log[WeekIndex],58))</f>
        <v/>
      </c>
      <c r="BH21" s="13">
        <f>IF(COUNTIFS(T_SelfStock_Log[Part Name],$A21,T_SelfStock_Log[WeekIndex],59)=0,"",SUMIFS(T_SelfStock_Log[Self_Qty],T_SelfStock_Log[Part Name],$A21,T_SelfStock_Log[WeekIndex],59))</f>
        <v/>
      </c>
      <c r="BI21" s="13">
        <f>IF(COUNTIFS(T_SelfStock_Log[Part Name],$A21,T_SelfStock_Log[WeekIndex],60)=0,"",SUMIFS(T_SelfStock_Log[Self_Qty],T_SelfStock_Log[Part Name],$A21,T_SelfStock_Log[WeekIndex],60))</f>
        <v/>
      </c>
      <c r="BJ21" s="13">
        <f>IF(COUNTIFS(T_SelfStock_Log[Part Name],$A21,T_SelfStock_Log[WeekIndex],61)=0,"",SUMIFS(T_SelfStock_Log[Self_Qty],T_SelfStock_Log[Part Name],$A21,T_SelfStock_Log[WeekIndex],61))</f>
        <v/>
      </c>
      <c r="BK21" s="13">
        <f>IF(COUNTIFS(T_SelfStock_Log[Part Name],$A21,T_SelfStock_Log[WeekIndex],62)=0,"",SUMIFS(T_SelfStock_Log[Self_Qty],T_SelfStock_Log[Part Name],$A21,T_SelfStock_Log[WeekIndex],62))</f>
        <v/>
      </c>
      <c r="BL21" s="13">
        <f>IF(COUNTIFS(T_SelfStock_Log[Part Name],$A21,T_SelfStock_Log[WeekIndex],63)=0,"",SUMIFS(T_SelfStock_Log[Self_Qty],T_SelfStock_Log[Part Name],$A21,T_SelfStock_Log[WeekIndex],63))</f>
        <v/>
      </c>
      <c r="BM21" s="13">
        <f>IF(COUNTIFS(T_SelfStock_Log[Part Name],$A21,T_SelfStock_Log[WeekIndex],64)=0,"",SUMIFS(T_SelfStock_Log[Self_Qty],T_SelfStock_Log[Part Name],$A21,T_SelfStock_Log[WeekIndex],64))</f>
        <v/>
      </c>
      <c r="BN21" s="13">
        <f>IF(COUNTIFS(T_SelfStock_Log[Part Name],$A21,T_SelfStock_Log[WeekIndex],65)=0,"",SUMIFS(T_SelfStock_Log[Self_Qty],T_SelfStock_Log[Part Name],$A21,T_SelfStock_Log[WeekIndex],65))</f>
        <v/>
      </c>
      <c r="BO21" s="13">
        <f>IF(COUNTIFS(T_SelfStock_Log[Part Name],$A21,T_SelfStock_Log[WeekIndex],66)=0,"",SUMIFS(T_SelfStock_Log[Self_Qty],T_SelfStock_Log[Part Name],$A21,T_SelfStock_Log[WeekIndex],66))</f>
        <v/>
      </c>
      <c r="BP21" s="13">
        <f>IF(COUNTIFS(T_SelfStock_Log[Part Name],$A21,T_SelfStock_Log[WeekIndex],67)=0,"",SUMIFS(T_SelfStock_Log[Self_Qty],T_SelfStock_Log[Part Name],$A21,T_SelfStock_Log[WeekIndex],67))</f>
        <v/>
      </c>
      <c r="BQ21" s="13">
        <f>IF(COUNTIFS(T_SelfStock_Log[Part Name],$A21,T_SelfStock_Log[WeekIndex],68)=0,"",SUMIFS(T_SelfStock_Log[Self_Qty],T_SelfStock_Log[Part Name],$A21,T_SelfStock_Log[WeekIndex],68))</f>
        <v/>
      </c>
      <c r="BR21" s="13">
        <f>IF(COUNTIFS(T_SelfStock_Log[Part Name],$A21,T_SelfStock_Log[WeekIndex],69)=0,"",SUMIFS(T_SelfStock_Log[Self_Qty],T_SelfStock_Log[Part Name],$A21,T_SelfStock_Log[WeekIndex],69))</f>
        <v/>
      </c>
      <c r="BS21" s="13">
        <f>IF(COUNTIFS(T_SelfStock_Log[Part Name],$A21,T_SelfStock_Log[WeekIndex],70)=0,"",SUMIFS(T_SelfStock_Log[Self_Qty],T_SelfStock_Log[Part Name],$A21,T_SelfStock_Log[WeekIndex],70))</f>
        <v/>
      </c>
      <c r="BT21" s="13">
        <f>IF(COUNTIFS(T_SelfStock_Log[Part Name],$A21,T_SelfStock_Log[WeekIndex],71)=0,"",SUMIFS(T_SelfStock_Log[Self_Qty],T_SelfStock_Log[Part Name],$A21,T_SelfStock_Log[WeekIndex],71))</f>
        <v/>
      </c>
      <c r="BU21" s="13">
        <f>IF(COUNTIFS(T_SelfStock_Log[Part Name],$A21,T_SelfStock_Log[WeekIndex],72)=0,"",SUMIFS(T_SelfStock_Log[Self_Qty],T_SelfStock_Log[Part Name],$A21,T_SelfStock_Log[WeekIndex],72))</f>
        <v/>
      </c>
      <c r="BV21" s="13">
        <f>IF(COUNTIFS(T_SelfStock_Log[Part Name],$A21,T_SelfStock_Log[WeekIndex],73)=0,"",SUMIFS(T_SelfStock_Log[Self_Qty],T_SelfStock_Log[Part Name],$A21,T_SelfStock_Log[WeekIndex],73))</f>
        <v/>
      </c>
      <c r="BW21" s="13">
        <f>IF(COUNTIFS(T_SelfStock_Log[Part Name],$A21,T_SelfStock_Log[WeekIndex],74)=0,"",SUMIFS(T_SelfStock_Log[Self_Qty],T_SelfStock_Log[Part Name],$A21,T_SelfStock_Log[WeekIndex],74))</f>
        <v/>
      </c>
      <c r="BX21" s="13">
        <f>IF(COUNTIFS(T_SelfStock_Log[Part Name],$A21,T_SelfStock_Log[WeekIndex],75)=0,"",SUMIFS(T_SelfStock_Log[Self_Qty],T_SelfStock_Log[Part Name],$A21,T_SelfStock_Log[WeekIndex],75))</f>
        <v/>
      </c>
      <c r="BY21" s="13">
        <f>IF(COUNTIFS(T_SelfStock_Log[Part Name],$A21,T_SelfStock_Log[WeekIndex],76)=0,"",SUMIFS(T_SelfStock_Log[Self_Qty],T_SelfStock_Log[Part Name],$A21,T_SelfStock_Log[WeekIndex],76))</f>
        <v/>
      </c>
      <c r="BZ21" s="13">
        <f>IF(COUNTIFS(T_SelfStock_Log[Part Name],$A21,T_SelfStock_Log[WeekIndex],77)=0,"",SUMIFS(T_SelfStock_Log[Self_Qty],T_SelfStock_Log[Part Name],$A21,T_SelfStock_Log[WeekIndex],77))</f>
        <v/>
      </c>
      <c r="CA21" s="13">
        <f>IF(COUNTIFS(T_SelfStock_Log[Part Name],$A21,T_SelfStock_Log[WeekIndex],78)=0,"",SUMIFS(T_SelfStock_Log[Self_Qty],T_SelfStock_Log[Part Name],$A21,T_SelfStock_Log[WeekIndex],78))</f>
        <v/>
      </c>
      <c r="CB21" s="13">
        <f>IF(COUNTIFS(T_SelfStock_Log[Part Name],$A21,T_SelfStock_Log[WeekIndex],79)=0,"",SUMIFS(T_SelfStock_Log[Self_Qty],T_SelfStock_Log[Part Name],$A21,T_SelfStock_Log[WeekIndex],79))</f>
        <v/>
      </c>
      <c r="CC21" s="13">
        <f>IF(COUNTIFS(T_SelfStock_Log[Part Name],$A21,T_SelfStock_Log[WeekIndex],80)=0,"",SUMIFS(T_SelfStock_Log[Self_Qty],T_SelfStock_Log[Part Name],$A21,T_SelfStock_Log[WeekIndex],80))</f>
        <v/>
      </c>
      <c r="CD21" s="13">
        <f>IF(COUNTIFS(T_SelfStock_Log[Part Name],$A21,T_SelfStock_Log[WeekIndex],81)=0,"",SUMIFS(T_SelfStock_Log[Self_Qty],T_SelfStock_Log[Part Name],$A21,T_SelfStock_Log[WeekIndex],81))</f>
        <v/>
      </c>
      <c r="CE21" s="13">
        <f>IF(COUNTIFS(T_SelfStock_Log[Part Name],$A21,T_SelfStock_Log[WeekIndex],82)=0,"",SUMIFS(T_SelfStock_Log[Self_Qty],T_SelfStock_Log[Part Name],$A21,T_SelfStock_Log[WeekIndex],82))</f>
        <v/>
      </c>
      <c r="CF21" s="13">
        <f>IF(COUNTIFS(T_SelfStock_Log[Part Name],$A21,T_SelfStock_Log[WeekIndex],83)=0,"",SUMIFS(T_SelfStock_Log[Self_Qty],T_SelfStock_Log[Part Name],$A21,T_SelfStock_Log[WeekIndex],83))</f>
        <v/>
      </c>
      <c r="CG21" s="13">
        <f>IF(COUNTIFS(T_SelfStock_Log[Part Name],$A21,T_SelfStock_Log[WeekIndex],84)=0,"",SUMIFS(T_SelfStock_Log[Self_Qty],T_SelfStock_Log[Part Name],$A21,T_SelfStock_Log[WeekIndex],84))</f>
        <v/>
      </c>
      <c r="CH21" s="13">
        <f>IF(COUNTIFS(T_SelfStock_Log[Part Name],$A21,T_SelfStock_Log[WeekIndex],85)=0,"",SUMIFS(T_SelfStock_Log[Self_Qty],T_SelfStock_Log[Part Name],$A21,T_SelfStock_Log[WeekIndex],85))</f>
        <v/>
      </c>
      <c r="CI21" s="13">
        <f>IF(COUNTIFS(T_SelfStock_Log[Part Name],$A21,T_SelfStock_Log[WeekIndex],86)=0,"",SUMIFS(T_SelfStock_Log[Self_Qty],T_SelfStock_Log[Part Name],$A21,T_SelfStock_Log[WeekIndex],86))</f>
        <v/>
      </c>
      <c r="CJ21" s="13">
        <f>IF(COUNTIFS(T_SelfStock_Log[Part Name],$A21,T_SelfStock_Log[WeekIndex],87)=0,"",SUMIFS(T_SelfStock_Log[Self_Qty],T_SelfStock_Log[Part Name],$A21,T_SelfStock_Log[WeekIndex],87))</f>
        <v/>
      </c>
      <c r="CK21" s="13">
        <f>IF(COUNTIFS(T_SelfStock_Log[Part Name],$A21,T_SelfStock_Log[WeekIndex],88)=0,"",SUMIFS(T_SelfStock_Log[Self_Qty],T_SelfStock_Log[Part Name],$A21,T_SelfStock_Log[WeekIndex],88))</f>
        <v/>
      </c>
      <c r="CL21" s="13">
        <f>IF(COUNTIFS(T_SelfStock_Log[Part Name],$A21,T_SelfStock_Log[WeekIndex],89)=0,"",SUMIFS(T_SelfStock_Log[Self_Qty],T_SelfStock_Log[Part Name],$A21,T_SelfStock_Log[WeekIndex],89))</f>
        <v/>
      </c>
      <c r="CM21" s="13">
        <f>IF(COUNTIFS(T_SelfStock_Log[Part Name],$A21,T_SelfStock_Log[WeekIndex],90)=0,"",SUMIFS(T_SelfStock_Log[Self_Qty],T_SelfStock_Log[Part Name],$A21,T_SelfStock_Log[WeekIndex],90))</f>
        <v/>
      </c>
      <c r="CN21" s="13">
        <f>IF(COUNTIFS(T_SelfStock_Log[Part Name],$A21,T_SelfStock_Log[WeekIndex],91)=0,"",SUMIFS(T_SelfStock_Log[Self_Qty],T_SelfStock_Log[Part Name],$A21,T_SelfStock_Log[WeekIndex],91))</f>
        <v/>
      </c>
      <c r="CO21" s="13">
        <f>IF(COUNTIFS(T_SelfStock_Log[Part Name],$A21,T_SelfStock_Log[WeekIndex],92)=0,"",SUMIFS(T_SelfStock_Log[Self_Qty],T_SelfStock_Log[Part Name],$A21,T_SelfStock_Log[WeekIndex],92))</f>
        <v/>
      </c>
      <c r="CP21" s="13">
        <f>IF(COUNTIFS(T_SelfStock_Log[Part Name],$A21,T_SelfStock_Log[WeekIndex],93)=0,"",SUMIFS(T_SelfStock_Log[Self_Qty],T_SelfStock_Log[Part Name],$A21,T_SelfStock_Log[WeekIndex],93))</f>
        <v/>
      </c>
      <c r="CQ21" s="13">
        <f>IF(COUNTIFS(T_SelfStock_Log[Part Name],$A21,T_SelfStock_Log[WeekIndex],94)=0,"",SUMIFS(T_SelfStock_Log[Self_Qty],T_SelfStock_Log[Part Name],$A21,T_SelfStock_Log[WeekIndex],94))</f>
        <v/>
      </c>
      <c r="CR21" s="13">
        <f>IF(COUNTIFS(T_SelfStock_Log[Part Name],$A21,T_SelfStock_Log[WeekIndex],95)=0,"",SUMIFS(T_SelfStock_Log[Self_Qty],T_SelfStock_Log[Part Name],$A21,T_SelfStock_Log[WeekIndex],95))</f>
        <v/>
      </c>
      <c r="CS21" s="13">
        <f>IF(COUNTIFS(T_SelfStock_Log[Part Name],$A21,T_SelfStock_Log[WeekIndex],96)=0,"",SUMIFS(T_SelfStock_Log[Self_Qty],T_SelfStock_Log[Part Name],$A21,T_SelfStock_Log[WeekIndex],96))</f>
        <v/>
      </c>
      <c r="CT21" s="13">
        <f>IF(COUNTIFS(T_SelfStock_Log[Part Name],$A21,T_SelfStock_Log[WeekIndex],97)=0,"",SUMIFS(T_SelfStock_Log[Self_Qty],T_SelfStock_Log[Part Name],$A21,T_SelfStock_Log[WeekIndex],97))</f>
        <v/>
      </c>
      <c r="CU21" s="13">
        <f>IF(COUNTIFS(T_SelfStock_Log[Part Name],$A21,T_SelfStock_Log[WeekIndex],98)=0,"",SUMIFS(T_SelfStock_Log[Self_Qty],T_SelfStock_Log[Part Name],$A21,T_SelfStock_Log[WeekIndex],98))</f>
        <v/>
      </c>
      <c r="CV21" s="13">
        <f>IF(COUNTIFS(T_SelfStock_Log[Part Name],$A21,T_SelfStock_Log[WeekIndex],99)=0,"",SUMIFS(T_SelfStock_Log[Self_Qty],T_SelfStock_Log[Part Name],$A21,T_SelfStock_Log[WeekIndex],99))</f>
        <v/>
      </c>
      <c r="CW21" s="13">
        <f>IF(COUNTIFS(T_SelfStock_Log[Part Name],$A21,T_SelfStock_Log[WeekIndex],100)=0,"",SUMIFS(T_SelfStock_Log[Self_Qty],T_SelfStock_Log[Part Name],$A21,T_SelfStock_Log[WeekIndex],100))</f>
        <v/>
      </c>
      <c r="CX21" s="13">
        <f>IF(COUNTIFS(T_SelfStock_Log[Part Name],$A21,T_SelfStock_Log[WeekIndex],101)=0,"",SUMIFS(T_SelfStock_Log[Self_Qty],T_SelfStock_Log[Part Name],$A21,T_SelfStock_Log[WeekIndex],101))</f>
        <v/>
      </c>
      <c r="CY21" s="13">
        <f>IF(COUNTIFS(T_SelfStock_Log[Part Name],$A21,T_SelfStock_Log[WeekIndex],102)=0,"",SUMIFS(T_SelfStock_Log[Self_Qty],T_SelfStock_Log[Part Name],$A21,T_SelfStock_Log[WeekIndex],102))</f>
        <v/>
      </c>
      <c r="CZ21" s="13">
        <f>IF(COUNTIFS(T_SelfStock_Log[Part Name],$A21,T_SelfStock_Log[WeekIndex],103)=0,"",SUMIFS(T_SelfStock_Log[Self_Qty],T_SelfStock_Log[Part Name],$A21,T_SelfStock_Log[WeekIndex],103))</f>
        <v/>
      </c>
      <c r="DA21" s="13">
        <f>IF(COUNTIFS(T_SelfStock_Log[Part Name],$A21,T_SelfStock_Log[WeekIndex],104)=0,"",SUMIFS(T_SelfStock_Log[Self_Qty],T_SelfStock_Log[Part Name],$A21,T_SelfStock_Log[WeekIndex],104))</f>
        <v/>
      </c>
    </row>
    <row r="22">
      <c r="A22" s="12" t="inlineStr">
        <is>
          <t>CHEM-1660</t>
        </is>
      </c>
      <c r="B22" s="12">
        <f>IF(COUNTIFS(T_SelfStock_Log[Part Name],$A22,T_SelfStock_Log[WeekIndex],1)=0,"",SUMIFS(T_SelfStock_Log[Self_Qty],T_SelfStock_Log[Part Name],$A22,T_SelfStock_Log[WeekIndex],1))</f>
        <v/>
      </c>
      <c r="C22" s="12">
        <f>IF(COUNTIFS(T_SelfStock_Log[Part Name],$A22,T_SelfStock_Log[WeekIndex],2)=0,"",SUMIFS(T_SelfStock_Log[Self_Qty],T_SelfStock_Log[Part Name],$A22,T_SelfStock_Log[WeekIndex],2))</f>
        <v/>
      </c>
      <c r="D22" s="12">
        <f>IF(COUNTIFS(T_SelfStock_Log[Part Name],$A22,T_SelfStock_Log[WeekIndex],3)=0,"",SUMIFS(T_SelfStock_Log[Self_Qty],T_SelfStock_Log[Part Name],$A22,T_SelfStock_Log[WeekIndex],3))</f>
        <v/>
      </c>
      <c r="E22" s="12">
        <f>IF(COUNTIFS(T_SelfStock_Log[Part Name],$A22,T_SelfStock_Log[WeekIndex],4)=0,"",SUMIFS(T_SelfStock_Log[Self_Qty],T_SelfStock_Log[Part Name],$A22,T_SelfStock_Log[WeekIndex],4))</f>
        <v/>
      </c>
      <c r="F22" s="12">
        <f>IF(COUNTIFS(T_SelfStock_Log[Part Name],$A22,T_SelfStock_Log[WeekIndex],5)=0,"",SUMIFS(T_SelfStock_Log[Self_Qty],T_SelfStock_Log[Part Name],$A22,T_SelfStock_Log[WeekIndex],5))</f>
        <v/>
      </c>
      <c r="G22" s="12">
        <f>IF(COUNTIFS(T_SelfStock_Log[Part Name],$A22,T_SelfStock_Log[WeekIndex],6)=0,"",SUMIFS(T_SelfStock_Log[Self_Qty],T_SelfStock_Log[Part Name],$A22,T_SelfStock_Log[WeekIndex],6))</f>
        <v/>
      </c>
      <c r="H22" s="12">
        <f>IF(COUNTIFS(T_SelfStock_Log[Part Name],$A22,T_SelfStock_Log[WeekIndex],7)=0,"",SUMIFS(T_SelfStock_Log[Self_Qty],T_SelfStock_Log[Part Name],$A22,T_SelfStock_Log[WeekIndex],7))</f>
        <v/>
      </c>
      <c r="I22" s="12">
        <f>IF(COUNTIFS(T_SelfStock_Log[Part Name],$A22,T_SelfStock_Log[WeekIndex],8)=0,"",SUMIFS(T_SelfStock_Log[Self_Qty],T_SelfStock_Log[Part Name],$A22,T_SelfStock_Log[WeekIndex],8))</f>
        <v/>
      </c>
      <c r="J22" s="12">
        <f>IF(COUNTIFS(T_SelfStock_Log[Part Name],$A22,T_SelfStock_Log[WeekIndex],9)=0,"",SUMIFS(T_SelfStock_Log[Self_Qty],T_SelfStock_Log[Part Name],$A22,T_SelfStock_Log[WeekIndex],9))</f>
        <v/>
      </c>
      <c r="K22" s="12">
        <f>IF(COUNTIFS(T_SelfStock_Log[Part Name],$A22,T_SelfStock_Log[WeekIndex],10)=0,"",SUMIFS(T_SelfStock_Log[Self_Qty],T_SelfStock_Log[Part Name],$A22,T_SelfStock_Log[WeekIndex],10))</f>
        <v/>
      </c>
      <c r="L22" s="12">
        <f>IF(COUNTIFS(T_SelfStock_Log[Part Name],$A22,T_SelfStock_Log[WeekIndex],11)=0,"",SUMIFS(T_SelfStock_Log[Self_Qty],T_SelfStock_Log[Part Name],$A22,T_SelfStock_Log[WeekIndex],11))</f>
        <v/>
      </c>
      <c r="M22" s="12">
        <f>IF(COUNTIFS(T_SelfStock_Log[Part Name],$A22,T_SelfStock_Log[WeekIndex],12)=0,"",SUMIFS(T_SelfStock_Log[Self_Qty],T_SelfStock_Log[Part Name],$A22,T_SelfStock_Log[WeekIndex],12))</f>
        <v/>
      </c>
      <c r="N22" s="12">
        <f>IF(COUNTIFS(T_SelfStock_Log[Part Name],$A22,T_SelfStock_Log[WeekIndex],13)=0,"",SUMIFS(T_SelfStock_Log[Self_Qty],T_SelfStock_Log[Part Name],$A22,T_SelfStock_Log[WeekIndex],13))</f>
        <v/>
      </c>
      <c r="O22" s="12">
        <f>IF(COUNTIFS(T_SelfStock_Log[Part Name],$A22,T_SelfStock_Log[WeekIndex],14)=0,"",SUMIFS(T_SelfStock_Log[Self_Qty],T_SelfStock_Log[Part Name],$A22,T_SelfStock_Log[WeekIndex],14))</f>
        <v/>
      </c>
      <c r="P22" s="12">
        <f>IF(COUNTIFS(T_SelfStock_Log[Part Name],$A22,T_SelfStock_Log[WeekIndex],15)=0,"",SUMIFS(T_SelfStock_Log[Self_Qty],T_SelfStock_Log[Part Name],$A22,T_SelfStock_Log[WeekIndex],15))</f>
        <v/>
      </c>
      <c r="Q22" s="12">
        <f>IF(COUNTIFS(T_SelfStock_Log[Part Name],$A22,T_SelfStock_Log[WeekIndex],16)=0,"",SUMIFS(T_SelfStock_Log[Self_Qty],T_SelfStock_Log[Part Name],$A22,T_SelfStock_Log[WeekIndex],16))</f>
        <v/>
      </c>
      <c r="R22" s="12">
        <f>IF(COUNTIFS(T_SelfStock_Log[Part Name],$A22,T_SelfStock_Log[WeekIndex],17)=0,"",SUMIFS(T_SelfStock_Log[Self_Qty],T_SelfStock_Log[Part Name],$A22,T_SelfStock_Log[WeekIndex],17))</f>
        <v/>
      </c>
      <c r="S22" s="12">
        <f>IF(COUNTIFS(T_SelfStock_Log[Part Name],$A22,T_SelfStock_Log[WeekIndex],18)=0,"",SUMIFS(T_SelfStock_Log[Self_Qty],T_SelfStock_Log[Part Name],$A22,T_SelfStock_Log[WeekIndex],18))</f>
        <v/>
      </c>
      <c r="T22" s="12">
        <f>IF(COUNTIFS(T_SelfStock_Log[Part Name],$A22,T_SelfStock_Log[WeekIndex],19)=0,"",SUMIFS(T_SelfStock_Log[Self_Qty],T_SelfStock_Log[Part Name],$A22,T_SelfStock_Log[WeekIndex],19))</f>
        <v/>
      </c>
      <c r="U22" s="12">
        <f>IF(COUNTIFS(T_SelfStock_Log[Part Name],$A22,T_SelfStock_Log[WeekIndex],20)=0,"",SUMIFS(T_SelfStock_Log[Self_Qty],T_SelfStock_Log[Part Name],$A22,T_SelfStock_Log[WeekIndex],20))</f>
        <v/>
      </c>
      <c r="V22" s="12">
        <f>IF(COUNTIFS(T_SelfStock_Log[Part Name],$A22,T_SelfStock_Log[WeekIndex],21)=0,"",SUMIFS(T_SelfStock_Log[Self_Qty],T_SelfStock_Log[Part Name],$A22,T_SelfStock_Log[WeekIndex],21))</f>
        <v/>
      </c>
      <c r="W22" s="12">
        <f>IF(COUNTIFS(T_SelfStock_Log[Part Name],$A22,T_SelfStock_Log[WeekIndex],22)=0,"",SUMIFS(T_SelfStock_Log[Self_Qty],T_SelfStock_Log[Part Name],$A22,T_SelfStock_Log[WeekIndex],22))</f>
        <v/>
      </c>
      <c r="X22" s="12">
        <f>IF(COUNTIFS(T_SelfStock_Log[Part Name],$A22,T_SelfStock_Log[WeekIndex],23)=0,"",SUMIFS(T_SelfStock_Log[Self_Qty],T_SelfStock_Log[Part Name],$A22,T_SelfStock_Log[WeekIndex],23))</f>
        <v/>
      </c>
      <c r="Y22" s="12">
        <f>IF(COUNTIFS(T_SelfStock_Log[Part Name],$A22,T_SelfStock_Log[WeekIndex],24)=0,"",SUMIFS(T_SelfStock_Log[Self_Qty],T_SelfStock_Log[Part Name],$A22,T_SelfStock_Log[WeekIndex],24))</f>
        <v/>
      </c>
      <c r="Z22" s="12">
        <f>IF(COUNTIFS(T_SelfStock_Log[Part Name],$A22,T_SelfStock_Log[WeekIndex],25)=0,"",SUMIFS(T_SelfStock_Log[Self_Qty],T_SelfStock_Log[Part Name],$A22,T_SelfStock_Log[WeekIndex],25))</f>
        <v/>
      </c>
      <c r="AA22" s="12">
        <f>IF(COUNTIFS(T_SelfStock_Log[Part Name],$A22,T_SelfStock_Log[WeekIndex],26)=0,"",SUMIFS(T_SelfStock_Log[Self_Qty],T_SelfStock_Log[Part Name],$A22,T_SelfStock_Log[WeekIndex],26))</f>
        <v/>
      </c>
      <c r="AB22" s="12">
        <f>IF(COUNTIFS(T_SelfStock_Log[Part Name],$A22,T_SelfStock_Log[WeekIndex],27)=0,"",SUMIFS(T_SelfStock_Log[Self_Qty],T_SelfStock_Log[Part Name],$A22,T_SelfStock_Log[WeekIndex],27))</f>
        <v/>
      </c>
      <c r="AC22" s="12">
        <f>IF(COUNTIFS(T_SelfStock_Log[Part Name],$A22,T_SelfStock_Log[WeekIndex],28)=0,"",SUMIFS(T_SelfStock_Log[Self_Qty],T_SelfStock_Log[Part Name],$A22,T_SelfStock_Log[WeekIndex],28))</f>
        <v/>
      </c>
      <c r="AD22" s="12">
        <f>IF(COUNTIFS(T_SelfStock_Log[Part Name],$A22,T_SelfStock_Log[WeekIndex],29)=0,"",SUMIFS(T_SelfStock_Log[Self_Qty],T_SelfStock_Log[Part Name],$A22,T_SelfStock_Log[WeekIndex],29))</f>
        <v/>
      </c>
      <c r="AE22" s="12">
        <f>IF(COUNTIFS(T_SelfStock_Log[Part Name],$A22,T_SelfStock_Log[WeekIndex],30)=0,"",SUMIFS(T_SelfStock_Log[Self_Qty],T_SelfStock_Log[Part Name],$A22,T_SelfStock_Log[WeekIndex],30))</f>
        <v/>
      </c>
      <c r="AF22" s="12">
        <f>IF(COUNTIFS(T_SelfStock_Log[Part Name],$A22,T_SelfStock_Log[WeekIndex],31)=0,"",SUMIFS(T_SelfStock_Log[Self_Qty],T_SelfStock_Log[Part Name],$A22,T_SelfStock_Log[WeekIndex],31))</f>
        <v/>
      </c>
      <c r="AG22" s="12">
        <f>IF(COUNTIFS(T_SelfStock_Log[Part Name],$A22,T_SelfStock_Log[WeekIndex],32)=0,"",SUMIFS(T_SelfStock_Log[Self_Qty],T_SelfStock_Log[Part Name],$A22,T_SelfStock_Log[WeekIndex],32))</f>
        <v/>
      </c>
      <c r="AH22" s="12">
        <f>IF(COUNTIFS(T_SelfStock_Log[Part Name],$A22,T_SelfStock_Log[WeekIndex],33)=0,"",SUMIFS(T_SelfStock_Log[Self_Qty],T_SelfStock_Log[Part Name],$A22,T_SelfStock_Log[WeekIndex],33))</f>
        <v/>
      </c>
      <c r="AI22" s="12">
        <f>IF(COUNTIFS(T_SelfStock_Log[Part Name],$A22,T_SelfStock_Log[WeekIndex],34)=0,"",SUMIFS(T_SelfStock_Log[Self_Qty],T_SelfStock_Log[Part Name],$A22,T_SelfStock_Log[WeekIndex],34))</f>
        <v/>
      </c>
      <c r="AJ22" s="12">
        <f>IF(COUNTIFS(T_SelfStock_Log[Part Name],$A22,T_SelfStock_Log[WeekIndex],35)=0,"",SUMIFS(T_SelfStock_Log[Self_Qty],T_SelfStock_Log[Part Name],$A22,T_SelfStock_Log[WeekIndex],35))</f>
        <v/>
      </c>
      <c r="AK22" s="12">
        <f>IF(COUNTIFS(T_SelfStock_Log[Part Name],$A22,T_SelfStock_Log[WeekIndex],36)=0,"",SUMIFS(T_SelfStock_Log[Self_Qty],T_SelfStock_Log[Part Name],$A22,T_SelfStock_Log[WeekIndex],36))</f>
        <v/>
      </c>
      <c r="AL22" s="12">
        <f>IF(COUNTIFS(T_SelfStock_Log[Part Name],$A22,T_SelfStock_Log[WeekIndex],37)=0,"",SUMIFS(T_SelfStock_Log[Self_Qty],T_SelfStock_Log[Part Name],$A22,T_SelfStock_Log[WeekIndex],37))</f>
        <v/>
      </c>
      <c r="AM22" s="12">
        <f>IF(COUNTIFS(T_SelfStock_Log[Part Name],$A22,T_SelfStock_Log[WeekIndex],38)=0,"",SUMIFS(T_SelfStock_Log[Self_Qty],T_SelfStock_Log[Part Name],$A22,T_SelfStock_Log[WeekIndex],38))</f>
        <v/>
      </c>
      <c r="AN22" s="12">
        <f>IF(COUNTIFS(T_SelfStock_Log[Part Name],$A22,T_SelfStock_Log[WeekIndex],39)=0,"",SUMIFS(T_SelfStock_Log[Self_Qty],T_SelfStock_Log[Part Name],$A22,T_SelfStock_Log[WeekIndex],39))</f>
        <v/>
      </c>
      <c r="AO22" s="12">
        <f>IF(COUNTIFS(T_SelfStock_Log[Part Name],$A22,T_SelfStock_Log[WeekIndex],40)=0,"",SUMIFS(T_SelfStock_Log[Self_Qty],T_SelfStock_Log[Part Name],$A22,T_SelfStock_Log[WeekIndex],40))</f>
        <v/>
      </c>
      <c r="AP22" s="12">
        <f>IF(COUNTIFS(T_SelfStock_Log[Part Name],$A22,T_SelfStock_Log[WeekIndex],41)=0,"",SUMIFS(T_SelfStock_Log[Self_Qty],T_SelfStock_Log[Part Name],$A22,T_SelfStock_Log[WeekIndex],41))</f>
        <v/>
      </c>
      <c r="AQ22" s="12">
        <f>IF(COUNTIFS(T_SelfStock_Log[Part Name],$A22,T_SelfStock_Log[WeekIndex],42)=0,"",SUMIFS(T_SelfStock_Log[Self_Qty],T_SelfStock_Log[Part Name],$A22,T_SelfStock_Log[WeekIndex],42))</f>
        <v/>
      </c>
      <c r="AR22" s="12">
        <f>IF(COUNTIFS(T_SelfStock_Log[Part Name],$A22,T_SelfStock_Log[WeekIndex],43)=0,"",SUMIFS(T_SelfStock_Log[Self_Qty],T_SelfStock_Log[Part Name],$A22,T_SelfStock_Log[WeekIndex],43))</f>
        <v/>
      </c>
      <c r="AS22" s="12">
        <f>IF(COUNTIFS(T_SelfStock_Log[Part Name],$A22,T_SelfStock_Log[WeekIndex],44)=0,"",SUMIFS(T_SelfStock_Log[Self_Qty],T_SelfStock_Log[Part Name],$A22,T_SelfStock_Log[WeekIndex],44))</f>
        <v/>
      </c>
      <c r="AT22" s="12">
        <f>IF(COUNTIFS(T_SelfStock_Log[Part Name],$A22,T_SelfStock_Log[WeekIndex],45)=0,"",SUMIFS(T_SelfStock_Log[Self_Qty],T_SelfStock_Log[Part Name],$A22,T_SelfStock_Log[WeekIndex],45))</f>
        <v/>
      </c>
      <c r="AU22" s="12">
        <f>IF(COUNTIFS(T_SelfStock_Log[Part Name],$A22,T_SelfStock_Log[WeekIndex],46)=0,"",SUMIFS(T_SelfStock_Log[Self_Qty],T_SelfStock_Log[Part Name],$A22,T_SelfStock_Log[WeekIndex],46))</f>
        <v/>
      </c>
      <c r="AV22" s="12">
        <f>IF(COUNTIFS(T_SelfStock_Log[Part Name],$A22,T_SelfStock_Log[WeekIndex],47)=0,"",SUMIFS(T_SelfStock_Log[Self_Qty],T_SelfStock_Log[Part Name],$A22,T_SelfStock_Log[WeekIndex],47))</f>
        <v/>
      </c>
      <c r="AW22" s="12">
        <f>IF(COUNTIFS(T_SelfStock_Log[Part Name],$A22,T_SelfStock_Log[WeekIndex],48)=0,"",SUMIFS(T_SelfStock_Log[Self_Qty],T_SelfStock_Log[Part Name],$A22,T_SelfStock_Log[WeekIndex],48))</f>
        <v/>
      </c>
      <c r="AX22" s="12">
        <f>IF(COUNTIFS(T_SelfStock_Log[Part Name],$A22,T_SelfStock_Log[WeekIndex],49)=0,"",SUMIFS(T_SelfStock_Log[Self_Qty],T_SelfStock_Log[Part Name],$A22,T_SelfStock_Log[WeekIndex],49))</f>
        <v/>
      </c>
      <c r="AY22" s="12">
        <f>IF(COUNTIFS(T_SelfStock_Log[Part Name],$A22,T_SelfStock_Log[WeekIndex],50)=0,"",SUMIFS(T_SelfStock_Log[Self_Qty],T_SelfStock_Log[Part Name],$A22,T_SelfStock_Log[WeekIndex],50))</f>
        <v/>
      </c>
      <c r="AZ22" s="12">
        <f>IF(COUNTIFS(T_SelfStock_Log[Part Name],$A22,T_SelfStock_Log[WeekIndex],51)=0,"",SUMIFS(T_SelfStock_Log[Self_Qty],T_SelfStock_Log[Part Name],$A22,T_SelfStock_Log[WeekIndex],51))</f>
        <v/>
      </c>
      <c r="BA22" s="12">
        <f>IF(COUNTIFS(T_SelfStock_Log[Part Name],$A22,T_SelfStock_Log[WeekIndex],52)=0,"",SUMIFS(T_SelfStock_Log[Self_Qty],T_SelfStock_Log[Part Name],$A22,T_SelfStock_Log[WeekIndex],52))</f>
        <v/>
      </c>
      <c r="BB22" s="12">
        <f>IF(COUNTIFS(T_SelfStock_Log[Part Name],$A22,T_SelfStock_Log[WeekIndex],53)=0,"",SUMIFS(T_SelfStock_Log[Self_Qty],T_SelfStock_Log[Part Name],$A22,T_SelfStock_Log[WeekIndex],53))</f>
        <v/>
      </c>
      <c r="BC22" s="12">
        <f>IF(COUNTIFS(T_SelfStock_Log[Part Name],$A22,T_SelfStock_Log[WeekIndex],54)=0,"",SUMIFS(T_SelfStock_Log[Self_Qty],T_SelfStock_Log[Part Name],$A22,T_SelfStock_Log[WeekIndex],54))</f>
        <v/>
      </c>
      <c r="BD22" s="12">
        <f>IF(COUNTIFS(T_SelfStock_Log[Part Name],$A22,T_SelfStock_Log[WeekIndex],55)=0,"",SUMIFS(T_SelfStock_Log[Self_Qty],T_SelfStock_Log[Part Name],$A22,T_SelfStock_Log[WeekIndex],55))</f>
        <v/>
      </c>
      <c r="BE22" s="12">
        <f>IF(COUNTIFS(T_SelfStock_Log[Part Name],$A22,T_SelfStock_Log[WeekIndex],56)=0,"",SUMIFS(T_SelfStock_Log[Self_Qty],T_SelfStock_Log[Part Name],$A22,T_SelfStock_Log[WeekIndex],56))</f>
        <v/>
      </c>
      <c r="BF22" s="12">
        <f>IF(COUNTIFS(T_SelfStock_Log[Part Name],$A22,T_SelfStock_Log[WeekIndex],57)=0,"",SUMIFS(T_SelfStock_Log[Self_Qty],T_SelfStock_Log[Part Name],$A22,T_SelfStock_Log[WeekIndex],57))</f>
        <v/>
      </c>
      <c r="BG22" s="12">
        <f>IF(COUNTIFS(T_SelfStock_Log[Part Name],$A22,T_SelfStock_Log[WeekIndex],58)=0,"",SUMIFS(T_SelfStock_Log[Self_Qty],T_SelfStock_Log[Part Name],$A22,T_SelfStock_Log[WeekIndex],58))</f>
        <v/>
      </c>
      <c r="BH22" s="12">
        <f>IF(COUNTIFS(T_SelfStock_Log[Part Name],$A22,T_SelfStock_Log[WeekIndex],59)=0,"",SUMIFS(T_SelfStock_Log[Self_Qty],T_SelfStock_Log[Part Name],$A22,T_SelfStock_Log[WeekIndex],59))</f>
        <v/>
      </c>
      <c r="BI22" s="12">
        <f>IF(COUNTIFS(T_SelfStock_Log[Part Name],$A22,T_SelfStock_Log[WeekIndex],60)=0,"",SUMIFS(T_SelfStock_Log[Self_Qty],T_SelfStock_Log[Part Name],$A22,T_SelfStock_Log[WeekIndex],60))</f>
        <v/>
      </c>
      <c r="BJ22" s="12">
        <f>IF(COUNTIFS(T_SelfStock_Log[Part Name],$A22,T_SelfStock_Log[WeekIndex],61)=0,"",SUMIFS(T_SelfStock_Log[Self_Qty],T_SelfStock_Log[Part Name],$A22,T_SelfStock_Log[WeekIndex],61))</f>
        <v/>
      </c>
      <c r="BK22" s="12">
        <f>IF(COUNTIFS(T_SelfStock_Log[Part Name],$A22,T_SelfStock_Log[WeekIndex],62)=0,"",SUMIFS(T_SelfStock_Log[Self_Qty],T_SelfStock_Log[Part Name],$A22,T_SelfStock_Log[WeekIndex],62))</f>
        <v/>
      </c>
      <c r="BL22" s="12">
        <f>IF(COUNTIFS(T_SelfStock_Log[Part Name],$A22,T_SelfStock_Log[WeekIndex],63)=0,"",SUMIFS(T_SelfStock_Log[Self_Qty],T_SelfStock_Log[Part Name],$A22,T_SelfStock_Log[WeekIndex],63))</f>
        <v/>
      </c>
      <c r="BM22" s="12">
        <f>IF(COUNTIFS(T_SelfStock_Log[Part Name],$A22,T_SelfStock_Log[WeekIndex],64)=0,"",SUMIFS(T_SelfStock_Log[Self_Qty],T_SelfStock_Log[Part Name],$A22,T_SelfStock_Log[WeekIndex],64))</f>
        <v/>
      </c>
      <c r="BN22" s="12">
        <f>IF(COUNTIFS(T_SelfStock_Log[Part Name],$A22,T_SelfStock_Log[WeekIndex],65)=0,"",SUMIFS(T_SelfStock_Log[Self_Qty],T_SelfStock_Log[Part Name],$A22,T_SelfStock_Log[WeekIndex],65))</f>
        <v/>
      </c>
      <c r="BO22" s="12">
        <f>IF(COUNTIFS(T_SelfStock_Log[Part Name],$A22,T_SelfStock_Log[WeekIndex],66)=0,"",SUMIFS(T_SelfStock_Log[Self_Qty],T_SelfStock_Log[Part Name],$A22,T_SelfStock_Log[WeekIndex],66))</f>
        <v/>
      </c>
      <c r="BP22" s="12">
        <f>IF(COUNTIFS(T_SelfStock_Log[Part Name],$A22,T_SelfStock_Log[WeekIndex],67)=0,"",SUMIFS(T_SelfStock_Log[Self_Qty],T_SelfStock_Log[Part Name],$A22,T_SelfStock_Log[WeekIndex],67))</f>
        <v/>
      </c>
      <c r="BQ22" s="12">
        <f>IF(COUNTIFS(T_SelfStock_Log[Part Name],$A22,T_SelfStock_Log[WeekIndex],68)=0,"",SUMIFS(T_SelfStock_Log[Self_Qty],T_SelfStock_Log[Part Name],$A22,T_SelfStock_Log[WeekIndex],68))</f>
        <v/>
      </c>
      <c r="BR22" s="12">
        <f>IF(COUNTIFS(T_SelfStock_Log[Part Name],$A22,T_SelfStock_Log[WeekIndex],69)=0,"",SUMIFS(T_SelfStock_Log[Self_Qty],T_SelfStock_Log[Part Name],$A22,T_SelfStock_Log[WeekIndex],69))</f>
        <v/>
      </c>
      <c r="BS22" s="12">
        <f>IF(COUNTIFS(T_SelfStock_Log[Part Name],$A22,T_SelfStock_Log[WeekIndex],70)=0,"",SUMIFS(T_SelfStock_Log[Self_Qty],T_SelfStock_Log[Part Name],$A22,T_SelfStock_Log[WeekIndex],70))</f>
        <v/>
      </c>
      <c r="BT22" s="12">
        <f>IF(COUNTIFS(T_SelfStock_Log[Part Name],$A22,T_SelfStock_Log[WeekIndex],71)=0,"",SUMIFS(T_SelfStock_Log[Self_Qty],T_SelfStock_Log[Part Name],$A22,T_SelfStock_Log[WeekIndex],71))</f>
        <v/>
      </c>
      <c r="BU22" s="12">
        <f>IF(COUNTIFS(T_SelfStock_Log[Part Name],$A22,T_SelfStock_Log[WeekIndex],72)=0,"",SUMIFS(T_SelfStock_Log[Self_Qty],T_SelfStock_Log[Part Name],$A22,T_SelfStock_Log[WeekIndex],72))</f>
        <v/>
      </c>
      <c r="BV22" s="12">
        <f>IF(COUNTIFS(T_SelfStock_Log[Part Name],$A22,T_SelfStock_Log[WeekIndex],73)=0,"",SUMIFS(T_SelfStock_Log[Self_Qty],T_SelfStock_Log[Part Name],$A22,T_SelfStock_Log[WeekIndex],73))</f>
        <v/>
      </c>
      <c r="BW22" s="12">
        <f>IF(COUNTIFS(T_SelfStock_Log[Part Name],$A22,T_SelfStock_Log[WeekIndex],74)=0,"",SUMIFS(T_SelfStock_Log[Self_Qty],T_SelfStock_Log[Part Name],$A22,T_SelfStock_Log[WeekIndex],74))</f>
        <v/>
      </c>
      <c r="BX22" s="12">
        <f>IF(COUNTIFS(T_SelfStock_Log[Part Name],$A22,T_SelfStock_Log[WeekIndex],75)=0,"",SUMIFS(T_SelfStock_Log[Self_Qty],T_SelfStock_Log[Part Name],$A22,T_SelfStock_Log[WeekIndex],75))</f>
        <v/>
      </c>
      <c r="BY22" s="12">
        <f>IF(COUNTIFS(T_SelfStock_Log[Part Name],$A22,T_SelfStock_Log[WeekIndex],76)=0,"",SUMIFS(T_SelfStock_Log[Self_Qty],T_SelfStock_Log[Part Name],$A22,T_SelfStock_Log[WeekIndex],76))</f>
        <v/>
      </c>
      <c r="BZ22" s="12">
        <f>IF(COUNTIFS(T_SelfStock_Log[Part Name],$A22,T_SelfStock_Log[WeekIndex],77)=0,"",SUMIFS(T_SelfStock_Log[Self_Qty],T_SelfStock_Log[Part Name],$A22,T_SelfStock_Log[WeekIndex],77))</f>
        <v/>
      </c>
      <c r="CA22" s="12">
        <f>IF(COUNTIFS(T_SelfStock_Log[Part Name],$A22,T_SelfStock_Log[WeekIndex],78)=0,"",SUMIFS(T_SelfStock_Log[Self_Qty],T_SelfStock_Log[Part Name],$A22,T_SelfStock_Log[WeekIndex],78))</f>
        <v/>
      </c>
      <c r="CB22" s="12">
        <f>IF(COUNTIFS(T_SelfStock_Log[Part Name],$A22,T_SelfStock_Log[WeekIndex],79)=0,"",SUMIFS(T_SelfStock_Log[Self_Qty],T_SelfStock_Log[Part Name],$A22,T_SelfStock_Log[WeekIndex],79))</f>
        <v/>
      </c>
      <c r="CC22" s="12">
        <f>IF(COUNTIFS(T_SelfStock_Log[Part Name],$A22,T_SelfStock_Log[WeekIndex],80)=0,"",SUMIFS(T_SelfStock_Log[Self_Qty],T_SelfStock_Log[Part Name],$A22,T_SelfStock_Log[WeekIndex],80))</f>
        <v/>
      </c>
      <c r="CD22" s="12">
        <f>IF(COUNTIFS(T_SelfStock_Log[Part Name],$A22,T_SelfStock_Log[WeekIndex],81)=0,"",SUMIFS(T_SelfStock_Log[Self_Qty],T_SelfStock_Log[Part Name],$A22,T_SelfStock_Log[WeekIndex],81))</f>
        <v/>
      </c>
      <c r="CE22" s="12">
        <f>IF(COUNTIFS(T_SelfStock_Log[Part Name],$A22,T_SelfStock_Log[WeekIndex],82)=0,"",SUMIFS(T_SelfStock_Log[Self_Qty],T_SelfStock_Log[Part Name],$A22,T_SelfStock_Log[WeekIndex],82))</f>
        <v/>
      </c>
      <c r="CF22" s="12">
        <f>IF(COUNTIFS(T_SelfStock_Log[Part Name],$A22,T_SelfStock_Log[WeekIndex],83)=0,"",SUMIFS(T_SelfStock_Log[Self_Qty],T_SelfStock_Log[Part Name],$A22,T_SelfStock_Log[WeekIndex],83))</f>
        <v/>
      </c>
      <c r="CG22" s="12">
        <f>IF(COUNTIFS(T_SelfStock_Log[Part Name],$A22,T_SelfStock_Log[WeekIndex],84)=0,"",SUMIFS(T_SelfStock_Log[Self_Qty],T_SelfStock_Log[Part Name],$A22,T_SelfStock_Log[WeekIndex],84))</f>
        <v/>
      </c>
      <c r="CH22" s="12">
        <f>IF(COUNTIFS(T_SelfStock_Log[Part Name],$A22,T_SelfStock_Log[WeekIndex],85)=0,"",SUMIFS(T_SelfStock_Log[Self_Qty],T_SelfStock_Log[Part Name],$A22,T_SelfStock_Log[WeekIndex],85))</f>
        <v/>
      </c>
      <c r="CI22" s="12">
        <f>IF(COUNTIFS(T_SelfStock_Log[Part Name],$A22,T_SelfStock_Log[WeekIndex],86)=0,"",SUMIFS(T_SelfStock_Log[Self_Qty],T_SelfStock_Log[Part Name],$A22,T_SelfStock_Log[WeekIndex],86))</f>
        <v/>
      </c>
      <c r="CJ22" s="12">
        <f>IF(COUNTIFS(T_SelfStock_Log[Part Name],$A22,T_SelfStock_Log[WeekIndex],87)=0,"",SUMIFS(T_SelfStock_Log[Self_Qty],T_SelfStock_Log[Part Name],$A22,T_SelfStock_Log[WeekIndex],87))</f>
        <v/>
      </c>
      <c r="CK22" s="12">
        <f>IF(COUNTIFS(T_SelfStock_Log[Part Name],$A22,T_SelfStock_Log[WeekIndex],88)=0,"",SUMIFS(T_SelfStock_Log[Self_Qty],T_SelfStock_Log[Part Name],$A22,T_SelfStock_Log[WeekIndex],88))</f>
        <v/>
      </c>
      <c r="CL22" s="12">
        <f>IF(COUNTIFS(T_SelfStock_Log[Part Name],$A22,T_SelfStock_Log[WeekIndex],89)=0,"",SUMIFS(T_SelfStock_Log[Self_Qty],T_SelfStock_Log[Part Name],$A22,T_SelfStock_Log[WeekIndex],89))</f>
        <v/>
      </c>
      <c r="CM22" s="12">
        <f>IF(COUNTIFS(T_SelfStock_Log[Part Name],$A22,T_SelfStock_Log[WeekIndex],90)=0,"",SUMIFS(T_SelfStock_Log[Self_Qty],T_SelfStock_Log[Part Name],$A22,T_SelfStock_Log[WeekIndex],90))</f>
        <v/>
      </c>
      <c r="CN22" s="12">
        <f>IF(COUNTIFS(T_SelfStock_Log[Part Name],$A22,T_SelfStock_Log[WeekIndex],91)=0,"",SUMIFS(T_SelfStock_Log[Self_Qty],T_SelfStock_Log[Part Name],$A22,T_SelfStock_Log[WeekIndex],91))</f>
        <v/>
      </c>
      <c r="CO22" s="12">
        <f>IF(COUNTIFS(T_SelfStock_Log[Part Name],$A22,T_SelfStock_Log[WeekIndex],92)=0,"",SUMIFS(T_SelfStock_Log[Self_Qty],T_SelfStock_Log[Part Name],$A22,T_SelfStock_Log[WeekIndex],92))</f>
        <v/>
      </c>
      <c r="CP22" s="12">
        <f>IF(COUNTIFS(T_SelfStock_Log[Part Name],$A22,T_SelfStock_Log[WeekIndex],93)=0,"",SUMIFS(T_SelfStock_Log[Self_Qty],T_SelfStock_Log[Part Name],$A22,T_SelfStock_Log[WeekIndex],93))</f>
        <v/>
      </c>
      <c r="CQ22" s="12">
        <f>IF(COUNTIFS(T_SelfStock_Log[Part Name],$A22,T_SelfStock_Log[WeekIndex],94)=0,"",SUMIFS(T_SelfStock_Log[Self_Qty],T_SelfStock_Log[Part Name],$A22,T_SelfStock_Log[WeekIndex],94))</f>
        <v/>
      </c>
      <c r="CR22" s="12">
        <f>IF(COUNTIFS(T_SelfStock_Log[Part Name],$A22,T_SelfStock_Log[WeekIndex],95)=0,"",SUMIFS(T_SelfStock_Log[Self_Qty],T_SelfStock_Log[Part Name],$A22,T_SelfStock_Log[WeekIndex],95))</f>
        <v/>
      </c>
      <c r="CS22" s="12">
        <f>IF(COUNTIFS(T_SelfStock_Log[Part Name],$A22,T_SelfStock_Log[WeekIndex],96)=0,"",SUMIFS(T_SelfStock_Log[Self_Qty],T_SelfStock_Log[Part Name],$A22,T_SelfStock_Log[WeekIndex],96))</f>
        <v/>
      </c>
      <c r="CT22" s="12">
        <f>IF(COUNTIFS(T_SelfStock_Log[Part Name],$A22,T_SelfStock_Log[WeekIndex],97)=0,"",SUMIFS(T_SelfStock_Log[Self_Qty],T_SelfStock_Log[Part Name],$A22,T_SelfStock_Log[WeekIndex],97))</f>
        <v/>
      </c>
      <c r="CU22" s="12">
        <f>IF(COUNTIFS(T_SelfStock_Log[Part Name],$A22,T_SelfStock_Log[WeekIndex],98)=0,"",SUMIFS(T_SelfStock_Log[Self_Qty],T_SelfStock_Log[Part Name],$A22,T_SelfStock_Log[WeekIndex],98))</f>
        <v/>
      </c>
      <c r="CV22" s="12">
        <f>IF(COUNTIFS(T_SelfStock_Log[Part Name],$A22,T_SelfStock_Log[WeekIndex],99)=0,"",SUMIFS(T_SelfStock_Log[Self_Qty],T_SelfStock_Log[Part Name],$A22,T_SelfStock_Log[WeekIndex],99))</f>
        <v/>
      </c>
      <c r="CW22" s="12">
        <f>IF(COUNTIFS(T_SelfStock_Log[Part Name],$A22,T_SelfStock_Log[WeekIndex],100)=0,"",SUMIFS(T_SelfStock_Log[Self_Qty],T_SelfStock_Log[Part Name],$A22,T_SelfStock_Log[WeekIndex],100))</f>
        <v/>
      </c>
      <c r="CX22" s="12">
        <f>IF(COUNTIFS(T_SelfStock_Log[Part Name],$A22,T_SelfStock_Log[WeekIndex],101)=0,"",SUMIFS(T_SelfStock_Log[Self_Qty],T_SelfStock_Log[Part Name],$A22,T_SelfStock_Log[WeekIndex],101))</f>
        <v/>
      </c>
      <c r="CY22" s="12">
        <f>IF(COUNTIFS(T_SelfStock_Log[Part Name],$A22,T_SelfStock_Log[WeekIndex],102)=0,"",SUMIFS(T_SelfStock_Log[Self_Qty],T_SelfStock_Log[Part Name],$A22,T_SelfStock_Log[WeekIndex],102))</f>
        <v/>
      </c>
      <c r="CZ22" s="12">
        <f>IF(COUNTIFS(T_SelfStock_Log[Part Name],$A22,T_SelfStock_Log[WeekIndex],103)=0,"",SUMIFS(T_SelfStock_Log[Self_Qty],T_SelfStock_Log[Part Name],$A22,T_SelfStock_Log[WeekIndex],103))</f>
        <v/>
      </c>
      <c r="DA22" s="12">
        <f>IF(COUNTIFS(T_SelfStock_Log[Part Name],$A22,T_SelfStock_Log[WeekIndex],104)=0,"",SUMIFS(T_SelfStock_Log[Self_Qty],T_SelfStock_Log[Part Name],$A22,T_SelfStock_Log[WeekIndex],104))</f>
        <v/>
      </c>
    </row>
    <row r="23">
      <c r="A23" s="13" t="inlineStr">
        <is>
          <t>CHEM-1600</t>
        </is>
      </c>
      <c r="B23" s="13">
        <f>IF(COUNTIFS(T_SelfStock_Log[Part Name],$A23,T_SelfStock_Log[WeekIndex],1)=0,"",SUMIFS(T_SelfStock_Log[Self_Qty],T_SelfStock_Log[Part Name],$A23,T_SelfStock_Log[WeekIndex],1))</f>
        <v/>
      </c>
      <c r="C23" s="13">
        <f>IF(COUNTIFS(T_SelfStock_Log[Part Name],$A23,T_SelfStock_Log[WeekIndex],2)=0,"",SUMIFS(T_SelfStock_Log[Self_Qty],T_SelfStock_Log[Part Name],$A23,T_SelfStock_Log[WeekIndex],2))</f>
        <v/>
      </c>
      <c r="D23" s="13">
        <f>IF(COUNTIFS(T_SelfStock_Log[Part Name],$A23,T_SelfStock_Log[WeekIndex],3)=0,"",SUMIFS(T_SelfStock_Log[Self_Qty],T_SelfStock_Log[Part Name],$A23,T_SelfStock_Log[WeekIndex],3))</f>
        <v/>
      </c>
      <c r="E23" s="13">
        <f>IF(COUNTIFS(T_SelfStock_Log[Part Name],$A23,T_SelfStock_Log[WeekIndex],4)=0,"",SUMIFS(T_SelfStock_Log[Self_Qty],T_SelfStock_Log[Part Name],$A23,T_SelfStock_Log[WeekIndex],4))</f>
        <v/>
      </c>
      <c r="F23" s="13">
        <f>IF(COUNTIFS(T_SelfStock_Log[Part Name],$A23,T_SelfStock_Log[WeekIndex],5)=0,"",SUMIFS(T_SelfStock_Log[Self_Qty],T_SelfStock_Log[Part Name],$A23,T_SelfStock_Log[WeekIndex],5))</f>
        <v/>
      </c>
      <c r="G23" s="13">
        <f>IF(COUNTIFS(T_SelfStock_Log[Part Name],$A23,T_SelfStock_Log[WeekIndex],6)=0,"",SUMIFS(T_SelfStock_Log[Self_Qty],T_SelfStock_Log[Part Name],$A23,T_SelfStock_Log[WeekIndex],6))</f>
        <v/>
      </c>
      <c r="H23" s="13">
        <f>IF(COUNTIFS(T_SelfStock_Log[Part Name],$A23,T_SelfStock_Log[WeekIndex],7)=0,"",SUMIFS(T_SelfStock_Log[Self_Qty],T_SelfStock_Log[Part Name],$A23,T_SelfStock_Log[WeekIndex],7))</f>
        <v/>
      </c>
      <c r="I23" s="13">
        <f>IF(COUNTIFS(T_SelfStock_Log[Part Name],$A23,T_SelfStock_Log[WeekIndex],8)=0,"",SUMIFS(T_SelfStock_Log[Self_Qty],T_SelfStock_Log[Part Name],$A23,T_SelfStock_Log[WeekIndex],8))</f>
        <v/>
      </c>
      <c r="J23" s="13">
        <f>IF(COUNTIFS(T_SelfStock_Log[Part Name],$A23,T_SelfStock_Log[WeekIndex],9)=0,"",SUMIFS(T_SelfStock_Log[Self_Qty],T_SelfStock_Log[Part Name],$A23,T_SelfStock_Log[WeekIndex],9))</f>
        <v/>
      </c>
      <c r="K23" s="13">
        <f>IF(COUNTIFS(T_SelfStock_Log[Part Name],$A23,T_SelfStock_Log[WeekIndex],10)=0,"",SUMIFS(T_SelfStock_Log[Self_Qty],T_SelfStock_Log[Part Name],$A23,T_SelfStock_Log[WeekIndex],10))</f>
        <v/>
      </c>
      <c r="L23" s="13">
        <f>IF(COUNTIFS(T_SelfStock_Log[Part Name],$A23,T_SelfStock_Log[WeekIndex],11)=0,"",SUMIFS(T_SelfStock_Log[Self_Qty],T_SelfStock_Log[Part Name],$A23,T_SelfStock_Log[WeekIndex],11))</f>
        <v/>
      </c>
      <c r="M23" s="13">
        <f>IF(COUNTIFS(T_SelfStock_Log[Part Name],$A23,T_SelfStock_Log[WeekIndex],12)=0,"",SUMIFS(T_SelfStock_Log[Self_Qty],T_SelfStock_Log[Part Name],$A23,T_SelfStock_Log[WeekIndex],12))</f>
        <v/>
      </c>
      <c r="N23" s="13">
        <f>IF(COUNTIFS(T_SelfStock_Log[Part Name],$A23,T_SelfStock_Log[WeekIndex],13)=0,"",SUMIFS(T_SelfStock_Log[Self_Qty],T_SelfStock_Log[Part Name],$A23,T_SelfStock_Log[WeekIndex],13))</f>
        <v/>
      </c>
      <c r="O23" s="13">
        <f>IF(COUNTIFS(T_SelfStock_Log[Part Name],$A23,T_SelfStock_Log[WeekIndex],14)=0,"",SUMIFS(T_SelfStock_Log[Self_Qty],T_SelfStock_Log[Part Name],$A23,T_SelfStock_Log[WeekIndex],14))</f>
        <v/>
      </c>
      <c r="P23" s="13">
        <f>IF(COUNTIFS(T_SelfStock_Log[Part Name],$A23,T_SelfStock_Log[WeekIndex],15)=0,"",SUMIFS(T_SelfStock_Log[Self_Qty],T_SelfStock_Log[Part Name],$A23,T_SelfStock_Log[WeekIndex],15))</f>
        <v/>
      </c>
      <c r="Q23" s="13">
        <f>IF(COUNTIFS(T_SelfStock_Log[Part Name],$A23,T_SelfStock_Log[WeekIndex],16)=0,"",SUMIFS(T_SelfStock_Log[Self_Qty],T_SelfStock_Log[Part Name],$A23,T_SelfStock_Log[WeekIndex],16))</f>
        <v/>
      </c>
      <c r="R23" s="13">
        <f>IF(COUNTIFS(T_SelfStock_Log[Part Name],$A23,T_SelfStock_Log[WeekIndex],17)=0,"",SUMIFS(T_SelfStock_Log[Self_Qty],T_SelfStock_Log[Part Name],$A23,T_SelfStock_Log[WeekIndex],17))</f>
        <v/>
      </c>
      <c r="S23" s="13">
        <f>IF(COUNTIFS(T_SelfStock_Log[Part Name],$A23,T_SelfStock_Log[WeekIndex],18)=0,"",SUMIFS(T_SelfStock_Log[Self_Qty],T_SelfStock_Log[Part Name],$A23,T_SelfStock_Log[WeekIndex],18))</f>
        <v/>
      </c>
      <c r="T23" s="13">
        <f>IF(COUNTIFS(T_SelfStock_Log[Part Name],$A23,T_SelfStock_Log[WeekIndex],19)=0,"",SUMIFS(T_SelfStock_Log[Self_Qty],T_SelfStock_Log[Part Name],$A23,T_SelfStock_Log[WeekIndex],19))</f>
        <v/>
      </c>
      <c r="U23" s="13">
        <f>IF(COUNTIFS(T_SelfStock_Log[Part Name],$A23,T_SelfStock_Log[WeekIndex],20)=0,"",SUMIFS(T_SelfStock_Log[Self_Qty],T_SelfStock_Log[Part Name],$A23,T_SelfStock_Log[WeekIndex],20))</f>
        <v/>
      </c>
      <c r="V23" s="13">
        <f>IF(COUNTIFS(T_SelfStock_Log[Part Name],$A23,T_SelfStock_Log[WeekIndex],21)=0,"",SUMIFS(T_SelfStock_Log[Self_Qty],T_SelfStock_Log[Part Name],$A23,T_SelfStock_Log[WeekIndex],21))</f>
        <v/>
      </c>
      <c r="W23" s="13">
        <f>IF(COUNTIFS(T_SelfStock_Log[Part Name],$A23,T_SelfStock_Log[WeekIndex],22)=0,"",SUMIFS(T_SelfStock_Log[Self_Qty],T_SelfStock_Log[Part Name],$A23,T_SelfStock_Log[WeekIndex],22))</f>
        <v/>
      </c>
      <c r="X23" s="13">
        <f>IF(COUNTIFS(T_SelfStock_Log[Part Name],$A23,T_SelfStock_Log[WeekIndex],23)=0,"",SUMIFS(T_SelfStock_Log[Self_Qty],T_SelfStock_Log[Part Name],$A23,T_SelfStock_Log[WeekIndex],23))</f>
        <v/>
      </c>
      <c r="Y23" s="13">
        <f>IF(COUNTIFS(T_SelfStock_Log[Part Name],$A23,T_SelfStock_Log[WeekIndex],24)=0,"",SUMIFS(T_SelfStock_Log[Self_Qty],T_SelfStock_Log[Part Name],$A23,T_SelfStock_Log[WeekIndex],24))</f>
        <v/>
      </c>
      <c r="Z23" s="13">
        <f>IF(COUNTIFS(T_SelfStock_Log[Part Name],$A23,T_SelfStock_Log[WeekIndex],25)=0,"",SUMIFS(T_SelfStock_Log[Self_Qty],T_SelfStock_Log[Part Name],$A23,T_SelfStock_Log[WeekIndex],25))</f>
        <v/>
      </c>
      <c r="AA23" s="13">
        <f>IF(COUNTIFS(T_SelfStock_Log[Part Name],$A23,T_SelfStock_Log[WeekIndex],26)=0,"",SUMIFS(T_SelfStock_Log[Self_Qty],T_SelfStock_Log[Part Name],$A23,T_SelfStock_Log[WeekIndex],26))</f>
        <v/>
      </c>
      <c r="AB23" s="13">
        <f>IF(COUNTIFS(T_SelfStock_Log[Part Name],$A23,T_SelfStock_Log[WeekIndex],27)=0,"",SUMIFS(T_SelfStock_Log[Self_Qty],T_SelfStock_Log[Part Name],$A23,T_SelfStock_Log[WeekIndex],27))</f>
        <v/>
      </c>
      <c r="AC23" s="13">
        <f>IF(COUNTIFS(T_SelfStock_Log[Part Name],$A23,T_SelfStock_Log[WeekIndex],28)=0,"",SUMIFS(T_SelfStock_Log[Self_Qty],T_SelfStock_Log[Part Name],$A23,T_SelfStock_Log[WeekIndex],28))</f>
        <v/>
      </c>
      <c r="AD23" s="13">
        <f>IF(COUNTIFS(T_SelfStock_Log[Part Name],$A23,T_SelfStock_Log[WeekIndex],29)=0,"",SUMIFS(T_SelfStock_Log[Self_Qty],T_SelfStock_Log[Part Name],$A23,T_SelfStock_Log[WeekIndex],29))</f>
        <v/>
      </c>
      <c r="AE23" s="13">
        <f>IF(COUNTIFS(T_SelfStock_Log[Part Name],$A23,T_SelfStock_Log[WeekIndex],30)=0,"",SUMIFS(T_SelfStock_Log[Self_Qty],T_SelfStock_Log[Part Name],$A23,T_SelfStock_Log[WeekIndex],30))</f>
        <v/>
      </c>
      <c r="AF23" s="13">
        <f>IF(COUNTIFS(T_SelfStock_Log[Part Name],$A23,T_SelfStock_Log[WeekIndex],31)=0,"",SUMIFS(T_SelfStock_Log[Self_Qty],T_SelfStock_Log[Part Name],$A23,T_SelfStock_Log[WeekIndex],31))</f>
        <v/>
      </c>
      <c r="AG23" s="13">
        <f>IF(COUNTIFS(T_SelfStock_Log[Part Name],$A23,T_SelfStock_Log[WeekIndex],32)=0,"",SUMIFS(T_SelfStock_Log[Self_Qty],T_SelfStock_Log[Part Name],$A23,T_SelfStock_Log[WeekIndex],32))</f>
        <v/>
      </c>
      <c r="AH23" s="13">
        <f>IF(COUNTIFS(T_SelfStock_Log[Part Name],$A23,T_SelfStock_Log[WeekIndex],33)=0,"",SUMIFS(T_SelfStock_Log[Self_Qty],T_SelfStock_Log[Part Name],$A23,T_SelfStock_Log[WeekIndex],33))</f>
        <v/>
      </c>
      <c r="AI23" s="13">
        <f>IF(COUNTIFS(T_SelfStock_Log[Part Name],$A23,T_SelfStock_Log[WeekIndex],34)=0,"",SUMIFS(T_SelfStock_Log[Self_Qty],T_SelfStock_Log[Part Name],$A23,T_SelfStock_Log[WeekIndex],34))</f>
        <v/>
      </c>
      <c r="AJ23" s="13">
        <f>IF(COUNTIFS(T_SelfStock_Log[Part Name],$A23,T_SelfStock_Log[WeekIndex],35)=0,"",SUMIFS(T_SelfStock_Log[Self_Qty],T_SelfStock_Log[Part Name],$A23,T_SelfStock_Log[WeekIndex],35))</f>
        <v/>
      </c>
      <c r="AK23" s="13">
        <f>IF(COUNTIFS(T_SelfStock_Log[Part Name],$A23,T_SelfStock_Log[WeekIndex],36)=0,"",SUMIFS(T_SelfStock_Log[Self_Qty],T_SelfStock_Log[Part Name],$A23,T_SelfStock_Log[WeekIndex],36))</f>
        <v/>
      </c>
      <c r="AL23" s="13">
        <f>IF(COUNTIFS(T_SelfStock_Log[Part Name],$A23,T_SelfStock_Log[WeekIndex],37)=0,"",SUMIFS(T_SelfStock_Log[Self_Qty],T_SelfStock_Log[Part Name],$A23,T_SelfStock_Log[WeekIndex],37))</f>
        <v/>
      </c>
      <c r="AM23" s="13">
        <f>IF(COUNTIFS(T_SelfStock_Log[Part Name],$A23,T_SelfStock_Log[WeekIndex],38)=0,"",SUMIFS(T_SelfStock_Log[Self_Qty],T_SelfStock_Log[Part Name],$A23,T_SelfStock_Log[WeekIndex],38))</f>
        <v/>
      </c>
      <c r="AN23" s="13">
        <f>IF(COUNTIFS(T_SelfStock_Log[Part Name],$A23,T_SelfStock_Log[WeekIndex],39)=0,"",SUMIFS(T_SelfStock_Log[Self_Qty],T_SelfStock_Log[Part Name],$A23,T_SelfStock_Log[WeekIndex],39))</f>
        <v/>
      </c>
      <c r="AO23" s="13">
        <f>IF(COUNTIFS(T_SelfStock_Log[Part Name],$A23,T_SelfStock_Log[WeekIndex],40)=0,"",SUMIFS(T_SelfStock_Log[Self_Qty],T_SelfStock_Log[Part Name],$A23,T_SelfStock_Log[WeekIndex],40))</f>
        <v/>
      </c>
      <c r="AP23" s="13">
        <f>IF(COUNTIFS(T_SelfStock_Log[Part Name],$A23,T_SelfStock_Log[WeekIndex],41)=0,"",SUMIFS(T_SelfStock_Log[Self_Qty],T_SelfStock_Log[Part Name],$A23,T_SelfStock_Log[WeekIndex],41))</f>
        <v/>
      </c>
      <c r="AQ23" s="13">
        <f>IF(COUNTIFS(T_SelfStock_Log[Part Name],$A23,T_SelfStock_Log[WeekIndex],42)=0,"",SUMIFS(T_SelfStock_Log[Self_Qty],T_SelfStock_Log[Part Name],$A23,T_SelfStock_Log[WeekIndex],42))</f>
        <v/>
      </c>
      <c r="AR23" s="13">
        <f>IF(COUNTIFS(T_SelfStock_Log[Part Name],$A23,T_SelfStock_Log[WeekIndex],43)=0,"",SUMIFS(T_SelfStock_Log[Self_Qty],T_SelfStock_Log[Part Name],$A23,T_SelfStock_Log[WeekIndex],43))</f>
        <v/>
      </c>
      <c r="AS23" s="13">
        <f>IF(COUNTIFS(T_SelfStock_Log[Part Name],$A23,T_SelfStock_Log[WeekIndex],44)=0,"",SUMIFS(T_SelfStock_Log[Self_Qty],T_SelfStock_Log[Part Name],$A23,T_SelfStock_Log[WeekIndex],44))</f>
        <v/>
      </c>
      <c r="AT23" s="13">
        <f>IF(COUNTIFS(T_SelfStock_Log[Part Name],$A23,T_SelfStock_Log[WeekIndex],45)=0,"",SUMIFS(T_SelfStock_Log[Self_Qty],T_SelfStock_Log[Part Name],$A23,T_SelfStock_Log[WeekIndex],45))</f>
        <v/>
      </c>
      <c r="AU23" s="13">
        <f>IF(COUNTIFS(T_SelfStock_Log[Part Name],$A23,T_SelfStock_Log[WeekIndex],46)=0,"",SUMIFS(T_SelfStock_Log[Self_Qty],T_SelfStock_Log[Part Name],$A23,T_SelfStock_Log[WeekIndex],46))</f>
        <v/>
      </c>
      <c r="AV23" s="13">
        <f>IF(COUNTIFS(T_SelfStock_Log[Part Name],$A23,T_SelfStock_Log[WeekIndex],47)=0,"",SUMIFS(T_SelfStock_Log[Self_Qty],T_SelfStock_Log[Part Name],$A23,T_SelfStock_Log[WeekIndex],47))</f>
        <v/>
      </c>
      <c r="AW23" s="13">
        <f>IF(COUNTIFS(T_SelfStock_Log[Part Name],$A23,T_SelfStock_Log[WeekIndex],48)=0,"",SUMIFS(T_SelfStock_Log[Self_Qty],T_SelfStock_Log[Part Name],$A23,T_SelfStock_Log[WeekIndex],48))</f>
        <v/>
      </c>
      <c r="AX23" s="13">
        <f>IF(COUNTIFS(T_SelfStock_Log[Part Name],$A23,T_SelfStock_Log[WeekIndex],49)=0,"",SUMIFS(T_SelfStock_Log[Self_Qty],T_SelfStock_Log[Part Name],$A23,T_SelfStock_Log[WeekIndex],49))</f>
        <v/>
      </c>
      <c r="AY23" s="13">
        <f>IF(COUNTIFS(T_SelfStock_Log[Part Name],$A23,T_SelfStock_Log[WeekIndex],50)=0,"",SUMIFS(T_SelfStock_Log[Self_Qty],T_SelfStock_Log[Part Name],$A23,T_SelfStock_Log[WeekIndex],50))</f>
        <v/>
      </c>
      <c r="AZ23" s="13">
        <f>IF(COUNTIFS(T_SelfStock_Log[Part Name],$A23,T_SelfStock_Log[WeekIndex],51)=0,"",SUMIFS(T_SelfStock_Log[Self_Qty],T_SelfStock_Log[Part Name],$A23,T_SelfStock_Log[WeekIndex],51))</f>
        <v/>
      </c>
      <c r="BA23" s="13">
        <f>IF(COUNTIFS(T_SelfStock_Log[Part Name],$A23,T_SelfStock_Log[WeekIndex],52)=0,"",SUMIFS(T_SelfStock_Log[Self_Qty],T_SelfStock_Log[Part Name],$A23,T_SelfStock_Log[WeekIndex],52))</f>
        <v/>
      </c>
      <c r="BB23" s="13">
        <f>IF(COUNTIFS(T_SelfStock_Log[Part Name],$A23,T_SelfStock_Log[WeekIndex],53)=0,"",SUMIFS(T_SelfStock_Log[Self_Qty],T_SelfStock_Log[Part Name],$A23,T_SelfStock_Log[WeekIndex],53))</f>
        <v/>
      </c>
      <c r="BC23" s="13">
        <f>IF(COUNTIFS(T_SelfStock_Log[Part Name],$A23,T_SelfStock_Log[WeekIndex],54)=0,"",SUMIFS(T_SelfStock_Log[Self_Qty],T_SelfStock_Log[Part Name],$A23,T_SelfStock_Log[WeekIndex],54))</f>
        <v/>
      </c>
      <c r="BD23" s="13">
        <f>IF(COUNTIFS(T_SelfStock_Log[Part Name],$A23,T_SelfStock_Log[WeekIndex],55)=0,"",SUMIFS(T_SelfStock_Log[Self_Qty],T_SelfStock_Log[Part Name],$A23,T_SelfStock_Log[WeekIndex],55))</f>
        <v/>
      </c>
      <c r="BE23" s="13">
        <f>IF(COUNTIFS(T_SelfStock_Log[Part Name],$A23,T_SelfStock_Log[WeekIndex],56)=0,"",SUMIFS(T_SelfStock_Log[Self_Qty],T_SelfStock_Log[Part Name],$A23,T_SelfStock_Log[WeekIndex],56))</f>
        <v/>
      </c>
      <c r="BF23" s="13">
        <f>IF(COUNTIFS(T_SelfStock_Log[Part Name],$A23,T_SelfStock_Log[WeekIndex],57)=0,"",SUMIFS(T_SelfStock_Log[Self_Qty],T_SelfStock_Log[Part Name],$A23,T_SelfStock_Log[WeekIndex],57))</f>
        <v/>
      </c>
      <c r="BG23" s="13">
        <f>IF(COUNTIFS(T_SelfStock_Log[Part Name],$A23,T_SelfStock_Log[WeekIndex],58)=0,"",SUMIFS(T_SelfStock_Log[Self_Qty],T_SelfStock_Log[Part Name],$A23,T_SelfStock_Log[WeekIndex],58))</f>
        <v/>
      </c>
      <c r="BH23" s="13">
        <f>IF(COUNTIFS(T_SelfStock_Log[Part Name],$A23,T_SelfStock_Log[WeekIndex],59)=0,"",SUMIFS(T_SelfStock_Log[Self_Qty],T_SelfStock_Log[Part Name],$A23,T_SelfStock_Log[WeekIndex],59))</f>
        <v/>
      </c>
      <c r="BI23" s="13">
        <f>IF(COUNTIFS(T_SelfStock_Log[Part Name],$A23,T_SelfStock_Log[WeekIndex],60)=0,"",SUMIFS(T_SelfStock_Log[Self_Qty],T_SelfStock_Log[Part Name],$A23,T_SelfStock_Log[WeekIndex],60))</f>
        <v/>
      </c>
      <c r="BJ23" s="13">
        <f>IF(COUNTIFS(T_SelfStock_Log[Part Name],$A23,T_SelfStock_Log[WeekIndex],61)=0,"",SUMIFS(T_SelfStock_Log[Self_Qty],T_SelfStock_Log[Part Name],$A23,T_SelfStock_Log[WeekIndex],61))</f>
        <v/>
      </c>
      <c r="BK23" s="13">
        <f>IF(COUNTIFS(T_SelfStock_Log[Part Name],$A23,T_SelfStock_Log[WeekIndex],62)=0,"",SUMIFS(T_SelfStock_Log[Self_Qty],T_SelfStock_Log[Part Name],$A23,T_SelfStock_Log[WeekIndex],62))</f>
        <v/>
      </c>
      <c r="BL23" s="13">
        <f>IF(COUNTIFS(T_SelfStock_Log[Part Name],$A23,T_SelfStock_Log[WeekIndex],63)=0,"",SUMIFS(T_SelfStock_Log[Self_Qty],T_SelfStock_Log[Part Name],$A23,T_SelfStock_Log[WeekIndex],63))</f>
        <v/>
      </c>
      <c r="BM23" s="13">
        <f>IF(COUNTIFS(T_SelfStock_Log[Part Name],$A23,T_SelfStock_Log[WeekIndex],64)=0,"",SUMIFS(T_SelfStock_Log[Self_Qty],T_SelfStock_Log[Part Name],$A23,T_SelfStock_Log[WeekIndex],64))</f>
        <v/>
      </c>
      <c r="BN23" s="13">
        <f>IF(COUNTIFS(T_SelfStock_Log[Part Name],$A23,T_SelfStock_Log[WeekIndex],65)=0,"",SUMIFS(T_SelfStock_Log[Self_Qty],T_SelfStock_Log[Part Name],$A23,T_SelfStock_Log[WeekIndex],65))</f>
        <v/>
      </c>
      <c r="BO23" s="13">
        <f>IF(COUNTIFS(T_SelfStock_Log[Part Name],$A23,T_SelfStock_Log[WeekIndex],66)=0,"",SUMIFS(T_SelfStock_Log[Self_Qty],T_SelfStock_Log[Part Name],$A23,T_SelfStock_Log[WeekIndex],66))</f>
        <v/>
      </c>
      <c r="BP23" s="13">
        <f>IF(COUNTIFS(T_SelfStock_Log[Part Name],$A23,T_SelfStock_Log[WeekIndex],67)=0,"",SUMIFS(T_SelfStock_Log[Self_Qty],T_SelfStock_Log[Part Name],$A23,T_SelfStock_Log[WeekIndex],67))</f>
        <v/>
      </c>
      <c r="BQ23" s="13">
        <f>IF(COUNTIFS(T_SelfStock_Log[Part Name],$A23,T_SelfStock_Log[WeekIndex],68)=0,"",SUMIFS(T_SelfStock_Log[Self_Qty],T_SelfStock_Log[Part Name],$A23,T_SelfStock_Log[WeekIndex],68))</f>
        <v/>
      </c>
      <c r="BR23" s="13">
        <f>IF(COUNTIFS(T_SelfStock_Log[Part Name],$A23,T_SelfStock_Log[WeekIndex],69)=0,"",SUMIFS(T_SelfStock_Log[Self_Qty],T_SelfStock_Log[Part Name],$A23,T_SelfStock_Log[WeekIndex],69))</f>
        <v/>
      </c>
      <c r="BS23" s="13">
        <f>IF(COUNTIFS(T_SelfStock_Log[Part Name],$A23,T_SelfStock_Log[WeekIndex],70)=0,"",SUMIFS(T_SelfStock_Log[Self_Qty],T_SelfStock_Log[Part Name],$A23,T_SelfStock_Log[WeekIndex],70))</f>
        <v/>
      </c>
      <c r="BT23" s="13">
        <f>IF(COUNTIFS(T_SelfStock_Log[Part Name],$A23,T_SelfStock_Log[WeekIndex],71)=0,"",SUMIFS(T_SelfStock_Log[Self_Qty],T_SelfStock_Log[Part Name],$A23,T_SelfStock_Log[WeekIndex],71))</f>
        <v/>
      </c>
      <c r="BU23" s="13">
        <f>IF(COUNTIFS(T_SelfStock_Log[Part Name],$A23,T_SelfStock_Log[WeekIndex],72)=0,"",SUMIFS(T_SelfStock_Log[Self_Qty],T_SelfStock_Log[Part Name],$A23,T_SelfStock_Log[WeekIndex],72))</f>
        <v/>
      </c>
      <c r="BV23" s="13">
        <f>IF(COUNTIFS(T_SelfStock_Log[Part Name],$A23,T_SelfStock_Log[WeekIndex],73)=0,"",SUMIFS(T_SelfStock_Log[Self_Qty],T_SelfStock_Log[Part Name],$A23,T_SelfStock_Log[WeekIndex],73))</f>
        <v/>
      </c>
      <c r="BW23" s="13">
        <f>IF(COUNTIFS(T_SelfStock_Log[Part Name],$A23,T_SelfStock_Log[WeekIndex],74)=0,"",SUMIFS(T_SelfStock_Log[Self_Qty],T_SelfStock_Log[Part Name],$A23,T_SelfStock_Log[WeekIndex],74))</f>
        <v/>
      </c>
      <c r="BX23" s="13">
        <f>IF(COUNTIFS(T_SelfStock_Log[Part Name],$A23,T_SelfStock_Log[WeekIndex],75)=0,"",SUMIFS(T_SelfStock_Log[Self_Qty],T_SelfStock_Log[Part Name],$A23,T_SelfStock_Log[WeekIndex],75))</f>
        <v/>
      </c>
      <c r="BY23" s="13">
        <f>IF(COUNTIFS(T_SelfStock_Log[Part Name],$A23,T_SelfStock_Log[WeekIndex],76)=0,"",SUMIFS(T_SelfStock_Log[Self_Qty],T_SelfStock_Log[Part Name],$A23,T_SelfStock_Log[WeekIndex],76))</f>
        <v/>
      </c>
      <c r="BZ23" s="13">
        <f>IF(COUNTIFS(T_SelfStock_Log[Part Name],$A23,T_SelfStock_Log[WeekIndex],77)=0,"",SUMIFS(T_SelfStock_Log[Self_Qty],T_SelfStock_Log[Part Name],$A23,T_SelfStock_Log[WeekIndex],77))</f>
        <v/>
      </c>
      <c r="CA23" s="13">
        <f>IF(COUNTIFS(T_SelfStock_Log[Part Name],$A23,T_SelfStock_Log[WeekIndex],78)=0,"",SUMIFS(T_SelfStock_Log[Self_Qty],T_SelfStock_Log[Part Name],$A23,T_SelfStock_Log[WeekIndex],78))</f>
        <v/>
      </c>
      <c r="CB23" s="13">
        <f>IF(COUNTIFS(T_SelfStock_Log[Part Name],$A23,T_SelfStock_Log[WeekIndex],79)=0,"",SUMIFS(T_SelfStock_Log[Self_Qty],T_SelfStock_Log[Part Name],$A23,T_SelfStock_Log[WeekIndex],79))</f>
        <v/>
      </c>
      <c r="CC23" s="13">
        <f>IF(COUNTIFS(T_SelfStock_Log[Part Name],$A23,T_SelfStock_Log[WeekIndex],80)=0,"",SUMIFS(T_SelfStock_Log[Self_Qty],T_SelfStock_Log[Part Name],$A23,T_SelfStock_Log[WeekIndex],80))</f>
        <v/>
      </c>
      <c r="CD23" s="13">
        <f>IF(COUNTIFS(T_SelfStock_Log[Part Name],$A23,T_SelfStock_Log[WeekIndex],81)=0,"",SUMIFS(T_SelfStock_Log[Self_Qty],T_SelfStock_Log[Part Name],$A23,T_SelfStock_Log[WeekIndex],81))</f>
        <v/>
      </c>
      <c r="CE23" s="13">
        <f>IF(COUNTIFS(T_SelfStock_Log[Part Name],$A23,T_SelfStock_Log[WeekIndex],82)=0,"",SUMIFS(T_SelfStock_Log[Self_Qty],T_SelfStock_Log[Part Name],$A23,T_SelfStock_Log[WeekIndex],82))</f>
        <v/>
      </c>
      <c r="CF23" s="13">
        <f>IF(COUNTIFS(T_SelfStock_Log[Part Name],$A23,T_SelfStock_Log[WeekIndex],83)=0,"",SUMIFS(T_SelfStock_Log[Self_Qty],T_SelfStock_Log[Part Name],$A23,T_SelfStock_Log[WeekIndex],83))</f>
        <v/>
      </c>
      <c r="CG23" s="13">
        <f>IF(COUNTIFS(T_SelfStock_Log[Part Name],$A23,T_SelfStock_Log[WeekIndex],84)=0,"",SUMIFS(T_SelfStock_Log[Self_Qty],T_SelfStock_Log[Part Name],$A23,T_SelfStock_Log[WeekIndex],84))</f>
        <v/>
      </c>
      <c r="CH23" s="13">
        <f>IF(COUNTIFS(T_SelfStock_Log[Part Name],$A23,T_SelfStock_Log[WeekIndex],85)=0,"",SUMIFS(T_SelfStock_Log[Self_Qty],T_SelfStock_Log[Part Name],$A23,T_SelfStock_Log[WeekIndex],85))</f>
        <v/>
      </c>
      <c r="CI23" s="13">
        <f>IF(COUNTIFS(T_SelfStock_Log[Part Name],$A23,T_SelfStock_Log[WeekIndex],86)=0,"",SUMIFS(T_SelfStock_Log[Self_Qty],T_SelfStock_Log[Part Name],$A23,T_SelfStock_Log[WeekIndex],86))</f>
        <v/>
      </c>
      <c r="CJ23" s="13">
        <f>IF(COUNTIFS(T_SelfStock_Log[Part Name],$A23,T_SelfStock_Log[WeekIndex],87)=0,"",SUMIFS(T_SelfStock_Log[Self_Qty],T_SelfStock_Log[Part Name],$A23,T_SelfStock_Log[WeekIndex],87))</f>
        <v/>
      </c>
      <c r="CK23" s="13">
        <f>IF(COUNTIFS(T_SelfStock_Log[Part Name],$A23,T_SelfStock_Log[WeekIndex],88)=0,"",SUMIFS(T_SelfStock_Log[Self_Qty],T_SelfStock_Log[Part Name],$A23,T_SelfStock_Log[WeekIndex],88))</f>
        <v/>
      </c>
      <c r="CL23" s="13">
        <f>IF(COUNTIFS(T_SelfStock_Log[Part Name],$A23,T_SelfStock_Log[WeekIndex],89)=0,"",SUMIFS(T_SelfStock_Log[Self_Qty],T_SelfStock_Log[Part Name],$A23,T_SelfStock_Log[WeekIndex],89))</f>
        <v/>
      </c>
      <c r="CM23" s="13">
        <f>IF(COUNTIFS(T_SelfStock_Log[Part Name],$A23,T_SelfStock_Log[WeekIndex],90)=0,"",SUMIFS(T_SelfStock_Log[Self_Qty],T_SelfStock_Log[Part Name],$A23,T_SelfStock_Log[WeekIndex],90))</f>
        <v/>
      </c>
      <c r="CN23" s="13">
        <f>IF(COUNTIFS(T_SelfStock_Log[Part Name],$A23,T_SelfStock_Log[WeekIndex],91)=0,"",SUMIFS(T_SelfStock_Log[Self_Qty],T_SelfStock_Log[Part Name],$A23,T_SelfStock_Log[WeekIndex],91))</f>
        <v/>
      </c>
      <c r="CO23" s="13">
        <f>IF(COUNTIFS(T_SelfStock_Log[Part Name],$A23,T_SelfStock_Log[WeekIndex],92)=0,"",SUMIFS(T_SelfStock_Log[Self_Qty],T_SelfStock_Log[Part Name],$A23,T_SelfStock_Log[WeekIndex],92))</f>
        <v/>
      </c>
      <c r="CP23" s="13">
        <f>IF(COUNTIFS(T_SelfStock_Log[Part Name],$A23,T_SelfStock_Log[WeekIndex],93)=0,"",SUMIFS(T_SelfStock_Log[Self_Qty],T_SelfStock_Log[Part Name],$A23,T_SelfStock_Log[WeekIndex],93))</f>
        <v/>
      </c>
      <c r="CQ23" s="13">
        <f>IF(COUNTIFS(T_SelfStock_Log[Part Name],$A23,T_SelfStock_Log[WeekIndex],94)=0,"",SUMIFS(T_SelfStock_Log[Self_Qty],T_SelfStock_Log[Part Name],$A23,T_SelfStock_Log[WeekIndex],94))</f>
        <v/>
      </c>
      <c r="CR23" s="13">
        <f>IF(COUNTIFS(T_SelfStock_Log[Part Name],$A23,T_SelfStock_Log[WeekIndex],95)=0,"",SUMIFS(T_SelfStock_Log[Self_Qty],T_SelfStock_Log[Part Name],$A23,T_SelfStock_Log[WeekIndex],95))</f>
        <v/>
      </c>
      <c r="CS23" s="13">
        <f>IF(COUNTIFS(T_SelfStock_Log[Part Name],$A23,T_SelfStock_Log[WeekIndex],96)=0,"",SUMIFS(T_SelfStock_Log[Self_Qty],T_SelfStock_Log[Part Name],$A23,T_SelfStock_Log[WeekIndex],96))</f>
        <v/>
      </c>
      <c r="CT23" s="13">
        <f>IF(COUNTIFS(T_SelfStock_Log[Part Name],$A23,T_SelfStock_Log[WeekIndex],97)=0,"",SUMIFS(T_SelfStock_Log[Self_Qty],T_SelfStock_Log[Part Name],$A23,T_SelfStock_Log[WeekIndex],97))</f>
        <v/>
      </c>
      <c r="CU23" s="13">
        <f>IF(COUNTIFS(T_SelfStock_Log[Part Name],$A23,T_SelfStock_Log[WeekIndex],98)=0,"",SUMIFS(T_SelfStock_Log[Self_Qty],T_SelfStock_Log[Part Name],$A23,T_SelfStock_Log[WeekIndex],98))</f>
        <v/>
      </c>
      <c r="CV23" s="13">
        <f>IF(COUNTIFS(T_SelfStock_Log[Part Name],$A23,T_SelfStock_Log[WeekIndex],99)=0,"",SUMIFS(T_SelfStock_Log[Self_Qty],T_SelfStock_Log[Part Name],$A23,T_SelfStock_Log[WeekIndex],99))</f>
        <v/>
      </c>
      <c r="CW23" s="13">
        <f>IF(COUNTIFS(T_SelfStock_Log[Part Name],$A23,T_SelfStock_Log[WeekIndex],100)=0,"",SUMIFS(T_SelfStock_Log[Self_Qty],T_SelfStock_Log[Part Name],$A23,T_SelfStock_Log[WeekIndex],100))</f>
        <v/>
      </c>
      <c r="CX23" s="13">
        <f>IF(COUNTIFS(T_SelfStock_Log[Part Name],$A23,T_SelfStock_Log[WeekIndex],101)=0,"",SUMIFS(T_SelfStock_Log[Self_Qty],T_SelfStock_Log[Part Name],$A23,T_SelfStock_Log[WeekIndex],101))</f>
        <v/>
      </c>
      <c r="CY23" s="13">
        <f>IF(COUNTIFS(T_SelfStock_Log[Part Name],$A23,T_SelfStock_Log[WeekIndex],102)=0,"",SUMIFS(T_SelfStock_Log[Self_Qty],T_SelfStock_Log[Part Name],$A23,T_SelfStock_Log[WeekIndex],102))</f>
        <v/>
      </c>
      <c r="CZ23" s="13">
        <f>IF(COUNTIFS(T_SelfStock_Log[Part Name],$A23,T_SelfStock_Log[WeekIndex],103)=0,"",SUMIFS(T_SelfStock_Log[Self_Qty],T_SelfStock_Log[Part Name],$A23,T_SelfStock_Log[WeekIndex],103))</f>
        <v/>
      </c>
      <c r="DA23" s="13">
        <f>IF(COUNTIFS(T_SelfStock_Log[Part Name],$A23,T_SelfStock_Log[WeekIndex],104)=0,"",SUMIFS(T_SelfStock_Log[Self_Qty],T_SelfStock_Log[Part Name],$A23,T_SelfStock_Log[WeekIndex],104))</f>
        <v/>
      </c>
    </row>
    <row r="24">
      <c r="A24" s="12" t="inlineStr">
        <is>
          <t>CHEM-1280</t>
        </is>
      </c>
      <c r="B24" s="12">
        <f>IF(COUNTIFS(T_SelfStock_Log[Part Name],$A24,T_SelfStock_Log[WeekIndex],1)=0,"",SUMIFS(T_SelfStock_Log[Self_Qty],T_SelfStock_Log[Part Name],$A24,T_SelfStock_Log[WeekIndex],1))</f>
        <v/>
      </c>
      <c r="C24" s="12">
        <f>IF(COUNTIFS(T_SelfStock_Log[Part Name],$A24,T_SelfStock_Log[WeekIndex],2)=0,"",SUMIFS(T_SelfStock_Log[Self_Qty],T_SelfStock_Log[Part Name],$A24,T_SelfStock_Log[WeekIndex],2))</f>
        <v/>
      </c>
      <c r="D24" s="12">
        <f>IF(COUNTIFS(T_SelfStock_Log[Part Name],$A24,T_SelfStock_Log[WeekIndex],3)=0,"",SUMIFS(T_SelfStock_Log[Self_Qty],T_SelfStock_Log[Part Name],$A24,T_SelfStock_Log[WeekIndex],3))</f>
        <v/>
      </c>
      <c r="E24" s="12">
        <f>IF(COUNTIFS(T_SelfStock_Log[Part Name],$A24,T_SelfStock_Log[WeekIndex],4)=0,"",SUMIFS(T_SelfStock_Log[Self_Qty],T_SelfStock_Log[Part Name],$A24,T_SelfStock_Log[WeekIndex],4))</f>
        <v/>
      </c>
      <c r="F24" s="12">
        <f>IF(COUNTIFS(T_SelfStock_Log[Part Name],$A24,T_SelfStock_Log[WeekIndex],5)=0,"",SUMIFS(T_SelfStock_Log[Self_Qty],T_SelfStock_Log[Part Name],$A24,T_SelfStock_Log[WeekIndex],5))</f>
        <v/>
      </c>
      <c r="G24" s="12">
        <f>IF(COUNTIFS(T_SelfStock_Log[Part Name],$A24,T_SelfStock_Log[WeekIndex],6)=0,"",SUMIFS(T_SelfStock_Log[Self_Qty],T_SelfStock_Log[Part Name],$A24,T_SelfStock_Log[WeekIndex],6))</f>
        <v/>
      </c>
      <c r="H24" s="12">
        <f>IF(COUNTIFS(T_SelfStock_Log[Part Name],$A24,T_SelfStock_Log[WeekIndex],7)=0,"",SUMIFS(T_SelfStock_Log[Self_Qty],T_SelfStock_Log[Part Name],$A24,T_SelfStock_Log[WeekIndex],7))</f>
        <v/>
      </c>
      <c r="I24" s="12">
        <f>IF(COUNTIFS(T_SelfStock_Log[Part Name],$A24,T_SelfStock_Log[WeekIndex],8)=0,"",SUMIFS(T_SelfStock_Log[Self_Qty],T_SelfStock_Log[Part Name],$A24,T_SelfStock_Log[WeekIndex],8))</f>
        <v/>
      </c>
      <c r="J24" s="12">
        <f>IF(COUNTIFS(T_SelfStock_Log[Part Name],$A24,T_SelfStock_Log[WeekIndex],9)=0,"",SUMIFS(T_SelfStock_Log[Self_Qty],T_SelfStock_Log[Part Name],$A24,T_SelfStock_Log[WeekIndex],9))</f>
        <v/>
      </c>
      <c r="K24" s="12">
        <f>IF(COUNTIFS(T_SelfStock_Log[Part Name],$A24,T_SelfStock_Log[WeekIndex],10)=0,"",SUMIFS(T_SelfStock_Log[Self_Qty],T_SelfStock_Log[Part Name],$A24,T_SelfStock_Log[WeekIndex],10))</f>
        <v/>
      </c>
      <c r="L24" s="12">
        <f>IF(COUNTIFS(T_SelfStock_Log[Part Name],$A24,T_SelfStock_Log[WeekIndex],11)=0,"",SUMIFS(T_SelfStock_Log[Self_Qty],T_SelfStock_Log[Part Name],$A24,T_SelfStock_Log[WeekIndex],11))</f>
        <v/>
      </c>
      <c r="M24" s="12">
        <f>IF(COUNTIFS(T_SelfStock_Log[Part Name],$A24,T_SelfStock_Log[WeekIndex],12)=0,"",SUMIFS(T_SelfStock_Log[Self_Qty],T_SelfStock_Log[Part Name],$A24,T_SelfStock_Log[WeekIndex],12))</f>
        <v/>
      </c>
      <c r="N24" s="12">
        <f>IF(COUNTIFS(T_SelfStock_Log[Part Name],$A24,T_SelfStock_Log[WeekIndex],13)=0,"",SUMIFS(T_SelfStock_Log[Self_Qty],T_SelfStock_Log[Part Name],$A24,T_SelfStock_Log[WeekIndex],13))</f>
        <v/>
      </c>
      <c r="O24" s="12">
        <f>IF(COUNTIFS(T_SelfStock_Log[Part Name],$A24,T_SelfStock_Log[WeekIndex],14)=0,"",SUMIFS(T_SelfStock_Log[Self_Qty],T_SelfStock_Log[Part Name],$A24,T_SelfStock_Log[WeekIndex],14))</f>
        <v/>
      </c>
      <c r="P24" s="12">
        <f>IF(COUNTIFS(T_SelfStock_Log[Part Name],$A24,T_SelfStock_Log[WeekIndex],15)=0,"",SUMIFS(T_SelfStock_Log[Self_Qty],T_SelfStock_Log[Part Name],$A24,T_SelfStock_Log[WeekIndex],15))</f>
        <v/>
      </c>
      <c r="Q24" s="12">
        <f>IF(COUNTIFS(T_SelfStock_Log[Part Name],$A24,T_SelfStock_Log[WeekIndex],16)=0,"",SUMIFS(T_SelfStock_Log[Self_Qty],T_SelfStock_Log[Part Name],$A24,T_SelfStock_Log[WeekIndex],16))</f>
        <v/>
      </c>
      <c r="R24" s="12">
        <f>IF(COUNTIFS(T_SelfStock_Log[Part Name],$A24,T_SelfStock_Log[WeekIndex],17)=0,"",SUMIFS(T_SelfStock_Log[Self_Qty],T_SelfStock_Log[Part Name],$A24,T_SelfStock_Log[WeekIndex],17))</f>
        <v/>
      </c>
      <c r="S24" s="12">
        <f>IF(COUNTIFS(T_SelfStock_Log[Part Name],$A24,T_SelfStock_Log[WeekIndex],18)=0,"",SUMIFS(T_SelfStock_Log[Self_Qty],T_SelfStock_Log[Part Name],$A24,T_SelfStock_Log[WeekIndex],18))</f>
        <v/>
      </c>
      <c r="T24" s="12">
        <f>IF(COUNTIFS(T_SelfStock_Log[Part Name],$A24,T_SelfStock_Log[WeekIndex],19)=0,"",SUMIFS(T_SelfStock_Log[Self_Qty],T_SelfStock_Log[Part Name],$A24,T_SelfStock_Log[WeekIndex],19))</f>
        <v/>
      </c>
      <c r="U24" s="12">
        <f>IF(COUNTIFS(T_SelfStock_Log[Part Name],$A24,T_SelfStock_Log[WeekIndex],20)=0,"",SUMIFS(T_SelfStock_Log[Self_Qty],T_SelfStock_Log[Part Name],$A24,T_SelfStock_Log[WeekIndex],20))</f>
        <v/>
      </c>
      <c r="V24" s="12">
        <f>IF(COUNTIFS(T_SelfStock_Log[Part Name],$A24,T_SelfStock_Log[WeekIndex],21)=0,"",SUMIFS(T_SelfStock_Log[Self_Qty],T_SelfStock_Log[Part Name],$A24,T_SelfStock_Log[WeekIndex],21))</f>
        <v/>
      </c>
      <c r="W24" s="12">
        <f>IF(COUNTIFS(T_SelfStock_Log[Part Name],$A24,T_SelfStock_Log[WeekIndex],22)=0,"",SUMIFS(T_SelfStock_Log[Self_Qty],T_SelfStock_Log[Part Name],$A24,T_SelfStock_Log[WeekIndex],22))</f>
        <v/>
      </c>
      <c r="X24" s="12">
        <f>IF(COUNTIFS(T_SelfStock_Log[Part Name],$A24,T_SelfStock_Log[WeekIndex],23)=0,"",SUMIFS(T_SelfStock_Log[Self_Qty],T_SelfStock_Log[Part Name],$A24,T_SelfStock_Log[WeekIndex],23))</f>
        <v/>
      </c>
      <c r="Y24" s="12">
        <f>IF(COUNTIFS(T_SelfStock_Log[Part Name],$A24,T_SelfStock_Log[WeekIndex],24)=0,"",SUMIFS(T_SelfStock_Log[Self_Qty],T_SelfStock_Log[Part Name],$A24,T_SelfStock_Log[WeekIndex],24))</f>
        <v/>
      </c>
      <c r="Z24" s="12">
        <f>IF(COUNTIFS(T_SelfStock_Log[Part Name],$A24,T_SelfStock_Log[WeekIndex],25)=0,"",SUMIFS(T_SelfStock_Log[Self_Qty],T_SelfStock_Log[Part Name],$A24,T_SelfStock_Log[WeekIndex],25))</f>
        <v/>
      </c>
      <c r="AA24" s="12">
        <f>IF(COUNTIFS(T_SelfStock_Log[Part Name],$A24,T_SelfStock_Log[WeekIndex],26)=0,"",SUMIFS(T_SelfStock_Log[Self_Qty],T_SelfStock_Log[Part Name],$A24,T_SelfStock_Log[WeekIndex],26))</f>
        <v/>
      </c>
      <c r="AB24" s="12">
        <f>IF(COUNTIFS(T_SelfStock_Log[Part Name],$A24,T_SelfStock_Log[WeekIndex],27)=0,"",SUMIFS(T_SelfStock_Log[Self_Qty],T_SelfStock_Log[Part Name],$A24,T_SelfStock_Log[WeekIndex],27))</f>
        <v/>
      </c>
      <c r="AC24" s="12">
        <f>IF(COUNTIFS(T_SelfStock_Log[Part Name],$A24,T_SelfStock_Log[WeekIndex],28)=0,"",SUMIFS(T_SelfStock_Log[Self_Qty],T_SelfStock_Log[Part Name],$A24,T_SelfStock_Log[WeekIndex],28))</f>
        <v/>
      </c>
      <c r="AD24" s="12">
        <f>IF(COUNTIFS(T_SelfStock_Log[Part Name],$A24,T_SelfStock_Log[WeekIndex],29)=0,"",SUMIFS(T_SelfStock_Log[Self_Qty],T_SelfStock_Log[Part Name],$A24,T_SelfStock_Log[WeekIndex],29))</f>
        <v/>
      </c>
      <c r="AE24" s="12">
        <f>IF(COUNTIFS(T_SelfStock_Log[Part Name],$A24,T_SelfStock_Log[WeekIndex],30)=0,"",SUMIFS(T_SelfStock_Log[Self_Qty],T_SelfStock_Log[Part Name],$A24,T_SelfStock_Log[WeekIndex],30))</f>
        <v/>
      </c>
      <c r="AF24" s="12">
        <f>IF(COUNTIFS(T_SelfStock_Log[Part Name],$A24,T_SelfStock_Log[WeekIndex],31)=0,"",SUMIFS(T_SelfStock_Log[Self_Qty],T_SelfStock_Log[Part Name],$A24,T_SelfStock_Log[WeekIndex],31))</f>
        <v/>
      </c>
      <c r="AG24" s="12">
        <f>IF(COUNTIFS(T_SelfStock_Log[Part Name],$A24,T_SelfStock_Log[WeekIndex],32)=0,"",SUMIFS(T_SelfStock_Log[Self_Qty],T_SelfStock_Log[Part Name],$A24,T_SelfStock_Log[WeekIndex],32))</f>
        <v/>
      </c>
      <c r="AH24" s="12">
        <f>IF(COUNTIFS(T_SelfStock_Log[Part Name],$A24,T_SelfStock_Log[WeekIndex],33)=0,"",SUMIFS(T_SelfStock_Log[Self_Qty],T_SelfStock_Log[Part Name],$A24,T_SelfStock_Log[WeekIndex],33))</f>
        <v/>
      </c>
      <c r="AI24" s="12">
        <f>IF(COUNTIFS(T_SelfStock_Log[Part Name],$A24,T_SelfStock_Log[WeekIndex],34)=0,"",SUMIFS(T_SelfStock_Log[Self_Qty],T_SelfStock_Log[Part Name],$A24,T_SelfStock_Log[WeekIndex],34))</f>
        <v/>
      </c>
      <c r="AJ24" s="12">
        <f>IF(COUNTIFS(T_SelfStock_Log[Part Name],$A24,T_SelfStock_Log[WeekIndex],35)=0,"",SUMIFS(T_SelfStock_Log[Self_Qty],T_SelfStock_Log[Part Name],$A24,T_SelfStock_Log[WeekIndex],35))</f>
        <v/>
      </c>
      <c r="AK24" s="12">
        <f>IF(COUNTIFS(T_SelfStock_Log[Part Name],$A24,T_SelfStock_Log[WeekIndex],36)=0,"",SUMIFS(T_SelfStock_Log[Self_Qty],T_SelfStock_Log[Part Name],$A24,T_SelfStock_Log[WeekIndex],36))</f>
        <v/>
      </c>
      <c r="AL24" s="12">
        <f>IF(COUNTIFS(T_SelfStock_Log[Part Name],$A24,T_SelfStock_Log[WeekIndex],37)=0,"",SUMIFS(T_SelfStock_Log[Self_Qty],T_SelfStock_Log[Part Name],$A24,T_SelfStock_Log[WeekIndex],37))</f>
        <v/>
      </c>
      <c r="AM24" s="12">
        <f>IF(COUNTIFS(T_SelfStock_Log[Part Name],$A24,T_SelfStock_Log[WeekIndex],38)=0,"",SUMIFS(T_SelfStock_Log[Self_Qty],T_SelfStock_Log[Part Name],$A24,T_SelfStock_Log[WeekIndex],38))</f>
        <v/>
      </c>
      <c r="AN24" s="12">
        <f>IF(COUNTIFS(T_SelfStock_Log[Part Name],$A24,T_SelfStock_Log[WeekIndex],39)=0,"",SUMIFS(T_SelfStock_Log[Self_Qty],T_SelfStock_Log[Part Name],$A24,T_SelfStock_Log[WeekIndex],39))</f>
        <v/>
      </c>
      <c r="AO24" s="12">
        <f>IF(COUNTIFS(T_SelfStock_Log[Part Name],$A24,T_SelfStock_Log[WeekIndex],40)=0,"",SUMIFS(T_SelfStock_Log[Self_Qty],T_SelfStock_Log[Part Name],$A24,T_SelfStock_Log[WeekIndex],40))</f>
        <v/>
      </c>
      <c r="AP24" s="12">
        <f>IF(COUNTIFS(T_SelfStock_Log[Part Name],$A24,T_SelfStock_Log[WeekIndex],41)=0,"",SUMIFS(T_SelfStock_Log[Self_Qty],T_SelfStock_Log[Part Name],$A24,T_SelfStock_Log[WeekIndex],41))</f>
        <v/>
      </c>
      <c r="AQ24" s="12">
        <f>IF(COUNTIFS(T_SelfStock_Log[Part Name],$A24,T_SelfStock_Log[WeekIndex],42)=0,"",SUMIFS(T_SelfStock_Log[Self_Qty],T_SelfStock_Log[Part Name],$A24,T_SelfStock_Log[WeekIndex],42))</f>
        <v/>
      </c>
      <c r="AR24" s="12">
        <f>IF(COUNTIFS(T_SelfStock_Log[Part Name],$A24,T_SelfStock_Log[WeekIndex],43)=0,"",SUMIFS(T_SelfStock_Log[Self_Qty],T_SelfStock_Log[Part Name],$A24,T_SelfStock_Log[WeekIndex],43))</f>
        <v/>
      </c>
      <c r="AS24" s="12">
        <f>IF(COUNTIFS(T_SelfStock_Log[Part Name],$A24,T_SelfStock_Log[WeekIndex],44)=0,"",SUMIFS(T_SelfStock_Log[Self_Qty],T_SelfStock_Log[Part Name],$A24,T_SelfStock_Log[WeekIndex],44))</f>
        <v/>
      </c>
      <c r="AT24" s="12">
        <f>IF(COUNTIFS(T_SelfStock_Log[Part Name],$A24,T_SelfStock_Log[WeekIndex],45)=0,"",SUMIFS(T_SelfStock_Log[Self_Qty],T_SelfStock_Log[Part Name],$A24,T_SelfStock_Log[WeekIndex],45))</f>
        <v/>
      </c>
      <c r="AU24" s="12">
        <f>IF(COUNTIFS(T_SelfStock_Log[Part Name],$A24,T_SelfStock_Log[WeekIndex],46)=0,"",SUMIFS(T_SelfStock_Log[Self_Qty],T_SelfStock_Log[Part Name],$A24,T_SelfStock_Log[WeekIndex],46))</f>
        <v/>
      </c>
      <c r="AV24" s="12">
        <f>IF(COUNTIFS(T_SelfStock_Log[Part Name],$A24,T_SelfStock_Log[WeekIndex],47)=0,"",SUMIFS(T_SelfStock_Log[Self_Qty],T_SelfStock_Log[Part Name],$A24,T_SelfStock_Log[WeekIndex],47))</f>
        <v/>
      </c>
      <c r="AW24" s="12">
        <f>IF(COUNTIFS(T_SelfStock_Log[Part Name],$A24,T_SelfStock_Log[WeekIndex],48)=0,"",SUMIFS(T_SelfStock_Log[Self_Qty],T_SelfStock_Log[Part Name],$A24,T_SelfStock_Log[WeekIndex],48))</f>
        <v/>
      </c>
      <c r="AX24" s="12">
        <f>IF(COUNTIFS(T_SelfStock_Log[Part Name],$A24,T_SelfStock_Log[WeekIndex],49)=0,"",SUMIFS(T_SelfStock_Log[Self_Qty],T_SelfStock_Log[Part Name],$A24,T_SelfStock_Log[WeekIndex],49))</f>
        <v/>
      </c>
      <c r="AY24" s="12">
        <f>IF(COUNTIFS(T_SelfStock_Log[Part Name],$A24,T_SelfStock_Log[WeekIndex],50)=0,"",SUMIFS(T_SelfStock_Log[Self_Qty],T_SelfStock_Log[Part Name],$A24,T_SelfStock_Log[WeekIndex],50))</f>
        <v/>
      </c>
      <c r="AZ24" s="12">
        <f>IF(COUNTIFS(T_SelfStock_Log[Part Name],$A24,T_SelfStock_Log[WeekIndex],51)=0,"",SUMIFS(T_SelfStock_Log[Self_Qty],T_SelfStock_Log[Part Name],$A24,T_SelfStock_Log[WeekIndex],51))</f>
        <v/>
      </c>
      <c r="BA24" s="12">
        <f>IF(COUNTIFS(T_SelfStock_Log[Part Name],$A24,T_SelfStock_Log[WeekIndex],52)=0,"",SUMIFS(T_SelfStock_Log[Self_Qty],T_SelfStock_Log[Part Name],$A24,T_SelfStock_Log[WeekIndex],52))</f>
        <v/>
      </c>
      <c r="BB24" s="12">
        <f>IF(COUNTIFS(T_SelfStock_Log[Part Name],$A24,T_SelfStock_Log[WeekIndex],53)=0,"",SUMIFS(T_SelfStock_Log[Self_Qty],T_SelfStock_Log[Part Name],$A24,T_SelfStock_Log[WeekIndex],53))</f>
        <v/>
      </c>
      <c r="BC24" s="12">
        <f>IF(COUNTIFS(T_SelfStock_Log[Part Name],$A24,T_SelfStock_Log[WeekIndex],54)=0,"",SUMIFS(T_SelfStock_Log[Self_Qty],T_SelfStock_Log[Part Name],$A24,T_SelfStock_Log[WeekIndex],54))</f>
        <v/>
      </c>
      <c r="BD24" s="12">
        <f>IF(COUNTIFS(T_SelfStock_Log[Part Name],$A24,T_SelfStock_Log[WeekIndex],55)=0,"",SUMIFS(T_SelfStock_Log[Self_Qty],T_SelfStock_Log[Part Name],$A24,T_SelfStock_Log[WeekIndex],55))</f>
        <v/>
      </c>
      <c r="BE24" s="12">
        <f>IF(COUNTIFS(T_SelfStock_Log[Part Name],$A24,T_SelfStock_Log[WeekIndex],56)=0,"",SUMIFS(T_SelfStock_Log[Self_Qty],T_SelfStock_Log[Part Name],$A24,T_SelfStock_Log[WeekIndex],56))</f>
        <v/>
      </c>
      <c r="BF24" s="12">
        <f>IF(COUNTIFS(T_SelfStock_Log[Part Name],$A24,T_SelfStock_Log[WeekIndex],57)=0,"",SUMIFS(T_SelfStock_Log[Self_Qty],T_SelfStock_Log[Part Name],$A24,T_SelfStock_Log[WeekIndex],57))</f>
        <v/>
      </c>
      <c r="BG24" s="12">
        <f>IF(COUNTIFS(T_SelfStock_Log[Part Name],$A24,T_SelfStock_Log[WeekIndex],58)=0,"",SUMIFS(T_SelfStock_Log[Self_Qty],T_SelfStock_Log[Part Name],$A24,T_SelfStock_Log[WeekIndex],58))</f>
        <v/>
      </c>
      <c r="BH24" s="12">
        <f>IF(COUNTIFS(T_SelfStock_Log[Part Name],$A24,T_SelfStock_Log[WeekIndex],59)=0,"",SUMIFS(T_SelfStock_Log[Self_Qty],T_SelfStock_Log[Part Name],$A24,T_SelfStock_Log[WeekIndex],59))</f>
        <v/>
      </c>
      <c r="BI24" s="12">
        <f>IF(COUNTIFS(T_SelfStock_Log[Part Name],$A24,T_SelfStock_Log[WeekIndex],60)=0,"",SUMIFS(T_SelfStock_Log[Self_Qty],T_SelfStock_Log[Part Name],$A24,T_SelfStock_Log[WeekIndex],60))</f>
        <v/>
      </c>
      <c r="BJ24" s="12">
        <f>IF(COUNTIFS(T_SelfStock_Log[Part Name],$A24,T_SelfStock_Log[WeekIndex],61)=0,"",SUMIFS(T_SelfStock_Log[Self_Qty],T_SelfStock_Log[Part Name],$A24,T_SelfStock_Log[WeekIndex],61))</f>
        <v/>
      </c>
      <c r="BK24" s="12">
        <f>IF(COUNTIFS(T_SelfStock_Log[Part Name],$A24,T_SelfStock_Log[WeekIndex],62)=0,"",SUMIFS(T_SelfStock_Log[Self_Qty],T_SelfStock_Log[Part Name],$A24,T_SelfStock_Log[WeekIndex],62))</f>
        <v/>
      </c>
      <c r="BL24" s="12">
        <f>IF(COUNTIFS(T_SelfStock_Log[Part Name],$A24,T_SelfStock_Log[WeekIndex],63)=0,"",SUMIFS(T_SelfStock_Log[Self_Qty],T_SelfStock_Log[Part Name],$A24,T_SelfStock_Log[WeekIndex],63))</f>
        <v/>
      </c>
      <c r="BM24" s="12">
        <f>IF(COUNTIFS(T_SelfStock_Log[Part Name],$A24,T_SelfStock_Log[WeekIndex],64)=0,"",SUMIFS(T_SelfStock_Log[Self_Qty],T_SelfStock_Log[Part Name],$A24,T_SelfStock_Log[WeekIndex],64))</f>
        <v/>
      </c>
      <c r="BN24" s="12">
        <f>IF(COUNTIFS(T_SelfStock_Log[Part Name],$A24,T_SelfStock_Log[WeekIndex],65)=0,"",SUMIFS(T_SelfStock_Log[Self_Qty],T_SelfStock_Log[Part Name],$A24,T_SelfStock_Log[WeekIndex],65))</f>
        <v/>
      </c>
      <c r="BO24" s="12">
        <f>IF(COUNTIFS(T_SelfStock_Log[Part Name],$A24,T_SelfStock_Log[WeekIndex],66)=0,"",SUMIFS(T_SelfStock_Log[Self_Qty],T_SelfStock_Log[Part Name],$A24,T_SelfStock_Log[WeekIndex],66))</f>
        <v/>
      </c>
      <c r="BP24" s="12">
        <f>IF(COUNTIFS(T_SelfStock_Log[Part Name],$A24,T_SelfStock_Log[WeekIndex],67)=0,"",SUMIFS(T_SelfStock_Log[Self_Qty],T_SelfStock_Log[Part Name],$A24,T_SelfStock_Log[WeekIndex],67))</f>
        <v/>
      </c>
      <c r="BQ24" s="12">
        <f>IF(COUNTIFS(T_SelfStock_Log[Part Name],$A24,T_SelfStock_Log[WeekIndex],68)=0,"",SUMIFS(T_SelfStock_Log[Self_Qty],T_SelfStock_Log[Part Name],$A24,T_SelfStock_Log[WeekIndex],68))</f>
        <v/>
      </c>
      <c r="BR24" s="12">
        <f>IF(COUNTIFS(T_SelfStock_Log[Part Name],$A24,T_SelfStock_Log[WeekIndex],69)=0,"",SUMIFS(T_SelfStock_Log[Self_Qty],T_SelfStock_Log[Part Name],$A24,T_SelfStock_Log[WeekIndex],69))</f>
        <v/>
      </c>
      <c r="BS24" s="12">
        <f>IF(COUNTIFS(T_SelfStock_Log[Part Name],$A24,T_SelfStock_Log[WeekIndex],70)=0,"",SUMIFS(T_SelfStock_Log[Self_Qty],T_SelfStock_Log[Part Name],$A24,T_SelfStock_Log[WeekIndex],70))</f>
        <v/>
      </c>
      <c r="BT24" s="12">
        <f>IF(COUNTIFS(T_SelfStock_Log[Part Name],$A24,T_SelfStock_Log[WeekIndex],71)=0,"",SUMIFS(T_SelfStock_Log[Self_Qty],T_SelfStock_Log[Part Name],$A24,T_SelfStock_Log[WeekIndex],71))</f>
        <v/>
      </c>
      <c r="BU24" s="12">
        <f>IF(COUNTIFS(T_SelfStock_Log[Part Name],$A24,T_SelfStock_Log[WeekIndex],72)=0,"",SUMIFS(T_SelfStock_Log[Self_Qty],T_SelfStock_Log[Part Name],$A24,T_SelfStock_Log[WeekIndex],72))</f>
        <v/>
      </c>
      <c r="BV24" s="12">
        <f>IF(COUNTIFS(T_SelfStock_Log[Part Name],$A24,T_SelfStock_Log[WeekIndex],73)=0,"",SUMIFS(T_SelfStock_Log[Self_Qty],T_SelfStock_Log[Part Name],$A24,T_SelfStock_Log[WeekIndex],73))</f>
        <v/>
      </c>
      <c r="BW24" s="12">
        <f>IF(COUNTIFS(T_SelfStock_Log[Part Name],$A24,T_SelfStock_Log[WeekIndex],74)=0,"",SUMIFS(T_SelfStock_Log[Self_Qty],T_SelfStock_Log[Part Name],$A24,T_SelfStock_Log[WeekIndex],74))</f>
        <v/>
      </c>
      <c r="BX24" s="12">
        <f>IF(COUNTIFS(T_SelfStock_Log[Part Name],$A24,T_SelfStock_Log[WeekIndex],75)=0,"",SUMIFS(T_SelfStock_Log[Self_Qty],T_SelfStock_Log[Part Name],$A24,T_SelfStock_Log[WeekIndex],75))</f>
        <v/>
      </c>
      <c r="BY24" s="12">
        <f>IF(COUNTIFS(T_SelfStock_Log[Part Name],$A24,T_SelfStock_Log[WeekIndex],76)=0,"",SUMIFS(T_SelfStock_Log[Self_Qty],T_SelfStock_Log[Part Name],$A24,T_SelfStock_Log[WeekIndex],76))</f>
        <v/>
      </c>
      <c r="BZ24" s="12">
        <f>IF(COUNTIFS(T_SelfStock_Log[Part Name],$A24,T_SelfStock_Log[WeekIndex],77)=0,"",SUMIFS(T_SelfStock_Log[Self_Qty],T_SelfStock_Log[Part Name],$A24,T_SelfStock_Log[WeekIndex],77))</f>
        <v/>
      </c>
      <c r="CA24" s="12">
        <f>IF(COUNTIFS(T_SelfStock_Log[Part Name],$A24,T_SelfStock_Log[WeekIndex],78)=0,"",SUMIFS(T_SelfStock_Log[Self_Qty],T_SelfStock_Log[Part Name],$A24,T_SelfStock_Log[WeekIndex],78))</f>
        <v/>
      </c>
      <c r="CB24" s="12">
        <f>IF(COUNTIFS(T_SelfStock_Log[Part Name],$A24,T_SelfStock_Log[WeekIndex],79)=0,"",SUMIFS(T_SelfStock_Log[Self_Qty],T_SelfStock_Log[Part Name],$A24,T_SelfStock_Log[WeekIndex],79))</f>
        <v/>
      </c>
      <c r="CC24" s="12">
        <f>IF(COUNTIFS(T_SelfStock_Log[Part Name],$A24,T_SelfStock_Log[WeekIndex],80)=0,"",SUMIFS(T_SelfStock_Log[Self_Qty],T_SelfStock_Log[Part Name],$A24,T_SelfStock_Log[WeekIndex],80))</f>
        <v/>
      </c>
      <c r="CD24" s="12">
        <f>IF(COUNTIFS(T_SelfStock_Log[Part Name],$A24,T_SelfStock_Log[WeekIndex],81)=0,"",SUMIFS(T_SelfStock_Log[Self_Qty],T_SelfStock_Log[Part Name],$A24,T_SelfStock_Log[WeekIndex],81))</f>
        <v/>
      </c>
      <c r="CE24" s="12">
        <f>IF(COUNTIFS(T_SelfStock_Log[Part Name],$A24,T_SelfStock_Log[WeekIndex],82)=0,"",SUMIFS(T_SelfStock_Log[Self_Qty],T_SelfStock_Log[Part Name],$A24,T_SelfStock_Log[WeekIndex],82))</f>
        <v/>
      </c>
      <c r="CF24" s="12">
        <f>IF(COUNTIFS(T_SelfStock_Log[Part Name],$A24,T_SelfStock_Log[WeekIndex],83)=0,"",SUMIFS(T_SelfStock_Log[Self_Qty],T_SelfStock_Log[Part Name],$A24,T_SelfStock_Log[WeekIndex],83))</f>
        <v/>
      </c>
      <c r="CG24" s="12">
        <f>IF(COUNTIFS(T_SelfStock_Log[Part Name],$A24,T_SelfStock_Log[WeekIndex],84)=0,"",SUMIFS(T_SelfStock_Log[Self_Qty],T_SelfStock_Log[Part Name],$A24,T_SelfStock_Log[WeekIndex],84))</f>
        <v/>
      </c>
      <c r="CH24" s="12">
        <f>IF(COUNTIFS(T_SelfStock_Log[Part Name],$A24,T_SelfStock_Log[WeekIndex],85)=0,"",SUMIFS(T_SelfStock_Log[Self_Qty],T_SelfStock_Log[Part Name],$A24,T_SelfStock_Log[WeekIndex],85))</f>
        <v/>
      </c>
      <c r="CI24" s="12">
        <f>IF(COUNTIFS(T_SelfStock_Log[Part Name],$A24,T_SelfStock_Log[WeekIndex],86)=0,"",SUMIFS(T_SelfStock_Log[Self_Qty],T_SelfStock_Log[Part Name],$A24,T_SelfStock_Log[WeekIndex],86))</f>
        <v/>
      </c>
      <c r="CJ24" s="12">
        <f>IF(COUNTIFS(T_SelfStock_Log[Part Name],$A24,T_SelfStock_Log[WeekIndex],87)=0,"",SUMIFS(T_SelfStock_Log[Self_Qty],T_SelfStock_Log[Part Name],$A24,T_SelfStock_Log[WeekIndex],87))</f>
        <v/>
      </c>
      <c r="CK24" s="12">
        <f>IF(COUNTIFS(T_SelfStock_Log[Part Name],$A24,T_SelfStock_Log[WeekIndex],88)=0,"",SUMIFS(T_SelfStock_Log[Self_Qty],T_SelfStock_Log[Part Name],$A24,T_SelfStock_Log[WeekIndex],88))</f>
        <v/>
      </c>
      <c r="CL24" s="12">
        <f>IF(COUNTIFS(T_SelfStock_Log[Part Name],$A24,T_SelfStock_Log[WeekIndex],89)=0,"",SUMIFS(T_SelfStock_Log[Self_Qty],T_SelfStock_Log[Part Name],$A24,T_SelfStock_Log[WeekIndex],89))</f>
        <v/>
      </c>
      <c r="CM24" s="12">
        <f>IF(COUNTIFS(T_SelfStock_Log[Part Name],$A24,T_SelfStock_Log[WeekIndex],90)=0,"",SUMIFS(T_SelfStock_Log[Self_Qty],T_SelfStock_Log[Part Name],$A24,T_SelfStock_Log[WeekIndex],90))</f>
        <v/>
      </c>
      <c r="CN24" s="12">
        <f>IF(COUNTIFS(T_SelfStock_Log[Part Name],$A24,T_SelfStock_Log[WeekIndex],91)=0,"",SUMIFS(T_SelfStock_Log[Self_Qty],T_SelfStock_Log[Part Name],$A24,T_SelfStock_Log[WeekIndex],91))</f>
        <v/>
      </c>
      <c r="CO24" s="12">
        <f>IF(COUNTIFS(T_SelfStock_Log[Part Name],$A24,T_SelfStock_Log[WeekIndex],92)=0,"",SUMIFS(T_SelfStock_Log[Self_Qty],T_SelfStock_Log[Part Name],$A24,T_SelfStock_Log[WeekIndex],92))</f>
        <v/>
      </c>
      <c r="CP24" s="12">
        <f>IF(COUNTIFS(T_SelfStock_Log[Part Name],$A24,T_SelfStock_Log[WeekIndex],93)=0,"",SUMIFS(T_SelfStock_Log[Self_Qty],T_SelfStock_Log[Part Name],$A24,T_SelfStock_Log[WeekIndex],93))</f>
        <v/>
      </c>
      <c r="CQ24" s="12">
        <f>IF(COUNTIFS(T_SelfStock_Log[Part Name],$A24,T_SelfStock_Log[WeekIndex],94)=0,"",SUMIFS(T_SelfStock_Log[Self_Qty],T_SelfStock_Log[Part Name],$A24,T_SelfStock_Log[WeekIndex],94))</f>
        <v/>
      </c>
      <c r="CR24" s="12">
        <f>IF(COUNTIFS(T_SelfStock_Log[Part Name],$A24,T_SelfStock_Log[WeekIndex],95)=0,"",SUMIFS(T_SelfStock_Log[Self_Qty],T_SelfStock_Log[Part Name],$A24,T_SelfStock_Log[WeekIndex],95))</f>
        <v/>
      </c>
      <c r="CS24" s="12">
        <f>IF(COUNTIFS(T_SelfStock_Log[Part Name],$A24,T_SelfStock_Log[WeekIndex],96)=0,"",SUMIFS(T_SelfStock_Log[Self_Qty],T_SelfStock_Log[Part Name],$A24,T_SelfStock_Log[WeekIndex],96))</f>
        <v/>
      </c>
      <c r="CT24" s="12">
        <f>IF(COUNTIFS(T_SelfStock_Log[Part Name],$A24,T_SelfStock_Log[WeekIndex],97)=0,"",SUMIFS(T_SelfStock_Log[Self_Qty],T_SelfStock_Log[Part Name],$A24,T_SelfStock_Log[WeekIndex],97))</f>
        <v/>
      </c>
      <c r="CU24" s="12">
        <f>IF(COUNTIFS(T_SelfStock_Log[Part Name],$A24,T_SelfStock_Log[WeekIndex],98)=0,"",SUMIFS(T_SelfStock_Log[Self_Qty],T_SelfStock_Log[Part Name],$A24,T_SelfStock_Log[WeekIndex],98))</f>
        <v/>
      </c>
      <c r="CV24" s="12">
        <f>IF(COUNTIFS(T_SelfStock_Log[Part Name],$A24,T_SelfStock_Log[WeekIndex],99)=0,"",SUMIFS(T_SelfStock_Log[Self_Qty],T_SelfStock_Log[Part Name],$A24,T_SelfStock_Log[WeekIndex],99))</f>
        <v/>
      </c>
      <c r="CW24" s="12">
        <f>IF(COUNTIFS(T_SelfStock_Log[Part Name],$A24,T_SelfStock_Log[WeekIndex],100)=0,"",SUMIFS(T_SelfStock_Log[Self_Qty],T_SelfStock_Log[Part Name],$A24,T_SelfStock_Log[WeekIndex],100))</f>
        <v/>
      </c>
      <c r="CX24" s="12">
        <f>IF(COUNTIFS(T_SelfStock_Log[Part Name],$A24,T_SelfStock_Log[WeekIndex],101)=0,"",SUMIFS(T_SelfStock_Log[Self_Qty],T_SelfStock_Log[Part Name],$A24,T_SelfStock_Log[WeekIndex],101))</f>
        <v/>
      </c>
      <c r="CY24" s="12">
        <f>IF(COUNTIFS(T_SelfStock_Log[Part Name],$A24,T_SelfStock_Log[WeekIndex],102)=0,"",SUMIFS(T_SelfStock_Log[Self_Qty],T_SelfStock_Log[Part Name],$A24,T_SelfStock_Log[WeekIndex],102))</f>
        <v/>
      </c>
      <c r="CZ24" s="12">
        <f>IF(COUNTIFS(T_SelfStock_Log[Part Name],$A24,T_SelfStock_Log[WeekIndex],103)=0,"",SUMIFS(T_SelfStock_Log[Self_Qty],T_SelfStock_Log[Part Name],$A24,T_SelfStock_Log[WeekIndex],103))</f>
        <v/>
      </c>
      <c r="DA24" s="12">
        <f>IF(COUNTIFS(T_SelfStock_Log[Part Name],$A24,T_SelfStock_Log[WeekIndex],104)=0,"",SUMIFS(T_SelfStock_Log[Self_Qty],T_SelfStock_Log[Part Name],$A24,T_SelfStock_Log[WeekIndex],104))</f>
        <v/>
      </c>
    </row>
    <row r="25">
      <c r="A25" s="13" t="inlineStr">
        <is>
          <t>CHEM-1240</t>
        </is>
      </c>
      <c r="B25" s="13">
        <f>IF(COUNTIFS(T_SelfStock_Log[Part Name],$A25,T_SelfStock_Log[WeekIndex],1)=0,"",SUMIFS(T_SelfStock_Log[Self_Qty],T_SelfStock_Log[Part Name],$A25,T_SelfStock_Log[WeekIndex],1))</f>
        <v/>
      </c>
      <c r="C25" s="13">
        <f>IF(COUNTIFS(T_SelfStock_Log[Part Name],$A25,T_SelfStock_Log[WeekIndex],2)=0,"",SUMIFS(T_SelfStock_Log[Self_Qty],T_SelfStock_Log[Part Name],$A25,T_SelfStock_Log[WeekIndex],2))</f>
        <v/>
      </c>
      <c r="D25" s="13">
        <f>IF(COUNTIFS(T_SelfStock_Log[Part Name],$A25,T_SelfStock_Log[WeekIndex],3)=0,"",SUMIFS(T_SelfStock_Log[Self_Qty],T_SelfStock_Log[Part Name],$A25,T_SelfStock_Log[WeekIndex],3))</f>
        <v/>
      </c>
      <c r="E25" s="13">
        <f>IF(COUNTIFS(T_SelfStock_Log[Part Name],$A25,T_SelfStock_Log[WeekIndex],4)=0,"",SUMIFS(T_SelfStock_Log[Self_Qty],T_SelfStock_Log[Part Name],$A25,T_SelfStock_Log[WeekIndex],4))</f>
        <v/>
      </c>
      <c r="F25" s="13">
        <f>IF(COUNTIFS(T_SelfStock_Log[Part Name],$A25,T_SelfStock_Log[WeekIndex],5)=0,"",SUMIFS(T_SelfStock_Log[Self_Qty],T_SelfStock_Log[Part Name],$A25,T_SelfStock_Log[WeekIndex],5))</f>
        <v/>
      </c>
      <c r="G25" s="13">
        <f>IF(COUNTIFS(T_SelfStock_Log[Part Name],$A25,T_SelfStock_Log[WeekIndex],6)=0,"",SUMIFS(T_SelfStock_Log[Self_Qty],T_SelfStock_Log[Part Name],$A25,T_SelfStock_Log[WeekIndex],6))</f>
        <v/>
      </c>
      <c r="H25" s="13">
        <f>IF(COUNTIFS(T_SelfStock_Log[Part Name],$A25,T_SelfStock_Log[WeekIndex],7)=0,"",SUMIFS(T_SelfStock_Log[Self_Qty],T_SelfStock_Log[Part Name],$A25,T_SelfStock_Log[WeekIndex],7))</f>
        <v/>
      </c>
      <c r="I25" s="13">
        <f>IF(COUNTIFS(T_SelfStock_Log[Part Name],$A25,T_SelfStock_Log[WeekIndex],8)=0,"",SUMIFS(T_SelfStock_Log[Self_Qty],T_SelfStock_Log[Part Name],$A25,T_SelfStock_Log[WeekIndex],8))</f>
        <v/>
      </c>
      <c r="J25" s="13">
        <f>IF(COUNTIFS(T_SelfStock_Log[Part Name],$A25,T_SelfStock_Log[WeekIndex],9)=0,"",SUMIFS(T_SelfStock_Log[Self_Qty],T_SelfStock_Log[Part Name],$A25,T_SelfStock_Log[WeekIndex],9))</f>
        <v/>
      </c>
      <c r="K25" s="13">
        <f>IF(COUNTIFS(T_SelfStock_Log[Part Name],$A25,T_SelfStock_Log[WeekIndex],10)=0,"",SUMIFS(T_SelfStock_Log[Self_Qty],T_SelfStock_Log[Part Name],$A25,T_SelfStock_Log[WeekIndex],10))</f>
        <v/>
      </c>
      <c r="L25" s="13">
        <f>IF(COUNTIFS(T_SelfStock_Log[Part Name],$A25,T_SelfStock_Log[WeekIndex],11)=0,"",SUMIFS(T_SelfStock_Log[Self_Qty],T_SelfStock_Log[Part Name],$A25,T_SelfStock_Log[WeekIndex],11))</f>
        <v/>
      </c>
      <c r="M25" s="13">
        <f>IF(COUNTIFS(T_SelfStock_Log[Part Name],$A25,T_SelfStock_Log[WeekIndex],12)=0,"",SUMIFS(T_SelfStock_Log[Self_Qty],T_SelfStock_Log[Part Name],$A25,T_SelfStock_Log[WeekIndex],12))</f>
        <v/>
      </c>
      <c r="N25" s="13">
        <f>IF(COUNTIFS(T_SelfStock_Log[Part Name],$A25,T_SelfStock_Log[WeekIndex],13)=0,"",SUMIFS(T_SelfStock_Log[Self_Qty],T_SelfStock_Log[Part Name],$A25,T_SelfStock_Log[WeekIndex],13))</f>
        <v/>
      </c>
      <c r="O25" s="13">
        <f>IF(COUNTIFS(T_SelfStock_Log[Part Name],$A25,T_SelfStock_Log[WeekIndex],14)=0,"",SUMIFS(T_SelfStock_Log[Self_Qty],T_SelfStock_Log[Part Name],$A25,T_SelfStock_Log[WeekIndex],14))</f>
        <v/>
      </c>
      <c r="P25" s="13">
        <f>IF(COUNTIFS(T_SelfStock_Log[Part Name],$A25,T_SelfStock_Log[WeekIndex],15)=0,"",SUMIFS(T_SelfStock_Log[Self_Qty],T_SelfStock_Log[Part Name],$A25,T_SelfStock_Log[WeekIndex],15))</f>
        <v/>
      </c>
      <c r="Q25" s="13">
        <f>IF(COUNTIFS(T_SelfStock_Log[Part Name],$A25,T_SelfStock_Log[WeekIndex],16)=0,"",SUMIFS(T_SelfStock_Log[Self_Qty],T_SelfStock_Log[Part Name],$A25,T_SelfStock_Log[WeekIndex],16))</f>
        <v/>
      </c>
      <c r="R25" s="13">
        <f>IF(COUNTIFS(T_SelfStock_Log[Part Name],$A25,T_SelfStock_Log[WeekIndex],17)=0,"",SUMIFS(T_SelfStock_Log[Self_Qty],T_SelfStock_Log[Part Name],$A25,T_SelfStock_Log[WeekIndex],17))</f>
        <v/>
      </c>
      <c r="S25" s="13">
        <f>IF(COUNTIFS(T_SelfStock_Log[Part Name],$A25,T_SelfStock_Log[WeekIndex],18)=0,"",SUMIFS(T_SelfStock_Log[Self_Qty],T_SelfStock_Log[Part Name],$A25,T_SelfStock_Log[WeekIndex],18))</f>
        <v/>
      </c>
      <c r="T25" s="13">
        <f>IF(COUNTIFS(T_SelfStock_Log[Part Name],$A25,T_SelfStock_Log[WeekIndex],19)=0,"",SUMIFS(T_SelfStock_Log[Self_Qty],T_SelfStock_Log[Part Name],$A25,T_SelfStock_Log[WeekIndex],19))</f>
        <v/>
      </c>
      <c r="U25" s="13">
        <f>IF(COUNTIFS(T_SelfStock_Log[Part Name],$A25,T_SelfStock_Log[WeekIndex],20)=0,"",SUMIFS(T_SelfStock_Log[Self_Qty],T_SelfStock_Log[Part Name],$A25,T_SelfStock_Log[WeekIndex],20))</f>
        <v/>
      </c>
      <c r="V25" s="13">
        <f>IF(COUNTIFS(T_SelfStock_Log[Part Name],$A25,T_SelfStock_Log[WeekIndex],21)=0,"",SUMIFS(T_SelfStock_Log[Self_Qty],T_SelfStock_Log[Part Name],$A25,T_SelfStock_Log[WeekIndex],21))</f>
        <v/>
      </c>
      <c r="W25" s="13">
        <f>IF(COUNTIFS(T_SelfStock_Log[Part Name],$A25,T_SelfStock_Log[WeekIndex],22)=0,"",SUMIFS(T_SelfStock_Log[Self_Qty],T_SelfStock_Log[Part Name],$A25,T_SelfStock_Log[WeekIndex],22))</f>
        <v/>
      </c>
      <c r="X25" s="13">
        <f>IF(COUNTIFS(T_SelfStock_Log[Part Name],$A25,T_SelfStock_Log[WeekIndex],23)=0,"",SUMIFS(T_SelfStock_Log[Self_Qty],T_SelfStock_Log[Part Name],$A25,T_SelfStock_Log[WeekIndex],23))</f>
        <v/>
      </c>
      <c r="Y25" s="13">
        <f>IF(COUNTIFS(T_SelfStock_Log[Part Name],$A25,T_SelfStock_Log[WeekIndex],24)=0,"",SUMIFS(T_SelfStock_Log[Self_Qty],T_SelfStock_Log[Part Name],$A25,T_SelfStock_Log[WeekIndex],24))</f>
        <v/>
      </c>
      <c r="Z25" s="13">
        <f>IF(COUNTIFS(T_SelfStock_Log[Part Name],$A25,T_SelfStock_Log[WeekIndex],25)=0,"",SUMIFS(T_SelfStock_Log[Self_Qty],T_SelfStock_Log[Part Name],$A25,T_SelfStock_Log[WeekIndex],25))</f>
        <v/>
      </c>
      <c r="AA25" s="13">
        <f>IF(COUNTIFS(T_SelfStock_Log[Part Name],$A25,T_SelfStock_Log[WeekIndex],26)=0,"",SUMIFS(T_SelfStock_Log[Self_Qty],T_SelfStock_Log[Part Name],$A25,T_SelfStock_Log[WeekIndex],26))</f>
        <v/>
      </c>
      <c r="AB25" s="13">
        <f>IF(COUNTIFS(T_SelfStock_Log[Part Name],$A25,T_SelfStock_Log[WeekIndex],27)=0,"",SUMIFS(T_SelfStock_Log[Self_Qty],T_SelfStock_Log[Part Name],$A25,T_SelfStock_Log[WeekIndex],27))</f>
        <v/>
      </c>
      <c r="AC25" s="13">
        <f>IF(COUNTIFS(T_SelfStock_Log[Part Name],$A25,T_SelfStock_Log[WeekIndex],28)=0,"",SUMIFS(T_SelfStock_Log[Self_Qty],T_SelfStock_Log[Part Name],$A25,T_SelfStock_Log[WeekIndex],28))</f>
        <v/>
      </c>
      <c r="AD25" s="13">
        <f>IF(COUNTIFS(T_SelfStock_Log[Part Name],$A25,T_SelfStock_Log[WeekIndex],29)=0,"",SUMIFS(T_SelfStock_Log[Self_Qty],T_SelfStock_Log[Part Name],$A25,T_SelfStock_Log[WeekIndex],29))</f>
        <v/>
      </c>
      <c r="AE25" s="13">
        <f>IF(COUNTIFS(T_SelfStock_Log[Part Name],$A25,T_SelfStock_Log[WeekIndex],30)=0,"",SUMIFS(T_SelfStock_Log[Self_Qty],T_SelfStock_Log[Part Name],$A25,T_SelfStock_Log[WeekIndex],30))</f>
        <v/>
      </c>
      <c r="AF25" s="13">
        <f>IF(COUNTIFS(T_SelfStock_Log[Part Name],$A25,T_SelfStock_Log[WeekIndex],31)=0,"",SUMIFS(T_SelfStock_Log[Self_Qty],T_SelfStock_Log[Part Name],$A25,T_SelfStock_Log[WeekIndex],31))</f>
        <v/>
      </c>
      <c r="AG25" s="13">
        <f>IF(COUNTIFS(T_SelfStock_Log[Part Name],$A25,T_SelfStock_Log[WeekIndex],32)=0,"",SUMIFS(T_SelfStock_Log[Self_Qty],T_SelfStock_Log[Part Name],$A25,T_SelfStock_Log[WeekIndex],32))</f>
        <v/>
      </c>
      <c r="AH25" s="13">
        <f>IF(COUNTIFS(T_SelfStock_Log[Part Name],$A25,T_SelfStock_Log[WeekIndex],33)=0,"",SUMIFS(T_SelfStock_Log[Self_Qty],T_SelfStock_Log[Part Name],$A25,T_SelfStock_Log[WeekIndex],33))</f>
        <v/>
      </c>
      <c r="AI25" s="13">
        <f>IF(COUNTIFS(T_SelfStock_Log[Part Name],$A25,T_SelfStock_Log[WeekIndex],34)=0,"",SUMIFS(T_SelfStock_Log[Self_Qty],T_SelfStock_Log[Part Name],$A25,T_SelfStock_Log[WeekIndex],34))</f>
        <v/>
      </c>
      <c r="AJ25" s="13">
        <f>IF(COUNTIFS(T_SelfStock_Log[Part Name],$A25,T_SelfStock_Log[WeekIndex],35)=0,"",SUMIFS(T_SelfStock_Log[Self_Qty],T_SelfStock_Log[Part Name],$A25,T_SelfStock_Log[WeekIndex],35))</f>
        <v/>
      </c>
      <c r="AK25" s="13">
        <f>IF(COUNTIFS(T_SelfStock_Log[Part Name],$A25,T_SelfStock_Log[WeekIndex],36)=0,"",SUMIFS(T_SelfStock_Log[Self_Qty],T_SelfStock_Log[Part Name],$A25,T_SelfStock_Log[WeekIndex],36))</f>
        <v/>
      </c>
      <c r="AL25" s="13">
        <f>IF(COUNTIFS(T_SelfStock_Log[Part Name],$A25,T_SelfStock_Log[WeekIndex],37)=0,"",SUMIFS(T_SelfStock_Log[Self_Qty],T_SelfStock_Log[Part Name],$A25,T_SelfStock_Log[WeekIndex],37))</f>
        <v/>
      </c>
      <c r="AM25" s="13">
        <f>IF(COUNTIFS(T_SelfStock_Log[Part Name],$A25,T_SelfStock_Log[WeekIndex],38)=0,"",SUMIFS(T_SelfStock_Log[Self_Qty],T_SelfStock_Log[Part Name],$A25,T_SelfStock_Log[WeekIndex],38))</f>
        <v/>
      </c>
      <c r="AN25" s="13">
        <f>IF(COUNTIFS(T_SelfStock_Log[Part Name],$A25,T_SelfStock_Log[WeekIndex],39)=0,"",SUMIFS(T_SelfStock_Log[Self_Qty],T_SelfStock_Log[Part Name],$A25,T_SelfStock_Log[WeekIndex],39))</f>
        <v/>
      </c>
      <c r="AO25" s="13">
        <f>IF(COUNTIFS(T_SelfStock_Log[Part Name],$A25,T_SelfStock_Log[WeekIndex],40)=0,"",SUMIFS(T_SelfStock_Log[Self_Qty],T_SelfStock_Log[Part Name],$A25,T_SelfStock_Log[WeekIndex],40))</f>
        <v/>
      </c>
      <c r="AP25" s="13">
        <f>IF(COUNTIFS(T_SelfStock_Log[Part Name],$A25,T_SelfStock_Log[WeekIndex],41)=0,"",SUMIFS(T_SelfStock_Log[Self_Qty],T_SelfStock_Log[Part Name],$A25,T_SelfStock_Log[WeekIndex],41))</f>
        <v/>
      </c>
      <c r="AQ25" s="13">
        <f>IF(COUNTIFS(T_SelfStock_Log[Part Name],$A25,T_SelfStock_Log[WeekIndex],42)=0,"",SUMIFS(T_SelfStock_Log[Self_Qty],T_SelfStock_Log[Part Name],$A25,T_SelfStock_Log[WeekIndex],42))</f>
        <v/>
      </c>
      <c r="AR25" s="13">
        <f>IF(COUNTIFS(T_SelfStock_Log[Part Name],$A25,T_SelfStock_Log[WeekIndex],43)=0,"",SUMIFS(T_SelfStock_Log[Self_Qty],T_SelfStock_Log[Part Name],$A25,T_SelfStock_Log[WeekIndex],43))</f>
        <v/>
      </c>
      <c r="AS25" s="13">
        <f>IF(COUNTIFS(T_SelfStock_Log[Part Name],$A25,T_SelfStock_Log[WeekIndex],44)=0,"",SUMIFS(T_SelfStock_Log[Self_Qty],T_SelfStock_Log[Part Name],$A25,T_SelfStock_Log[WeekIndex],44))</f>
        <v/>
      </c>
      <c r="AT25" s="13">
        <f>IF(COUNTIFS(T_SelfStock_Log[Part Name],$A25,T_SelfStock_Log[WeekIndex],45)=0,"",SUMIFS(T_SelfStock_Log[Self_Qty],T_SelfStock_Log[Part Name],$A25,T_SelfStock_Log[WeekIndex],45))</f>
        <v/>
      </c>
      <c r="AU25" s="13">
        <f>IF(COUNTIFS(T_SelfStock_Log[Part Name],$A25,T_SelfStock_Log[WeekIndex],46)=0,"",SUMIFS(T_SelfStock_Log[Self_Qty],T_SelfStock_Log[Part Name],$A25,T_SelfStock_Log[WeekIndex],46))</f>
        <v/>
      </c>
      <c r="AV25" s="13">
        <f>IF(COUNTIFS(T_SelfStock_Log[Part Name],$A25,T_SelfStock_Log[WeekIndex],47)=0,"",SUMIFS(T_SelfStock_Log[Self_Qty],T_SelfStock_Log[Part Name],$A25,T_SelfStock_Log[WeekIndex],47))</f>
        <v/>
      </c>
      <c r="AW25" s="13">
        <f>IF(COUNTIFS(T_SelfStock_Log[Part Name],$A25,T_SelfStock_Log[WeekIndex],48)=0,"",SUMIFS(T_SelfStock_Log[Self_Qty],T_SelfStock_Log[Part Name],$A25,T_SelfStock_Log[WeekIndex],48))</f>
        <v/>
      </c>
      <c r="AX25" s="13">
        <f>IF(COUNTIFS(T_SelfStock_Log[Part Name],$A25,T_SelfStock_Log[WeekIndex],49)=0,"",SUMIFS(T_SelfStock_Log[Self_Qty],T_SelfStock_Log[Part Name],$A25,T_SelfStock_Log[WeekIndex],49))</f>
        <v/>
      </c>
      <c r="AY25" s="13">
        <f>IF(COUNTIFS(T_SelfStock_Log[Part Name],$A25,T_SelfStock_Log[WeekIndex],50)=0,"",SUMIFS(T_SelfStock_Log[Self_Qty],T_SelfStock_Log[Part Name],$A25,T_SelfStock_Log[WeekIndex],50))</f>
        <v/>
      </c>
      <c r="AZ25" s="13">
        <f>IF(COUNTIFS(T_SelfStock_Log[Part Name],$A25,T_SelfStock_Log[WeekIndex],51)=0,"",SUMIFS(T_SelfStock_Log[Self_Qty],T_SelfStock_Log[Part Name],$A25,T_SelfStock_Log[WeekIndex],51))</f>
        <v/>
      </c>
      <c r="BA25" s="13">
        <f>IF(COUNTIFS(T_SelfStock_Log[Part Name],$A25,T_SelfStock_Log[WeekIndex],52)=0,"",SUMIFS(T_SelfStock_Log[Self_Qty],T_SelfStock_Log[Part Name],$A25,T_SelfStock_Log[WeekIndex],52))</f>
        <v/>
      </c>
      <c r="BB25" s="13">
        <f>IF(COUNTIFS(T_SelfStock_Log[Part Name],$A25,T_SelfStock_Log[WeekIndex],53)=0,"",SUMIFS(T_SelfStock_Log[Self_Qty],T_SelfStock_Log[Part Name],$A25,T_SelfStock_Log[WeekIndex],53))</f>
        <v/>
      </c>
      <c r="BC25" s="13">
        <f>IF(COUNTIFS(T_SelfStock_Log[Part Name],$A25,T_SelfStock_Log[WeekIndex],54)=0,"",SUMIFS(T_SelfStock_Log[Self_Qty],T_SelfStock_Log[Part Name],$A25,T_SelfStock_Log[WeekIndex],54))</f>
        <v/>
      </c>
      <c r="BD25" s="13">
        <f>IF(COUNTIFS(T_SelfStock_Log[Part Name],$A25,T_SelfStock_Log[WeekIndex],55)=0,"",SUMIFS(T_SelfStock_Log[Self_Qty],T_SelfStock_Log[Part Name],$A25,T_SelfStock_Log[WeekIndex],55))</f>
        <v/>
      </c>
      <c r="BE25" s="13">
        <f>IF(COUNTIFS(T_SelfStock_Log[Part Name],$A25,T_SelfStock_Log[WeekIndex],56)=0,"",SUMIFS(T_SelfStock_Log[Self_Qty],T_SelfStock_Log[Part Name],$A25,T_SelfStock_Log[WeekIndex],56))</f>
        <v/>
      </c>
      <c r="BF25" s="13">
        <f>IF(COUNTIFS(T_SelfStock_Log[Part Name],$A25,T_SelfStock_Log[WeekIndex],57)=0,"",SUMIFS(T_SelfStock_Log[Self_Qty],T_SelfStock_Log[Part Name],$A25,T_SelfStock_Log[WeekIndex],57))</f>
        <v/>
      </c>
      <c r="BG25" s="13">
        <f>IF(COUNTIFS(T_SelfStock_Log[Part Name],$A25,T_SelfStock_Log[WeekIndex],58)=0,"",SUMIFS(T_SelfStock_Log[Self_Qty],T_SelfStock_Log[Part Name],$A25,T_SelfStock_Log[WeekIndex],58))</f>
        <v/>
      </c>
      <c r="BH25" s="13">
        <f>IF(COUNTIFS(T_SelfStock_Log[Part Name],$A25,T_SelfStock_Log[WeekIndex],59)=0,"",SUMIFS(T_SelfStock_Log[Self_Qty],T_SelfStock_Log[Part Name],$A25,T_SelfStock_Log[WeekIndex],59))</f>
        <v/>
      </c>
      <c r="BI25" s="13">
        <f>IF(COUNTIFS(T_SelfStock_Log[Part Name],$A25,T_SelfStock_Log[WeekIndex],60)=0,"",SUMIFS(T_SelfStock_Log[Self_Qty],T_SelfStock_Log[Part Name],$A25,T_SelfStock_Log[WeekIndex],60))</f>
        <v/>
      </c>
      <c r="BJ25" s="13">
        <f>IF(COUNTIFS(T_SelfStock_Log[Part Name],$A25,T_SelfStock_Log[WeekIndex],61)=0,"",SUMIFS(T_SelfStock_Log[Self_Qty],T_SelfStock_Log[Part Name],$A25,T_SelfStock_Log[WeekIndex],61))</f>
        <v/>
      </c>
      <c r="BK25" s="13">
        <f>IF(COUNTIFS(T_SelfStock_Log[Part Name],$A25,T_SelfStock_Log[WeekIndex],62)=0,"",SUMIFS(T_SelfStock_Log[Self_Qty],T_SelfStock_Log[Part Name],$A25,T_SelfStock_Log[WeekIndex],62))</f>
        <v/>
      </c>
      <c r="BL25" s="13">
        <f>IF(COUNTIFS(T_SelfStock_Log[Part Name],$A25,T_SelfStock_Log[WeekIndex],63)=0,"",SUMIFS(T_SelfStock_Log[Self_Qty],T_SelfStock_Log[Part Name],$A25,T_SelfStock_Log[WeekIndex],63))</f>
        <v/>
      </c>
      <c r="BM25" s="13">
        <f>IF(COUNTIFS(T_SelfStock_Log[Part Name],$A25,T_SelfStock_Log[WeekIndex],64)=0,"",SUMIFS(T_SelfStock_Log[Self_Qty],T_SelfStock_Log[Part Name],$A25,T_SelfStock_Log[WeekIndex],64))</f>
        <v/>
      </c>
      <c r="BN25" s="13">
        <f>IF(COUNTIFS(T_SelfStock_Log[Part Name],$A25,T_SelfStock_Log[WeekIndex],65)=0,"",SUMIFS(T_SelfStock_Log[Self_Qty],T_SelfStock_Log[Part Name],$A25,T_SelfStock_Log[WeekIndex],65))</f>
        <v/>
      </c>
      <c r="BO25" s="13">
        <f>IF(COUNTIFS(T_SelfStock_Log[Part Name],$A25,T_SelfStock_Log[WeekIndex],66)=0,"",SUMIFS(T_SelfStock_Log[Self_Qty],T_SelfStock_Log[Part Name],$A25,T_SelfStock_Log[WeekIndex],66))</f>
        <v/>
      </c>
      <c r="BP25" s="13">
        <f>IF(COUNTIFS(T_SelfStock_Log[Part Name],$A25,T_SelfStock_Log[WeekIndex],67)=0,"",SUMIFS(T_SelfStock_Log[Self_Qty],T_SelfStock_Log[Part Name],$A25,T_SelfStock_Log[WeekIndex],67))</f>
        <v/>
      </c>
      <c r="BQ25" s="13">
        <f>IF(COUNTIFS(T_SelfStock_Log[Part Name],$A25,T_SelfStock_Log[WeekIndex],68)=0,"",SUMIFS(T_SelfStock_Log[Self_Qty],T_SelfStock_Log[Part Name],$A25,T_SelfStock_Log[WeekIndex],68))</f>
        <v/>
      </c>
      <c r="BR25" s="13">
        <f>IF(COUNTIFS(T_SelfStock_Log[Part Name],$A25,T_SelfStock_Log[WeekIndex],69)=0,"",SUMIFS(T_SelfStock_Log[Self_Qty],T_SelfStock_Log[Part Name],$A25,T_SelfStock_Log[WeekIndex],69))</f>
        <v/>
      </c>
      <c r="BS25" s="13">
        <f>IF(COUNTIFS(T_SelfStock_Log[Part Name],$A25,T_SelfStock_Log[WeekIndex],70)=0,"",SUMIFS(T_SelfStock_Log[Self_Qty],T_SelfStock_Log[Part Name],$A25,T_SelfStock_Log[WeekIndex],70))</f>
        <v/>
      </c>
      <c r="BT25" s="13">
        <f>IF(COUNTIFS(T_SelfStock_Log[Part Name],$A25,T_SelfStock_Log[WeekIndex],71)=0,"",SUMIFS(T_SelfStock_Log[Self_Qty],T_SelfStock_Log[Part Name],$A25,T_SelfStock_Log[WeekIndex],71))</f>
        <v/>
      </c>
      <c r="BU25" s="13">
        <f>IF(COUNTIFS(T_SelfStock_Log[Part Name],$A25,T_SelfStock_Log[WeekIndex],72)=0,"",SUMIFS(T_SelfStock_Log[Self_Qty],T_SelfStock_Log[Part Name],$A25,T_SelfStock_Log[WeekIndex],72))</f>
        <v/>
      </c>
      <c r="BV25" s="13">
        <f>IF(COUNTIFS(T_SelfStock_Log[Part Name],$A25,T_SelfStock_Log[WeekIndex],73)=0,"",SUMIFS(T_SelfStock_Log[Self_Qty],T_SelfStock_Log[Part Name],$A25,T_SelfStock_Log[WeekIndex],73))</f>
        <v/>
      </c>
      <c r="BW25" s="13">
        <f>IF(COUNTIFS(T_SelfStock_Log[Part Name],$A25,T_SelfStock_Log[WeekIndex],74)=0,"",SUMIFS(T_SelfStock_Log[Self_Qty],T_SelfStock_Log[Part Name],$A25,T_SelfStock_Log[WeekIndex],74))</f>
        <v/>
      </c>
      <c r="BX25" s="13">
        <f>IF(COUNTIFS(T_SelfStock_Log[Part Name],$A25,T_SelfStock_Log[WeekIndex],75)=0,"",SUMIFS(T_SelfStock_Log[Self_Qty],T_SelfStock_Log[Part Name],$A25,T_SelfStock_Log[WeekIndex],75))</f>
        <v/>
      </c>
      <c r="BY25" s="13">
        <f>IF(COUNTIFS(T_SelfStock_Log[Part Name],$A25,T_SelfStock_Log[WeekIndex],76)=0,"",SUMIFS(T_SelfStock_Log[Self_Qty],T_SelfStock_Log[Part Name],$A25,T_SelfStock_Log[WeekIndex],76))</f>
        <v/>
      </c>
      <c r="BZ25" s="13">
        <f>IF(COUNTIFS(T_SelfStock_Log[Part Name],$A25,T_SelfStock_Log[WeekIndex],77)=0,"",SUMIFS(T_SelfStock_Log[Self_Qty],T_SelfStock_Log[Part Name],$A25,T_SelfStock_Log[WeekIndex],77))</f>
        <v/>
      </c>
      <c r="CA25" s="13">
        <f>IF(COUNTIFS(T_SelfStock_Log[Part Name],$A25,T_SelfStock_Log[WeekIndex],78)=0,"",SUMIFS(T_SelfStock_Log[Self_Qty],T_SelfStock_Log[Part Name],$A25,T_SelfStock_Log[WeekIndex],78))</f>
        <v/>
      </c>
      <c r="CB25" s="13">
        <f>IF(COUNTIFS(T_SelfStock_Log[Part Name],$A25,T_SelfStock_Log[WeekIndex],79)=0,"",SUMIFS(T_SelfStock_Log[Self_Qty],T_SelfStock_Log[Part Name],$A25,T_SelfStock_Log[WeekIndex],79))</f>
        <v/>
      </c>
      <c r="CC25" s="13">
        <f>IF(COUNTIFS(T_SelfStock_Log[Part Name],$A25,T_SelfStock_Log[WeekIndex],80)=0,"",SUMIFS(T_SelfStock_Log[Self_Qty],T_SelfStock_Log[Part Name],$A25,T_SelfStock_Log[WeekIndex],80))</f>
        <v/>
      </c>
      <c r="CD25" s="13">
        <f>IF(COUNTIFS(T_SelfStock_Log[Part Name],$A25,T_SelfStock_Log[WeekIndex],81)=0,"",SUMIFS(T_SelfStock_Log[Self_Qty],T_SelfStock_Log[Part Name],$A25,T_SelfStock_Log[WeekIndex],81))</f>
        <v/>
      </c>
      <c r="CE25" s="13">
        <f>IF(COUNTIFS(T_SelfStock_Log[Part Name],$A25,T_SelfStock_Log[WeekIndex],82)=0,"",SUMIFS(T_SelfStock_Log[Self_Qty],T_SelfStock_Log[Part Name],$A25,T_SelfStock_Log[WeekIndex],82))</f>
        <v/>
      </c>
      <c r="CF25" s="13">
        <f>IF(COUNTIFS(T_SelfStock_Log[Part Name],$A25,T_SelfStock_Log[WeekIndex],83)=0,"",SUMIFS(T_SelfStock_Log[Self_Qty],T_SelfStock_Log[Part Name],$A25,T_SelfStock_Log[WeekIndex],83))</f>
        <v/>
      </c>
      <c r="CG25" s="13">
        <f>IF(COUNTIFS(T_SelfStock_Log[Part Name],$A25,T_SelfStock_Log[WeekIndex],84)=0,"",SUMIFS(T_SelfStock_Log[Self_Qty],T_SelfStock_Log[Part Name],$A25,T_SelfStock_Log[WeekIndex],84))</f>
        <v/>
      </c>
      <c r="CH25" s="13">
        <f>IF(COUNTIFS(T_SelfStock_Log[Part Name],$A25,T_SelfStock_Log[WeekIndex],85)=0,"",SUMIFS(T_SelfStock_Log[Self_Qty],T_SelfStock_Log[Part Name],$A25,T_SelfStock_Log[WeekIndex],85))</f>
        <v/>
      </c>
      <c r="CI25" s="13">
        <f>IF(COUNTIFS(T_SelfStock_Log[Part Name],$A25,T_SelfStock_Log[WeekIndex],86)=0,"",SUMIFS(T_SelfStock_Log[Self_Qty],T_SelfStock_Log[Part Name],$A25,T_SelfStock_Log[WeekIndex],86))</f>
        <v/>
      </c>
      <c r="CJ25" s="13">
        <f>IF(COUNTIFS(T_SelfStock_Log[Part Name],$A25,T_SelfStock_Log[WeekIndex],87)=0,"",SUMIFS(T_SelfStock_Log[Self_Qty],T_SelfStock_Log[Part Name],$A25,T_SelfStock_Log[WeekIndex],87))</f>
        <v/>
      </c>
      <c r="CK25" s="13">
        <f>IF(COUNTIFS(T_SelfStock_Log[Part Name],$A25,T_SelfStock_Log[WeekIndex],88)=0,"",SUMIFS(T_SelfStock_Log[Self_Qty],T_SelfStock_Log[Part Name],$A25,T_SelfStock_Log[WeekIndex],88))</f>
        <v/>
      </c>
      <c r="CL25" s="13">
        <f>IF(COUNTIFS(T_SelfStock_Log[Part Name],$A25,T_SelfStock_Log[WeekIndex],89)=0,"",SUMIFS(T_SelfStock_Log[Self_Qty],T_SelfStock_Log[Part Name],$A25,T_SelfStock_Log[WeekIndex],89))</f>
        <v/>
      </c>
      <c r="CM25" s="13">
        <f>IF(COUNTIFS(T_SelfStock_Log[Part Name],$A25,T_SelfStock_Log[WeekIndex],90)=0,"",SUMIFS(T_SelfStock_Log[Self_Qty],T_SelfStock_Log[Part Name],$A25,T_SelfStock_Log[WeekIndex],90))</f>
        <v/>
      </c>
      <c r="CN25" s="13">
        <f>IF(COUNTIFS(T_SelfStock_Log[Part Name],$A25,T_SelfStock_Log[WeekIndex],91)=0,"",SUMIFS(T_SelfStock_Log[Self_Qty],T_SelfStock_Log[Part Name],$A25,T_SelfStock_Log[WeekIndex],91))</f>
        <v/>
      </c>
      <c r="CO25" s="13">
        <f>IF(COUNTIFS(T_SelfStock_Log[Part Name],$A25,T_SelfStock_Log[WeekIndex],92)=0,"",SUMIFS(T_SelfStock_Log[Self_Qty],T_SelfStock_Log[Part Name],$A25,T_SelfStock_Log[WeekIndex],92))</f>
        <v/>
      </c>
      <c r="CP25" s="13">
        <f>IF(COUNTIFS(T_SelfStock_Log[Part Name],$A25,T_SelfStock_Log[WeekIndex],93)=0,"",SUMIFS(T_SelfStock_Log[Self_Qty],T_SelfStock_Log[Part Name],$A25,T_SelfStock_Log[WeekIndex],93))</f>
        <v/>
      </c>
      <c r="CQ25" s="13">
        <f>IF(COUNTIFS(T_SelfStock_Log[Part Name],$A25,T_SelfStock_Log[WeekIndex],94)=0,"",SUMIFS(T_SelfStock_Log[Self_Qty],T_SelfStock_Log[Part Name],$A25,T_SelfStock_Log[WeekIndex],94))</f>
        <v/>
      </c>
      <c r="CR25" s="13">
        <f>IF(COUNTIFS(T_SelfStock_Log[Part Name],$A25,T_SelfStock_Log[WeekIndex],95)=0,"",SUMIFS(T_SelfStock_Log[Self_Qty],T_SelfStock_Log[Part Name],$A25,T_SelfStock_Log[WeekIndex],95))</f>
        <v/>
      </c>
      <c r="CS25" s="13">
        <f>IF(COUNTIFS(T_SelfStock_Log[Part Name],$A25,T_SelfStock_Log[WeekIndex],96)=0,"",SUMIFS(T_SelfStock_Log[Self_Qty],T_SelfStock_Log[Part Name],$A25,T_SelfStock_Log[WeekIndex],96))</f>
        <v/>
      </c>
      <c r="CT25" s="13">
        <f>IF(COUNTIFS(T_SelfStock_Log[Part Name],$A25,T_SelfStock_Log[WeekIndex],97)=0,"",SUMIFS(T_SelfStock_Log[Self_Qty],T_SelfStock_Log[Part Name],$A25,T_SelfStock_Log[WeekIndex],97))</f>
        <v/>
      </c>
      <c r="CU25" s="13">
        <f>IF(COUNTIFS(T_SelfStock_Log[Part Name],$A25,T_SelfStock_Log[WeekIndex],98)=0,"",SUMIFS(T_SelfStock_Log[Self_Qty],T_SelfStock_Log[Part Name],$A25,T_SelfStock_Log[WeekIndex],98))</f>
        <v/>
      </c>
      <c r="CV25" s="13">
        <f>IF(COUNTIFS(T_SelfStock_Log[Part Name],$A25,T_SelfStock_Log[WeekIndex],99)=0,"",SUMIFS(T_SelfStock_Log[Self_Qty],T_SelfStock_Log[Part Name],$A25,T_SelfStock_Log[WeekIndex],99))</f>
        <v/>
      </c>
      <c r="CW25" s="13">
        <f>IF(COUNTIFS(T_SelfStock_Log[Part Name],$A25,T_SelfStock_Log[WeekIndex],100)=0,"",SUMIFS(T_SelfStock_Log[Self_Qty],T_SelfStock_Log[Part Name],$A25,T_SelfStock_Log[WeekIndex],100))</f>
        <v/>
      </c>
      <c r="CX25" s="13">
        <f>IF(COUNTIFS(T_SelfStock_Log[Part Name],$A25,T_SelfStock_Log[WeekIndex],101)=0,"",SUMIFS(T_SelfStock_Log[Self_Qty],T_SelfStock_Log[Part Name],$A25,T_SelfStock_Log[WeekIndex],101))</f>
        <v/>
      </c>
      <c r="CY25" s="13">
        <f>IF(COUNTIFS(T_SelfStock_Log[Part Name],$A25,T_SelfStock_Log[WeekIndex],102)=0,"",SUMIFS(T_SelfStock_Log[Self_Qty],T_SelfStock_Log[Part Name],$A25,T_SelfStock_Log[WeekIndex],102))</f>
        <v/>
      </c>
      <c r="CZ25" s="13">
        <f>IF(COUNTIFS(T_SelfStock_Log[Part Name],$A25,T_SelfStock_Log[WeekIndex],103)=0,"",SUMIFS(T_SelfStock_Log[Self_Qty],T_SelfStock_Log[Part Name],$A25,T_SelfStock_Log[WeekIndex],103))</f>
        <v/>
      </c>
      <c r="DA25" s="13">
        <f>IF(COUNTIFS(T_SelfStock_Log[Part Name],$A25,T_SelfStock_Log[WeekIndex],104)=0,"",SUMIFS(T_SelfStock_Log[Self_Qty],T_SelfStock_Log[Part Name],$A25,T_SelfStock_Log[WeekIndex],104))</f>
        <v/>
      </c>
    </row>
    <row r="26">
      <c r="A26" s="12" t="inlineStr">
        <is>
          <t>0JN</t>
        </is>
      </c>
      <c r="B26" s="12">
        <f>IF(COUNTIFS(T_SelfStock_Log[Part Name],$A26,T_SelfStock_Log[WeekIndex],1)=0,"",SUMIFS(T_SelfStock_Log[Self_Qty],T_SelfStock_Log[Part Name],$A26,T_SelfStock_Log[WeekIndex],1))</f>
        <v/>
      </c>
      <c r="C26" s="12">
        <f>IF(COUNTIFS(T_SelfStock_Log[Part Name],$A26,T_SelfStock_Log[WeekIndex],2)=0,"",SUMIFS(T_SelfStock_Log[Self_Qty],T_SelfStock_Log[Part Name],$A26,T_SelfStock_Log[WeekIndex],2))</f>
        <v/>
      </c>
      <c r="D26" s="12">
        <f>IF(COUNTIFS(T_SelfStock_Log[Part Name],$A26,T_SelfStock_Log[WeekIndex],3)=0,"",SUMIFS(T_SelfStock_Log[Self_Qty],T_SelfStock_Log[Part Name],$A26,T_SelfStock_Log[WeekIndex],3))</f>
        <v/>
      </c>
      <c r="E26" s="12">
        <f>IF(COUNTIFS(T_SelfStock_Log[Part Name],$A26,T_SelfStock_Log[WeekIndex],4)=0,"",SUMIFS(T_SelfStock_Log[Self_Qty],T_SelfStock_Log[Part Name],$A26,T_SelfStock_Log[WeekIndex],4))</f>
        <v/>
      </c>
      <c r="F26" s="12">
        <f>IF(COUNTIFS(T_SelfStock_Log[Part Name],$A26,T_SelfStock_Log[WeekIndex],5)=0,"",SUMIFS(T_SelfStock_Log[Self_Qty],T_SelfStock_Log[Part Name],$A26,T_SelfStock_Log[WeekIndex],5))</f>
        <v/>
      </c>
      <c r="G26" s="12">
        <f>IF(COUNTIFS(T_SelfStock_Log[Part Name],$A26,T_SelfStock_Log[WeekIndex],6)=0,"",SUMIFS(T_SelfStock_Log[Self_Qty],T_SelfStock_Log[Part Name],$A26,T_SelfStock_Log[WeekIndex],6))</f>
        <v/>
      </c>
      <c r="H26" s="12">
        <f>IF(COUNTIFS(T_SelfStock_Log[Part Name],$A26,T_SelfStock_Log[WeekIndex],7)=0,"",SUMIFS(T_SelfStock_Log[Self_Qty],T_SelfStock_Log[Part Name],$A26,T_SelfStock_Log[WeekIndex],7))</f>
        <v/>
      </c>
      <c r="I26" s="12">
        <f>IF(COUNTIFS(T_SelfStock_Log[Part Name],$A26,T_SelfStock_Log[WeekIndex],8)=0,"",SUMIFS(T_SelfStock_Log[Self_Qty],T_SelfStock_Log[Part Name],$A26,T_SelfStock_Log[WeekIndex],8))</f>
        <v/>
      </c>
      <c r="J26" s="12">
        <f>IF(COUNTIFS(T_SelfStock_Log[Part Name],$A26,T_SelfStock_Log[WeekIndex],9)=0,"",SUMIFS(T_SelfStock_Log[Self_Qty],T_SelfStock_Log[Part Name],$A26,T_SelfStock_Log[WeekIndex],9))</f>
        <v/>
      </c>
      <c r="K26" s="12">
        <f>IF(COUNTIFS(T_SelfStock_Log[Part Name],$A26,T_SelfStock_Log[WeekIndex],10)=0,"",SUMIFS(T_SelfStock_Log[Self_Qty],T_SelfStock_Log[Part Name],$A26,T_SelfStock_Log[WeekIndex],10))</f>
        <v/>
      </c>
      <c r="L26" s="12">
        <f>IF(COUNTIFS(T_SelfStock_Log[Part Name],$A26,T_SelfStock_Log[WeekIndex],11)=0,"",SUMIFS(T_SelfStock_Log[Self_Qty],T_SelfStock_Log[Part Name],$A26,T_SelfStock_Log[WeekIndex],11))</f>
        <v/>
      </c>
      <c r="M26" s="12">
        <f>IF(COUNTIFS(T_SelfStock_Log[Part Name],$A26,T_SelfStock_Log[WeekIndex],12)=0,"",SUMIFS(T_SelfStock_Log[Self_Qty],T_SelfStock_Log[Part Name],$A26,T_SelfStock_Log[WeekIndex],12))</f>
        <v/>
      </c>
      <c r="N26" s="12">
        <f>IF(COUNTIFS(T_SelfStock_Log[Part Name],$A26,T_SelfStock_Log[WeekIndex],13)=0,"",SUMIFS(T_SelfStock_Log[Self_Qty],T_SelfStock_Log[Part Name],$A26,T_SelfStock_Log[WeekIndex],13))</f>
        <v/>
      </c>
      <c r="O26" s="12">
        <f>IF(COUNTIFS(T_SelfStock_Log[Part Name],$A26,T_SelfStock_Log[WeekIndex],14)=0,"",SUMIFS(T_SelfStock_Log[Self_Qty],T_SelfStock_Log[Part Name],$A26,T_SelfStock_Log[WeekIndex],14))</f>
        <v/>
      </c>
      <c r="P26" s="12">
        <f>IF(COUNTIFS(T_SelfStock_Log[Part Name],$A26,T_SelfStock_Log[WeekIndex],15)=0,"",SUMIFS(T_SelfStock_Log[Self_Qty],T_SelfStock_Log[Part Name],$A26,T_SelfStock_Log[WeekIndex],15))</f>
        <v/>
      </c>
      <c r="Q26" s="12">
        <f>IF(COUNTIFS(T_SelfStock_Log[Part Name],$A26,T_SelfStock_Log[WeekIndex],16)=0,"",SUMIFS(T_SelfStock_Log[Self_Qty],T_SelfStock_Log[Part Name],$A26,T_SelfStock_Log[WeekIndex],16))</f>
        <v/>
      </c>
      <c r="R26" s="12">
        <f>IF(COUNTIFS(T_SelfStock_Log[Part Name],$A26,T_SelfStock_Log[WeekIndex],17)=0,"",SUMIFS(T_SelfStock_Log[Self_Qty],T_SelfStock_Log[Part Name],$A26,T_SelfStock_Log[WeekIndex],17))</f>
        <v/>
      </c>
      <c r="S26" s="12">
        <f>IF(COUNTIFS(T_SelfStock_Log[Part Name],$A26,T_SelfStock_Log[WeekIndex],18)=0,"",SUMIFS(T_SelfStock_Log[Self_Qty],T_SelfStock_Log[Part Name],$A26,T_SelfStock_Log[WeekIndex],18))</f>
        <v/>
      </c>
      <c r="T26" s="12">
        <f>IF(COUNTIFS(T_SelfStock_Log[Part Name],$A26,T_SelfStock_Log[WeekIndex],19)=0,"",SUMIFS(T_SelfStock_Log[Self_Qty],T_SelfStock_Log[Part Name],$A26,T_SelfStock_Log[WeekIndex],19))</f>
        <v/>
      </c>
      <c r="U26" s="12">
        <f>IF(COUNTIFS(T_SelfStock_Log[Part Name],$A26,T_SelfStock_Log[WeekIndex],20)=0,"",SUMIFS(T_SelfStock_Log[Self_Qty],T_SelfStock_Log[Part Name],$A26,T_SelfStock_Log[WeekIndex],20))</f>
        <v/>
      </c>
      <c r="V26" s="12">
        <f>IF(COUNTIFS(T_SelfStock_Log[Part Name],$A26,T_SelfStock_Log[WeekIndex],21)=0,"",SUMIFS(T_SelfStock_Log[Self_Qty],T_SelfStock_Log[Part Name],$A26,T_SelfStock_Log[WeekIndex],21))</f>
        <v/>
      </c>
      <c r="W26" s="12">
        <f>IF(COUNTIFS(T_SelfStock_Log[Part Name],$A26,T_SelfStock_Log[WeekIndex],22)=0,"",SUMIFS(T_SelfStock_Log[Self_Qty],T_SelfStock_Log[Part Name],$A26,T_SelfStock_Log[WeekIndex],22))</f>
        <v/>
      </c>
      <c r="X26" s="12">
        <f>IF(COUNTIFS(T_SelfStock_Log[Part Name],$A26,T_SelfStock_Log[WeekIndex],23)=0,"",SUMIFS(T_SelfStock_Log[Self_Qty],T_SelfStock_Log[Part Name],$A26,T_SelfStock_Log[WeekIndex],23))</f>
        <v/>
      </c>
      <c r="Y26" s="12">
        <f>IF(COUNTIFS(T_SelfStock_Log[Part Name],$A26,T_SelfStock_Log[WeekIndex],24)=0,"",SUMIFS(T_SelfStock_Log[Self_Qty],T_SelfStock_Log[Part Name],$A26,T_SelfStock_Log[WeekIndex],24))</f>
        <v/>
      </c>
      <c r="Z26" s="12">
        <f>IF(COUNTIFS(T_SelfStock_Log[Part Name],$A26,T_SelfStock_Log[WeekIndex],25)=0,"",SUMIFS(T_SelfStock_Log[Self_Qty],T_SelfStock_Log[Part Name],$A26,T_SelfStock_Log[WeekIndex],25))</f>
        <v/>
      </c>
      <c r="AA26" s="12">
        <f>IF(COUNTIFS(T_SelfStock_Log[Part Name],$A26,T_SelfStock_Log[WeekIndex],26)=0,"",SUMIFS(T_SelfStock_Log[Self_Qty],T_SelfStock_Log[Part Name],$A26,T_SelfStock_Log[WeekIndex],26))</f>
        <v/>
      </c>
      <c r="AB26" s="12">
        <f>IF(COUNTIFS(T_SelfStock_Log[Part Name],$A26,T_SelfStock_Log[WeekIndex],27)=0,"",SUMIFS(T_SelfStock_Log[Self_Qty],T_SelfStock_Log[Part Name],$A26,T_SelfStock_Log[WeekIndex],27))</f>
        <v/>
      </c>
      <c r="AC26" s="12">
        <f>IF(COUNTIFS(T_SelfStock_Log[Part Name],$A26,T_SelfStock_Log[WeekIndex],28)=0,"",SUMIFS(T_SelfStock_Log[Self_Qty],T_SelfStock_Log[Part Name],$A26,T_SelfStock_Log[WeekIndex],28))</f>
        <v/>
      </c>
      <c r="AD26" s="12">
        <f>IF(COUNTIFS(T_SelfStock_Log[Part Name],$A26,T_SelfStock_Log[WeekIndex],29)=0,"",SUMIFS(T_SelfStock_Log[Self_Qty],T_SelfStock_Log[Part Name],$A26,T_SelfStock_Log[WeekIndex],29))</f>
        <v/>
      </c>
      <c r="AE26" s="12">
        <f>IF(COUNTIFS(T_SelfStock_Log[Part Name],$A26,T_SelfStock_Log[WeekIndex],30)=0,"",SUMIFS(T_SelfStock_Log[Self_Qty],T_SelfStock_Log[Part Name],$A26,T_SelfStock_Log[WeekIndex],30))</f>
        <v/>
      </c>
      <c r="AF26" s="12">
        <f>IF(COUNTIFS(T_SelfStock_Log[Part Name],$A26,T_SelfStock_Log[WeekIndex],31)=0,"",SUMIFS(T_SelfStock_Log[Self_Qty],T_SelfStock_Log[Part Name],$A26,T_SelfStock_Log[WeekIndex],31))</f>
        <v/>
      </c>
      <c r="AG26" s="12">
        <f>IF(COUNTIFS(T_SelfStock_Log[Part Name],$A26,T_SelfStock_Log[WeekIndex],32)=0,"",SUMIFS(T_SelfStock_Log[Self_Qty],T_SelfStock_Log[Part Name],$A26,T_SelfStock_Log[WeekIndex],32))</f>
        <v/>
      </c>
      <c r="AH26" s="12">
        <f>IF(COUNTIFS(T_SelfStock_Log[Part Name],$A26,T_SelfStock_Log[WeekIndex],33)=0,"",SUMIFS(T_SelfStock_Log[Self_Qty],T_SelfStock_Log[Part Name],$A26,T_SelfStock_Log[WeekIndex],33))</f>
        <v/>
      </c>
      <c r="AI26" s="12">
        <f>IF(COUNTIFS(T_SelfStock_Log[Part Name],$A26,T_SelfStock_Log[WeekIndex],34)=0,"",SUMIFS(T_SelfStock_Log[Self_Qty],T_SelfStock_Log[Part Name],$A26,T_SelfStock_Log[WeekIndex],34))</f>
        <v/>
      </c>
      <c r="AJ26" s="12">
        <f>IF(COUNTIFS(T_SelfStock_Log[Part Name],$A26,T_SelfStock_Log[WeekIndex],35)=0,"",SUMIFS(T_SelfStock_Log[Self_Qty],T_SelfStock_Log[Part Name],$A26,T_SelfStock_Log[WeekIndex],35))</f>
        <v/>
      </c>
      <c r="AK26" s="12">
        <f>IF(COUNTIFS(T_SelfStock_Log[Part Name],$A26,T_SelfStock_Log[WeekIndex],36)=0,"",SUMIFS(T_SelfStock_Log[Self_Qty],T_SelfStock_Log[Part Name],$A26,T_SelfStock_Log[WeekIndex],36))</f>
        <v/>
      </c>
      <c r="AL26" s="12">
        <f>IF(COUNTIFS(T_SelfStock_Log[Part Name],$A26,T_SelfStock_Log[WeekIndex],37)=0,"",SUMIFS(T_SelfStock_Log[Self_Qty],T_SelfStock_Log[Part Name],$A26,T_SelfStock_Log[WeekIndex],37))</f>
        <v/>
      </c>
      <c r="AM26" s="12">
        <f>IF(COUNTIFS(T_SelfStock_Log[Part Name],$A26,T_SelfStock_Log[WeekIndex],38)=0,"",SUMIFS(T_SelfStock_Log[Self_Qty],T_SelfStock_Log[Part Name],$A26,T_SelfStock_Log[WeekIndex],38))</f>
        <v/>
      </c>
      <c r="AN26" s="12">
        <f>IF(COUNTIFS(T_SelfStock_Log[Part Name],$A26,T_SelfStock_Log[WeekIndex],39)=0,"",SUMIFS(T_SelfStock_Log[Self_Qty],T_SelfStock_Log[Part Name],$A26,T_SelfStock_Log[WeekIndex],39))</f>
        <v/>
      </c>
      <c r="AO26" s="12">
        <f>IF(COUNTIFS(T_SelfStock_Log[Part Name],$A26,T_SelfStock_Log[WeekIndex],40)=0,"",SUMIFS(T_SelfStock_Log[Self_Qty],T_SelfStock_Log[Part Name],$A26,T_SelfStock_Log[WeekIndex],40))</f>
        <v/>
      </c>
      <c r="AP26" s="12">
        <f>IF(COUNTIFS(T_SelfStock_Log[Part Name],$A26,T_SelfStock_Log[WeekIndex],41)=0,"",SUMIFS(T_SelfStock_Log[Self_Qty],T_SelfStock_Log[Part Name],$A26,T_SelfStock_Log[WeekIndex],41))</f>
        <v/>
      </c>
      <c r="AQ26" s="12">
        <f>IF(COUNTIFS(T_SelfStock_Log[Part Name],$A26,T_SelfStock_Log[WeekIndex],42)=0,"",SUMIFS(T_SelfStock_Log[Self_Qty],T_SelfStock_Log[Part Name],$A26,T_SelfStock_Log[WeekIndex],42))</f>
        <v/>
      </c>
      <c r="AR26" s="12">
        <f>IF(COUNTIFS(T_SelfStock_Log[Part Name],$A26,T_SelfStock_Log[WeekIndex],43)=0,"",SUMIFS(T_SelfStock_Log[Self_Qty],T_SelfStock_Log[Part Name],$A26,T_SelfStock_Log[WeekIndex],43))</f>
        <v/>
      </c>
      <c r="AS26" s="12">
        <f>IF(COUNTIFS(T_SelfStock_Log[Part Name],$A26,T_SelfStock_Log[WeekIndex],44)=0,"",SUMIFS(T_SelfStock_Log[Self_Qty],T_SelfStock_Log[Part Name],$A26,T_SelfStock_Log[WeekIndex],44))</f>
        <v/>
      </c>
      <c r="AT26" s="12">
        <f>IF(COUNTIFS(T_SelfStock_Log[Part Name],$A26,T_SelfStock_Log[WeekIndex],45)=0,"",SUMIFS(T_SelfStock_Log[Self_Qty],T_SelfStock_Log[Part Name],$A26,T_SelfStock_Log[WeekIndex],45))</f>
        <v/>
      </c>
      <c r="AU26" s="12">
        <f>IF(COUNTIFS(T_SelfStock_Log[Part Name],$A26,T_SelfStock_Log[WeekIndex],46)=0,"",SUMIFS(T_SelfStock_Log[Self_Qty],T_SelfStock_Log[Part Name],$A26,T_SelfStock_Log[WeekIndex],46))</f>
        <v/>
      </c>
      <c r="AV26" s="12">
        <f>IF(COUNTIFS(T_SelfStock_Log[Part Name],$A26,T_SelfStock_Log[WeekIndex],47)=0,"",SUMIFS(T_SelfStock_Log[Self_Qty],T_SelfStock_Log[Part Name],$A26,T_SelfStock_Log[WeekIndex],47))</f>
        <v/>
      </c>
      <c r="AW26" s="12">
        <f>IF(COUNTIFS(T_SelfStock_Log[Part Name],$A26,T_SelfStock_Log[WeekIndex],48)=0,"",SUMIFS(T_SelfStock_Log[Self_Qty],T_SelfStock_Log[Part Name],$A26,T_SelfStock_Log[WeekIndex],48))</f>
        <v/>
      </c>
      <c r="AX26" s="12">
        <f>IF(COUNTIFS(T_SelfStock_Log[Part Name],$A26,T_SelfStock_Log[WeekIndex],49)=0,"",SUMIFS(T_SelfStock_Log[Self_Qty],T_SelfStock_Log[Part Name],$A26,T_SelfStock_Log[WeekIndex],49))</f>
        <v/>
      </c>
      <c r="AY26" s="12">
        <f>IF(COUNTIFS(T_SelfStock_Log[Part Name],$A26,T_SelfStock_Log[WeekIndex],50)=0,"",SUMIFS(T_SelfStock_Log[Self_Qty],T_SelfStock_Log[Part Name],$A26,T_SelfStock_Log[WeekIndex],50))</f>
        <v/>
      </c>
      <c r="AZ26" s="12">
        <f>IF(COUNTIFS(T_SelfStock_Log[Part Name],$A26,T_SelfStock_Log[WeekIndex],51)=0,"",SUMIFS(T_SelfStock_Log[Self_Qty],T_SelfStock_Log[Part Name],$A26,T_SelfStock_Log[WeekIndex],51))</f>
        <v/>
      </c>
      <c r="BA26" s="12">
        <f>IF(COUNTIFS(T_SelfStock_Log[Part Name],$A26,T_SelfStock_Log[WeekIndex],52)=0,"",SUMIFS(T_SelfStock_Log[Self_Qty],T_SelfStock_Log[Part Name],$A26,T_SelfStock_Log[WeekIndex],52))</f>
        <v/>
      </c>
      <c r="BB26" s="12">
        <f>IF(COUNTIFS(T_SelfStock_Log[Part Name],$A26,T_SelfStock_Log[WeekIndex],53)=0,"",SUMIFS(T_SelfStock_Log[Self_Qty],T_SelfStock_Log[Part Name],$A26,T_SelfStock_Log[WeekIndex],53))</f>
        <v/>
      </c>
      <c r="BC26" s="12">
        <f>IF(COUNTIFS(T_SelfStock_Log[Part Name],$A26,T_SelfStock_Log[WeekIndex],54)=0,"",SUMIFS(T_SelfStock_Log[Self_Qty],T_SelfStock_Log[Part Name],$A26,T_SelfStock_Log[WeekIndex],54))</f>
        <v/>
      </c>
      <c r="BD26" s="12">
        <f>IF(COUNTIFS(T_SelfStock_Log[Part Name],$A26,T_SelfStock_Log[WeekIndex],55)=0,"",SUMIFS(T_SelfStock_Log[Self_Qty],T_SelfStock_Log[Part Name],$A26,T_SelfStock_Log[WeekIndex],55))</f>
        <v/>
      </c>
      <c r="BE26" s="12">
        <f>IF(COUNTIFS(T_SelfStock_Log[Part Name],$A26,T_SelfStock_Log[WeekIndex],56)=0,"",SUMIFS(T_SelfStock_Log[Self_Qty],T_SelfStock_Log[Part Name],$A26,T_SelfStock_Log[WeekIndex],56))</f>
        <v/>
      </c>
      <c r="BF26" s="12">
        <f>IF(COUNTIFS(T_SelfStock_Log[Part Name],$A26,T_SelfStock_Log[WeekIndex],57)=0,"",SUMIFS(T_SelfStock_Log[Self_Qty],T_SelfStock_Log[Part Name],$A26,T_SelfStock_Log[WeekIndex],57))</f>
        <v/>
      </c>
      <c r="BG26" s="12">
        <f>IF(COUNTIFS(T_SelfStock_Log[Part Name],$A26,T_SelfStock_Log[WeekIndex],58)=0,"",SUMIFS(T_SelfStock_Log[Self_Qty],T_SelfStock_Log[Part Name],$A26,T_SelfStock_Log[WeekIndex],58))</f>
        <v/>
      </c>
      <c r="BH26" s="12">
        <f>IF(COUNTIFS(T_SelfStock_Log[Part Name],$A26,T_SelfStock_Log[WeekIndex],59)=0,"",SUMIFS(T_SelfStock_Log[Self_Qty],T_SelfStock_Log[Part Name],$A26,T_SelfStock_Log[WeekIndex],59))</f>
        <v/>
      </c>
      <c r="BI26" s="12">
        <f>IF(COUNTIFS(T_SelfStock_Log[Part Name],$A26,T_SelfStock_Log[WeekIndex],60)=0,"",SUMIFS(T_SelfStock_Log[Self_Qty],T_SelfStock_Log[Part Name],$A26,T_SelfStock_Log[WeekIndex],60))</f>
        <v/>
      </c>
      <c r="BJ26" s="12">
        <f>IF(COUNTIFS(T_SelfStock_Log[Part Name],$A26,T_SelfStock_Log[WeekIndex],61)=0,"",SUMIFS(T_SelfStock_Log[Self_Qty],T_SelfStock_Log[Part Name],$A26,T_SelfStock_Log[WeekIndex],61))</f>
        <v/>
      </c>
      <c r="BK26" s="12">
        <f>IF(COUNTIFS(T_SelfStock_Log[Part Name],$A26,T_SelfStock_Log[WeekIndex],62)=0,"",SUMIFS(T_SelfStock_Log[Self_Qty],T_SelfStock_Log[Part Name],$A26,T_SelfStock_Log[WeekIndex],62))</f>
        <v/>
      </c>
      <c r="BL26" s="12">
        <f>IF(COUNTIFS(T_SelfStock_Log[Part Name],$A26,T_SelfStock_Log[WeekIndex],63)=0,"",SUMIFS(T_SelfStock_Log[Self_Qty],T_SelfStock_Log[Part Name],$A26,T_SelfStock_Log[WeekIndex],63))</f>
        <v/>
      </c>
      <c r="BM26" s="12">
        <f>IF(COUNTIFS(T_SelfStock_Log[Part Name],$A26,T_SelfStock_Log[WeekIndex],64)=0,"",SUMIFS(T_SelfStock_Log[Self_Qty],T_SelfStock_Log[Part Name],$A26,T_SelfStock_Log[WeekIndex],64))</f>
        <v/>
      </c>
      <c r="BN26" s="12">
        <f>IF(COUNTIFS(T_SelfStock_Log[Part Name],$A26,T_SelfStock_Log[WeekIndex],65)=0,"",SUMIFS(T_SelfStock_Log[Self_Qty],T_SelfStock_Log[Part Name],$A26,T_SelfStock_Log[WeekIndex],65))</f>
        <v/>
      </c>
      <c r="BO26" s="12">
        <f>IF(COUNTIFS(T_SelfStock_Log[Part Name],$A26,T_SelfStock_Log[WeekIndex],66)=0,"",SUMIFS(T_SelfStock_Log[Self_Qty],T_SelfStock_Log[Part Name],$A26,T_SelfStock_Log[WeekIndex],66))</f>
        <v/>
      </c>
      <c r="BP26" s="12">
        <f>IF(COUNTIFS(T_SelfStock_Log[Part Name],$A26,T_SelfStock_Log[WeekIndex],67)=0,"",SUMIFS(T_SelfStock_Log[Self_Qty],T_SelfStock_Log[Part Name],$A26,T_SelfStock_Log[WeekIndex],67))</f>
        <v/>
      </c>
      <c r="BQ26" s="12">
        <f>IF(COUNTIFS(T_SelfStock_Log[Part Name],$A26,T_SelfStock_Log[WeekIndex],68)=0,"",SUMIFS(T_SelfStock_Log[Self_Qty],T_SelfStock_Log[Part Name],$A26,T_SelfStock_Log[WeekIndex],68))</f>
        <v/>
      </c>
      <c r="BR26" s="12">
        <f>IF(COUNTIFS(T_SelfStock_Log[Part Name],$A26,T_SelfStock_Log[WeekIndex],69)=0,"",SUMIFS(T_SelfStock_Log[Self_Qty],T_SelfStock_Log[Part Name],$A26,T_SelfStock_Log[WeekIndex],69))</f>
        <v/>
      </c>
      <c r="BS26" s="12">
        <f>IF(COUNTIFS(T_SelfStock_Log[Part Name],$A26,T_SelfStock_Log[WeekIndex],70)=0,"",SUMIFS(T_SelfStock_Log[Self_Qty],T_SelfStock_Log[Part Name],$A26,T_SelfStock_Log[WeekIndex],70))</f>
        <v/>
      </c>
      <c r="BT26" s="12">
        <f>IF(COUNTIFS(T_SelfStock_Log[Part Name],$A26,T_SelfStock_Log[WeekIndex],71)=0,"",SUMIFS(T_SelfStock_Log[Self_Qty],T_SelfStock_Log[Part Name],$A26,T_SelfStock_Log[WeekIndex],71))</f>
        <v/>
      </c>
      <c r="BU26" s="12">
        <f>IF(COUNTIFS(T_SelfStock_Log[Part Name],$A26,T_SelfStock_Log[WeekIndex],72)=0,"",SUMIFS(T_SelfStock_Log[Self_Qty],T_SelfStock_Log[Part Name],$A26,T_SelfStock_Log[WeekIndex],72))</f>
        <v/>
      </c>
      <c r="BV26" s="12">
        <f>IF(COUNTIFS(T_SelfStock_Log[Part Name],$A26,T_SelfStock_Log[WeekIndex],73)=0,"",SUMIFS(T_SelfStock_Log[Self_Qty],T_SelfStock_Log[Part Name],$A26,T_SelfStock_Log[WeekIndex],73))</f>
        <v/>
      </c>
      <c r="BW26" s="12">
        <f>IF(COUNTIFS(T_SelfStock_Log[Part Name],$A26,T_SelfStock_Log[WeekIndex],74)=0,"",SUMIFS(T_SelfStock_Log[Self_Qty],T_SelfStock_Log[Part Name],$A26,T_SelfStock_Log[WeekIndex],74))</f>
        <v/>
      </c>
      <c r="BX26" s="12">
        <f>IF(COUNTIFS(T_SelfStock_Log[Part Name],$A26,T_SelfStock_Log[WeekIndex],75)=0,"",SUMIFS(T_SelfStock_Log[Self_Qty],T_SelfStock_Log[Part Name],$A26,T_SelfStock_Log[WeekIndex],75))</f>
        <v/>
      </c>
      <c r="BY26" s="12">
        <f>IF(COUNTIFS(T_SelfStock_Log[Part Name],$A26,T_SelfStock_Log[WeekIndex],76)=0,"",SUMIFS(T_SelfStock_Log[Self_Qty],T_SelfStock_Log[Part Name],$A26,T_SelfStock_Log[WeekIndex],76))</f>
        <v/>
      </c>
      <c r="BZ26" s="12">
        <f>IF(COUNTIFS(T_SelfStock_Log[Part Name],$A26,T_SelfStock_Log[WeekIndex],77)=0,"",SUMIFS(T_SelfStock_Log[Self_Qty],T_SelfStock_Log[Part Name],$A26,T_SelfStock_Log[WeekIndex],77))</f>
        <v/>
      </c>
      <c r="CA26" s="12">
        <f>IF(COUNTIFS(T_SelfStock_Log[Part Name],$A26,T_SelfStock_Log[WeekIndex],78)=0,"",SUMIFS(T_SelfStock_Log[Self_Qty],T_SelfStock_Log[Part Name],$A26,T_SelfStock_Log[WeekIndex],78))</f>
        <v/>
      </c>
      <c r="CB26" s="12">
        <f>IF(COUNTIFS(T_SelfStock_Log[Part Name],$A26,T_SelfStock_Log[WeekIndex],79)=0,"",SUMIFS(T_SelfStock_Log[Self_Qty],T_SelfStock_Log[Part Name],$A26,T_SelfStock_Log[WeekIndex],79))</f>
        <v/>
      </c>
      <c r="CC26" s="12">
        <f>IF(COUNTIFS(T_SelfStock_Log[Part Name],$A26,T_SelfStock_Log[WeekIndex],80)=0,"",SUMIFS(T_SelfStock_Log[Self_Qty],T_SelfStock_Log[Part Name],$A26,T_SelfStock_Log[WeekIndex],80))</f>
        <v/>
      </c>
      <c r="CD26" s="12">
        <f>IF(COUNTIFS(T_SelfStock_Log[Part Name],$A26,T_SelfStock_Log[WeekIndex],81)=0,"",SUMIFS(T_SelfStock_Log[Self_Qty],T_SelfStock_Log[Part Name],$A26,T_SelfStock_Log[WeekIndex],81))</f>
        <v/>
      </c>
      <c r="CE26" s="12">
        <f>IF(COUNTIFS(T_SelfStock_Log[Part Name],$A26,T_SelfStock_Log[WeekIndex],82)=0,"",SUMIFS(T_SelfStock_Log[Self_Qty],T_SelfStock_Log[Part Name],$A26,T_SelfStock_Log[WeekIndex],82))</f>
        <v/>
      </c>
      <c r="CF26" s="12">
        <f>IF(COUNTIFS(T_SelfStock_Log[Part Name],$A26,T_SelfStock_Log[WeekIndex],83)=0,"",SUMIFS(T_SelfStock_Log[Self_Qty],T_SelfStock_Log[Part Name],$A26,T_SelfStock_Log[WeekIndex],83))</f>
        <v/>
      </c>
      <c r="CG26" s="12">
        <f>IF(COUNTIFS(T_SelfStock_Log[Part Name],$A26,T_SelfStock_Log[WeekIndex],84)=0,"",SUMIFS(T_SelfStock_Log[Self_Qty],T_SelfStock_Log[Part Name],$A26,T_SelfStock_Log[WeekIndex],84))</f>
        <v/>
      </c>
      <c r="CH26" s="12">
        <f>IF(COUNTIFS(T_SelfStock_Log[Part Name],$A26,T_SelfStock_Log[WeekIndex],85)=0,"",SUMIFS(T_SelfStock_Log[Self_Qty],T_SelfStock_Log[Part Name],$A26,T_SelfStock_Log[WeekIndex],85))</f>
        <v/>
      </c>
      <c r="CI26" s="12">
        <f>IF(COUNTIFS(T_SelfStock_Log[Part Name],$A26,T_SelfStock_Log[WeekIndex],86)=0,"",SUMIFS(T_SelfStock_Log[Self_Qty],T_SelfStock_Log[Part Name],$A26,T_SelfStock_Log[WeekIndex],86))</f>
        <v/>
      </c>
      <c r="CJ26" s="12">
        <f>IF(COUNTIFS(T_SelfStock_Log[Part Name],$A26,T_SelfStock_Log[WeekIndex],87)=0,"",SUMIFS(T_SelfStock_Log[Self_Qty],T_SelfStock_Log[Part Name],$A26,T_SelfStock_Log[WeekIndex],87))</f>
        <v/>
      </c>
      <c r="CK26" s="12">
        <f>IF(COUNTIFS(T_SelfStock_Log[Part Name],$A26,T_SelfStock_Log[WeekIndex],88)=0,"",SUMIFS(T_SelfStock_Log[Self_Qty],T_SelfStock_Log[Part Name],$A26,T_SelfStock_Log[WeekIndex],88))</f>
        <v/>
      </c>
      <c r="CL26" s="12">
        <f>IF(COUNTIFS(T_SelfStock_Log[Part Name],$A26,T_SelfStock_Log[WeekIndex],89)=0,"",SUMIFS(T_SelfStock_Log[Self_Qty],T_SelfStock_Log[Part Name],$A26,T_SelfStock_Log[WeekIndex],89))</f>
        <v/>
      </c>
      <c r="CM26" s="12">
        <f>IF(COUNTIFS(T_SelfStock_Log[Part Name],$A26,T_SelfStock_Log[WeekIndex],90)=0,"",SUMIFS(T_SelfStock_Log[Self_Qty],T_SelfStock_Log[Part Name],$A26,T_SelfStock_Log[WeekIndex],90))</f>
        <v/>
      </c>
      <c r="CN26" s="12">
        <f>IF(COUNTIFS(T_SelfStock_Log[Part Name],$A26,T_SelfStock_Log[WeekIndex],91)=0,"",SUMIFS(T_SelfStock_Log[Self_Qty],T_SelfStock_Log[Part Name],$A26,T_SelfStock_Log[WeekIndex],91))</f>
        <v/>
      </c>
      <c r="CO26" s="12">
        <f>IF(COUNTIFS(T_SelfStock_Log[Part Name],$A26,T_SelfStock_Log[WeekIndex],92)=0,"",SUMIFS(T_SelfStock_Log[Self_Qty],T_SelfStock_Log[Part Name],$A26,T_SelfStock_Log[WeekIndex],92))</f>
        <v/>
      </c>
      <c r="CP26" s="12">
        <f>IF(COUNTIFS(T_SelfStock_Log[Part Name],$A26,T_SelfStock_Log[WeekIndex],93)=0,"",SUMIFS(T_SelfStock_Log[Self_Qty],T_SelfStock_Log[Part Name],$A26,T_SelfStock_Log[WeekIndex],93))</f>
        <v/>
      </c>
      <c r="CQ26" s="12">
        <f>IF(COUNTIFS(T_SelfStock_Log[Part Name],$A26,T_SelfStock_Log[WeekIndex],94)=0,"",SUMIFS(T_SelfStock_Log[Self_Qty],T_SelfStock_Log[Part Name],$A26,T_SelfStock_Log[WeekIndex],94))</f>
        <v/>
      </c>
      <c r="CR26" s="12">
        <f>IF(COUNTIFS(T_SelfStock_Log[Part Name],$A26,T_SelfStock_Log[WeekIndex],95)=0,"",SUMIFS(T_SelfStock_Log[Self_Qty],T_SelfStock_Log[Part Name],$A26,T_SelfStock_Log[WeekIndex],95))</f>
        <v/>
      </c>
      <c r="CS26" s="12">
        <f>IF(COUNTIFS(T_SelfStock_Log[Part Name],$A26,T_SelfStock_Log[WeekIndex],96)=0,"",SUMIFS(T_SelfStock_Log[Self_Qty],T_SelfStock_Log[Part Name],$A26,T_SelfStock_Log[WeekIndex],96))</f>
        <v/>
      </c>
      <c r="CT26" s="12">
        <f>IF(COUNTIFS(T_SelfStock_Log[Part Name],$A26,T_SelfStock_Log[WeekIndex],97)=0,"",SUMIFS(T_SelfStock_Log[Self_Qty],T_SelfStock_Log[Part Name],$A26,T_SelfStock_Log[WeekIndex],97))</f>
        <v/>
      </c>
      <c r="CU26" s="12">
        <f>IF(COUNTIFS(T_SelfStock_Log[Part Name],$A26,T_SelfStock_Log[WeekIndex],98)=0,"",SUMIFS(T_SelfStock_Log[Self_Qty],T_SelfStock_Log[Part Name],$A26,T_SelfStock_Log[WeekIndex],98))</f>
        <v/>
      </c>
      <c r="CV26" s="12">
        <f>IF(COUNTIFS(T_SelfStock_Log[Part Name],$A26,T_SelfStock_Log[WeekIndex],99)=0,"",SUMIFS(T_SelfStock_Log[Self_Qty],T_SelfStock_Log[Part Name],$A26,T_SelfStock_Log[WeekIndex],99))</f>
        <v/>
      </c>
      <c r="CW26" s="12">
        <f>IF(COUNTIFS(T_SelfStock_Log[Part Name],$A26,T_SelfStock_Log[WeekIndex],100)=0,"",SUMIFS(T_SelfStock_Log[Self_Qty],T_SelfStock_Log[Part Name],$A26,T_SelfStock_Log[WeekIndex],100))</f>
        <v/>
      </c>
      <c r="CX26" s="12">
        <f>IF(COUNTIFS(T_SelfStock_Log[Part Name],$A26,T_SelfStock_Log[WeekIndex],101)=0,"",SUMIFS(T_SelfStock_Log[Self_Qty],T_SelfStock_Log[Part Name],$A26,T_SelfStock_Log[WeekIndex],101))</f>
        <v/>
      </c>
      <c r="CY26" s="12">
        <f>IF(COUNTIFS(T_SelfStock_Log[Part Name],$A26,T_SelfStock_Log[WeekIndex],102)=0,"",SUMIFS(T_SelfStock_Log[Self_Qty],T_SelfStock_Log[Part Name],$A26,T_SelfStock_Log[WeekIndex],102))</f>
        <v/>
      </c>
      <c r="CZ26" s="12">
        <f>IF(COUNTIFS(T_SelfStock_Log[Part Name],$A26,T_SelfStock_Log[WeekIndex],103)=0,"",SUMIFS(T_SelfStock_Log[Self_Qty],T_SelfStock_Log[Part Name],$A26,T_SelfStock_Log[WeekIndex],103))</f>
        <v/>
      </c>
      <c r="DA26" s="12">
        <f>IF(COUNTIFS(T_SelfStock_Log[Part Name],$A26,T_SelfStock_Log[WeekIndex],104)=0,"",SUMIFS(T_SelfStock_Log[Self_Qty],T_SelfStock_Log[Part Name],$A26,T_SelfStock_Log[WeekIndex],104))</f>
        <v/>
      </c>
    </row>
    <row r="27">
      <c r="A27" s="13" t="inlineStr">
        <is>
          <t>CHEM-1760</t>
        </is>
      </c>
      <c r="B27" s="13">
        <f>IF(COUNTIFS(T_SelfStock_Log[Part Name],$A27,T_SelfStock_Log[WeekIndex],1)=0,"",SUMIFS(T_SelfStock_Log[Self_Qty],T_SelfStock_Log[Part Name],$A27,T_SelfStock_Log[WeekIndex],1))</f>
        <v/>
      </c>
      <c r="C27" s="13">
        <f>IF(COUNTIFS(T_SelfStock_Log[Part Name],$A27,T_SelfStock_Log[WeekIndex],2)=0,"",SUMIFS(T_SelfStock_Log[Self_Qty],T_SelfStock_Log[Part Name],$A27,T_SelfStock_Log[WeekIndex],2))</f>
        <v/>
      </c>
      <c r="D27" s="13">
        <f>IF(COUNTIFS(T_SelfStock_Log[Part Name],$A27,T_SelfStock_Log[WeekIndex],3)=0,"",SUMIFS(T_SelfStock_Log[Self_Qty],T_SelfStock_Log[Part Name],$A27,T_SelfStock_Log[WeekIndex],3))</f>
        <v/>
      </c>
      <c r="E27" s="13">
        <f>IF(COUNTIFS(T_SelfStock_Log[Part Name],$A27,T_SelfStock_Log[WeekIndex],4)=0,"",SUMIFS(T_SelfStock_Log[Self_Qty],T_SelfStock_Log[Part Name],$A27,T_SelfStock_Log[WeekIndex],4))</f>
        <v/>
      </c>
      <c r="F27" s="13">
        <f>IF(COUNTIFS(T_SelfStock_Log[Part Name],$A27,T_SelfStock_Log[WeekIndex],5)=0,"",SUMIFS(T_SelfStock_Log[Self_Qty],T_SelfStock_Log[Part Name],$A27,T_SelfStock_Log[WeekIndex],5))</f>
        <v/>
      </c>
      <c r="G27" s="13">
        <f>IF(COUNTIFS(T_SelfStock_Log[Part Name],$A27,T_SelfStock_Log[WeekIndex],6)=0,"",SUMIFS(T_SelfStock_Log[Self_Qty],T_SelfStock_Log[Part Name],$A27,T_SelfStock_Log[WeekIndex],6))</f>
        <v/>
      </c>
      <c r="H27" s="13">
        <f>IF(COUNTIFS(T_SelfStock_Log[Part Name],$A27,T_SelfStock_Log[WeekIndex],7)=0,"",SUMIFS(T_SelfStock_Log[Self_Qty],T_SelfStock_Log[Part Name],$A27,T_SelfStock_Log[WeekIndex],7))</f>
        <v/>
      </c>
      <c r="I27" s="13">
        <f>IF(COUNTIFS(T_SelfStock_Log[Part Name],$A27,T_SelfStock_Log[WeekIndex],8)=0,"",SUMIFS(T_SelfStock_Log[Self_Qty],T_SelfStock_Log[Part Name],$A27,T_SelfStock_Log[WeekIndex],8))</f>
        <v/>
      </c>
      <c r="J27" s="13">
        <f>IF(COUNTIFS(T_SelfStock_Log[Part Name],$A27,T_SelfStock_Log[WeekIndex],9)=0,"",SUMIFS(T_SelfStock_Log[Self_Qty],T_SelfStock_Log[Part Name],$A27,T_SelfStock_Log[WeekIndex],9))</f>
        <v/>
      </c>
      <c r="K27" s="13">
        <f>IF(COUNTIFS(T_SelfStock_Log[Part Name],$A27,T_SelfStock_Log[WeekIndex],10)=0,"",SUMIFS(T_SelfStock_Log[Self_Qty],T_SelfStock_Log[Part Name],$A27,T_SelfStock_Log[WeekIndex],10))</f>
        <v/>
      </c>
      <c r="L27" s="13">
        <f>IF(COUNTIFS(T_SelfStock_Log[Part Name],$A27,T_SelfStock_Log[WeekIndex],11)=0,"",SUMIFS(T_SelfStock_Log[Self_Qty],T_SelfStock_Log[Part Name],$A27,T_SelfStock_Log[WeekIndex],11))</f>
        <v/>
      </c>
      <c r="M27" s="13">
        <f>IF(COUNTIFS(T_SelfStock_Log[Part Name],$A27,T_SelfStock_Log[WeekIndex],12)=0,"",SUMIFS(T_SelfStock_Log[Self_Qty],T_SelfStock_Log[Part Name],$A27,T_SelfStock_Log[WeekIndex],12))</f>
        <v/>
      </c>
      <c r="N27" s="13">
        <f>IF(COUNTIFS(T_SelfStock_Log[Part Name],$A27,T_SelfStock_Log[WeekIndex],13)=0,"",SUMIFS(T_SelfStock_Log[Self_Qty],T_SelfStock_Log[Part Name],$A27,T_SelfStock_Log[WeekIndex],13))</f>
        <v/>
      </c>
      <c r="O27" s="13">
        <f>IF(COUNTIFS(T_SelfStock_Log[Part Name],$A27,T_SelfStock_Log[WeekIndex],14)=0,"",SUMIFS(T_SelfStock_Log[Self_Qty],T_SelfStock_Log[Part Name],$A27,T_SelfStock_Log[WeekIndex],14))</f>
        <v/>
      </c>
      <c r="P27" s="13">
        <f>IF(COUNTIFS(T_SelfStock_Log[Part Name],$A27,T_SelfStock_Log[WeekIndex],15)=0,"",SUMIFS(T_SelfStock_Log[Self_Qty],T_SelfStock_Log[Part Name],$A27,T_SelfStock_Log[WeekIndex],15))</f>
        <v/>
      </c>
      <c r="Q27" s="13">
        <f>IF(COUNTIFS(T_SelfStock_Log[Part Name],$A27,T_SelfStock_Log[WeekIndex],16)=0,"",SUMIFS(T_SelfStock_Log[Self_Qty],T_SelfStock_Log[Part Name],$A27,T_SelfStock_Log[WeekIndex],16))</f>
        <v/>
      </c>
      <c r="R27" s="13">
        <f>IF(COUNTIFS(T_SelfStock_Log[Part Name],$A27,T_SelfStock_Log[WeekIndex],17)=0,"",SUMIFS(T_SelfStock_Log[Self_Qty],T_SelfStock_Log[Part Name],$A27,T_SelfStock_Log[WeekIndex],17))</f>
        <v/>
      </c>
      <c r="S27" s="13">
        <f>IF(COUNTIFS(T_SelfStock_Log[Part Name],$A27,T_SelfStock_Log[WeekIndex],18)=0,"",SUMIFS(T_SelfStock_Log[Self_Qty],T_SelfStock_Log[Part Name],$A27,T_SelfStock_Log[WeekIndex],18))</f>
        <v/>
      </c>
      <c r="T27" s="13">
        <f>IF(COUNTIFS(T_SelfStock_Log[Part Name],$A27,T_SelfStock_Log[WeekIndex],19)=0,"",SUMIFS(T_SelfStock_Log[Self_Qty],T_SelfStock_Log[Part Name],$A27,T_SelfStock_Log[WeekIndex],19))</f>
        <v/>
      </c>
      <c r="U27" s="13">
        <f>IF(COUNTIFS(T_SelfStock_Log[Part Name],$A27,T_SelfStock_Log[WeekIndex],20)=0,"",SUMIFS(T_SelfStock_Log[Self_Qty],T_SelfStock_Log[Part Name],$A27,T_SelfStock_Log[WeekIndex],20))</f>
        <v/>
      </c>
      <c r="V27" s="13">
        <f>IF(COUNTIFS(T_SelfStock_Log[Part Name],$A27,T_SelfStock_Log[WeekIndex],21)=0,"",SUMIFS(T_SelfStock_Log[Self_Qty],T_SelfStock_Log[Part Name],$A27,T_SelfStock_Log[WeekIndex],21))</f>
        <v/>
      </c>
      <c r="W27" s="13">
        <f>IF(COUNTIFS(T_SelfStock_Log[Part Name],$A27,T_SelfStock_Log[WeekIndex],22)=0,"",SUMIFS(T_SelfStock_Log[Self_Qty],T_SelfStock_Log[Part Name],$A27,T_SelfStock_Log[WeekIndex],22))</f>
        <v/>
      </c>
      <c r="X27" s="13">
        <f>IF(COUNTIFS(T_SelfStock_Log[Part Name],$A27,T_SelfStock_Log[WeekIndex],23)=0,"",SUMIFS(T_SelfStock_Log[Self_Qty],T_SelfStock_Log[Part Name],$A27,T_SelfStock_Log[WeekIndex],23))</f>
        <v/>
      </c>
      <c r="Y27" s="13">
        <f>IF(COUNTIFS(T_SelfStock_Log[Part Name],$A27,T_SelfStock_Log[WeekIndex],24)=0,"",SUMIFS(T_SelfStock_Log[Self_Qty],T_SelfStock_Log[Part Name],$A27,T_SelfStock_Log[WeekIndex],24))</f>
        <v/>
      </c>
      <c r="Z27" s="13">
        <f>IF(COUNTIFS(T_SelfStock_Log[Part Name],$A27,T_SelfStock_Log[WeekIndex],25)=0,"",SUMIFS(T_SelfStock_Log[Self_Qty],T_SelfStock_Log[Part Name],$A27,T_SelfStock_Log[WeekIndex],25))</f>
        <v/>
      </c>
      <c r="AA27" s="13">
        <f>IF(COUNTIFS(T_SelfStock_Log[Part Name],$A27,T_SelfStock_Log[WeekIndex],26)=0,"",SUMIFS(T_SelfStock_Log[Self_Qty],T_SelfStock_Log[Part Name],$A27,T_SelfStock_Log[WeekIndex],26))</f>
        <v/>
      </c>
      <c r="AB27" s="13">
        <f>IF(COUNTIFS(T_SelfStock_Log[Part Name],$A27,T_SelfStock_Log[WeekIndex],27)=0,"",SUMIFS(T_SelfStock_Log[Self_Qty],T_SelfStock_Log[Part Name],$A27,T_SelfStock_Log[WeekIndex],27))</f>
        <v/>
      </c>
      <c r="AC27" s="13">
        <f>IF(COUNTIFS(T_SelfStock_Log[Part Name],$A27,T_SelfStock_Log[WeekIndex],28)=0,"",SUMIFS(T_SelfStock_Log[Self_Qty],T_SelfStock_Log[Part Name],$A27,T_SelfStock_Log[WeekIndex],28))</f>
        <v/>
      </c>
      <c r="AD27" s="13">
        <f>IF(COUNTIFS(T_SelfStock_Log[Part Name],$A27,T_SelfStock_Log[WeekIndex],29)=0,"",SUMIFS(T_SelfStock_Log[Self_Qty],T_SelfStock_Log[Part Name],$A27,T_SelfStock_Log[WeekIndex],29))</f>
        <v/>
      </c>
      <c r="AE27" s="13">
        <f>IF(COUNTIFS(T_SelfStock_Log[Part Name],$A27,T_SelfStock_Log[WeekIndex],30)=0,"",SUMIFS(T_SelfStock_Log[Self_Qty],T_SelfStock_Log[Part Name],$A27,T_SelfStock_Log[WeekIndex],30))</f>
        <v/>
      </c>
      <c r="AF27" s="13">
        <f>IF(COUNTIFS(T_SelfStock_Log[Part Name],$A27,T_SelfStock_Log[WeekIndex],31)=0,"",SUMIFS(T_SelfStock_Log[Self_Qty],T_SelfStock_Log[Part Name],$A27,T_SelfStock_Log[WeekIndex],31))</f>
        <v/>
      </c>
      <c r="AG27" s="13">
        <f>IF(COUNTIFS(T_SelfStock_Log[Part Name],$A27,T_SelfStock_Log[WeekIndex],32)=0,"",SUMIFS(T_SelfStock_Log[Self_Qty],T_SelfStock_Log[Part Name],$A27,T_SelfStock_Log[WeekIndex],32))</f>
        <v/>
      </c>
      <c r="AH27" s="13">
        <f>IF(COUNTIFS(T_SelfStock_Log[Part Name],$A27,T_SelfStock_Log[WeekIndex],33)=0,"",SUMIFS(T_SelfStock_Log[Self_Qty],T_SelfStock_Log[Part Name],$A27,T_SelfStock_Log[WeekIndex],33))</f>
        <v/>
      </c>
      <c r="AI27" s="13">
        <f>IF(COUNTIFS(T_SelfStock_Log[Part Name],$A27,T_SelfStock_Log[WeekIndex],34)=0,"",SUMIFS(T_SelfStock_Log[Self_Qty],T_SelfStock_Log[Part Name],$A27,T_SelfStock_Log[WeekIndex],34))</f>
        <v/>
      </c>
      <c r="AJ27" s="13">
        <f>IF(COUNTIFS(T_SelfStock_Log[Part Name],$A27,T_SelfStock_Log[WeekIndex],35)=0,"",SUMIFS(T_SelfStock_Log[Self_Qty],T_SelfStock_Log[Part Name],$A27,T_SelfStock_Log[WeekIndex],35))</f>
        <v/>
      </c>
      <c r="AK27" s="13">
        <f>IF(COUNTIFS(T_SelfStock_Log[Part Name],$A27,T_SelfStock_Log[WeekIndex],36)=0,"",SUMIFS(T_SelfStock_Log[Self_Qty],T_SelfStock_Log[Part Name],$A27,T_SelfStock_Log[WeekIndex],36))</f>
        <v/>
      </c>
      <c r="AL27" s="13">
        <f>IF(COUNTIFS(T_SelfStock_Log[Part Name],$A27,T_SelfStock_Log[WeekIndex],37)=0,"",SUMIFS(T_SelfStock_Log[Self_Qty],T_SelfStock_Log[Part Name],$A27,T_SelfStock_Log[WeekIndex],37))</f>
        <v/>
      </c>
      <c r="AM27" s="13">
        <f>IF(COUNTIFS(T_SelfStock_Log[Part Name],$A27,T_SelfStock_Log[WeekIndex],38)=0,"",SUMIFS(T_SelfStock_Log[Self_Qty],T_SelfStock_Log[Part Name],$A27,T_SelfStock_Log[WeekIndex],38))</f>
        <v/>
      </c>
      <c r="AN27" s="13">
        <f>IF(COUNTIFS(T_SelfStock_Log[Part Name],$A27,T_SelfStock_Log[WeekIndex],39)=0,"",SUMIFS(T_SelfStock_Log[Self_Qty],T_SelfStock_Log[Part Name],$A27,T_SelfStock_Log[WeekIndex],39))</f>
        <v/>
      </c>
      <c r="AO27" s="13">
        <f>IF(COUNTIFS(T_SelfStock_Log[Part Name],$A27,T_SelfStock_Log[WeekIndex],40)=0,"",SUMIFS(T_SelfStock_Log[Self_Qty],T_SelfStock_Log[Part Name],$A27,T_SelfStock_Log[WeekIndex],40))</f>
        <v/>
      </c>
      <c r="AP27" s="13">
        <f>IF(COUNTIFS(T_SelfStock_Log[Part Name],$A27,T_SelfStock_Log[WeekIndex],41)=0,"",SUMIFS(T_SelfStock_Log[Self_Qty],T_SelfStock_Log[Part Name],$A27,T_SelfStock_Log[WeekIndex],41))</f>
        <v/>
      </c>
      <c r="AQ27" s="13">
        <f>IF(COUNTIFS(T_SelfStock_Log[Part Name],$A27,T_SelfStock_Log[WeekIndex],42)=0,"",SUMIFS(T_SelfStock_Log[Self_Qty],T_SelfStock_Log[Part Name],$A27,T_SelfStock_Log[WeekIndex],42))</f>
        <v/>
      </c>
      <c r="AR27" s="13">
        <f>IF(COUNTIFS(T_SelfStock_Log[Part Name],$A27,T_SelfStock_Log[WeekIndex],43)=0,"",SUMIFS(T_SelfStock_Log[Self_Qty],T_SelfStock_Log[Part Name],$A27,T_SelfStock_Log[WeekIndex],43))</f>
        <v/>
      </c>
      <c r="AS27" s="13">
        <f>IF(COUNTIFS(T_SelfStock_Log[Part Name],$A27,T_SelfStock_Log[WeekIndex],44)=0,"",SUMIFS(T_SelfStock_Log[Self_Qty],T_SelfStock_Log[Part Name],$A27,T_SelfStock_Log[WeekIndex],44))</f>
        <v/>
      </c>
      <c r="AT27" s="13">
        <f>IF(COUNTIFS(T_SelfStock_Log[Part Name],$A27,T_SelfStock_Log[WeekIndex],45)=0,"",SUMIFS(T_SelfStock_Log[Self_Qty],T_SelfStock_Log[Part Name],$A27,T_SelfStock_Log[WeekIndex],45))</f>
        <v/>
      </c>
      <c r="AU27" s="13">
        <f>IF(COUNTIFS(T_SelfStock_Log[Part Name],$A27,T_SelfStock_Log[WeekIndex],46)=0,"",SUMIFS(T_SelfStock_Log[Self_Qty],T_SelfStock_Log[Part Name],$A27,T_SelfStock_Log[WeekIndex],46))</f>
        <v/>
      </c>
      <c r="AV27" s="13">
        <f>IF(COUNTIFS(T_SelfStock_Log[Part Name],$A27,T_SelfStock_Log[WeekIndex],47)=0,"",SUMIFS(T_SelfStock_Log[Self_Qty],T_SelfStock_Log[Part Name],$A27,T_SelfStock_Log[WeekIndex],47))</f>
        <v/>
      </c>
      <c r="AW27" s="13">
        <f>IF(COUNTIFS(T_SelfStock_Log[Part Name],$A27,T_SelfStock_Log[WeekIndex],48)=0,"",SUMIFS(T_SelfStock_Log[Self_Qty],T_SelfStock_Log[Part Name],$A27,T_SelfStock_Log[WeekIndex],48))</f>
        <v/>
      </c>
      <c r="AX27" s="13">
        <f>IF(COUNTIFS(T_SelfStock_Log[Part Name],$A27,T_SelfStock_Log[WeekIndex],49)=0,"",SUMIFS(T_SelfStock_Log[Self_Qty],T_SelfStock_Log[Part Name],$A27,T_SelfStock_Log[WeekIndex],49))</f>
        <v/>
      </c>
      <c r="AY27" s="13">
        <f>IF(COUNTIFS(T_SelfStock_Log[Part Name],$A27,T_SelfStock_Log[WeekIndex],50)=0,"",SUMIFS(T_SelfStock_Log[Self_Qty],T_SelfStock_Log[Part Name],$A27,T_SelfStock_Log[WeekIndex],50))</f>
        <v/>
      </c>
      <c r="AZ27" s="13">
        <f>IF(COUNTIFS(T_SelfStock_Log[Part Name],$A27,T_SelfStock_Log[WeekIndex],51)=0,"",SUMIFS(T_SelfStock_Log[Self_Qty],T_SelfStock_Log[Part Name],$A27,T_SelfStock_Log[WeekIndex],51))</f>
        <v/>
      </c>
      <c r="BA27" s="13">
        <f>IF(COUNTIFS(T_SelfStock_Log[Part Name],$A27,T_SelfStock_Log[WeekIndex],52)=0,"",SUMIFS(T_SelfStock_Log[Self_Qty],T_SelfStock_Log[Part Name],$A27,T_SelfStock_Log[WeekIndex],52))</f>
        <v/>
      </c>
      <c r="BB27" s="13">
        <f>IF(COUNTIFS(T_SelfStock_Log[Part Name],$A27,T_SelfStock_Log[WeekIndex],53)=0,"",SUMIFS(T_SelfStock_Log[Self_Qty],T_SelfStock_Log[Part Name],$A27,T_SelfStock_Log[WeekIndex],53))</f>
        <v/>
      </c>
      <c r="BC27" s="13">
        <f>IF(COUNTIFS(T_SelfStock_Log[Part Name],$A27,T_SelfStock_Log[WeekIndex],54)=0,"",SUMIFS(T_SelfStock_Log[Self_Qty],T_SelfStock_Log[Part Name],$A27,T_SelfStock_Log[WeekIndex],54))</f>
        <v/>
      </c>
      <c r="BD27" s="13">
        <f>IF(COUNTIFS(T_SelfStock_Log[Part Name],$A27,T_SelfStock_Log[WeekIndex],55)=0,"",SUMIFS(T_SelfStock_Log[Self_Qty],T_SelfStock_Log[Part Name],$A27,T_SelfStock_Log[WeekIndex],55))</f>
        <v/>
      </c>
      <c r="BE27" s="13">
        <f>IF(COUNTIFS(T_SelfStock_Log[Part Name],$A27,T_SelfStock_Log[WeekIndex],56)=0,"",SUMIFS(T_SelfStock_Log[Self_Qty],T_SelfStock_Log[Part Name],$A27,T_SelfStock_Log[WeekIndex],56))</f>
        <v/>
      </c>
      <c r="BF27" s="13">
        <f>IF(COUNTIFS(T_SelfStock_Log[Part Name],$A27,T_SelfStock_Log[WeekIndex],57)=0,"",SUMIFS(T_SelfStock_Log[Self_Qty],T_SelfStock_Log[Part Name],$A27,T_SelfStock_Log[WeekIndex],57))</f>
        <v/>
      </c>
      <c r="BG27" s="13">
        <f>IF(COUNTIFS(T_SelfStock_Log[Part Name],$A27,T_SelfStock_Log[WeekIndex],58)=0,"",SUMIFS(T_SelfStock_Log[Self_Qty],T_SelfStock_Log[Part Name],$A27,T_SelfStock_Log[WeekIndex],58))</f>
        <v/>
      </c>
      <c r="BH27" s="13">
        <f>IF(COUNTIFS(T_SelfStock_Log[Part Name],$A27,T_SelfStock_Log[WeekIndex],59)=0,"",SUMIFS(T_SelfStock_Log[Self_Qty],T_SelfStock_Log[Part Name],$A27,T_SelfStock_Log[WeekIndex],59))</f>
        <v/>
      </c>
      <c r="BI27" s="13">
        <f>IF(COUNTIFS(T_SelfStock_Log[Part Name],$A27,T_SelfStock_Log[WeekIndex],60)=0,"",SUMIFS(T_SelfStock_Log[Self_Qty],T_SelfStock_Log[Part Name],$A27,T_SelfStock_Log[WeekIndex],60))</f>
        <v/>
      </c>
      <c r="BJ27" s="13">
        <f>IF(COUNTIFS(T_SelfStock_Log[Part Name],$A27,T_SelfStock_Log[WeekIndex],61)=0,"",SUMIFS(T_SelfStock_Log[Self_Qty],T_SelfStock_Log[Part Name],$A27,T_SelfStock_Log[WeekIndex],61))</f>
        <v/>
      </c>
      <c r="BK27" s="13">
        <f>IF(COUNTIFS(T_SelfStock_Log[Part Name],$A27,T_SelfStock_Log[WeekIndex],62)=0,"",SUMIFS(T_SelfStock_Log[Self_Qty],T_SelfStock_Log[Part Name],$A27,T_SelfStock_Log[WeekIndex],62))</f>
        <v/>
      </c>
      <c r="BL27" s="13">
        <f>IF(COUNTIFS(T_SelfStock_Log[Part Name],$A27,T_SelfStock_Log[WeekIndex],63)=0,"",SUMIFS(T_SelfStock_Log[Self_Qty],T_SelfStock_Log[Part Name],$A27,T_SelfStock_Log[WeekIndex],63))</f>
        <v/>
      </c>
      <c r="BM27" s="13">
        <f>IF(COUNTIFS(T_SelfStock_Log[Part Name],$A27,T_SelfStock_Log[WeekIndex],64)=0,"",SUMIFS(T_SelfStock_Log[Self_Qty],T_SelfStock_Log[Part Name],$A27,T_SelfStock_Log[WeekIndex],64))</f>
        <v/>
      </c>
      <c r="BN27" s="13">
        <f>IF(COUNTIFS(T_SelfStock_Log[Part Name],$A27,T_SelfStock_Log[WeekIndex],65)=0,"",SUMIFS(T_SelfStock_Log[Self_Qty],T_SelfStock_Log[Part Name],$A27,T_SelfStock_Log[WeekIndex],65))</f>
        <v/>
      </c>
      <c r="BO27" s="13">
        <f>IF(COUNTIFS(T_SelfStock_Log[Part Name],$A27,T_SelfStock_Log[WeekIndex],66)=0,"",SUMIFS(T_SelfStock_Log[Self_Qty],T_SelfStock_Log[Part Name],$A27,T_SelfStock_Log[WeekIndex],66))</f>
        <v/>
      </c>
      <c r="BP27" s="13">
        <f>IF(COUNTIFS(T_SelfStock_Log[Part Name],$A27,T_SelfStock_Log[WeekIndex],67)=0,"",SUMIFS(T_SelfStock_Log[Self_Qty],T_SelfStock_Log[Part Name],$A27,T_SelfStock_Log[WeekIndex],67))</f>
        <v/>
      </c>
      <c r="BQ27" s="13">
        <f>IF(COUNTIFS(T_SelfStock_Log[Part Name],$A27,T_SelfStock_Log[WeekIndex],68)=0,"",SUMIFS(T_SelfStock_Log[Self_Qty],T_SelfStock_Log[Part Name],$A27,T_SelfStock_Log[WeekIndex],68))</f>
        <v/>
      </c>
      <c r="BR27" s="13">
        <f>IF(COUNTIFS(T_SelfStock_Log[Part Name],$A27,T_SelfStock_Log[WeekIndex],69)=0,"",SUMIFS(T_SelfStock_Log[Self_Qty],T_SelfStock_Log[Part Name],$A27,T_SelfStock_Log[WeekIndex],69))</f>
        <v/>
      </c>
      <c r="BS27" s="13">
        <f>IF(COUNTIFS(T_SelfStock_Log[Part Name],$A27,T_SelfStock_Log[WeekIndex],70)=0,"",SUMIFS(T_SelfStock_Log[Self_Qty],T_SelfStock_Log[Part Name],$A27,T_SelfStock_Log[WeekIndex],70))</f>
        <v/>
      </c>
      <c r="BT27" s="13">
        <f>IF(COUNTIFS(T_SelfStock_Log[Part Name],$A27,T_SelfStock_Log[WeekIndex],71)=0,"",SUMIFS(T_SelfStock_Log[Self_Qty],T_SelfStock_Log[Part Name],$A27,T_SelfStock_Log[WeekIndex],71))</f>
        <v/>
      </c>
      <c r="BU27" s="13">
        <f>IF(COUNTIFS(T_SelfStock_Log[Part Name],$A27,T_SelfStock_Log[WeekIndex],72)=0,"",SUMIFS(T_SelfStock_Log[Self_Qty],T_SelfStock_Log[Part Name],$A27,T_SelfStock_Log[WeekIndex],72))</f>
        <v/>
      </c>
      <c r="BV27" s="13">
        <f>IF(COUNTIFS(T_SelfStock_Log[Part Name],$A27,T_SelfStock_Log[WeekIndex],73)=0,"",SUMIFS(T_SelfStock_Log[Self_Qty],T_SelfStock_Log[Part Name],$A27,T_SelfStock_Log[WeekIndex],73))</f>
        <v/>
      </c>
      <c r="BW27" s="13">
        <f>IF(COUNTIFS(T_SelfStock_Log[Part Name],$A27,T_SelfStock_Log[WeekIndex],74)=0,"",SUMIFS(T_SelfStock_Log[Self_Qty],T_SelfStock_Log[Part Name],$A27,T_SelfStock_Log[WeekIndex],74))</f>
        <v/>
      </c>
      <c r="BX27" s="13">
        <f>IF(COUNTIFS(T_SelfStock_Log[Part Name],$A27,T_SelfStock_Log[WeekIndex],75)=0,"",SUMIFS(T_SelfStock_Log[Self_Qty],T_SelfStock_Log[Part Name],$A27,T_SelfStock_Log[WeekIndex],75))</f>
        <v/>
      </c>
      <c r="BY27" s="13">
        <f>IF(COUNTIFS(T_SelfStock_Log[Part Name],$A27,T_SelfStock_Log[WeekIndex],76)=0,"",SUMIFS(T_SelfStock_Log[Self_Qty],T_SelfStock_Log[Part Name],$A27,T_SelfStock_Log[WeekIndex],76))</f>
        <v/>
      </c>
      <c r="BZ27" s="13">
        <f>IF(COUNTIFS(T_SelfStock_Log[Part Name],$A27,T_SelfStock_Log[WeekIndex],77)=0,"",SUMIFS(T_SelfStock_Log[Self_Qty],T_SelfStock_Log[Part Name],$A27,T_SelfStock_Log[WeekIndex],77))</f>
        <v/>
      </c>
      <c r="CA27" s="13">
        <f>IF(COUNTIFS(T_SelfStock_Log[Part Name],$A27,T_SelfStock_Log[WeekIndex],78)=0,"",SUMIFS(T_SelfStock_Log[Self_Qty],T_SelfStock_Log[Part Name],$A27,T_SelfStock_Log[WeekIndex],78))</f>
        <v/>
      </c>
      <c r="CB27" s="13">
        <f>IF(COUNTIFS(T_SelfStock_Log[Part Name],$A27,T_SelfStock_Log[WeekIndex],79)=0,"",SUMIFS(T_SelfStock_Log[Self_Qty],T_SelfStock_Log[Part Name],$A27,T_SelfStock_Log[WeekIndex],79))</f>
        <v/>
      </c>
      <c r="CC27" s="13">
        <f>IF(COUNTIFS(T_SelfStock_Log[Part Name],$A27,T_SelfStock_Log[WeekIndex],80)=0,"",SUMIFS(T_SelfStock_Log[Self_Qty],T_SelfStock_Log[Part Name],$A27,T_SelfStock_Log[WeekIndex],80))</f>
        <v/>
      </c>
      <c r="CD27" s="13">
        <f>IF(COUNTIFS(T_SelfStock_Log[Part Name],$A27,T_SelfStock_Log[WeekIndex],81)=0,"",SUMIFS(T_SelfStock_Log[Self_Qty],T_SelfStock_Log[Part Name],$A27,T_SelfStock_Log[WeekIndex],81))</f>
        <v/>
      </c>
      <c r="CE27" s="13">
        <f>IF(COUNTIFS(T_SelfStock_Log[Part Name],$A27,T_SelfStock_Log[WeekIndex],82)=0,"",SUMIFS(T_SelfStock_Log[Self_Qty],T_SelfStock_Log[Part Name],$A27,T_SelfStock_Log[WeekIndex],82))</f>
        <v/>
      </c>
      <c r="CF27" s="13">
        <f>IF(COUNTIFS(T_SelfStock_Log[Part Name],$A27,T_SelfStock_Log[WeekIndex],83)=0,"",SUMIFS(T_SelfStock_Log[Self_Qty],T_SelfStock_Log[Part Name],$A27,T_SelfStock_Log[WeekIndex],83))</f>
        <v/>
      </c>
      <c r="CG27" s="13">
        <f>IF(COUNTIFS(T_SelfStock_Log[Part Name],$A27,T_SelfStock_Log[WeekIndex],84)=0,"",SUMIFS(T_SelfStock_Log[Self_Qty],T_SelfStock_Log[Part Name],$A27,T_SelfStock_Log[WeekIndex],84))</f>
        <v/>
      </c>
      <c r="CH27" s="13">
        <f>IF(COUNTIFS(T_SelfStock_Log[Part Name],$A27,T_SelfStock_Log[WeekIndex],85)=0,"",SUMIFS(T_SelfStock_Log[Self_Qty],T_SelfStock_Log[Part Name],$A27,T_SelfStock_Log[WeekIndex],85))</f>
        <v/>
      </c>
      <c r="CI27" s="13">
        <f>IF(COUNTIFS(T_SelfStock_Log[Part Name],$A27,T_SelfStock_Log[WeekIndex],86)=0,"",SUMIFS(T_SelfStock_Log[Self_Qty],T_SelfStock_Log[Part Name],$A27,T_SelfStock_Log[WeekIndex],86))</f>
        <v/>
      </c>
      <c r="CJ27" s="13">
        <f>IF(COUNTIFS(T_SelfStock_Log[Part Name],$A27,T_SelfStock_Log[WeekIndex],87)=0,"",SUMIFS(T_SelfStock_Log[Self_Qty],T_SelfStock_Log[Part Name],$A27,T_SelfStock_Log[WeekIndex],87))</f>
        <v/>
      </c>
      <c r="CK27" s="13">
        <f>IF(COUNTIFS(T_SelfStock_Log[Part Name],$A27,T_SelfStock_Log[WeekIndex],88)=0,"",SUMIFS(T_SelfStock_Log[Self_Qty],T_SelfStock_Log[Part Name],$A27,T_SelfStock_Log[WeekIndex],88))</f>
        <v/>
      </c>
      <c r="CL27" s="13">
        <f>IF(COUNTIFS(T_SelfStock_Log[Part Name],$A27,T_SelfStock_Log[WeekIndex],89)=0,"",SUMIFS(T_SelfStock_Log[Self_Qty],T_SelfStock_Log[Part Name],$A27,T_SelfStock_Log[WeekIndex],89))</f>
        <v/>
      </c>
      <c r="CM27" s="13">
        <f>IF(COUNTIFS(T_SelfStock_Log[Part Name],$A27,T_SelfStock_Log[WeekIndex],90)=0,"",SUMIFS(T_SelfStock_Log[Self_Qty],T_SelfStock_Log[Part Name],$A27,T_SelfStock_Log[WeekIndex],90))</f>
        <v/>
      </c>
      <c r="CN27" s="13">
        <f>IF(COUNTIFS(T_SelfStock_Log[Part Name],$A27,T_SelfStock_Log[WeekIndex],91)=0,"",SUMIFS(T_SelfStock_Log[Self_Qty],T_SelfStock_Log[Part Name],$A27,T_SelfStock_Log[WeekIndex],91))</f>
        <v/>
      </c>
      <c r="CO27" s="13">
        <f>IF(COUNTIFS(T_SelfStock_Log[Part Name],$A27,T_SelfStock_Log[WeekIndex],92)=0,"",SUMIFS(T_SelfStock_Log[Self_Qty],T_SelfStock_Log[Part Name],$A27,T_SelfStock_Log[WeekIndex],92))</f>
        <v/>
      </c>
      <c r="CP27" s="13">
        <f>IF(COUNTIFS(T_SelfStock_Log[Part Name],$A27,T_SelfStock_Log[WeekIndex],93)=0,"",SUMIFS(T_SelfStock_Log[Self_Qty],T_SelfStock_Log[Part Name],$A27,T_SelfStock_Log[WeekIndex],93))</f>
        <v/>
      </c>
      <c r="CQ27" s="13">
        <f>IF(COUNTIFS(T_SelfStock_Log[Part Name],$A27,T_SelfStock_Log[WeekIndex],94)=0,"",SUMIFS(T_SelfStock_Log[Self_Qty],T_SelfStock_Log[Part Name],$A27,T_SelfStock_Log[WeekIndex],94))</f>
        <v/>
      </c>
      <c r="CR27" s="13">
        <f>IF(COUNTIFS(T_SelfStock_Log[Part Name],$A27,T_SelfStock_Log[WeekIndex],95)=0,"",SUMIFS(T_SelfStock_Log[Self_Qty],T_SelfStock_Log[Part Name],$A27,T_SelfStock_Log[WeekIndex],95))</f>
        <v/>
      </c>
      <c r="CS27" s="13">
        <f>IF(COUNTIFS(T_SelfStock_Log[Part Name],$A27,T_SelfStock_Log[WeekIndex],96)=0,"",SUMIFS(T_SelfStock_Log[Self_Qty],T_SelfStock_Log[Part Name],$A27,T_SelfStock_Log[WeekIndex],96))</f>
        <v/>
      </c>
      <c r="CT27" s="13">
        <f>IF(COUNTIFS(T_SelfStock_Log[Part Name],$A27,T_SelfStock_Log[WeekIndex],97)=0,"",SUMIFS(T_SelfStock_Log[Self_Qty],T_SelfStock_Log[Part Name],$A27,T_SelfStock_Log[WeekIndex],97))</f>
        <v/>
      </c>
      <c r="CU27" s="13">
        <f>IF(COUNTIFS(T_SelfStock_Log[Part Name],$A27,T_SelfStock_Log[WeekIndex],98)=0,"",SUMIFS(T_SelfStock_Log[Self_Qty],T_SelfStock_Log[Part Name],$A27,T_SelfStock_Log[WeekIndex],98))</f>
        <v/>
      </c>
      <c r="CV27" s="13">
        <f>IF(COUNTIFS(T_SelfStock_Log[Part Name],$A27,T_SelfStock_Log[WeekIndex],99)=0,"",SUMIFS(T_SelfStock_Log[Self_Qty],T_SelfStock_Log[Part Name],$A27,T_SelfStock_Log[WeekIndex],99))</f>
        <v/>
      </c>
      <c r="CW27" s="13">
        <f>IF(COUNTIFS(T_SelfStock_Log[Part Name],$A27,T_SelfStock_Log[WeekIndex],100)=0,"",SUMIFS(T_SelfStock_Log[Self_Qty],T_SelfStock_Log[Part Name],$A27,T_SelfStock_Log[WeekIndex],100))</f>
        <v/>
      </c>
      <c r="CX27" s="13">
        <f>IF(COUNTIFS(T_SelfStock_Log[Part Name],$A27,T_SelfStock_Log[WeekIndex],101)=0,"",SUMIFS(T_SelfStock_Log[Self_Qty],T_SelfStock_Log[Part Name],$A27,T_SelfStock_Log[WeekIndex],101))</f>
        <v/>
      </c>
      <c r="CY27" s="13">
        <f>IF(COUNTIFS(T_SelfStock_Log[Part Name],$A27,T_SelfStock_Log[WeekIndex],102)=0,"",SUMIFS(T_SelfStock_Log[Self_Qty],T_SelfStock_Log[Part Name],$A27,T_SelfStock_Log[WeekIndex],102))</f>
        <v/>
      </c>
      <c r="CZ27" s="13">
        <f>IF(COUNTIFS(T_SelfStock_Log[Part Name],$A27,T_SelfStock_Log[WeekIndex],103)=0,"",SUMIFS(T_SelfStock_Log[Self_Qty],T_SelfStock_Log[Part Name],$A27,T_SelfStock_Log[WeekIndex],103))</f>
        <v/>
      </c>
      <c r="DA27" s="13">
        <f>IF(COUNTIFS(T_SelfStock_Log[Part Name],$A27,T_SelfStock_Log[WeekIndex],104)=0,"",SUMIFS(T_SelfStock_Log[Self_Qty],T_SelfStock_Log[Part Name],$A27,T_SelfStock_Log[WeekIndex],104))</f>
        <v/>
      </c>
    </row>
    <row r="28">
      <c r="A28" s="12" t="inlineStr">
        <is>
          <t>Original Towel</t>
        </is>
      </c>
      <c r="B28" s="12">
        <f>IF(COUNTIFS(T_SelfStock_Log[Part Name],$A28,T_SelfStock_Log[WeekIndex],1)=0,"",SUMIFS(T_SelfStock_Log[Self_Qty],T_SelfStock_Log[Part Name],$A28,T_SelfStock_Log[WeekIndex],1))</f>
        <v/>
      </c>
      <c r="C28" s="12">
        <f>IF(COUNTIFS(T_SelfStock_Log[Part Name],$A28,T_SelfStock_Log[WeekIndex],2)=0,"",SUMIFS(T_SelfStock_Log[Self_Qty],T_SelfStock_Log[Part Name],$A28,T_SelfStock_Log[WeekIndex],2))</f>
        <v/>
      </c>
      <c r="D28" s="12">
        <f>IF(COUNTIFS(T_SelfStock_Log[Part Name],$A28,T_SelfStock_Log[WeekIndex],3)=0,"",SUMIFS(T_SelfStock_Log[Self_Qty],T_SelfStock_Log[Part Name],$A28,T_SelfStock_Log[WeekIndex],3))</f>
        <v/>
      </c>
      <c r="E28" s="12">
        <f>IF(COUNTIFS(T_SelfStock_Log[Part Name],$A28,T_SelfStock_Log[WeekIndex],4)=0,"",SUMIFS(T_SelfStock_Log[Self_Qty],T_SelfStock_Log[Part Name],$A28,T_SelfStock_Log[WeekIndex],4))</f>
        <v/>
      </c>
      <c r="F28" s="12">
        <f>IF(COUNTIFS(T_SelfStock_Log[Part Name],$A28,T_SelfStock_Log[WeekIndex],5)=0,"",SUMIFS(T_SelfStock_Log[Self_Qty],T_SelfStock_Log[Part Name],$A28,T_SelfStock_Log[WeekIndex],5))</f>
        <v/>
      </c>
      <c r="G28" s="12">
        <f>IF(COUNTIFS(T_SelfStock_Log[Part Name],$A28,T_SelfStock_Log[WeekIndex],6)=0,"",SUMIFS(T_SelfStock_Log[Self_Qty],T_SelfStock_Log[Part Name],$A28,T_SelfStock_Log[WeekIndex],6))</f>
        <v/>
      </c>
      <c r="H28" s="12">
        <f>IF(COUNTIFS(T_SelfStock_Log[Part Name],$A28,T_SelfStock_Log[WeekIndex],7)=0,"",SUMIFS(T_SelfStock_Log[Self_Qty],T_SelfStock_Log[Part Name],$A28,T_SelfStock_Log[WeekIndex],7))</f>
        <v/>
      </c>
      <c r="I28" s="12">
        <f>IF(COUNTIFS(T_SelfStock_Log[Part Name],$A28,T_SelfStock_Log[WeekIndex],8)=0,"",SUMIFS(T_SelfStock_Log[Self_Qty],T_SelfStock_Log[Part Name],$A28,T_SelfStock_Log[WeekIndex],8))</f>
        <v/>
      </c>
      <c r="J28" s="12">
        <f>IF(COUNTIFS(T_SelfStock_Log[Part Name],$A28,T_SelfStock_Log[WeekIndex],9)=0,"",SUMIFS(T_SelfStock_Log[Self_Qty],T_SelfStock_Log[Part Name],$A28,T_SelfStock_Log[WeekIndex],9))</f>
        <v/>
      </c>
      <c r="K28" s="12">
        <f>IF(COUNTIFS(T_SelfStock_Log[Part Name],$A28,T_SelfStock_Log[WeekIndex],10)=0,"",SUMIFS(T_SelfStock_Log[Self_Qty],T_SelfStock_Log[Part Name],$A28,T_SelfStock_Log[WeekIndex],10))</f>
        <v/>
      </c>
      <c r="L28" s="12">
        <f>IF(COUNTIFS(T_SelfStock_Log[Part Name],$A28,T_SelfStock_Log[WeekIndex],11)=0,"",SUMIFS(T_SelfStock_Log[Self_Qty],T_SelfStock_Log[Part Name],$A28,T_SelfStock_Log[WeekIndex],11))</f>
        <v/>
      </c>
      <c r="M28" s="12">
        <f>IF(COUNTIFS(T_SelfStock_Log[Part Name],$A28,T_SelfStock_Log[WeekIndex],12)=0,"",SUMIFS(T_SelfStock_Log[Self_Qty],T_SelfStock_Log[Part Name],$A28,T_SelfStock_Log[WeekIndex],12))</f>
        <v/>
      </c>
      <c r="N28" s="12">
        <f>IF(COUNTIFS(T_SelfStock_Log[Part Name],$A28,T_SelfStock_Log[WeekIndex],13)=0,"",SUMIFS(T_SelfStock_Log[Self_Qty],T_SelfStock_Log[Part Name],$A28,T_SelfStock_Log[WeekIndex],13))</f>
        <v/>
      </c>
      <c r="O28" s="12">
        <f>IF(COUNTIFS(T_SelfStock_Log[Part Name],$A28,T_SelfStock_Log[WeekIndex],14)=0,"",SUMIFS(T_SelfStock_Log[Self_Qty],T_SelfStock_Log[Part Name],$A28,T_SelfStock_Log[WeekIndex],14))</f>
        <v/>
      </c>
      <c r="P28" s="12">
        <f>IF(COUNTIFS(T_SelfStock_Log[Part Name],$A28,T_SelfStock_Log[WeekIndex],15)=0,"",SUMIFS(T_SelfStock_Log[Self_Qty],T_SelfStock_Log[Part Name],$A28,T_SelfStock_Log[WeekIndex],15))</f>
        <v/>
      </c>
      <c r="Q28" s="12">
        <f>IF(COUNTIFS(T_SelfStock_Log[Part Name],$A28,T_SelfStock_Log[WeekIndex],16)=0,"",SUMIFS(T_SelfStock_Log[Self_Qty],T_SelfStock_Log[Part Name],$A28,T_SelfStock_Log[WeekIndex],16))</f>
        <v/>
      </c>
      <c r="R28" s="12">
        <f>IF(COUNTIFS(T_SelfStock_Log[Part Name],$A28,T_SelfStock_Log[WeekIndex],17)=0,"",SUMIFS(T_SelfStock_Log[Self_Qty],T_SelfStock_Log[Part Name],$A28,T_SelfStock_Log[WeekIndex],17))</f>
        <v/>
      </c>
      <c r="S28" s="12">
        <f>IF(COUNTIFS(T_SelfStock_Log[Part Name],$A28,T_SelfStock_Log[WeekIndex],18)=0,"",SUMIFS(T_SelfStock_Log[Self_Qty],T_SelfStock_Log[Part Name],$A28,T_SelfStock_Log[WeekIndex],18))</f>
        <v/>
      </c>
      <c r="T28" s="12">
        <f>IF(COUNTIFS(T_SelfStock_Log[Part Name],$A28,T_SelfStock_Log[WeekIndex],19)=0,"",SUMIFS(T_SelfStock_Log[Self_Qty],T_SelfStock_Log[Part Name],$A28,T_SelfStock_Log[WeekIndex],19))</f>
        <v/>
      </c>
      <c r="U28" s="12">
        <f>IF(COUNTIFS(T_SelfStock_Log[Part Name],$A28,T_SelfStock_Log[WeekIndex],20)=0,"",SUMIFS(T_SelfStock_Log[Self_Qty],T_SelfStock_Log[Part Name],$A28,T_SelfStock_Log[WeekIndex],20))</f>
        <v/>
      </c>
      <c r="V28" s="12">
        <f>IF(COUNTIFS(T_SelfStock_Log[Part Name],$A28,T_SelfStock_Log[WeekIndex],21)=0,"",SUMIFS(T_SelfStock_Log[Self_Qty],T_SelfStock_Log[Part Name],$A28,T_SelfStock_Log[WeekIndex],21))</f>
        <v/>
      </c>
      <c r="W28" s="12">
        <f>IF(COUNTIFS(T_SelfStock_Log[Part Name],$A28,T_SelfStock_Log[WeekIndex],22)=0,"",SUMIFS(T_SelfStock_Log[Self_Qty],T_SelfStock_Log[Part Name],$A28,T_SelfStock_Log[WeekIndex],22))</f>
        <v/>
      </c>
      <c r="X28" s="12">
        <f>IF(COUNTIFS(T_SelfStock_Log[Part Name],$A28,T_SelfStock_Log[WeekIndex],23)=0,"",SUMIFS(T_SelfStock_Log[Self_Qty],T_SelfStock_Log[Part Name],$A28,T_SelfStock_Log[WeekIndex],23))</f>
        <v/>
      </c>
      <c r="Y28" s="12">
        <f>IF(COUNTIFS(T_SelfStock_Log[Part Name],$A28,T_SelfStock_Log[WeekIndex],24)=0,"",SUMIFS(T_SelfStock_Log[Self_Qty],T_SelfStock_Log[Part Name],$A28,T_SelfStock_Log[WeekIndex],24))</f>
        <v/>
      </c>
      <c r="Z28" s="12">
        <f>IF(COUNTIFS(T_SelfStock_Log[Part Name],$A28,T_SelfStock_Log[WeekIndex],25)=0,"",SUMIFS(T_SelfStock_Log[Self_Qty],T_SelfStock_Log[Part Name],$A28,T_SelfStock_Log[WeekIndex],25))</f>
        <v/>
      </c>
      <c r="AA28" s="12">
        <f>IF(COUNTIFS(T_SelfStock_Log[Part Name],$A28,T_SelfStock_Log[WeekIndex],26)=0,"",SUMIFS(T_SelfStock_Log[Self_Qty],T_SelfStock_Log[Part Name],$A28,T_SelfStock_Log[WeekIndex],26))</f>
        <v/>
      </c>
      <c r="AB28" s="12">
        <f>IF(COUNTIFS(T_SelfStock_Log[Part Name],$A28,T_SelfStock_Log[WeekIndex],27)=0,"",SUMIFS(T_SelfStock_Log[Self_Qty],T_SelfStock_Log[Part Name],$A28,T_SelfStock_Log[WeekIndex],27))</f>
        <v/>
      </c>
      <c r="AC28" s="12">
        <f>IF(COUNTIFS(T_SelfStock_Log[Part Name],$A28,T_SelfStock_Log[WeekIndex],28)=0,"",SUMIFS(T_SelfStock_Log[Self_Qty],T_SelfStock_Log[Part Name],$A28,T_SelfStock_Log[WeekIndex],28))</f>
        <v/>
      </c>
      <c r="AD28" s="12">
        <f>IF(COUNTIFS(T_SelfStock_Log[Part Name],$A28,T_SelfStock_Log[WeekIndex],29)=0,"",SUMIFS(T_SelfStock_Log[Self_Qty],T_SelfStock_Log[Part Name],$A28,T_SelfStock_Log[WeekIndex],29))</f>
        <v/>
      </c>
      <c r="AE28" s="12">
        <f>IF(COUNTIFS(T_SelfStock_Log[Part Name],$A28,T_SelfStock_Log[WeekIndex],30)=0,"",SUMIFS(T_SelfStock_Log[Self_Qty],T_SelfStock_Log[Part Name],$A28,T_SelfStock_Log[WeekIndex],30))</f>
        <v/>
      </c>
      <c r="AF28" s="12">
        <f>IF(COUNTIFS(T_SelfStock_Log[Part Name],$A28,T_SelfStock_Log[WeekIndex],31)=0,"",SUMIFS(T_SelfStock_Log[Self_Qty],T_SelfStock_Log[Part Name],$A28,T_SelfStock_Log[WeekIndex],31))</f>
        <v/>
      </c>
      <c r="AG28" s="12">
        <f>IF(COUNTIFS(T_SelfStock_Log[Part Name],$A28,T_SelfStock_Log[WeekIndex],32)=0,"",SUMIFS(T_SelfStock_Log[Self_Qty],T_SelfStock_Log[Part Name],$A28,T_SelfStock_Log[WeekIndex],32))</f>
        <v/>
      </c>
      <c r="AH28" s="12">
        <f>IF(COUNTIFS(T_SelfStock_Log[Part Name],$A28,T_SelfStock_Log[WeekIndex],33)=0,"",SUMIFS(T_SelfStock_Log[Self_Qty],T_SelfStock_Log[Part Name],$A28,T_SelfStock_Log[WeekIndex],33))</f>
        <v/>
      </c>
      <c r="AI28" s="12">
        <f>IF(COUNTIFS(T_SelfStock_Log[Part Name],$A28,T_SelfStock_Log[WeekIndex],34)=0,"",SUMIFS(T_SelfStock_Log[Self_Qty],T_SelfStock_Log[Part Name],$A28,T_SelfStock_Log[WeekIndex],34))</f>
        <v/>
      </c>
      <c r="AJ28" s="12">
        <f>IF(COUNTIFS(T_SelfStock_Log[Part Name],$A28,T_SelfStock_Log[WeekIndex],35)=0,"",SUMIFS(T_SelfStock_Log[Self_Qty],T_SelfStock_Log[Part Name],$A28,T_SelfStock_Log[WeekIndex],35))</f>
        <v/>
      </c>
      <c r="AK28" s="12">
        <f>IF(COUNTIFS(T_SelfStock_Log[Part Name],$A28,T_SelfStock_Log[WeekIndex],36)=0,"",SUMIFS(T_SelfStock_Log[Self_Qty],T_SelfStock_Log[Part Name],$A28,T_SelfStock_Log[WeekIndex],36))</f>
        <v/>
      </c>
      <c r="AL28" s="12">
        <f>IF(COUNTIFS(T_SelfStock_Log[Part Name],$A28,T_SelfStock_Log[WeekIndex],37)=0,"",SUMIFS(T_SelfStock_Log[Self_Qty],T_SelfStock_Log[Part Name],$A28,T_SelfStock_Log[WeekIndex],37))</f>
        <v/>
      </c>
      <c r="AM28" s="12">
        <f>IF(COUNTIFS(T_SelfStock_Log[Part Name],$A28,T_SelfStock_Log[WeekIndex],38)=0,"",SUMIFS(T_SelfStock_Log[Self_Qty],T_SelfStock_Log[Part Name],$A28,T_SelfStock_Log[WeekIndex],38))</f>
        <v/>
      </c>
      <c r="AN28" s="12">
        <f>IF(COUNTIFS(T_SelfStock_Log[Part Name],$A28,T_SelfStock_Log[WeekIndex],39)=0,"",SUMIFS(T_SelfStock_Log[Self_Qty],T_SelfStock_Log[Part Name],$A28,T_SelfStock_Log[WeekIndex],39))</f>
        <v/>
      </c>
      <c r="AO28" s="12">
        <f>IF(COUNTIFS(T_SelfStock_Log[Part Name],$A28,T_SelfStock_Log[WeekIndex],40)=0,"",SUMIFS(T_SelfStock_Log[Self_Qty],T_SelfStock_Log[Part Name],$A28,T_SelfStock_Log[WeekIndex],40))</f>
        <v/>
      </c>
      <c r="AP28" s="12">
        <f>IF(COUNTIFS(T_SelfStock_Log[Part Name],$A28,T_SelfStock_Log[WeekIndex],41)=0,"",SUMIFS(T_SelfStock_Log[Self_Qty],T_SelfStock_Log[Part Name],$A28,T_SelfStock_Log[WeekIndex],41))</f>
        <v/>
      </c>
      <c r="AQ28" s="12">
        <f>IF(COUNTIFS(T_SelfStock_Log[Part Name],$A28,T_SelfStock_Log[WeekIndex],42)=0,"",SUMIFS(T_SelfStock_Log[Self_Qty],T_SelfStock_Log[Part Name],$A28,T_SelfStock_Log[WeekIndex],42))</f>
        <v/>
      </c>
      <c r="AR28" s="12">
        <f>IF(COUNTIFS(T_SelfStock_Log[Part Name],$A28,T_SelfStock_Log[WeekIndex],43)=0,"",SUMIFS(T_SelfStock_Log[Self_Qty],T_SelfStock_Log[Part Name],$A28,T_SelfStock_Log[WeekIndex],43))</f>
        <v/>
      </c>
      <c r="AS28" s="12">
        <f>IF(COUNTIFS(T_SelfStock_Log[Part Name],$A28,T_SelfStock_Log[WeekIndex],44)=0,"",SUMIFS(T_SelfStock_Log[Self_Qty],T_SelfStock_Log[Part Name],$A28,T_SelfStock_Log[WeekIndex],44))</f>
        <v/>
      </c>
      <c r="AT28" s="12">
        <f>IF(COUNTIFS(T_SelfStock_Log[Part Name],$A28,T_SelfStock_Log[WeekIndex],45)=0,"",SUMIFS(T_SelfStock_Log[Self_Qty],T_SelfStock_Log[Part Name],$A28,T_SelfStock_Log[WeekIndex],45))</f>
        <v/>
      </c>
      <c r="AU28" s="12">
        <f>IF(COUNTIFS(T_SelfStock_Log[Part Name],$A28,T_SelfStock_Log[WeekIndex],46)=0,"",SUMIFS(T_SelfStock_Log[Self_Qty],T_SelfStock_Log[Part Name],$A28,T_SelfStock_Log[WeekIndex],46))</f>
        <v/>
      </c>
      <c r="AV28" s="12">
        <f>IF(COUNTIFS(T_SelfStock_Log[Part Name],$A28,T_SelfStock_Log[WeekIndex],47)=0,"",SUMIFS(T_SelfStock_Log[Self_Qty],T_SelfStock_Log[Part Name],$A28,T_SelfStock_Log[WeekIndex],47))</f>
        <v/>
      </c>
      <c r="AW28" s="12">
        <f>IF(COUNTIFS(T_SelfStock_Log[Part Name],$A28,T_SelfStock_Log[WeekIndex],48)=0,"",SUMIFS(T_SelfStock_Log[Self_Qty],T_SelfStock_Log[Part Name],$A28,T_SelfStock_Log[WeekIndex],48))</f>
        <v/>
      </c>
      <c r="AX28" s="12">
        <f>IF(COUNTIFS(T_SelfStock_Log[Part Name],$A28,T_SelfStock_Log[WeekIndex],49)=0,"",SUMIFS(T_SelfStock_Log[Self_Qty],T_SelfStock_Log[Part Name],$A28,T_SelfStock_Log[WeekIndex],49))</f>
        <v/>
      </c>
      <c r="AY28" s="12">
        <f>IF(COUNTIFS(T_SelfStock_Log[Part Name],$A28,T_SelfStock_Log[WeekIndex],50)=0,"",SUMIFS(T_SelfStock_Log[Self_Qty],T_SelfStock_Log[Part Name],$A28,T_SelfStock_Log[WeekIndex],50))</f>
        <v/>
      </c>
      <c r="AZ28" s="12">
        <f>IF(COUNTIFS(T_SelfStock_Log[Part Name],$A28,T_SelfStock_Log[WeekIndex],51)=0,"",SUMIFS(T_SelfStock_Log[Self_Qty],T_SelfStock_Log[Part Name],$A28,T_SelfStock_Log[WeekIndex],51))</f>
        <v/>
      </c>
      <c r="BA28" s="12">
        <f>IF(COUNTIFS(T_SelfStock_Log[Part Name],$A28,T_SelfStock_Log[WeekIndex],52)=0,"",SUMIFS(T_SelfStock_Log[Self_Qty],T_SelfStock_Log[Part Name],$A28,T_SelfStock_Log[WeekIndex],52))</f>
        <v/>
      </c>
      <c r="BB28" s="12">
        <f>IF(COUNTIFS(T_SelfStock_Log[Part Name],$A28,T_SelfStock_Log[WeekIndex],53)=0,"",SUMIFS(T_SelfStock_Log[Self_Qty],T_SelfStock_Log[Part Name],$A28,T_SelfStock_Log[WeekIndex],53))</f>
        <v/>
      </c>
      <c r="BC28" s="12">
        <f>IF(COUNTIFS(T_SelfStock_Log[Part Name],$A28,T_SelfStock_Log[WeekIndex],54)=0,"",SUMIFS(T_SelfStock_Log[Self_Qty],T_SelfStock_Log[Part Name],$A28,T_SelfStock_Log[WeekIndex],54))</f>
        <v/>
      </c>
      <c r="BD28" s="12">
        <f>IF(COUNTIFS(T_SelfStock_Log[Part Name],$A28,T_SelfStock_Log[WeekIndex],55)=0,"",SUMIFS(T_SelfStock_Log[Self_Qty],T_SelfStock_Log[Part Name],$A28,T_SelfStock_Log[WeekIndex],55))</f>
        <v/>
      </c>
      <c r="BE28" s="12">
        <f>IF(COUNTIFS(T_SelfStock_Log[Part Name],$A28,T_SelfStock_Log[WeekIndex],56)=0,"",SUMIFS(T_SelfStock_Log[Self_Qty],T_SelfStock_Log[Part Name],$A28,T_SelfStock_Log[WeekIndex],56))</f>
        <v/>
      </c>
      <c r="BF28" s="12">
        <f>IF(COUNTIFS(T_SelfStock_Log[Part Name],$A28,T_SelfStock_Log[WeekIndex],57)=0,"",SUMIFS(T_SelfStock_Log[Self_Qty],T_SelfStock_Log[Part Name],$A28,T_SelfStock_Log[WeekIndex],57))</f>
        <v/>
      </c>
      <c r="BG28" s="12">
        <f>IF(COUNTIFS(T_SelfStock_Log[Part Name],$A28,T_SelfStock_Log[WeekIndex],58)=0,"",SUMIFS(T_SelfStock_Log[Self_Qty],T_SelfStock_Log[Part Name],$A28,T_SelfStock_Log[WeekIndex],58))</f>
        <v/>
      </c>
      <c r="BH28" s="12">
        <f>IF(COUNTIFS(T_SelfStock_Log[Part Name],$A28,T_SelfStock_Log[WeekIndex],59)=0,"",SUMIFS(T_SelfStock_Log[Self_Qty],T_SelfStock_Log[Part Name],$A28,T_SelfStock_Log[WeekIndex],59))</f>
        <v/>
      </c>
      <c r="BI28" s="12">
        <f>IF(COUNTIFS(T_SelfStock_Log[Part Name],$A28,T_SelfStock_Log[WeekIndex],60)=0,"",SUMIFS(T_SelfStock_Log[Self_Qty],T_SelfStock_Log[Part Name],$A28,T_SelfStock_Log[WeekIndex],60))</f>
        <v/>
      </c>
      <c r="BJ28" s="12">
        <f>IF(COUNTIFS(T_SelfStock_Log[Part Name],$A28,T_SelfStock_Log[WeekIndex],61)=0,"",SUMIFS(T_SelfStock_Log[Self_Qty],T_SelfStock_Log[Part Name],$A28,T_SelfStock_Log[WeekIndex],61))</f>
        <v/>
      </c>
      <c r="BK28" s="12">
        <f>IF(COUNTIFS(T_SelfStock_Log[Part Name],$A28,T_SelfStock_Log[WeekIndex],62)=0,"",SUMIFS(T_SelfStock_Log[Self_Qty],T_SelfStock_Log[Part Name],$A28,T_SelfStock_Log[WeekIndex],62))</f>
        <v/>
      </c>
      <c r="BL28" s="12">
        <f>IF(COUNTIFS(T_SelfStock_Log[Part Name],$A28,T_SelfStock_Log[WeekIndex],63)=0,"",SUMIFS(T_SelfStock_Log[Self_Qty],T_SelfStock_Log[Part Name],$A28,T_SelfStock_Log[WeekIndex],63))</f>
        <v/>
      </c>
      <c r="BM28" s="12">
        <f>IF(COUNTIFS(T_SelfStock_Log[Part Name],$A28,T_SelfStock_Log[WeekIndex],64)=0,"",SUMIFS(T_SelfStock_Log[Self_Qty],T_SelfStock_Log[Part Name],$A28,T_SelfStock_Log[WeekIndex],64))</f>
        <v/>
      </c>
      <c r="BN28" s="12">
        <f>IF(COUNTIFS(T_SelfStock_Log[Part Name],$A28,T_SelfStock_Log[WeekIndex],65)=0,"",SUMIFS(T_SelfStock_Log[Self_Qty],T_SelfStock_Log[Part Name],$A28,T_SelfStock_Log[WeekIndex],65))</f>
        <v/>
      </c>
      <c r="BO28" s="12">
        <f>IF(COUNTIFS(T_SelfStock_Log[Part Name],$A28,T_SelfStock_Log[WeekIndex],66)=0,"",SUMIFS(T_SelfStock_Log[Self_Qty],T_SelfStock_Log[Part Name],$A28,T_SelfStock_Log[WeekIndex],66))</f>
        <v/>
      </c>
      <c r="BP28" s="12">
        <f>IF(COUNTIFS(T_SelfStock_Log[Part Name],$A28,T_SelfStock_Log[WeekIndex],67)=0,"",SUMIFS(T_SelfStock_Log[Self_Qty],T_SelfStock_Log[Part Name],$A28,T_SelfStock_Log[WeekIndex],67))</f>
        <v/>
      </c>
      <c r="BQ28" s="12">
        <f>IF(COUNTIFS(T_SelfStock_Log[Part Name],$A28,T_SelfStock_Log[WeekIndex],68)=0,"",SUMIFS(T_SelfStock_Log[Self_Qty],T_SelfStock_Log[Part Name],$A28,T_SelfStock_Log[WeekIndex],68))</f>
        <v/>
      </c>
      <c r="BR28" s="12">
        <f>IF(COUNTIFS(T_SelfStock_Log[Part Name],$A28,T_SelfStock_Log[WeekIndex],69)=0,"",SUMIFS(T_SelfStock_Log[Self_Qty],T_SelfStock_Log[Part Name],$A28,T_SelfStock_Log[WeekIndex],69))</f>
        <v/>
      </c>
      <c r="BS28" s="12">
        <f>IF(COUNTIFS(T_SelfStock_Log[Part Name],$A28,T_SelfStock_Log[WeekIndex],70)=0,"",SUMIFS(T_SelfStock_Log[Self_Qty],T_SelfStock_Log[Part Name],$A28,T_SelfStock_Log[WeekIndex],70))</f>
        <v/>
      </c>
      <c r="BT28" s="12">
        <f>IF(COUNTIFS(T_SelfStock_Log[Part Name],$A28,T_SelfStock_Log[WeekIndex],71)=0,"",SUMIFS(T_SelfStock_Log[Self_Qty],T_SelfStock_Log[Part Name],$A28,T_SelfStock_Log[WeekIndex],71))</f>
        <v/>
      </c>
      <c r="BU28" s="12">
        <f>IF(COUNTIFS(T_SelfStock_Log[Part Name],$A28,T_SelfStock_Log[WeekIndex],72)=0,"",SUMIFS(T_SelfStock_Log[Self_Qty],T_SelfStock_Log[Part Name],$A28,T_SelfStock_Log[WeekIndex],72))</f>
        <v/>
      </c>
      <c r="BV28" s="12">
        <f>IF(COUNTIFS(T_SelfStock_Log[Part Name],$A28,T_SelfStock_Log[WeekIndex],73)=0,"",SUMIFS(T_SelfStock_Log[Self_Qty],T_SelfStock_Log[Part Name],$A28,T_SelfStock_Log[WeekIndex],73))</f>
        <v/>
      </c>
      <c r="BW28" s="12">
        <f>IF(COUNTIFS(T_SelfStock_Log[Part Name],$A28,T_SelfStock_Log[WeekIndex],74)=0,"",SUMIFS(T_SelfStock_Log[Self_Qty],T_SelfStock_Log[Part Name],$A28,T_SelfStock_Log[WeekIndex],74))</f>
        <v/>
      </c>
      <c r="BX28" s="12">
        <f>IF(COUNTIFS(T_SelfStock_Log[Part Name],$A28,T_SelfStock_Log[WeekIndex],75)=0,"",SUMIFS(T_SelfStock_Log[Self_Qty],T_SelfStock_Log[Part Name],$A28,T_SelfStock_Log[WeekIndex],75))</f>
        <v/>
      </c>
      <c r="BY28" s="12">
        <f>IF(COUNTIFS(T_SelfStock_Log[Part Name],$A28,T_SelfStock_Log[WeekIndex],76)=0,"",SUMIFS(T_SelfStock_Log[Self_Qty],T_SelfStock_Log[Part Name],$A28,T_SelfStock_Log[WeekIndex],76))</f>
        <v/>
      </c>
      <c r="BZ28" s="12">
        <f>IF(COUNTIFS(T_SelfStock_Log[Part Name],$A28,T_SelfStock_Log[WeekIndex],77)=0,"",SUMIFS(T_SelfStock_Log[Self_Qty],T_SelfStock_Log[Part Name],$A28,T_SelfStock_Log[WeekIndex],77))</f>
        <v/>
      </c>
      <c r="CA28" s="12">
        <f>IF(COUNTIFS(T_SelfStock_Log[Part Name],$A28,T_SelfStock_Log[WeekIndex],78)=0,"",SUMIFS(T_SelfStock_Log[Self_Qty],T_SelfStock_Log[Part Name],$A28,T_SelfStock_Log[WeekIndex],78))</f>
        <v/>
      </c>
      <c r="CB28" s="12">
        <f>IF(COUNTIFS(T_SelfStock_Log[Part Name],$A28,T_SelfStock_Log[WeekIndex],79)=0,"",SUMIFS(T_SelfStock_Log[Self_Qty],T_SelfStock_Log[Part Name],$A28,T_SelfStock_Log[WeekIndex],79))</f>
        <v/>
      </c>
      <c r="CC28" s="12">
        <f>IF(COUNTIFS(T_SelfStock_Log[Part Name],$A28,T_SelfStock_Log[WeekIndex],80)=0,"",SUMIFS(T_SelfStock_Log[Self_Qty],T_SelfStock_Log[Part Name],$A28,T_SelfStock_Log[WeekIndex],80))</f>
        <v/>
      </c>
      <c r="CD28" s="12">
        <f>IF(COUNTIFS(T_SelfStock_Log[Part Name],$A28,T_SelfStock_Log[WeekIndex],81)=0,"",SUMIFS(T_SelfStock_Log[Self_Qty],T_SelfStock_Log[Part Name],$A28,T_SelfStock_Log[WeekIndex],81))</f>
        <v/>
      </c>
      <c r="CE28" s="12">
        <f>IF(COUNTIFS(T_SelfStock_Log[Part Name],$A28,T_SelfStock_Log[WeekIndex],82)=0,"",SUMIFS(T_SelfStock_Log[Self_Qty],T_SelfStock_Log[Part Name],$A28,T_SelfStock_Log[WeekIndex],82))</f>
        <v/>
      </c>
      <c r="CF28" s="12">
        <f>IF(COUNTIFS(T_SelfStock_Log[Part Name],$A28,T_SelfStock_Log[WeekIndex],83)=0,"",SUMIFS(T_SelfStock_Log[Self_Qty],T_SelfStock_Log[Part Name],$A28,T_SelfStock_Log[WeekIndex],83))</f>
        <v/>
      </c>
      <c r="CG28" s="12">
        <f>IF(COUNTIFS(T_SelfStock_Log[Part Name],$A28,T_SelfStock_Log[WeekIndex],84)=0,"",SUMIFS(T_SelfStock_Log[Self_Qty],T_SelfStock_Log[Part Name],$A28,T_SelfStock_Log[WeekIndex],84))</f>
        <v/>
      </c>
      <c r="CH28" s="12">
        <f>IF(COUNTIFS(T_SelfStock_Log[Part Name],$A28,T_SelfStock_Log[WeekIndex],85)=0,"",SUMIFS(T_SelfStock_Log[Self_Qty],T_SelfStock_Log[Part Name],$A28,T_SelfStock_Log[WeekIndex],85))</f>
        <v/>
      </c>
      <c r="CI28" s="12">
        <f>IF(COUNTIFS(T_SelfStock_Log[Part Name],$A28,T_SelfStock_Log[WeekIndex],86)=0,"",SUMIFS(T_SelfStock_Log[Self_Qty],T_SelfStock_Log[Part Name],$A28,T_SelfStock_Log[WeekIndex],86))</f>
        <v/>
      </c>
      <c r="CJ28" s="12">
        <f>IF(COUNTIFS(T_SelfStock_Log[Part Name],$A28,T_SelfStock_Log[WeekIndex],87)=0,"",SUMIFS(T_SelfStock_Log[Self_Qty],T_SelfStock_Log[Part Name],$A28,T_SelfStock_Log[WeekIndex],87))</f>
        <v/>
      </c>
      <c r="CK28" s="12">
        <f>IF(COUNTIFS(T_SelfStock_Log[Part Name],$A28,T_SelfStock_Log[WeekIndex],88)=0,"",SUMIFS(T_SelfStock_Log[Self_Qty],T_SelfStock_Log[Part Name],$A28,T_SelfStock_Log[WeekIndex],88))</f>
        <v/>
      </c>
      <c r="CL28" s="12">
        <f>IF(COUNTIFS(T_SelfStock_Log[Part Name],$A28,T_SelfStock_Log[WeekIndex],89)=0,"",SUMIFS(T_SelfStock_Log[Self_Qty],T_SelfStock_Log[Part Name],$A28,T_SelfStock_Log[WeekIndex],89))</f>
        <v/>
      </c>
      <c r="CM28" s="12">
        <f>IF(COUNTIFS(T_SelfStock_Log[Part Name],$A28,T_SelfStock_Log[WeekIndex],90)=0,"",SUMIFS(T_SelfStock_Log[Self_Qty],T_SelfStock_Log[Part Name],$A28,T_SelfStock_Log[WeekIndex],90))</f>
        <v/>
      </c>
      <c r="CN28" s="12">
        <f>IF(COUNTIFS(T_SelfStock_Log[Part Name],$A28,T_SelfStock_Log[WeekIndex],91)=0,"",SUMIFS(T_SelfStock_Log[Self_Qty],T_SelfStock_Log[Part Name],$A28,T_SelfStock_Log[WeekIndex],91))</f>
        <v/>
      </c>
      <c r="CO28" s="12">
        <f>IF(COUNTIFS(T_SelfStock_Log[Part Name],$A28,T_SelfStock_Log[WeekIndex],92)=0,"",SUMIFS(T_SelfStock_Log[Self_Qty],T_SelfStock_Log[Part Name],$A28,T_SelfStock_Log[WeekIndex],92))</f>
        <v/>
      </c>
      <c r="CP28" s="12">
        <f>IF(COUNTIFS(T_SelfStock_Log[Part Name],$A28,T_SelfStock_Log[WeekIndex],93)=0,"",SUMIFS(T_SelfStock_Log[Self_Qty],T_SelfStock_Log[Part Name],$A28,T_SelfStock_Log[WeekIndex],93))</f>
        <v/>
      </c>
      <c r="CQ28" s="12">
        <f>IF(COUNTIFS(T_SelfStock_Log[Part Name],$A28,T_SelfStock_Log[WeekIndex],94)=0,"",SUMIFS(T_SelfStock_Log[Self_Qty],T_SelfStock_Log[Part Name],$A28,T_SelfStock_Log[WeekIndex],94))</f>
        <v/>
      </c>
      <c r="CR28" s="12">
        <f>IF(COUNTIFS(T_SelfStock_Log[Part Name],$A28,T_SelfStock_Log[WeekIndex],95)=0,"",SUMIFS(T_SelfStock_Log[Self_Qty],T_SelfStock_Log[Part Name],$A28,T_SelfStock_Log[WeekIndex],95))</f>
        <v/>
      </c>
      <c r="CS28" s="12">
        <f>IF(COUNTIFS(T_SelfStock_Log[Part Name],$A28,T_SelfStock_Log[WeekIndex],96)=0,"",SUMIFS(T_SelfStock_Log[Self_Qty],T_SelfStock_Log[Part Name],$A28,T_SelfStock_Log[WeekIndex],96))</f>
        <v/>
      </c>
      <c r="CT28" s="12">
        <f>IF(COUNTIFS(T_SelfStock_Log[Part Name],$A28,T_SelfStock_Log[WeekIndex],97)=0,"",SUMIFS(T_SelfStock_Log[Self_Qty],T_SelfStock_Log[Part Name],$A28,T_SelfStock_Log[WeekIndex],97))</f>
        <v/>
      </c>
      <c r="CU28" s="12">
        <f>IF(COUNTIFS(T_SelfStock_Log[Part Name],$A28,T_SelfStock_Log[WeekIndex],98)=0,"",SUMIFS(T_SelfStock_Log[Self_Qty],T_SelfStock_Log[Part Name],$A28,T_SelfStock_Log[WeekIndex],98))</f>
        <v/>
      </c>
      <c r="CV28" s="12">
        <f>IF(COUNTIFS(T_SelfStock_Log[Part Name],$A28,T_SelfStock_Log[WeekIndex],99)=0,"",SUMIFS(T_SelfStock_Log[Self_Qty],T_SelfStock_Log[Part Name],$A28,T_SelfStock_Log[WeekIndex],99))</f>
        <v/>
      </c>
      <c r="CW28" s="12">
        <f>IF(COUNTIFS(T_SelfStock_Log[Part Name],$A28,T_SelfStock_Log[WeekIndex],100)=0,"",SUMIFS(T_SelfStock_Log[Self_Qty],T_SelfStock_Log[Part Name],$A28,T_SelfStock_Log[WeekIndex],100))</f>
        <v/>
      </c>
      <c r="CX28" s="12">
        <f>IF(COUNTIFS(T_SelfStock_Log[Part Name],$A28,T_SelfStock_Log[WeekIndex],101)=0,"",SUMIFS(T_SelfStock_Log[Self_Qty],T_SelfStock_Log[Part Name],$A28,T_SelfStock_Log[WeekIndex],101))</f>
        <v/>
      </c>
      <c r="CY28" s="12">
        <f>IF(COUNTIFS(T_SelfStock_Log[Part Name],$A28,T_SelfStock_Log[WeekIndex],102)=0,"",SUMIFS(T_SelfStock_Log[Self_Qty],T_SelfStock_Log[Part Name],$A28,T_SelfStock_Log[WeekIndex],102))</f>
        <v/>
      </c>
      <c r="CZ28" s="12">
        <f>IF(COUNTIFS(T_SelfStock_Log[Part Name],$A28,T_SelfStock_Log[WeekIndex],103)=0,"",SUMIFS(T_SelfStock_Log[Self_Qty],T_SelfStock_Log[Part Name],$A28,T_SelfStock_Log[WeekIndex],103))</f>
        <v/>
      </c>
      <c r="DA28" s="12">
        <f>IF(COUNTIFS(T_SelfStock_Log[Part Name],$A28,T_SelfStock_Log[WeekIndex],104)=0,"",SUMIFS(T_SelfStock_Log[Self_Qty],T_SelfStock_Log[Part Name],$A28,T_SelfStock_Log[WeekIndex],104))</f>
        <v/>
      </c>
    </row>
    <row r="29">
      <c r="A29" s="13" t="inlineStr">
        <is>
          <t>CHEM-1200</t>
        </is>
      </c>
      <c r="B29" s="13">
        <f>IF(COUNTIFS(T_SelfStock_Log[Part Name],$A29,T_SelfStock_Log[WeekIndex],1)=0,"",SUMIFS(T_SelfStock_Log[Self_Qty],T_SelfStock_Log[Part Name],$A29,T_SelfStock_Log[WeekIndex],1))</f>
        <v/>
      </c>
      <c r="C29" s="13">
        <f>IF(COUNTIFS(T_SelfStock_Log[Part Name],$A29,T_SelfStock_Log[WeekIndex],2)=0,"",SUMIFS(T_SelfStock_Log[Self_Qty],T_SelfStock_Log[Part Name],$A29,T_SelfStock_Log[WeekIndex],2))</f>
        <v/>
      </c>
      <c r="D29" s="13">
        <f>IF(COUNTIFS(T_SelfStock_Log[Part Name],$A29,T_SelfStock_Log[WeekIndex],3)=0,"",SUMIFS(T_SelfStock_Log[Self_Qty],T_SelfStock_Log[Part Name],$A29,T_SelfStock_Log[WeekIndex],3))</f>
        <v/>
      </c>
      <c r="E29" s="13">
        <f>IF(COUNTIFS(T_SelfStock_Log[Part Name],$A29,T_SelfStock_Log[WeekIndex],4)=0,"",SUMIFS(T_SelfStock_Log[Self_Qty],T_SelfStock_Log[Part Name],$A29,T_SelfStock_Log[WeekIndex],4))</f>
        <v/>
      </c>
      <c r="F29" s="13">
        <f>IF(COUNTIFS(T_SelfStock_Log[Part Name],$A29,T_SelfStock_Log[WeekIndex],5)=0,"",SUMIFS(T_SelfStock_Log[Self_Qty],T_SelfStock_Log[Part Name],$A29,T_SelfStock_Log[WeekIndex],5))</f>
        <v/>
      </c>
      <c r="G29" s="13">
        <f>IF(COUNTIFS(T_SelfStock_Log[Part Name],$A29,T_SelfStock_Log[WeekIndex],6)=0,"",SUMIFS(T_SelfStock_Log[Self_Qty],T_SelfStock_Log[Part Name],$A29,T_SelfStock_Log[WeekIndex],6))</f>
        <v/>
      </c>
      <c r="H29" s="13">
        <f>IF(COUNTIFS(T_SelfStock_Log[Part Name],$A29,T_SelfStock_Log[WeekIndex],7)=0,"",SUMIFS(T_SelfStock_Log[Self_Qty],T_SelfStock_Log[Part Name],$A29,T_SelfStock_Log[WeekIndex],7))</f>
        <v/>
      </c>
      <c r="I29" s="13">
        <f>IF(COUNTIFS(T_SelfStock_Log[Part Name],$A29,T_SelfStock_Log[WeekIndex],8)=0,"",SUMIFS(T_SelfStock_Log[Self_Qty],T_SelfStock_Log[Part Name],$A29,T_SelfStock_Log[WeekIndex],8))</f>
        <v/>
      </c>
      <c r="J29" s="13">
        <f>IF(COUNTIFS(T_SelfStock_Log[Part Name],$A29,T_SelfStock_Log[WeekIndex],9)=0,"",SUMIFS(T_SelfStock_Log[Self_Qty],T_SelfStock_Log[Part Name],$A29,T_SelfStock_Log[WeekIndex],9))</f>
        <v/>
      </c>
      <c r="K29" s="13">
        <f>IF(COUNTIFS(T_SelfStock_Log[Part Name],$A29,T_SelfStock_Log[WeekIndex],10)=0,"",SUMIFS(T_SelfStock_Log[Self_Qty],T_SelfStock_Log[Part Name],$A29,T_SelfStock_Log[WeekIndex],10))</f>
        <v/>
      </c>
      <c r="L29" s="13">
        <f>IF(COUNTIFS(T_SelfStock_Log[Part Name],$A29,T_SelfStock_Log[WeekIndex],11)=0,"",SUMIFS(T_SelfStock_Log[Self_Qty],T_SelfStock_Log[Part Name],$A29,T_SelfStock_Log[WeekIndex],11))</f>
        <v/>
      </c>
      <c r="M29" s="13">
        <f>IF(COUNTIFS(T_SelfStock_Log[Part Name],$A29,T_SelfStock_Log[WeekIndex],12)=0,"",SUMIFS(T_SelfStock_Log[Self_Qty],T_SelfStock_Log[Part Name],$A29,T_SelfStock_Log[WeekIndex],12))</f>
        <v/>
      </c>
      <c r="N29" s="13">
        <f>IF(COUNTIFS(T_SelfStock_Log[Part Name],$A29,T_SelfStock_Log[WeekIndex],13)=0,"",SUMIFS(T_SelfStock_Log[Self_Qty],T_SelfStock_Log[Part Name],$A29,T_SelfStock_Log[WeekIndex],13))</f>
        <v/>
      </c>
      <c r="O29" s="13">
        <f>IF(COUNTIFS(T_SelfStock_Log[Part Name],$A29,T_SelfStock_Log[WeekIndex],14)=0,"",SUMIFS(T_SelfStock_Log[Self_Qty],T_SelfStock_Log[Part Name],$A29,T_SelfStock_Log[WeekIndex],14))</f>
        <v/>
      </c>
      <c r="P29" s="13">
        <f>IF(COUNTIFS(T_SelfStock_Log[Part Name],$A29,T_SelfStock_Log[WeekIndex],15)=0,"",SUMIFS(T_SelfStock_Log[Self_Qty],T_SelfStock_Log[Part Name],$A29,T_SelfStock_Log[WeekIndex],15))</f>
        <v/>
      </c>
      <c r="Q29" s="13">
        <f>IF(COUNTIFS(T_SelfStock_Log[Part Name],$A29,T_SelfStock_Log[WeekIndex],16)=0,"",SUMIFS(T_SelfStock_Log[Self_Qty],T_SelfStock_Log[Part Name],$A29,T_SelfStock_Log[WeekIndex],16))</f>
        <v/>
      </c>
      <c r="R29" s="13">
        <f>IF(COUNTIFS(T_SelfStock_Log[Part Name],$A29,T_SelfStock_Log[WeekIndex],17)=0,"",SUMIFS(T_SelfStock_Log[Self_Qty],T_SelfStock_Log[Part Name],$A29,T_SelfStock_Log[WeekIndex],17))</f>
        <v/>
      </c>
      <c r="S29" s="13">
        <f>IF(COUNTIFS(T_SelfStock_Log[Part Name],$A29,T_SelfStock_Log[WeekIndex],18)=0,"",SUMIFS(T_SelfStock_Log[Self_Qty],T_SelfStock_Log[Part Name],$A29,T_SelfStock_Log[WeekIndex],18))</f>
        <v/>
      </c>
      <c r="T29" s="13">
        <f>IF(COUNTIFS(T_SelfStock_Log[Part Name],$A29,T_SelfStock_Log[WeekIndex],19)=0,"",SUMIFS(T_SelfStock_Log[Self_Qty],T_SelfStock_Log[Part Name],$A29,T_SelfStock_Log[WeekIndex],19))</f>
        <v/>
      </c>
      <c r="U29" s="13">
        <f>IF(COUNTIFS(T_SelfStock_Log[Part Name],$A29,T_SelfStock_Log[WeekIndex],20)=0,"",SUMIFS(T_SelfStock_Log[Self_Qty],T_SelfStock_Log[Part Name],$A29,T_SelfStock_Log[WeekIndex],20))</f>
        <v/>
      </c>
      <c r="V29" s="13">
        <f>IF(COUNTIFS(T_SelfStock_Log[Part Name],$A29,T_SelfStock_Log[WeekIndex],21)=0,"",SUMIFS(T_SelfStock_Log[Self_Qty],T_SelfStock_Log[Part Name],$A29,T_SelfStock_Log[WeekIndex],21))</f>
        <v/>
      </c>
      <c r="W29" s="13">
        <f>IF(COUNTIFS(T_SelfStock_Log[Part Name],$A29,T_SelfStock_Log[WeekIndex],22)=0,"",SUMIFS(T_SelfStock_Log[Self_Qty],T_SelfStock_Log[Part Name],$A29,T_SelfStock_Log[WeekIndex],22))</f>
        <v/>
      </c>
      <c r="X29" s="13">
        <f>IF(COUNTIFS(T_SelfStock_Log[Part Name],$A29,T_SelfStock_Log[WeekIndex],23)=0,"",SUMIFS(T_SelfStock_Log[Self_Qty],T_SelfStock_Log[Part Name],$A29,T_SelfStock_Log[WeekIndex],23))</f>
        <v/>
      </c>
      <c r="Y29" s="13">
        <f>IF(COUNTIFS(T_SelfStock_Log[Part Name],$A29,T_SelfStock_Log[WeekIndex],24)=0,"",SUMIFS(T_SelfStock_Log[Self_Qty],T_SelfStock_Log[Part Name],$A29,T_SelfStock_Log[WeekIndex],24))</f>
        <v/>
      </c>
      <c r="Z29" s="13">
        <f>IF(COUNTIFS(T_SelfStock_Log[Part Name],$A29,T_SelfStock_Log[WeekIndex],25)=0,"",SUMIFS(T_SelfStock_Log[Self_Qty],T_SelfStock_Log[Part Name],$A29,T_SelfStock_Log[WeekIndex],25))</f>
        <v/>
      </c>
      <c r="AA29" s="13">
        <f>IF(COUNTIFS(T_SelfStock_Log[Part Name],$A29,T_SelfStock_Log[WeekIndex],26)=0,"",SUMIFS(T_SelfStock_Log[Self_Qty],T_SelfStock_Log[Part Name],$A29,T_SelfStock_Log[WeekIndex],26))</f>
        <v/>
      </c>
      <c r="AB29" s="13">
        <f>IF(COUNTIFS(T_SelfStock_Log[Part Name],$A29,T_SelfStock_Log[WeekIndex],27)=0,"",SUMIFS(T_SelfStock_Log[Self_Qty],T_SelfStock_Log[Part Name],$A29,T_SelfStock_Log[WeekIndex],27))</f>
        <v/>
      </c>
      <c r="AC29" s="13">
        <f>IF(COUNTIFS(T_SelfStock_Log[Part Name],$A29,T_SelfStock_Log[WeekIndex],28)=0,"",SUMIFS(T_SelfStock_Log[Self_Qty],T_SelfStock_Log[Part Name],$A29,T_SelfStock_Log[WeekIndex],28))</f>
        <v/>
      </c>
      <c r="AD29" s="13">
        <f>IF(COUNTIFS(T_SelfStock_Log[Part Name],$A29,T_SelfStock_Log[WeekIndex],29)=0,"",SUMIFS(T_SelfStock_Log[Self_Qty],T_SelfStock_Log[Part Name],$A29,T_SelfStock_Log[WeekIndex],29))</f>
        <v/>
      </c>
      <c r="AE29" s="13">
        <f>IF(COUNTIFS(T_SelfStock_Log[Part Name],$A29,T_SelfStock_Log[WeekIndex],30)=0,"",SUMIFS(T_SelfStock_Log[Self_Qty],T_SelfStock_Log[Part Name],$A29,T_SelfStock_Log[WeekIndex],30))</f>
        <v/>
      </c>
      <c r="AF29" s="13">
        <f>IF(COUNTIFS(T_SelfStock_Log[Part Name],$A29,T_SelfStock_Log[WeekIndex],31)=0,"",SUMIFS(T_SelfStock_Log[Self_Qty],T_SelfStock_Log[Part Name],$A29,T_SelfStock_Log[WeekIndex],31))</f>
        <v/>
      </c>
      <c r="AG29" s="13">
        <f>IF(COUNTIFS(T_SelfStock_Log[Part Name],$A29,T_SelfStock_Log[WeekIndex],32)=0,"",SUMIFS(T_SelfStock_Log[Self_Qty],T_SelfStock_Log[Part Name],$A29,T_SelfStock_Log[WeekIndex],32))</f>
        <v/>
      </c>
      <c r="AH29" s="13">
        <f>IF(COUNTIFS(T_SelfStock_Log[Part Name],$A29,T_SelfStock_Log[WeekIndex],33)=0,"",SUMIFS(T_SelfStock_Log[Self_Qty],T_SelfStock_Log[Part Name],$A29,T_SelfStock_Log[WeekIndex],33))</f>
        <v/>
      </c>
      <c r="AI29" s="13">
        <f>IF(COUNTIFS(T_SelfStock_Log[Part Name],$A29,T_SelfStock_Log[WeekIndex],34)=0,"",SUMIFS(T_SelfStock_Log[Self_Qty],T_SelfStock_Log[Part Name],$A29,T_SelfStock_Log[WeekIndex],34))</f>
        <v/>
      </c>
      <c r="AJ29" s="13">
        <f>IF(COUNTIFS(T_SelfStock_Log[Part Name],$A29,T_SelfStock_Log[WeekIndex],35)=0,"",SUMIFS(T_SelfStock_Log[Self_Qty],T_SelfStock_Log[Part Name],$A29,T_SelfStock_Log[WeekIndex],35))</f>
        <v/>
      </c>
      <c r="AK29" s="13">
        <f>IF(COUNTIFS(T_SelfStock_Log[Part Name],$A29,T_SelfStock_Log[WeekIndex],36)=0,"",SUMIFS(T_SelfStock_Log[Self_Qty],T_SelfStock_Log[Part Name],$A29,T_SelfStock_Log[WeekIndex],36))</f>
        <v/>
      </c>
      <c r="AL29" s="13">
        <f>IF(COUNTIFS(T_SelfStock_Log[Part Name],$A29,T_SelfStock_Log[WeekIndex],37)=0,"",SUMIFS(T_SelfStock_Log[Self_Qty],T_SelfStock_Log[Part Name],$A29,T_SelfStock_Log[WeekIndex],37))</f>
        <v/>
      </c>
      <c r="AM29" s="13">
        <f>IF(COUNTIFS(T_SelfStock_Log[Part Name],$A29,T_SelfStock_Log[WeekIndex],38)=0,"",SUMIFS(T_SelfStock_Log[Self_Qty],T_SelfStock_Log[Part Name],$A29,T_SelfStock_Log[WeekIndex],38))</f>
        <v/>
      </c>
      <c r="AN29" s="13">
        <f>IF(COUNTIFS(T_SelfStock_Log[Part Name],$A29,T_SelfStock_Log[WeekIndex],39)=0,"",SUMIFS(T_SelfStock_Log[Self_Qty],T_SelfStock_Log[Part Name],$A29,T_SelfStock_Log[WeekIndex],39))</f>
        <v/>
      </c>
      <c r="AO29" s="13">
        <f>IF(COUNTIFS(T_SelfStock_Log[Part Name],$A29,T_SelfStock_Log[WeekIndex],40)=0,"",SUMIFS(T_SelfStock_Log[Self_Qty],T_SelfStock_Log[Part Name],$A29,T_SelfStock_Log[WeekIndex],40))</f>
        <v/>
      </c>
      <c r="AP29" s="13">
        <f>IF(COUNTIFS(T_SelfStock_Log[Part Name],$A29,T_SelfStock_Log[WeekIndex],41)=0,"",SUMIFS(T_SelfStock_Log[Self_Qty],T_SelfStock_Log[Part Name],$A29,T_SelfStock_Log[WeekIndex],41))</f>
        <v/>
      </c>
      <c r="AQ29" s="13">
        <f>IF(COUNTIFS(T_SelfStock_Log[Part Name],$A29,T_SelfStock_Log[WeekIndex],42)=0,"",SUMIFS(T_SelfStock_Log[Self_Qty],T_SelfStock_Log[Part Name],$A29,T_SelfStock_Log[WeekIndex],42))</f>
        <v/>
      </c>
      <c r="AR29" s="13">
        <f>IF(COUNTIFS(T_SelfStock_Log[Part Name],$A29,T_SelfStock_Log[WeekIndex],43)=0,"",SUMIFS(T_SelfStock_Log[Self_Qty],T_SelfStock_Log[Part Name],$A29,T_SelfStock_Log[WeekIndex],43))</f>
        <v/>
      </c>
      <c r="AS29" s="13">
        <f>IF(COUNTIFS(T_SelfStock_Log[Part Name],$A29,T_SelfStock_Log[WeekIndex],44)=0,"",SUMIFS(T_SelfStock_Log[Self_Qty],T_SelfStock_Log[Part Name],$A29,T_SelfStock_Log[WeekIndex],44))</f>
        <v/>
      </c>
      <c r="AT29" s="13">
        <f>IF(COUNTIFS(T_SelfStock_Log[Part Name],$A29,T_SelfStock_Log[WeekIndex],45)=0,"",SUMIFS(T_SelfStock_Log[Self_Qty],T_SelfStock_Log[Part Name],$A29,T_SelfStock_Log[WeekIndex],45))</f>
        <v/>
      </c>
      <c r="AU29" s="13">
        <f>IF(COUNTIFS(T_SelfStock_Log[Part Name],$A29,T_SelfStock_Log[WeekIndex],46)=0,"",SUMIFS(T_SelfStock_Log[Self_Qty],T_SelfStock_Log[Part Name],$A29,T_SelfStock_Log[WeekIndex],46))</f>
        <v/>
      </c>
      <c r="AV29" s="13">
        <f>IF(COUNTIFS(T_SelfStock_Log[Part Name],$A29,T_SelfStock_Log[WeekIndex],47)=0,"",SUMIFS(T_SelfStock_Log[Self_Qty],T_SelfStock_Log[Part Name],$A29,T_SelfStock_Log[WeekIndex],47))</f>
        <v/>
      </c>
      <c r="AW29" s="13">
        <f>IF(COUNTIFS(T_SelfStock_Log[Part Name],$A29,T_SelfStock_Log[WeekIndex],48)=0,"",SUMIFS(T_SelfStock_Log[Self_Qty],T_SelfStock_Log[Part Name],$A29,T_SelfStock_Log[WeekIndex],48))</f>
        <v/>
      </c>
      <c r="AX29" s="13">
        <f>IF(COUNTIFS(T_SelfStock_Log[Part Name],$A29,T_SelfStock_Log[WeekIndex],49)=0,"",SUMIFS(T_SelfStock_Log[Self_Qty],T_SelfStock_Log[Part Name],$A29,T_SelfStock_Log[WeekIndex],49))</f>
        <v/>
      </c>
      <c r="AY29" s="13">
        <f>IF(COUNTIFS(T_SelfStock_Log[Part Name],$A29,T_SelfStock_Log[WeekIndex],50)=0,"",SUMIFS(T_SelfStock_Log[Self_Qty],T_SelfStock_Log[Part Name],$A29,T_SelfStock_Log[WeekIndex],50))</f>
        <v/>
      </c>
      <c r="AZ29" s="13">
        <f>IF(COUNTIFS(T_SelfStock_Log[Part Name],$A29,T_SelfStock_Log[WeekIndex],51)=0,"",SUMIFS(T_SelfStock_Log[Self_Qty],T_SelfStock_Log[Part Name],$A29,T_SelfStock_Log[WeekIndex],51))</f>
        <v/>
      </c>
      <c r="BA29" s="13">
        <f>IF(COUNTIFS(T_SelfStock_Log[Part Name],$A29,T_SelfStock_Log[WeekIndex],52)=0,"",SUMIFS(T_SelfStock_Log[Self_Qty],T_SelfStock_Log[Part Name],$A29,T_SelfStock_Log[WeekIndex],52))</f>
        <v/>
      </c>
      <c r="BB29" s="13">
        <f>IF(COUNTIFS(T_SelfStock_Log[Part Name],$A29,T_SelfStock_Log[WeekIndex],53)=0,"",SUMIFS(T_SelfStock_Log[Self_Qty],T_SelfStock_Log[Part Name],$A29,T_SelfStock_Log[WeekIndex],53))</f>
        <v/>
      </c>
      <c r="BC29" s="13">
        <f>IF(COUNTIFS(T_SelfStock_Log[Part Name],$A29,T_SelfStock_Log[WeekIndex],54)=0,"",SUMIFS(T_SelfStock_Log[Self_Qty],T_SelfStock_Log[Part Name],$A29,T_SelfStock_Log[WeekIndex],54))</f>
        <v/>
      </c>
      <c r="BD29" s="13">
        <f>IF(COUNTIFS(T_SelfStock_Log[Part Name],$A29,T_SelfStock_Log[WeekIndex],55)=0,"",SUMIFS(T_SelfStock_Log[Self_Qty],T_SelfStock_Log[Part Name],$A29,T_SelfStock_Log[WeekIndex],55))</f>
        <v/>
      </c>
      <c r="BE29" s="13">
        <f>IF(COUNTIFS(T_SelfStock_Log[Part Name],$A29,T_SelfStock_Log[WeekIndex],56)=0,"",SUMIFS(T_SelfStock_Log[Self_Qty],T_SelfStock_Log[Part Name],$A29,T_SelfStock_Log[WeekIndex],56))</f>
        <v/>
      </c>
      <c r="BF29" s="13">
        <f>IF(COUNTIFS(T_SelfStock_Log[Part Name],$A29,T_SelfStock_Log[WeekIndex],57)=0,"",SUMIFS(T_SelfStock_Log[Self_Qty],T_SelfStock_Log[Part Name],$A29,T_SelfStock_Log[WeekIndex],57))</f>
        <v/>
      </c>
      <c r="BG29" s="13">
        <f>IF(COUNTIFS(T_SelfStock_Log[Part Name],$A29,T_SelfStock_Log[WeekIndex],58)=0,"",SUMIFS(T_SelfStock_Log[Self_Qty],T_SelfStock_Log[Part Name],$A29,T_SelfStock_Log[WeekIndex],58))</f>
        <v/>
      </c>
      <c r="BH29" s="13">
        <f>IF(COUNTIFS(T_SelfStock_Log[Part Name],$A29,T_SelfStock_Log[WeekIndex],59)=0,"",SUMIFS(T_SelfStock_Log[Self_Qty],T_SelfStock_Log[Part Name],$A29,T_SelfStock_Log[WeekIndex],59))</f>
        <v/>
      </c>
      <c r="BI29" s="13">
        <f>IF(COUNTIFS(T_SelfStock_Log[Part Name],$A29,T_SelfStock_Log[WeekIndex],60)=0,"",SUMIFS(T_SelfStock_Log[Self_Qty],T_SelfStock_Log[Part Name],$A29,T_SelfStock_Log[WeekIndex],60))</f>
        <v/>
      </c>
      <c r="BJ29" s="13">
        <f>IF(COUNTIFS(T_SelfStock_Log[Part Name],$A29,T_SelfStock_Log[WeekIndex],61)=0,"",SUMIFS(T_SelfStock_Log[Self_Qty],T_SelfStock_Log[Part Name],$A29,T_SelfStock_Log[WeekIndex],61))</f>
        <v/>
      </c>
      <c r="BK29" s="13">
        <f>IF(COUNTIFS(T_SelfStock_Log[Part Name],$A29,T_SelfStock_Log[WeekIndex],62)=0,"",SUMIFS(T_SelfStock_Log[Self_Qty],T_SelfStock_Log[Part Name],$A29,T_SelfStock_Log[WeekIndex],62))</f>
        <v/>
      </c>
      <c r="BL29" s="13">
        <f>IF(COUNTIFS(T_SelfStock_Log[Part Name],$A29,T_SelfStock_Log[WeekIndex],63)=0,"",SUMIFS(T_SelfStock_Log[Self_Qty],T_SelfStock_Log[Part Name],$A29,T_SelfStock_Log[WeekIndex],63))</f>
        <v/>
      </c>
      <c r="BM29" s="13">
        <f>IF(COUNTIFS(T_SelfStock_Log[Part Name],$A29,T_SelfStock_Log[WeekIndex],64)=0,"",SUMIFS(T_SelfStock_Log[Self_Qty],T_SelfStock_Log[Part Name],$A29,T_SelfStock_Log[WeekIndex],64))</f>
        <v/>
      </c>
      <c r="BN29" s="13">
        <f>IF(COUNTIFS(T_SelfStock_Log[Part Name],$A29,T_SelfStock_Log[WeekIndex],65)=0,"",SUMIFS(T_SelfStock_Log[Self_Qty],T_SelfStock_Log[Part Name],$A29,T_SelfStock_Log[WeekIndex],65))</f>
        <v/>
      </c>
      <c r="BO29" s="13">
        <f>IF(COUNTIFS(T_SelfStock_Log[Part Name],$A29,T_SelfStock_Log[WeekIndex],66)=0,"",SUMIFS(T_SelfStock_Log[Self_Qty],T_SelfStock_Log[Part Name],$A29,T_SelfStock_Log[WeekIndex],66))</f>
        <v/>
      </c>
      <c r="BP29" s="13">
        <f>IF(COUNTIFS(T_SelfStock_Log[Part Name],$A29,T_SelfStock_Log[WeekIndex],67)=0,"",SUMIFS(T_SelfStock_Log[Self_Qty],T_SelfStock_Log[Part Name],$A29,T_SelfStock_Log[WeekIndex],67))</f>
        <v/>
      </c>
      <c r="BQ29" s="13">
        <f>IF(COUNTIFS(T_SelfStock_Log[Part Name],$A29,T_SelfStock_Log[WeekIndex],68)=0,"",SUMIFS(T_SelfStock_Log[Self_Qty],T_SelfStock_Log[Part Name],$A29,T_SelfStock_Log[WeekIndex],68))</f>
        <v/>
      </c>
      <c r="BR29" s="13">
        <f>IF(COUNTIFS(T_SelfStock_Log[Part Name],$A29,T_SelfStock_Log[WeekIndex],69)=0,"",SUMIFS(T_SelfStock_Log[Self_Qty],T_SelfStock_Log[Part Name],$A29,T_SelfStock_Log[WeekIndex],69))</f>
        <v/>
      </c>
      <c r="BS29" s="13">
        <f>IF(COUNTIFS(T_SelfStock_Log[Part Name],$A29,T_SelfStock_Log[WeekIndex],70)=0,"",SUMIFS(T_SelfStock_Log[Self_Qty],T_SelfStock_Log[Part Name],$A29,T_SelfStock_Log[WeekIndex],70))</f>
        <v/>
      </c>
      <c r="BT29" s="13">
        <f>IF(COUNTIFS(T_SelfStock_Log[Part Name],$A29,T_SelfStock_Log[WeekIndex],71)=0,"",SUMIFS(T_SelfStock_Log[Self_Qty],T_SelfStock_Log[Part Name],$A29,T_SelfStock_Log[WeekIndex],71))</f>
        <v/>
      </c>
      <c r="BU29" s="13">
        <f>IF(COUNTIFS(T_SelfStock_Log[Part Name],$A29,T_SelfStock_Log[WeekIndex],72)=0,"",SUMIFS(T_SelfStock_Log[Self_Qty],T_SelfStock_Log[Part Name],$A29,T_SelfStock_Log[WeekIndex],72))</f>
        <v/>
      </c>
      <c r="BV29" s="13">
        <f>IF(COUNTIFS(T_SelfStock_Log[Part Name],$A29,T_SelfStock_Log[WeekIndex],73)=0,"",SUMIFS(T_SelfStock_Log[Self_Qty],T_SelfStock_Log[Part Name],$A29,T_SelfStock_Log[WeekIndex],73))</f>
        <v/>
      </c>
      <c r="BW29" s="13">
        <f>IF(COUNTIFS(T_SelfStock_Log[Part Name],$A29,T_SelfStock_Log[WeekIndex],74)=0,"",SUMIFS(T_SelfStock_Log[Self_Qty],T_SelfStock_Log[Part Name],$A29,T_SelfStock_Log[WeekIndex],74))</f>
        <v/>
      </c>
      <c r="BX29" s="13">
        <f>IF(COUNTIFS(T_SelfStock_Log[Part Name],$A29,T_SelfStock_Log[WeekIndex],75)=0,"",SUMIFS(T_SelfStock_Log[Self_Qty],T_SelfStock_Log[Part Name],$A29,T_SelfStock_Log[WeekIndex],75))</f>
        <v/>
      </c>
      <c r="BY29" s="13">
        <f>IF(COUNTIFS(T_SelfStock_Log[Part Name],$A29,T_SelfStock_Log[WeekIndex],76)=0,"",SUMIFS(T_SelfStock_Log[Self_Qty],T_SelfStock_Log[Part Name],$A29,T_SelfStock_Log[WeekIndex],76))</f>
        <v/>
      </c>
      <c r="BZ29" s="13">
        <f>IF(COUNTIFS(T_SelfStock_Log[Part Name],$A29,T_SelfStock_Log[WeekIndex],77)=0,"",SUMIFS(T_SelfStock_Log[Self_Qty],T_SelfStock_Log[Part Name],$A29,T_SelfStock_Log[WeekIndex],77))</f>
        <v/>
      </c>
      <c r="CA29" s="13">
        <f>IF(COUNTIFS(T_SelfStock_Log[Part Name],$A29,T_SelfStock_Log[WeekIndex],78)=0,"",SUMIFS(T_SelfStock_Log[Self_Qty],T_SelfStock_Log[Part Name],$A29,T_SelfStock_Log[WeekIndex],78))</f>
        <v/>
      </c>
      <c r="CB29" s="13">
        <f>IF(COUNTIFS(T_SelfStock_Log[Part Name],$A29,T_SelfStock_Log[WeekIndex],79)=0,"",SUMIFS(T_SelfStock_Log[Self_Qty],T_SelfStock_Log[Part Name],$A29,T_SelfStock_Log[WeekIndex],79))</f>
        <v/>
      </c>
      <c r="CC29" s="13">
        <f>IF(COUNTIFS(T_SelfStock_Log[Part Name],$A29,T_SelfStock_Log[WeekIndex],80)=0,"",SUMIFS(T_SelfStock_Log[Self_Qty],T_SelfStock_Log[Part Name],$A29,T_SelfStock_Log[WeekIndex],80))</f>
        <v/>
      </c>
      <c r="CD29" s="13">
        <f>IF(COUNTIFS(T_SelfStock_Log[Part Name],$A29,T_SelfStock_Log[WeekIndex],81)=0,"",SUMIFS(T_SelfStock_Log[Self_Qty],T_SelfStock_Log[Part Name],$A29,T_SelfStock_Log[WeekIndex],81))</f>
        <v/>
      </c>
      <c r="CE29" s="13">
        <f>IF(COUNTIFS(T_SelfStock_Log[Part Name],$A29,T_SelfStock_Log[WeekIndex],82)=0,"",SUMIFS(T_SelfStock_Log[Self_Qty],T_SelfStock_Log[Part Name],$A29,T_SelfStock_Log[WeekIndex],82))</f>
        <v/>
      </c>
      <c r="CF29" s="13">
        <f>IF(COUNTIFS(T_SelfStock_Log[Part Name],$A29,T_SelfStock_Log[WeekIndex],83)=0,"",SUMIFS(T_SelfStock_Log[Self_Qty],T_SelfStock_Log[Part Name],$A29,T_SelfStock_Log[WeekIndex],83))</f>
        <v/>
      </c>
      <c r="CG29" s="13">
        <f>IF(COUNTIFS(T_SelfStock_Log[Part Name],$A29,T_SelfStock_Log[WeekIndex],84)=0,"",SUMIFS(T_SelfStock_Log[Self_Qty],T_SelfStock_Log[Part Name],$A29,T_SelfStock_Log[WeekIndex],84))</f>
        <v/>
      </c>
      <c r="CH29" s="13">
        <f>IF(COUNTIFS(T_SelfStock_Log[Part Name],$A29,T_SelfStock_Log[WeekIndex],85)=0,"",SUMIFS(T_SelfStock_Log[Self_Qty],T_SelfStock_Log[Part Name],$A29,T_SelfStock_Log[WeekIndex],85))</f>
        <v/>
      </c>
      <c r="CI29" s="13">
        <f>IF(COUNTIFS(T_SelfStock_Log[Part Name],$A29,T_SelfStock_Log[WeekIndex],86)=0,"",SUMIFS(T_SelfStock_Log[Self_Qty],T_SelfStock_Log[Part Name],$A29,T_SelfStock_Log[WeekIndex],86))</f>
        <v/>
      </c>
      <c r="CJ29" s="13">
        <f>IF(COUNTIFS(T_SelfStock_Log[Part Name],$A29,T_SelfStock_Log[WeekIndex],87)=0,"",SUMIFS(T_SelfStock_Log[Self_Qty],T_SelfStock_Log[Part Name],$A29,T_SelfStock_Log[WeekIndex],87))</f>
        <v/>
      </c>
      <c r="CK29" s="13">
        <f>IF(COUNTIFS(T_SelfStock_Log[Part Name],$A29,T_SelfStock_Log[WeekIndex],88)=0,"",SUMIFS(T_SelfStock_Log[Self_Qty],T_SelfStock_Log[Part Name],$A29,T_SelfStock_Log[WeekIndex],88))</f>
        <v/>
      </c>
      <c r="CL29" s="13">
        <f>IF(COUNTIFS(T_SelfStock_Log[Part Name],$A29,T_SelfStock_Log[WeekIndex],89)=0,"",SUMIFS(T_SelfStock_Log[Self_Qty],T_SelfStock_Log[Part Name],$A29,T_SelfStock_Log[WeekIndex],89))</f>
        <v/>
      </c>
      <c r="CM29" s="13">
        <f>IF(COUNTIFS(T_SelfStock_Log[Part Name],$A29,T_SelfStock_Log[WeekIndex],90)=0,"",SUMIFS(T_SelfStock_Log[Self_Qty],T_SelfStock_Log[Part Name],$A29,T_SelfStock_Log[WeekIndex],90))</f>
        <v/>
      </c>
      <c r="CN29" s="13">
        <f>IF(COUNTIFS(T_SelfStock_Log[Part Name],$A29,T_SelfStock_Log[WeekIndex],91)=0,"",SUMIFS(T_SelfStock_Log[Self_Qty],T_SelfStock_Log[Part Name],$A29,T_SelfStock_Log[WeekIndex],91))</f>
        <v/>
      </c>
      <c r="CO29" s="13">
        <f>IF(COUNTIFS(T_SelfStock_Log[Part Name],$A29,T_SelfStock_Log[WeekIndex],92)=0,"",SUMIFS(T_SelfStock_Log[Self_Qty],T_SelfStock_Log[Part Name],$A29,T_SelfStock_Log[WeekIndex],92))</f>
        <v/>
      </c>
      <c r="CP29" s="13">
        <f>IF(COUNTIFS(T_SelfStock_Log[Part Name],$A29,T_SelfStock_Log[WeekIndex],93)=0,"",SUMIFS(T_SelfStock_Log[Self_Qty],T_SelfStock_Log[Part Name],$A29,T_SelfStock_Log[WeekIndex],93))</f>
        <v/>
      </c>
      <c r="CQ29" s="13">
        <f>IF(COUNTIFS(T_SelfStock_Log[Part Name],$A29,T_SelfStock_Log[WeekIndex],94)=0,"",SUMIFS(T_SelfStock_Log[Self_Qty],T_SelfStock_Log[Part Name],$A29,T_SelfStock_Log[WeekIndex],94))</f>
        <v/>
      </c>
      <c r="CR29" s="13">
        <f>IF(COUNTIFS(T_SelfStock_Log[Part Name],$A29,T_SelfStock_Log[WeekIndex],95)=0,"",SUMIFS(T_SelfStock_Log[Self_Qty],T_SelfStock_Log[Part Name],$A29,T_SelfStock_Log[WeekIndex],95))</f>
        <v/>
      </c>
      <c r="CS29" s="13">
        <f>IF(COUNTIFS(T_SelfStock_Log[Part Name],$A29,T_SelfStock_Log[WeekIndex],96)=0,"",SUMIFS(T_SelfStock_Log[Self_Qty],T_SelfStock_Log[Part Name],$A29,T_SelfStock_Log[WeekIndex],96))</f>
        <v/>
      </c>
      <c r="CT29" s="13">
        <f>IF(COUNTIFS(T_SelfStock_Log[Part Name],$A29,T_SelfStock_Log[WeekIndex],97)=0,"",SUMIFS(T_SelfStock_Log[Self_Qty],T_SelfStock_Log[Part Name],$A29,T_SelfStock_Log[WeekIndex],97))</f>
        <v/>
      </c>
      <c r="CU29" s="13">
        <f>IF(COUNTIFS(T_SelfStock_Log[Part Name],$A29,T_SelfStock_Log[WeekIndex],98)=0,"",SUMIFS(T_SelfStock_Log[Self_Qty],T_SelfStock_Log[Part Name],$A29,T_SelfStock_Log[WeekIndex],98))</f>
        <v/>
      </c>
      <c r="CV29" s="13">
        <f>IF(COUNTIFS(T_SelfStock_Log[Part Name],$A29,T_SelfStock_Log[WeekIndex],99)=0,"",SUMIFS(T_SelfStock_Log[Self_Qty],T_SelfStock_Log[Part Name],$A29,T_SelfStock_Log[WeekIndex],99))</f>
        <v/>
      </c>
      <c r="CW29" s="13">
        <f>IF(COUNTIFS(T_SelfStock_Log[Part Name],$A29,T_SelfStock_Log[WeekIndex],100)=0,"",SUMIFS(T_SelfStock_Log[Self_Qty],T_SelfStock_Log[Part Name],$A29,T_SelfStock_Log[WeekIndex],100))</f>
        <v/>
      </c>
      <c r="CX29" s="13">
        <f>IF(COUNTIFS(T_SelfStock_Log[Part Name],$A29,T_SelfStock_Log[WeekIndex],101)=0,"",SUMIFS(T_SelfStock_Log[Self_Qty],T_SelfStock_Log[Part Name],$A29,T_SelfStock_Log[WeekIndex],101))</f>
        <v/>
      </c>
      <c r="CY29" s="13">
        <f>IF(COUNTIFS(T_SelfStock_Log[Part Name],$A29,T_SelfStock_Log[WeekIndex],102)=0,"",SUMIFS(T_SelfStock_Log[Self_Qty],T_SelfStock_Log[Part Name],$A29,T_SelfStock_Log[WeekIndex],102))</f>
        <v/>
      </c>
      <c r="CZ29" s="13">
        <f>IF(COUNTIFS(T_SelfStock_Log[Part Name],$A29,T_SelfStock_Log[WeekIndex],103)=0,"",SUMIFS(T_SelfStock_Log[Self_Qty],T_SelfStock_Log[Part Name],$A29,T_SelfStock_Log[WeekIndex],103))</f>
        <v/>
      </c>
      <c r="DA29" s="13">
        <f>IF(COUNTIFS(T_SelfStock_Log[Part Name],$A29,T_SelfStock_Log[WeekIndex],104)=0,"",SUMIFS(T_SelfStock_Log[Self_Qty],T_SelfStock_Log[Part Name],$A29,T_SelfStock_Log[WeekIndex],104))</f>
        <v/>
      </c>
    </row>
    <row r="30">
      <c r="A30" s="12" t="inlineStr">
        <is>
          <t>CHEM-1830</t>
        </is>
      </c>
      <c r="B30" s="12">
        <f>IF(COUNTIFS(T_SelfStock_Log[Part Name],$A30,T_SelfStock_Log[WeekIndex],1)=0,"",SUMIFS(T_SelfStock_Log[Self_Qty],T_SelfStock_Log[Part Name],$A30,T_SelfStock_Log[WeekIndex],1))</f>
        <v/>
      </c>
      <c r="C30" s="12">
        <f>IF(COUNTIFS(T_SelfStock_Log[Part Name],$A30,T_SelfStock_Log[WeekIndex],2)=0,"",SUMIFS(T_SelfStock_Log[Self_Qty],T_SelfStock_Log[Part Name],$A30,T_SelfStock_Log[WeekIndex],2))</f>
        <v/>
      </c>
      <c r="D30" s="12">
        <f>IF(COUNTIFS(T_SelfStock_Log[Part Name],$A30,T_SelfStock_Log[WeekIndex],3)=0,"",SUMIFS(T_SelfStock_Log[Self_Qty],T_SelfStock_Log[Part Name],$A30,T_SelfStock_Log[WeekIndex],3))</f>
        <v/>
      </c>
      <c r="E30" s="12">
        <f>IF(COUNTIFS(T_SelfStock_Log[Part Name],$A30,T_SelfStock_Log[WeekIndex],4)=0,"",SUMIFS(T_SelfStock_Log[Self_Qty],T_SelfStock_Log[Part Name],$A30,T_SelfStock_Log[WeekIndex],4))</f>
        <v/>
      </c>
      <c r="F30" s="12">
        <f>IF(COUNTIFS(T_SelfStock_Log[Part Name],$A30,T_SelfStock_Log[WeekIndex],5)=0,"",SUMIFS(T_SelfStock_Log[Self_Qty],T_SelfStock_Log[Part Name],$A30,T_SelfStock_Log[WeekIndex],5))</f>
        <v/>
      </c>
      <c r="G30" s="12">
        <f>IF(COUNTIFS(T_SelfStock_Log[Part Name],$A30,T_SelfStock_Log[WeekIndex],6)=0,"",SUMIFS(T_SelfStock_Log[Self_Qty],T_SelfStock_Log[Part Name],$A30,T_SelfStock_Log[WeekIndex],6))</f>
        <v/>
      </c>
      <c r="H30" s="12">
        <f>IF(COUNTIFS(T_SelfStock_Log[Part Name],$A30,T_SelfStock_Log[WeekIndex],7)=0,"",SUMIFS(T_SelfStock_Log[Self_Qty],T_SelfStock_Log[Part Name],$A30,T_SelfStock_Log[WeekIndex],7))</f>
        <v/>
      </c>
      <c r="I30" s="12">
        <f>IF(COUNTIFS(T_SelfStock_Log[Part Name],$A30,T_SelfStock_Log[WeekIndex],8)=0,"",SUMIFS(T_SelfStock_Log[Self_Qty],T_SelfStock_Log[Part Name],$A30,T_SelfStock_Log[WeekIndex],8))</f>
        <v/>
      </c>
      <c r="J30" s="12">
        <f>IF(COUNTIFS(T_SelfStock_Log[Part Name],$A30,T_SelfStock_Log[WeekIndex],9)=0,"",SUMIFS(T_SelfStock_Log[Self_Qty],T_SelfStock_Log[Part Name],$A30,T_SelfStock_Log[WeekIndex],9))</f>
        <v/>
      </c>
      <c r="K30" s="12">
        <f>IF(COUNTIFS(T_SelfStock_Log[Part Name],$A30,T_SelfStock_Log[WeekIndex],10)=0,"",SUMIFS(T_SelfStock_Log[Self_Qty],T_SelfStock_Log[Part Name],$A30,T_SelfStock_Log[WeekIndex],10))</f>
        <v/>
      </c>
      <c r="L30" s="12">
        <f>IF(COUNTIFS(T_SelfStock_Log[Part Name],$A30,T_SelfStock_Log[WeekIndex],11)=0,"",SUMIFS(T_SelfStock_Log[Self_Qty],T_SelfStock_Log[Part Name],$A30,T_SelfStock_Log[WeekIndex],11))</f>
        <v/>
      </c>
      <c r="M30" s="12">
        <f>IF(COUNTIFS(T_SelfStock_Log[Part Name],$A30,T_SelfStock_Log[WeekIndex],12)=0,"",SUMIFS(T_SelfStock_Log[Self_Qty],T_SelfStock_Log[Part Name],$A30,T_SelfStock_Log[WeekIndex],12))</f>
        <v/>
      </c>
      <c r="N30" s="12">
        <f>IF(COUNTIFS(T_SelfStock_Log[Part Name],$A30,T_SelfStock_Log[WeekIndex],13)=0,"",SUMIFS(T_SelfStock_Log[Self_Qty],T_SelfStock_Log[Part Name],$A30,T_SelfStock_Log[WeekIndex],13))</f>
        <v/>
      </c>
      <c r="O30" s="12">
        <f>IF(COUNTIFS(T_SelfStock_Log[Part Name],$A30,T_SelfStock_Log[WeekIndex],14)=0,"",SUMIFS(T_SelfStock_Log[Self_Qty],T_SelfStock_Log[Part Name],$A30,T_SelfStock_Log[WeekIndex],14))</f>
        <v/>
      </c>
      <c r="P30" s="12">
        <f>IF(COUNTIFS(T_SelfStock_Log[Part Name],$A30,T_SelfStock_Log[WeekIndex],15)=0,"",SUMIFS(T_SelfStock_Log[Self_Qty],T_SelfStock_Log[Part Name],$A30,T_SelfStock_Log[WeekIndex],15))</f>
        <v/>
      </c>
      <c r="Q30" s="12">
        <f>IF(COUNTIFS(T_SelfStock_Log[Part Name],$A30,T_SelfStock_Log[WeekIndex],16)=0,"",SUMIFS(T_SelfStock_Log[Self_Qty],T_SelfStock_Log[Part Name],$A30,T_SelfStock_Log[WeekIndex],16))</f>
        <v/>
      </c>
      <c r="R30" s="12">
        <f>IF(COUNTIFS(T_SelfStock_Log[Part Name],$A30,T_SelfStock_Log[WeekIndex],17)=0,"",SUMIFS(T_SelfStock_Log[Self_Qty],T_SelfStock_Log[Part Name],$A30,T_SelfStock_Log[WeekIndex],17))</f>
        <v/>
      </c>
      <c r="S30" s="12">
        <f>IF(COUNTIFS(T_SelfStock_Log[Part Name],$A30,T_SelfStock_Log[WeekIndex],18)=0,"",SUMIFS(T_SelfStock_Log[Self_Qty],T_SelfStock_Log[Part Name],$A30,T_SelfStock_Log[WeekIndex],18))</f>
        <v/>
      </c>
      <c r="T30" s="12">
        <f>IF(COUNTIFS(T_SelfStock_Log[Part Name],$A30,T_SelfStock_Log[WeekIndex],19)=0,"",SUMIFS(T_SelfStock_Log[Self_Qty],T_SelfStock_Log[Part Name],$A30,T_SelfStock_Log[WeekIndex],19))</f>
        <v/>
      </c>
      <c r="U30" s="12">
        <f>IF(COUNTIFS(T_SelfStock_Log[Part Name],$A30,T_SelfStock_Log[WeekIndex],20)=0,"",SUMIFS(T_SelfStock_Log[Self_Qty],T_SelfStock_Log[Part Name],$A30,T_SelfStock_Log[WeekIndex],20))</f>
        <v/>
      </c>
      <c r="V30" s="12">
        <f>IF(COUNTIFS(T_SelfStock_Log[Part Name],$A30,T_SelfStock_Log[WeekIndex],21)=0,"",SUMIFS(T_SelfStock_Log[Self_Qty],T_SelfStock_Log[Part Name],$A30,T_SelfStock_Log[WeekIndex],21))</f>
        <v/>
      </c>
      <c r="W30" s="12">
        <f>IF(COUNTIFS(T_SelfStock_Log[Part Name],$A30,T_SelfStock_Log[WeekIndex],22)=0,"",SUMIFS(T_SelfStock_Log[Self_Qty],T_SelfStock_Log[Part Name],$A30,T_SelfStock_Log[WeekIndex],22))</f>
        <v/>
      </c>
      <c r="X30" s="12">
        <f>IF(COUNTIFS(T_SelfStock_Log[Part Name],$A30,T_SelfStock_Log[WeekIndex],23)=0,"",SUMIFS(T_SelfStock_Log[Self_Qty],T_SelfStock_Log[Part Name],$A30,T_SelfStock_Log[WeekIndex],23))</f>
        <v/>
      </c>
      <c r="Y30" s="12">
        <f>IF(COUNTIFS(T_SelfStock_Log[Part Name],$A30,T_SelfStock_Log[WeekIndex],24)=0,"",SUMIFS(T_SelfStock_Log[Self_Qty],T_SelfStock_Log[Part Name],$A30,T_SelfStock_Log[WeekIndex],24))</f>
        <v/>
      </c>
      <c r="Z30" s="12">
        <f>IF(COUNTIFS(T_SelfStock_Log[Part Name],$A30,T_SelfStock_Log[WeekIndex],25)=0,"",SUMIFS(T_SelfStock_Log[Self_Qty],T_SelfStock_Log[Part Name],$A30,T_SelfStock_Log[WeekIndex],25))</f>
        <v/>
      </c>
      <c r="AA30" s="12">
        <f>IF(COUNTIFS(T_SelfStock_Log[Part Name],$A30,T_SelfStock_Log[WeekIndex],26)=0,"",SUMIFS(T_SelfStock_Log[Self_Qty],T_SelfStock_Log[Part Name],$A30,T_SelfStock_Log[WeekIndex],26))</f>
        <v/>
      </c>
      <c r="AB30" s="12">
        <f>IF(COUNTIFS(T_SelfStock_Log[Part Name],$A30,T_SelfStock_Log[WeekIndex],27)=0,"",SUMIFS(T_SelfStock_Log[Self_Qty],T_SelfStock_Log[Part Name],$A30,T_SelfStock_Log[WeekIndex],27))</f>
        <v/>
      </c>
      <c r="AC30" s="12">
        <f>IF(COUNTIFS(T_SelfStock_Log[Part Name],$A30,T_SelfStock_Log[WeekIndex],28)=0,"",SUMIFS(T_SelfStock_Log[Self_Qty],T_SelfStock_Log[Part Name],$A30,T_SelfStock_Log[WeekIndex],28))</f>
        <v/>
      </c>
      <c r="AD30" s="12">
        <f>IF(COUNTIFS(T_SelfStock_Log[Part Name],$A30,T_SelfStock_Log[WeekIndex],29)=0,"",SUMIFS(T_SelfStock_Log[Self_Qty],T_SelfStock_Log[Part Name],$A30,T_SelfStock_Log[WeekIndex],29))</f>
        <v/>
      </c>
      <c r="AE30" s="12">
        <f>IF(COUNTIFS(T_SelfStock_Log[Part Name],$A30,T_SelfStock_Log[WeekIndex],30)=0,"",SUMIFS(T_SelfStock_Log[Self_Qty],T_SelfStock_Log[Part Name],$A30,T_SelfStock_Log[WeekIndex],30))</f>
        <v/>
      </c>
      <c r="AF30" s="12">
        <f>IF(COUNTIFS(T_SelfStock_Log[Part Name],$A30,T_SelfStock_Log[WeekIndex],31)=0,"",SUMIFS(T_SelfStock_Log[Self_Qty],T_SelfStock_Log[Part Name],$A30,T_SelfStock_Log[WeekIndex],31))</f>
        <v/>
      </c>
      <c r="AG30" s="12">
        <f>IF(COUNTIFS(T_SelfStock_Log[Part Name],$A30,T_SelfStock_Log[WeekIndex],32)=0,"",SUMIFS(T_SelfStock_Log[Self_Qty],T_SelfStock_Log[Part Name],$A30,T_SelfStock_Log[WeekIndex],32))</f>
        <v/>
      </c>
      <c r="AH30" s="12">
        <f>IF(COUNTIFS(T_SelfStock_Log[Part Name],$A30,T_SelfStock_Log[WeekIndex],33)=0,"",SUMIFS(T_SelfStock_Log[Self_Qty],T_SelfStock_Log[Part Name],$A30,T_SelfStock_Log[WeekIndex],33))</f>
        <v/>
      </c>
      <c r="AI30" s="12">
        <f>IF(COUNTIFS(T_SelfStock_Log[Part Name],$A30,T_SelfStock_Log[WeekIndex],34)=0,"",SUMIFS(T_SelfStock_Log[Self_Qty],T_SelfStock_Log[Part Name],$A30,T_SelfStock_Log[WeekIndex],34))</f>
        <v/>
      </c>
      <c r="AJ30" s="12">
        <f>IF(COUNTIFS(T_SelfStock_Log[Part Name],$A30,T_SelfStock_Log[WeekIndex],35)=0,"",SUMIFS(T_SelfStock_Log[Self_Qty],T_SelfStock_Log[Part Name],$A30,T_SelfStock_Log[WeekIndex],35))</f>
        <v/>
      </c>
      <c r="AK30" s="12">
        <f>IF(COUNTIFS(T_SelfStock_Log[Part Name],$A30,T_SelfStock_Log[WeekIndex],36)=0,"",SUMIFS(T_SelfStock_Log[Self_Qty],T_SelfStock_Log[Part Name],$A30,T_SelfStock_Log[WeekIndex],36))</f>
        <v/>
      </c>
      <c r="AL30" s="12">
        <f>IF(COUNTIFS(T_SelfStock_Log[Part Name],$A30,T_SelfStock_Log[WeekIndex],37)=0,"",SUMIFS(T_SelfStock_Log[Self_Qty],T_SelfStock_Log[Part Name],$A30,T_SelfStock_Log[WeekIndex],37))</f>
        <v/>
      </c>
      <c r="AM30" s="12">
        <f>IF(COUNTIFS(T_SelfStock_Log[Part Name],$A30,T_SelfStock_Log[WeekIndex],38)=0,"",SUMIFS(T_SelfStock_Log[Self_Qty],T_SelfStock_Log[Part Name],$A30,T_SelfStock_Log[WeekIndex],38))</f>
        <v/>
      </c>
      <c r="AN30" s="12">
        <f>IF(COUNTIFS(T_SelfStock_Log[Part Name],$A30,T_SelfStock_Log[WeekIndex],39)=0,"",SUMIFS(T_SelfStock_Log[Self_Qty],T_SelfStock_Log[Part Name],$A30,T_SelfStock_Log[WeekIndex],39))</f>
        <v/>
      </c>
      <c r="AO30" s="12">
        <f>IF(COUNTIFS(T_SelfStock_Log[Part Name],$A30,T_SelfStock_Log[WeekIndex],40)=0,"",SUMIFS(T_SelfStock_Log[Self_Qty],T_SelfStock_Log[Part Name],$A30,T_SelfStock_Log[WeekIndex],40))</f>
        <v/>
      </c>
      <c r="AP30" s="12">
        <f>IF(COUNTIFS(T_SelfStock_Log[Part Name],$A30,T_SelfStock_Log[WeekIndex],41)=0,"",SUMIFS(T_SelfStock_Log[Self_Qty],T_SelfStock_Log[Part Name],$A30,T_SelfStock_Log[WeekIndex],41))</f>
        <v/>
      </c>
      <c r="AQ30" s="12">
        <f>IF(COUNTIFS(T_SelfStock_Log[Part Name],$A30,T_SelfStock_Log[WeekIndex],42)=0,"",SUMIFS(T_SelfStock_Log[Self_Qty],T_SelfStock_Log[Part Name],$A30,T_SelfStock_Log[WeekIndex],42))</f>
        <v/>
      </c>
      <c r="AR30" s="12">
        <f>IF(COUNTIFS(T_SelfStock_Log[Part Name],$A30,T_SelfStock_Log[WeekIndex],43)=0,"",SUMIFS(T_SelfStock_Log[Self_Qty],T_SelfStock_Log[Part Name],$A30,T_SelfStock_Log[WeekIndex],43))</f>
        <v/>
      </c>
      <c r="AS30" s="12">
        <f>IF(COUNTIFS(T_SelfStock_Log[Part Name],$A30,T_SelfStock_Log[WeekIndex],44)=0,"",SUMIFS(T_SelfStock_Log[Self_Qty],T_SelfStock_Log[Part Name],$A30,T_SelfStock_Log[WeekIndex],44))</f>
        <v/>
      </c>
      <c r="AT30" s="12">
        <f>IF(COUNTIFS(T_SelfStock_Log[Part Name],$A30,T_SelfStock_Log[WeekIndex],45)=0,"",SUMIFS(T_SelfStock_Log[Self_Qty],T_SelfStock_Log[Part Name],$A30,T_SelfStock_Log[WeekIndex],45))</f>
        <v/>
      </c>
      <c r="AU30" s="12">
        <f>IF(COUNTIFS(T_SelfStock_Log[Part Name],$A30,T_SelfStock_Log[WeekIndex],46)=0,"",SUMIFS(T_SelfStock_Log[Self_Qty],T_SelfStock_Log[Part Name],$A30,T_SelfStock_Log[WeekIndex],46))</f>
        <v/>
      </c>
      <c r="AV30" s="12">
        <f>IF(COUNTIFS(T_SelfStock_Log[Part Name],$A30,T_SelfStock_Log[WeekIndex],47)=0,"",SUMIFS(T_SelfStock_Log[Self_Qty],T_SelfStock_Log[Part Name],$A30,T_SelfStock_Log[WeekIndex],47))</f>
        <v/>
      </c>
      <c r="AW30" s="12">
        <f>IF(COUNTIFS(T_SelfStock_Log[Part Name],$A30,T_SelfStock_Log[WeekIndex],48)=0,"",SUMIFS(T_SelfStock_Log[Self_Qty],T_SelfStock_Log[Part Name],$A30,T_SelfStock_Log[WeekIndex],48))</f>
        <v/>
      </c>
      <c r="AX30" s="12">
        <f>IF(COUNTIFS(T_SelfStock_Log[Part Name],$A30,T_SelfStock_Log[WeekIndex],49)=0,"",SUMIFS(T_SelfStock_Log[Self_Qty],T_SelfStock_Log[Part Name],$A30,T_SelfStock_Log[WeekIndex],49))</f>
        <v/>
      </c>
      <c r="AY30" s="12">
        <f>IF(COUNTIFS(T_SelfStock_Log[Part Name],$A30,T_SelfStock_Log[WeekIndex],50)=0,"",SUMIFS(T_SelfStock_Log[Self_Qty],T_SelfStock_Log[Part Name],$A30,T_SelfStock_Log[WeekIndex],50))</f>
        <v/>
      </c>
      <c r="AZ30" s="12">
        <f>IF(COUNTIFS(T_SelfStock_Log[Part Name],$A30,T_SelfStock_Log[WeekIndex],51)=0,"",SUMIFS(T_SelfStock_Log[Self_Qty],T_SelfStock_Log[Part Name],$A30,T_SelfStock_Log[WeekIndex],51))</f>
        <v/>
      </c>
      <c r="BA30" s="12">
        <f>IF(COUNTIFS(T_SelfStock_Log[Part Name],$A30,T_SelfStock_Log[WeekIndex],52)=0,"",SUMIFS(T_SelfStock_Log[Self_Qty],T_SelfStock_Log[Part Name],$A30,T_SelfStock_Log[WeekIndex],52))</f>
        <v/>
      </c>
      <c r="BB30" s="12">
        <f>IF(COUNTIFS(T_SelfStock_Log[Part Name],$A30,T_SelfStock_Log[WeekIndex],53)=0,"",SUMIFS(T_SelfStock_Log[Self_Qty],T_SelfStock_Log[Part Name],$A30,T_SelfStock_Log[WeekIndex],53))</f>
        <v/>
      </c>
      <c r="BC30" s="12">
        <f>IF(COUNTIFS(T_SelfStock_Log[Part Name],$A30,T_SelfStock_Log[WeekIndex],54)=0,"",SUMIFS(T_SelfStock_Log[Self_Qty],T_SelfStock_Log[Part Name],$A30,T_SelfStock_Log[WeekIndex],54))</f>
        <v/>
      </c>
      <c r="BD30" s="12">
        <f>IF(COUNTIFS(T_SelfStock_Log[Part Name],$A30,T_SelfStock_Log[WeekIndex],55)=0,"",SUMIFS(T_SelfStock_Log[Self_Qty],T_SelfStock_Log[Part Name],$A30,T_SelfStock_Log[WeekIndex],55))</f>
        <v/>
      </c>
      <c r="BE30" s="12">
        <f>IF(COUNTIFS(T_SelfStock_Log[Part Name],$A30,T_SelfStock_Log[WeekIndex],56)=0,"",SUMIFS(T_SelfStock_Log[Self_Qty],T_SelfStock_Log[Part Name],$A30,T_SelfStock_Log[WeekIndex],56))</f>
        <v/>
      </c>
      <c r="BF30" s="12">
        <f>IF(COUNTIFS(T_SelfStock_Log[Part Name],$A30,T_SelfStock_Log[WeekIndex],57)=0,"",SUMIFS(T_SelfStock_Log[Self_Qty],T_SelfStock_Log[Part Name],$A30,T_SelfStock_Log[WeekIndex],57))</f>
        <v/>
      </c>
      <c r="BG30" s="12">
        <f>IF(COUNTIFS(T_SelfStock_Log[Part Name],$A30,T_SelfStock_Log[WeekIndex],58)=0,"",SUMIFS(T_SelfStock_Log[Self_Qty],T_SelfStock_Log[Part Name],$A30,T_SelfStock_Log[WeekIndex],58))</f>
        <v/>
      </c>
      <c r="BH30" s="12">
        <f>IF(COUNTIFS(T_SelfStock_Log[Part Name],$A30,T_SelfStock_Log[WeekIndex],59)=0,"",SUMIFS(T_SelfStock_Log[Self_Qty],T_SelfStock_Log[Part Name],$A30,T_SelfStock_Log[WeekIndex],59))</f>
        <v/>
      </c>
      <c r="BI30" s="12">
        <f>IF(COUNTIFS(T_SelfStock_Log[Part Name],$A30,T_SelfStock_Log[WeekIndex],60)=0,"",SUMIFS(T_SelfStock_Log[Self_Qty],T_SelfStock_Log[Part Name],$A30,T_SelfStock_Log[WeekIndex],60))</f>
        <v/>
      </c>
      <c r="BJ30" s="12">
        <f>IF(COUNTIFS(T_SelfStock_Log[Part Name],$A30,T_SelfStock_Log[WeekIndex],61)=0,"",SUMIFS(T_SelfStock_Log[Self_Qty],T_SelfStock_Log[Part Name],$A30,T_SelfStock_Log[WeekIndex],61))</f>
        <v/>
      </c>
      <c r="BK30" s="12">
        <f>IF(COUNTIFS(T_SelfStock_Log[Part Name],$A30,T_SelfStock_Log[WeekIndex],62)=0,"",SUMIFS(T_SelfStock_Log[Self_Qty],T_SelfStock_Log[Part Name],$A30,T_SelfStock_Log[WeekIndex],62))</f>
        <v/>
      </c>
      <c r="BL30" s="12">
        <f>IF(COUNTIFS(T_SelfStock_Log[Part Name],$A30,T_SelfStock_Log[WeekIndex],63)=0,"",SUMIFS(T_SelfStock_Log[Self_Qty],T_SelfStock_Log[Part Name],$A30,T_SelfStock_Log[WeekIndex],63))</f>
        <v/>
      </c>
      <c r="BM30" s="12">
        <f>IF(COUNTIFS(T_SelfStock_Log[Part Name],$A30,T_SelfStock_Log[WeekIndex],64)=0,"",SUMIFS(T_SelfStock_Log[Self_Qty],T_SelfStock_Log[Part Name],$A30,T_SelfStock_Log[WeekIndex],64))</f>
        <v/>
      </c>
      <c r="BN30" s="12">
        <f>IF(COUNTIFS(T_SelfStock_Log[Part Name],$A30,T_SelfStock_Log[WeekIndex],65)=0,"",SUMIFS(T_SelfStock_Log[Self_Qty],T_SelfStock_Log[Part Name],$A30,T_SelfStock_Log[WeekIndex],65))</f>
        <v/>
      </c>
      <c r="BO30" s="12">
        <f>IF(COUNTIFS(T_SelfStock_Log[Part Name],$A30,T_SelfStock_Log[WeekIndex],66)=0,"",SUMIFS(T_SelfStock_Log[Self_Qty],T_SelfStock_Log[Part Name],$A30,T_SelfStock_Log[WeekIndex],66))</f>
        <v/>
      </c>
      <c r="BP30" s="12">
        <f>IF(COUNTIFS(T_SelfStock_Log[Part Name],$A30,T_SelfStock_Log[WeekIndex],67)=0,"",SUMIFS(T_SelfStock_Log[Self_Qty],T_SelfStock_Log[Part Name],$A30,T_SelfStock_Log[WeekIndex],67))</f>
        <v/>
      </c>
      <c r="BQ30" s="12">
        <f>IF(COUNTIFS(T_SelfStock_Log[Part Name],$A30,T_SelfStock_Log[WeekIndex],68)=0,"",SUMIFS(T_SelfStock_Log[Self_Qty],T_SelfStock_Log[Part Name],$A30,T_SelfStock_Log[WeekIndex],68))</f>
        <v/>
      </c>
      <c r="BR30" s="12">
        <f>IF(COUNTIFS(T_SelfStock_Log[Part Name],$A30,T_SelfStock_Log[WeekIndex],69)=0,"",SUMIFS(T_SelfStock_Log[Self_Qty],T_SelfStock_Log[Part Name],$A30,T_SelfStock_Log[WeekIndex],69))</f>
        <v/>
      </c>
      <c r="BS30" s="12">
        <f>IF(COUNTIFS(T_SelfStock_Log[Part Name],$A30,T_SelfStock_Log[WeekIndex],70)=0,"",SUMIFS(T_SelfStock_Log[Self_Qty],T_SelfStock_Log[Part Name],$A30,T_SelfStock_Log[WeekIndex],70))</f>
        <v/>
      </c>
      <c r="BT30" s="12">
        <f>IF(COUNTIFS(T_SelfStock_Log[Part Name],$A30,T_SelfStock_Log[WeekIndex],71)=0,"",SUMIFS(T_SelfStock_Log[Self_Qty],T_SelfStock_Log[Part Name],$A30,T_SelfStock_Log[WeekIndex],71))</f>
        <v/>
      </c>
      <c r="BU30" s="12">
        <f>IF(COUNTIFS(T_SelfStock_Log[Part Name],$A30,T_SelfStock_Log[WeekIndex],72)=0,"",SUMIFS(T_SelfStock_Log[Self_Qty],T_SelfStock_Log[Part Name],$A30,T_SelfStock_Log[WeekIndex],72))</f>
        <v/>
      </c>
      <c r="BV30" s="12">
        <f>IF(COUNTIFS(T_SelfStock_Log[Part Name],$A30,T_SelfStock_Log[WeekIndex],73)=0,"",SUMIFS(T_SelfStock_Log[Self_Qty],T_SelfStock_Log[Part Name],$A30,T_SelfStock_Log[WeekIndex],73))</f>
        <v/>
      </c>
      <c r="BW30" s="12">
        <f>IF(COUNTIFS(T_SelfStock_Log[Part Name],$A30,T_SelfStock_Log[WeekIndex],74)=0,"",SUMIFS(T_SelfStock_Log[Self_Qty],T_SelfStock_Log[Part Name],$A30,T_SelfStock_Log[WeekIndex],74))</f>
        <v/>
      </c>
      <c r="BX30" s="12">
        <f>IF(COUNTIFS(T_SelfStock_Log[Part Name],$A30,T_SelfStock_Log[WeekIndex],75)=0,"",SUMIFS(T_SelfStock_Log[Self_Qty],T_SelfStock_Log[Part Name],$A30,T_SelfStock_Log[WeekIndex],75))</f>
        <v/>
      </c>
      <c r="BY30" s="12">
        <f>IF(COUNTIFS(T_SelfStock_Log[Part Name],$A30,T_SelfStock_Log[WeekIndex],76)=0,"",SUMIFS(T_SelfStock_Log[Self_Qty],T_SelfStock_Log[Part Name],$A30,T_SelfStock_Log[WeekIndex],76))</f>
        <v/>
      </c>
      <c r="BZ30" s="12">
        <f>IF(COUNTIFS(T_SelfStock_Log[Part Name],$A30,T_SelfStock_Log[WeekIndex],77)=0,"",SUMIFS(T_SelfStock_Log[Self_Qty],T_SelfStock_Log[Part Name],$A30,T_SelfStock_Log[WeekIndex],77))</f>
        <v/>
      </c>
      <c r="CA30" s="12">
        <f>IF(COUNTIFS(T_SelfStock_Log[Part Name],$A30,T_SelfStock_Log[WeekIndex],78)=0,"",SUMIFS(T_SelfStock_Log[Self_Qty],T_SelfStock_Log[Part Name],$A30,T_SelfStock_Log[WeekIndex],78))</f>
        <v/>
      </c>
      <c r="CB30" s="12">
        <f>IF(COUNTIFS(T_SelfStock_Log[Part Name],$A30,T_SelfStock_Log[WeekIndex],79)=0,"",SUMIFS(T_SelfStock_Log[Self_Qty],T_SelfStock_Log[Part Name],$A30,T_SelfStock_Log[WeekIndex],79))</f>
        <v/>
      </c>
      <c r="CC30" s="12">
        <f>IF(COUNTIFS(T_SelfStock_Log[Part Name],$A30,T_SelfStock_Log[WeekIndex],80)=0,"",SUMIFS(T_SelfStock_Log[Self_Qty],T_SelfStock_Log[Part Name],$A30,T_SelfStock_Log[WeekIndex],80))</f>
        <v/>
      </c>
      <c r="CD30" s="12">
        <f>IF(COUNTIFS(T_SelfStock_Log[Part Name],$A30,T_SelfStock_Log[WeekIndex],81)=0,"",SUMIFS(T_SelfStock_Log[Self_Qty],T_SelfStock_Log[Part Name],$A30,T_SelfStock_Log[WeekIndex],81))</f>
        <v/>
      </c>
      <c r="CE30" s="12">
        <f>IF(COUNTIFS(T_SelfStock_Log[Part Name],$A30,T_SelfStock_Log[WeekIndex],82)=0,"",SUMIFS(T_SelfStock_Log[Self_Qty],T_SelfStock_Log[Part Name],$A30,T_SelfStock_Log[WeekIndex],82))</f>
        <v/>
      </c>
      <c r="CF30" s="12">
        <f>IF(COUNTIFS(T_SelfStock_Log[Part Name],$A30,T_SelfStock_Log[WeekIndex],83)=0,"",SUMIFS(T_SelfStock_Log[Self_Qty],T_SelfStock_Log[Part Name],$A30,T_SelfStock_Log[WeekIndex],83))</f>
        <v/>
      </c>
      <c r="CG30" s="12">
        <f>IF(COUNTIFS(T_SelfStock_Log[Part Name],$A30,T_SelfStock_Log[WeekIndex],84)=0,"",SUMIFS(T_SelfStock_Log[Self_Qty],T_SelfStock_Log[Part Name],$A30,T_SelfStock_Log[WeekIndex],84))</f>
        <v/>
      </c>
      <c r="CH30" s="12">
        <f>IF(COUNTIFS(T_SelfStock_Log[Part Name],$A30,T_SelfStock_Log[WeekIndex],85)=0,"",SUMIFS(T_SelfStock_Log[Self_Qty],T_SelfStock_Log[Part Name],$A30,T_SelfStock_Log[WeekIndex],85))</f>
        <v/>
      </c>
      <c r="CI30" s="12">
        <f>IF(COUNTIFS(T_SelfStock_Log[Part Name],$A30,T_SelfStock_Log[WeekIndex],86)=0,"",SUMIFS(T_SelfStock_Log[Self_Qty],T_SelfStock_Log[Part Name],$A30,T_SelfStock_Log[WeekIndex],86))</f>
        <v/>
      </c>
      <c r="CJ30" s="12">
        <f>IF(COUNTIFS(T_SelfStock_Log[Part Name],$A30,T_SelfStock_Log[WeekIndex],87)=0,"",SUMIFS(T_SelfStock_Log[Self_Qty],T_SelfStock_Log[Part Name],$A30,T_SelfStock_Log[WeekIndex],87))</f>
        <v/>
      </c>
      <c r="CK30" s="12">
        <f>IF(COUNTIFS(T_SelfStock_Log[Part Name],$A30,T_SelfStock_Log[WeekIndex],88)=0,"",SUMIFS(T_SelfStock_Log[Self_Qty],T_SelfStock_Log[Part Name],$A30,T_SelfStock_Log[WeekIndex],88))</f>
        <v/>
      </c>
      <c r="CL30" s="12">
        <f>IF(COUNTIFS(T_SelfStock_Log[Part Name],$A30,T_SelfStock_Log[WeekIndex],89)=0,"",SUMIFS(T_SelfStock_Log[Self_Qty],T_SelfStock_Log[Part Name],$A30,T_SelfStock_Log[WeekIndex],89))</f>
        <v/>
      </c>
      <c r="CM30" s="12">
        <f>IF(COUNTIFS(T_SelfStock_Log[Part Name],$A30,T_SelfStock_Log[WeekIndex],90)=0,"",SUMIFS(T_SelfStock_Log[Self_Qty],T_SelfStock_Log[Part Name],$A30,T_SelfStock_Log[WeekIndex],90))</f>
        <v/>
      </c>
      <c r="CN30" s="12">
        <f>IF(COUNTIFS(T_SelfStock_Log[Part Name],$A30,T_SelfStock_Log[WeekIndex],91)=0,"",SUMIFS(T_SelfStock_Log[Self_Qty],T_SelfStock_Log[Part Name],$A30,T_SelfStock_Log[WeekIndex],91))</f>
        <v/>
      </c>
      <c r="CO30" s="12">
        <f>IF(COUNTIFS(T_SelfStock_Log[Part Name],$A30,T_SelfStock_Log[WeekIndex],92)=0,"",SUMIFS(T_SelfStock_Log[Self_Qty],T_SelfStock_Log[Part Name],$A30,T_SelfStock_Log[WeekIndex],92))</f>
        <v/>
      </c>
      <c r="CP30" s="12">
        <f>IF(COUNTIFS(T_SelfStock_Log[Part Name],$A30,T_SelfStock_Log[WeekIndex],93)=0,"",SUMIFS(T_SelfStock_Log[Self_Qty],T_SelfStock_Log[Part Name],$A30,T_SelfStock_Log[WeekIndex],93))</f>
        <v/>
      </c>
      <c r="CQ30" s="12">
        <f>IF(COUNTIFS(T_SelfStock_Log[Part Name],$A30,T_SelfStock_Log[WeekIndex],94)=0,"",SUMIFS(T_SelfStock_Log[Self_Qty],T_SelfStock_Log[Part Name],$A30,T_SelfStock_Log[WeekIndex],94))</f>
        <v/>
      </c>
      <c r="CR30" s="12">
        <f>IF(COUNTIFS(T_SelfStock_Log[Part Name],$A30,T_SelfStock_Log[WeekIndex],95)=0,"",SUMIFS(T_SelfStock_Log[Self_Qty],T_SelfStock_Log[Part Name],$A30,T_SelfStock_Log[WeekIndex],95))</f>
        <v/>
      </c>
      <c r="CS30" s="12">
        <f>IF(COUNTIFS(T_SelfStock_Log[Part Name],$A30,T_SelfStock_Log[WeekIndex],96)=0,"",SUMIFS(T_SelfStock_Log[Self_Qty],T_SelfStock_Log[Part Name],$A30,T_SelfStock_Log[WeekIndex],96))</f>
        <v/>
      </c>
      <c r="CT30" s="12">
        <f>IF(COUNTIFS(T_SelfStock_Log[Part Name],$A30,T_SelfStock_Log[WeekIndex],97)=0,"",SUMIFS(T_SelfStock_Log[Self_Qty],T_SelfStock_Log[Part Name],$A30,T_SelfStock_Log[WeekIndex],97))</f>
        <v/>
      </c>
      <c r="CU30" s="12">
        <f>IF(COUNTIFS(T_SelfStock_Log[Part Name],$A30,T_SelfStock_Log[WeekIndex],98)=0,"",SUMIFS(T_SelfStock_Log[Self_Qty],T_SelfStock_Log[Part Name],$A30,T_SelfStock_Log[WeekIndex],98))</f>
        <v/>
      </c>
      <c r="CV30" s="12">
        <f>IF(COUNTIFS(T_SelfStock_Log[Part Name],$A30,T_SelfStock_Log[WeekIndex],99)=0,"",SUMIFS(T_SelfStock_Log[Self_Qty],T_SelfStock_Log[Part Name],$A30,T_SelfStock_Log[WeekIndex],99))</f>
        <v/>
      </c>
      <c r="CW30" s="12">
        <f>IF(COUNTIFS(T_SelfStock_Log[Part Name],$A30,T_SelfStock_Log[WeekIndex],100)=0,"",SUMIFS(T_SelfStock_Log[Self_Qty],T_SelfStock_Log[Part Name],$A30,T_SelfStock_Log[WeekIndex],100))</f>
        <v/>
      </c>
      <c r="CX30" s="12">
        <f>IF(COUNTIFS(T_SelfStock_Log[Part Name],$A30,T_SelfStock_Log[WeekIndex],101)=0,"",SUMIFS(T_SelfStock_Log[Self_Qty],T_SelfStock_Log[Part Name],$A30,T_SelfStock_Log[WeekIndex],101))</f>
        <v/>
      </c>
      <c r="CY30" s="12">
        <f>IF(COUNTIFS(T_SelfStock_Log[Part Name],$A30,T_SelfStock_Log[WeekIndex],102)=0,"",SUMIFS(T_SelfStock_Log[Self_Qty],T_SelfStock_Log[Part Name],$A30,T_SelfStock_Log[WeekIndex],102))</f>
        <v/>
      </c>
      <c r="CZ30" s="12">
        <f>IF(COUNTIFS(T_SelfStock_Log[Part Name],$A30,T_SelfStock_Log[WeekIndex],103)=0,"",SUMIFS(T_SelfStock_Log[Self_Qty],T_SelfStock_Log[Part Name],$A30,T_SelfStock_Log[WeekIndex],103))</f>
        <v/>
      </c>
      <c r="DA30" s="12">
        <f>IF(COUNTIFS(T_SelfStock_Log[Part Name],$A30,T_SelfStock_Log[WeekIndex],104)=0,"",SUMIFS(T_SelfStock_Log[Self_Qty],T_SelfStock_Log[Part Name],$A30,T_SelfStock_Log[WeekIndex],104))</f>
        <v/>
      </c>
    </row>
    <row r="31">
      <c r="A31" s="13" t="inlineStr">
        <is>
          <t>CHEM-1680</t>
        </is>
      </c>
      <c r="B31" s="13">
        <f>IF(COUNTIFS(T_SelfStock_Log[Part Name],$A31,T_SelfStock_Log[WeekIndex],1)=0,"",SUMIFS(T_SelfStock_Log[Self_Qty],T_SelfStock_Log[Part Name],$A31,T_SelfStock_Log[WeekIndex],1))</f>
        <v/>
      </c>
      <c r="C31" s="13">
        <f>IF(COUNTIFS(T_SelfStock_Log[Part Name],$A31,T_SelfStock_Log[WeekIndex],2)=0,"",SUMIFS(T_SelfStock_Log[Self_Qty],T_SelfStock_Log[Part Name],$A31,T_SelfStock_Log[WeekIndex],2))</f>
        <v/>
      </c>
      <c r="D31" s="13">
        <f>IF(COUNTIFS(T_SelfStock_Log[Part Name],$A31,T_SelfStock_Log[WeekIndex],3)=0,"",SUMIFS(T_SelfStock_Log[Self_Qty],T_SelfStock_Log[Part Name],$A31,T_SelfStock_Log[WeekIndex],3))</f>
        <v/>
      </c>
      <c r="E31" s="13">
        <f>IF(COUNTIFS(T_SelfStock_Log[Part Name],$A31,T_SelfStock_Log[WeekIndex],4)=0,"",SUMIFS(T_SelfStock_Log[Self_Qty],T_SelfStock_Log[Part Name],$A31,T_SelfStock_Log[WeekIndex],4))</f>
        <v/>
      </c>
      <c r="F31" s="13">
        <f>IF(COUNTIFS(T_SelfStock_Log[Part Name],$A31,T_SelfStock_Log[WeekIndex],5)=0,"",SUMIFS(T_SelfStock_Log[Self_Qty],T_SelfStock_Log[Part Name],$A31,T_SelfStock_Log[WeekIndex],5))</f>
        <v/>
      </c>
      <c r="G31" s="13">
        <f>IF(COUNTIFS(T_SelfStock_Log[Part Name],$A31,T_SelfStock_Log[WeekIndex],6)=0,"",SUMIFS(T_SelfStock_Log[Self_Qty],T_SelfStock_Log[Part Name],$A31,T_SelfStock_Log[WeekIndex],6))</f>
        <v/>
      </c>
      <c r="H31" s="13">
        <f>IF(COUNTIFS(T_SelfStock_Log[Part Name],$A31,T_SelfStock_Log[WeekIndex],7)=0,"",SUMIFS(T_SelfStock_Log[Self_Qty],T_SelfStock_Log[Part Name],$A31,T_SelfStock_Log[WeekIndex],7))</f>
        <v/>
      </c>
      <c r="I31" s="13">
        <f>IF(COUNTIFS(T_SelfStock_Log[Part Name],$A31,T_SelfStock_Log[WeekIndex],8)=0,"",SUMIFS(T_SelfStock_Log[Self_Qty],T_SelfStock_Log[Part Name],$A31,T_SelfStock_Log[WeekIndex],8))</f>
        <v/>
      </c>
      <c r="J31" s="13">
        <f>IF(COUNTIFS(T_SelfStock_Log[Part Name],$A31,T_SelfStock_Log[WeekIndex],9)=0,"",SUMIFS(T_SelfStock_Log[Self_Qty],T_SelfStock_Log[Part Name],$A31,T_SelfStock_Log[WeekIndex],9))</f>
        <v/>
      </c>
      <c r="K31" s="13">
        <f>IF(COUNTIFS(T_SelfStock_Log[Part Name],$A31,T_SelfStock_Log[WeekIndex],10)=0,"",SUMIFS(T_SelfStock_Log[Self_Qty],T_SelfStock_Log[Part Name],$A31,T_SelfStock_Log[WeekIndex],10))</f>
        <v/>
      </c>
      <c r="L31" s="13">
        <f>IF(COUNTIFS(T_SelfStock_Log[Part Name],$A31,T_SelfStock_Log[WeekIndex],11)=0,"",SUMIFS(T_SelfStock_Log[Self_Qty],T_SelfStock_Log[Part Name],$A31,T_SelfStock_Log[WeekIndex],11))</f>
        <v/>
      </c>
      <c r="M31" s="13">
        <f>IF(COUNTIFS(T_SelfStock_Log[Part Name],$A31,T_SelfStock_Log[WeekIndex],12)=0,"",SUMIFS(T_SelfStock_Log[Self_Qty],T_SelfStock_Log[Part Name],$A31,T_SelfStock_Log[WeekIndex],12))</f>
        <v/>
      </c>
      <c r="N31" s="13">
        <f>IF(COUNTIFS(T_SelfStock_Log[Part Name],$A31,T_SelfStock_Log[WeekIndex],13)=0,"",SUMIFS(T_SelfStock_Log[Self_Qty],T_SelfStock_Log[Part Name],$A31,T_SelfStock_Log[WeekIndex],13))</f>
        <v/>
      </c>
      <c r="O31" s="13">
        <f>IF(COUNTIFS(T_SelfStock_Log[Part Name],$A31,T_SelfStock_Log[WeekIndex],14)=0,"",SUMIFS(T_SelfStock_Log[Self_Qty],T_SelfStock_Log[Part Name],$A31,T_SelfStock_Log[WeekIndex],14))</f>
        <v/>
      </c>
      <c r="P31" s="13">
        <f>IF(COUNTIFS(T_SelfStock_Log[Part Name],$A31,T_SelfStock_Log[WeekIndex],15)=0,"",SUMIFS(T_SelfStock_Log[Self_Qty],T_SelfStock_Log[Part Name],$A31,T_SelfStock_Log[WeekIndex],15))</f>
        <v/>
      </c>
      <c r="Q31" s="13">
        <f>IF(COUNTIFS(T_SelfStock_Log[Part Name],$A31,T_SelfStock_Log[WeekIndex],16)=0,"",SUMIFS(T_SelfStock_Log[Self_Qty],T_SelfStock_Log[Part Name],$A31,T_SelfStock_Log[WeekIndex],16))</f>
        <v/>
      </c>
      <c r="R31" s="13">
        <f>IF(COUNTIFS(T_SelfStock_Log[Part Name],$A31,T_SelfStock_Log[WeekIndex],17)=0,"",SUMIFS(T_SelfStock_Log[Self_Qty],T_SelfStock_Log[Part Name],$A31,T_SelfStock_Log[WeekIndex],17))</f>
        <v/>
      </c>
      <c r="S31" s="13">
        <f>IF(COUNTIFS(T_SelfStock_Log[Part Name],$A31,T_SelfStock_Log[WeekIndex],18)=0,"",SUMIFS(T_SelfStock_Log[Self_Qty],T_SelfStock_Log[Part Name],$A31,T_SelfStock_Log[WeekIndex],18))</f>
        <v/>
      </c>
      <c r="T31" s="13">
        <f>IF(COUNTIFS(T_SelfStock_Log[Part Name],$A31,T_SelfStock_Log[WeekIndex],19)=0,"",SUMIFS(T_SelfStock_Log[Self_Qty],T_SelfStock_Log[Part Name],$A31,T_SelfStock_Log[WeekIndex],19))</f>
        <v/>
      </c>
      <c r="U31" s="13">
        <f>IF(COUNTIFS(T_SelfStock_Log[Part Name],$A31,T_SelfStock_Log[WeekIndex],20)=0,"",SUMIFS(T_SelfStock_Log[Self_Qty],T_SelfStock_Log[Part Name],$A31,T_SelfStock_Log[WeekIndex],20))</f>
        <v/>
      </c>
      <c r="V31" s="13">
        <f>IF(COUNTIFS(T_SelfStock_Log[Part Name],$A31,T_SelfStock_Log[WeekIndex],21)=0,"",SUMIFS(T_SelfStock_Log[Self_Qty],T_SelfStock_Log[Part Name],$A31,T_SelfStock_Log[WeekIndex],21))</f>
        <v/>
      </c>
      <c r="W31" s="13">
        <f>IF(COUNTIFS(T_SelfStock_Log[Part Name],$A31,T_SelfStock_Log[WeekIndex],22)=0,"",SUMIFS(T_SelfStock_Log[Self_Qty],T_SelfStock_Log[Part Name],$A31,T_SelfStock_Log[WeekIndex],22))</f>
        <v/>
      </c>
      <c r="X31" s="13">
        <f>IF(COUNTIFS(T_SelfStock_Log[Part Name],$A31,T_SelfStock_Log[WeekIndex],23)=0,"",SUMIFS(T_SelfStock_Log[Self_Qty],T_SelfStock_Log[Part Name],$A31,T_SelfStock_Log[WeekIndex],23))</f>
        <v/>
      </c>
      <c r="Y31" s="13">
        <f>IF(COUNTIFS(T_SelfStock_Log[Part Name],$A31,T_SelfStock_Log[WeekIndex],24)=0,"",SUMIFS(T_SelfStock_Log[Self_Qty],T_SelfStock_Log[Part Name],$A31,T_SelfStock_Log[WeekIndex],24))</f>
        <v/>
      </c>
      <c r="Z31" s="13">
        <f>IF(COUNTIFS(T_SelfStock_Log[Part Name],$A31,T_SelfStock_Log[WeekIndex],25)=0,"",SUMIFS(T_SelfStock_Log[Self_Qty],T_SelfStock_Log[Part Name],$A31,T_SelfStock_Log[WeekIndex],25))</f>
        <v/>
      </c>
      <c r="AA31" s="13">
        <f>IF(COUNTIFS(T_SelfStock_Log[Part Name],$A31,T_SelfStock_Log[WeekIndex],26)=0,"",SUMIFS(T_SelfStock_Log[Self_Qty],T_SelfStock_Log[Part Name],$A31,T_SelfStock_Log[WeekIndex],26))</f>
        <v/>
      </c>
      <c r="AB31" s="13">
        <f>IF(COUNTIFS(T_SelfStock_Log[Part Name],$A31,T_SelfStock_Log[WeekIndex],27)=0,"",SUMIFS(T_SelfStock_Log[Self_Qty],T_SelfStock_Log[Part Name],$A31,T_SelfStock_Log[WeekIndex],27))</f>
        <v/>
      </c>
      <c r="AC31" s="13">
        <f>IF(COUNTIFS(T_SelfStock_Log[Part Name],$A31,T_SelfStock_Log[WeekIndex],28)=0,"",SUMIFS(T_SelfStock_Log[Self_Qty],T_SelfStock_Log[Part Name],$A31,T_SelfStock_Log[WeekIndex],28))</f>
        <v/>
      </c>
      <c r="AD31" s="13">
        <f>IF(COUNTIFS(T_SelfStock_Log[Part Name],$A31,T_SelfStock_Log[WeekIndex],29)=0,"",SUMIFS(T_SelfStock_Log[Self_Qty],T_SelfStock_Log[Part Name],$A31,T_SelfStock_Log[WeekIndex],29))</f>
        <v/>
      </c>
      <c r="AE31" s="13">
        <f>IF(COUNTIFS(T_SelfStock_Log[Part Name],$A31,T_SelfStock_Log[WeekIndex],30)=0,"",SUMIFS(T_SelfStock_Log[Self_Qty],T_SelfStock_Log[Part Name],$A31,T_SelfStock_Log[WeekIndex],30))</f>
        <v/>
      </c>
      <c r="AF31" s="13">
        <f>IF(COUNTIFS(T_SelfStock_Log[Part Name],$A31,T_SelfStock_Log[WeekIndex],31)=0,"",SUMIFS(T_SelfStock_Log[Self_Qty],T_SelfStock_Log[Part Name],$A31,T_SelfStock_Log[WeekIndex],31))</f>
        <v/>
      </c>
      <c r="AG31" s="13">
        <f>IF(COUNTIFS(T_SelfStock_Log[Part Name],$A31,T_SelfStock_Log[WeekIndex],32)=0,"",SUMIFS(T_SelfStock_Log[Self_Qty],T_SelfStock_Log[Part Name],$A31,T_SelfStock_Log[WeekIndex],32))</f>
        <v/>
      </c>
      <c r="AH31" s="13">
        <f>IF(COUNTIFS(T_SelfStock_Log[Part Name],$A31,T_SelfStock_Log[WeekIndex],33)=0,"",SUMIFS(T_SelfStock_Log[Self_Qty],T_SelfStock_Log[Part Name],$A31,T_SelfStock_Log[WeekIndex],33))</f>
        <v/>
      </c>
      <c r="AI31" s="13">
        <f>IF(COUNTIFS(T_SelfStock_Log[Part Name],$A31,T_SelfStock_Log[WeekIndex],34)=0,"",SUMIFS(T_SelfStock_Log[Self_Qty],T_SelfStock_Log[Part Name],$A31,T_SelfStock_Log[WeekIndex],34))</f>
        <v/>
      </c>
      <c r="AJ31" s="13">
        <f>IF(COUNTIFS(T_SelfStock_Log[Part Name],$A31,T_SelfStock_Log[WeekIndex],35)=0,"",SUMIFS(T_SelfStock_Log[Self_Qty],T_SelfStock_Log[Part Name],$A31,T_SelfStock_Log[WeekIndex],35))</f>
        <v/>
      </c>
      <c r="AK31" s="13">
        <f>IF(COUNTIFS(T_SelfStock_Log[Part Name],$A31,T_SelfStock_Log[WeekIndex],36)=0,"",SUMIFS(T_SelfStock_Log[Self_Qty],T_SelfStock_Log[Part Name],$A31,T_SelfStock_Log[WeekIndex],36))</f>
        <v/>
      </c>
      <c r="AL31" s="13">
        <f>IF(COUNTIFS(T_SelfStock_Log[Part Name],$A31,T_SelfStock_Log[WeekIndex],37)=0,"",SUMIFS(T_SelfStock_Log[Self_Qty],T_SelfStock_Log[Part Name],$A31,T_SelfStock_Log[WeekIndex],37))</f>
        <v/>
      </c>
      <c r="AM31" s="13">
        <f>IF(COUNTIFS(T_SelfStock_Log[Part Name],$A31,T_SelfStock_Log[WeekIndex],38)=0,"",SUMIFS(T_SelfStock_Log[Self_Qty],T_SelfStock_Log[Part Name],$A31,T_SelfStock_Log[WeekIndex],38))</f>
        <v/>
      </c>
      <c r="AN31" s="13">
        <f>IF(COUNTIFS(T_SelfStock_Log[Part Name],$A31,T_SelfStock_Log[WeekIndex],39)=0,"",SUMIFS(T_SelfStock_Log[Self_Qty],T_SelfStock_Log[Part Name],$A31,T_SelfStock_Log[WeekIndex],39))</f>
        <v/>
      </c>
      <c r="AO31" s="13">
        <f>IF(COUNTIFS(T_SelfStock_Log[Part Name],$A31,T_SelfStock_Log[WeekIndex],40)=0,"",SUMIFS(T_SelfStock_Log[Self_Qty],T_SelfStock_Log[Part Name],$A31,T_SelfStock_Log[WeekIndex],40))</f>
        <v/>
      </c>
      <c r="AP31" s="13">
        <f>IF(COUNTIFS(T_SelfStock_Log[Part Name],$A31,T_SelfStock_Log[WeekIndex],41)=0,"",SUMIFS(T_SelfStock_Log[Self_Qty],T_SelfStock_Log[Part Name],$A31,T_SelfStock_Log[WeekIndex],41))</f>
        <v/>
      </c>
      <c r="AQ31" s="13">
        <f>IF(COUNTIFS(T_SelfStock_Log[Part Name],$A31,T_SelfStock_Log[WeekIndex],42)=0,"",SUMIFS(T_SelfStock_Log[Self_Qty],T_SelfStock_Log[Part Name],$A31,T_SelfStock_Log[WeekIndex],42))</f>
        <v/>
      </c>
      <c r="AR31" s="13">
        <f>IF(COUNTIFS(T_SelfStock_Log[Part Name],$A31,T_SelfStock_Log[WeekIndex],43)=0,"",SUMIFS(T_SelfStock_Log[Self_Qty],T_SelfStock_Log[Part Name],$A31,T_SelfStock_Log[WeekIndex],43))</f>
        <v/>
      </c>
      <c r="AS31" s="13">
        <f>IF(COUNTIFS(T_SelfStock_Log[Part Name],$A31,T_SelfStock_Log[WeekIndex],44)=0,"",SUMIFS(T_SelfStock_Log[Self_Qty],T_SelfStock_Log[Part Name],$A31,T_SelfStock_Log[WeekIndex],44))</f>
        <v/>
      </c>
      <c r="AT31" s="13">
        <f>IF(COUNTIFS(T_SelfStock_Log[Part Name],$A31,T_SelfStock_Log[WeekIndex],45)=0,"",SUMIFS(T_SelfStock_Log[Self_Qty],T_SelfStock_Log[Part Name],$A31,T_SelfStock_Log[WeekIndex],45))</f>
        <v/>
      </c>
      <c r="AU31" s="13">
        <f>IF(COUNTIFS(T_SelfStock_Log[Part Name],$A31,T_SelfStock_Log[WeekIndex],46)=0,"",SUMIFS(T_SelfStock_Log[Self_Qty],T_SelfStock_Log[Part Name],$A31,T_SelfStock_Log[WeekIndex],46))</f>
        <v/>
      </c>
      <c r="AV31" s="13">
        <f>IF(COUNTIFS(T_SelfStock_Log[Part Name],$A31,T_SelfStock_Log[WeekIndex],47)=0,"",SUMIFS(T_SelfStock_Log[Self_Qty],T_SelfStock_Log[Part Name],$A31,T_SelfStock_Log[WeekIndex],47))</f>
        <v/>
      </c>
      <c r="AW31" s="13">
        <f>IF(COUNTIFS(T_SelfStock_Log[Part Name],$A31,T_SelfStock_Log[WeekIndex],48)=0,"",SUMIFS(T_SelfStock_Log[Self_Qty],T_SelfStock_Log[Part Name],$A31,T_SelfStock_Log[WeekIndex],48))</f>
        <v/>
      </c>
      <c r="AX31" s="13">
        <f>IF(COUNTIFS(T_SelfStock_Log[Part Name],$A31,T_SelfStock_Log[WeekIndex],49)=0,"",SUMIFS(T_SelfStock_Log[Self_Qty],T_SelfStock_Log[Part Name],$A31,T_SelfStock_Log[WeekIndex],49))</f>
        <v/>
      </c>
      <c r="AY31" s="13">
        <f>IF(COUNTIFS(T_SelfStock_Log[Part Name],$A31,T_SelfStock_Log[WeekIndex],50)=0,"",SUMIFS(T_SelfStock_Log[Self_Qty],T_SelfStock_Log[Part Name],$A31,T_SelfStock_Log[WeekIndex],50))</f>
        <v/>
      </c>
      <c r="AZ31" s="13">
        <f>IF(COUNTIFS(T_SelfStock_Log[Part Name],$A31,T_SelfStock_Log[WeekIndex],51)=0,"",SUMIFS(T_SelfStock_Log[Self_Qty],T_SelfStock_Log[Part Name],$A31,T_SelfStock_Log[WeekIndex],51))</f>
        <v/>
      </c>
      <c r="BA31" s="13">
        <f>IF(COUNTIFS(T_SelfStock_Log[Part Name],$A31,T_SelfStock_Log[WeekIndex],52)=0,"",SUMIFS(T_SelfStock_Log[Self_Qty],T_SelfStock_Log[Part Name],$A31,T_SelfStock_Log[WeekIndex],52))</f>
        <v/>
      </c>
      <c r="BB31" s="13">
        <f>IF(COUNTIFS(T_SelfStock_Log[Part Name],$A31,T_SelfStock_Log[WeekIndex],53)=0,"",SUMIFS(T_SelfStock_Log[Self_Qty],T_SelfStock_Log[Part Name],$A31,T_SelfStock_Log[WeekIndex],53))</f>
        <v/>
      </c>
      <c r="BC31" s="13">
        <f>IF(COUNTIFS(T_SelfStock_Log[Part Name],$A31,T_SelfStock_Log[WeekIndex],54)=0,"",SUMIFS(T_SelfStock_Log[Self_Qty],T_SelfStock_Log[Part Name],$A31,T_SelfStock_Log[WeekIndex],54))</f>
        <v/>
      </c>
      <c r="BD31" s="13">
        <f>IF(COUNTIFS(T_SelfStock_Log[Part Name],$A31,T_SelfStock_Log[WeekIndex],55)=0,"",SUMIFS(T_SelfStock_Log[Self_Qty],T_SelfStock_Log[Part Name],$A31,T_SelfStock_Log[WeekIndex],55))</f>
        <v/>
      </c>
      <c r="BE31" s="13">
        <f>IF(COUNTIFS(T_SelfStock_Log[Part Name],$A31,T_SelfStock_Log[WeekIndex],56)=0,"",SUMIFS(T_SelfStock_Log[Self_Qty],T_SelfStock_Log[Part Name],$A31,T_SelfStock_Log[WeekIndex],56))</f>
        <v/>
      </c>
      <c r="BF31" s="13">
        <f>IF(COUNTIFS(T_SelfStock_Log[Part Name],$A31,T_SelfStock_Log[WeekIndex],57)=0,"",SUMIFS(T_SelfStock_Log[Self_Qty],T_SelfStock_Log[Part Name],$A31,T_SelfStock_Log[WeekIndex],57))</f>
        <v/>
      </c>
      <c r="BG31" s="13">
        <f>IF(COUNTIFS(T_SelfStock_Log[Part Name],$A31,T_SelfStock_Log[WeekIndex],58)=0,"",SUMIFS(T_SelfStock_Log[Self_Qty],T_SelfStock_Log[Part Name],$A31,T_SelfStock_Log[WeekIndex],58))</f>
        <v/>
      </c>
      <c r="BH31" s="13">
        <f>IF(COUNTIFS(T_SelfStock_Log[Part Name],$A31,T_SelfStock_Log[WeekIndex],59)=0,"",SUMIFS(T_SelfStock_Log[Self_Qty],T_SelfStock_Log[Part Name],$A31,T_SelfStock_Log[WeekIndex],59))</f>
        <v/>
      </c>
      <c r="BI31" s="13">
        <f>IF(COUNTIFS(T_SelfStock_Log[Part Name],$A31,T_SelfStock_Log[WeekIndex],60)=0,"",SUMIFS(T_SelfStock_Log[Self_Qty],T_SelfStock_Log[Part Name],$A31,T_SelfStock_Log[WeekIndex],60))</f>
        <v/>
      </c>
      <c r="BJ31" s="13">
        <f>IF(COUNTIFS(T_SelfStock_Log[Part Name],$A31,T_SelfStock_Log[WeekIndex],61)=0,"",SUMIFS(T_SelfStock_Log[Self_Qty],T_SelfStock_Log[Part Name],$A31,T_SelfStock_Log[WeekIndex],61))</f>
        <v/>
      </c>
      <c r="BK31" s="13">
        <f>IF(COUNTIFS(T_SelfStock_Log[Part Name],$A31,T_SelfStock_Log[WeekIndex],62)=0,"",SUMIFS(T_SelfStock_Log[Self_Qty],T_SelfStock_Log[Part Name],$A31,T_SelfStock_Log[WeekIndex],62))</f>
        <v/>
      </c>
      <c r="BL31" s="13">
        <f>IF(COUNTIFS(T_SelfStock_Log[Part Name],$A31,T_SelfStock_Log[WeekIndex],63)=0,"",SUMIFS(T_SelfStock_Log[Self_Qty],T_SelfStock_Log[Part Name],$A31,T_SelfStock_Log[WeekIndex],63))</f>
        <v/>
      </c>
      <c r="BM31" s="13">
        <f>IF(COUNTIFS(T_SelfStock_Log[Part Name],$A31,T_SelfStock_Log[WeekIndex],64)=0,"",SUMIFS(T_SelfStock_Log[Self_Qty],T_SelfStock_Log[Part Name],$A31,T_SelfStock_Log[WeekIndex],64))</f>
        <v/>
      </c>
      <c r="BN31" s="13">
        <f>IF(COUNTIFS(T_SelfStock_Log[Part Name],$A31,T_SelfStock_Log[WeekIndex],65)=0,"",SUMIFS(T_SelfStock_Log[Self_Qty],T_SelfStock_Log[Part Name],$A31,T_SelfStock_Log[WeekIndex],65))</f>
        <v/>
      </c>
      <c r="BO31" s="13">
        <f>IF(COUNTIFS(T_SelfStock_Log[Part Name],$A31,T_SelfStock_Log[WeekIndex],66)=0,"",SUMIFS(T_SelfStock_Log[Self_Qty],T_SelfStock_Log[Part Name],$A31,T_SelfStock_Log[WeekIndex],66))</f>
        <v/>
      </c>
      <c r="BP31" s="13">
        <f>IF(COUNTIFS(T_SelfStock_Log[Part Name],$A31,T_SelfStock_Log[WeekIndex],67)=0,"",SUMIFS(T_SelfStock_Log[Self_Qty],T_SelfStock_Log[Part Name],$A31,T_SelfStock_Log[WeekIndex],67))</f>
        <v/>
      </c>
      <c r="BQ31" s="13">
        <f>IF(COUNTIFS(T_SelfStock_Log[Part Name],$A31,T_SelfStock_Log[WeekIndex],68)=0,"",SUMIFS(T_SelfStock_Log[Self_Qty],T_SelfStock_Log[Part Name],$A31,T_SelfStock_Log[WeekIndex],68))</f>
        <v/>
      </c>
      <c r="BR31" s="13">
        <f>IF(COUNTIFS(T_SelfStock_Log[Part Name],$A31,T_SelfStock_Log[WeekIndex],69)=0,"",SUMIFS(T_SelfStock_Log[Self_Qty],T_SelfStock_Log[Part Name],$A31,T_SelfStock_Log[WeekIndex],69))</f>
        <v/>
      </c>
      <c r="BS31" s="13">
        <f>IF(COUNTIFS(T_SelfStock_Log[Part Name],$A31,T_SelfStock_Log[WeekIndex],70)=0,"",SUMIFS(T_SelfStock_Log[Self_Qty],T_SelfStock_Log[Part Name],$A31,T_SelfStock_Log[WeekIndex],70))</f>
        <v/>
      </c>
      <c r="BT31" s="13">
        <f>IF(COUNTIFS(T_SelfStock_Log[Part Name],$A31,T_SelfStock_Log[WeekIndex],71)=0,"",SUMIFS(T_SelfStock_Log[Self_Qty],T_SelfStock_Log[Part Name],$A31,T_SelfStock_Log[WeekIndex],71))</f>
        <v/>
      </c>
      <c r="BU31" s="13">
        <f>IF(COUNTIFS(T_SelfStock_Log[Part Name],$A31,T_SelfStock_Log[WeekIndex],72)=0,"",SUMIFS(T_SelfStock_Log[Self_Qty],T_SelfStock_Log[Part Name],$A31,T_SelfStock_Log[WeekIndex],72))</f>
        <v/>
      </c>
      <c r="BV31" s="13">
        <f>IF(COUNTIFS(T_SelfStock_Log[Part Name],$A31,T_SelfStock_Log[WeekIndex],73)=0,"",SUMIFS(T_SelfStock_Log[Self_Qty],T_SelfStock_Log[Part Name],$A31,T_SelfStock_Log[WeekIndex],73))</f>
        <v/>
      </c>
      <c r="BW31" s="13">
        <f>IF(COUNTIFS(T_SelfStock_Log[Part Name],$A31,T_SelfStock_Log[WeekIndex],74)=0,"",SUMIFS(T_SelfStock_Log[Self_Qty],T_SelfStock_Log[Part Name],$A31,T_SelfStock_Log[WeekIndex],74))</f>
        <v/>
      </c>
      <c r="BX31" s="13">
        <f>IF(COUNTIFS(T_SelfStock_Log[Part Name],$A31,T_SelfStock_Log[WeekIndex],75)=0,"",SUMIFS(T_SelfStock_Log[Self_Qty],T_SelfStock_Log[Part Name],$A31,T_SelfStock_Log[WeekIndex],75))</f>
        <v/>
      </c>
      <c r="BY31" s="13">
        <f>IF(COUNTIFS(T_SelfStock_Log[Part Name],$A31,T_SelfStock_Log[WeekIndex],76)=0,"",SUMIFS(T_SelfStock_Log[Self_Qty],T_SelfStock_Log[Part Name],$A31,T_SelfStock_Log[WeekIndex],76))</f>
        <v/>
      </c>
      <c r="BZ31" s="13">
        <f>IF(COUNTIFS(T_SelfStock_Log[Part Name],$A31,T_SelfStock_Log[WeekIndex],77)=0,"",SUMIFS(T_SelfStock_Log[Self_Qty],T_SelfStock_Log[Part Name],$A31,T_SelfStock_Log[WeekIndex],77))</f>
        <v/>
      </c>
      <c r="CA31" s="13">
        <f>IF(COUNTIFS(T_SelfStock_Log[Part Name],$A31,T_SelfStock_Log[WeekIndex],78)=0,"",SUMIFS(T_SelfStock_Log[Self_Qty],T_SelfStock_Log[Part Name],$A31,T_SelfStock_Log[WeekIndex],78))</f>
        <v/>
      </c>
      <c r="CB31" s="13">
        <f>IF(COUNTIFS(T_SelfStock_Log[Part Name],$A31,T_SelfStock_Log[WeekIndex],79)=0,"",SUMIFS(T_SelfStock_Log[Self_Qty],T_SelfStock_Log[Part Name],$A31,T_SelfStock_Log[WeekIndex],79))</f>
        <v/>
      </c>
      <c r="CC31" s="13">
        <f>IF(COUNTIFS(T_SelfStock_Log[Part Name],$A31,T_SelfStock_Log[WeekIndex],80)=0,"",SUMIFS(T_SelfStock_Log[Self_Qty],T_SelfStock_Log[Part Name],$A31,T_SelfStock_Log[WeekIndex],80))</f>
        <v/>
      </c>
      <c r="CD31" s="13">
        <f>IF(COUNTIFS(T_SelfStock_Log[Part Name],$A31,T_SelfStock_Log[WeekIndex],81)=0,"",SUMIFS(T_SelfStock_Log[Self_Qty],T_SelfStock_Log[Part Name],$A31,T_SelfStock_Log[WeekIndex],81))</f>
        <v/>
      </c>
      <c r="CE31" s="13">
        <f>IF(COUNTIFS(T_SelfStock_Log[Part Name],$A31,T_SelfStock_Log[WeekIndex],82)=0,"",SUMIFS(T_SelfStock_Log[Self_Qty],T_SelfStock_Log[Part Name],$A31,T_SelfStock_Log[WeekIndex],82))</f>
        <v/>
      </c>
      <c r="CF31" s="13">
        <f>IF(COUNTIFS(T_SelfStock_Log[Part Name],$A31,T_SelfStock_Log[WeekIndex],83)=0,"",SUMIFS(T_SelfStock_Log[Self_Qty],T_SelfStock_Log[Part Name],$A31,T_SelfStock_Log[WeekIndex],83))</f>
        <v/>
      </c>
      <c r="CG31" s="13">
        <f>IF(COUNTIFS(T_SelfStock_Log[Part Name],$A31,T_SelfStock_Log[WeekIndex],84)=0,"",SUMIFS(T_SelfStock_Log[Self_Qty],T_SelfStock_Log[Part Name],$A31,T_SelfStock_Log[WeekIndex],84))</f>
        <v/>
      </c>
      <c r="CH31" s="13">
        <f>IF(COUNTIFS(T_SelfStock_Log[Part Name],$A31,T_SelfStock_Log[WeekIndex],85)=0,"",SUMIFS(T_SelfStock_Log[Self_Qty],T_SelfStock_Log[Part Name],$A31,T_SelfStock_Log[WeekIndex],85))</f>
        <v/>
      </c>
      <c r="CI31" s="13">
        <f>IF(COUNTIFS(T_SelfStock_Log[Part Name],$A31,T_SelfStock_Log[WeekIndex],86)=0,"",SUMIFS(T_SelfStock_Log[Self_Qty],T_SelfStock_Log[Part Name],$A31,T_SelfStock_Log[WeekIndex],86))</f>
        <v/>
      </c>
      <c r="CJ31" s="13">
        <f>IF(COUNTIFS(T_SelfStock_Log[Part Name],$A31,T_SelfStock_Log[WeekIndex],87)=0,"",SUMIFS(T_SelfStock_Log[Self_Qty],T_SelfStock_Log[Part Name],$A31,T_SelfStock_Log[WeekIndex],87))</f>
        <v/>
      </c>
      <c r="CK31" s="13">
        <f>IF(COUNTIFS(T_SelfStock_Log[Part Name],$A31,T_SelfStock_Log[WeekIndex],88)=0,"",SUMIFS(T_SelfStock_Log[Self_Qty],T_SelfStock_Log[Part Name],$A31,T_SelfStock_Log[WeekIndex],88))</f>
        <v/>
      </c>
      <c r="CL31" s="13">
        <f>IF(COUNTIFS(T_SelfStock_Log[Part Name],$A31,T_SelfStock_Log[WeekIndex],89)=0,"",SUMIFS(T_SelfStock_Log[Self_Qty],T_SelfStock_Log[Part Name],$A31,T_SelfStock_Log[WeekIndex],89))</f>
        <v/>
      </c>
      <c r="CM31" s="13">
        <f>IF(COUNTIFS(T_SelfStock_Log[Part Name],$A31,T_SelfStock_Log[WeekIndex],90)=0,"",SUMIFS(T_SelfStock_Log[Self_Qty],T_SelfStock_Log[Part Name],$A31,T_SelfStock_Log[WeekIndex],90))</f>
        <v/>
      </c>
      <c r="CN31" s="13">
        <f>IF(COUNTIFS(T_SelfStock_Log[Part Name],$A31,T_SelfStock_Log[WeekIndex],91)=0,"",SUMIFS(T_SelfStock_Log[Self_Qty],T_SelfStock_Log[Part Name],$A31,T_SelfStock_Log[WeekIndex],91))</f>
        <v/>
      </c>
      <c r="CO31" s="13">
        <f>IF(COUNTIFS(T_SelfStock_Log[Part Name],$A31,T_SelfStock_Log[WeekIndex],92)=0,"",SUMIFS(T_SelfStock_Log[Self_Qty],T_SelfStock_Log[Part Name],$A31,T_SelfStock_Log[WeekIndex],92))</f>
        <v/>
      </c>
      <c r="CP31" s="13">
        <f>IF(COUNTIFS(T_SelfStock_Log[Part Name],$A31,T_SelfStock_Log[WeekIndex],93)=0,"",SUMIFS(T_SelfStock_Log[Self_Qty],T_SelfStock_Log[Part Name],$A31,T_SelfStock_Log[WeekIndex],93))</f>
        <v/>
      </c>
      <c r="CQ31" s="13">
        <f>IF(COUNTIFS(T_SelfStock_Log[Part Name],$A31,T_SelfStock_Log[WeekIndex],94)=0,"",SUMIFS(T_SelfStock_Log[Self_Qty],T_SelfStock_Log[Part Name],$A31,T_SelfStock_Log[WeekIndex],94))</f>
        <v/>
      </c>
      <c r="CR31" s="13">
        <f>IF(COUNTIFS(T_SelfStock_Log[Part Name],$A31,T_SelfStock_Log[WeekIndex],95)=0,"",SUMIFS(T_SelfStock_Log[Self_Qty],T_SelfStock_Log[Part Name],$A31,T_SelfStock_Log[WeekIndex],95))</f>
        <v/>
      </c>
      <c r="CS31" s="13">
        <f>IF(COUNTIFS(T_SelfStock_Log[Part Name],$A31,T_SelfStock_Log[WeekIndex],96)=0,"",SUMIFS(T_SelfStock_Log[Self_Qty],T_SelfStock_Log[Part Name],$A31,T_SelfStock_Log[WeekIndex],96))</f>
        <v/>
      </c>
      <c r="CT31" s="13">
        <f>IF(COUNTIFS(T_SelfStock_Log[Part Name],$A31,T_SelfStock_Log[WeekIndex],97)=0,"",SUMIFS(T_SelfStock_Log[Self_Qty],T_SelfStock_Log[Part Name],$A31,T_SelfStock_Log[WeekIndex],97))</f>
        <v/>
      </c>
      <c r="CU31" s="13">
        <f>IF(COUNTIFS(T_SelfStock_Log[Part Name],$A31,T_SelfStock_Log[WeekIndex],98)=0,"",SUMIFS(T_SelfStock_Log[Self_Qty],T_SelfStock_Log[Part Name],$A31,T_SelfStock_Log[WeekIndex],98))</f>
        <v/>
      </c>
      <c r="CV31" s="13">
        <f>IF(COUNTIFS(T_SelfStock_Log[Part Name],$A31,T_SelfStock_Log[WeekIndex],99)=0,"",SUMIFS(T_SelfStock_Log[Self_Qty],T_SelfStock_Log[Part Name],$A31,T_SelfStock_Log[WeekIndex],99))</f>
        <v/>
      </c>
      <c r="CW31" s="13">
        <f>IF(COUNTIFS(T_SelfStock_Log[Part Name],$A31,T_SelfStock_Log[WeekIndex],100)=0,"",SUMIFS(T_SelfStock_Log[Self_Qty],T_SelfStock_Log[Part Name],$A31,T_SelfStock_Log[WeekIndex],100))</f>
        <v/>
      </c>
      <c r="CX31" s="13">
        <f>IF(COUNTIFS(T_SelfStock_Log[Part Name],$A31,T_SelfStock_Log[WeekIndex],101)=0,"",SUMIFS(T_SelfStock_Log[Self_Qty],T_SelfStock_Log[Part Name],$A31,T_SelfStock_Log[WeekIndex],101))</f>
        <v/>
      </c>
      <c r="CY31" s="13">
        <f>IF(COUNTIFS(T_SelfStock_Log[Part Name],$A31,T_SelfStock_Log[WeekIndex],102)=0,"",SUMIFS(T_SelfStock_Log[Self_Qty],T_SelfStock_Log[Part Name],$A31,T_SelfStock_Log[WeekIndex],102))</f>
        <v/>
      </c>
      <c r="CZ31" s="13">
        <f>IF(COUNTIFS(T_SelfStock_Log[Part Name],$A31,T_SelfStock_Log[WeekIndex],103)=0,"",SUMIFS(T_SelfStock_Log[Self_Qty],T_SelfStock_Log[Part Name],$A31,T_SelfStock_Log[WeekIndex],103))</f>
        <v/>
      </c>
      <c r="DA31" s="13">
        <f>IF(COUNTIFS(T_SelfStock_Log[Part Name],$A31,T_SelfStock_Log[WeekIndex],104)=0,"",SUMIFS(T_SelfStock_Log[Self_Qty],T_SelfStock_Log[Part Name],$A31,T_SelfStock_Log[WeekIndex],104))</f>
        <v/>
      </c>
    </row>
    <row r="32">
      <c r="A32" s="12" t="inlineStr">
        <is>
          <t>CHEM-1820</t>
        </is>
      </c>
      <c r="B32" s="12">
        <f>IF(COUNTIFS(T_SelfStock_Log[Part Name],$A32,T_SelfStock_Log[WeekIndex],1)=0,"",SUMIFS(T_SelfStock_Log[Self_Qty],T_SelfStock_Log[Part Name],$A32,T_SelfStock_Log[WeekIndex],1))</f>
        <v/>
      </c>
      <c r="C32" s="12">
        <f>IF(COUNTIFS(T_SelfStock_Log[Part Name],$A32,T_SelfStock_Log[WeekIndex],2)=0,"",SUMIFS(T_SelfStock_Log[Self_Qty],T_SelfStock_Log[Part Name],$A32,T_SelfStock_Log[WeekIndex],2))</f>
        <v/>
      </c>
      <c r="D32" s="12">
        <f>IF(COUNTIFS(T_SelfStock_Log[Part Name],$A32,T_SelfStock_Log[WeekIndex],3)=0,"",SUMIFS(T_SelfStock_Log[Self_Qty],T_SelfStock_Log[Part Name],$A32,T_SelfStock_Log[WeekIndex],3))</f>
        <v/>
      </c>
      <c r="E32" s="12">
        <f>IF(COUNTIFS(T_SelfStock_Log[Part Name],$A32,T_SelfStock_Log[WeekIndex],4)=0,"",SUMIFS(T_SelfStock_Log[Self_Qty],T_SelfStock_Log[Part Name],$A32,T_SelfStock_Log[WeekIndex],4))</f>
        <v/>
      </c>
      <c r="F32" s="12">
        <f>IF(COUNTIFS(T_SelfStock_Log[Part Name],$A32,T_SelfStock_Log[WeekIndex],5)=0,"",SUMIFS(T_SelfStock_Log[Self_Qty],T_SelfStock_Log[Part Name],$A32,T_SelfStock_Log[WeekIndex],5))</f>
        <v/>
      </c>
      <c r="G32" s="12">
        <f>IF(COUNTIFS(T_SelfStock_Log[Part Name],$A32,T_SelfStock_Log[WeekIndex],6)=0,"",SUMIFS(T_SelfStock_Log[Self_Qty],T_SelfStock_Log[Part Name],$A32,T_SelfStock_Log[WeekIndex],6))</f>
        <v/>
      </c>
      <c r="H32" s="12">
        <f>IF(COUNTIFS(T_SelfStock_Log[Part Name],$A32,T_SelfStock_Log[WeekIndex],7)=0,"",SUMIFS(T_SelfStock_Log[Self_Qty],T_SelfStock_Log[Part Name],$A32,T_SelfStock_Log[WeekIndex],7))</f>
        <v/>
      </c>
      <c r="I32" s="12">
        <f>IF(COUNTIFS(T_SelfStock_Log[Part Name],$A32,T_SelfStock_Log[WeekIndex],8)=0,"",SUMIFS(T_SelfStock_Log[Self_Qty],T_SelfStock_Log[Part Name],$A32,T_SelfStock_Log[WeekIndex],8))</f>
        <v/>
      </c>
      <c r="J32" s="12">
        <f>IF(COUNTIFS(T_SelfStock_Log[Part Name],$A32,T_SelfStock_Log[WeekIndex],9)=0,"",SUMIFS(T_SelfStock_Log[Self_Qty],T_SelfStock_Log[Part Name],$A32,T_SelfStock_Log[WeekIndex],9))</f>
        <v/>
      </c>
      <c r="K32" s="12">
        <f>IF(COUNTIFS(T_SelfStock_Log[Part Name],$A32,T_SelfStock_Log[WeekIndex],10)=0,"",SUMIFS(T_SelfStock_Log[Self_Qty],T_SelfStock_Log[Part Name],$A32,T_SelfStock_Log[WeekIndex],10))</f>
        <v/>
      </c>
      <c r="L32" s="12">
        <f>IF(COUNTIFS(T_SelfStock_Log[Part Name],$A32,T_SelfStock_Log[WeekIndex],11)=0,"",SUMIFS(T_SelfStock_Log[Self_Qty],T_SelfStock_Log[Part Name],$A32,T_SelfStock_Log[WeekIndex],11))</f>
        <v/>
      </c>
      <c r="M32" s="12">
        <f>IF(COUNTIFS(T_SelfStock_Log[Part Name],$A32,T_SelfStock_Log[WeekIndex],12)=0,"",SUMIFS(T_SelfStock_Log[Self_Qty],T_SelfStock_Log[Part Name],$A32,T_SelfStock_Log[WeekIndex],12))</f>
        <v/>
      </c>
      <c r="N32" s="12">
        <f>IF(COUNTIFS(T_SelfStock_Log[Part Name],$A32,T_SelfStock_Log[WeekIndex],13)=0,"",SUMIFS(T_SelfStock_Log[Self_Qty],T_SelfStock_Log[Part Name],$A32,T_SelfStock_Log[WeekIndex],13))</f>
        <v/>
      </c>
      <c r="O32" s="12">
        <f>IF(COUNTIFS(T_SelfStock_Log[Part Name],$A32,T_SelfStock_Log[WeekIndex],14)=0,"",SUMIFS(T_SelfStock_Log[Self_Qty],T_SelfStock_Log[Part Name],$A32,T_SelfStock_Log[WeekIndex],14))</f>
        <v/>
      </c>
      <c r="P32" s="12">
        <f>IF(COUNTIFS(T_SelfStock_Log[Part Name],$A32,T_SelfStock_Log[WeekIndex],15)=0,"",SUMIFS(T_SelfStock_Log[Self_Qty],T_SelfStock_Log[Part Name],$A32,T_SelfStock_Log[WeekIndex],15))</f>
        <v/>
      </c>
      <c r="Q32" s="12">
        <f>IF(COUNTIFS(T_SelfStock_Log[Part Name],$A32,T_SelfStock_Log[WeekIndex],16)=0,"",SUMIFS(T_SelfStock_Log[Self_Qty],T_SelfStock_Log[Part Name],$A32,T_SelfStock_Log[WeekIndex],16))</f>
        <v/>
      </c>
      <c r="R32" s="12">
        <f>IF(COUNTIFS(T_SelfStock_Log[Part Name],$A32,T_SelfStock_Log[WeekIndex],17)=0,"",SUMIFS(T_SelfStock_Log[Self_Qty],T_SelfStock_Log[Part Name],$A32,T_SelfStock_Log[WeekIndex],17))</f>
        <v/>
      </c>
      <c r="S32" s="12">
        <f>IF(COUNTIFS(T_SelfStock_Log[Part Name],$A32,T_SelfStock_Log[WeekIndex],18)=0,"",SUMIFS(T_SelfStock_Log[Self_Qty],T_SelfStock_Log[Part Name],$A32,T_SelfStock_Log[WeekIndex],18))</f>
        <v/>
      </c>
      <c r="T32" s="12">
        <f>IF(COUNTIFS(T_SelfStock_Log[Part Name],$A32,T_SelfStock_Log[WeekIndex],19)=0,"",SUMIFS(T_SelfStock_Log[Self_Qty],T_SelfStock_Log[Part Name],$A32,T_SelfStock_Log[WeekIndex],19))</f>
        <v/>
      </c>
      <c r="U32" s="12">
        <f>IF(COUNTIFS(T_SelfStock_Log[Part Name],$A32,T_SelfStock_Log[WeekIndex],20)=0,"",SUMIFS(T_SelfStock_Log[Self_Qty],T_SelfStock_Log[Part Name],$A32,T_SelfStock_Log[WeekIndex],20))</f>
        <v/>
      </c>
      <c r="V32" s="12">
        <f>IF(COUNTIFS(T_SelfStock_Log[Part Name],$A32,T_SelfStock_Log[WeekIndex],21)=0,"",SUMIFS(T_SelfStock_Log[Self_Qty],T_SelfStock_Log[Part Name],$A32,T_SelfStock_Log[WeekIndex],21))</f>
        <v/>
      </c>
      <c r="W32" s="12">
        <f>IF(COUNTIFS(T_SelfStock_Log[Part Name],$A32,T_SelfStock_Log[WeekIndex],22)=0,"",SUMIFS(T_SelfStock_Log[Self_Qty],T_SelfStock_Log[Part Name],$A32,T_SelfStock_Log[WeekIndex],22))</f>
        <v/>
      </c>
      <c r="X32" s="12">
        <f>IF(COUNTIFS(T_SelfStock_Log[Part Name],$A32,T_SelfStock_Log[WeekIndex],23)=0,"",SUMIFS(T_SelfStock_Log[Self_Qty],T_SelfStock_Log[Part Name],$A32,T_SelfStock_Log[WeekIndex],23))</f>
        <v/>
      </c>
      <c r="Y32" s="12">
        <f>IF(COUNTIFS(T_SelfStock_Log[Part Name],$A32,T_SelfStock_Log[WeekIndex],24)=0,"",SUMIFS(T_SelfStock_Log[Self_Qty],T_SelfStock_Log[Part Name],$A32,T_SelfStock_Log[WeekIndex],24))</f>
        <v/>
      </c>
      <c r="Z32" s="12">
        <f>IF(COUNTIFS(T_SelfStock_Log[Part Name],$A32,T_SelfStock_Log[WeekIndex],25)=0,"",SUMIFS(T_SelfStock_Log[Self_Qty],T_SelfStock_Log[Part Name],$A32,T_SelfStock_Log[WeekIndex],25))</f>
        <v/>
      </c>
      <c r="AA32" s="12">
        <f>IF(COUNTIFS(T_SelfStock_Log[Part Name],$A32,T_SelfStock_Log[WeekIndex],26)=0,"",SUMIFS(T_SelfStock_Log[Self_Qty],T_SelfStock_Log[Part Name],$A32,T_SelfStock_Log[WeekIndex],26))</f>
        <v/>
      </c>
      <c r="AB32" s="12">
        <f>IF(COUNTIFS(T_SelfStock_Log[Part Name],$A32,T_SelfStock_Log[WeekIndex],27)=0,"",SUMIFS(T_SelfStock_Log[Self_Qty],T_SelfStock_Log[Part Name],$A32,T_SelfStock_Log[WeekIndex],27))</f>
        <v/>
      </c>
      <c r="AC32" s="12">
        <f>IF(COUNTIFS(T_SelfStock_Log[Part Name],$A32,T_SelfStock_Log[WeekIndex],28)=0,"",SUMIFS(T_SelfStock_Log[Self_Qty],T_SelfStock_Log[Part Name],$A32,T_SelfStock_Log[WeekIndex],28))</f>
        <v/>
      </c>
      <c r="AD32" s="12">
        <f>IF(COUNTIFS(T_SelfStock_Log[Part Name],$A32,T_SelfStock_Log[WeekIndex],29)=0,"",SUMIFS(T_SelfStock_Log[Self_Qty],T_SelfStock_Log[Part Name],$A32,T_SelfStock_Log[WeekIndex],29))</f>
        <v/>
      </c>
      <c r="AE32" s="12">
        <f>IF(COUNTIFS(T_SelfStock_Log[Part Name],$A32,T_SelfStock_Log[WeekIndex],30)=0,"",SUMIFS(T_SelfStock_Log[Self_Qty],T_SelfStock_Log[Part Name],$A32,T_SelfStock_Log[WeekIndex],30))</f>
        <v/>
      </c>
      <c r="AF32" s="12">
        <f>IF(COUNTIFS(T_SelfStock_Log[Part Name],$A32,T_SelfStock_Log[WeekIndex],31)=0,"",SUMIFS(T_SelfStock_Log[Self_Qty],T_SelfStock_Log[Part Name],$A32,T_SelfStock_Log[WeekIndex],31))</f>
        <v/>
      </c>
      <c r="AG32" s="12">
        <f>IF(COUNTIFS(T_SelfStock_Log[Part Name],$A32,T_SelfStock_Log[WeekIndex],32)=0,"",SUMIFS(T_SelfStock_Log[Self_Qty],T_SelfStock_Log[Part Name],$A32,T_SelfStock_Log[WeekIndex],32))</f>
        <v/>
      </c>
      <c r="AH32" s="12">
        <f>IF(COUNTIFS(T_SelfStock_Log[Part Name],$A32,T_SelfStock_Log[WeekIndex],33)=0,"",SUMIFS(T_SelfStock_Log[Self_Qty],T_SelfStock_Log[Part Name],$A32,T_SelfStock_Log[WeekIndex],33))</f>
        <v/>
      </c>
      <c r="AI32" s="12">
        <f>IF(COUNTIFS(T_SelfStock_Log[Part Name],$A32,T_SelfStock_Log[WeekIndex],34)=0,"",SUMIFS(T_SelfStock_Log[Self_Qty],T_SelfStock_Log[Part Name],$A32,T_SelfStock_Log[WeekIndex],34))</f>
        <v/>
      </c>
      <c r="AJ32" s="12">
        <f>IF(COUNTIFS(T_SelfStock_Log[Part Name],$A32,T_SelfStock_Log[WeekIndex],35)=0,"",SUMIFS(T_SelfStock_Log[Self_Qty],T_SelfStock_Log[Part Name],$A32,T_SelfStock_Log[WeekIndex],35))</f>
        <v/>
      </c>
      <c r="AK32" s="12">
        <f>IF(COUNTIFS(T_SelfStock_Log[Part Name],$A32,T_SelfStock_Log[WeekIndex],36)=0,"",SUMIFS(T_SelfStock_Log[Self_Qty],T_SelfStock_Log[Part Name],$A32,T_SelfStock_Log[WeekIndex],36))</f>
        <v/>
      </c>
      <c r="AL32" s="12">
        <f>IF(COUNTIFS(T_SelfStock_Log[Part Name],$A32,T_SelfStock_Log[WeekIndex],37)=0,"",SUMIFS(T_SelfStock_Log[Self_Qty],T_SelfStock_Log[Part Name],$A32,T_SelfStock_Log[WeekIndex],37))</f>
        <v/>
      </c>
      <c r="AM32" s="12">
        <f>IF(COUNTIFS(T_SelfStock_Log[Part Name],$A32,T_SelfStock_Log[WeekIndex],38)=0,"",SUMIFS(T_SelfStock_Log[Self_Qty],T_SelfStock_Log[Part Name],$A32,T_SelfStock_Log[WeekIndex],38))</f>
        <v/>
      </c>
      <c r="AN32" s="12">
        <f>IF(COUNTIFS(T_SelfStock_Log[Part Name],$A32,T_SelfStock_Log[WeekIndex],39)=0,"",SUMIFS(T_SelfStock_Log[Self_Qty],T_SelfStock_Log[Part Name],$A32,T_SelfStock_Log[WeekIndex],39))</f>
        <v/>
      </c>
      <c r="AO32" s="12">
        <f>IF(COUNTIFS(T_SelfStock_Log[Part Name],$A32,T_SelfStock_Log[WeekIndex],40)=0,"",SUMIFS(T_SelfStock_Log[Self_Qty],T_SelfStock_Log[Part Name],$A32,T_SelfStock_Log[WeekIndex],40))</f>
        <v/>
      </c>
      <c r="AP32" s="12">
        <f>IF(COUNTIFS(T_SelfStock_Log[Part Name],$A32,T_SelfStock_Log[WeekIndex],41)=0,"",SUMIFS(T_SelfStock_Log[Self_Qty],T_SelfStock_Log[Part Name],$A32,T_SelfStock_Log[WeekIndex],41))</f>
        <v/>
      </c>
      <c r="AQ32" s="12">
        <f>IF(COUNTIFS(T_SelfStock_Log[Part Name],$A32,T_SelfStock_Log[WeekIndex],42)=0,"",SUMIFS(T_SelfStock_Log[Self_Qty],T_SelfStock_Log[Part Name],$A32,T_SelfStock_Log[WeekIndex],42))</f>
        <v/>
      </c>
      <c r="AR32" s="12">
        <f>IF(COUNTIFS(T_SelfStock_Log[Part Name],$A32,T_SelfStock_Log[WeekIndex],43)=0,"",SUMIFS(T_SelfStock_Log[Self_Qty],T_SelfStock_Log[Part Name],$A32,T_SelfStock_Log[WeekIndex],43))</f>
        <v/>
      </c>
      <c r="AS32" s="12">
        <f>IF(COUNTIFS(T_SelfStock_Log[Part Name],$A32,T_SelfStock_Log[WeekIndex],44)=0,"",SUMIFS(T_SelfStock_Log[Self_Qty],T_SelfStock_Log[Part Name],$A32,T_SelfStock_Log[WeekIndex],44))</f>
        <v/>
      </c>
      <c r="AT32" s="12">
        <f>IF(COUNTIFS(T_SelfStock_Log[Part Name],$A32,T_SelfStock_Log[WeekIndex],45)=0,"",SUMIFS(T_SelfStock_Log[Self_Qty],T_SelfStock_Log[Part Name],$A32,T_SelfStock_Log[WeekIndex],45))</f>
        <v/>
      </c>
      <c r="AU32" s="12">
        <f>IF(COUNTIFS(T_SelfStock_Log[Part Name],$A32,T_SelfStock_Log[WeekIndex],46)=0,"",SUMIFS(T_SelfStock_Log[Self_Qty],T_SelfStock_Log[Part Name],$A32,T_SelfStock_Log[WeekIndex],46))</f>
        <v/>
      </c>
      <c r="AV32" s="12">
        <f>IF(COUNTIFS(T_SelfStock_Log[Part Name],$A32,T_SelfStock_Log[WeekIndex],47)=0,"",SUMIFS(T_SelfStock_Log[Self_Qty],T_SelfStock_Log[Part Name],$A32,T_SelfStock_Log[WeekIndex],47))</f>
        <v/>
      </c>
      <c r="AW32" s="12">
        <f>IF(COUNTIFS(T_SelfStock_Log[Part Name],$A32,T_SelfStock_Log[WeekIndex],48)=0,"",SUMIFS(T_SelfStock_Log[Self_Qty],T_SelfStock_Log[Part Name],$A32,T_SelfStock_Log[WeekIndex],48))</f>
        <v/>
      </c>
      <c r="AX32" s="12">
        <f>IF(COUNTIFS(T_SelfStock_Log[Part Name],$A32,T_SelfStock_Log[WeekIndex],49)=0,"",SUMIFS(T_SelfStock_Log[Self_Qty],T_SelfStock_Log[Part Name],$A32,T_SelfStock_Log[WeekIndex],49))</f>
        <v/>
      </c>
      <c r="AY32" s="12">
        <f>IF(COUNTIFS(T_SelfStock_Log[Part Name],$A32,T_SelfStock_Log[WeekIndex],50)=0,"",SUMIFS(T_SelfStock_Log[Self_Qty],T_SelfStock_Log[Part Name],$A32,T_SelfStock_Log[WeekIndex],50))</f>
        <v/>
      </c>
      <c r="AZ32" s="12">
        <f>IF(COUNTIFS(T_SelfStock_Log[Part Name],$A32,T_SelfStock_Log[WeekIndex],51)=0,"",SUMIFS(T_SelfStock_Log[Self_Qty],T_SelfStock_Log[Part Name],$A32,T_SelfStock_Log[WeekIndex],51))</f>
        <v/>
      </c>
      <c r="BA32" s="12">
        <f>IF(COUNTIFS(T_SelfStock_Log[Part Name],$A32,T_SelfStock_Log[WeekIndex],52)=0,"",SUMIFS(T_SelfStock_Log[Self_Qty],T_SelfStock_Log[Part Name],$A32,T_SelfStock_Log[WeekIndex],52))</f>
        <v/>
      </c>
      <c r="BB32" s="12">
        <f>IF(COUNTIFS(T_SelfStock_Log[Part Name],$A32,T_SelfStock_Log[WeekIndex],53)=0,"",SUMIFS(T_SelfStock_Log[Self_Qty],T_SelfStock_Log[Part Name],$A32,T_SelfStock_Log[WeekIndex],53))</f>
        <v/>
      </c>
      <c r="BC32" s="12">
        <f>IF(COUNTIFS(T_SelfStock_Log[Part Name],$A32,T_SelfStock_Log[WeekIndex],54)=0,"",SUMIFS(T_SelfStock_Log[Self_Qty],T_SelfStock_Log[Part Name],$A32,T_SelfStock_Log[WeekIndex],54))</f>
        <v/>
      </c>
      <c r="BD32" s="12">
        <f>IF(COUNTIFS(T_SelfStock_Log[Part Name],$A32,T_SelfStock_Log[WeekIndex],55)=0,"",SUMIFS(T_SelfStock_Log[Self_Qty],T_SelfStock_Log[Part Name],$A32,T_SelfStock_Log[WeekIndex],55))</f>
        <v/>
      </c>
      <c r="BE32" s="12">
        <f>IF(COUNTIFS(T_SelfStock_Log[Part Name],$A32,T_SelfStock_Log[WeekIndex],56)=0,"",SUMIFS(T_SelfStock_Log[Self_Qty],T_SelfStock_Log[Part Name],$A32,T_SelfStock_Log[WeekIndex],56))</f>
        <v/>
      </c>
      <c r="BF32" s="12">
        <f>IF(COUNTIFS(T_SelfStock_Log[Part Name],$A32,T_SelfStock_Log[WeekIndex],57)=0,"",SUMIFS(T_SelfStock_Log[Self_Qty],T_SelfStock_Log[Part Name],$A32,T_SelfStock_Log[WeekIndex],57))</f>
        <v/>
      </c>
      <c r="BG32" s="12">
        <f>IF(COUNTIFS(T_SelfStock_Log[Part Name],$A32,T_SelfStock_Log[WeekIndex],58)=0,"",SUMIFS(T_SelfStock_Log[Self_Qty],T_SelfStock_Log[Part Name],$A32,T_SelfStock_Log[WeekIndex],58))</f>
        <v/>
      </c>
      <c r="BH32" s="12">
        <f>IF(COUNTIFS(T_SelfStock_Log[Part Name],$A32,T_SelfStock_Log[WeekIndex],59)=0,"",SUMIFS(T_SelfStock_Log[Self_Qty],T_SelfStock_Log[Part Name],$A32,T_SelfStock_Log[WeekIndex],59))</f>
        <v/>
      </c>
      <c r="BI32" s="12">
        <f>IF(COUNTIFS(T_SelfStock_Log[Part Name],$A32,T_SelfStock_Log[WeekIndex],60)=0,"",SUMIFS(T_SelfStock_Log[Self_Qty],T_SelfStock_Log[Part Name],$A32,T_SelfStock_Log[WeekIndex],60))</f>
        <v/>
      </c>
      <c r="BJ32" s="12">
        <f>IF(COUNTIFS(T_SelfStock_Log[Part Name],$A32,T_SelfStock_Log[WeekIndex],61)=0,"",SUMIFS(T_SelfStock_Log[Self_Qty],T_SelfStock_Log[Part Name],$A32,T_SelfStock_Log[WeekIndex],61))</f>
        <v/>
      </c>
      <c r="BK32" s="12">
        <f>IF(COUNTIFS(T_SelfStock_Log[Part Name],$A32,T_SelfStock_Log[WeekIndex],62)=0,"",SUMIFS(T_SelfStock_Log[Self_Qty],T_SelfStock_Log[Part Name],$A32,T_SelfStock_Log[WeekIndex],62))</f>
        <v/>
      </c>
      <c r="BL32" s="12">
        <f>IF(COUNTIFS(T_SelfStock_Log[Part Name],$A32,T_SelfStock_Log[WeekIndex],63)=0,"",SUMIFS(T_SelfStock_Log[Self_Qty],T_SelfStock_Log[Part Name],$A32,T_SelfStock_Log[WeekIndex],63))</f>
        <v/>
      </c>
      <c r="BM32" s="12">
        <f>IF(COUNTIFS(T_SelfStock_Log[Part Name],$A32,T_SelfStock_Log[WeekIndex],64)=0,"",SUMIFS(T_SelfStock_Log[Self_Qty],T_SelfStock_Log[Part Name],$A32,T_SelfStock_Log[WeekIndex],64))</f>
        <v/>
      </c>
      <c r="BN32" s="12">
        <f>IF(COUNTIFS(T_SelfStock_Log[Part Name],$A32,T_SelfStock_Log[WeekIndex],65)=0,"",SUMIFS(T_SelfStock_Log[Self_Qty],T_SelfStock_Log[Part Name],$A32,T_SelfStock_Log[WeekIndex],65))</f>
        <v/>
      </c>
      <c r="BO32" s="12">
        <f>IF(COUNTIFS(T_SelfStock_Log[Part Name],$A32,T_SelfStock_Log[WeekIndex],66)=0,"",SUMIFS(T_SelfStock_Log[Self_Qty],T_SelfStock_Log[Part Name],$A32,T_SelfStock_Log[WeekIndex],66))</f>
        <v/>
      </c>
      <c r="BP32" s="12">
        <f>IF(COUNTIFS(T_SelfStock_Log[Part Name],$A32,T_SelfStock_Log[WeekIndex],67)=0,"",SUMIFS(T_SelfStock_Log[Self_Qty],T_SelfStock_Log[Part Name],$A32,T_SelfStock_Log[WeekIndex],67))</f>
        <v/>
      </c>
      <c r="BQ32" s="12">
        <f>IF(COUNTIFS(T_SelfStock_Log[Part Name],$A32,T_SelfStock_Log[WeekIndex],68)=0,"",SUMIFS(T_SelfStock_Log[Self_Qty],T_SelfStock_Log[Part Name],$A32,T_SelfStock_Log[WeekIndex],68))</f>
        <v/>
      </c>
      <c r="BR32" s="12">
        <f>IF(COUNTIFS(T_SelfStock_Log[Part Name],$A32,T_SelfStock_Log[WeekIndex],69)=0,"",SUMIFS(T_SelfStock_Log[Self_Qty],T_SelfStock_Log[Part Name],$A32,T_SelfStock_Log[WeekIndex],69))</f>
        <v/>
      </c>
      <c r="BS32" s="12">
        <f>IF(COUNTIFS(T_SelfStock_Log[Part Name],$A32,T_SelfStock_Log[WeekIndex],70)=0,"",SUMIFS(T_SelfStock_Log[Self_Qty],T_SelfStock_Log[Part Name],$A32,T_SelfStock_Log[WeekIndex],70))</f>
        <v/>
      </c>
      <c r="BT32" s="12">
        <f>IF(COUNTIFS(T_SelfStock_Log[Part Name],$A32,T_SelfStock_Log[WeekIndex],71)=0,"",SUMIFS(T_SelfStock_Log[Self_Qty],T_SelfStock_Log[Part Name],$A32,T_SelfStock_Log[WeekIndex],71))</f>
        <v/>
      </c>
      <c r="BU32" s="12">
        <f>IF(COUNTIFS(T_SelfStock_Log[Part Name],$A32,T_SelfStock_Log[WeekIndex],72)=0,"",SUMIFS(T_SelfStock_Log[Self_Qty],T_SelfStock_Log[Part Name],$A32,T_SelfStock_Log[WeekIndex],72))</f>
        <v/>
      </c>
      <c r="BV32" s="12">
        <f>IF(COUNTIFS(T_SelfStock_Log[Part Name],$A32,T_SelfStock_Log[WeekIndex],73)=0,"",SUMIFS(T_SelfStock_Log[Self_Qty],T_SelfStock_Log[Part Name],$A32,T_SelfStock_Log[WeekIndex],73))</f>
        <v/>
      </c>
      <c r="BW32" s="12">
        <f>IF(COUNTIFS(T_SelfStock_Log[Part Name],$A32,T_SelfStock_Log[WeekIndex],74)=0,"",SUMIFS(T_SelfStock_Log[Self_Qty],T_SelfStock_Log[Part Name],$A32,T_SelfStock_Log[WeekIndex],74))</f>
        <v/>
      </c>
      <c r="BX32" s="12">
        <f>IF(COUNTIFS(T_SelfStock_Log[Part Name],$A32,T_SelfStock_Log[WeekIndex],75)=0,"",SUMIFS(T_SelfStock_Log[Self_Qty],T_SelfStock_Log[Part Name],$A32,T_SelfStock_Log[WeekIndex],75))</f>
        <v/>
      </c>
      <c r="BY32" s="12">
        <f>IF(COUNTIFS(T_SelfStock_Log[Part Name],$A32,T_SelfStock_Log[WeekIndex],76)=0,"",SUMIFS(T_SelfStock_Log[Self_Qty],T_SelfStock_Log[Part Name],$A32,T_SelfStock_Log[WeekIndex],76))</f>
        <v/>
      </c>
      <c r="BZ32" s="12">
        <f>IF(COUNTIFS(T_SelfStock_Log[Part Name],$A32,T_SelfStock_Log[WeekIndex],77)=0,"",SUMIFS(T_SelfStock_Log[Self_Qty],T_SelfStock_Log[Part Name],$A32,T_SelfStock_Log[WeekIndex],77))</f>
        <v/>
      </c>
      <c r="CA32" s="12">
        <f>IF(COUNTIFS(T_SelfStock_Log[Part Name],$A32,T_SelfStock_Log[WeekIndex],78)=0,"",SUMIFS(T_SelfStock_Log[Self_Qty],T_SelfStock_Log[Part Name],$A32,T_SelfStock_Log[WeekIndex],78))</f>
        <v/>
      </c>
      <c r="CB32" s="12">
        <f>IF(COUNTIFS(T_SelfStock_Log[Part Name],$A32,T_SelfStock_Log[WeekIndex],79)=0,"",SUMIFS(T_SelfStock_Log[Self_Qty],T_SelfStock_Log[Part Name],$A32,T_SelfStock_Log[WeekIndex],79))</f>
        <v/>
      </c>
      <c r="CC32" s="12">
        <f>IF(COUNTIFS(T_SelfStock_Log[Part Name],$A32,T_SelfStock_Log[WeekIndex],80)=0,"",SUMIFS(T_SelfStock_Log[Self_Qty],T_SelfStock_Log[Part Name],$A32,T_SelfStock_Log[WeekIndex],80))</f>
        <v/>
      </c>
      <c r="CD32" s="12">
        <f>IF(COUNTIFS(T_SelfStock_Log[Part Name],$A32,T_SelfStock_Log[WeekIndex],81)=0,"",SUMIFS(T_SelfStock_Log[Self_Qty],T_SelfStock_Log[Part Name],$A32,T_SelfStock_Log[WeekIndex],81))</f>
        <v/>
      </c>
      <c r="CE32" s="12">
        <f>IF(COUNTIFS(T_SelfStock_Log[Part Name],$A32,T_SelfStock_Log[WeekIndex],82)=0,"",SUMIFS(T_SelfStock_Log[Self_Qty],T_SelfStock_Log[Part Name],$A32,T_SelfStock_Log[WeekIndex],82))</f>
        <v/>
      </c>
      <c r="CF32" s="12">
        <f>IF(COUNTIFS(T_SelfStock_Log[Part Name],$A32,T_SelfStock_Log[WeekIndex],83)=0,"",SUMIFS(T_SelfStock_Log[Self_Qty],T_SelfStock_Log[Part Name],$A32,T_SelfStock_Log[WeekIndex],83))</f>
        <v/>
      </c>
      <c r="CG32" s="12">
        <f>IF(COUNTIFS(T_SelfStock_Log[Part Name],$A32,T_SelfStock_Log[WeekIndex],84)=0,"",SUMIFS(T_SelfStock_Log[Self_Qty],T_SelfStock_Log[Part Name],$A32,T_SelfStock_Log[WeekIndex],84))</f>
        <v/>
      </c>
      <c r="CH32" s="12">
        <f>IF(COUNTIFS(T_SelfStock_Log[Part Name],$A32,T_SelfStock_Log[WeekIndex],85)=0,"",SUMIFS(T_SelfStock_Log[Self_Qty],T_SelfStock_Log[Part Name],$A32,T_SelfStock_Log[WeekIndex],85))</f>
        <v/>
      </c>
      <c r="CI32" s="12">
        <f>IF(COUNTIFS(T_SelfStock_Log[Part Name],$A32,T_SelfStock_Log[WeekIndex],86)=0,"",SUMIFS(T_SelfStock_Log[Self_Qty],T_SelfStock_Log[Part Name],$A32,T_SelfStock_Log[WeekIndex],86))</f>
        <v/>
      </c>
      <c r="CJ32" s="12">
        <f>IF(COUNTIFS(T_SelfStock_Log[Part Name],$A32,T_SelfStock_Log[WeekIndex],87)=0,"",SUMIFS(T_SelfStock_Log[Self_Qty],T_SelfStock_Log[Part Name],$A32,T_SelfStock_Log[WeekIndex],87))</f>
        <v/>
      </c>
      <c r="CK32" s="12">
        <f>IF(COUNTIFS(T_SelfStock_Log[Part Name],$A32,T_SelfStock_Log[WeekIndex],88)=0,"",SUMIFS(T_SelfStock_Log[Self_Qty],T_SelfStock_Log[Part Name],$A32,T_SelfStock_Log[WeekIndex],88))</f>
        <v/>
      </c>
      <c r="CL32" s="12">
        <f>IF(COUNTIFS(T_SelfStock_Log[Part Name],$A32,T_SelfStock_Log[WeekIndex],89)=0,"",SUMIFS(T_SelfStock_Log[Self_Qty],T_SelfStock_Log[Part Name],$A32,T_SelfStock_Log[WeekIndex],89))</f>
        <v/>
      </c>
      <c r="CM32" s="12">
        <f>IF(COUNTIFS(T_SelfStock_Log[Part Name],$A32,T_SelfStock_Log[WeekIndex],90)=0,"",SUMIFS(T_SelfStock_Log[Self_Qty],T_SelfStock_Log[Part Name],$A32,T_SelfStock_Log[WeekIndex],90))</f>
        <v/>
      </c>
      <c r="CN32" s="12">
        <f>IF(COUNTIFS(T_SelfStock_Log[Part Name],$A32,T_SelfStock_Log[WeekIndex],91)=0,"",SUMIFS(T_SelfStock_Log[Self_Qty],T_SelfStock_Log[Part Name],$A32,T_SelfStock_Log[WeekIndex],91))</f>
        <v/>
      </c>
      <c r="CO32" s="12">
        <f>IF(COUNTIFS(T_SelfStock_Log[Part Name],$A32,T_SelfStock_Log[WeekIndex],92)=0,"",SUMIFS(T_SelfStock_Log[Self_Qty],T_SelfStock_Log[Part Name],$A32,T_SelfStock_Log[WeekIndex],92))</f>
        <v/>
      </c>
      <c r="CP32" s="12">
        <f>IF(COUNTIFS(T_SelfStock_Log[Part Name],$A32,T_SelfStock_Log[WeekIndex],93)=0,"",SUMIFS(T_SelfStock_Log[Self_Qty],T_SelfStock_Log[Part Name],$A32,T_SelfStock_Log[WeekIndex],93))</f>
        <v/>
      </c>
      <c r="CQ32" s="12">
        <f>IF(COUNTIFS(T_SelfStock_Log[Part Name],$A32,T_SelfStock_Log[WeekIndex],94)=0,"",SUMIFS(T_SelfStock_Log[Self_Qty],T_SelfStock_Log[Part Name],$A32,T_SelfStock_Log[WeekIndex],94))</f>
        <v/>
      </c>
      <c r="CR32" s="12">
        <f>IF(COUNTIFS(T_SelfStock_Log[Part Name],$A32,T_SelfStock_Log[WeekIndex],95)=0,"",SUMIFS(T_SelfStock_Log[Self_Qty],T_SelfStock_Log[Part Name],$A32,T_SelfStock_Log[WeekIndex],95))</f>
        <v/>
      </c>
      <c r="CS32" s="12">
        <f>IF(COUNTIFS(T_SelfStock_Log[Part Name],$A32,T_SelfStock_Log[WeekIndex],96)=0,"",SUMIFS(T_SelfStock_Log[Self_Qty],T_SelfStock_Log[Part Name],$A32,T_SelfStock_Log[WeekIndex],96))</f>
        <v/>
      </c>
      <c r="CT32" s="12">
        <f>IF(COUNTIFS(T_SelfStock_Log[Part Name],$A32,T_SelfStock_Log[WeekIndex],97)=0,"",SUMIFS(T_SelfStock_Log[Self_Qty],T_SelfStock_Log[Part Name],$A32,T_SelfStock_Log[WeekIndex],97))</f>
        <v/>
      </c>
      <c r="CU32" s="12">
        <f>IF(COUNTIFS(T_SelfStock_Log[Part Name],$A32,T_SelfStock_Log[WeekIndex],98)=0,"",SUMIFS(T_SelfStock_Log[Self_Qty],T_SelfStock_Log[Part Name],$A32,T_SelfStock_Log[WeekIndex],98))</f>
        <v/>
      </c>
      <c r="CV32" s="12">
        <f>IF(COUNTIFS(T_SelfStock_Log[Part Name],$A32,T_SelfStock_Log[WeekIndex],99)=0,"",SUMIFS(T_SelfStock_Log[Self_Qty],T_SelfStock_Log[Part Name],$A32,T_SelfStock_Log[WeekIndex],99))</f>
        <v/>
      </c>
      <c r="CW32" s="12">
        <f>IF(COUNTIFS(T_SelfStock_Log[Part Name],$A32,T_SelfStock_Log[WeekIndex],100)=0,"",SUMIFS(T_SelfStock_Log[Self_Qty],T_SelfStock_Log[Part Name],$A32,T_SelfStock_Log[WeekIndex],100))</f>
        <v/>
      </c>
      <c r="CX32" s="12">
        <f>IF(COUNTIFS(T_SelfStock_Log[Part Name],$A32,T_SelfStock_Log[WeekIndex],101)=0,"",SUMIFS(T_SelfStock_Log[Self_Qty],T_SelfStock_Log[Part Name],$A32,T_SelfStock_Log[WeekIndex],101))</f>
        <v/>
      </c>
      <c r="CY32" s="12">
        <f>IF(COUNTIFS(T_SelfStock_Log[Part Name],$A32,T_SelfStock_Log[WeekIndex],102)=0,"",SUMIFS(T_SelfStock_Log[Self_Qty],T_SelfStock_Log[Part Name],$A32,T_SelfStock_Log[WeekIndex],102))</f>
        <v/>
      </c>
      <c r="CZ32" s="12">
        <f>IF(COUNTIFS(T_SelfStock_Log[Part Name],$A32,T_SelfStock_Log[WeekIndex],103)=0,"",SUMIFS(T_SelfStock_Log[Self_Qty],T_SelfStock_Log[Part Name],$A32,T_SelfStock_Log[WeekIndex],103))</f>
        <v/>
      </c>
      <c r="DA32" s="12">
        <f>IF(COUNTIFS(T_SelfStock_Log[Part Name],$A32,T_SelfStock_Log[WeekIndex],104)=0,"",SUMIFS(T_SelfStock_Log[Self_Qty],T_SelfStock_Log[Part Name],$A32,T_SelfStock_Log[WeekIndex],104))</f>
        <v/>
      </c>
    </row>
    <row r="33">
      <c r="A33" s="13" t="inlineStr">
        <is>
          <t>CHEM-1840</t>
        </is>
      </c>
      <c r="B33" s="13">
        <f>IF(COUNTIFS(T_SelfStock_Log[Part Name],$A33,T_SelfStock_Log[WeekIndex],1)=0,"",SUMIFS(T_SelfStock_Log[Self_Qty],T_SelfStock_Log[Part Name],$A33,T_SelfStock_Log[WeekIndex],1))</f>
        <v/>
      </c>
      <c r="C33" s="13">
        <f>IF(COUNTIFS(T_SelfStock_Log[Part Name],$A33,T_SelfStock_Log[WeekIndex],2)=0,"",SUMIFS(T_SelfStock_Log[Self_Qty],T_SelfStock_Log[Part Name],$A33,T_SelfStock_Log[WeekIndex],2))</f>
        <v/>
      </c>
      <c r="D33" s="13">
        <f>IF(COUNTIFS(T_SelfStock_Log[Part Name],$A33,T_SelfStock_Log[WeekIndex],3)=0,"",SUMIFS(T_SelfStock_Log[Self_Qty],T_SelfStock_Log[Part Name],$A33,T_SelfStock_Log[WeekIndex],3))</f>
        <v/>
      </c>
      <c r="E33" s="13">
        <f>IF(COUNTIFS(T_SelfStock_Log[Part Name],$A33,T_SelfStock_Log[WeekIndex],4)=0,"",SUMIFS(T_SelfStock_Log[Self_Qty],T_SelfStock_Log[Part Name],$A33,T_SelfStock_Log[WeekIndex],4))</f>
        <v/>
      </c>
      <c r="F33" s="13">
        <f>IF(COUNTIFS(T_SelfStock_Log[Part Name],$A33,T_SelfStock_Log[WeekIndex],5)=0,"",SUMIFS(T_SelfStock_Log[Self_Qty],T_SelfStock_Log[Part Name],$A33,T_SelfStock_Log[WeekIndex],5))</f>
        <v/>
      </c>
      <c r="G33" s="13">
        <f>IF(COUNTIFS(T_SelfStock_Log[Part Name],$A33,T_SelfStock_Log[WeekIndex],6)=0,"",SUMIFS(T_SelfStock_Log[Self_Qty],T_SelfStock_Log[Part Name],$A33,T_SelfStock_Log[WeekIndex],6))</f>
        <v/>
      </c>
      <c r="H33" s="13">
        <f>IF(COUNTIFS(T_SelfStock_Log[Part Name],$A33,T_SelfStock_Log[WeekIndex],7)=0,"",SUMIFS(T_SelfStock_Log[Self_Qty],T_SelfStock_Log[Part Name],$A33,T_SelfStock_Log[WeekIndex],7))</f>
        <v/>
      </c>
      <c r="I33" s="13">
        <f>IF(COUNTIFS(T_SelfStock_Log[Part Name],$A33,T_SelfStock_Log[WeekIndex],8)=0,"",SUMIFS(T_SelfStock_Log[Self_Qty],T_SelfStock_Log[Part Name],$A33,T_SelfStock_Log[WeekIndex],8))</f>
        <v/>
      </c>
      <c r="J33" s="13">
        <f>IF(COUNTIFS(T_SelfStock_Log[Part Name],$A33,T_SelfStock_Log[WeekIndex],9)=0,"",SUMIFS(T_SelfStock_Log[Self_Qty],T_SelfStock_Log[Part Name],$A33,T_SelfStock_Log[WeekIndex],9))</f>
        <v/>
      </c>
      <c r="K33" s="13">
        <f>IF(COUNTIFS(T_SelfStock_Log[Part Name],$A33,T_SelfStock_Log[WeekIndex],10)=0,"",SUMIFS(T_SelfStock_Log[Self_Qty],T_SelfStock_Log[Part Name],$A33,T_SelfStock_Log[WeekIndex],10))</f>
        <v/>
      </c>
      <c r="L33" s="13">
        <f>IF(COUNTIFS(T_SelfStock_Log[Part Name],$A33,T_SelfStock_Log[WeekIndex],11)=0,"",SUMIFS(T_SelfStock_Log[Self_Qty],T_SelfStock_Log[Part Name],$A33,T_SelfStock_Log[WeekIndex],11))</f>
        <v/>
      </c>
      <c r="M33" s="13">
        <f>IF(COUNTIFS(T_SelfStock_Log[Part Name],$A33,T_SelfStock_Log[WeekIndex],12)=0,"",SUMIFS(T_SelfStock_Log[Self_Qty],T_SelfStock_Log[Part Name],$A33,T_SelfStock_Log[WeekIndex],12))</f>
        <v/>
      </c>
      <c r="N33" s="13">
        <f>IF(COUNTIFS(T_SelfStock_Log[Part Name],$A33,T_SelfStock_Log[WeekIndex],13)=0,"",SUMIFS(T_SelfStock_Log[Self_Qty],T_SelfStock_Log[Part Name],$A33,T_SelfStock_Log[WeekIndex],13))</f>
        <v/>
      </c>
      <c r="O33" s="13">
        <f>IF(COUNTIFS(T_SelfStock_Log[Part Name],$A33,T_SelfStock_Log[WeekIndex],14)=0,"",SUMIFS(T_SelfStock_Log[Self_Qty],T_SelfStock_Log[Part Name],$A33,T_SelfStock_Log[WeekIndex],14))</f>
        <v/>
      </c>
      <c r="P33" s="13">
        <f>IF(COUNTIFS(T_SelfStock_Log[Part Name],$A33,T_SelfStock_Log[WeekIndex],15)=0,"",SUMIFS(T_SelfStock_Log[Self_Qty],T_SelfStock_Log[Part Name],$A33,T_SelfStock_Log[WeekIndex],15))</f>
        <v/>
      </c>
      <c r="Q33" s="13">
        <f>IF(COUNTIFS(T_SelfStock_Log[Part Name],$A33,T_SelfStock_Log[WeekIndex],16)=0,"",SUMIFS(T_SelfStock_Log[Self_Qty],T_SelfStock_Log[Part Name],$A33,T_SelfStock_Log[WeekIndex],16))</f>
        <v/>
      </c>
      <c r="R33" s="13">
        <f>IF(COUNTIFS(T_SelfStock_Log[Part Name],$A33,T_SelfStock_Log[WeekIndex],17)=0,"",SUMIFS(T_SelfStock_Log[Self_Qty],T_SelfStock_Log[Part Name],$A33,T_SelfStock_Log[WeekIndex],17))</f>
        <v/>
      </c>
      <c r="S33" s="13">
        <f>IF(COUNTIFS(T_SelfStock_Log[Part Name],$A33,T_SelfStock_Log[WeekIndex],18)=0,"",SUMIFS(T_SelfStock_Log[Self_Qty],T_SelfStock_Log[Part Name],$A33,T_SelfStock_Log[WeekIndex],18))</f>
        <v/>
      </c>
      <c r="T33" s="13">
        <f>IF(COUNTIFS(T_SelfStock_Log[Part Name],$A33,T_SelfStock_Log[WeekIndex],19)=0,"",SUMIFS(T_SelfStock_Log[Self_Qty],T_SelfStock_Log[Part Name],$A33,T_SelfStock_Log[WeekIndex],19))</f>
        <v/>
      </c>
      <c r="U33" s="13">
        <f>IF(COUNTIFS(T_SelfStock_Log[Part Name],$A33,T_SelfStock_Log[WeekIndex],20)=0,"",SUMIFS(T_SelfStock_Log[Self_Qty],T_SelfStock_Log[Part Name],$A33,T_SelfStock_Log[WeekIndex],20))</f>
        <v/>
      </c>
      <c r="V33" s="13">
        <f>IF(COUNTIFS(T_SelfStock_Log[Part Name],$A33,T_SelfStock_Log[WeekIndex],21)=0,"",SUMIFS(T_SelfStock_Log[Self_Qty],T_SelfStock_Log[Part Name],$A33,T_SelfStock_Log[WeekIndex],21))</f>
        <v/>
      </c>
      <c r="W33" s="13">
        <f>IF(COUNTIFS(T_SelfStock_Log[Part Name],$A33,T_SelfStock_Log[WeekIndex],22)=0,"",SUMIFS(T_SelfStock_Log[Self_Qty],T_SelfStock_Log[Part Name],$A33,T_SelfStock_Log[WeekIndex],22))</f>
        <v/>
      </c>
      <c r="X33" s="13">
        <f>IF(COUNTIFS(T_SelfStock_Log[Part Name],$A33,T_SelfStock_Log[WeekIndex],23)=0,"",SUMIFS(T_SelfStock_Log[Self_Qty],T_SelfStock_Log[Part Name],$A33,T_SelfStock_Log[WeekIndex],23))</f>
        <v/>
      </c>
      <c r="Y33" s="13">
        <f>IF(COUNTIFS(T_SelfStock_Log[Part Name],$A33,T_SelfStock_Log[WeekIndex],24)=0,"",SUMIFS(T_SelfStock_Log[Self_Qty],T_SelfStock_Log[Part Name],$A33,T_SelfStock_Log[WeekIndex],24))</f>
        <v/>
      </c>
      <c r="Z33" s="13">
        <f>IF(COUNTIFS(T_SelfStock_Log[Part Name],$A33,T_SelfStock_Log[WeekIndex],25)=0,"",SUMIFS(T_SelfStock_Log[Self_Qty],T_SelfStock_Log[Part Name],$A33,T_SelfStock_Log[WeekIndex],25))</f>
        <v/>
      </c>
      <c r="AA33" s="13">
        <f>IF(COUNTIFS(T_SelfStock_Log[Part Name],$A33,T_SelfStock_Log[WeekIndex],26)=0,"",SUMIFS(T_SelfStock_Log[Self_Qty],T_SelfStock_Log[Part Name],$A33,T_SelfStock_Log[WeekIndex],26))</f>
        <v/>
      </c>
      <c r="AB33" s="13">
        <f>IF(COUNTIFS(T_SelfStock_Log[Part Name],$A33,T_SelfStock_Log[WeekIndex],27)=0,"",SUMIFS(T_SelfStock_Log[Self_Qty],T_SelfStock_Log[Part Name],$A33,T_SelfStock_Log[WeekIndex],27))</f>
        <v/>
      </c>
      <c r="AC33" s="13">
        <f>IF(COUNTIFS(T_SelfStock_Log[Part Name],$A33,T_SelfStock_Log[WeekIndex],28)=0,"",SUMIFS(T_SelfStock_Log[Self_Qty],T_SelfStock_Log[Part Name],$A33,T_SelfStock_Log[WeekIndex],28))</f>
        <v/>
      </c>
      <c r="AD33" s="13">
        <f>IF(COUNTIFS(T_SelfStock_Log[Part Name],$A33,T_SelfStock_Log[WeekIndex],29)=0,"",SUMIFS(T_SelfStock_Log[Self_Qty],T_SelfStock_Log[Part Name],$A33,T_SelfStock_Log[WeekIndex],29))</f>
        <v/>
      </c>
      <c r="AE33" s="13">
        <f>IF(COUNTIFS(T_SelfStock_Log[Part Name],$A33,T_SelfStock_Log[WeekIndex],30)=0,"",SUMIFS(T_SelfStock_Log[Self_Qty],T_SelfStock_Log[Part Name],$A33,T_SelfStock_Log[WeekIndex],30))</f>
        <v/>
      </c>
      <c r="AF33" s="13">
        <f>IF(COUNTIFS(T_SelfStock_Log[Part Name],$A33,T_SelfStock_Log[WeekIndex],31)=0,"",SUMIFS(T_SelfStock_Log[Self_Qty],T_SelfStock_Log[Part Name],$A33,T_SelfStock_Log[WeekIndex],31))</f>
        <v/>
      </c>
      <c r="AG33" s="13">
        <f>IF(COUNTIFS(T_SelfStock_Log[Part Name],$A33,T_SelfStock_Log[WeekIndex],32)=0,"",SUMIFS(T_SelfStock_Log[Self_Qty],T_SelfStock_Log[Part Name],$A33,T_SelfStock_Log[WeekIndex],32))</f>
        <v/>
      </c>
      <c r="AH33" s="13">
        <f>IF(COUNTIFS(T_SelfStock_Log[Part Name],$A33,T_SelfStock_Log[WeekIndex],33)=0,"",SUMIFS(T_SelfStock_Log[Self_Qty],T_SelfStock_Log[Part Name],$A33,T_SelfStock_Log[WeekIndex],33))</f>
        <v/>
      </c>
      <c r="AI33" s="13">
        <f>IF(COUNTIFS(T_SelfStock_Log[Part Name],$A33,T_SelfStock_Log[WeekIndex],34)=0,"",SUMIFS(T_SelfStock_Log[Self_Qty],T_SelfStock_Log[Part Name],$A33,T_SelfStock_Log[WeekIndex],34))</f>
        <v/>
      </c>
      <c r="AJ33" s="13">
        <f>IF(COUNTIFS(T_SelfStock_Log[Part Name],$A33,T_SelfStock_Log[WeekIndex],35)=0,"",SUMIFS(T_SelfStock_Log[Self_Qty],T_SelfStock_Log[Part Name],$A33,T_SelfStock_Log[WeekIndex],35))</f>
        <v/>
      </c>
      <c r="AK33" s="13">
        <f>IF(COUNTIFS(T_SelfStock_Log[Part Name],$A33,T_SelfStock_Log[WeekIndex],36)=0,"",SUMIFS(T_SelfStock_Log[Self_Qty],T_SelfStock_Log[Part Name],$A33,T_SelfStock_Log[WeekIndex],36))</f>
        <v/>
      </c>
      <c r="AL33" s="13">
        <f>IF(COUNTIFS(T_SelfStock_Log[Part Name],$A33,T_SelfStock_Log[WeekIndex],37)=0,"",SUMIFS(T_SelfStock_Log[Self_Qty],T_SelfStock_Log[Part Name],$A33,T_SelfStock_Log[WeekIndex],37))</f>
        <v/>
      </c>
      <c r="AM33" s="13">
        <f>IF(COUNTIFS(T_SelfStock_Log[Part Name],$A33,T_SelfStock_Log[WeekIndex],38)=0,"",SUMIFS(T_SelfStock_Log[Self_Qty],T_SelfStock_Log[Part Name],$A33,T_SelfStock_Log[WeekIndex],38))</f>
        <v/>
      </c>
      <c r="AN33" s="13">
        <f>IF(COUNTIFS(T_SelfStock_Log[Part Name],$A33,T_SelfStock_Log[WeekIndex],39)=0,"",SUMIFS(T_SelfStock_Log[Self_Qty],T_SelfStock_Log[Part Name],$A33,T_SelfStock_Log[WeekIndex],39))</f>
        <v/>
      </c>
      <c r="AO33" s="13">
        <f>IF(COUNTIFS(T_SelfStock_Log[Part Name],$A33,T_SelfStock_Log[WeekIndex],40)=0,"",SUMIFS(T_SelfStock_Log[Self_Qty],T_SelfStock_Log[Part Name],$A33,T_SelfStock_Log[WeekIndex],40))</f>
        <v/>
      </c>
      <c r="AP33" s="13">
        <f>IF(COUNTIFS(T_SelfStock_Log[Part Name],$A33,T_SelfStock_Log[WeekIndex],41)=0,"",SUMIFS(T_SelfStock_Log[Self_Qty],T_SelfStock_Log[Part Name],$A33,T_SelfStock_Log[WeekIndex],41))</f>
        <v/>
      </c>
      <c r="AQ33" s="13">
        <f>IF(COUNTIFS(T_SelfStock_Log[Part Name],$A33,T_SelfStock_Log[WeekIndex],42)=0,"",SUMIFS(T_SelfStock_Log[Self_Qty],T_SelfStock_Log[Part Name],$A33,T_SelfStock_Log[WeekIndex],42))</f>
        <v/>
      </c>
      <c r="AR33" s="13">
        <f>IF(COUNTIFS(T_SelfStock_Log[Part Name],$A33,T_SelfStock_Log[WeekIndex],43)=0,"",SUMIFS(T_SelfStock_Log[Self_Qty],T_SelfStock_Log[Part Name],$A33,T_SelfStock_Log[WeekIndex],43))</f>
        <v/>
      </c>
      <c r="AS33" s="13">
        <f>IF(COUNTIFS(T_SelfStock_Log[Part Name],$A33,T_SelfStock_Log[WeekIndex],44)=0,"",SUMIFS(T_SelfStock_Log[Self_Qty],T_SelfStock_Log[Part Name],$A33,T_SelfStock_Log[WeekIndex],44))</f>
        <v/>
      </c>
      <c r="AT33" s="13">
        <f>IF(COUNTIFS(T_SelfStock_Log[Part Name],$A33,T_SelfStock_Log[WeekIndex],45)=0,"",SUMIFS(T_SelfStock_Log[Self_Qty],T_SelfStock_Log[Part Name],$A33,T_SelfStock_Log[WeekIndex],45))</f>
        <v/>
      </c>
      <c r="AU33" s="13">
        <f>IF(COUNTIFS(T_SelfStock_Log[Part Name],$A33,T_SelfStock_Log[WeekIndex],46)=0,"",SUMIFS(T_SelfStock_Log[Self_Qty],T_SelfStock_Log[Part Name],$A33,T_SelfStock_Log[WeekIndex],46))</f>
        <v/>
      </c>
      <c r="AV33" s="13">
        <f>IF(COUNTIFS(T_SelfStock_Log[Part Name],$A33,T_SelfStock_Log[WeekIndex],47)=0,"",SUMIFS(T_SelfStock_Log[Self_Qty],T_SelfStock_Log[Part Name],$A33,T_SelfStock_Log[WeekIndex],47))</f>
        <v/>
      </c>
      <c r="AW33" s="13">
        <f>IF(COUNTIFS(T_SelfStock_Log[Part Name],$A33,T_SelfStock_Log[WeekIndex],48)=0,"",SUMIFS(T_SelfStock_Log[Self_Qty],T_SelfStock_Log[Part Name],$A33,T_SelfStock_Log[WeekIndex],48))</f>
        <v/>
      </c>
      <c r="AX33" s="13">
        <f>IF(COUNTIFS(T_SelfStock_Log[Part Name],$A33,T_SelfStock_Log[WeekIndex],49)=0,"",SUMIFS(T_SelfStock_Log[Self_Qty],T_SelfStock_Log[Part Name],$A33,T_SelfStock_Log[WeekIndex],49))</f>
        <v/>
      </c>
      <c r="AY33" s="13">
        <f>IF(COUNTIFS(T_SelfStock_Log[Part Name],$A33,T_SelfStock_Log[WeekIndex],50)=0,"",SUMIFS(T_SelfStock_Log[Self_Qty],T_SelfStock_Log[Part Name],$A33,T_SelfStock_Log[WeekIndex],50))</f>
        <v/>
      </c>
      <c r="AZ33" s="13">
        <f>IF(COUNTIFS(T_SelfStock_Log[Part Name],$A33,T_SelfStock_Log[WeekIndex],51)=0,"",SUMIFS(T_SelfStock_Log[Self_Qty],T_SelfStock_Log[Part Name],$A33,T_SelfStock_Log[WeekIndex],51))</f>
        <v/>
      </c>
      <c r="BA33" s="13">
        <f>IF(COUNTIFS(T_SelfStock_Log[Part Name],$A33,T_SelfStock_Log[WeekIndex],52)=0,"",SUMIFS(T_SelfStock_Log[Self_Qty],T_SelfStock_Log[Part Name],$A33,T_SelfStock_Log[WeekIndex],52))</f>
        <v/>
      </c>
      <c r="BB33" s="13">
        <f>IF(COUNTIFS(T_SelfStock_Log[Part Name],$A33,T_SelfStock_Log[WeekIndex],53)=0,"",SUMIFS(T_SelfStock_Log[Self_Qty],T_SelfStock_Log[Part Name],$A33,T_SelfStock_Log[WeekIndex],53))</f>
        <v/>
      </c>
      <c r="BC33" s="13">
        <f>IF(COUNTIFS(T_SelfStock_Log[Part Name],$A33,T_SelfStock_Log[WeekIndex],54)=0,"",SUMIFS(T_SelfStock_Log[Self_Qty],T_SelfStock_Log[Part Name],$A33,T_SelfStock_Log[WeekIndex],54))</f>
        <v/>
      </c>
      <c r="BD33" s="13">
        <f>IF(COUNTIFS(T_SelfStock_Log[Part Name],$A33,T_SelfStock_Log[WeekIndex],55)=0,"",SUMIFS(T_SelfStock_Log[Self_Qty],T_SelfStock_Log[Part Name],$A33,T_SelfStock_Log[WeekIndex],55))</f>
        <v/>
      </c>
      <c r="BE33" s="13">
        <f>IF(COUNTIFS(T_SelfStock_Log[Part Name],$A33,T_SelfStock_Log[WeekIndex],56)=0,"",SUMIFS(T_SelfStock_Log[Self_Qty],T_SelfStock_Log[Part Name],$A33,T_SelfStock_Log[WeekIndex],56))</f>
        <v/>
      </c>
      <c r="BF33" s="13">
        <f>IF(COUNTIFS(T_SelfStock_Log[Part Name],$A33,T_SelfStock_Log[WeekIndex],57)=0,"",SUMIFS(T_SelfStock_Log[Self_Qty],T_SelfStock_Log[Part Name],$A33,T_SelfStock_Log[WeekIndex],57))</f>
        <v/>
      </c>
      <c r="BG33" s="13">
        <f>IF(COUNTIFS(T_SelfStock_Log[Part Name],$A33,T_SelfStock_Log[WeekIndex],58)=0,"",SUMIFS(T_SelfStock_Log[Self_Qty],T_SelfStock_Log[Part Name],$A33,T_SelfStock_Log[WeekIndex],58))</f>
        <v/>
      </c>
      <c r="BH33" s="13">
        <f>IF(COUNTIFS(T_SelfStock_Log[Part Name],$A33,T_SelfStock_Log[WeekIndex],59)=0,"",SUMIFS(T_SelfStock_Log[Self_Qty],T_SelfStock_Log[Part Name],$A33,T_SelfStock_Log[WeekIndex],59))</f>
        <v/>
      </c>
      <c r="BI33" s="13">
        <f>IF(COUNTIFS(T_SelfStock_Log[Part Name],$A33,T_SelfStock_Log[WeekIndex],60)=0,"",SUMIFS(T_SelfStock_Log[Self_Qty],T_SelfStock_Log[Part Name],$A33,T_SelfStock_Log[WeekIndex],60))</f>
        <v/>
      </c>
      <c r="BJ33" s="13">
        <f>IF(COUNTIFS(T_SelfStock_Log[Part Name],$A33,T_SelfStock_Log[WeekIndex],61)=0,"",SUMIFS(T_SelfStock_Log[Self_Qty],T_SelfStock_Log[Part Name],$A33,T_SelfStock_Log[WeekIndex],61))</f>
        <v/>
      </c>
      <c r="BK33" s="13">
        <f>IF(COUNTIFS(T_SelfStock_Log[Part Name],$A33,T_SelfStock_Log[WeekIndex],62)=0,"",SUMIFS(T_SelfStock_Log[Self_Qty],T_SelfStock_Log[Part Name],$A33,T_SelfStock_Log[WeekIndex],62))</f>
        <v/>
      </c>
      <c r="BL33" s="13">
        <f>IF(COUNTIFS(T_SelfStock_Log[Part Name],$A33,T_SelfStock_Log[WeekIndex],63)=0,"",SUMIFS(T_SelfStock_Log[Self_Qty],T_SelfStock_Log[Part Name],$A33,T_SelfStock_Log[WeekIndex],63))</f>
        <v/>
      </c>
      <c r="BM33" s="13">
        <f>IF(COUNTIFS(T_SelfStock_Log[Part Name],$A33,T_SelfStock_Log[WeekIndex],64)=0,"",SUMIFS(T_SelfStock_Log[Self_Qty],T_SelfStock_Log[Part Name],$A33,T_SelfStock_Log[WeekIndex],64))</f>
        <v/>
      </c>
      <c r="BN33" s="13">
        <f>IF(COUNTIFS(T_SelfStock_Log[Part Name],$A33,T_SelfStock_Log[WeekIndex],65)=0,"",SUMIFS(T_SelfStock_Log[Self_Qty],T_SelfStock_Log[Part Name],$A33,T_SelfStock_Log[WeekIndex],65))</f>
        <v/>
      </c>
      <c r="BO33" s="13">
        <f>IF(COUNTIFS(T_SelfStock_Log[Part Name],$A33,T_SelfStock_Log[WeekIndex],66)=0,"",SUMIFS(T_SelfStock_Log[Self_Qty],T_SelfStock_Log[Part Name],$A33,T_SelfStock_Log[WeekIndex],66))</f>
        <v/>
      </c>
      <c r="BP33" s="13">
        <f>IF(COUNTIFS(T_SelfStock_Log[Part Name],$A33,T_SelfStock_Log[WeekIndex],67)=0,"",SUMIFS(T_SelfStock_Log[Self_Qty],T_SelfStock_Log[Part Name],$A33,T_SelfStock_Log[WeekIndex],67))</f>
        <v/>
      </c>
      <c r="BQ33" s="13">
        <f>IF(COUNTIFS(T_SelfStock_Log[Part Name],$A33,T_SelfStock_Log[WeekIndex],68)=0,"",SUMIFS(T_SelfStock_Log[Self_Qty],T_SelfStock_Log[Part Name],$A33,T_SelfStock_Log[WeekIndex],68))</f>
        <v/>
      </c>
      <c r="BR33" s="13">
        <f>IF(COUNTIFS(T_SelfStock_Log[Part Name],$A33,T_SelfStock_Log[WeekIndex],69)=0,"",SUMIFS(T_SelfStock_Log[Self_Qty],T_SelfStock_Log[Part Name],$A33,T_SelfStock_Log[WeekIndex],69))</f>
        <v/>
      </c>
      <c r="BS33" s="13">
        <f>IF(COUNTIFS(T_SelfStock_Log[Part Name],$A33,T_SelfStock_Log[WeekIndex],70)=0,"",SUMIFS(T_SelfStock_Log[Self_Qty],T_SelfStock_Log[Part Name],$A33,T_SelfStock_Log[WeekIndex],70))</f>
        <v/>
      </c>
      <c r="BT33" s="13">
        <f>IF(COUNTIFS(T_SelfStock_Log[Part Name],$A33,T_SelfStock_Log[WeekIndex],71)=0,"",SUMIFS(T_SelfStock_Log[Self_Qty],T_SelfStock_Log[Part Name],$A33,T_SelfStock_Log[WeekIndex],71))</f>
        <v/>
      </c>
      <c r="BU33" s="13">
        <f>IF(COUNTIFS(T_SelfStock_Log[Part Name],$A33,T_SelfStock_Log[WeekIndex],72)=0,"",SUMIFS(T_SelfStock_Log[Self_Qty],T_SelfStock_Log[Part Name],$A33,T_SelfStock_Log[WeekIndex],72))</f>
        <v/>
      </c>
      <c r="BV33" s="13">
        <f>IF(COUNTIFS(T_SelfStock_Log[Part Name],$A33,T_SelfStock_Log[WeekIndex],73)=0,"",SUMIFS(T_SelfStock_Log[Self_Qty],T_SelfStock_Log[Part Name],$A33,T_SelfStock_Log[WeekIndex],73))</f>
        <v/>
      </c>
      <c r="BW33" s="13">
        <f>IF(COUNTIFS(T_SelfStock_Log[Part Name],$A33,T_SelfStock_Log[WeekIndex],74)=0,"",SUMIFS(T_SelfStock_Log[Self_Qty],T_SelfStock_Log[Part Name],$A33,T_SelfStock_Log[WeekIndex],74))</f>
        <v/>
      </c>
      <c r="BX33" s="13">
        <f>IF(COUNTIFS(T_SelfStock_Log[Part Name],$A33,T_SelfStock_Log[WeekIndex],75)=0,"",SUMIFS(T_SelfStock_Log[Self_Qty],T_SelfStock_Log[Part Name],$A33,T_SelfStock_Log[WeekIndex],75))</f>
        <v/>
      </c>
      <c r="BY33" s="13">
        <f>IF(COUNTIFS(T_SelfStock_Log[Part Name],$A33,T_SelfStock_Log[WeekIndex],76)=0,"",SUMIFS(T_SelfStock_Log[Self_Qty],T_SelfStock_Log[Part Name],$A33,T_SelfStock_Log[WeekIndex],76))</f>
        <v/>
      </c>
      <c r="BZ33" s="13">
        <f>IF(COUNTIFS(T_SelfStock_Log[Part Name],$A33,T_SelfStock_Log[WeekIndex],77)=0,"",SUMIFS(T_SelfStock_Log[Self_Qty],T_SelfStock_Log[Part Name],$A33,T_SelfStock_Log[WeekIndex],77))</f>
        <v/>
      </c>
      <c r="CA33" s="13">
        <f>IF(COUNTIFS(T_SelfStock_Log[Part Name],$A33,T_SelfStock_Log[WeekIndex],78)=0,"",SUMIFS(T_SelfStock_Log[Self_Qty],T_SelfStock_Log[Part Name],$A33,T_SelfStock_Log[WeekIndex],78))</f>
        <v/>
      </c>
      <c r="CB33" s="13">
        <f>IF(COUNTIFS(T_SelfStock_Log[Part Name],$A33,T_SelfStock_Log[WeekIndex],79)=0,"",SUMIFS(T_SelfStock_Log[Self_Qty],T_SelfStock_Log[Part Name],$A33,T_SelfStock_Log[WeekIndex],79))</f>
        <v/>
      </c>
      <c r="CC33" s="13">
        <f>IF(COUNTIFS(T_SelfStock_Log[Part Name],$A33,T_SelfStock_Log[WeekIndex],80)=0,"",SUMIFS(T_SelfStock_Log[Self_Qty],T_SelfStock_Log[Part Name],$A33,T_SelfStock_Log[WeekIndex],80))</f>
        <v/>
      </c>
      <c r="CD33" s="13">
        <f>IF(COUNTIFS(T_SelfStock_Log[Part Name],$A33,T_SelfStock_Log[WeekIndex],81)=0,"",SUMIFS(T_SelfStock_Log[Self_Qty],T_SelfStock_Log[Part Name],$A33,T_SelfStock_Log[WeekIndex],81))</f>
        <v/>
      </c>
      <c r="CE33" s="13">
        <f>IF(COUNTIFS(T_SelfStock_Log[Part Name],$A33,T_SelfStock_Log[WeekIndex],82)=0,"",SUMIFS(T_SelfStock_Log[Self_Qty],T_SelfStock_Log[Part Name],$A33,T_SelfStock_Log[WeekIndex],82))</f>
        <v/>
      </c>
      <c r="CF33" s="13">
        <f>IF(COUNTIFS(T_SelfStock_Log[Part Name],$A33,T_SelfStock_Log[WeekIndex],83)=0,"",SUMIFS(T_SelfStock_Log[Self_Qty],T_SelfStock_Log[Part Name],$A33,T_SelfStock_Log[WeekIndex],83))</f>
        <v/>
      </c>
      <c r="CG33" s="13">
        <f>IF(COUNTIFS(T_SelfStock_Log[Part Name],$A33,T_SelfStock_Log[WeekIndex],84)=0,"",SUMIFS(T_SelfStock_Log[Self_Qty],T_SelfStock_Log[Part Name],$A33,T_SelfStock_Log[WeekIndex],84))</f>
        <v/>
      </c>
      <c r="CH33" s="13">
        <f>IF(COUNTIFS(T_SelfStock_Log[Part Name],$A33,T_SelfStock_Log[WeekIndex],85)=0,"",SUMIFS(T_SelfStock_Log[Self_Qty],T_SelfStock_Log[Part Name],$A33,T_SelfStock_Log[WeekIndex],85))</f>
        <v/>
      </c>
      <c r="CI33" s="13">
        <f>IF(COUNTIFS(T_SelfStock_Log[Part Name],$A33,T_SelfStock_Log[WeekIndex],86)=0,"",SUMIFS(T_SelfStock_Log[Self_Qty],T_SelfStock_Log[Part Name],$A33,T_SelfStock_Log[WeekIndex],86))</f>
        <v/>
      </c>
      <c r="CJ33" s="13">
        <f>IF(COUNTIFS(T_SelfStock_Log[Part Name],$A33,T_SelfStock_Log[WeekIndex],87)=0,"",SUMIFS(T_SelfStock_Log[Self_Qty],T_SelfStock_Log[Part Name],$A33,T_SelfStock_Log[WeekIndex],87))</f>
        <v/>
      </c>
      <c r="CK33" s="13">
        <f>IF(COUNTIFS(T_SelfStock_Log[Part Name],$A33,T_SelfStock_Log[WeekIndex],88)=0,"",SUMIFS(T_SelfStock_Log[Self_Qty],T_SelfStock_Log[Part Name],$A33,T_SelfStock_Log[WeekIndex],88))</f>
        <v/>
      </c>
      <c r="CL33" s="13">
        <f>IF(COUNTIFS(T_SelfStock_Log[Part Name],$A33,T_SelfStock_Log[WeekIndex],89)=0,"",SUMIFS(T_SelfStock_Log[Self_Qty],T_SelfStock_Log[Part Name],$A33,T_SelfStock_Log[WeekIndex],89))</f>
        <v/>
      </c>
      <c r="CM33" s="13">
        <f>IF(COUNTIFS(T_SelfStock_Log[Part Name],$A33,T_SelfStock_Log[WeekIndex],90)=0,"",SUMIFS(T_SelfStock_Log[Self_Qty],T_SelfStock_Log[Part Name],$A33,T_SelfStock_Log[WeekIndex],90))</f>
        <v/>
      </c>
      <c r="CN33" s="13">
        <f>IF(COUNTIFS(T_SelfStock_Log[Part Name],$A33,T_SelfStock_Log[WeekIndex],91)=0,"",SUMIFS(T_SelfStock_Log[Self_Qty],T_SelfStock_Log[Part Name],$A33,T_SelfStock_Log[WeekIndex],91))</f>
        <v/>
      </c>
      <c r="CO33" s="13">
        <f>IF(COUNTIFS(T_SelfStock_Log[Part Name],$A33,T_SelfStock_Log[WeekIndex],92)=0,"",SUMIFS(T_SelfStock_Log[Self_Qty],T_SelfStock_Log[Part Name],$A33,T_SelfStock_Log[WeekIndex],92))</f>
        <v/>
      </c>
      <c r="CP33" s="13">
        <f>IF(COUNTIFS(T_SelfStock_Log[Part Name],$A33,T_SelfStock_Log[WeekIndex],93)=0,"",SUMIFS(T_SelfStock_Log[Self_Qty],T_SelfStock_Log[Part Name],$A33,T_SelfStock_Log[WeekIndex],93))</f>
        <v/>
      </c>
      <c r="CQ33" s="13">
        <f>IF(COUNTIFS(T_SelfStock_Log[Part Name],$A33,T_SelfStock_Log[WeekIndex],94)=0,"",SUMIFS(T_SelfStock_Log[Self_Qty],T_SelfStock_Log[Part Name],$A33,T_SelfStock_Log[WeekIndex],94))</f>
        <v/>
      </c>
      <c r="CR33" s="13">
        <f>IF(COUNTIFS(T_SelfStock_Log[Part Name],$A33,T_SelfStock_Log[WeekIndex],95)=0,"",SUMIFS(T_SelfStock_Log[Self_Qty],T_SelfStock_Log[Part Name],$A33,T_SelfStock_Log[WeekIndex],95))</f>
        <v/>
      </c>
      <c r="CS33" s="13">
        <f>IF(COUNTIFS(T_SelfStock_Log[Part Name],$A33,T_SelfStock_Log[WeekIndex],96)=0,"",SUMIFS(T_SelfStock_Log[Self_Qty],T_SelfStock_Log[Part Name],$A33,T_SelfStock_Log[WeekIndex],96))</f>
        <v/>
      </c>
      <c r="CT33" s="13">
        <f>IF(COUNTIFS(T_SelfStock_Log[Part Name],$A33,T_SelfStock_Log[WeekIndex],97)=0,"",SUMIFS(T_SelfStock_Log[Self_Qty],T_SelfStock_Log[Part Name],$A33,T_SelfStock_Log[WeekIndex],97))</f>
        <v/>
      </c>
      <c r="CU33" s="13">
        <f>IF(COUNTIFS(T_SelfStock_Log[Part Name],$A33,T_SelfStock_Log[WeekIndex],98)=0,"",SUMIFS(T_SelfStock_Log[Self_Qty],T_SelfStock_Log[Part Name],$A33,T_SelfStock_Log[WeekIndex],98))</f>
        <v/>
      </c>
      <c r="CV33" s="13">
        <f>IF(COUNTIFS(T_SelfStock_Log[Part Name],$A33,T_SelfStock_Log[WeekIndex],99)=0,"",SUMIFS(T_SelfStock_Log[Self_Qty],T_SelfStock_Log[Part Name],$A33,T_SelfStock_Log[WeekIndex],99))</f>
        <v/>
      </c>
      <c r="CW33" s="13">
        <f>IF(COUNTIFS(T_SelfStock_Log[Part Name],$A33,T_SelfStock_Log[WeekIndex],100)=0,"",SUMIFS(T_SelfStock_Log[Self_Qty],T_SelfStock_Log[Part Name],$A33,T_SelfStock_Log[WeekIndex],100))</f>
        <v/>
      </c>
      <c r="CX33" s="13">
        <f>IF(COUNTIFS(T_SelfStock_Log[Part Name],$A33,T_SelfStock_Log[WeekIndex],101)=0,"",SUMIFS(T_SelfStock_Log[Self_Qty],T_SelfStock_Log[Part Name],$A33,T_SelfStock_Log[WeekIndex],101))</f>
        <v/>
      </c>
      <c r="CY33" s="13">
        <f>IF(COUNTIFS(T_SelfStock_Log[Part Name],$A33,T_SelfStock_Log[WeekIndex],102)=0,"",SUMIFS(T_SelfStock_Log[Self_Qty],T_SelfStock_Log[Part Name],$A33,T_SelfStock_Log[WeekIndex],102))</f>
        <v/>
      </c>
      <c r="CZ33" s="13">
        <f>IF(COUNTIFS(T_SelfStock_Log[Part Name],$A33,T_SelfStock_Log[WeekIndex],103)=0,"",SUMIFS(T_SelfStock_Log[Self_Qty],T_SelfStock_Log[Part Name],$A33,T_SelfStock_Log[WeekIndex],103))</f>
        <v/>
      </c>
      <c r="DA33" s="13">
        <f>IF(COUNTIFS(T_SelfStock_Log[Part Name],$A33,T_SelfStock_Log[WeekIndex],104)=0,"",SUMIFS(T_SelfStock_Log[Self_Qty],T_SelfStock_Log[Part Name],$A33,T_SelfStock_Log[WeekIndex],104))</f>
        <v/>
      </c>
    </row>
    <row r="34">
      <c r="A34" s="12" t="inlineStr">
        <is>
          <t>TDJ</t>
        </is>
      </c>
      <c r="B34" s="12">
        <f>IF(COUNTIFS(T_SelfStock_Log[Part Name],$A34,T_SelfStock_Log[WeekIndex],1)=0,"",SUMIFS(T_SelfStock_Log[Self_Qty],T_SelfStock_Log[Part Name],$A34,T_SelfStock_Log[WeekIndex],1))</f>
        <v/>
      </c>
      <c r="C34" s="12">
        <f>IF(COUNTIFS(T_SelfStock_Log[Part Name],$A34,T_SelfStock_Log[WeekIndex],2)=0,"",SUMIFS(T_SelfStock_Log[Self_Qty],T_SelfStock_Log[Part Name],$A34,T_SelfStock_Log[WeekIndex],2))</f>
        <v/>
      </c>
      <c r="D34" s="12">
        <f>IF(COUNTIFS(T_SelfStock_Log[Part Name],$A34,T_SelfStock_Log[WeekIndex],3)=0,"",SUMIFS(T_SelfStock_Log[Self_Qty],T_SelfStock_Log[Part Name],$A34,T_SelfStock_Log[WeekIndex],3))</f>
        <v/>
      </c>
      <c r="E34" s="12">
        <f>IF(COUNTIFS(T_SelfStock_Log[Part Name],$A34,T_SelfStock_Log[WeekIndex],4)=0,"",SUMIFS(T_SelfStock_Log[Self_Qty],T_SelfStock_Log[Part Name],$A34,T_SelfStock_Log[WeekIndex],4))</f>
        <v/>
      </c>
      <c r="F34" s="12">
        <f>IF(COUNTIFS(T_SelfStock_Log[Part Name],$A34,T_SelfStock_Log[WeekIndex],5)=0,"",SUMIFS(T_SelfStock_Log[Self_Qty],T_SelfStock_Log[Part Name],$A34,T_SelfStock_Log[WeekIndex],5))</f>
        <v/>
      </c>
      <c r="G34" s="12">
        <f>IF(COUNTIFS(T_SelfStock_Log[Part Name],$A34,T_SelfStock_Log[WeekIndex],6)=0,"",SUMIFS(T_SelfStock_Log[Self_Qty],T_SelfStock_Log[Part Name],$A34,T_SelfStock_Log[WeekIndex],6))</f>
        <v/>
      </c>
      <c r="H34" s="12">
        <f>IF(COUNTIFS(T_SelfStock_Log[Part Name],$A34,T_SelfStock_Log[WeekIndex],7)=0,"",SUMIFS(T_SelfStock_Log[Self_Qty],T_SelfStock_Log[Part Name],$A34,T_SelfStock_Log[WeekIndex],7))</f>
        <v/>
      </c>
      <c r="I34" s="12">
        <f>IF(COUNTIFS(T_SelfStock_Log[Part Name],$A34,T_SelfStock_Log[WeekIndex],8)=0,"",SUMIFS(T_SelfStock_Log[Self_Qty],T_SelfStock_Log[Part Name],$A34,T_SelfStock_Log[WeekIndex],8))</f>
        <v/>
      </c>
      <c r="J34" s="12">
        <f>IF(COUNTIFS(T_SelfStock_Log[Part Name],$A34,T_SelfStock_Log[WeekIndex],9)=0,"",SUMIFS(T_SelfStock_Log[Self_Qty],T_SelfStock_Log[Part Name],$A34,T_SelfStock_Log[WeekIndex],9))</f>
        <v/>
      </c>
      <c r="K34" s="12">
        <f>IF(COUNTIFS(T_SelfStock_Log[Part Name],$A34,T_SelfStock_Log[WeekIndex],10)=0,"",SUMIFS(T_SelfStock_Log[Self_Qty],T_SelfStock_Log[Part Name],$A34,T_SelfStock_Log[WeekIndex],10))</f>
        <v/>
      </c>
      <c r="L34" s="12">
        <f>IF(COUNTIFS(T_SelfStock_Log[Part Name],$A34,T_SelfStock_Log[WeekIndex],11)=0,"",SUMIFS(T_SelfStock_Log[Self_Qty],T_SelfStock_Log[Part Name],$A34,T_SelfStock_Log[WeekIndex],11))</f>
        <v/>
      </c>
      <c r="M34" s="12">
        <f>IF(COUNTIFS(T_SelfStock_Log[Part Name],$A34,T_SelfStock_Log[WeekIndex],12)=0,"",SUMIFS(T_SelfStock_Log[Self_Qty],T_SelfStock_Log[Part Name],$A34,T_SelfStock_Log[WeekIndex],12))</f>
        <v/>
      </c>
      <c r="N34" s="12">
        <f>IF(COUNTIFS(T_SelfStock_Log[Part Name],$A34,T_SelfStock_Log[WeekIndex],13)=0,"",SUMIFS(T_SelfStock_Log[Self_Qty],T_SelfStock_Log[Part Name],$A34,T_SelfStock_Log[WeekIndex],13))</f>
        <v/>
      </c>
      <c r="O34" s="12">
        <f>IF(COUNTIFS(T_SelfStock_Log[Part Name],$A34,T_SelfStock_Log[WeekIndex],14)=0,"",SUMIFS(T_SelfStock_Log[Self_Qty],T_SelfStock_Log[Part Name],$A34,T_SelfStock_Log[WeekIndex],14))</f>
        <v/>
      </c>
      <c r="P34" s="12">
        <f>IF(COUNTIFS(T_SelfStock_Log[Part Name],$A34,T_SelfStock_Log[WeekIndex],15)=0,"",SUMIFS(T_SelfStock_Log[Self_Qty],T_SelfStock_Log[Part Name],$A34,T_SelfStock_Log[WeekIndex],15))</f>
        <v/>
      </c>
      <c r="Q34" s="12">
        <f>IF(COUNTIFS(T_SelfStock_Log[Part Name],$A34,T_SelfStock_Log[WeekIndex],16)=0,"",SUMIFS(T_SelfStock_Log[Self_Qty],T_SelfStock_Log[Part Name],$A34,T_SelfStock_Log[WeekIndex],16))</f>
        <v/>
      </c>
      <c r="R34" s="12">
        <f>IF(COUNTIFS(T_SelfStock_Log[Part Name],$A34,T_SelfStock_Log[WeekIndex],17)=0,"",SUMIFS(T_SelfStock_Log[Self_Qty],T_SelfStock_Log[Part Name],$A34,T_SelfStock_Log[WeekIndex],17))</f>
        <v/>
      </c>
      <c r="S34" s="12">
        <f>IF(COUNTIFS(T_SelfStock_Log[Part Name],$A34,T_SelfStock_Log[WeekIndex],18)=0,"",SUMIFS(T_SelfStock_Log[Self_Qty],T_SelfStock_Log[Part Name],$A34,T_SelfStock_Log[WeekIndex],18))</f>
        <v/>
      </c>
      <c r="T34" s="12">
        <f>IF(COUNTIFS(T_SelfStock_Log[Part Name],$A34,T_SelfStock_Log[WeekIndex],19)=0,"",SUMIFS(T_SelfStock_Log[Self_Qty],T_SelfStock_Log[Part Name],$A34,T_SelfStock_Log[WeekIndex],19))</f>
        <v/>
      </c>
      <c r="U34" s="12">
        <f>IF(COUNTIFS(T_SelfStock_Log[Part Name],$A34,T_SelfStock_Log[WeekIndex],20)=0,"",SUMIFS(T_SelfStock_Log[Self_Qty],T_SelfStock_Log[Part Name],$A34,T_SelfStock_Log[WeekIndex],20))</f>
        <v/>
      </c>
      <c r="V34" s="12">
        <f>IF(COUNTIFS(T_SelfStock_Log[Part Name],$A34,T_SelfStock_Log[WeekIndex],21)=0,"",SUMIFS(T_SelfStock_Log[Self_Qty],T_SelfStock_Log[Part Name],$A34,T_SelfStock_Log[WeekIndex],21))</f>
        <v/>
      </c>
      <c r="W34" s="12">
        <f>IF(COUNTIFS(T_SelfStock_Log[Part Name],$A34,T_SelfStock_Log[WeekIndex],22)=0,"",SUMIFS(T_SelfStock_Log[Self_Qty],T_SelfStock_Log[Part Name],$A34,T_SelfStock_Log[WeekIndex],22))</f>
        <v/>
      </c>
      <c r="X34" s="12">
        <f>IF(COUNTIFS(T_SelfStock_Log[Part Name],$A34,T_SelfStock_Log[WeekIndex],23)=0,"",SUMIFS(T_SelfStock_Log[Self_Qty],T_SelfStock_Log[Part Name],$A34,T_SelfStock_Log[WeekIndex],23))</f>
        <v/>
      </c>
      <c r="Y34" s="12">
        <f>IF(COUNTIFS(T_SelfStock_Log[Part Name],$A34,T_SelfStock_Log[WeekIndex],24)=0,"",SUMIFS(T_SelfStock_Log[Self_Qty],T_SelfStock_Log[Part Name],$A34,T_SelfStock_Log[WeekIndex],24))</f>
        <v/>
      </c>
      <c r="Z34" s="12">
        <f>IF(COUNTIFS(T_SelfStock_Log[Part Name],$A34,T_SelfStock_Log[WeekIndex],25)=0,"",SUMIFS(T_SelfStock_Log[Self_Qty],T_SelfStock_Log[Part Name],$A34,T_SelfStock_Log[WeekIndex],25))</f>
        <v/>
      </c>
      <c r="AA34" s="12">
        <f>IF(COUNTIFS(T_SelfStock_Log[Part Name],$A34,T_SelfStock_Log[WeekIndex],26)=0,"",SUMIFS(T_SelfStock_Log[Self_Qty],T_SelfStock_Log[Part Name],$A34,T_SelfStock_Log[WeekIndex],26))</f>
        <v/>
      </c>
      <c r="AB34" s="12">
        <f>IF(COUNTIFS(T_SelfStock_Log[Part Name],$A34,T_SelfStock_Log[WeekIndex],27)=0,"",SUMIFS(T_SelfStock_Log[Self_Qty],T_SelfStock_Log[Part Name],$A34,T_SelfStock_Log[WeekIndex],27))</f>
        <v/>
      </c>
      <c r="AC34" s="12">
        <f>IF(COUNTIFS(T_SelfStock_Log[Part Name],$A34,T_SelfStock_Log[WeekIndex],28)=0,"",SUMIFS(T_SelfStock_Log[Self_Qty],T_SelfStock_Log[Part Name],$A34,T_SelfStock_Log[WeekIndex],28))</f>
        <v/>
      </c>
      <c r="AD34" s="12">
        <f>IF(COUNTIFS(T_SelfStock_Log[Part Name],$A34,T_SelfStock_Log[WeekIndex],29)=0,"",SUMIFS(T_SelfStock_Log[Self_Qty],T_SelfStock_Log[Part Name],$A34,T_SelfStock_Log[WeekIndex],29))</f>
        <v/>
      </c>
      <c r="AE34" s="12">
        <f>IF(COUNTIFS(T_SelfStock_Log[Part Name],$A34,T_SelfStock_Log[WeekIndex],30)=0,"",SUMIFS(T_SelfStock_Log[Self_Qty],T_SelfStock_Log[Part Name],$A34,T_SelfStock_Log[WeekIndex],30))</f>
        <v/>
      </c>
      <c r="AF34" s="12">
        <f>IF(COUNTIFS(T_SelfStock_Log[Part Name],$A34,T_SelfStock_Log[WeekIndex],31)=0,"",SUMIFS(T_SelfStock_Log[Self_Qty],T_SelfStock_Log[Part Name],$A34,T_SelfStock_Log[WeekIndex],31))</f>
        <v/>
      </c>
      <c r="AG34" s="12">
        <f>IF(COUNTIFS(T_SelfStock_Log[Part Name],$A34,T_SelfStock_Log[WeekIndex],32)=0,"",SUMIFS(T_SelfStock_Log[Self_Qty],T_SelfStock_Log[Part Name],$A34,T_SelfStock_Log[WeekIndex],32))</f>
        <v/>
      </c>
      <c r="AH34" s="12">
        <f>IF(COUNTIFS(T_SelfStock_Log[Part Name],$A34,T_SelfStock_Log[WeekIndex],33)=0,"",SUMIFS(T_SelfStock_Log[Self_Qty],T_SelfStock_Log[Part Name],$A34,T_SelfStock_Log[WeekIndex],33))</f>
        <v/>
      </c>
      <c r="AI34" s="12">
        <f>IF(COUNTIFS(T_SelfStock_Log[Part Name],$A34,T_SelfStock_Log[WeekIndex],34)=0,"",SUMIFS(T_SelfStock_Log[Self_Qty],T_SelfStock_Log[Part Name],$A34,T_SelfStock_Log[WeekIndex],34))</f>
        <v/>
      </c>
      <c r="AJ34" s="12">
        <f>IF(COUNTIFS(T_SelfStock_Log[Part Name],$A34,T_SelfStock_Log[WeekIndex],35)=0,"",SUMIFS(T_SelfStock_Log[Self_Qty],T_SelfStock_Log[Part Name],$A34,T_SelfStock_Log[WeekIndex],35))</f>
        <v/>
      </c>
      <c r="AK34" s="12">
        <f>IF(COUNTIFS(T_SelfStock_Log[Part Name],$A34,T_SelfStock_Log[WeekIndex],36)=0,"",SUMIFS(T_SelfStock_Log[Self_Qty],T_SelfStock_Log[Part Name],$A34,T_SelfStock_Log[WeekIndex],36))</f>
        <v/>
      </c>
      <c r="AL34" s="12">
        <f>IF(COUNTIFS(T_SelfStock_Log[Part Name],$A34,T_SelfStock_Log[WeekIndex],37)=0,"",SUMIFS(T_SelfStock_Log[Self_Qty],T_SelfStock_Log[Part Name],$A34,T_SelfStock_Log[WeekIndex],37))</f>
        <v/>
      </c>
      <c r="AM34" s="12">
        <f>IF(COUNTIFS(T_SelfStock_Log[Part Name],$A34,T_SelfStock_Log[WeekIndex],38)=0,"",SUMIFS(T_SelfStock_Log[Self_Qty],T_SelfStock_Log[Part Name],$A34,T_SelfStock_Log[WeekIndex],38))</f>
        <v/>
      </c>
      <c r="AN34" s="12">
        <f>IF(COUNTIFS(T_SelfStock_Log[Part Name],$A34,T_SelfStock_Log[WeekIndex],39)=0,"",SUMIFS(T_SelfStock_Log[Self_Qty],T_SelfStock_Log[Part Name],$A34,T_SelfStock_Log[WeekIndex],39))</f>
        <v/>
      </c>
      <c r="AO34" s="12">
        <f>IF(COUNTIFS(T_SelfStock_Log[Part Name],$A34,T_SelfStock_Log[WeekIndex],40)=0,"",SUMIFS(T_SelfStock_Log[Self_Qty],T_SelfStock_Log[Part Name],$A34,T_SelfStock_Log[WeekIndex],40))</f>
        <v/>
      </c>
      <c r="AP34" s="12">
        <f>IF(COUNTIFS(T_SelfStock_Log[Part Name],$A34,T_SelfStock_Log[WeekIndex],41)=0,"",SUMIFS(T_SelfStock_Log[Self_Qty],T_SelfStock_Log[Part Name],$A34,T_SelfStock_Log[WeekIndex],41))</f>
        <v/>
      </c>
      <c r="AQ34" s="12">
        <f>IF(COUNTIFS(T_SelfStock_Log[Part Name],$A34,T_SelfStock_Log[WeekIndex],42)=0,"",SUMIFS(T_SelfStock_Log[Self_Qty],T_SelfStock_Log[Part Name],$A34,T_SelfStock_Log[WeekIndex],42))</f>
        <v/>
      </c>
      <c r="AR34" s="12">
        <f>IF(COUNTIFS(T_SelfStock_Log[Part Name],$A34,T_SelfStock_Log[WeekIndex],43)=0,"",SUMIFS(T_SelfStock_Log[Self_Qty],T_SelfStock_Log[Part Name],$A34,T_SelfStock_Log[WeekIndex],43))</f>
        <v/>
      </c>
      <c r="AS34" s="12">
        <f>IF(COUNTIFS(T_SelfStock_Log[Part Name],$A34,T_SelfStock_Log[WeekIndex],44)=0,"",SUMIFS(T_SelfStock_Log[Self_Qty],T_SelfStock_Log[Part Name],$A34,T_SelfStock_Log[WeekIndex],44))</f>
        <v/>
      </c>
      <c r="AT34" s="12">
        <f>IF(COUNTIFS(T_SelfStock_Log[Part Name],$A34,T_SelfStock_Log[WeekIndex],45)=0,"",SUMIFS(T_SelfStock_Log[Self_Qty],T_SelfStock_Log[Part Name],$A34,T_SelfStock_Log[WeekIndex],45))</f>
        <v/>
      </c>
      <c r="AU34" s="12">
        <f>IF(COUNTIFS(T_SelfStock_Log[Part Name],$A34,T_SelfStock_Log[WeekIndex],46)=0,"",SUMIFS(T_SelfStock_Log[Self_Qty],T_SelfStock_Log[Part Name],$A34,T_SelfStock_Log[WeekIndex],46))</f>
        <v/>
      </c>
      <c r="AV34" s="12">
        <f>IF(COUNTIFS(T_SelfStock_Log[Part Name],$A34,T_SelfStock_Log[WeekIndex],47)=0,"",SUMIFS(T_SelfStock_Log[Self_Qty],T_SelfStock_Log[Part Name],$A34,T_SelfStock_Log[WeekIndex],47))</f>
        <v/>
      </c>
      <c r="AW34" s="12">
        <f>IF(COUNTIFS(T_SelfStock_Log[Part Name],$A34,T_SelfStock_Log[WeekIndex],48)=0,"",SUMIFS(T_SelfStock_Log[Self_Qty],T_SelfStock_Log[Part Name],$A34,T_SelfStock_Log[WeekIndex],48))</f>
        <v/>
      </c>
      <c r="AX34" s="12">
        <f>IF(COUNTIFS(T_SelfStock_Log[Part Name],$A34,T_SelfStock_Log[WeekIndex],49)=0,"",SUMIFS(T_SelfStock_Log[Self_Qty],T_SelfStock_Log[Part Name],$A34,T_SelfStock_Log[WeekIndex],49))</f>
        <v/>
      </c>
      <c r="AY34" s="12">
        <f>IF(COUNTIFS(T_SelfStock_Log[Part Name],$A34,T_SelfStock_Log[WeekIndex],50)=0,"",SUMIFS(T_SelfStock_Log[Self_Qty],T_SelfStock_Log[Part Name],$A34,T_SelfStock_Log[WeekIndex],50))</f>
        <v/>
      </c>
      <c r="AZ34" s="12">
        <f>IF(COUNTIFS(T_SelfStock_Log[Part Name],$A34,T_SelfStock_Log[WeekIndex],51)=0,"",SUMIFS(T_SelfStock_Log[Self_Qty],T_SelfStock_Log[Part Name],$A34,T_SelfStock_Log[WeekIndex],51))</f>
        <v/>
      </c>
      <c r="BA34" s="12">
        <f>IF(COUNTIFS(T_SelfStock_Log[Part Name],$A34,T_SelfStock_Log[WeekIndex],52)=0,"",SUMIFS(T_SelfStock_Log[Self_Qty],T_SelfStock_Log[Part Name],$A34,T_SelfStock_Log[WeekIndex],52))</f>
        <v/>
      </c>
      <c r="BB34" s="12">
        <f>IF(COUNTIFS(T_SelfStock_Log[Part Name],$A34,T_SelfStock_Log[WeekIndex],53)=0,"",SUMIFS(T_SelfStock_Log[Self_Qty],T_SelfStock_Log[Part Name],$A34,T_SelfStock_Log[WeekIndex],53))</f>
        <v/>
      </c>
      <c r="BC34" s="12">
        <f>IF(COUNTIFS(T_SelfStock_Log[Part Name],$A34,T_SelfStock_Log[WeekIndex],54)=0,"",SUMIFS(T_SelfStock_Log[Self_Qty],T_SelfStock_Log[Part Name],$A34,T_SelfStock_Log[WeekIndex],54))</f>
        <v/>
      </c>
      <c r="BD34" s="12">
        <f>IF(COUNTIFS(T_SelfStock_Log[Part Name],$A34,T_SelfStock_Log[WeekIndex],55)=0,"",SUMIFS(T_SelfStock_Log[Self_Qty],T_SelfStock_Log[Part Name],$A34,T_SelfStock_Log[WeekIndex],55))</f>
        <v/>
      </c>
      <c r="BE34" s="12">
        <f>IF(COUNTIFS(T_SelfStock_Log[Part Name],$A34,T_SelfStock_Log[WeekIndex],56)=0,"",SUMIFS(T_SelfStock_Log[Self_Qty],T_SelfStock_Log[Part Name],$A34,T_SelfStock_Log[WeekIndex],56))</f>
        <v/>
      </c>
      <c r="BF34" s="12">
        <f>IF(COUNTIFS(T_SelfStock_Log[Part Name],$A34,T_SelfStock_Log[WeekIndex],57)=0,"",SUMIFS(T_SelfStock_Log[Self_Qty],T_SelfStock_Log[Part Name],$A34,T_SelfStock_Log[WeekIndex],57))</f>
        <v/>
      </c>
      <c r="BG34" s="12">
        <f>IF(COUNTIFS(T_SelfStock_Log[Part Name],$A34,T_SelfStock_Log[WeekIndex],58)=0,"",SUMIFS(T_SelfStock_Log[Self_Qty],T_SelfStock_Log[Part Name],$A34,T_SelfStock_Log[WeekIndex],58))</f>
        <v/>
      </c>
      <c r="BH34" s="12">
        <f>IF(COUNTIFS(T_SelfStock_Log[Part Name],$A34,T_SelfStock_Log[WeekIndex],59)=0,"",SUMIFS(T_SelfStock_Log[Self_Qty],T_SelfStock_Log[Part Name],$A34,T_SelfStock_Log[WeekIndex],59))</f>
        <v/>
      </c>
      <c r="BI34" s="12">
        <f>IF(COUNTIFS(T_SelfStock_Log[Part Name],$A34,T_SelfStock_Log[WeekIndex],60)=0,"",SUMIFS(T_SelfStock_Log[Self_Qty],T_SelfStock_Log[Part Name],$A34,T_SelfStock_Log[WeekIndex],60))</f>
        <v/>
      </c>
      <c r="BJ34" s="12">
        <f>IF(COUNTIFS(T_SelfStock_Log[Part Name],$A34,T_SelfStock_Log[WeekIndex],61)=0,"",SUMIFS(T_SelfStock_Log[Self_Qty],T_SelfStock_Log[Part Name],$A34,T_SelfStock_Log[WeekIndex],61))</f>
        <v/>
      </c>
      <c r="BK34" s="12">
        <f>IF(COUNTIFS(T_SelfStock_Log[Part Name],$A34,T_SelfStock_Log[WeekIndex],62)=0,"",SUMIFS(T_SelfStock_Log[Self_Qty],T_SelfStock_Log[Part Name],$A34,T_SelfStock_Log[WeekIndex],62))</f>
        <v/>
      </c>
      <c r="BL34" s="12">
        <f>IF(COUNTIFS(T_SelfStock_Log[Part Name],$A34,T_SelfStock_Log[WeekIndex],63)=0,"",SUMIFS(T_SelfStock_Log[Self_Qty],T_SelfStock_Log[Part Name],$A34,T_SelfStock_Log[WeekIndex],63))</f>
        <v/>
      </c>
      <c r="BM34" s="12">
        <f>IF(COUNTIFS(T_SelfStock_Log[Part Name],$A34,T_SelfStock_Log[WeekIndex],64)=0,"",SUMIFS(T_SelfStock_Log[Self_Qty],T_SelfStock_Log[Part Name],$A34,T_SelfStock_Log[WeekIndex],64))</f>
        <v/>
      </c>
      <c r="BN34" s="12">
        <f>IF(COUNTIFS(T_SelfStock_Log[Part Name],$A34,T_SelfStock_Log[WeekIndex],65)=0,"",SUMIFS(T_SelfStock_Log[Self_Qty],T_SelfStock_Log[Part Name],$A34,T_SelfStock_Log[WeekIndex],65))</f>
        <v/>
      </c>
      <c r="BO34" s="12">
        <f>IF(COUNTIFS(T_SelfStock_Log[Part Name],$A34,T_SelfStock_Log[WeekIndex],66)=0,"",SUMIFS(T_SelfStock_Log[Self_Qty],T_SelfStock_Log[Part Name],$A34,T_SelfStock_Log[WeekIndex],66))</f>
        <v/>
      </c>
      <c r="BP34" s="12">
        <f>IF(COUNTIFS(T_SelfStock_Log[Part Name],$A34,T_SelfStock_Log[WeekIndex],67)=0,"",SUMIFS(T_SelfStock_Log[Self_Qty],T_SelfStock_Log[Part Name],$A34,T_SelfStock_Log[WeekIndex],67))</f>
        <v/>
      </c>
      <c r="BQ34" s="12">
        <f>IF(COUNTIFS(T_SelfStock_Log[Part Name],$A34,T_SelfStock_Log[WeekIndex],68)=0,"",SUMIFS(T_SelfStock_Log[Self_Qty],T_SelfStock_Log[Part Name],$A34,T_SelfStock_Log[WeekIndex],68))</f>
        <v/>
      </c>
      <c r="BR34" s="12">
        <f>IF(COUNTIFS(T_SelfStock_Log[Part Name],$A34,T_SelfStock_Log[WeekIndex],69)=0,"",SUMIFS(T_SelfStock_Log[Self_Qty],T_SelfStock_Log[Part Name],$A34,T_SelfStock_Log[WeekIndex],69))</f>
        <v/>
      </c>
      <c r="BS34" s="12">
        <f>IF(COUNTIFS(T_SelfStock_Log[Part Name],$A34,T_SelfStock_Log[WeekIndex],70)=0,"",SUMIFS(T_SelfStock_Log[Self_Qty],T_SelfStock_Log[Part Name],$A34,T_SelfStock_Log[WeekIndex],70))</f>
        <v/>
      </c>
      <c r="BT34" s="12">
        <f>IF(COUNTIFS(T_SelfStock_Log[Part Name],$A34,T_SelfStock_Log[WeekIndex],71)=0,"",SUMIFS(T_SelfStock_Log[Self_Qty],T_SelfStock_Log[Part Name],$A34,T_SelfStock_Log[WeekIndex],71))</f>
        <v/>
      </c>
      <c r="BU34" s="12">
        <f>IF(COUNTIFS(T_SelfStock_Log[Part Name],$A34,T_SelfStock_Log[WeekIndex],72)=0,"",SUMIFS(T_SelfStock_Log[Self_Qty],T_SelfStock_Log[Part Name],$A34,T_SelfStock_Log[WeekIndex],72))</f>
        <v/>
      </c>
      <c r="BV34" s="12">
        <f>IF(COUNTIFS(T_SelfStock_Log[Part Name],$A34,T_SelfStock_Log[WeekIndex],73)=0,"",SUMIFS(T_SelfStock_Log[Self_Qty],T_SelfStock_Log[Part Name],$A34,T_SelfStock_Log[WeekIndex],73))</f>
        <v/>
      </c>
      <c r="BW34" s="12">
        <f>IF(COUNTIFS(T_SelfStock_Log[Part Name],$A34,T_SelfStock_Log[WeekIndex],74)=0,"",SUMIFS(T_SelfStock_Log[Self_Qty],T_SelfStock_Log[Part Name],$A34,T_SelfStock_Log[WeekIndex],74))</f>
        <v/>
      </c>
      <c r="BX34" s="12">
        <f>IF(COUNTIFS(T_SelfStock_Log[Part Name],$A34,T_SelfStock_Log[WeekIndex],75)=0,"",SUMIFS(T_SelfStock_Log[Self_Qty],T_SelfStock_Log[Part Name],$A34,T_SelfStock_Log[WeekIndex],75))</f>
        <v/>
      </c>
      <c r="BY34" s="12">
        <f>IF(COUNTIFS(T_SelfStock_Log[Part Name],$A34,T_SelfStock_Log[WeekIndex],76)=0,"",SUMIFS(T_SelfStock_Log[Self_Qty],T_SelfStock_Log[Part Name],$A34,T_SelfStock_Log[WeekIndex],76))</f>
        <v/>
      </c>
      <c r="BZ34" s="12">
        <f>IF(COUNTIFS(T_SelfStock_Log[Part Name],$A34,T_SelfStock_Log[WeekIndex],77)=0,"",SUMIFS(T_SelfStock_Log[Self_Qty],T_SelfStock_Log[Part Name],$A34,T_SelfStock_Log[WeekIndex],77))</f>
        <v/>
      </c>
      <c r="CA34" s="12">
        <f>IF(COUNTIFS(T_SelfStock_Log[Part Name],$A34,T_SelfStock_Log[WeekIndex],78)=0,"",SUMIFS(T_SelfStock_Log[Self_Qty],T_SelfStock_Log[Part Name],$A34,T_SelfStock_Log[WeekIndex],78))</f>
        <v/>
      </c>
      <c r="CB34" s="12">
        <f>IF(COUNTIFS(T_SelfStock_Log[Part Name],$A34,T_SelfStock_Log[WeekIndex],79)=0,"",SUMIFS(T_SelfStock_Log[Self_Qty],T_SelfStock_Log[Part Name],$A34,T_SelfStock_Log[WeekIndex],79))</f>
        <v/>
      </c>
      <c r="CC34" s="12">
        <f>IF(COUNTIFS(T_SelfStock_Log[Part Name],$A34,T_SelfStock_Log[WeekIndex],80)=0,"",SUMIFS(T_SelfStock_Log[Self_Qty],T_SelfStock_Log[Part Name],$A34,T_SelfStock_Log[WeekIndex],80))</f>
        <v/>
      </c>
      <c r="CD34" s="12">
        <f>IF(COUNTIFS(T_SelfStock_Log[Part Name],$A34,T_SelfStock_Log[WeekIndex],81)=0,"",SUMIFS(T_SelfStock_Log[Self_Qty],T_SelfStock_Log[Part Name],$A34,T_SelfStock_Log[WeekIndex],81))</f>
        <v/>
      </c>
      <c r="CE34" s="12">
        <f>IF(COUNTIFS(T_SelfStock_Log[Part Name],$A34,T_SelfStock_Log[WeekIndex],82)=0,"",SUMIFS(T_SelfStock_Log[Self_Qty],T_SelfStock_Log[Part Name],$A34,T_SelfStock_Log[WeekIndex],82))</f>
        <v/>
      </c>
      <c r="CF34" s="12">
        <f>IF(COUNTIFS(T_SelfStock_Log[Part Name],$A34,T_SelfStock_Log[WeekIndex],83)=0,"",SUMIFS(T_SelfStock_Log[Self_Qty],T_SelfStock_Log[Part Name],$A34,T_SelfStock_Log[WeekIndex],83))</f>
        <v/>
      </c>
      <c r="CG34" s="12">
        <f>IF(COUNTIFS(T_SelfStock_Log[Part Name],$A34,T_SelfStock_Log[WeekIndex],84)=0,"",SUMIFS(T_SelfStock_Log[Self_Qty],T_SelfStock_Log[Part Name],$A34,T_SelfStock_Log[WeekIndex],84))</f>
        <v/>
      </c>
      <c r="CH34" s="12">
        <f>IF(COUNTIFS(T_SelfStock_Log[Part Name],$A34,T_SelfStock_Log[WeekIndex],85)=0,"",SUMIFS(T_SelfStock_Log[Self_Qty],T_SelfStock_Log[Part Name],$A34,T_SelfStock_Log[WeekIndex],85))</f>
        <v/>
      </c>
      <c r="CI34" s="12">
        <f>IF(COUNTIFS(T_SelfStock_Log[Part Name],$A34,T_SelfStock_Log[WeekIndex],86)=0,"",SUMIFS(T_SelfStock_Log[Self_Qty],T_SelfStock_Log[Part Name],$A34,T_SelfStock_Log[WeekIndex],86))</f>
        <v/>
      </c>
      <c r="CJ34" s="12">
        <f>IF(COUNTIFS(T_SelfStock_Log[Part Name],$A34,T_SelfStock_Log[WeekIndex],87)=0,"",SUMIFS(T_SelfStock_Log[Self_Qty],T_SelfStock_Log[Part Name],$A34,T_SelfStock_Log[WeekIndex],87))</f>
        <v/>
      </c>
      <c r="CK34" s="12">
        <f>IF(COUNTIFS(T_SelfStock_Log[Part Name],$A34,T_SelfStock_Log[WeekIndex],88)=0,"",SUMIFS(T_SelfStock_Log[Self_Qty],T_SelfStock_Log[Part Name],$A34,T_SelfStock_Log[WeekIndex],88))</f>
        <v/>
      </c>
      <c r="CL34" s="12">
        <f>IF(COUNTIFS(T_SelfStock_Log[Part Name],$A34,T_SelfStock_Log[WeekIndex],89)=0,"",SUMIFS(T_SelfStock_Log[Self_Qty],T_SelfStock_Log[Part Name],$A34,T_SelfStock_Log[WeekIndex],89))</f>
        <v/>
      </c>
      <c r="CM34" s="12">
        <f>IF(COUNTIFS(T_SelfStock_Log[Part Name],$A34,T_SelfStock_Log[WeekIndex],90)=0,"",SUMIFS(T_SelfStock_Log[Self_Qty],T_SelfStock_Log[Part Name],$A34,T_SelfStock_Log[WeekIndex],90))</f>
        <v/>
      </c>
      <c r="CN34" s="12">
        <f>IF(COUNTIFS(T_SelfStock_Log[Part Name],$A34,T_SelfStock_Log[WeekIndex],91)=0,"",SUMIFS(T_SelfStock_Log[Self_Qty],T_SelfStock_Log[Part Name],$A34,T_SelfStock_Log[WeekIndex],91))</f>
        <v/>
      </c>
      <c r="CO34" s="12">
        <f>IF(COUNTIFS(T_SelfStock_Log[Part Name],$A34,T_SelfStock_Log[WeekIndex],92)=0,"",SUMIFS(T_SelfStock_Log[Self_Qty],T_SelfStock_Log[Part Name],$A34,T_SelfStock_Log[WeekIndex],92))</f>
        <v/>
      </c>
      <c r="CP34" s="12">
        <f>IF(COUNTIFS(T_SelfStock_Log[Part Name],$A34,T_SelfStock_Log[WeekIndex],93)=0,"",SUMIFS(T_SelfStock_Log[Self_Qty],T_SelfStock_Log[Part Name],$A34,T_SelfStock_Log[WeekIndex],93))</f>
        <v/>
      </c>
      <c r="CQ34" s="12">
        <f>IF(COUNTIFS(T_SelfStock_Log[Part Name],$A34,T_SelfStock_Log[WeekIndex],94)=0,"",SUMIFS(T_SelfStock_Log[Self_Qty],T_SelfStock_Log[Part Name],$A34,T_SelfStock_Log[WeekIndex],94))</f>
        <v/>
      </c>
      <c r="CR34" s="12">
        <f>IF(COUNTIFS(T_SelfStock_Log[Part Name],$A34,T_SelfStock_Log[WeekIndex],95)=0,"",SUMIFS(T_SelfStock_Log[Self_Qty],T_SelfStock_Log[Part Name],$A34,T_SelfStock_Log[WeekIndex],95))</f>
        <v/>
      </c>
      <c r="CS34" s="12">
        <f>IF(COUNTIFS(T_SelfStock_Log[Part Name],$A34,T_SelfStock_Log[WeekIndex],96)=0,"",SUMIFS(T_SelfStock_Log[Self_Qty],T_SelfStock_Log[Part Name],$A34,T_SelfStock_Log[WeekIndex],96))</f>
        <v/>
      </c>
      <c r="CT34" s="12">
        <f>IF(COUNTIFS(T_SelfStock_Log[Part Name],$A34,T_SelfStock_Log[WeekIndex],97)=0,"",SUMIFS(T_SelfStock_Log[Self_Qty],T_SelfStock_Log[Part Name],$A34,T_SelfStock_Log[WeekIndex],97))</f>
        <v/>
      </c>
      <c r="CU34" s="12">
        <f>IF(COUNTIFS(T_SelfStock_Log[Part Name],$A34,T_SelfStock_Log[WeekIndex],98)=0,"",SUMIFS(T_SelfStock_Log[Self_Qty],T_SelfStock_Log[Part Name],$A34,T_SelfStock_Log[WeekIndex],98))</f>
        <v/>
      </c>
      <c r="CV34" s="12">
        <f>IF(COUNTIFS(T_SelfStock_Log[Part Name],$A34,T_SelfStock_Log[WeekIndex],99)=0,"",SUMIFS(T_SelfStock_Log[Self_Qty],T_SelfStock_Log[Part Name],$A34,T_SelfStock_Log[WeekIndex],99))</f>
        <v/>
      </c>
      <c r="CW34" s="12">
        <f>IF(COUNTIFS(T_SelfStock_Log[Part Name],$A34,T_SelfStock_Log[WeekIndex],100)=0,"",SUMIFS(T_SelfStock_Log[Self_Qty],T_SelfStock_Log[Part Name],$A34,T_SelfStock_Log[WeekIndex],100))</f>
        <v/>
      </c>
      <c r="CX34" s="12">
        <f>IF(COUNTIFS(T_SelfStock_Log[Part Name],$A34,T_SelfStock_Log[WeekIndex],101)=0,"",SUMIFS(T_SelfStock_Log[Self_Qty],T_SelfStock_Log[Part Name],$A34,T_SelfStock_Log[WeekIndex],101))</f>
        <v/>
      </c>
      <c r="CY34" s="12">
        <f>IF(COUNTIFS(T_SelfStock_Log[Part Name],$A34,T_SelfStock_Log[WeekIndex],102)=0,"",SUMIFS(T_SelfStock_Log[Self_Qty],T_SelfStock_Log[Part Name],$A34,T_SelfStock_Log[WeekIndex],102))</f>
        <v/>
      </c>
      <c r="CZ34" s="12">
        <f>IF(COUNTIFS(T_SelfStock_Log[Part Name],$A34,T_SelfStock_Log[WeekIndex],103)=0,"",SUMIFS(T_SelfStock_Log[Self_Qty],T_SelfStock_Log[Part Name],$A34,T_SelfStock_Log[WeekIndex],103))</f>
        <v/>
      </c>
      <c r="DA34" s="12">
        <f>IF(COUNTIFS(T_SelfStock_Log[Part Name],$A34,T_SelfStock_Log[WeekIndex],104)=0,"",SUMIFS(T_SelfStock_Log[Self_Qty],T_SelfStock_Log[Part Name],$A34,T_SelfStock_Log[WeekIndex],104))</f>
        <v/>
      </c>
    </row>
    <row r="35">
      <c r="A35" s="13" t="inlineStr">
        <is>
          <t>CHEM-1730</t>
        </is>
      </c>
      <c r="B35" s="13">
        <f>IF(COUNTIFS(T_SelfStock_Log[Part Name],$A35,T_SelfStock_Log[WeekIndex],1)=0,"",SUMIFS(T_SelfStock_Log[Self_Qty],T_SelfStock_Log[Part Name],$A35,T_SelfStock_Log[WeekIndex],1))</f>
        <v/>
      </c>
      <c r="C35" s="13">
        <f>IF(COUNTIFS(T_SelfStock_Log[Part Name],$A35,T_SelfStock_Log[WeekIndex],2)=0,"",SUMIFS(T_SelfStock_Log[Self_Qty],T_SelfStock_Log[Part Name],$A35,T_SelfStock_Log[WeekIndex],2))</f>
        <v/>
      </c>
      <c r="D35" s="13">
        <f>IF(COUNTIFS(T_SelfStock_Log[Part Name],$A35,T_SelfStock_Log[WeekIndex],3)=0,"",SUMIFS(T_SelfStock_Log[Self_Qty],T_SelfStock_Log[Part Name],$A35,T_SelfStock_Log[WeekIndex],3))</f>
        <v/>
      </c>
      <c r="E35" s="13">
        <f>IF(COUNTIFS(T_SelfStock_Log[Part Name],$A35,T_SelfStock_Log[WeekIndex],4)=0,"",SUMIFS(T_SelfStock_Log[Self_Qty],T_SelfStock_Log[Part Name],$A35,T_SelfStock_Log[WeekIndex],4))</f>
        <v/>
      </c>
      <c r="F35" s="13">
        <f>IF(COUNTIFS(T_SelfStock_Log[Part Name],$A35,T_SelfStock_Log[WeekIndex],5)=0,"",SUMIFS(T_SelfStock_Log[Self_Qty],T_SelfStock_Log[Part Name],$A35,T_SelfStock_Log[WeekIndex],5))</f>
        <v/>
      </c>
      <c r="G35" s="13">
        <f>IF(COUNTIFS(T_SelfStock_Log[Part Name],$A35,T_SelfStock_Log[WeekIndex],6)=0,"",SUMIFS(T_SelfStock_Log[Self_Qty],T_SelfStock_Log[Part Name],$A35,T_SelfStock_Log[WeekIndex],6))</f>
        <v/>
      </c>
      <c r="H35" s="13">
        <f>IF(COUNTIFS(T_SelfStock_Log[Part Name],$A35,T_SelfStock_Log[WeekIndex],7)=0,"",SUMIFS(T_SelfStock_Log[Self_Qty],T_SelfStock_Log[Part Name],$A35,T_SelfStock_Log[WeekIndex],7))</f>
        <v/>
      </c>
      <c r="I35" s="13">
        <f>IF(COUNTIFS(T_SelfStock_Log[Part Name],$A35,T_SelfStock_Log[WeekIndex],8)=0,"",SUMIFS(T_SelfStock_Log[Self_Qty],T_SelfStock_Log[Part Name],$A35,T_SelfStock_Log[WeekIndex],8))</f>
        <v/>
      </c>
      <c r="J35" s="13">
        <f>IF(COUNTIFS(T_SelfStock_Log[Part Name],$A35,T_SelfStock_Log[WeekIndex],9)=0,"",SUMIFS(T_SelfStock_Log[Self_Qty],T_SelfStock_Log[Part Name],$A35,T_SelfStock_Log[WeekIndex],9))</f>
        <v/>
      </c>
      <c r="K35" s="13">
        <f>IF(COUNTIFS(T_SelfStock_Log[Part Name],$A35,T_SelfStock_Log[WeekIndex],10)=0,"",SUMIFS(T_SelfStock_Log[Self_Qty],T_SelfStock_Log[Part Name],$A35,T_SelfStock_Log[WeekIndex],10))</f>
        <v/>
      </c>
      <c r="L35" s="13">
        <f>IF(COUNTIFS(T_SelfStock_Log[Part Name],$A35,T_SelfStock_Log[WeekIndex],11)=0,"",SUMIFS(T_SelfStock_Log[Self_Qty],T_SelfStock_Log[Part Name],$A35,T_SelfStock_Log[WeekIndex],11))</f>
        <v/>
      </c>
      <c r="M35" s="13">
        <f>IF(COUNTIFS(T_SelfStock_Log[Part Name],$A35,T_SelfStock_Log[WeekIndex],12)=0,"",SUMIFS(T_SelfStock_Log[Self_Qty],T_SelfStock_Log[Part Name],$A35,T_SelfStock_Log[WeekIndex],12))</f>
        <v/>
      </c>
      <c r="N35" s="13">
        <f>IF(COUNTIFS(T_SelfStock_Log[Part Name],$A35,T_SelfStock_Log[WeekIndex],13)=0,"",SUMIFS(T_SelfStock_Log[Self_Qty],T_SelfStock_Log[Part Name],$A35,T_SelfStock_Log[WeekIndex],13))</f>
        <v/>
      </c>
      <c r="O35" s="13">
        <f>IF(COUNTIFS(T_SelfStock_Log[Part Name],$A35,T_SelfStock_Log[WeekIndex],14)=0,"",SUMIFS(T_SelfStock_Log[Self_Qty],T_SelfStock_Log[Part Name],$A35,T_SelfStock_Log[WeekIndex],14))</f>
        <v/>
      </c>
      <c r="P35" s="13">
        <f>IF(COUNTIFS(T_SelfStock_Log[Part Name],$A35,T_SelfStock_Log[WeekIndex],15)=0,"",SUMIFS(T_SelfStock_Log[Self_Qty],T_SelfStock_Log[Part Name],$A35,T_SelfStock_Log[WeekIndex],15))</f>
        <v/>
      </c>
      <c r="Q35" s="13">
        <f>IF(COUNTIFS(T_SelfStock_Log[Part Name],$A35,T_SelfStock_Log[WeekIndex],16)=0,"",SUMIFS(T_SelfStock_Log[Self_Qty],T_SelfStock_Log[Part Name],$A35,T_SelfStock_Log[WeekIndex],16))</f>
        <v/>
      </c>
      <c r="R35" s="13">
        <f>IF(COUNTIFS(T_SelfStock_Log[Part Name],$A35,T_SelfStock_Log[WeekIndex],17)=0,"",SUMIFS(T_SelfStock_Log[Self_Qty],T_SelfStock_Log[Part Name],$A35,T_SelfStock_Log[WeekIndex],17))</f>
        <v/>
      </c>
      <c r="S35" s="13">
        <f>IF(COUNTIFS(T_SelfStock_Log[Part Name],$A35,T_SelfStock_Log[WeekIndex],18)=0,"",SUMIFS(T_SelfStock_Log[Self_Qty],T_SelfStock_Log[Part Name],$A35,T_SelfStock_Log[WeekIndex],18))</f>
        <v/>
      </c>
      <c r="T35" s="13">
        <f>IF(COUNTIFS(T_SelfStock_Log[Part Name],$A35,T_SelfStock_Log[WeekIndex],19)=0,"",SUMIFS(T_SelfStock_Log[Self_Qty],T_SelfStock_Log[Part Name],$A35,T_SelfStock_Log[WeekIndex],19))</f>
        <v/>
      </c>
      <c r="U35" s="13">
        <f>IF(COUNTIFS(T_SelfStock_Log[Part Name],$A35,T_SelfStock_Log[WeekIndex],20)=0,"",SUMIFS(T_SelfStock_Log[Self_Qty],T_SelfStock_Log[Part Name],$A35,T_SelfStock_Log[WeekIndex],20))</f>
        <v/>
      </c>
      <c r="V35" s="13">
        <f>IF(COUNTIFS(T_SelfStock_Log[Part Name],$A35,T_SelfStock_Log[WeekIndex],21)=0,"",SUMIFS(T_SelfStock_Log[Self_Qty],T_SelfStock_Log[Part Name],$A35,T_SelfStock_Log[WeekIndex],21))</f>
        <v/>
      </c>
      <c r="W35" s="13">
        <f>IF(COUNTIFS(T_SelfStock_Log[Part Name],$A35,T_SelfStock_Log[WeekIndex],22)=0,"",SUMIFS(T_SelfStock_Log[Self_Qty],T_SelfStock_Log[Part Name],$A35,T_SelfStock_Log[WeekIndex],22))</f>
        <v/>
      </c>
      <c r="X35" s="13">
        <f>IF(COUNTIFS(T_SelfStock_Log[Part Name],$A35,T_SelfStock_Log[WeekIndex],23)=0,"",SUMIFS(T_SelfStock_Log[Self_Qty],T_SelfStock_Log[Part Name],$A35,T_SelfStock_Log[WeekIndex],23))</f>
        <v/>
      </c>
      <c r="Y35" s="13">
        <f>IF(COUNTIFS(T_SelfStock_Log[Part Name],$A35,T_SelfStock_Log[WeekIndex],24)=0,"",SUMIFS(T_SelfStock_Log[Self_Qty],T_SelfStock_Log[Part Name],$A35,T_SelfStock_Log[WeekIndex],24))</f>
        <v/>
      </c>
      <c r="Z35" s="13">
        <f>IF(COUNTIFS(T_SelfStock_Log[Part Name],$A35,T_SelfStock_Log[WeekIndex],25)=0,"",SUMIFS(T_SelfStock_Log[Self_Qty],T_SelfStock_Log[Part Name],$A35,T_SelfStock_Log[WeekIndex],25))</f>
        <v/>
      </c>
      <c r="AA35" s="13">
        <f>IF(COUNTIFS(T_SelfStock_Log[Part Name],$A35,T_SelfStock_Log[WeekIndex],26)=0,"",SUMIFS(T_SelfStock_Log[Self_Qty],T_SelfStock_Log[Part Name],$A35,T_SelfStock_Log[WeekIndex],26))</f>
        <v/>
      </c>
      <c r="AB35" s="13">
        <f>IF(COUNTIFS(T_SelfStock_Log[Part Name],$A35,T_SelfStock_Log[WeekIndex],27)=0,"",SUMIFS(T_SelfStock_Log[Self_Qty],T_SelfStock_Log[Part Name],$A35,T_SelfStock_Log[WeekIndex],27))</f>
        <v/>
      </c>
      <c r="AC35" s="13">
        <f>IF(COUNTIFS(T_SelfStock_Log[Part Name],$A35,T_SelfStock_Log[WeekIndex],28)=0,"",SUMIFS(T_SelfStock_Log[Self_Qty],T_SelfStock_Log[Part Name],$A35,T_SelfStock_Log[WeekIndex],28))</f>
        <v/>
      </c>
      <c r="AD35" s="13">
        <f>IF(COUNTIFS(T_SelfStock_Log[Part Name],$A35,T_SelfStock_Log[WeekIndex],29)=0,"",SUMIFS(T_SelfStock_Log[Self_Qty],T_SelfStock_Log[Part Name],$A35,T_SelfStock_Log[WeekIndex],29))</f>
        <v/>
      </c>
      <c r="AE35" s="13">
        <f>IF(COUNTIFS(T_SelfStock_Log[Part Name],$A35,T_SelfStock_Log[WeekIndex],30)=0,"",SUMIFS(T_SelfStock_Log[Self_Qty],T_SelfStock_Log[Part Name],$A35,T_SelfStock_Log[WeekIndex],30))</f>
        <v/>
      </c>
      <c r="AF35" s="13">
        <f>IF(COUNTIFS(T_SelfStock_Log[Part Name],$A35,T_SelfStock_Log[WeekIndex],31)=0,"",SUMIFS(T_SelfStock_Log[Self_Qty],T_SelfStock_Log[Part Name],$A35,T_SelfStock_Log[WeekIndex],31))</f>
        <v/>
      </c>
      <c r="AG35" s="13">
        <f>IF(COUNTIFS(T_SelfStock_Log[Part Name],$A35,T_SelfStock_Log[WeekIndex],32)=0,"",SUMIFS(T_SelfStock_Log[Self_Qty],T_SelfStock_Log[Part Name],$A35,T_SelfStock_Log[WeekIndex],32))</f>
        <v/>
      </c>
      <c r="AH35" s="13">
        <f>IF(COUNTIFS(T_SelfStock_Log[Part Name],$A35,T_SelfStock_Log[WeekIndex],33)=0,"",SUMIFS(T_SelfStock_Log[Self_Qty],T_SelfStock_Log[Part Name],$A35,T_SelfStock_Log[WeekIndex],33))</f>
        <v/>
      </c>
      <c r="AI35" s="13">
        <f>IF(COUNTIFS(T_SelfStock_Log[Part Name],$A35,T_SelfStock_Log[WeekIndex],34)=0,"",SUMIFS(T_SelfStock_Log[Self_Qty],T_SelfStock_Log[Part Name],$A35,T_SelfStock_Log[WeekIndex],34))</f>
        <v/>
      </c>
      <c r="AJ35" s="13">
        <f>IF(COUNTIFS(T_SelfStock_Log[Part Name],$A35,T_SelfStock_Log[WeekIndex],35)=0,"",SUMIFS(T_SelfStock_Log[Self_Qty],T_SelfStock_Log[Part Name],$A35,T_SelfStock_Log[WeekIndex],35))</f>
        <v/>
      </c>
      <c r="AK35" s="13">
        <f>IF(COUNTIFS(T_SelfStock_Log[Part Name],$A35,T_SelfStock_Log[WeekIndex],36)=0,"",SUMIFS(T_SelfStock_Log[Self_Qty],T_SelfStock_Log[Part Name],$A35,T_SelfStock_Log[WeekIndex],36))</f>
        <v/>
      </c>
      <c r="AL35" s="13">
        <f>IF(COUNTIFS(T_SelfStock_Log[Part Name],$A35,T_SelfStock_Log[WeekIndex],37)=0,"",SUMIFS(T_SelfStock_Log[Self_Qty],T_SelfStock_Log[Part Name],$A35,T_SelfStock_Log[WeekIndex],37))</f>
        <v/>
      </c>
      <c r="AM35" s="13">
        <f>IF(COUNTIFS(T_SelfStock_Log[Part Name],$A35,T_SelfStock_Log[WeekIndex],38)=0,"",SUMIFS(T_SelfStock_Log[Self_Qty],T_SelfStock_Log[Part Name],$A35,T_SelfStock_Log[WeekIndex],38))</f>
        <v/>
      </c>
      <c r="AN35" s="13">
        <f>IF(COUNTIFS(T_SelfStock_Log[Part Name],$A35,T_SelfStock_Log[WeekIndex],39)=0,"",SUMIFS(T_SelfStock_Log[Self_Qty],T_SelfStock_Log[Part Name],$A35,T_SelfStock_Log[WeekIndex],39))</f>
        <v/>
      </c>
      <c r="AO35" s="13">
        <f>IF(COUNTIFS(T_SelfStock_Log[Part Name],$A35,T_SelfStock_Log[WeekIndex],40)=0,"",SUMIFS(T_SelfStock_Log[Self_Qty],T_SelfStock_Log[Part Name],$A35,T_SelfStock_Log[WeekIndex],40))</f>
        <v/>
      </c>
      <c r="AP35" s="13">
        <f>IF(COUNTIFS(T_SelfStock_Log[Part Name],$A35,T_SelfStock_Log[WeekIndex],41)=0,"",SUMIFS(T_SelfStock_Log[Self_Qty],T_SelfStock_Log[Part Name],$A35,T_SelfStock_Log[WeekIndex],41))</f>
        <v/>
      </c>
      <c r="AQ35" s="13">
        <f>IF(COUNTIFS(T_SelfStock_Log[Part Name],$A35,T_SelfStock_Log[WeekIndex],42)=0,"",SUMIFS(T_SelfStock_Log[Self_Qty],T_SelfStock_Log[Part Name],$A35,T_SelfStock_Log[WeekIndex],42))</f>
        <v/>
      </c>
      <c r="AR35" s="13">
        <f>IF(COUNTIFS(T_SelfStock_Log[Part Name],$A35,T_SelfStock_Log[WeekIndex],43)=0,"",SUMIFS(T_SelfStock_Log[Self_Qty],T_SelfStock_Log[Part Name],$A35,T_SelfStock_Log[WeekIndex],43))</f>
        <v/>
      </c>
      <c r="AS35" s="13">
        <f>IF(COUNTIFS(T_SelfStock_Log[Part Name],$A35,T_SelfStock_Log[WeekIndex],44)=0,"",SUMIFS(T_SelfStock_Log[Self_Qty],T_SelfStock_Log[Part Name],$A35,T_SelfStock_Log[WeekIndex],44))</f>
        <v/>
      </c>
      <c r="AT35" s="13">
        <f>IF(COUNTIFS(T_SelfStock_Log[Part Name],$A35,T_SelfStock_Log[WeekIndex],45)=0,"",SUMIFS(T_SelfStock_Log[Self_Qty],T_SelfStock_Log[Part Name],$A35,T_SelfStock_Log[WeekIndex],45))</f>
        <v/>
      </c>
      <c r="AU35" s="13">
        <f>IF(COUNTIFS(T_SelfStock_Log[Part Name],$A35,T_SelfStock_Log[WeekIndex],46)=0,"",SUMIFS(T_SelfStock_Log[Self_Qty],T_SelfStock_Log[Part Name],$A35,T_SelfStock_Log[WeekIndex],46))</f>
        <v/>
      </c>
      <c r="AV35" s="13">
        <f>IF(COUNTIFS(T_SelfStock_Log[Part Name],$A35,T_SelfStock_Log[WeekIndex],47)=0,"",SUMIFS(T_SelfStock_Log[Self_Qty],T_SelfStock_Log[Part Name],$A35,T_SelfStock_Log[WeekIndex],47))</f>
        <v/>
      </c>
      <c r="AW35" s="13">
        <f>IF(COUNTIFS(T_SelfStock_Log[Part Name],$A35,T_SelfStock_Log[WeekIndex],48)=0,"",SUMIFS(T_SelfStock_Log[Self_Qty],T_SelfStock_Log[Part Name],$A35,T_SelfStock_Log[WeekIndex],48))</f>
        <v/>
      </c>
      <c r="AX35" s="13">
        <f>IF(COUNTIFS(T_SelfStock_Log[Part Name],$A35,T_SelfStock_Log[WeekIndex],49)=0,"",SUMIFS(T_SelfStock_Log[Self_Qty],T_SelfStock_Log[Part Name],$A35,T_SelfStock_Log[WeekIndex],49))</f>
        <v/>
      </c>
      <c r="AY35" s="13">
        <f>IF(COUNTIFS(T_SelfStock_Log[Part Name],$A35,T_SelfStock_Log[WeekIndex],50)=0,"",SUMIFS(T_SelfStock_Log[Self_Qty],T_SelfStock_Log[Part Name],$A35,T_SelfStock_Log[WeekIndex],50))</f>
        <v/>
      </c>
      <c r="AZ35" s="13">
        <f>IF(COUNTIFS(T_SelfStock_Log[Part Name],$A35,T_SelfStock_Log[WeekIndex],51)=0,"",SUMIFS(T_SelfStock_Log[Self_Qty],T_SelfStock_Log[Part Name],$A35,T_SelfStock_Log[WeekIndex],51))</f>
        <v/>
      </c>
      <c r="BA35" s="13">
        <f>IF(COUNTIFS(T_SelfStock_Log[Part Name],$A35,T_SelfStock_Log[WeekIndex],52)=0,"",SUMIFS(T_SelfStock_Log[Self_Qty],T_SelfStock_Log[Part Name],$A35,T_SelfStock_Log[WeekIndex],52))</f>
        <v/>
      </c>
      <c r="BB35" s="13">
        <f>IF(COUNTIFS(T_SelfStock_Log[Part Name],$A35,T_SelfStock_Log[WeekIndex],53)=0,"",SUMIFS(T_SelfStock_Log[Self_Qty],T_SelfStock_Log[Part Name],$A35,T_SelfStock_Log[WeekIndex],53))</f>
        <v/>
      </c>
      <c r="BC35" s="13">
        <f>IF(COUNTIFS(T_SelfStock_Log[Part Name],$A35,T_SelfStock_Log[WeekIndex],54)=0,"",SUMIFS(T_SelfStock_Log[Self_Qty],T_SelfStock_Log[Part Name],$A35,T_SelfStock_Log[WeekIndex],54))</f>
        <v/>
      </c>
      <c r="BD35" s="13">
        <f>IF(COUNTIFS(T_SelfStock_Log[Part Name],$A35,T_SelfStock_Log[WeekIndex],55)=0,"",SUMIFS(T_SelfStock_Log[Self_Qty],T_SelfStock_Log[Part Name],$A35,T_SelfStock_Log[WeekIndex],55))</f>
        <v/>
      </c>
      <c r="BE35" s="13">
        <f>IF(COUNTIFS(T_SelfStock_Log[Part Name],$A35,T_SelfStock_Log[WeekIndex],56)=0,"",SUMIFS(T_SelfStock_Log[Self_Qty],T_SelfStock_Log[Part Name],$A35,T_SelfStock_Log[WeekIndex],56))</f>
        <v/>
      </c>
      <c r="BF35" s="13">
        <f>IF(COUNTIFS(T_SelfStock_Log[Part Name],$A35,T_SelfStock_Log[WeekIndex],57)=0,"",SUMIFS(T_SelfStock_Log[Self_Qty],T_SelfStock_Log[Part Name],$A35,T_SelfStock_Log[WeekIndex],57))</f>
        <v/>
      </c>
      <c r="BG35" s="13">
        <f>IF(COUNTIFS(T_SelfStock_Log[Part Name],$A35,T_SelfStock_Log[WeekIndex],58)=0,"",SUMIFS(T_SelfStock_Log[Self_Qty],T_SelfStock_Log[Part Name],$A35,T_SelfStock_Log[WeekIndex],58))</f>
        <v/>
      </c>
      <c r="BH35" s="13">
        <f>IF(COUNTIFS(T_SelfStock_Log[Part Name],$A35,T_SelfStock_Log[WeekIndex],59)=0,"",SUMIFS(T_SelfStock_Log[Self_Qty],T_SelfStock_Log[Part Name],$A35,T_SelfStock_Log[WeekIndex],59))</f>
        <v/>
      </c>
      <c r="BI35" s="13">
        <f>IF(COUNTIFS(T_SelfStock_Log[Part Name],$A35,T_SelfStock_Log[WeekIndex],60)=0,"",SUMIFS(T_SelfStock_Log[Self_Qty],T_SelfStock_Log[Part Name],$A35,T_SelfStock_Log[WeekIndex],60))</f>
        <v/>
      </c>
      <c r="BJ35" s="13">
        <f>IF(COUNTIFS(T_SelfStock_Log[Part Name],$A35,T_SelfStock_Log[WeekIndex],61)=0,"",SUMIFS(T_SelfStock_Log[Self_Qty],T_SelfStock_Log[Part Name],$A35,T_SelfStock_Log[WeekIndex],61))</f>
        <v/>
      </c>
      <c r="BK35" s="13">
        <f>IF(COUNTIFS(T_SelfStock_Log[Part Name],$A35,T_SelfStock_Log[WeekIndex],62)=0,"",SUMIFS(T_SelfStock_Log[Self_Qty],T_SelfStock_Log[Part Name],$A35,T_SelfStock_Log[WeekIndex],62))</f>
        <v/>
      </c>
      <c r="BL35" s="13">
        <f>IF(COUNTIFS(T_SelfStock_Log[Part Name],$A35,T_SelfStock_Log[WeekIndex],63)=0,"",SUMIFS(T_SelfStock_Log[Self_Qty],T_SelfStock_Log[Part Name],$A35,T_SelfStock_Log[WeekIndex],63))</f>
        <v/>
      </c>
      <c r="BM35" s="13">
        <f>IF(COUNTIFS(T_SelfStock_Log[Part Name],$A35,T_SelfStock_Log[WeekIndex],64)=0,"",SUMIFS(T_SelfStock_Log[Self_Qty],T_SelfStock_Log[Part Name],$A35,T_SelfStock_Log[WeekIndex],64))</f>
        <v/>
      </c>
      <c r="BN35" s="13">
        <f>IF(COUNTIFS(T_SelfStock_Log[Part Name],$A35,T_SelfStock_Log[WeekIndex],65)=0,"",SUMIFS(T_SelfStock_Log[Self_Qty],T_SelfStock_Log[Part Name],$A35,T_SelfStock_Log[WeekIndex],65))</f>
        <v/>
      </c>
      <c r="BO35" s="13">
        <f>IF(COUNTIFS(T_SelfStock_Log[Part Name],$A35,T_SelfStock_Log[WeekIndex],66)=0,"",SUMIFS(T_SelfStock_Log[Self_Qty],T_SelfStock_Log[Part Name],$A35,T_SelfStock_Log[WeekIndex],66))</f>
        <v/>
      </c>
      <c r="BP35" s="13">
        <f>IF(COUNTIFS(T_SelfStock_Log[Part Name],$A35,T_SelfStock_Log[WeekIndex],67)=0,"",SUMIFS(T_SelfStock_Log[Self_Qty],T_SelfStock_Log[Part Name],$A35,T_SelfStock_Log[WeekIndex],67))</f>
        <v/>
      </c>
      <c r="BQ35" s="13">
        <f>IF(COUNTIFS(T_SelfStock_Log[Part Name],$A35,T_SelfStock_Log[WeekIndex],68)=0,"",SUMIFS(T_SelfStock_Log[Self_Qty],T_SelfStock_Log[Part Name],$A35,T_SelfStock_Log[WeekIndex],68))</f>
        <v/>
      </c>
      <c r="BR35" s="13">
        <f>IF(COUNTIFS(T_SelfStock_Log[Part Name],$A35,T_SelfStock_Log[WeekIndex],69)=0,"",SUMIFS(T_SelfStock_Log[Self_Qty],T_SelfStock_Log[Part Name],$A35,T_SelfStock_Log[WeekIndex],69))</f>
        <v/>
      </c>
      <c r="BS35" s="13">
        <f>IF(COUNTIFS(T_SelfStock_Log[Part Name],$A35,T_SelfStock_Log[WeekIndex],70)=0,"",SUMIFS(T_SelfStock_Log[Self_Qty],T_SelfStock_Log[Part Name],$A35,T_SelfStock_Log[WeekIndex],70))</f>
        <v/>
      </c>
      <c r="BT35" s="13">
        <f>IF(COUNTIFS(T_SelfStock_Log[Part Name],$A35,T_SelfStock_Log[WeekIndex],71)=0,"",SUMIFS(T_SelfStock_Log[Self_Qty],T_SelfStock_Log[Part Name],$A35,T_SelfStock_Log[WeekIndex],71))</f>
        <v/>
      </c>
      <c r="BU35" s="13">
        <f>IF(COUNTIFS(T_SelfStock_Log[Part Name],$A35,T_SelfStock_Log[WeekIndex],72)=0,"",SUMIFS(T_SelfStock_Log[Self_Qty],T_SelfStock_Log[Part Name],$A35,T_SelfStock_Log[WeekIndex],72))</f>
        <v/>
      </c>
      <c r="BV35" s="13">
        <f>IF(COUNTIFS(T_SelfStock_Log[Part Name],$A35,T_SelfStock_Log[WeekIndex],73)=0,"",SUMIFS(T_SelfStock_Log[Self_Qty],T_SelfStock_Log[Part Name],$A35,T_SelfStock_Log[WeekIndex],73))</f>
        <v/>
      </c>
      <c r="BW35" s="13">
        <f>IF(COUNTIFS(T_SelfStock_Log[Part Name],$A35,T_SelfStock_Log[WeekIndex],74)=0,"",SUMIFS(T_SelfStock_Log[Self_Qty],T_SelfStock_Log[Part Name],$A35,T_SelfStock_Log[WeekIndex],74))</f>
        <v/>
      </c>
      <c r="BX35" s="13">
        <f>IF(COUNTIFS(T_SelfStock_Log[Part Name],$A35,T_SelfStock_Log[WeekIndex],75)=0,"",SUMIFS(T_SelfStock_Log[Self_Qty],T_SelfStock_Log[Part Name],$A35,T_SelfStock_Log[WeekIndex],75))</f>
        <v/>
      </c>
      <c r="BY35" s="13">
        <f>IF(COUNTIFS(T_SelfStock_Log[Part Name],$A35,T_SelfStock_Log[WeekIndex],76)=0,"",SUMIFS(T_SelfStock_Log[Self_Qty],T_SelfStock_Log[Part Name],$A35,T_SelfStock_Log[WeekIndex],76))</f>
        <v/>
      </c>
      <c r="BZ35" s="13">
        <f>IF(COUNTIFS(T_SelfStock_Log[Part Name],$A35,T_SelfStock_Log[WeekIndex],77)=0,"",SUMIFS(T_SelfStock_Log[Self_Qty],T_SelfStock_Log[Part Name],$A35,T_SelfStock_Log[WeekIndex],77))</f>
        <v/>
      </c>
      <c r="CA35" s="13">
        <f>IF(COUNTIFS(T_SelfStock_Log[Part Name],$A35,T_SelfStock_Log[WeekIndex],78)=0,"",SUMIFS(T_SelfStock_Log[Self_Qty],T_SelfStock_Log[Part Name],$A35,T_SelfStock_Log[WeekIndex],78))</f>
        <v/>
      </c>
      <c r="CB35" s="13">
        <f>IF(COUNTIFS(T_SelfStock_Log[Part Name],$A35,T_SelfStock_Log[WeekIndex],79)=0,"",SUMIFS(T_SelfStock_Log[Self_Qty],T_SelfStock_Log[Part Name],$A35,T_SelfStock_Log[WeekIndex],79))</f>
        <v/>
      </c>
      <c r="CC35" s="13">
        <f>IF(COUNTIFS(T_SelfStock_Log[Part Name],$A35,T_SelfStock_Log[WeekIndex],80)=0,"",SUMIFS(T_SelfStock_Log[Self_Qty],T_SelfStock_Log[Part Name],$A35,T_SelfStock_Log[WeekIndex],80))</f>
        <v/>
      </c>
      <c r="CD35" s="13">
        <f>IF(COUNTIFS(T_SelfStock_Log[Part Name],$A35,T_SelfStock_Log[WeekIndex],81)=0,"",SUMIFS(T_SelfStock_Log[Self_Qty],T_SelfStock_Log[Part Name],$A35,T_SelfStock_Log[WeekIndex],81))</f>
        <v/>
      </c>
      <c r="CE35" s="13">
        <f>IF(COUNTIFS(T_SelfStock_Log[Part Name],$A35,T_SelfStock_Log[WeekIndex],82)=0,"",SUMIFS(T_SelfStock_Log[Self_Qty],T_SelfStock_Log[Part Name],$A35,T_SelfStock_Log[WeekIndex],82))</f>
        <v/>
      </c>
      <c r="CF35" s="13">
        <f>IF(COUNTIFS(T_SelfStock_Log[Part Name],$A35,T_SelfStock_Log[WeekIndex],83)=0,"",SUMIFS(T_SelfStock_Log[Self_Qty],T_SelfStock_Log[Part Name],$A35,T_SelfStock_Log[WeekIndex],83))</f>
        <v/>
      </c>
      <c r="CG35" s="13">
        <f>IF(COUNTIFS(T_SelfStock_Log[Part Name],$A35,T_SelfStock_Log[WeekIndex],84)=0,"",SUMIFS(T_SelfStock_Log[Self_Qty],T_SelfStock_Log[Part Name],$A35,T_SelfStock_Log[WeekIndex],84))</f>
        <v/>
      </c>
      <c r="CH35" s="13">
        <f>IF(COUNTIFS(T_SelfStock_Log[Part Name],$A35,T_SelfStock_Log[WeekIndex],85)=0,"",SUMIFS(T_SelfStock_Log[Self_Qty],T_SelfStock_Log[Part Name],$A35,T_SelfStock_Log[WeekIndex],85))</f>
        <v/>
      </c>
      <c r="CI35" s="13">
        <f>IF(COUNTIFS(T_SelfStock_Log[Part Name],$A35,T_SelfStock_Log[WeekIndex],86)=0,"",SUMIFS(T_SelfStock_Log[Self_Qty],T_SelfStock_Log[Part Name],$A35,T_SelfStock_Log[WeekIndex],86))</f>
        <v/>
      </c>
      <c r="CJ35" s="13">
        <f>IF(COUNTIFS(T_SelfStock_Log[Part Name],$A35,T_SelfStock_Log[WeekIndex],87)=0,"",SUMIFS(T_SelfStock_Log[Self_Qty],T_SelfStock_Log[Part Name],$A35,T_SelfStock_Log[WeekIndex],87))</f>
        <v/>
      </c>
      <c r="CK35" s="13">
        <f>IF(COUNTIFS(T_SelfStock_Log[Part Name],$A35,T_SelfStock_Log[WeekIndex],88)=0,"",SUMIFS(T_SelfStock_Log[Self_Qty],T_SelfStock_Log[Part Name],$A35,T_SelfStock_Log[WeekIndex],88))</f>
        <v/>
      </c>
      <c r="CL35" s="13">
        <f>IF(COUNTIFS(T_SelfStock_Log[Part Name],$A35,T_SelfStock_Log[WeekIndex],89)=0,"",SUMIFS(T_SelfStock_Log[Self_Qty],T_SelfStock_Log[Part Name],$A35,T_SelfStock_Log[WeekIndex],89))</f>
        <v/>
      </c>
      <c r="CM35" s="13">
        <f>IF(COUNTIFS(T_SelfStock_Log[Part Name],$A35,T_SelfStock_Log[WeekIndex],90)=0,"",SUMIFS(T_SelfStock_Log[Self_Qty],T_SelfStock_Log[Part Name],$A35,T_SelfStock_Log[WeekIndex],90))</f>
        <v/>
      </c>
      <c r="CN35" s="13">
        <f>IF(COUNTIFS(T_SelfStock_Log[Part Name],$A35,T_SelfStock_Log[WeekIndex],91)=0,"",SUMIFS(T_SelfStock_Log[Self_Qty],T_SelfStock_Log[Part Name],$A35,T_SelfStock_Log[WeekIndex],91))</f>
        <v/>
      </c>
      <c r="CO35" s="13">
        <f>IF(COUNTIFS(T_SelfStock_Log[Part Name],$A35,T_SelfStock_Log[WeekIndex],92)=0,"",SUMIFS(T_SelfStock_Log[Self_Qty],T_SelfStock_Log[Part Name],$A35,T_SelfStock_Log[WeekIndex],92))</f>
        <v/>
      </c>
      <c r="CP35" s="13">
        <f>IF(COUNTIFS(T_SelfStock_Log[Part Name],$A35,T_SelfStock_Log[WeekIndex],93)=0,"",SUMIFS(T_SelfStock_Log[Self_Qty],T_SelfStock_Log[Part Name],$A35,T_SelfStock_Log[WeekIndex],93))</f>
        <v/>
      </c>
      <c r="CQ35" s="13">
        <f>IF(COUNTIFS(T_SelfStock_Log[Part Name],$A35,T_SelfStock_Log[WeekIndex],94)=0,"",SUMIFS(T_SelfStock_Log[Self_Qty],T_SelfStock_Log[Part Name],$A35,T_SelfStock_Log[WeekIndex],94))</f>
        <v/>
      </c>
      <c r="CR35" s="13">
        <f>IF(COUNTIFS(T_SelfStock_Log[Part Name],$A35,T_SelfStock_Log[WeekIndex],95)=0,"",SUMIFS(T_SelfStock_Log[Self_Qty],T_SelfStock_Log[Part Name],$A35,T_SelfStock_Log[WeekIndex],95))</f>
        <v/>
      </c>
      <c r="CS35" s="13">
        <f>IF(COUNTIFS(T_SelfStock_Log[Part Name],$A35,T_SelfStock_Log[WeekIndex],96)=0,"",SUMIFS(T_SelfStock_Log[Self_Qty],T_SelfStock_Log[Part Name],$A35,T_SelfStock_Log[WeekIndex],96))</f>
        <v/>
      </c>
      <c r="CT35" s="13">
        <f>IF(COUNTIFS(T_SelfStock_Log[Part Name],$A35,T_SelfStock_Log[WeekIndex],97)=0,"",SUMIFS(T_SelfStock_Log[Self_Qty],T_SelfStock_Log[Part Name],$A35,T_SelfStock_Log[WeekIndex],97))</f>
        <v/>
      </c>
      <c r="CU35" s="13">
        <f>IF(COUNTIFS(T_SelfStock_Log[Part Name],$A35,T_SelfStock_Log[WeekIndex],98)=0,"",SUMIFS(T_SelfStock_Log[Self_Qty],T_SelfStock_Log[Part Name],$A35,T_SelfStock_Log[WeekIndex],98))</f>
        <v/>
      </c>
      <c r="CV35" s="13">
        <f>IF(COUNTIFS(T_SelfStock_Log[Part Name],$A35,T_SelfStock_Log[WeekIndex],99)=0,"",SUMIFS(T_SelfStock_Log[Self_Qty],T_SelfStock_Log[Part Name],$A35,T_SelfStock_Log[WeekIndex],99))</f>
        <v/>
      </c>
      <c r="CW35" s="13">
        <f>IF(COUNTIFS(T_SelfStock_Log[Part Name],$A35,T_SelfStock_Log[WeekIndex],100)=0,"",SUMIFS(T_SelfStock_Log[Self_Qty],T_SelfStock_Log[Part Name],$A35,T_SelfStock_Log[WeekIndex],100))</f>
        <v/>
      </c>
      <c r="CX35" s="13">
        <f>IF(COUNTIFS(T_SelfStock_Log[Part Name],$A35,T_SelfStock_Log[WeekIndex],101)=0,"",SUMIFS(T_SelfStock_Log[Self_Qty],T_SelfStock_Log[Part Name],$A35,T_SelfStock_Log[WeekIndex],101))</f>
        <v/>
      </c>
      <c r="CY35" s="13">
        <f>IF(COUNTIFS(T_SelfStock_Log[Part Name],$A35,T_SelfStock_Log[WeekIndex],102)=0,"",SUMIFS(T_SelfStock_Log[Self_Qty],T_SelfStock_Log[Part Name],$A35,T_SelfStock_Log[WeekIndex],102))</f>
        <v/>
      </c>
      <c r="CZ35" s="13">
        <f>IF(COUNTIFS(T_SelfStock_Log[Part Name],$A35,T_SelfStock_Log[WeekIndex],103)=0,"",SUMIFS(T_SelfStock_Log[Self_Qty],T_SelfStock_Log[Part Name],$A35,T_SelfStock_Log[WeekIndex],103))</f>
        <v/>
      </c>
      <c r="DA35" s="13">
        <f>IF(COUNTIFS(T_SelfStock_Log[Part Name],$A35,T_SelfStock_Log[WeekIndex],104)=0,"",SUMIFS(T_SelfStock_Log[Self_Qty],T_SelfStock_Log[Part Name],$A35,T_SelfStock_Log[WeekIndex],104))</f>
        <v/>
      </c>
    </row>
    <row r="36">
      <c r="A36" s="12" t="inlineStr">
        <is>
          <t>CHEM-1430</t>
        </is>
      </c>
      <c r="B36" s="12">
        <f>IF(COUNTIFS(T_SelfStock_Log[Part Name],$A36,T_SelfStock_Log[WeekIndex],1)=0,"",SUMIFS(T_SelfStock_Log[Self_Qty],T_SelfStock_Log[Part Name],$A36,T_SelfStock_Log[WeekIndex],1))</f>
        <v/>
      </c>
      <c r="C36" s="12">
        <f>IF(COUNTIFS(T_SelfStock_Log[Part Name],$A36,T_SelfStock_Log[WeekIndex],2)=0,"",SUMIFS(T_SelfStock_Log[Self_Qty],T_SelfStock_Log[Part Name],$A36,T_SelfStock_Log[WeekIndex],2))</f>
        <v/>
      </c>
      <c r="D36" s="12">
        <f>IF(COUNTIFS(T_SelfStock_Log[Part Name],$A36,T_SelfStock_Log[WeekIndex],3)=0,"",SUMIFS(T_SelfStock_Log[Self_Qty],T_SelfStock_Log[Part Name],$A36,T_SelfStock_Log[WeekIndex],3))</f>
        <v/>
      </c>
      <c r="E36" s="12">
        <f>IF(COUNTIFS(T_SelfStock_Log[Part Name],$A36,T_SelfStock_Log[WeekIndex],4)=0,"",SUMIFS(T_SelfStock_Log[Self_Qty],T_SelfStock_Log[Part Name],$A36,T_SelfStock_Log[WeekIndex],4))</f>
        <v/>
      </c>
      <c r="F36" s="12">
        <f>IF(COUNTIFS(T_SelfStock_Log[Part Name],$A36,T_SelfStock_Log[WeekIndex],5)=0,"",SUMIFS(T_SelfStock_Log[Self_Qty],T_SelfStock_Log[Part Name],$A36,T_SelfStock_Log[WeekIndex],5))</f>
        <v/>
      </c>
      <c r="G36" s="12">
        <f>IF(COUNTIFS(T_SelfStock_Log[Part Name],$A36,T_SelfStock_Log[WeekIndex],6)=0,"",SUMIFS(T_SelfStock_Log[Self_Qty],T_SelfStock_Log[Part Name],$A36,T_SelfStock_Log[WeekIndex],6))</f>
        <v/>
      </c>
      <c r="H36" s="12">
        <f>IF(COUNTIFS(T_SelfStock_Log[Part Name],$A36,T_SelfStock_Log[WeekIndex],7)=0,"",SUMIFS(T_SelfStock_Log[Self_Qty],T_SelfStock_Log[Part Name],$A36,T_SelfStock_Log[WeekIndex],7))</f>
        <v/>
      </c>
      <c r="I36" s="12">
        <f>IF(COUNTIFS(T_SelfStock_Log[Part Name],$A36,T_SelfStock_Log[WeekIndex],8)=0,"",SUMIFS(T_SelfStock_Log[Self_Qty],T_SelfStock_Log[Part Name],$A36,T_SelfStock_Log[WeekIndex],8))</f>
        <v/>
      </c>
      <c r="J36" s="12">
        <f>IF(COUNTIFS(T_SelfStock_Log[Part Name],$A36,T_SelfStock_Log[WeekIndex],9)=0,"",SUMIFS(T_SelfStock_Log[Self_Qty],T_SelfStock_Log[Part Name],$A36,T_SelfStock_Log[WeekIndex],9))</f>
        <v/>
      </c>
      <c r="K36" s="12">
        <f>IF(COUNTIFS(T_SelfStock_Log[Part Name],$A36,T_SelfStock_Log[WeekIndex],10)=0,"",SUMIFS(T_SelfStock_Log[Self_Qty],T_SelfStock_Log[Part Name],$A36,T_SelfStock_Log[WeekIndex],10))</f>
        <v/>
      </c>
      <c r="L36" s="12">
        <f>IF(COUNTIFS(T_SelfStock_Log[Part Name],$A36,T_SelfStock_Log[WeekIndex],11)=0,"",SUMIFS(T_SelfStock_Log[Self_Qty],T_SelfStock_Log[Part Name],$A36,T_SelfStock_Log[WeekIndex],11))</f>
        <v/>
      </c>
      <c r="M36" s="12">
        <f>IF(COUNTIFS(T_SelfStock_Log[Part Name],$A36,T_SelfStock_Log[WeekIndex],12)=0,"",SUMIFS(T_SelfStock_Log[Self_Qty],T_SelfStock_Log[Part Name],$A36,T_SelfStock_Log[WeekIndex],12))</f>
        <v/>
      </c>
      <c r="N36" s="12">
        <f>IF(COUNTIFS(T_SelfStock_Log[Part Name],$A36,T_SelfStock_Log[WeekIndex],13)=0,"",SUMIFS(T_SelfStock_Log[Self_Qty],T_SelfStock_Log[Part Name],$A36,T_SelfStock_Log[WeekIndex],13))</f>
        <v/>
      </c>
      <c r="O36" s="12">
        <f>IF(COUNTIFS(T_SelfStock_Log[Part Name],$A36,T_SelfStock_Log[WeekIndex],14)=0,"",SUMIFS(T_SelfStock_Log[Self_Qty],T_SelfStock_Log[Part Name],$A36,T_SelfStock_Log[WeekIndex],14))</f>
        <v/>
      </c>
      <c r="P36" s="12">
        <f>IF(COUNTIFS(T_SelfStock_Log[Part Name],$A36,T_SelfStock_Log[WeekIndex],15)=0,"",SUMIFS(T_SelfStock_Log[Self_Qty],T_SelfStock_Log[Part Name],$A36,T_SelfStock_Log[WeekIndex],15))</f>
        <v/>
      </c>
      <c r="Q36" s="12">
        <f>IF(COUNTIFS(T_SelfStock_Log[Part Name],$A36,T_SelfStock_Log[WeekIndex],16)=0,"",SUMIFS(T_SelfStock_Log[Self_Qty],T_SelfStock_Log[Part Name],$A36,T_SelfStock_Log[WeekIndex],16))</f>
        <v/>
      </c>
      <c r="R36" s="12">
        <f>IF(COUNTIFS(T_SelfStock_Log[Part Name],$A36,T_SelfStock_Log[WeekIndex],17)=0,"",SUMIFS(T_SelfStock_Log[Self_Qty],T_SelfStock_Log[Part Name],$A36,T_SelfStock_Log[WeekIndex],17))</f>
        <v/>
      </c>
      <c r="S36" s="12">
        <f>IF(COUNTIFS(T_SelfStock_Log[Part Name],$A36,T_SelfStock_Log[WeekIndex],18)=0,"",SUMIFS(T_SelfStock_Log[Self_Qty],T_SelfStock_Log[Part Name],$A36,T_SelfStock_Log[WeekIndex],18))</f>
        <v/>
      </c>
      <c r="T36" s="12">
        <f>IF(COUNTIFS(T_SelfStock_Log[Part Name],$A36,T_SelfStock_Log[WeekIndex],19)=0,"",SUMIFS(T_SelfStock_Log[Self_Qty],T_SelfStock_Log[Part Name],$A36,T_SelfStock_Log[WeekIndex],19))</f>
        <v/>
      </c>
      <c r="U36" s="12">
        <f>IF(COUNTIFS(T_SelfStock_Log[Part Name],$A36,T_SelfStock_Log[WeekIndex],20)=0,"",SUMIFS(T_SelfStock_Log[Self_Qty],T_SelfStock_Log[Part Name],$A36,T_SelfStock_Log[WeekIndex],20))</f>
        <v/>
      </c>
      <c r="V36" s="12">
        <f>IF(COUNTIFS(T_SelfStock_Log[Part Name],$A36,T_SelfStock_Log[WeekIndex],21)=0,"",SUMIFS(T_SelfStock_Log[Self_Qty],T_SelfStock_Log[Part Name],$A36,T_SelfStock_Log[WeekIndex],21))</f>
        <v/>
      </c>
      <c r="W36" s="12">
        <f>IF(COUNTIFS(T_SelfStock_Log[Part Name],$A36,T_SelfStock_Log[WeekIndex],22)=0,"",SUMIFS(T_SelfStock_Log[Self_Qty],T_SelfStock_Log[Part Name],$A36,T_SelfStock_Log[WeekIndex],22))</f>
        <v/>
      </c>
      <c r="X36" s="12">
        <f>IF(COUNTIFS(T_SelfStock_Log[Part Name],$A36,T_SelfStock_Log[WeekIndex],23)=0,"",SUMIFS(T_SelfStock_Log[Self_Qty],T_SelfStock_Log[Part Name],$A36,T_SelfStock_Log[WeekIndex],23))</f>
        <v/>
      </c>
      <c r="Y36" s="12">
        <f>IF(COUNTIFS(T_SelfStock_Log[Part Name],$A36,T_SelfStock_Log[WeekIndex],24)=0,"",SUMIFS(T_SelfStock_Log[Self_Qty],T_SelfStock_Log[Part Name],$A36,T_SelfStock_Log[WeekIndex],24))</f>
        <v/>
      </c>
      <c r="Z36" s="12">
        <f>IF(COUNTIFS(T_SelfStock_Log[Part Name],$A36,T_SelfStock_Log[WeekIndex],25)=0,"",SUMIFS(T_SelfStock_Log[Self_Qty],T_SelfStock_Log[Part Name],$A36,T_SelfStock_Log[WeekIndex],25))</f>
        <v/>
      </c>
      <c r="AA36" s="12">
        <f>IF(COUNTIFS(T_SelfStock_Log[Part Name],$A36,T_SelfStock_Log[WeekIndex],26)=0,"",SUMIFS(T_SelfStock_Log[Self_Qty],T_SelfStock_Log[Part Name],$A36,T_SelfStock_Log[WeekIndex],26))</f>
        <v/>
      </c>
      <c r="AB36" s="12">
        <f>IF(COUNTIFS(T_SelfStock_Log[Part Name],$A36,T_SelfStock_Log[WeekIndex],27)=0,"",SUMIFS(T_SelfStock_Log[Self_Qty],T_SelfStock_Log[Part Name],$A36,T_SelfStock_Log[WeekIndex],27))</f>
        <v/>
      </c>
      <c r="AC36" s="12">
        <f>IF(COUNTIFS(T_SelfStock_Log[Part Name],$A36,T_SelfStock_Log[WeekIndex],28)=0,"",SUMIFS(T_SelfStock_Log[Self_Qty],T_SelfStock_Log[Part Name],$A36,T_SelfStock_Log[WeekIndex],28))</f>
        <v/>
      </c>
      <c r="AD36" s="12">
        <f>IF(COUNTIFS(T_SelfStock_Log[Part Name],$A36,T_SelfStock_Log[WeekIndex],29)=0,"",SUMIFS(T_SelfStock_Log[Self_Qty],T_SelfStock_Log[Part Name],$A36,T_SelfStock_Log[WeekIndex],29))</f>
        <v/>
      </c>
      <c r="AE36" s="12">
        <f>IF(COUNTIFS(T_SelfStock_Log[Part Name],$A36,T_SelfStock_Log[WeekIndex],30)=0,"",SUMIFS(T_SelfStock_Log[Self_Qty],T_SelfStock_Log[Part Name],$A36,T_SelfStock_Log[WeekIndex],30))</f>
        <v/>
      </c>
      <c r="AF36" s="12">
        <f>IF(COUNTIFS(T_SelfStock_Log[Part Name],$A36,T_SelfStock_Log[WeekIndex],31)=0,"",SUMIFS(T_SelfStock_Log[Self_Qty],T_SelfStock_Log[Part Name],$A36,T_SelfStock_Log[WeekIndex],31))</f>
        <v/>
      </c>
      <c r="AG36" s="12">
        <f>IF(COUNTIFS(T_SelfStock_Log[Part Name],$A36,T_SelfStock_Log[WeekIndex],32)=0,"",SUMIFS(T_SelfStock_Log[Self_Qty],T_SelfStock_Log[Part Name],$A36,T_SelfStock_Log[WeekIndex],32))</f>
        <v/>
      </c>
      <c r="AH36" s="12">
        <f>IF(COUNTIFS(T_SelfStock_Log[Part Name],$A36,T_SelfStock_Log[WeekIndex],33)=0,"",SUMIFS(T_SelfStock_Log[Self_Qty],T_SelfStock_Log[Part Name],$A36,T_SelfStock_Log[WeekIndex],33))</f>
        <v/>
      </c>
      <c r="AI36" s="12">
        <f>IF(COUNTIFS(T_SelfStock_Log[Part Name],$A36,T_SelfStock_Log[WeekIndex],34)=0,"",SUMIFS(T_SelfStock_Log[Self_Qty],T_SelfStock_Log[Part Name],$A36,T_SelfStock_Log[WeekIndex],34))</f>
        <v/>
      </c>
      <c r="AJ36" s="12">
        <f>IF(COUNTIFS(T_SelfStock_Log[Part Name],$A36,T_SelfStock_Log[WeekIndex],35)=0,"",SUMIFS(T_SelfStock_Log[Self_Qty],T_SelfStock_Log[Part Name],$A36,T_SelfStock_Log[WeekIndex],35))</f>
        <v/>
      </c>
      <c r="AK36" s="12">
        <f>IF(COUNTIFS(T_SelfStock_Log[Part Name],$A36,T_SelfStock_Log[WeekIndex],36)=0,"",SUMIFS(T_SelfStock_Log[Self_Qty],T_SelfStock_Log[Part Name],$A36,T_SelfStock_Log[WeekIndex],36))</f>
        <v/>
      </c>
      <c r="AL36" s="12">
        <f>IF(COUNTIFS(T_SelfStock_Log[Part Name],$A36,T_SelfStock_Log[WeekIndex],37)=0,"",SUMIFS(T_SelfStock_Log[Self_Qty],T_SelfStock_Log[Part Name],$A36,T_SelfStock_Log[WeekIndex],37))</f>
        <v/>
      </c>
      <c r="AM36" s="12">
        <f>IF(COUNTIFS(T_SelfStock_Log[Part Name],$A36,T_SelfStock_Log[WeekIndex],38)=0,"",SUMIFS(T_SelfStock_Log[Self_Qty],T_SelfStock_Log[Part Name],$A36,T_SelfStock_Log[WeekIndex],38))</f>
        <v/>
      </c>
      <c r="AN36" s="12">
        <f>IF(COUNTIFS(T_SelfStock_Log[Part Name],$A36,T_SelfStock_Log[WeekIndex],39)=0,"",SUMIFS(T_SelfStock_Log[Self_Qty],T_SelfStock_Log[Part Name],$A36,T_SelfStock_Log[WeekIndex],39))</f>
        <v/>
      </c>
      <c r="AO36" s="12">
        <f>IF(COUNTIFS(T_SelfStock_Log[Part Name],$A36,T_SelfStock_Log[WeekIndex],40)=0,"",SUMIFS(T_SelfStock_Log[Self_Qty],T_SelfStock_Log[Part Name],$A36,T_SelfStock_Log[WeekIndex],40))</f>
        <v/>
      </c>
      <c r="AP36" s="12">
        <f>IF(COUNTIFS(T_SelfStock_Log[Part Name],$A36,T_SelfStock_Log[WeekIndex],41)=0,"",SUMIFS(T_SelfStock_Log[Self_Qty],T_SelfStock_Log[Part Name],$A36,T_SelfStock_Log[WeekIndex],41))</f>
        <v/>
      </c>
      <c r="AQ36" s="12">
        <f>IF(COUNTIFS(T_SelfStock_Log[Part Name],$A36,T_SelfStock_Log[WeekIndex],42)=0,"",SUMIFS(T_SelfStock_Log[Self_Qty],T_SelfStock_Log[Part Name],$A36,T_SelfStock_Log[WeekIndex],42))</f>
        <v/>
      </c>
      <c r="AR36" s="12">
        <f>IF(COUNTIFS(T_SelfStock_Log[Part Name],$A36,T_SelfStock_Log[WeekIndex],43)=0,"",SUMIFS(T_SelfStock_Log[Self_Qty],T_SelfStock_Log[Part Name],$A36,T_SelfStock_Log[WeekIndex],43))</f>
        <v/>
      </c>
      <c r="AS36" s="12">
        <f>IF(COUNTIFS(T_SelfStock_Log[Part Name],$A36,T_SelfStock_Log[WeekIndex],44)=0,"",SUMIFS(T_SelfStock_Log[Self_Qty],T_SelfStock_Log[Part Name],$A36,T_SelfStock_Log[WeekIndex],44))</f>
        <v/>
      </c>
      <c r="AT36" s="12">
        <f>IF(COUNTIFS(T_SelfStock_Log[Part Name],$A36,T_SelfStock_Log[WeekIndex],45)=0,"",SUMIFS(T_SelfStock_Log[Self_Qty],T_SelfStock_Log[Part Name],$A36,T_SelfStock_Log[WeekIndex],45))</f>
        <v/>
      </c>
      <c r="AU36" s="12">
        <f>IF(COUNTIFS(T_SelfStock_Log[Part Name],$A36,T_SelfStock_Log[WeekIndex],46)=0,"",SUMIFS(T_SelfStock_Log[Self_Qty],T_SelfStock_Log[Part Name],$A36,T_SelfStock_Log[WeekIndex],46))</f>
        <v/>
      </c>
      <c r="AV36" s="12">
        <f>IF(COUNTIFS(T_SelfStock_Log[Part Name],$A36,T_SelfStock_Log[WeekIndex],47)=0,"",SUMIFS(T_SelfStock_Log[Self_Qty],T_SelfStock_Log[Part Name],$A36,T_SelfStock_Log[WeekIndex],47))</f>
        <v/>
      </c>
      <c r="AW36" s="12">
        <f>IF(COUNTIFS(T_SelfStock_Log[Part Name],$A36,T_SelfStock_Log[WeekIndex],48)=0,"",SUMIFS(T_SelfStock_Log[Self_Qty],T_SelfStock_Log[Part Name],$A36,T_SelfStock_Log[WeekIndex],48))</f>
        <v/>
      </c>
      <c r="AX36" s="12">
        <f>IF(COUNTIFS(T_SelfStock_Log[Part Name],$A36,T_SelfStock_Log[WeekIndex],49)=0,"",SUMIFS(T_SelfStock_Log[Self_Qty],T_SelfStock_Log[Part Name],$A36,T_SelfStock_Log[WeekIndex],49))</f>
        <v/>
      </c>
      <c r="AY36" s="12">
        <f>IF(COUNTIFS(T_SelfStock_Log[Part Name],$A36,T_SelfStock_Log[WeekIndex],50)=0,"",SUMIFS(T_SelfStock_Log[Self_Qty],T_SelfStock_Log[Part Name],$A36,T_SelfStock_Log[WeekIndex],50))</f>
        <v/>
      </c>
      <c r="AZ36" s="12">
        <f>IF(COUNTIFS(T_SelfStock_Log[Part Name],$A36,T_SelfStock_Log[WeekIndex],51)=0,"",SUMIFS(T_SelfStock_Log[Self_Qty],T_SelfStock_Log[Part Name],$A36,T_SelfStock_Log[WeekIndex],51))</f>
        <v/>
      </c>
      <c r="BA36" s="12">
        <f>IF(COUNTIFS(T_SelfStock_Log[Part Name],$A36,T_SelfStock_Log[WeekIndex],52)=0,"",SUMIFS(T_SelfStock_Log[Self_Qty],T_SelfStock_Log[Part Name],$A36,T_SelfStock_Log[WeekIndex],52))</f>
        <v/>
      </c>
      <c r="BB36" s="12">
        <f>IF(COUNTIFS(T_SelfStock_Log[Part Name],$A36,T_SelfStock_Log[WeekIndex],53)=0,"",SUMIFS(T_SelfStock_Log[Self_Qty],T_SelfStock_Log[Part Name],$A36,T_SelfStock_Log[WeekIndex],53))</f>
        <v/>
      </c>
      <c r="BC36" s="12">
        <f>IF(COUNTIFS(T_SelfStock_Log[Part Name],$A36,T_SelfStock_Log[WeekIndex],54)=0,"",SUMIFS(T_SelfStock_Log[Self_Qty],T_SelfStock_Log[Part Name],$A36,T_SelfStock_Log[WeekIndex],54))</f>
        <v/>
      </c>
      <c r="BD36" s="12">
        <f>IF(COUNTIFS(T_SelfStock_Log[Part Name],$A36,T_SelfStock_Log[WeekIndex],55)=0,"",SUMIFS(T_SelfStock_Log[Self_Qty],T_SelfStock_Log[Part Name],$A36,T_SelfStock_Log[WeekIndex],55))</f>
        <v/>
      </c>
      <c r="BE36" s="12">
        <f>IF(COUNTIFS(T_SelfStock_Log[Part Name],$A36,T_SelfStock_Log[WeekIndex],56)=0,"",SUMIFS(T_SelfStock_Log[Self_Qty],T_SelfStock_Log[Part Name],$A36,T_SelfStock_Log[WeekIndex],56))</f>
        <v/>
      </c>
      <c r="BF36" s="12">
        <f>IF(COUNTIFS(T_SelfStock_Log[Part Name],$A36,T_SelfStock_Log[WeekIndex],57)=0,"",SUMIFS(T_SelfStock_Log[Self_Qty],T_SelfStock_Log[Part Name],$A36,T_SelfStock_Log[WeekIndex],57))</f>
        <v/>
      </c>
      <c r="BG36" s="12">
        <f>IF(COUNTIFS(T_SelfStock_Log[Part Name],$A36,T_SelfStock_Log[WeekIndex],58)=0,"",SUMIFS(T_SelfStock_Log[Self_Qty],T_SelfStock_Log[Part Name],$A36,T_SelfStock_Log[WeekIndex],58))</f>
        <v/>
      </c>
      <c r="BH36" s="12">
        <f>IF(COUNTIFS(T_SelfStock_Log[Part Name],$A36,T_SelfStock_Log[WeekIndex],59)=0,"",SUMIFS(T_SelfStock_Log[Self_Qty],T_SelfStock_Log[Part Name],$A36,T_SelfStock_Log[WeekIndex],59))</f>
        <v/>
      </c>
      <c r="BI36" s="12">
        <f>IF(COUNTIFS(T_SelfStock_Log[Part Name],$A36,T_SelfStock_Log[WeekIndex],60)=0,"",SUMIFS(T_SelfStock_Log[Self_Qty],T_SelfStock_Log[Part Name],$A36,T_SelfStock_Log[WeekIndex],60))</f>
        <v/>
      </c>
      <c r="BJ36" s="12">
        <f>IF(COUNTIFS(T_SelfStock_Log[Part Name],$A36,T_SelfStock_Log[WeekIndex],61)=0,"",SUMIFS(T_SelfStock_Log[Self_Qty],T_SelfStock_Log[Part Name],$A36,T_SelfStock_Log[WeekIndex],61))</f>
        <v/>
      </c>
      <c r="BK36" s="12">
        <f>IF(COUNTIFS(T_SelfStock_Log[Part Name],$A36,T_SelfStock_Log[WeekIndex],62)=0,"",SUMIFS(T_SelfStock_Log[Self_Qty],T_SelfStock_Log[Part Name],$A36,T_SelfStock_Log[WeekIndex],62))</f>
        <v/>
      </c>
      <c r="BL36" s="12">
        <f>IF(COUNTIFS(T_SelfStock_Log[Part Name],$A36,T_SelfStock_Log[WeekIndex],63)=0,"",SUMIFS(T_SelfStock_Log[Self_Qty],T_SelfStock_Log[Part Name],$A36,T_SelfStock_Log[WeekIndex],63))</f>
        <v/>
      </c>
      <c r="BM36" s="12">
        <f>IF(COUNTIFS(T_SelfStock_Log[Part Name],$A36,T_SelfStock_Log[WeekIndex],64)=0,"",SUMIFS(T_SelfStock_Log[Self_Qty],T_SelfStock_Log[Part Name],$A36,T_SelfStock_Log[WeekIndex],64))</f>
        <v/>
      </c>
      <c r="BN36" s="12">
        <f>IF(COUNTIFS(T_SelfStock_Log[Part Name],$A36,T_SelfStock_Log[WeekIndex],65)=0,"",SUMIFS(T_SelfStock_Log[Self_Qty],T_SelfStock_Log[Part Name],$A36,T_SelfStock_Log[WeekIndex],65))</f>
        <v/>
      </c>
      <c r="BO36" s="12">
        <f>IF(COUNTIFS(T_SelfStock_Log[Part Name],$A36,T_SelfStock_Log[WeekIndex],66)=0,"",SUMIFS(T_SelfStock_Log[Self_Qty],T_SelfStock_Log[Part Name],$A36,T_SelfStock_Log[WeekIndex],66))</f>
        <v/>
      </c>
      <c r="BP36" s="12">
        <f>IF(COUNTIFS(T_SelfStock_Log[Part Name],$A36,T_SelfStock_Log[WeekIndex],67)=0,"",SUMIFS(T_SelfStock_Log[Self_Qty],T_SelfStock_Log[Part Name],$A36,T_SelfStock_Log[WeekIndex],67))</f>
        <v/>
      </c>
      <c r="BQ36" s="12">
        <f>IF(COUNTIFS(T_SelfStock_Log[Part Name],$A36,T_SelfStock_Log[WeekIndex],68)=0,"",SUMIFS(T_SelfStock_Log[Self_Qty],T_SelfStock_Log[Part Name],$A36,T_SelfStock_Log[WeekIndex],68))</f>
        <v/>
      </c>
      <c r="BR36" s="12">
        <f>IF(COUNTIFS(T_SelfStock_Log[Part Name],$A36,T_SelfStock_Log[WeekIndex],69)=0,"",SUMIFS(T_SelfStock_Log[Self_Qty],T_SelfStock_Log[Part Name],$A36,T_SelfStock_Log[WeekIndex],69))</f>
        <v/>
      </c>
      <c r="BS36" s="12">
        <f>IF(COUNTIFS(T_SelfStock_Log[Part Name],$A36,T_SelfStock_Log[WeekIndex],70)=0,"",SUMIFS(T_SelfStock_Log[Self_Qty],T_SelfStock_Log[Part Name],$A36,T_SelfStock_Log[WeekIndex],70))</f>
        <v/>
      </c>
      <c r="BT36" s="12">
        <f>IF(COUNTIFS(T_SelfStock_Log[Part Name],$A36,T_SelfStock_Log[WeekIndex],71)=0,"",SUMIFS(T_SelfStock_Log[Self_Qty],T_SelfStock_Log[Part Name],$A36,T_SelfStock_Log[WeekIndex],71))</f>
        <v/>
      </c>
      <c r="BU36" s="12">
        <f>IF(COUNTIFS(T_SelfStock_Log[Part Name],$A36,T_SelfStock_Log[WeekIndex],72)=0,"",SUMIFS(T_SelfStock_Log[Self_Qty],T_SelfStock_Log[Part Name],$A36,T_SelfStock_Log[WeekIndex],72))</f>
        <v/>
      </c>
      <c r="BV36" s="12">
        <f>IF(COUNTIFS(T_SelfStock_Log[Part Name],$A36,T_SelfStock_Log[WeekIndex],73)=0,"",SUMIFS(T_SelfStock_Log[Self_Qty],T_SelfStock_Log[Part Name],$A36,T_SelfStock_Log[WeekIndex],73))</f>
        <v/>
      </c>
      <c r="BW36" s="12">
        <f>IF(COUNTIFS(T_SelfStock_Log[Part Name],$A36,T_SelfStock_Log[WeekIndex],74)=0,"",SUMIFS(T_SelfStock_Log[Self_Qty],T_SelfStock_Log[Part Name],$A36,T_SelfStock_Log[WeekIndex],74))</f>
        <v/>
      </c>
      <c r="BX36" s="12">
        <f>IF(COUNTIFS(T_SelfStock_Log[Part Name],$A36,T_SelfStock_Log[WeekIndex],75)=0,"",SUMIFS(T_SelfStock_Log[Self_Qty],T_SelfStock_Log[Part Name],$A36,T_SelfStock_Log[WeekIndex],75))</f>
        <v/>
      </c>
      <c r="BY36" s="12">
        <f>IF(COUNTIFS(T_SelfStock_Log[Part Name],$A36,T_SelfStock_Log[WeekIndex],76)=0,"",SUMIFS(T_SelfStock_Log[Self_Qty],T_SelfStock_Log[Part Name],$A36,T_SelfStock_Log[WeekIndex],76))</f>
        <v/>
      </c>
      <c r="BZ36" s="12">
        <f>IF(COUNTIFS(T_SelfStock_Log[Part Name],$A36,T_SelfStock_Log[WeekIndex],77)=0,"",SUMIFS(T_SelfStock_Log[Self_Qty],T_SelfStock_Log[Part Name],$A36,T_SelfStock_Log[WeekIndex],77))</f>
        <v/>
      </c>
      <c r="CA36" s="12">
        <f>IF(COUNTIFS(T_SelfStock_Log[Part Name],$A36,T_SelfStock_Log[WeekIndex],78)=0,"",SUMIFS(T_SelfStock_Log[Self_Qty],T_SelfStock_Log[Part Name],$A36,T_SelfStock_Log[WeekIndex],78))</f>
        <v/>
      </c>
      <c r="CB36" s="12">
        <f>IF(COUNTIFS(T_SelfStock_Log[Part Name],$A36,T_SelfStock_Log[WeekIndex],79)=0,"",SUMIFS(T_SelfStock_Log[Self_Qty],T_SelfStock_Log[Part Name],$A36,T_SelfStock_Log[WeekIndex],79))</f>
        <v/>
      </c>
      <c r="CC36" s="12">
        <f>IF(COUNTIFS(T_SelfStock_Log[Part Name],$A36,T_SelfStock_Log[WeekIndex],80)=0,"",SUMIFS(T_SelfStock_Log[Self_Qty],T_SelfStock_Log[Part Name],$A36,T_SelfStock_Log[WeekIndex],80))</f>
        <v/>
      </c>
      <c r="CD36" s="12">
        <f>IF(COUNTIFS(T_SelfStock_Log[Part Name],$A36,T_SelfStock_Log[WeekIndex],81)=0,"",SUMIFS(T_SelfStock_Log[Self_Qty],T_SelfStock_Log[Part Name],$A36,T_SelfStock_Log[WeekIndex],81))</f>
        <v/>
      </c>
      <c r="CE36" s="12">
        <f>IF(COUNTIFS(T_SelfStock_Log[Part Name],$A36,T_SelfStock_Log[WeekIndex],82)=0,"",SUMIFS(T_SelfStock_Log[Self_Qty],T_SelfStock_Log[Part Name],$A36,T_SelfStock_Log[WeekIndex],82))</f>
        <v/>
      </c>
      <c r="CF36" s="12">
        <f>IF(COUNTIFS(T_SelfStock_Log[Part Name],$A36,T_SelfStock_Log[WeekIndex],83)=0,"",SUMIFS(T_SelfStock_Log[Self_Qty],T_SelfStock_Log[Part Name],$A36,T_SelfStock_Log[WeekIndex],83))</f>
        <v/>
      </c>
      <c r="CG36" s="12">
        <f>IF(COUNTIFS(T_SelfStock_Log[Part Name],$A36,T_SelfStock_Log[WeekIndex],84)=0,"",SUMIFS(T_SelfStock_Log[Self_Qty],T_SelfStock_Log[Part Name],$A36,T_SelfStock_Log[WeekIndex],84))</f>
        <v/>
      </c>
      <c r="CH36" s="12">
        <f>IF(COUNTIFS(T_SelfStock_Log[Part Name],$A36,T_SelfStock_Log[WeekIndex],85)=0,"",SUMIFS(T_SelfStock_Log[Self_Qty],T_SelfStock_Log[Part Name],$A36,T_SelfStock_Log[WeekIndex],85))</f>
        <v/>
      </c>
      <c r="CI36" s="12">
        <f>IF(COUNTIFS(T_SelfStock_Log[Part Name],$A36,T_SelfStock_Log[WeekIndex],86)=0,"",SUMIFS(T_SelfStock_Log[Self_Qty],T_SelfStock_Log[Part Name],$A36,T_SelfStock_Log[WeekIndex],86))</f>
        <v/>
      </c>
      <c r="CJ36" s="12">
        <f>IF(COUNTIFS(T_SelfStock_Log[Part Name],$A36,T_SelfStock_Log[WeekIndex],87)=0,"",SUMIFS(T_SelfStock_Log[Self_Qty],T_SelfStock_Log[Part Name],$A36,T_SelfStock_Log[WeekIndex],87))</f>
        <v/>
      </c>
      <c r="CK36" s="12">
        <f>IF(COUNTIFS(T_SelfStock_Log[Part Name],$A36,T_SelfStock_Log[WeekIndex],88)=0,"",SUMIFS(T_SelfStock_Log[Self_Qty],T_SelfStock_Log[Part Name],$A36,T_SelfStock_Log[WeekIndex],88))</f>
        <v/>
      </c>
      <c r="CL36" s="12">
        <f>IF(COUNTIFS(T_SelfStock_Log[Part Name],$A36,T_SelfStock_Log[WeekIndex],89)=0,"",SUMIFS(T_SelfStock_Log[Self_Qty],T_SelfStock_Log[Part Name],$A36,T_SelfStock_Log[WeekIndex],89))</f>
        <v/>
      </c>
      <c r="CM36" s="12">
        <f>IF(COUNTIFS(T_SelfStock_Log[Part Name],$A36,T_SelfStock_Log[WeekIndex],90)=0,"",SUMIFS(T_SelfStock_Log[Self_Qty],T_SelfStock_Log[Part Name],$A36,T_SelfStock_Log[WeekIndex],90))</f>
        <v/>
      </c>
      <c r="CN36" s="12">
        <f>IF(COUNTIFS(T_SelfStock_Log[Part Name],$A36,T_SelfStock_Log[WeekIndex],91)=0,"",SUMIFS(T_SelfStock_Log[Self_Qty],T_SelfStock_Log[Part Name],$A36,T_SelfStock_Log[WeekIndex],91))</f>
        <v/>
      </c>
      <c r="CO36" s="12">
        <f>IF(COUNTIFS(T_SelfStock_Log[Part Name],$A36,T_SelfStock_Log[WeekIndex],92)=0,"",SUMIFS(T_SelfStock_Log[Self_Qty],T_SelfStock_Log[Part Name],$A36,T_SelfStock_Log[WeekIndex],92))</f>
        <v/>
      </c>
      <c r="CP36" s="12">
        <f>IF(COUNTIFS(T_SelfStock_Log[Part Name],$A36,T_SelfStock_Log[WeekIndex],93)=0,"",SUMIFS(T_SelfStock_Log[Self_Qty],T_SelfStock_Log[Part Name],$A36,T_SelfStock_Log[WeekIndex],93))</f>
        <v/>
      </c>
      <c r="CQ36" s="12">
        <f>IF(COUNTIFS(T_SelfStock_Log[Part Name],$A36,T_SelfStock_Log[WeekIndex],94)=0,"",SUMIFS(T_SelfStock_Log[Self_Qty],T_SelfStock_Log[Part Name],$A36,T_SelfStock_Log[WeekIndex],94))</f>
        <v/>
      </c>
      <c r="CR36" s="12">
        <f>IF(COUNTIFS(T_SelfStock_Log[Part Name],$A36,T_SelfStock_Log[WeekIndex],95)=0,"",SUMIFS(T_SelfStock_Log[Self_Qty],T_SelfStock_Log[Part Name],$A36,T_SelfStock_Log[WeekIndex],95))</f>
        <v/>
      </c>
      <c r="CS36" s="12">
        <f>IF(COUNTIFS(T_SelfStock_Log[Part Name],$A36,T_SelfStock_Log[WeekIndex],96)=0,"",SUMIFS(T_SelfStock_Log[Self_Qty],T_SelfStock_Log[Part Name],$A36,T_SelfStock_Log[WeekIndex],96))</f>
        <v/>
      </c>
      <c r="CT36" s="12">
        <f>IF(COUNTIFS(T_SelfStock_Log[Part Name],$A36,T_SelfStock_Log[WeekIndex],97)=0,"",SUMIFS(T_SelfStock_Log[Self_Qty],T_SelfStock_Log[Part Name],$A36,T_SelfStock_Log[WeekIndex],97))</f>
        <v/>
      </c>
      <c r="CU36" s="12">
        <f>IF(COUNTIFS(T_SelfStock_Log[Part Name],$A36,T_SelfStock_Log[WeekIndex],98)=0,"",SUMIFS(T_SelfStock_Log[Self_Qty],T_SelfStock_Log[Part Name],$A36,T_SelfStock_Log[WeekIndex],98))</f>
        <v/>
      </c>
      <c r="CV36" s="12">
        <f>IF(COUNTIFS(T_SelfStock_Log[Part Name],$A36,T_SelfStock_Log[WeekIndex],99)=0,"",SUMIFS(T_SelfStock_Log[Self_Qty],T_SelfStock_Log[Part Name],$A36,T_SelfStock_Log[WeekIndex],99))</f>
        <v/>
      </c>
      <c r="CW36" s="12">
        <f>IF(COUNTIFS(T_SelfStock_Log[Part Name],$A36,T_SelfStock_Log[WeekIndex],100)=0,"",SUMIFS(T_SelfStock_Log[Self_Qty],T_SelfStock_Log[Part Name],$A36,T_SelfStock_Log[WeekIndex],100))</f>
        <v/>
      </c>
      <c r="CX36" s="12">
        <f>IF(COUNTIFS(T_SelfStock_Log[Part Name],$A36,T_SelfStock_Log[WeekIndex],101)=0,"",SUMIFS(T_SelfStock_Log[Self_Qty],T_SelfStock_Log[Part Name],$A36,T_SelfStock_Log[WeekIndex],101))</f>
        <v/>
      </c>
      <c r="CY36" s="12">
        <f>IF(COUNTIFS(T_SelfStock_Log[Part Name],$A36,T_SelfStock_Log[WeekIndex],102)=0,"",SUMIFS(T_SelfStock_Log[Self_Qty],T_SelfStock_Log[Part Name],$A36,T_SelfStock_Log[WeekIndex],102))</f>
        <v/>
      </c>
      <c r="CZ36" s="12">
        <f>IF(COUNTIFS(T_SelfStock_Log[Part Name],$A36,T_SelfStock_Log[WeekIndex],103)=0,"",SUMIFS(T_SelfStock_Log[Self_Qty],T_SelfStock_Log[Part Name],$A36,T_SelfStock_Log[WeekIndex],103))</f>
        <v/>
      </c>
      <c r="DA36" s="12">
        <f>IF(COUNTIFS(T_SelfStock_Log[Part Name],$A36,T_SelfStock_Log[WeekIndex],104)=0,"",SUMIFS(T_SelfStock_Log[Self_Qty],T_SelfStock_Log[Part Name],$A36,T_SelfStock_Log[WeekIndex],104))</f>
        <v/>
      </c>
    </row>
    <row r="37">
      <c r="A37" s="13" t="inlineStr">
        <is>
          <t>CHEM-1480</t>
        </is>
      </c>
      <c r="B37" s="13">
        <f>IF(COUNTIFS(T_SelfStock_Log[Part Name],$A37,T_SelfStock_Log[WeekIndex],1)=0,"",SUMIFS(T_SelfStock_Log[Self_Qty],T_SelfStock_Log[Part Name],$A37,T_SelfStock_Log[WeekIndex],1))</f>
        <v/>
      </c>
      <c r="C37" s="13">
        <f>IF(COUNTIFS(T_SelfStock_Log[Part Name],$A37,T_SelfStock_Log[WeekIndex],2)=0,"",SUMIFS(T_SelfStock_Log[Self_Qty],T_SelfStock_Log[Part Name],$A37,T_SelfStock_Log[WeekIndex],2))</f>
        <v/>
      </c>
      <c r="D37" s="13">
        <f>IF(COUNTIFS(T_SelfStock_Log[Part Name],$A37,T_SelfStock_Log[WeekIndex],3)=0,"",SUMIFS(T_SelfStock_Log[Self_Qty],T_SelfStock_Log[Part Name],$A37,T_SelfStock_Log[WeekIndex],3))</f>
        <v/>
      </c>
      <c r="E37" s="13">
        <f>IF(COUNTIFS(T_SelfStock_Log[Part Name],$A37,T_SelfStock_Log[WeekIndex],4)=0,"",SUMIFS(T_SelfStock_Log[Self_Qty],T_SelfStock_Log[Part Name],$A37,T_SelfStock_Log[WeekIndex],4))</f>
        <v/>
      </c>
      <c r="F37" s="13">
        <f>IF(COUNTIFS(T_SelfStock_Log[Part Name],$A37,T_SelfStock_Log[WeekIndex],5)=0,"",SUMIFS(T_SelfStock_Log[Self_Qty],T_SelfStock_Log[Part Name],$A37,T_SelfStock_Log[WeekIndex],5))</f>
        <v/>
      </c>
      <c r="G37" s="13">
        <f>IF(COUNTIFS(T_SelfStock_Log[Part Name],$A37,T_SelfStock_Log[WeekIndex],6)=0,"",SUMIFS(T_SelfStock_Log[Self_Qty],T_SelfStock_Log[Part Name],$A37,T_SelfStock_Log[WeekIndex],6))</f>
        <v/>
      </c>
      <c r="H37" s="13">
        <f>IF(COUNTIFS(T_SelfStock_Log[Part Name],$A37,T_SelfStock_Log[WeekIndex],7)=0,"",SUMIFS(T_SelfStock_Log[Self_Qty],T_SelfStock_Log[Part Name],$A37,T_SelfStock_Log[WeekIndex],7))</f>
        <v/>
      </c>
      <c r="I37" s="13">
        <f>IF(COUNTIFS(T_SelfStock_Log[Part Name],$A37,T_SelfStock_Log[WeekIndex],8)=0,"",SUMIFS(T_SelfStock_Log[Self_Qty],T_SelfStock_Log[Part Name],$A37,T_SelfStock_Log[WeekIndex],8))</f>
        <v/>
      </c>
      <c r="J37" s="13">
        <f>IF(COUNTIFS(T_SelfStock_Log[Part Name],$A37,T_SelfStock_Log[WeekIndex],9)=0,"",SUMIFS(T_SelfStock_Log[Self_Qty],T_SelfStock_Log[Part Name],$A37,T_SelfStock_Log[WeekIndex],9))</f>
        <v/>
      </c>
      <c r="K37" s="13">
        <f>IF(COUNTIFS(T_SelfStock_Log[Part Name],$A37,T_SelfStock_Log[WeekIndex],10)=0,"",SUMIFS(T_SelfStock_Log[Self_Qty],T_SelfStock_Log[Part Name],$A37,T_SelfStock_Log[WeekIndex],10))</f>
        <v/>
      </c>
      <c r="L37" s="13">
        <f>IF(COUNTIFS(T_SelfStock_Log[Part Name],$A37,T_SelfStock_Log[WeekIndex],11)=0,"",SUMIFS(T_SelfStock_Log[Self_Qty],T_SelfStock_Log[Part Name],$A37,T_SelfStock_Log[WeekIndex],11))</f>
        <v/>
      </c>
      <c r="M37" s="13">
        <f>IF(COUNTIFS(T_SelfStock_Log[Part Name],$A37,T_SelfStock_Log[WeekIndex],12)=0,"",SUMIFS(T_SelfStock_Log[Self_Qty],T_SelfStock_Log[Part Name],$A37,T_SelfStock_Log[WeekIndex],12))</f>
        <v/>
      </c>
      <c r="N37" s="13">
        <f>IF(COUNTIFS(T_SelfStock_Log[Part Name],$A37,T_SelfStock_Log[WeekIndex],13)=0,"",SUMIFS(T_SelfStock_Log[Self_Qty],T_SelfStock_Log[Part Name],$A37,T_SelfStock_Log[WeekIndex],13))</f>
        <v/>
      </c>
      <c r="O37" s="13">
        <f>IF(COUNTIFS(T_SelfStock_Log[Part Name],$A37,T_SelfStock_Log[WeekIndex],14)=0,"",SUMIFS(T_SelfStock_Log[Self_Qty],T_SelfStock_Log[Part Name],$A37,T_SelfStock_Log[WeekIndex],14))</f>
        <v/>
      </c>
      <c r="P37" s="13">
        <f>IF(COUNTIFS(T_SelfStock_Log[Part Name],$A37,T_SelfStock_Log[WeekIndex],15)=0,"",SUMIFS(T_SelfStock_Log[Self_Qty],T_SelfStock_Log[Part Name],$A37,T_SelfStock_Log[WeekIndex],15))</f>
        <v/>
      </c>
      <c r="Q37" s="13">
        <f>IF(COUNTIFS(T_SelfStock_Log[Part Name],$A37,T_SelfStock_Log[WeekIndex],16)=0,"",SUMIFS(T_SelfStock_Log[Self_Qty],T_SelfStock_Log[Part Name],$A37,T_SelfStock_Log[WeekIndex],16))</f>
        <v/>
      </c>
      <c r="R37" s="13">
        <f>IF(COUNTIFS(T_SelfStock_Log[Part Name],$A37,T_SelfStock_Log[WeekIndex],17)=0,"",SUMIFS(T_SelfStock_Log[Self_Qty],T_SelfStock_Log[Part Name],$A37,T_SelfStock_Log[WeekIndex],17))</f>
        <v/>
      </c>
      <c r="S37" s="13">
        <f>IF(COUNTIFS(T_SelfStock_Log[Part Name],$A37,T_SelfStock_Log[WeekIndex],18)=0,"",SUMIFS(T_SelfStock_Log[Self_Qty],T_SelfStock_Log[Part Name],$A37,T_SelfStock_Log[WeekIndex],18))</f>
        <v/>
      </c>
      <c r="T37" s="13">
        <f>IF(COUNTIFS(T_SelfStock_Log[Part Name],$A37,T_SelfStock_Log[WeekIndex],19)=0,"",SUMIFS(T_SelfStock_Log[Self_Qty],T_SelfStock_Log[Part Name],$A37,T_SelfStock_Log[WeekIndex],19))</f>
        <v/>
      </c>
      <c r="U37" s="13">
        <f>IF(COUNTIFS(T_SelfStock_Log[Part Name],$A37,T_SelfStock_Log[WeekIndex],20)=0,"",SUMIFS(T_SelfStock_Log[Self_Qty],T_SelfStock_Log[Part Name],$A37,T_SelfStock_Log[WeekIndex],20))</f>
        <v/>
      </c>
      <c r="V37" s="13">
        <f>IF(COUNTIFS(T_SelfStock_Log[Part Name],$A37,T_SelfStock_Log[WeekIndex],21)=0,"",SUMIFS(T_SelfStock_Log[Self_Qty],T_SelfStock_Log[Part Name],$A37,T_SelfStock_Log[WeekIndex],21))</f>
        <v/>
      </c>
      <c r="W37" s="13">
        <f>IF(COUNTIFS(T_SelfStock_Log[Part Name],$A37,T_SelfStock_Log[WeekIndex],22)=0,"",SUMIFS(T_SelfStock_Log[Self_Qty],T_SelfStock_Log[Part Name],$A37,T_SelfStock_Log[WeekIndex],22))</f>
        <v/>
      </c>
      <c r="X37" s="13">
        <f>IF(COUNTIFS(T_SelfStock_Log[Part Name],$A37,T_SelfStock_Log[WeekIndex],23)=0,"",SUMIFS(T_SelfStock_Log[Self_Qty],T_SelfStock_Log[Part Name],$A37,T_SelfStock_Log[WeekIndex],23))</f>
        <v/>
      </c>
      <c r="Y37" s="13">
        <f>IF(COUNTIFS(T_SelfStock_Log[Part Name],$A37,T_SelfStock_Log[WeekIndex],24)=0,"",SUMIFS(T_SelfStock_Log[Self_Qty],T_SelfStock_Log[Part Name],$A37,T_SelfStock_Log[WeekIndex],24))</f>
        <v/>
      </c>
      <c r="Z37" s="13">
        <f>IF(COUNTIFS(T_SelfStock_Log[Part Name],$A37,T_SelfStock_Log[WeekIndex],25)=0,"",SUMIFS(T_SelfStock_Log[Self_Qty],T_SelfStock_Log[Part Name],$A37,T_SelfStock_Log[WeekIndex],25))</f>
        <v/>
      </c>
      <c r="AA37" s="13">
        <f>IF(COUNTIFS(T_SelfStock_Log[Part Name],$A37,T_SelfStock_Log[WeekIndex],26)=0,"",SUMIFS(T_SelfStock_Log[Self_Qty],T_SelfStock_Log[Part Name],$A37,T_SelfStock_Log[WeekIndex],26))</f>
        <v/>
      </c>
      <c r="AB37" s="13">
        <f>IF(COUNTIFS(T_SelfStock_Log[Part Name],$A37,T_SelfStock_Log[WeekIndex],27)=0,"",SUMIFS(T_SelfStock_Log[Self_Qty],T_SelfStock_Log[Part Name],$A37,T_SelfStock_Log[WeekIndex],27))</f>
        <v/>
      </c>
      <c r="AC37" s="13">
        <f>IF(COUNTIFS(T_SelfStock_Log[Part Name],$A37,T_SelfStock_Log[WeekIndex],28)=0,"",SUMIFS(T_SelfStock_Log[Self_Qty],T_SelfStock_Log[Part Name],$A37,T_SelfStock_Log[WeekIndex],28))</f>
        <v/>
      </c>
      <c r="AD37" s="13">
        <f>IF(COUNTIFS(T_SelfStock_Log[Part Name],$A37,T_SelfStock_Log[WeekIndex],29)=0,"",SUMIFS(T_SelfStock_Log[Self_Qty],T_SelfStock_Log[Part Name],$A37,T_SelfStock_Log[WeekIndex],29))</f>
        <v/>
      </c>
      <c r="AE37" s="13">
        <f>IF(COUNTIFS(T_SelfStock_Log[Part Name],$A37,T_SelfStock_Log[WeekIndex],30)=0,"",SUMIFS(T_SelfStock_Log[Self_Qty],T_SelfStock_Log[Part Name],$A37,T_SelfStock_Log[WeekIndex],30))</f>
        <v/>
      </c>
      <c r="AF37" s="13">
        <f>IF(COUNTIFS(T_SelfStock_Log[Part Name],$A37,T_SelfStock_Log[WeekIndex],31)=0,"",SUMIFS(T_SelfStock_Log[Self_Qty],T_SelfStock_Log[Part Name],$A37,T_SelfStock_Log[WeekIndex],31))</f>
        <v/>
      </c>
      <c r="AG37" s="13">
        <f>IF(COUNTIFS(T_SelfStock_Log[Part Name],$A37,T_SelfStock_Log[WeekIndex],32)=0,"",SUMIFS(T_SelfStock_Log[Self_Qty],T_SelfStock_Log[Part Name],$A37,T_SelfStock_Log[WeekIndex],32))</f>
        <v/>
      </c>
      <c r="AH37" s="13">
        <f>IF(COUNTIFS(T_SelfStock_Log[Part Name],$A37,T_SelfStock_Log[WeekIndex],33)=0,"",SUMIFS(T_SelfStock_Log[Self_Qty],T_SelfStock_Log[Part Name],$A37,T_SelfStock_Log[WeekIndex],33))</f>
        <v/>
      </c>
      <c r="AI37" s="13">
        <f>IF(COUNTIFS(T_SelfStock_Log[Part Name],$A37,T_SelfStock_Log[WeekIndex],34)=0,"",SUMIFS(T_SelfStock_Log[Self_Qty],T_SelfStock_Log[Part Name],$A37,T_SelfStock_Log[WeekIndex],34))</f>
        <v/>
      </c>
      <c r="AJ37" s="13">
        <f>IF(COUNTIFS(T_SelfStock_Log[Part Name],$A37,T_SelfStock_Log[WeekIndex],35)=0,"",SUMIFS(T_SelfStock_Log[Self_Qty],T_SelfStock_Log[Part Name],$A37,T_SelfStock_Log[WeekIndex],35))</f>
        <v/>
      </c>
      <c r="AK37" s="13">
        <f>IF(COUNTIFS(T_SelfStock_Log[Part Name],$A37,T_SelfStock_Log[WeekIndex],36)=0,"",SUMIFS(T_SelfStock_Log[Self_Qty],T_SelfStock_Log[Part Name],$A37,T_SelfStock_Log[WeekIndex],36))</f>
        <v/>
      </c>
      <c r="AL37" s="13">
        <f>IF(COUNTIFS(T_SelfStock_Log[Part Name],$A37,T_SelfStock_Log[WeekIndex],37)=0,"",SUMIFS(T_SelfStock_Log[Self_Qty],T_SelfStock_Log[Part Name],$A37,T_SelfStock_Log[WeekIndex],37))</f>
        <v/>
      </c>
      <c r="AM37" s="13">
        <f>IF(COUNTIFS(T_SelfStock_Log[Part Name],$A37,T_SelfStock_Log[WeekIndex],38)=0,"",SUMIFS(T_SelfStock_Log[Self_Qty],T_SelfStock_Log[Part Name],$A37,T_SelfStock_Log[WeekIndex],38))</f>
        <v/>
      </c>
      <c r="AN37" s="13">
        <f>IF(COUNTIFS(T_SelfStock_Log[Part Name],$A37,T_SelfStock_Log[WeekIndex],39)=0,"",SUMIFS(T_SelfStock_Log[Self_Qty],T_SelfStock_Log[Part Name],$A37,T_SelfStock_Log[WeekIndex],39))</f>
        <v/>
      </c>
      <c r="AO37" s="13">
        <f>IF(COUNTIFS(T_SelfStock_Log[Part Name],$A37,T_SelfStock_Log[WeekIndex],40)=0,"",SUMIFS(T_SelfStock_Log[Self_Qty],T_SelfStock_Log[Part Name],$A37,T_SelfStock_Log[WeekIndex],40))</f>
        <v/>
      </c>
      <c r="AP37" s="13">
        <f>IF(COUNTIFS(T_SelfStock_Log[Part Name],$A37,T_SelfStock_Log[WeekIndex],41)=0,"",SUMIFS(T_SelfStock_Log[Self_Qty],T_SelfStock_Log[Part Name],$A37,T_SelfStock_Log[WeekIndex],41))</f>
        <v/>
      </c>
      <c r="AQ37" s="13">
        <f>IF(COUNTIFS(T_SelfStock_Log[Part Name],$A37,T_SelfStock_Log[WeekIndex],42)=0,"",SUMIFS(T_SelfStock_Log[Self_Qty],T_SelfStock_Log[Part Name],$A37,T_SelfStock_Log[WeekIndex],42))</f>
        <v/>
      </c>
      <c r="AR37" s="13">
        <f>IF(COUNTIFS(T_SelfStock_Log[Part Name],$A37,T_SelfStock_Log[WeekIndex],43)=0,"",SUMIFS(T_SelfStock_Log[Self_Qty],T_SelfStock_Log[Part Name],$A37,T_SelfStock_Log[WeekIndex],43))</f>
        <v/>
      </c>
      <c r="AS37" s="13">
        <f>IF(COUNTIFS(T_SelfStock_Log[Part Name],$A37,T_SelfStock_Log[WeekIndex],44)=0,"",SUMIFS(T_SelfStock_Log[Self_Qty],T_SelfStock_Log[Part Name],$A37,T_SelfStock_Log[WeekIndex],44))</f>
        <v/>
      </c>
      <c r="AT37" s="13">
        <f>IF(COUNTIFS(T_SelfStock_Log[Part Name],$A37,T_SelfStock_Log[WeekIndex],45)=0,"",SUMIFS(T_SelfStock_Log[Self_Qty],T_SelfStock_Log[Part Name],$A37,T_SelfStock_Log[WeekIndex],45))</f>
        <v/>
      </c>
      <c r="AU37" s="13">
        <f>IF(COUNTIFS(T_SelfStock_Log[Part Name],$A37,T_SelfStock_Log[WeekIndex],46)=0,"",SUMIFS(T_SelfStock_Log[Self_Qty],T_SelfStock_Log[Part Name],$A37,T_SelfStock_Log[WeekIndex],46))</f>
        <v/>
      </c>
      <c r="AV37" s="13">
        <f>IF(COUNTIFS(T_SelfStock_Log[Part Name],$A37,T_SelfStock_Log[WeekIndex],47)=0,"",SUMIFS(T_SelfStock_Log[Self_Qty],T_SelfStock_Log[Part Name],$A37,T_SelfStock_Log[WeekIndex],47))</f>
        <v/>
      </c>
      <c r="AW37" s="13">
        <f>IF(COUNTIFS(T_SelfStock_Log[Part Name],$A37,T_SelfStock_Log[WeekIndex],48)=0,"",SUMIFS(T_SelfStock_Log[Self_Qty],T_SelfStock_Log[Part Name],$A37,T_SelfStock_Log[WeekIndex],48))</f>
        <v/>
      </c>
      <c r="AX37" s="13">
        <f>IF(COUNTIFS(T_SelfStock_Log[Part Name],$A37,T_SelfStock_Log[WeekIndex],49)=0,"",SUMIFS(T_SelfStock_Log[Self_Qty],T_SelfStock_Log[Part Name],$A37,T_SelfStock_Log[WeekIndex],49))</f>
        <v/>
      </c>
      <c r="AY37" s="13">
        <f>IF(COUNTIFS(T_SelfStock_Log[Part Name],$A37,T_SelfStock_Log[WeekIndex],50)=0,"",SUMIFS(T_SelfStock_Log[Self_Qty],T_SelfStock_Log[Part Name],$A37,T_SelfStock_Log[WeekIndex],50))</f>
        <v/>
      </c>
      <c r="AZ37" s="13">
        <f>IF(COUNTIFS(T_SelfStock_Log[Part Name],$A37,T_SelfStock_Log[WeekIndex],51)=0,"",SUMIFS(T_SelfStock_Log[Self_Qty],T_SelfStock_Log[Part Name],$A37,T_SelfStock_Log[WeekIndex],51))</f>
        <v/>
      </c>
      <c r="BA37" s="13">
        <f>IF(COUNTIFS(T_SelfStock_Log[Part Name],$A37,T_SelfStock_Log[WeekIndex],52)=0,"",SUMIFS(T_SelfStock_Log[Self_Qty],T_SelfStock_Log[Part Name],$A37,T_SelfStock_Log[WeekIndex],52))</f>
        <v/>
      </c>
      <c r="BB37" s="13">
        <f>IF(COUNTIFS(T_SelfStock_Log[Part Name],$A37,T_SelfStock_Log[WeekIndex],53)=0,"",SUMIFS(T_SelfStock_Log[Self_Qty],T_SelfStock_Log[Part Name],$A37,T_SelfStock_Log[WeekIndex],53))</f>
        <v/>
      </c>
      <c r="BC37" s="13">
        <f>IF(COUNTIFS(T_SelfStock_Log[Part Name],$A37,T_SelfStock_Log[WeekIndex],54)=0,"",SUMIFS(T_SelfStock_Log[Self_Qty],T_SelfStock_Log[Part Name],$A37,T_SelfStock_Log[WeekIndex],54))</f>
        <v/>
      </c>
      <c r="BD37" s="13">
        <f>IF(COUNTIFS(T_SelfStock_Log[Part Name],$A37,T_SelfStock_Log[WeekIndex],55)=0,"",SUMIFS(T_SelfStock_Log[Self_Qty],T_SelfStock_Log[Part Name],$A37,T_SelfStock_Log[WeekIndex],55))</f>
        <v/>
      </c>
      <c r="BE37" s="13">
        <f>IF(COUNTIFS(T_SelfStock_Log[Part Name],$A37,T_SelfStock_Log[WeekIndex],56)=0,"",SUMIFS(T_SelfStock_Log[Self_Qty],T_SelfStock_Log[Part Name],$A37,T_SelfStock_Log[WeekIndex],56))</f>
        <v/>
      </c>
      <c r="BF37" s="13">
        <f>IF(COUNTIFS(T_SelfStock_Log[Part Name],$A37,T_SelfStock_Log[WeekIndex],57)=0,"",SUMIFS(T_SelfStock_Log[Self_Qty],T_SelfStock_Log[Part Name],$A37,T_SelfStock_Log[WeekIndex],57))</f>
        <v/>
      </c>
      <c r="BG37" s="13">
        <f>IF(COUNTIFS(T_SelfStock_Log[Part Name],$A37,T_SelfStock_Log[WeekIndex],58)=0,"",SUMIFS(T_SelfStock_Log[Self_Qty],T_SelfStock_Log[Part Name],$A37,T_SelfStock_Log[WeekIndex],58))</f>
        <v/>
      </c>
      <c r="BH37" s="13">
        <f>IF(COUNTIFS(T_SelfStock_Log[Part Name],$A37,T_SelfStock_Log[WeekIndex],59)=0,"",SUMIFS(T_SelfStock_Log[Self_Qty],T_SelfStock_Log[Part Name],$A37,T_SelfStock_Log[WeekIndex],59))</f>
        <v/>
      </c>
      <c r="BI37" s="13">
        <f>IF(COUNTIFS(T_SelfStock_Log[Part Name],$A37,T_SelfStock_Log[WeekIndex],60)=0,"",SUMIFS(T_SelfStock_Log[Self_Qty],T_SelfStock_Log[Part Name],$A37,T_SelfStock_Log[WeekIndex],60))</f>
        <v/>
      </c>
      <c r="BJ37" s="13">
        <f>IF(COUNTIFS(T_SelfStock_Log[Part Name],$A37,T_SelfStock_Log[WeekIndex],61)=0,"",SUMIFS(T_SelfStock_Log[Self_Qty],T_SelfStock_Log[Part Name],$A37,T_SelfStock_Log[WeekIndex],61))</f>
        <v/>
      </c>
      <c r="BK37" s="13">
        <f>IF(COUNTIFS(T_SelfStock_Log[Part Name],$A37,T_SelfStock_Log[WeekIndex],62)=0,"",SUMIFS(T_SelfStock_Log[Self_Qty],T_SelfStock_Log[Part Name],$A37,T_SelfStock_Log[WeekIndex],62))</f>
        <v/>
      </c>
      <c r="BL37" s="13">
        <f>IF(COUNTIFS(T_SelfStock_Log[Part Name],$A37,T_SelfStock_Log[WeekIndex],63)=0,"",SUMIFS(T_SelfStock_Log[Self_Qty],T_SelfStock_Log[Part Name],$A37,T_SelfStock_Log[WeekIndex],63))</f>
        <v/>
      </c>
      <c r="BM37" s="13">
        <f>IF(COUNTIFS(T_SelfStock_Log[Part Name],$A37,T_SelfStock_Log[WeekIndex],64)=0,"",SUMIFS(T_SelfStock_Log[Self_Qty],T_SelfStock_Log[Part Name],$A37,T_SelfStock_Log[WeekIndex],64))</f>
        <v/>
      </c>
      <c r="BN37" s="13">
        <f>IF(COUNTIFS(T_SelfStock_Log[Part Name],$A37,T_SelfStock_Log[WeekIndex],65)=0,"",SUMIFS(T_SelfStock_Log[Self_Qty],T_SelfStock_Log[Part Name],$A37,T_SelfStock_Log[WeekIndex],65))</f>
        <v/>
      </c>
      <c r="BO37" s="13">
        <f>IF(COUNTIFS(T_SelfStock_Log[Part Name],$A37,T_SelfStock_Log[WeekIndex],66)=0,"",SUMIFS(T_SelfStock_Log[Self_Qty],T_SelfStock_Log[Part Name],$A37,T_SelfStock_Log[WeekIndex],66))</f>
        <v/>
      </c>
      <c r="BP37" s="13">
        <f>IF(COUNTIFS(T_SelfStock_Log[Part Name],$A37,T_SelfStock_Log[WeekIndex],67)=0,"",SUMIFS(T_SelfStock_Log[Self_Qty],T_SelfStock_Log[Part Name],$A37,T_SelfStock_Log[WeekIndex],67))</f>
        <v/>
      </c>
      <c r="BQ37" s="13">
        <f>IF(COUNTIFS(T_SelfStock_Log[Part Name],$A37,T_SelfStock_Log[WeekIndex],68)=0,"",SUMIFS(T_SelfStock_Log[Self_Qty],T_SelfStock_Log[Part Name],$A37,T_SelfStock_Log[WeekIndex],68))</f>
        <v/>
      </c>
      <c r="BR37" s="13">
        <f>IF(COUNTIFS(T_SelfStock_Log[Part Name],$A37,T_SelfStock_Log[WeekIndex],69)=0,"",SUMIFS(T_SelfStock_Log[Self_Qty],T_SelfStock_Log[Part Name],$A37,T_SelfStock_Log[WeekIndex],69))</f>
        <v/>
      </c>
      <c r="BS37" s="13">
        <f>IF(COUNTIFS(T_SelfStock_Log[Part Name],$A37,T_SelfStock_Log[WeekIndex],70)=0,"",SUMIFS(T_SelfStock_Log[Self_Qty],T_SelfStock_Log[Part Name],$A37,T_SelfStock_Log[WeekIndex],70))</f>
        <v/>
      </c>
      <c r="BT37" s="13">
        <f>IF(COUNTIFS(T_SelfStock_Log[Part Name],$A37,T_SelfStock_Log[WeekIndex],71)=0,"",SUMIFS(T_SelfStock_Log[Self_Qty],T_SelfStock_Log[Part Name],$A37,T_SelfStock_Log[WeekIndex],71))</f>
        <v/>
      </c>
      <c r="BU37" s="13">
        <f>IF(COUNTIFS(T_SelfStock_Log[Part Name],$A37,T_SelfStock_Log[WeekIndex],72)=0,"",SUMIFS(T_SelfStock_Log[Self_Qty],T_SelfStock_Log[Part Name],$A37,T_SelfStock_Log[WeekIndex],72))</f>
        <v/>
      </c>
      <c r="BV37" s="13">
        <f>IF(COUNTIFS(T_SelfStock_Log[Part Name],$A37,T_SelfStock_Log[WeekIndex],73)=0,"",SUMIFS(T_SelfStock_Log[Self_Qty],T_SelfStock_Log[Part Name],$A37,T_SelfStock_Log[WeekIndex],73))</f>
        <v/>
      </c>
      <c r="BW37" s="13">
        <f>IF(COUNTIFS(T_SelfStock_Log[Part Name],$A37,T_SelfStock_Log[WeekIndex],74)=0,"",SUMIFS(T_SelfStock_Log[Self_Qty],T_SelfStock_Log[Part Name],$A37,T_SelfStock_Log[WeekIndex],74))</f>
        <v/>
      </c>
      <c r="BX37" s="13">
        <f>IF(COUNTIFS(T_SelfStock_Log[Part Name],$A37,T_SelfStock_Log[WeekIndex],75)=0,"",SUMIFS(T_SelfStock_Log[Self_Qty],T_SelfStock_Log[Part Name],$A37,T_SelfStock_Log[WeekIndex],75))</f>
        <v/>
      </c>
      <c r="BY37" s="13">
        <f>IF(COUNTIFS(T_SelfStock_Log[Part Name],$A37,T_SelfStock_Log[WeekIndex],76)=0,"",SUMIFS(T_SelfStock_Log[Self_Qty],T_SelfStock_Log[Part Name],$A37,T_SelfStock_Log[WeekIndex],76))</f>
        <v/>
      </c>
      <c r="BZ37" s="13">
        <f>IF(COUNTIFS(T_SelfStock_Log[Part Name],$A37,T_SelfStock_Log[WeekIndex],77)=0,"",SUMIFS(T_SelfStock_Log[Self_Qty],T_SelfStock_Log[Part Name],$A37,T_SelfStock_Log[WeekIndex],77))</f>
        <v/>
      </c>
      <c r="CA37" s="13">
        <f>IF(COUNTIFS(T_SelfStock_Log[Part Name],$A37,T_SelfStock_Log[WeekIndex],78)=0,"",SUMIFS(T_SelfStock_Log[Self_Qty],T_SelfStock_Log[Part Name],$A37,T_SelfStock_Log[WeekIndex],78))</f>
        <v/>
      </c>
      <c r="CB37" s="13">
        <f>IF(COUNTIFS(T_SelfStock_Log[Part Name],$A37,T_SelfStock_Log[WeekIndex],79)=0,"",SUMIFS(T_SelfStock_Log[Self_Qty],T_SelfStock_Log[Part Name],$A37,T_SelfStock_Log[WeekIndex],79))</f>
        <v/>
      </c>
      <c r="CC37" s="13">
        <f>IF(COUNTIFS(T_SelfStock_Log[Part Name],$A37,T_SelfStock_Log[WeekIndex],80)=0,"",SUMIFS(T_SelfStock_Log[Self_Qty],T_SelfStock_Log[Part Name],$A37,T_SelfStock_Log[WeekIndex],80))</f>
        <v/>
      </c>
      <c r="CD37" s="13">
        <f>IF(COUNTIFS(T_SelfStock_Log[Part Name],$A37,T_SelfStock_Log[WeekIndex],81)=0,"",SUMIFS(T_SelfStock_Log[Self_Qty],T_SelfStock_Log[Part Name],$A37,T_SelfStock_Log[WeekIndex],81))</f>
        <v/>
      </c>
      <c r="CE37" s="13">
        <f>IF(COUNTIFS(T_SelfStock_Log[Part Name],$A37,T_SelfStock_Log[WeekIndex],82)=0,"",SUMIFS(T_SelfStock_Log[Self_Qty],T_SelfStock_Log[Part Name],$A37,T_SelfStock_Log[WeekIndex],82))</f>
        <v/>
      </c>
      <c r="CF37" s="13">
        <f>IF(COUNTIFS(T_SelfStock_Log[Part Name],$A37,T_SelfStock_Log[WeekIndex],83)=0,"",SUMIFS(T_SelfStock_Log[Self_Qty],T_SelfStock_Log[Part Name],$A37,T_SelfStock_Log[WeekIndex],83))</f>
        <v/>
      </c>
      <c r="CG37" s="13">
        <f>IF(COUNTIFS(T_SelfStock_Log[Part Name],$A37,T_SelfStock_Log[WeekIndex],84)=0,"",SUMIFS(T_SelfStock_Log[Self_Qty],T_SelfStock_Log[Part Name],$A37,T_SelfStock_Log[WeekIndex],84))</f>
        <v/>
      </c>
      <c r="CH37" s="13">
        <f>IF(COUNTIFS(T_SelfStock_Log[Part Name],$A37,T_SelfStock_Log[WeekIndex],85)=0,"",SUMIFS(T_SelfStock_Log[Self_Qty],T_SelfStock_Log[Part Name],$A37,T_SelfStock_Log[WeekIndex],85))</f>
        <v/>
      </c>
      <c r="CI37" s="13">
        <f>IF(COUNTIFS(T_SelfStock_Log[Part Name],$A37,T_SelfStock_Log[WeekIndex],86)=0,"",SUMIFS(T_SelfStock_Log[Self_Qty],T_SelfStock_Log[Part Name],$A37,T_SelfStock_Log[WeekIndex],86))</f>
        <v/>
      </c>
      <c r="CJ37" s="13">
        <f>IF(COUNTIFS(T_SelfStock_Log[Part Name],$A37,T_SelfStock_Log[WeekIndex],87)=0,"",SUMIFS(T_SelfStock_Log[Self_Qty],T_SelfStock_Log[Part Name],$A37,T_SelfStock_Log[WeekIndex],87))</f>
        <v/>
      </c>
      <c r="CK37" s="13">
        <f>IF(COUNTIFS(T_SelfStock_Log[Part Name],$A37,T_SelfStock_Log[WeekIndex],88)=0,"",SUMIFS(T_SelfStock_Log[Self_Qty],T_SelfStock_Log[Part Name],$A37,T_SelfStock_Log[WeekIndex],88))</f>
        <v/>
      </c>
      <c r="CL37" s="13">
        <f>IF(COUNTIFS(T_SelfStock_Log[Part Name],$A37,T_SelfStock_Log[WeekIndex],89)=0,"",SUMIFS(T_SelfStock_Log[Self_Qty],T_SelfStock_Log[Part Name],$A37,T_SelfStock_Log[WeekIndex],89))</f>
        <v/>
      </c>
      <c r="CM37" s="13">
        <f>IF(COUNTIFS(T_SelfStock_Log[Part Name],$A37,T_SelfStock_Log[WeekIndex],90)=0,"",SUMIFS(T_SelfStock_Log[Self_Qty],T_SelfStock_Log[Part Name],$A37,T_SelfStock_Log[WeekIndex],90))</f>
        <v/>
      </c>
      <c r="CN37" s="13">
        <f>IF(COUNTIFS(T_SelfStock_Log[Part Name],$A37,T_SelfStock_Log[WeekIndex],91)=0,"",SUMIFS(T_SelfStock_Log[Self_Qty],T_SelfStock_Log[Part Name],$A37,T_SelfStock_Log[WeekIndex],91))</f>
        <v/>
      </c>
      <c r="CO37" s="13">
        <f>IF(COUNTIFS(T_SelfStock_Log[Part Name],$A37,T_SelfStock_Log[WeekIndex],92)=0,"",SUMIFS(T_SelfStock_Log[Self_Qty],T_SelfStock_Log[Part Name],$A37,T_SelfStock_Log[WeekIndex],92))</f>
        <v/>
      </c>
      <c r="CP37" s="13">
        <f>IF(COUNTIFS(T_SelfStock_Log[Part Name],$A37,T_SelfStock_Log[WeekIndex],93)=0,"",SUMIFS(T_SelfStock_Log[Self_Qty],T_SelfStock_Log[Part Name],$A37,T_SelfStock_Log[WeekIndex],93))</f>
        <v/>
      </c>
      <c r="CQ37" s="13">
        <f>IF(COUNTIFS(T_SelfStock_Log[Part Name],$A37,T_SelfStock_Log[WeekIndex],94)=0,"",SUMIFS(T_SelfStock_Log[Self_Qty],T_SelfStock_Log[Part Name],$A37,T_SelfStock_Log[WeekIndex],94))</f>
        <v/>
      </c>
      <c r="CR37" s="13">
        <f>IF(COUNTIFS(T_SelfStock_Log[Part Name],$A37,T_SelfStock_Log[WeekIndex],95)=0,"",SUMIFS(T_SelfStock_Log[Self_Qty],T_SelfStock_Log[Part Name],$A37,T_SelfStock_Log[WeekIndex],95))</f>
        <v/>
      </c>
      <c r="CS37" s="13">
        <f>IF(COUNTIFS(T_SelfStock_Log[Part Name],$A37,T_SelfStock_Log[WeekIndex],96)=0,"",SUMIFS(T_SelfStock_Log[Self_Qty],T_SelfStock_Log[Part Name],$A37,T_SelfStock_Log[WeekIndex],96))</f>
        <v/>
      </c>
      <c r="CT37" s="13">
        <f>IF(COUNTIFS(T_SelfStock_Log[Part Name],$A37,T_SelfStock_Log[WeekIndex],97)=0,"",SUMIFS(T_SelfStock_Log[Self_Qty],T_SelfStock_Log[Part Name],$A37,T_SelfStock_Log[WeekIndex],97))</f>
        <v/>
      </c>
      <c r="CU37" s="13">
        <f>IF(COUNTIFS(T_SelfStock_Log[Part Name],$A37,T_SelfStock_Log[WeekIndex],98)=0,"",SUMIFS(T_SelfStock_Log[Self_Qty],T_SelfStock_Log[Part Name],$A37,T_SelfStock_Log[WeekIndex],98))</f>
        <v/>
      </c>
      <c r="CV37" s="13">
        <f>IF(COUNTIFS(T_SelfStock_Log[Part Name],$A37,T_SelfStock_Log[WeekIndex],99)=0,"",SUMIFS(T_SelfStock_Log[Self_Qty],T_SelfStock_Log[Part Name],$A37,T_SelfStock_Log[WeekIndex],99))</f>
        <v/>
      </c>
      <c r="CW37" s="13">
        <f>IF(COUNTIFS(T_SelfStock_Log[Part Name],$A37,T_SelfStock_Log[WeekIndex],100)=0,"",SUMIFS(T_SelfStock_Log[Self_Qty],T_SelfStock_Log[Part Name],$A37,T_SelfStock_Log[WeekIndex],100))</f>
        <v/>
      </c>
      <c r="CX37" s="13">
        <f>IF(COUNTIFS(T_SelfStock_Log[Part Name],$A37,T_SelfStock_Log[WeekIndex],101)=0,"",SUMIFS(T_SelfStock_Log[Self_Qty],T_SelfStock_Log[Part Name],$A37,T_SelfStock_Log[WeekIndex],101))</f>
        <v/>
      </c>
      <c r="CY37" s="13">
        <f>IF(COUNTIFS(T_SelfStock_Log[Part Name],$A37,T_SelfStock_Log[WeekIndex],102)=0,"",SUMIFS(T_SelfStock_Log[Self_Qty],T_SelfStock_Log[Part Name],$A37,T_SelfStock_Log[WeekIndex],102))</f>
        <v/>
      </c>
      <c r="CZ37" s="13">
        <f>IF(COUNTIFS(T_SelfStock_Log[Part Name],$A37,T_SelfStock_Log[WeekIndex],103)=0,"",SUMIFS(T_SelfStock_Log[Self_Qty],T_SelfStock_Log[Part Name],$A37,T_SelfStock_Log[WeekIndex],103))</f>
        <v/>
      </c>
      <c r="DA37" s="13">
        <f>IF(COUNTIFS(T_SelfStock_Log[Part Name],$A37,T_SelfStock_Log[WeekIndex],104)=0,"",SUMIFS(T_SelfStock_Log[Self_Qty],T_SelfStock_Log[Part Name],$A37,T_SelfStock_Log[WeekIndex],104))</f>
        <v/>
      </c>
    </row>
    <row r="38">
      <c r="A38" s="12" t="inlineStr">
        <is>
          <t>CHEM-1560</t>
        </is>
      </c>
      <c r="B38" s="12">
        <f>IF(COUNTIFS(T_SelfStock_Log[Part Name],$A38,T_SelfStock_Log[WeekIndex],1)=0,"",SUMIFS(T_SelfStock_Log[Self_Qty],T_SelfStock_Log[Part Name],$A38,T_SelfStock_Log[WeekIndex],1))</f>
        <v/>
      </c>
      <c r="C38" s="12">
        <f>IF(COUNTIFS(T_SelfStock_Log[Part Name],$A38,T_SelfStock_Log[WeekIndex],2)=0,"",SUMIFS(T_SelfStock_Log[Self_Qty],T_SelfStock_Log[Part Name],$A38,T_SelfStock_Log[WeekIndex],2))</f>
        <v/>
      </c>
      <c r="D38" s="12">
        <f>IF(COUNTIFS(T_SelfStock_Log[Part Name],$A38,T_SelfStock_Log[WeekIndex],3)=0,"",SUMIFS(T_SelfStock_Log[Self_Qty],T_SelfStock_Log[Part Name],$A38,T_SelfStock_Log[WeekIndex],3))</f>
        <v/>
      </c>
      <c r="E38" s="12">
        <f>IF(COUNTIFS(T_SelfStock_Log[Part Name],$A38,T_SelfStock_Log[WeekIndex],4)=0,"",SUMIFS(T_SelfStock_Log[Self_Qty],T_SelfStock_Log[Part Name],$A38,T_SelfStock_Log[WeekIndex],4))</f>
        <v/>
      </c>
      <c r="F38" s="12">
        <f>IF(COUNTIFS(T_SelfStock_Log[Part Name],$A38,T_SelfStock_Log[WeekIndex],5)=0,"",SUMIFS(T_SelfStock_Log[Self_Qty],T_SelfStock_Log[Part Name],$A38,T_SelfStock_Log[WeekIndex],5))</f>
        <v/>
      </c>
      <c r="G38" s="12">
        <f>IF(COUNTIFS(T_SelfStock_Log[Part Name],$A38,T_SelfStock_Log[WeekIndex],6)=0,"",SUMIFS(T_SelfStock_Log[Self_Qty],T_SelfStock_Log[Part Name],$A38,T_SelfStock_Log[WeekIndex],6))</f>
        <v/>
      </c>
      <c r="H38" s="12">
        <f>IF(COUNTIFS(T_SelfStock_Log[Part Name],$A38,T_SelfStock_Log[WeekIndex],7)=0,"",SUMIFS(T_SelfStock_Log[Self_Qty],T_SelfStock_Log[Part Name],$A38,T_SelfStock_Log[WeekIndex],7))</f>
        <v/>
      </c>
      <c r="I38" s="12">
        <f>IF(COUNTIFS(T_SelfStock_Log[Part Name],$A38,T_SelfStock_Log[WeekIndex],8)=0,"",SUMIFS(T_SelfStock_Log[Self_Qty],T_SelfStock_Log[Part Name],$A38,T_SelfStock_Log[WeekIndex],8))</f>
        <v/>
      </c>
      <c r="J38" s="12">
        <f>IF(COUNTIFS(T_SelfStock_Log[Part Name],$A38,T_SelfStock_Log[WeekIndex],9)=0,"",SUMIFS(T_SelfStock_Log[Self_Qty],T_SelfStock_Log[Part Name],$A38,T_SelfStock_Log[WeekIndex],9))</f>
        <v/>
      </c>
      <c r="K38" s="12">
        <f>IF(COUNTIFS(T_SelfStock_Log[Part Name],$A38,T_SelfStock_Log[WeekIndex],10)=0,"",SUMIFS(T_SelfStock_Log[Self_Qty],T_SelfStock_Log[Part Name],$A38,T_SelfStock_Log[WeekIndex],10))</f>
        <v/>
      </c>
      <c r="L38" s="12">
        <f>IF(COUNTIFS(T_SelfStock_Log[Part Name],$A38,T_SelfStock_Log[WeekIndex],11)=0,"",SUMIFS(T_SelfStock_Log[Self_Qty],T_SelfStock_Log[Part Name],$A38,T_SelfStock_Log[WeekIndex],11))</f>
        <v/>
      </c>
      <c r="M38" s="12">
        <f>IF(COUNTIFS(T_SelfStock_Log[Part Name],$A38,T_SelfStock_Log[WeekIndex],12)=0,"",SUMIFS(T_SelfStock_Log[Self_Qty],T_SelfStock_Log[Part Name],$A38,T_SelfStock_Log[WeekIndex],12))</f>
        <v/>
      </c>
      <c r="N38" s="12">
        <f>IF(COUNTIFS(T_SelfStock_Log[Part Name],$A38,T_SelfStock_Log[WeekIndex],13)=0,"",SUMIFS(T_SelfStock_Log[Self_Qty],T_SelfStock_Log[Part Name],$A38,T_SelfStock_Log[WeekIndex],13))</f>
        <v/>
      </c>
      <c r="O38" s="12">
        <f>IF(COUNTIFS(T_SelfStock_Log[Part Name],$A38,T_SelfStock_Log[WeekIndex],14)=0,"",SUMIFS(T_SelfStock_Log[Self_Qty],T_SelfStock_Log[Part Name],$A38,T_SelfStock_Log[WeekIndex],14))</f>
        <v/>
      </c>
      <c r="P38" s="12">
        <f>IF(COUNTIFS(T_SelfStock_Log[Part Name],$A38,T_SelfStock_Log[WeekIndex],15)=0,"",SUMIFS(T_SelfStock_Log[Self_Qty],T_SelfStock_Log[Part Name],$A38,T_SelfStock_Log[WeekIndex],15))</f>
        <v/>
      </c>
      <c r="Q38" s="12">
        <f>IF(COUNTIFS(T_SelfStock_Log[Part Name],$A38,T_SelfStock_Log[WeekIndex],16)=0,"",SUMIFS(T_SelfStock_Log[Self_Qty],T_SelfStock_Log[Part Name],$A38,T_SelfStock_Log[WeekIndex],16))</f>
        <v/>
      </c>
      <c r="R38" s="12">
        <f>IF(COUNTIFS(T_SelfStock_Log[Part Name],$A38,T_SelfStock_Log[WeekIndex],17)=0,"",SUMIFS(T_SelfStock_Log[Self_Qty],T_SelfStock_Log[Part Name],$A38,T_SelfStock_Log[WeekIndex],17))</f>
        <v/>
      </c>
      <c r="S38" s="12">
        <f>IF(COUNTIFS(T_SelfStock_Log[Part Name],$A38,T_SelfStock_Log[WeekIndex],18)=0,"",SUMIFS(T_SelfStock_Log[Self_Qty],T_SelfStock_Log[Part Name],$A38,T_SelfStock_Log[WeekIndex],18))</f>
        <v/>
      </c>
      <c r="T38" s="12">
        <f>IF(COUNTIFS(T_SelfStock_Log[Part Name],$A38,T_SelfStock_Log[WeekIndex],19)=0,"",SUMIFS(T_SelfStock_Log[Self_Qty],T_SelfStock_Log[Part Name],$A38,T_SelfStock_Log[WeekIndex],19))</f>
        <v/>
      </c>
      <c r="U38" s="12">
        <f>IF(COUNTIFS(T_SelfStock_Log[Part Name],$A38,T_SelfStock_Log[WeekIndex],20)=0,"",SUMIFS(T_SelfStock_Log[Self_Qty],T_SelfStock_Log[Part Name],$A38,T_SelfStock_Log[WeekIndex],20))</f>
        <v/>
      </c>
      <c r="V38" s="12">
        <f>IF(COUNTIFS(T_SelfStock_Log[Part Name],$A38,T_SelfStock_Log[WeekIndex],21)=0,"",SUMIFS(T_SelfStock_Log[Self_Qty],T_SelfStock_Log[Part Name],$A38,T_SelfStock_Log[WeekIndex],21))</f>
        <v/>
      </c>
      <c r="W38" s="12">
        <f>IF(COUNTIFS(T_SelfStock_Log[Part Name],$A38,T_SelfStock_Log[WeekIndex],22)=0,"",SUMIFS(T_SelfStock_Log[Self_Qty],T_SelfStock_Log[Part Name],$A38,T_SelfStock_Log[WeekIndex],22))</f>
        <v/>
      </c>
      <c r="X38" s="12">
        <f>IF(COUNTIFS(T_SelfStock_Log[Part Name],$A38,T_SelfStock_Log[WeekIndex],23)=0,"",SUMIFS(T_SelfStock_Log[Self_Qty],T_SelfStock_Log[Part Name],$A38,T_SelfStock_Log[WeekIndex],23))</f>
        <v/>
      </c>
      <c r="Y38" s="12">
        <f>IF(COUNTIFS(T_SelfStock_Log[Part Name],$A38,T_SelfStock_Log[WeekIndex],24)=0,"",SUMIFS(T_SelfStock_Log[Self_Qty],T_SelfStock_Log[Part Name],$A38,T_SelfStock_Log[WeekIndex],24))</f>
        <v/>
      </c>
      <c r="Z38" s="12">
        <f>IF(COUNTIFS(T_SelfStock_Log[Part Name],$A38,T_SelfStock_Log[WeekIndex],25)=0,"",SUMIFS(T_SelfStock_Log[Self_Qty],T_SelfStock_Log[Part Name],$A38,T_SelfStock_Log[WeekIndex],25))</f>
        <v/>
      </c>
      <c r="AA38" s="12">
        <f>IF(COUNTIFS(T_SelfStock_Log[Part Name],$A38,T_SelfStock_Log[WeekIndex],26)=0,"",SUMIFS(T_SelfStock_Log[Self_Qty],T_SelfStock_Log[Part Name],$A38,T_SelfStock_Log[WeekIndex],26))</f>
        <v/>
      </c>
      <c r="AB38" s="12">
        <f>IF(COUNTIFS(T_SelfStock_Log[Part Name],$A38,T_SelfStock_Log[WeekIndex],27)=0,"",SUMIFS(T_SelfStock_Log[Self_Qty],T_SelfStock_Log[Part Name],$A38,T_SelfStock_Log[WeekIndex],27))</f>
        <v/>
      </c>
      <c r="AC38" s="12">
        <f>IF(COUNTIFS(T_SelfStock_Log[Part Name],$A38,T_SelfStock_Log[WeekIndex],28)=0,"",SUMIFS(T_SelfStock_Log[Self_Qty],T_SelfStock_Log[Part Name],$A38,T_SelfStock_Log[WeekIndex],28))</f>
        <v/>
      </c>
      <c r="AD38" s="12">
        <f>IF(COUNTIFS(T_SelfStock_Log[Part Name],$A38,T_SelfStock_Log[WeekIndex],29)=0,"",SUMIFS(T_SelfStock_Log[Self_Qty],T_SelfStock_Log[Part Name],$A38,T_SelfStock_Log[WeekIndex],29))</f>
        <v/>
      </c>
      <c r="AE38" s="12">
        <f>IF(COUNTIFS(T_SelfStock_Log[Part Name],$A38,T_SelfStock_Log[WeekIndex],30)=0,"",SUMIFS(T_SelfStock_Log[Self_Qty],T_SelfStock_Log[Part Name],$A38,T_SelfStock_Log[WeekIndex],30))</f>
        <v/>
      </c>
      <c r="AF38" s="12">
        <f>IF(COUNTIFS(T_SelfStock_Log[Part Name],$A38,T_SelfStock_Log[WeekIndex],31)=0,"",SUMIFS(T_SelfStock_Log[Self_Qty],T_SelfStock_Log[Part Name],$A38,T_SelfStock_Log[WeekIndex],31))</f>
        <v/>
      </c>
      <c r="AG38" s="12">
        <f>IF(COUNTIFS(T_SelfStock_Log[Part Name],$A38,T_SelfStock_Log[WeekIndex],32)=0,"",SUMIFS(T_SelfStock_Log[Self_Qty],T_SelfStock_Log[Part Name],$A38,T_SelfStock_Log[WeekIndex],32))</f>
        <v/>
      </c>
      <c r="AH38" s="12">
        <f>IF(COUNTIFS(T_SelfStock_Log[Part Name],$A38,T_SelfStock_Log[WeekIndex],33)=0,"",SUMIFS(T_SelfStock_Log[Self_Qty],T_SelfStock_Log[Part Name],$A38,T_SelfStock_Log[WeekIndex],33))</f>
        <v/>
      </c>
      <c r="AI38" s="12">
        <f>IF(COUNTIFS(T_SelfStock_Log[Part Name],$A38,T_SelfStock_Log[WeekIndex],34)=0,"",SUMIFS(T_SelfStock_Log[Self_Qty],T_SelfStock_Log[Part Name],$A38,T_SelfStock_Log[WeekIndex],34))</f>
        <v/>
      </c>
      <c r="AJ38" s="12">
        <f>IF(COUNTIFS(T_SelfStock_Log[Part Name],$A38,T_SelfStock_Log[WeekIndex],35)=0,"",SUMIFS(T_SelfStock_Log[Self_Qty],T_SelfStock_Log[Part Name],$A38,T_SelfStock_Log[WeekIndex],35))</f>
        <v/>
      </c>
      <c r="AK38" s="12">
        <f>IF(COUNTIFS(T_SelfStock_Log[Part Name],$A38,T_SelfStock_Log[WeekIndex],36)=0,"",SUMIFS(T_SelfStock_Log[Self_Qty],T_SelfStock_Log[Part Name],$A38,T_SelfStock_Log[WeekIndex],36))</f>
        <v/>
      </c>
      <c r="AL38" s="12">
        <f>IF(COUNTIFS(T_SelfStock_Log[Part Name],$A38,T_SelfStock_Log[WeekIndex],37)=0,"",SUMIFS(T_SelfStock_Log[Self_Qty],T_SelfStock_Log[Part Name],$A38,T_SelfStock_Log[WeekIndex],37))</f>
        <v/>
      </c>
      <c r="AM38" s="12">
        <f>IF(COUNTIFS(T_SelfStock_Log[Part Name],$A38,T_SelfStock_Log[WeekIndex],38)=0,"",SUMIFS(T_SelfStock_Log[Self_Qty],T_SelfStock_Log[Part Name],$A38,T_SelfStock_Log[WeekIndex],38))</f>
        <v/>
      </c>
      <c r="AN38" s="12">
        <f>IF(COUNTIFS(T_SelfStock_Log[Part Name],$A38,T_SelfStock_Log[WeekIndex],39)=0,"",SUMIFS(T_SelfStock_Log[Self_Qty],T_SelfStock_Log[Part Name],$A38,T_SelfStock_Log[WeekIndex],39))</f>
        <v/>
      </c>
      <c r="AO38" s="12">
        <f>IF(COUNTIFS(T_SelfStock_Log[Part Name],$A38,T_SelfStock_Log[WeekIndex],40)=0,"",SUMIFS(T_SelfStock_Log[Self_Qty],T_SelfStock_Log[Part Name],$A38,T_SelfStock_Log[WeekIndex],40))</f>
        <v/>
      </c>
      <c r="AP38" s="12">
        <f>IF(COUNTIFS(T_SelfStock_Log[Part Name],$A38,T_SelfStock_Log[WeekIndex],41)=0,"",SUMIFS(T_SelfStock_Log[Self_Qty],T_SelfStock_Log[Part Name],$A38,T_SelfStock_Log[WeekIndex],41))</f>
        <v/>
      </c>
      <c r="AQ38" s="12">
        <f>IF(COUNTIFS(T_SelfStock_Log[Part Name],$A38,T_SelfStock_Log[WeekIndex],42)=0,"",SUMIFS(T_SelfStock_Log[Self_Qty],T_SelfStock_Log[Part Name],$A38,T_SelfStock_Log[WeekIndex],42))</f>
        <v/>
      </c>
      <c r="AR38" s="12">
        <f>IF(COUNTIFS(T_SelfStock_Log[Part Name],$A38,T_SelfStock_Log[WeekIndex],43)=0,"",SUMIFS(T_SelfStock_Log[Self_Qty],T_SelfStock_Log[Part Name],$A38,T_SelfStock_Log[WeekIndex],43))</f>
        <v/>
      </c>
      <c r="AS38" s="12">
        <f>IF(COUNTIFS(T_SelfStock_Log[Part Name],$A38,T_SelfStock_Log[WeekIndex],44)=0,"",SUMIFS(T_SelfStock_Log[Self_Qty],T_SelfStock_Log[Part Name],$A38,T_SelfStock_Log[WeekIndex],44))</f>
        <v/>
      </c>
      <c r="AT38" s="12">
        <f>IF(COUNTIFS(T_SelfStock_Log[Part Name],$A38,T_SelfStock_Log[WeekIndex],45)=0,"",SUMIFS(T_SelfStock_Log[Self_Qty],T_SelfStock_Log[Part Name],$A38,T_SelfStock_Log[WeekIndex],45))</f>
        <v/>
      </c>
      <c r="AU38" s="12">
        <f>IF(COUNTIFS(T_SelfStock_Log[Part Name],$A38,T_SelfStock_Log[WeekIndex],46)=0,"",SUMIFS(T_SelfStock_Log[Self_Qty],T_SelfStock_Log[Part Name],$A38,T_SelfStock_Log[WeekIndex],46))</f>
        <v/>
      </c>
      <c r="AV38" s="12">
        <f>IF(COUNTIFS(T_SelfStock_Log[Part Name],$A38,T_SelfStock_Log[WeekIndex],47)=0,"",SUMIFS(T_SelfStock_Log[Self_Qty],T_SelfStock_Log[Part Name],$A38,T_SelfStock_Log[WeekIndex],47))</f>
        <v/>
      </c>
      <c r="AW38" s="12">
        <f>IF(COUNTIFS(T_SelfStock_Log[Part Name],$A38,T_SelfStock_Log[WeekIndex],48)=0,"",SUMIFS(T_SelfStock_Log[Self_Qty],T_SelfStock_Log[Part Name],$A38,T_SelfStock_Log[WeekIndex],48))</f>
        <v/>
      </c>
      <c r="AX38" s="12">
        <f>IF(COUNTIFS(T_SelfStock_Log[Part Name],$A38,T_SelfStock_Log[WeekIndex],49)=0,"",SUMIFS(T_SelfStock_Log[Self_Qty],T_SelfStock_Log[Part Name],$A38,T_SelfStock_Log[WeekIndex],49))</f>
        <v/>
      </c>
      <c r="AY38" s="12">
        <f>IF(COUNTIFS(T_SelfStock_Log[Part Name],$A38,T_SelfStock_Log[WeekIndex],50)=0,"",SUMIFS(T_SelfStock_Log[Self_Qty],T_SelfStock_Log[Part Name],$A38,T_SelfStock_Log[WeekIndex],50))</f>
        <v/>
      </c>
      <c r="AZ38" s="12">
        <f>IF(COUNTIFS(T_SelfStock_Log[Part Name],$A38,T_SelfStock_Log[WeekIndex],51)=0,"",SUMIFS(T_SelfStock_Log[Self_Qty],T_SelfStock_Log[Part Name],$A38,T_SelfStock_Log[WeekIndex],51))</f>
        <v/>
      </c>
      <c r="BA38" s="12">
        <f>IF(COUNTIFS(T_SelfStock_Log[Part Name],$A38,T_SelfStock_Log[WeekIndex],52)=0,"",SUMIFS(T_SelfStock_Log[Self_Qty],T_SelfStock_Log[Part Name],$A38,T_SelfStock_Log[WeekIndex],52))</f>
        <v/>
      </c>
      <c r="BB38" s="12">
        <f>IF(COUNTIFS(T_SelfStock_Log[Part Name],$A38,T_SelfStock_Log[WeekIndex],53)=0,"",SUMIFS(T_SelfStock_Log[Self_Qty],T_SelfStock_Log[Part Name],$A38,T_SelfStock_Log[WeekIndex],53))</f>
        <v/>
      </c>
      <c r="BC38" s="12">
        <f>IF(COUNTIFS(T_SelfStock_Log[Part Name],$A38,T_SelfStock_Log[WeekIndex],54)=0,"",SUMIFS(T_SelfStock_Log[Self_Qty],T_SelfStock_Log[Part Name],$A38,T_SelfStock_Log[WeekIndex],54))</f>
        <v/>
      </c>
      <c r="BD38" s="12">
        <f>IF(COUNTIFS(T_SelfStock_Log[Part Name],$A38,T_SelfStock_Log[WeekIndex],55)=0,"",SUMIFS(T_SelfStock_Log[Self_Qty],T_SelfStock_Log[Part Name],$A38,T_SelfStock_Log[WeekIndex],55))</f>
        <v/>
      </c>
      <c r="BE38" s="12">
        <f>IF(COUNTIFS(T_SelfStock_Log[Part Name],$A38,T_SelfStock_Log[WeekIndex],56)=0,"",SUMIFS(T_SelfStock_Log[Self_Qty],T_SelfStock_Log[Part Name],$A38,T_SelfStock_Log[WeekIndex],56))</f>
        <v/>
      </c>
      <c r="BF38" s="12">
        <f>IF(COUNTIFS(T_SelfStock_Log[Part Name],$A38,T_SelfStock_Log[WeekIndex],57)=0,"",SUMIFS(T_SelfStock_Log[Self_Qty],T_SelfStock_Log[Part Name],$A38,T_SelfStock_Log[WeekIndex],57))</f>
        <v/>
      </c>
      <c r="BG38" s="12">
        <f>IF(COUNTIFS(T_SelfStock_Log[Part Name],$A38,T_SelfStock_Log[WeekIndex],58)=0,"",SUMIFS(T_SelfStock_Log[Self_Qty],T_SelfStock_Log[Part Name],$A38,T_SelfStock_Log[WeekIndex],58))</f>
        <v/>
      </c>
      <c r="BH38" s="12">
        <f>IF(COUNTIFS(T_SelfStock_Log[Part Name],$A38,T_SelfStock_Log[WeekIndex],59)=0,"",SUMIFS(T_SelfStock_Log[Self_Qty],T_SelfStock_Log[Part Name],$A38,T_SelfStock_Log[WeekIndex],59))</f>
        <v/>
      </c>
      <c r="BI38" s="12">
        <f>IF(COUNTIFS(T_SelfStock_Log[Part Name],$A38,T_SelfStock_Log[WeekIndex],60)=0,"",SUMIFS(T_SelfStock_Log[Self_Qty],T_SelfStock_Log[Part Name],$A38,T_SelfStock_Log[WeekIndex],60))</f>
        <v/>
      </c>
      <c r="BJ38" s="12">
        <f>IF(COUNTIFS(T_SelfStock_Log[Part Name],$A38,T_SelfStock_Log[WeekIndex],61)=0,"",SUMIFS(T_SelfStock_Log[Self_Qty],T_SelfStock_Log[Part Name],$A38,T_SelfStock_Log[WeekIndex],61))</f>
        <v/>
      </c>
      <c r="BK38" s="12">
        <f>IF(COUNTIFS(T_SelfStock_Log[Part Name],$A38,T_SelfStock_Log[WeekIndex],62)=0,"",SUMIFS(T_SelfStock_Log[Self_Qty],T_SelfStock_Log[Part Name],$A38,T_SelfStock_Log[WeekIndex],62))</f>
        <v/>
      </c>
      <c r="BL38" s="12">
        <f>IF(COUNTIFS(T_SelfStock_Log[Part Name],$A38,T_SelfStock_Log[WeekIndex],63)=0,"",SUMIFS(T_SelfStock_Log[Self_Qty],T_SelfStock_Log[Part Name],$A38,T_SelfStock_Log[WeekIndex],63))</f>
        <v/>
      </c>
      <c r="BM38" s="12">
        <f>IF(COUNTIFS(T_SelfStock_Log[Part Name],$A38,T_SelfStock_Log[WeekIndex],64)=0,"",SUMIFS(T_SelfStock_Log[Self_Qty],T_SelfStock_Log[Part Name],$A38,T_SelfStock_Log[WeekIndex],64))</f>
        <v/>
      </c>
      <c r="BN38" s="12">
        <f>IF(COUNTIFS(T_SelfStock_Log[Part Name],$A38,T_SelfStock_Log[WeekIndex],65)=0,"",SUMIFS(T_SelfStock_Log[Self_Qty],T_SelfStock_Log[Part Name],$A38,T_SelfStock_Log[WeekIndex],65))</f>
        <v/>
      </c>
      <c r="BO38" s="12">
        <f>IF(COUNTIFS(T_SelfStock_Log[Part Name],$A38,T_SelfStock_Log[WeekIndex],66)=0,"",SUMIFS(T_SelfStock_Log[Self_Qty],T_SelfStock_Log[Part Name],$A38,T_SelfStock_Log[WeekIndex],66))</f>
        <v/>
      </c>
      <c r="BP38" s="12">
        <f>IF(COUNTIFS(T_SelfStock_Log[Part Name],$A38,T_SelfStock_Log[WeekIndex],67)=0,"",SUMIFS(T_SelfStock_Log[Self_Qty],T_SelfStock_Log[Part Name],$A38,T_SelfStock_Log[WeekIndex],67))</f>
        <v/>
      </c>
      <c r="BQ38" s="12">
        <f>IF(COUNTIFS(T_SelfStock_Log[Part Name],$A38,T_SelfStock_Log[WeekIndex],68)=0,"",SUMIFS(T_SelfStock_Log[Self_Qty],T_SelfStock_Log[Part Name],$A38,T_SelfStock_Log[WeekIndex],68))</f>
        <v/>
      </c>
      <c r="BR38" s="12">
        <f>IF(COUNTIFS(T_SelfStock_Log[Part Name],$A38,T_SelfStock_Log[WeekIndex],69)=0,"",SUMIFS(T_SelfStock_Log[Self_Qty],T_SelfStock_Log[Part Name],$A38,T_SelfStock_Log[WeekIndex],69))</f>
        <v/>
      </c>
      <c r="BS38" s="12">
        <f>IF(COUNTIFS(T_SelfStock_Log[Part Name],$A38,T_SelfStock_Log[WeekIndex],70)=0,"",SUMIFS(T_SelfStock_Log[Self_Qty],T_SelfStock_Log[Part Name],$A38,T_SelfStock_Log[WeekIndex],70))</f>
        <v/>
      </c>
      <c r="BT38" s="12">
        <f>IF(COUNTIFS(T_SelfStock_Log[Part Name],$A38,T_SelfStock_Log[WeekIndex],71)=0,"",SUMIFS(T_SelfStock_Log[Self_Qty],T_SelfStock_Log[Part Name],$A38,T_SelfStock_Log[WeekIndex],71))</f>
        <v/>
      </c>
      <c r="BU38" s="12">
        <f>IF(COUNTIFS(T_SelfStock_Log[Part Name],$A38,T_SelfStock_Log[WeekIndex],72)=0,"",SUMIFS(T_SelfStock_Log[Self_Qty],T_SelfStock_Log[Part Name],$A38,T_SelfStock_Log[WeekIndex],72))</f>
        <v/>
      </c>
      <c r="BV38" s="12">
        <f>IF(COUNTIFS(T_SelfStock_Log[Part Name],$A38,T_SelfStock_Log[WeekIndex],73)=0,"",SUMIFS(T_SelfStock_Log[Self_Qty],T_SelfStock_Log[Part Name],$A38,T_SelfStock_Log[WeekIndex],73))</f>
        <v/>
      </c>
      <c r="BW38" s="12">
        <f>IF(COUNTIFS(T_SelfStock_Log[Part Name],$A38,T_SelfStock_Log[WeekIndex],74)=0,"",SUMIFS(T_SelfStock_Log[Self_Qty],T_SelfStock_Log[Part Name],$A38,T_SelfStock_Log[WeekIndex],74))</f>
        <v/>
      </c>
      <c r="BX38" s="12">
        <f>IF(COUNTIFS(T_SelfStock_Log[Part Name],$A38,T_SelfStock_Log[WeekIndex],75)=0,"",SUMIFS(T_SelfStock_Log[Self_Qty],T_SelfStock_Log[Part Name],$A38,T_SelfStock_Log[WeekIndex],75))</f>
        <v/>
      </c>
      <c r="BY38" s="12">
        <f>IF(COUNTIFS(T_SelfStock_Log[Part Name],$A38,T_SelfStock_Log[WeekIndex],76)=0,"",SUMIFS(T_SelfStock_Log[Self_Qty],T_SelfStock_Log[Part Name],$A38,T_SelfStock_Log[WeekIndex],76))</f>
        <v/>
      </c>
      <c r="BZ38" s="12">
        <f>IF(COUNTIFS(T_SelfStock_Log[Part Name],$A38,T_SelfStock_Log[WeekIndex],77)=0,"",SUMIFS(T_SelfStock_Log[Self_Qty],T_SelfStock_Log[Part Name],$A38,T_SelfStock_Log[WeekIndex],77))</f>
        <v/>
      </c>
      <c r="CA38" s="12">
        <f>IF(COUNTIFS(T_SelfStock_Log[Part Name],$A38,T_SelfStock_Log[WeekIndex],78)=0,"",SUMIFS(T_SelfStock_Log[Self_Qty],T_SelfStock_Log[Part Name],$A38,T_SelfStock_Log[WeekIndex],78))</f>
        <v/>
      </c>
      <c r="CB38" s="12">
        <f>IF(COUNTIFS(T_SelfStock_Log[Part Name],$A38,T_SelfStock_Log[WeekIndex],79)=0,"",SUMIFS(T_SelfStock_Log[Self_Qty],T_SelfStock_Log[Part Name],$A38,T_SelfStock_Log[WeekIndex],79))</f>
        <v/>
      </c>
      <c r="CC38" s="12">
        <f>IF(COUNTIFS(T_SelfStock_Log[Part Name],$A38,T_SelfStock_Log[WeekIndex],80)=0,"",SUMIFS(T_SelfStock_Log[Self_Qty],T_SelfStock_Log[Part Name],$A38,T_SelfStock_Log[WeekIndex],80))</f>
        <v/>
      </c>
      <c r="CD38" s="12">
        <f>IF(COUNTIFS(T_SelfStock_Log[Part Name],$A38,T_SelfStock_Log[WeekIndex],81)=0,"",SUMIFS(T_SelfStock_Log[Self_Qty],T_SelfStock_Log[Part Name],$A38,T_SelfStock_Log[WeekIndex],81))</f>
        <v/>
      </c>
      <c r="CE38" s="12">
        <f>IF(COUNTIFS(T_SelfStock_Log[Part Name],$A38,T_SelfStock_Log[WeekIndex],82)=0,"",SUMIFS(T_SelfStock_Log[Self_Qty],T_SelfStock_Log[Part Name],$A38,T_SelfStock_Log[WeekIndex],82))</f>
        <v/>
      </c>
      <c r="CF38" s="12">
        <f>IF(COUNTIFS(T_SelfStock_Log[Part Name],$A38,T_SelfStock_Log[WeekIndex],83)=0,"",SUMIFS(T_SelfStock_Log[Self_Qty],T_SelfStock_Log[Part Name],$A38,T_SelfStock_Log[WeekIndex],83))</f>
        <v/>
      </c>
      <c r="CG38" s="12">
        <f>IF(COUNTIFS(T_SelfStock_Log[Part Name],$A38,T_SelfStock_Log[WeekIndex],84)=0,"",SUMIFS(T_SelfStock_Log[Self_Qty],T_SelfStock_Log[Part Name],$A38,T_SelfStock_Log[WeekIndex],84))</f>
        <v/>
      </c>
      <c r="CH38" s="12">
        <f>IF(COUNTIFS(T_SelfStock_Log[Part Name],$A38,T_SelfStock_Log[WeekIndex],85)=0,"",SUMIFS(T_SelfStock_Log[Self_Qty],T_SelfStock_Log[Part Name],$A38,T_SelfStock_Log[WeekIndex],85))</f>
        <v/>
      </c>
      <c r="CI38" s="12">
        <f>IF(COUNTIFS(T_SelfStock_Log[Part Name],$A38,T_SelfStock_Log[WeekIndex],86)=0,"",SUMIFS(T_SelfStock_Log[Self_Qty],T_SelfStock_Log[Part Name],$A38,T_SelfStock_Log[WeekIndex],86))</f>
        <v/>
      </c>
      <c r="CJ38" s="12">
        <f>IF(COUNTIFS(T_SelfStock_Log[Part Name],$A38,T_SelfStock_Log[WeekIndex],87)=0,"",SUMIFS(T_SelfStock_Log[Self_Qty],T_SelfStock_Log[Part Name],$A38,T_SelfStock_Log[WeekIndex],87))</f>
        <v/>
      </c>
      <c r="CK38" s="12">
        <f>IF(COUNTIFS(T_SelfStock_Log[Part Name],$A38,T_SelfStock_Log[WeekIndex],88)=0,"",SUMIFS(T_SelfStock_Log[Self_Qty],T_SelfStock_Log[Part Name],$A38,T_SelfStock_Log[WeekIndex],88))</f>
        <v/>
      </c>
      <c r="CL38" s="12">
        <f>IF(COUNTIFS(T_SelfStock_Log[Part Name],$A38,T_SelfStock_Log[WeekIndex],89)=0,"",SUMIFS(T_SelfStock_Log[Self_Qty],T_SelfStock_Log[Part Name],$A38,T_SelfStock_Log[WeekIndex],89))</f>
        <v/>
      </c>
      <c r="CM38" s="12">
        <f>IF(COUNTIFS(T_SelfStock_Log[Part Name],$A38,T_SelfStock_Log[WeekIndex],90)=0,"",SUMIFS(T_SelfStock_Log[Self_Qty],T_SelfStock_Log[Part Name],$A38,T_SelfStock_Log[WeekIndex],90))</f>
        <v/>
      </c>
      <c r="CN38" s="12">
        <f>IF(COUNTIFS(T_SelfStock_Log[Part Name],$A38,T_SelfStock_Log[WeekIndex],91)=0,"",SUMIFS(T_SelfStock_Log[Self_Qty],T_SelfStock_Log[Part Name],$A38,T_SelfStock_Log[WeekIndex],91))</f>
        <v/>
      </c>
      <c r="CO38" s="12">
        <f>IF(COUNTIFS(T_SelfStock_Log[Part Name],$A38,T_SelfStock_Log[WeekIndex],92)=0,"",SUMIFS(T_SelfStock_Log[Self_Qty],T_SelfStock_Log[Part Name],$A38,T_SelfStock_Log[WeekIndex],92))</f>
        <v/>
      </c>
      <c r="CP38" s="12">
        <f>IF(COUNTIFS(T_SelfStock_Log[Part Name],$A38,T_SelfStock_Log[WeekIndex],93)=0,"",SUMIFS(T_SelfStock_Log[Self_Qty],T_SelfStock_Log[Part Name],$A38,T_SelfStock_Log[WeekIndex],93))</f>
        <v/>
      </c>
      <c r="CQ38" s="12">
        <f>IF(COUNTIFS(T_SelfStock_Log[Part Name],$A38,T_SelfStock_Log[WeekIndex],94)=0,"",SUMIFS(T_SelfStock_Log[Self_Qty],T_SelfStock_Log[Part Name],$A38,T_SelfStock_Log[WeekIndex],94))</f>
        <v/>
      </c>
      <c r="CR38" s="12">
        <f>IF(COUNTIFS(T_SelfStock_Log[Part Name],$A38,T_SelfStock_Log[WeekIndex],95)=0,"",SUMIFS(T_SelfStock_Log[Self_Qty],T_SelfStock_Log[Part Name],$A38,T_SelfStock_Log[WeekIndex],95))</f>
        <v/>
      </c>
      <c r="CS38" s="12">
        <f>IF(COUNTIFS(T_SelfStock_Log[Part Name],$A38,T_SelfStock_Log[WeekIndex],96)=0,"",SUMIFS(T_SelfStock_Log[Self_Qty],T_SelfStock_Log[Part Name],$A38,T_SelfStock_Log[WeekIndex],96))</f>
        <v/>
      </c>
      <c r="CT38" s="12">
        <f>IF(COUNTIFS(T_SelfStock_Log[Part Name],$A38,T_SelfStock_Log[WeekIndex],97)=0,"",SUMIFS(T_SelfStock_Log[Self_Qty],T_SelfStock_Log[Part Name],$A38,T_SelfStock_Log[WeekIndex],97))</f>
        <v/>
      </c>
      <c r="CU38" s="12">
        <f>IF(COUNTIFS(T_SelfStock_Log[Part Name],$A38,T_SelfStock_Log[WeekIndex],98)=0,"",SUMIFS(T_SelfStock_Log[Self_Qty],T_SelfStock_Log[Part Name],$A38,T_SelfStock_Log[WeekIndex],98))</f>
        <v/>
      </c>
      <c r="CV38" s="12">
        <f>IF(COUNTIFS(T_SelfStock_Log[Part Name],$A38,T_SelfStock_Log[WeekIndex],99)=0,"",SUMIFS(T_SelfStock_Log[Self_Qty],T_SelfStock_Log[Part Name],$A38,T_SelfStock_Log[WeekIndex],99))</f>
        <v/>
      </c>
      <c r="CW38" s="12">
        <f>IF(COUNTIFS(T_SelfStock_Log[Part Name],$A38,T_SelfStock_Log[WeekIndex],100)=0,"",SUMIFS(T_SelfStock_Log[Self_Qty],T_SelfStock_Log[Part Name],$A38,T_SelfStock_Log[WeekIndex],100))</f>
        <v/>
      </c>
      <c r="CX38" s="12">
        <f>IF(COUNTIFS(T_SelfStock_Log[Part Name],$A38,T_SelfStock_Log[WeekIndex],101)=0,"",SUMIFS(T_SelfStock_Log[Self_Qty],T_SelfStock_Log[Part Name],$A38,T_SelfStock_Log[WeekIndex],101))</f>
        <v/>
      </c>
      <c r="CY38" s="12">
        <f>IF(COUNTIFS(T_SelfStock_Log[Part Name],$A38,T_SelfStock_Log[WeekIndex],102)=0,"",SUMIFS(T_SelfStock_Log[Self_Qty],T_SelfStock_Log[Part Name],$A38,T_SelfStock_Log[WeekIndex],102))</f>
        <v/>
      </c>
      <c r="CZ38" s="12">
        <f>IF(COUNTIFS(T_SelfStock_Log[Part Name],$A38,T_SelfStock_Log[WeekIndex],103)=0,"",SUMIFS(T_SelfStock_Log[Self_Qty],T_SelfStock_Log[Part Name],$A38,T_SelfStock_Log[WeekIndex],103))</f>
        <v/>
      </c>
      <c r="DA38" s="12">
        <f>IF(COUNTIFS(T_SelfStock_Log[Part Name],$A38,T_SelfStock_Log[WeekIndex],104)=0,"",SUMIFS(T_SelfStock_Log[Self_Qty],T_SelfStock_Log[Part Name],$A38,T_SelfStock_Log[WeekIndex],104))</f>
        <v/>
      </c>
    </row>
    <row r="39">
      <c r="A39" s="13" t="inlineStr">
        <is>
          <t>CHEM-1510</t>
        </is>
      </c>
      <c r="B39" s="13">
        <f>IF(COUNTIFS(T_SelfStock_Log[Part Name],$A39,T_SelfStock_Log[WeekIndex],1)=0,"",SUMIFS(T_SelfStock_Log[Self_Qty],T_SelfStock_Log[Part Name],$A39,T_SelfStock_Log[WeekIndex],1))</f>
        <v/>
      </c>
      <c r="C39" s="13">
        <f>IF(COUNTIFS(T_SelfStock_Log[Part Name],$A39,T_SelfStock_Log[WeekIndex],2)=0,"",SUMIFS(T_SelfStock_Log[Self_Qty],T_SelfStock_Log[Part Name],$A39,T_SelfStock_Log[WeekIndex],2))</f>
        <v/>
      </c>
      <c r="D39" s="13">
        <f>IF(COUNTIFS(T_SelfStock_Log[Part Name],$A39,T_SelfStock_Log[WeekIndex],3)=0,"",SUMIFS(T_SelfStock_Log[Self_Qty],T_SelfStock_Log[Part Name],$A39,T_SelfStock_Log[WeekIndex],3))</f>
        <v/>
      </c>
      <c r="E39" s="13">
        <f>IF(COUNTIFS(T_SelfStock_Log[Part Name],$A39,T_SelfStock_Log[WeekIndex],4)=0,"",SUMIFS(T_SelfStock_Log[Self_Qty],T_SelfStock_Log[Part Name],$A39,T_SelfStock_Log[WeekIndex],4))</f>
        <v/>
      </c>
      <c r="F39" s="13">
        <f>IF(COUNTIFS(T_SelfStock_Log[Part Name],$A39,T_SelfStock_Log[WeekIndex],5)=0,"",SUMIFS(T_SelfStock_Log[Self_Qty],T_SelfStock_Log[Part Name],$A39,T_SelfStock_Log[WeekIndex],5))</f>
        <v/>
      </c>
      <c r="G39" s="13">
        <f>IF(COUNTIFS(T_SelfStock_Log[Part Name],$A39,T_SelfStock_Log[WeekIndex],6)=0,"",SUMIFS(T_SelfStock_Log[Self_Qty],T_SelfStock_Log[Part Name],$A39,T_SelfStock_Log[WeekIndex],6))</f>
        <v/>
      </c>
      <c r="H39" s="13">
        <f>IF(COUNTIFS(T_SelfStock_Log[Part Name],$A39,T_SelfStock_Log[WeekIndex],7)=0,"",SUMIFS(T_SelfStock_Log[Self_Qty],T_SelfStock_Log[Part Name],$A39,T_SelfStock_Log[WeekIndex],7))</f>
        <v/>
      </c>
      <c r="I39" s="13">
        <f>IF(COUNTIFS(T_SelfStock_Log[Part Name],$A39,T_SelfStock_Log[WeekIndex],8)=0,"",SUMIFS(T_SelfStock_Log[Self_Qty],T_SelfStock_Log[Part Name],$A39,T_SelfStock_Log[WeekIndex],8))</f>
        <v/>
      </c>
      <c r="J39" s="13">
        <f>IF(COUNTIFS(T_SelfStock_Log[Part Name],$A39,T_SelfStock_Log[WeekIndex],9)=0,"",SUMIFS(T_SelfStock_Log[Self_Qty],T_SelfStock_Log[Part Name],$A39,T_SelfStock_Log[WeekIndex],9))</f>
        <v/>
      </c>
      <c r="K39" s="13">
        <f>IF(COUNTIFS(T_SelfStock_Log[Part Name],$A39,T_SelfStock_Log[WeekIndex],10)=0,"",SUMIFS(T_SelfStock_Log[Self_Qty],T_SelfStock_Log[Part Name],$A39,T_SelfStock_Log[WeekIndex],10))</f>
        <v/>
      </c>
      <c r="L39" s="13">
        <f>IF(COUNTIFS(T_SelfStock_Log[Part Name],$A39,T_SelfStock_Log[WeekIndex],11)=0,"",SUMIFS(T_SelfStock_Log[Self_Qty],T_SelfStock_Log[Part Name],$A39,T_SelfStock_Log[WeekIndex],11))</f>
        <v/>
      </c>
      <c r="M39" s="13">
        <f>IF(COUNTIFS(T_SelfStock_Log[Part Name],$A39,T_SelfStock_Log[WeekIndex],12)=0,"",SUMIFS(T_SelfStock_Log[Self_Qty],T_SelfStock_Log[Part Name],$A39,T_SelfStock_Log[WeekIndex],12))</f>
        <v/>
      </c>
      <c r="N39" s="13">
        <f>IF(COUNTIFS(T_SelfStock_Log[Part Name],$A39,T_SelfStock_Log[WeekIndex],13)=0,"",SUMIFS(T_SelfStock_Log[Self_Qty],T_SelfStock_Log[Part Name],$A39,T_SelfStock_Log[WeekIndex],13))</f>
        <v/>
      </c>
      <c r="O39" s="13">
        <f>IF(COUNTIFS(T_SelfStock_Log[Part Name],$A39,T_SelfStock_Log[WeekIndex],14)=0,"",SUMIFS(T_SelfStock_Log[Self_Qty],T_SelfStock_Log[Part Name],$A39,T_SelfStock_Log[WeekIndex],14))</f>
        <v/>
      </c>
      <c r="P39" s="13">
        <f>IF(COUNTIFS(T_SelfStock_Log[Part Name],$A39,T_SelfStock_Log[WeekIndex],15)=0,"",SUMIFS(T_SelfStock_Log[Self_Qty],T_SelfStock_Log[Part Name],$A39,T_SelfStock_Log[WeekIndex],15))</f>
        <v/>
      </c>
      <c r="Q39" s="13">
        <f>IF(COUNTIFS(T_SelfStock_Log[Part Name],$A39,T_SelfStock_Log[WeekIndex],16)=0,"",SUMIFS(T_SelfStock_Log[Self_Qty],T_SelfStock_Log[Part Name],$A39,T_SelfStock_Log[WeekIndex],16))</f>
        <v/>
      </c>
      <c r="R39" s="13">
        <f>IF(COUNTIFS(T_SelfStock_Log[Part Name],$A39,T_SelfStock_Log[WeekIndex],17)=0,"",SUMIFS(T_SelfStock_Log[Self_Qty],T_SelfStock_Log[Part Name],$A39,T_SelfStock_Log[WeekIndex],17))</f>
        <v/>
      </c>
      <c r="S39" s="13">
        <f>IF(COUNTIFS(T_SelfStock_Log[Part Name],$A39,T_SelfStock_Log[WeekIndex],18)=0,"",SUMIFS(T_SelfStock_Log[Self_Qty],T_SelfStock_Log[Part Name],$A39,T_SelfStock_Log[WeekIndex],18))</f>
        <v/>
      </c>
      <c r="T39" s="13">
        <f>IF(COUNTIFS(T_SelfStock_Log[Part Name],$A39,T_SelfStock_Log[WeekIndex],19)=0,"",SUMIFS(T_SelfStock_Log[Self_Qty],T_SelfStock_Log[Part Name],$A39,T_SelfStock_Log[WeekIndex],19))</f>
        <v/>
      </c>
      <c r="U39" s="13">
        <f>IF(COUNTIFS(T_SelfStock_Log[Part Name],$A39,T_SelfStock_Log[WeekIndex],20)=0,"",SUMIFS(T_SelfStock_Log[Self_Qty],T_SelfStock_Log[Part Name],$A39,T_SelfStock_Log[WeekIndex],20))</f>
        <v/>
      </c>
      <c r="V39" s="13">
        <f>IF(COUNTIFS(T_SelfStock_Log[Part Name],$A39,T_SelfStock_Log[WeekIndex],21)=0,"",SUMIFS(T_SelfStock_Log[Self_Qty],T_SelfStock_Log[Part Name],$A39,T_SelfStock_Log[WeekIndex],21))</f>
        <v/>
      </c>
      <c r="W39" s="13">
        <f>IF(COUNTIFS(T_SelfStock_Log[Part Name],$A39,T_SelfStock_Log[WeekIndex],22)=0,"",SUMIFS(T_SelfStock_Log[Self_Qty],T_SelfStock_Log[Part Name],$A39,T_SelfStock_Log[WeekIndex],22))</f>
        <v/>
      </c>
      <c r="X39" s="13">
        <f>IF(COUNTIFS(T_SelfStock_Log[Part Name],$A39,T_SelfStock_Log[WeekIndex],23)=0,"",SUMIFS(T_SelfStock_Log[Self_Qty],T_SelfStock_Log[Part Name],$A39,T_SelfStock_Log[WeekIndex],23))</f>
        <v/>
      </c>
      <c r="Y39" s="13">
        <f>IF(COUNTIFS(T_SelfStock_Log[Part Name],$A39,T_SelfStock_Log[WeekIndex],24)=0,"",SUMIFS(T_SelfStock_Log[Self_Qty],T_SelfStock_Log[Part Name],$A39,T_SelfStock_Log[WeekIndex],24))</f>
        <v/>
      </c>
      <c r="Z39" s="13">
        <f>IF(COUNTIFS(T_SelfStock_Log[Part Name],$A39,T_SelfStock_Log[WeekIndex],25)=0,"",SUMIFS(T_SelfStock_Log[Self_Qty],T_SelfStock_Log[Part Name],$A39,T_SelfStock_Log[WeekIndex],25))</f>
        <v/>
      </c>
      <c r="AA39" s="13">
        <f>IF(COUNTIFS(T_SelfStock_Log[Part Name],$A39,T_SelfStock_Log[WeekIndex],26)=0,"",SUMIFS(T_SelfStock_Log[Self_Qty],T_SelfStock_Log[Part Name],$A39,T_SelfStock_Log[WeekIndex],26))</f>
        <v/>
      </c>
      <c r="AB39" s="13">
        <f>IF(COUNTIFS(T_SelfStock_Log[Part Name],$A39,T_SelfStock_Log[WeekIndex],27)=0,"",SUMIFS(T_SelfStock_Log[Self_Qty],T_SelfStock_Log[Part Name],$A39,T_SelfStock_Log[WeekIndex],27))</f>
        <v/>
      </c>
      <c r="AC39" s="13">
        <f>IF(COUNTIFS(T_SelfStock_Log[Part Name],$A39,T_SelfStock_Log[WeekIndex],28)=0,"",SUMIFS(T_SelfStock_Log[Self_Qty],T_SelfStock_Log[Part Name],$A39,T_SelfStock_Log[WeekIndex],28))</f>
        <v/>
      </c>
      <c r="AD39" s="13">
        <f>IF(COUNTIFS(T_SelfStock_Log[Part Name],$A39,T_SelfStock_Log[WeekIndex],29)=0,"",SUMIFS(T_SelfStock_Log[Self_Qty],T_SelfStock_Log[Part Name],$A39,T_SelfStock_Log[WeekIndex],29))</f>
        <v/>
      </c>
      <c r="AE39" s="13">
        <f>IF(COUNTIFS(T_SelfStock_Log[Part Name],$A39,T_SelfStock_Log[WeekIndex],30)=0,"",SUMIFS(T_SelfStock_Log[Self_Qty],T_SelfStock_Log[Part Name],$A39,T_SelfStock_Log[WeekIndex],30))</f>
        <v/>
      </c>
      <c r="AF39" s="13">
        <f>IF(COUNTIFS(T_SelfStock_Log[Part Name],$A39,T_SelfStock_Log[WeekIndex],31)=0,"",SUMIFS(T_SelfStock_Log[Self_Qty],T_SelfStock_Log[Part Name],$A39,T_SelfStock_Log[WeekIndex],31))</f>
        <v/>
      </c>
      <c r="AG39" s="13">
        <f>IF(COUNTIFS(T_SelfStock_Log[Part Name],$A39,T_SelfStock_Log[WeekIndex],32)=0,"",SUMIFS(T_SelfStock_Log[Self_Qty],T_SelfStock_Log[Part Name],$A39,T_SelfStock_Log[WeekIndex],32))</f>
        <v/>
      </c>
      <c r="AH39" s="13">
        <f>IF(COUNTIFS(T_SelfStock_Log[Part Name],$A39,T_SelfStock_Log[WeekIndex],33)=0,"",SUMIFS(T_SelfStock_Log[Self_Qty],T_SelfStock_Log[Part Name],$A39,T_SelfStock_Log[WeekIndex],33))</f>
        <v/>
      </c>
      <c r="AI39" s="13">
        <f>IF(COUNTIFS(T_SelfStock_Log[Part Name],$A39,T_SelfStock_Log[WeekIndex],34)=0,"",SUMIFS(T_SelfStock_Log[Self_Qty],T_SelfStock_Log[Part Name],$A39,T_SelfStock_Log[WeekIndex],34))</f>
        <v/>
      </c>
      <c r="AJ39" s="13">
        <f>IF(COUNTIFS(T_SelfStock_Log[Part Name],$A39,T_SelfStock_Log[WeekIndex],35)=0,"",SUMIFS(T_SelfStock_Log[Self_Qty],T_SelfStock_Log[Part Name],$A39,T_SelfStock_Log[WeekIndex],35))</f>
        <v/>
      </c>
      <c r="AK39" s="13">
        <f>IF(COUNTIFS(T_SelfStock_Log[Part Name],$A39,T_SelfStock_Log[WeekIndex],36)=0,"",SUMIFS(T_SelfStock_Log[Self_Qty],T_SelfStock_Log[Part Name],$A39,T_SelfStock_Log[WeekIndex],36))</f>
        <v/>
      </c>
      <c r="AL39" s="13">
        <f>IF(COUNTIFS(T_SelfStock_Log[Part Name],$A39,T_SelfStock_Log[WeekIndex],37)=0,"",SUMIFS(T_SelfStock_Log[Self_Qty],T_SelfStock_Log[Part Name],$A39,T_SelfStock_Log[WeekIndex],37))</f>
        <v/>
      </c>
      <c r="AM39" s="13">
        <f>IF(COUNTIFS(T_SelfStock_Log[Part Name],$A39,T_SelfStock_Log[WeekIndex],38)=0,"",SUMIFS(T_SelfStock_Log[Self_Qty],T_SelfStock_Log[Part Name],$A39,T_SelfStock_Log[WeekIndex],38))</f>
        <v/>
      </c>
      <c r="AN39" s="13">
        <f>IF(COUNTIFS(T_SelfStock_Log[Part Name],$A39,T_SelfStock_Log[WeekIndex],39)=0,"",SUMIFS(T_SelfStock_Log[Self_Qty],T_SelfStock_Log[Part Name],$A39,T_SelfStock_Log[WeekIndex],39))</f>
        <v/>
      </c>
      <c r="AO39" s="13">
        <f>IF(COUNTIFS(T_SelfStock_Log[Part Name],$A39,T_SelfStock_Log[WeekIndex],40)=0,"",SUMIFS(T_SelfStock_Log[Self_Qty],T_SelfStock_Log[Part Name],$A39,T_SelfStock_Log[WeekIndex],40))</f>
        <v/>
      </c>
      <c r="AP39" s="13">
        <f>IF(COUNTIFS(T_SelfStock_Log[Part Name],$A39,T_SelfStock_Log[WeekIndex],41)=0,"",SUMIFS(T_SelfStock_Log[Self_Qty],T_SelfStock_Log[Part Name],$A39,T_SelfStock_Log[WeekIndex],41))</f>
        <v/>
      </c>
      <c r="AQ39" s="13">
        <f>IF(COUNTIFS(T_SelfStock_Log[Part Name],$A39,T_SelfStock_Log[WeekIndex],42)=0,"",SUMIFS(T_SelfStock_Log[Self_Qty],T_SelfStock_Log[Part Name],$A39,T_SelfStock_Log[WeekIndex],42))</f>
        <v/>
      </c>
      <c r="AR39" s="13">
        <f>IF(COUNTIFS(T_SelfStock_Log[Part Name],$A39,T_SelfStock_Log[WeekIndex],43)=0,"",SUMIFS(T_SelfStock_Log[Self_Qty],T_SelfStock_Log[Part Name],$A39,T_SelfStock_Log[WeekIndex],43))</f>
        <v/>
      </c>
      <c r="AS39" s="13">
        <f>IF(COUNTIFS(T_SelfStock_Log[Part Name],$A39,T_SelfStock_Log[WeekIndex],44)=0,"",SUMIFS(T_SelfStock_Log[Self_Qty],T_SelfStock_Log[Part Name],$A39,T_SelfStock_Log[WeekIndex],44))</f>
        <v/>
      </c>
      <c r="AT39" s="13">
        <f>IF(COUNTIFS(T_SelfStock_Log[Part Name],$A39,T_SelfStock_Log[WeekIndex],45)=0,"",SUMIFS(T_SelfStock_Log[Self_Qty],T_SelfStock_Log[Part Name],$A39,T_SelfStock_Log[WeekIndex],45))</f>
        <v/>
      </c>
      <c r="AU39" s="13">
        <f>IF(COUNTIFS(T_SelfStock_Log[Part Name],$A39,T_SelfStock_Log[WeekIndex],46)=0,"",SUMIFS(T_SelfStock_Log[Self_Qty],T_SelfStock_Log[Part Name],$A39,T_SelfStock_Log[WeekIndex],46))</f>
        <v/>
      </c>
      <c r="AV39" s="13">
        <f>IF(COUNTIFS(T_SelfStock_Log[Part Name],$A39,T_SelfStock_Log[WeekIndex],47)=0,"",SUMIFS(T_SelfStock_Log[Self_Qty],T_SelfStock_Log[Part Name],$A39,T_SelfStock_Log[WeekIndex],47))</f>
        <v/>
      </c>
      <c r="AW39" s="13">
        <f>IF(COUNTIFS(T_SelfStock_Log[Part Name],$A39,T_SelfStock_Log[WeekIndex],48)=0,"",SUMIFS(T_SelfStock_Log[Self_Qty],T_SelfStock_Log[Part Name],$A39,T_SelfStock_Log[WeekIndex],48))</f>
        <v/>
      </c>
      <c r="AX39" s="13">
        <f>IF(COUNTIFS(T_SelfStock_Log[Part Name],$A39,T_SelfStock_Log[WeekIndex],49)=0,"",SUMIFS(T_SelfStock_Log[Self_Qty],T_SelfStock_Log[Part Name],$A39,T_SelfStock_Log[WeekIndex],49))</f>
        <v/>
      </c>
      <c r="AY39" s="13">
        <f>IF(COUNTIFS(T_SelfStock_Log[Part Name],$A39,T_SelfStock_Log[WeekIndex],50)=0,"",SUMIFS(T_SelfStock_Log[Self_Qty],T_SelfStock_Log[Part Name],$A39,T_SelfStock_Log[WeekIndex],50))</f>
        <v/>
      </c>
      <c r="AZ39" s="13">
        <f>IF(COUNTIFS(T_SelfStock_Log[Part Name],$A39,T_SelfStock_Log[WeekIndex],51)=0,"",SUMIFS(T_SelfStock_Log[Self_Qty],T_SelfStock_Log[Part Name],$A39,T_SelfStock_Log[WeekIndex],51))</f>
        <v/>
      </c>
      <c r="BA39" s="13">
        <f>IF(COUNTIFS(T_SelfStock_Log[Part Name],$A39,T_SelfStock_Log[WeekIndex],52)=0,"",SUMIFS(T_SelfStock_Log[Self_Qty],T_SelfStock_Log[Part Name],$A39,T_SelfStock_Log[WeekIndex],52))</f>
        <v/>
      </c>
      <c r="BB39" s="13">
        <f>IF(COUNTIFS(T_SelfStock_Log[Part Name],$A39,T_SelfStock_Log[WeekIndex],53)=0,"",SUMIFS(T_SelfStock_Log[Self_Qty],T_SelfStock_Log[Part Name],$A39,T_SelfStock_Log[WeekIndex],53))</f>
        <v/>
      </c>
      <c r="BC39" s="13">
        <f>IF(COUNTIFS(T_SelfStock_Log[Part Name],$A39,T_SelfStock_Log[WeekIndex],54)=0,"",SUMIFS(T_SelfStock_Log[Self_Qty],T_SelfStock_Log[Part Name],$A39,T_SelfStock_Log[WeekIndex],54))</f>
        <v/>
      </c>
      <c r="BD39" s="13">
        <f>IF(COUNTIFS(T_SelfStock_Log[Part Name],$A39,T_SelfStock_Log[WeekIndex],55)=0,"",SUMIFS(T_SelfStock_Log[Self_Qty],T_SelfStock_Log[Part Name],$A39,T_SelfStock_Log[WeekIndex],55))</f>
        <v/>
      </c>
      <c r="BE39" s="13">
        <f>IF(COUNTIFS(T_SelfStock_Log[Part Name],$A39,T_SelfStock_Log[WeekIndex],56)=0,"",SUMIFS(T_SelfStock_Log[Self_Qty],T_SelfStock_Log[Part Name],$A39,T_SelfStock_Log[WeekIndex],56))</f>
        <v/>
      </c>
      <c r="BF39" s="13">
        <f>IF(COUNTIFS(T_SelfStock_Log[Part Name],$A39,T_SelfStock_Log[WeekIndex],57)=0,"",SUMIFS(T_SelfStock_Log[Self_Qty],T_SelfStock_Log[Part Name],$A39,T_SelfStock_Log[WeekIndex],57))</f>
        <v/>
      </c>
      <c r="BG39" s="13">
        <f>IF(COUNTIFS(T_SelfStock_Log[Part Name],$A39,T_SelfStock_Log[WeekIndex],58)=0,"",SUMIFS(T_SelfStock_Log[Self_Qty],T_SelfStock_Log[Part Name],$A39,T_SelfStock_Log[WeekIndex],58))</f>
        <v/>
      </c>
      <c r="BH39" s="13">
        <f>IF(COUNTIFS(T_SelfStock_Log[Part Name],$A39,T_SelfStock_Log[WeekIndex],59)=0,"",SUMIFS(T_SelfStock_Log[Self_Qty],T_SelfStock_Log[Part Name],$A39,T_SelfStock_Log[WeekIndex],59))</f>
        <v/>
      </c>
      <c r="BI39" s="13">
        <f>IF(COUNTIFS(T_SelfStock_Log[Part Name],$A39,T_SelfStock_Log[WeekIndex],60)=0,"",SUMIFS(T_SelfStock_Log[Self_Qty],T_SelfStock_Log[Part Name],$A39,T_SelfStock_Log[WeekIndex],60))</f>
        <v/>
      </c>
      <c r="BJ39" s="13">
        <f>IF(COUNTIFS(T_SelfStock_Log[Part Name],$A39,T_SelfStock_Log[WeekIndex],61)=0,"",SUMIFS(T_SelfStock_Log[Self_Qty],T_SelfStock_Log[Part Name],$A39,T_SelfStock_Log[WeekIndex],61))</f>
        <v/>
      </c>
      <c r="BK39" s="13">
        <f>IF(COUNTIFS(T_SelfStock_Log[Part Name],$A39,T_SelfStock_Log[WeekIndex],62)=0,"",SUMIFS(T_SelfStock_Log[Self_Qty],T_SelfStock_Log[Part Name],$A39,T_SelfStock_Log[WeekIndex],62))</f>
        <v/>
      </c>
      <c r="BL39" s="13">
        <f>IF(COUNTIFS(T_SelfStock_Log[Part Name],$A39,T_SelfStock_Log[WeekIndex],63)=0,"",SUMIFS(T_SelfStock_Log[Self_Qty],T_SelfStock_Log[Part Name],$A39,T_SelfStock_Log[WeekIndex],63))</f>
        <v/>
      </c>
      <c r="BM39" s="13">
        <f>IF(COUNTIFS(T_SelfStock_Log[Part Name],$A39,T_SelfStock_Log[WeekIndex],64)=0,"",SUMIFS(T_SelfStock_Log[Self_Qty],T_SelfStock_Log[Part Name],$A39,T_SelfStock_Log[WeekIndex],64))</f>
        <v/>
      </c>
      <c r="BN39" s="13">
        <f>IF(COUNTIFS(T_SelfStock_Log[Part Name],$A39,T_SelfStock_Log[WeekIndex],65)=0,"",SUMIFS(T_SelfStock_Log[Self_Qty],T_SelfStock_Log[Part Name],$A39,T_SelfStock_Log[WeekIndex],65))</f>
        <v/>
      </c>
      <c r="BO39" s="13">
        <f>IF(COUNTIFS(T_SelfStock_Log[Part Name],$A39,T_SelfStock_Log[WeekIndex],66)=0,"",SUMIFS(T_SelfStock_Log[Self_Qty],T_SelfStock_Log[Part Name],$A39,T_SelfStock_Log[WeekIndex],66))</f>
        <v/>
      </c>
      <c r="BP39" s="13">
        <f>IF(COUNTIFS(T_SelfStock_Log[Part Name],$A39,T_SelfStock_Log[WeekIndex],67)=0,"",SUMIFS(T_SelfStock_Log[Self_Qty],T_SelfStock_Log[Part Name],$A39,T_SelfStock_Log[WeekIndex],67))</f>
        <v/>
      </c>
      <c r="BQ39" s="13">
        <f>IF(COUNTIFS(T_SelfStock_Log[Part Name],$A39,T_SelfStock_Log[WeekIndex],68)=0,"",SUMIFS(T_SelfStock_Log[Self_Qty],T_SelfStock_Log[Part Name],$A39,T_SelfStock_Log[WeekIndex],68))</f>
        <v/>
      </c>
      <c r="BR39" s="13">
        <f>IF(COUNTIFS(T_SelfStock_Log[Part Name],$A39,T_SelfStock_Log[WeekIndex],69)=0,"",SUMIFS(T_SelfStock_Log[Self_Qty],T_SelfStock_Log[Part Name],$A39,T_SelfStock_Log[WeekIndex],69))</f>
        <v/>
      </c>
      <c r="BS39" s="13">
        <f>IF(COUNTIFS(T_SelfStock_Log[Part Name],$A39,T_SelfStock_Log[WeekIndex],70)=0,"",SUMIFS(T_SelfStock_Log[Self_Qty],T_SelfStock_Log[Part Name],$A39,T_SelfStock_Log[WeekIndex],70))</f>
        <v/>
      </c>
      <c r="BT39" s="13">
        <f>IF(COUNTIFS(T_SelfStock_Log[Part Name],$A39,T_SelfStock_Log[WeekIndex],71)=0,"",SUMIFS(T_SelfStock_Log[Self_Qty],T_SelfStock_Log[Part Name],$A39,T_SelfStock_Log[WeekIndex],71))</f>
        <v/>
      </c>
      <c r="BU39" s="13">
        <f>IF(COUNTIFS(T_SelfStock_Log[Part Name],$A39,T_SelfStock_Log[WeekIndex],72)=0,"",SUMIFS(T_SelfStock_Log[Self_Qty],T_SelfStock_Log[Part Name],$A39,T_SelfStock_Log[WeekIndex],72))</f>
        <v/>
      </c>
      <c r="BV39" s="13">
        <f>IF(COUNTIFS(T_SelfStock_Log[Part Name],$A39,T_SelfStock_Log[WeekIndex],73)=0,"",SUMIFS(T_SelfStock_Log[Self_Qty],T_SelfStock_Log[Part Name],$A39,T_SelfStock_Log[WeekIndex],73))</f>
        <v/>
      </c>
      <c r="BW39" s="13">
        <f>IF(COUNTIFS(T_SelfStock_Log[Part Name],$A39,T_SelfStock_Log[WeekIndex],74)=0,"",SUMIFS(T_SelfStock_Log[Self_Qty],T_SelfStock_Log[Part Name],$A39,T_SelfStock_Log[WeekIndex],74))</f>
        <v/>
      </c>
      <c r="BX39" s="13">
        <f>IF(COUNTIFS(T_SelfStock_Log[Part Name],$A39,T_SelfStock_Log[WeekIndex],75)=0,"",SUMIFS(T_SelfStock_Log[Self_Qty],T_SelfStock_Log[Part Name],$A39,T_SelfStock_Log[WeekIndex],75))</f>
        <v/>
      </c>
      <c r="BY39" s="13">
        <f>IF(COUNTIFS(T_SelfStock_Log[Part Name],$A39,T_SelfStock_Log[WeekIndex],76)=0,"",SUMIFS(T_SelfStock_Log[Self_Qty],T_SelfStock_Log[Part Name],$A39,T_SelfStock_Log[WeekIndex],76))</f>
        <v/>
      </c>
      <c r="BZ39" s="13">
        <f>IF(COUNTIFS(T_SelfStock_Log[Part Name],$A39,T_SelfStock_Log[WeekIndex],77)=0,"",SUMIFS(T_SelfStock_Log[Self_Qty],T_SelfStock_Log[Part Name],$A39,T_SelfStock_Log[WeekIndex],77))</f>
        <v/>
      </c>
      <c r="CA39" s="13">
        <f>IF(COUNTIFS(T_SelfStock_Log[Part Name],$A39,T_SelfStock_Log[WeekIndex],78)=0,"",SUMIFS(T_SelfStock_Log[Self_Qty],T_SelfStock_Log[Part Name],$A39,T_SelfStock_Log[WeekIndex],78))</f>
        <v/>
      </c>
      <c r="CB39" s="13">
        <f>IF(COUNTIFS(T_SelfStock_Log[Part Name],$A39,T_SelfStock_Log[WeekIndex],79)=0,"",SUMIFS(T_SelfStock_Log[Self_Qty],T_SelfStock_Log[Part Name],$A39,T_SelfStock_Log[WeekIndex],79))</f>
        <v/>
      </c>
      <c r="CC39" s="13">
        <f>IF(COUNTIFS(T_SelfStock_Log[Part Name],$A39,T_SelfStock_Log[WeekIndex],80)=0,"",SUMIFS(T_SelfStock_Log[Self_Qty],T_SelfStock_Log[Part Name],$A39,T_SelfStock_Log[WeekIndex],80))</f>
        <v/>
      </c>
      <c r="CD39" s="13">
        <f>IF(COUNTIFS(T_SelfStock_Log[Part Name],$A39,T_SelfStock_Log[WeekIndex],81)=0,"",SUMIFS(T_SelfStock_Log[Self_Qty],T_SelfStock_Log[Part Name],$A39,T_SelfStock_Log[WeekIndex],81))</f>
        <v/>
      </c>
      <c r="CE39" s="13">
        <f>IF(COUNTIFS(T_SelfStock_Log[Part Name],$A39,T_SelfStock_Log[WeekIndex],82)=0,"",SUMIFS(T_SelfStock_Log[Self_Qty],T_SelfStock_Log[Part Name],$A39,T_SelfStock_Log[WeekIndex],82))</f>
        <v/>
      </c>
      <c r="CF39" s="13">
        <f>IF(COUNTIFS(T_SelfStock_Log[Part Name],$A39,T_SelfStock_Log[WeekIndex],83)=0,"",SUMIFS(T_SelfStock_Log[Self_Qty],T_SelfStock_Log[Part Name],$A39,T_SelfStock_Log[WeekIndex],83))</f>
        <v/>
      </c>
      <c r="CG39" s="13">
        <f>IF(COUNTIFS(T_SelfStock_Log[Part Name],$A39,T_SelfStock_Log[WeekIndex],84)=0,"",SUMIFS(T_SelfStock_Log[Self_Qty],T_SelfStock_Log[Part Name],$A39,T_SelfStock_Log[WeekIndex],84))</f>
        <v/>
      </c>
      <c r="CH39" s="13">
        <f>IF(COUNTIFS(T_SelfStock_Log[Part Name],$A39,T_SelfStock_Log[WeekIndex],85)=0,"",SUMIFS(T_SelfStock_Log[Self_Qty],T_SelfStock_Log[Part Name],$A39,T_SelfStock_Log[WeekIndex],85))</f>
        <v/>
      </c>
      <c r="CI39" s="13">
        <f>IF(COUNTIFS(T_SelfStock_Log[Part Name],$A39,T_SelfStock_Log[WeekIndex],86)=0,"",SUMIFS(T_SelfStock_Log[Self_Qty],T_SelfStock_Log[Part Name],$A39,T_SelfStock_Log[WeekIndex],86))</f>
        <v/>
      </c>
      <c r="CJ39" s="13">
        <f>IF(COUNTIFS(T_SelfStock_Log[Part Name],$A39,T_SelfStock_Log[WeekIndex],87)=0,"",SUMIFS(T_SelfStock_Log[Self_Qty],T_SelfStock_Log[Part Name],$A39,T_SelfStock_Log[WeekIndex],87))</f>
        <v/>
      </c>
      <c r="CK39" s="13">
        <f>IF(COUNTIFS(T_SelfStock_Log[Part Name],$A39,T_SelfStock_Log[WeekIndex],88)=0,"",SUMIFS(T_SelfStock_Log[Self_Qty],T_SelfStock_Log[Part Name],$A39,T_SelfStock_Log[WeekIndex],88))</f>
        <v/>
      </c>
      <c r="CL39" s="13">
        <f>IF(COUNTIFS(T_SelfStock_Log[Part Name],$A39,T_SelfStock_Log[WeekIndex],89)=0,"",SUMIFS(T_SelfStock_Log[Self_Qty],T_SelfStock_Log[Part Name],$A39,T_SelfStock_Log[WeekIndex],89))</f>
        <v/>
      </c>
      <c r="CM39" s="13">
        <f>IF(COUNTIFS(T_SelfStock_Log[Part Name],$A39,T_SelfStock_Log[WeekIndex],90)=0,"",SUMIFS(T_SelfStock_Log[Self_Qty],T_SelfStock_Log[Part Name],$A39,T_SelfStock_Log[WeekIndex],90))</f>
        <v/>
      </c>
      <c r="CN39" s="13">
        <f>IF(COUNTIFS(T_SelfStock_Log[Part Name],$A39,T_SelfStock_Log[WeekIndex],91)=0,"",SUMIFS(T_SelfStock_Log[Self_Qty],T_SelfStock_Log[Part Name],$A39,T_SelfStock_Log[WeekIndex],91))</f>
        <v/>
      </c>
      <c r="CO39" s="13">
        <f>IF(COUNTIFS(T_SelfStock_Log[Part Name],$A39,T_SelfStock_Log[WeekIndex],92)=0,"",SUMIFS(T_SelfStock_Log[Self_Qty],T_SelfStock_Log[Part Name],$A39,T_SelfStock_Log[WeekIndex],92))</f>
        <v/>
      </c>
      <c r="CP39" s="13">
        <f>IF(COUNTIFS(T_SelfStock_Log[Part Name],$A39,T_SelfStock_Log[WeekIndex],93)=0,"",SUMIFS(T_SelfStock_Log[Self_Qty],T_SelfStock_Log[Part Name],$A39,T_SelfStock_Log[WeekIndex],93))</f>
        <v/>
      </c>
      <c r="CQ39" s="13">
        <f>IF(COUNTIFS(T_SelfStock_Log[Part Name],$A39,T_SelfStock_Log[WeekIndex],94)=0,"",SUMIFS(T_SelfStock_Log[Self_Qty],T_SelfStock_Log[Part Name],$A39,T_SelfStock_Log[WeekIndex],94))</f>
        <v/>
      </c>
      <c r="CR39" s="13">
        <f>IF(COUNTIFS(T_SelfStock_Log[Part Name],$A39,T_SelfStock_Log[WeekIndex],95)=0,"",SUMIFS(T_SelfStock_Log[Self_Qty],T_SelfStock_Log[Part Name],$A39,T_SelfStock_Log[WeekIndex],95))</f>
        <v/>
      </c>
      <c r="CS39" s="13">
        <f>IF(COUNTIFS(T_SelfStock_Log[Part Name],$A39,T_SelfStock_Log[WeekIndex],96)=0,"",SUMIFS(T_SelfStock_Log[Self_Qty],T_SelfStock_Log[Part Name],$A39,T_SelfStock_Log[WeekIndex],96))</f>
        <v/>
      </c>
      <c r="CT39" s="13">
        <f>IF(COUNTIFS(T_SelfStock_Log[Part Name],$A39,T_SelfStock_Log[WeekIndex],97)=0,"",SUMIFS(T_SelfStock_Log[Self_Qty],T_SelfStock_Log[Part Name],$A39,T_SelfStock_Log[WeekIndex],97))</f>
        <v/>
      </c>
      <c r="CU39" s="13">
        <f>IF(COUNTIFS(T_SelfStock_Log[Part Name],$A39,T_SelfStock_Log[WeekIndex],98)=0,"",SUMIFS(T_SelfStock_Log[Self_Qty],T_SelfStock_Log[Part Name],$A39,T_SelfStock_Log[WeekIndex],98))</f>
        <v/>
      </c>
      <c r="CV39" s="13">
        <f>IF(COUNTIFS(T_SelfStock_Log[Part Name],$A39,T_SelfStock_Log[WeekIndex],99)=0,"",SUMIFS(T_SelfStock_Log[Self_Qty],T_SelfStock_Log[Part Name],$A39,T_SelfStock_Log[WeekIndex],99))</f>
        <v/>
      </c>
      <c r="CW39" s="13">
        <f>IF(COUNTIFS(T_SelfStock_Log[Part Name],$A39,T_SelfStock_Log[WeekIndex],100)=0,"",SUMIFS(T_SelfStock_Log[Self_Qty],T_SelfStock_Log[Part Name],$A39,T_SelfStock_Log[WeekIndex],100))</f>
        <v/>
      </c>
      <c r="CX39" s="13">
        <f>IF(COUNTIFS(T_SelfStock_Log[Part Name],$A39,T_SelfStock_Log[WeekIndex],101)=0,"",SUMIFS(T_SelfStock_Log[Self_Qty],T_SelfStock_Log[Part Name],$A39,T_SelfStock_Log[WeekIndex],101))</f>
        <v/>
      </c>
      <c r="CY39" s="13">
        <f>IF(COUNTIFS(T_SelfStock_Log[Part Name],$A39,T_SelfStock_Log[WeekIndex],102)=0,"",SUMIFS(T_SelfStock_Log[Self_Qty],T_SelfStock_Log[Part Name],$A39,T_SelfStock_Log[WeekIndex],102))</f>
        <v/>
      </c>
      <c r="CZ39" s="13">
        <f>IF(COUNTIFS(T_SelfStock_Log[Part Name],$A39,T_SelfStock_Log[WeekIndex],103)=0,"",SUMIFS(T_SelfStock_Log[Self_Qty],T_SelfStock_Log[Part Name],$A39,T_SelfStock_Log[WeekIndex],103))</f>
        <v/>
      </c>
      <c r="DA39" s="13">
        <f>IF(COUNTIFS(T_SelfStock_Log[Part Name],$A39,T_SelfStock_Log[WeekIndex],104)=0,"",SUMIFS(T_SelfStock_Log[Self_Qty],T_SelfStock_Log[Part Name],$A39,T_SelfStock_Log[WeekIndex],104))</f>
        <v/>
      </c>
    </row>
    <row r="40">
      <c r="A40" s="12" t="inlineStr">
        <is>
          <t>CHEM-1770</t>
        </is>
      </c>
      <c r="B40" s="12">
        <f>IF(COUNTIFS(T_SelfStock_Log[Part Name],$A40,T_SelfStock_Log[WeekIndex],1)=0,"",SUMIFS(T_SelfStock_Log[Self_Qty],T_SelfStock_Log[Part Name],$A40,T_SelfStock_Log[WeekIndex],1))</f>
        <v/>
      </c>
      <c r="C40" s="12">
        <f>IF(COUNTIFS(T_SelfStock_Log[Part Name],$A40,T_SelfStock_Log[WeekIndex],2)=0,"",SUMIFS(T_SelfStock_Log[Self_Qty],T_SelfStock_Log[Part Name],$A40,T_SelfStock_Log[WeekIndex],2))</f>
        <v/>
      </c>
      <c r="D40" s="12">
        <f>IF(COUNTIFS(T_SelfStock_Log[Part Name],$A40,T_SelfStock_Log[WeekIndex],3)=0,"",SUMIFS(T_SelfStock_Log[Self_Qty],T_SelfStock_Log[Part Name],$A40,T_SelfStock_Log[WeekIndex],3))</f>
        <v/>
      </c>
      <c r="E40" s="12">
        <f>IF(COUNTIFS(T_SelfStock_Log[Part Name],$A40,T_SelfStock_Log[WeekIndex],4)=0,"",SUMIFS(T_SelfStock_Log[Self_Qty],T_SelfStock_Log[Part Name],$A40,T_SelfStock_Log[WeekIndex],4))</f>
        <v/>
      </c>
      <c r="F40" s="12">
        <f>IF(COUNTIFS(T_SelfStock_Log[Part Name],$A40,T_SelfStock_Log[WeekIndex],5)=0,"",SUMIFS(T_SelfStock_Log[Self_Qty],T_SelfStock_Log[Part Name],$A40,T_SelfStock_Log[WeekIndex],5))</f>
        <v/>
      </c>
      <c r="G40" s="12">
        <f>IF(COUNTIFS(T_SelfStock_Log[Part Name],$A40,T_SelfStock_Log[WeekIndex],6)=0,"",SUMIFS(T_SelfStock_Log[Self_Qty],T_SelfStock_Log[Part Name],$A40,T_SelfStock_Log[WeekIndex],6))</f>
        <v/>
      </c>
      <c r="H40" s="12">
        <f>IF(COUNTIFS(T_SelfStock_Log[Part Name],$A40,T_SelfStock_Log[WeekIndex],7)=0,"",SUMIFS(T_SelfStock_Log[Self_Qty],T_SelfStock_Log[Part Name],$A40,T_SelfStock_Log[WeekIndex],7))</f>
        <v/>
      </c>
      <c r="I40" s="12">
        <f>IF(COUNTIFS(T_SelfStock_Log[Part Name],$A40,T_SelfStock_Log[WeekIndex],8)=0,"",SUMIFS(T_SelfStock_Log[Self_Qty],T_SelfStock_Log[Part Name],$A40,T_SelfStock_Log[WeekIndex],8))</f>
        <v/>
      </c>
      <c r="J40" s="12">
        <f>IF(COUNTIFS(T_SelfStock_Log[Part Name],$A40,T_SelfStock_Log[WeekIndex],9)=0,"",SUMIFS(T_SelfStock_Log[Self_Qty],T_SelfStock_Log[Part Name],$A40,T_SelfStock_Log[WeekIndex],9))</f>
        <v/>
      </c>
      <c r="K40" s="12">
        <f>IF(COUNTIFS(T_SelfStock_Log[Part Name],$A40,T_SelfStock_Log[WeekIndex],10)=0,"",SUMIFS(T_SelfStock_Log[Self_Qty],T_SelfStock_Log[Part Name],$A40,T_SelfStock_Log[WeekIndex],10))</f>
        <v/>
      </c>
      <c r="L40" s="12">
        <f>IF(COUNTIFS(T_SelfStock_Log[Part Name],$A40,T_SelfStock_Log[WeekIndex],11)=0,"",SUMIFS(T_SelfStock_Log[Self_Qty],T_SelfStock_Log[Part Name],$A40,T_SelfStock_Log[WeekIndex],11))</f>
        <v/>
      </c>
      <c r="M40" s="12">
        <f>IF(COUNTIFS(T_SelfStock_Log[Part Name],$A40,T_SelfStock_Log[WeekIndex],12)=0,"",SUMIFS(T_SelfStock_Log[Self_Qty],T_SelfStock_Log[Part Name],$A40,T_SelfStock_Log[WeekIndex],12))</f>
        <v/>
      </c>
      <c r="N40" s="12">
        <f>IF(COUNTIFS(T_SelfStock_Log[Part Name],$A40,T_SelfStock_Log[WeekIndex],13)=0,"",SUMIFS(T_SelfStock_Log[Self_Qty],T_SelfStock_Log[Part Name],$A40,T_SelfStock_Log[WeekIndex],13))</f>
        <v/>
      </c>
      <c r="O40" s="12">
        <f>IF(COUNTIFS(T_SelfStock_Log[Part Name],$A40,T_SelfStock_Log[WeekIndex],14)=0,"",SUMIFS(T_SelfStock_Log[Self_Qty],T_SelfStock_Log[Part Name],$A40,T_SelfStock_Log[WeekIndex],14))</f>
        <v/>
      </c>
      <c r="P40" s="12">
        <f>IF(COUNTIFS(T_SelfStock_Log[Part Name],$A40,T_SelfStock_Log[WeekIndex],15)=0,"",SUMIFS(T_SelfStock_Log[Self_Qty],T_SelfStock_Log[Part Name],$A40,T_SelfStock_Log[WeekIndex],15))</f>
        <v/>
      </c>
      <c r="Q40" s="12">
        <f>IF(COUNTIFS(T_SelfStock_Log[Part Name],$A40,T_SelfStock_Log[WeekIndex],16)=0,"",SUMIFS(T_SelfStock_Log[Self_Qty],T_SelfStock_Log[Part Name],$A40,T_SelfStock_Log[WeekIndex],16))</f>
        <v/>
      </c>
      <c r="R40" s="12">
        <f>IF(COUNTIFS(T_SelfStock_Log[Part Name],$A40,T_SelfStock_Log[WeekIndex],17)=0,"",SUMIFS(T_SelfStock_Log[Self_Qty],T_SelfStock_Log[Part Name],$A40,T_SelfStock_Log[WeekIndex],17))</f>
        <v/>
      </c>
      <c r="S40" s="12">
        <f>IF(COUNTIFS(T_SelfStock_Log[Part Name],$A40,T_SelfStock_Log[WeekIndex],18)=0,"",SUMIFS(T_SelfStock_Log[Self_Qty],T_SelfStock_Log[Part Name],$A40,T_SelfStock_Log[WeekIndex],18))</f>
        <v/>
      </c>
      <c r="T40" s="12">
        <f>IF(COUNTIFS(T_SelfStock_Log[Part Name],$A40,T_SelfStock_Log[WeekIndex],19)=0,"",SUMIFS(T_SelfStock_Log[Self_Qty],T_SelfStock_Log[Part Name],$A40,T_SelfStock_Log[WeekIndex],19))</f>
        <v/>
      </c>
      <c r="U40" s="12">
        <f>IF(COUNTIFS(T_SelfStock_Log[Part Name],$A40,T_SelfStock_Log[WeekIndex],20)=0,"",SUMIFS(T_SelfStock_Log[Self_Qty],T_SelfStock_Log[Part Name],$A40,T_SelfStock_Log[WeekIndex],20))</f>
        <v/>
      </c>
      <c r="V40" s="12">
        <f>IF(COUNTIFS(T_SelfStock_Log[Part Name],$A40,T_SelfStock_Log[WeekIndex],21)=0,"",SUMIFS(T_SelfStock_Log[Self_Qty],T_SelfStock_Log[Part Name],$A40,T_SelfStock_Log[WeekIndex],21))</f>
        <v/>
      </c>
      <c r="W40" s="12">
        <f>IF(COUNTIFS(T_SelfStock_Log[Part Name],$A40,T_SelfStock_Log[WeekIndex],22)=0,"",SUMIFS(T_SelfStock_Log[Self_Qty],T_SelfStock_Log[Part Name],$A40,T_SelfStock_Log[WeekIndex],22))</f>
        <v/>
      </c>
      <c r="X40" s="12">
        <f>IF(COUNTIFS(T_SelfStock_Log[Part Name],$A40,T_SelfStock_Log[WeekIndex],23)=0,"",SUMIFS(T_SelfStock_Log[Self_Qty],T_SelfStock_Log[Part Name],$A40,T_SelfStock_Log[WeekIndex],23))</f>
        <v/>
      </c>
      <c r="Y40" s="12">
        <f>IF(COUNTIFS(T_SelfStock_Log[Part Name],$A40,T_SelfStock_Log[WeekIndex],24)=0,"",SUMIFS(T_SelfStock_Log[Self_Qty],T_SelfStock_Log[Part Name],$A40,T_SelfStock_Log[WeekIndex],24))</f>
        <v/>
      </c>
      <c r="Z40" s="12">
        <f>IF(COUNTIFS(T_SelfStock_Log[Part Name],$A40,T_SelfStock_Log[WeekIndex],25)=0,"",SUMIFS(T_SelfStock_Log[Self_Qty],T_SelfStock_Log[Part Name],$A40,T_SelfStock_Log[WeekIndex],25))</f>
        <v/>
      </c>
      <c r="AA40" s="12">
        <f>IF(COUNTIFS(T_SelfStock_Log[Part Name],$A40,T_SelfStock_Log[WeekIndex],26)=0,"",SUMIFS(T_SelfStock_Log[Self_Qty],T_SelfStock_Log[Part Name],$A40,T_SelfStock_Log[WeekIndex],26))</f>
        <v/>
      </c>
      <c r="AB40" s="12">
        <f>IF(COUNTIFS(T_SelfStock_Log[Part Name],$A40,T_SelfStock_Log[WeekIndex],27)=0,"",SUMIFS(T_SelfStock_Log[Self_Qty],T_SelfStock_Log[Part Name],$A40,T_SelfStock_Log[WeekIndex],27))</f>
        <v/>
      </c>
      <c r="AC40" s="12">
        <f>IF(COUNTIFS(T_SelfStock_Log[Part Name],$A40,T_SelfStock_Log[WeekIndex],28)=0,"",SUMIFS(T_SelfStock_Log[Self_Qty],T_SelfStock_Log[Part Name],$A40,T_SelfStock_Log[WeekIndex],28))</f>
        <v/>
      </c>
      <c r="AD40" s="12">
        <f>IF(COUNTIFS(T_SelfStock_Log[Part Name],$A40,T_SelfStock_Log[WeekIndex],29)=0,"",SUMIFS(T_SelfStock_Log[Self_Qty],T_SelfStock_Log[Part Name],$A40,T_SelfStock_Log[WeekIndex],29))</f>
        <v/>
      </c>
      <c r="AE40" s="12">
        <f>IF(COUNTIFS(T_SelfStock_Log[Part Name],$A40,T_SelfStock_Log[WeekIndex],30)=0,"",SUMIFS(T_SelfStock_Log[Self_Qty],T_SelfStock_Log[Part Name],$A40,T_SelfStock_Log[WeekIndex],30))</f>
        <v/>
      </c>
      <c r="AF40" s="12">
        <f>IF(COUNTIFS(T_SelfStock_Log[Part Name],$A40,T_SelfStock_Log[WeekIndex],31)=0,"",SUMIFS(T_SelfStock_Log[Self_Qty],T_SelfStock_Log[Part Name],$A40,T_SelfStock_Log[WeekIndex],31))</f>
        <v/>
      </c>
      <c r="AG40" s="12">
        <f>IF(COUNTIFS(T_SelfStock_Log[Part Name],$A40,T_SelfStock_Log[WeekIndex],32)=0,"",SUMIFS(T_SelfStock_Log[Self_Qty],T_SelfStock_Log[Part Name],$A40,T_SelfStock_Log[WeekIndex],32))</f>
        <v/>
      </c>
      <c r="AH40" s="12">
        <f>IF(COUNTIFS(T_SelfStock_Log[Part Name],$A40,T_SelfStock_Log[WeekIndex],33)=0,"",SUMIFS(T_SelfStock_Log[Self_Qty],T_SelfStock_Log[Part Name],$A40,T_SelfStock_Log[WeekIndex],33))</f>
        <v/>
      </c>
      <c r="AI40" s="12">
        <f>IF(COUNTIFS(T_SelfStock_Log[Part Name],$A40,T_SelfStock_Log[WeekIndex],34)=0,"",SUMIFS(T_SelfStock_Log[Self_Qty],T_SelfStock_Log[Part Name],$A40,T_SelfStock_Log[WeekIndex],34))</f>
        <v/>
      </c>
      <c r="AJ40" s="12">
        <f>IF(COUNTIFS(T_SelfStock_Log[Part Name],$A40,T_SelfStock_Log[WeekIndex],35)=0,"",SUMIFS(T_SelfStock_Log[Self_Qty],T_SelfStock_Log[Part Name],$A40,T_SelfStock_Log[WeekIndex],35))</f>
        <v/>
      </c>
      <c r="AK40" s="12">
        <f>IF(COUNTIFS(T_SelfStock_Log[Part Name],$A40,T_SelfStock_Log[WeekIndex],36)=0,"",SUMIFS(T_SelfStock_Log[Self_Qty],T_SelfStock_Log[Part Name],$A40,T_SelfStock_Log[WeekIndex],36))</f>
        <v/>
      </c>
      <c r="AL40" s="12">
        <f>IF(COUNTIFS(T_SelfStock_Log[Part Name],$A40,T_SelfStock_Log[WeekIndex],37)=0,"",SUMIFS(T_SelfStock_Log[Self_Qty],T_SelfStock_Log[Part Name],$A40,T_SelfStock_Log[WeekIndex],37))</f>
        <v/>
      </c>
      <c r="AM40" s="12">
        <f>IF(COUNTIFS(T_SelfStock_Log[Part Name],$A40,T_SelfStock_Log[WeekIndex],38)=0,"",SUMIFS(T_SelfStock_Log[Self_Qty],T_SelfStock_Log[Part Name],$A40,T_SelfStock_Log[WeekIndex],38))</f>
        <v/>
      </c>
      <c r="AN40" s="12">
        <f>IF(COUNTIFS(T_SelfStock_Log[Part Name],$A40,T_SelfStock_Log[WeekIndex],39)=0,"",SUMIFS(T_SelfStock_Log[Self_Qty],T_SelfStock_Log[Part Name],$A40,T_SelfStock_Log[WeekIndex],39))</f>
        <v/>
      </c>
      <c r="AO40" s="12">
        <f>IF(COUNTIFS(T_SelfStock_Log[Part Name],$A40,T_SelfStock_Log[WeekIndex],40)=0,"",SUMIFS(T_SelfStock_Log[Self_Qty],T_SelfStock_Log[Part Name],$A40,T_SelfStock_Log[WeekIndex],40))</f>
        <v/>
      </c>
      <c r="AP40" s="12">
        <f>IF(COUNTIFS(T_SelfStock_Log[Part Name],$A40,T_SelfStock_Log[WeekIndex],41)=0,"",SUMIFS(T_SelfStock_Log[Self_Qty],T_SelfStock_Log[Part Name],$A40,T_SelfStock_Log[WeekIndex],41))</f>
        <v/>
      </c>
      <c r="AQ40" s="12">
        <f>IF(COUNTIFS(T_SelfStock_Log[Part Name],$A40,T_SelfStock_Log[WeekIndex],42)=0,"",SUMIFS(T_SelfStock_Log[Self_Qty],T_SelfStock_Log[Part Name],$A40,T_SelfStock_Log[WeekIndex],42))</f>
        <v/>
      </c>
      <c r="AR40" s="12">
        <f>IF(COUNTIFS(T_SelfStock_Log[Part Name],$A40,T_SelfStock_Log[WeekIndex],43)=0,"",SUMIFS(T_SelfStock_Log[Self_Qty],T_SelfStock_Log[Part Name],$A40,T_SelfStock_Log[WeekIndex],43))</f>
        <v/>
      </c>
      <c r="AS40" s="12">
        <f>IF(COUNTIFS(T_SelfStock_Log[Part Name],$A40,T_SelfStock_Log[WeekIndex],44)=0,"",SUMIFS(T_SelfStock_Log[Self_Qty],T_SelfStock_Log[Part Name],$A40,T_SelfStock_Log[WeekIndex],44))</f>
        <v/>
      </c>
      <c r="AT40" s="12">
        <f>IF(COUNTIFS(T_SelfStock_Log[Part Name],$A40,T_SelfStock_Log[WeekIndex],45)=0,"",SUMIFS(T_SelfStock_Log[Self_Qty],T_SelfStock_Log[Part Name],$A40,T_SelfStock_Log[WeekIndex],45))</f>
        <v/>
      </c>
      <c r="AU40" s="12">
        <f>IF(COUNTIFS(T_SelfStock_Log[Part Name],$A40,T_SelfStock_Log[WeekIndex],46)=0,"",SUMIFS(T_SelfStock_Log[Self_Qty],T_SelfStock_Log[Part Name],$A40,T_SelfStock_Log[WeekIndex],46))</f>
        <v/>
      </c>
      <c r="AV40" s="12">
        <f>IF(COUNTIFS(T_SelfStock_Log[Part Name],$A40,T_SelfStock_Log[WeekIndex],47)=0,"",SUMIFS(T_SelfStock_Log[Self_Qty],T_SelfStock_Log[Part Name],$A40,T_SelfStock_Log[WeekIndex],47))</f>
        <v/>
      </c>
      <c r="AW40" s="12">
        <f>IF(COUNTIFS(T_SelfStock_Log[Part Name],$A40,T_SelfStock_Log[WeekIndex],48)=0,"",SUMIFS(T_SelfStock_Log[Self_Qty],T_SelfStock_Log[Part Name],$A40,T_SelfStock_Log[WeekIndex],48))</f>
        <v/>
      </c>
      <c r="AX40" s="12">
        <f>IF(COUNTIFS(T_SelfStock_Log[Part Name],$A40,T_SelfStock_Log[WeekIndex],49)=0,"",SUMIFS(T_SelfStock_Log[Self_Qty],T_SelfStock_Log[Part Name],$A40,T_SelfStock_Log[WeekIndex],49))</f>
        <v/>
      </c>
      <c r="AY40" s="12">
        <f>IF(COUNTIFS(T_SelfStock_Log[Part Name],$A40,T_SelfStock_Log[WeekIndex],50)=0,"",SUMIFS(T_SelfStock_Log[Self_Qty],T_SelfStock_Log[Part Name],$A40,T_SelfStock_Log[WeekIndex],50))</f>
        <v/>
      </c>
      <c r="AZ40" s="12">
        <f>IF(COUNTIFS(T_SelfStock_Log[Part Name],$A40,T_SelfStock_Log[WeekIndex],51)=0,"",SUMIFS(T_SelfStock_Log[Self_Qty],T_SelfStock_Log[Part Name],$A40,T_SelfStock_Log[WeekIndex],51))</f>
        <v/>
      </c>
      <c r="BA40" s="12">
        <f>IF(COUNTIFS(T_SelfStock_Log[Part Name],$A40,T_SelfStock_Log[WeekIndex],52)=0,"",SUMIFS(T_SelfStock_Log[Self_Qty],T_SelfStock_Log[Part Name],$A40,T_SelfStock_Log[WeekIndex],52))</f>
        <v/>
      </c>
      <c r="BB40" s="12">
        <f>IF(COUNTIFS(T_SelfStock_Log[Part Name],$A40,T_SelfStock_Log[WeekIndex],53)=0,"",SUMIFS(T_SelfStock_Log[Self_Qty],T_SelfStock_Log[Part Name],$A40,T_SelfStock_Log[WeekIndex],53))</f>
        <v/>
      </c>
      <c r="BC40" s="12">
        <f>IF(COUNTIFS(T_SelfStock_Log[Part Name],$A40,T_SelfStock_Log[WeekIndex],54)=0,"",SUMIFS(T_SelfStock_Log[Self_Qty],T_SelfStock_Log[Part Name],$A40,T_SelfStock_Log[WeekIndex],54))</f>
        <v/>
      </c>
      <c r="BD40" s="12">
        <f>IF(COUNTIFS(T_SelfStock_Log[Part Name],$A40,T_SelfStock_Log[WeekIndex],55)=0,"",SUMIFS(T_SelfStock_Log[Self_Qty],T_SelfStock_Log[Part Name],$A40,T_SelfStock_Log[WeekIndex],55))</f>
        <v/>
      </c>
      <c r="BE40" s="12">
        <f>IF(COUNTIFS(T_SelfStock_Log[Part Name],$A40,T_SelfStock_Log[WeekIndex],56)=0,"",SUMIFS(T_SelfStock_Log[Self_Qty],T_SelfStock_Log[Part Name],$A40,T_SelfStock_Log[WeekIndex],56))</f>
        <v/>
      </c>
      <c r="BF40" s="12">
        <f>IF(COUNTIFS(T_SelfStock_Log[Part Name],$A40,T_SelfStock_Log[WeekIndex],57)=0,"",SUMIFS(T_SelfStock_Log[Self_Qty],T_SelfStock_Log[Part Name],$A40,T_SelfStock_Log[WeekIndex],57))</f>
        <v/>
      </c>
      <c r="BG40" s="12">
        <f>IF(COUNTIFS(T_SelfStock_Log[Part Name],$A40,T_SelfStock_Log[WeekIndex],58)=0,"",SUMIFS(T_SelfStock_Log[Self_Qty],T_SelfStock_Log[Part Name],$A40,T_SelfStock_Log[WeekIndex],58))</f>
        <v/>
      </c>
      <c r="BH40" s="12">
        <f>IF(COUNTIFS(T_SelfStock_Log[Part Name],$A40,T_SelfStock_Log[WeekIndex],59)=0,"",SUMIFS(T_SelfStock_Log[Self_Qty],T_SelfStock_Log[Part Name],$A40,T_SelfStock_Log[WeekIndex],59))</f>
        <v/>
      </c>
      <c r="BI40" s="12">
        <f>IF(COUNTIFS(T_SelfStock_Log[Part Name],$A40,T_SelfStock_Log[WeekIndex],60)=0,"",SUMIFS(T_SelfStock_Log[Self_Qty],T_SelfStock_Log[Part Name],$A40,T_SelfStock_Log[WeekIndex],60))</f>
        <v/>
      </c>
      <c r="BJ40" s="12">
        <f>IF(COUNTIFS(T_SelfStock_Log[Part Name],$A40,T_SelfStock_Log[WeekIndex],61)=0,"",SUMIFS(T_SelfStock_Log[Self_Qty],T_SelfStock_Log[Part Name],$A40,T_SelfStock_Log[WeekIndex],61))</f>
        <v/>
      </c>
      <c r="BK40" s="12">
        <f>IF(COUNTIFS(T_SelfStock_Log[Part Name],$A40,T_SelfStock_Log[WeekIndex],62)=0,"",SUMIFS(T_SelfStock_Log[Self_Qty],T_SelfStock_Log[Part Name],$A40,T_SelfStock_Log[WeekIndex],62))</f>
        <v/>
      </c>
      <c r="BL40" s="12">
        <f>IF(COUNTIFS(T_SelfStock_Log[Part Name],$A40,T_SelfStock_Log[WeekIndex],63)=0,"",SUMIFS(T_SelfStock_Log[Self_Qty],T_SelfStock_Log[Part Name],$A40,T_SelfStock_Log[WeekIndex],63))</f>
        <v/>
      </c>
      <c r="BM40" s="12">
        <f>IF(COUNTIFS(T_SelfStock_Log[Part Name],$A40,T_SelfStock_Log[WeekIndex],64)=0,"",SUMIFS(T_SelfStock_Log[Self_Qty],T_SelfStock_Log[Part Name],$A40,T_SelfStock_Log[WeekIndex],64))</f>
        <v/>
      </c>
      <c r="BN40" s="12">
        <f>IF(COUNTIFS(T_SelfStock_Log[Part Name],$A40,T_SelfStock_Log[WeekIndex],65)=0,"",SUMIFS(T_SelfStock_Log[Self_Qty],T_SelfStock_Log[Part Name],$A40,T_SelfStock_Log[WeekIndex],65))</f>
        <v/>
      </c>
      <c r="BO40" s="12">
        <f>IF(COUNTIFS(T_SelfStock_Log[Part Name],$A40,T_SelfStock_Log[WeekIndex],66)=0,"",SUMIFS(T_SelfStock_Log[Self_Qty],T_SelfStock_Log[Part Name],$A40,T_SelfStock_Log[WeekIndex],66))</f>
        <v/>
      </c>
      <c r="BP40" s="12">
        <f>IF(COUNTIFS(T_SelfStock_Log[Part Name],$A40,T_SelfStock_Log[WeekIndex],67)=0,"",SUMIFS(T_SelfStock_Log[Self_Qty],T_SelfStock_Log[Part Name],$A40,T_SelfStock_Log[WeekIndex],67))</f>
        <v/>
      </c>
      <c r="BQ40" s="12">
        <f>IF(COUNTIFS(T_SelfStock_Log[Part Name],$A40,T_SelfStock_Log[WeekIndex],68)=0,"",SUMIFS(T_SelfStock_Log[Self_Qty],T_SelfStock_Log[Part Name],$A40,T_SelfStock_Log[WeekIndex],68))</f>
        <v/>
      </c>
      <c r="BR40" s="12">
        <f>IF(COUNTIFS(T_SelfStock_Log[Part Name],$A40,T_SelfStock_Log[WeekIndex],69)=0,"",SUMIFS(T_SelfStock_Log[Self_Qty],T_SelfStock_Log[Part Name],$A40,T_SelfStock_Log[WeekIndex],69))</f>
        <v/>
      </c>
      <c r="BS40" s="12">
        <f>IF(COUNTIFS(T_SelfStock_Log[Part Name],$A40,T_SelfStock_Log[WeekIndex],70)=0,"",SUMIFS(T_SelfStock_Log[Self_Qty],T_SelfStock_Log[Part Name],$A40,T_SelfStock_Log[WeekIndex],70))</f>
        <v/>
      </c>
      <c r="BT40" s="12">
        <f>IF(COUNTIFS(T_SelfStock_Log[Part Name],$A40,T_SelfStock_Log[WeekIndex],71)=0,"",SUMIFS(T_SelfStock_Log[Self_Qty],T_SelfStock_Log[Part Name],$A40,T_SelfStock_Log[WeekIndex],71))</f>
        <v/>
      </c>
      <c r="BU40" s="12">
        <f>IF(COUNTIFS(T_SelfStock_Log[Part Name],$A40,T_SelfStock_Log[WeekIndex],72)=0,"",SUMIFS(T_SelfStock_Log[Self_Qty],T_SelfStock_Log[Part Name],$A40,T_SelfStock_Log[WeekIndex],72))</f>
        <v/>
      </c>
      <c r="BV40" s="12">
        <f>IF(COUNTIFS(T_SelfStock_Log[Part Name],$A40,T_SelfStock_Log[WeekIndex],73)=0,"",SUMIFS(T_SelfStock_Log[Self_Qty],T_SelfStock_Log[Part Name],$A40,T_SelfStock_Log[WeekIndex],73))</f>
        <v/>
      </c>
      <c r="BW40" s="12">
        <f>IF(COUNTIFS(T_SelfStock_Log[Part Name],$A40,T_SelfStock_Log[WeekIndex],74)=0,"",SUMIFS(T_SelfStock_Log[Self_Qty],T_SelfStock_Log[Part Name],$A40,T_SelfStock_Log[WeekIndex],74))</f>
        <v/>
      </c>
      <c r="BX40" s="12">
        <f>IF(COUNTIFS(T_SelfStock_Log[Part Name],$A40,T_SelfStock_Log[WeekIndex],75)=0,"",SUMIFS(T_SelfStock_Log[Self_Qty],T_SelfStock_Log[Part Name],$A40,T_SelfStock_Log[WeekIndex],75))</f>
        <v/>
      </c>
      <c r="BY40" s="12">
        <f>IF(COUNTIFS(T_SelfStock_Log[Part Name],$A40,T_SelfStock_Log[WeekIndex],76)=0,"",SUMIFS(T_SelfStock_Log[Self_Qty],T_SelfStock_Log[Part Name],$A40,T_SelfStock_Log[WeekIndex],76))</f>
        <v/>
      </c>
      <c r="BZ40" s="12">
        <f>IF(COUNTIFS(T_SelfStock_Log[Part Name],$A40,T_SelfStock_Log[WeekIndex],77)=0,"",SUMIFS(T_SelfStock_Log[Self_Qty],T_SelfStock_Log[Part Name],$A40,T_SelfStock_Log[WeekIndex],77))</f>
        <v/>
      </c>
      <c r="CA40" s="12">
        <f>IF(COUNTIFS(T_SelfStock_Log[Part Name],$A40,T_SelfStock_Log[WeekIndex],78)=0,"",SUMIFS(T_SelfStock_Log[Self_Qty],T_SelfStock_Log[Part Name],$A40,T_SelfStock_Log[WeekIndex],78))</f>
        <v/>
      </c>
      <c r="CB40" s="12">
        <f>IF(COUNTIFS(T_SelfStock_Log[Part Name],$A40,T_SelfStock_Log[WeekIndex],79)=0,"",SUMIFS(T_SelfStock_Log[Self_Qty],T_SelfStock_Log[Part Name],$A40,T_SelfStock_Log[WeekIndex],79))</f>
        <v/>
      </c>
      <c r="CC40" s="12">
        <f>IF(COUNTIFS(T_SelfStock_Log[Part Name],$A40,T_SelfStock_Log[WeekIndex],80)=0,"",SUMIFS(T_SelfStock_Log[Self_Qty],T_SelfStock_Log[Part Name],$A40,T_SelfStock_Log[WeekIndex],80))</f>
        <v/>
      </c>
      <c r="CD40" s="12">
        <f>IF(COUNTIFS(T_SelfStock_Log[Part Name],$A40,T_SelfStock_Log[WeekIndex],81)=0,"",SUMIFS(T_SelfStock_Log[Self_Qty],T_SelfStock_Log[Part Name],$A40,T_SelfStock_Log[WeekIndex],81))</f>
        <v/>
      </c>
      <c r="CE40" s="12">
        <f>IF(COUNTIFS(T_SelfStock_Log[Part Name],$A40,T_SelfStock_Log[WeekIndex],82)=0,"",SUMIFS(T_SelfStock_Log[Self_Qty],T_SelfStock_Log[Part Name],$A40,T_SelfStock_Log[WeekIndex],82))</f>
        <v/>
      </c>
      <c r="CF40" s="12">
        <f>IF(COUNTIFS(T_SelfStock_Log[Part Name],$A40,T_SelfStock_Log[WeekIndex],83)=0,"",SUMIFS(T_SelfStock_Log[Self_Qty],T_SelfStock_Log[Part Name],$A40,T_SelfStock_Log[WeekIndex],83))</f>
        <v/>
      </c>
      <c r="CG40" s="12">
        <f>IF(COUNTIFS(T_SelfStock_Log[Part Name],$A40,T_SelfStock_Log[WeekIndex],84)=0,"",SUMIFS(T_SelfStock_Log[Self_Qty],T_SelfStock_Log[Part Name],$A40,T_SelfStock_Log[WeekIndex],84))</f>
        <v/>
      </c>
      <c r="CH40" s="12">
        <f>IF(COUNTIFS(T_SelfStock_Log[Part Name],$A40,T_SelfStock_Log[WeekIndex],85)=0,"",SUMIFS(T_SelfStock_Log[Self_Qty],T_SelfStock_Log[Part Name],$A40,T_SelfStock_Log[WeekIndex],85))</f>
        <v/>
      </c>
      <c r="CI40" s="12">
        <f>IF(COUNTIFS(T_SelfStock_Log[Part Name],$A40,T_SelfStock_Log[WeekIndex],86)=0,"",SUMIFS(T_SelfStock_Log[Self_Qty],T_SelfStock_Log[Part Name],$A40,T_SelfStock_Log[WeekIndex],86))</f>
        <v/>
      </c>
      <c r="CJ40" s="12">
        <f>IF(COUNTIFS(T_SelfStock_Log[Part Name],$A40,T_SelfStock_Log[WeekIndex],87)=0,"",SUMIFS(T_SelfStock_Log[Self_Qty],T_SelfStock_Log[Part Name],$A40,T_SelfStock_Log[WeekIndex],87))</f>
        <v/>
      </c>
      <c r="CK40" s="12">
        <f>IF(COUNTIFS(T_SelfStock_Log[Part Name],$A40,T_SelfStock_Log[WeekIndex],88)=0,"",SUMIFS(T_SelfStock_Log[Self_Qty],T_SelfStock_Log[Part Name],$A40,T_SelfStock_Log[WeekIndex],88))</f>
        <v/>
      </c>
      <c r="CL40" s="12">
        <f>IF(COUNTIFS(T_SelfStock_Log[Part Name],$A40,T_SelfStock_Log[WeekIndex],89)=0,"",SUMIFS(T_SelfStock_Log[Self_Qty],T_SelfStock_Log[Part Name],$A40,T_SelfStock_Log[WeekIndex],89))</f>
        <v/>
      </c>
      <c r="CM40" s="12">
        <f>IF(COUNTIFS(T_SelfStock_Log[Part Name],$A40,T_SelfStock_Log[WeekIndex],90)=0,"",SUMIFS(T_SelfStock_Log[Self_Qty],T_SelfStock_Log[Part Name],$A40,T_SelfStock_Log[WeekIndex],90))</f>
        <v/>
      </c>
      <c r="CN40" s="12">
        <f>IF(COUNTIFS(T_SelfStock_Log[Part Name],$A40,T_SelfStock_Log[WeekIndex],91)=0,"",SUMIFS(T_SelfStock_Log[Self_Qty],T_SelfStock_Log[Part Name],$A40,T_SelfStock_Log[WeekIndex],91))</f>
        <v/>
      </c>
      <c r="CO40" s="12">
        <f>IF(COUNTIFS(T_SelfStock_Log[Part Name],$A40,T_SelfStock_Log[WeekIndex],92)=0,"",SUMIFS(T_SelfStock_Log[Self_Qty],T_SelfStock_Log[Part Name],$A40,T_SelfStock_Log[WeekIndex],92))</f>
        <v/>
      </c>
      <c r="CP40" s="12">
        <f>IF(COUNTIFS(T_SelfStock_Log[Part Name],$A40,T_SelfStock_Log[WeekIndex],93)=0,"",SUMIFS(T_SelfStock_Log[Self_Qty],T_SelfStock_Log[Part Name],$A40,T_SelfStock_Log[WeekIndex],93))</f>
        <v/>
      </c>
      <c r="CQ40" s="12">
        <f>IF(COUNTIFS(T_SelfStock_Log[Part Name],$A40,T_SelfStock_Log[WeekIndex],94)=0,"",SUMIFS(T_SelfStock_Log[Self_Qty],T_SelfStock_Log[Part Name],$A40,T_SelfStock_Log[WeekIndex],94))</f>
        <v/>
      </c>
      <c r="CR40" s="12">
        <f>IF(COUNTIFS(T_SelfStock_Log[Part Name],$A40,T_SelfStock_Log[WeekIndex],95)=0,"",SUMIFS(T_SelfStock_Log[Self_Qty],T_SelfStock_Log[Part Name],$A40,T_SelfStock_Log[WeekIndex],95))</f>
        <v/>
      </c>
      <c r="CS40" s="12">
        <f>IF(COUNTIFS(T_SelfStock_Log[Part Name],$A40,T_SelfStock_Log[WeekIndex],96)=0,"",SUMIFS(T_SelfStock_Log[Self_Qty],T_SelfStock_Log[Part Name],$A40,T_SelfStock_Log[WeekIndex],96))</f>
        <v/>
      </c>
      <c r="CT40" s="12">
        <f>IF(COUNTIFS(T_SelfStock_Log[Part Name],$A40,T_SelfStock_Log[WeekIndex],97)=0,"",SUMIFS(T_SelfStock_Log[Self_Qty],T_SelfStock_Log[Part Name],$A40,T_SelfStock_Log[WeekIndex],97))</f>
        <v/>
      </c>
      <c r="CU40" s="12">
        <f>IF(COUNTIFS(T_SelfStock_Log[Part Name],$A40,T_SelfStock_Log[WeekIndex],98)=0,"",SUMIFS(T_SelfStock_Log[Self_Qty],T_SelfStock_Log[Part Name],$A40,T_SelfStock_Log[WeekIndex],98))</f>
        <v/>
      </c>
      <c r="CV40" s="12">
        <f>IF(COUNTIFS(T_SelfStock_Log[Part Name],$A40,T_SelfStock_Log[WeekIndex],99)=0,"",SUMIFS(T_SelfStock_Log[Self_Qty],T_SelfStock_Log[Part Name],$A40,T_SelfStock_Log[WeekIndex],99))</f>
        <v/>
      </c>
      <c r="CW40" s="12">
        <f>IF(COUNTIFS(T_SelfStock_Log[Part Name],$A40,T_SelfStock_Log[WeekIndex],100)=0,"",SUMIFS(T_SelfStock_Log[Self_Qty],T_SelfStock_Log[Part Name],$A40,T_SelfStock_Log[WeekIndex],100))</f>
        <v/>
      </c>
      <c r="CX40" s="12">
        <f>IF(COUNTIFS(T_SelfStock_Log[Part Name],$A40,T_SelfStock_Log[WeekIndex],101)=0,"",SUMIFS(T_SelfStock_Log[Self_Qty],T_SelfStock_Log[Part Name],$A40,T_SelfStock_Log[WeekIndex],101))</f>
        <v/>
      </c>
      <c r="CY40" s="12">
        <f>IF(COUNTIFS(T_SelfStock_Log[Part Name],$A40,T_SelfStock_Log[WeekIndex],102)=0,"",SUMIFS(T_SelfStock_Log[Self_Qty],T_SelfStock_Log[Part Name],$A40,T_SelfStock_Log[WeekIndex],102))</f>
        <v/>
      </c>
      <c r="CZ40" s="12">
        <f>IF(COUNTIFS(T_SelfStock_Log[Part Name],$A40,T_SelfStock_Log[WeekIndex],103)=0,"",SUMIFS(T_SelfStock_Log[Self_Qty],T_SelfStock_Log[Part Name],$A40,T_SelfStock_Log[WeekIndex],103))</f>
        <v/>
      </c>
      <c r="DA40" s="12">
        <f>IF(COUNTIFS(T_SelfStock_Log[Part Name],$A40,T_SelfStock_Log[WeekIndex],104)=0,"",SUMIFS(T_SelfStock_Log[Self_Qty],T_SelfStock_Log[Part Name],$A40,T_SelfStock_Log[WeekIndex],104))</f>
        <v/>
      </c>
    </row>
    <row r="41">
      <c r="A41" s="13" t="inlineStr">
        <is>
          <t>CHEM-1020</t>
        </is>
      </c>
      <c r="B41" s="13">
        <f>IF(COUNTIFS(T_SelfStock_Log[Part Name],$A41,T_SelfStock_Log[WeekIndex],1)=0,"",SUMIFS(T_SelfStock_Log[Self_Qty],T_SelfStock_Log[Part Name],$A41,T_SelfStock_Log[WeekIndex],1))</f>
        <v/>
      </c>
      <c r="C41" s="13">
        <f>IF(COUNTIFS(T_SelfStock_Log[Part Name],$A41,T_SelfStock_Log[WeekIndex],2)=0,"",SUMIFS(T_SelfStock_Log[Self_Qty],T_SelfStock_Log[Part Name],$A41,T_SelfStock_Log[WeekIndex],2))</f>
        <v/>
      </c>
      <c r="D41" s="13">
        <f>IF(COUNTIFS(T_SelfStock_Log[Part Name],$A41,T_SelfStock_Log[WeekIndex],3)=0,"",SUMIFS(T_SelfStock_Log[Self_Qty],T_SelfStock_Log[Part Name],$A41,T_SelfStock_Log[WeekIndex],3))</f>
        <v/>
      </c>
      <c r="E41" s="13">
        <f>IF(COUNTIFS(T_SelfStock_Log[Part Name],$A41,T_SelfStock_Log[WeekIndex],4)=0,"",SUMIFS(T_SelfStock_Log[Self_Qty],T_SelfStock_Log[Part Name],$A41,T_SelfStock_Log[WeekIndex],4))</f>
        <v/>
      </c>
      <c r="F41" s="13">
        <f>IF(COUNTIFS(T_SelfStock_Log[Part Name],$A41,T_SelfStock_Log[WeekIndex],5)=0,"",SUMIFS(T_SelfStock_Log[Self_Qty],T_SelfStock_Log[Part Name],$A41,T_SelfStock_Log[WeekIndex],5))</f>
        <v/>
      </c>
      <c r="G41" s="13">
        <f>IF(COUNTIFS(T_SelfStock_Log[Part Name],$A41,T_SelfStock_Log[WeekIndex],6)=0,"",SUMIFS(T_SelfStock_Log[Self_Qty],T_SelfStock_Log[Part Name],$A41,T_SelfStock_Log[WeekIndex],6))</f>
        <v/>
      </c>
      <c r="H41" s="13">
        <f>IF(COUNTIFS(T_SelfStock_Log[Part Name],$A41,T_SelfStock_Log[WeekIndex],7)=0,"",SUMIFS(T_SelfStock_Log[Self_Qty],T_SelfStock_Log[Part Name],$A41,T_SelfStock_Log[WeekIndex],7))</f>
        <v/>
      </c>
      <c r="I41" s="13">
        <f>IF(COUNTIFS(T_SelfStock_Log[Part Name],$A41,T_SelfStock_Log[WeekIndex],8)=0,"",SUMIFS(T_SelfStock_Log[Self_Qty],T_SelfStock_Log[Part Name],$A41,T_SelfStock_Log[WeekIndex],8))</f>
        <v/>
      </c>
      <c r="J41" s="13">
        <f>IF(COUNTIFS(T_SelfStock_Log[Part Name],$A41,T_SelfStock_Log[WeekIndex],9)=0,"",SUMIFS(T_SelfStock_Log[Self_Qty],T_SelfStock_Log[Part Name],$A41,T_SelfStock_Log[WeekIndex],9))</f>
        <v/>
      </c>
      <c r="K41" s="13">
        <f>IF(COUNTIFS(T_SelfStock_Log[Part Name],$A41,T_SelfStock_Log[WeekIndex],10)=0,"",SUMIFS(T_SelfStock_Log[Self_Qty],T_SelfStock_Log[Part Name],$A41,T_SelfStock_Log[WeekIndex],10))</f>
        <v/>
      </c>
      <c r="L41" s="13">
        <f>IF(COUNTIFS(T_SelfStock_Log[Part Name],$A41,T_SelfStock_Log[WeekIndex],11)=0,"",SUMIFS(T_SelfStock_Log[Self_Qty],T_SelfStock_Log[Part Name],$A41,T_SelfStock_Log[WeekIndex],11))</f>
        <v/>
      </c>
      <c r="M41" s="13">
        <f>IF(COUNTIFS(T_SelfStock_Log[Part Name],$A41,T_SelfStock_Log[WeekIndex],12)=0,"",SUMIFS(T_SelfStock_Log[Self_Qty],T_SelfStock_Log[Part Name],$A41,T_SelfStock_Log[WeekIndex],12))</f>
        <v/>
      </c>
      <c r="N41" s="13">
        <f>IF(COUNTIFS(T_SelfStock_Log[Part Name],$A41,T_SelfStock_Log[WeekIndex],13)=0,"",SUMIFS(T_SelfStock_Log[Self_Qty],T_SelfStock_Log[Part Name],$A41,T_SelfStock_Log[WeekIndex],13))</f>
        <v/>
      </c>
      <c r="O41" s="13">
        <f>IF(COUNTIFS(T_SelfStock_Log[Part Name],$A41,T_SelfStock_Log[WeekIndex],14)=0,"",SUMIFS(T_SelfStock_Log[Self_Qty],T_SelfStock_Log[Part Name],$A41,T_SelfStock_Log[WeekIndex],14))</f>
        <v/>
      </c>
      <c r="P41" s="13">
        <f>IF(COUNTIFS(T_SelfStock_Log[Part Name],$A41,T_SelfStock_Log[WeekIndex],15)=0,"",SUMIFS(T_SelfStock_Log[Self_Qty],T_SelfStock_Log[Part Name],$A41,T_SelfStock_Log[WeekIndex],15))</f>
        <v/>
      </c>
      <c r="Q41" s="13">
        <f>IF(COUNTIFS(T_SelfStock_Log[Part Name],$A41,T_SelfStock_Log[WeekIndex],16)=0,"",SUMIFS(T_SelfStock_Log[Self_Qty],T_SelfStock_Log[Part Name],$A41,T_SelfStock_Log[WeekIndex],16))</f>
        <v/>
      </c>
      <c r="R41" s="13">
        <f>IF(COUNTIFS(T_SelfStock_Log[Part Name],$A41,T_SelfStock_Log[WeekIndex],17)=0,"",SUMIFS(T_SelfStock_Log[Self_Qty],T_SelfStock_Log[Part Name],$A41,T_SelfStock_Log[WeekIndex],17))</f>
        <v/>
      </c>
      <c r="S41" s="13">
        <f>IF(COUNTIFS(T_SelfStock_Log[Part Name],$A41,T_SelfStock_Log[WeekIndex],18)=0,"",SUMIFS(T_SelfStock_Log[Self_Qty],T_SelfStock_Log[Part Name],$A41,T_SelfStock_Log[WeekIndex],18))</f>
        <v/>
      </c>
      <c r="T41" s="13">
        <f>IF(COUNTIFS(T_SelfStock_Log[Part Name],$A41,T_SelfStock_Log[WeekIndex],19)=0,"",SUMIFS(T_SelfStock_Log[Self_Qty],T_SelfStock_Log[Part Name],$A41,T_SelfStock_Log[WeekIndex],19))</f>
        <v/>
      </c>
      <c r="U41" s="13">
        <f>IF(COUNTIFS(T_SelfStock_Log[Part Name],$A41,T_SelfStock_Log[WeekIndex],20)=0,"",SUMIFS(T_SelfStock_Log[Self_Qty],T_SelfStock_Log[Part Name],$A41,T_SelfStock_Log[WeekIndex],20))</f>
        <v/>
      </c>
      <c r="V41" s="13">
        <f>IF(COUNTIFS(T_SelfStock_Log[Part Name],$A41,T_SelfStock_Log[WeekIndex],21)=0,"",SUMIFS(T_SelfStock_Log[Self_Qty],T_SelfStock_Log[Part Name],$A41,T_SelfStock_Log[WeekIndex],21))</f>
        <v/>
      </c>
      <c r="W41" s="13">
        <f>IF(COUNTIFS(T_SelfStock_Log[Part Name],$A41,T_SelfStock_Log[WeekIndex],22)=0,"",SUMIFS(T_SelfStock_Log[Self_Qty],T_SelfStock_Log[Part Name],$A41,T_SelfStock_Log[WeekIndex],22))</f>
        <v/>
      </c>
      <c r="X41" s="13">
        <f>IF(COUNTIFS(T_SelfStock_Log[Part Name],$A41,T_SelfStock_Log[WeekIndex],23)=0,"",SUMIFS(T_SelfStock_Log[Self_Qty],T_SelfStock_Log[Part Name],$A41,T_SelfStock_Log[WeekIndex],23))</f>
        <v/>
      </c>
      <c r="Y41" s="13">
        <f>IF(COUNTIFS(T_SelfStock_Log[Part Name],$A41,T_SelfStock_Log[WeekIndex],24)=0,"",SUMIFS(T_SelfStock_Log[Self_Qty],T_SelfStock_Log[Part Name],$A41,T_SelfStock_Log[WeekIndex],24))</f>
        <v/>
      </c>
      <c r="Z41" s="13">
        <f>IF(COUNTIFS(T_SelfStock_Log[Part Name],$A41,T_SelfStock_Log[WeekIndex],25)=0,"",SUMIFS(T_SelfStock_Log[Self_Qty],T_SelfStock_Log[Part Name],$A41,T_SelfStock_Log[WeekIndex],25))</f>
        <v/>
      </c>
      <c r="AA41" s="13">
        <f>IF(COUNTIFS(T_SelfStock_Log[Part Name],$A41,T_SelfStock_Log[WeekIndex],26)=0,"",SUMIFS(T_SelfStock_Log[Self_Qty],T_SelfStock_Log[Part Name],$A41,T_SelfStock_Log[WeekIndex],26))</f>
        <v/>
      </c>
      <c r="AB41" s="13">
        <f>IF(COUNTIFS(T_SelfStock_Log[Part Name],$A41,T_SelfStock_Log[WeekIndex],27)=0,"",SUMIFS(T_SelfStock_Log[Self_Qty],T_SelfStock_Log[Part Name],$A41,T_SelfStock_Log[WeekIndex],27))</f>
        <v/>
      </c>
      <c r="AC41" s="13">
        <f>IF(COUNTIFS(T_SelfStock_Log[Part Name],$A41,T_SelfStock_Log[WeekIndex],28)=0,"",SUMIFS(T_SelfStock_Log[Self_Qty],T_SelfStock_Log[Part Name],$A41,T_SelfStock_Log[WeekIndex],28))</f>
        <v/>
      </c>
      <c r="AD41" s="13">
        <f>IF(COUNTIFS(T_SelfStock_Log[Part Name],$A41,T_SelfStock_Log[WeekIndex],29)=0,"",SUMIFS(T_SelfStock_Log[Self_Qty],T_SelfStock_Log[Part Name],$A41,T_SelfStock_Log[WeekIndex],29))</f>
        <v/>
      </c>
      <c r="AE41" s="13">
        <f>IF(COUNTIFS(T_SelfStock_Log[Part Name],$A41,T_SelfStock_Log[WeekIndex],30)=0,"",SUMIFS(T_SelfStock_Log[Self_Qty],T_SelfStock_Log[Part Name],$A41,T_SelfStock_Log[WeekIndex],30))</f>
        <v/>
      </c>
      <c r="AF41" s="13">
        <f>IF(COUNTIFS(T_SelfStock_Log[Part Name],$A41,T_SelfStock_Log[WeekIndex],31)=0,"",SUMIFS(T_SelfStock_Log[Self_Qty],T_SelfStock_Log[Part Name],$A41,T_SelfStock_Log[WeekIndex],31))</f>
        <v/>
      </c>
      <c r="AG41" s="13">
        <f>IF(COUNTIFS(T_SelfStock_Log[Part Name],$A41,T_SelfStock_Log[WeekIndex],32)=0,"",SUMIFS(T_SelfStock_Log[Self_Qty],T_SelfStock_Log[Part Name],$A41,T_SelfStock_Log[WeekIndex],32))</f>
        <v/>
      </c>
      <c r="AH41" s="13">
        <f>IF(COUNTIFS(T_SelfStock_Log[Part Name],$A41,T_SelfStock_Log[WeekIndex],33)=0,"",SUMIFS(T_SelfStock_Log[Self_Qty],T_SelfStock_Log[Part Name],$A41,T_SelfStock_Log[WeekIndex],33))</f>
        <v/>
      </c>
      <c r="AI41" s="13">
        <f>IF(COUNTIFS(T_SelfStock_Log[Part Name],$A41,T_SelfStock_Log[WeekIndex],34)=0,"",SUMIFS(T_SelfStock_Log[Self_Qty],T_SelfStock_Log[Part Name],$A41,T_SelfStock_Log[WeekIndex],34))</f>
        <v/>
      </c>
      <c r="AJ41" s="13">
        <f>IF(COUNTIFS(T_SelfStock_Log[Part Name],$A41,T_SelfStock_Log[WeekIndex],35)=0,"",SUMIFS(T_SelfStock_Log[Self_Qty],T_SelfStock_Log[Part Name],$A41,T_SelfStock_Log[WeekIndex],35))</f>
        <v/>
      </c>
      <c r="AK41" s="13">
        <f>IF(COUNTIFS(T_SelfStock_Log[Part Name],$A41,T_SelfStock_Log[WeekIndex],36)=0,"",SUMIFS(T_SelfStock_Log[Self_Qty],T_SelfStock_Log[Part Name],$A41,T_SelfStock_Log[WeekIndex],36))</f>
        <v/>
      </c>
      <c r="AL41" s="13">
        <f>IF(COUNTIFS(T_SelfStock_Log[Part Name],$A41,T_SelfStock_Log[WeekIndex],37)=0,"",SUMIFS(T_SelfStock_Log[Self_Qty],T_SelfStock_Log[Part Name],$A41,T_SelfStock_Log[WeekIndex],37))</f>
        <v/>
      </c>
      <c r="AM41" s="13">
        <f>IF(COUNTIFS(T_SelfStock_Log[Part Name],$A41,T_SelfStock_Log[WeekIndex],38)=0,"",SUMIFS(T_SelfStock_Log[Self_Qty],T_SelfStock_Log[Part Name],$A41,T_SelfStock_Log[WeekIndex],38))</f>
        <v/>
      </c>
      <c r="AN41" s="13">
        <f>IF(COUNTIFS(T_SelfStock_Log[Part Name],$A41,T_SelfStock_Log[WeekIndex],39)=0,"",SUMIFS(T_SelfStock_Log[Self_Qty],T_SelfStock_Log[Part Name],$A41,T_SelfStock_Log[WeekIndex],39))</f>
        <v/>
      </c>
      <c r="AO41" s="13">
        <f>IF(COUNTIFS(T_SelfStock_Log[Part Name],$A41,T_SelfStock_Log[WeekIndex],40)=0,"",SUMIFS(T_SelfStock_Log[Self_Qty],T_SelfStock_Log[Part Name],$A41,T_SelfStock_Log[WeekIndex],40))</f>
        <v/>
      </c>
      <c r="AP41" s="13">
        <f>IF(COUNTIFS(T_SelfStock_Log[Part Name],$A41,T_SelfStock_Log[WeekIndex],41)=0,"",SUMIFS(T_SelfStock_Log[Self_Qty],T_SelfStock_Log[Part Name],$A41,T_SelfStock_Log[WeekIndex],41))</f>
        <v/>
      </c>
      <c r="AQ41" s="13">
        <f>IF(COUNTIFS(T_SelfStock_Log[Part Name],$A41,T_SelfStock_Log[WeekIndex],42)=0,"",SUMIFS(T_SelfStock_Log[Self_Qty],T_SelfStock_Log[Part Name],$A41,T_SelfStock_Log[WeekIndex],42))</f>
        <v/>
      </c>
      <c r="AR41" s="13">
        <f>IF(COUNTIFS(T_SelfStock_Log[Part Name],$A41,T_SelfStock_Log[WeekIndex],43)=0,"",SUMIFS(T_SelfStock_Log[Self_Qty],T_SelfStock_Log[Part Name],$A41,T_SelfStock_Log[WeekIndex],43))</f>
        <v/>
      </c>
      <c r="AS41" s="13">
        <f>IF(COUNTIFS(T_SelfStock_Log[Part Name],$A41,T_SelfStock_Log[WeekIndex],44)=0,"",SUMIFS(T_SelfStock_Log[Self_Qty],T_SelfStock_Log[Part Name],$A41,T_SelfStock_Log[WeekIndex],44))</f>
        <v/>
      </c>
      <c r="AT41" s="13">
        <f>IF(COUNTIFS(T_SelfStock_Log[Part Name],$A41,T_SelfStock_Log[WeekIndex],45)=0,"",SUMIFS(T_SelfStock_Log[Self_Qty],T_SelfStock_Log[Part Name],$A41,T_SelfStock_Log[WeekIndex],45))</f>
        <v/>
      </c>
      <c r="AU41" s="13">
        <f>IF(COUNTIFS(T_SelfStock_Log[Part Name],$A41,T_SelfStock_Log[WeekIndex],46)=0,"",SUMIFS(T_SelfStock_Log[Self_Qty],T_SelfStock_Log[Part Name],$A41,T_SelfStock_Log[WeekIndex],46))</f>
        <v/>
      </c>
      <c r="AV41" s="13">
        <f>IF(COUNTIFS(T_SelfStock_Log[Part Name],$A41,T_SelfStock_Log[WeekIndex],47)=0,"",SUMIFS(T_SelfStock_Log[Self_Qty],T_SelfStock_Log[Part Name],$A41,T_SelfStock_Log[WeekIndex],47))</f>
        <v/>
      </c>
      <c r="AW41" s="13">
        <f>IF(COUNTIFS(T_SelfStock_Log[Part Name],$A41,T_SelfStock_Log[WeekIndex],48)=0,"",SUMIFS(T_SelfStock_Log[Self_Qty],T_SelfStock_Log[Part Name],$A41,T_SelfStock_Log[WeekIndex],48))</f>
        <v/>
      </c>
      <c r="AX41" s="13">
        <f>IF(COUNTIFS(T_SelfStock_Log[Part Name],$A41,T_SelfStock_Log[WeekIndex],49)=0,"",SUMIFS(T_SelfStock_Log[Self_Qty],T_SelfStock_Log[Part Name],$A41,T_SelfStock_Log[WeekIndex],49))</f>
        <v/>
      </c>
      <c r="AY41" s="13">
        <f>IF(COUNTIFS(T_SelfStock_Log[Part Name],$A41,T_SelfStock_Log[WeekIndex],50)=0,"",SUMIFS(T_SelfStock_Log[Self_Qty],T_SelfStock_Log[Part Name],$A41,T_SelfStock_Log[WeekIndex],50))</f>
        <v/>
      </c>
      <c r="AZ41" s="13">
        <f>IF(COUNTIFS(T_SelfStock_Log[Part Name],$A41,T_SelfStock_Log[WeekIndex],51)=0,"",SUMIFS(T_SelfStock_Log[Self_Qty],T_SelfStock_Log[Part Name],$A41,T_SelfStock_Log[WeekIndex],51))</f>
        <v/>
      </c>
      <c r="BA41" s="13">
        <f>IF(COUNTIFS(T_SelfStock_Log[Part Name],$A41,T_SelfStock_Log[WeekIndex],52)=0,"",SUMIFS(T_SelfStock_Log[Self_Qty],T_SelfStock_Log[Part Name],$A41,T_SelfStock_Log[WeekIndex],52))</f>
        <v/>
      </c>
      <c r="BB41" s="13">
        <f>IF(COUNTIFS(T_SelfStock_Log[Part Name],$A41,T_SelfStock_Log[WeekIndex],53)=0,"",SUMIFS(T_SelfStock_Log[Self_Qty],T_SelfStock_Log[Part Name],$A41,T_SelfStock_Log[WeekIndex],53))</f>
        <v/>
      </c>
      <c r="BC41" s="13">
        <f>IF(COUNTIFS(T_SelfStock_Log[Part Name],$A41,T_SelfStock_Log[WeekIndex],54)=0,"",SUMIFS(T_SelfStock_Log[Self_Qty],T_SelfStock_Log[Part Name],$A41,T_SelfStock_Log[WeekIndex],54))</f>
        <v/>
      </c>
      <c r="BD41" s="13">
        <f>IF(COUNTIFS(T_SelfStock_Log[Part Name],$A41,T_SelfStock_Log[WeekIndex],55)=0,"",SUMIFS(T_SelfStock_Log[Self_Qty],T_SelfStock_Log[Part Name],$A41,T_SelfStock_Log[WeekIndex],55))</f>
        <v/>
      </c>
      <c r="BE41" s="13">
        <f>IF(COUNTIFS(T_SelfStock_Log[Part Name],$A41,T_SelfStock_Log[WeekIndex],56)=0,"",SUMIFS(T_SelfStock_Log[Self_Qty],T_SelfStock_Log[Part Name],$A41,T_SelfStock_Log[WeekIndex],56))</f>
        <v/>
      </c>
      <c r="BF41" s="13">
        <f>IF(COUNTIFS(T_SelfStock_Log[Part Name],$A41,T_SelfStock_Log[WeekIndex],57)=0,"",SUMIFS(T_SelfStock_Log[Self_Qty],T_SelfStock_Log[Part Name],$A41,T_SelfStock_Log[WeekIndex],57))</f>
        <v/>
      </c>
      <c r="BG41" s="13">
        <f>IF(COUNTIFS(T_SelfStock_Log[Part Name],$A41,T_SelfStock_Log[WeekIndex],58)=0,"",SUMIFS(T_SelfStock_Log[Self_Qty],T_SelfStock_Log[Part Name],$A41,T_SelfStock_Log[WeekIndex],58))</f>
        <v/>
      </c>
      <c r="BH41" s="13">
        <f>IF(COUNTIFS(T_SelfStock_Log[Part Name],$A41,T_SelfStock_Log[WeekIndex],59)=0,"",SUMIFS(T_SelfStock_Log[Self_Qty],T_SelfStock_Log[Part Name],$A41,T_SelfStock_Log[WeekIndex],59))</f>
        <v/>
      </c>
      <c r="BI41" s="13">
        <f>IF(COUNTIFS(T_SelfStock_Log[Part Name],$A41,T_SelfStock_Log[WeekIndex],60)=0,"",SUMIFS(T_SelfStock_Log[Self_Qty],T_SelfStock_Log[Part Name],$A41,T_SelfStock_Log[WeekIndex],60))</f>
        <v/>
      </c>
      <c r="BJ41" s="13">
        <f>IF(COUNTIFS(T_SelfStock_Log[Part Name],$A41,T_SelfStock_Log[WeekIndex],61)=0,"",SUMIFS(T_SelfStock_Log[Self_Qty],T_SelfStock_Log[Part Name],$A41,T_SelfStock_Log[WeekIndex],61))</f>
        <v/>
      </c>
      <c r="BK41" s="13">
        <f>IF(COUNTIFS(T_SelfStock_Log[Part Name],$A41,T_SelfStock_Log[WeekIndex],62)=0,"",SUMIFS(T_SelfStock_Log[Self_Qty],T_SelfStock_Log[Part Name],$A41,T_SelfStock_Log[WeekIndex],62))</f>
        <v/>
      </c>
      <c r="BL41" s="13">
        <f>IF(COUNTIFS(T_SelfStock_Log[Part Name],$A41,T_SelfStock_Log[WeekIndex],63)=0,"",SUMIFS(T_SelfStock_Log[Self_Qty],T_SelfStock_Log[Part Name],$A41,T_SelfStock_Log[WeekIndex],63))</f>
        <v/>
      </c>
      <c r="BM41" s="13">
        <f>IF(COUNTIFS(T_SelfStock_Log[Part Name],$A41,T_SelfStock_Log[WeekIndex],64)=0,"",SUMIFS(T_SelfStock_Log[Self_Qty],T_SelfStock_Log[Part Name],$A41,T_SelfStock_Log[WeekIndex],64))</f>
        <v/>
      </c>
      <c r="BN41" s="13">
        <f>IF(COUNTIFS(T_SelfStock_Log[Part Name],$A41,T_SelfStock_Log[WeekIndex],65)=0,"",SUMIFS(T_SelfStock_Log[Self_Qty],T_SelfStock_Log[Part Name],$A41,T_SelfStock_Log[WeekIndex],65))</f>
        <v/>
      </c>
      <c r="BO41" s="13">
        <f>IF(COUNTIFS(T_SelfStock_Log[Part Name],$A41,T_SelfStock_Log[WeekIndex],66)=0,"",SUMIFS(T_SelfStock_Log[Self_Qty],T_SelfStock_Log[Part Name],$A41,T_SelfStock_Log[WeekIndex],66))</f>
        <v/>
      </c>
      <c r="BP41" s="13">
        <f>IF(COUNTIFS(T_SelfStock_Log[Part Name],$A41,T_SelfStock_Log[WeekIndex],67)=0,"",SUMIFS(T_SelfStock_Log[Self_Qty],T_SelfStock_Log[Part Name],$A41,T_SelfStock_Log[WeekIndex],67))</f>
        <v/>
      </c>
      <c r="BQ41" s="13">
        <f>IF(COUNTIFS(T_SelfStock_Log[Part Name],$A41,T_SelfStock_Log[WeekIndex],68)=0,"",SUMIFS(T_SelfStock_Log[Self_Qty],T_SelfStock_Log[Part Name],$A41,T_SelfStock_Log[WeekIndex],68))</f>
        <v/>
      </c>
      <c r="BR41" s="13">
        <f>IF(COUNTIFS(T_SelfStock_Log[Part Name],$A41,T_SelfStock_Log[WeekIndex],69)=0,"",SUMIFS(T_SelfStock_Log[Self_Qty],T_SelfStock_Log[Part Name],$A41,T_SelfStock_Log[WeekIndex],69))</f>
        <v/>
      </c>
      <c r="BS41" s="13">
        <f>IF(COUNTIFS(T_SelfStock_Log[Part Name],$A41,T_SelfStock_Log[WeekIndex],70)=0,"",SUMIFS(T_SelfStock_Log[Self_Qty],T_SelfStock_Log[Part Name],$A41,T_SelfStock_Log[WeekIndex],70))</f>
        <v/>
      </c>
      <c r="BT41" s="13">
        <f>IF(COUNTIFS(T_SelfStock_Log[Part Name],$A41,T_SelfStock_Log[WeekIndex],71)=0,"",SUMIFS(T_SelfStock_Log[Self_Qty],T_SelfStock_Log[Part Name],$A41,T_SelfStock_Log[WeekIndex],71))</f>
        <v/>
      </c>
      <c r="BU41" s="13">
        <f>IF(COUNTIFS(T_SelfStock_Log[Part Name],$A41,T_SelfStock_Log[WeekIndex],72)=0,"",SUMIFS(T_SelfStock_Log[Self_Qty],T_SelfStock_Log[Part Name],$A41,T_SelfStock_Log[WeekIndex],72))</f>
        <v/>
      </c>
      <c r="BV41" s="13">
        <f>IF(COUNTIFS(T_SelfStock_Log[Part Name],$A41,T_SelfStock_Log[WeekIndex],73)=0,"",SUMIFS(T_SelfStock_Log[Self_Qty],T_SelfStock_Log[Part Name],$A41,T_SelfStock_Log[WeekIndex],73))</f>
        <v/>
      </c>
      <c r="BW41" s="13">
        <f>IF(COUNTIFS(T_SelfStock_Log[Part Name],$A41,T_SelfStock_Log[WeekIndex],74)=0,"",SUMIFS(T_SelfStock_Log[Self_Qty],T_SelfStock_Log[Part Name],$A41,T_SelfStock_Log[WeekIndex],74))</f>
        <v/>
      </c>
      <c r="BX41" s="13">
        <f>IF(COUNTIFS(T_SelfStock_Log[Part Name],$A41,T_SelfStock_Log[WeekIndex],75)=0,"",SUMIFS(T_SelfStock_Log[Self_Qty],T_SelfStock_Log[Part Name],$A41,T_SelfStock_Log[WeekIndex],75))</f>
        <v/>
      </c>
      <c r="BY41" s="13">
        <f>IF(COUNTIFS(T_SelfStock_Log[Part Name],$A41,T_SelfStock_Log[WeekIndex],76)=0,"",SUMIFS(T_SelfStock_Log[Self_Qty],T_SelfStock_Log[Part Name],$A41,T_SelfStock_Log[WeekIndex],76))</f>
        <v/>
      </c>
      <c r="BZ41" s="13">
        <f>IF(COUNTIFS(T_SelfStock_Log[Part Name],$A41,T_SelfStock_Log[WeekIndex],77)=0,"",SUMIFS(T_SelfStock_Log[Self_Qty],T_SelfStock_Log[Part Name],$A41,T_SelfStock_Log[WeekIndex],77))</f>
        <v/>
      </c>
      <c r="CA41" s="13">
        <f>IF(COUNTIFS(T_SelfStock_Log[Part Name],$A41,T_SelfStock_Log[WeekIndex],78)=0,"",SUMIFS(T_SelfStock_Log[Self_Qty],T_SelfStock_Log[Part Name],$A41,T_SelfStock_Log[WeekIndex],78))</f>
        <v/>
      </c>
      <c r="CB41" s="13">
        <f>IF(COUNTIFS(T_SelfStock_Log[Part Name],$A41,T_SelfStock_Log[WeekIndex],79)=0,"",SUMIFS(T_SelfStock_Log[Self_Qty],T_SelfStock_Log[Part Name],$A41,T_SelfStock_Log[WeekIndex],79))</f>
        <v/>
      </c>
      <c r="CC41" s="13">
        <f>IF(COUNTIFS(T_SelfStock_Log[Part Name],$A41,T_SelfStock_Log[WeekIndex],80)=0,"",SUMIFS(T_SelfStock_Log[Self_Qty],T_SelfStock_Log[Part Name],$A41,T_SelfStock_Log[WeekIndex],80))</f>
        <v/>
      </c>
      <c r="CD41" s="13">
        <f>IF(COUNTIFS(T_SelfStock_Log[Part Name],$A41,T_SelfStock_Log[WeekIndex],81)=0,"",SUMIFS(T_SelfStock_Log[Self_Qty],T_SelfStock_Log[Part Name],$A41,T_SelfStock_Log[WeekIndex],81))</f>
        <v/>
      </c>
      <c r="CE41" s="13">
        <f>IF(COUNTIFS(T_SelfStock_Log[Part Name],$A41,T_SelfStock_Log[WeekIndex],82)=0,"",SUMIFS(T_SelfStock_Log[Self_Qty],T_SelfStock_Log[Part Name],$A41,T_SelfStock_Log[WeekIndex],82))</f>
        <v/>
      </c>
      <c r="CF41" s="13">
        <f>IF(COUNTIFS(T_SelfStock_Log[Part Name],$A41,T_SelfStock_Log[WeekIndex],83)=0,"",SUMIFS(T_SelfStock_Log[Self_Qty],T_SelfStock_Log[Part Name],$A41,T_SelfStock_Log[WeekIndex],83))</f>
        <v/>
      </c>
      <c r="CG41" s="13">
        <f>IF(COUNTIFS(T_SelfStock_Log[Part Name],$A41,T_SelfStock_Log[WeekIndex],84)=0,"",SUMIFS(T_SelfStock_Log[Self_Qty],T_SelfStock_Log[Part Name],$A41,T_SelfStock_Log[WeekIndex],84))</f>
        <v/>
      </c>
      <c r="CH41" s="13">
        <f>IF(COUNTIFS(T_SelfStock_Log[Part Name],$A41,T_SelfStock_Log[WeekIndex],85)=0,"",SUMIFS(T_SelfStock_Log[Self_Qty],T_SelfStock_Log[Part Name],$A41,T_SelfStock_Log[WeekIndex],85))</f>
        <v/>
      </c>
      <c r="CI41" s="13">
        <f>IF(COUNTIFS(T_SelfStock_Log[Part Name],$A41,T_SelfStock_Log[WeekIndex],86)=0,"",SUMIFS(T_SelfStock_Log[Self_Qty],T_SelfStock_Log[Part Name],$A41,T_SelfStock_Log[WeekIndex],86))</f>
        <v/>
      </c>
      <c r="CJ41" s="13">
        <f>IF(COUNTIFS(T_SelfStock_Log[Part Name],$A41,T_SelfStock_Log[WeekIndex],87)=0,"",SUMIFS(T_SelfStock_Log[Self_Qty],T_SelfStock_Log[Part Name],$A41,T_SelfStock_Log[WeekIndex],87))</f>
        <v/>
      </c>
      <c r="CK41" s="13">
        <f>IF(COUNTIFS(T_SelfStock_Log[Part Name],$A41,T_SelfStock_Log[WeekIndex],88)=0,"",SUMIFS(T_SelfStock_Log[Self_Qty],T_SelfStock_Log[Part Name],$A41,T_SelfStock_Log[WeekIndex],88))</f>
        <v/>
      </c>
      <c r="CL41" s="13">
        <f>IF(COUNTIFS(T_SelfStock_Log[Part Name],$A41,T_SelfStock_Log[WeekIndex],89)=0,"",SUMIFS(T_SelfStock_Log[Self_Qty],T_SelfStock_Log[Part Name],$A41,T_SelfStock_Log[WeekIndex],89))</f>
        <v/>
      </c>
      <c r="CM41" s="13">
        <f>IF(COUNTIFS(T_SelfStock_Log[Part Name],$A41,T_SelfStock_Log[WeekIndex],90)=0,"",SUMIFS(T_SelfStock_Log[Self_Qty],T_SelfStock_Log[Part Name],$A41,T_SelfStock_Log[WeekIndex],90))</f>
        <v/>
      </c>
      <c r="CN41" s="13">
        <f>IF(COUNTIFS(T_SelfStock_Log[Part Name],$A41,T_SelfStock_Log[WeekIndex],91)=0,"",SUMIFS(T_SelfStock_Log[Self_Qty],T_SelfStock_Log[Part Name],$A41,T_SelfStock_Log[WeekIndex],91))</f>
        <v/>
      </c>
      <c r="CO41" s="13">
        <f>IF(COUNTIFS(T_SelfStock_Log[Part Name],$A41,T_SelfStock_Log[WeekIndex],92)=0,"",SUMIFS(T_SelfStock_Log[Self_Qty],T_SelfStock_Log[Part Name],$A41,T_SelfStock_Log[WeekIndex],92))</f>
        <v/>
      </c>
      <c r="CP41" s="13">
        <f>IF(COUNTIFS(T_SelfStock_Log[Part Name],$A41,T_SelfStock_Log[WeekIndex],93)=0,"",SUMIFS(T_SelfStock_Log[Self_Qty],T_SelfStock_Log[Part Name],$A41,T_SelfStock_Log[WeekIndex],93))</f>
        <v/>
      </c>
      <c r="CQ41" s="13">
        <f>IF(COUNTIFS(T_SelfStock_Log[Part Name],$A41,T_SelfStock_Log[WeekIndex],94)=0,"",SUMIFS(T_SelfStock_Log[Self_Qty],T_SelfStock_Log[Part Name],$A41,T_SelfStock_Log[WeekIndex],94))</f>
        <v/>
      </c>
      <c r="CR41" s="13">
        <f>IF(COUNTIFS(T_SelfStock_Log[Part Name],$A41,T_SelfStock_Log[WeekIndex],95)=0,"",SUMIFS(T_SelfStock_Log[Self_Qty],T_SelfStock_Log[Part Name],$A41,T_SelfStock_Log[WeekIndex],95))</f>
        <v/>
      </c>
      <c r="CS41" s="13">
        <f>IF(COUNTIFS(T_SelfStock_Log[Part Name],$A41,T_SelfStock_Log[WeekIndex],96)=0,"",SUMIFS(T_SelfStock_Log[Self_Qty],T_SelfStock_Log[Part Name],$A41,T_SelfStock_Log[WeekIndex],96))</f>
        <v/>
      </c>
      <c r="CT41" s="13">
        <f>IF(COUNTIFS(T_SelfStock_Log[Part Name],$A41,T_SelfStock_Log[WeekIndex],97)=0,"",SUMIFS(T_SelfStock_Log[Self_Qty],T_SelfStock_Log[Part Name],$A41,T_SelfStock_Log[WeekIndex],97))</f>
        <v/>
      </c>
      <c r="CU41" s="13">
        <f>IF(COUNTIFS(T_SelfStock_Log[Part Name],$A41,T_SelfStock_Log[WeekIndex],98)=0,"",SUMIFS(T_SelfStock_Log[Self_Qty],T_SelfStock_Log[Part Name],$A41,T_SelfStock_Log[WeekIndex],98))</f>
        <v/>
      </c>
      <c r="CV41" s="13">
        <f>IF(COUNTIFS(T_SelfStock_Log[Part Name],$A41,T_SelfStock_Log[WeekIndex],99)=0,"",SUMIFS(T_SelfStock_Log[Self_Qty],T_SelfStock_Log[Part Name],$A41,T_SelfStock_Log[WeekIndex],99))</f>
        <v/>
      </c>
      <c r="CW41" s="13">
        <f>IF(COUNTIFS(T_SelfStock_Log[Part Name],$A41,T_SelfStock_Log[WeekIndex],100)=0,"",SUMIFS(T_SelfStock_Log[Self_Qty],T_SelfStock_Log[Part Name],$A41,T_SelfStock_Log[WeekIndex],100))</f>
        <v/>
      </c>
      <c r="CX41" s="13">
        <f>IF(COUNTIFS(T_SelfStock_Log[Part Name],$A41,T_SelfStock_Log[WeekIndex],101)=0,"",SUMIFS(T_SelfStock_Log[Self_Qty],T_SelfStock_Log[Part Name],$A41,T_SelfStock_Log[WeekIndex],101))</f>
        <v/>
      </c>
      <c r="CY41" s="13">
        <f>IF(COUNTIFS(T_SelfStock_Log[Part Name],$A41,T_SelfStock_Log[WeekIndex],102)=0,"",SUMIFS(T_SelfStock_Log[Self_Qty],T_SelfStock_Log[Part Name],$A41,T_SelfStock_Log[WeekIndex],102))</f>
        <v/>
      </c>
      <c r="CZ41" s="13">
        <f>IF(COUNTIFS(T_SelfStock_Log[Part Name],$A41,T_SelfStock_Log[WeekIndex],103)=0,"",SUMIFS(T_SelfStock_Log[Self_Qty],T_SelfStock_Log[Part Name],$A41,T_SelfStock_Log[WeekIndex],103))</f>
        <v/>
      </c>
      <c r="DA41" s="13">
        <f>IF(COUNTIFS(T_SelfStock_Log[Part Name],$A41,T_SelfStock_Log[WeekIndex],104)=0,"",SUMIFS(T_SelfStock_Log[Self_Qty],T_SelfStock_Log[Part Name],$A41,T_SelfStock_Log[WeekIndex],104))</f>
        <v/>
      </c>
    </row>
    <row r="42">
      <c r="A42" s="12" t="inlineStr">
        <is>
          <t>Ester Film</t>
        </is>
      </c>
      <c r="B42" s="12">
        <f>IF(COUNTIFS(T_SelfStock_Log[Part Name],$A42,T_SelfStock_Log[WeekIndex],1)=0,"",SUMIFS(T_SelfStock_Log[Self_Qty],T_SelfStock_Log[Part Name],$A42,T_SelfStock_Log[WeekIndex],1))</f>
        <v/>
      </c>
      <c r="C42" s="12">
        <f>IF(COUNTIFS(T_SelfStock_Log[Part Name],$A42,T_SelfStock_Log[WeekIndex],2)=0,"",SUMIFS(T_SelfStock_Log[Self_Qty],T_SelfStock_Log[Part Name],$A42,T_SelfStock_Log[WeekIndex],2))</f>
        <v/>
      </c>
      <c r="D42" s="12">
        <f>IF(COUNTIFS(T_SelfStock_Log[Part Name],$A42,T_SelfStock_Log[WeekIndex],3)=0,"",SUMIFS(T_SelfStock_Log[Self_Qty],T_SelfStock_Log[Part Name],$A42,T_SelfStock_Log[WeekIndex],3))</f>
        <v/>
      </c>
      <c r="E42" s="12">
        <f>IF(COUNTIFS(T_SelfStock_Log[Part Name],$A42,T_SelfStock_Log[WeekIndex],4)=0,"",SUMIFS(T_SelfStock_Log[Self_Qty],T_SelfStock_Log[Part Name],$A42,T_SelfStock_Log[WeekIndex],4))</f>
        <v/>
      </c>
      <c r="F42" s="12">
        <f>IF(COUNTIFS(T_SelfStock_Log[Part Name],$A42,T_SelfStock_Log[WeekIndex],5)=0,"",SUMIFS(T_SelfStock_Log[Self_Qty],T_SelfStock_Log[Part Name],$A42,T_SelfStock_Log[WeekIndex],5))</f>
        <v/>
      </c>
      <c r="G42" s="12">
        <f>IF(COUNTIFS(T_SelfStock_Log[Part Name],$A42,T_SelfStock_Log[WeekIndex],6)=0,"",SUMIFS(T_SelfStock_Log[Self_Qty],T_SelfStock_Log[Part Name],$A42,T_SelfStock_Log[WeekIndex],6))</f>
        <v/>
      </c>
      <c r="H42" s="12">
        <f>IF(COUNTIFS(T_SelfStock_Log[Part Name],$A42,T_SelfStock_Log[WeekIndex],7)=0,"",SUMIFS(T_SelfStock_Log[Self_Qty],T_SelfStock_Log[Part Name],$A42,T_SelfStock_Log[WeekIndex],7))</f>
        <v/>
      </c>
      <c r="I42" s="12">
        <f>IF(COUNTIFS(T_SelfStock_Log[Part Name],$A42,T_SelfStock_Log[WeekIndex],8)=0,"",SUMIFS(T_SelfStock_Log[Self_Qty],T_SelfStock_Log[Part Name],$A42,T_SelfStock_Log[WeekIndex],8))</f>
        <v/>
      </c>
      <c r="J42" s="12">
        <f>IF(COUNTIFS(T_SelfStock_Log[Part Name],$A42,T_SelfStock_Log[WeekIndex],9)=0,"",SUMIFS(T_SelfStock_Log[Self_Qty],T_SelfStock_Log[Part Name],$A42,T_SelfStock_Log[WeekIndex],9))</f>
        <v/>
      </c>
      <c r="K42" s="12">
        <f>IF(COUNTIFS(T_SelfStock_Log[Part Name],$A42,T_SelfStock_Log[WeekIndex],10)=0,"",SUMIFS(T_SelfStock_Log[Self_Qty],T_SelfStock_Log[Part Name],$A42,T_SelfStock_Log[WeekIndex],10))</f>
        <v/>
      </c>
      <c r="L42" s="12">
        <f>IF(COUNTIFS(T_SelfStock_Log[Part Name],$A42,T_SelfStock_Log[WeekIndex],11)=0,"",SUMIFS(T_SelfStock_Log[Self_Qty],T_SelfStock_Log[Part Name],$A42,T_SelfStock_Log[WeekIndex],11))</f>
        <v/>
      </c>
      <c r="M42" s="12">
        <f>IF(COUNTIFS(T_SelfStock_Log[Part Name],$A42,T_SelfStock_Log[WeekIndex],12)=0,"",SUMIFS(T_SelfStock_Log[Self_Qty],T_SelfStock_Log[Part Name],$A42,T_SelfStock_Log[WeekIndex],12))</f>
        <v/>
      </c>
      <c r="N42" s="12">
        <f>IF(COUNTIFS(T_SelfStock_Log[Part Name],$A42,T_SelfStock_Log[WeekIndex],13)=0,"",SUMIFS(T_SelfStock_Log[Self_Qty],T_SelfStock_Log[Part Name],$A42,T_SelfStock_Log[WeekIndex],13))</f>
        <v/>
      </c>
      <c r="O42" s="12">
        <f>IF(COUNTIFS(T_SelfStock_Log[Part Name],$A42,T_SelfStock_Log[WeekIndex],14)=0,"",SUMIFS(T_SelfStock_Log[Self_Qty],T_SelfStock_Log[Part Name],$A42,T_SelfStock_Log[WeekIndex],14))</f>
        <v/>
      </c>
      <c r="P42" s="12">
        <f>IF(COUNTIFS(T_SelfStock_Log[Part Name],$A42,T_SelfStock_Log[WeekIndex],15)=0,"",SUMIFS(T_SelfStock_Log[Self_Qty],T_SelfStock_Log[Part Name],$A42,T_SelfStock_Log[WeekIndex],15))</f>
        <v/>
      </c>
      <c r="Q42" s="12">
        <f>IF(COUNTIFS(T_SelfStock_Log[Part Name],$A42,T_SelfStock_Log[WeekIndex],16)=0,"",SUMIFS(T_SelfStock_Log[Self_Qty],T_SelfStock_Log[Part Name],$A42,T_SelfStock_Log[WeekIndex],16))</f>
        <v/>
      </c>
      <c r="R42" s="12">
        <f>IF(COUNTIFS(T_SelfStock_Log[Part Name],$A42,T_SelfStock_Log[WeekIndex],17)=0,"",SUMIFS(T_SelfStock_Log[Self_Qty],T_SelfStock_Log[Part Name],$A42,T_SelfStock_Log[WeekIndex],17))</f>
        <v/>
      </c>
      <c r="S42" s="12">
        <f>IF(COUNTIFS(T_SelfStock_Log[Part Name],$A42,T_SelfStock_Log[WeekIndex],18)=0,"",SUMIFS(T_SelfStock_Log[Self_Qty],T_SelfStock_Log[Part Name],$A42,T_SelfStock_Log[WeekIndex],18))</f>
        <v/>
      </c>
      <c r="T42" s="12">
        <f>IF(COUNTIFS(T_SelfStock_Log[Part Name],$A42,T_SelfStock_Log[WeekIndex],19)=0,"",SUMIFS(T_SelfStock_Log[Self_Qty],T_SelfStock_Log[Part Name],$A42,T_SelfStock_Log[WeekIndex],19))</f>
        <v/>
      </c>
      <c r="U42" s="12">
        <f>IF(COUNTIFS(T_SelfStock_Log[Part Name],$A42,T_SelfStock_Log[WeekIndex],20)=0,"",SUMIFS(T_SelfStock_Log[Self_Qty],T_SelfStock_Log[Part Name],$A42,T_SelfStock_Log[WeekIndex],20))</f>
        <v/>
      </c>
      <c r="V42" s="12">
        <f>IF(COUNTIFS(T_SelfStock_Log[Part Name],$A42,T_SelfStock_Log[WeekIndex],21)=0,"",SUMIFS(T_SelfStock_Log[Self_Qty],T_SelfStock_Log[Part Name],$A42,T_SelfStock_Log[WeekIndex],21))</f>
        <v/>
      </c>
      <c r="W42" s="12">
        <f>IF(COUNTIFS(T_SelfStock_Log[Part Name],$A42,T_SelfStock_Log[WeekIndex],22)=0,"",SUMIFS(T_SelfStock_Log[Self_Qty],T_SelfStock_Log[Part Name],$A42,T_SelfStock_Log[WeekIndex],22))</f>
        <v/>
      </c>
      <c r="X42" s="12">
        <f>IF(COUNTIFS(T_SelfStock_Log[Part Name],$A42,T_SelfStock_Log[WeekIndex],23)=0,"",SUMIFS(T_SelfStock_Log[Self_Qty],T_SelfStock_Log[Part Name],$A42,T_SelfStock_Log[WeekIndex],23))</f>
        <v/>
      </c>
      <c r="Y42" s="12">
        <f>IF(COUNTIFS(T_SelfStock_Log[Part Name],$A42,T_SelfStock_Log[WeekIndex],24)=0,"",SUMIFS(T_SelfStock_Log[Self_Qty],T_SelfStock_Log[Part Name],$A42,T_SelfStock_Log[WeekIndex],24))</f>
        <v/>
      </c>
      <c r="Z42" s="12">
        <f>IF(COUNTIFS(T_SelfStock_Log[Part Name],$A42,T_SelfStock_Log[WeekIndex],25)=0,"",SUMIFS(T_SelfStock_Log[Self_Qty],T_SelfStock_Log[Part Name],$A42,T_SelfStock_Log[WeekIndex],25))</f>
        <v/>
      </c>
      <c r="AA42" s="12">
        <f>IF(COUNTIFS(T_SelfStock_Log[Part Name],$A42,T_SelfStock_Log[WeekIndex],26)=0,"",SUMIFS(T_SelfStock_Log[Self_Qty],T_SelfStock_Log[Part Name],$A42,T_SelfStock_Log[WeekIndex],26))</f>
        <v/>
      </c>
      <c r="AB42" s="12">
        <f>IF(COUNTIFS(T_SelfStock_Log[Part Name],$A42,T_SelfStock_Log[WeekIndex],27)=0,"",SUMIFS(T_SelfStock_Log[Self_Qty],T_SelfStock_Log[Part Name],$A42,T_SelfStock_Log[WeekIndex],27))</f>
        <v/>
      </c>
      <c r="AC42" s="12">
        <f>IF(COUNTIFS(T_SelfStock_Log[Part Name],$A42,T_SelfStock_Log[WeekIndex],28)=0,"",SUMIFS(T_SelfStock_Log[Self_Qty],T_SelfStock_Log[Part Name],$A42,T_SelfStock_Log[WeekIndex],28))</f>
        <v/>
      </c>
      <c r="AD42" s="12">
        <f>IF(COUNTIFS(T_SelfStock_Log[Part Name],$A42,T_SelfStock_Log[WeekIndex],29)=0,"",SUMIFS(T_SelfStock_Log[Self_Qty],T_SelfStock_Log[Part Name],$A42,T_SelfStock_Log[WeekIndex],29))</f>
        <v/>
      </c>
      <c r="AE42" s="12">
        <f>IF(COUNTIFS(T_SelfStock_Log[Part Name],$A42,T_SelfStock_Log[WeekIndex],30)=0,"",SUMIFS(T_SelfStock_Log[Self_Qty],T_SelfStock_Log[Part Name],$A42,T_SelfStock_Log[WeekIndex],30))</f>
        <v/>
      </c>
      <c r="AF42" s="12">
        <f>IF(COUNTIFS(T_SelfStock_Log[Part Name],$A42,T_SelfStock_Log[WeekIndex],31)=0,"",SUMIFS(T_SelfStock_Log[Self_Qty],T_SelfStock_Log[Part Name],$A42,T_SelfStock_Log[WeekIndex],31))</f>
        <v/>
      </c>
      <c r="AG42" s="12">
        <f>IF(COUNTIFS(T_SelfStock_Log[Part Name],$A42,T_SelfStock_Log[WeekIndex],32)=0,"",SUMIFS(T_SelfStock_Log[Self_Qty],T_SelfStock_Log[Part Name],$A42,T_SelfStock_Log[WeekIndex],32))</f>
        <v/>
      </c>
      <c r="AH42" s="12">
        <f>IF(COUNTIFS(T_SelfStock_Log[Part Name],$A42,T_SelfStock_Log[WeekIndex],33)=0,"",SUMIFS(T_SelfStock_Log[Self_Qty],T_SelfStock_Log[Part Name],$A42,T_SelfStock_Log[WeekIndex],33))</f>
        <v/>
      </c>
      <c r="AI42" s="12">
        <f>IF(COUNTIFS(T_SelfStock_Log[Part Name],$A42,T_SelfStock_Log[WeekIndex],34)=0,"",SUMIFS(T_SelfStock_Log[Self_Qty],T_SelfStock_Log[Part Name],$A42,T_SelfStock_Log[WeekIndex],34))</f>
        <v/>
      </c>
      <c r="AJ42" s="12">
        <f>IF(COUNTIFS(T_SelfStock_Log[Part Name],$A42,T_SelfStock_Log[WeekIndex],35)=0,"",SUMIFS(T_SelfStock_Log[Self_Qty],T_SelfStock_Log[Part Name],$A42,T_SelfStock_Log[WeekIndex],35))</f>
        <v/>
      </c>
      <c r="AK42" s="12">
        <f>IF(COUNTIFS(T_SelfStock_Log[Part Name],$A42,T_SelfStock_Log[WeekIndex],36)=0,"",SUMIFS(T_SelfStock_Log[Self_Qty],T_SelfStock_Log[Part Name],$A42,T_SelfStock_Log[WeekIndex],36))</f>
        <v/>
      </c>
      <c r="AL42" s="12">
        <f>IF(COUNTIFS(T_SelfStock_Log[Part Name],$A42,T_SelfStock_Log[WeekIndex],37)=0,"",SUMIFS(T_SelfStock_Log[Self_Qty],T_SelfStock_Log[Part Name],$A42,T_SelfStock_Log[WeekIndex],37))</f>
        <v/>
      </c>
      <c r="AM42" s="12">
        <f>IF(COUNTIFS(T_SelfStock_Log[Part Name],$A42,T_SelfStock_Log[WeekIndex],38)=0,"",SUMIFS(T_SelfStock_Log[Self_Qty],T_SelfStock_Log[Part Name],$A42,T_SelfStock_Log[WeekIndex],38))</f>
        <v/>
      </c>
      <c r="AN42" s="12">
        <f>IF(COUNTIFS(T_SelfStock_Log[Part Name],$A42,T_SelfStock_Log[WeekIndex],39)=0,"",SUMIFS(T_SelfStock_Log[Self_Qty],T_SelfStock_Log[Part Name],$A42,T_SelfStock_Log[WeekIndex],39))</f>
        <v/>
      </c>
      <c r="AO42" s="12">
        <f>IF(COUNTIFS(T_SelfStock_Log[Part Name],$A42,T_SelfStock_Log[WeekIndex],40)=0,"",SUMIFS(T_SelfStock_Log[Self_Qty],T_SelfStock_Log[Part Name],$A42,T_SelfStock_Log[WeekIndex],40))</f>
        <v/>
      </c>
      <c r="AP42" s="12">
        <f>IF(COUNTIFS(T_SelfStock_Log[Part Name],$A42,T_SelfStock_Log[WeekIndex],41)=0,"",SUMIFS(T_SelfStock_Log[Self_Qty],T_SelfStock_Log[Part Name],$A42,T_SelfStock_Log[WeekIndex],41))</f>
        <v/>
      </c>
      <c r="AQ42" s="12">
        <f>IF(COUNTIFS(T_SelfStock_Log[Part Name],$A42,T_SelfStock_Log[WeekIndex],42)=0,"",SUMIFS(T_SelfStock_Log[Self_Qty],T_SelfStock_Log[Part Name],$A42,T_SelfStock_Log[WeekIndex],42))</f>
        <v/>
      </c>
      <c r="AR42" s="12">
        <f>IF(COUNTIFS(T_SelfStock_Log[Part Name],$A42,T_SelfStock_Log[WeekIndex],43)=0,"",SUMIFS(T_SelfStock_Log[Self_Qty],T_SelfStock_Log[Part Name],$A42,T_SelfStock_Log[WeekIndex],43))</f>
        <v/>
      </c>
      <c r="AS42" s="12">
        <f>IF(COUNTIFS(T_SelfStock_Log[Part Name],$A42,T_SelfStock_Log[WeekIndex],44)=0,"",SUMIFS(T_SelfStock_Log[Self_Qty],T_SelfStock_Log[Part Name],$A42,T_SelfStock_Log[WeekIndex],44))</f>
        <v/>
      </c>
      <c r="AT42" s="12">
        <f>IF(COUNTIFS(T_SelfStock_Log[Part Name],$A42,T_SelfStock_Log[WeekIndex],45)=0,"",SUMIFS(T_SelfStock_Log[Self_Qty],T_SelfStock_Log[Part Name],$A42,T_SelfStock_Log[WeekIndex],45))</f>
        <v/>
      </c>
      <c r="AU42" s="12">
        <f>IF(COUNTIFS(T_SelfStock_Log[Part Name],$A42,T_SelfStock_Log[WeekIndex],46)=0,"",SUMIFS(T_SelfStock_Log[Self_Qty],T_SelfStock_Log[Part Name],$A42,T_SelfStock_Log[WeekIndex],46))</f>
        <v/>
      </c>
      <c r="AV42" s="12">
        <f>IF(COUNTIFS(T_SelfStock_Log[Part Name],$A42,T_SelfStock_Log[WeekIndex],47)=0,"",SUMIFS(T_SelfStock_Log[Self_Qty],T_SelfStock_Log[Part Name],$A42,T_SelfStock_Log[WeekIndex],47))</f>
        <v/>
      </c>
      <c r="AW42" s="12">
        <f>IF(COUNTIFS(T_SelfStock_Log[Part Name],$A42,T_SelfStock_Log[WeekIndex],48)=0,"",SUMIFS(T_SelfStock_Log[Self_Qty],T_SelfStock_Log[Part Name],$A42,T_SelfStock_Log[WeekIndex],48))</f>
        <v/>
      </c>
      <c r="AX42" s="12">
        <f>IF(COUNTIFS(T_SelfStock_Log[Part Name],$A42,T_SelfStock_Log[WeekIndex],49)=0,"",SUMIFS(T_SelfStock_Log[Self_Qty],T_SelfStock_Log[Part Name],$A42,T_SelfStock_Log[WeekIndex],49))</f>
        <v/>
      </c>
      <c r="AY42" s="12">
        <f>IF(COUNTIFS(T_SelfStock_Log[Part Name],$A42,T_SelfStock_Log[WeekIndex],50)=0,"",SUMIFS(T_SelfStock_Log[Self_Qty],T_SelfStock_Log[Part Name],$A42,T_SelfStock_Log[WeekIndex],50))</f>
        <v/>
      </c>
      <c r="AZ42" s="12">
        <f>IF(COUNTIFS(T_SelfStock_Log[Part Name],$A42,T_SelfStock_Log[WeekIndex],51)=0,"",SUMIFS(T_SelfStock_Log[Self_Qty],T_SelfStock_Log[Part Name],$A42,T_SelfStock_Log[WeekIndex],51))</f>
        <v/>
      </c>
      <c r="BA42" s="12">
        <f>IF(COUNTIFS(T_SelfStock_Log[Part Name],$A42,T_SelfStock_Log[WeekIndex],52)=0,"",SUMIFS(T_SelfStock_Log[Self_Qty],T_SelfStock_Log[Part Name],$A42,T_SelfStock_Log[WeekIndex],52))</f>
        <v/>
      </c>
      <c r="BB42" s="12">
        <f>IF(COUNTIFS(T_SelfStock_Log[Part Name],$A42,T_SelfStock_Log[WeekIndex],53)=0,"",SUMIFS(T_SelfStock_Log[Self_Qty],T_SelfStock_Log[Part Name],$A42,T_SelfStock_Log[WeekIndex],53))</f>
        <v/>
      </c>
      <c r="BC42" s="12">
        <f>IF(COUNTIFS(T_SelfStock_Log[Part Name],$A42,T_SelfStock_Log[WeekIndex],54)=0,"",SUMIFS(T_SelfStock_Log[Self_Qty],T_SelfStock_Log[Part Name],$A42,T_SelfStock_Log[WeekIndex],54))</f>
        <v/>
      </c>
      <c r="BD42" s="12">
        <f>IF(COUNTIFS(T_SelfStock_Log[Part Name],$A42,T_SelfStock_Log[WeekIndex],55)=0,"",SUMIFS(T_SelfStock_Log[Self_Qty],T_SelfStock_Log[Part Name],$A42,T_SelfStock_Log[WeekIndex],55))</f>
        <v/>
      </c>
      <c r="BE42" s="12">
        <f>IF(COUNTIFS(T_SelfStock_Log[Part Name],$A42,T_SelfStock_Log[WeekIndex],56)=0,"",SUMIFS(T_SelfStock_Log[Self_Qty],T_SelfStock_Log[Part Name],$A42,T_SelfStock_Log[WeekIndex],56))</f>
        <v/>
      </c>
      <c r="BF42" s="12">
        <f>IF(COUNTIFS(T_SelfStock_Log[Part Name],$A42,T_SelfStock_Log[WeekIndex],57)=0,"",SUMIFS(T_SelfStock_Log[Self_Qty],T_SelfStock_Log[Part Name],$A42,T_SelfStock_Log[WeekIndex],57))</f>
        <v/>
      </c>
      <c r="BG42" s="12">
        <f>IF(COUNTIFS(T_SelfStock_Log[Part Name],$A42,T_SelfStock_Log[WeekIndex],58)=0,"",SUMIFS(T_SelfStock_Log[Self_Qty],T_SelfStock_Log[Part Name],$A42,T_SelfStock_Log[WeekIndex],58))</f>
        <v/>
      </c>
      <c r="BH42" s="12">
        <f>IF(COUNTIFS(T_SelfStock_Log[Part Name],$A42,T_SelfStock_Log[WeekIndex],59)=0,"",SUMIFS(T_SelfStock_Log[Self_Qty],T_SelfStock_Log[Part Name],$A42,T_SelfStock_Log[WeekIndex],59))</f>
        <v/>
      </c>
      <c r="BI42" s="12">
        <f>IF(COUNTIFS(T_SelfStock_Log[Part Name],$A42,T_SelfStock_Log[WeekIndex],60)=0,"",SUMIFS(T_SelfStock_Log[Self_Qty],T_SelfStock_Log[Part Name],$A42,T_SelfStock_Log[WeekIndex],60))</f>
        <v/>
      </c>
      <c r="BJ42" s="12">
        <f>IF(COUNTIFS(T_SelfStock_Log[Part Name],$A42,T_SelfStock_Log[WeekIndex],61)=0,"",SUMIFS(T_SelfStock_Log[Self_Qty],T_SelfStock_Log[Part Name],$A42,T_SelfStock_Log[WeekIndex],61))</f>
        <v/>
      </c>
      <c r="BK42" s="12">
        <f>IF(COUNTIFS(T_SelfStock_Log[Part Name],$A42,T_SelfStock_Log[WeekIndex],62)=0,"",SUMIFS(T_SelfStock_Log[Self_Qty],T_SelfStock_Log[Part Name],$A42,T_SelfStock_Log[WeekIndex],62))</f>
        <v/>
      </c>
      <c r="BL42" s="12">
        <f>IF(COUNTIFS(T_SelfStock_Log[Part Name],$A42,T_SelfStock_Log[WeekIndex],63)=0,"",SUMIFS(T_SelfStock_Log[Self_Qty],T_SelfStock_Log[Part Name],$A42,T_SelfStock_Log[WeekIndex],63))</f>
        <v/>
      </c>
      <c r="BM42" s="12">
        <f>IF(COUNTIFS(T_SelfStock_Log[Part Name],$A42,T_SelfStock_Log[WeekIndex],64)=0,"",SUMIFS(T_SelfStock_Log[Self_Qty],T_SelfStock_Log[Part Name],$A42,T_SelfStock_Log[WeekIndex],64))</f>
        <v/>
      </c>
      <c r="BN42" s="12">
        <f>IF(COUNTIFS(T_SelfStock_Log[Part Name],$A42,T_SelfStock_Log[WeekIndex],65)=0,"",SUMIFS(T_SelfStock_Log[Self_Qty],T_SelfStock_Log[Part Name],$A42,T_SelfStock_Log[WeekIndex],65))</f>
        <v/>
      </c>
      <c r="BO42" s="12">
        <f>IF(COUNTIFS(T_SelfStock_Log[Part Name],$A42,T_SelfStock_Log[WeekIndex],66)=0,"",SUMIFS(T_SelfStock_Log[Self_Qty],T_SelfStock_Log[Part Name],$A42,T_SelfStock_Log[WeekIndex],66))</f>
        <v/>
      </c>
      <c r="BP42" s="12">
        <f>IF(COUNTIFS(T_SelfStock_Log[Part Name],$A42,T_SelfStock_Log[WeekIndex],67)=0,"",SUMIFS(T_SelfStock_Log[Self_Qty],T_SelfStock_Log[Part Name],$A42,T_SelfStock_Log[WeekIndex],67))</f>
        <v/>
      </c>
      <c r="BQ42" s="12">
        <f>IF(COUNTIFS(T_SelfStock_Log[Part Name],$A42,T_SelfStock_Log[WeekIndex],68)=0,"",SUMIFS(T_SelfStock_Log[Self_Qty],T_SelfStock_Log[Part Name],$A42,T_SelfStock_Log[WeekIndex],68))</f>
        <v/>
      </c>
      <c r="BR42" s="12">
        <f>IF(COUNTIFS(T_SelfStock_Log[Part Name],$A42,T_SelfStock_Log[WeekIndex],69)=0,"",SUMIFS(T_SelfStock_Log[Self_Qty],T_SelfStock_Log[Part Name],$A42,T_SelfStock_Log[WeekIndex],69))</f>
        <v/>
      </c>
      <c r="BS42" s="12">
        <f>IF(COUNTIFS(T_SelfStock_Log[Part Name],$A42,T_SelfStock_Log[WeekIndex],70)=0,"",SUMIFS(T_SelfStock_Log[Self_Qty],T_SelfStock_Log[Part Name],$A42,T_SelfStock_Log[WeekIndex],70))</f>
        <v/>
      </c>
      <c r="BT42" s="12">
        <f>IF(COUNTIFS(T_SelfStock_Log[Part Name],$A42,T_SelfStock_Log[WeekIndex],71)=0,"",SUMIFS(T_SelfStock_Log[Self_Qty],T_SelfStock_Log[Part Name],$A42,T_SelfStock_Log[WeekIndex],71))</f>
        <v/>
      </c>
      <c r="BU42" s="12">
        <f>IF(COUNTIFS(T_SelfStock_Log[Part Name],$A42,T_SelfStock_Log[WeekIndex],72)=0,"",SUMIFS(T_SelfStock_Log[Self_Qty],T_SelfStock_Log[Part Name],$A42,T_SelfStock_Log[WeekIndex],72))</f>
        <v/>
      </c>
      <c r="BV42" s="12">
        <f>IF(COUNTIFS(T_SelfStock_Log[Part Name],$A42,T_SelfStock_Log[WeekIndex],73)=0,"",SUMIFS(T_SelfStock_Log[Self_Qty],T_SelfStock_Log[Part Name],$A42,T_SelfStock_Log[WeekIndex],73))</f>
        <v/>
      </c>
      <c r="BW42" s="12">
        <f>IF(COUNTIFS(T_SelfStock_Log[Part Name],$A42,T_SelfStock_Log[WeekIndex],74)=0,"",SUMIFS(T_SelfStock_Log[Self_Qty],T_SelfStock_Log[Part Name],$A42,T_SelfStock_Log[WeekIndex],74))</f>
        <v/>
      </c>
      <c r="BX42" s="12">
        <f>IF(COUNTIFS(T_SelfStock_Log[Part Name],$A42,T_SelfStock_Log[WeekIndex],75)=0,"",SUMIFS(T_SelfStock_Log[Self_Qty],T_SelfStock_Log[Part Name],$A42,T_SelfStock_Log[WeekIndex],75))</f>
        <v/>
      </c>
      <c r="BY42" s="12">
        <f>IF(COUNTIFS(T_SelfStock_Log[Part Name],$A42,T_SelfStock_Log[WeekIndex],76)=0,"",SUMIFS(T_SelfStock_Log[Self_Qty],T_SelfStock_Log[Part Name],$A42,T_SelfStock_Log[WeekIndex],76))</f>
        <v/>
      </c>
      <c r="BZ42" s="12">
        <f>IF(COUNTIFS(T_SelfStock_Log[Part Name],$A42,T_SelfStock_Log[WeekIndex],77)=0,"",SUMIFS(T_SelfStock_Log[Self_Qty],T_SelfStock_Log[Part Name],$A42,T_SelfStock_Log[WeekIndex],77))</f>
        <v/>
      </c>
      <c r="CA42" s="12">
        <f>IF(COUNTIFS(T_SelfStock_Log[Part Name],$A42,T_SelfStock_Log[WeekIndex],78)=0,"",SUMIFS(T_SelfStock_Log[Self_Qty],T_SelfStock_Log[Part Name],$A42,T_SelfStock_Log[WeekIndex],78))</f>
        <v/>
      </c>
      <c r="CB42" s="12">
        <f>IF(COUNTIFS(T_SelfStock_Log[Part Name],$A42,T_SelfStock_Log[WeekIndex],79)=0,"",SUMIFS(T_SelfStock_Log[Self_Qty],T_SelfStock_Log[Part Name],$A42,T_SelfStock_Log[WeekIndex],79))</f>
        <v/>
      </c>
      <c r="CC42" s="12">
        <f>IF(COUNTIFS(T_SelfStock_Log[Part Name],$A42,T_SelfStock_Log[WeekIndex],80)=0,"",SUMIFS(T_SelfStock_Log[Self_Qty],T_SelfStock_Log[Part Name],$A42,T_SelfStock_Log[WeekIndex],80))</f>
        <v/>
      </c>
      <c r="CD42" s="12">
        <f>IF(COUNTIFS(T_SelfStock_Log[Part Name],$A42,T_SelfStock_Log[WeekIndex],81)=0,"",SUMIFS(T_SelfStock_Log[Self_Qty],T_SelfStock_Log[Part Name],$A42,T_SelfStock_Log[WeekIndex],81))</f>
        <v/>
      </c>
      <c r="CE42" s="12">
        <f>IF(COUNTIFS(T_SelfStock_Log[Part Name],$A42,T_SelfStock_Log[WeekIndex],82)=0,"",SUMIFS(T_SelfStock_Log[Self_Qty],T_SelfStock_Log[Part Name],$A42,T_SelfStock_Log[WeekIndex],82))</f>
        <v/>
      </c>
      <c r="CF42" s="12">
        <f>IF(COUNTIFS(T_SelfStock_Log[Part Name],$A42,T_SelfStock_Log[WeekIndex],83)=0,"",SUMIFS(T_SelfStock_Log[Self_Qty],T_SelfStock_Log[Part Name],$A42,T_SelfStock_Log[WeekIndex],83))</f>
        <v/>
      </c>
      <c r="CG42" s="12">
        <f>IF(COUNTIFS(T_SelfStock_Log[Part Name],$A42,T_SelfStock_Log[WeekIndex],84)=0,"",SUMIFS(T_SelfStock_Log[Self_Qty],T_SelfStock_Log[Part Name],$A42,T_SelfStock_Log[WeekIndex],84))</f>
        <v/>
      </c>
      <c r="CH42" s="12">
        <f>IF(COUNTIFS(T_SelfStock_Log[Part Name],$A42,T_SelfStock_Log[WeekIndex],85)=0,"",SUMIFS(T_SelfStock_Log[Self_Qty],T_SelfStock_Log[Part Name],$A42,T_SelfStock_Log[WeekIndex],85))</f>
        <v/>
      </c>
      <c r="CI42" s="12">
        <f>IF(COUNTIFS(T_SelfStock_Log[Part Name],$A42,T_SelfStock_Log[WeekIndex],86)=0,"",SUMIFS(T_SelfStock_Log[Self_Qty],T_SelfStock_Log[Part Name],$A42,T_SelfStock_Log[WeekIndex],86))</f>
        <v/>
      </c>
      <c r="CJ42" s="12">
        <f>IF(COUNTIFS(T_SelfStock_Log[Part Name],$A42,T_SelfStock_Log[WeekIndex],87)=0,"",SUMIFS(T_SelfStock_Log[Self_Qty],T_SelfStock_Log[Part Name],$A42,T_SelfStock_Log[WeekIndex],87))</f>
        <v/>
      </c>
      <c r="CK42" s="12">
        <f>IF(COUNTIFS(T_SelfStock_Log[Part Name],$A42,T_SelfStock_Log[WeekIndex],88)=0,"",SUMIFS(T_SelfStock_Log[Self_Qty],T_SelfStock_Log[Part Name],$A42,T_SelfStock_Log[WeekIndex],88))</f>
        <v/>
      </c>
      <c r="CL42" s="12">
        <f>IF(COUNTIFS(T_SelfStock_Log[Part Name],$A42,T_SelfStock_Log[WeekIndex],89)=0,"",SUMIFS(T_SelfStock_Log[Self_Qty],T_SelfStock_Log[Part Name],$A42,T_SelfStock_Log[WeekIndex],89))</f>
        <v/>
      </c>
      <c r="CM42" s="12">
        <f>IF(COUNTIFS(T_SelfStock_Log[Part Name],$A42,T_SelfStock_Log[WeekIndex],90)=0,"",SUMIFS(T_SelfStock_Log[Self_Qty],T_SelfStock_Log[Part Name],$A42,T_SelfStock_Log[WeekIndex],90))</f>
        <v/>
      </c>
      <c r="CN42" s="12">
        <f>IF(COUNTIFS(T_SelfStock_Log[Part Name],$A42,T_SelfStock_Log[WeekIndex],91)=0,"",SUMIFS(T_SelfStock_Log[Self_Qty],T_SelfStock_Log[Part Name],$A42,T_SelfStock_Log[WeekIndex],91))</f>
        <v/>
      </c>
      <c r="CO42" s="12">
        <f>IF(COUNTIFS(T_SelfStock_Log[Part Name],$A42,T_SelfStock_Log[WeekIndex],92)=0,"",SUMIFS(T_SelfStock_Log[Self_Qty],T_SelfStock_Log[Part Name],$A42,T_SelfStock_Log[WeekIndex],92))</f>
        <v/>
      </c>
      <c r="CP42" s="12">
        <f>IF(COUNTIFS(T_SelfStock_Log[Part Name],$A42,T_SelfStock_Log[WeekIndex],93)=0,"",SUMIFS(T_SelfStock_Log[Self_Qty],T_SelfStock_Log[Part Name],$A42,T_SelfStock_Log[WeekIndex],93))</f>
        <v/>
      </c>
      <c r="CQ42" s="12">
        <f>IF(COUNTIFS(T_SelfStock_Log[Part Name],$A42,T_SelfStock_Log[WeekIndex],94)=0,"",SUMIFS(T_SelfStock_Log[Self_Qty],T_SelfStock_Log[Part Name],$A42,T_SelfStock_Log[WeekIndex],94))</f>
        <v/>
      </c>
      <c r="CR42" s="12">
        <f>IF(COUNTIFS(T_SelfStock_Log[Part Name],$A42,T_SelfStock_Log[WeekIndex],95)=0,"",SUMIFS(T_SelfStock_Log[Self_Qty],T_SelfStock_Log[Part Name],$A42,T_SelfStock_Log[WeekIndex],95))</f>
        <v/>
      </c>
      <c r="CS42" s="12">
        <f>IF(COUNTIFS(T_SelfStock_Log[Part Name],$A42,T_SelfStock_Log[WeekIndex],96)=0,"",SUMIFS(T_SelfStock_Log[Self_Qty],T_SelfStock_Log[Part Name],$A42,T_SelfStock_Log[WeekIndex],96))</f>
        <v/>
      </c>
      <c r="CT42" s="12">
        <f>IF(COUNTIFS(T_SelfStock_Log[Part Name],$A42,T_SelfStock_Log[WeekIndex],97)=0,"",SUMIFS(T_SelfStock_Log[Self_Qty],T_SelfStock_Log[Part Name],$A42,T_SelfStock_Log[WeekIndex],97))</f>
        <v/>
      </c>
      <c r="CU42" s="12">
        <f>IF(COUNTIFS(T_SelfStock_Log[Part Name],$A42,T_SelfStock_Log[WeekIndex],98)=0,"",SUMIFS(T_SelfStock_Log[Self_Qty],T_SelfStock_Log[Part Name],$A42,T_SelfStock_Log[WeekIndex],98))</f>
        <v/>
      </c>
      <c r="CV42" s="12">
        <f>IF(COUNTIFS(T_SelfStock_Log[Part Name],$A42,T_SelfStock_Log[WeekIndex],99)=0,"",SUMIFS(T_SelfStock_Log[Self_Qty],T_SelfStock_Log[Part Name],$A42,T_SelfStock_Log[WeekIndex],99))</f>
        <v/>
      </c>
      <c r="CW42" s="12">
        <f>IF(COUNTIFS(T_SelfStock_Log[Part Name],$A42,T_SelfStock_Log[WeekIndex],100)=0,"",SUMIFS(T_SelfStock_Log[Self_Qty],T_SelfStock_Log[Part Name],$A42,T_SelfStock_Log[WeekIndex],100))</f>
        <v/>
      </c>
      <c r="CX42" s="12">
        <f>IF(COUNTIFS(T_SelfStock_Log[Part Name],$A42,T_SelfStock_Log[WeekIndex],101)=0,"",SUMIFS(T_SelfStock_Log[Self_Qty],T_SelfStock_Log[Part Name],$A42,T_SelfStock_Log[WeekIndex],101))</f>
        <v/>
      </c>
      <c r="CY42" s="12">
        <f>IF(COUNTIFS(T_SelfStock_Log[Part Name],$A42,T_SelfStock_Log[WeekIndex],102)=0,"",SUMIFS(T_SelfStock_Log[Self_Qty],T_SelfStock_Log[Part Name],$A42,T_SelfStock_Log[WeekIndex],102))</f>
        <v/>
      </c>
      <c r="CZ42" s="12">
        <f>IF(COUNTIFS(T_SelfStock_Log[Part Name],$A42,T_SelfStock_Log[WeekIndex],103)=0,"",SUMIFS(T_SelfStock_Log[Self_Qty],T_SelfStock_Log[Part Name],$A42,T_SelfStock_Log[WeekIndex],103))</f>
        <v/>
      </c>
      <c r="DA42" s="12">
        <f>IF(COUNTIFS(T_SelfStock_Log[Part Name],$A42,T_SelfStock_Log[WeekIndex],104)=0,"",SUMIFS(T_SelfStock_Log[Self_Qty],T_SelfStock_Log[Part Name],$A42,T_SelfStock_Log[WeekIndex],104))</f>
        <v/>
      </c>
    </row>
    <row r="43">
      <c r="A43" s="13" t="inlineStr">
        <is>
          <t>PP Film</t>
        </is>
      </c>
      <c r="B43" s="13">
        <f>IF(COUNTIFS(T_SelfStock_Log[Part Name],$A43,T_SelfStock_Log[WeekIndex],1)=0,"",SUMIFS(T_SelfStock_Log[Self_Qty],T_SelfStock_Log[Part Name],$A43,T_SelfStock_Log[WeekIndex],1))</f>
        <v/>
      </c>
      <c r="C43" s="13">
        <f>IF(COUNTIFS(T_SelfStock_Log[Part Name],$A43,T_SelfStock_Log[WeekIndex],2)=0,"",SUMIFS(T_SelfStock_Log[Self_Qty],T_SelfStock_Log[Part Name],$A43,T_SelfStock_Log[WeekIndex],2))</f>
        <v/>
      </c>
      <c r="D43" s="13">
        <f>IF(COUNTIFS(T_SelfStock_Log[Part Name],$A43,T_SelfStock_Log[WeekIndex],3)=0,"",SUMIFS(T_SelfStock_Log[Self_Qty],T_SelfStock_Log[Part Name],$A43,T_SelfStock_Log[WeekIndex],3))</f>
        <v/>
      </c>
      <c r="E43" s="13">
        <f>IF(COUNTIFS(T_SelfStock_Log[Part Name],$A43,T_SelfStock_Log[WeekIndex],4)=0,"",SUMIFS(T_SelfStock_Log[Self_Qty],T_SelfStock_Log[Part Name],$A43,T_SelfStock_Log[WeekIndex],4))</f>
        <v/>
      </c>
      <c r="F43" s="13">
        <f>IF(COUNTIFS(T_SelfStock_Log[Part Name],$A43,T_SelfStock_Log[WeekIndex],5)=0,"",SUMIFS(T_SelfStock_Log[Self_Qty],T_SelfStock_Log[Part Name],$A43,T_SelfStock_Log[WeekIndex],5))</f>
        <v/>
      </c>
      <c r="G43" s="13">
        <f>IF(COUNTIFS(T_SelfStock_Log[Part Name],$A43,T_SelfStock_Log[WeekIndex],6)=0,"",SUMIFS(T_SelfStock_Log[Self_Qty],T_SelfStock_Log[Part Name],$A43,T_SelfStock_Log[WeekIndex],6))</f>
        <v/>
      </c>
      <c r="H43" s="13">
        <f>IF(COUNTIFS(T_SelfStock_Log[Part Name],$A43,T_SelfStock_Log[WeekIndex],7)=0,"",SUMIFS(T_SelfStock_Log[Self_Qty],T_SelfStock_Log[Part Name],$A43,T_SelfStock_Log[WeekIndex],7))</f>
        <v/>
      </c>
      <c r="I43" s="13">
        <f>IF(COUNTIFS(T_SelfStock_Log[Part Name],$A43,T_SelfStock_Log[WeekIndex],8)=0,"",SUMIFS(T_SelfStock_Log[Self_Qty],T_SelfStock_Log[Part Name],$A43,T_SelfStock_Log[WeekIndex],8))</f>
        <v/>
      </c>
      <c r="J43" s="13">
        <f>IF(COUNTIFS(T_SelfStock_Log[Part Name],$A43,T_SelfStock_Log[WeekIndex],9)=0,"",SUMIFS(T_SelfStock_Log[Self_Qty],T_SelfStock_Log[Part Name],$A43,T_SelfStock_Log[WeekIndex],9))</f>
        <v/>
      </c>
      <c r="K43" s="13">
        <f>IF(COUNTIFS(T_SelfStock_Log[Part Name],$A43,T_SelfStock_Log[WeekIndex],10)=0,"",SUMIFS(T_SelfStock_Log[Self_Qty],T_SelfStock_Log[Part Name],$A43,T_SelfStock_Log[WeekIndex],10))</f>
        <v/>
      </c>
      <c r="L43" s="13">
        <f>IF(COUNTIFS(T_SelfStock_Log[Part Name],$A43,T_SelfStock_Log[WeekIndex],11)=0,"",SUMIFS(T_SelfStock_Log[Self_Qty],T_SelfStock_Log[Part Name],$A43,T_SelfStock_Log[WeekIndex],11))</f>
        <v/>
      </c>
      <c r="M43" s="13">
        <f>IF(COUNTIFS(T_SelfStock_Log[Part Name],$A43,T_SelfStock_Log[WeekIndex],12)=0,"",SUMIFS(T_SelfStock_Log[Self_Qty],T_SelfStock_Log[Part Name],$A43,T_SelfStock_Log[WeekIndex],12))</f>
        <v/>
      </c>
      <c r="N43" s="13">
        <f>IF(COUNTIFS(T_SelfStock_Log[Part Name],$A43,T_SelfStock_Log[WeekIndex],13)=0,"",SUMIFS(T_SelfStock_Log[Self_Qty],T_SelfStock_Log[Part Name],$A43,T_SelfStock_Log[WeekIndex],13))</f>
        <v/>
      </c>
      <c r="O43" s="13">
        <f>IF(COUNTIFS(T_SelfStock_Log[Part Name],$A43,T_SelfStock_Log[WeekIndex],14)=0,"",SUMIFS(T_SelfStock_Log[Self_Qty],T_SelfStock_Log[Part Name],$A43,T_SelfStock_Log[WeekIndex],14))</f>
        <v/>
      </c>
      <c r="P43" s="13">
        <f>IF(COUNTIFS(T_SelfStock_Log[Part Name],$A43,T_SelfStock_Log[WeekIndex],15)=0,"",SUMIFS(T_SelfStock_Log[Self_Qty],T_SelfStock_Log[Part Name],$A43,T_SelfStock_Log[WeekIndex],15))</f>
        <v/>
      </c>
      <c r="Q43" s="13">
        <f>IF(COUNTIFS(T_SelfStock_Log[Part Name],$A43,T_SelfStock_Log[WeekIndex],16)=0,"",SUMIFS(T_SelfStock_Log[Self_Qty],T_SelfStock_Log[Part Name],$A43,T_SelfStock_Log[WeekIndex],16))</f>
        <v/>
      </c>
      <c r="R43" s="13">
        <f>IF(COUNTIFS(T_SelfStock_Log[Part Name],$A43,T_SelfStock_Log[WeekIndex],17)=0,"",SUMIFS(T_SelfStock_Log[Self_Qty],T_SelfStock_Log[Part Name],$A43,T_SelfStock_Log[WeekIndex],17))</f>
        <v/>
      </c>
      <c r="S43" s="13">
        <f>IF(COUNTIFS(T_SelfStock_Log[Part Name],$A43,T_SelfStock_Log[WeekIndex],18)=0,"",SUMIFS(T_SelfStock_Log[Self_Qty],T_SelfStock_Log[Part Name],$A43,T_SelfStock_Log[WeekIndex],18))</f>
        <v/>
      </c>
      <c r="T43" s="13">
        <f>IF(COUNTIFS(T_SelfStock_Log[Part Name],$A43,T_SelfStock_Log[WeekIndex],19)=0,"",SUMIFS(T_SelfStock_Log[Self_Qty],T_SelfStock_Log[Part Name],$A43,T_SelfStock_Log[WeekIndex],19))</f>
        <v/>
      </c>
      <c r="U43" s="13">
        <f>IF(COUNTIFS(T_SelfStock_Log[Part Name],$A43,T_SelfStock_Log[WeekIndex],20)=0,"",SUMIFS(T_SelfStock_Log[Self_Qty],T_SelfStock_Log[Part Name],$A43,T_SelfStock_Log[WeekIndex],20))</f>
        <v/>
      </c>
      <c r="V43" s="13">
        <f>IF(COUNTIFS(T_SelfStock_Log[Part Name],$A43,T_SelfStock_Log[WeekIndex],21)=0,"",SUMIFS(T_SelfStock_Log[Self_Qty],T_SelfStock_Log[Part Name],$A43,T_SelfStock_Log[WeekIndex],21))</f>
        <v/>
      </c>
      <c r="W43" s="13">
        <f>IF(COUNTIFS(T_SelfStock_Log[Part Name],$A43,T_SelfStock_Log[WeekIndex],22)=0,"",SUMIFS(T_SelfStock_Log[Self_Qty],T_SelfStock_Log[Part Name],$A43,T_SelfStock_Log[WeekIndex],22))</f>
        <v/>
      </c>
      <c r="X43" s="13">
        <f>IF(COUNTIFS(T_SelfStock_Log[Part Name],$A43,T_SelfStock_Log[WeekIndex],23)=0,"",SUMIFS(T_SelfStock_Log[Self_Qty],T_SelfStock_Log[Part Name],$A43,T_SelfStock_Log[WeekIndex],23))</f>
        <v/>
      </c>
      <c r="Y43" s="13">
        <f>IF(COUNTIFS(T_SelfStock_Log[Part Name],$A43,T_SelfStock_Log[WeekIndex],24)=0,"",SUMIFS(T_SelfStock_Log[Self_Qty],T_SelfStock_Log[Part Name],$A43,T_SelfStock_Log[WeekIndex],24))</f>
        <v/>
      </c>
      <c r="Z43" s="13">
        <f>IF(COUNTIFS(T_SelfStock_Log[Part Name],$A43,T_SelfStock_Log[WeekIndex],25)=0,"",SUMIFS(T_SelfStock_Log[Self_Qty],T_SelfStock_Log[Part Name],$A43,T_SelfStock_Log[WeekIndex],25))</f>
        <v/>
      </c>
      <c r="AA43" s="13">
        <f>IF(COUNTIFS(T_SelfStock_Log[Part Name],$A43,T_SelfStock_Log[WeekIndex],26)=0,"",SUMIFS(T_SelfStock_Log[Self_Qty],T_SelfStock_Log[Part Name],$A43,T_SelfStock_Log[WeekIndex],26))</f>
        <v/>
      </c>
      <c r="AB43" s="13">
        <f>IF(COUNTIFS(T_SelfStock_Log[Part Name],$A43,T_SelfStock_Log[WeekIndex],27)=0,"",SUMIFS(T_SelfStock_Log[Self_Qty],T_SelfStock_Log[Part Name],$A43,T_SelfStock_Log[WeekIndex],27))</f>
        <v/>
      </c>
      <c r="AC43" s="13">
        <f>IF(COUNTIFS(T_SelfStock_Log[Part Name],$A43,T_SelfStock_Log[WeekIndex],28)=0,"",SUMIFS(T_SelfStock_Log[Self_Qty],T_SelfStock_Log[Part Name],$A43,T_SelfStock_Log[WeekIndex],28))</f>
        <v/>
      </c>
      <c r="AD43" s="13">
        <f>IF(COUNTIFS(T_SelfStock_Log[Part Name],$A43,T_SelfStock_Log[WeekIndex],29)=0,"",SUMIFS(T_SelfStock_Log[Self_Qty],T_SelfStock_Log[Part Name],$A43,T_SelfStock_Log[WeekIndex],29))</f>
        <v/>
      </c>
      <c r="AE43" s="13">
        <f>IF(COUNTIFS(T_SelfStock_Log[Part Name],$A43,T_SelfStock_Log[WeekIndex],30)=0,"",SUMIFS(T_SelfStock_Log[Self_Qty],T_SelfStock_Log[Part Name],$A43,T_SelfStock_Log[WeekIndex],30))</f>
        <v/>
      </c>
      <c r="AF43" s="13">
        <f>IF(COUNTIFS(T_SelfStock_Log[Part Name],$A43,T_SelfStock_Log[WeekIndex],31)=0,"",SUMIFS(T_SelfStock_Log[Self_Qty],T_SelfStock_Log[Part Name],$A43,T_SelfStock_Log[WeekIndex],31))</f>
        <v/>
      </c>
      <c r="AG43" s="13">
        <f>IF(COUNTIFS(T_SelfStock_Log[Part Name],$A43,T_SelfStock_Log[WeekIndex],32)=0,"",SUMIFS(T_SelfStock_Log[Self_Qty],T_SelfStock_Log[Part Name],$A43,T_SelfStock_Log[WeekIndex],32))</f>
        <v/>
      </c>
      <c r="AH43" s="13">
        <f>IF(COUNTIFS(T_SelfStock_Log[Part Name],$A43,T_SelfStock_Log[WeekIndex],33)=0,"",SUMIFS(T_SelfStock_Log[Self_Qty],T_SelfStock_Log[Part Name],$A43,T_SelfStock_Log[WeekIndex],33))</f>
        <v/>
      </c>
      <c r="AI43" s="13">
        <f>IF(COUNTIFS(T_SelfStock_Log[Part Name],$A43,T_SelfStock_Log[WeekIndex],34)=0,"",SUMIFS(T_SelfStock_Log[Self_Qty],T_SelfStock_Log[Part Name],$A43,T_SelfStock_Log[WeekIndex],34))</f>
        <v/>
      </c>
      <c r="AJ43" s="13">
        <f>IF(COUNTIFS(T_SelfStock_Log[Part Name],$A43,T_SelfStock_Log[WeekIndex],35)=0,"",SUMIFS(T_SelfStock_Log[Self_Qty],T_SelfStock_Log[Part Name],$A43,T_SelfStock_Log[WeekIndex],35))</f>
        <v/>
      </c>
      <c r="AK43" s="13">
        <f>IF(COUNTIFS(T_SelfStock_Log[Part Name],$A43,T_SelfStock_Log[WeekIndex],36)=0,"",SUMIFS(T_SelfStock_Log[Self_Qty],T_SelfStock_Log[Part Name],$A43,T_SelfStock_Log[WeekIndex],36))</f>
        <v/>
      </c>
      <c r="AL43" s="13">
        <f>IF(COUNTIFS(T_SelfStock_Log[Part Name],$A43,T_SelfStock_Log[WeekIndex],37)=0,"",SUMIFS(T_SelfStock_Log[Self_Qty],T_SelfStock_Log[Part Name],$A43,T_SelfStock_Log[WeekIndex],37))</f>
        <v/>
      </c>
      <c r="AM43" s="13">
        <f>IF(COUNTIFS(T_SelfStock_Log[Part Name],$A43,T_SelfStock_Log[WeekIndex],38)=0,"",SUMIFS(T_SelfStock_Log[Self_Qty],T_SelfStock_Log[Part Name],$A43,T_SelfStock_Log[WeekIndex],38))</f>
        <v/>
      </c>
      <c r="AN43" s="13">
        <f>IF(COUNTIFS(T_SelfStock_Log[Part Name],$A43,T_SelfStock_Log[WeekIndex],39)=0,"",SUMIFS(T_SelfStock_Log[Self_Qty],T_SelfStock_Log[Part Name],$A43,T_SelfStock_Log[WeekIndex],39))</f>
        <v/>
      </c>
      <c r="AO43" s="13">
        <f>IF(COUNTIFS(T_SelfStock_Log[Part Name],$A43,T_SelfStock_Log[WeekIndex],40)=0,"",SUMIFS(T_SelfStock_Log[Self_Qty],T_SelfStock_Log[Part Name],$A43,T_SelfStock_Log[WeekIndex],40))</f>
        <v/>
      </c>
      <c r="AP43" s="13">
        <f>IF(COUNTIFS(T_SelfStock_Log[Part Name],$A43,T_SelfStock_Log[WeekIndex],41)=0,"",SUMIFS(T_SelfStock_Log[Self_Qty],T_SelfStock_Log[Part Name],$A43,T_SelfStock_Log[WeekIndex],41))</f>
        <v/>
      </c>
      <c r="AQ43" s="13">
        <f>IF(COUNTIFS(T_SelfStock_Log[Part Name],$A43,T_SelfStock_Log[WeekIndex],42)=0,"",SUMIFS(T_SelfStock_Log[Self_Qty],T_SelfStock_Log[Part Name],$A43,T_SelfStock_Log[WeekIndex],42))</f>
        <v/>
      </c>
      <c r="AR43" s="13">
        <f>IF(COUNTIFS(T_SelfStock_Log[Part Name],$A43,T_SelfStock_Log[WeekIndex],43)=0,"",SUMIFS(T_SelfStock_Log[Self_Qty],T_SelfStock_Log[Part Name],$A43,T_SelfStock_Log[WeekIndex],43))</f>
        <v/>
      </c>
      <c r="AS43" s="13">
        <f>IF(COUNTIFS(T_SelfStock_Log[Part Name],$A43,T_SelfStock_Log[WeekIndex],44)=0,"",SUMIFS(T_SelfStock_Log[Self_Qty],T_SelfStock_Log[Part Name],$A43,T_SelfStock_Log[WeekIndex],44))</f>
        <v/>
      </c>
      <c r="AT43" s="13">
        <f>IF(COUNTIFS(T_SelfStock_Log[Part Name],$A43,T_SelfStock_Log[WeekIndex],45)=0,"",SUMIFS(T_SelfStock_Log[Self_Qty],T_SelfStock_Log[Part Name],$A43,T_SelfStock_Log[WeekIndex],45))</f>
        <v/>
      </c>
      <c r="AU43" s="13">
        <f>IF(COUNTIFS(T_SelfStock_Log[Part Name],$A43,T_SelfStock_Log[WeekIndex],46)=0,"",SUMIFS(T_SelfStock_Log[Self_Qty],T_SelfStock_Log[Part Name],$A43,T_SelfStock_Log[WeekIndex],46))</f>
        <v/>
      </c>
      <c r="AV43" s="13">
        <f>IF(COUNTIFS(T_SelfStock_Log[Part Name],$A43,T_SelfStock_Log[WeekIndex],47)=0,"",SUMIFS(T_SelfStock_Log[Self_Qty],T_SelfStock_Log[Part Name],$A43,T_SelfStock_Log[WeekIndex],47))</f>
        <v/>
      </c>
      <c r="AW43" s="13">
        <f>IF(COUNTIFS(T_SelfStock_Log[Part Name],$A43,T_SelfStock_Log[WeekIndex],48)=0,"",SUMIFS(T_SelfStock_Log[Self_Qty],T_SelfStock_Log[Part Name],$A43,T_SelfStock_Log[WeekIndex],48))</f>
        <v/>
      </c>
      <c r="AX43" s="13">
        <f>IF(COUNTIFS(T_SelfStock_Log[Part Name],$A43,T_SelfStock_Log[WeekIndex],49)=0,"",SUMIFS(T_SelfStock_Log[Self_Qty],T_SelfStock_Log[Part Name],$A43,T_SelfStock_Log[WeekIndex],49))</f>
        <v/>
      </c>
      <c r="AY43" s="13">
        <f>IF(COUNTIFS(T_SelfStock_Log[Part Name],$A43,T_SelfStock_Log[WeekIndex],50)=0,"",SUMIFS(T_SelfStock_Log[Self_Qty],T_SelfStock_Log[Part Name],$A43,T_SelfStock_Log[WeekIndex],50))</f>
        <v/>
      </c>
      <c r="AZ43" s="13">
        <f>IF(COUNTIFS(T_SelfStock_Log[Part Name],$A43,T_SelfStock_Log[WeekIndex],51)=0,"",SUMIFS(T_SelfStock_Log[Self_Qty],T_SelfStock_Log[Part Name],$A43,T_SelfStock_Log[WeekIndex],51))</f>
        <v/>
      </c>
      <c r="BA43" s="13">
        <f>IF(COUNTIFS(T_SelfStock_Log[Part Name],$A43,T_SelfStock_Log[WeekIndex],52)=0,"",SUMIFS(T_SelfStock_Log[Self_Qty],T_SelfStock_Log[Part Name],$A43,T_SelfStock_Log[WeekIndex],52))</f>
        <v/>
      </c>
      <c r="BB43" s="13">
        <f>IF(COUNTIFS(T_SelfStock_Log[Part Name],$A43,T_SelfStock_Log[WeekIndex],53)=0,"",SUMIFS(T_SelfStock_Log[Self_Qty],T_SelfStock_Log[Part Name],$A43,T_SelfStock_Log[WeekIndex],53))</f>
        <v/>
      </c>
      <c r="BC43" s="13">
        <f>IF(COUNTIFS(T_SelfStock_Log[Part Name],$A43,T_SelfStock_Log[WeekIndex],54)=0,"",SUMIFS(T_SelfStock_Log[Self_Qty],T_SelfStock_Log[Part Name],$A43,T_SelfStock_Log[WeekIndex],54))</f>
        <v/>
      </c>
      <c r="BD43" s="13">
        <f>IF(COUNTIFS(T_SelfStock_Log[Part Name],$A43,T_SelfStock_Log[WeekIndex],55)=0,"",SUMIFS(T_SelfStock_Log[Self_Qty],T_SelfStock_Log[Part Name],$A43,T_SelfStock_Log[WeekIndex],55))</f>
        <v/>
      </c>
      <c r="BE43" s="13">
        <f>IF(COUNTIFS(T_SelfStock_Log[Part Name],$A43,T_SelfStock_Log[WeekIndex],56)=0,"",SUMIFS(T_SelfStock_Log[Self_Qty],T_SelfStock_Log[Part Name],$A43,T_SelfStock_Log[WeekIndex],56))</f>
        <v/>
      </c>
      <c r="BF43" s="13">
        <f>IF(COUNTIFS(T_SelfStock_Log[Part Name],$A43,T_SelfStock_Log[WeekIndex],57)=0,"",SUMIFS(T_SelfStock_Log[Self_Qty],T_SelfStock_Log[Part Name],$A43,T_SelfStock_Log[WeekIndex],57))</f>
        <v/>
      </c>
      <c r="BG43" s="13">
        <f>IF(COUNTIFS(T_SelfStock_Log[Part Name],$A43,T_SelfStock_Log[WeekIndex],58)=0,"",SUMIFS(T_SelfStock_Log[Self_Qty],T_SelfStock_Log[Part Name],$A43,T_SelfStock_Log[WeekIndex],58))</f>
        <v/>
      </c>
      <c r="BH43" s="13">
        <f>IF(COUNTIFS(T_SelfStock_Log[Part Name],$A43,T_SelfStock_Log[WeekIndex],59)=0,"",SUMIFS(T_SelfStock_Log[Self_Qty],T_SelfStock_Log[Part Name],$A43,T_SelfStock_Log[WeekIndex],59))</f>
        <v/>
      </c>
      <c r="BI43" s="13">
        <f>IF(COUNTIFS(T_SelfStock_Log[Part Name],$A43,T_SelfStock_Log[WeekIndex],60)=0,"",SUMIFS(T_SelfStock_Log[Self_Qty],T_SelfStock_Log[Part Name],$A43,T_SelfStock_Log[WeekIndex],60))</f>
        <v/>
      </c>
      <c r="BJ43" s="13">
        <f>IF(COUNTIFS(T_SelfStock_Log[Part Name],$A43,T_SelfStock_Log[WeekIndex],61)=0,"",SUMIFS(T_SelfStock_Log[Self_Qty],T_SelfStock_Log[Part Name],$A43,T_SelfStock_Log[WeekIndex],61))</f>
        <v/>
      </c>
      <c r="BK43" s="13">
        <f>IF(COUNTIFS(T_SelfStock_Log[Part Name],$A43,T_SelfStock_Log[WeekIndex],62)=0,"",SUMIFS(T_SelfStock_Log[Self_Qty],T_SelfStock_Log[Part Name],$A43,T_SelfStock_Log[WeekIndex],62))</f>
        <v/>
      </c>
      <c r="BL43" s="13">
        <f>IF(COUNTIFS(T_SelfStock_Log[Part Name],$A43,T_SelfStock_Log[WeekIndex],63)=0,"",SUMIFS(T_SelfStock_Log[Self_Qty],T_SelfStock_Log[Part Name],$A43,T_SelfStock_Log[WeekIndex],63))</f>
        <v/>
      </c>
      <c r="BM43" s="13">
        <f>IF(COUNTIFS(T_SelfStock_Log[Part Name],$A43,T_SelfStock_Log[WeekIndex],64)=0,"",SUMIFS(T_SelfStock_Log[Self_Qty],T_SelfStock_Log[Part Name],$A43,T_SelfStock_Log[WeekIndex],64))</f>
        <v/>
      </c>
      <c r="BN43" s="13">
        <f>IF(COUNTIFS(T_SelfStock_Log[Part Name],$A43,T_SelfStock_Log[WeekIndex],65)=0,"",SUMIFS(T_SelfStock_Log[Self_Qty],T_SelfStock_Log[Part Name],$A43,T_SelfStock_Log[WeekIndex],65))</f>
        <v/>
      </c>
      <c r="BO43" s="13">
        <f>IF(COUNTIFS(T_SelfStock_Log[Part Name],$A43,T_SelfStock_Log[WeekIndex],66)=0,"",SUMIFS(T_SelfStock_Log[Self_Qty],T_SelfStock_Log[Part Name],$A43,T_SelfStock_Log[WeekIndex],66))</f>
        <v/>
      </c>
      <c r="BP43" s="13">
        <f>IF(COUNTIFS(T_SelfStock_Log[Part Name],$A43,T_SelfStock_Log[WeekIndex],67)=0,"",SUMIFS(T_SelfStock_Log[Self_Qty],T_SelfStock_Log[Part Name],$A43,T_SelfStock_Log[WeekIndex],67))</f>
        <v/>
      </c>
      <c r="BQ43" s="13">
        <f>IF(COUNTIFS(T_SelfStock_Log[Part Name],$A43,T_SelfStock_Log[WeekIndex],68)=0,"",SUMIFS(T_SelfStock_Log[Self_Qty],T_SelfStock_Log[Part Name],$A43,T_SelfStock_Log[WeekIndex],68))</f>
        <v/>
      </c>
      <c r="BR43" s="13">
        <f>IF(COUNTIFS(T_SelfStock_Log[Part Name],$A43,T_SelfStock_Log[WeekIndex],69)=0,"",SUMIFS(T_SelfStock_Log[Self_Qty],T_SelfStock_Log[Part Name],$A43,T_SelfStock_Log[WeekIndex],69))</f>
        <v/>
      </c>
      <c r="BS43" s="13">
        <f>IF(COUNTIFS(T_SelfStock_Log[Part Name],$A43,T_SelfStock_Log[WeekIndex],70)=0,"",SUMIFS(T_SelfStock_Log[Self_Qty],T_SelfStock_Log[Part Name],$A43,T_SelfStock_Log[WeekIndex],70))</f>
        <v/>
      </c>
      <c r="BT43" s="13">
        <f>IF(COUNTIFS(T_SelfStock_Log[Part Name],$A43,T_SelfStock_Log[WeekIndex],71)=0,"",SUMIFS(T_SelfStock_Log[Self_Qty],T_SelfStock_Log[Part Name],$A43,T_SelfStock_Log[WeekIndex],71))</f>
        <v/>
      </c>
      <c r="BU43" s="13">
        <f>IF(COUNTIFS(T_SelfStock_Log[Part Name],$A43,T_SelfStock_Log[WeekIndex],72)=0,"",SUMIFS(T_SelfStock_Log[Self_Qty],T_SelfStock_Log[Part Name],$A43,T_SelfStock_Log[WeekIndex],72))</f>
        <v/>
      </c>
      <c r="BV43" s="13">
        <f>IF(COUNTIFS(T_SelfStock_Log[Part Name],$A43,T_SelfStock_Log[WeekIndex],73)=0,"",SUMIFS(T_SelfStock_Log[Self_Qty],T_SelfStock_Log[Part Name],$A43,T_SelfStock_Log[WeekIndex],73))</f>
        <v/>
      </c>
      <c r="BW43" s="13">
        <f>IF(COUNTIFS(T_SelfStock_Log[Part Name],$A43,T_SelfStock_Log[WeekIndex],74)=0,"",SUMIFS(T_SelfStock_Log[Self_Qty],T_SelfStock_Log[Part Name],$A43,T_SelfStock_Log[WeekIndex],74))</f>
        <v/>
      </c>
      <c r="BX43" s="13">
        <f>IF(COUNTIFS(T_SelfStock_Log[Part Name],$A43,T_SelfStock_Log[WeekIndex],75)=0,"",SUMIFS(T_SelfStock_Log[Self_Qty],T_SelfStock_Log[Part Name],$A43,T_SelfStock_Log[WeekIndex],75))</f>
        <v/>
      </c>
      <c r="BY43" s="13">
        <f>IF(COUNTIFS(T_SelfStock_Log[Part Name],$A43,T_SelfStock_Log[WeekIndex],76)=0,"",SUMIFS(T_SelfStock_Log[Self_Qty],T_SelfStock_Log[Part Name],$A43,T_SelfStock_Log[WeekIndex],76))</f>
        <v/>
      </c>
      <c r="BZ43" s="13">
        <f>IF(COUNTIFS(T_SelfStock_Log[Part Name],$A43,T_SelfStock_Log[WeekIndex],77)=0,"",SUMIFS(T_SelfStock_Log[Self_Qty],T_SelfStock_Log[Part Name],$A43,T_SelfStock_Log[WeekIndex],77))</f>
        <v/>
      </c>
      <c r="CA43" s="13">
        <f>IF(COUNTIFS(T_SelfStock_Log[Part Name],$A43,T_SelfStock_Log[WeekIndex],78)=0,"",SUMIFS(T_SelfStock_Log[Self_Qty],T_SelfStock_Log[Part Name],$A43,T_SelfStock_Log[WeekIndex],78))</f>
        <v/>
      </c>
      <c r="CB43" s="13">
        <f>IF(COUNTIFS(T_SelfStock_Log[Part Name],$A43,T_SelfStock_Log[WeekIndex],79)=0,"",SUMIFS(T_SelfStock_Log[Self_Qty],T_SelfStock_Log[Part Name],$A43,T_SelfStock_Log[WeekIndex],79))</f>
        <v/>
      </c>
      <c r="CC43" s="13">
        <f>IF(COUNTIFS(T_SelfStock_Log[Part Name],$A43,T_SelfStock_Log[WeekIndex],80)=0,"",SUMIFS(T_SelfStock_Log[Self_Qty],T_SelfStock_Log[Part Name],$A43,T_SelfStock_Log[WeekIndex],80))</f>
        <v/>
      </c>
      <c r="CD43" s="13">
        <f>IF(COUNTIFS(T_SelfStock_Log[Part Name],$A43,T_SelfStock_Log[WeekIndex],81)=0,"",SUMIFS(T_SelfStock_Log[Self_Qty],T_SelfStock_Log[Part Name],$A43,T_SelfStock_Log[WeekIndex],81))</f>
        <v/>
      </c>
      <c r="CE43" s="13">
        <f>IF(COUNTIFS(T_SelfStock_Log[Part Name],$A43,T_SelfStock_Log[WeekIndex],82)=0,"",SUMIFS(T_SelfStock_Log[Self_Qty],T_SelfStock_Log[Part Name],$A43,T_SelfStock_Log[WeekIndex],82))</f>
        <v/>
      </c>
      <c r="CF43" s="13">
        <f>IF(COUNTIFS(T_SelfStock_Log[Part Name],$A43,T_SelfStock_Log[WeekIndex],83)=0,"",SUMIFS(T_SelfStock_Log[Self_Qty],T_SelfStock_Log[Part Name],$A43,T_SelfStock_Log[WeekIndex],83))</f>
        <v/>
      </c>
      <c r="CG43" s="13">
        <f>IF(COUNTIFS(T_SelfStock_Log[Part Name],$A43,T_SelfStock_Log[WeekIndex],84)=0,"",SUMIFS(T_SelfStock_Log[Self_Qty],T_SelfStock_Log[Part Name],$A43,T_SelfStock_Log[WeekIndex],84))</f>
        <v/>
      </c>
      <c r="CH43" s="13">
        <f>IF(COUNTIFS(T_SelfStock_Log[Part Name],$A43,T_SelfStock_Log[WeekIndex],85)=0,"",SUMIFS(T_SelfStock_Log[Self_Qty],T_SelfStock_Log[Part Name],$A43,T_SelfStock_Log[WeekIndex],85))</f>
        <v/>
      </c>
      <c r="CI43" s="13">
        <f>IF(COUNTIFS(T_SelfStock_Log[Part Name],$A43,T_SelfStock_Log[WeekIndex],86)=0,"",SUMIFS(T_SelfStock_Log[Self_Qty],T_SelfStock_Log[Part Name],$A43,T_SelfStock_Log[WeekIndex],86))</f>
        <v/>
      </c>
      <c r="CJ43" s="13">
        <f>IF(COUNTIFS(T_SelfStock_Log[Part Name],$A43,T_SelfStock_Log[WeekIndex],87)=0,"",SUMIFS(T_SelfStock_Log[Self_Qty],T_SelfStock_Log[Part Name],$A43,T_SelfStock_Log[WeekIndex],87))</f>
        <v/>
      </c>
      <c r="CK43" s="13">
        <f>IF(COUNTIFS(T_SelfStock_Log[Part Name],$A43,T_SelfStock_Log[WeekIndex],88)=0,"",SUMIFS(T_SelfStock_Log[Self_Qty],T_SelfStock_Log[Part Name],$A43,T_SelfStock_Log[WeekIndex],88))</f>
        <v/>
      </c>
      <c r="CL43" s="13">
        <f>IF(COUNTIFS(T_SelfStock_Log[Part Name],$A43,T_SelfStock_Log[WeekIndex],89)=0,"",SUMIFS(T_SelfStock_Log[Self_Qty],T_SelfStock_Log[Part Name],$A43,T_SelfStock_Log[WeekIndex],89))</f>
        <v/>
      </c>
      <c r="CM43" s="13">
        <f>IF(COUNTIFS(T_SelfStock_Log[Part Name],$A43,T_SelfStock_Log[WeekIndex],90)=0,"",SUMIFS(T_SelfStock_Log[Self_Qty],T_SelfStock_Log[Part Name],$A43,T_SelfStock_Log[WeekIndex],90))</f>
        <v/>
      </c>
      <c r="CN43" s="13">
        <f>IF(COUNTIFS(T_SelfStock_Log[Part Name],$A43,T_SelfStock_Log[WeekIndex],91)=0,"",SUMIFS(T_SelfStock_Log[Self_Qty],T_SelfStock_Log[Part Name],$A43,T_SelfStock_Log[WeekIndex],91))</f>
        <v/>
      </c>
      <c r="CO43" s="13">
        <f>IF(COUNTIFS(T_SelfStock_Log[Part Name],$A43,T_SelfStock_Log[WeekIndex],92)=0,"",SUMIFS(T_SelfStock_Log[Self_Qty],T_SelfStock_Log[Part Name],$A43,T_SelfStock_Log[WeekIndex],92))</f>
        <v/>
      </c>
      <c r="CP43" s="13">
        <f>IF(COUNTIFS(T_SelfStock_Log[Part Name],$A43,T_SelfStock_Log[WeekIndex],93)=0,"",SUMIFS(T_SelfStock_Log[Self_Qty],T_SelfStock_Log[Part Name],$A43,T_SelfStock_Log[WeekIndex],93))</f>
        <v/>
      </c>
      <c r="CQ43" s="13">
        <f>IF(COUNTIFS(T_SelfStock_Log[Part Name],$A43,T_SelfStock_Log[WeekIndex],94)=0,"",SUMIFS(T_SelfStock_Log[Self_Qty],T_SelfStock_Log[Part Name],$A43,T_SelfStock_Log[WeekIndex],94))</f>
        <v/>
      </c>
      <c r="CR43" s="13">
        <f>IF(COUNTIFS(T_SelfStock_Log[Part Name],$A43,T_SelfStock_Log[WeekIndex],95)=0,"",SUMIFS(T_SelfStock_Log[Self_Qty],T_SelfStock_Log[Part Name],$A43,T_SelfStock_Log[WeekIndex],95))</f>
        <v/>
      </c>
      <c r="CS43" s="13">
        <f>IF(COUNTIFS(T_SelfStock_Log[Part Name],$A43,T_SelfStock_Log[WeekIndex],96)=0,"",SUMIFS(T_SelfStock_Log[Self_Qty],T_SelfStock_Log[Part Name],$A43,T_SelfStock_Log[WeekIndex],96))</f>
        <v/>
      </c>
      <c r="CT43" s="13">
        <f>IF(COUNTIFS(T_SelfStock_Log[Part Name],$A43,T_SelfStock_Log[WeekIndex],97)=0,"",SUMIFS(T_SelfStock_Log[Self_Qty],T_SelfStock_Log[Part Name],$A43,T_SelfStock_Log[WeekIndex],97))</f>
        <v/>
      </c>
      <c r="CU43" s="13">
        <f>IF(COUNTIFS(T_SelfStock_Log[Part Name],$A43,T_SelfStock_Log[WeekIndex],98)=0,"",SUMIFS(T_SelfStock_Log[Self_Qty],T_SelfStock_Log[Part Name],$A43,T_SelfStock_Log[WeekIndex],98))</f>
        <v/>
      </c>
      <c r="CV43" s="13">
        <f>IF(COUNTIFS(T_SelfStock_Log[Part Name],$A43,T_SelfStock_Log[WeekIndex],99)=0,"",SUMIFS(T_SelfStock_Log[Self_Qty],T_SelfStock_Log[Part Name],$A43,T_SelfStock_Log[WeekIndex],99))</f>
        <v/>
      </c>
      <c r="CW43" s="13">
        <f>IF(COUNTIFS(T_SelfStock_Log[Part Name],$A43,T_SelfStock_Log[WeekIndex],100)=0,"",SUMIFS(T_SelfStock_Log[Self_Qty],T_SelfStock_Log[Part Name],$A43,T_SelfStock_Log[WeekIndex],100))</f>
        <v/>
      </c>
      <c r="CX43" s="13">
        <f>IF(COUNTIFS(T_SelfStock_Log[Part Name],$A43,T_SelfStock_Log[WeekIndex],101)=0,"",SUMIFS(T_SelfStock_Log[Self_Qty],T_SelfStock_Log[Part Name],$A43,T_SelfStock_Log[WeekIndex],101))</f>
        <v/>
      </c>
      <c r="CY43" s="13">
        <f>IF(COUNTIFS(T_SelfStock_Log[Part Name],$A43,T_SelfStock_Log[WeekIndex],102)=0,"",SUMIFS(T_SelfStock_Log[Self_Qty],T_SelfStock_Log[Part Name],$A43,T_SelfStock_Log[WeekIndex],102))</f>
        <v/>
      </c>
      <c r="CZ43" s="13">
        <f>IF(COUNTIFS(T_SelfStock_Log[Part Name],$A43,T_SelfStock_Log[WeekIndex],103)=0,"",SUMIFS(T_SelfStock_Log[Self_Qty],T_SelfStock_Log[Part Name],$A43,T_SelfStock_Log[WeekIndex],103))</f>
        <v/>
      </c>
      <c r="DA43" s="13">
        <f>IF(COUNTIFS(T_SelfStock_Log[Part Name],$A43,T_SelfStock_Log[WeekIndex],104)=0,"",SUMIFS(T_SelfStock_Log[Self_Qty],T_SelfStock_Log[Part Name],$A43,T_SelfStock_Log[WeekIndex],104))</f>
        <v/>
      </c>
    </row>
    <row r="44">
      <c r="A44" s="12" t="inlineStr">
        <is>
          <t>5SN</t>
        </is>
      </c>
      <c r="B44" s="12">
        <f>IF(COUNTIFS(T_SelfStock_Log[Part Name],$A44,T_SelfStock_Log[WeekIndex],1)=0,"",SUMIFS(T_SelfStock_Log[Self_Qty],T_SelfStock_Log[Part Name],$A44,T_SelfStock_Log[WeekIndex],1))</f>
        <v/>
      </c>
      <c r="C44" s="12">
        <f>IF(COUNTIFS(T_SelfStock_Log[Part Name],$A44,T_SelfStock_Log[WeekIndex],2)=0,"",SUMIFS(T_SelfStock_Log[Self_Qty],T_SelfStock_Log[Part Name],$A44,T_SelfStock_Log[WeekIndex],2))</f>
        <v/>
      </c>
      <c r="D44" s="12">
        <f>IF(COUNTIFS(T_SelfStock_Log[Part Name],$A44,T_SelfStock_Log[WeekIndex],3)=0,"",SUMIFS(T_SelfStock_Log[Self_Qty],T_SelfStock_Log[Part Name],$A44,T_SelfStock_Log[WeekIndex],3))</f>
        <v/>
      </c>
      <c r="E44" s="12">
        <f>IF(COUNTIFS(T_SelfStock_Log[Part Name],$A44,T_SelfStock_Log[WeekIndex],4)=0,"",SUMIFS(T_SelfStock_Log[Self_Qty],T_SelfStock_Log[Part Name],$A44,T_SelfStock_Log[WeekIndex],4))</f>
        <v/>
      </c>
      <c r="F44" s="12">
        <f>IF(COUNTIFS(T_SelfStock_Log[Part Name],$A44,T_SelfStock_Log[WeekIndex],5)=0,"",SUMIFS(T_SelfStock_Log[Self_Qty],T_SelfStock_Log[Part Name],$A44,T_SelfStock_Log[WeekIndex],5))</f>
        <v/>
      </c>
      <c r="G44" s="12">
        <f>IF(COUNTIFS(T_SelfStock_Log[Part Name],$A44,T_SelfStock_Log[WeekIndex],6)=0,"",SUMIFS(T_SelfStock_Log[Self_Qty],T_SelfStock_Log[Part Name],$A44,T_SelfStock_Log[WeekIndex],6))</f>
        <v/>
      </c>
      <c r="H44" s="12">
        <f>IF(COUNTIFS(T_SelfStock_Log[Part Name],$A44,T_SelfStock_Log[WeekIndex],7)=0,"",SUMIFS(T_SelfStock_Log[Self_Qty],T_SelfStock_Log[Part Name],$A44,T_SelfStock_Log[WeekIndex],7))</f>
        <v/>
      </c>
      <c r="I44" s="12">
        <f>IF(COUNTIFS(T_SelfStock_Log[Part Name],$A44,T_SelfStock_Log[WeekIndex],8)=0,"",SUMIFS(T_SelfStock_Log[Self_Qty],T_SelfStock_Log[Part Name],$A44,T_SelfStock_Log[WeekIndex],8))</f>
        <v/>
      </c>
      <c r="J44" s="12">
        <f>IF(COUNTIFS(T_SelfStock_Log[Part Name],$A44,T_SelfStock_Log[WeekIndex],9)=0,"",SUMIFS(T_SelfStock_Log[Self_Qty],T_SelfStock_Log[Part Name],$A44,T_SelfStock_Log[WeekIndex],9))</f>
        <v/>
      </c>
      <c r="K44" s="12">
        <f>IF(COUNTIFS(T_SelfStock_Log[Part Name],$A44,T_SelfStock_Log[WeekIndex],10)=0,"",SUMIFS(T_SelfStock_Log[Self_Qty],T_SelfStock_Log[Part Name],$A44,T_SelfStock_Log[WeekIndex],10))</f>
        <v/>
      </c>
      <c r="L44" s="12">
        <f>IF(COUNTIFS(T_SelfStock_Log[Part Name],$A44,T_SelfStock_Log[WeekIndex],11)=0,"",SUMIFS(T_SelfStock_Log[Self_Qty],T_SelfStock_Log[Part Name],$A44,T_SelfStock_Log[WeekIndex],11))</f>
        <v/>
      </c>
      <c r="M44" s="12">
        <f>IF(COUNTIFS(T_SelfStock_Log[Part Name],$A44,T_SelfStock_Log[WeekIndex],12)=0,"",SUMIFS(T_SelfStock_Log[Self_Qty],T_SelfStock_Log[Part Name],$A44,T_SelfStock_Log[WeekIndex],12))</f>
        <v/>
      </c>
      <c r="N44" s="12">
        <f>IF(COUNTIFS(T_SelfStock_Log[Part Name],$A44,T_SelfStock_Log[WeekIndex],13)=0,"",SUMIFS(T_SelfStock_Log[Self_Qty],T_SelfStock_Log[Part Name],$A44,T_SelfStock_Log[WeekIndex],13))</f>
        <v/>
      </c>
      <c r="O44" s="12">
        <f>IF(COUNTIFS(T_SelfStock_Log[Part Name],$A44,T_SelfStock_Log[WeekIndex],14)=0,"",SUMIFS(T_SelfStock_Log[Self_Qty],T_SelfStock_Log[Part Name],$A44,T_SelfStock_Log[WeekIndex],14))</f>
        <v/>
      </c>
      <c r="P44" s="12">
        <f>IF(COUNTIFS(T_SelfStock_Log[Part Name],$A44,T_SelfStock_Log[WeekIndex],15)=0,"",SUMIFS(T_SelfStock_Log[Self_Qty],T_SelfStock_Log[Part Name],$A44,T_SelfStock_Log[WeekIndex],15))</f>
        <v/>
      </c>
      <c r="Q44" s="12">
        <f>IF(COUNTIFS(T_SelfStock_Log[Part Name],$A44,T_SelfStock_Log[WeekIndex],16)=0,"",SUMIFS(T_SelfStock_Log[Self_Qty],T_SelfStock_Log[Part Name],$A44,T_SelfStock_Log[WeekIndex],16))</f>
        <v/>
      </c>
      <c r="R44" s="12">
        <f>IF(COUNTIFS(T_SelfStock_Log[Part Name],$A44,T_SelfStock_Log[WeekIndex],17)=0,"",SUMIFS(T_SelfStock_Log[Self_Qty],T_SelfStock_Log[Part Name],$A44,T_SelfStock_Log[WeekIndex],17))</f>
        <v/>
      </c>
      <c r="S44" s="12">
        <f>IF(COUNTIFS(T_SelfStock_Log[Part Name],$A44,T_SelfStock_Log[WeekIndex],18)=0,"",SUMIFS(T_SelfStock_Log[Self_Qty],T_SelfStock_Log[Part Name],$A44,T_SelfStock_Log[WeekIndex],18))</f>
        <v/>
      </c>
      <c r="T44" s="12">
        <f>IF(COUNTIFS(T_SelfStock_Log[Part Name],$A44,T_SelfStock_Log[WeekIndex],19)=0,"",SUMIFS(T_SelfStock_Log[Self_Qty],T_SelfStock_Log[Part Name],$A44,T_SelfStock_Log[WeekIndex],19))</f>
        <v/>
      </c>
      <c r="U44" s="12">
        <f>IF(COUNTIFS(T_SelfStock_Log[Part Name],$A44,T_SelfStock_Log[WeekIndex],20)=0,"",SUMIFS(T_SelfStock_Log[Self_Qty],T_SelfStock_Log[Part Name],$A44,T_SelfStock_Log[WeekIndex],20))</f>
        <v/>
      </c>
      <c r="V44" s="12">
        <f>IF(COUNTIFS(T_SelfStock_Log[Part Name],$A44,T_SelfStock_Log[WeekIndex],21)=0,"",SUMIFS(T_SelfStock_Log[Self_Qty],T_SelfStock_Log[Part Name],$A44,T_SelfStock_Log[WeekIndex],21))</f>
        <v/>
      </c>
      <c r="W44" s="12">
        <f>IF(COUNTIFS(T_SelfStock_Log[Part Name],$A44,T_SelfStock_Log[WeekIndex],22)=0,"",SUMIFS(T_SelfStock_Log[Self_Qty],T_SelfStock_Log[Part Name],$A44,T_SelfStock_Log[WeekIndex],22))</f>
        <v/>
      </c>
      <c r="X44" s="12">
        <f>IF(COUNTIFS(T_SelfStock_Log[Part Name],$A44,T_SelfStock_Log[WeekIndex],23)=0,"",SUMIFS(T_SelfStock_Log[Self_Qty],T_SelfStock_Log[Part Name],$A44,T_SelfStock_Log[WeekIndex],23))</f>
        <v/>
      </c>
      <c r="Y44" s="12">
        <f>IF(COUNTIFS(T_SelfStock_Log[Part Name],$A44,T_SelfStock_Log[WeekIndex],24)=0,"",SUMIFS(T_SelfStock_Log[Self_Qty],T_SelfStock_Log[Part Name],$A44,T_SelfStock_Log[WeekIndex],24))</f>
        <v/>
      </c>
      <c r="Z44" s="12">
        <f>IF(COUNTIFS(T_SelfStock_Log[Part Name],$A44,T_SelfStock_Log[WeekIndex],25)=0,"",SUMIFS(T_SelfStock_Log[Self_Qty],T_SelfStock_Log[Part Name],$A44,T_SelfStock_Log[WeekIndex],25))</f>
        <v/>
      </c>
      <c r="AA44" s="12">
        <f>IF(COUNTIFS(T_SelfStock_Log[Part Name],$A44,T_SelfStock_Log[WeekIndex],26)=0,"",SUMIFS(T_SelfStock_Log[Self_Qty],T_SelfStock_Log[Part Name],$A44,T_SelfStock_Log[WeekIndex],26))</f>
        <v/>
      </c>
      <c r="AB44" s="12">
        <f>IF(COUNTIFS(T_SelfStock_Log[Part Name],$A44,T_SelfStock_Log[WeekIndex],27)=0,"",SUMIFS(T_SelfStock_Log[Self_Qty],T_SelfStock_Log[Part Name],$A44,T_SelfStock_Log[WeekIndex],27))</f>
        <v/>
      </c>
      <c r="AC44" s="12">
        <f>IF(COUNTIFS(T_SelfStock_Log[Part Name],$A44,T_SelfStock_Log[WeekIndex],28)=0,"",SUMIFS(T_SelfStock_Log[Self_Qty],T_SelfStock_Log[Part Name],$A44,T_SelfStock_Log[WeekIndex],28))</f>
        <v/>
      </c>
      <c r="AD44" s="12">
        <f>IF(COUNTIFS(T_SelfStock_Log[Part Name],$A44,T_SelfStock_Log[WeekIndex],29)=0,"",SUMIFS(T_SelfStock_Log[Self_Qty],T_SelfStock_Log[Part Name],$A44,T_SelfStock_Log[WeekIndex],29))</f>
        <v/>
      </c>
      <c r="AE44" s="12">
        <f>IF(COUNTIFS(T_SelfStock_Log[Part Name],$A44,T_SelfStock_Log[WeekIndex],30)=0,"",SUMIFS(T_SelfStock_Log[Self_Qty],T_SelfStock_Log[Part Name],$A44,T_SelfStock_Log[WeekIndex],30))</f>
        <v/>
      </c>
      <c r="AF44" s="12">
        <f>IF(COUNTIFS(T_SelfStock_Log[Part Name],$A44,T_SelfStock_Log[WeekIndex],31)=0,"",SUMIFS(T_SelfStock_Log[Self_Qty],T_SelfStock_Log[Part Name],$A44,T_SelfStock_Log[WeekIndex],31))</f>
        <v/>
      </c>
      <c r="AG44" s="12">
        <f>IF(COUNTIFS(T_SelfStock_Log[Part Name],$A44,T_SelfStock_Log[WeekIndex],32)=0,"",SUMIFS(T_SelfStock_Log[Self_Qty],T_SelfStock_Log[Part Name],$A44,T_SelfStock_Log[WeekIndex],32))</f>
        <v/>
      </c>
      <c r="AH44" s="12">
        <f>IF(COUNTIFS(T_SelfStock_Log[Part Name],$A44,T_SelfStock_Log[WeekIndex],33)=0,"",SUMIFS(T_SelfStock_Log[Self_Qty],T_SelfStock_Log[Part Name],$A44,T_SelfStock_Log[WeekIndex],33))</f>
        <v/>
      </c>
      <c r="AI44" s="12">
        <f>IF(COUNTIFS(T_SelfStock_Log[Part Name],$A44,T_SelfStock_Log[WeekIndex],34)=0,"",SUMIFS(T_SelfStock_Log[Self_Qty],T_SelfStock_Log[Part Name],$A44,T_SelfStock_Log[WeekIndex],34))</f>
        <v/>
      </c>
      <c r="AJ44" s="12">
        <f>IF(COUNTIFS(T_SelfStock_Log[Part Name],$A44,T_SelfStock_Log[WeekIndex],35)=0,"",SUMIFS(T_SelfStock_Log[Self_Qty],T_SelfStock_Log[Part Name],$A44,T_SelfStock_Log[WeekIndex],35))</f>
        <v/>
      </c>
      <c r="AK44" s="12">
        <f>IF(COUNTIFS(T_SelfStock_Log[Part Name],$A44,T_SelfStock_Log[WeekIndex],36)=0,"",SUMIFS(T_SelfStock_Log[Self_Qty],T_SelfStock_Log[Part Name],$A44,T_SelfStock_Log[WeekIndex],36))</f>
        <v/>
      </c>
      <c r="AL44" s="12">
        <f>IF(COUNTIFS(T_SelfStock_Log[Part Name],$A44,T_SelfStock_Log[WeekIndex],37)=0,"",SUMIFS(T_SelfStock_Log[Self_Qty],T_SelfStock_Log[Part Name],$A44,T_SelfStock_Log[WeekIndex],37))</f>
        <v/>
      </c>
      <c r="AM44" s="12">
        <f>IF(COUNTIFS(T_SelfStock_Log[Part Name],$A44,T_SelfStock_Log[WeekIndex],38)=0,"",SUMIFS(T_SelfStock_Log[Self_Qty],T_SelfStock_Log[Part Name],$A44,T_SelfStock_Log[WeekIndex],38))</f>
        <v/>
      </c>
      <c r="AN44" s="12">
        <f>IF(COUNTIFS(T_SelfStock_Log[Part Name],$A44,T_SelfStock_Log[WeekIndex],39)=0,"",SUMIFS(T_SelfStock_Log[Self_Qty],T_SelfStock_Log[Part Name],$A44,T_SelfStock_Log[WeekIndex],39))</f>
        <v/>
      </c>
      <c r="AO44" s="12">
        <f>IF(COUNTIFS(T_SelfStock_Log[Part Name],$A44,T_SelfStock_Log[WeekIndex],40)=0,"",SUMIFS(T_SelfStock_Log[Self_Qty],T_SelfStock_Log[Part Name],$A44,T_SelfStock_Log[WeekIndex],40))</f>
        <v/>
      </c>
      <c r="AP44" s="12">
        <f>IF(COUNTIFS(T_SelfStock_Log[Part Name],$A44,T_SelfStock_Log[WeekIndex],41)=0,"",SUMIFS(T_SelfStock_Log[Self_Qty],T_SelfStock_Log[Part Name],$A44,T_SelfStock_Log[WeekIndex],41))</f>
        <v/>
      </c>
      <c r="AQ44" s="12">
        <f>IF(COUNTIFS(T_SelfStock_Log[Part Name],$A44,T_SelfStock_Log[WeekIndex],42)=0,"",SUMIFS(T_SelfStock_Log[Self_Qty],T_SelfStock_Log[Part Name],$A44,T_SelfStock_Log[WeekIndex],42))</f>
        <v/>
      </c>
      <c r="AR44" s="12">
        <f>IF(COUNTIFS(T_SelfStock_Log[Part Name],$A44,T_SelfStock_Log[WeekIndex],43)=0,"",SUMIFS(T_SelfStock_Log[Self_Qty],T_SelfStock_Log[Part Name],$A44,T_SelfStock_Log[WeekIndex],43))</f>
        <v/>
      </c>
      <c r="AS44" s="12">
        <f>IF(COUNTIFS(T_SelfStock_Log[Part Name],$A44,T_SelfStock_Log[WeekIndex],44)=0,"",SUMIFS(T_SelfStock_Log[Self_Qty],T_SelfStock_Log[Part Name],$A44,T_SelfStock_Log[WeekIndex],44))</f>
        <v/>
      </c>
      <c r="AT44" s="12">
        <f>IF(COUNTIFS(T_SelfStock_Log[Part Name],$A44,T_SelfStock_Log[WeekIndex],45)=0,"",SUMIFS(T_SelfStock_Log[Self_Qty],T_SelfStock_Log[Part Name],$A44,T_SelfStock_Log[WeekIndex],45))</f>
        <v/>
      </c>
      <c r="AU44" s="12">
        <f>IF(COUNTIFS(T_SelfStock_Log[Part Name],$A44,T_SelfStock_Log[WeekIndex],46)=0,"",SUMIFS(T_SelfStock_Log[Self_Qty],T_SelfStock_Log[Part Name],$A44,T_SelfStock_Log[WeekIndex],46))</f>
        <v/>
      </c>
      <c r="AV44" s="12">
        <f>IF(COUNTIFS(T_SelfStock_Log[Part Name],$A44,T_SelfStock_Log[WeekIndex],47)=0,"",SUMIFS(T_SelfStock_Log[Self_Qty],T_SelfStock_Log[Part Name],$A44,T_SelfStock_Log[WeekIndex],47))</f>
        <v/>
      </c>
      <c r="AW44" s="12">
        <f>IF(COUNTIFS(T_SelfStock_Log[Part Name],$A44,T_SelfStock_Log[WeekIndex],48)=0,"",SUMIFS(T_SelfStock_Log[Self_Qty],T_SelfStock_Log[Part Name],$A44,T_SelfStock_Log[WeekIndex],48))</f>
        <v/>
      </c>
      <c r="AX44" s="12">
        <f>IF(COUNTIFS(T_SelfStock_Log[Part Name],$A44,T_SelfStock_Log[WeekIndex],49)=0,"",SUMIFS(T_SelfStock_Log[Self_Qty],T_SelfStock_Log[Part Name],$A44,T_SelfStock_Log[WeekIndex],49))</f>
        <v/>
      </c>
      <c r="AY44" s="12">
        <f>IF(COUNTIFS(T_SelfStock_Log[Part Name],$A44,T_SelfStock_Log[WeekIndex],50)=0,"",SUMIFS(T_SelfStock_Log[Self_Qty],T_SelfStock_Log[Part Name],$A44,T_SelfStock_Log[WeekIndex],50))</f>
        <v/>
      </c>
      <c r="AZ44" s="12">
        <f>IF(COUNTIFS(T_SelfStock_Log[Part Name],$A44,T_SelfStock_Log[WeekIndex],51)=0,"",SUMIFS(T_SelfStock_Log[Self_Qty],T_SelfStock_Log[Part Name],$A44,T_SelfStock_Log[WeekIndex],51))</f>
        <v/>
      </c>
      <c r="BA44" s="12">
        <f>IF(COUNTIFS(T_SelfStock_Log[Part Name],$A44,T_SelfStock_Log[WeekIndex],52)=0,"",SUMIFS(T_SelfStock_Log[Self_Qty],T_SelfStock_Log[Part Name],$A44,T_SelfStock_Log[WeekIndex],52))</f>
        <v/>
      </c>
      <c r="BB44" s="12">
        <f>IF(COUNTIFS(T_SelfStock_Log[Part Name],$A44,T_SelfStock_Log[WeekIndex],53)=0,"",SUMIFS(T_SelfStock_Log[Self_Qty],T_SelfStock_Log[Part Name],$A44,T_SelfStock_Log[WeekIndex],53))</f>
        <v/>
      </c>
      <c r="BC44" s="12">
        <f>IF(COUNTIFS(T_SelfStock_Log[Part Name],$A44,T_SelfStock_Log[WeekIndex],54)=0,"",SUMIFS(T_SelfStock_Log[Self_Qty],T_SelfStock_Log[Part Name],$A44,T_SelfStock_Log[WeekIndex],54))</f>
        <v/>
      </c>
      <c r="BD44" s="12">
        <f>IF(COUNTIFS(T_SelfStock_Log[Part Name],$A44,T_SelfStock_Log[WeekIndex],55)=0,"",SUMIFS(T_SelfStock_Log[Self_Qty],T_SelfStock_Log[Part Name],$A44,T_SelfStock_Log[WeekIndex],55))</f>
        <v/>
      </c>
      <c r="BE44" s="12">
        <f>IF(COUNTIFS(T_SelfStock_Log[Part Name],$A44,T_SelfStock_Log[WeekIndex],56)=0,"",SUMIFS(T_SelfStock_Log[Self_Qty],T_SelfStock_Log[Part Name],$A44,T_SelfStock_Log[WeekIndex],56))</f>
        <v/>
      </c>
      <c r="BF44" s="12">
        <f>IF(COUNTIFS(T_SelfStock_Log[Part Name],$A44,T_SelfStock_Log[WeekIndex],57)=0,"",SUMIFS(T_SelfStock_Log[Self_Qty],T_SelfStock_Log[Part Name],$A44,T_SelfStock_Log[WeekIndex],57))</f>
        <v/>
      </c>
      <c r="BG44" s="12">
        <f>IF(COUNTIFS(T_SelfStock_Log[Part Name],$A44,T_SelfStock_Log[WeekIndex],58)=0,"",SUMIFS(T_SelfStock_Log[Self_Qty],T_SelfStock_Log[Part Name],$A44,T_SelfStock_Log[WeekIndex],58))</f>
        <v/>
      </c>
      <c r="BH44" s="12">
        <f>IF(COUNTIFS(T_SelfStock_Log[Part Name],$A44,T_SelfStock_Log[WeekIndex],59)=0,"",SUMIFS(T_SelfStock_Log[Self_Qty],T_SelfStock_Log[Part Name],$A44,T_SelfStock_Log[WeekIndex],59))</f>
        <v/>
      </c>
      <c r="BI44" s="12">
        <f>IF(COUNTIFS(T_SelfStock_Log[Part Name],$A44,T_SelfStock_Log[WeekIndex],60)=0,"",SUMIFS(T_SelfStock_Log[Self_Qty],T_SelfStock_Log[Part Name],$A44,T_SelfStock_Log[WeekIndex],60))</f>
        <v/>
      </c>
      <c r="BJ44" s="12">
        <f>IF(COUNTIFS(T_SelfStock_Log[Part Name],$A44,T_SelfStock_Log[WeekIndex],61)=0,"",SUMIFS(T_SelfStock_Log[Self_Qty],T_SelfStock_Log[Part Name],$A44,T_SelfStock_Log[WeekIndex],61))</f>
        <v/>
      </c>
      <c r="BK44" s="12">
        <f>IF(COUNTIFS(T_SelfStock_Log[Part Name],$A44,T_SelfStock_Log[WeekIndex],62)=0,"",SUMIFS(T_SelfStock_Log[Self_Qty],T_SelfStock_Log[Part Name],$A44,T_SelfStock_Log[WeekIndex],62))</f>
        <v/>
      </c>
      <c r="BL44" s="12">
        <f>IF(COUNTIFS(T_SelfStock_Log[Part Name],$A44,T_SelfStock_Log[WeekIndex],63)=0,"",SUMIFS(T_SelfStock_Log[Self_Qty],T_SelfStock_Log[Part Name],$A44,T_SelfStock_Log[WeekIndex],63))</f>
        <v/>
      </c>
      <c r="BM44" s="12">
        <f>IF(COUNTIFS(T_SelfStock_Log[Part Name],$A44,T_SelfStock_Log[WeekIndex],64)=0,"",SUMIFS(T_SelfStock_Log[Self_Qty],T_SelfStock_Log[Part Name],$A44,T_SelfStock_Log[WeekIndex],64))</f>
        <v/>
      </c>
      <c r="BN44" s="12">
        <f>IF(COUNTIFS(T_SelfStock_Log[Part Name],$A44,T_SelfStock_Log[WeekIndex],65)=0,"",SUMIFS(T_SelfStock_Log[Self_Qty],T_SelfStock_Log[Part Name],$A44,T_SelfStock_Log[WeekIndex],65))</f>
        <v/>
      </c>
      <c r="BO44" s="12">
        <f>IF(COUNTIFS(T_SelfStock_Log[Part Name],$A44,T_SelfStock_Log[WeekIndex],66)=0,"",SUMIFS(T_SelfStock_Log[Self_Qty],T_SelfStock_Log[Part Name],$A44,T_SelfStock_Log[WeekIndex],66))</f>
        <v/>
      </c>
      <c r="BP44" s="12">
        <f>IF(COUNTIFS(T_SelfStock_Log[Part Name],$A44,T_SelfStock_Log[WeekIndex],67)=0,"",SUMIFS(T_SelfStock_Log[Self_Qty],T_SelfStock_Log[Part Name],$A44,T_SelfStock_Log[WeekIndex],67))</f>
        <v/>
      </c>
      <c r="BQ44" s="12">
        <f>IF(COUNTIFS(T_SelfStock_Log[Part Name],$A44,T_SelfStock_Log[WeekIndex],68)=0,"",SUMIFS(T_SelfStock_Log[Self_Qty],T_SelfStock_Log[Part Name],$A44,T_SelfStock_Log[WeekIndex],68))</f>
        <v/>
      </c>
      <c r="BR44" s="12">
        <f>IF(COUNTIFS(T_SelfStock_Log[Part Name],$A44,T_SelfStock_Log[WeekIndex],69)=0,"",SUMIFS(T_SelfStock_Log[Self_Qty],T_SelfStock_Log[Part Name],$A44,T_SelfStock_Log[WeekIndex],69))</f>
        <v/>
      </c>
      <c r="BS44" s="12">
        <f>IF(COUNTIFS(T_SelfStock_Log[Part Name],$A44,T_SelfStock_Log[WeekIndex],70)=0,"",SUMIFS(T_SelfStock_Log[Self_Qty],T_SelfStock_Log[Part Name],$A44,T_SelfStock_Log[WeekIndex],70))</f>
        <v/>
      </c>
      <c r="BT44" s="12">
        <f>IF(COUNTIFS(T_SelfStock_Log[Part Name],$A44,T_SelfStock_Log[WeekIndex],71)=0,"",SUMIFS(T_SelfStock_Log[Self_Qty],T_SelfStock_Log[Part Name],$A44,T_SelfStock_Log[WeekIndex],71))</f>
        <v/>
      </c>
      <c r="BU44" s="12">
        <f>IF(COUNTIFS(T_SelfStock_Log[Part Name],$A44,T_SelfStock_Log[WeekIndex],72)=0,"",SUMIFS(T_SelfStock_Log[Self_Qty],T_SelfStock_Log[Part Name],$A44,T_SelfStock_Log[WeekIndex],72))</f>
        <v/>
      </c>
      <c r="BV44" s="12">
        <f>IF(COUNTIFS(T_SelfStock_Log[Part Name],$A44,T_SelfStock_Log[WeekIndex],73)=0,"",SUMIFS(T_SelfStock_Log[Self_Qty],T_SelfStock_Log[Part Name],$A44,T_SelfStock_Log[WeekIndex],73))</f>
        <v/>
      </c>
      <c r="BW44" s="12">
        <f>IF(COUNTIFS(T_SelfStock_Log[Part Name],$A44,T_SelfStock_Log[WeekIndex],74)=0,"",SUMIFS(T_SelfStock_Log[Self_Qty],T_SelfStock_Log[Part Name],$A44,T_SelfStock_Log[WeekIndex],74))</f>
        <v/>
      </c>
      <c r="BX44" s="12">
        <f>IF(COUNTIFS(T_SelfStock_Log[Part Name],$A44,T_SelfStock_Log[WeekIndex],75)=0,"",SUMIFS(T_SelfStock_Log[Self_Qty],T_SelfStock_Log[Part Name],$A44,T_SelfStock_Log[WeekIndex],75))</f>
        <v/>
      </c>
      <c r="BY44" s="12">
        <f>IF(COUNTIFS(T_SelfStock_Log[Part Name],$A44,T_SelfStock_Log[WeekIndex],76)=0,"",SUMIFS(T_SelfStock_Log[Self_Qty],T_SelfStock_Log[Part Name],$A44,T_SelfStock_Log[WeekIndex],76))</f>
        <v/>
      </c>
      <c r="BZ44" s="12">
        <f>IF(COUNTIFS(T_SelfStock_Log[Part Name],$A44,T_SelfStock_Log[WeekIndex],77)=0,"",SUMIFS(T_SelfStock_Log[Self_Qty],T_SelfStock_Log[Part Name],$A44,T_SelfStock_Log[WeekIndex],77))</f>
        <v/>
      </c>
      <c r="CA44" s="12">
        <f>IF(COUNTIFS(T_SelfStock_Log[Part Name],$A44,T_SelfStock_Log[WeekIndex],78)=0,"",SUMIFS(T_SelfStock_Log[Self_Qty],T_SelfStock_Log[Part Name],$A44,T_SelfStock_Log[WeekIndex],78))</f>
        <v/>
      </c>
      <c r="CB44" s="12">
        <f>IF(COUNTIFS(T_SelfStock_Log[Part Name],$A44,T_SelfStock_Log[WeekIndex],79)=0,"",SUMIFS(T_SelfStock_Log[Self_Qty],T_SelfStock_Log[Part Name],$A44,T_SelfStock_Log[WeekIndex],79))</f>
        <v/>
      </c>
      <c r="CC44" s="12">
        <f>IF(COUNTIFS(T_SelfStock_Log[Part Name],$A44,T_SelfStock_Log[WeekIndex],80)=0,"",SUMIFS(T_SelfStock_Log[Self_Qty],T_SelfStock_Log[Part Name],$A44,T_SelfStock_Log[WeekIndex],80))</f>
        <v/>
      </c>
      <c r="CD44" s="12">
        <f>IF(COUNTIFS(T_SelfStock_Log[Part Name],$A44,T_SelfStock_Log[WeekIndex],81)=0,"",SUMIFS(T_SelfStock_Log[Self_Qty],T_SelfStock_Log[Part Name],$A44,T_SelfStock_Log[WeekIndex],81))</f>
        <v/>
      </c>
      <c r="CE44" s="12">
        <f>IF(COUNTIFS(T_SelfStock_Log[Part Name],$A44,T_SelfStock_Log[WeekIndex],82)=0,"",SUMIFS(T_SelfStock_Log[Self_Qty],T_SelfStock_Log[Part Name],$A44,T_SelfStock_Log[WeekIndex],82))</f>
        <v/>
      </c>
      <c r="CF44" s="12">
        <f>IF(COUNTIFS(T_SelfStock_Log[Part Name],$A44,T_SelfStock_Log[WeekIndex],83)=0,"",SUMIFS(T_SelfStock_Log[Self_Qty],T_SelfStock_Log[Part Name],$A44,T_SelfStock_Log[WeekIndex],83))</f>
        <v/>
      </c>
      <c r="CG44" s="12">
        <f>IF(COUNTIFS(T_SelfStock_Log[Part Name],$A44,T_SelfStock_Log[WeekIndex],84)=0,"",SUMIFS(T_SelfStock_Log[Self_Qty],T_SelfStock_Log[Part Name],$A44,T_SelfStock_Log[WeekIndex],84))</f>
        <v/>
      </c>
      <c r="CH44" s="12">
        <f>IF(COUNTIFS(T_SelfStock_Log[Part Name],$A44,T_SelfStock_Log[WeekIndex],85)=0,"",SUMIFS(T_SelfStock_Log[Self_Qty],T_SelfStock_Log[Part Name],$A44,T_SelfStock_Log[WeekIndex],85))</f>
        <v/>
      </c>
      <c r="CI44" s="12">
        <f>IF(COUNTIFS(T_SelfStock_Log[Part Name],$A44,T_SelfStock_Log[WeekIndex],86)=0,"",SUMIFS(T_SelfStock_Log[Self_Qty],T_SelfStock_Log[Part Name],$A44,T_SelfStock_Log[WeekIndex],86))</f>
        <v/>
      </c>
      <c r="CJ44" s="12">
        <f>IF(COUNTIFS(T_SelfStock_Log[Part Name],$A44,T_SelfStock_Log[WeekIndex],87)=0,"",SUMIFS(T_SelfStock_Log[Self_Qty],T_SelfStock_Log[Part Name],$A44,T_SelfStock_Log[WeekIndex],87))</f>
        <v/>
      </c>
      <c r="CK44" s="12">
        <f>IF(COUNTIFS(T_SelfStock_Log[Part Name],$A44,T_SelfStock_Log[WeekIndex],88)=0,"",SUMIFS(T_SelfStock_Log[Self_Qty],T_SelfStock_Log[Part Name],$A44,T_SelfStock_Log[WeekIndex],88))</f>
        <v/>
      </c>
      <c r="CL44" s="12">
        <f>IF(COUNTIFS(T_SelfStock_Log[Part Name],$A44,T_SelfStock_Log[WeekIndex],89)=0,"",SUMIFS(T_SelfStock_Log[Self_Qty],T_SelfStock_Log[Part Name],$A44,T_SelfStock_Log[WeekIndex],89))</f>
        <v/>
      </c>
      <c r="CM44" s="12">
        <f>IF(COUNTIFS(T_SelfStock_Log[Part Name],$A44,T_SelfStock_Log[WeekIndex],90)=0,"",SUMIFS(T_SelfStock_Log[Self_Qty],T_SelfStock_Log[Part Name],$A44,T_SelfStock_Log[WeekIndex],90))</f>
        <v/>
      </c>
      <c r="CN44" s="12">
        <f>IF(COUNTIFS(T_SelfStock_Log[Part Name],$A44,T_SelfStock_Log[WeekIndex],91)=0,"",SUMIFS(T_SelfStock_Log[Self_Qty],T_SelfStock_Log[Part Name],$A44,T_SelfStock_Log[WeekIndex],91))</f>
        <v/>
      </c>
      <c r="CO44" s="12">
        <f>IF(COUNTIFS(T_SelfStock_Log[Part Name],$A44,T_SelfStock_Log[WeekIndex],92)=0,"",SUMIFS(T_SelfStock_Log[Self_Qty],T_SelfStock_Log[Part Name],$A44,T_SelfStock_Log[WeekIndex],92))</f>
        <v/>
      </c>
      <c r="CP44" s="12">
        <f>IF(COUNTIFS(T_SelfStock_Log[Part Name],$A44,T_SelfStock_Log[WeekIndex],93)=0,"",SUMIFS(T_SelfStock_Log[Self_Qty],T_SelfStock_Log[Part Name],$A44,T_SelfStock_Log[WeekIndex],93))</f>
        <v/>
      </c>
      <c r="CQ44" s="12">
        <f>IF(COUNTIFS(T_SelfStock_Log[Part Name],$A44,T_SelfStock_Log[WeekIndex],94)=0,"",SUMIFS(T_SelfStock_Log[Self_Qty],T_SelfStock_Log[Part Name],$A44,T_SelfStock_Log[WeekIndex],94))</f>
        <v/>
      </c>
      <c r="CR44" s="12">
        <f>IF(COUNTIFS(T_SelfStock_Log[Part Name],$A44,T_SelfStock_Log[WeekIndex],95)=0,"",SUMIFS(T_SelfStock_Log[Self_Qty],T_SelfStock_Log[Part Name],$A44,T_SelfStock_Log[WeekIndex],95))</f>
        <v/>
      </c>
      <c r="CS44" s="12">
        <f>IF(COUNTIFS(T_SelfStock_Log[Part Name],$A44,T_SelfStock_Log[WeekIndex],96)=0,"",SUMIFS(T_SelfStock_Log[Self_Qty],T_SelfStock_Log[Part Name],$A44,T_SelfStock_Log[WeekIndex],96))</f>
        <v/>
      </c>
      <c r="CT44" s="12">
        <f>IF(COUNTIFS(T_SelfStock_Log[Part Name],$A44,T_SelfStock_Log[WeekIndex],97)=0,"",SUMIFS(T_SelfStock_Log[Self_Qty],T_SelfStock_Log[Part Name],$A44,T_SelfStock_Log[WeekIndex],97))</f>
        <v/>
      </c>
      <c r="CU44" s="12">
        <f>IF(COUNTIFS(T_SelfStock_Log[Part Name],$A44,T_SelfStock_Log[WeekIndex],98)=0,"",SUMIFS(T_SelfStock_Log[Self_Qty],T_SelfStock_Log[Part Name],$A44,T_SelfStock_Log[WeekIndex],98))</f>
        <v/>
      </c>
      <c r="CV44" s="12">
        <f>IF(COUNTIFS(T_SelfStock_Log[Part Name],$A44,T_SelfStock_Log[WeekIndex],99)=0,"",SUMIFS(T_SelfStock_Log[Self_Qty],T_SelfStock_Log[Part Name],$A44,T_SelfStock_Log[WeekIndex],99))</f>
        <v/>
      </c>
      <c r="CW44" s="12">
        <f>IF(COUNTIFS(T_SelfStock_Log[Part Name],$A44,T_SelfStock_Log[WeekIndex],100)=0,"",SUMIFS(T_SelfStock_Log[Self_Qty],T_SelfStock_Log[Part Name],$A44,T_SelfStock_Log[WeekIndex],100))</f>
        <v/>
      </c>
      <c r="CX44" s="12">
        <f>IF(COUNTIFS(T_SelfStock_Log[Part Name],$A44,T_SelfStock_Log[WeekIndex],101)=0,"",SUMIFS(T_SelfStock_Log[Self_Qty],T_SelfStock_Log[Part Name],$A44,T_SelfStock_Log[WeekIndex],101))</f>
        <v/>
      </c>
      <c r="CY44" s="12">
        <f>IF(COUNTIFS(T_SelfStock_Log[Part Name],$A44,T_SelfStock_Log[WeekIndex],102)=0,"",SUMIFS(T_SelfStock_Log[Self_Qty],T_SelfStock_Log[Part Name],$A44,T_SelfStock_Log[WeekIndex],102))</f>
        <v/>
      </c>
      <c r="CZ44" s="12">
        <f>IF(COUNTIFS(T_SelfStock_Log[Part Name],$A44,T_SelfStock_Log[WeekIndex],103)=0,"",SUMIFS(T_SelfStock_Log[Self_Qty],T_SelfStock_Log[Part Name],$A44,T_SelfStock_Log[WeekIndex],103))</f>
        <v/>
      </c>
      <c r="DA44" s="12">
        <f>IF(COUNTIFS(T_SelfStock_Log[Part Name],$A44,T_SelfStock_Log[WeekIndex],104)=0,"",SUMIFS(T_SelfStock_Log[Self_Qty],T_SelfStock_Log[Part Name],$A44,T_SelfStock_Log[WeekIndex],104))</f>
        <v/>
      </c>
    </row>
    <row r="45">
      <c r="A45" s="13" t="inlineStr">
        <is>
          <t>1JN</t>
        </is>
      </c>
      <c r="B45" s="13">
        <f>IF(COUNTIFS(T_SelfStock_Log[Part Name],$A45,T_SelfStock_Log[WeekIndex],1)=0,"",SUMIFS(T_SelfStock_Log[Self_Qty],T_SelfStock_Log[Part Name],$A45,T_SelfStock_Log[WeekIndex],1))</f>
        <v/>
      </c>
      <c r="C45" s="13">
        <f>IF(COUNTIFS(T_SelfStock_Log[Part Name],$A45,T_SelfStock_Log[WeekIndex],2)=0,"",SUMIFS(T_SelfStock_Log[Self_Qty],T_SelfStock_Log[Part Name],$A45,T_SelfStock_Log[WeekIndex],2))</f>
        <v/>
      </c>
      <c r="D45" s="13">
        <f>IF(COUNTIFS(T_SelfStock_Log[Part Name],$A45,T_SelfStock_Log[WeekIndex],3)=0,"",SUMIFS(T_SelfStock_Log[Self_Qty],T_SelfStock_Log[Part Name],$A45,T_SelfStock_Log[WeekIndex],3))</f>
        <v/>
      </c>
      <c r="E45" s="13">
        <f>IF(COUNTIFS(T_SelfStock_Log[Part Name],$A45,T_SelfStock_Log[WeekIndex],4)=0,"",SUMIFS(T_SelfStock_Log[Self_Qty],T_SelfStock_Log[Part Name],$A45,T_SelfStock_Log[WeekIndex],4))</f>
        <v/>
      </c>
      <c r="F45" s="13">
        <f>IF(COUNTIFS(T_SelfStock_Log[Part Name],$A45,T_SelfStock_Log[WeekIndex],5)=0,"",SUMIFS(T_SelfStock_Log[Self_Qty],T_SelfStock_Log[Part Name],$A45,T_SelfStock_Log[WeekIndex],5))</f>
        <v/>
      </c>
      <c r="G45" s="13">
        <f>IF(COUNTIFS(T_SelfStock_Log[Part Name],$A45,T_SelfStock_Log[WeekIndex],6)=0,"",SUMIFS(T_SelfStock_Log[Self_Qty],T_SelfStock_Log[Part Name],$A45,T_SelfStock_Log[WeekIndex],6))</f>
        <v/>
      </c>
      <c r="H45" s="13">
        <f>IF(COUNTIFS(T_SelfStock_Log[Part Name],$A45,T_SelfStock_Log[WeekIndex],7)=0,"",SUMIFS(T_SelfStock_Log[Self_Qty],T_SelfStock_Log[Part Name],$A45,T_SelfStock_Log[WeekIndex],7))</f>
        <v/>
      </c>
      <c r="I45" s="13">
        <f>IF(COUNTIFS(T_SelfStock_Log[Part Name],$A45,T_SelfStock_Log[WeekIndex],8)=0,"",SUMIFS(T_SelfStock_Log[Self_Qty],T_SelfStock_Log[Part Name],$A45,T_SelfStock_Log[WeekIndex],8))</f>
        <v/>
      </c>
      <c r="J45" s="13">
        <f>IF(COUNTIFS(T_SelfStock_Log[Part Name],$A45,T_SelfStock_Log[WeekIndex],9)=0,"",SUMIFS(T_SelfStock_Log[Self_Qty],T_SelfStock_Log[Part Name],$A45,T_SelfStock_Log[WeekIndex],9))</f>
        <v/>
      </c>
      <c r="K45" s="13">
        <f>IF(COUNTIFS(T_SelfStock_Log[Part Name],$A45,T_SelfStock_Log[WeekIndex],10)=0,"",SUMIFS(T_SelfStock_Log[Self_Qty],T_SelfStock_Log[Part Name],$A45,T_SelfStock_Log[WeekIndex],10))</f>
        <v/>
      </c>
      <c r="L45" s="13">
        <f>IF(COUNTIFS(T_SelfStock_Log[Part Name],$A45,T_SelfStock_Log[WeekIndex],11)=0,"",SUMIFS(T_SelfStock_Log[Self_Qty],T_SelfStock_Log[Part Name],$A45,T_SelfStock_Log[WeekIndex],11))</f>
        <v/>
      </c>
      <c r="M45" s="13">
        <f>IF(COUNTIFS(T_SelfStock_Log[Part Name],$A45,T_SelfStock_Log[WeekIndex],12)=0,"",SUMIFS(T_SelfStock_Log[Self_Qty],T_SelfStock_Log[Part Name],$A45,T_SelfStock_Log[WeekIndex],12))</f>
        <v/>
      </c>
      <c r="N45" s="13">
        <f>IF(COUNTIFS(T_SelfStock_Log[Part Name],$A45,T_SelfStock_Log[WeekIndex],13)=0,"",SUMIFS(T_SelfStock_Log[Self_Qty],T_SelfStock_Log[Part Name],$A45,T_SelfStock_Log[WeekIndex],13))</f>
        <v/>
      </c>
      <c r="O45" s="13">
        <f>IF(COUNTIFS(T_SelfStock_Log[Part Name],$A45,T_SelfStock_Log[WeekIndex],14)=0,"",SUMIFS(T_SelfStock_Log[Self_Qty],T_SelfStock_Log[Part Name],$A45,T_SelfStock_Log[WeekIndex],14))</f>
        <v/>
      </c>
      <c r="P45" s="13">
        <f>IF(COUNTIFS(T_SelfStock_Log[Part Name],$A45,T_SelfStock_Log[WeekIndex],15)=0,"",SUMIFS(T_SelfStock_Log[Self_Qty],T_SelfStock_Log[Part Name],$A45,T_SelfStock_Log[WeekIndex],15))</f>
        <v/>
      </c>
      <c r="Q45" s="13">
        <f>IF(COUNTIFS(T_SelfStock_Log[Part Name],$A45,T_SelfStock_Log[WeekIndex],16)=0,"",SUMIFS(T_SelfStock_Log[Self_Qty],T_SelfStock_Log[Part Name],$A45,T_SelfStock_Log[WeekIndex],16))</f>
        <v/>
      </c>
      <c r="R45" s="13">
        <f>IF(COUNTIFS(T_SelfStock_Log[Part Name],$A45,T_SelfStock_Log[WeekIndex],17)=0,"",SUMIFS(T_SelfStock_Log[Self_Qty],T_SelfStock_Log[Part Name],$A45,T_SelfStock_Log[WeekIndex],17))</f>
        <v/>
      </c>
      <c r="S45" s="13">
        <f>IF(COUNTIFS(T_SelfStock_Log[Part Name],$A45,T_SelfStock_Log[WeekIndex],18)=0,"",SUMIFS(T_SelfStock_Log[Self_Qty],T_SelfStock_Log[Part Name],$A45,T_SelfStock_Log[WeekIndex],18))</f>
        <v/>
      </c>
      <c r="T45" s="13">
        <f>IF(COUNTIFS(T_SelfStock_Log[Part Name],$A45,T_SelfStock_Log[WeekIndex],19)=0,"",SUMIFS(T_SelfStock_Log[Self_Qty],T_SelfStock_Log[Part Name],$A45,T_SelfStock_Log[WeekIndex],19))</f>
        <v/>
      </c>
      <c r="U45" s="13">
        <f>IF(COUNTIFS(T_SelfStock_Log[Part Name],$A45,T_SelfStock_Log[WeekIndex],20)=0,"",SUMIFS(T_SelfStock_Log[Self_Qty],T_SelfStock_Log[Part Name],$A45,T_SelfStock_Log[WeekIndex],20))</f>
        <v/>
      </c>
      <c r="V45" s="13">
        <f>IF(COUNTIFS(T_SelfStock_Log[Part Name],$A45,T_SelfStock_Log[WeekIndex],21)=0,"",SUMIFS(T_SelfStock_Log[Self_Qty],T_SelfStock_Log[Part Name],$A45,T_SelfStock_Log[WeekIndex],21))</f>
        <v/>
      </c>
      <c r="W45" s="13">
        <f>IF(COUNTIFS(T_SelfStock_Log[Part Name],$A45,T_SelfStock_Log[WeekIndex],22)=0,"",SUMIFS(T_SelfStock_Log[Self_Qty],T_SelfStock_Log[Part Name],$A45,T_SelfStock_Log[WeekIndex],22))</f>
        <v/>
      </c>
      <c r="X45" s="13">
        <f>IF(COUNTIFS(T_SelfStock_Log[Part Name],$A45,T_SelfStock_Log[WeekIndex],23)=0,"",SUMIFS(T_SelfStock_Log[Self_Qty],T_SelfStock_Log[Part Name],$A45,T_SelfStock_Log[WeekIndex],23))</f>
        <v/>
      </c>
      <c r="Y45" s="13">
        <f>IF(COUNTIFS(T_SelfStock_Log[Part Name],$A45,T_SelfStock_Log[WeekIndex],24)=0,"",SUMIFS(T_SelfStock_Log[Self_Qty],T_SelfStock_Log[Part Name],$A45,T_SelfStock_Log[WeekIndex],24))</f>
        <v/>
      </c>
      <c r="Z45" s="13">
        <f>IF(COUNTIFS(T_SelfStock_Log[Part Name],$A45,T_SelfStock_Log[WeekIndex],25)=0,"",SUMIFS(T_SelfStock_Log[Self_Qty],T_SelfStock_Log[Part Name],$A45,T_SelfStock_Log[WeekIndex],25))</f>
        <v/>
      </c>
      <c r="AA45" s="13">
        <f>IF(COUNTIFS(T_SelfStock_Log[Part Name],$A45,T_SelfStock_Log[WeekIndex],26)=0,"",SUMIFS(T_SelfStock_Log[Self_Qty],T_SelfStock_Log[Part Name],$A45,T_SelfStock_Log[WeekIndex],26))</f>
        <v/>
      </c>
      <c r="AB45" s="13">
        <f>IF(COUNTIFS(T_SelfStock_Log[Part Name],$A45,T_SelfStock_Log[WeekIndex],27)=0,"",SUMIFS(T_SelfStock_Log[Self_Qty],T_SelfStock_Log[Part Name],$A45,T_SelfStock_Log[WeekIndex],27))</f>
        <v/>
      </c>
      <c r="AC45" s="13">
        <f>IF(COUNTIFS(T_SelfStock_Log[Part Name],$A45,T_SelfStock_Log[WeekIndex],28)=0,"",SUMIFS(T_SelfStock_Log[Self_Qty],T_SelfStock_Log[Part Name],$A45,T_SelfStock_Log[WeekIndex],28))</f>
        <v/>
      </c>
      <c r="AD45" s="13">
        <f>IF(COUNTIFS(T_SelfStock_Log[Part Name],$A45,T_SelfStock_Log[WeekIndex],29)=0,"",SUMIFS(T_SelfStock_Log[Self_Qty],T_SelfStock_Log[Part Name],$A45,T_SelfStock_Log[WeekIndex],29))</f>
        <v/>
      </c>
      <c r="AE45" s="13">
        <f>IF(COUNTIFS(T_SelfStock_Log[Part Name],$A45,T_SelfStock_Log[WeekIndex],30)=0,"",SUMIFS(T_SelfStock_Log[Self_Qty],T_SelfStock_Log[Part Name],$A45,T_SelfStock_Log[WeekIndex],30))</f>
        <v/>
      </c>
      <c r="AF45" s="13">
        <f>IF(COUNTIFS(T_SelfStock_Log[Part Name],$A45,T_SelfStock_Log[WeekIndex],31)=0,"",SUMIFS(T_SelfStock_Log[Self_Qty],T_SelfStock_Log[Part Name],$A45,T_SelfStock_Log[WeekIndex],31))</f>
        <v/>
      </c>
      <c r="AG45" s="13">
        <f>IF(COUNTIFS(T_SelfStock_Log[Part Name],$A45,T_SelfStock_Log[WeekIndex],32)=0,"",SUMIFS(T_SelfStock_Log[Self_Qty],T_SelfStock_Log[Part Name],$A45,T_SelfStock_Log[WeekIndex],32))</f>
        <v/>
      </c>
      <c r="AH45" s="13">
        <f>IF(COUNTIFS(T_SelfStock_Log[Part Name],$A45,T_SelfStock_Log[WeekIndex],33)=0,"",SUMIFS(T_SelfStock_Log[Self_Qty],T_SelfStock_Log[Part Name],$A45,T_SelfStock_Log[WeekIndex],33))</f>
        <v/>
      </c>
      <c r="AI45" s="13">
        <f>IF(COUNTIFS(T_SelfStock_Log[Part Name],$A45,T_SelfStock_Log[WeekIndex],34)=0,"",SUMIFS(T_SelfStock_Log[Self_Qty],T_SelfStock_Log[Part Name],$A45,T_SelfStock_Log[WeekIndex],34))</f>
        <v/>
      </c>
      <c r="AJ45" s="13">
        <f>IF(COUNTIFS(T_SelfStock_Log[Part Name],$A45,T_SelfStock_Log[WeekIndex],35)=0,"",SUMIFS(T_SelfStock_Log[Self_Qty],T_SelfStock_Log[Part Name],$A45,T_SelfStock_Log[WeekIndex],35))</f>
        <v/>
      </c>
      <c r="AK45" s="13">
        <f>IF(COUNTIFS(T_SelfStock_Log[Part Name],$A45,T_SelfStock_Log[WeekIndex],36)=0,"",SUMIFS(T_SelfStock_Log[Self_Qty],T_SelfStock_Log[Part Name],$A45,T_SelfStock_Log[WeekIndex],36))</f>
        <v/>
      </c>
      <c r="AL45" s="13">
        <f>IF(COUNTIFS(T_SelfStock_Log[Part Name],$A45,T_SelfStock_Log[WeekIndex],37)=0,"",SUMIFS(T_SelfStock_Log[Self_Qty],T_SelfStock_Log[Part Name],$A45,T_SelfStock_Log[WeekIndex],37))</f>
        <v/>
      </c>
      <c r="AM45" s="13">
        <f>IF(COUNTIFS(T_SelfStock_Log[Part Name],$A45,T_SelfStock_Log[WeekIndex],38)=0,"",SUMIFS(T_SelfStock_Log[Self_Qty],T_SelfStock_Log[Part Name],$A45,T_SelfStock_Log[WeekIndex],38))</f>
        <v/>
      </c>
      <c r="AN45" s="13">
        <f>IF(COUNTIFS(T_SelfStock_Log[Part Name],$A45,T_SelfStock_Log[WeekIndex],39)=0,"",SUMIFS(T_SelfStock_Log[Self_Qty],T_SelfStock_Log[Part Name],$A45,T_SelfStock_Log[WeekIndex],39))</f>
        <v/>
      </c>
      <c r="AO45" s="13">
        <f>IF(COUNTIFS(T_SelfStock_Log[Part Name],$A45,T_SelfStock_Log[WeekIndex],40)=0,"",SUMIFS(T_SelfStock_Log[Self_Qty],T_SelfStock_Log[Part Name],$A45,T_SelfStock_Log[WeekIndex],40))</f>
        <v/>
      </c>
      <c r="AP45" s="13">
        <f>IF(COUNTIFS(T_SelfStock_Log[Part Name],$A45,T_SelfStock_Log[WeekIndex],41)=0,"",SUMIFS(T_SelfStock_Log[Self_Qty],T_SelfStock_Log[Part Name],$A45,T_SelfStock_Log[WeekIndex],41))</f>
        <v/>
      </c>
      <c r="AQ45" s="13">
        <f>IF(COUNTIFS(T_SelfStock_Log[Part Name],$A45,T_SelfStock_Log[WeekIndex],42)=0,"",SUMIFS(T_SelfStock_Log[Self_Qty],T_SelfStock_Log[Part Name],$A45,T_SelfStock_Log[WeekIndex],42))</f>
        <v/>
      </c>
      <c r="AR45" s="13">
        <f>IF(COUNTIFS(T_SelfStock_Log[Part Name],$A45,T_SelfStock_Log[WeekIndex],43)=0,"",SUMIFS(T_SelfStock_Log[Self_Qty],T_SelfStock_Log[Part Name],$A45,T_SelfStock_Log[WeekIndex],43))</f>
        <v/>
      </c>
      <c r="AS45" s="13">
        <f>IF(COUNTIFS(T_SelfStock_Log[Part Name],$A45,T_SelfStock_Log[WeekIndex],44)=0,"",SUMIFS(T_SelfStock_Log[Self_Qty],T_SelfStock_Log[Part Name],$A45,T_SelfStock_Log[WeekIndex],44))</f>
        <v/>
      </c>
      <c r="AT45" s="13">
        <f>IF(COUNTIFS(T_SelfStock_Log[Part Name],$A45,T_SelfStock_Log[WeekIndex],45)=0,"",SUMIFS(T_SelfStock_Log[Self_Qty],T_SelfStock_Log[Part Name],$A45,T_SelfStock_Log[WeekIndex],45))</f>
        <v/>
      </c>
      <c r="AU45" s="13">
        <f>IF(COUNTIFS(T_SelfStock_Log[Part Name],$A45,T_SelfStock_Log[WeekIndex],46)=0,"",SUMIFS(T_SelfStock_Log[Self_Qty],T_SelfStock_Log[Part Name],$A45,T_SelfStock_Log[WeekIndex],46))</f>
        <v/>
      </c>
      <c r="AV45" s="13">
        <f>IF(COUNTIFS(T_SelfStock_Log[Part Name],$A45,T_SelfStock_Log[WeekIndex],47)=0,"",SUMIFS(T_SelfStock_Log[Self_Qty],T_SelfStock_Log[Part Name],$A45,T_SelfStock_Log[WeekIndex],47))</f>
        <v/>
      </c>
      <c r="AW45" s="13">
        <f>IF(COUNTIFS(T_SelfStock_Log[Part Name],$A45,T_SelfStock_Log[WeekIndex],48)=0,"",SUMIFS(T_SelfStock_Log[Self_Qty],T_SelfStock_Log[Part Name],$A45,T_SelfStock_Log[WeekIndex],48))</f>
        <v/>
      </c>
      <c r="AX45" s="13">
        <f>IF(COUNTIFS(T_SelfStock_Log[Part Name],$A45,T_SelfStock_Log[WeekIndex],49)=0,"",SUMIFS(T_SelfStock_Log[Self_Qty],T_SelfStock_Log[Part Name],$A45,T_SelfStock_Log[WeekIndex],49))</f>
        <v/>
      </c>
      <c r="AY45" s="13">
        <f>IF(COUNTIFS(T_SelfStock_Log[Part Name],$A45,T_SelfStock_Log[WeekIndex],50)=0,"",SUMIFS(T_SelfStock_Log[Self_Qty],T_SelfStock_Log[Part Name],$A45,T_SelfStock_Log[WeekIndex],50))</f>
        <v/>
      </c>
      <c r="AZ45" s="13">
        <f>IF(COUNTIFS(T_SelfStock_Log[Part Name],$A45,T_SelfStock_Log[WeekIndex],51)=0,"",SUMIFS(T_SelfStock_Log[Self_Qty],T_SelfStock_Log[Part Name],$A45,T_SelfStock_Log[WeekIndex],51))</f>
        <v/>
      </c>
      <c r="BA45" s="13">
        <f>IF(COUNTIFS(T_SelfStock_Log[Part Name],$A45,T_SelfStock_Log[WeekIndex],52)=0,"",SUMIFS(T_SelfStock_Log[Self_Qty],T_SelfStock_Log[Part Name],$A45,T_SelfStock_Log[WeekIndex],52))</f>
        <v/>
      </c>
      <c r="BB45" s="13">
        <f>IF(COUNTIFS(T_SelfStock_Log[Part Name],$A45,T_SelfStock_Log[WeekIndex],53)=0,"",SUMIFS(T_SelfStock_Log[Self_Qty],T_SelfStock_Log[Part Name],$A45,T_SelfStock_Log[WeekIndex],53))</f>
        <v/>
      </c>
      <c r="BC45" s="13">
        <f>IF(COUNTIFS(T_SelfStock_Log[Part Name],$A45,T_SelfStock_Log[WeekIndex],54)=0,"",SUMIFS(T_SelfStock_Log[Self_Qty],T_SelfStock_Log[Part Name],$A45,T_SelfStock_Log[WeekIndex],54))</f>
        <v/>
      </c>
      <c r="BD45" s="13">
        <f>IF(COUNTIFS(T_SelfStock_Log[Part Name],$A45,T_SelfStock_Log[WeekIndex],55)=0,"",SUMIFS(T_SelfStock_Log[Self_Qty],T_SelfStock_Log[Part Name],$A45,T_SelfStock_Log[WeekIndex],55))</f>
        <v/>
      </c>
      <c r="BE45" s="13">
        <f>IF(COUNTIFS(T_SelfStock_Log[Part Name],$A45,T_SelfStock_Log[WeekIndex],56)=0,"",SUMIFS(T_SelfStock_Log[Self_Qty],T_SelfStock_Log[Part Name],$A45,T_SelfStock_Log[WeekIndex],56))</f>
        <v/>
      </c>
      <c r="BF45" s="13">
        <f>IF(COUNTIFS(T_SelfStock_Log[Part Name],$A45,T_SelfStock_Log[WeekIndex],57)=0,"",SUMIFS(T_SelfStock_Log[Self_Qty],T_SelfStock_Log[Part Name],$A45,T_SelfStock_Log[WeekIndex],57))</f>
        <v/>
      </c>
      <c r="BG45" s="13">
        <f>IF(COUNTIFS(T_SelfStock_Log[Part Name],$A45,T_SelfStock_Log[WeekIndex],58)=0,"",SUMIFS(T_SelfStock_Log[Self_Qty],T_SelfStock_Log[Part Name],$A45,T_SelfStock_Log[WeekIndex],58))</f>
        <v/>
      </c>
      <c r="BH45" s="13">
        <f>IF(COUNTIFS(T_SelfStock_Log[Part Name],$A45,T_SelfStock_Log[WeekIndex],59)=0,"",SUMIFS(T_SelfStock_Log[Self_Qty],T_SelfStock_Log[Part Name],$A45,T_SelfStock_Log[WeekIndex],59))</f>
        <v/>
      </c>
      <c r="BI45" s="13">
        <f>IF(COUNTIFS(T_SelfStock_Log[Part Name],$A45,T_SelfStock_Log[WeekIndex],60)=0,"",SUMIFS(T_SelfStock_Log[Self_Qty],T_SelfStock_Log[Part Name],$A45,T_SelfStock_Log[WeekIndex],60))</f>
        <v/>
      </c>
      <c r="BJ45" s="13">
        <f>IF(COUNTIFS(T_SelfStock_Log[Part Name],$A45,T_SelfStock_Log[WeekIndex],61)=0,"",SUMIFS(T_SelfStock_Log[Self_Qty],T_SelfStock_Log[Part Name],$A45,T_SelfStock_Log[WeekIndex],61))</f>
        <v/>
      </c>
      <c r="BK45" s="13">
        <f>IF(COUNTIFS(T_SelfStock_Log[Part Name],$A45,T_SelfStock_Log[WeekIndex],62)=0,"",SUMIFS(T_SelfStock_Log[Self_Qty],T_SelfStock_Log[Part Name],$A45,T_SelfStock_Log[WeekIndex],62))</f>
        <v/>
      </c>
      <c r="BL45" s="13">
        <f>IF(COUNTIFS(T_SelfStock_Log[Part Name],$A45,T_SelfStock_Log[WeekIndex],63)=0,"",SUMIFS(T_SelfStock_Log[Self_Qty],T_SelfStock_Log[Part Name],$A45,T_SelfStock_Log[WeekIndex],63))</f>
        <v/>
      </c>
      <c r="BM45" s="13">
        <f>IF(COUNTIFS(T_SelfStock_Log[Part Name],$A45,T_SelfStock_Log[WeekIndex],64)=0,"",SUMIFS(T_SelfStock_Log[Self_Qty],T_SelfStock_Log[Part Name],$A45,T_SelfStock_Log[WeekIndex],64))</f>
        <v/>
      </c>
      <c r="BN45" s="13">
        <f>IF(COUNTIFS(T_SelfStock_Log[Part Name],$A45,T_SelfStock_Log[WeekIndex],65)=0,"",SUMIFS(T_SelfStock_Log[Self_Qty],T_SelfStock_Log[Part Name],$A45,T_SelfStock_Log[WeekIndex],65))</f>
        <v/>
      </c>
      <c r="BO45" s="13">
        <f>IF(COUNTIFS(T_SelfStock_Log[Part Name],$A45,T_SelfStock_Log[WeekIndex],66)=0,"",SUMIFS(T_SelfStock_Log[Self_Qty],T_SelfStock_Log[Part Name],$A45,T_SelfStock_Log[WeekIndex],66))</f>
        <v/>
      </c>
      <c r="BP45" s="13">
        <f>IF(COUNTIFS(T_SelfStock_Log[Part Name],$A45,T_SelfStock_Log[WeekIndex],67)=0,"",SUMIFS(T_SelfStock_Log[Self_Qty],T_SelfStock_Log[Part Name],$A45,T_SelfStock_Log[WeekIndex],67))</f>
        <v/>
      </c>
      <c r="BQ45" s="13">
        <f>IF(COUNTIFS(T_SelfStock_Log[Part Name],$A45,T_SelfStock_Log[WeekIndex],68)=0,"",SUMIFS(T_SelfStock_Log[Self_Qty],T_SelfStock_Log[Part Name],$A45,T_SelfStock_Log[WeekIndex],68))</f>
        <v/>
      </c>
      <c r="BR45" s="13">
        <f>IF(COUNTIFS(T_SelfStock_Log[Part Name],$A45,T_SelfStock_Log[WeekIndex],69)=0,"",SUMIFS(T_SelfStock_Log[Self_Qty],T_SelfStock_Log[Part Name],$A45,T_SelfStock_Log[WeekIndex],69))</f>
        <v/>
      </c>
      <c r="BS45" s="13">
        <f>IF(COUNTIFS(T_SelfStock_Log[Part Name],$A45,T_SelfStock_Log[WeekIndex],70)=0,"",SUMIFS(T_SelfStock_Log[Self_Qty],T_SelfStock_Log[Part Name],$A45,T_SelfStock_Log[WeekIndex],70))</f>
        <v/>
      </c>
      <c r="BT45" s="13">
        <f>IF(COUNTIFS(T_SelfStock_Log[Part Name],$A45,T_SelfStock_Log[WeekIndex],71)=0,"",SUMIFS(T_SelfStock_Log[Self_Qty],T_SelfStock_Log[Part Name],$A45,T_SelfStock_Log[WeekIndex],71))</f>
        <v/>
      </c>
      <c r="BU45" s="13">
        <f>IF(COUNTIFS(T_SelfStock_Log[Part Name],$A45,T_SelfStock_Log[WeekIndex],72)=0,"",SUMIFS(T_SelfStock_Log[Self_Qty],T_SelfStock_Log[Part Name],$A45,T_SelfStock_Log[WeekIndex],72))</f>
        <v/>
      </c>
      <c r="BV45" s="13">
        <f>IF(COUNTIFS(T_SelfStock_Log[Part Name],$A45,T_SelfStock_Log[WeekIndex],73)=0,"",SUMIFS(T_SelfStock_Log[Self_Qty],T_SelfStock_Log[Part Name],$A45,T_SelfStock_Log[WeekIndex],73))</f>
        <v/>
      </c>
      <c r="BW45" s="13">
        <f>IF(COUNTIFS(T_SelfStock_Log[Part Name],$A45,T_SelfStock_Log[WeekIndex],74)=0,"",SUMIFS(T_SelfStock_Log[Self_Qty],T_SelfStock_Log[Part Name],$A45,T_SelfStock_Log[WeekIndex],74))</f>
        <v/>
      </c>
      <c r="BX45" s="13">
        <f>IF(COUNTIFS(T_SelfStock_Log[Part Name],$A45,T_SelfStock_Log[WeekIndex],75)=0,"",SUMIFS(T_SelfStock_Log[Self_Qty],T_SelfStock_Log[Part Name],$A45,T_SelfStock_Log[WeekIndex],75))</f>
        <v/>
      </c>
      <c r="BY45" s="13">
        <f>IF(COUNTIFS(T_SelfStock_Log[Part Name],$A45,T_SelfStock_Log[WeekIndex],76)=0,"",SUMIFS(T_SelfStock_Log[Self_Qty],T_SelfStock_Log[Part Name],$A45,T_SelfStock_Log[WeekIndex],76))</f>
        <v/>
      </c>
      <c r="BZ45" s="13">
        <f>IF(COUNTIFS(T_SelfStock_Log[Part Name],$A45,T_SelfStock_Log[WeekIndex],77)=0,"",SUMIFS(T_SelfStock_Log[Self_Qty],T_SelfStock_Log[Part Name],$A45,T_SelfStock_Log[WeekIndex],77))</f>
        <v/>
      </c>
      <c r="CA45" s="13">
        <f>IF(COUNTIFS(T_SelfStock_Log[Part Name],$A45,T_SelfStock_Log[WeekIndex],78)=0,"",SUMIFS(T_SelfStock_Log[Self_Qty],T_SelfStock_Log[Part Name],$A45,T_SelfStock_Log[WeekIndex],78))</f>
        <v/>
      </c>
      <c r="CB45" s="13">
        <f>IF(COUNTIFS(T_SelfStock_Log[Part Name],$A45,T_SelfStock_Log[WeekIndex],79)=0,"",SUMIFS(T_SelfStock_Log[Self_Qty],T_SelfStock_Log[Part Name],$A45,T_SelfStock_Log[WeekIndex],79))</f>
        <v/>
      </c>
      <c r="CC45" s="13">
        <f>IF(COUNTIFS(T_SelfStock_Log[Part Name],$A45,T_SelfStock_Log[WeekIndex],80)=0,"",SUMIFS(T_SelfStock_Log[Self_Qty],T_SelfStock_Log[Part Name],$A45,T_SelfStock_Log[WeekIndex],80))</f>
        <v/>
      </c>
      <c r="CD45" s="13">
        <f>IF(COUNTIFS(T_SelfStock_Log[Part Name],$A45,T_SelfStock_Log[WeekIndex],81)=0,"",SUMIFS(T_SelfStock_Log[Self_Qty],T_SelfStock_Log[Part Name],$A45,T_SelfStock_Log[WeekIndex],81))</f>
        <v/>
      </c>
      <c r="CE45" s="13">
        <f>IF(COUNTIFS(T_SelfStock_Log[Part Name],$A45,T_SelfStock_Log[WeekIndex],82)=0,"",SUMIFS(T_SelfStock_Log[Self_Qty],T_SelfStock_Log[Part Name],$A45,T_SelfStock_Log[WeekIndex],82))</f>
        <v/>
      </c>
      <c r="CF45" s="13">
        <f>IF(COUNTIFS(T_SelfStock_Log[Part Name],$A45,T_SelfStock_Log[WeekIndex],83)=0,"",SUMIFS(T_SelfStock_Log[Self_Qty],T_SelfStock_Log[Part Name],$A45,T_SelfStock_Log[WeekIndex],83))</f>
        <v/>
      </c>
      <c r="CG45" s="13">
        <f>IF(COUNTIFS(T_SelfStock_Log[Part Name],$A45,T_SelfStock_Log[WeekIndex],84)=0,"",SUMIFS(T_SelfStock_Log[Self_Qty],T_SelfStock_Log[Part Name],$A45,T_SelfStock_Log[WeekIndex],84))</f>
        <v/>
      </c>
      <c r="CH45" s="13">
        <f>IF(COUNTIFS(T_SelfStock_Log[Part Name],$A45,T_SelfStock_Log[WeekIndex],85)=0,"",SUMIFS(T_SelfStock_Log[Self_Qty],T_SelfStock_Log[Part Name],$A45,T_SelfStock_Log[WeekIndex],85))</f>
        <v/>
      </c>
      <c r="CI45" s="13">
        <f>IF(COUNTIFS(T_SelfStock_Log[Part Name],$A45,T_SelfStock_Log[WeekIndex],86)=0,"",SUMIFS(T_SelfStock_Log[Self_Qty],T_SelfStock_Log[Part Name],$A45,T_SelfStock_Log[WeekIndex],86))</f>
        <v/>
      </c>
      <c r="CJ45" s="13">
        <f>IF(COUNTIFS(T_SelfStock_Log[Part Name],$A45,T_SelfStock_Log[WeekIndex],87)=0,"",SUMIFS(T_SelfStock_Log[Self_Qty],T_SelfStock_Log[Part Name],$A45,T_SelfStock_Log[WeekIndex],87))</f>
        <v/>
      </c>
      <c r="CK45" s="13">
        <f>IF(COUNTIFS(T_SelfStock_Log[Part Name],$A45,T_SelfStock_Log[WeekIndex],88)=0,"",SUMIFS(T_SelfStock_Log[Self_Qty],T_SelfStock_Log[Part Name],$A45,T_SelfStock_Log[WeekIndex],88))</f>
        <v/>
      </c>
      <c r="CL45" s="13">
        <f>IF(COUNTIFS(T_SelfStock_Log[Part Name],$A45,T_SelfStock_Log[WeekIndex],89)=0,"",SUMIFS(T_SelfStock_Log[Self_Qty],T_SelfStock_Log[Part Name],$A45,T_SelfStock_Log[WeekIndex],89))</f>
        <v/>
      </c>
      <c r="CM45" s="13">
        <f>IF(COUNTIFS(T_SelfStock_Log[Part Name],$A45,T_SelfStock_Log[WeekIndex],90)=0,"",SUMIFS(T_SelfStock_Log[Self_Qty],T_SelfStock_Log[Part Name],$A45,T_SelfStock_Log[WeekIndex],90))</f>
        <v/>
      </c>
      <c r="CN45" s="13">
        <f>IF(COUNTIFS(T_SelfStock_Log[Part Name],$A45,T_SelfStock_Log[WeekIndex],91)=0,"",SUMIFS(T_SelfStock_Log[Self_Qty],T_SelfStock_Log[Part Name],$A45,T_SelfStock_Log[WeekIndex],91))</f>
        <v/>
      </c>
      <c r="CO45" s="13">
        <f>IF(COUNTIFS(T_SelfStock_Log[Part Name],$A45,T_SelfStock_Log[WeekIndex],92)=0,"",SUMIFS(T_SelfStock_Log[Self_Qty],T_SelfStock_Log[Part Name],$A45,T_SelfStock_Log[WeekIndex],92))</f>
        <v/>
      </c>
      <c r="CP45" s="13">
        <f>IF(COUNTIFS(T_SelfStock_Log[Part Name],$A45,T_SelfStock_Log[WeekIndex],93)=0,"",SUMIFS(T_SelfStock_Log[Self_Qty],T_SelfStock_Log[Part Name],$A45,T_SelfStock_Log[WeekIndex],93))</f>
        <v/>
      </c>
      <c r="CQ45" s="13">
        <f>IF(COUNTIFS(T_SelfStock_Log[Part Name],$A45,T_SelfStock_Log[WeekIndex],94)=0,"",SUMIFS(T_SelfStock_Log[Self_Qty],T_SelfStock_Log[Part Name],$A45,T_SelfStock_Log[WeekIndex],94))</f>
        <v/>
      </c>
      <c r="CR45" s="13">
        <f>IF(COUNTIFS(T_SelfStock_Log[Part Name],$A45,T_SelfStock_Log[WeekIndex],95)=0,"",SUMIFS(T_SelfStock_Log[Self_Qty],T_SelfStock_Log[Part Name],$A45,T_SelfStock_Log[WeekIndex],95))</f>
        <v/>
      </c>
      <c r="CS45" s="13">
        <f>IF(COUNTIFS(T_SelfStock_Log[Part Name],$A45,T_SelfStock_Log[WeekIndex],96)=0,"",SUMIFS(T_SelfStock_Log[Self_Qty],T_SelfStock_Log[Part Name],$A45,T_SelfStock_Log[WeekIndex],96))</f>
        <v/>
      </c>
      <c r="CT45" s="13">
        <f>IF(COUNTIFS(T_SelfStock_Log[Part Name],$A45,T_SelfStock_Log[WeekIndex],97)=0,"",SUMIFS(T_SelfStock_Log[Self_Qty],T_SelfStock_Log[Part Name],$A45,T_SelfStock_Log[WeekIndex],97))</f>
        <v/>
      </c>
      <c r="CU45" s="13">
        <f>IF(COUNTIFS(T_SelfStock_Log[Part Name],$A45,T_SelfStock_Log[WeekIndex],98)=0,"",SUMIFS(T_SelfStock_Log[Self_Qty],T_SelfStock_Log[Part Name],$A45,T_SelfStock_Log[WeekIndex],98))</f>
        <v/>
      </c>
      <c r="CV45" s="13">
        <f>IF(COUNTIFS(T_SelfStock_Log[Part Name],$A45,T_SelfStock_Log[WeekIndex],99)=0,"",SUMIFS(T_SelfStock_Log[Self_Qty],T_SelfStock_Log[Part Name],$A45,T_SelfStock_Log[WeekIndex],99))</f>
        <v/>
      </c>
      <c r="CW45" s="13">
        <f>IF(COUNTIFS(T_SelfStock_Log[Part Name],$A45,T_SelfStock_Log[WeekIndex],100)=0,"",SUMIFS(T_SelfStock_Log[Self_Qty],T_SelfStock_Log[Part Name],$A45,T_SelfStock_Log[WeekIndex],100))</f>
        <v/>
      </c>
      <c r="CX45" s="13">
        <f>IF(COUNTIFS(T_SelfStock_Log[Part Name],$A45,T_SelfStock_Log[WeekIndex],101)=0,"",SUMIFS(T_SelfStock_Log[Self_Qty],T_SelfStock_Log[Part Name],$A45,T_SelfStock_Log[WeekIndex],101))</f>
        <v/>
      </c>
      <c r="CY45" s="13">
        <f>IF(COUNTIFS(T_SelfStock_Log[Part Name],$A45,T_SelfStock_Log[WeekIndex],102)=0,"",SUMIFS(T_SelfStock_Log[Self_Qty],T_SelfStock_Log[Part Name],$A45,T_SelfStock_Log[WeekIndex],102))</f>
        <v/>
      </c>
      <c r="CZ45" s="13">
        <f>IF(COUNTIFS(T_SelfStock_Log[Part Name],$A45,T_SelfStock_Log[WeekIndex],103)=0,"",SUMIFS(T_SelfStock_Log[Self_Qty],T_SelfStock_Log[Part Name],$A45,T_SelfStock_Log[WeekIndex],103))</f>
        <v/>
      </c>
      <c r="DA45" s="13">
        <f>IF(COUNTIFS(T_SelfStock_Log[Part Name],$A45,T_SelfStock_Log[WeekIndex],104)=0,"",SUMIFS(T_SelfStock_Log[Self_Qty],T_SelfStock_Log[Part Name],$A45,T_SelfStock_Log[WeekIndex],104))</f>
        <v/>
      </c>
    </row>
    <row r="46">
      <c r="A46" s="12" t="inlineStr">
        <is>
          <t>V03</t>
        </is>
      </c>
      <c r="B46" s="12">
        <f>IF(COUNTIFS(T_SelfStock_Log[Part Name],$A46,T_SelfStock_Log[WeekIndex],1)=0,"",SUMIFS(T_SelfStock_Log[Self_Qty],T_SelfStock_Log[Part Name],$A46,T_SelfStock_Log[WeekIndex],1))</f>
        <v/>
      </c>
      <c r="C46" s="12">
        <f>IF(COUNTIFS(T_SelfStock_Log[Part Name],$A46,T_SelfStock_Log[WeekIndex],2)=0,"",SUMIFS(T_SelfStock_Log[Self_Qty],T_SelfStock_Log[Part Name],$A46,T_SelfStock_Log[WeekIndex],2))</f>
        <v/>
      </c>
      <c r="D46" s="12">
        <f>IF(COUNTIFS(T_SelfStock_Log[Part Name],$A46,T_SelfStock_Log[WeekIndex],3)=0,"",SUMIFS(T_SelfStock_Log[Self_Qty],T_SelfStock_Log[Part Name],$A46,T_SelfStock_Log[WeekIndex],3))</f>
        <v/>
      </c>
      <c r="E46" s="12">
        <f>IF(COUNTIFS(T_SelfStock_Log[Part Name],$A46,T_SelfStock_Log[WeekIndex],4)=0,"",SUMIFS(T_SelfStock_Log[Self_Qty],T_SelfStock_Log[Part Name],$A46,T_SelfStock_Log[WeekIndex],4))</f>
        <v/>
      </c>
      <c r="F46" s="12">
        <f>IF(COUNTIFS(T_SelfStock_Log[Part Name],$A46,T_SelfStock_Log[WeekIndex],5)=0,"",SUMIFS(T_SelfStock_Log[Self_Qty],T_SelfStock_Log[Part Name],$A46,T_SelfStock_Log[WeekIndex],5))</f>
        <v/>
      </c>
      <c r="G46" s="12">
        <f>IF(COUNTIFS(T_SelfStock_Log[Part Name],$A46,T_SelfStock_Log[WeekIndex],6)=0,"",SUMIFS(T_SelfStock_Log[Self_Qty],T_SelfStock_Log[Part Name],$A46,T_SelfStock_Log[WeekIndex],6))</f>
        <v/>
      </c>
      <c r="H46" s="12">
        <f>IF(COUNTIFS(T_SelfStock_Log[Part Name],$A46,T_SelfStock_Log[WeekIndex],7)=0,"",SUMIFS(T_SelfStock_Log[Self_Qty],T_SelfStock_Log[Part Name],$A46,T_SelfStock_Log[WeekIndex],7))</f>
        <v/>
      </c>
      <c r="I46" s="12">
        <f>IF(COUNTIFS(T_SelfStock_Log[Part Name],$A46,T_SelfStock_Log[WeekIndex],8)=0,"",SUMIFS(T_SelfStock_Log[Self_Qty],T_SelfStock_Log[Part Name],$A46,T_SelfStock_Log[WeekIndex],8))</f>
        <v/>
      </c>
      <c r="J46" s="12">
        <f>IF(COUNTIFS(T_SelfStock_Log[Part Name],$A46,T_SelfStock_Log[WeekIndex],9)=0,"",SUMIFS(T_SelfStock_Log[Self_Qty],T_SelfStock_Log[Part Name],$A46,T_SelfStock_Log[WeekIndex],9))</f>
        <v/>
      </c>
      <c r="K46" s="12">
        <f>IF(COUNTIFS(T_SelfStock_Log[Part Name],$A46,T_SelfStock_Log[WeekIndex],10)=0,"",SUMIFS(T_SelfStock_Log[Self_Qty],T_SelfStock_Log[Part Name],$A46,T_SelfStock_Log[WeekIndex],10))</f>
        <v/>
      </c>
      <c r="L46" s="12">
        <f>IF(COUNTIFS(T_SelfStock_Log[Part Name],$A46,T_SelfStock_Log[WeekIndex],11)=0,"",SUMIFS(T_SelfStock_Log[Self_Qty],T_SelfStock_Log[Part Name],$A46,T_SelfStock_Log[WeekIndex],11))</f>
        <v/>
      </c>
      <c r="M46" s="12">
        <f>IF(COUNTIFS(T_SelfStock_Log[Part Name],$A46,T_SelfStock_Log[WeekIndex],12)=0,"",SUMIFS(T_SelfStock_Log[Self_Qty],T_SelfStock_Log[Part Name],$A46,T_SelfStock_Log[WeekIndex],12))</f>
        <v/>
      </c>
      <c r="N46" s="12">
        <f>IF(COUNTIFS(T_SelfStock_Log[Part Name],$A46,T_SelfStock_Log[WeekIndex],13)=0,"",SUMIFS(T_SelfStock_Log[Self_Qty],T_SelfStock_Log[Part Name],$A46,T_SelfStock_Log[WeekIndex],13))</f>
        <v/>
      </c>
      <c r="O46" s="12">
        <f>IF(COUNTIFS(T_SelfStock_Log[Part Name],$A46,T_SelfStock_Log[WeekIndex],14)=0,"",SUMIFS(T_SelfStock_Log[Self_Qty],T_SelfStock_Log[Part Name],$A46,T_SelfStock_Log[WeekIndex],14))</f>
        <v/>
      </c>
      <c r="P46" s="12">
        <f>IF(COUNTIFS(T_SelfStock_Log[Part Name],$A46,T_SelfStock_Log[WeekIndex],15)=0,"",SUMIFS(T_SelfStock_Log[Self_Qty],T_SelfStock_Log[Part Name],$A46,T_SelfStock_Log[WeekIndex],15))</f>
        <v/>
      </c>
      <c r="Q46" s="12">
        <f>IF(COUNTIFS(T_SelfStock_Log[Part Name],$A46,T_SelfStock_Log[WeekIndex],16)=0,"",SUMIFS(T_SelfStock_Log[Self_Qty],T_SelfStock_Log[Part Name],$A46,T_SelfStock_Log[WeekIndex],16))</f>
        <v/>
      </c>
      <c r="R46" s="12">
        <f>IF(COUNTIFS(T_SelfStock_Log[Part Name],$A46,T_SelfStock_Log[WeekIndex],17)=0,"",SUMIFS(T_SelfStock_Log[Self_Qty],T_SelfStock_Log[Part Name],$A46,T_SelfStock_Log[WeekIndex],17))</f>
        <v/>
      </c>
      <c r="S46" s="12">
        <f>IF(COUNTIFS(T_SelfStock_Log[Part Name],$A46,T_SelfStock_Log[WeekIndex],18)=0,"",SUMIFS(T_SelfStock_Log[Self_Qty],T_SelfStock_Log[Part Name],$A46,T_SelfStock_Log[WeekIndex],18))</f>
        <v/>
      </c>
      <c r="T46" s="12">
        <f>IF(COUNTIFS(T_SelfStock_Log[Part Name],$A46,T_SelfStock_Log[WeekIndex],19)=0,"",SUMIFS(T_SelfStock_Log[Self_Qty],T_SelfStock_Log[Part Name],$A46,T_SelfStock_Log[WeekIndex],19))</f>
        <v/>
      </c>
      <c r="U46" s="12">
        <f>IF(COUNTIFS(T_SelfStock_Log[Part Name],$A46,T_SelfStock_Log[WeekIndex],20)=0,"",SUMIFS(T_SelfStock_Log[Self_Qty],T_SelfStock_Log[Part Name],$A46,T_SelfStock_Log[WeekIndex],20))</f>
        <v/>
      </c>
      <c r="V46" s="12">
        <f>IF(COUNTIFS(T_SelfStock_Log[Part Name],$A46,T_SelfStock_Log[WeekIndex],21)=0,"",SUMIFS(T_SelfStock_Log[Self_Qty],T_SelfStock_Log[Part Name],$A46,T_SelfStock_Log[WeekIndex],21))</f>
        <v/>
      </c>
      <c r="W46" s="12">
        <f>IF(COUNTIFS(T_SelfStock_Log[Part Name],$A46,T_SelfStock_Log[WeekIndex],22)=0,"",SUMIFS(T_SelfStock_Log[Self_Qty],T_SelfStock_Log[Part Name],$A46,T_SelfStock_Log[WeekIndex],22))</f>
        <v/>
      </c>
      <c r="X46" s="12">
        <f>IF(COUNTIFS(T_SelfStock_Log[Part Name],$A46,T_SelfStock_Log[WeekIndex],23)=0,"",SUMIFS(T_SelfStock_Log[Self_Qty],T_SelfStock_Log[Part Name],$A46,T_SelfStock_Log[WeekIndex],23))</f>
        <v/>
      </c>
      <c r="Y46" s="12">
        <f>IF(COUNTIFS(T_SelfStock_Log[Part Name],$A46,T_SelfStock_Log[WeekIndex],24)=0,"",SUMIFS(T_SelfStock_Log[Self_Qty],T_SelfStock_Log[Part Name],$A46,T_SelfStock_Log[WeekIndex],24))</f>
        <v/>
      </c>
      <c r="Z46" s="12">
        <f>IF(COUNTIFS(T_SelfStock_Log[Part Name],$A46,T_SelfStock_Log[WeekIndex],25)=0,"",SUMIFS(T_SelfStock_Log[Self_Qty],T_SelfStock_Log[Part Name],$A46,T_SelfStock_Log[WeekIndex],25))</f>
        <v/>
      </c>
      <c r="AA46" s="12">
        <f>IF(COUNTIFS(T_SelfStock_Log[Part Name],$A46,T_SelfStock_Log[WeekIndex],26)=0,"",SUMIFS(T_SelfStock_Log[Self_Qty],T_SelfStock_Log[Part Name],$A46,T_SelfStock_Log[WeekIndex],26))</f>
        <v/>
      </c>
      <c r="AB46" s="12">
        <f>IF(COUNTIFS(T_SelfStock_Log[Part Name],$A46,T_SelfStock_Log[WeekIndex],27)=0,"",SUMIFS(T_SelfStock_Log[Self_Qty],T_SelfStock_Log[Part Name],$A46,T_SelfStock_Log[WeekIndex],27))</f>
        <v/>
      </c>
      <c r="AC46" s="12">
        <f>IF(COUNTIFS(T_SelfStock_Log[Part Name],$A46,T_SelfStock_Log[WeekIndex],28)=0,"",SUMIFS(T_SelfStock_Log[Self_Qty],T_SelfStock_Log[Part Name],$A46,T_SelfStock_Log[WeekIndex],28))</f>
        <v/>
      </c>
      <c r="AD46" s="12">
        <f>IF(COUNTIFS(T_SelfStock_Log[Part Name],$A46,T_SelfStock_Log[WeekIndex],29)=0,"",SUMIFS(T_SelfStock_Log[Self_Qty],T_SelfStock_Log[Part Name],$A46,T_SelfStock_Log[WeekIndex],29))</f>
        <v/>
      </c>
      <c r="AE46" s="12">
        <f>IF(COUNTIFS(T_SelfStock_Log[Part Name],$A46,T_SelfStock_Log[WeekIndex],30)=0,"",SUMIFS(T_SelfStock_Log[Self_Qty],T_SelfStock_Log[Part Name],$A46,T_SelfStock_Log[WeekIndex],30))</f>
        <v/>
      </c>
      <c r="AF46" s="12">
        <f>IF(COUNTIFS(T_SelfStock_Log[Part Name],$A46,T_SelfStock_Log[WeekIndex],31)=0,"",SUMIFS(T_SelfStock_Log[Self_Qty],T_SelfStock_Log[Part Name],$A46,T_SelfStock_Log[WeekIndex],31))</f>
        <v/>
      </c>
      <c r="AG46" s="12">
        <f>IF(COUNTIFS(T_SelfStock_Log[Part Name],$A46,T_SelfStock_Log[WeekIndex],32)=0,"",SUMIFS(T_SelfStock_Log[Self_Qty],T_SelfStock_Log[Part Name],$A46,T_SelfStock_Log[WeekIndex],32))</f>
        <v/>
      </c>
      <c r="AH46" s="12">
        <f>IF(COUNTIFS(T_SelfStock_Log[Part Name],$A46,T_SelfStock_Log[WeekIndex],33)=0,"",SUMIFS(T_SelfStock_Log[Self_Qty],T_SelfStock_Log[Part Name],$A46,T_SelfStock_Log[WeekIndex],33))</f>
        <v/>
      </c>
      <c r="AI46" s="12">
        <f>IF(COUNTIFS(T_SelfStock_Log[Part Name],$A46,T_SelfStock_Log[WeekIndex],34)=0,"",SUMIFS(T_SelfStock_Log[Self_Qty],T_SelfStock_Log[Part Name],$A46,T_SelfStock_Log[WeekIndex],34))</f>
        <v/>
      </c>
      <c r="AJ46" s="12">
        <f>IF(COUNTIFS(T_SelfStock_Log[Part Name],$A46,T_SelfStock_Log[WeekIndex],35)=0,"",SUMIFS(T_SelfStock_Log[Self_Qty],T_SelfStock_Log[Part Name],$A46,T_SelfStock_Log[WeekIndex],35))</f>
        <v/>
      </c>
      <c r="AK46" s="12">
        <f>IF(COUNTIFS(T_SelfStock_Log[Part Name],$A46,T_SelfStock_Log[WeekIndex],36)=0,"",SUMIFS(T_SelfStock_Log[Self_Qty],T_SelfStock_Log[Part Name],$A46,T_SelfStock_Log[WeekIndex],36))</f>
        <v/>
      </c>
      <c r="AL46" s="12">
        <f>IF(COUNTIFS(T_SelfStock_Log[Part Name],$A46,T_SelfStock_Log[WeekIndex],37)=0,"",SUMIFS(T_SelfStock_Log[Self_Qty],T_SelfStock_Log[Part Name],$A46,T_SelfStock_Log[WeekIndex],37))</f>
        <v/>
      </c>
      <c r="AM46" s="12">
        <f>IF(COUNTIFS(T_SelfStock_Log[Part Name],$A46,T_SelfStock_Log[WeekIndex],38)=0,"",SUMIFS(T_SelfStock_Log[Self_Qty],T_SelfStock_Log[Part Name],$A46,T_SelfStock_Log[WeekIndex],38))</f>
        <v/>
      </c>
      <c r="AN46" s="12">
        <f>IF(COUNTIFS(T_SelfStock_Log[Part Name],$A46,T_SelfStock_Log[WeekIndex],39)=0,"",SUMIFS(T_SelfStock_Log[Self_Qty],T_SelfStock_Log[Part Name],$A46,T_SelfStock_Log[WeekIndex],39))</f>
        <v/>
      </c>
      <c r="AO46" s="12">
        <f>IF(COUNTIFS(T_SelfStock_Log[Part Name],$A46,T_SelfStock_Log[WeekIndex],40)=0,"",SUMIFS(T_SelfStock_Log[Self_Qty],T_SelfStock_Log[Part Name],$A46,T_SelfStock_Log[WeekIndex],40))</f>
        <v/>
      </c>
      <c r="AP46" s="12">
        <f>IF(COUNTIFS(T_SelfStock_Log[Part Name],$A46,T_SelfStock_Log[WeekIndex],41)=0,"",SUMIFS(T_SelfStock_Log[Self_Qty],T_SelfStock_Log[Part Name],$A46,T_SelfStock_Log[WeekIndex],41))</f>
        <v/>
      </c>
      <c r="AQ46" s="12">
        <f>IF(COUNTIFS(T_SelfStock_Log[Part Name],$A46,T_SelfStock_Log[WeekIndex],42)=0,"",SUMIFS(T_SelfStock_Log[Self_Qty],T_SelfStock_Log[Part Name],$A46,T_SelfStock_Log[WeekIndex],42))</f>
        <v/>
      </c>
      <c r="AR46" s="12">
        <f>IF(COUNTIFS(T_SelfStock_Log[Part Name],$A46,T_SelfStock_Log[WeekIndex],43)=0,"",SUMIFS(T_SelfStock_Log[Self_Qty],T_SelfStock_Log[Part Name],$A46,T_SelfStock_Log[WeekIndex],43))</f>
        <v/>
      </c>
      <c r="AS46" s="12">
        <f>IF(COUNTIFS(T_SelfStock_Log[Part Name],$A46,T_SelfStock_Log[WeekIndex],44)=0,"",SUMIFS(T_SelfStock_Log[Self_Qty],T_SelfStock_Log[Part Name],$A46,T_SelfStock_Log[WeekIndex],44))</f>
        <v/>
      </c>
      <c r="AT46" s="12">
        <f>IF(COUNTIFS(T_SelfStock_Log[Part Name],$A46,T_SelfStock_Log[WeekIndex],45)=0,"",SUMIFS(T_SelfStock_Log[Self_Qty],T_SelfStock_Log[Part Name],$A46,T_SelfStock_Log[WeekIndex],45))</f>
        <v/>
      </c>
      <c r="AU46" s="12">
        <f>IF(COUNTIFS(T_SelfStock_Log[Part Name],$A46,T_SelfStock_Log[WeekIndex],46)=0,"",SUMIFS(T_SelfStock_Log[Self_Qty],T_SelfStock_Log[Part Name],$A46,T_SelfStock_Log[WeekIndex],46))</f>
        <v/>
      </c>
      <c r="AV46" s="12">
        <f>IF(COUNTIFS(T_SelfStock_Log[Part Name],$A46,T_SelfStock_Log[WeekIndex],47)=0,"",SUMIFS(T_SelfStock_Log[Self_Qty],T_SelfStock_Log[Part Name],$A46,T_SelfStock_Log[WeekIndex],47))</f>
        <v/>
      </c>
      <c r="AW46" s="12">
        <f>IF(COUNTIFS(T_SelfStock_Log[Part Name],$A46,T_SelfStock_Log[WeekIndex],48)=0,"",SUMIFS(T_SelfStock_Log[Self_Qty],T_SelfStock_Log[Part Name],$A46,T_SelfStock_Log[WeekIndex],48))</f>
        <v/>
      </c>
      <c r="AX46" s="12">
        <f>IF(COUNTIFS(T_SelfStock_Log[Part Name],$A46,T_SelfStock_Log[WeekIndex],49)=0,"",SUMIFS(T_SelfStock_Log[Self_Qty],T_SelfStock_Log[Part Name],$A46,T_SelfStock_Log[WeekIndex],49))</f>
        <v/>
      </c>
      <c r="AY46" s="12">
        <f>IF(COUNTIFS(T_SelfStock_Log[Part Name],$A46,T_SelfStock_Log[WeekIndex],50)=0,"",SUMIFS(T_SelfStock_Log[Self_Qty],T_SelfStock_Log[Part Name],$A46,T_SelfStock_Log[WeekIndex],50))</f>
        <v/>
      </c>
      <c r="AZ46" s="12">
        <f>IF(COUNTIFS(T_SelfStock_Log[Part Name],$A46,T_SelfStock_Log[WeekIndex],51)=0,"",SUMIFS(T_SelfStock_Log[Self_Qty],T_SelfStock_Log[Part Name],$A46,T_SelfStock_Log[WeekIndex],51))</f>
        <v/>
      </c>
      <c r="BA46" s="12">
        <f>IF(COUNTIFS(T_SelfStock_Log[Part Name],$A46,T_SelfStock_Log[WeekIndex],52)=0,"",SUMIFS(T_SelfStock_Log[Self_Qty],T_SelfStock_Log[Part Name],$A46,T_SelfStock_Log[WeekIndex],52))</f>
        <v/>
      </c>
      <c r="BB46" s="12">
        <f>IF(COUNTIFS(T_SelfStock_Log[Part Name],$A46,T_SelfStock_Log[WeekIndex],53)=0,"",SUMIFS(T_SelfStock_Log[Self_Qty],T_SelfStock_Log[Part Name],$A46,T_SelfStock_Log[WeekIndex],53))</f>
        <v/>
      </c>
      <c r="BC46" s="12">
        <f>IF(COUNTIFS(T_SelfStock_Log[Part Name],$A46,T_SelfStock_Log[WeekIndex],54)=0,"",SUMIFS(T_SelfStock_Log[Self_Qty],T_SelfStock_Log[Part Name],$A46,T_SelfStock_Log[WeekIndex],54))</f>
        <v/>
      </c>
      <c r="BD46" s="12">
        <f>IF(COUNTIFS(T_SelfStock_Log[Part Name],$A46,T_SelfStock_Log[WeekIndex],55)=0,"",SUMIFS(T_SelfStock_Log[Self_Qty],T_SelfStock_Log[Part Name],$A46,T_SelfStock_Log[WeekIndex],55))</f>
        <v/>
      </c>
      <c r="BE46" s="12">
        <f>IF(COUNTIFS(T_SelfStock_Log[Part Name],$A46,T_SelfStock_Log[WeekIndex],56)=0,"",SUMIFS(T_SelfStock_Log[Self_Qty],T_SelfStock_Log[Part Name],$A46,T_SelfStock_Log[WeekIndex],56))</f>
        <v/>
      </c>
      <c r="BF46" s="12">
        <f>IF(COUNTIFS(T_SelfStock_Log[Part Name],$A46,T_SelfStock_Log[WeekIndex],57)=0,"",SUMIFS(T_SelfStock_Log[Self_Qty],T_SelfStock_Log[Part Name],$A46,T_SelfStock_Log[WeekIndex],57))</f>
        <v/>
      </c>
      <c r="BG46" s="12">
        <f>IF(COUNTIFS(T_SelfStock_Log[Part Name],$A46,T_SelfStock_Log[WeekIndex],58)=0,"",SUMIFS(T_SelfStock_Log[Self_Qty],T_SelfStock_Log[Part Name],$A46,T_SelfStock_Log[WeekIndex],58))</f>
        <v/>
      </c>
      <c r="BH46" s="12">
        <f>IF(COUNTIFS(T_SelfStock_Log[Part Name],$A46,T_SelfStock_Log[WeekIndex],59)=0,"",SUMIFS(T_SelfStock_Log[Self_Qty],T_SelfStock_Log[Part Name],$A46,T_SelfStock_Log[WeekIndex],59))</f>
        <v/>
      </c>
      <c r="BI46" s="12">
        <f>IF(COUNTIFS(T_SelfStock_Log[Part Name],$A46,T_SelfStock_Log[WeekIndex],60)=0,"",SUMIFS(T_SelfStock_Log[Self_Qty],T_SelfStock_Log[Part Name],$A46,T_SelfStock_Log[WeekIndex],60))</f>
        <v/>
      </c>
      <c r="BJ46" s="12">
        <f>IF(COUNTIFS(T_SelfStock_Log[Part Name],$A46,T_SelfStock_Log[WeekIndex],61)=0,"",SUMIFS(T_SelfStock_Log[Self_Qty],T_SelfStock_Log[Part Name],$A46,T_SelfStock_Log[WeekIndex],61))</f>
        <v/>
      </c>
      <c r="BK46" s="12">
        <f>IF(COUNTIFS(T_SelfStock_Log[Part Name],$A46,T_SelfStock_Log[WeekIndex],62)=0,"",SUMIFS(T_SelfStock_Log[Self_Qty],T_SelfStock_Log[Part Name],$A46,T_SelfStock_Log[WeekIndex],62))</f>
        <v/>
      </c>
      <c r="BL46" s="12">
        <f>IF(COUNTIFS(T_SelfStock_Log[Part Name],$A46,T_SelfStock_Log[WeekIndex],63)=0,"",SUMIFS(T_SelfStock_Log[Self_Qty],T_SelfStock_Log[Part Name],$A46,T_SelfStock_Log[WeekIndex],63))</f>
        <v/>
      </c>
      <c r="BM46" s="12">
        <f>IF(COUNTIFS(T_SelfStock_Log[Part Name],$A46,T_SelfStock_Log[WeekIndex],64)=0,"",SUMIFS(T_SelfStock_Log[Self_Qty],T_SelfStock_Log[Part Name],$A46,T_SelfStock_Log[WeekIndex],64))</f>
        <v/>
      </c>
      <c r="BN46" s="12">
        <f>IF(COUNTIFS(T_SelfStock_Log[Part Name],$A46,T_SelfStock_Log[WeekIndex],65)=0,"",SUMIFS(T_SelfStock_Log[Self_Qty],T_SelfStock_Log[Part Name],$A46,T_SelfStock_Log[WeekIndex],65))</f>
        <v/>
      </c>
      <c r="BO46" s="12">
        <f>IF(COUNTIFS(T_SelfStock_Log[Part Name],$A46,T_SelfStock_Log[WeekIndex],66)=0,"",SUMIFS(T_SelfStock_Log[Self_Qty],T_SelfStock_Log[Part Name],$A46,T_SelfStock_Log[WeekIndex],66))</f>
        <v/>
      </c>
      <c r="BP46" s="12">
        <f>IF(COUNTIFS(T_SelfStock_Log[Part Name],$A46,T_SelfStock_Log[WeekIndex],67)=0,"",SUMIFS(T_SelfStock_Log[Self_Qty],T_SelfStock_Log[Part Name],$A46,T_SelfStock_Log[WeekIndex],67))</f>
        <v/>
      </c>
      <c r="BQ46" s="12">
        <f>IF(COUNTIFS(T_SelfStock_Log[Part Name],$A46,T_SelfStock_Log[WeekIndex],68)=0,"",SUMIFS(T_SelfStock_Log[Self_Qty],T_SelfStock_Log[Part Name],$A46,T_SelfStock_Log[WeekIndex],68))</f>
        <v/>
      </c>
      <c r="BR46" s="12">
        <f>IF(COUNTIFS(T_SelfStock_Log[Part Name],$A46,T_SelfStock_Log[WeekIndex],69)=0,"",SUMIFS(T_SelfStock_Log[Self_Qty],T_SelfStock_Log[Part Name],$A46,T_SelfStock_Log[WeekIndex],69))</f>
        <v/>
      </c>
      <c r="BS46" s="12">
        <f>IF(COUNTIFS(T_SelfStock_Log[Part Name],$A46,T_SelfStock_Log[WeekIndex],70)=0,"",SUMIFS(T_SelfStock_Log[Self_Qty],T_SelfStock_Log[Part Name],$A46,T_SelfStock_Log[WeekIndex],70))</f>
        <v/>
      </c>
      <c r="BT46" s="12">
        <f>IF(COUNTIFS(T_SelfStock_Log[Part Name],$A46,T_SelfStock_Log[WeekIndex],71)=0,"",SUMIFS(T_SelfStock_Log[Self_Qty],T_SelfStock_Log[Part Name],$A46,T_SelfStock_Log[WeekIndex],71))</f>
        <v/>
      </c>
      <c r="BU46" s="12">
        <f>IF(COUNTIFS(T_SelfStock_Log[Part Name],$A46,T_SelfStock_Log[WeekIndex],72)=0,"",SUMIFS(T_SelfStock_Log[Self_Qty],T_SelfStock_Log[Part Name],$A46,T_SelfStock_Log[WeekIndex],72))</f>
        <v/>
      </c>
      <c r="BV46" s="12">
        <f>IF(COUNTIFS(T_SelfStock_Log[Part Name],$A46,T_SelfStock_Log[WeekIndex],73)=0,"",SUMIFS(T_SelfStock_Log[Self_Qty],T_SelfStock_Log[Part Name],$A46,T_SelfStock_Log[WeekIndex],73))</f>
        <v/>
      </c>
      <c r="BW46" s="12">
        <f>IF(COUNTIFS(T_SelfStock_Log[Part Name],$A46,T_SelfStock_Log[WeekIndex],74)=0,"",SUMIFS(T_SelfStock_Log[Self_Qty],T_SelfStock_Log[Part Name],$A46,T_SelfStock_Log[WeekIndex],74))</f>
        <v/>
      </c>
      <c r="BX46" s="12">
        <f>IF(COUNTIFS(T_SelfStock_Log[Part Name],$A46,T_SelfStock_Log[WeekIndex],75)=0,"",SUMIFS(T_SelfStock_Log[Self_Qty],T_SelfStock_Log[Part Name],$A46,T_SelfStock_Log[WeekIndex],75))</f>
        <v/>
      </c>
      <c r="BY46" s="12">
        <f>IF(COUNTIFS(T_SelfStock_Log[Part Name],$A46,T_SelfStock_Log[WeekIndex],76)=0,"",SUMIFS(T_SelfStock_Log[Self_Qty],T_SelfStock_Log[Part Name],$A46,T_SelfStock_Log[WeekIndex],76))</f>
        <v/>
      </c>
      <c r="BZ46" s="12">
        <f>IF(COUNTIFS(T_SelfStock_Log[Part Name],$A46,T_SelfStock_Log[WeekIndex],77)=0,"",SUMIFS(T_SelfStock_Log[Self_Qty],T_SelfStock_Log[Part Name],$A46,T_SelfStock_Log[WeekIndex],77))</f>
        <v/>
      </c>
      <c r="CA46" s="12">
        <f>IF(COUNTIFS(T_SelfStock_Log[Part Name],$A46,T_SelfStock_Log[WeekIndex],78)=0,"",SUMIFS(T_SelfStock_Log[Self_Qty],T_SelfStock_Log[Part Name],$A46,T_SelfStock_Log[WeekIndex],78))</f>
        <v/>
      </c>
      <c r="CB46" s="12">
        <f>IF(COUNTIFS(T_SelfStock_Log[Part Name],$A46,T_SelfStock_Log[WeekIndex],79)=0,"",SUMIFS(T_SelfStock_Log[Self_Qty],T_SelfStock_Log[Part Name],$A46,T_SelfStock_Log[WeekIndex],79))</f>
        <v/>
      </c>
      <c r="CC46" s="12">
        <f>IF(COUNTIFS(T_SelfStock_Log[Part Name],$A46,T_SelfStock_Log[WeekIndex],80)=0,"",SUMIFS(T_SelfStock_Log[Self_Qty],T_SelfStock_Log[Part Name],$A46,T_SelfStock_Log[WeekIndex],80))</f>
        <v/>
      </c>
      <c r="CD46" s="12">
        <f>IF(COUNTIFS(T_SelfStock_Log[Part Name],$A46,T_SelfStock_Log[WeekIndex],81)=0,"",SUMIFS(T_SelfStock_Log[Self_Qty],T_SelfStock_Log[Part Name],$A46,T_SelfStock_Log[WeekIndex],81))</f>
        <v/>
      </c>
      <c r="CE46" s="12">
        <f>IF(COUNTIFS(T_SelfStock_Log[Part Name],$A46,T_SelfStock_Log[WeekIndex],82)=0,"",SUMIFS(T_SelfStock_Log[Self_Qty],T_SelfStock_Log[Part Name],$A46,T_SelfStock_Log[WeekIndex],82))</f>
        <v/>
      </c>
      <c r="CF46" s="12">
        <f>IF(COUNTIFS(T_SelfStock_Log[Part Name],$A46,T_SelfStock_Log[WeekIndex],83)=0,"",SUMIFS(T_SelfStock_Log[Self_Qty],T_SelfStock_Log[Part Name],$A46,T_SelfStock_Log[WeekIndex],83))</f>
        <v/>
      </c>
      <c r="CG46" s="12">
        <f>IF(COUNTIFS(T_SelfStock_Log[Part Name],$A46,T_SelfStock_Log[WeekIndex],84)=0,"",SUMIFS(T_SelfStock_Log[Self_Qty],T_SelfStock_Log[Part Name],$A46,T_SelfStock_Log[WeekIndex],84))</f>
        <v/>
      </c>
      <c r="CH46" s="12">
        <f>IF(COUNTIFS(T_SelfStock_Log[Part Name],$A46,T_SelfStock_Log[WeekIndex],85)=0,"",SUMIFS(T_SelfStock_Log[Self_Qty],T_SelfStock_Log[Part Name],$A46,T_SelfStock_Log[WeekIndex],85))</f>
        <v/>
      </c>
      <c r="CI46" s="12">
        <f>IF(COUNTIFS(T_SelfStock_Log[Part Name],$A46,T_SelfStock_Log[WeekIndex],86)=0,"",SUMIFS(T_SelfStock_Log[Self_Qty],T_SelfStock_Log[Part Name],$A46,T_SelfStock_Log[WeekIndex],86))</f>
        <v/>
      </c>
      <c r="CJ46" s="12">
        <f>IF(COUNTIFS(T_SelfStock_Log[Part Name],$A46,T_SelfStock_Log[WeekIndex],87)=0,"",SUMIFS(T_SelfStock_Log[Self_Qty],T_SelfStock_Log[Part Name],$A46,T_SelfStock_Log[WeekIndex],87))</f>
        <v/>
      </c>
      <c r="CK46" s="12">
        <f>IF(COUNTIFS(T_SelfStock_Log[Part Name],$A46,T_SelfStock_Log[WeekIndex],88)=0,"",SUMIFS(T_SelfStock_Log[Self_Qty],T_SelfStock_Log[Part Name],$A46,T_SelfStock_Log[WeekIndex],88))</f>
        <v/>
      </c>
      <c r="CL46" s="12">
        <f>IF(COUNTIFS(T_SelfStock_Log[Part Name],$A46,T_SelfStock_Log[WeekIndex],89)=0,"",SUMIFS(T_SelfStock_Log[Self_Qty],T_SelfStock_Log[Part Name],$A46,T_SelfStock_Log[WeekIndex],89))</f>
        <v/>
      </c>
      <c r="CM46" s="12">
        <f>IF(COUNTIFS(T_SelfStock_Log[Part Name],$A46,T_SelfStock_Log[WeekIndex],90)=0,"",SUMIFS(T_SelfStock_Log[Self_Qty],T_SelfStock_Log[Part Name],$A46,T_SelfStock_Log[WeekIndex],90))</f>
        <v/>
      </c>
      <c r="CN46" s="12">
        <f>IF(COUNTIFS(T_SelfStock_Log[Part Name],$A46,T_SelfStock_Log[WeekIndex],91)=0,"",SUMIFS(T_SelfStock_Log[Self_Qty],T_SelfStock_Log[Part Name],$A46,T_SelfStock_Log[WeekIndex],91))</f>
        <v/>
      </c>
      <c r="CO46" s="12">
        <f>IF(COUNTIFS(T_SelfStock_Log[Part Name],$A46,T_SelfStock_Log[WeekIndex],92)=0,"",SUMIFS(T_SelfStock_Log[Self_Qty],T_SelfStock_Log[Part Name],$A46,T_SelfStock_Log[WeekIndex],92))</f>
        <v/>
      </c>
      <c r="CP46" s="12">
        <f>IF(COUNTIFS(T_SelfStock_Log[Part Name],$A46,T_SelfStock_Log[WeekIndex],93)=0,"",SUMIFS(T_SelfStock_Log[Self_Qty],T_SelfStock_Log[Part Name],$A46,T_SelfStock_Log[WeekIndex],93))</f>
        <v/>
      </c>
      <c r="CQ46" s="12">
        <f>IF(COUNTIFS(T_SelfStock_Log[Part Name],$A46,T_SelfStock_Log[WeekIndex],94)=0,"",SUMIFS(T_SelfStock_Log[Self_Qty],T_SelfStock_Log[Part Name],$A46,T_SelfStock_Log[WeekIndex],94))</f>
        <v/>
      </c>
      <c r="CR46" s="12">
        <f>IF(COUNTIFS(T_SelfStock_Log[Part Name],$A46,T_SelfStock_Log[WeekIndex],95)=0,"",SUMIFS(T_SelfStock_Log[Self_Qty],T_SelfStock_Log[Part Name],$A46,T_SelfStock_Log[WeekIndex],95))</f>
        <v/>
      </c>
      <c r="CS46" s="12">
        <f>IF(COUNTIFS(T_SelfStock_Log[Part Name],$A46,T_SelfStock_Log[WeekIndex],96)=0,"",SUMIFS(T_SelfStock_Log[Self_Qty],T_SelfStock_Log[Part Name],$A46,T_SelfStock_Log[WeekIndex],96))</f>
        <v/>
      </c>
      <c r="CT46" s="12">
        <f>IF(COUNTIFS(T_SelfStock_Log[Part Name],$A46,T_SelfStock_Log[WeekIndex],97)=0,"",SUMIFS(T_SelfStock_Log[Self_Qty],T_SelfStock_Log[Part Name],$A46,T_SelfStock_Log[WeekIndex],97))</f>
        <v/>
      </c>
      <c r="CU46" s="12">
        <f>IF(COUNTIFS(T_SelfStock_Log[Part Name],$A46,T_SelfStock_Log[WeekIndex],98)=0,"",SUMIFS(T_SelfStock_Log[Self_Qty],T_SelfStock_Log[Part Name],$A46,T_SelfStock_Log[WeekIndex],98))</f>
        <v/>
      </c>
      <c r="CV46" s="12">
        <f>IF(COUNTIFS(T_SelfStock_Log[Part Name],$A46,T_SelfStock_Log[WeekIndex],99)=0,"",SUMIFS(T_SelfStock_Log[Self_Qty],T_SelfStock_Log[Part Name],$A46,T_SelfStock_Log[WeekIndex],99))</f>
        <v/>
      </c>
      <c r="CW46" s="12">
        <f>IF(COUNTIFS(T_SelfStock_Log[Part Name],$A46,T_SelfStock_Log[WeekIndex],100)=0,"",SUMIFS(T_SelfStock_Log[Self_Qty],T_SelfStock_Log[Part Name],$A46,T_SelfStock_Log[WeekIndex],100))</f>
        <v/>
      </c>
      <c r="CX46" s="12">
        <f>IF(COUNTIFS(T_SelfStock_Log[Part Name],$A46,T_SelfStock_Log[WeekIndex],101)=0,"",SUMIFS(T_SelfStock_Log[Self_Qty],T_SelfStock_Log[Part Name],$A46,T_SelfStock_Log[WeekIndex],101))</f>
        <v/>
      </c>
      <c r="CY46" s="12">
        <f>IF(COUNTIFS(T_SelfStock_Log[Part Name],$A46,T_SelfStock_Log[WeekIndex],102)=0,"",SUMIFS(T_SelfStock_Log[Self_Qty],T_SelfStock_Log[Part Name],$A46,T_SelfStock_Log[WeekIndex],102))</f>
        <v/>
      </c>
      <c r="CZ46" s="12">
        <f>IF(COUNTIFS(T_SelfStock_Log[Part Name],$A46,T_SelfStock_Log[WeekIndex],103)=0,"",SUMIFS(T_SelfStock_Log[Self_Qty],T_SelfStock_Log[Part Name],$A46,T_SelfStock_Log[WeekIndex],103))</f>
        <v/>
      </c>
      <c r="DA46" s="12">
        <f>IF(COUNTIFS(T_SelfStock_Log[Part Name],$A46,T_SelfStock_Log[WeekIndex],104)=0,"",SUMIFS(T_SelfStock_Log[Self_Qty],T_SelfStock_Log[Part Name],$A46,T_SelfStock_Log[WeekIndex],104))</f>
        <v/>
      </c>
    </row>
    <row r="47">
      <c r="A47" s="13" t="inlineStr">
        <is>
          <t>V19</t>
        </is>
      </c>
      <c r="B47" s="13">
        <f>IF(COUNTIFS(T_SelfStock_Log[Part Name],$A47,T_SelfStock_Log[WeekIndex],1)=0,"",SUMIFS(T_SelfStock_Log[Self_Qty],T_SelfStock_Log[Part Name],$A47,T_SelfStock_Log[WeekIndex],1))</f>
        <v/>
      </c>
      <c r="C47" s="13">
        <f>IF(COUNTIFS(T_SelfStock_Log[Part Name],$A47,T_SelfStock_Log[WeekIndex],2)=0,"",SUMIFS(T_SelfStock_Log[Self_Qty],T_SelfStock_Log[Part Name],$A47,T_SelfStock_Log[WeekIndex],2))</f>
        <v/>
      </c>
      <c r="D47" s="13">
        <f>IF(COUNTIFS(T_SelfStock_Log[Part Name],$A47,T_SelfStock_Log[WeekIndex],3)=0,"",SUMIFS(T_SelfStock_Log[Self_Qty],T_SelfStock_Log[Part Name],$A47,T_SelfStock_Log[WeekIndex],3))</f>
        <v/>
      </c>
      <c r="E47" s="13">
        <f>IF(COUNTIFS(T_SelfStock_Log[Part Name],$A47,T_SelfStock_Log[WeekIndex],4)=0,"",SUMIFS(T_SelfStock_Log[Self_Qty],T_SelfStock_Log[Part Name],$A47,T_SelfStock_Log[WeekIndex],4))</f>
        <v/>
      </c>
      <c r="F47" s="13">
        <f>IF(COUNTIFS(T_SelfStock_Log[Part Name],$A47,T_SelfStock_Log[WeekIndex],5)=0,"",SUMIFS(T_SelfStock_Log[Self_Qty],T_SelfStock_Log[Part Name],$A47,T_SelfStock_Log[WeekIndex],5))</f>
        <v/>
      </c>
      <c r="G47" s="13">
        <f>IF(COUNTIFS(T_SelfStock_Log[Part Name],$A47,T_SelfStock_Log[WeekIndex],6)=0,"",SUMIFS(T_SelfStock_Log[Self_Qty],T_SelfStock_Log[Part Name],$A47,T_SelfStock_Log[WeekIndex],6))</f>
        <v/>
      </c>
      <c r="H47" s="13">
        <f>IF(COUNTIFS(T_SelfStock_Log[Part Name],$A47,T_SelfStock_Log[WeekIndex],7)=0,"",SUMIFS(T_SelfStock_Log[Self_Qty],T_SelfStock_Log[Part Name],$A47,T_SelfStock_Log[WeekIndex],7))</f>
        <v/>
      </c>
      <c r="I47" s="13">
        <f>IF(COUNTIFS(T_SelfStock_Log[Part Name],$A47,T_SelfStock_Log[WeekIndex],8)=0,"",SUMIFS(T_SelfStock_Log[Self_Qty],T_SelfStock_Log[Part Name],$A47,T_SelfStock_Log[WeekIndex],8))</f>
        <v/>
      </c>
      <c r="J47" s="13">
        <f>IF(COUNTIFS(T_SelfStock_Log[Part Name],$A47,T_SelfStock_Log[WeekIndex],9)=0,"",SUMIFS(T_SelfStock_Log[Self_Qty],T_SelfStock_Log[Part Name],$A47,T_SelfStock_Log[WeekIndex],9))</f>
        <v/>
      </c>
      <c r="K47" s="13">
        <f>IF(COUNTIFS(T_SelfStock_Log[Part Name],$A47,T_SelfStock_Log[WeekIndex],10)=0,"",SUMIFS(T_SelfStock_Log[Self_Qty],T_SelfStock_Log[Part Name],$A47,T_SelfStock_Log[WeekIndex],10))</f>
        <v/>
      </c>
      <c r="L47" s="13">
        <f>IF(COUNTIFS(T_SelfStock_Log[Part Name],$A47,T_SelfStock_Log[WeekIndex],11)=0,"",SUMIFS(T_SelfStock_Log[Self_Qty],T_SelfStock_Log[Part Name],$A47,T_SelfStock_Log[WeekIndex],11))</f>
        <v/>
      </c>
      <c r="M47" s="13">
        <f>IF(COUNTIFS(T_SelfStock_Log[Part Name],$A47,T_SelfStock_Log[WeekIndex],12)=0,"",SUMIFS(T_SelfStock_Log[Self_Qty],T_SelfStock_Log[Part Name],$A47,T_SelfStock_Log[WeekIndex],12))</f>
        <v/>
      </c>
      <c r="N47" s="13">
        <f>IF(COUNTIFS(T_SelfStock_Log[Part Name],$A47,T_SelfStock_Log[WeekIndex],13)=0,"",SUMIFS(T_SelfStock_Log[Self_Qty],T_SelfStock_Log[Part Name],$A47,T_SelfStock_Log[WeekIndex],13))</f>
        <v/>
      </c>
      <c r="O47" s="13">
        <f>IF(COUNTIFS(T_SelfStock_Log[Part Name],$A47,T_SelfStock_Log[WeekIndex],14)=0,"",SUMIFS(T_SelfStock_Log[Self_Qty],T_SelfStock_Log[Part Name],$A47,T_SelfStock_Log[WeekIndex],14))</f>
        <v/>
      </c>
      <c r="P47" s="13">
        <f>IF(COUNTIFS(T_SelfStock_Log[Part Name],$A47,T_SelfStock_Log[WeekIndex],15)=0,"",SUMIFS(T_SelfStock_Log[Self_Qty],T_SelfStock_Log[Part Name],$A47,T_SelfStock_Log[WeekIndex],15))</f>
        <v/>
      </c>
      <c r="Q47" s="13">
        <f>IF(COUNTIFS(T_SelfStock_Log[Part Name],$A47,T_SelfStock_Log[WeekIndex],16)=0,"",SUMIFS(T_SelfStock_Log[Self_Qty],T_SelfStock_Log[Part Name],$A47,T_SelfStock_Log[WeekIndex],16))</f>
        <v/>
      </c>
      <c r="R47" s="13">
        <f>IF(COUNTIFS(T_SelfStock_Log[Part Name],$A47,T_SelfStock_Log[WeekIndex],17)=0,"",SUMIFS(T_SelfStock_Log[Self_Qty],T_SelfStock_Log[Part Name],$A47,T_SelfStock_Log[WeekIndex],17))</f>
        <v/>
      </c>
      <c r="S47" s="13">
        <f>IF(COUNTIFS(T_SelfStock_Log[Part Name],$A47,T_SelfStock_Log[WeekIndex],18)=0,"",SUMIFS(T_SelfStock_Log[Self_Qty],T_SelfStock_Log[Part Name],$A47,T_SelfStock_Log[WeekIndex],18))</f>
        <v/>
      </c>
      <c r="T47" s="13">
        <f>IF(COUNTIFS(T_SelfStock_Log[Part Name],$A47,T_SelfStock_Log[WeekIndex],19)=0,"",SUMIFS(T_SelfStock_Log[Self_Qty],T_SelfStock_Log[Part Name],$A47,T_SelfStock_Log[WeekIndex],19))</f>
        <v/>
      </c>
      <c r="U47" s="13">
        <f>IF(COUNTIFS(T_SelfStock_Log[Part Name],$A47,T_SelfStock_Log[WeekIndex],20)=0,"",SUMIFS(T_SelfStock_Log[Self_Qty],T_SelfStock_Log[Part Name],$A47,T_SelfStock_Log[WeekIndex],20))</f>
        <v/>
      </c>
      <c r="V47" s="13">
        <f>IF(COUNTIFS(T_SelfStock_Log[Part Name],$A47,T_SelfStock_Log[WeekIndex],21)=0,"",SUMIFS(T_SelfStock_Log[Self_Qty],T_SelfStock_Log[Part Name],$A47,T_SelfStock_Log[WeekIndex],21))</f>
        <v/>
      </c>
      <c r="W47" s="13">
        <f>IF(COUNTIFS(T_SelfStock_Log[Part Name],$A47,T_SelfStock_Log[WeekIndex],22)=0,"",SUMIFS(T_SelfStock_Log[Self_Qty],T_SelfStock_Log[Part Name],$A47,T_SelfStock_Log[WeekIndex],22))</f>
        <v/>
      </c>
      <c r="X47" s="13">
        <f>IF(COUNTIFS(T_SelfStock_Log[Part Name],$A47,T_SelfStock_Log[WeekIndex],23)=0,"",SUMIFS(T_SelfStock_Log[Self_Qty],T_SelfStock_Log[Part Name],$A47,T_SelfStock_Log[WeekIndex],23))</f>
        <v/>
      </c>
      <c r="Y47" s="13">
        <f>IF(COUNTIFS(T_SelfStock_Log[Part Name],$A47,T_SelfStock_Log[WeekIndex],24)=0,"",SUMIFS(T_SelfStock_Log[Self_Qty],T_SelfStock_Log[Part Name],$A47,T_SelfStock_Log[WeekIndex],24))</f>
        <v/>
      </c>
      <c r="Z47" s="13">
        <f>IF(COUNTIFS(T_SelfStock_Log[Part Name],$A47,T_SelfStock_Log[WeekIndex],25)=0,"",SUMIFS(T_SelfStock_Log[Self_Qty],T_SelfStock_Log[Part Name],$A47,T_SelfStock_Log[WeekIndex],25))</f>
        <v/>
      </c>
      <c r="AA47" s="13">
        <f>IF(COUNTIFS(T_SelfStock_Log[Part Name],$A47,T_SelfStock_Log[WeekIndex],26)=0,"",SUMIFS(T_SelfStock_Log[Self_Qty],T_SelfStock_Log[Part Name],$A47,T_SelfStock_Log[WeekIndex],26))</f>
        <v/>
      </c>
      <c r="AB47" s="13">
        <f>IF(COUNTIFS(T_SelfStock_Log[Part Name],$A47,T_SelfStock_Log[WeekIndex],27)=0,"",SUMIFS(T_SelfStock_Log[Self_Qty],T_SelfStock_Log[Part Name],$A47,T_SelfStock_Log[WeekIndex],27))</f>
        <v/>
      </c>
      <c r="AC47" s="13">
        <f>IF(COUNTIFS(T_SelfStock_Log[Part Name],$A47,T_SelfStock_Log[WeekIndex],28)=0,"",SUMIFS(T_SelfStock_Log[Self_Qty],T_SelfStock_Log[Part Name],$A47,T_SelfStock_Log[WeekIndex],28))</f>
        <v/>
      </c>
      <c r="AD47" s="13">
        <f>IF(COUNTIFS(T_SelfStock_Log[Part Name],$A47,T_SelfStock_Log[WeekIndex],29)=0,"",SUMIFS(T_SelfStock_Log[Self_Qty],T_SelfStock_Log[Part Name],$A47,T_SelfStock_Log[WeekIndex],29))</f>
        <v/>
      </c>
      <c r="AE47" s="13">
        <f>IF(COUNTIFS(T_SelfStock_Log[Part Name],$A47,T_SelfStock_Log[WeekIndex],30)=0,"",SUMIFS(T_SelfStock_Log[Self_Qty],T_SelfStock_Log[Part Name],$A47,T_SelfStock_Log[WeekIndex],30))</f>
        <v/>
      </c>
      <c r="AF47" s="13">
        <f>IF(COUNTIFS(T_SelfStock_Log[Part Name],$A47,T_SelfStock_Log[WeekIndex],31)=0,"",SUMIFS(T_SelfStock_Log[Self_Qty],T_SelfStock_Log[Part Name],$A47,T_SelfStock_Log[WeekIndex],31))</f>
        <v/>
      </c>
      <c r="AG47" s="13">
        <f>IF(COUNTIFS(T_SelfStock_Log[Part Name],$A47,T_SelfStock_Log[WeekIndex],32)=0,"",SUMIFS(T_SelfStock_Log[Self_Qty],T_SelfStock_Log[Part Name],$A47,T_SelfStock_Log[WeekIndex],32))</f>
        <v/>
      </c>
      <c r="AH47" s="13">
        <f>IF(COUNTIFS(T_SelfStock_Log[Part Name],$A47,T_SelfStock_Log[WeekIndex],33)=0,"",SUMIFS(T_SelfStock_Log[Self_Qty],T_SelfStock_Log[Part Name],$A47,T_SelfStock_Log[WeekIndex],33))</f>
        <v/>
      </c>
      <c r="AI47" s="13">
        <f>IF(COUNTIFS(T_SelfStock_Log[Part Name],$A47,T_SelfStock_Log[WeekIndex],34)=0,"",SUMIFS(T_SelfStock_Log[Self_Qty],T_SelfStock_Log[Part Name],$A47,T_SelfStock_Log[WeekIndex],34))</f>
        <v/>
      </c>
      <c r="AJ47" s="13">
        <f>IF(COUNTIFS(T_SelfStock_Log[Part Name],$A47,T_SelfStock_Log[WeekIndex],35)=0,"",SUMIFS(T_SelfStock_Log[Self_Qty],T_SelfStock_Log[Part Name],$A47,T_SelfStock_Log[WeekIndex],35))</f>
        <v/>
      </c>
      <c r="AK47" s="13">
        <f>IF(COUNTIFS(T_SelfStock_Log[Part Name],$A47,T_SelfStock_Log[WeekIndex],36)=0,"",SUMIFS(T_SelfStock_Log[Self_Qty],T_SelfStock_Log[Part Name],$A47,T_SelfStock_Log[WeekIndex],36))</f>
        <v/>
      </c>
      <c r="AL47" s="13">
        <f>IF(COUNTIFS(T_SelfStock_Log[Part Name],$A47,T_SelfStock_Log[WeekIndex],37)=0,"",SUMIFS(T_SelfStock_Log[Self_Qty],T_SelfStock_Log[Part Name],$A47,T_SelfStock_Log[WeekIndex],37))</f>
        <v/>
      </c>
      <c r="AM47" s="13">
        <f>IF(COUNTIFS(T_SelfStock_Log[Part Name],$A47,T_SelfStock_Log[WeekIndex],38)=0,"",SUMIFS(T_SelfStock_Log[Self_Qty],T_SelfStock_Log[Part Name],$A47,T_SelfStock_Log[WeekIndex],38))</f>
        <v/>
      </c>
      <c r="AN47" s="13">
        <f>IF(COUNTIFS(T_SelfStock_Log[Part Name],$A47,T_SelfStock_Log[WeekIndex],39)=0,"",SUMIFS(T_SelfStock_Log[Self_Qty],T_SelfStock_Log[Part Name],$A47,T_SelfStock_Log[WeekIndex],39))</f>
        <v/>
      </c>
      <c r="AO47" s="13">
        <f>IF(COUNTIFS(T_SelfStock_Log[Part Name],$A47,T_SelfStock_Log[WeekIndex],40)=0,"",SUMIFS(T_SelfStock_Log[Self_Qty],T_SelfStock_Log[Part Name],$A47,T_SelfStock_Log[WeekIndex],40))</f>
        <v/>
      </c>
      <c r="AP47" s="13">
        <f>IF(COUNTIFS(T_SelfStock_Log[Part Name],$A47,T_SelfStock_Log[WeekIndex],41)=0,"",SUMIFS(T_SelfStock_Log[Self_Qty],T_SelfStock_Log[Part Name],$A47,T_SelfStock_Log[WeekIndex],41))</f>
        <v/>
      </c>
      <c r="AQ47" s="13">
        <f>IF(COUNTIFS(T_SelfStock_Log[Part Name],$A47,T_SelfStock_Log[WeekIndex],42)=0,"",SUMIFS(T_SelfStock_Log[Self_Qty],T_SelfStock_Log[Part Name],$A47,T_SelfStock_Log[WeekIndex],42))</f>
        <v/>
      </c>
      <c r="AR47" s="13">
        <f>IF(COUNTIFS(T_SelfStock_Log[Part Name],$A47,T_SelfStock_Log[WeekIndex],43)=0,"",SUMIFS(T_SelfStock_Log[Self_Qty],T_SelfStock_Log[Part Name],$A47,T_SelfStock_Log[WeekIndex],43))</f>
        <v/>
      </c>
      <c r="AS47" s="13">
        <f>IF(COUNTIFS(T_SelfStock_Log[Part Name],$A47,T_SelfStock_Log[WeekIndex],44)=0,"",SUMIFS(T_SelfStock_Log[Self_Qty],T_SelfStock_Log[Part Name],$A47,T_SelfStock_Log[WeekIndex],44))</f>
        <v/>
      </c>
      <c r="AT47" s="13">
        <f>IF(COUNTIFS(T_SelfStock_Log[Part Name],$A47,T_SelfStock_Log[WeekIndex],45)=0,"",SUMIFS(T_SelfStock_Log[Self_Qty],T_SelfStock_Log[Part Name],$A47,T_SelfStock_Log[WeekIndex],45))</f>
        <v/>
      </c>
      <c r="AU47" s="13">
        <f>IF(COUNTIFS(T_SelfStock_Log[Part Name],$A47,T_SelfStock_Log[WeekIndex],46)=0,"",SUMIFS(T_SelfStock_Log[Self_Qty],T_SelfStock_Log[Part Name],$A47,T_SelfStock_Log[WeekIndex],46))</f>
        <v/>
      </c>
      <c r="AV47" s="13">
        <f>IF(COUNTIFS(T_SelfStock_Log[Part Name],$A47,T_SelfStock_Log[WeekIndex],47)=0,"",SUMIFS(T_SelfStock_Log[Self_Qty],T_SelfStock_Log[Part Name],$A47,T_SelfStock_Log[WeekIndex],47))</f>
        <v/>
      </c>
      <c r="AW47" s="13">
        <f>IF(COUNTIFS(T_SelfStock_Log[Part Name],$A47,T_SelfStock_Log[WeekIndex],48)=0,"",SUMIFS(T_SelfStock_Log[Self_Qty],T_SelfStock_Log[Part Name],$A47,T_SelfStock_Log[WeekIndex],48))</f>
        <v/>
      </c>
      <c r="AX47" s="13">
        <f>IF(COUNTIFS(T_SelfStock_Log[Part Name],$A47,T_SelfStock_Log[WeekIndex],49)=0,"",SUMIFS(T_SelfStock_Log[Self_Qty],T_SelfStock_Log[Part Name],$A47,T_SelfStock_Log[WeekIndex],49))</f>
        <v/>
      </c>
      <c r="AY47" s="13">
        <f>IF(COUNTIFS(T_SelfStock_Log[Part Name],$A47,T_SelfStock_Log[WeekIndex],50)=0,"",SUMIFS(T_SelfStock_Log[Self_Qty],T_SelfStock_Log[Part Name],$A47,T_SelfStock_Log[WeekIndex],50))</f>
        <v/>
      </c>
      <c r="AZ47" s="13">
        <f>IF(COUNTIFS(T_SelfStock_Log[Part Name],$A47,T_SelfStock_Log[WeekIndex],51)=0,"",SUMIFS(T_SelfStock_Log[Self_Qty],T_SelfStock_Log[Part Name],$A47,T_SelfStock_Log[WeekIndex],51))</f>
        <v/>
      </c>
      <c r="BA47" s="13">
        <f>IF(COUNTIFS(T_SelfStock_Log[Part Name],$A47,T_SelfStock_Log[WeekIndex],52)=0,"",SUMIFS(T_SelfStock_Log[Self_Qty],T_SelfStock_Log[Part Name],$A47,T_SelfStock_Log[WeekIndex],52))</f>
        <v/>
      </c>
      <c r="BB47" s="13">
        <f>IF(COUNTIFS(T_SelfStock_Log[Part Name],$A47,T_SelfStock_Log[WeekIndex],53)=0,"",SUMIFS(T_SelfStock_Log[Self_Qty],T_SelfStock_Log[Part Name],$A47,T_SelfStock_Log[WeekIndex],53))</f>
        <v/>
      </c>
      <c r="BC47" s="13">
        <f>IF(COUNTIFS(T_SelfStock_Log[Part Name],$A47,T_SelfStock_Log[WeekIndex],54)=0,"",SUMIFS(T_SelfStock_Log[Self_Qty],T_SelfStock_Log[Part Name],$A47,T_SelfStock_Log[WeekIndex],54))</f>
        <v/>
      </c>
      <c r="BD47" s="13">
        <f>IF(COUNTIFS(T_SelfStock_Log[Part Name],$A47,T_SelfStock_Log[WeekIndex],55)=0,"",SUMIFS(T_SelfStock_Log[Self_Qty],T_SelfStock_Log[Part Name],$A47,T_SelfStock_Log[WeekIndex],55))</f>
        <v/>
      </c>
      <c r="BE47" s="13">
        <f>IF(COUNTIFS(T_SelfStock_Log[Part Name],$A47,T_SelfStock_Log[WeekIndex],56)=0,"",SUMIFS(T_SelfStock_Log[Self_Qty],T_SelfStock_Log[Part Name],$A47,T_SelfStock_Log[WeekIndex],56))</f>
        <v/>
      </c>
      <c r="BF47" s="13">
        <f>IF(COUNTIFS(T_SelfStock_Log[Part Name],$A47,T_SelfStock_Log[WeekIndex],57)=0,"",SUMIFS(T_SelfStock_Log[Self_Qty],T_SelfStock_Log[Part Name],$A47,T_SelfStock_Log[WeekIndex],57))</f>
        <v/>
      </c>
      <c r="BG47" s="13">
        <f>IF(COUNTIFS(T_SelfStock_Log[Part Name],$A47,T_SelfStock_Log[WeekIndex],58)=0,"",SUMIFS(T_SelfStock_Log[Self_Qty],T_SelfStock_Log[Part Name],$A47,T_SelfStock_Log[WeekIndex],58))</f>
        <v/>
      </c>
      <c r="BH47" s="13">
        <f>IF(COUNTIFS(T_SelfStock_Log[Part Name],$A47,T_SelfStock_Log[WeekIndex],59)=0,"",SUMIFS(T_SelfStock_Log[Self_Qty],T_SelfStock_Log[Part Name],$A47,T_SelfStock_Log[WeekIndex],59))</f>
        <v/>
      </c>
      <c r="BI47" s="13">
        <f>IF(COUNTIFS(T_SelfStock_Log[Part Name],$A47,T_SelfStock_Log[WeekIndex],60)=0,"",SUMIFS(T_SelfStock_Log[Self_Qty],T_SelfStock_Log[Part Name],$A47,T_SelfStock_Log[WeekIndex],60))</f>
        <v/>
      </c>
      <c r="BJ47" s="13">
        <f>IF(COUNTIFS(T_SelfStock_Log[Part Name],$A47,T_SelfStock_Log[WeekIndex],61)=0,"",SUMIFS(T_SelfStock_Log[Self_Qty],T_SelfStock_Log[Part Name],$A47,T_SelfStock_Log[WeekIndex],61))</f>
        <v/>
      </c>
      <c r="BK47" s="13">
        <f>IF(COUNTIFS(T_SelfStock_Log[Part Name],$A47,T_SelfStock_Log[WeekIndex],62)=0,"",SUMIFS(T_SelfStock_Log[Self_Qty],T_SelfStock_Log[Part Name],$A47,T_SelfStock_Log[WeekIndex],62))</f>
        <v/>
      </c>
      <c r="BL47" s="13">
        <f>IF(COUNTIFS(T_SelfStock_Log[Part Name],$A47,T_SelfStock_Log[WeekIndex],63)=0,"",SUMIFS(T_SelfStock_Log[Self_Qty],T_SelfStock_Log[Part Name],$A47,T_SelfStock_Log[WeekIndex],63))</f>
        <v/>
      </c>
      <c r="BM47" s="13">
        <f>IF(COUNTIFS(T_SelfStock_Log[Part Name],$A47,T_SelfStock_Log[WeekIndex],64)=0,"",SUMIFS(T_SelfStock_Log[Self_Qty],T_SelfStock_Log[Part Name],$A47,T_SelfStock_Log[WeekIndex],64))</f>
        <v/>
      </c>
      <c r="BN47" s="13">
        <f>IF(COUNTIFS(T_SelfStock_Log[Part Name],$A47,T_SelfStock_Log[WeekIndex],65)=0,"",SUMIFS(T_SelfStock_Log[Self_Qty],T_SelfStock_Log[Part Name],$A47,T_SelfStock_Log[WeekIndex],65))</f>
        <v/>
      </c>
      <c r="BO47" s="13">
        <f>IF(COUNTIFS(T_SelfStock_Log[Part Name],$A47,T_SelfStock_Log[WeekIndex],66)=0,"",SUMIFS(T_SelfStock_Log[Self_Qty],T_SelfStock_Log[Part Name],$A47,T_SelfStock_Log[WeekIndex],66))</f>
        <v/>
      </c>
      <c r="BP47" s="13">
        <f>IF(COUNTIFS(T_SelfStock_Log[Part Name],$A47,T_SelfStock_Log[WeekIndex],67)=0,"",SUMIFS(T_SelfStock_Log[Self_Qty],T_SelfStock_Log[Part Name],$A47,T_SelfStock_Log[WeekIndex],67))</f>
        <v/>
      </c>
      <c r="BQ47" s="13">
        <f>IF(COUNTIFS(T_SelfStock_Log[Part Name],$A47,T_SelfStock_Log[WeekIndex],68)=0,"",SUMIFS(T_SelfStock_Log[Self_Qty],T_SelfStock_Log[Part Name],$A47,T_SelfStock_Log[WeekIndex],68))</f>
        <v/>
      </c>
      <c r="BR47" s="13">
        <f>IF(COUNTIFS(T_SelfStock_Log[Part Name],$A47,T_SelfStock_Log[WeekIndex],69)=0,"",SUMIFS(T_SelfStock_Log[Self_Qty],T_SelfStock_Log[Part Name],$A47,T_SelfStock_Log[WeekIndex],69))</f>
        <v/>
      </c>
      <c r="BS47" s="13">
        <f>IF(COUNTIFS(T_SelfStock_Log[Part Name],$A47,T_SelfStock_Log[WeekIndex],70)=0,"",SUMIFS(T_SelfStock_Log[Self_Qty],T_SelfStock_Log[Part Name],$A47,T_SelfStock_Log[WeekIndex],70))</f>
        <v/>
      </c>
      <c r="BT47" s="13">
        <f>IF(COUNTIFS(T_SelfStock_Log[Part Name],$A47,T_SelfStock_Log[WeekIndex],71)=0,"",SUMIFS(T_SelfStock_Log[Self_Qty],T_SelfStock_Log[Part Name],$A47,T_SelfStock_Log[WeekIndex],71))</f>
        <v/>
      </c>
      <c r="BU47" s="13">
        <f>IF(COUNTIFS(T_SelfStock_Log[Part Name],$A47,T_SelfStock_Log[WeekIndex],72)=0,"",SUMIFS(T_SelfStock_Log[Self_Qty],T_SelfStock_Log[Part Name],$A47,T_SelfStock_Log[WeekIndex],72))</f>
        <v/>
      </c>
      <c r="BV47" s="13">
        <f>IF(COUNTIFS(T_SelfStock_Log[Part Name],$A47,T_SelfStock_Log[WeekIndex],73)=0,"",SUMIFS(T_SelfStock_Log[Self_Qty],T_SelfStock_Log[Part Name],$A47,T_SelfStock_Log[WeekIndex],73))</f>
        <v/>
      </c>
      <c r="BW47" s="13">
        <f>IF(COUNTIFS(T_SelfStock_Log[Part Name],$A47,T_SelfStock_Log[WeekIndex],74)=0,"",SUMIFS(T_SelfStock_Log[Self_Qty],T_SelfStock_Log[Part Name],$A47,T_SelfStock_Log[WeekIndex],74))</f>
        <v/>
      </c>
      <c r="BX47" s="13">
        <f>IF(COUNTIFS(T_SelfStock_Log[Part Name],$A47,T_SelfStock_Log[WeekIndex],75)=0,"",SUMIFS(T_SelfStock_Log[Self_Qty],T_SelfStock_Log[Part Name],$A47,T_SelfStock_Log[WeekIndex],75))</f>
        <v/>
      </c>
      <c r="BY47" s="13">
        <f>IF(COUNTIFS(T_SelfStock_Log[Part Name],$A47,T_SelfStock_Log[WeekIndex],76)=0,"",SUMIFS(T_SelfStock_Log[Self_Qty],T_SelfStock_Log[Part Name],$A47,T_SelfStock_Log[WeekIndex],76))</f>
        <v/>
      </c>
      <c r="BZ47" s="13">
        <f>IF(COUNTIFS(T_SelfStock_Log[Part Name],$A47,T_SelfStock_Log[WeekIndex],77)=0,"",SUMIFS(T_SelfStock_Log[Self_Qty],T_SelfStock_Log[Part Name],$A47,T_SelfStock_Log[WeekIndex],77))</f>
        <v/>
      </c>
      <c r="CA47" s="13">
        <f>IF(COUNTIFS(T_SelfStock_Log[Part Name],$A47,T_SelfStock_Log[WeekIndex],78)=0,"",SUMIFS(T_SelfStock_Log[Self_Qty],T_SelfStock_Log[Part Name],$A47,T_SelfStock_Log[WeekIndex],78))</f>
        <v/>
      </c>
      <c r="CB47" s="13">
        <f>IF(COUNTIFS(T_SelfStock_Log[Part Name],$A47,T_SelfStock_Log[WeekIndex],79)=0,"",SUMIFS(T_SelfStock_Log[Self_Qty],T_SelfStock_Log[Part Name],$A47,T_SelfStock_Log[WeekIndex],79))</f>
        <v/>
      </c>
      <c r="CC47" s="13">
        <f>IF(COUNTIFS(T_SelfStock_Log[Part Name],$A47,T_SelfStock_Log[WeekIndex],80)=0,"",SUMIFS(T_SelfStock_Log[Self_Qty],T_SelfStock_Log[Part Name],$A47,T_SelfStock_Log[WeekIndex],80))</f>
        <v/>
      </c>
      <c r="CD47" s="13">
        <f>IF(COUNTIFS(T_SelfStock_Log[Part Name],$A47,T_SelfStock_Log[WeekIndex],81)=0,"",SUMIFS(T_SelfStock_Log[Self_Qty],T_SelfStock_Log[Part Name],$A47,T_SelfStock_Log[WeekIndex],81))</f>
        <v/>
      </c>
      <c r="CE47" s="13">
        <f>IF(COUNTIFS(T_SelfStock_Log[Part Name],$A47,T_SelfStock_Log[WeekIndex],82)=0,"",SUMIFS(T_SelfStock_Log[Self_Qty],T_SelfStock_Log[Part Name],$A47,T_SelfStock_Log[WeekIndex],82))</f>
        <v/>
      </c>
      <c r="CF47" s="13">
        <f>IF(COUNTIFS(T_SelfStock_Log[Part Name],$A47,T_SelfStock_Log[WeekIndex],83)=0,"",SUMIFS(T_SelfStock_Log[Self_Qty],T_SelfStock_Log[Part Name],$A47,T_SelfStock_Log[WeekIndex],83))</f>
        <v/>
      </c>
      <c r="CG47" s="13">
        <f>IF(COUNTIFS(T_SelfStock_Log[Part Name],$A47,T_SelfStock_Log[WeekIndex],84)=0,"",SUMIFS(T_SelfStock_Log[Self_Qty],T_SelfStock_Log[Part Name],$A47,T_SelfStock_Log[WeekIndex],84))</f>
        <v/>
      </c>
      <c r="CH47" s="13">
        <f>IF(COUNTIFS(T_SelfStock_Log[Part Name],$A47,T_SelfStock_Log[WeekIndex],85)=0,"",SUMIFS(T_SelfStock_Log[Self_Qty],T_SelfStock_Log[Part Name],$A47,T_SelfStock_Log[WeekIndex],85))</f>
        <v/>
      </c>
      <c r="CI47" s="13">
        <f>IF(COUNTIFS(T_SelfStock_Log[Part Name],$A47,T_SelfStock_Log[WeekIndex],86)=0,"",SUMIFS(T_SelfStock_Log[Self_Qty],T_SelfStock_Log[Part Name],$A47,T_SelfStock_Log[WeekIndex],86))</f>
        <v/>
      </c>
      <c r="CJ47" s="13">
        <f>IF(COUNTIFS(T_SelfStock_Log[Part Name],$A47,T_SelfStock_Log[WeekIndex],87)=0,"",SUMIFS(T_SelfStock_Log[Self_Qty],T_SelfStock_Log[Part Name],$A47,T_SelfStock_Log[WeekIndex],87))</f>
        <v/>
      </c>
      <c r="CK47" s="13">
        <f>IF(COUNTIFS(T_SelfStock_Log[Part Name],$A47,T_SelfStock_Log[WeekIndex],88)=0,"",SUMIFS(T_SelfStock_Log[Self_Qty],T_SelfStock_Log[Part Name],$A47,T_SelfStock_Log[WeekIndex],88))</f>
        <v/>
      </c>
      <c r="CL47" s="13">
        <f>IF(COUNTIFS(T_SelfStock_Log[Part Name],$A47,T_SelfStock_Log[WeekIndex],89)=0,"",SUMIFS(T_SelfStock_Log[Self_Qty],T_SelfStock_Log[Part Name],$A47,T_SelfStock_Log[WeekIndex],89))</f>
        <v/>
      </c>
      <c r="CM47" s="13">
        <f>IF(COUNTIFS(T_SelfStock_Log[Part Name],$A47,T_SelfStock_Log[WeekIndex],90)=0,"",SUMIFS(T_SelfStock_Log[Self_Qty],T_SelfStock_Log[Part Name],$A47,T_SelfStock_Log[WeekIndex],90))</f>
        <v/>
      </c>
      <c r="CN47" s="13">
        <f>IF(COUNTIFS(T_SelfStock_Log[Part Name],$A47,T_SelfStock_Log[WeekIndex],91)=0,"",SUMIFS(T_SelfStock_Log[Self_Qty],T_SelfStock_Log[Part Name],$A47,T_SelfStock_Log[WeekIndex],91))</f>
        <v/>
      </c>
      <c r="CO47" s="13">
        <f>IF(COUNTIFS(T_SelfStock_Log[Part Name],$A47,T_SelfStock_Log[WeekIndex],92)=0,"",SUMIFS(T_SelfStock_Log[Self_Qty],T_SelfStock_Log[Part Name],$A47,T_SelfStock_Log[WeekIndex],92))</f>
        <v/>
      </c>
      <c r="CP47" s="13">
        <f>IF(COUNTIFS(T_SelfStock_Log[Part Name],$A47,T_SelfStock_Log[WeekIndex],93)=0,"",SUMIFS(T_SelfStock_Log[Self_Qty],T_SelfStock_Log[Part Name],$A47,T_SelfStock_Log[WeekIndex],93))</f>
        <v/>
      </c>
      <c r="CQ47" s="13">
        <f>IF(COUNTIFS(T_SelfStock_Log[Part Name],$A47,T_SelfStock_Log[WeekIndex],94)=0,"",SUMIFS(T_SelfStock_Log[Self_Qty],T_SelfStock_Log[Part Name],$A47,T_SelfStock_Log[WeekIndex],94))</f>
        <v/>
      </c>
      <c r="CR47" s="13">
        <f>IF(COUNTIFS(T_SelfStock_Log[Part Name],$A47,T_SelfStock_Log[WeekIndex],95)=0,"",SUMIFS(T_SelfStock_Log[Self_Qty],T_SelfStock_Log[Part Name],$A47,T_SelfStock_Log[WeekIndex],95))</f>
        <v/>
      </c>
      <c r="CS47" s="13">
        <f>IF(COUNTIFS(T_SelfStock_Log[Part Name],$A47,T_SelfStock_Log[WeekIndex],96)=0,"",SUMIFS(T_SelfStock_Log[Self_Qty],T_SelfStock_Log[Part Name],$A47,T_SelfStock_Log[WeekIndex],96))</f>
        <v/>
      </c>
      <c r="CT47" s="13">
        <f>IF(COUNTIFS(T_SelfStock_Log[Part Name],$A47,T_SelfStock_Log[WeekIndex],97)=0,"",SUMIFS(T_SelfStock_Log[Self_Qty],T_SelfStock_Log[Part Name],$A47,T_SelfStock_Log[WeekIndex],97))</f>
        <v/>
      </c>
      <c r="CU47" s="13">
        <f>IF(COUNTIFS(T_SelfStock_Log[Part Name],$A47,T_SelfStock_Log[WeekIndex],98)=0,"",SUMIFS(T_SelfStock_Log[Self_Qty],T_SelfStock_Log[Part Name],$A47,T_SelfStock_Log[WeekIndex],98))</f>
        <v/>
      </c>
      <c r="CV47" s="13">
        <f>IF(COUNTIFS(T_SelfStock_Log[Part Name],$A47,T_SelfStock_Log[WeekIndex],99)=0,"",SUMIFS(T_SelfStock_Log[Self_Qty],T_SelfStock_Log[Part Name],$A47,T_SelfStock_Log[WeekIndex],99))</f>
        <v/>
      </c>
      <c r="CW47" s="13">
        <f>IF(COUNTIFS(T_SelfStock_Log[Part Name],$A47,T_SelfStock_Log[WeekIndex],100)=0,"",SUMIFS(T_SelfStock_Log[Self_Qty],T_SelfStock_Log[Part Name],$A47,T_SelfStock_Log[WeekIndex],100))</f>
        <v/>
      </c>
      <c r="CX47" s="13">
        <f>IF(COUNTIFS(T_SelfStock_Log[Part Name],$A47,T_SelfStock_Log[WeekIndex],101)=0,"",SUMIFS(T_SelfStock_Log[Self_Qty],T_SelfStock_Log[Part Name],$A47,T_SelfStock_Log[WeekIndex],101))</f>
        <v/>
      </c>
      <c r="CY47" s="13">
        <f>IF(COUNTIFS(T_SelfStock_Log[Part Name],$A47,T_SelfStock_Log[WeekIndex],102)=0,"",SUMIFS(T_SelfStock_Log[Self_Qty],T_SelfStock_Log[Part Name],$A47,T_SelfStock_Log[WeekIndex],102))</f>
        <v/>
      </c>
      <c r="CZ47" s="13">
        <f>IF(COUNTIFS(T_SelfStock_Log[Part Name],$A47,T_SelfStock_Log[WeekIndex],103)=0,"",SUMIFS(T_SelfStock_Log[Self_Qty],T_SelfStock_Log[Part Name],$A47,T_SelfStock_Log[WeekIndex],103))</f>
        <v/>
      </c>
      <c r="DA47" s="13">
        <f>IF(COUNTIFS(T_SelfStock_Log[Part Name],$A47,T_SelfStock_Log[WeekIndex],104)=0,"",SUMIFS(T_SelfStock_Log[Self_Qty],T_SelfStock_Log[Part Name],$A47,T_SelfStock_Log[WeekIndex],104))</f>
        <v/>
      </c>
    </row>
    <row r="48">
      <c r="A48" s="12" t="inlineStr">
        <is>
          <t>3TP</t>
        </is>
      </c>
      <c r="B48" s="12">
        <f>IF(COUNTIFS(T_SelfStock_Log[Part Name],$A48,T_SelfStock_Log[WeekIndex],1)=0,"",SUMIFS(T_SelfStock_Log[Self_Qty],T_SelfStock_Log[Part Name],$A48,T_SelfStock_Log[WeekIndex],1))</f>
        <v/>
      </c>
      <c r="C48" s="12">
        <f>IF(COUNTIFS(T_SelfStock_Log[Part Name],$A48,T_SelfStock_Log[WeekIndex],2)=0,"",SUMIFS(T_SelfStock_Log[Self_Qty],T_SelfStock_Log[Part Name],$A48,T_SelfStock_Log[WeekIndex],2))</f>
        <v/>
      </c>
      <c r="D48" s="12">
        <f>IF(COUNTIFS(T_SelfStock_Log[Part Name],$A48,T_SelfStock_Log[WeekIndex],3)=0,"",SUMIFS(T_SelfStock_Log[Self_Qty],T_SelfStock_Log[Part Name],$A48,T_SelfStock_Log[WeekIndex],3))</f>
        <v/>
      </c>
      <c r="E48" s="12">
        <f>IF(COUNTIFS(T_SelfStock_Log[Part Name],$A48,T_SelfStock_Log[WeekIndex],4)=0,"",SUMIFS(T_SelfStock_Log[Self_Qty],T_SelfStock_Log[Part Name],$A48,T_SelfStock_Log[WeekIndex],4))</f>
        <v/>
      </c>
      <c r="F48" s="12">
        <f>IF(COUNTIFS(T_SelfStock_Log[Part Name],$A48,T_SelfStock_Log[WeekIndex],5)=0,"",SUMIFS(T_SelfStock_Log[Self_Qty],T_SelfStock_Log[Part Name],$A48,T_SelfStock_Log[WeekIndex],5))</f>
        <v/>
      </c>
      <c r="G48" s="12">
        <f>IF(COUNTIFS(T_SelfStock_Log[Part Name],$A48,T_SelfStock_Log[WeekIndex],6)=0,"",SUMIFS(T_SelfStock_Log[Self_Qty],T_SelfStock_Log[Part Name],$A48,T_SelfStock_Log[WeekIndex],6))</f>
        <v/>
      </c>
      <c r="H48" s="12">
        <f>IF(COUNTIFS(T_SelfStock_Log[Part Name],$A48,T_SelfStock_Log[WeekIndex],7)=0,"",SUMIFS(T_SelfStock_Log[Self_Qty],T_SelfStock_Log[Part Name],$A48,T_SelfStock_Log[WeekIndex],7))</f>
        <v/>
      </c>
      <c r="I48" s="12">
        <f>IF(COUNTIFS(T_SelfStock_Log[Part Name],$A48,T_SelfStock_Log[WeekIndex],8)=0,"",SUMIFS(T_SelfStock_Log[Self_Qty],T_SelfStock_Log[Part Name],$A48,T_SelfStock_Log[WeekIndex],8))</f>
        <v/>
      </c>
      <c r="J48" s="12">
        <f>IF(COUNTIFS(T_SelfStock_Log[Part Name],$A48,T_SelfStock_Log[WeekIndex],9)=0,"",SUMIFS(T_SelfStock_Log[Self_Qty],T_SelfStock_Log[Part Name],$A48,T_SelfStock_Log[WeekIndex],9))</f>
        <v/>
      </c>
      <c r="K48" s="12">
        <f>IF(COUNTIFS(T_SelfStock_Log[Part Name],$A48,T_SelfStock_Log[WeekIndex],10)=0,"",SUMIFS(T_SelfStock_Log[Self_Qty],T_SelfStock_Log[Part Name],$A48,T_SelfStock_Log[WeekIndex],10))</f>
        <v/>
      </c>
      <c r="L48" s="12">
        <f>IF(COUNTIFS(T_SelfStock_Log[Part Name],$A48,T_SelfStock_Log[WeekIndex],11)=0,"",SUMIFS(T_SelfStock_Log[Self_Qty],T_SelfStock_Log[Part Name],$A48,T_SelfStock_Log[WeekIndex],11))</f>
        <v/>
      </c>
      <c r="M48" s="12">
        <f>IF(COUNTIFS(T_SelfStock_Log[Part Name],$A48,T_SelfStock_Log[WeekIndex],12)=0,"",SUMIFS(T_SelfStock_Log[Self_Qty],T_SelfStock_Log[Part Name],$A48,T_SelfStock_Log[WeekIndex],12))</f>
        <v/>
      </c>
      <c r="N48" s="12">
        <f>IF(COUNTIFS(T_SelfStock_Log[Part Name],$A48,T_SelfStock_Log[WeekIndex],13)=0,"",SUMIFS(T_SelfStock_Log[Self_Qty],T_SelfStock_Log[Part Name],$A48,T_SelfStock_Log[WeekIndex],13))</f>
        <v/>
      </c>
      <c r="O48" s="12">
        <f>IF(COUNTIFS(T_SelfStock_Log[Part Name],$A48,T_SelfStock_Log[WeekIndex],14)=0,"",SUMIFS(T_SelfStock_Log[Self_Qty],T_SelfStock_Log[Part Name],$A48,T_SelfStock_Log[WeekIndex],14))</f>
        <v/>
      </c>
      <c r="P48" s="12">
        <f>IF(COUNTIFS(T_SelfStock_Log[Part Name],$A48,T_SelfStock_Log[WeekIndex],15)=0,"",SUMIFS(T_SelfStock_Log[Self_Qty],T_SelfStock_Log[Part Name],$A48,T_SelfStock_Log[WeekIndex],15))</f>
        <v/>
      </c>
      <c r="Q48" s="12">
        <f>IF(COUNTIFS(T_SelfStock_Log[Part Name],$A48,T_SelfStock_Log[WeekIndex],16)=0,"",SUMIFS(T_SelfStock_Log[Self_Qty],T_SelfStock_Log[Part Name],$A48,T_SelfStock_Log[WeekIndex],16))</f>
        <v/>
      </c>
      <c r="R48" s="12">
        <f>IF(COUNTIFS(T_SelfStock_Log[Part Name],$A48,T_SelfStock_Log[WeekIndex],17)=0,"",SUMIFS(T_SelfStock_Log[Self_Qty],T_SelfStock_Log[Part Name],$A48,T_SelfStock_Log[WeekIndex],17))</f>
        <v/>
      </c>
      <c r="S48" s="12">
        <f>IF(COUNTIFS(T_SelfStock_Log[Part Name],$A48,T_SelfStock_Log[WeekIndex],18)=0,"",SUMIFS(T_SelfStock_Log[Self_Qty],T_SelfStock_Log[Part Name],$A48,T_SelfStock_Log[WeekIndex],18))</f>
        <v/>
      </c>
      <c r="T48" s="12">
        <f>IF(COUNTIFS(T_SelfStock_Log[Part Name],$A48,T_SelfStock_Log[WeekIndex],19)=0,"",SUMIFS(T_SelfStock_Log[Self_Qty],T_SelfStock_Log[Part Name],$A48,T_SelfStock_Log[WeekIndex],19))</f>
        <v/>
      </c>
      <c r="U48" s="12">
        <f>IF(COUNTIFS(T_SelfStock_Log[Part Name],$A48,T_SelfStock_Log[WeekIndex],20)=0,"",SUMIFS(T_SelfStock_Log[Self_Qty],T_SelfStock_Log[Part Name],$A48,T_SelfStock_Log[WeekIndex],20))</f>
        <v/>
      </c>
      <c r="V48" s="12">
        <f>IF(COUNTIFS(T_SelfStock_Log[Part Name],$A48,T_SelfStock_Log[WeekIndex],21)=0,"",SUMIFS(T_SelfStock_Log[Self_Qty],T_SelfStock_Log[Part Name],$A48,T_SelfStock_Log[WeekIndex],21))</f>
        <v/>
      </c>
      <c r="W48" s="12">
        <f>IF(COUNTIFS(T_SelfStock_Log[Part Name],$A48,T_SelfStock_Log[WeekIndex],22)=0,"",SUMIFS(T_SelfStock_Log[Self_Qty],T_SelfStock_Log[Part Name],$A48,T_SelfStock_Log[WeekIndex],22))</f>
        <v/>
      </c>
      <c r="X48" s="12">
        <f>IF(COUNTIFS(T_SelfStock_Log[Part Name],$A48,T_SelfStock_Log[WeekIndex],23)=0,"",SUMIFS(T_SelfStock_Log[Self_Qty],T_SelfStock_Log[Part Name],$A48,T_SelfStock_Log[WeekIndex],23))</f>
        <v/>
      </c>
      <c r="Y48" s="12">
        <f>IF(COUNTIFS(T_SelfStock_Log[Part Name],$A48,T_SelfStock_Log[WeekIndex],24)=0,"",SUMIFS(T_SelfStock_Log[Self_Qty],T_SelfStock_Log[Part Name],$A48,T_SelfStock_Log[WeekIndex],24))</f>
        <v/>
      </c>
      <c r="Z48" s="12">
        <f>IF(COUNTIFS(T_SelfStock_Log[Part Name],$A48,T_SelfStock_Log[WeekIndex],25)=0,"",SUMIFS(T_SelfStock_Log[Self_Qty],T_SelfStock_Log[Part Name],$A48,T_SelfStock_Log[WeekIndex],25))</f>
        <v/>
      </c>
      <c r="AA48" s="12">
        <f>IF(COUNTIFS(T_SelfStock_Log[Part Name],$A48,T_SelfStock_Log[WeekIndex],26)=0,"",SUMIFS(T_SelfStock_Log[Self_Qty],T_SelfStock_Log[Part Name],$A48,T_SelfStock_Log[WeekIndex],26))</f>
        <v/>
      </c>
      <c r="AB48" s="12">
        <f>IF(COUNTIFS(T_SelfStock_Log[Part Name],$A48,T_SelfStock_Log[WeekIndex],27)=0,"",SUMIFS(T_SelfStock_Log[Self_Qty],T_SelfStock_Log[Part Name],$A48,T_SelfStock_Log[WeekIndex],27))</f>
        <v/>
      </c>
      <c r="AC48" s="12">
        <f>IF(COUNTIFS(T_SelfStock_Log[Part Name],$A48,T_SelfStock_Log[WeekIndex],28)=0,"",SUMIFS(T_SelfStock_Log[Self_Qty],T_SelfStock_Log[Part Name],$A48,T_SelfStock_Log[WeekIndex],28))</f>
        <v/>
      </c>
      <c r="AD48" s="12">
        <f>IF(COUNTIFS(T_SelfStock_Log[Part Name],$A48,T_SelfStock_Log[WeekIndex],29)=0,"",SUMIFS(T_SelfStock_Log[Self_Qty],T_SelfStock_Log[Part Name],$A48,T_SelfStock_Log[WeekIndex],29))</f>
        <v/>
      </c>
      <c r="AE48" s="12">
        <f>IF(COUNTIFS(T_SelfStock_Log[Part Name],$A48,T_SelfStock_Log[WeekIndex],30)=0,"",SUMIFS(T_SelfStock_Log[Self_Qty],T_SelfStock_Log[Part Name],$A48,T_SelfStock_Log[WeekIndex],30))</f>
        <v/>
      </c>
      <c r="AF48" s="12">
        <f>IF(COUNTIFS(T_SelfStock_Log[Part Name],$A48,T_SelfStock_Log[WeekIndex],31)=0,"",SUMIFS(T_SelfStock_Log[Self_Qty],T_SelfStock_Log[Part Name],$A48,T_SelfStock_Log[WeekIndex],31))</f>
        <v/>
      </c>
      <c r="AG48" s="12">
        <f>IF(COUNTIFS(T_SelfStock_Log[Part Name],$A48,T_SelfStock_Log[WeekIndex],32)=0,"",SUMIFS(T_SelfStock_Log[Self_Qty],T_SelfStock_Log[Part Name],$A48,T_SelfStock_Log[WeekIndex],32))</f>
        <v/>
      </c>
      <c r="AH48" s="12">
        <f>IF(COUNTIFS(T_SelfStock_Log[Part Name],$A48,T_SelfStock_Log[WeekIndex],33)=0,"",SUMIFS(T_SelfStock_Log[Self_Qty],T_SelfStock_Log[Part Name],$A48,T_SelfStock_Log[WeekIndex],33))</f>
        <v/>
      </c>
      <c r="AI48" s="12">
        <f>IF(COUNTIFS(T_SelfStock_Log[Part Name],$A48,T_SelfStock_Log[WeekIndex],34)=0,"",SUMIFS(T_SelfStock_Log[Self_Qty],T_SelfStock_Log[Part Name],$A48,T_SelfStock_Log[WeekIndex],34))</f>
        <v/>
      </c>
      <c r="AJ48" s="12">
        <f>IF(COUNTIFS(T_SelfStock_Log[Part Name],$A48,T_SelfStock_Log[WeekIndex],35)=0,"",SUMIFS(T_SelfStock_Log[Self_Qty],T_SelfStock_Log[Part Name],$A48,T_SelfStock_Log[WeekIndex],35))</f>
        <v/>
      </c>
      <c r="AK48" s="12">
        <f>IF(COUNTIFS(T_SelfStock_Log[Part Name],$A48,T_SelfStock_Log[WeekIndex],36)=0,"",SUMIFS(T_SelfStock_Log[Self_Qty],T_SelfStock_Log[Part Name],$A48,T_SelfStock_Log[WeekIndex],36))</f>
        <v/>
      </c>
      <c r="AL48" s="12">
        <f>IF(COUNTIFS(T_SelfStock_Log[Part Name],$A48,T_SelfStock_Log[WeekIndex],37)=0,"",SUMIFS(T_SelfStock_Log[Self_Qty],T_SelfStock_Log[Part Name],$A48,T_SelfStock_Log[WeekIndex],37))</f>
        <v/>
      </c>
      <c r="AM48" s="12">
        <f>IF(COUNTIFS(T_SelfStock_Log[Part Name],$A48,T_SelfStock_Log[WeekIndex],38)=0,"",SUMIFS(T_SelfStock_Log[Self_Qty],T_SelfStock_Log[Part Name],$A48,T_SelfStock_Log[WeekIndex],38))</f>
        <v/>
      </c>
      <c r="AN48" s="12">
        <f>IF(COUNTIFS(T_SelfStock_Log[Part Name],$A48,T_SelfStock_Log[WeekIndex],39)=0,"",SUMIFS(T_SelfStock_Log[Self_Qty],T_SelfStock_Log[Part Name],$A48,T_SelfStock_Log[WeekIndex],39))</f>
        <v/>
      </c>
      <c r="AO48" s="12">
        <f>IF(COUNTIFS(T_SelfStock_Log[Part Name],$A48,T_SelfStock_Log[WeekIndex],40)=0,"",SUMIFS(T_SelfStock_Log[Self_Qty],T_SelfStock_Log[Part Name],$A48,T_SelfStock_Log[WeekIndex],40))</f>
        <v/>
      </c>
      <c r="AP48" s="12">
        <f>IF(COUNTIFS(T_SelfStock_Log[Part Name],$A48,T_SelfStock_Log[WeekIndex],41)=0,"",SUMIFS(T_SelfStock_Log[Self_Qty],T_SelfStock_Log[Part Name],$A48,T_SelfStock_Log[WeekIndex],41))</f>
        <v/>
      </c>
      <c r="AQ48" s="12">
        <f>IF(COUNTIFS(T_SelfStock_Log[Part Name],$A48,T_SelfStock_Log[WeekIndex],42)=0,"",SUMIFS(T_SelfStock_Log[Self_Qty],T_SelfStock_Log[Part Name],$A48,T_SelfStock_Log[WeekIndex],42))</f>
        <v/>
      </c>
      <c r="AR48" s="12">
        <f>IF(COUNTIFS(T_SelfStock_Log[Part Name],$A48,T_SelfStock_Log[WeekIndex],43)=0,"",SUMIFS(T_SelfStock_Log[Self_Qty],T_SelfStock_Log[Part Name],$A48,T_SelfStock_Log[WeekIndex],43))</f>
        <v/>
      </c>
      <c r="AS48" s="12">
        <f>IF(COUNTIFS(T_SelfStock_Log[Part Name],$A48,T_SelfStock_Log[WeekIndex],44)=0,"",SUMIFS(T_SelfStock_Log[Self_Qty],T_SelfStock_Log[Part Name],$A48,T_SelfStock_Log[WeekIndex],44))</f>
        <v/>
      </c>
      <c r="AT48" s="12">
        <f>IF(COUNTIFS(T_SelfStock_Log[Part Name],$A48,T_SelfStock_Log[WeekIndex],45)=0,"",SUMIFS(T_SelfStock_Log[Self_Qty],T_SelfStock_Log[Part Name],$A48,T_SelfStock_Log[WeekIndex],45))</f>
        <v/>
      </c>
      <c r="AU48" s="12">
        <f>IF(COUNTIFS(T_SelfStock_Log[Part Name],$A48,T_SelfStock_Log[WeekIndex],46)=0,"",SUMIFS(T_SelfStock_Log[Self_Qty],T_SelfStock_Log[Part Name],$A48,T_SelfStock_Log[WeekIndex],46))</f>
        <v/>
      </c>
      <c r="AV48" s="12">
        <f>IF(COUNTIFS(T_SelfStock_Log[Part Name],$A48,T_SelfStock_Log[WeekIndex],47)=0,"",SUMIFS(T_SelfStock_Log[Self_Qty],T_SelfStock_Log[Part Name],$A48,T_SelfStock_Log[WeekIndex],47))</f>
        <v/>
      </c>
      <c r="AW48" s="12">
        <f>IF(COUNTIFS(T_SelfStock_Log[Part Name],$A48,T_SelfStock_Log[WeekIndex],48)=0,"",SUMIFS(T_SelfStock_Log[Self_Qty],T_SelfStock_Log[Part Name],$A48,T_SelfStock_Log[WeekIndex],48))</f>
        <v/>
      </c>
      <c r="AX48" s="12">
        <f>IF(COUNTIFS(T_SelfStock_Log[Part Name],$A48,T_SelfStock_Log[WeekIndex],49)=0,"",SUMIFS(T_SelfStock_Log[Self_Qty],T_SelfStock_Log[Part Name],$A48,T_SelfStock_Log[WeekIndex],49))</f>
        <v/>
      </c>
      <c r="AY48" s="12">
        <f>IF(COUNTIFS(T_SelfStock_Log[Part Name],$A48,T_SelfStock_Log[WeekIndex],50)=0,"",SUMIFS(T_SelfStock_Log[Self_Qty],T_SelfStock_Log[Part Name],$A48,T_SelfStock_Log[WeekIndex],50))</f>
        <v/>
      </c>
      <c r="AZ48" s="12">
        <f>IF(COUNTIFS(T_SelfStock_Log[Part Name],$A48,T_SelfStock_Log[WeekIndex],51)=0,"",SUMIFS(T_SelfStock_Log[Self_Qty],T_SelfStock_Log[Part Name],$A48,T_SelfStock_Log[WeekIndex],51))</f>
        <v/>
      </c>
      <c r="BA48" s="12">
        <f>IF(COUNTIFS(T_SelfStock_Log[Part Name],$A48,T_SelfStock_Log[WeekIndex],52)=0,"",SUMIFS(T_SelfStock_Log[Self_Qty],T_SelfStock_Log[Part Name],$A48,T_SelfStock_Log[WeekIndex],52))</f>
        <v/>
      </c>
      <c r="BB48" s="12">
        <f>IF(COUNTIFS(T_SelfStock_Log[Part Name],$A48,T_SelfStock_Log[WeekIndex],53)=0,"",SUMIFS(T_SelfStock_Log[Self_Qty],T_SelfStock_Log[Part Name],$A48,T_SelfStock_Log[WeekIndex],53))</f>
        <v/>
      </c>
      <c r="BC48" s="12">
        <f>IF(COUNTIFS(T_SelfStock_Log[Part Name],$A48,T_SelfStock_Log[WeekIndex],54)=0,"",SUMIFS(T_SelfStock_Log[Self_Qty],T_SelfStock_Log[Part Name],$A48,T_SelfStock_Log[WeekIndex],54))</f>
        <v/>
      </c>
      <c r="BD48" s="12">
        <f>IF(COUNTIFS(T_SelfStock_Log[Part Name],$A48,T_SelfStock_Log[WeekIndex],55)=0,"",SUMIFS(T_SelfStock_Log[Self_Qty],T_SelfStock_Log[Part Name],$A48,T_SelfStock_Log[WeekIndex],55))</f>
        <v/>
      </c>
      <c r="BE48" s="12">
        <f>IF(COUNTIFS(T_SelfStock_Log[Part Name],$A48,T_SelfStock_Log[WeekIndex],56)=0,"",SUMIFS(T_SelfStock_Log[Self_Qty],T_SelfStock_Log[Part Name],$A48,T_SelfStock_Log[WeekIndex],56))</f>
        <v/>
      </c>
      <c r="BF48" s="12">
        <f>IF(COUNTIFS(T_SelfStock_Log[Part Name],$A48,T_SelfStock_Log[WeekIndex],57)=0,"",SUMIFS(T_SelfStock_Log[Self_Qty],T_SelfStock_Log[Part Name],$A48,T_SelfStock_Log[WeekIndex],57))</f>
        <v/>
      </c>
      <c r="BG48" s="12">
        <f>IF(COUNTIFS(T_SelfStock_Log[Part Name],$A48,T_SelfStock_Log[WeekIndex],58)=0,"",SUMIFS(T_SelfStock_Log[Self_Qty],T_SelfStock_Log[Part Name],$A48,T_SelfStock_Log[WeekIndex],58))</f>
        <v/>
      </c>
      <c r="BH48" s="12">
        <f>IF(COUNTIFS(T_SelfStock_Log[Part Name],$A48,T_SelfStock_Log[WeekIndex],59)=0,"",SUMIFS(T_SelfStock_Log[Self_Qty],T_SelfStock_Log[Part Name],$A48,T_SelfStock_Log[WeekIndex],59))</f>
        <v/>
      </c>
      <c r="BI48" s="12">
        <f>IF(COUNTIFS(T_SelfStock_Log[Part Name],$A48,T_SelfStock_Log[WeekIndex],60)=0,"",SUMIFS(T_SelfStock_Log[Self_Qty],T_SelfStock_Log[Part Name],$A48,T_SelfStock_Log[WeekIndex],60))</f>
        <v/>
      </c>
      <c r="BJ48" s="12">
        <f>IF(COUNTIFS(T_SelfStock_Log[Part Name],$A48,T_SelfStock_Log[WeekIndex],61)=0,"",SUMIFS(T_SelfStock_Log[Self_Qty],T_SelfStock_Log[Part Name],$A48,T_SelfStock_Log[WeekIndex],61))</f>
        <v/>
      </c>
      <c r="BK48" s="12">
        <f>IF(COUNTIFS(T_SelfStock_Log[Part Name],$A48,T_SelfStock_Log[WeekIndex],62)=0,"",SUMIFS(T_SelfStock_Log[Self_Qty],T_SelfStock_Log[Part Name],$A48,T_SelfStock_Log[WeekIndex],62))</f>
        <v/>
      </c>
      <c r="BL48" s="12">
        <f>IF(COUNTIFS(T_SelfStock_Log[Part Name],$A48,T_SelfStock_Log[WeekIndex],63)=0,"",SUMIFS(T_SelfStock_Log[Self_Qty],T_SelfStock_Log[Part Name],$A48,T_SelfStock_Log[WeekIndex],63))</f>
        <v/>
      </c>
      <c r="BM48" s="12">
        <f>IF(COUNTIFS(T_SelfStock_Log[Part Name],$A48,T_SelfStock_Log[WeekIndex],64)=0,"",SUMIFS(T_SelfStock_Log[Self_Qty],T_SelfStock_Log[Part Name],$A48,T_SelfStock_Log[WeekIndex],64))</f>
        <v/>
      </c>
      <c r="BN48" s="12">
        <f>IF(COUNTIFS(T_SelfStock_Log[Part Name],$A48,T_SelfStock_Log[WeekIndex],65)=0,"",SUMIFS(T_SelfStock_Log[Self_Qty],T_SelfStock_Log[Part Name],$A48,T_SelfStock_Log[WeekIndex],65))</f>
        <v/>
      </c>
      <c r="BO48" s="12">
        <f>IF(COUNTIFS(T_SelfStock_Log[Part Name],$A48,T_SelfStock_Log[WeekIndex],66)=0,"",SUMIFS(T_SelfStock_Log[Self_Qty],T_SelfStock_Log[Part Name],$A48,T_SelfStock_Log[WeekIndex],66))</f>
        <v/>
      </c>
      <c r="BP48" s="12">
        <f>IF(COUNTIFS(T_SelfStock_Log[Part Name],$A48,T_SelfStock_Log[WeekIndex],67)=0,"",SUMIFS(T_SelfStock_Log[Self_Qty],T_SelfStock_Log[Part Name],$A48,T_SelfStock_Log[WeekIndex],67))</f>
        <v/>
      </c>
      <c r="BQ48" s="12">
        <f>IF(COUNTIFS(T_SelfStock_Log[Part Name],$A48,T_SelfStock_Log[WeekIndex],68)=0,"",SUMIFS(T_SelfStock_Log[Self_Qty],T_SelfStock_Log[Part Name],$A48,T_SelfStock_Log[WeekIndex],68))</f>
        <v/>
      </c>
      <c r="BR48" s="12">
        <f>IF(COUNTIFS(T_SelfStock_Log[Part Name],$A48,T_SelfStock_Log[WeekIndex],69)=0,"",SUMIFS(T_SelfStock_Log[Self_Qty],T_SelfStock_Log[Part Name],$A48,T_SelfStock_Log[WeekIndex],69))</f>
        <v/>
      </c>
      <c r="BS48" s="12">
        <f>IF(COUNTIFS(T_SelfStock_Log[Part Name],$A48,T_SelfStock_Log[WeekIndex],70)=0,"",SUMIFS(T_SelfStock_Log[Self_Qty],T_SelfStock_Log[Part Name],$A48,T_SelfStock_Log[WeekIndex],70))</f>
        <v/>
      </c>
      <c r="BT48" s="12">
        <f>IF(COUNTIFS(T_SelfStock_Log[Part Name],$A48,T_SelfStock_Log[WeekIndex],71)=0,"",SUMIFS(T_SelfStock_Log[Self_Qty],T_SelfStock_Log[Part Name],$A48,T_SelfStock_Log[WeekIndex],71))</f>
        <v/>
      </c>
      <c r="BU48" s="12">
        <f>IF(COUNTIFS(T_SelfStock_Log[Part Name],$A48,T_SelfStock_Log[WeekIndex],72)=0,"",SUMIFS(T_SelfStock_Log[Self_Qty],T_SelfStock_Log[Part Name],$A48,T_SelfStock_Log[WeekIndex],72))</f>
        <v/>
      </c>
      <c r="BV48" s="12">
        <f>IF(COUNTIFS(T_SelfStock_Log[Part Name],$A48,T_SelfStock_Log[WeekIndex],73)=0,"",SUMIFS(T_SelfStock_Log[Self_Qty],T_SelfStock_Log[Part Name],$A48,T_SelfStock_Log[WeekIndex],73))</f>
        <v/>
      </c>
      <c r="BW48" s="12">
        <f>IF(COUNTIFS(T_SelfStock_Log[Part Name],$A48,T_SelfStock_Log[WeekIndex],74)=0,"",SUMIFS(T_SelfStock_Log[Self_Qty],T_SelfStock_Log[Part Name],$A48,T_SelfStock_Log[WeekIndex],74))</f>
        <v/>
      </c>
      <c r="BX48" s="12">
        <f>IF(COUNTIFS(T_SelfStock_Log[Part Name],$A48,T_SelfStock_Log[WeekIndex],75)=0,"",SUMIFS(T_SelfStock_Log[Self_Qty],T_SelfStock_Log[Part Name],$A48,T_SelfStock_Log[WeekIndex],75))</f>
        <v/>
      </c>
      <c r="BY48" s="12">
        <f>IF(COUNTIFS(T_SelfStock_Log[Part Name],$A48,T_SelfStock_Log[WeekIndex],76)=0,"",SUMIFS(T_SelfStock_Log[Self_Qty],T_SelfStock_Log[Part Name],$A48,T_SelfStock_Log[WeekIndex],76))</f>
        <v/>
      </c>
      <c r="BZ48" s="12">
        <f>IF(COUNTIFS(T_SelfStock_Log[Part Name],$A48,T_SelfStock_Log[WeekIndex],77)=0,"",SUMIFS(T_SelfStock_Log[Self_Qty],T_SelfStock_Log[Part Name],$A48,T_SelfStock_Log[WeekIndex],77))</f>
        <v/>
      </c>
      <c r="CA48" s="12">
        <f>IF(COUNTIFS(T_SelfStock_Log[Part Name],$A48,T_SelfStock_Log[WeekIndex],78)=0,"",SUMIFS(T_SelfStock_Log[Self_Qty],T_SelfStock_Log[Part Name],$A48,T_SelfStock_Log[WeekIndex],78))</f>
        <v/>
      </c>
      <c r="CB48" s="12">
        <f>IF(COUNTIFS(T_SelfStock_Log[Part Name],$A48,T_SelfStock_Log[WeekIndex],79)=0,"",SUMIFS(T_SelfStock_Log[Self_Qty],T_SelfStock_Log[Part Name],$A48,T_SelfStock_Log[WeekIndex],79))</f>
        <v/>
      </c>
      <c r="CC48" s="12">
        <f>IF(COUNTIFS(T_SelfStock_Log[Part Name],$A48,T_SelfStock_Log[WeekIndex],80)=0,"",SUMIFS(T_SelfStock_Log[Self_Qty],T_SelfStock_Log[Part Name],$A48,T_SelfStock_Log[WeekIndex],80))</f>
        <v/>
      </c>
      <c r="CD48" s="12">
        <f>IF(COUNTIFS(T_SelfStock_Log[Part Name],$A48,T_SelfStock_Log[WeekIndex],81)=0,"",SUMIFS(T_SelfStock_Log[Self_Qty],T_SelfStock_Log[Part Name],$A48,T_SelfStock_Log[WeekIndex],81))</f>
        <v/>
      </c>
      <c r="CE48" s="12">
        <f>IF(COUNTIFS(T_SelfStock_Log[Part Name],$A48,T_SelfStock_Log[WeekIndex],82)=0,"",SUMIFS(T_SelfStock_Log[Self_Qty],T_SelfStock_Log[Part Name],$A48,T_SelfStock_Log[WeekIndex],82))</f>
        <v/>
      </c>
      <c r="CF48" s="12">
        <f>IF(COUNTIFS(T_SelfStock_Log[Part Name],$A48,T_SelfStock_Log[WeekIndex],83)=0,"",SUMIFS(T_SelfStock_Log[Self_Qty],T_SelfStock_Log[Part Name],$A48,T_SelfStock_Log[WeekIndex],83))</f>
        <v/>
      </c>
      <c r="CG48" s="12">
        <f>IF(COUNTIFS(T_SelfStock_Log[Part Name],$A48,T_SelfStock_Log[WeekIndex],84)=0,"",SUMIFS(T_SelfStock_Log[Self_Qty],T_SelfStock_Log[Part Name],$A48,T_SelfStock_Log[WeekIndex],84))</f>
        <v/>
      </c>
      <c r="CH48" s="12">
        <f>IF(COUNTIFS(T_SelfStock_Log[Part Name],$A48,T_SelfStock_Log[WeekIndex],85)=0,"",SUMIFS(T_SelfStock_Log[Self_Qty],T_SelfStock_Log[Part Name],$A48,T_SelfStock_Log[WeekIndex],85))</f>
        <v/>
      </c>
      <c r="CI48" s="12">
        <f>IF(COUNTIFS(T_SelfStock_Log[Part Name],$A48,T_SelfStock_Log[WeekIndex],86)=0,"",SUMIFS(T_SelfStock_Log[Self_Qty],T_SelfStock_Log[Part Name],$A48,T_SelfStock_Log[WeekIndex],86))</f>
        <v/>
      </c>
      <c r="CJ48" s="12">
        <f>IF(COUNTIFS(T_SelfStock_Log[Part Name],$A48,T_SelfStock_Log[WeekIndex],87)=0,"",SUMIFS(T_SelfStock_Log[Self_Qty],T_SelfStock_Log[Part Name],$A48,T_SelfStock_Log[WeekIndex],87))</f>
        <v/>
      </c>
      <c r="CK48" s="12">
        <f>IF(COUNTIFS(T_SelfStock_Log[Part Name],$A48,T_SelfStock_Log[WeekIndex],88)=0,"",SUMIFS(T_SelfStock_Log[Self_Qty],T_SelfStock_Log[Part Name],$A48,T_SelfStock_Log[WeekIndex],88))</f>
        <v/>
      </c>
      <c r="CL48" s="12">
        <f>IF(COUNTIFS(T_SelfStock_Log[Part Name],$A48,T_SelfStock_Log[WeekIndex],89)=0,"",SUMIFS(T_SelfStock_Log[Self_Qty],T_SelfStock_Log[Part Name],$A48,T_SelfStock_Log[WeekIndex],89))</f>
        <v/>
      </c>
      <c r="CM48" s="12">
        <f>IF(COUNTIFS(T_SelfStock_Log[Part Name],$A48,T_SelfStock_Log[WeekIndex],90)=0,"",SUMIFS(T_SelfStock_Log[Self_Qty],T_SelfStock_Log[Part Name],$A48,T_SelfStock_Log[WeekIndex],90))</f>
        <v/>
      </c>
      <c r="CN48" s="12">
        <f>IF(COUNTIFS(T_SelfStock_Log[Part Name],$A48,T_SelfStock_Log[WeekIndex],91)=0,"",SUMIFS(T_SelfStock_Log[Self_Qty],T_SelfStock_Log[Part Name],$A48,T_SelfStock_Log[WeekIndex],91))</f>
        <v/>
      </c>
      <c r="CO48" s="12">
        <f>IF(COUNTIFS(T_SelfStock_Log[Part Name],$A48,T_SelfStock_Log[WeekIndex],92)=0,"",SUMIFS(T_SelfStock_Log[Self_Qty],T_SelfStock_Log[Part Name],$A48,T_SelfStock_Log[WeekIndex],92))</f>
        <v/>
      </c>
      <c r="CP48" s="12">
        <f>IF(COUNTIFS(T_SelfStock_Log[Part Name],$A48,T_SelfStock_Log[WeekIndex],93)=0,"",SUMIFS(T_SelfStock_Log[Self_Qty],T_SelfStock_Log[Part Name],$A48,T_SelfStock_Log[WeekIndex],93))</f>
        <v/>
      </c>
      <c r="CQ48" s="12">
        <f>IF(COUNTIFS(T_SelfStock_Log[Part Name],$A48,T_SelfStock_Log[WeekIndex],94)=0,"",SUMIFS(T_SelfStock_Log[Self_Qty],T_SelfStock_Log[Part Name],$A48,T_SelfStock_Log[WeekIndex],94))</f>
        <v/>
      </c>
      <c r="CR48" s="12">
        <f>IF(COUNTIFS(T_SelfStock_Log[Part Name],$A48,T_SelfStock_Log[WeekIndex],95)=0,"",SUMIFS(T_SelfStock_Log[Self_Qty],T_SelfStock_Log[Part Name],$A48,T_SelfStock_Log[WeekIndex],95))</f>
        <v/>
      </c>
      <c r="CS48" s="12">
        <f>IF(COUNTIFS(T_SelfStock_Log[Part Name],$A48,T_SelfStock_Log[WeekIndex],96)=0,"",SUMIFS(T_SelfStock_Log[Self_Qty],T_SelfStock_Log[Part Name],$A48,T_SelfStock_Log[WeekIndex],96))</f>
        <v/>
      </c>
      <c r="CT48" s="12">
        <f>IF(COUNTIFS(T_SelfStock_Log[Part Name],$A48,T_SelfStock_Log[WeekIndex],97)=0,"",SUMIFS(T_SelfStock_Log[Self_Qty],T_SelfStock_Log[Part Name],$A48,T_SelfStock_Log[WeekIndex],97))</f>
        <v/>
      </c>
      <c r="CU48" s="12">
        <f>IF(COUNTIFS(T_SelfStock_Log[Part Name],$A48,T_SelfStock_Log[WeekIndex],98)=0,"",SUMIFS(T_SelfStock_Log[Self_Qty],T_SelfStock_Log[Part Name],$A48,T_SelfStock_Log[WeekIndex],98))</f>
        <v/>
      </c>
      <c r="CV48" s="12">
        <f>IF(COUNTIFS(T_SelfStock_Log[Part Name],$A48,T_SelfStock_Log[WeekIndex],99)=0,"",SUMIFS(T_SelfStock_Log[Self_Qty],T_SelfStock_Log[Part Name],$A48,T_SelfStock_Log[WeekIndex],99))</f>
        <v/>
      </c>
      <c r="CW48" s="12">
        <f>IF(COUNTIFS(T_SelfStock_Log[Part Name],$A48,T_SelfStock_Log[WeekIndex],100)=0,"",SUMIFS(T_SelfStock_Log[Self_Qty],T_SelfStock_Log[Part Name],$A48,T_SelfStock_Log[WeekIndex],100))</f>
        <v/>
      </c>
      <c r="CX48" s="12">
        <f>IF(COUNTIFS(T_SelfStock_Log[Part Name],$A48,T_SelfStock_Log[WeekIndex],101)=0,"",SUMIFS(T_SelfStock_Log[Self_Qty],T_SelfStock_Log[Part Name],$A48,T_SelfStock_Log[WeekIndex],101))</f>
        <v/>
      </c>
      <c r="CY48" s="12">
        <f>IF(COUNTIFS(T_SelfStock_Log[Part Name],$A48,T_SelfStock_Log[WeekIndex],102)=0,"",SUMIFS(T_SelfStock_Log[Self_Qty],T_SelfStock_Log[Part Name],$A48,T_SelfStock_Log[WeekIndex],102))</f>
        <v/>
      </c>
      <c r="CZ48" s="12">
        <f>IF(COUNTIFS(T_SelfStock_Log[Part Name],$A48,T_SelfStock_Log[WeekIndex],103)=0,"",SUMIFS(T_SelfStock_Log[Self_Qty],T_SelfStock_Log[Part Name],$A48,T_SelfStock_Log[WeekIndex],103))</f>
        <v/>
      </c>
      <c r="DA48" s="12">
        <f>IF(COUNTIFS(T_SelfStock_Log[Part Name],$A48,T_SelfStock_Log[WeekIndex],104)=0,"",SUMIFS(T_SelfStock_Log[Self_Qty],T_SelfStock_Log[Part Name],$A48,T_SelfStock_Log[WeekIndex],104))</f>
        <v/>
      </c>
    </row>
    <row r="49">
      <c r="A49" s="13" t="inlineStr">
        <is>
          <t>A043</t>
        </is>
      </c>
      <c r="B49" s="13">
        <f>IF(COUNTIFS(T_SelfStock_Log[Part Name],$A49,T_SelfStock_Log[WeekIndex],1)=0,"",SUMIFS(T_SelfStock_Log[Self_Qty],T_SelfStock_Log[Part Name],$A49,T_SelfStock_Log[WeekIndex],1))</f>
        <v/>
      </c>
      <c r="C49" s="13">
        <f>IF(COUNTIFS(T_SelfStock_Log[Part Name],$A49,T_SelfStock_Log[WeekIndex],2)=0,"",SUMIFS(T_SelfStock_Log[Self_Qty],T_SelfStock_Log[Part Name],$A49,T_SelfStock_Log[WeekIndex],2))</f>
        <v/>
      </c>
      <c r="D49" s="13">
        <f>IF(COUNTIFS(T_SelfStock_Log[Part Name],$A49,T_SelfStock_Log[WeekIndex],3)=0,"",SUMIFS(T_SelfStock_Log[Self_Qty],T_SelfStock_Log[Part Name],$A49,T_SelfStock_Log[WeekIndex],3))</f>
        <v/>
      </c>
      <c r="E49" s="13">
        <f>IF(COUNTIFS(T_SelfStock_Log[Part Name],$A49,T_SelfStock_Log[WeekIndex],4)=0,"",SUMIFS(T_SelfStock_Log[Self_Qty],T_SelfStock_Log[Part Name],$A49,T_SelfStock_Log[WeekIndex],4))</f>
        <v/>
      </c>
      <c r="F49" s="13">
        <f>IF(COUNTIFS(T_SelfStock_Log[Part Name],$A49,T_SelfStock_Log[WeekIndex],5)=0,"",SUMIFS(T_SelfStock_Log[Self_Qty],T_SelfStock_Log[Part Name],$A49,T_SelfStock_Log[WeekIndex],5))</f>
        <v/>
      </c>
      <c r="G49" s="13">
        <f>IF(COUNTIFS(T_SelfStock_Log[Part Name],$A49,T_SelfStock_Log[WeekIndex],6)=0,"",SUMIFS(T_SelfStock_Log[Self_Qty],T_SelfStock_Log[Part Name],$A49,T_SelfStock_Log[WeekIndex],6))</f>
        <v/>
      </c>
      <c r="H49" s="13">
        <f>IF(COUNTIFS(T_SelfStock_Log[Part Name],$A49,T_SelfStock_Log[WeekIndex],7)=0,"",SUMIFS(T_SelfStock_Log[Self_Qty],T_SelfStock_Log[Part Name],$A49,T_SelfStock_Log[WeekIndex],7))</f>
        <v/>
      </c>
      <c r="I49" s="13">
        <f>IF(COUNTIFS(T_SelfStock_Log[Part Name],$A49,T_SelfStock_Log[WeekIndex],8)=0,"",SUMIFS(T_SelfStock_Log[Self_Qty],T_SelfStock_Log[Part Name],$A49,T_SelfStock_Log[WeekIndex],8))</f>
        <v/>
      </c>
      <c r="J49" s="13">
        <f>IF(COUNTIFS(T_SelfStock_Log[Part Name],$A49,T_SelfStock_Log[WeekIndex],9)=0,"",SUMIFS(T_SelfStock_Log[Self_Qty],T_SelfStock_Log[Part Name],$A49,T_SelfStock_Log[WeekIndex],9))</f>
        <v/>
      </c>
      <c r="K49" s="13">
        <f>IF(COUNTIFS(T_SelfStock_Log[Part Name],$A49,T_SelfStock_Log[WeekIndex],10)=0,"",SUMIFS(T_SelfStock_Log[Self_Qty],T_SelfStock_Log[Part Name],$A49,T_SelfStock_Log[WeekIndex],10))</f>
        <v/>
      </c>
      <c r="L49" s="13">
        <f>IF(COUNTIFS(T_SelfStock_Log[Part Name],$A49,T_SelfStock_Log[WeekIndex],11)=0,"",SUMIFS(T_SelfStock_Log[Self_Qty],T_SelfStock_Log[Part Name],$A49,T_SelfStock_Log[WeekIndex],11))</f>
        <v/>
      </c>
      <c r="M49" s="13">
        <f>IF(COUNTIFS(T_SelfStock_Log[Part Name],$A49,T_SelfStock_Log[WeekIndex],12)=0,"",SUMIFS(T_SelfStock_Log[Self_Qty],T_SelfStock_Log[Part Name],$A49,T_SelfStock_Log[WeekIndex],12))</f>
        <v/>
      </c>
      <c r="N49" s="13">
        <f>IF(COUNTIFS(T_SelfStock_Log[Part Name],$A49,T_SelfStock_Log[WeekIndex],13)=0,"",SUMIFS(T_SelfStock_Log[Self_Qty],T_SelfStock_Log[Part Name],$A49,T_SelfStock_Log[WeekIndex],13))</f>
        <v/>
      </c>
      <c r="O49" s="13">
        <f>IF(COUNTIFS(T_SelfStock_Log[Part Name],$A49,T_SelfStock_Log[WeekIndex],14)=0,"",SUMIFS(T_SelfStock_Log[Self_Qty],T_SelfStock_Log[Part Name],$A49,T_SelfStock_Log[WeekIndex],14))</f>
        <v/>
      </c>
      <c r="P49" s="13">
        <f>IF(COUNTIFS(T_SelfStock_Log[Part Name],$A49,T_SelfStock_Log[WeekIndex],15)=0,"",SUMIFS(T_SelfStock_Log[Self_Qty],T_SelfStock_Log[Part Name],$A49,T_SelfStock_Log[WeekIndex],15))</f>
        <v/>
      </c>
      <c r="Q49" s="13">
        <f>IF(COUNTIFS(T_SelfStock_Log[Part Name],$A49,T_SelfStock_Log[WeekIndex],16)=0,"",SUMIFS(T_SelfStock_Log[Self_Qty],T_SelfStock_Log[Part Name],$A49,T_SelfStock_Log[WeekIndex],16))</f>
        <v/>
      </c>
      <c r="R49" s="13">
        <f>IF(COUNTIFS(T_SelfStock_Log[Part Name],$A49,T_SelfStock_Log[WeekIndex],17)=0,"",SUMIFS(T_SelfStock_Log[Self_Qty],T_SelfStock_Log[Part Name],$A49,T_SelfStock_Log[WeekIndex],17))</f>
        <v/>
      </c>
      <c r="S49" s="13">
        <f>IF(COUNTIFS(T_SelfStock_Log[Part Name],$A49,T_SelfStock_Log[WeekIndex],18)=0,"",SUMIFS(T_SelfStock_Log[Self_Qty],T_SelfStock_Log[Part Name],$A49,T_SelfStock_Log[WeekIndex],18))</f>
        <v/>
      </c>
      <c r="T49" s="13">
        <f>IF(COUNTIFS(T_SelfStock_Log[Part Name],$A49,T_SelfStock_Log[WeekIndex],19)=0,"",SUMIFS(T_SelfStock_Log[Self_Qty],T_SelfStock_Log[Part Name],$A49,T_SelfStock_Log[WeekIndex],19))</f>
        <v/>
      </c>
      <c r="U49" s="13">
        <f>IF(COUNTIFS(T_SelfStock_Log[Part Name],$A49,T_SelfStock_Log[WeekIndex],20)=0,"",SUMIFS(T_SelfStock_Log[Self_Qty],T_SelfStock_Log[Part Name],$A49,T_SelfStock_Log[WeekIndex],20))</f>
        <v/>
      </c>
      <c r="V49" s="13">
        <f>IF(COUNTIFS(T_SelfStock_Log[Part Name],$A49,T_SelfStock_Log[WeekIndex],21)=0,"",SUMIFS(T_SelfStock_Log[Self_Qty],T_SelfStock_Log[Part Name],$A49,T_SelfStock_Log[WeekIndex],21))</f>
        <v/>
      </c>
      <c r="W49" s="13">
        <f>IF(COUNTIFS(T_SelfStock_Log[Part Name],$A49,T_SelfStock_Log[WeekIndex],22)=0,"",SUMIFS(T_SelfStock_Log[Self_Qty],T_SelfStock_Log[Part Name],$A49,T_SelfStock_Log[WeekIndex],22))</f>
        <v/>
      </c>
      <c r="X49" s="13">
        <f>IF(COUNTIFS(T_SelfStock_Log[Part Name],$A49,T_SelfStock_Log[WeekIndex],23)=0,"",SUMIFS(T_SelfStock_Log[Self_Qty],T_SelfStock_Log[Part Name],$A49,T_SelfStock_Log[WeekIndex],23))</f>
        <v/>
      </c>
      <c r="Y49" s="13">
        <f>IF(COUNTIFS(T_SelfStock_Log[Part Name],$A49,T_SelfStock_Log[WeekIndex],24)=0,"",SUMIFS(T_SelfStock_Log[Self_Qty],T_SelfStock_Log[Part Name],$A49,T_SelfStock_Log[WeekIndex],24))</f>
        <v/>
      </c>
      <c r="Z49" s="13">
        <f>IF(COUNTIFS(T_SelfStock_Log[Part Name],$A49,T_SelfStock_Log[WeekIndex],25)=0,"",SUMIFS(T_SelfStock_Log[Self_Qty],T_SelfStock_Log[Part Name],$A49,T_SelfStock_Log[WeekIndex],25))</f>
        <v/>
      </c>
      <c r="AA49" s="13">
        <f>IF(COUNTIFS(T_SelfStock_Log[Part Name],$A49,T_SelfStock_Log[WeekIndex],26)=0,"",SUMIFS(T_SelfStock_Log[Self_Qty],T_SelfStock_Log[Part Name],$A49,T_SelfStock_Log[WeekIndex],26))</f>
        <v/>
      </c>
      <c r="AB49" s="13">
        <f>IF(COUNTIFS(T_SelfStock_Log[Part Name],$A49,T_SelfStock_Log[WeekIndex],27)=0,"",SUMIFS(T_SelfStock_Log[Self_Qty],T_SelfStock_Log[Part Name],$A49,T_SelfStock_Log[WeekIndex],27))</f>
        <v/>
      </c>
      <c r="AC49" s="13">
        <f>IF(COUNTIFS(T_SelfStock_Log[Part Name],$A49,T_SelfStock_Log[WeekIndex],28)=0,"",SUMIFS(T_SelfStock_Log[Self_Qty],T_SelfStock_Log[Part Name],$A49,T_SelfStock_Log[WeekIndex],28))</f>
        <v/>
      </c>
      <c r="AD49" s="13">
        <f>IF(COUNTIFS(T_SelfStock_Log[Part Name],$A49,T_SelfStock_Log[WeekIndex],29)=0,"",SUMIFS(T_SelfStock_Log[Self_Qty],T_SelfStock_Log[Part Name],$A49,T_SelfStock_Log[WeekIndex],29))</f>
        <v/>
      </c>
      <c r="AE49" s="13">
        <f>IF(COUNTIFS(T_SelfStock_Log[Part Name],$A49,T_SelfStock_Log[WeekIndex],30)=0,"",SUMIFS(T_SelfStock_Log[Self_Qty],T_SelfStock_Log[Part Name],$A49,T_SelfStock_Log[WeekIndex],30))</f>
        <v/>
      </c>
      <c r="AF49" s="13">
        <f>IF(COUNTIFS(T_SelfStock_Log[Part Name],$A49,T_SelfStock_Log[WeekIndex],31)=0,"",SUMIFS(T_SelfStock_Log[Self_Qty],T_SelfStock_Log[Part Name],$A49,T_SelfStock_Log[WeekIndex],31))</f>
        <v/>
      </c>
      <c r="AG49" s="13">
        <f>IF(COUNTIFS(T_SelfStock_Log[Part Name],$A49,T_SelfStock_Log[WeekIndex],32)=0,"",SUMIFS(T_SelfStock_Log[Self_Qty],T_SelfStock_Log[Part Name],$A49,T_SelfStock_Log[WeekIndex],32))</f>
        <v/>
      </c>
      <c r="AH49" s="13">
        <f>IF(COUNTIFS(T_SelfStock_Log[Part Name],$A49,T_SelfStock_Log[WeekIndex],33)=0,"",SUMIFS(T_SelfStock_Log[Self_Qty],T_SelfStock_Log[Part Name],$A49,T_SelfStock_Log[WeekIndex],33))</f>
        <v/>
      </c>
      <c r="AI49" s="13">
        <f>IF(COUNTIFS(T_SelfStock_Log[Part Name],$A49,T_SelfStock_Log[WeekIndex],34)=0,"",SUMIFS(T_SelfStock_Log[Self_Qty],T_SelfStock_Log[Part Name],$A49,T_SelfStock_Log[WeekIndex],34))</f>
        <v/>
      </c>
      <c r="AJ49" s="13">
        <f>IF(COUNTIFS(T_SelfStock_Log[Part Name],$A49,T_SelfStock_Log[WeekIndex],35)=0,"",SUMIFS(T_SelfStock_Log[Self_Qty],T_SelfStock_Log[Part Name],$A49,T_SelfStock_Log[WeekIndex],35))</f>
        <v/>
      </c>
      <c r="AK49" s="13">
        <f>IF(COUNTIFS(T_SelfStock_Log[Part Name],$A49,T_SelfStock_Log[WeekIndex],36)=0,"",SUMIFS(T_SelfStock_Log[Self_Qty],T_SelfStock_Log[Part Name],$A49,T_SelfStock_Log[WeekIndex],36))</f>
        <v/>
      </c>
      <c r="AL49" s="13">
        <f>IF(COUNTIFS(T_SelfStock_Log[Part Name],$A49,T_SelfStock_Log[WeekIndex],37)=0,"",SUMIFS(T_SelfStock_Log[Self_Qty],T_SelfStock_Log[Part Name],$A49,T_SelfStock_Log[WeekIndex],37))</f>
        <v/>
      </c>
      <c r="AM49" s="13">
        <f>IF(COUNTIFS(T_SelfStock_Log[Part Name],$A49,T_SelfStock_Log[WeekIndex],38)=0,"",SUMIFS(T_SelfStock_Log[Self_Qty],T_SelfStock_Log[Part Name],$A49,T_SelfStock_Log[WeekIndex],38))</f>
        <v/>
      </c>
      <c r="AN49" s="13">
        <f>IF(COUNTIFS(T_SelfStock_Log[Part Name],$A49,T_SelfStock_Log[WeekIndex],39)=0,"",SUMIFS(T_SelfStock_Log[Self_Qty],T_SelfStock_Log[Part Name],$A49,T_SelfStock_Log[WeekIndex],39))</f>
        <v/>
      </c>
      <c r="AO49" s="13">
        <f>IF(COUNTIFS(T_SelfStock_Log[Part Name],$A49,T_SelfStock_Log[WeekIndex],40)=0,"",SUMIFS(T_SelfStock_Log[Self_Qty],T_SelfStock_Log[Part Name],$A49,T_SelfStock_Log[WeekIndex],40))</f>
        <v/>
      </c>
      <c r="AP49" s="13">
        <f>IF(COUNTIFS(T_SelfStock_Log[Part Name],$A49,T_SelfStock_Log[WeekIndex],41)=0,"",SUMIFS(T_SelfStock_Log[Self_Qty],T_SelfStock_Log[Part Name],$A49,T_SelfStock_Log[WeekIndex],41))</f>
        <v/>
      </c>
      <c r="AQ49" s="13">
        <f>IF(COUNTIFS(T_SelfStock_Log[Part Name],$A49,T_SelfStock_Log[WeekIndex],42)=0,"",SUMIFS(T_SelfStock_Log[Self_Qty],T_SelfStock_Log[Part Name],$A49,T_SelfStock_Log[WeekIndex],42))</f>
        <v/>
      </c>
      <c r="AR49" s="13">
        <f>IF(COUNTIFS(T_SelfStock_Log[Part Name],$A49,T_SelfStock_Log[WeekIndex],43)=0,"",SUMIFS(T_SelfStock_Log[Self_Qty],T_SelfStock_Log[Part Name],$A49,T_SelfStock_Log[WeekIndex],43))</f>
        <v/>
      </c>
      <c r="AS49" s="13">
        <f>IF(COUNTIFS(T_SelfStock_Log[Part Name],$A49,T_SelfStock_Log[WeekIndex],44)=0,"",SUMIFS(T_SelfStock_Log[Self_Qty],T_SelfStock_Log[Part Name],$A49,T_SelfStock_Log[WeekIndex],44))</f>
        <v/>
      </c>
      <c r="AT49" s="13">
        <f>IF(COUNTIFS(T_SelfStock_Log[Part Name],$A49,T_SelfStock_Log[WeekIndex],45)=0,"",SUMIFS(T_SelfStock_Log[Self_Qty],T_SelfStock_Log[Part Name],$A49,T_SelfStock_Log[WeekIndex],45))</f>
        <v/>
      </c>
      <c r="AU49" s="13">
        <f>IF(COUNTIFS(T_SelfStock_Log[Part Name],$A49,T_SelfStock_Log[WeekIndex],46)=0,"",SUMIFS(T_SelfStock_Log[Self_Qty],T_SelfStock_Log[Part Name],$A49,T_SelfStock_Log[WeekIndex],46))</f>
        <v/>
      </c>
      <c r="AV49" s="13">
        <f>IF(COUNTIFS(T_SelfStock_Log[Part Name],$A49,T_SelfStock_Log[WeekIndex],47)=0,"",SUMIFS(T_SelfStock_Log[Self_Qty],T_SelfStock_Log[Part Name],$A49,T_SelfStock_Log[WeekIndex],47))</f>
        <v/>
      </c>
      <c r="AW49" s="13">
        <f>IF(COUNTIFS(T_SelfStock_Log[Part Name],$A49,T_SelfStock_Log[WeekIndex],48)=0,"",SUMIFS(T_SelfStock_Log[Self_Qty],T_SelfStock_Log[Part Name],$A49,T_SelfStock_Log[WeekIndex],48))</f>
        <v/>
      </c>
      <c r="AX49" s="13">
        <f>IF(COUNTIFS(T_SelfStock_Log[Part Name],$A49,T_SelfStock_Log[WeekIndex],49)=0,"",SUMIFS(T_SelfStock_Log[Self_Qty],T_SelfStock_Log[Part Name],$A49,T_SelfStock_Log[WeekIndex],49))</f>
        <v/>
      </c>
      <c r="AY49" s="13">
        <f>IF(COUNTIFS(T_SelfStock_Log[Part Name],$A49,T_SelfStock_Log[WeekIndex],50)=0,"",SUMIFS(T_SelfStock_Log[Self_Qty],T_SelfStock_Log[Part Name],$A49,T_SelfStock_Log[WeekIndex],50))</f>
        <v/>
      </c>
      <c r="AZ49" s="13">
        <f>IF(COUNTIFS(T_SelfStock_Log[Part Name],$A49,T_SelfStock_Log[WeekIndex],51)=0,"",SUMIFS(T_SelfStock_Log[Self_Qty],T_SelfStock_Log[Part Name],$A49,T_SelfStock_Log[WeekIndex],51))</f>
        <v/>
      </c>
      <c r="BA49" s="13">
        <f>IF(COUNTIFS(T_SelfStock_Log[Part Name],$A49,T_SelfStock_Log[WeekIndex],52)=0,"",SUMIFS(T_SelfStock_Log[Self_Qty],T_SelfStock_Log[Part Name],$A49,T_SelfStock_Log[WeekIndex],52))</f>
        <v/>
      </c>
      <c r="BB49" s="13">
        <f>IF(COUNTIFS(T_SelfStock_Log[Part Name],$A49,T_SelfStock_Log[WeekIndex],53)=0,"",SUMIFS(T_SelfStock_Log[Self_Qty],T_SelfStock_Log[Part Name],$A49,T_SelfStock_Log[WeekIndex],53))</f>
        <v/>
      </c>
      <c r="BC49" s="13">
        <f>IF(COUNTIFS(T_SelfStock_Log[Part Name],$A49,T_SelfStock_Log[WeekIndex],54)=0,"",SUMIFS(T_SelfStock_Log[Self_Qty],T_SelfStock_Log[Part Name],$A49,T_SelfStock_Log[WeekIndex],54))</f>
        <v/>
      </c>
      <c r="BD49" s="13">
        <f>IF(COUNTIFS(T_SelfStock_Log[Part Name],$A49,T_SelfStock_Log[WeekIndex],55)=0,"",SUMIFS(T_SelfStock_Log[Self_Qty],T_SelfStock_Log[Part Name],$A49,T_SelfStock_Log[WeekIndex],55))</f>
        <v/>
      </c>
      <c r="BE49" s="13">
        <f>IF(COUNTIFS(T_SelfStock_Log[Part Name],$A49,T_SelfStock_Log[WeekIndex],56)=0,"",SUMIFS(T_SelfStock_Log[Self_Qty],T_SelfStock_Log[Part Name],$A49,T_SelfStock_Log[WeekIndex],56))</f>
        <v/>
      </c>
      <c r="BF49" s="13">
        <f>IF(COUNTIFS(T_SelfStock_Log[Part Name],$A49,T_SelfStock_Log[WeekIndex],57)=0,"",SUMIFS(T_SelfStock_Log[Self_Qty],T_SelfStock_Log[Part Name],$A49,T_SelfStock_Log[WeekIndex],57))</f>
        <v/>
      </c>
      <c r="BG49" s="13">
        <f>IF(COUNTIFS(T_SelfStock_Log[Part Name],$A49,T_SelfStock_Log[WeekIndex],58)=0,"",SUMIFS(T_SelfStock_Log[Self_Qty],T_SelfStock_Log[Part Name],$A49,T_SelfStock_Log[WeekIndex],58))</f>
        <v/>
      </c>
      <c r="BH49" s="13">
        <f>IF(COUNTIFS(T_SelfStock_Log[Part Name],$A49,T_SelfStock_Log[WeekIndex],59)=0,"",SUMIFS(T_SelfStock_Log[Self_Qty],T_SelfStock_Log[Part Name],$A49,T_SelfStock_Log[WeekIndex],59))</f>
        <v/>
      </c>
      <c r="BI49" s="13">
        <f>IF(COUNTIFS(T_SelfStock_Log[Part Name],$A49,T_SelfStock_Log[WeekIndex],60)=0,"",SUMIFS(T_SelfStock_Log[Self_Qty],T_SelfStock_Log[Part Name],$A49,T_SelfStock_Log[WeekIndex],60))</f>
        <v/>
      </c>
      <c r="BJ49" s="13">
        <f>IF(COUNTIFS(T_SelfStock_Log[Part Name],$A49,T_SelfStock_Log[WeekIndex],61)=0,"",SUMIFS(T_SelfStock_Log[Self_Qty],T_SelfStock_Log[Part Name],$A49,T_SelfStock_Log[WeekIndex],61))</f>
        <v/>
      </c>
      <c r="BK49" s="13">
        <f>IF(COUNTIFS(T_SelfStock_Log[Part Name],$A49,T_SelfStock_Log[WeekIndex],62)=0,"",SUMIFS(T_SelfStock_Log[Self_Qty],T_SelfStock_Log[Part Name],$A49,T_SelfStock_Log[WeekIndex],62))</f>
        <v/>
      </c>
      <c r="BL49" s="13">
        <f>IF(COUNTIFS(T_SelfStock_Log[Part Name],$A49,T_SelfStock_Log[WeekIndex],63)=0,"",SUMIFS(T_SelfStock_Log[Self_Qty],T_SelfStock_Log[Part Name],$A49,T_SelfStock_Log[WeekIndex],63))</f>
        <v/>
      </c>
      <c r="BM49" s="13">
        <f>IF(COUNTIFS(T_SelfStock_Log[Part Name],$A49,T_SelfStock_Log[WeekIndex],64)=0,"",SUMIFS(T_SelfStock_Log[Self_Qty],T_SelfStock_Log[Part Name],$A49,T_SelfStock_Log[WeekIndex],64))</f>
        <v/>
      </c>
      <c r="BN49" s="13">
        <f>IF(COUNTIFS(T_SelfStock_Log[Part Name],$A49,T_SelfStock_Log[WeekIndex],65)=0,"",SUMIFS(T_SelfStock_Log[Self_Qty],T_SelfStock_Log[Part Name],$A49,T_SelfStock_Log[WeekIndex],65))</f>
        <v/>
      </c>
      <c r="BO49" s="13">
        <f>IF(COUNTIFS(T_SelfStock_Log[Part Name],$A49,T_SelfStock_Log[WeekIndex],66)=0,"",SUMIFS(T_SelfStock_Log[Self_Qty],T_SelfStock_Log[Part Name],$A49,T_SelfStock_Log[WeekIndex],66))</f>
        <v/>
      </c>
      <c r="BP49" s="13">
        <f>IF(COUNTIFS(T_SelfStock_Log[Part Name],$A49,T_SelfStock_Log[WeekIndex],67)=0,"",SUMIFS(T_SelfStock_Log[Self_Qty],T_SelfStock_Log[Part Name],$A49,T_SelfStock_Log[WeekIndex],67))</f>
        <v/>
      </c>
      <c r="BQ49" s="13">
        <f>IF(COUNTIFS(T_SelfStock_Log[Part Name],$A49,T_SelfStock_Log[WeekIndex],68)=0,"",SUMIFS(T_SelfStock_Log[Self_Qty],T_SelfStock_Log[Part Name],$A49,T_SelfStock_Log[WeekIndex],68))</f>
        <v/>
      </c>
      <c r="BR49" s="13">
        <f>IF(COUNTIFS(T_SelfStock_Log[Part Name],$A49,T_SelfStock_Log[WeekIndex],69)=0,"",SUMIFS(T_SelfStock_Log[Self_Qty],T_SelfStock_Log[Part Name],$A49,T_SelfStock_Log[WeekIndex],69))</f>
        <v/>
      </c>
      <c r="BS49" s="13">
        <f>IF(COUNTIFS(T_SelfStock_Log[Part Name],$A49,T_SelfStock_Log[WeekIndex],70)=0,"",SUMIFS(T_SelfStock_Log[Self_Qty],T_SelfStock_Log[Part Name],$A49,T_SelfStock_Log[WeekIndex],70))</f>
        <v/>
      </c>
      <c r="BT49" s="13">
        <f>IF(COUNTIFS(T_SelfStock_Log[Part Name],$A49,T_SelfStock_Log[WeekIndex],71)=0,"",SUMIFS(T_SelfStock_Log[Self_Qty],T_SelfStock_Log[Part Name],$A49,T_SelfStock_Log[WeekIndex],71))</f>
        <v/>
      </c>
      <c r="BU49" s="13">
        <f>IF(COUNTIFS(T_SelfStock_Log[Part Name],$A49,T_SelfStock_Log[WeekIndex],72)=0,"",SUMIFS(T_SelfStock_Log[Self_Qty],T_SelfStock_Log[Part Name],$A49,T_SelfStock_Log[WeekIndex],72))</f>
        <v/>
      </c>
      <c r="BV49" s="13">
        <f>IF(COUNTIFS(T_SelfStock_Log[Part Name],$A49,T_SelfStock_Log[WeekIndex],73)=0,"",SUMIFS(T_SelfStock_Log[Self_Qty],T_SelfStock_Log[Part Name],$A49,T_SelfStock_Log[WeekIndex],73))</f>
        <v/>
      </c>
      <c r="BW49" s="13">
        <f>IF(COUNTIFS(T_SelfStock_Log[Part Name],$A49,T_SelfStock_Log[WeekIndex],74)=0,"",SUMIFS(T_SelfStock_Log[Self_Qty],T_SelfStock_Log[Part Name],$A49,T_SelfStock_Log[WeekIndex],74))</f>
        <v/>
      </c>
      <c r="BX49" s="13">
        <f>IF(COUNTIFS(T_SelfStock_Log[Part Name],$A49,T_SelfStock_Log[WeekIndex],75)=0,"",SUMIFS(T_SelfStock_Log[Self_Qty],T_SelfStock_Log[Part Name],$A49,T_SelfStock_Log[WeekIndex],75))</f>
        <v/>
      </c>
      <c r="BY49" s="13">
        <f>IF(COUNTIFS(T_SelfStock_Log[Part Name],$A49,T_SelfStock_Log[WeekIndex],76)=0,"",SUMIFS(T_SelfStock_Log[Self_Qty],T_SelfStock_Log[Part Name],$A49,T_SelfStock_Log[WeekIndex],76))</f>
        <v/>
      </c>
      <c r="BZ49" s="13">
        <f>IF(COUNTIFS(T_SelfStock_Log[Part Name],$A49,T_SelfStock_Log[WeekIndex],77)=0,"",SUMIFS(T_SelfStock_Log[Self_Qty],T_SelfStock_Log[Part Name],$A49,T_SelfStock_Log[WeekIndex],77))</f>
        <v/>
      </c>
      <c r="CA49" s="13">
        <f>IF(COUNTIFS(T_SelfStock_Log[Part Name],$A49,T_SelfStock_Log[WeekIndex],78)=0,"",SUMIFS(T_SelfStock_Log[Self_Qty],T_SelfStock_Log[Part Name],$A49,T_SelfStock_Log[WeekIndex],78))</f>
        <v/>
      </c>
      <c r="CB49" s="13">
        <f>IF(COUNTIFS(T_SelfStock_Log[Part Name],$A49,T_SelfStock_Log[WeekIndex],79)=0,"",SUMIFS(T_SelfStock_Log[Self_Qty],T_SelfStock_Log[Part Name],$A49,T_SelfStock_Log[WeekIndex],79))</f>
        <v/>
      </c>
      <c r="CC49" s="13">
        <f>IF(COUNTIFS(T_SelfStock_Log[Part Name],$A49,T_SelfStock_Log[WeekIndex],80)=0,"",SUMIFS(T_SelfStock_Log[Self_Qty],T_SelfStock_Log[Part Name],$A49,T_SelfStock_Log[WeekIndex],80))</f>
        <v/>
      </c>
      <c r="CD49" s="13">
        <f>IF(COUNTIFS(T_SelfStock_Log[Part Name],$A49,T_SelfStock_Log[WeekIndex],81)=0,"",SUMIFS(T_SelfStock_Log[Self_Qty],T_SelfStock_Log[Part Name],$A49,T_SelfStock_Log[WeekIndex],81))</f>
        <v/>
      </c>
      <c r="CE49" s="13">
        <f>IF(COUNTIFS(T_SelfStock_Log[Part Name],$A49,T_SelfStock_Log[WeekIndex],82)=0,"",SUMIFS(T_SelfStock_Log[Self_Qty],T_SelfStock_Log[Part Name],$A49,T_SelfStock_Log[WeekIndex],82))</f>
        <v/>
      </c>
      <c r="CF49" s="13">
        <f>IF(COUNTIFS(T_SelfStock_Log[Part Name],$A49,T_SelfStock_Log[WeekIndex],83)=0,"",SUMIFS(T_SelfStock_Log[Self_Qty],T_SelfStock_Log[Part Name],$A49,T_SelfStock_Log[WeekIndex],83))</f>
        <v/>
      </c>
      <c r="CG49" s="13">
        <f>IF(COUNTIFS(T_SelfStock_Log[Part Name],$A49,T_SelfStock_Log[WeekIndex],84)=0,"",SUMIFS(T_SelfStock_Log[Self_Qty],T_SelfStock_Log[Part Name],$A49,T_SelfStock_Log[WeekIndex],84))</f>
        <v/>
      </c>
      <c r="CH49" s="13">
        <f>IF(COUNTIFS(T_SelfStock_Log[Part Name],$A49,T_SelfStock_Log[WeekIndex],85)=0,"",SUMIFS(T_SelfStock_Log[Self_Qty],T_SelfStock_Log[Part Name],$A49,T_SelfStock_Log[WeekIndex],85))</f>
        <v/>
      </c>
      <c r="CI49" s="13">
        <f>IF(COUNTIFS(T_SelfStock_Log[Part Name],$A49,T_SelfStock_Log[WeekIndex],86)=0,"",SUMIFS(T_SelfStock_Log[Self_Qty],T_SelfStock_Log[Part Name],$A49,T_SelfStock_Log[WeekIndex],86))</f>
        <v/>
      </c>
      <c r="CJ49" s="13">
        <f>IF(COUNTIFS(T_SelfStock_Log[Part Name],$A49,T_SelfStock_Log[WeekIndex],87)=0,"",SUMIFS(T_SelfStock_Log[Self_Qty],T_SelfStock_Log[Part Name],$A49,T_SelfStock_Log[WeekIndex],87))</f>
        <v/>
      </c>
      <c r="CK49" s="13">
        <f>IF(COUNTIFS(T_SelfStock_Log[Part Name],$A49,T_SelfStock_Log[WeekIndex],88)=0,"",SUMIFS(T_SelfStock_Log[Self_Qty],T_SelfStock_Log[Part Name],$A49,T_SelfStock_Log[WeekIndex],88))</f>
        <v/>
      </c>
      <c r="CL49" s="13">
        <f>IF(COUNTIFS(T_SelfStock_Log[Part Name],$A49,T_SelfStock_Log[WeekIndex],89)=0,"",SUMIFS(T_SelfStock_Log[Self_Qty],T_SelfStock_Log[Part Name],$A49,T_SelfStock_Log[WeekIndex],89))</f>
        <v/>
      </c>
      <c r="CM49" s="13">
        <f>IF(COUNTIFS(T_SelfStock_Log[Part Name],$A49,T_SelfStock_Log[WeekIndex],90)=0,"",SUMIFS(T_SelfStock_Log[Self_Qty],T_SelfStock_Log[Part Name],$A49,T_SelfStock_Log[WeekIndex],90))</f>
        <v/>
      </c>
      <c r="CN49" s="13">
        <f>IF(COUNTIFS(T_SelfStock_Log[Part Name],$A49,T_SelfStock_Log[WeekIndex],91)=0,"",SUMIFS(T_SelfStock_Log[Self_Qty],T_SelfStock_Log[Part Name],$A49,T_SelfStock_Log[WeekIndex],91))</f>
        <v/>
      </c>
      <c r="CO49" s="13">
        <f>IF(COUNTIFS(T_SelfStock_Log[Part Name],$A49,T_SelfStock_Log[WeekIndex],92)=0,"",SUMIFS(T_SelfStock_Log[Self_Qty],T_SelfStock_Log[Part Name],$A49,T_SelfStock_Log[WeekIndex],92))</f>
        <v/>
      </c>
      <c r="CP49" s="13">
        <f>IF(COUNTIFS(T_SelfStock_Log[Part Name],$A49,T_SelfStock_Log[WeekIndex],93)=0,"",SUMIFS(T_SelfStock_Log[Self_Qty],T_SelfStock_Log[Part Name],$A49,T_SelfStock_Log[WeekIndex],93))</f>
        <v/>
      </c>
      <c r="CQ49" s="13">
        <f>IF(COUNTIFS(T_SelfStock_Log[Part Name],$A49,T_SelfStock_Log[WeekIndex],94)=0,"",SUMIFS(T_SelfStock_Log[Self_Qty],T_SelfStock_Log[Part Name],$A49,T_SelfStock_Log[WeekIndex],94))</f>
        <v/>
      </c>
      <c r="CR49" s="13">
        <f>IF(COUNTIFS(T_SelfStock_Log[Part Name],$A49,T_SelfStock_Log[WeekIndex],95)=0,"",SUMIFS(T_SelfStock_Log[Self_Qty],T_SelfStock_Log[Part Name],$A49,T_SelfStock_Log[WeekIndex],95))</f>
        <v/>
      </c>
      <c r="CS49" s="13">
        <f>IF(COUNTIFS(T_SelfStock_Log[Part Name],$A49,T_SelfStock_Log[WeekIndex],96)=0,"",SUMIFS(T_SelfStock_Log[Self_Qty],T_SelfStock_Log[Part Name],$A49,T_SelfStock_Log[WeekIndex],96))</f>
        <v/>
      </c>
      <c r="CT49" s="13">
        <f>IF(COUNTIFS(T_SelfStock_Log[Part Name],$A49,T_SelfStock_Log[WeekIndex],97)=0,"",SUMIFS(T_SelfStock_Log[Self_Qty],T_SelfStock_Log[Part Name],$A49,T_SelfStock_Log[WeekIndex],97))</f>
        <v/>
      </c>
      <c r="CU49" s="13">
        <f>IF(COUNTIFS(T_SelfStock_Log[Part Name],$A49,T_SelfStock_Log[WeekIndex],98)=0,"",SUMIFS(T_SelfStock_Log[Self_Qty],T_SelfStock_Log[Part Name],$A49,T_SelfStock_Log[WeekIndex],98))</f>
        <v/>
      </c>
      <c r="CV49" s="13">
        <f>IF(COUNTIFS(T_SelfStock_Log[Part Name],$A49,T_SelfStock_Log[WeekIndex],99)=0,"",SUMIFS(T_SelfStock_Log[Self_Qty],T_SelfStock_Log[Part Name],$A49,T_SelfStock_Log[WeekIndex],99))</f>
        <v/>
      </c>
      <c r="CW49" s="13">
        <f>IF(COUNTIFS(T_SelfStock_Log[Part Name],$A49,T_SelfStock_Log[WeekIndex],100)=0,"",SUMIFS(T_SelfStock_Log[Self_Qty],T_SelfStock_Log[Part Name],$A49,T_SelfStock_Log[WeekIndex],100))</f>
        <v/>
      </c>
      <c r="CX49" s="13">
        <f>IF(COUNTIFS(T_SelfStock_Log[Part Name],$A49,T_SelfStock_Log[WeekIndex],101)=0,"",SUMIFS(T_SelfStock_Log[Self_Qty],T_SelfStock_Log[Part Name],$A49,T_SelfStock_Log[WeekIndex],101))</f>
        <v/>
      </c>
      <c r="CY49" s="13">
        <f>IF(COUNTIFS(T_SelfStock_Log[Part Name],$A49,T_SelfStock_Log[WeekIndex],102)=0,"",SUMIFS(T_SelfStock_Log[Self_Qty],T_SelfStock_Log[Part Name],$A49,T_SelfStock_Log[WeekIndex],102))</f>
        <v/>
      </c>
      <c r="CZ49" s="13">
        <f>IF(COUNTIFS(T_SelfStock_Log[Part Name],$A49,T_SelfStock_Log[WeekIndex],103)=0,"",SUMIFS(T_SelfStock_Log[Self_Qty],T_SelfStock_Log[Part Name],$A49,T_SelfStock_Log[WeekIndex],103))</f>
        <v/>
      </c>
      <c r="DA49" s="13">
        <f>IF(COUNTIFS(T_SelfStock_Log[Part Name],$A49,T_SelfStock_Log[WeekIndex],104)=0,"",SUMIFS(T_SelfStock_Log[Self_Qty],T_SelfStock_Log[Part Name],$A49,T_SelfStock_Log[WeekIndex],104))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A4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4" t="inlineStr">
        <is>
          <t>選択週を入力（例: W23。現在年の週Noで検索します）</t>
        </is>
      </c>
      <c r="C1" s="5" t="inlineStr"/>
      <c r="D1" s="6">
        <f>IF($C$1="","週Noを入力してください（例: W23）",IF($F$1="","該当週が見つかりません（今年の週Noか確認してください）",INDEX(Cal_Weeks!$E$4:$E$107,$F$1)&amp;" が該当週です（VBA導入時は自動でスクロールします）"))</f>
        <v/>
      </c>
      <c r="E1" s="7" t="inlineStr">
        <is>
          <t>→WeekIndex</t>
        </is>
      </c>
      <c r="F1" s="7">
        <f>IFERROR(IF(SUMPRODUCT((Cal_Weeks!$C$4:$C$107=Cal_Weeks!$B$1)*(Cal_Weeks!$D$4:$D$107=VALUE(SUBSTITUTE(UPPER(TRIM($C$1)),"W",""))))=0,"",SUMPRODUCT((Cal_Weeks!$C$4:$C$107=Cal_Weeks!$B$1)*(Cal_Weeks!$D$4:$D$107=VALUE(SUBSTITUTE(UPPER(TRIM($C$1)),"W","")))*(Cal_Weeks!$A$4:$A$107))),"")</f>
        <v/>
      </c>
    </row>
    <row r="2">
      <c r="A2" s="8" t="n"/>
      <c r="B2" s="8">
        <f>'Cal_Weeks'!G4</f>
        <v/>
      </c>
      <c r="C2" s="8">
        <f>IF(TEXT('Cal_Weeks'!B5,"mmm-yy")&lt;&gt;TEXT('Cal_Weeks'!B4,"mmm-yy"),'Cal_Weeks'!G5,"")</f>
        <v/>
      </c>
      <c r="D2" s="8">
        <f>IF(TEXT('Cal_Weeks'!B6,"mmm-yy")&lt;&gt;TEXT('Cal_Weeks'!B5,"mmm-yy"),'Cal_Weeks'!G6,"")</f>
        <v/>
      </c>
      <c r="E2" s="8">
        <f>IF(TEXT('Cal_Weeks'!B7,"mmm-yy")&lt;&gt;TEXT('Cal_Weeks'!B6,"mmm-yy"),'Cal_Weeks'!G7,"")</f>
        <v/>
      </c>
      <c r="F2" s="8">
        <f>IF(TEXT('Cal_Weeks'!B8,"mmm-yy")&lt;&gt;TEXT('Cal_Weeks'!B7,"mmm-yy"),'Cal_Weeks'!G8,"")</f>
        <v/>
      </c>
      <c r="G2" s="8">
        <f>IF(TEXT('Cal_Weeks'!B9,"mmm-yy")&lt;&gt;TEXT('Cal_Weeks'!B8,"mmm-yy"),'Cal_Weeks'!G9,"")</f>
        <v/>
      </c>
      <c r="H2" s="8">
        <f>IF(TEXT('Cal_Weeks'!B10,"mmm-yy")&lt;&gt;TEXT('Cal_Weeks'!B9,"mmm-yy"),'Cal_Weeks'!G10,"")</f>
        <v/>
      </c>
      <c r="I2" s="8">
        <f>IF(TEXT('Cal_Weeks'!B11,"mmm-yy")&lt;&gt;TEXT('Cal_Weeks'!B10,"mmm-yy"),'Cal_Weeks'!G11,"")</f>
        <v/>
      </c>
      <c r="J2" s="8">
        <f>IF(TEXT('Cal_Weeks'!B12,"mmm-yy")&lt;&gt;TEXT('Cal_Weeks'!B11,"mmm-yy"),'Cal_Weeks'!G12,"")</f>
        <v/>
      </c>
      <c r="K2" s="8">
        <f>IF(TEXT('Cal_Weeks'!B13,"mmm-yy")&lt;&gt;TEXT('Cal_Weeks'!B12,"mmm-yy"),'Cal_Weeks'!G13,"")</f>
        <v/>
      </c>
      <c r="L2" s="8">
        <f>IF(TEXT('Cal_Weeks'!B14,"mmm-yy")&lt;&gt;TEXT('Cal_Weeks'!B13,"mmm-yy"),'Cal_Weeks'!G14,"")</f>
        <v/>
      </c>
      <c r="M2" s="8">
        <f>IF(TEXT('Cal_Weeks'!B15,"mmm-yy")&lt;&gt;TEXT('Cal_Weeks'!B14,"mmm-yy"),'Cal_Weeks'!G15,"")</f>
        <v/>
      </c>
      <c r="N2" s="8">
        <f>IF(TEXT('Cal_Weeks'!B16,"mmm-yy")&lt;&gt;TEXT('Cal_Weeks'!B15,"mmm-yy"),'Cal_Weeks'!G16,"")</f>
        <v/>
      </c>
      <c r="O2" s="8">
        <f>IF(TEXT('Cal_Weeks'!B17,"mmm-yy")&lt;&gt;TEXT('Cal_Weeks'!B16,"mmm-yy"),'Cal_Weeks'!G17,"")</f>
        <v/>
      </c>
      <c r="P2" s="8">
        <f>IF(TEXT('Cal_Weeks'!B18,"mmm-yy")&lt;&gt;TEXT('Cal_Weeks'!B17,"mmm-yy"),'Cal_Weeks'!G18,"")</f>
        <v/>
      </c>
      <c r="Q2" s="8">
        <f>IF(TEXT('Cal_Weeks'!B19,"mmm-yy")&lt;&gt;TEXT('Cal_Weeks'!B18,"mmm-yy"),'Cal_Weeks'!G19,"")</f>
        <v/>
      </c>
      <c r="R2" s="8">
        <f>IF(TEXT('Cal_Weeks'!B20,"mmm-yy")&lt;&gt;TEXT('Cal_Weeks'!B19,"mmm-yy"),'Cal_Weeks'!G20,"")</f>
        <v/>
      </c>
      <c r="S2" s="8">
        <f>IF(TEXT('Cal_Weeks'!B21,"mmm-yy")&lt;&gt;TEXT('Cal_Weeks'!B20,"mmm-yy"),'Cal_Weeks'!G21,"")</f>
        <v/>
      </c>
      <c r="T2" s="8">
        <f>IF(TEXT('Cal_Weeks'!B22,"mmm-yy")&lt;&gt;TEXT('Cal_Weeks'!B21,"mmm-yy"),'Cal_Weeks'!G22,"")</f>
        <v/>
      </c>
      <c r="U2" s="8">
        <f>IF(TEXT('Cal_Weeks'!B23,"mmm-yy")&lt;&gt;TEXT('Cal_Weeks'!B22,"mmm-yy"),'Cal_Weeks'!G23,"")</f>
        <v/>
      </c>
      <c r="V2" s="8">
        <f>IF(TEXT('Cal_Weeks'!B24,"mmm-yy")&lt;&gt;TEXT('Cal_Weeks'!B23,"mmm-yy"),'Cal_Weeks'!G24,"")</f>
        <v/>
      </c>
      <c r="W2" s="8">
        <f>IF(TEXT('Cal_Weeks'!B25,"mmm-yy")&lt;&gt;TEXT('Cal_Weeks'!B24,"mmm-yy"),'Cal_Weeks'!G25,"")</f>
        <v/>
      </c>
      <c r="X2" s="8">
        <f>IF(TEXT('Cal_Weeks'!B26,"mmm-yy")&lt;&gt;TEXT('Cal_Weeks'!B25,"mmm-yy"),'Cal_Weeks'!G26,"")</f>
        <v/>
      </c>
      <c r="Y2" s="8">
        <f>IF(TEXT('Cal_Weeks'!B27,"mmm-yy")&lt;&gt;TEXT('Cal_Weeks'!B26,"mmm-yy"),'Cal_Weeks'!G27,"")</f>
        <v/>
      </c>
      <c r="Z2" s="8">
        <f>IF(TEXT('Cal_Weeks'!B28,"mmm-yy")&lt;&gt;TEXT('Cal_Weeks'!B27,"mmm-yy"),'Cal_Weeks'!G28,"")</f>
        <v/>
      </c>
      <c r="AA2" s="8">
        <f>IF(TEXT('Cal_Weeks'!B29,"mmm-yy")&lt;&gt;TEXT('Cal_Weeks'!B28,"mmm-yy"),'Cal_Weeks'!G29,"")</f>
        <v/>
      </c>
      <c r="AB2" s="8">
        <f>IF(TEXT('Cal_Weeks'!B30,"mmm-yy")&lt;&gt;TEXT('Cal_Weeks'!B29,"mmm-yy"),'Cal_Weeks'!G30,"")</f>
        <v/>
      </c>
      <c r="AC2" s="8">
        <f>IF(TEXT('Cal_Weeks'!B31,"mmm-yy")&lt;&gt;TEXT('Cal_Weeks'!B30,"mmm-yy"),'Cal_Weeks'!G31,"")</f>
        <v/>
      </c>
      <c r="AD2" s="8">
        <f>IF(TEXT('Cal_Weeks'!B32,"mmm-yy")&lt;&gt;TEXT('Cal_Weeks'!B31,"mmm-yy"),'Cal_Weeks'!G32,"")</f>
        <v/>
      </c>
      <c r="AE2" s="8">
        <f>IF(TEXT('Cal_Weeks'!B33,"mmm-yy")&lt;&gt;TEXT('Cal_Weeks'!B32,"mmm-yy"),'Cal_Weeks'!G33,"")</f>
        <v/>
      </c>
      <c r="AF2" s="8">
        <f>IF(TEXT('Cal_Weeks'!B34,"mmm-yy")&lt;&gt;TEXT('Cal_Weeks'!B33,"mmm-yy"),'Cal_Weeks'!G34,"")</f>
        <v/>
      </c>
      <c r="AG2" s="8">
        <f>IF(TEXT('Cal_Weeks'!B35,"mmm-yy")&lt;&gt;TEXT('Cal_Weeks'!B34,"mmm-yy"),'Cal_Weeks'!G35,"")</f>
        <v/>
      </c>
      <c r="AH2" s="8">
        <f>IF(TEXT('Cal_Weeks'!B36,"mmm-yy")&lt;&gt;TEXT('Cal_Weeks'!B35,"mmm-yy"),'Cal_Weeks'!G36,"")</f>
        <v/>
      </c>
      <c r="AI2" s="8">
        <f>IF(TEXT('Cal_Weeks'!B37,"mmm-yy")&lt;&gt;TEXT('Cal_Weeks'!B36,"mmm-yy"),'Cal_Weeks'!G37,"")</f>
        <v/>
      </c>
      <c r="AJ2" s="8">
        <f>IF(TEXT('Cal_Weeks'!B38,"mmm-yy")&lt;&gt;TEXT('Cal_Weeks'!B37,"mmm-yy"),'Cal_Weeks'!G38,"")</f>
        <v/>
      </c>
      <c r="AK2" s="8">
        <f>IF(TEXT('Cal_Weeks'!B39,"mmm-yy")&lt;&gt;TEXT('Cal_Weeks'!B38,"mmm-yy"),'Cal_Weeks'!G39,"")</f>
        <v/>
      </c>
      <c r="AL2" s="8">
        <f>IF(TEXT('Cal_Weeks'!B40,"mmm-yy")&lt;&gt;TEXT('Cal_Weeks'!B39,"mmm-yy"),'Cal_Weeks'!G40,"")</f>
        <v/>
      </c>
      <c r="AM2" s="8">
        <f>IF(TEXT('Cal_Weeks'!B41,"mmm-yy")&lt;&gt;TEXT('Cal_Weeks'!B40,"mmm-yy"),'Cal_Weeks'!G41,"")</f>
        <v/>
      </c>
      <c r="AN2" s="8">
        <f>IF(TEXT('Cal_Weeks'!B42,"mmm-yy")&lt;&gt;TEXT('Cal_Weeks'!B41,"mmm-yy"),'Cal_Weeks'!G42,"")</f>
        <v/>
      </c>
      <c r="AO2" s="8">
        <f>IF(TEXT('Cal_Weeks'!B43,"mmm-yy")&lt;&gt;TEXT('Cal_Weeks'!B42,"mmm-yy"),'Cal_Weeks'!G43,"")</f>
        <v/>
      </c>
      <c r="AP2" s="8">
        <f>IF(TEXT('Cal_Weeks'!B44,"mmm-yy")&lt;&gt;TEXT('Cal_Weeks'!B43,"mmm-yy"),'Cal_Weeks'!G44,"")</f>
        <v/>
      </c>
      <c r="AQ2" s="8">
        <f>IF(TEXT('Cal_Weeks'!B45,"mmm-yy")&lt;&gt;TEXT('Cal_Weeks'!B44,"mmm-yy"),'Cal_Weeks'!G45,"")</f>
        <v/>
      </c>
      <c r="AR2" s="8">
        <f>IF(TEXT('Cal_Weeks'!B46,"mmm-yy")&lt;&gt;TEXT('Cal_Weeks'!B45,"mmm-yy"),'Cal_Weeks'!G46,"")</f>
        <v/>
      </c>
      <c r="AS2" s="8">
        <f>IF(TEXT('Cal_Weeks'!B47,"mmm-yy")&lt;&gt;TEXT('Cal_Weeks'!B46,"mmm-yy"),'Cal_Weeks'!G47,"")</f>
        <v/>
      </c>
      <c r="AT2" s="8">
        <f>IF(TEXT('Cal_Weeks'!B48,"mmm-yy")&lt;&gt;TEXT('Cal_Weeks'!B47,"mmm-yy"),'Cal_Weeks'!G48,"")</f>
        <v/>
      </c>
      <c r="AU2" s="8">
        <f>IF(TEXT('Cal_Weeks'!B49,"mmm-yy")&lt;&gt;TEXT('Cal_Weeks'!B48,"mmm-yy"),'Cal_Weeks'!G49,"")</f>
        <v/>
      </c>
      <c r="AV2" s="8">
        <f>IF(TEXT('Cal_Weeks'!B50,"mmm-yy")&lt;&gt;TEXT('Cal_Weeks'!B49,"mmm-yy"),'Cal_Weeks'!G50,"")</f>
        <v/>
      </c>
      <c r="AW2" s="8">
        <f>IF(TEXT('Cal_Weeks'!B51,"mmm-yy")&lt;&gt;TEXT('Cal_Weeks'!B50,"mmm-yy"),'Cal_Weeks'!G51,"")</f>
        <v/>
      </c>
      <c r="AX2" s="8">
        <f>IF(TEXT('Cal_Weeks'!B52,"mmm-yy")&lt;&gt;TEXT('Cal_Weeks'!B51,"mmm-yy"),'Cal_Weeks'!G52,"")</f>
        <v/>
      </c>
      <c r="AY2" s="8">
        <f>IF(TEXT('Cal_Weeks'!B53,"mmm-yy")&lt;&gt;TEXT('Cal_Weeks'!B52,"mmm-yy"),'Cal_Weeks'!G53,"")</f>
        <v/>
      </c>
      <c r="AZ2" s="8">
        <f>IF(TEXT('Cal_Weeks'!B54,"mmm-yy")&lt;&gt;TEXT('Cal_Weeks'!B53,"mmm-yy"),'Cal_Weeks'!G54,"")</f>
        <v/>
      </c>
      <c r="BA2" s="8">
        <f>IF(TEXT('Cal_Weeks'!B55,"mmm-yy")&lt;&gt;TEXT('Cal_Weeks'!B54,"mmm-yy"),'Cal_Weeks'!G55,"")</f>
        <v/>
      </c>
      <c r="BB2" s="8">
        <f>IF(TEXT('Cal_Weeks'!B56,"mmm-yy")&lt;&gt;TEXT('Cal_Weeks'!B55,"mmm-yy"),'Cal_Weeks'!G56,"")</f>
        <v/>
      </c>
      <c r="BC2" s="8">
        <f>IF(TEXT('Cal_Weeks'!B57,"mmm-yy")&lt;&gt;TEXT('Cal_Weeks'!B56,"mmm-yy"),'Cal_Weeks'!G57,"")</f>
        <v/>
      </c>
      <c r="BD2" s="8">
        <f>IF(TEXT('Cal_Weeks'!B58,"mmm-yy")&lt;&gt;TEXT('Cal_Weeks'!B57,"mmm-yy"),'Cal_Weeks'!G58,"")</f>
        <v/>
      </c>
      <c r="BE2" s="8">
        <f>IF(TEXT('Cal_Weeks'!B59,"mmm-yy")&lt;&gt;TEXT('Cal_Weeks'!B58,"mmm-yy"),'Cal_Weeks'!G59,"")</f>
        <v/>
      </c>
      <c r="BF2" s="8">
        <f>IF(TEXT('Cal_Weeks'!B60,"mmm-yy")&lt;&gt;TEXT('Cal_Weeks'!B59,"mmm-yy"),'Cal_Weeks'!G60,"")</f>
        <v/>
      </c>
      <c r="BG2" s="8">
        <f>IF(TEXT('Cal_Weeks'!B61,"mmm-yy")&lt;&gt;TEXT('Cal_Weeks'!B60,"mmm-yy"),'Cal_Weeks'!G61,"")</f>
        <v/>
      </c>
      <c r="BH2" s="8">
        <f>IF(TEXT('Cal_Weeks'!B62,"mmm-yy")&lt;&gt;TEXT('Cal_Weeks'!B61,"mmm-yy"),'Cal_Weeks'!G62,"")</f>
        <v/>
      </c>
      <c r="BI2" s="8">
        <f>IF(TEXT('Cal_Weeks'!B63,"mmm-yy")&lt;&gt;TEXT('Cal_Weeks'!B62,"mmm-yy"),'Cal_Weeks'!G63,"")</f>
        <v/>
      </c>
      <c r="BJ2" s="8">
        <f>IF(TEXT('Cal_Weeks'!B64,"mmm-yy")&lt;&gt;TEXT('Cal_Weeks'!B63,"mmm-yy"),'Cal_Weeks'!G64,"")</f>
        <v/>
      </c>
      <c r="BK2" s="8">
        <f>IF(TEXT('Cal_Weeks'!B65,"mmm-yy")&lt;&gt;TEXT('Cal_Weeks'!B64,"mmm-yy"),'Cal_Weeks'!G65,"")</f>
        <v/>
      </c>
      <c r="BL2" s="8">
        <f>IF(TEXT('Cal_Weeks'!B66,"mmm-yy")&lt;&gt;TEXT('Cal_Weeks'!B65,"mmm-yy"),'Cal_Weeks'!G66,"")</f>
        <v/>
      </c>
      <c r="BM2" s="8">
        <f>IF(TEXT('Cal_Weeks'!B67,"mmm-yy")&lt;&gt;TEXT('Cal_Weeks'!B66,"mmm-yy"),'Cal_Weeks'!G67,"")</f>
        <v/>
      </c>
      <c r="BN2" s="8">
        <f>IF(TEXT('Cal_Weeks'!B68,"mmm-yy")&lt;&gt;TEXT('Cal_Weeks'!B67,"mmm-yy"),'Cal_Weeks'!G68,"")</f>
        <v/>
      </c>
      <c r="BO2" s="8">
        <f>IF(TEXT('Cal_Weeks'!B69,"mmm-yy")&lt;&gt;TEXT('Cal_Weeks'!B68,"mmm-yy"),'Cal_Weeks'!G69,"")</f>
        <v/>
      </c>
      <c r="BP2" s="8">
        <f>IF(TEXT('Cal_Weeks'!B70,"mmm-yy")&lt;&gt;TEXT('Cal_Weeks'!B69,"mmm-yy"),'Cal_Weeks'!G70,"")</f>
        <v/>
      </c>
      <c r="BQ2" s="8">
        <f>IF(TEXT('Cal_Weeks'!B71,"mmm-yy")&lt;&gt;TEXT('Cal_Weeks'!B70,"mmm-yy"),'Cal_Weeks'!G71,"")</f>
        <v/>
      </c>
      <c r="BR2" s="8">
        <f>IF(TEXT('Cal_Weeks'!B72,"mmm-yy")&lt;&gt;TEXT('Cal_Weeks'!B71,"mmm-yy"),'Cal_Weeks'!G72,"")</f>
        <v/>
      </c>
      <c r="BS2" s="8">
        <f>IF(TEXT('Cal_Weeks'!B73,"mmm-yy")&lt;&gt;TEXT('Cal_Weeks'!B72,"mmm-yy"),'Cal_Weeks'!G73,"")</f>
        <v/>
      </c>
      <c r="BT2" s="8">
        <f>IF(TEXT('Cal_Weeks'!B74,"mmm-yy")&lt;&gt;TEXT('Cal_Weeks'!B73,"mmm-yy"),'Cal_Weeks'!G74,"")</f>
        <v/>
      </c>
      <c r="BU2" s="8">
        <f>IF(TEXT('Cal_Weeks'!B75,"mmm-yy")&lt;&gt;TEXT('Cal_Weeks'!B74,"mmm-yy"),'Cal_Weeks'!G75,"")</f>
        <v/>
      </c>
      <c r="BV2" s="8">
        <f>IF(TEXT('Cal_Weeks'!B76,"mmm-yy")&lt;&gt;TEXT('Cal_Weeks'!B75,"mmm-yy"),'Cal_Weeks'!G76,"")</f>
        <v/>
      </c>
      <c r="BW2" s="8">
        <f>IF(TEXT('Cal_Weeks'!B77,"mmm-yy")&lt;&gt;TEXT('Cal_Weeks'!B76,"mmm-yy"),'Cal_Weeks'!G77,"")</f>
        <v/>
      </c>
      <c r="BX2" s="8">
        <f>IF(TEXT('Cal_Weeks'!B78,"mmm-yy")&lt;&gt;TEXT('Cal_Weeks'!B77,"mmm-yy"),'Cal_Weeks'!G78,"")</f>
        <v/>
      </c>
      <c r="BY2" s="8">
        <f>IF(TEXT('Cal_Weeks'!B79,"mmm-yy")&lt;&gt;TEXT('Cal_Weeks'!B78,"mmm-yy"),'Cal_Weeks'!G79,"")</f>
        <v/>
      </c>
      <c r="BZ2" s="8">
        <f>IF(TEXT('Cal_Weeks'!B80,"mmm-yy")&lt;&gt;TEXT('Cal_Weeks'!B79,"mmm-yy"),'Cal_Weeks'!G80,"")</f>
        <v/>
      </c>
      <c r="CA2" s="8">
        <f>IF(TEXT('Cal_Weeks'!B81,"mmm-yy")&lt;&gt;TEXT('Cal_Weeks'!B80,"mmm-yy"),'Cal_Weeks'!G81,"")</f>
        <v/>
      </c>
      <c r="CB2" s="8">
        <f>IF(TEXT('Cal_Weeks'!B82,"mmm-yy")&lt;&gt;TEXT('Cal_Weeks'!B81,"mmm-yy"),'Cal_Weeks'!G82,"")</f>
        <v/>
      </c>
      <c r="CC2" s="8">
        <f>IF(TEXT('Cal_Weeks'!B83,"mmm-yy")&lt;&gt;TEXT('Cal_Weeks'!B82,"mmm-yy"),'Cal_Weeks'!G83,"")</f>
        <v/>
      </c>
      <c r="CD2" s="8">
        <f>IF(TEXT('Cal_Weeks'!B84,"mmm-yy")&lt;&gt;TEXT('Cal_Weeks'!B83,"mmm-yy"),'Cal_Weeks'!G84,"")</f>
        <v/>
      </c>
      <c r="CE2" s="8">
        <f>IF(TEXT('Cal_Weeks'!B85,"mmm-yy")&lt;&gt;TEXT('Cal_Weeks'!B84,"mmm-yy"),'Cal_Weeks'!G85,"")</f>
        <v/>
      </c>
      <c r="CF2" s="8">
        <f>IF(TEXT('Cal_Weeks'!B86,"mmm-yy")&lt;&gt;TEXT('Cal_Weeks'!B85,"mmm-yy"),'Cal_Weeks'!G86,"")</f>
        <v/>
      </c>
      <c r="CG2" s="8">
        <f>IF(TEXT('Cal_Weeks'!B87,"mmm-yy")&lt;&gt;TEXT('Cal_Weeks'!B86,"mmm-yy"),'Cal_Weeks'!G87,"")</f>
        <v/>
      </c>
      <c r="CH2" s="8">
        <f>IF(TEXT('Cal_Weeks'!B88,"mmm-yy")&lt;&gt;TEXT('Cal_Weeks'!B87,"mmm-yy"),'Cal_Weeks'!G88,"")</f>
        <v/>
      </c>
      <c r="CI2" s="8">
        <f>IF(TEXT('Cal_Weeks'!B89,"mmm-yy")&lt;&gt;TEXT('Cal_Weeks'!B88,"mmm-yy"),'Cal_Weeks'!G89,"")</f>
        <v/>
      </c>
      <c r="CJ2" s="8">
        <f>IF(TEXT('Cal_Weeks'!B90,"mmm-yy")&lt;&gt;TEXT('Cal_Weeks'!B89,"mmm-yy"),'Cal_Weeks'!G90,"")</f>
        <v/>
      </c>
      <c r="CK2" s="8">
        <f>IF(TEXT('Cal_Weeks'!B91,"mmm-yy")&lt;&gt;TEXT('Cal_Weeks'!B90,"mmm-yy"),'Cal_Weeks'!G91,"")</f>
        <v/>
      </c>
      <c r="CL2" s="8">
        <f>IF(TEXT('Cal_Weeks'!B92,"mmm-yy")&lt;&gt;TEXT('Cal_Weeks'!B91,"mmm-yy"),'Cal_Weeks'!G92,"")</f>
        <v/>
      </c>
      <c r="CM2" s="8">
        <f>IF(TEXT('Cal_Weeks'!B93,"mmm-yy")&lt;&gt;TEXT('Cal_Weeks'!B92,"mmm-yy"),'Cal_Weeks'!G93,"")</f>
        <v/>
      </c>
      <c r="CN2" s="8">
        <f>IF(TEXT('Cal_Weeks'!B94,"mmm-yy")&lt;&gt;TEXT('Cal_Weeks'!B93,"mmm-yy"),'Cal_Weeks'!G94,"")</f>
        <v/>
      </c>
      <c r="CO2" s="8">
        <f>IF(TEXT('Cal_Weeks'!B95,"mmm-yy")&lt;&gt;TEXT('Cal_Weeks'!B94,"mmm-yy"),'Cal_Weeks'!G95,"")</f>
        <v/>
      </c>
      <c r="CP2" s="8">
        <f>IF(TEXT('Cal_Weeks'!B96,"mmm-yy")&lt;&gt;TEXT('Cal_Weeks'!B95,"mmm-yy"),'Cal_Weeks'!G96,"")</f>
        <v/>
      </c>
      <c r="CQ2" s="8">
        <f>IF(TEXT('Cal_Weeks'!B97,"mmm-yy")&lt;&gt;TEXT('Cal_Weeks'!B96,"mmm-yy"),'Cal_Weeks'!G97,"")</f>
        <v/>
      </c>
      <c r="CR2" s="8">
        <f>IF(TEXT('Cal_Weeks'!B98,"mmm-yy")&lt;&gt;TEXT('Cal_Weeks'!B97,"mmm-yy"),'Cal_Weeks'!G98,"")</f>
        <v/>
      </c>
      <c r="CS2" s="8">
        <f>IF(TEXT('Cal_Weeks'!B99,"mmm-yy")&lt;&gt;TEXT('Cal_Weeks'!B98,"mmm-yy"),'Cal_Weeks'!G99,"")</f>
        <v/>
      </c>
      <c r="CT2" s="8">
        <f>IF(TEXT('Cal_Weeks'!B100,"mmm-yy")&lt;&gt;TEXT('Cal_Weeks'!B99,"mmm-yy"),'Cal_Weeks'!G100,"")</f>
        <v/>
      </c>
      <c r="CU2" s="8">
        <f>IF(TEXT('Cal_Weeks'!B101,"mmm-yy")&lt;&gt;TEXT('Cal_Weeks'!B100,"mmm-yy"),'Cal_Weeks'!G101,"")</f>
        <v/>
      </c>
      <c r="CV2" s="8">
        <f>IF(TEXT('Cal_Weeks'!B102,"mmm-yy")&lt;&gt;TEXT('Cal_Weeks'!B101,"mmm-yy"),'Cal_Weeks'!G102,"")</f>
        <v/>
      </c>
      <c r="CW2" s="8">
        <f>IF(TEXT('Cal_Weeks'!B103,"mmm-yy")&lt;&gt;TEXT('Cal_Weeks'!B102,"mmm-yy"),'Cal_Weeks'!G103,"")</f>
        <v/>
      </c>
      <c r="CX2" s="8">
        <f>IF(TEXT('Cal_Weeks'!B104,"mmm-yy")&lt;&gt;TEXT('Cal_Weeks'!B103,"mmm-yy"),'Cal_Weeks'!G104,"")</f>
        <v/>
      </c>
      <c r="CY2" s="8">
        <f>IF(TEXT('Cal_Weeks'!B105,"mmm-yy")&lt;&gt;TEXT('Cal_Weeks'!B104,"mmm-yy"),'Cal_Weeks'!G105,"")</f>
        <v/>
      </c>
      <c r="CZ2" s="8">
        <f>IF(TEXT('Cal_Weeks'!B106,"mmm-yy")&lt;&gt;TEXT('Cal_Weeks'!B105,"mmm-yy"),'Cal_Weeks'!G106,"")</f>
        <v/>
      </c>
      <c r="DA2" s="8">
        <f>IF(TEXT('Cal_Weeks'!B107,"mmm-yy")&lt;&gt;TEXT('Cal_Weeks'!B106,"mmm-yy"),'Cal_Weeks'!G107,"")</f>
        <v/>
      </c>
    </row>
    <row r="3">
      <c r="A3" s="9" t="n"/>
      <c r="B3" s="10">
        <f>'Cal_Weeks'!B4</f>
        <v/>
      </c>
      <c r="C3" s="10">
        <f>'Cal_Weeks'!B5</f>
        <v/>
      </c>
      <c r="D3" s="10">
        <f>'Cal_Weeks'!B6</f>
        <v/>
      </c>
      <c r="E3" s="10">
        <f>'Cal_Weeks'!B7</f>
        <v/>
      </c>
      <c r="F3" s="10">
        <f>'Cal_Weeks'!B8</f>
        <v/>
      </c>
      <c r="G3" s="10">
        <f>'Cal_Weeks'!B9</f>
        <v/>
      </c>
      <c r="H3" s="10">
        <f>'Cal_Weeks'!B10</f>
        <v/>
      </c>
      <c r="I3" s="10">
        <f>'Cal_Weeks'!B11</f>
        <v/>
      </c>
      <c r="J3" s="10">
        <f>'Cal_Weeks'!B12</f>
        <v/>
      </c>
      <c r="K3" s="10">
        <f>'Cal_Weeks'!B13</f>
        <v/>
      </c>
      <c r="L3" s="10">
        <f>'Cal_Weeks'!B14</f>
        <v/>
      </c>
      <c r="M3" s="10">
        <f>'Cal_Weeks'!B15</f>
        <v/>
      </c>
      <c r="N3" s="10">
        <f>'Cal_Weeks'!B16</f>
        <v/>
      </c>
      <c r="O3" s="10">
        <f>'Cal_Weeks'!B17</f>
        <v/>
      </c>
      <c r="P3" s="10">
        <f>'Cal_Weeks'!B18</f>
        <v/>
      </c>
      <c r="Q3" s="10">
        <f>'Cal_Weeks'!B19</f>
        <v/>
      </c>
      <c r="R3" s="10">
        <f>'Cal_Weeks'!B20</f>
        <v/>
      </c>
      <c r="S3" s="10">
        <f>'Cal_Weeks'!B21</f>
        <v/>
      </c>
      <c r="T3" s="10">
        <f>'Cal_Weeks'!B22</f>
        <v/>
      </c>
      <c r="U3" s="10">
        <f>'Cal_Weeks'!B23</f>
        <v/>
      </c>
      <c r="V3" s="10">
        <f>'Cal_Weeks'!B24</f>
        <v/>
      </c>
      <c r="W3" s="10">
        <f>'Cal_Weeks'!B25</f>
        <v/>
      </c>
      <c r="X3" s="10">
        <f>'Cal_Weeks'!B26</f>
        <v/>
      </c>
      <c r="Y3" s="10">
        <f>'Cal_Weeks'!B27</f>
        <v/>
      </c>
      <c r="Z3" s="10">
        <f>'Cal_Weeks'!B28</f>
        <v/>
      </c>
      <c r="AA3" s="10">
        <f>'Cal_Weeks'!B29</f>
        <v/>
      </c>
      <c r="AB3" s="10">
        <f>'Cal_Weeks'!B30</f>
        <v/>
      </c>
      <c r="AC3" s="10">
        <f>'Cal_Weeks'!B31</f>
        <v/>
      </c>
      <c r="AD3" s="10">
        <f>'Cal_Weeks'!B32</f>
        <v/>
      </c>
      <c r="AE3" s="10">
        <f>'Cal_Weeks'!B33</f>
        <v/>
      </c>
      <c r="AF3" s="10">
        <f>'Cal_Weeks'!B34</f>
        <v/>
      </c>
      <c r="AG3" s="10">
        <f>'Cal_Weeks'!B35</f>
        <v/>
      </c>
      <c r="AH3" s="10">
        <f>'Cal_Weeks'!B36</f>
        <v/>
      </c>
      <c r="AI3" s="10">
        <f>'Cal_Weeks'!B37</f>
        <v/>
      </c>
      <c r="AJ3" s="10">
        <f>'Cal_Weeks'!B38</f>
        <v/>
      </c>
      <c r="AK3" s="10">
        <f>'Cal_Weeks'!B39</f>
        <v/>
      </c>
      <c r="AL3" s="10">
        <f>'Cal_Weeks'!B40</f>
        <v/>
      </c>
      <c r="AM3" s="10">
        <f>'Cal_Weeks'!B41</f>
        <v/>
      </c>
      <c r="AN3" s="10">
        <f>'Cal_Weeks'!B42</f>
        <v/>
      </c>
      <c r="AO3" s="10">
        <f>'Cal_Weeks'!B43</f>
        <v/>
      </c>
      <c r="AP3" s="10">
        <f>'Cal_Weeks'!B44</f>
        <v/>
      </c>
      <c r="AQ3" s="10">
        <f>'Cal_Weeks'!B45</f>
        <v/>
      </c>
      <c r="AR3" s="10">
        <f>'Cal_Weeks'!B46</f>
        <v/>
      </c>
      <c r="AS3" s="10">
        <f>'Cal_Weeks'!B47</f>
        <v/>
      </c>
      <c r="AT3" s="10">
        <f>'Cal_Weeks'!B48</f>
        <v/>
      </c>
      <c r="AU3" s="10">
        <f>'Cal_Weeks'!B49</f>
        <v/>
      </c>
      <c r="AV3" s="10">
        <f>'Cal_Weeks'!B50</f>
        <v/>
      </c>
      <c r="AW3" s="10">
        <f>'Cal_Weeks'!B51</f>
        <v/>
      </c>
      <c r="AX3" s="10">
        <f>'Cal_Weeks'!B52</f>
        <v/>
      </c>
      <c r="AY3" s="10">
        <f>'Cal_Weeks'!B53</f>
        <v/>
      </c>
      <c r="AZ3" s="10">
        <f>'Cal_Weeks'!B54</f>
        <v/>
      </c>
      <c r="BA3" s="10">
        <f>'Cal_Weeks'!B55</f>
        <v/>
      </c>
      <c r="BB3" s="10">
        <f>'Cal_Weeks'!B56</f>
        <v/>
      </c>
      <c r="BC3" s="10">
        <f>'Cal_Weeks'!B57</f>
        <v/>
      </c>
      <c r="BD3" s="10">
        <f>'Cal_Weeks'!B58</f>
        <v/>
      </c>
      <c r="BE3" s="10">
        <f>'Cal_Weeks'!B59</f>
        <v/>
      </c>
      <c r="BF3" s="10">
        <f>'Cal_Weeks'!B60</f>
        <v/>
      </c>
      <c r="BG3" s="10">
        <f>'Cal_Weeks'!B61</f>
        <v/>
      </c>
      <c r="BH3" s="10">
        <f>'Cal_Weeks'!B62</f>
        <v/>
      </c>
      <c r="BI3" s="10">
        <f>'Cal_Weeks'!B63</f>
        <v/>
      </c>
      <c r="BJ3" s="10">
        <f>'Cal_Weeks'!B64</f>
        <v/>
      </c>
      <c r="BK3" s="10">
        <f>'Cal_Weeks'!B65</f>
        <v/>
      </c>
      <c r="BL3" s="10">
        <f>'Cal_Weeks'!B66</f>
        <v/>
      </c>
      <c r="BM3" s="10">
        <f>'Cal_Weeks'!B67</f>
        <v/>
      </c>
      <c r="BN3" s="10">
        <f>'Cal_Weeks'!B68</f>
        <v/>
      </c>
      <c r="BO3" s="10">
        <f>'Cal_Weeks'!B69</f>
        <v/>
      </c>
      <c r="BP3" s="10">
        <f>'Cal_Weeks'!B70</f>
        <v/>
      </c>
      <c r="BQ3" s="10">
        <f>'Cal_Weeks'!B71</f>
        <v/>
      </c>
      <c r="BR3" s="10">
        <f>'Cal_Weeks'!B72</f>
        <v/>
      </c>
      <c r="BS3" s="10">
        <f>'Cal_Weeks'!B73</f>
        <v/>
      </c>
      <c r="BT3" s="10">
        <f>'Cal_Weeks'!B74</f>
        <v/>
      </c>
      <c r="BU3" s="10">
        <f>'Cal_Weeks'!B75</f>
        <v/>
      </c>
      <c r="BV3" s="10">
        <f>'Cal_Weeks'!B76</f>
        <v/>
      </c>
      <c r="BW3" s="10">
        <f>'Cal_Weeks'!B77</f>
        <v/>
      </c>
      <c r="BX3" s="10">
        <f>'Cal_Weeks'!B78</f>
        <v/>
      </c>
      <c r="BY3" s="10">
        <f>'Cal_Weeks'!B79</f>
        <v/>
      </c>
      <c r="BZ3" s="10">
        <f>'Cal_Weeks'!B80</f>
        <v/>
      </c>
      <c r="CA3" s="10">
        <f>'Cal_Weeks'!B81</f>
        <v/>
      </c>
      <c r="CB3" s="10">
        <f>'Cal_Weeks'!B82</f>
        <v/>
      </c>
      <c r="CC3" s="10">
        <f>'Cal_Weeks'!B83</f>
        <v/>
      </c>
      <c r="CD3" s="10">
        <f>'Cal_Weeks'!B84</f>
        <v/>
      </c>
      <c r="CE3" s="10">
        <f>'Cal_Weeks'!B85</f>
        <v/>
      </c>
      <c r="CF3" s="10">
        <f>'Cal_Weeks'!B86</f>
        <v/>
      </c>
      <c r="CG3" s="10">
        <f>'Cal_Weeks'!B87</f>
        <v/>
      </c>
      <c r="CH3" s="10">
        <f>'Cal_Weeks'!B88</f>
        <v/>
      </c>
      <c r="CI3" s="10">
        <f>'Cal_Weeks'!B89</f>
        <v/>
      </c>
      <c r="CJ3" s="10">
        <f>'Cal_Weeks'!B90</f>
        <v/>
      </c>
      <c r="CK3" s="10">
        <f>'Cal_Weeks'!B91</f>
        <v/>
      </c>
      <c r="CL3" s="10">
        <f>'Cal_Weeks'!B92</f>
        <v/>
      </c>
      <c r="CM3" s="10">
        <f>'Cal_Weeks'!B93</f>
        <v/>
      </c>
      <c r="CN3" s="10">
        <f>'Cal_Weeks'!B94</f>
        <v/>
      </c>
      <c r="CO3" s="10">
        <f>'Cal_Weeks'!B95</f>
        <v/>
      </c>
      <c r="CP3" s="10">
        <f>'Cal_Weeks'!B96</f>
        <v/>
      </c>
      <c r="CQ3" s="10">
        <f>'Cal_Weeks'!B97</f>
        <v/>
      </c>
      <c r="CR3" s="10">
        <f>'Cal_Weeks'!B98</f>
        <v/>
      </c>
      <c r="CS3" s="10">
        <f>'Cal_Weeks'!B99</f>
        <v/>
      </c>
      <c r="CT3" s="10">
        <f>'Cal_Weeks'!B100</f>
        <v/>
      </c>
      <c r="CU3" s="10">
        <f>'Cal_Weeks'!B101</f>
        <v/>
      </c>
      <c r="CV3" s="10">
        <f>'Cal_Weeks'!B102</f>
        <v/>
      </c>
      <c r="CW3" s="10">
        <f>'Cal_Weeks'!B103</f>
        <v/>
      </c>
      <c r="CX3" s="10">
        <f>'Cal_Weeks'!B104</f>
        <v/>
      </c>
      <c r="CY3" s="10">
        <f>'Cal_Weeks'!B105</f>
        <v/>
      </c>
      <c r="CZ3" s="10">
        <f>'Cal_Weeks'!B106</f>
        <v/>
      </c>
      <c r="DA3" s="10">
        <f>'Cal_Weeks'!B107</f>
        <v/>
      </c>
    </row>
    <row r="4">
      <c r="A4" s="9" t="n"/>
      <c r="B4" s="9">
        <f>'Cal_Weeks'!D4</f>
        <v/>
      </c>
      <c r="C4" s="9">
        <f>'Cal_Weeks'!D5</f>
        <v/>
      </c>
      <c r="D4" s="9">
        <f>'Cal_Weeks'!D6</f>
        <v/>
      </c>
      <c r="E4" s="9">
        <f>'Cal_Weeks'!D7</f>
        <v/>
      </c>
      <c r="F4" s="9">
        <f>'Cal_Weeks'!D8</f>
        <v/>
      </c>
      <c r="G4" s="9">
        <f>'Cal_Weeks'!D9</f>
        <v/>
      </c>
      <c r="H4" s="9">
        <f>'Cal_Weeks'!D10</f>
        <v/>
      </c>
      <c r="I4" s="9">
        <f>'Cal_Weeks'!D11</f>
        <v/>
      </c>
      <c r="J4" s="9">
        <f>'Cal_Weeks'!D12</f>
        <v/>
      </c>
      <c r="K4" s="9">
        <f>'Cal_Weeks'!D13</f>
        <v/>
      </c>
      <c r="L4" s="9">
        <f>'Cal_Weeks'!D14</f>
        <v/>
      </c>
      <c r="M4" s="9">
        <f>'Cal_Weeks'!D15</f>
        <v/>
      </c>
      <c r="N4" s="9">
        <f>'Cal_Weeks'!D16</f>
        <v/>
      </c>
      <c r="O4" s="9">
        <f>'Cal_Weeks'!D17</f>
        <v/>
      </c>
      <c r="P4" s="9">
        <f>'Cal_Weeks'!D18</f>
        <v/>
      </c>
      <c r="Q4" s="9">
        <f>'Cal_Weeks'!D19</f>
        <v/>
      </c>
      <c r="R4" s="9">
        <f>'Cal_Weeks'!D20</f>
        <v/>
      </c>
      <c r="S4" s="9">
        <f>'Cal_Weeks'!D21</f>
        <v/>
      </c>
      <c r="T4" s="9">
        <f>'Cal_Weeks'!D22</f>
        <v/>
      </c>
      <c r="U4" s="9">
        <f>'Cal_Weeks'!D23</f>
        <v/>
      </c>
      <c r="V4" s="9">
        <f>'Cal_Weeks'!D24</f>
        <v/>
      </c>
      <c r="W4" s="9">
        <f>'Cal_Weeks'!D25</f>
        <v/>
      </c>
      <c r="X4" s="9">
        <f>'Cal_Weeks'!D26</f>
        <v/>
      </c>
      <c r="Y4" s="9">
        <f>'Cal_Weeks'!D27</f>
        <v/>
      </c>
      <c r="Z4" s="9">
        <f>'Cal_Weeks'!D28</f>
        <v/>
      </c>
      <c r="AA4" s="9">
        <f>'Cal_Weeks'!D29</f>
        <v/>
      </c>
      <c r="AB4" s="9">
        <f>'Cal_Weeks'!D30</f>
        <v/>
      </c>
      <c r="AC4" s="9">
        <f>'Cal_Weeks'!D31</f>
        <v/>
      </c>
      <c r="AD4" s="9">
        <f>'Cal_Weeks'!D32</f>
        <v/>
      </c>
      <c r="AE4" s="9">
        <f>'Cal_Weeks'!D33</f>
        <v/>
      </c>
      <c r="AF4" s="9">
        <f>'Cal_Weeks'!D34</f>
        <v/>
      </c>
      <c r="AG4" s="9">
        <f>'Cal_Weeks'!D35</f>
        <v/>
      </c>
      <c r="AH4" s="9">
        <f>'Cal_Weeks'!D36</f>
        <v/>
      </c>
      <c r="AI4" s="9">
        <f>'Cal_Weeks'!D37</f>
        <v/>
      </c>
      <c r="AJ4" s="9">
        <f>'Cal_Weeks'!D38</f>
        <v/>
      </c>
      <c r="AK4" s="9">
        <f>'Cal_Weeks'!D39</f>
        <v/>
      </c>
      <c r="AL4" s="9">
        <f>'Cal_Weeks'!D40</f>
        <v/>
      </c>
      <c r="AM4" s="9">
        <f>'Cal_Weeks'!D41</f>
        <v/>
      </c>
      <c r="AN4" s="9">
        <f>'Cal_Weeks'!D42</f>
        <v/>
      </c>
      <c r="AO4" s="9">
        <f>'Cal_Weeks'!D43</f>
        <v/>
      </c>
      <c r="AP4" s="9">
        <f>'Cal_Weeks'!D44</f>
        <v/>
      </c>
      <c r="AQ4" s="9">
        <f>'Cal_Weeks'!D45</f>
        <v/>
      </c>
      <c r="AR4" s="9">
        <f>'Cal_Weeks'!D46</f>
        <v/>
      </c>
      <c r="AS4" s="9">
        <f>'Cal_Weeks'!D47</f>
        <v/>
      </c>
      <c r="AT4" s="9">
        <f>'Cal_Weeks'!D48</f>
        <v/>
      </c>
      <c r="AU4" s="9">
        <f>'Cal_Weeks'!D49</f>
        <v/>
      </c>
      <c r="AV4" s="9">
        <f>'Cal_Weeks'!D50</f>
        <v/>
      </c>
      <c r="AW4" s="9">
        <f>'Cal_Weeks'!D51</f>
        <v/>
      </c>
      <c r="AX4" s="9">
        <f>'Cal_Weeks'!D52</f>
        <v/>
      </c>
      <c r="AY4" s="9">
        <f>'Cal_Weeks'!D53</f>
        <v/>
      </c>
      <c r="AZ4" s="9">
        <f>'Cal_Weeks'!D54</f>
        <v/>
      </c>
      <c r="BA4" s="9">
        <f>'Cal_Weeks'!D55</f>
        <v/>
      </c>
      <c r="BB4" s="9">
        <f>'Cal_Weeks'!D56</f>
        <v/>
      </c>
      <c r="BC4" s="9">
        <f>'Cal_Weeks'!D57</f>
        <v/>
      </c>
      <c r="BD4" s="9">
        <f>'Cal_Weeks'!D58</f>
        <v/>
      </c>
      <c r="BE4" s="9">
        <f>'Cal_Weeks'!D59</f>
        <v/>
      </c>
      <c r="BF4" s="9">
        <f>'Cal_Weeks'!D60</f>
        <v/>
      </c>
      <c r="BG4" s="9">
        <f>'Cal_Weeks'!D61</f>
        <v/>
      </c>
      <c r="BH4" s="9">
        <f>'Cal_Weeks'!D62</f>
        <v/>
      </c>
      <c r="BI4" s="9">
        <f>'Cal_Weeks'!D63</f>
        <v/>
      </c>
      <c r="BJ4" s="9">
        <f>'Cal_Weeks'!D64</f>
        <v/>
      </c>
      <c r="BK4" s="9">
        <f>'Cal_Weeks'!D65</f>
        <v/>
      </c>
      <c r="BL4" s="9">
        <f>'Cal_Weeks'!D66</f>
        <v/>
      </c>
      <c r="BM4" s="9">
        <f>'Cal_Weeks'!D67</f>
        <v/>
      </c>
      <c r="BN4" s="9">
        <f>'Cal_Weeks'!D68</f>
        <v/>
      </c>
      <c r="BO4" s="9">
        <f>'Cal_Weeks'!D69</f>
        <v/>
      </c>
      <c r="BP4" s="9">
        <f>'Cal_Weeks'!D70</f>
        <v/>
      </c>
      <c r="BQ4" s="9">
        <f>'Cal_Weeks'!D71</f>
        <v/>
      </c>
      <c r="BR4" s="9">
        <f>'Cal_Weeks'!D72</f>
        <v/>
      </c>
      <c r="BS4" s="9">
        <f>'Cal_Weeks'!D73</f>
        <v/>
      </c>
      <c r="BT4" s="9">
        <f>'Cal_Weeks'!D74</f>
        <v/>
      </c>
      <c r="BU4" s="9">
        <f>'Cal_Weeks'!D75</f>
        <v/>
      </c>
      <c r="BV4" s="9">
        <f>'Cal_Weeks'!D76</f>
        <v/>
      </c>
      <c r="BW4" s="9">
        <f>'Cal_Weeks'!D77</f>
        <v/>
      </c>
      <c r="BX4" s="9">
        <f>'Cal_Weeks'!D78</f>
        <v/>
      </c>
      <c r="BY4" s="9">
        <f>'Cal_Weeks'!D79</f>
        <v/>
      </c>
      <c r="BZ4" s="9">
        <f>'Cal_Weeks'!D80</f>
        <v/>
      </c>
      <c r="CA4" s="9">
        <f>'Cal_Weeks'!D81</f>
        <v/>
      </c>
      <c r="CB4" s="9">
        <f>'Cal_Weeks'!D82</f>
        <v/>
      </c>
      <c r="CC4" s="9">
        <f>'Cal_Weeks'!D83</f>
        <v/>
      </c>
      <c r="CD4" s="9">
        <f>'Cal_Weeks'!D84</f>
        <v/>
      </c>
      <c r="CE4" s="9">
        <f>'Cal_Weeks'!D85</f>
        <v/>
      </c>
      <c r="CF4" s="9">
        <f>'Cal_Weeks'!D86</f>
        <v/>
      </c>
      <c r="CG4" s="9">
        <f>'Cal_Weeks'!D87</f>
        <v/>
      </c>
      <c r="CH4" s="9">
        <f>'Cal_Weeks'!D88</f>
        <v/>
      </c>
      <c r="CI4" s="9">
        <f>'Cal_Weeks'!D89</f>
        <v/>
      </c>
      <c r="CJ4" s="9">
        <f>'Cal_Weeks'!D90</f>
        <v/>
      </c>
      <c r="CK4" s="9">
        <f>'Cal_Weeks'!D91</f>
        <v/>
      </c>
      <c r="CL4" s="9">
        <f>'Cal_Weeks'!D92</f>
        <v/>
      </c>
      <c r="CM4" s="9">
        <f>'Cal_Weeks'!D93</f>
        <v/>
      </c>
      <c r="CN4" s="9">
        <f>'Cal_Weeks'!D94</f>
        <v/>
      </c>
      <c r="CO4" s="9">
        <f>'Cal_Weeks'!D95</f>
        <v/>
      </c>
      <c r="CP4" s="9">
        <f>'Cal_Weeks'!D96</f>
        <v/>
      </c>
      <c r="CQ4" s="9">
        <f>'Cal_Weeks'!D97</f>
        <v/>
      </c>
      <c r="CR4" s="9">
        <f>'Cal_Weeks'!D98</f>
        <v/>
      </c>
      <c r="CS4" s="9">
        <f>'Cal_Weeks'!D99</f>
        <v/>
      </c>
      <c r="CT4" s="9">
        <f>'Cal_Weeks'!D100</f>
        <v/>
      </c>
      <c r="CU4" s="9">
        <f>'Cal_Weeks'!D101</f>
        <v/>
      </c>
      <c r="CV4" s="9">
        <f>'Cal_Weeks'!D102</f>
        <v/>
      </c>
      <c r="CW4" s="9">
        <f>'Cal_Weeks'!D103</f>
        <v/>
      </c>
      <c r="CX4" s="9">
        <f>'Cal_Weeks'!D104</f>
        <v/>
      </c>
      <c r="CY4" s="9">
        <f>'Cal_Weeks'!D105</f>
        <v/>
      </c>
      <c r="CZ4" s="9">
        <f>'Cal_Weeks'!D106</f>
        <v/>
      </c>
      <c r="DA4" s="9">
        <f>'Cal_Weeks'!D107</f>
        <v/>
      </c>
    </row>
    <row r="5">
      <c r="A5" s="11" t="inlineStr">
        <is>
          <t>Part Name</t>
        </is>
      </c>
      <c r="B5" s="11" t="inlineStr">
        <is>
          <t>2026-W01</t>
        </is>
      </c>
      <c r="C5" s="11" t="inlineStr">
        <is>
          <t>2026-W02</t>
        </is>
      </c>
      <c r="D5" s="11" t="inlineStr">
        <is>
          <t>2026-W03</t>
        </is>
      </c>
      <c r="E5" s="11" t="inlineStr">
        <is>
          <t>2026-W04</t>
        </is>
      </c>
      <c r="F5" s="11" t="inlineStr">
        <is>
          <t>2026-W05</t>
        </is>
      </c>
      <c r="G5" s="11" t="inlineStr">
        <is>
          <t>2026-W06</t>
        </is>
      </c>
      <c r="H5" s="11" t="inlineStr">
        <is>
          <t>2026-W07</t>
        </is>
      </c>
      <c r="I5" s="11" t="inlineStr">
        <is>
          <t>2026-W08</t>
        </is>
      </c>
      <c r="J5" s="11" t="inlineStr">
        <is>
          <t>2026-W09</t>
        </is>
      </c>
      <c r="K5" s="11" t="inlineStr">
        <is>
          <t>2026-W10</t>
        </is>
      </c>
      <c r="L5" s="11" t="inlineStr">
        <is>
          <t>2026-W11</t>
        </is>
      </c>
      <c r="M5" s="11" t="inlineStr">
        <is>
          <t>2026-W12</t>
        </is>
      </c>
      <c r="N5" s="11" t="inlineStr">
        <is>
          <t>2026-W13</t>
        </is>
      </c>
      <c r="O5" s="11" t="inlineStr">
        <is>
          <t>2026-W14</t>
        </is>
      </c>
      <c r="P5" s="11" t="inlineStr">
        <is>
          <t>2026-W15</t>
        </is>
      </c>
      <c r="Q5" s="11" t="inlineStr">
        <is>
          <t>2026-W16</t>
        </is>
      </c>
      <c r="R5" s="11" t="inlineStr">
        <is>
          <t>2026-W17</t>
        </is>
      </c>
      <c r="S5" s="11" t="inlineStr">
        <is>
          <t>2026-W18</t>
        </is>
      </c>
      <c r="T5" s="11" t="inlineStr">
        <is>
          <t>2026-W19</t>
        </is>
      </c>
      <c r="U5" s="11" t="inlineStr">
        <is>
          <t>2026-W20</t>
        </is>
      </c>
      <c r="V5" s="11" t="inlineStr">
        <is>
          <t>2026-W21</t>
        </is>
      </c>
      <c r="W5" s="11" t="inlineStr">
        <is>
          <t>2026-W22</t>
        </is>
      </c>
      <c r="X5" s="11" t="inlineStr">
        <is>
          <t>2026-W23</t>
        </is>
      </c>
      <c r="Y5" s="11" t="inlineStr">
        <is>
          <t>2026-W24</t>
        </is>
      </c>
      <c r="Z5" s="11" t="inlineStr">
        <is>
          <t>2026-W25</t>
        </is>
      </c>
      <c r="AA5" s="11" t="inlineStr">
        <is>
          <t>2026-W26</t>
        </is>
      </c>
      <c r="AB5" s="11" t="inlineStr">
        <is>
          <t>2026-W27</t>
        </is>
      </c>
      <c r="AC5" s="11" t="inlineStr">
        <is>
          <t>2026-W28</t>
        </is>
      </c>
      <c r="AD5" s="11" t="inlineStr">
        <is>
          <t>2026-W29</t>
        </is>
      </c>
      <c r="AE5" s="11" t="inlineStr">
        <is>
          <t>2026-W30</t>
        </is>
      </c>
      <c r="AF5" s="11" t="inlineStr">
        <is>
          <t>2026-W31</t>
        </is>
      </c>
      <c r="AG5" s="11" t="inlineStr">
        <is>
          <t>2026-W32</t>
        </is>
      </c>
      <c r="AH5" s="11" t="inlineStr">
        <is>
          <t>2026-W33</t>
        </is>
      </c>
      <c r="AI5" s="11" t="inlineStr">
        <is>
          <t>2026-W34</t>
        </is>
      </c>
      <c r="AJ5" s="11" t="inlineStr">
        <is>
          <t>2026-W35</t>
        </is>
      </c>
      <c r="AK5" s="11" t="inlineStr">
        <is>
          <t>2026-W36</t>
        </is>
      </c>
      <c r="AL5" s="11" t="inlineStr">
        <is>
          <t>2026-W37</t>
        </is>
      </c>
      <c r="AM5" s="11" t="inlineStr">
        <is>
          <t>2026-W38</t>
        </is>
      </c>
      <c r="AN5" s="11" t="inlineStr">
        <is>
          <t>2026-W39</t>
        </is>
      </c>
      <c r="AO5" s="11" t="inlineStr">
        <is>
          <t>2026-W40</t>
        </is>
      </c>
      <c r="AP5" s="11" t="inlineStr">
        <is>
          <t>2026-W41</t>
        </is>
      </c>
      <c r="AQ5" s="11" t="inlineStr">
        <is>
          <t>2026-W42</t>
        </is>
      </c>
      <c r="AR5" s="11" t="inlineStr">
        <is>
          <t>2026-W43</t>
        </is>
      </c>
      <c r="AS5" s="11" t="inlineStr">
        <is>
          <t>2026-W44</t>
        </is>
      </c>
      <c r="AT5" s="11" t="inlineStr">
        <is>
          <t>2026-W45</t>
        </is>
      </c>
      <c r="AU5" s="11" t="inlineStr">
        <is>
          <t>2026-W46</t>
        </is>
      </c>
      <c r="AV5" s="11" t="inlineStr">
        <is>
          <t>2026-W47</t>
        </is>
      </c>
      <c r="AW5" s="11" t="inlineStr">
        <is>
          <t>2026-W48</t>
        </is>
      </c>
      <c r="AX5" s="11" t="inlineStr">
        <is>
          <t>2026-W49</t>
        </is>
      </c>
      <c r="AY5" s="11" t="inlineStr">
        <is>
          <t>2026-W50</t>
        </is>
      </c>
      <c r="AZ5" s="11" t="inlineStr">
        <is>
          <t>2026-W51</t>
        </is>
      </c>
      <c r="BA5" s="11" t="inlineStr">
        <is>
          <t>2026-W52</t>
        </is>
      </c>
      <c r="BB5" s="11" t="inlineStr">
        <is>
          <t>2027-W01</t>
        </is>
      </c>
      <c r="BC5" s="11" t="inlineStr">
        <is>
          <t>2027-W02</t>
        </is>
      </c>
      <c r="BD5" s="11" t="inlineStr">
        <is>
          <t>2027-W03</t>
        </is>
      </c>
      <c r="BE5" s="11" t="inlineStr">
        <is>
          <t>2027-W04</t>
        </is>
      </c>
      <c r="BF5" s="11" t="inlineStr">
        <is>
          <t>2027-W05</t>
        </is>
      </c>
      <c r="BG5" s="11" t="inlineStr">
        <is>
          <t>2027-W06</t>
        </is>
      </c>
      <c r="BH5" s="11" t="inlineStr">
        <is>
          <t>2027-W07</t>
        </is>
      </c>
      <c r="BI5" s="11" t="inlineStr">
        <is>
          <t>2027-W08</t>
        </is>
      </c>
      <c r="BJ5" s="11" t="inlineStr">
        <is>
          <t>2027-W09</t>
        </is>
      </c>
      <c r="BK5" s="11" t="inlineStr">
        <is>
          <t>2027-W10</t>
        </is>
      </c>
      <c r="BL5" s="11" t="inlineStr">
        <is>
          <t>2027-W11</t>
        </is>
      </c>
      <c r="BM5" s="11" t="inlineStr">
        <is>
          <t>2027-W12</t>
        </is>
      </c>
      <c r="BN5" s="11" t="inlineStr">
        <is>
          <t>2027-W13</t>
        </is>
      </c>
      <c r="BO5" s="11" t="inlineStr">
        <is>
          <t>2027-W14</t>
        </is>
      </c>
      <c r="BP5" s="11" t="inlineStr">
        <is>
          <t>2027-W15</t>
        </is>
      </c>
      <c r="BQ5" s="11" t="inlineStr">
        <is>
          <t>2027-W16</t>
        </is>
      </c>
      <c r="BR5" s="11" t="inlineStr">
        <is>
          <t>2027-W17</t>
        </is>
      </c>
      <c r="BS5" s="11" t="inlineStr">
        <is>
          <t>2027-W18</t>
        </is>
      </c>
      <c r="BT5" s="11" t="inlineStr">
        <is>
          <t>2027-W19</t>
        </is>
      </c>
      <c r="BU5" s="11" t="inlineStr">
        <is>
          <t>2027-W20</t>
        </is>
      </c>
      <c r="BV5" s="11" t="inlineStr">
        <is>
          <t>2027-W21</t>
        </is>
      </c>
      <c r="BW5" s="11" t="inlineStr">
        <is>
          <t>2027-W22</t>
        </is>
      </c>
      <c r="BX5" s="11" t="inlineStr">
        <is>
          <t>2027-W23</t>
        </is>
      </c>
      <c r="BY5" s="11" t="inlineStr">
        <is>
          <t>2027-W24</t>
        </is>
      </c>
      <c r="BZ5" s="11" t="inlineStr">
        <is>
          <t>2027-W25</t>
        </is>
      </c>
      <c r="CA5" s="11" t="inlineStr">
        <is>
          <t>2027-W26</t>
        </is>
      </c>
      <c r="CB5" s="11" t="inlineStr">
        <is>
          <t>2027-W27</t>
        </is>
      </c>
      <c r="CC5" s="11" t="inlineStr">
        <is>
          <t>2027-W28</t>
        </is>
      </c>
      <c r="CD5" s="11" t="inlineStr">
        <is>
          <t>2027-W29</t>
        </is>
      </c>
      <c r="CE5" s="11" t="inlineStr">
        <is>
          <t>2027-W30</t>
        </is>
      </c>
      <c r="CF5" s="11" t="inlineStr">
        <is>
          <t>2027-W31</t>
        </is>
      </c>
      <c r="CG5" s="11" t="inlineStr">
        <is>
          <t>2027-W32</t>
        </is>
      </c>
      <c r="CH5" s="11" t="inlineStr">
        <is>
          <t>2027-W33</t>
        </is>
      </c>
      <c r="CI5" s="11" t="inlineStr">
        <is>
          <t>2027-W34</t>
        </is>
      </c>
      <c r="CJ5" s="11" t="inlineStr">
        <is>
          <t>2027-W35</t>
        </is>
      </c>
      <c r="CK5" s="11" t="inlineStr">
        <is>
          <t>2027-W36</t>
        </is>
      </c>
      <c r="CL5" s="11" t="inlineStr">
        <is>
          <t>2027-W37</t>
        </is>
      </c>
      <c r="CM5" s="11" t="inlineStr">
        <is>
          <t>2027-W38</t>
        </is>
      </c>
      <c r="CN5" s="11" t="inlineStr">
        <is>
          <t>2027-W39</t>
        </is>
      </c>
      <c r="CO5" s="11" t="inlineStr">
        <is>
          <t>2027-W40</t>
        </is>
      </c>
      <c r="CP5" s="11" t="inlineStr">
        <is>
          <t>2027-W41</t>
        </is>
      </c>
      <c r="CQ5" s="11" t="inlineStr">
        <is>
          <t>2027-W42</t>
        </is>
      </c>
      <c r="CR5" s="11" t="inlineStr">
        <is>
          <t>2027-W43</t>
        </is>
      </c>
      <c r="CS5" s="11" t="inlineStr">
        <is>
          <t>2027-W44</t>
        </is>
      </c>
      <c r="CT5" s="11" t="inlineStr">
        <is>
          <t>2027-W45</t>
        </is>
      </c>
      <c r="CU5" s="11" t="inlineStr">
        <is>
          <t>2027-W46</t>
        </is>
      </c>
      <c r="CV5" s="11" t="inlineStr">
        <is>
          <t>2027-W47</t>
        </is>
      </c>
      <c r="CW5" s="11" t="inlineStr">
        <is>
          <t>2027-W48</t>
        </is>
      </c>
      <c r="CX5" s="11" t="inlineStr">
        <is>
          <t>2027-W49</t>
        </is>
      </c>
      <c r="CY5" s="11" t="inlineStr">
        <is>
          <t>2027-W50</t>
        </is>
      </c>
      <c r="CZ5" s="11" t="inlineStr">
        <is>
          <t>2027-W51</t>
        </is>
      </c>
      <c r="DA5" s="11" t="inlineStr">
        <is>
          <t>2027-W52</t>
        </is>
      </c>
    </row>
    <row r="6">
      <c r="A6" s="12" t="inlineStr">
        <is>
          <t>CHEM-1250</t>
        </is>
      </c>
      <c r="B6" s="12">
        <f>IF(COUNTIFS(T_TTAFStock_Log[Part Name],$A6,T_TTAFStock_Log[WeekIndex],1)=0,"",SUMIFS(T_TTAFStock_Log[TTAF_Qty],T_TTAFStock_Log[Part Name],$A6,T_TTAFStock_Log[WeekIndex],1))</f>
        <v/>
      </c>
      <c r="C6" s="12">
        <f>IF(COUNTIFS(T_TTAFStock_Log[Part Name],$A6,T_TTAFStock_Log[WeekIndex],2)=0,"",SUMIFS(T_TTAFStock_Log[TTAF_Qty],T_TTAFStock_Log[Part Name],$A6,T_TTAFStock_Log[WeekIndex],2))</f>
        <v/>
      </c>
      <c r="D6" s="12">
        <f>IF(COUNTIFS(T_TTAFStock_Log[Part Name],$A6,T_TTAFStock_Log[WeekIndex],3)=0,"",SUMIFS(T_TTAFStock_Log[TTAF_Qty],T_TTAFStock_Log[Part Name],$A6,T_TTAFStock_Log[WeekIndex],3))</f>
        <v/>
      </c>
      <c r="E6" s="12">
        <f>IF(COUNTIFS(T_TTAFStock_Log[Part Name],$A6,T_TTAFStock_Log[WeekIndex],4)=0,"",SUMIFS(T_TTAFStock_Log[TTAF_Qty],T_TTAFStock_Log[Part Name],$A6,T_TTAFStock_Log[WeekIndex],4))</f>
        <v/>
      </c>
      <c r="F6" s="12">
        <f>IF(COUNTIFS(T_TTAFStock_Log[Part Name],$A6,T_TTAFStock_Log[WeekIndex],5)=0,"",SUMIFS(T_TTAFStock_Log[TTAF_Qty],T_TTAFStock_Log[Part Name],$A6,T_TTAFStock_Log[WeekIndex],5))</f>
        <v/>
      </c>
      <c r="G6" s="12">
        <f>IF(COUNTIFS(T_TTAFStock_Log[Part Name],$A6,T_TTAFStock_Log[WeekIndex],6)=0,"",SUMIFS(T_TTAFStock_Log[TTAF_Qty],T_TTAFStock_Log[Part Name],$A6,T_TTAFStock_Log[WeekIndex],6))</f>
        <v/>
      </c>
      <c r="H6" s="12">
        <f>IF(COUNTIFS(T_TTAFStock_Log[Part Name],$A6,T_TTAFStock_Log[WeekIndex],7)=0,"",SUMIFS(T_TTAFStock_Log[TTAF_Qty],T_TTAFStock_Log[Part Name],$A6,T_TTAFStock_Log[WeekIndex],7))</f>
        <v/>
      </c>
      <c r="I6" s="12">
        <f>IF(COUNTIFS(T_TTAFStock_Log[Part Name],$A6,T_TTAFStock_Log[WeekIndex],8)=0,"",SUMIFS(T_TTAFStock_Log[TTAF_Qty],T_TTAFStock_Log[Part Name],$A6,T_TTAFStock_Log[WeekIndex],8))</f>
        <v/>
      </c>
      <c r="J6" s="12">
        <f>IF(COUNTIFS(T_TTAFStock_Log[Part Name],$A6,T_TTAFStock_Log[WeekIndex],9)=0,"",SUMIFS(T_TTAFStock_Log[TTAF_Qty],T_TTAFStock_Log[Part Name],$A6,T_TTAFStock_Log[WeekIndex],9))</f>
        <v/>
      </c>
      <c r="K6" s="12">
        <f>IF(COUNTIFS(T_TTAFStock_Log[Part Name],$A6,T_TTAFStock_Log[WeekIndex],10)=0,"",SUMIFS(T_TTAFStock_Log[TTAF_Qty],T_TTAFStock_Log[Part Name],$A6,T_TTAFStock_Log[WeekIndex],10))</f>
        <v/>
      </c>
      <c r="L6" s="12">
        <f>IF(COUNTIFS(T_TTAFStock_Log[Part Name],$A6,T_TTAFStock_Log[WeekIndex],11)=0,"",SUMIFS(T_TTAFStock_Log[TTAF_Qty],T_TTAFStock_Log[Part Name],$A6,T_TTAFStock_Log[WeekIndex],11))</f>
        <v/>
      </c>
      <c r="M6" s="12">
        <f>IF(COUNTIFS(T_TTAFStock_Log[Part Name],$A6,T_TTAFStock_Log[WeekIndex],12)=0,"",SUMIFS(T_TTAFStock_Log[TTAF_Qty],T_TTAFStock_Log[Part Name],$A6,T_TTAFStock_Log[WeekIndex],12))</f>
        <v/>
      </c>
      <c r="N6" s="12">
        <f>IF(COUNTIFS(T_TTAFStock_Log[Part Name],$A6,T_TTAFStock_Log[WeekIndex],13)=0,"",SUMIFS(T_TTAFStock_Log[TTAF_Qty],T_TTAFStock_Log[Part Name],$A6,T_TTAFStock_Log[WeekIndex],13))</f>
        <v/>
      </c>
      <c r="O6" s="12">
        <f>IF(COUNTIFS(T_TTAFStock_Log[Part Name],$A6,T_TTAFStock_Log[WeekIndex],14)=0,"",SUMIFS(T_TTAFStock_Log[TTAF_Qty],T_TTAFStock_Log[Part Name],$A6,T_TTAFStock_Log[WeekIndex],14))</f>
        <v/>
      </c>
      <c r="P6" s="12">
        <f>IF(COUNTIFS(T_TTAFStock_Log[Part Name],$A6,T_TTAFStock_Log[WeekIndex],15)=0,"",SUMIFS(T_TTAFStock_Log[TTAF_Qty],T_TTAFStock_Log[Part Name],$A6,T_TTAFStock_Log[WeekIndex],15))</f>
        <v/>
      </c>
      <c r="Q6" s="12">
        <f>IF(COUNTIFS(T_TTAFStock_Log[Part Name],$A6,T_TTAFStock_Log[WeekIndex],16)=0,"",SUMIFS(T_TTAFStock_Log[TTAF_Qty],T_TTAFStock_Log[Part Name],$A6,T_TTAFStock_Log[WeekIndex],16))</f>
        <v/>
      </c>
      <c r="R6" s="12">
        <f>IF(COUNTIFS(T_TTAFStock_Log[Part Name],$A6,T_TTAFStock_Log[WeekIndex],17)=0,"",SUMIFS(T_TTAFStock_Log[TTAF_Qty],T_TTAFStock_Log[Part Name],$A6,T_TTAFStock_Log[WeekIndex],17))</f>
        <v/>
      </c>
      <c r="S6" s="12">
        <f>IF(COUNTIFS(T_TTAFStock_Log[Part Name],$A6,T_TTAFStock_Log[WeekIndex],18)=0,"",SUMIFS(T_TTAFStock_Log[TTAF_Qty],T_TTAFStock_Log[Part Name],$A6,T_TTAFStock_Log[WeekIndex],18))</f>
        <v/>
      </c>
      <c r="T6" s="12">
        <f>IF(COUNTIFS(T_TTAFStock_Log[Part Name],$A6,T_TTAFStock_Log[WeekIndex],19)=0,"",SUMIFS(T_TTAFStock_Log[TTAF_Qty],T_TTAFStock_Log[Part Name],$A6,T_TTAFStock_Log[WeekIndex],19))</f>
        <v/>
      </c>
      <c r="U6" s="12">
        <f>IF(COUNTIFS(T_TTAFStock_Log[Part Name],$A6,T_TTAFStock_Log[WeekIndex],20)=0,"",SUMIFS(T_TTAFStock_Log[TTAF_Qty],T_TTAFStock_Log[Part Name],$A6,T_TTAFStock_Log[WeekIndex],20))</f>
        <v/>
      </c>
      <c r="V6" s="12">
        <f>IF(COUNTIFS(T_TTAFStock_Log[Part Name],$A6,T_TTAFStock_Log[WeekIndex],21)=0,"",SUMIFS(T_TTAFStock_Log[TTAF_Qty],T_TTAFStock_Log[Part Name],$A6,T_TTAFStock_Log[WeekIndex],21))</f>
        <v/>
      </c>
      <c r="W6" s="12">
        <f>IF(COUNTIFS(T_TTAFStock_Log[Part Name],$A6,T_TTAFStock_Log[WeekIndex],22)=0,"",SUMIFS(T_TTAFStock_Log[TTAF_Qty],T_TTAFStock_Log[Part Name],$A6,T_TTAFStock_Log[WeekIndex],22))</f>
        <v/>
      </c>
      <c r="X6" s="12">
        <f>IF(COUNTIFS(T_TTAFStock_Log[Part Name],$A6,T_TTAFStock_Log[WeekIndex],23)=0,"",SUMIFS(T_TTAFStock_Log[TTAF_Qty],T_TTAFStock_Log[Part Name],$A6,T_TTAFStock_Log[WeekIndex],23))</f>
        <v/>
      </c>
      <c r="Y6" s="12">
        <f>IF(COUNTIFS(T_TTAFStock_Log[Part Name],$A6,T_TTAFStock_Log[WeekIndex],24)=0,"",SUMIFS(T_TTAFStock_Log[TTAF_Qty],T_TTAFStock_Log[Part Name],$A6,T_TTAFStock_Log[WeekIndex],24))</f>
        <v/>
      </c>
      <c r="Z6" s="12">
        <f>IF(COUNTIFS(T_TTAFStock_Log[Part Name],$A6,T_TTAFStock_Log[WeekIndex],25)=0,"",SUMIFS(T_TTAFStock_Log[TTAF_Qty],T_TTAFStock_Log[Part Name],$A6,T_TTAFStock_Log[WeekIndex],25))</f>
        <v/>
      </c>
      <c r="AA6" s="12">
        <f>IF(COUNTIFS(T_TTAFStock_Log[Part Name],$A6,T_TTAFStock_Log[WeekIndex],26)=0,"",SUMIFS(T_TTAFStock_Log[TTAF_Qty],T_TTAFStock_Log[Part Name],$A6,T_TTAFStock_Log[WeekIndex],26))</f>
        <v/>
      </c>
      <c r="AB6" s="12">
        <f>IF(COUNTIFS(T_TTAFStock_Log[Part Name],$A6,T_TTAFStock_Log[WeekIndex],27)=0,"",SUMIFS(T_TTAFStock_Log[TTAF_Qty],T_TTAFStock_Log[Part Name],$A6,T_TTAFStock_Log[WeekIndex],27))</f>
        <v/>
      </c>
      <c r="AC6" s="12">
        <f>IF(COUNTIFS(T_TTAFStock_Log[Part Name],$A6,T_TTAFStock_Log[WeekIndex],28)=0,"",SUMIFS(T_TTAFStock_Log[TTAF_Qty],T_TTAFStock_Log[Part Name],$A6,T_TTAFStock_Log[WeekIndex],28))</f>
        <v/>
      </c>
      <c r="AD6" s="12">
        <f>IF(COUNTIFS(T_TTAFStock_Log[Part Name],$A6,T_TTAFStock_Log[WeekIndex],29)=0,"",SUMIFS(T_TTAFStock_Log[TTAF_Qty],T_TTAFStock_Log[Part Name],$A6,T_TTAFStock_Log[WeekIndex],29))</f>
        <v/>
      </c>
      <c r="AE6" s="12">
        <f>IF(COUNTIFS(T_TTAFStock_Log[Part Name],$A6,T_TTAFStock_Log[WeekIndex],30)=0,"",SUMIFS(T_TTAFStock_Log[TTAF_Qty],T_TTAFStock_Log[Part Name],$A6,T_TTAFStock_Log[WeekIndex],30))</f>
        <v/>
      </c>
      <c r="AF6" s="12">
        <f>IF(COUNTIFS(T_TTAFStock_Log[Part Name],$A6,T_TTAFStock_Log[WeekIndex],31)=0,"",SUMIFS(T_TTAFStock_Log[TTAF_Qty],T_TTAFStock_Log[Part Name],$A6,T_TTAFStock_Log[WeekIndex],31))</f>
        <v/>
      </c>
      <c r="AG6" s="12">
        <f>IF(COUNTIFS(T_TTAFStock_Log[Part Name],$A6,T_TTAFStock_Log[WeekIndex],32)=0,"",SUMIFS(T_TTAFStock_Log[TTAF_Qty],T_TTAFStock_Log[Part Name],$A6,T_TTAFStock_Log[WeekIndex],32))</f>
        <v/>
      </c>
      <c r="AH6" s="12">
        <f>IF(COUNTIFS(T_TTAFStock_Log[Part Name],$A6,T_TTAFStock_Log[WeekIndex],33)=0,"",SUMIFS(T_TTAFStock_Log[TTAF_Qty],T_TTAFStock_Log[Part Name],$A6,T_TTAFStock_Log[WeekIndex],33))</f>
        <v/>
      </c>
      <c r="AI6" s="12">
        <f>IF(COUNTIFS(T_TTAFStock_Log[Part Name],$A6,T_TTAFStock_Log[WeekIndex],34)=0,"",SUMIFS(T_TTAFStock_Log[TTAF_Qty],T_TTAFStock_Log[Part Name],$A6,T_TTAFStock_Log[WeekIndex],34))</f>
        <v/>
      </c>
      <c r="AJ6" s="12">
        <f>IF(COUNTIFS(T_TTAFStock_Log[Part Name],$A6,T_TTAFStock_Log[WeekIndex],35)=0,"",SUMIFS(T_TTAFStock_Log[TTAF_Qty],T_TTAFStock_Log[Part Name],$A6,T_TTAFStock_Log[WeekIndex],35))</f>
        <v/>
      </c>
      <c r="AK6" s="12">
        <f>IF(COUNTIFS(T_TTAFStock_Log[Part Name],$A6,T_TTAFStock_Log[WeekIndex],36)=0,"",SUMIFS(T_TTAFStock_Log[TTAF_Qty],T_TTAFStock_Log[Part Name],$A6,T_TTAFStock_Log[WeekIndex],36))</f>
        <v/>
      </c>
      <c r="AL6" s="12">
        <f>IF(COUNTIFS(T_TTAFStock_Log[Part Name],$A6,T_TTAFStock_Log[WeekIndex],37)=0,"",SUMIFS(T_TTAFStock_Log[TTAF_Qty],T_TTAFStock_Log[Part Name],$A6,T_TTAFStock_Log[WeekIndex],37))</f>
        <v/>
      </c>
      <c r="AM6" s="12">
        <f>IF(COUNTIFS(T_TTAFStock_Log[Part Name],$A6,T_TTAFStock_Log[WeekIndex],38)=0,"",SUMIFS(T_TTAFStock_Log[TTAF_Qty],T_TTAFStock_Log[Part Name],$A6,T_TTAFStock_Log[WeekIndex],38))</f>
        <v/>
      </c>
      <c r="AN6" s="12">
        <f>IF(COUNTIFS(T_TTAFStock_Log[Part Name],$A6,T_TTAFStock_Log[WeekIndex],39)=0,"",SUMIFS(T_TTAFStock_Log[TTAF_Qty],T_TTAFStock_Log[Part Name],$A6,T_TTAFStock_Log[WeekIndex],39))</f>
        <v/>
      </c>
      <c r="AO6" s="12">
        <f>IF(COUNTIFS(T_TTAFStock_Log[Part Name],$A6,T_TTAFStock_Log[WeekIndex],40)=0,"",SUMIFS(T_TTAFStock_Log[TTAF_Qty],T_TTAFStock_Log[Part Name],$A6,T_TTAFStock_Log[WeekIndex],40))</f>
        <v/>
      </c>
      <c r="AP6" s="12">
        <f>IF(COUNTIFS(T_TTAFStock_Log[Part Name],$A6,T_TTAFStock_Log[WeekIndex],41)=0,"",SUMIFS(T_TTAFStock_Log[TTAF_Qty],T_TTAFStock_Log[Part Name],$A6,T_TTAFStock_Log[WeekIndex],41))</f>
        <v/>
      </c>
      <c r="AQ6" s="12">
        <f>IF(COUNTIFS(T_TTAFStock_Log[Part Name],$A6,T_TTAFStock_Log[WeekIndex],42)=0,"",SUMIFS(T_TTAFStock_Log[TTAF_Qty],T_TTAFStock_Log[Part Name],$A6,T_TTAFStock_Log[WeekIndex],42))</f>
        <v/>
      </c>
      <c r="AR6" s="12">
        <f>IF(COUNTIFS(T_TTAFStock_Log[Part Name],$A6,T_TTAFStock_Log[WeekIndex],43)=0,"",SUMIFS(T_TTAFStock_Log[TTAF_Qty],T_TTAFStock_Log[Part Name],$A6,T_TTAFStock_Log[WeekIndex],43))</f>
        <v/>
      </c>
      <c r="AS6" s="12">
        <f>IF(COUNTIFS(T_TTAFStock_Log[Part Name],$A6,T_TTAFStock_Log[WeekIndex],44)=0,"",SUMIFS(T_TTAFStock_Log[TTAF_Qty],T_TTAFStock_Log[Part Name],$A6,T_TTAFStock_Log[WeekIndex],44))</f>
        <v/>
      </c>
      <c r="AT6" s="12">
        <f>IF(COUNTIFS(T_TTAFStock_Log[Part Name],$A6,T_TTAFStock_Log[WeekIndex],45)=0,"",SUMIFS(T_TTAFStock_Log[TTAF_Qty],T_TTAFStock_Log[Part Name],$A6,T_TTAFStock_Log[WeekIndex],45))</f>
        <v/>
      </c>
      <c r="AU6" s="12">
        <f>IF(COUNTIFS(T_TTAFStock_Log[Part Name],$A6,T_TTAFStock_Log[WeekIndex],46)=0,"",SUMIFS(T_TTAFStock_Log[TTAF_Qty],T_TTAFStock_Log[Part Name],$A6,T_TTAFStock_Log[WeekIndex],46))</f>
        <v/>
      </c>
      <c r="AV6" s="12">
        <f>IF(COUNTIFS(T_TTAFStock_Log[Part Name],$A6,T_TTAFStock_Log[WeekIndex],47)=0,"",SUMIFS(T_TTAFStock_Log[TTAF_Qty],T_TTAFStock_Log[Part Name],$A6,T_TTAFStock_Log[WeekIndex],47))</f>
        <v/>
      </c>
      <c r="AW6" s="12">
        <f>IF(COUNTIFS(T_TTAFStock_Log[Part Name],$A6,T_TTAFStock_Log[WeekIndex],48)=0,"",SUMIFS(T_TTAFStock_Log[TTAF_Qty],T_TTAFStock_Log[Part Name],$A6,T_TTAFStock_Log[WeekIndex],48))</f>
        <v/>
      </c>
      <c r="AX6" s="12">
        <f>IF(COUNTIFS(T_TTAFStock_Log[Part Name],$A6,T_TTAFStock_Log[WeekIndex],49)=0,"",SUMIFS(T_TTAFStock_Log[TTAF_Qty],T_TTAFStock_Log[Part Name],$A6,T_TTAFStock_Log[WeekIndex],49))</f>
        <v/>
      </c>
      <c r="AY6" s="12">
        <f>IF(COUNTIFS(T_TTAFStock_Log[Part Name],$A6,T_TTAFStock_Log[WeekIndex],50)=0,"",SUMIFS(T_TTAFStock_Log[TTAF_Qty],T_TTAFStock_Log[Part Name],$A6,T_TTAFStock_Log[WeekIndex],50))</f>
        <v/>
      </c>
      <c r="AZ6" s="12">
        <f>IF(COUNTIFS(T_TTAFStock_Log[Part Name],$A6,T_TTAFStock_Log[WeekIndex],51)=0,"",SUMIFS(T_TTAFStock_Log[TTAF_Qty],T_TTAFStock_Log[Part Name],$A6,T_TTAFStock_Log[WeekIndex],51))</f>
        <v/>
      </c>
      <c r="BA6" s="12">
        <f>IF(COUNTIFS(T_TTAFStock_Log[Part Name],$A6,T_TTAFStock_Log[WeekIndex],52)=0,"",SUMIFS(T_TTAFStock_Log[TTAF_Qty],T_TTAFStock_Log[Part Name],$A6,T_TTAFStock_Log[WeekIndex],52))</f>
        <v/>
      </c>
      <c r="BB6" s="12">
        <f>IF(COUNTIFS(T_TTAFStock_Log[Part Name],$A6,T_TTAFStock_Log[WeekIndex],53)=0,"",SUMIFS(T_TTAFStock_Log[TTAF_Qty],T_TTAFStock_Log[Part Name],$A6,T_TTAFStock_Log[WeekIndex],53))</f>
        <v/>
      </c>
      <c r="BC6" s="12">
        <f>IF(COUNTIFS(T_TTAFStock_Log[Part Name],$A6,T_TTAFStock_Log[WeekIndex],54)=0,"",SUMIFS(T_TTAFStock_Log[TTAF_Qty],T_TTAFStock_Log[Part Name],$A6,T_TTAFStock_Log[WeekIndex],54))</f>
        <v/>
      </c>
      <c r="BD6" s="12">
        <f>IF(COUNTIFS(T_TTAFStock_Log[Part Name],$A6,T_TTAFStock_Log[WeekIndex],55)=0,"",SUMIFS(T_TTAFStock_Log[TTAF_Qty],T_TTAFStock_Log[Part Name],$A6,T_TTAFStock_Log[WeekIndex],55))</f>
        <v/>
      </c>
      <c r="BE6" s="12">
        <f>IF(COUNTIFS(T_TTAFStock_Log[Part Name],$A6,T_TTAFStock_Log[WeekIndex],56)=0,"",SUMIFS(T_TTAFStock_Log[TTAF_Qty],T_TTAFStock_Log[Part Name],$A6,T_TTAFStock_Log[WeekIndex],56))</f>
        <v/>
      </c>
      <c r="BF6" s="12">
        <f>IF(COUNTIFS(T_TTAFStock_Log[Part Name],$A6,T_TTAFStock_Log[WeekIndex],57)=0,"",SUMIFS(T_TTAFStock_Log[TTAF_Qty],T_TTAFStock_Log[Part Name],$A6,T_TTAFStock_Log[WeekIndex],57))</f>
        <v/>
      </c>
      <c r="BG6" s="12">
        <f>IF(COUNTIFS(T_TTAFStock_Log[Part Name],$A6,T_TTAFStock_Log[WeekIndex],58)=0,"",SUMIFS(T_TTAFStock_Log[TTAF_Qty],T_TTAFStock_Log[Part Name],$A6,T_TTAFStock_Log[WeekIndex],58))</f>
        <v/>
      </c>
      <c r="BH6" s="12">
        <f>IF(COUNTIFS(T_TTAFStock_Log[Part Name],$A6,T_TTAFStock_Log[WeekIndex],59)=0,"",SUMIFS(T_TTAFStock_Log[TTAF_Qty],T_TTAFStock_Log[Part Name],$A6,T_TTAFStock_Log[WeekIndex],59))</f>
        <v/>
      </c>
      <c r="BI6" s="12">
        <f>IF(COUNTIFS(T_TTAFStock_Log[Part Name],$A6,T_TTAFStock_Log[WeekIndex],60)=0,"",SUMIFS(T_TTAFStock_Log[TTAF_Qty],T_TTAFStock_Log[Part Name],$A6,T_TTAFStock_Log[WeekIndex],60))</f>
        <v/>
      </c>
      <c r="BJ6" s="12">
        <f>IF(COUNTIFS(T_TTAFStock_Log[Part Name],$A6,T_TTAFStock_Log[WeekIndex],61)=0,"",SUMIFS(T_TTAFStock_Log[TTAF_Qty],T_TTAFStock_Log[Part Name],$A6,T_TTAFStock_Log[WeekIndex],61))</f>
        <v/>
      </c>
      <c r="BK6" s="12">
        <f>IF(COUNTIFS(T_TTAFStock_Log[Part Name],$A6,T_TTAFStock_Log[WeekIndex],62)=0,"",SUMIFS(T_TTAFStock_Log[TTAF_Qty],T_TTAFStock_Log[Part Name],$A6,T_TTAFStock_Log[WeekIndex],62))</f>
        <v/>
      </c>
      <c r="BL6" s="12">
        <f>IF(COUNTIFS(T_TTAFStock_Log[Part Name],$A6,T_TTAFStock_Log[WeekIndex],63)=0,"",SUMIFS(T_TTAFStock_Log[TTAF_Qty],T_TTAFStock_Log[Part Name],$A6,T_TTAFStock_Log[WeekIndex],63))</f>
        <v/>
      </c>
      <c r="BM6" s="12">
        <f>IF(COUNTIFS(T_TTAFStock_Log[Part Name],$A6,T_TTAFStock_Log[WeekIndex],64)=0,"",SUMIFS(T_TTAFStock_Log[TTAF_Qty],T_TTAFStock_Log[Part Name],$A6,T_TTAFStock_Log[WeekIndex],64))</f>
        <v/>
      </c>
      <c r="BN6" s="12">
        <f>IF(COUNTIFS(T_TTAFStock_Log[Part Name],$A6,T_TTAFStock_Log[WeekIndex],65)=0,"",SUMIFS(T_TTAFStock_Log[TTAF_Qty],T_TTAFStock_Log[Part Name],$A6,T_TTAFStock_Log[WeekIndex],65))</f>
        <v/>
      </c>
      <c r="BO6" s="12">
        <f>IF(COUNTIFS(T_TTAFStock_Log[Part Name],$A6,T_TTAFStock_Log[WeekIndex],66)=0,"",SUMIFS(T_TTAFStock_Log[TTAF_Qty],T_TTAFStock_Log[Part Name],$A6,T_TTAFStock_Log[WeekIndex],66))</f>
        <v/>
      </c>
      <c r="BP6" s="12">
        <f>IF(COUNTIFS(T_TTAFStock_Log[Part Name],$A6,T_TTAFStock_Log[WeekIndex],67)=0,"",SUMIFS(T_TTAFStock_Log[TTAF_Qty],T_TTAFStock_Log[Part Name],$A6,T_TTAFStock_Log[WeekIndex],67))</f>
        <v/>
      </c>
      <c r="BQ6" s="12">
        <f>IF(COUNTIFS(T_TTAFStock_Log[Part Name],$A6,T_TTAFStock_Log[WeekIndex],68)=0,"",SUMIFS(T_TTAFStock_Log[TTAF_Qty],T_TTAFStock_Log[Part Name],$A6,T_TTAFStock_Log[WeekIndex],68))</f>
        <v/>
      </c>
      <c r="BR6" s="12">
        <f>IF(COUNTIFS(T_TTAFStock_Log[Part Name],$A6,T_TTAFStock_Log[WeekIndex],69)=0,"",SUMIFS(T_TTAFStock_Log[TTAF_Qty],T_TTAFStock_Log[Part Name],$A6,T_TTAFStock_Log[WeekIndex],69))</f>
        <v/>
      </c>
      <c r="BS6" s="12">
        <f>IF(COUNTIFS(T_TTAFStock_Log[Part Name],$A6,T_TTAFStock_Log[WeekIndex],70)=0,"",SUMIFS(T_TTAFStock_Log[TTAF_Qty],T_TTAFStock_Log[Part Name],$A6,T_TTAFStock_Log[WeekIndex],70))</f>
        <v/>
      </c>
      <c r="BT6" s="12">
        <f>IF(COUNTIFS(T_TTAFStock_Log[Part Name],$A6,T_TTAFStock_Log[WeekIndex],71)=0,"",SUMIFS(T_TTAFStock_Log[TTAF_Qty],T_TTAFStock_Log[Part Name],$A6,T_TTAFStock_Log[WeekIndex],71))</f>
        <v/>
      </c>
      <c r="BU6" s="12">
        <f>IF(COUNTIFS(T_TTAFStock_Log[Part Name],$A6,T_TTAFStock_Log[WeekIndex],72)=0,"",SUMIFS(T_TTAFStock_Log[TTAF_Qty],T_TTAFStock_Log[Part Name],$A6,T_TTAFStock_Log[WeekIndex],72))</f>
        <v/>
      </c>
      <c r="BV6" s="12">
        <f>IF(COUNTIFS(T_TTAFStock_Log[Part Name],$A6,T_TTAFStock_Log[WeekIndex],73)=0,"",SUMIFS(T_TTAFStock_Log[TTAF_Qty],T_TTAFStock_Log[Part Name],$A6,T_TTAFStock_Log[WeekIndex],73))</f>
        <v/>
      </c>
      <c r="BW6" s="12">
        <f>IF(COUNTIFS(T_TTAFStock_Log[Part Name],$A6,T_TTAFStock_Log[WeekIndex],74)=0,"",SUMIFS(T_TTAFStock_Log[TTAF_Qty],T_TTAFStock_Log[Part Name],$A6,T_TTAFStock_Log[WeekIndex],74))</f>
        <v/>
      </c>
      <c r="BX6" s="12">
        <f>IF(COUNTIFS(T_TTAFStock_Log[Part Name],$A6,T_TTAFStock_Log[WeekIndex],75)=0,"",SUMIFS(T_TTAFStock_Log[TTAF_Qty],T_TTAFStock_Log[Part Name],$A6,T_TTAFStock_Log[WeekIndex],75))</f>
        <v/>
      </c>
      <c r="BY6" s="12">
        <f>IF(COUNTIFS(T_TTAFStock_Log[Part Name],$A6,T_TTAFStock_Log[WeekIndex],76)=0,"",SUMIFS(T_TTAFStock_Log[TTAF_Qty],T_TTAFStock_Log[Part Name],$A6,T_TTAFStock_Log[WeekIndex],76))</f>
        <v/>
      </c>
      <c r="BZ6" s="12">
        <f>IF(COUNTIFS(T_TTAFStock_Log[Part Name],$A6,T_TTAFStock_Log[WeekIndex],77)=0,"",SUMIFS(T_TTAFStock_Log[TTAF_Qty],T_TTAFStock_Log[Part Name],$A6,T_TTAFStock_Log[WeekIndex],77))</f>
        <v/>
      </c>
      <c r="CA6" s="12">
        <f>IF(COUNTIFS(T_TTAFStock_Log[Part Name],$A6,T_TTAFStock_Log[WeekIndex],78)=0,"",SUMIFS(T_TTAFStock_Log[TTAF_Qty],T_TTAFStock_Log[Part Name],$A6,T_TTAFStock_Log[WeekIndex],78))</f>
        <v/>
      </c>
      <c r="CB6" s="12">
        <f>IF(COUNTIFS(T_TTAFStock_Log[Part Name],$A6,T_TTAFStock_Log[WeekIndex],79)=0,"",SUMIFS(T_TTAFStock_Log[TTAF_Qty],T_TTAFStock_Log[Part Name],$A6,T_TTAFStock_Log[WeekIndex],79))</f>
        <v/>
      </c>
      <c r="CC6" s="12">
        <f>IF(COUNTIFS(T_TTAFStock_Log[Part Name],$A6,T_TTAFStock_Log[WeekIndex],80)=0,"",SUMIFS(T_TTAFStock_Log[TTAF_Qty],T_TTAFStock_Log[Part Name],$A6,T_TTAFStock_Log[WeekIndex],80))</f>
        <v/>
      </c>
      <c r="CD6" s="12">
        <f>IF(COUNTIFS(T_TTAFStock_Log[Part Name],$A6,T_TTAFStock_Log[WeekIndex],81)=0,"",SUMIFS(T_TTAFStock_Log[TTAF_Qty],T_TTAFStock_Log[Part Name],$A6,T_TTAFStock_Log[WeekIndex],81))</f>
        <v/>
      </c>
      <c r="CE6" s="12">
        <f>IF(COUNTIFS(T_TTAFStock_Log[Part Name],$A6,T_TTAFStock_Log[WeekIndex],82)=0,"",SUMIFS(T_TTAFStock_Log[TTAF_Qty],T_TTAFStock_Log[Part Name],$A6,T_TTAFStock_Log[WeekIndex],82))</f>
        <v/>
      </c>
      <c r="CF6" s="12">
        <f>IF(COUNTIFS(T_TTAFStock_Log[Part Name],$A6,T_TTAFStock_Log[WeekIndex],83)=0,"",SUMIFS(T_TTAFStock_Log[TTAF_Qty],T_TTAFStock_Log[Part Name],$A6,T_TTAFStock_Log[WeekIndex],83))</f>
        <v/>
      </c>
      <c r="CG6" s="12">
        <f>IF(COUNTIFS(T_TTAFStock_Log[Part Name],$A6,T_TTAFStock_Log[WeekIndex],84)=0,"",SUMIFS(T_TTAFStock_Log[TTAF_Qty],T_TTAFStock_Log[Part Name],$A6,T_TTAFStock_Log[WeekIndex],84))</f>
        <v/>
      </c>
      <c r="CH6" s="12">
        <f>IF(COUNTIFS(T_TTAFStock_Log[Part Name],$A6,T_TTAFStock_Log[WeekIndex],85)=0,"",SUMIFS(T_TTAFStock_Log[TTAF_Qty],T_TTAFStock_Log[Part Name],$A6,T_TTAFStock_Log[WeekIndex],85))</f>
        <v/>
      </c>
      <c r="CI6" s="12">
        <f>IF(COUNTIFS(T_TTAFStock_Log[Part Name],$A6,T_TTAFStock_Log[WeekIndex],86)=0,"",SUMIFS(T_TTAFStock_Log[TTAF_Qty],T_TTAFStock_Log[Part Name],$A6,T_TTAFStock_Log[WeekIndex],86))</f>
        <v/>
      </c>
      <c r="CJ6" s="12">
        <f>IF(COUNTIFS(T_TTAFStock_Log[Part Name],$A6,T_TTAFStock_Log[WeekIndex],87)=0,"",SUMIFS(T_TTAFStock_Log[TTAF_Qty],T_TTAFStock_Log[Part Name],$A6,T_TTAFStock_Log[WeekIndex],87))</f>
        <v/>
      </c>
      <c r="CK6" s="12">
        <f>IF(COUNTIFS(T_TTAFStock_Log[Part Name],$A6,T_TTAFStock_Log[WeekIndex],88)=0,"",SUMIFS(T_TTAFStock_Log[TTAF_Qty],T_TTAFStock_Log[Part Name],$A6,T_TTAFStock_Log[WeekIndex],88))</f>
        <v/>
      </c>
      <c r="CL6" s="12">
        <f>IF(COUNTIFS(T_TTAFStock_Log[Part Name],$A6,T_TTAFStock_Log[WeekIndex],89)=0,"",SUMIFS(T_TTAFStock_Log[TTAF_Qty],T_TTAFStock_Log[Part Name],$A6,T_TTAFStock_Log[WeekIndex],89))</f>
        <v/>
      </c>
      <c r="CM6" s="12">
        <f>IF(COUNTIFS(T_TTAFStock_Log[Part Name],$A6,T_TTAFStock_Log[WeekIndex],90)=0,"",SUMIFS(T_TTAFStock_Log[TTAF_Qty],T_TTAFStock_Log[Part Name],$A6,T_TTAFStock_Log[WeekIndex],90))</f>
        <v/>
      </c>
      <c r="CN6" s="12">
        <f>IF(COUNTIFS(T_TTAFStock_Log[Part Name],$A6,T_TTAFStock_Log[WeekIndex],91)=0,"",SUMIFS(T_TTAFStock_Log[TTAF_Qty],T_TTAFStock_Log[Part Name],$A6,T_TTAFStock_Log[WeekIndex],91))</f>
        <v/>
      </c>
      <c r="CO6" s="12">
        <f>IF(COUNTIFS(T_TTAFStock_Log[Part Name],$A6,T_TTAFStock_Log[WeekIndex],92)=0,"",SUMIFS(T_TTAFStock_Log[TTAF_Qty],T_TTAFStock_Log[Part Name],$A6,T_TTAFStock_Log[WeekIndex],92))</f>
        <v/>
      </c>
      <c r="CP6" s="12">
        <f>IF(COUNTIFS(T_TTAFStock_Log[Part Name],$A6,T_TTAFStock_Log[WeekIndex],93)=0,"",SUMIFS(T_TTAFStock_Log[TTAF_Qty],T_TTAFStock_Log[Part Name],$A6,T_TTAFStock_Log[WeekIndex],93))</f>
        <v/>
      </c>
      <c r="CQ6" s="12">
        <f>IF(COUNTIFS(T_TTAFStock_Log[Part Name],$A6,T_TTAFStock_Log[WeekIndex],94)=0,"",SUMIFS(T_TTAFStock_Log[TTAF_Qty],T_TTAFStock_Log[Part Name],$A6,T_TTAFStock_Log[WeekIndex],94))</f>
        <v/>
      </c>
      <c r="CR6" s="12">
        <f>IF(COUNTIFS(T_TTAFStock_Log[Part Name],$A6,T_TTAFStock_Log[WeekIndex],95)=0,"",SUMIFS(T_TTAFStock_Log[TTAF_Qty],T_TTAFStock_Log[Part Name],$A6,T_TTAFStock_Log[WeekIndex],95))</f>
        <v/>
      </c>
      <c r="CS6" s="12">
        <f>IF(COUNTIFS(T_TTAFStock_Log[Part Name],$A6,T_TTAFStock_Log[WeekIndex],96)=0,"",SUMIFS(T_TTAFStock_Log[TTAF_Qty],T_TTAFStock_Log[Part Name],$A6,T_TTAFStock_Log[WeekIndex],96))</f>
        <v/>
      </c>
      <c r="CT6" s="12">
        <f>IF(COUNTIFS(T_TTAFStock_Log[Part Name],$A6,T_TTAFStock_Log[WeekIndex],97)=0,"",SUMIFS(T_TTAFStock_Log[TTAF_Qty],T_TTAFStock_Log[Part Name],$A6,T_TTAFStock_Log[WeekIndex],97))</f>
        <v/>
      </c>
      <c r="CU6" s="12">
        <f>IF(COUNTIFS(T_TTAFStock_Log[Part Name],$A6,T_TTAFStock_Log[WeekIndex],98)=0,"",SUMIFS(T_TTAFStock_Log[TTAF_Qty],T_TTAFStock_Log[Part Name],$A6,T_TTAFStock_Log[WeekIndex],98))</f>
        <v/>
      </c>
      <c r="CV6" s="12">
        <f>IF(COUNTIFS(T_TTAFStock_Log[Part Name],$A6,T_TTAFStock_Log[WeekIndex],99)=0,"",SUMIFS(T_TTAFStock_Log[TTAF_Qty],T_TTAFStock_Log[Part Name],$A6,T_TTAFStock_Log[WeekIndex],99))</f>
        <v/>
      </c>
      <c r="CW6" s="12">
        <f>IF(COUNTIFS(T_TTAFStock_Log[Part Name],$A6,T_TTAFStock_Log[WeekIndex],100)=0,"",SUMIFS(T_TTAFStock_Log[TTAF_Qty],T_TTAFStock_Log[Part Name],$A6,T_TTAFStock_Log[WeekIndex],100))</f>
        <v/>
      </c>
      <c r="CX6" s="12">
        <f>IF(COUNTIFS(T_TTAFStock_Log[Part Name],$A6,T_TTAFStock_Log[WeekIndex],101)=0,"",SUMIFS(T_TTAFStock_Log[TTAF_Qty],T_TTAFStock_Log[Part Name],$A6,T_TTAFStock_Log[WeekIndex],101))</f>
        <v/>
      </c>
      <c r="CY6" s="12">
        <f>IF(COUNTIFS(T_TTAFStock_Log[Part Name],$A6,T_TTAFStock_Log[WeekIndex],102)=0,"",SUMIFS(T_TTAFStock_Log[TTAF_Qty],T_TTAFStock_Log[Part Name],$A6,T_TTAFStock_Log[WeekIndex],102))</f>
        <v/>
      </c>
      <c r="CZ6" s="12">
        <f>IF(COUNTIFS(T_TTAFStock_Log[Part Name],$A6,T_TTAFStock_Log[WeekIndex],103)=0,"",SUMIFS(T_TTAFStock_Log[TTAF_Qty],T_TTAFStock_Log[Part Name],$A6,T_TTAFStock_Log[WeekIndex],103))</f>
        <v/>
      </c>
      <c r="DA6" s="12">
        <f>IF(COUNTIFS(T_TTAFStock_Log[Part Name],$A6,T_TTAFStock_Log[WeekIndex],104)=0,"",SUMIFS(T_TTAFStock_Log[TTAF_Qty],T_TTAFStock_Log[Part Name],$A6,T_TTAFStock_Log[WeekIndex],104))</f>
        <v/>
      </c>
    </row>
    <row r="7">
      <c r="A7" s="13" t="inlineStr">
        <is>
          <t>CHEM-1670</t>
        </is>
      </c>
      <c r="B7" s="13">
        <f>IF(COUNTIFS(T_TTAFStock_Log[Part Name],$A7,T_TTAFStock_Log[WeekIndex],1)=0,"",SUMIFS(T_TTAFStock_Log[TTAF_Qty],T_TTAFStock_Log[Part Name],$A7,T_TTAFStock_Log[WeekIndex],1))</f>
        <v/>
      </c>
      <c r="C7" s="13">
        <f>IF(COUNTIFS(T_TTAFStock_Log[Part Name],$A7,T_TTAFStock_Log[WeekIndex],2)=0,"",SUMIFS(T_TTAFStock_Log[TTAF_Qty],T_TTAFStock_Log[Part Name],$A7,T_TTAFStock_Log[WeekIndex],2))</f>
        <v/>
      </c>
      <c r="D7" s="13">
        <f>IF(COUNTIFS(T_TTAFStock_Log[Part Name],$A7,T_TTAFStock_Log[WeekIndex],3)=0,"",SUMIFS(T_TTAFStock_Log[TTAF_Qty],T_TTAFStock_Log[Part Name],$A7,T_TTAFStock_Log[WeekIndex],3))</f>
        <v/>
      </c>
      <c r="E7" s="13">
        <f>IF(COUNTIFS(T_TTAFStock_Log[Part Name],$A7,T_TTAFStock_Log[WeekIndex],4)=0,"",SUMIFS(T_TTAFStock_Log[TTAF_Qty],T_TTAFStock_Log[Part Name],$A7,T_TTAFStock_Log[WeekIndex],4))</f>
        <v/>
      </c>
      <c r="F7" s="13">
        <f>IF(COUNTIFS(T_TTAFStock_Log[Part Name],$A7,T_TTAFStock_Log[WeekIndex],5)=0,"",SUMIFS(T_TTAFStock_Log[TTAF_Qty],T_TTAFStock_Log[Part Name],$A7,T_TTAFStock_Log[WeekIndex],5))</f>
        <v/>
      </c>
      <c r="G7" s="13">
        <f>IF(COUNTIFS(T_TTAFStock_Log[Part Name],$A7,T_TTAFStock_Log[WeekIndex],6)=0,"",SUMIFS(T_TTAFStock_Log[TTAF_Qty],T_TTAFStock_Log[Part Name],$A7,T_TTAFStock_Log[WeekIndex],6))</f>
        <v/>
      </c>
      <c r="H7" s="13">
        <f>IF(COUNTIFS(T_TTAFStock_Log[Part Name],$A7,T_TTAFStock_Log[WeekIndex],7)=0,"",SUMIFS(T_TTAFStock_Log[TTAF_Qty],T_TTAFStock_Log[Part Name],$A7,T_TTAFStock_Log[WeekIndex],7))</f>
        <v/>
      </c>
      <c r="I7" s="13">
        <f>IF(COUNTIFS(T_TTAFStock_Log[Part Name],$A7,T_TTAFStock_Log[WeekIndex],8)=0,"",SUMIFS(T_TTAFStock_Log[TTAF_Qty],T_TTAFStock_Log[Part Name],$A7,T_TTAFStock_Log[WeekIndex],8))</f>
        <v/>
      </c>
      <c r="J7" s="13">
        <f>IF(COUNTIFS(T_TTAFStock_Log[Part Name],$A7,T_TTAFStock_Log[WeekIndex],9)=0,"",SUMIFS(T_TTAFStock_Log[TTAF_Qty],T_TTAFStock_Log[Part Name],$A7,T_TTAFStock_Log[WeekIndex],9))</f>
        <v/>
      </c>
      <c r="K7" s="13">
        <f>IF(COUNTIFS(T_TTAFStock_Log[Part Name],$A7,T_TTAFStock_Log[WeekIndex],10)=0,"",SUMIFS(T_TTAFStock_Log[TTAF_Qty],T_TTAFStock_Log[Part Name],$A7,T_TTAFStock_Log[WeekIndex],10))</f>
        <v/>
      </c>
      <c r="L7" s="13">
        <f>IF(COUNTIFS(T_TTAFStock_Log[Part Name],$A7,T_TTAFStock_Log[WeekIndex],11)=0,"",SUMIFS(T_TTAFStock_Log[TTAF_Qty],T_TTAFStock_Log[Part Name],$A7,T_TTAFStock_Log[WeekIndex],11))</f>
        <v/>
      </c>
      <c r="M7" s="13">
        <f>IF(COUNTIFS(T_TTAFStock_Log[Part Name],$A7,T_TTAFStock_Log[WeekIndex],12)=0,"",SUMIFS(T_TTAFStock_Log[TTAF_Qty],T_TTAFStock_Log[Part Name],$A7,T_TTAFStock_Log[WeekIndex],12))</f>
        <v/>
      </c>
      <c r="N7" s="13">
        <f>IF(COUNTIFS(T_TTAFStock_Log[Part Name],$A7,T_TTAFStock_Log[WeekIndex],13)=0,"",SUMIFS(T_TTAFStock_Log[TTAF_Qty],T_TTAFStock_Log[Part Name],$A7,T_TTAFStock_Log[WeekIndex],13))</f>
        <v/>
      </c>
      <c r="O7" s="13">
        <f>IF(COUNTIFS(T_TTAFStock_Log[Part Name],$A7,T_TTAFStock_Log[WeekIndex],14)=0,"",SUMIFS(T_TTAFStock_Log[TTAF_Qty],T_TTAFStock_Log[Part Name],$A7,T_TTAFStock_Log[WeekIndex],14))</f>
        <v/>
      </c>
      <c r="P7" s="13">
        <f>IF(COUNTIFS(T_TTAFStock_Log[Part Name],$A7,T_TTAFStock_Log[WeekIndex],15)=0,"",SUMIFS(T_TTAFStock_Log[TTAF_Qty],T_TTAFStock_Log[Part Name],$A7,T_TTAFStock_Log[WeekIndex],15))</f>
        <v/>
      </c>
      <c r="Q7" s="13">
        <f>IF(COUNTIFS(T_TTAFStock_Log[Part Name],$A7,T_TTAFStock_Log[WeekIndex],16)=0,"",SUMIFS(T_TTAFStock_Log[TTAF_Qty],T_TTAFStock_Log[Part Name],$A7,T_TTAFStock_Log[WeekIndex],16))</f>
        <v/>
      </c>
      <c r="R7" s="13">
        <f>IF(COUNTIFS(T_TTAFStock_Log[Part Name],$A7,T_TTAFStock_Log[WeekIndex],17)=0,"",SUMIFS(T_TTAFStock_Log[TTAF_Qty],T_TTAFStock_Log[Part Name],$A7,T_TTAFStock_Log[WeekIndex],17))</f>
        <v/>
      </c>
      <c r="S7" s="13">
        <f>IF(COUNTIFS(T_TTAFStock_Log[Part Name],$A7,T_TTAFStock_Log[WeekIndex],18)=0,"",SUMIFS(T_TTAFStock_Log[TTAF_Qty],T_TTAFStock_Log[Part Name],$A7,T_TTAFStock_Log[WeekIndex],18))</f>
        <v/>
      </c>
      <c r="T7" s="13">
        <f>IF(COUNTIFS(T_TTAFStock_Log[Part Name],$A7,T_TTAFStock_Log[WeekIndex],19)=0,"",SUMIFS(T_TTAFStock_Log[TTAF_Qty],T_TTAFStock_Log[Part Name],$A7,T_TTAFStock_Log[WeekIndex],19))</f>
        <v/>
      </c>
      <c r="U7" s="13">
        <f>IF(COUNTIFS(T_TTAFStock_Log[Part Name],$A7,T_TTAFStock_Log[WeekIndex],20)=0,"",SUMIFS(T_TTAFStock_Log[TTAF_Qty],T_TTAFStock_Log[Part Name],$A7,T_TTAFStock_Log[WeekIndex],20))</f>
        <v/>
      </c>
      <c r="V7" s="13">
        <f>IF(COUNTIFS(T_TTAFStock_Log[Part Name],$A7,T_TTAFStock_Log[WeekIndex],21)=0,"",SUMIFS(T_TTAFStock_Log[TTAF_Qty],T_TTAFStock_Log[Part Name],$A7,T_TTAFStock_Log[WeekIndex],21))</f>
        <v/>
      </c>
      <c r="W7" s="13">
        <f>IF(COUNTIFS(T_TTAFStock_Log[Part Name],$A7,T_TTAFStock_Log[WeekIndex],22)=0,"",SUMIFS(T_TTAFStock_Log[TTAF_Qty],T_TTAFStock_Log[Part Name],$A7,T_TTAFStock_Log[WeekIndex],22))</f>
        <v/>
      </c>
      <c r="X7" s="13">
        <f>IF(COUNTIFS(T_TTAFStock_Log[Part Name],$A7,T_TTAFStock_Log[WeekIndex],23)=0,"",SUMIFS(T_TTAFStock_Log[TTAF_Qty],T_TTAFStock_Log[Part Name],$A7,T_TTAFStock_Log[WeekIndex],23))</f>
        <v/>
      </c>
      <c r="Y7" s="13">
        <f>IF(COUNTIFS(T_TTAFStock_Log[Part Name],$A7,T_TTAFStock_Log[WeekIndex],24)=0,"",SUMIFS(T_TTAFStock_Log[TTAF_Qty],T_TTAFStock_Log[Part Name],$A7,T_TTAFStock_Log[WeekIndex],24))</f>
        <v/>
      </c>
      <c r="Z7" s="13">
        <f>IF(COUNTIFS(T_TTAFStock_Log[Part Name],$A7,T_TTAFStock_Log[WeekIndex],25)=0,"",SUMIFS(T_TTAFStock_Log[TTAF_Qty],T_TTAFStock_Log[Part Name],$A7,T_TTAFStock_Log[WeekIndex],25))</f>
        <v/>
      </c>
      <c r="AA7" s="13">
        <f>IF(COUNTIFS(T_TTAFStock_Log[Part Name],$A7,T_TTAFStock_Log[WeekIndex],26)=0,"",SUMIFS(T_TTAFStock_Log[TTAF_Qty],T_TTAFStock_Log[Part Name],$A7,T_TTAFStock_Log[WeekIndex],26))</f>
        <v/>
      </c>
      <c r="AB7" s="13">
        <f>IF(COUNTIFS(T_TTAFStock_Log[Part Name],$A7,T_TTAFStock_Log[WeekIndex],27)=0,"",SUMIFS(T_TTAFStock_Log[TTAF_Qty],T_TTAFStock_Log[Part Name],$A7,T_TTAFStock_Log[WeekIndex],27))</f>
        <v/>
      </c>
      <c r="AC7" s="13">
        <f>IF(COUNTIFS(T_TTAFStock_Log[Part Name],$A7,T_TTAFStock_Log[WeekIndex],28)=0,"",SUMIFS(T_TTAFStock_Log[TTAF_Qty],T_TTAFStock_Log[Part Name],$A7,T_TTAFStock_Log[WeekIndex],28))</f>
        <v/>
      </c>
      <c r="AD7" s="13">
        <f>IF(COUNTIFS(T_TTAFStock_Log[Part Name],$A7,T_TTAFStock_Log[WeekIndex],29)=0,"",SUMIFS(T_TTAFStock_Log[TTAF_Qty],T_TTAFStock_Log[Part Name],$A7,T_TTAFStock_Log[WeekIndex],29))</f>
        <v/>
      </c>
      <c r="AE7" s="13">
        <f>IF(COUNTIFS(T_TTAFStock_Log[Part Name],$A7,T_TTAFStock_Log[WeekIndex],30)=0,"",SUMIFS(T_TTAFStock_Log[TTAF_Qty],T_TTAFStock_Log[Part Name],$A7,T_TTAFStock_Log[WeekIndex],30))</f>
        <v/>
      </c>
      <c r="AF7" s="13">
        <f>IF(COUNTIFS(T_TTAFStock_Log[Part Name],$A7,T_TTAFStock_Log[WeekIndex],31)=0,"",SUMIFS(T_TTAFStock_Log[TTAF_Qty],T_TTAFStock_Log[Part Name],$A7,T_TTAFStock_Log[WeekIndex],31))</f>
        <v/>
      </c>
      <c r="AG7" s="13">
        <f>IF(COUNTIFS(T_TTAFStock_Log[Part Name],$A7,T_TTAFStock_Log[WeekIndex],32)=0,"",SUMIFS(T_TTAFStock_Log[TTAF_Qty],T_TTAFStock_Log[Part Name],$A7,T_TTAFStock_Log[WeekIndex],32))</f>
        <v/>
      </c>
      <c r="AH7" s="13">
        <f>IF(COUNTIFS(T_TTAFStock_Log[Part Name],$A7,T_TTAFStock_Log[WeekIndex],33)=0,"",SUMIFS(T_TTAFStock_Log[TTAF_Qty],T_TTAFStock_Log[Part Name],$A7,T_TTAFStock_Log[WeekIndex],33))</f>
        <v/>
      </c>
      <c r="AI7" s="13">
        <f>IF(COUNTIFS(T_TTAFStock_Log[Part Name],$A7,T_TTAFStock_Log[WeekIndex],34)=0,"",SUMIFS(T_TTAFStock_Log[TTAF_Qty],T_TTAFStock_Log[Part Name],$A7,T_TTAFStock_Log[WeekIndex],34))</f>
        <v/>
      </c>
      <c r="AJ7" s="13">
        <f>IF(COUNTIFS(T_TTAFStock_Log[Part Name],$A7,T_TTAFStock_Log[WeekIndex],35)=0,"",SUMIFS(T_TTAFStock_Log[TTAF_Qty],T_TTAFStock_Log[Part Name],$A7,T_TTAFStock_Log[WeekIndex],35))</f>
        <v/>
      </c>
      <c r="AK7" s="13">
        <f>IF(COUNTIFS(T_TTAFStock_Log[Part Name],$A7,T_TTAFStock_Log[WeekIndex],36)=0,"",SUMIFS(T_TTAFStock_Log[TTAF_Qty],T_TTAFStock_Log[Part Name],$A7,T_TTAFStock_Log[WeekIndex],36))</f>
        <v/>
      </c>
      <c r="AL7" s="13">
        <f>IF(COUNTIFS(T_TTAFStock_Log[Part Name],$A7,T_TTAFStock_Log[WeekIndex],37)=0,"",SUMIFS(T_TTAFStock_Log[TTAF_Qty],T_TTAFStock_Log[Part Name],$A7,T_TTAFStock_Log[WeekIndex],37))</f>
        <v/>
      </c>
      <c r="AM7" s="13">
        <f>IF(COUNTIFS(T_TTAFStock_Log[Part Name],$A7,T_TTAFStock_Log[WeekIndex],38)=0,"",SUMIFS(T_TTAFStock_Log[TTAF_Qty],T_TTAFStock_Log[Part Name],$A7,T_TTAFStock_Log[WeekIndex],38))</f>
        <v/>
      </c>
      <c r="AN7" s="13">
        <f>IF(COUNTIFS(T_TTAFStock_Log[Part Name],$A7,T_TTAFStock_Log[WeekIndex],39)=0,"",SUMIFS(T_TTAFStock_Log[TTAF_Qty],T_TTAFStock_Log[Part Name],$A7,T_TTAFStock_Log[WeekIndex],39))</f>
        <v/>
      </c>
      <c r="AO7" s="13">
        <f>IF(COUNTIFS(T_TTAFStock_Log[Part Name],$A7,T_TTAFStock_Log[WeekIndex],40)=0,"",SUMIFS(T_TTAFStock_Log[TTAF_Qty],T_TTAFStock_Log[Part Name],$A7,T_TTAFStock_Log[WeekIndex],40))</f>
        <v/>
      </c>
      <c r="AP7" s="13">
        <f>IF(COUNTIFS(T_TTAFStock_Log[Part Name],$A7,T_TTAFStock_Log[WeekIndex],41)=0,"",SUMIFS(T_TTAFStock_Log[TTAF_Qty],T_TTAFStock_Log[Part Name],$A7,T_TTAFStock_Log[WeekIndex],41))</f>
        <v/>
      </c>
      <c r="AQ7" s="13">
        <f>IF(COUNTIFS(T_TTAFStock_Log[Part Name],$A7,T_TTAFStock_Log[WeekIndex],42)=0,"",SUMIFS(T_TTAFStock_Log[TTAF_Qty],T_TTAFStock_Log[Part Name],$A7,T_TTAFStock_Log[WeekIndex],42))</f>
        <v/>
      </c>
      <c r="AR7" s="13">
        <f>IF(COUNTIFS(T_TTAFStock_Log[Part Name],$A7,T_TTAFStock_Log[WeekIndex],43)=0,"",SUMIFS(T_TTAFStock_Log[TTAF_Qty],T_TTAFStock_Log[Part Name],$A7,T_TTAFStock_Log[WeekIndex],43))</f>
        <v/>
      </c>
      <c r="AS7" s="13">
        <f>IF(COUNTIFS(T_TTAFStock_Log[Part Name],$A7,T_TTAFStock_Log[WeekIndex],44)=0,"",SUMIFS(T_TTAFStock_Log[TTAF_Qty],T_TTAFStock_Log[Part Name],$A7,T_TTAFStock_Log[WeekIndex],44))</f>
        <v/>
      </c>
      <c r="AT7" s="13">
        <f>IF(COUNTIFS(T_TTAFStock_Log[Part Name],$A7,T_TTAFStock_Log[WeekIndex],45)=0,"",SUMIFS(T_TTAFStock_Log[TTAF_Qty],T_TTAFStock_Log[Part Name],$A7,T_TTAFStock_Log[WeekIndex],45))</f>
        <v/>
      </c>
      <c r="AU7" s="13">
        <f>IF(COUNTIFS(T_TTAFStock_Log[Part Name],$A7,T_TTAFStock_Log[WeekIndex],46)=0,"",SUMIFS(T_TTAFStock_Log[TTAF_Qty],T_TTAFStock_Log[Part Name],$A7,T_TTAFStock_Log[WeekIndex],46))</f>
        <v/>
      </c>
      <c r="AV7" s="13">
        <f>IF(COUNTIFS(T_TTAFStock_Log[Part Name],$A7,T_TTAFStock_Log[WeekIndex],47)=0,"",SUMIFS(T_TTAFStock_Log[TTAF_Qty],T_TTAFStock_Log[Part Name],$A7,T_TTAFStock_Log[WeekIndex],47))</f>
        <v/>
      </c>
      <c r="AW7" s="13">
        <f>IF(COUNTIFS(T_TTAFStock_Log[Part Name],$A7,T_TTAFStock_Log[WeekIndex],48)=0,"",SUMIFS(T_TTAFStock_Log[TTAF_Qty],T_TTAFStock_Log[Part Name],$A7,T_TTAFStock_Log[WeekIndex],48))</f>
        <v/>
      </c>
      <c r="AX7" s="13">
        <f>IF(COUNTIFS(T_TTAFStock_Log[Part Name],$A7,T_TTAFStock_Log[WeekIndex],49)=0,"",SUMIFS(T_TTAFStock_Log[TTAF_Qty],T_TTAFStock_Log[Part Name],$A7,T_TTAFStock_Log[WeekIndex],49))</f>
        <v/>
      </c>
      <c r="AY7" s="13">
        <f>IF(COUNTIFS(T_TTAFStock_Log[Part Name],$A7,T_TTAFStock_Log[WeekIndex],50)=0,"",SUMIFS(T_TTAFStock_Log[TTAF_Qty],T_TTAFStock_Log[Part Name],$A7,T_TTAFStock_Log[WeekIndex],50))</f>
        <v/>
      </c>
      <c r="AZ7" s="13">
        <f>IF(COUNTIFS(T_TTAFStock_Log[Part Name],$A7,T_TTAFStock_Log[WeekIndex],51)=0,"",SUMIFS(T_TTAFStock_Log[TTAF_Qty],T_TTAFStock_Log[Part Name],$A7,T_TTAFStock_Log[WeekIndex],51))</f>
        <v/>
      </c>
      <c r="BA7" s="13">
        <f>IF(COUNTIFS(T_TTAFStock_Log[Part Name],$A7,T_TTAFStock_Log[WeekIndex],52)=0,"",SUMIFS(T_TTAFStock_Log[TTAF_Qty],T_TTAFStock_Log[Part Name],$A7,T_TTAFStock_Log[WeekIndex],52))</f>
        <v/>
      </c>
      <c r="BB7" s="13">
        <f>IF(COUNTIFS(T_TTAFStock_Log[Part Name],$A7,T_TTAFStock_Log[WeekIndex],53)=0,"",SUMIFS(T_TTAFStock_Log[TTAF_Qty],T_TTAFStock_Log[Part Name],$A7,T_TTAFStock_Log[WeekIndex],53))</f>
        <v/>
      </c>
      <c r="BC7" s="13">
        <f>IF(COUNTIFS(T_TTAFStock_Log[Part Name],$A7,T_TTAFStock_Log[WeekIndex],54)=0,"",SUMIFS(T_TTAFStock_Log[TTAF_Qty],T_TTAFStock_Log[Part Name],$A7,T_TTAFStock_Log[WeekIndex],54))</f>
        <v/>
      </c>
      <c r="BD7" s="13">
        <f>IF(COUNTIFS(T_TTAFStock_Log[Part Name],$A7,T_TTAFStock_Log[WeekIndex],55)=0,"",SUMIFS(T_TTAFStock_Log[TTAF_Qty],T_TTAFStock_Log[Part Name],$A7,T_TTAFStock_Log[WeekIndex],55))</f>
        <v/>
      </c>
      <c r="BE7" s="13">
        <f>IF(COUNTIFS(T_TTAFStock_Log[Part Name],$A7,T_TTAFStock_Log[WeekIndex],56)=0,"",SUMIFS(T_TTAFStock_Log[TTAF_Qty],T_TTAFStock_Log[Part Name],$A7,T_TTAFStock_Log[WeekIndex],56))</f>
        <v/>
      </c>
      <c r="BF7" s="13">
        <f>IF(COUNTIFS(T_TTAFStock_Log[Part Name],$A7,T_TTAFStock_Log[WeekIndex],57)=0,"",SUMIFS(T_TTAFStock_Log[TTAF_Qty],T_TTAFStock_Log[Part Name],$A7,T_TTAFStock_Log[WeekIndex],57))</f>
        <v/>
      </c>
      <c r="BG7" s="13">
        <f>IF(COUNTIFS(T_TTAFStock_Log[Part Name],$A7,T_TTAFStock_Log[WeekIndex],58)=0,"",SUMIFS(T_TTAFStock_Log[TTAF_Qty],T_TTAFStock_Log[Part Name],$A7,T_TTAFStock_Log[WeekIndex],58))</f>
        <v/>
      </c>
      <c r="BH7" s="13">
        <f>IF(COUNTIFS(T_TTAFStock_Log[Part Name],$A7,T_TTAFStock_Log[WeekIndex],59)=0,"",SUMIFS(T_TTAFStock_Log[TTAF_Qty],T_TTAFStock_Log[Part Name],$A7,T_TTAFStock_Log[WeekIndex],59))</f>
        <v/>
      </c>
      <c r="BI7" s="13">
        <f>IF(COUNTIFS(T_TTAFStock_Log[Part Name],$A7,T_TTAFStock_Log[WeekIndex],60)=0,"",SUMIFS(T_TTAFStock_Log[TTAF_Qty],T_TTAFStock_Log[Part Name],$A7,T_TTAFStock_Log[WeekIndex],60))</f>
        <v/>
      </c>
      <c r="BJ7" s="13">
        <f>IF(COUNTIFS(T_TTAFStock_Log[Part Name],$A7,T_TTAFStock_Log[WeekIndex],61)=0,"",SUMIFS(T_TTAFStock_Log[TTAF_Qty],T_TTAFStock_Log[Part Name],$A7,T_TTAFStock_Log[WeekIndex],61))</f>
        <v/>
      </c>
      <c r="BK7" s="13">
        <f>IF(COUNTIFS(T_TTAFStock_Log[Part Name],$A7,T_TTAFStock_Log[WeekIndex],62)=0,"",SUMIFS(T_TTAFStock_Log[TTAF_Qty],T_TTAFStock_Log[Part Name],$A7,T_TTAFStock_Log[WeekIndex],62))</f>
        <v/>
      </c>
      <c r="BL7" s="13">
        <f>IF(COUNTIFS(T_TTAFStock_Log[Part Name],$A7,T_TTAFStock_Log[WeekIndex],63)=0,"",SUMIFS(T_TTAFStock_Log[TTAF_Qty],T_TTAFStock_Log[Part Name],$A7,T_TTAFStock_Log[WeekIndex],63))</f>
        <v/>
      </c>
      <c r="BM7" s="13">
        <f>IF(COUNTIFS(T_TTAFStock_Log[Part Name],$A7,T_TTAFStock_Log[WeekIndex],64)=0,"",SUMIFS(T_TTAFStock_Log[TTAF_Qty],T_TTAFStock_Log[Part Name],$A7,T_TTAFStock_Log[WeekIndex],64))</f>
        <v/>
      </c>
      <c r="BN7" s="13">
        <f>IF(COUNTIFS(T_TTAFStock_Log[Part Name],$A7,T_TTAFStock_Log[WeekIndex],65)=0,"",SUMIFS(T_TTAFStock_Log[TTAF_Qty],T_TTAFStock_Log[Part Name],$A7,T_TTAFStock_Log[WeekIndex],65))</f>
        <v/>
      </c>
      <c r="BO7" s="13">
        <f>IF(COUNTIFS(T_TTAFStock_Log[Part Name],$A7,T_TTAFStock_Log[WeekIndex],66)=0,"",SUMIFS(T_TTAFStock_Log[TTAF_Qty],T_TTAFStock_Log[Part Name],$A7,T_TTAFStock_Log[WeekIndex],66))</f>
        <v/>
      </c>
      <c r="BP7" s="13">
        <f>IF(COUNTIFS(T_TTAFStock_Log[Part Name],$A7,T_TTAFStock_Log[WeekIndex],67)=0,"",SUMIFS(T_TTAFStock_Log[TTAF_Qty],T_TTAFStock_Log[Part Name],$A7,T_TTAFStock_Log[WeekIndex],67))</f>
        <v/>
      </c>
      <c r="BQ7" s="13">
        <f>IF(COUNTIFS(T_TTAFStock_Log[Part Name],$A7,T_TTAFStock_Log[WeekIndex],68)=0,"",SUMIFS(T_TTAFStock_Log[TTAF_Qty],T_TTAFStock_Log[Part Name],$A7,T_TTAFStock_Log[WeekIndex],68))</f>
        <v/>
      </c>
      <c r="BR7" s="13">
        <f>IF(COUNTIFS(T_TTAFStock_Log[Part Name],$A7,T_TTAFStock_Log[WeekIndex],69)=0,"",SUMIFS(T_TTAFStock_Log[TTAF_Qty],T_TTAFStock_Log[Part Name],$A7,T_TTAFStock_Log[WeekIndex],69))</f>
        <v/>
      </c>
      <c r="BS7" s="13">
        <f>IF(COUNTIFS(T_TTAFStock_Log[Part Name],$A7,T_TTAFStock_Log[WeekIndex],70)=0,"",SUMIFS(T_TTAFStock_Log[TTAF_Qty],T_TTAFStock_Log[Part Name],$A7,T_TTAFStock_Log[WeekIndex],70))</f>
        <v/>
      </c>
      <c r="BT7" s="13">
        <f>IF(COUNTIFS(T_TTAFStock_Log[Part Name],$A7,T_TTAFStock_Log[WeekIndex],71)=0,"",SUMIFS(T_TTAFStock_Log[TTAF_Qty],T_TTAFStock_Log[Part Name],$A7,T_TTAFStock_Log[WeekIndex],71))</f>
        <v/>
      </c>
      <c r="BU7" s="13">
        <f>IF(COUNTIFS(T_TTAFStock_Log[Part Name],$A7,T_TTAFStock_Log[WeekIndex],72)=0,"",SUMIFS(T_TTAFStock_Log[TTAF_Qty],T_TTAFStock_Log[Part Name],$A7,T_TTAFStock_Log[WeekIndex],72))</f>
        <v/>
      </c>
      <c r="BV7" s="13">
        <f>IF(COUNTIFS(T_TTAFStock_Log[Part Name],$A7,T_TTAFStock_Log[WeekIndex],73)=0,"",SUMIFS(T_TTAFStock_Log[TTAF_Qty],T_TTAFStock_Log[Part Name],$A7,T_TTAFStock_Log[WeekIndex],73))</f>
        <v/>
      </c>
      <c r="BW7" s="13">
        <f>IF(COUNTIFS(T_TTAFStock_Log[Part Name],$A7,T_TTAFStock_Log[WeekIndex],74)=0,"",SUMIFS(T_TTAFStock_Log[TTAF_Qty],T_TTAFStock_Log[Part Name],$A7,T_TTAFStock_Log[WeekIndex],74))</f>
        <v/>
      </c>
      <c r="BX7" s="13">
        <f>IF(COUNTIFS(T_TTAFStock_Log[Part Name],$A7,T_TTAFStock_Log[WeekIndex],75)=0,"",SUMIFS(T_TTAFStock_Log[TTAF_Qty],T_TTAFStock_Log[Part Name],$A7,T_TTAFStock_Log[WeekIndex],75))</f>
        <v/>
      </c>
      <c r="BY7" s="13">
        <f>IF(COUNTIFS(T_TTAFStock_Log[Part Name],$A7,T_TTAFStock_Log[WeekIndex],76)=0,"",SUMIFS(T_TTAFStock_Log[TTAF_Qty],T_TTAFStock_Log[Part Name],$A7,T_TTAFStock_Log[WeekIndex],76))</f>
        <v/>
      </c>
      <c r="BZ7" s="13">
        <f>IF(COUNTIFS(T_TTAFStock_Log[Part Name],$A7,T_TTAFStock_Log[WeekIndex],77)=0,"",SUMIFS(T_TTAFStock_Log[TTAF_Qty],T_TTAFStock_Log[Part Name],$A7,T_TTAFStock_Log[WeekIndex],77))</f>
        <v/>
      </c>
      <c r="CA7" s="13">
        <f>IF(COUNTIFS(T_TTAFStock_Log[Part Name],$A7,T_TTAFStock_Log[WeekIndex],78)=0,"",SUMIFS(T_TTAFStock_Log[TTAF_Qty],T_TTAFStock_Log[Part Name],$A7,T_TTAFStock_Log[WeekIndex],78))</f>
        <v/>
      </c>
      <c r="CB7" s="13">
        <f>IF(COUNTIFS(T_TTAFStock_Log[Part Name],$A7,T_TTAFStock_Log[WeekIndex],79)=0,"",SUMIFS(T_TTAFStock_Log[TTAF_Qty],T_TTAFStock_Log[Part Name],$A7,T_TTAFStock_Log[WeekIndex],79))</f>
        <v/>
      </c>
      <c r="CC7" s="13">
        <f>IF(COUNTIFS(T_TTAFStock_Log[Part Name],$A7,T_TTAFStock_Log[WeekIndex],80)=0,"",SUMIFS(T_TTAFStock_Log[TTAF_Qty],T_TTAFStock_Log[Part Name],$A7,T_TTAFStock_Log[WeekIndex],80))</f>
        <v/>
      </c>
      <c r="CD7" s="13">
        <f>IF(COUNTIFS(T_TTAFStock_Log[Part Name],$A7,T_TTAFStock_Log[WeekIndex],81)=0,"",SUMIFS(T_TTAFStock_Log[TTAF_Qty],T_TTAFStock_Log[Part Name],$A7,T_TTAFStock_Log[WeekIndex],81))</f>
        <v/>
      </c>
      <c r="CE7" s="13">
        <f>IF(COUNTIFS(T_TTAFStock_Log[Part Name],$A7,T_TTAFStock_Log[WeekIndex],82)=0,"",SUMIFS(T_TTAFStock_Log[TTAF_Qty],T_TTAFStock_Log[Part Name],$A7,T_TTAFStock_Log[WeekIndex],82))</f>
        <v/>
      </c>
      <c r="CF7" s="13">
        <f>IF(COUNTIFS(T_TTAFStock_Log[Part Name],$A7,T_TTAFStock_Log[WeekIndex],83)=0,"",SUMIFS(T_TTAFStock_Log[TTAF_Qty],T_TTAFStock_Log[Part Name],$A7,T_TTAFStock_Log[WeekIndex],83))</f>
        <v/>
      </c>
      <c r="CG7" s="13">
        <f>IF(COUNTIFS(T_TTAFStock_Log[Part Name],$A7,T_TTAFStock_Log[WeekIndex],84)=0,"",SUMIFS(T_TTAFStock_Log[TTAF_Qty],T_TTAFStock_Log[Part Name],$A7,T_TTAFStock_Log[WeekIndex],84))</f>
        <v/>
      </c>
      <c r="CH7" s="13">
        <f>IF(COUNTIFS(T_TTAFStock_Log[Part Name],$A7,T_TTAFStock_Log[WeekIndex],85)=0,"",SUMIFS(T_TTAFStock_Log[TTAF_Qty],T_TTAFStock_Log[Part Name],$A7,T_TTAFStock_Log[WeekIndex],85))</f>
        <v/>
      </c>
      <c r="CI7" s="13">
        <f>IF(COUNTIFS(T_TTAFStock_Log[Part Name],$A7,T_TTAFStock_Log[WeekIndex],86)=0,"",SUMIFS(T_TTAFStock_Log[TTAF_Qty],T_TTAFStock_Log[Part Name],$A7,T_TTAFStock_Log[WeekIndex],86))</f>
        <v/>
      </c>
      <c r="CJ7" s="13">
        <f>IF(COUNTIFS(T_TTAFStock_Log[Part Name],$A7,T_TTAFStock_Log[WeekIndex],87)=0,"",SUMIFS(T_TTAFStock_Log[TTAF_Qty],T_TTAFStock_Log[Part Name],$A7,T_TTAFStock_Log[WeekIndex],87))</f>
        <v/>
      </c>
      <c r="CK7" s="13">
        <f>IF(COUNTIFS(T_TTAFStock_Log[Part Name],$A7,T_TTAFStock_Log[WeekIndex],88)=0,"",SUMIFS(T_TTAFStock_Log[TTAF_Qty],T_TTAFStock_Log[Part Name],$A7,T_TTAFStock_Log[WeekIndex],88))</f>
        <v/>
      </c>
      <c r="CL7" s="13">
        <f>IF(COUNTIFS(T_TTAFStock_Log[Part Name],$A7,T_TTAFStock_Log[WeekIndex],89)=0,"",SUMIFS(T_TTAFStock_Log[TTAF_Qty],T_TTAFStock_Log[Part Name],$A7,T_TTAFStock_Log[WeekIndex],89))</f>
        <v/>
      </c>
      <c r="CM7" s="13">
        <f>IF(COUNTIFS(T_TTAFStock_Log[Part Name],$A7,T_TTAFStock_Log[WeekIndex],90)=0,"",SUMIFS(T_TTAFStock_Log[TTAF_Qty],T_TTAFStock_Log[Part Name],$A7,T_TTAFStock_Log[WeekIndex],90))</f>
        <v/>
      </c>
      <c r="CN7" s="13">
        <f>IF(COUNTIFS(T_TTAFStock_Log[Part Name],$A7,T_TTAFStock_Log[WeekIndex],91)=0,"",SUMIFS(T_TTAFStock_Log[TTAF_Qty],T_TTAFStock_Log[Part Name],$A7,T_TTAFStock_Log[WeekIndex],91))</f>
        <v/>
      </c>
      <c r="CO7" s="13">
        <f>IF(COUNTIFS(T_TTAFStock_Log[Part Name],$A7,T_TTAFStock_Log[WeekIndex],92)=0,"",SUMIFS(T_TTAFStock_Log[TTAF_Qty],T_TTAFStock_Log[Part Name],$A7,T_TTAFStock_Log[WeekIndex],92))</f>
        <v/>
      </c>
      <c r="CP7" s="13">
        <f>IF(COUNTIFS(T_TTAFStock_Log[Part Name],$A7,T_TTAFStock_Log[WeekIndex],93)=0,"",SUMIFS(T_TTAFStock_Log[TTAF_Qty],T_TTAFStock_Log[Part Name],$A7,T_TTAFStock_Log[WeekIndex],93))</f>
        <v/>
      </c>
      <c r="CQ7" s="13">
        <f>IF(COUNTIFS(T_TTAFStock_Log[Part Name],$A7,T_TTAFStock_Log[WeekIndex],94)=0,"",SUMIFS(T_TTAFStock_Log[TTAF_Qty],T_TTAFStock_Log[Part Name],$A7,T_TTAFStock_Log[WeekIndex],94))</f>
        <v/>
      </c>
      <c r="CR7" s="13">
        <f>IF(COUNTIFS(T_TTAFStock_Log[Part Name],$A7,T_TTAFStock_Log[WeekIndex],95)=0,"",SUMIFS(T_TTAFStock_Log[TTAF_Qty],T_TTAFStock_Log[Part Name],$A7,T_TTAFStock_Log[WeekIndex],95))</f>
        <v/>
      </c>
      <c r="CS7" s="13">
        <f>IF(COUNTIFS(T_TTAFStock_Log[Part Name],$A7,T_TTAFStock_Log[WeekIndex],96)=0,"",SUMIFS(T_TTAFStock_Log[TTAF_Qty],T_TTAFStock_Log[Part Name],$A7,T_TTAFStock_Log[WeekIndex],96))</f>
        <v/>
      </c>
      <c r="CT7" s="13">
        <f>IF(COUNTIFS(T_TTAFStock_Log[Part Name],$A7,T_TTAFStock_Log[WeekIndex],97)=0,"",SUMIFS(T_TTAFStock_Log[TTAF_Qty],T_TTAFStock_Log[Part Name],$A7,T_TTAFStock_Log[WeekIndex],97))</f>
        <v/>
      </c>
      <c r="CU7" s="13">
        <f>IF(COUNTIFS(T_TTAFStock_Log[Part Name],$A7,T_TTAFStock_Log[WeekIndex],98)=0,"",SUMIFS(T_TTAFStock_Log[TTAF_Qty],T_TTAFStock_Log[Part Name],$A7,T_TTAFStock_Log[WeekIndex],98))</f>
        <v/>
      </c>
      <c r="CV7" s="13">
        <f>IF(COUNTIFS(T_TTAFStock_Log[Part Name],$A7,T_TTAFStock_Log[WeekIndex],99)=0,"",SUMIFS(T_TTAFStock_Log[TTAF_Qty],T_TTAFStock_Log[Part Name],$A7,T_TTAFStock_Log[WeekIndex],99))</f>
        <v/>
      </c>
      <c r="CW7" s="13">
        <f>IF(COUNTIFS(T_TTAFStock_Log[Part Name],$A7,T_TTAFStock_Log[WeekIndex],100)=0,"",SUMIFS(T_TTAFStock_Log[TTAF_Qty],T_TTAFStock_Log[Part Name],$A7,T_TTAFStock_Log[WeekIndex],100))</f>
        <v/>
      </c>
      <c r="CX7" s="13">
        <f>IF(COUNTIFS(T_TTAFStock_Log[Part Name],$A7,T_TTAFStock_Log[WeekIndex],101)=0,"",SUMIFS(T_TTAFStock_Log[TTAF_Qty],T_TTAFStock_Log[Part Name],$A7,T_TTAFStock_Log[WeekIndex],101))</f>
        <v/>
      </c>
      <c r="CY7" s="13">
        <f>IF(COUNTIFS(T_TTAFStock_Log[Part Name],$A7,T_TTAFStock_Log[WeekIndex],102)=0,"",SUMIFS(T_TTAFStock_Log[TTAF_Qty],T_TTAFStock_Log[Part Name],$A7,T_TTAFStock_Log[WeekIndex],102))</f>
        <v/>
      </c>
      <c r="CZ7" s="13">
        <f>IF(COUNTIFS(T_TTAFStock_Log[Part Name],$A7,T_TTAFStock_Log[WeekIndex],103)=0,"",SUMIFS(T_TTAFStock_Log[TTAF_Qty],T_TTAFStock_Log[Part Name],$A7,T_TTAFStock_Log[WeekIndex],103))</f>
        <v/>
      </c>
      <c r="DA7" s="13">
        <f>IF(COUNTIFS(T_TTAFStock_Log[Part Name],$A7,T_TTAFStock_Log[WeekIndex],104)=0,"",SUMIFS(T_TTAFStock_Log[TTAF_Qty],T_TTAFStock_Log[Part Name],$A7,T_TTAFStock_Log[WeekIndex],104))</f>
        <v/>
      </c>
    </row>
    <row r="8">
      <c r="A8" s="12" t="inlineStr">
        <is>
          <t>CHEM-1700</t>
        </is>
      </c>
      <c r="B8" s="12">
        <f>IF(COUNTIFS(T_TTAFStock_Log[Part Name],$A8,T_TTAFStock_Log[WeekIndex],1)=0,"",SUMIFS(T_TTAFStock_Log[TTAF_Qty],T_TTAFStock_Log[Part Name],$A8,T_TTAFStock_Log[WeekIndex],1))</f>
        <v/>
      </c>
      <c r="C8" s="12">
        <f>IF(COUNTIFS(T_TTAFStock_Log[Part Name],$A8,T_TTAFStock_Log[WeekIndex],2)=0,"",SUMIFS(T_TTAFStock_Log[TTAF_Qty],T_TTAFStock_Log[Part Name],$A8,T_TTAFStock_Log[WeekIndex],2))</f>
        <v/>
      </c>
      <c r="D8" s="12">
        <f>IF(COUNTIFS(T_TTAFStock_Log[Part Name],$A8,T_TTAFStock_Log[WeekIndex],3)=0,"",SUMIFS(T_TTAFStock_Log[TTAF_Qty],T_TTAFStock_Log[Part Name],$A8,T_TTAFStock_Log[WeekIndex],3))</f>
        <v/>
      </c>
      <c r="E8" s="12">
        <f>IF(COUNTIFS(T_TTAFStock_Log[Part Name],$A8,T_TTAFStock_Log[WeekIndex],4)=0,"",SUMIFS(T_TTAFStock_Log[TTAF_Qty],T_TTAFStock_Log[Part Name],$A8,T_TTAFStock_Log[WeekIndex],4))</f>
        <v/>
      </c>
      <c r="F8" s="12">
        <f>IF(COUNTIFS(T_TTAFStock_Log[Part Name],$A8,T_TTAFStock_Log[WeekIndex],5)=0,"",SUMIFS(T_TTAFStock_Log[TTAF_Qty],T_TTAFStock_Log[Part Name],$A8,T_TTAFStock_Log[WeekIndex],5))</f>
        <v/>
      </c>
      <c r="G8" s="12">
        <f>IF(COUNTIFS(T_TTAFStock_Log[Part Name],$A8,T_TTAFStock_Log[WeekIndex],6)=0,"",SUMIFS(T_TTAFStock_Log[TTAF_Qty],T_TTAFStock_Log[Part Name],$A8,T_TTAFStock_Log[WeekIndex],6))</f>
        <v/>
      </c>
      <c r="H8" s="12">
        <f>IF(COUNTIFS(T_TTAFStock_Log[Part Name],$A8,T_TTAFStock_Log[WeekIndex],7)=0,"",SUMIFS(T_TTAFStock_Log[TTAF_Qty],T_TTAFStock_Log[Part Name],$A8,T_TTAFStock_Log[WeekIndex],7))</f>
        <v/>
      </c>
      <c r="I8" s="12">
        <f>IF(COUNTIFS(T_TTAFStock_Log[Part Name],$A8,T_TTAFStock_Log[WeekIndex],8)=0,"",SUMIFS(T_TTAFStock_Log[TTAF_Qty],T_TTAFStock_Log[Part Name],$A8,T_TTAFStock_Log[WeekIndex],8))</f>
        <v/>
      </c>
      <c r="J8" s="12">
        <f>IF(COUNTIFS(T_TTAFStock_Log[Part Name],$A8,T_TTAFStock_Log[WeekIndex],9)=0,"",SUMIFS(T_TTAFStock_Log[TTAF_Qty],T_TTAFStock_Log[Part Name],$A8,T_TTAFStock_Log[WeekIndex],9))</f>
        <v/>
      </c>
      <c r="K8" s="12">
        <f>IF(COUNTIFS(T_TTAFStock_Log[Part Name],$A8,T_TTAFStock_Log[WeekIndex],10)=0,"",SUMIFS(T_TTAFStock_Log[TTAF_Qty],T_TTAFStock_Log[Part Name],$A8,T_TTAFStock_Log[WeekIndex],10))</f>
        <v/>
      </c>
      <c r="L8" s="12">
        <f>IF(COUNTIFS(T_TTAFStock_Log[Part Name],$A8,T_TTAFStock_Log[WeekIndex],11)=0,"",SUMIFS(T_TTAFStock_Log[TTAF_Qty],T_TTAFStock_Log[Part Name],$A8,T_TTAFStock_Log[WeekIndex],11))</f>
        <v/>
      </c>
      <c r="M8" s="12">
        <f>IF(COUNTIFS(T_TTAFStock_Log[Part Name],$A8,T_TTAFStock_Log[WeekIndex],12)=0,"",SUMIFS(T_TTAFStock_Log[TTAF_Qty],T_TTAFStock_Log[Part Name],$A8,T_TTAFStock_Log[WeekIndex],12))</f>
        <v/>
      </c>
      <c r="N8" s="12">
        <f>IF(COUNTIFS(T_TTAFStock_Log[Part Name],$A8,T_TTAFStock_Log[WeekIndex],13)=0,"",SUMIFS(T_TTAFStock_Log[TTAF_Qty],T_TTAFStock_Log[Part Name],$A8,T_TTAFStock_Log[WeekIndex],13))</f>
        <v/>
      </c>
      <c r="O8" s="12">
        <f>IF(COUNTIFS(T_TTAFStock_Log[Part Name],$A8,T_TTAFStock_Log[WeekIndex],14)=0,"",SUMIFS(T_TTAFStock_Log[TTAF_Qty],T_TTAFStock_Log[Part Name],$A8,T_TTAFStock_Log[WeekIndex],14))</f>
        <v/>
      </c>
      <c r="P8" s="12">
        <f>IF(COUNTIFS(T_TTAFStock_Log[Part Name],$A8,T_TTAFStock_Log[WeekIndex],15)=0,"",SUMIFS(T_TTAFStock_Log[TTAF_Qty],T_TTAFStock_Log[Part Name],$A8,T_TTAFStock_Log[WeekIndex],15))</f>
        <v/>
      </c>
      <c r="Q8" s="12">
        <f>IF(COUNTIFS(T_TTAFStock_Log[Part Name],$A8,T_TTAFStock_Log[WeekIndex],16)=0,"",SUMIFS(T_TTAFStock_Log[TTAF_Qty],T_TTAFStock_Log[Part Name],$A8,T_TTAFStock_Log[WeekIndex],16))</f>
        <v/>
      </c>
      <c r="R8" s="12">
        <f>IF(COUNTIFS(T_TTAFStock_Log[Part Name],$A8,T_TTAFStock_Log[WeekIndex],17)=0,"",SUMIFS(T_TTAFStock_Log[TTAF_Qty],T_TTAFStock_Log[Part Name],$A8,T_TTAFStock_Log[WeekIndex],17))</f>
        <v/>
      </c>
      <c r="S8" s="12">
        <f>IF(COUNTIFS(T_TTAFStock_Log[Part Name],$A8,T_TTAFStock_Log[WeekIndex],18)=0,"",SUMIFS(T_TTAFStock_Log[TTAF_Qty],T_TTAFStock_Log[Part Name],$A8,T_TTAFStock_Log[WeekIndex],18))</f>
        <v/>
      </c>
      <c r="T8" s="12">
        <f>IF(COUNTIFS(T_TTAFStock_Log[Part Name],$A8,T_TTAFStock_Log[WeekIndex],19)=0,"",SUMIFS(T_TTAFStock_Log[TTAF_Qty],T_TTAFStock_Log[Part Name],$A8,T_TTAFStock_Log[WeekIndex],19))</f>
        <v/>
      </c>
      <c r="U8" s="12">
        <f>IF(COUNTIFS(T_TTAFStock_Log[Part Name],$A8,T_TTAFStock_Log[WeekIndex],20)=0,"",SUMIFS(T_TTAFStock_Log[TTAF_Qty],T_TTAFStock_Log[Part Name],$A8,T_TTAFStock_Log[WeekIndex],20))</f>
        <v/>
      </c>
      <c r="V8" s="12">
        <f>IF(COUNTIFS(T_TTAFStock_Log[Part Name],$A8,T_TTAFStock_Log[WeekIndex],21)=0,"",SUMIFS(T_TTAFStock_Log[TTAF_Qty],T_TTAFStock_Log[Part Name],$A8,T_TTAFStock_Log[WeekIndex],21))</f>
        <v/>
      </c>
      <c r="W8" s="12">
        <f>IF(COUNTIFS(T_TTAFStock_Log[Part Name],$A8,T_TTAFStock_Log[WeekIndex],22)=0,"",SUMIFS(T_TTAFStock_Log[TTAF_Qty],T_TTAFStock_Log[Part Name],$A8,T_TTAFStock_Log[WeekIndex],22))</f>
        <v/>
      </c>
      <c r="X8" s="12">
        <f>IF(COUNTIFS(T_TTAFStock_Log[Part Name],$A8,T_TTAFStock_Log[WeekIndex],23)=0,"",SUMIFS(T_TTAFStock_Log[TTAF_Qty],T_TTAFStock_Log[Part Name],$A8,T_TTAFStock_Log[WeekIndex],23))</f>
        <v/>
      </c>
      <c r="Y8" s="12">
        <f>IF(COUNTIFS(T_TTAFStock_Log[Part Name],$A8,T_TTAFStock_Log[WeekIndex],24)=0,"",SUMIFS(T_TTAFStock_Log[TTAF_Qty],T_TTAFStock_Log[Part Name],$A8,T_TTAFStock_Log[WeekIndex],24))</f>
        <v/>
      </c>
      <c r="Z8" s="12">
        <f>IF(COUNTIFS(T_TTAFStock_Log[Part Name],$A8,T_TTAFStock_Log[WeekIndex],25)=0,"",SUMIFS(T_TTAFStock_Log[TTAF_Qty],T_TTAFStock_Log[Part Name],$A8,T_TTAFStock_Log[WeekIndex],25))</f>
        <v/>
      </c>
      <c r="AA8" s="12">
        <f>IF(COUNTIFS(T_TTAFStock_Log[Part Name],$A8,T_TTAFStock_Log[WeekIndex],26)=0,"",SUMIFS(T_TTAFStock_Log[TTAF_Qty],T_TTAFStock_Log[Part Name],$A8,T_TTAFStock_Log[WeekIndex],26))</f>
        <v/>
      </c>
      <c r="AB8" s="12">
        <f>IF(COUNTIFS(T_TTAFStock_Log[Part Name],$A8,T_TTAFStock_Log[WeekIndex],27)=0,"",SUMIFS(T_TTAFStock_Log[TTAF_Qty],T_TTAFStock_Log[Part Name],$A8,T_TTAFStock_Log[WeekIndex],27))</f>
        <v/>
      </c>
      <c r="AC8" s="12">
        <f>IF(COUNTIFS(T_TTAFStock_Log[Part Name],$A8,T_TTAFStock_Log[WeekIndex],28)=0,"",SUMIFS(T_TTAFStock_Log[TTAF_Qty],T_TTAFStock_Log[Part Name],$A8,T_TTAFStock_Log[WeekIndex],28))</f>
        <v/>
      </c>
      <c r="AD8" s="12">
        <f>IF(COUNTIFS(T_TTAFStock_Log[Part Name],$A8,T_TTAFStock_Log[WeekIndex],29)=0,"",SUMIFS(T_TTAFStock_Log[TTAF_Qty],T_TTAFStock_Log[Part Name],$A8,T_TTAFStock_Log[WeekIndex],29))</f>
        <v/>
      </c>
      <c r="AE8" s="12">
        <f>IF(COUNTIFS(T_TTAFStock_Log[Part Name],$A8,T_TTAFStock_Log[WeekIndex],30)=0,"",SUMIFS(T_TTAFStock_Log[TTAF_Qty],T_TTAFStock_Log[Part Name],$A8,T_TTAFStock_Log[WeekIndex],30))</f>
        <v/>
      </c>
      <c r="AF8" s="12">
        <f>IF(COUNTIFS(T_TTAFStock_Log[Part Name],$A8,T_TTAFStock_Log[WeekIndex],31)=0,"",SUMIFS(T_TTAFStock_Log[TTAF_Qty],T_TTAFStock_Log[Part Name],$A8,T_TTAFStock_Log[WeekIndex],31))</f>
        <v/>
      </c>
      <c r="AG8" s="12">
        <f>IF(COUNTIFS(T_TTAFStock_Log[Part Name],$A8,T_TTAFStock_Log[WeekIndex],32)=0,"",SUMIFS(T_TTAFStock_Log[TTAF_Qty],T_TTAFStock_Log[Part Name],$A8,T_TTAFStock_Log[WeekIndex],32))</f>
        <v/>
      </c>
      <c r="AH8" s="12">
        <f>IF(COUNTIFS(T_TTAFStock_Log[Part Name],$A8,T_TTAFStock_Log[WeekIndex],33)=0,"",SUMIFS(T_TTAFStock_Log[TTAF_Qty],T_TTAFStock_Log[Part Name],$A8,T_TTAFStock_Log[WeekIndex],33))</f>
        <v/>
      </c>
      <c r="AI8" s="12">
        <f>IF(COUNTIFS(T_TTAFStock_Log[Part Name],$A8,T_TTAFStock_Log[WeekIndex],34)=0,"",SUMIFS(T_TTAFStock_Log[TTAF_Qty],T_TTAFStock_Log[Part Name],$A8,T_TTAFStock_Log[WeekIndex],34))</f>
        <v/>
      </c>
      <c r="AJ8" s="12">
        <f>IF(COUNTIFS(T_TTAFStock_Log[Part Name],$A8,T_TTAFStock_Log[WeekIndex],35)=0,"",SUMIFS(T_TTAFStock_Log[TTAF_Qty],T_TTAFStock_Log[Part Name],$A8,T_TTAFStock_Log[WeekIndex],35))</f>
        <v/>
      </c>
      <c r="AK8" s="12">
        <f>IF(COUNTIFS(T_TTAFStock_Log[Part Name],$A8,T_TTAFStock_Log[WeekIndex],36)=0,"",SUMIFS(T_TTAFStock_Log[TTAF_Qty],T_TTAFStock_Log[Part Name],$A8,T_TTAFStock_Log[WeekIndex],36))</f>
        <v/>
      </c>
      <c r="AL8" s="12">
        <f>IF(COUNTIFS(T_TTAFStock_Log[Part Name],$A8,T_TTAFStock_Log[WeekIndex],37)=0,"",SUMIFS(T_TTAFStock_Log[TTAF_Qty],T_TTAFStock_Log[Part Name],$A8,T_TTAFStock_Log[WeekIndex],37))</f>
        <v/>
      </c>
      <c r="AM8" s="12">
        <f>IF(COUNTIFS(T_TTAFStock_Log[Part Name],$A8,T_TTAFStock_Log[WeekIndex],38)=0,"",SUMIFS(T_TTAFStock_Log[TTAF_Qty],T_TTAFStock_Log[Part Name],$A8,T_TTAFStock_Log[WeekIndex],38))</f>
        <v/>
      </c>
      <c r="AN8" s="12">
        <f>IF(COUNTIFS(T_TTAFStock_Log[Part Name],$A8,T_TTAFStock_Log[WeekIndex],39)=0,"",SUMIFS(T_TTAFStock_Log[TTAF_Qty],T_TTAFStock_Log[Part Name],$A8,T_TTAFStock_Log[WeekIndex],39))</f>
        <v/>
      </c>
      <c r="AO8" s="12">
        <f>IF(COUNTIFS(T_TTAFStock_Log[Part Name],$A8,T_TTAFStock_Log[WeekIndex],40)=0,"",SUMIFS(T_TTAFStock_Log[TTAF_Qty],T_TTAFStock_Log[Part Name],$A8,T_TTAFStock_Log[WeekIndex],40))</f>
        <v/>
      </c>
      <c r="AP8" s="12">
        <f>IF(COUNTIFS(T_TTAFStock_Log[Part Name],$A8,T_TTAFStock_Log[WeekIndex],41)=0,"",SUMIFS(T_TTAFStock_Log[TTAF_Qty],T_TTAFStock_Log[Part Name],$A8,T_TTAFStock_Log[WeekIndex],41))</f>
        <v/>
      </c>
      <c r="AQ8" s="12">
        <f>IF(COUNTIFS(T_TTAFStock_Log[Part Name],$A8,T_TTAFStock_Log[WeekIndex],42)=0,"",SUMIFS(T_TTAFStock_Log[TTAF_Qty],T_TTAFStock_Log[Part Name],$A8,T_TTAFStock_Log[WeekIndex],42))</f>
        <v/>
      </c>
      <c r="AR8" s="12">
        <f>IF(COUNTIFS(T_TTAFStock_Log[Part Name],$A8,T_TTAFStock_Log[WeekIndex],43)=0,"",SUMIFS(T_TTAFStock_Log[TTAF_Qty],T_TTAFStock_Log[Part Name],$A8,T_TTAFStock_Log[WeekIndex],43))</f>
        <v/>
      </c>
      <c r="AS8" s="12">
        <f>IF(COUNTIFS(T_TTAFStock_Log[Part Name],$A8,T_TTAFStock_Log[WeekIndex],44)=0,"",SUMIFS(T_TTAFStock_Log[TTAF_Qty],T_TTAFStock_Log[Part Name],$A8,T_TTAFStock_Log[WeekIndex],44))</f>
        <v/>
      </c>
      <c r="AT8" s="12">
        <f>IF(COUNTIFS(T_TTAFStock_Log[Part Name],$A8,T_TTAFStock_Log[WeekIndex],45)=0,"",SUMIFS(T_TTAFStock_Log[TTAF_Qty],T_TTAFStock_Log[Part Name],$A8,T_TTAFStock_Log[WeekIndex],45))</f>
        <v/>
      </c>
      <c r="AU8" s="12">
        <f>IF(COUNTIFS(T_TTAFStock_Log[Part Name],$A8,T_TTAFStock_Log[WeekIndex],46)=0,"",SUMIFS(T_TTAFStock_Log[TTAF_Qty],T_TTAFStock_Log[Part Name],$A8,T_TTAFStock_Log[WeekIndex],46))</f>
        <v/>
      </c>
      <c r="AV8" s="12">
        <f>IF(COUNTIFS(T_TTAFStock_Log[Part Name],$A8,T_TTAFStock_Log[WeekIndex],47)=0,"",SUMIFS(T_TTAFStock_Log[TTAF_Qty],T_TTAFStock_Log[Part Name],$A8,T_TTAFStock_Log[WeekIndex],47))</f>
        <v/>
      </c>
      <c r="AW8" s="12">
        <f>IF(COUNTIFS(T_TTAFStock_Log[Part Name],$A8,T_TTAFStock_Log[WeekIndex],48)=0,"",SUMIFS(T_TTAFStock_Log[TTAF_Qty],T_TTAFStock_Log[Part Name],$A8,T_TTAFStock_Log[WeekIndex],48))</f>
        <v/>
      </c>
      <c r="AX8" s="12">
        <f>IF(COUNTIFS(T_TTAFStock_Log[Part Name],$A8,T_TTAFStock_Log[WeekIndex],49)=0,"",SUMIFS(T_TTAFStock_Log[TTAF_Qty],T_TTAFStock_Log[Part Name],$A8,T_TTAFStock_Log[WeekIndex],49))</f>
        <v/>
      </c>
      <c r="AY8" s="12">
        <f>IF(COUNTIFS(T_TTAFStock_Log[Part Name],$A8,T_TTAFStock_Log[WeekIndex],50)=0,"",SUMIFS(T_TTAFStock_Log[TTAF_Qty],T_TTAFStock_Log[Part Name],$A8,T_TTAFStock_Log[WeekIndex],50))</f>
        <v/>
      </c>
      <c r="AZ8" s="12">
        <f>IF(COUNTIFS(T_TTAFStock_Log[Part Name],$A8,T_TTAFStock_Log[WeekIndex],51)=0,"",SUMIFS(T_TTAFStock_Log[TTAF_Qty],T_TTAFStock_Log[Part Name],$A8,T_TTAFStock_Log[WeekIndex],51))</f>
        <v/>
      </c>
      <c r="BA8" s="12">
        <f>IF(COUNTIFS(T_TTAFStock_Log[Part Name],$A8,T_TTAFStock_Log[WeekIndex],52)=0,"",SUMIFS(T_TTAFStock_Log[TTAF_Qty],T_TTAFStock_Log[Part Name],$A8,T_TTAFStock_Log[WeekIndex],52))</f>
        <v/>
      </c>
      <c r="BB8" s="12">
        <f>IF(COUNTIFS(T_TTAFStock_Log[Part Name],$A8,T_TTAFStock_Log[WeekIndex],53)=0,"",SUMIFS(T_TTAFStock_Log[TTAF_Qty],T_TTAFStock_Log[Part Name],$A8,T_TTAFStock_Log[WeekIndex],53))</f>
        <v/>
      </c>
      <c r="BC8" s="12">
        <f>IF(COUNTIFS(T_TTAFStock_Log[Part Name],$A8,T_TTAFStock_Log[WeekIndex],54)=0,"",SUMIFS(T_TTAFStock_Log[TTAF_Qty],T_TTAFStock_Log[Part Name],$A8,T_TTAFStock_Log[WeekIndex],54))</f>
        <v/>
      </c>
      <c r="BD8" s="12">
        <f>IF(COUNTIFS(T_TTAFStock_Log[Part Name],$A8,T_TTAFStock_Log[WeekIndex],55)=0,"",SUMIFS(T_TTAFStock_Log[TTAF_Qty],T_TTAFStock_Log[Part Name],$A8,T_TTAFStock_Log[WeekIndex],55))</f>
        <v/>
      </c>
      <c r="BE8" s="12">
        <f>IF(COUNTIFS(T_TTAFStock_Log[Part Name],$A8,T_TTAFStock_Log[WeekIndex],56)=0,"",SUMIFS(T_TTAFStock_Log[TTAF_Qty],T_TTAFStock_Log[Part Name],$A8,T_TTAFStock_Log[WeekIndex],56))</f>
        <v/>
      </c>
      <c r="BF8" s="12">
        <f>IF(COUNTIFS(T_TTAFStock_Log[Part Name],$A8,T_TTAFStock_Log[WeekIndex],57)=0,"",SUMIFS(T_TTAFStock_Log[TTAF_Qty],T_TTAFStock_Log[Part Name],$A8,T_TTAFStock_Log[WeekIndex],57))</f>
        <v/>
      </c>
      <c r="BG8" s="12">
        <f>IF(COUNTIFS(T_TTAFStock_Log[Part Name],$A8,T_TTAFStock_Log[WeekIndex],58)=0,"",SUMIFS(T_TTAFStock_Log[TTAF_Qty],T_TTAFStock_Log[Part Name],$A8,T_TTAFStock_Log[WeekIndex],58))</f>
        <v/>
      </c>
      <c r="BH8" s="12">
        <f>IF(COUNTIFS(T_TTAFStock_Log[Part Name],$A8,T_TTAFStock_Log[WeekIndex],59)=0,"",SUMIFS(T_TTAFStock_Log[TTAF_Qty],T_TTAFStock_Log[Part Name],$A8,T_TTAFStock_Log[WeekIndex],59))</f>
        <v/>
      </c>
      <c r="BI8" s="12">
        <f>IF(COUNTIFS(T_TTAFStock_Log[Part Name],$A8,T_TTAFStock_Log[WeekIndex],60)=0,"",SUMIFS(T_TTAFStock_Log[TTAF_Qty],T_TTAFStock_Log[Part Name],$A8,T_TTAFStock_Log[WeekIndex],60))</f>
        <v/>
      </c>
      <c r="BJ8" s="12">
        <f>IF(COUNTIFS(T_TTAFStock_Log[Part Name],$A8,T_TTAFStock_Log[WeekIndex],61)=0,"",SUMIFS(T_TTAFStock_Log[TTAF_Qty],T_TTAFStock_Log[Part Name],$A8,T_TTAFStock_Log[WeekIndex],61))</f>
        <v/>
      </c>
      <c r="BK8" s="12">
        <f>IF(COUNTIFS(T_TTAFStock_Log[Part Name],$A8,T_TTAFStock_Log[WeekIndex],62)=0,"",SUMIFS(T_TTAFStock_Log[TTAF_Qty],T_TTAFStock_Log[Part Name],$A8,T_TTAFStock_Log[WeekIndex],62))</f>
        <v/>
      </c>
      <c r="BL8" s="12">
        <f>IF(COUNTIFS(T_TTAFStock_Log[Part Name],$A8,T_TTAFStock_Log[WeekIndex],63)=0,"",SUMIFS(T_TTAFStock_Log[TTAF_Qty],T_TTAFStock_Log[Part Name],$A8,T_TTAFStock_Log[WeekIndex],63))</f>
        <v/>
      </c>
      <c r="BM8" s="12">
        <f>IF(COUNTIFS(T_TTAFStock_Log[Part Name],$A8,T_TTAFStock_Log[WeekIndex],64)=0,"",SUMIFS(T_TTAFStock_Log[TTAF_Qty],T_TTAFStock_Log[Part Name],$A8,T_TTAFStock_Log[WeekIndex],64))</f>
        <v/>
      </c>
      <c r="BN8" s="12">
        <f>IF(COUNTIFS(T_TTAFStock_Log[Part Name],$A8,T_TTAFStock_Log[WeekIndex],65)=0,"",SUMIFS(T_TTAFStock_Log[TTAF_Qty],T_TTAFStock_Log[Part Name],$A8,T_TTAFStock_Log[WeekIndex],65))</f>
        <v/>
      </c>
      <c r="BO8" s="12">
        <f>IF(COUNTIFS(T_TTAFStock_Log[Part Name],$A8,T_TTAFStock_Log[WeekIndex],66)=0,"",SUMIFS(T_TTAFStock_Log[TTAF_Qty],T_TTAFStock_Log[Part Name],$A8,T_TTAFStock_Log[WeekIndex],66))</f>
        <v/>
      </c>
      <c r="BP8" s="12">
        <f>IF(COUNTIFS(T_TTAFStock_Log[Part Name],$A8,T_TTAFStock_Log[WeekIndex],67)=0,"",SUMIFS(T_TTAFStock_Log[TTAF_Qty],T_TTAFStock_Log[Part Name],$A8,T_TTAFStock_Log[WeekIndex],67))</f>
        <v/>
      </c>
      <c r="BQ8" s="12">
        <f>IF(COUNTIFS(T_TTAFStock_Log[Part Name],$A8,T_TTAFStock_Log[WeekIndex],68)=0,"",SUMIFS(T_TTAFStock_Log[TTAF_Qty],T_TTAFStock_Log[Part Name],$A8,T_TTAFStock_Log[WeekIndex],68))</f>
        <v/>
      </c>
      <c r="BR8" s="12">
        <f>IF(COUNTIFS(T_TTAFStock_Log[Part Name],$A8,T_TTAFStock_Log[WeekIndex],69)=0,"",SUMIFS(T_TTAFStock_Log[TTAF_Qty],T_TTAFStock_Log[Part Name],$A8,T_TTAFStock_Log[WeekIndex],69))</f>
        <v/>
      </c>
      <c r="BS8" s="12">
        <f>IF(COUNTIFS(T_TTAFStock_Log[Part Name],$A8,T_TTAFStock_Log[WeekIndex],70)=0,"",SUMIFS(T_TTAFStock_Log[TTAF_Qty],T_TTAFStock_Log[Part Name],$A8,T_TTAFStock_Log[WeekIndex],70))</f>
        <v/>
      </c>
      <c r="BT8" s="12">
        <f>IF(COUNTIFS(T_TTAFStock_Log[Part Name],$A8,T_TTAFStock_Log[WeekIndex],71)=0,"",SUMIFS(T_TTAFStock_Log[TTAF_Qty],T_TTAFStock_Log[Part Name],$A8,T_TTAFStock_Log[WeekIndex],71))</f>
        <v/>
      </c>
      <c r="BU8" s="12">
        <f>IF(COUNTIFS(T_TTAFStock_Log[Part Name],$A8,T_TTAFStock_Log[WeekIndex],72)=0,"",SUMIFS(T_TTAFStock_Log[TTAF_Qty],T_TTAFStock_Log[Part Name],$A8,T_TTAFStock_Log[WeekIndex],72))</f>
        <v/>
      </c>
      <c r="BV8" s="12">
        <f>IF(COUNTIFS(T_TTAFStock_Log[Part Name],$A8,T_TTAFStock_Log[WeekIndex],73)=0,"",SUMIFS(T_TTAFStock_Log[TTAF_Qty],T_TTAFStock_Log[Part Name],$A8,T_TTAFStock_Log[WeekIndex],73))</f>
        <v/>
      </c>
      <c r="BW8" s="12">
        <f>IF(COUNTIFS(T_TTAFStock_Log[Part Name],$A8,T_TTAFStock_Log[WeekIndex],74)=0,"",SUMIFS(T_TTAFStock_Log[TTAF_Qty],T_TTAFStock_Log[Part Name],$A8,T_TTAFStock_Log[WeekIndex],74))</f>
        <v/>
      </c>
      <c r="BX8" s="12">
        <f>IF(COUNTIFS(T_TTAFStock_Log[Part Name],$A8,T_TTAFStock_Log[WeekIndex],75)=0,"",SUMIFS(T_TTAFStock_Log[TTAF_Qty],T_TTAFStock_Log[Part Name],$A8,T_TTAFStock_Log[WeekIndex],75))</f>
        <v/>
      </c>
      <c r="BY8" s="12">
        <f>IF(COUNTIFS(T_TTAFStock_Log[Part Name],$A8,T_TTAFStock_Log[WeekIndex],76)=0,"",SUMIFS(T_TTAFStock_Log[TTAF_Qty],T_TTAFStock_Log[Part Name],$A8,T_TTAFStock_Log[WeekIndex],76))</f>
        <v/>
      </c>
      <c r="BZ8" s="12">
        <f>IF(COUNTIFS(T_TTAFStock_Log[Part Name],$A8,T_TTAFStock_Log[WeekIndex],77)=0,"",SUMIFS(T_TTAFStock_Log[TTAF_Qty],T_TTAFStock_Log[Part Name],$A8,T_TTAFStock_Log[WeekIndex],77))</f>
        <v/>
      </c>
      <c r="CA8" s="12">
        <f>IF(COUNTIFS(T_TTAFStock_Log[Part Name],$A8,T_TTAFStock_Log[WeekIndex],78)=0,"",SUMIFS(T_TTAFStock_Log[TTAF_Qty],T_TTAFStock_Log[Part Name],$A8,T_TTAFStock_Log[WeekIndex],78))</f>
        <v/>
      </c>
      <c r="CB8" s="12">
        <f>IF(COUNTIFS(T_TTAFStock_Log[Part Name],$A8,T_TTAFStock_Log[WeekIndex],79)=0,"",SUMIFS(T_TTAFStock_Log[TTAF_Qty],T_TTAFStock_Log[Part Name],$A8,T_TTAFStock_Log[WeekIndex],79))</f>
        <v/>
      </c>
      <c r="CC8" s="12">
        <f>IF(COUNTIFS(T_TTAFStock_Log[Part Name],$A8,T_TTAFStock_Log[WeekIndex],80)=0,"",SUMIFS(T_TTAFStock_Log[TTAF_Qty],T_TTAFStock_Log[Part Name],$A8,T_TTAFStock_Log[WeekIndex],80))</f>
        <v/>
      </c>
      <c r="CD8" s="12">
        <f>IF(COUNTIFS(T_TTAFStock_Log[Part Name],$A8,T_TTAFStock_Log[WeekIndex],81)=0,"",SUMIFS(T_TTAFStock_Log[TTAF_Qty],T_TTAFStock_Log[Part Name],$A8,T_TTAFStock_Log[WeekIndex],81))</f>
        <v/>
      </c>
      <c r="CE8" s="12">
        <f>IF(COUNTIFS(T_TTAFStock_Log[Part Name],$A8,T_TTAFStock_Log[WeekIndex],82)=0,"",SUMIFS(T_TTAFStock_Log[TTAF_Qty],T_TTAFStock_Log[Part Name],$A8,T_TTAFStock_Log[WeekIndex],82))</f>
        <v/>
      </c>
      <c r="CF8" s="12">
        <f>IF(COUNTIFS(T_TTAFStock_Log[Part Name],$A8,T_TTAFStock_Log[WeekIndex],83)=0,"",SUMIFS(T_TTAFStock_Log[TTAF_Qty],T_TTAFStock_Log[Part Name],$A8,T_TTAFStock_Log[WeekIndex],83))</f>
        <v/>
      </c>
      <c r="CG8" s="12">
        <f>IF(COUNTIFS(T_TTAFStock_Log[Part Name],$A8,T_TTAFStock_Log[WeekIndex],84)=0,"",SUMIFS(T_TTAFStock_Log[TTAF_Qty],T_TTAFStock_Log[Part Name],$A8,T_TTAFStock_Log[WeekIndex],84))</f>
        <v/>
      </c>
      <c r="CH8" s="12">
        <f>IF(COUNTIFS(T_TTAFStock_Log[Part Name],$A8,T_TTAFStock_Log[WeekIndex],85)=0,"",SUMIFS(T_TTAFStock_Log[TTAF_Qty],T_TTAFStock_Log[Part Name],$A8,T_TTAFStock_Log[WeekIndex],85))</f>
        <v/>
      </c>
      <c r="CI8" s="12">
        <f>IF(COUNTIFS(T_TTAFStock_Log[Part Name],$A8,T_TTAFStock_Log[WeekIndex],86)=0,"",SUMIFS(T_TTAFStock_Log[TTAF_Qty],T_TTAFStock_Log[Part Name],$A8,T_TTAFStock_Log[WeekIndex],86))</f>
        <v/>
      </c>
      <c r="CJ8" s="12">
        <f>IF(COUNTIFS(T_TTAFStock_Log[Part Name],$A8,T_TTAFStock_Log[WeekIndex],87)=0,"",SUMIFS(T_TTAFStock_Log[TTAF_Qty],T_TTAFStock_Log[Part Name],$A8,T_TTAFStock_Log[WeekIndex],87))</f>
        <v/>
      </c>
      <c r="CK8" s="12">
        <f>IF(COUNTIFS(T_TTAFStock_Log[Part Name],$A8,T_TTAFStock_Log[WeekIndex],88)=0,"",SUMIFS(T_TTAFStock_Log[TTAF_Qty],T_TTAFStock_Log[Part Name],$A8,T_TTAFStock_Log[WeekIndex],88))</f>
        <v/>
      </c>
      <c r="CL8" s="12">
        <f>IF(COUNTIFS(T_TTAFStock_Log[Part Name],$A8,T_TTAFStock_Log[WeekIndex],89)=0,"",SUMIFS(T_TTAFStock_Log[TTAF_Qty],T_TTAFStock_Log[Part Name],$A8,T_TTAFStock_Log[WeekIndex],89))</f>
        <v/>
      </c>
      <c r="CM8" s="12">
        <f>IF(COUNTIFS(T_TTAFStock_Log[Part Name],$A8,T_TTAFStock_Log[WeekIndex],90)=0,"",SUMIFS(T_TTAFStock_Log[TTAF_Qty],T_TTAFStock_Log[Part Name],$A8,T_TTAFStock_Log[WeekIndex],90))</f>
        <v/>
      </c>
      <c r="CN8" s="12">
        <f>IF(COUNTIFS(T_TTAFStock_Log[Part Name],$A8,T_TTAFStock_Log[WeekIndex],91)=0,"",SUMIFS(T_TTAFStock_Log[TTAF_Qty],T_TTAFStock_Log[Part Name],$A8,T_TTAFStock_Log[WeekIndex],91))</f>
        <v/>
      </c>
      <c r="CO8" s="12">
        <f>IF(COUNTIFS(T_TTAFStock_Log[Part Name],$A8,T_TTAFStock_Log[WeekIndex],92)=0,"",SUMIFS(T_TTAFStock_Log[TTAF_Qty],T_TTAFStock_Log[Part Name],$A8,T_TTAFStock_Log[WeekIndex],92))</f>
        <v/>
      </c>
      <c r="CP8" s="12">
        <f>IF(COUNTIFS(T_TTAFStock_Log[Part Name],$A8,T_TTAFStock_Log[WeekIndex],93)=0,"",SUMIFS(T_TTAFStock_Log[TTAF_Qty],T_TTAFStock_Log[Part Name],$A8,T_TTAFStock_Log[WeekIndex],93))</f>
        <v/>
      </c>
      <c r="CQ8" s="12">
        <f>IF(COUNTIFS(T_TTAFStock_Log[Part Name],$A8,T_TTAFStock_Log[WeekIndex],94)=0,"",SUMIFS(T_TTAFStock_Log[TTAF_Qty],T_TTAFStock_Log[Part Name],$A8,T_TTAFStock_Log[WeekIndex],94))</f>
        <v/>
      </c>
      <c r="CR8" s="12">
        <f>IF(COUNTIFS(T_TTAFStock_Log[Part Name],$A8,T_TTAFStock_Log[WeekIndex],95)=0,"",SUMIFS(T_TTAFStock_Log[TTAF_Qty],T_TTAFStock_Log[Part Name],$A8,T_TTAFStock_Log[WeekIndex],95))</f>
        <v/>
      </c>
      <c r="CS8" s="12">
        <f>IF(COUNTIFS(T_TTAFStock_Log[Part Name],$A8,T_TTAFStock_Log[WeekIndex],96)=0,"",SUMIFS(T_TTAFStock_Log[TTAF_Qty],T_TTAFStock_Log[Part Name],$A8,T_TTAFStock_Log[WeekIndex],96))</f>
        <v/>
      </c>
      <c r="CT8" s="12">
        <f>IF(COUNTIFS(T_TTAFStock_Log[Part Name],$A8,T_TTAFStock_Log[WeekIndex],97)=0,"",SUMIFS(T_TTAFStock_Log[TTAF_Qty],T_TTAFStock_Log[Part Name],$A8,T_TTAFStock_Log[WeekIndex],97))</f>
        <v/>
      </c>
      <c r="CU8" s="12">
        <f>IF(COUNTIFS(T_TTAFStock_Log[Part Name],$A8,T_TTAFStock_Log[WeekIndex],98)=0,"",SUMIFS(T_TTAFStock_Log[TTAF_Qty],T_TTAFStock_Log[Part Name],$A8,T_TTAFStock_Log[WeekIndex],98))</f>
        <v/>
      </c>
      <c r="CV8" s="12">
        <f>IF(COUNTIFS(T_TTAFStock_Log[Part Name],$A8,T_TTAFStock_Log[WeekIndex],99)=0,"",SUMIFS(T_TTAFStock_Log[TTAF_Qty],T_TTAFStock_Log[Part Name],$A8,T_TTAFStock_Log[WeekIndex],99))</f>
        <v/>
      </c>
      <c r="CW8" s="12">
        <f>IF(COUNTIFS(T_TTAFStock_Log[Part Name],$A8,T_TTAFStock_Log[WeekIndex],100)=0,"",SUMIFS(T_TTAFStock_Log[TTAF_Qty],T_TTAFStock_Log[Part Name],$A8,T_TTAFStock_Log[WeekIndex],100))</f>
        <v/>
      </c>
      <c r="CX8" s="12">
        <f>IF(COUNTIFS(T_TTAFStock_Log[Part Name],$A8,T_TTAFStock_Log[WeekIndex],101)=0,"",SUMIFS(T_TTAFStock_Log[TTAF_Qty],T_TTAFStock_Log[Part Name],$A8,T_TTAFStock_Log[WeekIndex],101))</f>
        <v/>
      </c>
      <c r="CY8" s="12">
        <f>IF(COUNTIFS(T_TTAFStock_Log[Part Name],$A8,T_TTAFStock_Log[WeekIndex],102)=0,"",SUMIFS(T_TTAFStock_Log[TTAF_Qty],T_TTAFStock_Log[Part Name],$A8,T_TTAFStock_Log[WeekIndex],102))</f>
        <v/>
      </c>
      <c r="CZ8" s="12">
        <f>IF(COUNTIFS(T_TTAFStock_Log[Part Name],$A8,T_TTAFStock_Log[WeekIndex],103)=0,"",SUMIFS(T_TTAFStock_Log[TTAF_Qty],T_TTAFStock_Log[Part Name],$A8,T_TTAFStock_Log[WeekIndex],103))</f>
        <v/>
      </c>
      <c r="DA8" s="12">
        <f>IF(COUNTIFS(T_TTAFStock_Log[Part Name],$A8,T_TTAFStock_Log[WeekIndex],104)=0,"",SUMIFS(T_TTAFStock_Log[TTAF_Qty],T_TTAFStock_Log[Part Name],$A8,T_TTAFStock_Log[WeekIndex],104))</f>
        <v/>
      </c>
    </row>
    <row r="9">
      <c r="A9" s="13" t="inlineStr">
        <is>
          <t>CHEM-1420</t>
        </is>
      </c>
      <c r="B9" s="13">
        <f>IF(COUNTIFS(T_TTAFStock_Log[Part Name],$A9,T_TTAFStock_Log[WeekIndex],1)=0,"",SUMIFS(T_TTAFStock_Log[TTAF_Qty],T_TTAFStock_Log[Part Name],$A9,T_TTAFStock_Log[WeekIndex],1))</f>
        <v/>
      </c>
      <c r="C9" s="13">
        <f>IF(COUNTIFS(T_TTAFStock_Log[Part Name],$A9,T_TTAFStock_Log[WeekIndex],2)=0,"",SUMIFS(T_TTAFStock_Log[TTAF_Qty],T_TTAFStock_Log[Part Name],$A9,T_TTAFStock_Log[WeekIndex],2))</f>
        <v/>
      </c>
      <c r="D9" s="13">
        <f>IF(COUNTIFS(T_TTAFStock_Log[Part Name],$A9,T_TTAFStock_Log[WeekIndex],3)=0,"",SUMIFS(T_TTAFStock_Log[TTAF_Qty],T_TTAFStock_Log[Part Name],$A9,T_TTAFStock_Log[WeekIndex],3))</f>
        <v/>
      </c>
      <c r="E9" s="13">
        <f>IF(COUNTIFS(T_TTAFStock_Log[Part Name],$A9,T_TTAFStock_Log[WeekIndex],4)=0,"",SUMIFS(T_TTAFStock_Log[TTAF_Qty],T_TTAFStock_Log[Part Name],$A9,T_TTAFStock_Log[WeekIndex],4))</f>
        <v/>
      </c>
      <c r="F9" s="13">
        <f>IF(COUNTIFS(T_TTAFStock_Log[Part Name],$A9,T_TTAFStock_Log[WeekIndex],5)=0,"",SUMIFS(T_TTAFStock_Log[TTAF_Qty],T_TTAFStock_Log[Part Name],$A9,T_TTAFStock_Log[WeekIndex],5))</f>
        <v/>
      </c>
      <c r="G9" s="13">
        <f>IF(COUNTIFS(T_TTAFStock_Log[Part Name],$A9,T_TTAFStock_Log[WeekIndex],6)=0,"",SUMIFS(T_TTAFStock_Log[TTAF_Qty],T_TTAFStock_Log[Part Name],$A9,T_TTAFStock_Log[WeekIndex],6))</f>
        <v/>
      </c>
      <c r="H9" s="13">
        <f>IF(COUNTIFS(T_TTAFStock_Log[Part Name],$A9,T_TTAFStock_Log[WeekIndex],7)=0,"",SUMIFS(T_TTAFStock_Log[TTAF_Qty],T_TTAFStock_Log[Part Name],$A9,T_TTAFStock_Log[WeekIndex],7))</f>
        <v/>
      </c>
      <c r="I9" s="13">
        <f>IF(COUNTIFS(T_TTAFStock_Log[Part Name],$A9,T_TTAFStock_Log[WeekIndex],8)=0,"",SUMIFS(T_TTAFStock_Log[TTAF_Qty],T_TTAFStock_Log[Part Name],$A9,T_TTAFStock_Log[WeekIndex],8))</f>
        <v/>
      </c>
      <c r="J9" s="13">
        <f>IF(COUNTIFS(T_TTAFStock_Log[Part Name],$A9,T_TTAFStock_Log[WeekIndex],9)=0,"",SUMIFS(T_TTAFStock_Log[TTAF_Qty],T_TTAFStock_Log[Part Name],$A9,T_TTAFStock_Log[WeekIndex],9))</f>
        <v/>
      </c>
      <c r="K9" s="13">
        <f>IF(COUNTIFS(T_TTAFStock_Log[Part Name],$A9,T_TTAFStock_Log[WeekIndex],10)=0,"",SUMIFS(T_TTAFStock_Log[TTAF_Qty],T_TTAFStock_Log[Part Name],$A9,T_TTAFStock_Log[WeekIndex],10))</f>
        <v/>
      </c>
      <c r="L9" s="13">
        <f>IF(COUNTIFS(T_TTAFStock_Log[Part Name],$A9,T_TTAFStock_Log[WeekIndex],11)=0,"",SUMIFS(T_TTAFStock_Log[TTAF_Qty],T_TTAFStock_Log[Part Name],$A9,T_TTAFStock_Log[WeekIndex],11))</f>
        <v/>
      </c>
      <c r="M9" s="13">
        <f>IF(COUNTIFS(T_TTAFStock_Log[Part Name],$A9,T_TTAFStock_Log[WeekIndex],12)=0,"",SUMIFS(T_TTAFStock_Log[TTAF_Qty],T_TTAFStock_Log[Part Name],$A9,T_TTAFStock_Log[WeekIndex],12))</f>
        <v/>
      </c>
      <c r="N9" s="13">
        <f>IF(COUNTIFS(T_TTAFStock_Log[Part Name],$A9,T_TTAFStock_Log[WeekIndex],13)=0,"",SUMIFS(T_TTAFStock_Log[TTAF_Qty],T_TTAFStock_Log[Part Name],$A9,T_TTAFStock_Log[WeekIndex],13))</f>
        <v/>
      </c>
      <c r="O9" s="13">
        <f>IF(COUNTIFS(T_TTAFStock_Log[Part Name],$A9,T_TTAFStock_Log[WeekIndex],14)=0,"",SUMIFS(T_TTAFStock_Log[TTAF_Qty],T_TTAFStock_Log[Part Name],$A9,T_TTAFStock_Log[WeekIndex],14))</f>
        <v/>
      </c>
      <c r="P9" s="13">
        <f>IF(COUNTIFS(T_TTAFStock_Log[Part Name],$A9,T_TTAFStock_Log[WeekIndex],15)=0,"",SUMIFS(T_TTAFStock_Log[TTAF_Qty],T_TTAFStock_Log[Part Name],$A9,T_TTAFStock_Log[WeekIndex],15))</f>
        <v/>
      </c>
      <c r="Q9" s="13">
        <f>IF(COUNTIFS(T_TTAFStock_Log[Part Name],$A9,T_TTAFStock_Log[WeekIndex],16)=0,"",SUMIFS(T_TTAFStock_Log[TTAF_Qty],T_TTAFStock_Log[Part Name],$A9,T_TTAFStock_Log[WeekIndex],16))</f>
        <v/>
      </c>
      <c r="R9" s="13">
        <f>IF(COUNTIFS(T_TTAFStock_Log[Part Name],$A9,T_TTAFStock_Log[WeekIndex],17)=0,"",SUMIFS(T_TTAFStock_Log[TTAF_Qty],T_TTAFStock_Log[Part Name],$A9,T_TTAFStock_Log[WeekIndex],17))</f>
        <v/>
      </c>
      <c r="S9" s="13">
        <f>IF(COUNTIFS(T_TTAFStock_Log[Part Name],$A9,T_TTAFStock_Log[WeekIndex],18)=0,"",SUMIFS(T_TTAFStock_Log[TTAF_Qty],T_TTAFStock_Log[Part Name],$A9,T_TTAFStock_Log[WeekIndex],18))</f>
        <v/>
      </c>
      <c r="T9" s="13">
        <f>IF(COUNTIFS(T_TTAFStock_Log[Part Name],$A9,T_TTAFStock_Log[WeekIndex],19)=0,"",SUMIFS(T_TTAFStock_Log[TTAF_Qty],T_TTAFStock_Log[Part Name],$A9,T_TTAFStock_Log[WeekIndex],19))</f>
        <v/>
      </c>
      <c r="U9" s="13">
        <f>IF(COUNTIFS(T_TTAFStock_Log[Part Name],$A9,T_TTAFStock_Log[WeekIndex],20)=0,"",SUMIFS(T_TTAFStock_Log[TTAF_Qty],T_TTAFStock_Log[Part Name],$A9,T_TTAFStock_Log[WeekIndex],20))</f>
        <v/>
      </c>
      <c r="V9" s="13">
        <f>IF(COUNTIFS(T_TTAFStock_Log[Part Name],$A9,T_TTAFStock_Log[WeekIndex],21)=0,"",SUMIFS(T_TTAFStock_Log[TTAF_Qty],T_TTAFStock_Log[Part Name],$A9,T_TTAFStock_Log[WeekIndex],21))</f>
        <v/>
      </c>
      <c r="W9" s="13">
        <f>IF(COUNTIFS(T_TTAFStock_Log[Part Name],$A9,T_TTAFStock_Log[WeekIndex],22)=0,"",SUMIFS(T_TTAFStock_Log[TTAF_Qty],T_TTAFStock_Log[Part Name],$A9,T_TTAFStock_Log[WeekIndex],22))</f>
        <v/>
      </c>
      <c r="X9" s="13">
        <f>IF(COUNTIFS(T_TTAFStock_Log[Part Name],$A9,T_TTAFStock_Log[WeekIndex],23)=0,"",SUMIFS(T_TTAFStock_Log[TTAF_Qty],T_TTAFStock_Log[Part Name],$A9,T_TTAFStock_Log[WeekIndex],23))</f>
        <v/>
      </c>
      <c r="Y9" s="13">
        <f>IF(COUNTIFS(T_TTAFStock_Log[Part Name],$A9,T_TTAFStock_Log[WeekIndex],24)=0,"",SUMIFS(T_TTAFStock_Log[TTAF_Qty],T_TTAFStock_Log[Part Name],$A9,T_TTAFStock_Log[WeekIndex],24))</f>
        <v/>
      </c>
      <c r="Z9" s="13">
        <f>IF(COUNTIFS(T_TTAFStock_Log[Part Name],$A9,T_TTAFStock_Log[WeekIndex],25)=0,"",SUMIFS(T_TTAFStock_Log[TTAF_Qty],T_TTAFStock_Log[Part Name],$A9,T_TTAFStock_Log[WeekIndex],25))</f>
        <v/>
      </c>
      <c r="AA9" s="13">
        <f>IF(COUNTIFS(T_TTAFStock_Log[Part Name],$A9,T_TTAFStock_Log[WeekIndex],26)=0,"",SUMIFS(T_TTAFStock_Log[TTAF_Qty],T_TTAFStock_Log[Part Name],$A9,T_TTAFStock_Log[WeekIndex],26))</f>
        <v/>
      </c>
      <c r="AB9" s="13">
        <f>IF(COUNTIFS(T_TTAFStock_Log[Part Name],$A9,T_TTAFStock_Log[WeekIndex],27)=0,"",SUMIFS(T_TTAFStock_Log[TTAF_Qty],T_TTAFStock_Log[Part Name],$A9,T_TTAFStock_Log[WeekIndex],27))</f>
        <v/>
      </c>
      <c r="AC9" s="13">
        <f>IF(COUNTIFS(T_TTAFStock_Log[Part Name],$A9,T_TTAFStock_Log[WeekIndex],28)=0,"",SUMIFS(T_TTAFStock_Log[TTAF_Qty],T_TTAFStock_Log[Part Name],$A9,T_TTAFStock_Log[WeekIndex],28))</f>
        <v/>
      </c>
      <c r="AD9" s="13">
        <f>IF(COUNTIFS(T_TTAFStock_Log[Part Name],$A9,T_TTAFStock_Log[WeekIndex],29)=0,"",SUMIFS(T_TTAFStock_Log[TTAF_Qty],T_TTAFStock_Log[Part Name],$A9,T_TTAFStock_Log[WeekIndex],29))</f>
        <v/>
      </c>
      <c r="AE9" s="13">
        <f>IF(COUNTIFS(T_TTAFStock_Log[Part Name],$A9,T_TTAFStock_Log[WeekIndex],30)=0,"",SUMIFS(T_TTAFStock_Log[TTAF_Qty],T_TTAFStock_Log[Part Name],$A9,T_TTAFStock_Log[WeekIndex],30))</f>
        <v/>
      </c>
      <c r="AF9" s="13">
        <f>IF(COUNTIFS(T_TTAFStock_Log[Part Name],$A9,T_TTAFStock_Log[WeekIndex],31)=0,"",SUMIFS(T_TTAFStock_Log[TTAF_Qty],T_TTAFStock_Log[Part Name],$A9,T_TTAFStock_Log[WeekIndex],31))</f>
        <v/>
      </c>
      <c r="AG9" s="13">
        <f>IF(COUNTIFS(T_TTAFStock_Log[Part Name],$A9,T_TTAFStock_Log[WeekIndex],32)=0,"",SUMIFS(T_TTAFStock_Log[TTAF_Qty],T_TTAFStock_Log[Part Name],$A9,T_TTAFStock_Log[WeekIndex],32))</f>
        <v/>
      </c>
      <c r="AH9" s="13">
        <f>IF(COUNTIFS(T_TTAFStock_Log[Part Name],$A9,T_TTAFStock_Log[WeekIndex],33)=0,"",SUMIFS(T_TTAFStock_Log[TTAF_Qty],T_TTAFStock_Log[Part Name],$A9,T_TTAFStock_Log[WeekIndex],33))</f>
        <v/>
      </c>
      <c r="AI9" s="13">
        <f>IF(COUNTIFS(T_TTAFStock_Log[Part Name],$A9,T_TTAFStock_Log[WeekIndex],34)=0,"",SUMIFS(T_TTAFStock_Log[TTAF_Qty],T_TTAFStock_Log[Part Name],$A9,T_TTAFStock_Log[WeekIndex],34))</f>
        <v/>
      </c>
      <c r="AJ9" s="13">
        <f>IF(COUNTIFS(T_TTAFStock_Log[Part Name],$A9,T_TTAFStock_Log[WeekIndex],35)=0,"",SUMIFS(T_TTAFStock_Log[TTAF_Qty],T_TTAFStock_Log[Part Name],$A9,T_TTAFStock_Log[WeekIndex],35))</f>
        <v/>
      </c>
      <c r="AK9" s="13">
        <f>IF(COUNTIFS(T_TTAFStock_Log[Part Name],$A9,T_TTAFStock_Log[WeekIndex],36)=0,"",SUMIFS(T_TTAFStock_Log[TTAF_Qty],T_TTAFStock_Log[Part Name],$A9,T_TTAFStock_Log[WeekIndex],36))</f>
        <v/>
      </c>
      <c r="AL9" s="13">
        <f>IF(COUNTIFS(T_TTAFStock_Log[Part Name],$A9,T_TTAFStock_Log[WeekIndex],37)=0,"",SUMIFS(T_TTAFStock_Log[TTAF_Qty],T_TTAFStock_Log[Part Name],$A9,T_TTAFStock_Log[WeekIndex],37))</f>
        <v/>
      </c>
      <c r="AM9" s="13">
        <f>IF(COUNTIFS(T_TTAFStock_Log[Part Name],$A9,T_TTAFStock_Log[WeekIndex],38)=0,"",SUMIFS(T_TTAFStock_Log[TTAF_Qty],T_TTAFStock_Log[Part Name],$A9,T_TTAFStock_Log[WeekIndex],38))</f>
        <v/>
      </c>
      <c r="AN9" s="13">
        <f>IF(COUNTIFS(T_TTAFStock_Log[Part Name],$A9,T_TTAFStock_Log[WeekIndex],39)=0,"",SUMIFS(T_TTAFStock_Log[TTAF_Qty],T_TTAFStock_Log[Part Name],$A9,T_TTAFStock_Log[WeekIndex],39))</f>
        <v/>
      </c>
      <c r="AO9" s="13">
        <f>IF(COUNTIFS(T_TTAFStock_Log[Part Name],$A9,T_TTAFStock_Log[WeekIndex],40)=0,"",SUMIFS(T_TTAFStock_Log[TTAF_Qty],T_TTAFStock_Log[Part Name],$A9,T_TTAFStock_Log[WeekIndex],40))</f>
        <v/>
      </c>
      <c r="AP9" s="13">
        <f>IF(COUNTIFS(T_TTAFStock_Log[Part Name],$A9,T_TTAFStock_Log[WeekIndex],41)=0,"",SUMIFS(T_TTAFStock_Log[TTAF_Qty],T_TTAFStock_Log[Part Name],$A9,T_TTAFStock_Log[WeekIndex],41))</f>
        <v/>
      </c>
      <c r="AQ9" s="13">
        <f>IF(COUNTIFS(T_TTAFStock_Log[Part Name],$A9,T_TTAFStock_Log[WeekIndex],42)=0,"",SUMIFS(T_TTAFStock_Log[TTAF_Qty],T_TTAFStock_Log[Part Name],$A9,T_TTAFStock_Log[WeekIndex],42))</f>
        <v/>
      </c>
      <c r="AR9" s="13">
        <f>IF(COUNTIFS(T_TTAFStock_Log[Part Name],$A9,T_TTAFStock_Log[WeekIndex],43)=0,"",SUMIFS(T_TTAFStock_Log[TTAF_Qty],T_TTAFStock_Log[Part Name],$A9,T_TTAFStock_Log[WeekIndex],43))</f>
        <v/>
      </c>
      <c r="AS9" s="13">
        <f>IF(COUNTIFS(T_TTAFStock_Log[Part Name],$A9,T_TTAFStock_Log[WeekIndex],44)=0,"",SUMIFS(T_TTAFStock_Log[TTAF_Qty],T_TTAFStock_Log[Part Name],$A9,T_TTAFStock_Log[WeekIndex],44))</f>
        <v/>
      </c>
      <c r="AT9" s="13">
        <f>IF(COUNTIFS(T_TTAFStock_Log[Part Name],$A9,T_TTAFStock_Log[WeekIndex],45)=0,"",SUMIFS(T_TTAFStock_Log[TTAF_Qty],T_TTAFStock_Log[Part Name],$A9,T_TTAFStock_Log[WeekIndex],45))</f>
        <v/>
      </c>
      <c r="AU9" s="13">
        <f>IF(COUNTIFS(T_TTAFStock_Log[Part Name],$A9,T_TTAFStock_Log[WeekIndex],46)=0,"",SUMIFS(T_TTAFStock_Log[TTAF_Qty],T_TTAFStock_Log[Part Name],$A9,T_TTAFStock_Log[WeekIndex],46))</f>
        <v/>
      </c>
      <c r="AV9" s="13">
        <f>IF(COUNTIFS(T_TTAFStock_Log[Part Name],$A9,T_TTAFStock_Log[WeekIndex],47)=0,"",SUMIFS(T_TTAFStock_Log[TTAF_Qty],T_TTAFStock_Log[Part Name],$A9,T_TTAFStock_Log[WeekIndex],47))</f>
        <v/>
      </c>
      <c r="AW9" s="13">
        <f>IF(COUNTIFS(T_TTAFStock_Log[Part Name],$A9,T_TTAFStock_Log[WeekIndex],48)=0,"",SUMIFS(T_TTAFStock_Log[TTAF_Qty],T_TTAFStock_Log[Part Name],$A9,T_TTAFStock_Log[WeekIndex],48))</f>
        <v/>
      </c>
      <c r="AX9" s="13">
        <f>IF(COUNTIFS(T_TTAFStock_Log[Part Name],$A9,T_TTAFStock_Log[WeekIndex],49)=0,"",SUMIFS(T_TTAFStock_Log[TTAF_Qty],T_TTAFStock_Log[Part Name],$A9,T_TTAFStock_Log[WeekIndex],49))</f>
        <v/>
      </c>
      <c r="AY9" s="13">
        <f>IF(COUNTIFS(T_TTAFStock_Log[Part Name],$A9,T_TTAFStock_Log[WeekIndex],50)=0,"",SUMIFS(T_TTAFStock_Log[TTAF_Qty],T_TTAFStock_Log[Part Name],$A9,T_TTAFStock_Log[WeekIndex],50))</f>
        <v/>
      </c>
      <c r="AZ9" s="13">
        <f>IF(COUNTIFS(T_TTAFStock_Log[Part Name],$A9,T_TTAFStock_Log[WeekIndex],51)=0,"",SUMIFS(T_TTAFStock_Log[TTAF_Qty],T_TTAFStock_Log[Part Name],$A9,T_TTAFStock_Log[WeekIndex],51))</f>
        <v/>
      </c>
      <c r="BA9" s="13">
        <f>IF(COUNTIFS(T_TTAFStock_Log[Part Name],$A9,T_TTAFStock_Log[WeekIndex],52)=0,"",SUMIFS(T_TTAFStock_Log[TTAF_Qty],T_TTAFStock_Log[Part Name],$A9,T_TTAFStock_Log[WeekIndex],52))</f>
        <v/>
      </c>
      <c r="BB9" s="13">
        <f>IF(COUNTIFS(T_TTAFStock_Log[Part Name],$A9,T_TTAFStock_Log[WeekIndex],53)=0,"",SUMIFS(T_TTAFStock_Log[TTAF_Qty],T_TTAFStock_Log[Part Name],$A9,T_TTAFStock_Log[WeekIndex],53))</f>
        <v/>
      </c>
      <c r="BC9" s="13">
        <f>IF(COUNTIFS(T_TTAFStock_Log[Part Name],$A9,T_TTAFStock_Log[WeekIndex],54)=0,"",SUMIFS(T_TTAFStock_Log[TTAF_Qty],T_TTAFStock_Log[Part Name],$A9,T_TTAFStock_Log[WeekIndex],54))</f>
        <v/>
      </c>
      <c r="BD9" s="13">
        <f>IF(COUNTIFS(T_TTAFStock_Log[Part Name],$A9,T_TTAFStock_Log[WeekIndex],55)=0,"",SUMIFS(T_TTAFStock_Log[TTAF_Qty],T_TTAFStock_Log[Part Name],$A9,T_TTAFStock_Log[WeekIndex],55))</f>
        <v/>
      </c>
      <c r="BE9" s="13">
        <f>IF(COUNTIFS(T_TTAFStock_Log[Part Name],$A9,T_TTAFStock_Log[WeekIndex],56)=0,"",SUMIFS(T_TTAFStock_Log[TTAF_Qty],T_TTAFStock_Log[Part Name],$A9,T_TTAFStock_Log[WeekIndex],56))</f>
        <v/>
      </c>
      <c r="BF9" s="13">
        <f>IF(COUNTIFS(T_TTAFStock_Log[Part Name],$A9,T_TTAFStock_Log[WeekIndex],57)=0,"",SUMIFS(T_TTAFStock_Log[TTAF_Qty],T_TTAFStock_Log[Part Name],$A9,T_TTAFStock_Log[WeekIndex],57))</f>
        <v/>
      </c>
      <c r="BG9" s="13">
        <f>IF(COUNTIFS(T_TTAFStock_Log[Part Name],$A9,T_TTAFStock_Log[WeekIndex],58)=0,"",SUMIFS(T_TTAFStock_Log[TTAF_Qty],T_TTAFStock_Log[Part Name],$A9,T_TTAFStock_Log[WeekIndex],58))</f>
        <v/>
      </c>
      <c r="BH9" s="13">
        <f>IF(COUNTIFS(T_TTAFStock_Log[Part Name],$A9,T_TTAFStock_Log[WeekIndex],59)=0,"",SUMIFS(T_TTAFStock_Log[TTAF_Qty],T_TTAFStock_Log[Part Name],$A9,T_TTAFStock_Log[WeekIndex],59))</f>
        <v/>
      </c>
      <c r="BI9" s="13">
        <f>IF(COUNTIFS(T_TTAFStock_Log[Part Name],$A9,T_TTAFStock_Log[WeekIndex],60)=0,"",SUMIFS(T_TTAFStock_Log[TTAF_Qty],T_TTAFStock_Log[Part Name],$A9,T_TTAFStock_Log[WeekIndex],60))</f>
        <v/>
      </c>
      <c r="BJ9" s="13">
        <f>IF(COUNTIFS(T_TTAFStock_Log[Part Name],$A9,T_TTAFStock_Log[WeekIndex],61)=0,"",SUMIFS(T_TTAFStock_Log[TTAF_Qty],T_TTAFStock_Log[Part Name],$A9,T_TTAFStock_Log[WeekIndex],61))</f>
        <v/>
      </c>
      <c r="BK9" s="13">
        <f>IF(COUNTIFS(T_TTAFStock_Log[Part Name],$A9,T_TTAFStock_Log[WeekIndex],62)=0,"",SUMIFS(T_TTAFStock_Log[TTAF_Qty],T_TTAFStock_Log[Part Name],$A9,T_TTAFStock_Log[WeekIndex],62))</f>
        <v/>
      </c>
      <c r="BL9" s="13">
        <f>IF(COUNTIFS(T_TTAFStock_Log[Part Name],$A9,T_TTAFStock_Log[WeekIndex],63)=0,"",SUMIFS(T_TTAFStock_Log[TTAF_Qty],T_TTAFStock_Log[Part Name],$A9,T_TTAFStock_Log[WeekIndex],63))</f>
        <v/>
      </c>
      <c r="BM9" s="13">
        <f>IF(COUNTIFS(T_TTAFStock_Log[Part Name],$A9,T_TTAFStock_Log[WeekIndex],64)=0,"",SUMIFS(T_TTAFStock_Log[TTAF_Qty],T_TTAFStock_Log[Part Name],$A9,T_TTAFStock_Log[WeekIndex],64))</f>
        <v/>
      </c>
      <c r="BN9" s="13">
        <f>IF(COUNTIFS(T_TTAFStock_Log[Part Name],$A9,T_TTAFStock_Log[WeekIndex],65)=0,"",SUMIFS(T_TTAFStock_Log[TTAF_Qty],T_TTAFStock_Log[Part Name],$A9,T_TTAFStock_Log[WeekIndex],65))</f>
        <v/>
      </c>
      <c r="BO9" s="13">
        <f>IF(COUNTIFS(T_TTAFStock_Log[Part Name],$A9,T_TTAFStock_Log[WeekIndex],66)=0,"",SUMIFS(T_TTAFStock_Log[TTAF_Qty],T_TTAFStock_Log[Part Name],$A9,T_TTAFStock_Log[WeekIndex],66))</f>
        <v/>
      </c>
      <c r="BP9" s="13">
        <f>IF(COUNTIFS(T_TTAFStock_Log[Part Name],$A9,T_TTAFStock_Log[WeekIndex],67)=0,"",SUMIFS(T_TTAFStock_Log[TTAF_Qty],T_TTAFStock_Log[Part Name],$A9,T_TTAFStock_Log[WeekIndex],67))</f>
        <v/>
      </c>
      <c r="BQ9" s="13">
        <f>IF(COUNTIFS(T_TTAFStock_Log[Part Name],$A9,T_TTAFStock_Log[WeekIndex],68)=0,"",SUMIFS(T_TTAFStock_Log[TTAF_Qty],T_TTAFStock_Log[Part Name],$A9,T_TTAFStock_Log[WeekIndex],68))</f>
        <v/>
      </c>
      <c r="BR9" s="13">
        <f>IF(COUNTIFS(T_TTAFStock_Log[Part Name],$A9,T_TTAFStock_Log[WeekIndex],69)=0,"",SUMIFS(T_TTAFStock_Log[TTAF_Qty],T_TTAFStock_Log[Part Name],$A9,T_TTAFStock_Log[WeekIndex],69))</f>
        <v/>
      </c>
      <c r="BS9" s="13">
        <f>IF(COUNTIFS(T_TTAFStock_Log[Part Name],$A9,T_TTAFStock_Log[WeekIndex],70)=0,"",SUMIFS(T_TTAFStock_Log[TTAF_Qty],T_TTAFStock_Log[Part Name],$A9,T_TTAFStock_Log[WeekIndex],70))</f>
        <v/>
      </c>
      <c r="BT9" s="13">
        <f>IF(COUNTIFS(T_TTAFStock_Log[Part Name],$A9,T_TTAFStock_Log[WeekIndex],71)=0,"",SUMIFS(T_TTAFStock_Log[TTAF_Qty],T_TTAFStock_Log[Part Name],$A9,T_TTAFStock_Log[WeekIndex],71))</f>
        <v/>
      </c>
      <c r="BU9" s="13">
        <f>IF(COUNTIFS(T_TTAFStock_Log[Part Name],$A9,T_TTAFStock_Log[WeekIndex],72)=0,"",SUMIFS(T_TTAFStock_Log[TTAF_Qty],T_TTAFStock_Log[Part Name],$A9,T_TTAFStock_Log[WeekIndex],72))</f>
        <v/>
      </c>
      <c r="BV9" s="13">
        <f>IF(COUNTIFS(T_TTAFStock_Log[Part Name],$A9,T_TTAFStock_Log[WeekIndex],73)=0,"",SUMIFS(T_TTAFStock_Log[TTAF_Qty],T_TTAFStock_Log[Part Name],$A9,T_TTAFStock_Log[WeekIndex],73))</f>
        <v/>
      </c>
      <c r="BW9" s="13">
        <f>IF(COUNTIFS(T_TTAFStock_Log[Part Name],$A9,T_TTAFStock_Log[WeekIndex],74)=0,"",SUMIFS(T_TTAFStock_Log[TTAF_Qty],T_TTAFStock_Log[Part Name],$A9,T_TTAFStock_Log[WeekIndex],74))</f>
        <v/>
      </c>
      <c r="BX9" s="13">
        <f>IF(COUNTIFS(T_TTAFStock_Log[Part Name],$A9,T_TTAFStock_Log[WeekIndex],75)=0,"",SUMIFS(T_TTAFStock_Log[TTAF_Qty],T_TTAFStock_Log[Part Name],$A9,T_TTAFStock_Log[WeekIndex],75))</f>
        <v/>
      </c>
      <c r="BY9" s="13">
        <f>IF(COUNTIFS(T_TTAFStock_Log[Part Name],$A9,T_TTAFStock_Log[WeekIndex],76)=0,"",SUMIFS(T_TTAFStock_Log[TTAF_Qty],T_TTAFStock_Log[Part Name],$A9,T_TTAFStock_Log[WeekIndex],76))</f>
        <v/>
      </c>
      <c r="BZ9" s="13">
        <f>IF(COUNTIFS(T_TTAFStock_Log[Part Name],$A9,T_TTAFStock_Log[WeekIndex],77)=0,"",SUMIFS(T_TTAFStock_Log[TTAF_Qty],T_TTAFStock_Log[Part Name],$A9,T_TTAFStock_Log[WeekIndex],77))</f>
        <v/>
      </c>
      <c r="CA9" s="13">
        <f>IF(COUNTIFS(T_TTAFStock_Log[Part Name],$A9,T_TTAFStock_Log[WeekIndex],78)=0,"",SUMIFS(T_TTAFStock_Log[TTAF_Qty],T_TTAFStock_Log[Part Name],$A9,T_TTAFStock_Log[WeekIndex],78))</f>
        <v/>
      </c>
      <c r="CB9" s="13">
        <f>IF(COUNTIFS(T_TTAFStock_Log[Part Name],$A9,T_TTAFStock_Log[WeekIndex],79)=0,"",SUMIFS(T_TTAFStock_Log[TTAF_Qty],T_TTAFStock_Log[Part Name],$A9,T_TTAFStock_Log[WeekIndex],79))</f>
        <v/>
      </c>
      <c r="CC9" s="13">
        <f>IF(COUNTIFS(T_TTAFStock_Log[Part Name],$A9,T_TTAFStock_Log[WeekIndex],80)=0,"",SUMIFS(T_TTAFStock_Log[TTAF_Qty],T_TTAFStock_Log[Part Name],$A9,T_TTAFStock_Log[WeekIndex],80))</f>
        <v/>
      </c>
      <c r="CD9" s="13">
        <f>IF(COUNTIFS(T_TTAFStock_Log[Part Name],$A9,T_TTAFStock_Log[WeekIndex],81)=0,"",SUMIFS(T_TTAFStock_Log[TTAF_Qty],T_TTAFStock_Log[Part Name],$A9,T_TTAFStock_Log[WeekIndex],81))</f>
        <v/>
      </c>
      <c r="CE9" s="13">
        <f>IF(COUNTIFS(T_TTAFStock_Log[Part Name],$A9,T_TTAFStock_Log[WeekIndex],82)=0,"",SUMIFS(T_TTAFStock_Log[TTAF_Qty],T_TTAFStock_Log[Part Name],$A9,T_TTAFStock_Log[WeekIndex],82))</f>
        <v/>
      </c>
      <c r="CF9" s="13">
        <f>IF(COUNTIFS(T_TTAFStock_Log[Part Name],$A9,T_TTAFStock_Log[WeekIndex],83)=0,"",SUMIFS(T_TTAFStock_Log[TTAF_Qty],T_TTAFStock_Log[Part Name],$A9,T_TTAFStock_Log[WeekIndex],83))</f>
        <v/>
      </c>
      <c r="CG9" s="13">
        <f>IF(COUNTIFS(T_TTAFStock_Log[Part Name],$A9,T_TTAFStock_Log[WeekIndex],84)=0,"",SUMIFS(T_TTAFStock_Log[TTAF_Qty],T_TTAFStock_Log[Part Name],$A9,T_TTAFStock_Log[WeekIndex],84))</f>
        <v/>
      </c>
      <c r="CH9" s="13">
        <f>IF(COUNTIFS(T_TTAFStock_Log[Part Name],$A9,T_TTAFStock_Log[WeekIndex],85)=0,"",SUMIFS(T_TTAFStock_Log[TTAF_Qty],T_TTAFStock_Log[Part Name],$A9,T_TTAFStock_Log[WeekIndex],85))</f>
        <v/>
      </c>
      <c r="CI9" s="13">
        <f>IF(COUNTIFS(T_TTAFStock_Log[Part Name],$A9,T_TTAFStock_Log[WeekIndex],86)=0,"",SUMIFS(T_TTAFStock_Log[TTAF_Qty],T_TTAFStock_Log[Part Name],$A9,T_TTAFStock_Log[WeekIndex],86))</f>
        <v/>
      </c>
      <c r="CJ9" s="13">
        <f>IF(COUNTIFS(T_TTAFStock_Log[Part Name],$A9,T_TTAFStock_Log[WeekIndex],87)=0,"",SUMIFS(T_TTAFStock_Log[TTAF_Qty],T_TTAFStock_Log[Part Name],$A9,T_TTAFStock_Log[WeekIndex],87))</f>
        <v/>
      </c>
      <c r="CK9" s="13">
        <f>IF(COUNTIFS(T_TTAFStock_Log[Part Name],$A9,T_TTAFStock_Log[WeekIndex],88)=0,"",SUMIFS(T_TTAFStock_Log[TTAF_Qty],T_TTAFStock_Log[Part Name],$A9,T_TTAFStock_Log[WeekIndex],88))</f>
        <v/>
      </c>
      <c r="CL9" s="13">
        <f>IF(COUNTIFS(T_TTAFStock_Log[Part Name],$A9,T_TTAFStock_Log[WeekIndex],89)=0,"",SUMIFS(T_TTAFStock_Log[TTAF_Qty],T_TTAFStock_Log[Part Name],$A9,T_TTAFStock_Log[WeekIndex],89))</f>
        <v/>
      </c>
      <c r="CM9" s="13">
        <f>IF(COUNTIFS(T_TTAFStock_Log[Part Name],$A9,T_TTAFStock_Log[WeekIndex],90)=0,"",SUMIFS(T_TTAFStock_Log[TTAF_Qty],T_TTAFStock_Log[Part Name],$A9,T_TTAFStock_Log[WeekIndex],90))</f>
        <v/>
      </c>
      <c r="CN9" s="13">
        <f>IF(COUNTIFS(T_TTAFStock_Log[Part Name],$A9,T_TTAFStock_Log[WeekIndex],91)=0,"",SUMIFS(T_TTAFStock_Log[TTAF_Qty],T_TTAFStock_Log[Part Name],$A9,T_TTAFStock_Log[WeekIndex],91))</f>
        <v/>
      </c>
      <c r="CO9" s="13">
        <f>IF(COUNTIFS(T_TTAFStock_Log[Part Name],$A9,T_TTAFStock_Log[WeekIndex],92)=0,"",SUMIFS(T_TTAFStock_Log[TTAF_Qty],T_TTAFStock_Log[Part Name],$A9,T_TTAFStock_Log[WeekIndex],92))</f>
        <v/>
      </c>
      <c r="CP9" s="13">
        <f>IF(COUNTIFS(T_TTAFStock_Log[Part Name],$A9,T_TTAFStock_Log[WeekIndex],93)=0,"",SUMIFS(T_TTAFStock_Log[TTAF_Qty],T_TTAFStock_Log[Part Name],$A9,T_TTAFStock_Log[WeekIndex],93))</f>
        <v/>
      </c>
      <c r="CQ9" s="13">
        <f>IF(COUNTIFS(T_TTAFStock_Log[Part Name],$A9,T_TTAFStock_Log[WeekIndex],94)=0,"",SUMIFS(T_TTAFStock_Log[TTAF_Qty],T_TTAFStock_Log[Part Name],$A9,T_TTAFStock_Log[WeekIndex],94))</f>
        <v/>
      </c>
      <c r="CR9" s="13">
        <f>IF(COUNTIFS(T_TTAFStock_Log[Part Name],$A9,T_TTAFStock_Log[WeekIndex],95)=0,"",SUMIFS(T_TTAFStock_Log[TTAF_Qty],T_TTAFStock_Log[Part Name],$A9,T_TTAFStock_Log[WeekIndex],95))</f>
        <v/>
      </c>
      <c r="CS9" s="13">
        <f>IF(COUNTIFS(T_TTAFStock_Log[Part Name],$A9,T_TTAFStock_Log[WeekIndex],96)=0,"",SUMIFS(T_TTAFStock_Log[TTAF_Qty],T_TTAFStock_Log[Part Name],$A9,T_TTAFStock_Log[WeekIndex],96))</f>
        <v/>
      </c>
      <c r="CT9" s="13">
        <f>IF(COUNTIFS(T_TTAFStock_Log[Part Name],$A9,T_TTAFStock_Log[WeekIndex],97)=0,"",SUMIFS(T_TTAFStock_Log[TTAF_Qty],T_TTAFStock_Log[Part Name],$A9,T_TTAFStock_Log[WeekIndex],97))</f>
        <v/>
      </c>
      <c r="CU9" s="13">
        <f>IF(COUNTIFS(T_TTAFStock_Log[Part Name],$A9,T_TTAFStock_Log[WeekIndex],98)=0,"",SUMIFS(T_TTAFStock_Log[TTAF_Qty],T_TTAFStock_Log[Part Name],$A9,T_TTAFStock_Log[WeekIndex],98))</f>
        <v/>
      </c>
      <c r="CV9" s="13">
        <f>IF(COUNTIFS(T_TTAFStock_Log[Part Name],$A9,T_TTAFStock_Log[WeekIndex],99)=0,"",SUMIFS(T_TTAFStock_Log[TTAF_Qty],T_TTAFStock_Log[Part Name],$A9,T_TTAFStock_Log[WeekIndex],99))</f>
        <v/>
      </c>
      <c r="CW9" s="13">
        <f>IF(COUNTIFS(T_TTAFStock_Log[Part Name],$A9,T_TTAFStock_Log[WeekIndex],100)=0,"",SUMIFS(T_TTAFStock_Log[TTAF_Qty],T_TTAFStock_Log[Part Name],$A9,T_TTAFStock_Log[WeekIndex],100))</f>
        <v/>
      </c>
      <c r="CX9" s="13">
        <f>IF(COUNTIFS(T_TTAFStock_Log[Part Name],$A9,T_TTAFStock_Log[WeekIndex],101)=0,"",SUMIFS(T_TTAFStock_Log[TTAF_Qty],T_TTAFStock_Log[Part Name],$A9,T_TTAFStock_Log[WeekIndex],101))</f>
        <v/>
      </c>
      <c r="CY9" s="13">
        <f>IF(COUNTIFS(T_TTAFStock_Log[Part Name],$A9,T_TTAFStock_Log[WeekIndex],102)=0,"",SUMIFS(T_TTAFStock_Log[TTAF_Qty],T_TTAFStock_Log[Part Name],$A9,T_TTAFStock_Log[WeekIndex],102))</f>
        <v/>
      </c>
      <c r="CZ9" s="13">
        <f>IF(COUNTIFS(T_TTAFStock_Log[Part Name],$A9,T_TTAFStock_Log[WeekIndex],103)=0,"",SUMIFS(T_TTAFStock_Log[TTAF_Qty],T_TTAFStock_Log[Part Name],$A9,T_TTAFStock_Log[WeekIndex],103))</f>
        <v/>
      </c>
      <c r="DA9" s="13">
        <f>IF(COUNTIFS(T_TTAFStock_Log[Part Name],$A9,T_TTAFStock_Log[WeekIndex],104)=0,"",SUMIFS(T_TTAFStock_Log[TTAF_Qty],T_TTAFStock_Log[Part Name],$A9,T_TTAFStock_Log[WeekIndex],104))</f>
        <v/>
      </c>
    </row>
    <row r="10">
      <c r="A10" s="12" t="inlineStr">
        <is>
          <t>CHEM-1530</t>
        </is>
      </c>
      <c r="B10" s="12">
        <f>IF(COUNTIFS(T_TTAFStock_Log[Part Name],$A10,T_TTAFStock_Log[WeekIndex],1)=0,"",SUMIFS(T_TTAFStock_Log[TTAF_Qty],T_TTAFStock_Log[Part Name],$A10,T_TTAFStock_Log[WeekIndex],1))</f>
        <v/>
      </c>
      <c r="C10" s="12">
        <f>IF(COUNTIFS(T_TTAFStock_Log[Part Name],$A10,T_TTAFStock_Log[WeekIndex],2)=0,"",SUMIFS(T_TTAFStock_Log[TTAF_Qty],T_TTAFStock_Log[Part Name],$A10,T_TTAFStock_Log[WeekIndex],2))</f>
        <v/>
      </c>
      <c r="D10" s="12">
        <f>IF(COUNTIFS(T_TTAFStock_Log[Part Name],$A10,T_TTAFStock_Log[WeekIndex],3)=0,"",SUMIFS(T_TTAFStock_Log[TTAF_Qty],T_TTAFStock_Log[Part Name],$A10,T_TTAFStock_Log[WeekIndex],3))</f>
        <v/>
      </c>
      <c r="E10" s="12">
        <f>IF(COUNTIFS(T_TTAFStock_Log[Part Name],$A10,T_TTAFStock_Log[WeekIndex],4)=0,"",SUMIFS(T_TTAFStock_Log[TTAF_Qty],T_TTAFStock_Log[Part Name],$A10,T_TTAFStock_Log[WeekIndex],4))</f>
        <v/>
      </c>
      <c r="F10" s="12">
        <f>IF(COUNTIFS(T_TTAFStock_Log[Part Name],$A10,T_TTAFStock_Log[WeekIndex],5)=0,"",SUMIFS(T_TTAFStock_Log[TTAF_Qty],T_TTAFStock_Log[Part Name],$A10,T_TTAFStock_Log[WeekIndex],5))</f>
        <v/>
      </c>
      <c r="G10" s="12">
        <f>IF(COUNTIFS(T_TTAFStock_Log[Part Name],$A10,T_TTAFStock_Log[WeekIndex],6)=0,"",SUMIFS(T_TTAFStock_Log[TTAF_Qty],T_TTAFStock_Log[Part Name],$A10,T_TTAFStock_Log[WeekIndex],6))</f>
        <v/>
      </c>
      <c r="H10" s="12">
        <f>IF(COUNTIFS(T_TTAFStock_Log[Part Name],$A10,T_TTAFStock_Log[WeekIndex],7)=0,"",SUMIFS(T_TTAFStock_Log[TTAF_Qty],T_TTAFStock_Log[Part Name],$A10,T_TTAFStock_Log[WeekIndex],7))</f>
        <v/>
      </c>
      <c r="I10" s="12">
        <f>IF(COUNTIFS(T_TTAFStock_Log[Part Name],$A10,T_TTAFStock_Log[WeekIndex],8)=0,"",SUMIFS(T_TTAFStock_Log[TTAF_Qty],T_TTAFStock_Log[Part Name],$A10,T_TTAFStock_Log[WeekIndex],8))</f>
        <v/>
      </c>
      <c r="J10" s="12">
        <f>IF(COUNTIFS(T_TTAFStock_Log[Part Name],$A10,T_TTAFStock_Log[WeekIndex],9)=0,"",SUMIFS(T_TTAFStock_Log[TTAF_Qty],T_TTAFStock_Log[Part Name],$A10,T_TTAFStock_Log[WeekIndex],9))</f>
        <v/>
      </c>
      <c r="K10" s="12">
        <f>IF(COUNTIFS(T_TTAFStock_Log[Part Name],$A10,T_TTAFStock_Log[WeekIndex],10)=0,"",SUMIFS(T_TTAFStock_Log[TTAF_Qty],T_TTAFStock_Log[Part Name],$A10,T_TTAFStock_Log[WeekIndex],10))</f>
        <v/>
      </c>
      <c r="L10" s="12">
        <f>IF(COUNTIFS(T_TTAFStock_Log[Part Name],$A10,T_TTAFStock_Log[WeekIndex],11)=0,"",SUMIFS(T_TTAFStock_Log[TTAF_Qty],T_TTAFStock_Log[Part Name],$A10,T_TTAFStock_Log[WeekIndex],11))</f>
        <v/>
      </c>
      <c r="M10" s="12">
        <f>IF(COUNTIFS(T_TTAFStock_Log[Part Name],$A10,T_TTAFStock_Log[WeekIndex],12)=0,"",SUMIFS(T_TTAFStock_Log[TTAF_Qty],T_TTAFStock_Log[Part Name],$A10,T_TTAFStock_Log[WeekIndex],12))</f>
        <v/>
      </c>
      <c r="N10" s="12">
        <f>IF(COUNTIFS(T_TTAFStock_Log[Part Name],$A10,T_TTAFStock_Log[WeekIndex],13)=0,"",SUMIFS(T_TTAFStock_Log[TTAF_Qty],T_TTAFStock_Log[Part Name],$A10,T_TTAFStock_Log[WeekIndex],13))</f>
        <v/>
      </c>
      <c r="O10" s="12">
        <f>IF(COUNTIFS(T_TTAFStock_Log[Part Name],$A10,T_TTAFStock_Log[WeekIndex],14)=0,"",SUMIFS(T_TTAFStock_Log[TTAF_Qty],T_TTAFStock_Log[Part Name],$A10,T_TTAFStock_Log[WeekIndex],14))</f>
        <v/>
      </c>
      <c r="P10" s="12">
        <f>IF(COUNTIFS(T_TTAFStock_Log[Part Name],$A10,T_TTAFStock_Log[WeekIndex],15)=0,"",SUMIFS(T_TTAFStock_Log[TTAF_Qty],T_TTAFStock_Log[Part Name],$A10,T_TTAFStock_Log[WeekIndex],15))</f>
        <v/>
      </c>
      <c r="Q10" s="12">
        <f>IF(COUNTIFS(T_TTAFStock_Log[Part Name],$A10,T_TTAFStock_Log[WeekIndex],16)=0,"",SUMIFS(T_TTAFStock_Log[TTAF_Qty],T_TTAFStock_Log[Part Name],$A10,T_TTAFStock_Log[WeekIndex],16))</f>
        <v/>
      </c>
      <c r="R10" s="12">
        <f>IF(COUNTIFS(T_TTAFStock_Log[Part Name],$A10,T_TTAFStock_Log[WeekIndex],17)=0,"",SUMIFS(T_TTAFStock_Log[TTAF_Qty],T_TTAFStock_Log[Part Name],$A10,T_TTAFStock_Log[WeekIndex],17))</f>
        <v/>
      </c>
      <c r="S10" s="12">
        <f>IF(COUNTIFS(T_TTAFStock_Log[Part Name],$A10,T_TTAFStock_Log[WeekIndex],18)=0,"",SUMIFS(T_TTAFStock_Log[TTAF_Qty],T_TTAFStock_Log[Part Name],$A10,T_TTAFStock_Log[WeekIndex],18))</f>
        <v/>
      </c>
      <c r="T10" s="12">
        <f>IF(COUNTIFS(T_TTAFStock_Log[Part Name],$A10,T_TTAFStock_Log[WeekIndex],19)=0,"",SUMIFS(T_TTAFStock_Log[TTAF_Qty],T_TTAFStock_Log[Part Name],$A10,T_TTAFStock_Log[WeekIndex],19))</f>
        <v/>
      </c>
      <c r="U10" s="12">
        <f>IF(COUNTIFS(T_TTAFStock_Log[Part Name],$A10,T_TTAFStock_Log[WeekIndex],20)=0,"",SUMIFS(T_TTAFStock_Log[TTAF_Qty],T_TTAFStock_Log[Part Name],$A10,T_TTAFStock_Log[WeekIndex],20))</f>
        <v/>
      </c>
      <c r="V10" s="12">
        <f>IF(COUNTIFS(T_TTAFStock_Log[Part Name],$A10,T_TTAFStock_Log[WeekIndex],21)=0,"",SUMIFS(T_TTAFStock_Log[TTAF_Qty],T_TTAFStock_Log[Part Name],$A10,T_TTAFStock_Log[WeekIndex],21))</f>
        <v/>
      </c>
      <c r="W10" s="12">
        <f>IF(COUNTIFS(T_TTAFStock_Log[Part Name],$A10,T_TTAFStock_Log[WeekIndex],22)=0,"",SUMIFS(T_TTAFStock_Log[TTAF_Qty],T_TTAFStock_Log[Part Name],$A10,T_TTAFStock_Log[WeekIndex],22))</f>
        <v/>
      </c>
      <c r="X10" s="12">
        <f>IF(COUNTIFS(T_TTAFStock_Log[Part Name],$A10,T_TTAFStock_Log[WeekIndex],23)=0,"",SUMIFS(T_TTAFStock_Log[TTAF_Qty],T_TTAFStock_Log[Part Name],$A10,T_TTAFStock_Log[WeekIndex],23))</f>
        <v/>
      </c>
      <c r="Y10" s="12">
        <f>IF(COUNTIFS(T_TTAFStock_Log[Part Name],$A10,T_TTAFStock_Log[WeekIndex],24)=0,"",SUMIFS(T_TTAFStock_Log[TTAF_Qty],T_TTAFStock_Log[Part Name],$A10,T_TTAFStock_Log[WeekIndex],24))</f>
        <v/>
      </c>
      <c r="Z10" s="12">
        <f>IF(COUNTIFS(T_TTAFStock_Log[Part Name],$A10,T_TTAFStock_Log[WeekIndex],25)=0,"",SUMIFS(T_TTAFStock_Log[TTAF_Qty],T_TTAFStock_Log[Part Name],$A10,T_TTAFStock_Log[WeekIndex],25))</f>
        <v/>
      </c>
      <c r="AA10" s="12">
        <f>IF(COUNTIFS(T_TTAFStock_Log[Part Name],$A10,T_TTAFStock_Log[WeekIndex],26)=0,"",SUMIFS(T_TTAFStock_Log[TTAF_Qty],T_TTAFStock_Log[Part Name],$A10,T_TTAFStock_Log[WeekIndex],26))</f>
        <v/>
      </c>
      <c r="AB10" s="12">
        <f>IF(COUNTIFS(T_TTAFStock_Log[Part Name],$A10,T_TTAFStock_Log[WeekIndex],27)=0,"",SUMIFS(T_TTAFStock_Log[TTAF_Qty],T_TTAFStock_Log[Part Name],$A10,T_TTAFStock_Log[WeekIndex],27))</f>
        <v/>
      </c>
      <c r="AC10" s="12">
        <f>IF(COUNTIFS(T_TTAFStock_Log[Part Name],$A10,T_TTAFStock_Log[WeekIndex],28)=0,"",SUMIFS(T_TTAFStock_Log[TTAF_Qty],T_TTAFStock_Log[Part Name],$A10,T_TTAFStock_Log[WeekIndex],28))</f>
        <v/>
      </c>
      <c r="AD10" s="12">
        <f>IF(COUNTIFS(T_TTAFStock_Log[Part Name],$A10,T_TTAFStock_Log[WeekIndex],29)=0,"",SUMIFS(T_TTAFStock_Log[TTAF_Qty],T_TTAFStock_Log[Part Name],$A10,T_TTAFStock_Log[WeekIndex],29))</f>
        <v/>
      </c>
      <c r="AE10" s="12">
        <f>IF(COUNTIFS(T_TTAFStock_Log[Part Name],$A10,T_TTAFStock_Log[WeekIndex],30)=0,"",SUMIFS(T_TTAFStock_Log[TTAF_Qty],T_TTAFStock_Log[Part Name],$A10,T_TTAFStock_Log[WeekIndex],30))</f>
        <v/>
      </c>
      <c r="AF10" s="12">
        <f>IF(COUNTIFS(T_TTAFStock_Log[Part Name],$A10,T_TTAFStock_Log[WeekIndex],31)=0,"",SUMIFS(T_TTAFStock_Log[TTAF_Qty],T_TTAFStock_Log[Part Name],$A10,T_TTAFStock_Log[WeekIndex],31))</f>
        <v/>
      </c>
      <c r="AG10" s="12">
        <f>IF(COUNTIFS(T_TTAFStock_Log[Part Name],$A10,T_TTAFStock_Log[WeekIndex],32)=0,"",SUMIFS(T_TTAFStock_Log[TTAF_Qty],T_TTAFStock_Log[Part Name],$A10,T_TTAFStock_Log[WeekIndex],32))</f>
        <v/>
      </c>
      <c r="AH10" s="12">
        <f>IF(COUNTIFS(T_TTAFStock_Log[Part Name],$A10,T_TTAFStock_Log[WeekIndex],33)=0,"",SUMIFS(T_TTAFStock_Log[TTAF_Qty],T_TTAFStock_Log[Part Name],$A10,T_TTAFStock_Log[WeekIndex],33))</f>
        <v/>
      </c>
      <c r="AI10" s="12">
        <f>IF(COUNTIFS(T_TTAFStock_Log[Part Name],$A10,T_TTAFStock_Log[WeekIndex],34)=0,"",SUMIFS(T_TTAFStock_Log[TTAF_Qty],T_TTAFStock_Log[Part Name],$A10,T_TTAFStock_Log[WeekIndex],34))</f>
        <v/>
      </c>
      <c r="AJ10" s="12">
        <f>IF(COUNTIFS(T_TTAFStock_Log[Part Name],$A10,T_TTAFStock_Log[WeekIndex],35)=0,"",SUMIFS(T_TTAFStock_Log[TTAF_Qty],T_TTAFStock_Log[Part Name],$A10,T_TTAFStock_Log[WeekIndex],35))</f>
        <v/>
      </c>
      <c r="AK10" s="12">
        <f>IF(COUNTIFS(T_TTAFStock_Log[Part Name],$A10,T_TTAFStock_Log[WeekIndex],36)=0,"",SUMIFS(T_TTAFStock_Log[TTAF_Qty],T_TTAFStock_Log[Part Name],$A10,T_TTAFStock_Log[WeekIndex],36))</f>
        <v/>
      </c>
      <c r="AL10" s="12">
        <f>IF(COUNTIFS(T_TTAFStock_Log[Part Name],$A10,T_TTAFStock_Log[WeekIndex],37)=0,"",SUMIFS(T_TTAFStock_Log[TTAF_Qty],T_TTAFStock_Log[Part Name],$A10,T_TTAFStock_Log[WeekIndex],37))</f>
        <v/>
      </c>
      <c r="AM10" s="12">
        <f>IF(COUNTIFS(T_TTAFStock_Log[Part Name],$A10,T_TTAFStock_Log[WeekIndex],38)=0,"",SUMIFS(T_TTAFStock_Log[TTAF_Qty],T_TTAFStock_Log[Part Name],$A10,T_TTAFStock_Log[WeekIndex],38))</f>
        <v/>
      </c>
      <c r="AN10" s="12">
        <f>IF(COUNTIFS(T_TTAFStock_Log[Part Name],$A10,T_TTAFStock_Log[WeekIndex],39)=0,"",SUMIFS(T_TTAFStock_Log[TTAF_Qty],T_TTAFStock_Log[Part Name],$A10,T_TTAFStock_Log[WeekIndex],39))</f>
        <v/>
      </c>
      <c r="AO10" s="12">
        <f>IF(COUNTIFS(T_TTAFStock_Log[Part Name],$A10,T_TTAFStock_Log[WeekIndex],40)=0,"",SUMIFS(T_TTAFStock_Log[TTAF_Qty],T_TTAFStock_Log[Part Name],$A10,T_TTAFStock_Log[WeekIndex],40))</f>
        <v/>
      </c>
      <c r="AP10" s="12">
        <f>IF(COUNTIFS(T_TTAFStock_Log[Part Name],$A10,T_TTAFStock_Log[WeekIndex],41)=0,"",SUMIFS(T_TTAFStock_Log[TTAF_Qty],T_TTAFStock_Log[Part Name],$A10,T_TTAFStock_Log[WeekIndex],41))</f>
        <v/>
      </c>
      <c r="AQ10" s="12">
        <f>IF(COUNTIFS(T_TTAFStock_Log[Part Name],$A10,T_TTAFStock_Log[WeekIndex],42)=0,"",SUMIFS(T_TTAFStock_Log[TTAF_Qty],T_TTAFStock_Log[Part Name],$A10,T_TTAFStock_Log[WeekIndex],42))</f>
        <v/>
      </c>
      <c r="AR10" s="12">
        <f>IF(COUNTIFS(T_TTAFStock_Log[Part Name],$A10,T_TTAFStock_Log[WeekIndex],43)=0,"",SUMIFS(T_TTAFStock_Log[TTAF_Qty],T_TTAFStock_Log[Part Name],$A10,T_TTAFStock_Log[WeekIndex],43))</f>
        <v/>
      </c>
      <c r="AS10" s="12">
        <f>IF(COUNTIFS(T_TTAFStock_Log[Part Name],$A10,T_TTAFStock_Log[WeekIndex],44)=0,"",SUMIFS(T_TTAFStock_Log[TTAF_Qty],T_TTAFStock_Log[Part Name],$A10,T_TTAFStock_Log[WeekIndex],44))</f>
        <v/>
      </c>
      <c r="AT10" s="12">
        <f>IF(COUNTIFS(T_TTAFStock_Log[Part Name],$A10,T_TTAFStock_Log[WeekIndex],45)=0,"",SUMIFS(T_TTAFStock_Log[TTAF_Qty],T_TTAFStock_Log[Part Name],$A10,T_TTAFStock_Log[WeekIndex],45))</f>
        <v/>
      </c>
      <c r="AU10" s="12">
        <f>IF(COUNTIFS(T_TTAFStock_Log[Part Name],$A10,T_TTAFStock_Log[WeekIndex],46)=0,"",SUMIFS(T_TTAFStock_Log[TTAF_Qty],T_TTAFStock_Log[Part Name],$A10,T_TTAFStock_Log[WeekIndex],46))</f>
        <v/>
      </c>
      <c r="AV10" s="12">
        <f>IF(COUNTIFS(T_TTAFStock_Log[Part Name],$A10,T_TTAFStock_Log[WeekIndex],47)=0,"",SUMIFS(T_TTAFStock_Log[TTAF_Qty],T_TTAFStock_Log[Part Name],$A10,T_TTAFStock_Log[WeekIndex],47))</f>
        <v/>
      </c>
      <c r="AW10" s="12">
        <f>IF(COUNTIFS(T_TTAFStock_Log[Part Name],$A10,T_TTAFStock_Log[WeekIndex],48)=0,"",SUMIFS(T_TTAFStock_Log[TTAF_Qty],T_TTAFStock_Log[Part Name],$A10,T_TTAFStock_Log[WeekIndex],48))</f>
        <v/>
      </c>
      <c r="AX10" s="12">
        <f>IF(COUNTIFS(T_TTAFStock_Log[Part Name],$A10,T_TTAFStock_Log[WeekIndex],49)=0,"",SUMIFS(T_TTAFStock_Log[TTAF_Qty],T_TTAFStock_Log[Part Name],$A10,T_TTAFStock_Log[WeekIndex],49))</f>
        <v/>
      </c>
      <c r="AY10" s="12">
        <f>IF(COUNTIFS(T_TTAFStock_Log[Part Name],$A10,T_TTAFStock_Log[WeekIndex],50)=0,"",SUMIFS(T_TTAFStock_Log[TTAF_Qty],T_TTAFStock_Log[Part Name],$A10,T_TTAFStock_Log[WeekIndex],50))</f>
        <v/>
      </c>
      <c r="AZ10" s="12">
        <f>IF(COUNTIFS(T_TTAFStock_Log[Part Name],$A10,T_TTAFStock_Log[WeekIndex],51)=0,"",SUMIFS(T_TTAFStock_Log[TTAF_Qty],T_TTAFStock_Log[Part Name],$A10,T_TTAFStock_Log[WeekIndex],51))</f>
        <v/>
      </c>
      <c r="BA10" s="12">
        <f>IF(COUNTIFS(T_TTAFStock_Log[Part Name],$A10,T_TTAFStock_Log[WeekIndex],52)=0,"",SUMIFS(T_TTAFStock_Log[TTAF_Qty],T_TTAFStock_Log[Part Name],$A10,T_TTAFStock_Log[WeekIndex],52))</f>
        <v/>
      </c>
      <c r="BB10" s="12">
        <f>IF(COUNTIFS(T_TTAFStock_Log[Part Name],$A10,T_TTAFStock_Log[WeekIndex],53)=0,"",SUMIFS(T_TTAFStock_Log[TTAF_Qty],T_TTAFStock_Log[Part Name],$A10,T_TTAFStock_Log[WeekIndex],53))</f>
        <v/>
      </c>
      <c r="BC10" s="12">
        <f>IF(COUNTIFS(T_TTAFStock_Log[Part Name],$A10,T_TTAFStock_Log[WeekIndex],54)=0,"",SUMIFS(T_TTAFStock_Log[TTAF_Qty],T_TTAFStock_Log[Part Name],$A10,T_TTAFStock_Log[WeekIndex],54))</f>
        <v/>
      </c>
      <c r="BD10" s="12">
        <f>IF(COUNTIFS(T_TTAFStock_Log[Part Name],$A10,T_TTAFStock_Log[WeekIndex],55)=0,"",SUMIFS(T_TTAFStock_Log[TTAF_Qty],T_TTAFStock_Log[Part Name],$A10,T_TTAFStock_Log[WeekIndex],55))</f>
        <v/>
      </c>
      <c r="BE10" s="12">
        <f>IF(COUNTIFS(T_TTAFStock_Log[Part Name],$A10,T_TTAFStock_Log[WeekIndex],56)=0,"",SUMIFS(T_TTAFStock_Log[TTAF_Qty],T_TTAFStock_Log[Part Name],$A10,T_TTAFStock_Log[WeekIndex],56))</f>
        <v/>
      </c>
      <c r="BF10" s="12">
        <f>IF(COUNTIFS(T_TTAFStock_Log[Part Name],$A10,T_TTAFStock_Log[WeekIndex],57)=0,"",SUMIFS(T_TTAFStock_Log[TTAF_Qty],T_TTAFStock_Log[Part Name],$A10,T_TTAFStock_Log[WeekIndex],57))</f>
        <v/>
      </c>
      <c r="BG10" s="12">
        <f>IF(COUNTIFS(T_TTAFStock_Log[Part Name],$A10,T_TTAFStock_Log[WeekIndex],58)=0,"",SUMIFS(T_TTAFStock_Log[TTAF_Qty],T_TTAFStock_Log[Part Name],$A10,T_TTAFStock_Log[WeekIndex],58))</f>
        <v/>
      </c>
      <c r="BH10" s="12">
        <f>IF(COUNTIFS(T_TTAFStock_Log[Part Name],$A10,T_TTAFStock_Log[WeekIndex],59)=0,"",SUMIFS(T_TTAFStock_Log[TTAF_Qty],T_TTAFStock_Log[Part Name],$A10,T_TTAFStock_Log[WeekIndex],59))</f>
        <v/>
      </c>
      <c r="BI10" s="12">
        <f>IF(COUNTIFS(T_TTAFStock_Log[Part Name],$A10,T_TTAFStock_Log[WeekIndex],60)=0,"",SUMIFS(T_TTAFStock_Log[TTAF_Qty],T_TTAFStock_Log[Part Name],$A10,T_TTAFStock_Log[WeekIndex],60))</f>
        <v/>
      </c>
      <c r="BJ10" s="12">
        <f>IF(COUNTIFS(T_TTAFStock_Log[Part Name],$A10,T_TTAFStock_Log[WeekIndex],61)=0,"",SUMIFS(T_TTAFStock_Log[TTAF_Qty],T_TTAFStock_Log[Part Name],$A10,T_TTAFStock_Log[WeekIndex],61))</f>
        <v/>
      </c>
      <c r="BK10" s="12">
        <f>IF(COUNTIFS(T_TTAFStock_Log[Part Name],$A10,T_TTAFStock_Log[WeekIndex],62)=0,"",SUMIFS(T_TTAFStock_Log[TTAF_Qty],T_TTAFStock_Log[Part Name],$A10,T_TTAFStock_Log[WeekIndex],62))</f>
        <v/>
      </c>
      <c r="BL10" s="12">
        <f>IF(COUNTIFS(T_TTAFStock_Log[Part Name],$A10,T_TTAFStock_Log[WeekIndex],63)=0,"",SUMIFS(T_TTAFStock_Log[TTAF_Qty],T_TTAFStock_Log[Part Name],$A10,T_TTAFStock_Log[WeekIndex],63))</f>
        <v/>
      </c>
      <c r="BM10" s="12">
        <f>IF(COUNTIFS(T_TTAFStock_Log[Part Name],$A10,T_TTAFStock_Log[WeekIndex],64)=0,"",SUMIFS(T_TTAFStock_Log[TTAF_Qty],T_TTAFStock_Log[Part Name],$A10,T_TTAFStock_Log[WeekIndex],64))</f>
        <v/>
      </c>
      <c r="BN10" s="12">
        <f>IF(COUNTIFS(T_TTAFStock_Log[Part Name],$A10,T_TTAFStock_Log[WeekIndex],65)=0,"",SUMIFS(T_TTAFStock_Log[TTAF_Qty],T_TTAFStock_Log[Part Name],$A10,T_TTAFStock_Log[WeekIndex],65))</f>
        <v/>
      </c>
      <c r="BO10" s="12">
        <f>IF(COUNTIFS(T_TTAFStock_Log[Part Name],$A10,T_TTAFStock_Log[WeekIndex],66)=0,"",SUMIFS(T_TTAFStock_Log[TTAF_Qty],T_TTAFStock_Log[Part Name],$A10,T_TTAFStock_Log[WeekIndex],66))</f>
        <v/>
      </c>
      <c r="BP10" s="12">
        <f>IF(COUNTIFS(T_TTAFStock_Log[Part Name],$A10,T_TTAFStock_Log[WeekIndex],67)=0,"",SUMIFS(T_TTAFStock_Log[TTAF_Qty],T_TTAFStock_Log[Part Name],$A10,T_TTAFStock_Log[WeekIndex],67))</f>
        <v/>
      </c>
      <c r="BQ10" s="12">
        <f>IF(COUNTIFS(T_TTAFStock_Log[Part Name],$A10,T_TTAFStock_Log[WeekIndex],68)=0,"",SUMIFS(T_TTAFStock_Log[TTAF_Qty],T_TTAFStock_Log[Part Name],$A10,T_TTAFStock_Log[WeekIndex],68))</f>
        <v/>
      </c>
      <c r="BR10" s="12">
        <f>IF(COUNTIFS(T_TTAFStock_Log[Part Name],$A10,T_TTAFStock_Log[WeekIndex],69)=0,"",SUMIFS(T_TTAFStock_Log[TTAF_Qty],T_TTAFStock_Log[Part Name],$A10,T_TTAFStock_Log[WeekIndex],69))</f>
        <v/>
      </c>
      <c r="BS10" s="12">
        <f>IF(COUNTIFS(T_TTAFStock_Log[Part Name],$A10,T_TTAFStock_Log[WeekIndex],70)=0,"",SUMIFS(T_TTAFStock_Log[TTAF_Qty],T_TTAFStock_Log[Part Name],$A10,T_TTAFStock_Log[WeekIndex],70))</f>
        <v/>
      </c>
      <c r="BT10" s="12">
        <f>IF(COUNTIFS(T_TTAFStock_Log[Part Name],$A10,T_TTAFStock_Log[WeekIndex],71)=0,"",SUMIFS(T_TTAFStock_Log[TTAF_Qty],T_TTAFStock_Log[Part Name],$A10,T_TTAFStock_Log[WeekIndex],71))</f>
        <v/>
      </c>
      <c r="BU10" s="12">
        <f>IF(COUNTIFS(T_TTAFStock_Log[Part Name],$A10,T_TTAFStock_Log[WeekIndex],72)=0,"",SUMIFS(T_TTAFStock_Log[TTAF_Qty],T_TTAFStock_Log[Part Name],$A10,T_TTAFStock_Log[WeekIndex],72))</f>
        <v/>
      </c>
      <c r="BV10" s="12">
        <f>IF(COUNTIFS(T_TTAFStock_Log[Part Name],$A10,T_TTAFStock_Log[WeekIndex],73)=0,"",SUMIFS(T_TTAFStock_Log[TTAF_Qty],T_TTAFStock_Log[Part Name],$A10,T_TTAFStock_Log[WeekIndex],73))</f>
        <v/>
      </c>
      <c r="BW10" s="12">
        <f>IF(COUNTIFS(T_TTAFStock_Log[Part Name],$A10,T_TTAFStock_Log[WeekIndex],74)=0,"",SUMIFS(T_TTAFStock_Log[TTAF_Qty],T_TTAFStock_Log[Part Name],$A10,T_TTAFStock_Log[WeekIndex],74))</f>
        <v/>
      </c>
      <c r="BX10" s="12">
        <f>IF(COUNTIFS(T_TTAFStock_Log[Part Name],$A10,T_TTAFStock_Log[WeekIndex],75)=0,"",SUMIFS(T_TTAFStock_Log[TTAF_Qty],T_TTAFStock_Log[Part Name],$A10,T_TTAFStock_Log[WeekIndex],75))</f>
        <v/>
      </c>
      <c r="BY10" s="12">
        <f>IF(COUNTIFS(T_TTAFStock_Log[Part Name],$A10,T_TTAFStock_Log[WeekIndex],76)=0,"",SUMIFS(T_TTAFStock_Log[TTAF_Qty],T_TTAFStock_Log[Part Name],$A10,T_TTAFStock_Log[WeekIndex],76))</f>
        <v/>
      </c>
      <c r="BZ10" s="12">
        <f>IF(COUNTIFS(T_TTAFStock_Log[Part Name],$A10,T_TTAFStock_Log[WeekIndex],77)=0,"",SUMIFS(T_TTAFStock_Log[TTAF_Qty],T_TTAFStock_Log[Part Name],$A10,T_TTAFStock_Log[WeekIndex],77))</f>
        <v/>
      </c>
      <c r="CA10" s="12">
        <f>IF(COUNTIFS(T_TTAFStock_Log[Part Name],$A10,T_TTAFStock_Log[WeekIndex],78)=0,"",SUMIFS(T_TTAFStock_Log[TTAF_Qty],T_TTAFStock_Log[Part Name],$A10,T_TTAFStock_Log[WeekIndex],78))</f>
        <v/>
      </c>
      <c r="CB10" s="12">
        <f>IF(COUNTIFS(T_TTAFStock_Log[Part Name],$A10,T_TTAFStock_Log[WeekIndex],79)=0,"",SUMIFS(T_TTAFStock_Log[TTAF_Qty],T_TTAFStock_Log[Part Name],$A10,T_TTAFStock_Log[WeekIndex],79))</f>
        <v/>
      </c>
      <c r="CC10" s="12">
        <f>IF(COUNTIFS(T_TTAFStock_Log[Part Name],$A10,T_TTAFStock_Log[WeekIndex],80)=0,"",SUMIFS(T_TTAFStock_Log[TTAF_Qty],T_TTAFStock_Log[Part Name],$A10,T_TTAFStock_Log[WeekIndex],80))</f>
        <v/>
      </c>
      <c r="CD10" s="12">
        <f>IF(COUNTIFS(T_TTAFStock_Log[Part Name],$A10,T_TTAFStock_Log[WeekIndex],81)=0,"",SUMIFS(T_TTAFStock_Log[TTAF_Qty],T_TTAFStock_Log[Part Name],$A10,T_TTAFStock_Log[WeekIndex],81))</f>
        <v/>
      </c>
      <c r="CE10" s="12">
        <f>IF(COUNTIFS(T_TTAFStock_Log[Part Name],$A10,T_TTAFStock_Log[WeekIndex],82)=0,"",SUMIFS(T_TTAFStock_Log[TTAF_Qty],T_TTAFStock_Log[Part Name],$A10,T_TTAFStock_Log[WeekIndex],82))</f>
        <v/>
      </c>
      <c r="CF10" s="12">
        <f>IF(COUNTIFS(T_TTAFStock_Log[Part Name],$A10,T_TTAFStock_Log[WeekIndex],83)=0,"",SUMIFS(T_TTAFStock_Log[TTAF_Qty],T_TTAFStock_Log[Part Name],$A10,T_TTAFStock_Log[WeekIndex],83))</f>
        <v/>
      </c>
      <c r="CG10" s="12">
        <f>IF(COUNTIFS(T_TTAFStock_Log[Part Name],$A10,T_TTAFStock_Log[WeekIndex],84)=0,"",SUMIFS(T_TTAFStock_Log[TTAF_Qty],T_TTAFStock_Log[Part Name],$A10,T_TTAFStock_Log[WeekIndex],84))</f>
        <v/>
      </c>
      <c r="CH10" s="12">
        <f>IF(COUNTIFS(T_TTAFStock_Log[Part Name],$A10,T_TTAFStock_Log[WeekIndex],85)=0,"",SUMIFS(T_TTAFStock_Log[TTAF_Qty],T_TTAFStock_Log[Part Name],$A10,T_TTAFStock_Log[WeekIndex],85))</f>
        <v/>
      </c>
      <c r="CI10" s="12">
        <f>IF(COUNTIFS(T_TTAFStock_Log[Part Name],$A10,T_TTAFStock_Log[WeekIndex],86)=0,"",SUMIFS(T_TTAFStock_Log[TTAF_Qty],T_TTAFStock_Log[Part Name],$A10,T_TTAFStock_Log[WeekIndex],86))</f>
        <v/>
      </c>
      <c r="CJ10" s="12">
        <f>IF(COUNTIFS(T_TTAFStock_Log[Part Name],$A10,T_TTAFStock_Log[WeekIndex],87)=0,"",SUMIFS(T_TTAFStock_Log[TTAF_Qty],T_TTAFStock_Log[Part Name],$A10,T_TTAFStock_Log[WeekIndex],87))</f>
        <v/>
      </c>
      <c r="CK10" s="12">
        <f>IF(COUNTIFS(T_TTAFStock_Log[Part Name],$A10,T_TTAFStock_Log[WeekIndex],88)=0,"",SUMIFS(T_TTAFStock_Log[TTAF_Qty],T_TTAFStock_Log[Part Name],$A10,T_TTAFStock_Log[WeekIndex],88))</f>
        <v/>
      </c>
      <c r="CL10" s="12">
        <f>IF(COUNTIFS(T_TTAFStock_Log[Part Name],$A10,T_TTAFStock_Log[WeekIndex],89)=0,"",SUMIFS(T_TTAFStock_Log[TTAF_Qty],T_TTAFStock_Log[Part Name],$A10,T_TTAFStock_Log[WeekIndex],89))</f>
        <v/>
      </c>
      <c r="CM10" s="12">
        <f>IF(COUNTIFS(T_TTAFStock_Log[Part Name],$A10,T_TTAFStock_Log[WeekIndex],90)=0,"",SUMIFS(T_TTAFStock_Log[TTAF_Qty],T_TTAFStock_Log[Part Name],$A10,T_TTAFStock_Log[WeekIndex],90))</f>
        <v/>
      </c>
      <c r="CN10" s="12">
        <f>IF(COUNTIFS(T_TTAFStock_Log[Part Name],$A10,T_TTAFStock_Log[WeekIndex],91)=0,"",SUMIFS(T_TTAFStock_Log[TTAF_Qty],T_TTAFStock_Log[Part Name],$A10,T_TTAFStock_Log[WeekIndex],91))</f>
        <v/>
      </c>
      <c r="CO10" s="12">
        <f>IF(COUNTIFS(T_TTAFStock_Log[Part Name],$A10,T_TTAFStock_Log[WeekIndex],92)=0,"",SUMIFS(T_TTAFStock_Log[TTAF_Qty],T_TTAFStock_Log[Part Name],$A10,T_TTAFStock_Log[WeekIndex],92))</f>
        <v/>
      </c>
      <c r="CP10" s="12">
        <f>IF(COUNTIFS(T_TTAFStock_Log[Part Name],$A10,T_TTAFStock_Log[WeekIndex],93)=0,"",SUMIFS(T_TTAFStock_Log[TTAF_Qty],T_TTAFStock_Log[Part Name],$A10,T_TTAFStock_Log[WeekIndex],93))</f>
        <v/>
      </c>
      <c r="CQ10" s="12">
        <f>IF(COUNTIFS(T_TTAFStock_Log[Part Name],$A10,T_TTAFStock_Log[WeekIndex],94)=0,"",SUMIFS(T_TTAFStock_Log[TTAF_Qty],T_TTAFStock_Log[Part Name],$A10,T_TTAFStock_Log[WeekIndex],94))</f>
        <v/>
      </c>
      <c r="CR10" s="12">
        <f>IF(COUNTIFS(T_TTAFStock_Log[Part Name],$A10,T_TTAFStock_Log[WeekIndex],95)=0,"",SUMIFS(T_TTAFStock_Log[TTAF_Qty],T_TTAFStock_Log[Part Name],$A10,T_TTAFStock_Log[WeekIndex],95))</f>
        <v/>
      </c>
      <c r="CS10" s="12">
        <f>IF(COUNTIFS(T_TTAFStock_Log[Part Name],$A10,T_TTAFStock_Log[WeekIndex],96)=0,"",SUMIFS(T_TTAFStock_Log[TTAF_Qty],T_TTAFStock_Log[Part Name],$A10,T_TTAFStock_Log[WeekIndex],96))</f>
        <v/>
      </c>
      <c r="CT10" s="12">
        <f>IF(COUNTIFS(T_TTAFStock_Log[Part Name],$A10,T_TTAFStock_Log[WeekIndex],97)=0,"",SUMIFS(T_TTAFStock_Log[TTAF_Qty],T_TTAFStock_Log[Part Name],$A10,T_TTAFStock_Log[WeekIndex],97))</f>
        <v/>
      </c>
      <c r="CU10" s="12">
        <f>IF(COUNTIFS(T_TTAFStock_Log[Part Name],$A10,T_TTAFStock_Log[WeekIndex],98)=0,"",SUMIFS(T_TTAFStock_Log[TTAF_Qty],T_TTAFStock_Log[Part Name],$A10,T_TTAFStock_Log[WeekIndex],98))</f>
        <v/>
      </c>
      <c r="CV10" s="12">
        <f>IF(COUNTIFS(T_TTAFStock_Log[Part Name],$A10,T_TTAFStock_Log[WeekIndex],99)=0,"",SUMIFS(T_TTAFStock_Log[TTAF_Qty],T_TTAFStock_Log[Part Name],$A10,T_TTAFStock_Log[WeekIndex],99))</f>
        <v/>
      </c>
      <c r="CW10" s="12">
        <f>IF(COUNTIFS(T_TTAFStock_Log[Part Name],$A10,T_TTAFStock_Log[WeekIndex],100)=0,"",SUMIFS(T_TTAFStock_Log[TTAF_Qty],T_TTAFStock_Log[Part Name],$A10,T_TTAFStock_Log[WeekIndex],100))</f>
        <v/>
      </c>
      <c r="CX10" s="12">
        <f>IF(COUNTIFS(T_TTAFStock_Log[Part Name],$A10,T_TTAFStock_Log[WeekIndex],101)=0,"",SUMIFS(T_TTAFStock_Log[TTAF_Qty],T_TTAFStock_Log[Part Name],$A10,T_TTAFStock_Log[WeekIndex],101))</f>
        <v/>
      </c>
      <c r="CY10" s="12">
        <f>IF(COUNTIFS(T_TTAFStock_Log[Part Name],$A10,T_TTAFStock_Log[WeekIndex],102)=0,"",SUMIFS(T_TTAFStock_Log[TTAF_Qty],T_TTAFStock_Log[Part Name],$A10,T_TTAFStock_Log[WeekIndex],102))</f>
        <v/>
      </c>
      <c r="CZ10" s="12">
        <f>IF(COUNTIFS(T_TTAFStock_Log[Part Name],$A10,T_TTAFStock_Log[WeekIndex],103)=0,"",SUMIFS(T_TTAFStock_Log[TTAF_Qty],T_TTAFStock_Log[Part Name],$A10,T_TTAFStock_Log[WeekIndex],103))</f>
        <v/>
      </c>
      <c r="DA10" s="12">
        <f>IF(COUNTIFS(T_TTAFStock_Log[Part Name],$A10,T_TTAFStock_Log[WeekIndex],104)=0,"",SUMIFS(T_TTAFStock_Log[TTAF_Qty],T_TTAFStock_Log[Part Name],$A10,T_TTAFStock_Log[WeekIndex],104))</f>
        <v/>
      </c>
    </row>
    <row r="11">
      <c r="A11" s="13" t="inlineStr">
        <is>
          <t>CHEM-1540</t>
        </is>
      </c>
      <c r="B11" s="13">
        <f>IF(COUNTIFS(T_TTAFStock_Log[Part Name],$A11,T_TTAFStock_Log[WeekIndex],1)=0,"",SUMIFS(T_TTAFStock_Log[TTAF_Qty],T_TTAFStock_Log[Part Name],$A11,T_TTAFStock_Log[WeekIndex],1))</f>
        <v/>
      </c>
      <c r="C11" s="13">
        <f>IF(COUNTIFS(T_TTAFStock_Log[Part Name],$A11,T_TTAFStock_Log[WeekIndex],2)=0,"",SUMIFS(T_TTAFStock_Log[TTAF_Qty],T_TTAFStock_Log[Part Name],$A11,T_TTAFStock_Log[WeekIndex],2))</f>
        <v/>
      </c>
      <c r="D11" s="13">
        <f>IF(COUNTIFS(T_TTAFStock_Log[Part Name],$A11,T_TTAFStock_Log[WeekIndex],3)=0,"",SUMIFS(T_TTAFStock_Log[TTAF_Qty],T_TTAFStock_Log[Part Name],$A11,T_TTAFStock_Log[WeekIndex],3))</f>
        <v/>
      </c>
      <c r="E11" s="13">
        <f>IF(COUNTIFS(T_TTAFStock_Log[Part Name],$A11,T_TTAFStock_Log[WeekIndex],4)=0,"",SUMIFS(T_TTAFStock_Log[TTAF_Qty],T_TTAFStock_Log[Part Name],$A11,T_TTAFStock_Log[WeekIndex],4))</f>
        <v/>
      </c>
      <c r="F11" s="13">
        <f>IF(COUNTIFS(T_TTAFStock_Log[Part Name],$A11,T_TTAFStock_Log[WeekIndex],5)=0,"",SUMIFS(T_TTAFStock_Log[TTAF_Qty],T_TTAFStock_Log[Part Name],$A11,T_TTAFStock_Log[WeekIndex],5))</f>
        <v/>
      </c>
      <c r="G11" s="13">
        <f>IF(COUNTIFS(T_TTAFStock_Log[Part Name],$A11,T_TTAFStock_Log[WeekIndex],6)=0,"",SUMIFS(T_TTAFStock_Log[TTAF_Qty],T_TTAFStock_Log[Part Name],$A11,T_TTAFStock_Log[WeekIndex],6))</f>
        <v/>
      </c>
      <c r="H11" s="13">
        <f>IF(COUNTIFS(T_TTAFStock_Log[Part Name],$A11,T_TTAFStock_Log[WeekIndex],7)=0,"",SUMIFS(T_TTAFStock_Log[TTAF_Qty],T_TTAFStock_Log[Part Name],$A11,T_TTAFStock_Log[WeekIndex],7))</f>
        <v/>
      </c>
      <c r="I11" s="13">
        <f>IF(COUNTIFS(T_TTAFStock_Log[Part Name],$A11,T_TTAFStock_Log[WeekIndex],8)=0,"",SUMIFS(T_TTAFStock_Log[TTAF_Qty],T_TTAFStock_Log[Part Name],$A11,T_TTAFStock_Log[WeekIndex],8))</f>
        <v/>
      </c>
      <c r="J11" s="13">
        <f>IF(COUNTIFS(T_TTAFStock_Log[Part Name],$A11,T_TTAFStock_Log[WeekIndex],9)=0,"",SUMIFS(T_TTAFStock_Log[TTAF_Qty],T_TTAFStock_Log[Part Name],$A11,T_TTAFStock_Log[WeekIndex],9))</f>
        <v/>
      </c>
      <c r="K11" s="13">
        <f>IF(COUNTIFS(T_TTAFStock_Log[Part Name],$A11,T_TTAFStock_Log[WeekIndex],10)=0,"",SUMIFS(T_TTAFStock_Log[TTAF_Qty],T_TTAFStock_Log[Part Name],$A11,T_TTAFStock_Log[WeekIndex],10))</f>
        <v/>
      </c>
      <c r="L11" s="13">
        <f>IF(COUNTIFS(T_TTAFStock_Log[Part Name],$A11,T_TTAFStock_Log[WeekIndex],11)=0,"",SUMIFS(T_TTAFStock_Log[TTAF_Qty],T_TTAFStock_Log[Part Name],$A11,T_TTAFStock_Log[WeekIndex],11))</f>
        <v/>
      </c>
      <c r="M11" s="13">
        <f>IF(COUNTIFS(T_TTAFStock_Log[Part Name],$A11,T_TTAFStock_Log[WeekIndex],12)=0,"",SUMIFS(T_TTAFStock_Log[TTAF_Qty],T_TTAFStock_Log[Part Name],$A11,T_TTAFStock_Log[WeekIndex],12))</f>
        <v/>
      </c>
      <c r="N11" s="13">
        <f>IF(COUNTIFS(T_TTAFStock_Log[Part Name],$A11,T_TTAFStock_Log[WeekIndex],13)=0,"",SUMIFS(T_TTAFStock_Log[TTAF_Qty],T_TTAFStock_Log[Part Name],$A11,T_TTAFStock_Log[WeekIndex],13))</f>
        <v/>
      </c>
      <c r="O11" s="13">
        <f>IF(COUNTIFS(T_TTAFStock_Log[Part Name],$A11,T_TTAFStock_Log[WeekIndex],14)=0,"",SUMIFS(T_TTAFStock_Log[TTAF_Qty],T_TTAFStock_Log[Part Name],$A11,T_TTAFStock_Log[WeekIndex],14))</f>
        <v/>
      </c>
      <c r="P11" s="13">
        <f>IF(COUNTIFS(T_TTAFStock_Log[Part Name],$A11,T_TTAFStock_Log[WeekIndex],15)=0,"",SUMIFS(T_TTAFStock_Log[TTAF_Qty],T_TTAFStock_Log[Part Name],$A11,T_TTAFStock_Log[WeekIndex],15))</f>
        <v/>
      </c>
      <c r="Q11" s="13">
        <f>IF(COUNTIFS(T_TTAFStock_Log[Part Name],$A11,T_TTAFStock_Log[WeekIndex],16)=0,"",SUMIFS(T_TTAFStock_Log[TTAF_Qty],T_TTAFStock_Log[Part Name],$A11,T_TTAFStock_Log[WeekIndex],16))</f>
        <v/>
      </c>
      <c r="R11" s="13">
        <f>IF(COUNTIFS(T_TTAFStock_Log[Part Name],$A11,T_TTAFStock_Log[WeekIndex],17)=0,"",SUMIFS(T_TTAFStock_Log[TTAF_Qty],T_TTAFStock_Log[Part Name],$A11,T_TTAFStock_Log[WeekIndex],17))</f>
        <v/>
      </c>
      <c r="S11" s="13">
        <f>IF(COUNTIFS(T_TTAFStock_Log[Part Name],$A11,T_TTAFStock_Log[WeekIndex],18)=0,"",SUMIFS(T_TTAFStock_Log[TTAF_Qty],T_TTAFStock_Log[Part Name],$A11,T_TTAFStock_Log[WeekIndex],18))</f>
        <v/>
      </c>
      <c r="T11" s="13">
        <f>IF(COUNTIFS(T_TTAFStock_Log[Part Name],$A11,T_TTAFStock_Log[WeekIndex],19)=0,"",SUMIFS(T_TTAFStock_Log[TTAF_Qty],T_TTAFStock_Log[Part Name],$A11,T_TTAFStock_Log[WeekIndex],19))</f>
        <v/>
      </c>
      <c r="U11" s="13">
        <f>IF(COUNTIFS(T_TTAFStock_Log[Part Name],$A11,T_TTAFStock_Log[WeekIndex],20)=0,"",SUMIFS(T_TTAFStock_Log[TTAF_Qty],T_TTAFStock_Log[Part Name],$A11,T_TTAFStock_Log[WeekIndex],20))</f>
        <v/>
      </c>
      <c r="V11" s="13">
        <f>IF(COUNTIFS(T_TTAFStock_Log[Part Name],$A11,T_TTAFStock_Log[WeekIndex],21)=0,"",SUMIFS(T_TTAFStock_Log[TTAF_Qty],T_TTAFStock_Log[Part Name],$A11,T_TTAFStock_Log[WeekIndex],21))</f>
        <v/>
      </c>
      <c r="W11" s="13">
        <f>IF(COUNTIFS(T_TTAFStock_Log[Part Name],$A11,T_TTAFStock_Log[WeekIndex],22)=0,"",SUMIFS(T_TTAFStock_Log[TTAF_Qty],T_TTAFStock_Log[Part Name],$A11,T_TTAFStock_Log[WeekIndex],22))</f>
        <v/>
      </c>
      <c r="X11" s="13">
        <f>IF(COUNTIFS(T_TTAFStock_Log[Part Name],$A11,T_TTAFStock_Log[WeekIndex],23)=0,"",SUMIFS(T_TTAFStock_Log[TTAF_Qty],T_TTAFStock_Log[Part Name],$A11,T_TTAFStock_Log[WeekIndex],23))</f>
        <v/>
      </c>
      <c r="Y11" s="13">
        <f>IF(COUNTIFS(T_TTAFStock_Log[Part Name],$A11,T_TTAFStock_Log[WeekIndex],24)=0,"",SUMIFS(T_TTAFStock_Log[TTAF_Qty],T_TTAFStock_Log[Part Name],$A11,T_TTAFStock_Log[WeekIndex],24))</f>
        <v/>
      </c>
      <c r="Z11" s="13">
        <f>IF(COUNTIFS(T_TTAFStock_Log[Part Name],$A11,T_TTAFStock_Log[WeekIndex],25)=0,"",SUMIFS(T_TTAFStock_Log[TTAF_Qty],T_TTAFStock_Log[Part Name],$A11,T_TTAFStock_Log[WeekIndex],25))</f>
        <v/>
      </c>
      <c r="AA11" s="13">
        <f>IF(COUNTIFS(T_TTAFStock_Log[Part Name],$A11,T_TTAFStock_Log[WeekIndex],26)=0,"",SUMIFS(T_TTAFStock_Log[TTAF_Qty],T_TTAFStock_Log[Part Name],$A11,T_TTAFStock_Log[WeekIndex],26))</f>
        <v/>
      </c>
      <c r="AB11" s="13">
        <f>IF(COUNTIFS(T_TTAFStock_Log[Part Name],$A11,T_TTAFStock_Log[WeekIndex],27)=0,"",SUMIFS(T_TTAFStock_Log[TTAF_Qty],T_TTAFStock_Log[Part Name],$A11,T_TTAFStock_Log[WeekIndex],27))</f>
        <v/>
      </c>
      <c r="AC11" s="13">
        <f>IF(COUNTIFS(T_TTAFStock_Log[Part Name],$A11,T_TTAFStock_Log[WeekIndex],28)=0,"",SUMIFS(T_TTAFStock_Log[TTAF_Qty],T_TTAFStock_Log[Part Name],$A11,T_TTAFStock_Log[WeekIndex],28))</f>
        <v/>
      </c>
      <c r="AD11" s="13">
        <f>IF(COUNTIFS(T_TTAFStock_Log[Part Name],$A11,T_TTAFStock_Log[WeekIndex],29)=0,"",SUMIFS(T_TTAFStock_Log[TTAF_Qty],T_TTAFStock_Log[Part Name],$A11,T_TTAFStock_Log[WeekIndex],29))</f>
        <v/>
      </c>
      <c r="AE11" s="13">
        <f>IF(COUNTIFS(T_TTAFStock_Log[Part Name],$A11,T_TTAFStock_Log[WeekIndex],30)=0,"",SUMIFS(T_TTAFStock_Log[TTAF_Qty],T_TTAFStock_Log[Part Name],$A11,T_TTAFStock_Log[WeekIndex],30))</f>
        <v/>
      </c>
      <c r="AF11" s="13">
        <f>IF(COUNTIFS(T_TTAFStock_Log[Part Name],$A11,T_TTAFStock_Log[WeekIndex],31)=0,"",SUMIFS(T_TTAFStock_Log[TTAF_Qty],T_TTAFStock_Log[Part Name],$A11,T_TTAFStock_Log[WeekIndex],31))</f>
        <v/>
      </c>
      <c r="AG11" s="13">
        <f>IF(COUNTIFS(T_TTAFStock_Log[Part Name],$A11,T_TTAFStock_Log[WeekIndex],32)=0,"",SUMIFS(T_TTAFStock_Log[TTAF_Qty],T_TTAFStock_Log[Part Name],$A11,T_TTAFStock_Log[WeekIndex],32))</f>
        <v/>
      </c>
      <c r="AH11" s="13">
        <f>IF(COUNTIFS(T_TTAFStock_Log[Part Name],$A11,T_TTAFStock_Log[WeekIndex],33)=0,"",SUMIFS(T_TTAFStock_Log[TTAF_Qty],T_TTAFStock_Log[Part Name],$A11,T_TTAFStock_Log[WeekIndex],33))</f>
        <v/>
      </c>
      <c r="AI11" s="13">
        <f>IF(COUNTIFS(T_TTAFStock_Log[Part Name],$A11,T_TTAFStock_Log[WeekIndex],34)=0,"",SUMIFS(T_TTAFStock_Log[TTAF_Qty],T_TTAFStock_Log[Part Name],$A11,T_TTAFStock_Log[WeekIndex],34))</f>
        <v/>
      </c>
      <c r="AJ11" s="13">
        <f>IF(COUNTIFS(T_TTAFStock_Log[Part Name],$A11,T_TTAFStock_Log[WeekIndex],35)=0,"",SUMIFS(T_TTAFStock_Log[TTAF_Qty],T_TTAFStock_Log[Part Name],$A11,T_TTAFStock_Log[WeekIndex],35))</f>
        <v/>
      </c>
      <c r="AK11" s="13">
        <f>IF(COUNTIFS(T_TTAFStock_Log[Part Name],$A11,T_TTAFStock_Log[WeekIndex],36)=0,"",SUMIFS(T_TTAFStock_Log[TTAF_Qty],T_TTAFStock_Log[Part Name],$A11,T_TTAFStock_Log[WeekIndex],36))</f>
        <v/>
      </c>
      <c r="AL11" s="13">
        <f>IF(COUNTIFS(T_TTAFStock_Log[Part Name],$A11,T_TTAFStock_Log[WeekIndex],37)=0,"",SUMIFS(T_TTAFStock_Log[TTAF_Qty],T_TTAFStock_Log[Part Name],$A11,T_TTAFStock_Log[WeekIndex],37))</f>
        <v/>
      </c>
      <c r="AM11" s="13">
        <f>IF(COUNTIFS(T_TTAFStock_Log[Part Name],$A11,T_TTAFStock_Log[WeekIndex],38)=0,"",SUMIFS(T_TTAFStock_Log[TTAF_Qty],T_TTAFStock_Log[Part Name],$A11,T_TTAFStock_Log[WeekIndex],38))</f>
        <v/>
      </c>
      <c r="AN11" s="13">
        <f>IF(COUNTIFS(T_TTAFStock_Log[Part Name],$A11,T_TTAFStock_Log[WeekIndex],39)=0,"",SUMIFS(T_TTAFStock_Log[TTAF_Qty],T_TTAFStock_Log[Part Name],$A11,T_TTAFStock_Log[WeekIndex],39))</f>
        <v/>
      </c>
      <c r="AO11" s="13">
        <f>IF(COUNTIFS(T_TTAFStock_Log[Part Name],$A11,T_TTAFStock_Log[WeekIndex],40)=0,"",SUMIFS(T_TTAFStock_Log[TTAF_Qty],T_TTAFStock_Log[Part Name],$A11,T_TTAFStock_Log[WeekIndex],40))</f>
        <v/>
      </c>
      <c r="AP11" s="13">
        <f>IF(COUNTIFS(T_TTAFStock_Log[Part Name],$A11,T_TTAFStock_Log[WeekIndex],41)=0,"",SUMIFS(T_TTAFStock_Log[TTAF_Qty],T_TTAFStock_Log[Part Name],$A11,T_TTAFStock_Log[WeekIndex],41))</f>
        <v/>
      </c>
      <c r="AQ11" s="13">
        <f>IF(COUNTIFS(T_TTAFStock_Log[Part Name],$A11,T_TTAFStock_Log[WeekIndex],42)=0,"",SUMIFS(T_TTAFStock_Log[TTAF_Qty],T_TTAFStock_Log[Part Name],$A11,T_TTAFStock_Log[WeekIndex],42))</f>
        <v/>
      </c>
      <c r="AR11" s="13">
        <f>IF(COUNTIFS(T_TTAFStock_Log[Part Name],$A11,T_TTAFStock_Log[WeekIndex],43)=0,"",SUMIFS(T_TTAFStock_Log[TTAF_Qty],T_TTAFStock_Log[Part Name],$A11,T_TTAFStock_Log[WeekIndex],43))</f>
        <v/>
      </c>
      <c r="AS11" s="13">
        <f>IF(COUNTIFS(T_TTAFStock_Log[Part Name],$A11,T_TTAFStock_Log[WeekIndex],44)=0,"",SUMIFS(T_TTAFStock_Log[TTAF_Qty],T_TTAFStock_Log[Part Name],$A11,T_TTAFStock_Log[WeekIndex],44))</f>
        <v/>
      </c>
      <c r="AT11" s="13">
        <f>IF(COUNTIFS(T_TTAFStock_Log[Part Name],$A11,T_TTAFStock_Log[WeekIndex],45)=0,"",SUMIFS(T_TTAFStock_Log[TTAF_Qty],T_TTAFStock_Log[Part Name],$A11,T_TTAFStock_Log[WeekIndex],45))</f>
        <v/>
      </c>
      <c r="AU11" s="13">
        <f>IF(COUNTIFS(T_TTAFStock_Log[Part Name],$A11,T_TTAFStock_Log[WeekIndex],46)=0,"",SUMIFS(T_TTAFStock_Log[TTAF_Qty],T_TTAFStock_Log[Part Name],$A11,T_TTAFStock_Log[WeekIndex],46))</f>
        <v/>
      </c>
      <c r="AV11" s="13">
        <f>IF(COUNTIFS(T_TTAFStock_Log[Part Name],$A11,T_TTAFStock_Log[WeekIndex],47)=0,"",SUMIFS(T_TTAFStock_Log[TTAF_Qty],T_TTAFStock_Log[Part Name],$A11,T_TTAFStock_Log[WeekIndex],47))</f>
        <v/>
      </c>
      <c r="AW11" s="13">
        <f>IF(COUNTIFS(T_TTAFStock_Log[Part Name],$A11,T_TTAFStock_Log[WeekIndex],48)=0,"",SUMIFS(T_TTAFStock_Log[TTAF_Qty],T_TTAFStock_Log[Part Name],$A11,T_TTAFStock_Log[WeekIndex],48))</f>
        <v/>
      </c>
      <c r="AX11" s="13">
        <f>IF(COUNTIFS(T_TTAFStock_Log[Part Name],$A11,T_TTAFStock_Log[WeekIndex],49)=0,"",SUMIFS(T_TTAFStock_Log[TTAF_Qty],T_TTAFStock_Log[Part Name],$A11,T_TTAFStock_Log[WeekIndex],49))</f>
        <v/>
      </c>
      <c r="AY11" s="13">
        <f>IF(COUNTIFS(T_TTAFStock_Log[Part Name],$A11,T_TTAFStock_Log[WeekIndex],50)=0,"",SUMIFS(T_TTAFStock_Log[TTAF_Qty],T_TTAFStock_Log[Part Name],$A11,T_TTAFStock_Log[WeekIndex],50))</f>
        <v/>
      </c>
      <c r="AZ11" s="13">
        <f>IF(COUNTIFS(T_TTAFStock_Log[Part Name],$A11,T_TTAFStock_Log[WeekIndex],51)=0,"",SUMIFS(T_TTAFStock_Log[TTAF_Qty],T_TTAFStock_Log[Part Name],$A11,T_TTAFStock_Log[WeekIndex],51))</f>
        <v/>
      </c>
      <c r="BA11" s="13">
        <f>IF(COUNTIFS(T_TTAFStock_Log[Part Name],$A11,T_TTAFStock_Log[WeekIndex],52)=0,"",SUMIFS(T_TTAFStock_Log[TTAF_Qty],T_TTAFStock_Log[Part Name],$A11,T_TTAFStock_Log[WeekIndex],52))</f>
        <v/>
      </c>
      <c r="BB11" s="13">
        <f>IF(COUNTIFS(T_TTAFStock_Log[Part Name],$A11,T_TTAFStock_Log[WeekIndex],53)=0,"",SUMIFS(T_TTAFStock_Log[TTAF_Qty],T_TTAFStock_Log[Part Name],$A11,T_TTAFStock_Log[WeekIndex],53))</f>
        <v/>
      </c>
      <c r="BC11" s="13">
        <f>IF(COUNTIFS(T_TTAFStock_Log[Part Name],$A11,T_TTAFStock_Log[WeekIndex],54)=0,"",SUMIFS(T_TTAFStock_Log[TTAF_Qty],T_TTAFStock_Log[Part Name],$A11,T_TTAFStock_Log[WeekIndex],54))</f>
        <v/>
      </c>
      <c r="BD11" s="13">
        <f>IF(COUNTIFS(T_TTAFStock_Log[Part Name],$A11,T_TTAFStock_Log[WeekIndex],55)=0,"",SUMIFS(T_TTAFStock_Log[TTAF_Qty],T_TTAFStock_Log[Part Name],$A11,T_TTAFStock_Log[WeekIndex],55))</f>
        <v/>
      </c>
      <c r="BE11" s="13">
        <f>IF(COUNTIFS(T_TTAFStock_Log[Part Name],$A11,T_TTAFStock_Log[WeekIndex],56)=0,"",SUMIFS(T_TTAFStock_Log[TTAF_Qty],T_TTAFStock_Log[Part Name],$A11,T_TTAFStock_Log[WeekIndex],56))</f>
        <v/>
      </c>
      <c r="BF11" s="13">
        <f>IF(COUNTIFS(T_TTAFStock_Log[Part Name],$A11,T_TTAFStock_Log[WeekIndex],57)=0,"",SUMIFS(T_TTAFStock_Log[TTAF_Qty],T_TTAFStock_Log[Part Name],$A11,T_TTAFStock_Log[WeekIndex],57))</f>
        <v/>
      </c>
      <c r="BG11" s="13">
        <f>IF(COUNTIFS(T_TTAFStock_Log[Part Name],$A11,T_TTAFStock_Log[WeekIndex],58)=0,"",SUMIFS(T_TTAFStock_Log[TTAF_Qty],T_TTAFStock_Log[Part Name],$A11,T_TTAFStock_Log[WeekIndex],58))</f>
        <v/>
      </c>
      <c r="BH11" s="13">
        <f>IF(COUNTIFS(T_TTAFStock_Log[Part Name],$A11,T_TTAFStock_Log[WeekIndex],59)=0,"",SUMIFS(T_TTAFStock_Log[TTAF_Qty],T_TTAFStock_Log[Part Name],$A11,T_TTAFStock_Log[WeekIndex],59))</f>
        <v/>
      </c>
      <c r="BI11" s="13">
        <f>IF(COUNTIFS(T_TTAFStock_Log[Part Name],$A11,T_TTAFStock_Log[WeekIndex],60)=0,"",SUMIFS(T_TTAFStock_Log[TTAF_Qty],T_TTAFStock_Log[Part Name],$A11,T_TTAFStock_Log[WeekIndex],60))</f>
        <v/>
      </c>
      <c r="BJ11" s="13">
        <f>IF(COUNTIFS(T_TTAFStock_Log[Part Name],$A11,T_TTAFStock_Log[WeekIndex],61)=0,"",SUMIFS(T_TTAFStock_Log[TTAF_Qty],T_TTAFStock_Log[Part Name],$A11,T_TTAFStock_Log[WeekIndex],61))</f>
        <v/>
      </c>
      <c r="BK11" s="13">
        <f>IF(COUNTIFS(T_TTAFStock_Log[Part Name],$A11,T_TTAFStock_Log[WeekIndex],62)=0,"",SUMIFS(T_TTAFStock_Log[TTAF_Qty],T_TTAFStock_Log[Part Name],$A11,T_TTAFStock_Log[WeekIndex],62))</f>
        <v/>
      </c>
      <c r="BL11" s="13">
        <f>IF(COUNTIFS(T_TTAFStock_Log[Part Name],$A11,T_TTAFStock_Log[WeekIndex],63)=0,"",SUMIFS(T_TTAFStock_Log[TTAF_Qty],T_TTAFStock_Log[Part Name],$A11,T_TTAFStock_Log[WeekIndex],63))</f>
        <v/>
      </c>
      <c r="BM11" s="13">
        <f>IF(COUNTIFS(T_TTAFStock_Log[Part Name],$A11,T_TTAFStock_Log[WeekIndex],64)=0,"",SUMIFS(T_TTAFStock_Log[TTAF_Qty],T_TTAFStock_Log[Part Name],$A11,T_TTAFStock_Log[WeekIndex],64))</f>
        <v/>
      </c>
      <c r="BN11" s="13">
        <f>IF(COUNTIFS(T_TTAFStock_Log[Part Name],$A11,T_TTAFStock_Log[WeekIndex],65)=0,"",SUMIFS(T_TTAFStock_Log[TTAF_Qty],T_TTAFStock_Log[Part Name],$A11,T_TTAFStock_Log[WeekIndex],65))</f>
        <v/>
      </c>
      <c r="BO11" s="13">
        <f>IF(COUNTIFS(T_TTAFStock_Log[Part Name],$A11,T_TTAFStock_Log[WeekIndex],66)=0,"",SUMIFS(T_TTAFStock_Log[TTAF_Qty],T_TTAFStock_Log[Part Name],$A11,T_TTAFStock_Log[WeekIndex],66))</f>
        <v/>
      </c>
      <c r="BP11" s="13">
        <f>IF(COUNTIFS(T_TTAFStock_Log[Part Name],$A11,T_TTAFStock_Log[WeekIndex],67)=0,"",SUMIFS(T_TTAFStock_Log[TTAF_Qty],T_TTAFStock_Log[Part Name],$A11,T_TTAFStock_Log[WeekIndex],67))</f>
        <v/>
      </c>
      <c r="BQ11" s="13">
        <f>IF(COUNTIFS(T_TTAFStock_Log[Part Name],$A11,T_TTAFStock_Log[WeekIndex],68)=0,"",SUMIFS(T_TTAFStock_Log[TTAF_Qty],T_TTAFStock_Log[Part Name],$A11,T_TTAFStock_Log[WeekIndex],68))</f>
        <v/>
      </c>
      <c r="BR11" s="13">
        <f>IF(COUNTIFS(T_TTAFStock_Log[Part Name],$A11,T_TTAFStock_Log[WeekIndex],69)=0,"",SUMIFS(T_TTAFStock_Log[TTAF_Qty],T_TTAFStock_Log[Part Name],$A11,T_TTAFStock_Log[WeekIndex],69))</f>
        <v/>
      </c>
      <c r="BS11" s="13">
        <f>IF(COUNTIFS(T_TTAFStock_Log[Part Name],$A11,T_TTAFStock_Log[WeekIndex],70)=0,"",SUMIFS(T_TTAFStock_Log[TTAF_Qty],T_TTAFStock_Log[Part Name],$A11,T_TTAFStock_Log[WeekIndex],70))</f>
        <v/>
      </c>
      <c r="BT11" s="13">
        <f>IF(COUNTIFS(T_TTAFStock_Log[Part Name],$A11,T_TTAFStock_Log[WeekIndex],71)=0,"",SUMIFS(T_TTAFStock_Log[TTAF_Qty],T_TTAFStock_Log[Part Name],$A11,T_TTAFStock_Log[WeekIndex],71))</f>
        <v/>
      </c>
      <c r="BU11" s="13">
        <f>IF(COUNTIFS(T_TTAFStock_Log[Part Name],$A11,T_TTAFStock_Log[WeekIndex],72)=0,"",SUMIFS(T_TTAFStock_Log[TTAF_Qty],T_TTAFStock_Log[Part Name],$A11,T_TTAFStock_Log[WeekIndex],72))</f>
        <v/>
      </c>
      <c r="BV11" s="13">
        <f>IF(COUNTIFS(T_TTAFStock_Log[Part Name],$A11,T_TTAFStock_Log[WeekIndex],73)=0,"",SUMIFS(T_TTAFStock_Log[TTAF_Qty],T_TTAFStock_Log[Part Name],$A11,T_TTAFStock_Log[WeekIndex],73))</f>
        <v/>
      </c>
      <c r="BW11" s="13">
        <f>IF(COUNTIFS(T_TTAFStock_Log[Part Name],$A11,T_TTAFStock_Log[WeekIndex],74)=0,"",SUMIFS(T_TTAFStock_Log[TTAF_Qty],T_TTAFStock_Log[Part Name],$A11,T_TTAFStock_Log[WeekIndex],74))</f>
        <v/>
      </c>
      <c r="BX11" s="13">
        <f>IF(COUNTIFS(T_TTAFStock_Log[Part Name],$A11,T_TTAFStock_Log[WeekIndex],75)=0,"",SUMIFS(T_TTAFStock_Log[TTAF_Qty],T_TTAFStock_Log[Part Name],$A11,T_TTAFStock_Log[WeekIndex],75))</f>
        <v/>
      </c>
      <c r="BY11" s="13">
        <f>IF(COUNTIFS(T_TTAFStock_Log[Part Name],$A11,T_TTAFStock_Log[WeekIndex],76)=0,"",SUMIFS(T_TTAFStock_Log[TTAF_Qty],T_TTAFStock_Log[Part Name],$A11,T_TTAFStock_Log[WeekIndex],76))</f>
        <v/>
      </c>
      <c r="BZ11" s="13">
        <f>IF(COUNTIFS(T_TTAFStock_Log[Part Name],$A11,T_TTAFStock_Log[WeekIndex],77)=0,"",SUMIFS(T_TTAFStock_Log[TTAF_Qty],T_TTAFStock_Log[Part Name],$A11,T_TTAFStock_Log[WeekIndex],77))</f>
        <v/>
      </c>
      <c r="CA11" s="13">
        <f>IF(COUNTIFS(T_TTAFStock_Log[Part Name],$A11,T_TTAFStock_Log[WeekIndex],78)=0,"",SUMIFS(T_TTAFStock_Log[TTAF_Qty],T_TTAFStock_Log[Part Name],$A11,T_TTAFStock_Log[WeekIndex],78))</f>
        <v/>
      </c>
      <c r="CB11" s="13">
        <f>IF(COUNTIFS(T_TTAFStock_Log[Part Name],$A11,T_TTAFStock_Log[WeekIndex],79)=0,"",SUMIFS(T_TTAFStock_Log[TTAF_Qty],T_TTAFStock_Log[Part Name],$A11,T_TTAFStock_Log[WeekIndex],79))</f>
        <v/>
      </c>
      <c r="CC11" s="13">
        <f>IF(COUNTIFS(T_TTAFStock_Log[Part Name],$A11,T_TTAFStock_Log[WeekIndex],80)=0,"",SUMIFS(T_TTAFStock_Log[TTAF_Qty],T_TTAFStock_Log[Part Name],$A11,T_TTAFStock_Log[WeekIndex],80))</f>
        <v/>
      </c>
      <c r="CD11" s="13">
        <f>IF(COUNTIFS(T_TTAFStock_Log[Part Name],$A11,T_TTAFStock_Log[WeekIndex],81)=0,"",SUMIFS(T_TTAFStock_Log[TTAF_Qty],T_TTAFStock_Log[Part Name],$A11,T_TTAFStock_Log[WeekIndex],81))</f>
        <v/>
      </c>
      <c r="CE11" s="13">
        <f>IF(COUNTIFS(T_TTAFStock_Log[Part Name],$A11,T_TTAFStock_Log[WeekIndex],82)=0,"",SUMIFS(T_TTAFStock_Log[TTAF_Qty],T_TTAFStock_Log[Part Name],$A11,T_TTAFStock_Log[WeekIndex],82))</f>
        <v/>
      </c>
      <c r="CF11" s="13">
        <f>IF(COUNTIFS(T_TTAFStock_Log[Part Name],$A11,T_TTAFStock_Log[WeekIndex],83)=0,"",SUMIFS(T_TTAFStock_Log[TTAF_Qty],T_TTAFStock_Log[Part Name],$A11,T_TTAFStock_Log[WeekIndex],83))</f>
        <v/>
      </c>
      <c r="CG11" s="13">
        <f>IF(COUNTIFS(T_TTAFStock_Log[Part Name],$A11,T_TTAFStock_Log[WeekIndex],84)=0,"",SUMIFS(T_TTAFStock_Log[TTAF_Qty],T_TTAFStock_Log[Part Name],$A11,T_TTAFStock_Log[WeekIndex],84))</f>
        <v/>
      </c>
      <c r="CH11" s="13">
        <f>IF(COUNTIFS(T_TTAFStock_Log[Part Name],$A11,T_TTAFStock_Log[WeekIndex],85)=0,"",SUMIFS(T_TTAFStock_Log[TTAF_Qty],T_TTAFStock_Log[Part Name],$A11,T_TTAFStock_Log[WeekIndex],85))</f>
        <v/>
      </c>
      <c r="CI11" s="13">
        <f>IF(COUNTIFS(T_TTAFStock_Log[Part Name],$A11,T_TTAFStock_Log[WeekIndex],86)=0,"",SUMIFS(T_TTAFStock_Log[TTAF_Qty],T_TTAFStock_Log[Part Name],$A11,T_TTAFStock_Log[WeekIndex],86))</f>
        <v/>
      </c>
      <c r="CJ11" s="13">
        <f>IF(COUNTIFS(T_TTAFStock_Log[Part Name],$A11,T_TTAFStock_Log[WeekIndex],87)=0,"",SUMIFS(T_TTAFStock_Log[TTAF_Qty],T_TTAFStock_Log[Part Name],$A11,T_TTAFStock_Log[WeekIndex],87))</f>
        <v/>
      </c>
      <c r="CK11" s="13">
        <f>IF(COUNTIFS(T_TTAFStock_Log[Part Name],$A11,T_TTAFStock_Log[WeekIndex],88)=0,"",SUMIFS(T_TTAFStock_Log[TTAF_Qty],T_TTAFStock_Log[Part Name],$A11,T_TTAFStock_Log[WeekIndex],88))</f>
        <v/>
      </c>
      <c r="CL11" s="13">
        <f>IF(COUNTIFS(T_TTAFStock_Log[Part Name],$A11,T_TTAFStock_Log[WeekIndex],89)=0,"",SUMIFS(T_TTAFStock_Log[TTAF_Qty],T_TTAFStock_Log[Part Name],$A11,T_TTAFStock_Log[WeekIndex],89))</f>
        <v/>
      </c>
      <c r="CM11" s="13">
        <f>IF(COUNTIFS(T_TTAFStock_Log[Part Name],$A11,T_TTAFStock_Log[WeekIndex],90)=0,"",SUMIFS(T_TTAFStock_Log[TTAF_Qty],T_TTAFStock_Log[Part Name],$A11,T_TTAFStock_Log[WeekIndex],90))</f>
        <v/>
      </c>
      <c r="CN11" s="13">
        <f>IF(COUNTIFS(T_TTAFStock_Log[Part Name],$A11,T_TTAFStock_Log[WeekIndex],91)=0,"",SUMIFS(T_TTAFStock_Log[TTAF_Qty],T_TTAFStock_Log[Part Name],$A11,T_TTAFStock_Log[WeekIndex],91))</f>
        <v/>
      </c>
      <c r="CO11" s="13">
        <f>IF(COUNTIFS(T_TTAFStock_Log[Part Name],$A11,T_TTAFStock_Log[WeekIndex],92)=0,"",SUMIFS(T_TTAFStock_Log[TTAF_Qty],T_TTAFStock_Log[Part Name],$A11,T_TTAFStock_Log[WeekIndex],92))</f>
        <v/>
      </c>
      <c r="CP11" s="13">
        <f>IF(COUNTIFS(T_TTAFStock_Log[Part Name],$A11,T_TTAFStock_Log[WeekIndex],93)=0,"",SUMIFS(T_TTAFStock_Log[TTAF_Qty],T_TTAFStock_Log[Part Name],$A11,T_TTAFStock_Log[WeekIndex],93))</f>
        <v/>
      </c>
      <c r="CQ11" s="13">
        <f>IF(COUNTIFS(T_TTAFStock_Log[Part Name],$A11,T_TTAFStock_Log[WeekIndex],94)=0,"",SUMIFS(T_TTAFStock_Log[TTAF_Qty],T_TTAFStock_Log[Part Name],$A11,T_TTAFStock_Log[WeekIndex],94))</f>
        <v/>
      </c>
      <c r="CR11" s="13">
        <f>IF(COUNTIFS(T_TTAFStock_Log[Part Name],$A11,T_TTAFStock_Log[WeekIndex],95)=0,"",SUMIFS(T_TTAFStock_Log[TTAF_Qty],T_TTAFStock_Log[Part Name],$A11,T_TTAFStock_Log[WeekIndex],95))</f>
        <v/>
      </c>
      <c r="CS11" s="13">
        <f>IF(COUNTIFS(T_TTAFStock_Log[Part Name],$A11,T_TTAFStock_Log[WeekIndex],96)=0,"",SUMIFS(T_TTAFStock_Log[TTAF_Qty],T_TTAFStock_Log[Part Name],$A11,T_TTAFStock_Log[WeekIndex],96))</f>
        <v/>
      </c>
      <c r="CT11" s="13">
        <f>IF(COUNTIFS(T_TTAFStock_Log[Part Name],$A11,T_TTAFStock_Log[WeekIndex],97)=0,"",SUMIFS(T_TTAFStock_Log[TTAF_Qty],T_TTAFStock_Log[Part Name],$A11,T_TTAFStock_Log[WeekIndex],97))</f>
        <v/>
      </c>
      <c r="CU11" s="13">
        <f>IF(COUNTIFS(T_TTAFStock_Log[Part Name],$A11,T_TTAFStock_Log[WeekIndex],98)=0,"",SUMIFS(T_TTAFStock_Log[TTAF_Qty],T_TTAFStock_Log[Part Name],$A11,T_TTAFStock_Log[WeekIndex],98))</f>
        <v/>
      </c>
      <c r="CV11" s="13">
        <f>IF(COUNTIFS(T_TTAFStock_Log[Part Name],$A11,T_TTAFStock_Log[WeekIndex],99)=0,"",SUMIFS(T_TTAFStock_Log[TTAF_Qty],T_TTAFStock_Log[Part Name],$A11,T_TTAFStock_Log[WeekIndex],99))</f>
        <v/>
      </c>
      <c r="CW11" s="13">
        <f>IF(COUNTIFS(T_TTAFStock_Log[Part Name],$A11,T_TTAFStock_Log[WeekIndex],100)=0,"",SUMIFS(T_TTAFStock_Log[TTAF_Qty],T_TTAFStock_Log[Part Name],$A11,T_TTAFStock_Log[WeekIndex],100))</f>
        <v/>
      </c>
      <c r="CX11" s="13">
        <f>IF(COUNTIFS(T_TTAFStock_Log[Part Name],$A11,T_TTAFStock_Log[WeekIndex],101)=0,"",SUMIFS(T_TTAFStock_Log[TTAF_Qty],T_TTAFStock_Log[Part Name],$A11,T_TTAFStock_Log[WeekIndex],101))</f>
        <v/>
      </c>
      <c r="CY11" s="13">
        <f>IF(COUNTIFS(T_TTAFStock_Log[Part Name],$A11,T_TTAFStock_Log[WeekIndex],102)=0,"",SUMIFS(T_TTAFStock_Log[TTAF_Qty],T_TTAFStock_Log[Part Name],$A11,T_TTAFStock_Log[WeekIndex],102))</f>
        <v/>
      </c>
      <c r="CZ11" s="13">
        <f>IF(COUNTIFS(T_TTAFStock_Log[Part Name],$A11,T_TTAFStock_Log[WeekIndex],103)=0,"",SUMIFS(T_TTAFStock_Log[TTAF_Qty],T_TTAFStock_Log[Part Name],$A11,T_TTAFStock_Log[WeekIndex],103))</f>
        <v/>
      </c>
      <c r="DA11" s="13">
        <f>IF(COUNTIFS(T_TTAFStock_Log[Part Name],$A11,T_TTAFStock_Log[WeekIndex],104)=0,"",SUMIFS(T_TTAFStock_Log[TTAF_Qty],T_TTAFStock_Log[Part Name],$A11,T_TTAFStock_Log[WeekIndex],104))</f>
        <v/>
      </c>
    </row>
    <row r="12">
      <c r="A12" s="12" t="inlineStr">
        <is>
          <t>CHEM-1690</t>
        </is>
      </c>
      <c r="B12" s="12">
        <f>IF(COUNTIFS(T_TTAFStock_Log[Part Name],$A12,T_TTAFStock_Log[WeekIndex],1)=0,"",SUMIFS(T_TTAFStock_Log[TTAF_Qty],T_TTAFStock_Log[Part Name],$A12,T_TTAFStock_Log[WeekIndex],1))</f>
        <v/>
      </c>
      <c r="C12" s="12">
        <f>IF(COUNTIFS(T_TTAFStock_Log[Part Name],$A12,T_TTAFStock_Log[WeekIndex],2)=0,"",SUMIFS(T_TTAFStock_Log[TTAF_Qty],T_TTAFStock_Log[Part Name],$A12,T_TTAFStock_Log[WeekIndex],2))</f>
        <v/>
      </c>
      <c r="D12" s="12">
        <f>IF(COUNTIFS(T_TTAFStock_Log[Part Name],$A12,T_TTAFStock_Log[WeekIndex],3)=0,"",SUMIFS(T_TTAFStock_Log[TTAF_Qty],T_TTAFStock_Log[Part Name],$A12,T_TTAFStock_Log[WeekIndex],3))</f>
        <v/>
      </c>
      <c r="E12" s="12">
        <f>IF(COUNTIFS(T_TTAFStock_Log[Part Name],$A12,T_TTAFStock_Log[WeekIndex],4)=0,"",SUMIFS(T_TTAFStock_Log[TTAF_Qty],T_TTAFStock_Log[Part Name],$A12,T_TTAFStock_Log[WeekIndex],4))</f>
        <v/>
      </c>
      <c r="F12" s="12">
        <f>IF(COUNTIFS(T_TTAFStock_Log[Part Name],$A12,T_TTAFStock_Log[WeekIndex],5)=0,"",SUMIFS(T_TTAFStock_Log[TTAF_Qty],T_TTAFStock_Log[Part Name],$A12,T_TTAFStock_Log[WeekIndex],5))</f>
        <v/>
      </c>
      <c r="G12" s="12">
        <f>IF(COUNTIFS(T_TTAFStock_Log[Part Name],$A12,T_TTAFStock_Log[WeekIndex],6)=0,"",SUMIFS(T_TTAFStock_Log[TTAF_Qty],T_TTAFStock_Log[Part Name],$A12,T_TTAFStock_Log[WeekIndex],6))</f>
        <v/>
      </c>
      <c r="H12" s="12">
        <f>IF(COUNTIFS(T_TTAFStock_Log[Part Name],$A12,T_TTAFStock_Log[WeekIndex],7)=0,"",SUMIFS(T_TTAFStock_Log[TTAF_Qty],T_TTAFStock_Log[Part Name],$A12,T_TTAFStock_Log[WeekIndex],7))</f>
        <v/>
      </c>
      <c r="I12" s="12">
        <f>IF(COUNTIFS(T_TTAFStock_Log[Part Name],$A12,T_TTAFStock_Log[WeekIndex],8)=0,"",SUMIFS(T_TTAFStock_Log[TTAF_Qty],T_TTAFStock_Log[Part Name],$A12,T_TTAFStock_Log[WeekIndex],8))</f>
        <v/>
      </c>
      <c r="J12" s="12">
        <f>IF(COUNTIFS(T_TTAFStock_Log[Part Name],$A12,T_TTAFStock_Log[WeekIndex],9)=0,"",SUMIFS(T_TTAFStock_Log[TTAF_Qty],T_TTAFStock_Log[Part Name],$A12,T_TTAFStock_Log[WeekIndex],9))</f>
        <v/>
      </c>
      <c r="K12" s="12">
        <f>IF(COUNTIFS(T_TTAFStock_Log[Part Name],$A12,T_TTAFStock_Log[WeekIndex],10)=0,"",SUMIFS(T_TTAFStock_Log[TTAF_Qty],T_TTAFStock_Log[Part Name],$A12,T_TTAFStock_Log[WeekIndex],10))</f>
        <v/>
      </c>
      <c r="L12" s="12">
        <f>IF(COUNTIFS(T_TTAFStock_Log[Part Name],$A12,T_TTAFStock_Log[WeekIndex],11)=0,"",SUMIFS(T_TTAFStock_Log[TTAF_Qty],T_TTAFStock_Log[Part Name],$A12,T_TTAFStock_Log[WeekIndex],11))</f>
        <v/>
      </c>
      <c r="M12" s="12">
        <f>IF(COUNTIFS(T_TTAFStock_Log[Part Name],$A12,T_TTAFStock_Log[WeekIndex],12)=0,"",SUMIFS(T_TTAFStock_Log[TTAF_Qty],T_TTAFStock_Log[Part Name],$A12,T_TTAFStock_Log[WeekIndex],12))</f>
        <v/>
      </c>
      <c r="N12" s="12">
        <f>IF(COUNTIFS(T_TTAFStock_Log[Part Name],$A12,T_TTAFStock_Log[WeekIndex],13)=0,"",SUMIFS(T_TTAFStock_Log[TTAF_Qty],T_TTAFStock_Log[Part Name],$A12,T_TTAFStock_Log[WeekIndex],13))</f>
        <v/>
      </c>
      <c r="O12" s="12">
        <f>IF(COUNTIFS(T_TTAFStock_Log[Part Name],$A12,T_TTAFStock_Log[WeekIndex],14)=0,"",SUMIFS(T_TTAFStock_Log[TTAF_Qty],T_TTAFStock_Log[Part Name],$A12,T_TTAFStock_Log[WeekIndex],14))</f>
        <v/>
      </c>
      <c r="P12" s="12">
        <f>IF(COUNTIFS(T_TTAFStock_Log[Part Name],$A12,T_TTAFStock_Log[WeekIndex],15)=0,"",SUMIFS(T_TTAFStock_Log[TTAF_Qty],T_TTAFStock_Log[Part Name],$A12,T_TTAFStock_Log[WeekIndex],15))</f>
        <v/>
      </c>
      <c r="Q12" s="12">
        <f>IF(COUNTIFS(T_TTAFStock_Log[Part Name],$A12,T_TTAFStock_Log[WeekIndex],16)=0,"",SUMIFS(T_TTAFStock_Log[TTAF_Qty],T_TTAFStock_Log[Part Name],$A12,T_TTAFStock_Log[WeekIndex],16))</f>
        <v/>
      </c>
      <c r="R12" s="12">
        <f>IF(COUNTIFS(T_TTAFStock_Log[Part Name],$A12,T_TTAFStock_Log[WeekIndex],17)=0,"",SUMIFS(T_TTAFStock_Log[TTAF_Qty],T_TTAFStock_Log[Part Name],$A12,T_TTAFStock_Log[WeekIndex],17))</f>
        <v/>
      </c>
      <c r="S12" s="12">
        <f>IF(COUNTIFS(T_TTAFStock_Log[Part Name],$A12,T_TTAFStock_Log[WeekIndex],18)=0,"",SUMIFS(T_TTAFStock_Log[TTAF_Qty],T_TTAFStock_Log[Part Name],$A12,T_TTAFStock_Log[WeekIndex],18))</f>
        <v/>
      </c>
      <c r="T12" s="12">
        <f>IF(COUNTIFS(T_TTAFStock_Log[Part Name],$A12,T_TTAFStock_Log[WeekIndex],19)=0,"",SUMIFS(T_TTAFStock_Log[TTAF_Qty],T_TTAFStock_Log[Part Name],$A12,T_TTAFStock_Log[WeekIndex],19))</f>
        <v/>
      </c>
      <c r="U12" s="12">
        <f>IF(COUNTIFS(T_TTAFStock_Log[Part Name],$A12,T_TTAFStock_Log[WeekIndex],20)=0,"",SUMIFS(T_TTAFStock_Log[TTAF_Qty],T_TTAFStock_Log[Part Name],$A12,T_TTAFStock_Log[WeekIndex],20))</f>
        <v/>
      </c>
      <c r="V12" s="12">
        <f>IF(COUNTIFS(T_TTAFStock_Log[Part Name],$A12,T_TTAFStock_Log[WeekIndex],21)=0,"",SUMIFS(T_TTAFStock_Log[TTAF_Qty],T_TTAFStock_Log[Part Name],$A12,T_TTAFStock_Log[WeekIndex],21))</f>
        <v/>
      </c>
      <c r="W12" s="12">
        <f>IF(COUNTIFS(T_TTAFStock_Log[Part Name],$A12,T_TTAFStock_Log[WeekIndex],22)=0,"",SUMIFS(T_TTAFStock_Log[TTAF_Qty],T_TTAFStock_Log[Part Name],$A12,T_TTAFStock_Log[WeekIndex],22))</f>
        <v/>
      </c>
      <c r="X12" s="12">
        <f>IF(COUNTIFS(T_TTAFStock_Log[Part Name],$A12,T_TTAFStock_Log[WeekIndex],23)=0,"",SUMIFS(T_TTAFStock_Log[TTAF_Qty],T_TTAFStock_Log[Part Name],$A12,T_TTAFStock_Log[WeekIndex],23))</f>
        <v/>
      </c>
      <c r="Y12" s="12">
        <f>IF(COUNTIFS(T_TTAFStock_Log[Part Name],$A12,T_TTAFStock_Log[WeekIndex],24)=0,"",SUMIFS(T_TTAFStock_Log[TTAF_Qty],T_TTAFStock_Log[Part Name],$A12,T_TTAFStock_Log[WeekIndex],24))</f>
        <v/>
      </c>
      <c r="Z12" s="12">
        <f>IF(COUNTIFS(T_TTAFStock_Log[Part Name],$A12,T_TTAFStock_Log[WeekIndex],25)=0,"",SUMIFS(T_TTAFStock_Log[TTAF_Qty],T_TTAFStock_Log[Part Name],$A12,T_TTAFStock_Log[WeekIndex],25))</f>
        <v/>
      </c>
      <c r="AA12" s="12">
        <f>IF(COUNTIFS(T_TTAFStock_Log[Part Name],$A12,T_TTAFStock_Log[WeekIndex],26)=0,"",SUMIFS(T_TTAFStock_Log[TTAF_Qty],T_TTAFStock_Log[Part Name],$A12,T_TTAFStock_Log[WeekIndex],26))</f>
        <v/>
      </c>
      <c r="AB12" s="12">
        <f>IF(COUNTIFS(T_TTAFStock_Log[Part Name],$A12,T_TTAFStock_Log[WeekIndex],27)=0,"",SUMIFS(T_TTAFStock_Log[TTAF_Qty],T_TTAFStock_Log[Part Name],$A12,T_TTAFStock_Log[WeekIndex],27))</f>
        <v/>
      </c>
      <c r="AC12" s="12">
        <f>IF(COUNTIFS(T_TTAFStock_Log[Part Name],$A12,T_TTAFStock_Log[WeekIndex],28)=0,"",SUMIFS(T_TTAFStock_Log[TTAF_Qty],T_TTAFStock_Log[Part Name],$A12,T_TTAFStock_Log[WeekIndex],28))</f>
        <v/>
      </c>
      <c r="AD12" s="12">
        <f>IF(COUNTIFS(T_TTAFStock_Log[Part Name],$A12,T_TTAFStock_Log[WeekIndex],29)=0,"",SUMIFS(T_TTAFStock_Log[TTAF_Qty],T_TTAFStock_Log[Part Name],$A12,T_TTAFStock_Log[WeekIndex],29))</f>
        <v/>
      </c>
      <c r="AE12" s="12">
        <f>IF(COUNTIFS(T_TTAFStock_Log[Part Name],$A12,T_TTAFStock_Log[WeekIndex],30)=0,"",SUMIFS(T_TTAFStock_Log[TTAF_Qty],T_TTAFStock_Log[Part Name],$A12,T_TTAFStock_Log[WeekIndex],30))</f>
        <v/>
      </c>
      <c r="AF12" s="12">
        <f>IF(COUNTIFS(T_TTAFStock_Log[Part Name],$A12,T_TTAFStock_Log[WeekIndex],31)=0,"",SUMIFS(T_TTAFStock_Log[TTAF_Qty],T_TTAFStock_Log[Part Name],$A12,T_TTAFStock_Log[WeekIndex],31))</f>
        <v/>
      </c>
      <c r="AG12" s="12">
        <f>IF(COUNTIFS(T_TTAFStock_Log[Part Name],$A12,T_TTAFStock_Log[WeekIndex],32)=0,"",SUMIFS(T_TTAFStock_Log[TTAF_Qty],T_TTAFStock_Log[Part Name],$A12,T_TTAFStock_Log[WeekIndex],32))</f>
        <v/>
      </c>
      <c r="AH12" s="12">
        <f>IF(COUNTIFS(T_TTAFStock_Log[Part Name],$A12,T_TTAFStock_Log[WeekIndex],33)=0,"",SUMIFS(T_TTAFStock_Log[TTAF_Qty],T_TTAFStock_Log[Part Name],$A12,T_TTAFStock_Log[WeekIndex],33))</f>
        <v/>
      </c>
      <c r="AI12" s="12">
        <f>IF(COUNTIFS(T_TTAFStock_Log[Part Name],$A12,T_TTAFStock_Log[WeekIndex],34)=0,"",SUMIFS(T_TTAFStock_Log[TTAF_Qty],T_TTAFStock_Log[Part Name],$A12,T_TTAFStock_Log[WeekIndex],34))</f>
        <v/>
      </c>
      <c r="AJ12" s="12">
        <f>IF(COUNTIFS(T_TTAFStock_Log[Part Name],$A12,T_TTAFStock_Log[WeekIndex],35)=0,"",SUMIFS(T_TTAFStock_Log[TTAF_Qty],T_TTAFStock_Log[Part Name],$A12,T_TTAFStock_Log[WeekIndex],35))</f>
        <v/>
      </c>
      <c r="AK12" s="12">
        <f>IF(COUNTIFS(T_TTAFStock_Log[Part Name],$A12,T_TTAFStock_Log[WeekIndex],36)=0,"",SUMIFS(T_TTAFStock_Log[TTAF_Qty],T_TTAFStock_Log[Part Name],$A12,T_TTAFStock_Log[WeekIndex],36))</f>
        <v/>
      </c>
      <c r="AL12" s="12">
        <f>IF(COUNTIFS(T_TTAFStock_Log[Part Name],$A12,T_TTAFStock_Log[WeekIndex],37)=0,"",SUMIFS(T_TTAFStock_Log[TTAF_Qty],T_TTAFStock_Log[Part Name],$A12,T_TTAFStock_Log[WeekIndex],37))</f>
        <v/>
      </c>
      <c r="AM12" s="12">
        <f>IF(COUNTIFS(T_TTAFStock_Log[Part Name],$A12,T_TTAFStock_Log[WeekIndex],38)=0,"",SUMIFS(T_TTAFStock_Log[TTAF_Qty],T_TTAFStock_Log[Part Name],$A12,T_TTAFStock_Log[WeekIndex],38))</f>
        <v/>
      </c>
      <c r="AN12" s="12">
        <f>IF(COUNTIFS(T_TTAFStock_Log[Part Name],$A12,T_TTAFStock_Log[WeekIndex],39)=0,"",SUMIFS(T_TTAFStock_Log[TTAF_Qty],T_TTAFStock_Log[Part Name],$A12,T_TTAFStock_Log[WeekIndex],39))</f>
        <v/>
      </c>
      <c r="AO12" s="12">
        <f>IF(COUNTIFS(T_TTAFStock_Log[Part Name],$A12,T_TTAFStock_Log[WeekIndex],40)=0,"",SUMIFS(T_TTAFStock_Log[TTAF_Qty],T_TTAFStock_Log[Part Name],$A12,T_TTAFStock_Log[WeekIndex],40))</f>
        <v/>
      </c>
      <c r="AP12" s="12">
        <f>IF(COUNTIFS(T_TTAFStock_Log[Part Name],$A12,T_TTAFStock_Log[WeekIndex],41)=0,"",SUMIFS(T_TTAFStock_Log[TTAF_Qty],T_TTAFStock_Log[Part Name],$A12,T_TTAFStock_Log[WeekIndex],41))</f>
        <v/>
      </c>
      <c r="AQ12" s="12">
        <f>IF(COUNTIFS(T_TTAFStock_Log[Part Name],$A12,T_TTAFStock_Log[WeekIndex],42)=0,"",SUMIFS(T_TTAFStock_Log[TTAF_Qty],T_TTAFStock_Log[Part Name],$A12,T_TTAFStock_Log[WeekIndex],42))</f>
        <v/>
      </c>
      <c r="AR12" s="12">
        <f>IF(COUNTIFS(T_TTAFStock_Log[Part Name],$A12,T_TTAFStock_Log[WeekIndex],43)=0,"",SUMIFS(T_TTAFStock_Log[TTAF_Qty],T_TTAFStock_Log[Part Name],$A12,T_TTAFStock_Log[WeekIndex],43))</f>
        <v/>
      </c>
      <c r="AS12" s="12">
        <f>IF(COUNTIFS(T_TTAFStock_Log[Part Name],$A12,T_TTAFStock_Log[WeekIndex],44)=0,"",SUMIFS(T_TTAFStock_Log[TTAF_Qty],T_TTAFStock_Log[Part Name],$A12,T_TTAFStock_Log[WeekIndex],44))</f>
        <v/>
      </c>
      <c r="AT12" s="12">
        <f>IF(COUNTIFS(T_TTAFStock_Log[Part Name],$A12,T_TTAFStock_Log[WeekIndex],45)=0,"",SUMIFS(T_TTAFStock_Log[TTAF_Qty],T_TTAFStock_Log[Part Name],$A12,T_TTAFStock_Log[WeekIndex],45))</f>
        <v/>
      </c>
      <c r="AU12" s="12">
        <f>IF(COUNTIFS(T_TTAFStock_Log[Part Name],$A12,T_TTAFStock_Log[WeekIndex],46)=0,"",SUMIFS(T_TTAFStock_Log[TTAF_Qty],T_TTAFStock_Log[Part Name],$A12,T_TTAFStock_Log[WeekIndex],46))</f>
        <v/>
      </c>
      <c r="AV12" s="12">
        <f>IF(COUNTIFS(T_TTAFStock_Log[Part Name],$A12,T_TTAFStock_Log[WeekIndex],47)=0,"",SUMIFS(T_TTAFStock_Log[TTAF_Qty],T_TTAFStock_Log[Part Name],$A12,T_TTAFStock_Log[WeekIndex],47))</f>
        <v/>
      </c>
      <c r="AW12" s="12">
        <f>IF(COUNTIFS(T_TTAFStock_Log[Part Name],$A12,T_TTAFStock_Log[WeekIndex],48)=0,"",SUMIFS(T_TTAFStock_Log[TTAF_Qty],T_TTAFStock_Log[Part Name],$A12,T_TTAFStock_Log[WeekIndex],48))</f>
        <v/>
      </c>
      <c r="AX12" s="12">
        <f>IF(COUNTIFS(T_TTAFStock_Log[Part Name],$A12,T_TTAFStock_Log[WeekIndex],49)=0,"",SUMIFS(T_TTAFStock_Log[TTAF_Qty],T_TTAFStock_Log[Part Name],$A12,T_TTAFStock_Log[WeekIndex],49))</f>
        <v/>
      </c>
      <c r="AY12" s="12">
        <f>IF(COUNTIFS(T_TTAFStock_Log[Part Name],$A12,T_TTAFStock_Log[WeekIndex],50)=0,"",SUMIFS(T_TTAFStock_Log[TTAF_Qty],T_TTAFStock_Log[Part Name],$A12,T_TTAFStock_Log[WeekIndex],50))</f>
        <v/>
      </c>
      <c r="AZ12" s="12">
        <f>IF(COUNTIFS(T_TTAFStock_Log[Part Name],$A12,T_TTAFStock_Log[WeekIndex],51)=0,"",SUMIFS(T_TTAFStock_Log[TTAF_Qty],T_TTAFStock_Log[Part Name],$A12,T_TTAFStock_Log[WeekIndex],51))</f>
        <v/>
      </c>
      <c r="BA12" s="12">
        <f>IF(COUNTIFS(T_TTAFStock_Log[Part Name],$A12,T_TTAFStock_Log[WeekIndex],52)=0,"",SUMIFS(T_TTAFStock_Log[TTAF_Qty],T_TTAFStock_Log[Part Name],$A12,T_TTAFStock_Log[WeekIndex],52))</f>
        <v/>
      </c>
      <c r="BB12" s="12">
        <f>IF(COUNTIFS(T_TTAFStock_Log[Part Name],$A12,T_TTAFStock_Log[WeekIndex],53)=0,"",SUMIFS(T_TTAFStock_Log[TTAF_Qty],T_TTAFStock_Log[Part Name],$A12,T_TTAFStock_Log[WeekIndex],53))</f>
        <v/>
      </c>
      <c r="BC12" s="12">
        <f>IF(COUNTIFS(T_TTAFStock_Log[Part Name],$A12,T_TTAFStock_Log[WeekIndex],54)=0,"",SUMIFS(T_TTAFStock_Log[TTAF_Qty],T_TTAFStock_Log[Part Name],$A12,T_TTAFStock_Log[WeekIndex],54))</f>
        <v/>
      </c>
      <c r="BD12" s="12">
        <f>IF(COUNTIFS(T_TTAFStock_Log[Part Name],$A12,T_TTAFStock_Log[WeekIndex],55)=0,"",SUMIFS(T_TTAFStock_Log[TTAF_Qty],T_TTAFStock_Log[Part Name],$A12,T_TTAFStock_Log[WeekIndex],55))</f>
        <v/>
      </c>
      <c r="BE12" s="12">
        <f>IF(COUNTIFS(T_TTAFStock_Log[Part Name],$A12,T_TTAFStock_Log[WeekIndex],56)=0,"",SUMIFS(T_TTAFStock_Log[TTAF_Qty],T_TTAFStock_Log[Part Name],$A12,T_TTAFStock_Log[WeekIndex],56))</f>
        <v/>
      </c>
      <c r="BF12" s="12">
        <f>IF(COUNTIFS(T_TTAFStock_Log[Part Name],$A12,T_TTAFStock_Log[WeekIndex],57)=0,"",SUMIFS(T_TTAFStock_Log[TTAF_Qty],T_TTAFStock_Log[Part Name],$A12,T_TTAFStock_Log[WeekIndex],57))</f>
        <v/>
      </c>
      <c r="BG12" s="12">
        <f>IF(COUNTIFS(T_TTAFStock_Log[Part Name],$A12,T_TTAFStock_Log[WeekIndex],58)=0,"",SUMIFS(T_TTAFStock_Log[TTAF_Qty],T_TTAFStock_Log[Part Name],$A12,T_TTAFStock_Log[WeekIndex],58))</f>
        <v/>
      </c>
      <c r="BH12" s="12">
        <f>IF(COUNTIFS(T_TTAFStock_Log[Part Name],$A12,T_TTAFStock_Log[WeekIndex],59)=0,"",SUMIFS(T_TTAFStock_Log[TTAF_Qty],T_TTAFStock_Log[Part Name],$A12,T_TTAFStock_Log[WeekIndex],59))</f>
        <v/>
      </c>
      <c r="BI12" s="12">
        <f>IF(COUNTIFS(T_TTAFStock_Log[Part Name],$A12,T_TTAFStock_Log[WeekIndex],60)=0,"",SUMIFS(T_TTAFStock_Log[TTAF_Qty],T_TTAFStock_Log[Part Name],$A12,T_TTAFStock_Log[WeekIndex],60))</f>
        <v/>
      </c>
      <c r="BJ12" s="12">
        <f>IF(COUNTIFS(T_TTAFStock_Log[Part Name],$A12,T_TTAFStock_Log[WeekIndex],61)=0,"",SUMIFS(T_TTAFStock_Log[TTAF_Qty],T_TTAFStock_Log[Part Name],$A12,T_TTAFStock_Log[WeekIndex],61))</f>
        <v/>
      </c>
      <c r="BK12" s="12">
        <f>IF(COUNTIFS(T_TTAFStock_Log[Part Name],$A12,T_TTAFStock_Log[WeekIndex],62)=0,"",SUMIFS(T_TTAFStock_Log[TTAF_Qty],T_TTAFStock_Log[Part Name],$A12,T_TTAFStock_Log[WeekIndex],62))</f>
        <v/>
      </c>
      <c r="BL12" s="12">
        <f>IF(COUNTIFS(T_TTAFStock_Log[Part Name],$A12,T_TTAFStock_Log[WeekIndex],63)=0,"",SUMIFS(T_TTAFStock_Log[TTAF_Qty],T_TTAFStock_Log[Part Name],$A12,T_TTAFStock_Log[WeekIndex],63))</f>
        <v/>
      </c>
      <c r="BM12" s="12">
        <f>IF(COUNTIFS(T_TTAFStock_Log[Part Name],$A12,T_TTAFStock_Log[WeekIndex],64)=0,"",SUMIFS(T_TTAFStock_Log[TTAF_Qty],T_TTAFStock_Log[Part Name],$A12,T_TTAFStock_Log[WeekIndex],64))</f>
        <v/>
      </c>
      <c r="BN12" s="12">
        <f>IF(COUNTIFS(T_TTAFStock_Log[Part Name],$A12,T_TTAFStock_Log[WeekIndex],65)=0,"",SUMIFS(T_TTAFStock_Log[TTAF_Qty],T_TTAFStock_Log[Part Name],$A12,T_TTAFStock_Log[WeekIndex],65))</f>
        <v/>
      </c>
      <c r="BO12" s="12">
        <f>IF(COUNTIFS(T_TTAFStock_Log[Part Name],$A12,T_TTAFStock_Log[WeekIndex],66)=0,"",SUMIFS(T_TTAFStock_Log[TTAF_Qty],T_TTAFStock_Log[Part Name],$A12,T_TTAFStock_Log[WeekIndex],66))</f>
        <v/>
      </c>
      <c r="BP12" s="12">
        <f>IF(COUNTIFS(T_TTAFStock_Log[Part Name],$A12,T_TTAFStock_Log[WeekIndex],67)=0,"",SUMIFS(T_TTAFStock_Log[TTAF_Qty],T_TTAFStock_Log[Part Name],$A12,T_TTAFStock_Log[WeekIndex],67))</f>
        <v/>
      </c>
      <c r="BQ12" s="12">
        <f>IF(COUNTIFS(T_TTAFStock_Log[Part Name],$A12,T_TTAFStock_Log[WeekIndex],68)=0,"",SUMIFS(T_TTAFStock_Log[TTAF_Qty],T_TTAFStock_Log[Part Name],$A12,T_TTAFStock_Log[WeekIndex],68))</f>
        <v/>
      </c>
      <c r="BR12" s="12">
        <f>IF(COUNTIFS(T_TTAFStock_Log[Part Name],$A12,T_TTAFStock_Log[WeekIndex],69)=0,"",SUMIFS(T_TTAFStock_Log[TTAF_Qty],T_TTAFStock_Log[Part Name],$A12,T_TTAFStock_Log[WeekIndex],69))</f>
        <v/>
      </c>
      <c r="BS12" s="12">
        <f>IF(COUNTIFS(T_TTAFStock_Log[Part Name],$A12,T_TTAFStock_Log[WeekIndex],70)=0,"",SUMIFS(T_TTAFStock_Log[TTAF_Qty],T_TTAFStock_Log[Part Name],$A12,T_TTAFStock_Log[WeekIndex],70))</f>
        <v/>
      </c>
      <c r="BT12" s="12">
        <f>IF(COUNTIFS(T_TTAFStock_Log[Part Name],$A12,T_TTAFStock_Log[WeekIndex],71)=0,"",SUMIFS(T_TTAFStock_Log[TTAF_Qty],T_TTAFStock_Log[Part Name],$A12,T_TTAFStock_Log[WeekIndex],71))</f>
        <v/>
      </c>
      <c r="BU12" s="12">
        <f>IF(COUNTIFS(T_TTAFStock_Log[Part Name],$A12,T_TTAFStock_Log[WeekIndex],72)=0,"",SUMIFS(T_TTAFStock_Log[TTAF_Qty],T_TTAFStock_Log[Part Name],$A12,T_TTAFStock_Log[WeekIndex],72))</f>
        <v/>
      </c>
      <c r="BV12" s="12">
        <f>IF(COUNTIFS(T_TTAFStock_Log[Part Name],$A12,T_TTAFStock_Log[WeekIndex],73)=0,"",SUMIFS(T_TTAFStock_Log[TTAF_Qty],T_TTAFStock_Log[Part Name],$A12,T_TTAFStock_Log[WeekIndex],73))</f>
        <v/>
      </c>
      <c r="BW12" s="12">
        <f>IF(COUNTIFS(T_TTAFStock_Log[Part Name],$A12,T_TTAFStock_Log[WeekIndex],74)=0,"",SUMIFS(T_TTAFStock_Log[TTAF_Qty],T_TTAFStock_Log[Part Name],$A12,T_TTAFStock_Log[WeekIndex],74))</f>
        <v/>
      </c>
      <c r="BX12" s="12">
        <f>IF(COUNTIFS(T_TTAFStock_Log[Part Name],$A12,T_TTAFStock_Log[WeekIndex],75)=0,"",SUMIFS(T_TTAFStock_Log[TTAF_Qty],T_TTAFStock_Log[Part Name],$A12,T_TTAFStock_Log[WeekIndex],75))</f>
        <v/>
      </c>
      <c r="BY12" s="12">
        <f>IF(COUNTIFS(T_TTAFStock_Log[Part Name],$A12,T_TTAFStock_Log[WeekIndex],76)=0,"",SUMIFS(T_TTAFStock_Log[TTAF_Qty],T_TTAFStock_Log[Part Name],$A12,T_TTAFStock_Log[WeekIndex],76))</f>
        <v/>
      </c>
      <c r="BZ12" s="12">
        <f>IF(COUNTIFS(T_TTAFStock_Log[Part Name],$A12,T_TTAFStock_Log[WeekIndex],77)=0,"",SUMIFS(T_TTAFStock_Log[TTAF_Qty],T_TTAFStock_Log[Part Name],$A12,T_TTAFStock_Log[WeekIndex],77))</f>
        <v/>
      </c>
      <c r="CA12" s="12">
        <f>IF(COUNTIFS(T_TTAFStock_Log[Part Name],$A12,T_TTAFStock_Log[WeekIndex],78)=0,"",SUMIFS(T_TTAFStock_Log[TTAF_Qty],T_TTAFStock_Log[Part Name],$A12,T_TTAFStock_Log[WeekIndex],78))</f>
        <v/>
      </c>
      <c r="CB12" s="12">
        <f>IF(COUNTIFS(T_TTAFStock_Log[Part Name],$A12,T_TTAFStock_Log[WeekIndex],79)=0,"",SUMIFS(T_TTAFStock_Log[TTAF_Qty],T_TTAFStock_Log[Part Name],$A12,T_TTAFStock_Log[WeekIndex],79))</f>
        <v/>
      </c>
      <c r="CC12" s="12">
        <f>IF(COUNTIFS(T_TTAFStock_Log[Part Name],$A12,T_TTAFStock_Log[WeekIndex],80)=0,"",SUMIFS(T_TTAFStock_Log[TTAF_Qty],T_TTAFStock_Log[Part Name],$A12,T_TTAFStock_Log[WeekIndex],80))</f>
        <v/>
      </c>
      <c r="CD12" s="12">
        <f>IF(COUNTIFS(T_TTAFStock_Log[Part Name],$A12,T_TTAFStock_Log[WeekIndex],81)=0,"",SUMIFS(T_TTAFStock_Log[TTAF_Qty],T_TTAFStock_Log[Part Name],$A12,T_TTAFStock_Log[WeekIndex],81))</f>
        <v/>
      </c>
      <c r="CE12" s="12">
        <f>IF(COUNTIFS(T_TTAFStock_Log[Part Name],$A12,T_TTAFStock_Log[WeekIndex],82)=0,"",SUMIFS(T_TTAFStock_Log[TTAF_Qty],T_TTAFStock_Log[Part Name],$A12,T_TTAFStock_Log[WeekIndex],82))</f>
        <v/>
      </c>
      <c r="CF12" s="12">
        <f>IF(COUNTIFS(T_TTAFStock_Log[Part Name],$A12,T_TTAFStock_Log[WeekIndex],83)=0,"",SUMIFS(T_TTAFStock_Log[TTAF_Qty],T_TTAFStock_Log[Part Name],$A12,T_TTAFStock_Log[WeekIndex],83))</f>
        <v/>
      </c>
      <c r="CG12" s="12">
        <f>IF(COUNTIFS(T_TTAFStock_Log[Part Name],$A12,T_TTAFStock_Log[WeekIndex],84)=0,"",SUMIFS(T_TTAFStock_Log[TTAF_Qty],T_TTAFStock_Log[Part Name],$A12,T_TTAFStock_Log[WeekIndex],84))</f>
        <v/>
      </c>
      <c r="CH12" s="12">
        <f>IF(COUNTIFS(T_TTAFStock_Log[Part Name],$A12,T_TTAFStock_Log[WeekIndex],85)=0,"",SUMIFS(T_TTAFStock_Log[TTAF_Qty],T_TTAFStock_Log[Part Name],$A12,T_TTAFStock_Log[WeekIndex],85))</f>
        <v/>
      </c>
      <c r="CI12" s="12">
        <f>IF(COUNTIFS(T_TTAFStock_Log[Part Name],$A12,T_TTAFStock_Log[WeekIndex],86)=0,"",SUMIFS(T_TTAFStock_Log[TTAF_Qty],T_TTAFStock_Log[Part Name],$A12,T_TTAFStock_Log[WeekIndex],86))</f>
        <v/>
      </c>
      <c r="CJ12" s="12">
        <f>IF(COUNTIFS(T_TTAFStock_Log[Part Name],$A12,T_TTAFStock_Log[WeekIndex],87)=0,"",SUMIFS(T_TTAFStock_Log[TTAF_Qty],T_TTAFStock_Log[Part Name],$A12,T_TTAFStock_Log[WeekIndex],87))</f>
        <v/>
      </c>
      <c r="CK12" s="12">
        <f>IF(COUNTIFS(T_TTAFStock_Log[Part Name],$A12,T_TTAFStock_Log[WeekIndex],88)=0,"",SUMIFS(T_TTAFStock_Log[TTAF_Qty],T_TTAFStock_Log[Part Name],$A12,T_TTAFStock_Log[WeekIndex],88))</f>
        <v/>
      </c>
      <c r="CL12" s="12">
        <f>IF(COUNTIFS(T_TTAFStock_Log[Part Name],$A12,T_TTAFStock_Log[WeekIndex],89)=0,"",SUMIFS(T_TTAFStock_Log[TTAF_Qty],T_TTAFStock_Log[Part Name],$A12,T_TTAFStock_Log[WeekIndex],89))</f>
        <v/>
      </c>
      <c r="CM12" s="12">
        <f>IF(COUNTIFS(T_TTAFStock_Log[Part Name],$A12,T_TTAFStock_Log[WeekIndex],90)=0,"",SUMIFS(T_TTAFStock_Log[TTAF_Qty],T_TTAFStock_Log[Part Name],$A12,T_TTAFStock_Log[WeekIndex],90))</f>
        <v/>
      </c>
      <c r="CN12" s="12">
        <f>IF(COUNTIFS(T_TTAFStock_Log[Part Name],$A12,T_TTAFStock_Log[WeekIndex],91)=0,"",SUMIFS(T_TTAFStock_Log[TTAF_Qty],T_TTAFStock_Log[Part Name],$A12,T_TTAFStock_Log[WeekIndex],91))</f>
        <v/>
      </c>
      <c r="CO12" s="12">
        <f>IF(COUNTIFS(T_TTAFStock_Log[Part Name],$A12,T_TTAFStock_Log[WeekIndex],92)=0,"",SUMIFS(T_TTAFStock_Log[TTAF_Qty],T_TTAFStock_Log[Part Name],$A12,T_TTAFStock_Log[WeekIndex],92))</f>
        <v/>
      </c>
      <c r="CP12" s="12">
        <f>IF(COUNTIFS(T_TTAFStock_Log[Part Name],$A12,T_TTAFStock_Log[WeekIndex],93)=0,"",SUMIFS(T_TTAFStock_Log[TTAF_Qty],T_TTAFStock_Log[Part Name],$A12,T_TTAFStock_Log[WeekIndex],93))</f>
        <v/>
      </c>
      <c r="CQ12" s="12">
        <f>IF(COUNTIFS(T_TTAFStock_Log[Part Name],$A12,T_TTAFStock_Log[WeekIndex],94)=0,"",SUMIFS(T_TTAFStock_Log[TTAF_Qty],T_TTAFStock_Log[Part Name],$A12,T_TTAFStock_Log[WeekIndex],94))</f>
        <v/>
      </c>
      <c r="CR12" s="12">
        <f>IF(COUNTIFS(T_TTAFStock_Log[Part Name],$A12,T_TTAFStock_Log[WeekIndex],95)=0,"",SUMIFS(T_TTAFStock_Log[TTAF_Qty],T_TTAFStock_Log[Part Name],$A12,T_TTAFStock_Log[WeekIndex],95))</f>
        <v/>
      </c>
      <c r="CS12" s="12">
        <f>IF(COUNTIFS(T_TTAFStock_Log[Part Name],$A12,T_TTAFStock_Log[WeekIndex],96)=0,"",SUMIFS(T_TTAFStock_Log[TTAF_Qty],T_TTAFStock_Log[Part Name],$A12,T_TTAFStock_Log[WeekIndex],96))</f>
        <v/>
      </c>
      <c r="CT12" s="12">
        <f>IF(COUNTIFS(T_TTAFStock_Log[Part Name],$A12,T_TTAFStock_Log[WeekIndex],97)=0,"",SUMIFS(T_TTAFStock_Log[TTAF_Qty],T_TTAFStock_Log[Part Name],$A12,T_TTAFStock_Log[WeekIndex],97))</f>
        <v/>
      </c>
      <c r="CU12" s="12">
        <f>IF(COUNTIFS(T_TTAFStock_Log[Part Name],$A12,T_TTAFStock_Log[WeekIndex],98)=0,"",SUMIFS(T_TTAFStock_Log[TTAF_Qty],T_TTAFStock_Log[Part Name],$A12,T_TTAFStock_Log[WeekIndex],98))</f>
        <v/>
      </c>
      <c r="CV12" s="12">
        <f>IF(COUNTIFS(T_TTAFStock_Log[Part Name],$A12,T_TTAFStock_Log[WeekIndex],99)=0,"",SUMIFS(T_TTAFStock_Log[TTAF_Qty],T_TTAFStock_Log[Part Name],$A12,T_TTAFStock_Log[WeekIndex],99))</f>
        <v/>
      </c>
      <c r="CW12" s="12">
        <f>IF(COUNTIFS(T_TTAFStock_Log[Part Name],$A12,T_TTAFStock_Log[WeekIndex],100)=0,"",SUMIFS(T_TTAFStock_Log[TTAF_Qty],T_TTAFStock_Log[Part Name],$A12,T_TTAFStock_Log[WeekIndex],100))</f>
        <v/>
      </c>
      <c r="CX12" s="12">
        <f>IF(COUNTIFS(T_TTAFStock_Log[Part Name],$A12,T_TTAFStock_Log[WeekIndex],101)=0,"",SUMIFS(T_TTAFStock_Log[TTAF_Qty],T_TTAFStock_Log[Part Name],$A12,T_TTAFStock_Log[WeekIndex],101))</f>
        <v/>
      </c>
      <c r="CY12" s="12">
        <f>IF(COUNTIFS(T_TTAFStock_Log[Part Name],$A12,T_TTAFStock_Log[WeekIndex],102)=0,"",SUMIFS(T_TTAFStock_Log[TTAF_Qty],T_TTAFStock_Log[Part Name],$A12,T_TTAFStock_Log[WeekIndex],102))</f>
        <v/>
      </c>
      <c r="CZ12" s="12">
        <f>IF(COUNTIFS(T_TTAFStock_Log[Part Name],$A12,T_TTAFStock_Log[WeekIndex],103)=0,"",SUMIFS(T_TTAFStock_Log[TTAF_Qty],T_TTAFStock_Log[Part Name],$A12,T_TTAFStock_Log[WeekIndex],103))</f>
        <v/>
      </c>
      <c r="DA12" s="12">
        <f>IF(COUNTIFS(T_TTAFStock_Log[Part Name],$A12,T_TTAFStock_Log[WeekIndex],104)=0,"",SUMIFS(T_TTAFStock_Log[TTAF_Qty],T_TTAFStock_Log[Part Name],$A12,T_TTAFStock_Log[WeekIndex],104))</f>
        <v/>
      </c>
    </row>
    <row r="13">
      <c r="A13" s="13" t="inlineStr">
        <is>
          <t>CHEM-1720</t>
        </is>
      </c>
      <c r="B13" s="13">
        <f>IF(COUNTIFS(T_TTAFStock_Log[Part Name],$A13,T_TTAFStock_Log[WeekIndex],1)=0,"",SUMIFS(T_TTAFStock_Log[TTAF_Qty],T_TTAFStock_Log[Part Name],$A13,T_TTAFStock_Log[WeekIndex],1))</f>
        <v/>
      </c>
      <c r="C13" s="13">
        <f>IF(COUNTIFS(T_TTAFStock_Log[Part Name],$A13,T_TTAFStock_Log[WeekIndex],2)=0,"",SUMIFS(T_TTAFStock_Log[TTAF_Qty],T_TTAFStock_Log[Part Name],$A13,T_TTAFStock_Log[WeekIndex],2))</f>
        <v/>
      </c>
      <c r="D13" s="13">
        <f>IF(COUNTIFS(T_TTAFStock_Log[Part Name],$A13,T_TTAFStock_Log[WeekIndex],3)=0,"",SUMIFS(T_TTAFStock_Log[TTAF_Qty],T_TTAFStock_Log[Part Name],$A13,T_TTAFStock_Log[WeekIndex],3))</f>
        <v/>
      </c>
      <c r="E13" s="13">
        <f>IF(COUNTIFS(T_TTAFStock_Log[Part Name],$A13,T_TTAFStock_Log[WeekIndex],4)=0,"",SUMIFS(T_TTAFStock_Log[TTAF_Qty],T_TTAFStock_Log[Part Name],$A13,T_TTAFStock_Log[WeekIndex],4))</f>
        <v/>
      </c>
      <c r="F13" s="13">
        <f>IF(COUNTIFS(T_TTAFStock_Log[Part Name],$A13,T_TTAFStock_Log[WeekIndex],5)=0,"",SUMIFS(T_TTAFStock_Log[TTAF_Qty],T_TTAFStock_Log[Part Name],$A13,T_TTAFStock_Log[WeekIndex],5))</f>
        <v/>
      </c>
      <c r="G13" s="13">
        <f>IF(COUNTIFS(T_TTAFStock_Log[Part Name],$A13,T_TTAFStock_Log[WeekIndex],6)=0,"",SUMIFS(T_TTAFStock_Log[TTAF_Qty],T_TTAFStock_Log[Part Name],$A13,T_TTAFStock_Log[WeekIndex],6))</f>
        <v/>
      </c>
      <c r="H13" s="13">
        <f>IF(COUNTIFS(T_TTAFStock_Log[Part Name],$A13,T_TTAFStock_Log[WeekIndex],7)=0,"",SUMIFS(T_TTAFStock_Log[TTAF_Qty],T_TTAFStock_Log[Part Name],$A13,T_TTAFStock_Log[WeekIndex],7))</f>
        <v/>
      </c>
      <c r="I13" s="13">
        <f>IF(COUNTIFS(T_TTAFStock_Log[Part Name],$A13,T_TTAFStock_Log[WeekIndex],8)=0,"",SUMIFS(T_TTAFStock_Log[TTAF_Qty],T_TTAFStock_Log[Part Name],$A13,T_TTAFStock_Log[WeekIndex],8))</f>
        <v/>
      </c>
      <c r="J13" s="13">
        <f>IF(COUNTIFS(T_TTAFStock_Log[Part Name],$A13,T_TTAFStock_Log[WeekIndex],9)=0,"",SUMIFS(T_TTAFStock_Log[TTAF_Qty],T_TTAFStock_Log[Part Name],$A13,T_TTAFStock_Log[WeekIndex],9))</f>
        <v/>
      </c>
      <c r="K13" s="13">
        <f>IF(COUNTIFS(T_TTAFStock_Log[Part Name],$A13,T_TTAFStock_Log[WeekIndex],10)=0,"",SUMIFS(T_TTAFStock_Log[TTAF_Qty],T_TTAFStock_Log[Part Name],$A13,T_TTAFStock_Log[WeekIndex],10))</f>
        <v/>
      </c>
      <c r="L13" s="13">
        <f>IF(COUNTIFS(T_TTAFStock_Log[Part Name],$A13,T_TTAFStock_Log[WeekIndex],11)=0,"",SUMIFS(T_TTAFStock_Log[TTAF_Qty],T_TTAFStock_Log[Part Name],$A13,T_TTAFStock_Log[WeekIndex],11))</f>
        <v/>
      </c>
      <c r="M13" s="13">
        <f>IF(COUNTIFS(T_TTAFStock_Log[Part Name],$A13,T_TTAFStock_Log[WeekIndex],12)=0,"",SUMIFS(T_TTAFStock_Log[TTAF_Qty],T_TTAFStock_Log[Part Name],$A13,T_TTAFStock_Log[WeekIndex],12))</f>
        <v/>
      </c>
      <c r="N13" s="13">
        <f>IF(COUNTIFS(T_TTAFStock_Log[Part Name],$A13,T_TTAFStock_Log[WeekIndex],13)=0,"",SUMIFS(T_TTAFStock_Log[TTAF_Qty],T_TTAFStock_Log[Part Name],$A13,T_TTAFStock_Log[WeekIndex],13))</f>
        <v/>
      </c>
      <c r="O13" s="13">
        <f>IF(COUNTIFS(T_TTAFStock_Log[Part Name],$A13,T_TTAFStock_Log[WeekIndex],14)=0,"",SUMIFS(T_TTAFStock_Log[TTAF_Qty],T_TTAFStock_Log[Part Name],$A13,T_TTAFStock_Log[WeekIndex],14))</f>
        <v/>
      </c>
      <c r="P13" s="13">
        <f>IF(COUNTIFS(T_TTAFStock_Log[Part Name],$A13,T_TTAFStock_Log[WeekIndex],15)=0,"",SUMIFS(T_TTAFStock_Log[TTAF_Qty],T_TTAFStock_Log[Part Name],$A13,T_TTAFStock_Log[WeekIndex],15))</f>
        <v/>
      </c>
      <c r="Q13" s="13">
        <f>IF(COUNTIFS(T_TTAFStock_Log[Part Name],$A13,T_TTAFStock_Log[WeekIndex],16)=0,"",SUMIFS(T_TTAFStock_Log[TTAF_Qty],T_TTAFStock_Log[Part Name],$A13,T_TTAFStock_Log[WeekIndex],16))</f>
        <v/>
      </c>
      <c r="R13" s="13">
        <f>IF(COUNTIFS(T_TTAFStock_Log[Part Name],$A13,T_TTAFStock_Log[WeekIndex],17)=0,"",SUMIFS(T_TTAFStock_Log[TTAF_Qty],T_TTAFStock_Log[Part Name],$A13,T_TTAFStock_Log[WeekIndex],17))</f>
        <v/>
      </c>
      <c r="S13" s="13">
        <f>IF(COUNTIFS(T_TTAFStock_Log[Part Name],$A13,T_TTAFStock_Log[WeekIndex],18)=0,"",SUMIFS(T_TTAFStock_Log[TTAF_Qty],T_TTAFStock_Log[Part Name],$A13,T_TTAFStock_Log[WeekIndex],18))</f>
        <v/>
      </c>
      <c r="T13" s="13">
        <f>IF(COUNTIFS(T_TTAFStock_Log[Part Name],$A13,T_TTAFStock_Log[WeekIndex],19)=0,"",SUMIFS(T_TTAFStock_Log[TTAF_Qty],T_TTAFStock_Log[Part Name],$A13,T_TTAFStock_Log[WeekIndex],19))</f>
        <v/>
      </c>
      <c r="U13" s="13">
        <f>IF(COUNTIFS(T_TTAFStock_Log[Part Name],$A13,T_TTAFStock_Log[WeekIndex],20)=0,"",SUMIFS(T_TTAFStock_Log[TTAF_Qty],T_TTAFStock_Log[Part Name],$A13,T_TTAFStock_Log[WeekIndex],20))</f>
        <v/>
      </c>
      <c r="V13" s="13">
        <f>IF(COUNTIFS(T_TTAFStock_Log[Part Name],$A13,T_TTAFStock_Log[WeekIndex],21)=0,"",SUMIFS(T_TTAFStock_Log[TTAF_Qty],T_TTAFStock_Log[Part Name],$A13,T_TTAFStock_Log[WeekIndex],21))</f>
        <v/>
      </c>
      <c r="W13" s="13">
        <f>IF(COUNTIFS(T_TTAFStock_Log[Part Name],$A13,T_TTAFStock_Log[WeekIndex],22)=0,"",SUMIFS(T_TTAFStock_Log[TTAF_Qty],T_TTAFStock_Log[Part Name],$A13,T_TTAFStock_Log[WeekIndex],22))</f>
        <v/>
      </c>
      <c r="X13" s="13">
        <f>IF(COUNTIFS(T_TTAFStock_Log[Part Name],$A13,T_TTAFStock_Log[WeekIndex],23)=0,"",SUMIFS(T_TTAFStock_Log[TTAF_Qty],T_TTAFStock_Log[Part Name],$A13,T_TTAFStock_Log[WeekIndex],23))</f>
        <v/>
      </c>
      <c r="Y13" s="13">
        <f>IF(COUNTIFS(T_TTAFStock_Log[Part Name],$A13,T_TTAFStock_Log[WeekIndex],24)=0,"",SUMIFS(T_TTAFStock_Log[TTAF_Qty],T_TTAFStock_Log[Part Name],$A13,T_TTAFStock_Log[WeekIndex],24))</f>
        <v/>
      </c>
      <c r="Z13" s="13">
        <f>IF(COUNTIFS(T_TTAFStock_Log[Part Name],$A13,T_TTAFStock_Log[WeekIndex],25)=0,"",SUMIFS(T_TTAFStock_Log[TTAF_Qty],T_TTAFStock_Log[Part Name],$A13,T_TTAFStock_Log[WeekIndex],25))</f>
        <v/>
      </c>
      <c r="AA13" s="13">
        <f>IF(COUNTIFS(T_TTAFStock_Log[Part Name],$A13,T_TTAFStock_Log[WeekIndex],26)=0,"",SUMIFS(T_TTAFStock_Log[TTAF_Qty],T_TTAFStock_Log[Part Name],$A13,T_TTAFStock_Log[WeekIndex],26))</f>
        <v/>
      </c>
      <c r="AB13" s="13">
        <f>IF(COUNTIFS(T_TTAFStock_Log[Part Name],$A13,T_TTAFStock_Log[WeekIndex],27)=0,"",SUMIFS(T_TTAFStock_Log[TTAF_Qty],T_TTAFStock_Log[Part Name],$A13,T_TTAFStock_Log[WeekIndex],27))</f>
        <v/>
      </c>
      <c r="AC13" s="13">
        <f>IF(COUNTIFS(T_TTAFStock_Log[Part Name],$A13,T_TTAFStock_Log[WeekIndex],28)=0,"",SUMIFS(T_TTAFStock_Log[TTAF_Qty],T_TTAFStock_Log[Part Name],$A13,T_TTAFStock_Log[WeekIndex],28))</f>
        <v/>
      </c>
      <c r="AD13" s="13">
        <f>IF(COUNTIFS(T_TTAFStock_Log[Part Name],$A13,T_TTAFStock_Log[WeekIndex],29)=0,"",SUMIFS(T_TTAFStock_Log[TTAF_Qty],T_TTAFStock_Log[Part Name],$A13,T_TTAFStock_Log[WeekIndex],29))</f>
        <v/>
      </c>
      <c r="AE13" s="13">
        <f>IF(COUNTIFS(T_TTAFStock_Log[Part Name],$A13,T_TTAFStock_Log[WeekIndex],30)=0,"",SUMIFS(T_TTAFStock_Log[TTAF_Qty],T_TTAFStock_Log[Part Name],$A13,T_TTAFStock_Log[WeekIndex],30))</f>
        <v/>
      </c>
      <c r="AF13" s="13">
        <f>IF(COUNTIFS(T_TTAFStock_Log[Part Name],$A13,T_TTAFStock_Log[WeekIndex],31)=0,"",SUMIFS(T_TTAFStock_Log[TTAF_Qty],T_TTAFStock_Log[Part Name],$A13,T_TTAFStock_Log[WeekIndex],31))</f>
        <v/>
      </c>
      <c r="AG13" s="13">
        <f>IF(COUNTIFS(T_TTAFStock_Log[Part Name],$A13,T_TTAFStock_Log[WeekIndex],32)=0,"",SUMIFS(T_TTAFStock_Log[TTAF_Qty],T_TTAFStock_Log[Part Name],$A13,T_TTAFStock_Log[WeekIndex],32))</f>
        <v/>
      </c>
      <c r="AH13" s="13">
        <f>IF(COUNTIFS(T_TTAFStock_Log[Part Name],$A13,T_TTAFStock_Log[WeekIndex],33)=0,"",SUMIFS(T_TTAFStock_Log[TTAF_Qty],T_TTAFStock_Log[Part Name],$A13,T_TTAFStock_Log[WeekIndex],33))</f>
        <v/>
      </c>
      <c r="AI13" s="13">
        <f>IF(COUNTIFS(T_TTAFStock_Log[Part Name],$A13,T_TTAFStock_Log[WeekIndex],34)=0,"",SUMIFS(T_TTAFStock_Log[TTAF_Qty],T_TTAFStock_Log[Part Name],$A13,T_TTAFStock_Log[WeekIndex],34))</f>
        <v/>
      </c>
      <c r="AJ13" s="13">
        <f>IF(COUNTIFS(T_TTAFStock_Log[Part Name],$A13,T_TTAFStock_Log[WeekIndex],35)=0,"",SUMIFS(T_TTAFStock_Log[TTAF_Qty],T_TTAFStock_Log[Part Name],$A13,T_TTAFStock_Log[WeekIndex],35))</f>
        <v/>
      </c>
      <c r="AK13" s="13">
        <f>IF(COUNTIFS(T_TTAFStock_Log[Part Name],$A13,T_TTAFStock_Log[WeekIndex],36)=0,"",SUMIFS(T_TTAFStock_Log[TTAF_Qty],T_TTAFStock_Log[Part Name],$A13,T_TTAFStock_Log[WeekIndex],36))</f>
        <v/>
      </c>
      <c r="AL13" s="13">
        <f>IF(COUNTIFS(T_TTAFStock_Log[Part Name],$A13,T_TTAFStock_Log[WeekIndex],37)=0,"",SUMIFS(T_TTAFStock_Log[TTAF_Qty],T_TTAFStock_Log[Part Name],$A13,T_TTAFStock_Log[WeekIndex],37))</f>
        <v/>
      </c>
      <c r="AM13" s="13">
        <f>IF(COUNTIFS(T_TTAFStock_Log[Part Name],$A13,T_TTAFStock_Log[WeekIndex],38)=0,"",SUMIFS(T_TTAFStock_Log[TTAF_Qty],T_TTAFStock_Log[Part Name],$A13,T_TTAFStock_Log[WeekIndex],38))</f>
        <v/>
      </c>
      <c r="AN13" s="13">
        <f>IF(COUNTIFS(T_TTAFStock_Log[Part Name],$A13,T_TTAFStock_Log[WeekIndex],39)=0,"",SUMIFS(T_TTAFStock_Log[TTAF_Qty],T_TTAFStock_Log[Part Name],$A13,T_TTAFStock_Log[WeekIndex],39))</f>
        <v/>
      </c>
      <c r="AO13" s="13">
        <f>IF(COUNTIFS(T_TTAFStock_Log[Part Name],$A13,T_TTAFStock_Log[WeekIndex],40)=0,"",SUMIFS(T_TTAFStock_Log[TTAF_Qty],T_TTAFStock_Log[Part Name],$A13,T_TTAFStock_Log[WeekIndex],40))</f>
        <v/>
      </c>
      <c r="AP13" s="13">
        <f>IF(COUNTIFS(T_TTAFStock_Log[Part Name],$A13,T_TTAFStock_Log[WeekIndex],41)=0,"",SUMIFS(T_TTAFStock_Log[TTAF_Qty],T_TTAFStock_Log[Part Name],$A13,T_TTAFStock_Log[WeekIndex],41))</f>
        <v/>
      </c>
      <c r="AQ13" s="13">
        <f>IF(COUNTIFS(T_TTAFStock_Log[Part Name],$A13,T_TTAFStock_Log[WeekIndex],42)=0,"",SUMIFS(T_TTAFStock_Log[TTAF_Qty],T_TTAFStock_Log[Part Name],$A13,T_TTAFStock_Log[WeekIndex],42))</f>
        <v/>
      </c>
      <c r="AR13" s="13">
        <f>IF(COUNTIFS(T_TTAFStock_Log[Part Name],$A13,T_TTAFStock_Log[WeekIndex],43)=0,"",SUMIFS(T_TTAFStock_Log[TTAF_Qty],T_TTAFStock_Log[Part Name],$A13,T_TTAFStock_Log[WeekIndex],43))</f>
        <v/>
      </c>
      <c r="AS13" s="13">
        <f>IF(COUNTIFS(T_TTAFStock_Log[Part Name],$A13,T_TTAFStock_Log[WeekIndex],44)=0,"",SUMIFS(T_TTAFStock_Log[TTAF_Qty],T_TTAFStock_Log[Part Name],$A13,T_TTAFStock_Log[WeekIndex],44))</f>
        <v/>
      </c>
      <c r="AT13" s="13">
        <f>IF(COUNTIFS(T_TTAFStock_Log[Part Name],$A13,T_TTAFStock_Log[WeekIndex],45)=0,"",SUMIFS(T_TTAFStock_Log[TTAF_Qty],T_TTAFStock_Log[Part Name],$A13,T_TTAFStock_Log[WeekIndex],45))</f>
        <v/>
      </c>
      <c r="AU13" s="13">
        <f>IF(COUNTIFS(T_TTAFStock_Log[Part Name],$A13,T_TTAFStock_Log[WeekIndex],46)=0,"",SUMIFS(T_TTAFStock_Log[TTAF_Qty],T_TTAFStock_Log[Part Name],$A13,T_TTAFStock_Log[WeekIndex],46))</f>
        <v/>
      </c>
      <c r="AV13" s="13">
        <f>IF(COUNTIFS(T_TTAFStock_Log[Part Name],$A13,T_TTAFStock_Log[WeekIndex],47)=0,"",SUMIFS(T_TTAFStock_Log[TTAF_Qty],T_TTAFStock_Log[Part Name],$A13,T_TTAFStock_Log[WeekIndex],47))</f>
        <v/>
      </c>
      <c r="AW13" s="13">
        <f>IF(COUNTIFS(T_TTAFStock_Log[Part Name],$A13,T_TTAFStock_Log[WeekIndex],48)=0,"",SUMIFS(T_TTAFStock_Log[TTAF_Qty],T_TTAFStock_Log[Part Name],$A13,T_TTAFStock_Log[WeekIndex],48))</f>
        <v/>
      </c>
      <c r="AX13" s="13">
        <f>IF(COUNTIFS(T_TTAFStock_Log[Part Name],$A13,T_TTAFStock_Log[WeekIndex],49)=0,"",SUMIFS(T_TTAFStock_Log[TTAF_Qty],T_TTAFStock_Log[Part Name],$A13,T_TTAFStock_Log[WeekIndex],49))</f>
        <v/>
      </c>
      <c r="AY13" s="13">
        <f>IF(COUNTIFS(T_TTAFStock_Log[Part Name],$A13,T_TTAFStock_Log[WeekIndex],50)=0,"",SUMIFS(T_TTAFStock_Log[TTAF_Qty],T_TTAFStock_Log[Part Name],$A13,T_TTAFStock_Log[WeekIndex],50))</f>
        <v/>
      </c>
      <c r="AZ13" s="13">
        <f>IF(COUNTIFS(T_TTAFStock_Log[Part Name],$A13,T_TTAFStock_Log[WeekIndex],51)=0,"",SUMIFS(T_TTAFStock_Log[TTAF_Qty],T_TTAFStock_Log[Part Name],$A13,T_TTAFStock_Log[WeekIndex],51))</f>
        <v/>
      </c>
      <c r="BA13" s="13">
        <f>IF(COUNTIFS(T_TTAFStock_Log[Part Name],$A13,T_TTAFStock_Log[WeekIndex],52)=0,"",SUMIFS(T_TTAFStock_Log[TTAF_Qty],T_TTAFStock_Log[Part Name],$A13,T_TTAFStock_Log[WeekIndex],52))</f>
        <v/>
      </c>
      <c r="BB13" s="13">
        <f>IF(COUNTIFS(T_TTAFStock_Log[Part Name],$A13,T_TTAFStock_Log[WeekIndex],53)=0,"",SUMIFS(T_TTAFStock_Log[TTAF_Qty],T_TTAFStock_Log[Part Name],$A13,T_TTAFStock_Log[WeekIndex],53))</f>
        <v/>
      </c>
      <c r="BC13" s="13">
        <f>IF(COUNTIFS(T_TTAFStock_Log[Part Name],$A13,T_TTAFStock_Log[WeekIndex],54)=0,"",SUMIFS(T_TTAFStock_Log[TTAF_Qty],T_TTAFStock_Log[Part Name],$A13,T_TTAFStock_Log[WeekIndex],54))</f>
        <v/>
      </c>
      <c r="BD13" s="13">
        <f>IF(COUNTIFS(T_TTAFStock_Log[Part Name],$A13,T_TTAFStock_Log[WeekIndex],55)=0,"",SUMIFS(T_TTAFStock_Log[TTAF_Qty],T_TTAFStock_Log[Part Name],$A13,T_TTAFStock_Log[WeekIndex],55))</f>
        <v/>
      </c>
      <c r="BE13" s="13">
        <f>IF(COUNTIFS(T_TTAFStock_Log[Part Name],$A13,T_TTAFStock_Log[WeekIndex],56)=0,"",SUMIFS(T_TTAFStock_Log[TTAF_Qty],T_TTAFStock_Log[Part Name],$A13,T_TTAFStock_Log[WeekIndex],56))</f>
        <v/>
      </c>
      <c r="BF13" s="13">
        <f>IF(COUNTIFS(T_TTAFStock_Log[Part Name],$A13,T_TTAFStock_Log[WeekIndex],57)=0,"",SUMIFS(T_TTAFStock_Log[TTAF_Qty],T_TTAFStock_Log[Part Name],$A13,T_TTAFStock_Log[WeekIndex],57))</f>
        <v/>
      </c>
      <c r="BG13" s="13">
        <f>IF(COUNTIFS(T_TTAFStock_Log[Part Name],$A13,T_TTAFStock_Log[WeekIndex],58)=0,"",SUMIFS(T_TTAFStock_Log[TTAF_Qty],T_TTAFStock_Log[Part Name],$A13,T_TTAFStock_Log[WeekIndex],58))</f>
        <v/>
      </c>
      <c r="BH13" s="13">
        <f>IF(COUNTIFS(T_TTAFStock_Log[Part Name],$A13,T_TTAFStock_Log[WeekIndex],59)=0,"",SUMIFS(T_TTAFStock_Log[TTAF_Qty],T_TTAFStock_Log[Part Name],$A13,T_TTAFStock_Log[WeekIndex],59))</f>
        <v/>
      </c>
      <c r="BI13" s="13">
        <f>IF(COUNTIFS(T_TTAFStock_Log[Part Name],$A13,T_TTAFStock_Log[WeekIndex],60)=0,"",SUMIFS(T_TTAFStock_Log[TTAF_Qty],T_TTAFStock_Log[Part Name],$A13,T_TTAFStock_Log[WeekIndex],60))</f>
        <v/>
      </c>
      <c r="BJ13" s="13">
        <f>IF(COUNTIFS(T_TTAFStock_Log[Part Name],$A13,T_TTAFStock_Log[WeekIndex],61)=0,"",SUMIFS(T_TTAFStock_Log[TTAF_Qty],T_TTAFStock_Log[Part Name],$A13,T_TTAFStock_Log[WeekIndex],61))</f>
        <v/>
      </c>
      <c r="BK13" s="13">
        <f>IF(COUNTIFS(T_TTAFStock_Log[Part Name],$A13,T_TTAFStock_Log[WeekIndex],62)=0,"",SUMIFS(T_TTAFStock_Log[TTAF_Qty],T_TTAFStock_Log[Part Name],$A13,T_TTAFStock_Log[WeekIndex],62))</f>
        <v/>
      </c>
      <c r="BL13" s="13">
        <f>IF(COUNTIFS(T_TTAFStock_Log[Part Name],$A13,T_TTAFStock_Log[WeekIndex],63)=0,"",SUMIFS(T_TTAFStock_Log[TTAF_Qty],T_TTAFStock_Log[Part Name],$A13,T_TTAFStock_Log[WeekIndex],63))</f>
        <v/>
      </c>
      <c r="BM13" s="13">
        <f>IF(COUNTIFS(T_TTAFStock_Log[Part Name],$A13,T_TTAFStock_Log[WeekIndex],64)=0,"",SUMIFS(T_TTAFStock_Log[TTAF_Qty],T_TTAFStock_Log[Part Name],$A13,T_TTAFStock_Log[WeekIndex],64))</f>
        <v/>
      </c>
      <c r="BN13" s="13">
        <f>IF(COUNTIFS(T_TTAFStock_Log[Part Name],$A13,T_TTAFStock_Log[WeekIndex],65)=0,"",SUMIFS(T_TTAFStock_Log[TTAF_Qty],T_TTAFStock_Log[Part Name],$A13,T_TTAFStock_Log[WeekIndex],65))</f>
        <v/>
      </c>
      <c r="BO13" s="13">
        <f>IF(COUNTIFS(T_TTAFStock_Log[Part Name],$A13,T_TTAFStock_Log[WeekIndex],66)=0,"",SUMIFS(T_TTAFStock_Log[TTAF_Qty],T_TTAFStock_Log[Part Name],$A13,T_TTAFStock_Log[WeekIndex],66))</f>
        <v/>
      </c>
      <c r="BP13" s="13">
        <f>IF(COUNTIFS(T_TTAFStock_Log[Part Name],$A13,T_TTAFStock_Log[WeekIndex],67)=0,"",SUMIFS(T_TTAFStock_Log[TTAF_Qty],T_TTAFStock_Log[Part Name],$A13,T_TTAFStock_Log[WeekIndex],67))</f>
        <v/>
      </c>
      <c r="BQ13" s="13">
        <f>IF(COUNTIFS(T_TTAFStock_Log[Part Name],$A13,T_TTAFStock_Log[WeekIndex],68)=0,"",SUMIFS(T_TTAFStock_Log[TTAF_Qty],T_TTAFStock_Log[Part Name],$A13,T_TTAFStock_Log[WeekIndex],68))</f>
        <v/>
      </c>
      <c r="BR13" s="13">
        <f>IF(COUNTIFS(T_TTAFStock_Log[Part Name],$A13,T_TTAFStock_Log[WeekIndex],69)=0,"",SUMIFS(T_TTAFStock_Log[TTAF_Qty],T_TTAFStock_Log[Part Name],$A13,T_TTAFStock_Log[WeekIndex],69))</f>
        <v/>
      </c>
      <c r="BS13" s="13">
        <f>IF(COUNTIFS(T_TTAFStock_Log[Part Name],$A13,T_TTAFStock_Log[WeekIndex],70)=0,"",SUMIFS(T_TTAFStock_Log[TTAF_Qty],T_TTAFStock_Log[Part Name],$A13,T_TTAFStock_Log[WeekIndex],70))</f>
        <v/>
      </c>
      <c r="BT13" s="13">
        <f>IF(COUNTIFS(T_TTAFStock_Log[Part Name],$A13,T_TTAFStock_Log[WeekIndex],71)=0,"",SUMIFS(T_TTAFStock_Log[TTAF_Qty],T_TTAFStock_Log[Part Name],$A13,T_TTAFStock_Log[WeekIndex],71))</f>
        <v/>
      </c>
      <c r="BU13" s="13">
        <f>IF(COUNTIFS(T_TTAFStock_Log[Part Name],$A13,T_TTAFStock_Log[WeekIndex],72)=0,"",SUMIFS(T_TTAFStock_Log[TTAF_Qty],T_TTAFStock_Log[Part Name],$A13,T_TTAFStock_Log[WeekIndex],72))</f>
        <v/>
      </c>
      <c r="BV13" s="13">
        <f>IF(COUNTIFS(T_TTAFStock_Log[Part Name],$A13,T_TTAFStock_Log[WeekIndex],73)=0,"",SUMIFS(T_TTAFStock_Log[TTAF_Qty],T_TTAFStock_Log[Part Name],$A13,T_TTAFStock_Log[WeekIndex],73))</f>
        <v/>
      </c>
      <c r="BW13" s="13">
        <f>IF(COUNTIFS(T_TTAFStock_Log[Part Name],$A13,T_TTAFStock_Log[WeekIndex],74)=0,"",SUMIFS(T_TTAFStock_Log[TTAF_Qty],T_TTAFStock_Log[Part Name],$A13,T_TTAFStock_Log[WeekIndex],74))</f>
        <v/>
      </c>
      <c r="BX13" s="13">
        <f>IF(COUNTIFS(T_TTAFStock_Log[Part Name],$A13,T_TTAFStock_Log[WeekIndex],75)=0,"",SUMIFS(T_TTAFStock_Log[TTAF_Qty],T_TTAFStock_Log[Part Name],$A13,T_TTAFStock_Log[WeekIndex],75))</f>
        <v/>
      </c>
      <c r="BY13" s="13">
        <f>IF(COUNTIFS(T_TTAFStock_Log[Part Name],$A13,T_TTAFStock_Log[WeekIndex],76)=0,"",SUMIFS(T_TTAFStock_Log[TTAF_Qty],T_TTAFStock_Log[Part Name],$A13,T_TTAFStock_Log[WeekIndex],76))</f>
        <v/>
      </c>
      <c r="BZ13" s="13">
        <f>IF(COUNTIFS(T_TTAFStock_Log[Part Name],$A13,T_TTAFStock_Log[WeekIndex],77)=0,"",SUMIFS(T_TTAFStock_Log[TTAF_Qty],T_TTAFStock_Log[Part Name],$A13,T_TTAFStock_Log[WeekIndex],77))</f>
        <v/>
      </c>
      <c r="CA13" s="13">
        <f>IF(COUNTIFS(T_TTAFStock_Log[Part Name],$A13,T_TTAFStock_Log[WeekIndex],78)=0,"",SUMIFS(T_TTAFStock_Log[TTAF_Qty],T_TTAFStock_Log[Part Name],$A13,T_TTAFStock_Log[WeekIndex],78))</f>
        <v/>
      </c>
      <c r="CB13" s="13">
        <f>IF(COUNTIFS(T_TTAFStock_Log[Part Name],$A13,T_TTAFStock_Log[WeekIndex],79)=0,"",SUMIFS(T_TTAFStock_Log[TTAF_Qty],T_TTAFStock_Log[Part Name],$A13,T_TTAFStock_Log[WeekIndex],79))</f>
        <v/>
      </c>
      <c r="CC13" s="13">
        <f>IF(COUNTIFS(T_TTAFStock_Log[Part Name],$A13,T_TTAFStock_Log[WeekIndex],80)=0,"",SUMIFS(T_TTAFStock_Log[TTAF_Qty],T_TTAFStock_Log[Part Name],$A13,T_TTAFStock_Log[WeekIndex],80))</f>
        <v/>
      </c>
      <c r="CD13" s="13">
        <f>IF(COUNTIFS(T_TTAFStock_Log[Part Name],$A13,T_TTAFStock_Log[WeekIndex],81)=0,"",SUMIFS(T_TTAFStock_Log[TTAF_Qty],T_TTAFStock_Log[Part Name],$A13,T_TTAFStock_Log[WeekIndex],81))</f>
        <v/>
      </c>
      <c r="CE13" s="13">
        <f>IF(COUNTIFS(T_TTAFStock_Log[Part Name],$A13,T_TTAFStock_Log[WeekIndex],82)=0,"",SUMIFS(T_TTAFStock_Log[TTAF_Qty],T_TTAFStock_Log[Part Name],$A13,T_TTAFStock_Log[WeekIndex],82))</f>
        <v/>
      </c>
      <c r="CF13" s="13">
        <f>IF(COUNTIFS(T_TTAFStock_Log[Part Name],$A13,T_TTAFStock_Log[WeekIndex],83)=0,"",SUMIFS(T_TTAFStock_Log[TTAF_Qty],T_TTAFStock_Log[Part Name],$A13,T_TTAFStock_Log[WeekIndex],83))</f>
        <v/>
      </c>
      <c r="CG13" s="13">
        <f>IF(COUNTIFS(T_TTAFStock_Log[Part Name],$A13,T_TTAFStock_Log[WeekIndex],84)=0,"",SUMIFS(T_TTAFStock_Log[TTAF_Qty],T_TTAFStock_Log[Part Name],$A13,T_TTAFStock_Log[WeekIndex],84))</f>
        <v/>
      </c>
      <c r="CH13" s="13">
        <f>IF(COUNTIFS(T_TTAFStock_Log[Part Name],$A13,T_TTAFStock_Log[WeekIndex],85)=0,"",SUMIFS(T_TTAFStock_Log[TTAF_Qty],T_TTAFStock_Log[Part Name],$A13,T_TTAFStock_Log[WeekIndex],85))</f>
        <v/>
      </c>
      <c r="CI13" s="13">
        <f>IF(COUNTIFS(T_TTAFStock_Log[Part Name],$A13,T_TTAFStock_Log[WeekIndex],86)=0,"",SUMIFS(T_TTAFStock_Log[TTAF_Qty],T_TTAFStock_Log[Part Name],$A13,T_TTAFStock_Log[WeekIndex],86))</f>
        <v/>
      </c>
      <c r="CJ13" s="13">
        <f>IF(COUNTIFS(T_TTAFStock_Log[Part Name],$A13,T_TTAFStock_Log[WeekIndex],87)=0,"",SUMIFS(T_TTAFStock_Log[TTAF_Qty],T_TTAFStock_Log[Part Name],$A13,T_TTAFStock_Log[WeekIndex],87))</f>
        <v/>
      </c>
      <c r="CK13" s="13">
        <f>IF(COUNTIFS(T_TTAFStock_Log[Part Name],$A13,T_TTAFStock_Log[WeekIndex],88)=0,"",SUMIFS(T_TTAFStock_Log[TTAF_Qty],T_TTAFStock_Log[Part Name],$A13,T_TTAFStock_Log[WeekIndex],88))</f>
        <v/>
      </c>
      <c r="CL13" s="13">
        <f>IF(COUNTIFS(T_TTAFStock_Log[Part Name],$A13,T_TTAFStock_Log[WeekIndex],89)=0,"",SUMIFS(T_TTAFStock_Log[TTAF_Qty],T_TTAFStock_Log[Part Name],$A13,T_TTAFStock_Log[WeekIndex],89))</f>
        <v/>
      </c>
      <c r="CM13" s="13">
        <f>IF(COUNTIFS(T_TTAFStock_Log[Part Name],$A13,T_TTAFStock_Log[WeekIndex],90)=0,"",SUMIFS(T_TTAFStock_Log[TTAF_Qty],T_TTAFStock_Log[Part Name],$A13,T_TTAFStock_Log[WeekIndex],90))</f>
        <v/>
      </c>
      <c r="CN13" s="13">
        <f>IF(COUNTIFS(T_TTAFStock_Log[Part Name],$A13,T_TTAFStock_Log[WeekIndex],91)=0,"",SUMIFS(T_TTAFStock_Log[TTAF_Qty],T_TTAFStock_Log[Part Name],$A13,T_TTAFStock_Log[WeekIndex],91))</f>
        <v/>
      </c>
      <c r="CO13" s="13">
        <f>IF(COUNTIFS(T_TTAFStock_Log[Part Name],$A13,T_TTAFStock_Log[WeekIndex],92)=0,"",SUMIFS(T_TTAFStock_Log[TTAF_Qty],T_TTAFStock_Log[Part Name],$A13,T_TTAFStock_Log[WeekIndex],92))</f>
        <v/>
      </c>
      <c r="CP13" s="13">
        <f>IF(COUNTIFS(T_TTAFStock_Log[Part Name],$A13,T_TTAFStock_Log[WeekIndex],93)=0,"",SUMIFS(T_TTAFStock_Log[TTAF_Qty],T_TTAFStock_Log[Part Name],$A13,T_TTAFStock_Log[WeekIndex],93))</f>
        <v/>
      </c>
      <c r="CQ13" s="13">
        <f>IF(COUNTIFS(T_TTAFStock_Log[Part Name],$A13,T_TTAFStock_Log[WeekIndex],94)=0,"",SUMIFS(T_TTAFStock_Log[TTAF_Qty],T_TTAFStock_Log[Part Name],$A13,T_TTAFStock_Log[WeekIndex],94))</f>
        <v/>
      </c>
      <c r="CR13" s="13">
        <f>IF(COUNTIFS(T_TTAFStock_Log[Part Name],$A13,T_TTAFStock_Log[WeekIndex],95)=0,"",SUMIFS(T_TTAFStock_Log[TTAF_Qty],T_TTAFStock_Log[Part Name],$A13,T_TTAFStock_Log[WeekIndex],95))</f>
        <v/>
      </c>
      <c r="CS13" s="13">
        <f>IF(COUNTIFS(T_TTAFStock_Log[Part Name],$A13,T_TTAFStock_Log[WeekIndex],96)=0,"",SUMIFS(T_TTAFStock_Log[TTAF_Qty],T_TTAFStock_Log[Part Name],$A13,T_TTAFStock_Log[WeekIndex],96))</f>
        <v/>
      </c>
      <c r="CT13" s="13">
        <f>IF(COUNTIFS(T_TTAFStock_Log[Part Name],$A13,T_TTAFStock_Log[WeekIndex],97)=0,"",SUMIFS(T_TTAFStock_Log[TTAF_Qty],T_TTAFStock_Log[Part Name],$A13,T_TTAFStock_Log[WeekIndex],97))</f>
        <v/>
      </c>
      <c r="CU13" s="13">
        <f>IF(COUNTIFS(T_TTAFStock_Log[Part Name],$A13,T_TTAFStock_Log[WeekIndex],98)=0,"",SUMIFS(T_TTAFStock_Log[TTAF_Qty],T_TTAFStock_Log[Part Name],$A13,T_TTAFStock_Log[WeekIndex],98))</f>
        <v/>
      </c>
      <c r="CV13" s="13">
        <f>IF(COUNTIFS(T_TTAFStock_Log[Part Name],$A13,T_TTAFStock_Log[WeekIndex],99)=0,"",SUMIFS(T_TTAFStock_Log[TTAF_Qty],T_TTAFStock_Log[Part Name],$A13,T_TTAFStock_Log[WeekIndex],99))</f>
        <v/>
      </c>
      <c r="CW13" s="13">
        <f>IF(COUNTIFS(T_TTAFStock_Log[Part Name],$A13,T_TTAFStock_Log[WeekIndex],100)=0,"",SUMIFS(T_TTAFStock_Log[TTAF_Qty],T_TTAFStock_Log[Part Name],$A13,T_TTAFStock_Log[WeekIndex],100))</f>
        <v/>
      </c>
      <c r="CX13" s="13">
        <f>IF(COUNTIFS(T_TTAFStock_Log[Part Name],$A13,T_TTAFStock_Log[WeekIndex],101)=0,"",SUMIFS(T_TTAFStock_Log[TTAF_Qty],T_TTAFStock_Log[Part Name],$A13,T_TTAFStock_Log[WeekIndex],101))</f>
        <v/>
      </c>
      <c r="CY13" s="13">
        <f>IF(COUNTIFS(T_TTAFStock_Log[Part Name],$A13,T_TTAFStock_Log[WeekIndex],102)=0,"",SUMIFS(T_TTAFStock_Log[TTAF_Qty],T_TTAFStock_Log[Part Name],$A13,T_TTAFStock_Log[WeekIndex],102))</f>
        <v/>
      </c>
      <c r="CZ13" s="13">
        <f>IF(COUNTIFS(T_TTAFStock_Log[Part Name],$A13,T_TTAFStock_Log[WeekIndex],103)=0,"",SUMIFS(T_TTAFStock_Log[TTAF_Qty],T_TTAFStock_Log[Part Name],$A13,T_TTAFStock_Log[WeekIndex],103))</f>
        <v/>
      </c>
      <c r="DA13" s="13">
        <f>IF(COUNTIFS(T_TTAFStock_Log[Part Name],$A13,T_TTAFStock_Log[WeekIndex],104)=0,"",SUMIFS(T_TTAFStock_Log[TTAF_Qty],T_TTAFStock_Log[Part Name],$A13,T_TTAFStock_Log[WeekIndex],104))</f>
        <v/>
      </c>
    </row>
    <row r="14">
      <c r="A14" s="12" t="inlineStr">
        <is>
          <t>CHEM-1440</t>
        </is>
      </c>
      <c r="B14" s="12">
        <f>IF(COUNTIFS(T_TTAFStock_Log[Part Name],$A14,T_TTAFStock_Log[WeekIndex],1)=0,"",SUMIFS(T_TTAFStock_Log[TTAF_Qty],T_TTAFStock_Log[Part Name],$A14,T_TTAFStock_Log[WeekIndex],1))</f>
        <v/>
      </c>
      <c r="C14" s="12">
        <f>IF(COUNTIFS(T_TTAFStock_Log[Part Name],$A14,T_TTAFStock_Log[WeekIndex],2)=0,"",SUMIFS(T_TTAFStock_Log[TTAF_Qty],T_TTAFStock_Log[Part Name],$A14,T_TTAFStock_Log[WeekIndex],2))</f>
        <v/>
      </c>
      <c r="D14" s="12">
        <f>IF(COUNTIFS(T_TTAFStock_Log[Part Name],$A14,T_TTAFStock_Log[WeekIndex],3)=0,"",SUMIFS(T_TTAFStock_Log[TTAF_Qty],T_TTAFStock_Log[Part Name],$A14,T_TTAFStock_Log[WeekIndex],3))</f>
        <v/>
      </c>
      <c r="E14" s="12">
        <f>IF(COUNTIFS(T_TTAFStock_Log[Part Name],$A14,T_TTAFStock_Log[WeekIndex],4)=0,"",SUMIFS(T_TTAFStock_Log[TTAF_Qty],T_TTAFStock_Log[Part Name],$A14,T_TTAFStock_Log[WeekIndex],4))</f>
        <v/>
      </c>
      <c r="F14" s="12">
        <f>IF(COUNTIFS(T_TTAFStock_Log[Part Name],$A14,T_TTAFStock_Log[WeekIndex],5)=0,"",SUMIFS(T_TTAFStock_Log[TTAF_Qty],T_TTAFStock_Log[Part Name],$A14,T_TTAFStock_Log[WeekIndex],5))</f>
        <v/>
      </c>
      <c r="G14" s="12">
        <f>IF(COUNTIFS(T_TTAFStock_Log[Part Name],$A14,T_TTAFStock_Log[WeekIndex],6)=0,"",SUMIFS(T_TTAFStock_Log[TTAF_Qty],T_TTAFStock_Log[Part Name],$A14,T_TTAFStock_Log[WeekIndex],6))</f>
        <v/>
      </c>
      <c r="H14" s="12">
        <f>IF(COUNTIFS(T_TTAFStock_Log[Part Name],$A14,T_TTAFStock_Log[WeekIndex],7)=0,"",SUMIFS(T_TTAFStock_Log[TTAF_Qty],T_TTAFStock_Log[Part Name],$A14,T_TTAFStock_Log[WeekIndex],7))</f>
        <v/>
      </c>
      <c r="I14" s="12">
        <f>IF(COUNTIFS(T_TTAFStock_Log[Part Name],$A14,T_TTAFStock_Log[WeekIndex],8)=0,"",SUMIFS(T_TTAFStock_Log[TTAF_Qty],T_TTAFStock_Log[Part Name],$A14,T_TTAFStock_Log[WeekIndex],8))</f>
        <v/>
      </c>
      <c r="J14" s="12">
        <f>IF(COUNTIFS(T_TTAFStock_Log[Part Name],$A14,T_TTAFStock_Log[WeekIndex],9)=0,"",SUMIFS(T_TTAFStock_Log[TTAF_Qty],T_TTAFStock_Log[Part Name],$A14,T_TTAFStock_Log[WeekIndex],9))</f>
        <v/>
      </c>
      <c r="K14" s="12">
        <f>IF(COUNTIFS(T_TTAFStock_Log[Part Name],$A14,T_TTAFStock_Log[WeekIndex],10)=0,"",SUMIFS(T_TTAFStock_Log[TTAF_Qty],T_TTAFStock_Log[Part Name],$A14,T_TTAFStock_Log[WeekIndex],10))</f>
        <v/>
      </c>
      <c r="L14" s="12">
        <f>IF(COUNTIFS(T_TTAFStock_Log[Part Name],$A14,T_TTAFStock_Log[WeekIndex],11)=0,"",SUMIFS(T_TTAFStock_Log[TTAF_Qty],T_TTAFStock_Log[Part Name],$A14,T_TTAFStock_Log[WeekIndex],11))</f>
        <v/>
      </c>
      <c r="M14" s="12">
        <f>IF(COUNTIFS(T_TTAFStock_Log[Part Name],$A14,T_TTAFStock_Log[WeekIndex],12)=0,"",SUMIFS(T_TTAFStock_Log[TTAF_Qty],T_TTAFStock_Log[Part Name],$A14,T_TTAFStock_Log[WeekIndex],12))</f>
        <v/>
      </c>
      <c r="N14" s="12">
        <f>IF(COUNTIFS(T_TTAFStock_Log[Part Name],$A14,T_TTAFStock_Log[WeekIndex],13)=0,"",SUMIFS(T_TTAFStock_Log[TTAF_Qty],T_TTAFStock_Log[Part Name],$A14,T_TTAFStock_Log[WeekIndex],13))</f>
        <v/>
      </c>
      <c r="O14" s="12">
        <f>IF(COUNTIFS(T_TTAFStock_Log[Part Name],$A14,T_TTAFStock_Log[WeekIndex],14)=0,"",SUMIFS(T_TTAFStock_Log[TTAF_Qty],T_TTAFStock_Log[Part Name],$A14,T_TTAFStock_Log[WeekIndex],14))</f>
        <v/>
      </c>
      <c r="P14" s="12">
        <f>IF(COUNTIFS(T_TTAFStock_Log[Part Name],$A14,T_TTAFStock_Log[WeekIndex],15)=0,"",SUMIFS(T_TTAFStock_Log[TTAF_Qty],T_TTAFStock_Log[Part Name],$A14,T_TTAFStock_Log[WeekIndex],15))</f>
        <v/>
      </c>
      <c r="Q14" s="12">
        <f>IF(COUNTIFS(T_TTAFStock_Log[Part Name],$A14,T_TTAFStock_Log[WeekIndex],16)=0,"",SUMIFS(T_TTAFStock_Log[TTAF_Qty],T_TTAFStock_Log[Part Name],$A14,T_TTAFStock_Log[WeekIndex],16))</f>
        <v/>
      </c>
      <c r="R14" s="12">
        <f>IF(COUNTIFS(T_TTAFStock_Log[Part Name],$A14,T_TTAFStock_Log[WeekIndex],17)=0,"",SUMIFS(T_TTAFStock_Log[TTAF_Qty],T_TTAFStock_Log[Part Name],$A14,T_TTAFStock_Log[WeekIndex],17))</f>
        <v/>
      </c>
      <c r="S14" s="12">
        <f>IF(COUNTIFS(T_TTAFStock_Log[Part Name],$A14,T_TTAFStock_Log[WeekIndex],18)=0,"",SUMIFS(T_TTAFStock_Log[TTAF_Qty],T_TTAFStock_Log[Part Name],$A14,T_TTAFStock_Log[WeekIndex],18))</f>
        <v/>
      </c>
      <c r="T14" s="12">
        <f>IF(COUNTIFS(T_TTAFStock_Log[Part Name],$A14,T_TTAFStock_Log[WeekIndex],19)=0,"",SUMIFS(T_TTAFStock_Log[TTAF_Qty],T_TTAFStock_Log[Part Name],$A14,T_TTAFStock_Log[WeekIndex],19))</f>
        <v/>
      </c>
      <c r="U14" s="12">
        <f>IF(COUNTIFS(T_TTAFStock_Log[Part Name],$A14,T_TTAFStock_Log[WeekIndex],20)=0,"",SUMIFS(T_TTAFStock_Log[TTAF_Qty],T_TTAFStock_Log[Part Name],$A14,T_TTAFStock_Log[WeekIndex],20))</f>
        <v/>
      </c>
      <c r="V14" s="12">
        <f>IF(COUNTIFS(T_TTAFStock_Log[Part Name],$A14,T_TTAFStock_Log[WeekIndex],21)=0,"",SUMIFS(T_TTAFStock_Log[TTAF_Qty],T_TTAFStock_Log[Part Name],$A14,T_TTAFStock_Log[WeekIndex],21))</f>
        <v/>
      </c>
      <c r="W14" s="12">
        <f>IF(COUNTIFS(T_TTAFStock_Log[Part Name],$A14,T_TTAFStock_Log[WeekIndex],22)=0,"",SUMIFS(T_TTAFStock_Log[TTAF_Qty],T_TTAFStock_Log[Part Name],$A14,T_TTAFStock_Log[WeekIndex],22))</f>
        <v/>
      </c>
      <c r="X14" s="12">
        <f>IF(COUNTIFS(T_TTAFStock_Log[Part Name],$A14,T_TTAFStock_Log[WeekIndex],23)=0,"",SUMIFS(T_TTAFStock_Log[TTAF_Qty],T_TTAFStock_Log[Part Name],$A14,T_TTAFStock_Log[WeekIndex],23))</f>
        <v/>
      </c>
      <c r="Y14" s="12">
        <f>IF(COUNTIFS(T_TTAFStock_Log[Part Name],$A14,T_TTAFStock_Log[WeekIndex],24)=0,"",SUMIFS(T_TTAFStock_Log[TTAF_Qty],T_TTAFStock_Log[Part Name],$A14,T_TTAFStock_Log[WeekIndex],24))</f>
        <v/>
      </c>
      <c r="Z14" s="12">
        <f>IF(COUNTIFS(T_TTAFStock_Log[Part Name],$A14,T_TTAFStock_Log[WeekIndex],25)=0,"",SUMIFS(T_TTAFStock_Log[TTAF_Qty],T_TTAFStock_Log[Part Name],$A14,T_TTAFStock_Log[WeekIndex],25))</f>
        <v/>
      </c>
      <c r="AA14" s="12">
        <f>IF(COUNTIFS(T_TTAFStock_Log[Part Name],$A14,T_TTAFStock_Log[WeekIndex],26)=0,"",SUMIFS(T_TTAFStock_Log[TTAF_Qty],T_TTAFStock_Log[Part Name],$A14,T_TTAFStock_Log[WeekIndex],26))</f>
        <v/>
      </c>
      <c r="AB14" s="12">
        <f>IF(COUNTIFS(T_TTAFStock_Log[Part Name],$A14,T_TTAFStock_Log[WeekIndex],27)=0,"",SUMIFS(T_TTAFStock_Log[TTAF_Qty],T_TTAFStock_Log[Part Name],$A14,T_TTAFStock_Log[WeekIndex],27))</f>
        <v/>
      </c>
      <c r="AC14" s="12">
        <f>IF(COUNTIFS(T_TTAFStock_Log[Part Name],$A14,T_TTAFStock_Log[WeekIndex],28)=0,"",SUMIFS(T_TTAFStock_Log[TTAF_Qty],T_TTAFStock_Log[Part Name],$A14,T_TTAFStock_Log[WeekIndex],28))</f>
        <v/>
      </c>
      <c r="AD14" s="12">
        <f>IF(COUNTIFS(T_TTAFStock_Log[Part Name],$A14,T_TTAFStock_Log[WeekIndex],29)=0,"",SUMIFS(T_TTAFStock_Log[TTAF_Qty],T_TTAFStock_Log[Part Name],$A14,T_TTAFStock_Log[WeekIndex],29))</f>
        <v/>
      </c>
      <c r="AE14" s="12">
        <f>IF(COUNTIFS(T_TTAFStock_Log[Part Name],$A14,T_TTAFStock_Log[WeekIndex],30)=0,"",SUMIFS(T_TTAFStock_Log[TTAF_Qty],T_TTAFStock_Log[Part Name],$A14,T_TTAFStock_Log[WeekIndex],30))</f>
        <v/>
      </c>
      <c r="AF14" s="12">
        <f>IF(COUNTIFS(T_TTAFStock_Log[Part Name],$A14,T_TTAFStock_Log[WeekIndex],31)=0,"",SUMIFS(T_TTAFStock_Log[TTAF_Qty],T_TTAFStock_Log[Part Name],$A14,T_TTAFStock_Log[WeekIndex],31))</f>
        <v/>
      </c>
      <c r="AG14" s="12">
        <f>IF(COUNTIFS(T_TTAFStock_Log[Part Name],$A14,T_TTAFStock_Log[WeekIndex],32)=0,"",SUMIFS(T_TTAFStock_Log[TTAF_Qty],T_TTAFStock_Log[Part Name],$A14,T_TTAFStock_Log[WeekIndex],32))</f>
        <v/>
      </c>
      <c r="AH14" s="12">
        <f>IF(COUNTIFS(T_TTAFStock_Log[Part Name],$A14,T_TTAFStock_Log[WeekIndex],33)=0,"",SUMIFS(T_TTAFStock_Log[TTAF_Qty],T_TTAFStock_Log[Part Name],$A14,T_TTAFStock_Log[WeekIndex],33))</f>
        <v/>
      </c>
      <c r="AI14" s="12">
        <f>IF(COUNTIFS(T_TTAFStock_Log[Part Name],$A14,T_TTAFStock_Log[WeekIndex],34)=0,"",SUMIFS(T_TTAFStock_Log[TTAF_Qty],T_TTAFStock_Log[Part Name],$A14,T_TTAFStock_Log[WeekIndex],34))</f>
        <v/>
      </c>
      <c r="AJ14" s="12">
        <f>IF(COUNTIFS(T_TTAFStock_Log[Part Name],$A14,T_TTAFStock_Log[WeekIndex],35)=0,"",SUMIFS(T_TTAFStock_Log[TTAF_Qty],T_TTAFStock_Log[Part Name],$A14,T_TTAFStock_Log[WeekIndex],35))</f>
        <v/>
      </c>
      <c r="AK14" s="12">
        <f>IF(COUNTIFS(T_TTAFStock_Log[Part Name],$A14,T_TTAFStock_Log[WeekIndex],36)=0,"",SUMIFS(T_TTAFStock_Log[TTAF_Qty],T_TTAFStock_Log[Part Name],$A14,T_TTAFStock_Log[WeekIndex],36))</f>
        <v/>
      </c>
      <c r="AL14" s="12">
        <f>IF(COUNTIFS(T_TTAFStock_Log[Part Name],$A14,T_TTAFStock_Log[WeekIndex],37)=0,"",SUMIFS(T_TTAFStock_Log[TTAF_Qty],T_TTAFStock_Log[Part Name],$A14,T_TTAFStock_Log[WeekIndex],37))</f>
        <v/>
      </c>
      <c r="AM14" s="12">
        <f>IF(COUNTIFS(T_TTAFStock_Log[Part Name],$A14,T_TTAFStock_Log[WeekIndex],38)=0,"",SUMIFS(T_TTAFStock_Log[TTAF_Qty],T_TTAFStock_Log[Part Name],$A14,T_TTAFStock_Log[WeekIndex],38))</f>
        <v/>
      </c>
      <c r="AN14" s="12">
        <f>IF(COUNTIFS(T_TTAFStock_Log[Part Name],$A14,T_TTAFStock_Log[WeekIndex],39)=0,"",SUMIFS(T_TTAFStock_Log[TTAF_Qty],T_TTAFStock_Log[Part Name],$A14,T_TTAFStock_Log[WeekIndex],39))</f>
        <v/>
      </c>
      <c r="AO14" s="12">
        <f>IF(COUNTIFS(T_TTAFStock_Log[Part Name],$A14,T_TTAFStock_Log[WeekIndex],40)=0,"",SUMIFS(T_TTAFStock_Log[TTAF_Qty],T_TTAFStock_Log[Part Name],$A14,T_TTAFStock_Log[WeekIndex],40))</f>
        <v/>
      </c>
      <c r="AP14" s="12">
        <f>IF(COUNTIFS(T_TTAFStock_Log[Part Name],$A14,T_TTAFStock_Log[WeekIndex],41)=0,"",SUMIFS(T_TTAFStock_Log[TTAF_Qty],T_TTAFStock_Log[Part Name],$A14,T_TTAFStock_Log[WeekIndex],41))</f>
        <v/>
      </c>
      <c r="AQ14" s="12">
        <f>IF(COUNTIFS(T_TTAFStock_Log[Part Name],$A14,T_TTAFStock_Log[WeekIndex],42)=0,"",SUMIFS(T_TTAFStock_Log[TTAF_Qty],T_TTAFStock_Log[Part Name],$A14,T_TTAFStock_Log[WeekIndex],42))</f>
        <v/>
      </c>
      <c r="AR14" s="12">
        <f>IF(COUNTIFS(T_TTAFStock_Log[Part Name],$A14,T_TTAFStock_Log[WeekIndex],43)=0,"",SUMIFS(T_TTAFStock_Log[TTAF_Qty],T_TTAFStock_Log[Part Name],$A14,T_TTAFStock_Log[WeekIndex],43))</f>
        <v/>
      </c>
      <c r="AS14" s="12">
        <f>IF(COUNTIFS(T_TTAFStock_Log[Part Name],$A14,T_TTAFStock_Log[WeekIndex],44)=0,"",SUMIFS(T_TTAFStock_Log[TTAF_Qty],T_TTAFStock_Log[Part Name],$A14,T_TTAFStock_Log[WeekIndex],44))</f>
        <v/>
      </c>
      <c r="AT14" s="12">
        <f>IF(COUNTIFS(T_TTAFStock_Log[Part Name],$A14,T_TTAFStock_Log[WeekIndex],45)=0,"",SUMIFS(T_TTAFStock_Log[TTAF_Qty],T_TTAFStock_Log[Part Name],$A14,T_TTAFStock_Log[WeekIndex],45))</f>
        <v/>
      </c>
      <c r="AU14" s="12">
        <f>IF(COUNTIFS(T_TTAFStock_Log[Part Name],$A14,T_TTAFStock_Log[WeekIndex],46)=0,"",SUMIFS(T_TTAFStock_Log[TTAF_Qty],T_TTAFStock_Log[Part Name],$A14,T_TTAFStock_Log[WeekIndex],46))</f>
        <v/>
      </c>
      <c r="AV14" s="12">
        <f>IF(COUNTIFS(T_TTAFStock_Log[Part Name],$A14,T_TTAFStock_Log[WeekIndex],47)=0,"",SUMIFS(T_TTAFStock_Log[TTAF_Qty],T_TTAFStock_Log[Part Name],$A14,T_TTAFStock_Log[WeekIndex],47))</f>
        <v/>
      </c>
      <c r="AW14" s="12">
        <f>IF(COUNTIFS(T_TTAFStock_Log[Part Name],$A14,T_TTAFStock_Log[WeekIndex],48)=0,"",SUMIFS(T_TTAFStock_Log[TTAF_Qty],T_TTAFStock_Log[Part Name],$A14,T_TTAFStock_Log[WeekIndex],48))</f>
        <v/>
      </c>
      <c r="AX14" s="12">
        <f>IF(COUNTIFS(T_TTAFStock_Log[Part Name],$A14,T_TTAFStock_Log[WeekIndex],49)=0,"",SUMIFS(T_TTAFStock_Log[TTAF_Qty],T_TTAFStock_Log[Part Name],$A14,T_TTAFStock_Log[WeekIndex],49))</f>
        <v/>
      </c>
      <c r="AY14" s="12">
        <f>IF(COUNTIFS(T_TTAFStock_Log[Part Name],$A14,T_TTAFStock_Log[WeekIndex],50)=0,"",SUMIFS(T_TTAFStock_Log[TTAF_Qty],T_TTAFStock_Log[Part Name],$A14,T_TTAFStock_Log[WeekIndex],50))</f>
        <v/>
      </c>
      <c r="AZ14" s="12">
        <f>IF(COUNTIFS(T_TTAFStock_Log[Part Name],$A14,T_TTAFStock_Log[WeekIndex],51)=0,"",SUMIFS(T_TTAFStock_Log[TTAF_Qty],T_TTAFStock_Log[Part Name],$A14,T_TTAFStock_Log[WeekIndex],51))</f>
        <v/>
      </c>
      <c r="BA14" s="12">
        <f>IF(COUNTIFS(T_TTAFStock_Log[Part Name],$A14,T_TTAFStock_Log[WeekIndex],52)=0,"",SUMIFS(T_TTAFStock_Log[TTAF_Qty],T_TTAFStock_Log[Part Name],$A14,T_TTAFStock_Log[WeekIndex],52))</f>
        <v/>
      </c>
      <c r="BB14" s="12">
        <f>IF(COUNTIFS(T_TTAFStock_Log[Part Name],$A14,T_TTAFStock_Log[WeekIndex],53)=0,"",SUMIFS(T_TTAFStock_Log[TTAF_Qty],T_TTAFStock_Log[Part Name],$A14,T_TTAFStock_Log[WeekIndex],53))</f>
        <v/>
      </c>
      <c r="BC14" s="12">
        <f>IF(COUNTIFS(T_TTAFStock_Log[Part Name],$A14,T_TTAFStock_Log[WeekIndex],54)=0,"",SUMIFS(T_TTAFStock_Log[TTAF_Qty],T_TTAFStock_Log[Part Name],$A14,T_TTAFStock_Log[WeekIndex],54))</f>
        <v/>
      </c>
      <c r="BD14" s="12">
        <f>IF(COUNTIFS(T_TTAFStock_Log[Part Name],$A14,T_TTAFStock_Log[WeekIndex],55)=0,"",SUMIFS(T_TTAFStock_Log[TTAF_Qty],T_TTAFStock_Log[Part Name],$A14,T_TTAFStock_Log[WeekIndex],55))</f>
        <v/>
      </c>
      <c r="BE14" s="12">
        <f>IF(COUNTIFS(T_TTAFStock_Log[Part Name],$A14,T_TTAFStock_Log[WeekIndex],56)=0,"",SUMIFS(T_TTAFStock_Log[TTAF_Qty],T_TTAFStock_Log[Part Name],$A14,T_TTAFStock_Log[WeekIndex],56))</f>
        <v/>
      </c>
      <c r="BF14" s="12">
        <f>IF(COUNTIFS(T_TTAFStock_Log[Part Name],$A14,T_TTAFStock_Log[WeekIndex],57)=0,"",SUMIFS(T_TTAFStock_Log[TTAF_Qty],T_TTAFStock_Log[Part Name],$A14,T_TTAFStock_Log[WeekIndex],57))</f>
        <v/>
      </c>
      <c r="BG14" s="12">
        <f>IF(COUNTIFS(T_TTAFStock_Log[Part Name],$A14,T_TTAFStock_Log[WeekIndex],58)=0,"",SUMIFS(T_TTAFStock_Log[TTAF_Qty],T_TTAFStock_Log[Part Name],$A14,T_TTAFStock_Log[WeekIndex],58))</f>
        <v/>
      </c>
      <c r="BH14" s="12">
        <f>IF(COUNTIFS(T_TTAFStock_Log[Part Name],$A14,T_TTAFStock_Log[WeekIndex],59)=0,"",SUMIFS(T_TTAFStock_Log[TTAF_Qty],T_TTAFStock_Log[Part Name],$A14,T_TTAFStock_Log[WeekIndex],59))</f>
        <v/>
      </c>
      <c r="BI14" s="12">
        <f>IF(COUNTIFS(T_TTAFStock_Log[Part Name],$A14,T_TTAFStock_Log[WeekIndex],60)=0,"",SUMIFS(T_TTAFStock_Log[TTAF_Qty],T_TTAFStock_Log[Part Name],$A14,T_TTAFStock_Log[WeekIndex],60))</f>
        <v/>
      </c>
      <c r="BJ14" s="12">
        <f>IF(COUNTIFS(T_TTAFStock_Log[Part Name],$A14,T_TTAFStock_Log[WeekIndex],61)=0,"",SUMIFS(T_TTAFStock_Log[TTAF_Qty],T_TTAFStock_Log[Part Name],$A14,T_TTAFStock_Log[WeekIndex],61))</f>
        <v/>
      </c>
      <c r="BK14" s="12">
        <f>IF(COUNTIFS(T_TTAFStock_Log[Part Name],$A14,T_TTAFStock_Log[WeekIndex],62)=0,"",SUMIFS(T_TTAFStock_Log[TTAF_Qty],T_TTAFStock_Log[Part Name],$A14,T_TTAFStock_Log[WeekIndex],62))</f>
        <v/>
      </c>
      <c r="BL14" s="12">
        <f>IF(COUNTIFS(T_TTAFStock_Log[Part Name],$A14,T_TTAFStock_Log[WeekIndex],63)=0,"",SUMIFS(T_TTAFStock_Log[TTAF_Qty],T_TTAFStock_Log[Part Name],$A14,T_TTAFStock_Log[WeekIndex],63))</f>
        <v/>
      </c>
      <c r="BM14" s="12">
        <f>IF(COUNTIFS(T_TTAFStock_Log[Part Name],$A14,T_TTAFStock_Log[WeekIndex],64)=0,"",SUMIFS(T_TTAFStock_Log[TTAF_Qty],T_TTAFStock_Log[Part Name],$A14,T_TTAFStock_Log[WeekIndex],64))</f>
        <v/>
      </c>
      <c r="BN14" s="12">
        <f>IF(COUNTIFS(T_TTAFStock_Log[Part Name],$A14,T_TTAFStock_Log[WeekIndex],65)=0,"",SUMIFS(T_TTAFStock_Log[TTAF_Qty],T_TTAFStock_Log[Part Name],$A14,T_TTAFStock_Log[WeekIndex],65))</f>
        <v/>
      </c>
      <c r="BO14" s="12">
        <f>IF(COUNTIFS(T_TTAFStock_Log[Part Name],$A14,T_TTAFStock_Log[WeekIndex],66)=0,"",SUMIFS(T_TTAFStock_Log[TTAF_Qty],T_TTAFStock_Log[Part Name],$A14,T_TTAFStock_Log[WeekIndex],66))</f>
        <v/>
      </c>
      <c r="BP14" s="12">
        <f>IF(COUNTIFS(T_TTAFStock_Log[Part Name],$A14,T_TTAFStock_Log[WeekIndex],67)=0,"",SUMIFS(T_TTAFStock_Log[TTAF_Qty],T_TTAFStock_Log[Part Name],$A14,T_TTAFStock_Log[WeekIndex],67))</f>
        <v/>
      </c>
      <c r="BQ14" s="12">
        <f>IF(COUNTIFS(T_TTAFStock_Log[Part Name],$A14,T_TTAFStock_Log[WeekIndex],68)=0,"",SUMIFS(T_TTAFStock_Log[TTAF_Qty],T_TTAFStock_Log[Part Name],$A14,T_TTAFStock_Log[WeekIndex],68))</f>
        <v/>
      </c>
      <c r="BR14" s="12">
        <f>IF(COUNTIFS(T_TTAFStock_Log[Part Name],$A14,T_TTAFStock_Log[WeekIndex],69)=0,"",SUMIFS(T_TTAFStock_Log[TTAF_Qty],T_TTAFStock_Log[Part Name],$A14,T_TTAFStock_Log[WeekIndex],69))</f>
        <v/>
      </c>
      <c r="BS14" s="12">
        <f>IF(COUNTIFS(T_TTAFStock_Log[Part Name],$A14,T_TTAFStock_Log[WeekIndex],70)=0,"",SUMIFS(T_TTAFStock_Log[TTAF_Qty],T_TTAFStock_Log[Part Name],$A14,T_TTAFStock_Log[WeekIndex],70))</f>
        <v/>
      </c>
      <c r="BT14" s="12">
        <f>IF(COUNTIFS(T_TTAFStock_Log[Part Name],$A14,T_TTAFStock_Log[WeekIndex],71)=0,"",SUMIFS(T_TTAFStock_Log[TTAF_Qty],T_TTAFStock_Log[Part Name],$A14,T_TTAFStock_Log[WeekIndex],71))</f>
        <v/>
      </c>
      <c r="BU14" s="12">
        <f>IF(COUNTIFS(T_TTAFStock_Log[Part Name],$A14,T_TTAFStock_Log[WeekIndex],72)=0,"",SUMIFS(T_TTAFStock_Log[TTAF_Qty],T_TTAFStock_Log[Part Name],$A14,T_TTAFStock_Log[WeekIndex],72))</f>
        <v/>
      </c>
      <c r="BV14" s="12">
        <f>IF(COUNTIFS(T_TTAFStock_Log[Part Name],$A14,T_TTAFStock_Log[WeekIndex],73)=0,"",SUMIFS(T_TTAFStock_Log[TTAF_Qty],T_TTAFStock_Log[Part Name],$A14,T_TTAFStock_Log[WeekIndex],73))</f>
        <v/>
      </c>
      <c r="BW14" s="12">
        <f>IF(COUNTIFS(T_TTAFStock_Log[Part Name],$A14,T_TTAFStock_Log[WeekIndex],74)=0,"",SUMIFS(T_TTAFStock_Log[TTAF_Qty],T_TTAFStock_Log[Part Name],$A14,T_TTAFStock_Log[WeekIndex],74))</f>
        <v/>
      </c>
      <c r="BX14" s="12">
        <f>IF(COUNTIFS(T_TTAFStock_Log[Part Name],$A14,T_TTAFStock_Log[WeekIndex],75)=0,"",SUMIFS(T_TTAFStock_Log[TTAF_Qty],T_TTAFStock_Log[Part Name],$A14,T_TTAFStock_Log[WeekIndex],75))</f>
        <v/>
      </c>
      <c r="BY14" s="12">
        <f>IF(COUNTIFS(T_TTAFStock_Log[Part Name],$A14,T_TTAFStock_Log[WeekIndex],76)=0,"",SUMIFS(T_TTAFStock_Log[TTAF_Qty],T_TTAFStock_Log[Part Name],$A14,T_TTAFStock_Log[WeekIndex],76))</f>
        <v/>
      </c>
      <c r="BZ14" s="12">
        <f>IF(COUNTIFS(T_TTAFStock_Log[Part Name],$A14,T_TTAFStock_Log[WeekIndex],77)=0,"",SUMIFS(T_TTAFStock_Log[TTAF_Qty],T_TTAFStock_Log[Part Name],$A14,T_TTAFStock_Log[WeekIndex],77))</f>
        <v/>
      </c>
      <c r="CA14" s="12">
        <f>IF(COUNTIFS(T_TTAFStock_Log[Part Name],$A14,T_TTAFStock_Log[WeekIndex],78)=0,"",SUMIFS(T_TTAFStock_Log[TTAF_Qty],T_TTAFStock_Log[Part Name],$A14,T_TTAFStock_Log[WeekIndex],78))</f>
        <v/>
      </c>
      <c r="CB14" s="12">
        <f>IF(COUNTIFS(T_TTAFStock_Log[Part Name],$A14,T_TTAFStock_Log[WeekIndex],79)=0,"",SUMIFS(T_TTAFStock_Log[TTAF_Qty],T_TTAFStock_Log[Part Name],$A14,T_TTAFStock_Log[WeekIndex],79))</f>
        <v/>
      </c>
      <c r="CC14" s="12">
        <f>IF(COUNTIFS(T_TTAFStock_Log[Part Name],$A14,T_TTAFStock_Log[WeekIndex],80)=0,"",SUMIFS(T_TTAFStock_Log[TTAF_Qty],T_TTAFStock_Log[Part Name],$A14,T_TTAFStock_Log[WeekIndex],80))</f>
        <v/>
      </c>
      <c r="CD14" s="12">
        <f>IF(COUNTIFS(T_TTAFStock_Log[Part Name],$A14,T_TTAFStock_Log[WeekIndex],81)=0,"",SUMIFS(T_TTAFStock_Log[TTAF_Qty],T_TTAFStock_Log[Part Name],$A14,T_TTAFStock_Log[WeekIndex],81))</f>
        <v/>
      </c>
      <c r="CE14" s="12">
        <f>IF(COUNTIFS(T_TTAFStock_Log[Part Name],$A14,T_TTAFStock_Log[WeekIndex],82)=0,"",SUMIFS(T_TTAFStock_Log[TTAF_Qty],T_TTAFStock_Log[Part Name],$A14,T_TTAFStock_Log[WeekIndex],82))</f>
        <v/>
      </c>
      <c r="CF14" s="12">
        <f>IF(COUNTIFS(T_TTAFStock_Log[Part Name],$A14,T_TTAFStock_Log[WeekIndex],83)=0,"",SUMIFS(T_TTAFStock_Log[TTAF_Qty],T_TTAFStock_Log[Part Name],$A14,T_TTAFStock_Log[WeekIndex],83))</f>
        <v/>
      </c>
      <c r="CG14" s="12">
        <f>IF(COUNTIFS(T_TTAFStock_Log[Part Name],$A14,T_TTAFStock_Log[WeekIndex],84)=0,"",SUMIFS(T_TTAFStock_Log[TTAF_Qty],T_TTAFStock_Log[Part Name],$A14,T_TTAFStock_Log[WeekIndex],84))</f>
        <v/>
      </c>
      <c r="CH14" s="12">
        <f>IF(COUNTIFS(T_TTAFStock_Log[Part Name],$A14,T_TTAFStock_Log[WeekIndex],85)=0,"",SUMIFS(T_TTAFStock_Log[TTAF_Qty],T_TTAFStock_Log[Part Name],$A14,T_TTAFStock_Log[WeekIndex],85))</f>
        <v/>
      </c>
      <c r="CI14" s="12">
        <f>IF(COUNTIFS(T_TTAFStock_Log[Part Name],$A14,T_TTAFStock_Log[WeekIndex],86)=0,"",SUMIFS(T_TTAFStock_Log[TTAF_Qty],T_TTAFStock_Log[Part Name],$A14,T_TTAFStock_Log[WeekIndex],86))</f>
        <v/>
      </c>
      <c r="CJ14" s="12">
        <f>IF(COUNTIFS(T_TTAFStock_Log[Part Name],$A14,T_TTAFStock_Log[WeekIndex],87)=0,"",SUMIFS(T_TTAFStock_Log[TTAF_Qty],T_TTAFStock_Log[Part Name],$A14,T_TTAFStock_Log[WeekIndex],87))</f>
        <v/>
      </c>
      <c r="CK14" s="12">
        <f>IF(COUNTIFS(T_TTAFStock_Log[Part Name],$A14,T_TTAFStock_Log[WeekIndex],88)=0,"",SUMIFS(T_TTAFStock_Log[TTAF_Qty],T_TTAFStock_Log[Part Name],$A14,T_TTAFStock_Log[WeekIndex],88))</f>
        <v/>
      </c>
      <c r="CL14" s="12">
        <f>IF(COUNTIFS(T_TTAFStock_Log[Part Name],$A14,T_TTAFStock_Log[WeekIndex],89)=0,"",SUMIFS(T_TTAFStock_Log[TTAF_Qty],T_TTAFStock_Log[Part Name],$A14,T_TTAFStock_Log[WeekIndex],89))</f>
        <v/>
      </c>
      <c r="CM14" s="12">
        <f>IF(COUNTIFS(T_TTAFStock_Log[Part Name],$A14,T_TTAFStock_Log[WeekIndex],90)=0,"",SUMIFS(T_TTAFStock_Log[TTAF_Qty],T_TTAFStock_Log[Part Name],$A14,T_TTAFStock_Log[WeekIndex],90))</f>
        <v/>
      </c>
      <c r="CN14" s="12">
        <f>IF(COUNTIFS(T_TTAFStock_Log[Part Name],$A14,T_TTAFStock_Log[WeekIndex],91)=0,"",SUMIFS(T_TTAFStock_Log[TTAF_Qty],T_TTAFStock_Log[Part Name],$A14,T_TTAFStock_Log[WeekIndex],91))</f>
        <v/>
      </c>
      <c r="CO14" s="12">
        <f>IF(COUNTIFS(T_TTAFStock_Log[Part Name],$A14,T_TTAFStock_Log[WeekIndex],92)=0,"",SUMIFS(T_TTAFStock_Log[TTAF_Qty],T_TTAFStock_Log[Part Name],$A14,T_TTAFStock_Log[WeekIndex],92))</f>
        <v/>
      </c>
      <c r="CP14" s="12">
        <f>IF(COUNTIFS(T_TTAFStock_Log[Part Name],$A14,T_TTAFStock_Log[WeekIndex],93)=0,"",SUMIFS(T_TTAFStock_Log[TTAF_Qty],T_TTAFStock_Log[Part Name],$A14,T_TTAFStock_Log[WeekIndex],93))</f>
        <v/>
      </c>
      <c r="CQ14" s="12">
        <f>IF(COUNTIFS(T_TTAFStock_Log[Part Name],$A14,T_TTAFStock_Log[WeekIndex],94)=0,"",SUMIFS(T_TTAFStock_Log[TTAF_Qty],T_TTAFStock_Log[Part Name],$A14,T_TTAFStock_Log[WeekIndex],94))</f>
        <v/>
      </c>
      <c r="CR14" s="12">
        <f>IF(COUNTIFS(T_TTAFStock_Log[Part Name],$A14,T_TTAFStock_Log[WeekIndex],95)=0,"",SUMIFS(T_TTAFStock_Log[TTAF_Qty],T_TTAFStock_Log[Part Name],$A14,T_TTAFStock_Log[WeekIndex],95))</f>
        <v/>
      </c>
      <c r="CS14" s="12">
        <f>IF(COUNTIFS(T_TTAFStock_Log[Part Name],$A14,T_TTAFStock_Log[WeekIndex],96)=0,"",SUMIFS(T_TTAFStock_Log[TTAF_Qty],T_TTAFStock_Log[Part Name],$A14,T_TTAFStock_Log[WeekIndex],96))</f>
        <v/>
      </c>
      <c r="CT14" s="12">
        <f>IF(COUNTIFS(T_TTAFStock_Log[Part Name],$A14,T_TTAFStock_Log[WeekIndex],97)=0,"",SUMIFS(T_TTAFStock_Log[TTAF_Qty],T_TTAFStock_Log[Part Name],$A14,T_TTAFStock_Log[WeekIndex],97))</f>
        <v/>
      </c>
      <c r="CU14" s="12">
        <f>IF(COUNTIFS(T_TTAFStock_Log[Part Name],$A14,T_TTAFStock_Log[WeekIndex],98)=0,"",SUMIFS(T_TTAFStock_Log[TTAF_Qty],T_TTAFStock_Log[Part Name],$A14,T_TTAFStock_Log[WeekIndex],98))</f>
        <v/>
      </c>
      <c r="CV14" s="12">
        <f>IF(COUNTIFS(T_TTAFStock_Log[Part Name],$A14,T_TTAFStock_Log[WeekIndex],99)=0,"",SUMIFS(T_TTAFStock_Log[TTAF_Qty],T_TTAFStock_Log[Part Name],$A14,T_TTAFStock_Log[WeekIndex],99))</f>
        <v/>
      </c>
      <c r="CW14" s="12">
        <f>IF(COUNTIFS(T_TTAFStock_Log[Part Name],$A14,T_TTAFStock_Log[WeekIndex],100)=0,"",SUMIFS(T_TTAFStock_Log[TTAF_Qty],T_TTAFStock_Log[Part Name],$A14,T_TTAFStock_Log[WeekIndex],100))</f>
        <v/>
      </c>
      <c r="CX14" s="12">
        <f>IF(COUNTIFS(T_TTAFStock_Log[Part Name],$A14,T_TTAFStock_Log[WeekIndex],101)=0,"",SUMIFS(T_TTAFStock_Log[TTAF_Qty],T_TTAFStock_Log[Part Name],$A14,T_TTAFStock_Log[WeekIndex],101))</f>
        <v/>
      </c>
      <c r="CY14" s="12">
        <f>IF(COUNTIFS(T_TTAFStock_Log[Part Name],$A14,T_TTAFStock_Log[WeekIndex],102)=0,"",SUMIFS(T_TTAFStock_Log[TTAF_Qty],T_TTAFStock_Log[Part Name],$A14,T_TTAFStock_Log[WeekIndex],102))</f>
        <v/>
      </c>
      <c r="CZ14" s="12">
        <f>IF(COUNTIFS(T_TTAFStock_Log[Part Name],$A14,T_TTAFStock_Log[WeekIndex],103)=0,"",SUMIFS(T_TTAFStock_Log[TTAF_Qty],T_TTAFStock_Log[Part Name],$A14,T_TTAFStock_Log[WeekIndex],103))</f>
        <v/>
      </c>
      <c r="DA14" s="12">
        <f>IF(COUNTIFS(T_TTAFStock_Log[Part Name],$A14,T_TTAFStock_Log[WeekIndex],104)=0,"",SUMIFS(T_TTAFStock_Log[TTAF_Qty],T_TTAFStock_Log[Part Name],$A14,T_TTAFStock_Log[WeekIndex],104))</f>
        <v/>
      </c>
    </row>
    <row r="15">
      <c r="A15" s="13" t="inlineStr">
        <is>
          <t>4HL</t>
        </is>
      </c>
      <c r="B15" s="13">
        <f>IF(COUNTIFS(T_TTAFStock_Log[Part Name],$A15,T_TTAFStock_Log[WeekIndex],1)=0,"",SUMIFS(T_TTAFStock_Log[TTAF_Qty],T_TTAFStock_Log[Part Name],$A15,T_TTAFStock_Log[WeekIndex],1))</f>
        <v/>
      </c>
      <c r="C15" s="13">
        <f>IF(COUNTIFS(T_TTAFStock_Log[Part Name],$A15,T_TTAFStock_Log[WeekIndex],2)=0,"",SUMIFS(T_TTAFStock_Log[TTAF_Qty],T_TTAFStock_Log[Part Name],$A15,T_TTAFStock_Log[WeekIndex],2))</f>
        <v/>
      </c>
      <c r="D15" s="13">
        <f>IF(COUNTIFS(T_TTAFStock_Log[Part Name],$A15,T_TTAFStock_Log[WeekIndex],3)=0,"",SUMIFS(T_TTAFStock_Log[TTAF_Qty],T_TTAFStock_Log[Part Name],$A15,T_TTAFStock_Log[WeekIndex],3))</f>
        <v/>
      </c>
      <c r="E15" s="13">
        <f>IF(COUNTIFS(T_TTAFStock_Log[Part Name],$A15,T_TTAFStock_Log[WeekIndex],4)=0,"",SUMIFS(T_TTAFStock_Log[TTAF_Qty],T_TTAFStock_Log[Part Name],$A15,T_TTAFStock_Log[WeekIndex],4))</f>
        <v/>
      </c>
      <c r="F15" s="13">
        <f>IF(COUNTIFS(T_TTAFStock_Log[Part Name],$A15,T_TTAFStock_Log[WeekIndex],5)=0,"",SUMIFS(T_TTAFStock_Log[TTAF_Qty],T_TTAFStock_Log[Part Name],$A15,T_TTAFStock_Log[WeekIndex],5))</f>
        <v/>
      </c>
      <c r="G15" s="13">
        <f>IF(COUNTIFS(T_TTAFStock_Log[Part Name],$A15,T_TTAFStock_Log[WeekIndex],6)=0,"",SUMIFS(T_TTAFStock_Log[TTAF_Qty],T_TTAFStock_Log[Part Name],$A15,T_TTAFStock_Log[WeekIndex],6))</f>
        <v/>
      </c>
      <c r="H15" s="13">
        <f>IF(COUNTIFS(T_TTAFStock_Log[Part Name],$A15,T_TTAFStock_Log[WeekIndex],7)=0,"",SUMIFS(T_TTAFStock_Log[TTAF_Qty],T_TTAFStock_Log[Part Name],$A15,T_TTAFStock_Log[WeekIndex],7))</f>
        <v/>
      </c>
      <c r="I15" s="13">
        <f>IF(COUNTIFS(T_TTAFStock_Log[Part Name],$A15,T_TTAFStock_Log[WeekIndex],8)=0,"",SUMIFS(T_TTAFStock_Log[TTAF_Qty],T_TTAFStock_Log[Part Name],$A15,T_TTAFStock_Log[WeekIndex],8))</f>
        <v/>
      </c>
      <c r="J15" s="13">
        <f>IF(COUNTIFS(T_TTAFStock_Log[Part Name],$A15,T_TTAFStock_Log[WeekIndex],9)=0,"",SUMIFS(T_TTAFStock_Log[TTAF_Qty],T_TTAFStock_Log[Part Name],$A15,T_TTAFStock_Log[WeekIndex],9))</f>
        <v/>
      </c>
      <c r="K15" s="13">
        <f>IF(COUNTIFS(T_TTAFStock_Log[Part Name],$A15,T_TTAFStock_Log[WeekIndex],10)=0,"",SUMIFS(T_TTAFStock_Log[TTAF_Qty],T_TTAFStock_Log[Part Name],$A15,T_TTAFStock_Log[WeekIndex],10))</f>
        <v/>
      </c>
      <c r="L15" s="13">
        <f>IF(COUNTIFS(T_TTAFStock_Log[Part Name],$A15,T_TTAFStock_Log[WeekIndex],11)=0,"",SUMIFS(T_TTAFStock_Log[TTAF_Qty],T_TTAFStock_Log[Part Name],$A15,T_TTAFStock_Log[WeekIndex],11))</f>
        <v/>
      </c>
      <c r="M15" s="13">
        <f>IF(COUNTIFS(T_TTAFStock_Log[Part Name],$A15,T_TTAFStock_Log[WeekIndex],12)=0,"",SUMIFS(T_TTAFStock_Log[TTAF_Qty],T_TTAFStock_Log[Part Name],$A15,T_TTAFStock_Log[WeekIndex],12))</f>
        <v/>
      </c>
      <c r="N15" s="13">
        <f>IF(COUNTIFS(T_TTAFStock_Log[Part Name],$A15,T_TTAFStock_Log[WeekIndex],13)=0,"",SUMIFS(T_TTAFStock_Log[TTAF_Qty],T_TTAFStock_Log[Part Name],$A15,T_TTAFStock_Log[WeekIndex],13))</f>
        <v/>
      </c>
      <c r="O15" s="13">
        <f>IF(COUNTIFS(T_TTAFStock_Log[Part Name],$A15,T_TTAFStock_Log[WeekIndex],14)=0,"",SUMIFS(T_TTAFStock_Log[TTAF_Qty],T_TTAFStock_Log[Part Name],$A15,T_TTAFStock_Log[WeekIndex],14))</f>
        <v/>
      </c>
      <c r="P15" s="13">
        <f>IF(COUNTIFS(T_TTAFStock_Log[Part Name],$A15,T_TTAFStock_Log[WeekIndex],15)=0,"",SUMIFS(T_TTAFStock_Log[TTAF_Qty],T_TTAFStock_Log[Part Name],$A15,T_TTAFStock_Log[WeekIndex],15))</f>
        <v/>
      </c>
      <c r="Q15" s="13">
        <f>IF(COUNTIFS(T_TTAFStock_Log[Part Name],$A15,T_TTAFStock_Log[WeekIndex],16)=0,"",SUMIFS(T_TTAFStock_Log[TTAF_Qty],T_TTAFStock_Log[Part Name],$A15,T_TTAFStock_Log[WeekIndex],16))</f>
        <v/>
      </c>
      <c r="R15" s="13">
        <f>IF(COUNTIFS(T_TTAFStock_Log[Part Name],$A15,T_TTAFStock_Log[WeekIndex],17)=0,"",SUMIFS(T_TTAFStock_Log[TTAF_Qty],T_TTAFStock_Log[Part Name],$A15,T_TTAFStock_Log[WeekIndex],17))</f>
        <v/>
      </c>
      <c r="S15" s="13">
        <f>IF(COUNTIFS(T_TTAFStock_Log[Part Name],$A15,T_TTAFStock_Log[WeekIndex],18)=0,"",SUMIFS(T_TTAFStock_Log[TTAF_Qty],T_TTAFStock_Log[Part Name],$A15,T_TTAFStock_Log[WeekIndex],18))</f>
        <v/>
      </c>
      <c r="T15" s="13">
        <f>IF(COUNTIFS(T_TTAFStock_Log[Part Name],$A15,T_TTAFStock_Log[WeekIndex],19)=0,"",SUMIFS(T_TTAFStock_Log[TTAF_Qty],T_TTAFStock_Log[Part Name],$A15,T_TTAFStock_Log[WeekIndex],19))</f>
        <v/>
      </c>
      <c r="U15" s="13">
        <f>IF(COUNTIFS(T_TTAFStock_Log[Part Name],$A15,T_TTAFStock_Log[WeekIndex],20)=0,"",SUMIFS(T_TTAFStock_Log[TTAF_Qty],T_TTAFStock_Log[Part Name],$A15,T_TTAFStock_Log[WeekIndex],20))</f>
        <v/>
      </c>
      <c r="V15" s="13">
        <f>IF(COUNTIFS(T_TTAFStock_Log[Part Name],$A15,T_TTAFStock_Log[WeekIndex],21)=0,"",SUMIFS(T_TTAFStock_Log[TTAF_Qty],T_TTAFStock_Log[Part Name],$A15,T_TTAFStock_Log[WeekIndex],21))</f>
        <v/>
      </c>
      <c r="W15" s="13">
        <f>IF(COUNTIFS(T_TTAFStock_Log[Part Name],$A15,T_TTAFStock_Log[WeekIndex],22)=0,"",SUMIFS(T_TTAFStock_Log[TTAF_Qty],T_TTAFStock_Log[Part Name],$A15,T_TTAFStock_Log[WeekIndex],22))</f>
        <v/>
      </c>
      <c r="X15" s="13">
        <f>IF(COUNTIFS(T_TTAFStock_Log[Part Name],$A15,T_TTAFStock_Log[WeekIndex],23)=0,"",SUMIFS(T_TTAFStock_Log[TTAF_Qty],T_TTAFStock_Log[Part Name],$A15,T_TTAFStock_Log[WeekIndex],23))</f>
        <v/>
      </c>
      <c r="Y15" s="13">
        <f>IF(COUNTIFS(T_TTAFStock_Log[Part Name],$A15,T_TTAFStock_Log[WeekIndex],24)=0,"",SUMIFS(T_TTAFStock_Log[TTAF_Qty],T_TTAFStock_Log[Part Name],$A15,T_TTAFStock_Log[WeekIndex],24))</f>
        <v/>
      </c>
      <c r="Z15" s="13">
        <f>IF(COUNTIFS(T_TTAFStock_Log[Part Name],$A15,T_TTAFStock_Log[WeekIndex],25)=0,"",SUMIFS(T_TTAFStock_Log[TTAF_Qty],T_TTAFStock_Log[Part Name],$A15,T_TTAFStock_Log[WeekIndex],25))</f>
        <v/>
      </c>
      <c r="AA15" s="13">
        <f>IF(COUNTIFS(T_TTAFStock_Log[Part Name],$A15,T_TTAFStock_Log[WeekIndex],26)=0,"",SUMIFS(T_TTAFStock_Log[TTAF_Qty],T_TTAFStock_Log[Part Name],$A15,T_TTAFStock_Log[WeekIndex],26))</f>
        <v/>
      </c>
      <c r="AB15" s="13">
        <f>IF(COUNTIFS(T_TTAFStock_Log[Part Name],$A15,T_TTAFStock_Log[WeekIndex],27)=0,"",SUMIFS(T_TTAFStock_Log[TTAF_Qty],T_TTAFStock_Log[Part Name],$A15,T_TTAFStock_Log[WeekIndex],27))</f>
        <v/>
      </c>
      <c r="AC15" s="13">
        <f>IF(COUNTIFS(T_TTAFStock_Log[Part Name],$A15,T_TTAFStock_Log[WeekIndex],28)=0,"",SUMIFS(T_TTAFStock_Log[TTAF_Qty],T_TTAFStock_Log[Part Name],$A15,T_TTAFStock_Log[WeekIndex],28))</f>
        <v/>
      </c>
      <c r="AD15" s="13">
        <f>IF(COUNTIFS(T_TTAFStock_Log[Part Name],$A15,T_TTAFStock_Log[WeekIndex],29)=0,"",SUMIFS(T_TTAFStock_Log[TTAF_Qty],T_TTAFStock_Log[Part Name],$A15,T_TTAFStock_Log[WeekIndex],29))</f>
        <v/>
      </c>
      <c r="AE15" s="13">
        <f>IF(COUNTIFS(T_TTAFStock_Log[Part Name],$A15,T_TTAFStock_Log[WeekIndex],30)=0,"",SUMIFS(T_TTAFStock_Log[TTAF_Qty],T_TTAFStock_Log[Part Name],$A15,T_TTAFStock_Log[WeekIndex],30))</f>
        <v/>
      </c>
      <c r="AF15" s="13">
        <f>IF(COUNTIFS(T_TTAFStock_Log[Part Name],$A15,T_TTAFStock_Log[WeekIndex],31)=0,"",SUMIFS(T_TTAFStock_Log[TTAF_Qty],T_TTAFStock_Log[Part Name],$A15,T_TTAFStock_Log[WeekIndex],31))</f>
        <v/>
      </c>
      <c r="AG15" s="13">
        <f>IF(COUNTIFS(T_TTAFStock_Log[Part Name],$A15,T_TTAFStock_Log[WeekIndex],32)=0,"",SUMIFS(T_TTAFStock_Log[TTAF_Qty],T_TTAFStock_Log[Part Name],$A15,T_TTAFStock_Log[WeekIndex],32))</f>
        <v/>
      </c>
      <c r="AH15" s="13">
        <f>IF(COUNTIFS(T_TTAFStock_Log[Part Name],$A15,T_TTAFStock_Log[WeekIndex],33)=0,"",SUMIFS(T_TTAFStock_Log[TTAF_Qty],T_TTAFStock_Log[Part Name],$A15,T_TTAFStock_Log[WeekIndex],33))</f>
        <v/>
      </c>
      <c r="AI15" s="13">
        <f>IF(COUNTIFS(T_TTAFStock_Log[Part Name],$A15,T_TTAFStock_Log[WeekIndex],34)=0,"",SUMIFS(T_TTAFStock_Log[TTAF_Qty],T_TTAFStock_Log[Part Name],$A15,T_TTAFStock_Log[WeekIndex],34))</f>
        <v/>
      </c>
      <c r="AJ15" s="13">
        <f>IF(COUNTIFS(T_TTAFStock_Log[Part Name],$A15,T_TTAFStock_Log[WeekIndex],35)=0,"",SUMIFS(T_TTAFStock_Log[TTAF_Qty],T_TTAFStock_Log[Part Name],$A15,T_TTAFStock_Log[WeekIndex],35))</f>
        <v/>
      </c>
      <c r="AK15" s="13">
        <f>IF(COUNTIFS(T_TTAFStock_Log[Part Name],$A15,T_TTAFStock_Log[WeekIndex],36)=0,"",SUMIFS(T_TTAFStock_Log[TTAF_Qty],T_TTAFStock_Log[Part Name],$A15,T_TTAFStock_Log[WeekIndex],36))</f>
        <v/>
      </c>
      <c r="AL15" s="13">
        <f>IF(COUNTIFS(T_TTAFStock_Log[Part Name],$A15,T_TTAFStock_Log[WeekIndex],37)=0,"",SUMIFS(T_TTAFStock_Log[TTAF_Qty],T_TTAFStock_Log[Part Name],$A15,T_TTAFStock_Log[WeekIndex],37))</f>
        <v/>
      </c>
      <c r="AM15" s="13">
        <f>IF(COUNTIFS(T_TTAFStock_Log[Part Name],$A15,T_TTAFStock_Log[WeekIndex],38)=0,"",SUMIFS(T_TTAFStock_Log[TTAF_Qty],T_TTAFStock_Log[Part Name],$A15,T_TTAFStock_Log[WeekIndex],38))</f>
        <v/>
      </c>
      <c r="AN15" s="13">
        <f>IF(COUNTIFS(T_TTAFStock_Log[Part Name],$A15,T_TTAFStock_Log[WeekIndex],39)=0,"",SUMIFS(T_TTAFStock_Log[TTAF_Qty],T_TTAFStock_Log[Part Name],$A15,T_TTAFStock_Log[WeekIndex],39))</f>
        <v/>
      </c>
      <c r="AO15" s="13">
        <f>IF(COUNTIFS(T_TTAFStock_Log[Part Name],$A15,T_TTAFStock_Log[WeekIndex],40)=0,"",SUMIFS(T_TTAFStock_Log[TTAF_Qty],T_TTAFStock_Log[Part Name],$A15,T_TTAFStock_Log[WeekIndex],40))</f>
        <v/>
      </c>
      <c r="AP15" s="13">
        <f>IF(COUNTIFS(T_TTAFStock_Log[Part Name],$A15,T_TTAFStock_Log[WeekIndex],41)=0,"",SUMIFS(T_TTAFStock_Log[TTAF_Qty],T_TTAFStock_Log[Part Name],$A15,T_TTAFStock_Log[WeekIndex],41))</f>
        <v/>
      </c>
      <c r="AQ15" s="13">
        <f>IF(COUNTIFS(T_TTAFStock_Log[Part Name],$A15,T_TTAFStock_Log[WeekIndex],42)=0,"",SUMIFS(T_TTAFStock_Log[TTAF_Qty],T_TTAFStock_Log[Part Name],$A15,T_TTAFStock_Log[WeekIndex],42))</f>
        <v/>
      </c>
      <c r="AR15" s="13">
        <f>IF(COUNTIFS(T_TTAFStock_Log[Part Name],$A15,T_TTAFStock_Log[WeekIndex],43)=0,"",SUMIFS(T_TTAFStock_Log[TTAF_Qty],T_TTAFStock_Log[Part Name],$A15,T_TTAFStock_Log[WeekIndex],43))</f>
        <v/>
      </c>
      <c r="AS15" s="13">
        <f>IF(COUNTIFS(T_TTAFStock_Log[Part Name],$A15,T_TTAFStock_Log[WeekIndex],44)=0,"",SUMIFS(T_TTAFStock_Log[TTAF_Qty],T_TTAFStock_Log[Part Name],$A15,T_TTAFStock_Log[WeekIndex],44))</f>
        <v/>
      </c>
      <c r="AT15" s="13">
        <f>IF(COUNTIFS(T_TTAFStock_Log[Part Name],$A15,T_TTAFStock_Log[WeekIndex],45)=0,"",SUMIFS(T_TTAFStock_Log[TTAF_Qty],T_TTAFStock_Log[Part Name],$A15,T_TTAFStock_Log[WeekIndex],45))</f>
        <v/>
      </c>
      <c r="AU15" s="13">
        <f>IF(COUNTIFS(T_TTAFStock_Log[Part Name],$A15,T_TTAFStock_Log[WeekIndex],46)=0,"",SUMIFS(T_TTAFStock_Log[TTAF_Qty],T_TTAFStock_Log[Part Name],$A15,T_TTAFStock_Log[WeekIndex],46))</f>
        <v/>
      </c>
      <c r="AV15" s="13">
        <f>IF(COUNTIFS(T_TTAFStock_Log[Part Name],$A15,T_TTAFStock_Log[WeekIndex],47)=0,"",SUMIFS(T_TTAFStock_Log[TTAF_Qty],T_TTAFStock_Log[Part Name],$A15,T_TTAFStock_Log[WeekIndex],47))</f>
        <v/>
      </c>
      <c r="AW15" s="13">
        <f>IF(COUNTIFS(T_TTAFStock_Log[Part Name],$A15,T_TTAFStock_Log[WeekIndex],48)=0,"",SUMIFS(T_TTAFStock_Log[TTAF_Qty],T_TTAFStock_Log[Part Name],$A15,T_TTAFStock_Log[WeekIndex],48))</f>
        <v/>
      </c>
      <c r="AX15" s="13">
        <f>IF(COUNTIFS(T_TTAFStock_Log[Part Name],$A15,T_TTAFStock_Log[WeekIndex],49)=0,"",SUMIFS(T_TTAFStock_Log[TTAF_Qty],T_TTAFStock_Log[Part Name],$A15,T_TTAFStock_Log[WeekIndex],49))</f>
        <v/>
      </c>
      <c r="AY15" s="13">
        <f>IF(COUNTIFS(T_TTAFStock_Log[Part Name],$A15,T_TTAFStock_Log[WeekIndex],50)=0,"",SUMIFS(T_TTAFStock_Log[TTAF_Qty],T_TTAFStock_Log[Part Name],$A15,T_TTAFStock_Log[WeekIndex],50))</f>
        <v/>
      </c>
      <c r="AZ15" s="13">
        <f>IF(COUNTIFS(T_TTAFStock_Log[Part Name],$A15,T_TTAFStock_Log[WeekIndex],51)=0,"",SUMIFS(T_TTAFStock_Log[TTAF_Qty],T_TTAFStock_Log[Part Name],$A15,T_TTAFStock_Log[WeekIndex],51))</f>
        <v/>
      </c>
      <c r="BA15" s="13">
        <f>IF(COUNTIFS(T_TTAFStock_Log[Part Name],$A15,T_TTAFStock_Log[WeekIndex],52)=0,"",SUMIFS(T_TTAFStock_Log[TTAF_Qty],T_TTAFStock_Log[Part Name],$A15,T_TTAFStock_Log[WeekIndex],52))</f>
        <v/>
      </c>
      <c r="BB15" s="13">
        <f>IF(COUNTIFS(T_TTAFStock_Log[Part Name],$A15,T_TTAFStock_Log[WeekIndex],53)=0,"",SUMIFS(T_TTAFStock_Log[TTAF_Qty],T_TTAFStock_Log[Part Name],$A15,T_TTAFStock_Log[WeekIndex],53))</f>
        <v/>
      </c>
      <c r="BC15" s="13">
        <f>IF(COUNTIFS(T_TTAFStock_Log[Part Name],$A15,T_TTAFStock_Log[WeekIndex],54)=0,"",SUMIFS(T_TTAFStock_Log[TTAF_Qty],T_TTAFStock_Log[Part Name],$A15,T_TTAFStock_Log[WeekIndex],54))</f>
        <v/>
      </c>
      <c r="BD15" s="13">
        <f>IF(COUNTIFS(T_TTAFStock_Log[Part Name],$A15,T_TTAFStock_Log[WeekIndex],55)=0,"",SUMIFS(T_TTAFStock_Log[TTAF_Qty],T_TTAFStock_Log[Part Name],$A15,T_TTAFStock_Log[WeekIndex],55))</f>
        <v/>
      </c>
      <c r="BE15" s="13">
        <f>IF(COUNTIFS(T_TTAFStock_Log[Part Name],$A15,T_TTAFStock_Log[WeekIndex],56)=0,"",SUMIFS(T_TTAFStock_Log[TTAF_Qty],T_TTAFStock_Log[Part Name],$A15,T_TTAFStock_Log[WeekIndex],56))</f>
        <v/>
      </c>
      <c r="BF15" s="13">
        <f>IF(COUNTIFS(T_TTAFStock_Log[Part Name],$A15,T_TTAFStock_Log[WeekIndex],57)=0,"",SUMIFS(T_TTAFStock_Log[TTAF_Qty],T_TTAFStock_Log[Part Name],$A15,T_TTAFStock_Log[WeekIndex],57))</f>
        <v/>
      </c>
      <c r="BG15" s="13">
        <f>IF(COUNTIFS(T_TTAFStock_Log[Part Name],$A15,T_TTAFStock_Log[WeekIndex],58)=0,"",SUMIFS(T_TTAFStock_Log[TTAF_Qty],T_TTAFStock_Log[Part Name],$A15,T_TTAFStock_Log[WeekIndex],58))</f>
        <v/>
      </c>
      <c r="BH15" s="13">
        <f>IF(COUNTIFS(T_TTAFStock_Log[Part Name],$A15,T_TTAFStock_Log[WeekIndex],59)=0,"",SUMIFS(T_TTAFStock_Log[TTAF_Qty],T_TTAFStock_Log[Part Name],$A15,T_TTAFStock_Log[WeekIndex],59))</f>
        <v/>
      </c>
      <c r="BI15" s="13">
        <f>IF(COUNTIFS(T_TTAFStock_Log[Part Name],$A15,T_TTAFStock_Log[WeekIndex],60)=0,"",SUMIFS(T_TTAFStock_Log[TTAF_Qty],T_TTAFStock_Log[Part Name],$A15,T_TTAFStock_Log[WeekIndex],60))</f>
        <v/>
      </c>
      <c r="BJ15" s="13">
        <f>IF(COUNTIFS(T_TTAFStock_Log[Part Name],$A15,T_TTAFStock_Log[WeekIndex],61)=0,"",SUMIFS(T_TTAFStock_Log[TTAF_Qty],T_TTAFStock_Log[Part Name],$A15,T_TTAFStock_Log[WeekIndex],61))</f>
        <v/>
      </c>
      <c r="BK15" s="13">
        <f>IF(COUNTIFS(T_TTAFStock_Log[Part Name],$A15,T_TTAFStock_Log[WeekIndex],62)=0,"",SUMIFS(T_TTAFStock_Log[TTAF_Qty],T_TTAFStock_Log[Part Name],$A15,T_TTAFStock_Log[WeekIndex],62))</f>
        <v/>
      </c>
      <c r="BL15" s="13">
        <f>IF(COUNTIFS(T_TTAFStock_Log[Part Name],$A15,T_TTAFStock_Log[WeekIndex],63)=0,"",SUMIFS(T_TTAFStock_Log[TTAF_Qty],T_TTAFStock_Log[Part Name],$A15,T_TTAFStock_Log[WeekIndex],63))</f>
        <v/>
      </c>
      <c r="BM15" s="13">
        <f>IF(COUNTIFS(T_TTAFStock_Log[Part Name],$A15,T_TTAFStock_Log[WeekIndex],64)=0,"",SUMIFS(T_TTAFStock_Log[TTAF_Qty],T_TTAFStock_Log[Part Name],$A15,T_TTAFStock_Log[WeekIndex],64))</f>
        <v/>
      </c>
      <c r="BN15" s="13">
        <f>IF(COUNTIFS(T_TTAFStock_Log[Part Name],$A15,T_TTAFStock_Log[WeekIndex],65)=0,"",SUMIFS(T_TTAFStock_Log[TTAF_Qty],T_TTAFStock_Log[Part Name],$A15,T_TTAFStock_Log[WeekIndex],65))</f>
        <v/>
      </c>
      <c r="BO15" s="13">
        <f>IF(COUNTIFS(T_TTAFStock_Log[Part Name],$A15,T_TTAFStock_Log[WeekIndex],66)=0,"",SUMIFS(T_TTAFStock_Log[TTAF_Qty],T_TTAFStock_Log[Part Name],$A15,T_TTAFStock_Log[WeekIndex],66))</f>
        <v/>
      </c>
      <c r="BP15" s="13">
        <f>IF(COUNTIFS(T_TTAFStock_Log[Part Name],$A15,T_TTAFStock_Log[WeekIndex],67)=0,"",SUMIFS(T_TTAFStock_Log[TTAF_Qty],T_TTAFStock_Log[Part Name],$A15,T_TTAFStock_Log[WeekIndex],67))</f>
        <v/>
      </c>
      <c r="BQ15" s="13">
        <f>IF(COUNTIFS(T_TTAFStock_Log[Part Name],$A15,T_TTAFStock_Log[WeekIndex],68)=0,"",SUMIFS(T_TTAFStock_Log[TTAF_Qty],T_TTAFStock_Log[Part Name],$A15,T_TTAFStock_Log[WeekIndex],68))</f>
        <v/>
      </c>
      <c r="BR15" s="13">
        <f>IF(COUNTIFS(T_TTAFStock_Log[Part Name],$A15,T_TTAFStock_Log[WeekIndex],69)=0,"",SUMIFS(T_TTAFStock_Log[TTAF_Qty],T_TTAFStock_Log[Part Name],$A15,T_TTAFStock_Log[WeekIndex],69))</f>
        <v/>
      </c>
      <c r="BS15" s="13">
        <f>IF(COUNTIFS(T_TTAFStock_Log[Part Name],$A15,T_TTAFStock_Log[WeekIndex],70)=0,"",SUMIFS(T_TTAFStock_Log[TTAF_Qty],T_TTAFStock_Log[Part Name],$A15,T_TTAFStock_Log[WeekIndex],70))</f>
        <v/>
      </c>
      <c r="BT15" s="13">
        <f>IF(COUNTIFS(T_TTAFStock_Log[Part Name],$A15,T_TTAFStock_Log[WeekIndex],71)=0,"",SUMIFS(T_TTAFStock_Log[TTAF_Qty],T_TTAFStock_Log[Part Name],$A15,T_TTAFStock_Log[WeekIndex],71))</f>
        <v/>
      </c>
      <c r="BU15" s="13">
        <f>IF(COUNTIFS(T_TTAFStock_Log[Part Name],$A15,T_TTAFStock_Log[WeekIndex],72)=0,"",SUMIFS(T_TTAFStock_Log[TTAF_Qty],T_TTAFStock_Log[Part Name],$A15,T_TTAFStock_Log[WeekIndex],72))</f>
        <v/>
      </c>
      <c r="BV15" s="13">
        <f>IF(COUNTIFS(T_TTAFStock_Log[Part Name],$A15,T_TTAFStock_Log[WeekIndex],73)=0,"",SUMIFS(T_TTAFStock_Log[TTAF_Qty],T_TTAFStock_Log[Part Name],$A15,T_TTAFStock_Log[WeekIndex],73))</f>
        <v/>
      </c>
      <c r="BW15" s="13">
        <f>IF(COUNTIFS(T_TTAFStock_Log[Part Name],$A15,T_TTAFStock_Log[WeekIndex],74)=0,"",SUMIFS(T_TTAFStock_Log[TTAF_Qty],T_TTAFStock_Log[Part Name],$A15,T_TTAFStock_Log[WeekIndex],74))</f>
        <v/>
      </c>
      <c r="BX15" s="13">
        <f>IF(COUNTIFS(T_TTAFStock_Log[Part Name],$A15,T_TTAFStock_Log[WeekIndex],75)=0,"",SUMIFS(T_TTAFStock_Log[TTAF_Qty],T_TTAFStock_Log[Part Name],$A15,T_TTAFStock_Log[WeekIndex],75))</f>
        <v/>
      </c>
      <c r="BY15" s="13">
        <f>IF(COUNTIFS(T_TTAFStock_Log[Part Name],$A15,T_TTAFStock_Log[WeekIndex],76)=0,"",SUMIFS(T_TTAFStock_Log[TTAF_Qty],T_TTAFStock_Log[Part Name],$A15,T_TTAFStock_Log[WeekIndex],76))</f>
        <v/>
      </c>
      <c r="BZ15" s="13">
        <f>IF(COUNTIFS(T_TTAFStock_Log[Part Name],$A15,T_TTAFStock_Log[WeekIndex],77)=0,"",SUMIFS(T_TTAFStock_Log[TTAF_Qty],T_TTAFStock_Log[Part Name],$A15,T_TTAFStock_Log[WeekIndex],77))</f>
        <v/>
      </c>
      <c r="CA15" s="13">
        <f>IF(COUNTIFS(T_TTAFStock_Log[Part Name],$A15,T_TTAFStock_Log[WeekIndex],78)=0,"",SUMIFS(T_TTAFStock_Log[TTAF_Qty],T_TTAFStock_Log[Part Name],$A15,T_TTAFStock_Log[WeekIndex],78))</f>
        <v/>
      </c>
      <c r="CB15" s="13">
        <f>IF(COUNTIFS(T_TTAFStock_Log[Part Name],$A15,T_TTAFStock_Log[WeekIndex],79)=0,"",SUMIFS(T_TTAFStock_Log[TTAF_Qty],T_TTAFStock_Log[Part Name],$A15,T_TTAFStock_Log[WeekIndex],79))</f>
        <v/>
      </c>
      <c r="CC15" s="13">
        <f>IF(COUNTIFS(T_TTAFStock_Log[Part Name],$A15,T_TTAFStock_Log[WeekIndex],80)=0,"",SUMIFS(T_TTAFStock_Log[TTAF_Qty],T_TTAFStock_Log[Part Name],$A15,T_TTAFStock_Log[WeekIndex],80))</f>
        <v/>
      </c>
      <c r="CD15" s="13">
        <f>IF(COUNTIFS(T_TTAFStock_Log[Part Name],$A15,T_TTAFStock_Log[WeekIndex],81)=0,"",SUMIFS(T_TTAFStock_Log[TTAF_Qty],T_TTAFStock_Log[Part Name],$A15,T_TTAFStock_Log[WeekIndex],81))</f>
        <v/>
      </c>
      <c r="CE15" s="13">
        <f>IF(COUNTIFS(T_TTAFStock_Log[Part Name],$A15,T_TTAFStock_Log[WeekIndex],82)=0,"",SUMIFS(T_TTAFStock_Log[TTAF_Qty],T_TTAFStock_Log[Part Name],$A15,T_TTAFStock_Log[WeekIndex],82))</f>
        <v/>
      </c>
      <c r="CF15" s="13">
        <f>IF(COUNTIFS(T_TTAFStock_Log[Part Name],$A15,T_TTAFStock_Log[WeekIndex],83)=0,"",SUMIFS(T_TTAFStock_Log[TTAF_Qty],T_TTAFStock_Log[Part Name],$A15,T_TTAFStock_Log[WeekIndex],83))</f>
        <v/>
      </c>
      <c r="CG15" s="13">
        <f>IF(COUNTIFS(T_TTAFStock_Log[Part Name],$A15,T_TTAFStock_Log[WeekIndex],84)=0,"",SUMIFS(T_TTAFStock_Log[TTAF_Qty],T_TTAFStock_Log[Part Name],$A15,T_TTAFStock_Log[WeekIndex],84))</f>
        <v/>
      </c>
      <c r="CH15" s="13">
        <f>IF(COUNTIFS(T_TTAFStock_Log[Part Name],$A15,T_TTAFStock_Log[WeekIndex],85)=0,"",SUMIFS(T_TTAFStock_Log[TTAF_Qty],T_TTAFStock_Log[Part Name],$A15,T_TTAFStock_Log[WeekIndex],85))</f>
        <v/>
      </c>
      <c r="CI15" s="13">
        <f>IF(COUNTIFS(T_TTAFStock_Log[Part Name],$A15,T_TTAFStock_Log[WeekIndex],86)=0,"",SUMIFS(T_TTAFStock_Log[TTAF_Qty],T_TTAFStock_Log[Part Name],$A15,T_TTAFStock_Log[WeekIndex],86))</f>
        <v/>
      </c>
      <c r="CJ15" s="13">
        <f>IF(COUNTIFS(T_TTAFStock_Log[Part Name],$A15,T_TTAFStock_Log[WeekIndex],87)=0,"",SUMIFS(T_TTAFStock_Log[TTAF_Qty],T_TTAFStock_Log[Part Name],$A15,T_TTAFStock_Log[WeekIndex],87))</f>
        <v/>
      </c>
      <c r="CK15" s="13">
        <f>IF(COUNTIFS(T_TTAFStock_Log[Part Name],$A15,T_TTAFStock_Log[WeekIndex],88)=0,"",SUMIFS(T_TTAFStock_Log[TTAF_Qty],T_TTAFStock_Log[Part Name],$A15,T_TTAFStock_Log[WeekIndex],88))</f>
        <v/>
      </c>
      <c r="CL15" s="13">
        <f>IF(COUNTIFS(T_TTAFStock_Log[Part Name],$A15,T_TTAFStock_Log[WeekIndex],89)=0,"",SUMIFS(T_TTAFStock_Log[TTAF_Qty],T_TTAFStock_Log[Part Name],$A15,T_TTAFStock_Log[WeekIndex],89))</f>
        <v/>
      </c>
      <c r="CM15" s="13">
        <f>IF(COUNTIFS(T_TTAFStock_Log[Part Name],$A15,T_TTAFStock_Log[WeekIndex],90)=0,"",SUMIFS(T_TTAFStock_Log[TTAF_Qty],T_TTAFStock_Log[Part Name],$A15,T_TTAFStock_Log[WeekIndex],90))</f>
        <v/>
      </c>
      <c r="CN15" s="13">
        <f>IF(COUNTIFS(T_TTAFStock_Log[Part Name],$A15,T_TTAFStock_Log[WeekIndex],91)=0,"",SUMIFS(T_TTAFStock_Log[TTAF_Qty],T_TTAFStock_Log[Part Name],$A15,T_TTAFStock_Log[WeekIndex],91))</f>
        <v/>
      </c>
      <c r="CO15" s="13">
        <f>IF(COUNTIFS(T_TTAFStock_Log[Part Name],$A15,T_TTAFStock_Log[WeekIndex],92)=0,"",SUMIFS(T_TTAFStock_Log[TTAF_Qty],T_TTAFStock_Log[Part Name],$A15,T_TTAFStock_Log[WeekIndex],92))</f>
        <v/>
      </c>
      <c r="CP15" s="13">
        <f>IF(COUNTIFS(T_TTAFStock_Log[Part Name],$A15,T_TTAFStock_Log[WeekIndex],93)=0,"",SUMIFS(T_TTAFStock_Log[TTAF_Qty],T_TTAFStock_Log[Part Name],$A15,T_TTAFStock_Log[WeekIndex],93))</f>
        <v/>
      </c>
      <c r="CQ15" s="13">
        <f>IF(COUNTIFS(T_TTAFStock_Log[Part Name],$A15,T_TTAFStock_Log[WeekIndex],94)=0,"",SUMIFS(T_TTAFStock_Log[TTAF_Qty],T_TTAFStock_Log[Part Name],$A15,T_TTAFStock_Log[WeekIndex],94))</f>
        <v/>
      </c>
      <c r="CR15" s="13">
        <f>IF(COUNTIFS(T_TTAFStock_Log[Part Name],$A15,T_TTAFStock_Log[WeekIndex],95)=0,"",SUMIFS(T_TTAFStock_Log[TTAF_Qty],T_TTAFStock_Log[Part Name],$A15,T_TTAFStock_Log[WeekIndex],95))</f>
        <v/>
      </c>
      <c r="CS15" s="13">
        <f>IF(COUNTIFS(T_TTAFStock_Log[Part Name],$A15,T_TTAFStock_Log[WeekIndex],96)=0,"",SUMIFS(T_TTAFStock_Log[TTAF_Qty],T_TTAFStock_Log[Part Name],$A15,T_TTAFStock_Log[WeekIndex],96))</f>
        <v/>
      </c>
      <c r="CT15" s="13">
        <f>IF(COUNTIFS(T_TTAFStock_Log[Part Name],$A15,T_TTAFStock_Log[WeekIndex],97)=0,"",SUMIFS(T_TTAFStock_Log[TTAF_Qty],T_TTAFStock_Log[Part Name],$A15,T_TTAFStock_Log[WeekIndex],97))</f>
        <v/>
      </c>
      <c r="CU15" s="13">
        <f>IF(COUNTIFS(T_TTAFStock_Log[Part Name],$A15,T_TTAFStock_Log[WeekIndex],98)=0,"",SUMIFS(T_TTAFStock_Log[TTAF_Qty],T_TTAFStock_Log[Part Name],$A15,T_TTAFStock_Log[WeekIndex],98))</f>
        <v/>
      </c>
      <c r="CV15" s="13">
        <f>IF(COUNTIFS(T_TTAFStock_Log[Part Name],$A15,T_TTAFStock_Log[WeekIndex],99)=0,"",SUMIFS(T_TTAFStock_Log[TTAF_Qty],T_TTAFStock_Log[Part Name],$A15,T_TTAFStock_Log[WeekIndex],99))</f>
        <v/>
      </c>
      <c r="CW15" s="13">
        <f>IF(COUNTIFS(T_TTAFStock_Log[Part Name],$A15,T_TTAFStock_Log[WeekIndex],100)=0,"",SUMIFS(T_TTAFStock_Log[TTAF_Qty],T_TTAFStock_Log[Part Name],$A15,T_TTAFStock_Log[WeekIndex],100))</f>
        <v/>
      </c>
      <c r="CX15" s="13">
        <f>IF(COUNTIFS(T_TTAFStock_Log[Part Name],$A15,T_TTAFStock_Log[WeekIndex],101)=0,"",SUMIFS(T_TTAFStock_Log[TTAF_Qty],T_TTAFStock_Log[Part Name],$A15,T_TTAFStock_Log[WeekIndex],101))</f>
        <v/>
      </c>
      <c r="CY15" s="13">
        <f>IF(COUNTIFS(T_TTAFStock_Log[Part Name],$A15,T_TTAFStock_Log[WeekIndex],102)=0,"",SUMIFS(T_TTAFStock_Log[TTAF_Qty],T_TTAFStock_Log[Part Name],$A15,T_TTAFStock_Log[WeekIndex],102))</f>
        <v/>
      </c>
      <c r="CZ15" s="13">
        <f>IF(COUNTIFS(T_TTAFStock_Log[Part Name],$A15,T_TTAFStock_Log[WeekIndex],103)=0,"",SUMIFS(T_TTAFStock_Log[TTAF_Qty],T_TTAFStock_Log[Part Name],$A15,T_TTAFStock_Log[WeekIndex],103))</f>
        <v/>
      </c>
      <c r="DA15" s="13">
        <f>IF(COUNTIFS(T_TTAFStock_Log[Part Name],$A15,T_TTAFStock_Log[WeekIndex],104)=0,"",SUMIFS(T_TTAFStock_Log[TTAF_Qty],T_TTAFStock_Log[Part Name],$A15,T_TTAFStock_Log[WeekIndex],104))</f>
        <v/>
      </c>
    </row>
    <row r="16">
      <c r="A16" s="12" t="inlineStr">
        <is>
          <t>1EK</t>
        </is>
      </c>
      <c r="B16" s="12">
        <f>IF(COUNTIFS(T_TTAFStock_Log[Part Name],$A16,T_TTAFStock_Log[WeekIndex],1)=0,"",SUMIFS(T_TTAFStock_Log[TTAF_Qty],T_TTAFStock_Log[Part Name],$A16,T_TTAFStock_Log[WeekIndex],1))</f>
        <v/>
      </c>
      <c r="C16" s="12">
        <f>IF(COUNTIFS(T_TTAFStock_Log[Part Name],$A16,T_TTAFStock_Log[WeekIndex],2)=0,"",SUMIFS(T_TTAFStock_Log[TTAF_Qty],T_TTAFStock_Log[Part Name],$A16,T_TTAFStock_Log[WeekIndex],2))</f>
        <v/>
      </c>
      <c r="D16" s="12">
        <f>IF(COUNTIFS(T_TTAFStock_Log[Part Name],$A16,T_TTAFStock_Log[WeekIndex],3)=0,"",SUMIFS(T_TTAFStock_Log[TTAF_Qty],T_TTAFStock_Log[Part Name],$A16,T_TTAFStock_Log[WeekIndex],3))</f>
        <v/>
      </c>
      <c r="E16" s="12">
        <f>IF(COUNTIFS(T_TTAFStock_Log[Part Name],$A16,T_TTAFStock_Log[WeekIndex],4)=0,"",SUMIFS(T_TTAFStock_Log[TTAF_Qty],T_TTAFStock_Log[Part Name],$A16,T_TTAFStock_Log[WeekIndex],4))</f>
        <v/>
      </c>
      <c r="F16" s="12">
        <f>IF(COUNTIFS(T_TTAFStock_Log[Part Name],$A16,T_TTAFStock_Log[WeekIndex],5)=0,"",SUMIFS(T_TTAFStock_Log[TTAF_Qty],T_TTAFStock_Log[Part Name],$A16,T_TTAFStock_Log[WeekIndex],5))</f>
        <v/>
      </c>
      <c r="G16" s="12">
        <f>IF(COUNTIFS(T_TTAFStock_Log[Part Name],$A16,T_TTAFStock_Log[WeekIndex],6)=0,"",SUMIFS(T_TTAFStock_Log[TTAF_Qty],T_TTAFStock_Log[Part Name],$A16,T_TTAFStock_Log[WeekIndex],6))</f>
        <v/>
      </c>
      <c r="H16" s="12">
        <f>IF(COUNTIFS(T_TTAFStock_Log[Part Name],$A16,T_TTAFStock_Log[WeekIndex],7)=0,"",SUMIFS(T_TTAFStock_Log[TTAF_Qty],T_TTAFStock_Log[Part Name],$A16,T_TTAFStock_Log[WeekIndex],7))</f>
        <v/>
      </c>
      <c r="I16" s="12">
        <f>IF(COUNTIFS(T_TTAFStock_Log[Part Name],$A16,T_TTAFStock_Log[WeekIndex],8)=0,"",SUMIFS(T_TTAFStock_Log[TTAF_Qty],T_TTAFStock_Log[Part Name],$A16,T_TTAFStock_Log[WeekIndex],8))</f>
        <v/>
      </c>
      <c r="J16" s="12">
        <f>IF(COUNTIFS(T_TTAFStock_Log[Part Name],$A16,T_TTAFStock_Log[WeekIndex],9)=0,"",SUMIFS(T_TTAFStock_Log[TTAF_Qty],T_TTAFStock_Log[Part Name],$A16,T_TTAFStock_Log[WeekIndex],9))</f>
        <v/>
      </c>
      <c r="K16" s="12">
        <f>IF(COUNTIFS(T_TTAFStock_Log[Part Name],$A16,T_TTAFStock_Log[WeekIndex],10)=0,"",SUMIFS(T_TTAFStock_Log[TTAF_Qty],T_TTAFStock_Log[Part Name],$A16,T_TTAFStock_Log[WeekIndex],10))</f>
        <v/>
      </c>
      <c r="L16" s="12">
        <f>IF(COUNTIFS(T_TTAFStock_Log[Part Name],$A16,T_TTAFStock_Log[WeekIndex],11)=0,"",SUMIFS(T_TTAFStock_Log[TTAF_Qty],T_TTAFStock_Log[Part Name],$A16,T_TTAFStock_Log[WeekIndex],11))</f>
        <v/>
      </c>
      <c r="M16" s="12">
        <f>IF(COUNTIFS(T_TTAFStock_Log[Part Name],$A16,T_TTAFStock_Log[WeekIndex],12)=0,"",SUMIFS(T_TTAFStock_Log[TTAF_Qty],T_TTAFStock_Log[Part Name],$A16,T_TTAFStock_Log[WeekIndex],12))</f>
        <v/>
      </c>
      <c r="N16" s="12">
        <f>IF(COUNTIFS(T_TTAFStock_Log[Part Name],$A16,T_TTAFStock_Log[WeekIndex],13)=0,"",SUMIFS(T_TTAFStock_Log[TTAF_Qty],T_TTAFStock_Log[Part Name],$A16,T_TTAFStock_Log[WeekIndex],13))</f>
        <v/>
      </c>
      <c r="O16" s="12">
        <f>IF(COUNTIFS(T_TTAFStock_Log[Part Name],$A16,T_TTAFStock_Log[WeekIndex],14)=0,"",SUMIFS(T_TTAFStock_Log[TTAF_Qty],T_TTAFStock_Log[Part Name],$A16,T_TTAFStock_Log[WeekIndex],14))</f>
        <v/>
      </c>
      <c r="P16" s="12">
        <f>IF(COUNTIFS(T_TTAFStock_Log[Part Name],$A16,T_TTAFStock_Log[WeekIndex],15)=0,"",SUMIFS(T_TTAFStock_Log[TTAF_Qty],T_TTAFStock_Log[Part Name],$A16,T_TTAFStock_Log[WeekIndex],15))</f>
        <v/>
      </c>
      <c r="Q16" s="12">
        <f>IF(COUNTIFS(T_TTAFStock_Log[Part Name],$A16,T_TTAFStock_Log[WeekIndex],16)=0,"",SUMIFS(T_TTAFStock_Log[TTAF_Qty],T_TTAFStock_Log[Part Name],$A16,T_TTAFStock_Log[WeekIndex],16))</f>
        <v/>
      </c>
      <c r="R16" s="12">
        <f>IF(COUNTIFS(T_TTAFStock_Log[Part Name],$A16,T_TTAFStock_Log[WeekIndex],17)=0,"",SUMIFS(T_TTAFStock_Log[TTAF_Qty],T_TTAFStock_Log[Part Name],$A16,T_TTAFStock_Log[WeekIndex],17))</f>
        <v/>
      </c>
      <c r="S16" s="12">
        <f>IF(COUNTIFS(T_TTAFStock_Log[Part Name],$A16,T_TTAFStock_Log[WeekIndex],18)=0,"",SUMIFS(T_TTAFStock_Log[TTAF_Qty],T_TTAFStock_Log[Part Name],$A16,T_TTAFStock_Log[WeekIndex],18))</f>
        <v/>
      </c>
      <c r="T16" s="12">
        <f>IF(COUNTIFS(T_TTAFStock_Log[Part Name],$A16,T_TTAFStock_Log[WeekIndex],19)=0,"",SUMIFS(T_TTAFStock_Log[TTAF_Qty],T_TTAFStock_Log[Part Name],$A16,T_TTAFStock_Log[WeekIndex],19))</f>
        <v/>
      </c>
      <c r="U16" s="12">
        <f>IF(COUNTIFS(T_TTAFStock_Log[Part Name],$A16,T_TTAFStock_Log[WeekIndex],20)=0,"",SUMIFS(T_TTAFStock_Log[TTAF_Qty],T_TTAFStock_Log[Part Name],$A16,T_TTAFStock_Log[WeekIndex],20))</f>
        <v/>
      </c>
      <c r="V16" s="12">
        <f>IF(COUNTIFS(T_TTAFStock_Log[Part Name],$A16,T_TTAFStock_Log[WeekIndex],21)=0,"",SUMIFS(T_TTAFStock_Log[TTAF_Qty],T_TTAFStock_Log[Part Name],$A16,T_TTAFStock_Log[WeekIndex],21))</f>
        <v/>
      </c>
      <c r="W16" s="12">
        <f>IF(COUNTIFS(T_TTAFStock_Log[Part Name],$A16,T_TTAFStock_Log[WeekIndex],22)=0,"",SUMIFS(T_TTAFStock_Log[TTAF_Qty],T_TTAFStock_Log[Part Name],$A16,T_TTAFStock_Log[WeekIndex],22))</f>
        <v/>
      </c>
      <c r="X16" s="12">
        <f>IF(COUNTIFS(T_TTAFStock_Log[Part Name],$A16,T_TTAFStock_Log[WeekIndex],23)=0,"",SUMIFS(T_TTAFStock_Log[TTAF_Qty],T_TTAFStock_Log[Part Name],$A16,T_TTAFStock_Log[WeekIndex],23))</f>
        <v/>
      </c>
      <c r="Y16" s="12">
        <f>IF(COUNTIFS(T_TTAFStock_Log[Part Name],$A16,T_TTAFStock_Log[WeekIndex],24)=0,"",SUMIFS(T_TTAFStock_Log[TTAF_Qty],T_TTAFStock_Log[Part Name],$A16,T_TTAFStock_Log[WeekIndex],24))</f>
        <v/>
      </c>
      <c r="Z16" s="12">
        <f>IF(COUNTIFS(T_TTAFStock_Log[Part Name],$A16,T_TTAFStock_Log[WeekIndex],25)=0,"",SUMIFS(T_TTAFStock_Log[TTAF_Qty],T_TTAFStock_Log[Part Name],$A16,T_TTAFStock_Log[WeekIndex],25))</f>
        <v/>
      </c>
      <c r="AA16" s="12">
        <f>IF(COUNTIFS(T_TTAFStock_Log[Part Name],$A16,T_TTAFStock_Log[WeekIndex],26)=0,"",SUMIFS(T_TTAFStock_Log[TTAF_Qty],T_TTAFStock_Log[Part Name],$A16,T_TTAFStock_Log[WeekIndex],26))</f>
        <v/>
      </c>
      <c r="AB16" s="12">
        <f>IF(COUNTIFS(T_TTAFStock_Log[Part Name],$A16,T_TTAFStock_Log[WeekIndex],27)=0,"",SUMIFS(T_TTAFStock_Log[TTAF_Qty],T_TTAFStock_Log[Part Name],$A16,T_TTAFStock_Log[WeekIndex],27))</f>
        <v/>
      </c>
      <c r="AC16" s="12">
        <f>IF(COUNTIFS(T_TTAFStock_Log[Part Name],$A16,T_TTAFStock_Log[WeekIndex],28)=0,"",SUMIFS(T_TTAFStock_Log[TTAF_Qty],T_TTAFStock_Log[Part Name],$A16,T_TTAFStock_Log[WeekIndex],28))</f>
        <v/>
      </c>
      <c r="AD16" s="12">
        <f>IF(COUNTIFS(T_TTAFStock_Log[Part Name],$A16,T_TTAFStock_Log[WeekIndex],29)=0,"",SUMIFS(T_TTAFStock_Log[TTAF_Qty],T_TTAFStock_Log[Part Name],$A16,T_TTAFStock_Log[WeekIndex],29))</f>
        <v/>
      </c>
      <c r="AE16" s="12">
        <f>IF(COUNTIFS(T_TTAFStock_Log[Part Name],$A16,T_TTAFStock_Log[WeekIndex],30)=0,"",SUMIFS(T_TTAFStock_Log[TTAF_Qty],T_TTAFStock_Log[Part Name],$A16,T_TTAFStock_Log[WeekIndex],30))</f>
        <v/>
      </c>
      <c r="AF16" s="12">
        <f>IF(COUNTIFS(T_TTAFStock_Log[Part Name],$A16,T_TTAFStock_Log[WeekIndex],31)=0,"",SUMIFS(T_TTAFStock_Log[TTAF_Qty],T_TTAFStock_Log[Part Name],$A16,T_TTAFStock_Log[WeekIndex],31))</f>
        <v/>
      </c>
      <c r="AG16" s="12">
        <f>IF(COUNTIFS(T_TTAFStock_Log[Part Name],$A16,T_TTAFStock_Log[WeekIndex],32)=0,"",SUMIFS(T_TTAFStock_Log[TTAF_Qty],T_TTAFStock_Log[Part Name],$A16,T_TTAFStock_Log[WeekIndex],32))</f>
        <v/>
      </c>
      <c r="AH16" s="12">
        <f>IF(COUNTIFS(T_TTAFStock_Log[Part Name],$A16,T_TTAFStock_Log[WeekIndex],33)=0,"",SUMIFS(T_TTAFStock_Log[TTAF_Qty],T_TTAFStock_Log[Part Name],$A16,T_TTAFStock_Log[WeekIndex],33))</f>
        <v/>
      </c>
      <c r="AI16" s="12">
        <f>IF(COUNTIFS(T_TTAFStock_Log[Part Name],$A16,T_TTAFStock_Log[WeekIndex],34)=0,"",SUMIFS(T_TTAFStock_Log[TTAF_Qty],T_TTAFStock_Log[Part Name],$A16,T_TTAFStock_Log[WeekIndex],34))</f>
        <v/>
      </c>
      <c r="AJ16" s="12">
        <f>IF(COUNTIFS(T_TTAFStock_Log[Part Name],$A16,T_TTAFStock_Log[WeekIndex],35)=0,"",SUMIFS(T_TTAFStock_Log[TTAF_Qty],T_TTAFStock_Log[Part Name],$A16,T_TTAFStock_Log[WeekIndex],35))</f>
        <v/>
      </c>
      <c r="AK16" s="12">
        <f>IF(COUNTIFS(T_TTAFStock_Log[Part Name],$A16,T_TTAFStock_Log[WeekIndex],36)=0,"",SUMIFS(T_TTAFStock_Log[TTAF_Qty],T_TTAFStock_Log[Part Name],$A16,T_TTAFStock_Log[WeekIndex],36))</f>
        <v/>
      </c>
      <c r="AL16" s="12">
        <f>IF(COUNTIFS(T_TTAFStock_Log[Part Name],$A16,T_TTAFStock_Log[WeekIndex],37)=0,"",SUMIFS(T_TTAFStock_Log[TTAF_Qty],T_TTAFStock_Log[Part Name],$A16,T_TTAFStock_Log[WeekIndex],37))</f>
        <v/>
      </c>
      <c r="AM16" s="12">
        <f>IF(COUNTIFS(T_TTAFStock_Log[Part Name],$A16,T_TTAFStock_Log[WeekIndex],38)=0,"",SUMIFS(T_TTAFStock_Log[TTAF_Qty],T_TTAFStock_Log[Part Name],$A16,T_TTAFStock_Log[WeekIndex],38))</f>
        <v/>
      </c>
      <c r="AN16" s="12">
        <f>IF(COUNTIFS(T_TTAFStock_Log[Part Name],$A16,T_TTAFStock_Log[WeekIndex],39)=0,"",SUMIFS(T_TTAFStock_Log[TTAF_Qty],T_TTAFStock_Log[Part Name],$A16,T_TTAFStock_Log[WeekIndex],39))</f>
        <v/>
      </c>
      <c r="AO16" s="12">
        <f>IF(COUNTIFS(T_TTAFStock_Log[Part Name],$A16,T_TTAFStock_Log[WeekIndex],40)=0,"",SUMIFS(T_TTAFStock_Log[TTAF_Qty],T_TTAFStock_Log[Part Name],$A16,T_TTAFStock_Log[WeekIndex],40))</f>
        <v/>
      </c>
      <c r="AP16" s="12">
        <f>IF(COUNTIFS(T_TTAFStock_Log[Part Name],$A16,T_TTAFStock_Log[WeekIndex],41)=0,"",SUMIFS(T_TTAFStock_Log[TTAF_Qty],T_TTAFStock_Log[Part Name],$A16,T_TTAFStock_Log[WeekIndex],41))</f>
        <v/>
      </c>
      <c r="AQ16" s="12">
        <f>IF(COUNTIFS(T_TTAFStock_Log[Part Name],$A16,T_TTAFStock_Log[WeekIndex],42)=0,"",SUMIFS(T_TTAFStock_Log[TTAF_Qty],T_TTAFStock_Log[Part Name],$A16,T_TTAFStock_Log[WeekIndex],42))</f>
        <v/>
      </c>
      <c r="AR16" s="12">
        <f>IF(COUNTIFS(T_TTAFStock_Log[Part Name],$A16,T_TTAFStock_Log[WeekIndex],43)=0,"",SUMIFS(T_TTAFStock_Log[TTAF_Qty],T_TTAFStock_Log[Part Name],$A16,T_TTAFStock_Log[WeekIndex],43))</f>
        <v/>
      </c>
      <c r="AS16" s="12">
        <f>IF(COUNTIFS(T_TTAFStock_Log[Part Name],$A16,T_TTAFStock_Log[WeekIndex],44)=0,"",SUMIFS(T_TTAFStock_Log[TTAF_Qty],T_TTAFStock_Log[Part Name],$A16,T_TTAFStock_Log[WeekIndex],44))</f>
        <v/>
      </c>
      <c r="AT16" s="12">
        <f>IF(COUNTIFS(T_TTAFStock_Log[Part Name],$A16,T_TTAFStock_Log[WeekIndex],45)=0,"",SUMIFS(T_TTAFStock_Log[TTAF_Qty],T_TTAFStock_Log[Part Name],$A16,T_TTAFStock_Log[WeekIndex],45))</f>
        <v/>
      </c>
      <c r="AU16" s="12">
        <f>IF(COUNTIFS(T_TTAFStock_Log[Part Name],$A16,T_TTAFStock_Log[WeekIndex],46)=0,"",SUMIFS(T_TTAFStock_Log[TTAF_Qty],T_TTAFStock_Log[Part Name],$A16,T_TTAFStock_Log[WeekIndex],46))</f>
        <v/>
      </c>
      <c r="AV16" s="12">
        <f>IF(COUNTIFS(T_TTAFStock_Log[Part Name],$A16,T_TTAFStock_Log[WeekIndex],47)=0,"",SUMIFS(T_TTAFStock_Log[TTAF_Qty],T_TTAFStock_Log[Part Name],$A16,T_TTAFStock_Log[WeekIndex],47))</f>
        <v/>
      </c>
      <c r="AW16" s="12">
        <f>IF(COUNTIFS(T_TTAFStock_Log[Part Name],$A16,T_TTAFStock_Log[WeekIndex],48)=0,"",SUMIFS(T_TTAFStock_Log[TTAF_Qty],T_TTAFStock_Log[Part Name],$A16,T_TTAFStock_Log[WeekIndex],48))</f>
        <v/>
      </c>
      <c r="AX16" s="12">
        <f>IF(COUNTIFS(T_TTAFStock_Log[Part Name],$A16,T_TTAFStock_Log[WeekIndex],49)=0,"",SUMIFS(T_TTAFStock_Log[TTAF_Qty],T_TTAFStock_Log[Part Name],$A16,T_TTAFStock_Log[WeekIndex],49))</f>
        <v/>
      </c>
      <c r="AY16" s="12">
        <f>IF(COUNTIFS(T_TTAFStock_Log[Part Name],$A16,T_TTAFStock_Log[WeekIndex],50)=0,"",SUMIFS(T_TTAFStock_Log[TTAF_Qty],T_TTAFStock_Log[Part Name],$A16,T_TTAFStock_Log[WeekIndex],50))</f>
        <v/>
      </c>
      <c r="AZ16" s="12">
        <f>IF(COUNTIFS(T_TTAFStock_Log[Part Name],$A16,T_TTAFStock_Log[WeekIndex],51)=0,"",SUMIFS(T_TTAFStock_Log[TTAF_Qty],T_TTAFStock_Log[Part Name],$A16,T_TTAFStock_Log[WeekIndex],51))</f>
        <v/>
      </c>
      <c r="BA16" s="12">
        <f>IF(COUNTIFS(T_TTAFStock_Log[Part Name],$A16,T_TTAFStock_Log[WeekIndex],52)=0,"",SUMIFS(T_TTAFStock_Log[TTAF_Qty],T_TTAFStock_Log[Part Name],$A16,T_TTAFStock_Log[WeekIndex],52))</f>
        <v/>
      </c>
      <c r="BB16" s="12">
        <f>IF(COUNTIFS(T_TTAFStock_Log[Part Name],$A16,T_TTAFStock_Log[WeekIndex],53)=0,"",SUMIFS(T_TTAFStock_Log[TTAF_Qty],T_TTAFStock_Log[Part Name],$A16,T_TTAFStock_Log[WeekIndex],53))</f>
        <v/>
      </c>
      <c r="BC16" s="12">
        <f>IF(COUNTIFS(T_TTAFStock_Log[Part Name],$A16,T_TTAFStock_Log[WeekIndex],54)=0,"",SUMIFS(T_TTAFStock_Log[TTAF_Qty],T_TTAFStock_Log[Part Name],$A16,T_TTAFStock_Log[WeekIndex],54))</f>
        <v/>
      </c>
      <c r="BD16" s="12">
        <f>IF(COUNTIFS(T_TTAFStock_Log[Part Name],$A16,T_TTAFStock_Log[WeekIndex],55)=0,"",SUMIFS(T_TTAFStock_Log[TTAF_Qty],T_TTAFStock_Log[Part Name],$A16,T_TTAFStock_Log[WeekIndex],55))</f>
        <v/>
      </c>
      <c r="BE16" s="12">
        <f>IF(COUNTIFS(T_TTAFStock_Log[Part Name],$A16,T_TTAFStock_Log[WeekIndex],56)=0,"",SUMIFS(T_TTAFStock_Log[TTAF_Qty],T_TTAFStock_Log[Part Name],$A16,T_TTAFStock_Log[WeekIndex],56))</f>
        <v/>
      </c>
      <c r="BF16" s="12">
        <f>IF(COUNTIFS(T_TTAFStock_Log[Part Name],$A16,T_TTAFStock_Log[WeekIndex],57)=0,"",SUMIFS(T_TTAFStock_Log[TTAF_Qty],T_TTAFStock_Log[Part Name],$A16,T_TTAFStock_Log[WeekIndex],57))</f>
        <v/>
      </c>
      <c r="BG16" s="12">
        <f>IF(COUNTIFS(T_TTAFStock_Log[Part Name],$A16,T_TTAFStock_Log[WeekIndex],58)=0,"",SUMIFS(T_TTAFStock_Log[TTAF_Qty],T_TTAFStock_Log[Part Name],$A16,T_TTAFStock_Log[WeekIndex],58))</f>
        <v/>
      </c>
      <c r="BH16" s="12">
        <f>IF(COUNTIFS(T_TTAFStock_Log[Part Name],$A16,T_TTAFStock_Log[WeekIndex],59)=0,"",SUMIFS(T_TTAFStock_Log[TTAF_Qty],T_TTAFStock_Log[Part Name],$A16,T_TTAFStock_Log[WeekIndex],59))</f>
        <v/>
      </c>
      <c r="BI16" s="12">
        <f>IF(COUNTIFS(T_TTAFStock_Log[Part Name],$A16,T_TTAFStock_Log[WeekIndex],60)=0,"",SUMIFS(T_TTAFStock_Log[TTAF_Qty],T_TTAFStock_Log[Part Name],$A16,T_TTAFStock_Log[WeekIndex],60))</f>
        <v/>
      </c>
      <c r="BJ16" s="12">
        <f>IF(COUNTIFS(T_TTAFStock_Log[Part Name],$A16,T_TTAFStock_Log[WeekIndex],61)=0,"",SUMIFS(T_TTAFStock_Log[TTAF_Qty],T_TTAFStock_Log[Part Name],$A16,T_TTAFStock_Log[WeekIndex],61))</f>
        <v/>
      </c>
      <c r="BK16" s="12">
        <f>IF(COUNTIFS(T_TTAFStock_Log[Part Name],$A16,T_TTAFStock_Log[WeekIndex],62)=0,"",SUMIFS(T_TTAFStock_Log[TTAF_Qty],T_TTAFStock_Log[Part Name],$A16,T_TTAFStock_Log[WeekIndex],62))</f>
        <v/>
      </c>
      <c r="BL16" s="12">
        <f>IF(COUNTIFS(T_TTAFStock_Log[Part Name],$A16,T_TTAFStock_Log[WeekIndex],63)=0,"",SUMIFS(T_TTAFStock_Log[TTAF_Qty],T_TTAFStock_Log[Part Name],$A16,T_TTAFStock_Log[WeekIndex],63))</f>
        <v/>
      </c>
      <c r="BM16" s="12">
        <f>IF(COUNTIFS(T_TTAFStock_Log[Part Name],$A16,T_TTAFStock_Log[WeekIndex],64)=0,"",SUMIFS(T_TTAFStock_Log[TTAF_Qty],T_TTAFStock_Log[Part Name],$A16,T_TTAFStock_Log[WeekIndex],64))</f>
        <v/>
      </c>
      <c r="BN16" s="12">
        <f>IF(COUNTIFS(T_TTAFStock_Log[Part Name],$A16,T_TTAFStock_Log[WeekIndex],65)=0,"",SUMIFS(T_TTAFStock_Log[TTAF_Qty],T_TTAFStock_Log[Part Name],$A16,T_TTAFStock_Log[WeekIndex],65))</f>
        <v/>
      </c>
      <c r="BO16" s="12">
        <f>IF(COUNTIFS(T_TTAFStock_Log[Part Name],$A16,T_TTAFStock_Log[WeekIndex],66)=0,"",SUMIFS(T_TTAFStock_Log[TTAF_Qty],T_TTAFStock_Log[Part Name],$A16,T_TTAFStock_Log[WeekIndex],66))</f>
        <v/>
      </c>
      <c r="BP16" s="12">
        <f>IF(COUNTIFS(T_TTAFStock_Log[Part Name],$A16,T_TTAFStock_Log[WeekIndex],67)=0,"",SUMIFS(T_TTAFStock_Log[TTAF_Qty],T_TTAFStock_Log[Part Name],$A16,T_TTAFStock_Log[WeekIndex],67))</f>
        <v/>
      </c>
      <c r="BQ16" s="12">
        <f>IF(COUNTIFS(T_TTAFStock_Log[Part Name],$A16,T_TTAFStock_Log[WeekIndex],68)=0,"",SUMIFS(T_TTAFStock_Log[TTAF_Qty],T_TTAFStock_Log[Part Name],$A16,T_TTAFStock_Log[WeekIndex],68))</f>
        <v/>
      </c>
      <c r="BR16" s="12">
        <f>IF(COUNTIFS(T_TTAFStock_Log[Part Name],$A16,T_TTAFStock_Log[WeekIndex],69)=0,"",SUMIFS(T_TTAFStock_Log[TTAF_Qty],T_TTAFStock_Log[Part Name],$A16,T_TTAFStock_Log[WeekIndex],69))</f>
        <v/>
      </c>
      <c r="BS16" s="12">
        <f>IF(COUNTIFS(T_TTAFStock_Log[Part Name],$A16,T_TTAFStock_Log[WeekIndex],70)=0,"",SUMIFS(T_TTAFStock_Log[TTAF_Qty],T_TTAFStock_Log[Part Name],$A16,T_TTAFStock_Log[WeekIndex],70))</f>
        <v/>
      </c>
      <c r="BT16" s="12">
        <f>IF(COUNTIFS(T_TTAFStock_Log[Part Name],$A16,T_TTAFStock_Log[WeekIndex],71)=0,"",SUMIFS(T_TTAFStock_Log[TTAF_Qty],T_TTAFStock_Log[Part Name],$A16,T_TTAFStock_Log[WeekIndex],71))</f>
        <v/>
      </c>
      <c r="BU16" s="12">
        <f>IF(COUNTIFS(T_TTAFStock_Log[Part Name],$A16,T_TTAFStock_Log[WeekIndex],72)=0,"",SUMIFS(T_TTAFStock_Log[TTAF_Qty],T_TTAFStock_Log[Part Name],$A16,T_TTAFStock_Log[WeekIndex],72))</f>
        <v/>
      </c>
      <c r="BV16" s="12">
        <f>IF(COUNTIFS(T_TTAFStock_Log[Part Name],$A16,T_TTAFStock_Log[WeekIndex],73)=0,"",SUMIFS(T_TTAFStock_Log[TTAF_Qty],T_TTAFStock_Log[Part Name],$A16,T_TTAFStock_Log[WeekIndex],73))</f>
        <v/>
      </c>
      <c r="BW16" s="12">
        <f>IF(COUNTIFS(T_TTAFStock_Log[Part Name],$A16,T_TTAFStock_Log[WeekIndex],74)=0,"",SUMIFS(T_TTAFStock_Log[TTAF_Qty],T_TTAFStock_Log[Part Name],$A16,T_TTAFStock_Log[WeekIndex],74))</f>
        <v/>
      </c>
      <c r="BX16" s="12">
        <f>IF(COUNTIFS(T_TTAFStock_Log[Part Name],$A16,T_TTAFStock_Log[WeekIndex],75)=0,"",SUMIFS(T_TTAFStock_Log[TTAF_Qty],T_TTAFStock_Log[Part Name],$A16,T_TTAFStock_Log[WeekIndex],75))</f>
        <v/>
      </c>
      <c r="BY16" s="12">
        <f>IF(COUNTIFS(T_TTAFStock_Log[Part Name],$A16,T_TTAFStock_Log[WeekIndex],76)=0,"",SUMIFS(T_TTAFStock_Log[TTAF_Qty],T_TTAFStock_Log[Part Name],$A16,T_TTAFStock_Log[WeekIndex],76))</f>
        <v/>
      </c>
      <c r="BZ16" s="12">
        <f>IF(COUNTIFS(T_TTAFStock_Log[Part Name],$A16,T_TTAFStock_Log[WeekIndex],77)=0,"",SUMIFS(T_TTAFStock_Log[TTAF_Qty],T_TTAFStock_Log[Part Name],$A16,T_TTAFStock_Log[WeekIndex],77))</f>
        <v/>
      </c>
      <c r="CA16" s="12">
        <f>IF(COUNTIFS(T_TTAFStock_Log[Part Name],$A16,T_TTAFStock_Log[WeekIndex],78)=0,"",SUMIFS(T_TTAFStock_Log[TTAF_Qty],T_TTAFStock_Log[Part Name],$A16,T_TTAFStock_Log[WeekIndex],78))</f>
        <v/>
      </c>
      <c r="CB16" s="12">
        <f>IF(COUNTIFS(T_TTAFStock_Log[Part Name],$A16,T_TTAFStock_Log[WeekIndex],79)=0,"",SUMIFS(T_TTAFStock_Log[TTAF_Qty],T_TTAFStock_Log[Part Name],$A16,T_TTAFStock_Log[WeekIndex],79))</f>
        <v/>
      </c>
      <c r="CC16" s="12">
        <f>IF(COUNTIFS(T_TTAFStock_Log[Part Name],$A16,T_TTAFStock_Log[WeekIndex],80)=0,"",SUMIFS(T_TTAFStock_Log[TTAF_Qty],T_TTAFStock_Log[Part Name],$A16,T_TTAFStock_Log[WeekIndex],80))</f>
        <v/>
      </c>
      <c r="CD16" s="12">
        <f>IF(COUNTIFS(T_TTAFStock_Log[Part Name],$A16,T_TTAFStock_Log[WeekIndex],81)=0,"",SUMIFS(T_TTAFStock_Log[TTAF_Qty],T_TTAFStock_Log[Part Name],$A16,T_TTAFStock_Log[WeekIndex],81))</f>
        <v/>
      </c>
      <c r="CE16" s="12">
        <f>IF(COUNTIFS(T_TTAFStock_Log[Part Name],$A16,T_TTAFStock_Log[WeekIndex],82)=0,"",SUMIFS(T_TTAFStock_Log[TTAF_Qty],T_TTAFStock_Log[Part Name],$A16,T_TTAFStock_Log[WeekIndex],82))</f>
        <v/>
      </c>
      <c r="CF16" s="12">
        <f>IF(COUNTIFS(T_TTAFStock_Log[Part Name],$A16,T_TTAFStock_Log[WeekIndex],83)=0,"",SUMIFS(T_TTAFStock_Log[TTAF_Qty],T_TTAFStock_Log[Part Name],$A16,T_TTAFStock_Log[WeekIndex],83))</f>
        <v/>
      </c>
      <c r="CG16" s="12">
        <f>IF(COUNTIFS(T_TTAFStock_Log[Part Name],$A16,T_TTAFStock_Log[WeekIndex],84)=0,"",SUMIFS(T_TTAFStock_Log[TTAF_Qty],T_TTAFStock_Log[Part Name],$A16,T_TTAFStock_Log[WeekIndex],84))</f>
        <v/>
      </c>
      <c r="CH16" s="12">
        <f>IF(COUNTIFS(T_TTAFStock_Log[Part Name],$A16,T_TTAFStock_Log[WeekIndex],85)=0,"",SUMIFS(T_TTAFStock_Log[TTAF_Qty],T_TTAFStock_Log[Part Name],$A16,T_TTAFStock_Log[WeekIndex],85))</f>
        <v/>
      </c>
      <c r="CI16" s="12">
        <f>IF(COUNTIFS(T_TTAFStock_Log[Part Name],$A16,T_TTAFStock_Log[WeekIndex],86)=0,"",SUMIFS(T_TTAFStock_Log[TTAF_Qty],T_TTAFStock_Log[Part Name],$A16,T_TTAFStock_Log[WeekIndex],86))</f>
        <v/>
      </c>
      <c r="CJ16" s="12">
        <f>IF(COUNTIFS(T_TTAFStock_Log[Part Name],$A16,T_TTAFStock_Log[WeekIndex],87)=0,"",SUMIFS(T_TTAFStock_Log[TTAF_Qty],T_TTAFStock_Log[Part Name],$A16,T_TTAFStock_Log[WeekIndex],87))</f>
        <v/>
      </c>
      <c r="CK16" s="12">
        <f>IF(COUNTIFS(T_TTAFStock_Log[Part Name],$A16,T_TTAFStock_Log[WeekIndex],88)=0,"",SUMIFS(T_TTAFStock_Log[TTAF_Qty],T_TTAFStock_Log[Part Name],$A16,T_TTAFStock_Log[WeekIndex],88))</f>
        <v/>
      </c>
      <c r="CL16" s="12">
        <f>IF(COUNTIFS(T_TTAFStock_Log[Part Name],$A16,T_TTAFStock_Log[WeekIndex],89)=0,"",SUMIFS(T_TTAFStock_Log[TTAF_Qty],T_TTAFStock_Log[Part Name],$A16,T_TTAFStock_Log[WeekIndex],89))</f>
        <v/>
      </c>
      <c r="CM16" s="12">
        <f>IF(COUNTIFS(T_TTAFStock_Log[Part Name],$A16,T_TTAFStock_Log[WeekIndex],90)=0,"",SUMIFS(T_TTAFStock_Log[TTAF_Qty],T_TTAFStock_Log[Part Name],$A16,T_TTAFStock_Log[WeekIndex],90))</f>
        <v/>
      </c>
      <c r="CN16" s="12">
        <f>IF(COUNTIFS(T_TTAFStock_Log[Part Name],$A16,T_TTAFStock_Log[WeekIndex],91)=0,"",SUMIFS(T_TTAFStock_Log[TTAF_Qty],T_TTAFStock_Log[Part Name],$A16,T_TTAFStock_Log[WeekIndex],91))</f>
        <v/>
      </c>
      <c r="CO16" s="12">
        <f>IF(COUNTIFS(T_TTAFStock_Log[Part Name],$A16,T_TTAFStock_Log[WeekIndex],92)=0,"",SUMIFS(T_TTAFStock_Log[TTAF_Qty],T_TTAFStock_Log[Part Name],$A16,T_TTAFStock_Log[WeekIndex],92))</f>
        <v/>
      </c>
      <c r="CP16" s="12">
        <f>IF(COUNTIFS(T_TTAFStock_Log[Part Name],$A16,T_TTAFStock_Log[WeekIndex],93)=0,"",SUMIFS(T_TTAFStock_Log[TTAF_Qty],T_TTAFStock_Log[Part Name],$A16,T_TTAFStock_Log[WeekIndex],93))</f>
        <v/>
      </c>
      <c r="CQ16" s="12">
        <f>IF(COUNTIFS(T_TTAFStock_Log[Part Name],$A16,T_TTAFStock_Log[WeekIndex],94)=0,"",SUMIFS(T_TTAFStock_Log[TTAF_Qty],T_TTAFStock_Log[Part Name],$A16,T_TTAFStock_Log[WeekIndex],94))</f>
        <v/>
      </c>
      <c r="CR16" s="12">
        <f>IF(COUNTIFS(T_TTAFStock_Log[Part Name],$A16,T_TTAFStock_Log[WeekIndex],95)=0,"",SUMIFS(T_TTAFStock_Log[TTAF_Qty],T_TTAFStock_Log[Part Name],$A16,T_TTAFStock_Log[WeekIndex],95))</f>
        <v/>
      </c>
      <c r="CS16" s="12">
        <f>IF(COUNTIFS(T_TTAFStock_Log[Part Name],$A16,T_TTAFStock_Log[WeekIndex],96)=0,"",SUMIFS(T_TTAFStock_Log[TTAF_Qty],T_TTAFStock_Log[Part Name],$A16,T_TTAFStock_Log[WeekIndex],96))</f>
        <v/>
      </c>
      <c r="CT16" s="12">
        <f>IF(COUNTIFS(T_TTAFStock_Log[Part Name],$A16,T_TTAFStock_Log[WeekIndex],97)=0,"",SUMIFS(T_TTAFStock_Log[TTAF_Qty],T_TTAFStock_Log[Part Name],$A16,T_TTAFStock_Log[WeekIndex],97))</f>
        <v/>
      </c>
      <c r="CU16" s="12">
        <f>IF(COUNTIFS(T_TTAFStock_Log[Part Name],$A16,T_TTAFStock_Log[WeekIndex],98)=0,"",SUMIFS(T_TTAFStock_Log[TTAF_Qty],T_TTAFStock_Log[Part Name],$A16,T_TTAFStock_Log[WeekIndex],98))</f>
        <v/>
      </c>
      <c r="CV16" s="12">
        <f>IF(COUNTIFS(T_TTAFStock_Log[Part Name],$A16,T_TTAFStock_Log[WeekIndex],99)=0,"",SUMIFS(T_TTAFStock_Log[TTAF_Qty],T_TTAFStock_Log[Part Name],$A16,T_TTAFStock_Log[WeekIndex],99))</f>
        <v/>
      </c>
      <c r="CW16" s="12">
        <f>IF(COUNTIFS(T_TTAFStock_Log[Part Name],$A16,T_TTAFStock_Log[WeekIndex],100)=0,"",SUMIFS(T_TTAFStock_Log[TTAF_Qty],T_TTAFStock_Log[Part Name],$A16,T_TTAFStock_Log[WeekIndex],100))</f>
        <v/>
      </c>
      <c r="CX16" s="12">
        <f>IF(COUNTIFS(T_TTAFStock_Log[Part Name],$A16,T_TTAFStock_Log[WeekIndex],101)=0,"",SUMIFS(T_TTAFStock_Log[TTAF_Qty],T_TTAFStock_Log[Part Name],$A16,T_TTAFStock_Log[WeekIndex],101))</f>
        <v/>
      </c>
      <c r="CY16" s="12">
        <f>IF(COUNTIFS(T_TTAFStock_Log[Part Name],$A16,T_TTAFStock_Log[WeekIndex],102)=0,"",SUMIFS(T_TTAFStock_Log[TTAF_Qty],T_TTAFStock_Log[Part Name],$A16,T_TTAFStock_Log[WeekIndex],102))</f>
        <v/>
      </c>
      <c r="CZ16" s="12">
        <f>IF(COUNTIFS(T_TTAFStock_Log[Part Name],$A16,T_TTAFStock_Log[WeekIndex],103)=0,"",SUMIFS(T_TTAFStock_Log[TTAF_Qty],T_TTAFStock_Log[Part Name],$A16,T_TTAFStock_Log[WeekIndex],103))</f>
        <v/>
      </c>
      <c r="DA16" s="12">
        <f>IF(COUNTIFS(T_TTAFStock_Log[Part Name],$A16,T_TTAFStock_Log[WeekIndex],104)=0,"",SUMIFS(T_TTAFStock_Log[TTAF_Qty],T_TTAFStock_Log[Part Name],$A16,T_TTAFStock_Log[WeekIndex],104))</f>
        <v/>
      </c>
    </row>
    <row r="17">
      <c r="A17" s="13" t="inlineStr">
        <is>
          <t>7CL</t>
        </is>
      </c>
      <c r="B17" s="13">
        <f>IF(COUNTIFS(T_TTAFStock_Log[Part Name],$A17,T_TTAFStock_Log[WeekIndex],1)=0,"",SUMIFS(T_TTAFStock_Log[TTAF_Qty],T_TTAFStock_Log[Part Name],$A17,T_TTAFStock_Log[WeekIndex],1))</f>
        <v/>
      </c>
      <c r="C17" s="13">
        <f>IF(COUNTIFS(T_TTAFStock_Log[Part Name],$A17,T_TTAFStock_Log[WeekIndex],2)=0,"",SUMIFS(T_TTAFStock_Log[TTAF_Qty],T_TTAFStock_Log[Part Name],$A17,T_TTAFStock_Log[WeekIndex],2))</f>
        <v/>
      </c>
      <c r="D17" s="13">
        <f>IF(COUNTIFS(T_TTAFStock_Log[Part Name],$A17,T_TTAFStock_Log[WeekIndex],3)=0,"",SUMIFS(T_TTAFStock_Log[TTAF_Qty],T_TTAFStock_Log[Part Name],$A17,T_TTAFStock_Log[WeekIndex],3))</f>
        <v/>
      </c>
      <c r="E17" s="13">
        <f>IF(COUNTIFS(T_TTAFStock_Log[Part Name],$A17,T_TTAFStock_Log[WeekIndex],4)=0,"",SUMIFS(T_TTAFStock_Log[TTAF_Qty],T_TTAFStock_Log[Part Name],$A17,T_TTAFStock_Log[WeekIndex],4))</f>
        <v/>
      </c>
      <c r="F17" s="13">
        <f>IF(COUNTIFS(T_TTAFStock_Log[Part Name],$A17,T_TTAFStock_Log[WeekIndex],5)=0,"",SUMIFS(T_TTAFStock_Log[TTAF_Qty],T_TTAFStock_Log[Part Name],$A17,T_TTAFStock_Log[WeekIndex],5))</f>
        <v/>
      </c>
      <c r="G17" s="13">
        <f>IF(COUNTIFS(T_TTAFStock_Log[Part Name],$A17,T_TTAFStock_Log[WeekIndex],6)=0,"",SUMIFS(T_TTAFStock_Log[TTAF_Qty],T_TTAFStock_Log[Part Name],$A17,T_TTAFStock_Log[WeekIndex],6))</f>
        <v/>
      </c>
      <c r="H17" s="13">
        <f>IF(COUNTIFS(T_TTAFStock_Log[Part Name],$A17,T_TTAFStock_Log[WeekIndex],7)=0,"",SUMIFS(T_TTAFStock_Log[TTAF_Qty],T_TTAFStock_Log[Part Name],$A17,T_TTAFStock_Log[WeekIndex],7))</f>
        <v/>
      </c>
      <c r="I17" s="13">
        <f>IF(COUNTIFS(T_TTAFStock_Log[Part Name],$A17,T_TTAFStock_Log[WeekIndex],8)=0,"",SUMIFS(T_TTAFStock_Log[TTAF_Qty],T_TTAFStock_Log[Part Name],$A17,T_TTAFStock_Log[WeekIndex],8))</f>
        <v/>
      </c>
      <c r="J17" s="13">
        <f>IF(COUNTIFS(T_TTAFStock_Log[Part Name],$A17,T_TTAFStock_Log[WeekIndex],9)=0,"",SUMIFS(T_TTAFStock_Log[TTAF_Qty],T_TTAFStock_Log[Part Name],$A17,T_TTAFStock_Log[WeekIndex],9))</f>
        <v/>
      </c>
      <c r="K17" s="13">
        <f>IF(COUNTIFS(T_TTAFStock_Log[Part Name],$A17,T_TTAFStock_Log[WeekIndex],10)=0,"",SUMIFS(T_TTAFStock_Log[TTAF_Qty],T_TTAFStock_Log[Part Name],$A17,T_TTAFStock_Log[WeekIndex],10))</f>
        <v/>
      </c>
      <c r="L17" s="13">
        <f>IF(COUNTIFS(T_TTAFStock_Log[Part Name],$A17,T_TTAFStock_Log[WeekIndex],11)=0,"",SUMIFS(T_TTAFStock_Log[TTAF_Qty],T_TTAFStock_Log[Part Name],$A17,T_TTAFStock_Log[WeekIndex],11))</f>
        <v/>
      </c>
      <c r="M17" s="13">
        <f>IF(COUNTIFS(T_TTAFStock_Log[Part Name],$A17,T_TTAFStock_Log[WeekIndex],12)=0,"",SUMIFS(T_TTAFStock_Log[TTAF_Qty],T_TTAFStock_Log[Part Name],$A17,T_TTAFStock_Log[WeekIndex],12))</f>
        <v/>
      </c>
      <c r="N17" s="13">
        <f>IF(COUNTIFS(T_TTAFStock_Log[Part Name],$A17,T_TTAFStock_Log[WeekIndex],13)=0,"",SUMIFS(T_TTAFStock_Log[TTAF_Qty],T_TTAFStock_Log[Part Name],$A17,T_TTAFStock_Log[WeekIndex],13))</f>
        <v/>
      </c>
      <c r="O17" s="13">
        <f>IF(COUNTIFS(T_TTAFStock_Log[Part Name],$A17,T_TTAFStock_Log[WeekIndex],14)=0,"",SUMIFS(T_TTAFStock_Log[TTAF_Qty],T_TTAFStock_Log[Part Name],$A17,T_TTAFStock_Log[WeekIndex],14))</f>
        <v/>
      </c>
      <c r="P17" s="13">
        <f>IF(COUNTIFS(T_TTAFStock_Log[Part Name],$A17,T_TTAFStock_Log[WeekIndex],15)=0,"",SUMIFS(T_TTAFStock_Log[TTAF_Qty],T_TTAFStock_Log[Part Name],$A17,T_TTAFStock_Log[WeekIndex],15))</f>
        <v/>
      </c>
      <c r="Q17" s="13">
        <f>IF(COUNTIFS(T_TTAFStock_Log[Part Name],$A17,T_TTAFStock_Log[WeekIndex],16)=0,"",SUMIFS(T_TTAFStock_Log[TTAF_Qty],T_TTAFStock_Log[Part Name],$A17,T_TTAFStock_Log[WeekIndex],16))</f>
        <v/>
      </c>
      <c r="R17" s="13">
        <f>IF(COUNTIFS(T_TTAFStock_Log[Part Name],$A17,T_TTAFStock_Log[WeekIndex],17)=0,"",SUMIFS(T_TTAFStock_Log[TTAF_Qty],T_TTAFStock_Log[Part Name],$A17,T_TTAFStock_Log[WeekIndex],17))</f>
        <v/>
      </c>
      <c r="S17" s="13">
        <f>IF(COUNTIFS(T_TTAFStock_Log[Part Name],$A17,T_TTAFStock_Log[WeekIndex],18)=0,"",SUMIFS(T_TTAFStock_Log[TTAF_Qty],T_TTAFStock_Log[Part Name],$A17,T_TTAFStock_Log[WeekIndex],18))</f>
        <v/>
      </c>
      <c r="T17" s="13">
        <f>IF(COUNTIFS(T_TTAFStock_Log[Part Name],$A17,T_TTAFStock_Log[WeekIndex],19)=0,"",SUMIFS(T_TTAFStock_Log[TTAF_Qty],T_TTAFStock_Log[Part Name],$A17,T_TTAFStock_Log[WeekIndex],19))</f>
        <v/>
      </c>
      <c r="U17" s="13">
        <f>IF(COUNTIFS(T_TTAFStock_Log[Part Name],$A17,T_TTAFStock_Log[WeekIndex],20)=0,"",SUMIFS(T_TTAFStock_Log[TTAF_Qty],T_TTAFStock_Log[Part Name],$A17,T_TTAFStock_Log[WeekIndex],20))</f>
        <v/>
      </c>
      <c r="V17" s="13">
        <f>IF(COUNTIFS(T_TTAFStock_Log[Part Name],$A17,T_TTAFStock_Log[WeekIndex],21)=0,"",SUMIFS(T_TTAFStock_Log[TTAF_Qty],T_TTAFStock_Log[Part Name],$A17,T_TTAFStock_Log[WeekIndex],21))</f>
        <v/>
      </c>
      <c r="W17" s="13">
        <f>IF(COUNTIFS(T_TTAFStock_Log[Part Name],$A17,T_TTAFStock_Log[WeekIndex],22)=0,"",SUMIFS(T_TTAFStock_Log[TTAF_Qty],T_TTAFStock_Log[Part Name],$A17,T_TTAFStock_Log[WeekIndex],22))</f>
        <v/>
      </c>
      <c r="X17" s="13">
        <f>IF(COUNTIFS(T_TTAFStock_Log[Part Name],$A17,T_TTAFStock_Log[WeekIndex],23)=0,"",SUMIFS(T_TTAFStock_Log[TTAF_Qty],T_TTAFStock_Log[Part Name],$A17,T_TTAFStock_Log[WeekIndex],23))</f>
        <v/>
      </c>
      <c r="Y17" s="13">
        <f>IF(COUNTIFS(T_TTAFStock_Log[Part Name],$A17,T_TTAFStock_Log[WeekIndex],24)=0,"",SUMIFS(T_TTAFStock_Log[TTAF_Qty],T_TTAFStock_Log[Part Name],$A17,T_TTAFStock_Log[WeekIndex],24))</f>
        <v/>
      </c>
      <c r="Z17" s="13">
        <f>IF(COUNTIFS(T_TTAFStock_Log[Part Name],$A17,T_TTAFStock_Log[WeekIndex],25)=0,"",SUMIFS(T_TTAFStock_Log[TTAF_Qty],T_TTAFStock_Log[Part Name],$A17,T_TTAFStock_Log[WeekIndex],25))</f>
        <v/>
      </c>
      <c r="AA17" s="13">
        <f>IF(COUNTIFS(T_TTAFStock_Log[Part Name],$A17,T_TTAFStock_Log[WeekIndex],26)=0,"",SUMIFS(T_TTAFStock_Log[TTAF_Qty],T_TTAFStock_Log[Part Name],$A17,T_TTAFStock_Log[WeekIndex],26))</f>
        <v/>
      </c>
      <c r="AB17" s="13">
        <f>IF(COUNTIFS(T_TTAFStock_Log[Part Name],$A17,T_TTAFStock_Log[WeekIndex],27)=0,"",SUMIFS(T_TTAFStock_Log[TTAF_Qty],T_TTAFStock_Log[Part Name],$A17,T_TTAFStock_Log[WeekIndex],27))</f>
        <v/>
      </c>
      <c r="AC17" s="13">
        <f>IF(COUNTIFS(T_TTAFStock_Log[Part Name],$A17,T_TTAFStock_Log[WeekIndex],28)=0,"",SUMIFS(T_TTAFStock_Log[TTAF_Qty],T_TTAFStock_Log[Part Name],$A17,T_TTAFStock_Log[WeekIndex],28))</f>
        <v/>
      </c>
      <c r="AD17" s="13">
        <f>IF(COUNTIFS(T_TTAFStock_Log[Part Name],$A17,T_TTAFStock_Log[WeekIndex],29)=0,"",SUMIFS(T_TTAFStock_Log[TTAF_Qty],T_TTAFStock_Log[Part Name],$A17,T_TTAFStock_Log[WeekIndex],29))</f>
        <v/>
      </c>
      <c r="AE17" s="13">
        <f>IF(COUNTIFS(T_TTAFStock_Log[Part Name],$A17,T_TTAFStock_Log[WeekIndex],30)=0,"",SUMIFS(T_TTAFStock_Log[TTAF_Qty],T_TTAFStock_Log[Part Name],$A17,T_TTAFStock_Log[WeekIndex],30))</f>
        <v/>
      </c>
      <c r="AF17" s="13">
        <f>IF(COUNTIFS(T_TTAFStock_Log[Part Name],$A17,T_TTAFStock_Log[WeekIndex],31)=0,"",SUMIFS(T_TTAFStock_Log[TTAF_Qty],T_TTAFStock_Log[Part Name],$A17,T_TTAFStock_Log[WeekIndex],31))</f>
        <v/>
      </c>
      <c r="AG17" s="13">
        <f>IF(COUNTIFS(T_TTAFStock_Log[Part Name],$A17,T_TTAFStock_Log[WeekIndex],32)=0,"",SUMIFS(T_TTAFStock_Log[TTAF_Qty],T_TTAFStock_Log[Part Name],$A17,T_TTAFStock_Log[WeekIndex],32))</f>
        <v/>
      </c>
      <c r="AH17" s="13">
        <f>IF(COUNTIFS(T_TTAFStock_Log[Part Name],$A17,T_TTAFStock_Log[WeekIndex],33)=0,"",SUMIFS(T_TTAFStock_Log[TTAF_Qty],T_TTAFStock_Log[Part Name],$A17,T_TTAFStock_Log[WeekIndex],33))</f>
        <v/>
      </c>
      <c r="AI17" s="13">
        <f>IF(COUNTIFS(T_TTAFStock_Log[Part Name],$A17,T_TTAFStock_Log[WeekIndex],34)=0,"",SUMIFS(T_TTAFStock_Log[TTAF_Qty],T_TTAFStock_Log[Part Name],$A17,T_TTAFStock_Log[WeekIndex],34))</f>
        <v/>
      </c>
      <c r="AJ17" s="13">
        <f>IF(COUNTIFS(T_TTAFStock_Log[Part Name],$A17,T_TTAFStock_Log[WeekIndex],35)=0,"",SUMIFS(T_TTAFStock_Log[TTAF_Qty],T_TTAFStock_Log[Part Name],$A17,T_TTAFStock_Log[WeekIndex],35))</f>
        <v/>
      </c>
      <c r="AK17" s="13">
        <f>IF(COUNTIFS(T_TTAFStock_Log[Part Name],$A17,T_TTAFStock_Log[WeekIndex],36)=0,"",SUMIFS(T_TTAFStock_Log[TTAF_Qty],T_TTAFStock_Log[Part Name],$A17,T_TTAFStock_Log[WeekIndex],36))</f>
        <v/>
      </c>
      <c r="AL17" s="13">
        <f>IF(COUNTIFS(T_TTAFStock_Log[Part Name],$A17,T_TTAFStock_Log[WeekIndex],37)=0,"",SUMIFS(T_TTAFStock_Log[TTAF_Qty],T_TTAFStock_Log[Part Name],$A17,T_TTAFStock_Log[WeekIndex],37))</f>
        <v/>
      </c>
      <c r="AM17" s="13">
        <f>IF(COUNTIFS(T_TTAFStock_Log[Part Name],$A17,T_TTAFStock_Log[WeekIndex],38)=0,"",SUMIFS(T_TTAFStock_Log[TTAF_Qty],T_TTAFStock_Log[Part Name],$A17,T_TTAFStock_Log[WeekIndex],38))</f>
        <v/>
      </c>
      <c r="AN17" s="13">
        <f>IF(COUNTIFS(T_TTAFStock_Log[Part Name],$A17,T_TTAFStock_Log[WeekIndex],39)=0,"",SUMIFS(T_TTAFStock_Log[TTAF_Qty],T_TTAFStock_Log[Part Name],$A17,T_TTAFStock_Log[WeekIndex],39))</f>
        <v/>
      </c>
      <c r="AO17" s="13">
        <f>IF(COUNTIFS(T_TTAFStock_Log[Part Name],$A17,T_TTAFStock_Log[WeekIndex],40)=0,"",SUMIFS(T_TTAFStock_Log[TTAF_Qty],T_TTAFStock_Log[Part Name],$A17,T_TTAFStock_Log[WeekIndex],40))</f>
        <v/>
      </c>
      <c r="AP17" s="13">
        <f>IF(COUNTIFS(T_TTAFStock_Log[Part Name],$A17,T_TTAFStock_Log[WeekIndex],41)=0,"",SUMIFS(T_TTAFStock_Log[TTAF_Qty],T_TTAFStock_Log[Part Name],$A17,T_TTAFStock_Log[WeekIndex],41))</f>
        <v/>
      </c>
      <c r="AQ17" s="13">
        <f>IF(COUNTIFS(T_TTAFStock_Log[Part Name],$A17,T_TTAFStock_Log[WeekIndex],42)=0,"",SUMIFS(T_TTAFStock_Log[TTAF_Qty],T_TTAFStock_Log[Part Name],$A17,T_TTAFStock_Log[WeekIndex],42))</f>
        <v/>
      </c>
      <c r="AR17" s="13">
        <f>IF(COUNTIFS(T_TTAFStock_Log[Part Name],$A17,T_TTAFStock_Log[WeekIndex],43)=0,"",SUMIFS(T_TTAFStock_Log[TTAF_Qty],T_TTAFStock_Log[Part Name],$A17,T_TTAFStock_Log[WeekIndex],43))</f>
        <v/>
      </c>
      <c r="AS17" s="13">
        <f>IF(COUNTIFS(T_TTAFStock_Log[Part Name],$A17,T_TTAFStock_Log[WeekIndex],44)=0,"",SUMIFS(T_TTAFStock_Log[TTAF_Qty],T_TTAFStock_Log[Part Name],$A17,T_TTAFStock_Log[WeekIndex],44))</f>
        <v/>
      </c>
      <c r="AT17" s="13">
        <f>IF(COUNTIFS(T_TTAFStock_Log[Part Name],$A17,T_TTAFStock_Log[WeekIndex],45)=0,"",SUMIFS(T_TTAFStock_Log[TTAF_Qty],T_TTAFStock_Log[Part Name],$A17,T_TTAFStock_Log[WeekIndex],45))</f>
        <v/>
      </c>
      <c r="AU17" s="13">
        <f>IF(COUNTIFS(T_TTAFStock_Log[Part Name],$A17,T_TTAFStock_Log[WeekIndex],46)=0,"",SUMIFS(T_TTAFStock_Log[TTAF_Qty],T_TTAFStock_Log[Part Name],$A17,T_TTAFStock_Log[WeekIndex],46))</f>
        <v/>
      </c>
      <c r="AV17" s="13">
        <f>IF(COUNTIFS(T_TTAFStock_Log[Part Name],$A17,T_TTAFStock_Log[WeekIndex],47)=0,"",SUMIFS(T_TTAFStock_Log[TTAF_Qty],T_TTAFStock_Log[Part Name],$A17,T_TTAFStock_Log[WeekIndex],47))</f>
        <v/>
      </c>
      <c r="AW17" s="13">
        <f>IF(COUNTIFS(T_TTAFStock_Log[Part Name],$A17,T_TTAFStock_Log[WeekIndex],48)=0,"",SUMIFS(T_TTAFStock_Log[TTAF_Qty],T_TTAFStock_Log[Part Name],$A17,T_TTAFStock_Log[WeekIndex],48))</f>
        <v/>
      </c>
      <c r="AX17" s="13">
        <f>IF(COUNTIFS(T_TTAFStock_Log[Part Name],$A17,T_TTAFStock_Log[WeekIndex],49)=0,"",SUMIFS(T_TTAFStock_Log[TTAF_Qty],T_TTAFStock_Log[Part Name],$A17,T_TTAFStock_Log[WeekIndex],49))</f>
        <v/>
      </c>
      <c r="AY17" s="13">
        <f>IF(COUNTIFS(T_TTAFStock_Log[Part Name],$A17,T_TTAFStock_Log[WeekIndex],50)=0,"",SUMIFS(T_TTAFStock_Log[TTAF_Qty],T_TTAFStock_Log[Part Name],$A17,T_TTAFStock_Log[WeekIndex],50))</f>
        <v/>
      </c>
      <c r="AZ17" s="13">
        <f>IF(COUNTIFS(T_TTAFStock_Log[Part Name],$A17,T_TTAFStock_Log[WeekIndex],51)=0,"",SUMIFS(T_TTAFStock_Log[TTAF_Qty],T_TTAFStock_Log[Part Name],$A17,T_TTAFStock_Log[WeekIndex],51))</f>
        <v/>
      </c>
      <c r="BA17" s="13">
        <f>IF(COUNTIFS(T_TTAFStock_Log[Part Name],$A17,T_TTAFStock_Log[WeekIndex],52)=0,"",SUMIFS(T_TTAFStock_Log[TTAF_Qty],T_TTAFStock_Log[Part Name],$A17,T_TTAFStock_Log[WeekIndex],52))</f>
        <v/>
      </c>
      <c r="BB17" s="13">
        <f>IF(COUNTIFS(T_TTAFStock_Log[Part Name],$A17,T_TTAFStock_Log[WeekIndex],53)=0,"",SUMIFS(T_TTAFStock_Log[TTAF_Qty],T_TTAFStock_Log[Part Name],$A17,T_TTAFStock_Log[WeekIndex],53))</f>
        <v/>
      </c>
      <c r="BC17" s="13">
        <f>IF(COUNTIFS(T_TTAFStock_Log[Part Name],$A17,T_TTAFStock_Log[WeekIndex],54)=0,"",SUMIFS(T_TTAFStock_Log[TTAF_Qty],T_TTAFStock_Log[Part Name],$A17,T_TTAFStock_Log[WeekIndex],54))</f>
        <v/>
      </c>
      <c r="BD17" s="13">
        <f>IF(COUNTIFS(T_TTAFStock_Log[Part Name],$A17,T_TTAFStock_Log[WeekIndex],55)=0,"",SUMIFS(T_TTAFStock_Log[TTAF_Qty],T_TTAFStock_Log[Part Name],$A17,T_TTAFStock_Log[WeekIndex],55))</f>
        <v/>
      </c>
      <c r="BE17" s="13">
        <f>IF(COUNTIFS(T_TTAFStock_Log[Part Name],$A17,T_TTAFStock_Log[WeekIndex],56)=0,"",SUMIFS(T_TTAFStock_Log[TTAF_Qty],T_TTAFStock_Log[Part Name],$A17,T_TTAFStock_Log[WeekIndex],56))</f>
        <v/>
      </c>
      <c r="BF17" s="13">
        <f>IF(COUNTIFS(T_TTAFStock_Log[Part Name],$A17,T_TTAFStock_Log[WeekIndex],57)=0,"",SUMIFS(T_TTAFStock_Log[TTAF_Qty],T_TTAFStock_Log[Part Name],$A17,T_TTAFStock_Log[WeekIndex],57))</f>
        <v/>
      </c>
      <c r="BG17" s="13">
        <f>IF(COUNTIFS(T_TTAFStock_Log[Part Name],$A17,T_TTAFStock_Log[WeekIndex],58)=0,"",SUMIFS(T_TTAFStock_Log[TTAF_Qty],T_TTAFStock_Log[Part Name],$A17,T_TTAFStock_Log[WeekIndex],58))</f>
        <v/>
      </c>
      <c r="BH17" s="13">
        <f>IF(COUNTIFS(T_TTAFStock_Log[Part Name],$A17,T_TTAFStock_Log[WeekIndex],59)=0,"",SUMIFS(T_TTAFStock_Log[TTAF_Qty],T_TTAFStock_Log[Part Name],$A17,T_TTAFStock_Log[WeekIndex],59))</f>
        <v/>
      </c>
      <c r="BI17" s="13">
        <f>IF(COUNTIFS(T_TTAFStock_Log[Part Name],$A17,T_TTAFStock_Log[WeekIndex],60)=0,"",SUMIFS(T_TTAFStock_Log[TTAF_Qty],T_TTAFStock_Log[Part Name],$A17,T_TTAFStock_Log[WeekIndex],60))</f>
        <v/>
      </c>
      <c r="BJ17" s="13">
        <f>IF(COUNTIFS(T_TTAFStock_Log[Part Name],$A17,T_TTAFStock_Log[WeekIndex],61)=0,"",SUMIFS(T_TTAFStock_Log[TTAF_Qty],T_TTAFStock_Log[Part Name],$A17,T_TTAFStock_Log[WeekIndex],61))</f>
        <v/>
      </c>
      <c r="BK17" s="13">
        <f>IF(COUNTIFS(T_TTAFStock_Log[Part Name],$A17,T_TTAFStock_Log[WeekIndex],62)=0,"",SUMIFS(T_TTAFStock_Log[TTAF_Qty],T_TTAFStock_Log[Part Name],$A17,T_TTAFStock_Log[WeekIndex],62))</f>
        <v/>
      </c>
      <c r="BL17" s="13">
        <f>IF(COUNTIFS(T_TTAFStock_Log[Part Name],$A17,T_TTAFStock_Log[WeekIndex],63)=0,"",SUMIFS(T_TTAFStock_Log[TTAF_Qty],T_TTAFStock_Log[Part Name],$A17,T_TTAFStock_Log[WeekIndex],63))</f>
        <v/>
      </c>
      <c r="BM17" s="13">
        <f>IF(COUNTIFS(T_TTAFStock_Log[Part Name],$A17,T_TTAFStock_Log[WeekIndex],64)=0,"",SUMIFS(T_TTAFStock_Log[TTAF_Qty],T_TTAFStock_Log[Part Name],$A17,T_TTAFStock_Log[WeekIndex],64))</f>
        <v/>
      </c>
      <c r="BN17" s="13">
        <f>IF(COUNTIFS(T_TTAFStock_Log[Part Name],$A17,T_TTAFStock_Log[WeekIndex],65)=0,"",SUMIFS(T_TTAFStock_Log[TTAF_Qty],T_TTAFStock_Log[Part Name],$A17,T_TTAFStock_Log[WeekIndex],65))</f>
        <v/>
      </c>
      <c r="BO17" s="13">
        <f>IF(COUNTIFS(T_TTAFStock_Log[Part Name],$A17,T_TTAFStock_Log[WeekIndex],66)=0,"",SUMIFS(T_TTAFStock_Log[TTAF_Qty],T_TTAFStock_Log[Part Name],$A17,T_TTAFStock_Log[WeekIndex],66))</f>
        <v/>
      </c>
      <c r="BP17" s="13">
        <f>IF(COUNTIFS(T_TTAFStock_Log[Part Name],$A17,T_TTAFStock_Log[WeekIndex],67)=0,"",SUMIFS(T_TTAFStock_Log[TTAF_Qty],T_TTAFStock_Log[Part Name],$A17,T_TTAFStock_Log[WeekIndex],67))</f>
        <v/>
      </c>
      <c r="BQ17" s="13">
        <f>IF(COUNTIFS(T_TTAFStock_Log[Part Name],$A17,T_TTAFStock_Log[WeekIndex],68)=0,"",SUMIFS(T_TTAFStock_Log[TTAF_Qty],T_TTAFStock_Log[Part Name],$A17,T_TTAFStock_Log[WeekIndex],68))</f>
        <v/>
      </c>
      <c r="BR17" s="13">
        <f>IF(COUNTIFS(T_TTAFStock_Log[Part Name],$A17,T_TTAFStock_Log[WeekIndex],69)=0,"",SUMIFS(T_TTAFStock_Log[TTAF_Qty],T_TTAFStock_Log[Part Name],$A17,T_TTAFStock_Log[WeekIndex],69))</f>
        <v/>
      </c>
      <c r="BS17" s="13">
        <f>IF(COUNTIFS(T_TTAFStock_Log[Part Name],$A17,T_TTAFStock_Log[WeekIndex],70)=0,"",SUMIFS(T_TTAFStock_Log[TTAF_Qty],T_TTAFStock_Log[Part Name],$A17,T_TTAFStock_Log[WeekIndex],70))</f>
        <v/>
      </c>
      <c r="BT17" s="13">
        <f>IF(COUNTIFS(T_TTAFStock_Log[Part Name],$A17,T_TTAFStock_Log[WeekIndex],71)=0,"",SUMIFS(T_TTAFStock_Log[TTAF_Qty],T_TTAFStock_Log[Part Name],$A17,T_TTAFStock_Log[WeekIndex],71))</f>
        <v/>
      </c>
      <c r="BU17" s="13">
        <f>IF(COUNTIFS(T_TTAFStock_Log[Part Name],$A17,T_TTAFStock_Log[WeekIndex],72)=0,"",SUMIFS(T_TTAFStock_Log[TTAF_Qty],T_TTAFStock_Log[Part Name],$A17,T_TTAFStock_Log[WeekIndex],72))</f>
        <v/>
      </c>
      <c r="BV17" s="13">
        <f>IF(COUNTIFS(T_TTAFStock_Log[Part Name],$A17,T_TTAFStock_Log[WeekIndex],73)=0,"",SUMIFS(T_TTAFStock_Log[TTAF_Qty],T_TTAFStock_Log[Part Name],$A17,T_TTAFStock_Log[WeekIndex],73))</f>
        <v/>
      </c>
      <c r="BW17" s="13">
        <f>IF(COUNTIFS(T_TTAFStock_Log[Part Name],$A17,T_TTAFStock_Log[WeekIndex],74)=0,"",SUMIFS(T_TTAFStock_Log[TTAF_Qty],T_TTAFStock_Log[Part Name],$A17,T_TTAFStock_Log[WeekIndex],74))</f>
        <v/>
      </c>
      <c r="BX17" s="13">
        <f>IF(COUNTIFS(T_TTAFStock_Log[Part Name],$A17,T_TTAFStock_Log[WeekIndex],75)=0,"",SUMIFS(T_TTAFStock_Log[TTAF_Qty],T_TTAFStock_Log[Part Name],$A17,T_TTAFStock_Log[WeekIndex],75))</f>
        <v/>
      </c>
      <c r="BY17" s="13">
        <f>IF(COUNTIFS(T_TTAFStock_Log[Part Name],$A17,T_TTAFStock_Log[WeekIndex],76)=0,"",SUMIFS(T_TTAFStock_Log[TTAF_Qty],T_TTAFStock_Log[Part Name],$A17,T_TTAFStock_Log[WeekIndex],76))</f>
        <v/>
      </c>
      <c r="BZ17" s="13">
        <f>IF(COUNTIFS(T_TTAFStock_Log[Part Name],$A17,T_TTAFStock_Log[WeekIndex],77)=0,"",SUMIFS(T_TTAFStock_Log[TTAF_Qty],T_TTAFStock_Log[Part Name],$A17,T_TTAFStock_Log[WeekIndex],77))</f>
        <v/>
      </c>
      <c r="CA17" s="13">
        <f>IF(COUNTIFS(T_TTAFStock_Log[Part Name],$A17,T_TTAFStock_Log[WeekIndex],78)=0,"",SUMIFS(T_TTAFStock_Log[TTAF_Qty],T_TTAFStock_Log[Part Name],$A17,T_TTAFStock_Log[WeekIndex],78))</f>
        <v/>
      </c>
      <c r="CB17" s="13">
        <f>IF(COUNTIFS(T_TTAFStock_Log[Part Name],$A17,T_TTAFStock_Log[WeekIndex],79)=0,"",SUMIFS(T_TTAFStock_Log[TTAF_Qty],T_TTAFStock_Log[Part Name],$A17,T_TTAFStock_Log[WeekIndex],79))</f>
        <v/>
      </c>
      <c r="CC17" s="13">
        <f>IF(COUNTIFS(T_TTAFStock_Log[Part Name],$A17,T_TTAFStock_Log[WeekIndex],80)=0,"",SUMIFS(T_TTAFStock_Log[TTAF_Qty],T_TTAFStock_Log[Part Name],$A17,T_TTAFStock_Log[WeekIndex],80))</f>
        <v/>
      </c>
      <c r="CD17" s="13">
        <f>IF(COUNTIFS(T_TTAFStock_Log[Part Name],$A17,T_TTAFStock_Log[WeekIndex],81)=0,"",SUMIFS(T_TTAFStock_Log[TTAF_Qty],T_TTAFStock_Log[Part Name],$A17,T_TTAFStock_Log[WeekIndex],81))</f>
        <v/>
      </c>
      <c r="CE17" s="13">
        <f>IF(COUNTIFS(T_TTAFStock_Log[Part Name],$A17,T_TTAFStock_Log[WeekIndex],82)=0,"",SUMIFS(T_TTAFStock_Log[TTAF_Qty],T_TTAFStock_Log[Part Name],$A17,T_TTAFStock_Log[WeekIndex],82))</f>
        <v/>
      </c>
      <c r="CF17" s="13">
        <f>IF(COUNTIFS(T_TTAFStock_Log[Part Name],$A17,T_TTAFStock_Log[WeekIndex],83)=0,"",SUMIFS(T_TTAFStock_Log[TTAF_Qty],T_TTAFStock_Log[Part Name],$A17,T_TTAFStock_Log[WeekIndex],83))</f>
        <v/>
      </c>
      <c r="CG17" s="13">
        <f>IF(COUNTIFS(T_TTAFStock_Log[Part Name],$A17,T_TTAFStock_Log[WeekIndex],84)=0,"",SUMIFS(T_TTAFStock_Log[TTAF_Qty],T_TTAFStock_Log[Part Name],$A17,T_TTAFStock_Log[WeekIndex],84))</f>
        <v/>
      </c>
      <c r="CH17" s="13">
        <f>IF(COUNTIFS(T_TTAFStock_Log[Part Name],$A17,T_TTAFStock_Log[WeekIndex],85)=0,"",SUMIFS(T_TTAFStock_Log[TTAF_Qty],T_TTAFStock_Log[Part Name],$A17,T_TTAFStock_Log[WeekIndex],85))</f>
        <v/>
      </c>
      <c r="CI17" s="13">
        <f>IF(COUNTIFS(T_TTAFStock_Log[Part Name],$A17,T_TTAFStock_Log[WeekIndex],86)=0,"",SUMIFS(T_TTAFStock_Log[TTAF_Qty],T_TTAFStock_Log[Part Name],$A17,T_TTAFStock_Log[WeekIndex],86))</f>
        <v/>
      </c>
      <c r="CJ17" s="13">
        <f>IF(COUNTIFS(T_TTAFStock_Log[Part Name],$A17,T_TTAFStock_Log[WeekIndex],87)=0,"",SUMIFS(T_TTAFStock_Log[TTAF_Qty],T_TTAFStock_Log[Part Name],$A17,T_TTAFStock_Log[WeekIndex],87))</f>
        <v/>
      </c>
      <c r="CK17" s="13">
        <f>IF(COUNTIFS(T_TTAFStock_Log[Part Name],$A17,T_TTAFStock_Log[WeekIndex],88)=0,"",SUMIFS(T_TTAFStock_Log[TTAF_Qty],T_TTAFStock_Log[Part Name],$A17,T_TTAFStock_Log[WeekIndex],88))</f>
        <v/>
      </c>
      <c r="CL17" s="13">
        <f>IF(COUNTIFS(T_TTAFStock_Log[Part Name],$A17,T_TTAFStock_Log[WeekIndex],89)=0,"",SUMIFS(T_TTAFStock_Log[TTAF_Qty],T_TTAFStock_Log[Part Name],$A17,T_TTAFStock_Log[WeekIndex],89))</f>
        <v/>
      </c>
      <c r="CM17" s="13">
        <f>IF(COUNTIFS(T_TTAFStock_Log[Part Name],$A17,T_TTAFStock_Log[WeekIndex],90)=0,"",SUMIFS(T_TTAFStock_Log[TTAF_Qty],T_TTAFStock_Log[Part Name],$A17,T_TTAFStock_Log[WeekIndex],90))</f>
        <v/>
      </c>
      <c r="CN17" s="13">
        <f>IF(COUNTIFS(T_TTAFStock_Log[Part Name],$A17,T_TTAFStock_Log[WeekIndex],91)=0,"",SUMIFS(T_TTAFStock_Log[TTAF_Qty],T_TTAFStock_Log[Part Name],$A17,T_TTAFStock_Log[WeekIndex],91))</f>
        <v/>
      </c>
      <c r="CO17" s="13">
        <f>IF(COUNTIFS(T_TTAFStock_Log[Part Name],$A17,T_TTAFStock_Log[WeekIndex],92)=0,"",SUMIFS(T_TTAFStock_Log[TTAF_Qty],T_TTAFStock_Log[Part Name],$A17,T_TTAFStock_Log[WeekIndex],92))</f>
        <v/>
      </c>
      <c r="CP17" s="13">
        <f>IF(COUNTIFS(T_TTAFStock_Log[Part Name],$A17,T_TTAFStock_Log[WeekIndex],93)=0,"",SUMIFS(T_TTAFStock_Log[TTAF_Qty],T_TTAFStock_Log[Part Name],$A17,T_TTAFStock_Log[WeekIndex],93))</f>
        <v/>
      </c>
      <c r="CQ17" s="13">
        <f>IF(COUNTIFS(T_TTAFStock_Log[Part Name],$A17,T_TTAFStock_Log[WeekIndex],94)=0,"",SUMIFS(T_TTAFStock_Log[TTAF_Qty],T_TTAFStock_Log[Part Name],$A17,T_TTAFStock_Log[WeekIndex],94))</f>
        <v/>
      </c>
      <c r="CR17" s="13">
        <f>IF(COUNTIFS(T_TTAFStock_Log[Part Name],$A17,T_TTAFStock_Log[WeekIndex],95)=0,"",SUMIFS(T_TTAFStock_Log[TTAF_Qty],T_TTAFStock_Log[Part Name],$A17,T_TTAFStock_Log[WeekIndex],95))</f>
        <v/>
      </c>
      <c r="CS17" s="13">
        <f>IF(COUNTIFS(T_TTAFStock_Log[Part Name],$A17,T_TTAFStock_Log[WeekIndex],96)=0,"",SUMIFS(T_TTAFStock_Log[TTAF_Qty],T_TTAFStock_Log[Part Name],$A17,T_TTAFStock_Log[WeekIndex],96))</f>
        <v/>
      </c>
      <c r="CT17" s="13">
        <f>IF(COUNTIFS(T_TTAFStock_Log[Part Name],$A17,T_TTAFStock_Log[WeekIndex],97)=0,"",SUMIFS(T_TTAFStock_Log[TTAF_Qty],T_TTAFStock_Log[Part Name],$A17,T_TTAFStock_Log[WeekIndex],97))</f>
        <v/>
      </c>
      <c r="CU17" s="13">
        <f>IF(COUNTIFS(T_TTAFStock_Log[Part Name],$A17,T_TTAFStock_Log[WeekIndex],98)=0,"",SUMIFS(T_TTAFStock_Log[TTAF_Qty],T_TTAFStock_Log[Part Name],$A17,T_TTAFStock_Log[WeekIndex],98))</f>
        <v/>
      </c>
      <c r="CV17" s="13">
        <f>IF(COUNTIFS(T_TTAFStock_Log[Part Name],$A17,T_TTAFStock_Log[WeekIndex],99)=0,"",SUMIFS(T_TTAFStock_Log[TTAF_Qty],T_TTAFStock_Log[Part Name],$A17,T_TTAFStock_Log[WeekIndex],99))</f>
        <v/>
      </c>
      <c r="CW17" s="13">
        <f>IF(COUNTIFS(T_TTAFStock_Log[Part Name],$A17,T_TTAFStock_Log[WeekIndex],100)=0,"",SUMIFS(T_TTAFStock_Log[TTAF_Qty],T_TTAFStock_Log[Part Name],$A17,T_TTAFStock_Log[WeekIndex],100))</f>
        <v/>
      </c>
      <c r="CX17" s="13">
        <f>IF(COUNTIFS(T_TTAFStock_Log[Part Name],$A17,T_TTAFStock_Log[WeekIndex],101)=0,"",SUMIFS(T_TTAFStock_Log[TTAF_Qty],T_TTAFStock_Log[Part Name],$A17,T_TTAFStock_Log[WeekIndex],101))</f>
        <v/>
      </c>
      <c r="CY17" s="13">
        <f>IF(COUNTIFS(T_TTAFStock_Log[Part Name],$A17,T_TTAFStock_Log[WeekIndex],102)=0,"",SUMIFS(T_TTAFStock_Log[TTAF_Qty],T_TTAFStock_Log[Part Name],$A17,T_TTAFStock_Log[WeekIndex],102))</f>
        <v/>
      </c>
      <c r="CZ17" s="13">
        <f>IF(COUNTIFS(T_TTAFStock_Log[Part Name],$A17,T_TTAFStock_Log[WeekIndex],103)=0,"",SUMIFS(T_TTAFStock_Log[TTAF_Qty],T_TTAFStock_Log[Part Name],$A17,T_TTAFStock_Log[WeekIndex],103))</f>
        <v/>
      </c>
      <c r="DA17" s="13">
        <f>IF(COUNTIFS(T_TTAFStock_Log[Part Name],$A17,T_TTAFStock_Log[WeekIndex],104)=0,"",SUMIFS(T_TTAFStock_Log[TTAF_Qty],T_TTAFStock_Log[Part Name],$A17,T_TTAFStock_Log[WeekIndex],104))</f>
        <v/>
      </c>
    </row>
    <row r="18">
      <c r="A18" s="12" t="inlineStr">
        <is>
          <t>9RN</t>
        </is>
      </c>
      <c r="B18" s="12">
        <f>IF(COUNTIFS(T_TTAFStock_Log[Part Name],$A18,T_TTAFStock_Log[WeekIndex],1)=0,"",SUMIFS(T_TTAFStock_Log[TTAF_Qty],T_TTAFStock_Log[Part Name],$A18,T_TTAFStock_Log[WeekIndex],1))</f>
        <v/>
      </c>
      <c r="C18" s="12">
        <f>IF(COUNTIFS(T_TTAFStock_Log[Part Name],$A18,T_TTAFStock_Log[WeekIndex],2)=0,"",SUMIFS(T_TTAFStock_Log[TTAF_Qty],T_TTAFStock_Log[Part Name],$A18,T_TTAFStock_Log[WeekIndex],2))</f>
        <v/>
      </c>
      <c r="D18" s="12">
        <f>IF(COUNTIFS(T_TTAFStock_Log[Part Name],$A18,T_TTAFStock_Log[WeekIndex],3)=0,"",SUMIFS(T_TTAFStock_Log[TTAF_Qty],T_TTAFStock_Log[Part Name],$A18,T_TTAFStock_Log[WeekIndex],3))</f>
        <v/>
      </c>
      <c r="E18" s="12">
        <f>IF(COUNTIFS(T_TTAFStock_Log[Part Name],$A18,T_TTAFStock_Log[WeekIndex],4)=0,"",SUMIFS(T_TTAFStock_Log[TTAF_Qty],T_TTAFStock_Log[Part Name],$A18,T_TTAFStock_Log[WeekIndex],4))</f>
        <v/>
      </c>
      <c r="F18" s="12">
        <f>IF(COUNTIFS(T_TTAFStock_Log[Part Name],$A18,T_TTAFStock_Log[WeekIndex],5)=0,"",SUMIFS(T_TTAFStock_Log[TTAF_Qty],T_TTAFStock_Log[Part Name],$A18,T_TTAFStock_Log[WeekIndex],5))</f>
        <v/>
      </c>
      <c r="G18" s="12">
        <f>IF(COUNTIFS(T_TTAFStock_Log[Part Name],$A18,T_TTAFStock_Log[WeekIndex],6)=0,"",SUMIFS(T_TTAFStock_Log[TTAF_Qty],T_TTAFStock_Log[Part Name],$A18,T_TTAFStock_Log[WeekIndex],6))</f>
        <v/>
      </c>
      <c r="H18" s="12">
        <f>IF(COUNTIFS(T_TTAFStock_Log[Part Name],$A18,T_TTAFStock_Log[WeekIndex],7)=0,"",SUMIFS(T_TTAFStock_Log[TTAF_Qty],T_TTAFStock_Log[Part Name],$A18,T_TTAFStock_Log[WeekIndex],7))</f>
        <v/>
      </c>
      <c r="I18" s="12">
        <f>IF(COUNTIFS(T_TTAFStock_Log[Part Name],$A18,T_TTAFStock_Log[WeekIndex],8)=0,"",SUMIFS(T_TTAFStock_Log[TTAF_Qty],T_TTAFStock_Log[Part Name],$A18,T_TTAFStock_Log[WeekIndex],8))</f>
        <v/>
      </c>
      <c r="J18" s="12">
        <f>IF(COUNTIFS(T_TTAFStock_Log[Part Name],$A18,T_TTAFStock_Log[WeekIndex],9)=0,"",SUMIFS(T_TTAFStock_Log[TTAF_Qty],T_TTAFStock_Log[Part Name],$A18,T_TTAFStock_Log[WeekIndex],9))</f>
        <v/>
      </c>
      <c r="K18" s="12">
        <f>IF(COUNTIFS(T_TTAFStock_Log[Part Name],$A18,T_TTAFStock_Log[WeekIndex],10)=0,"",SUMIFS(T_TTAFStock_Log[TTAF_Qty],T_TTAFStock_Log[Part Name],$A18,T_TTAFStock_Log[WeekIndex],10))</f>
        <v/>
      </c>
      <c r="L18" s="12">
        <f>IF(COUNTIFS(T_TTAFStock_Log[Part Name],$A18,T_TTAFStock_Log[WeekIndex],11)=0,"",SUMIFS(T_TTAFStock_Log[TTAF_Qty],T_TTAFStock_Log[Part Name],$A18,T_TTAFStock_Log[WeekIndex],11))</f>
        <v/>
      </c>
      <c r="M18" s="12">
        <f>IF(COUNTIFS(T_TTAFStock_Log[Part Name],$A18,T_TTAFStock_Log[WeekIndex],12)=0,"",SUMIFS(T_TTAFStock_Log[TTAF_Qty],T_TTAFStock_Log[Part Name],$A18,T_TTAFStock_Log[WeekIndex],12))</f>
        <v/>
      </c>
      <c r="N18" s="12">
        <f>IF(COUNTIFS(T_TTAFStock_Log[Part Name],$A18,T_TTAFStock_Log[WeekIndex],13)=0,"",SUMIFS(T_TTAFStock_Log[TTAF_Qty],T_TTAFStock_Log[Part Name],$A18,T_TTAFStock_Log[WeekIndex],13))</f>
        <v/>
      </c>
      <c r="O18" s="12">
        <f>IF(COUNTIFS(T_TTAFStock_Log[Part Name],$A18,T_TTAFStock_Log[WeekIndex],14)=0,"",SUMIFS(T_TTAFStock_Log[TTAF_Qty],T_TTAFStock_Log[Part Name],$A18,T_TTAFStock_Log[WeekIndex],14))</f>
        <v/>
      </c>
      <c r="P18" s="12">
        <f>IF(COUNTIFS(T_TTAFStock_Log[Part Name],$A18,T_TTAFStock_Log[WeekIndex],15)=0,"",SUMIFS(T_TTAFStock_Log[TTAF_Qty],T_TTAFStock_Log[Part Name],$A18,T_TTAFStock_Log[WeekIndex],15))</f>
        <v/>
      </c>
      <c r="Q18" s="12">
        <f>IF(COUNTIFS(T_TTAFStock_Log[Part Name],$A18,T_TTAFStock_Log[WeekIndex],16)=0,"",SUMIFS(T_TTAFStock_Log[TTAF_Qty],T_TTAFStock_Log[Part Name],$A18,T_TTAFStock_Log[WeekIndex],16))</f>
        <v/>
      </c>
      <c r="R18" s="12">
        <f>IF(COUNTIFS(T_TTAFStock_Log[Part Name],$A18,T_TTAFStock_Log[WeekIndex],17)=0,"",SUMIFS(T_TTAFStock_Log[TTAF_Qty],T_TTAFStock_Log[Part Name],$A18,T_TTAFStock_Log[WeekIndex],17))</f>
        <v/>
      </c>
      <c r="S18" s="12">
        <f>IF(COUNTIFS(T_TTAFStock_Log[Part Name],$A18,T_TTAFStock_Log[WeekIndex],18)=0,"",SUMIFS(T_TTAFStock_Log[TTAF_Qty],T_TTAFStock_Log[Part Name],$A18,T_TTAFStock_Log[WeekIndex],18))</f>
        <v/>
      </c>
      <c r="T18" s="12">
        <f>IF(COUNTIFS(T_TTAFStock_Log[Part Name],$A18,T_TTAFStock_Log[WeekIndex],19)=0,"",SUMIFS(T_TTAFStock_Log[TTAF_Qty],T_TTAFStock_Log[Part Name],$A18,T_TTAFStock_Log[WeekIndex],19))</f>
        <v/>
      </c>
      <c r="U18" s="12">
        <f>IF(COUNTIFS(T_TTAFStock_Log[Part Name],$A18,T_TTAFStock_Log[WeekIndex],20)=0,"",SUMIFS(T_TTAFStock_Log[TTAF_Qty],T_TTAFStock_Log[Part Name],$A18,T_TTAFStock_Log[WeekIndex],20))</f>
        <v/>
      </c>
      <c r="V18" s="12">
        <f>IF(COUNTIFS(T_TTAFStock_Log[Part Name],$A18,T_TTAFStock_Log[WeekIndex],21)=0,"",SUMIFS(T_TTAFStock_Log[TTAF_Qty],T_TTAFStock_Log[Part Name],$A18,T_TTAFStock_Log[WeekIndex],21))</f>
        <v/>
      </c>
      <c r="W18" s="12">
        <f>IF(COUNTIFS(T_TTAFStock_Log[Part Name],$A18,T_TTAFStock_Log[WeekIndex],22)=0,"",SUMIFS(T_TTAFStock_Log[TTAF_Qty],T_TTAFStock_Log[Part Name],$A18,T_TTAFStock_Log[WeekIndex],22))</f>
        <v/>
      </c>
      <c r="X18" s="12">
        <f>IF(COUNTIFS(T_TTAFStock_Log[Part Name],$A18,T_TTAFStock_Log[WeekIndex],23)=0,"",SUMIFS(T_TTAFStock_Log[TTAF_Qty],T_TTAFStock_Log[Part Name],$A18,T_TTAFStock_Log[WeekIndex],23))</f>
        <v/>
      </c>
      <c r="Y18" s="12">
        <f>IF(COUNTIFS(T_TTAFStock_Log[Part Name],$A18,T_TTAFStock_Log[WeekIndex],24)=0,"",SUMIFS(T_TTAFStock_Log[TTAF_Qty],T_TTAFStock_Log[Part Name],$A18,T_TTAFStock_Log[WeekIndex],24))</f>
        <v/>
      </c>
      <c r="Z18" s="12">
        <f>IF(COUNTIFS(T_TTAFStock_Log[Part Name],$A18,T_TTAFStock_Log[WeekIndex],25)=0,"",SUMIFS(T_TTAFStock_Log[TTAF_Qty],T_TTAFStock_Log[Part Name],$A18,T_TTAFStock_Log[WeekIndex],25))</f>
        <v/>
      </c>
      <c r="AA18" s="12">
        <f>IF(COUNTIFS(T_TTAFStock_Log[Part Name],$A18,T_TTAFStock_Log[WeekIndex],26)=0,"",SUMIFS(T_TTAFStock_Log[TTAF_Qty],T_TTAFStock_Log[Part Name],$A18,T_TTAFStock_Log[WeekIndex],26))</f>
        <v/>
      </c>
      <c r="AB18" s="12">
        <f>IF(COUNTIFS(T_TTAFStock_Log[Part Name],$A18,T_TTAFStock_Log[WeekIndex],27)=0,"",SUMIFS(T_TTAFStock_Log[TTAF_Qty],T_TTAFStock_Log[Part Name],$A18,T_TTAFStock_Log[WeekIndex],27))</f>
        <v/>
      </c>
      <c r="AC18" s="12">
        <f>IF(COUNTIFS(T_TTAFStock_Log[Part Name],$A18,T_TTAFStock_Log[WeekIndex],28)=0,"",SUMIFS(T_TTAFStock_Log[TTAF_Qty],T_TTAFStock_Log[Part Name],$A18,T_TTAFStock_Log[WeekIndex],28))</f>
        <v/>
      </c>
      <c r="AD18" s="12">
        <f>IF(COUNTIFS(T_TTAFStock_Log[Part Name],$A18,T_TTAFStock_Log[WeekIndex],29)=0,"",SUMIFS(T_TTAFStock_Log[TTAF_Qty],T_TTAFStock_Log[Part Name],$A18,T_TTAFStock_Log[WeekIndex],29))</f>
        <v/>
      </c>
      <c r="AE18" s="12">
        <f>IF(COUNTIFS(T_TTAFStock_Log[Part Name],$A18,T_TTAFStock_Log[WeekIndex],30)=0,"",SUMIFS(T_TTAFStock_Log[TTAF_Qty],T_TTAFStock_Log[Part Name],$A18,T_TTAFStock_Log[WeekIndex],30))</f>
        <v/>
      </c>
      <c r="AF18" s="12">
        <f>IF(COUNTIFS(T_TTAFStock_Log[Part Name],$A18,T_TTAFStock_Log[WeekIndex],31)=0,"",SUMIFS(T_TTAFStock_Log[TTAF_Qty],T_TTAFStock_Log[Part Name],$A18,T_TTAFStock_Log[WeekIndex],31))</f>
        <v/>
      </c>
      <c r="AG18" s="12">
        <f>IF(COUNTIFS(T_TTAFStock_Log[Part Name],$A18,T_TTAFStock_Log[WeekIndex],32)=0,"",SUMIFS(T_TTAFStock_Log[TTAF_Qty],T_TTAFStock_Log[Part Name],$A18,T_TTAFStock_Log[WeekIndex],32))</f>
        <v/>
      </c>
      <c r="AH18" s="12">
        <f>IF(COUNTIFS(T_TTAFStock_Log[Part Name],$A18,T_TTAFStock_Log[WeekIndex],33)=0,"",SUMIFS(T_TTAFStock_Log[TTAF_Qty],T_TTAFStock_Log[Part Name],$A18,T_TTAFStock_Log[WeekIndex],33))</f>
        <v/>
      </c>
      <c r="AI18" s="12">
        <f>IF(COUNTIFS(T_TTAFStock_Log[Part Name],$A18,T_TTAFStock_Log[WeekIndex],34)=0,"",SUMIFS(T_TTAFStock_Log[TTAF_Qty],T_TTAFStock_Log[Part Name],$A18,T_TTAFStock_Log[WeekIndex],34))</f>
        <v/>
      </c>
      <c r="AJ18" s="12">
        <f>IF(COUNTIFS(T_TTAFStock_Log[Part Name],$A18,T_TTAFStock_Log[WeekIndex],35)=0,"",SUMIFS(T_TTAFStock_Log[TTAF_Qty],T_TTAFStock_Log[Part Name],$A18,T_TTAFStock_Log[WeekIndex],35))</f>
        <v/>
      </c>
      <c r="AK18" s="12">
        <f>IF(COUNTIFS(T_TTAFStock_Log[Part Name],$A18,T_TTAFStock_Log[WeekIndex],36)=0,"",SUMIFS(T_TTAFStock_Log[TTAF_Qty],T_TTAFStock_Log[Part Name],$A18,T_TTAFStock_Log[WeekIndex],36))</f>
        <v/>
      </c>
      <c r="AL18" s="12">
        <f>IF(COUNTIFS(T_TTAFStock_Log[Part Name],$A18,T_TTAFStock_Log[WeekIndex],37)=0,"",SUMIFS(T_TTAFStock_Log[TTAF_Qty],T_TTAFStock_Log[Part Name],$A18,T_TTAFStock_Log[WeekIndex],37))</f>
        <v/>
      </c>
      <c r="AM18" s="12">
        <f>IF(COUNTIFS(T_TTAFStock_Log[Part Name],$A18,T_TTAFStock_Log[WeekIndex],38)=0,"",SUMIFS(T_TTAFStock_Log[TTAF_Qty],T_TTAFStock_Log[Part Name],$A18,T_TTAFStock_Log[WeekIndex],38))</f>
        <v/>
      </c>
      <c r="AN18" s="12">
        <f>IF(COUNTIFS(T_TTAFStock_Log[Part Name],$A18,T_TTAFStock_Log[WeekIndex],39)=0,"",SUMIFS(T_TTAFStock_Log[TTAF_Qty],T_TTAFStock_Log[Part Name],$A18,T_TTAFStock_Log[WeekIndex],39))</f>
        <v/>
      </c>
      <c r="AO18" s="12">
        <f>IF(COUNTIFS(T_TTAFStock_Log[Part Name],$A18,T_TTAFStock_Log[WeekIndex],40)=0,"",SUMIFS(T_TTAFStock_Log[TTAF_Qty],T_TTAFStock_Log[Part Name],$A18,T_TTAFStock_Log[WeekIndex],40))</f>
        <v/>
      </c>
      <c r="AP18" s="12">
        <f>IF(COUNTIFS(T_TTAFStock_Log[Part Name],$A18,T_TTAFStock_Log[WeekIndex],41)=0,"",SUMIFS(T_TTAFStock_Log[TTAF_Qty],T_TTAFStock_Log[Part Name],$A18,T_TTAFStock_Log[WeekIndex],41))</f>
        <v/>
      </c>
      <c r="AQ18" s="12">
        <f>IF(COUNTIFS(T_TTAFStock_Log[Part Name],$A18,T_TTAFStock_Log[WeekIndex],42)=0,"",SUMIFS(T_TTAFStock_Log[TTAF_Qty],T_TTAFStock_Log[Part Name],$A18,T_TTAFStock_Log[WeekIndex],42))</f>
        <v/>
      </c>
      <c r="AR18" s="12">
        <f>IF(COUNTIFS(T_TTAFStock_Log[Part Name],$A18,T_TTAFStock_Log[WeekIndex],43)=0,"",SUMIFS(T_TTAFStock_Log[TTAF_Qty],T_TTAFStock_Log[Part Name],$A18,T_TTAFStock_Log[WeekIndex],43))</f>
        <v/>
      </c>
      <c r="AS18" s="12">
        <f>IF(COUNTIFS(T_TTAFStock_Log[Part Name],$A18,T_TTAFStock_Log[WeekIndex],44)=0,"",SUMIFS(T_TTAFStock_Log[TTAF_Qty],T_TTAFStock_Log[Part Name],$A18,T_TTAFStock_Log[WeekIndex],44))</f>
        <v/>
      </c>
      <c r="AT18" s="12">
        <f>IF(COUNTIFS(T_TTAFStock_Log[Part Name],$A18,T_TTAFStock_Log[WeekIndex],45)=0,"",SUMIFS(T_TTAFStock_Log[TTAF_Qty],T_TTAFStock_Log[Part Name],$A18,T_TTAFStock_Log[WeekIndex],45))</f>
        <v/>
      </c>
      <c r="AU18" s="12">
        <f>IF(COUNTIFS(T_TTAFStock_Log[Part Name],$A18,T_TTAFStock_Log[WeekIndex],46)=0,"",SUMIFS(T_TTAFStock_Log[TTAF_Qty],T_TTAFStock_Log[Part Name],$A18,T_TTAFStock_Log[WeekIndex],46))</f>
        <v/>
      </c>
      <c r="AV18" s="12">
        <f>IF(COUNTIFS(T_TTAFStock_Log[Part Name],$A18,T_TTAFStock_Log[WeekIndex],47)=0,"",SUMIFS(T_TTAFStock_Log[TTAF_Qty],T_TTAFStock_Log[Part Name],$A18,T_TTAFStock_Log[WeekIndex],47))</f>
        <v/>
      </c>
      <c r="AW18" s="12">
        <f>IF(COUNTIFS(T_TTAFStock_Log[Part Name],$A18,T_TTAFStock_Log[WeekIndex],48)=0,"",SUMIFS(T_TTAFStock_Log[TTAF_Qty],T_TTAFStock_Log[Part Name],$A18,T_TTAFStock_Log[WeekIndex],48))</f>
        <v/>
      </c>
      <c r="AX18" s="12">
        <f>IF(COUNTIFS(T_TTAFStock_Log[Part Name],$A18,T_TTAFStock_Log[WeekIndex],49)=0,"",SUMIFS(T_TTAFStock_Log[TTAF_Qty],T_TTAFStock_Log[Part Name],$A18,T_TTAFStock_Log[WeekIndex],49))</f>
        <v/>
      </c>
      <c r="AY18" s="12">
        <f>IF(COUNTIFS(T_TTAFStock_Log[Part Name],$A18,T_TTAFStock_Log[WeekIndex],50)=0,"",SUMIFS(T_TTAFStock_Log[TTAF_Qty],T_TTAFStock_Log[Part Name],$A18,T_TTAFStock_Log[WeekIndex],50))</f>
        <v/>
      </c>
      <c r="AZ18" s="12">
        <f>IF(COUNTIFS(T_TTAFStock_Log[Part Name],$A18,T_TTAFStock_Log[WeekIndex],51)=0,"",SUMIFS(T_TTAFStock_Log[TTAF_Qty],T_TTAFStock_Log[Part Name],$A18,T_TTAFStock_Log[WeekIndex],51))</f>
        <v/>
      </c>
      <c r="BA18" s="12">
        <f>IF(COUNTIFS(T_TTAFStock_Log[Part Name],$A18,T_TTAFStock_Log[WeekIndex],52)=0,"",SUMIFS(T_TTAFStock_Log[TTAF_Qty],T_TTAFStock_Log[Part Name],$A18,T_TTAFStock_Log[WeekIndex],52))</f>
        <v/>
      </c>
      <c r="BB18" s="12">
        <f>IF(COUNTIFS(T_TTAFStock_Log[Part Name],$A18,T_TTAFStock_Log[WeekIndex],53)=0,"",SUMIFS(T_TTAFStock_Log[TTAF_Qty],T_TTAFStock_Log[Part Name],$A18,T_TTAFStock_Log[WeekIndex],53))</f>
        <v/>
      </c>
      <c r="BC18" s="12">
        <f>IF(COUNTIFS(T_TTAFStock_Log[Part Name],$A18,T_TTAFStock_Log[WeekIndex],54)=0,"",SUMIFS(T_TTAFStock_Log[TTAF_Qty],T_TTAFStock_Log[Part Name],$A18,T_TTAFStock_Log[WeekIndex],54))</f>
        <v/>
      </c>
      <c r="BD18" s="12">
        <f>IF(COUNTIFS(T_TTAFStock_Log[Part Name],$A18,T_TTAFStock_Log[WeekIndex],55)=0,"",SUMIFS(T_TTAFStock_Log[TTAF_Qty],T_TTAFStock_Log[Part Name],$A18,T_TTAFStock_Log[WeekIndex],55))</f>
        <v/>
      </c>
      <c r="BE18" s="12">
        <f>IF(COUNTIFS(T_TTAFStock_Log[Part Name],$A18,T_TTAFStock_Log[WeekIndex],56)=0,"",SUMIFS(T_TTAFStock_Log[TTAF_Qty],T_TTAFStock_Log[Part Name],$A18,T_TTAFStock_Log[WeekIndex],56))</f>
        <v/>
      </c>
      <c r="BF18" s="12">
        <f>IF(COUNTIFS(T_TTAFStock_Log[Part Name],$A18,T_TTAFStock_Log[WeekIndex],57)=0,"",SUMIFS(T_TTAFStock_Log[TTAF_Qty],T_TTAFStock_Log[Part Name],$A18,T_TTAFStock_Log[WeekIndex],57))</f>
        <v/>
      </c>
      <c r="BG18" s="12">
        <f>IF(COUNTIFS(T_TTAFStock_Log[Part Name],$A18,T_TTAFStock_Log[WeekIndex],58)=0,"",SUMIFS(T_TTAFStock_Log[TTAF_Qty],T_TTAFStock_Log[Part Name],$A18,T_TTAFStock_Log[WeekIndex],58))</f>
        <v/>
      </c>
      <c r="BH18" s="12">
        <f>IF(COUNTIFS(T_TTAFStock_Log[Part Name],$A18,T_TTAFStock_Log[WeekIndex],59)=0,"",SUMIFS(T_TTAFStock_Log[TTAF_Qty],T_TTAFStock_Log[Part Name],$A18,T_TTAFStock_Log[WeekIndex],59))</f>
        <v/>
      </c>
      <c r="BI18" s="12">
        <f>IF(COUNTIFS(T_TTAFStock_Log[Part Name],$A18,T_TTAFStock_Log[WeekIndex],60)=0,"",SUMIFS(T_TTAFStock_Log[TTAF_Qty],T_TTAFStock_Log[Part Name],$A18,T_TTAFStock_Log[WeekIndex],60))</f>
        <v/>
      </c>
      <c r="BJ18" s="12">
        <f>IF(COUNTIFS(T_TTAFStock_Log[Part Name],$A18,T_TTAFStock_Log[WeekIndex],61)=0,"",SUMIFS(T_TTAFStock_Log[TTAF_Qty],T_TTAFStock_Log[Part Name],$A18,T_TTAFStock_Log[WeekIndex],61))</f>
        <v/>
      </c>
      <c r="BK18" s="12">
        <f>IF(COUNTIFS(T_TTAFStock_Log[Part Name],$A18,T_TTAFStock_Log[WeekIndex],62)=0,"",SUMIFS(T_TTAFStock_Log[TTAF_Qty],T_TTAFStock_Log[Part Name],$A18,T_TTAFStock_Log[WeekIndex],62))</f>
        <v/>
      </c>
      <c r="BL18" s="12">
        <f>IF(COUNTIFS(T_TTAFStock_Log[Part Name],$A18,T_TTAFStock_Log[WeekIndex],63)=0,"",SUMIFS(T_TTAFStock_Log[TTAF_Qty],T_TTAFStock_Log[Part Name],$A18,T_TTAFStock_Log[WeekIndex],63))</f>
        <v/>
      </c>
      <c r="BM18" s="12">
        <f>IF(COUNTIFS(T_TTAFStock_Log[Part Name],$A18,T_TTAFStock_Log[WeekIndex],64)=0,"",SUMIFS(T_TTAFStock_Log[TTAF_Qty],T_TTAFStock_Log[Part Name],$A18,T_TTAFStock_Log[WeekIndex],64))</f>
        <v/>
      </c>
      <c r="BN18" s="12">
        <f>IF(COUNTIFS(T_TTAFStock_Log[Part Name],$A18,T_TTAFStock_Log[WeekIndex],65)=0,"",SUMIFS(T_TTAFStock_Log[TTAF_Qty],T_TTAFStock_Log[Part Name],$A18,T_TTAFStock_Log[WeekIndex],65))</f>
        <v/>
      </c>
      <c r="BO18" s="12">
        <f>IF(COUNTIFS(T_TTAFStock_Log[Part Name],$A18,T_TTAFStock_Log[WeekIndex],66)=0,"",SUMIFS(T_TTAFStock_Log[TTAF_Qty],T_TTAFStock_Log[Part Name],$A18,T_TTAFStock_Log[WeekIndex],66))</f>
        <v/>
      </c>
      <c r="BP18" s="12">
        <f>IF(COUNTIFS(T_TTAFStock_Log[Part Name],$A18,T_TTAFStock_Log[WeekIndex],67)=0,"",SUMIFS(T_TTAFStock_Log[TTAF_Qty],T_TTAFStock_Log[Part Name],$A18,T_TTAFStock_Log[WeekIndex],67))</f>
        <v/>
      </c>
      <c r="BQ18" s="12">
        <f>IF(COUNTIFS(T_TTAFStock_Log[Part Name],$A18,T_TTAFStock_Log[WeekIndex],68)=0,"",SUMIFS(T_TTAFStock_Log[TTAF_Qty],T_TTAFStock_Log[Part Name],$A18,T_TTAFStock_Log[WeekIndex],68))</f>
        <v/>
      </c>
      <c r="BR18" s="12">
        <f>IF(COUNTIFS(T_TTAFStock_Log[Part Name],$A18,T_TTAFStock_Log[WeekIndex],69)=0,"",SUMIFS(T_TTAFStock_Log[TTAF_Qty],T_TTAFStock_Log[Part Name],$A18,T_TTAFStock_Log[WeekIndex],69))</f>
        <v/>
      </c>
      <c r="BS18" s="12">
        <f>IF(COUNTIFS(T_TTAFStock_Log[Part Name],$A18,T_TTAFStock_Log[WeekIndex],70)=0,"",SUMIFS(T_TTAFStock_Log[TTAF_Qty],T_TTAFStock_Log[Part Name],$A18,T_TTAFStock_Log[WeekIndex],70))</f>
        <v/>
      </c>
      <c r="BT18" s="12">
        <f>IF(COUNTIFS(T_TTAFStock_Log[Part Name],$A18,T_TTAFStock_Log[WeekIndex],71)=0,"",SUMIFS(T_TTAFStock_Log[TTAF_Qty],T_TTAFStock_Log[Part Name],$A18,T_TTAFStock_Log[WeekIndex],71))</f>
        <v/>
      </c>
      <c r="BU18" s="12">
        <f>IF(COUNTIFS(T_TTAFStock_Log[Part Name],$A18,T_TTAFStock_Log[WeekIndex],72)=0,"",SUMIFS(T_TTAFStock_Log[TTAF_Qty],T_TTAFStock_Log[Part Name],$A18,T_TTAFStock_Log[WeekIndex],72))</f>
        <v/>
      </c>
      <c r="BV18" s="12">
        <f>IF(COUNTIFS(T_TTAFStock_Log[Part Name],$A18,T_TTAFStock_Log[WeekIndex],73)=0,"",SUMIFS(T_TTAFStock_Log[TTAF_Qty],T_TTAFStock_Log[Part Name],$A18,T_TTAFStock_Log[WeekIndex],73))</f>
        <v/>
      </c>
      <c r="BW18" s="12">
        <f>IF(COUNTIFS(T_TTAFStock_Log[Part Name],$A18,T_TTAFStock_Log[WeekIndex],74)=0,"",SUMIFS(T_TTAFStock_Log[TTAF_Qty],T_TTAFStock_Log[Part Name],$A18,T_TTAFStock_Log[WeekIndex],74))</f>
        <v/>
      </c>
      <c r="BX18" s="12">
        <f>IF(COUNTIFS(T_TTAFStock_Log[Part Name],$A18,T_TTAFStock_Log[WeekIndex],75)=0,"",SUMIFS(T_TTAFStock_Log[TTAF_Qty],T_TTAFStock_Log[Part Name],$A18,T_TTAFStock_Log[WeekIndex],75))</f>
        <v/>
      </c>
      <c r="BY18" s="12">
        <f>IF(COUNTIFS(T_TTAFStock_Log[Part Name],$A18,T_TTAFStock_Log[WeekIndex],76)=0,"",SUMIFS(T_TTAFStock_Log[TTAF_Qty],T_TTAFStock_Log[Part Name],$A18,T_TTAFStock_Log[WeekIndex],76))</f>
        <v/>
      </c>
      <c r="BZ18" s="12">
        <f>IF(COUNTIFS(T_TTAFStock_Log[Part Name],$A18,T_TTAFStock_Log[WeekIndex],77)=0,"",SUMIFS(T_TTAFStock_Log[TTAF_Qty],T_TTAFStock_Log[Part Name],$A18,T_TTAFStock_Log[WeekIndex],77))</f>
        <v/>
      </c>
      <c r="CA18" s="12">
        <f>IF(COUNTIFS(T_TTAFStock_Log[Part Name],$A18,T_TTAFStock_Log[WeekIndex],78)=0,"",SUMIFS(T_TTAFStock_Log[TTAF_Qty],T_TTAFStock_Log[Part Name],$A18,T_TTAFStock_Log[WeekIndex],78))</f>
        <v/>
      </c>
      <c r="CB18" s="12">
        <f>IF(COUNTIFS(T_TTAFStock_Log[Part Name],$A18,T_TTAFStock_Log[WeekIndex],79)=0,"",SUMIFS(T_TTAFStock_Log[TTAF_Qty],T_TTAFStock_Log[Part Name],$A18,T_TTAFStock_Log[WeekIndex],79))</f>
        <v/>
      </c>
      <c r="CC18" s="12">
        <f>IF(COUNTIFS(T_TTAFStock_Log[Part Name],$A18,T_TTAFStock_Log[WeekIndex],80)=0,"",SUMIFS(T_TTAFStock_Log[TTAF_Qty],T_TTAFStock_Log[Part Name],$A18,T_TTAFStock_Log[WeekIndex],80))</f>
        <v/>
      </c>
      <c r="CD18" s="12">
        <f>IF(COUNTIFS(T_TTAFStock_Log[Part Name],$A18,T_TTAFStock_Log[WeekIndex],81)=0,"",SUMIFS(T_TTAFStock_Log[TTAF_Qty],T_TTAFStock_Log[Part Name],$A18,T_TTAFStock_Log[WeekIndex],81))</f>
        <v/>
      </c>
      <c r="CE18" s="12">
        <f>IF(COUNTIFS(T_TTAFStock_Log[Part Name],$A18,T_TTAFStock_Log[WeekIndex],82)=0,"",SUMIFS(T_TTAFStock_Log[TTAF_Qty],T_TTAFStock_Log[Part Name],$A18,T_TTAFStock_Log[WeekIndex],82))</f>
        <v/>
      </c>
      <c r="CF18" s="12">
        <f>IF(COUNTIFS(T_TTAFStock_Log[Part Name],$A18,T_TTAFStock_Log[WeekIndex],83)=0,"",SUMIFS(T_TTAFStock_Log[TTAF_Qty],T_TTAFStock_Log[Part Name],$A18,T_TTAFStock_Log[WeekIndex],83))</f>
        <v/>
      </c>
      <c r="CG18" s="12">
        <f>IF(COUNTIFS(T_TTAFStock_Log[Part Name],$A18,T_TTAFStock_Log[WeekIndex],84)=0,"",SUMIFS(T_TTAFStock_Log[TTAF_Qty],T_TTAFStock_Log[Part Name],$A18,T_TTAFStock_Log[WeekIndex],84))</f>
        <v/>
      </c>
      <c r="CH18" s="12">
        <f>IF(COUNTIFS(T_TTAFStock_Log[Part Name],$A18,T_TTAFStock_Log[WeekIndex],85)=0,"",SUMIFS(T_TTAFStock_Log[TTAF_Qty],T_TTAFStock_Log[Part Name],$A18,T_TTAFStock_Log[WeekIndex],85))</f>
        <v/>
      </c>
      <c r="CI18" s="12">
        <f>IF(COUNTIFS(T_TTAFStock_Log[Part Name],$A18,T_TTAFStock_Log[WeekIndex],86)=0,"",SUMIFS(T_TTAFStock_Log[TTAF_Qty],T_TTAFStock_Log[Part Name],$A18,T_TTAFStock_Log[WeekIndex],86))</f>
        <v/>
      </c>
      <c r="CJ18" s="12">
        <f>IF(COUNTIFS(T_TTAFStock_Log[Part Name],$A18,T_TTAFStock_Log[WeekIndex],87)=0,"",SUMIFS(T_TTAFStock_Log[TTAF_Qty],T_TTAFStock_Log[Part Name],$A18,T_TTAFStock_Log[WeekIndex],87))</f>
        <v/>
      </c>
      <c r="CK18" s="12">
        <f>IF(COUNTIFS(T_TTAFStock_Log[Part Name],$A18,T_TTAFStock_Log[WeekIndex],88)=0,"",SUMIFS(T_TTAFStock_Log[TTAF_Qty],T_TTAFStock_Log[Part Name],$A18,T_TTAFStock_Log[WeekIndex],88))</f>
        <v/>
      </c>
      <c r="CL18" s="12">
        <f>IF(COUNTIFS(T_TTAFStock_Log[Part Name],$A18,T_TTAFStock_Log[WeekIndex],89)=0,"",SUMIFS(T_TTAFStock_Log[TTAF_Qty],T_TTAFStock_Log[Part Name],$A18,T_TTAFStock_Log[WeekIndex],89))</f>
        <v/>
      </c>
      <c r="CM18" s="12">
        <f>IF(COUNTIFS(T_TTAFStock_Log[Part Name],$A18,T_TTAFStock_Log[WeekIndex],90)=0,"",SUMIFS(T_TTAFStock_Log[TTAF_Qty],T_TTAFStock_Log[Part Name],$A18,T_TTAFStock_Log[WeekIndex],90))</f>
        <v/>
      </c>
      <c r="CN18" s="12">
        <f>IF(COUNTIFS(T_TTAFStock_Log[Part Name],$A18,T_TTAFStock_Log[WeekIndex],91)=0,"",SUMIFS(T_TTAFStock_Log[TTAF_Qty],T_TTAFStock_Log[Part Name],$A18,T_TTAFStock_Log[WeekIndex],91))</f>
        <v/>
      </c>
      <c r="CO18" s="12">
        <f>IF(COUNTIFS(T_TTAFStock_Log[Part Name],$A18,T_TTAFStock_Log[WeekIndex],92)=0,"",SUMIFS(T_TTAFStock_Log[TTAF_Qty],T_TTAFStock_Log[Part Name],$A18,T_TTAFStock_Log[WeekIndex],92))</f>
        <v/>
      </c>
      <c r="CP18" s="12">
        <f>IF(COUNTIFS(T_TTAFStock_Log[Part Name],$A18,T_TTAFStock_Log[WeekIndex],93)=0,"",SUMIFS(T_TTAFStock_Log[TTAF_Qty],T_TTAFStock_Log[Part Name],$A18,T_TTAFStock_Log[WeekIndex],93))</f>
        <v/>
      </c>
      <c r="CQ18" s="12">
        <f>IF(COUNTIFS(T_TTAFStock_Log[Part Name],$A18,T_TTAFStock_Log[WeekIndex],94)=0,"",SUMIFS(T_TTAFStock_Log[TTAF_Qty],T_TTAFStock_Log[Part Name],$A18,T_TTAFStock_Log[WeekIndex],94))</f>
        <v/>
      </c>
      <c r="CR18" s="12">
        <f>IF(COUNTIFS(T_TTAFStock_Log[Part Name],$A18,T_TTAFStock_Log[WeekIndex],95)=0,"",SUMIFS(T_TTAFStock_Log[TTAF_Qty],T_TTAFStock_Log[Part Name],$A18,T_TTAFStock_Log[WeekIndex],95))</f>
        <v/>
      </c>
      <c r="CS18" s="12">
        <f>IF(COUNTIFS(T_TTAFStock_Log[Part Name],$A18,T_TTAFStock_Log[WeekIndex],96)=0,"",SUMIFS(T_TTAFStock_Log[TTAF_Qty],T_TTAFStock_Log[Part Name],$A18,T_TTAFStock_Log[WeekIndex],96))</f>
        <v/>
      </c>
      <c r="CT18" s="12">
        <f>IF(COUNTIFS(T_TTAFStock_Log[Part Name],$A18,T_TTAFStock_Log[WeekIndex],97)=0,"",SUMIFS(T_TTAFStock_Log[TTAF_Qty],T_TTAFStock_Log[Part Name],$A18,T_TTAFStock_Log[WeekIndex],97))</f>
        <v/>
      </c>
      <c r="CU18" s="12">
        <f>IF(COUNTIFS(T_TTAFStock_Log[Part Name],$A18,T_TTAFStock_Log[WeekIndex],98)=0,"",SUMIFS(T_TTAFStock_Log[TTAF_Qty],T_TTAFStock_Log[Part Name],$A18,T_TTAFStock_Log[WeekIndex],98))</f>
        <v/>
      </c>
      <c r="CV18" s="12">
        <f>IF(COUNTIFS(T_TTAFStock_Log[Part Name],$A18,T_TTAFStock_Log[WeekIndex],99)=0,"",SUMIFS(T_TTAFStock_Log[TTAF_Qty],T_TTAFStock_Log[Part Name],$A18,T_TTAFStock_Log[WeekIndex],99))</f>
        <v/>
      </c>
      <c r="CW18" s="12">
        <f>IF(COUNTIFS(T_TTAFStock_Log[Part Name],$A18,T_TTAFStock_Log[WeekIndex],100)=0,"",SUMIFS(T_TTAFStock_Log[TTAF_Qty],T_TTAFStock_Log[Part Name],$A18,T_TTAFStock_Log[WeekIndex],100))</f>
        <v/>
      </c>
      <c r="CX18" s="12">
        <f>IF(COUNTIFS(T_TTAFStock_Log[Part Name],$A18,T_TTAFStock_Log[WeekIndex],101)=0,"",SUMIFS(T_TTAFStock_Log[TTAF_Qty],T_TTAFStock_Log[Part Name],$A18,T_TTAFStock_Log[WeekIndex],101))</f>
        <v/>
      </c>
      <c r="CY18" s="12">
        <f>IF(COUNTIFS(T_TTAFStock_Log[Part Name],$A18,T_TTAFStock_Log[WeekIndex],102)=0,"",SUMIFS(T_TTAFStock_Log[TTAF_Qty],T_TTAFStock_Log[Part Name],$A18,T_TTAFStock_Log[WeekIndex],102))</f>
        <v/>
      </c>
      <c r="CZ18" s="12">
        <f>IF(COUNTIFS(T_TTAFStock_Log[Part Name],$A18,T_TTAFStock_Log[WeekIndex],103)=0,"",SUMIFS(T_TTAFStock_Log[TTAF_Qty],T_TTAFStock_Log[Part Name],$A18,T_TTAFStock_Log[WeekIndex],103))</f>
        <v/>
      </c>
      <c r="DA18" s="12">
        <f>IF(COUNTIFS(T_TTAFStock_Log[Part Name],$A18,T_TTAFStock_Log[WeekIndex],104)=0,"",SUMIFS(T_TTAFStock_Log[TTAF_Qty],T_TTAFStock_Log[Part Name],$A18,T_TTAFStock_Log[WeekIndex],104))</f>
        <v/>
      </c>
    </row>
    <row r="19">
      <c r="A19" s="13" t="inlineStr">
        <is>
          <t>CHEM-1400</t>
        </is>
      </c>
      <c r="B19" s="13">
        <f>IF(COUNTIFS(T_TTAFStock_Log[Part Name],$A19,T_TTAFStock_Log[WeekIndex],1)=0,"",SUMIFS(T_TTAFStock_Log[TTAF_Qty],T_TTAFStock_Log[Part Name],$A19,T_TTAFStock_Log[WeekIndex],1))</f>
        <v/>
      </c>
      <c r="C19" s="13">
        <f>IF(COUNTIFS(T_TTAFStock_Log[Part Name],$A19,T_TTAFStock_Log[WeekIndex],2)=0,"",SUMIFS(T_TTAFStock_Log[TTAF_Qty],T_TTAFStock_Log[Part Name],$A19,T_TTAFStock_Log[WeekIndex],2))</f>
        <v/>
      </c>
      <c r="D19" s="13">
        <f>IF(COUNTIFS(T_TTAFStock_Log[Part Name],$A19,T_TTAFStock_Log[WeekIndex],3)=0,"",SUMIFS(T_TTAFStock_Log[TTAF_Qty],T_TTAFStock_Log[Part Name],$A19,T_TTAFStock_Log[WeekIndex],3))</f>
        <v/>
      </c>
      <c r="E19" s="13">
        <f>IF(COUNTIFS(T_TTAFStock_Log[Part Name],$A19,T_TTAFStock_Log[WeekIndex],4)=0,"",SUMIFS(T_TTAFStock_Log[TTAF_Qty],T_TTAFStock_Log[Part Name],$A19,T_TTAFStock_Log[WeekIndex],4))</f>
        <v/>
      </c>
      <c r="F19" s="13">
        <f>IF(COUNTIFS(T_TTAFStock_Log[Part Name],$A19,T_TTAFStock_Log[WeekIndex],5)=0,"",SUMIFS(T_TTAFStock_Log[TTAF_Qty],T_TTAFStock_Log[Part Name],$A19,T_TTAFStock_Log[WeekIndex],5))</f>
        <v/>
      </c>
      <c r="G19" s="13">
        <f>IF(COUNTIFS(T_TTAFStock_Log[Part Name],$A19,T_TTAFStock_Log[WeekIndex],6)=0,"",SUMIFS(T_TTAFStock_Log[TTAF_Qty],T_TTAFStock_Log[Part Name],$A19,T_TTAFStock_Log[WeekIndex],6))</f>
        <v/>
      </c>
      <c r="H19" s="13">
        <f>IF(COUNTIFS(T_TTAFStock_Log[Part Name],$A19,T_TTAFStock_Log[WeekIndex],7)=0,"",SUMIFS(T_TTAFStock_Log[TTAF_Qty],T_TTAFStock_Log[Part Name],$A19,T_TTAFStock_Log[WeekIndex],7))</f>
        <v/>
      </c>
      <c r="I19" s="13">
        <f>IF(COUNTIFS(T_TTAFStock_Log[Part Name],$A19,T_TTAFStock_Log[WeekIndex],8)=0,"",SUMIFS(T_TTAFStock_Log[TTAF_Qty],T_TTAFStock_Log[Part Name],$A19,T_TTAFStock_Log[WeekIndex],8))</f>
        <v/>
      </c>
      <c r="J19" s="13">
        <f>IF(COUNTIFS(T_TTAFStock_Log[Part Name],$A19,T_TTAFStock_Log[WeekIndex],9)=0,"",SUMIFS(T_TTAFStock_Log[TTAF_Qty],T_TTAFStock_Log[Part Name],$A19,T_TTAFStock_Log[WeekIndex],9))</f>
        <v/>
      </c>
      <c r="K19" s="13">
        <f>IF(COUNTIFS(T_TTAFStock_Log[Part Name],$A19,T_TTAFStock_Log[WeekIndex],10)=0,"",SUMIFS(T_TTAFStock_Log[TTAF_Qty],T_TTAFStock_Log[Part Name],$A19,T_TTAFStock_Log[WeekIndex],10))</f>
        <v/>
      </c>
      <c r="L19" s="13">
        <f>IF(COUNTIFS(T_TTAFStock_Log[Part Name],$A19,T_TTAFStock_Log[WeekIndex],11)=0,"",SUMIFS(T_TTAFStock_Log[TTAF_Qty],T_TTAFStock_Log[Part Name],$A19,T_TTAFStock_Log[WeekIndex],11))</f>
        <v/>
      </c>
      <c r="M19" s="13">
        <f>IF(COUNTIFS(T_TTAFStock_Log[Part Name],$A19,T_TTAFStock_Log[WeekIndex],12)=0,"",SUMIFS(T_TTAFStock_Log[TTAF_Qty],T_TTAFStock_Log[Part Name],$A19,T_TTAFStock_Log[WeekIndex],12))</f>
        <v/>
      </c>
      <c r="N19" s="13">
        <f>IF(COUNTIFS(T_TTAFStock_Log[Part Name],$A19,T_TTAFStock_Log[WeekIndex],13)=0,"",SUMIFS(T_TTAFStock_Log[TTAF_Qty],T_TTAFStock_Log[Part Name],$A19,T_TTAFStock_Log[WeekIndex],13))</f>
        <v/>
      </c>
      <c r="O19" s="13">
        <f>IF(COUNTIFS(T_TTAFStock_Log[Part Name],$A19,T_TTAFStock_Log[WeekIndex],14)=0,"",SUMIFS(T_TTAFStock_Log[TTAF_Qty],T_TTAFStock_Log[Part Name],$A19,T_TTAFStock_Log[WeekIndex],14))</f>
        <v/>
      </c>
      <c r="P19" s="13">
        <f>IF(COUNTIFS(T_TTAFStock_Log[Part Name],$A19,T_TTAFStock_Log[WeekIndex],15)=0,"",SUMIFS(T_TTAFStock_Log[TTAF_Qty],T_TTAFStock_Log[Part Name],$A19,T_TTAFStock_Log[WeekIndex],15))</f>
        <v/>
      </c>
      <c r="Q19" s="13">
        <f>IF(COUNTIFS(T_TTAFStock_Log[Part Name],$A19,T_TTAFStock_Log[WeekIndex],16)=0,"",SUMIFS(T_TTAFStock_Log[TTAF_Qty],T_TTAFStock_Log[Part Name],$A19,T_TTAFStock_Log[WeekIndex],16))</f>
        <v/>
      </c>
      <c r="R19" s="13">
        <f>IF(COUNTIFS(T_TTAFStock_Log[Part Name],$A19,T_TTAFStock_Log[WeekIndex],17)=0,"",SUMIFS(T_TTAFStock_Log[TTAF_Qty],T_TTAFStock_Log[Part Name],$A19,T_TTAFStock_Log[WeekIndex],17))</f>
        <v/>
      </c>
      <c r="S19" s="13">
        <f>IF(COUNTIFS(T_TTAFStock_Log[Part Name],$A19,T_TTAFStock_Log[WeekIndex],18)=0,"",SUMIFS(T_TTAFStock_Log[TTAF_Qty],T_TTAFStock_Log[Part Name],$A19,T_TTAFStock_Log[WeekIndex],18))</f>
        <v/>
      </c>
      <c r="T19" s="13">
        <f>IF(COUNTIFS(T_TTAFStock_Log[Part Name],$A19,T_TTAFStock_Log[WeekIndex],19)=0,"",SUMIFS(T_TTAFStock_Log[TTAF_Qty],T_TTAFStock_Log[Part Name],$A19,T_TTAFStock_Log[WeekIndex],19))</f>
        <v/>
      </c>
      <c r="U19" s="13">
        <f>IF(COUNTIFS(T_TTAFStock_Log[Part Name],$A19,T_TTAFStock_Log[WeekIndex],20)=0,"",SUMIFS(T_TTAFStock_Log[TTAF_Qty],T_TTAFStock_Log[Part Name],$A19,T_TTAFStock_Log[WeekIndex],20))</f>
        <v/>
      </c>
      <c r="V19" s="13">
        <f>IF(COUNTIFS(T_TTAFStock_Log[Part Name],$A19,T_TTAFStock_Log[WeekIndex],21)=0,"",SUMIFS(T_TTAFStock_Log[TTAF_Qty],T_TTAFStock_Log[Part Name],$A19,T_TTAFStock_Log[WeekIndex],21))</f>
        <v/>
      </c>
      <c r="W19" s="13">
        <f>IF(COUNTIFS(T_TTAFStock_Log[Part Name],$A19,T_TTAFStock_Log[WeekIndex],22)=0,"",SUMIFS(T_TTAFStock_Log[TTAF_Qty],T_TTAFStock_Log[Part Name],$A19,T_TTAFStock_Log[WeekIndex],22))</f>
        <v/>
      </c>
      <c r="X19" s="13">
        <f>IF(COUNTIFS(T_TTAFStock_Log[Part Name],$A19,T_TTAFStock_Log[WeekIndex],23)=0,"",SUMIFS(T_TTAFStock_Log[TTAF_Qty],T_TTAFStock_Log[Part Name],$A19,T_TTAFStock_Log[WeekIndex],23))</f>
        <v/>
      </c>
      <c r="Y19" s="13">
        <f>IF(COUNTIFS(T_TTAFStock_Log[Part Name],$A19,T_TTAFStock_Log[WeekIndex],24)=0,"",SUMIFS(T_TTAFStock_Log[TTAF_Qty],T_TTAFStock_Log[Part Name],$A19,T_TTAFStock_Log[WeekIndex],24))</f>
        <v/>
      </c>
      <c r="Z19" s="13">
        <f>IF(COUNTIFS(T_TTAFStock_Log[Part Name],$A19,T_TTAFStock_Log[WeekIndex],25)=0,"",SUMIFS(T_TTAFStock_Log[TTAF_Qty],T_TTAFStock_Log[Part Name],$A19,T_TTAFStock_Log[WeekIndex],25))</f>
        <v/>
      </c>
      <c r="AA19" s="13">
        <f>IF(COUNTIFS(T_TTAFStock_Log[Part Name],$A19,T_TTAFStock_Log[WeekIndex],26)=0,"",SUMIFS(T_TTAFStock_Log[TTAF_Qty],T_TTAFStock_Log[Part Name],$A19,T_TTAFStock_Log[WeekIndex],26))</f>
        <v/>
      </c>
      <c r="AB19" s="13">
        <f>IF(COUNTIFS(T_TTAFStock_Log[Part Name],$A19,T_TTAFStock_Log[WeekIndex],27)=0,"",SUMIFS(T_TTAFStock_Log[TTAF_Qty],T_TTAFStock_Log[Part Name],$A19,T_TTAFStock_Log[WeekIndex],27))</f>
        <v/>
      </c>
      <c r="AC19" s="13">
        <f>IF(COUNTIFS(T_TTAFStock_Log[Part Name],$A19,T_TTAFStock_Log[WeekIndex],28)=0,"",SUMIFS(T_TTAFStock_Log[TTAF_Qty],T_TTAFStock_Log[Part Name],$A19,T_TTAFStock_Log[WeekIndex],28))</f>
        <v/>
      </c>
      <c r="AD19" s="13">
        <f>IF(COUNTIFS(T_TTAFStock_Log[Part Name],$A19,T_TTAFStock_Log[WeekIndex],29)=0,"",SUMIFS(T_TTAFStock_Log[TTAF_Qty],T_TTAFStock_Log[Part Name],$A19,T_TTAFStock_Log[WeekIndex],29))</f>
        <v/>
      </c>
      <c r="AE19" s="13">
        <f>IF(COUNTIFS(T_TTAFStock_Log[Part Name],$A19,T_TTAFStock_Log[WeekIndex],30)=0,"",SUMIFS(T_TTAFStock_Log[TTAF_Qty],T_TTAFStock_Log[Part Name],$A19,T_TTAFStock_Log[WeekIndex],30))</f>
        <v/>
      </c>
      <c r="AF19" s="13">
        <f>IF(COUNTIFS(T_TTAFStock_Log[Part Name],$A19,T_TTAFStock_Log[WeekIndex],31)=0,"",SUMIFS(T_TTAFStock_Log[TTAF_Qty],T_TTAFStock_Log[Part Name],$A19,T_TTAFStock_Log[WeekIndex],31))</f>
        <v/>
      </c>
      <c r="AG19" s="13">
        <f>IF(COUNTIFS(T_TTAFStock_Log[Part Name],$A19,T_TTAFStock_Log[WeekIndex],32)=0,"",SUMIFS(T_TTAFStock_Log[TTAF_Qty],T_TTAFStock_Log[Part Name],$A19,T_TTAFStock_Log[WeekIndex],32))</f>
        <v/>
      </c>
      <c r="AH19" s="13">
        <f>IF(COUNTIFS(T_TTAFStock_Log[Part Name],$A19,T_TTAFStock_Log[WeekIndex],33)=0,"",SUMIFS(T_TTAFStock_Log[TTAF_Qty],T_TTAFStock_Log[Part Name],$A19,T_TTAFStock_Log[WeekIndex],33))</f>
        <v/>
      </c>
      <c r="AI19" s="13">
        <f>IF(COUNTIFS(T_TTAFStock_Log[Part Name],$A19,T_TTAFStock_Log[WeekIndex],34)=0,"",SUMIFS(T_TTAFStock_Log[TTAF_Qty],T_TTAFStock_Log[Part Name],$A19,T_TTAFStock_Log[WeekIndex],34))</f>
        <v/>
      </c>
      <c r="AJ19" s="13">
        <f>IF(COUNTIFS(T_TTAFStock_Log[Part Name],$A19,T_TTAFStock_Log[WeekIndex],35)=0,"",SUMIFS(T_TTAFStock_Log[TTAF_Qty],T_TTAFStock_Log[Part Name],$A19,T_TTAFStock_Log[WeekIndex],35))</f>
        <v/>
      </c>
      <c r="AK19" s="13">
        <f>IF(COUNTIFS(T_TTAFStock_Log[Part Name],$A19,T_TTAFStock_Log[WeekIndex],36)=0,"",SUMIFS(T_TTAFStock_Log[TTAF_Qty],T_TTAFStock_Log[Part Name],$A19,T_TTAFStock_Log[WeekIndex],36))</f>
        <v/>
      </c>
      <c r="AL19" s="13">
        <f>IF(COUNTIFS(T_TTAFStock_Log[Part Name],$A19,T_TTAFStock_Log[WeekIndex],37)=0,"",SUMIFS(T_TTAFStock_Log[TTAF_Qty],T_TTAFStock_Log[Part Name],$A19,T_TTAFStock_Log[WeekIndex],37))</f>
        <v/>
      </c>
      <c r="AM19" s="13">
        <f>IF(COUNTIFS(T_TTAFStock_Log[Part Name],$A19,T_TTAFStock_Log[WeekIndex],38)=0,"",SUMIFS(T_TTAFStock_Log[TTAF_Qty],T_TTAFStock_Log[Part Name],$A19,T_TTAFStock_Log[WeekIndex],38))</f>
        <v/>
      </c>
      <c r="AN19" s="13">
        <f>IF(COUNTIFS(T_TTAFStock_Log[Part Name],$A19,T_TTAFStock_Log[WeekIndex],39)=0,"",SUMIFS(T_TTAFStock_Log[TTAF_Qty],T_TTAFStock_Log[Part Name],$A19,T_TTAFStock_Log[WeekIndex],39))</f>
        <v/>
      </c>
      <c r="AO19" s="13">
        <f>IF(COUNTIFS(T_TTAFStock_Log[Part Name],$A19,T_TTAFStock_Log[WeekIndex],40)=0,"",SUMIFS(T_TTAFStock_Log[TTAF_Qty],T_TTAFStock_Log[Part Name],$A19,T_TTAFStock_Log[WeekIndex],40))</f>
        <v/>
      </c>
      <c r="AP19" s="13">
        <f>IF(COUNTIFS(T_TTAFStock_Log[Part Name],$A19,T_TTAFStock_Log[WeekIndex],41)=0,"",SUMIFS(T_TTAFStock_Log[TTAF_Qty],T_TTAFStock_Log[Part Name],$A19,T_TTAFStock_Log[WeekIndex],41))</f>
        <v/>
      </c>
      <c r="AQ19" s="13">
        <f>IF(COUNTIFS(T_TTAFStock_Log[Part Name],$A19,T_TTAFStock_Log[WeekIndex],42)=0,"",SUMIFS(T_TTAFStock_Log[TTAF_Qty],T_TTAFStock_Log[Part Name],$A19,T_TTAFStock_Log[WeekIndex],42))</f>
        <v/>
      </c>
      <c r="AR19" s="13">
        <f>IF(COUNTIFS(T_TTAFStock_Log[Part Name],$A19,T_TTAFStock_Log[WeekIndex],43)=0,"",SUMIFS(T_TTAFStock_Log[TTAF_Qty],T_TTAFStock_Log[Part Name],$A19,T_TTAFStock_Log[WeekIndex],43))</f>
        <v/>
      </c>
      <c r="AS19" s="13">
        <f>IF(COUNTIFS(T_TTAFStock_Log[Part Name],$A19,T_TTAFStock_Log[WeekIndex],44)=0,"",SUMIFS(T_TTAFStock_Log[TTAF_Qty],T_TTAFStock_Log[Part Name],$A19,T_TTAFStock_Log[WeekIndex],44))</f>
        <v/>
      </c>
      <c r="AT19" s="13">
        <f>IF(COUNTIFS(T_TTAFStock_Log[Part Name],$A19,T_TTAFStock_Log[WeekIndex],45)=0,"",SUMIFS(T_TTAFStock_Log[TTAF_Qty],T_TTAFStock_Log[Part Name],$A19,T_TTAFStock_Log[WeekIndex],45))</f>
        <v/>
      </c>
      <c r="AU19" s="13">
        <f>IF(COUNTIFS(T_TTAFStock_Log[Part Name],$A19,T_TTAFStock_Log[WeekIndex],46)=0,"",SUMIFS(T_TTAFStock_Log[TTAF_Qty],T_TTAFStock_Log[Part Name],$A19,T_TTAFStock_Log[WeekIndex],46))</f>
        <v/>
      </c>
      <c r="AV19" s="13">
        <f>IF(COUNTIFS(T_TTAFStock_Log[Part Name],$A19,T_TTAFStock_Log[WeekIndex],47)=0,"",SUMIFS(T_TTAFStock_Log[TTAF_Qty],T_TTAFStock_Log[Part Name],$A19,T_TTAFStock_Log[WeekIndex],47))</f>
        <v/>
      </c>
      <c r="AW19" s="13">
        <f>IF(COUNTIFS(T_TTAFStock_Log[Part Name],$A19,T_TTAFStock_Log[WeekIndex],48)=0,"",SUMIFS(T_TTAFStock_Log[TTAF_Qty],T_TTAFStock_Log[Part Name],$A19,T_TTAFStock_Log[WeekIndex],48))</f>
        <v/>
      </c>
      <c r="AX19" s="13">
        <f>IF(COUNTIFS(T_TTAFStock_Log[Part Name],$A19,T_TTAFStock_Log[WeekIndex],49)=0,"",SUMIFS(T_TTAFStock_Log[TTAF_Qty],T_TTAFStock_Log[Part Name],$A19,T_TTAFStock_Log[WeekIndex],49))</f>
        <v/>
      </c>
      <c r="AY19" s="13">
        <f>IF(COUNTIFS(T_TTAFStock_Log[Part Name],$A19,T_TTAFStock_Log[WeekIndex],50)=0,"",SUMIFS(T_TTAFStock_Log[TTAF_Qty],T_TTAFStock_Log[Part Name],$A19,T_TTAFStock_Log[WeekIndex],50))</f>
        <v/>
      </c>
      <c r="AZ19" s="13">
        <f>IF(COUNTIFS(T_TTAFStock_Log[Part Name],$A19,T_TTAFStock_Log[WeekIndex],51)=0,"",SUMIFS(T_TTAFStock_Log[TTAF_Qty],T_TTAFStock_Log[Part Name],$A19,T_TTAFStock_Log[WeekIndex],51))</f>
        <v/>
      </c>
      <c r="BA19" s="13">
        <f>IF(COUNTIFS(T_TTAFStock_Log[Part Name],$A19,T_TTAFStock_Log[WeekIndex],52)=0,"",SUMIFS(T_TTAFStock_Log[TTAF_Qty],T_TTAFStock_Log[Part Name],$A19,T_TTAFStock_Log[WeekIndex],52))</f>
        <v/>
      </c>
      <c r="BB19" s="13">
        <f>IF(COUNTIFS(T_TTAFStock_Log[Part Name],$A19,T_TTAFStock_Log[WeekIndex],53)=0,"",SUMIFS(T_TTAFStock_Log[TTAF_Qty],T_TTAFStock_Log[Part Name],$A19,T_TTAFStock_Log[WeekIndex],53))</f>
        <v/>
      </c>
      <c r="BC19" s="13">
        <f>IF(COUNTIFS(T_TTAFStock_Log[Part Name],$A19,T_TTAFStock_Log[WeekIndex],54)=0,"",SUMIFS(T_TTAFStock_Log[TTAF_Qty],T_TTAFStock_Log[Part Name],$A19,T_TTAFStock_Log[WeekIndex],54))</f>
        <v/>
      </c>
      <c r="BD19" s="13">
        <f>IF(COUNTIFS(T_TTAFStock_Log[Part Name],$A19,T_TTAFStock_Log[WeekIndex],55)=0,"",SUMIFS(T_TTAFStock_Log[TTAF_Qty],T_TTAFStock_Log[Part Name],$A19,T_TTAFStock_Log[WeekIndex],55))</f>
        <v/>
      </c>
      <c r="BE19" s="13">
        <f>IF(COUNTIFS(T_TTAFStock_Log[Part Name],$A19,T_TTAFStock_Log[WeekIndex],56)=0,"",SUMIFS(T_TTAFStock_Log[TTAF_Qty],T_TTAFStock_Log[Part Name],$A19,T_TTAFStock_Log[WeekIndex],56))</f>
        <v/>
      </c>
      <c r="BF19" s="13">
        <f>IF(COUNTIFS(T_TTAFStock_Log[Part Name],$A19,T_TTAFStock_Log[WeekIndex],57)=0,"",SUMIFS(T_TTAFStock_Log[TTAF_Qty],T_TTAFStock_Log[Part Name],$A19,T_TTAFStock_Log[WeekIndex],57))</f>
        <v/>
      </c>
      <c r="BG19" s="13">
        <f>IF(COUNTIFS(T_TTAFStock_Log[Part Name],$A19,T_TTAFStock_Log[WeekIndex],58)=0,"",SUMIFS(T_TTAFStock_Log[TTAF_Qty],T_TTAFStock_Log[Part Name],$A19,T_TTAFStock_Log[WeekIndex],58))</f>
        <v/>
      </c>
      <c r="BH19" s="13">
        <f>IF(COUNTIFS(T_TTAFStock_Log[Part Name],$A19,T_TTAFStock_Log[WeekIndex],59)=0,"",SUMIFS(T_TTAFStock_Log[TTAF_Qty],T_TTAFStock_Log[Part Name],$A19,T_TTAFStock_Log[WeekIndex],59))</f>
        <v/>
      </c>
      <c r="BI19" s="13">
        <f>IF(COUNTIFS(T_TTAFStock_Log[Part Name],$A19,T_TTAFStock_Log[WeekIndex],60)=0,"",SUMIFS(T_TTAFStock_Log[TTAF_Qty],T_TTAFStock_Log[Part Name],$A19,T_TTAFStock_Log[WeekIndex],60))</f>
        <v/>
      </c>
      <c r="BJ19" s="13">
        <f>IF(COUNTIFS(T_TTAFStock_Log[Part Name],$A19,T_TTAFStock_Log[WeekIndex],61)=0,"",SUMIFS(T_TTAFStock_Log[TTAF_Qty],T_TTAFStock_Log[Part Name],$A19,T_TTAFStock_Log[WeekIndex],61))</f>
        <v/>
      </c>
      <c r="BK19" s="13">
        <f>IF(COUNTIFS(T_TTAFStock_Log[Part Name],$A19,T_TTAFStock_Log[WeekIndex],62)=0,"",SUMIFS(T_TTAFStock_Log[TTAF_Qty],T_TTAFStock_Log[Part Name],$A19,T_TTAFStock_Log[WeekIndex],62))</f>
        <v/>
      </c>
      <c r="BL19" s="13">
        <f>IF(COUNTIFS(T_TTAFStock_Log[Part Name],$A19,T_TTAFStock_Log[WeekIndex],63)=0,"",SUMIFS(T_TTAFStock_Log[TTAF_Qty],T_TTAFStock_Log[Part Name],$A19,T_TTAFStock_Log[WeekIndex],63))</f>
        <v/>
      </c>
      <c r="BM19" s="13">
        <f>IF(COUNTIFS(T_TTAFStock_Log[Part Name],$A19,T_TTAFStock_Log[WeekIndex],64)=0,"",SUMIFS(T_TTAFStock_Log[TTAF_Qty],T_TTAFStock_Log[Part Name],$A19,T_TTAFStock_Log[WeekIndex],64))</f>
        <v/>
      </c>
      <c r="BN19" s="13">
        <f>IF(COUNTIFS(T_TTAFStock_Log[Part Name],$A19,T_TTAFStock_Log[WeekIndex],65)=0,"",SUMIFS(T_TTAFStock_Log[TTAF_Qty],T_TTAFStock_Log[Part Name],$A19,T_TTAFStock_Log[WeekIndex],65))</f>
        <v/>
      </c>
      <c r="BO19" s="13">
        <f>IF(COUNTIFS(T_TTAFStock_Log[Part Name],$A19,T_TTAFStock_Log[WeekIndex],66)=0,"",SUMIFS(T_TTAFStock_Log[TTAF_Qty],T_TTAFStock_Log[Part Name],$A19,T_TTAFStock_Log[WeekIndex],66))</f>
        <v/>
      </c>
      <c r="BP19" s="13">
        <f>IF(COUNTIFS(T_TTAFStock_Log[Part Name],$A19,T_TTAFStock_Log[WeekIndex],67)=0,"",SUMIFS(T_TTAFStock_Log[TTAF_Qty],T_TTAFStock_Log[Part Name],$A19,T_TTAFStock_Log[WeekIndex],67))</f>
        <v/>
      </c>
      <c r="BQ19" s="13">
        <f>IF(COUNTIFS(T_TTAFStock_Log[Part Name],$A19,T_TTAFStock_Log[WeekIndex],68)=0,"",SUMIFS(T_TTAFStock_Log[TTAF_Qty],T_TTAFStock_Log[Part Name],$A19,T_TTAFStock_Log[WeekIndex],68))</f>
        <v/>
      </c>
      <c r="BR19" s="13">
        <f>IF(COUNTIFS(T_TTAFStock_Log[Part Name],$A19,T_TTAFStock_Log[WeekIndex],69)=0,"",SUMIFS(T_TTAFStock_Log[TTAF_Qty],T_TTAFStock_Log[Part Name],$A19,T_TTAFStock_Log[WeekIndex],69))</f>
        <v/>
      </c>
      <c r="BS19" s="13">
        <f>IF(COUNTIFS(T_TTAFStock_Log[Part Name],$A19,T_TTAFStock_Log[WeekIndex],70)=0,"",SUMIFS(T_TTAFStock_Log[TTAF_Qty],T_TTAFStock_Log[Part Name],$A19,T_TTAFStock_Log[WeekIndex],70))</f>
        <v/>
      </c>
      <c r="BT19" s="13">
        <f>IF(COUNTIFS(T_TTAFStock_Log[Part Name],$A19,T_TTAFStock_Log[WeekIndex],71)=0,"",SUMIFS(T_TTAFStock_Log[TTAF_Qty],T_TTAFStock_Log[Part Name],$A19,T_TTAFStock_Log[WeekIndex],71))</f>
        <v/>
      </c>
      <c r="BU19" s="13">
        <f>IF(COUNTIFS(T_TTAFStock_Log[Part Name],$A19,T_TTAFStock_Log[WeekIndex],72)=0,"",SUMIFS(T_TTAFStock_Log[TTAF_Qty],T_TTAFStock_Log[Part Name],$A19,T_TTAFStock_Log[WeekIndex],72))</f>
        <v/>
      </c>
      <c r="BV19" s="13">
        <f>IF(COUNTIFS(T_TTAFStock_Log[Part Name],$A19,T_TTAFStock_Log[WeekIndex],73)=0,"",SUMIFS(T_TTAFStock_Log[TTAF_Qty],T_TTAFStock_Log[Part Name],$A19,T_TTAFStock_Log[WeekIndex],73))</f>
        <v/>
      </c>
      <c r="BW19" s="13">
        <f>IF(COUNTIFS(T_TTAFStock_Log[Part Name],$A19,T_TTAFStock_Log[WeekIndex],74)=0,"",SUMIFS(T_TTAFStock_Log[TTAF_Qty],T_TTAFStock_Log[Part Name],$A19,T_TTAFStock_Log[WeekIndex],74))</f>
        <v/>
      </c>
      <c r="BX19" s="13">
        <f>IF(COUNTIFS(T_TTAFStock_Log[Part Name],$A19,T_TTAFStock_Log[WeekIndex],75)=0,"",SUMIFS(T_TTAFStock_Log[TTAF_Qty],T_TTAFStock_Log[Part Name],$A19,T_TTAFStock_Log[WeekIndex],75))</f>
        <v/>
      </c>
      <c r="BY19" s="13">
        <f>IF(COUNTIFS(T_TTAFStock_Log[Part Name],$A19,T_TTAFStock_Log[WeekIndex],76)=0,"",SUMIFS(T_TTAFStock_Log[TTAF_Qty],T_TTAFStock_Log[Part Name],$A19,T_TTAFStock_Log[WeekIndex],76))</f>
        <v/>
      </c>
      <c r="BZ19" s="13">
        <f>IF(COUNTIFS(T_TTAFStock_Log[Part Name],$A19,T_TTAFStock_Log[WeekIndex],77)=0,"",SUMIFS(T_TTAFStock_Log[TTAF_Qty],T_TTAFStock_Log[Part Name],$A19,T_TTAFStock_Log[WeekIndex],77))</f>
        <v/>
      </c>
      <c r="CA19" s="13">
        <f>IF(COUNTIFS(T_TTAFStock_Log[Part Name],$A19,T_TTAFStock_Log[WeekIndex],78)=0,"",SUMIFS(T_TTAFStock_Log[TTAF_Qty],T_TTAFStock_Log[Part Name],$A19,T_TTAFStock_Log[WeekIndex],78))</f>
        <v/>
      </c>
      <c r="CB19" s="13">
        <f>IF(COUNTIFS(T_TTAFStock_Log[Part Name],$A19,T_TTAFStock_Log[WeekIndex],79)=0,"",SUMIFS(T_TTAFStock_Log[TTAF_Qty],T_TTAFStock_Log[Part Name],$A19,T_TTAFStock_Log[WeekIndex],79))</f>
        <v/>
      </c>
      <c r="CC19" s="13">
        <f>IF(COUNTIFS(T_TTAFStock_Log[Part Name],$A19,T_TTAFStock_Log[WeekIndex],80)=0,"",SUMIFS(T_TTAFStock_Log[TTAF_Qty],T_TTAFStock_Log[Part Name],$A19,T_TTAFStock_Log[WeekIndex],80))</f>
        <v/>
      </c>
      <c r="CD19" s="13">
        <f>IF(COUNTIFS(T_TTAFStock_Log[Part Name],$A19,T_TTAFStock_Log[WeekIndex],81)=0,"",SUMIFS(T_TTAFStock_Log[TTAF_Qty],T_TTAFStock_Log[Part Name],$A19,T_TTAFStock_Log[WeekIndex],81))</f>
        <v/>
      </c>
      <c r="CE19" s="13">
        <f>IF(COUNTIFS(T_TTAFStock_Log[Part Name],$A19,T_TTAFStock_Log[WeekIndex],82)=0,"",SUMIFS(T_TTAFStock_Log[TTAF_Qty],T_TTAFStock_Log[Part Name],$A19,T_TTAFStock_Log[WeekIndex],82))</f>
        <v/>
      </c>
      <c r="CF19" s="13">
        <f>IF(COUNTIFS(T_TTAFStock_Log[Part Name],$A19,T_TTAFStock_Log[WeekIndex],83)=0,"",SUMIFS(T_TTAFStock_Log[TTAF_Qty],T_TTAFStock_Log[Part Name],$A19,T_TTAFStock_Log[WeekIndex],83))</f>
        <v/>
      </c>
      <c r="CG19" s="13">
        <f>IF(COUNTIFS(T_TTAFStock_Log[Part Name],$A19,T_TTAFStock_Log[WeekIndex],84)=0,"",SUMIFS(T_TTAFStock_Log[TTAF_Qty],T_TTAFStock_Log[Part Name],$A19,T_TTAFStock_Log[WeekIndex],84))</f>
        <v/>
      </c>
      <c r="CH19" s="13">
        <f>IF(COUNTIFS(T_TTAFStock_Log[Part Name],$A19,T_TTAFStock_Log[WeekIndex],85)=0,"",SUMIFS(T_TTAFStock_Log[TTAF_Qty],T_TTAFStock_Log[Part Name],$A19,T_TTAFStock_Log[WeekIndex],85))</f>
        <v/>
      </c>
      <c r="CI19" s="13">
        <f>IF(COUNTIFS(T_TTAFStock_Log[Part Name],$A19,T_TTAFStock_Log[WeekIndex],86)=0,"",SUMIFS(T_TTAFStock_Log[TTAF_Qty],T_TTAFStock_Log[Part Name],$A19,T_TTAFStock_Log[WeekIndex],86))</f>
        <v/>
      </c>
      <c r="CJ19" s="13">
        <f>IF(COUNTIFS(T_TTAFStock_Log[Part Name],$A19,T_TTAFStock_Log[WeekIndex],87)=0,"",SUMIFS(T_TTAFStock_Log[TTAF_Qty],T_TTAFStock_Log[Part Name],$A19,T_TTAFStock_Log[WeekIndex],87))</f>
        <v/>
      </c>
      <c r="CK19" s="13">
        <f>IF(COUNTIFS(T_TTAFStock_Log[Part Name],$A19,T_TTAFStock_Log[WeekIndex],88)=0,"",SUMIFS(T_TTAFStock_Log[TTAF_Qty],T_TTAFStock_Log[Part Name],$A19,T_TTAFStock_Log[WeekIndex],88))</f>
        <v/>
      </c>
      <c r="CL19" s="13">
        <f>IF(COUNTIFS(T_TTAFStock_Log[Part Name],$A19,T_TTAFStock_Log[WeekIndex],89)=0,"",SUMIFS(T_TTAFStock_Log[TTAF_Qty],T_TTAFStock_Log[Part Name],$A19,T_TTAFStock_Log[WeekIndex],89))</f>
        <v/>
      </c>
      <c r="CM19" s="13">
        <f>IF(COUNTIFS(T_TTAFStock_Log[Part Name],$A19,T_TTAFStock_Log[WeekIndex],90)=0,"",SUMIFS(T_TTAFStock_Log[TTAF_Qty],T_TTAFStock_Log[Part Name],$A19,T_TTAFStock_Log[WeekIndex],90))</f>
        <v/>
      </c>
      <c r="CN19" s="13">
        <f>IF(COUNTIFS(T_TTAFStock_Log[Part Name],$A19,T_TTAFStock_Log[WeekIndex],91)=0,"",SUMIFS(T_TTAFStock_Log[TTAF_Qty],T_TTAFStock_Log[Part Name],$A19,T_TTAFStock_Log[WeekIndex],91))</f>
        <v/>
      </c>
      <c r="CO19" s="13">
        <f>IF(COUNTIFS(T_TTAFStock_Log[Part Name],$A19,T_TTAFStock_Log[WeekIndex],92)=0,"",SUMIFS(T_TTAFStock_Log[TTAF_Qty],T_TTAFStock_Log[Part Name],$A19,T_TTAFStock_Log[WeekIndex],92))</f>
        <v/>
      </c>
      <c r="CP19" s="13">
        <f>IF(COUNTIFS(T_TTAFStock_Log[Part Name],$A19,T_TTAFStock_Log[WeekIndex],93)=0,"",SUMIFS(T_TTAFStock_Log[TTAF_Qty],T_TTAFStock_Log[Part Name],$A19,T_TTAFStock_Log[WeekIndex],93))</f>
        <v/>
      </c>
      <c r="CQ19" s="13">
        <f>IF(COUNTIFS(T_TTAFStock_Log[Part Name],$A19,T_TTAFStock_Log[WeekIndex],94)=0,"",SUMIFS(T_TTAFStock_Log[TTAF_Qty],T_TTAFStock_Log[Part Name],$A19,T_TTAFStock_Log[WeekIndex],94))</f>
        <v/>
      </c>
      <c r="CR19" s="13">
        <f>IF(COUNTIFS(T_TTAFStock_Log[Part Name],$A19,T_TTAFStock_Log[WeekIndex],95)=0,"",SUMIFS(T_TTAFStock_Log[TTAF_Qty],T_TTAFStock_Log[Part Name],$A19,T_TTAFStock_Log[WeekIndex],95))</f>
        <v/>
      </c>
      <c r="CS19" s="13">
        <f>IF(COUNTIFS(T_TTAFStock_Log[Part Name],$A19,T_TTAFStock_Log[WeekIndex],96)=0,"",SUMIFS(T_TTAFStock_Log[TTAF_Qty],T_TTAFStock_Log[Part Name],$A19,T_TTAFStock_Log[WeekIndex],96))</f>
        <v/>
      </c>
      <c r="CT19" s="13">
        <f>IF(COUNTIFS(T_TTAFStock_Log[Part Name],$A19,T_TTAFStock_Log[WeekIndex],97)=0,"",SUMIFS(T_TTAFStock_Log[TTAF_Qty],T_TTAFStock_Log[Part Name],$A19,T_TTAFStock_Log[WeekIndex],97))</f>
        <v/>
      </c>
      <c r="CU19" s="13">
        <f>IF(COUNTIFS(T_TTAFStock_Log[Part Name],$A19,T_TTAFStock_Log[WeekIndex],98)=0,"",SUMIFS(T_TTAFStock_Log[TTAF_Qty],T_TTAFStock_Log[Part Name],$A19,T_TTAFStock_Log[WeekIndex],98))</f>
        <v/>
      </c>
      <c r="CV19" s="13">
        <f>IF(COUNTIFS(T_TTAFStock_Log[Part Name],$A19,T_TTAFStock_Log[WeekIndex],99)=0,"",SUMIFS(T_TTAFStock_Log[TTAF_Qty],T_TTAFStock_Log[Part Name],$A19,T_TTAFStock_Log[WeekIndex],99))</f>
        <v/>
      </c>
      <c r="CW19" s="13">
        <f>IF(COUNTIFS(T_TTAFStock_Log[Part Name],$A19,T_TTAFStock_Log[WeekIndex],100)=0,"",SUMIFS(T_TTAFStock_Log[TTAF_Qty],T_TTAFStock_Log[Part Name],$A19,T_TTAFStock_Log[WeekIndex],100))</f>
        <v/>
      </c>
      <c r="CX19" s="13">
        <f>IF(COUNTIFS(T_TTAFStock_Log[Part Name],$A19,T_TTAFStock_Log[WeekIndex],101)=0,"",SUMIFS(T_TTAFStock_Log[TTAF_Qty],T_TTAFStock_Log[Part Name],$A19,T_TTAFStock_Log[WeekIndex],101))</f>
        <v/>
      </c>
      <c r="CY19" s="13">
        <f>IF(COUNTIFS(T_TTAFStock_Log[Part Name],$A19,T_TTAFStock_Log[WeekIndex],102)=0,"",SUMIFS(T_TTAFStock_Log[TTAF_Qty],T_TTAFStock_Log[Part Name],$A19,T_TTAFStock_Log[WeekIndex],102))</f>
        <v/>
      </c>
      <c r="CZ19" s="13">
        <f>IF(COUNTIFS(T_TTAFStock_Log[Part Name],$A19,T_TTAFStock_Log[WeekIndex],103)=0,"",SUMIFS(T_TTAFStock_Log[TTAF_Qty],T_TTAFStock_Log[Part Name],$A19,T_TTAFStock_Log[WeekIndex],103))</f>
        <v/>
      </c>
      <c r="DA19" s="13">
        <f>IF(COUNTIFS(T_TTAFStock_Log[Part Name],$A19,T_TTAFStock_Log[WeekIndex],104)=0,"",SUMIFS(T_TTAFStock_Log[TTAF_Qty],T_TTAFStock_Log[Part Name],$A19,T_TTAFStock_Log[WeekIndex],104))</f>
        <v/>
      </c>
    </row>
    <row r="20">
      <c r="A20" s="12" t="inlineStr">
        <is>
          <t>CHEM-1570</t>
        </is>
      </c>
      <c r="B20" s="12">
        <f>IF(COUNTIFS(T_TTAFStock_Log[Part Name],$A20,T_TTAFStock_Log[WeekIndex],1)=0,"",SUMIFS(T_TTAFStock_Log[TTAF_Qty],T_TTAFStock_Log[Part Name],$A20,T_TTAFStock_Log[WeekIndex],1))</f>
        <v/>
      </c>
      <c r="C20" s="12">
        <f>IF(COUNTIFS(T_TTAFStock_Log[Part Name],$A20,T_TTAFStock_Log[WeekIndex],2)=0,"",SUMIFS(T_TTAFStock_Log[TTAF_Qty],T_TTAFStock_Log[Part Name],$A20,T_TTAFStock_Log[WeekIndex],2))</f>
        <v/>
      </c>
      <c r="D20" s="12">
        <f>IF(COUNTIFS(T_TTAFStock_Log[Part Name],$A20,T_TTAFStock_Log[WeekIndex],3)=0,"",SUMIFS(T_TTAFStock_Log[TTAF_Qty],T_TTAFStock_Log[Part Name],$A20,T_TTAFStock_Log[WeekIndex],3))</f>
        <v/>
      </c>
      <c r="E20" s="12">
        <f>IF(COUNTIFS(T_TTAFStock_Log[Part Name],$A20,T_TTAFStock_Log[WeekIndex],4)=0,"",SUMIFS(T_TTAFStock_Log[TTAF_Qty],T_TTAFStock_Log[Part Name],$A20,T_TTAFStock_Log[WeekIndex],4))</f>
        <v/>
      </c>
      <c r="F20" s="12">
        <f>IF(COUNTIFS(T_TTAFStock_Log[Part Name],$A20,T_TTAFStock_Log[WeekIndex],5)=0,"",SUMIFS(T_TTAFStock_Log[TTAF_Qty],T_TTAFStock_Log[Part Name],$A20,T_TTAFStock_Log[WeekIndex],5))</f>
        <v/>
      </c>
      <c r="G20" s="12">
        <f>IF(COUNTIFS(T_TTAFStock_Log[Part Name],$A20,T_TTAFStock_Log[WeekIndex],6)=0,"",SUMIFS(T_TTAFStock_Log[TTAF_Qty],T_TTAFStock_Log[Part Name],$A20,T_TTAFStock_Log[WeekIndex],6))</f>
        <v/>
      </c>
      <c r="H20" s="12">
        <f>IF(COUNTIFS(T_TTAFStock_Log[Part Name],$A20,T_TTAFStock_Log[WeekIndex],7)=0,"",SUMIFS(T_TTAFStock_Log[TTAF_Qty],T_TTAFStock_Log[Part Name],$A20,T_TTAFStock_Log[WeekIndex],7))</f>
        <v/>
      </c>
      <c r="I20" s="12">
        <f>IF(COUNTIFS(T_TTAFStock_Log[Part Name],$A20,T_TTAFStock_Log[WeekIndex],8)=0,"",SUMIFS(T_TTAFStock_Log[TTAF_Qty],T_TTAFStock_Log[Part Name],$A20,T_TTAFStock_Log[WeekIndex],8))</f>
        <v/>
      </c>
      <c r="J20" s="12">
        <f>IF(COUNTIFS(T_TTAFStock_Log[Part Name],$A20,T_TTAFStock_Log[WeekIndex],9)=0,"",SUMIFS(T_TTAFStock_Log[TTAF_Qty],T_TTAFStock_Log[Part Name],$A20,T_TTAFStock_Log[WeekIndex],9))</f>
        <v/>
      </c>
      <c r="K20" s="12">
        <f>IF(COUNTIFS(T_TTAFStock_Log[Part Name],$A20,T_TTAFStock_Log[WeekIndex],10)=0,"",SUMIFS(T_TTAFStock_Log[TTAF_Qty],T_TTAFStock_Log[Part Name],$A20,T_TTAFStock_Log[WeekIndex],10))</f>
        <v/>
      </c>
      <c r="L20" s="12">
        <f>IF(COUNTIFS(T_TTAFStock_Log[Part Name],$A20,T_TTAFStock_Log[WeekIndex],11)=0,"",SUMIFS(T_TTAFStock_Log[TTAF_Qty],T_TTAFStock_Log[Part Name],$A20,T_TTAFStock_Log[WeekIndex],11))</f>
        <v/>
      </c>
      <c r="M20" s="12">
        <f>IF(COUNTIFS(T_TTAFStock_Log[Part Name],$A20,T_TTAFStock_Log[WeekIndex],12)=0,"",SUMIFS(T_TTAFStock_Log[TTAF_Qty],T_TTAFStock_Log[Part Name],$A20,T_TTAFStock_Log[WeekIndex],12))</f>
        <v/>
      </c>
      <c r="N20" s="12">
        <f>IF(COUNTIFS(T_TTAFStock_Log[Part Name],$A20,T_TTAFStock_Log[WeekIndex],13)=0,"",SUMIFS(T_TTAFStock_Log[TTAF_Qty],T_TTAFStock_Log[Part Name],$A20,T_TTAFStock_Log[WeekIndex],13))</f>
        <v/>
      </c>
      <c r="O20" s="12">
        <f>IF(COUNTIFS(T_TTAFStock_Log[Part Name],$A20,T_TTAFStock_Log[WeekIndex],14)=0,"",SUMIFS(T_TTAFStock_Log[TTAF_Qty],T_TTAFStock_Log[Part Name],$A20,T_TTAFStock_Log[WeekIndex],14))</f>
        <v/>
      </c>
      <c r="P20" s="12">
        <f>IF(COUNTIFS(T_TTAFStock_Log[Part Name],$A20,T_TTAFStock_Log[WeekIndex],15)=0,"",SUMIFS(T_TTAFStock_Log[TTAF_Qty],T_TTAFStock_Log[Part Name],$A20,T_TTAFStock_Log[WeekIndex],15))</f>
        <v/>
      </c>
      <c r="Q20" s="12">
        <f>IF(COUNTIFS(T_TTAFStock_Log[Part Name],$A20,T_TTAFStock_Log[WeekIndex],16)=0,"",SUMIFS(T_TTAFStock_Log[TTAF_Qty],T_TTAFStock_Log[Part Name],$A20,T_TTAFStock_Log[WeekIndex],16))</f>
        <v/>
      </c>
      <c r="R20" s="12">
        <f>IF(COUNTIFS(T_TTAFStock_Log[Part Name],$A20,T_TTAFStock_Log[WeekIndex],17)=0,"",SUMIFS(T_TTAFStock_Log[TTAF_Qty],T_TTAFStock_Log[Part Name],$A20,T_TTAFStock_Log[WeekIndex],17))</f>
        <v/>
      </c>
      <c r="S20" s="12">
        <f>IF(COUNTIFS(T_TTAFStock_Log[Part Name],$A20,T_TTAFStock_Log[WeekIndex],18)=0,"",SUMIFS(T_TTAFStock_Log[TTAF_Qty],T_TTAFStock_Log[Part Name],$A20,T_TTAFStock_Log[WeekIndex],18))</f>
        <v/>
      </c>
      <c r="T20" s="12">
        <f>IF(COUNTIFS(T_TTAFStock_Log[Part Name],$A20,T_TTAFStock_Log[WeekIndex],19)=0,"",SUMIFS(T_TTAFStock_Log[TTAF_Qty],T_TTAFStock_Log[Part Name],$A20,T_TTAFStock_Log[WeekIndex],19))</f>
        <v/>
      </c>
      <c r="U20" s="12">
        <f>IF(COUNTIFS(T_TTAFStock_Log[Part Name],$A20,T_TTAFStock_Log[WeekIndex],20)=0,"",SUMIFS(T_TTAFStock_Log[TTAF_Qty],T_TTAFStock_Log[Part Name],$A20,T_TTAFStock_Log[WeekIndex],20))</f>
        <v/>
      </c>
      <c r="V20" s="12">
        <f>IF(COUNTIFS(T_TTAFStock_Log[Part Name],$A20,T_TTAFStock_Log[WeekIndex],21)=0,"",SUMIFS(T_TTAFStock_Log[TTAF_Qty],T_TTAFStock_Log[Part Name],$A20,T_TTAFStock_Log[WeekIndex],21))</f>
        <v/>
      </c>
      <c r="W20" s="12">
        <f>IF(COUNTIFS(T_TTAFStock_Log[Part Name],$A20,T_TTAFStock_Log[WeekIndex],22)=0,"",SUMIFS(T_TTAFStock_Log[TTAF_Qty],T_TTAFStock_Log[Part Name],$A20,T_TTAFStock_Log[WeekIndex],22))</f>
        <v/>
      </c>
      <c r="X20" s="12">
        <f>IF(COUNTIFS(T_TTAFStock_Log[Part Name],$A20,T_TTAFStock_Log[WeekIndex],23)=0,"",SUMIFS(T_TTAFStock_Log[TTAF_Qty],T_TTAFStock_Log[Part Name],$A20,T_TTAFStock_Log[WeekIndex],23))</f>
        <v/>
      </c>
      <c r="Y20" s="12">
        <f>IF(COUNTIFS(T_TTAFStock_Log[Part Name],$A20,T_TTAFStock_Log[WeekIndex],24)=0,"",SUMIFS(T_TTAFStock_Log[TTAF_Qty],T_TTAFStock_Log[Part Name],$A20,T_TTAFStock_Log[WeekIndex],24))</f>
        <v/>
      </c>
      <c r="Z20" s="12">
        <f>IF(COUNTIFS(T_TTAFStock_Log[Part Name],$A20,T_TTAFStock_Log[WeekIndex],25)=0,"",SUMIFS(T_TTAFStock_Log[TTAF_Qty],T_TTAFStock_Log[Part Name],$A20,T_TTAFStock_Log[WeekIndex],25))</f>
        <v/>
      </c>
      <c r="AA20" s="12">
        <f>IF(COUNTIFS(T_TTAFStock_Log[Part Name],$A20,T_TTAFStock_Log[WeekIndex],26)=0,"",SUMIFS(T_TTAFStock_Log[TTAF_Qty],T_TTAFStock_Log[Part Name],$A20,T_TTAFStock_Log[WeekIndex],26))</f>
        <v/>
      </c>
      <c r="AB20" s="12">
        <f>IF(COUNTIFS(T_TTAFStock_Log[Part Name],$A20,T_TTAFStock_Log[WeekIndex],27)=0,"",SUMIFS(T_TTAFStock_Log[TTAF_Qty],T_TTAFStock_Log[Part Name],$A20,T_TTAFStock_Log[WeekIndex],27))</f>
        <v/>
      </c>
      <c r="AC20" s="12">
        <f>IF(COUNTIFS(T_TTAFStock_Log[Part Name],$A20,T_TTAFStock_Log[WeekIndex],28)=0,"",SUMIFS(T_TTAFStock_Log[TTAF_Qty],T_TTAFStock_Log[Part Name],$A20,T_TTAFStock_Log[WeekIndex],28))</f>
        <v/>
      </c>
      <c r="AD20" s="12">
        <f>IF(COUNTIFS(T_TTAFStock_Log[Part Name],$A20,T_TTAFStock_Log[WeekIndex],29)=0,"",SUMIFS(T_TTAFStock_Log[TTAF_Qty],T_TTAFStock_Log[Part Name],$A20,T_TTAFStock_Log[WeekIndex],29))</f>
        <v/>
      </c>
      <c r="AE20" s="12">
        <f>IF(COUNTIFS(T_TTAFStock_Log[Part Name],$A20,T_TTAFStock_Log[WeekIndex],30)=0,"",SUMIFS(T_TTAFStock_Log[TTAF_Qty],T_TTAFStock_Log[Part Name],$A20,T_TTAFStock_Log[WeekIndex],30))</f>
        <v/>
      </c>
      <c r="AF20" s="12">
        <f>IF(COUNTIFS(T_TTAFStock_Log[Part Name],$A20,T_TTAFStock_Log[WeekIndex],31)=0,"",SUMIFS(T_TTAFStock_Log[TTAF_Qty],T_TTAFStock_Log[Part Name],$A20,T_TTAFStock_Log[WeekIndex],31))</f>
        <v/>
      </c>
      <c r="AG20" s="12">
        <f>IF(COUNTIFS(T_TTAFStock_Log[Part Name],$A20,T_TTAFStock_Log[WeekIndex],32)=0,"",SUMIFS(T_TTAFStock_Log[TTAF_Qty],T_TTAFStock_Log[Part Name],$A20,T_TTAFStock_Log[WeekIndex],32))</f>
        <v/>
      </c>
      <c r="AH20" s="12">
        <f>IF(COUNTIFS(T_TTAFStock_Log[Part Name],$A20,T_TTAFStock_Log[WeekIndex],33)=0,"",SUMIFS(T_TTAFStock_Log[TTAF_Qty],T_TTAFStock_Log[Part Name],$A20,T_TTAFStock_Log[WeekIndex],33))</f>
        <v/>
      </c>
      <c r="AI20" s="12">
        <f>IF(COUNTIFS(T_TTAFStock_Log[Part Name],$A20,T_TTAFStock_Log[WeekIndex],34)=0,"",SUMIFS(T_TTAFStock_Log[TTAF_Qty],T_TTAFStock_Log[Part Name],$A20,T_TTAFStock_Log[WeekIndex],34))</f>
        <v/>
      </c>
      <c r="AJ20" s="12">
        <f>IF(COUNTIFS(T_TTAFStock_Log[Part Name],$A20,T_TTAFStock_Log[WeekIndex],35)=0,"",SUMIFS(T_TTAFStock_Log[TTAF_Qty],T_TTAFStock_Log[Part Name],$A20,T_TTAFStock_Log[WeekIndex],35))</f>
        <v/>
      </c>
      <c r="AK20" s="12">
        <f>IF(COUNTIFS(T_TTAFStock_Log[Part Name],$A20,T_TTAFStock_Log[WeekIndex],36)=0,"",SUMIFS(T_TTAFStock_Log[TTAF_Qty],T_TTAFStock_Log[Part Name],$A20,T_TTAFStock_Log[WeekIndex],36))</f>
        <v/>
      </c>
      <c r="AL20" s="12">
        <f>IF(COUNTIFS(T_TTAFStock_Log[Part Name],$A20,T_TTAFStock_Log[WeekIndex],37)=0,"",SUMIFS(T_TTAFStock_Log[TTAF_Qty],T_TTAFStock_Log[Part Name],$A20,T_TTAFStock_Log[WeekIndex],37))</f>
        <v/>
      </c>
      <c r="AM20" s="12">
        <f>IF(COUNTIFS(T_TTAFStock_Log[Part Name],$A20,T_TTAFStock_Log[WeekIndex],38)=0,"",SUMIFS(T_TTAFStock_Log[TTAF_Qty],T_TTAFStock_Log[Part Name],$A20,T_TTAFStock_Log[WeekIndex],38))</f>
        <v/>
      </c>
      <c r="AN20" s="12">
        <f>IF(COUNTIFS(T_TTAFStock_Log[Part Name],$A20,T_TTAFStock_Log[WeekIndex],39)=0,"",SUMIFS(T_TTAFStock_Log[TTAF_Qty],T_TTAFStock_Log[Part Name],$A20,T_TTAFStock_Log[WeekIndex],39))</f>
        <v/>
      </c>
      <c r="AO20" s="12">
        <f>IF(COUNTIFS(T_TTAFStock_Log[Part Name],$A20,T_TTAFStock_Log[WeekIndex],40)=0,"",SUMIFS(T_TTAFStock_Log[TTAF_Qty],T_TTAFStock_Log[Part Name],$A20,T_TTAFStock_Log[WeekIndex],40))</f>
        <v/>
      </c>
      <c r="AP20" s="12">
        <f>IF(COUNTIFS(T_TTAFStock_Log[Part Name],$A20,T_TTAFStock_Log[WeekIndex],41)=0,"",SUMIFS(T_TTAFStock_Log[TTAF_Qty],T_TTAFStock_Log[Part Name],$A20,T_TTAFStock_Log[WeekIndex],41))</f>
        <v/>
      </c>
      <c r="AQ20" s="12">
        <f>IF(COUNTIFS(T_TTAFStock_Log[Part Name],$A20,T_TTAFStock_Log[WeekIndex],42)=0,"",SUMIFS(T_TTAFStock_Log[TTAF_Qty],T_TTAFStock_Log[Part Name],$A20,T_TTAFStock_Log[WeekIndex],42))</f>
        <v/>
      </c>
      <c r="AR20" s="12">
        <f>IF(COUNTIFS(T_TTAFStock_Log[Part Name],$A20,T_TTAFStock_Log[WeekIndex],43)=0,"",SUMIFS(T_TTAFStock_Log[TTAF_Qty],T_TTAFStock_Log[Part Name],$A20,T_TTAFStock_Log[WeekIndex],43))</f>
        <v/>
      </c>
      <c r="AS20" s="12">
        <f>IF(COUNTIFS(T_TTAFStock_Log[Part Name],$A20,T_TTAFStock_Log[WeekIndex],44)=0,"",SUMIFS(T_TTAFStock_Log[TTAF_Qty],T_TTAFStock_Log[Part Name],$A20,T_TTAFStock_Log[WeekIndex],44))</f>
        <v/>
      </c>
      <c r="AT20" s="12">
        <f>IF(COUNTIFS(T_TTAFStock_Log[Part Name],$A20,T_TTAFStock_Log[WeekIndex],45)=0,"",SUMIFS(T_TTAFStock_Log[TTAF_Qty],T_TTAFStock_Log[Part Name],$A20,T_TTAFStock_Log[WeekIndex],45))</f>
        <v/>
      </c>
      <c r="AU20" s="12">
        <f>IF(COUNTIFS(T_TTAFStock_Log[Part Name],$A20,T_TTAFStock_Log[WeekIndex],46)=0,"",SUMIFS(T_TTAFStock_Log[TTAF_Qty],T_TTAFStock_Log[Part Name],$A20,T_TTAFStock_Log[WeekIndex],46))</f>
        <v/>
      </c>
      <c r="AV20" s="12">
        <f>IF(COUNTIFS(T_TTAFStock_Log[Part Name],$A20,T_TTAFStock_Log[WeekIndex],47)=0,"",SUMIFS(T_TTAFStock_Log[TTAF_Qty],T_TTAFStock_Log[Part Name],$A20,T_TTAFStock_Log[WeekIndex],47))</f>
        <v/>
      </c>
      <c r="AW20" s="12">
        <f>IF(COUNTIFS(T_TTAFStock_Log[Part Name],$A20,T_TTAFStock_Log[WeekIndex],48)=0,"",SUMIFS(T_TTAFStock_Log[TTAF_Qty],T_TTAFStock_Log[Part Name],$A20,T_TTAFStock_Log[WeekIndex],48))</f>
        <v/>
      </c>
      <c r="AX20" s="12">
        <f>IF(COUNTIFS(T_TTAFStock_Log[Part Name],$A20,T_TTAFStock_Log[WeekIndex],49)=0,"",SUMIFS(T_TTAFStock_Log[TTAF_Qty],T_TTAFStock_Log[Part Name],$A20,T_TTAFStock_Log[WeekIndex],49))</f>
        <v/>
      </c>
      <c r="AY20" s="12">
        <f>IF(COUNTIFS(T_TTAFStock_Log[Part Name],$A20,T_TTAFStock_Log[WeekIndex],50)=0,"",SUMIFS(T_TTAFStock_Log[TTAF_Qty],T_TTAFStock_Log[Part Name],$A20,T_TTAFStock_Log[WeekIndex],50))</f>
        <v/>
      </c>
      <c r="AZ20" s="12">
        <f>IF(COUNTIFS(T_TTAFStock_Log[Part Name],$A20,T_TTAFStock_Log[WeekIndex],51)=0,"",SUMIFS(T_TTAFStock_Log[TTAF_Qty],T_TTAFStock_Log[Part Name],$A20,T_TTAFStock_Log[WeekIndex],51))</f>
        <v/>
      </c>
      <c r="BA20" s="12">
        <f>IF(COUNTIFS(T_TTAFStock_Log[Part Name],$A20,T_TTAFStock_Log[WeekIndex],52)=0,"",SUMIFS(T_TTAFStock_Log[TTAF_Qty],T_TTAFStock_Log[Part Name],$A20,T_TTAFStock_Log[WeekIndex],52))</f>
        <v/>
      </c>
      <c r="BB20" s="12">
        <f>IF(COUNTIFS(T_TTAFStock_Log[Part Name],$A20,T_TTAFStock_Log[WeekIndex],53)=0,"",SUMIFS(T_TTAFStock_Log[TTAF_Qty],T_TTAFStock_Log[Part Name],$A20,T_TTAFStock_Log[WeekIndex],53))</f>
        <v/>
      </c>
      <c r="BC20" s="12">
        <f>IF(COUNTIFS(T_TTAFStock_Log[Part Name],$A20,T_TTAFStock_Log[WeekIndex],54)=0,"",SUMIFS(T_TTAFStock_Log[TTAF_Qty],T_TTAFStock_Log[Part Name],$A20,T_TTAFStock_Log[WeekIndex],54))</f>
        <v/>
      </c>
      <c r="BD20" s="12">
        <f>IF(COUNTIFS(T_TTAFStock_Log[Part Name],$A20,T_TTAFStock_Log[WeekIndex],55)=0,"",SUMIFS(T_TTAFStock_Log[TTAF_Qty],T_TTAFStock_Log[Part Name],$A20,T_TTAFStock_Log[WeekIndex],55))</f>
        <v/>
      </c>
      <c r="BE20" s="12">
        <f>IF(COUNTIFS(T_TTAFStock_Log[Part Name],$A20,T_TTAFStock_Log[WeekIndex],56)=0,"",SUMIFS(T_TTAFStock_Log[TTAF_Qty],T_TTAFStock_Log[Part Name],$A20,T_TTAFStock_Log[WeekIndex],56))</f>
        <v/>
      </c>
      <c r="BF20" s="12">
        <f>IF(COUNTIFS(T_TTAFStock_Log[Part Name],$A20,T_TTAFStock_Log[WeekIndex],57)=0,"",SUMIFS(T_TTAFStock_Log[TTAF_Qty],T_TTAFStock_Log[Part Name],$A20,T_TTAFStock_Log[WeekIndex],57))</f>
        <v/>
      </c>
      <c r="BG20" s="12">
        <f>IF(COUNTIFS(T_TTAFStock_Log[Part Name],$A20,T_TTAFStock_Log[WeekIndex],58)=0,"",SUMIFS(T_TTAFStock_Log[TTAF_Qty],T_TTAFStock_Log[Part Name],$A20,T_TTAFStock_Log[WeekIndex],58))</f>
        <v/>
      </c>
      <c r="BH20" s="12">
        <f>IF(COUNTIFS(T_TTAFStock_Log[Part Name],$A20,T_TTAFStock_Log[WeekIndex],59)=0,"",SUMIFS(T_TTAFStock_Log[TTAF_Qty],T_TTAFStock_Log[Part Name],$A20,T_TTAFStock_Log[WeekIndex],59))</f>
        <v/>
      </c>
      <c r="BI20" s="12">
        <f>IF(COUNTIFS(T_TTAFStock_Log[Part Name],$A20,T_TTAFStock_Log[WeekIndex],60)=0,"",SUMIFS(T_TTAFStock_Log[TTAF_Qty],T_TTAFStock_Log[Part Name],$A20,T_TTAFStock_Log[WeekIndex],60))</f>
        <v/>
      </c>
      <c r="BJ20" s="12">
        <f>IF(COUNTIFS(T_TTAFStock_Log[Part Name],$A20,T_TTAFStock_Log[WeekIndex],61)=0,"",SUMIFS(T_TTAFStock_Log[TTAF_Qty],T_TTAFStock_Log[Part Name],$A20,T_TTAFStock_Log[WeekIndex],61))</f>
        <v/>
      </c>
      <c r="BK20" s="12">
        <f>IF(COUNTIFS(T_TTAFStock_Log[Part Name],$A20,T_TTAFStock_Log[WeekIndex],62)=0,"",SUMIFS(T_TTAFStock_Log[TTAF_Qty],T_TTAFStock_Log[Part Name],$A20,T_TTAFStock_Log[WeekIndex],62))</f>
        <v/>
      </c>
      <c r="BL20" s="12">
        <f>IF(COUNTIFS(T_TTAFStock_Log[Part Name],$A20,T_TTAFStock_Log[WeekIndex],63)=0,"",SUMIFS(T_TTAFStock_Log[TTAF_Qty],T_TTAFStock_Log[Part Name],$A20,T_TTAFStock_Log[WeekIndex],63))</f>
        <v/>
      </c>
      <c r="BM20" s="12">
        <f>IF(COUNTIFS(T_TTAFStock_Log[Part Name],$A20,T_TTAFStock_Log[WeekIndex],64)=0,"",SUMIFS(T_TTAFStock_Log[TTAF_Qty],T_TTAFStock_Log[Part Name],$A20,T_TTAFStock_Log[WeekIndex],64))</f>
        <v/>
      </c>
      <c r="BN20" s="12">
        <f>IF(COUNTIFS(T_TTAFStock_Log[Part Name],$A20,T_TTAFStock_Log[WeekIndex],65)=0,"",SUMIFS(T_TTAFStock_Log[TTAF_Qty],T_TTAFStock_Log[Part Name],$A20,T_TTAFStock_Log[WeekIndex],65))</f>
        <v/>
      </c>
      <c r="BO20" s="12">
        <f>IF(COUNTIFS(T_TTAFStock_Log[Part Name],$A20,T_TTAFStock_Log[WeekIndex],66)=0,"",SUMIFS(T_TTAFStock_Log[TTAF_Qty],T_TTAFStock_Log[Part Name],$A20,T_TTAFStock_Log[WeekIndex],66))</f>
        <v/>
      </c>
      <c r="BP20" s="12">
        <f>IF(COUNTIFS(T_TTAFStock_Log[Part Name],$A20,T_TTAFStock_Log[WeekIndex],67)=0,"",SUMIFS(T_TTAFStock_Log[TTAF_Qty],T_TTAFStock_Log[Part Name],$A20,T_TTAFStock_Log[WeekIndex],67))</f>
        <v/>
      </c>
      <c r="BQ20" s="12">
        <f>IF(COUNTIFS(T_TTAFStock_Log[Part Name],$A20,T_TTAFStock_Log[WeekIndex],68)=0,"",SUMIFS(T_TTAFStock_Log[TTAF_Qty],T_TTAFStock_Log[Part Name],$A20,T_TTAFStock_Log[WeekIndex],68))</f>
        <v/>
      </c>
      <c r="BR20" s="12">
        <f>IF(COUNTIFS(T_TTAFStock_Log[Part Name],$A20,T_TTAFStock_Log[WeekIndex],69)=0,"",SUMIFS(T_TTAFStock_Log[TTAF_Qty],T_TTAFStock_Log[Part Name],$A20,T_TTAFStock_Log[WeekIndex],69))</f>
        <v/>
      </c>
      <c r="BS20" s="12">
        <f>IF(COUNTIFS(T_TTAFStock_Log[Part Name],$A20,T_TTAFStock_Log[WeekIndex],70)=0,"",SUMIFS(T_TTAFStock_Log[TTAF_Qty],T_TTAFStock_Log[Part Name],$A20,T_TTAFStock_Log[WeekIndex],70))</f>
        <v/>
      </c>
      <c r="BT20" s="12">
        <f>IF(COUNTIFS(T_TTAFStock_Log[Part Name],$A20,T_TTAFStock_Log[WeekIndex],71)=0,"",SUMIFS(T_TTAFStock_Log[TTAF_Qty],T_TTAFStock_Log[Part Name],$A20,T_TTAFStock_Log[WeekIndex],71))</f>
        <v/>
      </c>
      <c r="BU20" s="12">
        <f>IF(COUNTIFS(T_TTAFStock_Log[Part Name],$A20,T_TTAFStock_Log[WeekIndex],72)=0,"",SUMIFS(T_TTAFStock_Log[TTAF_Qty],T_TTAFStock_Log[Part Name],$A20,T_TTAFStock_Log[WeekIndex],72))</f>
        <v/>
      </c>
      <c r="BV20" s="12">
        <f>IF(COUNTIFS(T_TTAFStock_Log[Part Name],$A20,T_TTAFStock_Log[WeekIndex],73)=0,"",SUMIFS(T_TTAFStock_Log[TTAF_Qty],T_TTAFStock_Log[Part Name],$A20,T_TTAFStock_Log[WeekIndex],73))</f>
        <v/>
      </c>
      <c r="BW20" s="12">
        <f>IF(COUNTIFS(T_TTAFStock_Log[Part Name],$A20,T_TTAFStock_Log[WeekIndex],74)=0,"",SUMIFS(T_TTAFStock_Log[TTAF_Qty],T_TTAFStock_Log[Part Name],$A20,T_TTAFStock_Log[WeekIndex],74))</f>
        <v/>
      </c>
      <c r="BX20" s="12">
        <f>IF(COUNTIFS(T_TTAFStock_Log[Part Name],$A20,T_TTAFStock_Log[WeekIndex],75)=0,"",SUMIFS(T_TTAFStock_Log[TTAF_Qty],T_TTAFStock_Log[Part Name],$A20,T_TTAFStock_Log[WeekIndex],75))</f>
        <v/>
      </c>
      <c r="BY20" s="12">
        <f>IF(COUNTIFS(T_TTAFStock_Log[Part Name],$A20,T_TTAFStock_Log[WeekIndex],76)=0,"",SUMIFS(T_TTAFStock_Log[TTAF_Qty],T_TTAFStock_Log[Part Name],$A20,T_TTAFStock_Log[WeekIndex],76))</f>
        <v/>
      </c>
      <c r="BZ20" s="12">
        <f>IF(COUNTIFS(T_TTAFStock_Log[Part Name],$A20,T_TTAFStock_Log[WeekIndex],77)=0,"",SUMIFS(T_TTAFStock_Log[TTAF_Qty],T_TTAFStock_Log[Part Name],$A20,T_TTAFStock_Log[WeekIndex],77))</f>
        <v/>
      </c>
      <c r="CA20" s="12">
        <f>IF(COUNTIFS(T_TTAFStock_Log[Part Name],$A20,T_TTAFStock_Log[WeekIndex],78)=0,"",SUMIFS(T_TTAFStock_Log[TTAF_Qty],T_TTAFStock_Log[Part Name],$A20,T_TTAFStock_Log[WeekIndex],78))</f>
        <v/>
      </c>
      <c r="CB20" s="12">
        <f>IF(COUNTIFS(T_TTAFStock_Log[Part Name],$A20,T_TTAFStock_Log[WeekIndex],79)=0,"",SUMIFS(T_TTAFStock_Log[TTAF_Qty],T_TTAFStock_Log[Part Name],$A20,T_TTAFStock_Log[WeekIndex],79))</f>
        <v/>
      </c>
      <c r="CC20" s="12">
        <f>IF(COUNTIFS(T_TTAFStock_Log[Part Name],$A20,T_TTAFStock_Log[WeekIndex],80)=0,"",SUMIFS(T_TTAFStock_Log[TTAF_Qty],T_TTAFStock_Log[Part Name],$A20,T_TTAFStock_Log[WeekIndex],80))</f>
        <v/>
      </c>
      <c r="CD20" s="12">
        <f>IF(COUNTIFS(T_TTAFStock_Log[Part Name],$A20,T_TTAFStock_Log[WeekIndex],81)=0,"",SUMIFS(T_TTAFStock_Log[TTAF_Qty],T_TTAFStock_Log[Part Name],$A20,T_TTAFStock_Log[WeekIndex],81))</f>
        <v/>
      </c>
      <c r="CE20" s="12">
        <f>IF(COUNTIFS(T_TTAFStock_Log[Part Name],$A20,T_TTAFStock_Log[WeekIndex],82)=0,"",SUMIFS(T_TTAFStock_Log[TTAF_Qty],T_TTAFStock_Log[Part Name],$A20,T_TTAFStock_Log[WeekIndex],82))</f>
        <v/>
      </c>
      <c r="CF20" s="12">
        <f>IF(COUNTIFS(T_TTAFStock_Log[Part Name],$A20,T_TTAFStock_Log[WeekIndex],83)=0,"",SUMIFS(T_TTAFStock_Log[TTAF_Qty],T_TTAFStock_Log[Part Name],$A20,T_TTAFStock_Log[WeekIndex],83))</f>
        <v/>
      </c>
      <c r="CG20" s="12">
        <f>IF(COUNTIFS(T_TTAFStock_Log[Part Name],$A20,T_TTAFStock_Log[WeekIndex],84)=0,"",SUMIFS(T_TTAFStock_Log[TTAF_Qty],T_TTAFStock_Log[Part Name],$A20,T_TTAFStock_Log[WeekIndex],84))</f>
        <v/>
      </c>
      <c r="CH20" s="12">
        <f>IF(COUNTIFS(T_TTAFStock_Log[Part Name],$A20,T_TTAFStock_Log[WeekIndex],85)=0,"",SUMIFS(T_TTAFStock_Log[TTAF_Qty],T_TTAFStock_Log[Part Name],$A20,T_TTAFStock_Log[WeekIndex],85))</f>
        <v/>
      </c>
      <c r="CI20" s="12">
        <f>IF(COUNTIFS(T_TTAFStock_Log[Part Name],$A20,T_TTAFStock_Log[WeekIndex],86)=0,"",SUMIFS(T_TTAFStock_Log[TTAF_Qty],T_TTAFStock_Log[Part Name],$A20,T_TTAFStock_Log[WeekIndex],86))</f>
        <v/>
      </c>
      <c r="CJ20" s="12">
        <f>IF(COUNTIFS(T_TTAFStock_Log[Part Name],$A20,T_TTAFStock_Log[WeekIndex],87)=0,"",SUMIFS(T_TTAFStock_Log[TTAF_Qty],T_TTAFStock_Log[Part Name],$A20,T_TTAFStock_Log[WeekIndex],87))</f>
        <v/>
      </c>
      <c r="CK20" s="12">
        <f>IF(COUNTIFS(T_TTAFStock_Log[Part Name],$A20,T_TTAFStock_Log[WeekIndex],88)=0,"",SUMIFS(T_TTAFStock_Log[TTAF_Qty],T_TTAFStock_Log[Part Name],$A20,T_TTAFStock_Log[WeekIndex],88))</f>
        <v/>
      </c>
      <c r="CL20" s="12">
        <f>IF(COUNTIFS(T_TTAFStock_Log[Part Name],$A20,T_TTAFStock_Log[WeekIndex],89)=0,"",SUMIFS(T_TTAFStock_Log[TTAF_Qty],T_TTAFStock_Log[Part Name],$A20,T_TTAFStock_Log[WeekIndex],89))</f>
        <v/>
      </c>
      <c r="CM20" s="12">
        <f>IF(COUNTIFS(T_TTAFStock_Log[Part Name],$A20,T_TTAFStock_Log[WeekIndex],90)=0,"",SUMIFS(T_TTAFStock_Log[TTAF_Qty],T_TTAFStock_Log[Part Name],$A20,T_TTAFStock_Log[WeekIndex],90))</f>
        <v/>
      </c>
      <c r="CN20" s="12">
        <f>IF(COUNTIFS(T_TTAFStock_Log[Part Name],$A20,T_TTAFStock_Log[WeekIndex],91)=0,"",SUMIFS(T_TTAFStock_Log[TTAF_Qty],T_TTAFStock_Log[Part Name],$A20,T_TTAFStock_Log[WeekIndex],91))</f>
        <v/>
      </c>
      <c r="CO20" s="12">
        <f>IF(COUNTIFS(T_TTAFStock_Log[Part Name],$A20,T_TTAFStock_Log[WeekIndex],92)=0,"",SUMIFS(T_TTAFStock_Log[TTAF_Qty],T_TTAFStock_Log[Part Name],$A20,T_TTAFStock_Log[WeekIndex],92))</f>
        <v/>
      </c>
      <c r="CP20" s="12">
        <f>IF(COUNTIFS(T_TTAFStock_Log[Part Name],$A20,T_TTAFStock_Log[WeekIndex],93)=0,"",SUMIFS(T_TTAFStock_Log[TTAF_Qty],T_TTAFStock_Log[Part Name],$A20,T_TTAFStock_Log[WeekIndex],93))</f>
        <v/>
      </c>
      <c r="CQ20" s="12">
        <f>IF(COUNTIFS(T_TTAFStock_Log[Part Name],$A20,T_TTAFStock_Log[WeekIndex],94)=0,"",SUMIFS(T_TTAFStock_Log[TTAF_Qty],T_TTAFStock_Log[Part Name],$A20,T_TTAFStock_Log[WeekIndex],94))</f>
        <v/>
      </c>
      <c r="CR20" s="12">
        <f>IF(COUNTIFS(T_TTAFStock_Log[Part Name],$A20,T_TTAFStock_Log[WeekIndex],95)=0,"",SUMIFS(T_TTAFStock_Log[TTAF_Qty],T_TTAFStock_Log[Part Name],$A20,T_TTAFStock_Log[WeekIndex],95))</f>
        <v/>
      </c>
      <c r="CS20" s="12">
        <f>IF(COUNTIFS(T_TTAFStock_Log[Part Name],$A20,T_TTAFStock_Log[WeekIndex],96)=0,"",SUMIFS(T_TTAFStock_Log[TTAF_Qty],T_TTAFStock_Log[Part Name],$A20,T_TTAFStock_Log[WeekIndex],96))</f>
        <v/>
      </c>
      <c r="CT20" s="12">
        <f>IF(COUNTIFS(T_TTAFStock_Log[Part Name],$A20,T_TTAFStock_Log[WeekIndex],97)=0,"",SUMIFS(T_TTAFStock_Log[TTAF_Qty],T_TTAFStock_Log[Part Name],$A20,T_TTAFStock_Log[WeekIndex],97))</f>
        <v/>
      </c>
      <c r="CU20" s="12">
        <f>IF(COUNTIFS(T_TTAFStock_Log[Part Name],$A20,T_TTAFStock_Log[WeekIndex],98)=0,"",SUMIFS(T_TTAFStock_Log[TTAF_Qty],T_TTAFStock_Log[Part Name],$A20,T_TTAFStock_Log[WeekIndex],98))</f>
        <v/>
      </c>
      <c r="CV20" s="12">
        <f>IF(COUNTIFS(T_TTAFStock_Log[Part Name],$A20,T_TTAFStock_Log[WeekIndex],99)=0,"",SUMIFS(T_TTAFStock_Log[TTAF_Qty],T_TTAFStock_Log[Part Name],$A20,T_TTAFStock_Log[WeekIndex],99))</f>
        <v/>
      </c>
      <c r="CW20" s="12">
        <f>IF(COUNTIFS(T_TTAFStock_Log[Part Name],$A20,T_TTAFStock_Log[WeekIndex],100)=0,"",SUMIFS(T_TTAFStock_Log[TTAF_Qty],T_TTAFStock_Log[Part Name],$A20,T_TTAFStock_Log[WeekIndex],100))</f>
        <v/>
      </c>
      <c r="CX20" s="12">
        <f>IF(COUNTIFS(T_TTAFStock_Log[Part Name],$A20,T_TTAFStock_Log[WeekIndex],101)=0,"",SUMIFS(T_TTAFStock_Log[TTAF_Qty],T_TTAFStock_Log[Part Name],$A20,T_TTAFStock_Log[WeekIndex],101))</f>
        <v/>
      </c>
      <c r="CY20" s="12">
        <f>IF(COUNTIFS(T_TTAFStock_Log[Part Name],$A20,T_TTAFStock_Log[WeekIndex],102)=0,"",SUMIFS(T_TTAFStock_Log[TTAF_Qty],T_TTAFStock_Log[Part Name],$A20,T_TTAFStock_Log[WeekIndex],102))</f>
        <v/>
      </c>
      <c r="CZ20" s="12">
        <f>IF(COUNTIFS(T_TTAFStock_Log[Part Name],$A20,T_TTAFStock_Log[WeekIndex],103)=0,"",SUMIFS(T_TTAFStock_Log[TTAF_Qty],T_TTAFStock_Log[Part Name],$A20,T_TTAFStock_Log[WeekIndex],103))</f>
        <v/>
      </c>
      <c r="DA20" s="12">
        <f>IF(COUNTIFS(T_TTAFStock_Log[Part Name],$A20,T_TTAFStock_Log[WeekIndex],104)=0,"",SUMIFS(T_TTAFStock_Log[TTAF_Qty],T_TTAFStock_Log[Part Name],$A20,T_TTAFStock_Log[WeekIndex],104))</f>
        <v/>
      </c>
    </row>
    <row r="21">
      <c r="A21" s="13" t="inlineStr">
        <is>
          <t>CHEM-1650</t>
        </is>
      </c>
      <c r="B21" s="13">
        <f>IF(COUNTIFS(T_TTAFStock_Log[Part Name],$A21,T_TTAFStock_Log[WeekIndex],1)=0,"",SUMIFS(T_TTAFStock_Log[TTAF_Qty],T_TTAFStock_Log[Part Name],$A21,T_TTAFStock_Log[WeekIndex],1))</f>
        <v/>
      </c>
      <c r="C21" s="13">
        <f>IF(COUNTIFS(T_TTAFStock_Log[Part Name],$A21,T_TTAFStock_Log[WeekIndex],2)=0,"",SUMIFS(T_TTAFStock_Log[TTAF_Qty],T_TTAFStock_Log[Part Name],$A21,T_TTAFStock_Log[WeekIndex],2))</f>
        <v/>
      </c>
      <c r="D21" s="13">
        <f>IF(COUNTIFS(T_TTAFStock_Log[Part Name],$A21,T_TTAFStock_Log[WeekIndex],3)=0,"",SUMIFS(T_TTAFStock_Log[TTAF_Qty],T_TTAFStock_Log[Part Name],$A21,T_TTAFStock_Log[WeekIndex],3))</f>
        <v/>
      </c>
      <c r="E21" s="13">
        <f>IF(COUNTIFS(T_TTAFStock_Log[Part Name],$A21,T_TTAFStock_Log[WeekIndex],4)=0,"",SUMIFS(T_TTAFStock_Log[TTAF_Qty],T_TTAFStock_Log[Part Name],$A21,T_TTAFStock_Log[WeekIndex],4))</f>
        <v/>
      </c>
      <c r="F21" s="13">
        <f>IF(COUNTIFS(T_TTAFStock_Log[Part Name],$A21,T_TTAFStock_Log[WeekIndex],5)=0,"",SUMIFS(T_TTAFStock_Log[TTAF_Qty],T_TTAFStock_Log[Part Name],$A21,T_TTAFStock_Log[WeekIndex],5))</f>
        <v/>
      </c>
      <c r="G21" s="13">
        <f>IF(COUNTIFS(T_TTAFStock_Log[Part Name],$A21,T_TTAFStock_Log[WeekIndex],6)=0,"",SUMIFS(T_TTAFStock_Log[TTAF_Qty],T_TTAFStock_Log[Part Name],$A21,T_TTAFStock_Log[WeekIndex],6))</f>
        <v/>
      </c>
      <c r="H21" s="13">
        <f>IF(COUNTIFS(T_TTAFStock_Log[Part Name],$A21,T_TTAFStock_Log[WeekIndex],7)=0,"",SUMIFS(T_TTAFStock_Log[TTAF_Qty],T_TTAFStock_Log[Part Name],$A21,T_TTAFStock_Log[WeekIndex],7))</f>
        <v/>
      </c>
      <c r="I21" s="13">
        <f>IF(COUNTIFS(T_TTAFStock_Log[Part Name],$A21,T_TTAFStock_Log[WeekIndex],8)=0,"",SUMIFS(T_TTAFStock_Log[TTAF_Qty],T_TTAFStock_Log[Part Name],$A21,T_TTAFStock_Log[WeekIndex],8))</f>
        <v/>
      </c>
      <c r="J21" s="13">
        <f>IF(COUNTIFS(T_TTAFStock_Log[Part Name],$A21,T_TTAFStock_Log[WeekIndex],9)=0,"",SUMIFS(T_TTAFStock_Log[TTAF_Qty],T_TTAFStock_Log[Part Name],$A21,T_TTAFStock_Log[WeekIndex],9))</f>
        <v/>
      </c>
      <c r="K21" s="13">
        <f>IF(COUNTIFS(T_TTAFStock_Log[Part Name],$A21,T_TTAFStock_Log[WeekIndex],10)=0,"",SUMIFS(T_TTAFStock_Log[TTAF_Qty],T_TTAFStock_Log[Part Name],$A21,T_TTAFStock_Log[WeekIndex],10))</f>
        <v/>
      </c>
      <c r="L21" s="13">
        <f>IF(COUNTIFS(T_TTAFStock_Log[Part Name],$A21,T_TTAFStock_Log[WeekIndex],11)=0,"",SUMIFS(T_TTAFStock_Log[TTAF_Qty],T_TTAFStock_Log[Part Name],$A21,T_TTAFStock_Log[WeekIndex],11))</f>
        <v/>
      </c>
      <c r="M21" s="13">
        <f>IF(COUNTIFS(T_TTAFStock_Log[Part Name],$A21,T_TTAFStock_Log[WeekIndex],12)=0,"",SUMIFS(T_TTAFStock_Log[TTAF_Qty],T_TTAFStock_Log[Part Name],$A21,T_TTAFStock_Log[WeekIndex],12))</f>
        <v/>
      </c>
      <c r="N21" s="13">
        <f>IF(COUNTIFS(T_TTAFStock_Log[Part Name],$A21,T_TTAFStock_Log[WeekIndex],13)=0,"",SUMIFS(T_TTAFStock_Log[TTAF_Qty],T_TTAFStock_Log[Part Name],$A21,T_TTAFStock_Log[WeekIndex],13))</f>
        <v/>
      </c>
      <c r="O21" s="13">
        <f>IF(COUNTIFS(T_TTAFStock_Log[Part Name],$A21,T_TTAFStock_Log[WeekIndex],14)=0,"",SUMIFS(T_TTAFStock_Log[TTAF_Qty],T_TTAFStock_Log[Part Name],$A21,T_TTAFStock_Log[WeekIndex],14))</f>
        <v/>
      </c>
      <c r="P21" s="13">
        <f>IF(COUNTIFS(T_TTAFStock_Log[Part Name],$A21,T_TTAFStock_Log[WeekIndex],15)=0,"",SUMIFS(T_TTAFStock_Log[TTAF_Qty],T_TTAFStock_Log[Part Name],$A21,T_TTAFStock_Log[WeekIndex],15))</f>
        <v/>
      </c>
      <c r="Q21" s="13">
        <f>IF(COUNTIFS(T_TTAFStock_Log[Part Name],$A21,T_TTAFStock_Log[WeekIndex],16)=0,"",SUMIFS(T_TTAFStock_Log[TTAF_Qty],T_TTAFStock_Log[Part Name],$A21,T_TTAFStock_Log[WeekIndex],16))</f>
        <v/>
      </c>
      <c r="R21" s="13">
        <f>IF(COUNTIFS(T_TTAFStock_Log[Part Name],$A21,T_TTAFStock_Log[WeekIndex],17)=0,"",SUMIFS(T_TTAFStock_Log[TTAF_Qty],T_TTAFStock_Log[Part Name],$A21,T_TTAFStock_Log[WeekIndex],17))</f>
        <v/>
      </c>
      <c r="S21" s="13">
        <f>IF(COUNTIFS(T_TTAFStock_Log[Part Name],$A21,T_TTAFStock_Log[WeekIndex],18)=0,"",SUMIFS(T_TTAFStock_Log[TTAF_Qty],T_TTAFStock_Log[Part Name],$A21,T_TTAFStock_Log[WeekIndex],18))</f>
        <v/>
      </c>
      <c r="T21" s="13">
        <f>IF(COUNTIFS(T_TTAFStock_Log[Part Name],$A21,T_TTAFStock_Log[WeekIndex],19)=0,"",SUMIFS(T_TTAFStock_Log[TTAF_Qty],T_TTAFStock_Log[Part Name],$A21,T_TTAFStock_Log[WeekIndex],19))</f>
        <v/>
      </c>
      <c r="U21" s="13">
        <f>IF(COUNTIFS(T_TTAFStock_Log[Part Name],$A21,T_TTAFStock_Log[WeekIndex],20)=0,"",SUMIFS(T_TTAFStock_Log[TTAF_Qty],T_TTAFStock_Log[Part Name],$A21,T_TTAFStock_Log[WeekIndex],20))</f>
        <v/>
      </c>
      <c r="V21" s="13">
        <f>IF(COUNTIFS(T_TTAFStock_Log[Part Name],$A21,T_TTAFStock_Log[WeekIndex],21)=0,"",SUMIFS(T_TTAFStock_Log[TTAF_Qty],T_TTAFStock_Log[Part Name],$A21,T_TTAFStock_Log[WeekIndex],21))</f>
        <v/>
      </c>
      <c r="W21" s="13">
        <f>IF(COUNTIFS(T_TTAFStock_Log[Part Name],$A21,T_TTAFStock_Log[WeekIndex],22)=0,"",SUMIFS(T_TTAFStock_Log[TTAF_Qty],T_TTAFStock_Log[Part Name],$A21,T_TTAFStock_Log[WeekIndex],22))</f>
        <v/>
      </c>
      <c r="X21" s="13">
        <f>IF(COUNTIFS(T_TTAFStock_Log[Part Name],$A21,T_TTAFStock_Log[WeekIndex],23)=0,"",SUMIFS(T_TTAFStock_Log[TTAF_Qty],T_TTAFStock_Log[Part Name],$A21,T_TTAFStock_Log[WeekIndex],23))</f>
        <v/>
      </c>
      <c r="Y21" s="13">
        <f>IF(COUNTIFS(T_TTAFStock_Log[Part Name],$A21,T_TTAFStock_Log[WeekIndex],24)=0,"",SUMIFS(T_TTAFStock_Log[TTAF_Qty],T_TTAFStock_Log[Part Name],$A21,T_TTAFStock_Log[WeekIndex],24))</f>
        <v/>
      </c>
      <c r="Z21" s="13">
        <f>IF(COUNTIFS(T_TTAFStock_Log[Part Name],$A21,T_TTAFStock_Log[WeekIndex],25)=0,"",SUMIFS(T_TTAFStock_Log[TTAF_Qty],T_TTAFStock_Log[Part Name],$A21,T_TTAFStock_Log[WeekIndex],25))</f>
        <v/>
      </c>
      <c r="AA21" s="13">
        <f>IF(COUNTIFS(T_TTAFStock_Log[Part Name],$A21,T_TTAFStock_Log[WeekIndex],26)=0,"",SUMIFS(T_TTAFStock_Log[TTAF_Qty],T_TTAFStock_Log[Part Name],$A21,T_TTAFStock_Log[WeekIndex],26))</f>
        <v/>
      </c>
      <c r="AB21" s="13">
        <f>IF(COUNTIFS(T_TTAFStock_Log[Part Name],$A21,T_TTAFStock_Log[WeekIndex],27)=0,"",SUMIFS(T_TTAFStock_Log[TTAF_Qty],T_TTAFStock_Log[Part Name],$A21,T_TTAFStock_Log[WeekIndex],27))</f>
        <v/>
      </c>
      <c r="AC21" s="13">
        <f>IF(COUNTIFS(T_TTAFStock_Log[Part Name],$A21,T_TTAFStock_Log[WeekIndex],28)=0,"",SUMIFS(T_TTAFStock_Log[TTAF_Qty],T_TTAFStock_Log[Part Name],$A21,T_TTAFStock_Log[WeekIndex],28))</f>
        <v/>
      </c>
      <c r="AD21" s="13">
        <f>IF(COUNTIFS(T_TTAFStock_Log[Part Name],$A21,T_TTAFStock_Log[WeekIndex],29)=0,"",SUMIFS(T_TTAFStock_Log[TTAF_Qty],T_TTAFStock_Log[Part Name],$A21,T_TTAFStock_Log[WeekIndex],29))</f>
        <v/>
      </c>
      <c r="AE21" s="13">
        <f>IF(COUNTIFS(T_TTAFStock_Log[Part Name],$A21,T_TTAFStock_Log[WeekIndex],30)=0,"",SUMIFS(T_TTAFStock_Log[TTAF_Qty],T_TTAFStock_Log[Part Name],$A21,T_TTAFStock_Log[WeekIndex],30))</f>
        <v/>
      </c>
      <c r="AF21" s="13">
        <f>IF(COUNTIFS(T_TTAFStock_Log[Part Name],$A21,T_TTAFStock_Log[WeekIndex],31)=0,"",SUMIFS(T_TTAFStock_Log[TTAF_Qty],T_TTAFStock_Log[Part Name],$A21,T_TTAFStock_Log[WeekIndex],31))</f>
        <v/>
      </c>
      <c r="AG21" s="13">
        <f>IF(COUNTIFS(T_TTAFStock_Log[Part Name],$A21,T_TTAFStock_Log[WeekIndex],32)=0,"",SUMIFS(T_TTAFStock_Log[TTAF_Qty],T_TTAFStock_Log[Part Name],$A21,T_TTAFStock_Log[WeekIndex],32))</f>
        <v/>
      </c>
      <c r="AH21" s="13">
        <f>IF(COUNTIFS(T_TTAFStock_Log[Part Name],$A21,T_TTAFStock_Log[WeekIndex],33)=0,"",SUMIFS(T_TTAFStock_Log[TTAF_Qty],T_TTAFStock_Log[Part Name],$A21,T_TTAFStock_Log[WeekIndex],33))</f>
        <v/>
      </c>
      <c r="AI21" s="13">
        <f>IF(COUNTIFS(T_TTAFStock_Log[Part Name],$A21,T_TTAFStock_Log[WeekIndex],34)=0,"",SUMIFS(T_TTAFStock_Log[TTAF_Qty],T_TTAFStock_Log[Part Name],$A21,T_TTAFStock_Log[WeekIndex],34))</f>
        <v/>
      </c>
      <c r="AJ21" s="13">
        <f>IF(COUNTIFS(T_TTAFStock_Log[Part Name],$A21,T_TTAFStock_Log[WeekIndex],35)=0,"",SUMIFS(T_TTAFStock_Log[TTAF_Qty],T_TTAFStock_Log[Part Name],$A21,T_TTAFStock_Log[WeekIndex],35))</f>
        <v/>
      </c>
      <c r="AK21" s="13">
        <f>IF(COUNTIFS(T_TTAFStock_Log[Part Name],$A21,T_TTAFStock_Log[WeekIndex],36)=0,"",SUMIFS(T_TTAFStock_Log[TTAF_Qty],T_TTAFStock_Log[Part Name],$A21,T_TTAFStock_Log[WeekIndex],36))</f>
        <v/>
      </c>
      <c r="AL21" s="13">
        <f>IF(COUNTIFS(T_TTAFStock_Log[Part Name],$A21,T_TTAFStock_Log[WeekIndex],37)=0,"",SUMIFS(T_TTAFStock_Log[TTAF_Qty],T_TTAFStock_Log[Part Name],$A21,T_TTAFStock_Log[WeekIndex],37))</f>
        <v/>
      </c>
      <c r="AM21" s="13">
        <f>IF(COUNTIFS(T_TTAFStock_Log[Part Name],$A21,T_TTAFStock_Log[WeekIndex],38)=0,"",SUMIFS(T_TTAFStock_Log[TTAF_Qty],T_TTAFStock_Log[Part Name],$A21,T_TTAFStock_Log[WeekIndex],38))</f>
        <v/>
      </c>
      <c r="AN21" s="13">
        <f>IF(COUNTIFS(T_TTAFStock_Log[Part Name],$A21,T_TTAFStock_Log[WeekIndex],39)=0,"",SUMIFS(T_TTAFStock_Log[TTAF_Qty],T_TTAFStock_Log[Part Name],$A21,T_TTAFStock_Log[WeekIndex],39))</f>
        <v/>
      </c>
      <c r="AO21" s="13">
        <f>IF(COUNTIFS(T_TTAFStock_Log[Part Name],$A21,T_TTAFStock_Log[WeekIndex],40)=0,"",SUMIFS(T_TTAFStock_Log[TTAF_Qty],T_TTAFStock_Log[Part Name],$A21,T_TTAFStock_Log[WeekIndex],40))</f>
        <v/>
      </c>
      <c r="AP21" s="13">
        <f>IF(COUNTIFS(T_TTAFStock_Log[Part Name],$A21,T_TTAFStock_Log[WeekIndex],41)=0,"",SUMIFS(T_TTAFStock_Log[TTAF_Qty],T_TTAFStock_Log[Part Name],$A21,T_TTAFStock_Log[WeekIndex],41))</f>
        <v/>
      </c>
      <c r="AQ21" s="13">
        <f>IF(COUNTIFS(T_TTAFStock_Log[Part Name],$A21,T_TTAFStock_Log[WeekIndex],42)=0,"",SUMIFS(T_TTAFStock_Log[TTAF_Qty],T_TTAFStock_Log[Part Name],$A21,T_TTAFStock_Log[WeekIndex],42))</f>
        <v/>
      </c>
      <c r="AR21" s="13">
        <f>IF(COUNTIFS(T_TTAFStock_Log[Part Name],$A21,T_TTAFStock_Log[WeekIndex],43)=0,"",SUMIFS(T_TTAFStock_Log[TTAF_Qty],T_TTAFStock_Log[Part Name],$A21,T_TTAFStock_Log[WeekIndex],43))</f>
        <v/>
      </c>
      <c r="AS21" s="13">
        <f>IF(COUNTIFS(T_TTAFStock_Log[Part Name],$A21,T_TTAFStock_Log[WeekIndex],44)=0,"",SUMIFS(T_TTAFStock_Log[TTAF_Qty],T_TTAFStock_Log[Part Name],$A21,T_TTAFStock_Log[WeekIndex],44))</f>
        <v/>
      </c>
      <c r="AT21" s="13">
        <f>IF(COUNTIFS(T_TTAFStock_Log[Part Name],$A21,T_TTAFStock_Log[WeekIndex],45)=0,"",SUMIFS(T_TTAFStock_Log[TTAF_Qty],T_TTAFStock_Log[Part Name],$A21,T_TTAFStock_Log[WeekIndex],45))</f>
        <v/>
      </c>
      <c r="AU21" s="13">
        <f>IF(COUNTIFS(T_TTAFStock_Log[Part Name],$A21,T_TTAFStock_Log[WeekIndex],46)=0,"",SUMIFS(T_TTAFStock_Log[TTAF_Qty],T_TTAFStock_Log[Part Name],$A21,T_TTAFStock_Log[WeekIndex],46))</f>
        <v/>
      </c>
      <c r="AV21" s="13">
        <f>IF(COUNTIFS(T_TTAFStock_Log[Part Name],$A21,T_TTAFStock_Log[WeekIndex],47)=0,"",SUMIFS(T_TTAFStock_Log[TTAF_Qty],T_TTAFStock_Log[Part Name],$A21,T_TTAFStock_Log[WeekIndex],47))</f>
        <v/>
      </c>
      <c r="AW21" s="13">
        <f>IF(COUNTIFS(T_TTAFStock_Log[Part Name],$A21,T_TTAFStock_Log[WeekIndex],48)=0,"",SUMIFS(T_TTAFStock_Log[TTAF_Qty],T_TTAFStock_Log[Part Name],$A21,T_TTAFStock_Log[WeekIndex],48))</f>
        <v/>
      </c>
      <c r="AX21" s="13">
        <f>IF(COUNTIFS(T_TTAFStock_Log[Part Name],$A21,T_TTAFStock_Log[WeekIndex],49)=0,"",SUMIFS(T_TTAFStock_Log[TTAF_Qty],T_TTAFStock_Log[Part Name],$A21,T_TTAFStock_Log[WeekIndex],49))</f>
        <v/>
      </c>
      <c r="AY21" s="13">
        <f>IF(COUNTIFS(T_TTAFStock_Log[Part Name],$A21,T_TTAFStock_Log[WeekIndex],50)=0,"",SUMIFS(T_TTAFStock_Log[TTAF_Qty],T_TTAFStock_Log[Part Name],$A21,T_TTAFStock_Log[WeekIndex],50))</f>
        <v/>
      </c>
      <c r="AZ21" s="13">
        <f>IF(COUNTIFS(T_TTAFStock_Log[Part Name],$A21,T_TTAFStock_Log[WeekIndex],51)=0,"",SUMIFS(T_TTAFStock_Log[TTAF_Qty],T_TTAFStock_Log[Part Name],$A21,T_TTAFStock_Log[WeekIndex],51))</f>
        <v/>
      </c>
      <c r="BA21" s="13">
        <f>IF(COUNTIFS(T_TTAFStock_Log[Part Name],$A21,T_TTAFStock_Log[WeekIndex],52)=0,"",SUMIFS(T_TTAFStock_Log[TTAF_Qty],T_TTAFStock_Log[Part Name],$A21,T_TTAFStock_Log[WeekIndex],52))</f>
        <v/>
      </c>
      <c r="BB21" s="13">
        <f>IF(COUNTIFS(T_TTAFStock_Log[Part Name],$A21,T_TTAFStock_Log[WeekIndex],53)=0,"",SUMIFS(T_TTAFStock_Log[TTAF_Qty],T_TTAFStock_Log[Part Name],$A21,T_TTAFStock_Log[WeekIndex],53))</f>
        <v/>
      </c>
      <c r="BC21" s="13">
        <f>IF(COUNTIFS(T_TTAFStock_Log[Part Name],$A21,T_TTAFStock_Log[WeekIndex],54)=0,"",SUMIFS(T_TTAFStock_Log[TTAF_Qty],T_TTAFStock_Log[Part Name],$A21,T_TTAFStock_Log[WeekIndex],54))</f>
        <v/>
      </c>
      <c r="BD21" s="13">
        <f>IF(COUNTIFS(T_TTAFStock_Log[Part Name],$A21,T_TTAFStock_Log[WeekIndex],55)=0,"",SUMIFS(T_TTAFStock_Log[TTAF_Qty],T_TTAFStock_Log[Part Name],$A21,T_TTAFStock_Log[WeekIndex],55))</f>
        <v/>
      </c>
      <c r="BE21" s="13">
        <f>IF(COUNTIFS(T_TTAFStock_Log[Part Name],$A21,T_TTAFStock_Log[WeekIndex],56)=0,"",SUMIFS(T_TTAFStock_Log[TTAF_Qty],T_TTAFStock_Log[Part Name],$A21,T_TTAFStock_Log[WeekIndex],56))</f>
        <v/>
      </c>
      <c r="BF21" s="13">
        <f>IF(COUNTIFS(T_TTAFStock_Log[Part Name],$A21,T_TTAFStock_Log[WeekIndex],57)=0,"",SUMIFS(T_TTAFStock_Log[TTAF_Qty],T_TTAFStock_Log[Part Name],$A21,T_TTAFStock_Log[WeekIndex],57))</f>
        <v/>
      </c>
      <c r="BG21" s="13">
        <f>IF(COUNTIFS(T_TTAFStock_Log[Part Name],$A21,T_TTAFStock_Log[WeekIndex],58)=0,"",SUMIFS(T_TTAFStock_Log[TTAF_Qty],T_TTAFStock_Log[Part Name],$A21,T_TTAFStock_Log[WeekIndex],58))</f>
        <v/>
      </c>
      <c r="BH21" s="13">
        <f>IF(COUNTIFS(T_TTAFStock_Log[Part Name],$A21,T_TTAFStock_Log[WeekIndex],59)=0,"",SUMIFS(T_TTAFStock_Log[TTAF_Qty],T_TTAFStock_Log[Part Name],$A21,T_TTAFStock_Log[WeekIndex],59))</f>
        <v/>
      </c>
      <c r="BI21" s="13">
        <f>IF(COUNTIFS(T_TTAFStock_Log[Part Name],$A21,T_TTAFStock_Log[WeekIndex],60)=0,"",SUMIFS(T_TTAFStock_Log[TTAF_Qty],T_TTAFStock_Log[Part Name],$A21,T_TTAFStock_Log[WeekIndex],60))</f>
        <v/>
      </c>
      <c r="BJ21" s="13">
        <f>IF(COUNTIFS(T_TTAFStock_Log[Part Name],$A21,T_TTAFStock_Log[WeekIndex],61)=0,"",SUMIFS(T_TTAFStock_Log[TTAF_Qty],T_TTAFStock_Log[Part Name],$A21,T_TTAFStock_Log[WeekIndex],61))</f>
        <v/>
      </c>
      <c r="BK21" s="13">
        <f>IF(COUNTIFS(T_TTAFStock_Log[Part Name],$A21,T_TTAFStock_Log[WeekIndex],62)=0,"",SUMIFS(T_TTAFStock_Log[TTAF_Qty],T_TTAFStock_Log[Part Name],$A21,T_TTAFStock_Log[WeekIndex],62))</f>
        <v/>
      </c>
      <c r="BL21" s="13">
        <f>IF(COUNTIFS(T_TTAFStock_Log[Part Name],$A21,T_TTAFStock_Log[WeekIndex],63)=0,"",SUMIFS(T_TTAFStock_Log[TTAF_Qty],T_TTAFStock_Log[Part Name],$A21,T_TTAFStock_Log[WeekIndex],63))</f>
        <v/>
      </c>
      <c r="BM21" s="13">
        <f>IF(COUNTIFS(T_TTAFStock_Log[Part Name],$A21,T_TTAFStock_Log[WeekIndex],64)=0,"",SUMIFS(T_TTAFStock_Log[TTAF_Qty],T_TTAFStock_Log[Part Name],$A21,T_TTAFStock_Log[WeekIndex],64))</f>
        <v/>
      </c>
      <c r="BN21" s="13">
        <f>IF(COUNTIFS(T_TTAFStock_Log[Part Name],$A21,T_TTAFStock_Log[WeekIndex],65)=0,"",SUMIFS(T_TTAFStock_Log[TTAF_Qty],T_TTAFStock_Log[Part Name],$A21,T_TTAFStock_Log[WeekIndex],65))</f>
        <v/>
      </c>
      <c r="BO21" s="13">
        <f>IF(COUNTIFS(T_TTAFStock_Log[Part Name],$A21,T_TTAFStock_Log[WeekIndex],66)=0,"",SUMIFS(T_TTAFStock_Log[TTAF_Qty],T_TTAFStock_Log[Part Name],$A21,T_TTAFStock_Log[WeekIndex],66))</f>
        <v/>
      </c>
      <c r="BP21" s="13">
        <f>IF(COUNTIFS(T_TTAFStock_Log[Part Name],$A21,T_TTAFStock_Log[WeekIndex],67)=0,"",SUMIFS(T_TTAFStock_Log[TTAF_Qty],T_TTAFStock_Log[Part Name],$A21,T_TTAFStock_Log[WeekIndex],67))</f>
        <v/>
      </c>
      <c r="BQ21" s="13">
        <f>IF(COUNTIFS(T_TTAFStock_Log[Part Name],$A21,T_TTAFStock_Log[WeekIndex],68)=0,"",SUMIFS(T_TTAFStock_Log[TTAF_Qty],T_TTAFStock_Log[Part Name],$A21,T_TTAFStock_Log[WeekIndex],68))</f>
        <v/>
      </c>
      <c r="BR21" s="13">
        <f>IF(COUNTIFS(T_TTAFStock_Log[Part Name],$A21,T_TTAFStock_Log[WeekIndex],69)=0,"",SUMIFS(T_TTAFStock_Log[TTAF_Qty],T_TTAFStock_Log[Part Name],$A21,T_TTAFStock_Log[WeekIndex],69))</f>
        <v/>
      </c>
      <c r="BS21" s="13">
        <f>IF(COUNTIFS(T_TTAFStock_Log[Part Name],$A21,T_TTAFStock_Log[WeekIndex],70)=0,"",SUMIFS(T_TTAFStock_Log[TTAF_Qty],T_TTAFStock_Log[Part Name],$A21,T_TTAFStock_Log[WeekIndex],70))</f>
        <v/>
      </c>
      <c r="BT21" s="13">
        <f>IF(COUNTIFS(T_TTAFStock_Log[Part Name],$A21,T_TTAFStock_Log[WeekIndex],71)=0,"",SUMIFS(T_TTAFStock_Log[TTAF_Qty],T_TTAFStock_Log[Part Name],$A21,T_TTAFStock_Log[WeekIndex],71))</f>
        <v/>
      </c>
      <c r="BU21" s="13">
        <f>IF(COUNTIFS(T_TTAFStock_Log[Part Name],$A21,T_TTAFStock_Log[WeekIndex],72)=0,"",SUMIFS(T_TTAFStock_Log[TTAF_Qty],T_TTAFStock_Log[Part Name],$A21,T_TTAFStock_Log[WeekIndex],72))</f>
        <v/>
      </c>
      <c r="BV21" s="13">
        <f>IF(COUNTIFS(T_TTAFStock_Log[Part Name],$A21,T_TTAFStock_Log[WeekIndex],73)=0,"",SUMIFS(T_TTAFStock_Log[TTAF_Qty],T_TTAFStock_Log[Part Name],$A21,T_TTAFStock_Log[WeekIndex],73))</f>
        <v/>
      </c>
      <c r="BW21" s="13">
        <f>IF(COUNTIFS(T_TTAFStock_Log[Part Name],$A21,T_TTAFStock_Log[WeekIndex],74)=0,"",SUMIFS(T_TTAFStock_Log[TTAF_Qty],T_TTAFStock_Log[Part Name],$A21,T_TTAFStock_Log[WeekIndex],74))</f>
        <v/>
      </c>
      <c r="BX21" s="13">
        <f>IF(COUNTIFS(T_TTAFStock_Log[Part Name],$A21,T_TTAFStock_Log[WeekIndex],75)=0,"",SUMIFS(T_TTAFStock_Log[TTAF_Qty],T_TTAFStock_Log[Part Name],$A21,T_TTAFStock_Log[WeekIndex],75))</f>
        <v/>
      </c>
      <c r="BY21" s="13">
        <f>IF(COUNTIFS(T_TTAFStock_Log[Part Name],$A21,T_TTAFStock_Log[WeekIndex],76)=0,"",SUMIFS(T_TTAFStock_Log[TTAF_Qty],T_TTAFStock_Log[Part Name],$A21,T_TTAFStock_Log[WeekIndex],76))</f>
        <v/>
      </c>
      <c r="BZ21" s="13">
        <f>IF(COUNTIFS(T_TTAFStock_Log[Part Name],$A21,T_TTAFStock_Log[WeekIndex],77)=0,"",SUMIFS(T_TTAFStock_Log[TTAF_Qty],T_TTAFStock_Log[Part Name],$A21,T_TTAFStock_Log[WeekIndex],77))</f>
        <v/>
      </c>
      <c r="CA21" s="13">
        <f>IF(COUNTIFS(T_TTAFStock_Log[Part Name],$A21,T_TTAFStock_Log[WeekIndex],78)=0,"",SUMIFS(T_TTAFStock_Log[TTAF_Qty],T_TTAFStock_Log[Part Name],$A21,T_TTAFStock_Log[WeekIndex],78))</f>
        <v/>
      </c>
      <c r="CB21" s="13">
        <f>IF(COUNTIFS(T_TTAFStock_Log[Part Name],$A21,T_TTAFStock_Log[WeekIndex],79)=0,"",SUMIFS(T_TTAFStock_Log[TTAF_Qty],T_TTAFStock_Log[Part Name],$A21,T_TTAFStock_Log[WeekIndex],79))</f>
        <v/>
      </c>
      <c r="CC21" s="13">
        <f>IF(COUNTIFS(T_TTAFStock_Log[Part Name],$A21,T_TTAFStock_Log[WeekIndex],80)=0,"",SUMIFS(T_TTAFStock_Log[TTAF_Qty],T_TTAFStock_Log[Part Name],$A21,T_TTAFStock_Log[WeekIndex],80))</f>
        <v/>
      </c>
      <c r="CD21" s="13">
        <f>IF(COUNTIFS(T_TTAFStock_Log[Part Name],$A21,T_TTAFStock_Log[WeekIndex],81)=0,"",SUMIFS(T_TTAFStock_Log[TTAF_Qty],T_TTAFStock_Log[Part Name],$A21,T_TTAFStock_Log[WeekIndex],81))</f>
        <v/>
      </c>
      <c r="CE21" s="13">
        <f>IF(COUNTIFS(T_TTAFStock_Log[Part Name],$A21,T_TTAFStock_Log[WeekIndex],82)=0,"",SUMIFS(T_TTAFStock_Log[TTAF_Qty],T_TTAFStock_Log[Part Name],$A21,T_TTAFStock_Log[WeekIndex],82))</f>
        <v/>
      </c>
      <c r="CF21" s="13">
        <f>IF(COUNTIFS(T_TTAFStock_Log[Part Name],$A21,T_TTAFStock_Log[WeekIndex],83)=0,"",SUMIFS(T_TTAFStock_Log[TTAF_Qty],T_TTAFStock_Log[Part Name],$A21,T_TTAFStock_Log[WeekIndex],83))</f>
        <v/>
      </c>
      <c r="CG21" s="13">
        <f>IF(COUNTIFS(T_TTAFStock_Log[Part Name],$A21,T_TTAFStock_Log[WeekIndex],84)=0,"",SUMIFS(T_TTAFStock_Log[TTAF_Qty],T_TTAFStock_Log[Part Name],$A21,T_TTAFStock_Log[WeekIndex],84))</f>
        <v/>
      </c>
      <c r="CH21" s="13">
        <f>IF(COUNTIFS(T_TTAFStock_Log[Part Name],$A21,T_TTAFStock_Log[WeekIndex],85)=0,"",SUMIFS(T_TTAFStock_Log[TTAF_Qty],T_TTAFStock_Log[Part Name],$A21,T_TTAFStock_Log[WeekIndex],85))</f>
        <v/>
      </c>
      <c r="CI21" s="13">
        <f>IF(COUNTIFS(T_TTAFStock_Log[Part Name],$A21,T_TTAFStock_Log[WeekIndex],86)=0,"",SUMIFS(T_TTAFStock_Log[TTAF_Qty],T_TTAFStock_Log[Part Name],$A21,T_TTAFStock_Log[WeekIndex],86))</f>
        <v/>
      </c>
      <c r="CJ21" s="13">
        <f>IF(COUNTIFS(T_TTAFStock_Log[Part Name],$A21,T_TTAFStock_Log[WeekIndex],87)=0,"",SUMIFS(T_TTAFStock_Log[TTAF_Qty],T_TTAFStock_Log[Part Name],$A21,T_TTAFStock_Log[WeekIndex],87))</f>
        <v/>
      </c>
      <c r="CK21" s="13">
        <f>IF(COUNTIFS(T_TTAFStock_Log[Part Name],$A21,T_TTAFStock_Log[WeekIndex],88)=0,"",SUMIFS(T_TTAFStock_Log[TTAF_Qty],T_TTAFStock_Log[Part Name],$A21,T_TTAFStock_Log[WeekIndex],88))</f>
        <v/>
      </c>
      <c r="CL21" s="13">
        <f>IF(COUNTIFS(T_TTAFStock_Log[Part Name],$A21,T_TTAFStock_Log[WeekIndex],89)=0,"",SUMIFS(T_TTAFStock_Log[TTAF_Qty],T_TTAFStock_Log[Part Name],$A21,T_TTAFStock_Log[WeekIndex],89))</f>
        <v/>
      </c>
      <c r="CM21" s="13">
        <f>IF(COUNTIFS(T_TTAFStock_Log[Part Name],$A21,T_TTAFStock_Log[WeekIndex],90)=0,"",SUMIFS(T_TTAFStock_Log[TTAF_Qty],T_TTAFStock_Log[Part Name],$A21,T_TTAFStock_Log[WeekIndex],90))</f>
        <v/>
      </c>
      <c r="CN21" s="13">
        <f>IF(COUNTIFS(T_TTAFStock_Log[Part Name],$A21,T_TTAFStock_Log[WeekIndex],91)=0,"",SUMIFS(T_TTAFStock_Log[TTAF_Qty],T_TTAFStock_Log[Part Name],$A21,T_TTAFStock_Log[WeekIndex],91))</f>
        <v/>
      </c>
      <c r="CO21" s="13">
        <f>IF(COUNTIFS(T_TTAFStock_Log[Part Name],$A21,T_TTAFStock_Log[WeekIndex],92)=0,"",SUMIFS(T_TTAFStock_Log[TTAF_Qty],T_TTAFStock_Log[Part Name],$A21,T_TTAFStock_Log[WeekIndex],92))</f>
        <v/>
      </c>
      <c r="CP21" s="13">
        <f>IF(COUNTIFS(T_TTAFStock_Log[Part Name],$A21,T_TTAFStock_Log[WeekIndex],93)=0,"",SUMIFS(T_TTAFStock_Log[TTAF_Qty],T_TTAFStock_Log[Part Name],$A21,T_TTAFStock_Log[WeekIndex],93))</f>
        <v/>
      </c>
      <c r="CQ21" s="13">
        <f>IF(COUNTIFS(T_TTAFStock_Log[Part Name],$A21,T_TTAFStock_Log[WeekIndex],94)=0,"",SUMIFS(T_TTAFStock_Log[TTAF_Qty],T_TTAFStock_Log[Part Name],$A21,T_TTAFStock_Log[WeekIndex],94))</f>
        <v/>
      </c>
      <c r="CR21" s="13">
        <f>IF(COUNTIFS(T_TTAFStock_Log[Part Name],$A21,T_TTAFStock_Log[WeekIndex],95)=0,"",SUMIFS(T_TTAFStock_Log[TTAF_Qty],T_TTAFStock_Log[Part Name],$A21,T_TTAFStock_Log[WeekIndex],95))</f>
        <v/>
      </c>
      <c r="CS21" s="13">
        <f>IF(COUNTIFS(T_TTAFStock_Log[Part Name],$A21,T_TTAFStock_Log[WeekIndex],96)=0,"",SUMIFS(T_TTAFStock_Log[TTAF_Qty],T_TTAFStock_Log[Part Name],$A21,T_TTAFStock_Log[WeekIndex],96))</f>
        <v/>
      </c>
      <c r="CT21" s="13">
        <f>IF(COUNTIFS(T_TTAFStock_Log[Part Name],$A21,T_TTAFStock_Log[WeekIndex],97)=0,"",SUMIFS(T_TTAFStock_Log[TTAF_Qty],T_TTAFStock_Log[Part Name],$A21,T_TTAFStock_Log[WeekIndex],97))</f>
        <v/>
      </c>
      <c r="CU21" s="13">
        <f>IF(COUNTIFS(T_TTAFStock_Log[Part Name],$A21,T_TTAFStock_Log[WeekIndex],98)=0,"",SUMIFS(T_TTAFStock_Log[TTAF_Qty],T_TTAFStock_Log[Part Name],$A21,T_TTAFStock_Log[WeekIndex],98))</f>
        <v/>
      </c>
      <c r="CV21" s="13">
        <f>IF(COUNTIFS(T_TTAFStock_Log[Part Name],$A21,T_TTAFStock_Log[WeekIndex],99)=0,"",SUMIFS(T_TTAFStock_Log[TTAF_Qty],T_TTAFStock_Log[Part Name],$A21,T_TTAFStock_Log[WeekIndex],99))</f>
        <v/>
      </c>
      <c r="CW21" s="13">
        <f>IF(COUNTIFS(T_TTAFStock_Log[Part Name],$A21,T_TTAFStock_Log[WeekIndex],100)=0,"",SUMIFS(T_TTAFStock_Log[TTAF_Qty],T_TTAFStock_Log[Part Name],$A21,T_TTAFStock_Log[WeekIndex],100))</f>
        <v/>
      </c>
      <c r="CX21" s="13">
        <f>IF(COUNTIFS(T_TTAFStock_Log[Part Name],$A21,T_TTAFStock_Log[WeekIndex],101)=0,"",SUMIFS(T_TTAFStock_Log[TTAF_Qty],T_TTAFStock_Log[Part Name],$A21,T_TTAFStock_Log[WeekIndex],101))</f>
        <v/>
      </c>
      <c r="CY21" s="13">
        <f>IF(COUNTIFS(T_TTAFStock_Log[Part Name],$A21,T_TTAFStock_Log[WeekIndex],102)=0,"",SUMIFS(T_TTAFStock_Log[TTAF_Qty],T_TTAFStock_Log[Part Name],$A21,T_TTAFStock_Log[WeekIndex],102))</f>
        <v/>
      </c>
      <c r="CZ21" s="13">
        <f>IF(COUNTIFS(T_TTAFStock_Log[Part Name],$A21,T_TTAFStock_Log[WeekIndex],103)=0,"",SUMIFS(T_TTAFStock_Log[TTAF_Qty],T_TTAFStock_Log[Part Name],$A21,T_TTAFStock_Log[WeekIndex],103))</f>
        <v/>
      </c>
      <c r="DA21" s="13">
        <f>IF(COUNTIFS(T_TTAFStock_Log[Part Name],$A21,T_TTAFStock_Log[WeekIndex],104)=0,"",SUMIFS(T_TTAFStock_Log[TTAF_Qty],T_TTAFStock_Log[Part Name],$A21,T_TTAFStock_Log[WeekIndex],104))</f>
        <v/>
      </c>
    </row>
    <row r="22">
      <c r="A22" s="12" t="inlineStr">
        <is>
          <t>CHEM-1660</t>
        </is>
      </c>
      <c r="B22" s="12">
        <f>IF(COUNTIFS(T_TTAFStock_Log[Part Name],$A22,T_TTAFStock_Log[WeekIndex],1)=0,"",SUMIFS(T_TTAFStock_Log[TTAF_Qty],T_TTAFStock_Log[Part Name],$A22,T_TTAFStock_Log[WeekIndex],1))</f>
        <v/>
      </c>
      <c r="C22" s="12">
        <f>IF(COUNTIFS(T_TTAFStock_Log[Part Name],$A22,T_TTAFStock_Log[WeekIndex],2)=0,"",SUMIFS(T_TTAFStock_Log[TTAF_Qty],T_TTAFStock_Log[Part Name],$A22,T_TTAFStock_Log[WeekIndex],2))</f>
        <v/>
      </c>
      <c r="D22" s="12">
        <f>IF(COUNTIFS(T_TTAFStock_Log[Part Name],$A22,T_TTAFStock_Log[WeekIndex],3)=0,"",SUMIFS(T_TTAFStock_Log[TTAF_Qty],T_TTAFStock_Log[Part Name],$A22,T_TTAFStock_Log[WeekIndex],3))</f>
        <v/>
      </c>
      <c r="E22" s="12">
        <f>IF(COUNTIFS(T_TTAFStock_Log[Part Name],$A22,T_TTAFStock_Log[WeekIndex],4)=0,"",SUMIFS(T_TTAFStock_Log[TTAF_Qty],T_TTAFStock_Log[Part Name],$A22,T_TTAFStock_Log[WeekIndex],4))</f>
        <v/>
      </c>
      <c r="F22" s="12">
        <f>IF(COUNTIFS(T_TTAFStock_Log[Part Name],$A22,T_TTAFStock_Log[WeekIndex],5)=0,"",SUMIFS(T_TTAFStock_Log[TTAF_Qty],T_TTAFStock_Log[Part Name],$A22,T_TTAFStock_Log[WeekIndex],5))</f>
        <v/>
      </c>
      <c r="G22" s="12">
        <f>IF(COUNTIFS(T_TTAFStock_Log[Part Name],$A22,T_TTAFStock_Log[WeekIndex],6)=0,"",SUMIFS(T_TTAFStock_Log[TTAF_Qty],T_TTAFStock_Log[Part Name],$A22,T_TTAFStock_Log[WeekIndex],6))</f>
        <v/>
      </c>
      <c r="H22" s="12">
        <f>IF(COUNTIFS(T_TTAFStock_Log[Part Name],$A22,T_TTAFStock_Log[WeekIndex],7)=0,"",SUMIFS(T_TTAFStock_Log[TTAF_Qty],T_TTAFStock_Log[Part Name],$A22,T_TTAFStock_Log[WeekIndex],7))</f>
        <v/>
      </c>
      <c r="I22" s="12">
        <f>IF(COUNTIFS(T_TTAFStock_Log[Part Name],$A22,T_TTAFStock_Log[WeekIndex],8)=0,"",SUMIFS(T_TTAFStock_Log[TTAF_Qty],T_TTAFStock_Log[Part Name],$A22,T_TTAFStock_Log[WeekIndex],8))</f>
        <v/>
      </c>
      <c r="J22" s="12">
        <f>IF(COUNTIFS(T_TTAFStock_Log[Part Name],$A22,T_TTAFStock_Log[WeekIndex],9)=0,"",SUMIFS(T_TTAFStock_Log[TTAF_Qty],T_TTAFStock_Log[Part Name],$A22,T_TTAFStock_Log[WeekIndex],9))</f>
        <v/>
      </c>
      <c r="K22" s="12">
        <f>IF(COUNTIFS(T_TTAFStock_Log[Part Name],$A22,T_TTAFStock_Log[WeekIndex],10)=0,"",SUMIFS(T_TTAFStock_Log[TTAF_Qty],T_TTAFStock_Log[Part Name],$A22,T_TTAFStock_Log[WeekIndex],10))</f>
        <v/>
      </c>
      <c r="L22" s="12">
        <f>IF(COUNTIFS(T_TTAFStock_Log[Part Name],$A22,T_TTAFStock_Log[WeekIndex],11)=0,"",SUMIFS(T_TTAFStock_Log[TTAF_Qty],T_TTAFStock_Log[Part Name],$A22,T_TTAFStock_Log[WeekIndex],11))</f>
        <v/>
      </c>
      <c r="M22" s="12">
        <f>IF(COUNTIFS(T_TTAFStock_Log[Part Name],$A22,T_TTAFStock_Log[WeekIndex],12)=0,"",SUMIFS(T_TTAFStock_Log[TTAF_Qty],T_TTAFStock_Log[Part Name],$A22,T_TTAFStock_Log[WeekIndex],12))</f>
        <v/>
      </c>
      <c r="N22" s="12">
        <f>IF(COUNTIFS(T_TTAFStock_Log[Part Name],$A22,T_TTAFStock_Log[WeekIndex],13)=0,"",SUMIFS(T_TTAFStock_Log[TTAF_Qty],T_TTAFStock_Log[Part Name],$A22,T_TTAFStock_Log[WeekIndex],13))</f>
        <v/>
      </c>
      <c r="O22" s="12">
        <f>IF(COUNTIFS(T_TTAFStock_Log[Part Name],$A22,T_TTAFStock_Log[WeekIndex],14)=0,"",SUMIFS(T_TTAFStock_Log[TTAF_Qty],T_TTAFStock_Log[Part Name],$A22,T_TTAFStock_Log[WeekIndex],14))</f>
        <v/>
      </c>
      <c r="P22" s="12">
        <f>IF(COUNTIFS(T_TTAFStock_Log[Part Name],$A22,T_TTAFStock_Log[WeekIndex],15)=0,"",SUMIFS(T_TTAFStock_Log[TTAF_Qty],T_TTAFStock_Log[Part Name],$A22,T_TTAFStock_Log[WeekIndex],15))</f>
        <v/>
      </c>
      <c r="Q22" s="12">
        <f>IF(COUNTIFS(T_TTAFStock_Log[Part Name],$A22,T_TTAFStock_Log[WeekIndex],16)=0,"",SUMIFS(T_TTAFStock_Log[TTAF_Qty],T_TTAFStock_Log[Part Name],$A22,T_TTAFStock_Log[WeekIndex],16))</f>
        <v/>
      </c>
      <c r="R22" s="12">
        <f>IF(COUNTIFS(T_TTAFStock_Log[Part Name],$A22,T_TTAFStock_Log[WeekIndex],17)=0,"",SUMIFS(T_TTAFStock_Log[TTAF_Qty],T_TTAFStock_Log[Part Name],$A22,T_TTAFStock_Log[WeekIndex],17))</f>
        <v/>
      </c>
      <c r="S22" s="12">
        <f>IF(COUNTIFS(T_TTAFStock_Log[Part Name],$A22,T_TTAFStock_Log[WeekIndex],18)=0,"",SUMIFS(T_TTAFStock_Log[TTAF_Qty],T_TTAFStock_Log[Part Name],$A22,T_TTAFStock_Log[WeekIndex],18))</f>
        <v/>
      </c>
      <c r="T22" s="12">
        <f>IF(COUNTIFS(T_TTAFStock_Log[Part Name],$A22,T_TTAFStock_Log[WeekIndex],19)=0,"",SUMIFS(T_TTAFStock_Log[TTAF_Qty],T_TTAFStock_Log[Part Name],$A22,T_TTAFStock_Log[WeekIndex],19))</f>
        <v/>
      </c>
      <c r="U22" s="12">
        <f>IF(COUNTIFS(T_TTAFStock_Log[Part Name],$A22,T_TTAFStock_Log[WeekIndex],20)=0,"",SUMIFS(T_TTAFStock_Log[TTAF_Qty],T_TTAFStock_Log[Part Name],$A22,T_TTAFStock_Log[WeekIndex],20))</f>
        <v/>
      </c>
      <c r="V22" s="12">
        <f>IF(COUNTIFS(T_TTAFStock_Log[Part Name],$A22,T_TTAFStock_Log[WeekIndex],21)=0,"",SUMIFS(T_TTAFStock_Log[TTAF_Qty],T_TTAFStock_Log[Part Name],$A22,T_TTAFStock_Log[WeekIndex],21))</f>
        <v/>
      </c>
      <c r="W22" s="12">
        <f>IF(COUNTIFS(T_TTAFStock_Log[Part Name],$A22,T_TTAFStock_Log[WeekIndex],22)=0,"",SUMIFS(T_TTAFStock_Log[TTAF_Qty],T_TTAFStock_Log[Part Name],$A22,T_TTAFStock_Log[WeekIndex],22))</f>
        <v/>
      </c>
      <c r="X22" s="12">
        <f>IF(COUNTIFS(T_TTAFStock_Log[Part Name],$A22,T_TTAFStock_Log[WeekIndex],23)=0,"",SUMIFS(T_TTAFStock_Log[TTAF_Qty],T_TTAFStock_Log[Part Name],$A22,T_TTAFStock_Log[WeekIndex],23))</f>
        <v/>
      </c>
      <c r="Y22" s="12">
        <f>IF(COUNTIFS(T_TTAFStock_Log[Part Name],$A22,T_TTAFStock_Log[WeekIndex],24)=0,"",SUMIFS(T_TTAFStock_Log[TTAF_Qty],T_TTAFStock_Log[Part Name],$A22,T_TTAFStock_Log[WeekIndex],24))</f>
        <v/>
      </c>
      <c r="Z22" s="12">
        <f>IF(COUNTIFS(T_TTAFStock_Log[Part Name],$A22,T_TTAFStock_Log[WeekIndex],25)=0,"",SUMIFS(T_TTAFStock_Log[TTAF_Qty],T_TTAFStock_Log[Part Name],$A22,T_TTAFStock_Log[WeekIndex],25))</f>
        <v/>
      </c>
      <c r="AA22" s="12">
        <f>IF(COUNTIFS(T_TTAFStock_Log[Part Name],$A22,T_TTAFStock_Log[WeekIndex],26)=0,"",SUMIFS(T_TTAFStock_Log[TTAF_Qty],T_TTAFStock_Log[Part Name],$A22,T_TTAFStock_Log[WeekIndex],26))</f>
        <v/>
      </c>
      <c r="AB22" s="12">
        <f>IF(COUNTIFS(T_TTAFStock_Log[Part Name],$A22,T_TTAFStock_Log[WeekIndex],27)=0,"",SUMIFS(T_TTAFStock_Log[TTAF_Qty],T_TTAFStock_Log[Part Name],$A22,T_TTAFStock_Log[WeekIndex],27))</f>
        <v/>
      </c>
      <c r="AC22" s="12">
        <f>IF(COUNTIFS(T_TTAFStock_Log[Part Name],$A22,T_TTAFStock_Log[WeekIndex],28)=0,"",SUMIFS(T_TTAFStock_Log[TTAF_Qty],T_TTAFStock_Log[Part Name],$A22,T_TTAFStock_Log[WeekIndex],28))</f>
        <v/>
      </c>
      <c r="AD22" s="12">
        <f>IF(COUNTIFS(T_TTAFStock_Log[Part Name],$A22,T_TTAFStock_Log[WeekIndex],29)=0,"",SUMIFS(T_TTAFStock_Log[TTAF_Qty],T_TTAFStock_Log[Part Name],$A22,T_TTAFStock_Log[WeekIndex],29))</f>
        <v/>
      </c>
      <c r="AE22" s="12">
        <f>IF(COUNTIFS(T_TTAFStock_Log[Part Name],$A22,T_TTAFStock_Log[WeekIndex],30)=0,"",SUMIFS(T_TTAFStock_Log[TTAF_Qty],T_TTAFStock_Log[Part Name],$A22,T_TTAFStock_Log[WeekIndex],30))</f>
        <v/>
      </c>
      <c r="AF22" s="12">
        <f>IF(COUNTIFS(T_TTAFStock_Log[Part Name],$A22,T_TTAFStock_Log[WeekIndex],31)=0,"",SUMIFS(T_TTAFStock_Log[TTAF_Qty],T_TTAFStock_Log[Part Name],$A22,T_TTAFStock_Log[WeekIndex],31))</f>
        <v/>
      </c>
      <c r="AG22" s="12">
        <f>IF(COUNTIFS(T_TTAFStock_Log[Part Name],$A22,T_TTAFStock_Log[WeekIndex],32)=0,"",SUMIFS(T_TTAFStock_Log[TTAF_Qty],T_TTAFStock_Log[Part Name],$A22,T_TTAFStock_Log[WeekIndex],32))</f>
        <v/>
      </c>
      <c r="AH22" s="12">
        <f>IF(COUNTIFS(T_TTAFStock_Log[Part Name],$A22,T_TTAFStock_Log[WeekIndex],33)=0,"",SUMIFS(T_TTAFStock_Log[TTAF_Qty],T_TTAFStock_Log[Part Name],$A22,T_TTAFStock_Log[WeekIndex],33))</f>
        <v/>
      </c>
      <c r="AI22" s="12">
        <f>IF(COUNTIFS(T_TTAFStock_Log[Part Name],$A22,T_TTAFStock_Log[WeekIndex],34)=0,"",SUMIFS(T_TTAFStock_Log[TTAF_Qty],T_TTAFStock_Log[Part Name],$A22,T_TTAFStock_Log[WeekIndex],34))</f>
        <v/>
      </c>
      <c r="AJ22" s="12">
        <f>IF(COUNTIFS(T_TTAFStock_Log[Part Name],$A22,T_TTAFStock_Log[WeekIndex],35)=0,"",SUMIFS(T_TTAFStock_Log[TTAF_Qty],T_TTAFStock_Log[Part Name],$A22,T_TTAFStock_Log[WeekIndex],35))</f>
        <v/>
      </c>
      <c r="AK22" s="12">
        <f>IF(COUNTIFS(T_TTAFStock_Log[Part Name],$A22,T_TTAFStock_Log[WeekIndex],36)=0,"",SUMIFS(T_TTAFStock_Log[TTAF_Qty],T_TTAFStock_Log[Part Name],$A22,T_TTAFStock_Log[WeekIndex],36))</f>
        <v/>
      </c>
      <c r="AL22" s="12">
        <f>IF(COUNTIFS(T_TTAFStock_Log[Part Name],$A22,T_TTAFStock_Log[WeekIndex],37)=0,"",SUMIFS(T_TTAFStock_Log[TTAF_Qty],T_TTAFStock_Log[Part Name],$A22,T_TTAFStock_Log[WeekIndex],37))</f>
        <v/>
      </c>
      <c r="AM22" s="12">
        <f>IF(COUNTIFS(T_TTAFStock_Log[Part Name],$A22,T_TTAFStock_Log[WeekIndex],38)=0,"",SUMIFS(T_TTAFStock_Log[TTAF_Qty],T_TTAFStock_Log[Part Name],$A22,T_TTAFStock_Log[WeekIndex],38))</f>
        <v/>
      </c>
      <c r="AN22" s="12">
        <f>IF(COUNTIFS(T_TTAFStock_Log[Part Name],$A22,T_TTAFStock_Log[WeekIndex],39)=0,"",SUMIFS(T_TTAFStock_Log[TTAF_Qty],T_TTAFStock_Log[Part Name],$A22,T_TTAFStock_Log[WeekIndex],39))</f>
        <v/>
      </c>
      <c r="AO22" s="12">
        <f>IF(COUNTIFS(T_TTAFStock_Log[Part Name],$A22,T_TTAFStock_Log[WeekIndex],40)=0,"",SUMIFS(T_TTAFStock_Log[TTAF_Qty],T_TTAFStock_Log[Part Name],$A22,T_TTAFStock_Log[WeekIndex],40))</f>
        <v/>
      </c>
      <c r="AP22" s="12">
        <f>IF(COUNTIFS(T_TTAFStock_Log[Part Name],$A22,T_TTAFStock_Log[WeekIndex],41)=0,"",SUMIFS(T_TTAFStock_Log[TTAF_Qty],T_TTAFStock_Log[Part Name],$A22,T_TTAFStock_Log[WeekIndex],41))</f>
        <v/>
      </c>
      <c r="AQ22" s="12">
        <f>IF(COUNTIFS(T_TTAFStock_Log[Part Name],$A22,T_TTAFStock_Log[WeekIndex],42)=0,"",SUMIFS(T_TTAFStock_Log[TTAF_Qty],T_TTAFStock_Log[Part Name],$A22,T_TTAFStock_Log[WeekIndex],42))</f>
        <v/>
      </c>
      <c r="AR22" s="12">
        <f>IF(COUNTIFS(T_TTAFStock_Log[Part Name],$A22,T_TTAFStock_Log[WeekIndex],43)=0,"",SUMIFS(T_TTAFStock_Log[TTAF_Qty],T_TTAFStock_Log[Part Name],$A22,T_TTAFStock_Log[WeekIndex],43))</f>
        <v/>
      </c>
      <c r="AS22" s="12">
        <f>IF(COUNTIFS(T_TTAFStock_Log[Part Name],$A22,T_TTAFStock_Log[WeekIndex],44)=0,"",SUMIFS(T_TTAFStock_Log[TTAF_Qty],T_TTAFStock_Log[Part Name],$A22,T_TTAFStock_Log[WeekIndex],44))</f>
        <v/>
      </c>
      <c r="AT22" s="12">
        <f>IF(COUNTIFS(T_TTAFStock_Log[Part Name],$A22,T_TTAFStock_Log[WeekIndex],45)=0,"",SUMIFS(T_TTAFStock_Log[TTAF_Qty],T_TTAFStock_Log[Part Name],$A22,T_TTAFStock_Log[WeekIndex],45))</f>
        <v/>
      </c>
      <c r="AU22" s="12">
        <f>IF(COUNTIFS(T_TTAFStock_Log[Part Name],$A22,T_TTAFStock_Log[WeekIndex],46)=0,"",SUMIFS(T_TTAFStock_Log[TTAF_Qty],T_TTAFStock_Log[Part Name],$A22,T_TTAFStock_Log[WeekIndex],46))</f>
        <v/>
      </c>
      <c r="AV22" s="12">
        <f>IF(COUNTIFS(T_TTAFStock_Log[Part Name],$A22,T_TTAFStock_Log[WeekIndex],47)=0,"",SUMIFS(T_TTAFStock_Log[TTAF_Qty],T_TTAFStock_Log[Part Name],$A22,T_TTAFStock_Log[WeekIndex],47))</f>
        <v/>
      </c>
      <c r="AW22" s="12">
        <f>IF(COUNTIFS(T_TTAFStock_Log[Part Name],$A22,T_TTAFStock_Log[WeekIndex],48)=0,"",SUMIFS(T_TTAFStock_Log[TTAF_Qty],T_TTAFStock_Log[Part Name],$A22,T_TTAFStock_Log[WeekIndex],48))</f>
        <v/>
      </c>
      <c r="AX22" s="12">
        <f>IF(COUNTIFS(T_TTAFStock_Log[Part Name],$A22,T_TTAFStock_Log[WeekIndex],49)=0,"",SUMIFS(T_TTAFStock_Log[TTAF_Qty],T_TTAFStock_Log[Part Name],$A22,T_TTAFStock_Log[WeekIndex],49))</f>
        <v/>
      </c>
      <c r="AY22" s="12">
        <f>IF(COUNTIFS(T_TTAFStock_Log[Part Name],$A22,T_TTAFStock_Log[WeekIndex],50)=0,"",SUMIFS(T_TTAFStock_Log[TTAF_Qty],T_TTAFStock_Log[Part Name],$A22,T_TTAFStock_Log[WeekIndex],50))</f>
        <v/>
      </c>
      <c r="AZ22" s="12">
        <f>IF(COUNTIFS(T_TTAFStock_Log[Part Name],$A22,T_TTAFStock_Log[WeekIndex],51)=0,"",SUMIFS(T_TTAFStock_Log[TTAF_Qty],T_TTAFStock_Log[Part Name],$A22,T_TTAFStock_Log[WeekIndex],51))</f>
        <v/>
      </c>
      <c r="BA22" s="12">
        <f>IF(COUNTIFS(T_TTAFStock_Log[Part Name],$A22,T_TTAFStock_Log[WeekIndex],52)=0,"",SUMIFS(T_TTAFStock_Log[TTAF_Qty],T_TTAFStock_Log[Part Name],$A22,T_TTAFStock_Log[WeekIndex],52))</f>
        <v/>
      </c>
      <c r="BB22" s="12">
        <f>IF(COUNTIFS(T_TTAFStock_Log[Part Name],$A22,T_TTAFStock_Log[WeekIndex],53)=0,"",SUMIFS(T_TTAFStock_Log[TTAF_Qty],T_TTAFStock_Log[Part Name],$A22,T_TTAFStock_Log[WeekIndex],53))</f>
        <v/>
      </c>
      <c r="BC22" s="12">
        <f>IF(COUNTIFS(T_TTAFStock_Log[Part Name],$A22,T_TTAFStock_Log[WeekIndex],54)=0,"",SUMIFS(T_TTAFStock_Log[TTAF_Qty],T_TTAFStock_Log[Part Name],$A22,T_TTAFStock_Log[WeekIndex],54))</f>
        <v/>
      </c>
      <c r="BD22" s="12">
        <f>IF(COUNTIFS(T_TTAFStock_Log[Part Name],$A22,T_TTAFStock_Log[WeekIndex],55)=0,"",SUMIFS(T_TTAFStock_Log[TTAF_Qty],T_TTAFStock_Log[Part Name],$A22,T_TTAFStock_Log[WeekIndex],55))</f>
        <v/>
      </c>
      <c r="BE22" s="12">
        <f>IF(COUNTIFS(T_TTAFStock_Log[Part Name],$A22,T_TTAFStock_Log[WeekIndex],56)=0,"",SUMIFS(T_TTAFStock_Log[TTAF_Qty],T_TTAFStock_Log[Part Name],$A22,T_TTAFStock_Log[WeekIndex],56))</f>
        <v/>
      </c>
      <c r="BF22" s="12">
        <f>IF(COUNTIFS(T_TTAFStock_Log[Part Name],$A22,T_TTAFStock_Log[WeekIndex],57)=0,"",SUMIFS(T_TTAFStock_Log[TTAF_Qty],T_TTAFStock_Log[Part Name],$A22,T_TTAFStock_Log[WeekIndex],57))</f>
        <v/>
      </c>
      <c r="BG22" s="12">
        <f>IF(COUNTIFS(T_TTAFStock_Log[Part Name],$A22,T_TTAFStock_Log[WeekIndex],58)=0,"",SUMIFS(T_TTAFStock_Log[TTAF_Qty],T_TTAFStock_Log[Part Name],$A22,T_TTAFStock_Log[WeekIndex],58))</f>
        <v/>
      </c>
      <c r="BH22" s="12">
        <f>IF(COUNTIFS(T_TTAFStock_Log[Part Name],$A22,T_TTAFStock_Log[WeekIndex],59)=0,"",SUMIFS(T_TTAFStock_Log[TTAF_Qty],T_TTAFStock_Log[Part Name],$A22,T_TTAFStock_Log[WeekIndex],59))</f>
        <v/>
      </c>
      <c r="BI22" s="12">
        <f>IF(COUNTIFS(T_TTAFStock_Log[Part Name],$A22,T_TTAFStock_Log[WeekIndex],60)=0,"",SUMIFS(T_TTAFStock_Log[TTAF_Qty],T_TTAFStock_Log[Part Name],$A22,T_TTAFStock_Log[WeekIndex],60))</f>
        <v/>
      </c>
      <c r="BJ22" s="12">
        <f>IF(COUNTIFS(T_TTAFStock_Log[Part Name],$A22,T_TTAFStock_Log[WeekIndex],61)=0,"",SUMIFS(T_TTAFStock_Log[TTAF_Qty],T_TTAFStock_Log[Part Name],$A22,T_TTAFStock_Log[WeekIndex],61))</f>
        <v/>
      </c>
      <c r="BK22" s="12">
        <f>IF(COUNTIFS(T_TTAFStock_Log[Part Name],$A22,T_TTAFStock_Log[WeekIndex],62)=0,"",SUMIFS(T_TTAFStock_Log[TTAF_Qty],T_TTAFStock_Log[Part Name],$A22,T_TTAFStock_Log[WeekIndex],62))</f>
        <v/>
      </c>
      <c r="BL22" s="12">
        <f>IF(COUNTIFS(T_TTAFStock_Log[Part Name],$A22,T_TTAFStock_Log[WeekIndex],63)=0,"",SUMIFS(T_TTAFStock_Log[TTAF_Qty],T_TTAFStock_Log[Part Name],$A22,T_TTAFStock_Log[WeekIndex],63))</f>
        <v/>
      </c>
      <c r="BM22" s="12">
        <f>IF(COUNTIFS(T_TTAFStock_Log[Part Name],$A22,T_TTAFStock_Log[WeekIndex],64)=0,"",SUMIFS(T_TTAFStock_Log[TTAF_Qty],T_TTAFStock_Log[Part Name],$A22,T_TTAFStock_Log[WeekIndex],64))</f>
        <v/>
      </c>
      <c r="BN22" s="12">
        <f>IF(COUNTIFS(T_TTAFStock_Log[Part Name],$A22,T_TTAFStock_Log[WeekIndex],65)=0,"",SUMIFS(T_TTAFStock_Log[TTAF_Qty],T_TTAFStock_Log[Part Name],$A22,T_TTAFStock_Log[WeekIndex],65))</f>
        <v/>
      </c>
      <c r="BO22" s="12">
        <f>IF(COUNTIFS(T_TTAFStock_Log[Part Name],$A22,T_TTAFStock_Log[WeekIndex],66)=0,"",SUMIFS(T_TTAFStock_Log[TTAF_Qty],T_TTAFStock_Log[Part Name],$A22,T_TTAFStock_Log[WeekIndex],66))</f>
        <v/>
      </c>
      <c r="BP22" s="12">
        <f>IF(COUNTIFS(T_TTAFStock_Log[Part Name],$A22,T_TTAFStock_Log[WeekIndex],67)=0,"",SUMIFS(T_TTAFStock_Log[TTAF_Qty],T_TTAFStock_Log[Part Name],$A22,T_TTAFStock_Log[WeekIndex],67))</f>
        <v/>
      </c>
      <c r="BQ22" s="12">
        <f>IF(COUNTIFS(T_TTAFStock_Log[Part Name],$A22,T_TTAFStock_Log[WeekIndex],68)=0,"",SUMIFS(T_TTAFStock_Log[TTAF_Qty],T_TTAFStock_Log[Part Name],$A22,T_TTAFStock_Log[WeekIndex],68))</f>
        <v/>
      </c>
      <c r="BR22" s="12">
        <f>IF(COUNTIFS(T_TTAFStock_Log[Part Name],$A22,T_TTAFStock_Log[WeekIndex],69)=0,"",SUMIFS(T_TTAFStock_Log[TTAF_Qty],T_TTAFStock_Log[Part Name],$A22,T_TTAFStock_Log[WeekIndex],69))</f>
        <v/>
      </c>
      <c r="BS22" s="12">
        <f>IF(COUNTIFS(T_TTAFStock_Log[Part Name],$A22,T_TTAFStock_Log[WeekIndex],70)=0,"",SUMIFS(T_TTAFStock_Log[TTAF_Qty],T_TTAFStock_Log[Part Name],$A22,T_TTAFStock_Log[WeekIndex],70))</f>
        <v/>
      </c>
      <c r="BT22" s="12">
        <f>IF(COUNTIFS(T_TTAFStock_Log[Part Name],$A22,T_TTAFStock_Log[WeekIndex],71)=0,"",SUMIFS(T_TTAFStock_Log[TTAF_Qty],T_TTAFStock_Log[Part Name],$A22,T_TTAFStock_Log[WeekIndex],71))</f>
        <v/>
      </c>
      <c r="BU22" s="12">
        <f>IF(COUNTIFS(T_TTAFStock_Log[Part Name],$A22,T_TTAFStock_Log[WeekIndex],72)=0,"",SUMIFS(T_TTAFStock_Log[TTAF_Qty],T_TTAFStock_Log[Part Name],$A22,T_TTAFStock_Log[WeekIndex],72))</f>
        <v/>
      </c>
      <c r="BV22" s="12">
        <f>IF(COUNTIFS(T_TTAFStock_Log[Part Name],$A22,T_TTAFStock_Log[WeekIndex],73)=0,"",SUMIFS(T_TTAFStock_Log[TTAF_Qty],T_TTAFStock_Log[Part Name],$A22,T_TTAFStock_Log[WeekIndex],73))</f>
        <v/>
      </c>
      <c r="BW22" s="12">
        <f>IF(COUNTIFS(T_TTAFStock_Log[Part Name],$A22,T_TTAFStock_Log[WeekIndex],74)=0,"",SUMIFS(T_TTAFStock_Log[TTAF_Qty],T_TTAFStock_Log[Part Name],$A22,T_TTAFStock_Log[WeekIndex],74))</f>
        <v/>
      </c>
      <c r="BX22" s="12">
        <f>IF(COUNTIFS(T_TTAFStock_Log[Part Name],$A22,T_TTAFStock_Log[WeekIndex],75)=0,"",SUMIFS(T_TTAFStock_Log[TTAF_Qty],T_TTAFStock_Log[Part Name],$A22,T_TTAFStock_Log[WeekIndex],75))</f>
        <v/>
      </c>
      <c r="BY22" s="12">
        <f>IF(COUNTIFS(T_TTAFStock_Log[Part Name],$A22,T_TTAFStock_Log[WeekIndex],76)=0,"",SUMIFS(T_TTAFStock_Log[TTAF_Qty],T_TTAFStock_Log[Part Name],$A22,T_TTAFStock_Log[WeekIndex],76))</f>
        <v/>
      </c>
      <c r="BZ22" s="12">
        <f>IF(COUNTIFS(T_TTAFStock_Log[Part Name],$A22,T_TTAFStock_Log[WeekIndex],77)=0,"",SUMIFS(T_TTAFStock_Log[TTAF_Qty],T_TTAFStock_Log[Part Name],$A22,T_TTAFStock_Log[WeekIndex],77))</f>
        <v/>
      </c>
      <c r="CA22" s="12">
        <f>IF(COUNTIFS(T_TTAFStock_Log[Part Name],$A22,T_TTAFStock_Log[WeekIndex],78)=0,"",SUMIFS(T_TTAFStock_Log[TTAF_Qty],T_TTAFStock_Log[Part Name],$A22,T_TTAFStock_Log[WeekIndex],78))</f>
        <v/>
      </c>
      <c r="CB22" s="12">
        <f>IF(COUNTIFS(T_TTAFStock_Log[Part Name],$A22,T_TTAFStock_Log[WeekIndex],79)=0,"",SUMIFS(T_TTAFStock_Log[TTAF_Qty],T_TTAFStock_Log[Part Name],$A22,T_TTAFStock_Log[WeekIndex],79))</f>
        <v/>
      </c>
      <c r="CC22" s="12">
        <f>IF(COUNTIFS(T_TTAFStock_Log[Part Name],$A22,T_TTAFStock_Log[WeekIndex],80)=0,"",SUMIFS(T_TTAFStock_Log[TTAF_Qty],T_TTAFStock_Log[Part Name],$A22,T_TTAFStock_Log[WeekIndex],80))</f>
        <v/>
      </c>
      <c r="CD22" s="12">
        <f>IF(COUNTIFS(T_TTAFStock_Log[Part Name],$A22,T_TTAFStock_Log[WeekIndex],81)=0,"",SUMIFS(T_TTAFStock_Log[TTAF_Qty],T_TTAFStock_Log[Part Name],$A22,T_TTAFStock_Log[WeekIndex],81))</f>
        <v/>
      </c>
      <c r="CE22" s="12">
        <f>IF(COUNTIFS(T_TTAFStock_Log[Part Name],$A22,T_TTAFStock_Log[WeekIndex],82)=0,"",SUMIFS(T_TTAFStock_Log[TTAF_Qty],T_TTAFStock_Log[Part Name],$A22,T_TTAFStock_Log[WeekIndex],82))</f>
        <v/>
      </c>
      <c r="CF22" s="12">
        <f>IF(COUNTIFS(T_TTAFStock_Log[Part Name],$A22,T_TTAFStock_Log[WeekIndex],83)=0,"",SUMIFS(T_TTAFStock_Log[TTAF_Qty],T_TTAFStock_Log[Part Name],$A22,T_TTAFStock_Log[WeekIndex],83))</f>
        <v/>
      </c>
      <c r="CG22" s="12">
        <f>IF(COUNTIFS(T_TTAFStock_Log[Part Name],$A22,T_TTAFStock_Log[WeekIndex],84)=0,"",SUMIFS(T_TTAFStock_Log[TTAF_Qty],T_TTAFStock_Log[Part Name],$A22,T_TTAFStock_Log[WeekIndex],84))</f>
        <v/>
      </c>
      <c r="CH22" s="12">
        <f>IF(COUNTIFS(T_TTAFStock_Log[Part Name],$A22,T_TTAFStock_Log[WeekIndex],85)=0,"",SUMIFS(T_TTAFStock_Log[TTAF_Qty],T_TTAFStock_Log[Part Name],$A22,T_TTAFStock_Log[WeekIndex],85))</f>
        <v/>
      </c>
      <c r="CI22" s="12">
        <f>IF(COUNTIFS(T_TTAFStock_Log[Part Name],$A22,T_TTAFStock_Log[WeekIndex],86)=0,"",SUMIFS(T_TTAFStock_Log[TTAF_Qty],T_TTAFStock_Log[Part Name],$A22,T_TTAFStock_Log[WeekIndex],86))</f>
        <v/>
      </c>
      <c r="CJ22" s="12">
        <f>IF(COUNTIFS(T_TTAFStock_Log[Part Name],$A22,T_TTAFStock_Log[WeekIndex],87)=0,"",SUMIFS(T_TTAFStock_Log[TTAF_Qty],T_TTAFStock_Log[Part Name],$A22,T_TTAFStock_Log[WeekIndex],87))</f>
        <v/>
      </c>
      <c r="CK22" s="12">
        <f>IF(COUNTIFS(T_TTAFStock_Log[Part Name],$A22,T_TTAFStock_Log[WeekIndex],88)=0,"",SUMIFS(T_TTAFStock_Log[TTAF_Qty],T_TTAFStock_Log[Part Name],$A22,T_TTAFStock_Log[WeekIndex],88))</f>
        <v/>
      </c>
      <c r="CL22" s="12">
        <f>IF(COUNTIFS(T_TTAFStock_Log[Part Name],$A22,T_TTAFStock_Log[WeekIndex],89)=0,"",SUMIFS(T_TTAFStock_Log[TTAF_Qty],T_TTAFStock_Log[Part Name],$A22,T_TTAFStock_Log[WeekIndex],89))</f>
        <v/>
      </c>
      <c r="CM22" s="12">
        <f>IF(COUNTIFS(T_TTAFStock_Log[Part Name],$A22,T_TTAFStock_Log[WeekIndex],90)=0,"",SUMIFS(T_TTAFStock_Log[TTAF_Qty],T_TTAFStock_Log[Part Name],$A22,T_TTAFStock_Log[WeekIndex],90))</f>
        <v/>
      </c>
      <c r="CN22" s="12">
        <f>IF(COUNTIFS(T_TTAFStock_Log[Part Name],$A22,T_TTAFStock_Log[WeekIndex],91)=0,"",SUMIFS(T_TTAFStock_Log[TTAF_Qty],T_TTAFStock_Log[Part Name],$A22,T_TTAFStock_Log[WeekIndex],91))</f>
        <v/>
      </c>
      <c r="CO22" s="12">
        <f>IF(COUNTIFS(T_TTAFStock_Log[Part Name],$A22,T_TTAFStock_Log[WeekIndex],92)=0,"",SUMIFS(T_TTAFStock_Log[TTAF_Qty],T_TTAFStock_Log[Part Name],$A22,T_TTAFStock_Log[WeekIndex],92))</f>
        <v/>
      </c>
      <c r="CP22" s="12">
        <f>IF(COUNTIFS(T_TTAFStock_Log[Part Name],$A22,T_TTAFStock_Log[WeekIndex],93)=0,"",SUMIFS(T_TTAFStock_Log[TTAF_Qty],T_TTAFStock_Log[Part Name],$A22,T_TTAFStock_Log[WeekIndex],93))</f>
        <v/>
      </c>
      <c r="CQ22" s="12">
        <f>IF(COUNTIFS(T_TTAFStock_Log[Part Name],$A22,T_TTAFStock_Log[WeekIndex],94)=0,"",SUMIFS(T_TTAFStock_Log[TTAF_Qty],T_TTAFStock_Log[Part Name],$A22,T_TTAFStock_Log[WeekIndex],94))</f>
        <v/>
      </c>
      <c r="CR22" s="12">
        <f>IF(COUNTIFS(T_TTAFStock_Log[Part Name],$A22,T_TTAFStock_Log[WeekIndex],95)=0,"",SUMIFS(T_TTAFStock_Log[TTAF_Qty],T_TTAFStock_Log[Part Name],$A22,T_TTAFStock_Log[WeekIndex],95))</f>
        <v/>
      </c>
      <c r="CS22" s="12">
        <f>IF(COUNTIFS(T_TTAFStock_Log[Part Name],$A22,T_TTAFStock_Log[WeekIndex],96)=0,"",SUMIFS(T_TTAFStock_Log[TTAF_Qty],T_TTAFStock_Log[Part Name],$A22,T_TTAFStock_Log[WeekIndex],96))</f>
        <v/>
      </c>
      <c r="CT22" s="12">
        <f>IF(COUNTIFS(T_TTAFStock_Log[Part Name],$A22,T_TTAFStock_Log[WeekIndex],97)=0,"",SUMIFS(T_TTAFStock_Log[TTAF_Qty],T_TTAFStock_Log[Part Name],$A22,T_TTAFStock_Log[WeekIndex],97))</f>
        <v/>
      </c>
      <c r="CU22" s="12">
        <f>IF(COUNTIFS(T_TTAFStock_Log[Part Name],$A22,T_TTAFStock_Log[WeekIndex],98)=0,"",SUMIFS(T_TTAFStock_Log[TTAF_Qty],T_TTAFStock_Log[Part Name],$A22,T_TTAFStock_Log[WeekIndex],98))</f>
        <v/>
      </c>
      <c r="CV22" s="12">
        <f>IF(COUNTIFS(T_TTAFStock_Log[Part Name],$A22,T_TTAFStock_Log[WeekIndex],99)=0,"",SUMIFS(T_TTAFStock_Log[TTAF_Qty],T_TTAFStock_Log[Part Name],$A22,T_TTAFStock_Log[WeekIndex],99))</f>
        <v/>
      </c>
      <c r="CW22" s="12">
        <f>IF(COUNTIFS(T_TTAFStock_Log[Part Name],$A22,T_TTAFStock_Log[WeekIndex],100)=0,"",SUMIFS(T_TTAFStock_Log[TTAF_Qty],T_TTAFStock_Log[Part Name],$A22,T_TTAFStock_Log[WeekIndex],100))</f>
        <v/>
      </c>
      <c r="CX22" s="12">
        <f>IF(COUNTIFS(T_TTAFStock_Log[Part Name],$A22,T_TTAFStock_Log[WeekIndex],101)=0,"",SUMIFS(T_TTAFStock_Log[TTAF_Qty],T_TTAFStock_Log[Part Name],$A22,T_TTAFStock_Log[WeekIndex],101))</f>
        <v/>
      </c>
      <c r="CY22" s="12">
        <f>IF(COUNTIFS(T_TTAFStock_Log[Part Name],$A22,T_TTAFStock_Log[WeekIndex],102)=0,"",SUMIFS(T_TTAFStock_Log[TTAF_Qty],T_TTAFStock_Log[Part Name],$A22,T_TTAFStock_Log[WeekIndex],102))</f>
        <v/>
      </c>
      <c r="CZ22" s="12">
        <f>IF(COUNTIFS(T_TTAFStock_Log[Part Name],$A22,T_TTAFStock_Log[WeekIndex],103)=0,"",SUMIFS(T_TTAFStock_Log[TTAF_Qty],T_TTAFStock_Log[Part Name],$A22,T_TTAFStock_Log[WeekIndex],103))</f>
        <v/>
      </c>
      <c r="DA22" s="12">
        <f>IF(COUNTIFS(T_TTAFStock_Log[Part Name],$A22,T_TTAFStock_Log[WeekIndex],104)=0,"",SUMIFS(T_TTAFStock_Log[TTAF_Qty],T_TTAFStock_Log[Part Name],$A22,T_TTAFStock_Log[WeekIndex],104))</f>
        <v/>
      </c>
    </row>
    <row r="23">
      <c r="A23" s="13" t="inlineStr">
        <is>
          <t>CHEM-1600</t>
        </is>
      </c>
      <c r="B23" s="13">
        <f>IF(COUNTIFS(T_TTAFStock_Log[Part Name],$A23,T_TTAFStock_Log[WeekIndex],1)=0,"",SUMIFS(T_TTAFStock_Log[TTAF_Qty],T_TTAFStock_Log[Part Name],$A23,T_TTAFStock_Log[WeekIndex],1))</f>
        <v/>
      </c>
      <c r="C23" s="13">
        <f>IF(COUNTIFS(T_TTAFStock_Log[Part Name],$A23,T_TTAFStock_Log[WeekIndex],2)=0,"",SUMIFS(T_TTAFStock_Log[TTAF_Qty],T_TTAFStock_Log[Part Name],$A23,T_TTAFStock_Log[WeekIndex],2))</f>
        <v/>
      </c>
      <c r="D23" s="13">
        <f>IF(COUNTIFS(T_TTAFStock_Log[Part Name],$A23,T_TTAFStock_Log[WeekIndex],3)=0,"",SUMIFS(T_TTAFStock_Log[TTAF_Qty],T_TTAFStock_Log[Part Name],$A23,T_TTAFStock_Log[WeekIndex],3))</f>
        <v/>
      </c>
      <c r="E23" s="13">
        <f>IF(COUNTIFS(T_TTAFStock_Log[Part Name],$A23,T_TTAFStock_Log[WeekIndex],4)=0,"",SUMIFS(T_TTAFStock_Log[TTAF_Qty],T_TTAFStock_Log[Part Name],$A23,T_TTAFStock_Log[WeekIndex],4))</f>
        <v/>
      </c>
      <c r="F23" s="13">
        <f>IF(COUNTIFS(T_TTAFStock_Log[Part Name],$A23,T_TTAFStock_Log[WeekIndex],5)=0,"",SUMIFS(T_TTAFStock_Log[TTAF_Qty],T_TTAFStock_Log[Part Name],$A23,T_TTAFStock_Log[WeekIndex],5))</f>
        <v/>
      </c>
      <c r="G23" s="13">
        <f>IF(COUNTIFS(T_TTAFStock_Log[Part Name],$A23,T_TTAFStock_Log[WeekIndex],6)=0,"",SUMIFS(T_TTAFStock_Log[TTAF_Qty],T_TTAFStock_Log[Part Name],$A23,T_TTAFStock_Log[WeekIndex],6))</f>
        <v/>
      </c>
      <c r="H23" s="13">
        <f>IF(COUNTIFS(T_TTAFStock_Log[Part Name],$A23,T_TTAFStock_Log[WeekIndex],7)=0,"",SUMIFS(T_TTAFStock_Log[TTAF_Qty],T_TTAFStock_Log[Part Name],$A23,T_TTAFStock_Log[WeekIndex],7))</f>
        <v/>
      </c>
      <c r="I23" s="13">
        <f>IF(COUNTIFS(T_TTAFStock_Log[Part Name],$A23,T_TTAFStock_Log[WeekIndex],8)=0,"",SUMIFS(T_TTAFStock_Log[TTAF_Qty],T_TTAFStock_Log[Part Name],$A23,T_TTAFStock_Log[WeekIndex],8))</f>
        <v/>
      </c>
      <c r="J23" s="13">
        <f>IF(COUNTIFS(T_TTAFStock_Log[Part Name],$A23,T_TTAFStock_Log[WeekIndex],9)=0,"",SUMIFS(T_TTAFStock_Log[TTAF_Qty],T_TTAFStock_Log[Part Name],$A23,T_TTAFStock_Log[WeekIndex],9))</f>
        <v/>
      </c>
      <c r="K23" s="13">
        <f>IF(COUNTIFS(T_TTAFStock_Log[Part Name],$A23,T_TTAFStock_Log[WeekIndex],10)=0,"",SUMIFS(T_TTAFStock_Log[TTAF_Qty],T_TTAFStock_Log[Part Name],$A23,T_TTAFStock_Log[WeekIndex],10))</f>
        <v/>
      </c>
      <c r="L23" s="13">
        <f>IF(COUNTIFS(T_TTAFStock_Log[Part Name],$A23,T_TTAFStock_Log[WeekIndex],11)=0,"",SUMIFS(T_TTAFStock_Log[TTAF_Qty],T_TTAFStock_Log[Part Name],$A23,T_TTAFStock_Log[WeekIndex],11))</f>
        <v/>
      </c>
      <c r="M23" s="13">
        <f>IF(COUNTIFS(T_TTAFStock_Log[Part Name],$A23,T_TTAFStock_Log[WeekIndex],12)=0,"",SUMIFS(T_TTAFStock_Log[TTAF_Qty],T_TTAFStock_Log[Part Name],$A23,T_TTAFStock_Log[WeekIndex],12))</f>
        <v/>
      </c>
      <c r="N23" s="13">
        <f>IF(COUNTIFS(T_TTAFStock_Log[Part Name],$A23,T_TTAFStock_Log[WeekIndex],13)=0,"",SUMIFS(T_TTAFStock_Log[TTAF_Qty],T_TTAFStock_Log[Part Name],$A23,T_TTAFStock_Log[WeekIndex],13))</f>
        <v/>
      </c>
      <c r="O23" s="13">
        <f>IF(COUNTIFS(T_TTAFStock_Log[Part Name],$A23,T_TTAFStock_Log[WeekIndex],14)=0,"",SUMIFS(T_TTAFStock_Log[TTAF_Qty],T_TTAFStock_Log[Part Name],$A23,T_TTAFStock_Log[WeekIndex],14))</f>
        <v/>
      </c>
      <c r="P23" s="13">
        <f>IF(COUNTIFS(T_TTAFStock_Log[Part Name],$A23,T_TTAFStock_Log[WeekIndex],15)=0,"",SUMIFS(T_TTAFStock_Log[TTAF_Qty],T_TTAFStock_Log[Part Name],$A23,T_TTAFStock_Log[WeekIndex],15))</f>
        <v/>
      </c>
      <c r="Q23" s="13">
        <f>IF(COUNTIFS(T_TTAFStock_Log[Part Name],$A23,T_TTAFStock_Log[WeekIndex],16)=0,"",SUMIFS(T_TTAFStock_Log[TTAF_Qty],T_TTAFStock_Log[Part Name],$A23,T_TTAFStock_Log[WeekIndex],16))</f>
        <v/>
      </c>
      <c r="R23" s="13">
        <f>IF(COUNTIFS(T_TTAFStock_Log[Part Name],$A23,T_TTAFStock_Log[WeekIndex],17)=0,"",SUMIFS(T_TTAFStock_Log[TTAF_Qty],T_TTAFStock_Log[Part Name],$A23,T_TTAFStock_Log[WeekIndex],17))</f>
        <v/>
      </c>
      <c r="S23" s="13">
        <f>IF(COUNTIFS(T_TTAFStock_Log[Part Name],$A23,T_TTAFStock_Log[WeekIndex],18)=0,"",SUMIFS(T_TTAFStock_Log[TTAF_Qty],T_TTAFStock_Log[Part Name],$A23,T_TTAFStock_Log[WeekIndex],18))</f>
        <v/>
      </c>
      <c r="T23" s="13">
        <f>IF(COUNTIFS(T_TTAFStock_Log[Part Name],$A23,T_TTAFStock_Log[WeekIndex],19)=0,"",SUMIFS(T_TTAFStock_Log[TTAF_Qty],T_TTAFStock_Log[Part Name],$A23,T_TTAFStock_Log[WeekIndex],19))</f>
        <v/>
      </c>
      <c r="U23" s="13">
        <f>IF(COUNTIFS(T_TTAFStock_Log[Part Name],$A23,T_TTAFStock_Log[WeekIndex],20)=0,"",SUMIFS(T_TTAFStock_Log[TTAF_Qty],T_TTAFStock_Log[Part Name],$A23,T_TTAFStock_Log[WeekIndex],20))</f>
        <v/>
      </c>
      <c r="V23" s="13">
        <f>IF(COUNTIFS(T_TTAFStock_Log[Part Name],$A23,T_TTAFStock_Log[WeekIndex],21)=0,"",SUMIFS(T_TTAFStock_Log[TTAF_Qty],T_TTAFStock_Log[Part Name],$A23,T_TTAFStock_Log[WeekIndex],21))</f>
        <v/>
      </c>
      <c r="W23" s="13">
        <f>IF(COUNTIFS(T_TTAFStock_Log[Part Name],$A23,T_TTAFStock_Log[WeekIndex],22)=0,"",SUMIFS(T_TTAFStock_Log[TTAF_Qty],T_TTAFStock_Log[Part Name],$A23,T_TTAFStock_Log[WeekIndex],22))</f>
        <v/>
      </c>
      <c r="X23" s="13">
        <f>IF(COUNTIFS(T_TTAFStock_Log[Part Name],$A23,T_TTAFStock_Log[WeekIndex],23)=0,"",SUMIFS(T_TTAFStock_Log[TTAF_Qty],T_TTAFStock_Log[Part Name],$A23,T_TTAFStock_Log[WeekIndex],23))</f>
        <v/>
      </c>
      <c r="Y23" s="13">
        <f>IF(COUNTIFS(T_TTAFStock_Log[Part Name],$A23,T_TTAFStock_Log[WeekIndex],24)=0,"",SUMIFS(T_TTAFStock_Log[TTAF_Qty],T_TTAFStock_Log[Part Name],$A23,T_TTAFStock_Log[WeekIndex],24))</f>
        <v/>
      </c>
      <c r="Z23" s="13">
        <f>IF(COUNTIFS(T_TTAFStock_Log[Part Name],$A23,T_TTAFStock_Log[WeekIndex],25)=0,"",SUMIFS(T_TTAFStock_Log[TTAF_Qty],T_TTAFStock_Log[Part Name],$A23,T_TTAFStock_Log[WeekIndex],25))</f>
        <v/>
      </c>
      <c r="AA23" s="13">
        <f>IF(COUNTIFS(T_TTAFStock_Log[Part Name],$A23,T_TTAFStock_Log[WeekIndex],26)=0,"",SUMIFS(T_TTAFStock_Log[TTAF_Qty],T_TTAFStock_Log[Part Name],$A23,T_TTAFStock_Log[WeekIndex],26))</f>
        <v/>
      </c>
      <c r="AB23" s="13">
        <f>IF(COUNTIFS(T_TTAFStock_Log[Part Name],$A23,T_TTAFStock_Log[WeekIndex],27)=0,"",SUMIFS(T_TTAFStock_Log[TTAF_Qty],T_TTAFStock_Log[Part Name],$A23,T_TTAFStock_Log[WeekIndex],27))</f>
        <v/>
      </c>
      <c r="AC23" s="13">
        <f>IF(COUNTIFS(T_TTAFStock_Log[Part Name],$A23,T_TTAFStock_Log[WeekIndex],28)=0,"",SUMIFS(T_TTAFStock_Log[TTAF_Qty],T_TTAFStock_Log[Part Name],$A23,T_TTAFStock_Log[WeekIndex],28))</f>
        <v/>
      </c>
      <c r="AD23" s="13">
        <f>IF(COUNTIFS(T_TTAFStock_Log[Part Name],$A23,T_TTAFStock_Log[WeekIndex],29)=0,"",SUMIFS(T_TTAFStock_Log[TTAF_Qty],T_TTAFStock_Log[Part Name],$A23,T_TTAFStock_Log[WeekIndex],29))</f>
        <v/>
      </c>
      <c r="AE23" s="13">
        <f>IF(COUNTIFS(T_TTAFStock_Log[Part Name],$A23,T_TTAFStock_Log[WeekIndex],30)=0,"",SUMIFS(T_TTAFStock_Log[TTAF_Qty],T_TTAFStock_Log[Part Name],$A23,T_TTAFStock_Log[WeekIndex],30))</f>
        <v/>
      </c>
      <c r="AF23" s="13">
        <f>IF(COUNTIFS(T_TTAFStock_Log[Part Name],$A23,T_TTAFStock_Log[WeekIndex],31)=0,"",SUMIFS(T_TTAFStock_Log[TTAF_Qty],T_TTAFStock_Log[Part Name],$A23,T_TTAFStock_Log[WeekIndex],31))</f>
        <v/>
      </c>
      <c r="AG23" s="13">
        <f>IF(COUNTIFS(T_TTAFStock_Log[Part Name],$A23,T_TTAFStock_Log[WeekIndex],32)=0,"",SUMIFS(T_TTAFStock_Log[TTAF_Qty],T_TTAFStock_Log[Part Name],$A23,T_TTAFStock_Log[WeekIndex],32))</f>
        <v/>
      </c>
      <c r="AH23" s="13">
        <f>IF(COUNTIFS(T_TTAFStock_Log[Part Name],$A23,T_TTAFStock_Log[WeekIndex],33)=0,"",SUMIFS(T_TTAFStock_Log[TTAF_Qty],T_TTAFStock_Log[Part Name],$A23,T_TTAFStock_Log[WeekIndex],33))</f>
        <v/>
      </c>
      <c r="AI23" s="13">
        <f>IF(COUNTIFS(T_TTAFStock_Log[Part Name],$A23,T_TTAFStock_Log[WeekIndex],34)=0,"",SUMIFS(T_TTAFStock_Log[TTAF_Qty],T_TTAFStock_Log[Part Name],$A23,T_TTAFStock_Log[WeekIndex],34))</f>
        <v/>
      </c>
      <c r="AJ23" s="13">
        <f>IF(COUNTIFS(T_TTAFStock_Log[Part Name],$A23,T_TTAFStock_Log[WeekIndex],35)=0,"",SUMIFS(T_TTAFStock_Log[TTAF_Qty],T_TTAFStock_Log[Part Name],$A23,T_TTAFStock_Log[WeekIndex],35))</f>
        <v/>
      </c>
      <c r="AK23" s="13">
        <f>IF(COUNTIFS(T_TTAFStock_Log[Part Name],$A23,T_TTAFStock_Log[WeekIndex],36)=0,"",SUMIFS(T_TTAFStock_Log[TTAF_Qty],T_TTAFStock_Log[Part Name],$A23,T_TTAFStock_Log[WeekIndex],36))</f>
        <v/>
      </c>
      <c r="AL23" s="13">
        <f>IF(COUNTIFS(T_TTAFStock_Log[Part Name],$A23,T_TTAFStock_Log[WeekIndex],37)=0,"",SUMIFS(T_TTAFStock_Log[TTAF_Qty],T_TTAFStock_Log[Part Name],$A23,T_TTAFStock_Log[WeekIndex],37))</f>
        <v/>
      </c>
      <c r="AM23" s="13">
        <f>IF(COUNTIFS(T_TTAFStock_Log[Part Name],$A23,T_TTAFStock_Log[WeekIndex],38)=0,"",SUMIFS(T_TTAFStock_Log[TTAF_Qty],T_TTAFStock_Log[Part Name],$A23,T_TTAFStock_Log[WeekIndex],38))</f>
        <v/>
      </c>
      <c r="AN23" s="13">
        <f>IF(COUNTIFS(T_TTAFStock_Log[Part Name],$A23,T_TTAFStock_Log[WeekIndex],39)=0,"",SUMIFS(T_TTAFStock_Log[TTAF_Qty],T_TTAFStock_Log[Part Name],$A23,T_TTAFStock_Log[WeekIndex],39))</f>
        <v/>
      </c>
      <c r="AO23" s="13">
        <f>IF(COUNTIFS(T_TTAFStock_Log[Part Name],$A23,T_TTAFStock_Log[WeekIndex],40)=0,"",SUMIFS(T_TTAFStock_Log[TTAF_Qty],T_TTAFStock_Log[Part Name],$A23,T_TTAFStock_Log[WeekIndex],40))</f>
        <v/>
      </c>
      <c r="AP23" s="13">
        <f>IF(COUNTIFS(T_TTAFStock_Log[Part Name],$A23,T_TTAFStock_Log[WeekIndex],41)=0,"",SUMIFS(T_TTAFStock_Log[TTAF_Qty],T_TTAFStock_Log[Part Name],$A23,T_TTAFStock_Log[WeekIndex],41))</f>
        <v/>
      </c>
      <c r="AQ23" s="13">
        <f>IF(COUNTIFS(T_TTAFStock_Log[Part Name],$A23,T_TTAFStock_Log[WeekIndex],42)=0,"",SUMIFS(T_TTAFStock_Log[TTAF_Qty],T_TTAFStock_Log[Part Name],$A23,T_TTAFStock_Log[WeekIndex],42))</f>
        <v/>
      </c>
      <c r="AR23" s="13">
        <f>IF(COUNTIFS(T_TTAFStock_Log[Part Name],$A23,T_TTAFStock_Log[WeekIndex],43)=0,"",SUMIFS(T_TTAFStock_Log[TTAF_Qty],T_TTAFStock_Log[Part Name],$A23,T_TTAFStock_Log[WeekIndex],43))</f>
        <v/>
      </c>
      <c r="AS23" s="13">
        <f>IF(COUNTIFS(T_TTAFStock_Log[Part Name],$A23,T_TTAFStock_Log[WeekIndex],44)=0,"",SUMIFS(T_TTAFStock_Log[TTAF_Qty],T_TTAFStock_Log[Part Name],$A23,T_TTAFStock_Log[WeekIndex],44))</f>
        <v/>
      </c>
      <c r="AT23" s="13">
        <f>IF(COUNTIFS(T_TTAFStock_Log[Part Name],$A23,T_TTAFStock_Log[WeekIndex],45)=0,"",SUMIFS(T_TTAFStock_Log[TTAF_Qty],T_TTAFStock_Log[Part Name],$A23,T_TTAFStock_Log[WeekIndex],45))</f>
        <v/>
      </c>
      <c r="AU23" s="13">
        <f>IF(COUNTIFS(T_TTAFStock_Log[Part Name],$A23,T_TTAFStock_Log[WeekIndex],46)=0,"",SUMIFS(T_TTAFStock_Log[TTAF_Qty],T_TTAFStock_Log[Part Name],$A23,T_TTAFStock_Log[WeekIndex],46))</f>
        <v/>
      </c>
      <c r="AV23" s="13">
        <f>IF(COUNTIFS(T_TTAFStock_Log[Part Name],$A23,T_TTAFStock_Log[WeekIndex],47)=0,"",SUMIFS(T_TTAFStock_Log[TTAF_Qty],T_TTAFStock_Log[Part Name],$A23,T_TTAFStock_Log[WeekIndex],47))</f>
        <v/>
      </c>
      <c r="AW23" s="13">
        <f>IF(COUNTIFS(T_TTAFStock_Log[Part Name],$A23,T_TTAFStock_Log[WeekIndex],48)=0,"",SUMIFS(T_TTAFStock_Log[TTAF_Qty],T_TTAFStock_Log[Part Name],$A23,T_TTAFStock_Log[WeekIndex],48))</f>
        <v/>
      </c>
      <c r="AX23" s="13">
        <f>IF(COUNTIFS(T_TTAFStock_Log[Part Name],$A23,T_TTAFStock_Log[WeekIndex],49)=0,"",SUMIFS(T_TTAFStock_Log[TTAF_Qty],T_TTAFStock_Log[Part Name],$A23,T_TTAFStock_Log[WeekIndex],49))</f>
        <v/>
      </c>
      <c r="AY23" s="13">
        <f>IF(COUNTIFS(T_TTAFStock_Log[Part Name],$A23,T_TTAFStock_Log[WeekIndex],50)=0,"",SUMIFS(T_TTAFStock_Log[TTAF_Qty],T_TTAFStock_Log[Part Name],$A23,T_TTAFStock_Log[WeekIndex],50))</f>
        <v/>
      </c>
      <c r="AZ23" s="13">
        <f>IF(COUNTIFS(T_TTAFStock_Log[Part Name],$A23,T_TTAFStock_Log[WeekIndex],51)=0,"",SUMIFS(T_TTAFStock_Log[TTAF_Qty],T_TTAFStock_Log[Part Name],$A23,T_TTAFStock_Log[WeekIndex],51))</f>
        <v/>
      </c>
      <c r="BA23" s="13">
        <f>IF(COUNTIFS(T_TTAFStock_Log[Part Name],$A23,T_TTAFStock_Log[WeekIndex],52)=0,"",SUMIFS(T_TTAFStock_Log[TTAF_Qty],T_TTAFStock_Log[Part Name],$A23,T_TTAFStock_Log[WeekIndex],52))</f>
        <v/>
      </c>
      <c r="BB23" s="13">
        <f>IF(COUNTIFS(T_TTAFStock_Log[Part Name],$A23,T_TTAFStock_Log[WeekIndex],53)=0,"",SUMIFS(T_TTAFStock_Log[TTAF_Qty],T_TTAFStock_Log[Part Name],$A23,T_TTAFStock_Log[WeekIndex],53))</f>
        <v/>
      </c>
      <c r="BC23" s="13">
        <f>IF(COUNTIFS(T_TTAFStock_Log[Part Name],$A23,T_TTAFStock_Log[WeekIndex],54)=0,"",SUMIFS(T_TTAFStock_Log[TTAF_Qty],T_TTAFStock_Log[Part Name],$A23,T_TTAFStock_Log[WeekIndex],54))</f>
        <v/>
      </c>
      <c r="BD23" s="13">
        <f>IF(COUNTIFS(T_TTAFStock_Log[Part Name],$A23,T_TTAFStock_Log[WeekIndex],55)=0,"",SUMIFS(T_TTAFStock_Log[TTAF_Qty],T_TTAFStock_Log[Part Name],$A23,T_TTAFStock_Log[WeekIndex],55))</f>
        <v/>
      </c>
      <c r="BE23" s="13">
        <f>IF(COUNTIFS(T_TTAFStock_Log[Part Name],$A23,T_TTAFStock_Log[WeekIndex],56)=0,"",SUMIFS(T_TTAFStock_Log[TTAF_Qty],T_TTAFStock_Log[Part Name],$A23,T_TTAFStock_Log[WeekIndex],56))</f>
        <v/>
      </c>
      <c r="BF23" s="13">
        <f>IF(COUNTIFS(T_TTAFStock_Log[Part Name],$A23,T_TTAFStock_Log[WeekIndex],57)=0,"",SUMIFS(T_TTAFStock_Log[TTAF_Qty],T_TTAFStock_Log[Part Name],$A23,T_TTAFStock_Log[WeekIndex],57))</f>
        <v/>
      </c>
      <c r="BG23" s="13">
        <f>IF(COUNTIFS(T_TTAFStock_Log[Part Name],$A23,T_TTAFStock_Log[WeekIndex],58)=0,"",SUMIFS(T_TTAFStock_Log[TTAF_Qty],T_TTAFStock_Log[Part Name],$A23,T_TTAFStock_Log[WeekIndex],58))</f>
        <v/>
      </c>
      <c r="BH23" s="13">
        <f>IF(COUNTIFS(T_TTAFStock_Log[Part Name],$A23,T_TTAFStock_Log[WeekIndex],59)=0,"",SUMIFS(T_TTAFStock_Log[TTAF_Qty],T_TTAFStock_Log[Part Name],$A23,T_TTAFStock_Log[WeekIndex],59))</f>
        <v/>
      </c>
      <c r="BI23" s="13">
        <f>IF(COUNTIFS(T_TTAFStock_Log[Part Name],$A23,T_TTAFStock_Log[WeekIndex],60)=0,"",SUMIFS(T_TTAFStock_Log[TTAF_Qty],T_TTAFStock_Log[Part Name],$A23,T_TTAFStock_Log[WeekIndex],60))</f>
        <v/>
      </c>
      <c r="BJ23" s="13">
        <f>IF(COUNTIFS(T_TTAFStock_Log[Part Name],$A23,T_TTAFStock_Log[WeekIndex],61)=0,"",SUMIFS(T_TTAFStock_Log[TTAF_Qty],T_TTAFStock_Log[Part Name],$A23,T_TTAFStock_Log[WeekIndex],61))</f>
        <v/>
      </c>
      <c r="BK23" s="13">
        <f>IF(COUNTIFS(T_TTAFStock_Log[Part Name],$A23,T_TTAFStock_Log[WeekIndex],62)=0,"",SUMIFS(T_TTAFStock_Log[TTAF_Qty],T_TTAFStock_Log[Part Name],$A23,T_TTAFStock_Log[WeekIndex],62))</f>
        <v/>
      </c>
      <c r="BL23" s="13">
        <f>IF(COUNTIFS(T_TTAFStock_Log[Part Name],$A23,T_TTAFStock_Log[WeekIndex],63)=0,"",SUMIFS(T_TTAFStock_Log[TTAF_Qty],T_TTAFStock_Log[Part Name],$A23,T_TTAFStock_Log[WeekIndex],63))</f>
        <v/>
      </c>
      <c r="BM23" s="13">
        <f>IF(COUNTIFS(T_TTAFStock_Log[Part Name],$A23,T_TTAFStock_Log[WeekIndex],64)=0,"",SUMIFS(T_TTAFStock_Log[TTAF_Qty],T_TTAFStock_Log[Part Name],$A23,T_TTAFStock_Log[WeekIndex],64))</f>
        <v/>
      </c>
      <c r="BN23" s="13">
        <f>IF(COUNTIFS(T_TTAFStock_Log[Part Name],$A23,T_TTAFStock_Log[WeekIndex],65)=0,"",SUMIFS(T_TTAFStock_Log[TTAF_Qty],T_TTAFStock_Log[Part Name],$A23,T_TTAFStock_Log[WeekIndex],65))</f>
        <v/>
      </c>
      <c r="BO23" s="13">
        <f>IF(COUNTIFS(T_TTAFStock_Log[Part Name],$A23,T_TTAFStock_Log[WeekIndex],66)=0,"",SUMIFS(T_TTAFStock_Log[TTAF_Qty],T_TTAFStock_Log[Part Name],$A23,T_TTAFStock_Log[WeekIndex],66))</f>
        <v/>
      </c>
      <c r="BP23" s="13">
        <f>IF(COUNTIFS(T_TTAFStock_Log[Part Name],$A23,T_TTAFStock_Log[WeekIndex],67)=0,"",SUMIFS(T_TTAFStock_Log[TTAF_Qty],T_TTAFStock_Log[Part Name],$A23,T_TTAFStock_Log[WeekIndex],67))</f>
        <v/>
      </c>
      <c r="BQ23" s="13">
        <f>IF(COUNTIFS(T_TTAFStock_Log[Part Name],$A23,T_TTAFStock_Log[WeekIndex],68)=0,"",SUMIFS(T_TTAFStock_Log[TTAF_Qty],T_TTAFStock_Log[Part Name],$A23,T_TTAFStock_Log[WeekIndex],68))</f>
        <v/>
      </c>
      <c r="BR23" s="13">
        <f>IF(COUNTIFS(T_TTAFStock_Log[Part Name],$A23,T_TTAFStock_Log[WeekIndex],69)=0,"",SUMIFS(T_TTAFStock_Log[TTAF_Qty],T_TTAFStock_Log[Part Name],$A23,T_TTAFStock_Log[WeekIndex],69))</f>
        <v/>
      </c>
      <c r="BS23" s="13">
        <f>IF(COUNTIFS(T_TTAFStock_Log[Part Name],$A23,T_TTAFStock_Log[WeekIndex],70)=0,"",SUMIFS(T_TTAFStock_Log[TTAF_Qty],T_TTAFStock_Log[Part Name],$A23,T_TTAFStock_Log[WeekIndex],70))</f>
        <v/>
      </c>
      <c r="BT23" s="13">
        <f>IF(COUNTIFS(T_TTAFStock_Log[Part Name],$A23,T_TTAFStock_Log[WeekIndex],71)=0,"",SUMIFS(T_TTAFStock_Log[TTAF_Qty],T_TTAFStock_Log[Part Name],$A23,T_TTAFStock_Log[WeekIndex],71))</f>
        <v/>
      </c>
      <c r="BU23" s="13">
        <f>IF(COUNTIFS(T_TTAFStock_Log[Part Name],$A23,T_TTAFStock_Log[WeekIndex],72)=0,"",SUMIFS(T_TTAFStock_Log[TTAF_Qty],T_TTAFStock_Log[Part Name],$A23,T_TTAFStock_Log[WeekIndex],72))</f>
        <v/>
      </c>
      <c r="BV23" s="13">
        <f>IF(COUNTIFS(T_TTAFStock_Log[Part Name],$A23,T_TTAFStock_Log[WeekIndex],73)=0,"",SUMIFS(T_TTAFStock_Log[TTAF_Qty],T_TTAFStock_Log[Part Name],$A23,T_TTAFStock_Log[WeekIndex],73))</f>
        <v/>
      </c>
      <c r="BW23" s="13">
        <f>IF(COUNTIFS(T_TTAFStock_Log[Part Name],$A23,T_TTAFStock_Log[WeekIndex],74)=0,"",SUMIFS(T_TTAFStock_Log[TTAF_Qty],T_TTAFStock_Log[Part Name],$A23,T_TTAFStock_Log[WeekIndex],74))</f>
        <v/>
      </c>
      <c r="BX23" s="13">
        <f>IF(COUNTIFS(T_TTAFStock_Log[Part Name],$A23,T_TTAFStock_Log[WeekIndex],75)=0,"",SUMIFS(T_TTAFStock_Log[TTAF_Qty],T_TTAFStock_Log[Part Name],$A23,T_TTAFStock_Log[WeekIndex],75))</f>
        <v/>
      </c>
      <c r="BY23" s="13">
        <f>IF(COUNTIFS(T_TTAFStock_Log[Part Name],$A23,T_TTAFStock_Log[WeekIndex],76)=0,"",SUMIFS(T_TTAFStock_Log[TTAF_Qty],T_TTAFStock_Log[Part Name],$A23,T_TTAFStock_Log[WeekIndex],76))</f>
        <v/>
      </c>
      <c r="BZ23" s="13">
        <f>IF(COUNTIFS(T_TTAFStock_Log[Part Name],$A23,T_TTAFStock_Log[WeekIndex],77)=0,"",SUMIFS(T_TTAFStock_Log[TTAF_Qty],T_TTAFStock_Log[Part Name],$A23,T_TTAFStock_Log[WeekIndex],77))</f>
        <v/>
      </c>
      <c r="CA23" s="13">
        <f>IF(COUNTIFS(T_TTAFStock_Log[Part Name],$A23,T_TTAFStock_Log[WeekIndex],78)=0,"",SUMIFS(T_TTAFStock_Log[TTAF_Qty],T_TTAFStock_Log[Part Name],$A23,T_TTAFStock_Log[WeekIndex],78))</f>
        <v/>
      </c>
      <c r="CB23" s="13">
        <f>IF(COUNTIFS(T_TTAFStock_Log[Part Name],$A23,T_TTAFStock_Log[WeekIndex],79)=0,"",SUMIFS(T_TTAFStock_Log[TTAF_Qty],T_TTAFStock_Log[Part Name],$A23,T_TTAFStock_Log[WeekIndex],79))</f>
        <v/>
      </c>
      <c r="CC23" s="13">
        <f>IF(COUNTIFS(T_TTAFStock_Log[Part Name],$A23,T_TTAFStock_Log[WeekIndex],80)=0,"",SUMIFS(T_TTAFStock_Log[TTAF_Qty],T_TTAFStock_Log[Part Name],$A23,T_TTAFStock_Log[WeekIndex],80))</f>
        <v/>
      </c>
      <c r="CD23" s="13">
        <f>IF(COUNTIFS(T_TTAFStock_Log[Part Name],$A23,T_TTAFStock_Log[WeekIndex],81)=0,"",SUMIFS(T_TTAFStock_Log[TTAF_Qty],T_TTAFStock_Log[Part Name],$A23,T_TTAFStock_Log[WeekIndex],81))</f>
        <v/>
      </c>
      <c r="CE23" s="13">
        <f>IF(COUNTIFS(T_TTAFStock_Log[Part Name],$A23,T_TTAFStock_Log[WeekIndex],82)=0,"",SUMIFS(T_TTAFStock_Log[TTAF_Qty],T_TTAFStock_Log[Part Name],$A23,T_TTAFStock_Log[WeekIndex],82))</f>
        <v/>
      </c>
      <c r="CF23" s="13">
        <f>IF(COUNTIFS(T_TTAFStock_Log[Part Name],$A23,T_TTAFStock_Log[WeekIndex],83)=0,"",SUMIFS(T_TTAFStock_Log[TTAF_Qty],T_TTAFStock_Log[Part Name],$A23,T_TTAFStock_Log[WeekIndex],83))</f>
        <v/>
      </c>
      <c r="CG23" s="13">
        <f>IF(COUNTIFS(T_TTAFStock_Log[Part Name],$A23,T_TTAFStock_Log[WeekIndex],84)=0,"",SUMIFS(T_TTAFStock_Log[TTAF_Qty],T_TTAFStock_Log[Part Name],$A23,T_TTAFStock_Log[WeekIndex],84))</f>
        <v/>
      </c>
      <c r="CH23" s="13">
        <f>IF(COUNTIFS(T_TTAFStock_Log[Part Name],$A23,T_TTAFStock_Log[WeekIndex],85)=0,"",SUMIFS(T_TTAFStock_Log[TTAF_Qty],T_TTAFStock_Log[Part Name],$A23,T_TTAFStock_Log[WeekIndex],85))</f>
        <v/>
      </c>
      <c r="CI23" s="13">
        <f>IF(COUNTIFS(T_TTAFStock_Log[Part Name],$A23,T_TTAFStock_Log[WeekIndex],86)=0,"",SUMIFS(T_TTAFStock_Log[TTAF_Qty],T_TTAFStock_Log[Part Name],$A23,T_TTAFStock_Log[WeekIndex],86))</f>
        <v/>
      </c>
      <c r="CJ23" s="13">
        <f>IF(COUNTIFS(T_TTAFStock_Log[Part Name],$A23,T_TTAFStock_Log[WeekIndex],87)=0,"",SUMIFS(T_TTAFStock_Log[TTAF_Qty],T_TTAFStock_Log[Part Name],$A23,T_TTAFStock_Log[WeekIndex],87))</f>
        <v/>
      </c>
      <c r="CK23" s="13">
        <f>IF(COUNTIFS(T_TTAFStock_Log[Part Name],$A23,T_TTAFStock_Log[WeekIndex],88)=0,"",SUMIFS(T_TTAFStock_Log[TTAF_Qty],T_TTAFStock_Log[Part Name],$A23,T_TTAFStock_Log[WeekIndex],88))</f>
        <v/>
      </c>
      <c r="CL23" s="13">
        <f>IF(COUNTIFS(T_TTAFStock_Log[Part Name],$A23,T_TTAFStock_Log[WeekIndex],89)=0,"",SUMIFS(T_TTAFStock_Log[TTAF_Qty],T_TTAFStock_Log[Part Name],$A23,T_TTAFStock_Log[WeekIndex],89))</f>
        <v/>
      </c>
      <c r="CM23" s="13">
        <f>IF(COUNTIFS(T_TTAFStock_Log[Part Name],$A23,T_TTAFStock_Log[WeekIndex],90)=0,"",SUMIFS(T_TTAFStock_Log[TTAF_Qty],T_TTAFStock_Log[Part Name],$A23,T_TTAFStock_Log[WeekIndex],90))</f>
        <v/>
      </c>
      <c r="CN23" s="13">
        <f>IF(COUNTIFS(T_TTAFStock_Log[Part Name],$A23,T_TTAFStock_Log[WeekIndex],91)=0,"",SUMIFS(T_TTAFStock_Log[TTAF_Qty],T_TTAFStock_Log[Part Name],$A23,T_TTAFStock_Log[WeekIndex],91))</f>
        <v/>
      </c>
      <c r="CO23" s="13">
        <f>IF(COUNTIFS(T_TTAFStock_Log[Part Name],$A23,T_TTAFStock_Log[WeekIndex],92)=0,"",SUMIFS(T_TTAFStock_Log[TTAF_Qty],T_TTAFStock_Log[Part Name],$A23,T_TTAFStock_Log[WeekIndex],92))</f>
        <v/>
      </c>
      <c r="CP23" s="13">
        <f>IF(COUNTIFS(T_TTAFStock_Log[Part Name],$A23,T_TTAFStock_Log[WeekIndex],93)=0,"",SUMIFS(T_TTAFStock_Log[TTAF_Qty],T_TTAFStock_Log[Part Name],$A23,T_TTAFStock_Log[WeekIndex],93))</f>
        <v/>
      </c>
      <c r="CQ23" s="13">
        <f>IF(COUNTIFS(T_TTAFStock_Log[Part Name],$A23,T_TTAFStock_Log[WeekIndex],94)=0,"",SUMIFS(T_TTAFStock_Log[TTAF_Qty],T_TTAFStock_Log[Part Name],$A23,T_TTAFStock_Log[WeekIndex],94))</f>
        <v/>
      </c>
      <c r="CR23" s="13">
        <f>IF(COUNTIFS(T_TTAFStock_Log[Part Name],$A23,T_TTAFStock_Log[WeekIndex],95)=0,"",SUMIFS(T_TTAFStock_Log[TTAF_Qty],T_TTAFStock_Log[Part Name],$A23,T_TTAFStock_Log[WeekIndex],95))</f>
        <v/>
      </c>
      <c r="CS23" s="13">
        <f>IF(COUNTIFS(T_TTAFStock_Log[Part Name],$A23,T_TTAFStock_Log[WeekIndex],96)=0,"",SUMIFS(T_TTAFStock_Log[TTAF_Qty],T_TTAFStock_Log[Part Name],$A23,T_TTAFStock_Log[WeekIndex],96))</f>
        <v/>
      </c>
      <c r="CT23" s="13">
        <f>IF(COUNTIFS(T_TTAFStock_Log[Part Name],$A23,T_TTAFStock_Log[WeekIndex],97)=0,"",SUMIFS(T_TTAFStock_Log[TTAF_Qty],T_TTAFStock_Log[Part Name],$A23,T_TTAFStock_Log[WeekIndex],97))</f>
        <v/>
      </c>
      <c r="CU23" s="13">
        <f>IF(COUNTIFS(T_TTAFStock_Log[Part Name],$A23,T_TTAFStock_Log[WeekIndex],98)=0,"",SUMIFS(T_TTAFStock_Log[TTAF_Qty],T_TTAFStock_Log[Part Name],$A23,T_TTAFStock_Log[WeekIndex],98))</f>
        <v/>
      </c>
      <c r="CV23" s="13">
        <f>IF(COUNTIFS(T_TTAFStock_Log[Part Name],$A23,T_TTAFStock_Log[WeekIndex],99)=0,"",SUMIFS(T_TTAFStock_Log[TTAF_Qty],T_TTAFStock_Log[Part Name],$A23,T_TTAFStock_Log[WeekIndex],99))</f>
        <v/>
      </c>
      <c r="CW23" s="13">
        <f>IF(COUNTIFS(T_TTAFStock_Log[Part Name],$A23,T_TTAFStock_Log[WeekIndex],100)=0,"",SUMIFS(T_TTAFStock_Log[TTAF_Qty],T_TTAFStock_Log[Part Name],$A23,T_TTAFStock_Log[WeekIndex],100))</f>
        <v/>
      </c>
      <c r="CX23" s="13">
        <f>IF(COUNTIFS(T_TTAFStock_Log[Part Name],$A23,T_TTAFStock_Log[WeekIndex],101)=0,"",SUMIFS(T_TTAFStock_Log[TTAF_Qty],T_TTAFStock_Log[Part Name],$A23,T_TTAFStock_Log[WeekIndex],101))</f>
        <v/>
      </c>
      <c r="CY23" s="13">
        <f>IF(COUNTIFS(T_TTAFStock_Log[Part Name],$A23,T_TTAFStock_Log[WeekIndex],102)=0,"",SUMIFS(T_TTAFStock_Log[TTAF_Qty],T_TTAFStock_Log[Part Name],$A23,T_TTAFStock_Log[WeekIndex],102))</f>
        <v/>
      </c>
      <c r="CZ23" s="13">
        <f>IF(COUNTIFS(T_TTAFStock_Log[Part Name],$A23,T_TTAFStock_Log[WeekIndex],103)=0,"",SUMIFS(T_TTAFStock_Log[TTAF_Qty],T_TTAFStock_Log[Part Name],$A23,T_TTAFStock_Log[WeekIndex],103))</f>
        <v/>
      </c>
      <c r="DA23" s="13">
        <f>IF(COUNTIFS(T_TTAFStock_Log[Part Name],$A23,T_TTAFStock_Log[WeekIndex],104)=0,"",SUMIFS(T_TTAFStock_Log[TTAF_Qty],T_TTAFStock_Log[Part Name],$A23,T_TTAFStock_Log[WeekIndex],104))</f>
        <v/>
      </c>
    </row>
    <row r="24">
      <c r="A24" s="12" t="inlineStr">
        <is>
          <t>CHEM-1280</t>
        </is>
      </c>
      <c r="B24" s="12">
        <f>IF(COUNTIFS(T_TTAFStock_Log[Part Name],$A24,T_TTAFStock_Log[WeekIndex],1)=0,"",SUMIFS(T_TTAFStock_Log[TTAF_Qty],T_TTAFStock_Log[Part Name],$A24,T_TTAFStock_Log[WeekIndex],1))</f>
        <v/>
      </c>
      <c r="C24" s="12">
        <f>IF(COUNTIFS(T_TTAFStock_Log[Part Name],$A24,T_TTAFStock_Log[WeekIndex],2)=0,"",SUMIFS(T_TTAFStock_Log[TTAF_Qty],T_TTAFStock_Log[Part Name],$A24,T_TTAFStock_Log[WeekIndex],2))</f>
        <v/>
      </c>
      <c r="D24" s="12">
        <f>IF(COUNTIFS(T_TTAFStock_Log[Part Name],$A24,T_TTAFStock_Log[WeekIndex],3)=0,"",SUMIFS(T_TTAFStock_Log[TTAF_Qty],T_TTAFStock_Log[Part Name],$A24,T_TTAFStock_Log[WeekIndex],3))</f>
        <v/>
      </c>
      <c r="E24" s="12">
        <f>IF(COUNTIFS(T_TTAFStock_Log[Part Name],$A24,T_TTAFStock_Log[WeekIndex],4)=0,"",SUMIFS(T_TTAFStock_Log[TTAF_Qty],T_TTAFStock_Log[Part Name],$A24,T_TTAFStock_Log[WeekIndex],4))</f>
        <v/>
      </c>
      <c r="F24" s="12">
        <f>IF(COUNTIFS(T_TTAFStock_Log[Part Name],$A24,T_TTAFStock_Log[WeekIndex],5)=0,"",SUMIFS(T_TTAFStock_Log[TTAF_Qty],T_TTAFStock_Log[Part Name],$A24,T_TTAFStock_Log[WeekIndex],5))</f>
        <v/>
      </c>
      <c r="G24" s="12">
        <f>IF(COUNTIFS(T_TTAFStock_Log[Part Name],$A24,T_TTAFStock_Log[WeekIndex],6)=0,"",SUMIFS(T_TTAFStock_Log[TTAF_Qty],T_TTAFStock_Log[Part Name],$A24,T_TTAFStock_Log[WeekIndex],6))</f>
        <v/>
      </c>
      <c r="H24" s="12">
        <f>IF(COUNTIFS(T_TTAFStock_Log[Part Name],$A24,T_TTAFStock_Log[WeekIndex],7)=0,"",SUMIFS(T_TTAFStock_Log[TTAF_Qty],T_TTAFStock_Log[Part Name],$A24,T_TTAFStock_Log[WeekIndex],7))</f>
        <v/>
      </c>
      <c r="I24" s="12">
        <f>IF(COUNTIFS(T_TTAFStock_Log[Part Name],$A24,T_TTAFStock_Log[WeekIndex],8)=0,"",SUMIFS(T_TTAFStock_Log[TTAF_Qty],T_TTAFStock_Log[Part Name],$A24,T_TTAFStock_Log[WeekIndex],8))</f>
        <v/>
      </c>
      <c r="J24" s="12">
        <f>IF(COUNTIFS(T_TTAFStock_Log[Part Name],$A24,T_TTAFStock_Log[WeekIndex],9)=0,"",SUMIFS(T_TTAFStock_Log[TTAF_Qty],T_TTAFStock_Log[Part Name],$A24,T_TTAFStock_Log[WeekIndex],9))</f>
        <v/>
      </c>
      <c r="K24" s="12">
        <f>IF(COUNTIFS(T_TTAFStock_Log[Part Name],$A24,T_TTAFStock_Log[WeekIndex],10)=0,"",SUMIFS(T_TTAFStock_Log[TTAF_Qty],T_TTAFStock_Log[Part Name],$A24,T_TTAFStock_Log[WeekIndex],10))</f>
        <v/>
      </c>
      <c r="L24" s="12">
        <f>IF(COUNTIFS(T_TTAFStock_Log[Part Name],$A24,T_TTAFStock_Log[WeekIndex],11)=0,"",SUMIFS(T_TTAFStock_Log[TTAF_Qty],T_TTAFStock_Log[Part Name],$A24,T_TTAFStock_Log[WeekIndex],11))</f>
        <v/>
      </c>
      <c r="M24" s="12">
        <f>IF(COUNTIFS(T_TTAFStock_Log[Part Name],$A24,T_TTAFStock_Log[WeekIndex],12)=0,"",SUMIFS(T_TTAFStock_Log[TTAF_Qty],T_TTAFStock_Log[Part Name],$A24,T_TTAFStock_Log[WeekIndex],12))</f>
        <v/>
      </c>
      <c r="N24" s="12">
        <f>IF(COUNTIFS(T_TTAFStock_Log[Part Name],$A24,T_TTAFStock_Log[WeekIndex],13)=0,"",SUMIFS(T_TTAFStock_Log[TTAF_Qty],T_TTAFStock_Log[Part Name],$A24,T_TTAFStock_Log[WeekIndex],13))</f>
        <v/>
      </c>
      <c r="O24" s="12">
        <f>IF(COUNTIFS(T_TTAFStock_Log[Part Name],$A24,T_TTAFStock_Log[WeekIndex],14)=0,"",SUMIFS(T_TTAFStock_Log[TTAF_Qty],T_TTAFStock_Log[Part Name],$A24,T_TTAFStock_Log[WeekIndex],14))</f>
        <v/>
      </c>
      <c r="P24" s="12">
        <f>IF(COUNTIFS(T_TTAFStock_Log[Part Name],$A24,T_TTAFStock_Log[WeekIndex],15)=0,"",SUMIFS(T_TTAFStock_Log[TTAF_Qty],T_TTAFStock_Log[Part Name],$A24,T_TTAFStock_Log[WeekIndex],15))</f>
        <v/>
      </c>
      <c r="Q24" s="12">
        <f>IF(COUNTIFS(T_TTAFStock_Log[Part Name],$A24,T_TTAFStock_Log[WeekIndex],16)=0,"",SUMIFS(T_TTAFStock_Log[TTAF_Qty],T_TTAFStock_Log[Part Name],$A24,T_TTAFStock_Log[WeekIndex],16))</f>
        <v/>
      </c>
      <c r="R24" s="12">
        <f>IF(COUNTIFS(T_TTAFStock_Log[Part Name],$A24,T_TTAFStock_Log[WeekIndex],17)=0,"",SUMIFS(T_TTAFStock_Log[TTAF_Qty],T_TTAFStock_Log[Part Name],$A24,T_TTAFStock_Log[WeekIndex],17))</f>
        <v/>
      </c>
      <c r="S24" s="12">
        <f>IF(COUNTIFS(T_TTAFStock_Log[Part Name],$A24,T_TTAFStock_Log[WeekIndex],18)=0,"",SUMIFS(T_TTAFStock_Log[TTAF_Qty],T_TTAFStock_Log[Part Name],$A24,T_TTAFStock_Log[WeekIndex],18))</f>
        <v/>
      </c>
      <c r="T24" s="12">
        <f>IF(COUNTIFS(T_TTAFStock_Log[Part Name],$A24,T_TTAFStock_Log[WeekIndex],19)=0,"",SUMIFS(T_TTAFStock_Log[TTAF_Qty],T_TTAFStock_Log[Part Name],$A24,T_TTAFStock_Log[WeekIndex],19))</f>
        <v/>
      </c>
      <c r="U24" s="12">
        <f>IF(COUNTIFS(T_TTAFStock_Log[Part Name],$A24,T_TTAFStock_Log[WeekIndex],20)=0,"",SUMIFS(T_TTAFStock_Log[TTAF_Qty],T_TTAFStock_Log[Part Name],$A24,T_TTAFStock_Log[WeekIndex],20))</f>
        <v/>
      </c>
      <c r="V24" s="12">
        <f>IF(COUNTIFS(T_TTAFStock_Log[Part Name],$A24,T_TTAFStock_Log[WeekIndex],21)=0,"",SUMIFS(T_TTAFStock_Log[TTAF_Qty],T_TTAFStock_Log[Part Name],$A24,T_TTAFStock_Log[WeekIndex],21))</f>
        <v/>
      </c>
      <c r="W24" s="12">
        <f>IF(COUNTIFS(T_TTAFStock_Log[Part Name],$A24,T_TTAFStock_Log[WeekIndex],22)=0,"",SUMIFS(T_TTAFStock_Log[TTAF_Qty],T_TTAFStock_Log[Part Name],$A24,T_TTAFStock_Log[WeekIndex],22))</f>
        <v/>
      </c>
      <c r="X24" s="12">
        <f>IF(COUNTIFS(T_TTAFStock_Log[Part Name],$A24,T_TTAFStock_Log[WeekIndex],23)=0,"",SUMIFS(T_TTAFStock_Log[TTAF_Qty],T_TTAFStock_Log[Part Name],$A24,T_TTAFStock_Log[WeekIndex],23))</f>
        <v/>
      </c>
      <c r="Y24" s="12">
        <f>IF(COUNTIFS(T_TTAFStock_Log[Part Name],$A24,T_TTAFStock_Log[WeekIndex],24)=0,"",SUMIFS(T_TTAFStock_Log[TTAF_Qty],T_TTAFStock_Log[Part Name],$A24,T_TTAFStock_Log[WeekIndex],24))</f>
        <v/>
      </c>
      <c r="Z24" s="12">
        <f>IF(COUNTIFS(T_TTAFStock_Log[Part Name],$A24,T_TTAFStock_Log[WeekIndex],25)=0,"",SUMIFS(T_TTAFStock_Log[TTAF_Qty],T_TTAFStock_Log[Part Name],$A24,T_TTAFStock_Log[WeekIndex],25))</f>
        <v/>
      </c>
      <c r="AA24" s="12">
        <f>IF(COUNTIFS(T_TTAFStock_Log[Part Name],$A24,T_TTAFStock_Log[WeekIndex],26)=0,"",SUMIFS(T_TTAFStock_Log[TTAF_Qty],T_TTAFStock_Log[Part Name],$A24,T_TTAFStock_Log[WeekIndex],26))</f>
        <v/>
      </c>
      <c r="AB24" s="12">
        <f>IF(COUNTIFS(T_TTAFStock_Log[Part Name],$A24,T_TTAFStock_Log[WeekIndex],27)=0,"",SUMIFS(T_TTAFStock_Log[TTAF_Qty],T_TTAFStock_Log[Part Name],$A24,T_TTAFStock_Log[WeekIndex],27))</f>
        <v/>
      </c>
      <c r="AC24" s="12">
        <f>IF(COUNTIFS(T_TTAFStock_Log[Part Name],$A24,T_TTAFStock_Log[WeekIndex],28)=0,"",SUMIFS(T_TTAFStock_Log[TTAF_Qty],T_TTAFStock_Log[Part Name],$A24,T_TTAFStock_Log[WeekIndex],28))</f>
        <v/>
      </c>
      <c r="AD24" s="12">
        <f>IF(COUNTIFS(T_TTAFStock_Log[Part Name],$A24,T_TTAFStock_Log[WeekIndex],29)=0,"",SUMIFS(T_TTAFStock_Log[TTAF_Qty],T_TTAFStock_Log[Part Name],$A24,T_TTAFStock_Log[WeekIndex],29))</f>
        <v/>
      </c>
      <c r="AE24" s="12">
        <f>IF(COUNTIFS(T_TTAFStock_Log[Part Name],$A24,T_TTAFStock_Log[WeekIndex],30)=0,"",SUMIFS(T_TTAFStock_Log[TTAF_Qty],T_TTAFStock_Log[Part Name],$A24,T_TTAFStock_Log[WeekIndex],30))</f>
        <v/>
      </c>
      <c r="AF24" s="12">
        <f>IF(COUNTIFS(T_TTAFStock_Log[Part Name],$A24,T_TTAFStock_Log[WeekIndex],31)=0,"",SUMIFS(T_TTAFStock_Log[TTAF_Qty],T_TTAFStock_Log[Part Name],$A24,T_TTAFStock_Log[WeekIndex],31))</f>
        <v/>
      </c>
      <c r="AG24" s="12">
        <f>IF(COUNTIFS(T_TTAFStock_Log[Part Name],$A24,T_TTAFStock_Log[WeekIndex],32)=0,"",SUMIFS(T_TTAFStock_Log[TTAF_Qty],T_TTAFStock_Log[Part Name],$A24,T_TTAFStock_Log[WeekIndex],32))</f>
        <v/>
      </c>
      <c r="AH24" s="12">
        <f>IF(COUNTIFS(T_TTAFStock_Log[Part Name],$A24,T_TTAFStock_Log[WeekIndex],33)=0,"",SUMIFS(T_TTAFStock_Log[TTAF_Qty],T_TTAFStock_Log[Part Name],$A24,T_TTAFStock_Log[WeekIndex],33))</f>
        <v/>
      </c>
      <c r="AI24" s="12">
        <f>IF(COUNTIFS(T_TTAFStock_Log[Part Name],$A24,T_TTAFStock_Log[WeekIndex],34)=0,"",SUMIFS(T_TTAFStock_Log[TTAF_Qty],T_TTAFStock_Log[Part Name],$A24,T_TTAFStock_Log[WeekIndex],34))</f>
        <v/>
      </c>
      <c r="AJ24" s="12">
        <f>IF(COUNTIFS(T_TTAFStock_Log[Part Name],$A24,T_TTAFStock_Log[WeekIndex],35)=0,"",SUMIFS(T_TTAFStock_Log[TTAF_Qty],T_TTAFStock_Log[Part Name],$A24,T_TTAFStock_Log[WeekIndex],35))</f>
        <v/>
      </c>
      <c r="AK24" s="12">
        <f>IF(COUNTIFS(T_TTAFStock_Log[Part Name],$A24,T_TTAFStock_Log[WeekIndex],36)=0,"",SUMIFS(T_TTAFStock_Log[TTAF_Qty],T_TTAFStock_Log[Part Name],$A24,T_TTAFStock_Log[WeekIndex],36))</f>
        <v/>
      </c>
      <c r="AL24" s="12">
        <f>IF(COUNTIFS(T_TTAFStock_Log[Part Name],$A24,T_TTAFStock_Log[WeekIndex],37)=0,"",SUMIFS(T_TTAFStock_Log[TTAF_Qty],T_TTAFStock_Log[Part Name],$A24,T_TTAFStock_Log[WeekIndex],37))</f>
        <v/>
      </c>
      <c r="AM24" s="12">
        <f>IF(COUNTIFS(T_TTAFStock_Log[Part Name],$A24,T_TTAFStock_Log[WeekIndex],38)=0,"",SUMIFS(T_TTAFStock_Log[TTAF_Qty],T_TTAFStock_Log[Part Name],$A24,T_TTAFStock_Log[WeekIndex],38))</f>
        <v/>
      </c>
      <c r="AN24" s="12">
        <f>IF(COUNTIFS(T_TTAFStock_Log[Part Name],$A24,T_TTAFStock_Log[WeekIndex],39)=0,"",SUMIFS(T_TTAFStock_Log[TTAF_Qty],T_TTAFStock_Log[Part Name],$A24,T_TTAFStock_Log[WeekIndex],39))</f>
        <v/>
      </c>
      <c r="AO24" s="12">
        <f>IF(COUNTIFS(T_TTAFStock_Log[Part Name],$A24,T_TTAFStock_Log[WeekIndex],40)=0,"",SUMIFS(T_TTAFStock_Log[TTAF_Qty],T_TTAFStock_Log[Part Name],$A24,T_TTAFStock_Log[WeekIndex],40))</f>
        <v/>
      </c>
      <c r="AP24" s="12">
        <f>IF(COUNTIFS(T_TTAFStock_Log[Part Name],$A24,T_TTAFStock_Log[WeekIndex],41)=0,"",SUMIFS(T_TTAFStock_Log[TTAF_Qty],T_TTAFStock_Log[Part Name],$A24,T_TTAFStock_Log[WeekIndex],41))</f>
        <v/>
      </c>
      <c r="AQ24" s="12">
        <f>IF(COUNTIFS(T_TTAFStock_Log[Part Name],$A24,T_TTAFStock_Log[WeekIndex],42)=0,"",SUMIFS(T_TTAFStock_Log[TTAF_Qty],T_TTAFStock_Log[Part Name],$A24,T_TTAFStock_Log[WeekIndex],42))</f>
        <v/>
      </c>
      <c r="AR24" s="12">
        <f>IF(COUNTIFS(T_TTAFStock_Log[Part Name],$A24,T_TTAFStock_Log[WeekIndex],43)=0,"",SUMIFS(T_TTAFStock_Log[TTAF_Qty],T_TTAFStock_Log[Part Name],$A24,T_TTAFStock_Log[WeekIndex],43))</f>
        <v/>
      </c>
      <c r="AS24" s="12">
        <f>IF(COUNTIFS(T_TTAFStock_Log[Part Name],$A24,T_TTAFStock_Log[WeekIndex],44)=0,"",SUMIFS(T_TTAFStock_Log[TTAF_Qty],T_TTAFStock_Log[Part Name],$A24,T_TTAFStock_Log[WeekIndex],44))</f>
        <v/>
      </c>
      <c r="AT24" s="12">
        <f>IF(COUNTIFS(T_TTAFStock_Log[Part Name],$A24,T_TTAFStock_Log[WeekIndex],45)=0,"",SUMIFS(T_TTAFStock_Log[TTAF_Qty],T_TTAFStock_Log[Part Name],$A24,T_TTAFStock_Log[WeekIndex],45))</f>
        <v/>
      </c>
      <c r="AU24" s="12">
        <f>IF(COUNTIFS(T_TTAFStock_Log[Part Name],$A24,T_TTAFStock_Log[WeekIndex],46)=0,"",SUMIFS(T_TTAFStock_Log[TTAF_Qty],T_TTAFStock_Log[Part Name],$A24,T_TTAFStock_Log[WeekIndex],46))</f>
        <v/>
      </c>
      <c r="AV24" s="12">
        <f>IF(COUNTIFS(T_TTAFStock_Log[Part Name],$A24,T_TTAFStock_Log[WeekIndex],47)=0,"",SUMIFS(T_TTAFStock_Log[TTAF_Qty],T_TTAFStock_Log[Part Name],$A24,T_TTAFStock_Log[WeekIndex],47))</f>
        <v/>
      </c>
      <c r="AW24" s="12">
        <f>IF(COUNTIFS(T_TTAFStock_Log[Part Name],$A24,T_TTAFStock_Log[WeekIndex],48)=0,"",SUMIFS(T_TTAFStock_Log[TTAF_Qty],T_TTAFStock_Log[Part Name],$A24,T_TTAFStock_Log[WeekIndex],48))</f>
        <v/>
      </c>
      <c r="AX24" s="12">
        <f>IF(COUNTIFS(T_TTAFStock_Log[Part Name],$A24,T_TTAFStock_Log[WeekIndex],49)=0,"",SUMIFS(T_TTAFStock_Log[TTAF_Qty],T_TTAFStock_Log[Part Name],$A24,T_TTAFStock_Log[WeekIndex],49))</f>
        <v/>
      </c>
      <c r="AY24" s="12">
        <f>IF(COUNTIFS(T_TTAFStock_Log[Part Name],$A24,T_TTAFStock_Log[WeekIndex],50)=0,"",SUMIFS(T_TTAFStock_Log[TTAF_Qty],T_TTAFStock_Log[Part Name],$A24,T_TTAFStock_Log[WeekIndex],50))</f>
        <v/>
      </c>
      <c r="AZ24" s="12">
        <f>IF(COUNTIFS(T_TTAFStock_Log[Part Name],$A24,T_TTAFStock_Log[WeekIndex],51)=0,"",SUMIFS(T_TTAFStock_Log[TTAF_Qty],T_TTAFStock_Log[Part Name],$A24,T_TTAFStock_Log[WeekIndex],51))</f>
        <v/>
      </c>
      <c r="BA24" s="12">
        <f>IF(COUNTIFS(T_TTAFStock_Log[Part Name],$A24,T_TTAFStock_Log[WeekIndex],52)=0,"",SUMIFS(T_TTAFStock_Log[TTAF_Qty],T_TTAFStock_Log[Part Name],$A24,T_TTAFStock_Log[WeekIndex],52))</f>
        <v/>
      </c>
      <c r="BB24" s="12">
        <f>IF(COUNTIFS(T_TTAFStock_Log[Part Name],$A24,T_TTAFStock_Log[WeekIndex],53)=0,"",SUMIFS(T_TTAFStock_Log[TTAF_Qty],T_TTAFStock_Log[Part Name],$A24,T_TTAFStock_Log[WeekIndex],53))</f>
        <v/>
      </c>
      <c r="BC24" s="12">
        <f>IF(COUNTIFS(T_TTAFStock_Log[Part Name],$A24,T_TTAFStock_Log[WeekIndex],54)=0,"",SUMIFS(T_TTAFStock_Log[TTAF_Qty],T_TTAFStock_Log[Part Name],$A24,T_TTAFStock_Log[WeekIndex],54))</f>
        <v/>
      </c>
      <c r="BD24" s="12">
        <f>IF(COUNTIFS(T_TTAFStock_Log[Part Name],$A24,T_TTAFStock_Log[WeekIndex],55)=0,"",SUMIFS(T_TTAFStock_Log[TTAF_Qty],T_TTAFStock_Log[Part Name],$A24,T_TTAFStock_Log[WeekIndex],55))</f>
        <v/>
      </c>
      <c r="BE24" s="12">
        <f>IF(COUNTIFS(T_TTAFStock_Log[Part Name],$A24,T_TTAFStock_Log[WeekIndex],56)=0,"",SUMIFS(T_TTAFStock_Log[TTAF_Qty],T_TTAFStock_Log[Part Name],$A24,T_TTAFStock_Log[WeekIndex],56))</f>
        <v/>
      </c>
      <c r="BF24" s="12">
        <f>IF(COUNTIFS(T_TTAFStock_Log[Part Name],$A24,T_TTAFStock_Log[WeekIndex],57)=0,"",SUMIFS(T_TTAFStock_Log[TTAF_Qty],T_TTAFStock_Log[Part Name],$A24,T_TTAFStock_Log[WeekIndex],57))</f>
        <v/>
      </c>
      <c r="BG24" s="12">
        <f>IF(COUNTIFS(T_TTAFStock_Log[Part Name],$A24,T_TTAFStock_Log[WeekIndex],58)=0,"",SUMIFS(T_TTAFStock_Log[TTAF_Qty],T_TTAFStock_Log[Part Name],$A24,T_TTAFStock_Log[WeekIndex],58))</f>
        <v/>
      </c>
      <c r="BH24" s="12">
        <f>IF(COUNTIFS(T_TTAFStock_Log[Part Name],$A24,T_TTAFStock_Log[WeekIndex],59)=0,"",SUMIFS(T_TTAFStock_Log[TTAF_Qty],T_TTAFStock_Log[Part Name],$A24,T_TTAFStock_Log[WeekIndex],59))</f>
        <v/>
      </c>
      <c r="BI24" s="12">
        <f>IF(COUNTIFS(T_TTAFStock_Log[Part Name],$A24,T_TTAFStock_Log[WeekIndex],60)=0,"",SUMIFS(T_TTAFStock_Log[TTAF_Qty],T_TTAFStock_Log[Part Name],$A24,T_TTAFStock_Log[WeekIndex],60))</f>
        <v/>
      </c>
      <c r="BJ24" s="12">
        <f>IF(COUNTIFS(T_TTAFStock_Log[Part Name],$A24,T_TTAFStock_Log[WeekIndex],61)=0,"",SUMIFS(T_TTAFStock_Log[TTAF_Qty],T_TTAFStock_Log[Part Name],$A24,T_TTAFStock_Log[WeekIndex],61))</f>
        <v/>
      </c>
      <c r="BK24" s="12">
        <f>IF(COUNTIFS(T_TTAFStock_Log[Part Name],$A24,T_TTAFStock_Log[WeekIndex],62)=0,"",SUMIFS(T_TTAFStock_Log[TTAF_Qty],T_TTAFStock_Log[Part Name],$A24,T_TTAFStock_Log[WeekIndex],62))</f>
        <v/>
      </c>
      <c r="BL24" s="12">
        <f>IF(COUNTIFS(T_TTAFStock_Log[Part Name],$A24,T_TTAFStock_Log[WeekIndex],63)=0,"",SUMIFS(T_TTAFStock_Log[TTAF_Qty],T_TTAFStock_Log[Part Name],$A24,T_TTAFStock_Log[WeekIndex],63))</f>
        <v/>
      </c>
      <c r="BM24" s="12">
        <f>IF(COUNTIFS(T_TTAFStock_Log[Part Name],$A24,T_TTAFStock_Log[WeekIndex],64)=0,"",SUMIFS(T_TTAFStock_Log[TTAF_Qty],T_TTAFStock_Log[Part Name],$A24,T_TTAFStock_Log[WeekIndex],64))</f>
        <v/>
      </c>
      <c r="BN24" s="12">
        <f>IF(COUNTIFS(T_TTAFStock_Log[Part Name],$A24,T_TTAFStock_Log[WeekIndex],65)=0,"",SUMIFS(T_TTAFStock_Log[TTAF_Qty],T_TTAFStock_Log[Part Name],$A24,T_TTAFStock_Log[WeekIndex],65))</f>
        <v/>
      </c>
      <c r="BO24" s="12">
        <f>IF(COUNTIFS(T_TTAFStock_Log[Part Name],$A24,T_TTAFStock_Log[WeekIndex],66)=0,"",SUMIFS(T_TTAFStock_Log[TTAF_Qty],T_TTAFStock_Log[Part Name],$A24,T_TTAFStock_Log[WeekIndex],66))</f>
        <v/>
      </c>
      <c r="BP24" s="12">
        <f>IF(COUNTIFS(T_TTAFStock_Log[Part Name],$A24,T_TTAFStock_Log[WeekIndex],67)=0,"",SUMIFS(T_TTAFStock_Log[TTAF_Qty],T_TTAFStock_Log[Part Name],$A24,T_TTAFStock_Log[WeekIndex],67))</f>
        <v/>
      </c>
      <c r="BQ24" s="12">
        <f>IF(COUNTIFS(T_TTAFStock_Log[Part Name],$A24,T_TTAFStock_Log[WeekIndex],68)=0,"",SUMIFS(T_TTAFStock_Log[TTAF_Qty],T_TTAFStock_Log[Part Name],$A24,T_TTAFStock_Log[WeekIndex],68))</f>
        <v/>
      </c>
      <c r="BR24" s="12">
        <f>IF(COUNTIFS(T_TTAFStock_Log[Part Name],$A24,T_TTAFStock_Log[WeekIndex],69)=0,"",SUMIFS(T_TTAFStock_Log[TTAF_Qty],T_TTAFStock_Log[Part Name],$A24,T_TTAFStock_Log[WeekIndex],69))</f>
        <v/>
      </c>
      <c r="BS24" s="12">
        <f>IF(COUNTIFS(T_TTAFStock_Log[Part Name],$A24,T_TTAFStock_Log[WeekIndex],70)=0,"",SUMIFS(T_TTAFStock_Log[TTAF_Qty],T_TTAFStock_Log[Part Name],$A24,T_TTAFStock_Log[WeekIndex],70))</f>
        <v/>
      </c>
      <c r="BT24" s="12">
        <f>IF(COUNTIFS(T_TTAFStock_Log[Part Name],$A24,T_TTAFStock_Log[WeekIndex],71)=0,"",SUMIFS(T_TTAFStock_Log[TTAF_Qty],T_TTAFStock_Log[Part Name],$A24,T_TTAFStock_Log[WeekIndex],71))</f>
        <v/>
      </c>
      <c r="BU24" s="12">
        <f>IF(COUNTIFS(T_TTAFStock_Log[Part Name],$A24,T_TTAFStock_Log[WeekIndex],72)=0,"",SUMIFS(T_TTAFStock_Log[TTAF_Qty],T_TTAFStock_Log[Part Name],$A24,T_TTAFStock_Log[WeekIndex],72))</f>
        <v/>
      </c>
      <c r="BV24" s="12">
        <f>IF(COUNTIFS(T_TTAFStock_Log[Part Name],$A24,T_TTAFStock_Log[WeekIndex],73)=0,"",SUMIFS(T_TTAFStock_Log[TTAF_Qty],T_TTAFStock_Log[Part Name],$A24,T_TTAFStock_Log[WeekIndex],73))</f>
        <v/>
      </c>
      <c r="BW24" s="12">
        <f>IF(COUNTIFS(T_TTAFStock_Log[Part Name],$A24,T_TTAFStock_Log[WeekIndex],74)=0,"",SUMIFS(T_TTAFStock_Log[TTAF_Qty],T_TTAFStock_Log[Part Name],$A24,T_TTAFStock_Log[WeekIndex],74))</f>
        <v/>
      </c>
      <c r="BX24" s="12">
        <f>IF(COUNTIFS(T_TTAFStock_Log[Part Name],$A24,T_TTAFStock_Log[WeekIndex],75)=0,"",SUMIFS(T_TTAFStock_Log[TTAF_Qty],T_TTAFStock_Log[Part Name],$A24,T_TTAFStock_Log[WeekIndex],75))</f>
        <v/>
      </c>
      <c r="BY24" s="12">
        <f>IF(COUNTIFS(T_TTAFStock_Log[Part Name],$A24,T_TTAFStock_Log[WeekIndex],76)=0,"",SUMIFS(T_TTAFStock_Log[TTAF_Qty],T_TTAFStock_Log[Part Name],$A24,T_TTAFStock_Log[WeekIndex],76))</f>
        <v/>
      </c>
      <c r="BZ24" s="12">
        <f>IF(COUNTIFS(T_TTAFStock_Log[Part Name],$A24,T_TTAFStock_Log[WeekIndex],77)=0,"",SUMIFS(T_TTAFStock_Log[TTAF_Qty],T_TTAFStock_Log[Part Name],$A24,T_TTAFStock_Log[WeekIndex],77))</f>
        <v/>
      </c>
      <c r="CA24" s="12">
        <f>IF(COUNTIFS(T_TTAFStock_Log[Part Name],$A24,T_TTAFStock_Log[WeekIndex],78)=0,"",SUMIFS(T_TTAFStock_Log[TTAF_Qty],T_TTAFStock_Log[Part Name],$A24,T_TTAFStock_Log[WeekIndex],78))</f>
        <v/>
      </c>
      <c r="CB24" s="12">
        <f>IF(COUNTIFS(T_TTAFStock_Log[Part Name],$A24,T_TTAFStock_Log[WeekIndex],79)=0,"",SUMIFS(T_TTAFStock_Log[TTAF_Qty],T_TTAFStock_Log[Part Name],$A24,T_TTAFStock_Log[WeekIndex],79))</f>
        <v/>
      </c>
      <c r="CC24" s="12">
        <f>IF(COUNTIFS(T_TTAFStock_Log[Part Name],$A24,T_TTAFStock_Log[WeekIndex],80)=0,"",SUMIFS(T_TTAFStock_Log[TTAF_Qty],T_TTAFStock_Log[Part Name],$A24,T_TTAFStock_Log[WeekIndex],80))</f>
        <v/>
      </c>
      <c r="CD24" s="12">
        <f>IF(COUNTIFS(T_TTAFStock_Log[Part Name],$A24,T_TTAFStock_Log[WeekIndex],81)=0,"",SUMIFS(T_TTAFStock_Log[TTAF_Qty],T_TTAFStock_Log[Part Name],$A24,T_TTAFStock_Log[WeekIndex],81))</f>
        <v/>
      </c>
      <c r="CE24" s="12">
        <f>IF(COUNTIFS(T_TTAFStock_Log[Part Name],$A24,T_TTAFStock_Log[WeekIndex],82)=0,"",SUMIFS(T_TTAFStock_Log[TTAF_Qty],T_TTAFStock_Log[Part Name],$A24,T_TTAFStock_Log[WeekIndex],82))</f>
        <v/>
      </c>
      <c r="CF24" s="12">
        <f>IF(COUNTIFS(T_TTAFStock_Log[Part Name],$A24,T_TTAFStock_Log[WeekIndex],83)=0,"",SUMIFS(T_TTAFStock_Log[TTAF_Qty],T_TTAFStock_Log[Part Name],$A24,T_TTAFStock_Log[WeekIndex],83))</f>
        <v/>
      </c>
      <c r="CG24" s="12">
        <f>IF(COUNTIFS(T_TTAFStock_Log[Part Name],$A24,T_TTAFStock_Log[WeekIndex],84)=0,"",SUMIFS(T_TTAFStock_Log[TTAF_Qty],T_TTAFStock_Log[Part Name],$A24,T_TTAFStock_Log[WeekIndex],84))</f>
        <v/>
      </c>
      <c r="CH24" s="12">
        <f>IF(COUNTIFS(T_TTAFStock_Log[Part Name],$A24,T_TTAFStock_Log[WeekIndex],85)=0,"",SUMIFS(T_TTAFStock_Log[TTAF_Qty],T_TTAFStock_Log[Part Name],$A24,T_TTAFStock_Log[WeekIndex],85))</f>
        <v/>
      </c>
      <c r="CI24" s="12">
        <f>IF(COUNTIFS(T_TTAFStock_Log[Part Name],$A24,T_TTAFStock_Log[WeekIndex],86)=0,"",SUMIFS(T_TTAFStock_Log[TTAF_Qty],T_TTAFStock_Log[Part Name],$A24,T_TTAFStock_Log[WeekIndex],86))</f>
        <v/>
      </c>
      <c r="CJ24" s="12">
        <f>IF(COUNTIFS(T_TTAFStock_Log[Part Name],$A24,T_TTAFStock_Log[WeekIndex],87)=0,"",SUMIFS(T_TTAFStock_Log[TTAF_Qty],T_TTAFStock_Log[Part Name],$A24,T_TTAFStock_Log[WeekIndex],87))</f>
        <v/>
      </c>
      <c r="CK24" s="12">
        <f>IF(COUNTIFS(T_TTAFStock_Log[Part Name],$A24,T_TTAFStock_Log[WeekIndex],88)=0,"",SUMIFS(T_TTAFStock_Log[TTAF_Qty],T_TTAFStock_Log[Part Name],$A24,T_TTAFStock_Log[WeekIndex],88))</f>
        <v/>
      </c>
      <c r="CL24" s="12">
        <f>IF(COUNTIFS(T_TTAFStock_Log[Part Name],$A24,T_TTAFStock_Log[WeekIndex],89)=0,"",SUMIFS(T_TTAFStock_Log[TTAF_Qty],T_TTAFStock_Log[Part Name],$A24,T_TTAFStock_Log[WeekIndex],89))</f>
        <v/>
      </c>
      <c r="CM24" s="12">
        <f>IF(COUNTIFS(T_TTAFStock_Log[Part Name],$A24,T_TTAFStock_Log[WeekIndex],90)=0,"",SUMIFS(T_TTAFStock_Log[TTAF_Qty],T_TTAFStock_Log[Part Name],$A24,T_TTAFStock_Log[WeekIndex],90))</f>
        <v/>
      </c>
      <c r="CN24" s="12">
        <f>IF(COUNTIFS(T_TTAFStock_Log[Part Name],$A24,T_TTAFStock_Log[WeekIndex],91)=0,"",SUMIFS(T_TTAFStock_Log[TTAF_Qty],T_TTAFStock_Log[Part Name],$A24,T_TTAFStock_Log[WeekIndex],91))</f>
        <v/>
      </c>
      <c r="CO24" s="12">
        <f>IF(COUNTIFS(T_TTAFStock_Log[Part Name],$A24,T_TTAFStock_Log[WeekIndex],92)=0,"",SUMIFS(T_TTAFStock_Log[TTAF_Qty],T_TTAFStock_Log[Part Name],$A24,T_TTAFStock_Log[WeekIndex],92))</f>
        <v/>
      </c>
      <c r="CP24" s="12">
        <f>IF(COUNTIFS(T_TTAFStock_Log[Part Name],$A24,T_TTAFStock_Log[WeekIndex],93)=0,"",SUMIFS(T_TTAFStock_Log[TTAF_Qty],T_TTAFStock_Log[Part Name],$A24,T_TTAFStock_Log[WeekIndex],93))</f>
        <v/>
      </c>
      <c r="CQ24" s="12">
        <f>IF(COUNTIFS(T_TTAFStock_Log[Part Name],$A24,T_TTAFStock_Log[WeekIndex],94)=0,"",SUMIFS(T_TTAFStock_Log[TTAF_Qty],T_TTAFStock_Log[Part Name],$A24,T_TTAFStock_Log[WeekIndex],94))</f>
        <v/>
      </c>
      <c r="CR24" s="12">
        <f>IF(COUNTIFS(T_TTAFStock_Log[Part Name],$A24,T_TTAFStock_Log[WeekIndex],95)=0,"",SUMIFS(T_TTAFStock_Log[TTAF_Qty],T_TTAFStock_Log[Part Name],$A24,T_TTAFStock_Log[WeekIndex],95))</f>
        <v/>
      </c>
      <c r="CS24" s="12">
        <f>IF(COUNTIFS(T_TTAFStock_Log[Part Name],$A24,T_TTAFStock_Log[WeekIndex],96)=0,"",SUMIFS(T_TTAFStock_Log[TTAF_Qty],T_TTAFStock_Log[Part Name],$A24,T_TTAFStock_Log[WeekIndex],96))</f>
        <v/>
      </c>
      <c r="CT24" s="12">
        <f>IF(COUNTIFS(T_TTAFStock_Log[Part Name],$A24,T_TTAFStock_Log[WeekIndex],97)=0,"",SUMIFS(T_TTAFStock_Log[TTAF_Qty],T_TTAFStock_Log[Part Name],$A24,T_TTAFStock_Log[WeekIndex],97))</f>
        <v/>
      </c>
      <c r="CU24" s="12">
        <f>IF(COUNTIFS(T_TTAFStock_Log[Part Name],$A24,T_TTAFStock_Log[WeekIndex],98)=0,"",SUMIFS(T_TTAFStock_Log[TTAF_Qty],T_TTAFStock_Log[Part Name],$A24,T_TTAFStock_Log[WeekIndex],98))</f>
        <v/>
      </c>
      <c r="CV24" s="12">
        <f>IF(COUNTIFS(T_TTAFStock_Log[Part Name],$A24,T_TTAFStock_Log[WeekIndex],99)=0,"",SUMIFS(T_TTAFStock_Log[TTAF_Qty],T_TTAFStock_Log[Part Name],$A24,T_TTAFStock_Log[WeekIndex],99))</f>
        <v/>
      </c>
      <c r="CW24" s="12">
        <f>IF(COUNTIFS(T_TTAFStock_Log[Part Name],$A24,T_TTAFStock_Log[WeekIndex],100)=0,"",SUMIFS(T_TTAFStock_Log[TTAF_Qty],T_TTAFStock_Log[Part Name],$A24,T_TTAFStock_Log[WeekIndex],100))</f>
        <v/>
      </c>
      <c r="CX24" s="12">
        <f>IF(COUNTIFS(T_TTAFStock_Log[Part Name],$A24,T_TTAFStock_Log[WeekIndex],101)=0,"",SUMIFS(T_TTAFStock_Log[TTAF_Qty],T_TTAFStock_Log[Part Name],$A24,T_TTAFStock_Log[WeekIndex],101))</f>
        <v/>
      </c>
      <c r="CY24" s="12">
        <f>IF(COUNTIFS(T_TTAFStock_Log[Part Name],$A24,T_TTAFStock_Log[WeekIndex],102)=0,"",SUMIFS(T_TTAFStock_Log[TTAF_Qty],T_TTAFStock_Log[Part Name],$A24,T_TTAFStock_Log[WeekIndex],102))</f>
        <v/>
      </c>
      <c r="CZ24" s="12">
        <f>IF(COUNTIFS(T_TTAFStock_Log[Part Name],$A24,T_TTAFStock_Log[WeekIndex],103)=0,"",SUMIFS(T_TTAFStock_Log[TTAF_Qty],T_TTAFStock_Log[Part Name],$A24,T_TTAFStock_Log[WeekIndex],103))</f>
        <v/>
      </c>
      <c r="DA24" s="12">
        <f>IF(COUNTIFS(T_TTAFStock_Log[Part Name],$A24,T_TTAFStock_Log[WeekIndex],104)=0,"",SUMIFS(T_TTAFStock_Log[TTAF_Qty],T_TTAFStock_Log[Part Name],$A24,T_TTAFStock_Log[WeekIndex],104))</f>
        <v/>
      </c>
    </row>
    <row r="25">
      <c r="A25" s="13" t="inlineStr">
        <is>
          <t>CHEM-1240</t>
        </is>
      </c>
      <c r="B25" s="13">
        <f>IF(COUNTIFS(T_TTAFStock_Log[Part Name],$A25,T_TTAFStock_Log[WeekIndex],1)=0,"",SUMIFS(T_TTAFStock_Log[TTAF_Qty],T_TTAFStock_Log[Part Name],$A25,T_TTAFStock_Log[WeekIndex],1))</f>
        <v/>
      </c>
      <c r="C25" s="13">
        <f>IF(COUNTIFS(T_TTAFStock_Log[Part Name],$A25,T_TTAFStock_Log[WeekIndex],2)=0,"",SUMIFS(T_TTAFStock_Log[TTAF_Qty],T_TTAFStock_Log[Part Name],$A25,T_TTAFStock_Log[WeekIndex],2))</f>
        <v/>
      </c>
      <c r="D25" s="13">
        <f>IF(COUNTIFS(T_TTAFStock_Log[Part Name],$A25,T_TTAFStock_Log[WeekIndex],3)=0,"",SUMIFS(T_TTAFStock_Log[TTAF_Qty],T_TTAFStock_Log[Part Name],$A25,T_TTAFStock_Log[WeekIndex],3))</f>
        <v/>
      </c>
      <c r="E25" s="13">
        <f>IF(COUNTIFS(T_TTAFStock_Log[Part Name],$A25,T_TTAFStock_Log[WeekIndex],4)=0,"",SUMIFS(T_TTAFStock_Log[TTAF_Qty],T_TTAFStock_Log[Part Name],$A25,T_TTAFStock_Log[WeekIndex],4))</f>
        <v/>
      </c>
      <c r="F25" s="13">
        <f>IF(COUNTIFS(T_TTAFStock_Log[Part Name],$A25,T_TTAFStock_Log[WeekIndex],5)=0,"",SUMIFS(T_TTAFStock_Log[TTAF_Qty],T_TTAFStock_Log[Part Name],$A25,T_TTAFStock_Log[WeekIndex],5))</f>
        <v/>
      </c>
      <c r="G25" s="13">
        <f>IF(COUNTIFS(T_TTAFStock_Log[Part Name],$A25,T_TTAFStock_Log[WeekIndex],6)=0,"",SUMIFS(T_TTAFStock_Log[TTAF_Qty],T_TTAFStock_Log[Part Name],$A25,T_TTAFStock_Log[WeekIndex],6))</f>
        <v/>
      </c>
      <c r="H25" s="13">
        <f>IF(COUNTIFS(T_TTAFStock_Log[Part Name],$A25,T_TTAFStock_Log[WeekIndex],7)=0,"",SUMIFS(T_TTAFStock_Log[TTAF_Qty],T_TTAFStock_Log[Part Name],$A25,T_TTAFStock_Log[WeekIndex],7))</f>
        <v/>
      </c>
      <c r="I25" s="13">
        <f>IF(COUNTIFS(T_TTAFStock_Log[Part Name],$A25,T_TTAFStock_Log[WeekIndex],8)=0,"",SUMIFS(T_TTAFStock_Log[TTAF_Qty],T_TTAFStock_Log[Part Name],$A25,T_TTAFStock_Log[WeekIndex],8))</f>
        <v/>
      </c>
      <c r="J25" s="13">
        <f>IF(COUNTIFS(T_TTAFStock_Log[Part Name],$A25,T_TTAFStock_Log[WeekIndex],9)=0,"",SUMIFS(T_TTAFStock_Log[TTAF_Qty],T_TTAFStock_Log[Part Name],$A25,T_TTAFStock_Log[WeekIndex],9))</f>
        <v/>
      </c>
      <c r="K25" s="13">
        <f>IF(COUNTIFS(T_TTAFStock_Log[Part Name],$A25,T_TTAFStock_Log[WeekIndex],10)=0,"",SUMIFS(T_TTAFStock_Log[TTAF_Qty],T_TTAFStock_Log[Part Name],$A25,T_TTAFStock_Log[WeekIndex],10))</f>
        <v/>
      </c>
      <c r="L25" s="13">
        <f>IF(COUNTIFS(T_TTAFStock_Log[Part Name],$A25,T_TTAFStock_Log[WeekIndex],11)=0,"",SUMIFS(T_TTAFStock_Log[TTAF_Qty],T_TTAFStock_Log[Part Name],$A25,T_TTAFStock_Log[WeekIndex],11))</f>
        <v/>
      </c>
      <c r="M25" s="13">
        <f>IF(COUNTIFS(T_TTAFStock_Log[Part Name],$A25,T_TTAFStock_Log[WeekIndex],12)=0,"",SUMIFS(T_TTAFStock_Log[TTAF_Qty],T_TTAFStock_Log[Part Name],$A25,T_TTAFStock_Log[WeekIndex],12))</f>
        <v/>
      </c>
      <c r="N25" s="13">
        <f>IF(COUNTIFS(T_TTAFStock_Log[Part Name],$A25,T_TTAFStock_Log[WeekIndex],13)=0,"",SUMIFS(T_TTAFStock_Log[TTAF_Qty],T_TTAFStock_Log[Part Name],$A25,T_TTAFStock_Log[WeekIndex],13))</f>
        <v/>
      </c>
      <c r="O25" s="13">
        <f>IF(COUNTIFS(T_TTAFStock_Log[Part Name],$A25,T_TTAFStock_Log[WeekIndex],14)=0,"",SUMIFS(T_TTAFStock_Log[TTAF_Qty],T_TTAFStock_Log[Part Name],$A25,T_TTAFStock_Log[WeekIndex],14))</f>
        <v/>
      </c>
      <c r="P25" s="13">
        <f>IF(COUNTIFS(T_TTAFStock_Log[Part Name],$A25,T_TTAFStock_Log[WeekIndex],15)=0,"",SUMIFS(T_TTAFStock_Log[TTAF_Qty],T_TTAFStock_Log[Part Name],$A25,T_TTAFStock_Log[WeekIndex],15))</f>
        <v/>
      </c>
      <c r="Q25" s="13">
        <f>IF(COUNTIFS(T_TTAFStock_Log[Part Name],$A25,T_TTAFStock_Log[WeekIndex],16)=0,"",SUMIFS(T_TTAFStock_Log[TTAF_Qty],T_TTAFStock_Log[Part Name],$A25,T_TTAFStock_Log[WeekIndex],16))</f>
        <v/>
      </c>
      <c r="R25" s="13">
        <f>IF(COUNTIFS(T_TTAFStock_Log[Part Name],$A25,T_TTAFStock_Log[WeekIndex],17)=0,"",SUMIFS(T_TTAFStock_Log[TTAF_Qty],T_TTAFStock_Log[Part Name],$A25,T_TTAFStock_Log[WeekIndex],17))</f>
        <v/>
      </c>
      <c r="S25" s="13">
        <f>IF(COUNTIFS(T_TTAFStock_Log[Part Name],$A25,T_TTAFStock_Log[WeekIndex],18)=0,"",SUMIFS(T_TTAFStock_Log[TTAF_Qty],T_TTAFStock_Log[Part Name],$A25,T_TTAFStock_Log[WeekIndex],18))</f>
        <v/>
      </c>
      <c r="T25" s="13">
        <f>IF(COUNTIFS(T_TTAFStock_Log[Part Name],$A25,T_TTAFStock_Log[WeekIndex],19)=0,"",SUMIFS(T_TTAFStock_Log[TTAF_Qty],T_TTAFStock_Log[Part Name],$A25,T_TTAFStock_Log[WeekIndex],19))</f>
        <v/>
      </c>
      <c r="U25" s="13">
        <f>IF(COUNTIFS(T_TTAFStock_Log[Part Name],$A25,T_TTAFStock_Log[WeekIndex],20)=0,"",SUMIFS(T_TTAFStock_Log[TTAF_Qty],T_TTAFStock_Log[Part Name],$A25,T_TTAFStock_Log[WeekIndex],20))</f>
        <v/>
      </c>
      <c r="V25" s="13">
        <f>IF(COUNTIFS(T_TTAFStock_Log[Part Name],$A25,T_TTAFStock_Log[WeekIndex],21)=0,"",SUMIFS(T_TTAFStock_Log[TTAF_Qty],T_TTAFStock_Log[Part Name],$A25,T_TTAFStock_Log[WeekIndex],21))</f>
        <v/>
      </c>
      <c r="W25" s="13">
        <f>IF(COUNTIFS(T_TTAFStock_Log[Part Name],$A25,T_TTAFStock_Log[WeekIndex],22)=0,"",SUMIFS(T_TTAFStock_Log[TTAF_Qty],T_TTAFStock_Log[Part Name],$A25,T_TTAFStock_Log[WeekIndex],22))</f>
        <v/>
      </c>
      <c r="X25" s="13">
        <f>IF(COUNTIFS(T_TTAFStock_Log[Part Name],$A25,T_TTAFStock_Log[WeekIndex],23)=0,"",SUMIFS(T_TTAFStock_Log[TTAF_Qty],T_TTAFStock_Log[Part Name],$A25,T_TTAFStock_Log[WeekIndex],23))</f>
        <v/>
      </c>
      <c r="Y25" s="13">
        <f>IF(COUNTIFS(T_TTAFStock_Log[Part Name],$A25,T_TTAFStock_Log[WeekIndex],24)=0,"",SUMIFS(T_TTAFStock_Log[TTAF_Qty],T_TTAFStock_Log[Part Name],$A25,T_TTAFStock_Log[WeekIndex],24))</f>
        <v/>
      </c>
      <c r="Z25" s="13">
        <f>IF(COUNTIFS(T_TTAFStock_Log[Part Name],$A25,T_TTAFStock_Log[WeekIndex],25)=0,"",SUMIFS(T_TTAFStock_Log[TTAF_Qty],T_TTAFStock_Log[Part Name],$A25,T_TTAFStock_Log[WeekIndex],25))</f>
        <v/>
      </c>
      <c r="AA25" s="13">
        <f>IF(COUNTIFS(T_TTAFStock_Log[Part Name],$A25,T_TTAFStock_Log[WeekIndex],26)=0,"",SUMIFS(T_TTAFStock_Log[TTAF_Qty],T_TTAFStock_Log[Part Name],$A25,T_TTAFStock_Log[WeekIndex],26))</f>
        <v/>
      </c>
      <c r="AB25" s="13">
        <f>IF(COUNTIFS(T_TTAFStock_Log[Part Name],$A25,T_TTAFStock_Log[WeekIndex],27)=0,"",SUMIFS(T_TTAFStock_Log[TTAF_Qty],T_TTAFStock_Log[Part Name],$A25,T_TTAFStock_Log[WeekIndex],27))</f>
        <v/>
      </c>
      <c r="AC25" s="13">
        <f>IF(COUNTIFS(T_TTAFStock_Log[Part Name],$A25,T_TTAFStock_Log[WeekIndex],28)=0,"",SUMIFS(T_TTAFStock_Log[TTAF_Qty],T_TTAFStock_Log[Part Name],$A25,T_TTAFStock_Log[WeekIndex],28))</f>
        <v/>
      </c>
      <c r="AD25" s="13">
        <f>IF(COUNTIFS(T_TTAFStock_Log[Part Name],$A25,T_TTAFStock_Log[WeekIndex],29)=0,"",SUMIFS(T_TTAFStock_Log[TTAF_Qty],T_TTAFStock_Log[Part Name],$A25,T_TTAFStock_Log[WeekIndex],29))</f>
        <v/>
      </c>
      <c r="AE25" s="13">
        <f>IF(COUNTIFS(T_TTAFStock_Log[Part Name],$A25,T_TTAFStock_Log[WeekIndex],30)=0,"",SUMIFS(T_TTAFStock_Log[TTAF_Qty],T_TTAFStock_Log[Part Name],$A25,T_TTAFStock_Log[WeekIndex],30))</f>
        <v/>
      </c>
      <c r="AF25" s="13">
        <f>IF(COUNTIFS(T_TTAFStock_Log[Part Name],$A25,T_TTAFStock_Log[WeekIndex],31)=0,"",SUMIFS(T_TTAFStock_Log[TTAF_Qty],T_TTAFStock_Log[Part Name],$A25,T_TTAFStock_Log[WeekIndex],31))</f>
        <v/>
      </c>
      <c r="AG25" s="13">
        <f>IF(COUNTIFS(T_TTAFStock_Log[Part Name],$A25,T_TTAFStock_Log[WeekIndex],32)=0,"",SUMIFS(T_TTAFStock_Log[TTAF_Qty],T_TTAFStock_Log[Part Name],$A25,T_TTAFStock_Log[WeekIndex],32))</f>
        <v/>
      </c>
      <c r="AH25" s="13">
        <f>IF(COUNTIFS(T_TTAFStock_Log[Part Name],$A25,T_TTAFStock_Log[WeekIndex],33)=0,"",SUMIFS(T_TTAFStock_Log[TTAF_Qty],T_TTAFStock_Log[Part Name],$A25,T_TTAFStock_Log[WeekIndex],33))</f>
        <v/>
      </c>
      <c r="AI25" s="13">
        <f>IF(COUNTIFS(T_TTAFStock_Log[Part Name],$A25,T_TTAFStock_Log[WeekIndex],34)=0,"",SUMIFS(T_TTAFStock_Log[TTAF_Qty],T_TTAFStock_Log[Part Name],$A25,T_TTAFStock_Log[WeekIndex],34))</f>
        <v/>
      </c>
      <c r="AJ25" s="13">
        <f>IF(COUNTIFS(T_TTAFStock_Log[Part Name],$A25,T_TTAFStock_Log[WeekIndex],35)=0,"",SUMIFS(T_TTAFStock_Log[TTAF_Qty],T_TTAFStock_Log[Part Name],$A25,T_TTAFStock_Log[WeekIndex],35))</f>
        <v/>
      </c>
      <c r="AK25" s="13">
        <f>IF(COUNTIFS(T_TTAFStock_Log[Part Name],$A25,T_TTAFStock_Log[WeekIndex],36)=0,"",SUMIFS(T_TTAFStock_Log[TTAF_Qty],T_TTAFStock_Log[Part Name],$A25,T_TTAFStock_Log[WeekIndex],36))</f>
        <v/>
      </c>
      <c r="AL25" s="13">
        <f>IF(COUNTIFS(T_TTAFStock_Log[Part Name],$A25,T_TTAFStock_Log[WeekIndex],37)=0,"",SUMIFS(T_TTAFStock_Log[TTAF_Qty],T_TTAFStock_Log[Part Name],$A25,T_TTAFStock_Log[WeekIndex],37))</f>
        <v/>
      </c>
      <c r="AM25" s="13">
        <f>IF(COUNTIFS(T_TTAFStock_Log[Part Name],$A25,T_TTAFStock_Log[WeekIndex],38)=0,"",SUMIFS(T_TTAFStock_Log[TTAF_Qty],T_TTAFStock_Log[Part Name],$A25,T_TTAFStock_Log[WeekIndex],38))</f>
        <v/>
      </c>
      <c r="AN25" s="13">
        <f>IF(COUNTIFS(T_TTAFStock_Log[Part Name],$A25,T_TTAFStock_Log[WeekIndex],39)=0,"",SUMIFS(T_TTAFStock_Log[TTAF_Qty],T_TTAFStock_Log[Part Name],$A25,T_TTAFStock_Log[WeekIndex],39))</f>
        <v/>
      </c>
      <c r="AO25" s="13">
        <f>IF(COUNTIFS(T_TTAFStock_Log[Part Name],$A25,T_TTAFStock_Log[WeekIndex],40)=0,"",SUMIFS(T_TTAFStock_Log[TTAF_Qty],T_TTAFStock_Log[Part Name],$A25,T_TTAFStock_Log[WeekIndex],40))</f>
        <v/>
      </c>
      <c r="AP25" s="13">
        <f>IF(COUNTIFS(T_TTAFStock_Log[Part Name],$A25,T_TTAFStock_Log[WeekIndex],41)=0,"",SUMIFS(T_TTAFStock_Log[TTAF_Qty],T_TTAFStock_Log[Part Name],$A25,T_TTAFStock_Log[WeekIndex],41))</f>
        <v/>
      </c>
      <c r="AQ25" s="13">
        <f>IF(COUNTIFS(T_TTAFStock_Log[Part Name],$A25,T_TTAFStock_Log[WeekIndex],42)=0,"",SUMIFS(T_TTAFStock_Log[TTAF_Qty],T_TTAFStock_Log[Part Name],$A25,T_TTAFStock_Log[WeekIndex],42))</f>
        <v/>
      </c>
      <c r="AR25" s="13">
        <f>IF(COUNTIFS(T_TTAFStock_Log[Part Name],$A25,T_TTAFStock_Log[WeekIndex],43)=0,"",SUMIFS(T_TTAFStock_Log[TTAF_Qty],T_TTAFStock_Log[Part Name],$A25,T_TTAFStock_Log[WeekIndex],43))</f>
        <v/>
      </c>
      <c r="AS25" s="13">
        <f>IF(COUNTIFS(T_TTAFStock_Log[Part Name],$A25,T_TTAFStock_Log[WeekIndex],44)=0,"",SUMIFS(T_TTAFStock_Log[TTAF_Qty],T_TTAFStock_Log[Part Name],$A25,T_TTAFStock_Log[WeekIndex],44))</f>
        <v/>
      </c>
      <c r="AT25" s="13">
        <f>IF(COUNTIFS(T_TTAFStock_Log[Part Name],$A25,T_TTAFStock_Log[WeekIndex],45)=0,"",SUMIFS(T_TTAFStock_Log[TTAF_Qty],T_TTAFStock_Log[Part Name],$A25,T_TTAFStock_Log[WeekIndex],45))</f>
        <v/>
      </c>
      <c r="AU25" s="13">
        <f>IF(COUNTIFS(T_TTAFStock_Log[Part Name],$A25,T_TTAFStock_Log[WeekIndex],46)=0,"",SUMIFS(T_TTAFStock_Log[TTAF_Qty],T_TTAFStock_Log[Part Name],$A25,T_TTAFStock_Log[WeekIndex],46))</f>
        <v/>
      </c>
      <c r="AV25" s="13">
        <f>IF(COUNTIFS(T_TTAFStock_Log[Part Name],$A25,T_TTAFStock_Log[WeekIndex],47)=0,"",SUMIFS(T_TTAFStock_Log[TTAF_Qty],T_TTAFStock_Log[Part Name],$A25,T_TTAFStock_Log[WeekIndex],47))</f>
        <v/>
      </c>
      <c r="AW25" s="13">
        <f>IF(COUNTIFS(T_TTAFStock_Log[Part Name],$A25,T_TTAFStock_Log[WeekIndex],48)=0,"",SUMIFS(T_TTAFStock_Log[TTAF_Qty],T_TTAFStock_Log[Part Name],$A25,T_TTAFStock_Log[WeekIndex],48))</f>
        <v/>
      </c>
      <c r="AX25" s="13">
        <f>IF(COUNTIFS(T_TTAFStock_Log[Part Name],$A25,T_TTAFStock_Log[WeekIndex],49)=0,"",SUMIFS(T_TTAFStock_Log[TTAF_Qty],T_TTAFStock_Log[Part Name],$A25,T_TTAFStock_Log[WeekIndex],49))</f>
        <v/>
      </c>
      <c r="AY25" s="13">
        <f>IF(COUNTIFS(T_TTAFStock_Log[Part Name],$A25,T_TTAFStock_Log[WeekIndex],50)=0,"",SUMIFS(T_TTAFStock_Log[TTAF_Qty],T_TTAFStock_Log[Part Name],$A25,T_TTAFStock_Log[WeekIndex],50))</f>
        <v/>
      </c>
      <c r="AZ25" s="13">
        <f>IF(COUNTIFS(T_TTAFStock_Log[Part Name],$A25,T_TTAFStock_Log[WeekIndex],51)=0,"",SUMIFS(T_TTAFStock_Log[TTAF_Qty],T_TTAFStock_Log[Part Name],$A25,T_TTAFStock_Log[WeekIndex],51))</f>
        <v/>
      </c>
      <c r="BA25" s="13">
        <f>IF(COUNTIFS(T_TTAFStock_Log[Part Name],$A25,T_TTAFStock_Log[WeekIndex],52)=0,"",SUMIFS(T_TTAFStock_Log[TTAF_Qty],T_TTAFStock_Log[Part Name],$A25,T_TTAFStock_Log[WeekIndex],52))</f>
        <v/>
      </c>
      <c r="BB25" s="13">
        <f>IF(COUNTIFS(T_TTAFStock_Log[Part Name],$A25,T_TTAFStock_Log[WeekIndex],53)=0,"",SUMIFS(T_TTAFStock_Log[TTAF_Qty],T_TTAFStock_Log[Part Name],$A25,T_TTAFStock_Log[WeekIndex],53))</f>
        <v/>
      </c>
      <c r="BC25" s="13">
        <f>IF(COUNTIFS(T_TTAFStock_Log[Part Name],$A25,T_TTAFStock_Log[WeekIndex],54)=0,"",SUMIFS(T_TTAFStock_Log[TTAF_Qty],T_TTAFStock_Log[Part Name],$A25,T_TTAFStock_Log[WeekIndex],54))</f>
        <v/>
      </c>
      <c r="BD25" s="13">
        <f>IF(COUNTIFS(T_TTAFStock_Log[Part Name],$A25,T_TTAFStock_Log[WeekIndex],55)=0,"",SUMIFS(T_TTAFStock_Log[TTAF_Qty],T_TTAFStock_Log[Part Name],$A25,T_TTAFStock_Log[WeekIndex],55))</f>
        <v/>
      </c>
      <c r="BE25" s="13">
        <f>IF(COUNTIFS(T_TTAFStock_Log[Part Name],$A25,T_TTAFStock_Log[WeekIndex],56)=0,"",SUMIFS(T_TTAFStock_Log[TTAF_Qty],T_TTAFStock_Log[Part Name],$A25,T_TTAFStock_Log[WeekIndex],56))</f>
        <v/>
      </c>
      <c r="BF25" s="13">
        <f>IF(COUNTIFS(T_TTAFStock_Log[Part Name],$A25,T_TTAFStock_Log[WeekIndex],57)=0,"",SUMIFS(T_TTAFStock_Log[TTAF_Qty],T_TTAFStock_Log[Part Name],$A25,T_TTAFStock_Log[WeekIndex],57))</f>
        <v/>
      </c>
      <c r="BG25" s="13">
        <f>IF(COUNTIFS(T_TTAFStock_Log[Part Name],$A25,T_TTAFStock_Log[WeekIndex],58)=0,"",SUMIFS(T_TTAFStock_Log[TTAF_Qty],T_TTAFStock_Log[Part Name],$A25,T_TTAFStock_Log[WeekIndex],58))</f>
        <v/>
      </c>
      <c r="BH25" s="13">
        <f>IF(COUNTIFS(T_TTAFStock_Log[Part Name],$A25,T_TTAFStock_Log[WeekIndex],59)=0,"",SUMIFS(T_TTAFStock_Log[TTAF_Qty],T_TTAFStock_Log[Part Name],$A25,T_TTAFStock_Log[WeekIndex],59))</f>
        <v/>
      </c>
      <c r="BI25" s="13">
        <f>IF(COUNTIFS(T_TTAFStock_Log[Part Name],$A25,T_TTAFStock_Log[WeekIndex],60)=0,"",SUMIFS(T_TTAFStock_Log[TTAF_Qty],T_TTAFStock_Log[Part Name],$A25,T_TTAFStock_Log[WeekIndex],60))</f>
        <v/>
      </c>
      <c r="BJ25" s="13">
        <f>IF(COUNTIFS(T_TTAFStock_Log[Part Name],$A25,T_TTAFStock_Log[WeekIndex],61)=0,"",SUMIFS(T_TTAFStock_Log[TTAF_Qty],T_TTAFStock_Log[Part Name],$A25,T_TTAFStock_Log[WeekIndex],61))</f>
        <v/>
      </c>
      <c r="BK25" s="13">
        <f>IF(COUNTIFS(T_TTAFStock_Log[Part Name],$A25,T_TTAFStock_Log[WeekIndex],62)=0,"",SUMIFS(T_TTAFStock_Log[TTAF_Qty],T_TTAFStock_Log[Part Name],$A25,T_TTAFStock_Log[WeekIndex],62))</f>
        <v/>
      </c>
      <c r="BL25" s="13">
        <f>IF(COUNTIFS(T_TTAFStock_Log[Part Name],$A25,T_TTAFStock_Log[WeekIndex],63)=0,"",SUMIFS(T_TTAFStock_Log[TTAF_Qty],T_TTAFStock_Log[Part Name],$A25,T_TTAFStock_Log[WeekIndex],63))</f>
        <v/>
      </c>
      <c r="BM25" s="13">
        <f>IF(COUNTIFS(T_TTAFStock_Log[Part Name],$A25,T_TTAFStock_Log[WeekIndex],64)=0,"",SUMIFS(T_TTAFStock_Log[TTAF_Qty],T_TTAFStock_Log[Part Name],$A25,T_TTAFStock_Log[WeekIndex],64))</f>
        <v/>
      </c>
      <c r="BN25" s="13">
        <f>IF(COUNTIFS(T_TTAFStock_Log[Part Name],$A25,T_TTAFStock_Log[WeekIndex],65)=0,"",SUMIFS(T_TTAFStock_Log[TTAF_Qty],T_TTAFStock_Log[Part Name],$A25,T_TTAFStock_Log[WeekIndex],65))</f>
        <v/>
      </c>
      <c r="BO25" s="13">
        <f>IF(COUNTIFS(T_TTAFStock_Log[Part Name],$A25,T_TTAFStock_Log[WeekIndex],66)=0,"",SUMIFS(T_TTAFStock_Log[TTAF_Qty],T_TTAFStock_Log[Part Name],$A25,T_TTAFStock_Log[WeekIndex],66))</f>
        <v/>
      </c>
      <c r="BP25" s="13">
        <f>IF(COUNTIFS(T_TTAFStock_Log[Part Name],$A25,T_TTAFStock_Log[WeekIndex],67)=0,"",SUMIFS(T_TTAFStock_Log[TTAF_Qty],T_TTAFStock_Log[Part Name],$A25,T_TTAFStock_Log[WeekIndex],67))</f>
        <v/>
      </c>
      <c r="BQ25" s="13">
        <f>IF(COUNTIFS(T_TTAFStock_Log[Part Name],$A25,T_TTAFStock_Log[WeekIndex],68)=0,"",SUMIFS(T_TTAFStock_Log[TTAF_Qty],T_TTAFStock_Log[Part Name],$A25,T_TTAFStock_Log[WeekIndex],68))</f>
        <v/>
      </c>
      <c r="BR25" s="13">
        <f>IF(COUNTIFS(T_TTAFStock_Log[Part Name],$A25,T_TTAFStock_Log[WeekIndex],69)=0,"",SUMIFS(T_TTAFStock_Log[TTAF_Qty],T_TTAFStock_Log[Part Name],$A25,T_TTAFStock_Log[WeekIndex],69))</f>
        <v/>
      </c>
      <c r="BS25" s="13">
        <f>IF(COUNTIFS(T_TTAFStock_Log[Part Name],$A25,T_TTAFStock_Log[WeekIndex],70)=0,"",SUMIFS(T_TTAFStock_Log[TTAF_Qty],T_TTAFStock_Log[Part Name],$A25,T_TTAFStock_Log[WeekIndex],70))</f>
        <v/>
      </c>
      <c r="BT25" s="13">
        <f>IF(COUNTIFS(T_TTAFStock_Log[Part Name],$A25,T_TTAFStock_Log[WeekIndex],71)=0,"",SUMIFS(T_TTAFStock_Log[TTAF_Qty],T_TTAFStock_Log[Part Name],$A25,T_TTAFStock_Log[WeekIndex],71))</f>
        <v/>
      </c>
      <c r="BU25" s="13">
        <f>IF(COUNTIFS(T_TTAFStock_Log[Part Name],$A25,T_TTAFStock_Log[WeekIndex],72)=0,"",SUMIFS(T_TTAFStock_Log[TTAF_Qty],T_TTAFStock_Log[Part Name],$A25,T_TTAFStock_Log[WeekIndex],72))</f>
        <v/>
      </c>
      <c r="BV25" s="13">
        <f>IF(COUNTIFS(T_TTAFStock_Log[Part Name],$A25,T_TTAFStock_Log[WeekIndex],73)=0,"",SUMIFS(T_TTAFStock_Log[TTAF_Qty],T_TTAFStock_Log[Part Name],$A25,T_TTAFStock_Log[WeekIndex],73))</f>
        <v/>
      </c>
      <c r="BW25" s="13">
        <f>IF(COUNTIFS(T_TTAFStock_Log[Part Name],$A25,T_TTAFStock_Log[WeekIndex],74)=0,"",SUMIFS(T_TTAFStock_Log[TTAF_Qty],T_TTAFStock_Log[Part Name],$A25,T_TTAFStock_Log[WeekIndex],74))</f>
        <v/>
      </c>
      <c r="BX25" s="13">
        <f>IF(COUNTIFS(T_TTAFStock_Log[Part Name],$A25,T_TTAFStock_Log[WeekIndex],75)=0,"",SUMIFS(T_TTAFStock_Log[TTAF_Qty],T_TTAFStock_Log[Part Name],$A25,T_TTAFStock_Log[WeekIndex],75))</f>
        <v/>
      </c>
      <c r="BY25" s="13">
        <f>IF(COUNTIFS(T_TTAFStock_Log[Part Name],$A25,T_TTAFStock_Log[WeekIndex],76)=0,"",SUMIFS(T_TTAFStock_Log[TTAF_Qty],T_TTAFStock_Log[Part Name],$A25,T_TTAFStock_Log[WeekIndex],76))</f>
        <v/>
      </c>
      <c r="BZ25" s="13">
        <f>IF(COUNTIFS(T_TTAFStock_Log[Part Name],$A25,T_TTAFStock_Log[WeekIndex],77)=0,"",SUMIFS(T_TTAFStock_Log[TTAF_Qty],T_TTAFStock_Log[Part Name],$A25,T_TTAFStock_Log[WeekIndex],77))</f>
        <v/>
      </c>
      <c r="CA25" s="13">
        <f>IF(COUNTIFS(T_TTAFStock_Log[Part Name],$A25,T_TTAFStock_Log[WeekIndex],78)=0,"",SUMIFS(T_TTAFStock_Log[TTAF_Qty],T_TTAFStock_Log[Part Name],$A25,T_TTAFStock_Log[WeekIndex],78))</f>
        <v/>
      </c>
      <c r="CB25" s="13">
        <f>IF(COUNTIFS(T_TTAFStock_Log[Part Name],$A25,T_TTAFStock_Log[WeekIndex],79)=0,"",SUMIFS(T_TTAFStock_Log[TTAF_Qty],T_TTAFStock_Log[Part Name],$A25,T_TTAFStock_Log[WeekIndex],79))</f>
        <v/>
      </c>
      <c r="CC25" s="13">
        <f>IF(COUNTIFS(T_TTAFStock_Log[Part Name],$A25,T_TTAFStock_Log[WeekIndex],80)=0,"",SUMIFS(T_TTAFStock_Log[TTAF_Qty],T_TTAFStock_Log[Part Name],$A25,T_TTAFStock_Log[WeekIndex],80))</f>
        <v/>
      </c>
      <c r="CD25" s="13">
        <f>IF(COUNTIFS(T_TTAFStock_Log[Part Name],$A25,T_TTAFStock_Log[WeekIndex],81)=0,"",SUMIFS(T_TTAFStock_Log[TTAF_Qty],T_TTAFStock_Log[Part Name],$A25,T_TTAFStock_Log[WeekIndex],81))</f>
        <v/>
      </c>
      <c r="CE25" s="13">
        <f>IF(COUNTIFS(T_TTAFStock_Log[Part Name],$A25,T_TTAFStock_Log[WeekIndex],82)=0,"",SUMIFS(T_TTAFStock_Log[TTAF_Qty],T_TTAFStock_Log[Part Name],$A25,T_TTAFStock_Log[WeekIndex],82))</f>
        <v/>
      </c>
      <c r="CF25" s="13">
        <f>IF(COUNTIFS(T_TTAFStock_Log[Part Name],$A25,T_TTAFStock_Log[WeekIndex],83)=0,"",SUMIFS(T_TTAFStock_Log[TTAF_Qty],T_TTAFStock_Log[Part Name],$A25,T_TTAFStock_Log[WeekIndex],83))</f>
        <v/>
      </c>
      <c r="CG25" s="13">
        <f>IF(COUNTIFS(T_TTAFStock_Log[Part Name],$A25,T_TTAFStock_Log[WeekIndex],84)=0,"",SUMIFS(T_TTAFStock_Log[TTAF_Qty],T_TTAFStock_Log[Part Name],$A25,T_TTAFStock_Log[WeekIndex],84))</f>
        <v/>
      </c>
      <c r="CH25" s="13">
        <f>IF(COUNTIFS(T_TTAFStock_Log[Part Name],$A25,T_TTAFStock_Log[WeekIndex],85)=0,"",SUMIFS(T_TTAFStock_Log[TTAF_Qty],T_TTAFStock_Log[Part Name],$A25,T_TTAFStock_Log[WeekIndex],85))</f>
        <v/>
      </c>
      <c r="CI25" s="13">
        <f>IF(COUNTIFS(T_TTAFStock_Log[Part Name],$A25,T_TTAFStock_Log[WeekIndex],86)=0,"",SUMIFS(T_TTAFStock_Log[TTAF_Qty],T_TTAFStock_Log[Part Name],$A25,T_TTAFStock_Log[WeekIndex],86))</f>
        <v/>
      </c>
      <c r="CJ25" s="13">
        <f>IF(COUNTIFS(T_TTAFStock_Log[Part Name],$A25,T_TTAFStock_Log[WeekIndex],87)=0,"",SUMIFS(T_TTAFStock_Log[TTAF_Qty],T_TTAFStock_Log[Part Name],$A25,T_TTAFStock_Log[WeekIndex],87))</f>
        <v/>
      </c>
      <c r="CK25" s="13">
        <f>IF(COUNTIFS(T_TTAFStock_Log[Part Name],$A25,T_TTAFStock_Log[WeekIndex],88)=0,"",SUMIFS(T_TTAFStock_Log[TTAF_Qty],T_TTAFStock_Log[Part Name],$A25,T_TTAFStock_Log[WeekIndex],88))</f>
        <v/>
      </c>
      <c r="CL25" s="13">
        <f>IF(COUNTIFS(T_TTAFStock_Log[Part Name],$A25,T_TTAFStock_Log[WeekIndex],89)=0,"",SUMIFS(T_TTAFStock_Log[TTAF_Qty],T_TTAFStock_Log[Part Name],$A25,T_TTAFStock_Log[WeekIndex],89))</f>
        <v/>
      </c>
      <c r="CM25" s="13">
        <f>IF(COUNTIFS(T_TTAFStock_Log[Part Name],$A25,T_TTAFStock_Log[WeekIndex],90)=0,"",SUMIFS(T_TTAFStock_Log[TTAF_Qty],T_TTAFStock_Log[Part Name],$A25,T_TTAFStock_Log[WeekIndex],90))</f>
        <v/>
      </c>
      <c r="CN25" s="13">
        <f>IF(COUNTIFS(T_TTAFStock_Log[Part Name],$A25,T_TTAFStock_Log[WeekIndex],91)=0,"",SUMIFS(T_TTAFStock_Log[TTAF_Qty],T_TTAFStock_Log[Part Name],$A25,T_TTAFStock_Log[WeekIndex],91))</f>
        <v/>
      </c>
      <c r="CO25" s="13">
        <f>IF(COUNTIFS(T_TTAFStock_Log[Part Name],$A25,T_TTAFStock_Log[WeekIndex],92)=0,"",SUMIFS(T_TTAFStock_Log[TTAF_Qty],T_TTAFStock_Log[Part Name],$A25,T_TTAFStock_Log[WeekIndex],92))</f>
        <v/>
      </c>
      <c r="CP25" s="13">
        <f>IF(COUNTIFS(T_TTAFStock_Log[Part Name],$A25,T_TTAFStock_Log[WeekIndex],93)=0,"",SUMIFS(T_TTAFStock_Log[TTAF_Qty],T_TTAFStock_Log[Part Name],$A25,T_TTAFStock_Log[WeekIndex],93))</f>
        <v/>
      </c>
      <c r="CQ25" s="13">
        <f>IF(COUNTIFS(T_TTAFStock_Log[Part Name],$A25,T_TTAFStock_Log[WeekIndex],94)=0,"",SUMIFS(T_TTAFStock_Log[TTAF_Qty],T_TTAFStock_Log[Part Name],$A25,T_TTAFStock_Log[WeekIndex],94))</f>
        <v/>
      </c>
      <c r="CR25" s="13">
        <f>IF(COUNTIFS(T_TTAFStock_Log[Part Name],$A25,T_TTAFStock_Log[WeekIndex],95)=0,"",SUMIFS(T_TTAFStock_Log[TTAF_Qty],T_TTAFStock_Log[Part Name],$A25,T_TTAFStock_Log[WeekIndex],95))</f>
        <v/>
      </c>
      <c r="CS25" s="13">
        <f>IF(COUNTIFS(T_TTAFStock_Log[Part Name],$A25,T_TTAFStock_Log[WeekIndex],96)=0,"",SUMIFS(T_TTAFStock_Log[TTAF_Qty],T_TTAFStock_Log[Part Name],$A25,T_TTAFStock_Log[WeekIndex],96))</f>
        <v/>
      </c>
      <c r="CT25" s="13">
        <f>IF(COUNTIFS(T_TTAFStock_Log[Part Name],$A25,T_TTAFStock_Log[WeekIndex],97)=0,"",SUMIFS(T_TTAFStock_Log[TTAF_Qty],T_TTAFStock_Log[Part Name],$A25,T_TTAFStock_Log[WeekIndex],97))</f>
        <v/>
      </c>
      <c r="CU25" s="13">
        <f>IF(COUNTIFS(T_TTAFStock_Log[Part Name],$A25,T_TTAFStock_Log[WeekIndex],98)=0,"",SUMIFS(T_TTAFStock_Log[TTAF_Qty],T_TTAFStock_Log[Part Name],$A25,T_TTAFStock_Log[WeekIndex],98))</f>
        <v/>
      </c>
      <c r="CV25" s="13">
        <f>IF(COUNTIFS(T_TTAFStock_Log[Part Name],$A25,T_TTAFStock_Log[WeekIndex],99)=0,"",SUMIFS(T_TTAFStock_Log[TTAF_Qty],T_TTAFStock_Log[Part Name],$A25,T_TTAFStock_Log[WeekIndex],99))</f>
        <v/>
      </c>
      <c r="CW25" s="13">
        <f>IF(COUNTIFS(T_TTAFStock_Log[Part Name],$A25,T_TTAFStock_Log[WeekIndex],100)=0,"",SUMIFS(T_TTAFStock_Log[TTAF_Qty],T_TTAFStock_Log[Part Name],$A25,T_TTAFStock_Log[WeekIndex],100))</f>
        <v/>
      </c>
      <c r="CX25" s="13">
        <f>IF(COUNTIFS(T_TTAFStock_Log[Part Name],$A25,T_TTAFStock_Log[WeekIndex],101)=0,"",SUMIFS(T_TTAFStock_Log[TTAF_Qty],T_TTAFStock_Log[Part Name],$A25,T_TTAFStock_Log[WeekIndex],101))</f>
        <v/>
      </c>
      <c r="CY25" s="13">
        <f>IF(COUNTIFS(T_TTAFStock_Log[Part Name],$A25,T_TTAFStock_Log[WeekIndex],102)=0,"",SUMIFS(T_TTAFStock_Log[TTAF_Qty],T_TTAFStock_Log[Part Name],$A25,T_TTAFStock_Log[WeekIndex],102))</f>
        <v/>
      </c>
      <c r="CZ25" s="13">
        <f>IF(COUNTIFS(T_TTAFStock_Log[Part Name],$A25,T_TTAFStock_Log[WeekIndex],103)=0,"",SUMIFS(T_TTAFStock_Log[TTAF_Qty],T_TTAFStock_Log[Part Name],$A25,T_TTAFStock_Log[WeekIndex],103))</f>
        <v/>
      </c>
      <c r="DA25" s="13">
        <f>IF(COUNTIFS(T_TTAFStock_Log[Part Name],$A25,T_TTAFStock_Log[WeekIndex],104)=0,"",SUMIFS(T_TTAFStock_Log[TTAF_Qty],T_TTAFStock_Log[Part Name],$A25,T_TTAFStock_Log[WeekIndex],104))</f>
        <v/>
      </c>
    </row>
    <row r="26">
      <c r="A26" s="12" t="inlineStr">
        <is>
          <t>0JN</t>
        </is>
      </c>
      <c r="B26" s="12">
        <f>IF(COUNTIFS(T_TTAFStock_Log[Part Name],$A26,T_TTAFStock_Log[WeekIndex],1)=0,"",SUMIFS(T_TTAFStock_Log[TTAF_Qty],T_TTAFStock_Log[Part Name],$A26,T_TTAFStock_Log[WeekIndex],1))</f>
        <v/>
      </c>
      <c r="C26" s="12">
        <f>IF(COUNTIFS(T_TTAFStock_Log[Part Name],$A26,T_TTAFStock_Log[WeekIndex],2)=0,"",SUMIFS(T_TTAFStock_Log[TTAF_Qty],T_TTAFStock_Log[Part Name],$A26,T_TTAFStock_Log[WeekIndex],2))</f>
        <v/>
      </c>
      <c r="D26" s="12">
        <f>IF(COUNTIFS(T_TTAFStock_Log[Part Name],$A26,T_TTAFStock_Log[WeekIndex],3)=0,"",SUMIFS(T_TTAFStock_Log[TTAF_Qty],T_TTAFStock_Log[Part Name],$A26,T_TTAFStock_Log[WeekIndex],3))</f>
        <v/>
      </c>
      <c r="E26" s="12">
        <f>IF(COUNTIFS(T_TTAFStock_Log[Part Name],$A26,T_TTAFStock_Log[WeekIndex],4)=0,"",SUMIFS(T_TTAFStock_Log[TTAF_Qty],T_TTAFStock_Log[Part Name],$A26,T_TTAFStock_Log[WeekIndex],4))</f>
        <v/>
      </c>
      <c r="F26" s="12">
        <f>IF(COUNTIFS(T_TTAFStock_Log[Part Name],$A26,T_TTAFStock_Log[WeekIndex],5)=0,"",SUMIFS(T_TTAFStock_Log[TTAF_Qty],T_TTAFStock_Log[Part Name],$A26,T_TTAFStock_Log[WeekIndex],5))</f>
        <v/>
      </c>
      <c r="G26" s="12">
        <f>IF(COUNTIFS(T_TTAFStock_Log[Part Name],$A26,T_TTAFStock_Log[WeekIndex],6)=0,"",SUMIFS(T_TTAFStock_Log[TTAF_Qty],T_TTAFStock_Log[Part Name],$A26,T_TTAFStock_Log[WeekIndex],6))</f>
        <v/>
      </c>
      <c r="H26" s="12">
        <f>IF(COUNTIFS(T_TTAFStock_Log[Part Name],$A26,T_TTAFStock_Log[WeekIndex],7)=0,"",SUMIFS(T_TTAFStock_Log[TTAF_Qty],T_TTAFStock_Log[Part Name],$A26,T_TTAFStock_Log[WeekIndex],7))</f>
        <v/>
      </c>
      <c r="I26" s="12">
        <f>IF(COUNTIFS(T_TTAFStock_Log[Part Name],$A26,T_TTAFStock_Log[WeekIndex],8)=0,"",SUMIFS(T_TTAFStock_Log[TTAF_Qty],T_TTAFStock_Log[Part Name],$A26,T_TTAFStock_Log[WeekIndex],8))</f>
        <v/>
      </c>
      <c r="J26" s="12">
        <f>IF(COUNTIFS(T_TTAFStock_Log[Part Name],$A26,T_TTAFStock_Log[WeekIndex],9)=0,"",SUMIFS(T_TTAFStock_Log[TTAF_Qty],T_TTAFStock_Log[Part Name],$A26,T_TTAFStock_Log[WeekIndex],9))</f>
        <v/>
      </c>
      <c r="K26" s="12">
        <f>IF(COUNTIFS(T_TTAFStock_Log[Part Name],$A26,T_TTAFStock_Log[WeekIndex],10)=0,"",SUMIFS(T_TTAFStock_Log[TTAF_Qty],T_TTAFStock_Log[Part Name],$A26,T_TTAFStock_Log[WeekIndex],10))</f>
        <v/>
      </c>
      <c r="L26" s="12">
        <f>IF(COUNTIFS(T_TTAFStock_Log[Part Name],$A26,T_TTAFStock_Log[WeekIndex],11)=0,"",SUMIFS(T_TTAFStock_Log[TTAF_Qty],T_TTAFStock_Log[Part Name],$A26,T_TTAFStock_Log[WeekIndex],11))</f>
        <v/>
      </c>
      <c r="M26" s="12">
        <f>IF(COUNTIFS(T_TTAFStock_Log[Part Name],$A26,T_TTAFStock_Log[WeekIndex],12)=0,"",SUMIFS(T_TTAFStock_Log[TTAF_Qty],T_TTAFStock_Log[Part Name],$A26,T_TTAFStock_Log[WeekIndex],12))</f>
        <v/>
      </c>
      <c r="N26" s="12">
        <f>IF(COUNTIFS(T_TTAFStock_Log[Part Name],$A26,T_TTAFStock_Log[WeekIndex],13)=0,"",SUMIFS(T_TTAFStock_Log[TTAF_Qty],T_TTAFStock_Log[Part Name],$A26,T_TTAFStock_Log[WeekIndex],13))</f>
        <v/>
      </c>
      <c r="O26" s="12">
        <f>IF(COUNTIFS(T_TTAFStock_Log[Part Name],$A26,T_TTAFStock_Log[WeekIndex],14)=0,"",SUMIFS(T_TTAFStock_Log[TTAF_Qty],T_TTAFStock_Log[Part Name],$A26,T_TTAFStock_Log[WeekIndex],14))</f>
        <v/>
      </c>
      <c r="P26" s="12">
        <f>IF(COUNTIFS(T_TTAFStock_Log[Part Name],$A26,T_TTAFStock_Log[WeekIndex],15)=0,"",SUMIFS(T_TTAFStock_Log[TTAF_Qty],T_TTAFStock_Log[Part Name],$A26,T_TTAFStock_Log[WeekIndex],15))</f>
        <v/>
      </c>
      <c r="Q26" s="12">
        <f>IF(COUNTIFS(T_TTAFStock_Log[Part Name],$A26,T_TTAFStock_Log[WeekIndex],16)=0,"",SUMIFS(T_TTAFStock_Log[TTAF_Qty],T_TTAFStock_Log[Part Name],$A26,T_TTAFStock_Log[WeekIndex],16))</f>
        <v/>
      </c>
      <c r="R26" s="12">
        <f>IF(COUNTIFS(T_TTAFStock_Log[Part Name],$A26,T_TTAFStock_Log[WeekIndex],17)=0,"",SUMIFS(T_TTAFStock_Log[TTAF_Qty],T_TTAFStock_Log[Part Name],$A26,T_TTAFStock_Log[WeekIndex],17))</f>
        <v/>
      </c>
      <c r="S26" s="12">
        <f>IF(COUNTIFS(T_TTAFStock_Log[Part Name],$A26,T_TTAFStock_Log[WeekIndex],18)=0,"",SUMIFS(T_TTAFStock_Log[TTAF_Qty],T_TTAFStock_Log[Part Name],$A26,T_TTAFStock_Log[WeekIndex],18))</f>
        <v/>
      </c>
      <c r="T26" s="12">
        <f>IF(COUNTIFS(T_TTAFStock_Log[Part Name],$A26,T_TTAFStock_Log[WeekIndex],19)=0,"",SUMIFS(T_TTAFStock_Log[TTAF_Qty],T_TTAFStock_Log[Part Name],$A26,T_TTAFStock_Log[WeekIndex],19))</f>
        <v/>
      </c>
      <c r="U26" s="12">
        <f>IF(COUNTIFS(T_TTAFStock_Log[Part Name],$A26,T_TTAFStock_Log[WeekIndex],20)=0,"",SUMIFS(T_TTAFStock_Log[TTAF_Qty],T_TTAFStock_Log[Part Name],$A26,T_TTAFStock_Log[WeekIndex],20))</f>
        <v/>
      </c>
      <c r="V26" s="12">
        <f>IF(COUNTIFS(T_TTAFStock_Log[Part Name],$A26,T_TTAFStock_Log[WeekIndex],21)=0,"",SUMIFS(T_TTAFStock_Log[TTAF_Qty],T_TTAFStock_Log[Part Name],$A26,T_TTAFStock_Log[WeekIndex],21))</f>
        <v/>
      </c>
      <c r="W26" s="12">
        <f>IF(COUNTIFS(T_TTAFStock_Log[Part Name],$A26,T_TTAFStock_Log[WeekIndex],22)=0,"",SUMIFS(T_TTAFStock_Log[TTAF_Qty],T_TTAFStock_Log[Part Name],$A26,T_TTAFStock_Log[WeekIndex],22))</f>
        <v/>
      </c>
      <c r="X26" s="12">
        <f>IF(COUNTIFS(T_TTAFStock_Log[Part Name],$A26,T_TTAFStock_Log[WeekIndex],23)=0,"",SUMIFS(T_TTAFStock_Log[TTAF_Qty],T_TTAFStock_Log[Part Name],$A26,T_TTAFStock_Log[WeekIndex],23))</f>
        <v/>
      </c>
      <c r="Y26" s="12">
        <f>IF(COUNTIFS(T_TTAFStock_Log[Part Name],$A26,T_TTAFStock_Log[WeekIndex],24)=0,"",SUMIFS(T_TTAFStock_Log[TTAF_Qty],T_TTAFStock_Log[Part Name],$A26,T_TTAFStock_Log[WeekIndex],24))</f>
        <v/>
      </c>
      <c r="Z26" s="12">
        <f>IF(COUNTIFS(T_TTAFStock_Log[Part Name],$A26,T_TTAFStock_Log[WeekIndex],25)=0,"",SUMIFS(T_TTAFStock_Log[TTAF_Qty],T_TTAFStock_Log[Part Name],$A26,T_TTAFStock_Log[WeekIndex],25))</f>
        <v/>
      </c>
      <c r="AA26" s="12">
        <f>IF(COUNTIFS(T_TTAFStock_Log[Part Name],$A26,T_TTAFStock_Log[WeekIndex],26)=0,"",SUMIFS(T_TTAFStock_Log[TTAF_Qty],T_TTAFStock_Log[Part Name],$A26,T_TTAFStock_Log[WeekIndex],26))</f>
        <v/>
      </c>
      <c r="AB26" s="12">
        <f>IF(COUNTIFS(T_TTAFStock_Log[Part Name],$A26,T_TTAFStock_Log[WeekIndex],27)=0,"",SUMIFS(T_TTAFStock_Log[TTAF_Qty],T_TTAFStock_Log[Part Name],$A26,T_TTAFStock_Log[WeekIndex],27))</f>
        <v/>
      </c>
      <c r="AC26" s="12">
        <f>IF(COUNTIFS(T_TTAFStock_Log[Part Name],$A26,T_TTAFStock_Log[WeekIndex],28)=0,"",SUMIFS(T_TTAFStock_Log[TTAF_Qty],T_TTAFStock_Log[Part Name],$A26,T_TTAFStock_Log[WeekIndex],28))</f>
        <v/>
      </c>
      <c r="AD26" s="12">
        <f>IF(COUNTIFS(T_TTAFStock_Log[Part Name],$A26,T_TTAFStock_Log[WeekIndex],29)=0,"",SUMIFS(T_TTAFStock_Log[TTAF_Qty],T_TTAFStock_Log[Part Name],$A26,T_TTAFStock_Log[WeekIndex],29))</f>
        <v/>
      </c>
      <c r="AE26" s="12">
        <f>IF(COUNTIFS(T_TTAFStock_Log[Part Name],$A26,T_TTAFStock_Log[WeekIndex],30)=0,"",SUMIFS(T_TTAFStock_Log[TTAF_Qty],T_TTAFStock_Log[Part Name],$A26,T_TTAFStock_Log[WeekIndex],30))</f>
        <v/>
      </c>
      <c r="AF26" s="12">
        <f>IF(COUNTIFS(T_TTAFStock_Log[Part Name],$A26,T_TTAFStock_Log[WeekIndex],31)=0,"",SUMIFS(T_TTAFStock_Log[TTAF_Qty],T_TTAFStock_Log[Part Name],$A26,T_TTAFStock_Log[WeekIndex],31))</f>
        <v/>
      </c>
      <c r="AG26" s="12">
        <f>IF(COUNTIFS(T_TTAFStock_Log[Part Name],$A26,T_TTAFStock_Log[WeekIndex],32)=0,"",SUMIFS(T_TTAFStock_Log[TTAF_Qty],T_TTAFStock_Log[Part Name],$A26,T_TTAFStock_Log[WeekIndex],32))</f>
        <v/>
      </c>
      <c r="AH26" s="12">
        <f>IF(COUNTIFS(T_TTAFStock_Log[Part Name],$A26,T_TTAFStock_Log[WeekIndex],33)=0,"",SUMIFS(T_TTAFStock_Log[TTAF_Qty],T_TTAFStock_Log[Part Name],$A26,T_TTAFStock_Log[WeekIndex],33))</f>
        <v/>
      </c>
      <c r="AI26" s="12">
        <f>IF(COUNTIFS(T_TTAFStock_Log[Part Name],$A26,T_TTAFStock_Log[WeekIndex],34)=0,"",SUMIFS(T_TTAFStock_Log[TTAF_Qty],T_TTAFStock_Log[Part Name],$A26,T_TTAFStock_Log[WeekIndex],34))</f>
        <v/>
      </c>
      <c r="AJ26" s="12">
        <f>IF(COUNTIFS(T_TTAFStock_Log[Part Name],$A26,T_TTAFStock_Log[WeekIndex],35)=0,"",SUMIFS(T_TTAFStock_Log[TTAF_Qty],T_TTAFStock_Log[Part Name],$A26,T_TTAFStock_Log[WeekIndex],35))</f>
        <v/>
      </c>
      <c r="AK26" s="12">
        <f>IF(COUNTIFS(T_TTAFStock_Log[Part Name],$A26,T_TTAFStock_Log[WeekIndex],36)=0,"",SUMIFS(T_TTAFStock_Log[TTAF_Qty],T_TTAFStock_Log[Part Name],$A26,T_TTAFStock_Log[WeekIndex],36))</f>
        <v/>
      </c>
      <c r="AL26" s="12">
        <f>IF(COUNTIFS(T_TTAFStock_Log[Part Name],$A26,T_TTAFStock_Log[WeekIndex],37)=0,"",SUMIFS(T_TTAFStock_Log[TTAF_Qty],T_TTAFStock_Log[Part Name],$A26,T_TTAFStock_Log[WeekIndex],37))</f>
        <v/>
      </c>
      <c r="AM26" s="12">
        <f>IF(COUNTIFS(T_TTAFStock_Log[Part Name],$A26,T_TTAFStock_Log[WeekIndex],38)=0,"",SUMIFS(T_TTAFStock_Log[TTAF_Qty],T_TTAFStock_Log[Part Name],$A26,T_TTAFStock_Log[WeekIndex],38))</f>
        <v/>
      </c>
      <c r="AN26" s="12">
        <f>IF(COUNTIFS(T_TTAFStock_Log[Part Name],$A26,T_TTAFStock_Log[WeekIndex],39)=0,"",SUMIFS(T_TTAFStock_Log[TTAF_Qty],T_TTAFStock_Log[Part Name],$A26,T_TTAFStock_Log[WeekIndex],39))</f>
        <v/>
      </c>
      <c r="AO26" s="12">
        <f>IF(COUNTIFS(T_TTAFStock_Log[Part Name],$A26,T_TTAFStock_Log[WeekIndex],40)=0,"",SUMIFS(T_TTAFStock_Log[TTAF_Qty],T_TTAFStock_Log[Part Name],$A26,T_TTAFStock_Log[WeekIndex],40))</f>
        <v/>
      </c>
      <c r="AP26" s="12">
        <f>IF(COUNTIFS(T_TTAFStock_Log[Part Name],$A26,T_TTAFStock_Log[WeekIndex],41)=0,"",SUMIFS(T_TTAFStock_Log[TTAF_Qty],T_TTAFStock_Log[Part Name],$A26,T_TTAFStock_Log[WeekIndex],41))</f>
        <v/>
      </c>
      <c r="AQ26" s="12">
        <f>IF(COUNTIFS(T_TTAFStock_Log[Part Name],$A26,T_TTAFStock_Log[WeekIndex],42)=0,"",SUMIFS(T_TTAFStock_Log[TTAF_Qty],T_TTAFStock_Log[Part Name],$A26,T_TTAFStock_Log[WeekIndex],42))</f>
        <v/>
      </c>
      <c r="AR26" s="12">
        <f>IF(COUNTIFS(T_TTAFStock_Log[Part Name],$A26,T_TTAFStock_Log[WeekIndex],43)=0,"",SUMIFS(T_TTAFStock_Log[TTAF_Qty],T_TTAFStock_Log[Part Name],$A26,T_TTAFStock_Log[WeekIndex],43))</f>
        <v/>
      </c>
      <c r="AS26" s="12">
        <f>IF(COUNTIFS(T_TTAFStock_Log[Part Name],$A26,T_TTAFStock_Log[WeekIndex],44)=0,"",SUMIFS(T_TTAFStock_Log[TTAF_Qty],T_TTAFStock_Log[Part Name],$A26,T_TTAFStock_Log[WeekIndex],44))</f>
        <v/>
      </c>
      <c r="AT26" s="12">
        <f>IF(COUNTIFS(T_TTAFStock_Log[Part Name],$A26,T_TTAFStock_Log[WeekIndex],45)=0,"",SUMIFS(T_TTAFStock_Log[TTAF_Qty],T_TTAFStock_Log[Part Name],$A26,T_TTAFStock_Log[WeekIndex],45))</f>
        <v/>
      </c>
      <c r="AU26" s="12">
        <f>IF(COUNTIFS(T_TTAFStock_Log[Part Name],$A26,T_TTAFStock_Log[WeekIndex],46)=0,"",SUMIFS(T_TTAFStock_Log[TTAF_Qty],T_TTAFStock_Log[Part Name],$A26,T_TTAFStock_Log[WeekIndex],46))</f>
        <v/>
      </c>
      <c r="AV26" s="12">
        <f>IF(COUNTIFS(T_TTAFStock_Log[Part Name],$A26,T_TTAFStock_Log[WeekIndex],47)=0,"",SUMIFS(T_TTAFStock_Log[TTAF_Qty],T_TTAFStock_Log[Part Name],$A26,T_TTAFStock_Log[WeekIndex],47))</f>
        <v/>
      </c>
      <c r="AW26" s="12">
        <f>IF(COUNTIFS(T_TTAFStock_Log[Part Name],$A26,T_TTAFStock_Log[WeekIndex],48)=0,"",SUMIFS(T_TTAFStock_Log[TTAF_Qty],T_TTAFStock_Log[Part Name],$A26,T_TTAFStock_Log[WeekIndex],48))</f>
        <v/>
      </c>
      <c r="AX26" s="12">
        <f>IF(COUNTIFS(T_TTAFStock_Log[Part Name],$A26,T_TTAFStock_Log[WeekIndex],49)=0,"",SUMIFS(T_TTAFStock_Log[TTAF_Qty],T_TTAFStock_Log[Part Name],$A26,T_TTAFStock_Log[WeekIndex],49))</f>
        <v/>
      </c>
      <c r="AY26" s="12">
        <f>IF(COUNTIFS(T_TTAFStock_Log[Part Name],$A26,T_TTAFStock_Log[WeekIndex],50)=0,"",SUMIFS(T_TTAFStock_Log[TTAF_Qty],T_TTAFStock_Log[Part Name],$A26,T_TTAFStock_Log[WeekIndex],50))</f>
        <v/>
      </c>
      <c r="AZ26" s="12">
        <f>IF(COUNTIFS(T_TTAFStock_Log[Part Name],$A26,T_TTAFStock_Log[WeekIndex],51)=0,"",SUMIFS(T_TTAFStock_Log[TTAF_Qty],T_TTAFStock_Log[Part Name],$A26,T_TTAFStock_Log[WeekIndex],51))</f>
        <v/>
      </c>
      <c r="BA26" s="12">
        <f>IF(COUNTIFS(T_TTAFStock_Log[Part Name],$A26,T_TTAFStock_Log[WeekIndex],52)=0,"",SUMIFS(T_TTAFStock_Log[TTAF_Qty],T_TTAFStock_Log[Part Name],$A26,T_TTAFStock_Log[WeekIndex],52))</f>
        <v/>
      </c>
      <c r="BB26" s="12">
        <f>IF(COUNTIFS(T_TTAFStock_Log[Part Name],$A26,T_TTAFStock_Log[WeekIndex],53)=0,"",SUMIFS(T_TTAFStock_Log[TTAF_Qty],T_TTAFStock_Log[Part Name],$A26,T_TTAFStock_Log[WeekIndex],53))</f>
        <v/>
      </c>
      <c r="BC26" s="12">
        <f>IF(COUNTIFS(T_TTAFStock_Log[Part Name],$A26,T_TTAFStock_Log[WeekIndex],54)=0,"",SUMIFS(T_TTAFStock_Log[TTAF_Qty],T_TTAFStock_Log[Part Name],$A26,T_TTAFStock_Log[WeekIndex],54))</f>
        <v/>
      </c>
      <c r="BD26" s="12">
        <f>IF(COUNTIFS(T_TTAFStock_Log[Part Name],$A26,T_TTAFStock_Log[WeekIndex],55)=0,"",SUMIFS(T_TTAFStock_Log[TTAF_Qty],T_TTAFStock_Log[Part Name],$A26,T_TTAFStock_Log[WeekIndex],55))</f>
        <v/>
      </c>
      <c r="BE26" s="12">
        <f>IF(COUNTIFS(T_TTAFStock_Log[Part Name],$A26,T_TTAFStock_Log[WeekIndex],56)=0,"",SUMIFS(T_TTAFStock_Log[TTAF_Qty],T_TTAFStock_Log[Part Name],$A26,T_TTAFStock_Log[WeekIndex],56))</f>
        <v/>
      </c>
      <c r="BF26" s="12">
        <f>IF(COUNTIFS(T_TTAFStock_Log[Part Name],$A26,T_TTAFStock_Log[WeekIndex],57)=0,"",SUMIFS(T_TTAFStock_Log[TTAF_Qty],T_TTAFStock_Log[Part Name],$A26,T_TTAFStock_Log[WeekIndex],57))</f>
        <v/>
      </c>
      <c r="BG26" s="12">
        <f>IF(COUNTIFS(T_TTAFStock_Log[Part Name],$A26,T_TTAFStock_Log[WeekIndex],58)=0,"",SUMIFS(T_TTAFStock_Log[TTAF_Qty],T_TTAFStock_Log[Part Name],$A26,T_TTAFStock_Log[WeekIndex],58))</f>
        <v/>
      </c>
      <c r="BH26" s="12">
        <f>IF(COUNTIFS(T_TTAFStock_Log[Part Name],$A26,T_TTAFStock_Log[WeekIndex],59)=0,"",SUMIFS(T_TTAFStock_Log[TTAF_Qty],T_TTAFStock_Log[Part Name],$A26,T_TTAFStock_Log[WeekIndex],59))</f>
        <v/>
      </c>
      <c r="BI26" s="12">
        <f>IF(COUNTIFS(T_TTAFStock_Log[Part Name],$A26,T_TTAFStock_Log[WeekIndex],60)=0,"",SUMIFS(T_TTAFStock_Log[TTAF_Qty],T_TTAFStock_Log[Part Name],$A26,T_TTAFStock_Log[WeekIndex],60))</f>
        <v/>
      </c>
      <c r="BJ26" s="12">
        <f>IF(COUNTIFS(T_TTAFStock_Log[Part Name],$A26,T_TTAFStock_Log[WeekIndex],61)=0,"",SUMIFS(T_TTAFStock_Log[TTAF_Qty],T_TTAFStock_Log[Part Name],$A26,T_TTAFStock_Log[WeekIndex],61))</f>
        <v/>
      </c>
      <c r="BK26" s="12">
        <f>IF(COUNTIFS(T_TTAFStock_Log[Part Name],$A26,T_TTAFStock_Log[WeekIndex],62)=0,"",SUMIFS(T_TTAFStock_Log[TTAF_Qty],T_TTAFStock_Log[Part Name],$A26,T_TTAFStock_Log[WeekIndex],62))</f>
        <v/>
      </c>
      <c r="BL26" s="12">
        <f>IF(COUNTIFS(T_TTAFStock_Log[Part Name],$A26,T_TTAFStock_Log[WeekIndex],63)=0,"",SUMIFS(T_TTAFStock_Log[TTAF_Qty],T_TTAFStock_Log[Part Name],$A26,T_TTAFStock_Log[WeekIndex],63))</f>
        <v/>
      </c>
      <c r="BM26" s="12">
        <f>IF(COUNTIFS(T_TTAFStock_Log[Part Name],$A26,T_TTAFStock_Log[WeekIndex],64)=0,"",SUMIFS(T_TTAFStock_Log[TTAF_Qty],T_TTAFStock_Log[Part Name],$A26,T_TTAFStock_Log[WeekIndex],64))</f>
        <v/>
      </c>
      <c r="BN26" s="12">
        <f>IF(COUNTIFS(T_TTAFStock_Log[Part Name],$A26,T_TTAFStock_Log[WeekIndex],65)=0,"",SUMIFS(T_TTAFStock_Log[TTAF_Qty],T_TTAFStock_Log[Part Name],$A26,T_TTAFStock_Log[WeekIndex],65))</f>
        <v/>
      </c>
      <c r="BO26" s="12">
        <f>IF(COUNTIFS(T_TTAFStock_Log[Part Name],$A26,T_TTAFStock_Log[WeekIndex],66)=0,"",SUMIFS(T_TTAFStock_Log[TTAF_Qty],T_TTAFStock_Log[Part Name],$A26,T_TTAFStock_Log[WeekIndex],66))</f>
        <v/>
      </c>
      <c r="BP26" s="12">
        <f>IF(COUNTIFS(T_TTAFStock_Log[Part Name],$A26,T_TTAFStock_Log[WeekIndex],67)=0,"",SUMIFS(T_TTAFStock_Log[TTAF_Qty],T_TTAFStock_Log[Part Name],$A26,T_TTAFStock_Log[WeekIndex],67))</f>
        <v/>
      </c>
      <c r="BQ26" s="12">
        <f>IF(COUNTIFS(T_TTAFStock_Log[Part Name],$A26,T_TTAFStock_Log[WeekIndex],68)=0,"",SUMIFS(T_TTAFStock_Log[TTAF_Qty],T_TTAFStock_Log[Part Name],$A26,T_TTAFStock_Log[WeekIndex],68))</f>
        <v/>
      </c>
      <c r="BR26" s="12">
        <f>IF(COUNTIFS(T_TTAFStock_Log[Part Name],$A26,T_TTAFStock_Log[WeekIndex],69)=0,"",SUMIFS(T_TTAFStock_Log[TTAF_Qty],T_TTAFStock_Log[Part Name],$A26,T_TTAFStock_Log[WeekIndex],69))</f>
        <v/>
      </c>
      <c r="BS26" s="12">
        <f>IF(COUNTIFS(T_TTAFStock_Log[Part Name],$A26,T_TTAFStock_Log[WeekIndex],70)=0,"",SUMIFS(T_TTAFStock_Log[TTAF_Qty],T_TTAFStock_Log[Part Name],$A26,T_TTAFStock_Log[WeekIndex],70))</f>
        <v/>
      </c>
      <c r="BT26" s="12">
        <f>IF(COUNTIFS(T_TTAFStock_Log[Part Name],$A26,T_TTAFStock_Log[WeekIndex],71)=0,"",SUMIFS(T_TTAFStock_Log[TTAF_Qty],T_TTAFStock_Log[Part Name],$A26,T_TTAFStock_Log[WeekIndex],71))</f>
        <v/>
      </c>
      <c r="BU26" s="12">
        <f>IF(COUNTIFS(T_TTAFStock_Log[Part Name],$A26,T_TTAFStock_Log[WeekIndex],72)=0,"",SUMIFS(T_TTAFStock_Log[TTAF_Qty],T_TTAFStock_Log[Part Name],$A26,T_TTAFStock_Log[WeekIndex],72))</f>
        <v/>
      </c>
      <c r="BV26" s="12">
        <f>IF(COUNTIFS(T_TTAFStock_Log[Part Name],$A26,T_TTAFStock_Log[WeekIndex],73)=0,"",SUMIFS(T_TTAFStock_Log[TTAF_Qty],T_TTAFStock_Log[Part Name],$A26,T_TTAFStock_Log[WeekIndex],73))</f>
        <v/>
      </c>
      <c r="BW26" s="12">
        <f>IF(COUNTIFS(T_TTAFStock_Log[Part Name],$A26,T_TTAFStock_Log[WeekIndex],74)=0,"",SUMIFS(T_TTAFStock_Log[TTAF_Qty],T_TTAFStock_Log[Part Name],$A26,T_TTAFStock_Log[WeekIndex],74))</f>
        <v/>
      </c>
      <c r="BX26" s="12">
        <f>IF(COUNTIFS(T_TTAFStock_Log[Part Name],$A26,T_TTAFStock_Log[WeekIndex],75)=0,"",SUMIFS(T_TTAFStock_Log[TTAF_Qty],T_TTAFStock_Log[Part Name],$A26,T_TTAFStock_Log[WeekIndex],75))</f>
        <v/>
      </c>
      <c r="BY26" s="12">
        <f>IF(COUNTIFS(T_TTAFStock_Log[Part Name],$A26,T_TTAFStock_Log[WeekIndex],76)=0,"",SUMIFS(T_TTAFStock_Log[TTAF_Qty],T_TTAFStock_Log[Part Name],$A26,T_TTAFStock_Log[WeekIndex],76))</f>
        <v/>
      </c>
      <c r="BZ26" s="12">
        <f>IF(COUNTIFS(T_TTAFStock_Log[Part Name],$A26,T_TTAFStock_Log[WeekIndex],77)=0,"",SUMIFS(T_TTAFStock_Log[TTAF_Qty],T_TTAFStock_Log[Part Name],$A26,T_TTAFStock_Log[WeekIndex],77))</f>
        <v/>
      </c>
      <c r="CA26" s="12">
        <f>IF(COUNTIFS(T_TTAFStock_Log[Part Name],$A26,T_TTAFStock_Log[WeekIndex],78)=0,"",SUMIFS(T_TTAFStock_Log[TTAF_Qty],T_TTAFStock_Log[Part Name],$A26,T_TTAFStock_Log[WeekIndex],78))</f>
        <v/>
      </c>
      <c r="CB26" s="12">
        <f>IF(COUNTIFS(T_TTAFStock_Log[Part Name],$A26,T_TTAFStock_Log[WeekIndex],79)=0,"",SUMIFS(T_TTAFStock_Log[TTAF_Qty],T_TTAFStock_Log[Part Name],$A26,T_TTAFStock_Log[WeekIndex],79))</f>
        <v/>
      </c>
      <c r="CC26" s="12">
        <f>IF(COUNTIFS(T_TTAFStock_Log[Part Name],$A26,T_TTAFStock_Log[WeekIndex],80)=0,"",SUMIFS(T_TTAFStock_Log[TTAF_Qty],T_TTAFStock_Log[Part Name],$A26,T_TTAFStock_Log[WeekIndex],80))</f>
        <v/>
      </c>
      <c r="CD26" s="12">
        <f>IF(COUNTIFS(T_TTAFStock_Log[Part Name],$A26,T_TTAFStock_Log[WeekIndex],81)=0,"",SUMIFS(T_TTAFStock_Log[TTAF_Qty],T_TTAFStock_Log[Part Name],$A26,T_TTAFStock_Log[WeekIndex],81))</f>
        <v/>
      </c>
      <c r="CE26" s="12">
        <f>IF(COUNTIFS(T_TTAFStock_Log[Part Name],$A26,T_TTAFStock_Log[WeekIndex],82)=0,"",SUMIFS(T_TTAFStock_Log[TTAF_Qty],T_TTAFStock_Log[Part Name],$A26,T_TTAFStock_Log[WeekIndex],82))</f>
        <v/>
      </c>
      <c r="CF26" s="12">
        <f>IF(COUNTIFS(T_TTAFStock_Log[Part Name],$A26,T_TTAFStock_Log[WeekIndex],83)=0,"",SUMIFS(T_TTAFStock_Log[TTAF_Qty],T_TTAFStock_Log[Part Name],$A26,T_TTAFStock_Log[WeekIndex],83))</f>
        <v/>
      </c>
      <c r="CG26" s="12">
        <f>IF(COUNTIFS(T_TTAFStock_Log[Part Name],$A26,T_TTAFStock_Log[WeekIndex],84)=0,"",SUMIFS(T_TTAFStock_Log[TTAF_Qty],T_TTAFStock_Log[Part Name],$A26,T_TTAFStock_Log[WeekIndex],84))</f>
        <v/>
      </c>
      <c r="CH26" s="12">
        <f>IF(COUNTIFS(T_TTAFStock_Log[Part Name],$A26,T_TTAFStock_Log[WeekIndex],85)=0,"",SUMIFS(T_TTAFStock_Log[TTAF_Qty],T_TTAFStock_Log[Part Name],$A26,T_TTAFStock_Log[WeekIndex],85))</f>
        <v/>
      </c>
      <c r="CI26" s="12">
        <f>IF(COUNTIFS(T_TTAFStock_Log[Part Name],$A26,T_TTAFStock_Log[WeekIndex],86)=0,"",SUMIFS(T_TTAFStock_Log[TTAF_Qty],T_TTAFStock_Log[Part Name],$A26,T_TTAFStock_Log[WeekIndex],86))</f>
        <v/>
      </c>
      <c r="CJ26" s="12">
        <f>IF(COUNTIFS(T_TTAFStock_Log[Part Name],$A26,T_TTAFStock_Log[WeekIndex],87)=0,"",SUMIFS(T_TTAFStock_Log[TTAF_Qty],T_TTAFStock_Log[Part Name],$A26,T_TTAFStock_Log[WeekIndex],87))</f>
        <v/>
      </c>
      <c r="CK26" s="12">
        <f>IF(COUNTIFS(T_TTAFStock_Log[Part Name],$A26,T_TTAFStock_Log[WeekIndex],88)=0,"",SUMIFS(T_TTAFStock_Log[TTAF_Qty],T_TTAFStock_Log[Part Name],$A26,T_TTAFStock_Log[WeekIndex],88))</f>
        <v/>
      </c>
      <c r="CL26" s="12">
        <f>IF(COUNTIFS(T_TTAFStock_Log[Part Name],$A26,T_TTAFStock_Log[WeekIndex],89)=0,"",SUMIFS(T_TTAFStock_Log[TTAF_Qty],T_TTAFStock_Log[Part Name],$A26,T_TTAFStock_Log[WeekIndex],89))</f>
        <v/>
      </c>
      <c r="CM26" s="12">
        <f>IF(COUNTIFS(T_TTAFStock_Log[Part Name],$A26,T_TTAFStock_Log[WeekIndex],90)=0,"",SUMIFS(T_TTAFStock_Log[TTAF_Qty],T_TTAFStock_Log[Part Name],$A26,T_TTAFStock_Log[WeekIndex],90))</f>
        <v/>
      </c>
      <c r="CN26" s="12">
        <f>IF(COUNTIFS(T_TTAFStock_Log[Part Name],$A26,T_TTAFStock_Log[WeekIndex],91)=0,"",SUMIFS(T_TTAFStock_Log[TTAF_Qty],T_TTAFStock_Log[Part Name],$A26,T_TTAFStock_Log[WeekIndex],91))</f>
        <v/>
      </c>
      <c r="CO26" s="12">
        <f>IF(COUNTIFS(T_TTAFStock_Log[Part Name],$A26,T_TTAFStock_Log[WeekIndex],92)=0,"",SUMIFS(T_TTAFStock_Log[TTAF_Qty],T_TTAFStock_Log[Part Name],$A26,T_TTAFStock_Log[WeekIndex],92))</f>
        <v/>
      </c>
      <c r="CP26" s="12">
        <f>IF(COUNTIFS(T_TTAFStock_Log[Part Name],$A26,T_TTAFStock_Log[WeekIndex],93)=0,"",SUMIFS(T_TTAFStock_Log[TTAF_Qty],T_TTAFStock_Log[Part Name],$A26,T_TTAFStock_Log[WeekIndex],93))</f>
        <v/>
      </c>
      <c r="CQ26" s="12">
        <f>IF(COUNTIFS(T_TTAFStock_Log[Part Name],$A26,T_TTAFStock_Log[WeekIndex],94)=0,"",SUMIFS(T_TTAFStock_Log[TTAF_Qty],T_TTAFStock_Log[Part Name],$A26,T_TTAFStock_Log[WeekIndex],94))</f>
        <v/>
      </c>
      <c r="CR26" s="12">
        <f>IF(COUNTIFS(T_TTAFStock_Log[Part Name],$A26,T_TTAFStock_Log[WeekIndex],95)=0,"",SUMIFS(T_TTAFStock_Log[TTAF_Qty],T_TTAFStock_Log[Part Name],$A26,T_TTAFStock_Log[WeekIndex],95))</f>
        <v/>
      </c>
      <c r="CS26" s="12">
        <f>IF(COUNTIFS(T_TTAFStock_Log[Part Name],$A26,T_TTAFStock_Log[WeekIndex],96)=0,"",SUMIFS(T_TTAFStock_Log[TTAF_Qty],T_TTAFStock_Log[Part Name],$A26,T_TTAFStock_Log[WeekIndex],96))</f>
        <v/>
      </c>
      <c r="CT26" s="12">
        <f>IF(COUNTIFS(T_TTAFStock_Log[Part Name],$A26,T_TTAFStock_Log[WeekIndex],97)=0,"",SUMIFS(T_TTAFStock_Log[TTAF_Qty],T_TTAFStock_Log[Part Name],$A26,T_TTAFStock_Log[WeekIndex],97))</f>
        <v/>
      </c>
      <c r="CU26" s="12">
        <f>IF(COUNTIFS(T_TTAFStock_Log[Part Name],$A26,T_TTAFStock_Log[WeekIndex],98)=0,"",SUMIFS(T_TTAFStock_Log[TTAF_Qty],T_TTAFStock_Log[Part Name],$A26,T_TTAFStock_Log[WeekIndex],98))</f>
        <v/>
      </c>
      <c r="CV26" s="12">
        <f>IF(COUNTIFS(T_TTAFStock_Log[Part Name],$A26,T_TTAFStock_Log[WeekIndex],99)=0,"",SUMIFS(T_TTAFStock_Log[TTAF_Qty],T_TTAFStock_Log[Part Name],$A26,T_TTAFStock_Log[WeekIndex],99))</f>
        <v/>
      </c>
      <c r="CW26" s="12">
        <f>IF(COUNTIFS(T_TTAFStock_Log[Part Name],$A26,T_TTAFStock_Log[WeekIndex],100)=0,"",SUMIFS(T_TTAFStock_Log[TTAF_Qty],T_TTAFStock_Log[Part Name],$A26,T_TTAFStock_Log[WeekIndex],100))</f>
        <v/>
      </c>
      <c r="CX26" s="12">
        <f>IF(COUNTIFS(T_TTAFStock_Log[Part Name],$A26,T_TTAFStock_Log[WeekIndex],101)=0,"",SUMIFS(T_TTAFStock_Log[TTAF_Qty],T_TTAFStock_Log[Part Name],$A26,T_TTAFStock_Log[WeekIndex],101))</f>
        <v/>
      </c>
      <c r="CY26" s="12">
        <f>IF(COUNTIFS(T_TTAFStock_Log[Part Name],$A26,T_TTAFStock_Log[WeekIndex],102)=0,"",SUMIFS(T_TTAFStock_Log[TTAF_Qty],T_TTAFStock_Log[Part Name],$A26,T_TTAFStock_Log[WeekIndex],102))</f>
        <v/>
      </c>
      <c r="CZ26" s="12">
        <f>IF(COUNTIFS(T_TTAFStock_Log[Part Name],$A26,T_TTAFStock_Log[WeekIndex],103)=0,"",SUMIFS(T_TTAFStock_Log[TTAF_Qty],T_TTAFStock_Log[Part Name],$A26,T_TTAFStock_Log[WeekIndex],103))</f>
        <v/>
      </c>
      <c r="DA26" s="12">
        <f>IF(COUNTIFS(T_TTAFStock_Log[Part Name],$A26,T_TTAFStock_Log[WeekIndex],104)=0,"",SUMIFS(T_TTAFStock_Log[TTAF_Qty],T_TTAFStock_Log[Part Name],$A26,T_TTAFStock_Log[WeekIndex],104))</f>
        <v/>
      </c>
    </row>
    <row r="27">
      <c r="A27" s="13" t="inlineStr">
        <is>
          <t>CHEM-1760</t>
        </is>
      </c>
      <c r="B27" s="13">
        <f>IF(COUNTIFS(T_TTAFStock_Log[Part Name],$A27,T_TTAFStock_Log[WeekIndex],1)=0,"",SUMIFS(T_TTAFStock_Log[TTAF_Qty],T_TTAFStock_Log[Part Name],$A27,T_TTAFStock_Log[WeekIndex],1))</f>
        <v/>
      </c>
      <c r="C27" s="13">
        <f>IF(COUNTIFS(T_TTAFStock_Log[Part Name],$A27,T_TTAFStock_Log[WeekIndex],2)=0,"",SUMIFS(T_TTAFStock_Log[TTAF_Qty],T_TTAFStock_Log[Part Name],$A27,T_TTAFStock_Log[WeekIndex],2))</f>
        <v/>
      </c>
      <c r="D27" s="13">
        <f>IF(COUNTIFS(T_TTAFStock_Log[Part Name],$A27,T_TTAFStock_Log[WeekIndex],3)=0,"",SUMIFS(T_TTAFStock_Log[TTAF_Qty],T_TTAFStock_Log[Part Name],$A27,T_TTAFStock_Log[WeekIndex],3))</f>
        <v/>
      </c>
      <c r="E27" s="13">
        <f>IF(COUNTIFS(T_TTAFStock_Log[Part Name],$A27,T_TTAFStock_Log[WeekIndex],4)=0,"",SUMIFS(T_TTAFStock_Log[TTAF_Qty],T_TTAFStock_Log[Part Name],$A27,T_TTAFStock_Log[WeekIndex],4))</f>
        <v/>
      </c>
      <c r="F27" s="13">
        <f>IF(COUNTIFS(T_TTAFStock_Log[Part Name],$A27,T_TTAFStock_Log[WeekIndex],5)=0,"",SUMIFS(T_TTAFStock_Log[TTAF_Qty],T_TTAFStock_Log[Part Name],$A27,T_TTAFStock_Log[WeekIndex],5))</f>
        <v/>
      </c>
      <c r="G27" s="13">
        <f>IF(COUNTIFS(T_TTAFStock_Log[Part Name],$A27,T_TTAFStock_Log[WeekIndex],6)=0,"",SUMIFS(T_TTAFStock_Log[TTAF_Qty],T_TTAFStock_Log[Part Name],$A27,T_TTAFStock_Log[WeekIndex],6))</f>
        <v/>
      </c>
      <c r="H27" s="13">
        <f>IF(COUNTIFS(T_TTAFStock_Log[Part Name],$A27,T_TTAFStock_Log[WeekIndex],7)=0,"",SUMIFS(T_TTAFStock_Log[TTAF_Qty],T_TTAFStock_Log[Part Name],$A27,T_TTAFStock_Log[WeekIndex],7))</f>
        <v/>
      </c>
      <c r="I27" s="13">
        <f>IF(COUNTIFS(T_TTAFStock_Log[Part Name],$A27,T_TTAFStock_Log[WeekIndex],8)=0,"",SUMIFS(T_TTAFStock_Log[TTAF_Qty],T_TTAFStock_Log[Part Name],$A27,T_TTAFStock_Log[WeekIndex],8))</f>
        <v/>
      </c>
      <c r="J27" s="13">
        <f>IF(COUNTIFS(T_TTAFStock_Log[Part Name],$A27,T_TTAFStock_Log[WeekIndex],9)=0,"",SUMIFS(T_TTAFStock_Log[TTAF_Qty],T_TTAFStock_Log[Part Name],$A27,T_TTAFStock_Log[WeekIndex],9))</f>
        <v/>
      </c>
      <c r="K27" s="13">
        <f>IF(COUNTIFS(T_TTAFStock_Log[Part Name],$A27,T_TTAFStock_Log[WeekIndex],10)=0,"",SUMIFS(T_TTAFStock_Log[TTAF_Qty],T_TTAFStock_Log[Part Name],$A27,T_TTAFStock_Log[WeekIndex],10))</f>
        <v/>
      </c>
      <c r="L27" s="13">
        <f>IF(COUNTIFS(T_TTAFStock_Log[Part Name],$A27,T_TTAFStock_Log[WeekIndex],11)=0,"",SUMIFS(T_TTAFStock_Log[TTAF_Qty],T_TTAFStock_Log[Part Name],$A27,T_TTAFStock_Log[WeekIndex],11))</f>
        <v/>
      </c>
      <c r="M27" s="13">
        <f>IF(COUNTIFS(T_TTAFStock_Log[Part Name],$A27,T_TTAFStock_Log[WeekIndex],12)=0,"",SUMIFS(T_TTAFStock_Log[TTAF_Qty],T_TTAFStock_Log[Part Name],$A27,T_TTAFStock_Log[WeekIndex],12))</f>
        <v/>
      </c>
      <c r="N27" s="13">
        <f>IF(COUNTIFS(T_TTAFStock_Log[Part Name],$A27,T_TTAFStock_Log[WeekIndex],13)=0,"",SUMIFS(T_TTAFStock_Log[TTAF_Qty],T_TTAFStock_Log[Part Name],$A27,T_TTAFStock_Log[WeekIndex],13))</f>
        <v/>
      </c>
      <c r="O27" s="13">
        <f>IF(COUNTIFS(T_TTAFStock_Log[Part Name],$A27,T_TTAFStock_Log[WeekIndex],14)=0,"",SUMIFS(T_TTAFStock_Log[TTAF_Qty],T_TTAFStock_Log[Part Name],$A27,T_TTAFStock_Log[WeekIndex],14))</f>
        <v/>
      </c>
      <c r="P27" s="13">
        <f>IF(COUNTIFS(T_TTAFStock_Log[Part Name],$A27,T_TTAFStock_Log[WeekIndex],15)=0,"",SUMIFS(T_TTAFStock_Log[TTAF_Qty],T_TTAFStock_Log[Part Name],$A27,T_TTAFStock_Log[WeekIndex],15))</f>
        <v/>
      </c>
      <c r="Q27" s="13">
        <f>IF(COUNTIFS(T_TTAFStock_Log[Part Name],$A27,T_TTAFStock_Log[WeekIndex],16)=0,"",SUMIFS(T_TTAFStock_Log[TTAF_Qty],T_TTAFStock_Log[Part Name],$A27,T_TTAFStock_Log[WeekIndex],16))</f>
        <v/>
      </c>
      <c r="R27" s="13">
        <f>IF(COUNTIFS(T_TTAFStock_Log[Part Name],$A27,T_TTAFStock_Log[WeekIndex],17)=0,"",SUMIFS(T_TTAFStock_Log[TTAF_Qty],T_TTAFStock_Log[Part Name],$A27,T_TTAFStock_Log[WeekIndex],17))</f>
        <v/>
      </c>
      <c r="S27" s="13">
        <f>IF(COUNTIFS(T_TTAFStock_Log[Part Name],$A27,T_TTAFStock_Log[WeekIndex],18)=0,"",SUMIFS(T_TTAFStock_Log[TTAF_Qty],T_TTAFStock_Log[Part Name],$A27,T_TTAFStock_Log[WeekIndex],18))</f>
        <v/>
      </c>
      <c r="T27" s="13">
        <f>IF(COUNTIFS(T_TTAFStock_Log[Part Name],$A27,T_TTAFStock_Log[WeekIndex],19)=0,"",SUMIFS(T_TTAFStock_Log[TTAF_Qty],T_TTAFStock_Log[Part Name],$A27,T_TTAFStock_Log[WeekIndex],19))</f>
        <v/>
      </c>
      <c r="U27" s="13">
        <f>IF(COUNTIFS(T_TTAFStock_Log[Part Name],$A27,T_TTAFStock_Log[WeekIndex],20)=0,"",SUMIFS(T_TTAFStock_Log[TTAF_Qty],T_TTAFStock_Log[Part Name],$A27,T_TTAFStock_Log[WeekIndex],20))</f>
        <v/>
      </c>
      <c r="V27" s="13">
        <f>IF(COUNTIFS(T_TTAFStock_Log[Part Name],$A27,T_TTAFStock_Log[WeekIndex],21)=0,"",SUMIFS(T_TTAFStock_Log[TTAF_Qty],T_TTAFStock_Log[Part Name],$A27,T_TTAFStock_Log[WeekIndex],21))</f>
        <v/>
      </c>
      <c r="W27" s="13">
        <f>IF(COUNTIFS(T_TTAFStock_Log[Part Name],$A27,T_TTAFStock_Log[WeekIndex],22)=0,"",SUMIFS(T_TTAFStock_Log[TTAF_Qty],T_TTAFStock_Log[Part Name],$A27,T_TTAFStock_Log[WeekIndex],22))</f>
        <v/>
      </c>
      <c r="X27" s="13">
        <f>IF(COUNTIFS(T_TTAFStock_Log[Part Name],$A27,T_TTAFStock_Log[WeekIndex],23)=0,"",SUMIFS(T_TTAFStock_Log[TTAF_Qty],T_TTAFStock_Log[Part Name],$A27,T_TTAFStock_Log[WeekIndex],23))</f>
        <v/>
      </c>
      <c r="Y27" s="13">
        <f>IF(COUNTIFS(T_TTAFStock_Log[Part Name],$A27,T_TTAFStock_Log[WeekIndex],24)=0,"",SUMIFS(T_TTAFStock_Log[TTAF_Qty],T_TTAFStock_Log[Part Name],$A27,T_TTAFStock_Log[WeekIndex],24))</f>
        <v/>
      </c>
      <c r="Z27" s="13">
        <f>IF(COUNTIFS(T_TTAFStock_Log[Part Name],$A27,T_TTAFStock_Log[WeekIndex],25)=0,"",SUMIFS(T_TTAFStock_Log[TTAF_Qty],T_TTAFStock_Log[Part Name],$A27,T_TTAFStock_Log[WeekIndex],25))</f>
        <v/>
      </c>
      <c r="AA27" s="13">
        <f>IF(COUNTIFS(T_TTAFStock_Log[Part Name],$A27,T_TTAFStock_Log[WeekIndex],26)=0,"",SUMIFS(T_TTAFStock_Log[TTAF_Qty],T_TTAFStock_Log[Part Name],$A27,T_TTAFStock_Log[WeekIndex],26))</f>
        <v/>
      </c>
      <c r="AB27" s="13">
        <f>IF(COUNTIFS(T_TTAFStock_Log[Part Name],$A27,T_TTAFStock_Log[WeekIndex],27)=0,"",SUMIFS(T_TTAFStock_Log[TTAF_Qty],T_TTAFStock_Log[Part Name],$A27,T_TTAFStock_Log[WeekIndex],27))</f>
        <v/>
      </c>
      <c r="AC27" s="13">
        <f>IF(COUNTIFS(T_TTAFStock_Log[Part Name],$A27,T_TTAFStock_Log[WeekIndex],28)=0,"",SUMIFS(T_TTAFStock_Log[TTAF_Qty],T_TTAFStock_Log[Part Name],$A27,T_TTAFStock_Log[WeekIndex],28))</f>
        <v/>
      </c>
      <c r="AD27" s="13">
        <f>IF(COUNTIFS(T_TTAFStock_Log[Part Name],$A27,T_TTAFStock_Log[WeekIndex],29)=0,"",SUMIFS(T_TTAFStock_Log[TTAF_Qty],T_TTAFStock_Log[Part Name],$A27,T_TTAFStock_Log[WeekIndex],29))</f>
        <v/>
      </c>
      <c r="AE27" s="13">
        <f>IF(COUNTIFS(T_TTAFStock_Log[Part Name],$A27,T_TTAFStock_Log[WeekIndex],30)=0,"",SUMIFS(T_TTAFStock_Log[TTAF_Qty],T_TTAFStock_Log[Part Name],$A27,T_TTAFStock_Log[WeekIndex],30))</f>
        <v/>
      </c>
      <c r="AF27" s="13">
        <f>IF(COUNTIFS(T_TTAFStock_Log[Part Name],$A27,T_TTAFStock_Log[WeekIndex],31)=0,"",SUMIFS(T_TTAFStock_Log[TTAF_Qty],T_TTAFStock_Log[Part Name],$A27,T_TTAFStock_Log[WeekIndex],31))</f>
        <v/>
      </c>
      <c r="AG27" s="13">
        <f>IF(COUNTIFS(T_TTAFStock_Log[Part Name],$A27,T_TTAFStock_Log[WeekIndex],32)=0,"",SUMIFS(T_TTAFStock_Log[TTAF_Qty],T_TTAFStock_Log[Part Name],$A27,T_TTAFStock_Log[WeekIndex],32))</f>
        <v/>
      </c>
      <c r="AH27" s="13">
        <f>IF(COUNTIFS(T_TTAFStock_Log[Part Name],$A27,T_TTAFStock_Log[WeekIndex],33)=0,"",SUMIFS(T_TTAFStock_Log[TTAF_Qty],T_TTAFStock_Log[Part Name],$A27,T_TTAFStock_Log[WeekIndex],33))</f>
        <v/>
      </c>
      <c r="AI27" s="13">
        <f>IF(COUNTIFS(T_TTAFStock_Log[Part Name],$A27,T_TTAFStock_Log[WeekIndex],34)=0,"",SUMIFS(T_TTAFStock_Log[TTAF_Qty],T_TTAFStock_Log[Part Name],$A27,T_TTAFStock_Log[WeekIndex],34))</f>
        <v/>
      </c>
      <c r="AJ27" s="13">
        <f>IF(COUNTIFS(T_TTAFStock_Log[Part Name],$A27,T_TTAFStock_Log[WeekIndex],35)=0,"",SUMIFS(T_TTAFStock_Log[TTAF_Qty],T_TTAFStock_Log[Part Name],$A27,T_TTAFStock_Log[WeekIndex],35))</f>
        <v/>
      </c>
      <c r="AK27" s="13">
        <f>IF(COUNTIFS(T_TTAFStock_Log[Part Name],$A27,T_TTAFStock_Log[WeekIndex],36)=0,"",SUMIFS(T_TTAFStock_Log[TTAF_Qty],T_TTAFStock_Log[Part Name],$A27,T_TTAFStock_Log[WeekIndex],36))</f>
        <v/>
      </c>
      <c r="AL27" s="13">
        <f>IF(COUNTIFS(T_TTAFStock_Log[Part Name],$A27,T_TTAFStock_Log[WeekIndex],37)=0,"",SUMIFS(T_TTAFStock_Log[TTAF_Qty],T_TTAFStock_Log[Part Name],$A27,T_TTAFStock_Log[WeekIndex],37))</f>
        <v/>
      </c>
      <c r="AM27" s="13">
        <f>IF(COUNTIFS(T_TTAFStock_Log[Part Name],$A27,T_TTAFStock_Log[WeekIndex],38)=0,"",SUMIFS(T_TTAFStock_Log[TTAF_Qty],T_TTAFStock_Log[Part Name],$A27,T_TTAFStock_Log[WeekIndex],38))</f>
        <v/>
      </c>
      <c r="AN27" s="13">
        <f>IF(COUNTIFS(T_TTAFStock_Log[Part Name],$A27,T_TTAFStock_Log[WeekIndex],39)=0,"",SUMIFS(T_TTAFStock_Log[TTAF_Qty],T_TTAFStock_Log[Part Name],$A27,T_TTAFStock_Log[WeekIndex],39))</f>
        <v/>
      </c>
      <c r="AO27" s="13">
        <f>IF(COUNTIFS(T_TTAFStock_Log[Part Name],$A27,T_TTAFStock_Log[WeekIndex],40)=0,"",SUMIFS(T_TTAFStock_Log[TTAF_Qty],T_TTAFStock_Log[Part Name],$A27,T_TTAFStock_Log[WeekIndex],40))</f>
        <v/>
      </c>
      <c r="AP27" s="13">
        <f>IF(COUNTIFS(T_TTAFStock_Log[Part Name],$A27,T_TTAFStock_Log[WeekIndex],41)=0,"",SUMIFS(T_TTAFStock_Log[TTAF_Qty],T_TTAFStock_Log[Part Name],$A27,T_TTAFStock_Log[WeekIndex],41))</f>
        <v/>
      </c>
      <c r="AQ27" s="13">
        <f>IF(COUNTIFS(T_TTAFStock_Log[Part Name],$A27,T_TTAFStock_Log[WeekIndex],42)=0,"",SUMIFS(T_TTAFStock_Log[TTAF_Qty],T_TTAFStock_Log[Part Name],$A27,T_TTAFStock_Log[WeekIndex],42))</f>
        <v/>
      </c>
      <c r="AR27" s="13">
        <f>IF(COUNTIFS(T_TTAFStock_Log[Part Name],$A27,T_TTAFStock_Log[WeekIndex],43)=0,"",SUMIFS(T_TTAFStock_Log[TTAF_Qty],T_TTAFStock_Log[Part Name],$A27,T_TTAFStock_Log[WeekIndex],43))</f>
        <v/>
      </c>
      <c r="AS27" s="13">
        <f>IF(COUNTIFS(T_TTAFStock_Log[Part Name],$A27,T_TTAFStock_Log[WeekIndex],44)=0,"",SUMIFS(T_TTAFStock_Log[TTAF_Qty],T_TTAFStock_Log[Part Name],$A27,T_TTAFStock_Log[WeekIndex],44))</f>
        <v/>
      </c>
      <c r="AT27" s="13">
        <f>IF(COUNTIFS(T_TTAFStock_Log[Part Name],$A27,T_TTAFStock_Log[WeekIndex],45)=0,"",SUMIFS(T_TTAFStock_Log[TTAF_Qty],T_TTAFStock_Log[Part Name],$A27,T_TTAFStock_Log[WeekIndex],45))</f>
        <v/>
      </c>
      <c r="AU27" s="13">
        <f>IF(COUNTIFS(T_TTAFStock_Log[Part Name],$A27,T_TTAFStock_Log[WeekIndex],46)=0,"",SUMIFS(T_TTAFStock_Log[TTAF_Qty],T_TTAFStock_Log[Part Name],$A27,T_TTAFStock_Log[WeekIndex],46))</f>
        <v/>
      </c>
      <c r="AV27" s="13">
        <f>IF(COUNTIFS(T_TTAFStock_Log[Part Name],$A27,T_TTAFStock_Log[WeekIndex],47)=0,"",SUMIFS(T_TTAFStock_Log[TTAF_Qty],T_TTAFStock_Log[Part Name],$A27,T_TTAFStock_Log[WeekIndex],47))</f>
        <v/>
      </c>
      <c r="AW27" s="13">
        <f>IF(COUNTIFS(T_TTAFStock_Log[Part Name],$A27,T_TTAFStock_Log[WeekIndex],48)=0,"",SUMIFS(T_TTAFStock_Log[TTAF_Qty],T_TTAFStock_Log[Part Name],$A27,T_TTAFStock_Log[WeekIndex],48))</f>
        <v/>
      </c>
      <c r="AX27" s="13">
        <f>IF(COUNTIFS(T_TTAFStock_Log[Part Name],$A27,T_TTAFStock_Log[WeekIndex],49)=0,"",SUMIFS(T_TTAFStock_Log[TTAF_Qty],T_TTAFStock_Log[Part Name],$A27,T_TTAFStock_Log[WeekIndex],49))</f>
        <v/>
      </c>
      <c r="AY27" s="13">
        <f>IF(COUNTIFS(T_TTAFStock_Log[Part Name],$A27,T_TTAFStock_Log[WeekIndex],50)=0,"",SUMIFS(T_TTAFStock_Log[TTAF_Qty],T_TTAFStock_Log[Part Name],$A27,T_TTAFStock_Log[WeekIndex],50))</f>
        <v/>
      </c>
      <c r="AZ27" s="13">
        <f>IF(COUNTIFS(T_TTAFStock_Log[Part Name],$A27,T_TTAFStock_Log[WeekIndex],51)=0,"",SUMIFS(T_TTAFStock_Log[TTAF_Qty],T_TTAFStock_Log[Part Name],$A27,T_TTAFStock_Log[WeekIndex],51))</f>
        <v/>
      </c>
      <c r="BA27" s="13">
        <f>IF(COUNTIFS(T_TTAFStock_Log[Part Name],$A27,T_TTAFStock_Log[WeekIndex],52)=0,"",SUMIFS(T_TTAFStock_Log[TTAF_Qty],T_TTAFStock_Log[Part Name],$A27,T_TTAFStock_Log[WeekIndex],52))</f>
        <v/>
      </c>
      <c r="BB27" s="13">
        <f>IF(COUNTIFS(T_TTAFStock_Log[Part Name],$A27,T_TTAFStock_Log[WeekIndex],53)=0,"",SUMIFS(T_TTAFStock_Log[TTAF_Qty],T_TTAFStock_Log[Part Name],$A27,T_TTAFStock_Log[WeekIndex],53))</f>
        <v/>
      </c>
      <c r="BC27" s="13">
        <f>IF(COUNTIFS(T_TTAFStock_Log[Part Name],$A27,T_TTAFStock_Log[WeekIndex],54)=0,"",SUMIFS(T_TTAFStock_Log[TTAF_Qty],T_TTAFStock_Log[Part Name],$A27,T_TTAFStock_Log[WeekIndex],54))</f>
        <v/>
      </c>
      <c r="BD27" s="13">
        <f>IF(COUNTIFS(T_TTAFStock_Log[Part Name],$A27,T_TTAFStock_Log[WeekIndex],55)=0,"",SUMIFS(T_TTAFStock_Log[TTAF_Qty],T_TTAFStock_Log[Part Name],$A27,T_TTAFStock_Log[WeekIndex],55))</f>
        <v/>
      </c>
      <c r="BE27" s="13">
        <f>IF(COUNTIFS(T_TTAFStock_Log[Part Name],$A27,T_TTAFStock_Log[WeekIndex],56)=0,"",SUMIFS(T_TTAFStock_Log[TTAF_Qty],T_TTAFStock_Log[Part Name],$A27,T_TTAFStock_Log[WeekIndex],56))</f>
        <v/>
      </c>
      <c r="BF27" s="13">
        <f>IF(COUNTIFS(T_TTAFStock_Log[Part Name],$A27,T_TTAFStock_Log[WeekIndex],57)=0,"",SUMIFS(T_TTAFStock_Log[TTAF_Qty],T_TTAFStock_Log[Part Name],$A27,T_TTAFStock_Log[WeekIndex],57))</f>
        <v/>
      </c>
      <c r="BG27" s="13">
        <f>IF(COUNTIFS(T_TTAFStock_Log[Part Name],$A27,T_TTAFStock_Log[WeekIndex],58)=0,"",SUMIFS(T_TTAFStock_Log[TTAF_Qty],T_TTAFStock_Log[Part Name],$A27,T_TTAFStock_Log[WeekIndex],58))</f>
        <v/>
      </c>
      <c r="BH27" s="13">
        <f>IF(COUNTIFS(T_TTAFStock_Log[Part Name],$A27,T_TTAFStock_Log[WeekIndex],59)=0,"",SUMIFS(T_TTAFStock_Log[TTAF_Qty],T_TTAFStock_Log[Part Name],$A27,T_TTAFStock_Log[WeekIndex],59))</f>
        <v/>
      </c>
      <c r="BI27" s="13">
        <f>IF(COUNTIFS(T_TTAFStock_Log[Part Name],$A27,T_TTAFStock_Log[WeekIndex],60)=0,"",SUMIFS(T_TTAFStock_Log[TTAF_Qty],T_TTAFStock_Log[Part Name],$A27,T_TTAFStock_Log[WeekIndex],60))</f>
        <v/>
      </c>
      <c r="BJ27" s="13">
        <f>IF(COUNTIFS(T_TTAFStock_Log[Part Name],$A27,T_TTAFStock_Log[WeekIndex],61)=0,"",SUMIFS(T_TTAFStock_Log[TTAF_Qty],T_TTAFStock_Log[Part Name],$A27,T_TTAFStock_Log[WeekIndex],61))</f>
        <v/>
      </c>
      <c r="BK27" s="13">
        <f>IF(COUNTIFS(T_TTAFStock_Log[Part Name],$A27,T_TTAFStock_Log[WeekIndex],62)=0,"",SUMIFS(T_TTAFStock_Log[TTAF_Qty],T_TTAFStock_Log[Part Name],$A27,T_TTAFStock_Log[WeekIndex],62))</f>
        <v/>
      </c>
      <c r="BL27" s="13">
        <f>IF(COUNTIFS(T_TTAFStock_Log[Part Name],$A27,T_TTAFStock_Log[WeekIndex],63)=0,"",SUMIFS(T_TTAFStock_Log[TTAF_Qty],T_TTAFStock_Log[Part Name],$A27,T_TTAFStock_Log[WeekIndex],63))</f>
        <v/>
      </c>
      <c r="BM27" s="13">
        <f>IF(COUNTIFS(T_TTAFStock_Log[Part Name],$A27,T_TTAFStock_Log[WeekIndex],64)=0,"",SUMIFS(T_TTAFStock_Log[TTAF_Qty],T_TTAFStock_Log[Part Name],$A27,T_TTAFStock_Log[WeekIndex],64))</f>
        <v/>
      </c>
      <c r="BN27" s="13">
        <f>IF(COUNTIFS(T_TTAFStock_Log[Part Name],$A27,T_TTAFStock_Log[WeekIndex],65)=0,"",SUMIFS(T_TTAFStock_Log[TTAF_Qty],T_TTAFStock_Log[Part Name],$A27,T_TTAFStock_Log[WeekIndex],65))</f>
        <v/>
      </c>
      <c r="BO27" s="13">
        <f>IF(COUNTIFS(T_TTAFStock_Log[Part Name],$A27,T_TTAFStock_Log[WeekIndex],66)=0,"",SUMIFS(T_TTAFStock_Log[TTAF_Qty],T_TTAFStock_Log[Part Name],$A27,T_TTAFStock_Log[WeekIndex],66))</f>
        <v/>
      </c>
      <c r="BP27" s="13">
        <f>IF(COUNTIFS(T_TTAFStock_Log[Part Name],$A27,T_TTAFStock_Log[WeekIndex],67)=0,"",SUMIFS(T_TTAFStock_Log[TTAF_Qty],T_TTAFStock_Log[Part Name],$A27,T_TTAFStock_Log[WeekIndex],67))</f>
        <v/>
      </c>
      <c r="BQ27" s="13">
        <f>IF(COUNTIFS(T_TTAFStock_Log[Part Name],$A27,T_TTAFStock_Log[WeekIndex],68)=0,"",SUMIFS(T_TTAFStock_Log[TTAF_Qty],T_TTAFStock_Log[Part Name],$A27,T_TTAFStock_Log[WeekIndex],68))</f>
        <v/>
      </c>
      <c r="BR27" s="13">
        <f>IF(COUNTIFS(T_TTAFStock_Log[Part Name],$A27,T_TTAFStock_Log[WeekIndex],69)=0,"",SUMIFS(T_TTAFStock_Log[TTAF_Qty],T_TTAFStock_Log[Part Name],$A27,T_TTAFStock_Log[WeekIndex],69))</f>
        <v/>
      </c>
      <c r="BS27" s="13">
        <f>IF(COUNTIFS(T_TTAFStock_Log[Part Name],$A27,T_TTAFStock_Log[WeekIndex],70)=0,"",SUMIFS(T_TTAFStock_Log[TTAF_Qty],T_TTAFStock_Log[Part Name],$A27,T_TTAFStock_Log[WeekIndex],70))</f>
        <v/>
      </c>
      <c r="BT27" s="13">
        <f>IF(COUNTIFS(T_TTAFStock_Log[Part Name],$A27,T_TTAFStock_Log[WeekIndex],71)=0,"",SUMIFS(T_TTAFStock_Log[TTAF_Qty],T_TTAFStock_Log[Part Name],$A27,T_TTAFStock_Log[WeekIndex],71))</f>
        <v/>
      </c>
      <c r="BU27" s="13">
        <f>IF(COUNTIFS(T_TTAFStock_Log[Part Name],$A27,T_TTAFStock_Log[WeekIndex],72)=0,"",SUMIFS(T_TTAFStock_Log[TTAF_Qty],T_TTAFStock_Log[Part Name],$A27,T_TTAFStock_Log[WeekIndex],72))</f>
        <v/>
      </c>
      <c r="BV27" s="13">
        <f>IF(COUNTIFS(T_TTAFStock_Log[Part Name],$A27,T_TTAFStock_Log[WeekIndex],73)=0,"",SUMIFS(T_TTAFStock_Log[TTAF_Qty],T_TTAFStock_Log[Part Name],$A27,T_TTAFStock_Log[WeekIndex],73))</f>
        <v/>
      </c>
      <c r="BW27" s="13">
        <f>IF(COUNTIFS(T_TTAFStock_Log[Part Name],$A27,T_TTAFStock_Log[WeekIndex],74)=0,"",SUMIFS(T_TTAFStock_Log[TTAF_Qty],T_TTAFStock_Log[Part Name],$A27,T_TTAFStock_Log[WeekIndex],74))</f>
        <v/>
      </c>
      <c r="BX27" s="13">
        <f>IF(COUNTIFS(T_TTAFStock_Log[Part Name],$A27,T_TTAFStock_Log[WeekIndex],75)=0,"",SUMIFS(T_TTAFStock_Log[TTAF_Qty],T_TTAFStock_Log[Part Name],$A27,T_TTAFStock_Log[WeekIndex],75))</f>
        <v/>
      </c>
      <c r="BY27" s="13">
        <f>IF(COUNTIFS(T_TTAFStock_Log[Part Name],$A27,T_TTAFStock_Log[WeekIndex],76)=0,"",SUMIFS(T_TTAFStock_Log[TTAF_Qty],T_TTAFStock_Log[Part Name],$A27,T_TTAFStock_Log[WeekIndex],76))</f>
        <v/>
      </c>
      <c r="BZ27" s="13">
        <f>IF(COUNTIFS(T_TTAFStock_Log[Part Name],$A27,T_TTAFStock_Log[WeekIndex],77)=0,"",SUMIFS(T_TTAFStock_Log[TTAF_Qty],T_TTAFStock_Log[Part Name],$A27,T_TTAFStock_Log[WeekIndex],77))</f>
        <v/>
      </c>
      <c r="CA27" s="13">
        <f>IF(COUNTIFS(T_TTAFStock_Log[Part Name],$A27,T_TTAFStock_Log[WeekIndex],78)=0,"",SUMIFS(T_TTAFStock_Log[TTAF_Qty],T_TTAFStock_Log[Part Name],$A27,T_TTAFStock_Log[WeekIndex],78))</f>
        <v/>
      </c>
      <c r="CB27" s="13">
        <f>IF(COUNTIFS(T_TTAFStock_Log[Part Name],$A27,T_TTAFStock_Log[WeekIndex],79)=0,"",SUMIFS(T_TTAFStock_Log[TTAF_Qty],T_TTAFStock_Log[Part Name],$A27,T_TTAFStock_Log[WeekIndex],79))</f>
        <v/>
      </c>
      <c r="CC27" s="13">
        <f>IF(COUNTIFS(T_TTAFStock_Log[Part Name],$A27,T_TTAFStock_Log[WeekIndex],80)=0,"",SUMIFS(T_TTAFStock_Log[TTAF_Qty],T_TTAFStock_Log[Part Name],$A27,T_TTAFStock_Log[WeekIndex],80))</f>
        <v/>
      </c>
      <c r="CD27" s="13">
        <f>IF(COUNTIFS(T_TTAFStock_Log[Part Name],$A27,T_TTAFStock_Log[WeekIndex],81)=0,"",SUMIFS(T_TTAFStock_Log[TTAF_Qty],T_TTAFStock_Log[Part Name],$A27,T_TTAFStock_Log[WeekIndex],81))</f>
        <v/>
      </c>
      <c r="CE27" s="13">
        <f>IF(COUNTIFS(T_TTAFStock_Log[Part Name],$A27,T_TTAFStock_Log[WeekIndex],82)=0,"",SUMIFS(T_TTAFStock_Log[TTAF_Qty],T_TTAFStock_Log[Part Name],$A27,T_TTAFStock_Log[WeekIndex],82))</f>
        <v/>
      </c>
      <c r="CF27" s="13">
        <f>IF(COUNTIFS(T_TTAFStock_Log[Part Name],$A27,T_TTAFStock_Log[WeekIndex],83)=0,"",SUMIFS(T_TTAFStock_Log[TTAF_Qty],T_TTAFStock_Log[Part Name],$A27,T_TTAFStock_Log[WeekIndex],83))</f>
        <v/>
      </c>
      <c r="CG27" s="13">
        <f>IF(COUNTIFS(T_TTAFStock_Log[Part Name],$A27,T_TTAFStock_Log[WeekIndex],84)=0,"",SUMIFS(T_TTAFStock_Log[TTAF_Qty],T_TTAFStock_Log[Part Name],$A27,T_TTAFStock_Log[WeekIndex],84))</f>
        <v/>
      </c>
      <c r="CH27" s="13">
        <f>IF(COUNTIFS(T_TTAFStock_Log[Part Name],$A27,T_TTAFStock_Log[WeekIndex],85)=0,"",SUMIFS(T_TTAFStock_Log[TTAF_Qty],T_TTAFStock_Log[Part Name],$A27,T_TTAFStock_Log[WeekIndex],85))</f>
        <v/>
      </c>
      <c r="CI27" s="13">
        <f>IF(COUNTIFS(T_TTAFStock_Log[Part Name],$A27,T_TTAFStock_Log[WeekIndex],86)=0,"",SUMIFS(T_TTAFStock_Log[TTAF_Qty],T_TTAFStock_Log[Part Name],$A27,T_TTAFStock_Log[WeekIndex],86))</f>
        <v/>
      </c>
      <c r="CJ27" s="13">
        <f>IF(COUNTIFS(T_TTAFStock_Log[Part Name],$A27,T_TTAFStock_Log[WeekIndex],87)=0,"",SUMIFS(T_TTAFStock_Log[TTAF_Qty],T_TTAFStock_Log[Part Name],$A27,T_TTAFStock_Log[WeekIndex],87))</f>
        <v/>
      </c>
      <c r="CK27" s="13">
        <f>IF(COUNTIFS(T_TTAFStock_Log[Part Name],$A27,T_TTAFStock_Log[WeekIndex],88)=0,"",SUMIFS(T_TTAFStock_Log[TTAF_Qty],T_TTAFStock_Log[Part Name],$A27,T_TTAFStock_Log[WeekIndex],88))</f>
        <v/>
      </c>
      <c r="CL27" s="13">
        <f>IF(COUNTIFS(T_TTAFStock_Log[Part Name],$A27,T_TTAFStock_Log[WeekIndex],89)=0,"",SUMIFS(T_TTAFStock_Log[TTAF_Qty],T_TTAFStock_Log[Part Name],$A27,T_TTAFStock_Log[WeekIndex],89))</f>
        <v/>
      </c>
      <c r="CM27" s="13">
        <f>IF(COUNTIFS(T_TTAFStock_Log[Part Name],$A27,T_TTAFStock_Log[WeekIndex],90)=0,"",SUMIFS(T_TTAFStock_Log[TTAF_Qty],T_TTAFStock_Log[Part Name],$A27,T_TTAFStock_Log[WeekIndex],90))</f>
        <v/>
      </c>
      <c r="CN27" s="13">
        <f>IF(COUNTIFS(T_TTAFStock_Log[Part Name],$A27,T_TTAFStock_Log[WeekIndex],91)=0,"",SUMIFS(T_TTAFStock_Log[TTAF_Qty],T_TTAFStock_Log[Part Name],$A27,T_TTAFStock_Log[WeekIndex],91))</f>
        <v/>
      </c>
      <c r="CO27" s="13">
        <f>IF(COUNTIFS(T_TTAFStock_Log[Part Name],$A27,T_TTAFStock_Log[WeekIndex],92)=0,"",SUMIFS(T_TTAFStock_Log[TTAF_Qty],T_TTAFStock_Log[Part Name],$A27,T_TTAFStock_Log[WeekIndex],92))</f>
        <v/>
      </c>
      <c r="CP27" s="13">
        <f>IF(COUNTIFS(T_TTAFStock_Log[Part Name],$A27,T_TTAFStock_Log[WeekIndex],93)=0,"",SUMIFS(T_TTAFStock_Log[TTAF_Qty],T_TTAFStock_Log[Part Name],$A27,T_TTAFStock_Log[WeekIndex],93))</f>
        <v/>
      </c>
      <c r="CQ27" s="13">
        <f>IF(COUNTIFS(T_TTAFStock_Log[Part Name],$A27,T_TTAFStock_Log[WeekIndex],94)=0,"",SUMIFS(T_TTAFStock_Log[TTAF_Qty],T_TTAFStock_Log[Part Name],$A27,T_TTAFStock_Log[WeekIndex],94))</f>
        <v/>
      </c>
      <c r="CR27" s="13">
        <f>IF(COUNTIFS(T_TTAFStock_Log[Part Name],$A27,T_TTAFStock_Log[WeekIndex],95)=0,"",SUMIFS(T_TTAFStock_Log[TTAF_Qty],T_TTAFStock_Log[Part Name],$A27,T_TTAFStock_Log[WeekIndex],95))</f>
        <v/>
      </c>
      <c r="CS27" s="13">
        <f>IF(COUNTIFS(T_TTAFStock_Log[Part Name],$A27,T_TTAFStock_Log[WeekIndex],96)=0,"",SUMIFS(T_TTAFStock_Log[TTAF_Qty],T_TTAFStock_Log[Part Name],$A27,T_TTAFStock_Log[WeekIndex],96))</f>
        <v/>
      </c>
      <c r="CT27" s="13">
        <f>IF(COUNTIFS(T_TTAFStock_Log[Part Name],$A27,T_TTAFStock_Log[WeekIndex],97)=0,"",SUMIFS(T_TTAFStock_Log[TTAF_Qty],T_TTAFStock_Log[Part Name],$A27,T_TTAFStock_Log[WeekIndex],97))</f>
        <v/>
      </c>
      <c r="CU27" s="13">
        <f>IF(COUNTIFS(T_TTAFStock_Log[Part Name],$A27,T_TTAFStock_Log[WeekIndex],98)=0,"",SUMIFS(T_TTAFStock_Log[TTAF_Qty],T_TTAFStock_Log[Part Name],$A27,T_TTAFStock_Log[WeekIndex],98))</f>
        <v/>
      </c>
      <c r="CV27" s="13">
        <f>IF(COUNTIFS(T_TTAFStock_Log[Part Name],$A27,T_TTAFStock_Log[WeekIndex],99)=0,"",SUMIFS(T_TTAFStock_Log[TTAF_Qty],T_TTAFStock_Log[Part Name],$A27,T_TTAFStock_Log[WeekIndex],99))</f>
        <v/>
      </c>
      <c r="CW27" s="13">
        <f>IF(COUNTIFS(T_TTAFStock_Log[Part Name],$A27,T_TTAFStock_Log[WeekIndex],100)=0,"",SUMIFS(T_TTAFStock_Log[TTAF_Qty],T_TTAFStock_Log[Part Name],$A27,T_TTAFStock_Log[WeekIndex],100))</f>
        <v/>
      </c>
      <c r="CX27" s="13">
        <f>IF(COUNTIFS(T_TTAFStock_Log[Part Name],$A27,T_TTAFStock_Log[WeekIndex],101)=0,"",SUMIFS(T_TTAFStock_Log[TTAF_Qty],T_TTAFStock_Log[Part Name],$A27,T_TTAFStock_Log[WeekIndex],101))</f>
        <v/>
      </c>
      <c r="CY27" s="13">
        <f>IF(COUNTIFS(T_TTAFStock_Log[Part Name],$A27,T_TTAFStock_Log[WeekIndex],102)=0,"",SUMIFS(T_TTAFStock_Log[TTAF_Qty],T_TTAFStock_Log[Part Name],$A27,T_TTAFStock_Log[WeekIndex],102))</f>
        <v/>
      </c>
      <c r="CZ27" s="13">
        <f>IF(COUNTIFS(T_TTAFStock_Log[Part Name],$A27,T_TTAFStock_Log[WeekIndex],103)=0,"",SUMIFS(T_TTAFStock_Log[TTAF_Qty],T_TTAFStock_Log[Part Name],$A27,T_TTAFStock_Log[WeekIndex],103))</f>
        <v/>
      </c>
      <c r="DA27" s="13">
        <f>IF(COUNTIFS(T_TTAFStock_Log[Part Name],$A27,T_TTAFStock_Log[WeekIndex],104)=0,"",SUMIFS(T_TTAFStock_Log[TTAF_Qty],T_TTAFStock_Log[Part Name],$A27,T_TTAFStock_Log[WeekIndex],104))</f>
        <v/>
      </c>
    </row>
    <row r="28">
      <c r="A28" s="12" t="inlineStr">
        <is>
          <t>Original Towel</t>
        </is>
      </c>
      <c r="B28" s="12">
        <f>IF(COUNTIFS(T_TTAFStock_Log[Part Name],$A28,T_TTAFStock_Log[WeekIndex],1)=0,"",SUMIFS(T_TTAFStock_Log[TTAF_Qty],T_TTAFStock_Log[Part Name],$A28,T_TTAFStock_Log[WeekIndex],1))</f>
        <v/>
      </c>
      <c r="C28" s="12">
        <f>IF(COUNTIFS(T_TTAFStock_Log[Part Name],$A28,T_TTAFStock_Log[WeekIndex],2)=0,"",SUMIFS(T_TTAFStock_Log[TTAF_Qty],T_TTAFStock_Log[Part Name],$A28,T_TTAFStock_Log[WeekIndex],2))</f>
        <v/>
      </c>
      <c r="D28" s="12">
        <f>IF(COUNTIFS(T_TTAFStock_Log[Part Name],$A28,T_TTAFStock_Log[WeekIndex],3)=0,"",SUMIFS(T_TTAFStock_Log[TTAF_Qty],T_TTAFStock_Log[Part Name],$A28,T_TTAFStock_Log[WeekIndex],3))</f>
        <v/>
      </c>
      <c r="E28" s="12">
        <f>IF(COUNTIFS(T_TTAFStock_Log[Part Name],$A28,T_TTAFStock_Log[WeekIndex],4)=0,"",SUMIFS(T_TTAFStock_Log[TTAF_Qty],T_TTAFStock_Log[Part Name],$A28,T_TTAFStock_Log[WeekIndex],4))</f>
        <v/>
      </c>
      <c r="F28" s="12">
        <f>IF(COUNTIFS(T_TTAFStock_Log[Part Name],$A28,T_TTAFStock_Log[WeekIndex],5)=0,"",SUMIFS(T_TTAFStock_Log[TTAF_Qty],T_TTAFStock_Log[Part Name],$A28,T_TTAFStock_Log[WeekIndex],5))</f>
        <v/>
      </c>
      <c r="G28" s="12">
        <f>IF(COUNTIFS(T_TTAFStock_Log[Part Name],$A28,T_TTAFStock_Log[WeekIndex],6)=0,"",SUMIFS(T_TTAFStock_Log[TTAF_Qty],T_TTAFStock_Log[Part Name],$A28,T_TTAFStock_Log[WeekIndex],6))</f>
        <v/>
      </c>
      <c r="H28" s="12">
        <f>IF(COUNTIFS(T_TTAFStock_Log[Part Name],$A28,T_TTAFStock_Log[WeekIndex],7)=0,"",SUMIFS(T_TTAFStock_Log[TTAF_Qty],T_TTAFStock_Log[Part Name],$A28,T_TTAFStock_Log[WeekIndex],7))</f>
        <v/>
      </c>
      <c r="I28" s="12">
        <f>IF(COUNTIFS(T_TTAFStock_Log[Part Name],$A28,T_TTAFStock_Log[WeekIndex],8)=0,"",SUMIFS(T_TTAFStock_Log[TTAF_Qty],T_TTAFStock_Log[Part Name],$A28,T_TTAFStock_Log[WeekIndex],8))</f>
        <v/>
      </c>
      <c r="J28" s="12">
        <f>IF(COUNTIFS(T_TTAFStock_Log[Part Name],$A28,T_TTAFStock_Log[WeekIndex],9)=0,"",SUMIFS(T_TTAFStock_Log[TTAF_Qty],T_TTAFStock_Log[Part Name],$A28,T_TTAFStock_Log[WeekIndex],9))</f>
        <v/>
      </c>
      <c r="K28" s="12">
        <f>IF(COUNTIFS(T_TTAFStock_Log[Part Name],$A28,T_TTAFStock_Log[WeekIndex],10)=0,"",SUMIFS(T_TTAFStock_Log[TTAF_Qty],T_TTAFStock_Log[Part Name],$A28,T_TTAFStock_Log[WeekIndex],10))</f>
        <v/>
      </c>
      <c r="L28" s="12">
        <f>IF(COUNTIFS(T_TTAFStock_Log[Part Name],$A28,T_TTAFStock_Log[WeekIndex],11)=0,"",SUMIFS(T_TTAFStock_Log[TTAF_Qty],T_TTAFStock_Log[Part Name],$A28,T_TTAFStock_Log[WeekIndex],11))</f>
        <v/>
      </c>
      <c r="M28" s="12">
        <f>IF(COUNTIFS(T_TTAFStock_Log[Part Name],$A28,T_TTAFStock_Log[WeekIndex],12)=0,"",SUMIFS(T_TTAFStock_Log[TTAF_Qty],T_TTAFStock_Log[Part Name],$A28,T_TTAFStock_Log[WeekIndex],12))</f>
        <v/>
      </c>
      <c r="N28" s="12">
        <f>IF(COUNTIFS(T_TTAFStock_Log[Part Name],$A28,T_TTAFStock_Log[WeekIndex],13)=0,"",SUMIFS(T_TTAFStock_Log[TTAF_Qty],T_TTAFStock_Log[Part Name],$A28,T_TTAFStock_Log[WeekIndex],13))</f>
        <v/>
      </c>
      <c r="O28" s="12">
        <f>IF(COUNTIFS(T_TTAFStock_Log[Part Name],$A28,T_TTAFStock_Log[WeekIndex],14)=0,"",SUMIFS(T_TTAFStock_Log[TTAF_Qty],T_TTAFStock_Log[Part Name],$A28,T_TTAFStock_Log[WeekIndex],14))</f>
        <v/>
      </c>
      <c r="P28" s="12">
        <f>IF(COUNTIFS(T_TTAFStock_Log[Part Name],$A28,T_TTAFStock_Log[WeekIndex],15)=0,"",SUMIFS(T_TTAFStock_Log[TTAF_Qty],T_TTAFStock_Log[Part Name],$A28,T_TTAFStock_Log[WeekIndex],15))</f>
        <v/>
      </c>
      <c r="Q28" s="12">
        <f>IF(COUNTIFS(T_TTAFStock_Log[Part Name],$A28,T_TTAFStock_Log[WeekIndex],16)=0,"",SUMIFS(T_TTAFStock_Log[TTAF_Qty],T_TTAFStock_Log[Part Name],$A28,T_TTAFStock_Log[WeekIndex],16))</f>
        <v/>
      </c>
      <c r="R28" s="12">
        <f>IF(COUNTIFS(T_TTAFStock_Log[Part Name],$A28,T_TTAFStock_Log[WeekIndex],17)=0,"",SUMIFS(T_TTAFStock_Log[TTAF_Qty],T_TTAFStock_Log[Part Name],$A28,T_TTAFStock_Log[WeekIndex],17))</f>
        <v/>
      </c>
      <c r="S28" s="12">
        <f>IF(COUNTIFS(T_TTAFStock_Log[Part Name],$A28,T_TTAFStock_Log[WeekIndex],18)=0,"",SUMIFS(T_TTAFStock_Log[TTAF_Qty],T_TTAFStock_Log[Part Name],$A28,T_TTAFStock_Log[WeekIndex],18))</f>
        <v/>
      </c>
      <c r="T28" s="12">
        <f>IF(COUNTIFS(T_TTAFStock_Log[Part Name],$A28,T_TTAFStock_Log[WeekIndex],19)=0,"",SUMIFS(T_TTAFStock_Log[TTAF_Qty],T_TTAFStock_Log[Part Name],$A28,T_TTAFStock_Log[WeekIndex],19))</f>
        <v/>
      </c>
      <c r="U28" s="12">
        <f>IF(COUNTIFS(T_TTAFStock_Log[Part Name],$A28,T_TTAFStock_Log[WeekIndex],20)=0,"",SUMIFS(T_TTAFStock_Log[TTAF_Qty],T_TTAFStock_Log[Part Name],$A28,T_TTAFStock_Log[WeekIndex],20))</f>
        <v/>
      </c>
      <c r="V28" s="12">
        <f>IF(COUNTIFS(T_TTAFStock_Log[Part Name],$A28,T_TTAFStock_Log[WeekIndex],21)=0,"",SUMIFS(T_TTAFStock_Log[TTAF_Qty],T_TTAFStock_Log[Part Name],$A28,T_TTAFStock_Log[WeekIndex],21))</f>
        <v/>
      </c>
      <c r="W28" s="12">
        <f>IF(COUNTIFS(T_TTAFStock_Log[Part Name],$A28,T_TTAFStock_Log[WeekIndex],22)=0,"",SUMIFS(T_TTAFStock_Log[TTAF_Qty],T_TTAFStock_Log[Part Name],$A28,T_TTAFStock_Log[WeekIndex],22))</f>
        <v/>
      </c>
      <c r="X28" s="12">
        <f>IF(COUNTIFS(T_TTAFStock_Log[Part Name],$A28,T_TTAFStock_Log[WeekIndex],23)=0,"",SUMIFS(T_TTAFStock_Log[TTAF_Qty],T_TTAFStock_Log[Part Name],$A28,T_TTAFStock_Log[WeekIndex],23))</f>
        <v/>
      </c>
      <c r="Y28" s="12">
        <f>IF(COUNTIFS(T_TTAFStock_Log[Part Name],$A28,T_TTAFStock_Log[WeekIndex],24)=0,"",SUMIFS(T_TTAFStock_Log[TTAF_Qty],T_TTAFStock_Log[Part Name],$A28,T_TTAFStock_Log[WeekIndex],24))</f>
        <v/>
      </c>
      <c r="Z28" s="12">
        <f>IF(COUNTIFS(T_TTAFStock_Log[Part Name],$A28,T_TTAFStock_Log[WeekIndex],25)=0,"",SUMIFS(T_TTAFStock_Log[TTAF_Qty],T_TTAFStock_Log[Part Name],$A28,T_TTAFStock_Log[WeekIndex],25))</f>
        <v/>
      </c>
      <c r="AA28" s="12">
        <f>IF(COUNTIFS(T_TTAFStock_Log[Part Name],$A28,T_TTAFStock_Log[WeekIndex],26)=0,"",SUMIFS(T_TTAFStock_Log[TTAF_Qty],T_TTAFStock_Log[Part Name],$A28,T_TTAFStock_Log[WeekIndex],26))</f>
        <v/>
      </c>
      <c r="AB28" s="12">
        <f>IF(COUNTIFS(T_TTAFStock_Log[Part Name],$A28,T_TTAFStock_Log[WeekIndex],27)=0,"",SUMIFS(T_TTAFStock_Log[TTAF_Qty],T_TTAFStock_Log[Part Name],$A28,T_TTAFStock_Log[WeekIndex],27))</f>
        <v/>
      </c>
      <c r="AC28" s="12">
        <f>IF(COUNTIFS(T_TTAFStock_Log[Part Name],$A28,T_TTAFStock_Log[WeekIndex],28)=0,"",SUMIFS(T_TTAFStock_Log[TTAF_Qty],T_TTAFStock_Log[Part Name],$A28,T_TTAFStock_Log[WeekIndex],28))</f>
        <v/>
      </c>
      <c r="AD28" s="12">
        <f>IF(COUNTIFS(T_TTAFStock_Log[Part Name],$A28,T_TTAFStock_Log[WeekIndex],29)=0,"",SUMIFS(T_TTAFStock_Log[TTAF_Qty],T_TTAFStock_Log[Part Name],$A28,T_TTAFStock_Log[WeekIndex],29))</f>
        <v/>
      </c>
      <c r="AE28" s="12">
        <f>IF(COUNTIFS(T_TTAFStock_Log[Part Name],$A28,T_TTAFStock_Log[WeekIndex],30)=0,"",SUMIFS(T_TTAFStock_Log[TTAF_Qty],T_TTAFStock_Log[Part Name],$A28,T_TTAFStock_Log[WeekIndex],30))</f>
        <v/>
      </c>
      <c r="AF28" s="12">
        <f>IF(COUNTIFS(T_TTAFStock_Log[Part Name],$A28,T_TTAFStock_Log[WeekIndex],31)=0,"",SUMIFS(T_TTAFStock_Log[TTAF_Qty],T_TTAFStock_Log[Part Name],$A28,T_TTAFStock_Log[WeekIndex],31))</f>
        <v/>
      </c>
      <c r="AG28" s="12">
        <f>IF(COUNTIFS(T_TTAFStock_Log[Part Name],$A28,T_TTAFStock_Log[WeekIndex],32)=0,"",SUMIFS(T_TTAFStock_Log[TTAF_Qty],T_TTAFStock_Log[Part Name],$A28,T_TTAFStock_Log[WeekIndex],32))</f>
        <v/>
      </c>
      <c r="AH28" s="12">
        <f>IF(COUNTIFS(T_TTAFStock_Log[Part Name],$A28,T_TTAFStock_Log[WeekIndex],33)=0,"",SUMIFS(T_TTAFStock_Log[TTAF_Qty],T_TTAFStock_Log[Part Name],$A28,T_TTAFStock_Log[WeekIndex],33))</f>
        <v/>
      </c>
      <c r="AI28" s="12">
        <f>IF(COUNTIFS(T_TTAFStock_Log[Part Name],$A28,T_TTAFStock_Log[WeekIndex],34)=0,"",SUMIFS(T_TTAFStock_Log[TTAF_Qty],T_TTAFStock_Log[Part Name],$A28,T_TTAFStock_Log[WeekIndex],34))</f>
        <v/>
      </c>
      <c r="AJ28" s="12">
        <f>IF(COUNTIFS(T_TTAFStock_Log[Part Name],$A28,T_TTAFStock_Log[WeekIndex],35)=0,"",SUMIFS(T_TTAFStock_Log[TTAF_Qty],T_TTAFStock_Log[Part Name],$A28,T_TTAFStock_Log[WeekIndex],35))</f>
        <v/>
      </c>
      <c r="AK28" s="12">
        <f>IF(COUNTIFS(T_TTAFStock_Log[Part Name],$A28,T_TTAFStock_Log[WeekIndex],36)=0,"",SUMIFS(T_TTAFStock_Log[TTAF_Qty],T_TTAFStock_Log[Part Name],$A28,T_TTAFStock_Log[WeekIndex],36))</f>
        <v/>
      </c>
      <c r="AL28" s="12">
        <f>IF(COUNTIFS(T_TTAFStock_Log[Part Name],$A28,T_TTAFStock_Log[WeekIndex],37)=0,"",SUMIFS(T_TTAFStock_Log[TTAF_Qty],T_TTAFStock_Log[Part Name],$A28,T_TTAFStock_Log[WeekIndex],37))</f>
        <v/>
      </c>
      <c r="AM28" s="12">
        <f>IF(COUNTIFS(T_TTAFStock_Log[Part Name],$A28,T_TTAFStock_Log[WeekIndex],38)=0,"",SUMIFS(T_TTAFStock_Log[TTAF_Qty],T_TTAFStock_Log[Part Name],$A28,T_TTAFStock_Log[WeekIndex],38))</f>
        <v/>
      </c>
      <c r="AN28" s="12">
        <f>IF(COUNTIFS(T_TTAFStock_Log[Part Name],$A28,T_TTAFStock_Log[WeekIndex],39)=0,"",SUMIFS(T_TTAFStock_Log[TTAF_Qty],T_TTAFStock_Log[Part Name],$A28,T_TTAFStock_Log[WeekIndex],39))</f>
        <v/>
      </c>
      <c r="AO28" s="12">
        <f>IF(COUNTIFS(T_TTAFStock_Log[Part Name],$A28,T_TTAFStock_Log[WeekIndex],40)=0,"",SUMIFS(T_TTAFStock_Log[TTAF_Qty],T_TTAFStock_Log[Part Name],$A28,T_TTAFStock_Log[WeekIndex],40))</f>
        <v/>
      </c>
      <c r="AP28" s="12">
        <f>IF(COUNTIFS(T_TTAFStock_Log[Part Name],$A28,T_TTAFStock_Log[WeekIndex],41)=0,"",SUMIFS(T_TTAFStock_Log[TTAF_Qty],T_TTAFStock_Log[Part Name],$A28,T_TTAFStock_Log[WeekIndex],41))</f>
        <v/>
      </c>
      <c r="AQ28" s="12">
        <f>IF(COUNTIFS(T_TTAFStock_Log[Part Name],$A28,T_TTAFStock_Log[WeekIndex],42)=0,"",SUMIFS(T_TTAFStock_Log[TTAF_Qty],T_TTAFStock_Log[Part Name],$A28,T_TTAFStock_Log[WeekIndex],42))</f>
        <v/>
      </c>
      <c r="AR28" s="12">
        <f>IF(COUNTIFS(T_TTAFStock_Log[Part Name],$A28,T_TTAFStock_Log[WeekIndex],43)=0,"",SUMIFS(T_TTAFStock_Log[TTAF_Qty],T_TTAFStock_Log[Part Name],$A28,T_TTAFStock_Log[WeekIndex],43))</f>
        <v/>
      </c>
      <c r="AS28" s="12">
        <f>IF(COUNTIFS(T_TTAFStock_Log[Part Name],$A28,T_TTAFStock_Log[WeekIndex],44)=0,"",SUMIFS(T_TTAFStock_Log[TTAF_Qty],T_TTAFStock_Log[Part Name],$A28,T_TTAFStock_Log[WeekIndex],44))</f>
        <v/>
      </c>
      <c r="AT28" s="12">
        <f>IF(COUNTIFS(T_TTAFStock_Log[Part Name],$A28,T_TTAFStock_Log[WeekIndex],45)=0,"",SUMIFS(T_TTAFStock_Log[TTAF_Qty],T_TTAFStock_Log[Part Name],$A28,T_TTAFStock_Log[WeekIndex],45))</f>
        <v/>
      </c>
      <c r="AU28" s="12">
        <f>IF(COUNTIFS(T_TTAFStock_Log[Part Name],$A28,T_TTAFStock_Log[WeekIndex],46)=0,"",SUMIFS(T_TTAFStock_Log[TTAF_Qty],T_TTAFStock_Log[Part Name],$A28,T_TTAFStock_Log[WeekIndex],46))</f>
        <v/>
      </c>
      <c r="AV28" s="12">
        <f>IF(COUNTIFS(T_TTAFStock_Log[Part Name],$A28,T_TTAFStock_Log[WeekIndex],47)=0,"",SUMIFS(T_TTAFStock_Log[TTAF_Qty],T_TTAFStock_Log[Part Name],$A28,T_TTAFStock_Log[WeekIndex],47))</f>
        <v/>
      </c>
      <c r="AW28" s="12">
        <f>IF(COUNTIFS(T_TTAFStock_Log[Part Name],$A28,T_TTAFStock_Log[WeekIndex],48)=0,"",SUMIFS(T_TTAFStock_Log[TTAF_Qty],T_TTAFStock_Log[Part Name],$A28,T_TTAFStock_Log[WeekIndex],48))</f>
        <v/>
      </c>
      <c r="AX28" s="12">
        <f>IF(COUNTIFS(T_TTAFStock_Log[Part Name],$A28,T_TTAFStock_Log[WeekIndex],49)=0,"",SUMIFS(T_TTAFStock_Log[TTAF_Qty],T_TTAFStock_Log[Part Name],$A28,T_TTAFStock_Log[WeekIndex],49))</f>
        <v/>
      </c>
      <c r="AY28" s="12">
        <f>IF(COUNTIFS(T_TTAFStock_Log[Part Name],$A28,T_TTAFStock_Log[WeekIndex],50)=0,"",SUMIFS(T_TTAFStock_Log[TTAF_Qty],T_TTAFStock_Log[Part Name],$A28,T_TTAFStock_Log[WeekIndex],50))</f>
        <v/>
      </c>
      <c r="AZ28" s="12">
        <f>IF(COUNTIFS(T_TTAFStock_Log[Part Name],$A28,T_TTAFStock_Log[WeekIndex],51)=0,"",SUMIFS(T_TTAFStock_Log[TTAF_Qty],T_TTAFStock_Log[Part Name],$A28,T_TTAFStock_Log[WeekIndex],51))</f>
        <v/>
      </c>
      <c r="BA28" s="12">
        <f>IF(COUNTIFS(T_TTAFStock_Log[Part Name],$A28,T_TTAFStock_Log[WeekIndex],52)=0,"",SUMIFS(T_TTAFStock_Log[TTAF_Qty],T_TTAFStock_Log[Part Name],$A28,T_TTAFStock_Log[WeekIndex],52))</f>
        <v/>
      </c>
      <c r="BB28" s="12">
        <f>IF(COUNTIFS(T_TTAFStock_Log[Part Name],$A28,T_TTAFStock_Log[WeekIndex],53)=0,"",SUMIFS(T_TTAFStock_Log[TTAF_Qty],T_TTAFStock_Log[Part Name],$A28,T_TTAFStock_Log[WeekIndex],53))</f>
        <v/>
      </c>
      <c r="BC28" s="12">
        <f>IF(COUNTIFS(T_TTAFStock_Log[Part Name],$A28,T_TTAFStock_Log[WeekIndex],54)=0,"",SUMIFS(T_TTAFStock_Log[TTAF_Qty],T_TTAFStock_Log[Part Name],$A28,T_TTAFStock_Log[WeekIndex],54))</f>
        <v/>
      </c>
      <c r="BD28" s="12">
        <f>IF(COUNTIFS(T_TTAFStock_Log[Part Name],$A28,T_TTAFStock_Log[WeekIndex],55)=0,"",SUMIFS(T_TTAFStock_Log[TTAF_Qty],T_TTAFStock_Log[Part Name],$A28,T_TTAFStock_Log[WeekIndex],55))</f>
        <v/>
      </c>
      <c r="BE28" s="12">
        <f>IF(COUNTIFS(T_TTAFStock_Log[Part Name],$A28,T_TTAFStock_Log[WeekIndex],56)=0,"",SUMIFS(T_TTAFStock_Log[TTAF_Qty],T_TTAFStock_Log[Part Name],$A28,T_TTAFStock_Log[WeekIndex],56))</f>
        <v/>
      </c>
      <c r="BF28" s="12">
        <f>IF(COUNTIFS(T_TTAFStock_Log[Part Name],$A28,T_TTAFStock_Log[WeekIndex],57)=0,"",SUMIFS(T_TTAFStock_Log[TTAF_Qty],T_TTAFStock_Log[Part Name],$A28,T_TTAFStock_Log[WeekIndex],57))</f>
        <v/>
      </c>
      <c r="BG28" s="12">
        <f>IF(COUNTIFS(T_TTAFStock_Log[Part Name],$A28,T_TTAFStock_Log[WeekIndex],58)=0,"",SUMIFS(T_TTAFStock_Log[TTAF_Qty],T_TTAFStock_Log[Part Name],$A28,T_TTAFStock_Log[WeekIndex],58))</f>
        <v/>
      </c>
      <c r="BH28" s="12">
        <f>IF(COUNTIFS(T_TTAFStock_Log[Part Name],$A28,T_TTAFStock_Log[WeekIndex],59)=0,"",SUMIFS(T_TTAFStock_Log[TTAF_Qty],T_TTAFStock_Log[Part Name],$A28,T_TTAFStock_Log[WeekIndex],59))</f>
        <v/>
      </c>
      <c r="BI28" s="12">
        <f>IF(COUNTIFS(T_TTAFStock_Log[Part Name],$A28,T_TTAFStock_Log[WeekIndex],60)=0,"",SUMIFS(T_TTAFStock_Log[TTAF_Qty],T_TTAFStock_Log[Part Name],$A28,T_TTAFStock_Log[WeekIndex],60))</f>
        <v/>
      </c>
      <c r="BJ28" s="12">
        <f>IF(COUNTIFS(T_TTAFStock_Log[Part Name],$A28,T_TTAFStock_Log[WeekIndex],61)=0,"",SUMIFS(T_TTAFStock_Log[TTAF_Qty],T_TTAFStock_Log[Part Name],$A28,T_TTAFStock_Log[WeekIndex],61))</f>
        <v/>
      </c>
      <c r="BK28" s="12">
        <f>IF(COUNTIFS(T_TTAFStock_Log[Part Name],$A28,T_TTAFStock_Log[WeekIndex],62)=0,"",SUMIFS(T_TTAFStock_Log[TTAF_Qty],T_TTAFStock_Log[Part Name],$A28,T_TTAFStock_Log[WeekIndex],62))</f>
        <v/>
      </c>
      <c r="BL28" s="12">
        <f>IF(COUNTIFS(T_TTAFStock_Log[Part Name],$A28,T_TTAFStock_Log[WeekIndex],63)=0,"",SUMIFS(T_TTAFStock_Log[TTAF_Qty],T_TTAFStock_Log[Part Name],$A28,T_TTAFStock_Log[WeekIndex],63))</f>
        <v/>
      </c>
      <c r="BM28" s="12">
        <f>IF(COUNTIFS(T_TTAFStock_Log[Part Name],$A28,T_TTAFStock_Log[WeekIndex],64)=0,"",SUMIFS(T_TTAFStock_Log[TTAF_Qty],T_TTAFStock_Log[Part Name],$A28,T_TTAFStock_Log[WeekIndex],64))</f>
        <v/>
      </c>
      <c r="BN28" s="12">
        <f>IF(COUNTIFS(T_TTAFStock_Log[Part Name],$A28,T_TTAFStock_Log[WeekIndex],65)=0,"",SUMIFS(T_TTAFStock_Log[TTAF_Qty],T_TTAFStock_Log[Part Name],$A28,T_TTAFStock_Log[WeekIndex],65))</f>
        <v/>
      </c>
      <c r="BO28" s="12">
        <f>IF(COUNTIFS(T_TTAFStock_Log[Part Name],$A28,T_TTAFStock_Log[WeekIndex],66)=0,"",SUMIFS(T_TTAFStock_Log[TTAF_Qty],T_TTAFStock_Log[Part Name],$A28,T_TTAFStock_Log[WeekIndex],66))</f>
        <v/>
      </c>
      <c r="BP28" s="12">
        <f>IF(COUNTIFS(T_TTAFStock_Log[Part Name],$A28,T_TTAFStock_Log[WeekIndex],67)=0,"",SUMIFS(T_TTAFStock_Log[TTAF_Qty],T_TTAFStock_Log[Part Name],$A28,T_TTAFStock_Log[WeekIndex],67))</f>
        <v/>
      </c>
      <c r="BQ28" s="12">
        <f>IF(COUNTIFS(T_TTAFStock_Log[Part Name],$A28,T_TTAFStock_Log[WeekIndex],68)=0,"",SUMIFS(T_TTAFStock_Log[TTAF_Qty],T_TTAFStock_Log[Part Name],$A28,T_TTAFStock_Log[WeekIndex],68))</f>
        <v/>
      </c>
      <c r="BR28" s="12">
        <f>IF(COUNTIFS(T_TTAFStock_Log[Part Name],$A28,T_TTAFStock_Log[WeekIndex],69)=0,"",SUMIFS(T_TTAFStock_Log[TTAF_Qty],T_TTAFStock_Log[Part Name],$A28,T_TTAFStock_Log[WeekIndex],69))</f>
        <v/>
      </c>
      <c r="BS28" s="12">
        <f>IF(COUNTIFS(T_TTAFStock_Log[Part Name],$A28,T_TTAFStock_Log[WeekIndex],70)=0,"",SUMIFS(T_TTAFStock_Log[TTAF_Qty],T_TTAFStock_Log[Part Name],$A28,T_TTAFStock_Log[WeekIndex],70))</f>
        <v/>
      </c>
      <c r="BT28" s="12">
        <f>IF(COUNTIFS(T_TTAFStock_Log[Part Name],$A28,T_TTAFStock_Log[WeekIndex],71)=0,"",SUMIFS(T_TTAFStock_Log[TTAF_Qty],T_TTAFStock_Log[Part Name],$A28,T_TTAFStock_Log[WeekIndex],71))</f>
        <v/>
      </c>
      <c r="BU28" s="12">
        <f>IF(COUNTIFS(T_TTAFStock_Log[Part Name],$A28,T_TTAFStock_Log[WeekIndex],72)=0,"",SUMIFS(T_TTAFStock_Log[TTAF_Qty],T_TTAFStock_Log[Part Name],$A28,T_TTAFStock_Log[WeekIndex],72))</f>
        <v/>
      </c>
      <c r="BV28" s="12">
        <f>IF(COUNTIFS(T_TTAFStock_Log[Part Name],$A28,T_TTAFStock_Log[WeekIndex],73)=0,"",SUMIFS(T_TTAFStock_Log[TTAF_Qty],T_TTAFStock_Log[Part Name],$A28,T_TTAFStock_Log[WeekIndex],73))</f>
        <v/>
      </c>
      <c r="BW28" s="12">
        <f>IF(COUNTIFS(T_TTAFStock_Log[Part Name],$A28,T_TTAFStock_Log[WeekIndex],74)=0,"",SUMIFS(T_TTAFStock_Log[TTAF_Qty],T_TTAFStock_Log[Part Name],$A28,T_TTAFStock_Log[WeekIndex],74))</f>
        <v/>
      </c>
      <c r="BX28" s="12">
        <f>IF(COUNTIFS(T_TTAFStock_Log[Part Name],$A28,T_TTAFStock_Log[WeekIndex],75)=0,"",SUMIFS(T_TTAFStock_Log[TTAF_Qty],T_TTAFStock_Log[Part Name],$A28,T_TTAFStock_Log[WeekIndex],75))</f>
        <v/>
      </c>
      <c r="BY28" s="12">
        <f>IF(COUNTIFS(T_TTAFStock_Log[Part Name],$A28,T_TTAFStock_Log[WeekIndex],76)=0,"",SUMIFS(T_TTAFStock_Log[TTAF_Qty],T_TTAFStock_Log[Part Name],$A28,T_TTAFStock_Log[WeekIndex],76))</f>
        <v/>
      </c>
      <c r="BZ28" s="12">
        <f>IF(COUNTIFS(T_TTAFStock_Log[Part Name],$A28,T_TTAFStock_Log[WeekIndex],77)=0,"",SUMIFS(T_TTAFStock_Log[TTAF_Qty],T_TTAFStock_Log[Part Name],$A28,T_TTAFStock_Log[WeekIndex],77))</f>
        <v/>
      </c>
      <c r="CA28" s="12">
        <f>IF(COUNTIFS(T_TTAFStock_Log[Part Name],$A28,T_TTAFStock_Log[WeekIndex],78)=0,"",SUMIFS(T_TTAFStock_Log[TTAF_Qty],T_TTAFStock_Log[Part Name],$A28,T_TTAFStock_Log[WeekIndex],78))</f>
        <v/>
      </c>
      <c r="CB28" s="12">
        <f>IF(COUNTIFS(T_TTAFStock_Log[Part Name],$A28,T_TTAFStock_Log[WeekIndex],79)=0,"",SUMIFS(T_TTAFStock_Log[TTAF_Qty],T_TTAFStock_Log[Part Name],$A28,T_TTAFStock_Log[WeekIndex],79))</f>
        <v/>
      </c>
      <c r="CC28" s="12">
        <f>IF(COUNTIFS(T_TTAFStock_Log[Part Name],$A28,T_TTAFStock_Log[WeekIndex],80)=0,"",SUMIFS(T_TTAFStock_Log[TTAF_Qty],T_TTAFStock_Log[Part Name],$A28,T_TTAFStock_Log[WeekIndex],80))</f>
        <v/>
      </c>
      <c r="CD28" s="12">
        <f>IF(COUNTIFS(T_TTAFStock_Log[Part Name],$A28,T_TTAFStock_Log[WeekIndex],81)=0,"",SUMIFS(T_TTAFStock_Log[TTAF_Qty],T_TTAFStock_Log[Part Name],$A28,T_TTAFStock_Log[WeekIndex],81))</f>
        <v/>
      </c>
      <c r="CE28" s="12">
        <f>IF(COUNTIFS(T_TTAFStock_Log[Part Name],$A28,T_TTAFStock_Log[WeekIndex],82)=0,"",SUMIFS(T_TTAFStock_Log[TTAF_Qty],T_TTAFStock_Log[Part Name],$A28,T_TTAFStock_Log[WeekIndex],82))</f>
        <v/>
      </c>
      <c r="CF28" s="12">
        <f>IF(COUNTIFS(T_TTAFStock_Log[Part Name],$A28,T_TTAFStock_Log[WeekIndex],83)=0,"",SUMIFS(T_TTAFStock_Log[TTAF_Qty],T_TTAFStock_Log[Part Name],$A28,T_TTAFStock_Log[WeekIndex],83))</f>
        <v/>
      </c>
      <c r="CG28" s="12">
        <f>IF(COUNTIFS(T_TTAFStock_Log[Part Name],$A28,T_TTAFStock_Log[WeekIndex],84)=0,"",SUMIFS(T_TTAFStock_Log[TTAF_Qty],T_TTAFStock_Log[Part Name],$A28,T_TTAFStock_Log[WeekIndex],84))</f>
        <v/>
      </c>
      <c r="CH28" s="12">
        <f>IF(COUNTIFS(T_TTAFStock_Log[Part Name],$A28,T_TTAFStock_Log[WeekIndex],85)=0,"",SUMIFS(T_TTAFStock_Log[TTAF_Qty],T_TTAFStock_Log[Part Name],$A28,T_TTAFStock_Log[WeekIndex],85))</f>
        <v/>
      </c>
      <c r="CI28" s="12">
        <f>IF(COUNTIFS(T_TTAFStock_Log[Part Name],$A28,T_TTAFStock_Log[WeekIndex],86)=0,"",SUMIFS(T_TTAFStock_Log[TTAF_Qty],T_TTAFStock_Log[Part Name],$A28,T_TTAFStock_Log[WeekIndex],86))</f>
        <v/>
      </c>
      <c r="CJ28" s="12">
        <f>IF(COUNTIFS(T_TTAFStock_Log[Part Name],$A28,T_TTAFStock_Log[WeekIndex],87)=0,"",SUMIFS(T_TTAFStock_Log[TTAF_Qty],T_TTAFStock_Log[Part Name],$A28,T_TTAFStock_Log[WeekIndex],87))</f>
        <v/>
      </c>
      <c r="CK28" s="12">
        <f>IF(COUNTIFS(T_TTAFStock_Log[Part Name],$A28,T_TTAFStock_Log[WeekIndex],88)=0,"",SUMIFS(T_TTAFStock_Log[TTAF_Qty],T_TTAFStock_Log[Part Name],$A28,T_TTAFStock_Log[WeekIndex],88))</f>
        <v/>
      </c>
      <c r="CL28" s="12">
        <f>IF(COUNTIFS(T_TTAFStock_Log[Part Name],$A28,T_TTAFStock_Log[WeekIndex],89)=0,"",SUMIFS(T_TTAFStock_Log[TTAF_Qty],T_TTAFStock_Log[Part Name],$A28,T_TTAFStock_Log[WeekIndex],89))</f>
        <v/>
      </c>
      <c r="CM28" s="12">
        <f>IF(COUNTIFS(T_TTAFStock_Log[Part Name],$A28,T_TTAFStock_Log[WeekIndex],90)=0,"",SUMIFS(T_TTAFStock_Log[TTAF_Qty],T_TTAFStock_Log[Part Name],$A28,T_TTAFStock_Log[WeekIndex],90))</f>
        <v/>
      </c>
      <c r="CN28" s="12">
        <f>IF(COUNTIFS(T_TTAFStock_Log[Part Name],$A28,T_TTAFStock_Log[WeekIndex],91)=0,"",SUMIFS(T_TTAFStock_Log[TTAF_Qty],T_TTAFStock_Log[Part Name],$A28,T_TTAFStock_Log[WeekIndex],91))</f>
        <v/>
      </c>
      <c r="CO28" s="12">
        <f>IF(COUNTIFS(T_TTAFStock_Log[Part Name],$A28,T_TTAFStock_Log[WeekIndex],92)=0,"",SUMIFS(T_TTAFStock_Log[TTAF_Qty],T_TTAFStock_Log[Part Name],$A28,T_TTAFStock_Log[WeekIndex],92))</f>
        <v/>
      </c>
      <c r="CP28" s="12">
        <f>IF(COUNTIFS(T_TTAFStock_Log[Part Name],$A28,T_TTAFStock_Log[WeekIndex],93)=0,"",SUMIFS(T_TTAFStock_Log[TTAF_Qty],T_TTAFStock_Log[Part Name],$A28,T_TTAFStock_Log[WeekIndex],93))</f>
        <v/>
      </c>
      <c r="CQ28" s="12">
        <f>IF(COUNTIFS(T_TTAFStock_Log[Part Name],$A28,T_TTAFStock_Log[WeekIndex],94)=0,"",SUMIFS(T_TTAFStock_Log[TTAF_Qty],T_TTAFStock_Log[Part Name],$A28,T_TTAFStock_Log[WeekIndex],94))</f>
        <v/>
      </c>
      <c r="CR28" s="12">
        <f>IF(COUNTIFS(T_TTAFStock_Log[Part Name],$A28,T_TTAFStock_Log[WeekIndex],95)=0,"",SUMIFS(T_TTAFStock_Log[TTAF_Qty],T_TTAFStock_Log[Part Name],$A28,T_TTAFStock_Log[WeekIndex],95))</f>
        <v/>
      </c>
      <c r="CS28" s="12">
        <f>IF(COUNTIFS(T_TTAFStock_Log[Part Name],$A28,T_TTAFStock_Log[WeekIndex],96)=0,"",SUMIFS(T_TTAFStock_Log[TTAF_Qty],T_TTAFStock_Log[Part Name],$A28,T_TTAFStock_Log[WeekIndex],96))</f>
        <v/>
      </c>
      <c r="CT28" s="12">
        <f>IF(COUNTIFS(T_TTAFStock_Log[Part Name],$A28,T_TTAFStock_Log[WeekIndex],97)=0,"",SUMIFS(T_TTAFStock_Log[TTAF_Qty],T_TTAFStock_Log[Part Name],$A28,T_TTAFStock_Log[WeekIndex],97))</f>
        <v/>
      </c>
      <c r="CU28" s="12">
        <f>IF(COUNTIFS(T_TTAFStock_Log[Part Name],$A28,T_TTAFStock_Log[WeekIndex],98)=0,"",SUMIFS(T_TTAFStock_Log[TTAF_Qty],T_TTAFStock_Log[Part Name],$A28,T_TTAFStock_Log[WeekIndex],98))</f>
        <v/>
      </c>
      <c r="CV28" s="12">
        <f>IF(COUNTIFS(T_TTAFStock_Log[Part Name],$A28,T_TTAFStock_Log[WeekIndex],99)=0,"",SUMIFS(T_TTAFStock_Log[TTAF_Qty],T_TTAFStock_Log[Part Name],$A28,T_TTAFStock_Log[WeekIndex],99))</f>
        <v/>
      </c>
      <c r="CW28" s="12">
        <f>IF(COUNTIFS(T_TTAFStock_Log[Part Name],$A28,T_TTAFStock_Log[WeekIndex],100)=0,"",SUMIFS(T_TTAFStock_Log[TTAF_Qty],T_TTAFStock_Log[Part Name],$A28,T_TTAFStock_Log[WeekIndex],100))</f>
        <v/>
      </c>
      <c r="CX28" s="12">
        <f>IF(COUNTIFS(T_TTAFStock_Log[Part Name],$A28,T_TTAFStock_Log[WeekIndex],101)=0,"",SUMIFS(T_TTAFStock_Log[TTAF_Qty],T_TTAFStock_Log[Part Name],$A28,T_TTAFStock_Log[WeekIndex],101))</f>
        <v/>
      </c>
      <c r="CY28" s="12">
        <f>IF(COUNTIFS(T_TTAFStock_Log[Part Name],$A28,T_TTAFStock_Log[WeekIndex],102)=0,"",SUMIFS(T_TTAFStock_Log[TTAF_Qty],T_TTAFStock_Log[Part Name],$A28,T_TTAFStock_Log[WeekIndex],102))</f>
        <v/>
      </c>
      <c r="CZ28" s="12">
        <f>IF(COUNTIFS(T_TTAFStock_Log[Part Name],$A28,T_TTAFStock_Log[WeekIndex],103)=0,"",SUMIFS(T_TTAFStock_Log[TTAF_Qty],T_TTAFStock_Log[Part Name],$A28,T_TTAFStock_Log[WeekIndex],103))</f>
        <v/>
      </c>
      <c r="DA28" s="12">
        <f>IF(COUNTIFS(T_TTAFStock_Log[Part Name],$A28,T_TTAFStock_Log[WeekIndex],104)=0,"",SUMIFS(T_TTAFStock_Log[TTAF_Qty],T_TTAFStock_Log[Part Name],$A28,T_TTAFStock_Log[WeekIndex],104))</f>
        <v/>
      </c>
    </row>
    <row r="29">
      <c r="A29" s="13" t="inlineStr">
        <is>
          <t>CHEM-1200</t>
        </is>
      </c>
      <c r="B29" s="13">
        <f>IF(COUNTIFS(T_TTAFStock_Log[Part Name],$A29,T_TTAFStock_Log[WeekIndex],1)=0,"",SUMIFS(T_TTAFStock_Log[TTAF_Qty],T_TTAFStock_Log[Part Name],$A29,T_TTAFStock_Log[WeekIndex],1))</f>
        <v/>
      </c>
      <c r="C29" s="13">
        <f>IF(COUNTIFS(T_TTAFStock_Log[Part Name],$A29,T_TTAFStock_Log[WeekIndex],2)=0,"",SUMIFS(T_TTAFStock_Log[TTAF_Qty],T_TTAFStock_Log[Part Name],$A29,T_TTAFStock_Log[WeekIndex],2))</f>
        <v/>
      </c>
      <c r="D29" s="13">
        <f>IF(COUNTIFS(T_TTAFStock_Log[Part Name],$A29,T_TTAFStock_Log[WeekIndex],3)=0,"",SUMIFS(T_TTAFStock_Log[TTAF_Qty],T_TTAFStock_Log[Part Name],$A29,T_TTAFStock_Log[WeekIndex],3))</f>
        <v/>
      </c>
      <c r="E29" s="13">
        <f>IF(COUNTIFS(T_TTAFStock_Log[Part Name],$A29,T_TTAFStock_Log[WeekIndex],4)=0,"",SUMIFS(T_TTAFStock_Log[TTAF_Qty],T_TTAFStock_Log[Part Name],$A29,T_TTAFStock_Log[WeekIndex],4))</f>
        <v/>
      </c>
      <c r="F29" s="13">
        <f>IF(COUNTIFS(T_TTAFStock_Log[Part Name],$A29,T_TTAFStock_Log[WeekIndex],5)=0,"",SUMIFS(T_TTAFStock_Log[TTAF_Qty],T_TTAFStock_Log[Part Name],$A29,T_TTAFStock_Log[WeekIndex],5))</f>
        <v/>
      </c>
      <c r="G29" s="13">
        <f>IF(COUNTIFS(T_TTAFStock_Log[Part Name],$A29,T_TTAFStock_Log[WeekIndex],6)=0,"",SUMIFS(T_TTAFStock_Log[TTAF_Qty],T_TTAFStock_Log[Part Name],$A29,T_TTAFStock_Log[WeekIndex],6))</f>
        <v/>
      </c>
      <c r="H29" s="13">
        <f>IF(COUNTIFS(T_TTAFStock_Log[Part Name],$A29,T_TTAFStock_Log[WeekIndex],7)=0,"",SUMIFS(T_TTAFStock_Log[TTAF_Qty],T_TTAFStock_Log[Part Name],$A29,T_TTAFStock_Log[WeekIndex],7))</f>
        <v/>
      </c>
      <c r="I29" s="13">
        <f>IF(COUNTIFS(T_TTAFStock_Log[Part Name],$A29,T_TTAFStock_Log[WeekIndex],8)=0,"",SUMIFS(T_TTAFStock_Log[TTAF_Qty],T_TTAFStock_Log[Part Name],$A29,T_TTAFStock_Log[WeekIndex],8))</f>
        <v/>
      </c>
      <c r="J29" s="13">
        <f>IF(COUNTIFS(T_TTAFStock_Log[Part Name],$A29,T_TTAFStock_Log[WeekIndex],9)=0,"",SUMIFS(T_TTAFStock_Log[TTAF_Qty],T_TTAFStock_Log[Part Name],$A29,T_TTAFStock_Log[WeekIndex],9))</f>
        <v/>
      </c>
      <c r="K29" s="13">
        <f>IF(COUNTIFS(T_TTAFStock_Log[Part Name],$A29,T_TTAFStock_Log[WeekIndex],10)=0,"",SUMIFS(T_TTAFStock_Log[TTAF_Qty],T_TTAFStock_Log[Part Name],$A29,T_TTAFStock_Log[WeekIndex],10))</f>
        <v/>
      </c>
      <c r="L29" s="13">
        <f>IF(COUNTIFS(T_TTAFStock_Log[Part Name],$A29,T_TTAFStock_Log[WeekIndex],11)=0,"",SUMIFS(T_TTAFStock_Log[TTAF_Qty],T_TTAFStock_Log[Part Name],$A29,T_TTAFStock_Log[WeekIndex],11))</f>
        <v/>
      </c>
      <c r="M29" s="13">
        <f>IF(COUNTIFS(T_TTAFStock_Log[Part Name],$A29,T_TTAFStock_Log[WeekIndex],12)=0,"",SUMIFS(T_TTAFStock_Log[TTAF_Qty],T_TTAFStock_Log[Part Name],$A29,T_TTAFStock_Log[WeekIndex],12))</f>
        <v/>
      </c>
      <c r="N29" s="13">
        <f>IF(COUNTIFS(T_TTAFStock_Log[Part Name],$A29,T_TTAFStock_Log[WeekIndex],13)=0,"",SUMIFS(T_TTAFStock_Log[TTAF_Qty],T_TTAFStock_Log[Part Name],$A29,T_TTAFStock_Log[WeekIndex],13))</f>
        <v/>
      </c>
      <c r="O29" s="13">
        <f>IF(COUNTIFS(T_TTAFStock_Log[Part Name],$A29,T_TTAFStock_Log[WeekIndex],14)=0,"",SUMIFS(T_TTAFStock_Log[TTAF_Qty],T_TTAFStock_Log[Part Name],$A29,T_TTAFStock_Log[WeekIndex],14))</f>
        <v/>
      </c>
      <c r="P29" s="13">
        <f>IF(COUNTIFS(T_TTAFStock_Log[Part Name],$A29,T_TTAFStock_Log[WeekIndex],15)=0,"",SUMIFS(T_TTAFStock_Log[TTAF_Qty],T_TTAFStock_Log[Part Name],$A29,T_TTAFStock_Log[WeekIndex],15))</f>
        <v/>
      </c>
      <c r="Q29" s="13">
        <f>IF(COUNTIFS(T_TTAFStock_Log[Part Name],$A29,T_TTAFStock_Log[WeekIndex],16)=0,"",SUMIFS(T_TTAFStock_Log[TTAF_Qty],T_TTAFStock_Log[Part Name],$A29,T_TTAFStock_Log[WeekIndex],16))</f>
        <v/>
      </c>
      <c r="R29" s="13">
        <f>IF(COUNTIFS(T_TTAFStock_Log[Part Name],$A29,T_TTAFStock_Log[WeekIndex],17)=0,"",SUMIFS(T_TTAFStock_Log[TTAF_Qty],T_TTAFStock_Log[Part Name],$A29,T_TTAFStock_Log[WeekIndex],17))</f>
        <v/>
      </c>
      <c r="S29" s="13">
        <f>IF(COUNTIFS(T_TTAFStock_Log[Part Name],$A29,T_TTAFStock_Log[WeekIndex],18)=0,"",SUMIFS(T_TTAFStock_Log[TTAF_Qty],T_TTAFStock_Log[Part Name],$A29,T_TTAFStock_Log[WeekIndex],18))</f>
        <v/>
      </c>
      <c r="T29" s="13">
        <f>IF(COUNTIFS(T_TTAFStock_Log[Part Name],$A29,T_TTAFStock_Log[WeekIndex],19)=0,"",SUMIFS(T_TTAFStock_Log[TTAF_Qty],T_TTAFStock_Log[Part Name],$A29,T_TTAFStock_Log[WeekIndex],19))</f>
        <v/>
      </c>
      <c r="U29" s="13">
        <f>IF(COUNTIFS(T_TTAFStock_Log[Part Name],$A29,T_TTAFStock_Log[WeekIndex],20)=0,"",SUMIFS(T_TTAFStock_Log[TTAF_Qty],T_TTAFStock_Log[Part Name],$A29,T_TTAFStock_Log[WeekIndex],20))</f>
        <v/>
      </c>
      <c r="V29" s="13">
        <f>IF(COUNTIFS(T_TTAFStock_Log[Part Name],$A29,T_TTAFStock_Log[WeekIndex],21)=0,"",SUMIFS(T_TTAFStock_Log[TTAF_Qty],T_TTAFStock_Log[Part Name],$A29,T_TTAFStock_Log[WeekIndex],21))</f>
        <v/>
      </c>
      <c r="W29" s="13">
        <f>IF(COUNTIFS(T_TTAFStock_Log[Part Name],$A29,T_TTAFStock_Log[WeekIndex],22)=0,"",SUMIFS(T_TTAFStock_Log[TTAF_Qty],T_TTAFStock_Log[Part Name],$A29,T_TTAFStock_Log[WeekIndex],22))</f>
        <v/>
      </c>
      <c r="X29" s="13">
        <f>IF(COUNTIFS(T_TTAFStock_Log[Part Name],$A29,T_TTAFStock_Log[WeekIndex],23)=0,"",SUMIFS(T_TTAFStock_Log[TTAF_Qty],T_TTAFStock_Log[Part Name],$A29,T_TTAFStock_Log[WeekIndex],23))</f>
        <v/>
      </c>
      <c r="Y29" s="13">
        <f>IF(COUNTIFS(T_TTAFStock_Log[Part Name],$A29,T_TTAFStock_Log[WeekIndex],24)=0,"",SUMIFS(T_TTAFStock_Log[TTAF_Qty],T_TTAFStock_Log[Part Name],$A29,T_TTAFStock_Log[WeekIndex],24))</f>
        <v/>
      </c>
      <c r="Z29" s="13">
        <f>IF(COUNTIFS(T_TTAFStock_Log[Part Name],$A29,T_TTAFStock_Log[WeekIndex],25)=0,"",SUMIFS(T_TTAFStock_Log[TTAF_Qty],T_TTAFStock_Log[Part Name],$A29,T_TTAFStock_Log[WeekIndex],25))</f>
        <v/>
      </c>
      <c r="AA29" s="13">
        <f>IF(COUNTIFS(T_TTAFStock_Log[Part Name],$A29,T_TTAFStock_Log[WeekIndex],26)=0,"",SUMIFS(T_TTAFStock_Log[TTAF_Qty],T_TTAFStock_Log[Part Name],$A29,T_TTAFStock_Log[WeekIndex],26))</f>
        <v/>
      </c>
      <c r="AB29" s="13">
        <f>IF(COUNTIFS(T_TTAFStock_Log[Part Name],$A29,T_TTAFStock_Log[WeekIndex],27)=0,"",SUMIFS(T_TTAFStock_Log[TTAF_Qty],T_TTAFStock_Log[Part Name],$A29,T_TTAFStock_Log[WeekIndex],27))</f>
        <v/>
      </c>
      <c r="AC29" s="13">
        <f>IF(COUNTIFS(T_TTAFStock_Log[Part Name],$A29,T_TTAFStock_Log[WeekIndex],28)=0,"",SUMIFS(T_TTAFStock_Log[TTAF_Qty],T_TTAFStock_Log[Part Name],$A29,T_TTAFStock_Log[WeekIndex],28))</f>
        <v/>
      </c>
      <c r="AD29" s="13">
        <f>IF(COUNTIFS(T_TTAFStock_Log[Part Name],$A29,T_TTAFStock_Log[WeekIndex],29)=0,"",SUMIFS(T_TTAFStock_Log[TTAF_Qty],T_TTAFStock_Log[Part Name],$A29,T_TTAFStock_Log[WeekIndex],29))</f>
        <v/>
      </c>
      <c r="AE29" s="13">
        <f>IF(COUNTIFS(T_TTAFStock_Log[Part Name],$A29,T_TTAFStock_Log[WeekIndex],30)=0,"",SUMIFS(T_TTAFStock_Log[TTAF_Qty],T_TTAFStock_Log[Part Name],$A29,T_TTAFStock_Log[WeekIndex],30))</f>
        <v/>
      </c>
      <c r="AF29" s="13">
        <f>IF(COUNTIFS(T_TTAFStock_Log[Part Name],$A29,T_TTAFStock_Log[WeekIndex],31)=0,"",SUMIFS(T_TTAFStock_Log[TTAF_Qty],T_TTAFStock_Log[Part Name],$A29,T_TTAFStock_Log[WeekIndex],31))</f>
        <v/>
      </c>
      <c r="AG29" s="13">
        <f>IF(COUNTIFS(T_TTAFStock_Log[Part Name],$A29,T_TTAFStock_Log[WeekIndex],32)=0,"",SUMIFS(T_TTAFStock_Log[TTAF_Qty],T_TTAFStock_Log[Part Name],$A29,T_TTAFStock_Log[WeekIndex],32))</f>
        <v/>
      </c>
      <c r="AH29" s="13">
        <f>IF(COUNTIFS(T_TTAFStock_Log[Part Name],$A29,T_TTAFStock_Log[WeekIndex],33)=0,"",SUMIFS(T_TTAFStock_Log[TTAF_Qty],T_TTAFStock_Log[Part Name],$A29,T_TTAFStock_Log[WeekIndex],33))</f>
        <v/>
      </c>
      <c r="AI29" s="13">
        <f>IF(COUNTIFS(T_TTAFStock_Log[Part Name],$A29,T_TTAFStock_Log[WeekIndex],34)=0,"",SUMIFS(T_TTAFStock_Log[TTAF_Qty],T_TTAFStock_Log[Part Name],$A29,T_TTAFStock_Log[WeekIndex],34))</f>
        <v/>
      </c>
      <c r="AJ29" s="13">
        <f>IF(COUNTIFS(T_TTAFStock_Log[Part Name],$A29,T_TTAFStock_Log[WeekIndex],35)=0,"",SUMIFS(T_TTAFStock_Log[TTAF_Qty],T_TTAFStock_Log[Part Name],$A29,T_TTAFStock_Log[WeekIndex],35))</f>
        <v/>
      </c>
      <c r="AK29" s="13">
        <f>IF(COUNTIFS(T_TTAFStock_Log[Part Name],$A29,T_TTAFStock_Log[WeekIndex],36)=0,"",SUMIFS(T_TTAFStock_Log[TTAF_Qty],T_TTAFStock_Log[Part Name],$A29,T_TTAFStock_Log[WeekIndex],36))</f>
        <v/>
      </c>
      <c r="AL29" s="13">
        <f>IF(COUNTIFS(T_TTAFStock_Log[Part Name],$A29,T_TTAFStock_Log[WeekIndex],37)=0,"",SUMIFS(T_TTAFStock_Log[TTAF_Qty],T_TTAFStock_Log[Part Name],$A29,T_TTAFStock_Log[WeekIndex],37))</f>
        <v/>
      </c>
      <c r="AM29" s="13">
        <f>IF(COUNTIFS(T_TTAFStock_Log[Part Name],$A29,T_TTAFStock_Log[WeekIndex],38)=0,"",SUMIFS(T_TTAFStock_Log[TTAF_Qty],T_TTAFStock_Log[Part Name],$A29,T_TTAFStock_Log[WeekIndex],38))</f>
        <v/>
      </c>
      <c r="AN29" s="13">
        <f>IF(COUNTIFS(T_TTAFStock_Log[Part Name],$A29,T_TTAFStock_Log[WeekIndex],39)=0,"",SUMIFS(T_TTAFStock_Log[TTAF_Qty],T_TTAFStock_Log[Part Name],$A29,T_TTAFStock_Log[WeekIndex],39))</f>
        <v/>
      </c>
      <c r="AO29" s="13">
        <f>IF(COUNTIFS(T_TTAFStock_Log[Part Name],$A29,T_TTAFStock_Log[WeekIndex],40)=0,"",SUMIFS(T_TTAFStock_Log[TTAF_Qty],T_TTAFStock_Log[Part Name],$A29,T_TTAFStock_Log[WeekIndex],40))</f>
        <v/>
      </c>
      <c r="AP29" s="13">
        <f>IF(COUNTIFS(T_TTAFStock_Log[Part Name],$A29,T_TTAFStock_Log[WeekIndex],41)=0,"",SUMIFS(T_TTAFStock_Log[TTAF_Qty],T_TTAFStock_Log[Part Name],$A29,T_TTAFStock_Log[WeekIndex],41))</f>
        <v/>
      </c>
      <c r="AQ29" s="13">
        <f>IF(COUNTIFS(T_TTAFStock_Log[Part Name],$A29,T_TTAFStock_Log[WeekIndex],42)=0,"",SUMIFS(T_TTAFStock_Log[TTAF_Qty],T_TTAFStock_Log[Part Name],$A29,T_TTAFStock_Log[WeekIndex],42))</f>
        <v/>
      </c>
      <c r="AR29" s="13">
        <f>IF(COUNTIFS(T_TTAFStock_Log[Part Name],$A29,T_TTAFStock_Log[WeekIndex],43)=0,"",SUMIFS(T_TTAFStock_Log[TTAF_Qty],T_TTAFStock_Log[Part Name],$A29,T_TTAFStock_Log[WeekIndex],43))</f>
        <v/>
      </c>
      <c r="AS29" s="13">
        <f>IF(COUNTIFS(T_TTAFStock_Log[Part Name],$A29,T_TTAFStock_Log[WeekIndex],44)=0,"",SUMIFS(T_TTAFStock_Log[TTAF_Qty],T_TTAFStock_Log[Part Name],$A29,T_TTAFStock_Log[WeekIndex],44))</f>
        <v/>
      </c>
      <c r="AT29" s="13">
        <f>IF(COUNTIFS(T_TTAFStock_Log[Part Name],$A29,T_TTAFStock_Log[WeekIndex],45)=0,"",SUMIFS(T_TTAFStock_Log[TTAF_Qty],T_TTAFStock_Log[Part Name],$A29,T_TTAFStock_Log[WeekIndex],45))</f>
        <v/>
      </c>
      <c r="AU29" s="13">
        <f>IF(COUNTIFS(T_TTAFStock_Log[Part Name],$A29,T_TTAFStock_Log[WeekIndex],46)=0,"",SUMIFS(T_TTAFStock_Log[TTAF_Qty],T_TTAFStock_Log[Part Name],$A29,T_TTAFStock_Log[WeekIndex],46))</f>
        <v/>
      </c>
      <c r="AV29" s="13">
        <f>IF(COUNTIFS(T_TTAFStock_Log[Part Name],$A29,T_TTAFStock_Log[WeekIndex],47)=0,"",SUMIFS(T_TTAFStock_Log[TTAF_Qty],T_TTAFStock_Log[Part Name],$A29,T_TTAFStock_Log[WeekIndex],47))</f>
        <v/>
      </c>
      <c r="AW29" s="13">
        <f>IF(COUNTIFS(T_TTAFStock_Log[Part Name],$A29,T_TTAFStock_Log[WeekIndex],48)=0,"",SUMIFS(T_TTAFStock_Log[TTAF_Qty],T_TTAFStock_Log[Part Name],$A29,T_TTAFStock_Log[WeekIndex],48))</f>
        <v/>
      </c>
      <c r="AX29" s="13">
        <f>IF(COUNTIFS(T_TTAFStock_Log[Part Name],$A29,T_TTAFStock_Log[WeekIndex],49)=0,"",SUMIFS(T_TTAFStock_Log[TTAF_Qty],T_TTAFStock_Log[Part Name],$A29,T_TTAFStock_Log[WeekIndex],49))</f>
        <v/>
      </c>
      <c r="AY29" s="13">
        <f>IF(COUNTIFS(T_TTAFStock_Log[Part Name],$A29,T_TTAFStock_Log[WeekIndex],50)=0,"",SUMIFS(T_TTAFStock_Log[TTAF_Qty],T_TTAFStock_Log[Part Name],$A29,T_TTAFStock_Log[WeekIndex],50))</f>
        <v/>
      </c>
      <c r="AZ29" s="13">
        <f>IF(COUNTIFS(T_TTAFStock_Log[Part Name],$A29,T_TTAFStock_Log[WeekIndex],51)=0,"",SUMIFS(T_TTAFStock_Log[TTAF_Qty],T_TTAFStock_Log[Part Name],$A29,T_TTAFStock_Log[WeekIndex],51))</f>
        <v/>
      </c>
      <c r="BA29" s="13">
        <f>IF(COUNTIFS(T_TTAFStock_Log[Part Name],$A29,T_TTAFStock_Log[WeekIndex],52)=0,"",SUMIFS(T_TTAFStock_Log[TTAF_Qty],T_TTAFStock_Log[Part Name],$A29,T_TTAFStock_Log[WeekIndex],52))</f>
        <v/>
      </c>
      <c r="BB29" s="13">
        <f>IF(COUNTIFS(T_TTAFStock_Log[Part Name],$A29,T_TTAFStock_Log[WeekIndex],53)=0,"",SUMIFS(T_TTAFStock_Log[TTAF_Qty],T_TTAFStock_Log[Part Name],$A29,T_TTAFStock_Log[WeekIndex],53))</f>
        <v/>
      </c>
      <c r="BC29" s="13">
        <f>IF(COUNTIFS(T_TTAFStock_Log[Part Name],$A29,T_TTAFStock_Log[WeekIndex],54)=0,"",SUMIFS(T_TTAFStock_Log[TTAF_Qty],T_TTAFStock_Log[Part Name],$A29,T_TTAFStock_Log[WeekIndex],54))</f>
        <v/>
      </c>
      <c r="BD29" s="13">
        <f>IF(COUNTIFS(T_TTAFStock_Log[Part Name],$A29,T_TTAFStock_Log[WeekIndex],55)=0,"",SUMIFS(T_TTAFStock_Log[TTAF_Qty],T_TTAFStock_Log[Part Name],$A29,T_TTAFStock_Log[WeekIndex],55))</f>
        <v/>
      </c>
      <c r="BE29" s="13">
        <f>IF(COUNTIFS(T_TTAFStock_Log[Part Name],$A29,T_TTAFStock_Log[WeekIndex],56)=0,"",SUMIFS(T_TTAFStock_Log[TTAF_Qty],T_TTAFStock_Log[Part Name],$A29,T_TTAFStock_Log[WeekIndex],56))</f>
        <v/>
      </c>
      <c r="BF29" s="13">
        <f>IF(COUNTIFS(T_TTAFStock_Log[Part Name],$A29,T_TTAFStock_Log[WeekIndex],57)=0,"",SUMIFS(T_TTAFStock_Log[TTAF_Qty],T_TTAFStock_Log[Part Name],$A29,T_TTAFStock_Log[WeekIndex],57))</f>
        <v/>
      </c>
      <c r="BG29" s="13">
        <f>IF(COUNTIFS(T_TTAFStock_Log[Part Name],$A29,T_TTAFStock_Log[WeekIndex],58)=0,"",SUMIFS(T_TTAFStock_Log[TTAF_Qty],T_TTAFStock_Log[Part Name],$A29,T_TTAFStock_Log[WeekIndex],58))</f>
        <v/>
      </c>
      <c r="BH29" s="13">
        <f>IF(COUNTIFS(T_TTAFStock_Log[Part Name],$A29,T_TTAFStock_Log[WeekIndex],59)=0,"",SUMIFS(T_TTAFStock_Log[TTAF_Qty],T_TTAFStock_Log[Part Name],$A29,T_TTAFStock_Log[WeekIndex],59))</f>
        <v/>
      </c>
      <c r="BI29" s="13">
        <f>IF(COUNTIFS(T_TTAFStock_Log[Part Name],$A29,T_TTAFStock_Log[WeekIndex],60)=0,"",SUMIFS(T_TTAFStock_Log[TTAF_Qty],T_TTAFStock_Log[Part Name],$A29,T_TTAFStock_Log[WeekIndex],60))</f>
        <v/>
      </c>
      <c r="BJ29" s="13">
        <f>IF(COUNTIFS(T_TTAFStock_Log[Part Name],$A29,T_TTAFStock_Log[WeekIndex],61)=0,"",SUMIFS(T_TTAFStock_Log[TTAF_Qty],T_TTAFStock_Log[Part Name],$A29,T_TTAFStock_Log[WeekIndex],61))</f>
        <v/>
      </c>
      <c r="BK29" s="13">
        <f>IF(COUNTIFS(T_TTAFStock_Log[Part Name],$A29,T_TTAFStock_Log[WeekIndex],62)=0,"",SUMIFS(T_TTAFStock_Log[TTAF_Qty],T_TTAFStock_Log[Part Name],$A29,T_TTAFStock_Log[WeekIndex],62))</f>
        <v/>
      </c>
      <c r="BL29" s="13">
        <f>IF(COUNTIFS(T_TTAFStock_Log[Part Name],$A29,T_TTAFStock_Log[WeekIndex],63)=0,"",SUMIFS(T_TTAFStock_Log[TTAF_Qty],T_TTAFStock_Log[Part Name],$A29,T_TTAFStock_Log[WeekIndex],63))</f>
        <v/>
      </c>
      <c r="BM29" s="13">
        <f>IF(COUNTIFS(T_TTAFStock_Log[Part Name],$A29,T_TTAFStock_Log[WeekIndex],64)=0,"",SUMIFS(T_TTAFStock_Log[TTAF_Qty],T_TTAFStock_Log[Part Name],$A29,T_TTAFStock_Log[WeekIndex],64))</f>
        <v/>
      </c>
      <c r="BN29" s="13">
        <f>IF(COUNTIFS(T_TTAFStock_Log[Part Name],$A29,T_TTAFStock_Log[WeekIndex],65)=0,"",SUMIFS(T_TTAFStock_Log[TTAF_Qty],T_TTAFStock_Log[Part Name],$A29,T_TTAFStock_Log[WeekIndex],65))</f>
        <v/>
      </c>
      <c r="BO29" s="13">
        <f>IF(COUNTIFS(T_TTAFStock_Log[Part Name],$A29,T_TTAFStock_Log[WeekIndex],66)=0,"",SUMIFS(T_TTAFStock_Log[TTAF_Qty],T_TTAFStock_Log[Part Name],$A29,T_TTAFStock_Log[WeekIndex],66))</f>
        <v/>
      </c>
      <c r="BP29" s="13">
        <f>IF(COUNTIFS(T_TTAFStock_Log[Part Name],$A29,T_TTAFStock_Log[WeekIndex],67)=0,"",SUMIFS(T_TTAFStock_Log[TTAF_Qty],T_TTAFStock_Log[Part Name],$A29,T_TTAFStock_Log[WeekIndex],67))</f>
        <v/>
      </c>
      <c r="BQ29" s="13">
        <f>IF(COUNTIFS(T_TTAFStock_Log[Part Name],$A29,T_TTAFStock_Log[WeekIndex],68)=0,"",SUMIFS(T_TTAFStock_Log[TTAF_Qty],T_TTAFStock_Log[Part Name],$A29,T_TTAFStock_Log[WeekIndex],68))</f>
        <v/>
      </c>
      <c r="BR29" s="13">
        <f>IF(COUNTIFS(T_TTAFStock_Log[Part Name],$A29,T_TTAFStock_Log[WeekIndex],69)=0,"",SUMIFS(T_TTAFStock_Log[TTAF_Qty],T_TTAFStock_Log[Part Name],$A29,T_TTAFStock_Log[WeekIndex],69))</f>
        <v/>
      </c>
      <c r="BS29" s="13">
        <f>IF(COUNTIFS(T_TTAFStock_Log[Part Name],$A29,T_TTAFStock_Log[WeekIndex],70)=0,"",SUMIFS(T_TTAFStock_Log[TTAF_Qty],T_TTAFStock_Log[Part Name],$A29,T_TTAFStock_Log[WeekIndex],70))</f>
        <v/>
      </c>
      <c r="BT29" s="13">
        <f>IF(COUNTIFS(T_TTAFStock_Log[Part Name],$A29,T_TTAFStock_Log[WeekIndex],71)=0,"",SUMIFS(T_TTAFStock_Log[TTAF_Qty],T_TTAFStock_Log[Part Name],$A29,T_TTAFStock_Log[WeekIndex],71))</f>
        <v/>
      </c>
      <c r="BU29" s="13">
        <f>IF(COUNTIFS(T_TTAFStock_Log[Part Name],$A29,T_TTAFStock_Log[WeekIndex],72)=0,"",SUMIFS(T_TTAFStock_Log[TTAF_Qty],T_TTAFStock_Log[Part Name],$A29,T_TTAFStock_Log[WeekIndex],72))</f>
        <v/>
      </c>
      <c r="BV29" s="13">
        <f>IF(COUNTIFS(T_TTAFStock_Log[Part Name],$A29,T_TTAFStock_Log[WeekIndex],73)=0,"",SUMIFS(T_TTAFStock_Log[TTAF_Qty],T_TTAFStock_Log[Part Name],$A29,T_TTAFStock_Log[WeekIndex],73))</f>
        <v/>
      </c>
      <c r="BW29" s="13">
        <f>IF(COUNTIFS(T_TTAFStock_Log[Part Name],$A29,T_TTAFStock_Log[WeekIndex],74)=0,"",SUMIFS(T_TTAFStock_Log[TTAF_Qty],T_TTAFStock_Log[Part Name],$A29,T_TTAFStock_Log[WeekIndex],74))</f>
        <v/>
      </c>
      <c r="BX29" s="13">
        <f>IF(COUNTIFS(T_TTAFStock_Log[Part Name],$A29,T_TTAFStock_Log[WeekIndex],75)=0,"",SUMIFS(T_TTAFStock_Log[TTAF_Qty],T_TTAFStock_Log[Part Name],$A29,T_TTAFStock_Log[WeekIndex],75))</f>
        <v/>
      </c>
      <c r="BY29" s="13">
        <f>IF(COUNTIFS(T_TTAFStock_Log[Part Name],$A29,T_TTAFStock_Log[WeekIndex],76)=0,"",SUMIFS(T_TTAFStock_Log[TTAF_Qty],T_TTAFStock_Log[Part Name],$A29,T_TTAFStock_Log[WeekIndex],76))</f>
        <v/>
      </c>
      <c r="BZ29" s="13">
        <f>IF(COUNTIFS(T_TTAFStock_Log[Part Name],$A29,T_TTAFStock_Log[WeekIndex],77)=0,"",SUMIFS(T_TTAFStock_Log[TTAF_Qty],T_TTAFStock_Log[Part Name],$A29,T_TTAFStock_Log[WeekIndex],77))</f>
        <v/>
      </c>
      <c r="CA29" s="13">
        <f>IF(COUNTIFS(T_TTAFStock_Log[Part Name],$A29,T_TTAFStock_Log[WeekIndex],78)=0,"",SUMIFS(T_TTAFStock_Log[TTAF_Qty],T_TTAFStock_Log[Part Name],$A29,T_TTAFStock_Log[WeekIndex],78))</f>
        <v/>
      </c>
      <c r="CB29" s="13">
        <f>IF(COUNTIFS(T_TTAFStock_Log[Part Name],$A29,T_TTAFStock_Log[WeekIndex],79)=0,"",SUMIFS(T_TTAFStock_Log[TTAF_Qty],T_TTAFStock_Log[Part Name],$A29,T_TTAFStock_Log[WeekIndex],79))</f>
        <v/>
      </c>
      <c r="CC29" s="13">
        <f>IF(COUNTIFS(T_TTAFStock_Log[Part Name],$A29,T_TTAFStock_Log[WeekIndex],80)=0,"",SUMIFS(T_TTAFStock_Log[TTAF_Qty],T_TTAFStock_Log[Part Name],$A29,T_TTAFStock_Log[WeekIndex],80))</f>
        <v/>
      </c>
      <c r="CD29" s="13">
        <f>IF(COUNTIFS(T_TTAFStock_Log[Part Name],$A29,T_TTAFStock_Log[WeekIndex],81)=0,"",SUMIFS(T_TTAFStock_Log[TTAF_Qty],T_TTAFStock_Log[Part Name],$A29,T_TTAFStock_Log[WeekIndex],81))</f>
        <v/>
      </c>
      <c r="CE29" s="13">
        <f>IF(COUNTIFS(T_TTAFStock_Log[Part Name],$A29,T_TTAFStock_Log[WeekIndex],82)=0,"",SUMIFS(T_TTAFStock_Log[TTAF_Qty],T_TTAFStock_Log[Part Name],$A29,T_TTAFStock_Log[WeekIndex],82))</f>
        <v/>
      </c>
      <c r="CF29" s="13">
        <f>IF(COUNTIFS(T_TTAFStock_Log[Part Name],$A29,T_TTAFStock_Log[WeekIndex],83)=0,"",SUMIFS(T_TTAFStock_Log[TTAF_Qty],T_TTAFStock_Log[Part Name],$A29,T_TTAFStock_Log[WeekIndex],83))</f>
        <v/>
      </c>
      <c r="CG29" s="13">
        <f>IF(COUNTIFS(T_TTAFStock_Log[Part Name],$A29,T_TTAFStock_Log[WeekIndex],84)=0,"",SUMIFS(T_TTAFStock_Log[TTAF_Qty],T_TTAFStock_Log[Part Name],$A29,T_TTAFStock_Log[WeekIndex],84))</f>
        <v/>
      </c>
      <c r="CH29" s="13">
        <f>IF(COUNTIFS(T_TTAFStock_Log[Part Name],$A29,T_TTAFStock_Log[WeekIndex],85)=0,"",SUMIFS(T_TTAFStock_Log[TTAF_Qty],T_TTAFStock_Log[Part Name],$A29,T_TTAFStock_Log[WeekIndex],85))</f>
        <v/>
      </c>
      <c r="CI29" s="13">
        <f>IF(COUNTIFS(T_TTAFStock_Log[Part Name],$A29,T_TTAFStock_Log[WeekIndex],86)=0,"",SUMIFS(T_TTAFStock_Log[TTAF_Qty],T_TTAFStock_Log[Part Name],$A29,T_TTAFStock_Log[WeekIndex],86))</f>
        <v/>
      </c>
      <c r="CJ29" s="13">
        <f>IF(COUNTIFS(T_TTAFStock_Log[Part Name],$A29,T_TTAFStock_Log[WeekIndex],87)=0,"",SUMIFS(T_TTAFStock_Log[TTAF_Qty],T_TTAFStock_Log[Part Name],$A29,T_TTAFStock_Log[WeekIndex],87))</f>
        <v/>
      </c>
      <c r="CK29" s="13">
        <f>IF(COUNTIFS(T_TTAFStock_Log[Part Name],$A29,T_TTAFStock_Log[WeekIndex],88)=0,"",SUMIFS(T_TTAFStock_Log[TTAF_Qty],T_TTAFStock_Log[Part Name],$A29,T_TTAFStock_Log[WeekIndex],88))</f>
        <v/>
      </c>
      <c r="CL29" s="13">
        <f>IF(COUNTIFS(T_TTAFStock_Log[Part Name],$A29,T_TTAFStock_Log[WeekIndex],89)=0,"",SUMIFS(T_TTAFStock_Log[TTAF_Qty],T_TTAFStock_Log[Part Name],$A29,T_TTAFStock_Log[WeekIndex],89))</f>
        <v/>
      </c>
      <c r="CM29" s="13">
        <f>IF(COUNTIFS(T_TTAFStock_Log[Part Name],$A29,T_TTAFStock_Log[WeekIndex],90)=0,"",SUMIFS(T_TTAFStock_Log[TTAF_Qty],T_TTAFStock_Log[Part Name],$A29,T_TTAFStock_Log[WeekIndex],90))</f>
        <v/>
      </c>
      <c r="CN29" s="13">
        <f>IF(COUNTIFS(T_TTAFStock_Log[Part Name],$A29,T_TTAFStock_Log[WeekIndex],91)=0,"",SUMIFS(T_TTAFStock_Log[TTAF_Qty],T_TTAFStock_Log[Part Name],$A29,T_TTAFStock_Log[WeekIndex],91))</f>
        <v/>
      </c>
      <c r="CO29" s="13">
        <f>IF(COUNTIFS(T_TTAFStock_Log[Part Name],$A29,T_TTAFStock_Log[WeekIndex],92)=0,"",SUMIFS(T_TTAFStock_Log[TTAF_Qty],T_TTAFStock_Log[Part Name],$A29,T_TTAFStock_Log[WeekIndex],92))</f>
        <v/>
      </c>
      <c r="CP29" s="13">
        <f>IF(COUNTIFS(T_TTAFStock_Log[Part Name],$A29,T_TTAFStock_Log[WeekIndex],93)=0,"",SUMIFS(T_TTAFStock_Log[TTAF_Qty],T_TTAFStock_Log[Part Name],$A29,T_TTAFStock_Log[WeekIndex],93))</f>
        <v/>
      </c>
      <c r="CQ29" s="13">
        <f>IF(COUNTIFS(T_TTAFStock_Log[Part Name],$A29,T_TTAFStock_Log[WeekIndex],94)=0,"",SUMIFS(T_TTAFStock_Log[TTAF_Qty],T_TTAFStock_Log[Part Name],$A29,T_TTAFStock_Log[WeekIndex],94))</f>
        <v/>
      </c>
      <c r="CR29" s="13">
        <f>IF(COUNTIFS(T_TTAFStock_Log[Part Name],$A29,T_TTAFStock_Log[WeekIndex],95)=0,"",SUMIFS(T_TTAFStock_Log[TTAF_Qty],T_TTAFStock_Log[Part Name],$A29,T_TTAFStock_Log[WeekIndex],95))</f>
        <v/>
      </c>
      <c r="CS29" s="13">
        <f>IF(COUNTIFS(T_TTAFStock_Log[Part Name],$A29,T_TTAFStock_Log[WeekIndex],96)=0,"",SUMIFS(T_TTAFStock_Log[TTAF_Qty],T_TTAFStock_Log[Part Name],$A29,T_TTAFStock_Log[WeekIndex],96))</f>
        <v/>
      </c>
      <c r="CT29" s="13">
        <f>IF(COUNTIFS(T_TTAFStock_Log[Part Name],$A29,T_TTAFStock_Log[WeekIndex],97)=0,"",SUMIFS(T_TTAFStock_Log[TTAF_Qty],T_TTAFStock_Log[Part Name],$A29,T_TTAFStock_Log[WeekIndex],97))</f>
        <v/>
      </c>
      <c r="CU29" s="13">
        <f>IF(COUNTIFS(T_TTAFStock_Log[Part Name],$A29,T_TTAFStock_Log[WeekIndex],98)=0,"",SUMIFS(T_TTAFStock_Log[TTAF_Qty],T_TTAFStock_Log[Part Name],$A29,T_TTAFStock_Log[WeekIndex],98))</f>
        <v/>
      </c>
      <c r="CV29" s="13">
        <f>IF(COUNTIFS(T_TTAFStock_Log[Part Name],$A29,T_TTAFStock_Log[WeekIndex],99)=0,"",SUMIFS(T_TTAFStock_Log[TTAF_Qty],T_TTAFStock_Log[Part Name],$A29,T_TTAFStock_Log[WeekIndex],99))</f>
        <v/>
      </c>
      <c r="CW29" s="13">
        <f>IF(COUNTIFS(T_TTAFStock_Log[Part Name],$A29,T_TTAFStock_Log[WeekIndex],100)=0,"",SUMIFS(T_TTAFStock_Log[TTAF_Qty],T_TTAFStock_Log[Part Name],$A29,T_TTAFStock_Log[WeekIndex],100))</f>
        <v/>
      </c>
      <c r="CX29" s="13">
        <f>IF(COUNTIFS(T_TTAFStock_Log[Part Name],$A29,T_TTAFStock_Log[WeekIndex],101)=0,"",SUMIFS(T_TTAFStock_Log[TTAF_Qty],T_TTAFStock_Log[Part Name],$A29,T_TTAFStock_Log[WeekIndex],101))</f>
        <v/>
      </c>
      <c r="CY29" s="13">
        <f>IF(COUNTIFS(T_TTAFStock_Log[Part Name],$A29,T_TTAFStock_Log[WeekIndex],102)=0,"",SUMIFS(T_TTAFStock_Log[TTAF_Qty],T_TTAFStock_Log[Part Name],$A29,T_TTAFStock_Log[WeekIndex],102))</f>
        <v/>
      </c>
      <c r="CZ29" s="13">
        <f>IF(COUNTIFS(T_TTAFStock_Log[Part Name],$A29,T_TTAFStock_Log[WeekIndex],103)=0,"",SUMIFS(T_TTAFStock_Log[TTAF_Qty],T_TTAFStock_Log[Part Name],$A29,T_TTAFStock_Log[WeekIndex],103))</f>
        <v/>
      </c>
      <c r="DA29" s="13">
        <f>IF(COUNTIFS(T_TTAFStock_Log[Part Name],$A29,T_TTAFStock_Log[WeekIndex],104)=0,"",SUMIFS(T_TTAFStock_Log[TTAF_Qty],T_TTAFStock_Log[Part Name],$A29,T_TTAFStock_Log[WeekIndex],104))</f>
        <v/>
      </c>
    </row>
    <row r="30">
      <c r="A30" s="12" t="inlineStr">
        <is>
          <t>CHEM-1830</t>
        </is>
      </c>
      <c r="B30" s="12">
        <f>IF(COUNTIFS(T_TTAFStock_Log[Part Name],$A30,T_TTAFStock_Log[WeekIndex],1)=0,"",SUMIFS(T_TTAFStock_Log[TTAF_Qty],T_TTAFStock_Log[Part Name],$A30,T_TTAFStock_Log[WeekIndex],1))</f>
        <v/>
      </c>
      <c r="C30" s="12">
        <f>IF(COUNTIFS(T_TTAFStock_Log[Part Name],$A30,T_TTAFStock_Log[WeekIndex],2)=0,"",SUMIFS(T_TTAFStock_Log[TTAF_Qty],T_TTAFStock_Log[Part Name],$A30,T_TTAFStock_Log[WeekIndex],2))</f>
        <v/>
      </c>
      <c r="D30" s="12">
        <f>IF(COUNTIFS(T_TTAFStock_Log[Part Name],$A30,T_TTAFStock_Log[WeekIndex],3)=0,"",SUMIFS(T_TTAFStock_Log[TTAF_Qty],T_TTAFStock_Log[Part Name],$A30,T_TTAFStock_Log[WeekIndex],3))</f>
        <v/>
      </c>
      <c r="E30" s="12">
        <f>IF(COUNTIFS(T_TTAFStock_Log[Part Name],$A30,T_TTAFStock_Log[WeekIndex],4)=0,"",SUMIFS(T_TTAFStock_Log[TTAF_Qty],T_TTAFStock_Log[Part Name],$A30,T_TTAFStock_Log[WeekIndex],4))</f>
        <v/>
      </c>
      <c r="F30" s="12">
        <f>IF(COUNTIFS(T_TTAFStock_Log[Part Name],$A30,T_TTAFStock_Log[WeekIndex],5)=0,"",SUMIFS(T_TTAFStock_Log[TTAF_Qty],T_TTAFStock_Log[Part Name],$A30,T_TTAFStock_Log[WeekIndex],5))</f>
        <v/>
      </c>
      <c r="G30" s="12">
        <f>IF(COUNTIFS(T_TTAFStock_Log[Part Name],$A30,T_TTAFStock_Log[WeekIndex],6)=0,"",SUMIFS(T_TTAFStock_Log[TTAF_Qty],T_TTAFStock_Log[Part Name],$A30,T_TTAFStock_Log[WeekIndex],6))</f>
        <v/>
      </c>
      <c r="H30" s="12">
        <f>IF(COUNTIFS(T_TTAFStock_Log[Part Name],$A30,T_TTAFStock_Log[WeekIndex],7)=0,"",SUMIFS(T_TTAFStock_Log[TTAF_Qty],T_TTAFStock_Log[Part Name],$A30,T_TTAFStock_Log[WeekIndex],7))</f>
        <v/>
      </c>
      <c r="I30" s="12">
        <f>IF(COUNTIFS(T_TTAFStock_Log[Part Name],$A30,T_TTAFStock_Log[WeekIndex],8)=0,"",SUMIFS(T_TTAFStock_Log[TTAF_Qty],T_TTAFStock_Log[Part Name],$A30,T_TTAFStock_Log[WeekIndex],8))</f>
        <v/>
      </c>
      <c r="J30" s="12">
        <f>IF(COUNTIFS(T_TTAFStock_Log[Part Name],$A30,T_TTAFStock_Log[WeekIndex],9)=0,"",SUMIFS(T_TTAFStock_Log[TTAF_Qty],T_TTAFStock_Log[Part Name],$A30,T_TTAFStock_Log[WeekIndex],9))</f>
        <v/>
      </c>
      <c r="K30" s="12">
        <f>IF(COUNTIFS(T_TTAFStock_Log[Part Name],$A30,T_TTAFStock_Log[WeekIndex],10)=0,"",SUMIFS(T_TTAFStock_Log[TTAF_Qty],T_TTAFStock_Log[Part Name],$A30,T_TTAFStock_Log[WeekIndex],10))</f>
        <v/>
      </c>
      <c r="L30" s="12">
        <f>IF(COUNTIFS(T_TTAFStock_Log[Part Name],$A30,T_TTAFStock_Log[WeekIndex],11)=0,"",SUMIFS(T_TTAFStock_Log[TTAF_Qty],T_TTAFStock_Log[Part Name],$A30,T_TTAFStock_Log[WeekIndex],11))</f>
        <v/>
      </c>
      <c r="M30" s="12">
        <f>IF(COUNTIFS(T_TTAFStock_Log[Part Name],$A30,T_TTAFStock_Log[WeekIndex],12)=0,"",SUMIFS(T_TTAFStock_Log[TTAF_Qty],T_TTAFStock_Log[Part Name],$A30,T_TTAFStock_Log[WeekIndex],12))</f>
        <v/>
      </c>
      <c r="N30" s="12">
        <f>IF(COUNTIFS(T_TTAFStock_Log[Part Name],$A30,T_TTAFStock_Log[WeekIndex],13)=0,"",SUMIFS(T_TTAFStock_Log[TTAF_Qty],T_TTAFStock_Log[Part Name],$A30,T_TTAFStock_Log[WeekIndex],13))</f>
        <v/>
      </c>
      <c r="O30" s="12">
        <f>IF(COUNTIFS(T_TTAFStock_Log[Part Name],$A30,T_TTAFStock_Log[WeekIndex],14)=0,"",SUMIFS(T_TTAFStock_Log[TTAF_Qty],T_TTAFStock_Log[Part Name],$A30,T_TTAFStock_Log[WeekIndex],14))</f>
        <v/>
      </c>
      <c r="P30" s="12">
        <f>IF(COUNTIFS(T_TTAFStock_Log[Part Name],$A30,T_TTAFStock_Log[WeekIndex],15)=0,"",SUMIFS(T_TTAFStock_Log[TTAF_Qty],T_TTAFStock_Log[Part Name],$A30,T_TTAFStock_Log[WeekIndex],15))</f>
        <v/>
      </c>
      <c r="Q30" s="12">
        <f>IF(COUNTIFS(T_TTAFStock_Log[Part Name],$A30,T_TTAFStock_Log[WeekIndex],16)=0,"",SUMIFS(T_TTAFStock_Log[TTAF_Qty],T_TTAFStock_Log[Part Name],$A30,T_TTAFStock_Log[WeekIndex],16))</f>
        <v/>
      </c>
      <c r="R30" s="12">
        <f>IF(COUNTIFS(T_TTAFStock_Log[Part Name],$A30,T_TTAFStock_Log[WeekIndex],17)=0,"",SUMIFS(T_TTAFStock_Log[TTAF_Qty],T_TTAFStock_Log[Part Name],$A30,T_TTAFStock_Log[WeekIndex],17))</f>
        <v/>
      </c>
      <c r="S30" s="12">
        <f>IF(COUNTIFS(T_TTAFStock_Log[Part Name],$A30,T_TTAFStock_Log[WeekIndex],18)=0,"",SUMIFS(T_TTAFStock_Log[TTAF_Qty],T_TTAFStock_Log[Part Name],$A30,T_TTAFStock_Log[WeekIndex],18))</f>
        <v/>
      </c>
      <c r="T30" s="12">
        <f>IF(COUNTIFS(T_TTAFStock_Log[Part Name],$A30,T_TTAFStock_Log[WeekIndex],19)=0,"",SUMIFS(T_TTAFStock_Log[TTAF_Qty],T_TTAFStock_Log[Part Name],$A30,T_TTAFStock_Log[WeekIndex],19))</f>
        <v/>
      </c>
      <c r="U30" s="12">
        <f>IF(COUNTIFS(T_TTAFStock_Log[Part Name],$A30,T_TTAFStock_Log[WeekIndex],20)=0,"",SUMIFS(T_TTAFStock_Log[TTAF_Qty],T_TTAFStock_Log[Part Name],$A30,T_TTAFStock_Log[WeekIndex],20))</f>
        <v/>
      </c>
      <c r="V30" s="12">
        <f>IF(COUNTIFS(T_TTAFStock_Log[Part Name],$A30,T_TTAFStock_Log[WeekIndex],21)=0,"",SUMIFS(T_TTAFStock_Log[TTAF_Qty],T_TTAFStock_Log[Part Name],$A30,T_TTAFStock_Log[WeekIndex],21))</f>
        <v/>
      </c>
      <c r="W30" s="12">
        <f>IF(COUNTIFS(T_TTAFStock_Log[Part Name],$A30,T_TTAFStock_Log[WeekIndex],22)=0,"",SUMIFS(T_TTAFStock_Log[TTAF_Qty],T_TTAFStock_Log[Part Name],$A30,T_TTAFStock_Log[WeekIndex],22))</f>
        <v/>
      </c>
      <c r="X30" s="12">
        <f>IF(COUNTIFS(T_TTAFStock_Log[Part Name],$A30,T_TTAFStock_Log[WeekIndex],23)=0,"",SUMIFS(T_TTAFStock_Log[TTAF_Qty],T_TTAFStock_Log[Part Name],$A30,T_TTAFStock_Log[WeekIndex],23))</f>
        <v/>
      </c>
      <c r="Y30" s="12">
        <f>IF(COUNTIFS(T_TTAFStock_Log[Part Name],$A30,T_TTAFStock_Log[WeekIndex],24)=0,"",SUMIFS(T_TTAFStock_Log[TTAF_Qty],T_TTAFStock_Log[Part Name],$A30,T_TTAFStock_Log[WeekIndex],24))</f>
        <v/>
      </c>
      <c r="Z30" s="12">
        <f>IF(COUNTIFS(T_TTAFStock_Log[Part Name],$A30,T_TTAFStock_Log[WeekIndex],25)=0,"",SUMIFS(T_TTAFStock_Log[TTAF_Qty],T_TTAFStock_Log[Part Name],$A30,T_TTAFStock_Log[WeekIndex],25))</f>
        <v/>
      </c>
      <c r="AA30" s="12">
        <f>IF(COUNTIFS(T_TTAFStock_Log[Part Name],$A30,T_TTAFStock_Log[WeekIndex],26)=0,"",SUMIFS(T_TTAFStock_Log[TTAF_Qty],T_TTAFStock_Log[Part Name],$A30,T_TTAFStock_Log[WeekIndex],26))</f>
        <v/>
      </c>
      <c r="AB30" s="12">
        <f>IF(COUNTIFS(T_TTAFStock_Log[Part Name],$A30,T_TTAFStock_Log[WeekIndex],27)=0,"",SUMIFS(T_TTAFStock_Log[TTAF_Qty],T_TTAFStock_Log[Part Name],$A30,T_TTAFStock_Log[WeekIndex],27))</f>
        <v/>
      </c>
      <c r="AC30" s="12">
        <f>IF(COUNTIFS(T_TTAFStock_Log[Part Name],$A30,T_TTAFStock_Log[WeekIndex],28)=0,"",SUMIFS(T_TTAFStock_Log[TTAF_Qty],T_TTAFStock_Log[Part Name],$A30,T_TTAFStock_Log[WeekIndex],28))</f>
        <v/>
      </c>
      <c r="AD30" s="12">
        <f>IF(COUNTIFS(T_TTAFStock_Log[Part Name],$A30,T_TTAFStock_Log[WeekIndex],29)=0,"",SUMIFS(T_TTAFStock_Log[TTAF_Qty],T_TTAFStock_Log[Part Name],$A30,T_TTAFStock_Log[WeekIndex],29))</f>
        <v/>
      </c>
      <c r="AE30" s="12">
        <f>IF(COUNTIFS(T_TTAFStock_Log[Part Name],$A30,T_TTAFStock_Log[WeekIndex],30)=0,"",SUMIFS(T_TTAFStock_Log[TTAF_Qty],T_TTAFStock_Log[Part Name],$A30,T_TTAFStock_Log[WeekIndex],30))</f>
        <v/>
      </c>
      <c r="AF30" s="12">
        <f>IF(COUNTIFS(T_TTAFStock_Log[Part Name],$A30,T_TTAFStock_Log[WeekIndex],31)=0,"",SUMIFS(T_TTAFStock_Log[TTAF_Qty],T_TTAFStock_Log[Part Name],$A30,T_TTAFStock_Log[WeekIndex],31))</f>
        <v/>
      </c>
      <c r="AG30" s="12">
        <f>IF(COUNTIFS(T_TTAFStock_Log[Part Name],$A30,T_TTAFStock_Log[WeekIndex],32)=0,"",SUMIFS(T_TTAFStock_Log[TTAF_Qty],T_TTAFStock_Log[Part Name],$A30,T_TTAFStock_Log[WeekIndex],32))</f>
        <v/>
      </c>
      <c r="AH30" s="12">
        <f>IF(COUNTIFS(T_TTAFStock_Log[Part Name],$A30,T_TTAFStock_Log[WeekIndex],33)=0,"",SUMIFS(T_TTAFStock_Log[TTAF_Qty],T_TTAFStock_Log[Part Name],$A30,T_TTAFStock_Log[WeekIndex],33))</f>
        <v/>
      </c>
      <c r="AI30" s="12">
        <f>IF(COUNTIFS(T_TTAFStock_Log[Part Name],$A30,T_TTAFStock_Log[WeekIndex],34)=0,"",SUMIFS(T_TTAFStock_Log[TTAF_Qty],T_TTAFStock_Log[Part Name],$A30,T_TTAFStock_Log[WeekIndex],34))</f>
        <v/>
      </c>
      <c r="AJ30" s="12">
        <f>IF(COUNTIFS(T_TTAFStock_Log[Part Name],$A30,T_TTAFStock_Log[WeekIndex],35)=0,"",SUMIFS(T_TTAFStock_Log[TTAF_Qty],T_TTAFStock_Log[Part Name],$A30,T_TTAFStock_Log[WeekIndex],35))</f>
        <v/>
      </c>
      <c r="AK30" s="12">
        <f>IF(COUNTIFS(T_TTAFStock_Log[Part Name],$A30,T_TTAFStock_Log[WeekIndex],36)=0,"",SUMIFS(T_TTAFStock_Log[TTAF_Qty],T_TTAFStock_Log[Part Name],$A30,T_TTAFStock_Log[WeekIndex],36))</f>
        <v/>
      </c>
      <c r="AL30" s="12">
        <f>IF(COUNTIFS(T_TTAFStock_Log[Part Name],$A30,T_TTAFStock_Log[WeekIndex],37)=0,"",SUMIFS(T_TTAFStock_Log[TTAF_Qty],T_TTAFStock_Log[Part Name],$A30,T_TTAFStock_Log[WeekIndex],37))</f>
        <v/>
      </c>
      <c r="AM30" s="12">
        <f>IF(COUNTIFS(T_TTAFStock_Log[Part Name],$A30,T_TTAFStock_Log[WeekIndex],38)=0,"",SUMIFS(T_TTAFStock_Log[TTAF_Qty],T_TTAFStock_Log[Part Name],$A30,T_TTAFStock_Log[WeekIndex],38))</f>
        <v/>
      </c>
      <c r="AN30" s="12">
        <f>IF(COUNTIFS(T_TTAFStock_Log[Part Name],$A30,T_TTAFStock_Log[WeekIndex],39)=0,"",SUMIFS(T_TTAFStock_Log[TTAF_Qty],T_TTAFStock_Log[Part Name],$A30,T_TTAFStock_Log[WeekIndex],39))</f>
        <v/>
      </c>
      <c r="AO30" s="12">
        <f>IF(COUNTIFS(T_TTAFStock_Log[Part Name],$A30,T_TTAFStock_Log[WeekIndex],40)=0,"",SUMIFS(T_TTAFStock_Log[TTAF_Qty],T_TTAFStock_Log[Part Name],$A30,T_TTAFStock_Log[WeekIndex],40))</f>
        <v/>
      </c>
      <c r="AP30" s="12">
        <f>IF(COUNTIFS(T_TTAFStock_Log[Part Name],$A30,T_TTAFStock_Log[WeekIndex],41)=0,"",SUMIFS(T_TTAFStock_Log[TTAF_Qty],T_TTAFStock_Log[Part Name],$A30,T_TTAFStock_Log[WeekIndex],41))</f>
        <v/>
      </c>
      <c r="AQ30" s="12">
        <f>IF(COUNTIFS(T_TTAFStock_Log[Part Name],$A30,T_TTAFStock_Log[WeekIndex],42)=0,"",SUMIFS(T_TTAFStock_Log[TTAF_Qty],T_TTAFStock_Log[Part Name],$A30,T_TTAFStock_Log[WeekIndex],42))</f>
        <v/>
      </c>
      <c r="AR30" s="12">
        <f>IF(COUNTIFS(T_TTAFStock_Log[Part Name],$A30,T_TTAFStock_Log[WeekIndex],43)=0,"",SUMIFS(T_TTAFStock_Log[TTAF_Qty],T_TTAFStock_Log[Part Name],$A30,T_TTAFStock_Log[WeekIndex],43))</f>
        <v/>
      </c>
      <c r="AS30" s="12">
        <f>IF(COUNTIFS(T_TTAFStock_Log[Part Name],$A30,T_TTAFStock_Log[WeekIndex],44)=0,"",SUMIFS(T_TTAFStock_Log[TTAF_Qty],T_TTAFStock_Log[Part Name],$A30,T_TTAFStock_Log[WeekIndex],44))</f>
        <v/>
      </c>
      <c r="AT30" s="12">
        <f>IF(COUNTIFS(T_TTAFStock_Log[Part Name],$A30,T_TTAFStock_Log[WeekIndex],45)=0,"",SUMIFS(T_TTAFStock_Log[TTAF_Qty],T_TTAFStock_Log[Part Name],$A30,T_TTAFStock_Log[WeekIndex],45))</f>
        <v/>
      </c>
      <c r="AU30" s="12">
        <f>IF(COUNTIFS(T_TTAFStock_Log[Part Name],$A30,T_TTAFStock_Log[WeekIndex],46)=0,"",SUMIFS(T_TTAFStock_Log[TTAF_Qty],T_TTAFStock_Log[Part Name],$A30,T_TTAFStock_Log[WeekIndex],46))</f>
        <v/>
      </c>
      <c r="AV30" s="12">
        <f>IF(COUNTIFS(T_TTAFStock_Log[Part Name],$A30,T_TTAFStock_Log[WeekIndex],47)=0,"",SUMIFS(T_TTAFStock_Log[TTAF_Qty],T_TTAFStock_Log[Part Name],$A30,T_TTAFStock_Log[WeekIndex],47))</f>
        <v/>
      </c>
      <c r="AW30" s="12">
        <f>IF(COUNTIFS(T_TTAFStock_Log[Part Name],$A30,T_TTAFStock_Log[WeekIndex],48)=0,"",SUMIFS(T_TTAFStock_Log[TTAF_Qty],T_TTAFStock_Log[Part Name],$A30,T_TTAFStock_Log[WeekIndex],48))</f>
        <v/>
      </c>
      <c r="AX30" s="12">
        <f>IF(COUNTIFS(T_TTAFStock_Log[Part Name],$A30,T_TTAFStock_Log[WeekIndex],49)=0,"",SUMIFS(T_TTAFStock_Log[TTAF_Qty],T_TTAFStock_Log[Part Name],$A30,T_TTAFStock_Log[WeekIndex],49))</f>
        <v/>
      </c>
      <c r="AY30" s="12">
        <f>IF(COUNTIFS(T_TTAFStock_Log[Part Name],$A30,T_TTAFStock_Log[WeekIndex],50)=0,"",SUMIFS(T_TTAFStock_Log[TTAF_Qty],T_TTAFStock_Log[Part Name],$A30,T_TTAFStock_Log[WeekIndex],50))</f>
        <v/>
      </c>
      <c r="AZ30" s="12">
        <f>IF(COUNTIFS(T_TTAFStock_Log[Part Name],$A30,T_TTAFStock_Log[WeekIndex],51)=0,"",SUMIFS(T_TTAFStock_Log[TTAF_Qty],T_TTAFStock_Log[Part Name],$A30,T_TTAFStock_Log[WeekIndex],51))</f>
        <v/>
      </c>
      <c r="BA30" s="12">
        <f>IF(COUNTIFS(T_TTAFStock_Log[Part Name],$A30,T_TTAFStock_Log[WeekIndex],52)=0,"",SUMIFS(T_TTAFStock_Log[TTAF_Qty],T_TTAFStock_Log[Part Name],$A30,T_TTAFStock_Log[WeekIndex],52))</f>
        <v/>
      </c>
      <c r="BB30" s="12">
        <f>IF(COUNTIFS(T_TTAFStock_Log[Part Name],$A30,T_TTAFStock_Log[WeekIndex],53)=0,"",SUMIFS(T_TTAFStock_Log[TTAF_Qty],T_TTAFStock_Log[Part Name],$A30,T_TTAFStock_Log[WeekIndex],53))</f>
        <v/>
      </c>
      <c r="BC30" s="12">
        <f>IF(COUNTIFS(T_TTAFStock_Log[Part Name],$A30,T_TTAFStock_Log[WeekIndex],54)=0,"",SUMIFS(T_TTAFStock_Log[TTAF_Qty],T_TTAFStock_Log[Part Name],$A30,T_TTAFStock_Log[WeekIndex],54))</f>
        <v/>
      </c>
      <c r="BD30" s="12">
        <f>IF(COUNTIFS(T_TTAFStock_Log[Part Name],$A30,T_TTAFStock_Log[WeekIndex],55)=0,"",SUMIFS(T_TTAFStock_Log[TTAF_Qty],T_TTAFStock_Log[Part Name],$A30,T_TTAFStock_Log[WeekIndex],55))</f>
        <v/>
      </c>
      <c r="BE30" s="12">
        <f>IF(COUNTIFS(T_TTAFStock_Log[Part Name],$A30,T_TTAFStock_Log[WeekIndex],56)=0,"",SUMIFS(T_TTAFStock_Log[TTAF_Qty],T_TTAFStock_Log[Part Name],$A30,T_TTAFStock_Log[WeekIndex],56))</f>
        <v/>
      </c>
      <c r="BF30" s="12">
        <f>IF(COUNTIFS(T_TTAFStock_Log[Part Name],$A30,T_TTAFStock_Log[WeekIndex],57)=0,"",SUMIFS(T_TTAFStock_Log[TTAF_Qty],T_TTAFStock_Log[Part Name],$A30,T_TTAFStock_Log[WeekIndex],57))</f>
        <v/>
      </c>
      <c r="BG30" s="12">
        <f>IF(COUNTIFS(T_TTAFStock_Log[Part Name],$A30,T_TTAFStock_Log[WeekIndex],58)=0,"",SUMIFS(T_TTAFStock_Log[TTAF_Qty],T_TTAFStock_Log[Part Name],$A30,T_TTAFStock_Log[WeekIndex],58))</f>
        <v/>
      </c>
      <c r="BH30" s="12">
        <f>IF(COUNTIFS(T_TTAFStock_Log[Part Name],$A30,T_TTAFStock_Log[WeekIndex],59)=0,"",SUMIFS(T_TTAFStock_Log[TTAF_Qty],T_TTAFStock_Log[Part Name],$A30,T_TTAFStock_Log[WeekIndex],59))</f>
        <v/>
      </c>
      <c r="BI30" s="12">
        <f>IF(COUNTIFS(T_TTAFStock_Log[Part Name],$A30,T_TTAFStock_Log[WeekIndex],60)=0,"",SUMIFS(T_TTAFStock_Log[TTAF_Qty],T_TTAFStock_Log[Part Name],$A30,T_TTAFStock_Log[WeekIndex],60))</f>
        <v/>
      </c>
      <c r="BJ30" s="12">
        <f>IF(COUNTIFS(T_TTAFStock_Log[Part Name],$A30,T_TTAFStock_Log[WeekIndex],61)=0,"",SUMIFS(T_TTAFStock_Log[TTAF_Qty],T_TTAFStock_Log[Part Name],$A30,T_TTAFStock_Log[WeekIndex],61))</f>
        <v/>
      </c>
      <c r="BK30" s="12">
        <f>IF(COUNTIFS(T_TTAFStock_Log[Part Name],$A30,T_TTAFStock_Log[WeekIndex],62)=0,"",SUMIFS(T_TTAFStock_Log[TTAF_Qty],T_TTAFStock_Log[Part Name],$A30,T_TTAFStock_Log[WeekIndex],62))</f>
        <v/>
      </c>
      <c r="BL30" s="12">
        <f>IF(COUNTIFS(T_TTAFStock_Log[Part Name],$A30,T_TTAFStock_Log[WeekIndex],63)=0,"",SUMIFS(T_TTAFStock_Log[TTAF_Qty],T_TTAFStock_Log[Part Name],$A30,T_TTAFStock_Log[WeekIndex],63))</f>
        <v/>
      </c>
      <c r="BM30" s="12">
        <f>IF(COUNTIFS(T_TTAFStock_Log[Part Name],$A30,T_TTAFStock_Log[WeekIndex],64)=0,"",SUMIFS(T_TTAFStock_Log[TTAF_Qty],T_TTAFStock_Log[Part Name],$A30,T_TTAFStock_Log[WeekIndex],64))</f>
        <v/>
      </c>
      <c r="BN30" s="12">
        <f>IF(COUNTIFS(T_TTAFStock_Log[Part Name],$A30,T_TTAFStock_Log[WeekIndex],65)=0,"",SUMIFS(T_TTAFStock_Log[TTAF_Qty],T_TTAFStock_Log[Part Name],$A30,T_TTAFStock_Log[WeekIndex],65))</f>
        <v/>
      </c>
      <c r="BO30" s="12">
        <f>IF(COUNTIFS(T_TTAFStock_Log[Part Name],$A30,T_TTAFStock_Log[WeekIndex],66)=0,"",SUMIFS(T_TTAFStock_Log[TTAF_Qty],T_TTAFStock_Log[Part Name],$A30,T_TTAFStock_Log[WeekIndex],66))</f>
        <v/>
      </c>
      <c r="BP30" s="12">
        <f>IF(COUNTIFS(T_TTAFStock_Log[Part Name],$A30,T_TTAFStock_Log[WeekIndex],67)=0,"",SUMIFS(T_TTAFStock_Log[TTAF_Qty],T_TTAFStock_Log[Part Name],$A30,T_TTAFStock_Log[WeekIndex],67))</f>
        <v/>
      </c>
      <c r="BQ30" s="12">
        <f>IF(COUNTIFS(T_TTAFStock_Log[Part Name],$A30,T_TTAFStock_Log[WeekIndex],68)=0,"",SUMIFS(T_TTAFStock_Log[TTAF_Qty],T_TTAFStock_Log[Part Name],$A30,T_TTAFStock_Log[WeekIndex],68))</f>
        <v/>
      </c>
      <c r="BR30" s="12">
        <f>IF(COUNTIFS(T_TTAFStock_Log[Part Name],$A30,T_TTAFStock_Log[WeekIndex],69)=0,"",SUMIFS(T_TTAFStock_Log[TTAF_Qty],T_TTAFStock_Log[Part Name],$A30,T_TTAFStock_Log[WeekIndex],69))</f>
        <v/>
      </c>
      <c r="BS30" s="12">
        <f>IF(COUNTIFS(T_TTAFStock_Log[Part Name],$A30,T_TTAFStock_Log[WeekIndex],70)=0,"",SUMIFS(T_TTAFStock_Log[TTAF_Qty],T_TTAFStock_Log[Part Name],$A30,T_TTAFStock_Log[WeekIndex],70))</f>
        <v/>
      </c>
      <c r="BT30" s="12">
        <f>IF(COUNTIFS(T_TTAFStock_Log[Part Name],$A30,T_TTAFStock_Log[WeekIndex],71)=0,"",SUMIFS(T_TTAFStock_Log[TTAF_Qty],T_TTAFStock_Log[Part Name],$A30,T_TTAFStock_Log[WeekIndex],71))</f>
        <v/>
      </c>
      <c r="BU30" s="12">
        <f>IF(COUNTIFS(T_TTAFStock_Log[Part Name],$A30,T_TTAFStock_Log[WeekIndex],72)=0,"",SUMIFS(T_TTAFStock_Log[TTAF_Qty],T_TTAFStock_Log[Part Name],$A30,T_TTAFStock_Log[WeekIndex],72))</f>
        <v/>
      </c>
      <c r="BV30" s="12">
        <f>IF(COUNTIFS(T_TTAFStock_Log[Part Name],$A30,T_TTAFStock_Log[WeekIndex],73)=0,"",SUMIFS(T_TTAFStock_Log[TTAF_Qty],T_TTAFStock_Log[Part Name],$A30,T_TTAFStock_Log[WeekIndex],73))</f>
        <v/>
      </c>
      <c r="BW30" s="12">
        <f>IF(COUNTIFS(T_TTAFStock_Log[Part Name],$A30,T_TTAFStock_Log[WeekIndex],74)=0,"",SUMIFS(T_TTAFStock_Log[TTAF_Qty],T_TTAFStock_Log[Part Name],$A30,T_TTAFStock_Log[WeekIndex],74))</f>
        <v/>
      </c>
      <c r="BX30" s="12">
        <f>IF(COUNTIFS(T_TTAFStock_Log[Part Name],$A30,T_TTAFStock_Log[WeekIndex],75)=0,"",SUMIFS(T_TTAFStock_Log[TTAF_Qty],T_TTAFStock_Log[Part Name],$A30,T_TTAFStock_Log[WeekIndex],75))</f>
        <v/>
      </c>
      <c r="BY30" s="12">
        <f>IF(COUNTIFS(T_TTAFStock_Log[Part Name],$A30,T_TTAFStock_Log[WeekIndex],76)=0,"",SUMIFS(T_TTAFStock_Log[TTAF_Qty],T_TTAFStock_Log[Part Name],$A30,T_TTAFStock_Log[WeekIndex],76))</f>
        <v/>
      </c>
      <c r="BZ30" s="12">
        <f>IF(COUNTIFS(T_TTAFStock_Log[Part Name],$A30,T_TTAFStock_Log[WeekIndex],77)=0,"",SUMIFS(T_TTAFStock_Log[TTAF_Qty],T_TTAFStock_Log[Part Name],$A30,T_TTAFStock_Log[WeekIndex],77))</f>
        <v/>
      </c>
      <c r="CA30" s="12">
        <f>IF(COUNTIFS(T_TTAFStock_Log[Part Name],$A30,T_TTAFStock_Log[WeekIndex],78)=0,"",SUMIFS(T_TTAFStock_Log[TTAF_Qty],T_TTAFStock_Log[Part Name],$A30,T_TTAFStock_Log[WeekIndex],78))</f>
        <v/>
      </c>
      <c r="CB30" s="12">
        <f>IF(COUNTIFS(T_TTAFStock_Log[Part Name],$A30,T_TTAFStock_Log[WeekIndex],79)=0,"",SUMIFS(T_TTAFStock_Log[TTAF_Qty],T_TTAFStock_Log[Part Name],$A30,T_TTAFStock_Log[WeekIndex],79))</f>
        <v/>
      </c>
      <c r="CC30" s="12">
        <f>IF(COUNTIFS(T_TTAFStock_Log[Part Name],$A30,T_TTAFStock_Log[WeekIndex],80)=0,"",SUMIFS(T_TTAFStock_Log[TTAF_Qty],T_TTAFStock_Log[Part Name],$A30,T_TTAFStock_Log[WeekIndex],80))</f>
        <v/>
      </c>
      <c r="CD30" s="12">
        <f>IF(COUNTIFS(T_TTAFStock_Log[Part Name],$A30,T_TTAFStock_Log[WeekIndex],81)=0,"",SUMIFS(T_TTAFStock_Log[TTAF_Qty],T_TTAFStock_Log[Part Name],$A30,T_TTAFStock_Log[WeekIndex],81))</f>
        <v/>
      </c>
      <c r="CE30" s="12">
        <f>IF(COUNTIFS(T_TTAFStock_Log[Part Name],$A30,T_TTAFStock_Log[WeekIndex],82)=0,"",SUMIFS(T_TTAFStock_Log[TTAF_Qty],T_TTAFStock_Log[Part Name],$A30,T_TTAFStock_Log[WeekIndex],82))</f>
        <v/>
      </c>
      <c r="CF30" s="12">
        <f>IF(COUNTIFS(T_TTAFStock_Log[Part Name],$A30,T_TTAFStock_Log[WeekIndex],83)=0,"",SUMIFS(T_TTAFStock_Log[TTAF_Qty],T_TTAFStock_Log[Part Name],$A30,T_TTAFStock_Log[WeekIndex],83))</f>
        <v/>
      </c>
      <c r="CG30" s="12">
        <f>IF(COUNTIFS(T_TTAFStock_Log[Part Name],$A30,T_TTAFStock_Log[WeekIndex],84)=0,"",SUMIFS(T_TTAFStock_Log[TTAF_Qty],T_TTAFStock_Log[Part Name],$A30,T_TTAFStock_Log[WeekIndex],84))</f>
        <v/>
      </c>
      <c r="CH30" s="12">
        <f>IF(COUNTIFS(T_TTAFStock_Log[Part Name],$A30,T_TTAFStock_Log[WeekIndex],85)=0,"",SUMIFS(T_TTAFStock_Log[TTAF_Qty],T_TTAFStock_Log[Part Name],$A30,T_TTAFStock_Log[WeekIndex],85))</f>
        <v/>
      </c>
      <c r="CI30" s="12">
        <f>IF(COUNTIFS(T_TTAFStock_Log[Part Name],$A30,T_TTAFStock_Log[WeekIndex],86)=0,"",SUMIFS(T_TTAFStock_Log[TTAF_Qty],T_TTAFStock_Log[Part Name],$A30,T_TTAFStock_Log[WeekIndex],86))</f>
        <v/>
      </c>
      <c r="CJ30" s="12">
        <f>IF(COUNTIFS(T_TTAFStock_Log[Part Name],$A30,T_TTAFStock_Log[WeekIndex],87)=0,"",SUMIFS(T_TTAFStock_Log[TTAF_Qty],T_TTAFStock_Log[Part Name],$A30,T_TTAFStock_Log[WeekIndex],87))</f>
        <v/>
      </c>
      <c r="CK30" s="12">
        <f>IF(COUNTIFS(T_TTAFStock_Log[Part Name],$A30,T_TTAFStock_Log[WeekIndex],88)=0,"",SUMIFS(T_TTAFStock_Log[TTAF_Qty],T_TTAFStock_Log[Part Name],$A30,T_TTAFStock_Log[WeekIndex],88))</f>
        <v/>
      </c>
      <c r="CL30" s="12">
        <f>IF(COUNTIFS(T_TTAFStock_Log[Part Name],$A30,T_TTAFStock_Log[WeekIndex],89)=0,"",SUMIFS(T_TTAFStock_Log[TTAF_Qty],T_TTAFStock_Log[Part Name],$A30,T_TTAFStock_Log[WeekIndex],89))</f>
        <v/>
      </c>
      <c r="CM30" s="12">
        <f>IF(COUNTIFS(T_TTAFStock_Log[Part Name],$A30,T_TTAFStock_Log[WeekIndex],90)=0,"",SUMIFS(T_TTAFStock_Log[TTAF_Qty],T_TTAFStock_Log[Part Name],$A30,T_TTAFStock_Log[WeekIndex],90))</f>
        <v/>
      </c>
      <c r="CN30" s="12">
        <f>IF(COUNTIFS(T_TTAFStock_Log[Part Name],$A30,T_TTAFStock_Log[WeekIndex],91)=0,"",SUMIFS(T_TTAFStock_Log[TTAF_Qty],T_TTAFStock_Log[Part Name],$A30,T_TTAFStock_Log[WeekIndex],91))</f>
        <v/>
      </c>
      <c r="CO30" s="12">
        <f>IF(COUNTIFS(T_TTAFStock_Log[Part Name],$A30,T_TTAFStock_Log[WeekIndex],92)=0,"",SUMIFS(T_TTAFStock_Log[TTAF_Qty],T_TTAFStock_Log[Part Name],$A30,T_TTAFStock_Log[WeekIndex],92))</f>
        <v/>
      </c>
      <c r="CP30" s="12">
        <f>IF(COUNTIFS(T_TTAFStock_Log[Part Name],$A30,T_TTAFStock_Log[WeekIndex],93)=0,"",SUMIFS(T_TTAFStock_Log[TTAF_Qty],T_TTAFStock_Log[Part Name],$A30,T_TTAFStock_Log[WeekIndex],93))</f>
        <v/>
      </c>
      <c r="CQ30" s="12">
        <f>IF(COUNTIFS(T_TTAFStock_Log[Part Name],$A30,T_TTAFStock_Log[WeekIndex],94)=0,"",SUMIFS(T_TTAFStock_Log[TTAF_Qty],T_TTAFStock_Log[Part Name],$A30,T_TTAFStock_Log[WeekIndex],94))</f>
        <v/>
      </c>
      <c r="CR30" s="12">
        <f>IF(COUNTIFS(T_TTAFStock_Log[Part Name],$A30,T_TTAFStock_Log[WeekIndex],95)=0,"",SUMIFS(T_TTAFStock_Log[TTAF_Qty],T_TTAFStock_Log[Part Name],$A30,T_TTAFStock_Log[WeekIndex],95))</f>
        <v/>
      </c>
      <c r="CS30" s="12">
        <f>IF(COUNTIFS(T_TTAFStock_Log[Part Name],$A30,T_TTAFStock_Log[WeekIndex],96)=0,"",SUMIFS(T_TTAFStock_Log[TTAF_Qty],T_TTAFStock_Log[Part Name],$A30,T_TTAFStock_Log[WeekIndex],96))</f>
        <v/>
      </c>
      <c r="CT30" s="12">
        <f>IF(COUNTIFS(T_TTAFStock_Log[Part Name],$A30,T_TTAFStock_Log[WeekIndex],97)=0,"",SUMIFS(T_TTAFStock_Log[TTAF_Qty],T_TTAFStock_Log[Part Name],$A30,T_TTAFStock_Log[WeekIndex],97))</f>
        <v/>
      </c>
      <c r="CU30" s="12">
        <f>IF(COUNTIFS(T_TTAFStock_Log[Part Name],$A30,T_TTAFStock_Log[WeekIndex],98)=0,"",SUMIFS(T_TTAFStock_Log[TTAF_Qty],T_TTAFStock_Log[Part Name],$A30,T_TTAFStock_Log[WeekIndex],98))</f>
        <v/>
      </c>
      <c r="CV30" s="12">
        <f>IF(COUNTIFS(T_TTAFStock_Log[Part Name],$A30,T_TTAFStock_Log[WeekIndex],99)=0,"",SUMIFS(T_TTAFStock_Log[TTAF_Qty],T_TTAFStock_Log[Part Name],$A30,T_TTAFStock_Log[WeekIndex],99))</f>
        <v/>
      </c>
      <c r="CW30" s="12">
        <f>IF(COUNTIFS(T_TTAFStock_Log[Part Name],$A30,T_TTAFStock_Log[WeekIndex],100)=0,"",SUMIFS(T_TTAFStock_Log[TTAF_Qty],T_TTAFStock_Log[Part Name],$A30,T_TTAFStock_Log[WeekIndex],100))</f>
        <v/>
      </c>
      <c r="CX30" s="12">
        <f>IF(COUNTIFS(T_TTAFStock_Log[Part Name],$A30,T_TTAFStock_Log[WeekIndex],101)=0,"",SUMIFS(T_TTAFStock_Log[TTAF_Qty],T_TTAFStock_Log[Part Name],$A30,T_TTAFStock_Log[WeekIndex],101))</f>
        <v/>
      </c>
      <c r="CY30" s="12">
        <f>IF(COUNTIFS(T_TTAFStock_Log[Part Name],$A30,T_TTAFStock_Log[WeekIndex],102)=0,"",SUMIFS(T_TTAFStock_Log[TTAF_Qty],T_TTAFStock_Log[Part Name],$A30,T_TTAFStock_Log[WeekIndex],102))</f>
        <v/>
      </c>
      <c r="CZ30" s="12">
        <f>IF(COUNTIFS(T_TTAFStock_Log[Part Name],$A30,T_TTAFStock_Log[WeekIndex],103)=0,"",SUMIFS(T_TTAFStock_Log[TTAF_Qty],T_TTAFStock_Log[Part Name],$A30,T_TTAFStock_Log[WeekIndex],103))</f>
        <v/>
      </c>
      <c r="DA30" s="12">
        <f>IF(COUNTIFS(T_TTAFStock_Log[Part Name],$A30,T_TTAFStock_Log[WeekIndex],104)=0,"",SUMIFS(T_TTAFStock_Log[TTAF_Qty],T_TTAFStock_Log[Part Name],$A30,T_TTAFStock_Log[WeekIndex],104))</f>
        <v/>
      </c>
    </row>
    <row r="31">
      <c r="A31" s="13" t="inlineStr">
        <is>
          <t>CHEM-1680</t>
        </is>
      </c>
      <c r="B31" s="13">
        <f>IF(COUNTIFS(T_TTAFStock_Log[Part Name],$A31,T_TTAFStock_Log[WeekIndex],1)=0,"",SUMIFS(T_TTAFStock_Log[TTAF_Qty],T_TTAFStock_Log[Part Name],$A31,T_TTAFStock_Log[WeekIndex],1))</f>
        <v/>
      </c>
      <c r="C31" s="13">
        <f>IF(COUNTIFS(T_TTAFStock_Log[Part Name],$A31,T_TTAFStock_Log[WeekIndex],2)=0,"",SUMIFS(T_TTAFStock_Log[TTAF_Qty],T_TTAFStock_Log[Part Name],$A31,T_TTAFStock_Log[WeekIndex],2))</f>
        <v/>
      </c>
      <c r="D31" s="13">
        <f>IF(COUNTIFS(T_TTAFStock_Log[Part Name],$A31,T_TTAFStock_Log[WeekIndex],3)=0,"",SUMIFS(T_TTAFStock_Log[TTAF_Qty],T_TTAFStock_Log[Part Name],$A31,T_TTAFStock_Log[WeekIndex],3))</f>
        <v/>
      </c>
      <c r="E31" s="13">
        <f>IF(COUNTIFS(T_TTAFStock_Log[Part Name],$A31,T_TTAFStock_Log[WeekIndex],4)=0,"",SUMIFS(T_TTAFStock_Log[TTAF_Qty],T_TTAFStock_Log[Part Name],$A31,T_TTAFStock_Log[WeekIndex],4))</f>
        <v/>
      </c>
      <c r="F31" s="13">
        <f>IF(COUNTIFS(T_TTAFStock_Log[Part Name],$A31,T_TTAFStock_Log[WeekIndex],5)=0,"",SUMIFS(T_TTAFStock_Log[TTAF_Qty],T_TTAFStock_Log[Part Name],$A31,T_TTAFStock_Log[WeekIndex],5))</f>
        <v/>
      </c>
      <c r="G31" s="13">
        <f>IF(COUNTIFS(T_TTAFStock_Log[Part Name],$A31,T_TTAFStock_Log[WeekIndex],6)=0,"",SUMIFS(T_TTAFStock_Log[TTAF_Qty],T_TTAFStock_Log[Part Name],$A31,T_TTAFStock_Log[WeekIndex],6))</f>
        <v/>
      </c>
      <c r="H31" s="13">
        <f>IF(COUNTIFS(T_TTAFStock_Log[Part Name],$A31,T_TTAFStock_Log[WeekIndex],7)=0,"",SUMIFS(T_TTAFStock_Log[TTAF_Qty],T_TTAFStock_Log[Part Name],$A31,T_TTAFStock_Log[WeekIndex],7))</f>
        <v/>
      </c>
      <c r="I31" s="13">
        <f>IF(COUNTIFS(T_TTAFStock_Log[Part Name],$A31,T_TTAFStock_Log[WeekIndex],8)=0,"",SUMIFS(T_TTAFStock_Log[TTAF_Qty],T_TTAFStock_Log[Part Name],$A31,T_TTAFStock_Log[WeekIndex],8))</f>
        <v/>
      </c>
      <c r="J31" s="13">
        <f>IF(COUNTIFS(T_TTAFStock_Log[Part Name],$A31,T_TTAFStock_Log[WeekIndex],9)=0,"",SUMIFS(T_TTAFStock_Log[TTAF_Qty],T_TTAFStock_Log[Part Name],$A31,T_TTAFStock_Log[WeekIndex],9))</f>
        <v/>
      </c>
      <c r="K31" s="13">
        <f>IF(COUNTIFS(T_TTAFStock_Log[Part Name],$A31,T_TTAFStock_Log[WeekIndex],10)=0,"",SUMIFS(T_TTAFStock_Log[TTAF_Qty],T_TTAFStock_Log[Part Name],$A31,T_TTAFStock_Log[WeekIndex],10))</f>
        <v/>
      </c>
      <c r="L31" s="13">
        <f>IF(COUNTIFS(T_TTAFStock_Log[Part Name],$A31,T_TTAFStock_Log[WeekIndex],11)=0,"",SUMIFS(T_TTAFStock_Log[TTAF_Qty],T_TTAFStock_Log[Part Name],$A31,T_TTAFStock_Log[WeekIndex],11))</f>
        <v/>
      </c>
      <c r="M31" s="13">
        <f>IF(COUNTIFS(T_TTAFStock_Log[Part Name],$A31,T_TTAFStock_Log[WeekIndex],12)=0,"",SUMIFS(T_TTAFStock_Log[TTAF_Qty],T_TTAFStock_Log[Part Name],$A31,T_TTAFStock_Log[WeekIndex],12))</f>
        <v/>
      </c>
      <c r="N31" s="13">
        <f>IF(COUNTIFS(T_TTAFStock_Log[Part Name],$A31,T_TTAFStock_Log[WeekIndex],13)=0,"",SUMIFS(T_TTAFStock_Log[TTAF_Qty],T_TTAFStock_Log[Part Name],$A31,T_TTAFStock_Log[WeekIndex],13))</f>
        <v/>
      </c>
      <c r="O31" s="13">
        <f>IF(COUNTIFS(T_TTAFStock_Log[Part Name],$A31,T_TTAFStock_Log[WeekIndex],14)=0,"",SUMIFS(T_TTAFStock_Log[TTAF_Qty],T_TTAFStock_Log[Part Name],$A31,T_TTAFStock_Log[WeekIndex],14))</f>
        <v/>
      </c>
      <c r="P31" s="13">
        <f>IF(COUNTIFS(T_TTAFStock_Log[Part Name],$A31,T_TTAFStock_Log[WeekIndex],15)=0,"",SUMIFS(T_TTAFStock_Log[TTAF_Qty],T_TTAFStock_Log[Part Name],$A31,T_TTAFStock_Log[WeekIndex],15))</f>
        <v/>
      </c>
      <c r="Q31" s="13">
        <f>IF(COUNTIFS(T_TTAFStock_Log[Part Name],$A31,T_TTAFStock_Log[WeekIndex],16)=0,"",SUMIFS(T_TTAFStock_Log[TTAF_Qty],T_TTAFStock_Log[Part Name],$A31,T_TTAFStock_Log[WeekIndex],16))</f>
        <v/>
      </c>
      <c r="R31" s="13">
        <f>IF(COUNTIFS(T_TTAFStock_Log[Part Name],$A31,T_TTAFStock_Log[WeekIndex],17)=0,"",SUMIFS(T_TTAFStock_Log[TTAF_Qty],T_TTAFStock_Log[Part Name],$A31,T_TTAFStock_Log[WeekIndex],17))</f>
        <v/>
      </c>
      <c r="S31" s="13">
        <f>IF(COUNTIFS(T_TTAFStock_Log[Part Name],$A31,T_TTAFStock_Log[WeekIndex],18)=0,"",SUMIFS(T_TTAFStock_Log[TTAF_Qty],T_TTAFStock_Log[Part Name],$A31,T_TTAFStock_Log[WeekIndex],18))</f>
        <v/>
      </c>
      <c r="T31" s="13">
        <f>IF(COUNTIFS(T_TTAFStock_Log[Part Name],$A31,T_TTAFStock_Log[WeekIndex],19)=0,"",SUMIFS(T_TTAFStock_Log[TTAF_Qty],T_TTAFStock_Log[Part Name],$A31,T_TTAFStock_Log[WeekIndex],19))</f>
        <v/>
      </c>
      <c r="U31" s="13">
        <f>IF(COUNTIFS(T_TTAFStock_Log[Part Name],$A31,T_TTAFStock_Log[WeekIndex],20)=0,"",SUMIFS(T_TTAFStock_Log[TTAF_Qty],T_TTAFStock_Log[Part Name],$A31,T_TTAFStock_Log[WeekIndex],20))</f>
        <v/>
      </c>
      <c r="V31" s="13">
        <f>IF(COUNTIFS(T_TTAFStock_Log[Part Name],$A31,T_TTAFStock_Log[WeekIndex],21)=0,"",SUMIFS(T_TTAFStock_Log[TTAF_Qty],T_TTAFStock_Log[Part Name],$A31,T_TTAFStock_Log[WeekIndex],21))</f>
        <v/>
      </c>
      <c r="W31" s="13">
        <f>IF(COUNTIFS(T_TTAFStock_Log[Part Name],$A31,T_TTAFStock_Log[WeekIndex],22)=0,"",SUMIFS(T_TTAFStock_Log[TTAF_Qty],T_TTAFStock_Log[Part Name],$A31,T_TTAFStock_Log[WeekIndex],22))</f>
        <v/>
      </c>
      <c r="X31" s="13">
        <f>IF(COUNTIFS(T_TTAFStock_Log[Part Name],$A31,T_TTAFStock_Log[WeekIndex],23)=0,"",SUMIFS(T_TTAFStock_Log[TTAF_Qty],T_TTAFStock_Log[Part Name],$A31,T_TTAFStock_Log[WeekIndex],23))</f>
        <v/>
      </c>
      <c r="Y31" s="13">
        <f>IF(COUNTIFS(T_TTAFStock_Log[Part Name],$A31,T_TTAFStock_Log[WeekIndex],24)=0,"",SUMIFS(T_TTAFStock_Log[TTAF_Qty],T_TTAFStock_Log[Part Name],$A31,T_TTAFStock_Log[WeekIndex],24))</f>
        <v/>
      </c>
      <c r="Z31" s="13">
        <f>IF(COUNTIFS(T_TTAFStock_Log[Part Name],$A31,T_TTAFStock_Log[WeekIndex],25)=0,"",SUMIFS(T_TTAFStock_Log[TTAF_Qty],T_TTAFStock_Log[Part Name],$A31,T_TTAFStock_Log[WeekIndex],25))</f>
        <v/>
      </c>
      <c r="AA31" s="13">
        <f>IF(COUNTIFS(T_TTAFStock_Log[Part Name],$A31,T_TTAFStock_Log[WeekIndex],26)=0,"",SUMIFS(T_TTAFStock_Log[TTAF_Qty],T_TTAFStock_Log[Part Name],$A31,T_TTAFStock_Log[WeekIndex],26))</f>
        <v/>
      </c>
      <c r="AB31" s="13">
        <f>IF(COUNTIFS(T_TTAFStock_Log[Part Name],$A31,T_TTAFStock_Log[WeekIndex],27)=0,"",SUMIFS(T_TTAFStock_Log[TTAF_Qty],T_TTAFStock_Log[Part Name],$A31,T_TTAFStock_Log[WeekIndex],27))</f>
        <v/>
      </c>
      <c r="AC31" s="13">
        <f>IF(COUNTIFS(T_TTAFStock_Log[Part Name],$A31,T_TTAFStock_Log[WeekIndex],28)=0,"",SUMIFS(T_TTAFStock_Log[TTAF_Qty],T_TTAFStock_Log[Part Name],$A31,T_TTAFStock_Log[WeekIndex],28))</f>
        <v/>
      </c>
      <c r="AD31" s="13">
        <f>IF(COUNTIFS(T_TTAFStock_Log[Part Name],$A31,T_TTAFStock_Log[WeekIndex],29)=0,"",SUMIFS(T_TTAFStock_Log[TTAF_Qty],T_TTAFStock_Log[Part Name],$A31,T_TTAFStock_Log[WeekIndex],29))</f>
        <v/>
      </c>
      <c r="AE31" s="13">
        <f>IF(COUNTIFS(T_TTAFStock_Log[Part Name],$A31,T_TTAFStock_Log[WeekIndex],30)=0,"",SUMIFS(T_TTAFStock_Log[TTAF_Qty],T_TTAFStock_Log[Part Name],$A31,T_TTAFStock_Log[WeekIndex],30))</f>
        <v/>
      </c>
      <c r="AF31" s="13">
        <f>IF(COUNTIFS(T_TTAFStock_Log[Part Name],$A31,T_TTAFStock_Log[WeekIndex],31)=0,"",SUMIFS(T_TTAFStock_Log[TTAF_Qty],T_TTAFStock_Log[Part Name],$A31,T_TTAFStock_Log[WeekIndex],31))</f>
        <v/>
      </c>
      <c r="AG31" s="13">
        <f>IF(COUNTIFS(T_TTAFStock_Log[Part Name],$A31,T_TTAFStock_Log[WeekIndex],32)=0,"",SUMIFS(T_TTAFStock_Log[TTAF_Qty],T_TTAFStock_Log[Part Name],$A31,T_TTAFStock_Log[WeekIndex],32))</f>
        <v/>
      </c>
      <c r="AH31" s="13">
        <f>IF(COUNTIFS(T_TTAFStock_Log[Part Name],$A31,T_TTAFStock_Log[WeekIndex],33)=0,"",SUMIFS(T_TTAFStock_Log[TTAF_Qty],T_TTAFStock_Log[Part Name],$A31,T_TTAFStock_Log[WeekIndex],33))</f>
        <v/>
      </c>
      <c r="AI31" s="13">
        <f>IF(COUNTIFS(T_TTAFStock_Log[Part Name],$A31,T_TTAFStock_Log[WeekIndex],34)=0,"",SUMIFS(T_TTAFStock_Log[TTAF_Qty],T_TTAFStock_Log[Part Name],$A31,T_TTAFStock_Log[WeekIndex],34))</f>
        <v/>
      </c>
      <c r="AJ31" s="13">
        <f>IF(COUNTIFS(T_TTAFStock_Log[Part Name],$A31,T_TTAFStock_Log[WeekIndex],35)=0,"",SUMIFS(T_TTAFStock_Log[TTAF_Qty],T_TTAFStock_Log[Part Name],$A31,T_TTAFStock_Log[WeekIndex],35))</f>
        <v/>
      </c>
      <c r="AK31" s="13">
        <f>IF(COUNTIFS(T_TTAFStock_Log[Part Name],$A31,T_TTAFStock_Log[WeekIndex],36)=0,"",SUMIFS(T_TTAFStock_Log[TTAF_Qty],T_TTAFStock_Log[Part Name],$A31,T_TTAFStock_Log[WeekIndex],36))</f>
        <v/>
      </c>
      <c r="AL31" s="13">
        <f>IF(COUNTIFS(T_TTAFStock_Log[Part Name],$A31,T_TTAFStock_Log[WeekIndex],37)=0,"",SUMIFS(T_TTAFStock_Log[TTAF_Qty],T_TTAFStock_Log[Part Name],$A31,T_TTAFStock_Log[WeekIndex],37))</f>
        <v/>
      </c>
      <c r="AM31" s="13">
        <f>IF(COUNTIFS(T_TTAFStock_Log[Part Name],$A31,T_TTAFStock_Log[WeekIndex],38)=0,"",SUMIFS(T_TTAFStock_Log[TTAF_Qty],T_TTAFStock_Log[Part Name],$A31,T_TTAFStock_Log[WeekIndex],38))</f>
        <v/>
      </c>
      <c r="AN31" s="13">
        <f>IF(COUNTIFS(T_TTAFStock_Log[Part Name],$A31,T_TTAFStock_Log[WeekIndex],39)=0,"",SUMIFS(T_TTAFStock_Log[TTAF_Qty],T_TTAFStock_Log[Part Name],$A31,T_TTAFStock_Log[WeekIndex],39))</f>
        <v/>
      </c>
      <c r="AO31" s="13">
        <f>IF(COUNTIFS(T_TTAFStock_Log[Part Name],$A31,T_TTAFStock_Log[WeekIndex],40)=0,"",SUMIFS(T_TTAFStock_Log[TTAF_Qty],T_TTAFStock_Log[Part Name],$A31,T_TTAFStock_Log[WeekIndex],40))</f>
        <v/>
      </c>
      <c r="AP31" s="13">
        <f>IF(COUNTIFS(T_TTAFStock_Log[Part Name],$A31,T_TTAFStock_Log[WeekIndex],41)=0,"",SUMIFS(T_TTAFStock_Log[TTAF_Qty],T_TTAFStock_Log[Part Name],$A31,T_TTAFStock_Log[WeekIndex],41))</f>
        <v/>
      </c>
      <c r="AQ31" s="13">
        <f>IF(COUNTIFS(T_TTAFStock_Log[Part Name],$A31,T_TTAFStock_Log[WeekIndex],42)=0,"",SUMIFS(T_TTAFStock_Log[TTAF_Qty],T_TTAFStock_Log[Part Name],$A31,T_TTAFStock_Log[WeekIndex],42))</f>
        <v/>
      </c>
      <c r="AR31" s="13">
        <f>IF(COUNTIFS(T_TTAFStock_Log[Part Name],$A31,T_TTAFStock_Log[WeekIndex],43)=0,"",SUMIFS(T_TTAFStock_Log[TTAF_Qty],T_TTAFStock_Log[Part Name],$A31,T_TTAFStock_Log[WeekIndex],43))</f>
        <v/>
      </c>
      <c r="AS31" s="13">
        <f>IF(COUNTIFS(T_TTAFStock_Log[Part Name],$A31,T_TTAFStock_Log[WeekIndex],44)=0,"",SUMIFS(T_TTAFStock_Log[TTAF_Qty],T_TTAFStock_Log[Part Name],$A31,T_TTAFStock_Log[WeekIndex],44))</f>
        <v/>
      </c>
      <c r="AT31" s="13">
        <f>IF(COUNTIFS(T_TTAFStock_Log[Part Name],$A31,T_TTAFStock_Log[WeekIndex],45)=0,"",SUMIFS(T_TTAFStock_Log[TTAF_Qty],T_TTAFStock_Log[Part Name],$A31,T_TTAFStock_Log[WeekIndex],45))</f>
        <v/>
      </c>
      <c r="AU31" s="13">
        <f>IF(COUNTIFS(T_TTAFStock_Log[Part Name],$A31,T_TTAFStock_Log[WeekIndex],46)=0,"",SUMIFS(T_TTAFStock_Log[TTAF_Qty],T_TTAFStock_Log[Part Name],$A31,T_TTAFStock_Log[WeekIndex],46))</f>
        <v/>
      </c>
      <c r="AV31" s="13">
        <f>IF(COUNTIFS(T_TTAFStock_Log[Part Name],$A31,T_TTAFStock_Log[WeekIndex],47)=0,"",SUMIFS(T_TTAFStock_Log[TTAF_Qty],T_TTAFStock_Log[Part Name],$A31,T_TTAFStock_Log[WeekIndex],47))</f>
        <v/>
      </c>
      <c r="AW31" s="13">
        <f>IF(COUNTIFS(T_TTAFStock_Log[Part Name],$A31,T_TTAFStock_Log[WeekIndex],48)=0,"",SUMIFS(T_TTAFStock_Log[TTAF_Qty],T_TTAFStock_Log[Part Name],$A31,T_TTAFStock_Log[WeekIndex],48))</f>
        <v/>
      </c>
      <c r="AX31" s="13">
        <f>IF(COUNTIFS(T_TTAFStock_Log[Part Name],$A31,T_TTAFStock_Log[WeekIndex],49)=0,"",SUMIFS(T_TTAFStock_Log[TTAF_Qty],T_TTAFStock_Log[Part Name],$A31,T_TTAFStock_Log[WeekIndex],49))</f>
        <v/>
      </c>
      <c r="AY31" s="13">
        <f>IF(COUNTIFS(T_TTAFStock_Log[Part Name],$A31,T_TTAFStock_Log[WeekIndex],50)=0,"",SUMIFS(T_TTAFStock_Log[TTAF_Qty],T_TTAFStock_Log[Part Name],$A31,T_TTAFStock_Log[WeekIndex],50))</f>
        <v/>
      </c>
      <c r="AZ31" s="13">
        <f>IF(COUNTIFS(T_TTAFStock_Log[Part Name],$A31,T_TTAFStock_Log[WeekIndex],51)=0,"",SUMIFS(T_TTAFStock_Log[TTAF_Qty],T_TTAFStock_Log[Part Name],$A31,T_TTAFStock_Log[WeekIndex],51))</f>
        <v/>
      </c>
      <c r="BA31" s="13">
        <f>IF(COUNTIFS(T_TTAFStock_Log[Part Name],$A31,T_TTAFStock_Log[WeekIndex],52)=0,"",SUMIFS(T_TTAFStock_Log[TTAF_Qty],T_TTAFStock_Log[Part Name],$A31,T_TTAFStock_Log[WeekIndex],52))</f>
        <v/>
      </c>
      <c r="BB31" s="13">
        <f>IF(COUNTIFS(T_TTAFStock_Log[Part Name],$A31,T_TTAFStock_Log[WeekIndex],53)=0,"",SUMIFS(T_TTAFStock_Log[TTAF_Qty],T_TTAFStock_Log[Part Name],$A31,T_TTAFStock_Log[WeekIndex],53))</f>
        <v/>
      </c>
      <c r="BC31" s="13">
        <f>IF(COUNTIFS(T_TTAFStock_Log[Part Name],$A31,T_TTAFStock_Log[WeekIndex],54)=0,"",SUMIFS(T_TTAFStock_Log[TTAF_Qty],T_TTAFStock_Log[Part Name],$A31,T_TTAFStock_Log[WeekIndex],54))</f>
        <v/>
      </c>
      <c r="BD31" s="13">
        <f>IF(COUNTIFS(T_TTAFStock_Log[Part Name],$A31,T_TTAFStock_Log[WeekIndex],55)=0,"",SUMIFS(T_TTAFStock_Log[TTAF_Qty],T_TTAFStock_Log[Part Name],$A31,T_TTAFStock_Log[WeekIndex],55))</f>
        <v/>
      </c>
      <c r="BE31" s="13">
        <f>IF(COUNTIFS(T_TTAFStock_Log[Part Name],$A31,T_TTAFStock_Log[WeekIndex],56)=0,"",SUMIFS(T_TTAFStock_Log[TTAF_Qty],T_TTAFStock_Log[Part Name],$A31,T_TTAFStock_Log[WeekIndex],56))</f>
        <v/>
      </c>
      <c r="BF31" s="13">
        <f>IF(COUNTIFS(T_TTAFStock_Log[Part Name],$A31,T_TTAFStock_Log[WeekIndex],57)=0,"",SUMIFS(T_TTAFStock_Log[TTAF_Qty],T_TTAFStock_Log[Part Name],$A31,T_TTAFStock_Log[WeekIndex],57))</f>
        <v/>
      </c>
      <c r="BG31" s="13">
        <f>IF(COUNTIFS(T_TTAFStock_Log[Part Name],$A31,T_TTAFStock_Log[WeekIndex],58)=0,"",SUMIFS(T_TTAFStock_Log[TTAF_Qty],T_TTAFStock_Log[Part Name],$A31,T_TTAFStock_Log[WeekIndex],58))</f>
        <v/>
      </c>
      <c r="BH31" s="13">
        <f>IF(COUNTIFS(T_TTAFStock_Log[Part Name],$A31,T_TTAFStock_Log[WeekIndex],59)=0,"",SUMIFS(T_TTAFStock_Log[TTAF_Qty],T_TTAFStock_Log[Part Name],$A31,T_TTAFStock_Log[WeekIndex],59))</f>
        <v/>
      </c>
      <c r="BI31" s="13">
        <f>IF(COUNTIFS(T_TTAFStock_Log[Part Name],$A31,T_TTAFStock_Log[WeekIndex],60)=0,"",SUMIFS(T_TTAFStock_Log[TTAF_Qty],T_TTAFStock_Log[Part Name],$A31,T_TTAFStock_Log[WeekIndex],60))</f>
        <v/>
      </c>
      <c r="BJ31" s="13">
        <f>IF(COUNTIFS(T_TTAFStock_Log[Part Name],$A31,T_TTAFStock_Log[WeekIndex],61)=0,"",SUMIFS(T_TTAFStock_Log[TTAF_Qty],T_TTAFStock_Log[Part Name],$A31,T_TTAFStock_Log[WeekIndex],61))</f>
        <v/>
      </c>
      <c r="BK31" s="13">
        <f>IF(COUNTIFS(T_TTAFStock_Log[Part Name],$A31,T_TTAFStock_Log[WeekIndex],62)=0,"",SUMIFS(T_TTAFStock_Log[TTAF_Qty],T_TTAFStock_Log[Part Name],$A31,T_TTAFStock_Log[WeekIndex],62))</f>
        <v/>
      </c>
      <c r="BL31" s="13">
        <f>IF(COUNTIFS(T_TTAFStock_Log[Part Name],$A31,T_TTAFStock_Log[WeekIndex],63)=0,"",SUMIFS(T_TTAFStock_Log[TTAF_Qty],T_TTAFStock_Log[Part Name],$A31,T_TTAFStock_Log[WeekIndex],63))</f>
        <v/>
      </c>
      <c r="BM31" s="13">
        <f>IF(COUNTIFS(T_TTAFStock_Log[Part Name],$A31,T_TTAFStock_Log[WeekIndex],64)=0,"",SUMIFS(T_TTAFStock_Log[TTAF_Qty],T_TTAFStock_Log[Part Name],$A31,T_TTAFStock_Log[WeekIndex],64))</f>
        <v/>
      </c>
      <c r="BN31" s="13">
        <f>IF(COUNTIFS(T_TTAFStock_Log[Part Name],$A31,T_TTAFStock_Log[WeekIndex],65)=0,"",SUMIFS(T_TTAFStock_Log[TTAF_Qty],T_TTAFStock_Log[Part Name],$A31,T_TTAFStock_Log[WeekIndex],65))</f>
        <v/>
      </c>
      <c r="BO31" s="13">
        <f>IF(COUNTIFS(T_TTAFStock_Log[Part Name],$A31,T_TTAFStock_Log[WeekIndex],66)=0,"",SUMIFS(T_TTAFStock_Log[TTAF_Qty],T_TTAFStock_Log[Part Name],$A31,T_TTAFStock_Log[WeekIndex],66))</f>
        <v/>
      </c>
      <c r="BP31" s="13">
        <f>IF(COUNTIFS(T_TTAFStock_Log[Part Name],$A31,T_TTAFStock_Log[WeekIndex],67)=0,"",SUMIFS(T_TTAFStock_Log[TTAF_Qty],T_TTAFStock_Log[Part Name],$A31,T_TTAFStock_Log[WeekIndex],67))</f>
        <v/>
      </c>
      <c r="BQ31" s="13">
        <f>IF(COUNTIFS(T_TTAFStock_Log[Part Name],$A31,T_TTAFStock_Log[WeekIndex],68)=0,"",SUMIFS(T_TTAFStock_Log[TTAF_Qty],T_TTAFStock_Log[Part Name],$A31,T_TTAFStock_Log[WeekIndex],68))</f>
        <v/>
      </c>
      <c r="BR31" s="13">
        <f>IF(COUNTIFS(T_TTAFStock_Log[Part Name],$A31,T_TTAFStock_Log[WeekIndex],69)=0,"",SUMIFS(T_TTAFStock_Log[TTAF_Qty],T_TTAFStock_Log[Part Name],$A31,T_TTAFStock_Log[WeekIndex],69))</f>
        <v/>
      </c>
      <c r="BS31" s="13">
        <f>IF(COUNTIFS(T_TTAFStock_Log[Part Name],$A31,T_TTAFStock_Log[WeekIndex],70)=0,"",SUMIFS(T_TTAFStock_Log[TTAF_Qty],T_TTAFStock_Log[Part Name],$A31,T_TTAFStock_Log[WeekIndex],70))</f>
        <v/>
      </c>
      <c r="BT31" s="13">
        <f>IF(COUNTIFS(T_TTAFStock_Log[Part Name],$A31,T_TTAFStock_Log[WeekIndex],71)=0,"",SUMIFS(T_TTAFStock_Log[TTAF_Qty],T_TTAFStock_Log[Part Name],$A31,T_TTAFStock_Log[WeekIndex],71))</f>
        <v/>
      </c>
      <c r="BU31" s="13">
        <f>IF(COUNTIFS(T_TTAFStock_Log[Part Name],$A31,T_TTAFStock_Log[WeekIndex],72)=0,"",SUMIFS(T_TTAFStock_Log[TTAF_Qty],T_TTAFStock_Log[Part Name],$A31,T_TTAFStock_Log[WeekIndex],72))</f>
        <v/>
      </c>
      <c r="BV31" s="13">
        <f>IF(COUNTIFS(T_TTAFStock_Log[Part Name],$A31,T_TTAFStock_Log[WeekIndex],73)=0,"",SUMIFS(T_TTAFStock_Log[TTAF_Qty],T_TTAFStock_Log[Part Name],$A31,T_TTAFStock_Log[WeekIndex],73))</f>
        <v/>
      </c>
      <c r="BW31" s="13">
        <f>IF(COUNTIFS(T_TTAFStock_Log[Part Name],$A31,T_TTAFStock_Log[WeekIndex],74)=0,"",SUMIFS(T_TTAFStock_Log[TTAF_Qty],T_TTAFStock_Log[Part Name],$A31,T_TTAFStock_Log[WeekIndex],74))</f>
        <v/>
      </c>
      <c r="BX31" s="13">
        <f>IF(COUNTIFS(T_TTAFStock_Log[Part Name],$A31,T_TTAFStock_Log[WeekIndex],75)=0,"",SUMIFS(T_TTAFStock_Log[TTAF_Qty],T_TTAFStock_Log[Part Name],$A31,T_TTAFStock_Log[WeekIndex],75))</f>
        <v/>
      </c>
      <c r="BY31" s="13">
        <f>IF(COUNTIFS(T_TTAFStock_Log[Part Name],$A31,T_TTAFStock_Log[WeekIndex],76)=0,"",SUMIFS(T_TTAFStock_Log[TTAF_Qty],T_TTAFStock_Log[Part Name],$A31,T_TTAFStock_Log[WeekIndex],76))</f>
        <v/>
      </c>
      <c r="BZ31" s="13">
        <f>IF(COUNTIFS(T_TTAFStock_Log[Part Name],$A31,T_TTAFStock_Log[WeekIndex],77)=0,"",SUMIFS(T_TTAFStock_Log[TTAF_Qty],T_TTAFStock_Log[Part Name],$A31,T_TTAFStock_Log[WeekIndex],77))</f>
        <v/>
      </c>
      <c r="CA31" s="13">
        <f>IF(COUNTIFS(T_TTAFStock_Log[Part Name],$A31,T_TTAFStock_Log[WeekIndex],78)=0,"",SUMIFS(T_TTAFStock_Log[TTAF_Qty],T_TTAFStock_Log[Part Name],$A31,T_TTAFStock_Log[WeekIndex],78))</f>
        <v/>
      </c>
      <c r="CB31" s="13">
        <f>IF(COUNTIFS(T_TTAFStock_Log[Part Name],$A31,T_TTAFStock_Log[WeekIndex],79)=0,"",SUMIFS(T_TTAFStock_Log[TTAF_Qty],T_TTAFStock_Log[Part Name],$A31,T_TTAFStock_Log[WeekIndex],79))</f>
        <v/>
      </c>
      <c r="CC31" s="13">
        <f>IF(COUNTIFS(T_TTAFStock_Log[Part Name],$A31,T_TTAFStock_Log[WeekIndex],80)=0,"",SUMIFS(T_TTAFStock_Log[TTAF_Qty],T_TTAFStock_Log[Part Name],$A31,T_TTAFStock_Log[WeekIndex],80))</f>
        <v/>
      </c>
      <c r="CD31" s="13">
        <f>IF(COUNTIFS(T_TTAFStock_Log[Part Name],$A31,T_TTAFStock_Log[WeekIndex],81)=0,"",SUMIFS(T_TTAFStock_Log[TTAF_Qty],T_TTAFStock_Log[Part Name],$A31,T_TTAFStock_Log[WeekIndex],81))</f>
        <v/>
      </c>
      <c r="CE31" s="13">
        <f>IF(COUNTIFS(T_TTAFStock_Log[Part Name],$A31,T_TTAFStock_Log[WeekIndex],82)=0,"",SUMIFS(T_TTAFStock_Log[TTAF_Qty],T_TTAFStock_Log[Part Name],$A31,T_TTAFStock_Log[WeekIndex],82))</f>
        <v/>
      </c>
      <c r="CF31" s="13">
        <f>IF(COUNTIFS(T_TTAFStock_Log[Part Name],$A31,T_TTAFStock_Log[WeekIndex],83)=0,"",SUMIFS(T_TTAFStock_Log[TTAF_Qty],T_TTAFStock_Log[Part Name],$A31,T_TTAFStock_Log[WeekIndex],83))</f>
        <v/>
      </c>
      <c r="CG31" s="13">
        <f>IF(COUNTIFS(T_TTAFStock_Log[Part Name],$A31,T_TTAFStock_Log[WeekIndex],84)=0,"",SUMIFS(T_TTAFStock_Log[TTAF_Qty],T_TTAFStock_Log[Part Name],$A31,T_TTAFStock_Log[WeekIndex],84))</f>
        <v/>
      </c>
      <c r="CH31" s="13">
        <f>IF(COUNTIFS(T_TTAFStock_Log[Part Name],$A31,T_TTAFStock_Log[WeekIndex],85)=0,"",SUMIFS(T_TTAFStock_Log[TTAF_Qty],T_TTAFStock_Log[Part Name],$A31,T_TTAFStock_Log[WeekIndex],85))</f>
        <v/>
      </c>
      <c r="CI31" s="13">
        <f>IF(COUNTIFS(T_TTAFStock_Log[Part Name],$A31,T_TTAFStock_Log[WeekIndex],86)=0,"",SUMIFS(T_TTAFStock_Log[TTAF_Qty],T_TTAFStock_Log[Part Name],$A31,T_TTAFStock_Log[WeekIndex],86))</f>
        <v/>
      </c>
      <c r="CJ31" s="13">
        <f>IF(COUNTIFS(T_TTAFStock_Log[Part Name],$A31,T_TTAFStock_Log[WeekIndex],87)=0,"",SUMIFS(T_TTAFStock_Log[TTAF_Qty],T_TTAFStock_Log[Part Name],$A31,T_TTAFStock_Log[WeekIndex],87))</f>
        <v/>
      </c>
      <c r="CK31" s="13">
        <f>IF(COUNTIFS(T_TTAFStock_Log[Part Name],$A31,T_TTAFStock_Log[WeekIndex],88)=0,"",SUMIFS(T_TTAFStock_Log[TTAF_Qty],T_TTAFStock_Log[Part Name],$A31,T_TTAFStock_Log[WeekIndex],88))</f>
        <v/>
      </c>
      <c r="CL31" s="13">
        <f>IF(COUNTIFS(T_TTAFStock_Log[Part Name],$A31,T_TTAFStock_Log[WeekIndex],89)=0,"",SUMIFS(T_TTAFStock_Log[TTAF_Qty],T_TTAFStock_Log[Part Name],$A31,T_TTAFStock_Log[WeekIndex],89))</f>
        <v/>
      </c>
      <c r="CM31" s="13">
        <f>IF(COUNTIFS(T_TTAFStock_Log[Part Name],$A31,T_TTAFStock_Log[WeekIndex],90)=0,"",SUMIFS(T_TTAFStock_Log[TTAF_Qty],T_TTAFStock_Log[Part Name],$A31,T_TTAFStock_Log[WeekIndex],90))</f>
        <v/>
      </c>
      <c r="CN31" s="13">
        <f>IF(COUNTIFS(T_TTAFStock_Log[Part Name],$A31,T_TTAFStock_Log[WeekIndex],91)=0,"",SUMIFS(T_TTAFStock_Log[TTAF_Qty],T_TTAFStock_Log[Part Name],$A31,T_TTAFStock_Log[WeekIndex],91))</f>
        <v/>
      </c>
      <c r="CO31" s="13">
        <f>IF(COUNTIFS(T_TTAFStock_Log[Part Name],$A31,T_TTAFStock_Log[WeekIndex],92)=0,"",SUMIFS(T_TTAFStock_Log[TTAF_Qty],T_TTAFStock_Log[Part Name],$A31,T_TTAFStock_Log[WeekIndex],92))</f>
        <v/>
      </c>
      <c r="CP31" s="13">
        <f>IF(COUNTIFS(T_TTAFStock_Log[Part Name],$A31,T_TTAFStock_Log[WeekIndex],93)=0,"",SUMIFS(T_TTAFStock_Log[TTAF_Qty],T_TTAFStock_Log[Part Name],$A31,T_TTAFStock_Log[WeekIndex],93))</f>
        <v/>
      </c>
      <c r="CQ31" s="13">
        <f>IF(COUNTIFS(T_TTAFStock_Log[Part Name],$A31,T_TTAFStock_Log[WeekIndex],94)=0,"",SUMIFS(T_TTAFStock_Log[TTAF_Qty],T_TTAFStock_Log[Part Name],$A31,T_TTAFStock_Log[WeekIndex],94))</f>
        <v/>
      </c>
      <c r="CR31" s="13">
        <f>IF(COUNTIFS(T_TTAFStock_Log[Part Name],$A31,T_TTAFStock_Log[WeekIndex],95)=0,"",SUMIFS(T_TTAFStock_Log[TTAF_Qty],T_TTAFStock_Log[Part Name],$A31,T_TTAFStock_Log[WeekIndex],95))</f>
        <v/>
      </c>
      <c r="CS31" s="13">
        <f>IF(COUNTIFS(T_TTAFStock_Log[Part Name],$A31,T_TTAFStock_Log[WeekIndex],96)=0,"",SUMIFS(T_TTAFStock_Log[TTAF_Qty],T_TTAFStock_Log[Part Name],$A31,T_TTAFStock_Log[WeekIndex],96))</f>
        <v/>
      </c>
      <c r="CT31" s="13">
        <f>IF(COUNTIFS(T_TTAFStock_Log[Part Name],$A31,T_TTAFStock_Log[WeekIndex],97)=0,"",SUMIFS(T_TTAFStock_Log[TTAF_Qty],T_TTAFStock_Log[Part Name],$A31,T_TTAFStock_Log[WeekIndex],97))</f>
        <v/>
      </c>
      <c r="CU31" s="13">
        <f>IF(COUNTIFS(T_TTAFStock_Log[Part Name],$A31,T_TTAFStock_Log[WeekIndex],98)=0,"",SUMIFS(T_TTAFStock_Log[TTAF_Qty],T_TTAFStock_Log[Part Name],$A31,T_TTAFStock_Log[WeekIndex],98))</f>
        <v/>
      </c>
      <c r="CV31" s="13">
        <f>IF(COUNTIFS(T_TTAFStock_Log[Part Name],$A31,T_TTAFStock_Log[WeekIndex],99)=0,"",SUMIFS(T_TTAFStock_Log[TTAF_Qty],T_TTAFStock_Log[Part Name],$A31,T_TTAFStock_Log[WeekIndex],99))</f>
        <v/>
      </c>
      <c r="CW31" s="13">
        <f>IF(COUNTIFS(T_TTAFStock_Log[Part Name],$A31,T_TTAFStock_Log[WeekIndex],100)=0,"",SUMIFS(T_TTAFStock_Log[TTAF_Qty],T_TTAFStock_Log[Part Name],$A31,T_TTAFStock_Log[WeekIndex],100))</f>
        <v/>
      </c>
      <c r="CX31" s="13">
        <f>IF(COUNTIFS(T_TTAFStock_Log[Part Name],$A31,T_TTAFStock_Log[WeekIndex],101)=0,"",SUMIFS(T_TTAFStock_Log[TTAF_Qty],T_TTAFStock_Log[Part Name],$A31,T_TTAFStock_Log[WeekIndex],101))</f>
        <v/>
      </c>
      <c r="CY31" s="13">
        <f>IF(COUNTIFS(T_TTAFStock_Log[Part Name],$A31,T_TTAFStock_Log[WeekIndex],102)=0,"",SUMIFS(T_TTAFStock_Log[TTAF_Qty],T_TTAFStock_Log[Part Name],$A31,T_TTAFStock_Log[WeekIndex],102))</f>
        <v/>
      </c>
      <c r="CZ31" s="13">
        <f>IF(COUNTIFS(T_TTAFStock_Log[Part Name],$A31,T_TTAFStock_Log[WeekIndex],103)=0,"",SUMIFS(T_TTAFStock_Log[TTAF_Qty],T_TTAFStock_Log[Part Name],$A31,T_TTAFStock_Log[WeekIndex],103))</f>
        <v/>
      </c>
      <c r="DA31" s="13">
        <f>IF(COUNTIFS(T_TTAFStock_Log[Part Name],$A31,T_TTAFStock_Log[WeekIndex],104)=0,"",SUMIFS(T_TTAFStock_Log[TTAF_Qty],T_TTAFStock_Log[Part Name],$A31,T_TTAFStock_Log[WeekIndex],104))</f>
        <v/>
      </c>
    </row>
    <row r="32">
      <c r="A32" s="12" t="inlineStr">
        <is>
          <t>CHEM-1820</t>
        </is>
      </c>
      <c r="B32" s="12">
        <f>IF(COUNTIFS(T_TTAFStock_Log[Part Name],$A32,T_TTAFStock_Log[WeekIndex],1)=0,"",SUMIFS(T_TTAFStock_Log[TTAF_Qty],T_TTAFStock_Log[Part Name],$A32,T_TTAFStock_Log[WeekIndex],1))</f>
        <v/>
      </c>
      <c r="C32" s="12">
        <f>IF(COUNTIFS(T_TTAFStock_Log[Part Name],$A32,T_TTAFStock_Log[WeekIndex],2)=0,"",SUMIFS(T_TTAFStock_Log[TTAF_Qty],T_TTAFStock_Log[Part Name],$A32,T_TTAFStock_Log[WeekIndex],2))</f>
        <v/>
      </c>
      <c r="D32" s="12">
        <f>IF(COUNTIFS(T_TTAFStock_Log[Part Name],$A32,T_TTAFStock_Log[WeekIndex],3)=0,"",SUMIFS(T_TTAFStock_Log[TTAF_Qty],T_TTAFStock_Log[Part Name],$A32,T_TTAFStock_Log[WeekIndex],3))</f>
        <v/>
      </c>
      <c r="E32" s="12">
        <f>IF(COUNTIFS(T_TTAFStock_Log[Part Name],$A32,T_TTAFStock_Log[WeekIndex],4)=0,"",SUMIFS(T_TTAFStock_Log[TTAF_Qty],T_TTAFStock_Log[Part Name],$A32,T_TTAFStock_Log[WeekIndex],4))</f>
        <v/>
      </c>
      <c r="F32" s="12">
        <f>IF(COUNTIFS(T_TTAFStock_Log[Part Name],$A32,T_TTAFStock_Log[WeekIndex],5)=0,"",SUMIFS(T_TTAFStock_Log[TTAF_Qty],T_TTAFStock_Log[Part Name],$A32,T_TTAFStock_Log[WeekIndex],5))</f>
        <v/>
      </c>
      <c r="G32" s="12">
        <f>IF(COUNTIFS(T_TTAFStock_Log[Part Name],$A32,T_TTAFStock_Log[WeekIndex],6)=0,"",SUMIFS(T_TTAFStock_Log[TTAF_Qty],T_TTAFStock_Log[Part Name],$A32,T_TTAFStock_Log[WeekIndex],6))</f>
        <v/>
      </c>
      <c r="H32" s="12">
        <f>IF(COUNTIFS(T_TTAFStock_Log[Part Name],$A32,T_TTAFStock_Log[WeekIndex],7)=0,"",SUMIFS(T_TTAFStock_Log[TTAF_Qty],T_TTAFStock_Log[Part Name],$A32,T_TTAFStock_Log[WeekIndex],7))</f>
        <v/>
      </c>
      <c r="I32" s="12">
        <f>IF(COUNTIFS(T_TTAFStock_Log[Part Name],$A32,T_TTAFStock_Log[WeekIndex],8)=0,"",SUMIFS(T_TTAFStock_Log[TTAF_Qty],T_TTAFStock_Log[Part Name],$A32,T_TTAFStock_Log[WeekIndex],8))</f>
        <v/>
      </c>
      <c r="J32" s="12">
        <f>IF(COUNTIFS(T_TTAFStock_Log[Part Name],$A32,T_TTAFStock_Log[WeekIndex],9)=0,"",SUMIFS(T_TTAFStock_Log[TTAF_Qty],T_TTAFStock_Log[Part Name],$A32,T_TTAFStock_Log[WeekIndex],9))</f>
        <v/>
      </c>
      <c r="K32" s="12">
        <f>IF(COUNTIFS(T_TTAFStock_Log[Part Name],$A32,T_TTAFStock_Log[WeekIndex],10)=0,"",SUMIFS(T_TTAFStock_Log[TTAF_Qty],T_TTAFStock_Log[Part Name],$A32,T_TTAFStock_Log[WeekIndex],10))</f>
        <v/>
      </c>
      <c r="L32" s="12">
        <f>IF(COUNTIFS(T_TTAFStock_Log[Part Name],$A32,T_TTAFStock_Log[WeekIndex],11)=0,"",SUMIFS(T_TTAFStock_Log[TTAF_Qty],T_TTAFStock_Log[Part Name],$A32,T_TTAFStock_Log[WeekIndex],11))</f>
        <v/>
      </c>
      <c r="M32" s="12">
        <f>IF(COUNTIFS(T_TTAFStock_Log[Part Name],$A32,T_TTAFStock_Log[WeekIndex],12)=0,"",SUMIFS(T_TTAFStock_Log[TTAF_Qty],T_TTAFStock_Log[Part Name],$A32,T_TTAFStock_Log[WeekIndex],12))</f>
        <v/>
      </c>
      <c r="N32" s="12">
        <f>IF(COUNTIFS(T_TTAFStock_Log[Part Name],$A32,T_TTAFStock_Log[WeekIndex],13)=0,"",SUMIFS(T_TTAFStock_Log[TTAF_Qty],T_TTAFStock_Log[Part Name],$A32,T_TTAFStock_Log[WeekIndex],13))</f>
        <v/>
      </c>
      <c r="O32" s="12">
        <f>IF(COUNTIFS(T_TTAFStock_Log[Part Name],$A32,T_TTAFStock_Log[WeekIndex],14)=0,"",SUMIFS(T_TTAFStock_Log[TTAF_Qty],T_TTAFStock_Log[Part Name],$A32,T_TTAFStock_Log[WeekIndex],14))</f>
        <v/>
      </c>
      <c r="P32" s="12">
        <f>IF(COUNTIFS(T_TTAFStock_Log[Part Name],$A32,T_TTAFStock_Log[WeekIndex],15)=0,"",SUMIFS(T_TTAFStock_Log[TTAF_Qty],T_TTAFStock_Log[Part Name],$A32,T_TTAFStock_Log[WeekIndex],15))</f>
        <v/>
      </c>
      <c r="Q32" s="12">
        <f>IF(COUNTIFS(T_TTAFStock_Log[Part Name],$A32,T_TTAFStock_Log[WeekIndex],16)=0,"",SUMIFS(T_TTAFStock_Log[TTAF_Qty],T_TTAFStock_Log[Part Name],$A32,T_TTAFStock_Log[WeekIndex],16))</f>
        <v/>
      </c>
      <c r="R32" s="12">
        <f>IF(COUNTIFS(T_TTAFStock_Log[Part Name],$A32,T_TTAFStock_Log[WeekIndex],17)=0,"",SUMIFS(T_TTAFStock_Log[TTAF_Qty],T_TTAFStock_Log[Part Name],$A32,T_TTAFStock_Log[WeekIndex],17))</f>
        <v/>
      </c>
      <c r="S32" s="12">
        <f>IF(COUNTIFS(T_TTAFStock_Log[Part Name],$A32,T_TTAFStock_Log[WeekIndex],18)=0,"",SUMIFS(T_TTAFStock_Log[TTAF_Qty],T_TTAFStock_Log[Part Name],$A32,T_TTAFStock_Log[WeekIndex],18))</f>
        <v/>
      </c>
      <c r="T32" s="12">
        <f>IF(COUNTIFS(T_TTAFStock_Log[Part Name],$A32,T_TTAFStock_Log[WeekIndex],19)=0,"",SUMIFS(T_TTAFStock_Log[TTAF_Qty],T_TTAFStock_Log[Part Name],$A32,T_TTAFStock_Log[WeekIndex],19))</f>
        <v/>
      </c>
      <c r="U32" s="12">
        <f>IF(COUNTIFS(T_TTAFStock_Log[Part Name],$A32,T_TTAFStock_Log[WeekIndex],20)=0,"",SUMIFS(T_TTAFStock_Log[TTAF_Qty],T_TTAFStock_Log[Part Name],$A32,T_TTAFStock_Log[WeekIndex],20))</f>
        <v/>
      </c>
      <c r="V32" s="12">
        <f>IF(COUNTIFS(T_TTAFStock_Log[Part Name],$A32,T_TTAFStock_Log[WeekIndex],21)=0,"",SUMIFS(T_TTAFStock_Log[TTAF_Qty],T_TTAFStock_Log[Part Name],$A32,T_TTAFStock_Log[WeekIndex],21))</f>
        <v/>
      </c>
      <c r="W32" s="12">
        <f>IF(COUNTIFS(T_TTAFStock_Log[Part Name],$A32,T_TTAFStock_Log[WeekIndex],22)=0,"",SUMIFS(T_TTAFStock_Log[TTAF_Qty],T_TTAFStock_Log[Part Name],$A32,T_TTAFStock_Log[WeekIndex],22))</f>
        <v/>
      </c>
      <c r="X32" s="12">
        <f>IF(COUNTIFS(T_TTAFStock_Log[Part Name],$A32,T_TTAFStock_Log[WeekIndex],23)=0,"",SUMIFS(T_TTAFStock_Log[TTAF_Qty],T_TTAFStock_Log[Part Name],$A32,T_TTAFStock_Log[WeekIndex],23))</f>
        <v/>
      </c>
      <c r="Y32" s="12">
        <f>IF(COUNTIFS(T_TTAFStock_Log[Part Name],$A32,T_TTAFStock_Log[WeekIndex],24)=0,"",SUMIFS(T_TTAFStock_Log[TTAF_Qty],T_TTAFStock_Log[Part Name],$A32,T_TTAFStock_Log[WeekIndex],24))</f>
        <v/>
      </c>
      <c r="Z32" s="12">
        <f>IF(COUNTIFS(T_TTAFStock_Log[Part Name],$A32,T_TTAFStock_Log[WeekIndex],25)=0,"",SUMIFS(T_TTAFStock_Log[TTAF_Qty],T_TTAFStock_Log[Part Name],$A32,T_TTAFStock_Log[WeekIndex],25))</f>
        <v/>
      </c>
      <c r="AA32" s="12">
        <f>IF(COUNTIFS(T_TTAFStock_Log[Part Name],$A32,T_TTAFStock_Log[WeekIndex],26)=0,"",SUMIFS(T_TTAFStock_Log[TTAF_Qty],T_TTAFStock_Log[Part Name],$A32,T_TTAFStock_Log[WeekIndex],26))</f>
        <v/>
      </c>
      <c r="AB32" s="12">
        <f>IF(COUNTIFS(T_TTAFStock_Log[Part Name],$A32,T_TTAFStock_Log[WeekIndex],27)=0,"",SUMIFS(T_TTAFStock_Log[TTAF_Qty],T_TTAFStock_Log[Part Name],$A32,T_TTAFStock_Log[WeekIndex],27))</f>
        <v/>
      </c>
      <c r="AC32" s="12">
        <f>IF(COUNTIFS(T_TTAFStock_Log[Part Name],$A32,T_TTAFStock_Log[WeekIndex],28)=0,"",SUMIFS(T_TTAFStock_Log[TTAF_Qty],T_TTAFStock_Log[Part Name],$A32,T_TTAFStock_Log[WeekIndex],28))</f>
        <v/>
      </c>
      <c r="AD32" s="12">
        <f>IF(COUNTIFS(T_TTAFStock_Log[Part Name],$A32,T_TTAFStock_Log[WeekIndex],29)=0,"",SUMIFS(T_TTAFStock_Log[TTAF_Qty],T_TTAFStock_Log[Part Name],$A32,T_TTAFStock_Log[WeekIndex],29))</f>
        <v/>
      </c>
      <c r="AE32" s="12">
        <f>IF(COUNTIFS(T_TTAFStock_Log[Part Name],$A32,T_TTAFStock_Log[WeekIndex],30)=0,"",SUMIFS(T_TTAFStock_Log[TTAF_Qty],T_TTAFStock_Log[Part Name],$A32,T_TTAFStock_Log[WeekIndex],30))</f>
        <v/>
      </c>
      <c r="AF32" s="12">
        <f>IF(COUNTIFS(T_TTAFStock_Log[Part Name],$A32,T_TTAFStock_Log[WeekIndex],31)=0,"",SUMIFS(T_TTAFStock_Log[TTAF_Qty],T_TTAFStock_Log[Part Name],$A32,T_TTAFStock_Log[WeekIndex],31))</f>
        <v/>
      </c>
      <c r="AG32" s="12">
        <f>IF(COUNTIFS(T_TTAFStock_Log[Part Name],$A32,T_TTAFStock_Log[WeekIndex],32)=0,"",SUMIFS(T_TTAFStock_Log[TTAF_Qty],T_TTAFStock_Log[Part Name],$A32,T_TTAFStock_Log[WeekIndex],32))</f>
        <v/>
      </c>
      <c r="AH32" s="12">
        <f>IF(COUNTIFS(T_TTAFStock_Log[Part Name],$A32,T_TTAFStock_Log[WeekIndex],33)=0,"",SUMIFS(T_TTAFStock_Log[TTAF_Qty],T_TTAFStock_Log[Part Name],$A32,T_TTAFStock_Log[WeekIndex],33))</f>
        <v/>
      </c>
      <c r="AI32" s="12">
        <f>IF(COUNTIFS(T_TTAFStock_Log[Part Name],$A32,T_TTAFStock_Log[WeekIndex],34)=0,"",SUMIFS(T_TTAFStock_Log[TTAF_Qty],T_TTAFStock_Log[Part Name],$A32,T_TTAFStock_Log[WeekIndex],34))</f>
        <v/>
      </c>
      <c r="AJ32" s="12">
        <f>IF(COUNTIFS(T_TTAFStock_Log[Part Name],$A32,T_TTAFStock_Log[WeekIndex],35)=0,"",SUMIFS(T_TTAFStock_Log[TTAF_Qty],T_TTAFStock_Log[Part Name],$A32,T_TTAFStock_Log[WeekIndex],35))</f>
        <v/>
      </c>
      <c r="AK32" s="12">
        <f>IF(COUNTIFS(T_TTAFStock_Log[Part Name],$A32,T_TTAFStock_Log[WeekIndex],36)=0,"",SUMIFS(T_TTAFStock_Log[TTAF_Qty],T_TTAFStock_Log[Part Name],$A32,T_TTAFStock_Log[WeekIndex],36))</f>
        <v/>
      </c>
      <c r="AL32" s="12">
        <f>IF(COUNTIFS(T_TTAFStock_Log[Part Name],$A32,T_TTAFStock_Log[WeekIndex],37)=0,"",SUMIFS(T_TTAFStock_Log[TTAF_Qty],T_TTAFStock_Log[Part Name],$A32,T_TTAFStock_Log[WeekIndex],37))</f>
        <v/>
      </c>
      <c r="AM32" s="12">
        <f>IF(COUNTIFS(T_TTAFStock_Log[Part Name],$A32,T_TTAFStock_Log[WeekIndex],38)=0,"",SUMIFS(T_TTAFStock_Log[TTAF_Qty],T_TTAFStock_Log[Part Name],$A32,T_TTAFStock_Log[WeekIndex],38))</f>
        <v/>
      </c>
      <c r="AN32" s="12">
        <f>IF(COUNTIFS(T_TTAFStock_Log[Part Name],$A32,T_TTAFStock_Log[WeekIndex],39)=0,"",SUMIFS(T_TTAFStock_Log[TTAF_Qty],T_TTAFStock_Log[Part Name],$A32,T_TTAFStock_Log[WeekIndex],39))</f>
        <v/>
      </c>
      <c r="AO32" s="12">
        <f>IF(COUNTIFS(T_TTAFStock_Log[Part Name],$A32,T_TTAFStock_Log[WeekIndex],40)=0,"",SUMIFS(T_TTAFStock_Log[TTAF_Qty],T_TTAFStock_Log[Part Name],$A32,T_TTAFStock_Log[WeekIndex],40))</f>
        <v/>
      </c>
      <c r="AP32" s="12">
        <f>IF(COUNTIFS(T_TTAFStock_Log[Part Name],$A32,T_TTAFStock_Log[WeekIndex],41)=0,"",SUMIFS(T_TTAFStock_Log[TTAF_Qty],T_TTAFStock_Log[Part Name],$A32,T_TTAFStock_Log[WeekIndex],41))</f>
        <v/>
      </c>
      <c r="AQ32" s="12">
        <f>IF(COUNTIFS(T_TTAFStock_Log[Part Name],$A32,T_TTAFStock_Log[WeekIndex],42)=0,"",SUMIFS(T_TTAFStock_Log[TTAF_Qty],T_TTAFStock_Log[Part Name],$A32,T_TTAFStock_Log[WeekIndex],42))</f>
        <v/>
      </c>
      <c r="AR32" s="12">
        <f>IF(COUNTIFS(T_TTAFStock_Log[Part Name],$A32,T_TTAFStock_Log[WeekIndex],43)=0,"",SUMIFS(T_TTAFStock_Log[TTAF_Qty],T_TTAFStock_Log[Part Name],$A32,T_TTAFStock_Log[WeekIndex],43))</f>
        <v/>
      </c>
      <c r="AS32" s="12">
        <f>IF(COUNTIFS(T_TTAFStock_Log[Part Name],$A32,T_TTAFStock_Log[WeekIndex],44)=0,"",SUMIFS(T_TTAFStock_Log[TTAF_Qty],T_TTAFStock_Log[Part Name],$A32,T_TTAFStock_Log[WeekIndex],44))</f>
        <v/>
      </c>
      <c r="AT32" s="12">
        <f>IF(COUNTIFS(T_TTAFStock_Log[Part Name],$A32,T_TTAFStock_Log[WeekIndex],45)=0,"",SUMIFS(T_TTAFStock_Log[TTAF_Qty],T_TTAFStock_Log[Part Name],$A32,T_TTAFStock_Log[WeekIndex],45))</f>
        <v/>
      </c>
      <c r="AU32" s="12">
        <f>IF(COUNTIFS(T_TTAFStock_Log[Part Name],$A32,T_TTAFStock_Log[WeekIndex],46)=0,"",SUMIFS(T_TTAFStock_Log[TTAF_Qty],T_TTAFStock_Log[Part Name],$A32,T_TTAFStock_Log[WeekIndex],46))</f>
        <v/>
      </c>
      <c r="AV32" s="12">
        <f>IF(COUNTIFS(T_TTAFStock_Log[Part Name],$A32,T_TTAFStock_Log[WeekIndex],47)=0,"",SUMIFS(T_TTAFStock_Log[TTAF_Qty],T_TTAFStock_Log[Part Name],$A32,T_TTAFStock_Log[WeekIndex],47))</f>
        <v/>
      </c>
      <c r="AW32" s="12">
        <f>IF(COUNTIFS(T_TTAFStock_Log[Part Name],$A32,T_TTAFStock_Log[WeekIndex],48)=0,"",SUMIFS(T_TTAFStock_Log[TTAF_Qty],T_TTAFStock_Log[Part Name],$A32,T_TTAFStock_Log[WeekIndex],48))</f>
        <v/>
      </c>
      <c r="AX32" s="12">
        <f>IF(COUNTIFS(T_TTAFStock_Log[Part Name],$A32,T_TTAFStock_Log[WeekIndex],49)=0,"",SUMIFS(T_TTAFStock_Log[TTAF_Qty],T_TTAFStock_Log[Part Name],$A32,T_TTAFStock_Log[WeekIndex],49))</f>
        <v/>
      </c>
      <c r="AY32" s="12">
        <f>IF(COUNTIFS(T_TTAFStock_Log[Part Name],$A32,T_TTAFStock_Log[WeekIndex],50)=0,"",SUMIFS(T_TTAFStock_Log[TTAF_Qty],T_TTAFStock_Log[Part Name],$A32,T_TTAFStock_Log[WeekIndex],50))</f>
        <v/>
      </c>
      <c r="AZ32" s="12">
        <f>IF(COUNTIFS(T_TTAFStock_Log[Part Name],$A32,T_TTAFStock_Log[WeekIndex],51)=0,"",SUMIFS(T_TTAFStock_Log[TTAF_Qty],T_TTAFStock_Log[Part Name],$A32,T_TTAFStock_Log[WeekIndex],51))</f>
        <v/>
      </c>
      <c r="BA32" s="12">
        <f>IF(COUNTIFS(T_TTAFStock_Log[Part Name],$A32,T_TTAFStock_Log[WeekIndex],52)=0,"",SUMIFS(T_TTAFStock_Log[TTAF_Qty],T_TTAFStock_Log[Part Name],$A32,T_TTAFStock_Log[WeekIndex],52))</f>
        <v/>
      </c>
      <c r="BB32" s="12">
        <f>IF(COUNTIFS(T_TTAFStock_Log[Part Name],$A32,T_TTAFStock_Log[WeekIndex],53)=0,"",SUMIFS(T_TTAFStock_Log[TTAF_Qty],T_TTAFStock_Log[Part Name],$A32,T_TTAFStock_Log[WeekIndex],53))</f>
        <v/>
      </c>
      <c r="BC32" s="12">
        <f>IF(COUNTIFS(T_TTAFStock_Log[Part Name],$A32,T_TTAFStock_Log[WeekIndex],54)=0,"",SUMIFS(T_TTAFStock_Log[TTAF_Qty],T_TTAFStock_Log[Part Name],$A32,T_TTAFStock_Log[WeekIndex],54))</f>
        <v/>
      </c>
      <c r="BD32" s="12">
        <f>IF(COUNTIFS(T_TTAFStock_Log[Part Name],$A32,T_TTAFStock_Log[WeekIndex],55)=0,"",SUMIFS(T_TTAFStock_Log[TTAF_Qty],T_TTAFStock_Log[Part Name],$A32,T_TTAFStock_Log[WeekIndex],55))</f>
        <v/>
      </c>
      <c r="BE32" s="12">
        <f>IF(COUNTIFS(T_TTAFStock_Log[Part Name],$A32,T_TTAFStock_Log[WeekIndex],56)=0,"",SUMIFS(T_TTAFStock_Log[TTAF_Qty],T_TTAFStock_Log[Part Name],$A32,T_TTAFStock_Log[WeekIndex],56))</f>
        <v/>
      </c>
      <c r="BF32" s="12">
        <f>IF(COUNTIFS(T_TTAFStock_Log[Part Name],$A32,T_TTAFStock_Log[WeekIndex],57)=0,"",SUMIFS(T_TTAFStock_Log[TTAF_Qty],T_TTAFStock_Log[Part Name],$A32,T_TTAFStock_Log[WeekIndex],57))</f>
        <v/>
      </c>
      <c r="BG32" s="12">
        <f>IF(COUNTIFS(T_TTAFStock_Log[Part Name],$A32,T_TTAFStock_Log[WeekIndex],58)=0,"",SUMIFS(T_TTAFStock_Log[TTAF_Qty],T_TTAFStock_Log[Part Name],$A32,T_TTAFStock_Log[WeekIndex],58))</f>
        <v/>
      </c>
      <c r="BH32" s="12">
        <f>IF(COUNTIFS(T_TTAFStock_Log[Part Name],$A32,T_TTAFStock_Log[WeekIndex],59)=0,"",SUMIFS(T_TTAFStock_Log[TTAF_Qty],T_TTAFStock_Log[Part Name],$A32,T_TTAFStock_Log[WeekIndex],59))</f>
        <v/>
      </c>
      <c r="BI32" s="12">
        <f>IF(COUNTIFS(T_TTAFStock_Log[Part Name],$A32,T_TTAFStock_Log[WeekIndex],60)=0,"",SUMIFS(T_TTAFStock_Log[TTAF_Qty],T_TTAFStock_Log[Part Name],$A32,T_TTAFStock_Log[WeekIndex],60))</f>
        <v/>
      </c>
      <c r="BJ32" s="12">
        <f>IF(COUNTIFS(T_TTAFStock_Log[Part Name],$A32,T_TTAFStock_Log[WeekIndex],61)=0,"",SUMIFS(T_TTAFStock_Log[TTAF_Qty],T_TTAFStock_Log[Part Name],$A32,T_TTAFStock_Log[WeekIndex],61))</f>
        <v/>
      </c>
      <c r="BK32" s="12">
        <f>IF(COUNTIFS(T_TTAFStock_Log[Part Name],$A32,T_TTAFStock_Log[WeekIndex],62)=0,"",SUMIFS(T_TTAFStock_Log[TTAF_Qty],T_TTAFStock_Log[Part Name],$A32,T_TTAFStock_Log[WeekIndex],62))</f>
        <v/>
      </c>
      <c r="BL32" s="12">
        <f>IF(COUNTIFS(T_TTAFStock_Log[Part Name],$A32,T_TTAFStock_Log[WeekIndex],63)=0,"",SUMIFS(T_TTAFStock_Log[TTAF_Qty],T_TTAFStock_Log[Part Name],$A32,T_TTAFStock_Log[WeekIndex],63))</f>
        <v/>
      </c>
      <c r="BM32" s="12">
        <f>IF(COUNTIFS(T_TTAFStock_Log[Part Name],$A32,T_TTAFStock_Log[WeekIndex],64)=0,"",SUMIFS(T_TTAFStock_Log[TTAF_Qty],T_TTAFStock_Log[Part Name],$A32,T_TTAFStock_Log[WeekIndex],64))</f>
        <v/>
      </c>
      <c r="BN32" s="12">
        <f>IF(COUNTIFS(T_TTAFStock_Log[Part Name],$A32,T_TTAFStock_Log[WeekIndex],65)=0,"",SUMIFS(T_TTAFStock_Log[TTAF_Qty],T_TTAFStock_Log[Part Name],$A32,T_TTAFStock_Log[WeekIndex],65))</f>
        <v/>
      </c>
      <c r="BO32" s="12">
        <f>IF(COUNTIFS(T_TTAFStock_Log[Part Name],$A32,T_TTAFStock_Log[WeekIndex],66)=0,"",SUMIFS(T_TTAFStock_Log[TTAF_Qty],T_TTAFStock_Log[Part Name],$A32,T_TTAFStock_Log[WeekIndex],66))</f>
        <v/>
      </c>
      <c r="BP32" s="12">
        <f>IF(COUNTIFS(T_TTAFStock_Log[Part Name],$A32,T_TTAFStock_Log[WeekIndex],67)=0,"",SUMIFS(T_TTAFStock_Log[TTAF_Qty],T_TTAFStock_Log[Part Name],$A32,T_TTAFStock_Log[WeekIndex],67))</f>
        <v/>
      </c>
      <c r="BQ32" s="12">
        <f>IF(COUNTIFS(T_TTAFStock_Log[Part Name],$A32,T_TTAFStock_Log[WeekIndex],68)=0,"",SUMIFS(T_TTAFStock_Log[TTAF_Qty],T_TTAFStock_Log[Part Name],$A32,T_TTAFStock_Log[WeekIndex],68))</f>
        <v/>
      </c>
      <c r="BR32" s="12">
        <f>IF(COUNTIFS(T_TTAFStock_Log[Part Name],$A32,T_TTAFStock_Log[WeekIndex],69)=0,"",SUMIFS(T_TTAFStock_Log[TTAF_Qty],T_TTAFStock_Log[Part Name],$A32,T_TTAFStock_Log[WeekIndex],69))</f>
        <v/>
      </c>
      <c r="BS32" s="12">
        <f>IF(COUNTIFS(T_TTAFStock_Log[Part Name],$A32,T_TTAFStock_Log[WeekIndex],70)=0,"",SUMIFS(T_TTAFStock_Log[TTAF_Qty],T_TTAFStock_Log[Part Name],$A32,T_TTAFStock_Log[WeekIndex],70))</f>
        <v/>
      </c>
      <c r="BT32" s="12">
        <f>IF(COUNTIFS(T_TTAFStock_Log[Part Name],$A32,T_TTAFStock_Log[WeekIndex],71)=0,"",SUMIFS(T_TTAFStock_Log[TTAF_Qty],T_TTAFStock_Log[Part Name],$A32,T_TTAFStock_Log[WeekIndex],71))</f>
        <v/>
      </c>
      <c r="BU32" s="12">
        <f>IF(COUNTIFS(T_TTAFStock_Log[Part Name],$A32,T_TTAFStock_Log[WeekIndex],72)=0,"",SUMIFS(T_TTAFStock_Log[TTAF_Qty],T_TTAFStock_Log[Part Name],$A32,T_TTAFStock_Log[WeekIndex],72))</f>
        <v/>
      </c>
      <c r="BV32" s="12">
        <f>IF(COUNTIFS(T_TTAFStock_Log[Part Name],$A32,T_TTAFStock_Log[WeekIndex],73)=0,"",SUMIFS(T_TTAFStock_Log[TTAF_Qty],T_TTAFStock_Log[Part Name],$A32,T_TTAFStock_Log[WeekIndex],73))</f>
        <v/>
      </c>
      <c r="BW32" s="12">
        <f>IF(COUNTIFS(T_TTAFStock_Log[Part Name],$A32,T_TTAFStock_Log[WeekIndex],74)=0,"",SUMIFS(T_TTAFStock_Log[TTAF_Qty],T_TTAFStock_Log[Part Name],$A32,T_TTAFStock_Log[WeekIndex],74))</f>
        <v/>
      </c>
      <c r="BX32" s="12">
        <f>IF(COUNTIFS(T_TTAFStock_Log[Part Name],$A32,T_TTAFStock_Log[WeekIndex],75)=0,"",SUMIFS(T_TTAFStock_Log[TTAF_Qty],T_TTAFStock_Log[Part Name],$A32,T_TTAFStock_Log[WeekIndex],75))</f>
        <v/>
      </c>
      <c r="BY32" s="12">
        <f>IF(COUNTIFS(T_TTAFStock_Log[Part Name],$A32,T_TTAFStock_Log[WeekIndex],76)=0,"",SUMIFS(T_TTAFStock_Log[TTAF_Qty],T_TTAFStock_Log[Part Name],$A32,T_TTAFStock_Log[WeekIndex],76))</f>
        <v/>
      </c>
      <c r="BZ32" s="12">
        <f>IF(COUNTIFS(T_TTAFStock_Log[Part Name],$A32,T_TTAFStock_Log[WeekIndex],77)=0,"",SUMIFS(T_TTAFStock_Log[TTAF_Qty],T_TTAFStock_Log[Part Name],$A32,T_TTAFStock_Log[WeekIndex],77))</f>
        <v/>
      </c>
      <c r="CA32" s="12">
        <f>IF(COUNTIFS(T_TTAFStock_Log[Part Name],$A32,T_TTAFStock_Log[WeekIndex],78)=0,"",SUMIFS(T_TTAFStock_Log[TTAF_Qty],T_TTAFStock_Log[Part Name],$A32,T_TTAFStock_Log[WeekIndex],78))</f>
        <v/>
      </c>
      <c r="CB32" s="12">
        <f>IF(COUNTIFS(T_TTAFStock_Log[Part Name],$A32,T_TTAFStock_Log[WeekIndex],79)=0,"",SUMIFS(T_TTAFStock_Log[TTAF_Qty],T_TTAFStock_Log[Part Name],$A32,T_TTAFStock_Log[WeekIndex],79))</f>
        <v/>
      </c>
      <c r="CC32" s="12">
        <f>IF(COUNTIFS(T_TTAFStock_Log[Part Name],$A32,T_TTAFStock_Log[WeekIndex],80)=0,"",SUMIFS(T_TTAFStock_Log[TTAF_Qty],T_TTAFStock_Log[Part Name],$A32,T_TTAFStock_Log[WeekIndex],80))</f>
        <v/>
      </c>
      <c r="CD32" s="12">
        <f>IF(COUNTIFS(T_TTAFStock_Log[Part Name],$A32,T_TTAFStock_Log[WeekIndex],81)=0,"",SUMIFS(T_TTAFStock_Log[TTAF_Qty],T_TTAFStock_Log[Part Name],$A32,T_TTAFStock_Log[WeekIndex],81))</f>
        <v/>
      </c>
      <c r="CE32" s="12">
        <f>IF(COUNTIFS(T_TTAFStock_Log[Part Name],$A32,T_TTAFStock_Log[WeekIndex],82)=0,"",SUMIFS(T_TTAFStock_Log[TTAF_Qty],T_TTAFStock_Log[Part Name],$A32,T_TTAFStock_Log[WeekIndex],82))</f>
        <v/>
      </c>
      <c r="CF32" s="12">
        <f>IF(COUNTIFS(T_TTAFStock_Log[Part Name],$A32,T_TTAFStock_Log[WeekIndex],83)=0,"",SUMIFS(T_TTAFStock_Log[TTAF_Qty],T_TTAFStock_Log[Part Name],$A32,T_TTAFStock_Log[WeekIndex],83))</f>
        <v/>
      </c>
      <c r="CG32" s="12">
        <f>IF(COUNTIFS(T_TTAFStock_Log[Part Name],$A32,T_TTAFStock_Log[WeekIndex],84)=0,"",SUMIFS(T_TTAFStock_Log[TTAF_Qty],T_TTAFStock_Log[Part Name],$A32,T_TTAFStock_Log[WeekIndex],84))</f>
        <v/>
      </c>
      <c r="CH32" s="12">
        <f>IF(COUNTIFS(T_TTAFStock_Log[Part Name],$A32,T_TTAFStock_Log[WeekIndex],85)=0,"",SUMIFS(T_TTAFStock_Log[TTAF_Qty],T_TTAFStock_Log[Part Name],$A32,T_TTAFStock_Log[WeekIndex],85))</f>
        <v/>
      </c>
      <c r="CI32" s="12">
        <f>IF(COUNTIFS(T_TTAFStock_Log[Part Name],$A32,T_TTAFStock_Log[WeekIndex],86)=0,"",SUMIFS(T_TTAFStock_Log[TTAF_Qty],T_TTAFStock_Log[Part Name],$A32,T_TTAFStock_Log[WeekIndex],86))</f>
        <v/>
      </c>
      <c r="CJ32" s="12">
        <f>IF(COUNTIFS(T_TTAFStock_Log[Part Name],$A32,T_TTAFStock_Log[WeekIndex],87)=0,"",SUMIFS(T_TTAFStock_Log[TTAF_Qty],T_TTAFStock_Log[Part Name],$A32,T_TTAFStock_Log[WeekIndex],87))</f>
        <v/>
      </c>
      <c r="CK32" s="12">
        <f>IF(COUNTIFS(T_TTAFStock_Log[Part Name],$A32,T_TTAFStock_Log[WeekIndex],88)=0,"",SUMIFS(T_TTAFStock_Log[TTAF_Qty],T_TTAFStock_Log[Part Name],$A32,T_TTAFStock_Log[WeekIndex],88))</f>
        <v/>
      </c>
      <c r="CL32" s="12">
        <f>IF(COUNTIFS(T_TTAFStock_Log[Part Name],$A32,T_TTAFStock_Log[WeekIndex],89)=0,"",SUMIFS(T_TTAFStock_Log[TTAF_Qty],T_TTAFStock_Log[Part Name],$A32,T_TTAFStock_Log[WeekIndex],89))</f>
        <v/>
      </c>
      <c r="CM32" s="12">
        <f>IF(COUNTIFS(T_TTAFStock_Log[Part Name],$A32,T_TTAFStock_Log[WeekIndex],90)=0,"",SUMIFS(T_TTAFStock_Log[TTAF_Qty],T_TTAFStock_Log[Part Name],$A32,T_TTAFStock_Log[WeekIndex],90))</f>
        <v/>
      </c>
      <c r="CN32" s="12">
        <f>IF(COUNTIFS(T_TTAFStock_Log[Part Name],$A32,T_TTAFStock_Log[WeekIndex],91)=0,"",SUMIFS(T_TTAFStock_Log[TTAF_Qty],T_TTAFStock_Log[Part Name],$A32,T_TTAFStock_Log[WeekIndex],91))</f>
        <v/>
      </c>
      <c r="CO32" s="12">
        <f>IF(COUNTIFS(T_TTAFStock_Log[Part Name],$A32,T_TTAFStock_Log[WeekIndex],92)=0,"",SUMIFS(T_TTAFStock_Log[TTAF_Qty],T_TTAFStock_Log[Part Name],$A32,T_TTAFStock_Log[WeekIndex],92))</f>
        <v/>
      </c>
      <c r="CP32" s="12">
        <f>IF(COUNTIFS(T_TTAFStock_Log[Part Name],$A32,T_TTAFStock_Log[WeekIndex],93)=0,"",SUMIFS(T_TTAFStock_Log[TTAF_Qty],T_TTAFStock_Log[Part Name],$A32,T_TTAFStock_Log[WeekIndex],93))</f>
        <v/>
      </c>
      <c r="CQ32" s="12">
        <f>IF(COUNTIFS(T_TTAFStock_Log[Part Name],$A32,T_TTAFStock_Log[WeekIndex],94)=0,"",SUMIFS(T_TTAFStock_Log[TTAF_Qty],T_TTAFStock_Log[Part Name],$A32,T_TTAFStock_Log[WeekIndex],94))</f>
        <v/>
      </c>
      <c r="CR32" s="12">
        <f>IF(COUNTIFS(T_TTAFStock_Log[Part Name],$A32,T_TTAFStock_Log[WeekIndex],95)=0,"",SUMIFS(T_TTAFStock_Log[TTAF_Qty],T_TTAFStock_Log[Part Name],$A32,T_TTAFStock_Log[WeekIndex],95))</f>
        <v/>
      </c>
      <c r="CS32" s="12">
        <f>IF(COUNTIFS(T_TTAFStock_Log[Part Name],$A32,T_TTAFStock_Log[WeekIndex],96)=0,"",SUMIFS(T_TTAFStock_Log[TTAF_Qty],T_TTAFStock_Log[Part Name],$A32,T_TTAFStock_Log[WeekIndex],96))</f>
        <v/>
      </c>
      <c r="CT32" s="12">
        <f>IF(COUNTIFS(T_TTAFStock_Log[Part Name],$A32,T_TTAFStock_Log[WeekIndex],97)=0,"",SUMIFS(T_TTAFStock_Log[TTAF_Qty],T_TTAFStock_Log[Part Name],$A32,T_TTAFStock_Log[WeekIndex],97))</f>
        <v/>
      </c>
      <c r="CU32" s="12">
        <f>IF(COUNTIFS(T_TTAFStock_Log[Part Name],$A32,T_TTAFStock_Log[WeekIndex],98)=0,"",SUMIFS(T_TTAFStock_Log[TTAF_Qty],T_TTAFStock_Log[Part Name],$A32,T_TTAFStock_Log[WeekIndex],98))</f>
        <v/>
      </c>
      <c r="CV32" s="12">
        <f>IF(COUNTIFS(T_TTAFStock_Log[Part Name],$A32,T_TTAFStock_Log[WeekIndex],99)=0,"",SUMIFS(T_TTAFStock_Log[TTAF_Qty],T_TTAFStock_Log[Part Name],$A32,T_TTAFStock_Log[WeekIndex],99))</f>
        <v/>
      </c>
      <c r="CW32" s="12">
        <f>IF(COUNTIFS(T_TTAFStock_Log[Part Name],$A32,T_TTAFStock_Log[WeekIndex],100)=0,"",SUMIFS(T_TTAFStock_Log[TTAF_Qty],T_TTAFStock_Log[Part Name],$A32,T_TTAFStock_Log[WeekIndex],100))</f>
        <v/>
      </c>
      <c r="CX32" s="12">
        <f>IF(COUNTIFS(T_TTAFStock_Log[Part Name],$A32,T_TTAFStock_Log[WeekIndex],101)=0,"",SUMIFS(T_TTAFStock_Log[TTAF_Qty],T_TTAFStock_Log[Part Name],$A32,T_TTAFStock_Log[WeekIndex],101))</f>
        <v/>
      </c>
      <c r="CY32" s="12">
        <f>IF(COUNTIFS(T_TTAFStock_Log[Part Name],$A32,T_TTAFStock_Log[WeekIndex],102)=0,"",SUMIFS(T_TTAFStock_Log[TTAF_Qty],T_TTAFStock_Log[Part Name],$A32,T_TTAFStock_Log[WeekIndex],102))</f>
        <v/>
      </c>
      <c r="CZ32" s="12">
        <f>IF(COUNTIFS(T_TTAFStock_Log[Part Name],$A32,T_TTAFStock_Log[WeekIndex],103)=0,"",SUMIFS(T_TTAFStock_Log[TTAF_Qty],T_TTAFStock_Log[Part Name],$A32,T_TTAFStock_Log[WeekIndex],103))</f>
        <v/>
      </c>
      <c r="DA32" s="12">
        <f>IF(COUNTIFS(T_TTAFStock_Log[Part Name],$A32,T_TTAFStock_Log[WeekIndex],104)=0,"",SUMIFS(T_TTAFStock_Log[TTAF_Qty],T_TTAFStock_Log[Part Name],$A32,T_TTAFStock_Log[WeekIndex],104))</f>
        <v/>
      </c>
    </row>
    <row r="33">
      <c r="A33" s="13" t="inlineStr">
        <is>
          <t>CHEM-1840</t>
        </is>
      </c>
      <c r="B33" s="13">
        <f>IF(COUNTIFS(T_TTAFStock_Log[Part Name],$A33,T_TTAFStock_Log[WeekIndex],1)=0,"",SUMIFS(T_TTAFStock_Log[TTAF_Qty],T_TTAFStock_Log[Part Name],$A33,T_TTAFStock_Log[WeekIndex],1))</f>
        <v/>
      </c>
      <c r="C33" s="13">
        <f>IF(COUNTIFS(T_TTAFStock_Log[Part Name],$A33,T_TTAFStock_Log[WeekIndex],2)=0,"",SUMIFS(T_TTAFStock_Log[TTAF_Qty],T_TTAFStock_Log[Part Name],$A33,T_TTAFStock_Log[WeekIndex],2))</f>
        <v/>
      </c>
      <c r="D33" s="13">
        <f>IF(COUNTIFS(T_TTAFStock_Log[Part Name],$A33,T_TTAFStock_Log[WeekIndex],3)=0,"",SUMIFS(T_TTAFStock_Log[TTAF_Qty],T_TTAFStock_Log[Part Name],$A33,T_TTAFStock_Log[WeekIndex],3))</f>
        <v/>
      </c>
      <c r="E33" s="13">
        <f>IF(COUNTIFS(T_TTAFStock_Log[Part Name],$A33,T_TTAFStock_Log[WeekIndex],4)=0,"",SUMIFS(T_TTAFStock_Log[TTAF_Qty],T_TTAFStock_Log[Part Name],$A33,T_TTAFStock_Log[WeekIndex],4))</f>
        <v/>
      </c>
      <c r="F33" s="13">
        <f>IF(COUNTIFS(T_TTAFStock_Log[Part Name],$A33,T_TTAFStock_Log[WeekIndex],5)=0,"",SUMIFS(T_TTAFStock_Log[TTAF_Qty],T_TTAFStock_Log[Part Name],$A33,T_TTAFStock_Log[WeekIndex],5))</f>
        <v/>
      </c>
      <c r="G33" s="13">
        <f>IF(COUNTIFS(T_TTAFStock_Log[Part Name],$A33,T_TTAFStock_Log[WeekIndex],6)=0,"",SUMIFS(T_TTAFStock_Log[TTAF_Qty],T_TTAFStock_Log[Part Name],$A33,T_TTAFStock_Log[WeekIndex],6))</f>
        <v/>
      </c>
      <c r="H33" s="13">
        <f>IF(COUNTIFS(T_TTAFStock_Log[Part Name],$A33,T_TTAFStock_Log[WeekIndex],7)=0,"",SUMIFS(T_TTAFStock_Log[TTAF_Qty],T_TTAFStock_Log[Part Name],$A33,T_TTAFStock_Log[WeekIndex],7))</f>
        <v/>
      </c>
      <c r="I33" s="13">
        <f>IF(COUNTIFS(T_TTAFStock_Log[Part Name],$A33,T_TTAFStock_Log[WeekIndex],8)=0,"",SUMIFS(T_TTAFStock_Log[TTAF_Qty],T_TTAFStock_Log[Part Name],$A33,T_TTAFStock_Log[WeekIndex],8))</f>
        <v/>
      </c>
      <c r="J33" s="13">
        <f>IF(COUNTIFS(T_TTAFStock_Log[Part Name],$A33,T_TTAFStock_Log[WeekIndex],9)=0,"",SUMIFS(T_TTAFStock_Log[TTAF_Qty],T_TTAFStock_Log[Part Name],$A33,T_TTAFStock_Log[WeekIndex],9))</f>
        <v/>
      </c>
      <c r="K33" s="13">
        <f>IF(COUNTIFS(T_TTAFStock_Log[Part Name],$A33,T_TTAFStock_Log[WeekIndex],10)=0,"",SUMIFS(T_TTAFStock_Log[TTAF_Qty],T_TTAFStock_Log[Part Name],$A33,T_TTAFStock_Log[WeekIndex],10))</f>
        <v/>
      </c>
      <c r="L33" s="13">
        <f>IF(COUNTIFS(T_TTAFStock_Log[Part Name],$A33,T_TTAFStock_Log[WeekIndex],11)=0,"",SUMIFS(T_TTAFStock_Log[TTAF_Qty],T_TTAFStock_Log[Part Name],$A33,T_TTAFStock_Log[WeekIndex],11))</f>
        <v/>
      </c>
      <c r="M33" s="13">
        <f>IF(COUNTIFS(T_TTAFStock_Log[Part Name],$A33,T_TTAFStock_Log[WeekIndex],12)=0,"",SUMIFS(T_TTAFStock_Log[TTAF_Qty],T_TTAFStock_Log[Part Name],$A33,T_TTAFStock_Log[WeekIndex],12))</f>
        <v/>
      </c>
      <c r="N33" s="13">
        <f>IF(COUNTIFS(T_TTAFStock_Log[Part Name],$A33,T_TTAFStock_Log[WeekIndex],13)=0,"",SUMIFS(T_TTAFStock_Log[TTAF_Qty],T_TTAFStock_Log[Part Name],$A33,T_TTAFStock_Log[WeekIndex],13))</f>
        <v/>
      </c>
      <c r="O33" s="13">
        <f>IF(COUNTIFS(T_TTAFStock_Log[Part Name],$A33,T_TTAFStock_Log[WeekIndex],14)=0,"",SUMIFS(T_TTAFStock_Log[TTAF_Qty],T_TTAFStock_Log[Part Name],$A33,T_TTAFStock_Log[WeekIndex],14))</f>
        <v/>
      </c>
      <c r="P33" s="13">
        <f>IF(COUNTIFS(T_TTAFStock_Log[Part Name],$A33,T_TTAFStock_Log[WeekIndex],15)=0,"",SUMIFS(T_TTAFStock_Log[TTAF_Qty],T_TTAFStock_Log[Part Name],$A33,T_TTAFStock_Log[WeekIndex],15))</f>
        <v/>
      </c>
      <c r="Q33" s="13">
        <f>IF(COUNTIFS(T_TTAFStock_Log[Part Name],$A33,T_TTAFStock_Log[WeekIndex],16)=0,"",SUMIFS(T_TTAFStock_Log[TTAF_Qty],T_TTAFStock_Log[Part Name],$A33,T_TTAFStock_Log[WeekIndex],16))</f>
        <v/>
      </c>
      <c r="R33" s="13">
        <f>IF(COUNTIFS(T_TTAFStock_Log[Part Name],$A33,T_TTAFStock_Log[WeekIndex],17)=0,"",SUMIFS(T_TTAFStock_Log[TTAF_Qty],T_TTAFStock_Log[Part Name],$A33,T_TTAFStock_Log[WeekIndex],17))</f>
        <v/>
      </c>
      <c r="S33" s="13">
        <f>IF(COUNTIFS(T_TTAFStock_Log[Part Name],$A33,T_TTAFStock_Log[WeekIndex],18)=0,"",SUMIFS(T_TTAFStock_Log[TTAF_Qty],T_TTAFStock_Log[Part Name],$A33,T_TTAFStock_Log[WeekIndex],18))</f>
        <v/>
      </c>
      <c r="T33" s="13">
        <f>IF(COUNTIFS(T_TTAFStock_Log[Part Name],$A33,T_TTAFStock_Log[WeekIndex],19)=0,"",SUMIFS(T_TTAFStock_Log[TTAF_Qty],T_TTAFStock_Log[Part Name],$A33,T_TTAFStock_Log[WeekIndex],19))</f>
        <v/>
      </c>
      <c r="U33" s="13">
        <f>IF(COUNTIFS(T_TTAFStock_Log[Part Name],$A33,T_TTAFStock_Log[WeekIndex],20)=0,"",SUMIFS(T_TTAFStock_Log[TTAF_Qty],T_TTAFStock_Log[Part Name],$A33,T_TTAFStock_Log[WeekIndex],20))</f>
        <v/>
      </c>
      <c r="V33" s="13">
        <f>IF(COUNTIFS(T_TTAFStock_Log[Part Name],$A33,T_TTAFStock_Log[WeekIndex],21)=0,"",SUMIFS(T_TTAFStock_Log[TTAF_Qty],T_TTAFStock_Log[Part Name],$A33,T_TTAFStock_Log[WeekIndex],21))</f>
        <v/>
      </c>
      <c r="W33" s="13">
        <f>IF(COUNTIFS(T_TTAFStock_Log[Part Name],$A33,T_TTAFStock_Log[WeekIndex],22)=0,"",SUMIFS(T_TTAFStock_Log[TTAF_Qty],T_TTAFStock_Log[Part Name],$A33,T_TTAFStock_Log[WeekIndex],22))</f>
        <v/>
      </c>
      <c r="X33" s="13">
        <f>IF(COUNTIFS(T_TTAFStock_Log[Part Name],$A33,T_TTAFStock_Log[WeekIndex],23)=0,"",SUMIFS(T_TTAFStock_Log[TTAF_Qty],T_TTAFStock_Log[Part Name],$A33,T_TTAFStock_Log[WeekIndex],23))</f>
        <v/>
      </c>
      <c r="Y33" s="13">
        <f>IF(COUNTIFS(T_TTAFStock_Log[Part Name],$A33,T_TTAFStock_Log[WeekIndex],24)=0,"",SUMIFS(T_TTAFStock_Log[TTAF_Qty],T_TTAFStock_Log[Part Name],$A33,T_TTAFStock_Log[WeekIndex],24))</f>
        <v/>
      </c>
      <c r="Z33" s="13">
        <f>IF(COUNTIFS(T_TTAFStock_Log[Part Name],$A33,T_TTAFStock_Log[WeekIndex],25)=0,"",SUMIFS(T_TTAFStock_Log[TTAF_Qty],T_TTAFStock_Log[Part Name],$A33,T_TTAFStock_Log[WeekIndex],25))</f>
        <v/>
      </c>
      <c r="AA33" s="13">
        <f>IF(COUNTIFS(T_TTAFStock_Log[Part Name],$A33,T_TTAFStock_Log[WeekIndex],26)=0,"",SUMIFS(T_TTAFStock_Log[TTAF_Qty],T_TTAFStock_Log[Part Name],$A33,T_TTAFStock_Log[WeekIndex],26))</f>
        <v/>
      </c>
      <c r="AB33" s="13">
        <f>IF(COUNTIFS(T_TTAFStock_Log[Part Name],$A33,T_TTAFStock_Log[WeekIndex],27)=0,"",SUMIFS(T_TTAFStock_Log[TTAF_Qty],T_TTAFStock_Log[Part Name],$A33,T_TTAFStock_Log[WeekIndex],27))</f>
        <v/>
      </c>
      <c r="AC33" s="13">
        <f>IF(COUNTIFS(T_TTAFStock_Log[Part Name],$A33,T_TTAFStock_Log[WeekIndex],28)=0,"",SUMIFS(T_TTAFStock_Log[TTAF_Qty],T_TTAFStock_Log[Part Name],$A33,T_TTAFStock_Log[WeekIndex],28))</f>
        <v/>
      </c>
      <c r="AD33" s="13">
        <f>IF(COUNTIFS(T_TTAFStock_Log[Part Name],$A33,T_TTAFStock_Log[WeekIndex],29)=0,"",SUMIFS(T_TTAFStock_Log[TTAF_Qty],T_TTAFStock_Log[Part Name],$A33,T_TTAFStock_Log[WeekIndex],29))</f>
        <v/>
      </c>
      <c r="AE33" s="13">
        <f>IF(COUNTIFS(T_TTAFStock_Log[Part Name],$A33,T_TTAFStock_Log[WeekIndex],30)=0,"",SUMIFS(T_TTAFStock_Log[TTAF_Qty],T_TTAFStock_Log[Part Name],$A33,T_TTAFStock_Log[WeekIndex],30))</f>
        <v/>
      </c>
      <c r="AF33" s="13">
        <f>IF(COUNTIFS(T_TTAFStock_Log[Part Name],$A33,T_TTAFStock_Log[WeekIndex],31)=0,"",SUMIFS(T_TTAFStock_Log[TTAF_Qty],T_TTAFStock_Log[Part Name],$A33,T_TTAFStock_Log[WeekIndex],31))</f>
        <v/>
      </c>
      <c r="AG33" s="13">
        <f>IF(COUNTIFS(T_TTAFStock_Log[Part Name],$A33,T_TTAFStock_Log[WeekIndex],32)=0,"",SUMIFS(T_TTAFStock_Log[TTAF_Qty],T_TTAFStock_Log[Part Name],$A33,T_TTAFStock_Log[WeekIndex],32))</f>
        <v/>
      </c>
      <c r="AH33" s="13">
        <f>IF(COUNTIFS(T_TTAFStock_Log[Part Name],$A33,T_TTAFStock_Log[WeekIndex],33)=0,"",SUMIFS(T_TTAFStock_Log[TTAF_Qty],T_TTAFStock_Log[Part Name],$A33,T_TTAFStock_Log[WeekIndex],33))</f>
        <v/>
      </c>
      <c r="AI33" s="13">
        <f>IF(COUNTIFS(T_TTAFStock_Log[Part Name],$A33,T_TTAFStock_Log[WeekIndex],34)=0,"",SUMIFS(T_TTAFStock_Log[TTAF_Qty],T_TTAFStock_Log[Part Name],$A33,T_TTAFStock_Log[WeekIndex],34))</f>
        <v/>
      </c>
      <c r="AJ33" s="13">
        <f>IF(COUNTIFS(T_TTAFStock_Log[Part Name],$A33,T_TTAFStock_Log[WeekIndex],35)=0,"",SUMIFS(T_TTAFStock_Log[TTAF_Qty],T_TTAFStock_Log[Part Name],$A33,T_TTAFStock_Log[WeekIndex],35))</f>
        <v/>
      </c>
      <c r="AK33" s="13">
        <f>IF(COUNTIFS(T_TTAFStock_Log[Part Name],$A33,T_TTAFStock_Log[WeekIndex],36)=0,"",SUMIFS(T_TTAFStock_Log[TTAF_Qty],T_TTAFStock_Log[Part Name],$A33,T_TTAFStock_Log[WeekIndex],36))</f>
        <v/>
      </c>
      <c r="AL33" s="13">
        <f>IF(COUNTIFS(T_TTAFStock_Log[Part Name],$A33,T_TTAFStock_Log[WeekIndex],37)=0,"",SUMIFS(T_TTAFStock_Log[TTAF_Qty],T_TTAFStock_Log[Part Name],$A33,T_TTAFStock_Log[WeekIndex],37))</f>
        <v/>
      </c>
      <c r="AM33" s="13">
        <f>IF(COUNTIFS(T_TTAFStock_Log[Part Name],$A33,T_TTAFStock_Log[WeekIndex],38)=0,"",SUMIFS(T_TTAFStock_Log[TTAF_Qty],T_TTAFStock_Log[Part Name],$A33,T_TTAFStock_Log[WeekIndex],38))</f>
        <v/>
      </c>
      <c r="AN33" s="13">
        <f>IF(COUNTIFS(T_TTAFStock_Log[Part Name],$A33,T_TTAFStock_Log[WeekIndex],39)=0,"",SUMIFS(T_TTAFStock_Log[TTAF_Qty],T_TTAFStock_Log[Part Name],$A33,T_TTAFStock_Log[WeekIndex],39))</f>
        <v/>
      </c>
      <c r="AO33" s="13">
        <f>IF(COUNTIFS(T_TTAFStock_Log[Part Name],$A33,T_TTAFStock_Log[WeekIndex],40)=0,"",SUMIFS(T_TTAFStock_Log[TTAF_Qty],T_TTAFStock_Log[Part Name],$A33,T_TTAFStock_Log[WeekIndex],40))</f>
        <v/>
      </c>
      <c r="AP33" s="13">
        <f>IF(COUNTIFS(T_TTAFStock_Log[Part Name],$A33,T_TTAFStock_Log[WeekIndex],41)=0,"",SUMIFS(T_TTAFStock_Log[TTAF_Qty],T_TTAFStock_Log[Part Name],$A33,T_TTAFStock_Log[WeekIndex],41))</f>
        <v/>
      </c>
      <c r="AQ33" s="13">
        <f>IF(COUNTIFS(T_TTAFStock_Log[Part Name],$A33,T_TTAFStock_Log[WeekIndex],42)=0,"",SUMIFS(T_TTAFStock_Log[TTAF_Qty],T_TTAFStock_Log[Part Name],$A33,T_TTAFStock_Log[WeekIndex],42))</f>
        <v/>
      </c>
      <c r="AR33" s="13">
        <f>IF(COUNTIFS(T_TTAFStock_Log[Part Name],$A33,T_TTAFStock_Log[WeekIndex],43)=0,"",SUMIFS(T_TTAFStock_Log[TTAF_Qty],T_TTAFStock_Log[Part Name],$A33,T_TTAFStock_Log[WeekIndex],43))</f>
        <v/>
      </c>
      <c r="AS33" s="13">
        <f>IF(COUNTIFS(T_TTAFStock_Log[Part Name],$A33,T_TTAFStock_Log[WeekIndex],44)=0,"",SUMIFS(T_TTAFStock_Log[TTAF_Qty],T_TTAFStock_Log[Part Name],$A33,T_TTAFStock_Log[WeekIndex],44))</f>
        <v/>
      </c>
      <c r="AT33" s="13">
        <f>IF(COUNTIFS(T_TTAFStock_Log[Part Name],$A33,T_TTAFStock_Log[WeekIndex],45)=0,"",SUMIFS(T_TTAFStock_Log[TTAF_Qty],T_TTAFStock_Log[Part Name],$A33,T_TTAFStock_Log[WeekIndex],45))</f>
        <v/>
      </c>
      <c r="AU33" s="13">
        <f>IF(COUNTIFS(T_TTAFStock_Log[Part Name],$A33,T_TTAFStock_Log[WeekIndex],46)=0,"",SUMIFS(T_TTAFStock_Log[TTAF_Qty],T_TTAFStock_Log[Part Name],$A33,T_TTAFStock_Log[WeekIndex],46))</f>
        <v/>
      </c>
      <c r="AV33" s="13">
        <f>IF(COUNTIFS(T_TTAFStock_Log[Part Name],$A33,T_TTAFStock_Log[WeekIndex],47)=0,"",SUMIFS(T_TTAFStock_Log[TTAF_Qty],T_TTAFStock_Log[Part Name],$A33,T_TTAFStock_Log[WeekIndex],47))</f>
        <v/>
      </c>
      <c r="AW33" s="13">
        <f>IF(COUNTIFS(T_TTAFStock_Log[Part Name],$A33,T_TTAFStock_Log[WeekIndex],48)=0,"",SUMIFS(T_TTAFStock_Log[TTAF_Qty],T_TTAFStock_Log[Part Name],$A33,T_TTAFStock_Log[WeekIndex],48))</f>
        <v/>
      </c>
      <c r="AX33" s="13">
        <f>IF(COUNTIFS(T_TTAFStock_Log[Part Name],$A33,T_TTAFStock_Log[WeekIndex],49)=0,"",SUMIFS(T_TTAFStock_Log[TTAF_Qty],T_TTAFStock_Log[Part Name],$A33,T_TTAFStock_Log[WeekIndex],49))</f>
        <v/>
      </c>
      <c r="AY33" s="13">
        <f>IF(COUNTIFS(T_TTAFStock_Log[Part Name],$A33,T_TTAFStock_Log[WeekIndex],50)=0,"",SUMIFS(T_TTAFStock_Log[TTAF_Qty],T_TTAFStock_Log[Part Name],$A33,T_TTAFStock_Log[WeekIndex],50))</f>
        <v/>
      </c>
      <c r="AZ33" s="13">
        <f>IF(COUNTIFS(T_TTAFStock_Log[Part Name],$A33,T_TTAFStock_Log[WeekIndex],51)=0,"",SUMIFS(T_TTAFStock_Log[TTAF_Qty],T_TTAFStock_Log[Part Name],$A33,T_TTAFStock_Log[WeekIndex],51))</f>
        <v/>
      </c>
      <c r="BA33" s="13">
        <f>IF(COUNTIFS(T_TTAFStock_Log[Part Name],$A33,T_TTAFStock_Log[WeekIndex],52)=0,"",SUMIFS(T_TTAFStock_Log[TTAF_Qty],T_TTAFStock_Log[Part Name],$A33,T_TTAFStock_Log[WeekIndex],52))</f>
        <v/>
      </c>
      <c r="BB33" s="13">
        <f>IF(COUNTIFS(T_TTAFStock_Log[Part Name],$A33,T_TTAFStock_Log[WeekIndex],53)=0,"",SUMIFS(T_TTAFStock_Log[TTAF_Qty],T_TTAFStock_Log[Part Name],$A33,T_TTAFStock_Log[WeekIndex],53))</f>
        <v/>
      </c>
      <c r="BC33" s="13">
        <f>IF(COUNTIFS(T_TTAFStock_Log[Part Name],$A33,T_TTAFStock_Log[WeekIndex],54)=0,"",SUMIFS(T_TTAFStock_Log[TTAF_Qty],T_TTAFStock_Log[Part Name],$A33,T_TTAFStock_Log[WeekIndex],54))</f>
        <v/>
      </c>
      <c r="BD33" s="13">
        <f>IF(COUNTIFS(T_TTAFStock_Log[Part Name],$A33,T_TTAFStock_Log[WeekIndex],55)=0,"",SUMIFS(T_TTAFStock_Log[TTAF_Qty],T_TTAFStock_Log[Part Name],$A33,T_TTAFStock_Log[WeekIndex],55))</f>
        <v/>
      </c>
      <c r="BE33" s="13">
        <f>IF(COUNTIFS(T_TTAFStock_Log[Part Name],$A33,T_TTAFStock_Log[WeekIndex],56)=0,"",SUMIFS(T_TTAFStock_Log[TTAF_Qty],T_TTAFStock_Log[Part Name],$A33,T_TTAFStock_Log[WeekIndex],56))</f>
        <v/>
      </c>
      <c r="BF33" s="13">
        <f>IF(COUNTIFS(T_TTAFStock_Log[Part Name],$A33,T_TTAFStock_Log[WeekIndex],57)=0,"",SUMIFS(T_TTAFStock_Log[TTAF_Qty],T_TTAFStock_Log[Part Name],$A33,T_TTAFStock_Log[WeekIndex],57))</f>
        <v/>
      </c>
      <c r="BG33" s="13">
        <f>IF(COUNTIFS(T_TTAFStock_Log[Part Name],$A33,T_TTAFStock_Log[WeekIndex],58)=0,"",SUMIFS(T_TTAFStock_Log[TTAF_Qty],T_TTAFStock_Log[Part Name],$A33,T_TTAFStock_Log[WeekIndex],58))</f>
        <v/>
      </c>
      <c r="BH33" s="13">
        <f>IF(COUNTIFS(T_TTAFStock_Log[Part Name],$A33,T_TTAFStock_Log[WeekIndex],59)=0,"",SUMIFS(T_TTAFStock_Log[TTAF_Qty],T_TTAFStock_Log[Part Name],$A33,T_TTAFStock_Log[WeekIndex],59))</f>
        <v/>
      </c>
      <c r="BI33" s="13">
        <f>IF(COUNTIFS(T_TTAFStock_Log[Part Name],$A33,T_TTAFStock_Log[WeekIndex],60)=0,"",SUMIFS(T_TTAFStock_Log[TTAF_Qty],T_TTAFStock_Log[Part Name],$A33,T_TTAFStock_Log[WeekIndex],60))</f>
        <v/>
      </c>
      <c r="BJ33" s="13">
        <f>IF(COUNTIFS(T_TTAFStock_Log[Part Name],$A33,T_TTAFStock_Log[WeekIndex],61)=0,"",SUMIFS(T_TTAFStock_Log[TTAF_Qty],T_TTAFStock_Log[Part Name],$A33,T_TTAFStock_Log[WeekIndex],61))</f>
        <v/>
      </c>
      <c r="BK33" s="13">
        <f>IF(COUNTIFS(T_TTAFStock_Log[Part Name],$A33,T_TTAFStock_Log[WeekIndex],62)=0,"",SUMIFS(T_TTAFStock_Log[TTAF_Qty],T_TTAFStock_Log[Part Name],$A33,T_TTAFStock_Log[WeekIndex],62))</f>
        <v/>
      </c>
      <c r="BL33" s="13">
        <f>IF(COUNTIFS(T_TTAFStock_Log[Part Name],$A33,T_TTAFStock_Log[WeekIndex],63)=0,"",SUMIFS(T_TTAFStock_Log[TTAF_Qty],T_TTAFStock_Log[Part Name],$A33,T_TTAFStock_Log[WeekIndex],63))</f>
        <v/>
      </c>
      <c r="BM33" s="13">
        <f>IF(COUNTIFS(T_TTAFStock_Log[Part Name],$A33,T_TTAFStock_Log[WeekIndex],64)=0,"",SUMIFS(T_TTAFStock_Log[TTAF_Qty],T_TTAFStock_Log[Part Name],$A33,T_TTAFStock_Log[WeekIndex],64))</f>
        <v/>
      </c>
      <c r="BN33" s="13">
        <f>IF(COUNTIFS(T_TTAFStock_Log[Part Name],$A33,T_TTAFStock_Log[WeekIndex],65)=0,"",SUMIFS(T_TTAFStock_Log[TTAF_Qty],T_TTAFStock_Log[Part Name],$A33,T_TTAFStock_Log[WeekIndex],65))</f>
        <v/>
      </c>
      <c r="BO33" s="13">
        <f>IF(COUNTIFS(T_TTAFStock_Log[Part Name],$A33,T_TTAFStock_Log[WeekIndex],66)=0,"",SUMIFS(T_TTAFStock_Log[TTAF_Qty],T_TTAFStock_Log[Part Name],$A33,T_TTAFStock_Log[WeekIndex],66))</f>
        <v/>
      </c>
      <c r="BP33" s="13">
        <f>IF(COUNTIFS(T_TTAFStock_Log[Part Name],$A33,T_TTAFStock_Log[WeekIndex],67)=0,"",SUMIFS(T_TTAFStock_Log[TTAF_Qty],T_TTAFStock_Log[Part Name],$A33,T_TTAFStock_Log[WeekIndex],67))</f>
        <v/>
      </c>
      <c r="BQ33" s="13">
        <f>IF(COUNTIFS(T_TTAFStock_Log[Part Name],$A33,T_TTAFStock_Log[WeekIndex],68)=0,"",SUMIFS(T_TTAFStock_Log[TTAF_Qty],T_TTAFStock_Log[Part Name],$A33,T_TTAFStock_Log[WeekIndex],68))</f>
        <v/>
      </c>
      <c r="BR33" s="13">
        <f>IF(COUNTIFS(T_TTAFStock_Log[Part Name],$A33,T_TTAFStock_Log[WeekIndex],69)=0,"",SUMIFS(T_TTAFStock_Log[TTAF_Qty],T_TTAFStock_Log[Part Name],$A33,T_TTAFStock_Log[WeekIndex],69))</f>
        <v/>
      </c>
      <c r="BS33" s="13">
        <f>IF(COUNTIFS(T_TTAFStock_Log[Part Name],$A33,T_TTAFStock_Log[WeekIndex],70)=0,"",SUMIFS(T_TTAFStock_Log[TTAF_Qty],T_TTAFStock_Log[Part Name],$A33,T_TTAFStock_Log[WeekIndex],70))</f>
        <v/>
      </c>
      <c r="BT33" s="13">
        <f>IF(COUNTIFS(T_TTAFStock_Log[Part Name],$A33,T_TTAFStock_Log[WeekIndex],71)=0,"",SUMIFS(T_TTAFStock_Log[TTAF_Qty],T_TTAFStock_Log[Part Name],$A33,T_TTAFStock_Log[WeekIndex],71))</f>
        <v/>
      </c>
      <c r="BU33" s="13">
        <f>IF(COUNTIFS(T_TTAFStock_Log[Part Name],$A33,T_TTAFStock_Log[WeekIndex],72)=0,"",SUMIFS(T_TTAFStock_Log[TTAF_Qty],T_TTAFStock_Log[Part Name],$A33,T_TTAFStock_Log[WeekIndex],72))</f>
        <v/>
      </c>
      <c r="BV33" s="13">
        <f>IF(COUNTIFS(T_TTAFStock_Log[Part Name],$A33,T_TTAFStock_Log[WeekIndex],73)=0,"",SUMIFS(T_TTAFStock_Log[TTAF_Qty],T_TTAFStock_Log[Part Name],$A33,T_TTAFStock_Log[WeekIndex],73))</f>
        <v/>
      </c>
      <c r="BW33" s="13">
        <f>IF(COUNTIFS(T_TTAFStock_Log[Part Name],$A33,T_TTAFStock_Log[WeekIndex],74)=0,"",SUMIFS(T_TTAFStock_Log[TTAF_Qty],T_TTAFStock_Log[Part Name],$A33,T_TTAFStock_Log[WeekIndex],74))</f>
        <v/>
      </c>
      <c r="BX33" s="13">
        <f>IF(COUNTIFS(T_TTAFStock_Log[Part Name],$A33,T_TTAFStock_Log[WeekIndex],75)=0,"",SUMIFS(T_TTAFStock_Log[TTAF_Qty],T_TTAFStock_Log[Part Name],$A33,T_TTAFStock_Log[WeekIndex],75))</f>
        <v/>
      </c>
      <c r="BY33" s="13">
        <f>IF(COUNTIFS(T_TTAFStock_Log[Part Name],$A33,T_TTAFStock_Log[WeekIndex],76)=0,"",SUMIFS(T_TTAFStock_Log[TTAF_Qty],T_TTAFStock_Log[Part Name],$A33,T_TTAFStock_Log[WeekIndex],76))</f>
        <v/>
      </c>
      <c r="BZ33" s="13">
        <f>IF(COUNTIFS(T_TTAFStock_Log[Part Name],$A33,T_TTAFStock_Log[WeekIndex],77)=0,"",SUMIFS(T_TTAFStock_Log[TTAF_Qty],T_TTAFStock_Log[Part Name],$A33,T_TTAFStock_Log[WeekIndex],77))</f>
        <v/>
      </c>
      <c r="CA33" s="13">
        <f>IF(COUNTIFS(T_TTAFStock_Log[Part Name],$A33,T_TTAFStock_Log[WeekIndex],78)=0,"",SUMIFS(T_TTAFStock_Log[TTAF_Qty],T_TTAFStock_Log[Part Name],$A33,T_TTAFStock_Log[WeekIndex],78))</f>
        <v/>
      </c>
      <c r="CB33" s="13">
        <f>IF(COUNTIFS(T_TTAFStock_Log[Part Name],$A33,T_TTAFStock_Log[WeekIndex],79)=0,"",SUMIFS(T_TTAFStock_Log[TTAF_Qty],T_TTAFStock_Log[Part Name],$A33,T_TTAFStock_Log[WeekIndex],79))</f>
        <v/>
      </c>
      <c r="CC33" s="13">
        <f>IF(COUNTIFS(T_TTAFStock_Log[Part Name],$A33,T_TTAFStock_Log[WeekIndex],80)=0,"",SUMIFS(T_TTAFStock_Log[TTAF_Qty],T_TTAFStock_Log[Part Name],$A33,T_TTAFStock_Log[WeekIndex],80))</f>
        <v/>
      </c>
      <c r="CD33" s="13">
        <f>IF(COUNTIFS(T_TTAFStock_Log[Part Name],$A33,T_TTAFStock_Log[WeekIndex],81)=0,"",SUMIFS(T_TTAFStock_Log[TTAF_Qty],T_TTAFStock_Log[Part Name],$A33,T_TTAFStock_Log[WeekIndex],81))</f>
        <v/>
      </c>
      <c r="CE33" s="13">
        <f>IF(COUNTIFS(T_TTAFStock_Log[Part Name],$A33,T_TTAFStock_Log[WeekIndex],82)=0,"",SUMIFS(T_TTAFStock_Log[TTAF_Qty],T_TTAFStock_Log[Part Name],$A33,T_TTAFStock_Log[WeekIndex],82))</f>
        <v/>
      </c>
      <c r="CF33" s="13">
        <f>IF(COUNTIFS(T_TTAFStock_Log[Part Name],$A33,T_TTAFStock_Log[WeekIndex],83)=0,"",SUMIFS(T_TTAFStock_Log[TTAF_Qty],T_TTAFStock_Log[Part Name],$A33,T_TTAFStock_Log[WeekIndex],83))</f>
        <v/>
      </c>
      <c r="CG33" s="13">
        <f>IF(COUNTIFS(T_TTAFStock_Log[Part Name],$A33,T_TTAFStock_Log[WeekIndex],84)=0,"",SUMIFS(T_TTAFStock_Log[TTAF_Qty],T_TTAFStock_Log[Part Name],$A33,T_TTAFStock_Log[WeekIndex],84))</f>
        <v/>
      </c>
      <c r="CH33" s="13">
        <f>IF(COUNTIFS(T_TTAFStock_Log[Part Name],$A33,T_TTAFStock_Log[WeekIndex],85)=0,"",SUMIFS(T_TTAFStock_Log[TTAF_Qty],T_TTAFStock_Log[Part Name],$A33,T_TTAFStock_Log[WeekIndex],85))</f>
        <v/>
      </c>
      <c r="CI33" s="13">
        <f>IF(COUNTIFS(T_TTAFStock_Log[Part Name],$A33,T_TTAFStock_Log[WeekIndex],86)=0,"",SUMIFS(T_TTAFStock_Log[TTAF_Qty],T_TTAFStock_Log[Part Name],$A33,T_TTAFStock_Log[WeekIndex],86))</f>
        <v/>
      </c>
      <c r="CJ33" s="13">
        <f>IF(COUNTIFS(T_TTAFStock_Log[Part Name],$A33,T_TTAFStock_Log[WeekIndex],87)=0,"",SUMIFS(T_TTAFStock_Log[TTAF_Qty],T_TTAFStock_Log[Part Name],$A33,T_TTAFStock_Log[WeekIndex],87))</f>
        <v/>
      </c>
      <c r="CK33" s="13">
        <f>IF(COUNTIFS(T_TTAFStock_Log[Part Name],$A33,T_TTAFStock_Log[WeekIndex],88)=0,"",SUMIFS(T_TTAFStock_Log[TTAF_Qty],T_TTAFStock_Log[Part Name],$A33,T_TTAFStock_Log[WeekIndex],88))</f>
        <v/>
      </c>
      <c r="CL33" s="13">
        <f>IF(COUNTIFS(T_TTAFStock_Log[Part Name],$A33,T_TTAFStock_Log[WeekIndex],89)=0,"",SUMIFS(T_TTAFStock_Log[TTAF_Qty],T_TTAFStock_Log[Part Name],$A33,T_TTAFStock_Log[WeekIndex],89))</f>
        <v/>
      </c>
      <c r="CM33" s="13">
        <f>IF(COUNTIFS(T_TTAFStock_Log[Part Name],$A33,T_TTAFStock_Log[WeekIndex],90)=0,"",SUMIFS(T_TTAFStock_Log[TTAF_Qty],T_TTAFStock_Log[Part Name],$A33,T_TTAFStock_Log[WeekIndex],90))</f>
        <v/>
      </c>
      <c r="CN33" s="13">
        <f>IF(COUNTIFS(T_TTAFStock_Log[Part Name],$A33,T_TTAFStock_Log[WeekIndex],91)=0,"",SUMIFS(T_TTAFStock_Log[TTAF_Qty],T_TTAFStock_Log[Part Name],$A33,T_TTAFStock_Log[WeekIndex],91))</f>
        <v/>
      </c>
      <c r="CO33" s="13">
        <f>IF(COUNTIFS(T_TTAFStock_Log[Part Name],$A33,T_TTAFStock_Log[WeekIndex],92)=0,"",SUMIFS(T_TTAFStock_Log[TTAF_Qty],T_TTAFStock_Log[Part Name],$A33,T_TTAFStock_Log[WeekIndex],92))</f>
        <v/>
      </c>
      <c r="CP33" s="13">
        <f>IF(COUNTIFS(T_TTAFStock_Log[Part Name],$A33,T_TTAFStock_Log[WeekIndex],93)=0,"",SUMIFS(T_TTAFStock_Log[TTAF_Qty],T_TTAFStock_Log[Part Name],$A33,T_TTAFStock_Log[WeekIndex],93))</f>
        <v/>
      </c>
      <c r="CQ33" s="13">
        <f>IF(COUNTIFS(T_TTAFStock_Log[Part Name],$A33,T_TTAFStock_Log[WeekIndex],94)=0,"",SUMIFS(T_TTAFStock_Log[TTAF_Qty],T_TTAFStock_Log[Part Name],$A33,T_TTAFStock_Log[WeekIndex],94))</f>
        <v/>
      </c>
      <c r="CR33" s="13">
        <f>IF(COUNTIFS(T_TTAFStock_Log[Part Name],$A33,T_TTAFStock_Log[WeekIndex],95)=0,"",SUMIFS(T_TTAFStock_Log[TTAF_Qty],T_TTAFStock_Log[Part Name],$A33,T_TTAFStock_Log[WeekIndex],95))</f>
        <v/>
      </c>
      <c r="CS33" s="13">
        <f>IF(COUNTIFS(T_TTAFStock_Log[Part Name],$A33,T_TTAFStock_Log[WeekIndex],96)=0,"",SUMIFS(T_TTAFStock_Log[TTAF_Qty],T_TTAFStock_Log[Part Name],$A33,T_TTAFStock_Log[WeekIndex],96))</f>
        <v/>
      </c>
      <c r="CT33" s="13">
        <f>IF(COUNTIFS(T_TTAFStock_Log[Part Name],$A33,T_TTAFStock_Log[WeekIndex],97)=0,"",SUMIFS(T_TTAFStock_Log[TTAF_Qty],T_TTAFStock_Log[Part Name],$A33,T_TTAFStock_Log[WeekIndex],97))</f>
        <v/>
      </c>
      <c r="CU33" s="13">
        <f>IF(COUNTIFS(T_TTAFStock_Log[Part Name],$A33,T_TTAFStock_Log[WeekIndex],98)=0,"",SUMIFS(T_TTAFStock_Log[TTAF_Qty],T_TTAFStock_Log[Part Name],$A33,T_TTAFStock_Log[WeekIndex],98))</f>
        <v/>
      </c>
      <c r="CV33" s="13">
        <f>IF(COUNTIFS(T_TTAFStock_Log[Part Name],$A33,T_TTAFStock_Log[WeekIndex],99)=0,"",SUMIFS(T_TTAFStock_Log[TTAF_Qty],T_TTAFStock_Log[Part Name],$A33,T_TTAFStock_Log[WeekIndex],99))</f>
        <v/>
      </c>
      <c r="CW33" s="13">
        <f>IF(COUNTIFS(T_TTAFStock_Log[Part Name],$A33,T_TTAFStock_Log[WeekIndex],100)=0,"",SUMIFS(T_TTAFStock_Log[TTAF_Qty],T_TTAFStock_Log[Part Name],$A33,T_TTAFStock_Log[WeekIndex],100))</f>
        <v/>
      </c>
      <c r="CX33" s="13">
        <f>IF(COUNTIFS(T_TTAFStock_Log[Part Name],$A33,T_TTAFStock_Log[WeekIndex],101)=0,"",SUMIFS(T_TTAFStock_Log[TTAF_Qty],T_TTAFStock_Log[Part Name],$A33,T_TTAFStock_Log[WeekIndex],101))</f>
        <v/>
      </c>
      <c r="CY33" s="13">
        <f>IF(COUNTIFS(T_TTAFStock_Log[Part Name],$A33,T_TTAFStock_Log[WeekIndex],102)=0,"",SUMIFS(T_TTAFStock_Log[TTAF_Qty],T_TTAFStock_Log[Part Name],$A33,T_TTAFStock_Log[WeekIndex],102))</f>
        <v/>
      </c>
      <c r="CZ33" s="13">
        <f>IF(COUNTIFS(T_TTAFStock_Log[Part Name],$A33,T_TTAFStock_Log[WeekIndex],103)=0,"",SUMIFS(T_TTAFStock_Log[TTAF_Qty],T_TTAFStock_Log[Part Name],$A33,T_TTAFStock_Log[WeekIndex],103))</f>
        <v/>
      </c>
      <c r="DA33" s="13">
        <f>IF(COUNTIFS(T_TTAFStock_Log[Part Name],$A33,T_TTAFStock_Log[WeekIndex],104)=0,"",SUMIFS(T_TTAFStock_Log[TTAF_Qty],T_TTAFStock_Log[Part Name],$A33,T_TTAFStock_Log[WeekIndex],104))</f>
        <v/>
      </c>
    </row>
    <row r="34">
      <c r="A34" s="12" t="inlineStr">
        <is>
          <t>TDJ</t>
        </is>
      </c>
      <c r="B34" s="12">
        <f>IF(COUNTIFS(T_TTAFStock_Log[Part Name],$A34,T_TTAFStock_Log[WeekIndex],1)=0,"",SUMIFS(T_TTAFStock_Log[TTAF_Qty],T_TTAFStock_Log[Part Name],$A34,T_TTAFStock_Log[WeekIndex],1))</f>
        <v/>
      </c>
      <c r="C34" s="12">
        <f>IF(COUNTIFS(T_TTAFStock_Log[Part Name],$A34,T_TTAFStock_Log[WeekIndex],2)=0,"",SUMIFS(T_TTAFStock_Log[TTAF_Qty],T_TTAFStock_Log[Part Name],$A34,T_TTAFStock_Log[WeekIndex],2))</f>
        <v/>
      </c>
      <c r="D34" s="12">
        <f>IF(COUNTIFS(T_TTAFStock_Log[Part Name],$A34,T_TTAFStock_Log[WeekIndex],3)=0,"",SUMIFS(T_TTAFStock_Log[TTAF_Qty],T_TTAFStock_Log[Part Name],$A34,T_TTAFStock_Log[WeekIndex],3))</f>
        <v/>
      </c>
      <c r="E34" s="12">
        <f>IF(COUNTIFS(T_TTAFStock_Log[Part Name],$A34,T_TTAFStock_Log[WeekIndex],4)=0,"",SUMIFS(T_TTAFStock_Log[TTAF_Qty],T_TTAFStock_Log[Part Name],$A34,T_TTAFStock_Log[WeekIndex],4))</f>
        <v/>
      </c>
      <c r="F34" s="12">
        <f>IF(COUNTIFS(T_TTAFStock_Log[Part Name],$A34,T_TTAFStock_Log[WeekIndex],5)=0,"",SUMIFS(T_TTAFStock_Log[TTAF_Qty],T_TTAFStock_Log[Part Name],$A34,T_TTAFStock_Log[WeekIndex],5))</f>
        <v/>
      </c>
      <c r="G34" s="12">
        <f>IF(COUNTIFS(T_TTAFStock_Log[Part Name],$A34,T_TTAFStock_Log[WeekIndex],6)=0,"",SUMIFS(T_TTAFStock_Log[TTAF_Qty],T_TTAFStock_Log[Part Name],$A34,T_TTAFStock_Log[WeekIndex],6))</f>
        <v/>
      </c>
      <c r="H34" s="12">
        <f>IF(COUNTIFS(T_TTAFStock_Log[Part Name],$A34,T_TTAFStock_Log[WeekIndex],7)=0,"",SUMIFS(T_TTAFStock_Log[TTAF_Qty],T_TTAFStock_Log[Part Name],$A34,T_TTAFStock_Log[WeekIndex],7))</f>
        <v/>
      </c>
      <c r="I34" s="12">
        <f>IF(COUNTIFS(T_TTAFStock_Log[Part Name],$A34,T_TTAFStock_Log[WeekIndex],8)=0,"",SUMIFS(T_TTAFStock_Log[TTAF_Qty],T_TTAFStock_Log[Part Name],$A34,T_TTAFStock_Log[WeekIndex],8))</f>
        <v/>
      </c>
      <c r="J34" s="12">
        <f>IF(COUNTIFS(T_TTAFStock_Log[Part Name],$A34,T_TTAFStock_Log[WeekIndex],9)=0,"",SUMIFS(T_TTAFStock_Log[TTAF_Qty],T_TTAFStock_Log[Part Name],$A34,T_TTAFStock_Log[WeekIndex],9))</f>
        <v/>
      </c>
      <c r="K34" s="12">
        <f>IF(COUNTIFS(T_TTAFStock_Log[Part Name],$A34,T_TTAFStock_Log[WeekIndex],10)=0,"",SUMIFS(T_TTAFStock_Log[TTAF_Qty],T_TTAFStock_Log[Part Name],$A34,T_TTAFStock_Log[WeekIndex],10))</f>
        <v/>
      </c>
      <c r="L34" s="12">
        <f>IF(COUNTIFS(T_TTAFStock_Log[Part Name],$A34,T_TTAFStock_Log[WeekIndex],11)=0,"",SUMIFS(T_TTAFStock_Log[TTAF_Qty],T_TTAFStock_Log[Part Name],$A34,T_TTAFStock_Log[WeekIndex],11))</f>
        <v/>
      </c>
      <c r="M34" s="12">
        <f>IF(COUNTIFS(T_TTAFStock_Log[Part Name],$A34,T_TTAFStock_Log[WeekIndex],12)=0,"",SUMIFS(T_TTAFStock_Log[TTAF_Qty],T_TTAFStock_Log[Part Name],$A34,T_TTAFStock_Log[WeekIndex],12))</f>
        <v/>
      </c>
      <c r="N34" s="12">
        <f>IF(COUNTIFS(T_TTAFStock_Log[Part Name],$A34,T_TTAFStock_Log[WeekIndex],13)=0,"",SUMIFS(T_TTAFStock_Log[TTAF_Qty],T_TTAFStock_Log[Part Name],$A34,T_TTAFStock_Log[WeekIndex],13))</f>
        <v/>
      </c>
      <c r="O34" s="12">
        <f>IF(COUNTIFS(T_TTAFStock_Log[Part Name],$A34,T_TTAFStock_Log[WeekIndex],14)=0,"",SUMIFS(T_TTAFStock_Log[TTAF_Qty],T_TTAFStock_Log[Part Name],$A34,T_TTAFStock_Log[WeekIndex],14))</f>
        <v/>
      </c>
      <c r="P34" s="12">
        <f>IF(COUNTIFS(T_TTAFStock_Log[Part Name],$A34,T_TTAFStock_Log[WeekIndex],15)=0,"",SUMIFS(T_TTAFStock_Log[TTAF_Qty],T_TTAFStock_Log[Part Name],$A34,T_TTAFStock_Log[WeekIndex],15))</f>
        <v/>
      </c>
      <c r="Q34" s="12">
        <f>IF(COUNTIFS(T_TTAFStock_Log[Part Name],$A34,T_TTAFStock_Log[WeekIndex],16)=0,"",SUMIFS(T_TTAFStock_Log[TTAF_Qty],T_TTAFStock_Log[Part Name],$A34,T_TTAFStock_Log[WeekIndex],16))</f>
        <v/>
      </c>
      <c r="R34" s="12">
        <f>IF(COUNTIFS(T_TTAFStock_Log[Part Name],$A34,T_TTAFStock_Log[WeekIndex],17)=0,"",SUMIFS(T_TTAFStock_Log[TTAF_Qty],T_TTAFStock_Log[Part Name],$A34,T_TTAFStock_Log[WeekIndex],17))</f>
        <v/>
      </c>
      <c r="S34" s="12">
        <f>IF(COUNTIFS(T_TTAFStock_Log[Part Name],$A34,T_TTAFStock_Log[WeekIndex],18)=0,"",SUMIFS(T_TTAFStock_Log[TTAF_Qty],T_TTAFStock_Log[Part Name],$A34,T_TTAFStock_Log[WeekIndex],18))</f>
        <v/>
      </c>
      <c r="T34" s="12">
        <f>IF(COUNTIFS(T_TTAFStock_Log[Part Name],$A34,T_TTAFStock_Log[WeekIndex],19)=0,"",SUMIFS(T_TTAFStock_Log[TTAF_Qty],T_TTAFStock_Log[Part Name],$A34,T_TTAFStock_Log[WeekIndex],19))</f>
        <v/>
      </c>
      <c r="U34" s="12">
        <f>IF(COUNTIFS(T_TTAFStock_Log[Part Name],$A34,T_TTAFStock_Log[WeekIndex],20)=0,"",SUMIFS(T_TTAFStock_Log[TTAF_Qty],T_TTAFStock_Log[Part Name],$A34,T_TTAFStock_Log[WeekIndex],20))</f>
        <v/>
      </c>
      <c r="V34" s="12">
        <f>IF(COUNTIFS(T_TTAFStock_Log[Part Name],$A34,T_TTAFStock_Log[WeekIndex],21)=0,"",SUMIFS(T_TTAFStock_Log[TTAF_Qty],T_TTAFStock_Log[Part Name],$A34,T_TTAFStock_Log[WeekIndex],21))</f>
        <v/>
      </c>
      <c r="W34" s="12">
        <f>IF(COUNTIFS(T_TTAFStock_Log[Part Name],$A34,T_TTAFStock_Log[WeekIndex],22)=0,"",SUMIFS(T_TTAFStock_Log[TTAF_Qty],T_TTAFStock_Log[Part Name],$A34,T_TTAFStock_Log[WeekIndex],22))</f>
        <v/>
      </c>
      <c r="X34" s="12">
        <f>IF(COUNTIFS(T_TTAFStock_Log[Part Name],$A34,T_TTAFStock_Log[WeekIndex],23)=0,"",SUMIFS(T_TTAFStock_Log[TTAF_Qty],T_TTAFStock_Log[Part Name],$A34,T_TTAFStock_Log[WeekIndex],23))</f>
        <v/>
      </c>
      <c r="Y34" s="12">
        <f>IF(COUNTIFS(T_TTAFStock_Log[Part Name],$A34,T_TTAFStock_Log[WeekIndex],24)=0,"",SUMIFS(T_TTAFStock_Log[TTAF_Qty],T_TTAFStock_Log[Part Name],$A34,T_TTAFStock_Log[WeekIndex],24))</f>
        <v/>
      </c>
      <c r="Z34" s="12">
        <f>IF(COUNTIFS(T_TTAFStock_Log[Part Name],$A34,T_TTAFStock_Log[WeekIndex],25)=0,"",SUMIFS(T_TTAFStock_Log[TTAF_Qty],T_TTAFStock_Log[Part Name],$A34,T_TTAFStock_Log[WeekIndex],25))</f>
        <v/>
      </c>
      <c r="AA34" s="12">
        <f>IF(COUNTIFS(T_TTAFStock_Log[Part Name],$A34,T_TTAFStock_Log[WeekIndex],26)=0,"",SUMIFS(T_TTAFStock_Log[TTAF_Qty],T_TTAFStock_Log[Part Name],$A34,T_TTAFStock_Log[WeekIndex],26))</f>
        <v/>
      </c>
      <c r="AB34" s="12">
        <f>IF(COUNTIFS(T_TTAFStock_Log[Part Name],$A34,T_TTAFStock_Log[WeekIndex],27)=0,"",SUMIFS(T_TTAFStock_Log[TTAF_Qty],T_TTAFStock_Log[Part Name],$A34,T_TTAFStock_Log[WeekIndex],27))</f>
        <v/>
      </c>
      <c r="AC34" s="12">
        <f>IF(COUNTIFS(T_TTAFStock_Log[Part Name],$A34,T_TTAFStock_Log[WeekIndex],28)=0,"",SUMIFS(T_TTAFStock_Log[TTAF_Qty],T_TTAFStock_Log[Part Name],$A34,T_TTAFStock_Log[WeekIndex],28))</f>
        <v/>
      </c>
      <c r="AD34" s="12">
        <f>IF(COUNTIFS(T_TTAFStock_Log[Part Name],$A34,T_TTAFStock_Log[WeekIndex],29)=0,"",SUMIFS(T_TTAFStock_Log[TTAF_Qty],T_TTAFStock_Log[Part Name],$A34,T_TTAFStock_Log[WeekIndex],29))</f>
        <v/>
      </c>
      <c r="AE34" s="12">
        <f>IF(COUNTIFS(T_TTAFStock_Log[Part Name],$A34,T_TTAFStock_Log[WeekIndex],30)=0,"",SUMIFS(T_TTAFStock_Log[TTAF_Qty],T_TTAFStock_Log[Part Name],$A34,T_TTAFStock_Log[WeekIndex],30))</f>
        <v/>
      </c>
      <c r="AF34" s="12">
        <f>IF(COUNTIFS(T_TTAFStock_Log[Part Name],$A34,T_TTAFStock_Log[WeekIndex],31)=0,"",SUMIFS(T_TTAFStock_Log[TTAF_Qty],T_TTAFStock_Log[Part Name],$A34,T_TTAFStock_Log[WeekIndex],31))</f>
        <v/>
      </c>
      <c r="AG34" s="12">
        <f>IF(COUNTIFS(T_TTAFStock_Log[Part Name],$A34,T_TTAFStock_Log[WeekIndex],32)=0,"",SUMIFS(T_TTAFStock_Log[TTAF_Qty],T_TTAFStock_Log[Part Name],$A34,T_TTAFStock_Log[WeekIndex],32))</f>
        <v/>
      </c>
      <c r="AH34" s="12">
        <f>IF(COUNTIFS(T_TTAFStock_Log[Part Name],$A34,T_TTAFStock_Log[WeekIndex],33)=0,"",SUMIFS(T_TTAFStock_Log[TTAF_Qty],T_TTAFStock_Log[Part Name],$A34,T_TTAFStock_Log[WeekIndex],33))</f>
        <v/>
      </c>
      <c r="AI34" s="12">
        <f>IF(COUNTIFS(T_TTAFStock_Log[Part Name],$A34,T_TTAFStock_Log[WeekIndex],34)=0,"",SUMIFS(T_TTAFStock_Log[TTAF_Qty],T_TTAFStock_Log[Part Name],$A34,T_TTAFStock_Log[WeekIndex],34))</f>
        <v/>
      </c>
      <c r="AJ34" s="12">
        <f>IF(COUNTIFS(T_TTAFStock_Log[Part Name],$A34,T_TTAFStock_Log[WeekIndex],35)=0,"",SUMIFS(T_TTAFStock_Log[TTAF_Qty],T_TTAFStock_Log[Part Name],$A34,T_TTAFStock_Log[WeekIndex],35))</f>
        <v/>
      </c>
      <c r="AK34" s="12">
        <f>IF(COUNTIFS(T_TTAFStock_Log[Part Name],$A34,T_TTAFStock_Log[WeekIndex],36)=0,"",SUMIFS(T_TTAFStock_Log[TTAF_Qty],T_TTAFStock_Log[Part Name],$A34,T_TTAFStock_Log[WeekIndex],36))</f>
        <v/>
      </c>
      <c r="AL34" s="12">
        <f>IF(COUNTIFS(T_TTAFStock_Log[Part Name],$A34,T_TTAFStock_Log[WeekIndex],37)=0,"",SUMIFS(T_TTAFStock_Log[TTAF_Qty],T_TTAFStock_Log[Part Name],$A34,T_TTAFStock_Log[WeekIndex],37))</f>
        <v/>
      </c>
      <c r="AM34" s="12">
        <f>IF(COUNTIFS(T_TTAFStock_Log[Part Name],$A34,T_TTAFStock_Log[WeekIndex],38)=0,"",SUMIFS(T_TTAFStock_Log[TTAF_Qty],T_TTAFStock_Log[Part Name],$A34,T_TTAFStock_Log[WeekIndex],38))</f>
        <v/>
      </c>
      <c r="AN34" s="12">
        <f>IF(COUNTIFS(T_TTAFStock_Log[Part Name],$A34,T_TTAFStock_Log[WeekIndex],39)=0,"",SUMIFS(T_TTAFStock_Log[TTAF_Qty],T_TTAFStock_Log[Part Name],$A34,T_TTAFStock_Log[WeekIndex],39))</f>
        <v/>
      </c>
      <c r="AO34" s="12">
        <f>IF(COUNTIFS(T_TTAFStock_Log[Part Name],$A34,T_TTAFStock_Log[WeekIndex],40)=0,"",SUMIFS(T_TTAFStock_Log[TTAF_Qty],T_TTAFStock_Log[Part Name],$A34,T_TTAFStock_Log[WeekIndex],40))</f>
        <v/>
      </c>
      <c r="AP34" s="12">
        <f>IF(COUNTIFS(T_TTAFStock_Log[Part Name],$A34,T_TTAFStock_Log[WeekIndex],41)=0,"",SUMIFS(T_TTAFStock_Log[TTAF_Qty],T_TTAFStock_Log[Part Name],$A34,T_TTAFStock_Log[WeekIndex],41))</f>
        <v/>
      </c>
      <c r="AQ34" s="12">
        <f>IF(COUNTIFS(T_TTAFStock_Log[Part Name],$A34,T_TTAFStock_Log[WeekIndex],42)=0,"",SUMIFS(T_TTAFStock_Log[TTAF_Qty],T_TTAFStock_Log[Part Name],$A34,T_TTAFStock_Log[WeekIndex],42))</f>
        <v/>
      </c>
      <c r="AR34" s="12">
        <f>IF(COUNTIFS(T_TTAFStock_Log[Part Name],$A34,T_TTAFStock_Log[WeekIndex],43)=0,"",SUMIFS(T_TTAFStock_Log[TTAF_Qty],T_TTAFStock_Log[Part Name],$A34,T_TTAFStock_Log[WeekIndex],43))</f>
        <v/>
      </c>
      <c r="AS34" s="12">
        <f>IF(COUNTIFS(T_TTAFStock_Log[Part Name],$A34,T_TTAFStock_Log[WeekIndex],44)=0,"",SUMIFS(T_TTAFStock_Log[TTAF_Qty],T_TTAFStock_Log[Part Name],$A34,T_TTAFStock_Log[WeekIndex],44))</f>
        <v/>
      </c>
      <c r="AT34" s="12">
        <f>IF(COUNTIFS(T_TTAFStock_Log[Part Name],$A34,T_TTAFStock_Log[WeekIndex],45)=0,"",SUMIFS(T_TTAFStock_Log[TTAF_Qty],T_TTAFStock_Log[Part Name],$A34,T_TTAFStock_Log[WeekIndex],45))</f>
        <v/>
      </c>
      <c r="AU34" s="12">
        <f>IF(COUNTIFS(T_TTAFStock_Log[Part Name],$A34,T_TTAFStock_Log[WeekIndex],46)=0,"",SUMIFS(T_TTAFStock_Log[TTAF_Qty],T_TTAFStock_Log[Part Name],$A34,T_TTAFStock_Log[WeekIndex],46))</f>
        <v/>
      </c>
      <c r="AV34" s="12">
        <f>IF(COUNTIFS(T_TTAFStock_Log[Part Name],$A34,T_TTAFStock_Log[WeekIndex],47)=0,"",SUMIFS(T_TTAFStock_Log[TTAF_Qty],T_TTAFStock_Log[Part Name],$A34,T_TTAFStock_Log[WeekIndex],47))</f>
        <v/>
      </c>
      <c r="AW34" s="12">
        <f>IF(COUNTIFS(T_TTAFStock_Log[Part Name],$A34,T_TTAFStock_Log[WeekIndex],48)=0,"",SUMIFS(T_TTAFStock_Log[TTAF_Qty],T_TTAFStock_Log[Part Name],$A34,T_TTAFStock_Log[WeekIndex],48))</f>
        <v/>
      </c>
      <c r="AX34" s="12">
        <f>IF(COUNTIFS(T_TTAFStock_Log[Part Name],$A34,T_TTAFStock_Log[WeekIndex],49)=0,"",SUMIFS(T_TTAFStock_Log[TTAF_Qty],T_TTAFStock_Log[Part Name],$A34,T_TTAFStock_Log[WeekIndex],49))</f>
        <v/>
      </c>
      <c r="AY34" s="12">
        <f>IF(COUNTIFS(T_TTAFStock_Log[Part Name],$A34,T_TTAFStock_Log[WeekIndex],50)=0,"",SUMIFS(T_TTAFStock_Log[TTAF_Qty],T_TTAFStock_Log[Part Name],$A34,T_TTAFStock_Log[WeekIndex],50))</f>
        <v/>
      </c>
      <c r="AZ34" s="12">
        <f>IF(COUNTIFS(T_TTAFStock_Log[Part Name],$A34,T_TTAFStock_Log[WeekIndex],51)=0,"",SUMIFS(T_TTAFStock_Log[TTAF_Qty],T_TTAFStock_Log[Part Name],$A34,T_TTAFStock_Log[WeekIndex],51))</f>
        <v/>
      </c>
      <c r="BA34" s="12">
        <f>IF(COUNTIFS(T_TTAFStock_Log[Part Name],$A34,T_TTAFStock_Log[WeekIndex],52)=0,"",SUMIFS(T_TTAFStock_Log[TTAF_Qty],T_TTAFStock_Log[Part Name],$A34,T_TTAFStock_Log[WeekIndex],52))</f>
        <v/>
      </c>
      <c r="BB34" s="12">
        <f>IF(COUNTIFS(T_TTAFStock_Log[Part Name],$A34,T_TTAFStock_Log[WeekIndex],53)=0,"",SUMIFS(T_TTAFStock_Log[TTAF_Qty],T_TTAFStock_Log[Part Name],$A34,T_TTAFStock_Log[WeekIndex],53))</f>
        <v/>
      </c>
      <c r="BC34" s="12">
        <f>IF(COUNTIFS(T_TTAFStock_Log[Part Name],$A34,T_TTAFStock_Log[WeekIndex],54)=0,"",SUMIFS(T_TTAFStock_Log[TTAF_Qty],T_TTAFStock_Log[Part Name],$A34,T_TTAFStock_Log[WeekIndex],54))</f>
        <v/>
      </c>
      <c r="BD34" s="12">
        <f>IF(COUNTIFS(T_TTAFStock_Log[Part Name],$A34,T_TTAFStock_Log[WeekIndex],55)=0,"",SUMIFS(T_TTAFStock_Log[TTAF_Qty],T_TTAFStock_Log[Part Name],$A34,T_TTAFStock_Log[WeekIndex],55))</f>
        <v/>
      </c>
      <c r="BE34" s="12">
        <f>IF(COUNTIFS(T_TTAFStock_Log[Part Name],$A34,T_TTAFStock_Log[WeekIndex],56)=0,"",SUMIFS(T_TTAFStock_Log[TTAF_Qty],T_TTAFStock_Log[Part Name],$A34,T_TTAFStock_Log[WeekIndex],56))</f>
        <v/>
      </c>
      <c r="BF34" s="12">
        <f>IF(COUNTIFS(T_TTAFStock_Log[Part Name],$A34,T_TTAFStock_Log[WeekIndex],57)=0,"",SUMIFS(T_TTAFStock_Log[TTAF_Qty],T_TTAFStock_Log[Part Name],$A34,T_TTAFStock_Log[WeekIndex],57))</f>
        <v/>
      </c>
      <c r="BG34" s="12">
        <f>IF(COUNTIFS(T_TTAFStock_Log[Part Name],$A34,T_TTAFStock_Log[WeekIndex],58)=0,"",SUMIFS(T_TTAFStock_Log[TTAF_Qty],T_TTAFStock_Log[Part Name],$A34,T_TTAFStock_Log[WeekIndex],58))</f>
        <v/>
      </c>
      <c r="BH34" s="12">
        <f>IF(COUNTIFS(T_TTAFStock_Log[Part Name],$A34,T_TTAFStock_Log[WeekIndex],59)=0,"",SUMIFS(T_TTAFStock_Log[TTAF_Qty],T_TTAFStock_Log[Part Name],$A34,T_TTAFStock_Log[WeekIndex],59))</f>
        <v/>
      </c>
      <c r="BI34" s="12">
        <f>IF(COUNTIFS(T_TTAFStock_Log[Part Name],$A34,T_TTAFStock_Log[WeekIndex],60)=0,"",SUMIFS(T_TTAFStock_Log[TTAF_Qty],T_TTAFStock_Log[Part Name],$A34,T_TTAFStock_Log[WeekIndex],60))</f>
        <v/>
      </c>
      <c r="BJ34" s="12">
        <f>IF(COUNTIFS(T_TTAFStock_Log[Part Name],$A34,T_TTAFStock_Log[WeekIndex],61)=0,"",SUMIFS(T_TTAFStock_Log[TTAF_Qty],T_TTAFStock_Log[Part Name],$A34,T_TTAFStock_Log[WeekIndex],61))</f>
        <v/>
      </c>
      <c r="BK34" s="12">
        <f>IF(COUNTIFS(T_TTAFStock_Log[Part Name],$A34,T_TTAFStock_Log[WeekIndex],62)=0,"",SUMIFS(T_TTAFStock_Log[TTAF_Qty],T_TTAFStock_Log[Part Name],$A34,T_TTAFStock_Log[WeekIndex],62))</f>
        <v/>
      </c>
      <c r="BL34" s="12">
        <f>IF(COUNTIFS(T_TTAFStock_Log[Part Name],$A34,T_TTAFStock_Log[WeekIndex],63)=0,"",SUMIFS(T_TTAFStock_Log[TTAF_Qty],T_TTAFStock_Log[Part Name],$A34,T_TTAFStock_Log[WeekIndex],63))</f>
        <v/>
      </c>
      <c r="BM34" s="12">
        <f>IF(COUNTIFS(T_TTAFStock_Log[Part Name],$A34,T_TTAFStock_Log[WeekIndex],64)=0,"",SUMIFS(T_TTAFStock_Log[TTAF_Qty],T_TTAFStock_Log[Part Name],$A34,T_TTAFStock_Log[WeekIndex],64))</f>
        <v/>
      </c>
      <c r="BN34" s="12">
        <f>IF(COUNTIFS(T_TTAFStock_Log[Part Name],$A34,T_TTAFStock_Log[WeekIndex],65)=0,"",SUMIFS(T_TTAFStock_Log[TTAF_Qty],T_TTAFStock_Log[Part Name],$A34,T_TTAFStock_Log[WeekIndex],65))</f>
        <v/>
      </c>
      <c r="BO34" s="12">
        <f>IF(COUNTIFS(T_TTAFStock_Log[Part Name],$A34,T_TTAFStock_Log[WeekIndex],66)=0,"",SUMIFS(T_TTAFStock_Log[TTAF_Qty],T_TTAFStock_Log[Part Name],$A34,T_TTAFStock_Log[WeekIndex],66))</f>
        <v/>
      </c>
      <c r="BP34" s="12">
        <f>IF(COUNTIFS(T_TTAFStock_Log[Part Name],$A34,T_TTAFStock_Log[WeekIndex],67)=0,"",SUMIFS(T_TTAFStock_Log[TTAF_Qty],T_TTAFStock_Log[Part Name],$A34,T_TTAFStock_Log[WeekIndex],67))</f>
        <v/>
      </c>
      <c r="BQ34" s="12">
        <f>IF(COUNTIFS(T_TTAFStock_Log[Part Name],$A34,T_TTAFStock_Log[WeekIndex],68)=0,"",SUMIFS(T_TTAFStock_Log[TTAF_Qty],T_TTAFStock_Log[Part Name],$A34,T_TTAFStock_Log[WeekIndex],68))</f>
        <v/>
      </c>
      <c r="BR34" s="12">
        <f>IF(COUNTIFS(T_TTAFStock_Log[Part Name],$A34,T_TTAFStock_Log[WeekIndex],69)=0,"",SUMIFS(T_TTAFStock_Log[TTAF_Qty],T_TTAFStock_Log[Part Name],$A34,T_TTAFStock_Log[WeekIndex],69))</f>
        <v/>
      </c>
      <c r="BS34" s="12">
        <f>IF(COUNTIFS(T_TTAFStock_Log[Part Name],$A34,T_TTAFStock_Log[WeekIndex],70)=0,"",SUMIFS(T_TTAFStock_Log[TTAF_Qty],T_TTAFStock_Log[Part Name],$A34,T_TTAFStock_Log[WeekIndex],70))</f>
        <v/>
      </c>
      <c r="BT34" s="12">
        <f>IF(COUNTIFS(T_TTAFStock_Log[Part Name],$A34,T_TTAFStock_Log[WeekIndex],71)=0,"",SUMIFS(T_TTAFStock_Log[TTAF_Qty],T_TTAFStock_Log[Part Name],$A34,T_TTAFStock_Log[WeekIndex],71))</f>
        <v/>
      </c>
      <c r="BU34" s="12">
        <f>IF(COUNTIFS(T_TTAFStock_Log[Part Name],$A34,T_TTAFStock_Log[WeekIndex],72)=0,"",SUMIFS(T_TTAFStock_Log[TTAF_Qty],T_TTAFStock_Log[Part Name],$A34,T_TTAFStock_Log[WeekIndex],72))</f>
        <v/>
      </c>
      <c r="BV34" s="12">
        <f>IF(COUNTIFS(T_TTAFStock_Log[Part Name],$A34,T_TTAFStock_Log[WeekIndex],73)=0,"",SUMIFS(T_TTAFStock_Log[TTAF_Qty],T_TTAFStock_Log[Part Name],$A34,T_TTAFStock_Log[WeekIndex],73))</f>
        <v/>
      </c>
      <c r="BW34" s="12">
        <f>IF(COUNTIFS(T_TTAFStock_Log[Part Name],$A34,T_TTAFStock_Log[WeekIndex],74)=0,"",SUMIFS(T_TTAFStock_Log[TTAF_Qty],T_TTAFStock_Log[Part Name],$A34,T_TTAFStock_Log[WeekIndex],74))</f>
        <v/>
      </c>
      <c r="BX34" s="12">
        <f>IF(COUNTIFS(T_TTAFStock_Log[Part Name],$A34,T_TTAFStock_Log[WeekIndex],75)=0,"",SUMIFS(T_TTAFStock_Log[TTAF_Qty],T_TTAFStock_Log[Part Name],$A34,T_TTAFStock_Log[WeekIndex],75))</f>
        <v/>
      </c>
      <c r="BY34" s="12">
        <f>IF(COUNTIFS(T_TTAFStock_Log[Part Name],$A34,T_TTAFStock_Log[WeekIndex],76)=0,"",SUMIFS(T_TTAFStock_Log[TTAF_Qty],T_TTAFStock_Log[Part Name],$A34,T_TTAFStock_Log[WeekIndex],76))</f>
        <v/>
      </c>
      <c r="BZ34" s="12">
        <f>IF(COUNTIFS(T_TTAFStock_Log[Part Name],$A34,T_TTAFStock_Log[WeekIndex],77)=0,"",SUMIFS(T_TTAFStock_Log[TTAF_Qty],T_TTAFStock_Log[Part Name],$A34,T_TTAFStock_Log[WeekIndex],77))</f>
        <v/>
      </c>
      <c r="CA34" s="12">
        <f>IF(COUNTIFS(T_TTAFStock_Log[Part Name],$A34,T_TTAFStock_Log[WeekIndex],78)=0,"",SUMIFS(T_TTAFStock_Log[TTAF_Qty],T_TTAFStock_Log[Part Name],$A34,T_TTAFStock_Log[WeekIndex],78))</f>
        <v/>
      </c>
      <c r="CB34" s="12">
        <f>IF(COUNTIFS(T_TTAFStock_Log[Part Name],$A34,T_TTAFStock_Log[WeekIndex],79)=0,"",SUMIFS(T_TTAFStock_Log[TTAF_Qty],T_TTAFStock_Log[Part Name],$A34,T_TTAFStock_Log[WeekIndex],79))</f>
        <v/>
      </c>
      <c r="CC34" s="12">
        <f>IF(COUNTIFS(T_TTAFStock_Log[Part Name],$A34,T_TTAFStock_Log[WeekIndex],80)=0,"",SUMIFS(T_TTAFStock_Log[TTAF_Qty],T_TTAFStock_Log[Part Name],$A34,T_TTAFStock_Log[WeekIndex],80))</f>
        <v/>
      </c>
      <c r="CD34" s="12">
        <f>IF(COUNTIFS(T_TTAFStock_Log[Part Name],$A34,T_TTAFStock_Log[WeekIndex],81)=0,"",SUMIFS(T_TTAFStock_Log[TTAF_Qty],T_TTAFStock_Log[Part Name],$A34,T_TTAFStock_Log[WeekIndex],81))</f>
        <v/>
      </c>
      <c r="CE34" s="12">
        <f>IF(COUNTIFS(T_TTAFStock_Log[Part Name],$A34,T_TTAFStock_Log[WeekIndex],82)=0,"",SUMIFS(T_TTAFStock_Log[TTAF_Qty],T_TTAFStock_Log[Part Name],$A34,T_TTAFStock_Log[WeekIndex],82))</f>
        <v/>
      </c>
      <c r="CF34" s="12">
        <f>IF(COUNTIFS(T_TTAFStock_Log[Part Name],$A34,T_TTAFStock_Log[WeekIndex],83)=0,"",SUMIFS(T_TTAFStock_Log[TTAF_Qty],T_TTAFStock_Log[Part Name],$A34,T_TTAFStock_Log[WeekIndex],83))</f>
        <v/>
      </c>
      <c r="CG34" s="12">
        <f>IF(COUNTIFS(T_TTAFStock_Log[Part Name],$A34,T_TTAFStock_Log[WeekIndex],84)=0,"",SUMIFS(T_TTAFStock_Log[TTAF_Qty],T_TTAFStock_Log[Part Name],$A34,T_TTAFStock_Log[WeekIndex],84))</f>
        <v/>
      </c>
      <c r="CH34" s="12">
        <f>IF(COUNTIFS(T_TTAFStock_Log[Part Name],$A34,T_TTAFStock_Log[WeekIndex],85)=0,"",SUMIFS(T_TTAFStock_Log[TTAF_Qty],T_TTAFStock_Log[Part Name],$A34,T_TTAFStock_Log[WeekIndex],85))</f>
        <v/>
      </c>
      <c r="CI34" s="12">
        <f>IF(COUNTIFS(T_TTAFStock_Log[Part Name],$A34,T_TTAFStock_Log[WeekIndex],86)=0,"",SUMIFS(T_TTAFStock_Log[TTAF_Qty],T_TTAFStock_Log[Part Name],$A34,T_TTAFStock_Log[WeekIndex],86))</f>
        <v/>
      </c>
      <c r="CJ34" s="12">
        <f>IF(COUNTIFS(T_TTAFStock_Log[Part Name],$A34,T_TTAFStock_Log[WeekIndex],87)=0,"",SUMIFS(T_TTAFStock_Log[TTAF_Qty],T_TTAFStock_Log[Part Name],$A34,T_TTAFStock_Log[WeekIndex],87))</f>
        <v/>
      </c>
      <c r="CK34" s="12">
        <f>IF(COUNTIFS(T_TTAFStock_Log[Part Name],$A34,T_TTAFStock_Log[WeekIndex],88)=0,"",SUMIFS(T_TTAFStock_Log[TTAF_Qty],T_TTAFStock_Log[Part Name],$A34,T_TTAFStock_Log[WeekIndex],88))</f>
        <v/>
      </c>
      <c r="CL34" s="12">
        <f>IF(COUNTIFS(T_TTAFStock_Log[Part Name],$A34,T_TTAFStock_Log[WeekIndex],89)=0,"",SUMIFS(T_TTAFStock_Log[TTAF_Qty],T_TTAFStock_Log[Part Name],$A34,T_TTAFStock_Log[WeekIndex],89))</f>
        <v/>
      </c>
      <c r="CM34" s="12">
        <f>IF(COUNTIFS(T_TTAFStock_Log[Part Name],$A34,T_TTAFStock_Log[WeekIndex],90)=0,"",SUMIFS(T_TTAFStock_Log[TTAF_Qty],T_TTAFStock_Log[Part Name],$A34,T_TTAFStock_Log[WeekIndex],90))</f>
        <v/>
      </c>
      <c r="CN34" s="12">
        <f>IF(COUNTIFS(T_TTAFStock_Log[Part Name],$A34,T_TTAFStock_Log[WeekIndex],91)=0,"",SUMIFS(T_TTAFStock_Log[TTAF_Qty],T_TTAFStock_Log[Part Name],$A34,T_TTAFStock_Log[WeekIndex],91))</f>
        <v/>
      </c>
      <c r="CO34" s="12">
        <f>IF(COUNTIFS(T_TTAFStock_Log[Part Name],$A34,T_TTAFStock_Log[WeekIndex],92)=0,"",SUMIFS(T_TTAFStock_Log[TTAF_Qty],T_TTAFStock_Log[Part Name],$A34,T_TTAFStock_Log[WeekIndex],92))</f>
        <v/>
      </c>
      <c r="CP34" s="12">
        <f>IF(COUNTIFS(T_TTAFStock_Log[Part Name],$A34,T_TTAFStock_Log[WeekIndex],93)=0,"",SUMIFS(T_TTAFStock_Log[TTAF_Qty],T_TTAFStock_Log[Part Name],$A34,T_TTAFStock_Log[WeekIndex],93))</f>
        <v/>
      </c>
      <c r="CQ34" s="12">
        <f>IF(COUNTIFS(T_TTAFStock_Log[Part Name],$A34,T_TTAFStock_Log[WeekIndex],94)=0,"",SUMIFS(T_TTAFStock_Log[TTAF_Qty],T_TTAFStock_Log[Part Name],$A34,T_TTAFStock_Log[WeekIndex],94))</f>
        <v/>
      </c>
      <c r="CR34" s="12">
        <f>IF(COUNTIFS(T_TTAFStock_Log[Part Name],$A34,T_TTAFStock_Log[WeekIndex],95)=0,"",SUMIFS(T_TTAFStock_Log[TTAF_Qty],T_TTAFStock_Log[Part Name],$A34,T_TTAFStock_Log[WeekIndex],95))</f>
        <v/>
      </c>
      <c r="CS34" s="12">
        <f>IF(COUNTIFS(T_TTAFStock_Log[Part Name],$A34,T_TTAFStock_Log[WeekIndex],96)=0,"",SUMIFS(T_TTAFStock_Log[TTAF_Qty],T_TTAFStock_Log[Part Name],$A34,T_TTAFStock_Log[WeekIndex],96))</f>
        <v/>
      </c>
      <c r="CT34" s="12">
        <f>IF(COUNTIFS(T_TTAFStock_Log[Part Name],$A34,T_TTAFStock_Log[WeekIndex],97)=0,"",SUMIFS(T_TTAFStock_Log[TTAF_Qty],T_TTAFStock_Log[Part Name],$A34,T_TTAFStock_Log[WeekIndex],97))</f>
        <v/>
      </c>
      <c r="CU34" s="12">
        <f>IF(COUNTIFS(T_TTAFStock_Log[Part Name],$A34,T_TTAFStock_Log[WeekIndex],98)=0,"",SUMIFS(T_TTAFStock_Log[TTAF_Qty],T_TTAFStock_Log[Part Name],$A34,T_TTAFStock_Log[WeekIndex],98))</f>
        <v/>
      </c>
      <c r="CV34" s="12">
        <f>IF(COUNTIFS(T_TTAFStock_Log[Part Name],$A34,T_TTAFStock_Log[WeekIndex],99)=0,"",SUMIFS(T_TTAFStock_Log[TTAF_Qty],T_TTAFStock_Log[Part Name],$A34,T_TTAFStock_Log[WeekIndex],99))</f>
        <v/>
      </c>
      <c r="CW34" s="12">
        <f>IF(COUNTIFS(T_TTAFStock_Log[Part Name],$A34,T_TTAFStock_Log[WeekIndex],100)=0,"",SUMIFS(T_TTAFStock_Log[TTAF_Qty],T_TTAFStock_Log[Part Name],$A34,T_TTAFStock_Log[WeekIndex],100))</f>
        <v/>
      </c>
      <c r="CX34" s="12">
        <f>IF(COUNTIFS(T_TTAFStock_Log[Part Name],$A34,T_TTAFStock_Log[WeekIndex],101)=0,"",SUMIFS(T_TTAFStock_Log[TTAF_Qty],T_TTAFStock_Log[Part Name],$A34,T_TTAFStock_Log[WeekIndex],101))</f>
        <v/>
      </c>
      <c r="CY34" s="12">
        <f>IF(COUNTIFS(T_TTAFStock_Log[Part Name],$A34,T_TTAFStock_Log[WeekIndex],102)=0,"",SUMIFS(T_TTAFStock_Log[TTAF_Qty],T_TTAFStock_Log[Part Name],$A34,T_TTAFStock_Log[WeekIndex],102))</f>
        <v/>
      </c>
      <c r="CZ34" s="12">
        <f>IF(COUNTIFS(T_TTAFStock_Log[Part Name],$A34,T_TTAFStock_Log[WeekIndex],103)=0,"",SUMIFS(T_TTAFStock_Log[TTAF_Qty],T_TTAFStock_Log[Part Name],$A34,T_TTAFStock_Log[WeekIndex],103))</f>
        <v/>
      </c>
      <c r="DA34" s="12">
        <f>IF(COUNTIFS(T_TTAFStock_Log[Part Name],$A34,T_TTAFStock_Log[WeekIndex],104)=0,"",SUMIFS(T_TTAFStock_Log[TTAF_Qty],T_TTAFStock_Log[Part Name],$A34,T_TTAFStock_Log[WeekIndex],104))</f>
        <v/>
      </c>
    </row>
    <row r="35">
      <c r="A35" s="13" t="inlineStr">
        <is>
          <t>CHEM-1730</t>
        </is>
      </c>
      <c r="B35" s="13">
        <f>IF(COUNTIFS(T_TTAFStock_Log[Part Name],$A35,T_TTAFStock_Log[WeekIndex],1)=0,"",SUMIFS(T_TTAFStock_Log[TTAF_Qty],T_TTAFStock_Log[Part Name],$A35,T_TTAFStock_Log[WeekIndex],1))</f>
        <v/>
      </c>
      <c r="C35" s="13">
        <f>IF(COUNTIFS(T_TTAFStock_Log[Part Name],$A35,T_TTAFStock_Log[WeekIndex],2)=0,"",SUMIFS(T_TTAFStock_Log[TTAF_Qty],T_TTAFStock_Log[Part Name],$A35,T_TTAFStock_Log[WeekIndex],2))</f>
        <v/>
      </c>
      <c r="D35" s="13">
        <f>IF(COUNTIFS(T_TTAFStock_Log[Part Name],$A35,T_TTAFStock_Log[WeekIndex],3)=0,"",SUMIFS(T_TTAFStock_Log[TTAF_Qty],T_TTAFStock_Log[Part Name],$A35,T_TTAFStock_Log[WeekIndex],3))</f>
        <v/>
      </c>
      <c r="E35" s="13">
        <f>IF(COUNTIFS(T_TTAFStock_Log[Part Name],$A35,T_TTAFStock_Log[WeekIndex],4)=0,"",SUMIFS(T_TTAFStock_Log[TTAF_Qty],T_TTAFStock_Log[Part Name],$A35,T_TTAFStock_Log[WeekIndex],4))</f>
        <v/>
      </c>
      <c r="F35" s="13">
        <f>IF(COUNTIFS(T_TTAFStock_Log[Part Name],$A35,T_TTAFStock_Log[WeekIndex],5)=0,"",SUMIFS(T_TTAFStock_Log[TTAF_Qty],T_TTAFStock_Log[Part Name],$A35,T_TTAFStock_Log[WeekIndex],5))</f>
        <v/>
      </c>
      <c r="G35" s="13">
        <f>IF(COUNTIFS(T_TTAFStock_Log[Part Name],$A35,T_TTAFStock_Log[WeekIndex],6)=0,"",SUMIFS(T_TTAFStock_Log[TTAF_Qty],T_TTAFStock_Log[Part Name],$A35,T_TTAFStock_Log[WeekIndex],6))</f>
        <v/>
      </c>
      <c r="H35" s="13">
        <f>IF(COUNTIFS(T_TTAFStock_Log[Part Name],$A35,T_TTAFStock_Log[WeekIndex],7)=0,"",SUMIFS(T_TTAFStock_Log[TTAF_Qty],T_TTAFStock_Log[Part Name],$A35,T_TTAFStock_Log[WeekIndex],7))</f>
        <v/>
      </c>
      <c r="I35" s="13">
        <f>IF(COUNTIFS(T_TTAFStock_Log[Part Name],$A35,T_TTAFStock_Log[WeekIndex],8)=0,"",SUMIFS(T_TTAFStock_Log[TTAF_Qty],T_TTAFStock_Log[Part Name],$A35,T_TTAFStock_Log[WeekIndex],8))</f>
        <v/>
      </c>
      <c r="J35" s="13">
        <f>IF(COUNTIFS(T_TTAFStock_Log[Part Name],$A35,T_TTAFStock_Log[WeekIndex],9)=0,"",SUMIFS(T_TTAFStock_Log[TTAF_Qty],T_TTAFStock_Log[Part Name],$A35,T_TTAFStock_Log[WeekIndex],9))</f>
        <v/>
      </c>
      <c r="K35" s="13">
        <f>IF(COUNTIFS(T_TTAFStock_Log[Part Name],$A35,T_TTAFStock_Log[WeekIndex],10)=0,"",SUMIFS(T_TTAFStock_Log[TTAF_Qty],T_TTAFStock_Log[Part Name],$A35,T_TTAFStock_Log[WeekIndex],10))</f>
        <v/>
      </c>
      <c r="L35" s="13">
        <f>IF(COUNTIFS(T_TTAFStock_Log[Part Name],$A35,T_TTAFStock_Log[WeekIndex],11)=0,"",SUMIFS(T_TTAFStock_Log[TTAF_Qty],T_TTAFStock_Log[Part Name],$A35,T_TTAFStock_Log[WeekIndex],11))</f>
        <v/>
      </c>
      <c r="M35" s="13">
        <f>IF(COUNTIFS(T_TTAFStock_Log[Part Name],$A35,T_TTAFStock_Log[WeekIndex],12)=0,"",SUMIFS(T_TTAFStock_Log[TTAF_Qty],T_TTAFStock_Log[Part Name],$A35,T_TTAFStock_Log[WeekIndex],12))</f>
        <v/>
      </c>
      <c r="N35" s="13">
        <f>IF(COUNTIFS(T_TTAFStock_Log[Part Name],$A35,T_TTAFStock_Log[WeekIndex],13)=0,"",SUMIFS(T_TTAFStock_Log[TTAF_Qty],T_TTAFStock_Log[Part Name],$A35,T_TTAFStock_Log[WeekIndex],13))</f>
        <v/>
      </c>
      <c r="O35" s="13">
        <f>IF(COUNTIFS(T_TTAFStock_Log[Part Name],$A35,T_TTAFStock_Log[WeekIndex],14)=0,"",SUMIFS(T_TTAFStock_Log[TTAF_Qty],T_TTAFStock_Log[Part Name],$A35,T_TTAFStock_Log[WeekIndex],14))</f>
        <v/>
      </c>
      <c r="P35" s="13">
        <f>IF(COUNTIFS(T_TTAFStock_Log[Part Name],$A35,T_TTAFStock_Log[WeekIndex],15)=0,"",SUMIFS(T_TTAFStock_Log[TTAF_Qty],T_TTAFStock_Log[Part Name],$A35,T_TTAFStock_Log[WeekIndex],15))</f>
        <v/>
      </c>
      <c r="Q35" s="13">
        <f>IF(COUNTIFS(T_TTAFStock_Log[Part Name],$A35,T_TTAFStock_Log[WeekIndex],16)=0,"",SUMIFS(T_TTAFStock_Log[TTAF_Qty],T_TTAFStock_Log[Part Name],$A35,T_TTAFStock_Log[WeekIndex],16))</f>
        <v/>
      </c>
      <c r="R35" s="13">
        <f>IF(COUNTIFS(T_TTAFStock_Log[Part Name],$A35,T_TTAFStock_Log[WeekIndex],17)=0,"",SUMIFS(T_TTAFStock_Log[TTAF_Qty],T_TTAFStock_Log[Part Name],$A35,T_TTAFStock_Log[WeekIndex],17))</f>
        <v/>
      </c>
      <c r="S35" s="13">
        <f>IF(COUNTIFS(T_TTAFStock_Log[Part Name],$A35,T_TTAFStock_Log[WeekIndex],18)=0,"",SUMIFS(T_TTAFStock_Log[TTAF_Qty],T_TTAFStock_Log[Part Name],$A35,T_TTAFStock_Log[WeekIndex],18))</f>
        <v/>
      </c>
      <c r="T35" s="13">
        <f>IF(COUNTIFS(T_TTAFStock_Log[Part Name],$A35,T_TTAFStock_Log[WeekIndex],19)=0,"",SUMIFS(T_TTAFStock_Log[TTAF_Qty],T_TTAFStock_Log[Part Name],$A35,T_TTAFStock_Log[WeekIndex],19))</f>
        <v/>
      </c>
      <c r="U35" s="13">
        <f>IF(COUNTIFS(T_TTAFStock_Log[Part Name],$A35,T_TTAFStock_Log[WeekIndex],20)=0,"",SUMIFS(T_TTAFStock_Log[TTAF_Qty],T_TTAFStock_Log[Part Name],$A35,T_TTAFStock_Log[WeekIndex],20))</f>
        <v/>
      </c>
      <c r="V35" s="13">
        <f>IF(COUNTIFS(T_TTAFStock_Log[Part Name],$A35,T_TTAFStock_Log[WeekIndex],21)=0,"",SUMIFS(T_TTAFStock_Log[TTAF_Qty],T_TTAFStock_Log[Part Name],$A35,T_TTAFStock_Log[WeekIndex],21))</f>
        <v/>
      </c>
      <c r="W35" s="13">
        <f>IF(COUNTIFS(T_TTAFStock_Log[Part Name],$A35,T_TTAFStock_Log[WeekIndex],22)=0,"",SUMIFS(T_TTAFStock_Log[TTAF_Qty],T_TTAFStock_Log[Part Name],$A35,T_TTAFStock_Log[WeekIndex],22))</f>
        <v/>
      </c>
      <c r="X35" s="13">
        <f>IF(COUNTIFS(T_TTAFStock_Log[Part Name],$A35,T_TTAFStock_Log[WeekIndex],23)=0,"",SUMIFS(T_TTAFStock_Log[TTAF_Qty],T_TTAFStock_Log[Part Name],$A35,T_TTAFStock_Log[WeekIndex],23))</f>
        <v/>
      </c>
      <c r="Y35" s="13">
        <f>IF(COUNTIFS(T_TTAFStock_Log[Part Name],$A35,T_TTAFStock_Log[WeekIndex],24)=0,"",SUMIFS(T_TTAFStock_Log[TTAF_Qty],T_TTAFStock_Log[Part Name],$A35,T_TTAFStock_Log[WeekIndex],24))</f>
        <v/>
      </c>
      <c r="Z35" s="13">
        <f>IF(COUNTIFS(T_TTAFStock_Log[Part Name],$A35,T_TTAFStock_Log[WeekIndex],25)=0,"",SUMIFS(T_TTAFStock_Log[TTAF_Qty],T_TTAFStock_Log[Part Name],$A35,T_TTAFStock_Log[WeekIndex],25))</f>
        <v/>
      </c>
      <c r="AA35" s="13">
        <f>IF(COUNTIFS(T_TTAFStock_Log[Part Name],$A35,T_TTAFStock_Log[WeekIndex],26)=0,"",SUMIFS(T_TTAFStock_Log[TTAF_Qty],T_TTAFStock_Log[Part Name],$A35,T_TTAFStock_Log[WeekIndex],26))</f>
        <v/>
      </c>
      <c r="AB35" s="13">
        <f>IF(COUNTIFS(T_TTAFStock_Log[Part Name],$A35,T_TTAFStock_Log[WeekIndex],27)=0,"",SUMIFS(T_TTAFStock_Log[TTAF_Qty],T_TTAFStock_Log[Part Name],$A35,T_TTAFStock_Log[WeekIndex],27))</f>
        <v/>
      </c>
      <c r="AC35" s="13">
        <f>IF(COUNTIFS(T_TTAFStock_Log[Part Name],$A35,T_TTAFStock_Log[WeekIndex],28)=0,"",SUMIFS(T_TTAFStock_Log[TTAF_Qty],T_TTAFStock_Log[Part Name],$A35,T_TTAFStock_Log[WeekIndex],28))</f>
        <v/>
      </c>
      <c r="AD35" s="13">
        <f>IF(COUNTIFS(T_TTAFStock_Log[Part Name],$A35,T_TTAFStock_Log[WeekIndex],29)=0,"",SUMIFS(T_TTAFStock_Log[TTAF_Qty],T_TTAFStock_Log[Part Name],$A35,T_TTAFStock_Log[WeekIndex],29))</f>
        <v/>
      </c>
      <c r="AE35" s="13">
        <f>IF(COUNTIFS(T_TTAFStock_Log[Part Name],$A35,T_TTAFStock_Log[WeekIndex],30)=0,"",SUMIFS(T_TTAFStock_Log[TTAF_Qty],T_TTAFStock_Log[Part Name],$A35,T_TTAFStock_Log[WeekIndex],30))</f>
        <v/>
      </c>
      <c r="AF35" s="13">
        <f>IF(COUNTIFS(T_TTAFStock_Log[Part Name],$A35,T_TTAFStock_Log[WeekIndex],31)=0,"",SUMIFS(T_TTAFStock_Log[TTAF_Qty],T_TTAFStock_Log[Part Name],$A35,T_TTAFStock_Log[WeekIndex],31))</f>
        <v/>
      </c>
      <c r="AG35" s="13">
        <f>IF(COUNTIFS(T_TTAFStock_Log[Part Name],$A35,T_TTAFStock_Log[WeekIndex],32)=0,"",SUMIFS(T_TTAFStock_Log[TTAF_Qty],T_TTAFStock_Log[Part Name],$A35,T_TTAFStock_Log[WeekIndex],32))</f>
        <v/>
      </c>
      <c r="AH35" s="13">
        <f>IF(COUNTIFS(T_TTAFStock_Log[Part Name],$A35,T_TTAFStock_Log[WeekIndex],33)=0,"",SUMIFS(T_TTAFStock_Log[TTAF_Qty],T_TTAFStock_Log[Part Name],$A35,T_TTAFStock_Log[WeekIndex],33))</f>
        <v/>
      </c>
      <c r="AI35" s="13">
        <f>IF(COUNTIFS(T_TTAFStock_Log[Part Name],$A35,T_TTAFStock_Log[WeekIndex],34)=0,"",SUMIFS(T_TTAFStock_Log[TTAF_Qty],T_TTAFStock_Log[Part Name],$A35,T_TTAFStock_Log[WeekIndex],34))</f>
        <v/>
      </c>
      <c r="AJ35" s="13">
        <f>IF(COUNTIFS(T_TTAFStock_Log[Part Name],$A35,T_TTAFStock_Log[WeekIndex],35)=0,"",SUMIFS(T_TTAFStock_Log[TTAF_Qty],T_TTAFStock_Log[Part Name],$A35,T_TTAFStock_Log[WeekIndex],35))</f>
        <v/>
      </c>
      <c r="AK35" s="13">
        <f>IF(COUNTIFS(T_TTAFStock_Log[Part Name],$A35,T_TTAFStock_Log[WeekIndex],36)=0,"",SUMIFS(T_TTAFStock_Log[TTAF_Qty],T_TTAFStock_Log[Part Name],$A35,T_TTAFStock_Log[WeekIndex],36))</f>
        <v/>
      </c>
      <c r="AL35" s="13">
        <f>IF(COUNTIFS(T_TTAFStock_Log[Part Name],$A35,T_TTAFStock_Log[WeekIndex],37)=0,"",SUMIFS(T_TTAFStock_Log[TTAF_Qty],T_TTAFStock_Log[Part Name],$A35,T_TTAFStock_Log[WeekIndex],37))</f>
        <v/>
      </c>
      <c r="AM35" s="13">
        <f>IF(COUNTIFS(T_TTAFStock_Log[Part Name],$A35,T_TTAFStock_Log[WeekIndex],38)=0,"",SUMIFS(T_TTAFStock_Log[TTAF_Qty],T_TTAFStock_Log[Part Name],$A35,T_TTAFStock_Log[WeekIndex],38))</f>
        <v/>
      </c>
      <c r="AN35" s="13">
        <f>IF(COUNTIFS(T_TTAFStock_Log[Part Name],$A35,T_TTAFStock_Log[WeekIndex],39)=0,"",SUMIFS(T_TTAFStock_Log[TTAF_Qty],T_TTAFStock_Log[Part Name],$A35,T_TTAFStock_Log[WeekIndex],39))</f>
        <v/>
      </c>
      <c r="AO35" s="13">
        <f>IF(COUNTIFS(T_TTAFStock_Log[Part Name],$A35,T_TTAFStock_Log[WeekIndex],40)=0,"",SUMIFS(T_TTAFStock_Log[TTAF_Qty],T_TTAFStock_Log[Part Name],$A35,T_TTAFStock_Log[WeekIndex],40))</f>
        <v/>
      </c>
      <c r="AP35" s="13">
        <f>IF(COUNTIFS(T_TTAFStock_Log[Part Name],$A35,T_TTAFStock_Log[WeekIndex],41)=0,"",SUMIFS(T_TTAFStock_Log[TTAF_Qty],T_TTAFStock_Log[Part Name],$A35,T_TTAFStock_Log[WeekIndex],41))</f>
        <v/>
      </c>
      <c r="AQ35" s="13">
        <f>IF(COUNTIFS(T_TTAFStock_Log[Part Name],$A35,T_TTAFStock_Log[WeekIndex],42)=0,"",SUMIFS(T_TTAFStock_Log[TTAF_Qty],T_TTAFStock_Log[Part Name],$A35,T_TTAFStock_Log[WeekIndex],42))</f>
        <v/>
      </c>
      <c r="AR35" s="13">
        <f>IF(COUNTIFS(T_TTAFStock_Log[Part Name],$A35,T_TTAFStock_Log[WeekIndex],43)=0,"",SUMIFS(T_TTAFStock_Log[TTAF_Qty],T_TTAFStock_Log[Part Name],$A35,T_TTAFStock_Log[WeekIndex],43))</f>
        <v/>
      </c>
      <c r="AS35" s="13">
        <f>IF(COUNTIFS(T_TTAFStock_Log[Part Name],$A35,T_TTAFStock_Log[WeekIndex],44)=0,"",SUMIFS(T_TTAFStock_Log[TTAF_Qty],T_TTAFStock_Log[Part Name],$A35,T_TTAFStock_Log[WeekIndex],44))</f>
        <v/>
      </c>
      <c r="AT35" s="13">
        <f>IF(COUNTIFS(T_TTAFStock_Log[Part Name],$A35,T_TTAFStock_Log[WeekIndex],45)=0,"",SUMIFS(T_TTAFStock_Log[TTAF_Qty],T_TTAFStock_Log[Part Name],$A35,T_TTAFStock_Log[WeekIndex],45))</f>
        <v/>
      </c>
      <c r="AU35" s="13">
        <f>IF(COUNTIFS(T_TTAFStock_Log[Part Name],$A35,T_TTAFStock_Log[WeekIndex],46)=0,"",SUMIFS(T_TTAFStock_Log[TTAF_Qty],T_TTAFStock_Log[Part Name],$A35,T_TTAFStock_Log[WeekIndex],46))</f>
        <v/>
      </c>
      <c r="AV35" s="13">
        <f>IF(COUNTIFS(T_TTAFStock_Log[Part Name],$A35,T_TTAFStock_Log[WeekIndex],47)=0,"",SUMIFS(T_TTAFStock_Log[TTAF_Qty],T_TTAFStock_Log[Part Name],$A35,T_TTAFStock_Log[WeekIndex],47))</f>
        <v/>
      </c>
      <c r="AW35" s="13">
        <f>IF(COUNTIFS(T_TTAFStock_Log[Part Name],$A35,T_TTAFStock_Log[WeekIndex],48)=0,"",SUMIFS(T_TTAFStock_Log[TTAF_Qty],T_TTAFStock_Log[Part Name],$A35,T_TTAFStock_Log[WeekIndex],48))</f>
        <v/>
      </c>
      <c r="AX35" s="13">
        <f>IF(COUNTIFS(T_TTAFStock_Log[Part Name],$A35,T_TTAFStock_Log[WeekIndex],49)=0,"",SUMIFS(T_TTAFStock_Log[TTAF_Qty],T_TTAFStock_Log[Part Name],$A35,T_TTAFStock_Log[WeekIndex],49))</f>
        <v/>
      </c>
      <c r="AY35" s="13">
        <f>IF(COUNTIFS(T_TTAFStock_Log[Part Name],$A35,T_TTAFStock_Log[WeekIndex],50)=0,"",SUMIFS(T_TTAFStock_Log[TTAF_Qty],T_TTAFStock_Log[Part Name],$A35,T_TTAFStock_Log[WeekIndex],50))</f>
        <v/>
      </c>
      <c r="AZ35" s="13">
        <f>IF(COUNTIFS(T_TTAFStock_Log[Part Name],$A35,T_TTAFStock_Log[WeekIndex],51)=0,"",SUMIFS(T_TTAFStock_Log[TTAF_Qty],T_TTAFStock_Log[Part Name],$A35,T_TTAFStock_Log[WeekIndex],51))</f>
        <v/>
      </c>
      <c r="BA35" s="13">
        <f>IF(COUNTIFS(T_TTAFStock_Log[Part Name],$A35,T_TTAFStock_Log[WeekIndex],52)=0,"",SUMIFS(T_TTAFStock_Log[TTAF_Qty],T_TTAFStock_Log[Part Name],$A35,T_TTAFStock_Log[WeekIndex],52))</f>
        <v/>
      </c>
      <c r="BB35" s="13">
        <f>IF(COUNTIFS(T_TTAFStock_Log[Part Name],$A35,T_TTAFStock_Log[WeekIndex],53)=0,"",SUMIFS(T_TTAFStock_Log[TTAF_Qty],T_TTAFStock_Log[Part Name],$A35,T_TTAFStock_Log[WeekIndex],53))</f>
        <v/>
      </c>
      <c r="BC35" s="13">
        <f>IF(COUNTIFS(T_TTAFStock_Log[Part Name],$A35,T_TTAFStock_Log[WeekIndex],54)=0,"",SUMIFS(T_TTAFStock_Log[TTAF_Qty],T_TTAFStock_Log[Part Name],$A35,T_TTAFStock_Log[WeekIndex],54))</f>
        <v/>
      </c>
      <c r="BD35" s="13">
        <f>IF(COUNTIFS(T_TTAFStock_Log[Part Name],$A35,T_TTAFStock_Log[WeekIndex],55)=0,"",SUMIFS(T_TTAFStock_Log[TTAF_Qty],T_TTAFStock_Log[Part Name],$A35,T_TTAFStock_Log[WeekIndex],55))</f>
        <v/>
      </c>
      <c r="BE35" s="13">
        <f>IF(COUNTIFS(T_TTAFStock_Log[Part Name],$A35,T_TTAFStock_Log[WeekIndex],56)=0,"",SUMIFS(T_TTAFStock_Log[TTAF_Qty],T_TTAFStock_Log[Part Name],$A35,T_TTAFStock_Log[WeekIndex],56))</f>
        <v/>
      </c>
      <c r="BF35" s="13">
        <f>IF(COUNTIFS(T_TTAFStock_Log[Part Name],$A35,T_TTAFStock_Log[WeekIndex],57)=0,"",SUMIFS(T_TTAFStock_Log[TTAF_Qty],T_TTAFStock_Log[Part Name],$A35,T_TTAFStock_Log[WeekIndex],57))</f>
        <v/>
      </c>
      <c r="BG35" s="13">
        <f>IF(COUNTIFS(T_TTAFStock_Log[Part Name],$A35,T_TTAFStock_Log[WeekIndex],58)=0,"",SUMIFS(T_TTAFStock_Log[TTAF_Qty],T_TTAFStock_Log[Part Name],$A35,T_TTAFStock_Log[WeekIndex],58))</f>
        <v/>
      </c>
      <c r="BH35" s="13">
        <f>IF(COUNTIFS(T_TTAFStock_Log[Part Name],$A35,T_TTAFStock_Log[WeekIndex],59)=0,"",SUMIFS(T_TTAFStock_Log[TTAF_Qty],T_TTAFStock_Log[Part Name],$A35,T_TTAFStock_Log[WeekIndex],59))</f>
        <v/>
      </c>
      <c r="BI35" s="13">
        <f>IF(COUNTIFS(T_TTAFStock_Log[Part Name],$A35,T_TTAFStock_Log[WeekIndex],60)=0,"",SUMIFS(T_TTAFStock_Log[TTAF_Qty],T_TTAFStock_Log[Part Name],$A35,T_TTAFStock_Log[WeekIndex],60))</f>
        <v/>
      </c>
      <c r="BJ35" s="13">
        <f>IF(COUNTIFS(T_TTAFStock_Log[Part Name],$A35,T_TTAFStock_Log[WeekIndex],61)=0,"",SUMIFS(T_TTAFStock_Log[TTAF_Qty],T_TTAFStock_Log[Part Name],$A35,T_TTAFStock_Log[WeekIndex],61))</f>
        <v/>
      </c>
      <c r="BK35" s="13">
        <f>IF(COUNTIFS(T_TTAFStock_Log[Part Name],$A35,T_TTAFStock_Log[WeekIndex],62)=0,"",SUMIFS(T_TTAFStock_Log[TTAF_Qty],T_TTAFStock_Log[Part Name],$A35,T_TTAFStock_Log[WeekIndex],62))</f>
        <v/>
      </c>
      <c r="BL35" s="13">
        <f>IF(COUNTIFS(T_TTAFStock_Log[Part Name],$A35,T_TTAFStock_Log[WeekIndex],63)=0,"",SUMIFS(T_TTAFStock_Log[TTAF_Qty],T_TTAFStock_Log[Part Name],$A35,T_TTAFStock_Log[WeekIndex],63))</f>
        <v/>
      </c>
      <c r="BM35" s="13">
        <f>IF(COUNTIFS(T_TTAFStock_Log[Part Name],$A35,T_TTAFStock_Log[WeekIndex],64)=0,"",SUMIFS(T_TTAFStock_Log[TTAF_Qty],T_TTAFStock_Log[Part Name],$A35,T_TTAFStock_Log[WeekIndex],64))</f>
        <v/>
      </c>
      <c r="BN35" s="13">
        <f>IF(COUNTIFS(T_TTAFStock_Log[Part Name],$A35,T_TTAFStock_Log[WeekIndex],65)=0,"",SUMIFS(T_TTAFStock_Log[TTAF_Qty],T_TTAFStock_Log[Part Name],$A35,T_TTAFStock_Log[WeekIndex],65))</f>
        <v/>
      </c>
      <c r="BO35" s="13">
        <f>IF(COUNTIFS(T_TTAFStock_Log[Part Name],$A35,T_TTAFStock_Log[WeekIndex],66)=0,"",SUMIFS(T_TTAFStock_Log[TTAF_Qty],T_TTAFStock_Log[Part Name],$A35,T_TTAFStock_Log[WeekIndex],66))</f>
        <v/>
      </c>
      <c r="BP35" s="13">
        <f>IF(COUNTIFS(T_TTAFStock_Log[Part Name],$A35,T_TTAFStock_Log[WeekIndex],67)=0,"",SUMIFS(T_TTAFStock_Log[TTAF_Qty],T_TTAFStock_Log[Part Name],$A35,T_TTAFStock_Log[WeekIndex],67))</f>
        <v/>
      </c>
      <c r="BQ35" s="13">
        <f>IF(COUNTIFS(T_TTAFStock_Log[Part Name],$A35,T_TTAFStock_Log[WeekIndex],68)=0,"",SUMIFS(T_TTAFStock_Log[TTAF_Qty],T_TTAFStock_Log[Part Name],$A35,T_TTAFStock_Log[WeekIndex],68))</f>
        <v/>
      </c>
      <c r="BR35" s="13">
        <f>IF(COUNTIFS(T_TTAFStock_Log[Part Name],$A35,T_TTAFStock_Log[WeekIndex],69)=0,"",SUMIFS(T_TTAFStock_Log[TTAF_Qty],T_TTAFStock_Log[Part Name],$A35,T_TTAFStock_Log[WeekIndex],69))</f>
        <v/>
      </c>
      <c r="BS35" s="13">
        <f>IF(COUNTIFS(T_TTAFStock_Log[Part Name],$A35,T_TTAFStock_Log[WeekIndex],70)=0,"",SUMIFS(T_TTAFStock_Log[TTAF_Qty],T_TTAFStock_Log[Part Name],$A35,T_TTAFStock_Log[WeekIndex],70))</f>
        <v/>
      </c>
      <c r="BT35" s="13">
        <f>IF(COUNTIFS(T_TTAFStock_Log[Part Name],$A35,T_TTAFStock_Log[WeekIndex],71)=0,"",SUMIFS(T_TTAFStock_Log[TTAF_Qty],T_TTAFStock_Log[Part Name],$A35,T_TTAFStock_Log[WeekIndex],71))</f>
        <v/>
      </c>
      <c r="BU35" s="13">
        <f>IF(COUNTIFS(T_TTAFStock_Log[Part Name],$A35,T_TTAFStock_Log[WeekIndex],72)=0,"",SUMIFS(T_TTAFStock_Log[TTAF_Qty],T_TTAFStock_Log[Part Name],$A35,T_TTAFStock_Log[WeekIndex],72))</f>
        <v/>
      </c>
      <c r="BV35" s="13">
        <f>IF(COUNTIFS(T_TTAFStock_Log[Part Name],$A35,T_TTAFStock_Log[WeekIndex],73)=0,"",SUMIFS(T_TTAFStock_Log[TTAF_Qty],T_TTAFStock_Log[Part Name],$A35,T_TTAFStock_Log[WeekIndex],73))</f>
        <v/>
      </c>
      <c r="BW35" s="13">
        <f>IF(COUNTIFS(T_TTAFStock_Log[Part Name],$A35,T_TTAFStock_Log[WeekIndex],74)=0,"",SUMIFS(T_TTAFStock_Log[TTAF_Qty],T_TTAFStock_Log[Part Name],$A35,T_TTAFStock_Log[WeekIndex],74))</f>
        <v/>
      </c>
      <c r="BX35" s="13">
        <f>IF(COUNTIFS(T_TTAFStock_Log[Part Name],$A35,T_TTAFStock_Log[WeekIndex],75)=0,"",SUMIFS(T_TTAFStock_Log[TTAF_Qty],T_TTAFStock_Log[Part Name],$A35,T_TTAFStock_Log[WeekIndex],75))</f>
        <v/>
      </c>
      <c r="BY35" s="13">
        <f>IF(COUNTIFS(T_TTAFStock_Log[Part Name],$A35,T_TTAFStock_Log[WeekIndex],76)=0,"",SUMIFS(T_TTAFStock_Log[TTAF_Qty],T_TTAFStock_Log[Part Name],$A35,T_TTAFStock_Log[WeekIndex],76))</f>
        <v/>
      </c>
      <c r="BZ35" s="13">
        <f>IF(COUNTIFS(T_TTAFStock_Log[Part Name],$A35,T_TTAFStock_Log[WeekIndex],77)=0,"",SUMIFS(T_TTAFStock_Log[TTAF_Qty],T_TTAFStock_Log[Part Name],$A35,T_TTAFStock_Log[WeekIndex],77))</f>
        <v/>
      </c>
      <c r="CA35" s="13">
        <f>IF(COUNTIFS(T_TTAFStock_Log[Part Name],$A35,T_TTAFStock_Log[WeekIndex],78)=0,"",SUMIFS(T_TTAFStock_Log[TTAF_Qty],T_TTAFStock_Log[Part Name],$A35,T_TTAFStock_Log[WeekIndex],78))</f>
        <v/>
      </c>
      <c r="CB35" s="13">
        <f>IF(COUNTIFS(T_TTAFStock_Log[Part Name],$A35,T_TTAFStock_Log[WeekIndex],79)=0,"",SUMIFS(T_TTAFStock_Log[TTAF_Qty],T_TTAFStock_Log[Part Name],$A35,T_TTAFStock_Log[WeekIndex],79))</f>
        <v/>
      </c>
      <c r="CC35" s="13">
        <f>IF(COUNTIFS(T_TTAFStock_Log[Part Name],$A35,T_TTAFStock_Log[WeekIndex],80)=0,"",SUMIFS(T_TTAFStock_Log[TTAF_Qty],T_TTAFStock_Log[Part Name],$A35,T_TTAFStock_Log[WeekIndex],80))</f>
        <v/>
      </c>
      <c r="CD35" s="13">
        <f>IF(COUNTIFS(T_TTAFStock_Log[Part Name],$A35,T_TTAFStock_Log[WeekIndex],81)=0,"",SUMIFS(T_TTAFStock_Log[TTAF_Qty],T_TTAFStock_Log[Part Name],$A35,T_TTAFStock_Log[WeekIndex],81))</f>
        <v/>
      </c>
      <c r="CE35" s="13">
        <f>IF(COUNTIFS(T_TTAFStock_Log[Part Name],$A35,T_TTAFStock_Log[WeekIndex],82)=0,"",SUMIFS(T_TTAFStock_Log[TTAF_Qty],T_TTAFStock_Log[Part Name],$A35,T_TTAFStock_Log[WeekIndex],82))</f>
        <v/>
      </c>
      <c r="CF35" s="13">
        <f>IF(COUNTIFS(T_TTAFStock_Log[Part Name],$A35,T_TTAFStock_Log[WeekIndex],83)=0,"",SUMIFS(T_TTAFStock_Log[TTAF_Qty],T_TTAFStock_Log[Part Name],$A35,T_TTAFStock_Log[WeekIndex],83))</f>
        <v/>
      </c>
      <c r="CG35" s="13">
        <f>IF(COUNTIFS(T_TTAFStock_Log[Part Name],$A35,T_TTAFStock_Log[WeekIndex],84)=0,"",SUMIFS(T_TTAFStock_Log[TTAF_Qty],T_TTAFStock_Log[Part Name],$A35,T_TTAFStock_Log[WeekIndex],84))</f>
        <v/>
      </c>
      <c r="CH35" s="13">
        <f>IF(COUNTIFS(T_TTAFStock_Log[Part Name],$A35,T_TTAFStock_Log[WeekIndex],85)=0,"",SUMIFS(T_TTAFStock_Log[TTAF_Qty],T_TTAFStock_Log[Part Name],$A35,T_TTAFStock_Log[WeekIndex],85))</f>
        <v/>
      </c>
      <c r="CI35" s="13">
        <f>IF(COUNTIFS(T_TTAFStock_Log[Part Name],$A35,T_TTAFStock_Log[WeekIndex],86)=0,"",SUMIFS(T_TTAFStock_Log[TTAF_Qty],T_TTAFStock_Log[Part Name],$A35,T_TTAFStock_Log[WeekIndex],86))</f>
        <v/>
      </c>
      <c r="CJ35" s="13">
        <f>IF(COUNTIFS(T_TTAFStock_Log[Part Name],$A35,T_TTAFStock_Log[WeekIndex],87)=0,"",SUMIFS(T_TTAFStock_Log[TTAF_Qty],T_TTAFStock_Log[Part Name],$A35,T_TTAFStock_Log[WeekIndex],87))</f>
        <v/>
      </c>
      <c r="CK35" s="13">
        <f>IF(COUNTIFS(T_TTAFStock_Log[Part Name],$A35,T_TTAFStock_Log[WeekIndex],88)=0,"",SUMIFS(T_TTAFStock_Log[TTAF_Qty],T_TTAFStock_Log[Part Name],$A35,T_TTAFStock_Log[WeekIndex],88))</f>
        <v/>
      </c>
      <c r="CL35" s="13">
        <f>IF(COUNTIFS(T_TTAFStock_Log[Part Name],$A35,T_TTAFStock_Log[WeekIndex],89)=0,"",SUMIFS(T_TTAFStock_Log[TTAF_Qty],T_TTAFStock_Log[Part Name],$A35,T_TTAFStock_Log[WeekIndex],89))</f>
        <v/>
      </c>
      <c r="CM35" s="13">
        <f>IF(COUNTIFS(T_TTAFStock_Log[Part Name],$A35,T_TTAFStock_Log[WeekIndex],90)=0,"",SUMIFS(T_TTAFStock_Log[TTAF_Qty],T_TTAFStock_Log[Part Name],$A35,T_TTAFStock_Log[WeekIndex],90))</f>
        <v/>
      </c>
      <c r="CN35" s="13">
        <f>IF(COUNTIFS(T_TTAFStock_Log[Part Name],$A35,T_TTAFStock_Log[WeekIndex],91)=0,"",SUMIFS(T_TTAFStock_Log[TTAF_Qty],T_TTAFStock_Log[Part Name],$A35,T_TTAFStock_Log[WeekIndex],91))</f>
        <v/>
      </c>
      <c r="CO35" s="13">
        <f>IF(COUNTIFS(T_TTAFStock_Log[Part Name],$A35,T_TTAFStock_Log[WeekIndex],92)=0,"",SUMIFS(T_TTAFStock_Log[TTAF_Qty],T_TTAFStock_Log[Part Name],$A35,T_TTAFStock_Log[WeekIndex],92))</f>
        <v/>
      </c>
      <c r="CP35" s="13">
        <f>IF(COUNTIFS(T_TTAFStock_Log[Part Name],$A35,T_TTAFStock_Log[WeekIndex],93)=0,"",SUMIFS(T_TTAFStock_Log[TTAF_Qty],T_TTAFStock_Log[Part Name],$A35,T_TTAFStock_Log[WeekIndex],93))</f>
        <v/>
      </c>
      <c r="CQ35" s="13">
        <f>IF(COUNTIFS(T_TTAFStock_Log[Part Name],$A35,T_TTAFStock_Log[WeekIndex],94)=0,"",SUMIFS(T_TTAFStock_Log[TTAF_Qty],T_TTAFStock_Log[Part Name],$A35,T_TTAFStock_Log[WeekIndex],94))</f>
        <v/>
      </c>
      <c r="CR35" s="13">
        <f>IF(COUNTIFS(T_TTAFStock_Log[Part Name],$A35,T_TTAFStock_Log[WeekIndex],95)=0,"",SUMIFS(T_TTAFStock_Log[TTAF_Qty],T_TTAFStock_Log[Part Name],$A35,T_TTAFStock_Log[WeekIndex],95))</f>
        <v/>
      </c>
      <c r="CS35" s="13">
        <f>IF(COUNTIFS(T_TTAFStock_Log[Part Name],$A35,T_TTAFStock_Log[WeekIndex],96)=0,"",SUMIFS(T_TTAFStock_Log[TTAF_Qty],T_TTAFStock_Log[Part Name],$A35,T_TTAFStock_Log[WeekIndex],96))</f>
        <v/>
      </c>
      <c r="CT35" s="13">
        <f>IF(COUNTIFS(T_TTAFStock_Log[Part Name],$A35,T_TTAFStock_Log[WeekIndex],97)=0,"",SUMIFS(T_TTAFStock_Log[TTAF_Qty],T_TTAFStock_Log[Part Name],$A35,T_TTAFStock_Log[WeekIndex],97))</f>
        <v/>
      </c>
      <c r="CU35" s="13">
        <f>IF(COUNTIFS(T_TTAFStock_Log[Part Name],$A35,T_TTAFStock_Log[WeekIndex],98)=0,"",SUMIFS(T_TTAFStock_Log[TTAF_Qty],T_TTAFStock_Log[Part Name],$A35,T_TTAFStock_Log[WeekIndex],98))</f>
        <v/>
      </c>
      <c r="CV35" s="13">
        <f>IF(COUNTIFS(T_TTAFStock_Log[Part Name],$A35,T_TTAFStock_Log[WeekIndex],99)=0,"",SUMIFS(T_TTAFStock_Log[TTAF_Qty],T_TTAFStock_Log[Part Name],$A35,T_TTAFStock_Log[WeekIndex],99))</f>
        <v/>
      </c>
      <c r="CW35" s="13">
        <f>IF(COUNTIFS(T_TTAFStock_Log[Part Name],$A35,T_TTAFStock_Log[WeekIndex],100)=0,"",SUMIFS(T_TTAFStock_Log[TTAF_Qty],T_TTAFStock_Log[Part Name],$A35,T_TTAFStock_Log[WeekIndex],100))</f>
        <v/>
      </c>
      <c r="CX35" s="13">
        <f>IF(COUNTIFS(T_TTAFStock_Log[Part Name],$A35,T_TTAFStock_Log[WeekIndex],101)=0,"",SUMIFS(T_TTAFStock_Log[TTAF_Qty],T_TTAFStock_Log[Part Name],$A35,T_TTAFStock_Log[WeekIndex],101))</f>
        <v/>
      </c>
      <c r="CY35" s="13">
        <f>IF(COUNTIFS(T_TTAFStock_Log[Part Name],$A35,T_TTAFStock_Log[WeekIndex],102)=0,"",SUMIFS(T_TTAFStock_Log[TTAF_Qty],T_TTAFStock_Log[Part Name],$A35,T_TTAFStock_Log[WeekIndex],102))</f>
        <v/>
      </c>
      <c r="CZ35" s="13">
        <f>IF(COUNTIFS(T_TTAFStock_Log[Part Name],$A35,T_TTAFStock_Log[WeekIndex],103)=0,"",SUMIFS(T_TTAFStock_Log[TTAF_Qty],T_TTAFStock_Log[Part Name],$A35,T_TTAFStock_Log[WeekIndex],103))</f>
        <v/>
      </c>
      <c r="DA35" s="13">
        <f>IF(COUNTIFS(T_TTAFStock_Log[Part Name],$A35,T_TTAFStock_Log[WeekIndex],104)=0,"",SUMIFS(T_TTAFStock_Log[TTAF_Qty],T_TTAFStock_Log[Part Name],$A35,T_TTAFStock_Log[WeekIndex],104))</f>
        <v/>
      </c>
    </row>
    <row r="36">
      <c r="A36" s="12" t="inlineStr">
        <is>
          <t>CHEM-1430</t>
        </is>
      </c>
      <c r="B36" s="12">
        <f>IF(COUNTIFS(T_TTAFStock_Log[Part Name],$A36,T_TTAFStock_Log[WeekIndex],1)=0,"",SUMIFS(T_TTAFStock_Log[TTAF_Qty],T_TTAFStock_Log[Part Name],$A36,T_TTAFStock_Log[WeekIndex],1))</f>
        <v/>
      </c>
      <c r="C36" s="12">
        <f>IF(COUNTIFS(T_TTAFStock_Log[Part Name],$A36,T_TTAFStock_Log[WeekIndex],2)=0,"",SUMIFS(T_TTAFStock_Log[TTAF_Qty],T_TTAFStock_Log[Part Name],$A36,T_TTAFStock_Log[WeekIndex],2))</f>
        <v/>
      </c>
      <c r="D36" s="12">
        <f>IF(COUNTIFS(T_TTAFStock_Log[Part Name],$A36,T_TTAFStock_Log[WeekIndex],3)=0,"",SUMIFS(T_TTAFStock_Log[TTAF_Qty],T_TTAFStock_Log[Part Name],$A36,T_TTAFStock_Log[WeekIndex],3))</f>
        <v/>
      </c>
      <c r="E36" s="12">
        <f>IF(COUNTIFS(T_TTAFStock_Log[Part Name],$A36,T_TTAFStock_Log[WeekIndex],4)=0,"",SUMIFS(T_TTAFStock_Log[TTAF_Qty],T_TTAFStock_Log[Part Name],$A36,T_TTAFStock_Log[WeekIndex],4))</f>
        <v/>
      </c>
      <c r="F36" s="12">
        <f>IF(COUNTIFS(T_TTAFStock_Log[Part Name],$A36,T_TTAFStock_Log[WeekIndex],5)=0,"",SUMIFS(T_TTAFStock_Log[TTAF_Qty],T_TTAFStock_Log[Part Name],$A36,T_TTAFStock_Log[WeekIndex],5))</f>
        <v/>
      </c>
      <c r="G36" s="12">
        <f>IF(COUNTIFS(T_TTAFStock_Log[Part Name],$A36,T_TTAFStock_Log[WeekIndex],6)=0,"",SUMIFS(T_TTAFStock_Log[TTAF_Qty],T_TTAFStock_Log[Part Name],$A36,T_TTAFStock_Log[WeekIndex],6))</f>
        <v/>
      </c>
      <c r="H36" s="12">
        <f>IF(COUNTIFS(T_TTAFStock_Log[Part Name],$A36,T_TTAFStock_Log[WeekIndex],7)=0,"",SUMIFS(T_TTAFStock_Log[TTAF_Qty],T_TTAFStock_Log[Part Name],$A36,T_TTAFStock_Log[WeekIndex],7))</f>
        <v/>
      </c>
      <c r="I36" s="12">
        <f>IF(COUNTIFS(T_TTAFStock_Log[Part Name],$A36,T_TTAFStock_Log[WeekIndex],8)=0,"",SUMIFS(T_TTAFStock_Log[TTAF_Qty],T_TTAFStock_Log[Part Name],$A36,T_TTAFStock_Log[WeekIndex],8))</f>
        <v/>
      </c>
      <c r="J36" s="12">
        <f>IF(COUNTIFS(T_TTAFStock_Log[Part Name],$A36,T_TTAFStock_Log[WeekIndex],9)=0,"",SUMIFS(T_TTAFStock_Log[TTAF_Qty],T_TTAFStock_Log[Part Name],$A36,T_TTAFStock_Log[WeekIndex],9))</f>
        <v/>
      </c>
      <c r="K36" s="12">
        <f>IF(COUNTIFS(T_TTAFStock_Log[Part Name],$A36,T_TTAFStock_Log[WeekIndex],10)=0,"",SUMIFS(T_TTAFStock_Log[TTAF_Qty],T_TTAFStock_Log[Part Name],$A36,T_TTAFStock_Log[WeekIndex],10))</f>
        <v/>
      </c>
      <c r="L36" s="12">
        <f>IF(COUNTIFS(T_TTAFStock_Log[Part Name],$A36,T_TTAFStock_Log[WeekIndex],11)=0,"",SUMIFS(T_TTAFStock_Log[TTAF_Qty],T_TTAFStock_Log[Part Name],$A36,T_TTAFStock_Log[WeekIndex],11))</f>
        <v/>
      </c>
      <c r="M36" s="12">
        <f>IF(COUNTIFS(T_TTAFStock_Log[Part Name],$A36,T_TTAFStock_Log[WeekIndex],12)=0,"",SUMIFS(T_TTAFStock_Log[TTAF_Qty],T_TTAFStock_Log[Part Name],$A36,T_TTAFStock_Log[WeekIndex],12))</f>
        <v/>
      </c>
      <c r="N36" s="12">
        <f>IF(COUNTIFS(T_TTAFStock_Log[Part Name],$A36,T_TTAFStock_Log[WeekIndex],13)=0,"",SUMIFS(T_TTAFStock_Log[TTAF_Qty],T_TTAFStock_Log[Part Name],$A36,T_TTAFStock_Log[WeekIndex],13))</f>
        <v/>
      </c>
      <c r="O36" s="12">
        <f>IF(COUNTIFS(T_TTAFStock_Log[Part Name],$A36,T_TTAFStock_Log[WeekIndex],14)=0,"",SUMIFS(T_TTAFStock_Log[TTAF_Qty],T_TTAFStock_Log[Part Name],$A36,T_TTAFStock_Log[WeekIndex],14))</f>
        <v/>
      </c>
      <c r="P36" s="12">
        <f>IF(COUNTIFS(T_TTAFStock_Log[Part Name],$A36,T_TTAFStock_Log[WeekIndex],15)=0,"",SUMIFS(T_TTAFStock_Log[TTAF_Qty],T_TTAFStock_Log[Part Name],$A36,T_TTAFStock_Log[WeekIndex],15))</f>
        <v/>
      </c>
      <c r="Q36" s="12">
        <f>IF(COUNTIFS(T_TTAFStock_Log[Part Name],$A36,T_TTAFStock_Log[WeekIndex],16)=0,"",SUMIFS(T_TTAFStock_Log[TTAF_Qty],T_TTAFStock_Log[Part Name],$A36,T_TTAFStock_Log[WeekIndex],16))</f>
        <v/>
      </c>
      <c r="R36" s="12">
        <f>IF(COUNTIFS(T_TTAFStock_Log[Part Name],$A36,T_TTAFStock_Log[WeekIndex],17)=0,"",SUMIFS(T_TTAFStock_Log[TTAF_Qty],T_TTAFStock_Log[Part Name],$A36,T_TTAFStock_Log[WeekIndex],17))</f>
        <v/>
      </c>
      <c r="S36" s="12">
        <f>IF(COUNTIFS(T_TTAFStock_Log[Part Name],$A36,T_TTAFStock_Log[WeekIndex],18)=0,"",SUMIFS(T_TTAFStock_Log[TTAF_Qty],T_TTAFStock_Log[Part Name],$A36,T_TTAFStock_Log[WeekIndex],18))</f>
        <v/>
      </c>
      <c r="T36" s="12">
        <f>IF(COUNTIFS(T_TTAFStock_Log[Part Name],$A36,T_TTAFStock_Log[WeekIndex],19)=0,"",SUMIFS(T_TTAFStock_Log[TTAF_Qty],T_TTAFStock_Log[Part Name],$A36,T_TTAFStock_Log[WeekIndex],19))</f>
        <v/>
      </c>
      <c r="U36" s="12">
        <f>IF(COUNTIFS(T_TTAFStock_Log[Part Name],$A36,T_TTAFStock_Log[WeekIndex],20)=0,"",SUMIFS(T_TTAFStock_Log[TTAF_Qty],T_TTAFStock_Log[Part Name],$A36,T_TTAFStock_Log[WeekIndex],20))</f>
        <v/>
      </c>
      <c r="V36" s="12">
        <f>IF(COUNTIFS(T_TTAFStock_Log[Part Name],$A36,T_TTAFStock_Log[WeekIndex],21)=0,"",SUMIFS(T_TTAFStock_Log[TTAF_Qty],T_TTAFStock_Log[Part Name],$A36,T_TTAFStock_Log[WeekIndex],21))</f>
        <v/>
      </c>
      <c r="W36" s="12">
        <f>IF(COUNTIFS(T_TTAFStock_Log[Part Name],$A36,T_TTAFStock_Log[WeekIndex],22)=0,"",SUMIFS(T_TTAFStock_Log[TTAF_Qty],T_TTAFStock_Log[Part Name],$A36,T_TTAFStock_Log[WeekIndex],22))</f>
        <v/>
      </c>
      <c r="X36" s="12">
        <f>IF(COUNTIFS(T_TTAFStock_Log[Part Name],$A36,T_TTAFStock_Log[WeekIndex],23)=0,"",SUMIFS(T_TTAFStock_Log[TTAF_Qty],T_TTAFStock_Log[Part Name],$A36,T_TTAFStock_Log[WeekIndex],23))</f>
        <v/>
      </c>
      <c r="Y36" s="12">
        <f>IF(COUNTIFS(T_TTAFStock_Log[Part Name],$A36,T_TTAFStock_Log[WeekIndex],24)=0,"",SUMIFS(T_TTAFStock_Log[TTAF_Qty],T_TTAFStock_Log[Part Name],$A36,T_TTAFStock_Log[WeekIndex],24))</f>
        <v/>
      </c>
      <c r="Z36" s="12">
        <f>IF(COUNTIFS(T_TTAFStock_Log[Part Name],$A36,T_TTAFStock_Log[WeekIndex],25)=0,"",SUMIFS(T_TTAFStock_Log[TTAF_Qty],T_TTAFStock_Log[Part Name],$A36,T_TTAFStock_Log[WeekIndex],25))</f>
        <v/>
      </c>
      <c r="AA36" s="12">
        <f>IF(COUNTIFS(T_TTAFStock_Log[Part Name],$A36,T_TTAFStock_Log[WeekIndex],26)=0,"",SUMIFS(T_TTAFStock_Log[TTAF_Qty],T_TTAFStock_Log[Part Name],$A36,T_TTAFStock_Log[WeekIndex],26))</f>
        <v/>
      </c>
      <c r="AB36" s="12">
        <f>IF(COUNTIFS(T_TTAFStock_Log[Part Name],$A36,T_TTAFStock_Log[WeekIndex],27)=0,"",SUMIFS(T_TTAFStock_Log[TTAF_Qty],T_TTAFStock_Log[Part Name],$A36,T_TTAFStock_Log[WeekIndex],27))</f>
        <v/>
      </c>
      <c r="AC36" s="12">
        <f>IF(COUNTIFS(T_TTAFStock_Log[Part Name],$A36,T_TTAFStock_Log[WeekIndex],28)=0,"",SUMIFS(T_TTAFStock_Log[TTAF_Qty],T_TTAFStock_Log[Part Name],$A36,T_TTAFStock_Log[WeekIndex],28))</f>
        <v/>
      </c>
      <c r="AD36" s="12">
        <f>IF(COUNTIFS(T_TTAFStock_Log[Part Name],$A36,T_TTAFStock_Log[WeekIndex],29)=0,"",SUMIFS(T_TTAFStock_Log[TTAF_Qty],T_TTAFStock_Log[Part Name],$A36,T_TTAFStock_Log[WeekIndex],29))</f>
        <v/>
      </c>
      <c r="AE36" s="12">
        <f>IF(COUNTIFS(T_TTAFStock_Log[Part Name],$A36,T_TTAFStock_Log[WeekIndex],30)=0,"",SUMIFS(T_TTAFStock_Log[TTAF_Qty],T_TTAFStock_Log[Part Name],$A36,T_TTAFStock_Log[WeekIndex],30))</f>
        <v/>
      </c>
      <c r="AF36" s="12">
        <f>IF(COUNTIFS(T_TTAFStock_Log[Part Name],$A36,T_TTAFStock_Log[WeekIndex],31)=0,"",SUMIFS(T_TTAFStock_Log[TTAF_Qty],T_TTAFStock_Log[Part Name],$A36,T_TTAFStock_Log[WeekIndex],31))</f>
        <v/>
      </c>
      <c r="AG36" s="12">
        <f>IF(COUNTIFS(T_TTAFStock_Log[Part Name],$A36,T_TTAFStock_Log[WeekIndex],32)=0,"",SUMIFS(T_TTAFStock_Log[TTAF_Qty],T_TTAFStock_Log[Part Name],$A36,T_TTAFStock_Log[WeekIndex],32))</f>
        <v/>
      </c>
      <c r="AH36" s="12">
        <f>IF(COUNTIFS(T_TTAFStock_Log[Part Name],$A36,T_TTAFStock_Log[WeekIndex],33)=0,"",SUMIFS(T_TTAFStock_Log[TTAF_Qty],T_TTAFStock_Log[Part Name],$A36,T_TTAFStock_Log[WeekIndex],33))</f>
        <v/>
      </c>
      <c r="AI36" s="12">
        <f>IF(COUNTIFS(T_TTAFStock_Log[Part Name],$A36,T_TTAFStock_Log[WeekIndex],34)=0,"",SUMIFS(T_TTAFStock_Log[TTAF_Qty],T_TTAFStock_Log[Part Name],$A36,T_TTAFStock_Log[WeekIndex],34))</f>
        <v/>
      </c>
      <c r="AJ36" s="12">
        <f>IF(COUNTIFS(T_TTAFStock_Log[Part Name],$A36,T_TTAFStock_Log[WeekIndex],35)=0,"",SUMIFS(T_TTAFStock_Log[TTAF_Qty],T_TTAFStock_Log[Part Name],$A36,T_TTAFStock_Log[WeekIndex],35))</f>
        <v/>
      </c>
      <c r="AK36" s="12">
        <f>IF(COUNTIFS(T_TTAFStock_Log[Part Name],$A36,T_TTAFStock_Log[WeekIndex],36)=0,"",SUMIFS(T_TTAFStock_Log[TTAF_Qty],T_TTAFStock_Log[Part Name],$A36,T_TTAFStock_Log[WeekIndex],36))</f>
        <v/>
      </c>
      <c r="AL36" s="12">
        <f>IF(COUNTIFS(T_TTAFStock_Log[Part Name],$A36,T_TTAFStock_Log[WeekIndex],37)=0,"",SUMIFS(T_TTAFStock_Log[TTAF_Qty],T_TTAFStock_Log[Part Name],$A36,T_TTAFStock_Log[WeekIndex],37))</f>
        <v/>
      </c>
      <c r="AM36" s="12">
        <f>IF(COUNTIFS(T_TTAFStock_Log[Part Name],$A36,T_TTAFStock_Log[WeekIndex],38)=0,"",SUMIFS(T_TTAFStock_Log[TTAF_Qty],T_TTAFStock_Log[Part Name],$A36,T_TTAFStock_Log[WeekIndex],38))</f>
        <v/>
      </c>
      <c r="AN36" s="12">
        <f>IF(COUNTIFS(T_TTAFStock_Log[Part Name],$A36,T_TTAFStock_Log[WeekIndex],39)=0,"",SUMIFS(T_TTAFStock_Log[TTAF_Qty],T_TTAFStock_Log[Part Name],$A36,T_TTAFStock_Log[WeekIndex],39))</f>
        <v/>
      </c>
      <c r="AO36" s="12">
        <f>IF(COUNTIFS(T_TTAFStock_Log[Part Name],$A36,T_TTAFStock_Log[WeekIndex],40)=0,"",SUMIFS(T_TTAFStock_Log[TTAF_Qty],T_TTAFStock_Log[Part Name],$A36,T_TTAFStock_Log[WeekIndex],40))</f>
        <v/>
      </c>
      <c r="AP36" s="12">
        <f>IF(COUNTIFS(T_TTAFStock_Log[Part Name],$A36,T_TTAFStock_Log[WeekIndex],41)=0,"",SUMIFS(T_TTAFStock_Log[TTAF_Qty],T_TTAFStock_Log[Part Name],$A36,T_TTAFStock_Log[WeekIndex],41))</f>
        <v/>
      </c>
      <c r="AQ36" s="12">
        <f>IF(COUNTIFS(T_TTAFStock_Log[Part Name],$A36,T_TTAFStock_Log[WeekIndex],42)=0,"",SUMIFS(T_TTAFStock_Log[TTAF_Qty],T_TTAFStock_Log[Part Name],$A36,T_TTAFStock_Log[WeekIndex],42))</f>
        <v/>
      </c>
      <c r="AR36" s="12">
        <f>IF(COUNTIFS(T_TTAFStock_Log[Part Name],$A36,T_TTAFStock_Log[WeekIndex],43)=0,"",SUMIFS(T_TTAFStock_Log[TTAF_Qty],T_TTAFStock_Log[Part Name],$A36,T_TTAFStock_Log[WeekIndex],43))</f>
        <v/>
      </c>
      <c r="AS36" s="12">
        <f>IF(COUNTIFS(T_TTAFStock_Log[Part Name],$A36,T_TTAFStock_Log[WeekIndex],44)=0,"",SUMIFS(T_TTAFStock_Log[TTAF_Qty],T_TTAFStock_Log[Part Name],$A36,T_TTAFStock_Log[WeekIndex],44))</f>
        <v/>
      </c>
      <c r="AT36" s="12">
        <f>IF(COUNTIFS(T_TTAFStock_Log[Part Name],$A36,T_TTAFStock_Log[WeekIndex],45)=0,"",SUMIFS(T_TTAFStock_Log[TTAF_Qty],T_TTAFStock_Log[Part Name],$A36,T_TTAFStock_Log[WeekIndex],45))</f>
        <v/>
      </c>
      <c r="AU36" s="12">
        <f>IF(COUNTIFS(T_TTAFStock_Log[Part Name],$A36,T_TTAFStock_Log[WeekIndex],46)=0,"",SUMIFS(T_TTAFStock_Log[TTAF_Qty],T_TTAFStock_Log[Part Name],$A36,T_TTAFStock_Log[WeekIndex],46))</f>
        <v/>
      </c>
      <c r="AV36" s="12">
        <f>IF(COUNTIFS(T_TTAFStock_Log[Part Name],$A36,T_TTAFStock_Log[WeekIndex],47)=0,"",SUMIFS(T_TTAFStock_Log[TTAF_Qty],T_TTAFStock_Log[Part Name],$A36,T_TTAFStock_Log[WeekIndex],47))</f>
        <v/>
      </c>
      <c r="AW36" s="12">
        <f>IF(COUNTIFS(T_TTAFStock_Log[Part Name],$A36,T_TTAFStock_Log[WeekIndex],48)=0,"",SUMIFS(T_TTAFStock_Log[TTAF_Qty],T_TTAFStock_Log[Part Name],$A36,T_TTAFStock_Log[WeekIndex],48))</f>
        <v/>
      </c>
      <c r="AX36" s="12">
        <f>IF(COUNTIFS(T_TTAFStock_Log[Part Name],$A36,T_TTAFStock_Log[WeekIndex],49)=0,"",SUMIFS(T_TTAFStock_Log[TTAF_Qty],T_TTAFStock_Log[Part Name],$A36,T_TTAFStock_Log[WeekIndex],49))</f>
        <v/>
      </c>
      <c r="AY36" s="12">
        <f>IF(COUNTIFS(T_TTAFStock_Log[Part Name],$A36,T_TTAFStock_Log[WeekIndex],50)=0,"",SUMIFS(T_TTAFStock_Log[TTAF_Qty],T_TTAFStock_Log[Part Name],$A36,T_TTAFStock_Log[WeekIndex],50))</f>
        <v/>
      </c>
      <c r="AZ36" s="12">
        <f>IF(COUNTIFS(T_TTAFStock_Log[Part Name],$A36,T_TTAFStock_Log[WeekIndex],51)=0,"",SUMIFS(T_TTAFStock_Log[TTAF_Qty],T_TTAFStock_Log[Part Name],$A36,T_TTAFStock_Log[WeekIndex],51))</f>
        <v/>
      </c>
      <c r="BA36" s="12">
        <f>IF(COUNTIFS(T_TTAFStock_Log[Part Name],$A36,T_TTAFStock_Log[WeekIndex],52)=0,"",SUMIFS(T_TTAFStock_Log[TTAF_Qty],T_TTAFStock_Log[Part Name],$A36,T_TTAFStock_Log[WeekIndex],52))</f>
        <v/>
      </c>
      <c r="BB36" s="12">
        <f>IF(COUNTIFS(T_TTAFStock_Log[Part Name],$A36,T_TTAFStock_Log[WeekIndex],53)=0,"",SUMIFS(T_TTAFStock_Log[TTAF_Qty],T_TTAFStock_Log[Part Name],$A36,T_TTAFStock_Log[WeekIndex],53))</f>
        <v/>
      </c>
      <c r="BC36" s="12">
        <f>IF(COUNTIFS(T_TTAFStock_Log[Part Name],$A36,T_TTAFStock_Log[WeekIndex],54)=0,"",SUMIFS(T_TTAFStock_Log[TTAF_Qty],T_TTAFStock_Log[Part Name],$A36,T_TTAFStock_Log[WeekIndex],54))</f>
        <v/>
      </c>
      <c r="BD36" s="12">
        <f>IF(COUNTIFS(T_TTAFStock_Log[Part Name],$A36,T_TTAFStock_Log[WeekIndex],55)=0,"",SUMIFS(T_TTAFStock_Log[TTAF_Qty],T_TTAFStock_Log[Part Name],$A36,T_TTAFStock_Log[WeekIndex],55))</f>
        <v/>
      </c>
      <c r="BE36" s="12">
        <f>IF(COUNTIFS(T_TTAFStock_Log[Part Name],$A36,T_TTAFStock_Log[WeekIndex],56)=0,"",SUMIFS(T_TTAFStock_Log[TTAF_Qty],T_TTAFStock_Log[Part Name],$A36,T_TTAFStock_Log[WeekIndex],56))</f>
        <v/>
      </c>
      <c r="BF36" s="12">
        <f>IF(COUNTIFS(T_TTAFStock_Log[Part Name],$A36,T_TTAFStock_Log[WeekIndex],57)=0,"",SUMIFS(T_TTAFStock_Log[TTAF_Qty],T_TTAFStock_Log[Part Name],$A36,T_TTAFStock_Log[WeekIndex],57))</f>
        <v/>
      </c>
      <c r="BG36" s="12">
        <f>IF(COUNTIFS(T_TTAFStock_Log[Part Name],$A36,T_TTAFStock_Log[WeekIndex],58)=0,"",SUMIFS(T_TTAFStock_Log[TTAF_Qty],T_TTAFStock_Log[Part Name],$A36,T_TTAFStock_Log[WeekIndex],58))</f>
        <v/>
      </c>
      <c r="BH36" s="12">
        <f>IF(COUNTIFS(T_TTAFStock_Log[Part Name],$A36,T_TTAFStock_Log[WeekIndex],59)=0,"",SUMIFS(T_TTAFStock_Log[TTAF_Qty],T_TTAFStock_Log[Part Name],$A36,T_TTAFStock_Log[WeekIndex],59))</f>
        <v/>
      </c>
      <c r="BI36" s="12">
        <f>IF(COUNTIFS(T_TTAFStock_Log[Part Name],$A36,T_TTAFStock_Log[WeekIndex],60)=0,"",SUMIFS(T_TTAFStock_Log[TTAF_Qty],T_TTAFStock_Log[Part Name],$A36,T_TTAFStock_Log[WeekIndex],60))</f>
        <v/>
      </c>
      <c r="BJ36" s="12">
        <f>IF(COUNTIFS(T_TTAFStock_Log[Part Name],$A36,T_TTAFStock_Log[WeekIndex],61)=0,"",SUMIFS(T_TTAFStock_Log[TTAF_Qty],T_TTAFStock_Log[Part Name],$A36,T_TTAFStock_Log[WeekIndex],61))</f>
        <v/>
      </c>
      <c r="BK36" s="12">
        <f>IF(COUNTIFS(T_TTAFStock_Log[Part Name],$A36,T_TTAFStock_Log[WeekIndex],62)=0,"",SUMIFS(T_TTAFStock_Log[TTAF_Qty],T_TTAFStock_Log[Part Name],$A36,T_TTAFStock_Log[WeekIndex],62))</f>
        <v/>
      </c>
      <c r="BL36" s="12">
        <f>IF(COUNTIFS(T_TTAFStock_Log[Part Name],$A36,T_TTAFStock_Log[WeekIndex],63)=0,"",SUMIFS(T_TTAFStock_Log[TTAF_Qty],T_TTAFStock_Log[Part Name],$A36,T_TTAFStock_Log[WeekIndex],63))</f>
        <v/>
      </c>
      <c r="BM36" s="12">
        <f>IF(COUNTIFS(T_TTAFStock_Log[Part Name],$A36,T_TTAFStock_Log[WeekIndex],64)=0,"",SUMIFS(T_TTAFStock_Log[TTAF_Qty],T_TTAFStock_Log[Part Name],$A36,T_TTAFStock_Log[WeekIndex],64))</f>
        <v/>
      </c>
      <c r="BN36" s="12">
        <f>IF(COUNTIFS(T_TTAFStock_Log[Part Name],$A36,T_TTAFStock_Log[WeekIndex],65)=0,"",SUMIFS(T_TTAFStock_Log[TTAF_Qty],T_TTAFStock_Log[Part Name],$A36,T_TTAFStock_Log[WeekIndex],65))</f>
        <v/>
      </c>
      <c r="BO36" s="12">
        <f>IF(COUNTIFS(T_TTAFStock_Log[Part Name],$A36,T_TTAFStock_Log[WeekIndex],66)=0,"",SUMIFS(T_TTAFStock_Log[TTAF_Qty],T_TTAFStock_Log[Part Name],$A36,T_TTAFStock_Log[WeekIndex],66))</f>
        <v/>
      </c>
      <c r="BP36" s="12">
        <f>IF(COUNTIFS(T_TTAFStock_Log[Part Name],$A36,T_TTAFStock_Log[WeekIndex],67)=0,"",SUMIFS(T_TTAFStock_Log[TTAF_Qty],T_TTAFStock_Log[Part Name],$A36,T_TTAFStock_Log[WeekIndex],67))</f>
        <v/>
      </c>
      <c r="BQ36" s="12">
        <f>IF(COUNTIFS(T_TTAFStock_Log[Part Name],$A36,T_TTAFStock_Log[WeekIndex],68)=0,"",SUMIFS(T_TTAFStock_Log[TTAF_Qty],T_TTAFStock_Log[Part Name],$A36,T_TTAFStock_Log[WeekIndex],68))</f>
        <v/>
      </c>
      <c r="BR36" s="12">
        <f>IF(COUNTIFS(T_TTAFStock_Log[Part Name],$A36,T_TTAFStock_Log[WeekIndex],69)=0,"",SUMIFS(T_TTAFStock_Log[TTAF_Qty],T_TTAFStock_Log[Part Name],$A36,T_TTAFStock_Log[WeekIndex],69))</f>
        <v/>
      </c>
      <c r="BS36" s="12">
        <f>IF(COUNTIFS(T_TTAFStock_Log[Part Name],$A36,T_TTAFStock_Log[WeekIndex],70)=0,"",SUMIFS(T_TTAFStock_Log[TTAF_Qty],T_TTAFStock_Log[Part Name],$A36,T_TTAFStock_Log[WeekIndex],70))</f>
        <v/>
      </c>
      <c r="BT36" s="12">
        <f>IF(COUNTIFS(T_TTAFStock_Log[Part Name],$A36,T_TTAFStock_Log[WeekIndex],71)=0,"",SUMIFS(T_TTAFStock_Log[TTAF_Qty],T_TTAFStock_Log[Part Name],$A36,T_TTAFStock_Log[WeekIndex],71))</f>
        <v/>
      </c>
      <c r="BU36" s="12">
        <f>IF(COUNTIFS(T_TTAFStock_Log[Part Name],$A36,T_TTAFStock_Log[WeekIndex],72)=0,"",SUMIFS(T_TTAFStock_Log[TTAF_Qty],T_TTAFStock_Log[Part Name],$A36,T_TTAFStock_Log[WeekIndex],72))</f>
        <v/>
      </c>
      <c r="BV36" s="12">
        <f>IF(COUNTIFS(T_TTAFStock_Log[Part Name],$A36,T_TTAFStock_Log[WeekIndex],73)=0,"",SUMIFS(T_TTAFStock_Log[TTAF_Qty],T_TTAFStock_Log[Part Name],$A36,T_TTAFStock_Log[WeekIndex],73))</f>
        <v/>
      </c>
      <c r="BW36" s="12">
        <f>IF(COUNTIFS(T_TTAFStock_Log[Part Name],$A36,T_TTAFStock_Log[WeekIndex],74)=0,"",SUMIFS(T_TTAFStock_Log[TTAF_Qty],T_TTAFStock_Log[Part Name],$A36,T_TTAFStock_Log[WeekIndex],74))</f>
        <v/>
      </c>
      <c r="BX36" s="12">
        <f>IF(COUNTIFS(T_TTAFStock_Log[Part Name],$A36,T_TTAFStock_Log[WeekIndex],75)=0,"",SUMIFS(T_TTAFStock_Log[TTAF_Qty],T_TTAFStock_Log[Part Name],$A36,T_TTAFStock_Log[WeekIndex],75))</f>
        <v/>
      </c>
      <c r="BY36" s="12">
        <f>IF(COUNTIFS(T_TTAFStock_Log[Part Name],$A36,T_TTAFStock_Log[WeekIndex],76)=0,"",SUMIFS(T_TTAFStock_Log[TTAF_Qty],T_TTAFStock_Log[Part Name],$A36,T_TTAFStock_Log[WeekIndex],76))</f>
        <v/>
      </c>
      <c r="BZ36" s="12">
        <f>IF(COUNTIFS(T_TTAFStock_Log[Part Name],$A36,T_TTAFStock_Log[WeekIndex],77)=0,"",SUMIFS(T_TTAFStock_Log[TTAF_Qty],T_TTAFStock_Log[Part Name],$A36,T_TTAFStock_Log[WeekIndex],77))</f>
        <v/>
      </c>
      <c r="CA36" s="12">
        <f>IF(COUNTIFS(T_TTAFStock_Log[Part Name],$A36,T_TTAFStock_Log[WeekIndex],78)=0,"",SUMIFS(T_TTAFStock_Log[TTAF_Qty],T_TTAFStock_Log[Part Name],$A36,T_TTAFStock_Log[WeekIndex],78))</f>
        <v/>
      </c>
      <c r="CB36" s="12">
        <f>IF(COUNTIFS(T_TTAFStock_Log[Part Name],$A36,T_TTAFStock_Log[WeekIndex],79)=0,"",SUMIFS(T_TTAFStock_Log[TTAF_Qty],T_TTAFStock_Log[Part Name],$A36,T_TTAFStock_Log[WeekIndex],79))</f>
        <v/>
      </c>
      <c r="CC36" s="12">
        <f>IF(COUNTIFS(T_TTAFStock_Log[Part Name],$A36,T_TTAFStock_Log[WeekIndex],80)=0,"",SUMIFS(T_TTAFStock_Log[TTAF_Qty],T_TTAFStock_Log[Part Name],$A36,T_TTAFStock_Log[WeekIndex],80))</f>
        <v/>
      </c>
      <c r="CD36" s="12">
        <f>IF(COUNTIFS(T_TTAFStock_Log[Part Name],$A36,T_TTAFStock_Log[WeekIndex],81)=0,"",SUMIFS(T_TTAFStock_Log[TTAF_Qty],T_TTAFStock_Log[Part Name],$A36,T_TTAFStock_Log[WeekIndex],81))</f>
        <v/>
      </c>
      <c r="CE36" s="12">
        <f>IF(COUNTIFS(T_TTAFStock_Log[Part Name],$A36,T_TTAFStock_Log[WeekIndex],82)=0,"",SUMIFS(T_TTAFStock_Log[TTAF_Qty],T_TTAFStock_Log[Part Name],$A36,T_TTAFStock_Log[WeekIndex],82))</f>
        <v/>
      </c>
      <c r="CF36" s="12">
        <f>IF(COUNTIFS(T_TTAFStock_Log[Part Name],$A36,T_TTAFStock_Log[WeekIndex],83)=0,"",SUMIFS(T_TTAFStock_Log[TTAF_Qty],T_TTAFStock_Log[Part Name],$A36,T_TTAFStock_Log[WeekIndex],83))</f>
        <v/>
      </c>
      <c r="CG36" s="12">
        <f>IF(COUNTIFS(T_TTAFStock_Log[Part Name],$A36,T_TTAFStock_Log[WeekIndex],84)=0,"",SUMIFS(T_TTAFStock_Log[TTAF_Qty],T_TTAFStock_Log[Part Name],$A36,T_TTAFStock_Log[WeekIndex],84))</f>
        <v/>
      </c>
      <c r="CH36" s="12">
        <f>IF(COUNTIFS(T_TTAFStock_Log[Part Name],$A36,T_TTAFStock_Log[WeekIndex],85)=0,"",SUMIFS(T_TTAFStock_Log[TTAF_Qty],T_TTAFStock_Log[Part Name],$A36,T_TTAFStock_Log[WeekIndex],85))</f>
        <v/>
      </c>
      <c r="CI36" s="12">
        <f>IF(COUNTIFS(T_TTAFStock_Log[Part Name],$A36,T_TTAFStock_Log[WeekIndex],86)=0,"",SUMIFS(T_TTAFStock_Log[TTAF_Qty],T_TTAFStock_Log[Part Name],$A36,T_TTAFStock_Log[WeekIndex],86))</f>
        <v/>
      </c>
      <c r="CJ36" s="12">
        <f>IF(COUNTIFS(T_TTAFStock_Log[Part Name],$A36,T_TTAFStock_Log[WeekIndex],87)=0,"",SUMIFS(T_TTAFStock_Log[TTAF_Qty],T_TTAFStock_Log[Part Name],$A36,T_TTAFStock_Log[WeekIndex],87))</f>
        <v/>
      </c>
      <c r="CK36" s="12">
        <f>IF(COUNTIFS(T_TTAFStock_Log[Part Name],$A36,T_TTAFStock_Log[WeekIndex],88)=0,"",SUMIFS(T_TTAFStock_Log[TTAF_Qty],T_TTAFStock_Log[Part Name],$A36,T_TTAFStock_Log[WeekIndex],88))</f>
        <v/>
      </c>
      <c r="CL36" s="12">
        <f>IF(COUNTIFS(T_TTAFStock_Log[Part Name],$A36,T_TTAFStock_Log[WeekIndex],89)=0,"",SUMIFS(T_TTAFStock_Log[TTAF_Qty],T_TTAFStock_Log[Part Name],$A36,T_TTAFStock_Log[WeekIndex],89))</f>
        <v/>
      </c>
      <c r="CM36" s="12">
        <f>IF(COUNTIFS(T_TTAFStock_Log[Part Name],$A36,T_TTAFStock_Log[WeekIndex],90)=0,"",SUMIFS(T_TTAFStock_Log[TTAF_Qty],T_TTAFStock_Log[Part Name],$A36,T_TTAFStock_Log[WeekIndex],90))</f>
        <v/>
      </c>
      <c r="CN36" s="12">
        <f>IF(COUNTIFS(T_TTAFStock_Log[Part Name],$A36,T_TTAFStock_Log[WeekIndex],91)=0,"",SUMIFS(T_TTAFStock_Log[TTAF_Qty],T_TTAFStock_Log[Part Name],$A36,T_TTAFStock_Log[WeekIndex],91))</f>
        <v/>
      </c>
      <c r="CO36" s="12">
        <f>IF(COUNTIFS(T_TTAFStock_Log[Part Name],$A36,T_TTAFStock_Log[WeekIndex],92)=0,"",SUMIFS(T_TTAFStock_Log[TTAF_Qty],T_TTAFStock_Log[Part Name],$A36,T_TTAFStock_Log[WeekIndex],92))</f>
        <v/>
      </c>
      <c r="CP36" s="12">
        <f>IF(COUNTIFS(T_TTAFStock_Log[Part Name],$A36,T_TTAFStock_Log[WeekIndex],93)=0,"",SUMIFS(T_TTAFStock_Log[TTAF_Qty],T_TTAFStock_Log[Part Name],$A36,T_TTAFStock_Log[WeekIndex],93))</f>
        <v/>
      </c>
      <c r="CQ36" s="12">
        <f>IF(COUNTIFS(T_TTAFStock_Log[Part Name],$A36,T_TTAFStock_Log[WeekIndex],94)=0,"",SUMIFS(T_TTAFStock_Log[TTAF_Qty],T_TTAFStock_Log[Part Name],$A36,T_TTAFStock_Log[WeekIndex],94))</f>
        <v/>
      </c>
      <c r="CR36" s="12">
        <f>IF(COUNTIFS(T_TTAFStock_Log[Part Name],$A36,T_TTAFStock_Log[WeekIndex],95)=0,"",SUMIFS(T_TTAFStock_Log[TTAF_Qty],T_TTAFStock_Log[Part Name],$A36,T_TTAFStock_Log[WeekIndex],95))</f>
        <v/>
      </c>
      <c r="CS36" s="12">
        <f>IF(COUNTIFS(T_TTAFStock_Log[Part Name],$A36,T_TTAFStock_Log[WeekIndex],96)=0,"",SUMIFS(T_TTAFStock_Log[TTAF_Qty],T_TTAFStock_Log[Part Name],$A36,T_TTAFStock_Log[WeekIndex],96))</f>
        <v/>
      </c>
      <c r="CT36" s="12">
        <f>IF(COUNTIFS(T_TTAFStock_Log[Part Name],$A36,T_TTAFStock_Log[WeekIndex],97)=0,"",SUMIFS(T_TTAFStock_Log[TTAF_Qty],T_TTAFStock_Log[Part Name],$A36,T_TTAFStock_Log[WeekIndex],97))</f>
        <v/>
      </c>
      <c r="CU36" s="12">
        <f>IF(COUNTIFS(T_TTAFStock_Log[Part Name],$A36,T_TTAFStock_Log[WeekIndex],98)=0,"",SUMIFS(T_TTAFStock_Log[TTAF_Qty],T_TTAFStock_Log[Part Name],$A36,T_TTAFStock_Log[WeekIndex],98))</f>
        <v/>
      </c>
      <c r="CV36" s="12">
        <f>IF(COUNTIFS(T_TTAFStock_Log[Part Name],$A36,T_TTAFStock_Log[WeekIndex],99)=0,"",SUMIFS(T_TTAFStock_Log[TTAF_Qty],T_TTAFStock_Log[Part Name],$A36,T_TTAFStock_Log[WeekIndex],99))</f>
        <v/>
      </c>
      <c r="CW36" s="12">
        <f>IF(COUNTIFS(T_TTAFStock_Log[Part Name],$A36,T_TTAFStock_Log[WeekIndex],100)=0,"",SUMIFS(T_TTAFStock_Log[TTAF_Qty],T_TTAFStock_Log[Part Name],$A36,T_TTAFStock_Log[WeekIndex],100))</f>
        <v/>
      </c>
      <c r="CX36" s="12">
        <f>IF(COUNTIFS(T_TTAFStock_Log[Part Name],$A36,T_TTAFStock_Log[WeekIndex],101)=0,"",SUMIFS(T_TTAFStock_Log[TTAF_Qty],T_TTAFStock_Log[Part Name],$A36,T_TTAFStock_Log[WeekIndex],101))</f>
        <v/>
      </c>
      <c r="CY36" s="12">
        <f>IF(COUNTIFS(T_TTAFStock_Log[Part Name],$A36,T_TTAFStock_Log[WeekIndex],102)=0,"",SUMIFS(T_TTAFStock_Log[TTAF_Qty],T_TTAFStock_Log[Part Name],$A36,T_TTAFStock_Log[WeekIndex],102))</f>
        <v/>
      </c>
      <c r="CZ36" s="12">
        <f>IF(COUNTIFS(T_TTAFStock_Log[Part Name],$A36,T_TTAFStock_Log[WeekIndex],103)=0,"",SUMIFS(T_TTAFStock_Log[TTAF_Qty],T_TTAFStock_Log[Part Name],$A36,T_TTAFStock_Log[WeekIndex],103))</f>
        <v/>
      </c>
      <c r="DA36" s="12">
        <f>IF(COUNTIFS(T_TTAFStock_Log[Part Name],$A36,T_TTAFStock_Log[WeekIndex],104)=0,"",SUMIFS(T_TTAFStock_Log[TTAF_Qty],T_TTAFStock_Log[Part Name],$A36,T_TTAFStock_Log[WeekIndex],104))</f>
        <v/>
      </c>
    </row>
    <row r="37">
      <c r="A37" s="13" t="inlineStr">
        <is>
          <t>CHEM-1480</t>
        </is>
      </c>
      <c r="B37" s="13">
        <f>IF(COUNTIFS(T_TTAFStock_Log[Part Name],$A37,T_TTAFStock_Log[WeekIndex],1)=0,"",SUMIFS(T_TTAFStock_Log[TTAF_Qty],T_TTAFStock_Log[Part Name],$A37,T_TTAFStock_Log[WeekIndex],1))</f>
        <v/>
      </c>
      <c r="C37" s="13">
        <f>IF(COUNTIFS(T_TTAFStock_Log[Part Name],$A37,T_TTAFStock_Log[WeekIndex],2)=0,"",SUMIFS(T_TTAFStock_Log[TTAF_Qty],T_TTAFStock_Log[Part Name],$A37,T_TTAFStock_Log[WeekIndex],2))</f>
        <v/>
      </c>
      <c r="D37" s="13">
        <f>IF(COUNTIFS(T_TTAFStock_Log[Part Name],$A37,T_TTAFStock_Log[WeekIndex],3)=0,"",SUMIFS(T_TTAFStock_Log[TTAF_Qty],T_TTAFStock_Log[Part Name],$A37,T_TTAFStock_Log[WeekIndex],3))</f>
        <v/>
      </c>
      <c r="E37" s="13">
        <f>IF(COUNTIFS(T_TTAFStock_Log[Part Name],$A37,T_TTAFStock_Log[WeekIndex],4)=0,"",SUMIFS(T_TTAFStock_Log[TTAF_Qty],T_TTAFStock_Log[Part Name],$A37,T_TTAFStock_Log[WeekIndex],4))</f>
        <v/>
      </c>
      <c r="F37" s="13">
        <f>IF(COUNTIFS(T_TTAFStock_Log[Part Name],$A37,T_TTAFStock_Log[WeekIndex],5)=0,"",SUMIFS(T_TTAFStock_Log[TTAF_Qty],T_TTAFStock_Log[Part Name],$A37,T_TTAFStock_Log[WeekIndex],5))</f>
        <v/>
      </c>
      <c r="G37" s="13">
        <f>IF(COUNTIFS(T_TTAFStock_Log[Part Name],$A37,T_TTAFStock_Log[WeekIndex],6)=0,"",SUMIFS(T_TTAFStock_Log[TTAF_Qty],T_TTAFStock_Log[Part Name],$A37,T_TTAFStock_Log[WeekIndex],6))</f>
        <v/>
      </c>
      <c r="H37" s="13">
        <f>IF(COUNTIFS(T_TTAFStock_Log[Part Name],$A37,T_TTAFStock_Log[WeekIndex],7)=0,"",SUMIFS(T_TTAFStock_Log[TTAF_Qty],T_TTAFStock_Log[Part Name],$A37,T_TTAFStock_Log[WeekIndex],7))</f>
        <v/>
      </c>
      <c r="I37" s="13">
        <f>IF(COUNTIFS(T_TTAFStock_Log[Part Name],$A37,T_TTAFStock_Log[WeekIndex],8)=0,"",SUMIFS(T_TTAFStock_Log[TTAF_Qty],T_TTAFStock_Log[Part Name],$A37,T_TTAFStock_Log[WeekIndex],8))</f>
        <v/>
      </c>
      <c r="J37" s="13">
        <f>IF(COUNTIFS(T_TTAFStock_Log[Part Name],$A37,T_TTAFStock_Log[WeekIndex],9)=0,"",SUMIFS(T_TTAFStock_Log[TTAF_Qty],T_TTAFStock_Log[Part Name],$A37,T_TTAFStock_Log[WeekIndex],9))</f>
        <v/>
      </c>
      <c r="K37" s="13">
        <f>IF(COUNTIFS(T_TTAFStock_Log[Part Name],$A37,T_TTAFStock_Log[WeekIndex],10)=0,"",SUMIFS(T_TTAFStock_Log[TTAF_Qty],T_TTAFStock_Log[Part Name],$A37,T_TTAFStock_Log[WeekIndex],10))</f>
        <v/>
      </c>
      <c r="L37" s="13">
        <f>IF(COUNTIFS(T_TTAFStock_Log[Part Name],$A37,T_TTAFStock_Log[WeekIndex],11)=0,"",SUMIFS(T_TTAFStock_Log[TTAF_Qty],T_TTAFStock_Log[Part Name],$A37,T_TTAFStock_Log[WeekIndex],11))</f>
        <v/>
      </c>
      <c r="M37" s="13">
        <f>IF(COUNTIFS(T_TTAFStock_Log[Part Name],$A37,T_TTAFStock_Log[WeekIndex],12)=0,"",SUMIFS(T_TTAFStock_Log[TTAF_Qty],T_TTAFStock_Log[Part Name],$A37,T_TTAFStock_Log[WeekIndex],12))</f>
        <v/>
      </c>
      <c r="N37" s="13">
        <f>IF(COUNTIFS(T_TTAFStock_Log[Part Name],$A37,T_TTAFStock_Log[WeekIndex],13)=0,"",SUMIFS(T_TTAFStock_Log[TTAF_Qty],T_TTAFStock_Log[Part Name],$A37,T_TTAFStock_Log[WeekIndex],13))</f>
        <v/>
      </c>
      <c r="O37" s="13">
        <f>IF(COUNTIFS(T_TTAFStock_Log[Part Name],$A37,T_TTAFStock_Log[WeekIndex],14)=0,"",SUMIFS(T_TTAFStock_Log[TTAF_Qty],T_TTAFStock_Log[Part Name],$A37,T_TTAFStock_Log[WeekIndex],14))</f>
        <v/>
      </c>
      <c r="P37" s="13">
        <f>IF(COUNTIFS(T_TTAFStock_Log[Part Name],$A37,T_TTAFStock_Log[WeekIndex],15)=0,"",SUMIFS(T_TTAFStock_Log[TTAF_Qty],T_TTAFStock_Log[Part Name],$A37,T_TTAFStock_Log[WeekIndex],15))</f>
        <v/>
      </c>
      <c r="Q37" s="13">
        <f>IF(COUNTIFS(T_TTAFStock_Log[Part Name],$A37,T_TTAFStock_Log[WeekIndex],16)=0,"",SUMIFS(T_TTAFStock_Log[TTAF_Qty],T_TTAFStock_Log[Part Name],$A37,T_TTAFStock_Log[WeekIndex],16))</f>
        <v/>
      </c>
      <c r="R37" s="13">
        <f>IF(COUNTIFS(T_TTAFStock_Log[Part Name],$A37,T_TTAFStock_Log[WeekIndex],17)=0,"",SUMIFS(T_TTAFStock_Log[TTAF_Qty],T_TTAFStock_Log[Part Name],$A37,T_TTAFStock_Log[WeekIndex],17))</f>
        <v/>
      </c>
      <c r="S37" s="13">
        <f>IF(COUNTIFS(T_TTAFStock_Log[Part Name],$A37,T_TTAFStock_Log[WeekIndex],18)=0,"",SUMIFS(T_TTAFStock_Log[TTAF_Qty],T_TTAFStock_Log[Part Name],$A37,T_TTAFStock_Log[WeekIndex],18))</f>
        <v/>
      </c>
      <c r="T37" s="13">
        <f>IF(COUNTIFS(T_TTAFStock_Log[Part Name],$A37,T_TTAFStock_Log[WeekIndex],19)=0,"",SUMIFS(T_TTAFStock_Log[TTAF_Qty],T_TTAFStock_Log[Part Name],$A37,T_TTAFStock_Log[WeekIndex],19))</f>
        <v/>
      </c>
      <c r="U37" s="13">
        <f>IF(COUNTIFS(T_TTAFStock_Log[Part Name],$A37,T_TTAFStock_Log[WeekIndex],20)=0,"",SUMIFS(T_TTAFStock_Log[TTAF_Qty],T_TTAFStock_Log[Part Name],$A37,T_TTAFStock_Log[WeekIndex],20))</f>
        <v/>
      </c>
      <c r="V37" s="13">
        <f>IF(COUNTIFS(T_TTAFStock_Log[Part Name],$A37,T_TTAFStock_Log[WeekIndex],21)=0,"",SUMIFS(T_TTAFStock_Log[TTAF_Qty],T_TTAFStock_Log[Part Name],$A37,T_TTAFStock_Log[WeekIndex],21))</f>
        <v/>
      </c>
      <c r="W37" s="13">
        <f>IF(COUNTIFS(T_TTAFStock_Log[Part Name],$A37,T_TTAFStock_Log[WeekIndex],22)=0,"",SUMIFS(T_TTAFStock_Log[TTAF_Qty],T_TTAFStock_Log[Part Name],$A37,T_TTAFStock_Log[WeekIndex],22))</f>
        <v/>
      </c>
      <c r="X37" s="13">
        <f>IF(COUNTIFS(T_TTAFStock_Log[Part Name],$A37,T_TTAFStock_Log[WeekIndex],23)=0,"",SUMIFS(T_TTAFStock_Log[TTAF_Qty],T_TTAFStock_Log[Part Name],$A37,T_TTAFStock_Log[WeekIndex],23))</f>
        <v/>
      </c>
      <c r="Y37" s="13">
        <f>IF(COUNTIFS(T_TTAFStock_Log[Part Name],$A37,T_TTAFStock_Log[WeekIndex],24)=0,"",SUMIFS(T_TTAFStock_Log[TTAF_Qty],T_TTAFStock_Log[Part Name],$A37,T_TTAFStock_Log[WeekIndex],24))</f>
        <v/>
      </c>
      <c r="Z37" s="13">
        <f>IF(COUNTIFS(T_TTAFStock_Log[Part Name],$A37,T_TTAFStock_Log[WeekIndex],25)=0,"",SUMIFS(T_TTAFStock_Log[TTAF_Qty],T_TTAFStock_Log[Part Name],$A37,T_TTAFStock_Log[WeekIndex],25))</f>
        <v/>
      </c>
      <c r="AA37" s="13">
        <f>IF(COUNTIFS(T_TTAFStock_Log[Part Name],$A37,T_TTAFStock_Log[WeekIndex],26)=0,"",SUMIFS(T_TTAFStock_Log[TTAF_Qty],T_TTAFStock_Log[Part Name],$A37,T_TTAFStock_Log[WeekIndex],26))</f>
        <v/>
      </c>
      <c r="AB37" s="13">
        <f>IF(COUNTIFS(T_TTAFStock_Log[Part Name],$A37,T_TTAFStock_Log[WeekIndex],27)=0,"",SUMIFS(T_TTAFStock_Log[TTAF_Qty],T_TTAFStock_Log[Part Name],$A37,T_TTAFStock_Log[WeekIndex],27))</f>
        <v/>
      </c>
      <c r="AC37" s="13">
        <f>IF(COUNTIFS(T_TTAFStock_Log[Part Name],$A37,T_TTAFStock_Log[WeekIndex],28)=0,"",SUMIFS(T_TTAFStock_Log[TTAF_Qty],T_TTAFStock_Log[Part Name],$A37,T_TTAFStock_Log[WeekIndex],28))</f>
        <v/>
      </c>
      <c r="AD37" s="13">
        <f>IF(COUNTIFS(T_TTAFStock_Log[Part Name],$A37,T_TTAFStock_Log[WeekIndex],29)=0,"",SUMIFS(T_TTAFStock_Log[TTAF_Qty],T_TTAFStock_Log[Part Name],$A37,T_TTAFStock_Log[WeekIndex],29))</f>
        <v/>
      </c>
      <c r="AE37" s="13">
        <f>IF(COUNTIFS(T_TTAFStock_Log[Part Name],$A37,T_TTAFStock_Log[WeekIndex],30)=0,"",SUMIFS(T_TTAFStock_Log[TTAF_Qty],T_TTAFStock_Log[Part Name],$A37,T_TTAFStock_Log[WeekIndex],30))</f>
        <v/>
      </c>
      <c r="AF37" s="13">
        <f>IF(COUNTIFS(T_TTAFStock_Log[Part Name],$A37,T_TTAFStock_Log[WeekIndex],31)=0,"",SUMIFS(T_TTAFStock_Log[TTAF_Qty],T_TTAFStock_Log[Part Name],$A37,T_TTAFStock_Log[WeekIndex],31))</f>
        <v/>
      </c>
      <c r="AG37" s="13">
        <f>IF(COUNTIFS(T_TTAFStock_Log[Part Name],$A37,T_TTAFStock_Log[WeekIndex],32)=0,"",SUMIFS(T_TTAFStock_Log[TTAF_Qty],T_TTAFStock_Log[Part Name],$A37,T_TTAFStock_Log[WeekIndex],32))</f>
        <v/>
      </c>
      <c r="AH37" s="13">
        <f>IF(COUNTIFS(T_TTAFStock_Log[Part Name],$A37,T_TTAFStock_Log[WeekIndex],33)=0,"",SUMIFS(T_TTAFStock_Log[TTAF_Qty],T_TTAFStock_Log[Part Name],$A37,T_TTAFStock_Log[WeekIndex],33))</f>
        <v/>
      </c>
      <c r="AI37" s="13">
        <f>IF(COUNTIFS(T_TTAFStock_Log[Part Name],$A37,T_TTAFStock_Log[WeekIndex],34)=0,"",SUMIFS(T_TTAFStock_Log[TTAF_Qty],T_TTAFStock_Log[Part Name],$A37,T_TTAFStock_Log[WeekIndex],34))</f>
        <v/>
      </c>
      <c r="AJ37" s="13">
        <f>IF(COUNTIFS(T_TTAFStock_Log[Part Name],$A37,T_TTAFStock_Log[WeekIndex],35)=0,"",SUMIFS(T_TTAFStock_Log[TTAF_Qty],T_TTAFStock_Log[Part Name],$A37,T_TTAFStock_Log[WeekIndex],35))</f>
        <v/>
      </c>
      <c r="AK37" s="13">
        <f>IF(COUNTIFS(T_TTAFStock_Log[Part Name],$A37,T_TTAFStock_Log[WeekIndex],36)=0,"",SUMIFS(T_TTAFStock_Log[TTAF_Qty],T_TTAFStock_Log[Part Name],$A37,T_TTAFStock_Log[WeekIndex],36))</f>
        <v/>
      </c>
      <c r="AL37" s="13">
        <f>IF(COUNTIFS(T_TTAFStock_Log[Part Name],$A37,T_TTAFStock_Log[WeekIndex],37)=0,"",SUMIFS(T_TTAFStock_Log[TTAF_Qty],T_TTAFStock_Log[Part Name],$A37,T_TTAFStock_Log[WeekIndex],37))</f>
        <v/>
      </c>
      <c r="AM37" s="13">
        <f>IF(COUNTIFS(T_TTAFStock_Log[Part Name],$A37,T_TTAFStock_Log[WeekIndex],38)=0,"",SUMIFS(T_TTAFStock_Log[TTAF_Qty],T_TTAFStock_Log[Part Name],$A37,T_TTAFStock_Log[WeekIndex],38))</f>
        <v/>
      </c>
      <c r="AN37" s="13">
        <f>IF(COUNTIFS(T_TTAFStock_Log[Part Name],$A37,T_TTAFStock_Log[WeekIndex],39)=0,"",SUMIFS(T_TTAFStock_Log[TTAF_Qty],T_TTAFStock_Log[Part Name],$A37,T_TTAFStock_Log[WeekIndex],39))</f>
        <v/>
      </c>
      <c r="AO37" s="13">
        <f>IF(COUNTIFS(T_TTAFStock_Log[Part Name],$A37,T_TTAFStock_Log[WeekIndex],40)=0,"",SUMIFS(T_TTAFStock_Log[TTAF_Qty],T_TTAFStock_Log[Part Name],$A37,T_TTAFStock_Log[WeekIndex],40))</f>
        <v/>
      </c>
      <c r="AP37" s="13">
        <f>IF(COUNTIFS(T_TTAFStock_Log[Part Name],$A37,T_TTAFStock_Log[WeekIndex],41)=0,"",SUMIFS(T_TTAFStock_Log[TTAF_Qty],T_TTAFStock_Log[Part Name],$A37,T_TTAFStock_Log[WeekIndex],41))</f>
        <v/>
      </c>
      <c r="AQ37" s="13">
        <f>IF(COUNTIFS(T_TTAFStock_Log[Part Name],$A37,T_TTAFStock_Log[WeekIndex],42)=0,"",SUMIFS(T_TTAFStock_Log[TTAF_Qty],T_TTAFStock_Log[Part Name],$A37,T_TTAFStock_Log[WeekIndex],42))</f>
        <v/>
      </c>
      <c r="AR37" s="13">
        <f>IF(COUNTIFS(T_TTAFStock_Log[Part Name],$A37,T_TTAFStock_Log[WeekIndex],43)=0,"",SUMIFS(T_TTAFStock_Log[TTAF_Qty],T_TTAFStock_Log[Part Name],$A37,T_TTAFStock_Log[WeekIndex],43))</f>
        <v/>
      </c>
      <c r="AS37" s="13">
        <f>IF(COUNTIFS(T_TTAFStock_Log[Part Name],$A37,T_TTAFStock_Log[WeekIndex],44)=0,"",SUMIFS(T_TTAFStock_Log[TTAF_Qty],T_TTAFStock_Log[Part Name],$A37,T_TTAFStock_Log[WeekIndex],44))</f>
        <v/>
      </c>
      <c r="AT37" s="13">
        <f>IF(COUNTIFS(T_TTAFStock_Log[Part Name],$A37,T_TTAFStock_Log[WeekIndex],45)=0,"",SUMIFS(T_TTAFStock_Log[TTAF_Qty],T_TTAFStock_Log[Part Name],$A37,T_TTAFStock_Log[WeekIndex],45))</f>
        <v/>
      </c>
      <c r="AU37" s="13">
        <f>IF(COUNTIFS(T_TTAFStock_Log[Part Name],$A37,T_TTAFStock_Log[WeekIndex],46)=0,"",SUMIFS(T_TTAFStock_Log[TTAF_Qty],T_TTAFStock_Log[Part Name],$A37,T_TTAFStock_Log[WeekIndex],46))</f>
        <v/>
      </c>
      <c r="AV37" s="13">
        <f>IF(COUNTIFS(T_TTAFStock_Log[Part Name],$A37,T_TTAFStock_Log[WeekIndex],47)=0,"",SUMIFS(T_TTAFStock_Log[TTAF_Qty],T_TTAFStock_Log[Part Name],$A37,T_TTAFStock_Log[WeekIndex],47))</f>
        <v/>
      </c>
      <c r="AW37" s="13">
        <f>IF(COUNTIFS(T_TTAFStock_Log[Part Name],$A37,T_TTAFStock_Log[WeekIndex],48)=0,"",SUMIFS(T_TTAFStock_Log[TTAF_Qty],T_TTAFStock_Log[Part Name],$A37,T_TTAFStock_Log[WeekIndex],48))</f>
        <v/>
      </c>
      <c r="AX37" s="13">
        <f>IF(COUNTIFS(T_TTAFStock_Log[Part Name],$A37,T_TTAFStock_Log[WeekIndex],49)=0,"",SUMIFS(T_TTAFStock_Log[TTAF_Qty],T_TTAFStock_Log[Part Name],$A37,T_TTAFStock_Log[WeekIndex],49))</f>
        <v/>
      </c>
      <c r="AY37" s="13">
        <f>IF(COUNTIFS(T_TTAFStock_Log[Part Name],$A37,T_TTAFStock_Log[WeekIndex],50)=0,"",SUMIFS(T_TTAFStock_Log[TTAF_Qty],T_TTAFStock_Log[Part Name],$A37,T_TTAFStock_Log[WeekIndex],50))</f>
        <v/>
      </c>
      <c r="AZ37" s="13">
        <f>IF(COUNTIFS(T_TTAFStock_Log[Part Name],$A37,T_TTAFStock_Log[WeekIndex],51)=0,"",SUMIFS(T_TTAFStock_Log[TTAF_Qty],T_TTAFStock_Log[Part Name],$A37,T_TTAFStock_Log[WeekIndex],51))</f>
        <v/>
      </c>
      <c r="BA37" s="13">
        <f>IF(COUNTIFS(T_TTAFStock_Log[Part Name],$A37,T_TTAFStock_Log[WeekIndex],52)=0,"",SUMIFS(T_TTAFStock_Log[TTAF_Qty],T_TTAFStock_Log[Part Name],$A37,T_TTAFStock_Log[WeekIndex],52))</f>
        <v/>
      </c>
      <c r="BB37" s="13">
        <f>IF(COUNTIFS(T_TTAFStock_Log[Part Name],$A37,T_TTAFStock_Log[WeekIndex],53)=0,"",SUMIFS(T_TTAFStock_Log[TTAF_Qty],T_TTAFStock_Log[Part Name],$A37,T_TTAFStock_Log[WeekIndex],53))</f>
        <v/>
      </c>
      <c r="BC37" s="13">
        <f>IF(COUNTIFS(T_TTAFStock_Log[Part Name],$A37,T_TTAFStock_Log[WeekIndex],54)=0,"",SUMIFS(T_TTAFStock_Log[TTAF_Qty],T_TTAFStock_Log[Part Name],$A37,T_TTAFStock_Log[WeekIndex],54))</f>
        <v/>
      </c>
      <c r="BD37" s="13">
        <f>IF(COUNTIFS(T_TTAFStock_Log[Part Name],$A37,T_TTAFStock_Log[WeekIndex],55)=0,"",SUMIFS(T_TTAFStock_Log[TTAF_Qty],T_TTAFStock_Log[Part Name],$A37,T_TTAFStock_Log[WeekIndex],55))</f>
        <v/>
      </c>
      <c r="BE37" s="13">
        <f>IF(COUNTIFS(T_TTAFStock_Log[Part Name],$A37,T_TTAFStock_Log[WeekIndex],56)=0,"",SUMIFS(T_TTAFStock_Log[TTAF_Qty],T_TTAFStock_Log[Part Name],$A37,T_TTAFStock_Log[WeekIndex],56))</f>
        <v/>
      </c>
      <c r="BF37" s="13">
        <f>IF(COUNTIFS(T_TTAFStock_Log[Part Name],$A37,T_TTAFStock_Log[WeekIndex],57)=0,"",SUMIFS(T_TTAFStock_Log[TTAF_Qty],T_TTAFStock_Log[Part Name],$A37,T_TTAFStock_Log[WeekIndex],57))</f>
        <v/>
      </c>
      <c r="BG37" s="13">
        <f>IF(COUNTIFS(T_TTAFStock_Log[Part Name],$A37,T_TTAFStock_Log[WeekIndex],58)=0,"",SUMIFS(T_TTAFStock_Log[TTAF_Qty],T_TTAFStock_Log[Part Name],$A37,T_TTAFStock_Log[WeekIndex],58))</f>
        <v/>
      </c>
      <c r="BH37" s="13">
        <f>IF(COUNTIFS(T_TTAFStock_Log[Part Name],$A37,T_TTAFStock_Log[WeekIndex],59)=0,"",SUMIFS(T_TTAFStock_Log[TTAF_Qty],T_TTAFStock_Log[Part Name],$A37,T_TTAFStock_Log[WeekIndex],59))</f>
        <v/>
      </c>
      <c r="BI37" s="13">
        <f>IF(COUNTIFS(T_TTAFStock_Log[Part Name],$A37,T_TTAFStock_Log[WeekIndex],60)=0,"",SUMIFS(T_TTAFStock_Log[TTAF_Qty],T_TTAFStock_Log[Part Name],$A37,T_TTAFStock_Log[WeekIndex],60))</f>
        <v/>
      </c>
      <c r="BJ37" s="13">
        <f>IF(COUNTIFS(T_TTAFStock_Log[Part Name],$A37,T_TTAFStock_Log[WeekIndex],61)=0,"",SUMIFS(T_TTAFStock_Log[TTAF_Qty],T_TTAFStock_Log[Part Name],$A37,T_TTAFStock_Log[WeekIndex],61))</f>
        <v/>
      </c>
      <c r="BK37" s="13">
        <f>IF(COUNTIFS(T_TTAFStock_Log[Part Name],$A37,T_TTAFStock_Log[WeekIndex],62)=0,"",SUMIFS(T_TTAFStock_Log[TTAF_Qty],T_TTAFStock_Log[Part Name],$A37,T_TTAFStock_Log[WeekIndex],62))</f>
        <v/>
      </c>
      <c r="BL37" s="13">
        <f>IF(COUNTIFS(T_TTAFStock_Log[Part Name],$A37,T_TTAFStock_Log[WeekIndex],63)=0,"",SUMIFS(T_TTAFStock_Log[TTAF_Qty],T_TTAFStock_Log[Part Name],$A37,T_TTAFStock_Log[WeekIndex],63))</f>
        <v/>
      </c>
      <c r="BM37" s="13">
        <f>IF(COUNTIFS(T_TTAFStock_Log[Part Name],$A37,T_TTAFStock_Log[WeekIndex],64)=0,"",SUMIFS(T_TTAFStock_Log[TTAF_Qty],T_TTAFStock_Log[Part Name],$A37,T_TTAFStock_Log[WeekIndex],64))</f>
        <v/>
      </c>
      <c r="BN37" s="13">
        <f>IF(COUNTIFS(T_TTAFStock_Log[Part Name],$A37,T_TTAFStock_Log[WeekIndex],65)=0,"",SUMIFS(T_TTAFStock_Log[TTAF_Qty],T_TTAFStock_Log[Part Name],$A37,T_TTAFStock_Log[WeekIndex],65))</f>
        <v/>
      </c>
      <c r="BO37" s="13">
        <f>IF(COUNTIFS(T_TTAFStock_Log[Part Name],$A37,T_TTAFStock_Log[WeekIndex],66)=0,"",SUMIFS(T_TTAFStock_Log[TTAF_Qty],T_TTAFStock_Log[Part Name],$A37,T_TTAFStock_Log[WeekIndex],66))</f>
        <v/>
      </c>
      <c r="BP37" s="13">
        <f>IF(COUNTIFS(T_TTAFStock_Log[Part Name],$A37,T_TTAFStock_Log[WeekIndex],67)=0,"",SUMIFS(T_TTAFStock_Log[TTAF_Qty],T_TTAFStock_Log[Part Name],$A37,T_TTAFStock_Log[WeekIndex],67))</f>
        <v/>
      </c>
      <c r="BQ37" s="13">
        <f>IF(COUNTIFS(T_TTAFStock_Log[Part Name],$A37,T_TTAFStock_Log[WeekIndex],68)=0,"",SUMIFS(T_TTAFStock_Log[TTAF_Qty],T_TTAFStock_Log[Part Name],$A37,T_TTAFStock_Log[WeekIndex],68))</f>
        <v/>
      </c>
      <c r="BR37" s="13">
        <f>IF(COUNTIFS(T_TTAFStock_Log[Part Name],$A37,T_TTAFStock_Log[WeekIndex],69)=0,"",SUMIFS(T_TTAFStock_Log[TTAF_Qty],T_TTAFStock_Log[Part Name],$A37,T_TTAFStock_Log[WeekIndex],69))</f>
        <v/>
      </c>
      <c r="BS37" s="13">
        <f>IF(COUNTIFS(T_TTAFStock_Log[Part Name],$A37,T_TTAFStock_Log[WeekIndex],70)=0,"",SUMIFS(T_TTAFStock_Log[TTAF_Qty],T_TTAFStock_Log[Part Name],$A37,T_TTAFStock_Log[WeekIndex],70))</f>
        <v/>
      </c>
      <c r="BT37" s="13">
        <f>IF(COUNTIFS(T_TTAFStock_Log[Part Name],$A37,T_TTAFStock_Log[WeekIndex],71)=0,"",SUMIFS(T_TTAFStock_Log[TTAF_Qty],T_TTAFStock_Log[Part Name],$A37,T_TTAFStock_Log[WeekIndex],71))</f>
        <v/>
      </c>
      <c r="BU37" s="13">
        <f>IF(COUNTIFS(T_TTAFStock_Log[Part Name],$A37,T_TTAFStock_Log[WeekIndex],72)=0,"",SUMIFS(T_TTAFStock_Log[TTAF_Qty],T_TTAFStock_Log[Part Name],$A37,T_TTAFStock_Log[WeekIndex],72))</f>
        <v/>
      </c>
      <c r="BV37" s="13">
        <f>IF(COUNTIFS(T_TTAFStock_Log[Part Name],$A37,T_TTAFStock_Log[WeekIndex],73)=0,"",SUMIFS(T_TTAFStock_Log[TTAF_Qty],T_TTAFStock_Log[Part Name],$A37,T_TTAFStock_Log[WeekIndex],73))</f>
        <v/>
      </c>
      <c r="BW37" s="13">
        <f>IF(COUNTIFS(T_TTAFStock_Log[Part Name],$A37,T_TTAFStock_Log[WeekIndex],74)=0,"",SUMIFS(T_TTAFStock_Log[TTAF_Qty],T_TTAFStock_Log[Part Name],$A37,T_TTAFStock_Log[WeekIndex],74))</f>
        <v/>
      </c>
      <c r="BX37" s="13">
        <f>IF(COUNTIFS(T_TTAFStock_Log[Part Name],$A37,T_TTAFStock_Log[WeekIndex],75)=0,"",SUMIFS(T_TTAFStock_Log[TTAF_Qty],T_TTAFStock_Log[Part Name],$A37,T_TTAFStock_Log[WeekIndex],75))</f>
        <v/>
      </c>
      <c r="BY37" s="13">
        <f>IF(COUNTIFS(T_TTAFStock_Log[Part Name],$A37,T_TTAFStock_Log[WeekIndex],76)=0,"",SUMIFS(T_TTAFStock_Log[TTAF_Qty],T_TTAFStock_Log[Part Name],$A37,T_TTAFStock_Log[WeekIndex],76))</f>
        <v/>
      </c>
      <c r="BZ37" s="13">
        <f>IF(COUNTIFS(T_TTAFStock_Log[Part Name],$A37,T_TTAFStock_Log[WeekIndex],77)=0,"",SUMIFS(T_TTAFStock_Log[TTAF_Qty],T_TTAFStock_Log[Part Name],$A37,T_TTAFStock_Log[WeekIndex],77))</f>
        <v/>
      </c>
      <c r="CA37" s="13">
        <f>IF(COUNTIFS(T_TTAFStock_Log[Part Name],$A37,T_TTAFStock_Log[WeekIndex],78)=0,"",SUMIFS(T_TTAFStock_Log[TTAF_Qty],T_TTAFStock_Log[Part Name],$A37,T_TTAFStock_Log[WeekIndex],78))</f>
        <v/>
      </c>
      <c r="CB37" s="13">
        <f>IF(COUNTIFS(T_TTAFStock_Log[Part Name],$A37,T_TTAFStock_Log[WeekIndex],79)=0,"",SUMIFS(T_TTAFStock_Log[TTAF_Qty],T_TTAFStock_Log[Part Name],$A37,T_TTAFStock_Log[WeekIndex],79))</f>
        <v/>
      </c>
      <c r="CC37" s="13">
        <f>IF(COUNTIFS(T_TTAFStock_Log[Part Name],$A37,T_TTAFStock_Log[WeekIndex],80)=0,"",SUMIFS(T_TTAFStock_Log[TTAF_Qty],T_TTAFStock_Log[Part Name],$A37,T_TTAFStock_Log[WeekIndex],80))</f>
        <v/>
      </c>
      <c r="CD37" s="13">
        <f>IF(COUNTIFS(T_TTAFStock_Log[Part Name],$A37,T_TTAFStock_Log[WeekIndex],81)=0,"",SUMIFS(T_TTAFStock_Log[TTAF_Qty],T_TTAFStock_Log[Part Name],$A37,T_TTAFStock_Log[WeekIndex],81))</f>
        <v/>
      </c>
      <c r="CE37" s="13">
        <f>IF(COUNTIFS(T_TTAFStock_Log[Part Name],$A37,T_TTAFStock_Log[WeekIndex],82)=0,"",SUMIFS(T_TTAFStock_Log[TTAF_Qty],T_TTAFStock_Log[Part Name],$A37,T_TTAFStock_Log[WeekIndex],82))</f>
        <v/>
      </c>
      <c r="CF37" s="13">
        <f>IF(COUNTIFS(T_TTAFStock_Log[Part Name],$A37,T_TTAFStock_Log[WeekIndex],83)=0,"",SUMIFS(T_TTAFStock_Log[TTAF_Qty],T_TTAFStock_Log[Part Name],$A37,T_TTAFStock_Log[WeekIndex],83))</f>
        <v/>
      </c>
      <c r="CG37" s="13">
        <f>IF(COUNTIFS(T_TTAFStock_Log[Part Name],$A37,T_TTAFStock_Log[WeekIndex],84)=0,"",SUMIFS(T_TTAFStock_Log[TTAF_Qty],T_TTAFStock_Log[Part Name],$A37,T_TTAFStock_Log[WeekIndex],84))</f>
        <v/>
      </c>
      <c r="CH37" s="13">
        <f>IF(COUNTIFS(T_TTAFStock_Log[Part Name],$A37,T_TTAFStock_Log[WeekIndex],85)=0,"",SUMIFS(T_TTAFStock_Log[TTAF_Qty],T_TTAFStock_Log[Part Name],$A37,T_TTAFStock_Log[WeekIndex],85))</f>
        <v/>
      </c>
      <c r="CI37" s="13">
        <f>IF(COUNTIFS(T_TTAFStock_Log[Part Name],$A37,T_TTAFStock_Log[WeekIndex],86)=0,"",SUMIFS(T_TTAFStock_Log[TTAF_Qty],T_TTAFStock_Log[Part Name],$A37,T_TTAFStock_Log[WeekIndex],86))</f>
        <v/>
      </c>
      <c r="CJ37" s="13">
        <f>IF(COUNTIFS(T_TTAFStock_Log[Part Name],$A37,T_TTAFStock_Log[WeekIndex],87)=0,"",SUMIFS(T_TTAFStock_Log[TTAF_Qty],T_TTAFStock_Log[Part Name],$A37,T_TTAFStock_Log[WeekIndex],87))</f>
        <v/>
      </c>
      <c r="CK37" s="13">
        <f>IF(COUNTIFS(T_TTAFStock_Log[Part Name],$A37,T_TTAFStock_Log[WeekIndex],88)=0,"",SUMIFS(T_TTAFStock_Log[TTAF_Qty],T_TTAFStock_Log[Part Name],$A37,T_TTAFStock_Log[WeekIndex],88))</f>
        <v/>
      </c>
      <c r="CL37" s="13">
        <f>IF(COUNTIFS(T_TTAFStock_Log[Part Name],$A37,T_TTAFStock_Log[WeekIndex],89)=0,"",SUMIFS(T_TTAFStock_Log[TTAF_Qty],T_TTAFStock_Log[Part Name],$A37,T_TTAFStock_Log[WeekIndex],89))</f>
        <v/>
      </c>
      <c r="CM37" s="13">
        <f>IF(COUNTIFS(T_TTAFStock_Log[Part Name],$A37,T_TTAFStock_Log[WeekIndex],90)=0,"",SUMIFS(T_TTAFStock_Log[TTAF_Qty],T_TTAFStock_Log[Part Name],$A37,T_TTAFStock_Log[WeekIndex],90))</f>
        <v/>
      </c>
      <c r="CN37" s="13">
        <f>IF(COUNTIFS(T_TTAFStock_Log[Part Name],$A37,T_TTAFStock_Log[WeekIndex],91)=0,"",SUMIFS(T_TTAFStock_Log[TTAF_Qty],T_TTAFStock_Log[Part Name],$A37,T_TTAFStock_Log[WeekIndex],91))</f>
        <v/>
      </c>
      <c r="CO37" s="13">
        <f>IF(COUNTIFS(T_TTAFStock_Log[Part Name],$A37,T_TTAFStock_Log[WeekIndex],92)=0,"",SUMIFS(T_TTAFStock_Log[TTAF_Qty],T_TTAFStock_Log[Part Name],$A37,T_TTAFStock_Log[WeekIndex],92))</f>
        <v/>
      </c>
      <c r="CP37" s="13">
        <f>IF(COUNTIFS(T_TTAFStock_Log[Part Name],$A37,T_TTAFStock_Log[WeekIndex],93)=0,"",SUMIFS(T_TTAFStock_Log[TTAF_Qty],T_TTAFStock_Log[Part Name],$A37,T_TTAFStock_Log[WeekIndex],93))</f>
        <v/>
      </c>
      <c r="CQ37" s="13">
        <f>IF(COUNTIFS(T_TTAFStock_Log[Part Name],$A37,T_TTAFStock_Log[WeekIndex],94)=0,"",SUMIFS(T_TTAFStock_Log[TTAF_Qty],T_TTAFStock_Log[Part Name],$A37,T_TTAFStock_Log[WeekIndex],94))</f>
        <v/>
      </c>
      <c r="CR37" s="13">
        <f>IF(COUNTIFS(T_TTAFStock_Log[Part Name],$A37,T_TTAFStock_Log[WeekIndex],95)=0,"",SUMIFS(T_TTAFStock_Log[TTAF_Qty],T_TTAFStock_Log[Part Name],$A37,T_TTAFStock_Log[WeekIndex],95))</f>
        <v/>
      </c>
      <c r="CS37" s="13">
        <f>IF(COUNTIFS(T_TTAFStock_Log[Part Name],$A37,T_TTAFStock_Log[WeekIndex],96)=0,"",SUMIFS(T_TTAFStock_Log[TTAF_Qty],T_TTAFStock_Log[Part Name],$A37,T_TTAFStock_Log[WeekIndex],96))</f>
        <v/>
      </c>
      <c r="CT37" s="13">
        <f>IF(COUNTIFS(T_TTAFStock_Log[Part Name],$A37,T_TTAFStock_Log[WeekIndex],97)=0,"",SUMIFS(T_TTAFStock_Log[TTAF_Qty],T_TTAFStock_Log[Part Name],$A37,T_TTAFStock_Log[WeekIndex],97))</f>
        <v/>
      </c>
      <c r="CU37" s="13">
        <f>IF(COUNTIFS(T_TTAFStock_Log[Part Name],$A37,T_TTAFStock_Log[WeekIndex],98)=0,"",SUMIFS(T_TTAFStock_Log[TTAF_Qty],T_TTAFStock_Log[Part Name],$A37,T_TTAFStock_Log[WeekIndex],98))</f>
        <v/>
      </c>
      <c r="CV37" s="13">
        <f>IF(COUNTIFS(T_TTAFStock_Log[Part Name],$A37,T_TTAFStock_Log[WeekIndex],99)=0,"",SUMIFS(T_TTAFStock_Log[TTAF_Qty],T_TTAFStock_Log[Part Name],$A37,T_TTAFStock_Log[WeekIndex],99))</f>
        <v/>
      </c>
      <c r="CW37" s="13">
        <f>IF(COUNTIFS(T_TTAFStock_Log[Part Name],$A37,T_TTAFStock_Log[WeekIndex],100)=0,"",SUMIFS(T_TTAFStock_Log[TTAF_Qty],T_TTAFStock_Log[Part Name],$A37,T_TTAFStock_Log[WeekIndex],100))</f>
        <v/>
      </c>
      <c r="CX37" s="13">
        <f>IF(COUNTIFS(T_TTAFStock_Log[Part Name],$A37,T_TTAFStock_Log[WeekIndex],101)=0,"",SUMIFS(T_TTAFStock_Log[TTAF_Qty],T_TTAFStock_Log[Part Name],$A37,T_TTAFStock_Log[WeekIndex],101))</f>
        <v/>
      </c>
      <c r="CY37" s="13">
        <f>IF(COUNTIFS(T_TTAFStock_Log[Part Name],$A37,T_TTAFStock_Log[WeekIndex],102)=0,"",SUMIFS(T_TTAFStock_Log[TTAF_Qty],T_TTAFStock_Log[Part Name],$A37,T_TTAFStock_Log[WeekIndex],102))</f>
        <v/>
      </c>
      <c r="CZ37" s="13">
        <f>IF(COUNTIFS(T_TTAFStock_Log[Part Name],$A37,T_TTAFStock_Log[WeekIndex],103)=0,"",SUMIFS(T_TTAFStock_Log[TTAF_Qty],T_TTAFStock_Log[Part Name],$A37,T_TTAFStock_Log[WeekIndex],103))</f>
        <v/>
      </c>
      <c r="DA37" s="13">
        <f>IF(COUNTIFS(T_TTAFStock_Log[Part Name],$A37,T_TTAFStock_Log[WeekIndex],104)=0,"",SUMIFS(T_TTAFStock_Log[TTAF_Qty],T_TTAFStock_Log[Part Name],$A37,T_TTAFStock_Log[WeekIndex],104))</f>
        <v/>
      </c>
    </row>
    <row r="38">
      <c r="A38" s="12" t="inlineStr">
        <is>
          <t>CHEM-1560</t>
        </is>
      </c>
      <c r="B38" s="12">
        <f>IF(COUNTIFS(T_TTAFStock_Log[Part Name],$A38,T_TTAFStock_Log[WeekIndex],1)=0,"",SUMIFS(T_TTAFStock_Log[TTAF_Qty],T_TTAFStock_Log[Part Name],$A38,T_TTAFStock_Log[WeekIndex],1))</f>
        <v/>
      </c>
      <c r="C38" s="12">
        <f>IF(COUNTIFS(T_TTAFStock_Log[Part Name],$A38,T_TTAFStock_Log[WeekIndex],2)=0,"",SUMIFS(T_TTAFStock_Log[TTAF_Qty],T_TTAFStock_Log[Part Name],$A38,T_TTAFStock_Log[WeekIndex],2))</f>
        <v/>
      </c>
      <c r="D38" s="12">
        <f>IF(COUNTIFS(T_TTAFStock_Log[Part Name],$A38,T_TTAFStock_Log[WeekIndex],3)=0,"",SUMIFS(T_TTAFStock_Log[TTAF_Qty],T_TTAFStock_Log[Part Name],$A38,T_TTAFStock_Log[WeekIndex],3))</f>
        <v/>
      </c>
      <c r="E38" s="12">
        <f>IF(COUNTIFS(T_TTAFStock_Log[Part Name],$A38,T_TTAFStock_Log[WeekIndex],4)=0,"",SUMIFS(T_TTAFStock_Log[TTAF_Qty],T_TTAFStock_Log[Part Name],$A38,T_TTAFStock_Log[WeekIndex],4))</f>
        <v/>
      </c>
      <c r="F38" s="12">
        <f>IF(COUNTIFS(T_TTAFStock_Log[Part Name],$A38,T_TTAFStock_Log[WeekIndex],5)=0,"",SUMIFS(T_TTAFStock_Log[TTAF_Qty],T_TTAFStock_Log[Part Name],$A38,T_TTAFStock_Log[WeekIndex],5))</f>
        <v/>
      </c>
      <c r="G38" s="12">
        <f>IF(COUNTIFS(T_TTAFStock_Log[Part Name],$A38,T_TTAFStock_Log[WeekIndex],6)=0,"",SUMIFS(T_TTAFStock_Log[TTAF_Qty],T_TTAFStock_Log[Part Name],$A38,T_TTAFStock_Log[WeekIndex],6))</f>
        <v/>
      </c>
      <c r="H38" s="12">
        <f>IF(COUNTIFS(T_TTAFStock_Log[Part Name],$A38,T_TTAFStock_Log[WeekIndex],7)=0,"",SUMIFS(T_TTAFStock_Log[TTAF_Qty],T_TTAFStock_Log[Part Name],$A38,T_TTAFStock_Log[WeekIndex],7))</f>
        <v/>
      </c>
      <c r="I38" s="12">
        <f>IF(COUNTIFS(T_TTAFStock_Log[Part Name],$A38,T_TTAFStock_Log[WeekIndex],8)=0,"",SUMIFS(T_TTAFStock_Log[TTAF_Qty],T_TTAFStock_Log[Part Name],$A38,T_TTAFStock_Log[WeekIndex],8))</f>
        <v/>
      </c>
      <c r="J38" s="12">
        <f>IF(COUNTIFS(T_TTAFStock_Log[Part Name],$A38,T_TTAFStock_Log[WeekIndex],9)=0,"",SUMIFS(T_TTAFStock_Log[TTAF_Qty],T_TTAFStock_Log[Part Name],$A38,T_TTAFStock_Log[WeekIndex],9))</f>
        <v/>
      </c>
      <c r="K38" s="12">
        <f>IF(COUNTIFS(T_TTAFStock_Log[Part Name],$A38,T_TTAFStock_Log[WeekIndex],10)=0,"",SUMIFS(T_TTAFStock_Log[TTAF_Qty],T_TTAFStock_Log[Part Name],$A38,T_TTAFStock_Log[WeekIndex],10))</f>
        <v/>
      </c>
      <c r="L38" s="12">
        <f>IF(COUNTIFS(T_TTAFStock_Log[Part Name],$A38,T_TTAFStock_Log[WeekIndex],11)=0,"",SUMIFS(T_TTAFStock_Log[TTAF_Qty],T_TTAFStock_Log[Part Name],$A38,T_TTAFStock_Log[WeekIndex],11))</f>
        <v/>
      </c>
      <c r="M38" s="12">
        <f>IF(COUNTIFS(T_TTAFStock_Log[Part Name],$A38,T_TTAFStock_Log[WeekIndex],12)=0,"",SUMIFS(T_TTAFStock_Log[TTAF_Qty],T_TTAFStock_Log[Part Name],$A38,T_TTAFStock_Log[WeekIndex],12))</f>
        <v/>
      </c>
      <c r="N38" s="12">
        <f>IF(COUNTIFS(T_TTAFStock_Log[Part Name],$A38,T_TTAFStock_Log[WeekIndex],13)=0,"",SUMIFS(T_TTAFStock_Log[TTAF_Qty],T_TTAFStock_Log[Part Name],$A38,T_TTAFStock_Log[WeekIndex],13))</f>
        <v/>
      </c>
      <c r="O38" s="12">
        <f>IF(COUNTIFS(T_TTAFStock_Log[Part Name],$A38,T_TTAFStock_Log[WeekIndex],14)=0,"",SUMIFS(T_TTAFStock_Log[TTAF_Qty],T_TTAFStock_Log[Part Name],$A38,T_TTAFStock_Log[WeekIndex],14))</f>
        <v/>
      </c>
      <c r="P38" s="12">
        <f>IF(COUNTIFS(T_TTAFStock_Log[Part Name],$A38,T_TTAFStock_Log[WeekIndex],15)=0,"",SUMIFS(T_TTAFStock_Log[TTAF_Qty],T_TTAFStock_Log[Part Name],$A38,T_TTAFStock_Log[WeekIndex],15))</f>
        <v/>
      </c>
      <c r="Q38" s="12">
        <f>IF(COUNTIFS(T_TTAFStock_Log[Part Name],$A38,T_TTAFStock_Log[WeekIndex],16)=0,"",SUMIFS(T_TTAFStock_Log[TTAF_Qty],T_TTAFStock_Log[Part Name],$A38,T_TTAFStock_Log[WeekIndex],16))</f>
        <v/>
      </c>
      <c r="R38" s="12">
        <f>IF(COUNTIFS(T_TTAFStock_Log[Part Name],$A38,T_TTAFStock_Log[WeekIndex],17)=0,"",SUMIFS(T_TTAFStock_Log[TTAF_Qty],T_TTAFStock_Log[Part Name],$A38,T_TTAFStock_Log[WeekIndex],17))</f>
        <v/>
      </c>
      <c r="S38" s="12">
        <f>IF(COUNTIFS(T_TTAFStock_Log[Part Name],$A38,T_TTAFStock_Log[WeekIndex],18)=0,"",SUMIFS(T_TTAFStock_Log[TTAF_Qty],T_TTAFStock_Log[Part Name],$A38,T_TTAFStock_Log[WeekIndex],18))</f>
        <v/>
      </c>
      <c r="T38" s="12">
        <f>IF(COUNTIFS(T_TTAFStock_Log[Part Name],$A38,T_TTAFStock_Log[WeekIndex],19)=0,"",SUMIFS(T_TTAFStock_Log[TTAF_Qty],T_TTAFStock_Log[Part Name],$A38,T_TTAFStock_Log[WeekIndex],19))</f>
        <v/>
      </c>
      <c r="U38" s="12">
        <f>IF(COUNTIFS(T_TTAFStock_Log[Part Name],$A38,T_TTAFStock_Log[WeekIndex],20)=0,"",SUMIFS(T_TTAFStock_Log[TTAF_Qty],T_TTAFStock_Log[Part Name],$A38,T_TTAFStock_Log[WeekIndex],20))</f>
        <v/>
      </c>
      <c r="V38" s="12">
        <f>IF(COUNTIFS(T_TTAFStock_Log[Part Name],$A38,T_TTAFStock_Log[WeekIndex],21)=0,"",SUMIFS(T_TTAFStock_Log[TTAF_Qty],T_TTAFStock_Log[Part Name],$A38,T_TTAFStock_Log[WeekIndex],21))</f>
        <v/>
      </c>
      <c r="W38" s="12">
        <f>IF(COUNTIFS(T_TTAFStock_Log[Part Name],$A38,T_TTAFStock_Log[WeekIndex],22)=0,"",SUMIFS(T_TTAFStock_Log[TTAF_Qty],T_TTAFStock_Log[Part Name],$A38,T_TTAFStock_Log[WeekIndex],22))</f>
        <v/>
      </c>
      <c r="X38" s="12">
        <f>IF(COUNTIFS(T_TTAFStock_Log[Part Name],$A38,T_TTAFStock_Log[WeekIndex],23)=0,"",SUMIFS(T_TTAFStock_Log[TTAF_Qty],T_TTAFStock_Log[Part Name],$A38,T_TTAFStock_Log[WeekIndex],23))</f>
        <v/>
      </c>
      <c r="Y38" s="12">
        <f>IF(COUNTIFS(T_TTAFStock_Log[Part Name],$A38,T_TTAFStock_Log[WeekIndex],24)=0,"",SUMIFS(T_TTAFStock_Log[TTAF_Qty],T_TTAFStock_Log[Part Name],$A38,T_TTAFStock_Log[WeekIndex],24))</f>
        <v/>
      </c>
      <c r="Z38" s="12">
        <f>IF(COUNTIFS(T_TTAFStock_Log[Part Name],$A38,T_TTAFStock_Log[WeekIndex],25)=0,"",SUMIFS(T_TTAFStock_Log[TTAF_Qty],T_TTAFStock_Log[Part Name],$A38,T_TTAFStock_Log[WeekIndex],25))</f>
        <v/>
      </c>
      <c r="AA38" s="12">
        <f>IF(COUNTIFS(T_TTAFStock_Log[Part Name],$A38,T_TTAFStock_Log[WeekIndex],26)=0,"",SUMIFS(T_TTAFStock_Log[TTAF_Qty],T_TTAFStock_Log[Part Name],$A38,T_TTAFStock_Log[WeekIndex],26))</f>
        <v/>
      </c>
      <c r="AB38" s="12">
        <f>IF(COUNTIFS(T_TTAFStock_Log[Part Name],$A38,T_TTAFStock_Log[WeekIndex],27)=0,"",SUMIFS(T_TTAFStock_Log[TTAF_Qty],T_TTAFStock_Log[Part Name],$A38,T_TTAFStock_Log[WeekIndex],27))</f>
        <v/>
      </c>
      <c r="AC38" s="12">
        <f>IF(COUNTIFS(T_TTAFStock_Log[Part Name],$A38,T_TTAFStock_Log[WeekIndex],28)=0,"",SUMIFS(T_TTAFStock_Log[TTAF_Qty],T_TTAFStock_Log[Part Name],$A38,T_TTAFStock_Log[WeekIndex],28))</f>
        <v/>
      </c>
      <c r="AD38" s="12">
        <f>IF(COUNTIFS(T_TTAFStock_Log[Part Name],$A38,T_TTAFStock_Log[WeekIndex],29)=0,"",SUMIFS(T_TTAFStock_Log[TTAF_Qty],T_TTAFStock_Log[Part Name],$A38,T_TTAFStock_Log[WeekIndex],29))</f>
        <v/>
      </c>
      <c r="AE38" s="12">
        <f>IF(COUNTIFS(T_TTAFStock_Log[Part Name],$A38,T_TTAFStock_Log[WeekIndex],30)=0,"",SUMIFS(T_TTAFStock_Log[TTAF_Qty],T_TTAFStock_Log[Part Name],$A38,T_TTAFStock_Log[WeekIndex],30))</f>
        <v/>
      </c>
      <c r="AF38" s="12">
        <f>IF(COUNTIFS(T_TTAFStock_Log[Part Name],$A38,T_TTAFStock_Log[WeekIndex],31)=0,"",SUMIFS(T_TTAFStock_Log[TTAF_Qty],T_TTAFStock_Log[Part Name],$A38,T_TTAFStock_Log[WeekIndex],31))</f>
        <v/>
      </c>
      <c r="AG38" s="12">
        <f>IF(COUNTIFS(T_TTAFStock_Log[Part Name],$A38,T_TTAFStock_Log[WeekIndex],32)=0,"",SUMIFS(T_TTAFStock_Log[TTAF_Qty],T_TTAFStock_Log[Part Name],$A38,T_TTAFStock_Log[WeekIndex],32))</f>
        <v/>
      </c>
      <c r="AH38" s="12">
        <f>IF(COUNTIFS(T_TTAFStock_Log[Part Name],$A38,T_TTAFStock_Log[WeekIndex],33)=0,"",SUMIFS(T_TTAFStock_Log[TTAF_Qty],T_TTAFStock_Log[Part Name],$A38,T_TTAFStock_Log[WeekIndex],33))</f>
        <v/>
      </c>
      <c r="AI38" s="12">
        <f>IF(COUNTIFS(T_TTAFStock_Log[Part Name],$A38,T_TTAFStock_Log[WeekIndex],34)=0,"",SUMIFS(T_TTAFStock_Log[TTAF_Qty],T_TTAFStock_Log[Part Name],$A38,T_TTAFStock_Log[WeekIndex],34))</f>
        <v/>
      </c>
      <c r="AJ38" s="12">
        <f>IF(COUNTIFS(T_TTAFStock_Log[Part Name],$A38,T_TTAFStock_Log[WeekIndex],35)=0,"",SUMIFS(T_TTAFStock_Log[TTAF_Qty],T_TTAFStock_Log[Part Name],$A38,T_TTAFStock_Log[WeekIndex],35))</f>
        <v/>
      </c>
      <c r="AK38" s="12">
        <f>IF(COUNTIFS(T_TTAFStock_Log[Part Name],$A38,T_TTAFStock_Log[WeekIndex],36)=0,"",SUMIFS(T_TTAFStock_Log[TTAF_Qty],T_TTAFStock_Log[Part Name],$A38,T_TTAFStock_Log[WeekIndex],36))</f>
        <v/>
      </c>
      <c r="AL38" s="12">
        <f>IF(COUNTIFS(T_TTAFStock_Log[Part Name],$A38,T_TTAFStock_Log[WeekIndex],37)=0,"",SUMIFS(T_TTAFStock_Log[TTAF_Qty],T_TTAFStock_Log[Part Name],$A38,T_TTAFStock_Log[WeekIndex],37))</f>
        <v/>
      </c>
      <c r="AM38" s="12">
        <f>IF(COUNTIFS(T_TTAFStock_Log[Part Name],$A38,T_TTAFStock_Log[WeekIndex],38)=0,"",SUMIFS(T_TTAFStock_Log[TTAF_Qty],T_TTAFStock_Log[Part Name],$A38,T_TTAFStock_Log[WeekIndex],38))</f>
        <v/>
      </c>
      <c r="AN38" s="12">
        <f>IF(COUNTIFS(T_TTAFStock_Log[Part Name],$A38,T_TTAFStock_Log[WeekIndex],39)=0,"",SUMIFS(T_TTAFStock_Log[TTAF_Qty],T_TTAFStock_Log[Part Name],$A38,T_TTAFStock_Log[WeekIndex],39))</f>
        <v/>
      </c>
      <c r="AO38" s="12">
        <f>IF(COUNTIFS(T_TTAFStock_Log[Part Name],$A38,T_TTAFStock_Log[WeekIndex],40)=0,"",SUMIFS(T_TTAFStock_Log[TTAF_Qty],T_TTAFStock_Log[Part Name],$A38,T_TTAFStock_Log[WeekIndex],40))</f>
        <v/>
      </c>
      <c r="AP38" s="12">
        <f>IF(COUNTIFS(T_TTAFStock_Log[Part Name],$A38,T_TTAFStock_Log[WeekIndex],41)=0,"",SUMIFS(T_TTAFStock_Log[TTAF_Qty],T_TTAFStock_Log[Part Name],$A38,T_TTAFStock_Log[WeekIndex],41))</f>
        <v/>
      </c>
      <c r="AQ38" s="12">
        <f>IF(COUNTIFS(T_TTAFStock_Log[Part Name],$A38,T_TTAFStock_Log[WeekIndex],42)=0,"",SUMIFS(T_TTAFStock_Log[TTAF_Qty],T_TTAFStock_Log[Part Name],$A38,T_TTAFStock_Log[WeekIndex],42))</f>
        <v/>
      </c>
      <c r="AR38" s="12">
        <f>IF(COUNTIFS(T_TTAFStock_Log[Part Name],$A38,T_TTAFStock_Log[WeekIndex],43)=0,"",SUMIFS(T_TTAFStock_Log[TTAF_Qty],T_TTAFStock_Log[Part Name],$A38,T_TTAFStock_Log[WeekIndex],43))</f>
        <v/>
      </c>
      <c r="AS38" s="12">
        <f>IF(COUNTIFS(T_TTAFStock_Log[Part Name],$A38,T_TTAFStock_Log[WeekIndex],44)=0,"",SUMIFS(T_TTAFStock_Log[TTAF_Qty],T_TTAFStock_Log[Part Name],$A38,T_TTAFStock_Log[WeekIndex],44))</f>
        <v/>
      </c>
      <c r="AT38" s="12">
        <f>IF(COUNTIFS(T_TTAFStock_Log[Part Name],$A38,T_TTAFStock_Log[WeekIndex],45)=0,"",SUMIFS(T_TTAFStock_Log[TTAF_Qty],T_TTAFStock_Log[Part Name],$A38,T_TTAFStock_Log[WeekIndex],45))</f>
        <v/>
      </c>
      <c r="AU38" s="12">
        <f>IF(COUNTIFS(T_TTAFStock_Log[Part Name],$A38,T_TTAFStock_Log[WeekIndex],46)=0,"",SUMIFS(T_TTAFStock_Log[TTAF_Qty],T_TTAFStock_Log[Part Name],$A38,T_TTAFStock_Log[WeekIndex],46))</f>
        <v/>
      </c>
      <c r="AV38" s="12">
        <f>IF(COUNTIFS(T_TTAFStock_Log[Part Name],$A38,T_TTAFStock_Log[WeekIndex],47)=0,"",SUMIFS(T_TTAFStock_Log[TTAF_Qty],T_TTAFStock_Log[Part Name],$A38,T_TTAFStock_Log[WeekIndex],47))</f>
        <v/>
      </c>
      <c r="AW38" s="12">
        <f>IF(COUNTIFS(T_TTAFStock_Log[Part Name],$A38,T_TTAFStock_Log[WeekIndex],48)=0,"",SUMIFS(T_TTAFStock_Log[TTAF_Qty],T_TTAFStock_Log[Part Name],$A38,T_TTAFStock_Log[WeekIndex],48))</f>
        <v/>
      </c>
      <c r="AX38" s="12">
        <f>IF(COUNTIFS(T_TTAFStock_Log[Part Name],$A38,T_TTAFStock_Log[WeekIndex],49)=0,"",SUMIFS(T_TTAFStock_Log[TTAF_Qty],T_TTAFStock_Log[Part Name],$A38,T_TTAFStock_Log[WeekIndex],49))</f>
        <v/>
      </c>
      <c r="AY38" s="12">
        <f>IF(COUNTIFS(T_TTAFStock_Log[Part Name],$A38,T_TTAFStock_Log[WeekIndex],50)=0,"",SUMIFS(T_TTAFStock_Log[TTAF_Qty],T_TTAFStock_Log[Part Name],$A38,T_TTAFStock_Log[WeekIndex],50))</f>
        <v/>
      </c>
      <c r="AZ38" s="12">
        <f>IF(COUNTIFS(T_TTAFStock_Log[Part Name],$A38,T_TTAFStock_Log[WeekIndex],51)=0,"",SUMIFS(T_TTAFStock_Log[TTAF_Qty],T_TTAFStock_Log[Part Name],$A38,T_TTAFStock_Log[WeekIndex],51))</f>
        <v/>
      </c>
      <c r="BA38" s="12">
        <f>IF(COUNTIFS(T_TTAFStock_Log[Part Name],$A38,T_TTAFStock_Log[WeekIndex],52)=0,"",SUMIFS(T_TTAFStock_Log[TTAF_Qty],T_TTAFStock_Log[Part Name],$A38,T_TTAFStock_Log[WeekIndex],52))</f>
        <v/>
      </c>
      <c r="BB38" s="12">
        <f>IF(COUNTIFS(T_TTAFStock_Log[Part Name],$A38,T_TTAFStock_Log[WeekIndex],53)=0,"",SUMIFS(T_TTAFStock_Log[TTAF_Qty],T_TTAFStock_Log[Part Name],$A38,T_TTAFStock_Log[WeekIndex],53))</f>
        <v/>
      </c>
      <c r="BC38" s="12">
        <f>IF(COUNTIFS(T_TTAFStock_Log[Part Name],$A38,T_TTAFStock_Log[WeekIndex],54)=0,"",SUMIFS(T_TTAFStock_Log[TTAF_Qty],T_TTAFStock_Log[Part Name],$A38,T_TTAFStock_Log[WeekIndex],54))</f>
        <v/>
      </c>
      <c r="BD38" s="12">
        <f>IF(COUNTIFS(T_TTAFStock_Log[Part Name],$A38,T_TTAFStock_Log[WeekIndex],55)=0,"",SUMIFS(T_TTAFStock_Log[TTAF_Qty],T_TTAFStock_Log[Part Name],$A38,T_TTAFStock_Log[WeekIndex],55))</f>
        <v/>
      </c>
      <c r="BE38" s="12">
        <f>IF(COUNTIFS(T_TTAFStock_Log[Part Name],$A38,T_TTAFStock_Log[WeekIndex],56)=0,"",SUMIFS(T_TTAFStock_Log[TTAF_Qty],T_TTAFStock_Log[Part Name],$A38,T_TTAFStock_Log[WeekIndex],56))</f>
        <v/>
      </c>
      <c r="BF38" s="12">
        <f>IF(COUNTIFS(T_TTAFStock_Log[Part Name],$A38,T_TTAFStock_Log[WeekIndex],57)=0,"",SUMIFS(T_TTAFStock_Log[TTAF_Qty],T_TTAFStock_Log[Part Name],$A38,T_TTAFStock_Log[WeekIndex],57))</f>
        <v/>
      </c>
      <c r="BG38" s="12">
        <f>IF(COUNTIFS(T_TTAFStock_Log[Part Name],$A38,T_TTAFStock_Log[WeekIndex],58)=0,"",SUMIFS(T_TTAFStock_Log[TTAF_Qty],T_TTAFStock_Log[Part Name],$A38,T_TTAFStock_Log[WeekIndex],58))</f>
        <v/>
      </c>
      <c r="BH38" s="12">
        <f>IF(COUNTIFS(T_TTAFStock_Log[Part Name],$A38,T_TTAFStock_Log[WeekIndex],59)=0,"",SUMIFS(T_TTAFStock_Log[TTAF_Qty],T_TTAFStock_Log[Part Name],$A38,T_TTAFStock_Log[WeekIndex],59))</f>
        <v/>
      </c>
      <c r="BI38" s="12">
        <f>IF(COUNTIFS(T_TTAFStock_Log[Part Name],$A38,T_TTAFStock_Log[WeekIndex],60)=0,"",SUMIFS(T_TTAFStock_Log[TTAF_Qty],T_TTAFStock_Log[Part Name],$A38,T_TTAFStock_Log[WeekIndex],60))</f>
        <v/>
      </c>
      <c r="BJ38" s="12">
        <f>IF(COUNTIFS(T_TTAFStock_Log[Part Name],$A38,T_TTAFStock_Log[WeekIndex],61)=0,"",SUMIFS(T_TTAFStock_Log[TTAF_Qty],T_TTAFStock_Log[Part Name],$A38,T_TTAFStock_Log[WeekIndex],61))</f>
        <v/>
      </c>
      <c r="BK38" s="12">
        <f>IF(COUNTIFS(T_TTAFStock_Log[Part Name],$A38,T_TTAFStock_Log[WeekIndex],62)=0,"",SUMIFS(T_TTAFStock_Log[TTAF_Qty],T_TTAFStock_Log[Part Name],$A38,T_TTAFStock_Log[WeekIndex],62))</f>
        <v/>
      </c>
      <c r="BL38" s="12">
        <f>IF(COUNTIFS(T_TTAFStock_Log[Part Name],$A38,T_TTAFStock_Log[WeekIndex],63)=0,"",SUMIFS(T_TTAFStock_Log[TTAF_Qty],T_TTAFStock_Log[Part Name],$A38,T_TTAFStock_Log[WeekIndex],63))</f>
        <v/>
      </c>
      <c r="BM38" s="12">
        <f>IF(COUNTIFS(T_TTAFStock_Log[Part Name],$A38,T_TTAFStock_Log[WeekIndex],64)=0,"",SUMIFS(T_TTAFStock_Log[TTAF_Qty],T_TTAFStock_Log[Part Name],$A38,T_TTAFStock_Log[WeekIndex],64))</f>
        <v/>
      </c>
      <c r="BN38" s="12">
        <f>IF(COUNTIFS(T_TTAFStock_Log[Part Name],$A38,T_TTAFStock_Log[WeekIndex],65)=0,"",SUMIFS(T_TTAFStock_Log[TTAF_Qty],T_TTAFStock_Log[Part Name],$A38,T_TTAFStock_Log[WeekIndex],65))</f>
        <v/>
      </c>
      <c r="BO38" s="12">
        <f>IF(COUNTIFS(T_TTAFStock_Log[Part Name],$A38,T_TTAFStock_Log[WeekIndex],66)=0,"",SUMIFS(T_TTAFStock_Log[TTAF_Qty],T_TTAFStock_Log[Part Name],$A38,T_TTAFStock_Log[WeekIndex],66))</f>
        <v/>
      </c>
      <c r="BP38" s="12">
        <f>IF(COUNTIFS(T_TTAFStock_Log[Part Name],$A38,T_TTAFStock_Log[WeekIndex],67)=0,"",SUMIFS(T_TTAFStock_Log[TTAF_Qty],T_TTAFStock_Log[Part Name],$A38,T_TTAFStock_Log[WeekIndex],67))</f>
        <v/>
      </c>
      <c r="BQ38" s="12">
        <f>IF(COUNTIFS(T_TTAFStock_Log[Part Name],$A38,T_TTAFStock_Log[WeekIndex],68)=0,"",SUMIFS(T_TTAFStock_Log[TTAF_Qty],T_TTAFStock_Log[Part Name],$A38,T_TTAFStock_Log[WeekIndex],68))</f>
        <v/>
      </c>
      <c r="BR38" s="12">
        <f>IF(COUNTIFS(T_TTAFStock_Log[Part Name],$A38,T_TTAFStock_Log[WeekIndex],69)=0,"",SUMIFS(T_TTAFStock_Log[TTAF_Qty],T_TTAFStock_Log[Part Name],$A38,T_TTAFStock_Log[WeekIndex],69))</f>
        <v/>
      </c>
      <c r="BS38" s="12">
        <f>IF(COUNTIFS(T_TTAFStock_Log[Part Name],$A38,T_TTAFStock_Log[WeekIndex],70)=0,"",SUMIFS(T_TTAFStock_Log[TTAF_Qty],T_TTAFStock_Log[Part Name],$A38,T_TTAFStock_Log[WeekIndex],70))</f>
        <v/>
      </c>
      <c r="BT38" s="12">
        <f>IF(COUNTIFS(T_TTAFStock_Log[Part Name],$A38,T_TTAFStock_Log[WeekIndex],71)=0,"",SUMIFS(T_TTAFStock_Log[TTAF_Qty],T_TTAFStock_Log[Part Name],$A38,T_TTAFStock_Log[WeekIndex],71))</f>
        <v/>
      </c>
      <c r="BU38" s="12">
        <f>IF(COUNTIFS(T_TTAFStock_Log[Part Name],$A38,T_TTAFStock_Log[WeekIndex],72)=0,"",SUMIFS(T_TTAFStock_Log[TTAF_Qty],T_TTAFStock_Log[Part Name],$A38,T_TTAFStock_Log[WeekIndex],72))</f>
        <v/>
      </c>
      <c r="BV38" s="12">
        <f>IF(COUNTIFS(T_TTAFStock_Log[Part Name],$A38,T_TTAFStock_Log[WeekIndex],73)=0,"",SUMIFS(T_TTAFStock_Log[TTAF_Qty],T_TTAFStock_Log[Part Name],$A38,T_TTAFStock_Log[WeekIndex],73))</f>
        <v/>
      </c>
      <c r="BW38" s="12">
        <f>IF(COUNTIFS(T_TTAFStock_Log[Part Name],$A38,T_TTAFStock_Log[WeekIndex],74)=0,"",SUMIFS(T_TTAFStock_Log[TTAF_Qty],T_TTAFStock_Log[Part Name],$A38,T_TTAFStock_Log[WeekIndex],74))</f>
        <v/>
      </c>
      <c r="BX38" s="12">
        <f>IF(COUNTIFS(T_TTAFStock_Log[Part Name],$A38,T_TTAFStock_Log[WeekIndex],75)=0,"",SUMIFS(T_TTAFStock_Log[TTAF_Qty],T_TTAFStock_Log[Part Name],$A38,T_TTAFStock_Log[WeekIndex],75))</f>
        <v/>
      </c>
      <c r="BY38" s="12">
        <f>IF(COUNTIFS(T_TTAFStock_Log[Part Name],$A38,T_TTAFStock_Log[WeekIndex],76)=0,"",SUMIFS(T_TTAFStock_Log[TTAF_Qty],T_TTAFStock_Log[Part Name],$A38,T_TTAFStock_Log[WeekIndex],76))</f>
        <v/>
      </c>
      <c r="BZ38" s="12">
        <f>IF(COUNTIFS(T_TTAFStock_Log[Part Name],$A38,T_TTAFStock_Log[WeekIndex],77)=0,"",SUMIFS(T_TTAFStock_Log[TTAF_Qty],T_TTAFStock_Log[Part Name],$A38,T_TTAFStock_Log[WeekIndex],77))</f>
        <v/>
      </c>
      <c r="CA38" s="12">
        <f>IF(COUNTIFS(T_TTAFStock_Log[Part Name],$A38,T_TTAFStock_Log[WeekIndex],78)=0,"",SUMIFS(T_TTAFStock_Log[TTAF_Qty],T_TTAFStock_Log[Part Name],$A38,T_TTAFStock_Log[WeekIndex],78))</f>
        <v/>
      </c>
      <c r="CB38" s="12">
        <f>IF(COUNTIFS(T_TTAFStock_Log[Part Name],$A38,T_TTAFStock_Log[WeekIndex],79)=0,"",SUMIFS(T_TTAFStock_Log[TTAF_Qty],T_TTAFStock_Log[Part Name],$A38,T_TTAFStock_Log[WeekIndex],79))</f>
        <v/>
      </c>
      <c r="CC38" s="12">
        <f>IF(COUNTIFS(T_TTAFStock_Log[Part Name],$A38,T_TTAFStock_Log[WeekIndex],80)=0,"",SUMIFS(T_TTAFStock_Log[TTAF_Qty],T_TTAFStock_Log[Part Name],$A38,T_TTAFStock_Log[WeekIndex],80))</f>
        <v/>
      </c>
      <c r="CD38" s="12">
        <f>IF(COUNTIFS(T_TTAFStock_Log[Part Name],$A38,T_TTAFStock_Log[WeekIndex],81)=0,"",SUMIFS(T_TTAFStock_Log[TTAF_Qty],T_TTAFStock_Log[Part Name],$A38,T_TTAFStock_Log[WeekIndex],81))</f>
        <v/>
      </c>
      <c r="CE38" s="12">
        <f>IF(COUNTIFS(T_TTAFStock_Log[Part Name],$A38,T_TTAFStock_Log[WeekIndex],82)=0,"",SUMIFS(T_TTAFStock_Log[TTAF_Qty],T_TTAFStock_Log[Part Name],$A38,T_TTAFStock_Log[WeekIndex],82))</f>
        <v/>
      </c>
      <c r="CF38" s="12">
        <f>IF(COUNTIFS(T_TTAFStock_Log[Part Name],$A38,T_TTAFStock_Log[WeekIndex],83)=0,"",SUMIFS(T_TTAFStock_Log[TTAF_Qty],T_TTAFStock_Log[Part Name],$A38,T_TTAFStock_Log[WeekIndex],83))</f>
        <v/>
      </c>
      <c r="CG38" s="12">
        <f>IF(COUNTIFS(T_TTAFStock_Log[Part Name],$A38,T_TTAFStock_Log[WeekIndex],84)=0,"",SUMIFS(T_TTAFStock_Log[TTAF_Qty],T_TTAFStock_Log[Part Name],$A38,T_TTAFStock_Log[WeekIndex],84))</f>
        <v/>
      </c>
      <c r="CH38" s="12">
        <f>IF(COUNTIFS(T_TTAFStock_Log[Part Name],$A38,T_TTAFStock_Log[WeekIndex],85)=0,"",SUMIFS(T_TTAFStock_Log[TTAF_Qty],T_TTAFStock_Log[Part Name],$A38,T_TTAFStock_Log[WeekIndex],85))</f>
        <v/>
      </c>
      <c r="CI38" s="12">
        <f>IF(COUNTIFS(T_TTAFStock_Log[Part Name],$A38,T_TTAFStock_Log[WeekIndex],86)=0,"",SUMIFS(T_TTAFStock_Log[TTAF_Qty],T_TTAFStock_Log[Part Name],$A38,T_TTAFStock_Log[WeekIndex],86))</f>
        <v/>
      </c>
      <c r="CJ38" s="12">
        <f>IF(COUNTIFS(T_TTAFStock_Log[Part Name],$A38,T_TTAFStock_Log[WeekIndex],87)=0,"",SUMIFS(T_TTAFStock_Log[TTAF_Qty],T_TTAFStock_Log[Part Name],$A38,T_TTAFStock_Log[WeekIndex],87))</f>
        <v/>
      </c>
      <c r="CK38" s="12">
        <f>IF(COUNTIFS(T_TTAFStock_Log[Part Name],$A38,T_TTAFStock_Log[WeekIndex],88)=0,"",SUMIFS(T_TTAFStock_Log[TTAF_Qty],T_TTAFStock_Log[Part Name],$A38,T_TTAFStock_Log[WeekIndex],88))</f>
        <v/>
      </c>
      <c r="CL38" s="12">
        <f>IF(COUNTIFS(T_TTAFStock_Log[Part Name],$A38,T_TTAFStock_Log[WeekIndex],89)=0,"",SUMIFS(T_TTAFStock_Log[TTAF_Qty],T_TTAFStock_Log[Part Name],$A38,T_TTAFStock_Log[WeekIndex],89))</f>
        <v/>
      </c>
      <c r="CM38" s="12">
        <f>IF(COUNTIFS(T_TTAFStock_Log[Part Name],$A38,T_TTAFStock_Log[WeekIndex],90)=0,"",SUMIFS(T_TTAFStock_Log[TTAF_Qty],T_TTAFStock_Log[Part Name],$A38,T_TTAFStock_Log[WeekIndex],90))</f>
        <v/>
      </c>
      <c r="CN38" s="12">
        <f>IF(COUNTIFS(T_TTAFStock_Log[Part Name],$A38,T_TTAFStock_Log[WeekIndex],91)=0,"",SUMIFS(T_TTAFStock_Log[TTAF_Qty],T_TTAFStock_Log[Part Name],$A38,T_TTAFStock_Log[WeekIndex],91))</f>
        <v/>
      </c>
      <c r="CO38" s="12">
        <f>IF(COUNTIFS(T_TTAFStock_Log[Part Name],$A38,T_TTAFStock_Log[WeekIndex],92)=0,"",SUMIFS(T_TTAFStock_Log[TTAF_Qty],T_TTAFStock_Log[Part Name],$A38,T_TTAFStock_Log[WeekIndex],92))</f>
        <v/>
      </c>
      <c r="CP38" s="12">
        <f>IF(COUNTIFS(T_TTAFStock_Log[Part Name],$A38,T_TTAFStock_Log[WeekIndex],93)=0,"",SUMIFS(T_TTAFStock_Log[TTAF_Qty],T_TTAFStock_Log[Part Name],$A38,T_TTAFStock_Log[WeekIndex],93))</f>
        <v/>
      </c>
      <c r="CQ38" s="12">
        <f>IF(COUNTIFS(T_TTAFStock_Log[Part Name],$A38,T_TTAFStock_Log[WeekIndex],94)=0,"",SUMIFS(T_TTAFStock_Log[TTAF_Qty],T_TTAFStock_Log[Part Name],$A38,T_TTAFStock_Log[WeekIndex],94))</f>
        <v/>
      </c>
      <c r="CR38" s="12">
        <f>IF(COUNTIFS(T_TTAFStock_Log[Part Name],$A38,T_TTAFStock_Log[WeekIndex],95)=0,"",SUMIFS(T_TTAFStock_Log[TTAF_Qty],T_TTAFStock_Log[Part Name],$A38,T_TTAFStock_Log[WeekIndex],95))</f>
        <v/>
      </c>
      <c r="CS38" s="12">
        <f>IF(COUNTIFS(T_TTAFStock_Log[Part Name],$A38,T_TTAFStock_Log[WeekIndex],96)=0,"",SUMIFS(T_TTAFStock_Log[TTAF_Qty],T_TTAFStock_Log[Part Name],$A38,T_TTAFStock_Log[WeekIndex],96))</f>
        <v/>
      </c>
      <c r="CT38" s="12">
        <f>IF(COUNTIFS(T_TTAFStock_Log[Part Name],$A38,T_TTAFStock_Log[WeekIndex],97)=0,"",SUMIFS(T_TTAFStock_Log[TTAF_Qty],T_TTAFStock_Log[Part Name],$A38,T_TTAFStock_Log[WeekIndex],97))</f>
        <v/>
      </c>
      <c r="CU38" s="12">
        <f>IF(COUNTIFS(T_TTAFStock_Log[Part Name],$A38,T_TTAFStock_Log[WeekIndex],98)=0,"",SUMIFS(T_TTAFStock_Log[TTAF_Qty],T_TTAFStock_Log[Part Name],$A38,T_TTAFStock_Log[WeekIndex],98))</f>
        <v/>
      </c>
      <c r="CV38" s="12">
        <f>IF(COUNTIFS(T_TTAFStock_Log[Part Name],$A38,T_TTAFStock_Log[WeekIndex],99)=0,"",SUMIFS(T_TTAFStock_Log[TTAF_Qty],T_TTAFStock_Log[Part Name],$A38,T_TTAFStock_Log[WeekIndex],99))</f>
        <v/>
      </c>
      <c r="CW38" s="12">
        <f>IF(COUNTIFS(T_TTAFStock_Log[Part Name],$A38,T_TTAFStock_Log[WeekIndex],100)=0,"",SUMIFS(T_TTAFStock_Log[TTAF_Qty],T_TTAFStock_Log[Part Name],$A38,T_TTAFStock_Log[WeekIndex],100))</f>
        <v/>
      </c>
      <c r="CX38" s="12">
        <f>IF(COUNTIFS(T_TTAFStock_Log[Part Name],$A38,T_TTAFStock_Log[WeekIndex],101)=0,"",SUMIFS(T_TTAFStock_Log[TTAF_Qty],T_TTAFStock_Log[Part Name],$A38,T_TTAFStock_Log[WeekIndex],101))</f>
        <v/>
      </c>
      <c r="CY38" s="12">
        <f>IF(COUNTIFS(T_TTAFStock_Log[Part Name],$A38,T_TTAFStock_Log[WeekIndex],102)=0,"",SUMIFS(T_TTAFStock_Log[TTAF_Qty],T_TTAFStock_Log[Part Name],$A38,T_TTAFStock_Log[WeekIndex],102))</f>
        <v/>
      </c>
      <c r="CZ38" s="12">
        <f>IF(COUNTIFS(T_TTAFStock_Log[Part Name],$A38,T_TTAFStock_Log[WeekIndex],103)=0,"",SUMIFS(T_TTAFStock_Log[TTAF_Qty],T_TTAFStock_Log[Part Name],$A38,T_TTAFStock_Log[WeekIndex],103))</f>
        <v/>
      </c>
      <c r="DA38" s="12">
        <f>IF(COUNTIFS(T_TTAFStock_Log[Part Name],$A38,T_TTAFStock_Log[WeekIndex],104)=0,"",SUMIFS(T_TTAFStock_Log[TTAF_Qty],T_TTAFStock_Log[Part Name],$A38,T_TTAFStock_Log[WeekIndex],104))</f>
        <v/>
      </c>
    </row>
    <row r="39">
      <c r="A39" s="13" t="inlineStr">
        <is>
          <t>CHEM-1510</t>
        </is>
      </c>
      <c r="B39" s="13">
        <f>IF(COUNTIFS(T_TTAFStock_Log[Part Name],$A39,T_TTAFStock_Log[WeekIndex],1)=0,"",SUMIFS(T_TTAFStock_Log[TTAF_Qty],T_TTAFStock_Log[Part Name],$A39,T_TTAFStock_Log[WeekIndex],1))</f>
        <v/>
      </c>
      <c r="C39" s="13">
        <f>IF(COUNTIFS(T_TTAFStock_Log[Part Name],$A39,T_TTAFStock_Log[WeekIndex],2)=0,"",SUMIFS(T_TTAFStock_Log[TTAF_Qty],T_TTAFStock_Log[Part Name],$A39,T_TTAFStock_Log[WeekIndex],2))</f>
        <v/>
      </c>
      <c r="D39" s="13">
        <f>IF(COUNTIFS(T_TTAFStock_Log[Part Name],$A39,T_TTAFStock_Log[WeekIndex],3)=0,"",SUMIFS(T_TTAFStock_Log[TTAF_Qty],T_TTAFStock_Log[Part Name],$A39,T_TTAFStock_Log[WeekIndex],3))</f>
        <v/>
      </c>
      <c r="E39" s="13">
        <f>IF(COUNTIFS(T_TTAFStock_Log[Part Name],$A39,T_TTAFStock_Log[WeekIndex],4)=0,"",SUMIFS(T_TTAFStock_Log[TTAF_Qty],T_TTAFStock_Log[Part Name],$A39,T_TTAFStock_Log[WeekIndex],4))</f>
        <v/>
      </c>
      <c r="F39" s="13">
        <f>IF(COUNTIFS(T_TTAFStock_Log[Part Name],$A39,T_TTAFStock_Log[WeekIndex],5)=0,"",SUMIFS(T_TTAFStock_Log[TTAF_Qty],T_TTAFStock_Log[Part Name],$A39,T_TTAFStock_Log[WeekIndex],5))</f>
        <v/>
      </c>
      <c r="G39" s="13">
        <f>IF(COUNTIFS(T_TTAFStock_Log[Part Name],$A39,T_TTAFStock_Log[WeekIndex],6)=0,"",SUMIFS(T_TTAFStock_Log[TTAF_Qty],T_TTAFStock_Log[Part Name],$A39,T_TTAFStock_Log[WeekIndex],6))</f>
        <v/>
      </c>
      <c r="H39" s="13">
        <f>IF(COUNTIFS(T_TTAFStock_Log[Part Name],$A39,T_TTAFStock_Log[WeekIndex],7)=0,"",SUMIFS(T_TTAFStock_Log[TTAF_Qty],T_TTAFStock_Log[Part Name],$A39,T_TTAFStock_Log[WeekIndex],7))</f>
        <v/>
      </c>
      <c r="I39" s="13">
        <f>IF(COUNTIFS(T_TTAFStock_Log[Part Name],$A39,T_TTAFStock_Log[WeekIndex],8)=0,"",SUMIFS(T_TTAFStock_Log[TTAF_Qty],T_TTAFStock_Log[Part Name],$A39,T_TTAFStock_Log[WeekIndex],8))</f>
        <v/>
      </c>
      <c r="J39" s="13">
        <f>IF(COUNTIFS(T_TTAFStock_Log[Part Name],$A39,T_TTAFStock_Log[WeekIndex],9)=0,"",SUMIFS(T_TTAFStock_Log[TTAF_Qty],T_TTAFStock_Log[Part Name],$A39,T_TTAFStock_Log[WeekIndex],9))</f>
        <v/>
      </c>
      <c r="K39" s="13">
        <f>IF(COUNTIFS(T_TTAFStock_Log[Part Name],$A39,T_TTAFStock_Log[WeekIndex],10)=0,"",SUMIFS(T_TTAFStock_Log[TTAF_Qty],T_TTAFStock_Log[Part Name],$A39,T_TTAFStock_Log[WeekIndex],10))</f>
        <v/>
      </c>
      <c r="L39" s="13">
        <f>IF(COUNTIFS(T_TTAFStock_Log[Part Name],$A39,T_TTAFStock_Log[WeekIndex],11)=0,"",SUMIFS(T_TTAFStock_Log[TTAF_Qty],T_TTAFStock_Log[Part Name],$A39,T_TTAFStock_Log[WeekIndex],11))</f>
        <v/>
      </c>
      <c r="M39" s="13">
        <f>IF(COUNTIFS(T_TTAFStock_Log[Part Name],$A39,T_TTAFStock_Log[WeekIndex],12)=0,"",SUMIFS(T_TTAFStock_Log[TTAF_Qty],T_TTAFStock_Log[Part Name],$A39,T_TTAFStock_Log[WeekIndex],12))</f>
        <v/>
      </c>
      <c r="N39" s="13">
        <f>IF(COUNTIFS(T_TTAFStock_Log[Part Name],$A39,T_TTAFStock_Log[WeekIndex],13)=0,"",SUMIFS(T_TTAFStock_Log[TTAF_Qty],T_TTAFStock_Log[Part Name],$A39,T_TTAFStock_Log[WeekIndex],13))</f>
        <v/>
      </c>
      <c r="O39" s="13">
        <f>IF(COUNTIFS(T_TTAFStock_Log[Part Name],$A39,T_TTAFStock_Log[WeekIndex],14)=0,"",SUMIFS(T_TTAFStock_Log[TTAF_Qty],T_TTAFStock_Log[Part Name],$A39,T_TTAFStock_Log[WeekIndex],14))</f>
        <v/>
      </c>
      <c r="P39" s="13">
        <f>IF(COUNTIFS(T_TTAFStock_Log[Part Name],$A39,T_TTAFStock_Log[WeekIndex],15)=0,"",SUMIFS(T_TTAFStock_Log[TTAF_Qty],T_TTAFStock_Log[Part Name],$A39,T_TTAFStock_Log[WeekIndex],15))</f>
        <v/>
      </c>
      <c r="Q39" s="13">
        <f>IF(COUNTIFS(T_TTAFStock_Log[Part Name],$A39,T_TTAFStock_Log[WeekIndex],16)=0,"",SUMIFS(T_TTAFStock_Log[TTAF_Qty],T_TTAFStock_Log[Part Name],$A39,T_TTAFStock_Log[WeekIndex],16))</f>
        <v/>
      </c>
      <c r="R39" s="13">
        <f>IF(COUNTIFS(T_TTAFStock_Log[Part Name],$A39,T_TTAFStock_Log[WeekIndex],17)=0,"",SUMIFS(T_TTAFStock_Log[TTAF_Qty],T_TTAFStock_Log[Part Name],$A39,T_TTAFStock_Log[WeekIndex],17))</f>
        <v/>
      </c>
      <c r="S39" s="13">
        <f>IF(COUNTIFS(T_TTAFStock_Log[Part Name],$A39,T_TTAFStock_Log[WeekIndex],18)=0,"",SUMIFS(T_TTAFStock_Log[TTAF_Qty],T_TTAFStock_Log[Part Name],$A39,T_TTAFStock_Log[WeekIndex],18))</f>
        <v/>
      </c>
      <c r="T39" s="13">
        <f>IF(COUNTIFS(T_TTAFStock_Log[Part Name],$A39,T_TTAFStock_Log[WeekIndex],19)=0,"",SUMIFS(T_TTAFStock_Log[TTAF_Qty],T_TTAFStock_Log[Part Name],$A39,T_TTAFStock_Log[WeekIndex],19))</f>
        <v/>
      </c>
      <c r="U39" s="13">
        <f>IF(COUNTIFS(T_TTAFStock_Log[Part Name],$A39,T_TTAFStock_Log[WeekIndex],20)=0,"",SUMIFS(T_TTAFStock_Log[TTAF_Qty],T_TTAFStock_Log[Part Name],$A39,T_TTAFStock_Log[WeekIndex],20))</f>
        <v/>
      </c>
      <c r="V39" s="13">
        <f>IF(COUNTIFS(T_TTAFStock_Log[Part Name],$A39,T_TTAFStock_Log[WeekIndex],21)=0,"",SUMIFS(T_TTAFStock_Log[TTAF_Qty],T_TTAFStock_Log[Part Name],$A39,T_TTAFStock_Log[WeekIndex],21))</f>
        <v/>
      </c>
      <c r="W39" s="13">
        <f>IF(COUNTIFS(T_TTAFStock_Log[Part Name],$A39,T_TTAFStock_Log[WeekIndex],22)=0,"",SUMIFS(T_TTAFStock_Log[TTAF_Qty],T_TTAFStock_Log[Part Name],$A39,T_TTAFStock_Log[WeekIndex],22))</f>
        <v/>
      </c>
      <c r="X39" s="13">
        <f>IF(COUNTIFS(T_TTAFStock_Log[Part Name],$A39,T_TTAFStock_Log[WeekIndex],23)=0,"",SUMIFS(T_TTAFStock_Log[TTAF_Qty],T_TTAFStock_Log[Part Name],$A39,T_TTAFStock_Log[WeekIndex],23))</f>
        <v/>
      </c>
      <c r="Y39" s="13">
        <f>IF(COUNTIFS(T_TTAFStock_Log[Part Name],$A39,T_TTAFStock_Log[WeekIndex],24)=0,"",SUMIFS(T_TTAFStock_Log[TTAF_Qty],T_TTAFStock_Log[Part Name],$A39,T_TTAFStock_Log[WeekIndex],24))</f>
        <v/>
      </c>
      <c r="Z39" s="13">
        <f>IF(COUNTIFS(T_TTAFStock_Log[Part Name],$A39,T_TTAFStock_Log[WeekIndex],25)=0,"",SUMIFS(T_TTAFStock_Log[TTAF_Qty],T_TTAFStock_Log[Part Name],$A39,T_TTAFStock_Log[WeekIndex],25))</f>
        <v/>
      </c>
      <c r="AA39" s="13">
        <f>IF(COUNTIFS(T_TTAFStock_Log[Part Name],$A39,T_TTAFStock_Log[WeekIndex],26)=0,"",SUMIFS(T_TTAFStock_Log[TTAF_Qty],T_TTAFStock_Log[Part Name],$A39,T_TTAFStock_Log[WeekIndex],26))</f>
        <v/>
      </c>
      <c r="AB39" s="13">
        <f>IF(COUNTIFS(T_TTAFStock_Log[Part Name],$A39,T_TTAFStock_Log[WeekIndex],27)=0,"",SUMIFS(T_TTAFStock_Log[TTAF_Qty],T_TTAFStock_Log[Part Name],$A39,T_TTAFStock_Log[WeekIndex],27))</f>
        <v/>
      </c>
      <c r="AC39" s="13">
        <f>IF(COUNTIFS(T_TTAFStock_Log[Part Name],$A39,T_TTAFStock_Log[WeekIndex],28)=0,"",SUMIFS(T_TTAFStock_Log[TTAF_Qty],T_TTAFStock_Log[Part Name],$A39,T_TTAFStock_Log[WeekIndex],28))</f>
        <v/>
      </c>
      <c r="AD39" s="13">
        <f>IF(COUNTIFS(T_TTAFStock_Log[Part Name],$A39,T_TTAFStock_Log[WeekIndex],29)=0,"",SUMIFS(T_TTAFStock_Log[TTAF_Qty],T_TTAFStock_Log[Part Name],$A39,T_TTAFStock_Log[WeekIndex],29))</f>
        <v/>
      </c>
      <c r="AE39" s="13">
        <f>IF(COUNTIFS(T_TTAFStock_Log[Part Name],$A39,T_TTAFStock_Log[WeekIndex],30)=0,"",SUMIFS(T_TTAFStock_Log[TTAF_Qty],T_TTAFStock_Log[Part Name],$A39,T_TTAFStock_Log[WeekIndex],30))</f>
        <v/>
      </c>
      <c r="AF39" s="13">
        <f>IF(COUNTIFS(T_TTAFStock_Log[Part Name],$A39,T_TTAFStock_Log[WeekIndex],31)=0,"",SUMIFS(T_TTAFStock_Log[TTAF_Qty],T_TTAFStock_Log[Part Name],$A39,T_TTAFStock_Log[WeekIndex],31))</f>
        <v/>
      </c>
      <c r="AG39" s="13">
        <f>IF(COUNTIFS(T_TTAFStock_Log[Part Name],$A39,T_TTAFStock_Log[WeekIndex],32)=0,"",SUMIFS(T_TTAFStock_Log[TTAF_Qty],T_TTAFStock_Log[Part Name],$A39,T_TTAFStock_Log[WeekIndex],32))</f>
        <v/>
      </c>
      <c r="AH39" s="13">
        <f>IF(COUNTIFS(T_TTAFStock_Log[Part Name],$A39,T_TTAFStock_Log[WeekIndex],33)=0,"",SUMIFS(T_TTAFStock_Log[TTAF_Qty],T_TTAFStock_Log[Part Name],$A39,T_TTAFStock_Log[WeekIndex],33))</f>
        <v/>
      </c>
      <c r="AI39" s="13">
        <f>IF(COUNTIFS(T_TTAFStock_Log[Part Name],$A39,T_TTAFStock_Log[WeekIndex],34)=0,"",SUMIFS(T_TTAFStock_Log[TTAF_Qty],T_TTAFStock_Log[Part Name],$A39,T_TTAFStock_Log[WeekIndex],34))</f>
        <v/>
      </c>
      <c r="AJ39" s="13">
        <f>IF(COUNTIFS(T_TTAFStock_Log[Part Name],$A39,T_TTAFStock_Log[WeekIndex],35)=0,"",SUMIFS(T_TTAFStock_Log[TTAF_Qty],T_TTAFStock_Log[Part Name],$A39,T_TTAFStock_Log[WeekIndex],35))</f>
        <v/>
      </c>
      <c r="AK39" s="13">
        <f>IF(COUNTIFS(T_TTAFStock_Log[Part Name],$A39,T_TTAFStock_Log[WeekIndex],36)=0,"",SUMIFS(T_TTAFStock_Log[TTAF_Qty],T_TTAFStock_Log[Part Name],$A39,T_TTAFStock_Log[WeekIndex],36))</f>
        <v/>
      </c>
      <c r="AL39" s="13">
        <f>IF(COUNTIFS(T_TTAFStock_Log[Part Name],$A39,T_TTAFStock_Log[WeekIndex],37)=0,"",SUMIFS(T_TTAFStock_Log[TTAF_Qty],T_TTAFStock_Log[Part Name],$A39,T_TTAFStock_Log[WeekIndex],37))</f>
        <v/>
      </c>
      <c r="AM39" s="13">
        <f>IF(COUNTIFS(T_TTAFStock_Log[Part Name],$A39,T_TTAFStock_Log[WeekIndex],38)=0,"",SUMIFS(T_TTAFStock_Log[TTAF_Qty],T_TTAFStock_Log[Part Name],$A39,T_TTAFStock_Log[WeekIndex],38))</f>
        <v/>
      </c>
      <c r="AN39" s="13">
        <f>IF(COUNTIFS(T_TTAFStock_Log[Part Name],$A39,T_TTAFStock_Log[WeekIndex],39)=0,"",SUMIFS(T_TTAFStock_Log[TTAF_Qty],T_TTAFStock_Log[Part Name],$A39,T_TTAFStock_Log[WeekIndex],39))</f>
        <v/>
      </c>
      <c r="AO39" s="13">
        <f>IF(COUNTIFS(T_TTAFStock_Log[Part Name],$A39,T_TTAFStock_Log[WeekIndex],40)=0,"",SUMIFS(T_TTAFStock_Log[TTAF_Qty],T_TTAFStock_Log[Part Name],$A39,T_TTAFStock_Log[WeekIndex],40))</f>
        <v/>
      </c>
      <c r="AP39" s="13">
        <f>IF(COUNTIFS(T_TTAFStock_Log[Part Name],$A39,T_TTAFStock_Log[WeekIndex],41)=0,"",SUMIFS(T_TTAFStock_Log[TTAF_Qty],T_TTAFStock_Log[Part Name],$A39,T_TTAFStock_Log[WeekIndex],41))</f>
        <v/>
      </c>
      <c r="AQ39" s="13">
        <f>IF(COUNTIFS(T_TTAFStock_Log[Part Name],$A39,T_TTAFStock_Log[WeekIndex],42)=0,"",SUMIFS(T_TTAFStock_Log[TTAF_Qty],T_TTAFStock_Log[Part Name],$A39,T_TTAFStock_Log[WeekIndex],42))</f>
        <v/>
      </c>
      <c r="AR39" s="13">
        <f>IF(COUNTIFS(T_TTAFStock_Log[Part Name],$A39,T_TTAFStock_Log[WeekIndex],43)=0,"",SUMIFS(T_TTAFStock_Log[TTAF_Qty],T_TTAFStock_Log[Part Name],$A39,T_TTAFStock_Log[WeekIndex],43))</f>
        <v/>
      </c>
      <c r="AS39" s="13">
        <f>IF(COUNTIFS(T_TTAFStock_Log[Part Name],$A39,T_TTAFStock_Log[WeekIndex],44)=0,"",SUMIFS(T_TTAFStock_Log[TTAF_Qty],T_TTAFStock_Log[Part Name],$A39,T_TTAFStock_Log[WeekIndex],44))</f>
        <v/>
      </c>
      <c r="AT39" s="13">
        <f>IF(COUNTIFS(T_TTAFStock_Log[Part Name],$A39,T_TTAFStock_Log[WeekIndex],45)=0,"",SUMIFS(T_TTAFStock_Log[TTAF_Qty],T_TTAFStock_Log[Part Name],$A39,T_TTAFStock_Log[WeekIndex],45))</f>
        <v/>
      </c>
      <c r="AU39" s="13">
        <f>IF(COUNTIFS(T_TTAFStock_Log[Part Name],$A39,T_TTAFStock_Log[WeekIndex],46)=0,"",SUMIFS(T_TTAFStock_Log[TTAF_Qty],T_TTAFStock_Log[Part Name],$A39,T_TTAFStock_Log[WeekIndex],46))</f>
        <v/>
      </c>
      <c r="AV39" s="13">
        <f>IF(COUNTIFS(T_TTAFStock_Log[Part Name],$A39,T_TTAFStock_Log[WeekIndex],47)=0,"",SUMIFS(T_TTAFStock_Log[TTAF_Qty],T_TTAFStock_Log[Part Name],$A39,T_TTAFStock_Log[WeekIndex],47))</f>
        <v/>
      </c>
      <c r="AW39" s="13">
        <f>IF(COUNTIFS(T_TTAFStock_Log[Part Name],$A39,T_TTAFStock_Log[WeekIndex],48)=0,"",SUMIFS(T_TTAFStock_Log[TTAF_Qty],T_TTAFStock_Log[Part Name],$A39,T_TTAFStock_Log[WeekIndex],48))</f>
        <v/>
      </c>
      <c r="AX39" s="13">
        <f>IF(COUNTIFS(T_TTAFStock_Log[Part Name],$A39,T_TTAFStock_Log[WeekIndex],49)=0,"",SUMIFS(T_TTAFStock_Log[TTAF_Qty],T_TTAFStock_Log[Part Name],$A39,T_TTAFStock_Log[WeekIndex],49))</f>
        <v/>
      </c>
      <c r="AY39" s="13">
        <f>IF(COUNTIFS(T_TTAFStock_Log[Part Name],$A39,T_TTAFStock_Log[WeekIndex],50)=0,"",SUMIFS(T_TTAFStock_Log[TTAF_Qty],T_TTAFStock_Log[Part Name],$A39,T_TTAFStock_Log[WeekIndex],50))</f>
        <v/>
      </c>
      <c r="AZ39" s="13">
        <f>IF(COUNTIFS(T_TTAFStock_Log[Part Name],$A39,T_TTAFStock_Log[WeekIndex],51)=0,"",SUMIFS(T_TTAFStock_Log[TTAF_Qty],T_TTAFStock_Log[Part Name],$A39,T_TTAFStock_Log[WeekIndex],51))</f>
        <v/>
      </c>
      <c r="BA39" s="13">
        <f>IF(COUNTIFS(T_TTAFStock_Log[Part Name],$A39,T_TTAFStock_Log[WeekIndex],52)=0,"",SUMIFS(T_TTAFStock_Log[TTAF_Qty],T_TTAFStock_Log[Part Name],$A39,T_TTAFStock_Log[WeekIndex],52))</f>
        <v/>
      </c>
      <c r="BB39" s="13">
        <f>IF(COUNTIFS(T_TTAFStock_Log[Part Name],$A39,T_TTAFStock_Log[WeekIndex],53)=0,"",SUMIFS(T_TTAFStock_Log[TTAF_Qty],T_TTAFStock_Log[Part Name],$A39,T_TTAFStock_Log[WeekIndex],53))</f>
        <v/>
      </c>
      <c r="BC39" s="13">
        <f>IF(COUNTIFS(T_TTAFStock_Log[Part Name],$A39,T_TTAFStock_Log[WeekIndex],54)=0,"",SUMIFS(T_TTAFStock_Log[TTAF_Qty],T_TTAFStock_Log[Part Name],$A39,T_TTAFStock_Log[WeekIndex],54))</f>
        <v/>
      </c>
      <c r="BD39" s="13">
        <f>IF(COUNTIFS(T_TTAFStock_Log[Part Name],$A39,T_TTAFStock_Log[WeekIndex],55)=0,"",SUMIFS(T_TTAFStock_Log[TTAF_Qty],T_TTAFStock_Log[Part Name],$A39,T_TTAFStock_Log[WeekIndex],55))</f>
        <v/>
      </c>
      <c r="BE39" s="13">
        <f>IF(COUNTIFS(T_TTAFStock_Log[Part Name],$A39,T_TTAFStock_Log[WeekIndex],56)=0,"",SUMIFS(T_TTAFStock_Log[TTAF_Qty],T_TTAFStock_Log[Part Name],$A39,T_TTAFStock_Log[WeekIndex],56))</f>
        <v/>
      </c>
      <c r="BF39" s="13">
        <f>IF(COUNTIFS(T_TTAFStock_Log[Part Name],$A39,T_TTAFStock_Log[WeekIndex],57)=0,"",SUMIFS(T_TTAFStock_Log[TTAF_Qty],T_TTAFStock_Log[Part Name],$A39,T_TTAFStock_Log[WeekIndex],57))</f>
        <v/>
      </c>
      <c r="BG39" s="13">
        <f>IF(COUNTIFS(T_TTAFStock_Log[Part Name],$A39,T_TTAFStock_Log[WeekIndex],58)=0,"",SUMIFS(T_TTAFStock_Log[TTAF_Qty],T_TTAFStock_Log[Part Name],$A39,T_TTAFStock_Log[WeekIndex],58))</f>
        <v/>
      </c>
      <c r="BH39" s="13">
        <f>IF(COUNTIFS(T_TTAFStock_Log[Part Name],$A39,T_TTAFStock_Log[WeekIndex],59)=0,"",SUMIFS(T_TTAFStock_Log[TTAF_Qty],T_TTAFStock_Log[Part Name],$A39,T_TTAFStock_Log[WeekIndex],59))</f>
        <v/>
      </c>
      <c r="BI39" s="13">
        <f>IF(COUNTIFS(T_TTAFStock_Log[Part Name],$A39,T_TTAFStock_Log[WeekIndex],60)=0,"",SUMIFS(T_TTAFStock_Log[TTAF_Qty],T_TTAFStock_Log[Part Name],$A39,T_TTAFStock_Log[WeekIndex],60))</f>
        <v/>
      </c>
      <c r="BJ39" s="13">
        <f>IF(COUNTIFS(T_TTAFStock_Log[Part Name],$A39,T_TTAFStock_Log[WeekIndex],61)=0,"",SUMIFS(T_TTAFStock_Log[TTAF_Qty],T_TTAFStock_Log[Part Name],$A39,T_TTAFStock_Log[WeekIndex],61))</f>
        <v/>
      </c>
      <c r="BK39" s="13">
        <f>IF(COUNTIFS(T_TTAFStock_Log[Part Name],$A39,T_TTAFStock_Log[WeekIndex],62)=0,"",SUMIFS(T_TTAFStock_Log[TTAF_Qty],T_TTAFStock_Log[Part Name],$A39,T_TTAFStock_Log[WeekIndex],62))</f>
        <v/>
      </c>
      <c r="BL39" s="13">
        <f>IF(COUNTIFS(T_TTAFStock_Log[Part Name],$A39,T_TTAFStock_Log[WeekIndex],63)=0,"",SUMIFS(T_TTAFStock_Log[TTAF_Qty],T_TTAFStock_Log[Part Name],$A39,T_TTAFStock_Log[WeekIndex],63))</f>
        <v/>
      </c>
      <c r="BM39" s="13">
        <f>IF(COUNTIFS(T_TTAFStock_Log[Part Name],$A39,T_TTAFStock_Log[WeekIndex],64)=0,"",SUMIFS(T_TTAFStock_Log[TTAF_Qty],T_TTAFStock_Log[Part Name],$A39,T_TTAFStock_Log[WeekIndex],64))</f>
        <v/>
      </c>
      <c r="BN39" s="13">
        <f>IF(COUNTIFS(T_TTAFStock_Log[Part Name],$A39,T_TTAFStock_Log[WeekIndex],65)=0,"",SUMIFS(T_TTAFStock_Log[TTAF_Qty],T_TTAFStock_Log[Part Name],$A39,T_TTAFStock_Log[WeekIndex],65))</f>
        <v/>
      </c>
      <c r="BO39" s="13">
        <f>IF(COUNTIFS(T_TTAFStock_Log[Part Name],$A39,T_TTAFStock_Log[WeekIndex],66)=0,"",SUMIFS(T_TTAFStock_Log[TTAF_Qty],T_TTAFStock_Log[Part Name],$A39,T_TTAFStock_Log[WeekIndex],66))</f>
        <v/>
      </c>
      <c r="BP39" s="13">
        <f>IF(COUNTIFS(T_TTAFStock_Log[Part Name],$A39,T_TTAFStock_Log[WeekIndex],67)=0,"",SUMIFS(T_TTAFStock_Log[TTAF_Qty],T_TTAFStock_Log[Part Name],$A39,T_TTAFStock_Log[WeekIndex],67))</f>
        <v/>
      </c>
      <c r="BQ39" s="13">
        <f>IF(COUNTIFS(T_TTAFStock_Log[Part Name],$A39,T_TTAFStock_Log[WeekIndex],68)=0,"",SUMIFS(T_TTAFStock_Log[TTAF_Qty],T_TTAFStock_Log[Part Name],$A39,T_TTAFStock_Log[WeekIndex],68))</f>
        <v/>
      </c>
      <c r="BR39" s="13">
        <f>IF(COUNTIFS(T_TTAFStock_Log[Part Name],$A39,T_TTAFStock_Log[WeekIndex],69)=0,"",SUMIFS(T_TTAFStock_Log[TTAF_Qty],T_TTAFStock_Log[Part Name],$A39,T_TTAFStock_Log[WeekIndex],69))</f>
        <v/>
      </c>
      <c r="BS39" s="13">
        <f>IF(COUNTIFS(T_TTAFStock_Log[Part Name],$A39,T_TTAFStock_Log[WeekIndex],70)=0,"",SUMIFS(T_TTAFStock_Log[TTAF_Qty],T_TTAFStock_Log[Part Name],$A39,T_TTAFStock_Log[WeekIndex],70))</f>
        <v/>
      </c>
      <c r="BT39" s="13">
        <f>IF(COUNTIFS(T_TTAFStock_Log[Part Name],$A39,T_TTAFStock_Log[WeekIndex],71)=0,"",SUMIFS(T_TTAFStock_Log[TTAF_Qty],T_TTAFStock_Log[Part Name],$A39,T_TTAFStock_Log[WeekIndex],71))</f>
        <v/>
      </c>
      <c r="BU39" s="13">
        <f>IF(COUNTIFS(T_TTAFStock_Log[Part Name],$A39,T_TTAFStock_Log[WeekIndex],72)=0,"",SUMIFS(T_TTAFStock_Log[TTAF_Qty],T_TTAFStock_Log[Part Name],$A39,T_TTAFStock_Log[WeekIndex],72))</f>
        <v/>
      </c>
      <c r="BV39" s="13">
        <f>IF(COUNTIFS(T_TTAFStock_Log[Part Name],$A39,T_TTAFStock_Log[WeekIndex],73)=0,"",SUMIFS(T_TTAFStock_Log[TTAF_Qty],T_TTAFStock_Log[Part Name],$A39,T_TTAFStock_Log[WeekIndex],73))</f>
        <v/>
      </c>
      <c r="BW39" s="13">
        <f>IF(COUNTIFS(T_TTAFStock_Log[Part Name],$A39,T_TTAFStock_Log[WeekIndex],74)=0,"",SUMIFS(T_TTAFStock_Log[TTAF_Qty],T_TTAFStock_Log[Part Name],$A39,T_TTAFStock_Log[WeekIndex],74))</f>
        <v/>
      </c>
      <c r="BX39" s="13">
        <f>IF(COUNTIFS(T_TTAFStock_Log[Part Name],$A39,T_TTAFStock_Log[WeekIndex],75)=0,"",SUMIFS(T_TTAFStock_Log[TTAF_Qty],T_TTAFStock_Log[Part Name],$A39,T_TTAFStock_Log[WeekIndex],75))</f>
        <v/>
      </c>
      <c r="BY39" s="13">
        <f>IF(COUNTIFS(T_TTAFStock_Log[Part Name],$A39,T_TTAFStock_Log[WeekIndex],76)=0,"",SUMIFS(T_TTAFStock_Log[TTAF_Qty],T_TTAFStock_Log[Part Name],$A39,T_TTAFStock_Log[WeekIndex],76))</f>
        <v/>
      </c>
      <c r="BZ39" s="13">
        <f>IF(COUNTIFS(T_TTAFStock_Log[Part Name],$A39,T_TTAFStock_Log[WeekIndex],77)=0,"",SUMIFS(T_TTAFStock_Log[TTAF_Qty],T_TTAFStock_Log[Part Name],$A39,T_TTAFStock_Log[WeekIndex],77))</f>
        <v/>
      </c>
      <c r="CA39" s="13">
        <f>IF(COUNTIFS(T_TTAFStock_Log[Part Name],$A39,T_TTAFStock_Log[WeekIndex],78)=0,"",SUMIFS(T_TTAFStock_Log[TTAF_Qty],T_TTAFStock_Log[Part Name],$A39,T_TTAFStock_Log[WeekIndex],78))</f>
        <v/>
      </c>
      <c r="CB39" s="13">
        <f>IF(COUNTIFS(T_TTAFStock_Log[Part Name],$A39,T_TTAFStock_Log[WeekIndex],79)=0,"",SUMIFS(T_TTAFStock_Log[TTAF_Qty],T_TTAFStock_Log[Part Name],$A39,T_TTAFStock_Log[WeekIndex],79))</f>
        <v/>
      </c>
      <c r="CC39" s="13">
        <f>IF(COUNTIFS(T_TTAFStock_Log[Part Name],$A39,T_TTAFStock_Log[WeekIndex],80)=0,"",SUMIFS(T_TTAFStock_Log[TTAF_Qty],T_TTAFStock_Log[Part Name],$A39,T_TTAFStock_Log[WeekIndex],80))</f>
        <v/>
      </c>
      <c r="CD39" s="13">
        <f>IF(COUNTIFS(T_TTAFStock_Log[Part Name],$A39,T_TTAFStock_Log[WeekIndex],81)=0,"",SUMIFS(T_TTAFStock_Log[TTAF_Qty],T_TTAFStock_Log[Part Name],$A39,T_TTAFStock_Log[WeekIndex],81))</f>
        <v/>
      </c>
      <c r="CE39" s="13">
        <f>IF(COUNTIFS(T_TTAFStock_Log[Part Name],$A39,T_TTAFStock_Log[WeekIndex],82)=0,"",SUMIFS(T_TTAFStock_Log[TTAF_Qty],T_TTAFStock_Log[Part Name],$A39,T_TTAFStock_Log[WeekIndex],82))</f>
        <v/>
      </c>
      <c r="CF39" s="13">
        <f>IF(COUNTIFS(T_TTAFStock_Log[Part Name],$A39,T_TTAFStock_Log[WeekIndex],83)=0,"",SUMIFS(T_TTAFStock_Log[TTAF_Qty],T_TTAFStock_Log[Part Name],$A39,T_TTAFStock_Log[WeekIndex],83))</f>
        <v/>
      </c>
      <c r="CG39" s="13">
        <f>IF(COUNTIFS(T_TTAFStock_Log[Part Name],$A39,T_TTAFStock_Log[WeekIndex],84)=0,"",SUMIFS(T_TTAFStock_Log[TTAF_Qty],T_TTAFStock_Log[Part Name],$A39,T_TTAFStock_Log[WeekIndex],84))</f>
        <v/>
      </c>
      <c r="CH39" s="13">
        <f>IF(COUNTIFS(T_TTAFStock_Log[Part Name],$A39,T_TTAFStock_Log[WeekIndex],85)=0,"",SUMIFS(T_TTAFStock_Log[TTAF_Qty],T_TTAFStock_Log[Part Name],$A39,T_TTAFStock_Log[WeekIndex],85))</f>
        <v/>
      </c>
      <c r="CI39" s="13">
        <f>IF(COUNTIFS(T_TTAFStock_Log[Part Name],$A39,T_TTAFStock_Log[WeekIndex],86)=0,"",SUMIFS(T_TTAFStock_Log[TTAF_Qty],T_TTAFStock_Log[Part Name],$A39,T_TTAFStock_Log[WeekIndex],86))</f>
        <v/>
      </c>
      <c r="CJ39" s="13">
        <f>IF(COUNTIFS(T_TTAFStock_Log[Part Name],$A39,T_TTAFStock_Log[WeekIndex],87)=0,"",SUMIFS(T_TTAFStock_Log[TTAF_Qty],T_TTAFStock_Log[Part Name],$A39,T_TTAFStock_Log[WeekIndex],87))</f>
        <v/>
      </c>
      <c r="CK39" s="13">
        <f>IF(COUNTIFS(T_TTAFStock_Log[Part Name],$A39,T_TTAFStock_Log[WeekIndex],88)=0,"",SUMIFS(T_TTAFStock_Log[TTAF_Qty],T_TTAFStock_Log[Part Name],$A39,T_TTAFStock_Log[WeekIndex],88))</f>
        <v/>
      </c>
      <c r="CL39" s="13">
        <f>IF(COUNTIFS(T_TTAFStock_Log[Part Name],$A39,T_TTAFStock_Log[WeekIndex],89)=0,"",SUMIFS(T_TTAFStock_Log[TTAF_Qty],T_TTAFStock_Log[Part Name],$A39,T_TTAFStock_Log[WeekIndex],89))</f>
        <v/>
      </c>
      <c r="CM39" s="13">
        <f>IF(COUNTIFS(T_TTAFStock_Log[Part Name],$A39,T_TTAFStock_Log[WeekIndex],90)=0,"",SUMIFS(T_TTAFStock_Log[TTAF_Qty],T_TTAFStock_Log[Part Name],$A39,T_TTAFStock_Log[WeekIndex],90))</f>
        <v/>
      </c>
      <c r="CN39" s="13">
        <f>IF(COUNTIFS(T_TTAFStock_Log[Part Name],$A39,T_TTAFStock_Log[WeekIndex],91)=0,"",SUMIFS(T_TTAFStock_Log[TTAF_Qty],T_TTAFStock_Log[Part Name],$A39,T_TTAFStock_Log[WeekIndex],91))</f>
        <v/>
      </c>
      <c r="CO39" s="13">
        <f>IF(COUNTIFS(T_TTAFStock_Log[Part Name],$A39,T_TTAFStock_Log[WeekIndex],92)=0,"",SUMIFS(T_TTAFStock_Log[TTAF_Qty],T_TTAFStock_Log[Part Name],$A39,T_TTAFStock_Log[WeekIndex],92))</f>
        <v/>
      </c>
      <c r="CP39" s="13">
        <f>IF(COUNTIFS(T_TTAFStock_Log[Part Name],$A39,T_TTAFStock_Log[WeekIndex],93)=0,"",SUMIFS(T_TTAFStock_Log[TTAF_Qty],T_TTAFStock_Log[Part Name],$A39,T_TTAFStock_Log[WeekIndex],93))</f>
        <v/>
      </c>
      <c r="CQ39" s="13">
        <f>IF(COUNTIFS(T_TTAFStock_Log[Part Name],$A39,T_TTAFStock_Log[WeekIndex],94)=0,"",SUMIFS(T_TTAFStock_Log[TTAF_Qty],T_TTAFStock_Log[Part Name],$A39,T_TTAFStock_Log[WeekIndex],94))</f>
        <v/>
      </c>
      <c r="CR39" s="13">
        <f>IF(COUNTIFS(T_TTAFStock_Log[Part Name],$A39,T_TTAFStock_Log[WeekIndex],95)=0,"",SUMIFS(T_TTAFStock_Log[TTAF_Qty],T_TTAFStock_Log[Part Name],$A39,T_TTAFStock_Log[WeekIndex],95))</f>
        <v/>
      </c>
      <c r="CS39" s="13">
        <f>IF(COUNTIFS(T_TTAFStock_Log[Part Name],$A39,T_TTAFStock_Log[WeekIndex],96)=0,"",SUMIFS(T_TTAFStock_Log[TTAF_Qty],T_TTAFStock_Log[Part Name],$A39,T_TTAFStock_Log[WeekIndex],96))</f>
        <v/>
      </c>
      <c r="CT39" s="13">
        <f>IF(COUNTIFS(T_TTAFStock_Log[Part Name],$A39,T_TTAFStock_Log[WeekIndex],97)=0,"",SUMIFS(T_TTAFStock_Log[TTAF_Qty],T_TTAFStock_Log[Part Name],$A39,T_TTAFStock_Log[WeekIndex],97))</f>
        <v/>
      </c>
      <c r="CU39" s="13">
        <f>IF(COUNTIFS(T_TTAFStock_Log[Part Name],$A39,T_TTAFStock_Log[WeekIndex],98)=0,"",SUMIFS(T_TTAFStock_Log[TTAF_Qty],T_TTAFStock_Log[Part Name],$A39,T_TTAFStock_Log[WeekIndex],98))</f>
        <v/>
      </c>
      <c r="CV39" s="13">
        <f>IF(COUNTIFS(T_TTAFStock_Log[Part Name],$A39,T_TTAFStock_Log[WeekIndex],99)=0,"",SUMIFS(T_TTAFStock_Log[TTAF_Qty],T_TTAFStock_Log[Part Name],$A39,T_TTAFStock_Log[WeekIndex],99))</f>
        <v/>
      </c>
      <c r="CW39" s="13">
        <f>IF(COUNTIFS(T_TTAFStock_Log[Part Name],$A39,T_TTAFStock_Log[WeekIndex],100)=0,"",SUMIFS(T_TTAFStock_Log[TTAF_Qty],T_TTAFStock_Log[Part Name],$A39,T_TTAFStock_Log[WeekIndex],100))</f>
        <v/>
      </c>
      <c r="CX39" s="13">
        <f>IF(COUNTIFS(T_TTAFStock_Log[Part Name],$A39,T_TTAFStock_Log[WeekIndex],101)=0,"",SUMIFS(T_TTAFStock_Log[TTAF_Qty],T_TTAFStock_Log[Part Name],$A39,T_TTAFStock_Log[WeekIndex],101))</f>
        <v/>
      </c>
      <c r="CY39" s="13">
        <f>IF(COUNTIFS(T_TTAFStock_Log[Part Name],$A39,T_TTAFStock_Log[WeekIndex],102)=0,"",SUMIFS(T_TTAFStock_Log[TTAF_Qty],T_TTAFStock_Log[Part Name],$A39,T_TTAFStock_Log[WeekIndex],102))</f>
        <v/>
      </c>
      <c r="CZ39" s="13">
        <f>IF(COUNTIFS(T_TTAFStock_Log[Part Name],$A39,T_TTAFStock_Log[WeekIndex],103)=0,"",SUMIFS(T_TTAFStock_Log[TTAF_Qty],T_TTAFStock_Log[Part Name],$A39,T_TTAFStock_Log[WeekIndex],103))</f>
        <v/>
      </c>
      <c r="DA39" s="13">
        <f>IF(COUNTIFS(T_TTAFStock_Log[Part Name],$A39,T_TTAFStock_Log[WeekIndex],104)=0,"",SUMIFS(T_TTAFStock_Log[TTAF_Qty],T_TTAFStock_Log[Part Name],$A39,T_TTAFStock_Log[WeekIndex],104))</f>
        <v/>
      </c>
    </row>
    <row r="40">
      <c r="A40" s="12" t="inlineStr">
        <is>
          <t>CHEM-1770</t>
        </is>
      </c>
      <c r="B40" s="12">
        <f>IF(COUNTIFS(T_TTAFStock_Log[Part Name],$A40,T_TTAFStock_Log[WeekIndex],1)=0,"",SUMIFS(T_TTAFStock_Log[TTAF_Qty],T_TTAFStock_Log[Part Name],$A40,T_TTAFStock_Log[WeekIndex],1))</f>
        <v/>
      </c>
      <c r="C40" s="12">
        <f>IF(COUNTIFS(T_TTAFStock_Log[Part Name],$A40,T_TTAFStock_Log[WeekIndex],2)=0,"",SUMIFS(T_TTAFStock_Log[TTAF_Qty],T_TTAFStock_Log[Part Name],$A40,T_TTAFStock_Log[WeekIndex],2))</f>
        <v/>
      </c>
      <c r="D40" s="12">
        <f>IF(COUNTIFS(T_TTAFStock_Log[Part Name],$A40,T_TTAFStock_Log[WeekIndex],3)=0,"",SUMIFS(T_TTAFStock_Log[TTAF_Qty],T_TTAFStock_Log[Part Name],$A40,T_TTAFStock_Log[WeekIndex],3))</f>
        <v/>
      </c>
      <c r="E40" s="12">
        <f>IF(COUNTIFS(T_TTAFStock_Log[Part Name],$A40,T_TTAFStock_Log[WeekIndex],4)=0,"",SUMIFS(T_TTAFStock_Log[TTAF_Qty],T_TTAFStock_Log[Part Name],$A40,T_TTAFStock_Log[WeekIndex],4))</f>
        <v/>
      </c>
      <c r="F40" s="12">
        <f>IF(COUNTIFS(T_TTAFStock_Log[Part Name],$A40,T_TTAFStock_Log[WeekIndex],5)=0,"",SUMIFS(T_TTAFStock_Log[TTAF_Qty],T_TTAFStock_Log[Part Name],$A40,T_TTAFStock_Log[WeekIndex],5))</f>
        <v/>
      </c>
      <c r="G40" s="12">
        <f>IF(COUNTIFS(T_TTAFStock_Log[Part Name],$A40,T_TTAFStock_Log[WeekIndex],6)=0,"",SUMIFS(T_TTAFStock_Log[TTAF_Qty],T_TTAFStock_Log[Part Name],$A40,T_TTAFStock_Log[WeekIndex],6))</f>
        <v/>
      </c>
      <c r="H40" s="12">
        <f>IF(COUNTIFS(T_TTAFStock_Log[Part Name],$A40,T_TTAFStock_Log[WeekIndex],7)=0,"",SUMIFS(T_TTAFStock_Log[TTAF_Qty],T_TTAFStock_Log[Part Name],$A40,T_TTAFStock_Log[WeekIndex],7))</f>
        <v/>
      </c>
      <c r="I40" s="12">
        <f>IF(COUNTIFS(T_TTAFStock_Log[Part Name],$A40,T_TTAFStock_Log[WeekIndex],8)=0,"",SUMIFS(T_TTAFStock_Log[TTAF_Qty],T_TTAFStock_Log[Part Name],$A40,T_TTAFStock_Log[WeekIndex],8))</f>
        <v/>
      </c>
      <c r="J40" s="12">
        <f>IF(COUNTIFS(T_TTAFStock_Log[Part Name],$A40,T_TTAFStock_Log[WeekIndex],9)=0,"",SUMIFS(T_TTAFStock_Log[TTAF_Qty],T_TTAFStock_Log[Part Name],$A40,T_TTAFStock_Log[WeekIndex],9))</f>
        <v/>
      </c>
      <c r="K40" s="12">
        <f>IF(COUNTIFS(T_TTAFStock_Log[Part Name],$A40,T_TTAFStock_Log[WeekIndex],10)=0,"",SUMIFS(T_TTAFStock_Log[TTAF_Qty],T_TTAFStock_Log[Part Name],$A40,T_TTAFStock_Log[WeekIndex],10))</f>
        <v/>
      </c>
      <c r="L40" s="12">
        <f>IF(COUNTIFS(T_TTAFStock_Log[Part Name],$A40,T_TTAFStock_Log[WeekIndex],11)=0,"",SUMIFS(T_TTAFStock_Log[TTAF_Qty],T_TTAFStock_Log[Part Name],$A40,T_TTAFStock_Log[WeekIndex],11))</f>
        <v/>
      </c>
      <c r="M40" s="12">
        <f>IF(COUNTIFS(T_TTAFStock_Log[Part Name],$A40,T_TTAFStock_Log[WeekIndex],12)=0,"",SUMIFS(T_TTAFStock_Log[TTAF_Qty],T_TTAFStock_Log[Part Name],$A40,T_TTAFStock_Log[WeekIndex],12))</f>
        <v/>
      </c>
      <c r="N40" s="12">
        <f>IF(COUNTIFS(T_TTAFStock_Log[Part Name],$A40,T_TTAFStock_Log[WeekIndex],13)=0,"",SUMIFS(T_TTAFStock_Log[TTAF_Qty],T_TTAFStock_Log[Part Name],$A40,T_TTAFStock_Log[WeekIndex],13))</f>
        <v/>
      </c>
      <c r="O40" s="12">
        <f>IF(COUNTIFS(T_TTAFStock_Log[Part Name],$A40,T_TTAFStock_Log[WeekIndex],14)=0,"",SUMIFS(T_TTAFStock_Log[TTAF_Qty],T_TTAFStock_Log[Part Name],$A40,T_TTAFStock_Log[WeekIndex],14))</f>
        <v/>
      </c>
      <c r="P40" s="12">
        <f>IF(COUNTIFS(T_TTAFStock_Log[Part Name],$A40,T_TTAFStock_Log[WeekIndex],15)=0,"",SUMIFS(T_TTAFStock_Log[TTAF_Qty],T_TTAFStock_Log[Part Name],$A40,T_TTAFStock_Log[WeekIndex],15))</f>
        <v/>
      </c>
      <c r="Q40" s="12">
        <f>IF(COUNTIFS(T_TTAFStock_Log[Part Name],$A40,T_TTAFStock_Log[WeekIndex],16)=0,"",SUMIFS(T_TTAFStock_Log[TTAF_Qty],T_TTAFStock_Log[Part Name],$A40,T_TTAFStock_Log[WeekIndex],16))</f>
        <v/>
      </c>
      <c r="R40" s="12">
        <f>IF(COUNTIFS(T_TTAFStock_Log[Part Name],$A40,T_TTAFStock_Log[WeekIndex],17)=0,"",SUMIFS(T_TTAFStock_Log[TTAF_Qty],T_TTAFStock_Log[Part Name],$A40,T_TTAFStock_Log[WeekIndex],17))</f>
        <v/>
      </c>
      <c r="S40" s="12">
        <f>IF(COUNTIFS(T_TTAFStock_Log[Part Name],$A40,T_TTAFStock_Log[WeekIndex],18)=0,"",SUMIFS(T_TTAFStock_Log[TTAF_Qty],T_TTAFStock_Log[Part Name],$A40,T_TTAFStock_Log[WeekIndex],18))</f>
        <v/>
      </c>
      <c r="T40" s="12">
        <f>IF(COUNTIFS(T_TTAFStock_Log[Part Name],$A40,T_TTAFStock_Log[WeekIndex],19)=0,"",SUMIFS(T_TTAFStock_Log[TTAF_Qty],T_TTAFStock_Log[Part Name],$A40,T_TTAFStock_Log[WeekIndex],19))</f>
        <v/>
      </c>
      <c r="U40" s="12">
        <f>IF(COUNTIFS(T_TTAFStock_Log[Part Name],$A40,T_TTAFStock_Log[WeekIndex],20)=0,"",SUMIFS(T_TTAFStock_Log[TTAF_Qty],T_TTAFStock_Log[Part Name],$A40,T_TTAFStock_Log[WeekIndex],20))</f>
        <v/>
      </c>
      <c r="V40" s="12">
        <f>IF(COUNTIFS(T_TTAFStock_Log[Part Name],$A40,T_TTAFStock_Log[WeekIndex],21)=0,"",SUMIFS(T_TTAFStock_Log[TTAF_Qty],T_TTAFStock_Log[Part Name],$A40,T_TTAFStock_Log[WeekIndex],21))</f>
        <v/>
      </c>
      <c r="W40" s="12">
        <f>IF(COUNTIFS(T_TTAFStock_Log[Part Name],$A40,T_TTAFStock_Log[WeekIndex],22)=0,"",SUMIFS(T_TTAFStock_Log[TTAF_Qty],T_TTAFStock_Log[Part Name],$A40,T_TTAFStock_Log[WeekIndex],22))</f>
        <v/>
      </c>
      <c r="X40" s="12">
        <f>IF(COUNTIFS(T_TTAFStock_Log[Part Name],$A40,T_TTAFStock_Log[WeekIndex],23)=0,"",SUMIFS(T_TTAFStock_Log[TTAF_Qty],T_TTAFStock_Log[Part Name],$A40,T_TTAFStock_Log[WeekIndex],23))</f>
        <v/>
      </c>
      <c r="Y40" s="12">
        <f>IF(COUNTIFS(T_TTAFStock_Log[Part Name],$A40,T_TTAFStock_Log[WeekIndex],24)=0,"",SUMIFS(T_TTAFStock_Log[TTAF_Qty],T_TTAFStock_Log[Part Name],$A40,T_TTAFStock_Log[WeekIndex],24))</f>
        <v/>
      </c>
      <c r="Z40" s="12">
        <f>IF(COUNTIFS(T_TTAFStock_Log[Part Name],$A40,T_TTAFStock_Log[WeekIndex],25)=0,"",SUMIFS(T_TTAFStock_Log[TTAF_Qty],T_TTAFStock_Log[Part Name],$A40,T_TTAFStock_Log[WeekIndex],25))</f>
        <v/>
      </c>
      <c r="AA40" s="12">
        <f>IF(COUNTIFS(T_TTAFStock_Log[Part Name],$A40,T_TTAFStock_Log[WeekIndex],26)=0,"",SUMIFS(T_TTAFStock_Log[TTAF_Qty],T_TTAFStock_Log[Part Name],$A40,T_TTAFStock_Log[WeekIndex],26))</f>
        <v/>
      </c>
      <c r="AB40" s="12">
        <f>IF(COUNTIFS(T_TTAFStock_Log[Part Name],$A40,T_TTAFStock_Log[WeekIndex],27)=0,"",SUMIFS(T_TTAFStock_Log[TTAF_Qty],T_TTAFStock_Log[Part Name],$A40,T_TTAFStock_Log[WeekIndex],27))</f>
        <v/>
      </c>
      <c r="AC40" s="12">
        <f>IF(COUNTIFS(T_TTAFStock_Log[Part Name],$A40,T_TTAFStock_Log[WeekIndex],28)=0,"",SUMIFS(T_TTAFStock_Log[TTAF_Qty],T_TTAFStock_Log[Part Name],$A40,T_TTAFStock_Log[WeekIndex],28))</f>
        <v/>
      </c>
      <c r="AD40" s="12">
        <f>IF(COUNTIFS(T_TTAFStock_Log[Part Name],$A40,T_TTAFStock_Log[WeekIndex],29)=0,"",SUMIFS(T_TTAFStock_Log[TTAF_Qty],T_TTAFStock_Log[Part Name],$A40,T_TTAFStock_Log[WeekIndex],29))</f>
        <v/>
      </c>
      <c r="AE40" s="12">
        <f>IF(COUNTIFS(T_TTAFStock_Log[Part Name],$A40,T_TTAFStock_Log[WeekIndex],30)=0,"",SUMIFS(T_TTAFStock_Log[TTAF_Qty],T_TTAFStock_Log[Part Name],$A40,T_TTAFStock_Log[WeekIndex],30))</f>
        <v/>
      </c>
      <c r="AF40" s="12">
        <f>IF(COUNTIFS(T_TTAFStock_Log[Part Name],$A40,T_TTAFStock_Log[WeekIndex],31)=0,"",SUMIFS(T_TTAFStock_Log[TTAF_Qty],T_TTAFStock_Log[Part Name],$A40,T_TTAFStock_Log[WeekIndex],31))</f>
        <v/>
      </c>
      <c r="AG40" s="12">
        <f>IF(COUNTIFS(T_TTAFStock_Log[Part Name],$A40,T_TTAFStock_Log[WeekIndex],32)=0,"",SUMIFS(T_TTAFStock_Log[TTAF_Qty],T_TTAFStock_Log[Part Name],$A40,T_TTAFStock_Log[WeekIndex],32))</f>
        <v/>
      </c>
      <c r="AH40" s="12">
        <f>IF(COUNTIFS(T_TTAFStock_Log[Part Name],$A40,T_TTAFStock_Log[WeekIndex],33)=0,"",SUMIFS(T_TTAFStock_Log[TTAF_Qty],T_TTAFStock_Log[Part Name],$A40,T_TTAFStock_Log[WeekIndex],33))</f>
        <v/>
      </c>
      <c r="AI40" s="12">
        <f>IF(COUNTIFS(T_TTAFStock_Log[Part Name],$A40,T_TTAFStock_Log[WeekIndex],34)=0,"",SUMIFS(T_TTAFStock_Log[TTAF_Qty],T_TTAFStock_Log[Part Name],$A40,T_TTAFStock_Log[WeekIndex],34))</f>
        <v/>
      </c>
      <c r="AJ40" s="12">
        <f>IF(COUNTIFS(T_TTAFStock_Log[Part Name],$A40,T_TTAFStock_Log[WeekIndex],35)=0,"",SUMIFS(T_TTAFStock_Log[TTAF_Qty],T_TTAFStock_Log[Part Name],$A40,T_TTAFStock_Log[WeekIndex],35))</f>
        <v/>
      </c>
      <c r="AK40" s="12">
        <f>IF(COUNTIFS(T_TTAFStock_Log[Part Name],$A40,T_TTAFStock_Log[WeekIndex],36)=0,"",SUMIFS(T_TTAFStock_Log[TTAF_Qty],T_TTAFStock_Log[Part Name],$A40,T_TTAFStock_Log[WeekIndex],36))</f>
        <v/>
      </c>
      <c r="AL40" s="12">
        <f>IF(COUNTIFS(T_TTAFStock_Log[Part Name],$A40,T_TTAFStock_Log[WeekIndex],37)=0,"",SUMIFS(T_TTAFStock_Log[TTAF_Qty],T_TTAFStock_Log[Part Name],$A40,T_TTAFStock_Log[WeekIndex],37))</f>
        <v/>
      </c>
      <c r="AM40" s="12">
        <f>IF(COUNTIFS(T_TTAFStock_Log[Part Name],$A40,T_TTAFStock_Log[WeekIndex],38)=0,"",SUMIFS(T_TTAFStock_Log[TTAF_Qty],T_TTAFStock_Log[Part Name],$A40,T_TTAFStock_Log[WeekIndex],38))</f>
        <v/>
      </c>
      <c r="AN40" s="12">
        <f>IF(COUNTIFS(T_TTAFStock_Log[Part Name],$A40,T_TTAFStock_Log[WeekIndex],39)=0,"",SUMIFS(T_TTAFStock_Log[TTAF_Qty],T_TTAFStock_Log[Part Name],$A40,T_TTAFStock_Log[WeekIndex],39))</f>
        <v/>
      </c>
      <c r="AO40" s="12">
        <f>IF(COUNTIFS(T_TTAFStock_Log[Part Name],$A40,T_TTAFStock_Log[WeekIndex],40)=0,"",SUMIFS(T_TTAFStock_Log[TTAF_Qty],T_TTAFStock_Log[Part Name],$A40,T_TTAFStock_Log[WeekIndex],40))</f>
        <v/>
      </c>
      <c r="AP40" s="12">
        <f>IF(COUNTIFS(T_TTAFStock_Log[Part Name],$A40,T_TTAFStock_Log[WeekIndex],41)=0,"",SUMIFS(T_TTAFStock_Log[TTAF_Qty],T_TTAFStock_Log[Part Name],$A40,T_TTAFStock_Log[WeekIndex],41))</f>
        <v/>
      </c>
      <c r="AQ40" s="12">
        <f>IF(COUNTIFS(T_TTAFStock_Log[Part Name],$A40,T_TTAFStock_Log[WeekIndex],42)=0,"",SUMIFS(T_TTAFStock_Log[TTAF_Qty],T_TTAFStock_Log[Part Name],$A40,T_TTAFStock_Log[WeekIndex],42))</f>
        <v/>
      </c>
      <c r="AR40" s="12">
        <f>IF(COUNTIFS(T_TTAFStock_Log[Part Name],$A40,T_TTAFStock_Log[WeekIndex],43)=0,"",SUMIFS(T_TTAFStock_Log[TTAF_Qty],T_TTAFStock_Log[Part Name],$A40,T_TTAFStock_Log[WeekIndex],43))</f>
        <v/>
      </c>
      <c r="AS40" s="12">
        <f>IF(COUNTIFS(T_TTAFStock_Log[Part Name],$A40,T_TTAFStock_Log[WeekIndex],44)=0,"",SUMIFS(T_TTAFStock_Log[TTAF_Qty],T_TTAFStock_Log[Part Name],$A40,T_TTAFStock_Log[WeekIndex],44))</f>
        <v/>
      </c>
      <c r="AT40" s="12">
        <f>IF(COUNTIFS(T_TTAFStock_Log[Part Name],$A40,T_TTAFStock_Log[WeekIndex],45)=0,"",SUMIFS(T_TTAFStock_Log[TTAF_Qty],T_TTAFStock_Log[Part Name],$A40,T_TTAFStock_Log[WeekIndex],45))</f>
        <v/>
      </c>
      <c r="AU40" s="12">
        <f>IF(COUNTIFS(T_TTAFStock_Log[Part Name],$A40,T_TTAFStock_Log[WeekIndex],46)=0,"",SUMIFS(T_TTAFStock_Log[TTAF_Qty],T_TTAFStock_Log[Part Name],$A40,T_TTAFStock_Log[WeekIndex],46))</f>
        <v/>
      </c>
      <c r="AV40" s="12">
        <f>IF(COUNTIFS(T_TTAFStock_Log[Part Name],$A40,T_TTAFStock_Log[WeekIndex],47)=0,"",SUMIFS(T_TTAFStock_Log[TTAF_Qty],T_TTAFStock_Log[Part Name],$A40,T_TTAFStock_Log[WeekIndex],47))</f>
        <v/>
      </c>
      <c r="AW40" s="12">
        <f>IF(COUNTIFS(T_TTAFStock_Log[Part Name],$A40,T_TTAFStock_Log[WeekIndex],48)=0,"",SUMIFS(T_TTAFStock_Log[TTAF_Qty],T_TTAFStock_Log[Part Name],$A40,T_TTAFStock_Log[WeekIndex],48))</f>
        <v/>
      </c>
      <c r="AX40" s="12">
        <f>IF(COUNTIFS(T_TTAFStock_Log[Part Name],$A40,T_TTAFStock_Log[WeekIndex],49)=0,"",SUMIFS(T_TTAFStock_Log[TTAF_Qty],T_TTAFStock_Log[Part Name],$A40,T_TTAFStock_Log[WeekIndex],49))</f>
        <v/>
      </c>
      <c r="AY40" s="12">
        <f>IF(COUNTIFS(T_TTAFStock_Log[Part Name],$A40,T_TTAFStock_Log[WeekIndex],50)=0,"",SUMIFS(T_TTAFStock_Log[TTAF_Qty],T_TTAFStock_Log[Part Name],$A40,T_TTAFStock_Log[WeekIndex],50))</f>
        <v/>
      </c>
      <c r="AZ40" s="12">
        <f>IF(COUNTIFS(T_TTAFStock_Log[Part Name],$A40,T_TTAFStock_Log[WeekIndex],51)=0,"",SUMIFS(T_TTAFStock_Log[TTAF_Qty],T_TTAFStock_Log[Part Name],$A40,T_TTAFStock_Log[WeekIndex],51))</f>
        <v/>
      </c>
      <c r="BA40" s="12">
        <f>IF(COUNTIFS(T_TTAFStock_Log[Part Name],$A40,T_TTAFStock_Log[WeekIndex],52)=0,"",SUMIFS(T_TTAFStock_Log[TTAF_Qty],T_TTAFStock_Log[Part Name],$A40,T_TTAFStock_Log[WeekIndex],52))</f>
        <v/>
      </c>
      <c r="BB40" s="12">
        <f>IF(COUNTIFS(T_TTAFStock_Log[Part Name],$A40,T_TTAFStock_Log[WeekIndex],53)=0,"",SUMIFS(T_TTAFStock_Log[TTAF_Qty],T_TTAFStock_Log[Part Name],$A40,T_TTAFStock_Log[WeekIndex],53))</f>
        <v/>
      </c>
      <c r="BC40" s="12">
        <f>IF(COUNTIFS(T_TTAFStock_Log[Part Name],$A40,T_TTAFStock_Log[WeekIndex],54)=0,"",SUMIFS(T_TTAFStock_Log[TTAF_Qty],T_TTAFStock_Log[Part Name],$A40,T_TTAFStock_Log[WeekIndex],54))</f>
        <v/>
      </c>
      <c r="BD40" s="12">
        <f>IF(COUNTIFS(T_TTAFStock_Log[Part Name],$A40,T_TTAFStock_Log[WeekIndex],55)=0,"",SUMIFS(T_TTAFStock_Log[TTAF_Qty],T_TTAFStock_Log[Part Name],$A40,T_TTAFStock_Log[WeekIndex],55))</f>
        <v/>
      </c>
      <c r="BE40" s="12">
        <f>IF(COUNTIFS(T_TTAFStock_Log[Part Name],$A40,T_TTAFStock_Log[WeekIndex],56)=0,"",SUMIFS(T_TTAFStock_Log[TTAF_Qty],T_TTAFStock_Log[Part Name],$A40,T_TTAFStock_Log[WeekIndex],56))</f>
        <v/>
      </c>
      <c r="BF40" s="12">
        <f>IF(COUNTIFS(T_TTAFStock_Log[Part Name],$A40,T_TTAFStock_Log[WeekIndex],57)=0,"",SUMIFS(T_TTAFStock_Log[TTAF_Qty],T_TTAFStock_Log[Part Name],$A40,T_TTAFStock_Log[WeekIndex],57))</f>
        <v/>
      </c>
      <c r="BG40" s="12">
        <f>IF(COUNTIFS(T_TTAFStock_Log[Part Name],$A40,T_TTAFStock_Log[WeekIndex],58)=0,"",SUMIFS(T_TTAFStock_Log[TTAF_Qty],T_TTAFStock_Log[Part Name],$A40,T_TTAFStock_Log[WeekIndex],58))</f>
        <v/>
      </c>
      <c r="BH40" s="12">
        <f>IF(COUNTIFS(T_TTAFStock_Log[Part Name],$A40,T_TTAFStock_Log[WeekIndex],59)=0,"",SUMIFS(T_TTAFStock_Log[TTAF_Qty],T_TTAFStock_Log[Part Name],$A40,T_TTAFStock_Log[WeekIndex],59))</f>
        <v/>
      </c>
      <c r="BI40" s="12">
        <f>IF(COUNTIFS(T_TTAFStock_Log[Part Name],$A40,T_TTAFStock_Log[WeekIndex],60)=0,"",SUMIFS(T_TTAFStock_Log[TTAF_Qty],T_TTAFStock_Log[Part Name],$A40,T_TTAFStock_Log[WeekIndex],60))</f>
        <v/>
      </c>
      <c r="BJ40" s="12">
        <f>IF(COUNTIFS(T_TTAFStock_Log[Part Name],$A40,T_TTAFStock_Log[WeekIndex],61)=0,"",SUMIFS(T_TTAFStock_Log[TTAF_Qty],T_TTAFStock_Log[Part Name],$A40,T_TTAFStock_Log[WeekIndex],61))</f>
        <v/>
      </c>
      <c r="BK40" s="12">
        <f>IF(COUNTIFS(T_TTAFStock_Log[Part Name],$A40,T_TTAFStock_Log[WeekIndex],62)=0,"",SUMIFS(T_TTAFStock_Log[TTAF_Qty],T_TTAFStock_Log[Part Name],$A40,T_TTAFStock_Log[WeekIndex],62))</f>
        <v/>
      </c>
      <c r="BL40" s="12">
        <f>IF(COUNTIFS(T_TTAFStock_Log[Part Name],$A40,T_TTAFStock_Log[WeekIndex],63)=0,"",SUMIFS(T_TTAFStock_Log[TTAF_Qty],T_TTAFStock_Log[Part Name],$A40,T_TTAFStock_Log[WeekIndex],63))</f>
        <v/>
      </c>
      <c r="BM40" s="12">
        <f>IF(COUNTIFS(T_TTAFStock_Log[Part Name],$A40,T_TTAFStock_Log[WeekIndex],64)=0,"",SUMIFS(T_TTAFStock_Log[TTAF_Qty],T_TTAFStock_Log[Part Name],$A40,T_TTAFStock_Log[WeekIndex],64))</f>
        <v/>
      </c>
      <c r="BN40" s="12">
        <f>IF(COUNTIFS(T_TTAFStock_Log[Part Name],$A40,T_TTAFStock_Log[WeekIndex],65)=0,"",SUMIFS(T_TTAFStock_Log[TTAF_Qty],T_TTAFStock_Log[Part Name],$A40,T_TTAFStock_Log[WeekIndex],65))</f>
        <v/>
      </c>
      <c r="BO40" s="12">
        <f>IF(COUNTIFS(T_TTAFStock_Log[Part Name],$A40,T_TTAFStock_Log[WeekIndex],66)=0,"",SUMIFS(T_TTAFStock_Log[TTAF_Qty],T_TTAFStock_Log[Part Name],$A40,T_TTAFStock_Log[WeekIndex],66))</f>
        <v/>
      </c>
      <c r="BP40" s="12">
        <f>IF(COUNTIFS(T_TTAFStock_Log[Part Name],$A40,T_TTAFStock_Log[WeekIndex],67)=0,"",SUMIFS(T_TTAFStock_Log[TTAF_Qty],T_TTAFStock_Log[Part Name],$A40,T_TTAFStock_Log[WeekIndex],67))</f>
        <v/>
      </c>
      <c r="BQ40" s="12">
        <f>IF(COUNTIFS(T_TTAFStock_Log[Part Name],$A40,T_TTAFStock_Log[WeekIndex],68)=0,"",SUMIFS(T_TTAFStock_Log[TTAF_Qty],T_TTAFStock_Log[Part Name],$A40,T_TTAFStock_Log[WeekIndex],68))</f>
        <v/>
      </c>
      <c r="BR40" s="12">
        <f>IF(COUNTIFS(T_TTAFStock_Log[Part Name],$A40,T_TTAFStock_Log[WeekIndex],69)=0,"",SUMIFS(T_TTAFStock_Log[TTAF_Qty],T_TTAFStock_Log[Part Name],$A40,T_TTAFStock_Log[WeekIndex],69))</f>
        <v/>
      </c>
      <c r="BS40" s="12">
        <f>IF(COUNTIFS(T_TTAFStock_Log[Part Name],$A40,T_TTAFStock_Log[WeekIndex],70)=0,"",SUMIFS(T_TTAFStock_Log[TTAF_Qty],T_TTAFStock_Log[Part Name],$A40,T_TTAFStock_Log[WeekIndex],70))</f>
        <v/>
      </c>
      <c r="BT40" s="12">
        <f>IF(COUNTIFS(T_TTAFStock_Log[Part Name],$A40,T_TTAFStock_Log[WeekIndex],71)=0,"",SUMIFS(T_TTAFStock_Log[TTAF_Qty],T_TTAFStock_Log[Part Name],$A40,T_TTAFStock_Log[WeekIndex],71))</f>
        <v/>
      </c>
      <c r="BU40" s="12">
        <f>IF(COUNTIFS(T_TTAFStock_Log[Part Name],$A40,T_TTAFStock_Log[WeekIndex],72)=0,"",SUMIFS(T_TTAFStock_Log[TTAF_Qty],T_TTAFStock_Log[Part Name],$A40,T_TTAFStock_Log[WeekIndex],72))</f>
        <v/>
      </c>
      <c r="BV40" s="12">
        <f>IF(COUNTIFS(T_TTAFStock_Log[Part Name],$A40,T_TTAFStock_Log[WeekIndex],73)=0,"",SUMIFS(T_TTAFStock_Log[TTAF_Qty],T_TTAFStock_Log[Part Name],$A40,T_TTAFStock_Log[WeekIndex],73))</f>
        <v/>
      </c>
      <c r="BW40" s="12">
        <f>IF(COUNTIFS(T_TTAFStock_Log[Part Name],$A40,T_TTAFStock_Log[WeekIndex],74)=0,"",SUMIFS(T_TTAFStock_Log[TTAF_Qty],T_TTAFStock_Log[Part Name],$A40,T_TTAFStock_Log[WeekIndex],74))</f>
        <v/>
      </c>
      <c r="BX40" s="12">
        <f>IF(COUNTIFS(T_TTAFStock_Log[Part Name],$A40,T_TTAFStock_Log[WeekIndex],75)=0,"",SUMIFS(T_TTAFStock_Log[TTAF_Qty],T_TTAFStock_Log[Part Name],$A40,T_TTAFStock_Log[WeekIndex],75))</f>
        <v/>
      </c>
      <c r="BY40" s="12">
        <f>IF(COUNTIFS(T_TTAFStock_Log[Part Name],$A40,T_TTAFStock_Log[WeekIndex],76)=0,"",SUMIFS(T_TTAFStock_Log[TTAF_Qty],T_TTAFStock_Log[Part Name],$A40,T_TTAFStock_Log[WeekIndex],76))</f>
        <v/>
      </c>
      <c r="BZ40" s="12">
        <f>IF(COUNTIFS(T_TTAFStock_Log[Part Name],$A40,T_TTAFStock_Log[WeekIndex],77)=0,"",SUMIFS(T_TTAFStock_Log[TTAF_Qty],T_TTAFStock_Log[Part Name],$A40,T_TTAFStock_Log[WeekIndex],77))</f>
        <v/>
      </c>
      <c r="CA40" s="12">
        <f>IF(COUNTIFS(T_TTAFStock_Log[Part Name],$A40,T_TTAFStock_Log[WeekIndex],78)=0,"",SUMIFS(T_TTAFStock_Log[TTAF_Qty],T_TTAFStock_Log[Part Name],$A40,T_TTAFStock_Log[WeekIndex],78))</f>
        <v/>
      </c>
      <c r="CB40" s="12">
        <f>IF(COUNTIFS(T_TTAFStock_Log[Part Name],$A40,T_TTAFStock_Log[WeekIndex],79)=0,"",SUMIFS(T_TTAFStock_Log[TTAF_Qty],T_TTAFStock_Log[Part Name],$A40,T_TTAFStock_Log[WeekIndex],79))</f>
        <v/>
      </c>
      <c r="CC40" s="12">
        <f>IF(COUNTIFS(T_TTAFStock_Log[Part Name],$A40,T_TTAFStock_Log[WeekIndex],80)=0,"",SUMIFS(T_TTAFStock_Log[TTAF_Qty],T_TTAFStock_Log[Part Name],$A40,T_TTAFStock_Log[WeekIndex],80))</f>
        <v/>
      </c>
      <c r="CD40" s="12">
        <f>IF(COUNTIFS(T_TTAFStock_Log[Part Name],$A40,T_TTAFStock_Log[WeekIndex],81)=0,"",SUMIFS(T_TTAFStock_Log[TTAF_Qty],T_TTAFStock_Log[Part Name],$A40,T_TTAFStock_Log[WeekIndex],81))</f>
        <v/>
      </c>
      <c r="CE40" s="12">
        <f>IF(COUNTIFS(T_TTAFStock_Log[Part Name],$A40,T_TTAFStock_Log[WeekIndex],82)=0,"",SUMIFS(T_TTAFStock_Log[TTAF_Qty],T_TTAFStock_Log[Part Name],$A40,T_TTAFStock_Log[WeekIndex],82))</f>
        <v/>
      </c>
      <c r="CF40" s="12">
        <f>IF(COUNTIFS(T_TTAFStock_Log[Part Name],$A40,T_TTAFStock_Log[WeekIndex],83)=0,"",SUMIFS(T_TTAFStock_Log[TTAF_Qty],T_TTAFStock_Log[Part Name],$A40,T_TTAFStock_Log[WeekIndex],83))</f>
        <v/>
      </c>
      <c r="CG40" s="12">
        <f>IF(COUNTIFS(T_TTAFStock_Log[Part Name],$A40,T_TTAFStock_Log[WeekIndex],84)=0,"",SUMIFS(T_TTAFStock_Log[TTAF_Qty],T_TTAFStock_Log[Part Name],$A40,T_TTAFStock_Log[WeekIndex],84))</f>
        <v/>
      </c>
      <c r="CH40" s="12">
        <f>IF(COUNTIFS(T_TTAFStock_Log[Part Name],$A40,T_TTAFStock_Log[WeekIndex],85)=0,"",SUMIFS(T_TTAFStock_Log[TTAF_Qty],T_TTAFStock_Log[Part Name],$A40,T_TTAFStock_Log[WeekIndex],85))</f>
        <v/>
      </c>
      <c r="CI40" s="12">
        <f>IF(COUNTIFS(T_TTAFStock_Log[Part Name],$A40,T_TTAFStock_Log[WeekIndex],86)=0,"",SUMIFS(T_TTAFStock_Log[TTAF_Qty],T_TTAFStock_Log[Part Name],$A40,T_TTAFStock_Log[WeekIndex],86))</f>
        <v/>
      </c>
      <c r="CJ40" s="12">
        <f>IF(COUNTIFS(T_TTAFStock_Log[Part Name],$A40,T_TTAFStock_Log[WeekIndex],87)=0,"",SUMIFS(T_TTAFStock_Log[TTAF_Qty],T_TTAFStock_Log[Part Name],$A40,T_TTAFStock_Log[WeekIndex],87))</f>
        <v/>
      </c>
      <c r="CK40" s="12">
        <f>IF(COUNTIFS(T_TTAFStock_Log[Part Name],$A40,T_TTAFStock_Log[WeekIndex],88)=0,"",SUMIFS(T_TTAFStock_Log[TTAF_Qty],T_TTAFStock_Log[Part Name],$A40,T_TTAFStock_Log[WeekIndex],88))</f>
        <v/>
      </c>
      <c r="CL40" s="12">
        <f>IF(COUNTIFS(T_TTAFStock_Log[Part Name],$A40,T_TTAFStock_Log[WeekIndex],89)=0,"",SUMIFS(T_TTAFStock_Log[TTAF_Qty],T_TTAFStock_Log[Part Name],$A40,T_TTAFStock_Log[WeekIndex],89))</f>
        <v/>
      </c>
      <c r="CM40" s="12">
        <f>IF(COUNTIFS(T_TTAFStock_Log[Part Name],$A40,T_TTAFStock_Log[WeekIndex],90)=0,"",SUMIFS(T_TTAFStock_Log[TTAF_Qty],T_TTAFStock_Log[Part Name],$A40,T_TTAFStock_Log[WeekIndex],90))</f>
        <v/>
      </c>
      <c r="CN40" s="12">
        <f>IF(COUNTIFS(T_TTAFStock_Log[Part Name],$A40,T_TTAFStock_Log[WeekIndex],91)=0,"",SUMIFS(T_TTAFStock_Log[TTAF_Qty],T_TTAFStock_Log[Part Name],$A40,T_TTAFStock_Log[WeekIndex],91))</f>
        <v/>
      </c>
      <c r="CO40" s="12">
        <f>IF(COUNTIFS(T_TTAFStock_Log[Part Name],$A40,T_TTAFStock_Log[WeekIndex],92)=0,"",SUMIFS(T_TTAFStock_Log[TTAF_Qty],T_TTAFStock_Log[Part Name],$A40,T_TTAFStock_Log[WeekIndex],92))</f>
        <v/>
      </c>
      <c r="CP40" s="12">
        <f>IF(COUNTIFS(T_TTAFStock_Log[Part Name],$A40,T_TTAFStock_Log[WeekIndex],93)=0,"",SUMIFS(T_TTAFStock_Log[TTAF_Qty],T_TTAFStock_Log[Part Name],$A40,T_TTAFStock_Log[WeekIndex],93))</f>
        <v/>
      </c>
      <c r="CQ40" s="12">
        <f>IF(COUNTIFS(T_TTAFStock_Log[Part Name],$A40,T_TTAFStock_Log[WeekIndex],94)=0,"",SUMIFS(T_TTAFStock_Log[TTAF_Qty],T_TTAFStock_Log[Part Name],$A40,T_TTAFStock_Log[WeekIndex],94))</f>
        <v/>
      </c>
      <c r="CR40" s="12">
        <f>IF(COUNTIFS(T_TTAFStock_Log[Part Name],$A40,T_TTAFStock_Log[WeekIndex],95)=0,"",SUMIFS(T_TTAFStock_Log[TTAF_Qty],T_TTAFStock_Log[Part Name],$A40,T_TTAFStock_Log[WeekIndex],95))</f>
        <v/>
      </c>
      <c r="CS40" s="12">
        <f>IF(COUNTIFS(T_TTAFStock_Log[Part Name],$A40,T_TTAFStock_Log[WeekIndex],96)=0,"",SUMIFS(T_TTAFStock_Log[TTAF_Qty],T_TTAFStock_Log[Part Name],$A40,T_TTAFStock_Log[WeekIndex],96))</f>
        <v/>
      </c>
      <c r="CT40" s="12">
        <f>IF(COUNTIFS(T_TTAFStock_Log[Part Name],$A40,T_TTAFStock_Log[WeekIndex],97)=0,"",SUMIFS(T_TTAFStock_Log[TTAF_Qty],T_TTAFStock_Log[Part Name],$A40,T_TTAFStock_Log[WeekIndex],97))</f>
        <v/>
      </c>
      <c r="CU40" s="12">
        <f>IF(COUNTIFS(T_TTAFStock_Log[Part Name],$A40,T_TTAFStock_Log[WeekIndex],98)=0,"",SUMIFS(T_TTAFStock_Log[TTAF_Qty],T_TTAFStock_Log[Part Name],$A40,T_TTAFStock_Log[WeekIndex],98))</f>
        <v/>
      </c>
      <c r="CV40" s="12">
        <f>IF(COUNTIFS(T_TTAFStock_Log[Part Name],$A40,T_TTAFStock_Log[WeekIndex],99)=0,"",SUMIFS(T_TTAFStock_Log[TTAF_Qty],T_TTAFStock_Log[Part Name],$A40,T_TTAFStock_Log[WeekIndex],99))</f>
        <v/>
      </c>
      <c r="CW40" s="12">
        <f>IF(COUNTIFS(T_TTAFStock_Log[Part Name],$A40,T_TTAFStock_Log[WeekIndex],100)=0,"",SUMIFS(T_TTAFStock_Log[TTAF_Qty],T_TTAFStock_Log[Part Name],$A40,T_TTAFStock_Log[WeekIndex],100))</f>
        <v/>
      </c>
      <c r="CX40" s="12">
        <f>IF(COUNTIFS(T_TTAFStock_Log[Part Name],$A40,T_TTAFStock_Log[WeekIndex],101)=0,"",SUMIFS(T_TTAFStock_Log[TTAF_Qty],T_TTAFStock_Log[Part Name],$A40,T_TTAFStock_Log[WeekIndex],101))</f>
        <v/>
      </c>
      <c r="CY40" s="12">
        <f>IF(COUNTIFS(T_TTAFStock_Log[Part Name],$A40,T_TTAFStock_Log[WeekIndex],102)=0,"",SUMIFS(T_TTAFStock_Log[TTAF_Qty],T_TTAFStock_Log[Part Name],$A40,T_TTAFStock_Log[WeekIndex],102))</f>
        <v/>
      </c>
      <c r="CZ40" s="12">
        <f>IF(COUNTIFS(T_TTAFStock_Log[Part Name],$A40,T_TTAFStock_Log[WeekIndex],103)=0,"",SUMIFS(T_TTAFStock_Log[TTAF_Qty],T_TTAFStock_Log[Part Name],$A40,T_TTAFStock_Log[WeekIndex],103))</f>
        <v/>
      </c>
      <c r="DA40" s="12">
        <f>IF(COUNTIFS(T_TTAFStock_Log[Part Name],$A40,T_TTAFStock_Log[WeekIndex],104)=0,"",SUMIFS(T_TTAFStock_Log[TTAF_Qty],T_TTAFStock_Log[Part Name],$A40,T_TTAFStock_Log[WeekIndex],104))</f>
        <v/>
      </c>
    </row>
    <row r="41">
      <c r="A41" s="13" t="inlineStr">
        <is>
          <t>CHEM-1020</t>
        </is>
      </c>
      <c r="B41" s="13">
        <f>IF(COUNTIFS(T_TTAFStock_Log[Part Name],$A41,T_TTAFStock_Log[WeekIndex],1)=0,"",SUMIFS(T_TTAFStock_Log[TTAF_Qty],T_TTAFStock_Log[Part Name],$A41,T_TTAFStock_Log[WeekIndex],1))</f>
        <v/>
      </c>
      <c r="C41" s="13">
        <f>IF(COUNTIFS(T_TTAFStock_Log[Part Name],$A41,T_TTAFStock_Log[WeekIndex],2)=0,"",SUMIFS(T_TTAFStock_Log[TTAF_Qty],T_TTAFStock_Log[Part Name],$A41,T_TTAFStock_Log[WeekIndex],2))</f>
        <v/>
      </c>
      <c r="D41" s="13">
        <f>IF(COUNTIFS(T_TTAFStock_Log[Part Name],$A41,T_TTAFStock_Log[WeekIndex],3)=0,"",SUMIFS(T_TTAFStock_Log[TTAF_Qty],T_TTAFStock_Log[Part Name],$A41,T_TTAFStock_Log[WeekIndex],3))</f>
        <v/>
      </c>
      <c r="E41" s="13">
        <f>IF(COUNTIFS(T_TTAFStock_Log[Part Name],$A41,T_TTAFStock_Log[WeekIndex],4)=0,"",SUMIFS(T_TTAFStock_Log[TTAF_Qty],T_TTAFStock_Log[Part Name],$A41,T_TTAFStock_Log[WeekIndex],4))</f>
        <v/>
      </c>
      <c r="F41" s="13">
        <f>IF(COUNTIFS(T_TTAFStock_Log[Part Name],$A41,T_TTAFStock_Log[WeekIndex],5)=0,"",SUMIFS(T_TTAFStock_Log[TTAF_Qty],T_TTAFStock_Log[Part Name],$A41,T_TTAFStock_Log[WeekIndex],5))</f>
        <v/>
      </c>
      <c r="G41" s="13">
        <f>IF(COUNTIFS(T_TTAFStock_Log[Part Name],$A41,T_TTAFStock_Log[WeekIndex],6)=0,"",SUMIFS(T_TTAFStock_Log[TTAF_Qty],T_TTAFStock_Log[Part Name],$A41,T_TTAFStock_Log[WeekIndex],6))</f>
        <v/>
      </c>
      <c r="H41" s="13">
        <f>IF(COUNTIFS(T_TTAFStock_Log[Part Name],$A41,T_TTAFStock_Log[WeekIndex],7)=0,"",SUMIFS(T_TTAFStock_Log[TTAF_Qty],T_TTAFStock_Log[Part Name],$A41,T_TTAFStock_Log[WeekIndex],7))</f>
        <v/>
      </c>
      <c r="I41" s="13">
        <f>IF(COUNTIFS(T_TTAFStock_Log[Part Name],$A41,T_TTAFStock_Log[WeekIndex],8)=0,"",SUMIFS(T_TTAFStock_Log[TTAF_Qty],T_TTAFStock_Log[Part Name],$A41,T_TTAFStock_Log[WeekIndex],8))</f>
        <v/>
      </c>
      <c r="J41" s="13">
        <f>IF(COUNTIFS(T_TTAFStock_Log[Part Name],$A41,T_TTAFStock_Log[WeekIndex],9)=0,"",SUMIFS(T_TTAFStock_Log[TTAF_Qty],T_TTAFStock_Log[Part Name],$A41,T_TTAFStock_Log[WeekIndex],9))</f>
        <v/>
      </c>
      <c r="K41" s="13">
        <f>IF(COUNTIFS(T_TTAFStock_Log[Part Name],$A41,T_TTAFStock_Log[WeekIndex],10)=0,"",SUMIFS(T_TTAFStock_Log[TTAF_Qty],T_TTAFStock_Log[Part Name],$A41,T_TTAFStock_Log[WeekIndex],10))</f>
        <v/>
      </c>
      <c r="L41" s="13">
        <f>IF(COUNTIFS(T_TTAFStock_Log[Part Name],$A41,T_TTAFStock_Log[WeekIndex],11)=0,"",SUMIFS(T_TTAFStock_Log[TTAF_Qty],T_TTAFStock_Log[Part Name],$A41,T_TTAFStock_Log[WeekIndex],11))</f>
        <v/>
      </c>
      <c r="M41" s="13">
        <f>IF(COUNTIFS(T_TTAFStock_Log[Part Name],$A41,T_TTAFStock_Log[WeekIndex],12)=0,"",SUMIFS(T_TTAFStock_Log[TTAF_Qty],T_TTAFStock_Log[Part Name],$A41,T_TTAFStock_Log[WeekIndex],12))</f>
        <v/>
      </c>
      <c r="N41" s="13">
        <f>IF(COUNTIFS(T_TTAFStock_Log[Part Name],$A41,T_TTAFStock_Log[WeekIndex],13)=0,"",SUMIFS(T_TTAFStock_Log[TTAF_Qty],T_TTAFStock_Log[Part Name],$A41,T_TTAFStock_Log[WeekIndex],13))</f>
        <v/>
      </c>
      <c r="O41" s="13">
        <f>IF(COUNTIFS(T_TTAFStock_Log[Part Name],$A41,T_TTAFStock_Log[WeekIndex],14)=0,"",SUMIFS(T_TTAFStock_Log[TTAF_Qty],T_TTAFStock_Log[Part Name],$A41,T_TTAFStock_Log[WeekIndex],14))</f>
        <v/>
      </c>
      <c r="P41" s="13">
        <f>IF(COUNTIFS(T_TTAFStock_Log[Part Name],$A41,T_TTAFStock_Log[WeekIndex],15)=0,"",SUMIFS(T_TTAFStock_Log[TTAF_Qty],T_TTAFStock_Log[Part Name],$A41,T_TTAFStock_Log[WeekIndex],15))</f>
        <v/>
      </c>
      <c r="Q41" s="13">
        <f>IF(COUNTIFS(T_TTAFStock_Log[Part Name],$A41,T_TTAFStock_Log[WeekIndex],16)=0,"",SUMIFS(T_TTAFStock_Log[TTAF_Qty],T_TTAFStock_Log[Part Name],$A41,T_TTAFStock_Log[WeekIndex],16))</f>
        <v/>
      </c>
      <c r="R41" s="13">
        <f>IF(COUNTIFS(T_TTAFStock_Log[Part Name],$A41,T_TTAFStock_Log[WeekIndex],17)=0,"",SUMIFS(T_TTAFStock_Log[TTAF_Qty],T_TTAFStock_Log[Part Name],$A41,T_TTAFStock_Log[WeekIndex],17))</f>
        <v/>
      </c>
      <c r="S41" s="13">
        <f>IF(COUNTIFS(T_TTAFStock_Log[Part Name],$A41,T_TTAFStock_Log[WeekIndex],18)=0,"",SUMIFS(T_TTAFStock_Log[TTAF_Qty],T_TTAFStock_Log[Part Name],$A41,T_TTAFStock_Log[WeekIndex],18))</f>
        <v/>
      </c>
      <c r="T41" s="13">
        <f>IF(COUNTIFS(T_TTAFStock_Log[Part Name],$A41,T_TTAFStock_Log[WeekIndex],19)=0,"",SUMIFS(T_TTAFStock_Log[TTAF_Qty],T_TTAFStock_Log[Part Name],$A41,T_TTAFStock_Log[WeekIndex],19))</f>
        <v/>
      </c>
      <c r="U41" s="13">
        <f>IF(COUNTIFS(T_TTAFStock_Log[Part Name],$A41,T_TTAFStock_Log[WeekIndex],20)=0,"",SUMIFS(T_TTAFStock_Log[TTAF_Qty],T_TTAFStock_Log[Part Name],$A41,T_TTAFStock_Log[WeekIndex],20))</f>
        <v/>
      </c>
      <c r="V41" s="13">
        <f>IF(COUNTIFS(T_TTAFStock_Log[Part Name],$A41,T_TTAFStock_Log[WeekIndex],21)=0,"",SUMIFS(T_TTAFStock_Log[TTAF_Qty],T_TTAFStock_Log[Part Name],$A41,T_TTAFStock_Log[WeekIndex],21))</f>
        <v/>
      </c>
      <c r="W41" s="13">
        <f>IF(COUNTIFS(T_TTAFStock_Log[Part Name],$A41,T_TTAFStock_Log[WeekIndex],22)=0,"",SUMIFS(T_TTAFStock_Log[TTAF_Qty],T_TTAFStock_Log[Part Name],$A41,T_TTAFStock_Log[WeekIndex],22))</f>
        <v/>
      </c>
      <c r="X41" s="13">
        <f>IF(COUNTIFS(T_TTAFStock_Log[Part Name],$A41,T_TTAFStock_Log[WeekIndex],23)=0,"",SUMIFS(T_TTAFStock_Log[TTAF_Qty],T_TTAFStock_Log[Part Name],$A41,T_TTAFStock_Log[WeekIndex],23))</f>
        <v/>
      </c>
      <c r="Y41" s="13">
        <f>IF(COUNTIFS(T_TTAFStock_Log[Part Name],$A41,T_TTAFStock_Log[WeekIndex],24)=0,"",SUMIFS(T_TTAFStock_Log[TTAF_Qty],T_TTAFStock_Log[Part Name],$A41,T_TTAFStock_Log[WeekIndex],24))</f>
        <v/>
      </c>
      <c r="Z41" s="13">
        <f>IF(COUNTIFS(T_TTAFStock_Log[Part Name],$A41,T_TTAFStock_Log[WeekIndex],25)=0,"",SUMIFS(T_TTAFStock_Log[TTAF_Qty],T_TTAFStock_Log[Part Name],$A41,T_TTAFStock_Log[WeekIndex],25))</f>
        <v/>
      </c>
      <c r="AA41" s="13">
        <f>IF(COUNTIFS(T_TTAFStock_Log[Part Name],$A41,T_TTAFStock_Log[WeekIndex],26)=0,"",SUMIFS(T_TTAFStock_Log[TTAF_Qty],T_TTAFStock_Log[Part Name],$A41,T_TTAFStock_Log[WeekIndex],26))</f>
        <v/>
      </c>
      <c r="AB41" s="13">
        <f>IF(COUNTIFS(T_TTAFStock_Log[Part Name],$A41,T_TTAFStock_Log[WeekIndex],27)=0,"",SUMIFS(T_TTAFStock_Log[TTAF_Qty],T_TTAFStock_Log[Part Name],$A41,T_TTAFStock_Log[WeekIndex],27))</f>
        <v/>
      </c>
      <c r="AC41" s="13">
        <f>IF(COUNTIFS(T_TTAFStock_Log[Part Name],$A41,T_TTAFStock_Log[WeekIndex],28)=0,"",SUMIFS(T_TTAFStock_Log[TTAF_Qty],T_TTAFStock_Log[Part Name],$A41,T_TTAFStock_Log[WeekIndex],28))</f>
        <v/>
      </c>
      <c r="AD41" s="13">
        <f>IF(COUNTIFS(T_TTAFStock_Log[Part Name],$A41,T_TTAFStock_Log[WeekIndex],29)=0,"",SUMIFS(T_TTAFStock_Log[TTAF_Qty],T_TTAFStock_Log[Part Name],$A41,T_TTAFStock_Log[WeekIndex],29))</f>
        <v/>
      </c>
      <c r="AE41" s="13">
        <f>IF(COUNTIFS(T_TTAFStock_Log[Part Name],$A41,T_TTAFStock_Log[WeekIndex],30)=0,"",SUMIFS(T_TTAFStock_Log[TTAF_Qty],T_TTAFStock_Log[Part Name],$A41,T_TTAFStock_Log[WeekIndex],30))</f>
        <v/>
      </c>
      <c r="AF41" s="13">
        <f>IF(COUNTIFS(T_TTAFStock_Log[Part Name],$A41,T_TTAFStock_Log[WeekIndex],31)=0,"",SUMIFS(T_TTAFStock_Log[TTAF_Qty],T_TTAFStock_Log[Part Name],$A41,T_TTAFStock_Log[WeekIndex],31))</f>
        <v/>
      </c>
      <c r="AG41" s="13">
        <f>IF(COUNTIFS(T_TTAFStock_Log[Part Name],$A41,T_TTAFStock_Log[WeekIndex],32)=0,"",SUMIFS(T_TTAFStock_Log[TTAF_Qty],T_TTAFStock_Log[Part Name],$A41,T_TTAFStock_Log[WeekIndex],32))</f>
        <v/>
      </c>
      <c r="AH41" s="13">
        <f>IF(COUNTIFS(T_TTAFStock_Log[Part Name],$A41,T_TTAFStock_Log[WeekIndex],33)=0,"",SUMIFS(T_TTAFStock_Log[TTAF_Qty],T_TTAFStock_Log[Part Name],$A41,T_TTAFStock_Log[WeekIndex],33))</f>
        <v/>
      </c>
      <c r="AI41" s="13">
        <f>IF(COUNTIFS(T_TTAFStock_Log[Part Name],$A41,T_TTAFStock_Log[WeekIndex],34)=0,"",SUMIFS(T_TTAFStock_Log[TTAF_Qty],T_TTAFStock_Log[Part Name],$A41,T_TTAFStock_Log[WeekIndex],34))</f>
        <v/>
      </c>
      <c r="AJ41" s="13">
        <f>IF(COUNTIFS(T_TTAFStock_Log[Part Name],$A41,T_TTAFStock_Log[WeekIndex],35)=0,"",SUMIFS(T_TTAFStock_Log[TTAF_Qty],T_TTAFStock_Log[Part Name],$A41,T_TTAFStock_Log[WeekIndex],35))</f>
        <v/>
      </c>
      <c r="AK41" s="13">
        <f>IF(COUNTIFS(T_TTAFStock_Log[Part Name],$A41,T_TTAFStock_Log[WeekIndex],36)=0,"",SUMIFS(T_TTAFStock_Log[TTAF_Qty],T_TTAFStock_Log[Part Name],$A41,T_TTAFStock_Log[WeekIndex],36))</f>
        <v/>
      </c>
      <c r="AL41" s="13">
        <f>IF(COUNTIFS(T_TTAFStock_Log[Part Name],$A41,T_TTAFStock_Log[WeekIndex],37)=0,"",SUMIFS(T_TTAFStock_Log[TTAF_Qty],T_TTAFStock_Log[Part Name],$A41,T_TTAFStock_Log[WeekIndex],37))</f>
        <v/>
      </c>
      <c r="AM41" s="13">
        <f>IF(COUNTIFS(T_TTAFStock_Log[Part Name],$A41,T_TTAFStock_Log[WeekIndex],38)=0,"",SUMIFS(T_TTAFStock_Log[TTAF_Qty],T_TTAFStock_Log[Part Name],$A41,T_TTAFStock_Log[WeekIndex],38))</f>
        <v/>
      </c>
      <c r="AN41" s="13">
        <f>IF(COUNTIFS(T_TTAFStock_Log[Part Name],$A41,T_TTAFStock_Log[WeekIndex],39)=0,"",SUMIFS(T_TTAFStock_Log[TTAF_Qty],T_TTAFStock_Log[Part Name],$A41,T_TTAFStock_Log[WeekIndex],39))</f>
        <v/>
      </c>
      <c r="AO41" s="13">
        <f>IF(COUNTIFS(T_TTAFStock_Log[Part Name],$A41,T_TTAFStock_Log[WeekIndex],40)=0,"",SUMIFS(T_TTAFStock_Log[TTAF_Qty],T_TTAFStock_Log[Part Name],$A41,T_TTAFStock_Log[WeekIndex],40))</f>
        <v/>
      </c>
      <c r="AP41" s="13">
        <f>IF(COUNTIFS(T_TTAFStock_Log[Part Name],$A41,T_TTAFStock_Log[WeekIndex],41)=0,"",SUMIFS(T_TTAFStock_Log[TTAF_Qty],T_TTAFStock_Log[Part Name],$A41,T_TTAFStock_Log[WeekIndex],41))</f>
        <v/>
      </c>
      <c r="AQ41" s="13">
        <f>IF(COUNTIFS(T_TTAFStock_Log[Part Name],$A41,T_TTAFStock_Log[WeekIndex],42)=0,"",SUMIFS(T_TTAFStock_Log[TTAF_Qty],T_TTAFStock_Log[Part Name],$A41,T_TTAFStock_Log[WeekIndex],42))</f>
        <v/>
      </c>
      <c r="AR41" s="13">
        <f>IF(COUNTIFS(T_TTAFStock_Log[Part Name],$A41,T_TTAFStock_Log[WeekIndex],43)=0,"",SUMIFS(T_TTAFStock_Log[TTAF_Qty],T_TTAFStock_Log[Part Name],$A41,T_TTAFStock_Log[WeekIndex],43))</f>
        <v/>
      </c>
      <c r="AS41" s="13">
        <f>IF(COUNTIFS(T_TTAFStock_Log[Part Name],$A41,T_TTAFStock_Log[WeekIndex],44)=0,"",SUMIFS(T_TTAFStock_Log[TTAF_Qty],T_TTAFStock_Log[Part Name],$A41,T_TTAFStock_Log[WeekIndex],44))</f>
        <v/>
      </c>
      <c r="AT41" s="13">
        <f>IF(COUNTIFS(T_TTAFStock_Log[Part Name],$A41,T_TTAFStock_Log[WeekIndex],45)=0,"",SUMIFS(T_TTAFStock_Log[TTAF_Qty],T_TTAFStock_Log[Part Name],$A41,T_TTAFStock_Log[WeekIndex],45))</f>
        <v/>
      </c>
      <c r="AU41" s="13">
        <f>IF(COUNTIFS(T_TTAFStock_Log[Part Name],$A41,T_TTAFStock_Log[WeekIndex],46)=0,"",SUMIFS(T_TTAFStock_Log[TTAF_Qty],T_TTAFStock_Log[Part Name],$A41,T_TTAFStock_Log[WeekIndex],46))</f>
        <v/>
      </c>
      <c r="AV41" s="13">
        <f>IF(COUNTIFS(T_TTAFStock_Log[Part Name],$A41,T_TTAFStock_Log[WeekIndex],47)=0,"",SUMIFS(T_TTAFStock_Log[TTAF_Qty],T_TTAFStock_Log[Part Name],$A41,T_TTAFStock_Log[WeekIndex],47))</f>
        <v/>
      </c>
      <c r="AW41" s="13">
        <f>IF(COUNTIFS(T_TTAFStock_Log[Part Name],$A41,T_TTAFStock_Log[WeekIndex],48)=0,"",SUMIFS(T_TTAFStock_Log[TTAF_Qty],T_TTAFStock_Log[Part Name],$A41,T_TTAFStock_Log[WeekIndex],48))</f>
        <v/>
      </c>
      <c r="AX41" s="13">
        <f>IF(COUNTIFS(T_TTAFStock_Log[Part Name],$A41,T_TTAFStock_Log[WeekIndex],49)=0,"",SUMIFS(T_TTAFStock_Log[TTAF_Qty],T_TTAFStock_Log[Part Name],$A41,T_TTAFStock_Log[WeekIndex],49))</f>
        <v/>
      </c>
      <c r="AY41" s="13">
        <f>IF(COUNTIFS(T_TTAFStock_Log[Part Name],$A41,T_TTAFStock_Log[WeekIndex],50)=0,"",SUMIFS(T_TTAFStock_Log[TTAF_Qty],T_TTAFStock_Log[Part Name],$A41,T_TTAFStock_Log[WeekIndex],50))</f>
        <v/>
      </c>
      <c r="AZ41" s="13">
        <f>IF(COUNTIFS(T_TTAFStock_Log[Part Name],$A41,T_TTAFStock_Log[WeekIndex],51)=0,"",SUMIFS(T_TTAFStock_Log[TTAF_Qty],T_TTAFStock_Log[Part Name],$A41,T_TTAFStock_Log[WeekIndex],51))</f>
        <v/>
      </c>
      <c r="BA41" s="13">
        <f>IF(COUNTIFS(T_TTAFStock_Log[Part Name],$A41,T_TTAFStock_Log[WeekIndex],52)=0,"",SUMIFS(T_TTAFStock_Log[TTAF_Qty],T_TTAFStock_Log[Part Name],$A41,T_TTAFStock_Log[WeekIndex],52))</f>
        <v/>
      </c>
      <c r="BB41" s="13">
        <f>IF(COUNTIFS(T_TTAFStock_Log[Part Name],$A41,T_TTAFStock_Log[WeekIndex],53)=0,"",SUMIFS(T_TTAFStock_Log[TTAF_Qty],T_TTAFStock_Log[Part Name],$A41,T_TTAFStock_Log[WeekIndex],53))</f>
        <v/>
      </c>
      <c r="BC41" s="13">
        <f>IF(COUNTIFS(T_TTAFStock_Log[Part Name],$A41,T_TTAFStock_Log[WeekIndex],54)=0,"",SUMIFS(T_TTAFStock_Log[TTAF_Qty],T_TTAFStock_Log[Part Name],$A41,T_TTAFStock_Log[WeekIndex],54))</f>
        <v/>
      </c>
      <c r="BD41" s="13">
        <f>IF(COUNTIFS(T_TTAFStock_Log[Part Name],$A41,T_TTAFStock_Log[WeekIndex],55)=0,"",SUMIFS(T_TTAFStock_Log[TTAF_Qty],T_TTAFStock_Log[Part Name],$A41,T_TTAFStock_Log[WeekIndex],55))</f>
        <v/>
      </c>
      <c r="BE41" s="13">
        <f>IF(COUNTIFS(T_TTAFStock_Log[Part Name],$A41,T_TTAFStock_Log[WeekIndex],56)=0,"",SUMIFS(T_TTAFStock_Log[TTAF_Qty],T_TTAFStock_Log[Part Name],$A41,T_TTAFStock_Log[WeekIndex],56))</f>
        <v/>
      </c>
      <c r="BF41" s="13">
        <f>IF(COUNTIFS(T_TTAFStock_Log[Part Name],$A41,T_TTAFStock_Log[WeekIndex],57)=0,"",SUMIFS(T_TTAFStock_Log[TTAF_Qty],T_TTAFStock_Log[Part Name],$A41,T_TTAFStock_Log[WeekIndex],57))</f>
        <v/>
      </c>
      <c r="BG41" s="13">
        <f>IF(COUNTIFS(T_TTAFStock_Log[Part Name],$A41,T_TTAFStock_Log[WeekIndex],58)=0,"",SUMIFS(T_TTAFStock_Log[TTAF_Qty],T_TTAFStock_Log[Part Name],$A41,T_TTAFStock_Log[WeekIndex],58))</f>
        <v/>
      </c>
      <c r="BH41" s="13">
        <f>IF(COUNTIFS(T_TTAFStock_Log[Part Name],$A41,T_TTAFStock_Log[WeekIndex],59)=0,"",SUMIFS(T_TTAFStock_Log[TTAF_Qty],T_TTAFStock_Log[Part Name],$A41,T_TTAFStock_Log[WeekIndex],59))</f>
        <v/>
      </c>
      <c r="BI41" s="13">
        <f>IF(COUNTIFS(T_TTAFStock_Log[Part Name],$A41,T_TTAFStock_Log[WeekIndex],60)=0,"",SUMIFS(T_TTAFStock_Log[TTAF_Qty],T_TTAFStock_Log[Part Name],$A41,T_TTAFStock_Log[WeekIndex],60))</f>
        <v/>
      </c>
      <c r="BJ41" s="13">
        <f>IF(COUNTIFS(T_TTAFStock_Log[Part Name],$A41,T_TTAFStock_Log[WeekIndex],61)=0,"",SUMIFS(T_TTAFStock_Log[TTAF_Qty],T_TTAFStock_Log[Part Name],$A41,T_TTAFStock_Log[WeekIndex],61))</f>
        <v/>
      </c>
      <c r="BK41" s="13">
        <f>IF(COUNTIFS(T_TTAFStock_Log[Part Name],$A41,T_TTAFStock_Log[WeekIndex],62)=0,"",SUMIFS(T_TTAFStock_Log[TTAF_Qty],T_TTAFStock_Log[Part Name],$A41,T_TTAFStock_Log[WeekIndex],62))</f>
        <v/>
      </c>
      <c r="BL41" s="13">
        <f>IF(COUNTIFS(T_TTAFStock_Log[Part Name],$A41,T_TTAFStock_Log[WeekIndex],63)=0,"",SUMIFS(T_TTAFStock_Log[TTAF_Qty],T_TTAFStock_Log[Part Name],$A41,T_TTAFStock_Log[WeekIndex],63))</f>
        <v/>
      </c>
      <c r="BM41" s="13">
        <f>IF(COUNTIFS(T_TTAFStock_Log[Part Name],$A41,T_TTAFStock_Log[WeekIndex],64)=0,"",SUMIFS(T_TTAFStock_Log[TTAF_Qty],T_TTAFStock_Log[Part Name],$A41,T_TTAFStock_Log[WeekIndex],64))</f>
        <v/>
      </c>
      <c r="BN41" s="13">
        <f>IF(COUNTIFS(T_TTAFStock_Log[Part Name],$A41,T_TTAFStock_Log[WeekIndex],65)=0,"",SUMIFS(T_TTAFStock_Log[TTAF_Qty],T_TTAFStock_Log[Part Name],$A41,T_TTAFStock_Log[WeekIndex],65))</f>
        <v/>
      </c>
      <c r="BO41" s="13">
        <f>IF(COUNTIFS(T_TTAFStock_Log[Part Name],$A41,T_TTAFStock_Log[WeekIndex],66)=0,"",SUMIFS(T_TTAFStock_Log[TTAF_Qty],T_TTAFStock_Log[Part Name],$A41,T_TTAFStock_Log[WeekIndex],66))</f>
        <v/>
      </c>
      <c r="BP41" s="13">
        <f>IF(COUNTIFS(T_TTAFStock_Log[Part Name],$A41,T_TTAFStock_Log[WeekIndex],67)=0,"",SUMIFS(T_TTAFStock_Log[TTAF_Qty],T_TTAFStock_Log[Part Name],$A41,T_TTAFStock_Log[WeekIndex],67))</f>
        <v/>
      </c>
      <c r="BQ41" s="13">
        <f>IF(COUNTIFS(T_TTAFStock_Log[Part Name],$A41,T_TTAFStock_Log[WeekIndex],68)=0,"",SUMIFS(T_TTAFStock_Log[TTAF_Qty],T_TTAFStock_Log[Part Name],$A41,T_TTAFStock_Log[WeekIndex],68))</f>
        <v/>
      </c>
      <c r="BR41" s="13">
        <f>IF(COUNTIFS(T_TTAFStock_Log[Part Name],$A41,T_TTAFStock_Log[WeekIndex],69)=0,"",SUMIFS(T_TTAFStock_Log[TTAF_Qty],T_TTAFStock_Log[Part Name],$A41,T_TTAFStock_Log[WeekIndex],69))</f>
        <v/>
      </c>
      <c r="BS41" s="13">
        <f>IF(COUNTIFS(T_TTAFStock_Log[Part Name],$A41,T_TTAFStock_Log[WeekIndex],70)=0,"",SUMIFS(T_TTAFStock_Log[TTAF_Qty],T_TTAFStock_Log[Part Name],$A41,T_TTAFStock_Log[WeekIndex],70))</f>
        <v/>
      </c>
      <c r="BT41" s="13">
        <f>IF(COUNTIFS(T_TTAFStock_Log[Part Name],$A41,T_TTAFStock_Log[WeekIndex],71)=0,"",SUMIFS(T_TTAFStock_Log[TTAF_Qty],T_TTAFStock_Log[Part Name],$A41,T_TTAFStock_Log[WeekIndex],71))</f>
        <v/>
      </c>
      <c r="BU41" s="13">
        <f>IF(COUNTIFS(T_TTAFStock_Log[Part Name],$A41,T_TTAFStock_Log[WeekIndex],72)=0,"",SUMIFS(T_TTAFStock_Log[TTAF_Qty],T_TTAFStock_Log[Part Name],$A41,T_TTAFStock_Log[WeekIndex],72))</f>
        <v/>
      </c>
      <c r="BV41" s="13">
        <f>IF(COUNTIFS(T_TTAFStock_Log[Part Name],$A41,T_TTAFStock_Log[WeekIndex],73)=0,"",SUMIFS(T_TTAFStock_Log[TTAF_Qty],T_TTAFStock_Log[Part Name],$A41,T_TTAFStock_Log[WeekIndex],73))</f>
        <v/>
      </c>
      <c r="BW41" s="13">
        <f>IF(COUNTIFS(T_TTAFStock_Log[Part Name],$A41,T_TTAFStock_Log[WeekIndex],74)=0,"",SUMIFS(T_TTAFStock_Log[TTAF_Qty],T_TTAFStock_Log[Part Name],$A41,T_TTAFStock_Log[WeekIndex],74))</f>
        <v/>
      </c>
      <c r="BX41" s="13">
        <f>IF(COUNTIFS(T_TTAFStock_Log[Part Name],$A41,T_TTAFStock_Log[WeekIndex],75)=0,"",SUMIFS(T_TTAFStock_Log[TTAF_Qty],T_TTAFStock_Log[Part Name],$A41,T_TTAFStock_Log[WeekIndex],75))</f>
        <v/>
      </c>
      <c r="BY41" s="13">
        <f>IF(COUNTIFS(T_TTAFStock_Log[Part Name],$A41,T_TTAFStock_Log[WeekIndex],76)=0,"",SUMIFS(T_TTAFStock_Log[TTAF_Qty],T_TTAFStock_Log[Part Name],$A41,T_TTAFStock_Log[WeekIndex],76))</f>
        <v/>
      </c>
      <c r="BZ41" s="13">
        <f>IF(COUNTIFS(T_TTAFStock_Log[Part Name],$A41,T_TTAFStock_Log[WeekIndex],77)=0,"",SUMIFS(T_TTAFStock_Log[TTAF_Qty],T_TTAFStock_Log[Part Name],$A41,T_TTAFStock_Log[WeekIndex],77))</f>
        <v/>
      </c>
      <c r="CA41" s="13">
        <f>IF(COUNTIFS(T_TTAFStock_Log[Part Name],$A41,T_TTAFStock_Log[WeekIndex],78)=0,"",SUMIFS(T_TTAFStock_Log[TTAF_Qty],T_TTAFStock_Log[Part Name],$A41,T_TTAFStock_Log[WeekIndex],78))</f>
        <v/>
      </c>
      <c r="CB41" s="13">
        <f>IF(COUNTIFS(T_TTAFStock_Log[Part Name],$A41,T_TTAFStock_Log[WeekIndex],79)=0,"",SUMIFS(T_TTAFStock_Log[TTAF_Qty],T_TTAFStock_Log[Part Name],$A41,T_TTAFStock_Log[WeekIndex],79))</f>
        <v/>
      </c>
      <c r="CC41" s="13">
        <f>IF(COUNTIFS(T_TTAFStock_Log[Part Name],$A41,T_TTAFStock_Log[WeekIndex],80)=0,"",SUMIFS(T_TTAFStock_Log[TTAF_Qty],T_TTAFStock_Log[Part Name],$A41,T_TTAFStock_Log[WeekIndex],80))</f>
        <v/>
      </c>
      <c r="CD41" s="13">
        <f>IF(COUNTIFS(T_TTAFStock_Log[Part Name],$A41,T_TTAFStock_Log[WeekIndex],81)=0,"",SUMIFS(T_TTAFStock_Log[TTAF_Qty],T_TTAFStock_Log[Part Name],$A41,T_TTAFStock_Log[WeekIndex],81))</f>
        <v/>
      </c>
      <c r="CE41" s="13">
        <f>IF(COUNTIFS(T_TTAFStock_Log[Part Name],$A41,T_TTAFStock_Log[WeekIndex],82)=0,"",SUMIFS(T_TTAFStock_Log[TTAF_Qty],T_TTAFStock_Log[Part Name],$A41,T_TTAFStock_Log[WeekIndex],82))</f>
        <v/>
      </c>
      <c r="CF41" s="13">
        <f>IF(COUNTIFS(T_TTAFStock_Log[Part Name],$A41,T_TTAFStock_Log[WeekIndex],83)=0,"",SUMIFS(T_TTAFStock_Log[TTAF_Qty],T_TTAFStock_Log[Part Name],$A41,T_TTAFStock_Log[WeekIndex],83))</f>
        <v/>
      </c>
      <c r="CG41" s="13">
        <f>IF(COUNTIFS(T_TTAFStock_Log[Part Name],$A41,T_TTAFStock_Log[WeekIndex],84)=0,"",SUMIFS(T_TTAFStock_Log[TTAF_Qty],T_TTAFStock_Log[Part Name],$A41,T_TTAFStock_Log[WeekIndex],84))</f>
        <v/>
      </c>
      <c r="CH41" s="13">
        <f>IF(COUNTIFS(T_TTAFStock_Log[Part Name],$A41,T_TTAFStock_Log[WeekIndex],85)=0,"",SUMIFS(T_TTAFStock_Log[TTAF_Qty],T_TTAFStock_Log[Part Name],$A41,T_TTAFStock_Log[WeekIndex],85))</f>
        <v/>
      </c>
      <c r="CI41" s="13">
        <f>IF(COUNTIFS(T_TTAFStock_Log[Part Name],$A41,T_TTAFStock_Log[WeekIndex],86)=0,"",SUMIFS(T_TTAFStock_Log[TTAF_Qty],T_TTAFStock_Log[Part Name],$A41,T_TTAFStock_Log[WeekIndex],86))</f>
        <v/>
      </c>
      <c r="CJ41" s="13">
        <f>IF(COUNTIFS(T_TTAFStock_Log[Part Name],$A41,T_TTAFStock_Log[WeekIndex],87)=0,"",SUMIFS(T_TTAFStock_Log[TTAF_Qty],T_TTAFStock_Log[Part Name],$A41,T_TTAFStock_Log[WeekIndex],87))</f>
        <v/>
      </c>
      <c r="CK41" s="13">
        <f>IF(COUNTIFS(T_TTAFStock_Log[Part Name],$A41,T_TTAFStock_Log[WeekIndex],88)=0,"",SUMIFS(T_TTAFStock_Log[TTAF_Qty],T_TTAFStock_Log[Part Name],$A41,T_TTAFStock_Log[WeekIndex],88))</f>
        <v/>
      </c>
      <c r="CL41" s="13">
        <f>IF(COUNTIFS(T_TTAFStock_Log[Part Name],$A41,T_TTAFStock_Log[WeekIndex],89)=0,"",SUMIFS(T_TTAFStock_Log[TTAF_Qty],T_TTAFStock_Log[Part Name],$A41,T_TTAFStock_Log[WeekIndex],89))</f>
        <v/>
      </c>
      <c r="CM41" s="13">
        <f>IF(COUNTIFS(T_TTAFStock_Log[Part Name],$A41,T_TTAFStock_Log[WeekIndex],90)=0,"",SUMIFS(T_TTAFStock_Log[TTAF_Qty],T_TTAFStock_Log[Part Name],$A41,T_TTAFStock_Log[WeekIndex],90))</f>
        <v/>
      </c>
      <c r="CN41" s="13">
        <f>IF(COUNTIFS(T_TTAFStock_Log[Part Name],$A41,T_TTAFStock_Log[WeekIndex],91)=0,"",SUMIFS(T_TTAFStock_Log[TTAF_Qty],T_TTAFStock_Log[Part Name],$A41,T_TTAFStock_Log[WeekIndex],91))</f>
        <v/>
      </c>
      <c r="CO41" s="13">
        <f>IF(COUNTIFS(T_TTAFStock_Log[Part Name],$A41,T_TTAFStock_Log[WeekIndex],92)=0,"",SUMIFS(T_TTAFStock_Log[TTAF_Qty],T_TTAFStock_Log[Part Name],$A41,T_TTAFStock_Log[WeekIndex],92))</f>
        <v/>
      </c>
      <c r="CP41" s="13">
        <f>IF(COUNTIFS(T_TTAFStock_Log[Part Name],$A41,T_TTAFStock_Log[WeekIndex],93)=0,"",SUMIFS(T_TTAFStock_Log[TTAF_Qty],T_TTAFStock_Log[Part Name],$A41,T_TTAFStock_Log[WeekIndex],93))</f>
        <v/>
      </c>
      <c r="CQ41" s="13">
        <f>IF(COUNTIFS(T_TTAFStock_Log[Part Name],$A41,T_TTAFStock_Log[WeekIndex],94)=0,"",SUMIFS(T_TTAFStock_Log[TTAF_Qty],T_TTAFStock_Log[Part Name],$A41,T_TTAFStock_Log[WeekIndex],94))</f>
        <v/>
      </c>
      <c r="CR41" s="13">
        <f>IF(COUNTIFS(T_TTAFStock_Log[Part Name],$A41,T_TTAFStock_Log[WeekIndex],95)=0,"",SUMIFS(T_TTAFStock_Log[TTAF_Qty],T_TTAFStock_Log[Part Name],$A41,T_TTAFStock_Log[WeekIndex],95))</f>
        <v/>
      </c>
      <c r="CS41" s="13">
        <f>IF(COUNTIFS(T_TTAFStock_Log[Part Name],$A41,T_TTAFStock_Log[WeekIndex],96)=0,"",SUMIFS(T_TTAFStock_Log[TTAF_Qty],T_TTAFStock_Log[Part Name],$A41,T_TTAFStock_Log[WeekIndex],96))</f>
        <v/>
      </c>
      <c r="CT41" s="13">
        <f>IF(COUNTIFS(T_TTAFStock_Log[Part Name],$A41,T_TTAFStock_Log[WeekIndex],97)=0,"",SUMIFS(T_TTAFStock_Log[TTAF_Qty],T_TTAFStock_Log[Part Name],$A41,T_TTAFStock_Log[WeekIndex],97))</f>
        <v/>
      </c>
      <c r="CU41" s="13">
        <f>IF(COUNTIFS(T_TTAFStock_Log[Part Name],$A41,T_TTAFStock_Log[WeekIndex],98)=0,"",SUMIFS(T_TTAFStock_Log[TTAF_Qty],T_TTAFStock_Log[Part Name],$A41,T_TTAFStock_Log[WeekIndex],98))</f>
        <v/>
      </c>
      <c r="CV41" s="13">
        <f>IF(COUNTIFS(T_TTAFStock_Log[Part Name],$A41,T_TTAFStock_Log[WeekIndex],99)=0,"",SUMIFS(T_TTAFStock_Log[TTAF_Qty],T_TTAFStock_Log[Part Name],$A41,T_TTAFStock_Log[WeekIndex],99))</f>
        <v/>
      </c>
      <c r="CW41" s="13">
        <f>IF(COUNTIFS(T_TTAFStock_Log[Part Name],$A41,T_TTAFStock_Log[WeekIndex],100)=0,"",SUMIFS(T_TTAFStock_Log[TTAF_Qty],T_TTAFStock_Log[Part Name],$A41,T_TTAFStock_Log[WeekIndex],100))</f>
        <v/>
      </c>
      <c r="CX41" s="13">
        <f>IF(COUNTIFS(T_TTAFStock_Log[Part Name],$A41,T_TTAFStock_Log[WeekIndex],101)=0,"",SUMIFS(T_TTAFStock_Log[TTAF_Qty],T_TTAFStock_Log[Part Name],$A41,T_TTAFStock_Log[WeekIndex],101))</f>
        <v/>
      </c>
      <c r="CY41" s="13">
        <f>IF(COUNTIFS(T_TTAFStock_Log[Part Name],$A41,T_TTAFStock_Log[WeekIndex],102)=0,"",SUMIFS(T_TTAFStock_Log[TTAF_Qty],T_TTAFStock_Log[Part Name],$A41,T_TTAFStock_Log[WeekIndex],102))</f>
        <v/>
      </c>
      <c r="CZ41" s="13">
        <f>IF(COUNTIFS(T_TTAFStock_Log[Part Name],$A41,T_TTAFStock_Log[WeekIndex],103)=0,"",SUMIFS(T_TTAFStock_Log[TTAF_Qty],T_TTAFStock_Log[Part Name],$A41,T_TTAFStock_Log[WeekIndex],103))</f>
        <v/>
      </c>
      <c r="DA41" s="13">
        <f>IF(COUNTIFS(T_TTAFStock_Log[Part Name],$A41,T_TTAFStock_Log[WeekIndex],104)=0,"",SUMIFS(T_TTAFStock_Log[TTAF_Qty],T_TTAFStock_Log[Part Name],$A41,T_TTAFStock_Log[WeekIndex],104))</f>
        <v/>
      </c>
    </row>
    <row r="42">
      <c r="A42" s="12" t="inlineStr">
        <is>
          <t>Ester Film</t>
        </is>
      </c>
      <c r="B42" s="12">
        <f>IF(COUNTIFS(T_TTAFStock_Log[Part Name],$A42,T_TTAFStock_Log[WeekIndex],1)=0,"",SUMIFS(T_TTAFStock_Log[TTAF_Qty],T_TTAFStock_Log[Part Name],$A42,T_TTAFStock_Log[WeekIndex],1))</f>
        <v/>
      </c>
      <c r="C42" s="12">
        <f>IF(COUNTIFS(T_TTAFStock_Log[Part Name],$A42,T_TTAFStock_Log[WeekIndex],2)=0,"",SUMIFS(T_TTAFStock_Log[TTAF_Qty],T_TTAFStock_Log[Part Name],$A42,T_TTAFStock_Log[WeekIndex],2))</f>
        <v/>
      </c>
      <c r="D42" s="12">
        <f>IF(COUNTIFS(T_TTAFStock_Log[Part Name],$A42,T_TTAFStock_Log[WeekIndex],3)=0,"",SUMIFS(T_TTAFStock_Log[TTAF_Qty],T_TTAFStock_Log[Part Name],$A42,T_TTAFStock_Log[WeekIndex],3))</f>
        <v/>
      </c>
      <c r="E42" s="12">
        <f>IF(COUNTIFS(T_TTAFStock_Log[Part Name],$A42,T_TTAFStock_Log[WeekIndex],4)=0,"",SUMIFS(T_TTAFStock_Log[TTAF_Qty],T_TTAFStock_Log[Part Name],$A42,T_TTAFStock_Log[WeekIndex],4))</f>
        <v/>
      </c>
      <c r="F42" s="12">
        <f>IF(COUNTIFS(T_TTAFStock_Log[Part Name],$A42,T_TTAFStock_Log[WeekIndex],5)=0,"",SUMIFS(T_TTAFStock_Log[TTAF_Qty],T_TTAFStock_Log[Part Name],$A42,T_TTAFStock_Log[WeekIndex],5))</f>
        <v/>
      </c>
      <c r="G42" s="12">
        <f>IF(COUNTIFS(T_TTAFStock_Log[Part Name],$A42,T_TTAFStock_Log[WeekIndex],6)=0,"",SUMIFS(T_TTAFStock_Log[TTAF_Qty],T_TTAFStock_Log[Part Name],$A42,T_TTAFStock_Log[WeekIndex],6))</f>
        <v/>
      </c>
      <c r="H42" s="12">
        <f>IF(COUNTIFS(T_TTAFStock_Log[Part Name],$A42,T_TTAFStock_Log[WeekIndex],7)=0,"",SUMIFS(T_TTAFStock_Log[TTAF_Qty],T_TTAFStock_Log[Part Name],$A42,T_TTAFStock_Log[WeekIndex],7))</f>
        <v/>
      </c>
      <c r="I42" s="12">
        <f>IF(COUNTIFS(T_TTAFStock_Log[Part Name],$A42,T_TTAFStock_Log[WeekIndex],8)=0,"",SUMIFS(T_TTAFStock_Log[TTAF_Qty],T_TTAFStock_Log[Part Name],$A42,T_TTAFStock_Log[WeekIndex],8))</f>
        <v/>
      </c>
      <c r="J42" s="12">
        <f>IF(COUNTIFS(T_TTAFStock_Log[Part Name],$A42,T_TTAFStock_Log[WeekIndex],9)=0,"",SUMIFS(T_TTAFStock_Log[TTAF_Qty],T_TTAFStock_Log[Part Name],$A42,T_TTAFStock_Log[WeekIndex],9))</f>
        <v/>
      </c>
      <c r="K42" s="12">
        <f>IF(COUNTIFS(T_TTAFStock_Log[Part Name],$A42,T_TTAFStock_Log[WeekIndex],10)=0,"",SUMIFS(T_TTAFStock_Log[TTAF_Qty],T_TTAFStock_Log[Part Name],$A42,T_TTAFStock_Log[WeekIndex],10))</f>
        <v/>
      </c>
      <c r="L42" s="12">
        <f>IF(COUNTIFS(T_TTAFStock_Log[Part Name],$A42,T_TTAFStock_Log[WeekIndex],11)=0,"",SUMIFS(T_TTAFStock_Log[TTAF_Qty],T_TTAFStock_Log[Part Name],$A42,T_TTAFStock_Log[WeekIndex],11))</f>
        <v/>
      </c>
      <c r="M42" s="12">
        <f>IF(COUNTIFS(T_TTAFStock_Log[Part Name],$A42,T_TTAFStock_Log[WeekIndex],12)=0,"",SUMIFS(T_TTAFStock_Log[TTAF_Qty],T_TTAFStock_Log[Part Name],$A42,T_TTAFStock_Log[WeekIndex],12))</f>
        <v/>
      </c>
      <c r="N42" s="12">
        <f>IF(COUNTIFS(T_TTAFStock_Log[Part Name],$A42,T_TTAFStock_Log[WeekIndex],13)=0,"",SUMIFS(T_TTAFStock_Log[TTAF_Qty],T_TTAFStock_Log[Part Name],$A42,T_TTAFStock_Log[WeekIndex],13))</f>
        <v/>
      </c>
      <c r="O42" s="12">
        <f>IF(COUNTIFS(T_TTAFStock_Log[Part Name],$A42,T_TTAFStock_Log[WeekIndex],14)=0,"",SUMIFS(T_TTAFStock_Log[TTAF_Qty],T_TTAFStock_Log[Part Name],$A42,T_TTAFStock_Log[WeekIndex],14))</f>
        <v/>
      </c>
      <c r="P42" s="12">
        <f>IF(COUNTIFS(T_TTAFStock_Log[Part Name],$A42,T_TTAFStock_Log[WeekIndex],15)=0,"",SUMIFS(T_TTAFStock_Log[TTAF_Qty],T_TTAFStock_Log[Part Name],$A42,T_TTAFStock_Log[WeekIndex],15))</f>
        <v/>
      </c>
      <c r="Q42" s="12">
        <f>IF(COUNTIFS(T_TTAFStock_Log[Part Name],$A42,T_TTAFStock_Log[WeekIndex],16)=0,"",SUMIFS(T_TTAFStock_Log[TTAF_Qty],T_TTAFStock_Log[Part Name],$A42,T_TTAFStock_Log[WeekIndex],16))</f>
        <v/>
      </c>
      <c r="R42" s="12">
        <f>IF(COUNTIFS(T_TTAFStock_Log[Part Name],$A42,T_TTAFStock_Log[WeekIndex],17)=0,"",SUMIFS(T_TTAFStock_Log[TTAF_Qty],T_TTAFStock_Log[Part Name],$A42,T_TTAFStock_Log[WeekIndex],17))</f>
        <v/>
      </c>
      <c r="S42" s="12">
        <f>IF(COUNTIFS(T_TTAFStock_Log[Part Name],$A42,T_TTAFStock_Log[WeekIndex],18)=0,"",SUMIFS(T_TTAFStock_Log[TTAF_Qty],T_TTAFStock_Log[Part Name],$A42,T_TTAFStock_Log[WeekIndex],18))</f>
        <v/>
      </c>
      <c r="T42" s="12">
        <f>IF(COUNTIFS(T_TTAFStock_Log[Part Name],$A42,T_TTAFStock_Log[WeekIndex],19)=0,"",SUMIFS(T_TTAFStock_Log[TTAF_Qty],T_TTAFStock_Log[Part Name],$A42,T_TTAFStock_Log[WeekIndex],19))</f>
        <v/>
      </c>
      <c r="U42" s="12">
        <f>IF(COUNTIFS(T_TTAFStock_Log[Part Name],$A42,T_TTAFStock_Log[WeekIndex],20)=0,"",SUMIFS(T_TTAFStock_Log[TTAF_Qty],T_TTAFStock_Log[Part Name],$A42,T_TTAFStock_Log[WeekIndex],20))</f>
        <v/>
      </c>
      <c r="V42" s="12">
        <f>IF(COUNTIFS(T_TTAFStock_Log[Part Name],$A42,T_TTAFStock_Log[WeekIndex],21)=0,"",SUMIFS(T_TTAFStock_Log[TTAF_Qty],T_TTAFStock_Log[Part Name],$A42,T_TTAFStock_Log[WeekIndex],21))</f>
        <v/>
      </c>
      <c r="W42" s="12">
        <f>IF(COUNTIFS(T_TTAFStock_Log[Part Name],$A42,T_TTAFStock_Log[WeekIndex],22)=0,"",SUMIFS(T_TTAFStock_Log[TTAF_Qty],T_TTAFStock_Log[Part Name],$A42,T_TTAFStock_Log[WeekIndex],22))</f>
        <v/>
      </c>
      <c r="X42" s="12">
        <f>IF(COUNTIFS(T_TTAFStock_Log[Part Name],$A42,T_TTAFStock_Log[WeekIndex],23)=0,"",SUMIFS(T_TTAFStock_Log[TTAF_Qty],T_TTAFStock_Log[Part Name],$A42,T_TTAFStock_Log[WeekIndex],23))</f>
        <v/>
      </c>
      <c r="Y42" s="12">
        <f>IF(COUNTIFS(T_TTAFStock_Log[Part Name],$A42,T_TTAFStock_Log[WeekIndex],24)=0,"",SUMIFS(T_TTAFStock_Log[TTAF_Qty],T_TTAFStock_Log[Part Name],$A42,T_TTAFStock_Log[WeekIndex],24))</f>
        <v/>
      </c>
      <c r="Z42" s="12">
        <f>IF(COUNTIFS(T_TTAFStock_Log[Part Name],$A42,T_TTAFStock_Log[WeekIndex],25)=0,"",SUMIFS(T_TTAFStock_Log[TTAF_Qty],T_TTAFStock_Log[Part Name],$A42,T_TTAFStock_Log[WeekIndex],25))</f>
        <v/>
      </c>
      <c r="AA42" s="12">
        <f>IF(COUNTIFS(T_TTAFStock_Log[Part Name],$A42,T_TTAFStock_Log[WeekIndex],26)=0,"",SUMIFS(T_TTAFStock_Log[TTAF_Qty],T_TTAFStock_Log[Part Name],$A42,T_TTAFStock_Log[WeekIndex],26))</f>
        <v/>
      </c>
      <c r="AB42" s="12">
        <f>IF(COUNTIFS(T_TTAFStock_Log[Part Name],$A42,T_TTAFStock_Log[WeekIndex],27)=0,"",SUMIFS(T_TTAFStock_Log[TTAF_Qty],T_TTAFStock_Log[Part Name],$A42,T_TTAFStock_Log[WeekIndex],27))</f>
        <v/>
      </c>
      <c r="AC42" s="12">
        <f>IF(COUNTIFS(T_TTAFStock_Log[Part Name],$A42,T_TTAFStock_Log[WeekIndex],28)=0,"",SUMIFS(T_TTAFStock_Log[TTAF_Qty],T_TTAFStock_Log[Part Name],$A42,T_TTAFStock_Log[WeekIndex],28))</f>
        <v/>
      </c>
      <c r="AD42" s="12">
        <f>IF(COUNTIFS(T_TTAFStock_Log[Part Name],$A42,T_TTAFStock_Log[WeekIndex],29)=0,"",SUMIFS(T_TTAFStock_Log[TTAF_Qty],T_TTAFStock_Log[Part Name],$A42,T_TTAFStock_Log[WeekIndex],29))</f>
        <v/>
      </c>
      <c r="AE42" s="12">
        <f>IF(COUNTIFS(T_TTAFStock_Log[Part Name],$A42,T_TTAFStock_Log[WeekIndex],30)=0,"",SUMIFS(T_TTAFStock_Log[TTAF_Qty],T_TTAFStock_Log[Part Name],$A42,T_TTAFStock_Log[WeekIndex],30))</f>
        <v/>
      </c>
      <c r="AF42" s="12">
        <f>IF(COUNTIFS(T_TTAFStock_Log[Part Name],$A42,T_TTAFStock_Log[WeekIndex],31)=0,"",SUMIFS(T_TTAFStock_Log[TTAF_Qty],T_TTAFStock_Log[Part Name],$A42,T_TTAFStock_Log[WeekIndex],31))</f>
        <v/>
      </c>
      <c r="AG42" s="12">
        <f>IF(COUNTIFS(T_TTAFStock_Log[Part Name],$A42,T_TTAFStock_Log[WeekIndex],32)=0,"",SUMIFS(T_TTAFStock_Log[TTAF_Qty],T_TTAFStock_Log[Part Name],$A42,T_TTAFStock_Log[WeekIndex],32))</f>
        <v/>
      </c>
      <c r="AH42" s="12">
        <f>IF(COUNTIFS(T_TTAFStock_Log[Part Name],$A42,T_TTAFStock_Log[WeekIndex],33)=0,"",SUMIFS(T_TTAFStock_Log[TTAF_Qty],T_TTAFStock_Log[Part Name],$A42,T_TTAFStock_Log[WeekIndex],33))</f>
        <v/>
      </c>
      <c r="AI42" s="12">
        <f>IF(COUNTIFS(T_TTAFStock_Log[Part Name],$A42,T_TTAFStock_Log[WeekIndex],34)=0,"",SUMIFS(T_TTAFStock_Log[TTAF_Qty],T_TTAFStock_Log[Part Name],$A42,T_TTAFStock_Log[WeekIndex],34))</f>
        <v/>
      </c>
      <c r="AJ42" s="12">
        <f>IF(COUNTIFS(T_TTAFStock_Log[Part Name],$A42,T_TTAFStock_Log[WeekIndex],35)=0,"",SUMIFS(T_TTAFStock_Log[TTAF_Qty],T_TTAFStock_Log[Part Name],$A42,T_TTAFStock_Log[WeekIndex],35))</f>
        <v/>
      </c>
      <c r="AK42" s="12">
        <f>IF(COUNTIFS(T_TTAFStock_Log[Part Name],$A42,T_TTAFStock_Log[WeekIndex],36)=0,"",SUMIFS(T_TTAFStock_Log[TTAF_Qty],T_TTAFStock_Log[Part Name],$A42,T_TTAFStock_Log[WeekIndex],36))</f>
        <v/>
      </c>
      <c r="AL42" s="12">
        <f>IF(COUNTIFS(T_TTAFStock_Log[Part Name],$A42,T_TTAFStock_Log[WeekIndex],37)=0,"",SUMIFS(T_TTAFStock_Log[TTAF_Qty],T_TTAFStock_Log[Part Name],$A42,T_TTAFStock_Log[WeekIndex],37))</f>
        <v/>
      </c>
      <c r="AM42" s="12">
        <f>IF(COUNTIFS(T_TTAFStock_Log[Part Name],$A42,T_TTAFStock_Log[WeekIndex],38)=0,"",SUMIFS(T_TTAFStock_Log[TTAF_Qty],T_TTAFStock_Log[Part Name],$A42,T_TTAFStock_Log[WeekIndex],38))</f>
        <v/>
      </c>
      <c r="AN42" s="12">
        <f>IF(COUNTIFS(T_TTAFStock_Log[Part Name],$A42,T_TTAFStock_Log[WeekIndex],39)=0,"",SUMIFS(T_TTAFStock_Log[TTAF_Qty],T_TTAFStock_Log[Part Name],$A42,T_TTAFStock_Log[WeekIndex],39))</f>
        <v/>
      </c>
      <c r="AO42" s="12">
        <f>IF(COUNTIFS(T_TTAFStock_Log[Part Name],$A42,T_TTAFStock_Log[WeekIndex],40)=0,"",SUMIFS(T_TTAFStock_Log[TTAF_Qty],T_TTAFStock_Log[Part Name],$A42,T_TTAFStock_Log[WeekIndex],40))</f>
        <v/>
      </c>
      <c r="AP42" s="12">
        <f>IF(COUNTIFS(T_TTAFStock_Log[Part Name],$A42,T_TTAFStock_Log[WeekIndex],41)=0,"",SUMIFS(T_TTAFStock_Log[TTAF_Qty],T_TTAFStock_Log[Part Name],$A42,T_TTAFStock_Log[WeekIndex],41))</f>
        <v/>
      </c>
      <c r="AQ42" s="12">
        <f>IF(COUNTIFS(T_TTAFStock_Log[Part Name],$A42,T_TTAFStock_Log[WeekIndex],42)=0,"",SUMIFS(T_TTAFStock_Log[TTAF_Qty],T_TTAFStock_Log[Part Name],$A42,T_TTAFStock_Log[WeekIndex],42))</f>
        <v/>
      </c>
      <c r="AR42" s="12">
        <f>IF(COUNTIFS(T_TTAFStock_Log[Part Name],$A42,T_TTAFStock_Log[WeekIndex],43)=0,"",SUMIFS(T_TTAFStock_Log[TTAF_Qty],T_TTAFStock_Log[Part Name],$A42,T_TTAFStock_Log[WeekIndex],43))</f>
        <v/>
      </c>
      <c r="AS42" s="12">
        <f>IF(COUNTIFS(T_TTAFStock_Log[Part Name],$A42,T_TTAFStock_Log[WeekIndex],44)=0,"",SUMIFS(T_TTAFStock_Log[TTAF_Qty],T_TTAFStock_Log[Part Name],$A42,T_TTAFStock_Log[WeekIndex],44))</f>
        <v/>
      </c>
      <c r="AT42" s="12">
        <f>IF(COUNTIFS(T_TTAFStock_Log[Part Name],$A42,T_TTAFStock_Log[WeekIndex],45)=0,"",SUMIFS(T_TTAFStock_Log[TTAF_Qty],T_TTAFStock_Log[Part Name],$A42,T_TTAFStock_Log[WeekIndex],45))</f>
        <v/>
      </c>
      <c r="AU42" s="12">
        <f>IF(COUNTIFS(T_TTAFStock_Log[Part Name],$A42,T_TTAFStock_Log[WeekIndex],46)=0,"",SUMIFS(T_TTAFStock_Log[TTAF_Qty],T_TTAFStock_Log[Part Name],$A42,T_TTAFStock_Log[WeekIndex],46))</f>
        <v/>
      </c>
      <c r="AV42" s="12">
        <f>IF(COUNTIFS(T_TTAFStock_Log[Part Name],$A42,T_TTAFStock_Log[WeekIndex],47)=0,"",SUMIFS(T_TTAFStock_Log[TTAF_Qty],T_TTAFStock_Log[Part Name],$A42,T_TTAFStock_Log[WeekIndex],47))</f>
        <v/>
      </c>
      <c r="AW42" s="12">
        <f>IF(COUNTIFS(T_TTAFStock_Log[Part Name],$A42,T_TTAFStock_Log[WeekIndex],48)=0,"",SUMIFS(T_TTAFStock_Log[TTAF_Qty],T_TTAFStock_Log[Part Name],$A42,T_TTAFStock_Log[WeekIndex],48))</f>
        <v/>
      </c>
      <c r="AX42" s="12">
        <f>IF(COUNTIFS(T_TTAFStock_Log[Part Name],$A42,T_TTAFStock_Log[WeekIndex],49)=0,"",SUMIFS(T_TTAFStock_Log[TTAF_Qty],T_TTAFStock_Log[Part Name],$A42,T_TTAFStock_Log[WeekIndex],49))</f>
        <v/>
      </c>
      <c r="AY42" s="12">
        <f>IF(COUNTIFS(T_TTAFStock_Log[Part Name],$A42,T_TTAFStock_Log[WeekIndex],50)=0,"",SUMIFS(T_TTAFStock_Log[TTAF_Qty],T_TTAFStock_Log[Part Name],$A42,T_TTAFStock_Log[WeekIndex],50))</f>
        <v/>
      </c>
      <c r="AZ42" s="12">
        <f>IF(COUNTIFS(T_TTAFStock_Log[Part Name],$A42,T_TTAFStock_Log[WeekIndex],51)=0,"",SUMIFS(T_TTAFStock_Log[TTAF_Qty],T_TTAFStock_Log[Part Name],$A42,T_TTAFStock_Log[WeekIndex],51))</f>
        <v/>
      </c>
      <c r="BA42" s="12">
        <f>IF(COUNTIFS(T_TTAFStock_Log[Part Name],$A42,T_TTAFStock_Log[WeekIndex],52)=0,"",SUMIFS(T_TTAFStock_Log[TTAF_Qty],T_TTAFStock_Log[Part Name],$A42,T_TTAFStock_Log[WeekIndex],52))</f>
        <v/>
      </c>
      <c r="BB42" s="12">
        <f>IF(COUNTIFS(T_TTAFStock_Log[Part Name],$A42,T_TTAFStock_Log[WeekIndex],53)=0,"",SUMIFS(T_TTAFStock_Log[TTAF_Qty],T_TTAFStock_Log[Part Name],$A42,T_TTAFStock_Log[WeekIndex],53))</f>
        <v/>
      </c>
      <c r="BC42" s="12">
        <f>IF(COUNTIFS(T_TTAFStock_Log[Part Name],$A42,T_TTAFStock_Log[WeekIndex],54)=0,"",SUMIFS(T_TTAFStock_Log[TTAF_Qty],T_TTAFStock_Log[Part Name],$A42,T_TTAFStock_Log[WeekIndex],54))</f>
        <v/>
      </c>
      <c r="BD42" s="12">
        <f>IF(COUNTIFS(T_TTAFStock_Log[Part Name],$A42,T_TTAFStock_Log[WeekIndex],55)=0,"",SUMIFS(T_TTAFStock_Log[TTAF_Qty],T_TTAFStock_Log[Part Name],$A42,T_TTAFStock_Log[WeekIndex],55))</f>
        <v/>
      </c>
      <c r="BE42" s="12">
        <f>IF(COUNTIFS(T_TTAFStock_Log[Part Name],$A42,T_TTAFStock_Log[WeekIndex],56)=0,"",SUMIFS(T_TTAFStock_Log[TTAF_Qty],T_TTAFStock_Log[Part Name],$A42,T_TTAFStock_Log[WeekIndex],56))</f>
        <v/>
      </c>
      <c r="BF42" s="12">
        <f>IF(COUNTIFS(T_TTAFStock_Log[Part Name],$A42,T_TTAFStock_Log[WeekIndex],57)=0,"",SUMIFS(T_TTAFStock_Log[TTAF_Qty],T_TTAFStock_Log[Part Name],$A42,T_TTAFStock_Log[WeekIndex],57))</f>
        <v/>
      </c>
      <c r="BG42" s="12">
        <f>IF(COUNTIFS(T_TTAFStock_Log[Part Name],$A42,T_TTAFStock_Log[WeekIndex],58)=0,"",SUMIFS(T_TTAFStock_Log[TTAF_Qty],T_TTAFStock_Log[Part Name],$A42,T_TTAFStock_Log[WeekIndex],58))</f>
        <v/>
      </c>
      <c r="BH42" s="12">
        <f>IF(COUNTIFS(T_TTAFStock_Log[Part Name],$A42,T_TTAFStock_Log[WeekIndex],59)=0,"",SUMIFS(T_TTAFStock_Log[TTAF_Qty],T_TTAFStock_Log[Part Name],$A42,T_TTAFStock_Log[WeekIndex],59))</f>
        <v/>
      </c>
      <c r="BI42" s="12">
        <f>IF(COUNTIFS(T_TTAFStock_Log[Part Name],$A42,T_TTAFStock_Log[WeekIndex],60)=0,"",SUMIFS(T_TTAFStock_Log[TTAF_Qty],T_TTAFStock_Log[Part Name],$A42,T_TTAFStock_Log[WeekIndex],60))</f>
        <v/>
      </c>
      <c r="BJ42" s="12">
        <f>IF(COUNTIFS(T_TTAFStock_Log[Part Name],$A42,T_TTAFStock_Log[WeekIndex],61)=0,"",SUMIFS(T_TTAFStock_Log[TTAF_Qty],T_TTAFStock_Log[Part Name],$A42,T_TTAFStock_Log[WeekIndex],61))</f>
        <v/>
      </c>
      <c r="BK42" s="12">
        <f>IF(COUNTIFS(T_TTAFStock_Log[Part Name],$A42,T_TTAFStock_Log[WeekIndex],62)=0,"",SUMIFS(T_TTAFStock_Log[TTAF_Qty],T_TTAFStock_Log[Part Name],$A42,T_TTAFStock_Log[WeekIndex],62))</f>
        <v/>
      </c>
      <c r="BL42" s="12">
        <f>IF(COUNTIFS(T_TTAFStock_Log[Part Name],$A42,T_TTAFStock_Log[WeekIndex],63)=0,"",SUMIFS(T_TTAFStock_Log[TTAF_Qty],T_TTAFStock_Log[Part Name],$A42,T_TTAFStock_Log[WeekIndex],63))</f>
        <v/>
      </c>
      <c r="BM42" s="12">
        <f>IF(COUNTIFS(T_TTAFStock_Log[Part Name],$A42,T_TTAFStock_Log[WeekIndex],64)=0,"",SUMIFS(T_TTAFStock_Log[TTAF_Qty],T_TTAFStock_Log[Part Name],$A42,T_TTAFStock_Log[WeekIndex],64))</f>
        <v/>
      </c>
      <c r="BN42" s="12">
        <f>IF(COUNTIFS(T_TTAFStock_Log[Part Name],$A42,T_TTAFStock_Log[WeekIndex],65)=0,"",SUMIFS(T_TTAFStock_Log[TTAF_Qty],T_TTAFStock_Log[Part Name],$A42,T_TTAFStock_Log[WeekIndex],65))</f>
        <v/>
      </c>
      <c r="BO42" s="12">
        <f>IF(COUNTIFS(T_TTAFStock_Log[Part Name],$A42,T_TTAFStock_Log[WeekIndex],66)=0,"",SUMIFS(T_TTAFStock_Log[TTAF_Qty],T_TTAFStock_Log[Part Name],$A42,T_TTAFStock_Log[WeekIndex],66))</f>
        <v/>
      </c>
      <c r="BP42" s="12">
        <f>IF(COUNTIFS(T_TTAFStock_Log[Part Name],$A42,T_TTAFStock_Log[WeekIndex],67)=0,"",SUMIFS(T_TTAFStock_Log[TTAF_Qty],T_TTAFStock_Log[Part Name],$A42,T_TTAFStock_Log[WeekIndex],67))</f>
        <v/>
      </c>
      <c r="BQ42" s="12">
        <f>IF(COUNTIFS(T_TTAFStock_Log[Part Name],$A42,T_TTAFStock_Log[WeekIndex],68)=0,"",SUMIFS(T_TTAFStock_Log[TTAF_Qty],T_TTAFStock_Log[Part Name],$A42,T_TTAFStock_Log[WeekIndex],68))</f>
        <v/>
      </c>
      <c r="BR42" s="12">
        <f>IF(COUNTIFS(T_TTAFStock_Log[Part Name],$A42,T_TTAFStock_Log[WeekIndex],69)=0,"",SUMIFS(T_TTAFStock_Log[TTAF_Qty],T_TTAFStock_Log[Part Name],$A42,T_TTAFStock_Log[WeekIndex],69))</f>
        <v/>
      </c>
      <c r="BS42" s="12">
        <f>IF(COUNTIFS(T_TTAFStock_Log[Part Name],$A42,T_TTAFStock_Log[WeekIndex],70)=0,"",SUMIFS(T_TTAFStock_Log[TTAF_Qty],T_TTAFStock_Log[Part Name],$A42,T_TTAFStock_Log[WeekIndex],70))</f>
        <v/>
      </c>
      <c r="BT42" s="12">
        <f>IF(COUNTIFS(T_TTAFStock_Log[Part Name],$A42,T_TTAFStock_Log[WeekIndex],71)=0,"",SUMIFS(T_TTAFStock_Log[TTAF_Qty],T_TTAFStock_Log[Part Name],$A42,T_TTAFStock_Log[WeekIndex],71))</f>
        <v/>
      </c>
      <c r="BU42" s="12">
        <f>IF(COUNTIFS(T_TTAFStock_Log[Part Name],$A42,T_TTAFStock_Log[WeekIndex],72)=0,"",SUMIFS(T_TTAFStock_Log[TTAF_Qty],T_TTAFStock_Log[Part Name],$A42,T_TTAFStock_Log[WeekIndex],72))</f>
        <v/>
      </c>
      <c r="BV42" s="12">
        <f>IF(COUNTIFS(T_TTAFStock_Log[Part Name],$A42,T_TTAFStock_Log[WeekIndex],73)=0,"",SUMIFS(T_TTAFStock_Log[TTAF_Qty],T_TTAFStock_Log[Part Name],$A42,T_TTAFStock_Log[WeekIndex],73))</f>
        <v/>
      </c>
      <c r="BW42" s="12">
        <f>IF(COUNTIFS(T_TTAFStock_Log[Part Name],$A42,T_TTAFStock_Log[WeekIndex],74)=0,"",SUMIFS(T_TTAFStock_Log[TTAF_Qty],T_TTAFStock_Log[Part Name],$A42,T_TTAFStock_Log[WeekIndex],74))</f>
        <v/>
      </c>
      <c r="BX42" s="12">
        <f>IF(COUNTIFS(T_TTAFStock_Log[Part Name],$A42,T_TTAFStock_Log[WeekIndex],75)=0,"",SUMIFS(T_TTAFStock_Log[TTAF_Qty],T_TTAFStock_Log[Part Name],$A42,T_TTAFStock_Log[WeekIndex],75))</f>
        <v/>
      </c>
      <c r="BY42" s="12">
        <f>IF(COUNTIFS(T_TTAFStock_Log[Part Name],$A42,T_TTAFStock_Log[WeekIndex],76)=0,"",SUMIFS(T_TTAFStock_Log[TTAF_Qty],T_TTAFStock_Log[Part Name],$A42,T_TTAFStock_Log[WeekIndex],76))</f>
        <v/>
      </c>
      <c r="BZ42" s="12">
        <f>IF(COUNTIFS(T_TTAFStock_Log[Part Name],$A42,T_TTAFStock_Log[WeekIndex],77)=0,"",SUMIFS(T_TTAFStock_Log[TTAF_Qty],T_TTAFStock_Log[Part Name],$A42,T_TTAFStock_Log[WeekIndex],77))</f>
        <v/>
      </c>
      <c r="CA42" s="12">
        <f>IF(COUNTIFS(T_TTAFStock_Log[Part Name],$A42,T_TTAFStock_Log[WeekIndex],78)=0,"",SUMIFS(T_TTAFStock_Log[TTAF_Qty],T_TTAFStock_Log[Part Name],$A42,T_TTAFStock_Log[WeekIndex],78))</f>
        <v/>
      </c>
      <c r="CB42" s="12">
        <f>IF(COUNTIFS(T_TTAFStock_Log[Part Name],$A42,T_TTAFStock_Log[WeekIndex],79)=0,"",SUMIFS(T_TTAFStock_Log[TTAF_Qty],T_TTAFStock_Log[Part Name],$A42,T_TTAFStock_Log[WeekIndex],79))</f>
        <v/>
      </c>
      <c r="CC42" s="12">
        <f>IF(COUNTIFS(T_TTAFStock_Log[Part Name],$A42,T_TTAFStock_Log[WeekIndex],80)=0,"",SUMIFS(T_TTAFStock_Log[TTAF_Qty],T_TTAFStock_Log[Part Name],$A42,T_TTAFStock_Log[WeekIndex],80))</f>
        <v/>
      </c>
      <c r="CD42" s="12">
        <f>IF(COUNTIFS(T_TTAFStock_Log[Part Name],$A42,T_TTAFStock_Log[WeekIndex],81)=0,"",SUMIFS(T_TTAFStock_Log[TTAF_Qty],T_TTAFStock_Log[Part Name],$A42,T_TTAFStock_Log[WeekIndex],81))</f>
        <v/>
      </c>
      <c r="CE42" s="12">
        <f>IF(COUNTIFS(T_TTAFStock_Log[Part Name],$A42,T_TTAFStock_Log[WeekIndex],82)=0,"",SUMIFS(T_TTAFStock_Log[TTAF_Qty],T_TTAFStock_Log[Part Name],$A42,T_TTAFStock_Log[WeekIndex],82))</f>
        <v/>
      </c>
      <c r="CF42" s="12">
        <f>IF(COUNTIFS(T_TTAFStock_Log[Part Name],$A42,T_TTAFStock_Log[WeekIndex],83)=0,"",SUMIFS(T_TTAFStock_Log[TTAF_Qty],T_TTAFStock_Log[Part Name],$A42,T_TTAFStock_Log[WeekIndex],83))</f>
        <v/>
      </c>
      <c r="CG42" s="12">
        <f>IF(COUNTIFS(T_TTAFStock_Log[Part Name],$A42,T_TTAFStock_Log[WeekIndex],84)=0,"",SUMIFS(T_TTAFStock_Log[TTAF_Qty],T_TTAFStock_Log[Part Name],$A42,T_TTAFStock_Log[WeekIndex],84))</f>
        <v/>
      </c>
      <c r="CH42" s="12">
        <f>IF(COUNTIFS(T_TTAFStock_Log[Part Name],$A42,T_TTAFStock_Log[WeekIndex],85)=0,"",SUMIFS(T_TTAFStock_Log[TTAF_Qty],T_TTAFStock_Log[Part Name],$A42,T_TTAFStock_Log[WeekIndex],85))</f>
        <v/>
      </c>
      <c r="CI42" s="12">
        <f>IF(COUNTIFS(T_TTAFStock_Log[Part Name],$A42,T_TTAFStock_Log[WeekIndex],86)=0,"",SUMIFS(T_TTAFStock_Log[TTAF_Qty],T_TTAFStock_Log[Part Name],$A42,T_TTAFStock_Log[WeekIndex],86))</f>
        <v/>
      </c>
      <c r="CJ42" s="12">
        <f>IF(COUNTIFS(T_TTAFStock_Log[Part Name],$A42,T_TTAFStock_Log[WeekIndex],87)=0,"",SUMIFS(T_TTAFStock_Log[TTAF_Qty],T_TTAFStock_Log[Part Name],$A42,T_TTAFStock_Log[WeekIndex],87))</f>
        <v/>
      </c>
      <c r="CK42" s="12">
        <f>IF(COUNTIFS(T_TTAFStock_Log[Part Name],$A42,T_TTAFStock_Log[WeekIndex],88)=0,"",SUMIFS(T_TTAFStock_Log[TTAF_Qty],T_TTAFStock_Log[Part Name],$A42,T_TTAFStock_Log[WeekIndex],88))</f>
        <v/>
      </c>
      <c r="CL42" s="12">
        <f>IF(COUNTIFS(T_TTAFStock_Log[Part Name],$A42,T_TTAFStock_Log[WeekIndex],89)=0,"",SUMIFS(T_TTAFStock_Log[TTAF_Qty],T_TTAFStock_Log[Part Name],$A42,T_TTAFStock_Log[WeekIndex],89))</f>
        <v/>
      </c>
      <c r="CM42" s="12">
        <f>IF(COUNTIFS(T_TTAFStock_Log[Part Name],$A42,T_TTAFStock_Log[WeekIndex],90)=0,"",SUMIFS(T_TTAFStock_Log[TTAF_Qty],T_TTAFStock_Log[Part Name],$A42,T_TTAFStock_Log[WeekIndex],90))</f>
        <v/>
      </c>
      <c r="CN42" s="12">
        <f>IF(COUNTIFS(T_TTAFStock_Log[Part Name],$A42,T_TTAFStock_Log[WeekIndex],91)=0,"",SUMIFS(T_TTAFStock_Log[TTAF_Qty],T_TTAFStock_Log[Part Name],$A42,T_TTAFStock_Log[WeekIndex],91))</f>
        <v/>
      </c>
      <c r="CO42" s="12">
        <f>IF(COUNTIFS(T_TTAFStock_Log[Part Name],$A42,T_TTAFStock_Log[WeekIndex],92)=0,"",SUMIFS(T_TTAFStock_Log[TTAF_Qty],T_TTAFStock_Log[Part Name],$A42,T_TTAFStock_Log[WeekIndex],92))</f>
        <v/>
      </c>
      <c r="CP42" s="12">
        <f>IF(COUNTIFS(T_TTAFStock_Log[Part Name],$A42,T_TTAFStock_Log[WeekIndex],93)=0,"",SUMIFS(T_TTAFStock_Log[TTAF_Qty],T_TTAFStock_Log[Part Name],$A42,T_TTAFStock_Log[WeekIndex],93))</f>
        <v/>
      </c>
      <c r="CQ42" s="12">
        <f>IF(COUNTIFS(T_TTAFStock_Log[Part Name],$A42,T_TTAFStock_Log[WeekIndex],94)=0,"",SUMIFS(T_TTAFStock_Log[TTAF_Qty],T_TTAFStock_Log[Part Name],$A42,T_TTAFStock_Log[WeekIndex],94))</f>
        <v/>
      </c>
      <c r="CR42" s="12">
        <f>IF(COUNTIFS(T_TTAFStock_Log[Part Name],$A42,T_TTAFStock_Log[WeekIndex],95)=0,"",SUMIFS(T_TTAFStock_Log[TTAF_Qty],T_TTAFStock_Log[Part Name],$A42,T_TTAFStock_Log[WeekIndex],95))</f>
        <v/>
      </c>
      <c r="CS42" s="12">
        <f>IF(COUNTIFS(T_TTAFStock_Log[Part Name],$A42,T_TTAFStock_Log[WeekIndex],96)=0,"",SUMIFS(T_TTAFStock_Log[TTAF_Qty],T_TTAFStock_Log[Part Name],$A42,T_TTAFStock_Log[WeekIndex],96))</f>
        <v/>
      </c>
      <c r="CT42" s="12">
        <f>IF(COUNTIFS(T_TTAFStock_Log[Part Name],$A42,T_TTAFStock_Log[WeekIndex],97)=0,"",SUMIFS(T_TTAFStock_Log[TTAF_Qty],T_TTAFStock_Log[Part Name],$A42,T_TTAFStock_Log[WeekIndex],97))</f>
        <v/>
      </c>
      <c r="CU42" s="12">
        <f>IF(COUNTIFS(T_TTAFStock_Log[Part Name],$A42,T_TTAFStock_Log[WeekIndex],98)=0,"",SUMIFS(T_TTAFStock_Log[TTAF_Qty],T_TTAFStock_Log[Part Name],$A42,T_TTAFStock_Log[WeekIndex],98))</f>
        <v/>
      </c>
      <c r="CV42" s="12">
        <f>IF(COUNTIFS(T_TTAFStock_Log[Part Name],$A42,T_TTAFStock_Log[WeekIndex],99)=0,"",SUMIFS(T_TTAFStock_Log[TTAF_Qty],T_TTAFStock_Log[Part Name],$A42,T_TTAFStock_Log[WeekIndex],99))</f>
        <v/>
      </c>
      <c r="CW42" s="12">
        <f>IF(COUNTIFS(T_TTAFStock_Log[Part Name],$A42,T_TTAFStock_Log[WeekIndex],100)=0,"",SUMIFS(T_TTAFStock_Log[TTAF_Qty],T_TTAFStock_Log[Part Name],$A42,T_TTAFStock_Log[WeekIndex],100))</f>
        <v/>
      </c>
      <c r="CX42" s="12">
        <f>IF(COUNTIFS(T_TTAFStock_Log[Part Name],$A42,T_TTAFStock_Log[WeekIndex],101)=0,"",SUMIFS(T_TTAFStock_Log[TTAF_Qty],T_TTAFStock_Log[Part Name],$A42,T_TTAFStock_Log[WeekIndex],101))</f>
        <v/>
      </c>
      <c r="CY42" s="12">
        <f>IF(COUNTIFS(T_TTAFStock_Log[Part Name],$A42,T_TTAFStock_Log[WeekIndex],102)=0,"",SUMIFS(T_TTAFStock_Log[TTAF_Qty],T_TTAFStock_Log[Part Name],$A42,T_TTAFStock_Log[WeekIndex],102))</f>
        <v/>
      </c>
      <c r="CZ42" s="12">
        <f>IF(COUNTIFS(T_TTAFStock_Log[Part Name],$A42,T_TTAFStock_Log[WeekIndex],103)=0,"",SUMIFS(T_TTAFStock_Log[TTAF_Qty],T_TTAFStock_Log[Part Name],$A42,T_TTAFStock_Log[WeekIndex],103))</f>
        <v/>
      </c>
      <c r="DA42" s="12">
        <f>IF(COUNTIFS(T_TTAFStock_Log[Part Name],$A42,T_TTAFStock_Log[WeekIndex],104)=0,"",SUMIFS(T_TTAFStock_Log[TTAF_Qty],T_TTAFStock_Log[Part Name],$A42,T_TTAFStock_Log[WeekIndex],104))</f>
        <v/>
      </c>
    </row>
    <row r="43">
      <c r="A43" s="13" t="inlineStr">
        <is>
          <t>PP Film</t>
        </is>
      </c>
      <c r="B43" s="13">
        <f>IF(COUNTIFS(T_TTAFStock_Log[Part Name],$A43,T_TTAFStock_Log[WeekIndex],1)=0,"",SUMIFS(T_TTAFStock_Log[TTAF_Qty],T_TTAFStock_Log[Part Name],$A43,T_TTAFStock_Log[WeekIndex],1))</f>
        <v/>
      </c>
      <c r="C43" s="13">
        <f>IF(COUNTIFS(T_TTAFStock_Log[Part Name],$A43,T_TTAFStock_Log[WeekIndex],2)=0,"",SUMIFS(T_TTAFStock_Log[TTAF_Qty],T_TTAFStock_Log[Part Name],$A43,T_TTAFStock_Log[WeekIndex],2))</f>
        <v/>
      </c>
      <c r="D43" s="13">
        <f>IF(COUNTIFS(T_TTAFStock_Log[Part Name],$A43,T_TTAFStock_Log[WeekIndex],3)=0,"",SUMIFS(T_TTAFStock_Log[TTAF_Qty],T_TTAFStock_Log[Part Name],$A43,T_TTAFStock_Log[WeekIndex],3))</f>
        <v/>
      </c>
      <c r="E43" s="13">
        <f>IF(COUNTIFS(T_TTAFStock_Log[Part Name],$A43,T_TTAFStock_Log[WeekIndex],4)=0,"",SUMIFS(T_TTAFStock_Log[TTAF_Qty],T_TTAFStock_Log[Part Name],$A43,T_TTAFStock_Log[WeekIndex],4))</f>
        <v/>
      </c>
      <c r="F43" s="13">
        <f>IF(COUNTIFS(T_TTAFStock_Log[Part Name],$A43,T_TTAFStock_Log[WeekIndex],5)=0,"",SUMIFS(T_TTAFStock_Log[TTAF_Qty],T_TTAFStock_Log[Part Name],$A43,T_TTAFStock_Log[WeekIndex],5))</f>
        <v/>
      </c>
      <c r="G43" s="13">
        <f>IF(COUNTIFS(T_TTAFStock_Log[Part Name],$A43,T_TTAFStock_Log[WeekIndex],6)=0,"",SUMIFS(T_TTAFStock_Log[TTAF_Qty],T_TTAFStock_Log[Part Name],$A43,T_TTAFStock_Log[WeekIndex],6))</f>
        <v/>
      </c>
      <c r="H43" s="13">
        <f>IF(COUNTIFS(T_TTAFStock_Log[Part Name],$A43,T_TTAFStock_Log[WeekIndex],7)=0,"",SUMIFS(T_TTAFStock_Log[TTAF_Qty],T_TTAFStock_Log[Part Name],$A43,T_TTAFStock_Log[WeekIndex],7))</f>
        <v/>
      </c>
      <c r="I43" s="13">
        <f>IF(COUNTIFS(T_TTAFStock_Log[Part Name],$A43,T_TTAFStock_Log[WeekIndex],8)=0,"",SUMIFS(T_TTAFStock_Log[TTAF_Qty],T_TTAFStock_Log[Part Name],$A43,T_TTAFStock_Log[WeekIndex],8))</f>
        <v/>
      </c>
      <c r="J43" s="13">
        <f>IF(COUNTIFS(T_TTAFStock_Log[Part Name],$A43,T_TTAFStock_Log[WeekIndex],9)=0,"",SUMIFS(T_TTAFStock_Log[TTAF_Qty],T_TTAFStock_Log[Part Name],$A43,T_TTAFStock_Log[WeekIndex],9))</f>
        <v/>
      </c>
      <c r="K43" s="13">
        <f>IF(COUNTIFS(T_TTAFStock_Log[Part Name],$A43,T_TTAFStock_Log[WeekIndex],10)=0,"",SUMIFS(T_TTAFStock_Log[TTAF_Qty],T_TTAFStock_Log[Part Name],$A43,T_TTAFStock_Log[WeekIndex],10))</f>
        <v/>
      </c>
      <c r="L43" s="13">
        <f>IF(COUNTIFS(T_TTAFStock_Log[Part Name],$A43,T_TTAFStock_Log[WeekIndex],11)=0,"",SUMIFS(T_TTAFStock_Log[TTAF_Qty],T_TTAFStock_Log[Part Name],$A43,T_TTAFStock_Log[WeekIndex],11))</f>
        <v/>
      </c>
      <c r="M43" s="13">
        <f>IF(COUNTIFS(T_TTAFStock_Log[Part Name],$A43,T_TTAFStock_Log[WeekIndex],12)=0,"",SUMIFS(T_TTAFStock_Log[TTAF_Qty],T_TTAFStock_Log[Part Name],$A43,T_TTAFStock_Log[WeekIndex],12))</f>
        <v/>
      </c>
      <c r="N43" s="13">
        <f>IF(COUNTIFS(T_TTAFStock_Log[Part Name],$A43,T_TTAFStock_Log[WeekIndex],13)=0,"",SUMIFS(T_TTAFStock_Log[TTAF_Qty],T_TTAFStock_Log[Part Name],$A43,T_TTAFStock_Log[WeekIndex],13))</f>
        <v/>
      </c>
      <c r="O43" s="13">
        <f>IF(COUNTIFS(T_TTAFStock_Log[Part Name],$A43,T_TTAFStock_Log[WeekIndex],14)=0,"",SUMIFS(T_TTAFStock_Log[TTAF_Qty],T_TTAFStock_Log[Part Name],$A43,T_TTAFStock_Log[WeekIndex],14))</f>
        <v/>
      </c>
      <c r="P43" s="13">
        <f>IF(COUNTIFS(T_TTAFStock_Log[Part Name],$A43,T_TTAFStock_Log[WeekIndex],15)=0,"",SUMIFS(T_TTAFStock_Log[TTAF_Qty],T_TTAFStock_Log[Part Name],$A43,T_TTAFStock_Log[WeekIndex],15))</f>
        <v/>
      </c>
      <c r="Q43" s="13">
        <f>IF(COUNTIFS(T_TTAFStock_Log[Part Name],$A43,T_TTAFStock_Log[WeekIndex],16)=0,"",SUMIFS(T_TTAFStock_Log[TTAF_Qty],T_TTAFStock_Log[Part Name],$A43,T_TTAFStock_Log[WeekIndex],16))</f>
        <v/>
      </c>
      <c r="R43" s="13">
        <f>IF(COUNTIFS(T_TTAFStock_Log[Part Name],$A43,T_TTAFStock_Log[WeekIndex],17)=0,"",SUMIFS(T_TTAFStock_Log[TTAF_Qty],T_TTAFStock_Log[Part Name],$A43,T_TTAFStock_Log[WeekIndex],17))</f>
        <v/>
      </c>
      <c r="S43" s="13">
        <f>IF(COUNTIFS(T_TTAFStock_Log[Part Name],$A43,T_TTAFStock_Log[WeekIndex],18)=0,"",SUMIFS(T_TTAFStock_Log[TTAF_Qty],T_TTAFStock_Log[Part Name],$A43,T_TTAFStock_Log[WeekIndex],18))</f>
        <v/>
      </c>
      <c r="T43" s="13">
        <f>IF(COUNTIFS(T_TTAFStock_Log[Part Name],$A43,T_TTAFStock_Log[WeekIndex],19)=0,"",SUMIFS(T_TTAFStock_Log[TTAF_Qty],T_TTAFStock_Log[Part Name],$A43,T_TTAFStock_Log[WeekIndex],19))</f>
        <v/>
      </c>
      <c r="U43" s="13">
        <f>IF(COUNTIFS(T_TTAFStock_Log[Part Name],$A43,T_TTAFStock_Log[WeekIndex],20)=0,"",SUMIFS(T_TTAFStock_Log[TTAF_Qty],T_TTAFStock_Log[Part Name],$A43,T_TTAFStock_Log[WeekIndex],20))</f>
        <v/>
      </c>
      <c r="V43" s="13">
        <f>IF(COUNTIFS(T_TTAFStock_Log[Part Name],$A43,T_TTAFStock_Log[WeekIndex],21)=0,"",SUMIFS(T_TTAFStock_Log[TTAF_Qty],T_TTAFStock_Log[Part Name],$A43,T_TTAFStock_Log[WeekIndex],21))</f>
        <v/>
      </c>
      <c r="W43" s="13">
        <f>IF(COUNTIFS(T_TTAFStock_Log[Part Name],$A43,T_TTAFStock_Log[WeekIndex],22)=0,"",SUMIFS(T_TTAFStock_Log[TTAF_Qty],T_TTAFStock_Log[Part Name],$A43,T_TTAFStock_Log[WeekIndex],22))</f>
        <v/>
      </c>
      <c r="X43" s="13">
        <f>IF(COUNTIFS(T_TTAFStock_Log[Part Name],$A43,T_TTAFStock_Log[WeekIndex],23)=0,"",SUMIFS(T_TTAFStock_Log[TTAF_Qty],T_TTAFStock_Log[Part Name],$A43,T_TTAFStock_Log[WeekIndex],23))</f>
        <v/>
      </c>
      <c r="Y43" s="13">
        <f>IF(COUNTIFS(T_TTAFStock_Log[Part Name],$A43,T_TTAFStock_Log[WeekIndex],24)=0,"",SUMIFS(T_TTAFStock_Log[TTAF_Qty],T_TTAFStock_Log[Part Name],$A43,T_TTAFStock_Log[WeekIndex],24))</f>
        <v/>
      </c>
      <c r="Z43" s="13">
        <f>IF(COUNTIFS(T_TTAFStock_Log[Part Name],$A43,T_TTAFStock_Log[WeekIndex],25)=0,"",SUMIFS(T_TTAFStock_Log[TTAF_Qty],T_TTAFStock_Log[Part Name],$A43,T_TTAFStock_Log[WeekIndex],25))</f>
        <v/>
      </c>
      <c r="AA43" s="13">
        <f>IF(COUNTIFS(T_TTAFStock_Log[Part Name],$A43,T_TTAFStock_Log[WeekIndex],26)=0,"",SUMIFS(T_TTAFStock_Log[TTAF_Qty],T_TTAFStock_Log[Part Name],$A43,T_TTAFStock_Log[WeekIndex],26))</f>
        <v/>
      </c>
      <c r="AB43" s="13">
        <f>IF(COUNTIFS(T_TTAFStock_Log[Part Name],$A43,T_TTAFStock_Log[WeekIndex],27)=0,"",SUMIFS(T_TTAFStock_Log[TTAF_Qty],T_TTAFStock_Log[Part Name],$A43,T_TTAFStock_Log[WeekIndex],27))</f>
        <v/>
      </c>
      <c r="AC43" s="13">
        <f>IF(COUNTIFS(T_TTAFStock_Log[Part Name],$A43,T_TTAFStock_Log[WeekIndex],28)=0,"",SUMIFS(T_TTAFStock_Log[TTAF_Qty],T_TTAFStock_Log[Part Name],$A43,T_TTAFStock_Log[WeekIndex],28))</f>
        <v/>
      </c>
      <c r="AD43" s="13">
        <f>IF(COUNTIFS(T_TTAFStock_Log[Part Name],$A43,T_TTAFStock_Log[WeekIndex],29)=0,"",SUMIFS(T_TTAFStock_Log[TTAF_Qty],T_TTAFStock_Log[Part Name],$A43,T_TTAFStock_Log[WeekIndex],29))</f>
        <v/>
      </c>
      <c r="AE43" s="13">
        <f>IF(COUNTIFS(T_TTAFStock_Log[Part Name],$A43,T_TTAFStock_Log[WeekIndex],30)=0,"",SUMIFS(T_TTAFStock_Log[TTAF_Qty],T_TTAFStock_Log[Part Name],$A43,T_TTAFStock_Log[WeekIndex],30))</f>
        <v/>
      </c>
      <c r="AF43" s="13">
        <f>IF(COUNTIFS(T_TTAFStock_Log[Part Name],$A43,T_TTAFStock_Log[WeekIndex],31)=0,"",SUMIFS(T_TTAFStock_Log[TTAF_Qty],T_TTAFStock_Log[Part Name],$A43,T_TTAFStock_Log[WeekIndex],31))</f>
        <v/>
      </c>
      <c r="AG43" s="13">
        <f>IF(COUNTIFS(T_TTAFStock_Log[Part Name],$A43,T_TTAFStock_Log[WeekIndex],32)=0,"",SUMIFS(T_TTAFStock_Log[TTAF_Qty],T_TTAFStock_Log[Part Name],$A43,T_TTAFStock_Log[WeekIndex],32))</f>
        <v/>
      </c>
      <c r="AH43" s="13">
        <f>IF(COUNTIFS(T_TTAFStock_Log[Part Name],$A43,T_TTAFStock_Log[WeekIndex],33)=0,"",SUMIFS(T_TTAFStock_Log[TTAF_Qty],T_TTAFStock_Log[Part Name],$A43,T_TTAFStock_Log[WeekIndex],33))</f>
        <v/>
      </c>
      <c r="AI43" s="13">
        <f>IF(COUNTIFS(T_TTAFStock_Log[Part Name],$A43,T_TTAFStock_Log[WeekIndex],34)=0,"",SUMIFS(T_TTAFStock_Log[TTAF_Qty],T_TTAFStock_Log[Part Name],$A43,T_TTAFStock_Log[WeekIndex],34))</f>
        <v/>
      </c>
      <c r="AJ43" s="13">
        <f>IF(COUNTIFS(T_TTAFStock_Log[Part Name],$A43,T_TTAFStock_Log[WeekIndex],35)=0,"",SUMIFS(T_TTAFStock_Log[TTAF_Qty],T_TTAFStock_Log[Part Name],$A43,T_TTAFStock_Log[WeekIndex],35))</f>
        <v/>
      </c>
      <c r="AK43" s="13">
        <f>IF(COUNTIFS(T_TTAFStock_Log[Part Name],$A43,T_TTAFStock_Log[WeekIndex],36)=0,"",SUMIFS(T_TTAFStock_Log[TTAF_Qty],T_TTAFStock_Log[Part Name],$A43,T_TTAFStock_Log[WeekIndex],36))</f>
        <v/>
      </c>
      <c r="AL43" s="13">
        <f>IF(COUNTIFS(T_TTAFStock_Log[Part Name],$A43,T_TTAFStock_Log[WeekIndex],37)=0,"",SUMIFS(T_TTAFStock_Log[TTAF_Qty],T_TTAFStock_Log[Part Name],$A43,T_TTAFStock_Log[WeekIndex],37))</f>
        <v/>
      </c>
      <c r="AM43" s="13">
        <f>IF(COUNTIFS(T_TTAFStock_Log[Part Name],$A43,T_TTAFStock_Log[WeekIndex],38)=0,"",SUMIFS(T_TTAFStock_Log[TTAF_Qty],T_TTAFStock_Log[Part Name],$A43,T_TTAFStock_Log[WeekIndex],38))</f>
        <v/>
      </c>
      <c r="AN43" s="13">
        <f>IF(COUNTIFS(T_TTAFStock_Log[Part Name],$A43,T_TTAFStock_Log[WeekIndex],39)=0,"",SUMIFS(T_TTAFStock_Log[TTAF_Qty],T_TTAFStock_Log[Part Name],$A43,T_TTAFStock_Log[WeekIndex],39))</f>
        <v/>
      </c>
      <c r="AO43" s="13">
        <f>IF(COUNTIFS(T_TTAFStock_Log[Part Name],$A43,T_TTAFStock_Log[WeekIndex],40)=0,"",SUMIFS(T_TTAFStock_Log[TTAF_Qty],T_TTAFStock_Log[Part Name],$A43,T_TTAFStock_Log[WeekIndex],40))</f>
        <v/>
      </c>
      <c r="AP43" s="13">
        <f>IF(COUNTIFS(T_TTAFStock_Log[Part Name],$A43,T_TTAFStock_Log[WeekIndex],41)=0,"",SUMIFS(T_TTAFStock_Log[TTAF_Qty],T_TTAFStock_Log[Part Name],$A43,T_TTAFStock_Log[WeekIndex],41))</f>
        <v/>
      </c>
      <c r="AQ43" s="13">
        <f>IF(COUNTIFS(T_TTAFStock_Log[Part Name],$A43,T_TTAFStock_Log[WeekIndex],42)=0,"",SUMIFS(T_TTAFStock_Log[TTAF_Qty],T_TTAFStock_Log[Part Name],$A43,T_TTAFStock_Log[WeekIndex],42))</f>
        <v/>
      </c>
      <c r="AR43" s="13">
        <f>IF(COUNTIFS(T_TTAFStock_Log[Part Name],$A43,T_TTAFStock_Log[WeekIndex],43)=0,"",SUMIFS(T_TTAFStock_Log[TTAF_Qty],T_TTAFStock_Log[Part Name],$A43,T_TTAFStock_Log[WeekIndex],43))</f>
        <v/>
      </c>
      <c r="AS43" s="13">
        <f>IF(COUNTIFS(T_TTAFStock_Log[Part Name],$A43,T_TTAFStock_Log[WeekIndex],44)=0,"",SUMIFS(T_TTAFStock_Log[TTAF_Qty],T_TTAFStock_Log[Part Name],$A43,T_TTAFStock_Log[WeekIndex],44))</f>
        <v/>
      </c>
      <c r="AT43" s="13">
        <f>IF(COUNTIFS(T_TTAFStock_Log[Part Name],$A43,T_TTAFStock_Log[WeekIndex],45)=0,"",SUMIFS(T_TTAFStock_Log[TTAF_Qty],T_TTAFStock_Log[Part Name],$A43,T_TTAFStock_Log[WeekIndex],45))</f>
        <v/>
      </c>
      <c r="AU43" s="13">
        <f>IF(COUNTIFS(T_TTAFStock_Log[Part Name],$A43,T_TTAFStock_Log[WeekIndex],46)=0,"",SUMIFS(T_TTAFStock_Log[TTAF_Qty],T_TTAFStock_Log[Part Name],$A43,T_TTAFStock_Log[WeekIndex],46))</f>
        <v/>
      </c>
      <c r="AV43" s="13">
        <f>IF(COUNTIFS(T_TTAFStock_Log[Part Name],$A43,T_TTAFStock_Log[WeekIndex],47)=0,"",SUMIFS(T_TTAFStock_Log[TTAF_Qty],T_TTAFStock_Log[Part Name],$A43,T_TTAFStock_Log[WeekIndex],47))</f>
        <v/>
      </c>
      <c r="AW43" s="13">
        <f>IF(COUNTIFS(T_TTAFStock_Log[Part Name],$A43,T_TTAFStock_Log[WeekIndex],48)=0,"",SUMIFS(T_TTAFStock_Log[TTAF_Qty],T_TTAFStock_Log[Part Name],$A43,T_TTAFStock_Log[WeekIndex],48))</f>
        <v/>
      </c>
      <c r="AX43" s="13">
        <f>IF(COUNTIFS(T_TTAFStock_Log[Part Name],$A43,T_TTAFStock_Log[WeekIndex],49)=0,"",SUMIFS(T_TTAFStock_Log[TTAF_Qty],T_TTAFStock_Log[Part Name],$A43,T_TTAFStock_Log[WeekIndex],49))</f>
        <v/>
      </c>
      <c r="AY43" s="13">
        <f>IF(COUNTIFS(T_TTAFStock_Log[Part Name],$A43,T_TTAFStock_Log[WeekIndex],50)=0,"",SUMIFS(T_TTAFStock_Log[TTAF_Qty],T_TTAFStock_Log[Part Name],$A43,T_TTAFStock_Log[WeekIndex],50))</f>
        <v/>
      </c>
      <c r="AZ43" s="13">
        <f>IF(COUNTIFS(T_TTAFStock_Log[Part Name],$A43,T_TTAFStock_Log[WeekIndex],51)=0,"",SUMIFS(T_TTAFStock_Log[TTAF_Qty],T_TTAFStock_Log[Part Name],$A43,T_TTAFStock_Log[WeekIndex],51))</f>
        <v/>
      </c>
      <c r="BA43" s="13">
        <f>IF(COUNTIFS(T_TTAFStock_Log[Part Name],$A43,T_TTAFStock_Log[WeekIndex],52)=0,"",SUMIFS(T_TTAFStock_Log[TTAF_Qty],T_TTAFStock_Log[Part Name],$A43,T_TTAFStock_Log[WeekIndex],52))</f>
        <v/>
      </c>
      <c r="BB43" s="13">
        <f>IF(COUNTIFS(T_TTAFStock_Log[Part Name],$A43,T_TTAFStock_Log[WeekIndex],53)=0,"",SUMIFS(T_TTAFStock_Log[TTAF_Qty],T_TTAFStock_Log[Part Name],$A43,T_TTAFStock_Log[WeekIndex],53))</f>
        <v/>
      </c>
      <c r="BC43" s="13">
        <f>IF(COUNTIFS(T_TTAFStock_Log[Part Name],$A43,T_TTAFStock_Log[WeekIndex],54)=0,"",SUMIFS(T_TTAFStock_Log[TTAF_Qty],T_TTAFStock_Log[Part Name],$A43,T_TTAFStock_Log[WeekIndex],54))</f>
        <v/>
      </c>
      <c r="BD43" s="13">
        <f>IF(COUNTIFS(T_TTAFStock_Log[Part Name],$A43,T_TTAFStock_Log[WeekIndex],55)=0,"",SUMIFS(T_TTAFStock_Log[TTAF_Qty],T_TTAFStock_Log[Part Name],$A43,T_TTAFStock_Log[WeekIndex],55))</f>
        <v/>
      </c>
      <c r="BE43" s="13">
        <f>IF(COUNTIFS(T_TTAFStock_Log[Part Name],$A43,T_TTAFStock_Log[WeekIndex],56)=0,"",SUMIFS(T_TTAFStock_Log[TTAF_Qty],T_TTAFStock_Log[Part Name],$A43,T_TTAFStock_Log[WeekIndex],56))</f>
        <v/>
      </c>
      <c r="BF43" s="13">
        <f>IF(COUNTIFS(T_TTAFStock_Log[Part Name],$A43,T_TTAFStock_Log[WeekIndex],57)=0,"",SUMIFS(T_TTAFStock_Log[TTAF_Qty],T_TTAFStock_Log[Part Name],$A43,T_TTAFStock_Log[WeekIndex],57))</f>
        <v/>
      </c>
      <c r="BG43" s="13">
        <f>IF(COUNTIFS(T_TTAFStock_Log[Part Name],$A43,T_TTAFStock_Log[WeekIndex],58)=0,"",SUMIFS(T_TTAFStock_Log[TTAF_Qty],T_TTAFStock_Log[Part Name],$A43,T_TTAFStock_Log[WeekIndex],58))</f>
        <v/>
      </c>
      <c r="BH43" s="13">
        <f>IF(COUNTIFS(T_TTAFStock_Log[Part Name],$A43,T_TTAFStock_Log[WeekIndex],59)=0,"",SUMIFS(T_TTAFStock_Log[TTAF_Qty],T_TTAFStock_Log[Part Name],$A43,T_TTAFStock_Log[WeekIndex],59))</f>
        <v/>
      </c>
      <c r="BI43" s="13">
        <f>IF(COUNTIFS(T_TTAFStock_Log[Part Name],$A43,T_TTAFStock_Log[WeekIndex],60)=0,"",SUMIFS(T_TTAFStock_Log[TTAF_Qty],T_TTAFStock_Log[Part Name],$A43,T_TTAFStock_Log[WeekIndex],60))</f>
        <v/>
      </c>
      <c r="BJ43" s="13">
        <f>IF(COUNTIFS(T_TTAFStock_Log[Part Name],$A43,T_TTAFStock_Log[WeekIndex],61)=0,"",SUMIFS(T_TTAFStock_Log[TTAF_Qty],T_TTAFStock_Log[Part Name],$A43,T_TTAFStock_Log[WeekIndex],61))</f>
        <v/>
      </c>
      <c r="BK43" s="13">
        <f>IF(COUNTIFS(T_TTAFStock_Log[Part Name],$A43,T_TTAFStock_Log[WeekIndex],62)=0,"",SUMIFS(T_TTAFStock_Log[TTAF_Qty],T_TTAFStock_Log[Part Name],$A43,T_TTAFStock_Log[WeekIndex],62))</f>
        <v/>
      </c>
      <c r="BL43" s="13">
        <f>IF(COUNTIFS(T_TTAFStock_Log[Part Name],$A43,T_TTAFStock_Log[WeekIndex],63)=0,"",SUMIFS(T_TTAFStock_Log[TTAF_Qty],T_TTAFStock_Log[Part Name],$A43,T_TTAFStock_Log[WeekIndex],63))</f>
        <v/>
      </c>
      <c r="BM43" s="13">
        <f>IF(COUNTIFS(T_TTAFStock_Log[Part Name],$A43,T_TTAFStock_Log[WeekIndex],64)=0,"",SUMIFS(T_TTAFStock_Log[TTAF_Qty],T_TTAFStock_Log[Part Name],$A43,T_TTAFStock_Log[WeekIndex],64))</f>
        <v/>
      </c>
      <c r="BN43" s="13">
        <f>IF(COUNTIFS(T_TTAFStock_Log[Part Name],$A43,T_TTAFStock_Log[WeekIndex],65)=0,"",SUMIFS(T_TTAFStock_Log[TTAF_Qty],T_TTAFStock_Log[Part Name],$A43,T_TTAFStock_Log[WeekIndex],65))</f>
        <v/>
      </c>
      <c r="BO43" s="13">
        <f>IF(COUNTIFS(T_TTAFStock_Log[Part Name],$A43,T_TTAFStock_Log[WeekIndex],66)=0,"",SUMIFS(T_TTAFStock_Log[TTAF_Qty],T_TTAFStock_Log[Part Name],$A43,T_TTAFStock_Log[WeekIndex],66))</f>
        <v/>
      </c>
      <c r="BP43" s="13">
        <f>IF(COUNTIFS(T_TTAFStock_Log[Part Name],$A43,T_TTAFStock_Log[WeekIndex],67)=0,"",SUMIFS(T_TTAFStock_Log[TTAF_Qty],T_TTAFStock_Log[Part Name],$A43,T_TTAFStock_Log[WeekIndex],67))</f>
        <v/>
      </c>
      <c r="BQ43" s="13">
        <f>IF(COUNTIFS(T_TTAFStock_Log[Part Name],$A43,T_TTAFStock_Log[WeekIndex],68)=0,"",SUMIFS(T_TTAFStock_Log[TTAF_Qty],T_TTAFStock_Log[Part Name],$A43,T_TTAFStock_Log[WeekIndex],68))</f>
        <v/>
      </c>
      <c r="BR43" s="13">
        <f>IF(COUNTIFS(T_TTAFStock_Log[Part Name],$A43,T_TTAFStock_Log[WeekIndex],69)=0,"",SUMIFS(T_TTAFStock_Log[TTAF_Qty],T_TTAFStock_Log[Part Name],$A43,T_TTAFStock_Log[WeekIndex],69))</f>
        <v/>
      </c>
      <c r="BS43" s="13">
        <f>IF(COUNTIFS(T_TTAFStock_Log[Part Name],$A43,T_TTAFStock_Log[WeekIndex],70)=0,"",SUMIFS(T_TTAFStock_Log[TTAF_Qty],T_TTAFStock_Log[Part Name],$A43,T_TTAFStock_Log[WeekIndex],70))</f>
        <v/>
      </c>
      <c r="BT43" s="13">
        <f>IF(COUNTIFS(T_TTAFStock_Log[Part Name],$A43,T_TTAFStock_Log[WeekIndex],71)=0,"",SUMIFS(T_TTAFStock_Log[TTAF_Qty],T_TTAFStock_Log[Part Name],$A43,T_TTAFStock_Log[WeekIndex],71))</f>
        <v/>
      </c>
      <c r="BU43" s="13">
        <f>IF(COUNTIFS(T_TTAFStock_Log[Part Name],$A43,T_TTAFStock_Log[WeekIndex],72)=0,"",SUMIFS(T_TTAFStock_Log[TTAF_Qty],T_TTAFStock_Log[Part Name],$A43,T_TTAFStock_Log[WeekIndex],72))</f>
        <v/>
      </c>
      <c r="BV43" s="13">
        <f>IF(COUNTIFS(T_TTAFStock_Log[Part Name],$A43,T_TTAFStock_Log[WeekIndex],73)=0,"",SUMIFS(T_TTAFStock_Log[TTAF_Qty],T_TTAFStock_Log[Part Name],$A43,T_TTAFStock_Log[WeekIndex],73))</f>
        <v/>
      </c>
      <c r="BW43" s="13">
        <f>IF(COUNTIFS(T_TTAFStock_Log[Part Name],$A43,T_TTAFStock_Log[WeekIndex],74)=0,"",SUMIFS(T_TTAFStock_Log[TTAF_Qty],T_TTAFStock_Log[Part Name],$A43,T_TTAFStock_Log[WeekIndex],74))</f>
        <v/>
      </c>
      <c r="BX43" s="13">
        <f>IF(COUNTIFS(T_TTAFStock_Log[Part Name],$A43,T_TTAFStock_Log[WeekIndex],75)=0,"",SUMIFS(T_TTAFStock_Log[TTAF_Qty],T_TTAFStock_Log[Part Name],$A43,T_TTAFStock_Log[WeekIndex],75))</f>
        <v/>
      </c>
      <c r="BY43" s="13">
        <f>IF(COUNTIFS(T_TTAFStock_Log[Part Name],$A43,T_TTAFStock_Log[WeekIndex],76)=0,"",SUMIFS(T_TTAFStock_Log[TTAF_Qty],T_TTAFStock_Log[Part Name],$A43,T_TTAFStock_Log[WeekIndex],76))</f>
        <v/>
      </c>
      <c r="BZ43" s="13">
        <f>IF(COUNTIFS(T_TTAFStock_Log[Part Name],$A43,T_TTAFStock_Log[WeekIndex],77)=0,"",SUMIFS(T_TTAFStock_Log[TTAF_Qty],T_TTAFStock_Log[Part Name],$A43,T_TTAFStock_Log[WeekIndex],77))</f>
        <v/>
      </c>
      <c r="CA43" s="13">
        <f>IF(COUNTIFS(T_TTAFStock_Log[Part Name],$A43,T_TTAFStock_Log[WeekIndex],78)=0,"",SUMIFS(T_TTAFStock_Log[TTAF_Qty],T_TTAFStock_Log[Part Name],$A43,T_TTAFStock_Log[WeekIndex],78))</f>
        <v/>
      </c>
      <c r="CB43" s="13">
        <f>IF(COUNTIFS(T_TTAFStock_Log[Part Name],$A43,T_TTAFStock_Log[WeekIndex],79)=0,"",SUMIFS(T_TTAFStock_Log[TTAF_Qty],T_TTAFStock_Log[Part Name],$A43,T_TTAFStock_Log[WeekIndex],79))</f>
        <v/>
      </c>
      <c r="CC43" s="13">
        <f>IF(COUNTIFS(T_TTAFStock_Log[Part Name],$A43,T_TTAFStock_Log[WeekIndex],80)=0,"",SUMIFS(T_TTAFStock_Log[TTAF_Qty],T_TTAFStock_Log[Part Name],$A43,T_TTAFStock_Log[WeekIndex],80))</f>
        <v/>
      </c>
      <c r="CD43" s="13">
        <f>IF(COUNTIFS(T_TTAFStock_Log[Part Name],$A43,T_TTAFStock_Log[WeekIndex],81)=0,"",SUMIFS(T_TTAFStock_Log[TTAF_Qty],T_TTAFStock_Log[Part Name],$A43,T_TTAFStock_Log[WeekIndex],81))</f>
        <v/>
      </c>
      <c r="CE43" s="13">
        <f>IF(COUNTIFS(T_TTAFStock_Log[Part Name],$A43,T_TTAFStock_Log[WeekIndex],82)=0,"",SUMIFS(T_TTAFStock_Log[TTAF_Qty],T_TTAFStock_Log[Part Name],$A43,T_TTAFStock_Log[WeekIndex],82))</f>
        <v/>
      </c>
      <c r="CF43" s="13">
        <f>IF(COUNTIFS(T_TTAFStock_Log[Part Name],$A43,T_TTAFStock_Log[WeekIndex],83)=0,"",SUMIFS(T_TTAFStock_Log[TTAF_Qty],T_TTAFStock_Log[Part Name],$A43,T_TTAFStock_Log[WeekIndex],83))</f>
        <v/>
      </c>
      <c r="CG43" s="13">
        <f>IF(COUNTIFS(T_TTAFStock_Log[Part Name],$A43,T_TTAFStock_Log[WeekIndex],84)=0,"",SUMIFS(T_TTAFStock_Log[TTAF_Qty],T_TTAFStock_Log[Part Name],$A43,T_TTAFStock_Log[WeekIndex],84))</f>
        <v/>
      </c>
      <c r="CH43" s="13">
        <f>IF(COUNTIFS(T_TTAFStock_Log[Part Name],$A43,T_TTAFStock_Log[WeekIndex],85)=0,"",SUMIFS(T_TTAFStock_Log[TTAF_Qty],T_TTAFStock_Log[Part Name],$A43,T_TTAFStock_Log[WeekIndex],85))</f>
        <v/>
      </c>
      <c r="CI43" s="13">
        <f>IF(COUNTIFS(T_TTAFStock_Log[Part Name],$A43,T_TTAFStock_Log[WeekIndex],86)=0,"",SUMIFS(T_TTAFStock_Log[TTAF_Qty],T_TTAFStock_Log[Part Name],$A43,T_TTAFStock_Log[WeekIndex],86))</f>
        <v/>
      </c>
      <c r="CJ43" s="13">
        <f>IF(COUNTIFS(T_TTAFStock_Log[Part Name],$A43,T_TTAFStock_Log[WeekIndex],87)=0,"",SUMIFS(T_TTAFStock_Log[TTAF_Qty],T_TTAFStock_Log[Part Name],$A43,T_TTAFStock_Log[WeekIndex],87))</f>
        <v/>
      </c>
      <c r="CK43" s="13">
        <f>IF(COUNTIFS(T_TTAFStock_Log[Part Name],$A43,T_TTAFStock_Log[WeekIndex],88)=0,"",SUMIFS(T_TTAFStock_Log[TTAF_Qty],T_TTAFStock_Log[Part Name],$A43,T_TTAFStock_Log[WeekIndex],88))</f>
        <v/>
      </c>
      <c r="CL43" s="13">
        <f>IF(COUNTIFS(T_TTAFStock_Log[Part Name],$A43,T_TTAFStock_Log[WeekIndex],89)=0,"",SUMIFS(T_TTAFStock_Log[TTAF_Qty],T_TTAFStock_Log[Part Name],$A43,T_TTAFStock_Log[WeekIndex],89))</f>
        <v/>
      </c>
      <c r="CM43" s="13">
        <f>IF(COUNTIFS(T_TTAFStock_Log[Part Name],$A43,T_TTAFStock_Log[WeekIndex],90)=0,"",SUMIFS(T_TTAFStock_Log[TTAF_Qty],T_TTAFStock_Log[Part Name],$A43,T_TTAFStock_Log[WeekIndex],90))</f>
        <v/>
      </c>
      <c r="CN43" s="13">
        <f>IF(COUNTIFS(T_TTAFStock_Log[Part Name],$A43,T_TTAFStock_Log[WeekIndex],91)=0,"",SUMIFS(T_TTAFStock_Log[TTAF_Qty],T_TTAFStock_Log[Part Name],$A43,T_TTAFStock_Log[WeekIndex],91))</f>
        <v/>
      </c>
      <c r="CO43" s="13">
        <f>IF(COUNTIFS(T_TTAFStock_Log[Part Name],$A43,T_TTAFStock_Log[WeekIndex],92)=0,"",SUMIFS(T_TTAFStock_Log[TTAF_Qty],T_TTAFStock_Log[Part Name],$A43,T_TTAFStock_Log[WeekIndex],92))</f>
        <v/>
      </c>
      <c r="CP43" s="13">
        <f>IF(COUNTIFS(T_TTAFStock_Log[Part Name],$A43,T_TTAFStock_Log[WeekIndex],93)=0,"",SUMIFS(T_TTAFStock_Log[TTAF_Qty],T_TTAFStock_Log[Part Name],$A43,T_TTAFStock_Log[WeekIndex],93))</f>
        <v/>
      </c>
      <c r="CQ43" s="13">
        <f>IF(COUNTIFS(T_TTAFStock_Log[Part Name],$A43,T_TTAFStock_Log[WeekIndex],94)=0,"",SUMIFS(T_TTAFStock_Log[TTAF_Qty],T_TTAFStock_Log[Part Name],$A43,T_TTAFStock_Log[WeekIndex],94))</f>
        <v/>
      </c>
      <c r="CR43" s="13">
        <f>IF(COUNTIFS(T_TTAFStock_Log[Part Name],$A43,T_TTAFStock_Log[WeekIndex],95)=0,"",SUMIFS(T_TTAFStock_Log[TTAF_Qty],T_TTAFStock_Log[Part Name],$A43,T_TTAFStock_Log[WeekIndex],95))</f>
        <v/>
      </c>
      <c r="CS43" s="13">
        <f>IF(COUNTIFS(T_TTAFStock_Log[Part Name],$A43,T_TTAFStock_Log[WeekIndex],96)=0,"",SUMIFS(T_TTAFStock_Log[TTAF_Qty],T_TTAFStock_Log[Part Name],$A43,T_TTAFStock_Log[WeekIndex],96))</f>
        <v/>
      </c>
      <c r="CT43" s="13">
        <f>IF(COUNTIFS(T_TTAFStock_Log[Part Name],$A43,T_TTAFStock_Log[WeekIndex],97)=0,"",SUMIFS(T_TTAFStock_Log[TTAF_Qty],T_TTAFStock_Log[Part Name],$A43,T_TTAFStock_Log[WeekIndex],97))</f>
        <v/>
      </c>
      <c r="CU43" s="13">
        <f>IF(COUNTIFS(T_TTAFStock_Log[Part Name],$A43,T_TTAFStock_Log[WeekIndex],98)=0,"",SUMIFS(T_TTAFStock_Log[TTAF_Qty],T_TTAFStock_Log[Part Name],$A43,T_TTAFStock_Log[WeekIndex],98))</f>
        <v/>
      </c>
      <c r="CV43" s="13">
        <f>IF(COUNTIFS(T_TTAFStock_Log[Part Name],$A43,T_TTAFStock_Log[WeekIndex],99)=0,"",SUMIFS(T_TTAFStock_Log[TTAF_Qty],T_TTAFStock_Log[Part Name],$A43,T_TTAFStock_Log[WeekIndex],99))</f>
        <v/>
      </c>
      <c r="CW43" s="13">
        <f>IF(COUNTIFS(T_TTAFStock_Log[Part Name],$A43,T_TTAFStock_Log[WeekIndex],100)=0,"",SUMIFS(T_TTAFStock_Log[TTAF_Qty],T_TTAFStock_Log[Part Name],$A43,T_TTAFStock_Log[WeekIndex],100))</f>
        <v/>
      </c>
      <c r="CX43" s="13">
        <f>IF(COUNTIFS(T_TTAFStock_Log[Part Name],$A43,T_TTAFStock_Log[WeekIndex],101)=0,"",SUMIFS(T_TTAFStock_Log[TTAF_Qty],T_TTAFStock_Log[Part Name],$A43,T_TTAFStock_Log[WeekIndex],101))</f>
        <v/>
      </c>
      <c r="CY43" s="13">
        <f>IF(COUNTIFS(T_TTAFStock_Log[Part Name],$A43,T_TTAFStock_Log[WeekIndex],102)=0,"",SUMIFS(T_TTAFStock_Log[TTAF_Qty],T_TTAFStock_Log[Part Name],$A43,T_TTAFStock_Log[WeekIndex],102))</f>
        <v/>
      </c>
      <c r="CZ43" s="13">
        <f>IF(COUNTIFS(T_TTAFStock_Log[Part Name],$A43,T_TTAFStock_Log[WeekIndex],103)=0,"",SUMIFS(T_TTAFStock_Log[TTAF_Qty],T_TTAFStock_Log[Part Name],$A43,T_TTAFStock_Log[WeekIndex],103))</f>
        <v/>
      </c>
      <c r="DA43" s="13">
        <f>IF(COUNTIFS(T_TTAFStock_Log[Part Name],$A43,T_TTAFStock_Log[WeekIndex],104)=0,"",SUMIFS(T_TTAFStock_Log[TTAF_Qty],T_TTAFStock_Log[Part Name],$A43,T_TTAFStock_Log[WeekIndex],104))</f>
        <v/>
      </c>
    </row>
    <row r="44">
      <c r="A44" s="12" t="inlineStr">
        <is>
          <t>5SN</t>
        </is>
      </c>
      <c r="B44" s="12">
        <f>IF(COUNTIFS(T_TTAFStock_Log[Part Name],$A44,T_TTAFStock_Log[WeekIndex],1)=0,"",SUMIFS(T_TTAFStock_Log[TTAF_Qty],T_TTAFStock_Log[Part Name],$A44,T_TTAFStock_Log[WeekIndex],1))</f>
        <v/>
      </c>
      <c r="C44" s="12">
        <f>IF(COUNTIFS(T_TTAFStock_Log[Part Name],$A44,T_TTAFStock_Log[WeekIndex],2)=0,"",SUMIFS(T_TTAFStock_Log[TTAF_Qty],T_TTAFStock_Log[Part Name],$A44,T_TTAFStock_Log[WeekIndex],2))</f>
        <v/>
      </c>
      <c r="D44" s="12">
        <f>IF(COUNTIFS(T_TTAFStock_Log[Part Name],$A44,T_TTAFStock_Log[WeekIndex],3)=0,"",SUMIFS(T_TTAFStock_Log[TTAF_Qty],T_TTAFStock_Log[Part Name],$A44,T_TTAFStock_Log[WeekIndex],3))</f>
        <v/>
      </c>
      <c r="E44" s="12">
        <f>IF(COUNTIFS(T_TTAFStock_Log[Part Name],$A44,T_TTAFStock_Log[WeekIndex],4)=0,"",SUMIFS(T_TTAFStock_Log[TTAF_Qty],T_TTAFStock_Log[Part Name],$A44,T_TTAFStock_Log[WeekIndex],4))</f>
        <v/>
      </c>
      <c r="F44" s="12">
        <f>IF(COUNTIFS(T_TTAFStock_Log[Part Name],$A44,T_TTAFStock_Log[WeekIndex],5)=0,"",SUMIFS(T_TTAFStock_Log[TTAF_Qty],T_TTAFStock_Log[Part Name],$A44,T_TTAFStock_Log[WeekIndex],5))</f>
        <v/>
      </c>
      <c r="G44" s="12">
        <f>IF(COUNTIFS(T_TTAFStock_Log[Part Name],$A44,T_TTAFStock_Log[WeekIndex],6)=0,"",SUMIFS(T_TTAFStock_Log[TTAF_Qty],T_TTAFStock_Log[Part Name],$A44,T_TTAFStock_Log[WeekIndex],6))</f>
        <v/>
      </c>
      <c r="H44" s="12">
        <f>IF(COUNTIFS(T_TTAFStock_Log[Part Name],$A44,T_TTAFStock_Log[WeekIndex],7)=0,"",SUMIFS(T_TTAFStock_Log[TTAF_Qty],T_TTAFStock_Log[Part Name],$A44,T_TTAFStock_Log[WeekIndex],7))</f>
        <v/>
      </c>
      <c r="I44" s="12">
        <f>IF(COUNTIFS(T_TTAFStock_Log[Part Name],$A44,T_TTAFStock_Log[WeekIndex],8)=0,"",SUMIFS(T_TTAFStock_Log[TTAF_Qty],T_TTAFStock_Log[Part Name],$A44,T_TTAFStock_Log[WeekIndex],8))</f>
        <v/>
      </c>
      <c r="J44" s="12">
        <f>IF(COUNTIFS(T_TTAFStock_Log[Part Name],$A44,T_TTAFStock_Log[WeekIndex],9)=0,"",SUMIFS(T_TTAFStock_Log[TTAF_Qty],T_TTAFStock_Log[Part Name],$A44,T_TTAFStock_Log[WeekIndex],9))</f>
        <v/>
      </c>
      <c r="K44" s="12">
        <f>IF(COUNTIFS(T_TTAFStock_Log[Part Name],$A44,T_TTAFStock_Log[WeekIndex],10)=0,"",SUMIFS(T_TTAFStock_Log[TTAF_Qty],T_TTAFStock_Log[Part Name],$A44,T_TTAFStock_Log[WeekIndex],10))</f>
        <v/>
      </c>
      <c r="L44" s="12">
        <f>IF(COUNTIFS(T_TTAFStock_Log[Part Name],$A44,T_TTAFStock_Log[WeekIndex],11)=0,"",SUMIFS(T_TTAFStock_Log[TTAF_Qty],T_TTAFStock_Log[Part Name],$A44,T_TTAFStock_Log[WeekIndex],11))</f>
        <v/>
      </c>
      <c r="M44" s="12">
        <f>IF(COUNTIFS(T_TTAFStock_Log[Part Name],$A44,T_TTAFStock_Log[WeekIndex],12)=0,"",SUMIFS(T_TTAFStock_Log[TTAF_Qty],T_TTAFStock_Log[Part Name],$A44,T_TTAFStock_Log[WeekIndex],12))</f>
        <v/>
      </c>
      <c r="N44" s="12">
        <f>IF(COUNTIFS(T_TTAFStock_Log[Part Name],$A44,T_TTAFStock_Log[WeekIndex],13)=0,"",SUMIFS(T_TTAFStock_Log[TTAF_Qty],T_TTAFStock_Log[Part Name],$A44,T_TTAFStock_Log[WeekIndex],13))</f>
        <v/>
      </c>
      <c r="O44" s="12">
        <f>IF(COUNTIFS(T_TTAFStock_Log[Part Name],$A44,T_TTAFStock_Log[WeekIndex],14)=0,"",SUMIFS(T_TTAFStock_Log[TTAF_Qty],T_TTAFStock_Log[Part Name],$A44,T_TTAFStock_Log[WeekIndex],14))</f>
        <v/>
      </c>
      <c r="P44" s="12">
        <f>IF(COUNTIFS(T_TTAFStock_Log[Part Name],$A44,T_TTAFStock_Log[WeekIndex],15)=0,"",SUMIFS(T_TTAFStock_Log[TTAF_Qty],T_TTAFStock_Log[Part Name],$A44,T_TTAFStock_Log[WeekIndex],15))</f>
        <v/>
      </c>
      <c r="Q44" s="12">
        <f>IF(COUNTIFS(T_TTAFStock_Log[Part Name],$A44,T_TTAFStock_Log[WeekIndex],16)=0,"",SUMIFS(T_TTAFStock_Log[TTAF_Qty],T_TTAFStock_Log[Part Name],$A44,T_TTAFStock_Log[WeekIndex],16))</f>
        <v/>
      </c>
      <c r="R44" s="12">
        <f>IF(COUNTIFS(T_TTAFStock_Log[Part Name],$A44,T_TTAFStock_Log[WeekIndex],17)=0,"",SUMIFS(T_TTAFStock_Log[TTAF_Qty],T_TTAFStock_Log[Part Name],$A44,T_TTAFStock_Log[WeekIndex],17))</f>
        <v/>
      </c>
      <c r="S44" s="12">
        <f>IF(COUNTIFS(T_TTAFStock_Log[Part Name],$A44,T_TTAFStock_Log[WeekIndex],18)=0,"",SUMIFS(T_TTAFStock_Log[TTAF_Qty],T_TTAFStock_Log[Part Name],$A44,T_TTAFStock_Log[WeekIndex],18))</f>
        <v/>
      </c>
      <c r="T44" s="12">
        <f>IF(COUNTIFS(T_TTAFStock_Log[Part Name],$A44,T_TTAFStock_Log[WeekIndex],19)=0,"",SUMIFS(T_TTAFStock_Log[TTAF_Qty],T_TTAFStock_Log[Part Name],$A44,T_TTAFStock_Log[WeekIndex],19))</f>
        <v/>
      </c>
      <c r="U44" s="12">
        <f>IF(COUNTIFS(T_TTAFStock_Log[Part Name],$A44,T_TTAFStock_Log[WeekIndex],20)=0,"",SUMIFS(T_TTAFStock_Log[TTAF_Qty],T_TTAFStock_Log[Part Name],$A44,T_TTAFStock_Log[WeekIndex],20))</f>
        <v/>
      </c>
      <c r="V44" s="12">
        <f>IF(COUNTIFS(T_TTAFStock_Log[Part Name],$A44,T_TTAFStock_Log[WeekIndex],21)=0,"",SUMIFS(T_TTAFStock_Log[TTAF_Qty],T_TTAFStock_Log[Part Name],$A44,T_TTAFStock_Log[WeekIndex],21))</f>
        <v/>
      </c>
      <c r="W44" s="12">
        <f>IF(COUNTIFS(T_TTAFStock_Log[Part Name],$A44,T_TTAFStock_Log[WeekIndex],22)=0,"",SUMIFS(T_TTAFStock_Log[TTAF_Qty],T_TTAFStock_Log[Part Name],$A44,T_TTAFStock_Log[WeekIndex],22))</f>
        <v/>
      </c>
      <c r="X44" s="12">
        <f>IF(COUNTIFS(T_TTAFStock_Log[Part Name],$A44,T_TTAFStock_Log[WeekIndex],23)=0,"",SUMIFS(T_TTAFStock_Log[TTAF_Qty],T_TTAFStock_Log[Part Name],$A44,T_TTAFStock_Log[WeekIndex],23))</f>
        <v/>
      </c>
      <c r="Y44" s="12">
        <f>IF(COUNTIFS(T_TTAFStock_Log[Part Name],$A44,T_TTAFStock_Log[WeekIndex],24)=0,"",SUMIFS(T_TTAFStock_Log[TTAF_Qty],T_TTAFStock_Log[Part Name],$A44,T_TTAFStock_Log[WeekIndex],24))</f>
        <v/>
      </c>
      <c r="Z44" s="12">
        <f>IF(COUNTIFS(T_TTAFStock_Log[Part Name],$A44,T_TTAFStock_Log[WeekIndex],25)=0,"",SUMIFS(T_TTAFStock_Log[TTAF_Qty],T_TTAFStock_Log[Part Name],$A44,T_TTAFStock_Log[WeekIndex],25))</f>
        <v/>
      </c>
      <c r="AA44" s="12">
        <f>IF(COUNTIFS(T_TTAFStock_Log[Part Name],$A44,T_TTAFStock_Log[WeekIndex],26)=0,"",SUMIFS(T_TTAFStock_Log[TTAF_Qty],T_TTAFStock_Log[Part Name],$A44,T_TTAFStock_Log[WeekIndex],26))</f>
        <v/>
      </c>
      <c r="AB44" s="12">
        <f>IF(COUNTIFS(T_TTAFStock_Log[Part Name],$A44,T_TTAFStock_Log[WeekIndex],27)=0,"",SUMIFS(T_TTAFStock_Log[TTAF_Qty],T_TTAFStock_Log[Part Name],$A44,T_TTAFStock_Log[WeekIndex],27))</f>
        <v/>
      </c>
      <c r="AC44" s="12">
        <f>IF(COUNTIFS(T_TTAFStock_Log[Part Name],$A44,T_TTAFStock_Log[WeekIndex],28)=0,"",SUMIFS(T_TTAFStock_Log[TTAF_Qty],T_TTAFStock_Log[Part Name],$A44,T_TTAFStock_Log[WeekIndex],28))</f>
        <v/>
      </c>
      <c r="AD44" s="12">
        <f>IF(COUNTIFS(T_TTAFStock_Log[Part Name],$A44,T_TTAFStock_Log[WeekIndex],29)=0,"",SUMIFS(T_TTAFStock_Log[TTAF_Qty],T_TTAFStock_Log[Part Name],$A44,T_TTAFStock_Log[WeekIndex],29))</f>
        <v/>
      </c>
      <c r="AE44" s="12">
        <f>IF(COUNTIFS(T_TTAFStock_Log[Part Name],$A44,T_TTAFStock_Log[WeekIndex],30)=0,"",SUMIFS(T_TTAFStock_Log[TTAF_Qty],T_TTAFStock_Log[Part Name],$A44,T_TTAFStock_Log[WeekIndex],30))</f>
        <v/>
      </c>
      <c r="AF44" s="12">
        <f>IF(COUNTIFS(T_TTAFStock_Log[Part Name],$A44,T_TTAFStock_Log[WeekIndex],31)=0,"",SUMIFS(T_TTAFStock_Log[TTAF_Qty],T_TTAFStock_Log[Part Name],$A44,T_TTAFStock_Log[WeekIndex],31))</f>
        <v/>
      </c>
      <c r="AG44" s="12">
        <f>IF(COUNTIFS(T_TTAFStock_Log[Part Name],$A44,T_TTAFStock_Log[WeekIndex],32)=0,"",SUMIFS(T_TTAFStock_Log[TTAF_Qty],T_TTAFStock_Log[Part Name],$A44,T_TTAFStock_Log[WeekIndex],32))</f>
        <v/>
      </c>
      <c r="AH44" s="12">
        <f>IF(COUNTIFS(T_TTAFStock_Log[Part Name],$A44,T_TTAFStock_Log[WeekIndex],33)=0,"",SUMIFS(T_TTAFStock_Log[TTAF_Qty],T_TTAFStock_Log[Part Name],$A44,T_TTAFStock_Log[WeekIndex],33))</f>
        <v/>
      </c>
      <c r="AI44" s="12">
        <f>IF(COUNTIFS(T_TTAFStock_Log[Part Name],$A44,T_TTAFStock_Log[WeekIndex],34)=0,"",SUMIFS(T_TTAFStock_Log[TTAF_Qty],T_TTAFStock_Log[Part Name],$A44,T_TTAFStock_Log[WeekIndex],34))</f>
        <v/>
      </c>
      <c r="AJ44" s="12">
        <f>IF(COUNTIFS(T_TTAFStock_Log[Part Name],$A44,T_TTAFStock_Log[WeekIndex],35)=0,"",SUMIFS(T_TTAFStock_Log[TTAF_Qty],T_TTAFStock_Log[Part Name],$A44,T_TTAFStock_Log[WeekIndex],35))</f>
        <v/>
      </c>
      <c r="AK44" s="12">
        <f>IF(COUNTIFS(T_TTAFStock_Log[Part Name],$A44,T_TTAFStock_Log[WeekIndex],36)=0,"",SUMIFS(T_TTAFStock_Log[TTAF_Qty],T_TTAFStock_Log[Part Name],$A44,T_TTAFStock_Log[WeekIndex],36))</f>
        <v/>
      </c>
      <c r="AL44" s="12">
        <f>IF(COUNTIFS(T_TTAFStock_Log[Part Name],$A44,T_TTAFStock_Log[WeekIndex],37)=0,"",SUMIFS(T_TTAFStock_Log[TTAF_Qty],T_TTAFStock_Log[Part Name],$A44,T_TTAFStock_Log[WeekIndex],37))</f>
        <v/>
      </c>
      <c r="AM44" s="12">
        <f>IF(COUNTIFS(T_TTAFStock_Log[Part Name],$A44,T_TTAFStock_Log[WeekIndex],38)=0,"",SUMIFS(T_TTAFStock_Log[TTAF_Qty],T_TTAFStock_Log[Part Name],$A44,T_TTAFStock_Log[WeekIndex],38))</f>
        <v/>
      </c>
      <c r="AN44" s="12">
        <f>IF(COUNTIFS(T_TTAFStock_Log[Part Name],$A44,T_TTAFStock_Log[WeekIndex],39)=0,"",SUMIFS(T_TTAFStock_Log[TTAF_Qty],T_TTAFStock_Log[Part Name],$A44,T_TTAFStock_Log[WeekIndex],39))</f>
        <v/>
      </c>
      <c r="AO44" s="12">
        <f>IF(COUNTIFS(T_TTAFStock_Log[Part Name],$A44,T_TTAFStock_Log[WeekIndex],40)=0,"",SUMIFS(T_TTAFStock_Log[TTAF_Qty],T_TTAFStock_Log[Part Name],$A44,T_TTAFStock_Log[WeekIndex],40))</f>
        <v/>
      </c>
      <c r="AP44" s="12">
        <f>IF(COUNTIFS(T_TTAFStock_Log[Part Name],$A44,T_TTAFStock_Log[WeekIndex],41)=0,"",SUMIFS(T_TTAFStock_Log[TTAF_Qty],T_TTAFStock_Log[Part Name],$A44,T_TTAFStock_Log[WeekIndex],41))</f>
        <v/>
      </c>
      <c r="AQ44" s="12">
        <f>IF(COUNTIFS(T_TTAFStock_Log[Part Name],$A44,T_TTAFStock_Log[WeekIndex],42)=0,"",SUMIFS(T_TTAFStock_Log[TTAF_Qty],T_TTAFStock_Log[Part Name],$A44,T_TTAFStock_Log[WeekIndex],42))</f>
        <v/>
      </c>
      <c r="AR44" s="12">
        <f>IF(COUNTIFS(T_TTAFStock_Log[Part Name],$A44,T_TTAFStock_Log[WeekIndex],43)=0,"",SUMIFS(T_TTAFStock_Log[TTAF_Qty],T_TTAFStock_Log[Part Name],$A44,T_TTAFStock_Log[WeekIndex],43))</f>
        <v/>
      </c>
      <c r="AS44" s="12">
        <f>IF(COUNTIFS(T_TTAFStock_Log[Part Name],$A44,T_TTAFStock_Log[WeekIndex],44)=0,"",SUMIFS(T_TTAFStock_Log[TTAF_Qty],T_TTAFStock_Log[Part Name],$A44,T_TTAFStock_Log[WeekIndex],44))</f>
        <v/>
      </c>
      <c r="AT44" s="12">
        <f>IF(COUNTIFS(T_TTAFStock_Log[Part Name],$A44,T_TTAFStock_Log[WeekIndex],45)=0,"",SUMIFS(T_TTAFStock_Log[TTAF_Qty],T_TTAFStock_Log[Part Name],$A44,T_TTAFStock_Log[WeekIndex],45))</f>
        <v/>
      </c>
      <c r="AU44" s="12">
        <f>IF(COUNTIFS(T_TTAFStock_Log[Part Name],$A44,T_TTAFStock_Log[WeekIndex],46)=0,"",SUMIFS(T_TTAFStock_Log[TTAF_Qty],T_TTAFStock_Log[Part Name],$A44,T_TTAFStock_Log[WeekIndex],46))</f>
        <v/>
      </c>
      <c r="AV44" s="12">
        <f>IF(COUNTIFS(T_TTAFStock_Log[Part Name],$A44,T_TTAFStock_Log[WeekIndex],47)=0,"",SUMIFS(T_TTAFStock_Log[TTAF_Qty],T_TTAFStock_Log[Part Name],$A44,T_TTAFStock_Log[WeekIndex],47))</f>
        <v/>
      </c>
      <c r="AW44" s="12">
        <f>IF(COUNTIFS(T_TTAFStock_Log[Part Name],$A44,T_TTAFStock_Log[WeekIndex],48)=0,"",SUMIFS(T_TTAFStock_Log[TTAF_Qty],T_TTAFStock_Log[Part Name],$A44,T_TTAFStock_Log[WeekIndex],48))</f>
        <v/>
      </c>
      <c r="AX44" s="12">
        <f>IF(COUNTIFS(T_TTAFStock_Log[Part Name],$A44,T_TTAFStock_Log[WeekIndex],49)=0,"",SUMIFS(T_TTAFStock_Log[TTAF_Qty],T_TTAFStock_Log[Part Name],$A44,T_TTAFStock_Log[WeekIndex],49))</f>
        <v/>
      </c>
      <c r="AY44" s="12">
        <f>IF(COUNTIFS(T_TTAFStock_Log[Part Name],$A44,T_TTAFStock_Log[WeekIndex],50)=0,"",SUMIFS(T_TTAFStock_Log[TTAF_Qty],T_TTAFStock_Log[Part Name],$A44,T_TTAFStock_Log[WeekIndex],50))</f>
        <v/>
      </c>
      <c r="AZ44" s="12">
        <f>IF(COUNTIFS(T_TTAFStock_Log[Part Name],$A44,T_TTAFStock_Log[WeekIndex],51)=0,"",SUMIFS(T_TTAFStock_Log[TTAF_Qty],T_TTAFStock_Log[Part Name],$A44,T_TTAFStock_Log[WeekIndex],51))</f>
        <v/>
      </c>
      <c r="BA44" s="12">
        <f>IF(COUNTIFS(T_TTAFStock_Log[Part Name],$A44,T_TTAFStock_Log[WeekIndex],52)=0,"",SUMIFS(T_TTAFStock_Log[TTAF_Qty],T_TTAFStock_Log[Part Name],$A44,T_TTAFStock_Log[WeekIndex],52))</f>
        <v/>
      </c>
      <c r="BB44" s="12">
        <f>IF(COUNTIFS(T_TTAFStock_Log[Part Name],$A44,T_TTAFStock_Log[WeekIndex],53)=0,"",SUMIFS(T_TTAFStock_Log[TTAF_Qty],T_TTAFStock_Log[Part Name],$A44,T_TTAFStock_Log[WeekIndex],53))</f>
        <v/>
      </c>
      <c r="BC44" s="12">
        <f>IF(COUNTIFS(T_TTAFStock_Log[Part Name],$A44,T_TTAFStock_Log[WeekIndex],54)=0,"",SUMIFS(T_TTAFStock_Log[TTAF_Qty],T_TTAFStock_Log[Part Name],$A44,T_TTAFStock_Log[WeekIndex],54))</f>
        <v/>
      </c>
      <c r="BD44" s="12">
        <f>IF(COUNTIFS(T_TTAFStock_Log[Part Name],$A44,T_TTAFStock_Log[WeekIndex],55)=0,"",SUMIFS(T_TTAFStock_Log[TTAF_Qty],T_TTAFStock_Log[Part Name],$A44,T_TTAFStock_Log[WeekIndex],55))</f>
        <v/>
      </c>
      <c r="BE44" s="12">
        <f>IF(COUNTIFS(T_TTAFStock_Log[Part Name],$A44,T_TTAFStock_Log[WeekIndex],56)=0,"",SUMIFS(T_TTAFStock_Log[TTAF_Qty],T_TTAFStock_Log[Part Name],$A44,T_TTAFStock_Log[WeekIndex],56))</f>
        <v/>
      </c>
      <c r="BF44" s="12">
        <f>IF(COUNTIFS(T_TTAFStock_Log[Part Name],$A44,T_TTAFStock_Log[WeekIndex],57)=0,"",SUMIFS(T_TTAFStock_Log[TTAF_Qty],T_TTAFStock_Log[Part Name],$A44,T_TTAFStock_Log[WeekIndex],57))</f>
        <v/>
      </c>
      <c r="BG44" s="12">
        <f>IF(COUNTIFS(T_TTAFStock_Log[Part Name],$A44,T_TTAFStock_Log[WeekIndex],58)=0,"",SUMIFS(T_TTAFStock_Log[TTAF_Qty],T_TTAFStock_Log[Part Name],$A44,T_TTAFStock_Log[WeekIndex],58))</f>
        <v/>
      </c>
      <c r="BH44" s="12">
        <f>IF(COUNTIFS(T_TTAFStock_Log[Part Name],$A44,T_TTAFStock_Log[WeekIndex],59)=0,"",SUMIFS(T_TTAFStock_Log[TTAF_Qty],T_TTAFStock_Log[Part Name],$A44,T_TTAFStock_Log[WeekIndex],59))</f>
        <v/>
      </c>
      <c r="BI44" s="12">
        <f>IF(COUNTIFS(T_TTAFStock_Log[Part Name],$A44,T_TTAFStock_Log[WeekIndex],60)=0,"",SUMIFS(T_TTAFStock_Log[TTAF_Qty],T_TTAFStock_Log[Part Name],$A44,T_TTAFStock_Log[WeekIndex],60))</f>
        <v/>
      </c>
      <c r="BJ44" s="12">
        <f>IF(COUNTIFS(T_TTAFStock_Log[Part Name],$A44,T_TTAFStock_Log[WeekIndex],61)=0,"",SUMIFS(T_TTAFStock_Log[TTAF_Qty],T_TTAFStock_Log[Part Name],$A44,T_TTAFStock_Log[WeekIndex],61))</f>
        <v/>
      </c>
      <c r="BK44" s="12">
        <f>IF(COUNTIFS(T_TTAFStock_Log[Part Name],$A44,T_TTAFStock_Log[WeekIndex],62)=0,"",SUMIFS(T_TTAFStock_Log[TTAF_Qty],T_TTAFStock_Log[Part Name],$A44,T_TTAFStock_Log[WeekIndex],62))</f>
        <v/>
      </c>
      <c r="BL44" s="12">
        <f>IF(COUNTIFS(T_TTAFStock_Log[Part Name],$A44,T_TTAFStock_Log[WeekIndex],63)=0,"",SUMIFS(T_TTAFStock_Log[TTAF_Qty],T_TTAFStock_Log[Part Name],$A44,T_TTAFStock_Log[WeekIndex],63))</f>
        <v/>
      </c>
      <c r="BM44" s="12">
        <f>IF(COUNTIFS(T_TTAFStock_Log[Part Name],$A44,T_TTAFStock_Log[WeekIndex],64)=0,"",SUMIFS(T_TTAFStock_Log[TTAF_Qty],T_TTAFStock_Log[Part Name],$A44,T_TTAFStock_Log[WeekIndex],64))</f>
        <v/>
      </c>
      <c r="BN44" s="12">
        <f>IF(COUNTIFS(T_TTAFStock_Log[Part Name],$A44,T_TTAFStock_Log[WeekIndex],65)=0,"",SUMIFS(T_TTAFStock_Log[TTAF_Qty],T_TTAFStock_Log[Part Name],$A44,T_TTAFStock_Log[WeekIndex],65))</f>
        <v/>
      </c>
      <c r="BO44" s="12">
        <f>IF(COUNTIFS(T_TTAFStock_Log[Part Name],$A44,T_TTAFStock_Log[WeekIndex],66)=0,"",SUMIFS(T_TTAFStock_Log[TTAF_Qty],T_TTAFStock_Log[Part Name],$A44,T_TTAFStock_Log[WeekIndex],66))</f>
        <v/>
      </c>
      <c r="BP44" s="12">
        <f>IF(COUNTIFS(T_TTAFStock_Log[Part Name],$A44,T_TTAFStock_Log[WeekIndex],67)=0,"",SUMIFS(T_TTAFStock_Log[TTAF_Qty],T_TTAFStock_Log[Part Name],$A44,T_TTAFStock_Log[WeekIndex],67))</f>
        <v/>
      </c>
      <c r="BQ44" s="12">
        <f>IF(COUNTIFS(T_TTAFStock_Log[Part Name],$A44,T_TTAFStock_Log[WeekIndex],68)=0,"",SUMIFS(T_TTAFStock_Log[TTAF_Qty],T_TTAFStock_Log[Part Name],$A44,T_TTAFStock_Log[WeekIndex],68))</f>
        <v/>
      </c>
      <c r="BR44" s="12">
        <f>IF(COUNTIFS(T_TTAFStock_Log[Part Name],$A44,T_TTAFStock_Log[WeekIndex],69)=0,"",SUMIFS(T_TTAFStock_Log[TTAF_Qty],T_TTAFStock_Log[Part Name],$A44,T_TTAFStock_Log[WeekIndex],69))</f>
        <v/>
      </c>
      <c r="BS44" s="12">
        <f>IF(COUNTIFS(T_TTAFStock_Log[Part Name],$A44,T_TTAFStock_Log[WeekIndex],70)=0,"",SUMIFS(T_TTAFStock_Log[TTAF_Qty],T_TTAFStock_Log[Part Name],$A44,T_TTAFStock_Log[WeekIndex],70))</f>
        <v/>
      </c>
      <c r="BT44" s="12">
        <f>IF(COUNTIFS(T_TTAFStock_Log[Part Name],$A44,T_TTAFStock_Log[WeekIndex],71)=0,"",SUMIFS(T_TTAFStock_Log[TTAF_Qty],T_TTAFStock_Log[Part Name],$A44,T_TTAFStock_Log[WeekIndex],71))</f>
        <v/>
      </c>
      <c r="BU44" s="12">
        <f>IF(COUNTIFS(T_TTAFStock_Log[Part Name],$A44,T_TTAFStock_Log[WeekIndex],72)=0,"",SUMIFS(T_TTAFStock_Log[TTAF_Qty],T_TTAFStock_Log[Part Name],$A44,T_TTAFStock_Log[WeekIndex],72))</f>
        <v/>
      </c>
      <c r="BV44" s="12">
        <f>IF(COUNTIFS(T_TTAFStock_Log[Part Name],$A44,T_TTAFStock_Log[WeekIndex],73)=0,"",SUMIFS(T_TTAFStock_Log[TTAF_Qty],T_TTAFStock_Log[Part Name],$A44,T_TTAFStock_Log[WeekIndex],73))</f>
        <v/>
      </c>
      <c r="BW44" s="12">
        <f>IF(COUNTIFS(T_TTAFStock_Log[Part Name],$A44,T_TTAFStock_Log[WeekIndex],74)=0,"",SUMIFS(T_TTAFStock_Log[TTAF_Qty],T_TTAFStock_Log[Part Name],$A44,T_TTAFStock_Log[WeekIndex],74))</f>
        <v/>
      </c>
      <c r="BX44" s="12">
        <f>IF(COUNTIFS(T_TTAFStock_Log[Part Name],$A44,T_TTAFStock_Log[WeekIndex],75)=0,"",SUMIFS(T_TTAFStock_Log[TTAF_Qty],T_TTAFStock_Log[Part Name],$A44,T_TTAFStock_Log[WeekIndex],75))</f>
        <v/>
      </c>
      <c r="BY44" s="12">
        <f>IF(COUNTIFS(T_TTAFStock_Log[Part Name],$A44,T_TTAFStock_Log[WeekIndex],76)=0,"",SUMIFS(T_TTAFStock_Log[TTAF_Qty],T_TTAFStock_Log[Part Name],$A44,T_TTAFStock_Log[WeekIndex],76))</f>
        <v/>
      </c>
      <c r="BZ44" s="12">
        <f>IF(COUNTIFS(T_TTAFStock_Log[Part Name],$A44,T_TTAFStock_Log[WeekIndex],77)=0,"",SUMIFS(T_TTAFStock_Log[TTAF_Qty],T_TTAFStock_Log[Part Name],$A44,T_TTAFStock_Log[WeekIndex],77))</f>
        <v/>
      </c>
      <c r="CA44" s="12">
        <f>IF(COUNTIFS(T_TTAFStock_Log[Part Name],$A44,T_TTAFStock_Log[WeekIndex],78)=0,"",SUMIFS(T_TTAFStock_Log[TTAF_Qty],T_TTAFStock_Log[Part Name],$A44,T_TTAFStock_Log[WeekIndex],78))</f>
        <v/>
      </c>
      <c r="CB44" s="12">
        <f>IF(COUNTIFS(T_TTAFStock_Log[Part Name],$A44,T_TTAFStock_Log[WeekIndex],79)=0,"",SUMIFS(T_TTAFStock_Log[TTAF_Qty],T_TTAFStock_Log[Part Name],$A44,T_TTAFStock_Log[WeekIndex],79))</f>
        <v/>
      </c>
      <c r="CC44" s="12">
        <f>IF(COUNTIFS(T_TTAFStock_Log[Part Name],$A44,T_TTAFStock_Log[WeekIndex],80)=0,"",SUMIFS(T_TTAFStock_Log[TTAF_Qty],T_TTAFStock_Log[Part Name],$A44,T_TTAFStock_Log[WeekIndex],80))</f>
        <v/>
      </c>
      <c r="CD44" s="12">
        <f>IF(COUNTIFS(T_TTAFStock_Log[Part Name],$A44,T_TTAFStock_Log[WeekIndex],81)=0,"",SUMIFS(T_TTAFStock_Log[TTAF_Qty],T_TTAFStock_Log[Part Name],$A44,T_TTAFStock_Log[WeekIndex],81))</f>
        <v/>
      </c>
      <c r="CE44" s="12">
        <f>IF(COUNTIFS(T_TTAFStock_Log[Part Name],$A44,T_TTAFStock_Log[WeekIndex],82)=0,"",SUMIFS(T_TTAFStock_Log[TTAF_Qty],T_TTAFStock_Log[Part Name],$A44,T_TTAFStock_Log[WeekIndex],82))</f>
        <v/>
      </c>
      <c r="CF44" s="12">
        <f>IF(COUNTIFS(T_TTAFStock_Log[Part Name],$A44,T_TTAFStock_Log[WeekIndex],83)=0,"",SUMIFS(T_TTAFStock_Log[TTAF_Qty],T_TTAFStock_Log[Part Name],$A44,T_TTAFStock_Log[WeekIndex],83))</f>
        <v/>
      </c>
      <c r="CG44" s="12">
        <f>IF(COUNTIFS(T_TTAFStock_Log[Part Name],$A44,T_TTAFStock_Log[WeekIndex],84)=0,"",SUMIFS(T_TTAFStock_Log[TTAF_Qty],T_TTAFStock_Log[Part Name],$A44,T_TTAFStock_Log[WeekIndex],84))</f>
        <v/>
      </c>
      <c r="CH44" s="12">
        <f>IF(COUNTIFS(T_TTAFStock_Log[Part Name],$A44,T_TTAFStock_Log[WeekIndex],85)=0,"",SUMIFS(T_TTAFStock_Log[TTAF_Qty],T_TTAFStock_Log[Part Name],$A44,T_TTAFStock_Log[WeekIndex],85))</f>
        <v/>
      </c>
      <c r="CI44" s="12">
        <f>IF(COUNTIFS(T_TTAFStock_Log[Part Name],$A44,T_TTAFStock_Log[WeekIndex],86)=0,"",SUMIFS(T_TTAFStock_Log[TTAF_Qty],T_TTAFStock_Log[Part Name],$A44,T_TTAFStock_Log[WeekIndex],86))</f>
        <v/>
      </c>
      <c r="CJ44" s="12">
        <f>IF(COUNTIFS(T_TTAFStock_Log[Part Name],$A44,T_TTAFStock_Log[WeekIndex],87)=0,"",SUMIFS(T_TTAFStock_Log[TTAF_Qty],T_TTAFStock_Log[Part Name],$A44,T_TTAFStock_Log[WeekIndex],87))</f>
        <v/>
      </c>
      <c r="CK44" s="12">
        <f>IF(COUNTIFS(T_TTAFStock_Log[Part Name],$A44,T_TTAFStock_Log[WeekIndex],88)=0,"",SUMIFS(T_TTAFStock_Log[TTAF_Qty],T_TTAFStock_Log[Part Name],$A44,T_TTAFStock_Log[WeekIndex],88))</f>
        <v/>
      </c>
      <c r="CL44" s="12">
        <f>IF(COUNTIFS(T_TTAFStock_Log[Part Name],$A44,T_TTAFStock_Log[WeekIndex],89)=0,"",SUMIFS(T_TTAFStock_Log[TTAF_Qty],T_TTAFStock_Log[Part Name],$A44,T_TTAFStock_Log[WeekIndex],89))</f>
        <v/>
      </c>
      <c r="CM44" s="12">
        <f>IF(COUNTIFS(T_TTAFStock_Log[Part Name],$A44,T_TTAFStock_Log[WeekIndex],90)=0,"",SUMIFS(T_TTAFStock_Log[TTAF_Qty],T_TTAFStock_Log[Part Name],$A44,T_TTAFStock_Log[WeekIndex],90))</f>
        <v/>
      </c>
      <c r="CN44" s="12">
        <f>IF(COUNTIFS(T_TTAFStock_Log[Part Name],$A44,T_TTAFStock_Log[WeekIndex],91)=0,"",SUMIFS(T_TTAFStock_Log[TTAF_Qty],T_TTAFStock_Log[Part Name],$A44,T_TTAFStock_Log[WeekIndex],91))</f>
        <v/>
      </c>
      <c r="CO44" s="12">
        <f>IF(COUNTIFS(T_TTAFStock_Log[Part Name],$A44,T_TTAFStock_Log[WeekIndex],92)=0,"",SUMIFS(T_TTAFStock_Log[TTAF_Qty],T_TTAFStock_Log[Part Name],$A44,T_TTAFStock_Log[WeekIndex],92))</f>
        <v/>
      </c>
      <c r="CP44" s="12">
        <f>IF(COUNTIFS(T_TTAFStock_Log[Part Name],$A44,T_TTAFStock_Log[WeekIndex],93)=0,"",SUMIFS(T_TTAFStock_Log[TTAF_Qty],T_TTAFStock_Log[Part Name],$A44,T_TTAFStock_Log[WeekIndex],93))</f>
        <v/>
      </c>
      <c r="CQ44" s="12">
        <f>IF(COUNTIFS(T_TTAFStock_Log[Part Name],$A44,T_TTAFStock_Log[WeekIndex],94)=0,"",SUMIFS(T_TTAFStock_Log[TTAF_Qty],T_TTAFStock_Log[Part Name],$A44,T_TTAFStock_Log[WeekIndex],94))</f>
        <v/>
      </c>
      <c r="CR44" s="12">
        <f>IF(COUNTIFS(T_TTAFStock_Log[Part Name],$A44,T_TTAFStock_Log[WeekIndex],95)=0,"",SUMIFS(T_TTAFStock_Log[TTAF_Qty],T_TTAFStock_Log[Part Name],$A44,T_TTAFStock_Log[WeekIndex],95))</f>
        <v/>
      </c>
      <c r="CS44" s="12">
        <f>IF(COUNTIFS(T_TTAFStock_Log[Part Name],$A44,T_TTAFStock_Log[WeekIndex],96)=0,"",SUMIFS(T_TTAFStock_Log[TTAF_Qty],T_TTAFStock_Log[Part Name],$A44,T_TTAFStock_Log[WeekIndex],96))</f>
        <v/>
      </c>
      <c r="CT44" s="12">
        <f>IF(COUNTIFS(T_TTAFStock_Log[Part Name],$A44,T_TTAFStock_Log[WeekIndex],97)=0,"",SUMIFS(T_TTAFStock_Log[TTAF_Qty],T_TTAFStock_Log[Part Name],$A44,T_TTAFStock_Log[WeekIndex],97))</f>
        <v/>
      </c>
      <c r="CU44" s="12">
        <f>IF(COUNTIFS(T_TTAFStock_Log[Part Name],$A44,T_TTAFStock_Log[WeekIndex],98)=0,"",SUMIFS(T_TTAFStock_Log[TTAF_Qty],T_TTAFStock_Log[Part Name],$A44,T_TTAFStock_Log[WeekIndex],98))</f>
        <v/>
      </c>
      <c r="CV44" s="12">
        <f>IF(COUNTIFS(T_TTAFStock_Log[Part Name],$A44,T_TTAFStock_Log[WeekIndex],99)=0,"",SUMIFS(T_TTAFStock_Log[TTAF_Qty],T_TTAFStock_Log[Part Name],$A44,T_TTAFStock_Log[WeekIndex],99))</f>
        <v/>
      </c>
      <c r="CW44" s="12">
        <f>IF(COUNTIFS(T_TTAFStock_Log[Part Name],$A44,T_TTAFStock_Log[WeekIndex],100)=0,"",SUMIFS(T_TTAFStock_Log[TTAF_Qty],T_TTAFStock_Log[Part Name],$A44,T_TTAFStock_Log[WeekIndex],100))</f>
        <v/>
      </c>
      <c r="CX44" s="12">
        <f>IF(COUNTIFS(T_TTAFStock_Log[Part Name],$A44,T_TTAFStock_Log[WeekIndex],101)=0,"",SUMIFS(T_TTAFStock_Log[TTAF_Qty],T_TTAFStock_Log[Part Name],$A44,T_TTAFStock_Log[WeekIndex],101))</f>
        <v/>
      </c>
      <c r="CY44" s="12">
        <f>IF(COUNTIFS(T_TTAFStock_Log[Part Name],$A44,T_TTAFStock_Log[WeekIndex],102)=0,"",SUMIFS(T_TTAFStock_Log[TTAF_Qty],T_TTAFStock_Log[Part Name],$A44,T_TTAFStock_Log[WeekIndex],102))</f>
        <v/>
      </c>
      <c r="CZ44" s="12">
        <f>IF(COUNTIFS(T_TTAFStock_Log[Part Name],$A44,T_TTAFStock_Log[WeekIndex],103)=0,"",SUMIFS(T_TTAFStock_Log[TTAF_Qty],T_TTAFStock_Log[Part Name],$A44,T_TTAFStock_Log[WeekIndex],103))</f>
        <v/>
      </c>
      <c r="DA44" s="12">
        <f>IF(COUNTIFS(T_TTAFStock_Log[Part Name],$A44,T_TTAFStock_Log[WeekIndex],104)=0,"",SUMIFS(T_TTAFStock_Log[TTAF_Qty],T_TTAFStock_Log[Part Name],$A44,T_TTAFStock_Log[WeekIndex],104))</f>
        <v/>
      </c>
    </row>
    <row r="45">
      <c r="A45" s="13" t="inlineStr">
        <is>
          <t>1JN</t>
        </is>
      </c>
      <c r="B45" s="13">
        <f>IF(COUNTIFS(T_TTAFStock_Log[Part Name],$A45,T_TTAFStock_Log[WeekIndex],1)=0,"",SUMIFS(T_TTAFStock_Log[TTAF_Qty],T_TTAFStock_Log[Part Name],$A45,T_TTAFStock_Log[WeekIndex],1))</f>
        <v/>
      </c>
      <c r="C45" s="13">
        <f>IF(COUNTIFS(T_TTAFStock_Log[Part Name],$A45,T_TTAFStock_Log[WeekIndex],2)=0,"",SUMIFS(T_TTAFStock_Log[TTAF_Qty],T_TTAFStock_Log[Part Name],$A45,T_TTAFStock_Log[WeekIndex],2))</f>
        <v/>
      </c>
      <c r="D45" s="13">
        <f>IF(COUNTIFS(T_TTAFStock_Log[Part Name],$A45,T_TTAFStock_Log[WeekIndex],3)=0,"",SUMIFS(T_TTAFStock_Log[TTAF_Qty],T_TTAFStock_Log[Part Name],$A45,T_TTAFStock_Log[WeekIndex],3))</f>
        <v/>
      </c>
      <c r="E45" s="13">
        <f>IF(COUNTIFS(T_TTAFStock_Log[Part Name],$A45,T_TTAFStock_Log[WeekIndex],4)=0,"",SUMIFS(T_TTAFStock_Log[TTAF_Qty],T_TTAFStock_Log[Part Name],$A45,T_TTAFStock_Log[WeekIndex],4))</f>
        <v/>
      </c>
      <c r="F45" s="13">
        <f>IF(COUNTIFS(T_TTAFStock_Log[Part Name],$A45,T_TTAFStock_Log[WeekIndex],5)=0,"",SUMIFS(T_TTAFStock_Log[TTAF_Qty],T_TTAFStock_Log[Part Name],$A45,T_TTAFStock_Log[WeekIndex],5))</f>
        <v/>
      </c>
      <c r="G45" s="13">
        <f>IF(COUNTIFS(T_TTAFStock_Log[Part Name],$A45,T_TTAFStock_Log[WeekIndex],6)=0,"",SUMIFS(T_TTAFStock_Log[TTAF_Qty],T_TTAFStock_Log[Part Name],$A45,T_TTAFStock_Log[WeekIndex],6))</f>
        <v/>
      </c>
      <c r="H45" s="13">
        <f>IF(COUNTIFS(T_TTAFStock_Log[Part Name],$A45,T_TTAFStock_Log[WeekIndex],7)=0,"",SUMIFS(T_TTAFStock_Log[TTAF_Qty],T_TTAFStock_Log[Part Name],$A45,T_TTAFStock_Log[WeekIndex],7))</f>
        <v/>
      </c>
      <c r="I45" s="13">
        <f>IF(COUNTIFS(T_TTAFStock_Log[Part Name],$A45,T_TTAFStock_Log[WeekIndex],8)=0,"",SUMIFS(T_TTAFStock_Log[TTAF_Qty],T_TTAFStock_Log[Part Name],$A45,T_TTAFStock_Log[WeekIndex],8))</f>
        <v/>
      </c>
      <c r="J45" s="13">
        <f>IF(COUNTIFS(T_TTAFStock_Log[Part Name],$A45,T_TTAFStock_Log[WeekIndex],9)=0,"",SUMIFS(T_TTAFStock_Log[TTAF_Qty],T_TTAFStock_Log[Part Name],$A45,T_TTAFStock_Log[WeekIndex],9))</f>
        <v/>
      </c>
      <c r="K45" s="13">
        <f>IF(COUNTIFS(T_TTAFStock_Log[Part Name],$A45,T_TTAFStock_Log[WeekIndex],10)=0,"",SUMIFS(T_TTAFStock_Log[TTAF_Qty],T_TTAFStock_Log[Part Name],$A45,T_TTAFStock_Log[WeekIndex],10))</f>
        <v/>
      </c>
      <c r="L45" s="13">
        <f>IF(COUNTIFS(T_TTAFStock_Log[Part Name],$A45,T_TTAFStock_Log[WeekIndex],11)=0,"",SUMIFS(T_TTAFStock_Log[TTAF_Qty],T_TTAFStock_Log[Part Name],$A45,T_TTAFStock_Log[WeekIndex],11))</f>
        <v/>
      </c>
      <c r="M45" s="13">
        <f>IF(COUNTIFS(T_TTAFStock_Log[Part Name],$A45,T_TTAFStock_Log[WeekIndex],12)=0,"",SUMIFS(T_TTAFStock_Log[TTAF_Qty],T_TTAFStock_Log[Part Name],$A45,T_TTAFStock_Log[WeekIndex],12))</f>
        <v/>
      </c>
      <c r="N45" s="13">
        <f>IF(COUNTIFS(T_TTAFStock_Log[Part Name],$A45,T_TTAFStock_Log[WeekIndex],13)=0,"",SUMIFS(T_TTAFStock_Log[TTAF_Qty],T_TTAFStock_Log[Part Name],$A45,T_TTAFStock_Log[WeekIndex],13))</f>
        <v/>
      </c>
      <c r="O45" s="13">
        <f>IF(COUNTIFS(T_TTAFStock_Log[Part Name],$A45,T_TTAFStock_Log[WeekIndex],14)=0,"",SUMIFS(T_TTAFStock_Log[TTAF_Qty],T_TTAFStock_Log[Part Name],$A45,T_TTAFStock_Log[WeekIndex],14))</f>
        <v/>
      </c>
      <c r="P45" s="13">
        <f>IF(COUNTIFS(T_TTAFStock_Log[Part Name],$A45,T_TTAFStock_Log[WeekIndex],15)=0,"",SUMIFS(T_TTAFStock_Log[TTAF_Qty],T_TTAFStock_Log[Part Name],$A45,T_TTAFStock_Log[WeekIndex],15))</f>
        <v/>
      </c>
      <c r="Q45" s="13">
        <f>IF(COUNTIFS(T_TTAFStock_Log[Part Name],$A45,T_TTAFStock_Log[WeekIndex],16)=0,"",SUMIFS(T_TTAFStock_Log[TTAF_Qty],T_TTAFStock_Log[Part Name],$A45,T_TTAFStock_Log[WeekIndex],16))</f>
        <v/>
      </c>
      <c r="R45" s="13">
        <f>IF(COUNTIFS(T_TTAFStock_Log[Part Name],$A45,T_TTAFStock_Log[WeekIndex],17)=0,"",SUMIFS(T_TTAFStock_Log[TTAF_Qty],T_TTAFStock_Log[Part Name],$A45,T_TTAFStock_Log[WeekIndex],17))</f>
        <v/>
      </c>
      <c r="S45" s="13">
        <f>IF(COUNTIFS(T_TTAFStock_Log[Part Name],$A45,T_TTAFStock_Log[WeekIndex],18)=0,"",SUMIFS(T_TTAFStock_Log[TTAF_Qty],T_TTAFStock_Log[Part Name],$A45,T_TTAFStock_Log[WeekIndex],18))</f>
        <v/>
      </c>
      <c r="T45" s="13">
        <f>IF(COUNTIFS(T_TTAFStock_Log[Part Name],$A45,T_TTAFStock_Log[WeekIndex],19)=0,"",SUMIFS(T_TTAFStock_Log[TTAF_Qty],T_TTAFStock_Log[Part Name],$A45,T_TTAFStock_Log[WeekIndex],19))</f>
        <v/>
      </c>
      <c r="U45" s="13">
        <f>IF(COUNTIFS(T_TTAFStock_Log[Part Name],$A45,T_TTAFStock_Log[WeekIndex],20)=0,"",SUMIFS(T_TTAFStock_Log[TTAF_Qty],T_TTAFStock_Log[Part Name],$A45,T_TTAFStock_Log[WeekIndex],20))</f>
        <v/>
      </c>
      <c r="V45" s="13">
        <f>IF(COUNTIFS(T_TTAFStock_Log[Part Name],$A45,T_TTAFStock_Log[WeekIndex],21)=0,"",SUMIFS(T_TTAFStock_Log[TTAF_Qty],T_TTAFStock_Log[Part Name],$A45,T_TTAFStock_Log[WeekIndex],21))</f>
        <v/>
      </c>
      <c r="W45" s="13">
        <f>IF(COUNTIFS(T_TTAFStock_Log[Part Name],$A45,T_TTAFStock_Log[WeekIndex],22)=0,"",SUMIFS(T_TTAFStock_Log[TTAF_Qty],T_TTAFStock_Log[Part Name],$A45,T_TTAFStock_Log[WeekIndex],22))</f>
        <v/>
      </c>
      <c r="X45" s="13">
        <f>IF(COUNTIFS(T_TTAFStock_Log[Part Name],$A45,T_TTAFStock_Log[WeekIndex],23)=0,"",SUMIFS(T_TTAFStock_Log[TTAF_Qty],T_TTAFStock_Log[Part Name],$A45,T_TTAFStock_Log[WeekIndex],23))</f>
        <v/>
      </c>
      <c r="Y45" s="13">
        <f>IF(COUNTIFS(T_TTAFStock_Log[Part Name],$A45,T_TTAFStock_Log[WeekIndex],24)=0,"",SUMIFS(T_TTAFStock_Log[TTAF_Qty],T_TTAFStock_Log[Part Name],$A45,T_TTAFStock_Log[WeekIndex],24))</f>
        <v/>
      </c>
      <c r="Z45" s="13">
        <f>IF(COUNTIFS(T_TTAFStock_Log[Part Name],$A45,T_TTAFStock_Log[WeekIndex],25)=0,"",SUMIFS(T_TTAFStock_Log[TTAF_Qty],T_TTAFStock_Log[Part Name],$A45,T_TTAFStock_Log[WeekIndex],25))</f>
        <v/>
      </c>
      <c r="AA45" s="13">
        <f>IF(COUNTIFS(T_TTAFStock_Log[Part Name],$A45,T_TTAFStock_Log[WeekIndex],26)=0,"",SUMIFS(T_TTAFStock_Log[TTAF_Qty],T_TTAFStock_Log[Part Name],$A45,T_TTAFStock_Log[WeekIndex],26))</f>
        <v/>
      </c>
      <c r="AB45" s="13">
        <f>IF(COUNTIFS(T_TTAFStock_Log[Part Name],$A45,T_TTAFStock_Log[WeekIndex],27)=0,"",SUMIFS(T_TTAFStock_Log[TTAF_Qty],T_TTAFStock_Log[Part Name],$A45,T_TTAFStock_Log[WeekIndex],27))</f>
        <v/>
      </c>
      <c r="AC45" s="13">
        <f>IF(COUNTIFS(T_TTAFStock_Log[Part Name],$A45,T_TTAFStock_Log[WeekIndex],28)=0,"",SUMIFS(T_TTAFStock_Log[TTAF_Qty],T_TTAFStock_Log[Part Name],$A45,T_TTAFStock_Log[WeekIndex],28))</f>
        <v/>
      </c>
      <c r="AD45" s="13">
        <f>IF(COUNTIFS(T_TTAFStock_Log[Part Name],$A45,T_TTAFStock_Log[WeekIndex],29)=0,"",SUMIFS(T_TTAFStock_Log[TTAF_Qty],T_TTAFStock_Log[Part Name],$A45,T_TTAFStock_Log[WeekIndex],29))</f>
        <v/>
      </c>
      <c r="AE45" s="13">
        <f>IF(COUNTIFS(T_TTAFStock_Log[Part Name],$A45,T_TTAFStock_Log[WeekIndex],30)=0,"",SUMIFS(T_TTAFStock_Log[TTAF_Qty],T_TTAFStock_Log[Part Name],$A45,T_TTAFStock_Log[WeekIndex],30))</f>
        <v/>
      </c>
      <c r="AF45" s="13">
        <f>IF(COUNTIFS(T_TTAFStock_Log[Part Name],$A45,T_TTAFStock_Log[WeekIndex],31)=0,"",SUMIFS(T_TTAFStock_Log[TTAF_Qty],T_TTAFStock_Log[Part Name],$A45,T_TTAFStock_Log[WeekIndex],31))</f>
        <v/>
      </c>
      <c r="AG45" s="13">
        <f>IF(COUNTIFS(T_TTAFStock_Log[Part Name],$A45,T_TTAFStock_Log[WeekIndex],32)=0,"",SUMIFS(T_TTAFStock_Log[TTAF_Qty],T_TTAFStock_Log[Part Name],$A45,T_TTAFStock_Log[WeekIndex],32))</f>
        <v/>
      </c>
      <c r="AH45" s="13">
        <f>IF(COUNTIFS(T_TTAFStock_Log[Part Name],$A45,T_TTAFStock_Log[WeekIndex],33)=0,"",SUMIFS(T_TTAFStock_Log[TTAF_Qty],T_TTAFStock_Log[Part Name],$A45,T_TTAFStock_Log[WeekIndex],33))</f>
        <v/>
      </c>
      <c r="AI45" s="13">
        <f>IF(COUNTIFS(T_TTAFStock_Log[Part Name],$A45,T_TTAFStock_Log[WeekIndex],34)=0,"",SUMIFS(T_TTAFStock_Log[TTAF_Qty],T_TTAFStock_Log[Part Name],$A45,T_TTAFStock_Log[WeekIndex],34))</f>
        <v/>
      </c>
      <c r="AJ45" s="13">
        <f>IF(COUNTIFS(T_TTAFStock_Log[Part Name],$A45,T_TTAFStock_Log[WeekIndex],35)=0,"",SUMIFS(T_TTAFStock_Log[TTAF_Qty],T_TTAFStock_Log[Part Name],$A45,T_TTAFStock_Log[WeekIndex],35))</f>
        <v/>
      </c>
      <c r="AK45" s="13">
        <f>IF(COUNTIFS(T_TTAFStock_Log[Part Name],$A45,T_TTAFStock_Log[WeekIndex],36)=0,"",SUMIFS(T_TTAFStock_Log[TTAF_Qty],T_TTAFStock_Log[Part Name],$A45,T_TTAFStock_Log[WeekIndex],36))</f>
        <v/>
      </c>
      <c r="AL45" s="13">
        <f>IF(COUNTIFS(T_TTAFStock_Log[Part Name],$A45,T_TTAFStock_Log[WeekIndex],37)=0,"",SUMIFS(T_TTAFStock_Log[TTAF_Qty],T_TTAFStock_Log[Part Name],$A45,T_TTAFStock_Log[WeekIndex],37))</f>
        <v/>
      </c>
      <c r="AM45" s="13">
        <f>IF(COUNTIFS(T_TTAFStock_Log[Part Name],$A45,T_TTAFStock_Log[WeekIndex],38)=0,"",SUMIFS(T_TTAFStock_Log[TTAF_Qty],T_TTAFStock_Log[Part Name],$A45,T_TTAFStock_Log[WeekIndex],38))</f>
        <v/>
      </c>
      <c r="AN45" s="13">
        <f>IF(COUNTIFS(T_TTAFStock_Log[Part Name],$A45,T_TTAFStock_Log[WeekIndex],39)=0,"",SUMIFS(T_TTAFStock_Log[TTAF_Qty],T_TTAFStock_Log[Part Name],$A45,T_TTAFStock_Log[WeekIndex],39))</f>
        <v/>
      </c>
      <c r="AO45" s="13">
        <f>IF(COUNTIFS(T_TTAFStock_Log[Part Name],$A45,T_TTAFStock_Log[WeekIndex],40)=0,"",SUMIFS(T_TTAFStock_Log[TTAF_Qty],T_TTAFStock_Log[Part Name],$A45,T_TTAFStock_Log[WeekIndex],40))</f>
        <v/>
      </c>
      <c r="AP45" s="13">
        <f>IF(COUNTIFS(T_TTAFStock_Log[Part Name],$A45,T_TTAFStock_Log[WeekIndex],41)=0,"",SUMIFS(T_TTAFStock_Log[TTAF_Qty],T_TTAFStock_Log[Part Name],$A45,T_TTAFStock_Log[WeekIndex],41))</f>
        <v/>
      </c>
      <c r="AQ45" s="13">
        <f>IF(COUNTIFS(T_TTAFStock_Log[Part Name],$A45,T_TTAFStock_Log[WeekIndex],42)=0,"",SUMIFS(T_TTAFStock_Log[TTAF_Qty],T_TTAFStock_Log[Part Name],$A45,T_TTAFStock_Log[WeekIndex],42))</f>
        <v/>
      </c>
      <c r="AR45" s="13">
        <f>IF(COUNTIFS(T_TTAFStock_Log[Part Name],$A45,T_TTAFStock_Log[WeekIndex],43)=0,"",SUMIFS(T_TTAFStock_Log[TTAF_Qty],T_TTAFStock_Log[Part Name],$A45,T_TTAFStock_Log[WeekIndex],43))</f>
        <v/>
      </c>
      <c r="AS45" s="13">
        <f>IF(COUNTIFS(T_TTAFStock_Log[Part Name],$A45,T_TTAFStock_Log[WeekIndex],44)=0,"",SUMIFS(T_TTAFStock_Log[TTAF_Qty],T_TTAFStock_Log[Part Name],$A45,T_TTAFStock_Log[WeekIndex],44))</f>
        <v/>
      </c>
      <c r="AT45" s="13">
        <f>IF(COUNTIFS(T_TTAFStock_Log[Part Name],$A45,T_TTAFStock_Log[WeekIndex],45)=0,"",SUMIFS(T_TTAFStock_Log[TTAF_Qty],T_TTAFStock_Log[Part Name],$A45,T_TTAFStock_Log[WeekIndex],45))</f>
        <v/>
      </c>
      <c r="AU45" s="13">
        <f>IF(COUNTIFS(T_TTAFStock_Log[Part Name],$A45,T_TTAFStock_Log[WeekIndex],46)=0,"",SUMIFS(T_TTAFStock_Log[TTAF_Qty],T_TTAFStock_Log[Part Name],$A45,T_TTAFStock_Log[WeekIndex],46))</f>
        <v/>
      </c>
      <c r="AV45" s="13">
        <f>IF(COUNTIFS(T_TTAFStock_Log[Part Name],$A45,T_TTAFStock_Log[WeekIndex],47)=0,"",SUMIFS(T_TTAFStock_Log[TTAF_Qty],T_TTAFStock_Log[Part Name],$A45,T_TTAFStock_Log[WeekIndex],47))</f>
        <v/>
      </c>
      <c r="AW45" s="13">
        <f>IF(COUNTIFS(T_TTAFStock_Log[Part Name],$A45,T_TTAFStock_Log[WeekIndex],48)=0,"",SUMIFS(T_TTAFStock_Log[TTAF_Qty],T_TTAFStock_Log[Part Name],$A45,T_TTAFStock_Log[WeekIndex],48))</f>
        <v/>
      </c>
      <c r="AX45" s="13">
        <f>IF(COUNTIFS(T_TTAFStock_Log[Part Name],$A45,T_TTAFStock_Log[WeekIndex],49)=0,"",SUMIFS(T_TTAFStock_Log[TTAF_Qty],T_TTAFStock_Log[Part Name],$A45,T_TTAFStock_Log[WeekIndex],49))</f>
        <v/>
      </c>
      <c r="AY45" s="13">
        <f>IF(COUNTIFS(T_TTAFStock_Log[Part Name],$A45,T_TTAFStock_Log[WeekIndex],50)=0,"",SUMIFS(T_TTAFStock_Log[TTAF_Qty],T_TTAFStock_Log[Part Name],$A45,T_TTAFStock_Log[WeekIndex],50))</f>
        <v/>
      </c>
      <c r="AZ45" s="13">
        <f>IF(COUNTIFS(T_TTAFStock_Log[Part Name],$A45,T_TTAFStock_Log[WeekIndex],51)=0,"",SUMIFS(T_TTAFStock_Log[TTAF_Qty],T_TTAFStock_Log[Part Name],$A45,T_TTAFStock_Log[WeekIndex],51))</f>
        <v/>
      </c>
      <c r="BA45" s="13">
        <f>IF(COUNTIFS(T_TTAFStock_Log[Part Name],$A45,T_TTAFStock_Log[WeekIndex],52)=0,"",SUMIFS(T_TTAFStock_Log[TTAF_Qty],T_TTAFStock_Log[Part Name],$A45,T_TTAFStock_Log[WeekIndex],52))</f>
        <v/>
      </c>
      <c r="BB45" s="13">
        <f>IF(COUNTIFS(T_TTAFStock_Log[Part Name],$A45,T_TTAFStock_Log[WeekIndex],53)=0,"",SUMIFS(T_TTAFStock_Log[TTAF_Qty],T_TTAFStock_Log[Part Name],$A45,T_TTAFStock_Log[WeekIndex],53))</f>
        <v/>
      </c>
      <c r="BC45" s="13">
        <f>IF(COUNTIFS(T_TTAFStock_Log[Part Name],$A45,T_TTAFStock_Log[WeekIndex],54)=0,"",SUMIFS(T_TTAFStock_Log[TTAF_Qty],T_TTAFStock_Log[Part Name],$A45,T_TTAFStock_Log[WeekIndex],54))</f>
        <v/>
      </c>
      <c r="BD45" s="13">
        <f>IF(COUNTIFS(T_TTAFStock_Log[Part Name],$A45,T_TTAFStock_Log[WeekIndex],55)=0,"",SUMIFS(T_TTAFStock_Log[TTAF_Qty],T_TTAFStock_Log[Part Name],$A45,T_TTAFStock_Log[WeekIndex],55))</f>
        <v/>
      </c>
      <c r="BE45" s="13">
        <f>IF(COUNTIFS(T_TTAFStock_Log[Part Name],$A45,T_TTAFStock_Log[WeekIndex],56)=0,"",SUMIFS(T_TTAFStock_Log[TTAF_Qty],T_TTAFStock_Log[Part Name],$A45,T_TTAFStock_Log[WeekIndex],56))</f>
        <v/>
      </c>
      <c r="BF45" s="13">
        <f>IF(COUNTIFS(T_TTAFStock_Log[Part Name],$A45,T_TTAFStock_Log[WeekIndex],57)=0,"",SUMIFS(T_TTAFStock_Log[TTAF_Qty],T_TTAFStock_Log[Part Name],$A45,T_TTAFStock_Log[WeekIndex],57))</f>
        <v/>
      </c>
      <c r="BG45" s="13">
        <f>IF(COUNTIFS(T_TTAFStock_Log[Part Name],$A45,T_TTAFStock_Log[WeekIndex],58)=0,"",SUMIFS(T_TTAFStock_Log[TTAF_Qty],T_TTAFStock_Log[Part Name],$A45,T_TTAFStock_Log[WeekIndex],58))</f>
        <v/>
      </c>
      <c r="BH45" s="13">
        <f>IF(COUNTIFS(T_TTAFStock_Log[Part Name],$A45,T_TTAFStock_Log[WeekIndex],59)=0,"",SUMIFS(T_TTAFStock_Log[TTAF_Qty],T_TTAFStock_Log[Part Name],$A45,T_TTAFStock_Log[WeekIndex],59))</f>
        <v/>
      </c>
      <c r="BI45" s="13">
        <f>IF(COUNTIFS(T_TTAFStock_Log[Part Name],$A45,T_TTAFStock_Log[WeekIndex],60)=0,"",SUMIFS(T_TTAFStock_Log[TTAF_Qty],T_TTAFStock_Log[Part Name],$A45,T_TTAFStock_Log[WeekIndex],60))</f>
        <v/>
      </c>
      <c r="BJ45" s="13">
        <f>IF(COUNTIFS(T_TTAFStock_Log[Part Name],$A45,T_TTAFStock_Log[WeekIndex],61)=0,"",SUMIFS(T_TTAFStock_Log[TTAF_Qty],T_TTAFStock_Log[Part Name],$A45,T_TTAFStock_Log[WeekIndex],61))</f>
        <v/>
      </c>
      <c r="BK45" s="13">
        <f>IF(COUNTIFS(T_TTAFStock_Log[Part Name],$A45,T_TTAFStock_Log[WeekIndex],62)=0,"",SUMIFS(T_TTAFStock_Log[TTAF_Qty],T_TTAFStock_Log[Part Name],$A45,T_TTAFStock_Log[WeekIndex],62))</f>
        <v/>
      </c>
      <c r="BL45" s="13">
        <f>IF(COUNTIFS(T_TTAFStock_Log[Part Name],$A45,T_TTAFStock_Log[WeekIndex],63)=0,"",SUMIFS(T_TTAFStock_Log[TTAF_Qty],T_TTAFStock_Log[Part Name],$A45,T_TTAFStock_Log[WeekIndex],63))</f>
        <v/>
      </c>
      <c r="BM45" s="13">
        <f>IF(COUNTIFS(T_TTAFStock_Log[Part Name],$A45,T_TTAFStock_Log[WeekIndex],64)=0,"",SUMIFS(T_TTAFStock_Log[TTAF_Qty],T_TTAFStock_Log[Part Name],$A45,T_TTAFStock_Log[WeekIndex],64))</f>
        <v/>
      </c>
      <c r="BN45" s="13">
        <f>IF(COUNTIFS(T_TTAFStock_Log[Part Name],$A45,T_TTAFStock_Log[WeekIndex],65)=0,"",SUMIFS(T_TTAFStock_Log[TTAF_Qty],T_TTAFStock_Log[Part Name],$A45,T_TTAFStock_Log[WeekIndex],65))</f>
        <v/>
      </c>
      <c r="BO45" s="13">
        <f>IF(COUNTIFS(T_TTAFStock_Log[Part Name],$A45,T_TTAFStock_Log[WeekIndex],66)=0,"",SUMIFS(T_TTAFStock_Log[TTAF_Qty],T_TTAFStock_Log[Part Name],$A45,T_TTAFStock_Log[WeekIndex],66))</f>
        <v/>
      </c>
      <c r="BP45" s="13">
        <f>IF(COUNTIFS(T_TTAFStock_Log[Part Name],$A45,T_TTAFStock_Log[WeekIndex],67)=0,"",SUMIFS(T_TTAFStock_Log[TTAF_Qty],T_TTAFStock_Log[Part Name],$A45,T_TTAFStock_Log[WeekIndex],67))</f>
        <v/>
      </c>
      <c r="BQ45" s="13">
        <f>IF(COUNTIFS(T_TTAFStock_Log[Part Name],$A45,T_TTAFStock_Log[WeekIndex],68)=0,"",SUMIFS(T_TTAFStock_Log[TTAF_Qty],T_TTAFStock_Log[Part Name],$A45,T_TTAFStock_Log[WeekIndex],68))</f>
        <v/>
      </c>
      <c r="BR45" s="13">
        <f>IF(COUNTIFS(T_TTAFStock_Log[Part Name],$A45,T_TTAFStock_Log[WeekIndex],69)=0,"",SUMIFS(T_TTAFStock_Log[TTAF_Qty],T_TTAFStock_Log[Part Name],$A45,T_TTAFStock_Log[WeekIndex],69))</f>
        <v/>
      </c>
      <c r="BS45" s="13">
        <f>IF(COUNTIFS(T_TTAFStock_Log[Part Name],$A45,T_TTAFStock_Log[WeekIndex],70)=0,"",SUMIFS(T_TTAFStock_Log[TTAF_Qty],T_TTAFStock_Log[Part Name],$A45,T_TTAFStock_Log[WeekIndex],70))</f>
        <v/>
      </c>
      <c r="BT45" s="13">
        <f>IF(COUNTIFS(T_TTAFStock_Log[Part Name],$A45,T_TTAFStock_Log[WeekIndex],71)=0,"",SUMIFS(T_TTAFStock_Log[TTAF_Qty],T_TTAFStock_Log[Part Name],$A45,T_TTAFStock_Log[WeekIndex],71))</f>
        <v/>
      </c>
      <c r="BU45" s="13">
        <f>IF(COUNTIFS(T_TTAFStock_Log[Part Name],$A45,T_TTAFStock_Log[WeekIndex],72)=0,"",SUMIFS(T_TTAFStock_Log[TTAF_Qty],T_TTAFStock_Log[Part Name],$A45,T_TTAFStock_Log[WeekIndex],72))</f>
        <v/>
      </c>
      <c r="BV45" s="13">
        <f>IF(COUNTIFS(T_TTAFStock_Log[Part Name],$A45,T_TTAFStock_Log[WeekIndex],73)=0,"",SUMIFS(T_TTAFStock_Log[TTAF_Qty],T_TTAFStock_Log[Part Name],$A45,T_TTAFStock_Log[WeekIndex],73))</f>
        <v/>
      </c>
      <c r="BW45" s="13">
        <f>IF(COUNTIFS(T_TTAFStock_Log[Part Name],$A45,T_TTAFStock_Log[WeekIndex],74)=0,"",SUMIFS(T_TTAFStock_Log[TTAF_Qty],T_TTAFStock_Log[Part Name],$A45,T_TTAFStock_Log[WeekIndex],74))</f>
        <v/>
      </c>
      <c r="BX45" s="13">
        <f>IF(COUNTIFS(T_TTAFStock_Log[Part Name],$A45,T_TTAFStock_Log[WeekIndex],75)=0,"",SUMIFS(T_TTAFStock_Log[TTAF_Qty],T_TTAFStock_Log[Part Name],$A45,T_TTAFStock_Log[WeekIndex],75))</f>
        <v/>
      </c>
      <c r="BY45" s="13">
        <f>IF(COUNTIFS(T_TTAFStock_Log[Part Name],$A45,T_TTAFStock_Log[WeekIndex],76)=0,"",SUMIFS(T_TTAFStock_Log[TTAF_Qty],T_TTAFStock_Log[Part Name],$A45,T_TTAFStock_Log[WeekIndex],76))</f>
        <v/>
      </c>
      <c r="BZ45" s="13">
        <f>IF(COUNTIFS(T_TTAFStock_Log[Part Name],$A45,T_TTAFStock_Log[WeekIndex],77)=0,"",SUMIFS(T_TTAFStock_Log[TTAF_Qty],T_TTAFStock_Log[Part Name],$A45,T_TTAFStock_Log[WeekIndex],77))</f>
        <v/>
      </c>
      <c r="CA45" s="13">
        <f>IF(COUNTIFS(T_TTAFStock_Log[Part Name],$A45,T_TTAFStock_Log[WeekIndex],78)=0,"",SUMIFS(T_TTAFStock_Log[TTAF_Qty],T_TTAFStock_Log[Part Name],$A45,T_TTAFStock_Log[WeekIndex],78))</f>
        <v/>
      </c>
      <c r="CB45" s="13">
        <f>IF(COUNTIFS(T_TTAFStock_Log[Part Name],$A45,T_TTAFStock_Log[WeekIndex],79)=0,"",SUMIFS(T_TTAFStock_Log[TTAF_Qty],T_TTAFStock_Log[Part Name],$A45,T_TTAFStock_Log[WeekIndex],79))</f>
        <v/>
      </c>
      <c r="CC45" s="13">
        <f>IF(COUNTIFS(T_TTAFStock_Log[Part Name],$A45,T_TTAFStock_Log[WeekIndex],80)=0,"",SUMIFS(T_TTAFStock_Log[TTAF_Qty],T_TTAFStock_Log[Part Name],$A45,T_TTAFStock_Log[WeekIndex],80))</f>
        <v/>
      </c>
      <c r="CD45" s="13">
        <f>IF(COUNTIFS(T_TTAFStock_Log[Part Name],$A45,T_TTAFStock_Log[WeekIndex],81)=0,"",SUMIFS(T_TTAFStock_Log[TTAF_Qty],T_TTAFStock_Log[Part Name],$A45,T_TTAFStock_Log[WeekIndex],81))</f>
        <v/>
      </c>
      <c r="CE45" s="13">
        <f>IF(COUNTIFS(T_TTAFStock_Log[Part Name],$A45,T_TTAFStock_Log[WeekIndex],82)=0,"",SUMIFS(T_TTAFStock_Log[TTAF_Qty],T_TTAFStock_Log[Part Name],$A45,T_TTAFStock_Log[WeekIndex],82))</f>
        <v/>
      </c>
      <c r="CF45" s="13">
        <f>IF(COUNTIFS(T_TTAFStock_Log[Part Name],$A45,T_TTAFStock_Log[WeekIndex],83)=0,"",SUMIFS(T_TTAFStock_Log[TTAF_Qty],T_TTAFStock_Log[Part Name],$A45,T_TTAFStock_Log[WeekIndex],83))</f>
        <v/>
      </c>
      <c r="CG45" s="13">
        <f>IF(COUNTIFS(T_TTAFStock_Log[Part Name],$A45,T_TTAFStock_Log[WeekIndex],84)=0,"",SUMIFS(T_TTAFStock_Log[TTAF_Qty],T_TTAFStock_Log[Part Name],$A45,T_TTAFStock_Log[WeekIndex],84))</f>
        <v/>
      </c>
      <c r="CH45" s="13">
        <f>IF(COUNTIFS(T_TTAFStock_Log[Part Name],$A45,T_TTAFStock_Log[WeekIndex],85)=0,"",SUMIFS(T_TTAFStock_Log[TTAF_Qty],T_TTAFStock_Log[Part Name],$A45,T_TTAFStock_Log[WeekIndex],85))</f>
        <v/>
      </c>
      <c r="CI45" s="13">
        <f>IF(COUNTIFS(T_TTAFStock_Log[Part Name],$A45,T_TTAFStock_Log[WeekIndex],86)=0,"",SUMIFS(T_TTAFStock_Log[TTAF_Qty],T_TTAFStock_Log[Part Name],$A45,T_TTAFStock_Log[WeekIndex],86))</f>
        <v/>
      </c>
      <c r="CJ45" s="13">
        <f>IF(COUNTIFS(T_TTAFStock_Log[Part Name],$A45,T_TTAFStock_Log[WeekIndex],87)=0,"",SUMIFS(T_TTAFStock_Log[TTAF_Qty],T_TTAFStock_Log[Part Name],$A45,T_TTAFStock_Log[WeekIndex],87))</f>
        <v/>
      </c>
      <c r="CK45" s="13">
        <f>IF(COUNTIFS(T_TTAFStock_Log[Part Name],$A45,T_TTAFStock_Log[WeekIndex],88)=0,"",SUMIFS(T_TTAFStock_Log[TTAF_Qty],T_TTAFStock_Log[Part Name],$A45,T_TTAFStock_Log[WeekIndex],88))</f>
        <v/>
      </c>
      <c r="CL45" s="13">
        <f>IF(COUNTIFS(T_TTAFStock_Log[Part Name],$A45,T_TTAFStock_Log[WeekIndex],89)=0,"",SUMIFS(T_TTAFStock_Log[TTAF_Qty],T_TTAFStock_Log[Part Name],$A45,T_TTAFStock_Log[WeekIndex],89))</f>
        <v/>
      </c>
      <c r="CM45" s="13">
        <f>IF(COUNTIFS(T_TTAFStock_Log[Part Name],$A45,T_TTAFStock_Log[WeekIndex],90)=0,"",SUMIFS(T_TTAFStock_Log[TTAF_Qty],T_TTAFStock_Log[Part Name],$A45,T_TTAFStock_Log[WeekIndex],90))</f>
        <v/>
      </c>
      <c r="CN45" s="13">
        <f>IF(COUNTIFS(T_TTAFStock_Log[Part Name],$A45,T_TTAFStock_Log[WeekIndex],91)=0,"",SUMIFS(T_TTAFStock_Log[TTAF_Qty],T_TTAFStock_Log[Part Name],$A45,T_TTAFStock_Log[WeekIndex],91))</f>
        <v/>
      </c>
      <c r="CO45" s="13">
        <f>IF(COUNTIFS(T_TTAFStock_Log[Part Name],$A45,T_TTAFStock_Log[WeekIndex],92)=0,"",SUMIFS(T_TTAFStock_Log[TTAF_Qty],T_TTAFStock_Log[Part Name],$A45,T_TTAFStock_Log[WeekIndex],92))</f>
        <v/>
      </c>
      <c r="CP45" s="13">
        <f>IF(COUNTIFS(T_TTAFStock_Log[Part Name],$A45,T_TTAFStock_Log[WeekIndex],93)=0,"",SUMIFS(T_TTAFStock_Log[TTAF_Qty],T_TTAFStock_Log[Part Name],$A45,T_TTAFStock_Log[WeekIndex],93))</f>
        <v/>
      </c>
      <c r="CQ45" s="13">
        <f>IF(COUNTIFS(T_TTAFStock_Log[Part Name],$A45,T_TTAFStock_Log[WeekIndex],94)=0,"",SUMIFS(T_TTAFStock_Log[TTAF_Qty],T_TTAFStock_Log[Part Name],$A45,T_TTAFStock_Log[WeekIndex],94))</f>
        <v/>
      </c>
      <c r="CR45" s="13">
        <f>IF(COUNTIFS(T_TTAFStock_Log[Part Name],$A45,T_TTAFStock_Log[WeekIndex],95)=0,"",SUMIFS(T_TTAFStock_Log[TTAF_Qty],T_TTAFStock_Log[Part Name],$A45,T_TTAFStock_Log[WeekIndex],95))</f>
        <v/>
      </c>
      <c r="CS45" s="13">
        <f>IF(COUNTIFS(T_TTAFStock_Log[Part Name],$A45,T_TTAFStock_Log[WeekIndex],96)=0,"",SUMIFS(T_TTAFStock_Log[TTAF_Qty],T_TTAFStock_Log[Part Name],$A45,T_TTAFStock_Log[WeekIndex],96))</f>
        <v/>
      </c>
      <c r="CT45" s="13">
        <f>IF(COUNTIFS(T_TTAFStock_Log[Part Name],$A45,T_TTAFStock_Log[WeekIndex],97)=0,"",SUMIFS(T_TTAFStock_Log[TTAF_Qty],T_TTAFStock_Log[Part Name],$A45,T_TTAFStock_Log[WeekIndex],97))</f>
        <v/>
      </c>
      <c r="CU45" s="13">
        <f>IF(COUNTIFS(T_TTAFStock_Log[Part Name],$A45,T_TTAFStock_Log[WeekIndex],98)=0,"",SUMIFS(T_TTAFStock_Log[TTAF_Qty],T_TTAFStock_Log[Part Name],$A45,T_TTAFStock_Log[WeekIndex],98))</f>
        <v/>
      </c>
      <c r="CV45" s="13">
        <f>IF(COUNTIFS(T_TTAFStock_Log[Part Name],$A45,T_TTAFStock_Log[WeekIndex],99)=0,"",SUMIFS(T_TTAFStock_Log[TTAF_Qty],T_TTAFStock_Log[Part Name],$A45,T_TTAFStock_Log[WeekIndex],99))</f>
        <v/>
      </c>
      <c r="CW45" s="13">
        <f>IF(COUNTIFS(T_TTAFStock_Log[Part Name],$A45,T_TTAFStock_Log[WeekIndex],100)=0,"",SUMIFS(T_TTAFStock_Log[TTAF_Qty],T_TTAFStock_Log[Part Name],$A45,T_TTAFStock_Log[WeekIndex],100))</f>
        <v/>
      </c>
      <c r="CX45" s="13">
        <f>IF(COUNTIFS(T_TTAFStock_Log[Part Name],$A45,T_TTAFStock_Log[WeekIndex],101)=0,"",SUMIFS(T_TTAFStock_Log[TTAF_Qty],T_TTAFStock_Log[Part Name],$A45,T_TTAFStock_Log[WeekIndex],101))</f>
        <v/>
      </c>
      <c r="CY45" s="13">
        <f>IF(COUNTIFS(T_TTAFStock_Log[Part Name],$A45,T_TTAFStock_Log[WeekIndex],102)=0,"",SUMIFS(T_TTAFStock_Log[TTAF_Qty],T_TTAFStock_Log[Part Name],$A45,T_TTAFStock_Log[WeekIndex],102))</f>
        <v/>
      </c>
      <c r="CZ45" s="13">
        <f>IF(COUNTIFS(T_TTAFStock_Log[Part Name],$A45,T_TTAFStock_Log[WeekIndex],103)=0,"",SUMIFS(T_TTAFStock_Log[TTAF_Qty],T_TTAFStock_Log[Part Name],$A45,T_TTAFStock_Log[WeekIndex],103))</f>
        <v/>
      </c>
      <c r="DA45" s="13">
        <f>IF(COUNTIFS(T_TTAFStock_Log[Part Name],$A45,T_TTAFStock_Log[WeekIndex],104)=0,"",SUMIFS(T_TTAFStock_Log[TTAF_Qty],T_TTAFStock_Log[Part Name],$A45,T_TTAFStock_Log[WeekIndex],104))</f>
        <v/>
      </c>
    </row>
    <row r="46">
      <c r="A46" s="12" t="inlineStr">
        <is>
          <t>V03</t>
        </is>
      </c>
      <c r="B46" s="12">
        <f>IF(COUNTIFS(T_TTAFStock_Log[Part Name],$A46,T_TTAFStock_Log[WeekIndex],1)=0,"",SUMIFS(T_TTAFStock_Log[TTAF_Qty],T_TTAFStock_Log[Part Name],$A46,T_TTAFStock_Log[WeekIndex],1))</f>
        <v/>
      </c>
      <c r="C46" s="12">
        <f>IF(COUNTIFS(T_TTAFStock_Log[Part Name],$A46,T_TTAFStock_Log[WeekIndex],2)=0,"",SUMIFS(T_TTAFStock_Log[TTAF_Qty],T_TTAFStock_Log[Part Name],$A46,T_TTAFStock_Log[WeekIndex],2))</f>
        <v/>
      </c>
      <c r="D46" s="12">
        <f>IF(COUNTIFS(T_TTAFStock_Log[Part Name],$A46,T_TTAFStock_Log[WeekIndex],3)=0,"",SUMIFS(T_TTAFStock_Log[TTAF_Qty],T_TTAFStock_Log[Part Name],$A46,T_TTAFStock_Log[WeekIndex],3))</f>
        <v/>
      </c>
      <c r="E46" s="12">
        <f>IF(COUNTIFS(T_TTAFStock_Log[Part Name],$A46,T_TTAFStock_Log[WeekIndex],4)=0,"",SUMIFS(T_TTAFStock_Log[TTAF_Qty],T_TTAFStock_Log[Part Name],$A46,T_TTAFStock_Log[WeekIndex],4))</f>
        <v/>
      </c>
      <c r="F46" s="12">
        <f>IF(COUNTIFS(T_TTAFStock_Log[Part Name],$A46,T_TTAFStock_Log[WeekIndex],5)=0,"",SUMIFS(T_TTAFStock_Log[TTAF_Qty],T_TTAFStock_Log[Part Name],$A46,T_TTAFStock_Log[WeekIndex],5))</f>
        <v/>
      </c>
      <c r="G46" s="12">
        <f>IF(COUNTIFS(T_TTAFStock_Log[Part Name],$A46,T_TTAFStock_Log[WeekIndex],6)=0,"",SUMIFS(T_TTAFStock_Log[TTAF_Qty],T_TTAFStock_Log[Part Name],$A46,T_TTAFStock_Log[WeekIndex],6))</f>
        <v/>
      </c>
      <c r="H46" s="12">
        <f>IF(COUNTIFS(T_TTAFStock_Log[Part Name],$A46,T_TTAFStock_Log[WeekIndex],7)=0,"",SUMIFS(T_TTAFStock_Log[TTAF_Qty],T_TTAFStock_Log[Part Name],$A46,T_TTAFStock_Log[WeekIndex],7))</f>
        <v/>
      </c>
      <c r="I46" s="12">
        <f>IF(COUNTIFS(T_TTAFStock_Log[Part Name],$A46,T_TTAFStock_Log[WeekIndex],8)=0,"",SUMIFS(T_TTAFStock_Log[TTAF_Qty],T_TTAFStock_Log[Part Name],$A46,T_TTAFStock_Log[WeekIndex],8))</f>
        <v/>
      </c>
      <c r="J46" s="12">
        <f>IF(COUNTIFS(T_TTAFStock_Log[Part Name],$A46,T_TTAFStock_Log[WeekIndex],9)=0,"",SUMIFS(T_TTAFStock_Log[TTAF_Qty],T_TTAFStock_Log[Part Name],$A46,T_TTAFStock_Log[WeekIndex],9))</f>
        <v/>
      </c>
      <c r="K46" s="12">
        <f>IF(COUNTIFS(T_TTAFStock_Log[Part Name],$A46,T_TTAFStock_Log[WeekIndex],10)=0,"",SUMIFS(T_TTAFStock_Log[TTAF_Qty],T_TTAFStock_Log[Part Name],$A46,T_TTAFStock_Log[WeekIndex],10))</f>
        <v/>
      </c>
      <c r="L46" s="12">
        <f>IF(COUNTIFS(T_TTAFStock_Log[Part Name],$A46,T_TTAFStock_Log[WeekIndex],11)=0,"",SUMIFS(T_TTAFStock_Log[TTAF_Qty],T_TTAFStock_Log[Part Name],$A46,T_TTAFStock_Log[WeekIndex],11))</f>
        <v/>
      </c>
      <c r="M46" s="12">
        <f>IF(COUNTIFS(T_TTAFStock_Log[Part Name],$A46,T_TTAFStock_Log[WeekIndex],12)=0,"",SUMIFS(T_TTAFStock_Log[TTAF_Qty],T_TTAFStock_Log[Part Name],$A46,T_TTAFStock_Log[WeekIndex],12))</f>
        <v/>
      </c>
      <c r="N46" s="12">
        <f>IF(COUNTIFS(T_TTAFStock_Log[Part Name],$A46,T_TTAFStock_Log[WeekIndex],13)=0,"",SUMIFS(T_TTAFStock_Log[TTAF_Qty],T_TTAFStock_Log[Part Name],$A46,T_TTAFStock_Log[WeekIndex],13))</f>
        <v/>
      </c>
      <c r="O46" s="12">
        <f>IF(COUNTIFS(T_TTAFStock_Log[Part Name],$A46,T_TTAFStock_Log[WeekIndex],14)=0,"",SUMIFS(T_TTAFStock_Log[TTAF_Qty],T_TTAFStock_Log[Part Name],$A46,T_TTAFStock_Log[WeekIndex],14))</f>
        <v/>
      </c>
      <c r="P46" s="12">
        <f>IF(COUNTIFS(T_TTAFStock_Log[Part Name],$A46,T_TTAFStock_Log[WeekIndex],15)=0,"",SUMIFS(T_TTAFStock_Log[TTAF_Qty],T_TTAFStock_Log[Part Name],$A46,T_TTAFStock_Log[WeekIndex],15))</f>
        <v/>
      </c>
      <c r="Q46" s="12">
        <f>IF(COUNTIFS(T_TTAFStock_Log[Part Name],$A46,T_TTAFStock_Log[WeekIndex],16)=0,"",SUMIFS(T_TTAFStock_Log[TTAF_Qty],T_TTAFStock_Log[Part Name],$A46,T_TTAFStock_Log[WeekIndex],16))</f>
        <v/>
      </c>
      <c r="R46" s="12">
        <f>IF(COUNTIFS(T_TTAFStock_Log[Part Name],$A46,T_TTAFStock_Log[WeekIndex],17)=0,"",SUMIFS(T_TTAFStock_Log[TTAF_Qty],T_TTAFStock_Log[Part Name],$A46,T_TTAFStock_Log[WeekIndex],17))</f>
        <v/>
      </c>
      <c r="S46" s="12">
        <f>IF(COUNTIFS(T_TTAFStock_Log[Part Name],$A46,T_TTAFStock_Log[WeekIndex],18)=0,"",SUMIFS(T_TTAFStock_Log[TTAF_Qty],T_TTAFStock_Log[Part Name],$A46,T_TTAFStock_Log[WeekIndex],18))</f>
        <v/>
      </c>
      <c r="T46" s="12">
        <f>IF(COUNTIFS(T_TTAFStock_Log[Part Name],$A46,T_TTAFStock_Log[WeekIndex],19)=0,"",SUMIFS(T_TTAFStock_Log[TTAF_Qty],T_TTAFStock_Log[Part Name],$A46,T_TTAFStock_Log[WeekIndex],19))</f>
        <v/>
      </c>
      <c r="U46" s="12">
        <f>IF(COUNTIFS(T_TTAFStock_Log[Part Name],$A46,T_TTAFStock_Log[WeekIndex],20)=0,"",SUMIFS(T_TTAFStock_Log[TTAF_Qty],T_TTAFStock_Log[Part Name],$A46,T_TTAFStock_Log[WeekIndex],20))</f>
        <v/>
      </c>
      <c r="V46" s="12">
        <f>IF(COUNTIFS(T_TTAFStock_Log[Part Name],$A46,T_TTAFStock_Log[WeekIndex],21)=0,"",SUMIFS(T_TTAFStock_Log[TTAF_Qty],T_TTAFStock_Log[Part Name],$A46,T_TTAFStock_Log[WeekIndex],21))</f>
        <v/>
      </c>
      <c r="W46" s="12">
        <f>IF(COUNTIFS(T_TTAFStock_Log[Part Name],$A46,T_TTAFStock_Log[WeekIndex],22)=0,"",SUMIFS(T_TTAFStock_Log[TTAF_Qty],T_TTAFStock_Log[Part Name],$A46,T_TTAFStock_Log[WeekIndex],22))</f>
        <v/>
      </c>
      <c r="X46" s="12">
        <f>IF(COUNTIFS(T_TTAFStock_Log[Part Name],$A46,T_TTAFStock_Log[WeekIndex],23)=0,"",SUMIFS(T_TTAFStock_Log[TTAF_Qty],T_TTAFStock_Log[Part Name],$A46,T_TTAFStock_Log[WeekIndex],23))</f>
        <v/>
      </c>
      <c r="Y46" s="12">
        <f>IF(COUNTIFS(T_TTAFStock_Log[Part Name],$A46,T_TTAFStock_Log[WeekIndex],24)=0,"",SUMIFS(T_TTAFStock_Log[TTAF_Qty],T_TTAFStock_Log[Part Name],$A46,T_TTAFStock_Log[WeekIndex],24))</f>
        <v/>
      </c>
      <c r="Z46" s="12">
        <f>IF(COUNTIFS(T_TTAFStock_Log[Part Name],$A46,T_TTAFStock_Log[WeekIndex],25)=0,"",SUMIFS(T_TTAFStock_Log[TTAF_Qty],T_TTAFStock_Log[Part Name],$A46,T_TTAFStock_Log[WeekIndex],25))</f>
        <v/>
      </c>
      <c r="AA46" s="12">
        <f>IF(COUNTIFS(T_TTAFStock_Log[Part Name],$A46,T_TTAFStock_Log[WeekIndex],26)=0,"",SUMIFS(T_TTAFStock_Log[TTAF_Qty],T_TTAFStock_Log[Part Name],$A46,T_TTAFStock_Log[WeekIndex],26))</f>
        <v/>
      </c>
      <c r="AB46" s="12">
        <f>IF(COUNTIFS(T_TTAFStock_Log[Part Name],$A46,T_TTAFStock_Log[WeekIndex],27)=0,"",SUMIFS(T_TTAFStock_Log[TTAF_Qty],T_TTAFStock_Log[Part Name],$A46,T_TTAFStock_Log[WeekIndex],27))</f>
        <v/>
      </c>
      <c r="AC46" s="12">
        <f>IF(COUNTIFS(T_TTAFStock_Log[Part Name],$A46,T_TTAFStock_Log[WeekIndex],28)=0,"",SUMIFS(T_TTAFStock_Log[TTAF_Qty],T_TTAFStock_Log[Part Name],$A46,T_TTAFStock_Log[WeekIndex],28))</f>
        <v/>
      </c>
      <c r="AD46" s="12">
        <f>IF(COUNTIFS(T_TTAFStock_Log[Part Name],$A46,T_TTAFStock_Log[WeekIndex],29)=0,"",SUMIFS(T_TTAFStock_Log[TTAF_Qty],T_TTAFStock_Log[Part Name],$A46,T_TTAFStock_Log[WeekIndex],29))</f>
        <v/>
      </c>
      <c r="AE46" s="12">
        <f>IF(COUNTIFS(T_TTAFStock_Log[Part Name],$A46,T_TTAFStock_Log[WeekIndex],30)=0,"",SUMIFS(T_TTAFStock_Log[TTAF_Qty],T_TTAFStock_Log[Part Name],$A46,T_TTAFStock_Log[WeekIndex],30))</f>
        <v/>
      </c>
      <c r="AF46" s="12">
        <f>IF(COUNTIFS(T_TTAFStock_Log[Part Name],$A46,T_TTAFStock_Log[WeekIndex],31)=0,"",SUMIFS(T_TTAFStock_Log[TTAF_Qty],T_TTAFStock_Log[Part Name],$A46,T_TTAFStock_Log[WeekIndex],31))</f>
        <v/>
      </c>
      <c r="AG46" s="12">
        <f>IF(COUNTIFS(T_TTAFStock_Log[Part Name],$A46,T_TTAFStock_Log[WeekIndex],32)=0,"",SUMIFS(T_TTAFStock_Log[TTAF_Qty],T_TTAFStock_Log[Part Name],$A46,T_TTAFStock_Log[WeekIndex],32))</f>
        <v/>
      </c>
      <c r="AH46" s="12">
        <f>IF(COUNTIFS(T_TTAFStock_Log[Part Name],$A46,T_TTAFStock_Log[WeekIndex],33)=0,"",SUMIFS(T_TTAFStock_Log[TTAF_Qty],T_TTAFStock_Log[Part Name],$A46,T_TTAFStock_Log[WeekIndex],33))</f>
        <v/>
      </c>
      <c r="AI46" s="12">
        <f>IF(COUNTIFS(T_TTAFStock_Log[Part Name],$A46,T_TTAFStock_Log[WeekIndex],34)=0,"",SUMIFS(T_TTAFStock_Log[TTAF_Qty],T_TTAFStock_Log[Part Name],$A46,T_TTAFStock_Log[WeekIndex],34))</f>
        <v/>
      </c>
      <c r="AJ46" s="12">
        <f>IF(COUNTIFS(T_TTAFStock_Log[Part Name],$A46,T_TTAFStock_Log[WeekIndex],35)=0,"",SUMIFS(T_TTAFStock_Log[TTAF_Qty],T_TTAFStock_Log[Part Name],$A46,T_TTAFStock_Log[WeekIndex],35))</f>
        <v/>
      </c>
      <c r="AK46" s="12">
        <f>IF(COUNTIFS(T_TTAFStock_Log[Part Name],$A46,T_TTAFStock_Log[WeekIndex],36)=0,"",SUMIFS(T_TTAFStock_Log[TTAF_Qty],T_TTAFStock_Log[Part Name],$A46,T_TTAFStock_Log[WeekIndex],36))</f>
        <v/>
      </c>
      <c r="AL46" s="12">
        <f>IF(COUNTIFS(T_TTAFStock_Log[Part Name],$A46,T_TTAFStock_Log[WeekIndex],37)=0,"",SUMIFS(T_TTAFStock_Log[TTAF_Qty],T_TTAFStock_Log[Part Name],$A46,T_TTAFStock_Log[WeekIndex],37))</f>
        <v/>
      </c>
      <c r="AM46" s="12">
        <f>IF(COUNTIFS(T_TTAFStock_Log[Part Name],$A46,T_TTAFStock_Log[WeekIndex],38)=0,"",SUMIFS(T_TTAFStock_Log[TTAF_Qty],T_TTAFStock_Log[Part Name],$A46,T_TTAFStock_Log[WeekIndex],38))</f>
        <v/>
      </c>
      <c r="AN46" s="12">
        <f>IF(COUNTIFS(T_TTAFStock_Log[Part Name],$A46,T_TTAFStock_Log[WeekIndex],39)=0,"",SUMIFS(T_TTAFStock_Log[TTAF_Qty],T_TTAFStock_Log[Part Name],$A46,T_TTAFStock_Log[WeekIndex],39))</f>
        <v/>
      </c>
      <c r="AO46" s="12">
        <f>IF(COUNTIFS(T_TTAFStock_Log[Part Name],$A46,T_TTAFStock_Log[WeekIndex],40)=0,"",SUMIFS(T_TTAFStock_Log[TTAF_Qty],T_TTAFStock_Log[Part Name],$A46,T_TTAFStock_Log[WeekIndex],40))</f>
        <v/>
      </c>
      <c r="AP46" s="12">
        <f>IF(COUNTIFS(T_TTAFStock_Log[Part Name],$A46,T_TTAFStock_Log[WeekIndex],41)=0,"",SUMIFS(T_TTAFStock_Log[TTAF_Qty],T_TTAFStock_Log[Part Name],$A46,T_TTAFStock_Log[WeekIndex],41))</f>
        <v/>
      </c>
      <c r="AQ46" s="12">
        <f>IF(COUNTIFS(T_TTAFStock_Log[Part Name],$A46,T_TTAFStock_Log[WeekIndex],42)=0,"",SUMIFS(T_TTAFStock_Log[TTAF_Qty],T_TTAFStock_Log[Part Name],$A46,T_TTAFStock_Log[WeekIndex],42))</f>
        <v/>
      </c>
      <c r="AR46" s="12">
        <f>IF(COUNTIFS(T_TTAFStock_Log[Part Name],$A46,T_TTAFStock_Log[WeekIndex],43)=0,"",SUMIFS(T_TTAFStock_Log[TTAF_Qty],T_TTAFStock_Log[Part Name],$A46,T_TTAFStock_Log[WeekIndex],43))</f>
        <v/>
      </c>
      <c r="AS46" s="12">
        <f>IF(COUNTIFS(T_TTAFStock_Log[Part Name],$A46,T_TTAFStock_Log[WeekIndex],44)=0,"",SUMIFS(T_TTAFStock_Log[TTAF_Qty],T_TTAFStock_Log[Part Name],$A46,T_TTAFStock_Log[WeekIndex],44))</f>
        <v/>
      </c>
      <c r="AT46" s="12">
        <f>IF(COUNTIFS(T_TTAFStock_Log[Part Name],$A46,T_TTAFStock_Log[WeekIndex],45)=0,"",SUMIFS(T_TTAFStock_Log[TTAF_Qty],T_TTAFStock_Log[Part Name],$A46,T_TTAFStock_Log[WeekIndex],45))</f>
        <v/>
      </c>
      <c r="AU46" s="12">
        <f>IF(COUNTIFS(T_TTAFStock_Log[Part Name],$A46,T_TTAFStock_Log[WeekIndex],46)=0,"",SUMIFS(T_TTAFStock_Log[TTAF_Qty],T_TTAFStock_Log[Part Name],$A46,T_TTAFStock_Log[WeekIndex],46))</f>
        <v/>
      </c>
      <c r="AV46" s="12">
        <f>IF(COUNTIFS(T_TTAFStock_Log[Part Name],$A46,T_TTAFStock_Log[WeekIndex],47)=0,"",SUMIFS(T_TTAFStock_Log[TTAF_Qty],T_TTAFStock_Log[Part Name],$A46,T_TTAFStock_Log[WeekIndex],47))</f>
        <v/>
      </c>
      <c r="AW46" s="12">
        <f>IF(COUNTIFS(T_TTAFStock_Log[Part Name],$A46,T_TTAFStock_Log[WeekIndex],48)=0,"",SUMIFS(T_TTAFStock_Log[TTAF_Qty],T_TTAFStock_Log[Part Name],$A46,T_TTAFStock_Log[WeekIndex],48))</f>
        <v/>
      </c>
      <c r="AX46" s="12">
        <f>IF(COUNTIFS(T_TTAFStock_Log[Part Name],$A46,T_TTAFStock_Log[WeekIndex],49)=0,"",SUMIFS(T_TTAFStock_Log[TTAF_Qty],T_TTAFStock_Log[Part Name],$A46,T_TTAFStock_Log[WeekIndex],49))</f>
        <v/>
      </c>
      <c r="AY46" s="12">
        <f>IF(COUNTIFS(T_TTAFStock_Log[Part Name],$A46,T_TTAFStock_Log[WeekIndex],50)=0,"",SUMIFS(T_TTAFStock_Log[TTAF_Qty],T_TTAFStock_Log[Part Name],$A46,T_TTAFStock_Log[WeekIndex],50))</f>
        <v/>
      </c>
      <c r="AZ46" s="12">
        <f>IF(COUNTIFS(T_TTAFStock_Log[Part Name],$A46,T_TTAFStock_Log[WeekIndex],51)=0,"",SUMIFS(T_TTAFStock_Log[TTAF_Qty],T_TTAFStock_Log[Part Name],$A46,T_TTAFStock_Log[WeekIndex],51))</f>
        <v/>
      </c>
      <c r="BA46" s="12">
        <f>IF(COUNTIFS(T_TTAFStock_Log[Part Name],$A46,T_TTAFStock_Log[WeekIndex],52)=0,"",SUMIFS(T_TTAFStock_Log[TTAF_Qty],T_TTAFStock_Log[Part Name],$A46,T_TTAFStock_Log[WeekIndex],52))</f>
        <v/>
      </c>
      <c r="BB46" s="12">
        <f>IF(COUNTIFS(T_TTAFStock_Log[Part Name],$A46,T_TTAFStock_Log[WeekIndex],53)=0,"",SUMIFS(T_TTAFStock_Log[TTAF_Qty],T_TTAFStock_Log[Part Name],$A46,T_TTAFStock_Log[WeekIndex],53))</f>
        <v/>
      </c>
      <c r="BC46" s="12">
        <f>IF(COUNTIFS(T_TTAFStock_Log[Part Name],$A46,T_TTAFStock_Log[WeekIndex],54)=0,"",SUMIFS(T_TTAFStock_Log[TTAF_Qty],T_TTAFStock_Log[Part Name],$A46,T_TTAFStock_Log[WeekIndex],54))</f>
        <v/>
      </c>
      <c r="BD46" s="12">
        <f>IF(COUNTIFS(T_TTAFStock_Log[Part Name],$A46,T_TTAFStock_Log[WeekIndex],55)=0,"",SUMIFS(T_TTAFStock_Log[TTAF_Qty],T_TTAFStock_Log[Part Name],$A46,T_TTAFStock_Log[WeekIndex],55))</f>
        <v/>
      </c>
      <c r="BE46" s="12">
        <f>IF(COUNTIFS(T_TTAFStock_Log[Part Name],$A46,T_TTAFStock_Log[WeekIndex],56)=0,"",SUMIFS(T_TTAFStock_Log[TTAF_Qty],T_TTAFStock_Log[Part Name],$A46,T_TTAFStock_Log[WeekIndex],56))</f>
        <v/>
      </c>
      <c r="BF46" s="12">
        <f>IF(COUNTIFS(T_TTAFStock_Log[Part Name],$A46,T_TTAFStock_Log[WeekIndex],57)=0,"",SUMIFS(T_TTAFStock_Log[TTAF_Qty],T_TTAFStock_Log[Part Name],$A46,T_TTAFStock_Log[WeekIndex],57))</f>
        <v/>
      </c>
      <c r="BG46" s="12">
        <f>IF(COUNTIFS(T_TTAFStock_Log[Part Name],$A46,T_TTAFStock_Log[WeekIndex],58)=0,"",SUMIFS(T_TTAFStock_Log[TTAF_Qty],T_TTAFStock_Log[Part Name],$A46,T_TTAFStock_Log[WeekIndex],58))</f>
        <v/>
      </c>
      <c r="BH46" s="12">
        <f>IF(COUNTIFS(T_TTAFStock_Log[Part Name],$A46,T_TTAFStock_Log[WeekIndex],59)=0,"",SUMIFS(T_TTAFStock_Log[TTAF_Qty],T_TTAFStock_Log[Part Name],$A46,T_TTAFStock_Log[WeekIndex],59))</f>
        <v/>
      </c>
      <c r="BI46" s="12">
        <f>IF(COUNTIFS(T_TTAFStock_Log[Part Name],$A46,T_TTAFStock_Log[WeekIndex],60)=0,"",SUMIFS(T_TTAFStock_Log[TTAF_Qty],T_TTAFStock_Log[Part Name],$A46,T_TTAFStock_Log[WeekIndex],60))</f>
        <v/>
      </c>
      <c r="BJ46" s="12">
        <f>IF(COUNTIFS(T_TTAFStock_Log[Part Name],$A46,T_TTAFStock_Log[WeekIndex],61)=0,"",SUMIFS(T_TTAFStock_Log[TTAF_Qty],T_TTAFStock_Log[Part Name],$A46,T_TTAFStock_Log[WeekIndex],61))</f>
        <v/>
      </c>
      <c r="BK46" s="12">
        <f>IF(COUNTIFS(T_TTAFStock_Log[Part Name],$A46,T_TTAFStock_Log[WeekIndex],62)=0,"",SUMIFS(T_TTAFStock_Log[TTAF_Qty],T_TTAFStock_Log[Part Name],$A46,T_TTAFStock_Log[WeekIndex],62))</f>
        <v/>
      </c>
      <c r="BL46" s="12">
        <f>IF(COUNTIFS(T_TTAFStock_Log[Part Name],$A46,T_TTAFStock_Log[WeekIndex],63)=0,"",SUMIFS(T_TTAFStock_Log[TTAF_Qty],T_TTAFStock_Log[Part Name],$A46,T_TTAFStock_Log[WeekIndex],63))</f>
        <v/>
      </c>
      <c r="BM46" s="12">
        <f>IF(COUNTIFS(T_TTAFStock_Log[Part Name],$A46,T_TTAFStock_Log[WeekIndex],64)=0,"",SUMIFS(T_TTAFStock_Log[TTAF_Qty],T_TTAFStock_Log[Part Name],$A46,T_TTAFStock_Log[WeekIndex],64))</f>
        <v/>
      </c>
      <c r="BN46" s="12">
        <f>IF(COUNTIFS(T_TTAFStock_Log[Part Name],$A46,T_TTAFStock_Log[WeekIndex],65)=0,"",SUMIFS(T_TTAFStock_Log[TTAF_Qty],T_TTAFStock_Log[Part Name],$A46,T_TTAFStock_Log[WeekIndex],65))</f>
        <v/>
      </c>
      <c r="BO46" s="12">
        <f>IF(COUNTIFS(T_TTAFStock_Log[Part Name],$A46,T_TTAFStock_Log[WeekIndex],66)=0,"",SUMIFS(T_TTAFStock_Log[TTAF_Qty],T_TTAFStock_Log[Part Name],$A46,T_TTAFStock_Log[WeekIndex],66))</f>
        <v/>
      </c>
      <c r="BP46" s="12">
        <f>IF(COUNTIFS(T_TTAFStock_Log[Part Name],$A46,T_TTAFStock_Log[WeekIndex],67)=0,"",SUMIFS(T_TTAFStock_Log[TTAF_Qty],T_TTAFStock_Log[Part Name],$A46,T_TTAFStock_Log[WeekIndex],67))</f>
        <v/>
      </c>
      <c r="BQ46" s="12">
        <f>IF(COUNTIFS(T_TTAFStock_Log[Part Name],$A46,T_TTAFStock_Log[WeekIndex],68)=0,"",SUMIFS(T_TTAFStock_Log[TTAF_Qty],T_TTAFStock_Log[Part Name],$A46,T_TTAFStock_Log[WeekIndex],68))</f>
        <v/>
      </c>
      <c r="BR46" s="12">
        <f>IF(COUNTIFS(T_TTAFStock_Log[Part Name],$A46,T_TTAFStock_Log[WeekIndex],69)=0,"",SUMIFS(T_TTAFStock_Log[TTAF_Qty],T_TTAFStock_Log[Part Name],$A46,T_TTAFStock_Log[WeekIndex],69))</f>
        <v/>
      </c>
      <c r="BS46" s="12">
        <f>IF(COUNTIFS(T_TTAFStock_Log[Part Name],$A46,T_TTAFStock_Log[WeekIndex],70)=0,"",SUMIFS(T_TTAFStock_Log[TTAF_Qty],T_TTAFStock_Log[Part Name],$A46,T_TTAFStock_Log[WeekIndex],70))</f>
        <v/>
      </c>
      <c r="BT46" s="12">
        <f>IF(COUNTIFS(T_TTAFStock_Log[Part Name],$A46,T_TTAFStock_Log[WeekIndex],71)=0,"",SUMIFS(T_TTAFStock_Log[TTAF_Qty],T_TTAFStock_Log[Part Name],$A46,T_TTAFStock_Log[WeekIndex],71))</f>
        <v/>
      </c>
      <c r="BU46" s="12">
        <f>IF(COUNTIFS(T_TTAFStock_Log[Part Name],$A46,T_TTAFStock_Log[WeekIndex],72)=0,"",SUMIFS(T_TTAFStock_Log[TTAF_Qty],T_TTAFStock_Log[Part Name],$A46,T_TTAFStock_Log[WeekIndex],72))</f>
        <v/>
      </c>
      <c r="BV46" s="12">
        <f>IF(COUNTIFS(T_TTAFStock_Log[Part Name],$A46,T_TTAFStock_Log[WeekIndex],73)=0,"",SUMIFS(T_TTAFStock_Log[TTAF_Qty],T_TTAFStock_Log[Part Name],$A46,T_TTAFStock_Log[WeekIndex],73))</f>
        <v/>
      </c>
      <c r="BW46" s="12">
        <f>IF(COUNTIFS(T_TTAFStock_Log[Part Name],$A46,T_TTAFStock_Log[WeekIndex],74)=0,"",SUMIFS(T_TTAFStock_Log[TTAF_Qty],T_TTAFStock_Log[Part Name],$A46,T_TTAFStock_Log[WeekIndex],74))</f>
        <v/>
      </c>
      <c r="BX46" s="12">
        <f>IF(COUNTIFS(T_TTAFStock_Log[Part Name],$A46,T_TTAFStock_Log[WeekIndex],75)=0,"",SUMIFS(T_TTAFStock_Log[TTAF_Qty],T_TTAFStock_Log[Part Name],$A46,T_TTAFStock_Log[WeekIndex],75))</f>
        <v/>
      </c>
      <c r="BY46" s="12">
        <f>IF(COUNTIFS(T_TTAFStock_Log[Part Name],$A46,T_TTAFStock_Log[WeekIndex],76)=0,"",SUMIFS(T_TTAFStock_Log[TTAF_Qty],T_TTAFStock_Log[Part Name],$A46,T_TTAFStock_Log[WeekIndex],76))</f>
        <v/>
      </c>
      <c r="BZ46" s="12">
        <f>IF(COUNTIFS(T_TTAFStock_Log[Part Name],$A46,T_TTAFStock_Log[WeekIndex],77)=0,"",SUMIFS(T_TTAFStock_Log[TTAF_Qty],T_TTAFStock_Log[Part Name],$A46,T_TTAFStock_Log[WeekIndex],77))</f>
        <v/>
      </c>
      <c r="CA46" s="12">
        <f>IF(COUNTIFS(T_TTAFStock_Log[Part Name],$A46,T_TTAFStock_Log[WeekIndex],78)=0,"",SUMIFS(T_TTAFStock_Log[TTAF_Qty],T_TTAFStock_Log[Part Name],$A46,T_TTAFStock_Log[WeekIndex],78))</f>
        <v/>
      </c>
      <c r="CB46" s="12">
        <f>IF(COUNTIFS(T_TTAFStock_Log[Part Name],$A46,T_TTAFStock_Log[WeekIndex],79)=0,"",SUMIFS(T_TTAFStock_Log[TTAF_Qty],T_TTAFStock_Log[Part Name],$A46,T_TTAFStock_Log[WeekIndex],79))</f>
        <v/>
      </c>
      <c r="CC46" s="12">
        <f>IF(COUNTIFS(T_TTAFStock_Log[Part Name],$A46,T_TTAFStock_Log[WeekIndex],80)=0,"",SUMIFS(T_TTAFStock_Log[TTAF_Qty],T_TTAFStock_Log[Part Name],$A46,T_TTAFStock_Log[WeekIndex],80))</f>
        <v/>
      </c>
      <c r="CD46" s="12">
        <f>IF(COUNTIFS(T_TTAFStock_Log[Part Name],$A46,T_TTAFStock_Log[WeekIndex],81)=0,"",SUMIFS(T_TTAFStock_Log[TTAF_Qty],T_TTAFStock_Log[Part Name],$A46,T_TTAFStock_Log[WeekIndex],81))</f>
        <v/>
      </c>
      <c r="CE46" s="12">
        <f>IF(COUNTIFS(T_TTAFStock_Log[Part Name],$A46,T_TTAFStock_Log[WeekIndex],82)=0,"",SUMIFS(T_TTAFStock_Log[TTAF_Qty],T_TTAFStock_Log[Part Name],$A46,T_TTAFStock_Log[WeekIndex],82))</f>
        <v/>
      </c>
      <c r="CF46" s="12">
        <f>IF(COUNTIFS(T_TTAFStock_Log[Part Name],$A46,T_TTAFStock_Log[WeekIndex],83)=0,"",SUMIFS(T_TTAFStock_Log[TTAF_Qty],T_TTAFStock_Log[Part Name],$A46,T_TTAFStock_Log[WeekIndex],83))</f>
        <v/>
      </c>
      <c r="CG46" s="12">
        <f>IF(COUNTIFS(T_TTAFStock_Log[Part Name],$A46,T_TTAFStock_Log[WeekIndex],84)=0,"",SUMIFS(T_TTAFStock_Log[TTAF_Qty],T_TTAFStock_Log[Part Name],$A46,T_TTAFStock_Log[WeekIndex],84))</f>
        <v/>
      </c>
      <c r="CH46" s="12">
        <f>IF(COUNTIFS(T_TTAFStock_Log[Part Name],$A46,T_TTAFStock_Log[WeekIndex],85)=0,"",SUMIFS(T_TTAFStock_Log[TTAF_Qty],T_TTAFStock_Log[Part Name],$A46,T_TTAFStock_Log[WeekIndex],85))</f>
        <v/>
      </c>
      <c r="CI46" s="12">
        <f>IF(COUNTIFS(T_TTAFStock_Log[Part Name],$A46,T_TTAFStock_Log[WeekIndex],86)=0,"",SUMIFS(T_TTAFStock_Log[TTAF_Qty],T_TTAFStock_Log[Part Name],$A46,T_TTAFStock_Log[WeekIndex],86))</f>
        <v/>
      </c>
      <c r="CJ46" s="12">
        <f>IF(COUNTIFS(T_TTAFStock_Log[Part Name],$A46,T_TTAFStock_Log[WeekIndex],87)=0,"",SUMIFS(T_TTAFStock_Log[TTAF_Qty],T_TTAFStock_Log[Part Name],$A46,T_TTAFStock_Log[WeekIndex],87))</f>
        <v/>
      </c>
      <c r="CK46" s="12">
        <f>IF(COUNTIFS(T_TTAFStock_Log[Part Name],$A46,T_TTAFStock_Log[WeekIndex],88)=0,"",SUMIFS(T_TTAFStock_Log[TTAF_Qty],T_TTAFStock_Log[Part Name],$A46,T_TTAFStock_Log[WeekIndex],88))</f>
        <v/>
      </c>
      <c r="CL46" s="12">
        <f>IF(COUNTIFS(T_TTAFStock_Log[Part Name],$A46,T_TTAFStock_Log[WeekIndex],89)=0,"",SUMIFS(T_TTAFStock_Log[TTAF_Qty],T_TTAFStock_Log[Part Name],$A46,T_TTAFStock_Log[WeekIndex],89))</f>
        <v/>
      </c>
      <c r="CM46" s="12">
        <f>IF(COUNTIFS(T_TTAFStock_Log[Part Name],$A46,T_TTAFStock_Log[WeekIndex],90)=0,"",SUMIFS(T_TTAFStock_Log[TTAF_Qty],T_TTAFStock_Log[Part Name],$A46,T_TTAFStock_Log[WeekIndex],90))</f>
        <v/>
      </c>
      <c r="CN46" s="12">
        <f>IF(COUNTIFS(T_TTAFStock_Log[Part Name],$A46,T_TTAFStock_Log[WeekIndex],91)=0,"",SUMIFS(T_TTAFStock_Log[TTAF_Qty],T_TTAFStock_Log[Part Name],$A46,T_TTAFStock_Log[WeekIndex],91))</f>
        <v/>
      </c>
      <c r="CO46" s="12">
        <f>IF(COUNTIFS(T_TTAFStock_Log[Part Name],$A46,T_TTAFStock_Log[WeekIndex],92)=0,"",SUMIFS(T_TTAFStock_Log[TTAF_Qty],T_TTAFStock_Log[Part Name],$A46,T_TTAFStock_Log[WeekIndex],92))</f>
        <v/>
      </c>
      <c r="CP46" s="12">
        <f>IF(COUNTIFS(T_TTAFStock_Log[Part Name],$A46,T_TTAFStock_Log[WeekIndex],93)=0,"",SUMIFS(T_TTAFStock_Log[TTAF_Qty],T_TTAFStock_Log[Part Name],$A46,T_TTAFStock_Log[WeekIndex],93))</f>
        <v/>
      </c>
      <c r="CQ46" s="12">
        <f>IF(COUNTIFS(T_TTAFStock_Log[Part Name],$A46,T_TTAFStock_Log[WeekIndex],94)=0,"",SUMIFS(T_TTAFStock_Log[TTAF_Qty],T_TTAFStock_Log[Part Name],$A46,T_TTAFStock_Log[WeekIndex],94))</f>
        <v/>
      </c>
      <c r="CR46" s="12">
        <f>IF(COUNTIFS(T_TTAFStock_Log[Part Name],$A46,T_TTAFStock_Log[WeekIndex],95)=0,"",SUMIFS(T_TTAFStock_Log[TTAF_Qty],T_TTAFStock_Log[Part Name],$A46,T_TTAFStock_Log[WeekIndex],95))</f>
        <v/>
      </c>
      <c r="CS46" s="12">
        <f>IF(COUNTIFS(T_TTAFStock_Log[Part Name],$A46,T_TTAFStock_Log[WeekIndex],96)=0,"",SUMIFS(T_TTAFStock_Log[TTAF_Qty],T_TTAFStock_Log[Part Name],$A46,T_TTAFStock_Log[WeekIndex],96))</f>
        <v/>
      </c>
      <c r="CT46" s="12">
        <f>IF(COUNTIFS(T_TTAFStock_Log[Part Name],$A46,T_TTAFStock_Log[WeekIndex],97)=0,"",SUMIFS(T_TTAFStock_Log[TTAF_Qty],T_TTAFStock_Log[Part Name],$A46,T_TTAFStock_Log[WeekIndex],97))</f>
        <v/>
      </c>
      <c r="CU46" s="12">
        <f>IF(COUNTIFS(T_TTAFStock_Log[Part Name],$A46,T_TTAFStock_Log[WeekIndex],98)=0,"",SUMIFS(T_TTAFStock_Log[TTAF_Qty],T_TTAFStock_Log[Part Name],$A46,T_TTAFStock_Log[WeekIndex],98))</f>
        <v/>
      </c>
      <c r="CV46" s="12">
        <f>IF(COUNTIFS(T_TTAFStock_Log[Part Name],$A46,T_TTAFStock_Log[WeekIndex],99)=0,"",SUMIFS(T_TTAFStock_Log[TTAF_Qty],T_TTAFStock_Log[Part Name],$A46,T_TTAFStock_Log[WeekIndex],99))</f>
        <v/>
      </c>
      <c r="CW46" s="12">
        <f>IF(COUNTIFS(T_TTAFStock_Log[Part Name],$A46,T_TTAFStock_Log[WeekIndex],100)=0,"",SUMIFS(T_TTAFStock_Log[TTAF_Qty],T_TTAFStock_Log[Part Name],$A46,T_TTAFStock_Log[WeekIndex],100))</f>
        <v/>
      </c>
      <c r="CX46" s="12">
        <f>IF(COUNTIFS(T_TTAFStock_Log[Part Name],$A46,T_TTAFStock_Log[WeekIndex],101)=0,"",SUMIFS(T_TTAFStock_Log[TTAF_Qty],T_TTAFStock_Log[Part Name],$A46,T_TTAFStock_Log[WeekIndex],101))</f>
        <v/>
      </c>
      <c r="CY46" s="12">
        <f>IF(COUNTIFS(T_TTAFStock_Log[Part Name],$A46,T_TTAFStock_Log[WeekIndex],102)=0,"",SUMIFS(T_TTAFStock_Log[TTAF_Qty],T_TTAFStock_Log[Part Name],$A46,T_TTAFStock_Log[WeekIndex],102))</f>
        <v/>
      </c>
      <c r="CZ46" s="12">
        <f>IF(COUNTIFS(T_TTAFStock_Log[Part Name],$A46,T_TTAFStock_Log[WeekIndex],103)=0,"",SUMIFS(T_TTAFStock_Log[TTAF_Qty],T_TTAFStock_Log[Part Name],$A46,T_TTAFStock_Log[WeekIndex],103))</f>
        <v/>
      </c>
      <c r="DA46" s="12">
        <f>IF(COUNTIFS(T_TTAFStock_Log[Part Name],$A46,T_TTAFStock_Log[WeekIndex],104)=0,"",SUMIFS(T_TTAFStock_Log[TTAF_Qty],T_TTAFStock_Log[Part Name],$A46,T_TTAFStock_Log[WeekIndex],104))</f>
        <v/>
      </c>
    </row>
    <row r="47">
      <c r="A47" s="13" t="inlineStr">
        <is>
          <t>V19</t>
        </is>
      </c>
      <c r="B47" s="13">
        <f>IF(COUNTIFS(T_TTAFStock_Log[Part Name],$A47,T_TTAFStock_Log[WeekIndex],1)=0,"",SUMIFS(T_TTAFStock_Log[TTAF_Qty],T_TTAFStock_Log[Part Name],$A47,T_TTAFStock_Log[WeekIndex],1))</f>
        <v/>
      </c>
      <c r="C47" s="13">
        <f>IF(COUNTIFS(T_TTAFStock_Log[Part Name],$A47,T_TTAFStock_Log[WeekIndex],2)=0,"",SUMIFS(T_TTAFStock_Log[TTAF_Qty],T_TTAFStock_Log[Part Name],$A47,T_TTAFStock_Log[WeekIndex],2))</f>
        <v/>
      </c>
      <c r="D47" s="13">
        <f>IF(COUNTIFS(T_TTAFStock_Log[Part Name],$A47,T_TTAFStock_Log[WeekIndex],3)=0,"",SUMIFS(T_TTAFStock_Log[TTAF_Qty],T_TTAFStock_Log[Part Name],$A47,T_TTAFStock_Log[WeekIndex],3))</f>
        <v/>
      </c>
      <c r="E47" s="13">
        <f>IF(COUNTIFS(T_TTAFStock_Log[Part Name],$A47,T_TTAFStock_Log[WeekIndex],4)=0,"",SUMIFS(T_TTAFStock_Log[TTAF_Qty],T_TTAFStock_Log[Part Name],$A47,T_TTAFStock_Log[WeekIndex],4))</f>
        <v/>
      </c>
      <c r="F47" s="13">
        <f>IF(COUNTIFS(T_TTAFStock_Log[Part Name],$A47,T_TTAFStock_Log[WeekIndex],5)=0,"",SUMIFS(T_TTAFStock_Log[TTAF_Qty],T_TTAFStock_Log[Part Name],$A47,T_TTAFStock_Log[WeekIndex],5))</f>
        <v/>
      </c>
      <c r="G47" s="13">
        <f>IF(COUNTIFS(T_TTAFStock_Log[Part Name],$A47,T_TTAFStock_Log[WeekIndex],6)=0,"",SUMIFS(T_TTAFStock_Log[TTAF_Qty],T_TTAFStock_Log[Part Name],$A47,T_TTAFStock_Log[WeekIndex],6))</f>
        <v/>
      </c>
      <c r="H47" s="13">
        <f>IF(COUNTIFS(T_TTAFStock_Log[Part Name],$A47,T_TTAFStock_Log[WeekIndex],7)=0,"",SUMIFS(T_TTAFStock_Log[TTAF_Qty],T_TTAFStock_Log[Part Name],$A47,T_TTAFStock_Log[WeekIndex],7))</f>
        <v/>
      </c>
      <c r="I47" s="13">
        <f>IF(COUNTIFS(T_TTAFStock_Log[Part Name],$A47,T_TTAFStock_Log[WeekIndex],8)=0,"",SUMIFS(T_TTAFStock_Log[TTAF_Qty],T_TTAFStock_Log[Part Name],$A47,T_TTAFStock_Log[WeekIndex],8))</f>
        <v/>
      </c>
      <c r="J47" s="13">
        <f>IF(COUNTIFS(T_TTAFStock_Log[Part Name],$A47,T_TTAFStock_Log[WeekIndex],9)=0,"",SUMIFS(T_TTAFStock_Log[TTAF_Qty],T_TTAFStock_Log[Part Name],$A47,T_TTAFStock_Log[WeekIndex],9))</f>
        <v/>
      </c>
      <c r="K47" s="13">
        <f>IF(COUNTIFS(T_TTAFStock_Log[Part Name],$A47,T_TTAFStock_Log[WeekIndex],10)=0,"",SUMIFS(T_TTAFStock_Log[TTAF_Qty],T_TTAFStock_Log[Part Name],$A47,T_TTAFStock_Log[WeekIndex],10))</f>
        <v/>
      </c>
      <c r="L47" s="13">
        <f>IF(COUNTIFS(T_TTAFStock_Log[Part Name],$A47,T_TTAFStock_Log[WeekIndex],11)=0,"",SUMIFS(T_TTAFStock_Log[TTAF_Qty],T_TTAFStock_Log[Part Name],$A47,T_TTAFStock_Log[WeekIndex],11))</f>
        <v/>
      </c>
      <c r="M47" s="13">
        <f>IF(COUNTIFS(T_TTAFStock_Log[Part Name],$A47,T_TTAFStock_Log[WeekIndex],12)=0,"",SUMIFS(T_TTAFStock_Log[TTAF_Qty],T_TTAFStock_Log[Part Name],$A47,T_TTAFStock_Log[WeekIndex],12))</f>
        <v/>
      </c>
      <c r="N47" s="13">
        <f>IF(COUNTIFS(T_TTAFStock_Log[Part Name],$A47,T_TTAFStock_Log[WeekIndex],13)=0,"",SUMIFS(T_TTAFStock_Log[TTAF_Qty],T_TTAFStock_Log[Part Name],$A47,T_TTAFStock_Log[WeekIndex],13))</f>
        <v/>
      </c>
      <c r="O47" s="13">
        <f>IF(COUNTIFS(T_TTAFStock_Log[Part Name],$A47,T_TTAFStock_Log[WeekIndex],14)=0,"",SUMIFS(T_TTAFStock_Log[TTAF_Qty],T_TTAFStock_Log[Part Name],$A47,T_TTAFStock_Log[WeekIndex],14))</f>
        <v/>
      </c>
      <c r="P47" s="13">
        <f>IF(COUNTIFS(T_TTAFStock_Log[Part Name],$A47,T_TTAFStock_Log[WeekIndex],15)=0,"",SUMIFS(T_TTAFStock_Log[TTAF_Qty],T_TTAFStock_Log[Part Name],$A47,T_TTAFStock_Log[WeekIndex],15))</f>
        <v/>
      </c>
      <c r="Q47" s="13">
        <f>IF(COUNTIFS(T_TTAFStock_Log[Part Name],$A47,T_TTAFStock_Log[WeekIndex],16)=0,"",SUMIFS(T_TTAFStock_Log[TTAF_Qty],T_TTAFStock_Log[Part Name],$A47,T_TTAFStock_Log[WeekIndex],16))</f>
        <v/>
      </c>
      <c r="R47" s="13">
        <f>IF(COUNTIFS(T_TTAFStock_Log[Part Name],$A47,T_TTAFStock_Log[WeekIndex],17)=0,"",SUMIFS(T_TTAFStock_Log[TTAF_Qty],T_TTAFStock_Log[Part Name],$A47,T_TTAFStock_Log[WeekIndex],17))</f>
        <v/>
      </c>
      <c r="S47" s="13">
        <f>IF(COUNTIFS(T_TTAFStock_Log[Part Name],$A47,T_TTAFStock_Log[WeekIndex],18)=0,"",SUMIFS(T_TTAFStock_Log[TTAF_Qty],T_TTAFStock_Log[Part Name],$A47,T_TTAFStock_Log[WeekIndex],18))</f>
        <v/>
      </c>
      <c r="T47" s="13">
        <f>IF(COUNTIFS(T_TTAFStock_Log[Part Name],$A47,T_TTAFStock_Log[WeekIndex],19)=0,"",SUMIFS(T_TTAFStock_Log[TTAF_Qty],T_TTAFStock_Log[Part Name],$A47,T_TTAFStock_Log[WeekIndex],19))</f>
        <v/>
      </c>
      <c r="U47" s="13">
        <f>IF(COUNTIFS(T_TTAFStock_Log[Part Name],$A47,T_TTAFStock_Log[WeekIndex],20)=0,"",SUMIFS(T_TTAFStock_Log[TTAF_Qty],T_TTAFStock_Log[Part Name],$A47,T_TTAFStock_Log[WeekIndex],20))</f>
        <v/>
      </c>
      <c r="V47" s="13">
        <f>IF(COUNTIFS(T_TTAFStock_Log[Part Name],$A47,T_TTAFStock_Log[WeekIndex],21)=0,"",SUMIFS(T_TTAFStock_Log[TTAF_Qty],T_TTAFStock_Log[Part Name],$A47,T_TTAFStock_Log[WeekIndex],21))</f>
        <v/>
      </c>
      <c r="W47" s="13">
        <f>IF(COUNTIFS(T_TTAFStock_Log[Part Name],$A47,T_TTAFStock_Log[WeekIndex],22)=0,"",SUMIFS(T_TTAFStock_Log[TTAF_Qty],T_TTAFStock_Log[Part Name],$A47,T_TTAFStock_Log[WeekIndex],22))</f>
        <v/>
      </c>
      <c r="X47" s="13">
        <f>IF(COUNTIFS(T_TTAFStock_Log[Part Name],$A47,T_TTAFStock_Log[WeekIndex],23)=0,"",SUMIFS(T_TTAFStock_Log[TTAF_Qty],T_TTAFStock_Log[Part Name],$A47,T_TTAFStock_Log[WeekIndex],23))</f>
        <v/>
      </c>
      <c r="Y47" s="13">
        <f>IF(COUNTIFS(T_TTAFStock_Log[Part Name],$A47,T_TTAFStock_Log[WeekIndex],24)=0,"",SUMIFS(T_TTAFStock_Log[TTAF_Qty],T_TTAFStock_Log[Part Name],$A47,T_TTAFStock_Log[WeekIndex],24))</f>
        <v/>
      </c>
      <c r="Z47" s="13">
        <f>IF(COUNTIFS(T_TTAFStock_Log[Part Name],$A47,T_TTAFStock_Log[WeekIndex],25)=0,"",SUMIFS(T_TTAFStock_Log[TTAF_Qty],T_TTAFStock_Log[Part Name],$A47,T_TTAFStock_Log[WeekIndex],25))</f>
        <v/>
      </c>
      <c r="AA47" s="13">
        <f>IF(COUNTIFS(T_TTAFStock_Log[Part Name],$A47,T_TTAFStock_Log[WeekIndex],26)=0,"",SUMIFS(T_TTAFStock_Log[TTAF_Qty],T_TTAFStock_Log[Part Name],$A47,T_TTAFStock_Log[WeekIndex],26))</f>
        <v/>
      </c>
      <c r="AB47" s="13">
        <f>IF(COUNTIFS(T_TTAFStock_Log[Part Name],$A47,T_TTAFStock_Log[WeekIndex],27)=0,"",SUMIFS(T_TTAFStock_Log[TTAF_Qty],T_TTAFStock_Log[Part Name],$A47,T_TTAFStock_Log[WeekIndex],27))</f>
        <v/>
      </c>
      <c r="AC47" s="13">
        <f>IF(COUNTIFS(T_TTAFStock_Log[Part Name],$A47,T_TTAFStock_Log[WeekIndex],28)=0,"",SUMIFS(T_TTAFStock_Log[TTAF_Qty],T_TTAFStock_Log[Part Name],$A47,T_TTAFStock_Log[WeekIndex],28))</f>
        <v/>
      </c>
      <c r="AD47" s="13">
        <f>IF(COUNTIFS(T_TTAFStock_Log[Part Name],$A47,T_TTAFStock_Log[WeekIndex],29)=0,"",SUMIFS(T_TTAFStock_Log[TTAF_Qty],T_TTAFStock_Log[Part Name],$A47,T_TTAFStock_Log[WeekIndex],29))</f>
        <v/>
      </c>
      <c r="AE47" s="13">
        <f>IF(COUNTIFS(T_TTAFStock_Log[Part Name],$A47,T_TTAFStock_Log[WeekIndex],30)=0,"",SUMIFS(T_TTAFStock_Log[TTAF_Qty],T_TTAFStock_Log[Part Name],$A47,T_TTAFStock_Log[WeekIndex],30))</f>
        <v/>
      </c>
      <c r="AF47" s="13">
        <f>IF(COUNTIFS(T_TTAFStock_Log[Part Name],$A47,T_TTAFStock_Log[WeekIndex],31)=0,"",SUMIFS(T_TTAFStock_Log[TTAF_Qty],T_TTAFStock_Log[Part Name],$A47,T_TTAFStock_Log[WeekIndex],31))</f>
        <v/>
      </c>
      <c r="AG47" s="13">
        <f>IF(COUNTIFS(T_TTAFStock_Log[Part Name],$A47,T_TTAFStock_Log[WeekIndex],32)=0,"",SUMIFS(T_TTAFStock_Log[TTAF_Qty],T_TTAFStock_Log[Part Name],$A47,T_TTAFStock_Log[WeekIndex],32))</f>
        <v/>
      </c>
      <c r="AH47" s="13">
        <f>IF(COUNTIFS(T_TTAFStock_Log[Part Name],$A47,T_TTAFStock_Log[WeekIndex],33)=0,"",SUMIFS(T_TTAFStock_Log[TTAF_Qty],T_TTAFStock_Log[Part Name],$A47,T_TTAFStock_Log[WeekIndex],33))</f>
        <v/>
      </c>
      <c r="AI47" s="13">
        <f>IF(COUNTIFS(T_TTAFStock_Log[Part Name],$A47,T_TTAFStock_Log[WeekIndex],34)=0,"",SUMIFS(T_TTAFStock_Log[TTAF_Qty],T_TTAFStock_Log[Part Name],$A47,T_TTAFStock_Log[WeekIndex],34))</f>
        <v/>
      </c>
      <c r="AJ47" s="13">
        <f>IF(COUNTIFS(T_TTAFStock_Log[Part Name],$A47,T_TTAFStock_Log[WeekIndex],35)=0,"",SUMIFS(T_TTAFStock_Log[TTAF_Qty],T_TTAFStock_Log[Part Name],$A47,T_TTAFStock_Log[WeekIndex],35))</f>
        <v/>
      </c>
      <c r="AK47" s="13">
        <f>IF(COUNTIFS(T_TTAFStock_Log[Part Name],$A47,T_TTAFStock_Log[WeekIndex],36)=0,"",SUMIFS(T_TTAFStock_Log[TTAF_Qty],T_TTAFStock_Log[Part Name],$A47,T_TTAFStock_Log[WeekIndex],36))</f>
        <v/>
      </c>
      <c r="AL47" s="13">
        <f>IF(COUNTIFS(T_TTAFStock_Log[Part Name],$A47,T_TTAFStock_Log[WeekIndex],37)=0,"",SUMIFS(T_TTAFStock_Log[TTAF_Qty],T_TTAFStock_Log[Part Name],$A47,T_TTAFStock_Log[WeekIndex],37))</f>
        <v/>
      </c>
      <c r="AM47" s="13">
        <f>IF(COUNTIFS(T_TTAFStock_Log[Part Name],$A47,T_TTAFStock_Log[WeekIndex],38)=0,"",SUMIFS(T_TTAFStock_Log[TTAF_Qty],T_TTAFStock_Log[Part Name],$A47,T_TTAFStock_Log[WeekIndex],38))</f>
        <v/>
      </c>
      <c r="AN47" s="13">
        <f>IF(COUNTIFS(T_TTAFStock_Log[Part Name],$A47,T_TTAFStock_Log[WeekIndex],39)=0,"",SUMIFS(T_TTAFStock_Log[TTAF_Qty],T_TTAFStock_Log[Part Name],$A47,T_TTAFStock_Log[WeekIndex],39))</f>
        <v/>
      </c>
      <c r="AO47" s="13">
        <f>IF(COUNTIFS(T_TTAFStock_Log[Part Name],$A47,T_TTAFStock_Log[WeekIndex],40)=0,"",SUMIFS(T_TTAFStock_Log[TTAF_Qty],T_TTAFStock_Log[Part Name],$A47,T_TTAFStock_Log[WeekIndex],40))</f>
        <v/>
      </c>
      <c r="AP47" s="13">
        <f>IF(COUNTIFS(T_TTAFStock_Log[Part Name],$A47,T_TTAFStock_Log[WeekIndex],41)=0,"",SUMIFS(T_TTAFStock_Log[TTAF_Qty],T_TTAFStock_Log[Part Name],$A47,T_TTAFStock_Log[WeekIndex],41))</f>
        <v/>
      </c>
      <c r="AQ47" s="13">
        <f>IF(COUNTIFS(T_TTAFStock_Log[Part Name],$A47,T_TTAFStock_Log[WeekIndex],42)=0,"",SUMIFS(T_TTAFStock_Log[TTAF_Qty],T_TTAFStock_Log[Part Name],$A47,T_TTAFStock_Log[WeekIndex],42))</f>
        <v/>
      </c>
      <c r="AR47" s="13">
        <f>IF(COUNTIFS(T_TTAFStock_Log[Part Name],$A47,T_TTAFStock_Log[WeekIndex],43)=0,"",SUMIFS(T_TTAFStock_Log[TTAF_Qty],T_TTAFStock_Log[Part Name],$A47,T_TTAFStock_Log[WeekIndex],43))</f>
        <v/>
      </c>
      <c r="AS47" s="13">
        <f>IF(COUNTIFS(T_TTAFStock_Log[Part Name],$A47,T_TTAFStock_Log[WeekIndex],44)=0,"",SUMIFS(T_TTAFStock_Log[TTAF_Qty],T_TTAFStock_Log[Part Name],$A47,T_TTAFStock_Log[WeekIndex],44))</f>
        <v/>
      </c>
      <c r="AT47" s="13">
        <f>IF(COUNTIFS(T_TTAFStock_Log[Part Name],$A47,T_TTAFStock_Log[WeekIndex],45)=0,"",SUMIFS(T_TTAFStock_Log[TTAF_Qty],T_TTAFStock_Log[Part Name],$A47,T_TTAFStock_Log[WeekIndex],45))</f>
        <v/>
      </c>
      <c r="AU47" s="13">
        <f>IF(COUNTIFS(T_TTAFStock_Log[Part Name],$A47,T_TTAFStock_Log[WeekIndex],46)=0,"",SUMIFS(T_TTAFStock_Log[TTAF_Qty],T_TTAFStock_Log[Part Name],$A47,T_TTAFStock_Log[WeekIndex],46))</f>
        <v/>
      </c>
      <c r="AV47" s="13">
        <f>IF(COUNTIFS(T_TTAFStock_Log[Part Name],$A47,T_TTAFStock_Log[WeekIndex],47)=0,"",SUMIFS(T_TTAFStock_Log[TTAF_Qty],T_TTAFStock_Log[Part Name],$A47,T_TTAFStock_Log[WeekIndex],47))</f>
        <v/>
      </c>
      <c r="AW47" s="13">
        <f>IF(COUNTIFS(T_TTAFStock_Log[Part Name],$A47,T_TTAFStock_Log[WeekIndex],48)=0,"",SUMIFS(T_TTAFStock_Log[TTAF_Qty],T_TTAFStock_Log[Part Name],$A47,T_TTAFStock_Log[WeekIndex],48))</f>
        <v/>
      </c>
      <c r="AX47" s="13">
        <f>IF(COUNTIFS(T_TTAFStock_Log[Part Name],$A47,T_TTAFStock_Log[WeekIndex],49)=0,"",SUMIFS(T_TTAFStock_Log[TTAF_Qty],T_TTAFStock_Log[Part Name],$A47,T_TTAFStock_Log[WeekIndex],49))</f>
        <v/>
      </c>
      <c r="AY47" s="13">
        <f>IF(COUNTIFS(T_TTAFStock_Log[Part Name],$A47,T_TTAFStock_Log[WeekIndex],50)=0,"",SUMIFS(T_TTAFStock_Log[TTAF_Qty],T_TTAFStock_Log[Part Name],$A47,T_TTAFStock_Log[WeekIndex],50))</f>
        <v/>
      </c>
      <c r="AZ47" s="13">
        <f>IF(COUNTIFS(T_TTAFStock_Log[Part Name],$A47,T_TTAFStock_Log[WeekIndex],51)=0,"",SUMIFS(T_TTAFStock_Log[TTAF_Qty],T_TTAFStock_Log[Part Name],$A47,T_TTAFStock_Log[WeekIndex],51))</f>
        <v/>
      </c>
      <c r="BA47" s="13">
        <f>IF(COUNTIFS(T_TTAFStock_Log[Part Name],$A47,T_TTAFStock_Log[WeekIndex],52)=0,"",SUMIFS(T_TTAFStock_Log[TTAF_Qty],T_TTAFStock_Log[Part Name],$A47,T_TTAFStock_Log[WeekIndex],52))</f>
        <v/>
      </c>
      <c r="BB47" s="13">
        <f>IF(COUNTIFS(T_TTAFStock_Log[Part Name],$A47,T_TTAFStock_Log[WeekIndex],53)=0,"",SUMIFS(T_TTAFStock_Log[TTAF_Qty],T_TTAFStock_Log[Part Name],$A47,T_TTAFStock_Log[WeekIndex],53))</f>
        <v/>
      </c>
      <c r="BC47" s="13">
        <f>IF(COUNTIFS(T_TTAFStock_Log[Part Name],$A47,T_TTAFStock_Log[WeekIndex],54)=0,"",SUMIFS(T_TTAFStock_Log[TTAF_Qty],T_TTAFStock_Log[Part Name],$A47,T_TTAFStock_Log[WeekIndex],54))</f>
        <v/>
      </c>
      <c r="BD47" s="13">
        <f>IF(COUNTIFS(T_TTAFStock_Log[Part Name],$A47,T_TTAFStock_Log[WeekIndex],55)=0,"",SUMIFS(T_TTAFStock_Log[TTAF_Qty],T_TTAFStock_Log[Part Name],$A47,T_TTAFStock_Log[WeekIndex],55))</f>
        <v/>
      </c>
      <c r="BE47" s="13">
        <f>IF(COUNTIFS(T_TTAFStock_Log[Part Name],$A47,T_TTAFStock_Log[WeekIndex],56)=0,"",SUMIFS(T_TTAFStock_Log[TTAF_Qty],T_TTAFStock_Log[Part Name],$A47,T_TTAFStock_Log[WeekIndex],56))</f>
        <v/>
      </c>
      <c r="BF47" s="13">
        <f>IF(COUNTIFS(T_TTAFStock_Log[Part Name],$A47,T_TTAFStock_Log[WeekIndex],57)=0,"",SUMIFS(T_TTAFStock_Log[TTAF_Qty],T_TTAFStock_Log[Part Name],$A47,T_TTAFStock_Log[WeekIndex],57))</f>
        <v/>
      </c>
      <c r="BG47" s="13">
        <f>IF(COUNTIFS(T_TTAFStock_Log[Part Name],$A47,T_TTAFStock_Log[WeekIndex],58)=0,"",SUMIFS(T_TTAFStock_Log[TTAF_Qty],T_TTAFStock_Log[Part Name],$A47,T_TTAFStock_Log[WeekIndex],58))</f>
        <v/>
      </c>
      <c r="BH47" s="13">
        <f>IF(COUNTIFS(T_TTAFStock_Log[Part Name],$A47,T_TTAFStock_Log[WeekIndex],59)=0,"",SUMIFS(T_TTAFStock_Log[TTAF_Qty],T_TTAFStock_Log[Part Name],$A47,T_TTAFStock_Log[WeekIndex],59))</f>
        <v/>
      </c>
      <c r="BI47" s="13">
        <f>IF(COUNTIFS(T_TTAFStock_Log[Part Name],$A47,T_TTAFStock_Log[WeekIndex],60)=0,"",SUMIFS(T_TTAFStock_Log[TTAF_Qty],T_TTAFStock_Log[Part Name],$A47,T_TTAFStock_Log[WeekIndex],60))</f>
        <v/>
      </c>
      <c r="BJ47" s="13">
        <f>IF(COUNTIFS(T_TTAFStock_Log[Part Name],$A47,T_TTAFStock_Log[WeekIndex],61)=0,"",SUMIFS(T_TTAFStock_Log[TTAF_Qty],T_TTAFStock_Log[Part Name],$A47,T_TTAFStock_Log[WeekIndex],61))</f>
        <v/>
      </c>
      <c r="BK47" s="13">
        <f>IF(COUNTIFS(T_TTAFStock_Log[Part Name],$A47,T_TTAFStock_Log[WeekIndex],62)=0,"",SUMIFS(T_TTAFStock_Log[TTAF_Qty],T_TTAFStock_Log[Part Name],$A47,T_TTAFStock_Log[WeekIndex],62))</f>
        <v/>
      </c>
      <c r="BL47" s="13">
        <f>IF(COUNTIFS(T_TTAFStock_Log[Part Name],$A47,T_TTAFStock_Log[WeekIndex],63)=0,"",SUMIFS(T_TTAFStock_Log[TTAF_Qty],T_TTAFStock_Log[Part Name],$A47,T_TTAFStock_Log[WeekIndex],63))</f>
        <v/>
      </c>
      <c r="BM47" s="13">
        <f>IF(COUNTIFS(T_TTAFStock_Log[Part Name],$A47,T_TTAFStock_Log[WeekIndex],64)=0,"",SUMIFS(T_TTAFStock_Log[TTAF_Qty],T_TTAFStock_Log[Part Name],$A47,T_TTAFStock_Log[WeekIndex],64))</f>
        <v/>
      </c>
      <c r="BN47" s="13">
        <f>IF(COUNTIFS(T_TTAFStock_Log[Part Name],$A47,T_TTAFStock_Log[WeekIndex],65)=0,"",SUMIFS(T_TTAFStock_Log[TTAF_Qty],T_TTAFStock_Log[Part Name],$A47,T_TTAFStock_Log[WeekIndex],65))</f>
        <v/>
      </c>
      <c r="BO47" s="13">
        <f>IF(COUNTIFS(T_TTAFStock_Log[Part Name],$A47,T_TTAFStock_Log[WeekIndex],66)=0,"",SUMIFS(T_TTAFStock_Log[TTAF_Qty],T_TTAFStock_Log[Part Name],$A47,T_TTAFStock_Log[WeekIndex],66))</f>
        <v/>
      </c>
      <c r="BP47" s="13">
        <f>IF(COUNTIFS(T_TTAFStock_Log[Part Name],$A47,T_TTAFStock_Log[WeekIndex],67)=0,"",SUMIFS(T_TTAFStock_Log[TTAF_Qty],T_TTAFStock_Log[Part Name],$A47,T_TTAFStock_Log[WeekIndex],67))</f>
        <v/>
      </c>
      <c r="BQ47" s="13">
        <f>IF(COUNTIFS(T_TTAFStock_Log[Part Name],$A47,T_TTAFStock_Log[WeekIndex],68)=0,"",SUMIFS(T_TTAFStock_Log[TTAF_Qty],T_TTAFStock_Log[Part Name],$A47,T_TTAFStock_Log[WeekIndex],68))</f>
        <v/>
      </c>
      <c r="BR47" s="13">
        <f>IF(COUNTIFS(T_TTAFStock_Log[Part Name],$A47,T_TTAFStock_Log[WeekIndex],69)=0,"",SUMIFS(T_TTAFStock_Log[TTAF_Qty],T_TTAFStock_Log[Part Name],$A47,T_TTAFStock_Log[WeekIndex],69))</f>
        <v/>
      </c>
      <c r="BS47" s="13">
        <f>IF(COUNTIFS(T_TTAFStock_Log[Part Name],$A47,T_TTAFStock_Log[WeekIndex],70)=0,"",SUMIFS(T_TTAFStock_Log[TTAF_Qty],T_TTAFStock_Log[Part Name],$A47,T_TTAFStock_Log[WeekIndex],70))</f>
        <v/>
      </c>
      <c r="BT47" s="13">
        <f>IF(COUNTIFS(T_TTAFStock_Log[Part Name],$A47,T_TTAFStock_Log[WeekIndex],71)=0,"",SUMIFS(T_TTAFStock_Log[TTAF_Qty],T_TTAFStock_Log[Part Name],$A47,T_TTAFStock_Log[WeekIndex],71))</f>
        <v/>
      </c>
      <c r="BU47" s="13">
        <f>IF(COUNTIFS(T_TTAFStock_Log[Part Name],$A47,T_TTAFStock_Log[WeekIndex],72)=0,"",SUMIFS(T_TTAFStock_Log[TTAF_Qty],T_TTAFStock_Log[Part Name],$A47,T_TTAFStock_Log[WeekIndex],72))</f>
        <v/>
      </c>
      <c r="BV47" s="13">
        <f>IF(COUNTIFS(T_TTAFStock_Log[Part Name],$A47,T_TTAFStock_Log[WeekIndex],73)=0,"",SUMIFS(T_TTAFStock_Log[TTAF_Qty],T_TTAFStock_Log[Part Name],$A47,T_TTAFStock_Log[WeekIndex],73))</f>
        <v/>
      </c>
      <c r="BW47" s="13">
        <f>IF(COUNTIFS(T_TTAFStock_Log[Part Name],$A47,T_TTAFStock_Log[WeekIndex],74)=0,"",SUMIFS(T_TTAFStock_Log[TTAF_Qty],T_TTAFStock_Log[Part Name],$A47,T_TTAFStock_Log[WeekIndex],74))</f>
        <v/>
      </c>
      <c r="BX47" s="13">
        <f>IF(COUNTIFS(T_TTAFStock_Log[Part Name],$A47,T_TTAFStock_Log[WeekIndex],75)=0,"",SUMIFS(T_TTAFStock_Log[TTAF_Qty],T_TTAFStock_Log[Part Name],$A47,T_TTAFStock_Log[WeekIndex],75))</f>
        <v/>
      </c>
      <c r="BY47" s="13">
        <f>IF(COUNTIFS(T_TTAFStock_Log[Part Name],$A47,T_TTAFStock_Log[WeekIndex],76)=0,"",SUMIFS(T_TTAFStock_Log[TTAF_Qty],T_TTAFStock_Log[Part Name],$A47,T_TTAFStock_Log[WeekIndex],76))</f>
        <v/>
      </c>
      <c r="BZ47" s="13">
        <f>IF(COUNTIFS(T_TTAFStock_Log[Part Name],$A47,T_TTAFStock_Log[WeekIndex],77)=0,"",SUMIFS(T_TTAFStock_Log[TTAF_Qty],T_TTAFStock_Log[Part Name],$A47,T_TTAFStock_Log[WeekIndex],77))</f>
        <v/>
      </c>
      <c r="CA47" s="13">
        <f>IF(COUNTIFS(T_TTAFStock_Log[Part Name],$A47,T_TTAFStock_Log[WeekIndex],78)=0,"",SUMIFS(T_TTAFStock_Log[TTAF_Qty],T_TTAFStock_Log[Part Name],$A47,T_TTAFStock_Log[WeekIndex],78))</f>
        <v/>
      </c>
      <c r="CB47" s="13">
        <f>IF(COUNTIFS(T_TTAFStock_Log[Part Name],$A47,T_TTAFStock_Log[WeekIndex],79)=0,"",SUMIFS(T_TTAFStock_Log[TTAF_Qty],T_TTAFStock_Log[Part Name],$A47,T_TTAFStock_Log[WeekIndex],79))</f>
        <v/>
      </c>
      <c r="CC47" s="13">
        <f>IF(COUNTIFS(T_TTAFStock_Log[Part Name],$A47,T_TTAFStock_Log[WeekIndex],80)=0,"",SUMIFS(T_TTAFStock_Log[TTAF_Qty],T_TTAFStock_Log[Part Name],$A47,T_TTAFStock_Log[WeekIndex],80))</f>
        <v/>
      </c>
      <c r="CD47" s="13">
        <f>IF(COUNTIFS(T_TTAFStock_Log[Part Name],$A47,T_TTAFStock_Log[WeekIndex],81)=0,"",SUMIFS(T_TTAFStock_Log[TTAF_Qty],T_TTAFStock_Log[Part Name],$A47,T_TTAFStock_Log[WeekIndex],81))</f>
        <v/>
      </c>
      <c r="CE47" s="13">
        <f>IF(COUNTIFS(T_TTAFStock_Log[Part Name],$A47,T_TTAFStock_Log[WeekIndex],82)=0,"",SUMIFS(T_TTAFStock_Log[TTAF_Qty],T_TTAFStock_Log[Part Name],$A47,T_TTAFStock_Log[WeekIndex],82))</f>
        <v/>
      </c>
      <c r="CF47" s="13">
        <f>IF(COUNTIFS(T_TTAFStock_Log[Part Name],$A47,T_TTAFStock_Log[WeekIndex],83)=0,"",SUMIFS(T_TTAFStock_Log[TTAF_Qty],T_TTAFStock_Log[Part Name],$A47,T_TTAFStock_Log[WeekIndex],83))</f>
        <v/>
      </c>
      <c r="CG47" s="13">
        <f>IF(COUNTIFS(T_TTAFStock_Log[Part Name],$A47,T_TTAFStock_Log[WeekIndex],84)=0,"",SUMIFS(T_TTAFStock_Log[TTAF_Qty],T_TTAFStock_Log[Part Name],$A47,T_TTAFStock_Log[WeekIndex],84))</f>
        <v/>
      </c>
      <c r="CH47" s="13">
        <f>IF(COUNTIFS(T_TTAFStock_Log[Part Name],$A47,T_TTAFStock_Log[WeekIndex],85)=0,"",SUMIFS(T_TTAFStock_Log[TTAF_Qty],T_TTAFStock_Log[Part Name],$A47,T_TTAFStock_Log[WeekIndex],85))</f>
        <v/>
      </c>
      <c r="CI47" s="13">
        <f>IF(COUNTIFS(T_TTAFStock_Log[Part Name],$A47,T_TTAFStock_Log[WeekIndex],86)=0,"",SUMIFS(T_TTAFStock_Log[TTAF_Qty],T_TTAFStock_Log[Part Name],$A47,T_TTAFStock_Log[WeekIndex],86))</f>
        <v/>
      </c>
      <c r="CJ47" s="13">
        <f>IF(COUNTIFS(T_TTAFStock_Log[Part Name],$A47,T_TTAFStock_Log[WeekIndex],87)=0,"",SUMIFS(T_TTAFStock_Log[TTAF_Qty],T_TTAFStock_Log[Part Name],$A47,T_TTAFStock_Log[WeekIndex],87))</f>
        <v/>
      </c>
      <c r="CK47" s="13">
        <f>IF(COUNTIFS(T_TTAFStock_Log[Part Name],$A47,T_TTAFStock_Log[WeekIndex],88)=0,"",SUMIFS(T_TTAFStock_Log[TTAF_Qty],T_TTAFStock_Log[Part Name],$A47,T_TTAFStock_Log[WeekIndex],88))</f>
        <v/>
      </c>
      <c r="CL47" s="13">
        <f>IF(COUNTIFS(T_TTAFStock_Log[Part Name],$A47,T_TTAFStock_Log[WeekIndex],89)=0,"",SUMIFS(T_TTAFStock_Log[TTAF_Qty],T_TTAFStock_Log[Part Name],$A47,T_TTAFStock_Log[WeekIndex],89))</f>
        <v/>
      </c>
      <c r="CM47" s="13">
        <f>IF(COUNTIFS(T_TTAFStock_Log[Part Name],$A47,T_TTAFStock_Log[WeekIndex],90)=0,"",SUMIFS(T_TTAFStock_Log[TTAF_Qty],T_TTAFStock_Log[Part Name],$A47,T_TTAFStock_Log[WeekIndex],90))</f>
        <v/>
      </c>
      <c r="CN47" s="13">
        <f>IF(COUNTIFS(T_TTAFStock_Log[Part Name],$A47,T_TTAFStock_Log[WeekIndex],91)=0,"",SUMIFS(T_TTAFStock_Log[TTAF_Qty],T_TTAFStock_Log[Part Name],$A47,T_TTAFStock_Log[WeekIndex],91))</f>
        <v/>
      </c>
      <c r="CO47" s="13">
        <f>IF(COUNTIFS(T_TTAFStock_Log[Part Name],$A47,T_TTAFStock_Log[WeekIndex],92)=0,"",SUMIFS(T_TTAFStock_Log[TTAF_Qty],T_TTAFStock_Log[Part Name],$A47,T_TTAFStock_Log[WeekIndex],92))</f>
        <v/>
      </c>
      <c r="CP47" s="13">
        <f>IF(COUNTIFS(T_TTAFStock_Log[Part Name],$A47,T_TTAFStock_Log[WeekIndex],93)=0,"",SUMIFS(T_TTAFStock_Log[TTAF_Qty],T_TTAFStock_Log[Part Name],$A47,T_TTAFStock_Log[WeekIndex],93))</f>
        <v/>
      </c>
      <c r="CQ47" s="13">
        <f>IF(COUNTIFS(T_TTAFStock_Log[Part Name],$A47,T_TTAFStock_Log[WeekIndex],94)=0,"",SUMIFS(T_TTAFStock_Log[TTAF_Qty],T_TTAFStock_Log[Part Name],$A47,T_TTAFStock_Log[WeekIndex],94))</f>
        <v/>
      </c>
      <c r="CR47" s="13">
        <f>IF(COUNTIFS(T_TTAFStock_Log[Part Name],$A47,T_TTAFStock_Log[WeekIndex],95)=0,"",SUMIFS(T_TTAFStock_Log[TTAF_Qty],T_TTAFStock_Log[Part Name],$A47,T_TTAFStock_Log[WeekIndex],95))</f>
        <v/>
      </c>
      <c r="CS47" s="13">
        <f>IF(COUNTIFS(T_TTAFStock_Log[Part Name],$A47,T_TTAFStock_Log[WeekIndex],96)=0,"",SUMIFS(T_TTAFStock_Log[TTAF_Qty],T_TTAFStock_Log[Part Name],$A47,T_TTAFStock_Log[WeekIndex],96))</f>
        <v/>
      </c>
      <c r="CT47" s="13">
        <f>IF(COUNTIFS(T_TTAFStock_Log[Part Name],$A47,T_TTAFStock_Log[WeekIndex],97)=0,"",SUMIFS(T_TTAFStock_Log[TTAF_Qty],T_TTAFStock_Log[Part Name],$A47,T_TTAFStock_Log[WeekIndex],97))</f>
        <v/>
      </c>
      <c r="CU47" s="13">
        <f>IF(COUNTIFS(T_TTAFStock_Log[Part Name],$A47,T_TTAFStock_Log[WeekIndex],98)=0,"",SUMIFS(T_TTAFStock_Log[TTAF_Qty],T_TTAFStock_Log[Part Name],$A47,T_TTAFStock_Log[WeekIndex],98))</f>
        <v/>
      </c>
      <c r="CV47" s="13">
        <f>IF(COUNTIFS(T_TTAFStock_Log[Part Name],$A47,T_TTAFStock_Log[WeekIndex],99)=0,"",SUMIFS(T_TTAFStock_Log[TTAF_Qty],T_TTAFStock_Log[Part Name],$A47,T_TTAFStock_Log[WeekIndex],99))</f>
        <v/>
      </c>
      <c r="CW47" s="13">
        <f>IF(COUNTIFS(T_TTAFStock_Log[Part Name],$A47,T_TTAFStock_Log[WeekIndex],100)=0,"",SUMIFS(T_TTAFStock_Log[TTAF_Qty],T_TTAFStock_Log[Part Name],$A47,T_TTAFStock_Log[WeekIndex],100))</f>
        <v/>
      </c>
      <c r="CX47" s="13">
        <f>IF(COUNTIFS(T_TTAFStock_Log[Part Name],$A47,T_TTAFStock_Log[WeekIndex],101)=0,"",SUMIFS(T_TTAFStock_Log[TTAF_Qty],T_TTAFStock_Log[Part Name],$A47,T_TTAFStock_Log[WeekIndex],101))</f>
        <v/>
      </c>
      <c r="CY47" s="13">
        <f>IF(COUNTIFS(T_TTAFStock_Log[Part Name],$A47,T_TTAFStock_Log[WeekIndex],102)=0,"",SUMIFS(T_TTAFStock_Log[TTAF_Qty],T_TTAFStock_Log[Part Name],$A47,T_TTAFStock_Log[WeekIndex],102))</f>
        <v/>
      </c>
      <c r="CZ47" s="13">
        <f>IF(COUNTIFS(T_TTAFStock_Log[Part Name],$A47,T_TTAFStock_Log[WeekIndex],103)=0,"",SUMIFS(T_TTAFStock_Log[TTAF_Qty],T_TTAFStock_Log[Part Name],$A47,T_TTAFStock_Log[WeekIndex],103))</f>
        <v/>
      </c>
      <c r="DA47" s="13">
        <f>IF(COUNTIFS(T_TTAFStock_Log[Part Name],$A47,T_TTAFStock_Log[WeekIndex],104)=0,"",SUMIFS(T_TTAFStock_Log[TTAF_Qty],T_TTAFStock_Log[Part Name],$A47,T_TTAFStock_Log[WeekIndex],104))</f>
        <v/>
      </c>
    </row>
    <row r="48">
      <c r="A48" s="12" t="inlineStr">
        <is>
          <t>3TP</t>
        </is>
      </c>
      <c r="B48" s="12">
        <f>IF(COUNTIFS(T_TTAFStock_Log[Part Name],$A48,T_TTAFStock_Log[WeekIndex],1)=0,"",SUMIFS(T_TTAFStock_Log[TTAF_Qty],T_TTAFStock_Log[Part Name],$A48,T_TTAFStock_Log[WeekIndex],1))</f>
        <v/>
      </c>
      <c r="C48" s="12">
        <f>IF(COUNTIFS(T_TTAFStock_Log[Part Name],$A48,T_TTAFStock_Log[WeekIndex],2)=0,"",SUMIFS(T_TTAFStock_Log[TTAF_Qty],T_TTAFStock_Log[Part Name],$A48,T_TTAFStock_Log[WeekIndex],2))</f>
        <v/>
      </c>
      <c r="D48" s="12">
        <f>IF(COUNTIFS(T_TTAFStock_Log[Part Name],$A48,T_TTAFStock_Log[WeekIndex],3)=0,"",SUMIFS(T_TTAFStock_Log[TTAF_Qty],T_TTAFStock_Log[Part Name],$A48,T_TTAFStock_Log[WeekIndex],3))</f>
        <v/>
      </c>
      <c r="E48" s="12">
        <f>IF(COUNTIFS(T_TTAFStock_Log[Part Name],$A48,T_TTAFStock_Log[WeekIndex],4)=0,"",SUMIFS(T_TTAFStock_Log[TTAF_Qty],T_TTAFStock_Log[Part Name],$A48,T_TTAFStock_Log[WeekIndex],4))</f>
        <v/>
      </c>
      <c r="F48" s="12">
        <f>IF(COUNTIFS(T_TTAFStock_Log[Part Name],$A48,T_TTAFStock_Log[WeekIndex],5)=0,"",SUMIFS(T_TTAFStock_Log[TTAF_Qty],T_TTAFStock_Log[Part Name],$A48,T_TTAFStock_Log[WeekIndex],5))</f>
        <v/>
      </c>
      <c r="G48" s="12">
        <f>IF(COUNTIFS(T_TTAFStock_Log[Part Name],$A48,T_TTAFStock_Log[WeekIndex],6)=0,"",SUMIFS(T_TTAFStock_Log[TTAF_Qty],T_TTAFStock_Log[Part Name],$A48,T_TTAFStock_Log[WeekIndex],6))</f>
        <v/>
      </c>
      <c r="H48" s="12">
        <f>IF(COUNTIFS(T_TTAFStock_Log[Part Name],$A48,T_TTAFStock_Log[WeekIndex],7)=0,"",SUMIFS(T_TTAFStock_Log[TTAF_Qty],T_TTAFStock_Log[Part Name],$A48,T_TTAFStock_Log[WeekIndex],7))</f>
        <v/>
      </c>
      <c r="I48" s="12">
        <f>IF(COUNTIFS(T_TTAFStock_Log[Part Name],$A48,T_TTAFStock_Log[WeekIndex],8)=0,"",SUMIFS(T_TTAFStock_Log[TTAF_Qty],T_TTAFStock_Log[Part Name],$A48,T_TTAFStock_Log[WeekIndex],8))</f>
        <v/>
      </c>
      <c r="J48" s="12">
        <f>IF(COUNTIFS(T_TTAFStock_Log[Part Name],$A48,T_TTAFStock_Log[WeekIndex],9)=0,"",SUMIFS(T_TTAFStock_Log[TTAF_Qty],T_TTAFStock_Log[Part Name],$A48,T_TTAFStock_Log[WeekIndex],9))</f>
        <v/>
      </c>
      <c r="K48" s="12">
        <f>IF(COUNTIFS(T_TTAFStock_Log[Part Name],$A48,T_TTAFStock_Log[WeekIndex],10)=0,"",SUMIFS(T_TTAFStock_Log[TTAF_Qty],T_TTAFStock_Log[Part Name],$A48,T_TTAFStock_Log[WeekIndex],10))</f>
        <v/>
      </c>
      <c r="L48" s="12">
        <f>IF(COUNTIFS(T_TTAFStock_Log[Part Name],$A48,T_TTAFStock_Log[WeekIndex],11)=0,"",SUMIFS(T_TTAFStock_Log[TTAF_Qty],T_TTAFStock_Log[Part Name],$A48,T_TTAFStock_Log[WeekIndex],11))</f>
        <v/>
      </c>
      <c r="M48" s="12">
        <f>IF(COUNTIFS(T_TTAFStock_Log[Part Name],$A48,T_TTAFStock_Log[WeekIndex],12)=0,"",SUMIFS(T_TTAFStock_Log[TTAF_Qty],T_TTAFStock_Log[Part Name],$A48,T_TTAFStock_Log[WeekIndex],12))</f>
        <v/>
      </c>
      <c r="N48" s="12">
        <f>IF(COUNTIFS(T_TTAFStock_Log[Part Name],$A48,T_TTAFStock_Log[WeekIndex],13)=0,"",SUMIFS(T_TTAFStock_Log[TTAF_Qty],T_TTAFStock_Log[Part Name],$A48,T_TTAFStock_Log[WeekIndex],13))</f>
        <v/>
      </c>
      <c r="O48" s="12">
        <f>IF(COUNTIFS(T_TTAFStock_Log[Part Name],$A48,T_TTAFStock_Log[WeekIndex],14)=0,"",SUMIFS(T_TTAFStock_Log[TTAF_Qty],T_TTAFStock_Log[Part Name],$A48,T_TTAFStock_Log[WeekIndex],14))</f>
        <v/>
      </c>
      <c r="P48" s="12">
        <f>IF(COUNTIFS(T_TTAFStock_Log[Part Name],$A48,T_TTAFStock_Log[WeekIndex],15)=0,"",SUMIFS(T_TTAFStock_Log[TTAF_Qty],T_TTAFStock_Log[Part Name],$A48,T_TTAFStock_Log[WeekIndex],15))</f>
        <v/>
      </c>
      <c r="Q48" s="12">
        <f>IF(COUNTIFS(T_TTAFStock_Log[Part Name],$A48,T_TTAFStock_Log[WeekIndex],16)=0,"",SUMIFS(T_TTAFStock_Log[TTAF_Qty],T_TTAFStock_Log[Part Name],$A48,T_TTAFStock_Log[WeekIndex],16))</f>
        <v/>
      </c>
      <c r="R48" s="12">
        <f>IF(COUNTIFS(T_TTAFStock_Log[Part Name],$A48,T_TTAFStock_Log[WeekIndex],17)=0,"",SUMIFS(T_TTAFStock_Log[TTAF_Qty],T_TTAFStock_Log[Part Name],$A48,T_TTAFStock_Log[WeekIndex],17))</f>
        <v/>
      </c>
      <c r="S48" s="12">
        <f>IF(COUNTIFS(T_TTAFStock_Log[Part Name],$A48,T_TTAFStock_Log[WeekIndex],18)=0,"",SUMIFS(T_TTAFStock_Log[TTAF_Qty],T_TTAFStock_Log[Part Name],$A48,T_TTAFStock_Log[WeekIndex],18))</f>
        <v/>
      </c>
      <c r="T48" s="12">
        <f>IF(COUNTIFS(T_TTAFStock_Log[Part Name],$A48,T_TTAFStock_Log[WeekIndex],19)=0,"",SUMIFS(T_TTAFStock_Log[TTAF_Qty],T_TTAFStock_Log[Part Name],$A48,T_TTAFStock_Log[WeekIndex],19))</f>
        <v/>
      </c>
      <c r="U48" s="12">
        <f>IF(COUNTIFS(T_TTAFStock_Log[Part Name],$A48,T_TTAFStock_Log[WeekIndex],20)=0,"",SUMIFS(T_TTAFStock_Log[TTAF_Qty],T_TTAFStock_Log[Part Name],$A48,T_TTAFStock_Log[WeekIndex],20))</f>
        <v/>
      </c>
      <c r="V48" s="12">
        <f>IF(COUNTIFS(T_TTAFStock_Log[Part Name],$A48,T_TTAFStock_Log[WeekIndex],21)=0,"",SUMIFS(T_TTAFStock_Log[TTAF_Qty],T_TTAFStock_Log[Part Name],$A48,T_TTAFStock_Log[WeekIndex],21))</f>
        <v/>
      </c>
      <c r="W48" s="12">
        <f>IF(COUNTIFS(T_TTAFStock_Log[Part Name],$A48,T_TTAFStock_Log[WeekIndex],22)=0,"",SUMIFS(T_TTAFStock_Log[TTAF_Qty],T_TTAFStock_Log[Part Name],$A48,T_TTAFStock_Log[WeekIndex],22))</f>
        <v/>
      </c>
      <c r="X48" s="12">
        <f>IF(COUNTIFS(T_TTAFStock_Log[Part Name],$A48,T_TTAFStock_Log[WeekIndex],23)=0,"",SUMIFS(T_TTAFStock_Log[TTAF_Qty],T_TTAFStock_Log[Part Name],$A48,T_TTAFStock_Log[WeekIndex],23))</f>
        <v/>
      </c>
      <c r="Y48" s="12">
        <f>IF(COUNTIFS(T_TTAFStock_Log[Part Name],$A48,T_TTAFStock_Log[WeekIndex],24)=0,"",SUMIFS(T_TTAFStock_Log[TTAF_Qty],T_TTAFStock_Log[Part Name],$A48,T_TTAFStock_Log[WeekIndex],24))</f>
        <v/>
      </c>
      <c r="Z48" s="12">
        <f>IF(COUNTIFS(T_TTAFStock_Log[Part Name],$A48,T_TTAFStock_Log[WeekIndex],25)=0,"",SUMIFS(T_TTAFStock_Log[TTAF_Qty],T_TTAFStock_Log[Part Name],$A48,T_TTAFStock_Log[WeekIndex],25))</f>
        <v/>
      </c>
      <c r="AA48" s="12">
        <f>IF(COUNTIFS(T_TTAFStock_Log[Part Name],$A48,T_TTAFStock_Log[WeekIndex],26)=0,"",SUMIFS(T_TTAFStock_Log[TTAF_Qty],T_TTAFStock_Log[Part Name],$A48,T_TTAFStock_Log[WeekIndex],26))</f>
        <v/>
      </c>
      <c r="AB48" s="12">
        <f>IF(COUNTIFS(T_TTAFStock_Log[Part Name],$A48,T_TTAFStock_Log[WeekIndex],27)=0,"",SUMIFS(T_TTAFStock_Log[TTAF_Qty],T_TTAFStock_Log[Part Name],$A48,T_TTAFStock_Log[WeekIndex],27))</f>
        <v/>
      </c>
      <c r="AC48" s="12">
        <f>IF(COUNTIFS(T_TTAFStock_Log[Part Name],$A48,T_TTAFStock_Log[WeekIndex],28)=0,"",SUMIFS(T_TTAFStock_Log[TTAF_Qty],T_TTAFStock_Log[Part Name],$A48,T_TTAFStock_Log[WeekIndex],28))</f>
        <v/>
      </c>
      <c r="AD48" s="12">
        <f>IF(COUNTIFS(T_TTAFStock_Log[Part Name],$A48,T_TTAFStock_Log[WeekIndex],29)=0,"",SUMIFS(T_TTAFStock_Log[TTAF_Qty],T_TTAFStock_Log[Part Name],$A48,T_TTAFStock_Log[WeekIndex],29))</f>
        <v/>
      </c>
      <c r="AE48" s="12">
        <f>IF(COUNTIFS(T_TTAFStock_Log[Part Name],$A48,T_TTAFStock_Log[WeekIndex],30)=0,"",SUMIFS(T_TTAFStock_Log[TTAF_Qty],T_TTAFStock_Log[Part Name],$A48,T_TTAFStock_Log[WeekIndex],30))</f>
        <v/>
      </c>
      <c r="AF48" s="12">
        <f>IF(COUNTIFS(T_TTAFStock_Log[Part Name],$A48,T_TTAFStock_Log[WeekIndex],31)=0,"",SUMIFS(T_TTAFStock_Log[TTAF_Qty],T_TTAFStock_Log[Part Name],$A48,T_TTAFStock_Log[WeekIndex],31))</f>
        <v/>
      </c>
      <c r="AG48" s="12">
        <f>IF(COUNTIFS(T_TTAFStock_Log[Part Name],$A48,T_TTAFStock_Log[WeekIndex],32)=0,"",SUMIFS(T_TTAFStock_Log[TTAF_Qty],T_TTAFStock_Log[Part Name],$A48,T_TTAFStock_Log[WeekIndex],32))</f>
        <v/>
      </c>
      <c r="AH48" s="12">
        <f>IF(COUNTIFS(T_TTAFStock_Log[Part Name],$A48,T_TTAFStock_Log[WeekIndex],33)=0,"",SUMIFS(T_TTAFStock_Log[TTAF_Qty],T_TTAFStock_Log[Part Name],$A48,T_TTAFStock_Log[WeekIndex],33))</f>
        <v/>
      </c>
      <c r="AI48" s="12">
        <f>IF(COUNTIFS(T_TTAFStock_Log[Part Name],$A48,T_TTAFStock_Log[WeekIndex],34)=0,"",SUMIFS(T_TTAFStock_Log[TTAF_Qty],T_TTAFStock_Log[Part Name],$A48,T_TTAFStock_Log[WeekIndex],34))</f>
        <v/>
      </c>
      <c r="AJ48" s="12">
        <f>IF(COUNTIFS(T_TTAFStock_Log[Part Name],$A48,T_TTAFStock_Log[WeekIndex],35)=0,"",SUMIFS(T_TTAFStock_Log[TTAF_Qty],T_TTAFStock_Log[Part Name],$A48,T_TTAFStock_Log[WeekIndex],35))</f>
        <v/>
      </c>
      <c r="AK48" s="12">
        <f>IF(COUNTIFS(T_TTAFStock_Log[Part Name],$A48,T_TTAFStock_Log[WeekIndex],36)=0,"",SUMIFS(T_TTAFStock_Log[TTAF_Qty],T_TTAFStock_Log[Part Name],$A48,T_TTAFStock_Log[WeekIndex],36))</f>
        <v/>
      </c>
      <c r="AL48" s="12">
        <f>IF(COUNTIFS(T_TTAFStock_Log[Part Name],$A48,T_TTAFStock_Log[WeekIndex],37)=0,"",SUMIFS(T_TTAFStock_Log[TTAF_Qty],T_TTAFStock_Log[Part Name],$A48,T_TTAFStock_Log[WeekIndex],37))</f>
        <v/>
      </c>
      <c r="AM48" s="12">
        <f>IF(COUNTIFS(T_TTAFStock_Log[Part Name],$A48,T_TTAFStock_Log[WeekIndex],38)=0,"",SUMIFS(T_TTAFStock_Log[TTAF_Qty],T_TTAFStock_Log[Part Name],$A48,T_TTAFStock_Log[WeekIndex],38))</f>
        <v/>
      </c>
      <c r="AN48" s="12">
        <f>IF(COUNTIFS(T_TTAFStock_Log[Part Name],$A48,T_TTAFStock_Log[WeekIndex],39)=0,"",SUMIFS(T_TTAFStock_Log[TTAF_Qty],T_TTAFStock_Log[Part Name],$A48,T_TTAFStock_Log[WeekIndex],39))</f>
        <v/>
      </c>
      <c r="AO48" s="12">
        <f>IF(COUNTIFS(T_TTAFStock_Log[Part Name],$A48,T_TTAFStock_Log[WeekIndex],40)=0,"",SUMIFS(T_TTAFStock_Log[TTAF_Qty],T_TTAFStock_Log[Part Name],$A48,T_TTAFStock_Log[WeekIndex],40))</f>
        <v/>
      </c>
      <c r="AP48" s="12">
        <f>IF(COUNTIFS(T_TTAFStock_Log[Part Name],$A48,T_TTAFStock_Log[WeekIndex],41)=0,"",SUMIFS(T_TTAFStock_Log[TTAF_Qty],T_TTAFStock_Log[Part Name],$A48,T_TTAFStock_Log[WeekIndex],41))</f>
        <v/>
      </c>
      <c r="AQ48" s="12">
        <f>IF(COUNTIFS(T_TTAFStock_Log[Part Name],$A48,T_TTAFStock_Log[WeekIndex],42)=0,"",SUMIFS(T_TTAFStock_Log[TTAF_Qty],T_TTAFStock_Log[Part Name],$A48,T_TTAFStock_Log[WeekIndex],42))</f>
        <v/>
      </c>
      <c r="AR48" s="12">
        <f>IF(COUNTIFS(T_TTAFStock_Log[Part Name],$A48,T_TTAFStock_Log[WeekIndex],43)=0,"",SUMIFS(T_TTAFStock_Log[TTAF_Qty],T_TTAFStock_Log[Part Name],$A48,T_TTAFStock_Log[WeekIndex],43))</f>
        <v/>
      </c>
      <c r="AS48" s="12">
        <f>IF(COUNTIFS(T_TTAFStock_Log[Part Name],$A48,T_TTAFStock_Log[WeekIndex],44)=0,"",SUMIFS(T_TTAFStock_Log[TTAF_Qty],T_TTAFStock_Log[Part Name],$A48,T_TTAFStock_Log[WeekIndex],44))</f>
        <v/>
      </c>
      <c r="AT48" s="12">
        <f>IF(COUNTIFS(T_TTAFStock_Log[Part Name],$A48,T_TTAFStock_Log[WeekIndex],45)=0,"",SUMIFS(T_TTAFStock_Log[TTAF_Qty],T_TTAFStock_Log[Part Name],$A48,T_TTAFStock_Log[WeekIndex],45))</f>
        <v/>
      </c>
      <c r="AU48" s="12">
        <f>IF(COUNTIFS(T_TTAFStock_Log[Part Name],$A48,T_TTAFStock_Log[WeekIndex],46)=0,"",SUMIFS(T_TTAFStock_Log[TTAF_Qty],T_TTAFStock_Log[Part Name],$A48,T_TTAFStock_Log[WeekIndex],46))</f>
        <v/>
      </c>
      <c r="AV48" s="12">
        <f>IF(COUNTIFS(T_TTAFStock_Log[Part Name],$A48,T_TTAFStock_Log[WeekIndex],47)=0,"",SUMIFS(T_TTAFStock_Log[TTAF_Qty],T_TTAFStock_Log[Part Name],$A48,T_TTAFStock_Log[WeekIndex],47))</f>
        <v/>
      </c>
      <c r="AW48" s="12">
        <f>IF(COUNTIFS(T_TTAFStock_Log[Part Name],$A48,T_TTAFStock_Log[WeekIndex],48)=0,"",SUMIFS(T_TTAFStock_Log[TTAF_Qty],T_TTAFStock_Log[Part Name],$A48,T_TTAFStock_Log[WeekIndex],48))</f>
        <v/>
      </c>
      <c r="AX48" s="12">
        <f>IF(COUNTIFS(T_TTAFStock_Log[Part Name],$A48,T_TTAFStock_Log[WeekIndex],49)=0,"",SUMIFS(T_TTAFStock_Log[TTAF_Qty],T_TTAFStock_Log[Part Name],$A48,T_TTAFStock_Log[WeekIndex],49))</f>
        <v/>
      </c>
      <c r="AY48" s="12">
        <f>IF(COUNTIFS(T_TTAFStock_Log[Part Name],$A48,T_TTAFStock_Log[WeekIndex],50)=0,"",SUMIFS(T_TTAFStock_Log[TTAF_Qty],T_TTAFStock_Log[Part Name],$A48,T_TTAFStock_Log[WeekIndex],50))</f>
        <v/>
      </c>
      <c r="AZ48" s="12">
        <f>IF(COUNTIFS(T_TTAFStock_Log[Part Name],$A48,T_TTAFStock_Log[WeekIndex],51)=0,"",SUMIFS(T_TTAFStock_Log[TTAF_Qty],T_TTAFStock_Log[Part Name],$A48,T_TTAFStock_Log[WeekIndex],51))</f>
        <v/>
      </c>
      <c r="BA48" s="12">
        <f>IF(COUNTIFS(T_TTAFStock_Log[Part Name],$A48,T_TTAFStock_Log[WeekIndex],52)=0,"",SUMIFS(T_TTAFStock_Log[TTAF_Qty],T_TTAFStock_Log[Part Name],$A48,T_TTAFStock_Log[WeekIndex],52))</f>
        <v/>
      </c>
      <c r="BB48" s="12">
        <f>IF(COUNTIFS(T_TTAFStock_Log[Part Name],$A48,T_TTAFStock_Log[WeekIndex],53)=0,"",SUMIFS(T_TTAFStock_Log[TTAF_Qty],T_TTAFStock_Log[Part Name],$A48,T_TTAFStock_Log[WeekIndex],53))</f>
        <v/>
      </c>
      <c r="BC48" s="12">
        <f>IF(COUNTIFS(T_TTAFStock_Log[Part Name],$A48,T_TTAFStock_Log[WeekIndex],54)=0,"",SUMIFS(T_TTAFStock_Log[TTAF_Qty],T_TTAFStock_Log[Part Name],$A48,T_TTAFStock_Log[WeekIndex],54))</f>
        <v/>
      </c>
      <c r="BD48" s="12">
        <f>IF(COUNTIFS(T_TTAFStock_Log[Part Name],$A48,T_TTAFStock_Log[WeekIndex],55)=0,"",SUMIFS(T_TTAFStock_Log[TTAF_Qty],T_TTAFStock_Log[Part Name],$A48,T_TTAFStock_Log[WeekIndex],55))</f>
        <v/>
      </c>
      <c r="BE48" s="12">
        <f>IF(COUNTIFS(T_TTAFStock_Log[Part Name],$A48,T_TTAFStock_Log[WeekIndex],56)=0,"",SUMIFS(T_TTAFStock_Log[TTAF_Qty],T_TTAFStock_Log[Part Name],$A48,T_TTAFStock_Log[WeekIndex],56))</f>
        <v/>
      </c>
      <c r="BF48" s="12">
        <f>IF(COUNTIFS(T_TTAFStock_Log[Part Name],$A48,T_TTAFStock_Log[WeekIndex],57)=0,"",SUMIFS(T_TTAFStock_Log[TTAF_Qty],T_TTAFStock_Log[Part Name],$A48,T_TTAFStock_Log[WeekIndex],57))</f>
        <v/>
      </c>
      <c r="BG48" s="12">
        <f>IF(COUNTIFS(T_TTAFStock_Log[Part Name],$A48,T_TTAFStock_Log[WeekIndex],58)=0,"",SUMIFS(T_TTAFStock_Log[TTAF_Qty],T_TTAFStock_Log[Part Name],$A48,T_TTAFStock_Log[WeekIndex],58))</f>
        <v/>
      </c>
      <c r="BH48" s="12">
        <f>IF(COUNTIFS(T_TTAFStock_Log[Part Name],$A48,T_TTAFStock_Log[WeekIndex],59)=0,"",SUMIFS(T_TTAFStock_Log[TTAF_Qty],T_TTAFStock_Log[Part Name],$A48,T_TTAFStock_Log[WeekIndex],59))</f>
        <v/>
      </c>
      <c r="BI48" s="12">
        <f>IF(COUNTIFS(T_TTAFStock_Log[Part Name],$A48,T_TTAFStock_Log[WeekIndex],60)=0,"",SUMIFS(T_TTAFStock_Log[TTAF_Qty],T_TTAFStock_Log[Part Name],$A48,T_TTAFStock_Log[WeekIndex],60))</f>
        <v/>
      </c>
      <c r="BJ48" s="12">
        <f>IF(COUNTIFS(T_TTAFStock_Log[Part Name],$A48,T_TTAFStock_Log[WeekIndex],61)=0,"",SUMIFS(T_TTAFStock_Log[TTAF_Qty],T_TTAFStock_Log[Part Name],$A48,T_TTAFStock_Log[WeekIndex],61))</f>
        <v/>
      </c>
      <c r="BK48" s="12">
        <f>IF(COUNTIFS(T_TTAFStock_Log[Part Name],$A48,T_TTAFStock_Log[WeekIndex],62)=0,"",SUMIFS(T_TTAFStock_Log[TTAF_Qty],T_TTAFStock_Log[Part Name],$A48,T_TTAFStock_Log[WeekIndex],62))</f>
        <v/>
      </c>
      <c r="BL48" s="12">
        <f>IF(COUNTIFS(T_TTAFStock_Log[Part Name],$A48,T_TTAFStock_Log[WeekIndex],63)=0,"",SUMIFS(T_TTAFStock_Log[TTAF_Qty],T_TTAFStock_Log[Part Name],$A48,T_TTAFStock_Log[WeekIndex],63))</f>
        <v/>
      </c>
      <c r="BM48" s="12">
        <f>IF(COUNTIFS(T_TTAFStock_Log[Part Name],$A48,T_TTAFStock_Log[WeekIndex],64)=0,"",SUMIFS(T_TTAFStock_Log[TTAF_Qty],T_TTAFStock_Log[Part Name],$A48,T_TTAFStock_Log[WeekIndex],64))</f>
        <v/>
      </c>
      <c r="BN48" s="12">
        <f>IF(COUNTIFS(T_TTAFStock_Log[Part Name],$A48,T_TTAFStock_Log[WeekIndex],65)=0,"",SUMIFS(T_TTAFStock_Log[TTAF_Qty],T_TTAFStock_Log[Part Name],$A48,T_TTAFStock_Log[WeekIndex],65))</f>
        <v/>
      </c>
      <c r="BO48" s="12">
        <f>IF(COUNTIFS(T_TTAFStock_Log[Part Name],$A48,T_TTAFStock_Log[WeekIndex],66)=0,"",SUMIFS(T_TTAFStock_Log[TTAF_Qty],T_TTAFStock_Log[Part Name],$A48,T_TTAFStock_Log[WeekIndex],66))</f>
        <v/>
      </c>
      <c r="BP48" s="12">
        <f>IF(COUNTIFS(T_TTAFStock_Log[Part Name],$A48,T_TTAFStock_Log[WeekIndex],67)=0,"",SUMIFS(T_TTAFStock_Log[TTAF_Qty],T_TTAFStock_Log[Part Name],$A48,T_TTAFStock_Log[WeekIndex],67))</f>
        <v/>
      </c>
      <c r="BQ48" s="12">
        <f>IF(COUNTIFS(T_TTAFStock_Log[Part Name],$A48,T_TTAFStock_Log[WeekIndex],68)=0,"",SUMIFS(T_TTAFStock_Log[TTAF_Qty],T_TTAFStock_Log[Part Name],$A48,T_TTAFStock_Log[WeekIndex],68))</f>
        <v/>
      </c>
      <c r="BR48" s="12">
        <f>IF(COUNTIFS(T_TTAFStock_Log[Part Name],$A48,T_TTAFStock_Log[WeekIndex],69)=0,"",SUMIFS(T_TTAFStock_Log[TTAF_Qty],T_TTAFStock_Log[Part Name],$A48,T_TTAFStock_Log[WeekIndex],69))</f>
        <v/>
      </c>
      <c r="BS48" s="12">
        <f>IF(COUNTIFS(T_TTAFStock_Log[Part Name],$A48,T_TTAFStock_Log[WeekIndex],70)=0,"",SUMIFS(T_TTAFStock_Log[TTAF_Qty],T_TTAFStock_Log[Part Name],$A48,T_TTAFStock_Log[WeekIndex],70))</f>
        <v/>
      </c>
      <c r="BT48" s="12">
        <f>IF(COUNTIFS(T_TTAFStock_Log[Part Name],$A48,T_TTAFStock_Log[WeekIndex],71)=0,"",SUMIFS(T_TTAFStock_Log[TTAF_Qty],T_TTAFStock_Log[Part Name],$A48,T_TTAFStock_Log[WeekIndex],71))</f>
        <v/>
      </c>
      <c r="BU48" s="12">
        <f>IF(COUNTIFS(T_TTAFStock_Log[Part Name],$A48,T_TTAFStock_Log[WeekIndex],72)=0,"",SUMIFS(T_TTAFStock_Log[TTAF_Qty],T_TTAFStock_Log[Part Name],$A48,T_TTAFStock_Log[WeekIndex],72))</f>
        <v/>
      </c>
      <c r="BV48" s="12">
        <f>IF(COUNTIFS(T_TTAFStock_Log[Part Name],$A48,T_TTAFStock_Log[WeekIndex],73)=0,"",SUMIFS(T_TTAFStock_Log[TTAF_Qty],T_TTAFStock_Log[Part Name],$A48,T_TTAFStock_Log[WeekIndex],73))</f>
        <v/>
      </c>
      <c r="BW48" s="12">
        <f>IF(COUNTIFS(T_TTAFStock_Log[Part Name],$A48,T_TTAFStock_Log[WeekIndex],74)=0,"",SUMIFS(T_TTAFStock_Log[TTAF_Qty],T_TTAFStock_Log[Part Name],$A48,T_TTAFStock_Log[WeekIndex],74))</f>
        <v/>
      </c>
      <c r="BX48" s="12">
        <f>IF(COUNTIFS(T_TTAFStock_Log[Part Name],$A48,T_TTAFStock_Log[WeekIndex],75)=0,"",SUMIFS(T_TTAFStock_Log[TTAF_Qty],T_TTAFStock_Log[Part Name],$A48,T_TTAFStock_Log[WeekIndex],75))</f>
        <v/>
      </c>
      <c r="BY48" s="12">
        <f>IF(COUNTIFS(T_TTAFStock_Log[Part Name],$A48,T_TTAFStock_Log[WeekIndex],76)=0,"",SUMIFS(T_TTAFStock_Log[TTAF_Qty],T_TTAFStock_Log[Part Name],$A48,T_TTAFStock_Log[WeekIndex],76))</f>
        <v/>
      </c>
      <c r="BZ48" s="12">
        <f>IF(COUNTIFS(T_TTAFStock_Log[Part Name],$A48,T_TTAFStock_Log[WeekIndex],77)=0,"",SUMIFS(T_TTAFStock_Log[TTAF_Qty],T_TTAFStock_Log[Part Name],$A48,T_TTAFStock_Log[WeekIndex],77))</f>
        <v/>
      </c>
      <c r="CA48" s="12">
        <f>IF(COUNTIFS(T_TTAFStock_Log[Part Name],$A48,T_TTAFStock_Log[WeekIndex],78)=0,"",SUMIFS(T_TTAFStock_Log[TTAF_Qty],T_TTAFStock_Log[Part Name],$A48,T_TTAFStock_Log[WeekIndex],78))</f>
        <v/>
      </c>
      <c r="CB48" s="12">
        <f>IF(COUNTIFS(T_TTAFStock_Log[Part Name],$A48,T_TTAFStock_Log[WeekIndex],79)=0,"",SUMIFS(T_TTAFStock_Log[TTAF_Qty],T_TTAFStock_Log[Part Name],$A48,T_TTAFStock_Log[WeekIndex],79))</f>
        <v/>
      </c>
      <c r="CC48" s="12">
        <f>IF(COUNTIFS(T_TTAFStock_Log[Part Name],$A48,T_TTAFStock_Log[WeekIndex],80)=0,"",SUMIFS(T_TTAFStock_Log[TTAF_Qty],T_TTAFStock_Log[Part Name],$A48,T_TTAFStock_Log[WeekIndex],80))</f>
        <v/>
      </c>
      <c r="CD48" s="12">
        <f>IF(COUNTIFS(T_TTAFStock_Log[Part Name],$A48,T_TTAFStock_Log[WeekIndex],81)=0,"",SUMIFS(T_TTAFStock_Log[TTAF_Qty],T_TTAFStock_Log[Part Name],$A48,T_TTAFStock_Log[WeekIndex],81))</f>
        <v/>
      </c>
      <c r="CE48" s="12">
        <f>IF(COUNTIFS(T_TTAFStock_Log[Part Name],$A48,T_TTAFStock_Log[WeekIndex],82)=0,"",SUMIFS(T_TTAFStock_Log[TTAF_Qty],T_TTAFStock_Log[Part Name],$A48,T_TTAFStock_Log[WeekIndex],82))</f>
        <v/>
      </c>
      <c r="CF48" s="12">
        <f>IF(COUNTIFS(T_TTAFStock_Log[Part Name],$A48,T_TTAFStock_Log[WeekIndex],83)=0,"",SUMIFS(T_TTAFStock_Log[TTAF_Qty],T_TTAFStock_Log[Part Name],$A48,T_TTAFStock_Log[WeekIndex],83))</f>
        <v/>
      </c>
      <c r="CG48" s="12">
        <f>IF(COUNTIFS(T_TTAFStock_Log[Part Name],$A48,T_TTAFStock_Log[WeekIndex],84)=0,"",SUMIFS(T_TTAFStock_Log[TTAF_Qty],T_TTAFStock_Log[Part Name],$A48,T_TTAFStock_Log[WeekIndex],84))</f>
        <v/>
      </c>
      <c r="CH48" s="12">
        <f>IF(COUNTIFS(T_TTAFStock_Log[Part Name],$A48,T_TTAFStock_Log[WeekIndex],85)=0,"",SUMIFS(T_TTAFStock_Log[TTAF_Qty],T_TTAFStock_Log[Part Name],$A48,T_TTAFStock_Log[WeekIndex],85))</f>
        <v/>
      </c>
      <c r="CI48" s="12">
        <f>IF(COUNTIFS(T_TTAFStock_Log[Part Name],$A48,T_TTAFStock_Log[WeekIndex],86)=0,"",SUMIFS(T_TTAFStock_Log[TTAF_Qty],T_TTAFStock_Log[Part Name],$A48,T_TTAFStock_Log[WeekIndex],86))</f>
        <v/>
      </c>
      <c r="CJ48" s="12">
        <f>IF(COUNTIFS(T_TTAFStock_Log[Part Name],$A48,T_TTAFStock_Log[WeekIndex],87)=0,"",SUMIFS(T_TTAFStock_Log[TTAF_Qty],T_TTAFStock_Log[Part Name],$A48,T_TTAFStock_Log[WeekIndex],87))</f>
        <v/>
      </c>
      <c r="CK48" s="12">
        <f>IF(COUNTIFS(T_TTAFStock_Log[Part Name],$A48,T_TTAFStock_Log[WeekIndex],88)=0,"",SUMIFS(T_TTAFStock_Log[TTAF_Qty],T_TTAFStock_Log[Part Name],$A48,T_TTAFStock_Log[WeekIndex],88))</f>
        <v/>
      </c>
      <c r="CL48" s="12">
        <f>IF(COUNTIFS(T_TTAFStock_Log[Part Name],$A48,T_TTAFStock_Log[WeekIndex],89)=0,"",SUMIFS(T_TTAFStock_Log[TTAF_Qty],T_TTAFStock_Log[Part Name],$A48,T_TTAFStock_Log[WeekIndex],89))</f>
        <v/>
      </c>
      <c r="CM48" s="12">
        <f>IF(COUNTIFS(T_TTAFStock_Log[Part Name],$A48,T_TTAFStock_Log[WeekIndex],90)=0,"",SUMIFS(T_TTAFStock_Log[TTAF_Qty],T_TTAFStock_Log[Part Name],$A48,T_TTAFStock_Log[WeekIndex],90))</f>
        <v/>
      </c>
      <c r="CN48" s="12">
        <f>IF(COUNTIFS(T_TTAFStock_Log[Part Name],$A48,T_TTAFStock_Log[WeekIndex],91)=0,"",SUMIFS(T_TTAFStock_Log[TTAF_Qty],T_TTAFStock_Log[Part Name],$A48,T_TTAFStock_Log[WeekIndex],91))</f>
        <v/>
      </c>
      <c r="CO48" s="12">
        <f>IF(COUNTIFS(T_TTAFStock_Log[Part Name],$A48,T_TTAFStock_Log[WeekIndex],92)=0,"",SUMIFS(T_TTAFStock_Log[TTAF_Qty],T_TTAFStock_Log[Part Name],$A48,T_TTAFStock_Log[WeekIndex],92))</f>
        <v/>
      </c>
      <c r="CP48" s="12">
        <f>IF(COUNTIFS(T_TTAFStock_Log[Part Name],$A48,T_TTAFStock_Log[WeekIndex],93)=0,"",SUMIFS(T_TTAFStock_Log[TTAF_Qty],T_TTAFStock_Log[Part Name],$A48,T_TTAFStock_Log[WeekIndex],93))</f>
        <v/>
      </c>
      <c r="CQ48" s="12">
        <f>IF(COUNTIFS(T_TTAFStock_Log[Part Name],$A48,T_TTAFStock_Log[WeekIndex],94)=0,"",SUMIFS(T_TTAFStock_Log[TTAF_Qty],T_TTAFStock_Log[Part Name],$A48,T_TTAFStock_Log[WeekIndex],94))</f>
        <v/>
      </c>
      <c r="CR48" s="12">
        <f>IF(COUNTIFS(T_TTAFStock_Log[Part Name],$A48,T_TTAFStock_Log[WeekIndex],95)=0,"",SUMIFS(T_TTAFStock_Log[TTAF_Qty],T_TTAFStock_Log[Part Name],$A48,T_TTAFStock_Log[WeekIndex],95))</f>
        <v/>
      </c>
      <c r="CS48" s="12">
        <f>IF(COUNTIFS(T_TTAFStock_Log[Part Name],$A48,T_TTAFStock_Log[WeekIndex],96)=0,"",SUMIFS(T_TTAFStock_Log[TTAF_Qty],T_TTAFStock_Log[Part Name],$A48,T_TTAFStock_Log[WeekIndex],96))</f>
        <v/>
      </c>
      <c r="CT48" s="12">
        <f>IF(COUNTIFS(T_TTAFStock_Log[Part Name],$A48,T_TTAFStock_Log[WeekIndex],97)=0,"",SUMIFS(T_TTAFStock_Log[TTAF_Qty],T_TTAFStock_Log[Part Name],$A48,T_TTAFStock_Log[WeekIndex],97))</f>
        <v/>
      </c>
      <c r="CU48" s="12">
        <f>IF(COUNTIFS(T_TTAFStock_Log[Part Name],$A48,T_TTAFStock_Log[WeekIndex],98)=0,"",SUMIFS(T_TTAFStock_Log[TTAF_Qty],T_TTAFStock_Log[Part Name],$A48,T_TTAFStock_Log[WeekIndex],98))</f>
        <v/>
      </c>
      <c r="CV48" s="12">
        <f>IF(COUNTIFS(T_TTAFStock_Log[Part Name],$A48,T_TTAFStock_Log[WeekIndex],99)=0,"",SUMIFS(T_TTAFStock_Log[TTAF_Qty],T_TTAFStock_Log[Part Name],$A48,T_TTAFStock_Log[WeekIndex],99))</f>
        <v/>
      </c>
      <c r="CW48" s="12">
        <f>IF(COUNTIFS(T_TTAFStock_Log[Part Name],$A48,T_TTAFStock_Log[WeekIndex],100)=0,"",SUMIFS(T_TTAFStock_Log[TTAF_Qty],T_TTAFStock_Log[Part Name],$A48,T_TTAFStock_Log[WeekIndex],100))</f>
        <v/>
      </c>
      <c r="CX48" s="12">
        <f>IF(COUNTIFS(T_TTAFStock_Log[Part Name],$A48,T_TTAFStock_Log[WeekIndex],101)=0,"",SUMIFS(T_TTAFStock_Log[TTAF_Qty],T_TTAFStock_Log[Part Name],$A48,T_TTAFStock_Log[WeekIndex],101))</f>
        <v/>
      </c>
      <c r="CY48" s="12">
        <f>IF(COUNTIFS(T_TTAFStock_Log[Part Name],$A48,T_TTAFStock_Log[WeekIndex],102)=0,"",SUMIFS(T_TTAFStock_Log[TTAF_Qty],T_TTAFStock_Log[Part Name],$A48,T_TTAFStock_Log[WeekIndex],102))</f>
        <v/>
      </c>
      <c r="CZ48" s="12">
        <f>IF(COUNTIFS(T_TTAFStock_Log[Part Name],$A48,T_TTAFStock_Log[WeekIndex],103)=0,"",SUMIFS(T_TTAFStock_Log[TTAF_Qty],T_TTAFStock_Log[Part Name],$A48,T_TTAFStock_Log[WeekIndex],103))</f>
        <v/>
      </c>
      <c r="DA48" s="12">
        <f>IF(COUNTIFS(T_TTAFStock_Log[Part Name],$A48,T_TTAFStock_Log[WeekIndex],104)=0,"",SUMIFS(T_TTAFStock_Log[TTAF_Qty],T_TTAFStock_Log[Part Name],$A48,T_TTAFStock_Log[WeekIndex],104))</f>
        <v/>
      </c>
    </row>
    <row r="49">
      <c r="A49" s="13" t="inlineStr">
        <is>
          <t>A043</t>
        </is>
      </c>
      <c r="B49" s="13">
        <f>IF(COUNTIFS(T_TTAFStock_Log[Part Name],$A49,T_TTAFStock_Log[WeekIndex],1)=0,"",SUMIFS(T_TTAFStock_Log[TTAF_Qty],T_TTAFStock_Log[Part Name],$A49,T_TTAFStock_Log[WeekIndex],1))</f>
        <v/>
      </c>
      <c r="C49" s="13">
        <f>IF(COUNTIFS(T_TTAFStock_Log[Part Name],$A49,T_TTAFStock_Log[WeekIndex],2)=0,"",SUMIFS(T_TTAFStock_Log[TTAF_Qty],T_TTAFStock_Log[Part Name],$A49,T_TTAFStock_Log[WeekIndex],2))</f>
        <v/>
      </c>
      <c r="D49" s="13">
        <f>IF(COUNTIFS(T_TTAFStock_Log[Part Name],$A49,T_TTAFStock_Log[WeekIndex],3)=0,"",SUMIFS(T_TTAFStock_Log[TTAF_Qty],T_TTAFStock_Log[Part Name],$A49,T_TTAFStock_Log[WeekIndex],3))</f>
        <v/>
      </c>
      <c r="E49" s="13">
        <f>IF(COUNTIFS(T_TTAFStock_Log[Part Name],$A49,T_TTAFStock_Log[WeekIndex],4)=0,"",SUMIFS(T_TTAFStock_Log[TTAF_Qty],T_TTAFStock_Log[Part Name],$A49,T_TTAFStock_Log[WeekIndex],4))</f>
        <v/>
      </c>
      <c r="F49" s="13">
        <f>IF(COUNTIFS(T_TTAFStock_Log[Part Name],$A49,T_TTAFStock_Log[WeekIndex],5)=0,"",SUMIFS(T_TTAFStock_Log[TTAF_Qty],T_TTAFStock_Log[Part Name],$A49,T_TTAFStock_Log[WeekIndex],5))</f>
        <v/>
      </c>
      <c r="G49" s="13">
        <f>IF(COUNTIFS(T_TTAFStock_Log[Part Name],$A49,T_TTAFStock_Log[WeekIndex],6)=0,"",SUMIFS(T_TTAFStock_Log[TTAF_Qty],T_TTAFStock_Log[Part Name],$A49,T_TTAFStock_Log[WeekIndex],6))</f>
        <v/>
      </c>
      <c r="H49" s="13">
        <f>IF(COUNTIFS(T_TTAFStock_Log[Part Name],$A49,T_TTAFStock_Log[WeekIndex],7)=0,"",SUMIFS(T_TTAFStock_Log[TTAF_Qty],T_TTAFStock_Log[Part Name],$A49,T_TTAFStock_Log[WeekIndex],7))</f>
        <v/>
      </c>
      <c r="I49" s="13">
        <f>IF(COUNTIFS(T_TTAFStock_Log[Part Name],$A49,T_TTAFStock_Log[WeekIndex],8)=0,"",SUMIFS(T_TTAFStock_Log[TTAF_Qty],T_TTAFStock_Log[Part Name],$A49,T_TTAFStock_Log[WeekIndex],8))</f>
        <v/>
      </c>
      <c r="J49" s="13">
        <f>IF(COUNTIFS(T_TTAFStock_Log[Part Name],$A49,T_TTAFStock_Log[WeekIndex],9)=0,"",SUMIFS(T_TTAFStock_Log[TTAF_Qty],T_TTAFStock_Log[Part Name],$A49,T_TTAFStock_Log[WeekIndex],9))</f>
        <v/>
      </c>
      <c r="K49" s="13">
        <f>IF(COUNTIFS(T_TTAFStock_Log[Part Name],$A49,T_TTAFStock_Log[WeekIndex],10)=0,"",SUMIFS(T_TTAFStock_Log[TTAF_Qty],T_TTAFStock_Log[Part Name],$A49,T_TTAFStock_Log[WeekIndex],10))</f>
        <v/>
      </c>
      <c r="L49" s="13">
        <f>IF(COUNTIFS(T_TTAFStock_Log[Part Name],$A49,T_TTAFStock_Log[WeekIndex],11)=0,"",SUMIFS(T_TTAFStock_Log[TTAF_Qty],T_TTAFStock_Log[Part Name],$A49,T_TTAFStock_Log[WeekIndex],11))</f>
        <v/>
      </c>
      <c r="M49" s="13">
        <f>IF(COUNTIFS(T_TTAFStock_Log[Part Name],$A49,T_TTAFStock_Log[WeekIndex],12)=0,"",SUMIFS(T_TTAFStock_Log[TTAF_Qty],T_TTAFStock_Log[Part Name],$A49,T_TTAFStock_Log[WeekIndex],12))</f>
        <v/>
      </c>
      <c r="N49" s="13">
        <f>IF(COUNTIFS(T_TTAFStock_Log[Part Name],$A49,T_TTAFStock_Log[WeekIndex],13)=0,"",SUMIFS(T_TTAFStock_Log[TTAF_Qty],T_TTAFStock_Log[Part Name],$A49,T_TTAFStock_Log[WeekIndex],13))</f>
        <v/>
      </c>
      <c r="O49" s="13">
        <f>IF(COUNTIFS(T_TTAFStock_Log[Part Name],$A49,T_TTAFStock_Log[WeekIndex],14)=0,"",SUMIFS(T_TTAFStock_Log[TTAF_Qty],T_TTAFStock_Log[Part Name],$A49,T_TTAFStock_Log[WeekIndex],14))</f>
        <v/>
      </c>
      <c r="P49" s="13">
        <f>IF(COUNTIFS(T_TTAFStock_Log[Part Name],$A49,T_TTAFStock_Log[WeekIndex],15)=0,"",SUMIFS(T_TTAFStock_Log[TTAF_Qty],T_TTAFStock_Log[Part Name],$A49,T_TTAFStock_Log[WeekIndex],15))</f>
        <v/>
      </c>
      <c r="Q49" s="13">
        <f>IF(COUNTIFS(T_TTAFStock_Log[Part Name],$A49,T_TTAFStock_Log[WeekIndex],16)=0,"",SUMIFS(T_TTAFStock_Log[TTAF_Qty],T_TTAFStock_Log[Part Name],$A49,T_TTAFStock_Log[WeekIndex],16))</f>
        <v/>
      </c>
      <c r="R49" s="13">
        <f>IF(COUNTIFS(T_TTAFStock_Log[Part Name],$A49,T_TTAFStock_Log[WeekIndex],17)=0,"",SUMIFS(T_TTAFStock_Log[TTAF_Qty],T_TTAFStock_Log[Part Name],$A49,T_TTAFStock_Log[WeekIndex],17))</f>
        <v/>
      </c>
      <c r="S49" s="13">
        <f>IF(COUNTIFS(T_TTAFStock_Log[Part Name],$A49,T_TTAFStock_Log[WeekIndex],18)=0,"",SUMIFS(T_TTAFStock_Log[TTAF_Qty],T_TTAFStock_Log[Part Name],$A49,T_TTAFStock_Log[WeekIndex],18))</f>
        <v/>
      </c>
      <c r="T49" s="13">
        <f>IF(COUNTIFS(T_TTAFStock_Log[Part Name],$A49,T_TTAFStock_Log[WeekIndex],19)=0,"",SUMIFS(T_TTAFStock_Log[TTAF_Qty],T_TTAFStock_Log[Part Name],$A49,T_TTAFStock_Log[WeekIndex],19))</f>
        <v/>
      </c>
      <c r="U49" s="13">
        <f>IF(COUNTIFS(T_TTAFStock_Log[Part Name],$A49,T_TTAFStock_Log[WeekIndex],20)=0,"",SUMIFS(T_TTAFStock_Log[TTAF_Qty],T_TTAFStock_Log[Part Name],$A49,T_TTAFStock_Log[WeekIndex],20))</f>
        <v/>
      </c>
      <c r="V49" s="13">
        <f>IF(COUNTIFS(T_TTAFStock_Log[Part Name],$A49,T_TTAFStock_Log[WeekIndex],21)=0,"",SUMIFS(T_TTAFStock_Log[TTAF_Qty],T_TTAFStock_Log[Part Name],$A49,T_TTAFStock_Log[WeekIndex],21))</f>
        <v/>
      </c>
      <c r="W49" s="13">
        <f>IF(COUNTIFS(T_TTAFStock_Log[Part Name],$A49,T_TTAFStock_Log[WeekIndex],22)=0,"",SUMIFS(T_TTAFStock_Log[TTAF_Qty],T_TTAFStock_Log[Part Name],$A49,T_TTAFStock_Log[WeekIndex],22))</f>
        <v/>
      </c>
      <c r="X49" s="13">
        <f>IF(COUNTIFS(T_TTAFStock_Log[Part Name],$A49,T_TTAFStock_Log[WeekIndex],23)=0,"",SUMIFS(T_TTAFStock_Log[TTAF_Qty],T_TTAFStock_Log[Part Name],$A49,T_TTAFStock_Log[WeekIndex],23))</f>
        <v/>
      </c>
      <c r="Y49" s="13">
        <f>IF(COUNTIFS(T_TTAFStock_Log[Part Name],$A49,T_TTAFStock_Log[WeekIndex],24)=0,"",SUMIFS(T_TTAFStock_Log[TTAF_Qty],T_TTAFStock_Log[Part Name],$A49,T_TTAFStock_Log[WeekIndex],24))</f>
        <v/>
      </c>
      <c r="Z49" s="13">
        <f>IF(COUNTIFS(T_TTAFStock_Log[Part Name],$A49,T_TTAFStock_Log[WeekIndex],25)=0,"",SUMIFS(T_TTAFStock_Log[TTAF_Qty],T_TTAFStock_Log[Part Name],$A49,T_TTAFStock_Log[WeekIndex],25))</f>
        <v/>
      </c>
      <c r="AA49" s="13">
        <f>IF(COUNTIFS(T_TTAFStock_Log[Part Name],$A49,T_TTAFStock_Log[WeekIndex],26)=0,"",SUMIFS(T_TTAFStock_Log[TTAF_Qty],T_TTAFStock_Log[Part Name],$A49,T_TTAFStock_Log[WeekIndex],26))</f>
        <v/>
      </c>
      <c r="AB49" s="13">
        <f>IF(COUNTIFS(T_TTAFStock_Log[Part Name],$A49,T_TTAFStock_Log[WeekIndex],27)=0,"",SUMIFS(T_TTAFStock_Log[TTAF_Qty],T_TTAFStock_Log[Part Name],$A49,T_TTAFStock_Log[WeekIndex],27))</f>
        <v/>
      </c>
      <c r="AC49" s="13">
        <f>IF(COUNTIFS(T_TTAFStock_Log[Part Name],$A49,T_TTAFStock_Log[WeekIndex],28)=0,"",SUMIFS(T_TTAFStock_Log[TTAF_Qty],T_TTAFStock_Log[Part Name],$A49,T_TTAFStock_Log[WeekIndex],28))</f>
        <v/>
      </c>
      <c r="AD49" s="13">
        <f>IF(COUNTIFS(T_TTAFStock_Log[Part Name],$A49,T_TTAFStock_Log[WeekIndex],29)=0,"",SUMIFS(T_TTAFStock_Log[TTAF_Qty],T_TTAFStock_Log[Part Name],$A49,T_TTAFStock_Log[WeekIndex],29))</f>
        <v/>
      </c>
      <c r="AE49" s="13">
        <f>IF(COUNTIFS(T_TTAFStock_Log[Part Name],$A49,T_TTAFStock_Log[WeekIndex],30)=0,"",SUMIFS(T_TTAFStock_Log[TTAF_Qty],T_TTAFStock_Log[Part Name],$A49,T_TTAFStock_Log[WeekIndex],30))</f>
        <v/>
      </c>
      <c r="AF49" s="13">
        <f>IF(COUNTIFS(T_TTAFStock_Log[Part Name],$A49,T_TTAFStock_Log[WeekIndex],31)=0,"",SUMIFS(T_TTAFStock_Log[TTAF_Qty],T_TTAFStock_Log[Part Name],$A49,T_TTAFStock_Log[WeekIndex],31))</f>
        <v/>
      </c>
      <c r="AG49" s="13">
        <f>IF(COUNTIFS(T_TTAFStock_Log[Part Name],$A49,T_TTAFStock_Log[WeekIndex],32)=0,"",SUMIFS(T_TTAFStock_Log[TTAF_Qty],T_TTAFStock_Log[Part Name],$A49,T_TTAFStock_Log[WeekIndex],32))</f>
        <v/>
      </c>
      <c r="AH49" s="13">
        <f>IF(COUNTIFS(T_TTAFStock_Log[Part Name],$A49,T_TTAFStock_Log[WeekIndex],33)=0,"",SUMIFS(T_TTAFStock_Log[TTAF_Qty],T_TTAFStock_Log[Part Name],$A49,T_TTAFStock_Log[WeekIndex],33))</f>
        <v/>
      </c>
      <c r="AI49" s="13">
        <f>IF(COUNTIFS(T_TTAFStock_Log[Part Name],$A49,T_TTAFStock_Log[WeekIndex],34)=0,"",SUMIFS(T_TTAFStock_Log[TTAF_Qty],T_TTAFStock_Log[Part Name],$A49,T_TTAFStock_Log[WeekIndex],34))</f>
        <v/>
      </c>
      <c r="AJ49" s="13">
        <f>IF(COUNTIFS(T_TTAFStock_Log[Part Name],$A49,T_TTAFStock_Log[WeekIndex],35)=0,"",SUMIFS(T_TTAFStock_Log[TTAF_Qty],T_TTAFStock_Log[Part Name],$A49,T_TTAFStock_Log[WeekIndex],35))</f>
        <v/>
      </c>
      <c r="AK49" s="13">
        <f>IF(COUNTIFS(T_TTAFStock_Log[Part Name],$A49,T_TTAFStock_Log[WeekIndex],36)=0,"",SUMIFS(T_TTAFStock_Log[TTAF_Qty],T_TTAFStock_Log[Part Name],$A49,T_TTAFStock_Log[WeekIndex],36))</f>
        <v/>
      </c>
      <c r="AL49" s="13">
        <f>IF(COUNTIFS(T_TTAFStock_Log[Part Name],$A49,T_TTAFStock_Log[WeekIndex],37)=0,"",SUMIFS(T_TTAFStock_Log[TTAF_Qty],T_TTAFStock_Log[Part Name],$A49,T_TTAFStock_Log[WeekIndex],37))</f>
        <v/>
      </c>
      <c r="AM49" s="13">
        <f>IF(COUNTIFS(T_TTAFStock_Log[Part Name],$A49,T_TTAFStock_Log[WeekIndex],38)=0,"",SUMIFS(T_TTAFStock_Log[TTAF_Qty],T_TTAFStock_Log[Part Name],$A49,T_TTAFStock_Log[WeekIndex],38))</f>
        <v/>
      </c>
      <c r="AN49" s="13">
        <f>IF(COUNTIFS(T_TTAFStock_Log[Part Name],$A49,T_TTAFStock_Log[WeekIndex],39)=0,"",SUMIFS(T_TTAFStock_Log[TTAF_Qty],T_TTAFStock_Log[Part Name],$A49,T_TTAFStock_Log[WeekIndex],39))</f>
        <v/>
      </c>
      <c r="AO49" s="13">
        <f>IF(COUNTIFS(T_TTAFStock_Log[Part Name],$A49,T_TTAFStock_Log[WeekIndex],40)=0,"",SUMIFS(T_TTAFStock_Log[TTAF_Qty],T_TTAFStock_Log[Part Name],$A49,T_TTAFStock_Log[WeekIndex],40))</f>
        <v/>
      </c>
      <c r="AP49" s="13">
        <f>IF(COUNTIFS(T_TTAFStock_Log[Part Name],$A49,T_TTAFStock_Log[WeekIndex],41)=0,"",SUMIFS(T_TTAFStock_Log[TTAF_Qty],T_TTAFStock_Log[Part Name],$A49,T_TTAFStock_Log[WeekIndex],41))</f>
        <v/>
      </c>
      <c r="AQ49" s="13">
        <f>IF(COUNTIFS(T_TTAFStock_Log[Part Name],$A49,T_TTAFStock_Log[WeekIndex],42)=0,"",SUMIFS(T_TTAFStock_Log[TTAF_Qty],T_TTAFStock_Log[Part Name],$A49,T_TTAFStock_Log[WeekIndex],42))</f>
        <v/>
      </c>
      <c r="AR49" s="13">
        <f>IF(COUNTIFS(T_TTAFStock_Log[Part Name],$A49,T_TTAFStock_Log[WeekIndex],43)=0,"",SUMIFS(T_TTAFStock_Log[TTAF_Qty],T_TTAFStock_Log[Part Name],$A49,T_TTAFStock_Log[WeekIndex],43))</f>
        <v/>
      </c>
      <c r="AS49" s="13">
        <f>IF(COUNTIFS(T_TTAFStock_Log[Part Name],$A49,T_TTAFStock_Log[WeekIndex],44)=0,"",SUMIFS(T_TTAFStock_Log[TTAF_Qty],T_TTAFStock_Log[Part Name],$A49,T_TTAFStock_Log[WeekIndex],44))</f>
        <v/>
      </c>
      <c r="AT49" s="13">
        <f>IF(COUNTIFS(T_TTAFStock_Log[Part Name],$A49,T_TTAFStock_Log[WeekIndex],45)=0,"",SUMIFS(T_TTAFStock_Log[TTAF_Qty],T_TTAFStock_Log[Part Name],$A49,T_TTAFStock_Log[WeekIndex],45))</f>
        <v/>
      </c>
      <c r="AU49" s="13">
        <f>IF(COUNTIFS(T_TTAFStock_Log[Part Name],$A49,T_TTAFStock_Log[WeekIndex],46)=0,"",SUMIFS(T_TTAFStock_Log[TTAF_Qty],T_TTAFStock_Log[Part Name],$A49,T_TTAFStock_Log[WeekIndex],46))</f>
        <v/>
      </c>
      <c r="AV49" s="13">
        <f>IF(COUNTIFS(T_TTAFStock_Log[Part Name],$A49,T_TTAFStock_Log[WeekIndex],47)=0,"",SUMIFS(T_TTAFStock_Log[TTAF_Qty],T_TTAFStock_Log[Part Name],$A49,T_TTAFStock_Log[WeekIndex],47))</f>
        <v/>
      </c>
      <c r="AW49" s="13">
        <f>IF(COUNTIFS(T_TTAFStock_Log[Part Name],$A49,T_TTAFStock_Log[WeekIndex],48)=0,"",SUMIFS(T_TTAFStock_Log[TTAF_Qty],T_TTAFStock_Log[Part Name],$A49,T_TTAFStock_Log[WeekIndex],48))</f>
        <v/>
      </c>
      <c r="AX49" s="13">
        <f>IF(COUNTIFS(T_TTAFStock_Log[Part Name],$A49,T_TTAFStock_Log[WeekIndex],49)=0,"",SUMIFS(T_TTAFStock_Log[TTAF_Qty],T_TTAFStock_Log[Part Name],$A49,T_TTAFStock_Log[WeekIndex],49))</f>
        <v/>
      </c>
      <c r="AY49" s="13">
        <f>IF(COUNTIFS(T_TTAFStock_Log[Part Name],$A49,T_TTAFStock_Log[WeekIndex],50)=0,"",SUMIFS(T_TTAFStock_Log[TTAF_Qty],T_TTAFStock_Log[Part Name],$A49,T_TTAFStock_Log[WeekIndex],50))</f>
        <v/>
      </c>
      <c r="AZ49" s="13">
        <f>IF(COUNTIFS(T_TTAFStock_Log[Part Name],$A49,T_TTAFStock_Log[WeekIndex],51)=0,"",SUMIFS(T_TTAFStock_Log[TTAF_Qty],T_TTAFStock_Log[Part Name],$A49,T_TTAFStock_Log[WeekIndex],51))</f>
        <v/>
      </c>
      <c r="BA49" s="13">
        <f>IF(COUNTIFS(T_TTAFStock_Log[Part Name],$A49,T_TTAFStock_Log[WeekIndex],52)=0,"",SUMIFS(T_TTAFStock_Log[TTAF_Qty],T_TTAFStock_Log[Part Name],$A49,T_TTAFStock_Log[WeekIndex],52))</f>
        <v/>
      </c>
      <c r="BB49" s="13">
        <f>IF(COUNTIFS(T_TTAFStock_Log[Part Name],$A49,T_TTAFStock_Log[WeekIndex],53)=0,"",SUMIFS(T_TTAFStock_Log[TTAF_Qty],T_TTAFStock_Log[Part Name],$A49,T_TTAFStock_Log[WeekIndex],53))</f>
        <v/>
      </c>
      <c r="BC49" s="13">
        <f>IF(COUNTIFS(T_TTAFStock_Log[Part Name],$A49,T_TTAFStock_Log[WeekIndex],54)=0,"",SUMIFS(T_TTAFStock_Log[TTAF_Qty],T_TTAFStock_Log[Part Name],$A49,T_TTAFStock_Log[WeekIndex],54))</f>
        <v/>
      </c>
      <c r="BD49" s="13">
        <f>IF(COUNTIFS(T_TTAFStock_Log[Part Name],$A49,T_TTAFStock_Log[WeekIndex],55)=0,"",SUMIFS(T_TTAFStock_Log[TTAF_Qty],T_TTAFStock_Log[Part Name],$A49,T_TTAFStock_Log[WeekIndex],55))</f>
        <v/>
      </c>
      <c r="BE49" s="13">
        <f>IF(COUNTIFS(T_TTAFStock_Log[Part Name],$A49,T_TTAFStock_Log[WeekIndex],56)=0,"",SUMIFS(T_TTAFStock_Log[TTAF_Qty],T_TTAFStock_Log[Part Name],$A49,T_TTAFStock_Log[WeekIndex],56))</f>
        <v/>
      </c>
      <c r="BF49" s="13">
        <f>IF(COUNTIFS(T_TTAFStock_Log[Part Name],$A49,T_TTAFStock_Log[WeekIndex],57)=0,"",SUMIFS(T_TTAFStock_Log[TTAF_Qty],T_TTAFStock_Log[Part Name],$A49,T_TTAFStock_Log[WeekIndex],57))</f>
        <v/>
      </c>
      <c r="BG49" s="13">
        <f>IF(COUNTIFS(T_TTAFStock_Log[Part Name],$A49,T_TTAFStock_Log[WeekIndex],58)=0,"",SUMIFS(T_TTAFStock_Log[TTAF_Qty],T_TTAFStock_Log[Part Name],$A49,T_TTAFStock_Log[WeekIndex],58))</f>
        <v/>
      </c>
      <c r="BH49" s="13">
        <f>IF(COUNTIFS(T_TTAFStock_Log[Part Name],$A49,T_TTAFStock_Log[WeekIndex],59)=0,"",SUMIFS(T_TTAFStock_Log[TTAF_Qty],T_TTAFStock_Log[Part Name],$A49,T_TTAFStock_Log[WeekIndex],59))</f>
        <v/>
      </c>
      <c r="BI49" s="13">
        <f>IF(COUNTIFS(T_TTAFStock_Log[Part Name],$A49,T_TTAFStock_Log[WeekIndex],60)=0,"",SUMIFS(T_TTAFStock_Log[TTAF_Qty],T_TTAFStock_Log[Part Name],$A49,T_TTAFStock_Log[WeekIndex],60))</f>
        <v/>
      </c>
      <c r="BJ49" s="13">
        <f>IF(COUNTIFS(T_TTAFStock_Log[Part Name],$A49,T_TTAFStock_Log[WeekIndex],61)=0,"",SUMIFS(T_TTAFStock_Log[TTAF_Qty],T_TTAFStock_Log[Part Name],$A49,T_TTAFStock_Log[WeekIndex],61))</f>
        <v/>
      </c>
      <c r="BK49" s="13">
        <f>IF(COUNTIFS(T_TTAFStock_Log[Part Name],$A49,T_TTAFStock_Log[WeekIndex],62)=0,"",SUMIFS(T_TTAFStock_Log[TTAF_Qty],T_TTAFStock_Log[Part Name],$A49,T_TTAFStock_Log[WeekIndex],62))</f>
        <v/>
      </c>
      <c r="BL49" s="13">
        <f>IF(COUNTIFS(T_TTAFStock_Log[Part Name],$A49,T_TTAFStock_Log[WeekIndex],63)=0,"",SUMIFS(T_TTAFStock_Log[TTAF_Qty],T_TTAFStock_Log[Part Name],$A49,T_TTAFStock_Log[WeekIndex],63))</f>
        <v/>
      </c>
      <c r="BM49" s="13">
        <f>IF(COUNTIFS(T_TTAFStock_Log[Part Name],$A49,T_TTAFStock_Log[WeekIndex],64)=0,"",SUMIFS(T_TTAFStock_Log[TTAF_Qty],T_TTAFStock_Log[Part Name],$A49,T_TTAFStock_Log[WeekIndex],64))</f>
        <v/>
      </c>
      <c r="BN49" s="13">
        <f>IF(COUNTIFS(T_TTAFStock_Log[Part Name],$A49,T_TTAFStock_Log[WeekIndex],65)=0,"",SUMIFS(T_TTAFStock_Log[TTAF_Qty],T_TTAFStock_Log[Part Name],$A49,T_TTAFStock_Log[WeekIndex],65))</f>
        <v/>
      </c>
      <c r="BO49" s="13">
        <f>IF(COUNTIFS(T_TTAFStock_Log[Part Name],$A49,T_TTAFStock_Log[WeekIndex],66)=0,"",SUMIFS(T_TTAFStock_Log[TTAF_Qty],T_TTAFStock_Log[Part Name],$A49,T_TTAFStock_Log[WeekIndex],66))</f>
        <v/>
      </c>
      <c r="BP49" s="13">
        <f>IF(COUNTIFS(T_TTAFStock_Log[Part Name],$A49,T_TTAFStock_Log[WeekIndex],67)=0,"",SUMIFS(T_TTAFStock_Log[TTAF_Qty],T_TTAFStock_Log[Part Name],$A49,T_TTAFStock_Log[WeekIndex],67))</f>
        <v/>
      </c>
      <c r="BQ49" s="13">
        <f>IF(COUNTIFS(T_TTAFStock_Log[Part Name],$A49,T_TTAFStock_Log[WeekIndex],68)=0,"",SUMIFS(T_TTAFStock_Log[TTAF_Qty],T_TTAFStock_Log[Part Name],$A49,T_TTAFStock_Log[WeekIndex],68))</f>
        <v/>
      </c>
      <c r="BR49" s="13">
        <f>IF(COUNTIFS(T_TTAFStock_Log[Part Name],$A49,T_TTAFStock_Log[WeekIndex],69)=0,"",SUMIFS(T_TTAFStock_Log[TTAF_Qty],T_TTAFStock_Log[Part Name],$A49,T_TTAFStock_Log[WeekIndex],69))</f>
        <v/>
      </c>
      <c r="BS49" s="13">
        <f>IF(COUNTIFS(T_TTAFStock_Log[Part Name],$A49,T_TTAFStock_Log[WeekIndex],70)=0,"",SUMIFS(T_TTAFStock_Log[TTAF_Qty],T_TTAFStock_Log[Part Name],$A49,T_TTAFStock_Log[WeekIndex],70))</f>
        <v/>
      </c>
      <c r="BT49" s="13">
        <f>IF(COUNTIFS(T_TTAFStock_Log[Part Name],$A49,T_TTAFStock_Log[WeekIndex],71)=0,"",SUMIFS(T_TTAFStock_Log[TTAF_Qty],T_TTAFStock_Log[Part Name],$A49,T_TTAFStock_Log[WeekIndex],71))</f>
        <v/>
      </c>
      <c r="BU49" s="13">
        <f>IF(COUNTIFS(T_TTAFStock_Log[Part Name],$A49,T_TTAFStock_Log[WeekIndex],72)=0,"",SUMIFS(T_TTAFStock_Log[TTAF_Qty],T_TTAFStock_Log[Part Name],$A49,T_TTAFStock_Log[WeekIndex],72))</f>
        <v/>
      </c>
      <c r="BV49" s="13">
        <f>IF(COUNTIFS(T_TTAFStock_Log[Part Name],$A49,T_TTAFStock_Log[WeekIndex],73)=0,"",SUMIFS(T_TTAFStock_Log[TTAF_Qty],T_TTAFStock_Log[Part Name],$A49,T_TTAFStock_Log[WeekIndex],73))</f>
        <v/>
      </c>
      <c r="BW49" s="13">
        <f>IF(COUNTIFS(T_TTAFStock_Log[Part Name],$A49,T_TTAFStock_Log[WeekIndex],74)=0,"",SUMIFS(T_TTAFStock_Log[TTAF_Qty],T_TTAFStock_Log[Part Name],$A49,T_TTAFStock_Log[WeekIndex],74))</f>
        <v/>
      </c>
      <c r="BX49" s="13">
        <f>IF(COUNTIFS(T_TTAFStock_Log[Part Name],$A49,T_TTAFStock_Log[WeekIndex],75)=0,"",SUMIFS(T_TTAFStock_Log[TTAF_Qty],T_TTAFStock_Log[Part Name],$A49,T_TTAFStock_Log[WeekIndex],75))</f>
        <v/>
      </c>
      <c r="BY49" s="13">
        <f>IF(COUNTIFS(T_TTAFStock_Log[Part Name],$A49,T_TTAFStock_Log[WeekIndex],76)=0,"",SUMIFS(T_TTAFStock_Log[TTAF_Qty],T_TTAFStock_Log[Part Name],$A49,T_TTAFStock_Log[WeekIndex],76))</f>
        <v/>
      </c>
      <c r="BZ49" s="13">
        <f>IF(COUNTIFS(T_TTAFStock_Log[Part Name],$A49,T_TTAFStock_Log[WeekIndex],77)=0,"",SUMIFS(T_TTAFStock_Log[TTAF_Qty],T_TTAFStock_Log[Part Name],$A49,T_TTAFStock_Log[WeekIndex],77))</f>
        <v/>
      </c>
      <c r="CA49" s="13">
        <f>IF(COUNTIFS(T_TTAFStock_Log[Part Name],$A49,T_TTAFStock_Log[WeekIndex],78)=0,"",SUMIFS(T_TTAFStock_Log[TTAF_Qty],T_TTAFStock_Log[Part Name],$A49,T_TTAFStock_Log[WeekIndex],78))</f>
        <v/>
      </c>
      <c r="CB49" s="13">
        <f>IF(COUNTIFS(T_TTAFStock_Log[Part Name],$A49,T_TTAFStock_Log[WeekIndex],79)=0,"",SUMIFS(T_TTAFStock_Log[TTAF_Qty],T_TTAFStock_Log[Part Name],$A49,T_TTAFStock_Log[WeekIndex],79))</f>
        <v/>
      </c>
      <c r="CC49" s="13">
        <f>IF(COUNTIFS(T_TTAFStock_Log[Part Name],$A49,T_TTAFStock_Log[WeekIndex],80)=0,"",SUMIFS(T_TTAFStock_Log[TTAF_Qty],T_TTAFStock_Log[Part Name],$A49,T_TTAFStock_Log[WeekIndex],80))</f>
        <v/>
      </c>
      <c r="CD49" s="13">
        <f>IF(COUNTIFS(T_TTAFStock_Log[Part Name],$A49,T_TTAFStock_Log[WeekIndex],81)=0,"",SUMIFS(T_TTAFStock_Log[TTAF_Qty],T_TTAFStock_Log[Part Name],$A49,T_TTAFStock_Log[WeekIndex],81))</f>
        <v/>
      </c>
      <c r="CE49" s="13">
        <f>IF(COUNTIFS(T_TTAFStock_Log[Part Name],$A49,T_TTAFStock_Log[WeekIndex],82)=0,"",SUMIFS(T_TTAFStock_Log[TTAF_Qty],T_TTAFStock_Log[Part Name],$A49,T_TTAFStock_Log[WeekIndex],82))</f>
        <v/>
      </c>
      <c r="CF49" s="13">
        <f>IF(COUNTIFS(T_TTAFStock_Log[Part Name],$A49,T_TTAFStock_Log[WeekIndex],83)=0,"",SUMIFS(T_TTAFStock_Log[TTAF_Qty],T_TTAFStock_Log[Part Name],$A49,T_TTAFStock_Log[WeekIndex],83))</f>
        <v/>
      </c>
      <c r="CG49" s="13">
        <f>IF(COUNTIFS(T_TTAFStock_Log[Part Name],$A49,T_TTAFStock_Log[WeekIndex],84)=0,"",SUMIFS(T_TTAFStock_Log[TTAF_Qty],T_TTAFStock_Log[Part Name],$A49,T_TTAFStock_Log[WeekIndex],84))</f>
        <v/>
      </c>
      <c r="CH49" s="13">
        <f>IF(COUNTIFS(T_TTAFStock_Log[Part Name],$A49,T_TTAFStock_Log[WeekIndex],85)=0,"",SUMIFS(T_TTAFStock_Log[TTAF_Qty],T_TTAFStock_Log[Part Name],$A49,T_TTAFStock_Log[WeekIndex],85))</f>
        <v/>
      </c>
      <c r="CI49" s="13">
        <f>IF(COUNTIFS(T_TTAFStock_Log[Part Name],$A49,T_TTAFStock_Log[WeekIndex],86)=0,"",SUMIFS(T_TTAFStock_Log[TTAF_Qty],T_TTAFStock_Log[Part Name],$A49,T_TTAFStock_Log[WeekIndex],86))</f>
        <v/>
      </c>
      <c r="CJ49" s="13">
        <f>IF(COUNTIFS(T_TTAFStock_Log[Part Name],$A49,T_TTAFStock_Log[WeekIndex],87)=0,"",SUMIFS(T_TTAFStock_Log[TTAF_Qty],T_TTAFStock_Log[Part Name],$A49,T_TTAFStock_Log[WeekIndex],87))</f>
        <v/>
      </c>
      <c r="CK49" s="13">
        <f>IF(COUNTIFS(T_TTAFStock_Log[Part Name],$A49,T_TTAFStock_Log[WeekIndex],88)=0,"",SUMIFS(T_TTAFStock_Log[TTAF_Qty],T_TTAFStock_Log[Part Name],$A49,T_TTAFStock_Log[WeekIndex],88))</f>
        <v/>
      </c>
      <c r="CL49" s="13">
        <f>IF(COUNTIFS(T_TTAFStock_Log[Part Name],$A49,T_TTAFStock_Log[WeekIndex],89)=0,"",SUMIFS(T_TTAFStock_Log[TTAF_Qty],T_TTAFStock_Log[Part Name],$A49,T_TTAFStock_Log[WeekIndex],89))</f>
        <v/>
      </c>
      <c r="CM49" s="13">
        <f>IF(COUNTIFS(T_TTAFStock_Log[Part Name],$A49,T_TTAFStock_Log[WeekIndex],90)=0,"",SUMIFS(T_TTAFStock_Log[TTAF_Qty],T_TTAFStock_Log[Part Name],$A49,T_TTAFStock_Log[WeekIndex],90))</f>
        <v/>
      </c>
      <c r="CN49" s="13">
        <f>IF(COUNTIFS(T_TTAFStock_Log[Part Name],$A49,T_TTAFStock_Log[WeekIndex],91)=0,"",SUMIFS(T_TTAFStock_Log[TTAF_Qty],T_TTAFStock_Log[Part Name],$A49,T_TTAFStock_Log[WeekIndex],91))</f>
        <v/>
      </c>
      <c r="CO49" s="13">
        <f>IF(COUNTIFS(T_TTAFStock_Log[Part Name],$A49,T_TTAFStock_Log[WeekIndex],92)=0,"",SUMIFS(T_TTAFStock_Log[TTAF_Qty],T_TTAFStock_Log[Part Name],$A49,T_TTAFStock_Log[WeekIndex],92))</f>
        <v/>
      </c>
      <c r="CP49" s="13">
        <f>IF(COUNTIFS(T_TTAFStock_Log[Part Name],$A49,T_TTAFStock_Log[WeekIndex],93)=0,"",SUMIFS(T_TTAFStock_Log[TTAF_Qty],T_TTAFStock_Log[Part Name],$A49,T_TTAFStock_Log[WeekIndex],93))</f>
        <v/>
      </c>
      <c r="CQ49" s="13">
        <f>IF(COUNTIFS(T_TTAFStock_Log[Part Name],$A49,T_TTAFStock_Log[WeekIndex],94)=0,"",SUMIFS(T_TTAFStock_Log[TTAF_Qty],T_TTAFStock_Log[Part Name],$A49,T_TTAFStock_Log[WeekIndex],94))</f>
        <v/>
      </c>
      <c r="CR49" s="13">
        <f>IF(COUNTIFS(T_TTAFStock_Log[Part Name],$A49,T_TTAFStock_Log[WeekIndex],95)=0,"",SUMIFS(T_TTAFStock_Log[TTAF_Qty],T_TTAFStock_Log[Part Name],$A49,T_TTAFStock_Log[WeekIndex],95))</f>
        <v/>
      </c>
      <c r="CS49" s="13">
        <f>IF(COUNTIFS(T_TTAFStock_Log[Part Name],$A49,T_TTAFStock_Log[WeekIndex],96)=0,"",SUMIFS(T_TTAFStock_Log[TTAF_Qty],T_TTAFStock_Log[Part Name],$A49,T_TTAFStock_Log[WeekIndex],96))</f>
        <v/>
      </c>
      <c r="CT49" s="13">
        <f>IF(COUNTIFS(T_TTAFStock_Log[Part Name],$A49,T_TTAFStock_Log[WeekIndex],97)=0,"",SUMIFS(T_TTAFStock_Log[TTAF_Qty],T_TTAFStock_Log[Part Name],$A49,T_TTAFStock_Log[WeekIndex],97))</f>
        <v/>
      </c>
      <c r="CU49" s="13">
        <f>IF(COUNTIFS(T_TTAFStock_Log[Part Name],$A49,T_TTAFStock_Log[WeekIndex],98)=0,"",SUMIFS(T_TTAFStock_Log[TTAF_Qty],T_TTAFStock_Log[Part Name],$A49,T_TTAFStock_Log[WeekIndex],98))</f>
        <v/>
      </c>
      <c r="CV49" s="13">
        <f>IF(COUNTIFS(T_TTAFStock_Log[Part Name],$A49,T_TTAFStock_Log[WeekIndex],99)=0,"",SUMIFS(T_TTAFStock_Log[TTAF_Qty],T_TTAFStock_Log[Part Name],$A49,T_TTAFStock_Log[WeekIndex],99))</f>
        <v/>
      </c>
      <c r="CW49" s="13">
        <f>IF(COUNTIFS(T_TTAFStock_Log[Part Name],$A49,T_TTAFStock_Log[WeekIndex],100)=0,"",SUMIFS(T_TTAFStock_Log[TTAF_Qty],T_TTAFStock_Log[Part Name],$A49,T_TTAFStock_Log[WeekIndex],100))</f>
        <v/>
      </c>
      <c r="CX49" s="13">
        <f>IF(COUNTIFS(T_TTAFStock_Log[Part Name],$A49,T_TTAFStock_Log[WeekIndex],101)=0,"",SUMIFS(T_TTAFStock_Log[TTAF_Qty],T_TTAFStock_Log[Part Name],$A49,T_TTAFStock_Log[WeekIndex],101))</f>
        <v/>
      </c>
      <c r="CY49" s="13">
        <f>IF(COUNTIFS(T_TTAFStock_Log[Part Name],$A49,T_TTAFStock_Log[WeekIndex],102)=0,"",SUMIFS(T_TTAFStock_Log[TTAF_Qty],T_TTAFStock_Log[Part Name],$A49,T_TTAFStock_Log[WeekIndex],102))</f>
        <v/>
      </c>
      <c r="CZ49" s="13">
        <f>IF(COUNTIFS(T_TTAFStock_Log[Part Name],$A49,T_TTAFStock_Log[WeekIndex],103)=0,"",SUMIFS(T_TTAFStock_Log[TTAF_Qty],T_TTAFStock_Log[Part Name],$A49,T_TTAFStock_Log[WeekIndex],103))</f>
        <v/>
      </c>
      <c r="DA49" s="13">
        <f>IF(COUNTIFS(T_TTAFStock_Log[Part Name],$A49,T_TTAFStock_Log[WeekIndex],104)=0,"",SUMIFS(T_TTAFStock_Log[TTAF_Qty],T_TTAFStock_Log[Part Name],$A49,T_TTAFStock_Log[WeekIndex],104))</f>
        <v/>
      </c>
    </row>
  </sheetData>
  <conditionalFormatting sqref="B5:DA49">
    <cfRule type="expression" priority="1" dxfId="3">
      <formula>(COLUMN()-COLUMN($B$1)+1)=$F$1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6" customWidth="1" min="4" max="4"/>
    <col width="8" customWidth="1" min="5" max="5"/>
    <col width="18" customWidth="1" min="6" max="6"/>
    <col width="18" customWidth="1" min="7" max="7"/>
    <col width="18" customWidth="1" min="8" max="8"/>
  </cols>
  <sheetData>
    <row r="1">
      <c r="A1" s="20" t="inlineStr">
        <is>
          <t>Part Name</t>
        </is>
      </c>
      <c r="B1" s="20" t="inlineStr">
        <is>
          <t>Description</t>
        </is>
      </c>
      <c r="C1" s="20" t="inlineStr">
        <is>
          <t>Supplier</t>
        </is>
      </c>
      <c r="D1" s="20" t="inlineStr">
        <is>
          <t>Category</t>
        </is>
      </c>
      <c r="E1" s="20" t="inlineStr">
        <is>
          <t>UOM</t>
        </is>
      </c>
      <c r="F1" s="20" t="inlineStr">
        <is>
          <t>基準在庫下限_要入力</t>
        </is>
      </c>
      <c r="G1" s="20" t="inlineStr">
        <is>
          <t>基準在庫上限_要入力</t>
        </is>
      </c>
      <c r="H1" s="20" t="inlineStr">
        <is>
          <t>LeadTime_Weeks_要入力</t>
        </is>
      </c>
    </row>
    <row r="2">
      <c r="A2" t="inlineStr">
        <is>
          <t>CHEM-1250</t>
        </is>
      </c>
      <c r="B2" t="inlineStr">
        <is>
          <t>Barium Sulfate (B-55)</t>
        </is>
      </c>
      <c r="C2" t="inlineStr">
        <is>
          <t>TTAF</t>
        </is>
      </c>
      <c r="D2" t="inlineStr">
        <is>
          <t>Chemical</t>
        </is>
      </c>
      <c r="E2" t="inlineStr">
        <is>
          <t>kg</t>
        </is>
      </c>
      <c r="F2" t="n">
        <v>0</v>
      </c>
      <c r="G2" t="n">
        <v>0</v>
      </c>
      <c r="H2" t="n">
        <v>4</v>
      </c>
    </row>
    <row r="3">
      <c r="A3" t="inlineStr">
        <is>
          <t>CHEM-1670</t>
        </is>
      </c>
      <c r="B3" t="inlineStr">
        <is>
          <t>ALESPER 1065</t>
        </is>
      </c>
      <c r="C3" t="inlineStr">
        <is>
          <t>TTAF</t>
        </is>
      </c>
      <c r="D3" t="inlineStr">
        <is>
          <t>Chemical</t>
        </is>
      </c>
      <c r="E3" t="inlineStr">
        <is>
          <t>kg</t>
        </is>
      </c>
      <c r="F3" t="n">
        <v>0</v>
      </c>
      <c r="G3" t="n">
        <v>0</v>
      </c>
      <c r="H3" t="n">
        <v>4</v>
      </c>
    </row>
    <row r="4">
      <c r="A4" t="inlineStr">
        <is>
          <t>CHEM-1700</t>
        </is>
      </c>
      <c r="B4" t="inlineStr">
        <is>
          <t>TepyrusCT38</t>
        </is>
      </c>
      <c r="C4" t="inlineStr">
        <is>
          <t>TTAF</t>
        </is>
      </c>
      <c r="D4" t="inlineStr">
        <is>
          <t>Chemical</t>
        </is>
      </c>
      <c r="E4" t="inlineStr">
        <is>
          <t>kg</t>
        </is>
      </c>
      <c r="F4" t="n">
        <v>0</v>
      </c>
      <c r="G4" t="n">
        <v>0</v>
      </c>
      <c r="H4" t="n">
        <v>4</v>
      </c>
    </row>
    <row r="5">
      <c r="A5" t="inlineStr">
        <is>
          <t>CHEM-1420</t>
        </is>
      </c>
      <c r="B5" t="inlineStr">
        <is>
          <t>HEC SE900</t>
        </is>
      </c>
      <c r="C5" t="inlineStr">
        <is>
          <t>TTAF</t>
        </is>
      </c>
      <c r="D5" t="inlineStr">
        <is>
          <t>Chemical</t>
        </is>
      </c>
      <c r="E5" t="inlineStr">
        <is>
          <t>kg</t>
        </is>
      </c>
      <c r="F5" t="n">
        <v>0</v>
      </c>
      <c r="G5" t="n">
        <v>0</v>
      </c>
      <c r="H5" t="n">
        <v>4</v>
      </c>
    </row>
    <row r="6">
      <c r="A6" t="inlineStr">
        <is>
          <t>CHEM-1530</t>
        </is>
      </c>
      <c r="B6" t="inlineStr">
        <is>
          <t>JCK-97</t>
        </is>
      </c>
      <c r="C6" t="inlineStr">
        <is>
          <t>TTAF</t>
        </is>
      </c>
      <c r="D6" t="inlineStr">
        <is>
          <t>Chemical</t>
        </is>
      </c>
      <c r="E6" t="inlineStr">
        <is>
          <t>kg</t>
        </is>
      </c>
      <c r="F6" t="n">
        <v>0</v>
      </c>
      <c r="G6" t="n">
        <v>0</v>
      </c>
      <c r="H6" t="n">
        <v>4</v>
      </c>
    </row>
    <row r="7">
      <c r="A7" t="inlineStr">
        <is>
          <t>CHEM-1540</t>
        </is>
      </c>
      <c r="B7" t="inlineStr">
        <is>
          <t>NAT35</t>
        </is>
      </c>
      <c r="C7" t="inlineStr">
        <is>
          <t>TTAF</t>
        </is>
      </c>
      <c r="D7" t="inlineStr">
        <is>
          <t>Chemical</t>
        </is>
      </c>
      <c r="E7" t="inlineStr">
        <is>
          <t>kg</t>
        </is>
      </c>
      <c r="F7" t="n">
        <v>0</v>
      </c>
      <c r="G7" t="n">
        <v>0</v>
      </c>
      <c r="H7" t="n">
        <v>4</v>
      </c>
    </row>
    <row r="8">
      <c r="A8" t="inlineStr">
        <is>
          <t>CHEM-1690</t>
        </is>
      </c>
      <c r="B8" t="inlineStr">
        <is>
          <t>TPZ-560</t>
        </is>
      </c>
      <c r="C8" t="inlineStr">
        <is>
          <t>TTAF</t>
        </is>
      </c>
      <c r="D8" t="inlineStr">
        <is>
          <t>Chemical</t>
        </is>
      </c>
      <c r="E8" t="inlineStr">
        <is>
          <t>kg</t>
        </is>
      </c>
      <c r="F8" t="n">
        <v>0</v>
      </c>
      <c r="G8" t="n">
        <v>0</v>
      </c>
      <c r="H8" t="n">
        <v>4</v>
      </c>
    </row>
    <row r="9">
      <c r="A9" t="inlineStr">
        <is>
          <t>CHEM-1720</t>
        </is>
      </c>
      <c r="B9" t="inlineStr">
        <is>
          <t>CeZr oxide(TPZ-868)</t>
        </is>
      </c>
      <c r="C9" t="inlineStr">
        <is>
          <t>TTAF</t>
        </is>
      </c>
      <c r="D9" t="inlineStr">
        <is>
          <t>Chemical</t>
        </is>
      </c>
      <c r="E9" t="inlineStr">
        <is>
          <t>kg</t>
        </is>
      </c>
      <c r="F9" t="n">
        <v>0</v>
      </c>
      <c r="G9" t="n">
        <v>0</v>
      </c>
      <c r="H9" t="n">
        <v>4</v>
      </c>
    </row>
    <row r="10">
      <c r="A10" t="inlineStr">
        <is>
          <t>CHEM-1440</t>
        </is>
      </c>
      <c r="B10" t="inlineStr">
        <is>
          <t>CITRIC ACID</t>
        </is>
      </c>
      <c r="C10" t="inlineStr">
        <is>
          <t>TTAF</t>
        </is>
      </c>
      <c r="D10" t="inlineStr">
        <is>
          <t>Chemical</t>
        </is>
      </c>
      <c r="E10" t="inlineStr">
        <is>
          <t>kg</t>
        </is>
      </c>
      <c r="F10" t="n">
        <v>0</v>
      </c>
      <c r="G10" t="n">
        <v>0</v>
      </c>
      <c r="H10" t="n">
        <v>4</v>
      </c>
    </row>
    <row r="11">
      <c r="A11" t="inlineStr">
        <is>
          <t>4HL</t>
        </is>
      </c>
      <c r="B11" t="inlineStr">
        <is>
          <t>(7R-08) TP166-103-084</t>
        </is>
      </c>
      <c r="C11" t="inlineStr">
        <is>
          <t>TTAF</t>
        </is>
      </c>
      <c r="D11" t="inlineStr">
        <is>
          <t>Chemical</t>
        </is>
      </c>
      <c r="E11" t="inlineStr">
        <is>
          <t>kg</t>
        </is>
      </c>
      <c r="F11" t="n">
        <v>0</v>
      </c>
      <c r="G11" t="n">
        <v>0</v>
      </c>
      <c r="H11" t="n">
        <v>4</v>
      </c>
    </row>
    <row r="12">
      <c r="A12" t="inlineStr">
        <is>
          <t>1EK</t>
        </is>
      </c>
      <c r="B12" t="inlineStr">
        <is>
          <t>(9R-08) TP166-103-105*T1</t>
        </is>
      </c>
      <c r="C12" t="inlineStr">
        <is>
          <t>TTAF</t>
        </is>
      </c>
      <c r="D12" t="inlineStr">
        <is>
          <t>Chemical</t>
        </is>
      </c>
      <c r="E12" t="inlineStr">
        <is>
          <t>kg</t>
        </is>
      </c>
      <c r="F12" t="n">
        <v>0</v>
      </c>
      <c r="G12" t="n">
        <v>0</v>
      </c>
      <c r="H12" t="n">
        <v>4</v>
      </c>
    </row>
    <row r="13">
      <c r="A13" t="inlineStr">
        <is>
          <t>7CL</t>
        </is>
      </c>
      <c r="B13" t="inlineStr">
        <is>
          <t>(8R-08) TP167-103- 096*T4</t>
        </is>
      </c>
      <c r="C13" t="inlineStr">
        <is>
          <t>TTAF</t>
        </is>
      </c>
      <c r="D13" t="inlineStr">
        <is>
          <t>Chemical</t>
        </is>
      </c>
      <c r="E13" t="inlineStr">
        <is>
          <t>kg</t>
        </is>
      </c>
      <c r="F13" t="n">
        <v>0</v>
      </c>
      <c r="G13" t="n">
        <v>0</v>
      </c>
      <c r="H13" t="n">
        <v>4</v>
      </c>
    </row>
    <row r="14">
      <c r="A14" t="inlineStr">
        <is>
          <t>9RN</t>
        </is>
      </c>
      <c r="B14" t="inlineStr">
        <is>
          <t>N30S89R11WF7  4FK13117080</t>
        </is>
      </c>
      <c r="C14" t="inlineStr">
        <is>
          <t>TTAF</t>
        </is>
      </c>
      <c r="D14" t="inlineStr">
        <is>
          <t>Substrate</t>
        </is>
      </c>
      <c r="E14" t="inlineStr">
        <is>
          <t>kg</t>
        </is>
      </c>
      <c r="F14" t="n">
        <v>0</v>
      </c>
      <c r="G14" t="n">
        <v>0</v>
      </c>
      <c r="H14" t="n">
        <v>4</v>
      </c>
    </row>
    <row r="15">
      <c r="A15" t="inlineStr">
        <is>
          <t>CHEM-1400</t>
        </is>
      </c>
      <c r="B15" t="inlineStr">
        <is>
          <t>DISPAL 23N4-80</t>
        </is>
      </c>
      <c r="C15" t="inlineStr">
        <is>
          <t>TTAF</t>
        </is>
      </c>
      <c r="D15" t="inlineStr">
        <is>
          <t>Chemical</t>
        </is>
      </c>
      <c r="E15" t="inlineStr">
        <is>
          <t>kg</t>
        </is>
      </c>
      <c r="F15" t="n">
        <v>0</v>
      </c>
      <c r="G15" t="n">
        <v>0</v>
      </c>
      <c r="H15" t="n">
        <v>4</v>
      </c>
    </row>
    <row r="16">
      <c r="A16" t="inlineStr">
        <is>
          <t>CHEM-1570</t>
        </is>
      </c>
      <c r="B16" t="inlineStr">
        <is>
          <t>NOPAGOAL A</t>
        </is>
      </c>
      <c r="C16" t="inlineStr">
        <is>
          <t>TTAF</t>
        </is>
      </c>
      <c r="D16" t="inlineStr">
        <is>
          <t>Chemical</t>
        </is>
      </c>
      <c r="E16" t="inlineStr">
        <is>
          <t>kg</t>
        </is>
      </c>
      <c r="F16" t="n">
        <v>0</v>
      </c>
      <c r="G16" t="n">
        <v>0</v>
      </c>
      <c r="H16" t="n">
        <v>4</v>
      </c>
    </row>
    <row r="17">
      <c r="A17" t="inlineStr">
        <is>
          <t>CHEM-1650</t>
        </is>
      </c>
      <c r="B17" t="inlineStr">
        <is>
          <t>DUASYN ACID BLUE AE-SF 30 LIQUID-SN</t>
        </is>
      </c>
      <c r="C17" t="inlineStr">
        <is>
          <t>TTAF</t>
        </is>
      </c>
      <c r="D17" t="inlineStr">
        <is>
          <t>Chemical</t>
        </is>
      </c>
      <c r="E17" t="inlineStr">
        <is>
          <t>kg</t>
        </is>
      </c>
      <c r="F17" t="n">
        <v>0</v>
      </c>
      <c r="G17" t="n">
        <v>0</v>
      </c>
      <c r="H17" t="n">
        <v>4</v>
      </c>
    </row>
    <row r="18">
      <c r="A18" t="inlineStr">
        <is>
          <t>CHEM-1660</t>
        </is>
      </c>
      <c r="B18" t="inlineStr">
        <is>
          <t>GW-3394</t>
        </is>
      </c>
      <c r="C18" t="inlineStr">
        <is>
          <t>TTAF</t>
        </is>
      </c>
      <c r="D18" t="inlineStr">
        <is>
          <t>Hazardous Chemical</t>
        </is>
      </c>
      <c r="E18" t="inlineStr">
        <is>
          <t>kg</t>
        </is>
      </c>
      <c r="F18" t="n">
        <v>0</v>
      </c>
      <c r="G18" t="n">
        <v>0</v>
      </c>
      <c r="H18" t="n">
        <v>4</v>
      </c>
    </row>
    <row r="19">
      <c r="A19" t="inlineStr">
        <is>
          <t>CHEM-1600</t>
        </is>
      </c>
      <c r="B19" t="inlineStr">
        <is>
          <t>BF-1P</t>
        </is>
      </c>
      <c r="C19" t="inlineStr">
        <is>
          <t>TTAF</t>
        </is>
      </c>
      <c r="D19" t="inlineStr">
        <is>
          <t>Chemical</t>
        </is>
      </c>
      <c r="E19" t="inlineStr">
        <is>
          <t>kg</t>
        </is>
      </c>
      <c r="F19" t="n">
        <v>0</v>
      </c>
      <c r="G19" t="n">
        <v>0</v>
      </c>
      <c r="H19" t="n">
        <v>4</v>
      </c>
    </row>
    <row r="20">
      <c r="A20" t="inlineStr">
        <is>
          <t>CHEM-1280</t>
        </is>
      </c>
      <c r="B20" t="inlineStr">
        <is>
          <t>DODECYL TRIMETHYL AMMONIUM CHLORIDE</t>
        </is>
      </c>
      <c r="C20" t="inlineStr">
        <is>
          <t>TTAF</t>
        </is>
      </c>
      <c r="D20" t="inlineStr">
        <is>
          <t>Hazardous Chemical</t>
        </is>
      </c>
      <c r="E20" t="inlineStr">
        <is>
          <t>kg</t>
        </is>
      </c>
      <c r="F20" t="n">
        <v>0</v>
      </c>
      <c r="G20" t="n">
        <v>0</v>
      </c>
      <c r="H20" t="n">
        <v>4</v>
      </c>
    </row>
    <row r="21">
      <c r="A21" t="inlineStr">
        <is>
          <t>CHEM-1240</t>
        </is>
      </c>
      <c r="B21" t="inlineStr">
        <is>
          <t>Alumina SOL(AS200)</t>
        </is>
      </c>
      <c r="C21" t="inlineStr">
        <is>
          <t>TTAF</t>
        </is>
      </c>
      <c r="D21" t="inlineStr">
        <is>
          <t>Chemical</t>
        </is>
      </c>
      <c r="E21" t="inlineStr">
        <is>
          <t>kg</t>
        </is>
      </c>
      <c r="F21" t="n">
        <v>0</v>
      </c>
      <c r="G21" t="n">
        <v>0</v>
      </c>
      <c r="H21" t="n">
        <v>4</v>
      </c>
    </row>
    <row r="22">
      <c r="A22" t="inlineStr">
        <is>
          <t>0JN</t>
        </is>
      </c>
      <c r="B22" t="inlineStr">
        <is>
          <t>N30S/10 : 11R-11 (F2090) Poland</t>
        </is>
      </c>
      <c r="C22" t="inlineStr">
        <is>
          <t>TTAF</t>
        </is>
      </c>
      <c r="D22" t="inlineStr">
        <is>
          <t>Substrate</t>
        </is>
      </c>
      <c r="E22" t="inlineStr">
        <is>
          <t>kg</t>
        </is>
      </c>
      <c r="F22" t="n">
        <v>0</v>
      </c>
      <c r="G22" t="n">
        <v>0</v>
      </c>
      <c r="H22" t="n">
        <v>4</v>
      </c>
    </row>
    <row r="23">
      <c r="A23" t="inlineStr">
        <is>
          <t>CHEM-1760</t>
        </is>
      </c>
      <c r="B23" t="inlineStr">
        <is>
          <t>Pigment(TC RED FD(A))</t>
        </is>
      </c>
      <c r="C23" t="inlineStr">
        <is>
          <t>TTAF</t>
        </is>
      </c>
      <c r="D23" t="inlineStr">
        <is>
          <t>Chemical</t>
        </is>
      </c>
      <c r="E23" t="inlineStr">
        <is>
          <t>kg</t>
        </is>
      </c>
      <c r="F23" t="n">
        <v>0</v>
      </c>
      <c r="G23" t="n">
        <v>0</v>
      </c>
      <c r="H23" t="n">
        <v>4</v>
      </c>
    </row>
    <row r="24">
      <c r="A24" t="inlineStr">
        <is>
          <t>Original Towel</t>
        </is>
      </c>
      <c r="B24" t="inlineStr">
        <is>
          <t>Towel Paper</t>
        </is>
      </c>
      <c r="C24" t="inlineStr">
        <is>
          <t>TTAF</t>
        </is>
      </c>
      <c r="D24" t="inlineStr">
        <is>
          <t>Chemical</t>
        </is>
      </c>
      <c r="E24" t="inlineStr">
        <is>
          <t>kg</t>
        </is>
      </c>
      <c r="F24" t="n">
        <v>0</v>
      </c>
      <c r="G24" t="n">
        <v>0</v>
      </c>
      <c r="H24" t="n">
        <v>4</v>
      </c>
    </row>
    <row r="25">
      <c r="A25" t="inlineStr">
        <is>
          <t>CHEM-1200</t>
        </is>
      </c>
      <c r="B25" t="inlineStr">
        <is>
          <t>Oxalic Acid</t>
        </is>
      </c>
      <c r="C25" t="inlineStr">
        <is>
          <t>TTAF</t>
        </is>
      </c>
      <c r="D25" t="inlineStr">
        <is>
          <t>Chemical</t>
        </is>
      </c>
      <c r="E25" t="inlineStr">
        <is>
          <t>kg</t>
        </is>
      </c>
      <c r="F25" t="n">
        <v>0</v>
      </c>
      <c r="G25" t="n">
        <v>0</v>
      </c>
      <c r="H25" t="n">
        <v>4</v>
      </c>
    </row>
    <row r="26">
      <c r="A26" t="inlineStr">
        <is>
          <t>CHEM-1830</t>
        </is>
      </c>
      <c r="B26" t="inlineStr">
        <is>
          <t>RCT-43</t>
        </is>
      </c>
      <c r="C26" t="inlineStr">
        <is>
          <t>TTAF</t>
        </is>
      </c>
      <c r="D26" t="inlineStr">
        <is>
          <t>Chemical</t>
        </is>
      </c>
      <c r="E26" t="inlineStr">
        <is>
          <t>kg</t>
        </is>
      </c>
      <c r="F26" t="n">
        <v>0</v>
      </c>
      <c r="G26" t="n">
        <v>0</v>
      </c>
      <c r="H26" t="n">
        <v>4</v>
      </c>
    </row>
    <row r="27">
      <c r="A27" t="inlineStr">
        <is>
          <t>CHEM-1680</t>
        </is>
      </c>
      <c r="B27" t="inlineStr">
        <is>
          <t>NAT38</t>
        </is>
      </c>
      <c r="C27" t="inlineStr">
        <is>
          <t>TTAF</t>
        </is>
      </c>
      <c r="D27" t="inlineStr">
        <is>
          <t>Chemical</t>
        </is>
      </c>
      <c r="E27" t="inlineStr">
        <is>
          <t>kg</t>
        </is>
      </c>
      <c r="F27" t="n">
        <v>0</v>
      </c>
      <c r="G27" t="n">
        <v>0</v>
      </c>
      <c r="H27" t="n">
        <v>4</v>
      </c>
    </row>
    <row r="28">
      <c r="A28" t="inlineStr">
        <is>
          <t>CHEM-1820</t>
        </is>
      </c>
      <c r="B28" t="inlineStr">
        <is>
          <t>JCK-472</t>
        </is>
      </c>
      <c r="C28" t="inlineStr">
        <is>
          <t>TTAF</t>
        </is>
      </c>
      <c r="D28" t="inlineStr">
        <is>
          <t>Chemical</t>
        </is>
      </c>
      <c r="E28" t="inlineStr">
        <is>
          <t>kg</t>
        </is>
      </c>
      <c r="F28" t="n">
        <v>0</v>
      </c>
      <c r="G28" t="n">
        <v>0</v>
      </c>
      <c r="H28" t="n">
        <v>4</v>
      </c>
    </row>
    <row r="29">
      <c r="A29" t="inlineStr">
        <is>
          <t>CHEM-1840</t>
        </is>
      </c>
      <c r="B29" t="inlineStr">
        <is>
          <t>KAOCERA2020</t>
        </is>
      </c>
      <c r="C29" t="inlineStr">
        <is>
          <t>TTAF</t>
        </is>
      </c>
      <c r="D29" t="inlineStr">
        <is>
          <t>Chemical</t>
        </is>
      </c>
      <c r="E29" t="inlineStr">
        <is>
          <t>kg</t>
        </is>
      </c>
      <c r="F29" t="n">
        <v>0</v>
      </c>
      <c r="G29" t="n">
        <v>0</v>
      </c>
      <c r="H29" t="n">
        <v>4</v>
      </c>
    </row>
    <row r="30">
      <c r="A30" t="inlineStr">
        <is>
          <t>TDJ</t>
        </is>
      </c>
      <c r="B30" t="inlineStr">
        <is>
          <t>(11R-08) TP156- 103-130*TG</t>
        </is>
      </c>
      <c r="C30" t="inlineStr">
        <is>
          <t>TTAF</t>
        </is>
      </c>
      <c r="D30" t="inlineStr">
        <is>
          <t>Substrate</t>
        </is>
      </c>
      <c r="E30" t="inlineStr">
        <is>
          <t>kg</t>
        </is>
      </c>
      <c r="F30" t="n">
        <v>0</v>
      </c>
      <c r="G30" t="n">
        <v>0</v>
      </c>
      <c r="H30" t="n">
        <v>4</v>
      </c>
    </row>
    <row r="31">
      <c r="A31" t="inlineStr">
        <is>
          <t>CHEM-1730</t>
        </is>
      </c>
      <c r="B31" t="inlineStr">
        <is>
          <t>NAT-41</t>
        </is>
      </c>
      <c r="C31" t="inlineStr">
        <is>
          <t>TTAF</t>
        </is>
      </c>
      <c r="D31" t="inlineStr">
        <is>
          <t>Chemical</t>
        </is>
      </c>
      <c r="E31" t="inlineStr">
        <is>
          <t>kg</t>
        </is>
      </c>
      <c r="F31" t="n">
        <v>0</v>
      </c>
      <c r="G31" t="n">
        <v>0</v>
      </c>
      <c r="H31" t="n">
        <v>4</v>
      </c>
    </row>
    <row r="32">
      <c r="A32" t="inlineStr">
        <is>
          <t>CHEM-1430</t>
        </is>
      </c>
      <c r="B32" t="inlineStr">
        <is>
          <t>RCT22</t>
        </is>
      </c>
      <c r="C32" t="inlineStr">
        <is>
          <t>TTAF</t>
        </is>
      </c>
      <c r="D32" t="inlineStr">
        <is>
          <t>Chemical</t>
        </is>
      </c>
      <c r="E32" t="inlineStr">
        <is>
          <t>kg</t>
        </is>
      </c>
      <c r="F32" t="n">
        <v>0</v>
      </c>
      <c r="G32" t="n">
        <v>0</v>
      </c>
      <c r="H32" t="n">
        <v>4</v>
      </c>
    </row>
    <row r="33">
      <c r="A33" t="inlineStr">
        <is>
          <t>CHEM-1480</t>
        </is>
      </c>
      <c r="B33" t="inlineStr">
        <is>
          <t>NAT-30</t>
        </is>
      </c>
      <c r="C33" t="inlineStr">
        <is>
          <t>TTAF</t>
        </is>
      </c>
      <c r="D33" t="inlineStr">
        <is>
          <t>Chemical</t>
        </is>
      </c>
      <c r="E33" t="inlineStr">
        <is>
          <t>kg</t>
        </is>
      </c>
      <c r="F33" t="n">
        <v>0</v>
      </c>
      <c r="G33" t="n">
        <v>0</v>
      </c>
      <c r="H33" t="n">
        <v>4</v>
      </c>
    </row>
    <row r="34">
      <c r="A34" t="inlineStr">
        <is>
          <t>CHEM-1560</t>
        </is>
      </c>
      <c r="B34" t="inlineStr">
        <is>
          <t>TPZ-511</t>
        </is>
      </c>
      <c r="C34" t="inlineStr">
        <is>
          <t>TTAF</t>
        </is>
      </c>
      <c r="D34" t="inlineStr">
        <is>
          <t>Chemical</t>
        </is>
      </c>
      <c r="E34" t="inlineStr">
        <is>
          <t>kg</t>
        </is>
      </c>
      <c r="F34" t="n">
        <v>0</v>
      </c>
      <c r="G34" t="n">
        <v>0</v>
      </c>
      <c r="H34" t="n">
        <v>4</v>
      </c>
    </row>
    <row r="35">
      <c r="A35" t="inlineStr">
        <is>
          <t>CHEM-1510</t>
        </is>
      </c>
      <c r="B35" t="inlineStr">
        <is>
          <t>BA-070</t>
        </is>
      </c>
      <c r="C35" t="inlineStr">
        <is>
          <t>TTAF</t>
        </is>
      </c>
      <c r="D35" t="inlineStr">
        <is>
          <t>Chemical</t>
        </is>
      </c>
      <c r="E35" t="inlineStr">
        <is>
          <t>kg</t>
        </is>
      </c>
      <c r="F35" t="n">
        <v>0</v>
      </c>
      <c r="G35" t="n">
        <v>0</v>
      </c>
      <c r="H35" t="n">
        <v>4</v>
      </c>
    </row>
    <row r="36">
      <c r="A36" t="inlineStr">
        <is>
          <t>CHEM-1770</t>
        </is>
      </c>
      <c r="B36" t="inlineStr">
        <is>
          <t>RCT-39</t>
        </is>
      </c>
      <c r="C36" t="inlineStr">
        <is>
          <t>TTAF</t>
        </is>
      </c>
      <c r="D36" t="inlineStr">
        <is>
          <t>Chemical</t>
        </is>
      </c>
      <c r="E36" t="inlineStr">
        <is>
          <t>kg</t>
        </is>
      </c>
      <c r="F36" t="n">
        <v>0</v>
      </c>
      <c r="G36" t="n">
        <v>0</v>
      </c>
      <c r="H36" t="n">
        <v>4</v>
      </c>
    </row>
    <row r="37">
      <c r="A37" t="inlineStr">
        <is>
          <t>CHEM-1020</t>
        </is>
      </c>
      <c r="B37" t="inlineStr">
        <is>
          <t>Sodium Nitrite</t>
        </is>
      </c>
      <c r="C37" t="inlineStr">
        <is>
          <t>TTAF</t>
        </is>
      </c>
      <c r="D37" t="inlineStr">
        <is>
          <t>Chemical</t>
        </is>
      </c>
      <c r="E37" t="inlineStr">
        <is>
          <t>kg</t>
        </is>
      </c>
      <c r="F37" t="n">
        <v>0</v>
      </c>
      <c r="G37" t="n">
        <v>0</v>
      </c>
      <c r="H37" t="n">
        <v>4</v>
      </c>
    </row>
    <row r="38">
      <c r="A38" t="inlineStr">
        <is>
          <t>Ester Film</t>
        </is>
      </c>
      <c r="B38" t="inlineStr">
        <is>
          <t>Ester Film</t>
        </is>
      </c>
      <c r="C38" t="inlineStr">
        <is>
          <t>TTAF</t>
        </is>
      </c>
      <c r="D38" t="inlineStr">
        <is>
          <t>Substrate</t>
        </is>
      </c>
      <c r="E38" t="inlineStr">
        <is>
          <t>kg</t>
        </is>
      </c>
      <c r="F38" t="n">
        <v>0</v>
      </c>
      <c r="G38" t="n">
        <v>0</v>
      </c>
      <c r="H38" t="n">
        <v>4</v>
      </c>
    </row>
    <row r="39">
      <c r="A39" t="inlineStr">
        <is>
          <t>PP Film</t>
        </is>
      </c>
      <c r="B39" t="inlineStr">
        <is>
          <t>PP Film</t>
        </is>
      </c>
      <c r="C39" t="inlineStr">
        <is>
          <t>TTAF</t>
        </is>
      </c>
      <c r="D39" t="inlineStr">
        <is>
          <t>Substrate</t>
        </is>
      </c>
      <c r="E39" t="inlineStr">
        <is>
          <t>kg</t>
        </is>
      </c>
      <c r="F39" t="n">
        <v>0</v>
      </c>
      <c r="G39" t="n">
        <v>0</v>
      </c>
      <c r="H39" t="n">
        <v>4</v>
      </c>
    </row>
    <row r="40">
      <c r="A40" t="inlineStr">
        <is>
          <t>5SN</t>
        </is>
      </c>
      <c r="B40" t="inlineStr">
        <is>
          <t>5SN</t>
        </is>
      </c>
      <c r="C40" t="inlineStr">
        <is>
          <t>TTAF</t>
        </is>
      </c>
      <c r="D40" t="inlineStr">
        <is>
          <t>Substrate</t>
        </is>
      </c>
      <c r="E40" t="inlineStr">
        <is>
          <t>kg</t>
        </is>
      </c>
      <c r="F40" t="n">
        <v>0</v>
      </c>
      <c r="G40" t="n">
        <v>0</v>
      </c>
      <c r="H40" t="n">
        <v>4</v>
      </c>
    </row>
    <row r="41">
      <c r="A41" t="inlineStr">
        <is>
          <t>1JN</t>
        </is>
      </c>
      <c r="B41" t="inlineStr">
        <is>
          <t>1JN</t>
        </is>
      </c>
      <c r="C41" t="inlineStr">
        <is>
          <t>TTAF</t>
        </is>
      </c>
      <c r="D41" t="inlineStr">
        <is>
          <t>Chemical</t>
        </is>
      </c>
      <c r="E41" t="inlineStr">
        <is>
          <t>kg</t>
        </is>
      </c>
      <c r="F41" t="n">
        <v>0</v>
      </c>
      <c r="G41" t="n">
        <v>0</v>
      </c>
      <c r="H41" t="n">
        <v>4</v>
      </c>
    </row>
    <row r="42">
      <c r="A42" t="inlineStr">
        <is>
          <t>V03</t>
        </is>
      </c>
      <c r="B42" t="inlineStr">
        <is>
          <t>V03</t>
        </is>
      </c>
      <c r="C42" t="inlineStr">
        <is>
          <t>TTAF</t>
        </is>
      </c>
      <c r="D42" t="inlineStr">
        <is>
          <t>Chemical</t>
        </is>
      </c>
      <c r="E42" t="inlineStr">
        <is>
          <t>kg</t>
        </is>
      </c>
      <c r="F42" t="n">
        <v>0</v>
      </c>
      <c r="G42" t="n">
        <v>0</v>
      </c>
      <c r="H42" t="n">
        <v>4</v>
      </c>
    </row>
    <row r="43">
      <c r="A43" t="inlineStr">
        <is>
          <t>V19</t>
        </is>
      </c>
      <c r="B43" t="inlineStr">
        <is>
          <t>V19</t>
        </is>
      </c>
      <c r="C43" t="inlineStr">
        <is>
          <t>TTAF</t>
        </is>
      </c>
      <c r="D43" t="inlineStr">
        <is>
          <t>Chemical</t>
        </is>
      </c>
      <c r="E43" t="inlineStr">
        <is>
          <t>kg</t>
        </is>
      </c>
      <c r="F43" t="n">
        <v>0</v>
      </c>
      <c r="G43" t="n">
        <v>0</v>
      </c>
      <c r="H43" t="n">
        <v>4</v>
      </c>
    </row>
    <row r="44">
      <c r="A44" t="inlineStr">
        <is>
          <t>3TP</t>
        </is>
      </c>
      <c r="B44" t="inlineStr">
        <is>
          <t>3TP</t>
        </is>
      </c>
      <c r="C44" t="inlineStr">
        <is>
          <t>TTAF</t>
        </is>
      </c>
      <c r="D44" t="inlineStr">
        <is>
          <t>Substrate</t>
        </is>
      </c>
      <c r="E44" t="inlineStr">
        <is>
          <t>kg</t>
        </is>
      </c>
      <c r="F44" t="n">
        <v>0</v>
      </c>
      <c r="G44" t="n">
        <v>0</v>
      </c>
      <c r="H44" t="n">
        <v>4</v>
      </c>
    </row>
    <row r="45">
      <c r="A45" t="inlineStr">
        <is>
          <t>A043</t>
        </is>
      </c>
      <c r="B45" t="inlineStr">
        <is>
          <t>TDJ</t>
        </is>
      </c>
      <c r="C45" t="inlineStr">
        <is>
          <t>TTAF</t>
        </is>
      </c>
      <c r="D45" t="inlineStr">
        <is>
          <t>Chemical</t>
        </is>
      </c>
      <c r="E45" t="inlineStr">
        <is>
          <t>kg</t>
        </is>
      </c>
      <c r="F45" t="n">
        <v>0</v>
      </c>
      <c r="G45" t="n">
        <v>0</v>
      </c>
      <c r="H45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Part Name</t>
        </is>
      </c>
      <c r="C1" s="20" t="inlineStr">
        <is>
          <t>RM_Qty_Per_Batch</t>
        </is>
      </c>
      <c r="D1" s="20" t="inlineStr">
        <is>
          <t>PPGridRow</t>
        </is>
      </c>
    </row>
    <row r="2">
      <c r="A2" t="inlineStr">
        <is>
          <t>TSP-049</t>
        </is>
      </c>
      <c r="B2" t="inlineStr">
        <is>
          <t>CHEM-1250</t>
        </is>
      </c>
      <c r="C2" t="n">
        <v>4.5569</v>
      </c>
      <c r="D2">
        <f>IFERROR(MATCH($A2,PP_Grid[Intermediate],0),99999)</f>
        <v/>
      </c>
    </row>
    <row r="3">
      <c r="A3" t="inlineStr">
        <is>
          <t>TSP-049</t>
        </is>
      </c>
      <c r="B3" t="inlineStr">
        <is>
          <t>CHEM-1420</t>
        </is>
      </c>
      <c r="C3" t="n">
        <v>0.307375</v>
      </c>
      <c r="D3">
        <f>IFERROR(MATCH($A3,PP_Grid[Intermediate],0),99999)</f>
        <v/>
      </c>
    </row>
    <row r="4">
      <c r="A4" t="inlineStr">
        <is>
          <t>TSP-049</t>
        </is>
      </c>
      <c r="B4" t="inlineStr">
        <is>
          <t>CHEM-1440</t>
        </is>
      </c>
      <c r="C4" t="n">
        <v>0.484115</v>
      </c>
      <c r="D4">
        <f>IFERROR(MATCH($A4,PP_Grid[Intermediate],0),99999)</f>
        <v/>
      </c>
    </row>
    <row r="5">
      <c r="A5" t="inlineStr">
        <is>
          <t>TSP-050</t>
        </is>
      </c>
      <c r="B5" t="inlineStr">
        <is>
          <t>CHEM-1400</t>
        </is>
      </c>
      <c r="C5" t="n">
        <v>7.39</v>
      </c>
      <c r="D5">
        <f>IFERROR(MATCH($A5,PP_Grid[Intermediate],0),99999)</f>
        <v/>
      </c>
    </row>
    <row r="6">
      <c r="A6" t="inlineStr">
        <is>
          <t>TSP-050</t>
        </is>
      </c>
      <c r="B6" t="inlineStr">
        <is>
          <t>CHEM-1430</t>
        </is>
      </c>
      <c r="C6" t="n">
        <v>68.2582</v>
      </c>
      <c r="D6">
        <f>IFERROR(MATCH($A6,PP_Grid[Intermediate],0),99999)</f>
        <v/>
      </c>
    </row>
    <row r="7">
      <c r="A7" t="inlineStr">
        <is>
          <t>TSP-050</t>
        </is>
      </c>
      <c r="B7" t="inlineStr">
        <is>
          <t>CHEM-1420</t>
        </is>
      </c>
      <c r="C7" t="n">
        <v>2.240105</v>
      </c>
      <c r="D7">
        <f>IFERROR(MATCH($A7,PP_Grid[Intermediate],0),99999)</f>
        <v/>
      </c>
    </row>
    <row r="8">
      <c r="A8" t="inlineStr">
        <is>
          <t>TSP-067</t>
        </is>
      </c>
      <c r="B8" t="inlineStr">
        <is>
          <t>CHEM-1250</t>
        </is>
      </c>
      <c r="C8" t="n">
        <v>10.211</v>
      </c>
      <c r="D8">
        <f>IFERROR(MATCH($A8,PP_Grid[Intermediate],0),99999)</f>
        <v/>
      </c>
    </row>
    <row r="9">
      <c r="A9" t="inlineStr">
        <is>
          <t>TSP-067</t>
        </is>
      </c>
      <c r="B9" t="inlineStr">
        <is>
          <t>CHEM-1420</t>
        </is>
      </c>
      <c r="C9" t="n">
        <v>0.5</v>
      </c>
      <c r="D9">
        <f>IFERROR(MATCH($A9,PP_Grid[Intermediate],0),99999)</f>
        <v/>
      </c>
    </row>
    <row r="10">
      <c r="A10" t="inlineStr">
        <is>
          <t>TSP-067</t>
        </is>
      </c>
      <c r="B10" t="inlineStr">
        <is>
          <t>CHEM-1440</t>
        </is>
      </c>
      <c r="C10" t="n">
        <v>0.5</v>
      </c>
      <c r="D10">
        <f>IFERROR(MATCH($A10,PP_Grid[Intermediate],0),99999)</f>
        <v/>
      </c>
    </row>
    <row r="11">
      <c r="A11" t="inlineStr">
        <is>
          <t>TSP-069</t>
        </is>
      </c>
      <c r="B11" t="inlineStr">
        <is>
          <t>CHEM-1250</t>
        </is>
      </c>
      <c r="C11" t="n">
        <v>10.5628</v>
      </c>
      <c r="D11">
        <f>IFERROR(MATCH($A11,PP_Grid[Intermediate],0),99999)</f>
        <v/>
      </c>
    </row>
    <row r="12">
      <c r="A12" t="inlineStr">
        <is>
          <t>TSP-069</t>
        </is>
      </c>
      <c r="B12" t="inlineStr">
        <is>
          <t>CHEM-1440</t>
        </is>
      </c>
      <c r="C12" t="n">
        <v>0.31561515</v>
      </c>
      <c r="D12">
        <f>IFERROR(MATCH($A12,PP_Grid[Intermediate],0),99999)</f>
        <v/>
      </c>
    </row>
    <row r="13">
      <c r="A13" t="inlineStr">
        <is>
          <t>TSP-069</t>
        </is>
      </c>
      <c r="B13" t="inlineStr">
        <is>
          <t>CHEM-1420</t>
        </is>
      </c>
      <c r="C13" t="n">
        <v>0.52602525</v>
      </c>
      <c r="D13">
        <f>IFERROR(MATCH($A13,PP_Grid[Intermediate],0),99999)</f>
        <v/>
      </c>
    </row>
    <row r="14">
      <c r="A14" t="inlineStr">
        <is>
          <t>TSP-077</t>
        </is>
      </c>
      <c r="B14" t="inlineStr">
        <is>
          <t>CHEM-1250</t>
        </is>
      </c>
      <c r="C14" t="n">
        <v>11.363</v>
      </c>
      <c r="D14">
        <f>IFERROR(MATCH($A14,PP_Grid[Intermediate],0),99999)</f>
        <v/>
      </c>
    </row>
    <row r="15">
      <c r="A15" t="inlineStr">
        <is>
          <t>TSP-077</t>
        </is>
      </c>
      <c r="B15" t="inlineStr">
        <is>
          <t>CHEM-1420</t>
        </is>
      </c>
      <c r="C15" t="n">
        <v>0.619961155</v>
      </c>
      <c r="D15">
        <f>IFERROR(MATCH($A15,PP_Grid[Intermediate],0),99999)</f>
        <v/>
      </c>
    </row>
    <row r="16">
      <c r="A16" t="inlineStr">
        <is>
          <t>TSP-077</t>
        </is>
      </c>
      <c r="B16" t="inlineStr">
        <is>
          <t>CHEM-1440</t>
        </is>
      </c>
      <c r="C16" t="n">
        <v>0.4508808400000001</v>
      </c>
      <c r="D16">
        <f>IFERROR(MATCH($A16,PP_Grid[Intermediate],0),99999)</f>
        <v/>
      </c>
    </row>
    <row r="17">
      <c r="A17" t="inlineStr">
        <is>
          <t>TSP-078</t>
        </is>
      </c>
      <c r="B17" t="inlineStr">
        <is>
          <t>CHEM-1400</t>
        </is>
      </c>
      <c r="C17" t="n">
        <v>10.91</v>
      </c>
      <c r="D17">
        <f>IFERROR(MATCH($A17,PP_Grid[Intermediate],0),99999)</f>
        <v/>
      </c>
    </row>
    <row r="18">
      <c r="A18" t="inlineStr">
        <is>
          <t>TSP-078</t>
        </is>
      </c>
      <c r="B18" t="inlineStr">
        <is>
          <t>CHEM-1430</t>
        </is>
      </c>
      <c r="C18" t="n">
        <v>16.91</v>
      </c>
      <c r="D18">
        <f>IFERROR(MATCH($A18,PP_Grid[Intermediate],0),99999)</f>
        <v/>
      </c>
    </row>
    <row r="19">
      <c r="A19" t="inlineStr">
        <is>
          <t>TSP-078</t>
        </is>
      </c>
      <c r="B19" t="inlineStr">
        <is>
          <t>CHEM-1420</t>
        </is>
      </c>
      <c r="C19" t="n">
        <v>3.00645</v>
      </c>
      <c r="D19">
        <f>IFERROR(MATCH($A19,PP_Grid[Intermediate],0),99999)</f>
        <v/>
      </c>
    </row>
    <row r="20">
      <c r="A20" t="inlineStr">
        <is>
          <t>TSP-080</t>
        </is>
      </c>
      <c r="B20" t="inlineStr">
        <is>
          <t>CHEM-1430</t>
        </is>
      </c>
      <c r="C20" t="n">
        <v>20.18</v>
      </c>
      <c r="D20">
        <f>IFERROR(MATCH($A20,PP_Grid[Intermediate],0),99999)</f>
        <v/>
      </c>
    </row>
    <row r="21">
      <c r="A21" t="inlineStr">
        <is>
          <t>TSP-080</t>
        </is>
      </c>
      <c r="B21" t="inlineStr">
        <is>
          <t>CHEM-1420</t>
        </is>
      </c>
      <c r="C21" t="n">
        <v>3.766116928</v>
      </c>
      <c r="D21">
        <f>IFERROR(MATCH($A21,PP_Grid[Intermediate],0),99999)</f>
        <v/>
      </c>
    </row>
    <row r="22">
      <c r="A22" t="inlineStr">
        <is>
          <t>TSP-088</t>
        </is>
      </c>
      <c r="B22" t="inlineStr">
        <is>
          <t>CHEM-1430</t>
        </is>
      </c>
      <c r="C22" t="n">
        <v>9.43</v>
      </c>
      <c r="D22">
        <f>IFERROR(MATCH($A22,PP_Grid[Intermediate],0),99999)</f>
        <v/>
      </c>
    </row>
    <row r="23">
      <c r="A23" t="inlineStr">
        <is>
          <t>TSP-089</t>
        </is>
      </c>
      <c r="B23" t="inlineStr">
        <is>
          <t>CHEM-1430</t>
        </is>
      </c>
      <c r="C23" t="n">
        <v>9.890000000000001</v>
      </c>
      <c r="D23">
        <f>IFERROR(MATCH($A23,PP_Grid[Intermediate],0),99999)</f>
        <v/>
      </c>
    </row>
    <row r="24">
      <c r="A24" t="inlineStr">
        <is>
          <t>TSP-089</t>
        </is>
      </c>
      <c r="B24" t="inlineStr">
        <is>
          <t>CHEM-1420</t>
        </is>
      </c>
      <c r="C24" t="n">
        <v>1.7541125616</v>
      </c>
      <c r="D24">
        <f>IFERROR(MATCH($A24,PP_Grid[Intermediate],0),99999)</f>
        <v/>
      </c>
    </row>
    <row r="25">
      <c r="A25" t="inlineStr">
        <is>
          <t>TSP-104</t>
        </is>
      </c>
      <c r="B25" t="inlineStr">
        <is>
          <t>CHEM-1250</t>
        </is>
      </c>
      <c r="C25" t="n">
        <v>9.9001</v>
      </c>
      <c r="D25">
        <f>IFERROR(MATCH($A25,PP_Grid[Intermediate],0),99999)</f>
        <v/>
      </c>
    </row>
    <row r="26">
      <c r="A26" t="inlineStr">
        <is>
          <t>TSP-104</t>
        </is>
      </c>
      <c r="B26" t="inlineStr">
        <is>
          <t>CHEM-1420</t>
        </is>
      </c>
      <c r="C26" t="n">
        <v>0.307</v>
      </c>
      <c r="D26">
        <f>IFERROR(MATCH($A26,PP_Grid[Intermediate],0),99999)</f>
        <v/>
      </c>
    </row>
    <row r="27">
      <c r="A27" t="inlineStr">
        <is>
          <t>TSP-104</t>
        </is>
      </c>
      <c r="B27" t="inlineStr">
        <is>
          <t>CHEM-1440</t>
        </is>
      </c>
      <c r="C27" t="n">
        <v>0.982</v>
      </c>
      <c r="D27">
        <f>IFERROR(MATCH($A27,PP_Grid[Intermediate],0),99999)</f>
        <v/>
      </c>
    </row>
    <row r="28">
      <c r="A28" t="inlineStr">
        <is>
          <t>TSP-105</t>
        </is>
      </c>
      <c r="B28" t="inlineStr">
        <is>
          <t>CHEM-1400</t>
        </is>
      </c>
      <c r="C28" t="n">
        <v>3.43</v>
      </c>
      <c r="D28">
        <f>IFERROR(MATCH($A28,PP_Grid[Intermediate],0),99999)</f>
        <v/>
      </c>
    </row>
    <row r="29">
      <c r="A29" t="inlineStr">
        <is>
          <t>TSP-105</t>
        </is>
      </c>
      <c r="B29" t="inlineStr">
        <is>
          <t>CHEM-1430</t>
        </is>
      </c>
      <c r="C29" t="n">
        <v>70.41</v>
      </c>
      <c r="D29">
        <f>IFERROR(MATCH($A29,PP_Grid[Intermediate],0),99999)</f>
        <v/>
      </c>
    </row>
    <row r="30">
      <c r="A30" t="inlineStr">
        <is>
          <t>TSP-105</t>
        </is>
      </c>
      <c r="B30" t="inlineStr">
        <is>
          <t>CHEM-1420</t>
        </is>
      </c>
      <c r="C30" t="n">
        <v>1.60032</v>
      </c>
      <c r="D30">
        <f>IFERROR(MATCH($A30,PP_Grid[Intermediate],0),99999)</f>
        <v/>
      </c>
    </row>
    <row r="31">
      <c r="A31" t="inlineStr">
        <is>
          <t>TSP-199</t>
        </is>
      </c>
      <c r="B31" t="inlineStr">
        <is>
          <t>CHEM-1400</t>
        </is>
      </c>
      <c r="C31" t="n">
        <v>3.4253</v>
      </c>
      <c r="D31">
        <f>IFERROR(MATCH($A31,PP_Grid[Intermediate],0),99999)</f>
        <v/>
      </c>
    </row>
    <row r="32">
      <c r="A32" t="inlineStr">
        <is>
          <t>TSP-199</t>
        </is>
      </c>
      <c r="B32" t="inlineStr">
        <is>
          <t>CHEM-1250</t>
        </is>
      </c>
      <c r="C32" t="n">
        <v>5.3219</v>
      </c>
      <c r="D32">
        <f>IFERROR(MATCH($A32,PP_Grid[Intermediate],0),99999)</f>
        <v/>
      </c>
    </row>
    <row r="33">
      <c r="A33" t="inlineStr">
        <is>
          <t>TSP-199</t>
        </is>
      </c>
      <c r="B33" t="inlineStr">
        <is>
          <t>CHEM-1420</t>
        </is>
      </c>
      <c r="C33" t="n">
        <v>0.784</v>
      </c>
      <c r="D33">
        <f>IFERROR(MATCH($A33,PP_Grid[Intermediate],0),99999)</f>
        <v/>
      </c>
    </row>
    <row r="34">
      <c r="A34" t="inlineStr">
        <is>
          <t>TSP-199</t>
        </is>
      </c>
      <c r="B34" t="inlineStr">
        <is>
          <t>CHEM-1440</t>
        </is>
      </c>
      <c r="C34" t="n">
        <v>1.254</v>
      </c>
      <c r="D34">
        <f>IFERROR(MATCH($A34,PP_Grid[Intermediate],0),99999)</f>
        <v/>
      </c>
    </row>
    <row r="35">
      <c r="A35" t="inlineStr">
        <is>
          <t>TSP-205</t>
        </is>
      </c>
      <c r="B35" t="inlineStr">
        <is>
          <t>CHEM-1400</t>
        </is>
      </c>
      <c r="C35" t="n">
        <v>5.08</v>
      </c>
      <c r="D35">
        <f>IFERROR(MATCH($A35,PP_Grid[Intermediate],0),99999)</f>
        <v/>
      </c>
    </row>
    <row r="36">
      <c r="A36" t="inlineStr">
        <is>
          <t>TSP-205</t>
        </is>
      </c>
      <c r="B36" t="inlineStr">
        <is>
          <t>CHEM-1250</t>
        </is>
      </c>
      <c r="C36" t="n">
        <v>7.8373</v>
      </c>
      <c r="D36">
        <f>IFERROR(MATCH($A36,PP_Grid[Intermediate],0),99999)</f>
        <v/>
      </c>
    </row>
    <row r="37">
      <c r="A37" t="inlineStr">
        <is>
          <t>TSP-205</t>
        </is>
      </c>
      <c r="B37" t="inlineStr">
        <is>
          <t>CHEM-1420</t>
        </is>
      </c>
      <c r="C37" t="n">
        <v>0.463</v>
      </c>
      <c r="D37">
        <f>IFERROR(MATCH($A37,PP_Grid[Intermediate],0),99999)</f>
        <v/>
      </c>
    </row>
    <row r="38">
      <c r="A38" t="inlineStr">
        <is>
          <t>TSP-205</t>
        </is>
      </c>
      <c r="B38" t="inlineStr">
        <is>
          <t>CHEM-1440</t>
        </is>
      </c>
      <c r="C38" t="n">
        <v>0.3319681185</v>
      </c>
      <c r="D38">
        <f>IFERROR(MATCH($A38,PP_Grid[Intermediate],0),99999)</f>
        <v/>
      </c>
    </row>
    <row r="39">
      <c r="A39" t="inlineStr">
        <is>
          <t>TSP-206</t>
        </is>
      </c>
      <c r="B39" t="inlineStr">
        <is>
          <t>CHEM-1400</t>
        </is>
      </c>
      <c r="C39" t="n">
        <v>4.3015</v>
      </c>
      <c r="D39">
        <f>IFERROR(MATCH($A39,PP_Grid[Intermediate],0),99999)</f>
        <v/>
      </c>
    </row>
    <row r="40">
      <c r="A40" t="inlineStr">
        <is>
          <t>TSP-206</t>
        </is>
      </c>
      <c r="B40" t="inlineStr">
        <is>
          <t>CHEM-1480</t>
        </is>
      </c>
      <c r="C40" t="n">
        <v>47.5991</v>
      </c>
      <c r="D40">
        <f>IFERROR(MATCH($A40,PP_Grid[Intermediate],0),99999)</f>
        <v/>
      </c>
    </row>
    <row r="41">
      <c r="A41" t="inlineStr">
        <is>
          <t>TSP-206</t>
        </is>
      </c>
      <c r="B41" t="inlineStr">
        <is>
          <t>CHEM-1420</t>
        </is>
      </c>
      <c r="C41" t="n">
        <v>0.6176911500000001</v>
      </c>
      <c r="D41">
        <f>IFERROR(MATCH($A41,PP_Grid[Intermediate],0),99999)</f>
        <v/>
      </c>
    </row>
    <row r="42">
      <c r="A42" t="inlineStr">
        <is>
          <t>TSP-206</t>
        </is>
      </c>
      <c r="B42" t="inlineStr">
        <is>
          <t>CHEM-1440</t>
        </is>
      </c>
      <c r="C42" t="n">
        <v>1.56559455</v>
      </c>
      <c r="D42">
        <f>IFERROR(MATCH($A42,PP_Grid[Intermediate],0),99999)</f>
        <v/>
      </c>
    </row>
    <row r="43">
      <c r="A43" t="inlineStr">
        <is>
          <t>TSP-218</t>
        </is>
      </c>
      <c r="B43" t="inlineStr">
        <is>
          <t>CHEM-1400</t>
        </is>
      </c>
      <c r="C43" t="n">
        <v>1.180807044165801</v>
      </c>
      <c r="D43">
        <f>IFERROR(MATCH($A43,PP_Grid[Intermediate],0),99999)</f>
        <v/>
      </c>
    </row>
    <row r="44">
      <c r="A44" t="inlineStr">
        <is>
          <t>TSP-218</t>
        </is>
      </c>
      <c r="B44" t="inlineStr">
        <is>
          <t>CHEM-1670</t>
        </is>
      </c>
      <c r="C44" t="n">
        <v>5.563962792109256</v>
      </c>
      <c r="D44">
        <f>IFERROR(MATCH($A44,PP_Grid[Intermediate],0),99999)</f>
        <v/>
      </c>
    </row>
    <row r="45">
      <c r="A45" t="inlineStr">
        <is>
          <t>TSP-218</t>
        </is>
      </c>
      <c r="B45" t="inlineStr">
        <is>
          <t>CHEM-1420</t>
        </is>
      </c>
      <c r="C45" t="n">
        <v>0.947</v>
      </c>
      <c r="D45">
        <f>IFERROR(MATCH($A45,PP_Grid[Intermediate],0),99999)</f>
        <v/>
      </c>
    </row>
    <row r="46">
      <c r="A46" t="inlineStr">
        <is>
          <t>TSP-219</t>
        </is>
      </c>
      <c r="B46" t="inlineStr">
        <is>
          <t>CHEM-1400</t>
        </is>
      </c>
      <c r="C46" t="n">
        <v>3.544016061523803</v>
      </c>
      <c r="D46">
        <f>IFERROR(MATCH($A46,PP_Grid[Intermediate],0),99999)</f>
        <v/>
      </c>
    </row>
    <row r="47">
      <c r="A47" t="inlineStr">
        <is>
          <t>TSP-219</t>
        </is>
      </c>
      <c r="B47" t="inlineStr">
        <is>
          <t>CHEM-1600</t>
        </is>
      </c>
      <c r="C47" t="n">
        <v>17.53855461895246</v>
      </c>
      <c r="D47">
        <f>IFERROR(MATCH($A47,PP_Grid[Intermediate],0),99999)</f>
        <v/>
      </c>
    </row>
    <row r="48">
      <c r="A48" t="inlineStr">
        <is>
          <t>TSP-219</t>
        </is>
      </c>
      <c r="B48" t="inlineStr">
        <is>
          <t>CHEM-1510</t>
        </is>
      </c>
      <c r="C48" t="n">
        <v>7.476122094803825</v>
      </c>
      <c r="D48">
        <f>IFERROR(MATCH($A48,PP_Grid[Intermediate],0),99999)</f>
        <v/>
      </c>
    </row>
    <row r="49">
      <c r="A49" t="inlineStr">
        <is>
          <t>TSP-219</t>
        </is>
      </c>
      <c r="B49" t="inlineStr">
        <is>
          <t>0JN</t>
        </is>
      </c>
      <c r="C49" t="n">
        <v>17.09315586581044</v>
      </c>
      <c r="D49">
        <f>IFERROR(MATCH($A49,PP_Grid[Intermediate],0),99999)</f>
        <v/>
      </c>
    </row>
    <row r="50">
      <c r="A50" t="inlineStr">
        <is>
          <t>TSP-219</t>
        </is>
      </c>
      <c r="B50" t="inlineStr">
        <is>
          <t>CHEM-1420</t>
        </is>
      </c>
      <c r="C50" t="n">
        <v>0.522304420321911</v>
      </c>
      <c r="D50">
        <f>IFERROR(MATCH($A50,PP_Grid[Intermediate],0),99999)</f>
        <v/>
      </c>
    </row>
    <row r="51">
      <c r="A51" t="inlineStr">
        <is>
          <t>TSP-219</t>
        </is>
      </c>
      <c r="B51" t="inlineStr">
        <is>
          <t>CHEM-1660</t>
        </is>
      </c>
      <c r="C51" t="n">
        <v>1.536189471535033</v>
      </c>
      <c r="D51">
        <f>IFERROR(MATCH($A51,PP_Grid[Intermediate],0),99999)</f>
        <v/>
      </c>
    </row>
    <row r="52">
      <c r="A52" t="inlineStr">
        <is>
          <t>TSP-224</t>
        </is>
      </c>
      <c r="B52" t="inlineStr">
        <is>
          <t>CHEM-1240</t>
        </is>
      </c>
      <c r="C52" t="n">
        <v>57.38</v>
      </c>
      <c r="D52">
        <f>IFERROR(MATCH($A52,PP_Grid[Intermediate],0),99999)</f>
        <v/>
      </c>
    </row>
    <row r="53">
      <c r="A53" t="inlineStr">
        <is>
          <t>TSP-224</t>
        </is>
      </c>
      <c r="B53" t="inlineStr">
        <is>
          <t>CHEM-1420</t>
        </is>
      </c>
      <c r="C53" t="n">
        <v>0.97</v>
      </c>
      <c r="D53">
        <f>IFERROR(MATCH($A53,PP_Grid[Intermediate],0),99999)</f>
        <v/>
      </c>
    </row>
    <row r="54">
      <c r="A54" t="inlineStr">
        <is>
          <t>TSP-224</t>
        </is>
      </c>
      <c r="B54" t="inlineStr">
        <is>
          <t>CHEM-1440</t>
        </is>
      </c>
      <c r="C54" t="n">
        <v>0.86</v>
      </c>
      <c r="D54">
        <f>IFERROR(MATCH($A54,PP_Grid[Intermediate],0),99999)</f>
        <v/>
      </c>
    </row>
    <row r="55">
      <c r="A55" t="inlineStr">
        <is>
          <t>TSP-225</t>
        </is>
      </c>
      <c r="B55" t="inlineStr">
        <is>
          <t>CHEM-1400</t>
        </is>
      </c>
      <c r="C55" t="n">
        <v>5.53</v>
      </c>
      <c r="D55">
        <f>IFERROR(MATCH($A55,PP_Grid[Intermediate],0),99999)</f>
        <v/>
      </c>
    </row>
    <row r="56">
      <c r="A56" t="inlineStr">
        <is>
          <t>TSP-225</t>
        </is>
      </c>
      <c r="B56" t="inlineStr">
        <is>
          <t>CHEM-1430</t>
        </is>
      </c>
      <c r="C56" t="n">
        <v>14.18</v>
      </c>
      <c r="D56">
        <f>IFERROR(MATCH($A56,PP_Grid[Intermediate],0),99999)</f>
        <v/>
      </c>
    </row>
    <row r="57">
      <c r="A57" t="inlineStr">
        <is>
          <t>TSP-225</t>
        </is>
      </c>
      <c r="B57" t="inlineStr">
        <is>
          <t>CHEM-1420</t>
        </is>
      </c>
      <c r="C57" t="n">
        <v>2.53</v>
      </c>
      <c r="D57">
        <f>IFERROR(MATCH($A57,PP_Grid[Intermediate],0),99999)</f>
        <v/>
      </c>
    </row>
    <row r="58">
      <c r="A58" t="inlineStr">
        <is>
          <t>TSP-360</t>
        </is>
      </c>
      <c r="B58" t="inlineStr">
        <is>
          <t>CHEM-1400</t>
        </is>
      </c>
      <c r="C58" t="n">
        <v>2.975</v>
      </c>
      <c r="D58">
        <f>IFERROR(MATCH($A58,PP_Grid[Intermediate],0),99999)</f>
        <v/>
      </c>
    </row>
    <row r="59">
      <c r="A59" t="inlineStr">
        <is>
          <t>TSP-360</t>
        </is>
      </c>
      <c r="B59" t="inlineStr">
        <is>
          <t>CHEM-1560</t>
        </is>
      </c>
      <c r="C59" t="n">
        <v>3.768</v>
      </c>
      <c r="D59">
        <f>IFERROR(MATCH($A59,PP_Grid[Intermediate],0),99999)</f>
        <v/>
      </c>
    </row>
    <row r="60">
      <c r="A60" t="inlineStr">
        <is>
          <t>TSP-360</t>
        </is>
      </c>
      <c r="B60" t="inlineStr">
        <is>
          <t>CHEM-1510</t>
        </is>
      </c>
      <c r="C60" t="n">
        <v>9.044</v>
      </c>
      <c r="D60">
        <f>IFERROR(MATCH($A60,PP_Grid[Intermediate],0),99999)</f>
        <v/>
      </c>
    </row>
    <row r="61">
      <c r="A61" t="inlineStr">
        <is>
          <t>TSP-360</t>
        </is>
      </c>
      <c r="B61" t="inlineStr">
        <is>
          <t>CHEM-1420</t>
        </is>
      </c>
      <c r="C61" t="n">
        <v>0.278</v>
      </c>
      <c r="D61">
        <f>IFERROR(MATCH($A61,PP_Grid[Intermediate],0),99999)</f>
        <v/>
      </c>
    </row>
    <row r="62">
      <c r="A62" t="inlineStr">
        <is>
          <t>TSP-367</t>
        </is>
      </c>
      <c r="B62" t="inlineStr">
        <is>
          <t>CHEM-1400</t>
        </is>
      </c>
      <c r="C62" t="n">
        <v>3.62</v>
      </c>
      <c r="D62">
        <f>IFERROR(MATCH($A62,PP_Grid[Intermediate],0),99999)</f>
        <v/>
      </c>
    </row>
    <row r="63">
      <c r="A63" t="inlineStr">
        <is>
          <t>TSP-367</t>
        </is>
      </c>
      <c r="B63" t="inlineStr">
        <is>
          <t>CHEM-1510</t>
        </is>
      </c>
      <c r="C63" t="n">
        <v>4.866</v>
      </c>
      <c r="D63">
        <f>IFERROR(MATCH($A63,PP_Grid[Intermediate],0),99999)</f>
        <v/>
      </c>
    </row>
    <row r="64">
      <c r="A64" t="inlineStr">
        <is>
          <t>TSP-367</t>
        </is>
      </c>
      <c r="B64" t="inlineStr">
        <is>
          <t>CHEM-1420</t>
        </is>
      </c>
      <c r="C64" t="n">
        <v>1.17</v>
      </c>
      <c r="D64">
        <f>IFERROR(MATCH($A64,PP_Grid[Intermediate],0),99999)</f>
        <v/>
      </c>
    </row>
    <row r="65">
      <c r="A65" t="inlineStr">
        <is>
          <t>TSP-367</t>
        </is>
      </c>
      <c r="B65" t="inlineStr">
        <is>
          <t>CHEM-1440</t>
        </is>
      </c>
      <c r="C65" t="n">
        <v>1.009987983</v>
      </c>
      <c r="D65">
        <f>IFERROR(MATCH($A65,PP_Grid[Intermediate],0),99999)</f>
        <v/>
      </c>
    </row>
    <row r="66">
      <c r="A66" t="inlineStr">
        <is>
          <t>TSP-369</t>
        </is>
      </c>
      <c r="B66" t="inlineStr">
        <is>
          <t>CHEM-1400</t>
        </is>
      </c>
      <c r="C66" t="n">
        <v>3.889</v>
      </c>
      <c r="D66">
        <f>IFERROR(MATCH($A66,PP_Grid[Intermediate],0),99999)</f>
        <v/>
      </c>
    </row>
    <row r="67">
      <c r="A67" t="inlineStr">
        <is>
          <t>TSP-369</t>
        </is>
      </c>
      <c r="B67" t="inlineStr">
        <is>
          <t>CHEM-1420</t>
        </is>
      </c>
      <c r="C67" t="n">
        <v>1.286</v>
      </c>
      <c r="D67">
        <f>IFERROR(MATCH($A67,PP_Grid[Intermediate],0),99999)</f>
        <v/>
      </c>
    </row>
    <row r="68">
      <c r="A68" t="inlineStr">
        <is>
          <t>TSP-369</t>
        </is>
      </c>
      <c r="B68" t="inlineStr">
        <is>
          <t>CHEM-1440</t>
        </is>
      </c>
      <c r="C68" t="n">
        <v>1.744</v>
      </c>
      <c r="D68">
        <f>IFERROR(MATCH($A68,PP_Grid[Intermediate],0),99999)</f>
        <v/>
      </c>
    </row>
    <row r="69">
      <c r="A69" t="inlineStr">
        <is>
          <t>TSP-390</t>
        </is>
      </c>
      <c r="B69" t="inlineStr">
        <is>
          <t>CHEM-1250</t>
        </is>
      </c>
      <c r="C69" t="n">
        <v>14.029</v>
      </c>
      <c r="D69">
        <f>IFERROR(MATCH($A69,PP_Grid[Intermediate],0),99999)</f>
        <v/>
      </c>
    </row>
    <row r="70">
      <c r="A70" t="inlineStr">
        <is>
          <t>TSP-390</t>
        </is>
      </c>
      <c r="B70" t="inlineStr">
        <is>
          <t>CHEM-1240</t>
        </is>
      </c>
      <c r="C70" t="n">
        <v>17.907</v>
      </c>
      <c r="D70">
        <f>IFERROR(MATCH($A70,PP_Grid[Intermediate],0),99999)</f>
        <v/>
      </c>
    </row>
    <row r="71">
      <c r="A71" t="inlineStr">
        <is>
          <t>TSP-390</t>
        </is>
      </c>
      <c r="B71" t="inlineStr">
        <is>
          <t>CHEM-1420</t>
        </is>
      </c>
      <c r="C71" t="n">
        <v>0.903</v>
      </c>
      <c r="D71">
        <f>IFERROR(MATCH($A71,PP_Grid[Intermediate],0),99999)</f>
        <v/>
      </c>
    </row>
    <row r="72">
      <c r="A72" t="inlineStr">
        <is>
          <t>TSP-390</t>
        </is>
      </c>
      <c r="B72" t="inlineStr">
        <is>
          <t>CHEM-1440</t>
        </is>
      </c>
      <c r="C72" t="n">
        <v>0.852</v>
      </c>
      <c r="D72">
        <f>IFERROR(MATCH($A72,PP_Grid[Intermediate],0),99999)</f>
        <v/>
      </c>
    </row>
    <row r="73">
      <c r="A73" t="inlineStr">
        <is>
          <t>TSP-399</t>
        </is>
      </c>
      <c r="B73" t="inlineStr">
        <is>
          <t>CHEM-1250</t>
        </is>
      </c>
      <c r="C73" t="n">
        <v>14.051</v>
      </c>
      <c r="D73">
        <f>IFERROR(MATCH($A73,PP_Grid[Intermediate],0),99999)</f>
        <v/>
      </c>
    </row>
    <row r="74">
      <c r="A74" t="inlineStr">
        <is>
          <t>TSP-399</t>
        </is>
      </c>
      <c r="B74" t="inlineStr">
        <is>
          <t>CHEM-1240</t>
        </is>
      </c>
      <c r="C74" t="n">
        <v>17.935</v>
      </c>
      <c r="D74">
        <f>IFERROR(MATCH($A74,PP_Grid[Intermediate],0),99999)</f>
        <v/>
      </c>
    </row>
    <row r="75">
      <c r="A75" t="inlineStr">
        <is>
          <t>TSP-399</t>
        </is>
      </c>
      <c r="B75" t="inlineStr">
        <is>
          <t>CHEM-1420</t>
        </is>
      </c>
      <c r="C75" t="n">
        <v>0.895</v>
      </c>
      <c r="D75">
        <f>IFERROR(MATCH($A75,PP_Grid[Intermediate],0),99999)</f>
        <v/>
      </c>
    </row>
    <row r="76">
      <c r="A76" t="inlineStr">
        <is>
          <t>TSP-399</t>
        </is>
      </c>
      <c r="B76" t="inlineStr">
        <is>
          <t>CHEM-1440</t>
        </is>
      </c>
      <c r="C76" t="n">
        <v>0.858</v>
      </c>
      <c r="D76">
        <f>IFERROR(MATCH($A76,PP_Grid[Intermediate],0),99999)</f>
        <v/>
      </c>
    </row>
    <row r="77">
      <c r="A77" t="inlineStr">
        <is>
          <t>TSP-402</t>
        </is>
      </c>
      <c r="B77" t="inlineStr">
        <is>
          <t>CHEM-1530</t>
        </is>
      </c>
      <c r="C77" t="n">
        <v>39.032</v>
      </c>
      <c r="D77">
        <f>IFERROR(MATCH($A77,PP_Grid[Intermediate],0),99999)</f>
        <v/>
      </c>
    </row>
    <row r="78">
      <c r="A78" t="inlineStr">
        <is>
          <t>TSP-402</t>
        </is>
      </c>
      <c r="B78" t="inlineStr">
        <is>
          <t>CHEM-1400</t>
        </is>
      </c>
      <c r="C78" t="n">
        <v>6.745</v>
      </c>
      <c r="D78">
        <f>IFERROR(MATCH($A78,PP_Grid[Intermediate],0),99999)</f>
        <v/>
      </c>
    </row>
    <row r="79">
      <c r="A79" t="inlineStr">
        <is>
          <t>TSP-402</t>
        </is>
      </c>
      <c r="B79" t="inlineStr">
        <is>
          <t>CHEM-1420</t>
        </is>
      </c>
      <c r="C79" t="n">
        <v>1.114</v>
      </c>
      <c r="D79">
        <f>IFERROR(MATCH($A79,PP_Grid[Intermediate],0),99999)</f>
        <v/>
      </c>
    </row>
    <row r="80">
      <c r="A80" t="inlineStr">
        <is>
          <t>TSP-402</t>
        </is>
      </c>
      <c r="B80" t="inlineStr">
        <is>
          <t>CHEM-1650</t>
        </is>
      </c>
      <c r="C80" t="n">
        <v>0.033</v>
      </c>
      <c r="D80">
        <f>IFERROR(MATCH($A80,PP_Grid[Intermediate],0),99999)</f>
        <v/>
      </c>
    </row>
    <row r="81">
      <c r="A81" t="inlineStr">
        <is>
          <t>TSP-403</t>
        </is>
      </c>
      <c r="B81" t="inlineStr">
        <is>
          <t>CHEM-1530</t>
        </is>
      </c>
      <c r="C81" t="n">
        <v>39.513</v>
      </c>
      <c r="D81">
        <f>IFERROR(MATCH($A81,PP_Grid[Intermediate],0),99999)</f>
        <v/>
      </c>
    </row>
    <row r="82">
      <c r="A82" t="inlineStr">
        <is>
          <t>TSP-403</t>
        </is>
      </c>
      <c r="B82" t="inlineStr">
        <is>
          <t>CHEM-1400</t>
        </is>
      </c>
      <c r="C82" t="n">
        <v>6.752</v>
      </c>
      <c r="D82">
        <f>IFERROR(MATCH($A82,PP_Grid[Intermediate],0),99999)</f>
        <v/>
      </c>
    </row>
    <row r="83">
      <c r="A83" t="inlineStr">
        <is>
          <t>TSP-403</t>
        </is>
      </c>
      <c r="B83" t="inlineStr">
        <is>
          <t>CHEM-1420</t>
        </is>
      </c>
      <c r="C83" t="n">
        <v>1.114</v>
      </c>
      <c r="D83">
        <f>IFERROR(MATCH($A83,PP_Grid[Intermediate],0),99999)</f>
        <v/>
      </c>
    </row>
    <row r="84">
      <c r="A84" t="inlineStr">
        <is>
          <t>TSP-403</t>
        </is>
      </c>
      <c r="B84" t="inlineStr">
        <is>
          <t>CHEM-1650</t>
        </is>
      </c>
      <c r="C84" t="n">
        <v>0.033</v>
      </c>
      <c r="D84">
        <f>IFERROR(MATCH($A84,PP_Grid[Intermediate],0),99999)</f>
        <v/>
      </c>
    </row>
    <row r="85">
      <c r="A85" t="inlineStr">
        <is>
          <t>TSP-404</t>
        </is>
      </c>
      <c r="B85" t="inlineStr">
        <is>
          <t>CHEM-1530</t>
        </is>
      </c>
      <c r="C85" t="n">
        <v>36.27</v>
      </c>
      <c r="D85">
        <f>IFERROR(MATCH($A85,PP_Grid[Intermediate],0),99999)</f>
        <v/>
      </c>
    </row>
    <row r="86">
      <c r="A86" t="inlineStr">
        <is>
          <t>TSP-404</t>
        </is>
      </c>
      <c r="B86" t="inlineStr">
        <is>
          <t>CHEM-1400</t>
        </is>
      </c>
      <c r="C86" t="n">
        <v>6.268</v>
      </c>
      <c r="D86">
        <f>IFERROR(MATCH($A86,PP_Grid[Intermediate],0),99999)</f>
        <v/>
      </c>
    </row>
    <row r="87">
      <c r="A87" t="inlineStr">
        <is>
          <t>TSP-404</t>
        </is>
      </c>
      <c r="B87" t="inlineStr">
        <is>
          <t>CHEM-1420</t>
        </is>
      </c>
      <c r="C87" t="n">
        <v>1.033</v>
      </c>
      <c r="D87">
        <f>IFERROR(MATCH($A87,PP_Grid[Intermediate],0),99999)</f>
        <v/>
      </c>
    </row>
    <row r="88">
      <c r="A88" t="inlineStr">
        <is>
          <t>TSP-404</t>
        </is>
      </c>
      <c r="B88" t="inlineStr">
        <is>
          <t>CHEM-1650</t>
        </is>
      </c>
      <c r="C88" t="n">
        <v>0.031</v>
      </c>
      <c r="D88">
        <f>IFERROR(MATCH($A88,PP_Grid[Intermediate],0),99999)</f>
        <v/>
      </c>
    </row>
    <row r="89">
      <c r="A89" t="inlineStr">
        <is>
          <t>TSP-405</t>
        </is>
      </c>
      <c r="B89" t="inlineStr">
        <is>
          <t>CHEM-1530</t>
        </is>
      </c>
      <c r="C89" t="n">
        <v>36.301</v>
      </c>
      <c r="D89">
        <f>IFERROR(MATCH($A89,PP_Grid[Intermediate],0),99999)</f>
        <v/>
      </c>
    </row>
    <row r="90">
      <c r="A90" t="inlineStr">
        <is>
          <t>TSP-405</t>
        </is>
      </c>
      <c r="B90" t="inlineStr">
        <is>
          <t>CHEM-1400</t>
        </is>
      </c>
      <c r="C90" t="n">
        <v>6.273</v>
      </c>
      <c r="D90">
        <f>IFERROR(MATCH($A90,PP_Grid[Intermediate],0),99999)</f>
        <v/>
      </c>
    </row>
    <row r="91">
      <c r="A91" t="inlineStr">
        <is>
          <t>TSP-405</t>
        </is>
      </c>
      <c r="B91" t="inlineStr">
        <is>
          <t>CHEM-1420</t>
        </is>
      </c>
      <c r="C91" t="n">
        <v>1.033</v>
      </c>
      <c r="D91">
        <f>IFERROR(MATCH($A91,PP_Grid[Intermediate],0),99999)</f>
        <v/>
      </c>
    </row>
    <row r="92">
      <c r="A92" t="inlineStr">
        <is>
          <t>TSP-405</t>
        </is>
      </c>
      <c r="B92" t="inlineStr">
        <is>
          <t>CHEM-1650</t>
        </is>
      </c>
      <c r="C92" t="n">
        <v>0.031</v>
      </c>
      <c r="D92">
        <f>IFERROR(MATCH($A92,PP_Grid[Intermediate],0),99999)</f>
        <v/>
      </c>
    </row>
    <row r="93">
      <c r="A93" t="inlineStr">
        <is>
          <t>TSP-544</t>
        </is>
      </c>
      <c r="B93" t="inlineStr">
        <is>
          <t>CHEM-1400</t>
        </is>
      </c>
      <c r="C93" t="n">
        <v>1.299</v>
      </c>
      <c r="D93">
        <f>IFERROR(MATCH($A93,PP_Grid[Intermediate],0),99999)</f>
        <v/>
      </c>
    </row>
    <row r="94">
      <c r="A94" t="inlineStr">
        <is>
          <t>TSP-544</t>
        </is>
      </c>
      <c r="B94" t="inlineStr">
        <is>
          <t>CHEM-1560</t>
        </is>
      </c>
      <c r="C94" t="n">
        <v>4.938</v>
      </c>
      <c r="D94">
        <f>IFERROR(MATCH($A94,PP_Grid[Intermediate],0),99999)</f>
        <v/>
      </c>
    </row>
    <row r="95">
      <c r="A95" t="inlineStr">
        <is>
          <t>TSP-544</t>
        </is>
      </c>
      <c r="B95" t="inlineStr">
        <is>
          <t>CHEM-1510</t>
        </is>
      </c>
      <c r="C95" t="n">
        <v>9.875819999999999</v>
      </c>
      <c r="D95">
        <f>IFERROR(MATCH($A95,PP_Grid[Intermediate],0),99999)</f>
        <v/>
      </c>
    </row>
    <row r="96">
      <c r="A96" t="inlineStr">
        <is>
          <t>TSP-544</t>
        </is>
      </c>
      <c r="B96" t="inlineStr">
        <is>
          <t>CHEM-1420</t>
        </is>
      </c>
      <c r="C96" t="n">
        <v>0.267</v>
      </c>
      <c r="D96">
        <f>IFERROR(MATCH($A96,PP_Grid[Intermediate],0),99999)</f>
        <v/>
      </c>
    </row>
    <row r="97">
      <c r="A97" t="inlineStr">
        <is>
          <t>TSP-544</t>
        </is>
      </c>
      <c r="B97" t="inlineStr">
        <is>
          <t>CHEM-1440</t>
        </is>
      </c>
      <c r="C97" t="n">
        <v>0.731</v>
      </c>
      <c r="D97">
        <f>IFERROR(MATCH($A97,PP_Grid[Intermediate],0),99999)</f>
        <v/>
      </c>
    </row>
    <row r="98">
      <c r="A98" t="inlineStr">
        <is>
          <t>TSP-558</t>
        </is>
      </c>
      <c r="B98" t="inlineStr">
        <is>
          <t>CHEM-1400</t>
        </is>
      </c>
      <c r="C98" t="n">
        <v>1.181</v>
      </c>
      <c r="D98">
        <f>IFERROR(MATCH($A98,PP_Grid[Intermediate],0),99999)</f>
        <v/>
      </c>
    </row>
    <row r="99">
      <c r="A99" t="inlineStr">
        <is>
          <t>TSP-558</t>
        </is>
      </c>
      <c r="B99" t="inlineStr">
        <is>
          <t>CHEM-1670</t>
        </is>
      </c>
      <c r="C99" t="n">
        <v>5.564</v>
      </c>
      <c r="D99">
        <f>IFERROR(MATCH($A99,PP_Grid[Intermediate],0),99999)</f>
        <v/>
      </c>
    </row>
    <row r="100">
      <c r="A100" t="inlineStr">
        <is>
          <t>TSP-558</t>
        </is>
      </c>
      <c r="B100" t="inlineStr">
        <is>
          <t>CHEM-1420</t>
        </is>
      </c>
      <c r="C100" t="n">
        <v>0.947</v>
      </c>
      <c r="D100">
        <f>IFERROR(MATCH($A100,PP_Grid[Intermediate],0),99999)</f>
        <v/>
      </c>
    </row>
    <row r="101">
      <c r="A101" t="inlineStr">
        <is>
          <t>TSP-618</t>
        </is>
      </c>
      <c r="B101" t="inlineStr">
        <is>
          <t>CHEM-1400</t>
        </is>
      </c>
      <c r="C101" t="n">
        <v>1.22</v>
      </c>
      <c r="D101">
        <f>IFERROR(MATCH($A101,PP_Grid[Intermediate],0),99999)</f>
        <v/>
      </c>
    </row>
    <row r="102">
      <c r="A102" t="inlineStr">
        <is>
          <t>TSP-618</t>
        </is>
      </c>
      <c r="B102" t="inlineStr">
        <is>
          <t>CHEM-1690</t>
        </is>
      </c>
      <c r="C102" t="n">
        <v>9.300000000000001</v>
      </c>
      <c r="D102">
        <f>IFERROR(MATCH($A102,PP_Grid[Intermediate],0),99999)</f>
        <v/>
      </c>
    </row>
    <row r="103">
      <c r="A103" t="inlineStr">
        <is>
          <t>TSP-618</t>
        </is>
      </c>
      <c r="B103" t="inlineStr">
        <is>
          <t>CHEM-1420</t>
        </is>
      </c>
      <c r="C103" t="n">
        <v>0.378</v>
      </c>
      <c r="D103">
        <f>IFERROR(MATCH($A103,PP_Grid[Intermediate],0),99999)</f>
        <v/>
      </c>
    </row>
    <row r="104">
      <c r="A104" t="inlineStr">
        <is>
          <t>TSP-618</t>
        </is>
      </c>
      <c r="B104" t="inlineStr">
        <is>
          <t>CHEM-1440</t>
        </is>
      </c>
      <c r="C104" t="n">
        <v>1.303</v>
      </c>
      <c r="D104">
        <f>IFERROR(MATCH($A104,PP_Grid[Intermediate],0),99999)</f>
        <v/>
      </c>
    </row>
    <row r="105">
      <c r="A105" t="inlineStr">
        <is>
          <t>TSP-620</t>
        </is>
      </c>
      <c r="B105" t="inlineStr">
        <is>
          <t>CHEM-1540</t>
        </is>
      </c>
      <c r="C105" t="n">
        <v>37.1545</v>
      </c>
      <c r="D105">
        <f>IFERROR(MATCH($A105,PP_Grid[Intermediate],0),99999)</f>
        <v/>
      </c>
    </row>
    <row r="106">
      <c r="A106" t="inlineStr">
        <is>
          <t>TSP-620</t>
        </is>
      </c>
      <c r="B106" t="inlineStr">
        <is>
          <t>CHEM-1400</t>
        </is>
      </c>
      <c r="C106" t="n">
        <v>1.06</v>
      </c>
      <c r="D106">
        <f>IFERROR(MATCH($A106,PP_Grid[Intermediate],0),99999)</f>
        <v/>
      </c>
    </row>
    <row r="107">
      <c r="A107" t="inlineStr">
        <is>
          <t>TSP-620</t>
        </is>
      </c>
      <c r="B107" t="inlineStr">
        <is>
          <t>CHEM-1420</t>
        </is>
      </c>
      <c r="C107" t="n">
        <v>0.759</v>
      </c>
      <c r="D107">
        <f>IFERROR(MATCH($A107,PP_Grid[Intermediate],0),99999)</f>
        <v/>
      </c>
    </row>
    <row r="108">
      <c r="A108" t="inlineStr">
        <is>
          <t>TSP-620</t>
        </is>
      </c>
      <c r="B108" t="inlineStr">
        <is>
          <t>CHEM-1440</t>
        </is>
      </c>
      <c r="C108" t="n">
        <v>0.534</v>
      </c>
      <c r="D108">
        <f>IFERROR(MATCH($A108,PP_Grid[Intermediate],0),99999)</f>
        <v/>
      </c>
    </row>
    <row r="109">
      <c r="A109" t="inlineStr">
        <is>
          <t>TSP-620</t>
        </is>
      </c>
      <c r="B109" t="inlineStr">
        <is>
          <t>CHEM-1650</t>
        </is>
      </c>
      <c r="C109" t="n">
        <v>0.055</v>
      </c>
      <c r="D109">
        <f>IFERROR(MATCH($A109,PP_Grid[Intermediate],0),99999)</f>
        <v/>
      </c>
    </row>
    <row r="110">
      <c r="A110" t="inlineStr">
        <is>
          <t>TSP-620</t>
        </is>
      </c>
      <c r="B110" t="inlineStr">
        <is>
          <t>CHEM-1700</t>
        </is>
      </c>
      <c r="C110" t="n">
        <v>0.856</v>
      </c>
      <c r="D110">
        <f>IFERROR(MATCH($A110,PP_Grid[Intermediate],0),99999)</f>
        <v/>
      </c>
    </row>
    <row r="111">
      <c r="A111" t="inlineStr">
        <is>
          <t>TSP-623</t>
        </is>
      </c>
      <c r="B111" t="inlineStr">
        <is>
          <t>CHEM-1540</t>
        </is>
      </c>
      <c r="C111" t="n">
        <v>36.855469056</v>
      </c>
      <c r="D111">
        <f>IFERROR(MATCH($A111,PP_Grid[Intermediate],0),99999)</f>
        <v/>
      </c>
    </row>
    <row r="112">
      <c r="A112" t="inlineStr">
        <is>
          <t>TSP-623</t>
        </is>
      </c>
      <c r="B112" t="inlineStr">
        <is>
          <t>CHEM-1400</t>
        </is>
      </c>
      <c r="C112" t="n">
        <v>1.062</v>
      </c>
      <c r="D112">
        <f>IFERROR(MATCH($A112,PP_Grid[Intermediate],0),99999)</f>
        <v/>
      </c>
    </row>
    <row r="113">
      <c r="A113" t="inlineStr">
        <is>
          <t>TSP-623</t>
        </is>
      </c>
      <c r="B113" t="inlineStr">
        <is>
          <t>CHEM-1420</t>
        </is>
      </c>
      <c r="C113" t="n">
        <v>0.759</v>
      </c>
      <c r="D113">
        <f>IFERROR(MATCH($A113,PP_Grid[Intermediate],0),99999)</f>
        <v/>
      </c>
    </row>
    <row r="114">
      <c r="A114" t="inlineStr">
        <is>
          <t>TSP-623</t>
        </is>
      </c>
      <c r="B114" t="inlineStr">
        <is>
          <t>CHEM-1440</t>
        </is>
      </c>
      <c r="C114" t="n">
        <v>0.534</v>
      </c>
      <c r="D114">
        <f>IFERROR(MATCH($A114,PP_Grid[Intermediate],0),99999)</f>
        <v/>
      </c>
    </row>
    <row r="115">
      <c r="A115" t="inlineStr">
        <is>
          <t>TSP-623</t>
        </is>
      </c>
      <c r="B115" t="inlineStr">
        <is>
          <t>CHEM-1650</t>
        </is>
      </c>
      <c r="C115" t="n">
        <v>0.055</v>
      </c>
      <c r="D115">
        <f>IFERROR(MATCH($A115,PP_Grid[Intermediate],0),99999)</f>
        <v/>
      </c>
    </row>
    <row r="116">
      <c r="A116" t="inlineStr">
        <is>
          <t>TSP-623</t>
        </is>
      </c>
      <c r="B116" t="inlineStr">
        <is>
          <t>CHEM-1700</t>
        </is>
      </c>
      <c r="C116" t="n">
        <v>0.857</v>
      </c>
      <c r="D116">
        <f>IFERROR(MATCH($A116,PP_Grid[Intermediate],0),99999)</f>
        <v/>
      </c>
    </row>
    <row r="117">
      <c r="A117" t="inlineStr">
        <is>
          <t>TSP-655</t>
        </is>
      </c>
      <c r="B117" t="inlineStr">
        <is>
          <t>CHEM-1530</t>
        </is>
      </c>
      <c r="C117" t="n">
        <v>55.046</v>
      </c>
      <c r="D117">
        <f>IFERROR(MATCH($A117,PP_Grid[Intermediate],0),99999)</f>
        <v/>
      </c>
    </row>
    <row r="118">
      <c r="A118" t="inlineStr">
        <is>
          <t>TSP-655</t>
        </is>
      </c>
      <c r="B118" t="inlineStr">
        <is>
          <t>CHEM-1400</t>
        </is>
      </c>
      <c r="C118" t="n">
        <v>3.136</v>
      </c>
      <c r="D118">
        <f>IFERROR(MATCH($A118,PP_Grid[Intermediate],0),99999)</f>
        <v/>
      </c>
    </row>
    <row r="119">
      <c r="A119" t="inlineStr">
        <is>
          <t>TSP-655</t>
        </is>
      </c>
      <c r="B119" t="inlineStr">
        <is>
          <t>CHEM-1420</t>
        </is>
      </c>
      <c r="C119" t="n">
        <v>0.894</v>
      </c>
      <c r="D119">
        <f>IFERROR(MATCH($A119,PP_Grid[Intermediate],0),99999)</f>
        <v/>
      </c>
    </row>
    <row r="120">
      <c r="A120" t="inlineStr">
        <is>
          <t>TSP-655</t>
        </is>
      </c>
      <c r="B120" t="inlineStr">
        <is>
          <t>CHEM-1650</t>
        </is>
      </c>
      <c r="C120" t="n">
        <v>0.031</v>
      </c>
      <c r="D120">
        <f>IFERROR(MATCH($A120,PP_Grid[Intermediate],0),99999)</f>
        <v/>
      </c>
    </row>
    <row r="121">
      <c r="A121" t="inlineStr">
        <is>
          <t>TSP-655</t>
        </is>
      </c>
      <c r="B121" t="inlineStr">
        <is>
          <t>CHEM-1660</t>
        </is>
      </c>
      <c r="C121" t="n">
        <v>7.746</v>
      </c>
      <c r="D121">
        <f>IFERROR(MATCH($A121,PP_Grid[Intermediate],0),99999)</f>
        <v/>
      </c>
    </row>
    <row r="122">
      <c r="A122" t="inlineStr">
        <is>
          <t>TSP-656</t>
        </is>
      </c>
      <c r="B122" t="inlineStr">
        <is>
          <t>CHEM-1400</t>
        </is>
      </c>
      <c r="C122" t="n">
        <v>2.813</v>
      </c>
      <c r="D122">
        <f>IFERROR(MATCH($A122,PP_Grid[Intermediate],0),99999)</f>
        <v/>
      </c>
    </row>
    <row r="123">
      <c r="A123" t="inlineStr">
        <is>
          <t>TSP-656</t>
        </is>
      </c>
      <c r="B123" t="inlineStr">
        <is>
          <t>CHEM-1250</t>
        </is>
      </c>
      <c r="C123" t="n">
        <v>5.783</v>
      </c>
      <c r="D123">
        <f>IFERROR(MATCH($A123,PP_Grid[Intermediate],0),99999)</f>
        <v/>
      </c>
    </row>
    <row r="124">
      <c r="A124" t="inlineStr">
        <is>
          <t>TSP-656</t>
        </is>
      </c>
      <c r="B124" t="inlineStr">
        <is>
          <t>CHEM-1420</t>
        </is>
      </c>
      <c r="C124" t="n">
        <v>0.991</v>
      </c>
      <c r="D124">
        <f>IFERROR(MATCH($A124,PP_Grid[Intermediate],0),99999)</f>
        <v/>
      </c>
    </row>
    <row r="125">
      <c r="A125" t="inlineStr">
        <is>
          <t>TSP-656</t>
        </is>
      </c>
      <c r="B125" t="inlineStr">
        <is>
          <t>CHEM-1660</t>
        </is>
      </c>
      <c r="C125" t="n">
        <v>6.557</v>
      </c>
      <c r="D125">
        <f>IFERROR(MATCH($A125,PP_Grid[Intermediate],0),99999)</f>
        <v/>
      </c>
    </row>
    <row r="126">
      <c r="A126" t="inlineStr">
        <is>
          <t>TSP-668</t>
        </is>
      </c>
      <c r="B126" t="inlineStr">
        <is>
          <t>CHEM-1250</t>
        </is>
      </c>
      <c r="C126" t="n">
        <v>19.289</v>
      </c>
      <c r="D126">
        <f>IFERROR(MATCH($A126,PP_Grid[Intermediate],0),99999)</f>
        <v/>
      </c>
    </row>
    <row r="127">
      <c r="A127" t="inlineStr">
        <is>
          <t>TSP-668</t>
        </is>
      </c>
      <c r="B127" t="inlineStr">
        <is>
          <t>CHEM-1240</t>
        </is>
      </c>
      <c r="C127" t="n">
        <v>24.62</v>
      </c>
      <c r="D127">
        <f>IFERROR(MATCH($A127,PP_Grid[Intermediate],0),99999)</f>
        <v/>
      </c>
    </row>
    <row r="128">
      <c r="A128" t="inlineStr">
        <is>
          <t>TSP-668</t>
        </is>
      </c>
      <c r="B128" t="inlineStr">
        <is>
          <t>CHEM-1420</t>
        </is>
      </c>
      <c r="C128" t="n">
        <v>1.115</v>
      </c>
      <c r="D128">
        <f>IFERROR(MATCH($A128,PP_Grid[Intermediate],0),99999)</f>
        <v/>
      </c>
    </row>
    <row r="129">
      <c r="A129" t="inlineStr">
        <is>
          <t>TSP-668</t>
        </is>
      </c>
      <c r="B129" t="inlineStr">
        <is>
          <t>CHEM-1440</t>
        </is>
      </c>
      <c r="C129" t="n">
        <v>1.901</v>
      </c>
      <c r="D129">
        <f>IFERROR(MATCH($A129,PP_Grid[Intermediate],0),99999)</f>
        <v/>
      </c>
    </row>
    <row r="130">
      <c r="A130" t="inlineStr">
        <is>
          <t>TSP-669</t>
        </is>
      </c>
      <c r="B130" t="inlineStr">
        <is>
          <t>CHEM-1250</t>
        </is>
      </c>
      <c r="C130" t="n">
        <v>17.92</v>
      </c>
      <c r="D130">
        <f>IFERROR(MATCH($A130,PP_Grid[Intermediate],0),99999)</f>
        <v/>
      </c>
    </row>
    <row r="131">
      <c r="A131" t="inlineStr">
        <is>
          <t>TSP-669</t>
        </is>
      </c>
      <c r="B131" t="inlineStr">
        <is>
          <t>CHEM-1240</t>
        </is>
      </c>
      <c r="C131" t="n">
        <v>22.87</v>
      </c>
      <c r="D131">
        <f>IFERROR(MATCH($A131,PP_Grid[Intermediate],0),99999)</f>
        <v/>
      </c>
    </row>
    <row r="132">
      <c r="A132" t="inlineStr">
        <is>
          <t>TSP-669</t>
        </is>
      </c>
      <c r="B132" t="inlineStr">
        <is>
          <t>CHEM-1420</t>
        </is>
      </c>
      <c r="C132" t="n">
        <v>1.154303001</v>
      </c>
      <c r="D132">
        <f>IFERROR(MATCH($A132,PP_Grid[Intermediate],0),99999)</f>
        <v/>
      </c>
    </row>
    <row r="133">
      <c r="A133" t="inlineStr">
        <is>
          <t>TSP-669</t>
        </is>
      </c>
      <c r="B133" t="inlineStr">
        <is>
          <t>CHEM-1440</t>
        </is>
      </c>
      <c r="C133" t="n">
        <v>1.412729046</v>
      </c>
      <c r="D133">
        <f>IFERROR(MATCH($A133,PP_Grid[Intermediate],0),99999)</f>
        <v/>
      </c>
    </row>
    <row r="134">
      <c r="A134" t="inlineStr">
        <is>
          <t>TSP-670</t>
        </is>
      </c>
      <c r="B134" t="inlineStr">
        <is>
          <t>CHEM-1250</t>
        </is>
      </c>
      <c r="C134" t="n">
        <v>18.297</v>
      </c>
      <c r="D134">
        <f>IFERROR(MATCH($A134,PP_Grid[Intermediate],0),99999)</f>
        <v/>
      </c>
    </row>
    <row r="135">
      <c r="A135" t="inlineStr">
        <is>
          <t>TSP-670</t>
        </is>
      </c>
      <c r="B135" t="inlineStr">
        <is>
          <t>CHEM-1240</t>
        </is>
      </c>
      <c r="C135" t="n">
        <v>23.354</v>
      </c>
      <c r="D135">
        <f>IFERROR(MATCH($A135,PP_Grid[Intermediate],0),99999)</f>
        <v/>
      </c>
    </row>
    <row r="136">
      <c r="A136" t="inlineStr">
        <is>
          <t>TSP-670</t>
        </is>
      </c>
      <c r="B136" t="inlineStr">
        <is>
          <t>CHEM-1420</t>
        </is>
      </c>
      <c r="C136" t="n">
        <v>1.286</v>
      </c>
      <c r="D136">
        <f>IFERROR(MATCH($A136,PP_Grid[Intermediate],0),99999)</f>
        <v/>
      </c>
    </row>
    <row r="137">
      <c r="A137" t="inlineStr">
        <is>
          <t>TSP-670</t>
        </is>
      </c>
      <c r="B137" t="inlineStr">
        <is>
          <t>CHEM-1440</t>
        </is>
      </c>
      <c r="C137" t="n">
        <v>1.407</v>
      </c>
      <c r="D137">
        <f>IFERROR(MATCH($A137,PP_Grid[Intermediate],0),99999)</f>
        <v/>
      </c>
    </row>
    <row r="138">
      <c r="A138" t="inlineStr">
        <is>
          <t>TSP-699</t>
        </is>
      </c>
      <c r="B138" t="inlineStr">
        <is>
          <t>CHEM-1250</t>
        </is>
      </c>
      <c r="C138" t="n">
        <v>17.918</v>
      </c>
      <c r="D138">
        <f>IFERROR(MATCH($A138,PP_Grid[Intermediate],0),99999)</f>
        <v/>
      </c>
    </row>
    <row r="139">
      <c r="A139" t="inlineStr">
        <is>
          <t>TSP-699</t>
        </is>
      </c>
      <c r="B139" t="inlineStr">
        <is>
          <t>CHEM-1240</t>
        </is>
      </c>
      <c r="C139" t="n">
        <v>22.871</v>
      </c>
      <c r="D139">
        <f>IFERROR(MATCH($A139,PP_Grid[Intermediate],0),99999)</f>
        <v/>
      </c>
    </row>
    <row r="140">
      <c r="A140" t="inlineStr">
        <is>
          <t>TSP-699</t>
        </is>
      </c>
      <c r="B140" t="inlineStr">
        <is>
          <t>CHEM-1420</t>
        </is>
      </c>
      <c r="C140" t="n">
        <v>1.154</v>
      </c>
      <c r="D140">
        <f>IFERROR(MATCH($A140,PP_Grid[Intermediate],0),99999)</f>
        <v/>
      </c>
    </row>
    <row r="141">
      <c r="A141" t="inlineStr">
        <is>
          <t>TSP-699</t>
        </is>
      </c>
      <c r="B141" t="inlineStr">
        <is>
          <t>CHEM-1440</t>
        </is>
      </c>
      <c r="C141" t="n">
        <v>1.413</v>
      </c>
      <c r="D141">
        <f>IFERROR(MATCH($A141,PP_Grid[Intermediate],0),99999)</f>
        <v/>
      </c>
    </row>
    <row r="142">
      <c r="A142" t="inlineStr">
        <is>
          <t>TSP-710</t>
        </is>
      </c>
      <c r="B142" t="inlineStr">
        <is>
          <t>CHEM-1400</t>
        </is>
      </c>
      <c r="C142" t="n">
        <v>3.564</v>
      </c>
      <c r="D142">
        <f>IFERROR(MATCH($A142,PP_Grid[Intermediate],0),99999)</f>
        <v/>
      </c>
    </row>
    <row r="143">
      <c r="A143" t="inlineStr">
        <is>
          <t>TSP-710</t>
        </is>
      </c>
      <c r="B143" t="inlineStr">
        <is>
          <t>CHEM-1560</t>
        </is>
      </c>
      <c r="C143" t="n">
        <v>4.514</v>
      </c>
      <c r="D143">
        <f>IFERROR(MATCH($A143,PP_Grid[Intermediate],0),99999)</f>
        <v/>
      </c>
    </row>
    <row r="144">
      <c r="A144" t="inlineStr">
        <is>
          <t>TSP-710</t>
        </is>
      </c>
      <c r="B144" t="inlineStr">
        <is>
          <t>CHEM-1510</t>
        </is>
      </c>
      <c r="C144" t="n">
        <v>4.334</v>
      </c>
      <c r="D144">
        <f>IFERROR(MATCH($A144,PP_Grid[Intermediate],0),99999)</f>
        <v/>
      </c>
    </row>
    <row r="145">
      <c r="A145" t="inlineStr">
        <is>
          <t>TSP-710</t>
        </is>
      </c>
      <c r="B145" t="inlineStr">
        <is>
          <t>CHEM-1420</t>
        </is>
      </c>
      <c r="C145" t="n">
        <v>0.502</v>
      </c>
      <c r="D145">
        <f>IFERROR(MATCH($A145,PP_Grid[Intermediate],0),99999)</f>
        <v/>
      </c>
    </row>
    <row r="146">
      <c r="A146" t="inlineStr">
        <is>
          <t>TSP-710</t>
        </is>
      </c>
      <c r="B146" t="inlineStr">
        <is>
          <t>CHEM-1440</t>
        </is>
      </c>
      <c r="C146" t="n">
        <v>0.359</v>
      </c>
      <c r="D146">
        <f>IFERROR(MATCH($A146,PP_Grid[Intermediate],0),99999)</f>
        <v/>
      </c>
    </row>
    <row r="147">
      <c r="A147" t="inlineStr">
        <is>
          <t>TSP-828</t>
        </is>
      </c>
      <c r="B147" t="inlineStr">
        <is>
          <t>CHEM-1400</t>
        </is>
      </c>
      <c r="C147" t="n">
        <v>3.103</v>
      </c>
      <c r="D147">
        <f>IFERROR(MATCH($A147,PP_Grid[Intermediate],0),99999)</f>
        <v/>
      </c>
    </row>
    <row r="148">
      <c r="A148" t="inlineStr">
        <is>
          <t>TSP-828</t>
        </is>
      </c>
      <c r="B148" t="inlineStr">
        <is>
          <t>CHEM-1600</t>
        </is>
      </c>
      <c r="C148" t="n">
        <v>3.607</v>
      </c>
      <c r="D148">
        <f>IFERROR(MATCH($A148,PP_Grid[Intermediate],0),99999)</f>
        <v/>
      </c>
    </row>
    <row r="149">
      <c r="A149" t="inlineStr">
        <is>
          <t>TSP-828</t>
        </is>
      </c>
      <c r="B149" t="inlineStr">
        <is>
          <t>CHEM-1420</t>
        </is>
      </c>
      <c r="C149" t="n">
        <v>0.837</v>
      </c>
      <c r="D149">
        <f>IFERROR(MATCH($A149,PP_Grid[Intermediate],0),99999)</f>
        <v/>
      </c>
    </row>
    <row r="150">
      <c r="A150" t="inlineStr">
        <is>
          <t>TSP-828</t>
        </is>
      </c>
      <c r="B150" t="inlineStr">
        <is>
          <t>CHEM-1440</t>
        </is>
      </c>
      <c r="C150" t="n">
        <v>0.707</v>
      </c>
      <c r="D150">
        <f>IFERROR(MATCH($A150,PP_Grid[Intermediate],0),99999)</f>
        <v/>
      </c>
    </row>
    <row r="151">
      <c r="A151" t="inlineStr">
        <is>
          <t>TSP-903</t>
        </is>
      </c>
      <c r="B151" t="inlineStr">
        <is>
          <t>CHEM-1530</t>
        </is>
      </c>
      <c r="C151" t="n">
        <v>13.09</v>
      </c>
      <c r="D151">
        <f>IFERROR(MATCH($A151,PP_Grid[Intermediate],0),99999)</f>
        <v/>
      </c>
    </row>
    <row r="152">
      <c r="A152" t="inlineStr">
        <is>
          <t>TSP-903</t>
        </is>
      </c>
      <c r="B152" t="inlineStr">
        <is>
          <t>CHEM-1400</t>
        </is>
      </c>
      <c r="C152" t="n">
        <v>3.444</v>
      </c>
      <c r="D152">
        <f>IFERROR(MATCH($A152,PP_Grid[Intermediate],0),99999)</f>
        <v/>
      </c>
    </row>
    <row r="153">
      <c r="A153" t="inlineStr">
        <is>
          <t>TSP-903</t>
        </is>
      </c>
      <c r="B153" t="inlineStr">
        <is>
          <t>CHEM-1690</t>
        </is>
      </c>
      <c r="C153" t="n">
        <v>8.734</v>
      </c>
      <c r="D153">
        <f>IFERROR(MATCH($A153,PP_Grid[Intermediate],0),99999)</f>
        <v/>
      </c>
    </row>
    <row r="154">
      <c r="A154" t="inlineStr">
        <is>
          <t>TSP-903</t>
        </is>
      </c>
      <c r="B154" t="inlineStr">
        <is>
          <t>CHEM-1670</t>
        </is>
      </c>
      <c r="C154" t="n">
        <v>3.002</v>
      </c>
      <c r="D154">
        <f>IFERROR(MATCH($A154,PP_Grid[Intermediate],0),99999)</f>
        <v/>
      </c>
    </row>
    <row r="155">
      <c r="A155" t="inlineStr">
        <is>
          <t>TSP-903</t>
        </is>
      </c>
      <c r="B155" t="inlineStr">
        <is>
          <t>CHEM-1420</t>
        </is>
      </c>
      <c r="C155" t="n">
        <v>0.179</v>
      </c>
      <c r="D155">
        <f>IFERROR(MATCH($A155,PP_Grid[Intermediate],0),99999)</f>
        <v/>
      </c>
    </row>
    <row r="156">
      <c r="A156" t="inlineStr">
        <is>
          <t>TSP-903</t>
        </is>
      </c>
      <c r="B156" t="inlineStr">
        <is>
          <t>CHEM-1440</t>
        </is>
      </c>
      <c r="C156" t="n">
        <v>0.524</v>
      </c>
      <c r="D156">
        <f>IFERROR(MATCH($A156,PP_Grid[Intermediate],0),99999)</f>
        <v/>
      </c>
    </row>
    <row r="157">
      <c r="A157" t="inlineStr">
        <is>
          <t>TSP-903</t>
        </is>
      </c>
      <c r="B157" t="inlineStr">
        <is>
          <t>CHEM-1650</t>
        </is>
      </c>
      <c r="C157" t="n">
        <v>0.036</v>
      </c>
      <c r="D157">
        <f>IFERROR(MATCH($A157,PP_Grid[Intermediate],0),99999)</f>
        <v/>
      </c>
    </row>
    <row r="158">
      <c r="A158" t="inlineStr">
        <is>
          <t>TSP-924</t>
        </is>
      </c>
      <c r="B158" t="inlineStr">
        <is>
          <t>CHEM-1420</t>
        </is>
      </c>
      <c r="C158" t="n">
        <v>0.86</v>
      </c>
      <c r="D158">
        <f>IFERROR(MATCH($A158,PP_Grid[Intermediate],0),99999)</f>
        <v/>
      </c>
    </row>
    <row r="159">
      <c r="A159" t="inlineStr">
        <is>
          <t>TSP-924</t>
        </is>
      </c>
      <c r="B159" t="inlineStr">
        <is>
          <t>CHEM-1440</t>
        </is>
      </c>
      <c r="C159" t="n">
        <v>1.812</v>
      </c>
      <c r="D159">
        <f>IFERROR(MATCH($A159,PP_Grid[Intermediate],0),99999)</f>
        <v/>
      </c>
    </row>
    <row r="160">
      <c r="A160" t="inlineStr">
        <is>
          <t>TSP-925</t>
        </is>
      </c>
      <c r="B160" t="inlineStr">
        <is>
          <t>CHEM-1420</t>
        </is>
      </c>
      <c r="C160" t="n">
        <v>0.867</v>
      </c>
      <c r="D160">
        <f>IFERROR(MATCH($A160,PP_Grid[Intermediate],0),99999)</f>
        <v/>
      </c>
    </row>
    <row r="161">
      <c r="A161" t="inlineStr">
        <is>
          <t>TSP-925</t>
        </is>
      </c>
      <c r="B161" t="inlineStr">
        <is>
          <t>CHEM-1440</t>
        </is>
      </c>
      <c r="C161" t="n">
        <v>1.825</v>
      </c>
      <c r="D161">
        <f>IFERROR(MATCH($A161,PP_Grid[Intermediate],0),99999)</f>
        <v/>
      </c>
    </row>
    <row r="162">
      <c r="A162" t="inlineStr">
        <is>
          <t>TSP-927</t>
        </is>
      </c>
      <c r="B162" t="inlineStr">
        <is>
          <t>CHEM-1540</t>
        </is>
      </c>
      <c r="C162" t="n">
        <v>63.66</v>
      </c>
      <c r="D162">
        <f>IFERROR(MATCH($A162,PP_Grid[Intermediate],0),99999)</f>
        <v/>
      </c>
    </row>
    <row r="163">
      <c r="A163" t="inlineStr">
        <is>
          <t>TSP-927</t>
        </is>
      </c>
      <c r="B163" t="inlineStr">
        <is>
          <t>CHEM-1720</t>
        </is>
      </c>
      <c r="C163" t="n">
        <v>6.79</v>
      </c>
      <c r="D163">
        <f>IFERROR(MATCH($A163,PP_Grid[Intermediate],0),99999)</f>
        <v/>
      </c>
    </row>
    <row r="164">
      <c r="A164" t="inlineStr">
        <is>
          <t>TSP-927</t>
        </is>
      </c>
      <c r="B164" t="inlineStr">
        <is>
          <t>CHEM-1420</t>
        </is>
      </c>
      <c r="C164" t="n">
        <v>0.382528</v>
      </c>
      <c r="D164">
        <f>IFERROR(MATCH($A164,PP_Grid[Intermediate],0),99999)</f>
        <v/>
      </c>
    </row>
    <row r="165">
      <c r="A165" t="inlineStr">
        <is>
          <t>TSP-927</t>
        </is>
      </c>
      <c r="B165" t="inlineStr">
        <is>
          <t>CHEM-1440</t>
        </is>
      </c>
      <c r="C165" t="n">
        <v>1.4434048232</v>
      </c>
      <c r="D165">
        <f>IFERROR(MATCH($A165,PP_Grid[Intermediate],0),99999)</f>
        <v/>
      </c>
    </row>
    <row r="166">
      <c r="A166" t="inlineStr">
        <is>
          <t>TSP-928</t>
        </is>
      </c>
      <c r="B166" t="inlineStr">
        <is>
          <t>CHEM-1540</t>
        </is>
      </c>
      <c r="C166" t="n">
        <v>64.483</v>
      </c>
      <c r="D166">
        <f>IFERROR(MATCH($A166,PP_Grid[Intermediate],0),99999)</f>
        <v/>
      </c>
    </row>
    <row r="167">
      <c r="A167" t="inlineStr">
        <is>
          <t>TSP-928</t>
        </is>
      </c>
      <c r="B167" t="inlineStr">
        <is>
          <t>CHEM-1720</t>
        </is>
      </c>
      <c r="C167" t="n">
        <v>6.719</v>
      </c>
      <c r="D167">
        <f>IFERROR(MATCH($A167,PP_Grid[Intermediate],0),99999)</f>
        <v/>
      </c>
    </row>
    <row r="168">
      <c r="A168" t="inlineStr">
        <is>
          <t>TSP-928</t>
        </is>
      </c>
      <c r="B168" t="inlineStr">
        <is>
          <t>CHEM-1420</t>
        </is>
      </c>
      <c r="C168" t="n">
        <v>0.377</v>
      </c>
      <c r="D168">
        <f>IFERROR(MATCH($A168,PP_Grid[Intermediate],0),99999)</f>
        <v/>
      </c>
    </row>
    <row r="169">
      <c r="A169" t="inlineStr">
        <is>
          <t>TSP-928</t>
        </is>
      </c>
      <c r="B169" t="inlineStr">
        <is>
          <t>CHEM-1440</t>
        </is>
      </c>
      <c r="C169" t="n">
        <v>1.258</v>
      </c>
      <c r="D169">
        <f>IFERROR(MATCH($A169,PP_Grid[Intermediate],0),99999)</f>
        <v/>
      </c>
    </row>
    <row r="170">
      <c r="A170" t="inlineStr">
        <is>
          <t>TSP-929</t>
        </is>
      </c>
      <c r="B170" t="inlineStr">
        <is>
          <t>CHEM-1540</t>
        </is>
      </c>
      <c r="C170" t="n">
        <v>64.509</v>
      </c>
      <c r="D170">
        <f>IFERROR(MATCH($A170,PP_Grid[Intermediate],0),99999)</f>
        <v/>
      </c>
    </row>
    <row r="171">
      <c r="A171" t="inlineStr">
        <is>
          <t>TSP-929</t>
        </is>
      </c>
      <c r="B171" t="inlineStr">
        <is>
          <t>CHEM-1720</t>
        </is>
      </c>
      <c r="C171" t="n">
        <v>6.722</v>
      </c>
      <c r="D171">
        <f>IFERROR(MATCH($A171,PP_Grid[Intermediate],0),99999)</f>
        <v/>
      </c>
    </row>
    <row r="172">
      <c r="A172" t="inlineStr">
        <is>
          <t>TSP-929</t>
        </is>
      </c>
      <c r="B172" t="inlineStr">
        <is>
          <t>CHEM-1420</t>
        </is>
      </c>
      <c r="C172" t="n">
        <v>0.377</v>
      </c>
      <c r="D172">
        <f>IFERROR(MATCH($A172,PP_Grid[Intermediate],0),99999)</f>
        <v/>
      </c>
    </row>
    <row r="173">
      <c r="A173" t="inlineStr">
        <is>
          <t>TSP-929</t>
        </is>
      </c>
      <c r="B173" t="inlineStr">
        <is>
          <t>CHEM-1440</t>
        </is>
      </c>
      <c r="C173" t="n">
        <v>1.259</v>
      </c>
      <c r="D173">
        <f>IFERROR(MATCH($A173,PP_Grid[Intermediate],0),99999)</f>
        <v/>
      </c>
    </row>
    <row r="174">
      <c r="A174" t="inlineStr">
        <is>
          <t>TSP-930</t>
        </is>
      </c>
      <c r="B174" t="inlineStr">
        <is>
          <t>CHEM-1540</t>
        </is>
      </c>
      <c r="C174" t="n">
        <v>65.589</v>
      </c>
      <c r="D174">
        <f>IFERROR(MATCH($A174,PP_Grid[Intermediate],0),99999)</f>
        <v/>
      </c>
    </row>
    <row r="175">
      <c r="A175" t="inlineStr">
        <is>
          <t>TSP-930</t>
        </is>
      </c>
      <c r="B175" t="inlineStr">
        <is>
          <t>CHEM-1720</t>
        </is>
      </c>
      <c r="C175" t="n">
        <v>6.884</v>
      </c>
      <c r="D175">
        <f>IFERROR(MATCH($A175,PP_Grid[Intermediate],0),99999)</f>
        <v/>
      </c>
    </row>
    <row r="176">
      <c r="A176" t="inlineStr">
        <is>
          <t>TSP-930</t>
        </is>
      </c>
      <c r="B176" t="inlineStr">
        <is>
          <t>CHEM-1420</t>
        </is>
      </c>
      <c r="C176" t="n">
        <v>0.386</v>
      </c>
      <c r="D176">
        <f>IFERROR(MATCH($A176,PP_Grid[Intermediate],0),99999)</f>
        <v/>
      </c>
    </row>
    <row r="177">
      <c r="A177" t="inlineStr">
        <is>
          <t>TSP-930</t>
        </is>
      </c>
      <c r="B177" t="inlineStr">
        <is>
          <t>CHEM-1440</t>
        </is>
      </c>
      <c r="C177" t="n">
        <v>1.461</v>
      </c>
      <c r="D177">
        <f>IFERROR(MATCH($A177,PP_Grid[Intermediate],0),99999)</f>
        <v/>
      </c>
    </row>
    <row r="178">
      <c r="A178" t="inlineStr">
        <is>
          <t>TSP-934</t>
        </is>
      </c>
      <c r="B178" t="inlineStr">
        <is>
          <t>CHEM-1540</t>
        </is>
      </c>
      <c r="C178" t="n">
        <v>39.967</v>
      </c>
      <c r="D178">
        <f>IFERROR(MATCH($A178,PP_Grid[Intermediate],0),99999)</f>
        <v/>
      </c>
    </row>
    <row r="179">
      <c r="A179" t="inlineStr">
        <is>
          <t>TSP-934</t>
        </is>
      </c>
      <c r="B179" t="inlineStr">
        <is>
          <t>CHEM-1720</t>
        </is>
      </c>
      <c r="C179" t="n">
        <v>6.273</v>
      </c>
      <c r="D179">
        <f>IFERROR(MATCH($A179,PP_Grid[Intermediate],0),99999)</f>
        <v/>
      </c>
    </row>
    <row r="180">
      <c r="A180" t="inlineStr">
        <is>
          <t>TSP-934</t>
        </is>
      </c>
      <c r="B180" t="inlineStr">
        <is>
          <t>CHEM-1420</t>
        </is>
      </c>
      <c r="C180" t="n">
        <v>0.806</v>
      </c>
      <c r="D180">
        <f>IFERROR(MATCH($A180,PP_Grid[Intermediate],0),99999)</f>
        <v/>
      </c>
    </row>
    <row r="181">
      <c r="A181" t="inlineStr">
        <is>
          <t>TSP-934</t>
        </is>
      </c>
      <c r="B181" t="inlineStr">
        <is>
          <t>CHEM-1440</t>
        </is>
      </c>
      <c r="C181" t="n">
        <v>1.621</v>
      </c>
      <c r="D181">
        <f>IFERROR(MATCH($A181,PP_Grid[Intermediate],0),99999)</f>
        <v/>
      </c>
    </row>
    <row r="182">
      <c r="A182" t="inlineStr">
        <is>
          <t>TSP-934</t>
        </is>
      </c>
      <c r="B182" t="inlineStr">
        <is>
          <t>CHEM-1650</t>
        </is>
      </c>
      <c r="C182" t="n">
        <v>0.32</v>
      </c>
      <c r="D182">
        <f>IFERROR(MATCH($A182,PP_Grid[Intermediate],0),99999)</f>
        <v/>
      </c>
    </row>
    <row r="183">
      <c r="A183" t="inlineStr">
        <is>
          <t>TSP-934</t>
        </is>
      </c>
      <c r="B183" t="inlineStr">
        <is>
          <t>CHEM-1700</t>
        </is>
      </c>
      <c r="C183" t="n">
        <v>1.728</v>
      </c>
      <c r="D183">
        <f>IFERROR(MATCH($A183,PP_Grid[Intermediate],0),99999)</f>
        <v/>
      </c>
    </row>
    <row r="184">
      <c r="A184" t="inlineStr">
        <is>
          <t>TSP-935</t>
        </is>
      </c>
      <c r="B184" t="inlineStr">
        <is>
          <t>CHEM-1540</t>
        </is>
      </c>
      <c r="C184" t="n">
        <v>41.637</v>
      </c>
      <c r="D184">
        <f>IFERROR(MATCH($A184,PP_Grid[Intermediate],0),99999)</f>
        <v/>
      </c>
    </row>
    <row r="185">
      <c r="A185" t="inlineStr">
        <is>
          <t>TSP-935</t>
        </is>
      </c>
      <c r="B185" t="inlineStr">
        <is>
          <t>CHEM-1720</t>
        </is>
      </c>
      <c r="C185" t="n">
        <v>6.508</v>
      </c>
      <c r="D185">
        <f>IFERROR(MATCH($A185,PP_Grid[Intermediate],0),99999)</f>
        <v/>
      </c>
    </row>
    <row r="186">
      <c r="A186" t="inlineStr">
        <is>
          <t>TSP-935</t>
        </is>
      </c>
      <c r="B186" t="inlineStr">
        <is>
          <t>CHEM-1420</t>
        </is>
      </c>
      <c r="C186" t="n">
        <v>0.837</v>
      </c>
      <c r="D186">
        <f>IFERROR(MATCH($A186,PP_Grid[Intermediate],0),99999)</f>
        <v/>
      </c>
    </row>
    <row r="187">
      <c r="A187" t="inlineStr">
        <is>
          <t>TSP-935</t>
        </is>
      </c>
      <c r="B187" t="inlineStr">
        <is>
          <t>CHEM-1440</t>
        </is>
      </c>
      <c r="C187" t="n">
        <v>1.682</v>
      </c>
      <c r="D187">
        <f>IFERROR(MATCH($A187,PP_Grid[Intermediate],0),99999)</f>
        <v/>
      </c>
    </row>
    <row r="188">
      <c r="A188" t="inlineStr">
        <is>
          <t>TSP-935</t>
        </is>
      </c>
      <c r="B188" t="inlineStr">
        <is>
          <t>CHEM-1650</t>
        </is>
      </c>
      <c r="C188" t="n">
        <v>0.033</v>
      </c>
      <c r="D188">
        <f>IFERROR(MATCH($A188,PP_Grid[Intermediate],0),99999)</f>
        <v/>
      </c>
    </row>
    <row r="189">
      <c r="A189" t="inlineStr">
        <is>
          <t>TSP-935</t>
        </is>
      </c>
      <c r="B189" t="inlineStr">
        <is>
          <t>CHEM-1700</t>
        </is>
      </c>
      <c r="C189" t="n">
        <v>1.788</v>
      </c>
      <c r="D189">
        <f>IFERROR(MATCH($A189,PP_Grid[Intermediate],0),99999)</f>
        <v/>
      </c>
    </row>
    <row r="190">
      <c r="A190" t="inlineStr">
        <is>
          <t>TSP-936</t>
        </is>
      </c>
      <c r="B190" t="inlineStr">
        <is>
          <t>CHEM-1540</t>
        </is>
      </c>
      <c r="C190" t="n">
        <v>41.439</v>
      </c>
      <c r="D190">
        <f>IFERROR(MATCH($A190,PP_Grid[Intermediate],0),99999)</f>
        <v/>
      </c>
    </row>
    <row r="191">
      <c r="A191" t="inlineStr">
        <is>
          <t>TSP-936</t>
        </is>
      </c>
      <c r="B191" t="inlineStr">
        <is>
          <t>CHEM-1720</t>
        </is>
      </c>
      <c r="C191" t="n">
        <v>6.524</v>
      </c>
      <c r="D191">
        <f>IFERROR(MATCH($A191,PP_Grid[Intermediate],0),99999)</f>
        <v/>
      </c>
    </row>
    <row r="192">
      <c r="A192" t="inlineStr">
        <is>
          <t>TSP-936</t>
        </is>
      </c>
      <c r="B192" t="inlineStr">
        <is>
          <t>CHEM-1420</t>
        </is>
      </c>
      <c r="C192" t="n">
        <v>1.01</v>
      </c>
      <c r="D192">
        <f>IFERROR(MATCH($A192,PP_Grid[Intermediate],0),99999)</f>
        <v/>
      </c>
    </row>
    <row r="193">
      <c r="A193" t="inlineStr">
        <is>
          <t>TSP-936</t>
        </is>
      </c>
      <c r="B193" t="inlineStr">
        <is>
          <t>CHEM-1440</t>
        </is>
      </c>
      <c r="C193" t="n">
        <v>1.686</v>
      </c>
      <c r="D193">
        <f>IFERROR(MATCH($A193,PP_Grid[Intermediate],0),99999)</f>
        <v/>
      </c>
    </row>
    <row r="194">
      <c r="A194" t="inlineStr">
        <is>
          <t>TSP-936</t>
        </is>
      </c>
      <c r="B194" t="inlineStr">
        <is>
          <t>CHEM-1650</t>
        </is>
      </c>
      <c r="C194" t="n">
        <v>0.033</v>
      </c>
      <c r="D194">
        <f>IFERROR(MATCH($A194,PP_Grid[Intermediate],0),99999)</f>
        <v/>
      </c>
    </row>
    <row r="195">
      <c r="A195" t="inlineStr">
        <is>
          <t>TSP-936</t>
        </is>
      </c>
      <c r="B195" t="inlineStr">
        <is>
          <t>CHEM-1700</t>
        </is>
      </c>
      <c r="C195" t="n">
        <v>1.792</v>
      </c>
      <c r="D195">
        <f>IFERROR(MATCH($A195,PP_Grid[Intermediate],0),99999)</f>
        <v/>
      </c>
    </row>
    <row r="196">
      <c r="A196" t="inlineStr">
        <is>
          <t>TSP-937</t>
        </is>
      </c>
      <c r="B196" t="inlineStr">
        <is>
          <t>CHEM-1540</t>
        </is>
      </c>
      <c r="C196" t="n">
        <v>40.638</v>
      </c>
      <c r="D196">
        <f>IFERROR(MATCH($A196,PP_Grid[Intermediate],0),99999)</f>
        <v/>
      </c>
    </row>
    <row r="197">
      <c r="A197" t="inlineStr">
        <is>
          <t>TSP-937</t>
        </is>
      </c>
      <c r="B197" t="inlineStr">
        <is>
          <t>CHEM-1720</t>
        </is>
      </c>
      <c r="C197" t="n">
        <v>6.398</v>
      </c>
      <c r="D197">
        <f>IFERROR(MATCH($A197,PP_Grid[Intermediate],0),99999)</f>
        <v/>
      </c>
    </row>
    <row r="198">
      <c r="A198" t="inlineStr">
        <is>
          <t>TSP-937</t>
        </is>
      </c>
      <c r="B198" t="inlineStr">
        <is>
          <t>CHEM-1420</t>
        </is>
      </c>
      <c r="C198" t="n">
        <v>0.99</v>
      </c>
      <c r="D198">
        <f>IFERROR(MATCH($A198,PP_Grid[Intermediate],0),99999)</f>
        <v/>
      </c>
    </row>
    <row r="199">
      <c r="A199" t="inlineStr">
        <is>
          <t>TSP-937</t>
        </is>
      </c>
      <c r="B199" t="inlineStr">
        <is>
          <t>CHEM-1440</t>
        </is>
      </c>
      <c r="C199" t="n">
        <v>1.653</v>
      </c>
      <c r="D199">
        <f>IFERROR(MATCH($A199,PP_Grid[Intermediate],0),99999)</f>
        <v/>
      </c>
    </row>
    <row r="200">
      <c r="A200" t="inlineStr">
        <is>
          <t>TSP-937</t>
        </is>
      </c>
      <c r="B200" t="inlineStr">
        <is>
          <t>CHEM-1650</t>
        </is>
      </c>
      <c r="C200" t="n">
        <v>0.032</v>
      </c>
      <c r="D200">
        <f>IFERROR(MATCH($A200,PP_Grid[Intermediate],0),99999)</f>
        <v/>
      </c>
    </row>
    <row r="201">
      <c r="A201" t="inlineStr">
        <is>
          <t>TSP-937</t>
        </is>
      </c>
      <c r="B201" t="inlineStr">
        <is>
          <t>CHEM-1700</t>
        </is>
      </c>
      <c r="C201" t="n">
        <v>1.756</v>
      </c>
      <c r="D201">
        <f>IFERROR(MATCH($A201,PP_Grid[Intermediate],0),99999)</f>
        <v/>
      </c>
    </row>
    <row r="202">
      <c r="A202" t="inlineStr">
        <is>
          <t>TSP-959</t>
        </is>
      </c>
      <c r="B202" t="inlineStr">
        <is>
          <t>CHEM-1530</t>
        </is>
      </c>
      <c r="C202" t="n">
        <v>57.3098</v>
      </c>
      <c r="D202">
        <f>IFERROR(MATCH($A202,PP_Grid[Intermediate],0),99999)</f>
        <v/>
      </c>
    </row>
    <row r="203">
      <c r="A203" t="inlineStr">
        <is>
          <t>TSP-959</t>
        </is>
      </c>
      <c r="B203" t="inlineStr">
        <is>
          <t>CHEM-1400</t>
        </is>
      </c>
      <c r="C203" t="n">
        <v>3.161</v>
      </c>
      <c r="D203">
        <f>IFERROR(MATCH($A203,PP_Grid[Intermediate],0),99999)</f>
        <v/>
      </c>
    </row>
    <row r="204">
      <c r="A204" t="inlineStr">
        <is>
          <t>TSP-959</t>
        </is>
      </c>
      <c r="B204" t="inlineStr">
        <is>
          <t>CHEM-1420</t>
        </is>
      </c>
      <c r="C204" t="n">
        <v>0.465</v>
      </c>
      <c r="D204">
        <f>IFERROR(MATCH($A204,PP_Grid[Intermediate],0),99999)</f>
        <v/>
      </c>
    </row>
    <row r="205">
      <c r="A205" t="inlineStr">
        <is>
          <t>TSP-959</t>
        </is>
      </c>
      <c r="B205" t="inlineStr">
        <is>
          <t>CHEM-1650</t>
        </is>
      </c>
      <c r="C205" t="n">
        <v>0.032</v>
      </c>
      <c r="D205">
        <f>IFERROR(MATCH($A205,PP_Grid[Intermediate],0),99999)</f>
        <v/>
      </c>
    </row>
    <row r="206">
      <c r="A206" t="inlineStr">
        <is>
          <t>TSP-966</t>
        </is>
      </c>
      <c r="B206" t="inlineStr">
        <is>
          <t>CHEM-1400</t>
        </is>
      </c>
      <c r="C206" t="n">
        <v>1.838</v>
      </c>
      <c r="D206">
        <f>IFERROR(MATCH($A206,PP_Grid[Intermediate],0),99999)</f>
        <v/>
      </c>
    </row>
    <row r="207">
      <c r="A207" t="inlineStr">
        <is>
          <t>TSP-966</t>
        </is>
      </c>
      <c r="B207" t="inlineStr">
        <is>
          <t>CHEM-1250</t>
        </is>
      </c>
      <c r="C207" t="n">
        <v>3.542</v>
      </c>
      <c r="D207">
        <f>IFERROR(MATCH($A207,PP_Grid[Intermediate],0),99999)</f>
        <v/>
      </c>
    </row>
    <row r="208">
      <c r="A208" t="inlineStr">
        <is>
          <t>TSP-966</t>
        </is>
      </c>
      <c r="B208" t="inlineStr">
        <is>
          <t>CHEM-1690</t>
        </is>
      </c>
      <c r="C208" t="n">
        <v>4.89</v>
      </c>
      <c r="D208">
        <f>IFERROR(MATCH($A208,PP_Grid[Intermediate],0),99999)</f>
        <v/>
      </c>
    </row>
    <row r="209">
      <c r="A209" t="inlineStr">
        <is>
          <t>TSP-966</t>
        </is>
      </c>
      <c r="B209" t="inlineStr">
        <is>
          <t>CHEM-1420</t>
        </is>
      </c>
      <c r="C209" t="n">
        <v>0.546</v>
      </c>
      <c r="D209">
        <f>IFERROR(MATCH($A209,PP_Grid[Intermediate],0),99999)</f>
        <v/>
      </c>
    </row>
    <row r="210">
      <c r="A210" t="inlineStr">
        <is>
          <t>TSZ-616</t>
        </is>
      </c>
      <c r="B210" t="inlineStr">
        <is>
          <t>CHEM-1600</t>
        </is>
      </c>
      <c r="C210" t="n">
        <v>40.8163</v>
      </c>
      <c r="D210">
        <f>IFERROR(MATCH($A210,PP_Grid[Intermediate],0),99999)</f>
        <v/>
      </c>
    </row>
    <row r="211">
      <c r="A211" t="inlineStr">
        <is>
          <t>TSZ-616</t>
        </is>
      </c>
      <c r="B211" t="inlineStr">
        <is>
          <t>CHEM-1510</t>
        </is>
      </c>
      <c r="C211" t="n">
        <v>1.2</v>
      </c>
      <c r="D211">
        <f>IFERROR(MATCH($A211,PP_Grid[Intermediate],0),99999)</f>
        <v/>
      </c>
    </row>
    <row r="212">
      <c r="A212" t="inlineStr">
        <is>
          <t>TVS-833</t>
        </is>
      </c>
      <c r="B212" t="inlineStr">
        <is>
          <t>0JN</t>
        </is>
      </c>
      <c r="C212" t="n">
        <v>1.0253</v>
      </c>
      <c r="D212">
        <f>IFERROR(MATCH($A212,PP_Grid[Intermediate],0),99999)</f>
        <v/>
      </c>
    </row>
    <row r="213">
      <c r="A213" t="inlineStr">
        <is>
          <t>TVS-833</t>
        </is>
      </c>
      <c r="B213" t="inlineStr">
        <is>
          <t>CHEM-1420</t>
        </is>
      </c>
      <c r="C213" t="n">
        <v>2.74785</v>
      </c>
      <c r="D213">
        <f>IFERROR(MATCH($A213,PP_Grid[Intermediate],0),99999)</f>
        <v/>
      </c>
    </row>
    <row r="214">
      <c r="A214" t="inlineStr">
        <is>
          <t>TVS-833</t>
        </is>
      </c>
      <c r="B214" t="inlineStr">
        <is>
          <t>CHEM-1760</t>
        </is>
      </c>
      <c r="C214" t="n">
        <v>0.17607</v>
      </c>
      <c r="D214">
        <f>IFERROR(MATCH($A214,PP_Grid[Intermediate],0),99999)</f>
        <v/>
      </c>
    </row>
    <row r="215">
      <c r="A215" t="inlineStr">
        <is>
          <t>TSP-1388</t>
        </is>
      </c>
      <c r="B215" t="inlineStr">
        <is>
          <t>CHEM-1420</t>
        </is>
      </c>
      <c r="C215" t="n">
        <v>0.349</v>
      </c>
      <c r="D215">
        <f>IFERROR(MATCH($A215,PP_Grid[Intermediate],0),99999)</f>
        <v/>
      </c>
    </row>
    <row r="216">
      <c r="A216" t="inlineStr">
        <is>
          <t>TSP-1388</t>
        </is>
      </c>
      <c r="B216" t="inlineStr">
        <is>
          <t>CHEM-1440</t>
        </is>
      </c>
      <c r="C216" t="n">
        <v>0.805</v>
      </c>
      <c r="D216">
        <f>IFERROR(MATCH($A216,PP_Grid[Intermediate],0),99999)</f>
        <v/>
      </c>
    </row>
    <row r="217">
      <c r="A217" t="inlineStr">
        <is>
          <t>TSP-1388</t>
        </is>
      </c>
      <c r="B217" t="inlineStr">
        <is>
          <t>CHEM-1650</t>
        </is>
      </c>
      <c r="C217" t="n">
        <v>0.1</v>
      </c>
      <c r="D217">
        <f>IFERROR(MATCH($A217,PP_Grid[Intermediate],0),99999)</f>
        <v/>
      </c>
    </row>
    <row r="218">
      <c r="A218" t="inlineStr">
        <is>
          <t>TSP-1388</t>
        </is>
      </c>
      <c r="B218" t="inlineStr">
        <is>
          <t>CHEM-1700</t>
        </is>
      </c>
      <c r="C218" t="n">
        <v>1.732</v>
      </c>
      <c r="D218">
        <f>IFERROR(MATCH($A218,PP_Grid[Intermediate],0),99999)</f>
        <v/>
      </c>
    </row>
    <row r="219">
      <c r="A219" t="inlineStr">
        <is>
          <t>TSP-1444</t>
        </is>
      </c>
      <c r="B219" t="inlineStr">
        <is>
          <t>CHEM-1540</t>
        </is>
      </c>
      <c r="C219" t="n">
        <v>51.818</v>
      </c>
      <c r="D219">
        <f>IFERROR(MATCH($A219,PP_Grid[Intermediate],0),99999)</f>
        <v/>
      </c>
    </row>
    <row r="220">
      <c r="A220" t="inlineStr">
        <is>
          <t>TSP-1444</t>
        </is>
      </c>
      <c r="B220" t="inlineStr">
        <is>
          <t>CHEM-1720</t>
        </is>
      </c>
      <c r="C220" t="n">
        <v>19.828</v>
      </c>
      <c r="D220">
        <f>IFERROR(MATCH($A220,PP_Grid[Intermediate],0),99999)</f>
        <v/>
      </c>
    </row>
    <row r="221">
      <c r="A221" t="inlineStr">
        <is>
          <t>TSP-1444</t>
        </is>
      </c>
      <c r="B221" t="inlineStr">
        <is>
          <t>CHEM-1670</t>
        </is>
      </c>
      <c r="C221" t="n">
        <v>5.164</v>
      </c>
      <c r="D221">
        <f>IFERROR(MATCH($A221,PP_Grid[Intermediate],0),99999)</f>
        <v/>
      </c>
    </row>
    <row r="222">
      <c r="A222" t="inlineStr">
        <is>
          <t>TSP-1444</t>
        </is>
      </c>
      <c r="B222" t="inlineStr">
        <is>
          <t>CHEM-1420</t>
        </is>
      </c>
      <c r="C222" t="n">
        <v>0.389</v>
      </c>
      <c r="D222">
        <f>IFERROR(MATCH($A222,PP_Grid[Intermediate],0),99999)</f>
        <v/>
      </c>
    </row>
    <row r="223">
      <c r="A223" t="inlineStr">
        <is>
          <t>TSP-1444</t>
        </is>
      </c>
      <c r="B223" t="inlineStr">
        <is>
          <t>CHEM-1440</t>
        </is>
      </c>
      <c r="C223" t="n">
        <v>2.065</v>
      </c>
      <c r="D223">
        <f>IFERROR(MATCH($A223,PP_Grid[Intermediate],0),99999)</f>
        <v/>
      </c>
    </row>
    <row r="224">
      <c r="A224" t="inlineStr">
        <is>
          <t>TSP-1448</t>
        </is>
      </c>
      <c r="B224" t="inlineStr">
        <is>
          <t>CHEM-1540</t>
        </is>
      </c>
      <c r="C224" t="n">
        <v>14.5392</v>
      </c>
      <c r="D224">
        <f>IFERROR(MATCH($A224,PP_Grid[Intermediate],0),99999)</f>
        <v/>
      </c>
    </row>
    <row r="225">
      <c r="A225" t="inlineStr">
        <is>
          <t>TSP-1448</t>
        </is>
      </c>
      <c r="B225" t="inlineStr">
        <is>
          <t>CHEM-1720</t>
        </is>
      </c>
      <c r="C225" t="n">
        <v>8.583</v>
      </c>
      <c r="D225">
        <f>IFERROR(MATCH($A225,PP_Grid[Intermediate],0),99999)</f>
        <v/>
      </c>
    </row>
    <row r="226">
      <c r="A226" t="inlineStr">
        <is>
          <t>TSP-1448</t>
        </is>
      </c>
      <c r="B226" t="inlineStr">
        <is>
          <t>CHEM-1240</t>
        </is>
      </c>
      <c r="C226" t="n">
        <v>18.682</v>
      </c>
      <c r="D226">
        <f>IFERROR(MATCH($A226,PP_Grid[Intermediate],0),99999)</f>
        <v/>
      </c>
    </row>
    <row r="227">
      <c r="A227" t="inlineStr">
        <is>
          <t>TSP-1448</t>
        </is>
      </c>
      <c r="B227" t="inlineStr">
        <is>
          <t>CHEM-1420</t>
        </is>
      </c>
      <c r="C227" t="n">
        <v>1.134</v>
      </c>
      <c r="D227">
        <f>IFERROR(MATCH($A227,PP_Grid[Intermediate],0),99999)</f>
        <v/>
      </c>
    </row>
    <row r="228">
      <c r="A228" t="inlineStr">
        <is>
          <t>TSP-1448</t>
        </is>
      </c>
      <c r="B228" t="inlineStr">
        <is>
          <t>CHEM-1440</t>
        </is>
      </c>
      <c r="C228" t="n">
        <v>1.638</v>
      </c>
      <c r="D228">
        <f>IFERROR(MATCH($A228,PP_Grid[Intermediate],0),99999)</f>
        <v/>
      </c>
    </row>
    <row r="229">
      <c r="A229" t="inlineStr">
        <is>
          <t>TSP-1448</t>
        </is>
      </c>
      <c r="B229" t="inlineStr">
        <is>
          <t>CHEM-1650</t>
        </is>
      </c>
      <c r="C229" t="n">
        <v>0.05</v>
      </c>
      <c r="D229">
        <f>IFERROR(MATCH($A229,PP_Grid[Intermediate],0),99999)</f>
        <v/>
      </c>
    </row>
    <row r="230">
      <c r="A230" t="inlineStr">
        <is>
          <t>TSP-1448</t>
        </is>
      </c>
      <c r="B230" t="inlineStr">
        <is>
          <t>CHEM-1700</t>
        </is>
      </c>
      <c r="C230" t="n">
        <v>1.26</v>
      </c>
      <c r="D230">
        <f>IFERROR(MATCH($A230,PP_Grid[Intermediate],0),99999)</f>
        <v/>
      </c>
    </row>
    <row r="231">
      <c r="A231" t="inlineStr">
        <is>
          <t>TSP-1445</t>
        </is>
      </c>
      <c r="B231" t="inlineStr">
        <is>
          <t>CHEM-1540</t>
        </is>
      </c>
      <c r="C231" t="n">
        <v>53.656</v>
      </c>
      <c r="D231">
        <f>IFERROR(MATCH($A231,PP_Grid[Intermediate],0),99999)</f>
        <v/>
      </c>
    </row>
    <row r="232">
      <c r="A232" t="inlineStr">
        <is>
          <t>TSP-1445</t>
        </is>
      </c>
      <c r="B232" t="inlineStr">
        <is>
          <t>CHEM-1720</t>
        </is>
      </c>
      <c r="C232" t="n">
        <v>20.532</v>
      </c>
      <c r="D232">
        <f>IFERROR(MATCH($A232,PP_Grid[Intermediate],0),99999)</f>
        <v/>
      </c>
    </row>
    <row r="233">
      <c r="A233" t="inlineStr">
        <is>
          <t>TSP-1445</t>
        </is>
      </c>
      <c r="B233" t="inlineStr">
        <is>
          <t>CHEM-1670</t>
        </is>
      </c>
      <c r="C233" t="n">
        <v>5.347</v>
      </c>
      <c r="D233">
        <f>IFERROR(MATCH($A233,PP_Grid[Intermediate],0),99999)</f>
        <v/>
      </c>
    </row>
    <row r="234">
      <c r="A234" t="inlineStr">
        <is>
          <t>TSP-1445</t>
        </is>
      </c>
      <c r="B234" t="inlineStr">
        <is>
          <t>CHEM-1420</t>
        </is>
      </c>
      <c r="C234" t="n">
        <v>0.336</v>
      </c>
      <c r="D234">
        <f>IFERROR(MATCH($A234,PP_Grid[Intermediate],0),99999)</f>
        <v/>
      </c>
    </row>
    <row r="235">
      <c r="A235" t="inlineStr">
        <is>
          <t>TSP-1445</t>
        </is>
      </c>
      <c r="B235" t="inlineStr">
        <is>
          <t>CHEM-1440</t>
        </is>
      </c>
      <c r="C235" t="n">
        <v>2.139</v>
      </c>
      <c r="D235">
        <f>IFERROR(MATCH($A235,PP_Grid[Intermediate],0),99999)</f>
        <v/>
      </c>
    </row>
    <row r="236">
      <c r="A236" t="inlineStr">
        <is>
          <t>TSP-1446</t>
        </is>
      </c>
      <c r="B236" t="inlineStr">
        <is>
          <t>CHEM-1540</t>
        </is>
      </c>
      <c r="C236" t="n">
        <v>60.509</v>
      </c>
      <c r="D236">
        <f>IFERROR(MATCH($A236,PP_Grid[Intermediate],0),99999)</f>
        <v/>
      </c>
    </row>
    <row r="237">
      <c r="A237" t="inlineStr">
        <is>
          <t>TSP-1446</t>
        </is>
      </c>
      <c r="B237" t="inlineStr">
        <is>
          <t>CHEM-1720</t>
        </is>
      </c>
      <c r="C237" t="n">
        <v>23.154</v>
      </c>
      <c r="D237">
        <f>IFERROR(MATCH($A237,PP_Grid[Intermediate],0),99999)</f>
        <v/>
      </c>
    </row>
    <row r="238">
      <c r="A238" t="inlineStr">
        <is>
          <t>TSP-1446</t>
        </is>
      </c>
      <c r="B238" t="inlineStr">
        <is>
          <t>CHEM-1670</t>
        </is>
      </c>
      <c r="C238" t="n">
        <v>6.03</v>
      </c>
      <c r="D238">
        <f>IFERROR(MATCH($A238,PP_Grid[Intermediate],0),99999)</f>
        <v/>
      </c>
    </row>
    <row r="239">
      <c r="A239" t="inlineStr">
        <is>
          <t>TSP-1446</t>
        </is>
      </c>
      <c r="B239" t="inlineStr">
        <is>
          <t>CHEM-1420</t>
        </is>
      </c>
      <c r="C239" t="n">
        <v>0.38</v>
      </c>
      <c r="D239">
        <f>IFERROR(MATCH($A239,PP_Grid[Intermediate],0),99999)</f>
        <v/>
      </c>
    </row>
    <row r="240">
      <c r="A240" t="inlineStr">
        <is>
          <t>TSP-1446</t>
        </is>
      </c>
      <c r="B240" t="inlineStr">
        <is>
          <t>CHEM-1440</t>
        </is>
      </c>
      <c r="C240" t="n">
        <v>2.412</v>
      </c>
      <c r="D240">
        <f>IFERROR(MATCH($A240,PP_Grid[Intermediate],0),99999)</f>
        <v/>
      </c>
    </row>
    <row r="241">
      <c r="A241" t="inlineStr">
        <is>
          <t>TSP-1449</t>
        </is>
      </c>
      <c r="B241" t="inlineStr">
        <is>
          <t>CHEM-1400</t>
        </is>
      </c>
      <c r="C241" t="n">
        <v>6.596</v>
      </c>
      <c r="D241">
        <f>IFERROR(MATCH($A241,PP_Grid[Intermediate],0),99999)</f>
        <v/>
      </c>
    </row>
    <row r="242">
      <c r="A242" t="inlineStr">
        <is>
          <t>TSP-1449</t>
        </is>
      </c>
      <c r="B242" t="inlineStr">
        <is>
          <t>CHEM-1600</t>
        </is>
      </c>
      <c r="C242" t="n">
        <v>18.25</v>
      </c>
      <c r="D242">
        <f>IFERROR(MATCH($A242,PP_Grid[Intermediate],0),99999)</f>
        <v/>
      </c>
    </row>
    <row r="243">
      <c r="A243" t="inlineStr">
        <is>
          <t>TSP-1449</t>
        </is>
      </c>
      <c r="B243" t="inlineStr">
        <is>
          <t>0JN</t>
        </is>
      </c>
      <c r="C243" t="n">
        <v>1.053</v>
      </c>
      <c r="D243">
        <f>IFERROR(MATCH($A243,PP_Grid[Intermediate],0),99999)</f>
        <v/>
      </c>
    </row>
    <row r="244">
      <c r="A244" t="inlineStr">
        <is>
          <t>TSP-1449</t>
        </is>
      </c>
      <c r="B244" t="inlineStr">
        <is>
          <t>CHEM-1420</t>
        </is>
      </c>
      <c r="C244" t="n">
        <v>1.045</v>
      </c>
      <c r="D244">
        <f>IFERROR(MATCH($A244,PP_Grid[Intermediate],0),99999)</f>
        <v/>
      </c>
    </row>
    <row r="245">
      <c r="A245" t="inlineStr">
        <is>
          <t>TSP-1449</t>
        </is>
      </c>
      <c r="B245" t="inlineStr">
        <is>
          <t>CHEM-1440</t>
        </is>
      </c>
      <c r="C245" t="n">
        <v>0.653</v>
      </c>
      <c r="D245">
        <f>IFERROR(MATCH($A245,PP_Grid[Intermediate],0),99999)</f>
        <v/>
      </c>
    </row>
    <row r="246">
      <c r="A246" t="inlineStr">
        <is>
          <t>VSP-567</t>
        </is>
      </c>
      <c r="B246" t="inlineStr">
        <is>
          <t>CHEM-1530</t>
        </is>
      </c>
      <c r="C246" t="n">
        <v>55.14</v>
      </c>
      <c r="D246">
        <f>IFERROR(MATCH($A246,PP_Grid[Intermediate],0),99999)</f>
        <v/>
      </c>
    </row>
    <row r="247">
      <c r="A247" t="inlineStr">
        <is>
          <t>VSP-567</t>
        </is>
      </c>
      <c r="B247" t="inlineStr">
        <is>
          <t>CHEM-1400</t>
        </is>
      </c>
      <c r="C247" t="n">
        <v>4.574</v>
      </c>
      <c r="D247">
        <f>IFERROR(MATCH($A247,PP_Grid[Intermediate],0),99999)</f>
        <v/>
      </c>
    </row>
    <row r="248">
      <c r="A248" t="inlineStr">
        <is>
          <t>VSP-567</t>
        </is>
      </c>
      <c r="B248" t="inlineStr">
        <is>
          <t>CHEM-1600</t>
        </is>
      </c>
      <c r="C248" t="n">
        <v>11.076</v>
      </c>
      <c r="D248">
        <f>IFERROR(MATCH($A248,PP_Grid[Intermediate],0),99999)</f>
        <v/>
      </c>
    </row>
    <row r="249">
      <c r="A249" t="inlineStr">
        <is>
          <t>VSP-567</t>
        </is>
      </c>
      <c r="B249" t="inlineStr">
        <is>
          <t>CHEM-1420</t>
        </is>
      </c>
      <c r="C249" t="n">
        <v>1.6</v>
      </c>
      <c r="D249">
        <f>IFERROR(MATCH($A249,PP_Grid[Intermediate],0),99999)</f>
        <v/>
      </c>
    </row>
    <row r="250">
      <c r="A250" t="inlineStr">
        <is>
          <t>VSP-567</t>
        </is>
      </c>
      <c r="B250" t="inlineStr">
        <is>
          <t>CHEM-1440</t>
        </is>
      </c>
      <c r="C250" t="n">
        <v>0.554</v>
      </c>
      <c r="D250">
        <f>IFERROR(MATCH($A250,PP_Grid[Intermediate],0),99999)</f>
        <v/>
      </c>
    </row>
    <row r="251">
      <c r="A251" t="inlineStr">
        <is>
          <t>VSP-567</t>
        </is>
      </c>
      <c r="B251" t="inlineStr">
        <is>
          <t>CHEM-1650</t>
        </is>
      </c>
      <c r="C251" t="n">
        <v>0.049</v>
      </c>
      <c r="D251">
        <f>IFERROR(MATCH($A251,PP_Grid[Intermediate],0),99999)</f>
        <v/>
      </c>
    </row>
    <row r="252">
      <c r="A252" t="inlineStr">
        <is>
          <t>VSP-600</t>
        </is>
      </c>
      <c r="B252" t="inlineStr">
        <is>
          <t>CHEM-1400</t>
        </is>
      </c>
      <c r="C252" t="n">
        <v>6.053</v>
      </c>
      <c r="D252">
        <f>IFERROR(MATCH($A252,PP_Grid[Intermediate],0),99999)</f>
        <v/>
      </c>
    </row>
    <row r="253">
      <c r="A253" t="inlineStr">
        <is>
          <t>VSP-600</t>
        </is>
      </c>
      <c r="B253" t="inlineStr">
        <is>
          <t>CHEM-1600</t>
        </is>
      </c>
      <c r="C253" t="n">
        <v>16.747</v>
      </c>
      <c r="D253">
        <f>IFERROR(MATCH($A253,PP_Grid[Intermediate],0),99999)</f>
        <v/>
      </c>
    </row>
    <row r="254">
      <c r="A254" t="inlineStr">
        <is>
          <t>VSP-600</t>
        </is>
      </c>
      <c r="B254" t="inlineStr">
        <is>
          <t>0JN</t>
        </is>
      </c>
      <c r="C254" t="n">
        <v>2.902</v>
      </c>
      <c r="D254">
        <f>IFERROR(MATCH($A254,PP_Grid[Intermediate],0),99999)</f>
        <v/>
      </c>
    </row>
    <row r="255">
      <c r="A255" t="inlineStr">
        <is>
          <t>VSP-600</t>
        </is>
      </c>
      <c r="B255" t="inlineStr">
        <is>
          <t>CHEM-1420</t>
        </is>
      </c>
      <c r="C255" t="n">
        <v>0.728</v>
      </c>
      <c r="D255">
        <f>IFERROR(MATCH($A255,PP_Grid[Intermediate],0),99999)</f>
        <v/>
      </c>
    </row>
    <row r="256">
      <c r="A256" t="inlineStr">
        <is>
          <t>VSP-600</t>
        </is>
      </c>
      <c r="B256" t="inlineStr">
        <is>
          <t>CHEM-1440</t>
        </is>
      </c>
      <c r="C256" t="n">
        <v>0.504</v>
      </c>
      <c r="D256">
        <f>IFERROR(MATCH($A256,PP_Grid[Intermediate],0),99999)</f>
        <v/>
      </c>
    </row>
    <row r="257">
      <c r="A257" t="inlineStr">
        <is>
          <t>VSP-601</t>
        </is>
      </c>
      <c r="B257" t="inlineStr">
        <is>
          <t>CHEM-1400</t>
        </is>
      </c>
      <c r="C257" t="n">
        <v>6.047</v>
      </c>
      <c r="D257">
        <f>IFERROR(MATCH($A257,PP_Grid[Intermediate],0),99999)</f>
        <v/>
      </c>
    </row>
    <row r="258">
      <c r="A258" t="inlineStr">
        <is>
          <t>VSP-601</t>
        </is>
      </c>
      <c r="B258" t="inlineStr">
        <is>
          <t>CHEM-1600</t>
        </is>
      </c>
      <c r="C258" t="n">
        <v>16.73</v>
      </c>
      <c r="D258">
        <f>IFERROR(MATCH($A258,PP_Grid[Intermediate],0),99999)</f>
        <v/>
      </c>
    </row>
    <row r="259">
      <c r="A259" t="inlineStr">
        <is>
          <t>VSP-601</t>
        </is>
      </c>
      <c r="B259" t="inlineStr">
        <is>
          <t>0JN</t>
        </is>
      </c>
      <c r="C259" t="n">
        <v>8.698</v>
      </c>
      <c r="D259">
        <f>IFERROR(MATCH($A259,PP_Grid[Intermediate],0),99999)</f>
        <v/>
      </c>
    </row>
    <row r="260">
      <c r="A260" t="inlineStr">
        <is>
          <t>VSP-601</t>
        </is>
      </c>
      <c r="B260" t="inlineStr">
        <is>
          <t>CHEM-1420</t>
        </is>
      </c>
      <c r="C260" t="n">
        <v>0.629</v>
      </c>
      <c r="D260">
        <f>IFERROR(MATCH($A260,PP_Grid[Intermediate],0),99999)</f>
        <v/>
      </c>
    </row>
    <row r="261">
      <c r="A261" t="inlineStr">
        <is>
          <t>VSP-602</t>
        </is>
      </c>
      <c r="B261" t="inlineStr">
        <is>
          <t>CHEM-1530</t>
        </is>
      </c>
      <c r="C261" t="n">
        <v>50.015</v>
      </c>
      <c r="D261">
        <f>IFERROR(MATCH($A261,PP_Grid[Intermediate],0),99999)</f>
        <v/>
      </c>
    </row>
    <row r="262">
      <c r="A262" t="inlineStr">
        <is>
          <t>VSP-602</t>
        </is>
      </c>
      <c r="B262" t="inlineStr">
        <is>
          <t>CHEM-1400</t>
        </is>
      </c>
      <c r="C262" t="n">
        <v>9.074999999999999</v>
      </c>
      <c r="D262">
        <f>IFERROR(MATCH($A262,PP_Grid[Intermediate],0),99999)</f>
        <v/>
      </c>
    </row>
    <row r="263">
      <c r="A263" t="inlineStr">
        <is>
          <t>VSP-602</t>
        </is>
      </c>
      <c r="B263" t="inlineStr">
        <is>
          <t>CHEM-1420</t>
        </is>
      </c>
      <c r="C263" t="n">
        <v>1.69</v>
      </c>
      <c r="D263">
        <f>IFERROR(MATCH($A263,PP_Grid[Intermediate],0),99999)</f>
        <v/>
      </c>
    </row>
    <row r="264">
      <c r="A264" t="inlineStr">
        <is>
          <t>VSP-602</t>
        </is>
      </c>
      <c r="B264" t="inlineStr">
        <is>
          <t>CHEM-1440</t>
        </is>
      </c>
      <c r="C264" t="n">
        <v>1.267</v>
      </c>
      <c r="D264">
        <f>IFERROR(MATCH($A264,PP_Grid[Intermediate],0),99999)</f>
        <v/>
      </c>
    </row>
    <row r="265">
      <c r="A265" t="inlineStr">
        <is>
          <t>VSP-602</t>
        </is>
      </c>
      <c r="B265" t="inlineStr">
        <is>
          <t>CHEM-1650</t>
        </is>
      </c>
      <c r="C265" t="n">
        <v>0.042</v>
      </c>
      <c r="D265">
        <f>IFERROR(MATCH($A265,PP_Grid[Intermediate],0),99999)</f>
        <v/>
      </c>
    </row>
    <row r="266">
      <c r="A266" t="inlineStr">
        <is>
          <t>VSP-603</t>
        </is>
      </c>
      <c r="B266" t="inlineStr">
        <is>
          <t>CHEM-1400</t>
        </is>
      </c>
      <c r="C266" t="n">
        <v>5.5259</v>
      </c>
      <c r="D266">
        <f>IFERROR(MATCH($A266,PP_Grid[Intermediate],0),99999)</f>
        <v/>
      </c>
    </row>
    <row r="267">
      <c r="A267" t="inlineStr">
        <is>
          <t>VSP-603</t>
        </is>
      </c>
      <c r="B267" t="inlineStr">
        <is>
          <t>CHEM-1600</t>
        </is>
      </c>
      <c r="C267" t="n">
        <v>11.4671</v>
      </c>
      <c r="D267">
        <f>IFERROR(MATCH($A267,PP_Grid[Intermediate],0),99999)</f>
        <v/>
      </c>
    </row>
    <row r="268">
      <c r="A268" t="inlineStr">
        <is>
          <t>VSP-603</t>
        </is>
      </c>
      <c r="B268" t="inlineStr">
        <is>
          <t>0JN</t>
        </is>
      </c>
      <c r="C268" t="n">
        <v>2.6495</v>
      </c>
      <c r="D268">
        <f>IFERROR(MATCH($A268,PP_Grid[Intermediate],0),99999)</f>
        <v/>
      </c>
    </row>
    <row r="269">
      <c r="A269" t="inlineStr">
        <is>
          <t>VSP-603</t>
        </is>
      </c>
      <c r="B269" t="inlineStr">
        <is>
          <t>CHEM-1420</t>
        </is>
      </c>
      <c r="C269" t="n">
        <v>0.592</v>
      </c>
      <c r="D269">
        <f>IFERROR(MATCH($A269,PP_Grid[Intermediate],0),99999)</f>
        <v/>
      </c>
    </row>
    <row r="270">
      <c r="A270" t="inlineStr">
        <is>
          <t>VSP-603</t>
        </is>
      </c>
      <c r="B270" t="inlineStr">
        <is>
          <t>CHEM-1440</t>
        </is>
      </c>
      <c r="C270" t="n">
        <v>0.546</v>
      </c>
      <c r="D270">
        <f>IFERROR(MATCH($A270,PP_Grid[Intermediate],0),99999)</f>
        <v/>
      </c>
    </row>
    <row r="271">
      <c r="A271" t="inlineStr">
        <is>
          <t>VSP-604</t>
        </is>
      </c>
      <c r="B271" t="inlineStr">
        <is>
          <t>CHEM-1400</t>
        </is>
      </c>
      <c r="C271" t="n">
        <v>4.389</v>
      </c>
      <c r="D271">
        <f>IFERROR(MATCH($A271,PP_Grid[Intermediate],0),99999)</f>
        <v/>
      </c>
    </row>
    <row r="272">
      <c r="A272" t="inlineStr">
        <is>
          <t>VSP-604</t>
        </is>
      </c>
      <c r="B272" t="inlineStr">
        <is>
          <t>CHEM-1600</t>
        </is>
      </c>
      <c r="C272" t="n">
        <v>11.384</v>
      </c>
      <c r="D272">
        <f>IFERROR(MATCH($A272,PP_Grid[Intermediate],0),99999)</f>
        <v/>
      </c>
    </row>
    <row r="273">
      <c r="A273" t="inlineStr">
        <is>
          <t>VSP-604</t>
        </is>
      </c>
      <c r="B273" t="inlineStr">
        <is>
          <t>0JN</t>
        </is>
      </c>
      <c r="C273" t="n">
        <v>1.65731</v>
      </c>
      <c r="D273">
        <f>IFERROR(MATCH($A273,PP_Grid[Intermediate],0),99999)</f>
        <v/>
      </c>
    </row>
    <row r="274">
      <c r="A274" t="inlineStr">
        <is>
          <t>VSP-604</t>
        </is>
      </c>
      <c r="B274" t="inlineStr">
        <is>
          <t>CHEM-1420</t>
        </is>
      </c>
      <c r="C274" t="n">
        <v>1.005</v>
      </c>
      <c r="D274">
        <f>IFERROR(MATCH($A274,PP_Grid[Intermediate],0),99999)</f>
        <v/>
      </c>
    </row>
    <row r="275">
      <c r="A275" t="inlineStr">
        <is>
          <t>VSP-605</t>
        </is>
      </c>
      <c r="B275" t="inlineStr">
        <is>
          <t>CHEM-1530</t>
        </is>
      </c>
      <c r="C275" t="n">
        <v>51.715</v>
      </c>
      <c r="D275">
        <f>IFERROR(MATCH($A275,PP_Grid[Intermediate],0),99999)</f>
        <v/>
      </c>
    </row>
    <row r="276">
      <c r="A276" t="inlineStr">
        <is>
          <t>VSP-605</t>
        </is>
      </c>
      <c r="B276" t="inlineStr">
        <is>
          <t>CHEM-1400</t>
        </is>
      </c>
      <c r="C276" t="n">
        <v>9.897</v>
      </c>
      <c r="D276">
        <f>IFERROR(MATCH($A276,PP_Grid[Intermediate],0),99999)</f>
        <v/>
      </c>
    </row>
    <row r="277">
      <c r="A277" t="inlineStr">
        <is>
          <t>VSP-605</t>
        </is>
      </c>
      <c r="B277" t="inlineStr">
        <is>
          <t>CHEM-1420</t>
        </is>
      </c>
      <c r="C277" t="n">
        <v>2.604</v>
      </c>
      <c r="D277">
        <f>IFERROR(MATCH($A277,PP_Grid[Intermediate],0),99999)</f>
        <v/>
      </c>
    </row>
    <row r="278">
      <c r="A278" t="inlineStr">
        <is>
          <t>VSP-605</t>
        </is>
      </c>
      <c r="B278" t="inlineStr">
        <is>
          <t>CHEM-1440</t>
        </is>
      </c>
      <c r="C278" t="n">
        <v>1.41</v>
      </c>
      <c r="D278">
        <f>IFERROR(MATCH($A278,PP_Grid[Intermediate],0),99999)</f>
        <v/>
      </c>
    </row>
    <row r="279">
      <c r="A279" t="inlineStr">
        <is>
          <t>VSP-605</t>
        </is>
      </c>
      <c r="B279" t="inlineStr">
        <is>
          <t>CHEM-1650</t>
        </is>
      </c>
      <c r="C279" t="n">
        <v>0.042</v>
      </c>
      <c r="D279">
        <f>IFERROR(MATCH($A279,PP_Grid[Intermediate],0),99999)</f>
        <v/>
      </c>
    </row>
    <row r="280">
      <c r="A280" t="inlineStr">
        <is>
          <t>VSP-606</t>
        </is>
      </c>
      <c r="B280" t="inlineStr">
        <is>
          <t>CHEM-1400</t>
        </is>
      </c>
      <c r="C280" t="n">
        <v>7.973</v>
      </c>
      <c r="D280">
        <f>IFERROR(MATCH($A280,PP_Grid[Intermediate],0),99999)</f>
        <v/>
      </c>
    </row>
    <row r="281">
      <c r="A281" t="inlineStr">
        <is>
          <t>VSP-606</t>
        </is>
      </c>
      <c r="B281" t="inlineStr">
        <is>
          <t>CHEM-1600</t>
        </is>
      </c>
      <c r="C281" t="n">
        <v>22.023</v>
      </c>
      <c r="D281">
        <f>IFERROR(MATCH($A281,PP_Grid[Intermediate],0),99999)</f>
        <v/>
      </c>
    </row>
    <row r="282">
      <c r="A282" t="inlineStr">
        <is>
          <t>VSP-606</t>
        </is>
      </c>
      <c r="B282" t="inlineStr">
        <is>
          <t>0JN</t>
        </is>
      </c>
      <c r="C282" t="n">
        <v>1.77</v>
      </c>
      <c r="D282">
        <f>IFERROR(MATCH($A282,PP_Grid[Intermediate],0),99999)</f>
        <v/>
      </c>
    </row>
    <row r="283">
      <c r="A283" t="inlineStr">
        <is>
          <t>VSP-606</t>
        </is>
      </c>
      <c r="B283" t="inlineStr">
        <is>
          <t>CHEM-1420</t>
        </is>
      </c>
      <c r="C283" t="n">
        <v>0.711</v>
      </c>
      <c r="D283">
        <f>IFERROR(MATCH($A283,PP_Grid[Intermediate],0),99999)</f>
        <v/>
      </c>
    </row>
    <row r="284">
      <c r="A284" t="inlineStr">
        <is>
          <t>VSP-606</t>
        </is>
      </c>
      <c r="B284" t="inlineStr">
        <is>
          <t>CHEM-1440</t>
        </is>
      </c>
      <c r="C284" t="n">
        <v>0.868</v>
      </c>
      <c r="D284">
        <f>IFERROR(MATCH($A284,PP_Grid[Intermediate],0),99999)</f>
        <v/>
      </c>
    </row>
    <row r="285">
      <c r="A285" t="inlineStr">
        <is>
          <t>VSP-607</t>
        </is>
      </c>
      <c r="B285" t="inlineStr">
        <is>
          <t>CHEM-1530</t>
        </is>
      </c>
      <c r="C285" t="n">
        <v>63.619</v>
      </c>
      <c r="D285">
        <f>IFERROR(MATCH($A285,PP_Grid[Intermediate],0),99999)</f>
        <v/>
      </c>
    </row>
    <row r="286">
      <c r="A286" t="inlineStr">
        <is>
          <t>VSP-607</t>
        </is>
      </c>
      <c r="B286" t="inlineStr">
        <is>
          <t>CHEM-1400</t>
        </is>
      </c>
      <c r="C286" t="n">
        <v>5.27</v>
      </c>
      <c r="D286">
        <f>IFERROR(MATCH($A286,PP_Grid[Intermediate],0),99999)</f>
        <v/>
      </c>
    </row>
    <row r="287">
      <c r="A287" t="inlineStr">
        <is>
          <t>VSP-607</t>
        </is>
      </c>
      <c r="B287" t="inlineStr">
        <is>
          <t>CHEM-1600</t>
        </is>
      </c>
      <c r="C287" t="n">
        <v>12.806</v>
      </c>
      <c r="D287">
        <f>IFERROR(MATCH($A287,PP_Grid[Intermediate],0),99999)</f>
        <v/>
      </c>
    </row>
    <row r="288">
      <c r="A288" t="inlineStr">
        <is>
          <t>VSP-607</t>
        </is>
      </c>
      <c r="B288" t="inlineStr">
        <is>
          <t>0JN</t>
        </is>
      </c>
      <c r="C288" t="n">
        <v>15.26</v>
      </c>
      <c r="D288">
        <f>IFERROR(MATCH($A288,PP_Grid[Intermediate],0),99999)</f>
        <v/>
      </c>
    </row>
    <row r="289">
      <c r="A289" t="inlineStr">
        <is>
          <t>VSP-607</t>
        </is>
      </c>
      <c r="B289" t="inlineStr">
        <is>
          <t>CHEM-1420</t>
        </is>
      </c>
      <c r="C289" t="n">
        <v>2.131</v>
      </c>
      <c r="D289">
        <f>IFERROR(MATCH($A289,PP_Grid[Intermediate],0),99999)</f>
        <v/>
      </c>
    </row>
    <row r="290">
      <c r="A290" t="inlineStr">
        <is>
          <t>VSP-607</t>
        </is>
      </c>
      <c r="B290" t="inlineStr">
        <is>
          <t>CHEM-1440</t>
        </is>
      </c>
      <c r="C290" t="n">
        <v>0.569</v>
      </c>
      <c r="D290">
        <f>IFERROR(MATCH($A290,PP_Grid[Intermediate],0),99999)</f>
        <v/>
      </c>
    </row>
    <row r="291">
      <c r="A291" t="inlineStr">
        <is>
          <t>VSP-607</t>
        </is>
      </c>
      <c r="B291" t="inlineStr">
        <is>
          <t>CHEM-1650</t>
        </is>
      </c>
      <c r="C291" t="n">
        <v>0.056</v>
      </c>
      <c r="D291">
        <f>IFERROR(MATCH($A291,PP_Grid[Intermediate],0),99999)</f>
        <v/>
      </c>
    </row>
    <row r="292">
      <c r="A292" t="inlineStr">
        <is>
          <t>VSP-738</t>
        </is>
      </c>
      <c r="B292" t="inlineStr">
        <is>
          <t>CHEM-1400</t>
        </is>
      </c>
      <c r="C292" t="n">
        <v>4.548</v>
      </c>
      <c r="D292">
        <f>IFERROR(MATCH($A292,PP_Grid[Intermediate],0),99999)</f>
        <v/>
      </c>
    </row>
    <row r="293">
      <c r="A293" t="inlineStr">
        <is>
          <t>VSP-738</t>
        </is>
      </c>
      <c r="B293" t="inlineStr">
        <is>
          <t>CHEM-1600</t>
        </is>
      </c>
      <c r="C293" t="n">
        <v>12.584</v>
      </c>
      <c r="D293">
        <f>IFERROR(MATCH($A293,PP_Grid[Intermediate],0),99999)</f>
        <v/>
      </c>
    </row>
    <row r="294">
      <c r="A294" t="inlineStr">
        <is>
          <t>VSP-738</t>
        </is>
      </c>
      <c r="B294" t="inlineStr">
        <is>
          <t>0JN</t>
        </is>
      </c>
      <c r="C294" t="n">
        <v>0.8993</v>
      </c>
      <c r="D294">
        <f>IFERROR(MATCH($A294,PP_Grid[Intermediate],0),99999)</f>
        <v/>
      </c>
    </row>
    <row r="295">
      <c r="A295" t="inlineStr">
        <is>
          <t>VSP-738</t>
        </is>
      </c>
      <c r="B295" t="inlineStr">
        <is>
          <t>CHEM-1420</t>
        </is>
      </c>
      <c r="C295" t="n">
        <v>0.338</v>
      </c>
      <c r="D295">
        <f>IFERROR(MATCH($A295,PP_Grid[Intermediate],0),99999)</f>
        <v/>
      </c>
    </row>
    <row r="296">
      <c r="A296" t="inlineStr">
        <is>
          <t>VSP-738</t>
        </is>
      </c>
      <c r="B296" t="inlineStr">
        <is>
          <t>CHEM-1650</t>
        </is>
      </c>
      <c r="C296" t="n">
        <v>0.034</v>
      </c>
      <c r="D296">
        <f>IFERROR(MATCH($A296,PP_Grid[Intermediate],0),99999)</f>
        <v/>
      </c>
    </row>
    <row r="297">
      <c r="A297" t="inlineStr">
        <is>
          <t>VSP-739</t>
        </is>
      </c>
      <c r="B297" t="inlineStr">
        <is>
          <t>CHEM-1400</t>
        </is>
      </c>
      <c r="C297" t="n">
        <v>4.535</v>
      </c>
      <c r="D297">
        <f>IFERROR(MATCH($A297,PP_Grid[Intermediate],0),99999)</f>
        <v/>
      </c>
    </row>
    <row r="298">
      <c r="A298" t="inlineStr">
        <is>
          <t>VSP-739</t>
        </is>
      </c>
      <c r="B298" t="inlineStr">
        <is>
          <t>CHEM-1600</t>
        </is>
      </c>
      <c r="C298" t="n">
        <v>12.549</v>
      </c>
      <c r="D298">
        <f>IFERROR(MATCH($A298,PP_Grid[Intermediate],0),99999)</f>
        <v/>
      </c>
    </row>
    <row r="299">
      <c r="A299" t="inlineStr">
        <is>
          <t>VSP-739</t>
        </is>
      </c>
      <c r="B299" t="inlineStr">
        <is>
          <t>CHEM-1510</t>
        </is>
      </c>
      <c r="C299" t="n">
        <v>4.001</v>
      </c>
      <c r="D299">
        <f>IFERROR(MATCH($A299,PP_Grid[Intermediate],0),99999)</f>
        <v/>
      </c>
    </row>
    <row r="300">
      <c r="A300" t="inlineStr">
        <is>
          <t>VSP-739</t>
        </is>
      </c>
      <c r="B300" t="inlineStr">
        <is>
          <t>0JN</t>
        </is>
      </c>
      <c r="C300" t="n">
        <v>2.6904</v>
      </c>
      <c r="D300">
        <f>IFERROR(MATCH($A300,PP_Grid[Intermediate],0),99999)</f>
        <v/>
      </c>
    </row>
    <row r="301">
      <c r="A301" t="inlineStr">
        <is>
          <t>VSP-739</t>
        </is>
      </c>
      <c r="B301" t="inlineStr">
        <is>
          <t>CHEM-1420</t>
        </is>
      </c>
      <c r="C301" t="n">
        <v>0.339</v>
      </c>
      <c r="D301">
        <f>IFERROR(MATCH($A301,PP_Grid[Intermediate],0),99999)</f>
        <v/>
      </c>
    </row>
    <row r="302">
      <c r="A302" t="inlineStr">
        <is>
          <t>VSP-739</t>
        </is>
      </c>
      <c r="B302" t="inlineStr">
        <is>
          <t>CHEM-1440</t>
        </is>
      </c>
      <c r="C302" t="n">
        <v>0.16</v>
      </c>
      <c r="D302">
        <f>IFERROR(MATCH($A302,PP_Grid[Intermediate],0),99999)</f>
        <v/>
      </c>
    </row>
    <row r="303">
      <c r="A303" t="inlineStr">
        <is>
          <t>VSP-740</t>
        </is>
      </c>
      <c r="B303" t="inlineStr">
        <is>
          <t>CHEM-1530</t>
        </is>
      </c>
      <c r="C303" t="n">
        <v>29.732</v>
      </c>
      <c r="D303">
        <f>IFERROR(MATCH($A303,PP_Grid[Intermediate],0),99999)</f>
        <v/>
      </c>
    </row>
    <row r="304">
      <c r="A304" t="inlineStr">
        <is>
          <t>VSP-740</t>
        </is>
      </c>
      <c r="B304" t="inlineStr">
        <is>
          <t>CHEM-1400</t>
        </is>
      </c>
      <c r="C304" t="n">
        <v>5.395</v>
      </c>
      <c r="D304">
        <f>IFERROR(MATCH($A304,PP_Grid[Intermediate],0),99999)</f>
        <v/>
      </c>
    </row>
    <row r="305">
      <c r="A305" t="inlineStr">
        <is>
          <t>VSP-740</t>
        </is>
      </c>
      <c r="B305" t="inlineStr">
        <is>
          <t>CHEM-1420</t>
        </is>
      </c>
      <c r="C305" t="n">
        <v>0.879</v>
      </c>
      <c r="D305">
        <f>IFERROR(MATCH($A305,PP_Grid[Intermediate],0),99999)</f>
        <v/>
      </c>
    </row>
    <row r="306">
      <c r="A306" t="inlineStr">
        <is>
          <t>VSP-740</t>
        </is>
      </c>
      <c r="B306" t="inlineStr">
        <is>
          <t>CHEM-1440</t>
        </is>
      </c>
      <c r="C306" t="n">
        <v>0.754</v>
      </c>
      <c r="D306">
        <f>IFERROR(MATCH($A306,PP_Grid[Intermediate],0),99999)</f>
        <v/>
      </c>
    </row>
    <row r="307">
      <c r="A307" t="inlineStr">
        <is>
          <t>VSP-740</t>
        </is>
      </c>
      <c r="B307" t="inlineStr">
        <is>
          <t>CHEM-1650</t>
        </is>
      </c>
      <c r="C307" t="n">
        <v>0.025</v>
      </c>
      <c r="D307">
        <f>IFERROR(MATCH($A307,PP_Grid[Intermediate],0),99999)</f>
        <v/>
      </c>
    </row>
    <row r="308">
      <c r="A308" t="inlineStr">
        <is>
          <t>VSP-746</t>
        </is>
      </c>
      <c r="B308" t="inlineStr">
        <is>
          <t>CHEM-1530</t>
        </is>
      </c>
      <c r="C308" t="n">
        <v>0.701</v>
      </c>
      <c r="D308">
        <f>IFERROR(MATCH($A308,PP_Grid[Intermediate],0),99999)</f>
        <v/>
      </c>
    </row>
    <row r="309">
      <c r="A309" t="inlineStr">
        <is>
          <t>VSP-746</t>
        </is>
      </c>
      <c r="B309" t="inlineStr">
        <is>
          <t>CHEM-1400</t>
        </is>
      </c>
      <c r="C309" t="n">
        <v>3.678</v>
      </c>
      <c r="D309">
        <f>IFERROR(MATCH($A309,PP_Grid[Intermediate],0),99999)</f>
        <v/>
      </c>
    </row>
    <row r="310">
      <c r="A310" t="inlineStr">
        <is>
          <t>VSP-746</t>
        </is>
      </c>
      <c r="B310" t="inlineStr">
        <is>
          <t>CHEM-1420</t>
        </is>
      </c>
      <c r="C310" t="n">
        <v>0.904</v>
      </c>
      <c r="D310">
        <f>IFERROR(MATCH($A310,PP_Grid[Intermediate],0),99999)</f>
        <v/>
      </c>
    </row>
    <row r="311">
      <c r="A311" t="inlineStr">
        <is>
          <t>VSP-746</t>
        </is>
      </c>
      <c r="B311" t="inlineStr">
        <is>
          <t>CHEM-1440</t>
        </is>
      </c>
      <c r="C311" t="n">
        <v>0.526</v>
      </c>
      <c r="D311">
        <f>IFERROR(MATCH($A311,PP_Grid[Intermediate],0),99999)</f>
        <v/>
      </c>
    </row>
    <row r="312">
      <c r="A312" t="inlineStr">
        <is>
          <t>VSP-746</t>
        </is>
      </c>
      <c r="B312" t="inlineStr">
        <is>
          <t>CHEM-1650</t>
        </is>
      </c>
      <c r="C312" t="n">
        <v>0.042</v>
      </c>
      <c r="D312">
        <f>IFERROR(MATCH($A312,PP_Grid[Intermediate],0),99999)</f>
        <v/>
      </c>
    </row>
    <row r="313">
      <c r="A313" t="inlineStr">
        <is>
          <t>VSP-820</t>
        </is>
      </c>
      <c r="B313" t="inlineStr">
        <is>
          <t>CHEM-1400</t>
        </is>
      </c>
      <c r="C313" t="n">
        <v>3.625</v>
      </c>
      <c r="D313">
        <f>IFERROR(MATCH($A313,PP_Grid[Intermediate],0),99999)</f>
        <v/>
      </c>
    </row>
    <row r="314">
      <c r="A314" t="inlineStr">
        <is>
          <t>VSP-820</t>
        </is>
      </c>
      <c r="B314" t="inlineStr">
        <is>
          <t>CHEM-1600</t>
        </is>
      </c>
      <c r="C314" t="n">
        <v>20.069</v>
      </c>
      <c r="D314">
        <f>IFERROR(MATCH($A314,PP_Grid[Intermediate],0),99999)</f>
        <v/>
      </c>
    </row>
    <row r="315">
      <c r="A315" t="inlineStr">
        <is>
          <t>VSP-820</t>
        </is>
      </c>
      <c r="B315" t="inlineStr">
        <is>
          <t>CHEM-1510</t>
        </is>
      </c>
      <c r="C315" t="n">
        <v>6.79</v>
      </c>
      <c r="D315">
        <f>IFERROR(MATCH($A315,PP_Grid[Intermediate],0),99999)</f>
        <v/>
      </c>
    </row>
    <row r="316">
      <c r="A316" t="inlineStr">
        <is>
          <t>VSP-820</t>
        </is>
      </c>
      <c r="B316" t="inlineStr">
        <is>
          <t>0JN</t>
        </is>
      </c>
      <c r="C316" t="n">
        <v>3.4746</v>
      </c>
      <c r="D316">
        <f>IFERROR(MATCH($A316,PP_Grid[Intermediate],0),99999)</f>
        <v/>
      </c>
    </row>
    <row r="317">
      <c r="A317" t="inlineStr">
        <is>
          <t>VSP-820</t>
        </is>
      </c>
      <c r="B317" t="inlineStr">
        <is>
          <t>CHEM-1420</t>
        </is>
      </c>
      <c r="C317" t="n">
        <v>0.541</v>
      </c>
      <c r="D317">
        <f>IFERROR(MATCH($A317,PP_Grid[Intermediate],0),99999)</f>
        <v/>
      </c>
    </row>
    <row r="318">
      <c r="A318" t="inlineStr">
        <is>
          <t>VSP-820</t>
        </is>
      </c>
      <c r="B318" t="inlineStr">
        <is>
          <t>CHEM-1660</t>
        </is>
      </c>
      <c r="C318" t="n">
        <v>1.378</v>
      </c>
      <c r="D318">
        <f>IFERROR(MATCH($A318,PP_Grid[Intermediate],0),99999)</f>
        <v/>
      </c>
    </row>
    <row r="319">
      <c r="A319" t="inlineStr">
        <is>
          <t>VSP-822</t>
        </is>
      </c>
      <c r="B319" t="inlineStr">
        <is>
          <t>CHEM-1530</t>
        </is>
      </c>
      <c r="C319" t="n">
        <v>55.6681</v>
      </c>
      <c r="D319">
        <f>IFERROR(MATCH($A319,PP_Grid[Intermediate],0),99999)</f>
        <v/>
      </c>
    </row>
    <row r="320">
      <c r="A320" t="inlineStr">
        <is>
          <t>VSP-822</t>
        </is>
      </c>
      <c r="B320" t="inlineStr">
        <is>
          <t>CHEM-1400</t>
        </is>
      </c>
      <c r="C320" t="n">
        <v>5.05</v>
      </c>
      <c r="D320">
        <f>IFERROR(MATCH($A320,PP_Grid[Intermediate],0),99999)</f>
        <v/>
      </c>
    </row>
    <row r="321">
      <c r="A321" t="inlineStr">
        <is>
          <t>VSP-822</t>
        </is>
      </c>
      <c r="B321" t="inlineStr">
        <is>
          <t>CHEM-1420</t>
        </is>
      </c>
      <c r="C321" t="n">
        <v>1.707</v>
      </c>
      <c r="D321">
        <f>IFERROR(MATCH($A321,PP_Grid[Intermediate],0),99999)</f>
        <v/>
      </c>
    </row>
    <row r="322">
      <c r="A322" t="inlineStr">
        <is>
          <t>VSP-822</t>
        </is>
      </c>
      <c r="B322" t="inlineStr">
        <is>
          <t>CHEM-1440</t>
        </is>
      </c>
      <c r="C322" t="n">
        <v>1.028</v>
      </c>
      <c r="D322">
        <f>IFERROR(MATCH($A322,PP_Grid[Intermediate],0),99999)</f>
        <v/>
      </c>
    </row>
    <row r="323">
      <c r="A323" t="inlineStr">
        <is>
          <t>VSP-822</t>
        </is>
      </c>
      <c r="B323" t="inlineStr">
        <is>
          <t>CHEM-1650</t>
        </is>
      </c>
      <c r="C323" t="n">
        <v>0.041</v>
      </c>
      <c r="D323">
        <f>IFERROR(MATCH($A323,PP_Grid[Intermediate],0),99999)</f>
        <v/>
      </c>
    </row>
    <row r="324">
      <c r="A324" t="inlineStr">
        <is>
          <t>VSP-822</t>
        </is>
      </c>
      <c r="B324" t="inlineStr">
        <is>
          <t>CHEM-1660</t>
        </is>
      </c>
      <c r="C324" t="n">
        <v>1.094</v>
      </c>
      <c r="D324">
        <f>IFERROR(MATCH($A324,PP_Grid[Intermediate],0),99999)</f>
        <v/>
      </c>
    </row>
    <row r="325">
      <c r="A325" t="inlineStr">
        <is>
          <t>VSP-869</t>
        </is>
      </c>
      <c r="B325" t="inlineStr">
        <is>
          <t>CHEM-1400</t>
        </is>
      </c>
      <c r="C325" t="n">
        <v>3.544</v>
      </c>
      <c r="D325">
        <f>IFERROR(MATCH($A325,PP_Grid[Intermediate],0),99999)</f>
        <v/>
      </c>
    </row>
    <row r="326">
      <c r="A326" t="inlineStr">
        <is>
          <t>VSP-869</t>
        </is>
      </c>
      <c r="B326" t="inlineStr">
        <is>
          <t>CHEM-1600</t>
        </is>
      </c>
      <c r="C326" t="n">
        <v>17.539</v>
      </c>
      <c r="D326">
        <f>IFERROR(MATCH($A326,PP_Grid[Intermediate],0),99999)</f>
        <v/>
      </c>
    </row>
    <row r="327">
      <c r="A327" t="inlineStr">
        <is>
          <t>VSP-869</t>
        </is>
      </c>
      <c r="B327" t="inlineStr">
        <is>
          <t>CHEM-1510</t>
        </is>
      </c>
      <c r="C327" t="n">
        <v>7.476</v>
      </c>
      <c r="D327">
        <f>IFERROR(MATCH($A327,PP_Grid[Intermediate],0),99999)</f>
        <v/>
      </c>
    </row>
    <row r="328">
      <c r="A328" t="inlineStr">
        <is>
          <t>VSP-869</t>
        </is>
      </c>
      <c r="B328" t="inlineStr">
        <is>
          <t>0JN</t>
        </is>
      </c>
      <c r="C328" t="n">
        <v>3.58958</v>
      </c>
      <c r="D328">
        <f>IFERROR(MATCH($A328,PP_Grid[Intermediate],0),99999)</f>
        <v/>
      </c>
    </row>
    <row r="329">
      <c r="A329" t="inlineStr">
        <is>
          <t>VSP-869</t>
        </is>
      </c>
      <c r="B329" t="inlineStr">
        <is>
          <t>CHEM-1420</t>
        </is>
      </c>
      <c r="C329" t="n">
        <v>0.533</v>
      </c>
      <c r="D329">
        <f>IFERROR(MATCH($A329,PP_Grid[Intermediate],0),99999)</f>
        <v/>
      </c>
    </row>
    <row r="330">
      <c r="A330" t="inlineStr">
        <is>
          <t>VSP-869</t>
        </is>
      </c>
      <c r="B330" t="inlineStr">
        <is>
          <t>CHEM-1660</t>
        </is>
      </c>
      <c r="C330" t="n">
        <v>1.536</v>
      </c>
      <c r="D330">
        <f>IFERROR(MATCH($A330,PP_Grid[Intermediate],0),99999)</f>
        <v/>
      </c>
    </row>
    <row r="331">
      <c r="A331" t="inlineStr">
        <is>
          <t>VSP-870</t>
        </is>
      </c>
      <c r="B331" t="inlineStr">
        <is>
          <t>CHEM-1530</t>
        </is>
      </c>
      <c r="C331" t="n">
        <v>70.2684</v>
      </c>
      <c r="D331">
        <f>IFERROR(MATCH($A331,PP_Grid[Intermediate],0),99999)</f>
        <v/>
      </c>
    </row>
    <row r="332">
      <c r="A332" t="inlineStr">
        <is>
          <t>VSP-870</t>
        </is>
      </c>
      <c r="B332" t="inlineStr">
        <is>
          <t>CHEM-1400</t>
        </is>
      </c>
      <c r="C332" t="n">
        <v>6.384</v>
      </c>
      <c r="D332">
        <f>IFERROR(MATCH($A332,PP_Grid[Intermediate],0),99999)</f>
        <v/>
      </c>
    </row>
    <row r="333">
      <c r="A333" t="inlineStr">
        <is>
          <t>VSP-870</t>
        </is>
      </c>
      <c r="B333" t="inlineStr">
        <is>
          <t>CHEM-1420</t>
        </is>
      </c>
      <c r="C333" t="n">
        <v>1.359</v>
      </c>
      <c r="D333">
        <f>IFERROR(MATCH($A333,PP_Grid[Intermediate],0),99999)</f>
        <v/>
      </c>
    </row>
    <row r="334">
      <c r="A334" t="inlineStr">
        <is>
          <t>VSP-870</t>
        </is>
      </c>
      <c r="B334" t="inlineStr">
        <is>
          <t>CHEM-1440</t>
        </is>
      </c>
      <c r="C334" t="n">
        <v>1.239</v>
      </c>
      <c r="D334">
        <f>IFERROR(MATCH($A334,PP_Grid[Intermediate],0),99999)</f>
        <v/>
      </c>
    </row>
    <row r="335">
      <c r="A335" t="inlineStr">
        <is>
          <t>VSP-870</t>
        </is>
      </c>
      <c r="B335" t="inlineStr">
        <is>
          <t>CHEM-1650</t>
        </is>
      </c>
      <c r="C335" t="n">
        <v>0.045</v>
      </c>
      <c r="D335">
        <f>IFERROR(MATCH($A335,PP_Grid[Intermediate],0),99999)</f>
        <v/>
      </c>
    </row>
    <row r="336">
      <c r="A336" t="inlineStr">
        <is>
          <t>VSP-870</t>
        </is>
      </c>
      <c r="B336" t="inlineStr">
        <is>
          <t>CHEM-1660</t>
        </is>
      </c>
      <c r="C336" t="n">
        <v>1.433</v>
      </c>
      <c r="D336">
        <f>IFERROR(MATCH($A336,PP_Grid[Intermediate],0),99999)</f>
        <v/>
      </c>
    </row>
    <row r="337">
      <c r="A337" t="inlineStr">
        <is>
          <t>VSP-910</t>
        </is>
      </c>
      <c r="B337" t="inlineStr">
        <is>
          <t>CHEM-1530</t>
        </is>
      </c>
      <c r="C337" t="n">
        <v>44.609</v>
      </c>
      <c r="D337">
        <f>IFERROR(MATCH($A337,PP_Grid[Intermediate],0),99999)</f>
        <v/>
      </c>
    </row>
    <row r="338">
      <c r="A338" t="inlineStr">
        <is>
          <t>VSP-910</t>
        </is>
      </c>
      <c r="B338" t="inlineStr">
        <is>
          <t>CHEM-1400</t>
        </is>
      </c>
      <c r="C338" t="n">
        <v>4.051</v>
      </c>
      <c r="D338">
        <f>IFERROR(MATCH($A338,PP_Grid[Intermediate],0),99999)</f>
        <v/>
      </c>
    </row>
    <row r="339">
      <c r="A339" t="inlineStr">
        <is>
          <t>VSP-910</t>
        </is>
      </c>
      <c r="B339" t="inlineStr">
        <is>
          <t>CHEM-1420</t>
        </is>
      </c>
      <c r="C339" t="n">
        <v>1.43</v>
      </c>
      <c r="D339">
        <f>IFERROR(MATCH($A339,PP_Grid[Intermediate],0),99999)</f>
        <v/>
      </c>
    </row>
    <row r="340">
      <c r="A340" t="inlineStr">
        <is>
          <t>VSP-910</t>
        </is>
      </c>
      <c r="B340" t="inlineStr">
        <is>
          <t>CHEM-1440</t>
        </is>
      </c>
      <c r="C340" t="n">
        <v>1.012</v>
      </c>
      <c r="D340">
        <f>IFERROR(MATCH($A340,PP_Grid[Intermediate],0),99999)</f>
        <v/>
      </c>
    </row>
    <row r="341">
      <c r="A341" t="inlineStr">
        <is>
          <t>VSP-910</t>
        </is>
      </c>
      <c r="B341" t="inlineStr">
        <is>
          <t>CHEM-1660</t>
        </is>
      </c>
      <c r="C341" t="n">
        <v>0.913</v>
      </c>
      <c r="D341">
        <f>IFERROR(MATCH($A341,PP_Grid[Intermediate],0),99999)</f>
        <v/>
      </c>
    </row>
    <row r="342">
      <c r="A342" t="inlineStr">
        <is>
          <t>VSP-989</t>
        </is>
      </c>
      <c r="B342" t="inlineStr">
        <is>
          <t>CHEM-1400</t>
        </is>
      </c>
      <c r="C342" t="n">
        <v>2.198</v>
      </c>
      <c r="D342">
        <f>IFERROR(MATCH($A342,PP_Grid[Intermediate],0),99999)</f>
        <v/>
      </c>
    </row>
    <row r="343">
      <c r="A343" t="inlineStr">
        <is>
          <t>VSP-989</t>
        </is>
      </c>
      <c r="B343" t="inlineStr">
        <is>
          <t>CHEM-1600</t>
        </is>
      </c>
      <c r="C343" t="n">
        <v>7.704</v>
      </c>
      <c r="D343">
        <f>IFERROR(MATCH($A343,PP_Grid[Intermediate],0),99999)</f>
        <v/>
      </c>
    </row>
    <row r="344">
      <c r="A344" t="inlineStr">
        <is>
          <t>VSP-989</t>
        </is>
      </c>
      <c r="B344" t="inlineStr">
        <is>
          <t>CHEM-1510</t>
        </is>
      </c>
      <c r="C344" t="n">
        <v>5.21</v>
      </c>
      <c r="D344">
        <f>IFERROR(MATCH($A344,PP_Grid[Intermediate],0),99999)</f>
        <v/>
      </c>
    </row>
    <row r="345">
      <c r="A345" t="inlineStr">
        <is>
          <t>VSP-989</t>
        </is>
      </c>
      <c r="B345" t="inlineStr">
        <is>
          <t>0JN</t>
        </is>
      </c>
      <c r="C345" t="n">
        <v>15.799</v>
      </c>
      <c r="D345">
        <f>IFERROR(MATCH($A345,PP_Grid[Intermediate],0),99999)</f>
        <v/>
      </c>
    </row>
    <row r="346">
      <c r="A346" t="inlineStr">
        <is>
          <t>VSP-989</t>
        </is>
      </c>
      <c r="B346" t="inlineStr">
        <is>
          <t>CHEM-1420</t>
        </is>
      </c>
      <c r="C346" t="n">
        <v>0.612</v>
      </c>
      <c r="D346">
        <f>IFERROR(MATCH($A346,PP_Grid[Intermediate],0),99999)</f>
        <v/>
      </c>
    </row>
    <row r="347">
      <c r="A347" t="inlineStr">
        <is>
          <t>VSP-989</t>
        </is>
      </c>
      <c r="B347" t="inlineStr">
        <is>
          <t>CHEM-1440</t>
        </is>
      </c>
      <c r="C347" t="n">
        <v>0.0907100544</v>
      </c>
      <c r="D347">
        <f>IFERROR(MATCH($A347,PP_Grid[Intermediate],0),99999)</f>
        <v/>
      </c>
    </row>
    <row r="348">
      <c r="A348" t="inlineStr">
        <is>
          <t>VSP-989</t>
        </is>
      </c>
      <c r="B348" t="inlineStr">
        <is>
          <t>CHEM-1660</t>
        </is>
      </c>
      <c r="C348" t="n">
        <v>0.907</v>
      </c>
      <c r="D348">
        <f>IFERROR(MATCH($A348,PP_Grid[Intermediate],0),99999)</f>
        <v/>
      </c>
    </row>
    <row r="349">
      <c r="A349" t="inlineStr">
        <is>
          <t>VSP-990</t>
        </is>
      </c>
      <c r="B349" t="inlineStr">
        <is>
          <t>CHEM-1530</t>
        </is>
      </c>
      <c r="C349" t="n">
        <v>39.4155</v>
      </c>
      <c r="D349">
        <f>IFERROR(MATCH($A349,PP_Grid[Intermediate],0),99999)</f>
        <v/>
      </c>
    </row>
    <row r="350">
      <c r="A350" t="inlineStr">
        <is>
          <t>VSP-990</t>
        </is>
      </c>
      <c r="B350" t="inlineStr">
        <is>
          <t>CHEM-1400</t>
        </is>
      </c>
      <c r="C350" t="n">
        <v>3.577</v>
      </c>
      <c r="D350">
        <f>IFERROR(MATCH($A350,PP_Grid[Intermediate],0),99999)</f>
        <v/>
      </c>
    </row>
    <row r="351">
      <c r="A351" t="inlineStr">
        <is>
          <t>VSP-990</t>
        </is>
      </c>
      <c r="B351" t="inlineStr">
        <is>
          <t>CHEM-1420</t>
        </is>
      </c>
      <c r="C351" t="n">
        <v>0.85</v>
      </c>
      <c r="D351">
        <f>IFERROR(MATCH($A351,PP_Grid[Intermediate],0),99999)</f>
        <v/>
      </c>
    </row>
    <row r="352">
      <c r="A352" t="inlineStr">
        <is>
          <t>VSP-990</t>
        </is>
      </c>
      <c r="B352" t="inlineStr">
        <is>
          <t>CHEM-1440</t>
        </is>
      </c>
      <c r="C352" t="n">
        <v>0.484</v>
      </c>
      <c r="D352">
        <f>IFERROR(MATCH($A352,PP_Grid[Intermediate],0),99999)</f>
        <v/>
      </c>
    </row>
    <row r="353">
      <c r="A353" t="inlineStr">
        <is>
          <t>VSP-990</t>
        </is>
      </c>
      <c r="B353" t="inlineStr">
        <is>
          <t>CHEM-1650</t>
        </is>
      </c>
      <c r="C353" t="n">
        <v>0.048</v>
      </c>
      <c r="D353">
        <f>IFERROR(MATCH($A353,PP_Grid[Intermediate],0),99999)</f>
        <v/>
      </c>
    </row>
    <row r="354">
      <c r="A354" t="inlineStr">
        <is>
          <t>VSP-990</t>
        </is>
      </c>
      <c r="B354" t="inlineStr">
        <is>
          <t>CHEM-1660</t>
        </is>
      </c>
      <c r="C354" t="n">
        <v>0.8070000000000001</v>
      </c>
      <c r="D354">
        <f>IFERROR(MATCH($A354,PP_Grid[Intermediate],0),99999)</f>
        <v/>
      </c>
    </row>
    <row r="355">
      <c r="A355" t="inlineStr">
        <is>
          <t>VSZ-745</t>
        </is>
      </c>
      <c r="B355" t="inlineStr">
        <is>
          <t>CHEM-1530</t>
        </is>
      </c>
      <c r="C355" t="n">
        <v>29.44</v>
      </c>
      <c r="D355">
        <f>IFERROR(MATCH($A355,PP_Grid[Intermediate],0),99999)</f>
        <v/>
      </c>
    </row>
    <row r="356">
      <c r="A356" t="inlineStr">
        <is>
          <t>VSZ-745</t>
        </is>
      </c>
      <c r="B356" t="inlineStr">
        <is>
          <t>CHEM-1400</t>
        </is>
      </c>
      <c r="C356" t="n">
        <v>7.171</v>
      </c>
      <c r="D356">
        <f>IFERROR(MATCH($A356,PP_Grid[Intermediate],0),99999)</f>
        <v/>
      </c>
    </row>
    <row r="357">
      <c r="A357" t="inlineStr">
        <is>
          <t>VSZ-745</t>
        </is>
      </c>
      <c r="B357" t="inlineStr">
        <is>
          <t>CHEM-1600</t>
        </is>
      </c>
      <c r="C357" t="n">
        <v>14.88</v>
      </c>
      <c r="D357">
        <f>IFERROR(MATCH($A357,PP_Grid[Intermediate],0),99999)</f>
        <v/>
      </c>
    </row>
    <row r="358">
      <c r="A358" t="inlineStr">
        <is>
          <t>VSZ-745</t>
        </is>
      </c>
      <c r="B358" t="inlineStr">
        <is>
          <t>CHEM-1420</t>
        </is>
      </c>
      <c r="C358" t="n">
        <v>0.954</v>
      </c>
      <c r="D358">
        <f>IFERROR(MATCH($A358,PP_Grid[Intermediate],0),99999)</f>
        <v/>
      </c>
    </row>
    <row r="359">
      <c r="A359" t="inlineStr">
        <is>
          <t>VSZ-745</t>
        </is>
      </c>
      <c r="B359" t="inlineStr">
        <is>
          <t>CHEM-1440</t>
        </is>
      </c>
      <c r="C359" t="n">
        <v>0.389</v>
      </c>
      <c r="D359">
        <f>IFERROR(MATCH($A359,PP_Grid[Intermediate],0),99999)</f>
        <v/>
      </c>
    </row>
    <row r="360">
      <c r="A360" t="inlineStr">
        <is>
          <t>VSZ-745</t>
        </is>
      </c>
      <c r="B360" t="inlineStr">
        <is>
          <t>CHEM-1650</t>
        </is>
      </c>
      <c r="C360" t="n">
        <v>0.045</v>
      </c>
      <c r="D360">
        <f>IFERROR(MATCH($A360,PP_Grid[Intermediate],0),99999)</f>
        <v/>
      </c>
    </row>
    <row r="361">
      <c r="A361" t="inlineStr">
        <is>
          <t>TVS-267</t>
        </is>
      </c>
      <c r="B361" t="inlineStr">
        <is>
          <t>CHEM-1420</t>
        </is>
      </c>
      <c r="C361" t="n">
        <v>2.74402</v>
      </c>
      <c r="D361">
        <f>IFERROR(MATCH($A361,PP_Grid[Intermediate],0),99999)</f>
        <v/>
      </c>
    </row>
    <row r="362">
      <c r="A362" t="inlineStr">
        <is>
          <t>TVS-267</t>
        </is>
      </c>
      <c r="B362" t="inlineStr">
        <is>
          <t>CHEM-1760</t>
        </is>
      </c>
      <c r="C362" t="n">
        <v>0.18894</v>
      </c>
      <c r="D362">
        <f>IFERROR(MATCH($A362,PP_Grid[Intermediate],0),99999)</f>
        <v/>
      </c>
    </row>
    <row r="363">
      <c r="A363" t="inlineStr">
        <is>
          <t>TVS-500</t>
        </is>
      </c>
      <c r="B363" t="inlineStr">
        <is>
          <t>CHEM-1420</t>
        </is>
      </c>
      <c r="C363" t="n">
        <v>2.54073</v>
      </c>
      <c r="D363">
        <f>IFERROR(MATCH($A363,PP_Grid[Intermediate],0),99999)</f>
        <v/>
      </c>
    </row>
    <row r="364">
      <c r="A364" t="inlineStr">
        <is>
          <t>TVS-500</t>
        </is>
      </c>
      <c r="B364" t="inlineStr">
        <is>
          <t>CHEM-1760</t>
        </is>
      </c>
      <c r="C364" t="n">
        <v>0.164</v>
      </c>
      <c r="D364">
        <f>IFERROR(MATCH($A364,PP_Grid[Intermediate],0),99999)</f>
        <v/>
      </c>
    </row>
    <row r="365">
      <c r="A365" t="inlineStr">
        <is>
          <t>TPP-190</t>
        </is>
      </c>
      <c r="B365" t="inlineStr">
        <is>
          <t>0JN</t>
        </is>
      </c>
      <c r="C365" t="n">
        <v>3.397</v>
      </c>
      <c r="D365">
        <f>IFERROR(MATCH($A365,PP_Grid[Intermediate],0),99999)</f>
        <v/>
      </c>
    </row>
    <row r="366">
      <c r="A366" t="inlineStr">
        <is>
          <t>TPP-204</t>
        </is>
      </c>
      <c r="B366" t="inlineStr">
        <is>
          <t>0JN</t>
        </is>
      </c>
      <c r="C366" t="n">
        <v>3.68</v>
      </c>
      <c r="D366">
        <f>IFERROR(MATCH($A366,PP_Grid[Intermediate],0),99999)</f>
        <v/>
      </c>
    </row>
    <row r="367">
      <c r="A367" t="inlineStr">
        <is>
          <t>TPP-350</t>
        </is>
      </c>
      <c r="B367" t="inlineStr">
        <is>
          <t>0JN</t>
        </is>
      </c>
      <c r="C367" t="n">
        <v>4.31</v>
      </c>
      <c r="D367">
        <f>IFERROR(MATCH($A367,PP_Grid[Intermediate],0),99999)</f>
        <v/>
      </c>
    </row>
    <row r="368">
      <c r="A368" t="inlineStr">
        <is>
          <t>TPP-356</t>
        </is>
      </c>
      <c r="B368" t="inlineStr">
        <is>
          <t>0JN</t>
        </is>
      </c>
      <c r="C368" t="n">
        <v>11.11</v>
      </c>
      <c r="D368">
        <f>IFERROR(MATCH($A368,PP_Grid[Intermediate],0),99999)</f>
        <v/>
      </c>
    </row>
    <row r="369">
      <c r="A369" t="inlineStr">
        <is>
          <t>TPP-358</t>
        </is>
      </c>
      <c r="B369" t="inlineStr">
        <is>
          <t>CHEM-1540</t>
        </is>
      </c>
      <c r="C369" t="n">
        <v>65.95</v>
      </c>
      <c r="D369">
        <f>IFERROR(MATCH($A369,PP_Grid[Intermediate],0),99999)</f>
        <v/>
      </c>
    </row>
    <row r="370">
      <c r="A370" t="inlineStr">
        <is>
          <t>TPP-704</t>
        </is>
      </c>
      <c r="B370" t="inlineStr">
        <is>
          <t>0JN</t>
        </is>
      </c>
      <c r="C370" t="n">
        <v>5.706</v>
      </c>
      <c r="D370">
        <f>IFERROR(MATCH($A370,PP_Grid[Intermediate],0),99999)</f>
        <v/>
      </c>
    </row>
    <row r="371">
      <c r="A371" t="inlineStr">
        <is>
          <t>TPP-650</t>
        </is>
      </c>
      <c r="B371" t="inlineStr">
        <is>
          <t>CHEM-1530</t>
        </is>
      </c>
      <c r="C371" t="n">
        <v>36.07</v>
      </c>
      <c r="D371">
        <f>IFERROR(MATCH($A371,PP_Grid[Intermediate],0),99999)</f>
        <v/>
      </c>
    </row>
    <row r="372">
      <c r="A372" t="inlineStr">
        <is>
          <t>TPP-650</t>
        </is>
      </c>
      <c r="B372" t="inlineStr">
        <is>
          <t>0JN</t>
        </is>
      </c>
      <c r="C372" t="n">
        <v>8.832000000000001</v>
      </c>
      <c r="D372">
        <f>IFERROR(MATCH($A372,PP_Grid[Intermediate],0),99999)</f>
        <v/>
      </c>
    </row>
    <row r="373">
      <c r="A373" t="inlineStr">
        <is>
          <t>TPP-527</t>
        </is>
      </c>
      <c r="B373" t="inlineStr">
        <is>
          <t>0JN</t>
        </is>
      </c>
      <c r="C373" t="n">
        <v>2.184</v>
      </c>
      <c r="D373">
        <f>IFERROR(MATCH($A373,PP_Grid[Intermediate],0),99999)</f>
        <v/>
      </c>
    </row>
    <row r="374">
      <c r="A374" t="inlineStr">
        <is>
          <t>TPP-533(98%)</t>
        </is>
      </c>
      <c r="B374" t="inlineStr">
        <is>
          <t>CHEM-1540</t>
        </is>
      </c>
      <c r="C374" t="n">
        <v>58.87</v>
      </c>
      <c r="D374">
        <f>IFERROR(MATCH($A374,PP_Grid[Intermediate],0),99999)</f>
        <v/>
      </c>
    </row>
    <row r="375">
      <c r="A375" t="inlineStr">
        <is>
          <t>TPP-537</t>
        </is>
      </c>
      <c r="B375" t="inlineStr">
        <is>
          <t>0JN</t>
        </is>
      </c>
      <c r="C375" t="n">
        <v>0.5659999999999999</v>
      </c>
      <c r="D375">
        <f>IFERROR(MATCH($A375,PP_Grid[Intermediate],0),99999)</f>
        <v/>
      </c>
    </row>
    <row r="376">
      <c r="A376" t="inlineStr">
        <is>
          <t>TPP-609</t>
        </is>
      </c>
      <c r="B376" t="inlineStr">
        <is>
          <t>0JN</t>
        </is>
      </c>
      <c r="C376" t="n">
        <v>3.101</v>
      </c>
      <c r="D376">
        <f>IFERROR(MATCH($A376,PP_Grid[Intermediate],0),99999)</f>
        <v/>
      </c>
    </row>
    <row r="377">
      <c r="A377" t="inlineStr">
        <is>
          <t>TPP-611</t>
        </is>
      </c>
      <c r="B377" t="inlineStr">
        <is>
          <t>CHEM-1680</t>
        </is>
      </c>
      <c r="C377" t="n">
        <v>18.05</v>
      </c>
      <c r="D377">
        <f>IFERROR(MATCH($A377,PP_Grid[Intermediate],0),99999)</f>
        <v/>
      </c>
    </row>
    <row r="378">
      <c r="A378" t="inlineStr">
        <is>
          <t>TPP-613</t>
        </is>
      </c>
      <c r="B378" t="inlineStr">
        <is>
          <t>CHEM-1680</t>
        </is>
      </c>
      <c r="C378" t="n">
        <v>18.07</v>
      </c>
      <c r="D378">
        <f>IFERROR(MATCH($A378,PP_Grid[Intermediate],0),99999)</f>
        <v/>
      </c>
    </row>
    <row r="379">
      <c r="A379" t="inlineStr">
        <is>
          <t>TPP-915</t>
        </is>
      </c>
      <c r="B379" t="inlineStr">
        <is>
          <t>CHEM-1680</t>
        </is>
      </c>
      <c r="C379" t="n">
        <v>25.61</v>
      </c>
      <c r="D379">
        <f>IFERROR(MATCH($A379,PP_Grid[Intermediate],0),99999)</f>
        <v/>
      </c>
    </row>
    <row r="380">
      <c r="A380" t="inlineStr">
        <is>
          <t>TPP-920</t>
        </is>
      </c>
      <c r="B380" t="inlineStr">
        <is>
          <t>CHEM-1680</t>
        </is>
      </c>
      <c r="C380" t="n">
        <v>18.2</v>
      </c>
      <c r="D380">
        <f>IFERROR(MATCH($A380,PP_Grid[Intermediate],0),99999)</f>
        <v/>
      </c>
    </row>
    <row r="381">
      <c r="A381" t="inlineStr">
        <is>
          <t>TPP-911</t>
        </is>
      </c>
      <c r="B381" t="inlineStr">
        <is>
          <t>CHEM-1730</t>
        </is>
      </c>
      <c r="C381" t="n">
        <v>52.04</v>
      </c>
      <c r="D381">
        <f>IFERROR(MATCH($A381,PP_Grid[Intermediate],0),99999)</f>
        <v/>
      </c>
    </row>
    <row r="382">
      <c r="A382" t="inlineStr">
        <is>
          <t>TPP-911</t>
        </is>
      </c>
      <c r="B382" t="inlineStr">
        <is>
          <t>0JN</t>
        </is>
      </c>
      <c r="C382" t="n">
        <v>5.967</v>
      </c>
      <c r="D382">
        <f>IFERROR(MATCH($A382,PP_Grid[Intermediate],0),99999)</f>
        <v/>
      </c>
    </row>
    <row r="383">
      <c r="A383" t="inlineStr">
        <is>
          <t>TPP-533(A)</t>
        </is>
      </c>
      <c r="B383" t="inlineStr">
        <is>
          <t>CHEM-1540</t>
        </is>
      </c>
      <c r="C383" t="n">
        <v>18.64</v>
      </c>
      <c r="D383">
        <f>IFERROR(MATCH($A383,PP_Grid[Intermediate],0),99999)</f>
        <v/>
      </c>
    </row>
    <row r="384">
      <c r="A384" t="inlineStr">
        <is>
          <t>TPP-970</t>
        </is>
      </c>
      <c r="B384" t="inlineStr">
        <is>
          <t>0JN</t>
        </is>
      </c>
      <c r="C384" t="n">
        <v>6.331</v>
      </c>
      <c r="D384">
        <f>IFERROR(MATCH($A384,PP_Grid[Intermediate],0),99999)</f>
        <v/>
      </c>
    </row>
    <row r="385">
      <c r="A385" t="inlineStr">
        <is>
          <t>TPP-914</t>
        </is>
      </c>
      <c r="B385" t="inlineStr">
        <is>
          <t>CHEM-1680</t>
        </is>
      </c>
      <c r="C385" t="n">
        <v>25.96</v>
      </c>
      <c r="D385">
        <f>IFERROR(MATCH($A385,PP_Grid[Intermediate],0),99999)</f>
        <v/>
      </c>
    </row>
    <row r="386">
      <c r="A386" t="inlineStr">
        <is>
          <t>TPP-919</t>
        </is>
      </c>
      <c r="B386" t="inlineStr">
        <is>
          <t>CHEM-1680</t>
        </is>
      </c>
      <c r="C386" t="n">
        <v>17.58</v>
      </c>
      <c r="D386">
        <f>IFERROR(MATCH($A386,PP_Grid[Intermediate],0),99999)</f>
        <v/>
      </c>
    </row>
    <row r="387">
      <c r="A387" t="inlineStr">
        <is>
          <t>TPP-635</t>
        </is>
      </c>
      <c r="B387" t="inlineStr">
        <is>
          <t>CHEM-1770</t>
        </is>
      </c>
      <c r="C387" t="n">
        <v>44.09</v>
      </c>
      <c r="D387">
        <f>IFERROR(MATCH($A387,PP_Grid[Intermediate],0),99999)</f>
        <v/>
      </c>
    </row>
    <row r="388">
      <c r="A388" t="inlineStr">
        <is>
          <t>TPP-912</t>
        </is>
      </c>
      <c r="B388" t="inlineStr">
        <is>
          <t>CHEM-1730</t>
        </is>
      </c>
      <c r="C388" t="n">
        <v>52.25</v>
      </c>
      <c r="D388">
        <f>IFERROR(MATCH($A388,PP_Grid[Intermediate],0),99999)</f>
        <v/>
      </c>
    </row>
    <row r="389">
      <c r="A389" t="inlineStr">
        <is>
          <t>TPP-912</t>
        </is>
      </c>
      <c r="B389" t="inlineStr">
        <is>
          <t>0JN</t>
        </is>
      </c>
      <c r="C389" t="n">
        <v>1.631</v>
      </c>
      <c r="D389">
        <f>IFERROR(MATCH($A389,PP_Grid[Intermediate],0),99999)</f>
        <v/>
      </c>
    </row>
    <row r="390">
      <c r="A390" t="inlineStr">
        <is>
          <t>TPP-916</t>
        </is>
      </c>
      <c r="B390" t="inlineStr">
        <is>
          <t>CHEM-1680</t>
        </is>
      </c>
      <c r="C390" t="n">
        <v>25.62</v>
      </c>
      <c r="D390">
        <f>IFERROR(MATCH($A390,PP_Grid[Intermediate],0),99999)</f>
        <v/>
      </c>
    </row>
    <row r="391">
      <c r="A391" t="inlineStr">
        <is>
          <t>TPP-917</t>
        </is>
      </c>
      <c r="B391" t="inlineStr">
        <is>
          <t>CHEM-1680</t>
        </is>
      </c>
      <c r="C391" t="n">
        <v>26.29</v>
      </c>
      <c r="D391">
        <f>IFERROR(MATCH($A391,PP_Grid[Intermediate],0),99999)</f>
        <v/>
      </c>
    </row>
    <row r="392">
      <c r="A392" t="inlineStr">
        <is>
          <t>TPP-922</t>
        </is>
      </c>
      <c r="B392" t="inlineStr">
        <is>
          <t>CHEM-1680</t>
        </is>
      </c>
      <c r="C392" t="n">
        <v>18.25</v>
      </c>
      <c r="D392">
        <f>IFERROR(MATCH($A392,PP_Grid[Intermediate],0),99999)</f>
        <v/>
      </c>
    </row>
    <row r="393">
      <c r="A393" t="inlineStr">
        <is>
          <t>TPP-923</t>
        </is>
      </c>
      <c r="B393" t="inlineStr">
        <is>
          <t>CHEM-1680</t>
        </is>
      </c>
      <c r="C393" t="n">
        <v>17.93</v>
      </c>
      <c r="D393">
        <f>IFERROR(MATCH($A393,PP_Grid[Intermediate],0),99999)</f>
        <v/>
      </c>
    </row>
    <row r="394">
      <c r="A394" t="inlineStr">
        <is>
          <t>No of times used</t>
        </is>
      </c>
      <c r="B394" t="inlineStr">
        <is>
          <t>CHEM-1540</t>
        </is>
      </c>
      <c r="C394" t="n">
        <v>3</v>
      </c>
      <c r="D394">
        <f>IFERROR(MATCH($A394,PP_Grid[Intermediate],0),99999)</f>
        <v/>
      </c>
    </row>
    <row r="395">
      <c r="A395" t="inlineStr">
        <is>
          <t>No of times used</t>
        </is>
      </c>
      <c r="B395" t="inlineStr">
        <is>
          <t>CHEM-1530</t>
        </is>
      </c>
      <c r="C395" t="n">
        <v>1</v>
      </c>
      <c r="D395">
        <f>IFERROR(MATCH($A395,PP_Grid[Intermediate],0),99999)</f>
        <v/>
      </c>
    </row>
    <row r="396">
      <c r="A396" t="inlineStr">
        <is>
          <t>No of times used</t>
        </is>
      </c>
      <c r="B396" t="inlineStr">
        <is>
          <t>CHEM-1770</t>
        </is>
      </c>
      <c r="C396" t="n">
        <v>1</v>
      </c>
      <c r="D396">
        <f>IFERROR(MATCH($A396,PP_Grid[Intermediate],0),99999)</f>
        <v/>
      </c>
    </row>
    <row r="397">
      <c r="A397" t="inlineStr">
        <is>
          <t>No of times used</t>
        </is>
      </c>
      <c r="B397" t="inlineStr">
        <is>
          <t>CHEM-1730</t>
        </is>
      </c>
      <c r="C397" t="n">
        <v>2</v>
      </c>
      <c r="D397">
        <f>IFERROR(MATCH($A397,PP_Grid[Intermediate],0),99999)</f>
        <v/>
      </c>
    </row>
    <row r="398">
      <c r="A398" t="inlineStr">
        <is>
          <t>No of times used</t>
        </is>
      </c>
      <c r="B398" t="inlineStr">
        <is>
          <t>CHEM-1680</t>
        </is>
      </c>
      <c r="C398" t="n">
        <v>10</v>
      </c>
      <c r="D398">
        <f>IFERROR(MATCH($A398,PP_Grid[Intermediate],0),99999)</f>
        <v/>
      </c>
    </row>
    <row r="399">
      <c r="A399" t="inlineStr">
        <is>
          <t>No of times used</t>
        </is>
      </c>
      <c r="B399" t="inlineStr">
        <is>
          <t>0JN</t>
        </is>
      </c>
      <c r="C399" t="n">
        <v>13</v>
      </c>
      <c r="D399">
        <f>IFERROR(MATCH($A399,PP_Grid[Intermediate],0),99999)</f>
        <v/>
      </c>
    </row>
    <row r="400">
      <c r="A400" t="inlineStr">
        <is>
          <t>0Q110</t>
        </is>
      </c>
      <c r="B400" t="inlineStr">
        <is>
          <t>5SN</t>
        </is>
      </c>
      <c r="C400" t="n">
        <v>1</v>
      </c>
      <c r="D400">
        <f>IFERROR(MATCH($A400,PP_Grid[Intermediate],0),99999)</f>
        <v/>
      </c>
    </row>
    <row r="401">
      <c r="A401" t="inlineStr">
        <is>
          <t>0TA30</t>
        </is>
      </c>
      <c r="B401" t="inlineStr">
        <is>
          <t>TDJ</t>
        </is>
      </c>
      <c r="C401" t="n">
        <v>1</v>
      </c>
      <c r="D401">
        <f>IFERROR(MATCH($A401,PP_Grid[Intermediate],0),99999)</f>
        <v/>
      </c>
    </row>
    <row r="402">
      <c r="A402" t="inlineStr">
        <is>
          <t>20p</t>
        </is>
      </c>
      <c r="B402" t="inlineStr">
        <is>
          <t>CHEM-1020</t>
        </is>
      </c>
      <c r="C402" t="n">
        <v>25</v>
      </c>
      <c r="D402">
        <f>IFERROR(MATCH($A402,PP_Grid[Intermediate],0),99999)</f>
        <v/>
      </c>
    </row>
    <row r="403">
      <c r="A403" t="inlineStr">
        <is>
          <t>Ester Film</t>
        </is>
      </c>
      <c r="B403" t="inlineStr">
        <is>
          <t>Ester Film</t>
        </is>
      </c>
      <c r="C403" t="n">
        <v>35</v>
      </c>
      <c r="D403">
        <f>IFERROR(MATCH($A403,PP_Grid[Intermediate],0),99999)</f>
        <v/>
      </c>
    </row>
    <row r="404">
      <c r="A404" t="inlineStr">
        <is>
          <t>F2090</t>
        </is>
      </c>
      <c r="B404" t="inlineStr">
        <is>
          <t>0JN</t>
        </is>
      </c>
      <c r="C404" t="n">
        <v>1</v>
      </c>
      <c r="D404">
        <f>IFERROR(MATCH($A404,PP_Grid[Intermediate],0),99999)</f>
        <v/>
      </c>
    </row>
    <row r="405">
      <c r="A405" t="inlineStr">
        <is>
          <t>F2290</t>
        </is>
      </c>
      <c r="B405" t="inlineStr">
        <is>
          <t>3TP</t>
        </is>
      </c>
      <c r="C405" t="n">
        <v>1</v>
      </c>
      <c r="D405">
        <f>IFERROR(MATCH($A405,PP_Grid[Intermediate],0),99999)</f>
        <v/>
      </c>
    </row>
    <row r="406">
      <c r="A406" t="inlineStr">
        <is>
          <t>K0050</t>
        </is>
      </c>
      <c r="B406" t="inlineStr">
        <is>
          <t>9RN</t>
        </is>
      </c>
      <c r="C406" t="n">
        <v>1</v>
      </c>
      <c r="D406">
        <f>IFERROR(MATCH($A406,PP_Grid[Intermediate],0),99999)</f>
        <v/>
      </c>
    </row>
    <row r="407">
      <c r="A407" t="inlineStr">
        <is>
          <t>PP Film</t>
        </is>
      </c>
      <c r="B407" t="inlineStr">
        <is>
          <t>PP Film</t>
        </is>
      </c>
      <c r="C407" t="n">
        <v>4</v>
      </c>
      <c r="D407">
        <f>IFERROR(MATCH($A407,PP_Grid[Intermediate],0),99999)</f>
        <v/>
      </c>
    </row>
    <row r="408">
      <c r="A408" t="inlineStr">
        <is>
          <t>TPP-1459</t>
        </is>
      </c>
      <c r="B408" t="inlineStr">
        <is>
          <t>CHEM-1820</t>
        </is>
      </c>
      <c r="C408" t="n">
        <v>32.63</v>
      </c>
      <c r="D408">
        <f>IFERROR(MATCH($A408,PP_Grid[Intermediate],0),99999)</f>
        <v/>
      </c>
    </row>
    <row r="409">
      <c r="A409" t="inlineStr">
        <is>
          <t>TPP-1466</t>
        </is>
      </c>
      <c r="B409" t="inlineStr">
        <is>
          <t>CHEM-1820</t>
        </is>
      </c>
      <c r="C409" t="n">
        <v>32.63</v>
      </c>
      <c r="D409">
        <f>IFERROR(MATCH($A409,PP_Grid[Intermediate],0),99999)</f>
        <v/>
      </c>
    </row>
    <row r="410">
      <c r="A410" t="inlineStr">
        <is>
          <t>TPP-2245</t>
        </is>
      </c>
      <c r="B410" t="inlineStr">
        <is>
          <t>CHEM-1830</t>
        </is>
      </c>
      <c r="C410" t="n">
        <v>0</v>
      </c>
      <c r="D410">
        <f>IFERROR(MATCH($A410,PP_Grid[Intermediate],0),99999)</f>
        <v/>
      </c>
    </row>
    <row r="411">
      <c r="A411" t="inlineStr">
        <is>
          <t>TSP-1388</t>
        </is>
      </c>
      <c r="B411" t="inlineStr">
        <is>
          <t>CHEM-1510</t>
        </is>
      </c>
      <c r="C411" t="n">
        <v>1.873</v>
      </c>
      <c r="D411">
        <f>IFERROR(MATCH($A411,PP_Grid[Intermediate],0),99999)</f>
        <v/>
      </c>
    </row>
    <row r="412">
      <c r="A412" t="inlineStr">
        <is>
          <t>TSP-1388</t>
        </is>
      </c>
      <c r="B412" t="inlineStr">
        <is>
          <t>CHEM-1570</t>
        </is>
      </c>
      <c r="C412" t="n">
        <v>0.231</v>
      </c>
      <c r="D412">
        <f>IFERROR(MATCH($A412,PP_Grid[Intermediate],0),99999)</f>
        <v/>
      </c>
    </row>
    <row r="413">
      <c r="A413" t="inlineStr">
        <is>
          <t>TSP-1388</t>
        </is>
      </c>
      <c r="B413" t="inlineStr">
        <is>
          <t>CHEM-1600</t>
        </is>
      </c>
      <c r="C413" t="n">
        <v>13</v>
      </c>
      <c r="D413">
        <f>IFERROR(MATCH($A413,PP_Grid[Intermediate],0),99999)</f>
        <v/>
      </c>
    </row>
    <row r="414">
      <c r="A414" t="inlineStr">
        <is>
          <t>TSP-1444</t>
        </is>
      </c>
      <c r="B414" t="inlineStr">
        <is>
          <t>CHEM-1570</t>
        </is>
      </c>
      <c r="C414" t="n">
        <v>0.259</v>
      </c>
      <c r="D414">
        <f>IFERROR(MATCH($A414,PP_Grid[Intermediate],0),99999)</f>
        <v/>
      </c>
    </row>
    <row r="415">
      <c r="A415" t="inlineStr">
        <is>
          <t>TSP-1445</t>
        </is>
      </c>
      <c r="B415" t="inlineStr">
        <is>
          <t>CHEM-1570</t>
        </is>
      </c>
      <c r="C415" t="n">
        <v>0.268</v>
      </c>
      <c r="D415">
        <f>IFERROR(MATCH($A415,PP_Grid[Intermediate],0),99999)</f>
        <v/>
      </c>
    </row>
    <row r="416">
      <c r="A416" t="inlineStr">
        <is>
          <t>TSP-1446</t>
        </is>
      </c>
      <c r="B416" t="inlineStr">
        <is>
          <t>CHEM-1570</t>
        </is>
      </c>
      <c r="C416" t="n">
        <v>0.302</v>
      </c>
      <c r="D416">
        <f>IFERROR(MATCH($A416,PP_Grid[Intermediate],0),99999)</f>
        <v/>
      </c>
    </row>
    <row r="417">
      <c r="A417" t="inlineStr">
        <is>
          <t>TSP-1448</t>
        </is>
      </c>
      <c r="B417" t="inlineStr">
        <is>
          <t>CHEM-1570</t>
        </is>
      </c>
      <c r="C417" t="n">
        <v>0.062</v>
      </c>
      <c r="D417">
        <f>IFERROR(MATCH($A417,PP_Grid[Intermediate],0),99999)</f>
        <v/>
      </c>
    </row>
    <row r="418">
      <c r="A418" t="inlineStr">
        <is>
          <t>TSP-1449</t>
        </is>
      </c>
      <c r="B418" t="inlineStr">
        <is>
          <t>CHEM-1240</t>
        </is>
      </c>
      <c r="C418" t="n">
        <v>20</v>
      </c>
      <c r="D418">
        <f>IFERROR(MATCH($A418,PP_Grid[Intermediate],0),99999)</f>
        <v/>
      </c>
    </row>
    <row r="419">
      <c r="A419" t="inlineStr">
        <is>
          <t>TSP-1449</t>
        </is>
      </c>
      <c r="B419" t="inlineStr">
        <is>
          <t>CHEM-1540</t>
        </is>
      </c>
      <c r="C419" t="n">
        <v>15</v>
      </c>
      <c r="D419">
        <f>IFERROR(MATCH($A419,PP_Grid[Intermediate],0),99999)</f>
        <v/>
      </c>
    </row>
    <row r="420">
      <c r="A420" t="inlineStr">
        <is>
          <t>TSP-1449</t>
        </is>
      </c>
      <c r="B420" t="inlineStr">
        <is>
          <t>CHEM-1570</t>
        </is>
      </c>
      <c r="C420" t="n">
        <v>0.12</v>
      </c>
      <c r="D420">
        <f>IFERROR(MATCH($A420,PP_Grid[Intermediate],0),99999)</f>
        <v/>
      </c>
    </row>
    <row r="421">
      <c r="A421" t="inlineStr">
        <is>
          <t>TSP-1449</t>
        </is>
      </c>
      <c r="B421" t="inlineStr">
        <is>
          <t>CHEM-1700</t>
        </is>
      </c>
      <c r="C421" t="n">
        <v>1.5</v>
      </c>
      <c r="D421">
        <f>IFERROR(MATCH($A421,PP_Grid[Intermediate],0),99999)</f>
        <v/>
      </c>
    </row>
    <row r="422">
      <c r="A422" t="inlineStr">
        <is>
          <t>TSP-1449</t>
        </is>
      </c>
      <c r="B422" t="inlineStr">
        <is>
          <t>CHEM-1720</t>
        </is>
      </c>
      <c r="C422" t="n">
        <v>10</v>
      </c>
      <c r="D422">
        <f>IFERROR(MATCH($A422,PP_Grid[Intermediate],0),99999)</f>
        <v/>
      </c>
    </row>
    <row r="423">
      <c r="A423" t="inlineStr">
        <is>
          <t>TSP-1499</t>
        </is>
      </c>
      <c r="B423" t="inlineStr">
        <is>
          <t>CHEM-1400</t>
        </is>
      </c>
      <c r="C423" t="n">
        <v>0.7</v>
      </c>
      <c r="D423">
        <f>IFERROR(MATCH($A423,PP_Grid[Intermediate],0),99999)</f>
        <v/>
      </c>
    </row>
    <row r="424">
      <c r="A424" t="inlineStr">
        <is>
          <t>TSP-1499</t>
        </is>
      </c>
      <c r="B424" t="inlineStr">
        <is>
          <t>CHEM-1420</t>
        </is>
      </c>
      <c r="C424" t="n">
        <v>0.2</v>
      </c>
      <c r="D424">
        <f>IFERROR(MATCH($A424,PP_Grid[Intermediate],0),99999)</f>
        <v/>
      </c>
    </row>
    <row r="425">
      <c r="A425" t="inlineStr">
        <is>
          <t>TSP-1499</t>
        </is>
      </c>
      <c r="B425" t="inlineStr">
        <is>
          <t>CHEM-1530</t>
        </is>
      </c>
      <c r="C425" t="n">
        <v>19.03</v>
      </c>
      <c r="D425">
        <f>IFERROR(MATCH($A425,PP_Grid[Intermediate],0),99999)</f>
        <v/>
      </c>
    </row>
    <row r="426">
      <c r="A426" t="inlineStr">
        <is>
          <t>TSP-1499</t>
        </is>
      </c>
      <c r="B426" t="inlineStr">
        <is>
          <t>CHEM-1570</t>
        </is>
      </c>
      <c r="C426" t="n">
        <v>0.08</v>
      </c>
      <c r="D426">
        <f>IFERROR(MATCH($A426,PP_Grid[Intermediate],0),99999)</f>
        <v/>
      </c>
    </row>
    <row r="427">
      <c r="A427" t="inlineStr">
        <is>
          <t>TSP-1499</t>
        </is>
      </c>
      <c r="B427" t="inlineStr">
        <is>
          <t>CHEM-1670</t>
        </is>
      </c>
      <c r="C427" t="n">
        <v>0.8</v>
      </c>
      <c r="D427">
        <f>IFERROR(MATCH($A427,PP_Grid[Intermediate],0),99999)</f>
        <v/>
      </c>
    </row>
    <row r="428">
      <c r="A428" t="inlineStr">
        <is>
          <t>TSP-1499</t>
        </is>
      </c>
      <c r="B428" t="inlineStr">
        <is>
          <t>CHEM-1700</t>
        </is>
      </c>
      <c r="C428" t="n">
        <v>0.79</v>
      </c>
      <c r="D428">
        <f>IFERROR(MATCH($A428,PP_Grid[Intermediate],0),99999)</f>
        <v/>
      </c>
    </row>
    <row r="429">
      <c r="A429" t="inlineStr">
        <is>
          <t>TSP-1499</t>
        </is>
      </c>
      <c r="B429" t="inlineStr">
        <is>
          <t>CHEM-1720</t>
        </is>
      </c>
      <c r="C429" t="n">
        <v>4.83</v>
      </c>
      <c r="D429">
        <f>IFERROR(MATCH($A429,PP_Grid[Intermediate],0),99999)</f>
        <v/>
      </c>
    </row>
    <row r="430">
      <c r="A430" t="inlineStr">
        <is>
          <t>TSP-1558</t>
        </is>
      </c>
      <c r="B430" t="inlineStr">
        <is>
          <t>CHEM-1240</t>
        </is>
      </c>
      <c r="C430" t="n">
        <v>11.18</v>
      </c>
      <c r="D430">
        <f>IFERROR(MATCH($A430,PP_Grid[Intermediate],0),99999)</f>
        <v/>
      </c>
    </row>
    <row r="431">
      <c r="A431" t="inlineStr">
        <is>
          <t>TSP-1558</t>
        </is>
      </c>
      <c r="B431" t="inlineStr">
        <is>
          <t>CHEM-1420</t>
        </is>
      </c>
      <c r="C431" t="n">
        <v>0.31</v>
      </c>
      <c r="D431">
        <f>IFERROR(MATCH($A431,PP_Grid[Intermediate],0),99999)</f>
        <v/>
      </c>
    </row>
    <row r="432">
      <c r="A432" t="inlineStr">
        <is>
          <t>TSP-1558</t>
        </is>
      </c>
      <c r="B432" t="inlineStr">
        <is>
          <t>CHEM-1440</t>
        </is>
      </c>
      <c r="C432" t="n">
        <v>0.5</v>
      </c>
      <c r="D432">
        <f>IFERROR(MATCH($A432,PP_Grid[Intermediate],0),99999)</f>
        <v/>
      </c>
    </row>
    <row r="433">
      <c r="A433" t="inlineStr">
        <is>
          <t>TSP-1558</t>
        </is>
      </c>
      <c r="B433" t="inlineStr">
        <is>
          <t>CHEM-1570</t>
        </is>
      </c>
      <c r="C433" t="n">
        <v>0.17</v>
      </c>
      <c r="D433">
        <f>IFERROR(MATCH($A433,PP_Grid[Intermediate],0),99999)</f>
        <v/>
      </c>
    </row>
    <row r="434">
      <c r="A434" t="inlineStr">
        <is>
          <t>TSP-1558</t>
        </is>
      </c>
      <c r="B434" t="inlineStr">
        <is>
          <t>CHEM-1830</t>
        </is>
      </c>
      <c r="C434" t="n">
        <v>13.47</v>
      </c>
      <c r="D434">
        <f>IFERROR(MATCH($A434,PP_Grid[Intermediate],0),99999)</f>
        <v/>
      </c>
    </row>
    <row r="435">
      <c r="A435" t="inlineStr">
        <is>
          <t>TSP-1558</t>
        </is>
      </c>
      <c r="B435" t="inlineStr">
        <is>
          <t>CHEM-1840</t>
        </is>
      </c>
      <c r="C435" t="n">
        <v>1.99</v>
      </c>
      <c r="D435">
        <f>IFERROR(MATCH($A435,PP_Grid[Intermediate],0),99999)</f>
        <v/>
      </c>
    </row>
    <row r="436">
      <c r="A436" t="inlineStr">
        <is>
          <t>TSP-1559</t>
        </is>
      </c>
      <c r="B436" t="inlineStr">
        <is>
          <t>CHEM-1830</t>
        </is>
      </c>
      <c r="C436" t="n">
        <v>0</v>
      </c>
      <c r="D436">
        <f>IFERROR(MATCH($A436,PP_Grid[Intermediate],0),99999)</f>
        <v/>
      </c>
    </row>
    <row r="437">
      <c r="A437" t="inlineStr">
        <is>
          <t>TSP-1559</t>
        </is>
      </c>
      <c r="B437" t="inlineStr">
        <is>
          <t>CHEM-1840</t>
        </is>
      </c>
      <c r="C437" t="n">
        <v>1.99</v>
      </c>
      <c r="D437">
        <f>IFERROR(MATCH($A437,PP_Grid[Intermediate],0),99999)</f>
        <v/>
      </c>
    </row>
    <row r="438">
      <c r="A438" t="inlineStr">
        <is>
          <t>TSP-2157</t>
        </is>
      </c>
      <c r="B438" t="inlineStr">
        <is>
          <t>CHEM-1830</t>
        </is>
      </c>
      <c r="C438" t="n">
        <v>0</v>
      </c>
      <c r="D438">
        <f>IFERROR(MATCH($A438,PP_Grid[Intermediate],0),99999)</f>
        <v/>
      </c>
    </row>
    <row r="439">
      <c r="A439" t="inlineStr">
        <is>
          <t>TSP-2168</t>
        </is>
      </c>
      <c r="B439" t="inlineStr">
        <is>
          <t>CHEM-1830</t>
        </is>
      </c>
      <c r="C439" t="n">
        <v>0</v>
      </c>
      <c r="D439">
        <f>IFERROR(MATCH($A439,PP_Grid[Intermediate],0),99999)</f>
        <v/>
      </c>
    </row>
    <row r="440">
      <c r="A440" t="inlineStr">
        <is>
          <t>TSP-219</t>
        </is>
      </c>
      <c r="B440" t="inlineStr">
        <is>
          <t>CHEM-1820</t>
        </is>
      </c>
      <c r="C440" t="n">
        <v>0</v>
      </c>
      <c r="D440">
        <f>IFERROR(MATCH($A440,PP_Grid[Intermediate],0),99999)</f>
        <v/>
      </c>
    </row>
    <row r="441">
      <c r="A441" t="inlineStr">
        <is>
          <t>TSP-655</t>
        </is>
      </c>
      <c r="B441" t="inlineStr">
        <is>
          <t>CHEM-1570</t>
        </is>
      </c>
      <c r="C441" t="n">
        <v>0.928</v>
      </c>
      <c r="D441">
        <f>IFERROR(MATCH($A441,PP_Grid[Intermediate],0),99999)</f>
        <v/>
      </c>
    </row>
    <row r="442">
      <c r="A442" t="inlineStr">
        <is>
          <t>TSP-656</t>
        </is>
      </c>
      <c r="B442" t="inlineStr">
        <is>
          <t>CHEM-1570</t>
        </is>
      </c>
      <c r="C442" t="n">
        <v>0.462</v>
      </c>
      <c r="D442">
        <f>IFERROR(MATCH($A442,PP_Grid[Intermediate],0),99999)</f>
        <v/>
      </c>
    </row>
    <row r="443">
      <c r="A443" t="inlineStr">
        <is>
          <t>TSP-903</t>
        </is>
      </c>
      <c r="B443" t="inlineStr">
        <is>
          <t>CHEM-1570</t>
        </is>
      </c>
      <c r="C443" t="n">
        <v>0.018</v>
      </c>
      <c r="D443">
        <f>IFERROR(MATCH($A443,PP_Grid[Intermediate],0),99999)</f>
        <v/>
      </c>
    </row>
    <row r="444">
      <c r="A444" t="inlineStr">
        <is>
          <t>TSP-924</t>
        </is>
      </c>
      <c r="B444" t="inlineStr">
        <is>
          <t>CHEM-1510</t>
        </is>
      </c>
      <c r="C444" t="n">
        <v>0.44</v>
      </c>
      <c r="D444">
        <f>IFERROR(MATCH($A444,PP_Grid[Intermediate],0),99999)</f>
        <v/>
      </c>
    </row>
    <row r="445">
      <c r="A445" t="inlineStr">
        <is>
          <t>TSP-924</t>
        </is>
      </c>
      <c r="B445" t="inlineStr">
        <is>
          <t>CHEM-1600</t>
        </is>
      </c>
      <c r="C445" t="n">
        <v>15.094</v>
      </c>
      <c r="D445">
        <f>IFERROR(MATCH($A445,PP_Grid[Intermediate],0),99999)</f>
        <v/>
      </c>
    </row>
    <row r="446">
      <c r="A446" t="inlineStr">
        <is>
          <t>TSP-925</t>
        </is>
      </c>
      <c r="B446" t="inlineStr">
        <is>
          <t>CHEM-1510</t>
        </is>
      </c>
      <c r="C446" t="n">
        <v>0.44</v>
      </c>
      <c r="D446">
        <f>IFERROR(MATCH($A446,PP_Grid[Intermediate],0),99999)</f>
        <v/>
      </c>
    </row>
    <row r="447">
      <c r="A447" t="inlineStr">
        <is>
          <t>TSP-925</t>
        </is>
      </c>
      <c r="B447" t="inlineStr">
        <is>
          <t>CHEM-1600</t>
        </is>
      </c>
      <c r="C447" t="n">
        <v>15.121</v>
      </c>
      <c r="D447">
        <f>IFERROR(MATCH($A447,PP_Grid[Intermediate],0),99999)</f>
        <v/>
      </c>
    </row>
    <row r="448">
      <c r="A448" t="inlineStr">
        <is>
          <t>TSP-935</t>
        </is>
      </c>
      <c r="B448" t="inlineStr">
        <is>
          <t>CHEM-1570</t>
        </is>
      </c>
      <c r="C448" t="n">
        <v>0.081</v>
      </c>
      <c r="D448">
        <f>IFERROR(MATCH($A448,PP_Grid[Intermediate],0),99999)</f>
        <v/>
      </c>
    </row>
    <row r="449">
      <c r="A449" t="inlineStr">
        <is>
          <t>TSP-937</t>
        </is>
      </c>
      <c r="B449" t="inlineStr">
        <is>
          <t>CHEM-1570</t>
        </is>
      </c>
      <c r="C449" t="n">
        <v>0.079</v>
      </c>
      <c r="D449">
        <f>IFERROR(MATCH($A449,PP_Grid[Intermediate],0),99999)</f>
        <v/>
      </c>
    </row>
    <row r="450">
      <c r="A450" t="inlineStr">
        <is>
          <t>TSP-959</t>
        </is>
      </c>
      <c r="B450" t="inlineStr">
        <is>
          <t>CHEM-1570</t>
        </is>
      </c>
      <c r="C450" t="n">
        <v>0.07099999999999999</v>
      </c>
      <c r="D450">
        <f>IFERROR(MATCH($A450,PP_Grid[Intermediate],0),99999)</f>
        <v/>
      </c>
    </row>
    <row r="451">
      <c r="A451" t="inlineStr">
        <is>
          <t>TSP-966</t>
        </is>
      </c>
      <c r="B451" t="inlineStr">
        <is>
          <t>CHEM-1570</t>
        </is>
      </c>
      <c r="C451" t="n">
        <v>0.0377</v>
      </c>
      <c r="D451">
        <f>IFERROR(MATCH($A451,PP_Grid[Intermediate],0),99999)</f>
        <v/>
      </c>
    </row>
    <row r="452">
      <c r="A452" t="inlineStr">
        <is>
          <t>TSZ-616</t>
        </is>
      </c>
      <c r="B452" t="inlineStr">
        <is>
          <t>CHEM-1570</t>
        </is>
      </c>
      <c r="C452" t="n">
        <v>0.04</v>
      </c>
      <c r="D452">
        <f>IFERROR(MATCH($A452,PP_Grid[Intermediate],0),99999)</f>
        <v/>
      </c>
    </row>
    <row r="453">
      <c r="A453" t="inlineStr">
        <is>
          <t>TVS-267</t>
        </is>
      </c>
      <c r="B453" t="inlineStr">
        <is>
          <t>CHEM-1570</t>
        </is>
      </c>
      <c r="C453" t="n">
        <v>0.09032</v>
      </c>
      <c r="D453">
        <f>IFERROR(MATCH($A453,PP_Grid[Intermediate],0),99999)</f>
        <v/>
      </c>
    </row>
    <row r="454">
      <c r="A454" t="inlineStr">
        <is>
          <t>TVS-833</t>
        </is>
      </c>
      <c r="B454" t="inlineStr">
        <is>
          <t>CHEM-1570</t>
        </is>
      </c>
      <c r="C454" t="n">
        <v>0.17607</v>
      </c>
      <c r="D454">
        <f>IFERROR(MATCH($A454,PP_Grid[Intermediate],0),99999)</f>
        <v/>
      </c>
    </row>
    <row r="455">
      <c r="A455" t="inlineStr">
        <is>
          <t>VSP-600</t>
        </is>
      </c>
      <c r="B455" t="inlineStr">
        <is>
          <t>CHEM-1650</t>
        </is>
      </c>
      <c r="C455" t="n">
        <v>0.044845592</v>
      </c>
      <c r="D455">
        <f>IFERROR(MATCH($A455,PP_Grid[Intermediate],0),99999)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A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  <col width="7" customWidth="1" min="34" max="34"/>
    <col width="7" customWidth="1" min="35" max="35"/>
    <col width="7" customWidth="1" min="36" max="36"/>
    <col width="7" customWidth="1" min="37" max="37"/>
    <col width="7" customWidth="1" min="38" max="38"/>
    <col width="7" customWidth="1" min="39" max="39"/>
    <col width="7" customWidth="1" min="40" max="40"/>
    <col width="7" customWidth="1" min="41" max="41"/>
    <col width="7" customWidth="1" min="42" max="42"/>
    <col width="7" customWidth="1" min="43" max="43"/>
    <col width="7" customWidth="1" min="44" max="44"/>
    <col width="7" customWidth="1" min="45" max="45"/>
    <col width="7" customWidth="1" min="46" max="46"/>
    <col width="7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  <col width="7" customWidth="1" min="54" max="54"/>
    <col width="7" customWidth="1" min="55" max="55"/>
    <col width="7" customWidth="1" min="56" max="56"/>
    <col width="7" customWidth="1" min="57" max="57"/>
    <col width="7" customWidth="1" min="58" max="58"/>
    <col width="7" customWidth="1" min="59" max="59"/>
    <col width="7" customWidth="1" min="60" max="60"/>
    <col width="7" customWidth="1" min="61" max="61"/>
    <col width="7" customWidth="1" min="62" max="62"/>
    <col width="7" customWidth="1" min="63" max="63"/>
    <col width="7" customWidth="1" min="64" max="64"/>
    <col width="7" customWidth="1" min="65" max="65"/>
    <col width="7" customWidth="1" min="66" max="66"/>
    <col width="7" customWidth="1" min="67" max="67"/>
    <col width="7" customWidth="1" min="68" max="68"/>
    <col width="7" customWidth="1" min="69" max="69"/>
    <col width="7" customWidth="1" min="70" max="70"/>
    <col width="7" customWidth="1" min="71" max="71"/>
    <col width="7" customWidth="1" min="72" max="72"/>
    <col width="7" customWidth="1" min="73" max="73"/>
    <col width="7" customWidth="1" min="74" max="74"/>
    <col width="7" customWidth="1" min="75" max="75"/>
    <col width="7" customWidth="1" min="76" max="76"/>
    <col width="7" customWidth="1" min="77" max="77"/>
    <col width="7" customWidth="1" min="78" max="78"/>
    <col width="7" customWidth="1" min="79" max="79"/>
    <col width="7" customWidth="1" min="80" max="80"/>
    <col width="7" customWidth="1" min="81" max="81"/>
    <col width="7" customWidth="1" min="82" max="82"/>
    <col width="7" customWidth="1" min="83" max="83"/>
    <col width="7" customWidth="1" min="84" max="84"/>
    <col width="7" customWidth="1" min="85" max="85"/>
    <col width="7" customWidth="1" min="86" max="86"/>
    <col width="7" customWidth="1" min="87" max="87"/>
    <col width="7" customWidth="1" min="88" max="88"/>
    <col width="7" customWidth="1" min="89" max="89"/>
    <col width="7" customWidth="1" min="90" max="90"/>
    <col width="7" customWidth="1" min="91" max="91"/>
    <col width="7" customWidth="1" min="92" max="92"/>
    <col width="7" customWidth="1" min="93" max="93"/>
    <col width="7" customWidth="1" min="94" max="94"/>
    <col width="7" customWidth="1" min="95" max="95"/>
    <col width="7" customWidth="1" min="96" max="96"/>
    <col width="7" customWidth="1" min="97" max="97"/>
    <col width="7" customWidth="1" min="98" max="98"/>
    <col width="7" customWidth="1" min="99" max="99"/>
    <col width="7" customWidth="1" min="100" max="100"/>
    <col width="7" customWidth="1" min="101" max="101"/>
    <col width="7" customWidth="1" min="102" max="102"/>
    <col width="7" customWidth="1" min="103" max="103"/>
    <col width="7" customWidth="1" min="104" max="104"/>
    <col width="7" customWidth="1" min="105" max="105"/>
  </cols>
  <sheetData>
    <row r="1">
      <c r="A1" s="20" t="inlineStr">
        <is>
          <t>Intermediate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TSP-049</t>
        </is>
      </c>
      <c r="B2" s="21" t="n">
        <v>0</v>
      </c>
      <c r="C2" s="21" t="n">
        <v>0</v>
      </c>
      <c r="D2" s="21" t="n">
        <v>0</v>
      </c>
      <c r="E2" s="21" t="n">
        <v>0</v>
      </c>
      <c r="F2" s="21" t="n">
        <v>0</v>
      </c>
      <c r="G2" s="21" t="n">
        <v>0</v>
      </c>
      <c r="H2" s="21" t="n">
        <v>0</v>
      </c>
      <c r="I2" s="21" t="n">
        <v>0</v>
      </c>
      <c r="J2" s="21" t="n">
        <v>0</v>
      </c>
      <c r="K2" s="21" t="n">
        <v>0</v>
      </c>
      <c r="L2" s="21" t="n">
        <v>0</v>
      </c>
      <c r="M2" s="21" t="n">
        <v>0</v>
      </c>
      <c r="N2" s="21" t="n">
        <v>0</v>
      </c>
      <c r="O2" s="21" t="n">
        <v>0</v>
      </c>
      <c r="P2" s="21" t="n">
        <v>0</v>
      </c>
      <c r="Q2" s="21" t="n">
        <v>0</v>
      </c>
      <c r="R2" s="21" t="n">
        <v>0</v>
      </c>
      <c r="S2" s="21" t="n">
        <v>0</v>
      </c>
      <c r="T2" s="21" t="n">
        <v>0</v>
      </c>
      <c r="U2" s="21" t="n">
        <v>0</v>
      </c>
      <c r="V2" s="21" t="n">
        <v>0</v>
      </c>
      <c r="W2" s="21" t="n">
        <v>0</v>
      </c>
      <c r="X2" s="21" t="n">
        <v>0</v>
      </c>
      <c r="Y2" s="21" t="n">
        <v>0</v>
      </c>
      <c r="Z2" s="21" t="n">
        <v>0</v>
      </c>
      <c r="AA2" s="21" t="n">
        <v>0</v>
      </c>
      <c r="AB2" s="21" t="n">
        <v>0</v>
      </c>
      <c r="AC2" s="21" t="n">
        <v>0</v>
      </c>
      <c r="AD2" s="21" t="n">
        <v>0</v>
      </c>
      <c r="AE2" s="21" t="n">
        <v>0</v>
      </c>
      <c r="AF2" s="21" t="n">
        <v>0</v>
      </c>
      <c r="AG2" s="21" t="n">
        <v>0</v>
      </c>
      <c r="AH2" s="21" t="n">
        <v>0</v>
      </c>
      <c r="AI2" s="21" t="n">
        <v>0</v>
      </c>
      <c r="AJ2" s="21" t="n">
        <v>0</v>
      </c>
      <c r="AK2" s="21" t="n">
        <v>0</v>
      </c>
      <c r="AL2" s="21" t="n">
        <v>0</v>
      </c>
      <c r="AM2" s="21" t="n">
        <v>0</v>
      </c>
      <c r="AN2" s="21" t="n">
        <v>0</v>
      </c>
      <c r="AO2" s="21" t="n">
        <v>0</v>
      </c>
      <c r="AP2" s="21" t="n">
        <v>0</v>
      </c>
      <c r="AQ2" s="21" t="n">
        <v>0</v>
      </c>
      <c r="AR2" s="21" t="n">
        <v>0</v>
      </c>
      <c r="AS2" s="21" t="n">
        <v>0</v>
      </c>
      <c r="AT2" s="21" t="n">
        <v>0</v>
      </c>
      <c r="AU2" s="21" t="n">
        <v>0</v>
      </c>
      <c r="AV2" s="21" t="n">
        <v>0</v>
      </c>
      <c r="AW2" s="21" t="n">
        <v>0</v>
      </c>
      <c r="AX2" s="21" t="n">
        <v>0</v>
      </c>
      <c r="AY2" s="21" t="n">
        <v>0</v>
      </c>
      <c r="AZ2" s="21" t="n">
        <v>0</v>
      </c>
      <c r="BA2" s="21" t="n">
        <v>0</v>
      </c>
      <c r="BB2" s="21" t="n">
        <v>0</v>
      </c>
      <c r="BC2" s="21" t="n">
        <v>0</v>
      </c>
      <c r="BD2" s="21" t="n">
        <v>0</v>
      </c>
      <c r="BE2" s="21" t="n">
        <v>0</v>
      </c>
      <c r="BF2" s="21" t="n">
        <v>0</v>
      </c>
      <c r="BG2" s="21" t="n">
        <v>0</v>
      </c>
      <c r="BH2" s="21" t="n">
        <v>0</v>
      </c>
      <c r="BI2" s="21" t="n">
        <v>0</v>
      </c>
      <c r="BJ2" s="21" t="n">
        <v>0</v>
      </c>
      <c r="BK2" s="21" t="n">
        <v>0</v>
      </c>
      <c r="BL2" s="21" t="n">
        <v>0</v>
      </c>
      <c r="BM2" s="21" t="n">
        <v>0</v>
      </c>
      <c r="BN2" s="21" t="n">
        <v>0</v>
      </c>
      <c r="BO2" s="21" t="n">
        <v>0</v>
      </c>
      <c r="BP2" s="21" t="n">
        <v>0</v>
      </c>
      <c r="BQ2" s="21" t="n">
        <v>0</v>
      </c>
      <c r="BR2" s="21" t="n">
        <v>0</v>
      </c>
      <c r="BS2" s="21" t="n">
        <v>0</v>
      </c>
      <c r="BT2" s="21" t="n">
        <v>0</v>
      </c>
      <c r="BU2" s="21" t="n">
        <v>0</v>
      </c>
      <c r="BV2" s="21" t="n">
        <v>0</v>
      </c>
      <c r="BW2" s="21" t="n">
        <v>0</v>
      </c>
      <c r="BX2" s="21" t="n">
        <v>0</v>
      </c>
      <c r="BY2" s="21" t="n">
        <v>0</v>
      </c>
      <c r="BZ2" s="21" t="n">
        <v>0</v>
      </c>
      <c r="CA2" s="21" t="n">
        <v>0</v>
      </c>
      <c r="CB2" s="21" t="n">
        <v>0</v>
      </c>
      <c r="CC2" s="21" t="n">
        <v>0</v>
      </c>
      <c r="CD2" s="21" t="n">
        <v>0</v>
      </c>
      <c r="CE2" s="21" t="n">
        <v>0</v>
      </c>
      <c r="CF2" s="21" t="n">
        <v>0</v>
      </c>
      <c r="CG2" s="21" t="n">
        <v>0</v>
      </c>
      <c r="CH2" s="21" t="n">
        <v>0</v>
      </c>
      <c r="CI2" s="21" t="n">
        <v>0</v>
      </c>
      <c r="CJ2" s="21" t="n">
        <v>0</v>
      </c>
      <c r="CK2" s="21" t="n">
        <v>0</v>
      </c>
      <c r="CL2" s="21" t="n">
        <v>0</v>
      </c>
      <c r="CM2" s="21" t="n">
        <v>0</v>
      </c>
      <c r="CN2" s="21" t="n">
        <v>0</v>
      </c>
      <c r="CO2" s="21" t="n">
        <v>0</v>
      </c>
      <c r="CP2" s="21" t="n">
        <v>0</v>
      </c>
      <c r="CQ2" s="21" t="n">
        <v>0</v>
      </c>
      <c r="CR2" s="21" t="n">
        <v>0</v>
      </c>
      <c r="CS2" s="21" t="n">
        <v>0</v>
      </c>
      <c r="CT2" s="21" t="n">
        <v>0</v>
      </c>
      <c r="CU2" s="21" t="n">
        <v>0</v>
      </c>
      <c r="CV2" s="21" t="n">
        <v>0</v>
      </c>
      <c r="CW2" s="21" t="n">
        <v>0</v>
      </c>
      <c r="CX2" s="21" t="n">
        <v>0</v>
      </c>
      <c r="CY2" s="21" t="n">
        <v>0</v>
      </c>
      <c r="CZ2" s="21" t="n">
        <v>0</v>
      </c>
      <c r="DA2" s="21" t="n">
        <v>0</v>
      </c>
    </row>
    <row r="3">
      <c r="A3" t="inlineStr">
        <is>
          <t>TSP-050</t>
        </is>
      </c>
      <c r="B3" s="21" t="n">
        <v>0</v>
      </c>
      <c r="C3" s="21" t="n">
        <v>0</v>
      </c>
      <c r="D3" s="21" t="n">
        <v>0</v>
      </c>
      <c r="E3" s="21" t="n">
        <v>0</v>
      </c>
      <c r="F3" s="21" t="n">
        <v>0</v>
      </c>
      <c r="G3" s="21" t="n">
        <v>0</v>
      </c>
      <c r="H3" s="21" t="n">
        <v>0</v>
      </c>
      <c r="I3" s="21" t="n">
        <v>0</v>
      </c>
      <c r="J3" s="21" t="n">
        <v>0</v>
      </c>
      <c r="K3" s="21" t="n">
        <v>0</v>
      </c>
      <c r="L3" s="21" t="n">
        <v>0</v>
      </c>
      <c r="M3" s="21" t="n">
        <v>0</v>
      </c>
      <c r="N3" s="21" t="n">
        <v>0</v>
      </c>
      <c r="O3" s="21" t="n">
        <v>0</v>
      </c>
      <c r="P3" s="21" t="n">
        <v>0</v>
      </c>
      <c r="Q3" s="21" t="n">
        <v>0</v>
      </c>
      <c r="R3" s="21" t="n">
        <v>0</v>
      </c>
      <c r="S3" s="21" t="n">
        <v>0</v>
      </c>
      <c r="T3" s="21" t="n">
        <v>0</v>
      </c>
      <c r="U3" s="21" t="n">
        <v>0</v>
      </c>
      <c r="V3" s="21" t="n">
        <v>0</v>
      </c>
      <c r="W3" s="21" t="n">
        <v>0</v>
      </c>
      <c r="X3" s="21" t="n">
        <v>0</v>
      </c>
      <c r="Y3" s="21" t="n">
        <v>0</v>
      </c>
      <c r="Z3" s="21" t="n">
        <v>0</v>
      </c>
      <c r="AA3" s="21" t="n">
        <v>0</v>
      </c>
      <c r="AB3" s="21" t="n">
        <v>0</v>
      </c>
      <c r="AC3" s="21" t="n">
        <v>0</v>
      </c>
      <c r="AD3" s="21" t="n">
        <v>0</v>
      </c>
      <c r="AE3" s="21" t="n">
        <v>0</v>
      </c>
      <c r="AF3" s="21" t="n">
        <v>0</v>
      </c>
      <c r="AG3" s="21" t="n">
        <v>0</v>
      </c>
      <c r="AH3" s="21" t="n">
        <v>0</v>
      </c>
      <c r="AI3" s="21" t="n">
        <v>0</v>
      </c>
      <c r="AJ3" s="21" t="n">
        <v>0</v>
      </c>
      <c r="AK3" s="21" t="n">
        <v>0</v>
      </c>
      <c r="AL3" s="21" t="n">
        <v>0</v>
      </c>
      <c r="AM3" s="21" t="n">
        <v>0</v>
      </c>
      <c r="AN3" s="21" t="n">
        <v>0</v>
      </c>
      <c r="AO3" s="21" t="n">
        <v>0</v>
      </c>
      <c r="AP3" s="21" t="n">
        <v>0</v>
      </c>
      <c r="AQ3" s="21" t="n">
        <v>0</v>
      </c>
      <c r="AR3" s="21" t="n">
        <v>0</v>
      </c>
      <c r="AS3" s="21" t="n">
        <v>0</v>
      </c>
      <c r="AT3" s="21" t="n">
        <v>0</v>
      </c>
      <c r="AU3" s="21" t="n">
        <v>0</v>
      </c>
      <c r="AV3" s="21" t="n">
        <v>0</v>
      </c>
      <c r="AW3" s="21" t="n">
        <v>0</v>
      </c>
      <c r="AX3" s="21" t="n">
        <v>0</v>
      </c>
      <c r="AY3" s="21" t="n">
        <v>0</v>
      </c>
      <c r="AZ3" s="21" t="n">
        <v>0</v>
      </c>
      <c r="BA3" s="21" t="n">
        <v>0</v>
      </c>
      <c r="BB3" s="21" t="n">
        <v>0</v>
      </c>
      <c r="BC3" s="21" t="n">
        <v>0</v>
      </c>
      <c r="BD3" s="21" t="n">
        <v>0</v>
      </c>
      <c r="BE3" s="21" t="n">
        <v>0</v>
      </c>
      <c r="BF3" s="21" t="n">
        <v>0</v>
      </c>
      <c r="BG3" s="21" t="n">
        <v>0</v>
      </c>
      <c r="BH3" s="21" t="n">
        <v>0</v>
      </c>
      <c r="BI3" s="21" t="n">
        <v>0</v>
      </c>
      <c r="BJ3" s="21" t="n">
        <v>0</v>
      </c>
      <c r="BK3" s="21" t="n">
        <v>0</v>
      </c>
      <c r="BL3" s="21" t="n">
        <v>0</v>
      </c>
      <c r="BM3" s="21" t="n">
        <v>0</v>
      </c>
      <c r="BN3" s="21" t="n">
        <v>0</v>
      </c>
      <c r="BO3" s="21" t="n">
        <v>0</v>
      </c>
      <c r="BP3" s="21" t="n">
        <v>0</v>
      </c>
      <c r="BQ3" s="21" t="n">
        <v>0</v>
      </c>
      <c r="BR3" s="21" t="n">
        <v>0</v>
      </c>
      <c r="BS3" s="21" t="n">
        <v>0</v>
      </c>
      <c r="BT3" s="21" t="n">
        <v>0</v>
      </c>
      <c r="BU3" s="21" t="n">
        <v>0</v>
      </c>
      <c r="BV3" s="21" t="n">
        <v>0</v>
      </c>
      <c r="BW3" s="21" t="n">
        <v>0</v>
      </c>
      <c r="BX3" s="21" t="n">
        <v>0</v>
      </c>
      <c r="BY3" s="21" t="n">
        <v>0</v>
      </c>
      <c r="BZ3" s="21" t="n">
        <v>0</v>
      </c>
      <c r="CA3" s="21" t="n">
        <v>0</v>
      </c>
      <c r="CB3" s="21" t="n">
        <v>0</v>
      </c>
      <c r="CC3" s="21" t="n">
        <v>0</v>
      </c>
      <c r="CD3" s="21" t="n">
        <v>0</v>
      </c>
      <c r="CE3" s="21" t="n">
        <v>0</v>
      </c>
      <c r="CF3" s="21" t="n">
        <v>0</v>
      </c>
      <c r="CG3" s="21" t="n">
        <v>0</v>
      </c>
      <c r="CH3" s="21" t="n">
        <v>0</v>
      </c>
      <c r="CI3" s="21" t="n">
        <v>0</v>
      </c>
      <c r="CJ3" s="21" t="n">
        <v>0</v>
      </c>
      <c r="CK3" s="21" t="n">
        <v>0</v>
      </c>
      <c r="CL3" s="21" t="n">
        <v>0</v>
      </c>
      <c r="CM3" s="21" t="n">
        <v>0</v>
      </c>
      <c r="CN3" s="21" t="n">
        <v>0</v>
      </c>
      <c r="CO3" s="21" t="n">
        <v>0</v>
      </c>
      <c r="CP3" s="21" t="n">
        <v>0</v>
      </c>
      <c r="CQ3" s="21" t="n">
        <v>0</v>
      </c>
      <c r="CR3" s="21" t="n">
        <v>0</v>
      </c>
      <c r="CS3" s="21" t="n">
        <v>0</v>
      </c>
      <c r="CT3" s="21" t="n">
        <v>0</v>
      </c>
      <c r="CU3" s="21" t="n">
        <v>0</v>
      </c>
      <c r="CV3" s="21" t="n">
        <v>0</v>
      </c>
      <c r="CW3" s="21" t="n">
        <v>0</v>
      </c>
      <c r="CX3" s="21" t="n">
        <v>0</v>
      </c>
      <c r="CY3" s="21" t="n">
        <v>0</v>
      </c>
      <c r="CZ3" s="21" t="n">
        <v>0</v>
      </c>
      <c r="DA3" s="21" t="n">
        <v>0</v>
      </c>
    </row>
    <row r="4">
      <c r="A4" t="inlineStr">
        <is>
          <t>TSP-067</t>
        </is>
      </c>
      <c r="B4" s="21" t="n">
        <v>0</v>
      </c>
      <c r="C4" s="21" t="n">
        <v>0</v>
      </c>
      <c r="D4" s="21" t="n">
        <v>0</v>
      </c>
      <c r="E4" s="21" t="n">
        <v>0</v>
      </c>
      <c r="F4" s="21" t="n">
        <v>0</v>
      </c>
      <c r="G4" s="21" t="n">
        <v>0</v>
      </c>
      <c r="H4" s="21" t="n">
        <v>0</v>
      </c>
      <c r="I4" s="21" t="n">
        <v>0</v>
      </c>
      <c r="J4" s="21" t="n">
        <v>0</v>
      </c>
      <c r="K4" s="21" t="n">
        <v>0</v>
      </c>
      <c r="L4" s="21" t="n">
        <v>0</v>
      </c>
      <c r="M4" s="21" t="n">
        <v>0</v>
      </c>
      <c r="N4" s="21" t="n">
        <v>0</v>
      </c>
      <c r="O4" s="21" t="n">
        <v>0</v>
      </c>
      <c r="P4" s="21" t="n">
        <v>0</v>
      </c>
      <c r="Q4" s="21" t="n">
        <v>0</v>
      </c>
      <c r="R4" s="21" t="n">
        <v>0</v>
      </c>
      <c r="S4" s="21" t="n">
        <v>0</v>
      </c>
      <c r="T4" s="21" t="n">
        <v>0</v>
      </c>
      <c r="U4" s="21" t="n">
        <v>0</v>
      </c>
      <c r="V4" s="21" t="n">
        <v>0</v>
      </c>
      <c r="W4" s="21" t="n">
        <v>0</v>
      </c>
      <c r="X4" s="21" t="n">
        <v>0</v>
      </c>
      <c r="Y4" s="21" t="n">
        <v>0</v>
      </c>
      <c r="Z4" s="21" t="n">
        <v>0</v>
      </c>
      <c r="AA4" s="21" t="n">
        <v>0</v>
      </c>
      <c r="AB4" s="21" t="n">
        <v>0</v>
      </c>
      <c r="AC4" s="21" t="n">
        <v>0</v>
      </c>
      <c r="AD4" s="21" t="n">
        <v>0</v>
      </c>
      <c r="AE4" s="21" t="n">
        <v>0</v>
      </c>
      <c r="AF4" s="21" t="n">
        <v>0</v>
      </c>
      <c r="AG4" s="21" t="n">
        <v>0</v>
      </c>
      <c r="AH4" s="21" t="n">
        <v>0</v>
      </c>
      <c r="AI4" s="21" t="n">
        <v>0</v>
      </c>
      <c r="AJ4" s="21" t="n">
        <v>0</v>
      </c>
      <c r="AK4" s="21" t="n">
        <v>0</v>
      </c>
      <c r="AL4" s="21" t="n">
        <v>0</v>
      </c>
      <c r="AM4" s="21" t="n">
        <v>0</v>
      </c>
      <c r="AN4" s="21" t="n">
        <v>0</v>
      </c>
      <c r="AO4" s="21" t="n">
        <v>0</v>
      </c>
      <c r="AP4" s="21" t="n">
        <v>0</v>
      </c>
      <c r="AQ4" s="21" t="n">
        <v>0</v>
      </c>
      <c r="AR4" s="21" t="n">
        <v>0</v>
      </c>
      <c r="AS4" s="21" t="n">
        <v>0</v>
      </c>
      <c r="AT4" s="21" t="n">
        <v>0</v>
      </c>
      <c r="AU4" s="21" t="n">
        <v>0</v>
      </c>
      <c r="AV4" s="21" t="n">
        <v>0</v>
      </c>
      <c r="AW4" s="21" t="n">
        <v>0</v>
      </c>
      <c r="AX4" s="21" t="n">
        <v>0</v>
      </c>
      <c r="AY4" s="21" t="n">
        <v>0</v>
      </c>
      <c r="AZ4" s="21" t="n">
        <v>0</v>
      </c>
      <c r="BA4" s="21" t="n">
        <v>0</v>
      </c>
      <c r="BB4" s="21" t="n">
        <v>0</v>
      </c>
      <c r="BC4" s="21" t="n">
        <v>0</v>
      </c>
      <c r="BD4" s="21" t="n">
        <v>0</v>
      </c>
      <c r="BE4" s="21" t="n">
        <v>0</v>
      </c>
      <c r="BF4" s="21" t="n">
        <v>0</v>
      </c>
      <c r="BG4" s="21" t="n">
        <v>0</v>
      </c>
      <c r="BH4" s="21" t="n">
        <v>0</v>
      </c>
      <c r="BI4" s="21" t="n">
        <v>0</v>
      </c>
      <c r="BJ4" s="21" t="n">
        <v>0</v>
      </c>
      <c r="BK4" s="21" t="n">
        <v>0</v>
      </c>
      <c r="BL4" s="21" t="n">
        <v>0</v>
      </c>
      <c r="BM4" s="21" t="n">
        <v>0</v>
      </c>
      <c r="BN4" s="21" t="n">
        <v>0</v>
      </c>
      <c r="BO4" s="21" t="n">
        <v>0</v>
      </c>
      <c r="BP4" s="21" t="n">
        <v>0</v>
      </c>
      <c r="BQ4" s="21" t="n">
        <v>0</v>
      </c>
      <c r="BR4" s="21" t="n">
        <v>0</v>
      </c>
      <c r="BS4" s="21" t="n">
        <v>0</v>
      </c>
      <c r="BT4" s="21" t="n">
        <v>0</v>
      </c>
      <c r="BU4" s="21" t="n">
        <v>0</v>
      </c>
      <c r="BV4" s="21" t="n">
        <v>0</v>
      </c>
      <c r="BW4" s="21" t="n">
        <v>0</v>
      </c>
      <c r="BX4" s="21" t="n">
        <v>0</v>
      </c>
      <c r="BY4" s="21" t="n">
        <v>0</v>
      </c>
      <c r="BZ4" s="21" t="n">
        <v>0</v>
      </c>
      <c r="CA4" s="21" t="n">
        <v>0</v>
      </c>
      <c r="CB4" s="21" t="n">
        <v>0</v>
      </c>
      <c r="CC4" s="21" t="n">
        <v>0</v>
      </c>
      <c r="CD4" s="21" t="n">
        <v>0</v>
      </c>
      <c r="CE4" s="21" t="n">
        <v>0</v>
      </c>
      <c r="CF4" s="21" t="n">
        <v>0</v>
      </c>
      <c r="CG4" s="21" t="n">
        <v>0</v>
      </c>
      <c r="CH4" s="21" t="n">
        <v>0</v>
      </c>
      <c r="CI4" s="21" t="n">
        <v>0</v>
      </c>
      <c r="CJ4" s="21" t="n">
        <v>0</v>
      </c>
      <c r="CK4" s="21" t="n">
        <v>0</v>
      </c>
      <c r="CL4" s="21" t="n">
        <v>0</v>
      </c>
      <c r="CM4" s="21" t="n">
        <v>0</v>
      </c>
      <c r="CN4" s="21" t="n">
        <v>0</v>
      </c>
      <c r="CO4" s="21" t="n">
        <v>0</v>
      </c>
      <c r="CP4" s="21" t="n">
        <v>0</v>
      </c>
      <c r="CQ4" s="21" t="n">
        <v>0</v>
      </c>
      <c r="CR4" s="21" t="n">
        <v>0</v>
      </c>
      <c r="CS4" s="21" t="n">
        <v>0</v>
      </c>
      <c r="CT4" s="21" t="n">
        <v>0</v>
      </c>
      <c r="CU4" s="21" t="n">
        <v>0</v>
      </c>
      <c r="CV4" s="21" t="n">
        <v>0</v>
      </c>
      <c r="CW4" s="21" t="n">
        <v>0</v>
      </c>
      <c r="CX4" s="21" t="n">
        <v>0</v>
      </c>
      <c r="CY4" s="21" t="n">
        <v>0</v>
      </c>
      <c r="CZ4" s="21" t="n">
        <v>0</v>
      </c>
      <c r="DA4" s="21" t="n">
        <v>0</v>
      </c>
    </row>
    <row r="5">
      <c r="A5" t="inlineStr">
        <is>
          <t>TSP-069</t>
        </is>
      </c>
      <c r="B5" s="21" t="n">
        <v>0</v>
      </c>
      <c r="C5" s="21" t="n">
        <v>0</v>
      </c>
      <c r="D5" s="21" t="n">
        <v>0</v>
      </c>
      <c r="E5" s="21" t="n">
        <v>0</v>
      </c>
      <c r="F5" s="21" t="n">
        <v>0</v>
      </c>
      <c r="G5" s="21" t="n">
        <v>0</v>
      </c>
      <c r="H5" s="21" t="n">
        <v>0</v>
      </c>
      <c r="I5" s="21" t="n">
        <v>0</v>
      </c>
      <c r="J5" s="21" t="n">
        <v>0</v>
      </c>
      <c r="K5" s="21" t="n">
        <v>0</v>
      </c>
      <c r="L5" s="21" t="n">
        <v>0</v>
      </c>
      <c r="M5" s="21" t="n">
        <v>0</v>
      </c>
      <c r="N5" s="21" t="n">
        <v>0</v>
      </c>
      <c r="O5" s="21" t="n">
        <v>0</v>
      </c>
      <c r="P5" s="21" t="n">
        <v>0</v>
      </c>
      <c r="Q5" s="21" t="n">
        <v>0</v>
      </c>
      <c r="R5" s="21" t="n">
        <v>0</v>
      </c>
      <c r="S5" s="21" t="n">
        <v>0</v>
      </c>
      <c r="T5" s="21" t="n">
        <v>0</v>
      </c>
      <c r="U5" s="21" t="n">
        <v>0</v>
      </c>
      <c r="V5" s="21" t="n">
        <v>0</v>
      </c>
      <c r="W5" s="21" t="n">
        <v>0</v>
      </c>
      <c r="X5" s="21" t="n">
        <v>0</v>
      </c>
      <c r="Y5" s="21" t="n">
        <v>0</v>
      </c>
      <c r="Z5" s="21" t="n">
        <v>0</v>
      </c>
      <c r="AA5" s="21" t="n">
        <v>0</v>
      </c>
      <c r="AB5" s="21" t="n">
        <v>0</v>
      </c>
      <c r="AC5" s="21" t="n">
        <v>0</v>
      </c>
      <c r="AD5" s="21" t="n">
        <v>0</v>
      </c>
      <c r="AE5" s="21" t="n">
        <v>0</v>
      </c>
      <c r="AF5" s="21" t="n">
        <v>0</v>
      </c>
      <c r="AG5" s="21" t="n">
        <v>0</v>
      </c>
      <c r="AH5" s="21" t="n">
        <v>0</v>
      </c>
      <c r="AI5" s="21" t="n">
        <v>0</v>
      </c>
      <c r="AJ5" s="21" t="n">
        <v>0</v>
      </c>
      <c r="AK5" s="21" t="n">
        <v>0</v>
      </c>
      <c r="AL5" s="21" t="n">
        <v>0</v>
      </c>
      <c r="AM5" s="21" t="n">
        <v>0</v>
      </c>
      <c r="AN5" s="21" t="n">
        <v>0</v>
      </c>
      <c r="AO5" s="21" t="n">
        <v>0</v>
      </c>
      <c r="AP5" s="21" t="n">
        <v>0</v>
      </c>
      <c r="AQ5" s="21" t="n">
        <v>0</v>
      </c>
      <c r="AR5" s="21" t="n">
        <v>0</v>
      </c>
      <c r="AS5" s="21" t="n">
        <v>0</v>
      </c>
      <c r="AT5" s="21" t="n">
        <v>0</v>
      </c>
      <c r="AU5" s="21" t="n">
        <v>0</v>
      </c>
      <c r="AV5" s="21" t="n">
        <v>0</v>
      </c>
      <c r="AW5" s="21" t="n">
        <v>0</v>
      </c>
      <c r="AX5" s="21" t="n">
        <v>0</v>
      </c>
      <c r="AY5" s="21" t="n">
        <v>0</v>
      </c>
      <c r="AZ5" s="21" t="n">
        <v>0</v>
      </c>
      <c r="BA5" s="21" t="n">
        <v>0</v>
      </c>
      <c r="BB5" s="21" t="n">
        <v>0</v>
      </c>
      <c r="BC5" s="21" t="n">
        <v>0</v>
      </c>
      <c r="BD5" s="21" t="n">
        <v>0</v>
      </c>
      <c r="BE5" s="21" t="n">
        <v>0</v>
      </c>
      <c r="BF5" s="21" t="n">
        <v>0</v>
      </c>
      <c r="BG5" s="21" t="n">
        <v>0</v>
      </c>
      <c r="BH5" s="21" t="n">
        <v>0</v>
      </c>
      <c r="BI5" s="21" t="n">
        <v>0</v>
      </c>
      <c r="BJ5" s="21" t="n">
        <v>0</v>
      </c>
      <c r="BK5" s="21" t="n">
        <v>0</v>
      </c>
      <c r="BL5" s="21" t="n">
        <v>0</v>
      </c>
      <c r="BM5" s="21" t="n">
        <v>0</v>
      </c>
      <c r="BN5" s="21" t="n">
        <v>0</v>
      </c>
      <c r="BO5" s="21" t="n">
        <v>0</v>
      </c>
      <c r="BP5" s="21" t="n">
        <v>0</v>
      </c>
      <c r="BQ5" s="21" t="n">
        <v>0</v>
      </c>
      <c r="BR5" s="21" t="n">
        <v>0</v>
      </c>
      <c r="BS5" s="21" t="n">
        <v>0</v>
      </c>
      <c r="BT5" s="21" t="n">
        <v>0</v>
      </c>
      <c r="BU5" s="21" t="n">
        <v>0</v>
      </c>
      <c r="BV5" s="21" t="n">
        <v>0</v>
      </c>
      <c r="BW5" s="21" t="n">
        <v>0</v>
      </c>
      <c r="BX5" s="21" t="n">
        <v>0</v>
      </c>
      <c r="BY5" s="21" t="n">
        <v>0</v>
      </c>
      <c r="BZ5" s="21" t="n">
        <v>0</v>
      </c>
      <c r="CA5" s="21" t="n">
        <v>0</v>
      </c>
      <c r="CB5" s="21" t="n">
        <v>0</v>
      </c>
      <c r="CC5" s="21" t="n">
        <v>0</v>
      </c>
      <c r="CD5" s="21" t="n">
        <v>0</v>
      </c>
      <c r="CE5" s="21" t="n">
        <v>0</v>
      </c>
      <c r="CF5" s="21" t="n">
        <v>0</v>
      </c>
      <c r="CG5" s="21" t="n">
        <v>0</v>
      </c>
      <c r="CH5" s="21" t="n">
        <v>0</v>
      </c>
      <c r="CI5" s="21" t="n">
        <v>0</v>
      </c>
      <c r="CJ5" s="21" t="n">
        <v>0</v>
      </c>
      <c r="CK5" s="21" t="n">
        <v>0</v>
      </c>
      <c r="CL5" s="21" t="n">
        <v>0</v>
      </c>
      <c r="CM5" s="21" t="n">
        <v>0</v>
      </c>
      <c r="CN5" s="21" t="n">
        <v>0</v>
      </c>
      <c r="CO5" s="21" t="n">
        <v>0</v>
      </c>
      <c r="CP5" s="21" t="n">
        <v>0</v>
      </c>
      <c r="CQ5" s="21" t="n">
        <v>0</v>
      </c>
      <c r="CR5" s="21" t="n">
        <v>0</v>
      </c>
      <c r="CS5" s="21" t="n">
        <v>0</v>
      </c>
      <c r="CT5" s="21" t="n">
        <v>0</v>
      </c>
      <c r="CU5" s="21" t="n">
        <v>0</v>
      </c>
      <c r="CV5" s="21" t="n">
        <v>0</v>
      </c>
      <c r="CW5" s="21" t="n">
        <v>0</v>
      </c>
      <c r="CX5" s="21" t="n">
        <v>0</v>
      </c>
      <c r="CY5" s="21" t="n">
        <v>0</v>
      </c>
      <c r="CZ5" s="21" t="n">
        <v>0</v>
      </c>
      <c r="DA5" s="21" t="n">
        <v>0</v>
      </c>
    </row>
    <row r="6">
      <c r="A6" t="inlineStr">
        <is>
          <t>TSP-078</t>
        </is>
      </c>
      <c r="B6" s="21" t="n">
        <v>0</v>
      </c>
      <c r="C6" s="21" t="n">
        <v>0</v>
      </c>
      <c r="D6" s="21" t="n">
        <v>0</v>
      </c>
      <c r="E6" s="21" t="n">
        <v>0</v>
      </c>
      <c r="F6" s="21" t="n">
        <v>0</v>
      </c>
      <c r="G6" s="21" t="n">
        <v>0</v>
      </c>
      <c r="H6" s="21" t="n">
        <v>0</v>
      </c>
      <c r="I6" s="21" t="n">
        <v>0</v>
      </c>
      <c r="J6" s="21" t="n">
        <v>0</v>
      </c>
      <c r="K6" s="21" t="n">
        <v>0</v>
      </c>
      <c r="L6" s="21" t="n">
        <v>0</v>
      </c>
      <c r="M6" s="21" t="n">
        <v>0</v>
      </c>
      <c r="N6" s="21" t="n">
        <v>0</v>
      </c>
      <c r="O6" s="21" t="n">
        <v>0</v>
      </c>
      <c r="P6" s="21" t="n">
        <v>0</v>
      </c>
      <c r="Q6" s="21" t="n">
        <v>0</v>
      </c>
      <c r="R6" s="21" t="n">
        <v>0</v>
      </c>
      <c r="S6" s="21" t="n">
        <v>0</v>
      </c>
      <c r="T6" s="21" t="n">
        <v>0</v>
      </c>
      <c r="U6" s="21" t="n">
        <v>0</v>
      </c>
      <c r="V6" s="21" t="n">
        <v>0</v>
      </c>
      <c r="W6" s="21" t="n">
        <v>0</v>
      </c>
      <c r="X6" s="21" t="n">
        <v>0</v>
      </c>
      <c r="Y6" s="21" t="n">
        <v>0</v>
      </c>
      <c r="Z6" s="21" t="n">
        <v>0</v>
      </c>
      <c r="AA6" s="21" t="n">
        <v>0</v>
      </c>
      <c r="AB6" s="21" t="n">
        <v>0</v>
      </c>
      <c r="AC6" s="21" t="n">
        <v>0</v>
      </c>
      <c r="AD6" s="21" t="n">
        <v>0</v>
      </c>
      <c r="AE6" s="21" t="n">
        <v>0</v>
      </c>
      <c r="AF6" s="21" t="n">
        <v>0</v>
      </c>
      <c r="AG6" s="21" t="n">
        <v>0</v>
      </c>
      <c r="AH6" s="21" t="n">
        <v>0</v>
      </c>
      <c r="AI6" s="21" t="n">
        <v>0</v>
      </c>
      <c r="AJ6" s="21" t="n">
        <v>0</v>
      </c>
      <c r="AK6" s="21" t="n">
        <v>0</v>
      </c>
      <c r="AL6" s="21" t="n">
        <v>0</v>
      </c>
      <c r="AM6" s="21" t="n">
        <v>0</v>
      </c>
      <c r="AN6" s="21" t="n">
        <v>0</v>
      </c>
      <c r="AO6" s="21" t="n">
        <v>0</v>
      </c>
      <c r="AP6" s="21" t="n">
        <v>0</v>
      </c>
      <c r="AQ6" s="21" t="n">
        <v>0</v>
      </c>
      <c r="AR6" s="21" t="n">
        <v>0</v>
      </c>
      <c r="AS6" s="21" t="n">
        <v>0</v>
      </c>
      <c r="AT6" s="21" t="n">
        <v>0</v>
      </c>
      <c r="AU6" s="21" t="n">
        <v>0</v>
      </c>
      <c r="AV6" s="21" t="n">
        <v>0</v>
      </c>
      <c r="AW6" s="21" t="n">
        <v>0</v>
      </c>
      <c r="AX6" s="21" t="n">
        <v>0</v>
      </c>
      <c r="AY6" s="21" t="n">
        <v>0</v>
      </c>
      <c r="AZ6" s="21" t="n">
        <v>0</v>
      </c>
      <c r="BA6" s="21" t="n">
        <v>0</v>
      </c>
      <c r="BB6" s="21" t="n">
        <v>0</v>
      </c>
      <c r="BC6" s="21" t="n">
        <v>0</v>
      </c>
      <c r="BD6" s="21" t="n">
        <v>0</v>
      </c>
      <c r="BE6" s="21" t="n">
        <v>0</v>
      </c>
      <c r="BF6" s="21" t="n">
        <v>0</v>
      </c>
      <c r="BG6" s="21" t="n">
        <v>0</v>
      </c>
      <c r="BH6" s="21" t="n">
        <v>0</v>
      </c>
      <c r="BI6" s="21" t="n">
        <v>0</v>
      </c>
      <c r="BJ6" s="21" t="n">
        <v>0</v>
      </c>
      <c r="BK6" s="21" t="n">
        <v>0</v>
      </c>
      <c r="BL6" s="21" t="n">
        <v>0</v>
      </c>
      <c r="BM6" s="21" t="n">
        <v>0</v>
      </c>
      <c r="BN6" s="21" t="n">
        <v>0</v>
      </c>
      <c r="BO6" s="21" t="n">
        <v>0</v>
      </c>
      <c r="BP6" s="21" t="n">
        <v>0</v>
      </c>
      <c r="BQ6" s="21" t="n">
        <v>0</v>
      </c>
      <c r="BR6" s="21" t="n">
        <v>0</v>
      </c>
      <c r="BS6" s="21" t="n">
        <v>0</v>
      </c>
      <c r="BT6" s="21" t="n">
        <v>0</v>
      </c>
      <c r="BU6" s="21" t="n">
        <v>0</v>
      </c>
      <c r="BV6" s="21" t="n">
        <v>0</v>
      </c>
      <c r="BW6" s="21" t="n">
        <v>0</v>
      </c>
      <c r="BX6" s="21" t="n">
        <v>0</v>
      </c>
      <c r="BY6" s="21" t="n">
        <v>0</v>
      </c>
      <c r="BZ6" s="21" t="n">
        <v>0</v>
      </c>
      <c r="CA6" s="21" t="n">
        <v>0</v>
      </c>
      <c r="CB6" s="21" t="n">
        <v>0</v>
      </c>
      <c r="CC6" s="21" t="n">
        <v>0</v>
      </c>
      <c r="CD6" s="21" t="n">
        <v>0</v>
      </c>
      <c r="CE6" s="21" t="n">
        <v>0</v>
      </c>
      <c r="CF6" s="21" t="n">
        <v>0</v>
      </c>
      <c r="CG6" s="21" t="n">
        <v>0</v>
      </c>
      <c r="CH6" s="21" t="n">
        <v>0</v>
      </c>
      <c r="CI6" s="21" t="n">
        <v>0</v>
      </c>
      <c r="CJ6" s="21" t="n">
        <v>0</v>
      </c>
      <c r="CK6" s="21" t="n">
        <v>0</v>
      </c>
      <c r="CL6" s="21" t="n">
        <v>0</v>
      </c>
      <c r="CM6" s="21" t="n">
        <v>0</v>
      </c>
      <c r="CN6" s="21" t="n">
        <v>0</v>
      </c>
      <c r="CO6" s="21" t="n">
        <v>0</v>
      </c>
      <c r="CP6" s="21" t="n">
        <v>0</v>
      </c>
      <c r="CQ6" s="21" t="n">
        <v>0</v>
      </c>
      <c r="CR6" s="21" t="n">
        <v>0</v>
      </c>
      <c r="CS6" s="21" t="n">
        <v>0</v>
      </c>
      <c r="CT6" s="21" t="n">
        <v>0</v>
      </c>
      <c r="CU6" s="21" t="n">
        <v>0</v>
      </c>
      <c r="CV6" s="21" t="n">
        <v>0</v>
      </c>
      <c r="CW6" s="21" t="n">
        <v>0</v>
      </c>
      <c r="CX6" s="21" t="n">
        <v>0</v>
      </c>
      <c r="CY6" s="21" t="n">
        <v>0</v>
      </c>
      <c r="CZ6" s="21" t="n">
        <v>0</v>
      </c>
      <c r="DA6" s="21" t="n">
        <v>0</v>
      </c>
    </row>
    <row r="7">
      <c r="A7" t="inlineStr">
        <is>
          <t>TSP-080</t>
        </is>
      </c>
      <c r="B7" s="21" t="n">
        <v>0</v>
      </c>
      <c r="C7" s="21" t="n">
        <v>0</v>
      </c>
      <c r="D7" s="21" t="n">
        <v>0</v>
      </c>
      <c r="E7" s="21" t="n">
        <v>0</v>
      </c>
      <c r="F7" s="21" t="n">
        <v>0</v>
      </c>
      <c r="G7" s="21" t="n">
        <v>0</v>
      </c>
      <c r="H7" s="21" t="n">
        <v>0</v>
      </c>
      <c r="I7" s="21" t="n">
        <v>0</v>
      </c>
      <c r="J7" s="21" t="n">
        <v>0</v>
      </c>
      <c r="K7" s="21" t="n">
        <v>0</v>
      </c>
      <c r="L7" s="21" t="n">
        <v>0</v>
      </c>
      <c r="M7" s="21" t="n">
        <v>0</v>
      </c>
      <c r="N7" s="21" t="n">
        <v>0</v>
      </c>
      <c r="O7" s="21" t="n">
        <v>0</v>
      </c>
      <c r="P7" s="21" t="n">
        <v>0</v>
      </c>
      <c r="Q7" s="21" t="n">
        <v>0</v>
      </c>
      <c r="R7" s="21" t="n">
        <v>0</v>
      </c>
      <c r="S7" s="21" t="n">
        <v>0</v>
      </c>
      <c r="T7" s="21" t="n">
        <v>0</v>
      </c>
      <c r="U7" s="21" t="n">
        <v>0</v>
      </c>
      <c r="V7" s="21" t="n">
        <v>0</v>
      </c>
      <c r="W7" s="21" t="n">
        <v>0</v>
      </c>
      <c r="X7" s="21" t="n">
        <v>0</v>
      </c>
      <c r="Y7" s="21" t="n">
        <v>0</v>
      </c>
      <c r="Z7" s="21" t="n">
        <v>0</v>
      </c>
      <c r="AA7" s="21" t="n">
        <v>0</v>
      </c>
      <c r="AB7" s="21" t="n">
        <v>0</v>
      </c>
      <c r="AC7" s="21" t="n">
        <v>0</v>
      </c>
      <c r="AD7" s="21" t="n">
        <v>0</v>
      </c>
      <c r="AE7" s="21" t="n">
        <v>0</v>
      </c>
      <c r="AF7" s="21" t="n">
        <v>0</v>
      </c>
      <c r="AG7" s="21" t="n">
        <v>0</v>
      </c>
      <c r="AH7" s="21" t="n">
        <v>0</v>
      </c>
      <c r="AI7" s="21" t="n">
        <v>0</v>
      </c>
      <c r="AJ7" s="21" t="n">
        <v>0</v>
      </c>
      <c r="AK7" s="21" t="n">
        <v>0</v>
      </c>
      <c r="AL7" s="21" t="n">
        <v>0</v>
      </c>
      <c r="AM7" s="21" t="n">
        <v>0</v>
      </c>
      <c r="AN7" s="21" t="n">
        <v>0</v>
      </c>
      <c r="AO7" s="21" t="n">
        <v>0</v>
      </c>
      <c r="AP7" s="21" t="n">
        <v>0</v>
      </c>
      <c r="AQ7" s="21" t="n">
        <v>0</v>
      </c>
      <c r="AR7" s="21" t="n">
        <v>0</v>
      </c>
      <c r="AS7" s="21" t="n">
        <v>0</v>
      </c>
      <c r="AT7" s="21" t="n">
        <v>0</v>
      </c>
      <c r="AU7" s="21" t="n">
        <v>0</v>
      </c>
      <c r="AV7" s="21" t="n">
        <v>0</v>
      </c>
      <c r="AW7" s="21" t="n">
        <v>0</v>
      </c>
      <c r="AX7" s="21" t="n">
        <v>0</v>
      </c>
      <c r="AY7" s="21" t="n">
        <v>0</v>
      </c>
      <c r="AZ7" s="21" t="n">
        <v>0</v>
      </c>
      <c r="BA7" s="21" t="n">
        <v>0</v>
      </c>
      <c r="BB7" s="21" t="n">
        <v>0</v>
      </c>
      <c r="BC7" s="21" t="n">
        <v>0</v>
      </c>
      <c r="BD7" s="21" t="n">
        <v>0</v>
      </c>
      <c r="BE7" s="21" t="n">
        <v>0</v>
      </c>
      <c r="BF7" s="21" t="n">
        <v>0</v>
      </c>
      <c r="BG7" s="21" t="n">
        <v>0</v>
      </c>
      <c r="BH7" s="21" t="n">
        <v>0</v>
      </c>
      <c r="BI7" s="21" t="n">
        <v>0</v>
      </c>
      <c r="BJ7" s="21" t="n">
        <v>0</v>
      </c>
      <c r="BK7" s="21" t="n">
        <v>0</v>
      </c>
      <c r="BL7" s="21" t="n">
        <v>0</v>
      </c>
      <c r="BM7" s="21" t="n">
        <v>0</v>
      </c>
      <c r="BN7" s="21" t="n">
        <v>0</v>
      </c>
      <c r="BO7" s="21" t="n">
        <v>0</v>
      </c>
      <c r="BP7" s="21" t="n">
        <v>0</v>
      </c>
      <c r="BQ7" s="21" t="n">
        <v>0</v>
      </c>
      <c r="BR7" s="21" t="n">
        <v>0</v>
      </c>
      <c r="BS7" s="21" t="n">
        <v>0</v>
      </c>
      <c r="BT7" s="21" t="n">
        <v>0</v>
      </c>
      <c r="BU7" s="21" t="n">
        <v>0</v>
      </c>
      <c r="BV7" s="21" t="n">
        <v>0</v>
      </c>
      <c r="BW7" s="21" t="n">
        <v>0</v>
      </c>
      <c r="BX7" s="21" t="n">
        <v>0</v>
      </c>
      <c r="BY7" s="21" t="n">
        <v>0</v>
      </c>
      <c r="BZ7" s="21" t="n">
        <v>0</v>
      </c>
      <c r="CA7" s="21" t="n">
        <v>0</v>
      </c>
      <c r="CB7" s="21" t="n">
        <v>0</v>
      </c>
      <c r="CC7" s="21" t="n">
        <v>0</v>
      </c>
      <c r="CD7" s="21" t="n">
        <v>0</v>
      </c>
      <c r="CE7" s="21" t="n">
        <v>0</v>
      </c>
      <c r="CF7" s="21" t="n">
        <v>0</v>
      </c>
      <c r="CG7" s="21" t="n">
        <v>0</v>
      </c>
      <c r="CH7" s="21" t="n">
        <v>0</v>
      </c>
      <c r="CI7" s="21" t="n">
        <v>0</v>
      </c>
      <c r="CJ7" s="21" t="n">
        <v>0</v>
      </c>
      <c r="CK7" s="21" t="n">
        <v>0</v>
      </c>
      <c r="CL7" s="21" t="n">
        <v>0</v>
      </c>
      <c r="CM7" s="21" t="n">
        <v>0</v>
      </c>
      <c r="CN7" s="21" t="n">
        <v>0</v>
      </c>
      <c r="CO7" s="21" t="n">
        <v>0</v>
      </c>
      <c r="CP7" s="21" t="n">
        <v>0</v>
      </c>
      <c r="CQ7" s="21" t="n">
        <v>0</v>
      </c>
      <c r="CR7" s="21" t="n">
        <v>0</v>
      </c>
      <c r="CS7" s="21" t="n">
        <v>0</v>
      </c>
      <c r="CT7" s="21" t="n">
        <v>0</v>
      </c>
      <c r="CU7" s="21" t="n">
        <v>0</v>
      </c>
      <c r="CV7" s="21" t="n">
        <v>0</v>
      </c>
      <c r="CW7" s="21" t="n">
        <v>0</v>
      </c>
      <c r="CX7" s="21" t="n">
        <v>0</v>
      </c>
      <c r="CY7" s="21" t="n">
        <v>0</v>
      </c>
      <c r="CZ7" s="21" t="n">
        <v>0</v>
      </c>
      <c r="DA7" s="21" t="n">
        <v>0</v>
      </c>
    </row>
    <row r="8">
      <c r="A8" t="inlineStr">
        <is>
          <t>TSP-104</t>
        </is>
      </c>
      <c r="B8" s="21" t="n">
        <v>0</v>
      </c>
      <c r="C8" s="21" t="n">
        <v>0</v>
      </c>
      <c r="D8" s="21" t="n">
        <v>0</v>
      </c>
      <c r="E8" s="21" t="n">
        <v>0</v>
      </c>
      <c r="F8" s="21" t="n">
        <v>0</v>
      </c>
      <c r="G8" s="21" t="n">
        <v>0</v>
      </c>
      <c r="H8" s="21" t="n">
        <v>0</v>
      </c>
      <c r="I8" s="21" t="n">
        <v>0</v>
      </c>
      <c r="J8" s="21" t="n">
        <v>0</v>
      </c>
      <c r="K8" s="21" t="n">
        <v>0</v>
      </c>
      <c r="L8" s="21" t="n">
        <v>0</v>
      </c>
      <c r="M8" s="21" t="n">
        <v>0</v>
      </c>
      <c r="N8" s="21" t="n">
        <v>0</v>
      </c>
      <c r="O8" s="21" t="n">
        <v>0</v>
      </c>
      <c r="P8" s="21" t="n">
        <v>0</v>
      </c>
      <c r="Q8" s="21" t="n">
        <v>0</v>
      </c>
      <c r="R8" s="21" t="n">
        <v>0</v>
      </c>
      <c r="S8" s="21" t="n">
        <v>0</v>
      </c>
      <c r="T8" s="21" t="n">
        <v>0</v>
      </c>
      <c r="U8" s="21" t="n">
        <v>0</v>
      </c>
      <c r="V8" s="21" t="n">
        <v>0</v>
      </c>
      <c r="W8" s="21" t="n">
        <v>0</v>
      </c>
      <c r="X8" s="21" t="n">
        <v>0</v>
      </c>
      <c r="Y8" s="21" t="n">
        <v>0</v>
      </c>
      <c r="Z8" s="21" t="n">
        <v>0</v>
      </c>
      <c r="AA8" s="21" t="n">
        <v>0</v>
      </c>
      <c r="AB8" s="21" t="n">
        <v>0</v>
      </c>
      <c r="AC8" s="21" t="n">
        <v>0</v>
      </c>
      <c r="AD8" s="21" t="n">
        <v>0</v>
      </c>
      <c r="AE8" s="21" t="n">
        <v>0</v>
      </c>
      <c r="AF8" s="21" t="n">
        <v>0</v>
      </c>
      <c r="AG8" s="21" t="n">
        <v>0</v>
      </c>
      <c r="AH8" s="21" t="n">
        <v>0</v>
      </c>
      <c r="AI8" s="21" t="n">
        <v>0</v>
      </c>
      <c r="AJ8" s="21" t="n">
        <v>0</v>
      </c>
      <c r="AK8" s="21" t="n">
        <v>0</v>
      </c>
      <c r="AL8" s="21" t="n">
        <v>0</v>
      </c>
      <c r="AM8" s="21" t="n">
        <v>0</v>
      </c>
      <c r="AN8" s="21" t="n">
        <v>0</v>
      </c>
      <c r="AO8" s="21" t="n">
        <v>0</v>
      </c>
      <c r="AP8" s="21" t="n">
        <v>0</v>
      </c>
      <c r="AQ8" s="21" t="n">
        <v>0</v>
      </c>
      <c r="AR8" s="21" t="n">
        <v>0</v>
      </c>
      <c r="AS8" s="21" t="n">
        <v>0</v>
      </c>
      <c r="AT8" s="21" t="n">
        <v>0</v>
      </c>
      <c r="AU8" s="21" t="n">
        <v>0</v>
      </c>
      <c r="AV8" s="21" t="n">
        <v>0</v>
      </c>
      <c r="AW8" s="21" t="n">
        <v>0</v>
      </c>
      <c r="AX8" s="21" t="n">
        <v>0</v>
      </c>
      <c r="AY8" s="21" t="n">
        <v>0</v>
      </c>
      <c r="AZ8" s="21" t="n">
        <v>0</v>
      </c>
      <c r="BA8" s="21" t="n">
        <v>0</v>
      </c>
      <c r="BB8" s="21" t="n">
        <v>0</v>
      </c>
      <c r="BC8" s="21" t="n">
        <v>0</v>
      </c>
      <c r="BD8" s="21" t="n">
        <v>0</v>
      </c>
      <c r="BE8" s="21" t="n">
        <v>0</v>
      </c>
      <c r="BF8" s="21" t="n">
        <v>0</v>
      </c>
      <c r="BG8" s="21" t="n">
        <v>0</v>
      </c>
      <c r="BH8" s="21" t="n">
        <v>0</v>
      </c>
      <c r="BI8" s="21" t="n">
        <v>0</v>
      </c>
      <c r="BJ8" s="21" t="n">
        <v>0</v>
      </c>
      <c r="BK8" s="21" t="n">
        <v>0</v>
      </c>
      <c r="BL8" s="21" t="n">
        <v>0</v>
      </c>
      <c r="BM8" s="21" t="n">
        <v>0</v>
      </c>
      <c r="BN8" s="21" t="n">
        <v>0</v>
      </c>
      <c r="BO8" s="21" t="n">
        <v>0</v>
      </c>
      <c r="BP8" s="21" t="n">
        <v>0</v>
      </c>
      <c r="BQ8" s="21" t="n">
        <v>0</v>
      </c>
      <c r="BR8" s="21" t="n">
        <v>0</v>
      </c>
      <c r="BS8" s="21" t="n">
        <v>0</v>
      </c>
      <c r="BT8" s="21" t="n">
        <v>0</v>
      </c>
      <c r="BU8" s="21" t="n">
        <v>0</v>
      </c>
      <c r="BV8" s="21" t="n">
        <v>0</v>
      </c>
      <c r="BW8" s="21" t="n">
        <v>0</v>
      </c>
      <c r="BX8" s="21" t="n">
        <v>0</v>
      </c>
      <c r="BY8" s="21" t="n">
        <v>0</v>
      </c>
      <c r="BZ8" s="21" t="n">
        <v>0</v>
      </c>
      <c r="CA8" s="21" t="n">
        <v>0</v>
      </c>
      <c r="CB8" s="21" t="n">
        <v>0</v>
      </c>
      <c r="CC8" s="21" t="n">
        <v>0</v>
      </c>
      <c r="CD8" s="21" t="n">
        <v>0</v>
      </c>
      <c r="CE8" s="21" t="n">
        <v>0</v>
      </c>
      <c r="CF8" s="21" t="n">
        <v>0</v>
      </c>
      <c r="CG8" s="21" t="n">
        <v>0</v>
      </c>
      <c r="CH8" s="21" t="n">
        <v>0</v>
      </c>
      <c r="CI8" s="21" t="n">
        <v>0</v>
      </c>
      <c r="CJ8" s="21" t="n">
        <v>0</v>
      </c>
      <c r="CK8" s="21" t="n">
        <v>0</v>
      </c>
      <c r="CL8" s="21" t="n">
        <v>0</v>
      </c>
      <c r="CM8" s="21" t="n">
        <v>0</v>
      </c>
      <c r="CN8" s="21" t="n">
        <v>0</v>
      </c>
      <c r="CO8" s="21" t="n">
        <v>0</v>
      </c>
      <c r="CP8" s="21" t="n">
        <v>0</v>
      </c>
      <c r="CQ8" s="21" t="n">
        <v>0</v>
      </c>
      <c r="CR8" s="21" t="n">
        <v>0</v>
      </c>
      <c r="CS8" s="21" t="n">
        <v>0</v>
      </c>
      <c r="CT8" s="21" t="n">
        <v>0</v>
      </c>
      <c r="CU8" s="21" t="n">
        <v>0</v>
      </c>
      <c r="CV8" s="21" t="n">
        <v>0</v>
      </c>
      <c r="CW8" s="21" t="n">
        <v>0</v>
      </c>
      <c r="CX8" s="21" t="n">
        <v>0</v>
      </c>
      <c r="CY8" s="21" t="n">
        <v>0</v>
      </c>
      <c r="CZ8" s="21" t="n">
        <v>0</v>
      </c>
      <c r="DA8" s="21" t="n">
        <v>0</v>
      </c>
    </row>
    <row r="9">
      <c r="A9" t="inlineStr">
        <is>
          <t>TSP-105</t>
        </is>
      </c>
      <c r="B9" s="21" t="n">
        <v>0</v>
      </c>
      <c r="C9" s="21" t="n">
        <v>0</v>
      </c>
      <c r="D9" s="21" t="n">
        <v>0</v>
      </c>
      <c r="E9" s="21" t="n">
        <v>0</v>
      </c>
      <c r="F9" s="21" t="n">
        <v>0</v>
      </c>
      <c r="G9" s="21" t="n">
        <v>0</v>
      </c>
      <c r="H9" s="21" t="n">
        <v>0</v>
      </c>
      <c r="I9" s="21" t="n">
        <v>0</v>
      </c>
      <c r="J9" s="21" t="n">
        <v>0</v>
      </c>
      <c r="K9" s="21" t="n">
        <v>0</v>
      </c>
      <c r="L9" s="21" t="n">
        <v>0</v>
      </c>
      <c r="M9" s="21" t="n">
        <v>0</v>
      </c>
      <c r="N9" s="21" t="n">
        <v>0</v>
      </c>
      <c r="O9" s="21" t="n">
        <v>0</v>
      </c>
      <c r="P9" s="21" t="n">
        <v>0</v>
      </c>
      <c r="Q9" s="21" t="n">
        <v>0</v>
      </c>
      <c r="R9" s="21" t="n">
        <v>0</v>
      </c>
      <c r="S9" s="21" t="n">
        <v>0</v>
      </c>
      <c r="T9" s="21" t="n">
        <v>0</v>
      </c>
      <c r="U9" s="21" t="n">
        <v>0</v>
      </c>
      <c r="V9" s="21" t="n">
        <v>0</v>
      </c>
      <c r="W9" s="21" t="n">
        <v>0</v>
      </c>
      <c r="X9" s="21" t="n">
        <v>0</v>
      </c>
      <c r="Y9" s="21" t="n">
        <v>0</v>
      </c>
      <c r="Z9" s="21" t="n">
        <v>0</v>
      </c>
      <c r="AA9" s="21" t="n">
        <v>0</v>
      </c>
      <c r="AB9" s="21" t="n">
        <v>0</v>
      </c>
      <c r="AC9" s="21" t="n">
        <v>0</v>
      </c>
      <c r="AD9" s="21" t="n">
        <v>0</v>
      </c>
      <c r="AE9" s="21" t="n">
        <v>0</v>
      </c>
      <c r="AF9" s="21" t="n">
        <v>0</v>
      </c>
      <c r="AG9" s="21" t="n">
        <v>0</v>
      </c>
      <c r="AH9" s="21" t="n">
        <v>0</v>
      </c>
      <c r="AI9" s="21" t="n">
        <v>0</v>
      </c>
      <c r="AJ9" s="21" t="n">
        <v>0</v>
      </c>
      <c r="AK9" s="21" t="n">
        <v>0</v>
      </c>
      <c r="AL9" s="21" t="n">
        <v>0</v>
      </c>
      <c r="AM9" s="21" t="n">
        <v>0</v>
      </c>
      <c r="AN9" s="21" t="n">
        <v>0</v>
      </c>
      <c r="AO9" s="21" t="n">
        <v>0</v>
      </c>
      <c r="AP9" s="21" t="n">
        <v>0</v>
      </c>
      <c r="AQ9" s="21" t="n">
        <v>0</v>
      </c>
      <c r="AR9" s="21" t="n">
        <v>0</v>
      </c>
      <c r="AS9" s="21" t="n">
        <v>0</v>
      </c>
      <c r="AT9" s="21" t="n">
        <v>0</v>
      </c>
      <c r="AU9" s="21" t="n">
        <v>0</v>
      </c>
      <c r="AV9" s="21" t="n">
        <v>0</v>
      </c>
      <c r="AW9" s="21" t="n">
        <v>0</v>
      </c>
      <c r="AX9" s="21" t="n">
        <v>0</v>
      </c>
      <c r="AY9" s="21" t="n">
        <v>0</v>
      </c>
      <c r="AZ9" s="21" t="n">
        <v>0</v>
      </c>
      <c r="BA9" s="21" t="n">
        <v>0</v>
      </c>
      <c r="BB9" s="21" t="n">
        <v>0</v>
      </c>
      <c r="BC9" s="21" t="n">
        <v>0</v>
      </c>
      <c r="BD9" s="21" t="n">
        <v>0</v>
      </c>
      <c r="BE9" s="21" t="n">
        <v>0</v>
      </c>
      <c r="BF9" s="21" t="n">
        <v>0</v>
      </c>
      <c r="BG9" s="21" t="n">
        <v>0</v>
      </c>
      <c r="BH9" s="21" t="n">
        <v>0</v>
      </c>
      <c r="BI9" s="21" t="n">
        <v>0</v>
      </c>
      <c r="BJ9" s="21" t="n">
        <v>0</v>
      </c>
      <c r="BK9" s="21" t="n">
        <v>0</v>
      </c>
      <c r="BL9" s="21" t="n">
        <v>0</v>
      </c>
      <c r="BM9" s="21" t="n">
        <v>0</v>
      </c>
      <c r="BN9" s="21" t="n">
        <v>0</v>
      </c>
      <c r="BO9" s="21" t="n">
        <v>0</v>
      </c>
      <c r="BP9" s="21" t="n">
        <v>0</v>
      </c>
      <c r="BQ9" s="21" t="n">
        <v>0</v>
      </c>
      <c r="BR9" s="21" t="n">
        <v>0</v>
      </c>
      <c r="BS9" s="21" t="n">
        <v>0</v>
      </c>
      <c r="BT9" s="21" t="n">
        <v>0</v>
      </c>
      <c r="BU9" s="21" t="n">
        <v>0</v>
      </c>
      <c r="BV9" s="21" t="n">
        <v>0</v>
      </c>
      <c r="BW9" s="21" t="n">
        <v>0</v>
      </c>
      <c r="BX9" s="21" t="n">
        <v>0</v>
      </c>
      <c r="BY9" s="21" t="n">
        <v>0</v>
      </c>
      <c r="BZ9" s="21" t="n">
        <v>0</v>
      </c>
      <c r="CA9" s="21" t="n">
        <v>0</v>
      </c>
      <c r="CB9" s="21" t="n">
        <v>0</v>
      </c>
      <c r="CC9" s="21" t="n">
        <v>0</v>
      </c>
      <c r="CD9" s="21" t="n">
        <v>0</v>
      </c>
      <c r="CE9" s="21" t="n">
        <v>0</v>
      </c>
      <c r="CF9" s="21" t="n">
        <v>0</v>
      </c>
      <c r="CG9" s="21" t="n">
        <v>0</v>
      </c>
      <c r="CH9" s="21" t="n">
        <v>0</v>
      </c>
      <c r="CI9" s="21" t="n">
        <v>0</v>
      </c>
      <c r="CJ9" s="21" t="n">
        <v>0</v>
      </c>
      <c r="CK9" s="21" t="n">
        <v>0</v>
      </c>
      <c r="CL9" s="21" t="n">
        <v>0</v>
      </c>
      <c r="CM9" s="21" t="n">
        <v>0</v>
      </c>
      <c r="CN9" s="21" t="n">
        <v>0</v>
      </c>
      <c r="CO9" s="21" t="n">
        <v>0</v>
      </c>
      <c r="CP9" s="21" t="n">
        <v>0</v>
      </c>
      <c r="CQ9" s="21" t="n">
        <v>0</v>
      </c>
      <c r="CR9" s="21" t="n">
        <v>0</v>
      </c>
      <c r="CS9" s="21" t="n">
        <v>0</v>
      </c>
      <c r="CT9" s="21" t="n">
        <v>0</v>
      </c>
      <c r="CU9" s="21" t="n">
        <v>0</v>
      </c>
      <c r="CV9" s="21" t="n">
        <v>0</v>
      </c>
      <c r="CW9" s="21" t="n">
        <v>0</v>
      </c>
      <c r="CX9" s="21" t="n">
        <v>0</v>
      </c>
      <c r="CY9" s="21" t="n">
        <v>0</v>
      </c>
      <c r="CZ9" s="21" t="n">
        <v>0</v>
      </c>
      <c r="DA9" s="21" t="n">
        <v>0</v>
      </c>
    </row>
    <row r="10">
      <c r="A10" t="inlineStr">
        <is>
          <t>TSP-1388</t>
        </is>
      </c>
      <c r="B10" s="21" t="n">
        <v>0</v>
      </c>
      <c r="C10" s="21" t="n">
        <v>0</v>
      </c>
      <c r="D10" s="21" t="n">
        <v>0</v>
      </c>
      <c r="E10" s="21" t="n">
        <v>0</v>
      </c>
      <c r="F10" s="21" t="n">
        <v>0</v>
      </c>
      <c r="G10" s="21" t="n">
        <v>0</v>
      </c>
      <c r="H10" s="21" t="n">
        <v>0</v>
      </c>
      <c r="I10" s="21" t="n">
        <v>0</v>
      </c>
      <c r="J10" s="21" t="n">
        <v>0</v>
      </c>
      <c r="K10" s="21" t="n">
        <v>0</v>
      </c>
      <c r="L10" s="21" t="n">
        <v>0</v>
      </c>
      <c r="M10" s="21" t="n">
        <v>0</v>
      </c>
      <c r="N10" s="21" t="n">
        <v>0</v>
      </c>
      <c r="O10" s="21" t="n">
        <v>0</v>
      </c>
      <c r="P10" s="21" t="n">
        <v>0</v>
      </c>
      <c r="Q10" s="21" t="n">
        <v>0</v>
      </c>
      <c r="R10" s="21" t="n">
        <v>0</v>
      </c>
      <c r="S10" s="21" t="n">
        <v>0</v>
      </c>
      <c r="T10" s="21" t="n">
        <v>0</v>
      </c>
      <c r="U10" s="21" t="n">
        <v>0</v>
      </c>
      <c r="V10" s="21" t="n">
        <v>0</v>
      </c>
      <c r="W10" s="21" t="n">
        <v>0</v>
      </c>
      <c r="X10" s="21" t="n">
        <v>4.84752501513953</v>
      </c>
      <c r="Y10" s="21" t="n">
        <v>1.189476793284051</v>
      </c>
      <c r="Z10" s="21" t="n">
        <v>0</v>
      </c>
      <c r="AA10" s="21" t="n">
        <v>2.423762507569765</v>
      </c>
      <c r="AB10" s="21" t="n">
        <v>3.232471942097165</v>
      </c>
      <c r="AC10" s="21" t="n">
        <v>0</v>
      </c>
      <c r="AD10" s="21" t="n">
        <v>1.189476793284051</v>
      </c>
      <c r="AE10" s="21" t="n">
        <v>3.277280863098829</v>
      </c>
      <c r="AF10" s="21" t="n">
        <v>2.468571428571428</v>
      </c>
      <c r="AG10" s="21" t="n">
        <v>2.423762507569765</v>
      </c>
      <c r="AH10" s="21" t="n">
        <v>3.658048221855479</v>
      </c>
      <c r="AI10" s="21" t="n">
        <v>4.466757656382879</v>
      </c>
      <c r="AJ10" s="21" t="n">
        <v>2.468571428571428</v>
      </c>
      <c r="AK10" s="21" t="n">
        <v>2.468571428571428</v>
      </c>
      <c r="AL10" s="21" t="n">
        <v>2.423762507569765</v>
      </c>
      <c r="AM10" s="21" t="n">
        <v>2.468571428571428</v>
      </c>
      <c r="AN10" s="21" t="n">
        <v>3.232471942097165</v>
      </c>
      <c r="AO10" s="21" t="n">
        <v>1.234285714285714</v>
      </c>
      <c r="AP10" s="21" t="n">
        <v>3.658048221855479</v>
      </c>
      <c r="AQ10" s="21" t="n">
        <v>3.658048221855479</v>
      </c>
      <c r="AR10" s="21" t="n">
        <v>3.232471942097165</v>
      </c>
      <c r="AS10" s="21" t="n">
        <v>4.84752501513953</v>
      </c>
      <c r="AT10" s="21" t="n">
        <v>4.466757656382879</v>
      </c>
      <c r="AU10" s="21" t="n">
        <v>4.892333936141194</v>
      </c>
      <c r="AV10" s="21" t="n">
        <v>5.701043370668594</v>
      </c>
      <c r="AW10" s="21" t="n">
        <v>4.466757656382879</v>
      </c>
      <c r="AX10" s="21" t="n">
        <v>3.658048221855479</v>
      </c>
      <c r="AY10" s="21" t="n">
        <v>4.466757656382879</v>
      </c>
      <c r="AZ10" s="21" t="n">
        <v>1.234285714285714</v>
      </c>
      <c r="BA10" s="21" t="n">
        <v>0</v>
      </c>
      <c r="BB10" s="21" t="n">
        <v>0</v>
      </c>
      <c r="BC10" s="21" t="n">
        <v>1.234285714285714</v>
      </c>
      <c r="BD10" s="21" t="n">
        <v>2.468571428571428</v>
      </c>
      <c r="BE10" s="21" t="n">
        <v>3.658048221855479</v>
      </c>
      <c r="BF10" s="21" t="n">
        <v>4.466757656382879</v>
      </c>
      <c r="BG10" s="21" t="n">
        <v>2.423762507569765</v>
      </c>
      <c r="BH10" s="21" t="n">
        <v>3.658048221855479</v>
      </c>
      <c r="BI10" s="21" t="n">
        <v>2.423762507569765</v>
      </c>
      <c r="BJ10" s="21" t="n">
        <v>2.042995148813114</v>
      </c>
      <c r="BK10" s="21" t="n">
        <v>2.423762507569765</v>
      </c>
      <c r="BL10" s="21" t="n">
        <v>2.468571428571428</v>
      </c>
      <c r="BM10" s="21" t="n">
        <v>1.234285714285714</v>
      </c>
      <c r="BN10" s="21" t="n">
        <v>1.234285714285714</v>
      </c>
      <c r="BO10" s="21" t="n">
        <v>2.431624960405448</v>
      </c>
      <c r="BP10" s="21" t="n">
        <v>0</v>
      </c>
      <c r="BQ10" s="21" t="n">
        <v>1.234285714285714</v>
      </c>
      <c r="BR10" s="21" t="n">
        <v>1.234285714285714</v>
      </c>
      <c r="BS10" s="21" t="n">
        <v>1.234285714285714</v>
      </c>
      <c r="BT10" s="21" t="n">
        <v>0</v>
      </c>
      <c r="BU10" s="21" t="n">
        <v>1.234285714285714</v>
      </c>
      <c r="BV10" s="21" t="n">
        <v>0.9257142857142857</v>
      </c>
      <c r="BW10" s="21" t="n">
        <v>0</v>
      </c>
      <c r="BX10" s="21" t="n">
        <v>0</v>
      </c>
      <c r="BY10" s="21" t="n">
        <v>0</v>
      </c>
      <c r="BZ10" s="21" t="n">
        <v>0</v>
      </c>
      <c r="CA10" s="21" t="n">
        <v>0</v>
      </c>
      <c r="CB10" s="21" t="n">
        <v>0</v>
      </c>
      <c r="CC10" s="21" t="n">
        <v>0</v>
      </c>
      <c r="CD10" s="21" t="n">
        <v>0</v>
      </c>
      <c r="CE10" s="21" t="n">
        <v>0</v>
      </c>
      <c r="CF10" s="21" t="n">
        <v>0</v>
      </c>
      <c r="CG10" s="21" t="n">
        <v>0</v>
      </c>
      <c r="CH10" s="21" t="n">
        <v>0</v>
      </c>
      <c r="CI10" s="21" t="n">
        <v>0</v>
      </c>
      <c r="CJ10" s="21" t="n">
        <v>0</v>
      </c>
      <c r="CK10" s="21" t="n">
        <v>0</v>
      </c>
      <c r="CL10" s="21" t="n">
        <v>0</v>
      </c>
      <c r="CM10" s="21" t="n">
        <v>0</v>
      </c>
      <c r="CN10" s="21" t="n">
        <v>0</v>
      </c>
      <c r="CO10" s="21" t="n">
        <v>0</v>
      </c>
      <c r="CP10" s="21" t="n">
        <v>0</v>
      </c>
      <c r="CQ10" s="21" t="n">
        <v>0</v>
      </c>
      <c r="CR10" s="21" t="n">
        <v>0</v>
      </c>
      <c r="CS10" s="21" t="n">
        <v>0</v>
      </c>
      <c r="CT10" s="21" t="n">
        <v>0</v>
      </c>
      <c r="CU10" s="21" t="n">
        <v>0</v>
      </c>
      <c r="CV10" s="21" t="n">
        <v>0</v>
      </c>
      <c r="CW10" s="21" t="n">
        <v>0</v>
      </c>
      <c r="CX10" s="21" t="n">
        <v>0</v>
      </c>
      <c r="CY10" s="21" t="n">
        <v>0</v>
      </c>
      <c r="CZ10" s="21" t="n">
        <v>0</v>
      </c>
      <c r="DA10" s="21" t="n">
        <v>0</v>
      </c>
    </row>
    <row r="11">
      <c r="A11" t="inlineStr">
        <is>
          <t>TSP-1444</t>
        </is>
      </c>
      <c r="B11" s="21" t="n">
        <v>0</v>
      </c>
      <c r="C11" s="21" t="n">
        <v>0</v>
      </c>
      <c r="D11" s="21" t="n">
        <v>0</v>
      </c>
      <c r="E11" s="21" t="n">
        <v>0</v>
      </c>
      <c r="F11" s="21" t="n">
        <v>0</v>
      </c>
      <c r="G11" s="21" t="n">
        <v>0</v>
      </c>
      <c r="H11" s="21" t="n">
        <v>0</v>
      </c>
      <c r="I11" s="21" t="n">
        <v>0</v>
      </c>
      <c r="J11" s="21" t="n">
        <v>0</v>
      </c>
      <c r="K11" s="21" t="n">
        <v>0</v>
      </c>
      <c r="L11" s="21" t="n">
        <v>0</v>
      </c>
      <c r="M11" s="21" t="n">
        <v>0</v>
      </c>
      <c r="N11" s="21" t="n">
        <v>0</v>
      </c>
      <c r="O11" s="21" t="n">
        <v>0</v>
      </c>
      <c r="P11" s="21" t="n">
        <v>0</v>
      </c>
      <c r="Q11" s="21" t="n">
        <v>0</v>
      </c>
      <c r="R11" s="21" t="n">
        <v>0</v>
      </c>
      <c r="S11" s="21" t="n">
        <v>0</v>
      </c>
      <c r="T11" s="21" t="n">
        <v>0</v>
      </c>
      <c r="U11" s="21" t="n">
        <v>0</v>
      </c>
      <c r="V11" s="21" t="n">
        <v>0</v>
      </c>
      <c r="W11" s="21" t="n">
        <v>0</v>
      </c>
      <c r="X11" s="21" t="n">
        <v>7.458075052893359</v>
      </c>
      <c r="Y11" s="21" t="n">
        <v>0</v>
      </c>
      <c r="Z11" s="21" t="n">
        <v>0</v>
      </c>
      <c r="AA11" s="21" t="n">
        <v>3.72903752644668</v>
      </c>
      <c r="AB11" s="21" t="n">
        <v>6.098185949208053</v>
      </c>
      <c r="AC11" s="21" t="n">
        <v>0</v>
      </c>
      <c r="AD11" s="21" t="n">
        <v>0</v>
      </c>
      <c r="AE11" s="21" t="n">
        <v>9.827223475654733</v>
      </c>
      <c r="AF11" s="21" t="n">
        <v>7.458075052893359</v>
      </c>
      <c r="AG11" s="21" t="n">
        <v>3.72903752644668</v>
      </c>
      <c r="AH11" s="21" t="n">
        <v>7.458075052893359</v>
      </c>
      <c r="AI11" s="21" t="n">
        <v>9.827223475654733</v>
      </c>
      <c r="AJ11" s="21" t="n">
        <v>7.458075052893359</v>
      </c>
      <c r="AK11" s="21" t="n">
        <v>7.458075052893359</v>
      </c>
      <c r="AL11" s="21" t="n">
        <v>3.72903752644668</v>
      </c>
      <c r="AM11" s="21" t="n">
        <v>7.458075052893359</v>
      </c>
      <c r="AN11" s="21" t="n">
        <v>6.098185949208053</v>
      </c>
      <c r="AO11" s="21" t="n">
        <v>3.72903752644668</v>
      </c>
      <c r="AP11" s="21" t="n">
        <v>7.458075052893359</v>
      </c>
      <c r="AQ11" s="21" t="n">
        <v>7.458075052893359</v>
      </c>
      <c r="AR11" s="21" t="n">
        <v>6.098185949208053</v>
      </c>
      <c r="AS11" s="21" t="n">
        <v>7.458075052893359</v>
      </c>
      <c r="AT11" s="21" t="n">
        <v>9.827223475654733</v>
      </c>
      <c r="AU11" s="21" t="n">
        <v>11.18711257934004</v>
      </c>
      <c r="AV11" s="21" t="n">
        <v>13.55626100210141</v>
      </c>
      <c r="AW11" s="21" t="n">
        <v>9.827223475654733</v>
      </c>
      <c r="AX11" s="21" t="n">
        <v>7.458075052893359</v>
      </c>
      <c r="AY11" s="21" t="n">
        <v>9.827223475654733</v>
      </c>
      <c r="AZ11" s="21" t="n">
        <v>3.72903752644668</v>
      </c>
      <c r="BA11" s="21" t="n">
        <v>0</v>
      </c>
      <c r="BB11" s="21" t="n">
        <v>0</v>
      </c>
      <c r="BC11" s="21" t="n">
        <v>3.72903752644668</v>
      </c>
      <c r="BD11" s="21" t="n">
        <v>7.458075052893359</v>
      </c>
      <c r="BE11" s="21" t="n">
        <v>7.458075052893359</v>
      </c>
      <c r="BF11" s="21" t="n">
        <v>9.827223475654733</v>
      </c>
      <c r="BG11" s="21" t="n">
        <v>3.72903752644668</v>
      </c>
      <c r="BH11" s="21" t="n">
        <v>7.458075052893359</v>
      </c>
      <c r="BI11" s="21" t="n">
        <v>3.72903752644668</v>
      </c>
      <c r="BJ11" s="21" t="n">
        <v>6.098185949208053</v>
      </c>
      <c r="BK11" s="21" t="n">
        <v>3.72903752644668</v>
      </c>
      <c r="BL11" s="21" t="n">
        <v>7.458075052893359</v>
      </c>
      <c r="BM11" s="21" t="n">
        <v>3.72903752644668</v>
      </c>
      <c r="BN11" s="21" t="n">
        <v>3.72903752644668</v>
      </c>
      <c r="BO11" s="21" t="n">
        <v>4.913611737827367</v>
      </c>
      <c r="BP11" s="21" t="n">
        <v>0</v>
      </c>
      <c r="BQ11" s="21" t="n">
        <v>3.72903752644668</v>
      </c>
      <c r="BR11" s="21" t="n">
        <v>3.72903752644668</v>
      </c>
      <c r="BS11" s="21" t="n">
        <v>3.72903752644668</v>
      </c>
      <c r="BT11" s="21" t="n">
        <v>0</v>
      </c>
      <c r="BU11" s="21" t="n">
        <v>3.72903752644668</v>
      </c>
      <c r="BV11" s="21" t="n">
        <v>2.79677814483501</v>
      </c>
      <c r="BW11" s="21" t="n">
        <v>0</v>
      </c>
      <c r="BX11" s="21" t="n">
        <v>0</v>
      </c>
      <c r="BY11" s="21" t="n">
        <v>0</v>
      </c>
      <c r="BZ11" s="21" t="n">
        <v>0</v>
      </c>
      <c r="CA11" s="21" t="n">
        <v>0</v>
      </c>
      <c r="CB11" s="21" t="n">
        <v>0</v>
      </c>
      <c r="CC11" s="21" t="n">
        <v>0</v>
      </c>
      <c r="CD11" s="21" t="n">
        <v>0</v>
      </c>
      <c r="CE11" s="21" t="n">
        <v>0</v>
      </c>
      <c r="CF11" s="21" t="n">
        <v>0</v>
      </c>
      <c r="CG11" s="21" t="n">
        <v>0</v>
      </c>
      <c r="CH11" s="21" t="n">
        <v>0</v>
      </c>
      <c r="CI11" s="21" t="n">
        <v>0</v>
      </c>
      <c r="CJ11" s="21" t="n">
        <v>0</v>
      </c>
      <c r="CK11" s="21" t="n">
        <v>0</v>
      </c>
      <c r="CL11" s="21" t="n">
        <v>0</v>
      </c>
      <c r="CM11" s="21" t="n">
        <v>0</v>
      </c>
      <c r="CN11" s="21" t="n">
        <v>0</v>
      </c>
      <c r="CO11" s="21" t="n">
        <v>0</v>
      </c>
      <c r="CP11" s="21" t="n">
        <v>0</v>
      </c>
      <c r="CQ11" s="21" t="n">
        <v>0</v>
      </c>
      <c r="CR11" s="21" t="n">
        <v>0</v>
      </c>
      <c r="CS11" s="21" t="n">
        <v>0</v>
      </c>
      <c r="CT11" s="21" t="n">
        <v>0</v>
      </c>
      <c r="CU11" s="21" t="n">
        <v>0</v>
      </c>
      <c r="CV11" s="21" t="n">
        <v>0</v>
      </c>
      <c r="CW11" s="21" t="n">
        <v>0</v>
      </c>
      <c r="CX11" s="21" t="n">
        <v>0</v>
      </c>
      <c r="CY11" s="21" t="n">
        <v>0</v>
      </c>
      <c r="CZ11" s="21" t="n">
        <v>0</v>
      </c>
      <c r="DA11" s="21" t="n">
        <v>0</v>
      </c>
    </row>
    <row r="12">
      <c r="A12" t="inlineStr">
        <is>
          <t>TSP-1445</t>
        </is>
      </c>
      <c r="B12" s="21" t="n">
        <v>0</v>
      </c>
      <c r="C12" s="21" t="n">
        <v>0</v>
      </c>
      <c r="D12" s="21" t="n">
        <v>0</v>
      </c>
      <c r="E12" s="21" t="n">
        <v>0</v>
      </c>
      <c r="F12" s="21" t="n">
        <v>0</v>
      </c>
      <c r="G12" s="21" t="n">
        <v>0</v>
      </c>
      <c r="H12" s="21" t="n">
        <v>0</v>
      </c>
      <c r="I12" s="21" t="n">
        <v>0</v>
      </c>
      <c r="J12" s="21" t="n">
        <v>0</v>
      </c>
      <c r="K12" s="21" t="n">
        <v>0</v>
      </c>
      <c r="L12" s="21" t="n">
        <v>0</v>
      </c>
      <c r="M12" s="21" t="n">
        <v>0</v>
      </c>
      <c r="N12" s="21" t="n">
        <v>0</v>
      </c>
      <c r="O12" s="21" t="n">
        <v>0</v>
      </c>
      <c r="P12" s="21" t="n">
        <v>0</v>
      </c>
      <c r="Q12" s="21" t="n">
        <v>0</v>
      </c>
      <c r="R12" s="21" t="n">
        <v>0</v>
      </c>
      <c r="S12" s="21" t="n">
        <v>0</v>
      </c>
      <c r="T12" s="21" t="n">
        <v>0</v>
      </c>
      <c r="U12" s="21" t="n">
        <v>0</v>
      </c>
      <c r="V12" s="21" t="n">
        <v>0</v>
      </c>
      <c r="W12" s="21" t="n">
        <v>0</v>
      </c>
      <c r="X12" s="21" t="n">
        <v>6.689372517092537</v>
      </c>
      <c r="Y12" s="21" t="n">
        <v>3.344686258546269</v>
      </c>
      <c r="Z12" s="21" t="n">
        <v>0</v>
      </c>
      <c r="AA12" s="21" t="n">
        <v>3.344686258546269</v>
      </c>
      <c r="AB12" s="21" t="n">
        <v>3.344686258546269</v>
      </c>
      <c r="AC12" s="21" t="n">
        <v>0</v>
      </c>
      <c r="AD12" s="21" t="n">
        <v>3.344686258546269</v>
      </c>
      <c r="AE12" s="21" t="n">
        <v>0</v>
      </c>
      <c r="AF12" s="21" t="n">
        <v>1.114895419515423</v>
      </c>
      <c r="AG12" s="21" t="n">
        <v>3.344686258546269</v>
      </c>
      <c r="AH12" s="21" t="n">
        <v>3.344686258546269</v>
      </c>
      <c r="AI12" s="21" t="n">
        <v>3.344686258546269</v>
      </c>
      <c r="AJ12" s="21" t="n">
        <v>0</v>
      </c>
      <c r="AK12" s="21" t="n">
        <v>0</v>
      </c>
      <c r="AL12" s="21" t="n">
        <v>3.344686258546269</v>
      </c>
      <c r="AM12" s="21" t="n">
        <v>0</v>
      </c>
      <c r="AN12" s="21" t="n">
        <v>3.344686258546269</v>
      </c>
      <c r="AO12" s="21" t="n">
        <v>0</v>
      </c>
      <c r="AP12" s="21" t="n">
        <v>3.344686258546269</v>
      </c>
      <c r="AQ12" s="21" t="n">
        <v>3.344686258546269</v>
      </c>
      <c r="AR12" s="21" t="n">
        <v>3.344686258546269</v>
      </c>
      <c r="AS12" s="21" t="n">
        <v>7.80426793660796</v>
      </c>
      <c r="AT12" s="21" t="n">
        <v>3.344686258546269</v>
      </c>
      <c r="AU12" s="21" t="n">
        <v>3.344686258546269</v>
      </c>
      <c r="AV12" s="21" t="n">
        <v>3.344686258546269</v>
      </c>
      <c r="AW12" s="21" t="n">
        <v>3.344686258546269</v>
      </c>
      <c r="AX12" s="21" t="n">
        <v>3.344686258546269</v>
      </c>
      <c r="AY12" s="21" t="n">
        <v>3.344686258546269</v>
      </c>
      <c r="AZ12" s="21" t="n">
        <v>0</v>
      </c>
      <c r="BA12" s="21" t="n">
        <v>0</v>
      </c>
      <c r="BB12" s="21" t="n">
        <v>0</v>
      </c>
      <c r="BC12" s="21" t="n">
        <v>0</v>
      </c>
      <c r="BD12" s="21" t="n">
        <v>0</v>
      </c>
      <c r="BE12" s="21" t="n">
        <v>3.344686258546269</v>
      </c>
      <c r="BF12" s="21" t="n">
        <v>4.459581678061691</v>
      </c>
      <c r="BG12" s="21" t="n">
        <v>3.344686258546269</v>
      </c>
      <c r="BH12" s="21" t="n">
        <v>3.344686258546269</v>
      </c>
      <c r="BI12" s="21" t="n">
        <v>3.344686258546269</v>
      </c>
      <c r="BJ12" s="21" t="n">
        <v>0</v>
      </c>
      <c r="BK12" s="21" t="n">
        <v>3.344686258546269</v>
      </c>
      <c r="BL12" s="21" t="n">
        <v>1.114895419515423</v>
      </c>
      <c r="BM12" s="21" t="n">
        <v>0</v>
      </c>
      <c r="BN12" s="21" t="n">
        <v>0</v>
      </c>
      <c r="BO12" s="21" t="n">
        <v>2.229790839030846</v>
      </c>
      <c r="BP12" s="21" t="n">
        <v>1.114895419515423</v>
      </c>
      <c r="BQ12" s="21" t="n">
        <v>0</v>
      </c>
      <c r="BR12" s="21" t="n">
        <v>0</v>
      </c>
      <c r="BS12" s="21" t="n">
        <v>1.114895419515423</v>
      </c>
      <c r="BT12" s="21" t="n">
        <v>0</v>
      </c>
      <c r="BU12" s="21" t="n">
        <v>0</v>
      </c>
      <c r="BV12" s="21" t="n">
        <v>0</v>
      </c>
      <c r="BW12" s="21" t="n">
        <v>1.114895419515423</v>
      </c>
      <c r="BX12" s="21" t="n">
        <v>0</v>
      </c>
      <c r="BY12" s="21" t="n">
        <v>0</v>
      </c>
      <c r="BZ12" s="21" t="n">
        <v>0</v>
      </c>
      <c r="CA12" s="21" t="n">
        <v>0</v>
      </c>
      <c r="CB12" s="21" t="n">
        <v>0</v>
      </c>
      <c r="CC12" s="21" t="n">
        <v>0</v>
      </c>
      <c r="CD12" s="21" t="n">
        <v>0</v>
      </c>
      <c r="CE12" s="21" t="n">
        <v>0</v>
      </c>
      <c r="CF12" s="21" t="n">
        <v>0</v>
      </c>
      <c r="CG12" s="21" t="n">
        <v>0</v>
      </c>
      <c r="CH12" s="21" t="n">
        <v>0</v>
      </c>
      <c r="CI12" s="21" t="n">
        <v>0</v>
      </c>
      <c r="CJ12" s="21" t="n">
        <v>0</v>
      </c>
      <c r="CK12" s="21" t="n">
        <v>0</v>
      </c>
      <c r="CL12" s="21" t="n">
        <v>0</v>
      </c>
      <c r="CM12" s="21" t="n">
        <v>0</v>
      </c>
      <c r="CN12" s="21" t="n">
        <v>0</v>
      </c>
      <c r="CO12" s="21" t="n">
        <v>0</v>
      </c>
      <c r="CP12" s="21" t="n">
        <v>0</v>
      </c>
      <c r="CQ12" s="21" t="n">
        <v>0</v>
      </c>
      <c r="CR12" s="21" t="n">
        <v>0</v>
      </c>
      <c r="CS12" s="21" t="n">
        <v>0</v>
      </c>
      <c r="CT12" s="21" t="n">
        <v>0</v>
      </c>
      <c r="CU12" s="21" t="n">
        <v>0</v>
      </c>
      <c r="CV12" s="21" t="n">
        <v>0</v>
      </c>
      <c r="CW12" s="21" t="n">
        <v>0</v>
      </c>
      <c r="CX12" s="21" t="n">
        <v>0</v>
      </c>
      <c r="CY12" s="21" t="n">
        <v>0</v>
      </c>
      <c r="CZ12" s="21" t="n">
        <v>0</v>
      </c>
      <c r="DA12" s="21" t="n">
        <v>0</v>
      </c>
    </row>
    <row r="13">
      <c r="A13" t="inlineStr">
        <is>
          <t>TSP-1446</t>
        </is>
      </c>
      <c r="B13" s="21" t="n">
        <v>0</v>
      </c>
      <c r="C13" s="21" t="n">
        <v>0</v>
      </c>
      <c r="D13" s="21" t="n">
        <v>0</v>
      </c>
      <c r="E13" s="21" t="n">
        <v>0</v>
      </c>
      <c r="F13" s="21" t="n">
        <v>0</v>
      </c>
      <c r="G13" s="21" t="n">
        <v>0</v>
      </c>
      <c r="H13" s="21" t="n">
        <v>0</v>
      </c>
      <c r="I13" s="21" t="n">
        <v>0</v>
      </c>
      <c r="J13" s="21" t="n">
        <v>0</v>
      </c>
      <c r="K13" s="21" t="n">
        <v>0</v>
      </c>
      <c r="L13" s="21" t="n">
        <v>0</v>
      </c>
      <c r="M13" s="21" t="n">
        <v>0</v>
      </c>
      <c r="N13" s="21" t="n">
        <v>0</v>
      </c>
      <c r="O13" s="21" t="n">
        <v>0</v>
      </c>
      <c r="P13" s="21" t="n">
        <v>0</v>
      </c>
      <c r="Q13" s="21" t="n">
        <v>0</v>
      </c>
      <c r="R13" s="21" t="n">
        <v>0</v>
      </c>
      <c r="S13" s="21" t="n">
        <v>0</v>
      </c>
      <c r="T13" s="21" t="n">
        <v>0</v>
      </c>
      <c r="U13" s="21" t="n">
        <v>0</v>
      </c>
      <c r="V13" s="21" t="n">
        <v>0</v>
      </c>
      <c r="W13" s="21" t="n">
        <v>0</v>
      </c>
      <c r="X13" s="21" t="n">
        <v>0</v>
      </c>
      <c r="Y13" s="21" t="n">
        <v>0</v>
      </c>
      <c r="Z13" s="21" t="n">
        <v>0</v>
      </c>
      <c r="AA13" s="21" t="n">
        <v>0</v>
      </c>
      <c r="AB13" s="21" t="n">
        <v>0</v>
      </c>
      <c r="AC13" s="21" t="n">
        <v>0</v>
      </c>
      <c r="AD13" s="21" t="n">
        <v>0</v>
      </c>
      <c r="AE13" s="21" t="n">
        <v>0</v>
      </c>
      <c r="AF13" s="21" t="n">
        <v>0</v>
      </c>
      <c r="AG13" s="21" t="n">
        <v>0</v>
      </c>
      <c r="AH13" s="21" t="n">
        <v>0</v>
      </c>
      <c r="AI13" s="21" t="n">
        <v>0</v>
      </c>
      <c r="AJ13" s="21" t="n">
        <v>0</v>
      </c>
      <c r="AK13" s="21" t="n">
        <v>0</v>
      </c>
      <c r="AL13" s="21" t="n">
        <v>0</v>
      </c>
      <c r="AM13" s="21" t="n">
        <v>0</v>
      </c>
      <c r="AN13" s="21" t="n">
        <v>0</v>
      </c>
      <c r="AO13" s="21" t="n">
        <v>0</v>
      </c>
      <c r="AP13" s="21" t="n">
        <v>0</v>
      </c>
      <c r="AQ13" s="21" t="n">
        <v>0</v>
      </c>
      <c r="AR13" s="21" t="n">
        <v>0</v>
      </c>
      <c r="AS13" s="21" t="n">
        <v>0</v>
      </c>
      <c r="AT13" s="21" t="n">
        <v>0</v>
      </c>
      <c r="AU13" s="21" t="n">
        <v>0</v>
      </c>
      <c r="AV13" s="21" t="n">
        <v>0</v>
      </c>
      <c r="AW13" s="21" t="n">
        <v>0</v>
      </c>
      <c r="AX13" s="21" t="n">
        <v>0</v>
      </c>
      <c r="AY13" s="21" t="n">
        <v>0</v>
      </c>
      <c r="AZ13" s="21" t="n">
        <v>0</v>
      </c>
      <c r="BA13" s="21" t="n">
        <v>0</v>
      </c>
      <c r="BB13" s="21" t="n">
        <v>0</v>
      </c>
      <c r="BC13" s="21" t="n">
        <v>0</v>
      </c>
      <c r="BD13" s="21" t="n">
        <v>0</v>
      </c>
      <c r="BE13" s="21" t="n">
        <v>0</v>
      </c>
      <c r="BF13" s="21" t="n">
        <v>0</v>
      </c>
      <c r="BG13" s="21" t="n">
        <v>0</v>
      </c>
      <c r="BH13" s="21" t="n">
        <v>0</v>
      </c>
      <c r="BI13" s="21" t="n">
        <v>0</v>
      </c>
      <c r="BJ13" s="21" t="n">
        <v>0</v>
      </c>
      <c r="BK13" s="21" t="n">
        <v>0</v>
      </c>
      <c r="BL13" s="21" t="n">
        <v>0</v>
      </c>
      <c r="BM13" s="21" t="n">
        <v>0</v>
      </c>
      <c r="BN13" s="21" t="n">
        <v>0</v>
      </c>
      <c r="BO13" s="21" t="n">
        <v>0</v>
      </c>
      <c r="BP13" s="21" t="n">
        <v>0</v>
      </c>
      <c r="BQ13" s="21" t="n">
        <v>0</v>
      </c>
      <c r="BR13" s="21" t="n">
        <v>0</v>
      </c>
      <c r="BS13" s="21" t="n">
        <v>0</v>
      </c>
      <c r="BT13" s="21" t="n">
        <v>0</v>
      </c>
      <c r="BU13" s="21" t="n">
        <v>0</v>
      </c>
      <c r="BV13" s="21" t="n">
        <v>0</v>
      </c>
      <c r="BW13" s="21" t="n">
        <v>0</v>
      </c>
      <c r="BX13" s="21" t="n">
        <v>0</v>
      </c>
      <c r="BY13" s="21" t="n">
        <v>0</v>
      </c>
      <c r="BZ13" s="21" t="n">
        <v>0</v>
      </c>
      <c r="CA13" s="21" t="n">
        <v>0</v>
      </c>
      <c r="CB13" s="21" t="n">
        <v>0</v>
      </c>
      <c r="CC13" s="21" t="n">
        <v>0</v>
      </c>
      <c r="CD13" s="21" t="n">
        <v>0</v>
      </c>
      <c r="CE13" s="21" t="n">
        <v>0</v>
      </c>
      <c r="CF13" s="21" t="n">
        <v>0</v>
      </c>
      <c r="CG13" s="21" t="n">
        <v>0</v>
      </c>
      <c r="CH13" s="21" t="n">
        <v>0</v>
      </c>
      <c r="CI13" s="21" t="n">
        <v>0</v>
      </c>
      <c r="CJ13" s="21" t="n">
        <v>0</v>
      </c>
      <c r="CK13" s="21" t="n">
        <v>0</v>
      </c>
      <c r="CL13" s="21" t="n">
        <v>0</v>
      </c>
      <c r="CM13" s="21" t="n">
        <v>0</v>
      </c>
      <c r="CN13" s="21" t="n">
        <v>0</v>
      </c>
      <c r="CO13" s="21" t="n">
        <v>0</v>
      </c>
      <c r="CP13" s="21" t="n">
        <v>0</v>
      </c>
      <c r="CQ13" s="21" t="n">
        <v>0</v>
      </c>
      <c r="CR13" s="21" t="n">
        <v>0</v>
      </c>
      <c r="CS13" s="21" t="n">
        <v>0</v>
      </c>
      <c r="CT13" s="21" t="n">
        <v>0</v>
      </c>
      <c r="CU13" s="21" t="n">
        <v>0</v>
      </c>
      <c r="CV13" s="21" t="n">
        <v>0</v>
      </c>
      <c r="CW13" s="21" t="n">
        <v>0</v>
      </c>
      <c r="CX13" s="21" t="n">
        <v>0</v>
      </c>
      <c r="CY13" s="21" t="n">
        <v>0</v>
      </c>
      <c r="CZ13" s="21" t="n">
        <v>0</v>
      </c>
      <c r="DA13" s="21" t="n">
        <v>0</v>
      </c>
    </row>
    <row r="14">
      <c r="A14" t="inlineStr">
        <is>
          <t>TSP-1448</t>
        </is>
      </c>
      <c r="B14" s="21" t="n">
        <v>0</v>
      </c>
      <c r="C14" s="21" t="n">
        <v>0</v>
      </c>
      <c r="D14" s="21" t="n">
        <v>0</v>
      </c>
      <c r="E14" s="21" t="n">
        <v>0</v>
      </c>
      <c r="F14" s="21" t="n">
        <v>0</v>
      </c>
      <c r="G14" s="21" t="n">
        <v>0</v>
      </c>
      <c r="H14" s="21" t="n">
        <v>0</v>
      </c>
      <c r="I14" s="21" t="n">
        <v>0</v>
      </c>
      <c r="J14" s="21" t="n">
        <v>0</v>
      </c>
      <c r="K14" s="21" t="n">
        <v>0</v>
      </c>
      <c r="L14" s="21" t="n">
        <v>0</v>
      </c>
      <c r="M14" s="21" t="n">
        <v>0</v>
      </c>
      <c r="N14" s="21" t="n">
        <v>0</v>
      </c>
      <c r="O14" s="21" t="n">
        <v>0</v>
      </c>
      <c r="P14" s="21" t="n">
        <v>0</v>
      </c>
      <c r="Q14" s="21" t="n">
        <v>0</v>
      </c>
      <c r="R14" s="21" t="n">
        <v>0</v>
      </c>
      <c r="S14" s="21" t="n">
        <v>0</v>
      </c>
      <c r="T14" s="21" t="n">
        <v>0</v>
      </c>
      <c r="U14" s="21" t="n">
        <v>0</v>
      </c>
      <c r="V14" s="21" t="n">
        <v>0</v>
      </c>
      <c r="W14" s="21" t="n">
        <v>0</v>
      </c>
      <c r="X14" s="21" t="n">
        <v>4.629994301523985</v>
      </c>
      <c r="Y14" s="21" t="n">
        <v>0</v>
      </c>
      <c r="Z14" s="21" t="n">
        <v>0</v>
      </c>
      <c r="AA14" s="21" t="n">
        <v>2.314997150761993</v>
      </c>
      <c r="AB14" s="21" t="n">
        <v>3.81902062939158</v>
      </c>
      <c r="AC14" s="21" t="n">
        <v>0</v>
      </c>
      <c r="AD14" s="21" t="n">
        <v>0</v>
      </c>
      <c r="AE14" s="21" t="n">
        <v>6.134017780153573</v>
      </c>
      <c r="AF14" s="21" t="n">
        <v>4.629994301523985</v>
      </c>
      <c r="AG14" s="21" t="n">
        <v>2.314997150761993</v>
      </c>
      <c r="AH14" s="21" t="n">
        <v>4.629994301523985</v>
      </c>
      <c r="AI14" s="21" t="n">
        <v>6.134017780153573</v>
      </c>
      <c r="AJ14" s="21" t="n">
        <v>4.629994301523985</v>
      </c>
      <c r="AK14" s="21" t="n">
        <v>4.629994301523985</v>
      </c>
      <c r="AL14" s="21" t="n">
        <v>2.314997150761993</v>
      </c>
      <c r="AM14" s="21" t="n">
        <v>4.629994301523985</v>
      </c>
      <c r="AN14" s="21" t="n">
        <v>3.81902062939158</v>
      </c>
      <c r="AO14" s="21" t="n">
        <v>2.314997150761993</v>
      </c>
      <c r="AP14" s="21" t="n">
        <v>4.629994301523985</v>
      </c>
      <c r="AQ14" s="21" t="n">
        <v>4.629994301523985</v>
      </c>
      <c r="AR14" s="21" t="n">
        <v>3.81902062939158</v>
      </c>
      <c r="AS14" s="21" t="n">
        <v>4.629994301523985</v>
      </c>
      <c r="AT14" s="21" t="n">
        <v>6.134017780153573</v>
      </c>
      <c r="AU14" s="21" t="n">
        <v>6.944991452285977</v>
      </c>
      <c r="AV14" s="21" t="n">
        <v>8.449014930915565</v>
      </c>
      <c r="AW14" s="21" t="n">
        <v>6.134017780153573</v>
      </c>
      <c r="AX14" s="21" t="n">
        <v>4.629994301523985</v>
      </c>
      <c r="AY14" s="21" t="n">
        <v>6.134017780153573</v>
      </c>
      <c r="AZ14" s="21" t="n">
        <v>2.314997150761993</v>
      </c>
      <c r="BA14" s="21" t="n">
        <v>0</v>
      </c>
      <c r="BB14" s="21" t="n">
        <v>0</v>
      </c>
      <c r="BC14" s="21" t="n">
        <v>2.314997150761993</v>
      </c>
      <c r="BD14" s="21" t="n">
        <v>4.629994301523985</v>
      </c>
      <c r="BE14" s="21" t="n">
        <v>4.629994301523985</v>
      </c>
      <c r="BF14" s="21" t="n">
        <v>6.134017780153573</v>
      </c>
      <c r="BG14" s="21" t="n">
        <v>2.314997150761993</v>
      </c>
      <c r="BH14" s="21" t="n">
        <v>4.629994301523985</v>
      </c>
      <c r="BI14" s="21" t="n">
        <v>2.314997150761993</v>
      </c>
      <c r="BJ14" s="21" t="n">
        <v>3.81902062939158</v>
      </c>
      <c r="BK14" s="21" t="n">
        <v>2.314997150761993</v>
      </c>
      <c r="BL14" s="21" t="n">
        <v>4.629994301523985</v>
      </c>
      <c r="BM14" s="21" t="n">
        <v>2.314997150761993</v>
      </c>
      <c r="BN14" s="21" t="n">
        <v>2.314997150761993</v>
      </c>
      <c r="BO14" s="21" t="n">
        <v>3.067008890076786</v>
      </c>
      <c r="BP14" s="21" t="n">
        <v>0</v>
      </c>
      <c r="BQ14" s="21" t="n">
        <v>2.314997150761993</v>
      </c>
      <c r="BR14" s="21" t="n">
        <v>2.314997150761993</v>
      </c>
      <c r="BS14" s="21" t="n">
        <v>2.314997150761993</v>
      </c>
      <c r="BT14" s="21" t="n">
        <v>0</v>
      </c>
      <c r="BU14" s="21" t="n">
        <v>2.314997150761993</v>
      </c>
      <c r="BV14" s="21" t="n">
        <v>1.736247863071494</v>
      </c>
      <c r="BW14" s="21" t="n">
        <v>0</v>
      </c>
      <c r="BX14" s="21" t="n">
        <v>0</v>
      </c>
      <c r="BY14" s="21" t="n">
        <v>0</v>
      </c>
      <c r="BZ14" s="21" t="n">
        <v>0</v>
      </c>
      <c r="CA14" s="21" t="n">
        <v>0</v>
      </c>
      <c r="CB14" s="21" t="n">
        <v>0</v>
      </c>
      <c r="CC14" s="21" t="n">
        <v>0</v>
      </c>
      <c r="CD14" s="21" t="n">
        <v>0</v>
      </c>
      <c r="CE14" s="21" t="n">
        <v>0</v>
      </c>
      <c r="CF14" s="21" t="n">
        <v>0</v>
      </c>
      <c r="CG14" s="21" t="n">
        <v>0</v>
      </c>
      <c r="CH14" s="21" t="n">
        <v>0</v>
      </c>
      <c r="CI14" s="21" t="n">
        <v>0</v>
      </c>
      <c r="CJ14" s="21" t="n">
        <v>0</v>
      </c>
      <c r="CK14" s="21" t="n">
        <v>0</v>
      </c>
      <c r="CL14" s="21" t="n">
        <v>0</v>
      </c>
      <c r="CM14" s="21" t="n">
        <v>0</v>
      </c>
      <c r="CN14" s="21" t="n">
        <v>0</v>
      </c>
      <c r="CO14" s="21" t="n">
        <v>0</v>
      </c>
      <c r="CP14" s="21" t="n">
        <v>0</v>
      </c>
      <c r="CQ14" s="21" t="n">
        <v>0</v>
      </c>
      <c r="CR14" s="21" t="n">
        <v>0</v>
      </c>
      <c r="CS14" s="21" t="n">
        <v>0</v>
      </c>
      <c r="CT14" s="21" t="n">
        <v>0</v>
      </c>
      <c r="CU14" s="21" t="n">
        <v>0</v>
      </c>
      <c r="CV14" s="21" t="n">
        <v>0</v>
      </c>
      <c r="CW14" s="21" t="n">
        <v>0</v>
      </c>
      <c r="CX14" s="21" t="n">
        <v>0</v>
      </c>
      <c r="CY14" s="21" t="n">
        <v>0</v>
      </c>
      <c r="CZ14" s="21" t="n">
        <v>0</v>
      </c>
      <c r="DA14" s="21" t="n">
        <v>0</v>
      </c>
    </row>
    <row r="15">
      <c r="A15" t="inlineStr">
        <is>
          <t>TSP-1449</t>
        </is>
      </c>
      <c r="B15" s="21" t="n">
        <v>0</v>
      </c>
      <c r="C15" s="21" t="n">
        <v>0</v>
      </c>
      <c r="D15" s="21" t="n">
        <v>0</v>
      </c>
      <c r="E15" s="21" t="n">
        <v>0</v>
      </c>
      <c r="F15" s="21" t="n">
        <v>0</v>
      </c>
      <c r="G15" s="21" t="n">
        <v>0</v>
      </c>
      <c r="H15" s="21" t="n">
        <v>0</v>
      </c>
      <c r="I15" s="21" t="n">
        <v>0</v>
      </c>
      <c r="J15" s="21" t="n">
        <v>0</v>
      </c>
      <c r="K15" s="21" t="n">
        <v>0</v>
      </c>
      <c r="L15" s="21" t="n">
        <v>0</v>
      </c>
      <c r="M15" s="21" t="n">
        <v>0</v>
      </c>
      <c r="N15" s="21" t="n">
        <v>0</v>
      </c>
      <c r="O15" s="21" t="n">
        <v>0</v>
      </c>
      <c r="P15" s="21" t="n">
        <v>0</v>
      </c>
      <c r="Q15" s="21" t="n">
        <v>0</v>
      </c>
      <c r="R15" s="21" t="n">
        <v>0</v>
      </c>
      <c r="S15" s="21" t="n">
        <v>0</v>
      </c>
      <c r="T15" s="21" t="n">
        <v>0</v>
      </c>
      <c r="U15" s="21" t="n">
        <v>0</v>
      </c>
      <c r="V15" s="21" t="n">
        <v>0</v>
      </c>
      <c r="W15" s="21" t="n">
        <v>0</v>
      </c>
      <c r="X15" s="21" t="n">
        <v>4.281174270692706</v>
      </c>
      <c r="Y15" s="21" t="n">
        <v>2.140587135346353</v>
      </c>
      <c r="Z15" s="21" t="n">
        <v>0</v>
      </c>
      <c r="AA15" s="21" t="n">
        <v>2.140587135346353</v>
      </c>
      <c r="AB15" s="21" t="n">
        <v>2.140587135346353</v>
      </c>
      <c r="AC15" s="21" t="n">
        <v>0</v>
      </c>
      <c r="AD15" s="21" t="n">
        <v>2.140587135346353</v>
      </c>
      <c r="AE15" s="21" t="n">
        <v>0</v>
      </c>
      <c r="AF15" s="21" t="n">
        <v>0.7135290451154509</v>
      </c>
      <c r="AG15" s="21" t="n">
        <v>2.140587135346353</v>
      </c>
      <c r="AH15" s="21" t="n">
        <v>2.140587135346353</v>
      </c>
      <c r="AI15" s="21" t="n">
        <v>2.140587135346353</v>
      </c>
      <c r="AJ15" s="21" t="n">
        <v>0</v>
      </c>
      <c r="AK15" s="21" t="n">
        <v>0</v>
      </c>
      <c r="AL15" s="21" t="n">
        <v>2.140587135346353</v>
      </c>
      <c r="AM15" s="21" t="n">
        <v>0</v>
      </c>
      <c r="AN15" s="21" t="n">
        <v>2.140587135346353</v>
      </c>
      <c r="AO15" s="21" t="n">
        <v>0</v>
      </c>
      <c r="AP15" s="21" t="n">
        <v>2.140587135346353</v>
      </c>
      <c r="AQ15" s="21" t="n">
        <v>2.140587135346353</v>
      </c>
      <c r="AR15" s="21" t="n">
        <v>2.140587135346353</v>
      </c>
      <c r="AS15" s="21" t="n">
        <v>4.994703315808157</v>
      </c>
      <c r="AT15" s="21" t="n">
        <v>2.140587135346353</v>
      </c>
      <c r="AU15" s="21" t="n">
        <v>2.140587135346353</v>
      </c>
      <c r="AV15" s="21" t="n">
        <v>2.140587135346353</v>
      </c>
      <c r="AW15" s="21" t="n">
        <v>2.140587135346353</v>
      </c>
      <c r="AX15" s="21" t="n">
        <v>2.140587135346353</v>
      </c>
      <c r="AY15" s="21" t="n">
        <v>2.140587135346353</v>
      </c>
      <c r="AZ15" s="21" t="n">
        <v>0</v>
      </c>
      <c r="BA15" s="21" t="n">
        <v>0</v>
      </c>
      <c r="BB15" s="21" t="n">
        <v>0</v>
      </c>
      <c r="BC15" s="21" t="n">
        <v>0</v>
      </c>
      <c r="BD15" s="21" t="n">
        <v>0</v>
      </c>
      <c r="BE15" s="21" t="n">
        <v>2.140587135346353</v>
      </c>
      <c r="BF15" s="21" t="n">
        <v>2.854116180461804</v>
      </c>
      <c r="BG15" s="21" t="n">
        <v>2.140587135346353</v>
      </c>
      <c r="BH15" s="21" t="n">
        <v>2.140587135346353</v>
      </c>
      <c r="BI15" s="21" t="n">
        <v>2.140587135346353</v>
      </c>
      <c r="BJ15" s="21" t="n">
        <v>0</v>
      </c>
      <c r="BK15" s="21" t="n">
        <v>2.140587135346353</v>
      </c>
      <c r="BL15" s="21" t="n">
        <v>0.7135290451154509</v>
      </c>
      <c r="BM15" s="21" t="n">
        <v>0</v>
      </c>
      <c r="BN15" s="21" t="n">
        <v>0</v>
      </c>
      <c r="BO15" s="21" t="n">
        <v>1.427058090230902</v>
      </c>
      <c r="BP15" s="21" t="n">
        <v>0.7135290451154509</v>
      </c>
      <c r="BQ15" s="21" t="n">
        <v>0</v>
      </c>
      <c r="BR15" s="21" t="n">
        <v>0</v>
      </c>
      <c r="BS15" s="21" t="n">
        <v>0.7135290451154509</v>
      </c>
      <c r="BT15" s="21" t="n">
        <v>0</v>
      </c>
      <c r="BU15" s="21" t="n">
        <v>0</v>
      </c>
      <c r="BV15" s="21" t="n">
        <v>0</v>
      </c>
      <c r="BW15" s="21" t="n">
        <v>0.7135290451154509</v>
      </c>
      <c r="BX15" s="21" t="n">
        <v>0</v>
      </c>
      <c r="BY15" s="21" t="n">
        <v>0</v>
      </c>
      <c r="BZ15" s="21" t="n">
        <v>0</v>
      </c>
      <c r="CA15" s="21" t="n">
        <v>0</v>
      </c>
      <c r="CB15" s="21" t="n">
        <v>0</v>
      </c>
      <c r="CC15" s="21" t="n">
        <v>0</v>
      </c>
      <c r="CD15" s="21" t="n">
        <v>0</v>
      </c>
      <c r="CE15" s="21" t="n">
        <v>0</v>
      </c>
      <c r="CF15" s="21" t="n">
        <v>0</v>
      </c>
      <c r="CG15" s="21" t="n">
        <v>0</v>
      </c>
      <c r="CH15" s="21" t="n">
        <v>0</v>
      </c>
      <c r="CI15" s="21" t="n">
        <v>0</v>
      </c>
      <c r="CJ15" s="21" t="n">
        <v>0</v>
      </c>
      <c r="CK15" s="21" t="n">
        <v>0</v>
      </c>
      <c r="CL15" s="21" t="n">
        <v>0</v>
      </c>
      <c r="CM15" s="21" t="n">
        <v>0</v>
      </c>
      <c r="CN15" s="21" t="n">
        <v>0</v>
      </c>
      <c r="CO15" s="21" t="n">
        <v>0</v>
      </c>
      <c r="CP15" s="21" t="n">
        <v>0</v>
      </c>
      <c r="CQ15" s="21" t="n">
        <v>0</v>
      </c>
      <c r="CR15" s="21" t="n">
        <v>0</v>
      </c>
      <c r="CS15" s="21" t="n">
        <v>0</v>
      </c>
      <c r="CT15" s="21" t="n">
        <v>0</v>
      </c>
      <c r="CU15" s="21" t="n">
        <v>0</v>
      </c>
      <c r="CV15" s="21" t="n">
        <v>0</v>
      </c>
      <c r="CW15" s="21" t="n">
        <v>0</v>
      </c>
      <c r="CX15" s="21" t="n">
        <v>0</v>
      </c>
      <c r="CY15" s="21" t="n">
        <v>0</v>
      </c>
      <c r="CZ15" s="21" t="n">
        <v>0</v>
      </c>
      <c r="DA15" s="21" t="n">
        <v>0</v>
      </c>
    </row>
    <row r="16">
      <c r="A16" t="inlineStr">
        <is>
          <t>TSP-199</t>
        </is>
      </c>
      <c r="B16" s="21" t="n">
        <v>0</v>
      </c>
      <c r="C16" s="21" t="n">
        <v>0</v>
      </c>
      <c r="D16" s="21" t="n">
        <v>0</v>
      </c>
      <c r="E16" s="21" t="n">
        <v>0</v>
      </c>
      <c r="F16" s="21" t="n">
        <v>0</v>
      </c>
      <c r="G16" s="21" t="n">
        <v>0</v>
      </c>
      <c r="H16" s="21" t="n">
        <v>0</v>
      </c>
      <c r="I16" s="21" t="n">
        <v>0</v>
      </c>
      <c r="J16" s="21" t="n">
        <v>0</v>
      </c>
      <c r="K16" s="21" t="n">
        <v>0</v>
      </c>
      <c r="L16" s="21" t="n">
        <v>0</v>
      </c>
      <c r="M16" s="21" t="n">
        <v>0</v>
      </c>
      <c r="N16" s="21" t="n">
        <v>0</v>
      </c>
      <c r="O16" s="21" t="n">
        <v>0</v>
      </c>
      <c r="P16" s="21" t="n">
        <v>0</v>
      </c>
      <c r="Q16" s="21" t="n">
        <v>0</v>
      </c>
      <c r="R16" s="21" t="n">
        <v>0</v>
      </c>
      <c r="S16" s="21" t="n">
        <v>0</v>
      </c>
      <c r="T16" s="21" t="n">
        <v>0</v>
      </c>
      <c r="U16" s="21" t="n">
        <v>0</v>
      </c>
      <c r="V16" s="21" t="n">
        <v>0</v>
      </c>
      <c r="W16" s="21" t="n">
        <v>0</v>
      </c>
      <c r="X16" s="21" t="n">
        <v>0</v>
      </c>
      <c r="Y16" s="21" t="n">
        <v>0</v>
      </c>
      <c r="Z16" s="21" t="n">
        <v>0</v>
      </c>
      <c r="AA16" s="21" t="n">
        <v>0</v>
      </c>
      <c r="AB16" s="21" t="n">
        <v>0</v>
      </c>
      <c r="AC16" s="21" t="n">
        <v>0</v>
      </c>
      <c r="AD16" s="21" t="n">
        <v>0</v>
      </c>
      <c r="AE16" s="21" t="n">
        <v>0</v>
      </c>
      <c r="AF16" s="21" t="n">
        <v>0</v>
      </c>
      <c r="AG16" s="21" t="n">
        <v>0</v>
      </c>
      <c r="AH16" s="21" t="n">
        <v>0</v>
      </c>
      <c r="AI16" s="21" t="n">
        <v>0</v>
      </c>
      <c r="AJ16" s="21" t="n">
        <v>0</v>
      </c>
      <c r="AK16" s="21" t="n">
        <v>0</v>
      </c>
      <c r="AL16" s="21" t="n">
        <v>0</v>
      </c>
      <c r="AM16" s="21" t="n">
        <v>0</v>
      </c>
      <c r="AN16" s="21" t="n">
        <v>0</v>
      </c>
      <c r="AO16" s="21" t="n">
        <v>0</v>
      </c>
      <c r="AP16" s="21" t="n">
        <v>0</v>
      </c>
      <c r="AQ16" s="21" t="n">
        <v>0</v>
      </c>
      <c r="AR16" s="21" t="n">
        <v>0</v>
      </c>
      <c r="AS16" s="21" t="n">
        <v>0</v>
      </c>
      <c r="AT16" s="21" t="n">
        <v>0</v>
      </c>
      <c r="AU16" s="21" t="n">
        <v>0</v>
      </c>
      <c r="AV16" s="21" t="n">
        <v>0</v>
      </c>
      <c r="AW16" s="21" t="n">
        <v>0</v>
      </c>
      <c r="AX16" s="21" t="n">
        <v>0</v>
      </c>
      <c r="AY16" s="21" t="n">
        <v>0</v>
      </c>
      <c r="AZ16" s="21" t="n">
        <v>0</v>
      </c>
      <c r="BA16" s="21" t="n">
        <v>0</v>
      </c>
      <c r="BB16" s="21" t="n">
        <v>0</v>
      </c>
      <c r="BC16" s="21" t="n">
        <v>0</v>
      </c>
      <c r="BD16" s="21" t="n">
        <v>0</v>
      </c>
      <c r="BE16" s="21" t="n">
        <v>0</v>
      </c>
      <c r="BF16" s="21" t="n">
        <v>0</v>
      </c>
      <c r="BG16" s="21" t="n">
        <v>0</v>
      </c>
      <c r="BH16" s="21" t="n">
        <v>0</v>
      </c>
      <c r="BI16" s="21" t="n">
        <v>0</v>
      </c>
      <c r="BJ16" s="21" t="n">
        <v>0</v>
      </c>
      <c r="BK16" s="21" t="n">
        <v>0</v>
      </c>
      <c r="BL16" s="21" t="n">
        <v>0</v>
      </c>
      <c r="BM16" s="21" t="n">
        <v>0</v>
      </c>
      <c r="BN16" s="21" t="n">
        <v>0</v>
      </c>
      <c r="BO16" s="21" t="n">
        <v>0</v>
      </c>
      <c r="BP16" s="21" t="n">
        <v>0</v>
      </c>
      <c r="BQ16" s="21" t="n">
        <v>0</v>
      </c>
      <c r="BR16" s="21" t="n">
        <v>0</v>
      </c>
      <c r="BS16" s="21" t="n">
        <v>0</v>
      </c>
      <c r="BT16" s="21" t="n">
        <v>0</v>
      </c>
      <c r="BU16" s="21" t="n">
        <v>0</v>
      </c>
      <c r="BV16" s="21" t="n">
        <v>0</v>
      </c>
      <c r="BW16" s="21" t="n">
        <v>0</v>
      </c>
      <c r="BX16" s="21" t="n">
        <v>0</v>
      </c>
      <c r="BY16" s="21" t="n">
        <v>0</v>
      </c>
      <c r="BZ16" s="21" t="n">
        <v>0</v>
      </c>
      <c r="CA16" s="21" t="n">
        <v>0</v>
      </c>
      <c r="CB16" s="21" t="n">
        <v>0</v>
      </c>
      <c r="CC16" s="21" t="n">
        <v>0</v>
      </c>
      <c r="CD16" s="21" t="n">
        <v>0</v>
      </c>
      <c r="CE16" s="21" t="n">
        <v>0</v>
      </c>
      <c r="CF16" s="21" t="n">
        <v>0</v>
      </c>
      <c r="CG16" s="21" t="n">
        <v>0</v>
      </c>
      <c r="CH16" s="21" t="n">
        <v>0</v>
      </c>
      <c r="CI16" s="21" t="n">
        <v>0</v>
      </c>
      <c r="CJ16" s="21" t="n">
        <v>0</v>
      </c>
      <c r="CK16" s="21" t="n">
        <v>0</v>
      </c>
      <c r="CL16" s="21" t="n">
        <v>0</v>
      </c>
      <c r="CM16" s="21" t="n">
        <v>0</v>
      </c>
      <c r="CN16" s="21" t="n">
        <v>0</v>
      </c>
      <c r="CO16" s="21" t="n">
        <v>0</v>
      </c>
      <c r="CP16" s="21" t="n">
        <v>0</v>
      </c>
      <c r="CQ16" s="21" t="n">
        <v>0</v>
      </c>
      <c r="CR16" s="21" t="n">
        <v>0</v>
      </c>
      <c r="CS16" s="21" t="n">
        <v>0</v>
      </c>
      <c r="CT16" s="21" t="n">
        <v>0</v>
      </c>
      <c r="CU16" s="21" t="n">
        <v>0</v>
      </c>
      <c r="CV16" s="21" t="n">
        <v>0</v>
      </c>
      <c r="CW16" s="21" t="n">
        <v>0</v>
      </c>
      <c r="CX16" s="21" t="n">
        <v>0</v>
      </c>
      <c r="CY16" s="21" t="n">
        <v>0</v>
      </c>
      <c r="CZ16" s="21" t="n">
        <v>0</v>
      </c>
      <c r="DA16" s="21" t="n">
        <v>0</v>
      </c>
    </row>
    <row r="17">
      <c r="A17" t="inlineStr">
        <is>
          <t>TSP-205</t>
        </is>
      </c>
      <c r="B17" s="21" t="n">
        <v>0</v>
      </c>
      <c r="C17" s="21" t="n">
        <v>0</v>
      </c>
      <c r="D17" s="21" t="n">
        <v>0</v>
      </c>
      <c r="E17" s="21" t="n">
        <v>0</v>
      </c>
      <c r="F17" s="21" t="n">
        <v>0</v>
      </c>
      <c r="G17" s="21" t="n">
        <v>0</v>
      </c>
      <c r="H17" s="21" t="n">
        <v>0</v>
      </c>
      <c r="I17" s="21" t="n">
        <v>0</v>
      </c>
      <c r="J17" s="21" t="n">
        <v>0</v>
      </c>
      <c r="K17" s="21" t="n">
        <v>0</v>
      </c>
      <c r="L17" s="21" t="n">
        <v>0</v>
      </c>
      <c r="M17" s="21" t="n">
        <v>0</v>
      </c>
      <c r="N17" s="21" t="n">
        <v>0</v>
      </c>
      <c r="O17" s="21" t="n">
        <v>0</v>
      </c>
      <c r="P17" s="21" t="n">
        <v>0</v>
      </c>
      <c r="Q17" s="21" t="n">
        <v>0</v>
      </c>
      <c r="R17" s="21" t="n">
        <v>0</v>
      </c>
      <c r="S17" s="21" t="n">
        <v>0</v>
      </c>
      <c r="T17" s="21" t="n">
        <v>0</v>
      </c>
      <c r="U17" s="21" t="n">
        <v>0</v>
      </c>
      <c r="V17" s="21" t="n">
        <v>0</v>
      </c>
      <c r="W17" s="21" t="n">
        <v>0</v>
      </c>
      <c r="X17" s="21" t="n">
        <v>0</v>
      </c>
      <c r="Y17" s="21" t="n">
        <v>0</v>
      </c>
      <c r="Z17" s="21" t="n">
        <v>0</v>
      </c>
      <c r="AA17" s="21" t="n">
        <v>0</v>
      </c>
      <c r="AB17" s="21" t="n">
        <v>0</v>
      </c>
      <c r="AC17" s="21" t="n">
        <v>0</v>
      </c>
      <c r="AD17" s="21" t="n">
        <v>0</v>
      </c>
      <c r="AE17" s="21" t="n">
        <v>0</v>
      </c>
      <c r="AF17" s="21" t="n">
        <v>0</v>
      </c>
      <c r="AG17" s="21" t="n">
        <v>0</v>
      </c>
      <c r="AH17" s="21" t="n">
        <v>0</v>
      </c>
      <c r="AI17" s="21" t="n">
        <v>0</v>
      </c>
      <c r="AJ17" s="21" t="n">
        <v>0</v>
      </c>
      <c r="AK17" s="21" t="n">
        <v>0</v>
      </c>
      <c r="AL17" s="21" t="n">
        <v>0</v>
      </c>
      <c r="AM17" s="21" t="n">
        <v>0</v>
      </c>
      <c r="AN17" s="21" t="n">
        <v>0</v>
      </c>
      <c r="AO17" s="21" t="n">
        <v>0</v>
      </c>
      <c r="AP17" s="21" t="n">
        <v>0</v>
      </c>
      <c r="AQ17" s="21" t="n">
        <v>0</v>
      </c>
      <c r="AR17" s="21" t="n">
        <v>0</v>
      </c>
      <c r="AS17" s="21" t="n">
        <v>0</v>
      </c>
      <c r="AT17" s="21" t="n">
        <v>0</v>
      </c>
      <c r="AU17" s="21" t="n">
        <v>0</v>
      </c>
      <c r="AV17" s="21" t="n">
        <v>0</v>
      </c>
      <c r="AW17" s="21" t="n">
        <v>0</v>
      </c>
      <c r="AX17" s="21" t="n">
        <v>0</v>
      </c>
      <c r="AY17" s="21" t="n">
        <v>0</v>
      </c>
      <c r="AZ17" s="21" t="n">
        <v>0</v>
      </c>
      <c r="BA17" s="21" t="n">
        <v>0</v>
      </c>
      <c r="BB17" s="21" t="n">
        <v>0</v>
      </c>
      <c r="BC17" s="21" t="n">
        <v>0</v>
      </c>
      <c r="BD17" s="21" t="n">
        <v>0</v>
      </c>
      <c r="BE17" s="21" t="n">
        <v>0</v>
      </c>
      <c r="BF17" s="21" t="n">
        <v>0</v>
      </c>
      <c r="BG17" s="21" t="n">
        <v>0</v>
      </c>
      <c r="BH17" s="21" t="n">
        <v>0</v>
      </c>
      <c r="BI17" s="21" t="n">
        <v>0</v>
      </c>
      <c r="BJ17" s="21" t="n">
        <v>0</v>
      </c>
      <c r="BK17" s="21" t="n">
        <v>0</v>
      </c>
      <c r="BL17" s="21" t="n">
        <v>0</v>
      </c>
      <c r="BM17" s="21" t="n">
        <v>0</v>
      </c>
      <c r="BN17" s="21" t="n">
        <v>0</v>
      </c>
      <c r="BO17" s="21" t="n">
        <v>0</v>
      </c>
      <c r="BP17" s="21" t="n">
        <v>0</v>
      </c>
      <c r="BQ17" s="21" t="n">
        <v>0</v>
      </c>
      <c r="BR17" s="21" t="n">
        <v>0</v>
      </c>
      <c r="BS17" s="21" t="n">
        <v>0</v>
      </c>
      <c r="BT17" s="21" t="n">
        <v>0</v>
      </c>
      <c r="BU17" s="21" t="n">
        <v>0</v>
      </c>
      <c r="BV17" s="21" t="n">
        <v>0</v>
      </c>
      <c r="BW17" s="21" t="n">
        <v>0</v>
      </c>
      <c r="BX17" s="21" t="n">
        <v>0</v>
      </c>
      <c r="BY17" s="21" t="n">
        <v>0</v>
      </c>
      <c r="BZ17" s="21" t="n">
        <v>0</v>
      </c>
      <c r="CA17" s="21" t="n">
        <v>0</v>
      </c>
      <c r="CB17" s="21" t="n">
        <v>0</v>
      </c>
      <c r="CC17" s="21" t="n">
        <v>0</v>
      </c>
      <c r="CD17" s="21" t="n">
        <v>0</v>
      </c>
      <c r="CE17" s="21" t="n">
        <v>0</v>
      </c>
      <c r="CF17" s="21" t="n">
        <v>0</v>
      </c>
      <c r="CG17" s="21" t="n">
        <v>0</v>
      </c>
      <c r="CH17" s="21" t="n">
        <v>0</v>
      </c>
      <c r="CI17" s="21" t="n">
        <v>0</v>
      </c>
      <c r="CJ17" s="21" t="n">
        <v>0</v>
      </c>
      <c r="CK17" s="21" t="n">
        <v>0</v>
      </c>
      <c r="CL17" s="21" t="n">
        <v>0</v>
      </c>
      <c r="CM17" s="21" t="n">
        <v>0</v>
      </c>
      <c r="CN17" s="21" t="n">
        <v>0</v>
      </c>
      <c r="CO17" s="21" t="n">
        <v>0</v>
      </c>
      <c r="CP17" s="21" t="n">
        <v>0</v>
      </c>
      <c r="CQ17" s="21" t="n">
        <v>0</v>
      </c>
      <c r="CR17" s="21" t="n">
        <v>0</v>
      </c>
      <c r="CS17" s="21" t="n">
        <v>0</v>
      </c>
      <c r="CT17" s="21" t="n">
        <v>0</v>
      </c>
      <c r="CU17" s="21" t="n">
        <v>0</v>
      </c>
      <c r="CV17" s="21" t="n">
        <v>0</v>
      </c>
      <c r="CW17" s="21" t="n">
        <v>0</v>
      </c>
      <c r="CX17" s="21" t="n">
        <v>0</v>
      </c>
      <c r="CY17" s="21" t="n">
        <v>0</v>
      </c>
      <c r="CZ17" s="21" t="n">
        <v>0</v>
      </c>
      <c r="DA17" s="21" t="n">
        <v>0</v>
      </c>
    </row>
    <row r="18">
      <c r="A18" t="inlineStr">
        <is>
          <t>TSP-206</t>
        </is>
      </c>
      <c r="B18" s="21" t="n">
        <v>0</v>
      </c>
      <c r="C18" s="21" t="n">
        <v>0</v>
      </c>
      <c r="D18" s="21" t="n">
        <v>0</v>
      </c>
      <c r="E18" s="21" t="n">
        <v>0</v>
      </c>
      <c r="F18" s="21" t="n">
        <v>0</v>
      </c>
      <c r="G18" s="21" t="n">
        <v>0</v>
      </c>
      <c r="H18" s="21" t="n">
        <v>0</v>
      </c>
      <c r="I18" s="21" t="n">
        <v>0</v>
      </c>
      <c r="J18" s="21" t="n">
        <v>0</v>
      </c>
      <c r="K18" s="21" t="n">
        <v>0</v>
      </c>
      <c r="L18" s="21" t="n">
        <v>0</v>
      </c>
      <c r="M18" s="21" t="n">
        <v>0</v>
      </c>
      <c r="N18" s="21" t="n">
        <v>0</v>
      </c>
      <c r="O18" s="21" t="n">
        <v>0</v>
      </c>
      <c r="P18" s="21" t="n">
        <v>0</v>
      </c>
      <c r="Q18" s="21" t="n">
        <v>0</v>
      </c>
      <c r="R18" s="21" t="n">
        <v>0</v>
      </c>
      <c r="S18" s="21" t="n">
        <v>0</v>
      </c>
      <c r="T18" s="21" t="n">
        <v>0</v>
      </c>
      <c r="U18" s="21" t="n">
        <v>0</v>
      </c>
      <c r="V18" s="21" t="n">
        <v>0</v>
      </c>
      <c r="W18" s="21" t="n">
        <v>0</v>
      </c>
      <c r="X18" s="21" t="n">
        <v>0</v>
      </c>
      <c r="Y18" s="21" t="n">
        <v>0</v>
      </c>
      <c r="Z18" s="21" t="n">
        <v>0</v>
      </c>
      <c r="AA18" s="21" t="n">
        <v>0</v>
      </c>
      <c r="AB18" s="21" t="n">
        <v>0</v>
      </c>
      <c r="AC18" s="21" t="n">
        <v>0</v>
      </c>
      <c r="AD18" s="21" t="n">
        <v>0</v>
      </c>
      <c r="AE18" s="21" t="n">
        <v>0</v>
      </c>
      <c r="AF18" s="21" t="n">
        <v>0</v>
      </c>
      <c r="AG18" s="21" t="n">
        <v>0</v>
      </c>
      <c r="AH18" s="21" t="n">
        <v>0</v>
      </c>
      <c r="AI18" s="21" t="n">
        <v>0</v>
      </c>
      <c r="AJ18" s="21" t="n">
        <v>0</v>
      </c>
      <c r="AK18" s="21" t="n">
        <v>0</v>
      </c>
      <c r="AL18" s="21" t="n">
        <v>0</v>
      </c>
      <c r="AM18" s="21" t="n">
        <v>0</v>
      </c>
      <c r="AN18" s="21" t="n">
        <v>0</v>
      </c>
      <c r="AO18" s="21" t="n">
        <v>0</v>
      </c>
      <c r="AP18" s="21" t="n">
        <v>0</v>
      </c>
      <c r="AQ18" s="21" t="n">
        <v>0</v>
      </c>
      <c r="AR18" s="21" t="n">
        <v>0</v>
      </c>
      <c r="AS18" s="21" t="n">
        <v>0</v>
      </c>
      <c r="AT18" s="21" t="n">
        <v>0</v>
      </c>
      <c r="AU18" s="21" t="n">
        <v>0</v>
      </c>
      <c r="AV18" s="21" t="n">
        <v>0</v>
      </c>
      <c r="AW18" s="21" t="n">
        <v>0</v>
      </c>
      <c r="AX18" s="21" t="n">
        <v>0</v>
      </c>
      <c r="AY18" s="21" t="n">
        <v>0</v>
      </c>
      <c r="AZ18" s="21" t="n">
        <v>0</v>
      </c>
      <c r="BA18" s="21" t="n">
        <v>0</v>
      </c>
      <c r="BB18" s="21" t="n">
        <v>0</v>
      </c>
      <c r="BC18" s="21" t="n">
        <v>0</v>
      </c>
      <c r="BD18" s="21" t="n">
        <v>0</v>
      </c>
      <c r="BE18" s="21" t="n">
        <v>0</v>
      </c>
      <c r="BF18" s="21" t="n">
        <v>0</v>
      </c>
      <c r="BG18" s="21" t="n">
        <v>0</v>
      </c>
      <c r="BH18" s="21" t="n">
        <v>0</v>
      </c>
      <c r="BI18" s="21" t="n">
        <v>0</v>
      </c>
      <c r="BJ18" s="21" t="n">
        <v>0</v>
      </c>
      <c r="BK18" s="21" t="n">
        <v>0</v>
      </c>
      <c r="BL18" s="21" t="n">
        <v>0</v>
      </c>
      <c r="BM18" s="21" t="n">
        <v>0</v>
      </c>
      <c r="BN18" s="21" t="n">
        <v>0</v>
      </c>
      <c r="BO18" s="21" t="n">
        <v>0</v>
      </c>
      <c r="BP18" s="21" t="n">
        <v>0</v>
      </c>
      <c r="BQ18" s="21" t="n">
        <v>0</v>
      </c>
      <c r="BR18" s="21" t="n">
        <v>0</v>
      </c>
      <c r="BS18" s="21" t="n">
        <v>0</v>
      </c>
      <c r="BT18" s="21" t="n">
        <v>0</v>
      </c>
      <c r="BU18" s="21" t="n">
        <v>0</v>
      </c>
      <c r="BV18" s="21" t="n">
        <v>0</v>
      </c>
      <c r="BW18" s="21" t="n">
        <v>0</v>
      </c>
      <c r="BX18" s="21" t="n">
        <v>0</v>
      </c>
      <c r="BY18" s="21" t="n">
        <v>0</v>
      </c>
      <c r="BZ18" s="21" t="n">
        <v>0</v>
      </c>
      <c r="CA18" s="21" t="n">
        <v>0</v>
      </c>
      <c r="CB18" s="21" t="n">
        <v>0</v>
      </c>
      <c r="CC18" s="21" t="n">
        <v>0</v>
      </c>
      <c r="CD18" s="21" t="n">
        <v>0</v>
      </c>
      <c r="CE18" s="21" t="n">
        <v>0</v>
      </c>
      <c r="CF18" s="21" t="n">
        <v>0</v>
      </c>
      <c r="CG18" s="21" t="n">
        <v>0</v>
      </c>
      <c r="CH18" s="21" t="n">
        <v>0</v>
      </c>
      <c r="CI18" s="21" t="n">
        <v>0</v>
      </c>
      <c r="CJ18" s="21" t="n">
        <v>0</v>
      </c>
      <c r="CK18" s="21" t="n">
        <v>0</v>
      </c>
      <c r="CL18" s="21" t="n">
        <v>0</v>
      </c>
      <c r="CM18" s="21" t="n">
        <v>0</v>
      </c>
      <c r="CN18" s="21" t="n">
        <v>0</v>
      </c>
      <c r="CO18" s="21" t="n">
        <v>0</v>
      </c>
      <c r="CP18" s="21" t="n">
        <v>0</v>
      </c>
      <c r="CQ18" s="21" t="n">
        <v>0</v>
      </c>
      <c r="CR18" s="21" t="n">
        <v>0</v>
      </c>
      <c r="CS18" s="21" t="n">
        <v>0</v>
      </c>
      <c r="CT18" s="21" t="n">
        <v>0</v>
      </c>
      <c r="CU18" s="21" t="n">
        <v>0</v>
      </c>
      <c r="CV18" s="21" t="n">
        <v>0</v>
      </c>
      <c r="CW18" s="21" t="n">
        <v>0</v>
      </c>
      <c r="CX18" s="21" t="n">
        <v>0</v>
      </c>
      <c r="CY18" s="21" t="n">
        <v>0</v>
      </c>
      <c r="CZ18" s="21" t="n">
        <v>0</v>
      </c>
      <c r="DA18" s="21" t="n">
        <v>0</v>
      </c>
    </row>
    <row r="19">
      <c r="A19" t="inlineStr">
        <is>
          <t>TSP-224</t>
        </is>
      </c>
      <c r="B19" s="21" t="n">
        <v>0</v>
      </c>
      <c r="C19" s="21" t="n">
        <v>0</v>
      </c>
      <c r="D19" s="21" t="n">
        <v>0</v>
      </c>
      <c r="E19" s="21" t="n">
        <v>0</v>
      </c>
      <c r="F19" s="21" t="n">
        <v>0</v>
      </c>
      <c r="G19" s="21" t="n">
        <v>0</v>
      </c>
      <c r="H19" s="21" t="n">
        <v>0</v>
      </c>
      <c r="I19" s="21" t="n">
        <v>0</v>
      </c>
      <c r="J19" s="21" t="n">
        <v>0</v>
      </c>
      <c r="K19" s="21" t="n">
        <v>0</v>
      </c>
      <c r="L19" s="21" t="n">
        <v>0</v>
      </c>
      <c r="M19" s="21" t="n">
        <v>0</v>
      </c>
      <c r="N19" s="21" t="n">
        <v>0</v>
      </c>
      <c r="O19" s="21" t="n">
        <v>0</v>
      </c>
      <c r="P19" s="21" t="n">
        <v>0</v>
      </c>
      <c r="Q19" s="21" t="n">
        <v>0</v>
      </c>
      <c r="R19" s="21" t="n">
        <v>0</v>
      </c>
      <c r="S19" s="21" t="n">
        <v>0</v>
      </c>
      <c r="T19" s="21" t="n">
        <v>0</v>
      </c>
      <c r="U19" s="21" t="n">
        <v>0</v>
      </c>
      <c r="V19" s="21" t="n">
        <v>0</v>
      </c>
      <c r="W19" s="21" t="n">
        <v>0</v>
      </c>
      <c r="X19" s="21" t="n">
        <v>0</v>
      </c>
      <c r="Y19" s="21" t="n">
        <v>0</v>
      </c>
      <c r="Z19" s="21" t="n">
        <v>0</v>
      </c>
      <c r="AA19" s="21" t="n">
        <v>0</v>
      </c>
      <c r="AB19" s="21" t="n">
        <v>0</v>
      </c>
      <c r="AC19" s="21" t="n">
        <v>0</v>
      </c>
      <c r="AD19" s="21" t="n">
        <v>0</v>
      </c>
      <c r="AE19" s="21" t="n">
        <v>0</v>
      </c>
      <c r="AF19" s="21" t="n">
        <v>0</v>
      </c>
      <c r="AG19" s="21" t="n">
        <v>0</v>
      </c>
      <c r="AH19" s="21" t="n">
        <v>0</v>
      </c>
      <c r="AI19" s="21" t="n">
        <v>0</v>
      </c>
      <c r="AJ19" s="21" t="n">
        <v>0</v>
      </c>
      <c r="AK19" s="21" t="n">
        <v>0</v>
      </c>
      <c r="AL19" s="21" t="n">
        <v>0</v>
      </c>
      <c r="AM19" s="21" t="n">
        <v>0</v>
      </c>
      <c r="AN19" s="21" t="n">
        <v>0</v>
      </c>
      <c r="AO19" s="21" t="n">
        <v>0</v>
      </c>
      <c r="AP19" s="21" t="n">
        <v>0</v>
      </c>
      <c r="AQ19" s="21" t="n">
        <v>0</v>
      </c>
      <c r="AR19" s="21" t="n">
        <v>0</v>
      </c>
      <c r="AS19" s="21" t="n">
        <v>0</v>
      </c>
      <c r="AT19" s="21" t="n">
        <v>0</v>
      </c>
      <c r="AU19" s="21" t="n">
        <v>0</v>
      </c>
      <c r="AV19" s="21" t="n">
        <v>0</v>
      </c>
      <c r="AW19" s="21" t="n">
        <v>0</v>
      </c>
      <c r="AX19" s="21" t="n">
        <v>0</v>
      </c>
      <c r="AY19" s="21" t="n">
        <v>0</v>
      </c>
      <c r="AZ19" s="21" t="n">
        <v>0</v>
      </c>
      <c r="BA19" s="21" t="n">
        <v>0</v>
      </c>
      <c r="BB19" s="21" t="n">
        <v>0</v>
      </c>
      <c r="BC19" s="21" t="n">
        <v>0</v>
      </c>
      <c r="BD19" s="21" t="n">
        <v>0</v>
      </c>
      <c r="BE19" s="21" t="n">
        <v>0</v>
      </c>
      <c r="BF19" s="21" t="n">
        <v>0</v>
      </c>
      <c r="BG19" s="21" t="n">
        <v>0</v>
      </c>
      <c r="BH19" s="21" t="n">
        <v>0</v>
      </c>
      <c r="BI19" s="21" t="n">
        <v>0</v>
      </c>
      <c r="BJ19" s="21" t="n">
        <v>0</v>
      </c>
      <c r="BK19" s="21" t="n">
        <v>0</v>
      </c>
      <c r="BL19" s="21" t="n">
        <v>0</v>
      </c>
      <c r="BM19" s="21" t="n">
        <v>0</v>
      </c>
      <c r="BN19" s="21" t="n">
        <v>0</v>
      </c>
      <c r="BO19" s="21" t="n">
        <v>0</v>
      </c>
      <c r="BP19" s="21" t="n">
        <v>0</v>
      </c>
      <c r="BQ19" s="21" t="n">
        <v>0</v>
      </c>
      <c r="BR19" s="21" t="n">
        <v>0</v>
      </c>
      <c r="BS19" s="21" t="n">
        <v>0</v>
      </c>
      <c r="BT19" s="21" t="n">
        <v>0</v>
      </c>
      <c r="BU19" s="21" t="n">
        <v>0</v>
      </c>
      <c r="BV19" s="21" t="n">
        <v>0</v>
      </c>
      <c r="BW19" s="21" t="n">
        <v>0</v>
      </c>
      <c r="BX19" s="21" t="n">
        <v>0</v>
      </c>
      <c r="BY19" s="21" t="n">
        <v>0</v>
      </c>
      <c r="BZ19" s="21" t="n">
        <v>0</v>
      </c>
      <c r="CA19" s="21" t="n">
        <v>0</v>
      </c>
      <c r="CB19" s="21" t="n">
        <v>0</v>
      </c>
      <c r="CC19" s="21" t="n">
        <v>0</v>
      </c>
      <c r="CD19" s="21" t="n">
        <v>0</v>
      </c>
      <c r="CE19" s="21" t="n">
        <v>0</v>
      </c>
      <c r="CF19" s="21" t="n">
        <v>0</v>
      </c>
      <c r="CG19" s="21" t="n">
        <v>0</v>
      </c>
      <c r="CH19" s="21" t="n">
        <v>0</v>
      </c>
      <c r="CI19" s="21" t="n">
        <v>0</v>
      </c>
      <c r="CJ19" s="21" t="n">
        <v>0</v>
      </c>
      <c r="CK19" s="21" t="n">
        <v>0</v>
      </c>
      <c r="CL19" s="21" t="n">
        <v>0</v>
      </c>
      <c r="CM19" s="21" t="n">
        <v>0</v>
      </c>
      <c r="CN19" s="21" t="n">
        <v>0</v>
      </c>
      <c r="CO19" s="21" t="n">
        <v>0</v>
      </c>
      <c r="CP19" s="21" t="n">
        <v>0</v>
      </c>
      <c r="CQ19" s="21" t="n">
        <v>0</v>
      </c>
      <c r="CR19" s="21" t="n">
        <v>0</v>
      </c>
      <c r="CS19" s="21" t="n">
        <v>0</v>
      </c>
      <c r="CT19" s="21" t="n">
        <v>0</v>
      </c>
      <c r="CU19" s="21" t="n">
        <v>0</v>
      </c>
      <c r="CV19" s="21" t="n">
        <v>0</v>
      </c>
      <c r="CW19" s="21" t="n">
        <v>0</v>
      </c>
      <c r="CX19" s="21" t="n">
        <v>0</v>
      </c>
      <c r="CY19" s="21" t="n">
        <v>0</v>
      </c>
      <c r="CZ19" s="21" t="n">
        <v>0</v>
      </c>
      <c r="DA19" s="21" t="n">
        <v>0</v>
      </c>
    </row>
    <row r="20">
      <c r="A20" t="inlineStr">
        <is>
          <t>TSP-225</t>
        </is>
      </c>
      <c r="B20" s="21" t="n">
        <v>0</v>
      </c>
      <c r="C20" s="21" t="n">
        <v>0</v>
      </c>
      <c r="D20" s="21" t="n">
        <v>0</v>
      </c>
      <c r="E20" s="21" t="n">
        <v>0</v>
      </c>
      <c r="F20" s="21" t="n">
        <v>0</v>
      </c>
      <c r="G20" s="21" t="n">
        <v>0</v>
      </c>
      <c r="H20" s="21" t="n">
        <v>0</v>
      </c>
      <c r="I20" s="21" t="n">
        <v>0</v>
      </c>
      <c r="J20" s="21" t="n">
        <v>0</v>
      </c>
      <c r="K20" s="21" t="n">
        <v>0</v>
      </c>
      <c r="L20" s="21" t="n">
        <v>0</v>
      </c>
      <c r="M20" s="21" t="n">
        <v>0</v>
      </c>
      <c r="N20" s="21" t="n">
        <v>0</v>
      </c>
      <c r="O20" s="21" t="n">
        <v>0</v>
      </c>
      <c r="P20" s="21" t="n">
        <v>0</v>
      </c>
      <c r="Q20" s="21" t="n">
        <v>0</v>
      </c>
      <c r="R20" s="21" t="n">
        <v>0</v>
      </c>
      <c r="S20" s="21" t="n">
        <v>0</v>
      </c>
      <c r="T20" s="21" t="n">
        <v>0</v>
      </c>
      <c r="U20" s="21" t="n">
        <v>0</v>
      </c>
      <c r="V20" s="21" t="n">
        <v>0</v>
      </c>
      <c r="W20" s="21" t="n">
        <v>0</v>
      </c>
      <c r="X20" s="21" t="n">
        <v>0</v>
      </c>
      <c r="Y20" s="21" t="n">
        <v>0</v>
      </c>
      <c r="Z20" s="21" t="n">
        <v>0</v>
      </c>
      <c r="AA20" s="21" t="n">
        <v>0</v>
      </c>
      <c r="AB20" s="21" t="n">
        <v>0</v>
      </c>
      <c r="AC20" s="21" t="n">
        <v>0</v>
      </c>
      <c r="AD20" s="21" t="n">
        <v>0</v>
      </c>
      <c r="AE20" s="21" t="n">
        <v>0</v>
      </c>
      <c r="AF20" s="21" t="n">
        <v>0</v>
      </c>
      <c r="AG20" s="21" t="n">
        <v>0</v>
      </c>
      <c r="AH20" s="21" t="n">
        <v>0</v>
      </c>
      <c r="AI20" s="21" t="n">
        <v>0</v>
      </c>
      <c r="AJ20" s="21" t="n">
        <v>0</v>
      </c>
      <c r="AK20" s="21" t="n">
        <v>0</v>
      </c>
      <c r="AL20" s="21" t="n">
        <v>0</v>
      </c>
      <c r="AM20" s="21" t="n">
        <v>0</v>
      </c>
      <c r="AN20" s="21" t="n">
        <v>0</v>
      </c>
      <c r="AO20" s="21" t="n">
        <v>0</v>
      </c>
      <c r="AP20" s="21" t="n">
        <v>0</v>
      </c>
      <c r="AQ20" s="21" t="n">
        <v>0</v>
      </c>
      <c r="AR20" s="21" t="n">
        <v>0</v>
      </c>
      <c r="AS20" s="21" t="n">
        <v>0</v>
      </c>
      <c r="AT20" s="21" t="n">
        <v>0</v>
      </c>
      <c r="AU20" s="21" t="n">
        <v>0</v>
      </c>
      <c r="AV20" s="21" t="n">
        <v>0</v>
      </c>
      <c r="AW20" s="21" t="n">
        <v>0</v>
      </c>
      <c r="AX20" s="21" t="n">
        <v>0</v>
      </c>
      <c r="AY20" s="21" t="n">
        <v>0</v>
      </c>
      <c r="AZ20" s="21" t="n">
        <v>0</v>
      </c>
      <c r="BA20" s="21" t="n">
        <v>0</v>
      </c>
      <c r="BB20" s="21" t="n">
        <v>0</v>
      </c>
      <c r="BC20" s="21" t="n">
        <v>0</v>
      </c>
      <c r="BD20" s="21" t="n">
        <v>0</v>
      </c>
      <c r="BE20" s="21" t="n">
        <v>0</v>
      </c>
      <c r="BF20" s="21" t="n">
        <v>0</v>
      </c>
      <c r="BG20" s="21" t="n">
        <v>0</v>
      </c>
      <c r="BH20" s="21" t="n">
        <v>0</v>
      </c>
      <c r="BI20" s="21" t="n">
        <v>0</v>
      </c>
      <c r="BJ20" s="21" t="n">
        <v>0</v>
      </c>
      <c r="BK20" s="21" t="n">
        <v>0</v>
      </c>
      <c r="BL20" s="21" t="n">
        <v>0</v>
      </c>
      <c r="BM20" s="21" t="n">
        <v>0</v>
      </c>
      <c r="BN20" s="21" t="n">
        <v>0</v>
      </c>
      <c r="BO20" s="21" t="n">
        <v>0</v>
      </c>
      <c r="BP20" s="21" t="n">
        <v>0</v>
      </c>
      <c r="BQ20" s="21" t="n">
        <v>0</v>
      </c>
      <c r="BR20" s="21" t="n">
        <v>0</v>
      </c>
      <c r="BS20" s="21" t="n">
        <v>0</v>
      </c>
      <c r="BT20" s="21" t="n">
        <v>0</v>
      </c>
      <c r="BU20" s="21" t="n">
        <v>0</v>
      </c>
      <c r="BV20" s="21" t="n">
        <v>0</v>
      </c>
      <c r="BW20" s="21" t="n">
        <v>0</v>
      </c>
      <c r="BX20" s="21" t="n">
        <v>0</v>
      </c>
      <c r="BY20" s="21" t="n">
        <v>0</v>
      </c>
      <c r="BZ20" s="21" t="n">
        <v>0</v>
      </c>
      <c r="CA20" s="21" t="n">
        <v>0</v>
      </c>
      <c r="CB20" s="21" t="n">
        <v>0</v>
      </c>
      <c r="CC20" s="21" t="n">
        <v>0</v>
      </c>
      <c r="CD20" s="21" t="n">
        <v>0</v>
      </c>
      <c r="CE20" s="21" t="n">
        <v>0</v>
      </c>
      <c r="CF20" s="21" t="n">
        <v>0</v>
      </c>
      <c r="CG20" s="21" t="n">
        <v>0</v>
      </c>
      <c r="CH20" s="21" t="n">
        <v>0</v>
      </c>
      <c r="CI20" s="21" t="n">
        <v>0</v>
      </c>
      <c r="CJ20" s="21" t="n">
        <v>0</v>
      </c>
      <c r="CK20" s="21" t="n">
        <v>0</v>
      </c>
      <c r="CL20" s="21" t="n">
        <v>0</v>
      </c>
      <c r="CM20" s="21" t="n">
        <v>0</v>
      </c>
      <c r="CN20" s="21" t="n">
        <v>0</v>
      </c>
      <c r="CO20" s="21" t="n">
        <v>0</v>
      </c>
      <c r="CP20" s="21" t="n">
        <v>0</v>
      </c>
      <c r="CQ20" s="21" t="n">
        <v>0</v>
      </c>
      <c r="CR20" s="21" t="n">
        <v>0</v>
      </c>
      <c r="CS20" s="21" t="n">
        <v>0</v>
      </c>
      <c r="CT20" s="21" t="n">
        <v>0</v>
      </c>
      <c r="CU20" s="21" t="n">
        <v>0</v>
      </c>
      <c r="CV20" s="21" t="n">
        <v>0</v>
      </c>
      <c r="CW20" s="21" t="n">
        <v>0</v>
      </c>
      <c r="CX20" s="21" t="n">
        <v>0</v>
      </c>
      <c r="CY20" s="21" t="n">
        <v>0</v>
      </c>
      <c r="CZ20" s="21" t="n">
        <v>0</v>
      </c>
      <c r="DA20" s="21" t="n">
        <v>0</v>
      </c>
    </row>
    <row r="21">
      <c r="A21" t="inlineStr">
        <is>
          <t>TSP-360</t>
        </is>
      </c>
      <c r="B21" s="21" t="n">
        <v>0</v>
      </c>
      <c r="C21" s="21" t="n">
        <v>0</v>
      </c>
      <c r="D21" s="21" t="n">
        <v>0</v>
      </c>
      <c r="E21" s="21" t="n">
        <v>0</v>
      </c>
      <c r="F21" s="21" t="n">
        <v>0</v>
      </c>
      <c r="G21" s="21" t="n">
        <v>0</v>
      </c>
      <c r="H21" s="21" t="n">
        <v>0</v>
      </c>
      <c r="I21" s="21" t="n">
        <v>0</v>
      </c>
      <c r="J21" s="21" t="n">
        <v>0</v>
      </c>
      <c r="K21" s="21" t="n">
        <v>0</v>
      </c>
      <c r="L21" s="21" t="n">
        <v>0</v>
      </c>
      <c r="M21" s="21" t="n">
        <v>0</v>
      </c>
      <c r="N21" s="21" t="n">
        <v>0</v>
      </c>
      <c r="O21" s="21" t="n">
        <v>0</v>
      </c>
      <c r="P21" s="21" t="n">
        <v>0</v>
      </c>
      <c r="Q21" s="21" t="n">
        <v>0</v>
      </c>
      <c r="R21" s="21" t="n">
        <v>0</v>
      </c>
      <c r="S21" s="21" t="n">
        <v>0</v>
      </c>
      <c r="T21" s="21" t="n">
        <v>0</v>
      </c>
      <c r="U21" s="21" t="n">
        <v>0</v>
      </c>
      <c r="V21" s="21" t="n">
        <v>0</v>
      </c>
      <c r="W21" s="21" t="n">
        <v>0</v>
      </c>
      <c r="X21" s="21" t="n">
        <v>0</v>
      </c>
      <c r="Y21" s="21" t="n">
        <v>0</v>
      </c>
      <c r="Z21" s="21" t="n">
        <v>0</v>
      </c>
      <c r="AA21" s="21" t="n">
        <v>0</v>
      </c>
      <c r="AB21" s="21" t="n">
        <v>0</v>
      </c>
      <c r="AC21" s="21" t="n">
        <v>0</v>
      </c>
      <c r="AD21" s="21" t="n">
        <v>0</v>
      </c>
      <c r="AE21" s="21" t="n">
        <v>0</v>
      </c>
      <c r="AF21" s="21" t="n">
        <v>0</v>
      </c>
      <c r="AG21" s="21" t="n">
        <v>0</v>
      </c>
      <c r="AH21" s="21" t="n">
        <v>0</v>
      </c>
      <c r="AI21" s="21" t="n">
        <v>0</v>
      </c>
      <c r="AJ21" s="21" t="n">
        <v>0</v>
      </c>
      <c r="AK21" s="21" t="n">
        <v>0</v>
      </c>
      <c r="AL21" s="21" t="n">
        <v>0</v>
      </c>
      <c r="AM21" s="21" t="n">
        <v>0</v>
      </c>
      <c r="AN21" s="21" t="n">
        <v>0</v>
      </c>
      <c r="AO21" s="21" t="n">
        <v>0</v>
      </c>
      <c r="AP21" s="21" t="n">
        <v>0</v>
      </c>
      <c r="AQ21" s="21" t="n">
        <v>0</v>
      </c>
      <c r="AR21" s="21" t="n">
        <v>0</v>
      </c>
      <c r="AS21" s="21" t="n">
        <v>0</v>
      </c>
      <c r="AT21" s="21" t="n">
        <v>0</v>
      </c>
      <c r="AU21" s="21" t="n">
        <v>0</v>
      </c>
      <c r="AV21" s="21" t="n">
        <v>0</v>
      </c>
      <c r="AW21" s="21" t="n">
        <v>0</v>
      </c>
      <c r="AX21" s="21" t="n">
        <v>0</v>
      </c>
      <c r="AY21" s="21" t="n">
        <v>0</v>
      </c>
      <c r="AZ21" s="21" t="n">
        <v>0</v>
      </c>
      <c r="BA21" s="21" t="n">
        <v>0</v>
      </c>
      <c r="BB21" s="21" t="n">
        <v>0</v>
      </c>
      <c r="BC21" s="21" t="n">
        <v>0</v>
      </c>
      <c r="BD21" s="21" t="n">
        <v>0</v>
      </c>
      <c r="BE21" s="21" t="n">
        <v>0</v>
      </c>
      <c r="BF21" s="21" t="n">
        <v>0</v>
      </c>
      <c r="BG21" s="21" t="n">
        <v>0</v>
      </c>
      <c r="BH21" s="21" t="n">
        <v>0</v>
      </c>
      <c r="BI21" s="21" t="n">
        <v>0</v>
      </c>
      <c r="BJ21" s="21" t="n">
        <v>0</v>
      </c>
      <c r="BK21" s="21" t="n">
        <v>0</v>
      </c>
      <c r="BL21" s="21" t="n">
        <v>0</v>
      </c>
      <c r="BM21" s="21" t="n">
        <v>0</v>
      </c>
      <c r="BN21" s="21" t="n">
        <v>0</v>
      </c>
      <c r="BO21" s="21" t="n">
        <v>0</v>
      </c>
      <c r="BP21" s="21" t="n">
        <v>0</v>
      </c>
      <c r="BQ21" s="21" t="n">
        <v>0</v>
      </c>
      <c r="BR21" s="21" t="n">
        <v>0</v>
      </c>
      <c r="BS21" s="21" t="n">
        <v>0</v>
      </c>
      <c r="BT21" s="21" t="n">
        <v>0</v>
      </c>
      <c r="BU21" s="21" t="n">
        <v>0</v>
      </c>
      <c r="BV21" s="21" t="n">
        <v>0</v>
      </c>
      <c r="BW21" s="21" t="n">
        <v>0</v>
      </c>
      <c r="BX21" s="21" t="n">
        <v>0</v>
      </c>
      <c r="BY21" s="21" t="n">
        <v>0</v>
      </c>
      <c r="BZ21" s="21" t="n">
        <v>0</v>
      </c>
      <c r="CA21" s="21" t="n">
        <v>0</v>
      </c>
      <c r="CB21" s="21" t="n">
        <v>0</v>
      </c>
      <c r="CC21" s="21" t="n">
        <v>0</v>
      </c>
      <c r="CD21" s="21" t="n">
        <v>0</v>
      </c>
      <c r="CE21" s="21" t="n">
        <v>0</v>
      </c>
      <c r="CF21" s="21" t="n">
        <v>0</v>
      </c>
      <c r="CG21" s="21" t="n">
        <v>0</v>
      </c>
      <c r="CH21" s="21" t="n">
        <v>0</v>
      </c>
      <c r="CI21" s="21" t="n">
        <v>0</v>
      </c>
      <c r="CJ21" s="21" t="n">
        <v>0</v>
      </c>
      <c r="CK21" s="21" t="n">
        <v>0</v>
      </c>
      <c r="CL21" s="21" t="n">
        <v>0</v>
      </c>
      <c r="CM21" s="21" t="n">
        <v>0</v>
      </c>
      <c r="CN21" s="21" t="n">
        <v>0</v>
      </c>
      <c r="CO21" s="21" t="n">
        <v>0</v>
      </c>
      <c r="CP21" s="21" t="n">
        <v>0</v>
      </c>
      <c r="CQ21" s="21" t="n">
        <v>0</v>
      </c>
      <c r="CR21" s="21" t="n">
        <v>0</v>
      </c>
      <c r="CS21" s="21" t="n">
        <v>0</v>
      </c>
      <c r="CT21" s="21" t="n">
        <v>0</v>
      </c>
      <c r="CU21" s="21" t="n">
        <v>0</v>
      </c>
      <c r="CV21" s="21" t="n">
        <v>0</v>
      </c>
      <c r="CW21" s="21" t="n">
        <v>0</v>
      </c>
      <c r="CX21" s="21" t="n">
        <v>0</v>
      </c>
      <c r="CY21" s="21" t="n">
        <v>0</v>
      </c>
      <c r="CZ21" s="21" t="n">
        <v>0</v>
      </c>
      <c r="DA21" s="21" t="n">
        <v>0</v>
      </c>
    </row>
    <row r="22">
      <c r="A22" t="inlineStr">
        <is>
          <t>TSP-367</t>
        </is>
      </c>
      <c r="B22" s="21" t="n">
        <v>0</v>
      </c>
      <c r="C22" s="21" t="n">
        <v>0</v>
      </c>
      <c r="D22" s="21" t="n">
        <v>0</v>
      </c>
      <c r="E22" s="21" t="n">
        <v>0</v>
      </c>
      <c r="F22" s="21" t="n">
        <v>0</v>
      </c>
      <c r="G22" s="21" t="n">
        <v>0</v>
      </c>
      <c r="H22" s="21" t="n">
        <v>0</v>
      </c>
      <c r="I22" s="21" t="n">
        <v>0</v>
      </c>
      <c r="J22" s="21" t="n">
        <v>0</v>
      </c>
      <c r="K22" s="21" t="n">
        <v>0</v>
      </c>
      <c r="L22" s="21" t="n">
        <v>0</v>
      </c>
      <c r="M22" s="21" t="n">
        <v>0</v>
      </c>
      <c r="N22" s="21" t="n">
        <v>0</v>
      </c>
      <c r="O22" s="21" t="n">
        <v>0</v>
      </c>
      <c r="P22" s="21" t="n">
        <v>0</v>
      </c>
      <c r="Q22" s="21" t="n">
        <v>0</v>
      </c>
      <c r="R22" s="21" t="n">
        <v>0</v>
      </c>
      <c r="S22" s="21" t="n">
        <v>0</v>
      </c>
      <c r="T22" s="21" t="n">
        <v>0</v>
      </c>
      <c r="U22" s="21" t="n">
        <v>0</v>
      </c>
      <c r="V22" s="21" t="n">
        <v>0</v>
      </c>
      <c r="W22" s="21" t="n">
        <v>0</v>
      </c>
      <c r="X22" s="21" t="n">
        <v>0</v>
      </c>
      <c r="Y22" s="21" t="n">
        <v>0</v>
      </c>
      <c r="Z22" s="21" t="n">
        <v>0</v>
      </c>
      <c r="AA22" s="21" t="n">
        <v>0</v>
      </c>
      <c r="AB22" s="21" t="n">
        <v>0</v>
      </c>
      <c r="AC22" s="21" t="n">
        <v>0</v>
      </c>
      <c r="AD22" s="21" t="n">
        <v>0</v>
      </c>
      <c r="AE22" s="21" t="n">
        <v>0</v>
      </c>
      <c r="AF22" s="21" t="n">
        <v>0</v>
      </c>
      <c r="AG22" s="21" t="n">
        <v>0</v>
      </c>
      <c r="AH22" s="21" t="n">
        <v>0</v>
      </c>
      <c r="AI22" s="21" t="n">
        <v>0</v>
      </c>
      <c r="AJ22" s="21" t="n">
        <v>0</v>
      </c>
      <c r="AK22" s="21" t="n">
        <v>0</v>
      </c>
      <c r="AL22" s="21" t="n">
        <v>0</v>
      </c>
      <c r="AM22" s="21" t="n">
        <v>0</v>
      </c>
      <c r="AN22" s="21" t="n">
        <v>0</v>
      </c>
      <c r="AO22" s="21" t="n">
        <v>0</v>
      </c>
      <c r="AP22" s="21" t="n">
        <v>0</v>
      </c>
      <c r="AQ22" s="21" t="n">
        <v>0</v>
      </c>
      <c r="AR22" s="21" t="n">
        <v>0</v>
      </c>
      <c r="AS22" s="21" t="n">
        <v>0</v>
      </c>
      <c r="AT22" s="21" t="n">
        <v>0</v>
      </c>
      <c r="AU22" s="21" t="n">
        <v>0</v>
      </c>
      <c r="AV22" s="21" t="n">
        <v>0</v>
      </c>
      <c r="AW22" s="21" t="n">
        <v>0</v>
      </c>
      <c r="AX22" s="21" t="n">
        <v>0</v>
      </c>
      <c r="AY22" s="21" t="n">
        <v>0</v>
      </c>
      <c r="AZ22" s="21" t="n">
        <v>0</v>
      </c>
      <c r="BA22" s="21" t="n">
        <v>0</v>
      </c>
      <c r="BB22" s="21" t="n">
        <v>0</v>
      </c>
      <c r="BC22" s="21" t="n">
        <v>0</v>
      </c>
      <c r="BD22" s="21" t="n">
        <v>0</v>
      </c>
      <c r="BE22" s="21" t="n">
        <v>0</v>
      </c>
      <c r="BF22" s="21" t="n">
        <v>0</v>
      </c>
      <c r="BG22" s="21" t="n">
        <v>0</v>
      </c>
      <c r="BH22" s="21" t="n">
        <v>0</v>
      </c>
      <c r="BI22" s="21" t="n">
        <v>0</v>
      </c>
      <c r="BJ22" s="21" t="n">
        <v>0</v>
      </c>
      <c r="BK22" s="21" t="n">
        <v>0</v>
      </c>
      <c r="BL22" s="21" t="n">
        <v>0</v>
      </c>
      <c r="BM22" s="21" t="n">
        <v>0</v>
      </c>
      <c r="BN22" s="21" t="n">
        <v>0</v>
      </c>
      <c r="BO22" s="21" t="n">
        <v>0</v>
      </c>
      <c r="BP22" s="21" t="n">
        <v>0</v>
      </c>
      <c r="BQ22" s="21" t="n">
        <v>0</v>
      </c>
      <c r="BR22" s="21" t="n">
        <v>0</v>
      </c>
      <c r="BS22" s="21" t="n">
        <v>0</v>
      </c>
      <c r="BT22" s="21" t="n">
        <v>0</v>
      </c>
      <c r="BU22" s="21" t="n">
        <v>0</v>
      </c>
      <c r="BV22" s="21" t="n">
        <v>0</v>
      </c>
      <c r="BW22" s="21" t="n">
        <v>0</v>
      </c>
      <c r="BX22" s="21" t="n">
        <v>0</v>
      </c>
      <c r="BY22" s="21" t="n">
        <v>0</v>
      </c>
      <c r="BZ22" s="21" t="n">
        <v>0</v>
      </c>
      <c r="CA22" s="21" t="n">
        <v>0</v>
      </c>
      <c r="CB22" s="21" t="n">
        <v>0</v>
      </c>
      <c r="CC22" s="21" t="n">
        <v>0</v>
      </c>
      <c r="CD22" s="21" t="n">
        <v>0</v>
      </c>
      <c r="CE22" s="21" t="n">
        <v>0</v>
      </c>
      <c r="CF22" s="21" t="n">
        <v>0</v>
      </c>
      <c r="CG22" s="21" t="n">
        <v>0</v>
      </c>
      <c r="CH22" s="21" t="n">
        <v>0</v>
      </c>
      <c r="CI22" s="21" t="n">
        <v>0</v>
      </c>
      <c r="CJ22" s="21" t="n">
        <v>0</v>
      </c>
      <c r="CK22" s="21" t="n">
        <v>0</v>
      </c>
      <c r="CL22" s="21" t="n">
        <v>0</v>
      </c>
      <c r="CM22" s="21" t="n">
        <v>0</v>
      </c>
      <c r="CN22" s="21" t="n">
        <v>0</v>
      </c>
      <c r="CO22" s="21" t="n">
        <v>0</v>
      </c>
      <c r="CP22" s="21" t="n">
        <v>0</v>
      </c>
      <c r="CQ22" s="21" t="n">
        <v>0</v>
      </c>
      <c r="CR22" s="21" t="n">
        <v>0</v>
      </c>
      <c r="CS22" s="21" t="n">
        <v>0</v>
      </c>
      <c r="CT22" s="21" t="n">
        <v>0</v>
      </c>
      <c r="CU22" s="21" t="n">
        <v>0</v>
      </c>
      <c r="CV22" s="21" t="n">
        <v>0</v>
      </c>
      <c r="CW22" s="21" t="n">
        <v>0</v>
      </c>
      <c r="CX22" s="21" t="n">
        <v>0</v>
      </c>
      <c r="CY22" s="21" t="n">
        <v>0</v>
      </c>
      <c r="CZ22" s="21" t="n">
        <v>0</v>
      </c>
      <c r="DA22" s="21" t="n">
        <v>0</v>
      </c>
    </row>
    <row r="23">
      <c r="A23" t="inlineStr">
        <is>
          <t>TSP-369</t>
        </is>
      </c>
      <c r="B23" s="21" t="n">
        <v>0</v>
      </c>
      <c r="C23" s="21" t="n">
        <v>0</v>
      </c>
      <c r="D23" s="21" t="n">
        <v>0</v>
      </c>
      <c r="E23" s="21" t="n">
        <v>0</v>
      </c>
      <c r="F23" s="21" t="n">
        <v>0</v>
      </c>
      <c r="G23" s="21" t="n">
        <v>0</v>
      </c>
      <c r="H23" s="21" t="n">
        <v>0</v>
      </c>
      <c r="I23" s="21" t="n">
        <v>0</v>
      </c>
      <c r="J23" s="21" t="n">
        <v>0</v>
      </c>
      <c r="K23" s="21" t="n">
        <v>0</v>
      </c>
      <c r="L23" s="21" t="n">
        <v>0</v>
      </c>
      <c r="M23" s="21" t="n">
        <v>0</v>
      </c>
      <c r="N23" s="21" t="n">
        <v>0</v>
      </c>
      <c r="O23" s="21" t="n">
        <v>0</v>
      </c>
      <c r="P23" s="21" t="n">
        <v>0</v>
      </c>
      <c r="Q23" s="21" t="n">
        <v>0</v>
      </c>
      <c r="R23" s="21" t="n">
        <v>0</v>
      </c>
      <c r="S23" s="21" t="n">
        <v>0</v>
      </c>
      <c r="T23" s="21" t="n">
        <v>0</v>
      </c>
      <c r="U23" s="21" t="n">
        <v>0</v>
      </c>
      <c r="V23" s="21" t="n">
        <v>0</v>
      </c>
      <c r="W23" s="21" t="n">
        <v>0</v>
      </c>
      <c r="X23" s="21" t="n">
        <v>0</v>
      </c>
      <c r="Y23" s="21" t="n">
        <v>0</v>
      </c>
      <c r="Z23" s="21" t="n">
        <v>0</v>
      </c>
      <c r="AA23" s="21" t="n">
        <v>0</v>
      </c>
      <c r="AB23" s="21" t="n">
        <v>0</v>
      </c>
      <c r="AC23" s="21" t="n">
        <v>0</v>
      </c>
      <c r="AD23" s="21" t="n">
        <v>0</v>
      </c>
      <c r="AE23" s="21" t="n">
        <v>0</v>
      </c>
      <c r="AF23" s="21" t="n">
        <v>0</v>
      </c>
      <c r="AG23" s="21" t="n">
        <v>0</v>
      </c>
      <c r="AH23" s="21" t="n">
        <v>0</v>
      </c>
      <c r="AI23" s="21" t="n">
        <v>0</v>
      </c>
      <c r="AJ23" s="21" t="n">
        <v>0</v>
      </c>
      <c r="AK23" s="21" t="n">
        <v>0</v>
      </c>
      <c r="AL23" s="21" t="n">
        <v>0</v>
      </c>
      <c r="AM23" s="21" t="n">
        <v>0</v>
      </c>
      <c r="AN23" s="21" t="n">
        <v>0</v>
      </c>
      <c r="AO23" s="21" t="n">
        <v>0</v>
      </c>
      <c r="AP23" s="21" t="n">
        <v>0</v>
      </c>
      <c r="AQ23" s="21" t="n">
        <v>0</v>
      </c>
      <c r="AR23" s="21" t="n">
        <v>0</v>
      </c>
      <c r="AS23" s="21" t="n">
        <v>0</v>
      </c>
      <c r="AT23" s="21" t="n">
        <v>0</v>
      </c>
      <c r="AU23" s="21" t="n">
        <v>0</v>
      </c>
      <c r="AV23" s="21" t="n">
        <v>0</v>
      </c>
      <c r="AW23" s="21" t="n">
        <v>0</v>
      </c>
      <c r="AX23" s="21" t="n">
        <v>0</v>
      </c>
      <c r="AY23" s="21" t="n">
        <v>0</v>
      </c>
      <c r="AZ23" s="21" t="n">
        <v>0</v>
      </c>
      <c r="BA23" s="21" t="n">
        <v>0</v>
      </c>
      <c r="BB23" s="21" t="n">
        <v>0</v>
      </c>
      <c r="BC23" s="21" t="n">
        <v>0</v>
      </c>
      <c r="BD23" s="21" t="n">
        <v>0</v>
      </c>
      <c r="BE23" s="21" t="n">
        <v>0</v>
      </c>
      <c r="BF23" s="21" t="n">
        <v>0</v>
      </c>
      <c r="BG23" s="21" t="n">
        <v>0</v>
      </c>
      <c r="BH23" s="21" t="n">
        <v>0</v>
      </c>
      <c r="BI23" s="21" t="n">
        <v>0</v>
      </c>
      <c r="BJ23" s="21" t="n">
        <v>0</v>
      </c>
      <c r="BK23" s="21" t="n">
        <v>0</v>
      </c>
      <c r="BL23" s="21" t="n">
        <v>0</v>
      </c>
      <c r="BM23" s="21" t="n">
        <v>0</v>
      </c>
      <c r="BN23" s="21" t="n">
        <v>0</v>
      </c>
      <c r="BO23" s="21" t="n">
        <v>0</v>
      </c>
      <c r="BP23" s="21" t="n">
        <v>0</v>
      </c>
      <c r="BQ23" s="21" t="n">
        <v>0</v>
      </c>
      <c r="BR23" s="21" t="n">
        <v>0</v>
      </c>
      <c r="BS23" s="21" t="n">
        <v>0</v>
      </c>
      <c r="BT23" s="21" t="n">
        <v>0</v>
      </c>
      <c r="BU23" s="21" t="n">
        <v>0</v>
      </c>
      <c r="BV23" s="21" t="n">
        <v>0</v>
      </c>
      <c r="BW23" s="21" t="n">
        <v>0</v>
      </c>
      <c r="BX23" s="21" t="n">
        <v>0</v>
      </c>
      <c r="BY23" s="21" t="n">
        <v>0</v>
      </c>
      <c r="BZ23" s="21" t="n">
        <v>0</v>
      </c>
      <c r="CA23" s="21" t="n">
        <v>0</v>
      </c>
      <c r="CB23" s="21" t="n">
        <v>0</v>
      </c>
      <c r="CC23" s="21" t="n">
        <v>0</v>
      </c>
      <c r="CD23" s="21" t="n">
        <v>0</v>
      </c>
      <c r="CE23" s="21" t="n">
        <v>0</v>
      </c>
      <c r="CF23" s="21" t="n">
        <v>0</v>
      </c>
      <c r="CG23" s="21" t="n">
        <v>0</v>
      </c>
      <c r="CH23" s="21" t="n">
        <v>0</v>
      </c>
      <c r="CI23" s="21" t="n">
        <v>0</v>
      </c>
      <c r="CJ23" s="21" t="n">
        <v>0</v>
      </c>
      <c r="CK23" s="21" t="n">
        <v>0</v>
      </c>
      <c r="CL23" s="21" t="n">
        <v>0</v>
      </c>
      <c r="CM23" s="21" t="n">
        <v>0</v>
      </c>
      <c r="CN23" s="21" t="n">
        <v>0</v>
      </c>
      <c r="CO23" s="21" t="n">
        <v>0</v>
      </c>
      <c r="CP23" s="21" t="n">
        <v>0</v>
      </c>
      <c r="CQ23" s="21" t="n">
        <v>0</v>
      </c>
      <c r="CR23" s="21" t="n">
        <v>0</v>
      </c>
      <c r="CS23" s="21" t="n">
        <v>0</v>
      </c>
      <c r="CT23" s="21" t="n">
        <v>0</v>
      </c>
      <c r="CU23" s="21" t="n">
        <v>0</v>
      </c>
      <c r="CV23" s="21" t="n">
        <v>0</v>
      </c>
      <c r="CW23" s="21" t="n">
        <v>0</v>
      </c>
      <c r="CX23" s="21" t="n">
        <v>0</v>
      </c>
      <c r="CY23" s="21" t="n">
        <v>0</v>
      </c>
      <c r="CZ23" s="21" t="n">
        <v>0</v>
      </c>
      <c r="DA23" s="21" t="n">
        <v>0</v>
      </c>
    </row>
    <row r="24">
      <c r="A24" t="inlineStr">
        <is>
          <t>TSP-402</t>
        </is>
      </c>
      <c r="B24" s="21" t="n">
        <v>0</v>
      </c>
      <c r="C24" s="21" t="n">
        <v>0</v>
      </c>
      <c r="D24" s="21" t="n">
        <v>0</v>
      </c>
      <c r="E24" s="21" t="n">
        <v>0</v>
      </c>
      <c r="F24" s="21" t="n">
        <v>0</v>
      </c>
      <c r="G24" s="21" t="n">
        <v>0</v>
      </c>
      <c r="H24" s="21" t="n">
        <v>0</v>
      </c>
      <c r="I24" s="21" t="n">
        <v>0</v>
      </c>
      <c r="J24" s="21" t="n">
        <v>0</v>
      </c>
      <c r="K24" s="21" t="n">
        <v>0</v>
      </c>
      <c r="L24" s="21" t="n">
        <v>0</v>
      </c>
      <c r="M24" s="21" t="n">
        <v>0</v>
      </c>
      <c r="N24" s="21" t="n">
        <v>0</v>
      </c>
      <c r="O24" s="21" t="n">
        <v>0</v>
      </c>
      <c r="P24" s="21" t="n">
        <v>0</v>
      </c>
      <c r="Q24" s="21" t="n">
        <v>0</v>
      </c>
      <c r="R24" s="21" t="n">
        <v>0</v>
      </c>
      <c r="S24" s="21" t="n">
        <v>0</v>
      </c>
      <c r="T24" s="21" t="n">
        <v>0</v>
      </c>
      <c r="U24" s="21" t="n">
        <v>0</v>
      </c>
      <c r="V24" s="21" t="n">
        <v>0</v>
      </c>
      <c r="W24" s="21" t="n">
        <v>0</v>
      </c>
      <c r="X24" s="21" t="n">
        <v>0</v>
      </c>
      <c r="Y24" s="21" t="n">
        <v>0</v>
      </c>
      <c r="Z24" s="21" t="n">
        <v>0</v>
      </c>
      <c r="AA24" s="21" t="n">
        <v>0</v>
      </c>
      <c r="AB24" s="21" t="n">
        <v>0</v>
      </c>
      <c r="AC24" s="21" t="n">
        <v>0</v>
      </c>
      <c r="AD24" s="21" t="n">
        <v>0</v>
      </c>
      <c r="AE24" s="21" t="n">
        <v>0</v>
      </c>
      <c r="AF24" s="21" t="n">
        <v>0</v>
      </c>
      <c r="AG24" s="21" t="n">
        <v>0</v>
      </c>
      <c r="AH24" s="21" t="n">
        <v>0</v>
      </c>
      <c r="AI24" s="21" t="n">
        <v>0</v>
      </c>
      <c r="AJ24" s="21" t="n">
        <v>0</v>
      </c>
      <c r="AK24" s="21" t="n">
        <v>0</v>
      </c>
      <c r="AL24" s="21" t="n">
        <v>0</v>
      </c>
      <c r="AM24" s="21" t="n">
        <v>0</v>
      </c>
      <c r="AN24" s="21" t="n">
        <v>0</v>
      </c>
      <c r="AO24" s="21" t="n">
        <v>0</v>
      </c>
      <c r="AP24" s="21" t="n">
        <v>0</v>
      </c>
      <c r="AQ24" s="21" t="n">
        <v>0</v>
      </c>
      <c r="AR24" s="21" t="n">
        <v>0</v>
      </c>
      <c r="AS24" s="21" t="n">
        <v>0</v>
      </c>
      <c r="AT24" s="21" t="n">
        <v>0</v>
      </c>
      <c r="AU24" s="21" t="n">
        <v>0</v>
      </c>
      <c r="AV24" s="21" t="n">
        <v>0</v>
      </c>
      <c r="AW24" s="21" t="n">
        <v>0</v>
      </c>
      <c r="AX24" s="21" t="n">
        <v>0</v>
      </c>
      <c r="AY24" s="21" t="n">
        <v>0</v>
      </c>
      <c r="AZ24" s="21" t="n">
        <v>0</v>
      </c>
      <c r="BA24" s="21" t="n">
        <v>0</v>
      </c>
      <c r="BB24" s="21" t="n">
        <v>0</v>
      </c>
      <c r="BC24" s="21" t="n">
        <v>0</v>
      </c>
      <c r="BD24" s="21" t="n">
        <v>0</v>
      </c>
      <c r="BE24" s="21" t="n">
        <v>0</v>
      </c>
      <c r="BF24" s="21" t="n">
        <v>0</v>
      </c>
      <c r="BG24" s="21" t="n">
        <v>0</v>
      </c>
      <c r="BH24" s="21" t="n">
        <v>0</v>
      </c>
      <c r="BI24" s="21" t="n">
        <v>0</v>
      </c>
      <c r="BJ24" s="21" t="n">
        <v>0</v>
      </c>
      <c r="BK24" s="21" t="n">
        <v>0</v>
      </c>
      <c r="BL24" s="21" t="n">
        <v>0</v>
      </c>
      <c r="BM24" s="21" t="n">
        <v>0</v>
      </c>
      <c r="BN24" s="21" t="n">
        <v>0</v>
      </c>
      <c r="BO24" s="21" t="n">
        <v>0</v>
      </c>
      <c r="BP24" s="21" t="n">
        <v>0</v>
      </c>
      <c r="BQ24" s="21" t="n">
        <v>0</v>
      </c>
      <c r="BR24" s="21" t="n">
        <v>0</v>
      </c>
      <c r="BS24" s="21" t="n">
        <v>0</v>
      </c>
      <c r="BT24" s="21" t="n">
        <v>0</v>
      </c>
      <c r="BU24" s="21" t="n">
        <v>0</v>
      </c>
      <c r="BV24" s="21" t="n">
        <v>0</v>
      </c>
      <c r="BW24" s="21" t="n">
        <v>0</v>
      </c>
      <c r="BX24" s="21" t="n">
        <v>0</v>
      </c>
      <c r="BY24" s="21" t="n">
        <v>0</v>
      </c>
      <c r="BZ24" s="21" t="n">
        <v>0</v>
      </c>
      <c r="CA24" s="21" t="n">
        <v>0</v>
      </c>
      <c r="CB24" s="21" t="n">
        <v>0</v>
      </c>
      <c r="CC24" s="21" t="n">
        <v>0</v>
      </c>
      <c r="CD24" s="21" t="n">
        <v>0</v>
      </c>
      <c r="CE24" s="21" t="n">
        <v>0</v>
      </c>
      <c r="CF24" s="21" t="n">
        <v>0</v>
      </c>
      <c r="CG24" s="21" t="n">
        <v>0</v>
      </c>
      <c r="CH24" s="21" t="n">
        <v>0</v>
      </c>
      <c r="CI24" s="21" t="n">
        <v>0</v>
      </c>
      <c r="CJ24" s="21" t="n">
        <v>0</v>
      </c>
      <c r="CK24" s="21" t="n">
        <v>0</v>
      </c>
      <c r="CL24" s="21" t="n">
        <v>0</v>
      </c>
      <c r="CM24" s="21" t="n">
        <v>0</v>
      </c>
      <c r="CN24" s="21" t="n">
        <v>0</v>
      </c>
      <c r="CO24" s="21" t="n">
        <v>0</v>
      </c>
      <c r="CP24" s="21" t="n">
        <v>0</v>
      </c>
      <c r="CQ24" s="21" t="n">
        <v>0</v>
      </c>
      <c r="CR24" s="21" t="n">
        <v>0</v>
      </c>
      <c r="CS24" s="21" t="n">
        <v>0</v>
      </c>
      <c r="CT24" s="21" t="n">
        <v>0</v>
      </c>
      <c r="CU24" s="21" t="n">
        <v>0</v>
      </c>
      <c r="CV24" s="21" t="n">
        <v>0</v>
      </c>
      <c r="CW24" s="21" t="n">
        <v>0</v>
      </c>
      <c r="CX24" s="21" t="n">
        <v>0</v>
      </c>
      <c r="CY24" s="21" t="n">
        <v>0</v>
      </c>
      <c r="CZ24" s="21" t="n">
        <v>0</v>
      </c>
      <c r="DA24" s="21" t="n">
        <v>0</v>
      </c>
    </row>
    <row r="25">
      <c r="A25" t="inlineStr">
        <is>
          <t>TSP-403</t>
        </is>
      </c>
      <c r="B25" s="21" t="n">
        <v>0</v>
      </c>
      <c r="C25" s="21" t="n">
        <v>0</v>
      </c>
      <c r="D25" s="21" t="n">
        <v>0</v>
      </c>
      <c r="E25" s="21" t="n">
        <v>0</v>
      </c>
      <c r="F25" s="21" t="n">
        <v>0</v>
      </c>
      <c r="G25" s="21" t="n">
        <v>0</v>
      </c>
      <c r="H25" s="21" t="n">
        <v>0</v>
      </c>
      <c r="I25" s="21" t="n">
        <v>0</v>
      </c>
      <c r="J25" s="21" t="n">
        <v>0</v>
      </c>
      <c r="K25" s="21" t="n">
        <v>0</v>
      </c>
      <c r="L25" s="21" t="n">
        <v>0</v>
      </c>
      <c r="M25" s="21" t="n">
        <v>0</v>
      </c>
      <c r="N25" s="21" t="n">
        <v>0</v>
      </c>
      <c r="O25" s="21" t="n">
        <v>0</v>
      </c>
      <c r="P25" s="21" t="n">
        <v>0</v>
      </c>
      <c r="Q25" s="21" t="n">
        <v>0</v>
      </c>
      <c r="R25" s="21" t="n">
        <v>0</v>
      </c>
      <c r="S25" s="21" t="n">
        <v>0</v>
      </c>
      <c r="T25" s="21" t="n">
        <v>0</v>
      </c>
      <c r="U25" s="21" t="n">
        <v>0</v>
      </c>
      <c r="V25" s="21" t="n">
        <v>0</v>
      </c>
      <c r="W25" s="21" t="n">
        <v>0</v>
      </c>
      <c r="X25" s="21" t="n">
        <v>0</v>
      </c>
      <c r="Y25" s="21" t="n">
        <v>0</v>
      </c>
      <c r="Z25" s="21" t="n">
        <v>0</v>
      </c>
      <c r="AA25" s="21" t="n">
        <v>0</v>
      </c>
      <c r="AB25" s="21" t="n">
        <v>0</v>
      </c>
      <c r="AC25" s="21" t="n">
        <v>0</v>
      </c>
      <c r="AD25" s="21" t="n">
        <v>0</v>
      </c>
      <c r="AE25" s="21" t="n">
        <v>0</v>
      </c>
      <c r="AF25" s="21" t="n">
        <v>0</v>
      </c>
      <c r="AG25" s="21" t="n">
        <v>0</v>
      </c>
      <c r="AH25" s="21" t="n">
        <v>0</v>
      </c>
      <c r="AI25" s="21" t="n">
        <v>0</v>
      </c>
      <c r="AJ25" s="21" t="n">
        <v>0</v>
      </c>
      <c r="AK25" s="21" t="n">
        <v>0</v>
      </c>
      <c r="AL25" s="21" t="n">
        <v>0</v>
      </c>
      <c r="AM25" s="21" t="n">
        <v>0</v>
      </c>
      <c r="AN25" s="21" t="n">
        <v>0</v>
      </c>
      <c r="AO25" s="21" t="n">
        <v>0</v>
      </c>
      <c r="AP25" s="21" t="n">
        <v>0</v>
      </c>
      <c r="AQ25" s="21" t="n">
        <v>0</v>
      </c>
      <c r="AR25" s="21" t="n">
        <v>0</v>
      </c>
      <c r="AS25" s="21" t="n">
        <v>0</v>
      </c>
      <c r="AT25" s="21" t="n">
        <v>0</v>
      </c>
      <c r="AU25" s="21" t="n">
        <v>0</v>
      </c>
      <c r="AV25" s="21" t="n">
        <v>0</v>
      </c>
      <c r="AW25" s="21" t="n">
        <v>0</v>
      </c>
      <c r="AX25" s="21" t="n">
        <v>0</v>
      </c>
      <c r="AY25" s="21" t="n">
        <v>0</v>
      </c>
      <c r="AZ25" s="21" t="n">
        <v>0</v>
      </c>
      <c r="BA25" s="21" t="n">
        <v>0</v>
      </c>
      <c r="BB25" s="21" t="n">
        <v>0</v>
      </c>
      <c r="BC25" s="21" t="n">
        <v>0</v>
      </c>
      <c r="BD25" s="21" t="n">
        <v>0</v>
      </c>
      <c r="BE25" s="21" t="n">
        <v>0</v>
      </c>
      <c r="BF25" s="21" t="n">
        <v>0</v>
      </c>
      <c r="BG25" s="21" t="n">
        <v>0</v>
      </c>
      <c r="BH25" s="21" t="n">
        <v>0</v>
      </c>
      <c r="BI25" s="21" t="n">
        <v>0</v>
      </c>
      <c r="BJ25" s="21" t="n">
        <v>0</v>
      </c>
      <c r="BK25" s="21" t="n">
        <v>0</v>
      </c>
      <c r="BL25" s="21" t="n">
        <v>0</v>
      </c>
      <c r="BM25" s="21" t="n">
        <v>0</v>
      </c>
      <c r="BN25" s="21" t="n">
        <v>0</v>
      </c>
      <c r="BO25" s="21" t="n">
        <v>0</v>
      </c>
      <c r="BP25" s="21" t="n">
        <v>0</v>
      </c>
      <c r="BQ25" s="21" t="n">
        <v>0</v>
      </c>
      <c r="BR25" s="21" t="n">
        <v>0</v>
      </c>
      <c r="BS25" s="21" t="n">
        <v>0</v>
      </c>
      <c r="BT25" s="21" t="n">
        <v>0</v>
      </c>
      <c r="BU25" s="21" t="n">
        <v>0</v>
      </c>
      <c r="BV25" s="21" t="n">
        <v>0</v>
      </c>
      <c r="BW25" s="21" t="n">
        <v>0</v>
      </c>
      <c r="BX25" s="21" t="n">
        <v>0</v>
      </c>
      <c r="BY25" s="21" t="n">
        <v>0</v>
      </c>
      <c r="BZ25" s="21" t="n">
        <v>0</v>
      </c>
      <c r="CA25" s="21" t="n">
        <v>0</v>
      </c>
      <c r="CB25" s="21" t="n">
        <v>0</v>
      </c>
      <c r="CC25" s="21" t="n">
        <v>0</v>
      </c>
      <c r="CD25" s="21" t="n">
        <v>0</v>
      </c>
      <c r="CE25" s="21" t="n">
        <v>0</v>
      </c>
      <c r="CF25" s="21" t="n">
        <v>0</v>
      </c>
      <c r="CG25" s="21" t="n">
        <v>0</v>
      </c>
      <c r="CH25" s="21" t="n">
        <v>0</v>
      </c>
      <c r="CI25" s="21" t="n">
        <v>0</v>
      </c>
      <c r="CJ25" s="21" t="n">
        <v>0</v>
      </c>
      <c r="CK25" s="21" t="n">
        <v>0</v>
      </c>
      <c r="CL25" s="21" t="n">
        <v>0</v>
      </c>
      <c r="CM25" s="21" t="n">
        <v>0</v>
      </c>
      <c r="CN25" s="21" t="n">
        <v>0</v>
      </c>
      <c r="CO25" s="21" t="n">
        <v>0</v>
      </c>
      <c r="CP25" s="21" t="n">
        <v>0</v>
      </c>
      <c r="CQ25" s="21" t="n">
        <v>0</v>
      </c>
      <c r="CR25" s="21" t="n">
        <v>0</v>
      </c>
      <c r="CS25" s="21" t="n">
        <v>0</v>
      </c>
      <c r="CT25" s="21" t="n">
        <v>0</v>
      </c>
      <c r="CU25" s="21" t="n">
        <v>0</v>
      </c>
      <c r="CV25" s="21" t="n">
        <v>0</v>
      </c>
      <c r="CW25" s="21" t="n">
        <v>0</v>
      </c>
      <c r="CX25" s="21" t="n">
        <v>0</v>
      </c>
      <c r="CY25" s="21" t="n">
        <v>0</v>
      </c>
      <c r="CZ25" s="21" t="n">
        <v>0</v>
      </c>
      <c r="DA25" s="21" t="n">
        <v>0</v>
      </c>
    </row>
    <row r="26">
      <c r="A26" t="inlineStr">
        <is>
          <t>TSP-404</t>
        </is>
      </c>
      <c r="B26" s="21" t="n">
        <v>0</v>
      </c>
      <c r="C26" s="21" t="n">
        <v>0</v>
      </c>
      <c r="D26" s="21" t="n">
        <v>0</v>
      </c>
      <c r="E26" s="21" t="n">
        <v>0</v>
      </c>
      <c r="F26" s="21" t="n">
        <v>0</v>
      </c>
      <c r="G26" s="21" t="n">
        <v>0</v>
      </c>
      <c r="H26" s="21" t="n">
        <v>0</v>
      </c>
      <c r="I26" s="21" t="n">
        <v>0</v>
      </c>
      <c r="J26" s="21" t="n">
        <v>0</v>
      </c>
      <c r="K26" s="21" t="n">
        <v>0</v>
      </c>
      <c r="L26" s="21" t="n">
        <v>0</v>
      </c>
      <c r="M26" s="21" t="n">
        <v>0</v>
      </c>
      <c r="N26" s="21" t="n">
        <v>0</v>
      </c>
      <c r="O26" s="21" t="n">
        <v>0</v>
      </c>
      <c r="P26" s="21" t="n">
        <v>0</v>
      </c>
      <c r="Q26" s="21" t="n">
        <v>0</v>
      </c>
      <c r="R26" s="21" t="n">
        <v>0</v>
      </c>
      <c r="S26" s="21" t="n">
        <v>0</v>
      </c>
      <c r="T26" s="21" t="n">
        <v>0</v>
      </c>
      <c r="U26" s="21" t="n">
        <v>0</v>
      </c>
      <c r="V26" s="21" t="n">
        <v>0</v>
      </c>
      <c r="W26" s="21" t="n">
        <v>0</v>
      </c>
      <c r="X26" s="21" t="n">
        <v>0</v>
      </c>
      <c r="Y26" s="21" t="n">
        <v>0</v>
      </c>
      <c r="Z26" s="21" t="n">
        <v>0</v>
      </c>
      <c r="AA26" s="21" t="n">
        <v>0</v>
      </c>
      <c r="AB26" s="21" t="n">
        <v>0</v>
      </c>
      <c r="AC26" s="21" t="n">
        <v>0</v>
      </c>
      <c r="AD26" s="21" t="n">
        <v>0</v>
      </c>
      <c r="AE26" s="21" t="n">
        <v>0</v>
      </c>
      <c r="AF26" s="21" t="n">
        <v>0</v>
      </c>
      <c r="AG26" s="21" t="n">
        <v>0</v>
      </c>
      <c r="AH26" s="21" t="n">
        <v>0</v>
      </c>
      <c r="AI26" s="21" t="n">
        <v>0</v>
      </c>
      <c r="AJ26" s="21" t="n">
        <v>0</v>
      </c>
      <c r="AK26" s="21" t="n">
        <v>0</v>
      </c>
      <c r="AL26" s="21" t="n">
        <v>0</v>
      </c>
      <c r="AM26" s="21" t="n">
        <v>0</v>
      </c>
      <c r="AN26" s="21" t="n">
        <v>0</v>
      </c>
      <c r="AO26" s="21" t="n">
        <v>0</v>
      </c>
      <c r="AP26" s="21" t="n">
        <v>0</v>
      </c>
      <c r="AQ26" s="21" t="n">
        <v>0</v>
      </c>
      <c r="AR26" s="21" t="n">
        <v>0</v>
      </c>
      <c r="AS26" s="21" t="n">
        <v>0</v>
      </c>
      <c r="AT26" s="21" t="n">
        <v>0</v>
      </c>
      <c r="AU26" s="21" t="n">
        <v>0</v>
      </c>
      <c r="AV26" s="21" t="n">
        <v>0</v>
      </c>
      <c r="AW26" s="21" t="n">
        <v>0</v>
      </c>
      <c r="AX26" s="21" t="n">
        <v>0</v>
      </c>
      <c r="AY26" s="21" t="n">
        <v>0</v>
      </c>
      <c r="AZ26" s="21" t="n">
        <v>0</v>
      </c>
      <c r="BA26" s="21" t="n">
        <v>0</v>
      </c>
      <c r="BB26" s="21" t="n">
        <v>0</v>
      </c>
      <c r="BC26" s="21" t="n">
        <v>0</v>
      </c>
      <c r="BD26" s="21" t="n">
        <v>0</v>
      </c>
      <c r="BE26" s="21" t="n">
        <v>0</v>
      </c>
      <c r="BF26" s="21" t="n">
        <v>0</v>
      </c>
      <c r="BG26" s="21" t="n">
        <v>0</v>
      </c>
      <c r="BH26" s="21" t="n">
        <v>0</v>
      </c>
      <c r="BI26" s="21" t="n">
        <v>0</v>
      </c>
      <c r="BJ26" s="21" t="n">
        <v>0</v>
      </c>
      <c r="BK26" s="21" t="n">
        <v>0</v>
      </c>
      <c r="BL26" s="21" t="n">
        <v>0</v>
      </c>
      <c r="BM26" s="21" t="n">
        <v>0</v>
      </c>
      <c r="BN26" s="21" t="n">
        <v>0</v>
      </c>
      <c r="BO26" s="21" t="n">
        <v>0</v>
      </c>
      <c r="BP26" s="21" t="n">
        <v>0</v>
      </c>
      <c r="BQ26" s="21" t="n">
        <v>0</v>
      </c>
      <c r="BR26" s="21" t="n">
        <v>0</v>
      </c>
      <c r="BS26" s="21" t="n">
        <v>0</v>
      </c>
      <c r="BT26" s="21" t="n">
        <v>0</v>
      </c>
      <c r="BU26" s="21" t="n">
        <v>0</v>
      </c>
      <c r="BV26" s="21" t="n">
        <v>0</v>
      </c>
      <c r="BW26" s="21" t="n">
        <v>0</v>
      </c>
      <c r="BX26" s="21" t="n">
        <v>0</v>
      </c>
      <c r="BY26" s="21" t="n">
        <v>0</v>
      </c>
      <c r="BZ26" s="21" t="n">
        <v>0</v>
      </c>
      <c r="CA26" s="21" t="n">
        <v>0</v>
      </c>
      <c r="CB26" s="21" t="n">
        <v>0</v>
      </c>
      <c r="CC26" s="21" t="n">
        <v>0</v>
      </c>
      <c r="CD26" s="21" t="n">
        <v>0</v>
      </c>
      <c r="CE26" s="21" t="n">
        <v>0</v>
      </c>
      <c r="CF26" s="21" t="n">
        <v>0</v>
      </c>
      <c r="CG26" s="21" t="n">
        <v>0</v>
      </c>
      <c r="CH26" s="21" t="n">
        <v>0</v>
      </c>
      <c r="CI26" s="21" t="n">
        <v>0</v>
      </c>
      <c r="CJ26" s="21" t="n">
        <v>0</v>
      </c>
      <c r="CK26" s="21" t="n">
        <v>0</v>
      </c>
      <c r="CL26" s="21" t="n">
        <v>0</v>
      </c>
      <c r="CM26" s="21" t="n">
        <v>0</v>
      </c>
      <c r="CN26" s="21" t="n">
        <v>0</v>
      </c>
      <c r="CO26" s="21" t="n">
        <v>0</v>
      </c>
      <c r="CP26" s="21" t="n">
        <v>0</v>
      </c>
      <c r="CQ26" s="21" t="n">
        <v>0</v>
      </c>
      <c r="CR26" s="21" t="n">
        <v>0</v>
      </c>
      <c r="CS26" s="21" t="n">
        <v>0</v>
      </c>
      <c r="CT26" s="21" t="n">
        <v>0</v>
      </c>
      <c r="CU26" s="21" t="n">
        <v>0</v>
      </c>
      <c r="CV26" s="21" t="n">
        <v>0</v>
      </c>
      <c r="CW26" s="21" t="n">
        <v>0</v>
      </c>
      <c r="CX26" s="21" t="n">
        <v>0</v>
      </c>
      <c r="CY26" s="21" t="n">
        <v>0</v>
      </c>
      <c r="CZ26" s="21" t="n">
        <v>0</v>
      </c>
      <c r="DA26" s="21" t="n">
        <v>0</v>
      </c>
    </row>
    <row r="27">
      <c r="A27" t="inlineStr">
        <is>
          <t>TSP-405</t>
        </is>
      </c>
      <c r="B27" s="21" t="n">
        <v>0</v>
      </c>
      <c r="C27" s="21" t="n">
        <v>0</v>
      </c>
      <c r="D27" s="21" t="n">
        <v>0</v>
      </c>
      <c r="E27" s="21" t="n">
        <v>0</v>
      </c>
      <c r="F27" s="21" t="n">
        <v>0</v>
      </c>
      <c r="G27" s="21" t="n">
        <v>0</v>
      </c>
      <c r="H27" s="21" t="n">
        <v>0</v>
      </c>
      <c r="I27" s="21" t="n">
        <v>0</v>
      </c>
      <c r="J27" s="21" t="n">
        <v>0</v>
      </c>
      <c r="K27" s="21" t="n">
        <v>0</v>
      </c>
      <c r="L27" s="21" t="n">
        <v>0</v>
      </c>
      <c r="M27" s="21" t="n">
        <v>0</v>
      </c>
      <c r="N27" s="21" t="n">
        <v>0</v>
      </c>
      <c r="O27" s="21" t="n">
        <v>0</v>
      </c>
      <c r="P27" s="21" t="n">
        <v>0</v>
      </c>
      <c r="Q27" s="21" t="n">
        <v>0</v>
      </c>
      <c r="R27" s="21" t="n">
        <v>0</v>
      </c>
      <c r="S27" s="21" t="n">
        <v>0</v>
      </c>
      <c r="T27" s="21" t="n">
        <v>0</v>
      </c>
      <c r="U27" s="21" t="n">
        <v>0</v>
      </c>
      <c r="V27" s="21" t="n">
        <v>0</v>
      </c>
      <c r="W27" s="21" t="n">
        <v>0</v>
      </c>
      <c r="X27" s="21" t="n">
        <v>0</v>
      </c>
      <c r="Y27" s="21" t="n">
        <v>0</v>
      </c>
      <c r="Z27" s="21" t="n">
        <v>0</v>
      </c>
      <c r="AA27" s="21" t="n">
        <v>0</v>
      </c>
      <c r="AB27" s="21" t="n">
        <v>0</v>
      </c>
      <c r="AC27" s="21" t="n">
        <v>0</v>
      </c>
      <c r="AD27" s="21" t="n">
        <v>0</v>
      </c>
      <c r="AE27" s="21" t="n">
        <v>0</v>
      </c>
      <c r="AF27" s="21" t="n">
        <v>0</v>
      </c>
      <c r="AG27" s="21" t="n">
        <v>0</v>
      </c>
      <c r="AH27" s="21" t="n">
        <v>0</v>
      </c>
      <c r="AI27" s="21" t="n">
        <v>0</v>
      </c>
      <c r="AJ27" s="21" t="n">
        <v>0</v>
      </c>
      <c r="AK27" s="21" t="n">
        <v>0</v>
      </c>
      <c r="AL27" s="21" t="n">
        <v>0</v>
      </c>
      <c r="AM27" s="21" t="n">
        <v>0</v>
      </c>
      <c r="AN27" s="21" t="n">
        <v>0</v>
      </c>
      <c r="AO27" s="21" t="n">
        <v>0</v>
      </c>
      <c r="AP27" s="21" t="n">
        <v>0</v>
      </c>
      <c r="AQ27" s="21" t="n">
        <v>0</v>
      </c>
      <c r="AR27" s="21" t="n">
        <v>0</v>
      </c>
      <c r="AS27" s="21" t="n">
        <v>0</v>
      </c>
      <c r="AT27" s="21" t="n">
        <v>0</v>
      </c>
      <c r="AU27" s="21" t="n">
        <v>0</v>
      </c>
      <c r="AV27" s="21" t="n">
        <v>0</v>
      </c>
      <c r="AW27" s="21" t="n">
        <v>0</v>
      </c>
      <c r="AX27" s="21" t="n">
        <v>0</v>
      </c>
      <c r="AY27" s="21" t="n">
        <v>0</v>
      </c>
      <c r="AZ27" s="21" t="n">
        <v>0</v>
      </c>
      <c r="BA27" s="21" t="n">
        <v>0</v>
      </c>
      <c r="BB27" s="21" t="n">
        <v>0</v>
      </c>
      <c r="BC27" s="21" t="n">
        <v>0</v>
      </c>
      <c r="BD27" s="21" t="n">
        <v>0</v>
      </c>
      <c r="BE27" s="21" t="n">
        <v>0</v>
      </c>
      <c r="BF27" s="21" t="n">
        <v>0</v>
      </c>
      <c r="BG27" s="21" t="n">
        <v>0</v>
      </c>
      <c r="BH27" s="21" t="n">
        <v>0</v>
      </c>
      <c r="BI27" s="21" t="n">
        <v>0</v>
      </c>
      <c r="BJ27" s="21" t="n">
        <v>0</v>
      </c>
      <c r="BK27" s="21" t="n">
        <v>0</v>
      </c>
      <c r="BL27" s="21" t="n">
        <v>0</v>
      </c>
      <c r="BM27" s="21" t="n">
        <v>0</v>
      </c>
      <c r="BN27" s="21" t="n">
        <v>0</v>
      </c>
      <c r="BO27" s="21" t="n">
        <v>0</v>
      </c>
      <c r="BP27" s="21" t="n">
        <v>0</v>
      </c>
      <c r="BQ27" s="21" t="n">
        <v>0</v>
      </c>
      <c r="BR27" s="21" t="n">
        <v>0</v>
      </c>
      <c r="BS27" s="21" t="n">
        <v>0</v>
      </c>
      <c r="BT27" s="21" t="n">
        <v>0</v>
      </c>
      <c r="BU27" s="21" t="n">
        <v>0</v>
      </c>
      <c r="BV27" s="21" t="n">
        <v>0</v>
      </c>
      <c r="BW27" s="21" t="n">
        <v>0</v>
      </c>
      <c r="BX27" s="21" t="n">
        <v>0</v>
      </c>
      <c r="BY27" s="21" t="n">
        <v>0</v>
      </c>
      <c r="BZ27" s="21" t="n">
        <v>0</v>
      </c>
      <c r="CA27" s="21" t="n">
        <v>0</v>
      </c>
      <c r="CB27" s="21" t="n">
        <v>0</v>
      </c>
      <c r="CC27" s="21" t="n">
        <v>0</v>
      </c>
      <c r="CD27" s="21" t="n">
        <v>0</v>
      </c>
      <c r="CE27" s="21" t="n">
        <v>0</v>
      </c>
      <c r="CF27" s="21" t="n">
        <v>0</v>
      </c>
      <c r="CG27" s="21" t="n">
        <v>0</v>
      </c>
      <c r="CH27" s="21" t="n">
        <v>0</v>
      </c>
      <c r="CI27" s="21" t="n">
        <v>0</v>
      </c>
      <c r="CJ27" s="21" t="n">
        <v>0</v>
      </c>
      <c r="CK27" s="21" t="n">
        <v>0</v>
      </c>
      <c r="CL27" s="21" t="n">
        <v>0</v>
      </c>
      <c r="CM27" s="21" t="n">
        <v>0</v>
      </c>
      <c r="CN27" s="21" t="n">
        <v>0</v>
      </c>
      <c r="CO27" s="21" t="n">
        <v>0</v>
      </c>
      <c r="CP27" s="21" t="n">
        <v>0</v>
      </c>
      <c r="CQ27" s="21" t="n">
        <v>0</v>
      </c>
      <c r="CR27" s="21" t="n">
        <v>0</v>
      </c>
      <c r="CS27" s="21" t="n">
        <v>0</v>
      </c>
      <c r="CT27" s="21" t="n">
        <v>0</v>
      </c>
      <c r="CU27" s="21" t="n">
        <v>0</v>
      </c>
      <c r="CV27" s="21" t="n">
        <v>0</v>
      </c>
      <c r="CW27" s="21" t="n">
        <v>0</v>
      </c>
      <c r="CX27" s="21" t="n">
        <v>0</v>
      </c>
      <c r="CY27" s="21" t="n">
        <v>0</v>
      </c>
      <c r="CZ27" s="21" t="n">
        <v>0</v>
      </c>
      <c r="DA27" s="21" t="n">
        <v>0</v>
      </c>
    </row>
    <row r="28">
      <c r="A28" t="inlineStr">
        <is>
          <t>TSP-544</t>
        </is>
      </c>
      <c r="B28" s="21" t="n">
        <v>0</v>
      </c>
      <c r="C28" s="21" t="n">
        <v>0</v>
      </c>
      <c r="D28" s="21" t="n">
        <v>0</v>
      </c>
      <c r="E28" s="21" t="n">
        <v>0</v>
      </c>
      <c r="F28" s="21" t="n">
        <v>0</v>
      </c>
      <c r="G28" s="21" t="n">
        <v>0</v>
      </c>
      <c r="H28" s="21" t="n">
        <v>0</v>
      </c>
      <c r="I28" s="21" t="n">
        <v>0</v>
      </c>
      <c r="J28" s="21" t="n">
        <v>0</v>
      </c>
      <c r="K28" s="21" t="n">
        <v>0</v>
      </c>
      <c r="L28" s="21" t="n">
        <v>0</v>
      </c>
      <c r="M28" s="21" t="n">
        <v>0</v>
      </c>
      <c r="N28" s="21" t="n">
        <v>0</v>
      </c>
      <c r="O28" s="21" t="n">
        <v>0</v>
      </c>
      <c r="P28" s="21" t="n">
        <v>0</v>
      </c>
      <c r="Q28" s="21" t="n">
        <v>0</v>
      </c>
      <c r="R28" s="21" t="n">
        <v>0</v>
      </c>
      <c r="S28" s="21" t="n">
        <v>0</v>
      </c>
      <c r="T28" s="21" t="n">
        <v>0</v>
      </c>
      <c r="U28" s="21" t="n">
        <v>0</v>
      </c>
      <c r="V28" s="21" t="n">
        <v>0</v>
      </c>
      <c r="W28" s="21" t="n">
        <v>0</v>
      </c>
      <c r="X28" s="21" t="n">
        <v>0</v>
      </c>
      <c r="Y28" s="21" t="n">
        <v>0</v>
      </c>
      <c r="Z28" s="21" t="n">
        <v>0</v>
      </c>
      <c r="AA28" s="21" t="n">
        <v>0</v>
      </c>
      <c r="AB28" s="21" t="n">
        <v>0</v>
      </c>
      <c r="AC28" s="21" t="n">
        <v>0</v>
      </c>
      <c r="AD28" s="21" t="n">
        <v>0</v>
      </c>
      <c r="AE28" s="21" t="n">
        <v>0</v>
      </c>
      <c r="AF28" s="21" t="n">
        <v>0</v>
      </c>
      <c r="AG28" s="21" t="n">
        <v>0</v>
      </c>
      <c r="AH28" s="21" t="n">
        <v>0</v>
      </c>
      <c r="AI28" s="21" t="n">
        <v>0</v>
      </c>
      <c r="AJ28" s="21" t="n">
        <v>0</v>
      </c>
      <c r="AK28" s="21" t="n">
        <v>0</v>
      </c>
      <c r="AL28" s="21" t="n">
        <v>0</v>
      </c>
      <c r="AM28" s="21" t="n">
        <v>0</v>
      </c>
      <c r="AN28" s="21" t="n">
        <v>0</v>
      </c>
      <c r="AO28" s="21" t="n">
        <v>0</v>
      </c>
      <c r="AP28" s="21" t="n">
        <v>0</v>
      </c>
      <c r="AQ28" s="21" t="n">
        <v>0</v>
      </c>
      <c r="AR28" s="21" t="n">
        <v>0</v>
      </c>
      <c r="AS28" s="21" t="n">
        <v>0</v>
      </c>
      <c r="AT28" s="21" t="n">
        <v>0</v>
      </c>
      <c r="AU28" s="21" t="n">
        <v>0</v>
      </c>
      <c r="AV28" s="21" t="n">
        <v>0</v>
      </c>
      <c r="AW28" s="21" t="n">
        <v>0</v>
      </c>
      <c r="AX28" s="21" t="n">
        <v>0</v>
      </c>
      <c r="AY28" s="21" t="n">
        <v>0</v>
      </c>
      <c r="AZ28" s="21" t="n">
        <v>0</v>
      </c>
      <c r="BA28" s="21" t="n">
        <v>0</v>
      </c>
      <c r="BB28" s="21" t="n">
        <v>0</v>
      </c>
      <c r="BC28" s="21" t="n">
        <v>0</v>
      </c>
      <c r="BD28" s="21" t="n">
        <v>0</v>
      </c>
      <c r="BE28" s="21" t="n">
        <v>0</v>
      </c>
      <c r="BF28" s="21" t="n">
        <v>0</v>
      </c>
      <c r="BG28" s="21" t="n">
        <v>0</v>
      </c>
      <c r="BH28" s="21" t="n">
        <v>0</v>
      </c>
      <c r="BI28" s="21" t="n">
        <v>0</v>
      </c>
      <c r="BJ28" s="21" t="n">
        <v>0</v>
      </c>
      <c r="BK28" s="21" t="n">
        <v>0</v>
      </c>
      <c r="BL28" s="21" t="n">
        <v>0</v>
      </c>
      <c r="BM28" s="21" t="n">
        <v>0</v>
      </c>
      <c r="BN28" s="21" t="n">
        <v>0</v>
      </c>
      <c r="BO28" s="21" t="n">
        <v>0</v>
      </c>
      <c r="BP28" s="21" t="n">
        <v>0</v>
      </c>
      <c r="BQ28" s="21" t="n">
        <v>0</v>
      </c>
      <c r="BR28" s="21" t="n">
        <v>0</v>
      </c>
      <c r="BS28" s="21" t="n">
        <v>0</v>
      </c>
      <c r="BT28" s="21" t="n">
        <v>0</v>
      </c>
      <c r="BU28" s="21" t="n">
        <v>0</v>
      </c>
      <c r="BV28" s="21" t="n">
        <v>0</v>
      </c>
      <c r="BW28" s="21" t="n">
        <v>0</v>
      </c>
      <c r="BX28" s="21" t="n">
        <v>0</v>
      </c>
      <c r="BY28" s="21" t="n">
        <v>0</v>
      </c>
      <c r="BZ28" s="21" t="n">
        <v>0</v>
      </c>
      <c r="CA28" s="21" t="n">
        <v>0</v>
      </c>
      <c r="CB28" s="21" t="n">
        <v>0</v>
      </c>
      <c r="CC28" s="21" t="n">
        <v>0</v>
      </c>
      <c r="CD28" s="21" t="n">
        <v>0</v>
      </c>
      <c r="CE28" s="21" t="n">
        <v>0</v>
      </c>
      <c r="CF28" s="21" t="n">
        <v>0</v>
      </c>
      <c r="CG28" s="21" t="n">
        <v>0</v>
      </c>
      <c r="CH28" s="21" t="n">
        <v>0</v>
      </c>
      <c r="CI28" s="21" t="n">
        <v>0</v>
      </c>
      <c r="CJ28" s="21" t="n">
        <v>0</v>
      </c>
      <c r="CK28" s="21" t="n">
        <v>0</v>
      </c>
      <c r="CL28" s="21" t="n">
        <v>0</v>
      </c>
      <c r="CM28" s="21" t="n">
        <v>0</v>
      </c>
      <c r="CN28" s="21" t="n">
        <v>0</v>
      </c>
      <c r="CO28" s="21" t="n">
        <v>0</v>
      </c>
      <c r="CP28" s="21" t="n">
        <v>0</v>
      </c>
      <c r="CQ28" s="21" t="n">
        <v>0</v>
      </c>
      <c r="CR28" s="21" t="n">
        <v>0</v>
      </c>
      <c r="CS28" s="21" t="n">
        <v>0</v>
      </c>
      <c r="CT28" s="21" t="n">
        <v>0</v>
      </c>
      <c r="CU28" s="21" t="n">
        <v>0</v>
      </c>
      <c r="CV28" s="21" t="n">
        <v>0</v>
      </c>
      <c r="CW28" s="21" t="n">
        <v>0</v>
      </c>
      <c r="CX28" s="21" t="n">
        <v>0</v>
      </c>
      <c r="CY28" s="21" t="n">
        <v>0</v>
      </c>
      <c r="CZ28" s="21" t="n">
        <v>0</v>
      </c>
      <c r="DA28" s="21" t="n">
        <v>0</v>
      </c>
    </row>
    <row r="29">
      <c r="A29" t="inlineStr">
        <is>
          <t>TSP-558</t>
        </is>
      </c>
      <c r="B29" s="21" t="n">
        <v>0</v>
      </c>
      <c r="C29" s="21" t="n">
        <v>0</v>
      </c>
      <c r="D29" s="21" t="n">
        <v>0</v>
      </c>
      <c r="E29" s="21" t="n">
        <v>0</v>
      </c>
      <c r="F29" s="21" t="n">
        <v>0</v>
      </c>
      <c r="G29" s="21" t="n">
        <v>0</v>
      </c>
      <c r="H29" s="21" t="n">
        <v>0</v>
      </c>
      <c r="I29" s="21" t="n">
        <v>0</v>
      </c>
      <c r="J29" s="21" t="n">
        <v>0</v>
      </c>
      <c r="K29" s="21" t="n">
        <v>0</v>
      </c>
      <c r="L29" s="21" t="n">
        <v>0</v>
      </c>
      <c r="M29" s="21" t="n">
        <v>0</v>
      </c>
      <c r="N29" s="21" t="n">
        <v>0</v>
      </c>
      <c r="O29" s="21" t="n">
        <v>0</v>
      </c>
      <c r="P29" s="21" t="n">
        <v>0</v>
      </c>
      <c r="Q29" s="21" t="n">
        <v>0</v>
      </c>
      <c r="R29" s="21" t="n">
        <v>0</v>
      </c>
      <c r="S29" s="21" t="n">
        <v>0</v>
      </c>
      <c r="T29" s="21" t="n">
        <v>0</v>
      </c>
      <c r="U29" s="21" t="n">
        <v>0</v>
      </c>
      <c r="V29" s="21" t="n">
        <v>0</v>
      </c>
      <c r="W29" s="21" t="n">
        <v>0</v>
      </c>
      <c r="X29" s="21" t="n">
        <v>0</v>
      </c>
      <c r="Y29" s="21" t="n">
        <v>0</v>
      </c>
      <c r="Z29" s="21" t="n">
        <v>0</v>
      </c>
      <c r="AA29" s="21" t="n">
        <v>0</v>
      </c>
      <c r="AB29" s="21" t="n">
        <v>0</v>
      </c>
      <c r="AC29" s="21" t="n">
        <v>0</v>
      </c>
      <c r="AD29" s="21" t="n">
        <v>0</v>
      </c>
      <c r="AE29" s="21" t="n">
        <v>0</v>
      </c>
      <c r="AF29" s="21" t="n">
        <v>0</v>
      </c>
      <c r="AG29" s="21" t="n">
        <v>0</v>
      </c>
      <c r="AH29" s="21" t="n">
        <v>0</v>
      </c>
      <c r="AI29" s="21" t="n">
        <v>0</v>
      </c>
      <c r="AJ29" s="21" t="n">
        <v>0</v>
      </c>
      <c r="AK29" s="21" t="n">
        <v>0</v>
      </c>
      <c r="AL29" s="21" t="n">
        <v>0</v>
      </c>
      <c r="AM29" s="21" t="n">
        <v>0</v>
      </c>
      <c r="AN29" s="21" t="n">
        <v>0</v>
      </c>
      <c r="AO29" s="21" t="n">
        <v>0</v>
      </c>
      <c r="AP29" s="21" t="n">
        <v>0</v>
      </c>
      <c r="AQ29" s="21" t="n">
        <v>0</v>
      </c>
      <c r="AR29" s="21" t="n">
        <v>0</v>
      </c>
      <c r="AS29" s="21" t="n">
        <v>0</v>
      </c>
      <c r="AT29" s="21" t="n">
        <v>0</v>
      </c>
      <c r="AU29" s="21" t="n">
        <v>0</v>
      </c>
      <c r="AV29" s="21" t="n">
        <v>0</v>
      </c>
      <c r="AW29" s="21" t="n">
        <v>0</v>
      </c>
      <c r="AX29" s="21" t="n">
        <v>0</v>
      </c>
      <c r="AY29" s="21" t="n">
        <v>0</v>
      </c>
      <c r="AZ29" s="21" t="n">
        <v>0</v>
      </c>
      <c r="BA29" s="21" t="n">
        <v>0</v>
      </c>
      <c r="BB29" s="21" t="n">
        <v>0</v>
      </c>
      <c r="BC29" s="21" t="n">
        <v>0</v>
      </c>
      <c r="BD29" s="21" t="n">
        <v>0</v>
      </c>
      <c r="BE29" s="21" t="n">
        <v>0</v>
      </c>
      <c r="BF29" s="21" t="n">
        <v>0</v>
      </c>
      <c r="BG29" s="21" t="n">
        <v>0</v>
      </c>
      <c r="BH29" s="21" t="n">
        <v>0</v>
      </c>
      <c r="BI29" s="21" t="n">
        <v>0</v>
      </c>
      <c r="BJ29" s="21" t="n">
        <v>0</v>
      </c>
      <c r="BK29" s="21" t="n">
        <v>0</v>
      </c>
      <c r="BL29" s="21" t="n">
        <v>0</v>
      </c>
      <c r="BM29" s="21" t="n">
        <v>0</v>
      </c>
      <c r="BN29" s="21" t="n">
        <v>0</v>
      </c>
      <c r="BO29" s="21" t="n">
        <v>0</v>
      </c>
      <c r="BP29" s="21" t="n">
        <v>0</v>
      </c>
      <c r="BQ29" s="21" t="n">
        <v>0</v>
      </c>
      <c r="BR29" s="21" t="n">
        <v>0</v>
      </c>
      <c r="BS29" s="21" t="n">
        <v>0</v>
      </c>
      <c r="BT29" s="21" t="n">
        <v>0</v>
      </c>
      <c r="BU29" s="21" t="n">
        <v>0</v>
      </c>
      <c r="BV29" s="21" t="n">
        <v>0</v>
      </c>
      <c r="BW29" s="21" t="n">
        <v>0</v>
      </c>
      <c r="BX29" s="21" t="n">
        <v>0</v>
      </c>
      <c r="BY29" s="21" t="n">
        <v>0</v>
      </c>
      <c r="BZ29" s="21" t="n">
        <v>0</v>
      </c>
      <c r="CA29" s="21" t="n">
        <v>0</v>
      </c>
      <c r="CB29" s="21" t="n">
        <v>0</v>
      </c>
      <c r="CC29" s="21" t="n">
        <v>0</v>
      </c>
      <c r="CD29" s="21" t="n">
        <v>0</v>
      </c>
      <c r="CE29" s="21" t="n">
        <v>0</v>
      </c>
      <c r="CF29" s="21" t="n">
        <v>0</v>
      </c>
      <c r="CG29" s="21" t="n">
        <v>0</v>
      </c>
      <c r="CH29" s="21" t="n">
        <v>0</v>
      </c>
      <c r="CI29" s="21" t="n">
        <v>0</v>
      </c>
      <c r="CJ29" s="21" t="n">
        <v>0</v>
      </c>
      <c r="CK29" s="21" t="n">
        <v>0</v>
      </c>
      <c r="CL29" s="21" t="n">
        <v>0</v>
      </c>
      <c r="CM29" s="21" t="n">
        <v>0</v>
      </c>
      <c r="CN29" s="21" t="n">
        <v>0</v>
      </c>
      <c r="CO29" s="21" t="n">
        <v>0</v>
      </c>
      <c r="CP29" s="21" t="n">
        <v>0</v>
      </c>
      <c r="CQ29" s="21" t="n">
        <v>0</v>
      </c>
      <c r="CR29" s="21" t="n">
        <v>0</v>
      </c>
      <c r="CS29" s="21" t="n">
        <v>0</v>
      </c>
      <c r="CT29" s="21" t="n">
        <v>0</v>
      </c>
      <c r="CU29" s="21" t="n">
        <v>0</v>
      </c>
      <c r="CV29" s="21" t="n">
        <v>0</v>
      </c>
      <c r="CW29" s="21" t="n">
        <v>0</v>
      </c>
      <c r="CX29" s="21" t="n">
        <v>0</v>
      </c>
      <c r="CY29" s="21" t="n">
        <v>0</v>
      </c>
      <c r="CZ29" s="21" t="n">
        <v>0</v>
      </c>
      <c r="DA29" s="21" t="n">
        <v>0</v>
      </c>
    </row>
    <row r="30">
      <c r="A30" t="inlineStr">
        <is>
          <t>TSP-618</t>
        </is>
      </c>
      <c r="B30" s="21" t="n">
        <v>0</v>
      </c>
      <c r="C30" s="21" t="n">
        <v>0</v>
      </c>
      <c r="D30" s="21" t="n">
        <v>0</v>
      </c>
      <c r="E30" s="21" t="n">
        <v>0</v>
      </c>
      <c r="F30" s="21" t="n">
        <v>0</v>
      </c>
      <c r="G30" s="21" t="n">
        <v>0</v>
      </c>
      <c r="H30" s="21" t="n">
        <v>0</v>
      </c>
      <c r="I30" s="21" t="n">
        <v>0</v>
      </c>
      <c r="J30" s="21" t="n">
        <v>0</v>
      </c>
      <c r="K30" s="21" t="n">
        <v>0</v>
      </c>
      <c r="L30" s="21" t="n">
        <v>0</v>
      </c>
      <c r="M30" s="21" t="n">
        <v>0</v>
      </c>
      <c r="N30" s="21" t="n">
        <v>0</v>
      </c>
      <c r="O30" s="21" t="n">
        <v>0</v>
      </c>
      <c r="P30" s="21" t="n">
        <v>0</v>
      </c>
      <c r="Q30" s="21" t="n">
        <v>0</v>
      </c>
      <c r="R30" s="21" t="n">
        <v>0</v>
      </c>
      <c r="S30" s="21" t="n">
        <v>0</v>
      </c>
      <c r="T30" s="21" t="n">
        <v>0</v>
      </c>
      <c r="U30" s="21" t="n">
        <v>0</v>
      </c>
      <c r="V30" s="21" t="n">
        <v>0</v>
      </c>
      <c r="W30" s="21" t="n">
        <v>0</v>
      </c>
      <c r="X30" s="21" t="n">
        <v>0</v>
      </c>
      <c r="Y30" s="21" t="n">
        <v>0</v>
      </c>
      <c r="Z30" s="21" t="n">
        <v>0</v>
      </c>
      <c r="AA30" s="21" t="n">
        <v>0</v>
      </c>
      <c r="AB30" s="21" t="n">
        <v>0</v>
      </c>
      <c r="AC30" s="21" t="n">
        <v>0</v>
      </c>
      <c r="AD30" s="21" t="n">
        <v>0</v>
      </c>
      <c r="AE30" s="21" t="n">
        <v>0</v>
      </c>
      <c r="AF30" s="21" t="n">
        <v>0</v>
      </c>
      <c r="AG30" s="21" t="n">
        <v>0</v>
      </c>
      <c r="AH30" s="21" t="n">
        <v>0</v>
      </c>
      <c r="AI30" s="21" t="n">
        <v>0</v>
      </c>
      <c r="AJ30" s="21" t="n">
        <v>0</v>
      </c>
      <c r="AK30" s="21" t="n">
        <v>0</v>
      </c>
      <c r="AL30" s="21" t="n">
        <v>0</v>
      </c>
      <c r="AM30" s="21" t="n">
        <v>0</v>
      </c>
      <c r="AN30" s="21" t="n">
        <v>0</v>
      </c>
      <c r="AO30" s="21" t="n">
        <v>0</v>
      </c>
      <c r="AP30" s="21" t="n">
        <v>0</v>
      </c>
      <c r="AQ30" s="21" t="n">
        <v>0</v>
      </c>
      <c r="AR30" s="21" t="n">
        <v>0</v>
      </c>
      <c r="AS30" s="21" t="n">
        <v>0</v>
      </c>
      <c r="AT30" s="21" t="n">
        <v>0</v>
      </c>
      <c r="AU30" s="21" t="n">
        <v>0</v>
      </c>
      <c r="AV30" s="21" t="n">
        <v>0</v>
      </c>
      <c r="AW30" s="21" t="n">
        <v>0</v>
      </c>
      <c r="AX30" s="21" t="n">
        <v>0</v>
      </c>
      <c r="AY30" s="21" t="n">
        <v>0</v>
      </c>
      <c r="AZ30" s="21" t="n">
        <v>0</v>
      </c>
      <c r="BA30" s="21" t="n">
        <v>0</v>
      </c>
      <c r="BB30" s="21" t="n">
        <v>0</v>
      </c>
      <c r="BC30" s="21" t="n">
        <v>0</v>
      </c>
      <c r="BD30" s="21" t="n">
        <v>0</v>
      </c>
      <c r="BE30" s="21" t="n">
        <v>0</v>
      </c>
      <c r="BF30" s="21" t="n">
        <v>0</v>
      </c>
      <c r="BG30" s="21" t="n">
        <v>0</v>
      </c>
      <c r="BH30" s="21" t="n">
        <v>0</v>
      </c>
      <c r="BI30" s="21" t="n">
        <v>0</v>
      </c>
      <c r="BJ30" s="21" t="n">
        <v>0</v>
      </c>
      <c r="BK30" s="21" t="n">
        <v>0</v>
      </c>
      <c r="BL30" s="21" t="n">
        <v>0</v>
      </c>
      <c r="BM30" s="21" t="n">
        <v>0</v>
      </c>
      <c r="BN30" s="21" t="n">
        <v>0</v>
      </c>
      <c r="BO30" s="21" t="n">
        <v>0</v>
      </c>
      <c r="BP30" s="21" t="n">
        <v>0</v>
      </c>
      <c r="BQ30" s="21" t="n">
        <v>0</v>
      </c>
      <c r="BR30" s="21" t="n">
        <v>0</v>
      </c>
      <c r="BS30" s="21" t="n">
        <v>0</v>
      </c>
      <c r="BT30" s="21" t="n">
        <v>0</v>
      </c>
      <c r="BU30" s="21" t="n">
        <v>0</v>
      </c>
      <c r="BV30" s="21" t="n">
        <v>0</v>
      </c>
      <c r="BW30" s="21" t="n">
        <v>0</v>
      </c>
      <c r="BX30" s="21" t="n">
        <v>0</v>
      </c>
      <c r="BY30" s="21" t="n">
        <v>0</v>
      </c>
      <c r="BZ30" s="21" t="n">
        <v>0</v>
      </c>
      <c r="CA30" s="21" t="n">
        <v>0</v>
      </c>
      <c r="CB30" s="21" t="n">
        <v>0</v>
      </c>
      <c r="CC30" s="21" t="n">
        <v>0</v>
      </c>
      <c r="CD30" s="21" t="n">
        <v>0</v>
      </c>
      <c r="CE30" s="21" t="n">
        <v>0</v>
      </c>
      <c r="CF30" s="21" t="n">
        <v>0</v>
      </c>
      <c r="CG30" s="21" t="n">
        <v>0</v>
      </c>
      <c r="CH30" s="21" t="n">
        <v>0</v>
      </c>
      <c r="CI30" s="21" t="n">
        <v>0</v>
      </c>
      <c r="CJ30" s="21" t="n">
        <v>0</v>
      </c>
      <c r="CK30" s="21" t="n">
        <v>0</v>
      </c>
      <c r="CL30" s="21" t="n">
        <v>0</v>
      </c>
      <c r="CM30" s="21" t="n">
        <v>0</v>
      </c>
      <c r="CN30" s="21" t="n">
        <v>0</v>
      </c>
      <c r="CO30" s="21" t="n">
        <v>0</v>
      </c>
      <c r="CP30" s="21" t="n">
        <v>0</v>
      </c>
      <c r="CQ30" s="21" t="n">
        <v>0</v>
      </c>
      <c r="CR30" s="21" t="n">
        <v>0</v>
      </c>
      <c r="CS30" s="21" t="n">
        <v>0</v>
      </c>
      <c r="CT30" s="21" t="n">
        <v>0</v>
      </c>
      <c r="CU30" s="21" t="n">
        <v>0</v>
      </c>
      <c r="CV30" s="21" t="n">
        <v>0</v>
      </c>
      <c r="CW30" s="21" t="n">
        <v>0</v>
      </c>
      <c r="CX30" s="21" t="n">
        <v>0</v>
      </c>
      <c r="CY30" s="21" t="n">
        <v>0</v>
      </c>
      <c r="CZ30" s="21" t="n">
        <v>0</v>
      </c>
      <c r="DA30" s="21" t="n">
        <v>0</v>
      </c>
    </row>
    <row r="31">
      <c r="A31" t="inlineStr">
        <is>
          <t>TSP-620</t>
        </is>
      </c>
      <c r="B31" s="21" t="n">
        <v>0</v>
      </c>
      <c r="C31" s="21" t="n">
        <v>0</v>
      </c>
      <c r="D31" s="21" t="n">
        <v>0</v>
      </c>
      <c r="E31" s="21" t="n">
        <v>0</v>
      </c>
      <c r="F31" s="21" t="n">
        <v>0</v>
      </c>
      <c r="G31" s="21" t="n">
        <v>0</v>
      </c>
      <c r="H31" s="21" t="n">
        <v>0</v>
      </c>
      <c r="I31" s="21" t="n">
        <v>0</v>
      </c>
      <c r="J31" s="21" t="n">
        <v>0</v>
      </c>
      <c r="K31" s="21" t="n">
        <v>0</v>
      </c>
      <c r="L31" s="21" t="n">
        <v>0</v>
      </c>
      <c r="M31" s="21" t="n">
        <v>0</v>
      </c>
      <c r="N31" s="21" t="n">
        <v>0</v>
      </c>
      <c r="O31" s="21" t="n">
        <v>0</v>
      </c>
      <c r="P31" s="21" t="n">
        <v>0</v>
      </c>
      <c r="Q31" s="21" t="n">
        <v>0</v>
      </c>
      <c r="R31" s="21" t="n">
        <v>0</v>
      </c>
      <c r="S31" s="21" t="n">
        <v>0</v>
      </c>
      <c r="T31" s="21" t="n">
        <v>0</v>
      </c>
      <c r="U31" s="21" t="n">
        <v>0</v>
      </c>
      <c r="V31" s="21" t="n">
        <v>0</v>
      </c>
      <c r="W31" s="21" t="n">
        <v>0</v>
      </c>
      <c r="X31" s="21" t="n">
        <v>0</v>
      </c>
      <c r="Y31" s="21" t="n">
        <v>0</v>
      </c>
      <c r="Z31" s="21" t="n">
        <v>0</v>
      </c>
      <c r="AA31" s="21" t="n">
        <v>0</v>
      </c>
      <c r="AB31" s="21" t="n">
        <v>0</v>
      </c>
      <c r="AC31" s="21" t="n">
        <v>0</v>
      </c>
      <c r="AD31" s="21" t="n">
        <v>0</v>
      </c>
      <c r="AE31" s="21" t="n">
        <v>0</v>
      </c>
      <c r="AF31" s="21" t="n">
        <v>0</v>
      </c>
      <c r="AG31" s="21" t="n">
        <v>0</v>
      </c>
      <c r="AH31" s="21" t="n">
        <v>0</v>
      </c>
      <c r="AI31" s="21" t="n">
        <v>0</v>
      </c>
      <c r="AJ31" s="21" t="n">
        <v>0</v>
      </c>
      <c r="AK31" s="21" t="n">
        <v>0</v>
      </c>
      <c r="AL31" s="21" t="n">
        <v>0</v>
      </c>
      <c r="AM31" s="21" t="n">
        <v>0</v>
      </c>
      <c r="AN31" s="21" t="n">
        <v>0</v>
      </c>
      <c r="AO31" s="21" t="n">
        <v>0</v>
      </c>
      <c r="AP31" s="21" t="n">
        <v>0</v>
      </c>
      <c r="AQ31" s="21" t="n">
        <v>0</v>
      </c>
      <c r="AR31" s="21" t="n">
        <v>0</v>
      </c>
      <c r="AS31" s="21" t="n">
        <v>0</v>
      </c>
      <c r="AT31" s="21" t="n">
        <v>0</v>
      </c>
      <c r="AU31" s="21" t="n">
        <v>0</v>
      </c>
      <c r="AV31" s="21" t="n">
        <v>0</v>
      </c>
      <c r="AW31" s="21" t="n">
        <v>0</v>
      </c>
      <c r="AX31" s="21" t="n">
        <v>0</v>
      </c>
      <c r="AY31" s="21" t="n">
        <v>0</v>
      </c>
      <c r="AZ31" s="21" t="n">
        <v>0</v>
      </c>
      <c r="BA31" s="21" t="n">
        <v>0</v>
      </c>
      <c r="BB31" s="21" t="n">
        <v>0</v>
      </c>
      <c r="BC31" s="21" t="n">
        <v>0</v>
      </c>
      <c r="BD31" s="21" t="n">
        <v>0</v>
      </c>
      <c r="BE31" s="21" t="n">
        <v>0</v>
      </c>
      <c r="BF31" s="21" t="n">
        <v>0</v>
      </c>
      <c r="BG31" s="21" t="n">
        <v>0</v>
      </c>
      <c r="BH31" s="21" t="n">
        <v>0</v>
      </c>
      <c r="BI31" s="21" t="n">
        <v>0</v>
      </c>
      <c r="BJ31" s="21" t="n">
        <v>0</v>
      </c>
      <c r="BK31" s="21" t="n">
        <v>0</v>
      </c>
      <c r="BL31" s="21" t="n">
        <v>0</v>
      </c>
      <c r="BM31" s="21" t="n">
        <v>0</v>
      </c>
      <c r="BN31" s="21" t="n">
        <v>0</v>
      </c>
      <c r="BO31" s="21" t="n">
        <v>0</v>
      </c>
      <c r="BP31" s="21" t="n">
        <v>0</v>
      </c>
      <c r="BQ31" s="21" t="n">
        <v>0</v>
      </c>
      <c r="BR31" s="21" t="n">
        <v>0</v>
      </c>
      <c r="BS31" s="21" t="n">
        <v>0</v>
      </c>
      <c r="BT31" s="21" t="n">
        <v>0</v>
      </c>
      <c r="BU31" s="21" t="n">
        <v>0</v>
      </c>
      <c r="BV31" s="21" t="n">
        <v>0</v>
      </c>
      <c r="BW31" s="21" t="n">
        <v>0</v>
      </c>
      <c r="BX31" s="21" t="n">
        <v>0</v>
      </c>
      <c r="BY31" s="21" t="n">
        <v>0</v>
      </c>
      <c r="BZ31" s="21" t="n">
        <v>0</v>
      </c>
      <c r="CA31" s="21" t="n">
        <v>0</v>
      </c>
      <c r="CB31" s="21" t="n">
        <v>0</v>
      </c>
      <c r="CC31" s="21" t="n">
        <v>0</v>
      </c>
      <c r="CD31" s="21" t="n">
        <v>0</v>
      </c>
      <c r="CE31" s="21" t="n">
        <v>0</v>
      </c>
      <c r="CF31" s="21" t="n">
        <v>0</v>
      </c>
      <c r="CG31" s="21" t="n">
        <v>0</v>
      </c>
      <c r="CH31" s="21" t="n">
        <v>0</v>
      </c>
      <c r="CI31" s="21" t="n">
        <v>0</v>
      </c>
      <c r="CJ31" s="21" t="n">
        <v>0</v>
      </c>
      <c r="CK31" s="21" t="n">
        <v>0</v>
      </c>
      <c r="CL31" s="21" t="n">
        <v>0</v>
      </c>
      <c r="CM31" s="21" t="n">
        <v>0</v>
      </c>
      <c r="CN31" s="21" t="n">
        <v>0</v>
      </c>
      <c r="CO31" s="21" t="n">
        <v>0</v>
      </c>
      <c r="CP31" s="21" t="n">
        <v>0</v>
      </c>
      <c r="CQ31" s="21" t="n">
        <v>0</v>
      </c>
      <c r="CR31" s="21" t="n">
        <v>0</v>
      </c>
      <c r="CS31" s="21" t="n">
        <v>0</v>
      </c>
      <c r="CT31" s="21" t="n">
        <v>0</v>
      </c>
      <c r="CU31" s="21" t="n">
        <v>0</v>
      </c>
      <c r="CV31" s="21" t="n">
        <v>0</v>
      </c>
      <c r="CW31" s="21" t="n">
        <v>0</v>
      </c>
      <c r="CX31" s="21" t="n">
        <v>0</v>
      </c>
      <c r="CY31" s="21" t="n">
        <v>0</v>
      </c>
      <c r="CZ31" s="21" t="n">
        <v>0</v>
      </c>
      <c r="DA31" s="21" t="n">
        <v>0</v>
      </c>
    </row>
    <row r="32">
      <c r="A32" t="inlineStr">
        <is>
          <t>TSP-623</t>
        </is>
      </c>
      <c r="B32" s="21" t="n">
        <v>0</v>
      </c>
      <c r="C32" s="21" t="n">
        <v>0</v>
      </c>
      <c r="D32" s="21" t="n">
        <v>0</v>
      </c>
      <c r="E32" s="21" t="n">
        <v>0</v>
      </c>
      <c r="F32" s="21" t="n">
        <v>0</v>
      </c>
      <c r="G32" s="21" t="n">
        <v>0</v>
      </c>
      <c r="H32" s="21" t="n">
        <v>0</v>
      </c>
      <c r="I32" s="21" t="n">
        <v>0</v>
      </c>
      <c r="J32" s="21" t="n">
        <v>0</v>
      </c>
      <c r="K32" s="21" t="n">
        <v>0</v>
      </c>
      <c r="L32" s="21" t="n">
        <v>0</v>
      </c>
      <c r="M32" s="21" t="n">
        <v>0</v>
      </c>
      <c r="N32" s="21" t="n">
        <v>0</v>
      </c>
      <c r="O32" s="21" t="n">
        <v>0</v>
      </c>
      <c r="P32" s="21" t="n">
        <v>0</v>
      </c>
      <c r="Q32" s="21" t="n">
        <v>0</v>
      </c>
      <c r="R32" s="21" t="n">
        <v>0</v>
      </c>
      <c r="S32" s="21" t="n">
        <v>0</v>
      </c>
      <c r="T32" s="21" t="n">
        <v>0</v>
      </c>
      <c r="U32" s="21" t="n">
        <v>0</v>
      </c>
      <c r="V32" s="21" t="n">
        <v>0</v>
      </c>
      <c r="W32" s="21" t="n">
        <v>0</v>
      </c>
      <c r="X32" s="21" t="n">
        <v>0</v>
      </c>
      <c r="Y32" s="21" t="n">
        <v>0</v>
      </c>
      <c r="Z32" s="21" t="n">
        <v>0</v>
      </c>
      <c r="AA32" s="21" t="n">
        <v>0</v>
      </c>
      <c r="AB32" s="21" t="n">
        <v>0</v>
      </c>
      <c r="AC32" s="21" t="n">
        <v>0</v>
      </c>
      <c r="AD32" s="21" t="n">
        <v>0</v>
      </c>
      <c r="AE32" s="21" t="n">
        <v>0</v>
      </c>
      <c r="AF32" s="21" t="n">
        <v>0</v>
      </c>
      <c r="AG32" s="21" t="n">
        <v>0</v>
      </c>
      <c r="AH32" s="21" t="n">
        <v>0</v>
      </c>
      <c r="AI32" s="21" t="n">
        <v>0</v>
      </c>
      <c r="AJ32" s="21" t="n">
        <v>0</v>
      </c>
      <c r="AK32" s="21" t="n">
        <v>0</v>
      </c>
      <c r="AL32" s="21" t="n">
        <v>0</v>
      </c>
      <c r="AM32" s="21" t="n">
        <v>0</v>
      </c>
      <c r="AN32" s="21" t="n">
        <v>0</v>
      </c>
      <c r="AO32" s="21" t="n">
        <v>0</v>
      </c>
      <c r="AP32" s="21" t="n">
        <v>0</v>
      </c>
      <c r="AQ32" s="21" t="n">
        <v>0</v>
      </c>
      <c r="AR32" s="21" t="n">
        <v>0</v>
      </c>
      <c r="AS32" s="21" t="n">
        <v>0</v>
      </c>
      <c r="AT32" s="21" t="n">
        <v>0</v>
      </c>
      <c r="AU32" s="21" t="n">
        <v>0</v>
      </c>
      <c r="AV32" s="21" t="n">
        <v>0</v>
      </c>
      <c r="AW32" s="21" t="n">
        <v>0</v>
      </c>
      <c r="AX32" s="21" t="n">
        <v>0</v>
      </c>
      <c r="AY32" s="21" t="n">
        <v>0</v>
      </c>
      <c r="AZ32" s="21" t="n">
        <v>0</v>
      </c>
      <c r="BA32" s="21" t="n">
        <v>0</v>
      </c>
      <c r="BB32" s="21" t="n">
        <v>0</v>
      </c>
      <c r="BC32" s="21" t="n">
        <v>0</v>
      </c>
      <c r="BD32" s="21" t="n">
        <v>0</v>
      </c>
      <c r="BE32" s="21" t="n">
        <v>0</v>
      </c>
      <c r="BF32" s="21" t="n">
        <v>0</v>
      </c>
      <c r="BG32" s="21" t="n">
        <v>0</v>
      </c>
      <c r="BH32" s="21" t="n">
        <v>0</v>
      </c>
      <c r="BI32" s="21" t="n">
        <v>0</v>
      </c>
      <c r="BJ32" s="21" t="n">
        <v>0</v>
      </c>
      <c r="BK32" s="21" t="n">
        <v>0</v>
      </c>
      <c r="BL32" s="21" t="n">
        <v>0</v>
      </c>
      <c r="BM32" s="21" t="n">
        <v>0</v>
      </c>
      <c r="BN32" s="21" t="n">
        <v>0</v>
      </c>
      <c r="BO32" s="21" t="n">
        <v>0</v>
      </c>
      <c r="BP32" s="21" t="n">
        <v>0</v>
      </c>
      <c r="BQ32" s="21" t="n">
        <v>0</v>
      </c>
      <c r="BR32" s="21" t="n">
        <v>0</v>
      </c>
      <c r="BS32" s="21" t="n">
        <v>0</v>
      </c>
      <c r="BT32" s="21" t="n">
        <v>0</v>
      </c>
      <c r="BU32" s="21" t="n">
        <v>0</v>
      </c>
      <c r="BV32" s="21" t="n">
        <v>0</v>
      </c>
      <c r="BW32" s="21" t="n">
        <v>0</v>
      </c>
      <c r="BX32" s="21" t="n">
        <v>0</v>
      </c>
      <c r="BY32" s="21" t="n">
        <v>0</v>
      </c>
      <c r="BZ32" s="21" t="n">
        <v>0</v>
      </c>
      <c r="CA32" s="21" t="n">
        <v>0</v>
      </c>
      <c r="CB32" s="21" t="n">
        <v>0</v>
      </c>
      <c r="CC32" s="21" t="n">
        <v>0</v>
      </c>
      <c r="CD32" s="21" t="n">
        <v>0</v>
      </c>
      <c r="CE32" s="21" t="n">
        <v>0</v>
      </c>
      <c r="CF32" s="21" t="n">
        <v>0</v>
      </c>
      <c r="CG32" s="21" t="n">
        <v>0</v>
      </c>
      <c r="CH32" s="21" t="n">
        <v>0</v>
      </c>
      <c r="CI32" s="21" t="n">
        <v>0</v>
      </c>
      <c r="CJ32" s="21" t="n">
        <v>0</v>
      </c>
      <c r="CK32" s="21" t="n">
        <v>0</v>
      </c>
      <c r="CL32" s="21" t="n">
        <v>0</v>
      </c>
      <c r="CM32" s="21" t="n">
        <v>0</v>
      </c>
      <c r="CN32" s="21" t="n">
        <v>0</v>
      </c>
      <c r="CO32" s="21" t="n">
        <v>0</v>
      </c>
      <c r="CP32" s="21" t="n">
        <v>0</v>
      </c>
      <c r="CQ32" s="21" t="n">
        <v>0</v>
      </c>
      <c r="CR32" s="21" t="n">
        <v>0</v>
      </c>
      <c r="CS32" s="21" t="n">
        <v>0</v>
      </c>
      <c r="CT32" s="21" t="n">
        <v>0</v>
      </c>
      <c r="CU32" s="21" t="n">
        <v>0</v>
      </c>
      <c r="CV32" s="21" t="n">
        <v>0</v>
      </c>
      <c r="CW32" s="21" t="n">
        <v>0</v>
      </c>
      <c r="CX32" s="21" t="n">
        <v>0</v>
      </c>
      <c r="CY32" s="21" t="n">
        <v>0</v>
      </c>
      <c r="CZ32" s="21" t="n">
        <v>0</v>
      </c>
      <c r="DA32" s="21" t="n">
        <v>0</v>
      </c>
    </row>
    <row r="33">
      <c r="A33" t="inlineStr">
        <is>
          <t>TSP-655</t>
        </is>
      </c>
      <c r="B33" s="21" t="n">
        <v>0</v>
      </c>
      <c r="C33" s="21" t="n">
        <v>0</v>
      </c>
      <c r="D33" s="21" t="n">
        <v>0</v>
      </c>
      <c r="E33" s="21" t="n">
        <v>0</v>
      </c>
      <c r="F33" s="21" t="n">
        <v>0</v>
      </c>
      <c r="G33" s="21" t="n">
        <v>0</v>
      </c>
      <c r="H33" s="21" t="n">
        <v>0</v>
      </c>
      <c r="I33" s="21" t="n">
        <v>0</v>
      </c>
      <c r="J33" s="21" t="n">
        <v>0</v>
      </c>
      <c r="K33" s="21" t="n">
        <v>0</v>
      </c>
      <c r="L33" s="21" t="n">
        <v>0</v>
      </c>
      <c r="M33" s="21" t="n">
        <v>0</v>
      </c>
      <c r="N33" s="21" t="n">
        <v>0</v>
      </c>
      <c r="O33" s="21" t="n">
        <v>0</v>
      </c>
      <c r="P33" s="21" t="n">
        <v>0</v>
      </c>
      <c r="Q33" s="21" t="n">
        <v>0</v>
      </c>
      <c r="R33" s="21" t="n">
        <v>0</v>
      </c>
      <c r="S33" s="21" t="n">
        <v>0</v>
      </c>
      <c r="T33" s="21" t="n">
        <v>0</v>
      </c>
      <c r="U33" s="21" t="n">
        <v>0</v>
      </c>
      <c r="V33" s="21" t="n">
        <v>0</v>
      </c>
      <c r="W33" s="21" t="n">
        <v>0</v>
      </c>
      <c r="X33" s="21" t="n">
        <v>0</v>
      </c>
      <c r="Y33" s="21" t="n">
        <v>10.0125317527519</v>
      </c>
      <c r="Z33" s="21" t="n">
        <v>0</v>
      </c>
      <c r="AA33" s="21" t="n">
        <v>5.006265876375952</v>
      </c>
      <c r="AB33" s="21" t="n">
        <v>3.754699407281964</v>
      </c>
      <c r="AC33" s="21" t="n">
        <v>5.006265876375952</v>
      </c>
      <c r="AD33" s="21" t="n">
        <v>3.754699407281964</v>
      </c>
      <c r="AE33" s="21" t="n">
        <v>5.006265876375952</v>
      </c>
      <c r="AF33" s="21" t="n">
        <v>3.754699407281964</v>
      </c>
      <c r="AG33" s="21" t="n">
        <v>3.754699407281964</v>
      </c>
      <c r="AH33" s="21" t="n">
        <v>0</v>
      </c>
      <c r="AI33" s="21" t="n">
        <v>3.754699407281964</v>
      </c>
      <c r="AJ33" s="21" t="n">
        <v>0</v>
      </c>
      <c r="AK33" s="21" t="n">
        <v>5.006265876375952</v>
      </c>
      <c r="AL33" s="21" t="n">
        <v>0</v>
      </c>
      <c r="AM33" s="21" t="n">
        <v>5.006265876375952</v>
      </c>
      <c r="AN33" s="21" t="n">
        <v>0</v>
      </c>
      <c r="AO33" s="21" t="n">
        <v>0</v>
      </c>
      <c r="AP33" s="21" t="n">
        <v>5.006265876375952</v>
      </c>
      <c r="AQ33" s="21" t="n">
        <v>0</v>
      </c>
      <c r="AR33" s="21" t="n">
        <v>5.006265876375952</v>
      </c>
      <c r="AS33" s="21" t="n">
        <v>0</v>
      </c>
      <c r="AT33" s="21" t="n">
        <v>5.006265876375952</v>
      </c>
      <c r="AU33" s="21" t="n">
        <v>5.006265876375952</v>
      </c>
      <c r="AV33" s="21" t="n">
        <v>5.006265876375952</v>
      </c>
      <c r="AW33" s="21" t="n">
        <v>5.006265876375952</v>
      </c>
      <c r="AX33" s="21" t="n">
        <v>5.006265876375952</v>
      </c>
      <c r="AY33" s="21" t="n">
        <v>0</v>
      </c>
      <c r="AZ33" s="21" t="n">
        <v>0</v>
      </c>
      <c r="BA33" s="21" t="n">
        <v>0</v>
      </c>
      <c r="BB33" s="21" t="n">
        <v>0</v>
      </c>
      <c r="BC33" s="21" t="n">
        <v>0</v>
      </c>
      <c r="BD33" s="21" t="n">
        <v>5.006265876375952</v>
      </c>
      <c r="BE33" s="21" t="n">
        <v>0</v>
      </c>
      <c r="BF33" s="21" t="n">
        <v>5.006265876375952</v>
      </c>
      <c r="BG33" s="21" t="n">
        <v>0</v>
      </c>
      <c r="BH33" s="21" t="n">
        <v>5.006265876375952</v>
      </c>
      <c r="BI33" s="21" t="n">
        <v>0</v>
      </c>
      <c r="BJ33" s="21" t="n">
        <v>0</v>
      </c>
      <c r="BK33" s="21" t="n">
        <v>5.006265876375952</v>
      </c>
      <c r="BL33" s="21" t="n">
        <v>0</v>
      </c>
      <c r="BM33" s="21" t="n">
        <v>0</v>
      </c>
      <c r="BN33" s="21" t="n">
        <v>2.503132938187976</v>
      </c>
      <c r="BO33" s="21" t="n">
        <v>0</v>
      </c>
      <c r="BP33" s="21" t="n">
        <v>0</v>
      </c>
      <c r="BQ33" s="21" t="n">
        <v>1.251566469093988</v>
      </c>
      <c r="BR33" s="21" t="n">
        <v>0</v>
      </c>
      <c r="BS33" s="21" t="n">
        <v>0</v>
      </c>
      <c r="BT33" s="21" t="n">
        <v>0</v>
      </c>
      <c r="BU33" s="21" t="n">
        <v>0</v>
      </c>
      <c r="BV33" s="21" t="n">
        <v>0</v>
      </c>
      <c r="BW33" s="21" t="n">
        <v>0</v>
      </c>
      <c r="BX33" s="21" t="n">
        <v>0</v>
      </c>
      <c r="BY33" s="21" t="n">
        <v>0</v>
      </c>
      <c r="BZ33" s="21" t="n">
        <v>0</v>
      </c>
      <c r="CA33" s="21" t="n">
        <v>0</v>
      </c>
      <c r="CB33" s="21" t="n">
        <v>0</v>
      </c>
      <c r="CC33" s="21" t="n">
        <v>0</v>
      </c>
      <c r="CD33" s="21" t="n">
        <v>0</v>
      </c>
      <c r="CE33" s="21" t="n">
        <v>0</v>
      </c>
      <c r="CF33" s="21" t="n">
        <v>0</v>
      </c>
      <c r="CG33" s="21" t="n">
        <v>0</v>
      </c>
      <c r="CH33" s="21" t="n">
        <v>0</v>
      </c>
      <c r="CI33" s="21" t="n">
        <v>0</v>
      </c>
      <c r="CJ33" s="21" t="n">
        <v>0</v>
      </c>
      <c r="CK33" s="21" t="n">
        <v>0</v>
      </c>
      <c r="CL33" s="21" t="n">
        <v>0</v>
      </c>
      <c r="CM33" s="21" t="n">
        <v>0</v>
      </c>
      <c r="CN33" s="21" t="n">
        <v>0</v>
      </c>
      <c r="CO33" s="21" t="n">
        <v>0</v>
      </c>
      <c r="CP33" s="21" t="n">
        <v>0</v>
      </c>
      <c r="CQ33" s="21" t="n">
        <v>0</v>
      </c>
      <c r="CR33" s="21" t="n">
        <v>0</v>
      </c>
      <c r="CS33" s="21" t="n">
        <v>0</v>
      </c>
      <c r="CT33" s="21" t="n">
        <v>0</v>
      </c>
      <c r="CU33" s="21" t="n">
        <v>0</v>
      </c>
      <c r="CV33" s="21" t="n">
        <v>0</v>
      </c>
      <c r="CW33" s="21" t="n">
        <v>0</v>
      </c>
      <c r="CX33" s="21" t="n">
        <v>0</v>
      </c>
      <c r="CY33" s="21" t="n">
        <v>0</v>
      </c>
      <c r="CZ33" s="21" t="n">
        <v>0</v>
      </c>
      <c r="DA33" s="21" t="n">
        <v>0</v>
      </c>
    </row>
    <row r="34">
      <c r="A34" t="inlineStr">
        <is>
          <t>TSP-656</t>
        </is>
      </c>
      <c r="B34" s="21" t="n">
        <v>0</v>
      </c>
      <c r="C34" s="21" t="n">
        <v>0</v>
      </c>
      <c r="D34" s="21" t="n">
        <v>0</v>
      </c>
      <c r="E34" s="21" t="n">
        <v>0</v>
      </c>
      <c r="F34" s="21" t="n">
        <v>0</v>
      </c>
      <c r="G34" s="21" t="n">
        <v>0</v>
      </c>
      <c r="H34" s="21" t="n">
        <v>0</v>
      </c>
      <c r="I34" s="21" t="n">
        <v>0</v>
      </c>
      <c r="J34" s="21" t="n">
        <v>0</v>
      </c>
      <c r="K34" s="21" t="n">
        <v>0</v>
      </c>
      <c r="L34" s="21" t="n">
        <v>0</v>
      </c>
      <c r="M34" s="21" t="n">
        <v>0</v>
      </c>
      <c r="N34" s="21" t="n">
        <v>0</v>
      </c>
      <c r="O34" s="21" t="n">
        <v>0</v>
      </c>
      <c r="P34" s="21" t="n">
        <v>0</v>
      </c>
      <c r="Q34" s="21" t="n">
        <v>0</v>
      </c>
      <c r="R34" s="21" t="n">
        <v>0</v>
      </c>
      <c r="S34" s="21" t="n">
        <v>0</v>
      </c>
      <c r="T34" s="21" t="n">
        <v>0</v>
      </c>
      <c r="U34" s="21" t="n">
        <v>0</v>
      </c>
      <c r="V34" s="21" t="n">
        <v>0</v>
      </c>
      <c r="W34" s="21" t="n">
        <v>0</v>
      </c>
      <c r="X34" s="21" t="n">
        <v>0</v>
      </c>
      <c r="Y34" s="21" t="n">
        <v>5.38754903782059</v>
      </c>
      <c r="Z34" s="21" t="n">
        <v>0</v>
      </c>
      <c r="AA34" s="21" t="n">
        <v>2.693774518910295</v>
      </c>
      <c r="AB34" s="21" t="n">
        <v>2.020330889182722</v>
      </c>
      <c r="AC34" s="21" t="n">
        <v>2.693774518910295</v>
      </c>
      <c r="AD34" s="21" t="n">
        <v>2.020330889182722</v>
      </c>
      <c r="AE34" s="21" t="n">
        <v>2.693774518910295</v>
      </c>
      <c r="AF34" s="21" t="n">
        <v>2.020330889182722</v>
      </c>
      <c r="AG34" s="21" t="n">
        <v>2.020330889182722</v>
      </c>
      <c r="AH34" s="21" t="n">
        <v>0</v>
      </c>
      <c r="AI34" s="21" t="n">
        <v>2.020330889182722</v>
      </c>
      <c r="AJ34" s="21" t="n">
        <v>0</v>
      </c>
      <c r="AK34" s="21" t="n">
        <v>2.693774518910295</v>
      </c>
      <c r="AL34" s="21" t="n">
        <v>0</v>
      </c>
      <c r="AM34" s="21" t="n">
        <v>2.693774518910295</v>
      </c>
      <c r="AN34" s="21" t="n">
        <v>0</v>
      </c>
      <c r="AO34" s="21" t="n">
        <v>0</v>
      </c>
      <c r="AP34" s="21" t="n">
        <v>2.693774518910295</v>
      </c>
      <c r="AQ34" s="21" t="n">
        <v>0</v>
      </c>
      <c r="AR34" s="21" t="n">
        <v>2.693774518910295</v>
      </c>
      <c r="AS34" s="21" t="n">
        <v>0</v>
      </c>
      <c r="AT34" s="21" t="n">
        <v>2.693774518910295</v>
      </c>
      <c r="AU34" s="21" t="n">
        <v>2.693774518910295</v>
      </c>
      <c r="AV34" s="21" t="n">
        <v>2.693774518910295</v>
      </c>
      <c r="AW34" s="21" t="n">
        <v>2.693774518910295</v>
      </c>
      <c r="AX34" s="21" t="n">
        <v>2.693774518910295</v>
      </c>
      <c r="AY34" s="21" t="n">
        <v>0</v>
      </c>
      <c r="AZ34" s="21" t="n">
        <v>0</v>
      </c>
      <c r="BA34" s="21" t="n">
        <v>0</v>
      </c>
      <c r="BB34" s="21" t="n">
        <v>0</v>
      </c>
      <c r="BC34" s="21" t="n">
        <v>0</v>
      </c>
      <c r="BD34" s="21" t="n">
        <v>2.693774518910295</v>
      </c>
      <c r="BE34" s="21" t="n">
        <v>0</v>
      </c>
      <c r="BF34" s="21" t="n">
        <v>2.693774518910295</v>
      </c>
      <c r="BG34" s="21" t="n">
        <v>0</v>
      </c>
      <c r="BH34" s="21" t="n">
        <v>2.693774518910295</v>
      </c>
      <c r="BI34" s="21" t="n">
        <v>0</v>
      </c>
      <c r="BJ34" s="21" t="n">
        <v>0</v>
      </c>
      <c r="BK34" s="21" t="n">
        <v>2.693774518910295</v>
      </c>
      <c r="BL34" s="21" t="n">
        <v>0</v>
      </c>
      <c r="BM34" s="21" t="n">
        <v>0</v>
      </c>
      <c r="BN34" s="21" t="n">
        <v>1.346887259455148</v>
      </c>
      <c r="BO34" s="21" t="n">
        <v>0</v>
      </c>
      <c r="BP34" s="21" t="n">
        <v>0</v>
      </c>
      <c r="BQ34" s="21" t="n">
        <v>0.6734436297275738</v>
      </c>
      <c r="BR34" s="21" t="n">
        <v>0</v>
      </c>
      <c r="BS34" s="21" t="n">
        <v>0</v>
      </c>
      <c r="BT34" s="21" t="n">
        <v>0</v>
      </c>
      <c r="BU34" s="21" t="n">
        <v>0</v>
      </c>
      <c r="BV34" s="21" t="n">
        <v>0</v>
      </c>
      <c r="BW34" s="21" t="n">
        <v>0</v>
      </c>
      <c r="BX34" s="21" t="n">
        <v>0</v>
      </c>
      <c r="BY34" s="21" t="n">
        <v>0</v>
      </c>
      <c r="BZ34" s="21" t="n">
        <v>0</v>
      </c>
      <c r="CA34" s="21" t="n">
        <v>0</v>
      </c>
      <c r="CB34" s="21" t="n">
        <v>0</v>
      </c>
      <c r="CC34" s="21" t="n">
        <v>0</v>
      </c>
      <c r="CD34" s="21" t="n">
        <v>0</v>
      </c>
      <c r="CE34" s="21" t="n">
        <v>0</v>
      </c>
      <c r="CF34" s="21" t="n">
        <v>0</v>
      </c>
      <c r="CG34" s="21" t="n">
        <v>0</v>
      </c>
      <c r="CH34" s="21" t="n">
        <v>0</v>
      </c>
      <c r="CI34" s="21" t="n">
        <v>0</v>
      </c>
      <c r="CJ34" s="21" t="n">
        <v>0</v>
      </c>
      <c r="CK34" s="21" t="n">
        <v>0</v>
      </c>
      <c r="CL34" s="21" t="n">
        <v>0</v>
      </c>
      <c r="CM34" s="21" t="n">
        <v>0</v>
      </c>
      <c r="CN34" s="21" t="n">
        <v>0</v>
      </c>
      <c r="CO34" s="21" t="n">
        <v>0</v>
      </c>
      <c r="CP34" s="21" t="n">
        <v>0</v>
      </c>
      <c r="CQ34" s="21" t="n">
        <v>0</v>
      </c>
      <c r="CR34" s="21" t="n">
        <v>0</v>
      </c>
      <c r="CS34" s="21" t="n">
        <v>0</v>
      </c>
      <c r="CT34" s="21" t="n">
        <v>0</v>
      </c>
      <c r="CU34" s="21" t="n">
        <v>0</v>
      </c>
      <c r="CV34" s="21" t="n">
        <v>0</v>
      </c>
      <c r="CW34" s="21" t="n">
        <v>0</v>
      </c>
      <c r="CX34" s="21" t="n">
        <v>0</v>
      </c>
      <c r="CY34" s="21" t="n">
        <v>0</v>
      </c>
      <c r="CZ34" s="21" t="n">
        <v>0</v>
      </c>
      <c r="DA34" s="21" t="n">
        <v>0</v>
      </c>
    </row>
    <row r="35">
      <c r="A35" t="inlineStr">
        <is>
          <t>TSP-668</t>
        </is>
      </c>
      <c r="B35" s="21" t="n">
        <v>0</v>
      </c>
      <c r="C35" s="21" t="n">
        <v>0</v>
      </c>
      <c r="D35" s="21" t="n">
        <v>0</v>
      </c>
      <c r="E35" s="21" t="n">
        <v>0</v>
      </c>
      <c r="F35" s="21" t="n">
        <v>0</v>
      </c>
      <c r="G35" s="21" t="n">
        <v>0</v>
      </c>
      <c r="H35" s="21" t="n">
        <v>0</v>
      </c>
      <c r="I35" s="21" t="n">
        <v>0</v>
      </c>
      <c r="J35" s="21" t="n">
        <v>0</v>
      </c>
      <c r="K35" s="21" t="n">
        <v>0</v>
      </c>
      <c r="L35" s="21" t="n">
        <v>0</v>
      </c>
      <c r="M35" s="21" t="n">
        <v>0</v>
      </c>
      <c r="N35" s="21" t="n">
        <v>0</v>
      </c>
      <c r="O35" s="21" t="n">
        <v>0</v>
      </c>
      <c r="P35" s="21" t="n">
        <v>0</v>
      </c>
      <c r="Q35" s="21" t="n">
        <v>0</v>
      </c>
      <c r="R35" s="21" t="n">
        <v>0</v>
      </c>
      <c r="S35" s="21" t="n">
        <v>0</v>
      </c>
      <c r="T35" s="21" t="n">
        <v>0</v>
      </c>
      <c r="U35" s="21" t="n">
        <v>0</v>
      </c>
      <c r="V35" s="21" t="n">
        <v>0</v>
      </c>
      <c r="W35" s="21" t="n">
        <v>0</v>
      </c>
      <c r="X35" s="21" t="n">
        <v>0</v>
      </c>
      <c r="Y35" s="21" t="n">
        <v>0</v>
      </c>
      <c r="Z35" s="21" t="n">
        <v>0</v>
      </c>
      <c r="AA35" s="21" t="n">
        <v>0</v>
      </c>
      <c r="AB35" s="21" t="n">
        <v>0</v>
      </c>
      <c r="AC35" s="21" t="n">
        <v>0</v>
      </c>
      <c r="AD35" s="21" t="n">
        <v>0</v>
      </c>
      <c r="AE35" s="21" t="n">
        <v>0</v>
      </c>
      <c r="AF35" s="21" t="n">
        <v>0</v>
      </c>
      <c r="AG35" s="21" t="n">
        <v>0</v>
      </c>
      <c r="AH35" s="21" t="n">
        <v>0</v>
      </c>
      <c r="AI35" s="21" t="n">
        <v>0</v>
      </c>
      <c r="AJ35" s="21" t="n">
        <v>0</v>
      </c>
      <c r="AK35" s="21" t="n">
        <v>0</v>
      </c>
      <c r="AL35" s="21" t="n">
        <v>0</v>
      </c>
      <c r="AM35" s="21" t="n">
        <v>0</v>
      </c>
      <c r="AN35" s="21" t="n">
        <v>0</v>
      </c>
      <c r="AO35" s="21" t="n">
        <v>0</v>
      </c>
      <c r="AP35" s="21" t="n">
        <v>0</v>
      </c>
      <c r="AQ35" s="21" t="n">
        <v>0</v>
      </c>
      <c r="AR35" s="21" t="n">
        <v>0</v>
      </c>
      <c r="AS35" s="21" t="n">
        <v>0</v>
      </c>
      <c r="AT35" s="21" t="n">
        <v>0</v>
      </c>
      <c r="AU35" s="21" t="n">
        <v>0</v>
      </c>
      <c r="AV35" s="21" t="n">
        <v>0</v>
      </c>
      <c r="AW35" s="21" t="n">
        <v>0</v>
      </c>
      <c r="AX35" s="21" t="n">
        <v>0</v>
      </c>
      <c r="AY35" s="21" t="n">
        <v>0</v>
      </c>
      <c r="AZ35" s="21" t="n">
        <v>0</v>
      </c>
      <c r="BA35" s="21" t="n">
        <v>0</v>
      </c>
      <c r="BB35" s="21" t="n">
        <v>0</v>
      </c>
      <c r="BC35" s="21" t="n">
        <v>0</v>
      </c>
      <c r="BD35" s="21" t="n">
        <v>0</v>
      </c>
      <c r="BE35" s="21" t="n">
        <v>0</v>
      </c>
      <c r="BF35" s="21" t="n">
        <v>0</v>
      </c>
      <c r="BG35" s="21" t="n">
        <v>0</v>
      </c>
      <c r="BH35" s="21" t="n">
        <v>0</v>
      </c>
      <c r="BI35" s="21" t="n">
        <v>0</v>
      </c>
      <c r="BJ35" s="21" t="n">
        <v>0</v>
      </c>
      <c r="BK35" s="21" t="n">
        <v>0</v>
      </c>
      <c r="BL35" s="21" t="n">
        <v>0</v>
      </c>
      <c r="BM35" s="21" t="n">
        <v>0</v>
      </c>
      <c r="BN35" s="21" t="n">
        <v>0</v>
      </c>
      <c r="BO35" s="21" t="n">
        <v>0</v>
      </c>
      <c r="BP35" s="21" t="n">
        <v>0</v>
      </c>
      <c r="BQ35" s="21" t="n">
        <v>0</v>
      </c>
      <c r="BR35" s="21" t="n">
        <v>0</v>
      </c>
      <c r="BS35" s="21" t="n">
        <v>0</v>
      </c>
      <c r="BT35" s="21" t="n">
        <v>0</v>
      </c>
      <c r="BU35" s="21" t="n">
        <v>0</v>
      </c>
      <c r="BV35" s="21" t="n">
        <v>0</v>
      </c>
      <c r="BW35" s="21" t="n">
        <v>0</v>
      </c>
      <c r="BX35" s="21" t="n">
        <v>0</v>
      </c>
      <c r="BY35" s="21" t="n">
        <v>0</v>
      </c>
      <c r="BZ35" s="21" t="n">
        <v>0</v>
      </c>
      <c r="CA35" s="21" t="n">
        <v>0</v>
      </c>
      <c r="CB35" s="21" t="n">
        <v>0</v>
      </c>
      <c r="CC35" s="21" t="n">
        <v>0</v>
      </c>
      <c r="CD35" s="21" t="n">
        <v>0</v>
      </c>
      <c r="CE35" s="21" t="n">
        <v>0</v>
      </c>
      <c r="CF35" s="21" t="n">
        <v>0</v>
      </c>
      <c r="CG35" s="21" t="n">
        <v>0</v>
      </c>
      <c r="CH35" s="21" t="n">
        <v>0</v>
      </c>
      <c r="CI35" s="21" t="n">
        <v>0</v>
      </c>
      <c r="CJ35" s="21" t="n">
        <v>0</v>
      </c>
      <c r="CK35" s="21" t="n">
        <v>0</v>
      </c>
      <c r="CL35" s="21" t="n">
        <v>0</v>
      </c>
      <c r="CM35" s="21" t="n">
        <v>0</v>
      </c>
      <c r="CN35" s="21" t="n">
        <v>0</v>
      </c>
      <c r="CO35" s="21" t="n">
        <v>0</v>
      </c>
      <c r="CP35" s="21" t="n">
        <v>0</v>
      </c>
      <c r="CQ35" s="21" t="n">
        <v>0</v>
      </c>
      <c r="CR35" s="21" t="n">
        <v>0</v>
      </c>
      <c r="CS35" s="21" t="n">
        <v>0</v>
      </c>
      <c r="CT35" s="21" t="n">
        <v>0</v>
      </c>
      <c r="CU35" s="21" t="n">
        <v>0</v>
      </c>
      <c r="CV35" s="21" t="n">
        <v>0</v>
      </c>
      <c r="CW35" s="21" t="n">
        <v>0</v>
      </c>
      <c r="CX35" s="21" t="n">
        <v>0</v>
      </c>
      <c r="CY35" s="21" t="n">
        <v>0</v>
      </c>
      <c r="CZ35" s="21" t="n">
        <v>0</v>
      </c>
      <c r="DA35" s="21" t="n">
        <v>0</v>
      </c>
    </row>
    <row r="36">
      <c r="A36" t="inlineStr">
        <is>
          <t>TSP-669</t>
        </is>
      </c>
      <c r="B36" s="21" t="n">
        <v>0</v>
      </c>
      <c r="C36" s="21" t="n">
        <v>0</v>
      </c>
      <c r="D36" s="21" t="n">
        <v>0</v>
      </c>
      <c r="E36" s="21" t="n">
        <v>0</v>
      </c>
      <c r="F36" s="21" t="n">
        <v>0</v>
      </c>
      <c r="G36" s="21" t="n">
        <v>0</v>
      </c>
      <c r="H36" s="21" t="n">
        <v>0</v>
      </c>
      <c r="I36" s="21" t="n">
        <v>0</v>
      </c>
      <c r="J36" s="21" t="n">
        <v>0</v>
      </c>
      <c r="K36" s="21" t="n">
        <v>0</v>
      </c>
      <c r="L36" s="21" t="n">
        <v>0</v>
      </c>
      <c r="M36" s="21" t="n">
        <v>0</v>
      </c>
      <c r="N36" s="21" t="n">
        <v>0</v>
      </c>
      <c r="O36" s="21" t="n">
        <v>0</v>
      </c>
      <c r="P36" s="21" t="n">
        <v>0</v>
      </c>
      <c r="Q36" s="21" t="n">
        <v>0</v>
      </c>
      <c r="R36" s="21" t="n">
        <v>0</v>
      </c>
      <c r="S36" s="21" t="n">
        <v>0</v>
      </c>
      <c r="T36" s="21" t="n">
        <v>0</v>
      </c>
      <c r="U36" s="21" t="n">
        <v>0</v>
      </c>
      <c r="V36" s="21" t="n">
        <v>0</v>
      </c>
      <c r="W36" s="21" t="n">
        <v>0</v>
      </c>
      <c r="X36" s="21" t="n">
        <v>0</v>
      </c>
      <c r="Y36" s="21" t="n">
        <v>0</v>
      </c>
      <c r="Z36" s="21" t="n">
        <v>0</v>
      </c>
      <c r="AA36" s="21" t="n">
        <v>0</v>
      </c>
      <c r="AB36" s="21" t="n">
        <v>0</v>
      </c>
      <c r="AC36" s="21" t="n">
        <v>0</v>
      </c>
      <c r="AD36" s="21" t="n">
        <v>0</v>
      </c>
      <c r="AE36" s="21" t="n">
        <v>0</v>
      </c>
      <c r="AF36" s="21" t="n">
        <v>0</v>
      </c>
      <c r="AG36" s="21" t="n">
        <v>0</v>
      </c>
      <c r="AH36" s="21" t="n">
        <v>0</v>
      </c>
      <c r="AI36" s="21" t="n">
        <v>0</v>
      </c>
      <c r="AJ36" s="21" t="n">
        <v>0</v>
      </c>
      <c r="AK36" s="21" t="n">
        <v>0</v>
      </c>
      <c r="AL36" s="21" t="n">
        <v>0</v>
      </c>
      <c r="AM36" s="21" t="n">
        <v>0</v>
      </c>
      <c r="AN36" s="21" t="n">
        <v>0</v>
      </c>
      <c r="AO36" s="21" t="n">
        <v>0</v>
      </c>
      <c r="AP36" s="21" t="n">
        <v>0</v>
      </c>
      <c r="AQ36" s="21" t="n">
        <v>0</v>
      </c>
      <c r="AR36" s="21" t="n">
        <v>0</v>
      </c>
      <c r="AS36" s="21" t="n">
        <v>0</v>
      </c>
      <c r="AT36" s="21" t="n">
        <v>0</v>
      </c>
      <c r="AU36" s="21" t="n">
        <v>0</v>
      </c>
      <c r="AV36" s="21" t="n">
        <v>0</v>
      </c>
      <c r="AW36" s="21" t="n">
        <v>0</v>
      </c>
      <c r="AX36" s="21" t="n">
        <v>0</v>
      </c>
      <c r="AY36" s="21" t="n">
        <v>0</v>
      </c>
      <c r="AZ36" s="21" t="n">
        <v>0</v>
      </c>
      <c r="BA36" s="21" t="n">
        <v>0</v>
      </c>
      <c r="BB36" s="21" t="n">
        <v>0</v>
      </c>
      <c r="BC36" s="21" t="n">
        <v>0</v>
      </c>
      <c r="BD36" s="21" t="n">
        <v>0</v>
      </c>
      <c r="BE36" s="21" t="n">
        <v>0</v>
      </c>
      <c r="BF36" s="21" t="n">
        <v>0</v>
      </c>
      <c r="BG36" s="21" t="n">
        <v>0</v>
      </c>
      <c r="BH36" s="21" t="n">
        <v>0</v>
      </c>
      <c r="BI36" s="21" t="n">
        <v>0</v>
      </c>
      <c r="BJ36" s="21" t="n">
        <v>0</v>
      </c>
      <c r="BK36" s="21" t="n">
        <v>0</v>
      </c>
      <c r="BL36" s="21" t="n">
        <v>0</v>
      </c>
      <c r="BM36" s="21" t="n">
        <v>0</v>
      </c>
      <c r="BN36" s="21" t="n">
        <v>0</v>
      </c>
      <c r="BO36" s="21" t="n">
        <v>0</v>
      </c>
      <c r="BP36" s="21" t="n">
        <v>0</v>
      </c>
      <c r="BQ36" s="21" t="n">
        <v>0</v>
      </c>
      <c r="BR36" s="21" t="n">
        <v>0</v>
      </c>
      <c r="BS36" s="21" t="n">
        <v>0</v>
      </c>
      <c r="BT36" s="21" t="n">
        <v>0</v>
      </c>
      <c r="BU36" s="21" t="n">
        <v>0</v>
      </c>
      <c r="BV36" s="21" t="n">
        <v>0</v>
      </c>
      <c r="BW36" s="21" t="n">
        <v>0</v>
      </c>
      <c r="BX36" s="21" t="n">
        <v>0</v>
      </c>
      <c r="BY36" s="21" t="n">
        <v>0</v>
      </c>
      <c r="BZ36" s="21" t="n">
        <v>0</v>
      </c>
      <c r="CA36" s="21" t="n">
        <v>0</v>
      </c>
      <c r="CB36" s="21" t="n">
        <v>0</v>
      </c>
      <c r="CC36" s="21" t="n">
        <v>0</v>
      </c>
      <c r="CD36" s="21" t="n">
        <v>0</v>
      </c>
      <c r="CE36" s="21" t="n">
        <v>0</v>
      </c>
      <c r="CF36" s="21" t="n">
        <v>0</v>
      </c>
      <c r="CG36" s="21" t="n">
        <v>0</v>
      </c>
      <c r="CH36" s="21" t="n">
        <v>0</v>
      </c>
      <c r="CI36" s="21" t="n">
        <v>0</v>
      </c>
      <c r="CJ36" s="21" t="n">
        <v>0</v>
      </c>
      <c r="CK36" s="21" t="n">
        <v>0</v>
      </c>
      <c r="CL36" s="21" t="n">
        <v>0</v>
      </c>
      <c r="CM36" s="21" t="n">
        <v>0</v>
      </c>
      <c r="CN36" s="21" t="n">
        <v>0</v>
      </c>
      <c r="CO36" s="21" t="n">
        <v>0</v>
      </c>
      <c r="CP36" s="21" t="n">
        <v>0</v>
      </c>
      <c r="CQ36" s="21" t="n">
        <v>0</v>
      </c>
      <c r="CR36" s="21" t="n">
        <v>0</v>
      </c>
      <c r="CS36" s="21" t="n">
        <v>0</v>
      </c>
      <c r="CT36" s="21" t="n">
        <v>0</v>
      </c>
      <c r="CU36" s="21" t="n">
        <v>0</v>
      </c>
      <c r="CV36" s="21" t="n">
        <v>0</v>
      </c>
      <c r="CW36" s="21" t="n">
        <v>0</v>
      </c>
      <c r="CX36" s="21" t="n">
        <v>0</v>
      </c>
      <c r="CY36" s="21" t="n">
        <v>0</v>
      </c>
      <c r="CZ36" s="21" t="n">
        <v>0</v>
      </c>
      <c r="DA36" s="21" t="n">
        <v>0</v>
      </c>
    </row>
    <row r="37">
      <c r="A37" t="inlineStr">
        <is>
          <t>TSP-670</t>
        </is>
      </c>
      <c r="B37" s="21" t="n">
        <v>0</v>
      </c>
      <c r="C37" s="21" t="n">
        <v>0</v>
      </c>
      <c r="D37" s="21" t="n">
        <v>0</v>
      </c>
      <c r="E37" s="21" t="n">
        <v>0</v>
      </c>
      <c r="F37" s="21" t="n">
        <v>0</v>
      </c>
      <c r="G37" s="21" t="n">
        <v>0</v>
      </c>
      <c r="H37" s="21" t="n">
        <v>0</v>
      </c>
      <c r="I37" s="21" t="n">
        <v>0</v>
      </c>
      <c r="J37" s="21" t="n">
        <v>0</v>
      </c>
      <c r="K37" s="21" t="n">
        <v>0</v>
      </c>
      <c r="L37" s="21" t="n">
        <v>0</v>
      </c>
      <c r="M37" s="21" t="n">
        <v>0</v>
      </c>
      <c r="N37" s="21" t="n">
        <v>0</v>
      </c>
      <c r="O37" s="21" t="n">
        <v>0</v>
      </c>
      <c r="P37" s="21" t="n">
        <v>0</v>
      </c>
      <c r="Q37" s="21" t="n">
        <v>0</v>
      </c>
      <c r="R37" s="21" t="n">
        <v>0</v>
      </c>
      <c r="S37" s="21" t="n">
        <v>0</v>
      </c>
      <c r="T37" s="21" t="n">
        <v>0</v>
      </c>
      <c r="U37" s="21" t="n">
        <v>0</v>
      </c>
      <c r="V37" s="21" t="n">
        <v>0</v>
      </c>
      <c r="W37" s="21" t="n">
        <v>0</v>
      </c>
      <c r="X37" s="21" t="n">
        <v>0</v>
      </c>
      <c r="Y37" s="21" t="n">
        <v>0</v>
      </c>
      <c r="Z37" s="21" t="n">
        <v>0</v>
      </c>
      <c r="AA37" s="21" t="n">
        <v>0</v>
      </c>
      <c r="AB37" s="21" t="n">
        <v>0</v>
      </c>
      <c r="AC37" s="21" t="n">
        <v>0</v>
      </c>
      <c r="AD37" s="21" t="n">
        <v>0</v>
      </c>
      <c r="AE37" s="21" t="n">
        <v>0</v>
      </c>
      <c r="AF37" s="21" t="n">
        <v>0</v>
      </c>
      <c r="AG37" s="21" t="n">
        <v>0</v>
      </c>
      <c r="AH37" s="21" t="n">
        <v>0</v>
      </c>
      <c r="AI37" s="21" t="n">
        <v>0</v>
      </c>
      <c r="AJ37" s="21" t="n">
        <v>0</v>
      </c>
      <c r="AK37" s="21" t="n">
        <v>0</v>
      </c>
      <c r="AL37" s="21" t="n">
        <v>0</v>
      </c>
      <c r="AM37" s="21" t="n">
        <v>0</v>
      </c>
      <c r="AN37" s="21" t="n">
        <v>0</v>
      </c>
      <c r="AO37" s="21" t="n">
        <v>0</v>
      </c>
      <c r="AP37" s="21" t="n">
        <v>0</v>
      </c>
      <c r="AQ37" s="21" t="n">
        <v>0</v>
      </c>
      <c r="AR37" s="21" t="n">
        <v>0</v>
      </c>
      <c r="AS37" s="21" t="n">
        <v>0</v>
      </c>
      <c r="AT37" s="21" t="n">
        <v>0</v>
      </c>
      <c r="AU37" s="21" t="n">
        <v>0</v>
      </c>
      <c r="AV37" s="21" t="n">
        <v>0</v>
      </c>
      <c r="AW37" s="21" t="n">
        <v>0</v>
      </c>
      <c r="AX37" s="21" t="n">
        <v>0</v>
      </c>
      <c r="AY37" s="21" t="n">
        <v>0</v>
      </c>
      <c r="AZ37" s="21" t="n">
        <v>0</v>
      </c>
      <c r="BA37" s="21" t="n">
        <v>0</v>
      </c>
      <c r="BB37" s="21" t="n">
        <v>0</v>
      </c>
      <c r="BC37" s="21" t="n">
        <v>0</v>
      </c>
      <c r="BD37" s="21" t="n">
        <v>0</v>
      </c>
      <c r="BE37" s="21" t="n">
        <v>0</v>
      </c>
      <c r="BF37" s="21" t="n">
        <v>0</v>
      </c>
      <c r="BG37" s="21" t="n">
        <v>0</v>
      </c>
      <c r="BH37" s="21" t="n">
        <v>0</v>
      </c>
      <c r="BI37" s="21" t="n">
        <v>0</v>
      </c>
      <c r="BJ37" s="21" t="n">
        <v>0</v>
      </c>
      <c r="BK37" s="21" t="n">
        <v>0</v>
      </c>
      <c r="BL37" s="21" t="n">
        <v>0</v>
      </c>
      <c r="BM37" s="21" t="n">
        <v>0</v>
      </c>
      <c r="BN37" s="21" t="n">
        <v>0</v>
      </c>
      <c r="BO37" s="21" t="n">
        <v>0</v>
      </c>
      <c r="BP37" s="21" t="n">
        <v>0</v>
      </c>
      <c r="BQ37" s="21" t="n">
        <v>0</v>
      </c>
      <c r="BR37" s="21" t="n">
        <v>0</v>
      </c>
      <c r="BS37" s="21" t="n">
        <v>0</v>
      </c>
      <c r="BT37" s="21" t="n">
        <v>0</v>
      </c>
      <c r="BU37" s="21" t="n">
        <v>0</v>
      </c>
      <c r="BV37" s="21" t="n">
        <v>0</v>
      </c>
      <c r="BW37" s="21" t="n">
        <v>0</v>
      </c>
      <c r="BX37" s="21" t="n">
        <v>0</v>
      </c>
      <c r="BY37" s="21" t="n">
        <v>0</v>
      </c>
      <c r="BZ37" s="21" t="n">
        <v>0</v>
      </c>
      <c r="CA37" s="21" t="n">
        <v>0</v>
      </c>
      <c r="CB37" s="21" t="n">
        <v>0</v>
      </c>
      <c r="CC37" s="21" t="n">
        <v>0</v>
      </c>
      <c r="CD37" s="21" t="n">
        <v>0</v>
      </c>
      <c r="CE37" s="21" t="n">
        <v>0</v>
      </c>
      <c r="CF37" s="21" t="n">
        <v>0</v>
      </c>
      <c r="CG37" s="21" t="n">
        <v>0</v>
      </c>
      <c r="CH37" s="21" t="n">
        <v>0</v>
      </c>
      <c r="CI37" s="21" t="n">
        <v>0</v>
      </c>
      <c r="CJ37" s="21" t="n">
        <v>0</v>
      </c>
      <c r="CK37" s="21" t="n">
        <v>0</v>
      </c>
      <c r="CL37" s="21" t="n">
        <v>0</v>
      </c>
      <c r="CM37" s="21" t="n">
        <v>0</v>
      </c>
      <c r="CN37" s="21" t="n">
        <v>0</v>
      </c>
      <c r="CO37" s="21" t="n">
        <v>0</v>
      </c>
      <c r="CP37" s="21" t="n">
        <v>0</v>
      </c>
      <c r="CQ37" s="21" t="n">
        <v>0</v>
      </c>
      <c r="CR37" s="21" t="n">
        <v>0</v>
      </c>
      <c r="CS37" s="21" t="n">
        <v>0</v>
      </c>
      <c r="CT37" s="21" t="n">
        <v>0</v>
      </c>
      <c r="CU37" s="21" t="n">
        <v>0</v>
      </c>
      <c r="CV37" s="21" t="n">
        <v>0</v>
      </c>
      <c r="CW37" s="21" t="n">
        <v>0</v>
      </c>
      <c r="CX37" s="21" t="n">
        <v>0</v>
      </c>
      <c r="CY37" s="21" t="n">
        <v>0</v>
      </c>
      <c r="CZ37" s="21" t="n">
        <v>0</v>
      </c>
      <c r="DA37" s="21" t="n">
        <v>0</v>
      </c>
    </row>
    <row r="38">
      <c r="A38" t="inlineStr">
        <is>
          <t>TSP-710</t>
        </is>
      </c>
      <c r="B38" s="21" t="n">
        <v>0</v>
      </c>
      <c r="C38" s="21" t="n">
        <v>0</v>
      </c>
      <c r="D38" s="21" t="n">
        <v>0</v>
      </c>
      <c r="E38" s="21" t="n">
        <v>0</v>
      </c>
      <c r="F38" s="21" t="n">
        <v>0</v>
      </c>
      <c r="G38" s="21" t="n">
        <v>0</v>
      </c>
      <c r="H38" s="21" t="n">
        <v>0</v>
      </c>
      <c r="I38" s="21" t="n">
        <v>0</v>
      </c>
      <c r="J38" s="21" t="n">
        <v>0</v>
      </c>
      <c r="K38" s="21" t="n">
        <v>0</v>
      </c>
      <c r="L38" s="21" t="n">
        <v>0</v>
      </c>
      <c r="M38" s="21" t="n">
        <v>0</v>
      </c>
      <c r="N38" s="21" t="n">
        <v>0</v>
      </c>
      <c r="O38" s="21" t="n">
        <v>0</v>
      </c>
      <c r="P38" s="21" t="n">
        <v>0</v>
      </c>
      <c r="Q38" s="21" t="n">
        <v>0</v>
      </c>
      <c r="R38" s="21" t="n">
        <v>0</v>
      </c>
      <c r="S38" s="21" t="n">
        <v>0</v>
      </c>
      <c r="T38" s="21" t="n">
        <v>0</v>
      </c>
      <c r="U38" s="21" t="n">
        <v>0</v>
      </c>
      <c r="V38" s="21" t="n">
        <v>0</v>
      </c>
      <c r="W38" s="21" t="n">
        <v>0</v>
      </c>
      <c r="X38" s="21" t="n">
        <v>0</v>
      </c>
      <c r="Y38" s="21" t="n">
        <v>0</v>
      </c>
      <c r="Z38" s="21" t="n">
        <v>0</v>
      </c>
      <c r="AA38" s="21" t="n">
        <v>0</v>
      </c>
      <c r="AB38" s="21" t="n">
        <v>0</v>
      </c>
      <c r="AC38" s="21" t="n">
        <v>0</v>
      </c>
      <c r="AD38" s="21" t="n">
        <v>0</v>
      </c>
      <c r="AE38" s="21" t="n">
        <v>0</v>
      </c>
      <c r="AF38" s="21" t="n">
        <v>0</v>
      </c>
      <c r="AG38" s="21" t="n">
        <v>0</v>
      </c>
      <c r="AH38" s="21" t="n">
        <v>0</v>
      </c>
      <c r="AI38" s="21" t="n">
        <v>0</v>
      </c>
      <c r="AJ38" s="21" t="n">
        <v>0</v>
      </c>
      <c r="AK38" s="21" t="n">
        <v>0</v>
      </c>
      <c r="AL38" s="21" t="n">
        <v>0</v>
      </c>
      <c r="AM38" s="21" t="n">
        <v>0</v>
      </c>
      <c r="AN38" s="21" t="n">
        <v>0</v>
      </c>
      <c r="AO38" s="21" t="n">
        <v>0</v>
      </c>
      <c r="AP38" s="21" t="n">
        <v>0</v>
      </c>
      <c r="AQ38" s="21" t="n">
        <v>0</v>
      </c>
      <c r="AR38" s="21" t="n">
        <v>0</v>
      </c>
      <c r="AS38" s="21" t="n">
        <v>0</v>
      </c>
      <c r="AT38" s="21" t="n">
        <v>0</v>
      </c>
      <c r="AU38" s="21" t="n">
        <v>0</v>
      </c>
      <c r="AV38" s="21" t="n">
        <v>0</v>
      </c>
      <c r="AW38" s="21" t="n">
        <v>0</v>
      </c>
      <c r="AX38" s="21" t="n">
        <v>0</v>
      </c>
      <c r="AY38" s="21" t="n">
        <v>0</v>
      </c>
      <c r="AZ38" s="21" t="n">
        <v>0</v>
      </c>
      <c r="BA38" s="21" t="n">
        <v>0</v>
      </c>
      <c r="BB38" s="21" t="n">
        <v>0</v>
      </c>
      <c r="BC38" s="21" t="n">
        <v>0</v>
      </c>
      <c r="BD38" s="21" t="n">
        <v>0</v>
      </c>
      <c r="BE38" s="21" t="n">
        <v>0</v>
      </c>
      <c r="BF38" s="21" t="n">
        <v>0</v>
      </c>
      <c r="BG38" s="21" t="n">
        <v>0</v>
      </c>
      <c r="BH38" s="21" t="n">
        <v>0</v>
      </c>
      <c r="BI38" s="21" t="n">
        <v>0</v>
      </c>
      <c r="BJ38" s="21" t="n">
        <v>0</v>
      </c>
      <c r="BK38" s="21" t="n">
        <v>0</v>
      </c>
      <c r="BL38" s="21" t="n">
        <v>0</v>
      </c>
      <c r="BM38" s="21" t="n">
        <v>0</v>
      </c>
      <c r="BN38" s="21" t="n">
        <v>0</v>
      </c>
      <c r="BO38" s="21" t="n">
        <v>0</v>
      </c>
      <c r="BP38" s="21" t="n">
        <v>0</v>
      </c>
      <c r="BQ38" s="21" t="n">
        <v>0</v>
      </c>
      <c r="BR38" s="21" t="n">
        <v>0</v>
      </c>
      <c r="BS38" s="21" t="n">
        <v>0</v>
      </c>
      <c r="BT38" s="21" t="n">
        <v>0</v>
      </c>
      <c r="BU38" s="21" t="n">
        <v>0</v>
      </c>
      <c r="BV38" s="21" t="n">
        <v>0</v>
      </c>
      <c r="BW38" s="21" t="n">
        <v>0</v>
      </c>
      <c r="BX38" s="21" t="n">
        <v>0</v>
      </c>
      <c r="BY38" s="21" t="n">
        <v>0</v>
      </c>
      <c r="BZ38" s="21" t="n">
        <v>0</v>
      </c>
      <c r="CA38" s="21" t="n">
        <v>0</v>
      </c>
      <c r="CB38" s="21" t="n">
        <v>0</v>
      </c>
      <c r="CC38" s="21" t="n">
        <v>0</v>
      </c>
      <c r="CD38" s="21" t="n">
        <v>0</v>
      </c>
      <c r="CE38" s="21" t="n">
        <v>0</v>
      </c>
      <c r="CF38" s="21" t="n">
        <v>0</v>
      </c>
      <c r="CG38" s="21" t="n">
        <v>0</v>
      </c>
      <c r="CH38" s="21" t="n">
        <v>0</v>
      </c>
      <c r="CI38" s="21" t="n">
        <v>0</v>
      </c>
      <c r="CJ38" s="21" t="n">
        <v>0</v>
      </c>
      <c r="CK38" s="21" t="n">
        <v>0</v>
      </c>
      <c r="CL38" s="21" t="n">
        <v>0</v>
      </c>
      <c r="CM38" s="21" t="n">
        <v>0</v>
      </c>
      <c r="CN38" s="21" t="n">
        <v>0</v>
      </c>
      <c r="CO38" s="21" t="n">
        <v>0</v>
      </c>
      <c r="CP38" s="21" t="n">
        <v>0</v>
      </c>
      <c r="CQ38" s="21" t="n">
        <v>0</v>
      </c>
      <c r="CR38" s="21" t="n">
        <v>0</v>
      </c>
      <c r="CS38" s="21" t="n">
        <v>0</v>
      </c>
      <c r="CT38" s="21" t="n">
        <v>0</v>
      </c>
      <c r="CU38" s="21" t="n">
        <v>0</v>
      </c>
      <c r="CV38" s="21" t="n">
        <v>0</v>
      </c>
      <c r="CW38" s="21" t="n">
        <v>0</v>
      </c>
      <c r="CX38" s="21" t="n">
        <v>0</v>
      </c>
      <c r="CY38" s="21" t="n">
        <v>0</v>
      </c>
      <c r="CZ38" s="21" t="n">
        <v>0</v>
      </c>
      <c r="DA38" s="21" t="n">
        <v>0</v>
      </c>
    </row>
    <row r="39">
      <c r="A39" t="inlineStr">
        <is>
          <t>TSP-828</t>
        </is>
      </c>
      <c r="B39" s="21" t="n">
        <v>0</v>
      </c>
      <c r="C39" s="21" t="n">
        <v>0</v>
      </c>
      <c r="D39" s="21" t="n">
        <v>0</v>
      </c>
      <c r="E39" s="21" t="n">
        <v>0</v>
      </c>
      <c r="F39" s="21" t="n">
        <v>0</v>
      </c>
      <c r="G39" s="21" t="n">
        <v>0</v>
      </c>
      <c r="H39" s="21" t="n">
        <v>0</v>
      </c>
      <c r="I39" s="21" t="n">
        <v>0</v>
      </c>
      <c r="J39" s="21" t="n">
        <v>0</v>
      </c>
      <c r="K39" s="21" t="n">
        <v>0</v>
      </c>
      <c r="L39" s="21" t="n">
        <v>0</v>
      </c>
      <c r="M39" s="21" t="n">
        <v>0</v>
      </c>
      <c r="N39" s="21" t="n">
        <v>0</v>
      </c>
      <c r="O39" s="21" t="n">
        <v>0</v>
      </c>
      <c r="P39" s="21" t="n">
        <v>0</v>
      </c>
      <c r="Q39" s="21" t="n">
        <v>0</v>
      </c>
      <c r="R39" s="21" t="n">
        <v>0</v>
      </c>
      <c r="S39" s="21" t="n">
        <v>0</v>
      </c>
      <c r="T39" s="21" t="n">
        <v>0</v>
      </c>
      <c r="U39" s="21" t="n">
        <v>0</v>
      </c>
      <c r="V39" s="21" t="n">
        <v>0</v>
      </c>
      <c r="W39" s="21" t="n">
        <v>0</v>
      </c>
      <c r="X39" s="21" t="n">
        <v>0</v>
      </c>
      <c r="Y39" s="21" t="n">
        <v>0</v>
      </c>
      <c r="Z39" s="21" t="n">
        <v>0</v>
      </c>
      <c r="AA39" s="21" t="n">
        <v>0</v>
      </c>
      <c r="AB39" s="21" t="n">
        <v>0</v>
      </c>
      <c r="AC39" s="21" t="n">
        <v>0</v>
      </c>
      <c r="AD39" s="21" t="n">
        <v>0</v>
      </c>
      <c r="AE39" s="21" t="n">
        <v>0</v>
      </c>
      <c r="AF39" s="21" t="n">
        <v>0</v>
      </c>
      <c r="AG39" s="21" t="n">
        <v>0</v>
      </c>
      <c r="AH39" s="21" t="n">
        <v>0</v>
      </c>
      <c r="AI39" s="21" t="n">
        <v>0</v>
      </c>
      <c r="AJ39" s="21" t="n">
        <v>0</v>
      </c>
      <c r="AK39" s="21" t="n">
        <v>0</v>
      </c>
      <c r="AL39" s="21" t="n">
        <v>0</v>
      </c>
      <c r="AM39" s="21" t="n">
        <v>0</v>
      </c>
      <c r="AN39" s="21" t="n">
        <v>0</v>
      </c>
      <c r="AO39" s="21" t="n">
        <v>0</v>
      </c>
      <c r="AP39" s="21" t="n">
        <v>0</v>
      </c>
      <c r="AQ39" s="21" t="n">
        <v>0</v>
      </c>
      <c r="AR39" s="21" t="n">
        <v>0</v>
      </c>
      <c r="AS39" s="21" t="n">
        <v>0</v>
      </c>
      <c r="AT39" s="21" t="n">
        <v>0</v>
      </c>
      <c r="AU39" s="21" t="n">
        <v>0</v>
      </c>
      <c r="AV39" s="21" t="n">
        <v>0</v>
      </c>
      <c r="AW39" s="21" t="n">
        <v>0</v>
      </c>
      <c r="AX39" s="21" t="n">
        <v>0</v>
      </c>
      <c r="AY39" s="21" t="n">
        <v>0</v>
      </c>
      <c r="AZ39" s="21" t="n">
        <v>0</v>
      </c>
      <c r="BA39" s="21" t="n">
        <v>0</v>
      </c>
      <c r="BB39" s="21" t="n">
        <v>0</v>
      </c>
      <c r="BC39" s="21" t="n">
        <v>0</v>
      </c>
      <c r="BD39" s="21" t="n">
        <v>0</v>
      </c>
      <c r="BE39" s="21" t="n">
        <v>0</v>
      </c>
      <c r="BF39" s="21" t="n">
        <v>0</v>
      </c>
      <c r="BG39" s="21" t="n">
        <v>0</v>
      </c>
      <c r="BH39" s="21" t="n">
        <v>0</v>
      </c>
      <c r="BI39" s="21" t="n">
        <v>0</v>
      </c>
      <c r="BJ39" s="21" t="n">
        <v>0</v>
      </c>
      <c r="BK39" s="21" t="n">
        <v>0</v>
      </c>
      <c r="BL39" s="21" t="n">
        <v>0</v>
      </c>
      <c r="BM39" s="21" t="n">
        <v>0</v>
      </c>
      <c r="BN39" s="21" t="n">
        <v>0</v>
      </c>
      <c r="BO39" s="21" t="n">
        <v>0</v>
      </c>
      <c r="BP39" s="21" t="n">
        <v>0</v>
      </c>
      <c r="BQ39" s="21" t="n">
        <v>0</v>
      </c>
      <c r="BR39" s="21" t="n">
        <v>0</v>
      </c>
      <c r="BS39" s="21" t="n">
        <v>0</v>
      </c>
      <c r="BT39" s="21" t="n">
        <v>0</v>
      </c>
      <c r="BU39" s="21" t="n">
        <v>0</v>
      </c>
      <c r="BV39" s="21" t="n">
        <v>0</v>
      </c>
      <c r="BW39" s="21" t="n">
        <v>0</v>
      </c>
      <c r="BX39" s="21" t="n">
        <v>0</v>
      </c>
      <c r="BY39" s="21" t="n">
        <v>0</v>
      </c>
      <c r="BZ39" s="21" t="n">
        <v>0</v>
      </c>
      <c r="CA39" s="21" t="n">
        <v>0</v>
      </c>
      <c r="CB39" s="21" t="n">
        <v>0</v>
      </c>
      <c r="CC39" s="21" t="n">
        <v>0</v>
      </c>
      <c r="CD39" s="21" t="n">
        <v>0</v>
      </c>
      <c r="CE39" s="21" t="n">
        <v>0</v>
      </c>
      <c r="CF39" s="21" t="n">
        <v>0</v>
      </c>
      <c r="CG39" s="21" t="n">
        <v>0</v>
      </c>
      <c r="CH39" s="21" t="n">
        <v>0</v>
      </c>
      <c r="CI39" s="21" t="n">
        <v>0</v>
      </c>
      <c r="CJ39" s="21" t="n">
        <v>0</v>
      </c>
      <c r="CK39" s="21" t="n">
        <v>0</v>
      </c>
      <c r="CL39" s="21" t="n">
        <v>0</v>
      </c>
      <c r="CM39" s="21" t="n">
        <v>0</v>
      </c>
      <c r="CN39" s="21" t="n">
        <v>0</v>
      </c>
      <c r="CO39" s="21" t="n">
        <v>0</v>
      </c>
      <c r="CP39" s="21" t="n">
        <v>0</v>
      </c>
      <c r="CQ39" s="21" t="n">
        <v>0</v>
      </c>
      <c r="CR39" s="21" t="n">
        <v>0</v>
      </c>
      <c r="CS39" s="21" t="n">
        <v>0</v>
      </c>
      <c r="CT39" s="21" t="n">
        <v>0</v>
      </c>
      <c r="CU39" s="21" t="n">
        <v>0</v>
      </c>
      <c r="CV39" s="21" t="n">
        <v>0</v>
      </c>
      <c r="CW39" s="21" t="n">
        <v>0</v>
      </c>
      <c r="CX39" s="21" t="n">
        <v>0</v>
      </c>
      <c r="CY39" s="21" t="n">
        <v>0</v>
      </c>
      <c r="CZ39" s="21" t="n">
        <v>0</v>
      </c>
      <c r="DA39" s="21" t="n">
        <v>0</v>
      </c>
    </row>
    <row r="40">
      <c r="A40" t="inlineStr">
        <is>
          <t>TSP-903</t>
        </is>
      </c>
      <c r="B40" s="21" t="n">
        <v>0</v>
      </c>
      <c r="C40" s="21" t="n">
        <v>0</v>
      </c>
      <c r="D40" s="21" t="n">
        <v>0</v>
      </c>
      <c r="E40" s="21" t="n">
        <v>0</v>
      </c>
      <c r="F40" s="21" t="n">
        <v>0</v>
      </c>
      <c r="G40" s="21" t="n">
        <v>0</v>
      </c>
      <c r="H40" s="21" t="n">
        <v>0</v>
      </c>
      <c r="I40" s="21" t="n">
        <v>0</v>
      </c>
      <c r="J40" s="21" t="n">
        <v>0</v>
      </c>
      <c r="K40" s="21" t="n">
        <v>0</v>
      </c>
      <c r="L40" s="21" t="n">
        <v>0</v>
      </c>
      <c r="M40" s="21" t="n">
        <v>0</v>
      </c>
      <c r="N40" s="21" t="n">
        <v>0</v>
      </c>
      <c r="O40" s="21" t="n">
        <v>0</v>
      </c>
      <c r="P40" s="21" t="n">
        <v>0</v>
      </c>
      <c r="Q40" s="21" t="n">
        <v>0</v>
      </c>
      <c r="R40" s="21" t="n">
        <v>0</v>
      </c>
      <c r="S40" s="21" t="n">
        <v>0</v>
      </c>
      <c r="T40" s="21" t="n">
        <v>0</v>
      </c>
      <c r="U40" s="21" t="n">
        <v>0</v>
      </c>
      <c r="V40" s="21" t="n">
        <v>0</v>
      </c>
      <c r="W40" s="21" t="n">
        <v>0</v>
      </c>
      <c r="X40" s="21" t="n">
        <v>0</v>
      </c>
      <c r="Y40" s="21" t="n">
        <v>0</v>
      </c>
      <c r="Z40" s="21" t="n">
        <v>0</v>
      </c>
      <c r="AA40" s="21" t="n">
        <v>0</v>
      </c>
      <c r="AB40" s="21" t="n">
        <v>0</v>
      </c>
      <c r="AC40" s="21" t="n">
        <v>0</v>
      </c>
      <c r="AD40" s="21" t="n">
        <v>0</v>
      </c>
      <c r="AE40" s="21" t="n">
        <v>0</v>
      </c>
      <c r="AF40" s="21" t="n">
        <v>0</v>
      </c>
      <c r="AG40" s="21" t="n">
        <v>0</v>
      </c>
      <c r="AH40" s="21" t="n">
        <v>0</v>
      </c>
      <c r="AI40" s="21" t="n">
        <v>0</v>
      </c>
      <c r="AJ40" s="21" t="n">
        <v>0</v>
      </c>
      <c r="AK40" s="21" t="n">
        <v>0</v>
      </c>
      <c r="AL40" s="21" t="n">
        <v>0</v>
      </c>
      <c r="AM40" s="21" t="n">
        <v>0</v>
      </c>
      <c r="AN40" s="21" t="n">
        <v>0</v>
      </c>
      <c r="AO40" s="21" t="n">
        <v>0</v>
      </c>
      <c r="AP40" s="21" t="n">
        <v>0</v>
      </c>
      <c r="AQ40" s="21" t="n">
        <v>0</v>
      </c>
      <c r="AR40" s="21" t="n">
        <v>0</v>
      </c>
      <c r="AS40" s="21" t="n">
        <v>0</v>
      </c>
      <c r="AT40" s="21" t="n">
        <v>0</v>
      </c>
      <c r="AU40" s="21" t="n">
        <v>0</v>
      </c>
      <c r="AV40" s="21" t="n">
        <v>0</v>
      </c>
      <c r="AW40" s="21" t="n">
        <v>0</v>
      </c>
      <c r="AX40" s="21" t="n">
        <v>0</v>
      </c>
      <c r="AY40" s="21" t="n">
        <v>0</v>
      </c>
      <c r="AZ40" s="21" t="n">
        <v>0</v>
      </c>
      <c r="BA40" s="21" t="n">
        <v>0</v>
      </c>
      <c r="BB40" s="21" t="n">
        <v>0</v>
      </c>
      <c r="BC40" s="21" t="n">
        <v>0</v>
      </c>
      <c r="BD40" s="21" t="n">
        <v>0</v>
      </c>
      <c r="BE40" s="21" t="n">
        <v>0</v>
      </c>
      <c r="BF40" s="21" t="n">
        <v>0</v>
      </c>
      <c r="BG40" s="21" t="n">
        <v>0</v>
      </c>
      <c r="BH40" s="21" t="n">
        <v>0</v>
      </c>
      <c r="BI40" s="21" t="n">
        <v>0</v>
      </c>
      <c r="BJ40" s="21" t="n">
        <v>0</v>
      </c>
      <c r="BK40" s="21" t="n">
        <v>0</v>
      </c>
      <c r="BL40" s="21" t="n">
        <v>0</v>
      </c>
      <c r="BM40" s="21" t="n">
        <v>0</v>
      </c>
      <c r="BN40" s="21" t="n">
        <v>0</v>
      </c>
      <c r="BO40" s="21" t="n">
        <v>0</v>
      </c>
      <c r="BP40" s="21" t="n">
        <v>0</v>
      </c>
      <c r="BQ40" s="21" t="n">
        <v>0</v>
      </c>
      <c r="BR40" s="21" t="n">
        <v>0</v>
      </c>
      <c r="BS40" s="21" t="n">
        <v>0</v>
      </c>
      <c r="BT40" s="21" t="n">
        <v>0</v>
      </c>
      <c r="BU40" s="21" t="n">
        <v>0</v>
      </c>
      <c r="BV40" s="21" t="n">
        <v>0</v>
      </c>
      <c r="BW40" s="21" t="n">
        <v>0</v>
      </c>
      <c r="BX40" s="21" t="n">
        <v>0</v>
      </c>
      <c r="BY40" s="21" t="n">
        <v>0</v>
      </c>
      <c r="BZ40" s="21" t="n">
        <v>0</v>
      </c>
      <c r="CA40" s="21" t="n">
        <v>0</v>
      </c>
      <c r="CB40" s="21" t="n">
        <v>0</v>
      </c>
      <c r="CC40" s="21" t="n">
        <v>0</v>
      </c>
      <c r="CD40" s="21" t="n">
        <v>0</v>
      </c>
      <c r="CE40" s="21" t="n">
        <v>0</v>
      </c>
      <c r="CF40" s="21" t="n">
        <v>0</v>
      </c>
      <c r="CG40" s="21" t="n">
        <v>0</v>
      </c>
      <c r="CH40" s="21" t="n">
        <v>0</v>
      </c>
      <c r="CI40" s="21" t="n">
        <v>0</v>
      </c>
      <c r="CJ40" s="21" t="n">
        <v>0</v>
      </c>
      <c r="CK40" s="21" t="n">
        <v>0</v>
      </c>
      <c r="CL40" s="21" t="n">
        <v>0</v>
      </c>
      <c r="CM40" s="21" t="n">
        <v>0</v>
      </c>
      <c r="CN40" s="21" t="n">
        <v>0</v>
      </c>
      <c r="CO40" s="21" t="n">
        <v>0</v>
      </c>
      <c r="CP40" s="21" t="n">
        <v>0</v>
      </c>
      <c r="CQ40" s="21" t="n">
        <v>0</v>
      </c>
      <c r="CR40" s="21" t="n">
        <v>0</v>
      </c>
      <c r="CS40" s="21" t="n">
        <v>0</v>
      </c>
      <c r="CT40" s="21" t="n">
        <v>0</v>
      </c>
      <c r="CU40" s="21" t="n">
        <v>0</v>
      </c>
      <c r="CV40" s="21" t="n">
        <v>0</v>
      </c>
      <c r="CW40" s="21" t="n">
        <v>0</v>
      </c>
      <c r="CX40" s="21" t="n">
        <v>0</v>
      </c>
      <c r="CY40" s="21" t="n">
        <v>0</v>
      </c>
      <c r="CZ40" s="21" t="n">
        <v>0</v>
      </c>
      <c r="DA40" s="21" t="n">
        <v>0</v>
      </c>
    </row>
    <row r="41">
      <c r="A41" t="inlineStr">
        <is>
          <t>TSP-924</t>
        </is>
      </c>
      <c r="B41" s="21" t="n">
        <v>0</v>
      </c>
      <c r="C41" s="21" t="n">
        <v>0</v>
      </c>
      <c r="D41" s="21" t="n">
        <v>0</v>
      </c>
      <c r="E41" s="21" t="n">
        <v>0</v>
      </c>
      <c r="F41" s="21" t="n">
        <v>0</v>
      </c>
      <c r="G41" s="21" t="n">
        <v>0</v>
      </c>
      <c r="H41" s="21" t="n">
        <v>0</v>
      </c>
      <c r="I41" s="21" t="n">
        <v>0</v>
      </c>
      <c r="J41" s="21" t="n">
        <v>0</v>
      </c>
      <c r="K41" s="21" t="n">
        <v>0</v>
      </c>
      <c r="L41" s="21" t="n">
        <v>0</v>
      </c>
      <c r="M41" s="21" t="n">
        <v>0</v>
      </c>
      <c r="N41" s="21" t="n">
        <v>0</v>
      </c>
      <c r="O41" s="21" t="n">
        <v>0</v>
      </c>
      <c r="P41" s="21" t="n">
        <v>0</v>
      </c>
      <c r="Q41" s="21" t="n">
        <v>0</v>
      </c>
      <c r="R41" s="21" t="n">
        <v>0</v>
      </c>
      <c r="S41" s="21" t="n">
        <v>0</v>
      </c>
      <c r="T41" s="21" t="n">
        <v>0</v>
      </c>
      <c r="U41" s="21" t="n">
        <v>0</v>
      </c>
      <c r="V41" s="21" t="n">
        <v>0</v>
      </c>
      <c r="W41" s="21" t="n">
        <v>0</v>
      </c>
      <c r="X41" s="21" t="n">
        <v>0</v>
      </c>
      <c r="Y41" s="21" t="n">
        <v>0</v>
      </c>
      <c r="Z41" s="21" t="n">
        <v>0</v>
      </c>
      <c r="AA41" s="21" t="n">
        <v>0</v>
      </c>
      <c r="AB41" s="21" t="n">
        <v>0</v>
      </c>
      <c r="AC41" s="21" t="n">
        <v>0</v>
      </c>
      <c r="AD41" s="21" t="n">
        <v>0</v>
      </c>
      <c r="AE41" s="21" t="n">
        <v>0</v>
      </c>
      <c r="AF41" s="21" t="n">
        <v>0.5132905723431526</v>
      </c>
      <c r="AG41" s="21" t="n">
        <v>0</v>
      </c>
      <c r="AH41" s="21" t="n">
        <v>0</v>
      </c>
      <c r="AI41" s="21" t="n">
        <v>0</v>
      </c>
      <c r="AJ41" s="21" t="n">
        <v>0</v>
      </c>
      <c r="AK41" s="21" t="n">
        <v>0.5132905723431526</v>
      </c>
      <c r="AL41" s="21" t="n">
        <v>0</v>
      </c>
      <c r="AM41" s="21" t="n">
        <v>0</v>
      </c>
      <c r="AN41" s="21" t="n">
        <v>0</v>
      </c>
      <c r="AO41" s="21" t="n">
        <v>0</v>
      </c>
      <c r="AP41" s="21" t="n">
        <v>0.5132905723431526</v>
      </c>
      <c r="AQ41" s="21" t="n">
        <v>0</v>
      </c>
      <c r="AR41" s="21" t="n">
        <v>0</v>
      </c>
      <c r="AS41" s="21" t="n">
        <v>0</v>
      </c>
      <c r="AT41" s="21" t="n">
        <v>0.5132905723431526</v>
      </c>
      <c r="AU41" s="21" t="n">
        <v>0</v>
      </c>
      <c r="AV41" s="21" t="n">
        <v>0</v>
      </c>
      <c r="AW41" s="21" t="n">
        <v>0</v>
      </c>
      <c r="AX41" s="21" t="n">
        <v>0.410632457874522</v>
      </c>
      <c r="AY41" s="21" t="n">
        <v>0</v>
      </c>
      <c r="AZ41" s="21" t="n">
        <v>0</v>
      </c>
      <c r="BA41" s="21" t="n">
        <v>0</v>
      </c>
      <c r="BB41" s="21" t="n">
        <v>0</v>
      </c>
      <c r="BC41" s="21" t="n">
        <v>0</v>
      </c>
      <c r="BD41" s="21" t="n">
        <v>0</v>
      </c>
      <c r="BE41" s="21" t="n">
        <v>0</v>
      </c>
      <c r="BF41" s="21" t="n">
        <v>0</v>
      </c>
      <c r="BG41" s="21" t="n">
        <v>0</v>
      </c>
      <c r="BH41" s="21" t="n">
        <v>0</v>
      </c>
      <c r="BI41" s="21" t="n">
        <v>0</v>
      </c>
      <c r="BJ41" s="21" t="n">
        <v>0</v>
      </c>
      <c r="BK41" s="21" t="n">
        <v>0</v>
      </c>
      <c r="BL41" s="21" t="n">
        <v>0</v>
      </c>
      <c r="BM41" s="21" t="n">
        <v>0</v>
      </c>
      <c r="BN41" s="21" t="n">
        <v>0</v>
      </c>
      <c r="BO41" s="21" t="n">
        <v>0</v>
      </c>
      <c r="BP41" s="21" t="n">
        <v>0</v>
      </c>
      <c r="BQ41" s="21" t="n">
        <v>0</v>
      </c>
      <c r="BR41" s="21" t="n">
        <v>0</v>
      </c>
      <c r="BS41" s="21" t="n">
        <v>0</v>
      </c>
      <c r="BT41" s="21" t="n">
        <v>0</v>
      </c>
      <c r="BU41" s="21" t="n">
        <v>0</v>
      </c>
      <c r="BV41" s="21" t="n">
        <v>0</v>
      </c>
      <c r="BW41" s="21" t="n">
        <v>0</v>
      </c>
      <c r="BX41" s="21" t="n">
        <v>0</v>
      </c>
      <c r="BY41" s="21" t="n">
        <v>0</v>
      </c>
      <c r="BZ41" s="21" t="n">
        <v>0</v>
      </c>
      <c r="CA41" s="21" t="n">
        <v>0</v>
      </c>
      <c r="CB41" s="21" t="n">
        <v>0</v>
      </c>
      <c r="CC41" s="21" t="n">
        <v>0</v>
      </c>
      <c r="CD41" s="21" t="n">
        <v>0</v>
      </c>
      <c r="CE41" s="21" t="n">
        <v>0</v>
      </c>
      <c r="CF41" s="21" t="n">
        <v>0</v>
      </c>
      <c r="CG41" s="21" t="n">
        <v>0</v>
      </c>
      <c r="CH41" s="21" t="n">
        <v>0</v>
      </c>
      <c r="CI41" s="21" t="n">
        <v>0</v>
      </c>
      <c r="CJ41" s="21" t="n">
        <v>0</v>
      </c>
      <c r="CK41" s="21" t="n">
        <v>0</v>
      </c>
      <c r="CL41" s="21" t="n">
        <v>0</v>
      </c>
      <c r="CM41" s="21" t="n">
        <v>0</v>
      </c>
      <c r="CN41" s="21" t="n">
        <v>0</v>
      </c>
      <c r="CO41" s="21" t="n">
        <v>0</v>
      </c>
      <c r="CP41" s="21" t="n">
        <v>0</v>
      </c>
      <c r="CQ41" s="21" t="n">
        <v>0</v>
      </c>
      <c r="CR41" s="21" t="n">
        <v>0</v>
      </c>
      <c r="CS41" s="21" t="n">
        <v>0</v>
      </c>
      <c r="CT41" s="21" t="n">
        <v>0</v>
      </c>
      <c r="CU41" s="21" t="n">
        <v>0</v>
      </c>
      <c r="CV41" s="21" t="n">
        <v>0</v>
      </c>
      <c r="CW41" s="21" t="n">
        <v>0</v>
      </c>
      <c r="CX41" s="21" t="n">
        <v>0</v>
      </c>
      <c r="CY41" s="21" t="n">
        <v>0</v>
      </c>
      <c r="CZ41" s="21" t="n">
        <v>0</v>
      </c>
      <c r="DA41" s="21" t="n">
        <v>0</v>
      </c>
    </row>
    <row r="42">
      <c r="A42" t="inlineStr">
        <is>
          <t>TSP-925</t>
        </is>
      </c>
      <c r="B42" s="21" t="n">
        <v>0</v>
      </c>
      <c r="C42" s="21" t="n">
        <v>0</v>
      </c>
      <c r="D42" s="21" t="n">
        <v>0</v>
      </c>
      <c r="E42" s="21" t="n">
        <v>0</v>
      </c>
      <c r="F42" s="21" t="n">
        <v>0</v>
      </c>
      <c r="G42" s="21" t="n">
        <v>0</v>
      </c>
      <c r="H42" s="21" t="n">
        <v>0</v>
      </c>
      <c r="I42" s="21" t="n">
        <v>0</v>
      </c>
      <c r="J42" s="21" t="n">
        <v>0</v>
      </c>
      <c r="K42" s="21" t="n">
        <v>0</v>
      </c>
      <c r="L42" s="21" t="n">
        <v>0</v>
      </c>
      <c r="M42" s="21" t="n">
        <v>0</v>
      </c>
      <c r="N42" s="21" t="n">
        <v>0</v>
      </c>
      <c r="O42" s="21" t="n">
        <v>0</v>
      </c>
      <c r="P42" s="21" t="n">
        <v>0</v>
      </c>
      <c r="Q42" s="21" t="n">
        <v>0</v>
      </c>
      <c r="R42" s="21" t="n">
        <v>0</v>
      </c>
      <c r="S42" s="21" t="n">
        <v>0</v>
      </c>
      <c r="T42" s="21" t="n">
        <v>0</v>
      </c>
      <c r="U42" s="21" t="n">
        <v>0</v>
      </c>
      <c r="V42" s="21" t="n">
        <v>0</v>
      </c>
      <c r="W42" s="21" t="n">
        <v>0</v>
      </c>
      <c r="X42" s="21" t="n">
        <v>0.3892207792207791</v>
      </c>
      <c r="Y42" s="21" t="n">
        <v>0</v>
      </c>
      <c r="Z42" s="21" t="n">
        <v>0</v>
      </c>
      <c r="AA42" s="21" t="n">
        <v>0</v>
      </c>
      <c r="AB42" s="21" t="n">
        <v>0</v>
      </c>
      <c r="AC42" s="21" t="n">
        <v>0</v>
      </c>
      <c r="AD42" s="21" t="n">
        <v>0.3892207792207791</v>
      </c>
      <c r="AE42" s="21" t="n">
        <v>0</v>
      </c>
      <c r="AF42" s="21" t="n">
        <v>0</v>
      </c>
      <c r="AG42" s="21" t="n">
        <v>0.3892207792207791</v>
      </c>
      <c r="AH42" s="21" t="n">
        <v>0</v>
      </c>
      <c r="AI42" s="21" t="n">
        <v>0</v>
      </c>
      <c r="AJ42" s="21" t="n">
        <v>0.3892207792207791</v>
      </c>
      <c r="AK42" s="21" t="n">
        <v>0</v>
      </c>
      <c r="AL42" s="21" t="n">
        <v>0</v>
      </c>
      <c r="AM42" s="21" t="n">
        <v>0</v>
      </c>
      <c r="AN42" s="21" t="n">
        <v>0</v>
      </c>
      <c r="AO42" s="21" t="n">
        <v>0.3892207792207791</v>
      </c>
      <c r="AP42" s="21" t="n">
        <v>0</v>
      </c>
      <c r="AQ42" s="21" t="n">
        <v>0</v>
      </c>
      <c r="AR42" s="21" t="n">
        <v>0</v>
      </c>
      <c r="AS42" s="21" t="n">
        <v>0.3892207792207791</v>
      </c>
      <c r="AT42" s="21" t="n">
        <v>0</v>
      </c>
      <c r="AU42" s="21" t="n">
        <v>0</v>
      </c>
      <c r="AV42" s="21" t="n">
        <v>0</v>
      </c>
      <c r="AW42" s="21" t="n">
        <v>0</v>
      </c>
      <c r="AX42" s="21" t="n">
        <v>0</v>
      </c>
      <c r="AY42" s="21" t="n">
        <v>0</v>
      </c>
      <c r="AZ42" s="21" t="n">
        <v>0</v>
      </c>
      <c r="BA42" s="21" t="n">
        <v>0</v>
      </c>
      <c r="BB42" s="21" t="n">
        <v>0</v>
      </c>
      <c r="BC42" s="21" t="n">
        <v>0</v>
      </c>
      <c r="BD42" s="21" t="n">
        <v>0</v>
      </c>
      <c r="BE42" s="21" t="n">
        <v>0</v>
      </c>
      <c r="BF42" s="21" t="n">
        <v>0</v>
      </c>
      <c r="BG42" s="21" t="n">
        <v>0</v>
      </c>
      <c r="BH42" s="21" t="n">
        <v>0</v>
      </c>
      <c r="BI42" s="21" t="n">
        <v>0</v>
      </c>
      <c r="BJ42" s="21" t="n">
        <v>0</v>
      </c>
      <c r="BK42" s="21" t="n">
        <v>0</v>
      </c>
      <c r="BL42" s="21" t="n">
        <v>0</v>
      </c>
      <c r="BM42" s="21" t="n">
        <v>0</v>
      </c>
      <c r="BN42" s="21" t="n">
        <v>0</v>
      </c>
      <c r="BO42" s="21" t="n">
        <v>0</v>
      </c>
      <c r="BP42" s="21" t="n">
        <v>0</v>
      </c>
      <c r="BQ42" s="21" t="n">
        <v>0</v>
      </c>
      <c r="BR42" s="21" t="n">
        <v>0</v>
      </c>
      <c r="BS42" s="21" t="n">
        <v>0</v>
      </c>
      <c r="BT42" s="21" t="n">
        <v>0</v>
      </c>
      <c r="BU42" s="21" t="n">
        <v>0</v>
      </c>
      <c r="BV42" s="21" t="n">
        <v>0</v>
      </c>
      <c r="BW42" s="21" t="n">
        <v>0</v>
      </c>
      <c r="BX42" s="21" t="n">
        <v>0</v>
      </c>
      <c r="BY42" s="21" t="n">
        <v>0</v>
      </c>
      <c r="BZ42" s="21" t="n">
        <v>0</v>
      </c>
      <c r="CA42" s="21" t="n">
        <v>0</v>
      </c>
      <c r="CB42" s="21" t="n">
        <v>0</v>
      </c>
      <c r="CC42" s="21" t="n">
        <v>0</v>
      </c>
      <c r="CD42" s="21" t="n">
        <v>0</v>
      </c>
      <c r="CE42" s="21" t="n">
        <v>0</v>
      </c>
      <c r="CF42" s="21" t="n">
        <v>0</v>
      </c>
      <c r="CG42" s="21" t="n">
        <v>0</v>
      </c>
      <c r="CH42" s="21" t="n">
        <v>0</v>
      </c>
      <c r="CI42" s="21" t="n">
        <v>0</v>
      </c>
      <c r="CJ42" s="21" t="n">
        <v>0</v>
      </c>
      <c r="CK42" s="21" t="n">
        <v>0</v>
      </c>
      <c r="CL42" s="21" t="n">
        <v>0</v>
      </c>
      <c r="CM42" s="21" t="n">
        <v>0</v>
      </c>
      <c r="CN42" s="21" t="n">
        <v>0</v>
      </c>
      <c r="CO42" s="21" t="n">
        <v>0</v>
      </c>
      <c r="CP42" s="21" t="n">
        <v>0</v>
      </c>
      <c r="CQ42" s="21" t="n">
        <v>0</v>
      </c>
      <c r="CR42" s="21" t="n">
        <v>0</v>
      </c>
      <c r="CS42" s="21" t="n">
        <v>0</v>
      </c>
      <c r="CT42" s="21" t="n">
        <v>0</v>
      </c>
      <c r="CU42" s="21" t="n">
        <v>0</v>
      </c>
      <c r="CV42" s="21" t="n">
        <v>0</v>
      </c>
      <c r="CW42" s="21" t="n">
        <v>0</v>
      </c>
      <c r="CX42" s="21" t="n">
        <v>0</v>
      </c>
      <c r="CY42" s="21" t="n">
        <v>0</v>
      </c>
      <c r="CZ42" s="21" t="n">
        <v>0</v>
      </c>
      <c r="DA42" s="21" t="n">
        <v>0</v>
      </c>
    </row>
    <row r="43">
      <c r="A43" t="inlineStr">
        <is>
          <t>TSP-927</t>
        </is>
      </c>
      <c r="B43" s="21" t="n">
        <v>0</v>
      </c>
      <c r="C43" s="21" t="n">
        <v>0</v>
      </c>
      <c r="D43" s="21" t="n">
        <v>0</v>
      </c>
      <c r="E43" s="21" t="n">
        <v>0</v>
      </c>
      <c r="F43" s="21" t="n">
        <v>0</v>
      </c>
      <c r="G43" s="21" t="n">
        <v>0</v>
      </c>
      <c r="H43" s="21" t="n">
        <v>0</v>
      </c>
      <c r="I43" s="21" t="n">
        <v>0</v>
      </c>
      <c r="J43" s="21" t="n">
        <v>0</v>
      </c>
      <c r="K43" s="21" t="n">
        <v>0</v>
      </c>
      <c r="L43" s="21" t="n">
        <v>0</v>
      </c>
      <c r="M43" s="21" t="n">
        <v>0</v>
      </c>
      <c r="N43" s="21" t="n">
        <v>0</v>
      </c>
      <c r="O43" s="21" t="n">
        <v>0</v>
      </c>
      <c r="P43" s="21" t="n">
        <v>0</v>
      </c>
      <c r="Q43" s="21" t="n">
        <v>0</v>
      </c>
      <c r="R43" s="21" t="n">
        <v>0</v>
      </c>
      <c r="S43" s="21" t="n">
        <v>0</v>
      </c>
      <c r="T43" s="21" t="n">
        <v>0</v>
      </c>
      <c r="U43" s="21" t="n">
        <v>0</v>
      </c>
      <c r="V43" s="21" t="n">
        <v>0</v>
      </c>
      <c r="W43" s="21" t="n">
        <v>0</v>
      </c>
      <c r="X43" s="21" t="n">
        <v>0</v>
      </c>
      <c r="Y43" s="21" t="n">
        <v>0</v>
      </c>
      <c r="Z43" s="21" t="n">
        <v>0</v>
      </c>
      <c r="AA43" s="21" t="n">
        <v>0</v>
      </c>
      <c r="AB43" s="21" t="n">
        <v>0</v>
      </c>
      <c r="AC43" s="21" t="n">
        <v>0</v>
      </c>
      <c r="AD43" s="21" t="n">
        <v>0</v>
      </c>
      <c r="AE43" s="21" t="n">
        <v>0</v>
      </c>
      <c r="AF43" s="21" t="n">
        <v>0</v>
      </c>
      <c r="AG43" s="21" t="n">
        <v>0</v>
      </c>
      <c r="AH43" s="21" t="n">
        <v>0</v>
      </c>
      <c r="AI43" s="21" t="n">
        <v>0</v>
      </c>
      <c r="AJ43" s="21" t="n">
        <v>0</v>
      </c>
      <c r="AK43" s="21" t="n">
        <v>0</v>
      </c>
      <c r="AL43" s="21" t="n">
        <v>0</v>
      </c>
      <c r="AM43" s="21" t="n">
        <v>0</v>
      </c>
      <c r="AN43" s="21" t="n">
        <v>0</v>
      </c>
      <c r="AO43" s="21" t="n">
        <v>0</v>
      </c>
      <c r="AP43" s="21" t="n">
        <v>0</v>
      </c>
      <c r="AQ43" s="21" t="n">
        <v>0</v>
      </c>
      <c r="AR43" s="21" t="n">
        <v>0</v>
      </c>
      <c r="AS43" s="21" t="n">
        <v>0</v>
      </c>
      <c r="AT43" s="21" t="n">
        <v>0</v>
      </c>
      <c r="AU43" s="21" t="n">
        <v>0</v>
      </c>
      <c r="AV43" s="21" t="n">
        <v>0</v>
      </c>
      <c r="AW43" s="21" t="n">
        <v>0</v>
      </c>
      <c r="AX43" s="21" t="n">
        <v>0</v>
      </c>
      <c r="AY43" s="21" t="n">
        <v>0</v>
      </c>
      <c r="AZ43" s="21" t="n">
        <v>0</v>
      </c>
      <c r="BA43" s="21" t="n">
        <v>0</v>
      </c>
      <c r="BB43" s="21" t="n">
        <v>0</v>
      </c>
      <c r="BC43" s="21" t="n">
        <v>0</v>
      </c>
      <c r="BD43" s="21" t="n">
        <v>0</v>
      </c>
      <c r="BE43" s="21" t="n">
        <v>0</v>
      </c>
      <c r="BF43" s="21" t="n">
        <v>0</v>
      </c>
      <c r="BG43" s="21" t="n">
        <v>0</v>
      </c>
      <c r="BH43" s="21" t="n">
        <v>0</v>
      </c>
      <c r="BI43" s="21" t="n">
        <v>0</v>
      </c>
      <c r="BJ43" s="21" t="n">
        <v>0</v>
      </c>
      <c r="BK43" s="21" t="n">
        <v>0</v>
      </c>
      <c r="BL43" s="21" t="n">
        <v>0</v>
      </c>
      <c r="BM43" s="21" t="n">
        <v>0</v>
      </c>
      <c r="BN43" s="21" t="n">
        <v>0</v>
      </c>
      <c r="BO43" s="21" t="n">
        <v>0</v>
      </c>
      <c r="BP43" s="21" t="n">
        <v>0</v>
      </c>
      <c r="BQ43" s="21" t="n">
        <v>0</v>
      </c>
      <c r="BR43" s="21" t="n">
        <v>0</v>
      </c>
      <c r="BS43" s="21" t="n">
        <v>0</v>
      </c>
      <c r="BT43" s="21" t="n">
        <v>0</v>
      </c>
      <c r="BU43" s="21" t="n">
        <v>0</v>
      </c>
      <c r="BV43" s="21" t="n">
        <v>0</v>
      </c>
      <c r="BW43" s="21" t="n">
        <v>0</v>
      </c>
      <c r="BX43" s="21" t="n">
        <v>0</v>
      </c>
      <c r="BY43" s="21" t="n">
        <v>0</v>
      </c>
      <c r="BZ43" s="21" t="n">
        <v>0</v>
      </c>
      <c r="CA43" s="21" t="n">
        <v>0</v>
      </c>
      <c r="CB43" s="21" t="n">
        <v>0</v>
      </c>
      <c r="CC43" s="21" t="n">
        <v>0</v>
      </c>
      <c r="CD43" s="21" t="n">
        <v>0</v>
      </c>
      <c r="CE43" s="21" t="n">
        <v>0</v>
      </c>
      <c r="CF43" s="21" t="n">
        <v>0</v>
      </c>
      <c r="CG43" s="21" t="n">
        <v>0</v>
      </c>
      <c r="CH43" s="21" t="n">
        <v>0</v>
      </c>
      <c r="CI43" s="21" t="n">
        <v>0</v>
      </c>
      <c r="CJ43" s="21" t="n">
        <v>0</v>
      </c>
      <c r="CK43" s="21" t="n">
        <v>0</v>
      </c>
      <c r="CL43" s="21" t="n">
        <v>0</v>
      </c>
      <c r="CM43" s="21" t="n">
        <v>0</v>
      </c>
      <c r="CN43" s="21" t="n">
        <v>0</v>
      </c>
      <c r="CO43" s="21" t="n">
        <v>0</v>
      </c>
      <c r="CP43" s="21" t="n">
        <v>0</v>
      </c>
      <c r="CQ43" s="21" t="n">
        <v>0</v>
      </c>
      <c r="CR43" s="21" t="n">
        <v>0</v>
      </c>
      <c r="CS43" s="21" t="n">
        <v>0</v>
      </c>
      <c r="CT43" s="21" t="n">
        <v>0</v>
      </c>
      <c r="CU43" s="21" t="n">
        <v>0</v>
      </c>
      <c r="CV43" s="21" t="n">
        <v>0</v>
      </c>
      <c r="CW43" s="21" t="n">
        <v>0</v>
      </c>
      <c r="CX43" s="21" t="n">
        <v>0</v>
      </c>
      <c r="CY43" s="21" t="n">
        <v>0</v>
      </c>
      <c r="CZ43" s="21" t="n">
        <v>0</v>
      </c>
      <c r="DA43" s="21" t="n">
        <v>0</v>
      </c>
    </row>
    <row r="44">
      <c r="A44" t="inlineStr">
        <is>
          <t>TSP-928</t>
        </is>
      </c>
      <c r="B44" s="21" t="n">
        <v>0</v>
      </c>
      <c r="C44" s="21" t="n">
        <v>0</v>
      </c>
      <c r="D44" s="21" t="n">
        <v>0</v>
      </c>
      <c r="E44" s="21" t="n">
        <v>0</v>
      </c>
      <c r="F44" s="21" t="n">
        <v>0</v>
      </c>
      <c r="G44" s="21" t="n">
        <v>0</v>
      </c>
      <c r="H44" s="21" t="n">
        <v>0</v>
      </c>
      <c r="I44" s="21" t="n">
        <v>0</v>
      </c>
      <c r="J44" s="21" t="n">
        <v>0</v>
      </c>
      <c r="K44" s="21" t="n">
        <v>0</v>
      </c>
      <c r="L44" s="21" t="n">
        <v>0</v>
      </c>
      <c r="M44" s="21" t="n">
        <v>0</v>
      </c>
      <c r="N44" s="21" t="n">
        <v>0</v>
      </c>
      <c r="O44" s="21" t="n">
        <v>0</v>
      </c>
      <c r="P44" s="21" t="n">
        <v>0</v>
      </c>
      <c r="Q44" s="21" t="n">
        <v>0</v>
      </c>
      <c r="R44" s="21" t="n">
        <v>0</v>
      </c>
      <c r="S44" s="21" t="n">
        <v>0</v>
      </c>
      <c r="T44" s="21" t="n">
        <v>0</v>
      </c>
      <c r="U44" s="21" t="n">
        <v>0</v>
      </c>
      <c r="V44" s="21" t="n">
        <v>0</v>
      </c>
      <c r="W44" s="21" t="n">
        <v>0</v>
      </c>
      <c r="X44" s="21" t="n">
        <v>0</v>
      </c>
      <c r="Y44" s="21" t="n">
        <v>0</v>
      </c>
      <c r="Z44" s="21" t="n">
        <v>0</v>
      </c>
      <c r="AA44" s="21" t="n">
        <v>0</v>
      </c>
      <c r="AB44" s="21" t="n">
        <v>0</v>
      </c>
      <c r="AC44" s="21" t="n">
        <v>0</v>
      </c>
      <c r="AD44" s="21" t="n">
        <v>0</v>
      </c>
      <c r="AE44" s="21" t="n">
        <v>0</v>
      </c>
      <c r="AF44" s="21" t="n">
        <v>1.595842200578393</v>
      </c>
      <c r="AG44" s="21" t="n">
        <v>0</v>
      </c>
      <c r="AH44" s="21" t="n">
        <v>0</v>
      </c>
      <c r="AI44" s="21" t="n">
        <v>0</v>
      </c>
      <c r="AJ44" s="21" t="n">
        <v>0</v>
      </c>
      <c r="AK44" s="21" t="n">
        <v>1.595842200578393</v>
      </c>
      <c r="AL44" s="21" t="n">
        <v>0</v>
      </c>
      <c r="AM44" s="21" t="n">
        <v>0</v>
      </c>
      <c r="AN44" s="21" t="n">
        <v>0</v>
      </c>
      <c r="AO44" s="21" t="n">
        <v>0</v>
      </c>
      <c r="AP44" s="21" t="n">
        <v>1.595842200578393</v>
      </c>
      <c r="AQ44" s="21" t="n">
        <v>0</v>
      </c>
      <c r="AR44" s="21" t="n">
        <v>0</v>
      </c>
      <c r="AS44" s="21" t="n">
        <v>0</v>
      </c>
      <c r="AT44" s="21" t="n">
        <v>1.595842200578393</v>
      </c>
      <c r="AU44" s="21" t="n">
        <v>0</v>
      </c>
      <c r="AV44" s="21" t="n">
        <v>0</v>
      </c>
      <c r="AW44" s="21" t="n">
        <v>0</v>
      </c>
      <c r="AX44" s="21" t="n">
        <v>1.276673760462714</v>
      </c>
      <c r="AY44" s="21" t="n">
        <v>0</v>
      </c>
      <c r="AZ44" s="21" t="n">
        <v>0</v>
      </c>
      <c r="BA44" s="21" t="n">
        <v>0</v>
      </c>
      <c r="BB44" s="21" t="n">
        <v>0</v>
      </c>
      <c r="BC44" s="21" t="n">
        <v>0</v>
      </c>
      <c r="BD44" s="21" t="n">
        <v>0</v>
      </c>
      <c r="BE44" s="21" t="n">
        <v>0</v>
      </c>
      <c r="BF44" s="21" t="n">
        <v>0</v>
      </c>
      <c r="BG44" s="21" t="n">
        <v>0</v>
      </c>
      <c r="BH44" s="21" t="n">
        <v>0</v>
      </c>
      <c r="BI44" s="21" t="n">
        <v>0</v>
      </c>
      <c r="BJ44" s="21" t="n">
        <v>0</v>
      </c>
      <c r="BK44" s="21" t="n">
        <v>0</v>
      </c>
      <c r="BL44" s="21" t="n">
        <v>0</v>
      </c>
      <c r="BM44" s="21" t="n">
        <v>0</v>
      </c>
      <c r="BN44" s="21" t="n">
        <v>0</v>
      </c>
      <c r="BO44" s="21" t="n">
        <v>0</v>
      </c>
      <c r="BP44" s="21" t="n">
        <v>0</v>
      </c>
      <c r="BQ44" s="21" t="n">
        <v>0</v>
      </c>
      <c r="BR44" s="21" t="n">
        <v>0</v>
      </c>
      <c r="BS44" s="21" t="n">
        <v>0</v>
      </c>
      <c r="BT44" s="21" t="n">
        <v>0</v>
      </c>
      <c r="BU44" s="21" t="n">
        <v>0</v>
      </c>
      <c r="BV44" s="21" t="n">
        <v>0</v>
      </c>
      <c r="BW44" s="21" t="n">
        <v>0</v>
      </c>
      <c r="BX44" s="21" t="n">
        <v>0</v>
      </c>
      <c r="BY44" s="21" t="n">
        <v>0</v>
      </c>
      <c r="BZ44" s="21" t="n">
        <v>0</v>
      </c>
      <c r="CA44" s="21" t="n">
        <v>0</v>
      </c>
      <c r="CB44" s="21" t="n">
        <v>0</v>
      </c>
      <c r="CC44" s="21" t="n">
        <v>0</v>
      </c>
      <c r="CD44" s="21" t="n">
        <v>0</v>
      </c>
      <c r="CE44" s="21" t="n">
        <v>0</v>
      </c>
      <c r="CF44" s="21" t="n">
        <v>0</v>
      </c>
      <c r="CG44" s="21" t="n">
        <v>0</v>
      </c>
      <c r="CH44" s="21" t="n">
        <v>0</v>
      </c>
      <c r="CI44" s="21" t="n">
        <v>0</v>
      </c>
      <c r="CJ44" s="21" t="n">
        <v>0</v>
      </c>
      <c r="CK44" s="21" t="n">
        <v>0</v>
      </c>
      <c r="CL44" s="21" t="n">
        <v>0</v>
      </c>
      <c r="CM44" s="21" t="n">
        <v>0</v>
      </c>
      <c r="CN44" s="21" t="n">
        <v>0</v>
      </c>
      <c r="CO44" s="21" t="n">
        <v>0</v>
      </c>
      <c r="CP44" s="21" t="n">
        <v>0</v>
      </c>
      <c r="CQ44" s="21" t="n">
        <v>0</v>
      </c>
      <c r="CR44" s="21" t="n">
        <v>0</v>
      </c>
      <c r="CS44" s="21" t="n">
        <v>0</v>
      </c>
      <c r="CT44" s="21" t="n">
        <v>0</v>
      </c>
      <c r="CU44" s="21" t="n">
        <v>0</v>
      </c>
      <c r="CV44" s="21" t="n">
        <v>0</v>
      </c>
      <c r="CW44" s="21" t="n">
        <v>0</v>
      </c>
      <c r="CX44" s="21" t="n">
        <v>0</v>
      </c>
      <c r="CY44" s="21" t="n">
        <v>0</v>
      </c>
      <c r="CZ44" s="21" t="n">
        <v>0</v>
      </c>
      <c r="DA44" s="21" t="n">
        <v>0</v>
      </c>
    </row>
    <row r="45">
      <c r="A45" t="inlineStr">
        <is>
          <t>TSP-929</t>
        </is>
      </c>
      <c r="B45" s="21" t="n">
        <v>0</v>
      </c>
      <c r="C45" s="21" t="n">
        <v>0</v>
      </c>
      <c r="D45" s="21" t="n">
        <v>0</v>
      </c>
      <c r="E45" s="21" t="n">
        <v>0</v>
      </c>
      <c r="F45" s="21" t="n">
        <v>0</v>
      </c>
      <c r="G45" s="21" t="n">
        <v>0</v>
      </c>
      <c r="H45" s="21" t="n">
        <v>0</v>
      </c>
      <c r="I45" s="21" t="n">
        <v>0</v>
      </c>
      <c r="J45" s="21" t="n">
        <v>0</v>
      </c>
      <c r="K45" s="21" t="n">
        <v>0</v>
      </c>
      <c r="L45" s="21" t="n">
        <v>0</v>
      </c>
      <c r="M45" s="21" t="n">
        <v>0</v>
      </c>
      <c r="N45" s="21" t="n">
        <v>0</v>
      </c>
      <c r="O45" s="21" t="n">
        <v>0</v>
      </c>
      <c r="P45" s="21" t="n">
        <v>0</v>
      </c>
      <c r="Q45" s="21" t="n">
        <v>0</v>
      </c>
      <c r="R45" s="21" t="n">
        <v>0</v>
      </c>
      <c r="S45" s="21" t="n">
        <v>0</v>
      </c>
      <c r="T45" s="21" t="n">
        <v>0</v>
      </c>
      <c r="U45" s="21" t="n">
        <v>0</v>
      </c>
      <c r="V45" s="21" t="n">
        <v>0</v>
      </c>
      <c r="W45" s="21" t="n">
        <v>0</v>
      </c>
      <c r="X45" s="21" t="n">
        <v>0</v>
      </c>
      <c r="Y45" s="21" t="n">
        <v>0</v>
      </c>
      <c r="Z45" s="21" t="n">
        <v>0</v>
      </c>
      <c r="AA45" s="21" t="n">
        <v>0</v>
      </c>
      <c r="AB45" s="21" t="n">
        <v>0</v>
      </c>
      <c r="AC45" s="21" t="n">
        <v>0</v>
      </c>
      <c r="AD45" s="21" t="n">
        <v>0</v>
      </c>
      <c r="AE45" s="21" t="n">
        <v>0</v>
      </c>
      <c r="AF45" s="21" t="n">
        <v>0</v>
      </c>
      <c r="AG45" s="21" t="n">
        <v>0</v>
      </c>
      <c r="AH45" s="21" t="n">
        <v>0</v>
      </c>
      <c r="AI45" s="21" t="n">
        <v>0</v>
      </c>
      <c r="AJ45" s="21" t="n">
        <v>0</v>
      </c>
      <c r="AK45" s="21" t="n">
        <v>0</v>
      </c>
      <c r="AL45" s="21" t="n">
        <v>0</v>
      </c>
      <c r="AM45" s="21" t="n">
        <v>0</v>
      </c>
      <c r="AN45" s="21" t="n">
        <v>0</v>
      </c>
      <c r="AO45" s="21" t="n">
        <v>0</v>
      </c>
      <c r="AP45" s="21" t="n">
        <v>0</v>
      </c>
      <c r="AQ45" s="21" t="n">
        <v>0</v>
      </c>
      <c r="AR45" s="21" t="n">
        <v>0</v>
      </c>
      <c r="AS45" s="21" t="n">
        <v>0</v>
      </c>
      <c r="AT45" s="21" t="n">
        <v>0</v>
      </c>
      <c r="AU45" s="21" t="n">
        <v>0</v>
      </c>
      <c r="AV45" s="21" t="n">
        <v>0</v>
      </c>
      <c r="AW45" s="21" t="n">
        <v>0</v>
      </c>
      <c r="AX45" s="21" t="n">
        <v>0</v>
      </c>
      <c r="AY45" s="21" t="n">
        <v>0</v>
      </c>
      <c r="AZ45" s="21" t="n">
        <v>0</v>
      </c>
      <c r="BA45" s="21" t="n">
        <v>0</v>
      </c>
      <c r="BB45" s="21" t="n">
        <v>0</v>
      </c>
      <c r="BC45" s="21" t="n">
        <v>0</v>
      </c>
      <c r="BD45" s="21" t="n">
        <v>0</v>
      </c>
      <c r="BE45" s="21" t="n">
        <v>0</v>
      </c>
      <c r="BF45" s="21" t="n">
        <v>0</v>
      </c>
      <c r="BG45" s="21" t="n">
        <v>0</v>
      </c>
      <c r="BH45" s="21" t="n">
        <v>0</v>
      </c>
      <c r="BI45" s="21" t="n">
        <v>0</v>
      </c>
      <c r="BJ45" s="21" t="n">
        <v>0</v>
      </c>
      <c r="BK45" s="21" t="n">
        <v>0</v>
      </c>
      <c r="BL45" s="21" t="n">
        <v>0</v>
      </c>
      <c r="BM45" s="21" t="n">
        <v>0</v>
      </c>
      <c r="BN45" s="21" t="n">
        <v>0</v>
      </c>
      <c r="BO45" s="21" t="n">
        <v>0</v>
      </c>
      <c r="BP45" s="21" t="n">
        <v>0</v>
      </c>
      <c r="BQ45" s="21" t="n">
        <v>0</v>
      </c>
      <c r="BR45" s="21" t="n">
        <v>0</v>
      </c>
      <c r="BS45" s="21" t="n">
        <v>0</v>
      </c>
      <c r="BT45" s="21" t="n">
        <v>0</v>
      </c>
      <c r="BU45" s="21" t="n">
        <v>0</v>
      </c>
      <c r="BV45" s="21" t="n">
        <v>0</v>
      </c>
      <c r="BW45" s="21" t="n">
        <v>0</v>
      </c>
      <c r="BX45" s="21" t="n">
        <v>0</v>
      </c>
      <c r="BY45" s="21" t="n">
        <v>0</v>
      </c>
      <c r="BZ45" s="21" t="n">
        <v>0</v>
      </c>
      <c r="CA45" s="21" t="n">
        <v>0</v>
      </c>
      <c r="CB45" s="21" t="n">
        <v>0</v>
      </c>
      <c r="CC45" s="21" t="n">
        <v>0</v>
      </c>
      <c r="CD45" s="21" t="n">
        <v>0</v>
      </c>
      <c r="CE45" s="21" t="n">
        <v>0</v>
      </c>
      <c r="CF45" s="21" t="n">
        <v>0</v>
      </c>
      <c r="CG45" s="21" t="n">
        <v>0</v>
      </c>
      <c r="CH45" s="21" t="n">
        <v>0</v>
      </c>
      <c r="CI45" s="21" t="n">
        <v>0</v>
      </c>
      <c r="CJ45" s="21" t="n">
        <v>0</v>
      </c>
      <c r="CK45" s="21" t="n">
        <v>0</v>
      </c>
      <c r="CL45" s="21" t="n">
        <v>0</v>
      </c>
      <c r="CM45" s="21" t="n">
        <v>0</v>
      </c>
      <c r="CN45" s="21" t="n">
        <v>0</v>
      </c>
      <c r="CO45" s="21" t="n">
        <v>0</v>
      </c>
      <c r="CP45" s="21" t="n">
        <v>0</v>
      </c>
      <c r="CQ45" s="21" t="n">
        <v>0</v>
      </c>
      <c r="CR45" s="21" t="n">
        <v>0</v>
      </c>
      <c r="CS45" s="21" t="n">
        <v>0</v>
      </c>
      <c r="CT45" s="21" t="n">
        <v>0</v>
      </c>
      <c r="CU45" s="21" t="n">
        <v>0</v>
      </c>
      <c r="CV45" s="21" t="n">
        <v>0</v>
      </c>
      <c r="CW45" s="21" t="n">
        <v>0</v>
      </c>
      <c r="CX45" s="21" t="n">
        <v>0</v>
      </c>
      <c r="CY45" s="21" t="n">
        <v>0</v>
      </c>
      <c r="CZ45" s="21" t="n">
        <v>0</v>
      </c>
      <c r="DA45" s="21" t="n">
        <v>0</v>
      </c>
    </row>
    <row r="46">
      <c r="A46" t="inlineStr">
        <is>
          <t>TSP-930</t>
        </is>
      </c>
      <c r="B46" s="21" t="n">
        <v>0</v>
      </c>
      <c r="C46" s="21" t="n">
        <v>0</v>
      </c>
      <c r="D46" s="21" t="n">
        <v>0</v>
      </c>
      <c r="E46" s="21" t="n">
        <v>0</v>
      </c>
      <c r="F46" s="21" t="n">
        <v>0</v>
      </c>
      <c r="G46" s="21" t="n">
        <v>0</v>
      </c>
      <c r="H46" s="21" t="n">
        <v>0</v>
      </c>
      <c r="I46" s="21" t="n">
        <v>0</v>
      </c>
      <c r="J46" s="21" t="n">
        <v>0</v>
      </c>
      <c r="K46" s="21" t="n">
        <v>0</v>
      </c>
      <c r="L46" s="21" t="n">
        <v>0</v>
      </c>
      <c r="M46" s="21" t="n">
        <v>0</v>
      </c>
      <c r="N46" s="21" t="n">
        <v>0</v>
      </c>
      <c r="O46" s="21" t="n">
        <v>0</v>
      </c>
      <c r="P46" s="21" t="n">
        <v>0</v>
      </c>
      <c r="Q46" s="21" t="n">
        <v>0</v>
      </c>
      <c r="R46" s="21" t="n">
        <v>0</v>
      </c>
      <c r="S46" s="21" t="n">
        <v>0</v>
      </c>
      <c r="T46" s="21" t="n">
        <v>0</v>
      </c>
      <c r="U46" s="21" t="n">
        <v>0</v>
      </c>
      <c r="V46" s="21" t="n">
        <v>0</v>
      </c>
      <c r="W46" s="21" t="n">
        <v>0</v>
      </c>
      <c r="X46" s="21" t="n">
        <v>1.20003066745039</v>
      </c>
      <c r="Y46" s="21" t="n">
        <v>0</v>
      </c>
      <c r="Z46" s="21" t="n">
        <v>0</v>
      </c>
      <c r="AA46" s="21" t="n">
        <v>0</v>
      </c>
      <c r="AB46" s="21" t="n">
        <v>0</v>
      </c>
      <c r="AC46" s="21" t="n">
        <v>0</v>
      </c>
      <c r="AD46" s="21" t="n">
        <v>1.20003066745039</v>
      </c>
      <c r="AE46" s="21" t="n">
        <v>0</v>
      </c>
      <c r="AF46" s="21" t="n">
        <v>0</v>
      </c>
      <c r="AG46" s="21" t="n">
        <v>1.20003066745039</v>
      </c>
      <c r="AH46" s="21" t="n">
        <v>0</v>
      </c>
      <c r="AI46" s="21" t="n">
        <v>0</v>
      </c>
      <c r="AJ46" s="21" t="n">
        <v>1.20003066745039</v>
      </c>
      <c r="AK46" s="21" t="n">
        <v>0</v>
      </c>
      <c r="AL46" s="21" t="n">
        <v>0</v>
      </c>
      <c r="AM46" s="21" t="n">
        <v>0</v>
      </c>
      <c r="AN46" s="21" t="n">
        <v>0</v>
      </c>
      <c r="AO46" s="21" t="n">
        <v>1.20003066745039</v>
      </c>
      <c r="AP46" s="21" t="n">
        <v>0</v>
      </c>
      <c r="AQ46" s="21" t="n">
        <v>0</v>
      </c>
      <c r="AR46" s="21" t="n">
        <v>0</v>
      </c>
      <c r="AS46" s="21" t="n">
        <v>1.20003066745039</v>
      </c>
      <c r="AT46" s="21" t="n">
        <v>0</v>
      </c>
      <c r="AU46" s="21" t="n">
        <v>0</v>
      </c>
      <c r="AV46" s="21" t="n">
        <v>0</v>
      </c>
      <c r="AW46" s="21" t="n">
        <v>0</v>
      </c>
      <c r="AX46" s="21" t="n">
        <v>0</v>
      </c>
      <c r="AY46" s="21" t="n">
        <v>0</v>
      </c>
      <c r="AZ46" s="21" t="n">
        <v>0</v>
      </c>
      <c r="BA46" s="21" t="n">
        <v>0</v>
      </c>
      <c r="BB46" s="21" t="n">
        <v>0</v>
      </c>
      <c r="BC46" s="21" t="n">
        <v>0</v>
      </c>
      <c r="BD46" s="21" t="n">
        <v>0</v>
      </c>
      <c r="BE46" s="21" t="n">
        <v>0</v>
      </c>
      <c r="BF46" s="21" t="n">
        <v>0</v>
      </c>
      <c r="BG46" s="21" t="n">
        <v>0</v>
      </c>
      <c r="BH46" s="21" t="n">
        <v>0</v>
      </c>
      <c r="BI46" s="21" t="n">
        <v>0</v>
      </c>
      <c r="BJ46" s="21" t="n">
        <v>0</v>
      </c>
      <c r="BK46" s="21" t="n">
        <v>0</v>
      </c>
      <c r="BL46" s="21" t="n">
        <v>0</v>
      </c>
      <c r="BM46" s="21" t="n">
        <v>0</v>
      </c>
      <c r="BN46" s="21" t="n">
        <v>0</v>
      </c>
      <c r="BO46" s="21" t="n">
        <v>0</v>
      </c>
      <c r="BP46" s="21" t="n">
        <v>0</v>
      </c>
      <c r="BQ46" s="21" t="n">
        <v>0</v>
      </c>
      <c r="BR46" s="21" t="n">
        <v>0</v>
      </c>
      <c r="BS46" s="21" t="n">
        <v>0</v>
      </c>
      <c r="BT46" s="21" t="n">
        <v>0</v>
      </c>
      <c r="BU46" s="21" t="n">
        <v>0</v>
      </c>
      <c r="BV46" s="21" t="n">
        <v>0</v>
      </c>
      <c r="BW46" s="21" t="n">
        <v>0</v>
      </c>
      <c r="BX46" s="21" t="n">
        <v>0</v>
      </c>
      <c r="BY46" s="21" t="n">
        <v>0</v>
      </c>
      <c r="BZ46" s="21" t="n">
        <v>0</v>
      </c>
      <c r="CA46" s="21" t="n">
        <v>0</v>
      </c>
      <c r="CB46" s="21" t="n">
        <v>0</v>
      </c>
      <c r="CC46" s="21" t="n">
        <v>0</v>
      </c>
      <c r="CD46" s="21" t="n">
        <v>0</v>
      </c>
      <c r="CE46" s="21" t="n">
        <v>0</v>
      </c>
      <c r="CF46" s="21" t="n">
        <v>0</v>
      </c>
      <c r="CG46" s="21" t="n">
        <v>0</v>
      </c>
      <c r="CH46" s="21" t="n">
        <v>0</v>
      </c>
      <c r="CI46" s="21" t="n">
        <v>0</v>
      </c>
      <c r="CJ46" s="21" t="n">
        <v>0</v>
      </c>
      <c r="CK46" s="21" t="n">
        <v>0</v>
      </c>
      <c r="CL46" s="21" t="n">
        <v>0</v>
      </c>
      <c r="CM46" s="21" t="n">
        <v>0</v>
      </c>
      <c r="CN46" s="21" t="n">
        <v>0</v>
      </c>
      <c r="CO46" s="21" t="n">
        <v>0</v>
      </c>
      <c r="CP46" s="21" t="n">
        <v>0</v>
      </c>
      <c r="CQ46" s="21" t="n">
        <v>0</v>
      </c>
      <c r="CR46" s="21" t="n">
        <v>0</v>
      </c>
      <c r="CS46" s="21" t="n">
        <v>0</v>
      </c>
      <c r="CT46" s="21" t="n">
        <v>0</v>
      </c>
      <c r="CU46" s="21" t="n">
        <v>0</v>
      </c>
      <c r="CV46" s="21" t="n">
        <v>0</v>
      </c>
      <c r="CW46" s="21" t="n">
        <v>0</v>
      </c>
      <c r="CX46" s="21" t="n">
        <v>0</v>
      </c>
      <c r="CY46" s="21" t="n">
        <v>0</v>
      </c>
      <c r="CZ46" s="21" t="n">
        <v>0</v>
      </c>
      <c r="DA46" s="21" t="n">
        <v>0</v>
      </c>
    </row>
    <row r="47">
      <c r="A47" t="inlineStr">
        <is>
          <t>TSP-934</t>
        </is>
      </c>
      <c r="B47" s="21" t="n">
        <v>0</v>
      </c>
      <c r="C47" s="21" t="n">
        <v>0</v>
      </c>
      <c r="D47" s="21" t="n">
        <v>0</v>
      </c>
      <c r="E47" s="21" t="n">
        <v>0</v>
      </c>
      <c r="F47" s="21" t="n">
        <v>0</v>
      </c>
      <c r="G47" s="21" t="n">
        <v>0</v>
      </c>
      <c r="H47" s="21" t="n">
        <v>0</v>
      </c>
      <c r="I47" s="21" t="n">
        <v>0</v>
      </c>
      <c r="J47" s="21" t="n">
        <v>0</v>
      </c>
      <c r="K47" s="21" t="n">
        <v>0</v>
      </c>
      <c r="L47" s="21" t="n">
        <v>0</v>
      </c>
      <c r="M47" s="21" t="n">
        <v>0</v>
      </c>
      <c r="N47" s="21" t="n">
        <v>0</v>
      </c>
      <c r="O47" s="21" t="n">
        <v>0</v>
      </c>
      <c r="P47" s="21" t="n">
        <v>0</v>
      </c>
      <c r="Q47" s="21" t="n">
        <v>0</v>
      </c>
      <c r="R47" s="21" t="n">
        <v>0</v>
      </c>
      <c r="S47" s="21" t="n">
        <v>0</v>
      </c>
      <c r="T47" s="21" t="n">
        <v>0</v>
      </c>
      <c r="U47" s="21" t="n">
        <v>0</v>
      </c>
      <c r="V47" s="21" t="n">
        <v>0</v>
      </c>
      <c r="W47" s="21" t="n">
        <v>0</v>
      </c>
      <c r="X47" s="21" t="n">
        <v>0</v>
      </c>
      <c r="Y47" s="21" t="n">
        <v>0</v>
      </c>
      <c r="Z47" s="21" t="n">
        <v>0</v>
      </c>
      <c r="AA47" s="21" t="n">
        <v>0</v>
      </c>
      <c r="AB47" s="21" t="n">
        <v>0</v>
      </c>
      <c r="AC47" s="21" t="n">
        <v>0</v>
      </c>
      <c r="AD47" s="21" t="n">
        <v>0</v>
      </c>
      <c r="AE47" s="21" t="n">
        <v>0</v>
      </c>
      <c r="AF47" s="21" t="n">
        <v>0</v>
      </c>
      <c r="AG47" s="21" t="n">
        <v>0</v>
      </c>
      <c r="AH47" s="21" t="n">
        <v>0</v>
      </c>
      <c r="AI47" s="21" t="n">
        <v>0</v>
      </c>
      <c r="AJ47" s="21" t="n">
        <v>0</v>
      </c>
      <c r="AK47" s="21" t="n">
        <v>0</v>
      </c>
      <c r="AL47" s="21" t="n">
        <v>0</v>
      </c>
      <c r="AM47" s="21" t="n">
        <v>0</v>
      </c>
      <c r="AN47" s="21" t="n">
        <v>0</v>
      </c>
      <c r="AO47" s="21" t="n">
        <v>0</v>
      </c>
      <c r="AP47" s="21" t="n">
        <v>0</v>
      </c>
      <c r="AQ47" s="21" t="n">
        <v>0</v>
      </c>
      <c r="AR47" s="21" t="n">
        <v>0</v>
      </c>
      <c r="AS47" s="21" t="n">
        <v>0</v>
      </c>
      <c r="AT47" s="21" t="n">
        <v>0</v>
      </c>
      <c r="AU47" s="21" t="n">
        <v>0</v>
      </c>
      <c r="AV47" s="21" t="n">
        <v>0</v>
      </c>
      <c r="AW47" s="21" t="n">
        <v>0</v>
      </c>
      <c r="AX47" s="21" t="n">
        <v>0</v>
      </c>
      <c r="AY47" s="21" t="n">
        <v>0</v>
      </c>
      <c r="AZ47" s="21" t="n">
        <v>0</v>
      </c>
      <c r="BA47" s="21" t="n">
        <v>0</v>
      </c>
      <c r="BB47" s="21" t="n">
        <v>0</v>
      </c>
      <c r="BC47" s="21" t="n">
        <v>0</v>
      </c>
      <c r="BD47" s="21" t="n">
        <v>0</v>
      </c>
      <c r="BE47" s="21" t="n">
        <v>0</v>
      </c>
      <c r="BF47" s="21" t="n">
        <v>0</v>
      </c>
      <c r="BG47" s="21" t="n">
        <v>0</v>
      </c>
      <c r="BH47" s="21" t="n">
        <v>0</v>
      </c>
      <c r="BI47" s="21" t="n">
        <v>0</v>
      </c>
      <c r="BJ47" s="21" t="n">
        <v>0</v>
      </c>
      <c r="BK47" s="21" t="n">
        <v>0</v>
      </c>
      <c r="BL47" s="21" t="n">
        <v>0</v>
      </c>
      <c r="BM47" s="21" t="n">
        <v>0</v>
      </c>
      <c r="BN47" s="21" t="n">
        <v>0</v>
      </c>
      <c r="BO47" s="21" t="n">
        <v>0</v>
      </c>
      <c r="BP47" s="21" t="n">
        <v>0</v>
      </c>
      <c r="BQ47" s="21" t="n">
        <v>0</v>
      </c>
      <c r="BR47" s="21" t="n">
        <v>0</v>
      </c>
      <c r="BS47" s="21" t="n">
        <v>0</v>
      </c>
      <c r="BT47" s="21" t="n">
        <v>0</v>
      </c>
      <c r="BU47" s="21" t="n">
        <v>0</v>
      </c>
      <c r="BV47" s="21" t="n">
        <v>0</v>
      </c>
      <c r="BW47" s="21" t="n">
        <v>0</v>
      </c>
      <c r="BX47" s="21" t="n">
        <v>0</v>
      </c>
      <c r="BY47" s="21" t="n">
        <v>0</v>
      </c>
      <c r="BZ47" s="21" t="n">
        <v>0</v>
      </c>
      <c r="CA47" s="21" t="n">
        <v>0</v>
      </c>
      <c r="CB47" s="21" t="n">
        <v>0</v>
      </c>
      <c r="CC47" s="21" t="n">
        <v>0</v>
      </c>
      <c r="CD47" s="21" t="n">
        <v>0</v>
      </c>
      <c r="CE47" s="21" t="n">
        <v>0</v>
      </c>
      <c r="CF47" s="21" t="n">
        <v>0</v>
      </c>
      <c r="CG47" s="21" t="n">
        <v>0</v>
      </c>
      <c r="CH47" s="21" t="n">
        <v>0</v>
      </c>
      <c r="CI47" s="21" t="n">
        <v>0</v>
      </c>
      <c r="CJ47" s="21" t="n">
        <v>0</v>
      </c>
      <c r="CK47" s="21" t="n">
        <v>0</v>
      </c>
      <c r="CL47" s="21" t="n">
        <v>0</v>
      </c>
      <c r="CM47" s="21" t="n">
        <v>0</v>
      </c>
      <c r="CN47" s="21" t="n">
        <v>0</v>
      </c>
      <c r="CO47" s="21" t="n">
        <v>0</v>
      </c>
      <c r="CP47" s="21" t="n">
        <v>0</v>
      </c>
      <c r="CQ47" s="21" t="n">
        <v>0</v>
      </c>
      <c r="CR47" s="21" t="n">
        <v>0</v>
      </c>
      <c r="CS47" s="21" t="n">
        <v>0</v>
      </c>
      <c r="CT47" s="21" t="n">
        <v>0</v>
      </c>
      <c r="CU47" s="21" t="n">
        <v>0</v>
      </c>
      <c r="CV47" s="21" t="n">
        <v>0</v>
      </c>
      <c r="CW47" s="21" t="n">
        <v>0</v>
      </c>
      <c r="CX47" s="21" t="n">
        <v>0</v>
      </c>
      <c r="CY47" s="21" t="n">
        <v>0</v>
      </c>
      <c r="CZ47" s="21" t="n">
        <v>0</v>
      </c>
      <c r="DA47" s="21" t="n">
        <v>0</v>
      </c>
    </row>
    <row r="48">
      <c r="A48" t="inlineStr">
        <is>
          <t>TSP-935</t>
        </is>
      </c>
      <c r="B48" s="21" t="n">
        <v>0</v>
      </c>
      <c r="C48" s="21" t="n">
        <v>0</v>
      </c>
      <c r="D48" s="21" t="n">
        <v>0</v>
      </c>
      <c r="E48" s="21" t="n">
        <v>0</v>
      </c>
      <c r="F48" s="21" t="n">
        <v>0</v>
      </c>
      <c r="G48" s="21" t="n">
        <v>0</v>
      </c>
      <c r="H48" s="21" t="n">
        <v>0</v>
      </c>
      <c r="I48" s="21" t="n">
        <v>0</v>
      </c>
      <c r="J48" s="21" t="n">
        <v>0</v>
      </c>
      <c r="K48" s="21" t="n">
        <v>0</v>
      </c>
      <c r="L48" s="21" t="n">
        <v>0</v>
      </c>
      <c r="M48" s="21" t="n">
        <v>0</v>
      </c>
      <c r="N48" s="21" t="n">
        <v>0</v>
      </c>
      <c r="O48" s="21" t="n">
        <v>0</v>
      </c>
      <c r="P48" s="21" t="n">
        <v>0</v>
      </c>
      <c r="Q48" s="21" t="n">
        <v>0</v>
      </c>
      <c r="R48" s="21" t="n">
        <v>0</v>
      </c>
      <c r="S48" s="21" t="n">
        <v>0</v>
      </c>
      <c r="T48" s="21" t="n">
        <v>0</v>
      </c>
      <c r="U48" s="21" t="n">
        <v>0</v>
      </c>
      <c r="V48" s="21" t="n">
        <v>0</v>
      </c>
      <c r="W48" s="21" t="n">
        <v>0</v>
      </c>
      <c r="X48" s="21" t="n">
        <v>0</v>
      </c>
      <c r="Y48" s="21" t="n">
        <v>0</v>
      </c>
      <c r="Z48" s="21" t="n">
        <v>0</v>
      </c>
      <c r="AA48" s="21" t="n">
        <v>0</v>
      </c>
      <c r="AB48" s="21" t="n">
        <v>0</v>
      </c>
      <c r="AC48" s="21" t="n">
        <v>0</v>
      </c>
      <c r="AD48" s="21" t="n">
        <v>0</v>
      </c>
      <c r="AE48" s="21" t="n">
        <v>0</v>
      </c>
      <c r="AF48" s="21" t="n">
        <v>1.647732293074346</v>
      </c>
      <c r="AG48" s="21" t="n">
        <v>0</v>
      </c>
      <c r="AH48" s="21" t="n">
        <v>0</v>
      </c>
      <c r="AI48" s="21" t="n">
        <v>0</v>
      </c>
      <c r="AJ48" s="21" t="n">
        <v>0</v>
      </c>
      <c r="AK48" s="21" t="n">
        <v>1.647732293074346</v>
      </c>
      <c r="AL48" s="21" t="n">
        <v>0</v>
      </c>
      <c r="AM48" s="21" t="n">
        <v>0</v>
      </c>
      <c r="AN48" s="21" t="n">
        <v>0</v>
      </c>
      <c r="AO48" s="21" t="n">
        <v>0</v>
      </c>
      <c r="AP48" s="21" t="n">
        <v>1.647732293074346</v>
      </c>
      <c r="AQ48" s="21" t="n">
        <v>0</v>
      </c>
      <c r="AR48" s="21" t="n">
        <v>0</v>
      </c>
      <c r="AS48" s="21" t="n">
        <v>0</v>
      </c>
      <c r="AT48" s="21" t="n">
        <v>1.647732293074346</v>
      </c>
      <c r="AU48" s="21" t="n">
        <v>0</v>
      </c>
      <c r="AV48" s="21" t="n">
        <v>0</v>
      </c>
      <c r="AW48" s="21" t="n">
        <v>0</v>
      </c>
      <c r="AX48" s="21" t="n">
        <v>1.318185834459477</v>
      </c>
      <c r="AY48" s="21" t="n">
        <v>0</v>
      </c>
      <c r="AZ48" s="21" t="n">
        <v>0</v>
      </c>
      <c r="BA48" s="21" t="n">
        <v>0</v>
      </c>
      <c r="BB48" s="21" t="n">
        <v>0</v>
      </c>
      <c r="BC48" s="21" t="n">
        <v>0</v>
      </c>
      <c r="BD48" s="21" t="n">
        <v>0</v>
      </c>
      <c r="BE48" s="21" t="n">
        <v>0</v>
      </c>
      <c r="BF48" s="21" t="n">
        <v>0</v>
      </c>
      <c r="BG48" s="21" t="n">
        <v>0</v>
      </c>
      <c r="BH48" s="21" t="n">
        <v>0</v>
      </c>
      <c r="BI48" s="21" t="n">
        <v>0</v>
      </c>
      <c r="BJ48" s="21" t="n">
        <v>0</v>
      </c>
      <c r="BK48" s="21" t="n">
        <v>0</v>
      </c>
      <c r="BL48" s="21" t="n">
        <v>0</v>
      </c>
      <c r="BM48" s="21" t="n">
        <v>0</v>
      </c>
      <c r="BN48" s="21" t="n">
        <v>0</v>
      </c>
      <c r="BO48" s="21" t="n">
        <v>0</v>
      </c>
      <c r="BP48" s="21" t="n">
        <v>0</v>
      </c>
      <c r="BQ48" s="21" t="n">
        <v>0</v>
      </c>
      <c r="BR48" s="21" t="n">
        <v>0</v>
      </c>
      <c r="BS48" s="21" t="n">
        <v>0</v>
      </c>
      <c r="BT48" s="21" t="n">
        <v>0</v>
      </c>
      <c r="BU48" s="21" t="n">
        <v>0</v>
      </c>
      <c r="BV48" s="21" t="n">
        <v>0</v>
      </c>
      <c r="BW48" s="21" t="n">
        <v>0</v>
      </c>
      <c r="BX48" s="21" t="n">
        <v>0</v>
      </c>
      <c r="BY48" s="21" t="n">
        <v>0</v>
      </c>
      <c r="BZ48" s="21" t="n">
        <v>0</v>
      </c>
      <c r="CA48" s="21" t="n">
        <v>0</v>
      </c>
      <c r="CB48" s="21" t="n">
        <v>0</v>
      </c>
      <c r="CC48" s="21" t="n">
        <v>0</v>
      </c>
      <c r="CD48" s="21" t="n">
        <v>0</v>
      </c>
      <c r="CE48" s="21" t="n">
        <v>0</v>
      </c>
      <c r="CF48" s="21" t="n">
        <v>0</v>
      </c>
      <c r="CG48" s="21" t="n">
        <v>0</v>
      </c>
      <c r="CH48" s="21" t="n">
        <v>0</v>
      </c>
      <c r="CI48" s="21" t="n">
        <v>0</v>
      </c>
      <c r="CJ48" s="21" t="n">
        <v>0</v>
      </c>
      <c r="CK48" s="21" t="n">
        <v>0</v>
      </c>
      <c r="CL48" s="21" t="n">
        <v>0</v>
      </c>
      <c r="CM48" s="21" t="n">
        <v>0</v>
      </c>
      <c r="CN48" s="21" t="n">
        <v>0</v>
      </c>
      <c r="CO48" s="21" t="n">
        <v>0</v>
      </c>
      <c r="CP48" s="21" t="n">
        <v>0</v>
      </c>
      <c r="CQ48" s="21" t="n">
        <v>0</v>
      </c>
      <c r="CR48" s="21" t="n">
        <v>0</v>
      </c>
      <c r="CS48" s="21" t="n">
        <v>0</v>
      </c>
      <c r="CT48" s="21" t="n">
        <v>0</v>
      </c>
      <c r="CU48" s="21" t="n">
        <v>0</v>
      </c>
      <c r="CV48" s="21" t="n">
        <v>0</v>
      </c>
      <c r="CW48" s="21" t="n">
        <v>0</v>
      </c>
      <c r="CX48" s="21" t="n">
        <v>0</v>
      </c>
      <c r="CY48" s="21" t="n">
        <v>0</v>
      </c>
      <c r="CZ48" s="21" t="n">
        <v>0</v>
      </c>
      <c r="DA48" s="21" t="n">
        <v>0</v>
      </c>
    </row>
    <row r="49">
      <c r="A49" t="inlineStr">
        <is>
          <t>TSP-936</t>
        </is>
      </c>
      <c r="B49" s="21" t="n">
        <v>0</v>
      </c>
      <c r="C49" s="21" t="n">
        <v>0</v>
      </c>
      <c r="D49" s="21" t="n">
        <v>0</v>
      </c>
      <c r="E49" s="21" t="n">
        <v>0</v>
      </c>
      <c r="F49" s="21" t="n">
        <v>0</v>
      </c>
      <c r="G49" s="21" t="n">
        <v>0</v>
      </c>
      <c r="H49" s="21" t="n">
        <v>0</v>
      </c>
      <c r="I49" s="21" t="n">
        <v>0</v>
      </c>
      <c r="J49" s="21" t="n">
        <v>0</v>
      </c>
      <c r="K49" s="21" t="n">
        <v>0</v>
      </c>
      <c r="L49" s="21" t="n">
        <v>0</v>
      </c>
      <c r="M49" s="21" t="n">
        <v>0</v>
      </c>
      <c r="N49" s="21" t="n">
        <v>0</v>
      </c>
      <c r="O49" s="21" t="n">
        <v>0</v>
      </c>
      <c r="P49" s="21" t="n">
        <v>0</v>
      </c>
      <c r="Q49" s="21" t="n">
        <v>0</v>
      </c>
      <c r="R49" s="21" t="n">
        <v>0</v>
      </c>
      <c r="S49" s="21" t="n">
        <v>0</v>
      </c>
      <c r="T49" s="21" t="n">
        <v>0</v>
      </c>
      <c r="U49" s="21" t="n">
        <v>0</v>
      </c>
      <c r="V49" s="21" t="n">
        <v>0</v>
      </c>
      <c r="W49" s="21" t="n">
        <v>0</v>
      </c>
      <c r="X49" s="21" t="n">
        <v>0</v>
      </c>
      <c r="Y49" s="21" t="n">
        <v>0</v>
      </c>
      <c r="Z49" s="21" t="n">
        <v>0</v>
      </c>
      <c r="AA49" s="21" t="n">
        <v>0</v>
      </c>
      <c r="AB49" s="21" t="n">
        <v>0</v>
      </c>
      <c r="AC49" s="21" t="n">
        <v>0</v>
      </c>
      <c r="AD49" s="21" t="n">
        <v>0</v>
      </c>
      <c r="AE49" s="21" t="n">
        <v>0</v>
      </c>
      <c r="AF49" s="21" t="n">
        <v>0</v>
      </c>
      <c r="AG49" s="21" t="n">
        <v>0</v>
      </c>
      <c r="AH49" s="21" t="n">
        <v>0</v>
      </c>
      <c r="AI49" s="21" t="n">
        <v>0</v>
      </c>
      <c r="AJ49" s="21" t="n">
        <v>0</v>
      </c>
      <c r="AK49" s="21" t="n">
        <v>0</v>
      </c>
      <c r="AL49" s="21" t="n">
        <v>0</v>
      </c>
      <c r="AM49" s="21" t="n">
        <v>0</v>
      </c>
      <c r="AN49" s="21" t="n">
        <v>0</v>
      </c>
      <c r="AO49" s="21" t="n">
        <v>0</v>
      </c>
      <c r="AP49" s="21" t="n">
        <v>0</v>
      </c>
      <c r="AQ49" s="21" t="n">
        <v>0</v>
      </c>
      <c r="AR49" s="21" t="n">
        <v>0</v>
      </c>
      <c r="AS49" s="21" t="n">
        <v>0</v>
      </c>
      <c r="AT49" s="21" t="n">
        <v>0</v>
      </c>
      <c r="AU49" s="21" t="n">
        <v>0</v>
      </c>
      <c r="AV49" s="21" t="n">
        <v>0</v>
      </c>
      <c r="AW49" s="21" t="n">
        <v>0</v>
      </c>
      <c r="AX49" s="21" t="n">
        <v>0</v>
      </c>
      <c r="AY49" s="21" t="n">
        <v>0</v>
      </c>
      <c r="AZ49" s="21" t="n">
        <v>0</v>
      </c>
      <c r="BA49" s="21" t="n">
        <v>0</v>
      </c>
      <c r="BB49" s="21" t="n">
        <v>0</v>
      </c>
      <c r="BC49" s="21" t="n">
        <v>0</v>
      </c>
      <c r="BD49" s="21" t="n">
        <v>0</v>
      </c>
      <c r="BE49" s="21" t="n">
        <v>0</v>
      </c>
      <c r="BF49" s="21" t="n">
        <v>0</v>
      </c>
      <c r="BG49" s="21" t="n">
        <v>0</v>
      </c>
      <c r="BH49" s="21" t="n">
        <v>0</v>
      </c>
      <c r="BI49" s="21" t="n">
        <v>0</v>
      </c>
      <c r="BJ49" s="21" t="n">
        <v>0</v>
      </c>
      <c r="BK49" s="21" t="n">
        <v>0</v>
      </c>
      <c r="BL49" s="21" t="n">
        <v>0</v>
      </c>
      <c r="BM49" s="21" t="n">
        <v>0</v>
      </c>
      <c r="BN49" s="21" t="n">
        <v>0</v>
      </c>
      <c r="BO49" s="21" t="n">
        <v>0</v>
      </c>
      <c r="BP49" s="21" t="n">
        <v>0</v>
      </c>
      <c r="BQ49" s="21" t="n">
        <v>0</v>
      </c>
      <c r="BR49" s="21" t="n">
        <v>0</v>
      </c>
      <c r="BS49" s="21" t="n">
        <v>0</v>
      </c>
      <c r="BT49" s="21" t="n">
        <v>0</v>
      </c>
      <c r="BU49" s="21" t="n">
        <v>0</v>
      </c>
      <c r="BV49" s="21" t="n">
        <v>0</v>
      </c>
      <c r="BW49" s="21" t="n">
        <v>0</v>
      </c>
      <c r="BX49" s="21" t="n">
        <v>0</v>
      </c>
      <c r="BY49" s="21" t="n">
        <v>0</v>
      </c>
      <c r="BZ49" s="21" t="n">
        <v>0</v>
      </c>
      <c r="CA49" s="21" t="n">
        <v>0</v>
      </c>
      <c r="CB49" s="21" t="n">
        <v>0</v>
      </c>
      <c r="CC49" s="21" t="n">
        <v>0</v>
      </c>
      <c r="CD49" s="21" t="n">
        <v>0</v>
      </c>
      <c r="CE49" s="21" t="n">
        <v>0</v>
      </c>
      <c r="CF49" s="21" t="n">
        <v>0</v>
      </c>
      <c r="CG49" s="21" t="n">
        <v>0</v>
      </c>
      <c r="CH49" s="21" t="n">
        <v>0</v>
      </c>
      <c r="CI49" s="21" t="n">
        <v>0</v>
      </c>
      <c r="CJ49" s="21" t="n">
        <v>0</v>
      </c>
      <c r="CK49" s="21" t="n">
        <v>0</v>
      </c>
      <c r="CL49" s="21" t="n">
        <v>0</v>
      </c>
      <c r="CM49" s="21" t="n">
        <v>0</v>
      </c>
      <c r="CN49" s="21" t="n">
        <v>0</v>
      </c>
      <c r="CO49" s="21" t="n">
        <v>0</v>
      </c>
      <c r="CP49" s="21" t="n">
        <v>0</v>
      </c>
      <c r="CQ49" s="21" t="n">
        <v>0</v>
      </c>
      <c r="CR49" s="21" t="n">
        <v>0</v>
      </c>
      <c r="CS49" s="21" t="n">
        <v>0</v>
      </c>
      <c r="CT49" s="21" t="n">
        <v>0</v>
      </c>
      <c r="CU49" s="21" t="n">
        <v>0</v>
      </c>
      <c r="CV49" s="21" t="n">
        <v>0</v>
      </c>
      <c r="CW49" s="21" t="n">
        <v>0</v>
      </c>
      <c r="CX49" s="21" t="n">
        <v>0</v>
      </c>
      <c r="CY49" s="21" t="n">
        <v>0</v>
      </c>
      <c r="CZ49" s="21" t="n">
        <v>0</v>
      </c>
      <c r="DA49" s="21" t="n">
        <v>0</v>
      </c>
    </row>
    <row r="50">
      <c r="A50" t="inlineStr">
        <is>
          <t>TSP-937</t>
        </is>
      </c>
      <c r="B50" s="21" t="n">
        <v>0</v>
      </c>
      <c r="C50" s="21" t="n">
        <v>0</v>
      </c>
      <c r="D50" s="21" t="n">
        <v>0</v>
      </c>
      <c r="E50" s="21" t="n">
        <v>0</v>
      </c>
      <c r="F50" s="21" t="n">
        <v>0</v>
      </c>
      <c r="G50" s="21" t="n">
        <v>0</v>
      </c>
      <c r="H50" s="21" t="n">
        <v>0</v>
      </c>
      <c r="I50" s="21" t="n">
        <v>0</v>
      </c>
      <c r="J50" s="21" t="n">
        <v>0</v>
      </c>
      <c r="K50" s="21" t="n">
        <v>0</v>
      </c>
      <c r="L50" s="21" t="n">
        <v>0</v>
      </c>
      <c r="M50" s="21" t="n">
        <v>0</v>
      </c>
      <c r="N50" s="21" t="n">
        <v>0</v>
      </c>
      <c r="O50" s="21" t="n">
        <v>0</v>
      </c>
      <c r="P50" s="21" t="n">
        <v>0</v>
      </c>
      <c r="Q50" s="21" t="n">
        <v>0</v>
      </c>
      <c r="R50" s="21" t="n">
        <v>0</v>
      </c>
      <c r="S50" s="21" t="n">
        <v>0</v>
      </c>
      <c r="T50" s="21" t="n">
        <v>0</v>
      </c>
      <c r="U50" s="21" t="n">
        <v>0</v>
      </c>
      <c r="V50" s="21" t="n">
        <v>0</v>
      </c>
      <c r="W50" s="21" t="n">
        <v>0</v>
      </c>
      <c r="X50" s="21" t="n">
        <v>1.239039250313827</v>
      </c>
      <c r="Y50" s="21" t="n">
        <v>0</v>
      </c>
      <c r="Z50" s="21" t="n">
        <v>0</v>
      </c>
      <c r="AA50" s="21" t="n">
        <v>0</v>
      </c>
      <c r="AB50" s="21" t="n">
        <v>0</v>
      </c>
      <c r="AC50" s="21" t="n">
        <v>0</v>
      </c>
      <c r="AD50" s="21" t="n">
        <v>1.239039250313827</v>
      </c>
      <c r="AE50" s="21" t="n">
        <v>0</v>
      </c>
      <c r="AF50" s="21" t="n">
        <v>0</v>
      </c>
      <c r="AG50" s="21" t="n">
        <v>1.239039250313827</v>
      </c>
      <c r="AH50" s="21" t="n">
        <v>0</v>
      </c>
      <c r="AI50" s="21" t="n">
        <v>0</v>
      </c>
      <c r="AJ50" s="21" t="n">
        <v>1.239039250313827</v>
      </c>
      <c r="AK50" s="21" t="n">
        <v>0</v>
      </c>
      <c r="AL50" s="21" t="n">
        <v>0</v>
      </c>
      <c r="AM50" s="21" t="n">
        <v>0</v>
      </c>
      <c r="AN50" s="21" t="n">
        <v>0</v>
      </c>
      <c r="AO50" s="21" t="n">
        <v>1.239039250313827</v>
      </c>
      <c r="AP50" s="21" t="n">
        <v>0</v>
      </c>
      <c r="AQ50" s="21" t="n">
        <v>0</v>
      </c>
      <c r="AR50" s="21" t="n">
        <v>0</v>
      </c>
      <c r="AS50" s="21" t="n">
        <v>1.239039250313827</v>
      </c>
      <c r="AT50" s="21" t="n">
        <v>0</v>
      </c>
      <c r="AU50" s="21" t="n">
        <v>0</v>
      </c>
      <c r="AV50" s="21" t="n">
        <v>0</v>
      </c>
      <c r="AW50" s="21" t="n">
        <v>0</v>
      </c>
      <c r="AX50" s="21" t="n">
        <v>0</v>
      </c>
      <c r="AY50" s="21" t="n">
        <v>0</v>
      </c>
      <c r="AZ50" s="21" t="n">
        <v>0</v>
      </c>
      <c r="BA50" s="21" t="n">
        <v>0</v>
      </c>
      <c r="BB50" s="21" t="n">
        <v>0</v>
      </c>
      <c r="BC50" s="21" t="n">
        <v>0</v>
      </c>
      <c r="BD50" s="21" t="n">
        <v>0</v>
      </c>
      <c r="BE50" s="21" t="n">
        <v>0</v>
      </c>
      <c r="BF50" s="21" t="n">
        <v>0</v>
      </c>
      <c r="BG50" s="21" t="n">
        <v>0</v>
      </c>
      <c r="BH50" s="21" t="n">
        <v>0</v>
      </c>
      <c r="BI50" s="21" t="n">
        <v>0</v>
      </c>
      <c r="BJ50" s="21" t="n">
        <v>0</v>
      </c>
      <c r="BK50" s="21" t="n">
        <v>0</v>
      </c>
      <c r="BL50" s="21" t="n">
        <v>0</v>
      </c>
      <c r="BM50" s="21" t="n">
        <v>0</v>
      </c>
      <c r="BN50" s="21" t="n">
        <v>0</v>
      </c>
      <c r="BO50" s="21" t="n">
        <v>0</v>
      </c>
      <c r="BP50" s="21" t="n">
        <v>0</v>
      </c>
      <c r="BQ50" s="21" t="n">
        <v>0</v>
      </c>
      <c r="BR50" s="21" t="n">
        <v>0</v>
      </c>
      <c r="BS50" s="21" t="n">
        <v>0</v>
      </c>
      <c r="BT50" s="21" t="n">
        <v>0</v>
      </c>
      <c r="BU50" s="21" t="n">
        <v>0</v>
      </c>
      <c r="BV50" s="21" t="n">
        <v>0</v>
      </c>
      <c r="BW50" s="21" t="n">
        <v>0</v>
      </c>
      <c r="BX50" s="21" t="n">
        <v>0</v>
      </c>
      <c r="BY50" s="21" t="n">
        <v>0</v>
      </c>
      <c r="BZ50" s="21" t="n">
        <v>0</v>
      </c>
      <c r="CA50" s="21" t="n">
        <v>0</v>
      </c>
      <c r="CB50" s="21" t="n">
        <v>0</v>
      </c>
      <c r="CC50" s="21" t="n">
        <v>0</v>
      </c>
      <c r="CD50" s="21" t="n">
        <v>0</v>
      </c>
      <c r="CE50" s="21" t="n">
        <v>0</v>
      </c>
      <c r="CF50" s="21" t="n">
        <v>0</v>
      </c>
      <c r="CG50" s="21" t="n">
        <v>0</v>
      </c>
      <c r="CH50" s="21" t="n">
        <v>0</v>
      </c>
      <c r="CI50" s="21" t="n">
        <v>0</v>
      </c>
      <c r="CJ50" s="21" t="n">
        <v>0</v>
      </c>
      <c r="CK50" s="21" t="n">
        <v>0</v>
      </c>
      <c r="CL50" s="21" t="n">
        <v>0</v>
      </c>
      <c r="CM50" s="21" t="n">
        <v>0</v>
      </c>
      <c r="CN50" s="21" t="n">
        <v>0</v>
      </c>
      <c r="CO50" s="21" t="n">
        <v>0</v>
      </c>
      <c r="CP50" s="21" t="n">
        <v>0</v>
      </c>
      <c r="CQ50" s="21" t="n">
        <v>0</v>
      </c>
      <c r="CR50" s="21" t="n">
        <v>0</v>
      </c>
      <c r="CS50" s="21" t="n">
        <v>0</v>
      </c>
      <c r="CT50" s="21" t="n">
        <v>0</v>
      </c>
      <c r="CU50" s="21" t="n">
        <v>0</v>
      </c>
      <c r="CV50" s="21" t="n">
        <v>0</v>
      </c>
      <c r="CW50" s="21" t="n">
        <v>0</v>
      </c>
      <c r="CX50" s="21" t="n">
        <v>0</v>
      </c>
      <c r="CY50" s="21" t="n">
        <v>0</v>
      </c>
      <c r="CZ50" s="21" t="n">
        <v>0</v>
      </c>
      <c r="DA50" s="21" t="n">
        <v>0</v>
      </c>
    </row>
    <row r="51">
      <c r="A51" t="inlineStr">
        <is>
          <t>TSP-959</t>
        </is>
      </c>
      <c r="B51" s="21" t="n">
        <v>0</v>
      </c>
      <c r="C51" s="21" t="n">
        <v>0</v>
      </c>
      <c r="D51" s="21" t="n">
        <v>0</v>
      </c>
      <c r="E51" s="21" t="n">
        <v>0</v>
      </c>
      <c r="F51" s="21" t="n">
        <v>0</v>
      </c>
      <c r="G51" s="21" t="n">
        <v>0</v>
      </c>
      <c r="H51" s="21" t="n">
        <v>0</v>
      </c>
      <c r="I51" s="21" t="n">
        <v>0</v>
      </c>
      <c r="J51" s="21" t="n">
        <v>0</v>
      </c>
      <c r="K51" s="21" t="n">
        <v>0</v>
      </c>
      <c r="L51" s="21" t="n">
        <v>0</v>
      </c>
      <c r="M51" s="21" t="n">
        <v>0</v>
      </c>
      <c r="N51" s="21" t="n">
        <v>0</v>
      </c>
      <c r="O51" s="21" t="n">
        <v>0</v>
      </c>
      <c r="P51" s="21" t="n">
        <v>0</v>
      </c>
      <c r="Q51" s="21" t="n">
        <v>0</v>
      </c>
      <c r="R51" s="21" t="n">
        <v>0</v>
      </c>
      <c r="S51" s="21" t="n">
        <v>0</v>
      </c>
      <c r="T51" s="21" t="n">
        <v>0</v>
      </c>
      <c r="U51" s="21" t="n">
        <v>0</v>
      </c>
      <c r="V51" s="21" t="n">
        <v>0</v>
      </c>
      <c r="W51" s="21" t="n">
        <v>0</v>
      </c>
      <c r="X51" s="21" t="n">
        <v>4.682540897586271</v>
      </c>
      <c r="Y51" s="21" t="n">
        <v>4.682540897586271</v>
      </c>
      <c r="Z51" s="21" t="n">
        <v>0</v>
      </c>
      <c r="AA51" s="21" t="n">
        <v>5.619049077103525</v>
      </c>
      <c r="AB51" s="21" t="n">
        <v>3.746032718069016</v>
      </c>
      <c r="AC51" s="21" t="n">
        <v>4.682540897586271</v>
      </c>
      <c r="AD51" s="21" t="n">
        <v>4.682540897586271</v>
      </c>
      <c r="AE51" s="21" t="n">
        <v>2.341270448793135</v>
      </c>
      <c r="AF51" s="21" t="n">
        <v>2.341270448793135</v>
      </c>
      <c r="AG51" s="21" t="n">
        <v>4.682540897586271</v>
      </c>
      <c r="AH51" s="21" t="n">
        <v>4.682540897586271</v>
      </c>
      <c r="AI51" s="21" t="n">
        <v>4.682540897586271</v>
      </c>
      <c r="AJ51" s="21" t="n">
        <v>4.682540897586271</v>
      </c>
      <c r="AK51" s="21" t="n">
        <v>4.682540897586271</v>
      </c>
      <c r="AL51" s="21" t="n">
        <v>4.682540897586271</v>
      </c>
      <c r="AM51" s="21" t="n">
        <v>4.682540897586271</v>
      </c>
      <c r="AN51" s="21" t="n">
        <v>2.341270448793135</v>
      </c>
      <c r="AO51" s="21" t="n">
        <v>2.341270448793135</v>
      </c>
      <c r="AP51" s="21" t="n">
        <v>4.682540897586271</v>
      </c>
      <c r="AQ51" s="21" t="n">
        <v>4.682540897586271</v>
      </c>
      <c r="AR51" s="21" t="n">
        <v>4.682540897586271</v>
      </c>
      <c r="AS51" s="21" t="n">
        <v>4.682540897586271</v>
      </c>
      <c r="AT51" s="21" t="n">
        <v>7.023811346379405</v>
      </c>
      <c r="AU51" s="21" t="n">
        <v>7.023811346379405</v>
      </c>
      <c r="AV51" s="21" t="n">
        <v>7.023811346379405</v>
      </c>
      <c r="AW51" s="21" t="n">
        <v>7.023811346379405</v>
      </c>
      <c r="AX51" s="21" t="n">
        <v>4.682540897586271</v>
      </c>
      <c r="AY51" s="21" t="n">
        <v>4.682540897586271</v>
      </c>
      <c r="AZ51" s="21" t="n">
        <v>2.341270448793135</v>
      </c>
      <c r="BA51" s="21" t="n">
        <v>0</v>
      </c>
      <c r="BB51" s="21" t="n">
        <v>0</v>
      </c>
      <c r="BC51" s="21" t="n">
        <v>4.682540897586271</v>
      </c>
      <c r="BD51" s="21" t="n">
        <v>4.682540897586271</v>
      </c>
      <c r="BE51" s="21" t="n">
        <v>4.682540897586271</v>
      </c>
      <c r="BF51" s="21" t="n">
        <v>4.682540897586271</v>
      </c>
      <c r="BG51" s="21" t="n">
        <v>4.682540897586271</v>
      </c>
      <c r="BH51" s="21" t="n">
        <v>4.682540897586271</v>
      </c>
      <c r="BI51" s="21" t="n">
        <v>4.682540897586271</v>
      </c>
      <c r="BJ51" s="21" t="n">
        <v>4.682540897586271</v>
      </c>
      <c r="BK51" s="21" t="n">
        <v>4.682540897586271</v>
      </c>
      <c r="BL51" s="21" t="n">
        <v>0</v>
      </c>
      <c r="BM51" s="21" t="n">
        <v>4.682540897586271</v>
      </c>
      <c r="BN51" s="21" t="n">
        <v>0</v>
      </c>
      <c r="BO51" s="21" t="n">
        <v>2.341270448793135</v>
      </c>
      <c r="BP51" s="21" t="n">
        <v>2.341270448793135</v>
      </c>
      <c r="BQ51" s="21" t="n">
        <v>2.341270448793135</v>
      </c>
      <c r="BR51" s="21" t="n">
        <v>2.341270448793135</v>
      </c>
      <c r="BS51" s="21" t="n">
        <v>0</v>
      </c>
      <c r="BT51" s="21" t="n">
        <v>2.341270448793135</v>
      </c>
      <c r="BU51" s="21" t="n">
        <v>2.341270448793135</v>
      </c>
      <c r="BV51" s="21" t="n">
        <v>2.341270448793135</v>
      </c>
      <c r="BW51" s="21" t="n">
        <v>2.341270448793135</v>
      </c>
      <c r="BX51" s="21" t="n">
        <v>0</v>
      </c>
      <c r="BY51" s="21" t="n">
        <v>0</v>
      </c>
      <c r="BZ51" s="21" t="n">
        <v>0</v>
      </c>
      <c r="CA51" s="21" t="n">
        <v>0</v>
      </c>
      <c r="CB51" s="21" t="n">
        <v>0</v>
      </c>
      <c r="CC51" s="21" t="n">
        <v>0</v>
      </c>
      <c r="CD51" s="21" t="n">
        <v>0</v>
      </c>
      <c r="CE51" s="21" t="n">
        <v>0</v>
      </c>
      <c r="CF51" s="21" t="n">
        <v>0</v>
      </c>
      <c r="CG51" s="21" t="n">
        <v>0</v>
      </c>
      <c r="CH51" s="21" t="n">
        <v>0</v>
      </c>
      <c r="CI51" s="21" t="n">
        <v>0</v>
      </c>
      <c r="CJ51" s="21" t="n">
        <v>0</v>
      </c>
      <c r="CK51" s="21" t="n">
        <v>0</v>
      </c>
      <c r="CL51" s="21" t="n">
        <v>0</v>
      </c>
      <c r="CM51" s="21" t="n">
        <v>0</v>
      </c>
      <c r="CN51" s="21" t="n">
        <v>0</v>
      </c>
      <c r="CO51" s="21" t="n">
        <v>0</v>
      </c>
      <c r="CP51" s="21" t="n">
        <v>0</v>
      </c>
      <c r="CQ51" s="21" t="n">
        <v>0</v>
      </c>
      <c r="CR51" s="21" t="n">
        <v>0</v>
      </c>
      <c r="CS51" s="21" t="n">
        <v>0</v>
      </c>
      <c r="CT51" s="21" t="n">
        <v>0</v>
      </c>
      <c r="CU51" s="21" t="n">
        <v>0</v>
      </c>
      <c r="CV51" s="21" t="n">
        <v>0</v>
      </c>
      <c r="CW51" s="21" t="n">
        <v>0</v>
      </c>
      <c r="CX51" s="21" t="n">
        <v>0</v>
      </c>
      <c r="CY51" s="21" t="n">
        <v>0</v>
      </c>
      <c r="CZ51" s="21" t="n">
        <v>0</v>
      </c>
      <c r="DA51" s="21" t="n">
        <v>0</v>
      </c>
    </row>
    <row r="52">
      <c r="A52" t="inlineStr">
        <is>
          <t>TSP-966</t>
        </is>
      </c>
      <c r="B52" s="21" t="n">
        <v>0</v>
      </c>
      <c r="C52" s="21" t="n">
        <v>0</v>
      </c>
      <c r="D52" s="21" t="n">
        <v>0</v>
      </c>
      <c r="E52" s="21" t="n">
        <v>0</v>
      </c>
      <c r="F52" s="21" t="n">
        <v>0</v>
      </c>
      <c r="G52" s="21" t="n">
        <v>0</v>
      </c>
      <c r="H52" s="21" t="n">
        <v>0</v>
      </c>
      <c r="I52" s="21" t="n">
        <v>0</v>
      </c>
      <c r="J52" s="21" t="n">
        <v>0</v>
      </c>
      <c r="K52" s="21" t="n">
        <v>0</v>
      </c>
      <c r="L52" s="21" t="n">
        <v>0</v>
      </c>
      <c r="M52" s="21" t="n">
        <v>0</v>
      </c>
      <c r="N52" s="21" t="n">
        <v>0</v>
      </c>
      <c r="O52" s="21" t="n">
        <v>0</v>
      </c>
      <c r="P52" s="21" t="n">
        <v>0</v>
      </c>
      <c r="Q52" s="21" t="n">
        <v>0</v>
      </c>
      <c r="R52" s="21" t="n">
        <v>0</v>
      </c>
      <c r="S52" s="21" t="n">
        <v>0</v>
      </c>
      <c r="T52" s="21" t="n">
        <v>0</v>
      </c>
      <c r="U52" s="21" t="n">
        <v>0</v>
      </c>
      <c r="V52" s="21" t="n">
        <v>0</v>
      </c>
      <c r="W52" s="21" t="n">
        <v>0</v>
      </c>
      <c r="X52" s="21" t="n">
        <v>3.986454051712438</v>
      </c>
      <c r="Y52" s="21" t="n">
        <v>3.986454051712438</v>
      </c>
      <c r="Z52" s="21" t="n">
        <v>0</v>
      </c>
      <c r="AA52" s="21" t="n">
        <v>4.783744862054926</v>
      </c>
      <c r="AB52" s="21" t="n">
        <v>3.18916324136995</v>
      </c>
      <c r="AC52" s="21" t="n">
        <v>3.986454051712438</v>
      </c>
      <c r="AD52" s="21" t="n">
        <v>3.986454051712438</v>
      </c>
      <c r="AE52" s="21" t="n">
        <v>1.993227025856219</v>
      </c>
      <c r="AF52" s="21" t="n">
        <v>1.993227025856219</v>
      </c>
      <c r="AG52" s="21" t="n">
        <v>3.986454051712438</v>
      </c>
      <c r="AH52" s="21" t="n">
        <v>3.986454051712438</v>
      </c>
      <c r="AI52" s="21" t="n">
        <v>3.986454051712438</v>
      </c>
      <c r="AJ52" s="21" t="n">
        <v>3.986454051712438</v>
      </c>
      <c r="AK52" s="21" t="n">
        <v>3.986454051712438</v>
      </c>
      <c r="AL52" s="21" t="n">
        <v>3.986454051712438</v>
      </c>
      <c r="AM52" s="21" t="n">
        <v>3.986454051712438</v>
      </c>
      <c r="AN52" s="21" t="n">
        <v>1.993227025856219</v>
      </c>
      <c r="AO52" s="21" t="n">
        <v>1.993227025856219</v>
      </c>
      <c r="AP52" s="21" t="n">
        <v>3.986454051712438</v>
      </c>
      <c r="AQ52" s="21" t="n">
        <v>3.986454051712438</v>
      </c>
      <c r="AR52" s="21" t="n">
        <v>3.986454051712438</v>
      </c>
      <c r="AS52" s="21" t="n">
        <v>3.986454051712438</v>
      </c>
      <c r="AT52" s="21" t="n">
        <v>5.979681077568658</v>
      </c>
      <c r="AU52" s="21" t="n">
        <v>5.979681077568658</v>
      </c>
      <c r="AV52" s="21" t="n">
        <v>5.979681077568658</v>
      </c>
      <c r="AW52" s="21" t="n">
        <v>5.979681077568658</v>
      </c>
      <c r="AX52" s="21" t="n">
        <v>3.986454051712438</v>
      </c>
      <c r="AY52" s="21" t="n">
        <v>3.986454051712438</v>
      </c>
      <c r="AZ52" s="21" t="n">
        <v>1.993227025856219</v>
      </c>
      <c r="BA52" s="21" t="n">
        <v>0</v>
      </c>
      <c r="BB52" s="21" t="n">
        <v>0</v>
      </c>
      <c r="BC52" s="21" t="n">
        <v>3.986454051712438</v>
      </c>
      <c r="BD52" s="21" t="n">
        <v>3.986454051712438</v>
      </c>
      <c r="BE52" s="21" t="n">
        <v>3.986454051712438</v>
      </c>
      <c r="BF52" s="21" t="n">
        <v>3.986454051712438</v>
      </c>
      <c r="BG52" s="21" t="n">
        <v>3.986454051712438</v>
      </c>
      <c r="BH52" s="21" t="n">
        <v>3.986454051712438</v>
      </c>
      <c r="BI52" s="21" t="n">
        <v>3.986454051712438</v>
      </c>
      <c r="BJ52" s="21" t="n">
        <v>3.986454051712438</v>
      </c>
      <c r="BK52" s="21" t="n">
        <v>3.986454051712438</v>
      </c>
      <c r="BL52" s="21" t="n">
        <v>0</v>
      </c>
      <c r="BM52" s="21" t="n">
        <v>3.986454051712438</v>
      </c>
      <c r="BN52" s="21" t="n">
        <v>0</v>
      </c>
      <c r="BO52" s="21" t="n">
        <v>1.993227025856219</v>
      </c>
      <c r="BP52" s="21" t="n">
        <v>1.993227025856219</v>
      </c>
      <c r="BQ52" s="21" t="n">
        <v>1.993227025856219</v>
      </c>
      <c r="BR52" s="21" t="n">
        <v>1.993227025856219</v>
      </c>
      <c r="BS52" s="21" t="n">
        <v>0</v>
      </c>
      <c r="BT52" s="21" t="n">
        <v>1.993227025856219</v>
      </c>
      <c r="BU52" s="21" t="n">
        <v>1.993227025856219</v>
      </c>
      <c r="BV52" s="21" t="n">
        <v>1.993227025856219</v>
      </c>
      <c r="BW52" s="21" t="n">
        <v>1.993227025856219</v>
      </c>
      <c r="BX52" s="21" t="n">
        <v>0</v>
      </c>
      <c r="BY52" s="21" t="n">
        <v>0</v>
      </c>
      <c r="BZ52" s="21" t="n">
        <v>0</v>
      </c>
      <c r="CA52" s="21" t="n">
        <v>0</v>
      </c>
      <c r="CB52" s="21" t="n">
        <v>0</v>
      </c>
      <c r="CC52" s="21" t="n">
        <v>0</v>
      </c>
      <c r="CD52" s="21" t="n">
        <v>0</v>
      </c>
      <c r="CE52" s="21" t="n">
        <v>0</v>
      </c>
      <c r="CF52" s="21" t="n">
        <v>0</v>
      </c>
      <c r="CG52" s="21" t="n">
        <v>0</v>
      </c>
      <c r="CH52" s="21" t="n">
        <v>0</v>
      </c>
      <c r="CI52" s="21" t="n">
        <v>0</v>
      </c>
      <c r="CJ52" s="21" t="n">
        <v>0</v>
      </c>
      <c r="CK52" s="21" t="n">
        <v>0</v>
      </c>
      <c r="CL52" s="21" t="n">
        <v>0</v>
      </c>
      <c r="CM52" s="21" t="n">
        <v>0</v>
      </c>
      <c r="CN52" s="21" t="n">
        <v>0</v>
      </c>
      <c r="CO52" s="21" t="n">
        <v>0</v>
      </c>
      <c r="CP52" s="21" t="n">
        <v>0</v>
      </c>
      <c r="CQ52" s="21" t="n">
        <v>0</v>
      </c>
      <c r="CR52" s="21" t="n">
        <v>0</v>
      </c>
      <c r="CS52" s="21" t="n">
        <v>0</v>
      </c>
      <c r="CT52" s="21" t="n">
        <v>0</v>
      </c>
      <c r="CU52" s="21" t="n">
        <v>0</v>
      </c>
      <c r="CV52" s="21" t="n">
        <v>0</v>
      </c>
      <c r="CW52" s="21" t="n">
        <v>0</v>
      </c>
      <c r="CX52" s="21" t="n">
        <v>0</v>
      </c>
      <c r="CY52" s="21" t="n">
        <v>0</v>
      </c>
      <c r="CZ52" s="21" t="n">
        <v>0</v>
      </c>
      <c r="DA52" s="21" t="n">
        <v>0</v>
      </c>
    </row>
    <row r="53">
      <c r="A53" t="inlineStr">
        <is>
          <t>TSZ-616</t>
        </is>
      </c>
      <c r="B53" s="21" t="n">
        <v>0</v>
      </c>
      <c r="C53" s="21" t="n">
        <v>0</v>
      </c>
      <c r="D53" s="21" t="n">
        <v>0</v>
      </c>
      <c r="E53" s="21" t="n">
        <v>0</v>
      </c>
      <c r="F53" s="21" t="n">
        <v>0</v>
      </c>
      <c r="G53" s="21" t="n">
        <v>0</v>
      </c>
      <c r="H53" s="21" t="n">
        <v>0</v>
      </c>
      <c r="I53" s="21" t="n">
        <v>0</v>
      </c>
      <c r="J53" s="21" t="n">
        <v>0</v>
      </c>
      <c r="K53" s="21" t="n">
        <v>0</v>
      </c>
      <c r="L53" s="21" t="n">
        <v>0</v>
      </c>
      <c r="M53" s="21" t="n">
        <v>0</v>
      </c>
      <c r="N53" s="21" t="n">
        <v>0</v>
      </c>
      <c r="O53" s="21" t="n">
        <v>0</v>
      </c>
      <c r="P53" s="21" t="n">
        <v>0</v>
      </c>
      <c r="Q53" s="21" t="n">
        <v>0</v>
      </c>
      <c r="R53" s="21" t="n">
        <v>0</v>
      </c>
      <c r="S53" s="21" t="n">
        <v>0</v>
      </c>
      <c r="T53" s="21" t="n">
        <v>0</v>
      </c>
      <c r="U53" s="21" t="n">
        <v>0</v>
      </c>
      <c r="V53" s="21" t="n">
        <v>0</v>
      </c>
      <c r="W53" s="21" t="n">
        <v>0</v>
      </c>
      <c r="X53" s="21" t="n">
        <v>0</v>
      </c>
      <c r="Y53" s="21" t="n">
        <v>0</v>
      </c>
      <c r="Z53" s="21" t="n">
        <v>0</v>
      </c>
      <c r="AA53" s="21" t="n">
        <v>0</v>
      </c>
      <c r="AB53" s="21" t="n">
        <v>0</v>
      </c>
      <c r="AC53" s="21" t="n">
        <v>0</v>
      </c>
      <c r="AD53" s="21" t="n">
        <v>0</v>
      </c>
      <c r="AE53" s="21" t="n">
        <v>0</v>
      </c>
      <c r="AF53" s="21" t="n">
        <v>0</v>
      </c>
      <c r="AG53" s="21" t="n">
        <v>0</v>
      </c>
      <c r="AH53" s="21" t="n">
        <v>0</v>
      </c>
      <c r="AI53" s="21" t="n">
        <v>0</v>
      </c>
      <c r="AJ53" s="21" t="n">
        <v>0</v>
      </c>
      <c r="AK53" s="21" t="n">
        <v>0</v>
      </c>
      <c r="AL53" s="21" t="n">
        <v>0</v>
      </c>
      <c r="AM53" s="21" t="n">
        <v>0</v>
      </c>
      <c r="AN53" s="21" t="n">
        <v>0</v>
      </c>
      <c r="AO53" s="21" t="n">
        <v>0</v>
      </c>
      <c r="AP53" s="21" t="n">
        <v>0</v>
      </c>
      <c r="AQ53" s="21" t="n">
        <v>0</v>
      </c>
      <c r="AR53" s="21" t="n">
        <v>0</v>
      </c>
      <c r="AS53" s="21" t="n">
        <v>0</v>
      </c>
      <c r="AT53" s="21" t="n">
        <v>0</v>
      </c>
      <c r="AU53" s="21" t="n">
        <v>0</v>
      </c>
      <c r="AV53" s="21" t="n">
        <v>0</v>
      </c>
      <c r="AW53" s="21" t="n">
        <v>0</v>
      </c>
      <c r="AX53" s="21" t="n">
        <v>0</v>
      </c>
      <c r="AY53" s="21" t="n">
        <v>0</v>
      </c>
      <c r="AZ53" s="21" t="n">
        <v>0</v>
      </c>
      <c r="BA53" s="21" t="n">
        <v>0</v>
      </c>
      <c r="BB53" s="21" t="n">
        <v>0</v>
      </c>
      <c r="BC53" s="21" t="n">
        <v>0</v>
      </c>
      <c r="BD53" s="21" t="n">
        <v>0</v>
      </c>
      <c r="BE53" s="21" t="n">
        <v>0</v>
      </c>
      <c r="BF53" s="21" t="n">
        <v>0</v>
      </c>
      <c r="BG53" s="21" t="n">
        <v>0</v>
      </c>
      <c r="BH53" s="21" t="n">
        <v>0</v>
      </c>
      <c r="BI53" s="21" t="n">
        <v>0</v>
      </c>
      <c r="BJ53" s="21" t="n">
        <v>0</v>
      </c>
      <c r="BK53" s="21" t="n">
        <v>0</v>
      </c>
      <c r="BL53" s="21" t="n">
        <v>0</v>
      </c>
      <c r="BM53" s="21" t="n">
        <v>0</v>
      </c>
      <c r="BN53" s="21" t="n">
        <v>0</v>
      </c>
      <c r="BO53" s="21" t="n">
        <v>0</v>
      </c>
      <c r="BP53" s="21" t="n">
        <v>0</v>
      </c>
      <c r="BQ53" s="21" t="n">
        <v>0</v>
      </c>
      <c r="BR53" s="21" t="n">
        <v>0</v>
      </c>
      <c r="BS53" s="21" t="n">
        <v>0</v>
      </c>
      <c r="BT53" s="21" t="n">
        <v>0</v>
      </c>
      <c r="BU53" s="21" t="n">
        <v>0</v>
      </c>
      <c r="BV53" s="21" t="n">
        <v>0</v>
      </c>
      <c r="BW53" s="21" t="n">
        <v>0</v>
      </c>
      <c r="BX53" s="21" t="n">
        <v>0</v>
      </c>
      <c r="BY53" s="21" t="n">
        <v>0</v>
      </c>
      <c r="BZ53" s="21" t="n">
        <v>0</v>
      </c>
      <c r="CA53" s="21" t="n">
        <v>0</v>
      </c>
      <c r="CB53" s="21" t="n">
        <v>0</v>
      </c>
      <c r="CC53" s="21" t="n">
        <v>0</v>
      </c>
      <c r="CD53" s="21" t="n">
        <v>0</v>
      </c>
      <c r="CE53" s="21" t="n">
        <v>0</v>
      </c>
      <c r="CF53" s="21" t="n">
        <v>0</v>
      </c>
      <c r="CG53" s="21" t="n">
        <v>0</v>
      </c>
      <c r="CH53" s="21" t="n">
        <v>0</v>
      </c>
      <c r="CI53" s="21" t="n">
        <v>0</v>
      </c>
      <c r="CJ53" s="21" t="n">
        <v>0</v>
      </c>
      <c r="CK53" s="21" t="n">
        <v>0</v>
      </c>
      <c r="CL53" s="21" t="n">
        <v>0</v>
      </c>
      <c r="CM53" s="21" t="n">
        <v>0</v>
      </c>
      <c r="CN53" s="21" t="n">
        <v>0</v>
      </c>
      <c r="CO53" s="21" t="n">
        <v>0</v>
      </c>
      <c r="CP53" s="21" t="n">
        <v>0</v>
      </c>
      <c r="CQ53" s="21" t="n">
        <v>0</v>
      </c>
      <c r="CR53" s="21" t="n">
        <v>0</v>
      </c>
      <c r="CS53" s="21" t="n">
        <v>0</v>
      </c>
      <c r="CT53" s="21" t="n">
        <v>0</v>
      </c>
      <c r="CU53" s="21" t="n">
        <v>0</v>
      </c>
      <c r="CV53" s="21" t="n">
        <v>0</v>
      </c>
      <c r="CW53" s="21" t="n">
        <v>0</v>
      </c>
      <c r="CX53" s="21" t="n">
        <v>0</v>
      </c>
      <c r="CY53" s="21" t="n">
        <v>0</v>
      </c>
      <c r="CZ53" s="21" t="n">
        <v>0</v>
      </c>
      <c r="DA53" s="21" t="n">
        <v>0</v>
      </c>
    </row>
    <row r="54">
      <c r="A54" t="inlineStr">
        <is>
          <t>TVS-267</t>
        </is>
      </c>
      <c r="B54" s="21" t="n">
        <v>0</v>
      </c>
      <c r="C54" s="21" t="n">
        <v>0</v>
      </c>
      <c r="D54" s="21" t="n">
        <v>0</v>
      </c>
      <c r="E54" s="21" t="n">
        <v>0</v>
      </c>
      <c r="F54" s="21" t="n">
        <v>0</v>
      </c>
      <c r="G54" s="21" t="n">
        <v>0</v>
      </c>
      <c r="H54" s="21" t="n">
        <v>0</v>
      </c>
      <c r="I54" s="21" t="n">
        <v>0</v>
      </c>
      <c r="J54" s="21" t="n">
        <v>0</v>
      </c>
      <c r="K54" s="21" t="n">
        <v>0</v>
      </c>
      <c r="L54" s="21" t="n">
        <v>0</v>
      </c>
      <c r="M54" s="21" t="n">
        <v>0</v>
      </c>
      <c r="N54" s="21" t="n">
        <v>0</v>
      </c>
      <c r="O54" s="21" t="n">
        <v>0</v>
      </c>
      <c r="P54" s="21" t="n">
        <v>0</v>
      </c>
      <c r="Q54" s="21" t="n">
        <v>0</v>
      </c>
      <c r="R54" s="21" t="n">
        <v>0</v>
      </c>
      <c r="S54" s="21" t="n">
        <v>0</v>
      </c>
      <c r="T54" s="21" t="n">
        <v>0</v>
      </c>
      <c r="U54" s="21" t="n">
        <v>0</v>
      </c>
      <c r="V54" s="21" t="n">
        <v>0</v>
      </c>
      <c r="W54" s="21" t="n">
        <v>0</v>
      </c>
      <c r="X54" s="21" t="n">
        <v>1.039041627515491</v>
      </c>
      <c r="Y54" s="21" t="n">
        <v>0</v>
      </c>
      <c r="Z54" s="21" t="n">
        <v>0</v>
      </c>
      <c r="AA54" s="21" t="n">
        <v>0</v>
      </c>
      <c r="AB54" s="21" t="n">
        <v>0</v>
      </c>
      <c r="AC54" s="21" t="n">
        <v>0</v>
      </c>
      <c r="AD54" s="21" t="n">
        <v>1.039041627515491</v>
      </c>
      <c r="AE54" s="21" t="n">
        <v>0</v>
      </c>
      <c r="AF54" s="21" t="n">
        <v>0</v>
      </c>
      <c r="AG54" s="21" t="n">
        <v>1.039041627515491</v>
      </c>
      <c r="AH54" s="21" t="n">
        <v>0</v>
      </c>
      <c r="AI54" s="21" t="n">
        <v>0</v>
      </c>
      <c r="AJ54" s="21" t="n">
        <v>1.039041627515491</v>
      </c>
      <c r="AK54" s="21" t="n">
        <v>0</v>
      </c>
      <c r="AL54" s="21" t="n">
        <v>0</v>
      </c>
      <c r="AM54" s="21" t="n">
        <v>0</v>
      </c>
      <c r="AN54" s="21" t="n">
        <v>0</v>
      </c>
      <c r="AO54" s="21" t="n">
        <v>1.039041627515491</v>
      </c>
      <c r="AP54" s="21" t="n">
        <v>0</v>
      </c>
      <c r="AQ54" s="21" t="n">
        <v>0</v>
      </c>
      <c r="AR54" s="21" t="n">
        <v>0</v>
      </c>
      <c r="AS54" s="21" t="n">
        <v>1.039041627515491</v>
      </c>
      <c r="AT54" s="21" t="n">
        <v>0</v>
      </c>
      <c r="AU54" s="21" t="n">
        <v>0</v>
      </c>
      <c r="AV54" s="21" t="n">
        <v>0</v>
      </c>
      <c r="AW54" s="21" t="n">
        <v>0</v>
      </c>
      <c r="AX54" s="21" t="n">
        <v>0</v>
      </c>
      <c r="AY54" s="21" t="n">
        <v>0</v>
      </c>
      <c r="AZ54" s="21" t="n">
        <v>0</v>
      </c>
      <c r="BA54" s="21" t="n">
        <v>0</v>
      </c>
      <c r="BB54" s="21" t="n">
        <v>0</v>
      </c>
      <c r="BC54" s="21" t="n">
        <v>0</v>
      </c>
      <c r="BD54" s="21" t="n">
        <v>0</v>
      </c>
      <c r="BE54" s="21" t="n">
        <v>0</v>
      </c>
      <c r="BF54" s="21" t="n">
        <v>0</v>
      </c>
      <c r="BG54" s="21" t="n">
        <v>0</v>
      </c>
      <c r="BH54" s="21" t="n">
        <v>0</v>
      </c>
      <c r="BI54" s="21" t="n">
        <v>0</v>
      </c>
      <c r="BJ54" s="21" t="n">
        <v>0</v>
      </c>
      <c r="BK54" s="21" t="n">
        <v>0</v>
      </c>
      <c r="BL54" s="21" t="n">
        <v>0</v>
      </c>
      <c r="BM54" s="21" t="n">
        <v>0</v>
      </c>
      <c r="BN54" s="21" t="n">
        <v>0</v>
      </c>
      <c r="BO54" s="21" t="n">
        <v>0</v>
      </c>
      <c r="BP54" s="21" t="n">
        <v>0</v>
      </c>
      <c r="BQ54" s="21" t="n">
        <v>0</v>
      </c>
      <c r="BR54" s="21" t="n">
        <v>0</v>
      </c>
      <c r="BS54" s="21" t="n">
        <v>0</v>
      </c>
      <c r="BT54" s="21" t="n">
        <v>0</v>
      </c>
      <c r="BU54" s="21" t="n">
        <v>0</v>
      </c>
      <c r="BV54" s="21" t="n">
        <v>0</v>
      </c>
      <c r="BW54" s="21" t="n">
        <v>0</v>
      </c>
      <c r="BX54" s="21" t="n">
        <v>0</v>
      </c>
      <c r="BY54" s="21" t="n">
        <v>0</v>
      </c>
      <c r="BZ54" s="21" t="n">
        <v>0</v>
      </c>
      <c r="CA54" s="21" t="n">
        <v>0</v>
      </c>
      <c r="CB54" s="21" t="n">
        <v>0</v>
      </c>
      <c r="CC54" s="21" t="n">
        <v>0</v>
      </c>
      <c r="CD54" s="21" t="n">
        <v>0</v>
      </c>
      <c r="CE54" s="21" t="n">
        <v>0</v>
      </c>
      <c r="CF54" s="21" t="n">
        <v>0</v>
      </c>
      <c r="CG54" s="21" t="n">
        <v>0</v>
      </c>
      <c r="CH54" s="21" t="n">
        <v>0</v>
      </c>
      <c r="CI54" s="21" t="n">
        <v>0</v>
      </c>
      <c r="CJ54" s="21" t="n">
        <v>0</v>
      </c>
      <c r="CK54" s="21" t="n">
        <v>0</v>
      </c>
      <c r="CL54" s="21" t="n">
        <v>0</v>
      </c>
      <c r="CM54" s="21" t="n">
        <v>0</v>
      </c>
      <c r="CN54" s="21" t="n">
        <v>0</v>
      </c>
      <c r="CO54" s="21" t="n">
        <v>0</v>
      </c>
      <c r="CP54" s="21" t="n">
        <v>0</v>
      </c>
      <c r="CQ54" s="21" t="n">
        <v>0</v>
      </c>
      <c r="CR54" s="21" t="n">
        <v>0</v>
      </c>
      <c r="CS54" s="21" t="n">
        <v>0</v>
      </c>
      <c r="CT54" s="21" t="n">
        <v>0</v>
      </c>
      <c r="CU54" s="21" t="n">
        <v>0</v>
      </c>
      <c r="CV54" s="21" t="n">
        <v>0</v>
      </c>
      <c r="CW54" s="21" t="n">
        <v>0</v>
      </c>
      <c r="CX54" s="21" t="n">
        <v>0</v>
      </c>
      <c r="CY54" s="21" t="n">
        <v>0</v>
      </c>
      <c r="CZ54" s="21" t="n">
        <v>0</v>
      </c>
      <c r="DA54" s="21" t="n">
        <v>0</v>
      </c>
    </row>
    <row r="55">
      <c r="A55" t="inlineStr">
        <is>
          <t>TVS-500</t>
        </is>
      </c>
      <c r="B55" s="21" t="n">
        <v>0</v>
      </c>
      <c r="C55" s="21" t="n">
        <v>0</v>
      </c>
      <c r="D55" s="21" t="n">
        <v>0</v>
      </c>
      <c r="E55" s="21" t="n">
        <v>0</v>
      </c>
      <c r="F55" s="21" t="n">
        <v>0</v>
      </c>
      <c r="G55" s="21" t="n">
        <v>0</v>
      </c>
      <c r="H55" s="21" t="n">
        <v>0</v>
      </c>
      <c r="I55" s="21" t="n">
        <v>0</v>
      </c>
      <c r="J55" s="21" t="n">
        <v>0</v>
      </c>
      <c r="K55" s="21" t="n">
        <v>0</v>
      </c>
      <c r="L55" s="21" t="n">
        <v>0</v>
      </c>
      <c r="M55" s="21" t="n">
        <v>0</v>
      </c>
      <c r="N55" s="21" t="n">
        <v>0</v>
      </c>
      <c r="O55" s="21" t="n">
        <v>0</v>
      </c>
      <c r="P55" s="21" t="n">
        <v>0</v>
      </c>
      <c r="Q55" s="21" t="n">
        <v>0</v>
      </c>
      <c r="R55" s="21" t="n">
        <v>0</v>
      </c>
      <c r="S55" s="21" t="n">
        <v>0</v>
      </c>
      <c r="T55" s="21" t="n">
        <v>0</v>
      </c>
      <c r="U55" s="21" t="n">
        <v>0</v>
      </c>
      <c r="V55" s="21" t="n">
        <v>0</v>
      </c>
      <c r="W55" s="21" t="n">
        <v>0</v>
      </c>
      <c r="X55" s="21" t="n">
        <v>0</v>
      </c>
      <c r="Y55" s="21" t="n">
        <v>0</v>
      </c>
      <c r="Z55" s="21" t="n">
        <v>0</v>
      </c>
      <c r="AA55" s="21" t="n">
        <v>0</v>
      </c>
      <c r="AB55" s="21" t="n">
        <v>0</v>
      </c>
      <c r="AC55" s="21" t="n">
        <v>0</v>
      </c>
      <c r="AD55" s="21" t="n">
        <v>0</v>
      </c>
      <c r="AE55" s="21" t="n">
        <v>0</v>
      </c>
      <c r="AF55" s="21" t="n">
        <v>0</v>
      </c>
      <c r="AG55" s="21" t="n">
        <v>0</v>
      </c>
      <c r="AH55" s="21" t="n">
        <v>0</v>
      </c>
      <c r="AI55" s="21" t="n">
        <v>0</v>
      </c>
      <c r="AJ55" s="21" t="n">
        <v>0</v>
      </c>
      <c r="AK55" s="21" t="n">
        <v>0</v>
      </c>
      <c r="AL55" s="21" t="n">
        <v>0</v>
      </c>
      <c r="AM55" s="21" t="n">
        <v>0</v>
      </c>
      <c r="AN55" s="21" t="n">
        <v>0</v>
      </c>
      <c r="AO55" s="21" t="n">
        <v>0</v>
      </c>
      <c r="AP55" s="21" t="n">
        <v>0</v>
      </c>
      <c r="AQ55" s="21" t="n">
        <v>0</v>
      </c>
      <c r="AR55" s="21" t="n">
        <v>0</v>
      </c>
      <c r="AS55" s="21" t="n">
        <v>0</v>
      </c>
      <c r="AT55" s="21" t="n">
        <v>0</v>
      </c>
      <c r="AU55" s="21" t="n">
        <v>0</v>
      </c>
      <c r="AV55" s="21" t="n">
        <v>0</v>
      </c>
      <c r="AW55" s="21" t="n">
        <v>0</v>
      </c>
      <c r="AX55" s="21" t="n">
        <v>0</v>
      </c>
      <c r="AY55" s="21" t="n">
        <v>0</v>
      </c>
      <c r="AZ55" s="21" t="n">
        <v>0</v>
      </c>
      <c r="BA55" s="21" t="n">
        <v>0</v>
      </c>
      <c r="BB55" s="21" t="n">
        <v>0</v>
      </c>
      <c r="BC55" s="21" t="n">
        <v>0</v>
      </c>
      <c r="BD55" s="21" t="n">
        <v>0</v>
      </c>
      <c r="BE55" s="21" t="n">
        <v>0</v>
      </c>
      <c r="BF55" s="21" t="n">
        <v>0</v>
      </c>
      <c r="BG55" s="21" t="n">
        <v>0</v>
      </c>
      <c r="BH55" s="21" t="n">
        <v>0</v>
      </c>
      <c r="BI55" s="21" t="n">
        <v>0</v>
      </c>
      <c r="BJ55" s="21" t="n">
        <v>0</v>
      </c>
      <c r="BK55" s="21" t="n">
        <v>0</v>
      </c>
      <c r="BL55" s="21" t="n">
        <v>0</v>
      </c>
      <c r="BM55" s="21" t="n">
        <v>0</v>
      </c>
      <c r="BN55" s="21" t="n">
        <v>0</v>
      </c>
      <c r="BO55" s="21" t="n">
        <v>0</v>
      </c>
      <c r="BP55" s="21" t="n">
        <v>0</v>
      </c>
      <c r="BQ55" s="21" t="n">
        <v>0</v>
      </c>
      <c r="BR55" s="21" t="n">
        <v>0</v>
      </c>
      <c r="BS55" s="21" t="n">
        <v>0</v>
      </c>
      <c r="BT55" s="21" t="n">
        <v>0</v>
      </c>
      <c r="BU55" s="21" t="n">
        <v>0</v>
      </c>
      <c r="BV55" s="21" t="n">
        <v>0</v>
      </c>
      <c r="BW55" s="21" t="n">
        <v>0</v>
      </c>
      <c r="BX55" s="21" t="n">
        <v>0</v>
      </c>
      <c r="BY55" s="21" t="n">
        <v>0</v>
      </c>
      <c r="BZ55" s="21" t="n">
        <v>0</v>
      </c>
      <c r="CA55" s="21" t="n">
        <v>0</v>
      </c>
      <c r="CB55" s="21" t="n">
        <v>0</v>
      </c>
      <c r="CC55" s="21" t="n">
        <v>0</v>
      </c>
      <c r="CD55" s="21" t="n">
        <v>0</v>
      </c>
      <c r="CE55" s="21" t="n">
        <v>0</v>
      </c>
      <c r="CF55" s="21" t="n">
        <v>0</v>
      </c>
      <c r="CG55" s="21" t="n">
        <v>0</v>
      </c>
      <c r="CH55" s="21" t="n">
        <v>0</v>
      </c>
      <c r="CI55" s="21" t="n">
        <v>0</v>
      </c>
      <c r="CJ55" s="21" t="n">
        <v>0</v>
      </c>
      <c r="CK55" s="21" t="n">
        <v>0</v>
      </c>
      <c r="CL55" s="21" t="n">
        <v>0</v>
      </c>
      <c r="CM55" s="21" t="n">
        <v>0</v>
      </c>
      <c r="CN55" s="21" t="n">
        <v>0</v>
      </c>
      <c r="CO55" s="21" t="n">
        <v>0</v>
      </c>
      <c r="CP55" s="21" t="n">
        <v>0</v>
      </c>
      <c r="CQ55" s="21" t="n">
        <v>0</v>
      </c>
      <c r="CR55" s="21" t="n">
        <v>0</v>
      </c>
      <c r="CS55" s="21" t="n">
        <v>0</v>
      </c>
      <c r="CT55" s="21" t="n">
        <v>0</v>
      </c>
      <c r="CU55" s="21" t="n">
        <v>0</v>
      </c>
      <c r="CV55" s="21" t="n">
        <v>0</v>
      </c>
      <c r="CW55" s="21" t="n">
        <v>0</v>
      </c>
      <c r="CX55" s="21" t="n">
        <v>0</v>
      </c>
      <c r="CY55" s="21" t="n">
        <v>0</v>
      </c>
      <c r="CZ55" s="21" t="n">
        <v>0</v>
      </c>
      <c r="DA55" s="21" t="n">
        <v>0</v>
      </c>
    </row>
    <row r="56">
      <c r="A56" t="inlineStr">
        <is>
          <t>TVS-833</t>
        </is>
      </c>
      <c r="B56" s="21" t="n">
        <v>0</v>
      </c>
      <c r="C56" s="21" t="n">
        <v>0</v>
      </c>
      <c r="D56" s="21" t="n">
        <v>0</v>
      </c>
      <c r="E56" s="21" t="n">
        <v>0</v>
      </c>
      <c r="F56" s="21" t="n">
        <v>0</v>
      </c>
      <c r="G56" s="21" t="n">
        <v>0</v>
      </c>
      <c r="H56" s="21" t="n">
        <v>0</v>
      </c>
      <c r="I56" s="21" t="n">
        <v>0</v>
      </c>
      <c r="J56" s="21" t="n">
        <v>0</v>
      </c>
      <c r="K56" s="21" t="n">
        <v>0</v>
      </c>
      <c r="L56" s="21" t="n">
        <v>0</v>
      </c>
      <c r="M56" s="21" t="n">
        <v>0</v>
      </c>
      <c r="N56" s="21" t="n">
        <v>0</v>
      </c>
      <c r="O56" s="21" t="n">
        <v>0</v>
      </c>
      <c r="P56" s="21" t="n">
        <v>0</v>
      </c>
      <c r="Q56" s="21" t="n">
        <v>0</v>
      </c>
      <c r="R56" s="21" t="n">
        <v>0</v>
      </c>
      <c r="S56" s="21" t="n">
        <v>0</v>
      </c>
      <c r="T56" s="21" t="n">
        <v>0</v>
      </c>
      <c r="U56" s="21" t="n">
        <v>0</v>
      </c>
      <c r="V56" s="21" t="n">
        <v>0</v>
      </c>
      <c r="W56" s="21" t="n">
        <v>0</v>
      </c>
      <c r="X56" s="21" t="n">
        <v>13.66098314386007</v>
      </c>
      <c r="Y56" s="21" t="n">
        <v>2.818518711832559</v>
      </c>
      <c r="Z56" s="21" t="n">
        <v>0</v>
      </c>
      <c r="AA56" s="21" t="n">
        <v>6.830491571930034</v>
      </c>
      <c r="AB56" s="21" t="n">
        <v>8.769229800140572</v>
      </c>
      <c r="AC56" s="21" t="n">
        <v>0</v>
      </c>
      <c r="AD56" s="21" t="n">
        <v>2.818518711832559</v>
      </c>
      <c r="AE56" s="21" t="n">
        <v>9.962683948405489</v>
      </c>
      <c r="AF56" s="21" t="n">
        <v>9.024958164669282</v>
      </c>
      <c r="AG56" s="21" t="n">
        <v>6.830491571930034</v>
      </c>
      <c r="AH56" s="21" t="n">
        <v>10.84246443202751</v>
      </c>
      <c r="AI56" s="21" t="n">
        <v>12.78120266023805</v>
      </c>
      <c r="AJ56" s="21" t="n">
        <v>8.02394572019495</v>
      </c>
      <c r="AK56" s="21" t="n">
        <v>9.024958164669282</v>
      </c>
      <c r="AL56" s="21" t="n">
        <v>6.830491571930034</v>
      </c>
      <c r="AM56" s="21" t="n">
        <v>8.02394572019495</v>
      </c>
      <c r="AN56" s="21" t="n">
        <v>8.769229800140572</v>
      </c>
      <c r="AO56" s="21" t="n">
        <v>4.011972860097475</v>
      </c>
      <c r="AP56" s="21" t="n">
        <v>11.84347687650184</v>
      </c>
      <c r="AQ56" s="21" t="n">
        <v>10.84246443202751</v>
      </c>
      <c r="AR56" s="21" t="n">
        <v>8.769229800140572</v>
      </c>
      <c r="AS56" s="21" t="n">
        <v>13.66098314386007</v>
      </c>
      <c r="AT56" s="21" t="n">
        <v>13.78221510471238</v>
      </c>
      <c r="AU56" s="21" t="n">
        <v>14.85443729212498</v>
      </c>
      <c r="AV56" s="21" t="n">
        <v>16.79317552033552</v>
      </c>
      <c r="AW56" s="21" t="n">
        <v>12.78120266023805</v>
      </c>
      <c r="AX56" s="21" t="n">
        <v>11.64327438760697</v>
      </c>
      <c r="AY56" s="21" t="n">
        <v>12.78120266023805</v>
      </c>
      <c r="AZ56" s="21" t="n">
        <v>4.011972860097475</v>
      </c>
      <c r="BA56" s="21" t="n">
        <v>0</v>
      </c>
      <c r="BB56" s="21" t="n">
        <v>0</v>
      </c>
      <c r="BC56" s="21" t="n">
        <v>4.011972860097475</v>
      </c>
      <c r="BD56" s="21" t="n">
        <v>8.02394572019495</v>
      </c>
      <c r="BE56" s="21" t="n">
        <v>10.84246443202751</v>
      </c>
      <c r="BF56" s="21" t="n">
        <v>12.78120266023805</v>
      </c>
      <c r="BG56" s="21" t="n">
        <v>6.830491571930034</v>
      </c>
      <c r="BH56" s="21" t="n">
        <v>10.84246443202751</v>
      </c>
      <c r="BI56" s="21" t="n">
        <v>6.830491571930034</v>
      </c>
      <c r="BJ56" s="21" t="n">
        <v>5.950711088308013</v>
      </c>
      <c r="BK56" s="21" t="n">
        <v>6.830491571930034</v>
      </c>
      <c r="BL56" s="21" t="n">
        <v>8.02394572019495</v>
      </c>
      <c r="BM56" s="21" t="n">
        <v>4.011972860097475</v>
      </c>
      <c r="BN56" s="21" t="n">
        <v>4.011972860097475</v>
      </c>
      <c r="BO56" s="21" t="n">
        <v>6.860354448757784</v>
      </c>
      <c r="BP56" s="21" t="n">
        <v>0</v>
      </c>
      <c r="BQ56" s="21" t="n">
        <v>4.011972860097475</v>
      </c>
      <c r="BR56" s="21" t="n">
        <v>4.011972860097475</v>
      </c>
      <c r="BS56" s="21" t="n">
        <v>4.011972860097475</v>
      </c>
      <c r="BT56" s="21" t="n">
        <v>0</v>
      </c>
      <c r="BU56" s="21" t="n">
        <v>4.011972860097475</v>
      </c>
      <c r="BV56" s="21" t="n">
        <v>3.008979645073107</v>
      </c>
      <c r="BW56" s="21" t="n">
        <v>0</v>
      </c>
      <c r="BX56" s="21" t="n">
        <v>0</v>
      </c>
      <c r="BY56" s="21" t="n">
        <v>0</v>
      </c>
      <c r="BZ56" s="21" t="n">
        <v>0</v>
      </c>
      <c r="CA56" s="21" t="n">
        <v>0</v>
      </c>
      <c r="CB56" s="21" t="n">
        <v>0</v>
      </c>
      <c r="CC56" s="21" t="n">
        <v>0</v>
      </c>
      <c r="CD56" s="21" t="n">
        <v>0</v>
      </c>
      <c r="CE56" s="21" t="n">
        <v>0</v>
      </c>
      <c r="CF56" s="21" t="n">
        <v>0</v>
      </c>
      <c r="CG56" s="21" t="n">
        <v>0</v>
      </c>
      <c r="CH56" s="21" t="n">
        <v>0</v>
      </c>
      <c r="CI56" s="21" t="n">
        <v>0</v>
      </c>
      <c r="CJ56" s="21" t="n">
        <v>0</v>
      </c>
      <c r="CK56" s="21" t="n">
        <v>0</v>
      </c>
      <c r="CL56" s="21" t="n">
        <v>0</v>
      </c>
      <c r="CM56" s="21" t="n">
        <v>0</v>
      </c>
      <c r="CN56" s="21" t="n">
        <v>0</v>
      </c>
      <c r="CO56" s="21" t="n">
        <v>0</v>
      </c>
      <c r="CP56" s="21" t="n">
        <v>0</v>
      </c>
      <c r="CQ56" s="21" t="n">
        <v>0</v>
      </c>
      <c r="CR56" s="21" t="n">
        <v>0</v>
      </c>
      <c r="CS56" s="21" t="n">
        <v>0</v>
      </c>
      <c r="CT56" s="21" t="n">
        <v>0</v>
      </c>
      <c r="CU56" s="21" t="n">
        <v>0</v>
      </c>
      <c r="CV56" s="21" t="n">
        <v>0</v>
      </c>
      <c r="CW56" s="21" t="n">
        <v>0</v>
      </c>
      <c r="CX56" s="21" t="n">
        <v>0</v>
      </c>
      <c r="CY56" s="21" t="n">
        <v>0</v>
      </c>
      <c r="CZ56" s="21" t="n">
        <v>0</v>
      </c>
      <c r="DA56" s="21" t="n">
        <v>0</v>
      </c>
    </row>
    <row r="57">
      <c r="A57" t="inlineStr">
        <is>
          <t>VSP-600</t>
        </is>
      </c>
      <c r="B57" s="21" t="n">
        <v>0</v>
      </c>
      <c r="C57" s="21" t="n">
        <v>0</v>
      </c>
      <c r="D57" s="21" t="n">
        <v>0</v>
      </c>
      <c r="E57" s="21" t="n">
        <v>0</v>
      </c>
      <c r="F57" s="21" t="n">
        <v>0</v>
      </c>
      <c r="G57" s="21" t="n">
        <v>0</v>
      </c>
      <c r="H57" s="21" t="n">
        <v>0</v>
      </c>
      <c r="I57" s="21" t="n">
        <v>0</v>
      </c>
      <c r="J57" s="21" t="n">
        <v>0</v>
      </c>
      <c r="K57" s="21" t="n">
        <v>0</v>
      </c>
      <c r="L57" s="21" t="n">
        <v>0</v>
      </c>
      <c r="M57" s="21" t="n">
        <v>0</v>
      </c>
      <c r="N57" s="21" t="n">
        <v>0</v>
      </c>
      <c r="O57" s="21" t="n">
        <v>0</v>
      </c>
      <c r="P57" s="21" t="n">
        <v>0</v>
      </c>
      <c r="Q57" s="21" t="n">
        <v>0</v>
      </c>
      <c r="R57" s="21" t="n">
        <v>0</v>
      </c>
      <c r="S57" s="21" t="n">
        <v>0</v>
      </c>
      <c r="T57" s="21" t="n">
        <v>0</v>
      </c>
      <c r="U57" s="21" t="n">
        <v>0</v>
      </c>
      <c r="V57" s="21" t="n">
        <v>0</v>
      </c>
      <c r="W57" s="21" t="n">
        <v>0</v>
      </c>
      <c r="X57" s="21" t="n">
        <v>0</v>
      </c>
      <c r="Y57" s="21" t="n">
        <v>3.840891207323119</v>
      </c>
      <c r="Z57" s="21" t="n">
        <v>0</v>
      </c>
      <c r="AA57" s="21" t="n">
        <v>0</v>
      </c>
      <c r="AB57" s="21" t="n">
        <v>0</v>
      </c>
      <c r="AC57" s="21" t="n">
        <v>3.840891207323119</v>
      </c>
      <c r="AD57" s="21" t="n">
        <v>0</v>
      </c>
      <c r="AE57" s="21" t="n">
        <v>0</v>
      </c>
      <c r="AF57" s="21" t="n">
        <v>0</v>
      </c>
      <c r="AG57" s="21" t="n">
        <v>0</v>
      </c>
      <c r="AH57" s="21" t="n">
        <v>3.840891207323119</v>
      </c>
      <c r="AI57" s="21" t="n">
        <v>0</v>
      </c>
      <c r="AJ57" s="21" t="n">
        <v>0</v>
      </c>
      <c r="AK57" s="21" t="n">
        <v>3.840891207323119</v>
      </c>
      <c r="AL57" s="21" t="n">
        <v>0</v>
      </c>
      <c r="AM57" s="21" t="n">
        <v>0</v>
      </c>
      <c r="AN57" s="21" t="n">
        <v>0</v>
      </c>
      <c r="AO57" s="21" t="n">
        <v>0</v>
      </c>
      <c r="AP57" s="21" t="n">
        <v>0</v>
      </c>
      <c r="AQ57" s="21" t="n">
        <v>0</v>
      </c>
      <c r="AR57" s="21" t="n">
        <v>3.840891207323119</v>
      </c>
      <c r="AS57" s="21" t="n">
        <v>0</v>
      </c>
      <c r="AT57" s="21" t="n">
        <v>0</v>
      </c>
      <c r="AU57" s="21" t="n">
        <v>0</v>
      </c>
      <c r="AV57" s="21" t="n">
        <v>0</v>
      </c>
      <c r="AW57" s="21" t="n">
        <v>0</v>
      </c>
      <c r="AX57" s="21" t="n">
        <v>3.840891207323119</v>
      </c>
      <c r="AY57" s="21" t="n">
        <v>0</v>
      </c>
      <c r="AZ57" s="21" t="n">
        <v>0</v>
      </c>
      <c r="BA57" s="21" t="n">
        <v>0</v>
      </c>
      <c r="BB57" s="21" t="n">
        <v>0</v>
      </c>
      <c r="BC57" s="21" t="n">
        <v>0</v>
      </c>
      <c r="BD57" s="21" t="n">
        <v>0</v>
      </c>
      <c r="BE57" s="21" t="n">
        <v>3.840891207323119</v>
      </c>
      <c r="BF57" s="21" t="n">
        <v>0</v>
      </c>
      <c r="BG57" s="21" t="n">
        <v>0</v>
      </c>
      <c r="BH57" s="21" t="n">
        <v>0</v>
      </c>
      <c r="BI57" s="21" t="n">
        <v>3.840891207323119</v>
      </c>
      <c r="BJ57" s="21" t="n">
        <v>0</v>
      </c>
      <c r="BK57" s="21" t="n">
        <v>0</v>
      </c>
      <c r="BL57" s="21" t="n">
        <v>0</v>
      </c>
      <c r="BM57" s="21" t="n">
        <v>0</v>
      </c>
      <c r="BN57" s="21" t="n">
        <v>0</v>
      </c>
      <c r="BO57" s="21" t="n">
        <v>0</v>
      </c>
      <c r="BP57" s="21" t="n">
        <v>0</v>
      </c>
      <c r="BQ57" s="21" t="n">
        <v>0</v>
      </c>
      <c r="BR57" s="21" t="n">
        <v>0</v>
      </c>
      <c r="BS57" s="21" t="n">
        <v>0</v>
      </c>
      <c r="BT57" s="21" t="n">
        <v>0</v>
      </c>
      <c r="BU57" s="21" t="n">
        <v>0</v>
      </c>
      <c r="BV57" s="21" t="n">
        <v>0</v>
      </c>
      <c r="BW57" s="21" t="n">
        <v>0</v>
      </c>
      <c r="BX57" s="21" t="n">
        <v>0</v>
      </c>
      <c r="BY57" s="21" t="n">
        <v>0</v>
      </c>
      <c r="BZ57" s="21" t="n">
        <v>0</v>
      </c>
      <c r="CA57" s="21" t="n">
        <v>0</v>
      </c>
      <c r="CB57" s="21" t="n">
        <v>0</v>
      </c>
      <c r="CC57" s="21" t="n">
        <v>0</v>
      </c>
      <c r="CD57" s="21" t="n">
        <v>0</v>
      </c>
      <c r="CE57" s="21" t="n">
        <v>0</v>
      </c>
      <c r="CF57" s="21" t="n">
        <v>0</v>
      </c>
      <c r="CG57" s="21" t="n">
        <v>0</v>
      </c>
      <c r="CH57" s="21" t="n">
        <v>0</v>
      </c>
      <c r="CI57" s="21" t="n">
        <v>0</v>
      </c>
      <c r="CJ57" s="21" t="n">
        <v>0</v>
      </c>
      <c r="CK57" s="21" t="n">
        <v>0</v>
      </c>
      <c r="CL57" s="21" t="n">
        <v>0</v>
      </c>
      <c r="CM57" s="21" t="n">
        <v>0</v>
      </c>
      <c r="CN57" s="21" t="n">
        <v>0</v>
      </c>
      <c r="CO57" s="21" t="n">
        <v>0</v>
      </c>
      <c r="CP57" s="21" t="n">
        <v>0</v>
      </c>
      <c r="CQ57" s="21" t="n">
        <v>0</v>
      </c>
      <c r="CR57" s="21" t="n">
        <v>0</v>
      </c>
      <c r="CS57" s="21" t="n">
        <v>0</v>
      </c>
      <c r="CT57" s="21" t="n">
        <v>0</v>
      </c>
      <c r="CU57" s="21" t="n">
        <v>0</v>
      </c>
      <c r="CV57" s="21" t="n">
        <v>0</v>
      </c>
      <c r="CW57" s="21" t="n">
        <v>0</v>
      </c>
      <c r="CX57" s="21" t="n">
        <v>0</v>
      </c>
      <c r="CY57" s="21" t="n">
        <v>0</v>
      </c>
      <c r="CZ57" s="21" t="n">
        <v>0</v>
      </c>
      <c r="DA57" s="21" t="n">
        <v>0</v>
      </c>
    </row>
    <row r="58">
      <c r="A58" t="inlineStr">
        <is>
          <t>VSP-601</t>
        </is>
      </c>
      <c r="B58" s="21" t="n">
        <v>0</v>
      </c>
      <c r="C58" s="21" t="n">
        <v>0</v>
      </c>
      <c r="D58" s="21" t="n">
        <v>0</v>
      </c>
      <c r="E58" s="21" t="n">
        <v>0</v>
      </c>
      <c r="F58" s="21" t="n">
        <v>0</v>
      </c>
      <c r="G58" s="21" t="n">
        <v>0</v>
      </c>
      <c r="H58" s="21" t="n">
        <v>0</v>
      </c>
      <c r="I58" s="21" t="n">
        <v>0</v>
      </c>
      <c r="J58" s="21" t="n">
        <v>0</v>
      </c>
      <c r="K58" s="21" t="n">
        <v>0</v>
      </c>
      <c r="L58" s="21" t="n">
        <v>0</v>
      </c>
      <c r="M58" s="21" t="n">
        <v>0</v>
      </c>
      <c r="N58" s="21" t="n">
        <v>0</v>
      </c>
      <c r="O58" s="21" t="n">
        <v>0</v>
      </c>
      <c r="P58" s="21" t="n">
        <v>0</v>
      </c>
      <c r="Q58" s="21" t="n">
        <v>0</v>
      </c>
      <c r="R58" s="21" t="n">
        <v>0</v>
      </c>
      <c r="S58" s="21" t="n">
        <v>0</v>
      </c>
      <c r="T58" s="21" t="n">
        <v>0</v>
      </c>
      <c r="U58" s="21" t="n">
        <v>0</v>
      </c>
      <c r="V58" s="21" t="n">
        <v>0</v>
      </c>
      <c r="W58" s="21" t="n">
        <v>0</v>
      </c>
      <c r="X58" s="21" t="n">
        <v>0</v>
      </c>
      <c r="Y58" s="21" t="n">
        <v>3.844512359077455</v>
      </c>
      <c r="Z58" s="21" t="n">
        <v>0</v>
      </c>
      <c r="AA58" s="21" t="n">
        <v>0</v>
      </c>
      <c r="AB58" s="21" t="n">
        <v>0</v>
      </c>
      <c r="AC58" s="21" t="n">
        <v>3.844512359077455</v>
      </c>
      <c r="AD58" s="21" t="n">
        <v>0</v>
      </c>
      <c r="AE58" s="21" t="n">
        <v>0</v>
      </c>
      <c r="AF58" s="21" t="n">
        <v>0</v>
      </c>
      <c r="AG58" s="21" t="n">
        <v>0</v>
      </c>
      <c r="AH58" s="21" t="n">
        <v>3.844512359077455</v>
      </c>
      <c r="AI58" s="21" t="n">
        <v>0</v>
      </c>
      <c r="AJ58" s="21" t="n">
        <v>0</v>
      </c>
      <c r="AK58" s="21" t="n">
        <v>3.844512359077455</v>
      </c>
      <c r="AL58" s="21" t="n">
        <v>0</v>
      </c>
      <c r="AM58" s="21" t="n">
        <v>0</v>
      </c>
      <c r="AN58" s="21" t="n">
        <v>0</v>
      </c>
      <c r="AO58" s="21" t="n">
        <v>0</v>
      </c>
      <c r="AP58" s="21" t="n">
        <v>0</v>
      </c>
      <c r="AQ58" s="21" t="n">
        <v>0</v>
      </c>
      <c r="AR58" s="21" t="n">
        <v>3.844512359077455</v>
      </c>
      <c r="AS58" s="21" t="n">
        <v>0</v>
      </c>
      <c r="AT58" s="21" t="n">
        <v>0</v>
      </c>
      <c r="AU58" s="21" t="n">
        <v>0</v>
      </c>
      <c r="AV58" s="21" t="n">
        <v>0</v>
      </c>
      <c r="AW58" s="21" t="n">
        <v>0</v>
      </c>
      <c r="AX58" s="21" t="n">
        <v>3.844512359077455</v>
      </c>
      <c r="AY58" s="21" t="n">
        <v>0</v>
      </c>
      <c r="AZ58" s="21" t="n">
        <v>0</v>
      </c>
      <c r="BA58" s="21" t="n">
        <v>0</v>
      </c>
      <c r="BB58" s="21" t="n">
        <v>0</v>
      </c>
      <c r="BC58" s="21" t="n">
        <v>0</v>
      </c>
      <c r="BD58" s="21" t="n">
        <v>0</v>
      </c>
      <c r="BE58" s="21" t="n">
        <v>3.844512359077455</v>
      </c>
      <c r="BF58" s="21" t="n">
        <v>0</v>
      </c>
      <c r="BG58" s="21" t="n">
        <v>0</v>
      </c>
      <c r="BH58" s="21" t="n">
        <v>0</v>
      </c>
      <c r="BI58" s="21" t="n">
        <v>3.844512359077455</v>
      </c>
      <c r="BJ58" s="21" t="n">
        <v>0</v>
      </c>
      <c r="BK58" s="21" t="n">
        <v>0</v>
      </c>
      <c r="BL58" s="21" t="n">
        <v>0</v>
      </c>
      <c r="BM58" s="21" t="n">
        <v>0</v>
      </c>
      <c r="BN58" s="21" t="n">
        <v>0</v>
      </c>
      <c r="BO58" s="21" t="n">
        <v>0</v>
      </c>
      <c r="BP58" s="21" t="n">
        <v>0</v>
      </c>
      <c r="BQ58" s="21" t="n">
        <v>0</v>
      </c>
      <c r="BR58" s="21" t="n">
        <v>0</v>
      </c>
      <c r="BS58" s="21" t="n">
        <v>0</v>
      </c>
      <c r="BT58" s="21" t="n">
        <v>0</v>
      </c>
      <c r="BU58" s="21" t="n">
        <v>0</v>
      </c>
      <c r="BV58" s="21" t="n">
        <v>0</v>
      </c>
      <c r="BW58" s="21" t="n">
        <v>0</v>
      </c>
      <c r="BX58" s="21" t="n">
        <v>0</v>
      </c>
      <c r="BY58" s="21" t="n">
        <v>0</v>
      </c>
      <c r="BZ58" s="21" t="n">
        <v>0</v>
      </c>
      <c r="CA58" s="21" t="n">
        <v>0</v>
      </c>
      <c r="CB58" s="21" t="n">
        <v>0</v>
      </c>
      <c r="CC58" s="21" t="n">
        <v>0</v>
      </c>
      <c r="CD58" s="21" t="n">
        <v>0</v>
      </c>
      <c r="CE58" s="21" t="n">
        <v>0</v>
      </c>
      <c r="CF58" s="21" t="n">
        <v>0</v>
      </c>
      <c r="CG58" s="21" t="n">
        <v>0</v>
      </c>
      <c r="CH58" s="21" t="n">
        <v>0</v>
      </c>
      <c r="CI58" s="21" t="n">
        <v>0</v>
      </c>
      <c r="CJ58" s="21" t="n">
        <v>0</v>
      </c>
      <c r="CK58" s="21" t="n">
        <v>0</v>
      </c>
      <c r="CL58" s="21" t="n">
        <v>0</v>
      </c>
      <c r="CM58" s="21" t="n">
        <v>0</v>
      </c>
      <c r="CN58" s="21" t="n">
        <v>0</v>
      </c>
      <c r="CO58" s="21" t="n">
        <v>0</v>
      </c>
      <c r="CP58" s="21" t="n">
        <v>0</v>
      </c>
      <c r="CQ58" s="21" t="n">
        <v>0</v>
      </c>
      <c r="CR58" s="21" t="n">
        <v>0</v>
      </c>
      <c r="CS58" s="21" t="n">
        <v>0</v>
      </c>
      <c r="CT58" s="21" t="n">
        <v>0</v>
      </c>
      <c r="CU58" s="21" t="n">
        <v>0</v>
      </c>
      <c r="CV58" s="21" t="n">
        <v>0</v>
      </c>
      <c r="CW58" s="21" t="n">
        <v>0</v>
      </c>
      <c r="CX58" s="21" t="n">
        <v>0</v>
      </c>
      <c r="CY58" s="21" t="n">
        <v>0</v>
      </c>
      <c r="CZ58" s="21" t="n">
        <v>0</v>
      </c>
      <c r="DA58" s="21" t="n">
        <v>0</v>
      </c>
    </row>
    <row r="59">
      <c r="A59" t="inlineStr">
        <is>
          <t>VSP-602</t>
        </is>
      </c>
      <c r="B59" s="21" t="n">
        <v>0</v>
      </c>
      <c r="C59" s="21" t="n">
        <v>0</v>
      </c>
      <c r="D59" s="21" t="n">
        <v>0</v>
      </c>
      <c r="E59" s="21" t="n">
        <v>0</v>
      </c>
      <c r="F59" s="21" t="n">
        <v>0</v>
      </c>
      <c r="G59" s="21" t="n">
        <v>0</v>
      </c>
      <c r="H59" s="21" t="n">
        <v>0</v>
      </c>
      <c r="I59" s="21" t="n">
        <v>0</v>
      </c>
      <c r="J59" s="21" t="n">
        <v>0</v>
      </c>
      <c r="K59" s="21" t="n">
        <v>0</v>
      </c>
      <c r="L59" s="21" t="n">
        <v>0</v>
      </c>
      <c r="M59" s="21" t="n">
        <v>0</v>
      </c>
      <c r="N59" s="21" t="n">
        <v>0</v>
      </c>
      <c r="O59" s="21" t="n">
        <v>0</v>
      </c>
      <c r="P59" s="21" t="n">
        <v>0</v>
      </c>
      <c r="Q59" s="21" t="n">
        <v>0</v>
      </c>
      <c r="R59" s="21" t="n">
        <v>0</v>
      </c>
      <c r="S59" s="21" t="n">
        <v>0</v>
      </c>
      <c r="T59" s="21" t="n">
        <v>0</v>
      </c>
      <c r="U59" s="21" t="n">
        <v>0</v>
      </c>
      <c r="V59" s="21" t="n">
        <v>0</v>
      </c>
      <c r="W59" s="21" t="n">
        <v>0</v>
      </c>
      <c r="X59" s="21" t="n">
        <v>0</v>
      </c>
      <c r="Y59" s="21" t="n">
        <v>3.845278475612647</v>
      </c>
      <c r="Z59" s="21" t="n">
        <v>0</v>
      </c>
      <c r="AA59" s="21" t="n">
        <v>0</v>
      </c>
      <c r="AB59" s="21" t="n">
        <v>0</v>
      </c>
      <c r="AC59" s="21" t="n">
        <v>3.845278475612647</v>
      </c>
      <c r="AD59" s="21" t="n">
        <v>0</v>
      </c>
      <c r="AE59" s="21" t="n">
        <v>0</v>
      </c>
      <c r="AF59" s="21" t="n">
        <v>0</v>
      </c>
      <c r="AG59" s="21" t="n">
        <v>0</v>
      </c>
      <c r="AH59" s="21" t="n">
        <v>3.845278475612647</v>
      </c>
      <c r="AI59" s="21" t="n">
        <v>0</v>
      </c>
      <c r="AJ59" s="21" t="n">
        <v>0</v>
      </c>
      <c r="AK59" s="21" t="n">
        <v>3.845278475612647</v>
      </c>
      <c r="AL59" s="21" t="n">
        <v>0</v>
      </c>
      <c r="AM59" s="21" t="n">
        <v>0</v>
      </c>
      <c r="AN59" s="21" t="n">
        <v>0</v>
      </c>
      <c r="AO59" s="21" t="n">
        <v>0</v>
      </c>
      <c r="AP59" s="21" t="n">
        <v>0</v>
      </c>
      <c r="AQ59" s="21" t="n">
        <v>0</v>
      </c>
      <c r="AR59" s="21" t="n">
        <v>3.845278475612647</v>
      </c>
      <c r="AS59" s="21" t="n">
        <v>0</v>
      </c>
      <c r="AT59" s="21" t="n">
        <v>0</v>
      </c>
      <c r="AU59" s="21" t="n">
        <v>0</v>
      </c>
      <c r="AV59" s="21" t="n">
        <v>0</v>
      </c>
      <c r="AW59" s="21" t="n">
        <v>0</v>
      </c>
      <c r="AX59" s="21" t="n">
        <v>3.845278475612647</v>
      </c>
      <c r="AY59" s="21" t="n">
        <v>0</v>
      </c>
      <c r="AZ59" s="21" t="n">
        <v>0</v>
      </c>
      <c r="BA59" s="21" t="n">
        <v>0</v>
      </c>
      <c r="BB59" s="21" t="n">
        <v>0</v>
      </c>
      <c r="BC59" s="21" t="n">
        <v>0</v>
      </c>
      <c r="BD59" s="21" t="n">
        <v>0</v>
      </c>
      <c r="BE59" s="21" t="n">
        <v>3.845278475612647</v>
      </c>
      <c r="BF59" s="21" t="n">
        <v>0</v>
      </c>
      <c r="BG59" s="21" t="n">
        <v>0</v>
      </c>
      <c r="BH59" s="21" t="n">
        <v>0</v>
      </c>
      <c r="BI59" s="21" t="n">
        <v>3.845278475612647</v>
      </c>
      <c r="BJ59" s="21" t="n">
        <v>0</v>
      </c>
      <c r="BK59" s="21" t="n">
        <v>0</v>
      </c>
      <c r="BL59" s="21" t="n">
        <v>0</v>
      </c>
      <c r="BM59" s="21" t="n">
        <v>0</v>
      </c>
      <c r="BN59" s="21" t="n">
        <v>0</v>
      </c>
      <c r="BO59" s="21" t="n">
        <v>0</v>
      </c>
      <c r="BP59" s="21" t="n">
        <v>0</v>
      </c>
      <c r="BQ59" s="21" t="n">
        <v>0</v>
      </c>
      <c r="BR59" s="21" t="n">
        <v>0</v>
      </c>
      <c r="BS59" s="21" t="n">
        <v>0</v>
      </c>
      <c r="BT59" s="21" t="n">
        <v>0</v>
      </c>
      <c r="BU59" s="21" t="n">
        <v>0</v>
      </c>
      <c r="BV59" s="21" t="n">
        <v>0</v>
      </c>
      <c r="BW59" s="21" t="n">
        <v>0</v>
      </c>
      <c r="BX59" s="21" t="n">
        <v>0</v>
      </c>
      <c r="BY59" s="21" t="n">
        <v>0</v>
      </c>
      <c r="BZ59" s="21" t="n">
        <v>0</v>
      </c>
      <c r="CA59" s="21" t="n">
        <v>0</v>
      </c>
      <c r="CB59" s="21" t="n">
        <v>0</v>
      </c>
      <c r="CC59" s="21" t="n">
        <v>0</v>
      </c>
      <c r="CD59" s="21" t="n">
        <v>0</v>
      </c>
      <c r="CE59" s="21" t="n">
        <v>0</v>
      </c>
      <c r="CF59" s="21" t="n">
        <v>0</v>
      </c>
      <c r="CG59" s="21" t="n">
        <v>0</v>
      </c>
      <c r="CH59" s="21" t="n">
        <v>0</v>
      </c>
      <c r="CI59" s="21" t="n">
        <v>0</v>
      </c>
      <c r="CJ59" s="21" t="n">
        <v>0</v>
      </c>
      <c r="CK59" s="21" t="n">
        <v>0</v>
      </c>
      <c r="CL59" s="21" t="n">
        <v>0</v>
      </c>
      <c r="CM59" s="21" t="n">
        <v>0</v>
      </c>
      <c r="CN59" s="21" t="n">
        <v>0</v>
      </c>
      <c r="CO59" s="21" t="n">
        <v>0</v>
      </c>
      <c r="CP59" s="21" t="n">
        <v>0</v>
      </c>
      <c r="CQ59" s="21" t="n">
        <v>0</v>
      </c>
      <c r="CR59" s="21" t="n">
        <v>0</v>
      </c>
      <c r="CS59" s="21" t="n">
        <v>0</v>
      </c>
      <c r="CT59" s="21" t="n">
        <v>0</v>
      </c>
      <c r="CU59" s="21" t="n">
        <v>0</v>
      </c>
      <c r="CV59" s="21" t="n">
        <v>0</v>
      </c>
      <c r="CW59" s="21" t="n">
        <v>0</v>
      </c>
      <c r="CX59" s="21" t="n">
        <v>0</v>
      </c>
      <c r="CY59" s="21" t="n">
        <v>0</v>
      </c>
      <c r="CZ59" s="21" t="n">
        <v>0</v>
      </c>
      <c r="DA59" s="21" t="n">
        <v>0</v>
      </c>
    </row>
    <row r="60">
      <c r="A60" t="inlineStr">
        <is>
          <t>VSP-820</t>
        </is>
      </c>
      <c r="B60" s="21" t="n">
        <v>0</v>
      </c>
      <c r="C60" s="21" t="n">
        <v>0</v>
      </c>
      <c r="D60" s="21" t="n">
        <v>0</v>
      </c>
      <c r="E60" s="21" t="n">
        <v>0</v>
      </c>
      <c r="F60" s="21" t="n">
        <v>0</v>
      </c>
      <c r="G60" s="21" t="n">
        <v>0</v>
      </c>
      <c r="H60" s="21" t="n">
        <v>0</v>
      </c>
      <c r="I60" s="21" t="n">
        <v>0</v>
      </c>
      <c r="J60" s="21" t="n">
        <v>0</v>
      </c>
      <c r="K60" s="21" t="n">
        <v>0</v>
      </c>
      <c r="L60" s="21" t="n">
        <v>0</v>
      </c>
      <c r="M60" s="21" t="n">
        <v>0</v>
      </c>
      <c r="N60" s="21" t="n">
        <v>0</v>
      </c>
      <c r="O60" s="21" t="n">
        <v>0</v>
      </c>
      <c r="P60" s="21" t="n">
        <v>0</v>
      </c>
      <c r="Q60" s="21" t="n">
        <v>0</v>
      </c>
      <c r="R60" s="21" t="n">
        <v>0</v>
      </c>
      <c r="S60" s="21" t="n">
        <v>0</v>
      </c>
      <c r="T60" s="21" t="n">
        <v>0</v>
      </c>
      <c r="U60" s="21" t="n">
        <v>0</v>
      </c>
      <c r="V60" s="21" t="n">
        <v>0</v>
      </c>
      <c r="W60" s="21" t="n">
        <v>0</v>
      </c>
      <c r="X60" s="21" t="n">
        <v>0</v>
      </c>
      <c r="Y60" s="21" t="n">
        <v>0</v>
      </c>
      <c r="Z60" s="21" t="n">
        <v>0</v>
      </c>
      <c r="AA60" s="21" t="n">
        <v>0</v>
      </c>
      <c r="AB60" s="21" t="n">
        <v>0</v>
      </c>
      <c r="AC60" s="21" t="n">
        <v>0</v>
      </c>
      <c r="AD60" s="21" t="n">
        <v>0</v>
      </c>
      <c r="AE60" s="21" t="n">
        <v>0</v>
      </c>
      <c r="AF60" s="21" t="n">
        <v>0</v>
      </c>
      <c r="AG60" s="21" t="n">
        <v>0</v>
      </c>
      <c r="AH60" s="21" t="n">
        <v>0</v>
      </c>
      <c r="AI60" s="21" t="n">
        <v>0</v>
      </c>
      <c r="AJ60" s="21" t="n">
        <v>0</v>
      </c>
      <c r="AK60" s="21" t="n">
        <v>0</v>
      </c>
      <c r="AL60" s="21" t="n">
        <v>0</v>
      </c>
      <c r="AM60" s="21" t="n">
        <v>0</v>
      </c>
      <c r="AN60" s="21" t="n">
        <v>0</v>
      </c>
      <c r="AO60" s="21" t="n">
        <v>0</v>
      </c>
      <c r="AP60" s="21" t="n">
        <v>0</v>
      </c>
      <c r="AQ60" s="21" t="n">
        <v>0</v>
      </c>
      <c r="AR60" s="21" t="n">
        <v>0</v>
      </c>
      <c r="AS60" s="21" t="n">
        <v>0</v>
      </c>
      <c r="AT60" s="21" t="n">
        <v>0</v>
      </c>
      <c r="AU60" s="21" t="n">
        <v>0</v>
      </c>
      <c r="AV60" s="21" t="n">
        <v>0</v>
      </c>
      <c r="AW60" s="21" t="n">
        <v>0</v>
      </c>
      <c r="AX60" s="21" t="n">
        <v>0</v>
      </c>
      <c r="AY60" s="21" t="n">
        <v>0</v>
      </c>
      <c r="AZ60" s="21" t="n">
        <v>0</v>
      </c>
      <c r="BA60" s="21" t="n">
        <v>0</v>
      </c>
      <c r="BB60" s="21" t="n">
        <v>0</v>
      </c>
      <c r="BC60" s="21" t="n">
        <v>0</v>
      </c>
      <c r="BD60" s="21" t="n">
        <v>0</v>
      </c>
      <c r="BE60" s="21" t="n">
        <v>0</v>
      </c>
      <c r="BF60" s="21" t="n">
        <v>0</v>
      </c>
      <c r="BG60" s="21" t="n">
        <v>0</v>
      </c>
      <c r="BH60" s="21" t="n">
        <v>0</v>
      </c>
      <c r="BI60" s="21" t="n">
        <v>0</v>
      </c>
      <c r="BJ60" s="21" t="n">
        <v>0</v>
      </c>
      <c r="BK60" s="21" t="n">
        <v>0</v>
      </c>
      <c r="BL60" s="21" t="n">
        <v>0</v>
      </c>
      <c r="BM60" s="21" t="n">
        <v>0</v>
      </c>
      <c r="BN60" s="21" t="n">
        <v>0</v>
      </c>
      <c r="BO60" s="21" t="n">
        <v>0</v>
      </c>
      <c r="BP60" s="21" t="n">
        <v>0</v>
      </c>
      <c r="BQ60" s="21" t="n">
        <v>0</v>
      </c>
      <c r="BR60" s="21" t="n">
        <v>0</v>
      </c>
      <c r="BS60" s="21" t="n">
        <v>0</v>
      </c>
      <c r="BT60" s="21" t="n">
        <v>0</v>
      </c>
      <c r="BU60" s="21" t="n">
        <v>0</v>
      </c>
      <c r="BV60" s="21" t="n">
        <v>0</v>
      </c>
      <c r="BW60" s="21" t="n">
        <v>0</v>
      </c>
      <c r="BX60" s="21" t="n">
        <v>0</v>
      </c>
      <c r="BY60" s="21" t="n">
        <v>0</v>
      </c>
      <c r="BZ60" s="21" t="n">
        <v>0</v>
      </c>
      <c r="CA60" s="21" t="n">
        <v>0</v>
      </c>
      <c r="CB60" s="21" t="n">
        <v>0</v>
      </c>
      <c r="CC60" s="21" t="n">
        <v>0</v>
      </c>
      <c r="CD60" s="21" t="n">
        <v>0</v>
      </c>
      <c r="CE60" s="21" t="n">
        <v>0</v>
      </c>
      <c r="CF60" s="21" t="n">
        <v>0</v>
      </c>
      <c r="CG60" s="21" t="n">
        <v>0</v>
      </c>
      <c r="CH60" s="21" t="n">
        <v>0</v>
      </c>
      <c r="CI60" s="21" t="n">
        <v>0</v>
      </c>
      <c r="CJ60" s="21" t="n">
        <v>0</v>
      </c>
      <c r="CK60" s="21" t="n">
        <v>0</v>
      </c>
      <c r="CL60" s="21" t="n">
        <v>0</v>
      </c>
      <c r="CM60" s="21" t="n">
        <v>0</v>
      </c>
      <c r="CN60" s="21" t="n">
        <v>0</v>
      </c>
      <c r="CO60" s="21" t="n">
        <v>0</v>
      </c>
      <c r="CP60" s="21" t="n">
        <v>0</v>
      </c>
      <c r="CQ60" s="21" t="n">
        <v>0</v>
      </c>
      <c r="CR60" s="21" t="n">
        <v>0</v>
      </c>
      <c r="CS60" s="21" t="n">
        <v>0</v>
      </c>
      <c r="CT60" s="21" t="n">
        <v>0</v>
      </c>
      <c r="CU60" s="21" t="n">
        <v>0</v>
      </c>
      <c r="CV60" s="21" t="n">
        <v>0</v>
      </c>
      <c r="CW60" s="21" t="n">
        <v>0</v>
      </c>
      <c r="CX60" s="21" t="n">
        <v>0</v>
      </c>
      <c r="CY60" s="21" t="n">
        <v>0</v>
      </c>
      <c r="CZ60" s="21" t="n">
        <v>0</v>
      </c>
      <c r="DA60" s="21" t="n">
        <v>0</v>
      </c>
    </row>
    <row r="61">
      <c r="A61" t="inlineStr">
        <is>
          <t>VSP-822</t>
        </is>
      </c>
      <c r="B61" s="21" t="n">
        <v>0</v>
      </c>
      <c r="C61" s="21" t="n">
        <v>0</v>
      </c>
      <c r="D61" s="21" t="n">
        <v>0</v>
      </c>
      <c r="E61" s="21" t="n">
        <v>0</v>
      </c>
      <c r="F61" s="21" t="n">
        <v>0</v>
      </c>
      <c r="G61" s="21" t="n">
        <v>0</v>
      </c>
      <c r="H61" s="21" t="n">
        <v>0</v>
      </c>
      <c r="I61" s="21" t="n">
        <v>0</v>
      </c>
      <c r="J61" s="21" t="n">
        <v>0</v>
      </c>
      <c r="K61" s="21" t="n">
        <v>0</v>
      </c>
      <c r="L61" s="21" t="n">
        <v>0</v>
      </c>
      <c r="M61" s="21" t="n">
        <v>0</v>
      </c>
      <c r="N61" s="21" t="n">
        <v>0</v>
      </c>
      <c r="O61" s="21" t="n">
        <v>0</v>
      </c>
      <c r="P61" s="21" t="n">
        <v>0</v>
      </c>
      <c r="Q61" s="21" t="n">
        <v>0</v>
      </c>
      <c r="R61" s="21" t="n">
        <v>0</v>
      </c>
      <c r="S61" s="21" t="n">
        <v>0</v>
      </c>
      <c r="T61" s="21" t="n">
        <v>0</v>
      </c>
      <c r="U61" s="21" t="n">
        <v>0</v>
      </c>
      <c r="V61" s="21" t="n">
        <v>0</v>
      </c>
      <c r="W61" s="21" t="n">
        <v>0</v>
      </c>
      <c r="X61" s="21" t="n">
        <v>0</v>
      </c>
      <c r="Y61" s="21" t="n">
        <v>0</v>
      </c>
      <c r="Z61" s="21" t="n">
        <v>0</v>
      </c>
      <c r="AA61" s="21" t="n">
        <v>0</v>
      </c>
      <c r="AB61" s="21" t="n">
        <v>0</v>
      </c>
      <c r="AC61" s="21" t="n">
        <v>0</v>
      </c>
      <c r="AD61" s="21" t="n">
        <v>0</v>
      </c>
      <c r="AE61" s="21" t="n">
        <v>0</v>
      </c>
      <c r="AF61" s="21" t="n">
        <v>0</v>
      </c>
      <c r="AG61" s="21" t="n">
        <v>0</v>
      </c>
      <c r="AH61" s="21" t="n">
        <v>0</v>
      </c>
      <c r="AI61" s="21" t="n">
        <v>0</v>
      </c>
      <c r="AJ61" s="21" t="n">
        <v>0</v>
      </c>
      <c r="AK61" s="21" t="n">
        <v>0</v>
      </c>
      <c r="AL61" s="21" t="n">
        <v>0</v>
      </c>
      <c r="AM61" s="21" t="n">
        <v>0</v>
      </c>
      <c r="AN61" s="21" t="n">
        <v>0</v>
      </c>
      <c r="AO61" s="21" t="n">
        <v>0</v>
      </c>
      <c r="AP61" s="21" t="n">
        <v>0</v>
      </c>
      <c r="AQ61" s="21" t="n">
        <v>0</v>
      </c>
      <c r="AR61" s="21" t="n">
        <v>0</v>
      </c>
      <c r="AS61" s="21" t="n">
        <v>0</v>
      </c>
      <c r="AT61" s="21" t="n">
        <v>0</v>
      </c>
      <c r="AU61" s="21" t="n">
        <v>0</v>
      </c>
      <c r="AV61" s="21" t="n">
        <v>0</v>
      </c>
      <c r="AW61" s="21" t="n">
        <v>0</v>
      </c>
      <c r="AX61" s="21" t="n">
        <v>0</v>
      </c>
      <c r="AY61" s="21" t="n">
        <v>0</v>
      </c>
      <c r="AZ61" s="21" t="n">
        <v>0</v>
      </c>
      <c r="BA61" s="21" t="n">
        <v>0</v>
      </c>
      <c r="BB61" s="21" t="n">
        <v>0</v>
      </c>
      <c r="BC61" s="21" t="n">
        <v>0</v>
      </c>
      <c r="BD61" s="21" t="n">
        <v>0</v>
      </c>
      <c r="BE61" s="21" t="n">
        <v>0</v>
      </c>
      <c r="BF61" s="21" t="n">
        <v>0</v>
      </c>
      <c r="BG61" s="21" t="n">
        <v>0</v>
      </c>
      <c r="BH61" s="21" t="n">
        <v>0</v>
      </c>
      <c r="BI61" s="21" t="n">
        <v>0</v>
      </c>
      <c r="BJ61" s="21" t="n">
        <v>0</v>
      </c>
      <c r="BK61" s="21" t="n">
        <v>0</v>
      </c>
      <c r="BL61" s="21" t="n">
        <v>0</v>
      </c>
      <c r="BM61" s="21" t="n">
        <v>0</v>
      </c>
      <c r="BN61" s="21" t="n">
        <v>0</v>
      </c>
      <c r="BO61" s="21" t="n">
        <v>0</v>
      </c>
      <c r="BP61" s="21" t="n">
        <v>0</v>
      </c>
      <c r="BQ61" s="21" t="n">
        <v>0</v>
      </c>
      <c r="BR61" s="21" t="n">
        <v>0</v>
      </c>
      <c r="BS61" s="21" t="n">
        <v>0</v>
      </c>
      <c r="BT61" s="21" t="n">
        <v>0</v>
      </c>
      <c r="BU61" s="21" t="n">
        <v>0</v>
      </c>
      <c r="BV61" s="21" t="n">
        <v>0</v>
      </c>
      <c r="BW61" s="21" t="n">
        <v>0</v>
      </c>
      <c r="BX61" s="21" t="n">
        <v>0</v>
      </c>
      <c r="BY61" s="21" t="n">
        <v>0</v>
      </c>
      <c r="BZ61" s="21" t="n">
        <v>0</v>
      </c>
      <c r="CA61" s="21" t="n">
        <v>0</v>
      </c>
      <c r="CB61" s="21" t="n">
        <v>0</v>
      </c>
      <c r="CC61" s="21" t="n">
        <v>0</v>
      </c>
      <c r="CD61" s="21" t="n">
        <v>0</v>
      </c>
      <c r="CE61" s="21" t="n">
        <v>0</v>
      </c>
      <c r="CF61" s="21" t="n">
        <v>0</v>
      </c>
      <c r="CG61" s="21" t="n">
        <v>0</v>
      </c>
      <c r="CH61" s="21" t="n">
        <v>0</v>
      </c>
      <c r="CI61" s="21" t="n">
        <v>0</v>
      </c>
      <c r="CJ61" s="21" t="n">
        <v>0</v>
      </c>
      <c r="CK61" s="21" t="n">
        <v>0</v>
      </c>
      <c r="CL61" s="21" t="n">
        <v>0</v>
      </c>
      <c r="CM61" s="21" t="n">
        <v>0</v>
      </c>
      <c r="CN61" s="21" t="n">
        <v>0</v>
      </c>
      <c r="CO61" s="21" t="n">
        <v>0</v>
      </c>
      <c r="CP61" s="21" t="n">
        <v>0</v>
      </c>
      <c r="CQ61" s="21" t="n">
        <v>0</v>
      </c>
      <c r="CR61" s="21" t="n">
        <v>0</v>
      </c>
      <c r="CS61" s="21" t="n">
        <v>0</v>
      </c>
      <c r="CT61" s="21" t="n">
        <v>0</v>
      </c>
      <c r="CU61" s="21" t="n">
        <v>0</v>
      </c>
      <c r="CV61" s="21" t="n">
        <v>0</v>
      </c>
      <c r="CW61" s="21" t="n">
        <v>0</v>
      </c>
      <c r="CX61" s="21" t="n">
        <v>0</v>
      </c>
      <c r="CY61" s="21" t="n">
        <v>0</v>
      </c>
      <c r="CZ61" s="21" t="n">
        <v>0</v>
      </c>
      <c r="DA61" s="21" t="n">
        <v>0</v>
      </c>
    </row>
    <row r="62">
      <c r="A62" t="inlineStr">
        <is>
          <t>VSP-910</t>
        </is>
      </c>
      <c r="B62" s="21" t="n">
        <v>0</v>
      </c>
      <c r="C62" s="21" t="n">
        <v>0</v>
      </c>
      <c r="D62" s="21" t="n">
        <v>0</v>
      </c>
      <c r="E62" s="21" t="n">
        <v>0</v>
      </c>
      <c r="F62" s="21" t="n">
        <v>0</v>
      </c>
      <c r="G62" s="21" t="n">
        <v>0</v>
      </c>
      <c r="H62" s="21" t="n">
        <v>0</v>
      </c>
      <c r="I62" s="21" t="n">
        <v>0</v>
      </c>
      <c r="J62" s="21" t="n">
        <v>0</v>
      </c>
      <c r="K62" s="21" t="n">
        <v>0</v>
      </c>
      <c r="L62" s="21" t="n">
        <v>0</v>
      </c>
      <c r="M62" s="21" t="n">
        <v>0</v>
      </c>
      <c r="N62" s="21" t="n">
        <v>0</v>
      </c>
      <c r="O62" s="21" t="n">
        <v>0</v>
      </c>
      <c r="P62" s="21" t="n">
        <v>0</v>
      </c>
      <c r="Q62" s="21" t="n">
        <v>0</v>
      </c>
      <c r="R62" s="21" t="n">
        <v>0</v>
      </c>
      <c r="S62" s="21" t="n">
        <v>0</v>
      </c>
      <c r="T62" s="21" t="n">
        <v>0</v>
      </c>
      <c r="U62" s="21" t="n">
        <v>0</v>
      </c>
      <c r="V62" s="21" t="n">
        <v>0</v>
      </c>
      <c r="W62" s="21" t="n">
        <v>0</v>
      </c>
      <c r="X62" s="21" t="n">
        <v>0</v>
      </c>
      <c r="Y62" s="21" t="n">
        <v>0</v>
      </c>
      <c r="Z62" s="21" t="n">
        <v>0</v>
      </c>
      <c r="AA62" s="21" t="n">
        <v>0</v>
      </c>
      <c r="AB62" s="21" t="n">
        <v>0</v>
      </c>
      <c r="AC62" s="21" t="n">
        <v>0</v>
      </c>
      <c r="AD62" s="21" t="n">
        <v>0</v>
      </c>
      <c r="AE62" s="21" t="n">
        <v>0</v>
      </c>
      <c r="AF62" s="21" t="n">
        <v>0</v>
      </c>
      <c r="AG62" s="21" t="n">
        <v>0</v>
      </c>
      <c r="AH62" s="21" t="n">
        <v>0</v>
      </c>
      <c r="AI62" s="21" t="n">
        <v>0</v>
      </c>
      <c r="AJ62" s="21" t="n">
        <v>0</v>
      </c>
      <c r="AK62" s="21" t="n">
        <v>0</v>
      </c>
      <c r="AL62" s="21" t="n">
        <v>0</v>
      </c>
      <c r="AM62" s="21" t="n">
        <v>0</v>
      </c>
      <c r="AN62" s="21" t="n">
        <v>0</v>
      </c>
      <c r="AO62" s="21" t="n">
        <v>0</v>
      </c>
      <c r="AP62" s="21" t="n">
        <v>0</v>
      </c>
      <c r="AQ62" s="21" t="n">
        <v>0</v>
      </c>
      <c r="AR62" s="21" t="n">
        <v>0</v>
      </c>
      <c r="AS62" s="21" t="n">
        <v>0</v>
      </c>
      <c r="AT62" s="21" t="n">
        <v>0</v>
      </c>
      <c r="AU62" s="21" t="n">
        <v>0</v>
      </c>
      <c r="AV62" s="21" t="n">
        <v>0</v>
      </c>
      <c r="AW62" s="21" t="n">
        <v>0</v>
      </c>
      <c r="AX62" s="21" t="n">
        <v>0</v>
      </c>
      <c r="AY62" s="21" t="n">
        <v>0</v>
      </c>
      <c r="AZ62" s="21" t="n">
        <v>0</v>
      </c>
      <c r="BA62" s="21" t="n">
        <v>0</v>
      </c>
      <c r="BB62" s="21" t="n">
        <v>0</v>
      </c>
      <c r="BC62" s="21" t="n">
        <v>0</v>
      </c>
      <c r="BD62" s="21" t="n">
        <v>0</v>
      </c>
      <c r="BE62" s="21" t="n">
        <v>0</v>
      </c>
      <c r="BF62" s="21" t="n">
        <v>0</v>
      </c>
      <c r="BG62" s="21" t="n">
        <v>0</v>
      </c>
      <c r="BH62" s="21" t="n">
        <v>0</v>
      </c>
      <c r="BI62" s="21" t="n">
        <v>0</v>
      </c>
      <c r="BJ62" s="21" t="n">
        <v>0</v>
      </c>
      <c r="BK62" s="21" t="n">
        <v>0</v>
      </c>
      <c r="BL62" s="21" t="n">
        <v>0</v>
      </c>
      <c r="BM62" s="21" t="n">
        <v>0</v>
      </c>
      <c r="BN62" s="21" t="n">
        <v>0</v>
      </c>
      <c r="BO62" s="21" t="n">
        <v>0</v>
      </c>
      <c r="BP62" s="21" t="n">
        <v>0</v>
      </c>
      <c r="BQ62" s="21" t="n">
        <v>0</v>
      </c>
      <c r="BR62" s="21" t="n">
        <v>0</v>
      </c>
      <c r="BS62" s="21" t="n">
        <v>0</v>
      </c>
      <c r="BT62" s="21" t="n">
        <v>0</v>
      </c>
      <c r="BU62" s="21" t="n">
        <v>0</v>
      </c>
      <c r="BV62" s="21" t="n">
        <v>0</v>
      </c>
      <c r="BW62" s="21" t="n">
        <v>0</v>
      </c>
      <c r="BX62" s="21" t="n">
        <v>0</v>
      </c>
      <c r="BY62" s="21" t="n">
        <v>0</v>
      </c>
      <c r="BZ62" s="21" t="n">
        <v>0</v>
      </c>
      <c r="CA62" s="21" t="n">
        <v>0</v>
      </c>
      <c r="CB62" s="21" t="n">
        <v>0</v>
      </c>
      <c r="CC62" s="21" t="n">
        <v>0</v>
      </c>
      <c r="CD62" s="21" t="n">
        <v>0</v>
      </c>
      <c r="CE62" s="21" t="n">
        <v>0</v>
      </c>
      <c r="CF62" s="21" t="n">
        <v>0</v>
      </c>
      <c r="CG62" s="21" t="n">
        <v>0</v>
      </c>
      <c r="CH62" s="21" t="n">
        <v>0</v>
      </c>
      <c r="CI62" s="21" t="n">
        <v>0</v>
      </c>
      <c r="CJ62" s="21" t="n">
        <v>0</v>
      </c>
      <c r="CK62" s="21" t="n">
        <v>0</v>
      </c>
      <c r="CL62" s="21" t="n">
        <v>0</v>
      </c>
      <c r="CM62" s="21" t="n">
        <v>0</v>
      </c>
      <c r="CN62" s="21" t="n">
        <v>0</v>
      </c>
      <c r="CO62" s="21" t="n">
        <v>0</v>
      </c>
      <c r="CP62" s="21" t="n">
        <v>0</v>
      </c>
      <c r="CQ62" s="21" t="n">
        <v>0</v>
      </c>
      <c r="CR62" s="21" t="n">
        <v>0</v>
      </c>
      <c r="CS62" s="21" t="n">
        <v>0</v>
      </c>
      <c r="CT62" s="21" t="n">
        <v>0</v>
      </c>
      <c r="CU62" s="21" t="n">
        <v>0</v>
      </c>
      <c r="CV62" s="21" t="n">
        <v>0</v>
      </c>
      <c r="CW62" s="21" t="n">
        <v>0</v>
      </c>
      <c r="CX62" s="21" t="n">
        <v>0</v>
      </c>
      <c r="CY62" s="21" t="n">
        <v>0</v>
      </c>
      <c r="CZ62" s="21" t="n">
        <v>0</v>
      </c>
      <c r="DA62" s="21" t="n">
        <v>0</v>
      </c>
    </row>
    <row r="63">
      <c r="A63" t="inlineStr">
        <is>
          <t>VSP-989</t>
        </is>
      </c>
      <c r="B63" s="21" t="n">
        <v>0</v>
      </c>
      <c r="C63" s="21" t="n">
        <v>0</v>
      </c>
      <c r="D63" s="21" t="n">
        <v>0</v>
      </c>
      <c r="E63" s="21" t="n">
        <v>0</v>
      </c>
      <c r="F63" s="21" t="n">
        <v>0</v>
      </c>
      <c r="G63" s="21" t="n">
        <v>0</v>
      </c>
      <c r="H63" s="21" t="n">
        <v>0</v>
      </c>
      <c r="I63" s="21" t="n">
        <v>0</v>
      </c>
      <c r="J63" s="21" t="n">
        <v>0</v>
      </c>
      <c r="K63" s="21" t="n">
        <v>0</v>
      </c>
      <c r="L63" s="21" t="n">
        <v>0</v>
      </c>
      <c r="M63" s="21" t="n">
        <v>0</v>
      </c>
      <c r="N63" s="21" t="n">
        <v>0</v>
      </c>
      <c r="O63" s="21" t="n">
        <v>0</v>
      </c>
      <c r="P63" s="21" t="n">
        <v>0</v>
      </c>
      <c r="Q63" s="21" t="n">
        <v>0</v>
      </c>
      <c r="R63" s="21" t="n">
        <v>0</v>
      </c>
      <c r="S63" s="21" t="n">
        <v>0</v>
      </c>
      <c r="T63" s="21" t="n">
        <v>0</v>
      </c>
      <c r="U63" s="21" t="n">
        <v>0</v>
      </c>
      <c r="V63" s="21" t="n">
        <v>0</v>
      </c>
      <c r="W63" s="21" t="n">
        <v>0</v>
      </c>
      <c r="X63" s="21" t="n">
        <v>0</v>
      </c>
      <c r="Y63" s="21" t="n">
        <v>0</v>
      </c>
      <c r="Z63" s="21" t="n">
        <v>0</v>
      </c>
      <c r="AA63" s="21" t="n">
        <v>0</v>
      </c>
      <c r="AB63" s="21" t="n">
        <v>0</v>
      </c>
      <c r="AC63" s="21" t="n">
        <v>0</v>
      </c>
      <c r="AD63" s="21" t="n">
        <v>0</v>
      </c>
      <c r="AE63" s="21" t="n">
        <v>0</v>
      </c>
      <c r="AF63" s="21" t="n">
        <v>0</v>
      </c>
      <c r="AG63" s="21" t="n">
        <v>0</v>
      </c>
      <c r="AH63" s="21" t="n">
        <v>0</v>
      </c>
      <c r="AI63" s="21" t="n">
        <v>0</v>
      </c>
      <c r="AJ63" s="21" t="n">
        <v>0</v>
      </c>
      <c r="AK63" s="21" t="n">
        <v>0</v>
      </c>
      <c r="AL63" s="21" t="n">
        <v>0</v>
      </c>
      <c r="AM63" s="21" t="n">
        <v>0</v>
      </c>
      <c r="AN63" s="21" t="n">
        <v>0</v>
      </c>
      <c r="AO63" s="21" t="n">
        <v>0</v>
      </c>
      <c r="AP63" s="21" t="n">
        <v>0</v>
      </c>
      <c r="AQ63" s="21" t="n">
        <v>0</v>
      </c>
      <c r="AR63" s="21" t="n">
        <v>0</v>
      </c>
      <c r="AS63" s="21" t="n">
        <v>0</v>
      </c>
      <c r="AT63" s="21" t="n">
        <v>0</v>
      </c>
      <c r="AU63" s="21" t="n">
        <v>0</v>
      </c>
      <c r="AV63" s="21" t="n">
        <v>0</v>
      </c>
      <c r="AW63" s="21" t="n">
        <v>0</v>
      </c>
      <c r="AX63" s="21" t="n">
        <v>0</v>
      </c>
      <c r="AY63" s="21" t="n">
        <v>0</v>
      </c>
      <c r="AZ63" s="21" t="n">
        <v>0</v>
      </c>
      <c r="BA63" s="21" t="n">
        <v>0</v>
      </c>
      <c r="BB63" s="21" t="n">
        <v>0</v>
      </c>
      <c r="BC63" s="21" t="n">
        <v>0</v>
      </c>
      <c r="BD63" s="21" t="n">
        <v>0</v>
      </c>
      <c r="BE63" s="21" t="n">
        <v>0</v>
      </c>
      <c r="BF63" s="21" t="n">
        <v>0</v>
      </c>
      <c r="BG63" s="21" t="n">
        <v>0</v>
      </c>
      <c r="BH63" s="21" t="n">
        <v>0</v>
      </c>
      <c r="BI63" s="21" t="n">
        <v>0</v>
      </c>
      <c r="BJ63" s="21" t="n">
        <v>0</v>
      </c>
      <c r="BK63" s="21" t="n">
        <v>0</v>
      </c>
      <c r="BL63" s="21" t="n">
        <v>0</v>
      </c>
      <c r="BM63" s="21" t="n">
        <v>0</v>
      </c>
      <c r="BN63" s="21" t="n">
        <v>0</v>
      </c>
      <c r="BO63" s="21" t="n">
        <v>0</v>
      </c>
      <c r="BP63" s="21" t="n">
        <v>0</v>
      </c>
      <c r="BQ63" s="21" t="n">
        <v>0</v>
      </c>
      <c r="BR63" s="21" t="n">
        <v>0</v>
      </c>
      <c r="BS63" s="21" t="n">
        <v>0</v>
      </c>
      <c r="BT63" s="21" t="n">
        <v>0</v>
      </c>
      <c r="BU63" s="21" t="n">
        <v>0</v>
      </c>
      <c r="BV63" s="21" t="n">
        <v>0</v>
      </c>
      <c r="BW63" s="21" t="n">
        <v>0</v>
      </c>
      <c r="BX63" s="21" t="n">
        <v>0</v>
      </c>
      <c r="BY63" s="21" t="n">
        <v>0</v>
      </c>
      <c r="BZ63" s="21" t="n">
        <v>0</v>
      </c>
      <c r="CA63" s="21" t="n">
        <v>0</v>
      </c>
      <c r="CB63" s="21" t="n">
        <v>0</v>
      </c>
      <c r="CC63" s="21" t="n">
        <v>0</v>
      </c>
      <c r="CD63" s="21" t="n">
        <v>0</v>
      </c>
      <c r="CE63" s="21" t="n">
        <v>0</v>
      </c>
      <c r="CF63" s="21" t="n">
        <v>0</v>
      </c>
      <c r="CG63" s="21" t="n">
        <v>0</v>
      </c>
      <c r="CH63" s="21" t="n">
        <v>0</v>
      </c>
      <c r="CI63" s="21" t="n">
        <v>0</v>
      </c>
      <c r="CJ63" s="21" t="n">
        <v>0</v>
      </c>
      <c r="CK63" s="21" t="n">
        <v>0</v>
      </c>
      <c r="CL63" s="21" t="n">
        <v>0</v>
      </c>
      <c r="CM63" s="21" t="n">
        <v>0</v>
      </c>
      <c r="CN63" s="21" t="n">
        <v>0</v>
      </c>
      <c r="CO63" s="21" t="n">
        <v>0</v>
      </c>
      <c r="CP63" s="21" t="n">
        <v>0</v>
      </c>
      <c r="CQ63" s="21" t="n">
        <v>0</v>
      </c>
      <c r="CR63" s="21" t="n">
        <v>0</v>
      </c>
      <c r="CS63" s="21" t="n">
        <v>0</v>
      </c>
      <c r="CT63" s="21" t="n">
        <v>0</v>
      </c>
      <c r="CU63" s="21" t="n">
        <v>0</v>
      </c>
      <c r="CV63" s="21" t="n">
        <v>0</v>
      </c>
      <c r="CW63" s="21" t="n">
        <v>0</v>
      </c>
      <c r="CX63" s="21" t="n">
        <v>0</v>
      </c>
      <c r="CY63" s="21" t="n">
        <v>0</v>
      </c>
      <c r="CZ63" s="21" t="n">
        <v>0</v>
      </c>
      <c r="DA63" s="21" t="n">
        <v>0</v>
      </c>
    </row>
    <row r="64">
      <c r="A64" t="inlineStr">
        <is>
          <t>VSP-990</t>
        </is>
      </c>
      <c r="B64" s="21" t="n">
        <v>0</v>
      </c>
      <c r="C64" s="21" t="n">
        <v>0</v>
      </c>
      <c r="D64" s="21" t="n">
        <v>0</v>
      </c>
      <c r="E64" s="21" t="n">
        <v>0</v>
      </c>
      <c r="F64" s="21" t="n">
        <v>0</v>
      </c>
      <c r="G64" s="21" t="n">
        <v>0</v>
      </c>
      <c r="H64" s="21" t="n">
        <v>0</v>
      </c>
      <c r="I64" s="21" t="n">
        <v>0</v>
      </c>
      <c r="J64" s="21" t="n">
        <v>0</v>
      </c>
      <c r="K64" s="21" t="n">
        <v>0</v>
      </c>
      <c r="L64" s="21" t="n">
        <v>0</v>
      </c>
      <c r="M64" s="21" t="n">
        <v>0</v>
      </c>
      <c r="N64" s="21" t="n">
        <v>0</v>
      </c>
      <c r="O64" s="21" t="n">
        <v>0</v>
      </c>
      <c r="P64" s="21" t="n">
        <v>0</v>
      </c>
      <c r="Q64" s="21" t="n">
        <v>0</v>
      </c>
      <c r="R64" s="21" t="n">
        <v>0</v>
      </c>
      <c r="S64" s="21" t="n">
        <v>0</v>
      </c>
      <c r="T64" s="21" t="n">
        <v>0</v>
      </c>
      <c r="U64" s="21" t="n">
        <v>0</v>
      </c>
      <c r="V64" s="21" t="n">
        <v>0</v>
      </c>
      <c r="W64" s="21" t="n">
        <v>0</v>
      </c>
      <c r="X64" s="21" t="n">
        <v>0</v>
      </c>
      <c r="Y64" s="21" t="n">
        <v>0</v>
      </c>
      <c r="Z64" s="21" t="n">
        <v>0</v>
      </c>
      <c r="AA64" s="21" t="n">
        <v>0</v>
      </c>
      <c r="AB64" s="21" t="n">
        <v>0</v>
      </c>
      <c r="AC64" s="21" t="n">
        <v>0</v>
      </c>
      <c r="AD64" s="21" t="n">
        <v>0</v>
      </c>
      <c r="AE64" s="21" t="n">
        <v>0</v>
      </c>
      <c r="AF64" s="21" t="n">
        <v>0</v>
      </c>
      <c r="AG64" s="21" t="n">
        <v>0</v>
      </c>
      <c r="AH64" s="21" t="n">
        <v>0</v>
      </c>
      <c r="AI64" s="21" t="n">
        <v>0</v>
      </c>
      <c r="AJ64" s="21" t="n">
        <v>0</v>
      </c>
      <c r="AK64" s="21" t="n">
        <v>0</v>
      </c>
      <c r="AL64" s="21" t="n">
        <v>0</v>
      </c>
      <c r="AM64" s="21" t="n">
        <v>0</v>
      </c>
      <c r="AN64" s="21" t="n">
        <v>0</v>
      </c>
      <c r="AO64" s="21" t="n">
        <v>0</v>
      </c>
      <c r="AP64" s="21" t="n">
        <v>0</v>
      </c>
      <c r="AQ64" s="21" t="n">
        <v>0</v>
      </c>
      <c r="AR64" s="21" t="n">
        <v>0</v>
      </c>
      <c r="AS64" s="21" t="n">
        <v>0</v>
      </c>
      <c r="AT64" s="21" t="n">
        <v>0</v>
      </c>
      <c r="AU64" s="21" t="n">
        <v>0</v>
      </c>
      <c r="AV64" s="21" t="n">
        <v>0</v>
      </c>
      <c r="AW64" s="21" t="n">
        <v>0</v>
      </c>
      <c r="AX64" s="21" t="n">
        <v>0</v>
      </c>
      <c r="AY64" s="21" t="n">
        <v>0</v>
      </c>
      <c r="AZ64" s="21" t="n">
        <v>0</v>
      </c>
      <c r="BA64" s="21" t="n">
        <v>0</v>
      </c>
      <c r="BB64" s="21" t="n">
        <v>0</v>
      </c>
      <c r="BC64" s="21" t="n">
        <v>0</v>
      </c>
      <c r="BD64" s="21" t="n">
        <v>0</v>
      </c>
      <c r="BE64" s="21" t="n">
        <v>0</v>
      </c>
      <c r="BF64" s="21" t="n">
        <v>0</v>
      </c>
      <c r="BG64" s="21" t="n">
        <v>0</v>
      </c>
      <c r="BH64" s="21" t="n">
        <v>0</v>
      </c>
      <c r="BI64" s="21" t="n">
        <v>0</v>
      </c>
      <c r="BJ64" s="21" t="n">
        <v>0</v>
      </c>
      <c r="BK64" s="21" t="n">
        <v>0</v>
      </c>
      <c r="BL64" s="21" t="n">
        <v>0</v>
      </c>
      <c r="BM64" s="21" t="n">
        <v>0</v>
      </c>
      <c r="BN64" s="21" t="n">
        <v>0</v>
      </c>
      <c r="BO64" s="21" t="n">
        <v>0</v>
      </c>
      <c r="BP64" s="21" t="n">
        <v>0</v>
      </c>
      <c r="BQ64" s="21" t="n">
        <v>0</v>
      </c>
      <c r="BR64" s="21" t="n">
        <v>0</v>
      </c>
      <c r="BS64" s="21" t="n">
        <v>0</v>
      </c>
      <c r="BT64" s="21" t="n">
        <v>0</v>
      </c>
      <c r="BU64" s="21" t="n">
        <v>0</v>
      </c>
      <c r="BV64" s="21" t="n">
        <v>0</v>
      </c>
      <c r="BW64" s="21" t="n">
        <v>0</v>
      </c>
      <c r="BX64" s="21" t="n">
        <v>0</v>
      </c>
      <c r="BY64" s="21" t="n">
        <v>0</v>
      </c>
      <c r="BZ64" s="21" t="n">
        <v>0</v>
      </c>
      <c r="CA64" s="21" t="n">
        <v>0</v>
      </c>
      <c r="CB64" s="21" t="n">
        <v>0</v>
      </c>
      <c r="CC64" s="21" t="n">
        <v>0</v>
      </c>
      <c r="CD64" s="21" t="n">
        <v>0</v>
      </c>
      <c r="CE64" s="21" t="n">
        <v>0</v>
      </c>
      <c r="CF64" s="21" t="n">
        <v>0</v>
      </c>
      <c r="CG64" s="21" t="n">
        <v>0</v>
      </c>
      <c r="CH64" s="21" t="n">
        <v>0</v>
      </c>
      <c r="CI64" s="21" t="n">
        <v>0</v>
      </c>
      <c r="CJ64" s="21" t="n">
        <v>0</v>
      </c>
      <c r="CK64" s="21" t="n">
        <v>0</v>
      </c>
      <c r="CL64" s="21" t="n">
        <v>0</v>
      </c>
      <c r="CM64" s="21" t="n">
        <v>0</v>
      </c>
      <c r="CN64" s="21" t="n">
        <v>0</v>
      </c>
      <c r="CO64" s="21" t="n">
        <v>0</v>
      </c>
      <c r="CP64" s="21" t="n">
        <v>0</v>
      </c>
      <c r="CQ64" s="21" t="n">
        <v>0</v>
      </c>
      <c r="CR64" s="21" t="n">
        <v>0</v>
      </c>
      <c r="CS64" s="21" t="n">
        <v>0</v>
      </c>
      <c r="CT64" s="21" t="n">
        <v>0</v>
      </c>
      <c r="CU64" s="21" t="n">
        <v>0</v>
      </c>
      <c r="CV64" s="21" t="n">
        <v>0</v>
      </c>
      <c r="CW64" s="21" t="n">
        <v>0</v>
      </c>
      <c r="CX64" s="21" t="n">
        <v>0</v>
      </c>
      <c r="CY64" s="21" t="n">
        <v>0</v>
      </c>
      <c r="CZ64" s="21" t="n">
        <v>0</v>
      </c>
      <c r="DA64" s="21" t="n">
        <v>0</v>
      </c>
    </row>
    <row r="65">
      <c r="A65" t="inlineStr">
        <is>
          <t>TPP-190</t>
        </is>
      </c>
      <c r="B65" s="21" t="n">
        <v>0</v>
      </c>
      <c r="C65" s="21" t="n">
        <v>0</v>
      </c>
      <c r="D65" s="21" t="n">
        <v>0</v>
      </c>
      <c r="E65" s="21" t="n">
        <v>0</v>
      </c>
      <c r="F65" s="21" t="n">
        <v>0</v>
      </c>
      <c r="G65" s="21" t="n">
        <v>0</v>
      </c>
      <c r="H65" s="21" t="n">
        <v>0</v>
      </c>
      <c r="I65" s="21" t="n">
        <v>0</v>
      </c>
      <c r="J65" s="21" t="n">
        <v>0</v>
      </c>
      <c r="K65" s="21" t="n">
        <v>0</v>
      </c>
      <c r="L65" s="21" t="n">
        <v>0</v>
      </c>
      <c r="M65" s="21" t="n">
        <v>0</v>
      </c>
      <c r="N65" s="21" t="n">
        <v>0</v>
      </c>
      <c r="O65" s="21" t="n">
        <v>0</v>
      </c>
      <c r="P65" s="21" t="n">
        <v>0</v>
      </c>
      <c r="Q65" s="21" t="n">
        <v>0</v>
      </c>
      <c r="R65" s="21" t="n">
        <v>0</v>
      </c>
      <c r="S65" s="21" t="n">
        <v>0</v>
      </c>
      <c r="T65" s="21" t="n">
        <v>0</v>
      </c>
      <c r="U65" s="21" t="n">
        <v>0</v>
      </c>
      <c r="V65" s="21" t="n">
        <v>0</v>
      </c>
      <c r="W65" s="21" t="n">
        <v>0</v>
      </c>
      <c r="X65" s="21" t="n">
        <v>0</v>
      </c>
      <c r="Y65" s="21" t="n">
        <v>0</v>
      </c>
      <c r="Z65" s="21" t="n">
        <v>0</v>
      </c>
      <c r="AA65" s="21" t="n">
        <v>0</v>
      </c>
      <c r="AB65" s="21" t="n">
        <v>0</v>
      </c>
      <c r="AC65" s="21" t="n">
        <v>0</v>
      </c>
      <c r="AD65" s="21" t="n">
        <v>0</v>
      </c>
      <c r="AE65" s="21" t="n">
        <v>0</v>
      </c>
      <c r="AF65" s="21" t="n">
        <v>0</v>
      </c>
      <c r="AG65" s="21" t="n">
        <v>0</v>
      </c>
      <c r="AH65" s="21" t="n">
        <v>0</v>
      </c>
      <c r="AI65" s="21" t="n">
        <v>0</v>
      </c>
      <c r="AJ65" s="21" t="n">
        <v>0</v>
      </c>
      <c r="AK65" s="21" t="n">
        <v>0</v>
      </c>
      <c r="AL65" s="21" t="n">
        <v>0</v>
      </c>
      <c r="AM65" s="21" t="n">
        <v>0</v>
      </c>
      <c r="AN65" s="21" t="n">
        <v>0</v>
      </c>
      <c r="AO65" s="21" t="n">
        <v>0</v>
      </c>
      <c r="AP65" s="21" t="n">
        <v>0</v>
      </c>
      <c r="AQ65" s="21" t="n">
        <v>0</v>
      </c>
      <c r="AR65" s="21" t="n">
        <v>0</v>
      </c>
      <c r="AS65" s="21" t="n">
        <v>0</v>
      </c>
      <c r="AT65" s="21" t="n">
        <v>0</v>
      </c>
      <c r="AU65" s="21" t="n">
        <v>0</v>
      </c>
      <c r="AV65" s="21" t="n">
        <v>0</v>
      </c>
      <c r="AW65" s="21" t="n">
        <v>0</v>
      </c>
      <c r="AX65" s="21" t="n">
        <v>0</v>
      </c>
      <c r="AY65" s="21" t="n">
        <v>0</v>
      </c>
      <c r="AZ65" s="21" t="n">
        <v>0</v>
      </c>
      <c r="BA65" s="21" t="n">
        <v>0</v>
      </c>
      <c r="BB65" s="21" t="n">
        <v>0</v>
      </c>
      <c r="BC65" s="21" t="n">
        <v>0</v>
      </c>
      <c r="BD65" s="21" t="n">
        <v>0</v>
      </c>
      <c r="BE65" s="21" t="n">
        <v>0</v>
      </c>
      <c r="BF65" s="21" t="n">
        <v>0</v>
      </c>
      <c r="BG65" s="21" t="n">
        <v>0</v>
      </c>
      <c r="BH65" s="21" t="n">
        <v>0</v>
      </c>
      <c r="BI65" s="21" t="n">
        <v>0</v>
      </c>
      <c r="BJ65" s="21" t="n">
        <v>0</v>
      </c>
      <c r="BK65" s="21" t="n">
        <v>0</v>
      </c>
      <c r="BL65" s="21" t="n">
        <v>0</v>
      </c>
      <c r="BM65" s="21" t="n">
        <v>0</v>
      </c>
      <c r="BN65" s="21" t="n">
        <v>0</v>
      </c>
      <c r="BO65" s="21" t="n">
        <v>0</v>
      </c>
      <c r="BP65" s="21" t="n">
        <v>0</v>
      </c>
      <c r="BQ65" s="21" t="n">
        <v>0</v>
      </c>
      <c r="BR65" s="21" t="n">
        <v>0</v>
      </c>
      <c r="BS65" s="21" t="n">
        <v>0</v>
      </c>
      <c r="BT65" s="21" t="n">
        <v>0</v>
      </c>
      <c r="BU65" s="21" t="n">
        <v>0</v>
      </c>
      <c r="BV65" s="21" t="n">
        <v>0</v>
      </c>
      <c r="BW65" s="21" t="n">
        <v>0</v>
      </c>
      <c r="BX65" s="21" t="n">
        <v>0</v>
      </c>
      <c r="BY65" s="21" t="n">
        <v>0</v>
      </c>
      <c r="BZ65" s="21" t="n">
        <v>0</v>
      </c>
      <c r="CA65" s="21" t="n">
        <v>0</v>
      </c>
      <c r="CB65" s="21" t="n">
        <v>0</v>
      </c>
      <c r="CC65" s="21" t="n">
        <v>0</v>
      </c>
      <c r="CD65" s="21" t="n">
        <v>0</v>
      </c>
      <c r="CE65" s="21" t="n">
        <v>0</v>
      </c>
      <c r="CF65" s="21" t="n">
        <v>0</v>
      </c>
      <c r="CG65" s="21" t="n">
        <v>0</v>
      </c>
      <c r="CH65" s="21" t="n">
        <v>0</v>
      </c>
      <c r="CI65" s="21" t="n">
        <v>0</v>
      </c>
      <c r="CJ65" s="21" t="n">
        <v>0</v>
      </c>
      <c r="CK65" s="21" t="n">
        <v>0</v>
      </c>
      <c r="CL65" s="21" t="n">
        <v>0</v>
      </c>
      <c r="CM65" s="21" t="n">
        <v>0</v>
      </c>
      <c r="CN65" s="21" t="n">
        <v>0</v>
      </c>
      <c r="CO65" s="21" t="n">
        <v>0</v>
      </c>
      <c r="CP65" s="21" t="n">
        <v>0</v>
      </c>
      <c r="CQ65" s="21" t="n">
        <v>0</v>
      </c>
      <c r="CR65" s="21" t="n">
        <v>0</v>
      </c>
      <c r="CS65" s="21" t="n">
        <v>0</v>
      </c>
      <c r="CT65" s="21" t="n">
        <v>0</v>
      </c>
      <c r="CU65" s="21" t="n">
        <v>0</v>
      </c>
      <c r="CV65" s="21" t="n">
        <v>0</v>
      </c>
      <c r="CW65" s="21" t="n">
        <v>0</v>
      </c>
      <c r="CX65" s="21" t="n">
        <v>0</v>
      </c>
      <c r="CY65" s="21" t="n">
        <v>0</v>
      </c>
      <c r="CZ65" s="21" t="n">
        <v>0</v>
      </c>
      <c r="DA65" s="21" t="n">
        <v>0</v>
      </c>
    </row>
    <row r="66">
      <c r="A66" t="inlineStr">
        <is>
          <t>TPP-204</t>
        </is>
      </c>
      <c r="B66" s="21" t="n">
        <v>0</v>
      </c>
      <c r="C66" s="21" t="n">
        <v>0</v>
      </c>
      <c r="D66" s="21" t="n">
        <v>0</v>
      </c>
      <c r="E66" s="21" t="n">
        <v>0</v>
      </c>
      <c r="F66" s="21" t="n">
        <v>0</v>
      </c>
      <c r="G66" s="21" t="n">
        <v>0</v>
      </c>
      <c r="H66" s="21" t="n">
        <v>0</v>
      </c>
      <c r="I66" s="21" t="n">
        <v>0</v>
      </c>
      <c r="J66" s="21" t="n">
        <v>0</v>
      </c>
      <c r="K66" s="21" t="n">
        <v>0</v>
      </c>
      <c r="L66" s="21" t="n">
        <v>0</v>
      </c>
      <c r="M66" s="21" t="n">
        <v>0</v>
      </c>
      <c r="N66" s="21" t="n">
        <v>0</v>
      </c>
      <c r="O66" s="21" t="n">
        <v>0</v>
      </c>
      <c r="P66" s="21" t="n">
        <v>0</v>
      </c>
      <c r="Q66" s="21" t="n">
        <v>0</v>
      </c>
      <c r="R66" s="21" t="n">
        <v>0</v>
      </c>
      <c r="S66" s="21" t="n">
        <v>0</v>
      </c>
      <c r="T66" s="21" t="n">
        <v>0</v>
      </c>
      <c r="U66" s="21" t="n">
        <v>0</v>
      </c>
      <c r="V66" s="21" t="n">
        <v>0</v>
      </c>
      <c r="W66" s="21" t="n">
        <v>0</v>
      </c>
      <c r="X66" s="21" t="n">
        <v>0</v>
      </c>
      <c r="Y66" s="21" t="n">
        <v>0</v>
      </c>
      <c r="Z66" s="21" t="n">
        <v>0</v>
      </c>
      <c r="AA66" s="21" t="n">
        <v>0</v>
      </c>
      <c r="AB66" s="21" t="n">
        <v>0</v>
      </c>
      <c r="AC66" s="21" t="n">
        <v>0</v>
      </c>
      <c r="AD66" s="21" t="n">
        <v>0</v>
      </c>
      <c r="AE66" s="21" t="n">
        <v>0</v>
      </c>
      <c r="AF66" s="21" t="n">
        <v>0</v>
      </c>
      <c r="AG66" s="21" t="n">
        <v>0</v>
      </c>
      <c r="AH66" s="21" t="n">
        <v>0</v>
      </c>
      <c r="AI66" s="21" t="n">
        <v>0</v>
      </c>
      <c r="AJ66" s="21" t="n">
        <v>0</v>
      </c>
      <c r="AK66" s="21" t="n">
        <v>0</v>
      </c>
      <c r="AL66" s="21" t="n">
        <v>0</v>
      </c>
      <c r="AM66" s="21" t="n">
        <v>0</v>
      </c>
      <c r="AN66" s="21" t="n">
        <v>0</v>
      </c>
      <c r="AO66" s="21" t="n">
        <v>0</v>
      </c>
      <c r="AP66" s="21" t="n">
        <v>0</v>
      </c>
      <c r="AQ66" s="21" t="n">
        <v>0</v>
      </c>
      <c r="AR66" s="21" t="n">
        <v>0</v>
      </c>
      <c r="AS66" s="21" t="n">
        <v>0</v>
      </c>
      <c r="AT66" s="21" t="n">
        <v>0</v>
      </c>
      <c r="AU66" s="21" t="n">
        <v>0</v>
      </c>
      <c r="AV66" s="21" t="n">
        <v>0</v>
      </c>
      <c r="AW66" s="21" t="n">
        <v>0</v>
      </c>
      <c r="AX66" s="21" t="n">
        <v>0</v>
      </c>
      <c r="AY66" s="21" t="n">
        <v>0</v>
      </c>
      <c r="AZ66" s="21" t="n">
        <v>0</v>
      </c>
      <c r="BA66" s="21" t="n">
        <v>0</v>
      </c>
      <c r="BB66" s="21" t="n">
        <v>0</v>
      </c>
      <c r="BC66" s="21" t="n">
        <v>0</v>
      </c>
      <c r="BD66" s="21" t="n">
        <v>0</v>
      </c>
      <c r="BE66" s="21" t="n">
        <v>0</v>
      </c>
      <c r="BF66" s="21" t="n">
        <v>0</v>
      </c>
      <c r="BG66" s="21" t="n">
        <v>0</v>
      </c>
      <c r="BH66" s="21" t="n">
        <v>0</v>
      </c>
      <c r="BI66" s="21" t="n">
        <v>0</v>
      </c>
      <c r="BJ66" s="21" t="n">
        <v>0</v>
      </c>
      <c r="BK66" s="21" t="n">
        <v>0</v>
      </c>
      <c r="BL66" s="21" t="n">
        <v>0</v>
      </c>
      <c r="BM66" s="21" t="n">
        <v>0</v>
      </c>
      <c r="BN66" s="21" t="n">
        <v>0</v>
      </c>
      <c r="BO66" s="21" t="n">
        <v>0</v>
      </c>
      <c r="BP66" s="21" t="n">
        <v>0</v>
      </c>
      <c r="BQ66" s="21" t="n">
        <v>0</v>
      </c>
      <c r="BR66" s="21" t="n">
        <v>0</v>
      </c>
      <c r="BS66" s="21" t="n">
        <v>0</v>
      </c>
      <c r="BT66" s="21" t="n">
        <v>0</v>
      </c>
      <c r="BU66" s="21" t="n">
        <v>0</v>
      </c>
      <c r="BV66" s="21" t="n">
        <v>0</v>
      </c>
      <c r="BW66" s="21" t="n">
        <v>0</v>
      </c>
      <c r="BX66" s="21" t="n">
        <v>0</v>
      </c>
      <c r="BY66" s="21" t="n">
        <v>0</v>
      </c>
      <c r="BZ66" s="21" t="n">
        <v>0</v>
      </c>
      <c r="CA66" s="21" t="n">
        <v>0</v>
      </c>
      <c r="CB66" s="21" t="n">
        <v>0</v>
      </c>
      <c r="CC66" s="21" t="n">
        <v>0</v>
      </c>
      <c r="CD66" s="21" t="n">
        <v>0</v>
      </c>
      <c r="CE66" s="21" t="n">
        <v>0</v>
      </c>
      <c r="CF66" s="21" t="n">
        <v>0</v>
      </c>
      <c r="CG66" s="21" t="n">
        <v>0</v>
      </c>
      <c r="CH66" s="21" t="n">
        <v>0</v>
      </c>
      <c r="CI66" s="21" t="n">
        <v>0</v>
      </c>
      <c r="CJ66" s="21" t="n">
        <v>0</v>
      </c>
      <c r="CK66" s="21" t="n">
        <v>0</v>
      </c>
      <c r="CL66" s="21" t="n">
        <v>0</v>
      </c>
      <c r="CM66" s="21" t="n">
        <v>0</v>
      </c>
      <c r="CN66" s="21" t="n">
        <v>0</v>
      </c>
      <c r="CO66" s="21" t="n">
        <v>0</v>
      </c>
      <c r="CP66" s="21" t="n">
        <v>0</v>
      </c>
      <c r="CQ66" s="21" t="n">
        <v>0</v>
      </c>
      <c r="CR66" s="21" t="n">
        <v>0</v>
      </c>
      <c r="CS66" s="21" t="n">
        <v>0</v>
      </c>
      <c r="CT66" s="21" t="n">
        <v>0</v>
      </c>
      <c r="CU66" s="21" t="n">
        <v>0</v>
      </c>
      <c r="CV66" s="21" t="n">
        <v>0</v>
      </c>
      <c r="CW66" s="21" t="n">
        <v>0</v>
      </c>
      <c r="CX66" s="21" t="n">
        <v>0</v>
      </c>
      <c r="CY66" s="21" t="n">
        <v>0</v>
      </c>
      <c r="CZ66" s="21" t="n">
        <v>0</v>
      </c>
      <c r="DA66" s="21" t="n">
        <v>0</v>
      </c>
    </row>
    <row r="67">
      <c r="A67" t="inlineStr">
        <is>
          <t>TPP-350</t>
        </is>
      </c>
      <c r="B67" s="21" t="n">
        <v>0</v>
      </c>
      <c r="C67" s="21" t="n">
        <v>0</v>
      </c>
      <c r="D67" s="21" t="n">
        <v>0</v>
      </c>
      <c r="E67" s="21" t="n">
        <v>0</v>
      </c>
      <c r="F67" s="21" t="n">
        <v>0</v>
      </c>
      <c r="G67" s="21" t="n">
        <v>0</v>
      </c>
      <c r="H67" s="21" t="n">
        <v>0</v>
      </c>
      <c r="I67" s="21" t="n">
        <v>0</v>
      </c>
      <c r="J67" s="21" t="n">
        <v>0</v>
      </c>
      <c r="K67" s="21" t="n">
        <v>0</v>
      </c>
      <c r="L67" s="21" t="n">
        <v>0</v>
      </c>
      <c r="M67" s="21" t="n">
        <v>0</v>
      </c>
      <c r="N67" s="21" t="n">
        <v>0</v>
      </c>
      <c r="O67" s="21" t="n">
        <v>0</v>
      </c>
      <c r="P67" s="21" t="n">
        <v>0</v>
      </c>
      <c r="Q67" s="21" t="n">
        <v>0</v>
      </c>
      <c r="R67" s="21" t="n">
        <v>0</v>
      </c>
      <c r="S67" s="21" t="n">
        <v>0</v>
      </c>
      <c r="T67" s="21" t="n">
        <v>0</v>
      </c>
      <c r="U67" s="21" t="n">
        <v>0</v>
      </c>
      <c r="V67" s="21" t="n">
        <v>0</v>
      </c>
      <c r="W67" s="21" t="n">
        <v>0</v>
      </c>
      <c r="X67" s="21" t="n">
        <v>0</v>
      </c>
      <c r="Y67" s="21" t="n">
        <v>0</v>
      </c>
      <c r="Z67" s="21" t="n">
        <v>0</v>
      </c>
      <c r="AA67" s="21" t="n">
        <v>0</v>
      </c>
      <c r="AB67" s="21" t="n">
        <v>0</v>
      </c>
      <c r="AC67" s="21" t="n">
        <v>0</v>
      </c>
      <c r="AD67" s="21" t="n">
        <v>0</v>
      </c>
      <c r="AE67" s="21" t="n">
        <v>0</v>
      </c>
      <c r="AF67" s="21" t="n">
        <v>0</v>
      </c>
      <c r="AG67" s="21" t="n">
        <v>0</v>
      </c>
      <c r="AH67" s="21" t="n">
        <v>0</v>
      </c>
      <c r="AI67" s="21" t="n">
        <v>0</v>
      </c>
      <c r="AJ67" s="21" t="n">
        <v>0</v>
      </c>
      <c r="AK67" s="21" t="n">
        <v>0</v>
      </c>
      <c r="AL67" s="21" t="n">
        <v>0</v>
      </c>
      <c r="AM67" s="21" t="n">
        <v>0</v>
      </c>
      <c r="AN67" s="21" t="n">
        <v>0</v>
      </c>
      <c r="AO67" s="21" t="n">
        <v>0</v>
      </c>
      <c r="AP67" s="21" t="n">
        <v>0</v>
      </c>
      <c r="AQ67" s="21" t="n">
        <v>0</v>
      </c>
      <c r="AR67" s="21" t="n">
        <v>0</v>
      </c>
      <c r="AS67" s="21" t="n">
        <v>0</v>
      </c>
      <c r="AT67" s="21" t="n">
        <v>0</v>
      </c>
      <c r="AU67" s="21" t="n">
        <v>0</v>
      </c>
      <c r="AV67" s="21" t="n">
        <v>0</v>
      </c>
      <c r="AW67" s="21" t="n">
        <v>0</v>
      </c>
      <c r="AX67" s="21" t="n">
        <v>0</v>
      </c>
      <c r="AY67" s="21" t="n">
        <v>0</v>
      </c>
      <c r="AZ67" s="21" t="n">
        <v>0</v>
      </c>
      <c r="BA67" s="21" t="n">
        <v>0</v>
      </c>
      <c r="BB67" s="21" t="n">
        <v>0</v>
      </c>
      <c r="BC67" s="21" t="n">
        <v>0</v>
      </c>
      <c r="BD67" s="21" t="n">
        <v>0</v>
      </c>
      <c r="BE67" s="21" t="n">
        <v>0</v>
      </c>
      <c r="BF67" s="21" t="n">
        <v>0</v>
      </c>
      <c r="BG67" s="21" t="n">
        <v>0</v>
      </c>
      <c r="BH67" s="21" t="n">
        <v>0</v>
      </c>
      <c r="BI67" s="21" t="n">
        <v>0</v>
      </c>
      <c r="BJ67" s="21" t="n">
        <v>0</v>
      </c>
      <c r="BK67" s="21" t="n">
        <v>0</v>
      </c>
      <c r="BL67" s="21" t="n">
        <v>0</v>
      </c>
      <c r="BM67" s="21" t="n">
        <v>0</v>
      </c>
      <c r="BN67" s="21" t="n">
        <v>0</v>
      </c>
      <c r="BO67" s="21" t="n">
        <v>0</v>
      </c>
      <c r="BP67" s="21" t="n">
        <v>0</v>
      </c>
      <c r="BQ67" s="21" t="n">
        <v>0</v>
      </c>
      <c r="BR67" s="21" t="n">
        <v>0</v>
      </c>
      <c r="BS67" s="21" t="n">
        <v>0</v>
      </c>
      <c r="BT67" s="21" t="n">
        <v>0</v>
      </c>
      <c r="BU67" s="21" t="n">
        <v>0</v>
      </c>
      <c r="BV67" s="21" t="n">
        <v>0</v>
      </c>
      <c r="BW67" s="21" t="n">
        <v>0</v>
      </c>
      <c r="BX67" s="21" t="n">
        <v>0</v>
      </c>
      <c r="BY67" s="21" t="n">
        <v>0</v>
      </c>
      <c r="BZ67" s="21" t="n">
        <v>0</v>
      </c>
      <c r="CA67" s="21" t="n">
        <v>0</v>
      </c>
      <c r="CB67" s="21" t="n">
        <v>0</v>
      </c>
      <c r="CC67" s="21" t="n">
        <v>0</v>
      </c>
      <c r="CD67" s="21" t="n">
        <v>0</v>
      </c>
      <c r="CE67" s="21" t="n">
        <v>0</v>
      </c>
      <c r="CF67" s="21" t="n">
        <v>0</v>
      </c>
      <c r="CG67" s="21" t="n">
        <v>0</v>
      </c>
      <c r="CH67" s="21" t="n">
        <v>0</v>
      </c>
      <c r="CI67" s="21" t="n">
        <v>0</v>
      </c>
      <c r="CJ67" s="21" t="n">
        <v>0</v>
      </c>
      <c r="CK67" s="21" t="n">
        <v>0</v>
      </c>
      <c r="CL67" s="21" t="n">
        <v>0</v>
      </c>
      <c r="CM67" s="21" t="n">
        <v>0</v>
      </c>
      <c r="CN67" s="21" t="n">
        <v>0</v>
      </c>
      <c r="CO67" s="21" t="n">
        <v>0</v>
      </c>
      <c r="CP67" s="21" t="n">
        <v>0</v>
      </c>
      <c r="CQ67" s="21" t="n">
        <v>0</v>
      </c>
      <c r="CR67" s="21" t="n">
        <v>0</v>
      </c>
      <c r="CS67" s="21" t="n">
        <v>0</v>
      </c>
      <c r="CT67" s="21" t="n">
        <v>0</v>
      </c>
      <c r="CU67" s="21" t="n">
        <v>0</v>
      </c>
      <c r="CV67" s="21" t="n">
        <v>0</v>
      </c>
      <c r="CW67" s="21" t="n">
        <v>0</v>
      </c>
      <c r="CX67" s="21" t="n">
        <v>0</v>
      </c>
      <c r="CY67" s="21" t="n">
        <v>0</v>
      </c>
      <c r="CZ67" s="21" t="n">
        <v>0</v>
      </c>
      <c r="DA67" s="21" t="n">
        <v>0</v>
      </c>
    </row>
    <row r="68">
      <c r="A68" t="inlineStr">
        <is>
          <t>TPP-356</t>
        </is>
      </c>
      <c r="B68" s="21" t="n">
        <v>0</v>
      </c>
      <c r="C68" s="21" t="n">
        <v>0</v>
      </c>
      <c r="D68" s="21" t="n">
        <v>0</v>
      </c>
      <c r="E68" s="21" t="n">
        <v>0</v>
      </c>
      <c r="F68" s="21" t="n">
        <v>0</v>
      </c>
      <c r="G68" s="21" t="n">
        <v>0</v>
      </c>
      <c r="H68" s="21" t="n">
        <v>0</v>
      </c>
      <c r="I68" s="21" t="n">
        <v>0</v>
      </c>
      <c r="J68" s="21" t="n">
        <v>0</v>
      </c>
      <c r="K68" s="21" t="n">
        <v>0</v>
      </c>
      <c r="L68" s="21" t="n">
        <v>0</v>
      </c>
      <c r="M68" s="21" t="n">
        <v>0</v>
      </c>
      <c r="N68" s="21" t="n">
        <v>0</v>
      </c>
      <c r="O68" s="21" t="n">
        <v>0</v>
      </c>
      <c r="P68" s="21" t="n">
        <v>0</v>
      </c>
      <c r="Q68" s="21" t="n">
        <v>0</v>
      </c>
      <c r="R68" s="21" t="n">
        <v>0</v>
      </c>
      <c r="S68" s="21" t="n">
        <v>0</v>
      </c>
      <c r="T68" s="21" t="n">
        <v>0</v>
      </c>
      <c r="U68" s="21" t="n">
        <v>0</v>
      </c>
      <c r="V68" s="21" t="n">
        <v>0</v>
      </c>
      <c r="W68" s="21" t="n">
        <v>0</v>
      </c>
      <c r="X68" s="21" t="n">
        <v>0</v>
      </c>
      <c r="Y68" s="21" t="n">
        <v>0</v>
      </c>
      <c r="Z68" s="21" t="n">
        <v>0</v>
      </c>
      <c r="AA68" s="21" t="n">
        <v>0</v>
      </c>
      <c r="AB68" s="21" t="n">
        <v>0</v>
      </c>
      <c r="AC68" s="21" t="n">
        <v>0</v>
      </c>
      <c r="AD68" s="21" t="n">
        <v>0</v>
      </c>
      <c r="AE68" s="21" t="n">
        <v>0</v>
      </c>
      <c r="AF68" s="21" t="n">
        <v>0</v>
      </c>
      <c r="AG68" s="21" t="n">
        <v>0</v>
      </c>
      <c r="AH68" s="21" t="n">
        <v>0</v>
      </c>
      <c r="AI68" s="21" t="n">
        <v>0</v>
      </c>
      <c r="AJ68" s="21" t="n">
        <v>0</v>
      </c>
      <c r="AK68" s="21" t="n">
        <v>0</v>
      </c>
      <c r="AL68" s="21" t="n">
        <v>0</v>
      </c>
      <c r="AM68" s="21" t="n">
        <v>0</v>
      </c>
      <c r="AN68" s="21" t="n">
        <v>0</v>
      </c>
      <c r="AO68" s="21" t="n">
        <v>0</v>
      </c>
      <c r="AP68" s="21" t="n">
        <v>0</v>
      </c>
      <c r="AQ68" s="21" t="n">
        <v>0</v>
      </c>
      <c r="AR68" s="21" t="n">
        <v>0</v>
      </c>
      <c r="AS68" s="21" t="n">
        <v>0</v>
      </c>
      <c r="AT68" s="21" t="n">
        <v>0</v>
      </c>
      <c r="AU68" s="21" t="n">
        <v>0</v>
      </c>
      <c r="AV68" s="21" t="n">
        <v>0</v>
      </c>
      <c r="AW68" s="21" t="n">
        <v>0</v>
      </c>
      <c r="AX68" s="21" t="n">
        <v>0</v>
      </c>
      <c r="AY68" s="21" t="n">
        <v>0</v>
      </c>
      <c r="AZ68" s="21" t="n">
        <v>0</v>
      </c>
      <c r="BA68" s="21" t="n">
        <v>0</v>
      </c>
      <c r="BB68" s="21" t="n">
        <v>0</v>
      </c>
      <c r="BC68" s="21" t="n">
        <v>0</v>
      </c>
      <c r="BD68" s="21" t="n">
        <v>0</v>
      </c>
      <c r="BE68" s="21" t="n">
        <v>0</v>
      </c>
      <c r="BF68" s="21" t="n">
        <v>0</v>
      </c>
      <c r="BG68" s="21" t="n">
        <v>0</v>
      </c>
      <c r="BH68" s="21" t="n">
        <v>0</v>
      </c>
      <c r="BI68" s="21" t="n">
        <v>0</v>
      </c>
      <c r="BJ68" s="21" t="n">
        <v>0</v>
      </c>
      <c r="BK68" s="21" t="n">
        <v>0</v>
      </c>
      <c r="BL68" s="21" t="n">
        <v>0</v>
      </c>
      <c r="BM68" s="21" t="n">
        <v>0</v>
      </c>
      <c r="BN68" s="21" t="n">
        <v>0</v>
      </c>
      <c r="BO68" s="21" t="n">
        <v>0</v>
      </c>
      <c r="BP68" s="21" t="n">
        <v>0</v>
      </c>
      <c r="BQ68" s="21" t="n">
        <v>0</v>
      </c>
      <c r="BR68" s="21" t="n">
        <v>0</v>
      </c>
      <c r="BS68" s="21" t="n">
        <v>0</v>
      </c>
      <c r="BT68" s="21" t="n">
        <v>0</v>
      </c>
      <c r="BU68" s="21" t="n">
        <v>0</v>
      </c>
      <c r="BV68" s="21" t="n">
        <v>0</v>
      </c>
      <c r="BW68" s="21" t="n">
        <v>0</v>
      </c>
      <c r="BX68" s="21" t="n">
        <v>0</v>
      </c>
      <c r="BY68" s="21" t="n">
        <v>0</v>
      </c>
      <c r="BZ68" s="21" t="n">
        <v>0</v>
      </c>
      <c r="CA68" s="21" t="n">
        <v>0</v>
      </c>
      <c r="CB68" s="21" t="n">
        <v>0</v>
      </c>
      <c r="CC68" s="21" t="n">
        <v>0</v>
      </c>
      <c r="CD68" s="21" t="n">
        <v>0</v>
      </c>
      <c r="CE68" s="21" t="n">
        <v>0</v>
      </c>
      <c r="CF68" s="21" t="n">
        <v>0</v>
      </c>
      <c r="CG68" s="21" t="n">
        <v>0</v>
      </c>
      <c r="CH68" s="21" t="n">
        <v>0</v>
      </c>
      <c r="CI68" s="21" t="n">
        <v>0</v>
      </c>
      <c r="CJ68" s="21" t="n">
        <v>0</v>
      </c>
      <c r="CK68" s="21" t="n">
        <v>0</v>
      </c>
      <c r="CL68" s="21" t="n">
        <v>0</v>
      </c>
      <c r="CM68" s="21" t="n">
        <v>0</v>
      </c>
      <c r="CN68" s="21" t="n">
        <v>0</v>
      </c>
      <c r="CO68" s="21" t="n">
        <v>0</v>
      </c>
      <c r="CP68" s="21" t="n">
        <v>0</v>
      </c>
      <c r="CQ68" s="21" t="n">
        <v>0</v>
      </c>
      <c r="CR68" s="21" t="n">
        <v>0</v>
      </c>
      <c r="CS68" s="21" t="n">
        <v>0</v>
      </c>
      <c r="CT68" s="21" t="n">
        <v>0</v>
      </c>
      <c r="CU68" s="21" t="n">
        <v>0</v>
      </c>
      <c r="CV68" s="21" t="n">
        <v>0</v>
      </c>
      <c r="CW68" s="21" t="n">
        <v>0</v>
      </c>
      <c r="CX68" s="21" t="n">
        <v>0</v>
      </c>
      <c r="CY68" s="21" t="n">
        <v>0</v>
      </c>
      <c r="CZ68" s="21" t="n">
        <v>0</v>
      </c>
      <c r="DA68" s="21" t="n">
        <v>0</v>
      </c>
    </row>
    <row r="69">
      <c r="A69" t="inlineStr">
        <is>
          <t>TPP-358</t>
        </is>
      </c>
      <c r="B69" s="21" t="n">
        <v>0</v>
      </c>
      <c r="C69" s="21" t="n">
        <v>0</v>
      </c>
      <c r="D69" s="21" t="n">
        <v>0</v>
      </c>
      <c r="E69" s="21" t="n">
        <v>0</v>
      </c>
      <c r="F69" s="21" t="n">
        <v>0</v>
      </c>
      <c r="G69" s="21" t="n">
        <v>0</v>
      </c>
      <c r="H69" s="21" t="n">
        <v>0</v>
      </c>
      <c r="I69" s="21" t="n">
        <v>0</v>
      </c>
      <c r="J69" s="21" t="n">
        <v>0</v>
      </c>
      <c r="K69" s="21" t="n">
        <v>0</v>
      </c>
      <c r="L69" s="21" t="n">
        <v>0</v>
      </c>
      <c r="M69" s="21" t="n">
        <v>0</v>
      </c>
      <c r="N69" s="21" t="n">
        <v>0</v>
      </c>
      <c r="O69" s="21" t="n">
        <v>0</v>
      </c>
      <c r="P69" s="21" t="n">
        <v>0</v>
      </c>
      <c r="Q69" s="21" t="n">
        <v>0</v>
      </c>
      <c r="R69" s="21" t="n">
        <v>0</v>
      </c>
      <c r="S69" s="21" t="n">
        <v>0</v>
      </c>
      <c r="T69" s="21" t="n">
        <v>0</v>
      </c>
      <c r="U69" s="21" t="n">
        <v>0</v>
      </c>
      <c r="V69" s="21" t="n">
        <v>0</v>
      </c>
      <c r="W69" s="21" t="n">
        <v>0</v>
      </c>
      <c r="X69" s="21" t="n">
        <v>0</v>
      </c>
      <c r="Y69" s="21" t="n">
        <v>0</v>
      </c>
      <c r="Z69" s="21" t="n">
        <v>0</v>
      </c>
      <c r="AA69" s="21" t="n">
        <v>0</v>
      </c>
      <c r="AB69" s="21" t="n">
        <v>0</v>
      </c>
      <c r="AC69" s="21" t="n">
        <v>0</v>
      </c>
      <c r="AD69" s="21" t="n">
        <v>0</v>
      </c>
      <c r="AE69" s="21" t="n">
        <v>0</v>
      </c>
      <c r="AF69" s="21" t="n">
        <v>0</v>
      </c>
      <c r="AG69" s="21" t="n">
        <v>0</v>
      </c>
      <c r="AH69" s="21" t="n">
        <v>0</v>
      </c>
      <c r="AI69" s="21" t="n">
        <v>0</v>
      </c>
      <c r="AJ69" s="21" t="n">
        <v>0</v>
      </c>
      <c r="AK69" s="21" t="n">
        <v>0</v>
      </c>
      <c r="AL69" s="21" t="n">
        <v>0</v>
      </c>
      <c r="AM69" s="21" t="n">
        <v>0</v>
      </c>
      <c r="AN69" s="21" t="n">
        <v>0</v>
      </c>
      <c r="AO69" s="21" t="n">
        <v>0</v>
      </c>
      <c r="AP69" s="21" t="n">
        <v>0</v>
      </c>
      <c r="AQ69" s="21" t="n">
        <v>0</v>
      </c>
      <c r="AR69" s="21" t="n">
        <v>0</v>
      </c>
      <c r="AS69" s="21" t="n">
        <v>0</v>
      </c>
      <c r="AT69" s="21" t="n">
        <v>0</v>
      </c>
      <c r="AU69" s="21" t="n">
        <v>0</v>
      </c>
      <c r="AV69" s="21" t="n">
        <v>0</v>
      </c>
      <c r="AW69" s="21" t="n">
        <v>0</v>
      </c>
      <c r="AX69" s="21" t="n">
        <v>0</v>
      </c>
      <c r="AY69" s="21" t="n">
        <v>0</v>
      </c>
      <c r="AZ69" s="21" t="n">
        <v>0</v>
      </c>
      <c r="BA69" s="21" t="n">
        <v>0</v>
      </c>
      <c r="BB69" s="21" t="n">
        <v>0</v>
      </c>
      <c r="BC69" s="21" t="n">
        <v>0</v>
      </c>
      <c r="BD69" s="21" t="n">
        <v>0</v>
      </c>
      <c r="BE69" s="21" t="n">
        <v>0</v>
      </c>
      <c r="BF69" s="21" t="n">
        <v>0</v>
      </c>
      <c r="BG69" s="21" t="n">
        <v>0</v>
      </c>
      <c r="BH69" s="21" t="n">
        <v>0</v>
      </c>
      <c r="BI69" s="21" t="n">
        <v>0</v>
      </c>
      <c r="BJ69" s="21" t="n">
        <v>0</v>
      </c>
      <c r="BK69" s="21" t="n">
        <v>0</v>
      </c>
      <c r="BL69" s="21" t="n">
        <v>0</v>
      </c>
      <c r="BM69" s="21" t="n">
        <v>0</v>
      </c>
      <c r="BN69" s="21" t="n">
        <v>0</v>
      </c>
      <c r="BO69" s="21" t="n">
        <v>0</v>
      </c>
      <c r="BP69" s="21" t="n">
        <v>0</v>
      </c>
      <c r="BQ69" s="21" t="n">
        <v>0</v>
      </c>
      <c r="BR69" s="21" t="n">
        <v>0</v>
      </c>
      <c r="BS69" s="21" t="n">
        <v>0</v>
      </c>
      <c r="BT69" s="21" t="n">
        <v>0</v>
      </c>
      <c r="BU69" s="21" t="n">
        <v>0</v>
      </c>
      <c r="BV69" s="21" t="n">
        <v>0</v>
      </c>
      <c r="BW69" s="21" t="n">
        <v>0</v>
      </c>
      <c r="BX69" s="21" t="n">
        <v>0</v>
      </c>
      <c r="BY69" s="21" t="n">
        <v>0</v>
      </c>
      <c r="BZ69" s="21" t="n">
        <v>0</v>
      </c>
      <c r="CA69" s="21" t="n">
        <v>0</v>
      </c>
      <c r="CB69" s="21" t="n">
        <v>0</v>
      </c>
      <c r="CC69" s="21" t="n">
        <v>0</v>
      </c>
      <c r="CD69" s="21" t="n">
        <v>0</v>
      </c>
      <c r="CE69" s="21" t="n">
        <v>0</v>
      </c>
      <c r="CF69" s="21" t="n">
        <v>0</v>
      </c>
      <c r="CG69" s="21" t="n">
        <v>0</v>
      </c>
      <c r="CH69" s="21" t="n">
        <v>0</v>
      </c>
      <c r="CI69" s="21" t="n">
        <v>0</v>
      </c>
      <c r="CJ69" s="21" t="n">
        <v>0</v>
      </c>
      <c r="CK69" s="21" t="n">
        <v>0</v>
      </c>
      <c r="CL69" s="21" t="n">
        <v>0</v>
      </c>
      <c r="CM69" s="21" t="n">
        <v>0</v>
      </c>
      <c r="CN69" s="21" t="n">
        <v>0</v>
      </c>
      <c r="CO69" s="21" t="n">
        <v>0</v>
      </c>
      <c r="CP69" s="21" t="n">
        <v>0</v>
      </c>
      <c r="CQ69" s="21" t="n">
        <v>0</v>
      </c>
      <c r="CR69" s="21" t="n">
        <v>0</v>
      </c>
      <c r="CS69" s="21" t="n">
        <v>0</v>
      </c>
      <c r="CT69" s="21" t="n">
        <v>0</v>
      </c>
      <c r="CU69" s="21" t="n">
        <v>0</v>
      </c>
      <c r="CV69" s="21" t="n">
        <v>0</v>
      </c>
      <c r="CW69" s="21" t="n">
        <v>0</v>
      </c>
      <c r="CX69" s="21" t="n">
        <v>0</v>
      </c>
      <c r="CY69" s="21" t="n">
        <v>0</v>
      </c>
      <c r="CZ69" s="21" t="n">
        <v>0</v>
      </c>
      <c r="DA69" s="21" t="n">
        <v>0</v>
      </c>
    </row>
    <row r="70">
      <c r="A70" t="inlineStr">
        <is>
          <t>TPP-527</t>
        </is>
      </c>
      <c r="B70" s="21" t="n">
        <v>0</v>
      </c>
      <c r="C70" s="21" t="n">
        <v>0</v>
      </c>
      <c r="D70" s="21" t="n">
        <v>0</v>
      </c>
      <c r="E70" s="21" t="n">
        <v>0</v>
      </c>
      <c r="F70" s="21" t="n">
        <v>0</v>
      </c>
      <c r="G70" s="21" t="n">
        <v>0</v>
      </c>
      <c r="H70" s="21" t="n">
        <v>0</v>
      </c>
      <c r="I70" s="21" t="n">
        <v>0</v>
      </c>
      <c r="J70" s="21" t="n">
        <v>0</v>
      </c>
      <c r="K70" s="21" t="n">
        <v>0</v>
      </c>
      <c r="L70" s="21" t="n">
        <v>0</v>
      </c>
      <c r="M70" s="21" t="n">
        <v>0</v>
      </c>
      <c r="N70" s="21" t="n">
        <v>0</v>
      </c>
      <c r="O70" s="21" t="n">
        <v>0</v>
      </c>
      <c r="P70" s="21" t="n">
        <v>0</v>
      </c>
      <c r="Q70" s="21" t="n">
        <v>0</v>
      </c>
      <c r="R70" s="21" t="n">
        <v>0</v>
      </c>
      <c r="S70" s="21" t="n">
        <v>0</v>
      </c>
      <c r="T70" s="21" t="n">
        <v>0</v>
      </c>
      <c r="U70" s="21" t="n">
        <v>0</v>
      </c>
      <c r="V70" s="21" t="n">
        <v>0</v>
      </c>
      <c r="W70" s="21" t="n">
        <v>0</v>
      </c>
      <c r="X70" s="21" t="n">
        <v>0</v>
      </c>
      <c r="Y70" s="21" t="n">
        <v>0</v>
      </c>
      <c r="Z70" s="21" t="n">
        <v>0</v>
      </c>
      <c r="AA70" s="21" t="n">
        <v>0</v>
      </c>
      <c r="AB70" s="21" t="n">
        <v>0</v>
      </c>
      <c r="AC70" s="21" t="n">
        <v>0</v>
      </c>
      <c r="AD70" s="21" t="n">
        <v>0</v>
      </c>
      <c r="AE70" s="21" t="n">
        <v>0</v>
      </c>
      <c r="AF70" s="21" t="n">
        <v>0</v>
      </c>
      <c r="AG70" s="21" t="n">
        <v>0</v>
      </c>
      <c r="AH70" s="21" t="n">
        <v>0</v>
      </c>
      <c r="AI70" s="21" t="n">
        <v>0</v>
      </c>
      <c r="AJ70" s="21" t="n">
        <v>0</v>
      </c>
      <c r="AK70" s="21" t="n">
        <v>0</v>
      </c>
      <c r="AL70" s="21" t="n">
        <v>0</v>
      </c>
      <c r="AM70" s="21" t="n">
        <v>0</v>
      </c>
      <c r="AN70" s="21" t="n">
        <v>0</v>
      </c>
      <c r="AO70" s="21" t="n">
        <v>0</v>
      </c>
      <c r="AP70" s="21" t="n">
        <v>0</v>
      </c>
      <c r="AQ70" s="21" t="n">
        <v>0</v>
      </c>
      <c r="AR70" s="21" t="n">
        <v>0</v>
      </c>
      <c r="AS70" s="21" t="n">
        <v>0</v>
      </c>
      <c r="AT70" s="21" t="n">
        <v>0</v>
      </c>
      <c r="AU70" s="21" t="n">
        <v>0</v>
      </c>
      <c r="AV70" s="21" t="n">
        <v>0</v>
      </c>
      <c r="AW70" s="21" t="n">
        <v>0</v>
      </c>
      <c r="AX70" s="21" t="n">
        <v>0</v>
      </c>
      <c r="AY70" s="21" t="n">
        <v>0</v>
      </c>
      <c r="AZ70" s="21" t="n">
        <v>0</v>
      </c>
      <c r="BA70" s="21" t="n">
        <v>0</v>
      </c>
      <c r="BB70" s="21" t="n">
        <v>0</v>
      </c>
      <c r="BC70" s="21" t="n">
        <v>0</v>
      </c>
      <c r="BD70" s="21" t="n">
        <v>0</v>
      </c>
      <c r="BE70" s="21" t="n">
        <v>0</v>
      </c>
      <c r="BF70" s="21" t="n">
        <v>0</v>
      </c>
      <c r="BG70" s="21" t="n">
        <v>0</v>
      </c>
      <c r="BH70" s="21" t="n">
        <v>0</v>
      </c>
      <c r="BI70" s="21" t="n">
        <v>0</v>
      </c>
      <c r="BJ70" s="21" t="n">
        <v>0</v>
      </c>
      <c r="BK70" s="21" t="n">
        <v>0</v>
      </c>
      <c r="BL70" s="21" t="n">
        <v>0</v>
      </c>
      <c r="BM70" s="21" t="n">
        <v>0</v>
      </c>
      <c r="BN70" s="21" t="n">
        <v>0</v>
      </c>
      <c r="BO70" s="21" t="n">
        <v>0</v>
      </c>
      <c r="BP70" s="21" t="n">
        <v>0</v>
      </c>
      <c r="BQ70" s="21" t="n">
        <v>0</v>
      </c>
      <c r="BR70" s="21" t="n">
        <v>0</v>
      </c>
      <c r="BS70" s="21" t="n">
        <v>0</v>
      </c>
      <c r="BT70" s="21" t="n">
        <v>0</v>
      </c>
      <c r="BU70" s="21" t="n">
        <v>0</v>
      </c>
      <c r="BV70" s="21" t="n">
        <v>0</v>
      </c>
      <c r="BW70" s="21" t="n">
        <v>0</v>
      </c>
      <c r="BX70" s="21" t="n">
        <v>0</v>
      </c>
      <c r="BY70" s="21" t="n">
        <v>0</v>
      </c>
      <c r="BZ70" s="21" t="n">
        <v>0</v>
      </c>
      <c r="CA70" s="21" t="n">
        <v>0</v>
      </c>
      <c r="CB70" s="21" t="n">
        <v>0</v>
      </c>
      <c r="CC70" s="21" t="n">
        <v>0</v>
      </c>
      <c r="CD70" s="21" t="n">
        <v>0</v>
      </c>
      <c r="CE70" s="21" t="n">
        <v>0</v>
      </c>
      <c r="CF70" s="21" t="n">
        <v>0</v>
      </c>
      <c r="CG70" s="21" t="n">
        <v>0</v>
      </c>
      <c r="CH70" s="21" t="n">
        <v>0</v>
      </c>
      <c r="CI70" s="21" t="n">
        <v>0</v>
      </c>
      <c r="CJ70" s="21" t="n">
        <v>0</v>
      </c>
      <c r="CK70" s="21" t="n">
        <v>0</v>
      </c>
      <c r="CL70" s="21" t="n">
        <v>0</v>
      </c>
      <c r="CM70" s="21" t="n">
        <v>0</v>
      </c>
      <c r="CN70" s="21" t="n">
        <v>0</v>
      </c>
      <c r="CO70" s="21" t="n">
        <v>0</v>
      </c>
      <c r="CP70" s="21" t="n">
        <v>0</v>
      </c>
      <c r="CQ70" s="21" t="n">
        <v>0</v>
      </c>
      <c r="CR70" s="21" t="n">
        <v>0</v>
      </c>
      <c r="CS70" s="21" t="n">
        <v>0</v>
      </c>
      <c r="CT70" s="21" t="n">
        <v>0</v>
      </c>
      <c r="CU70" s="21" t="n">
        <v>0</v>
      </c>
      <c r="CV70" s="21" t="n">
        <v>0</v>
      </c>
      <c r="CW70" s="21" t="n">
        <v>0</v>
      </c>
      <c r="CX70" s="21" t="n">
        <v>0</v>
      </c>
      <c r="CY70" s="21" t="n">
        <v>0</v>
      </c>
      <c r="CZ70" s="21" t="n">
        <v>0</v>
      </c>
      <c r="DA70" s="21" t="n">
        <v>0</v>
      </c>
    </row>
    <row r="71">
      <c r="A71" t="inlineStr">
        <is>
          <t>TPP-537</t>
        </is>
      </c>
      <c r="B71" s="21" t="n">
        <v>0</v>
      </c>
      <c r="C71" s="21" t="n">
        <v>0</v>
      </c>
      <c r="D71" s="21" t="n">
        <v>0</v>
      </c>
      <c r="E71" s="21" t="n">
        <v>0</v>
      </c>
      <c r="F71" s="21" t="n">
        <v>0</v>
      </c>
      <c r="G71" s="21" t="n">
        <v>0</v>
      </c>
      <c r="H71" s="21" t="n">
        <v>0</v>
      </c>
      <c r="I71" s="21" t="n">
        <v>0</v>
      </c>
      <c r="J71" s="21" t="n">
        <v>0</v>
      </c>
      <c r="K71" s="21" t="n">
        <v>0</v>
      </c>
      <c r="L71" s="21" t="n">
        <v>0</v>
      </c>
      <c r="M71" s="21" t="n">
        <v>0</v>
      </c>
      <c r="N71" s="21" t="n">
        <v>0</v>
      </c>
      <c r="O71" s="21" t="n">
        <v>0</v>
      </c>
      <c r="P71" s="21" t="n">
        <v>0</v>
      </c>
      <c r="Q71" s="21" t="n">
        <v>0</v>
      </c>
      <c r="R71" s="21" t="n">
        <v>0</v>
      </c>
      <c r="S71" s="21" t="n">
        <v>0</v>
      </c>
      <c r="T71" s="21" t="n">
        <v>0</v>
      </c>
      <c r="U71" s="21" t="n">
        <v>0</v>
      </c>
      <c r="V71" s="21" t="n">
        <v>0</v>
      </c>
      <c r="W71" s="21" t="n">
        <v>0</v>
      </c>
      <c r="X71" s="21" t="n">
        <v>0</v>
      </c>
      <c r="Y71" s="21" t="n">
        <v>0</v>
      </c>
      <c r="Z71" s="21" t="n">
        <v>0</v>
      </c>
      <c r="AA71" s="21" t="n">
        <v>0</v>
      </c>
      <c r="AB71" s="21" t="n">
        <v>0</v>
      </c>
      <c r="AC71" s="21" t="n">
        <v>0</v>
      </c>
      <c r="AD71" s="21" t="n">
        <v>0</v>
      </c>
      <c r="AE71" s="21" t="n">
        <v>0</v>
      </c>
      <c r="AF71" s="21" t="n">
        <v>0</v>
      </c>
      <c r="AG71" s="21" t="n">
        <v>0</v>
      </c>
      <c r="AH71" s="21" t="n">
        <v>0</v>
      </c>
      <c r="AI71" s="21" t="n">
        <v>0</v>
      </c>
      <c r="AJ71" s="21" t="n">
        <v>0</v>
      </c>
      <c r="AK71" s="21" t="n">
        <v>0</v>
      </c>
      <c r="AL71" s="21" t="n">
        <v>0</v>
      </c>
      <c r="AM71" s="21" t="n">
        <v>0</v>
      </c>
      <c r="AN71" s="21" t="n">
        <v>0</v>
      </c>
      <c r="AO71" s="21" t="n">
        <v>0</v>
      </c>
      <c r="AP71" s="21" t="n">
        <v>0</v>
      </c>
      <c r="AQ71" s="21" t="n">
        <v>0</v>
      </c>
      <c r="AR71" s="21" t="n">
        <v>0</v>
      </c>
      <c r="AS71" s="21" t="n">
        <v>0</v>
      </c>
      <c r="AT71" s="21" t="n">
        <v>0</v>
      </c>
      <c r="AU71" s="21" t="n">
        <v>0</v>
      </c>
      <c r="AV71" s="21" t="n">
        <v>0</v>
      </c>
      <c r="AW71" s="21" t="n">
        <v>0</v>
      </c>
      <c r="AX71" s="21" t="n">
        <v>0</v>
      </c>
      <c r="AY71" s="21" t="n">
        <v>0</v>
      </c>
      <c r="AZ71" s="21" t="n">
        <v>0</v>
      </c>
      <c r="BA71" s="21" t="n">
        <v>0</v>
      </c>
      <c r="BB71" s="21" t="n">
        <v>0</v>
      </c>
      <c r="BC71" s="21" t="n">
        <v>0</v>
      </c>
      <c r="BD71" s="21" t="n">
        <v>0</v>
      </c>
      <c r="BE71" s="21" t="n">
        <v>0</v>
      </c>
      <c r="BF71" s="21" t="n">
        <v>0</v>
      </c>
      <c r="BG71" s="21" t="n">
        <v>0</v>
      </c>
      <c r="BH71" s="21" t="n">
        <v>0</v>
      </c>
      <c r="BI71" s="21" t="n">
        <v>0</v>
      </c>
      <c r="BJ71" s="21" t="n">
        <v>0</v>
      </c>
      <c r="BK71" s="21" t="n">
        <v>0</v>
      </c>
      <c r="BL71" s="21" t="n">
        <v>0</v>
      </c>
      <c r="BM71" s="21" t="n">
        <v>0</v>
      </c>
      <c r="BN71" s="21" t="n">
        <v>0</v>
      </c>
      <c r="BO71" s="21" t="n">
        <v>0</v>
      </c>
      <c r="BP71" s="21" t="n">
        <v>0</v>
      </c>
      <c r="BQ71" s="21" t="n">
        <v>0</v>
      </c>
      <c r="BR71" s="21" t="n">
        <v>0</v>
      </c>
      <c r="BS71" s="21" t="n">
        <v>0</v>
      </c>
      <c r="BT71" s="21" t="n">
        <v>0</v>
      </c>
      <c r="BU71" s="21" t="n">
        <v>0</v>
      </c>
      <c r="BV71" s="21" t="n">
        <v>0</v>
      </c>
      <c r="BW71" s="21" t="n">
        <v>0</v>
      </c>
      <c r="BX71" s="21" t="n">
        <v>0</v>
      </c>
      <c r="BY71" s="21" t="n">
        <v>0</v>
      </c>
      <c r="BZ71" s="21" t="n">
        <v>0</v>
      </c>
      <c r="CA71" s="21" t="n">
        <v>0</v>
      </c>
      <c r="CB71" s="21" t="n">
        <v>0</v>
      </c>
      <c r="CC71" s="21" t="n">
        <v>0</v>
      </c>
      <c r="CD71" s="21" t="n">
        <v>0</v>
      </c>
      <c r="CE71" s="21" t="n">
        <v>0</v>
      </c>
      <c r="CF71" s="21" t="n">
        <v>0</v>
      </c>
      <c r="CG71" s="21" t="n">
        <v>0</v>
      </c>
      <c r="CH71" s="21" t="n">
        <v>0</v>
      </c>
      <c r="CI71" s="21" t="n">
        <v>0</v>
      </c>
      <c r="CJ71" s="21" t="n">
        <v>0</v>
      </c>
      <c r="CK71" s="21" t="n">
        <v>0</v>
      </c>
      <c r="CL71" s="21" t="n">
        <v>0</v>
      </c>
      <c r="CM71" s="21" t="n">
        <v>0</v>
      </c>
      <c r="CN71" s="21" t="n">
        <v>0</v>
      </c>
      <c r="CO71" s="21" t="n">
        <v>0</v>
      </c>
      <c r="CP71" s="21" t="n">
        <v>0</v>
      </c>
      <c r="CQ71" s="21" t="n">
        <v>0</v>
      </c>
      <c r="CR71" s="21" t="n">
        <v>0</v>
      </c>
      <c r="CS71" s="21" t="n">
        <v>0</v>
      </c>
      <c r="CT71" s="21" t="n">
        <v>0</v>
      </c>
      <c r="CU71" s="21" t="n">
        <v>0</v>
      </c>
      <c r="CV71" s="21" t="n">
        <v>0</v>
      </c>
      <c r="CW71" s="21" t="n">
        <v>0</v>
      </c>
      <c r="CX71" s="21" t="n">
        <v>0</v>
      </c>
      <c r="CY71" s="21" t="n">
        <v>0</v>
      </c>
      <c r="CZ71" s="21" t="n">
        <v>0</v>
      </c>
      <c r="DA71" s="21" t="n">
        <v>0</v>
      </c>
    </row>
    <row r="72">
      <c r="A72" t="inlineStr">
        <is>
          <t>TPP-609</t>
        </is>
      </c>
      <c r="B72" s="21" t="n">
        <v>0</v>
      </c>
      <c r="C72" s="21" t="n">
        <v>0</v>
      </c>
      <c r="D72" s="21" t="n">
        <v>0</v>
      </c>
      <c r="E72" s="21" t="n">
        <v>0</v>
      </c>
      <c r="F72" s="21" t="n">
        <v>0</v>
      </c>
      <c r="G72" s="21" t="n">
        <v>0</v>
      </c>
      <c r="H72" s="21" t="n">
        <v>0</v>
      </c>
      <c r="I72" s="21" t="n">
        <v>0</v>
      </c>
      <c r="J72" s="21" t="n">
        <v>0</v>
      </c>
      <c r="K72" s="21" t="n">
        <v>0</v>
      </c>
      <c r="L72" s="21" t="n">
        <v>0</v>
      </c>
      <c r="M72" s="21" t="n">
        <v>0</v>
      </c>
      <c r="N72" s="21" t="n">
        <v>0</v>
      </c>
      <c r="O72" s="21" t="n">
        <v>0</v>
      </c>
      <c r="P72" s="21" t="n">
        <v>0</v>
      </c>
      <c r="Q72" s="21" t="n">
        <v>0</v>
      </c>
      <c r="R72" s="21" t="n">
        <v>0</v>
      </c>
      <c r="S72" s="21" t="n">
        <v>0</v>
      </c>
      <c r="T72" s="21" t="n">
        <v>0</v>
      </c>
      <c r="U72" s="21" t="n">
        <v>0</v>
      </c>
      <c r="V72" s="21" t="n">
        <v>0</v>
      </c>
      <c r="W72" s="21" t="n">
        <v>0</v>
      </c>
      <c r="X72" s="21" t="n">
        <v>0</v>
      </c>
      <c r="Y72" s="21" t="n">
        <v>0</v>
      </c>
      <c r="Z72" s="21" t="n">
        <v>0</v>
      </c>
      <c r="AA72" s="21" t="n">
        <v>0</v>
      </c>
      <c r="AB72" s="21" t="n">
        <v>0</v>
      </c>
      <c r="AC72" s="21" t="n">
        <v>0</v>
      </c>
      <c r="AD72" s="21" t="n">
        <v>0</v>
      </c>
      <c r="AE72" s="21" t="n">
        <v>0</v>
      </c>
      <c r="AF72" s="21" t="n">
        <v>0</v>
      </c>
      <c r="AG72" s="21" t="n">
        <v>0</v>
      </c>
      <c r="AH72" s="21" t="n">
        <v>0</v>
      </c>
      <c r="AI72" s="21" t="n">
        <v>0</v>
      </c>
      <c r="AJ72" s="21" t="n">
        <v>0</v>
      </c>
      <c r="AK72" s="21" t="n">
        <v>0</v>
      </c>
      <c r="AL72" s="21" t="n">
        <v>0</v>
      </c>
      <c r="AM72" s="21" t="n">
        <v>0</v>
      </c>
      <c r="AN72" s="21" t="n">
        <v>0</v>
      </c>
      <c r="AO72" s="21" t="n">
        <v>0</v>
      </c>
      <c r="AP72" s="21" t="n">
        <v>0</v>
      </c>
      <c r="AQ72" s="21" t="n">
        <v>0</v>
      </c>
      <c r="AR72" s="21" t="n">
        <v>0</v>
      </c>
      <c r="AS72" s="21" t="n">
        <v>0</v>
      </c>
      <c r="AT72" s="21" t="n">
        <v>0</v>
      </c>
      <c r="AU72" s="21" t="n">
        <v>0</v>
      </c>
      <c r="AV72" s="21" t="n">
        <v>0</v>
      </c>
      <c r="AW72" s="21" t="n">
        <v>0</v>
      </c>
      <c r="AX72" s="21" t="n">
        <v>0</v>
      </c>
      <c r="AY72" s="21" t="n">
        <v>0</v>
      </c>
      <c r="AZ72" s="21" t="n">
        <v>0</v>
      </c>
      <c r="BA72" s="21" t="n">
        <v>0</v>
      </c>
      <c r="BB72" s="21" t="n">
        <v>0</v>
      </c>
      <c r="BC72" s="21" t="n">
        <v>0</v>
      </c>
      <c r="BD72" s="21" t="n">
        <v>0</v>
      </c>
      <c r="BE72" s="21" t="n">
        <v>0</v>
      </c>
      <c r="BF72" s="21" t="n">
        <v>0</v>
      </c>
      <c r="BG72" s="21" t="n">
        <v>0</v>
      </c>
      <c r="BH72" s="21" t="n">
        <v>0</v>
      </c>
      <c r="BI72" s="21" t="n">
        <v>0</v>
      </c>
      <c r="BJ72" s="21" t="n">
        <v>0</v>
      </c>
      <c r="BK72" s="21" t="n">
        <v>0</v>
      </c>
      <c r="BL72" s="21" t="n">
        <v>0</v>
      </c>
      <c r="BM72" s="21" t="n">
        <v>0</v>
      </c>
      <c r="BN72" s="21" t="n">
        <v>0</v>
      </c>
      <c r="BO72" s="21" t="n">
        <v>0</v>
      </c>
      <c r="BP72" s="21" t="n">
        <v>0</v>
      </c>
      <c r="BQ72" s="21" t="n">
        <v>0</v>
      </c>
      <c r="BR72" s="21" t="n">
        <v>0</v>
      </c>
      <c r="BS72" s="21" t="n">
        <v>0</v>
      </c>
      <c r="BT72" s="21" t="n">
        <v>0</v>
      </c>
      <c r="BU72" s="21" t="n">
        <v>0</v>
      </c>
      <c r="BV72" s="21" t="n">
        <v>0</v>
      </c>
      <c r="BW72" s="21" t="n">
        <v>0</v>
      </c>
      <c r="BX72" s="21" t="n">
        <v>0</v>
      </c>
      <c r="BY72" s="21" t="n">
        <v>0</v>
      </c>
      <c r="BZ72" s="21" t="n">
        <v>0</v>
      </c>
      <c r="CA72" s="21" t="n">
        <v>0</v>
      </c>
      <c r="CB72" s="21" t="n">
        <v>0</v>
      </c>
      <c r="CC72" s="21" t="n">
        <v>0</v>
      </c>
      <c r="CD72" s="21" t="n">
        <v>0</v>
      </c>
      <c r="CE72" s="21" t="n">
        <v>0</v>
      </c>
      <c r="CF72" s="21" t="n">
        <v>0</v>
      </c>
      <c r="CG72" s="21" t="n">
        <v>0</v>
      </c>
      <c r="CH72" s="21" t="n">
        <v>0</v>
      </c>
      <c r="CI72" s="21" t="n">
        <v>0</v>
      </c>
      <c r="CJ72" s="21" t="n">
        <v>0</v>
      </c>
      <c r="CK72" s="21" t="n">
        <v>0</v>
      </c>
      <c r="CL72" s="21" t="n">
        <v>0</v>
      </c>
      <c r="CM72" s="21" t="n">
        <v>0</v>
      </c>
      <c r="CN72" s="21" t="n">
        <v>0</v>
      </c>
      <c r="CO72" s="21" t="n">
        <v>0</v>
      </c>
      <c r="CP72" s="21" t="n">
        <v>0</v>
      </c>
      <c r="CQ72" s="21" t="n">
        <v>0</v>
      </c>
      <c r="CR72" s="21" t="n">
        <v>0</v>
      </c>
      <c r="CS72" s="21" t="n">
        <v>0</v>
      </c>
      <c r="CT72" s="21" t="n">
        <v>0</v>
      </c>
      <c r="CU72" s="21" t="n">
        <v>0</v>
      </c>
      <c r="CV72" s="21" t="n">
        <v>0</v>
      </c>
      <c r="CW72" s="21" t="n">
        <v>0</v>
      </c>
      <c r="CX72" s="21" t="n">
        <v>0</v>
      </c>
      <c r="CY72" s="21" t="n">
        <v>0</v>
      </c>
      <c r="CZ72" s="21" t="n">
        <v>0</v>
      </c>
      <c r="DA72" s="21" t="n">
        <v>0</v>
      </c>
    </row>
    <row r="73">
      <c r="A73" t="inlineStr">
        <is>
          <t>TPP-611</t>
        </is>
      </c>
      <c r="B73" s="21" t="n">
        <v>0</v>
      </c>
      <c r="C73" s="21" t="n">
        <v>0</v>
      </c>
      <c r="D73" s="21" t="n">
        <v>0</v>
      </c>
      <c r="E73" s="21" t="n">
        <v>0</v>
      </c>
      <c r="F73" s="21" t="n">
        <v>0</v>
      </c>
      <c r="G73" s="21" t="n">
        <v>0</v>
      </c>
      <c r="H73" s="21" t="n">
        <v>0</v>
      </c>
      <c r="I73" s="21" t="n">
        <v>0</v>
      </c>
      <c r="J73" s="21" t="n">
        <v>0</v>
      </c>
      <c r="K73" s="21" t="n">
        <v>0</v>
      </c>
      <c r="L73" s="21" t="n">
        <v>0</v>
      </c>
      <c r="M73" s="21" t="n">
        <v>0</v>
      </c>
      <c r="N73" s="21" t="n">
        <v>0</v>
      </c>
      <c r="O73" s="21" t="n">
        <v>0</v>
      </c>
      <c r="P73" s="21" t="n">
        <v>0</v>
      </c>
      <c r="Q73" s="21" t="n">
        <v>0</v>
      </c>
      <c r="R73" s="21" t="n">
        <v>0</v>
      </c>
      <c r="S73" s="21" t="n">
        <v>0</v>
      </c>
      <c r="T73" s="21" t="n">
        <v>0</v>
      </c>
      <c r="U73" s="21" t="n">
        <v>0</v>
      </c>
      <c r="V73" s="21" t="n">
        <v>0</v>
      </c>
      <c r="W73" s="21" t="n">
        <v>0</v>
      </c>
      <c r="X73" s="21" t="n">
        <v>0</v>
      </c>
      <c r="Y73" s="21" t="n">
        <v>0</v>
      </c>
      <c r="Z73" s="21" t="n">
        <v>0</v>
      </c>
      <c r="AA73" s="21" t="n">
        <v>0</v>
      </c>
      <c r="AB73" s="21" t="n">
        <v>0</v>
      </c>
      <c r="AC73" s="21" t="n">
        <v>0</v>
      </c>
      <c r="AD73" s="21" t="n">
        <v>0</v>
      </c>
      <c r="AE73" s="21" t="n">
        <v>0</v>
      </c>
      <c r="AF73" s="21" t="n">
        <v>0</v>
      </c>
      <c r="AG73" s="21" t="n">
        <v>0</v>
      </c>
      <c r="AH73" s="21" t="n">
        <v>0</v>
      </c>
      <c r="AI73" s="21" t="n">
        <v>0</v>
      </c>
      <c r="AJ73" s="21" t="n">
        <v>0</v>
      </c>
      <c r="AK73" s="21" t="n">
        <v>0</v>
      </c>
      <c r="AL73" s="21" t="n">
        <v>0</v>
      </c>
      <c r="AM73" s="21" t="n">
        <v>0</v>
      </c>
      <c r="AN73" s="21" t="n">
        <v>0</v>
      </c>
      <c r="AO73" s="21" t="n">
        <v>0</v>
      </c>
      <c r="AP73" s="21" t="n">
        <v>0</v>
      </c>
      <c r="AQ73" s="21" t="n">
        <v>0</v>
      </c>
      <c r="AR73" s="21" t="n">
        <v>0</v>
      </c>
      <c r="AS73" s="21" t="n">
        <v>0</v>
      </c>
      <c r="AT73" s="21" t="n">
        <v>0</v>
      </c>
      <c r="AU73" s="21" t="n">
        <v>0</v>
      </c>
      <c r="AV73" s="21" t="n">
        <v>0</v>
      </c>
      <c r="AW73" s="21" t="n">
        <v>0</v>
      </c>
      <c r="AX73" s="21" t="n">
        <v>0</v>
      </c>
      <c r="AY73" s="21" t="n">
        <v>0</v>
      </c>
      <c r="AZ73" s="21" t="n">
        <v>0</v>
      </c>
      <c r="BA73" s="21" t="n">
        <v>0</v>
      </c>
      <c r="BB73" s="21" t="n">
        <v>0</v>
      </c>
      <c r="BC73" s="21" t="n">
        <v>0</v>
      </c>
      <c r="BD73" s="21" t="n">
        <v>0</v>
      </c>
      <c r="BE73" s="21" t="n">
        <v>0</v>
      </c>
      <c r="BF73" s="21" t="n">
        <v>0</v>
      </c>
      <c r="BG73" s="21" t="n">
        <v>0</v>
      </c>
      <c r="BH73" s="21" t="n">
        <v>0</v>
      </c>
      <c r="BI73" s="21" t="n">
        <v>0</v>
      </c>
      <c r="BJ73" s="21" t="n">
        <v>0</v>
      </c>
      <c r="BK73" s="21" t="n">
        <v>0</v>
      </c>
      <c r="BL73" s="21" t="n">
        <v>0</v>
      </c>
      <c r="BM73" s="21" t="n">
        <v>0</v>
      </c>
      <c r="BN73" s="21" t="n">
        <v>0</v>
      </c>
      <c r="BO73" s="21" t="n">
        <v>0</v>
      </c>
      <c r="BP73" s="21" t="n">
        <v>0</v>
      </c>
      <c r="BQ73" s="21" t="n">
        <v>0</v>
      </c>
      <c r="BR73" s="21" t="n">
        <v>0</v>
      </c>
      <c r="BS73" s="21" t="n">
        <v>0</v>
      </c>
      <c r="BT73" s="21" t="n">
        <v>0</v>
      </c>
      <c r="BU73" s="21" t="n">
        <v>0</v>
      </c>
      <c r="BV73" s="21" t="n">
        <v>0</v>
      </c>
      <c r="BW73" s="21" t="n">
        <v>0</v>
      </c>
      <c r="BX73" s="21" t="n">
        <v>0</v>
      </c>
      <c r="BY73" s="21" t="n">
        <v>0</v>
      </c>
      <c r="BZ73" s="21" t="n">
        <v>0</v>
      </c>
      <c r="CA73" s="21" t="n">
        <v>0</v>
      </c>
      <c r="CB73" s="21" t="n">
        <v>0</v>
      </c>
      <c r="CC73" s="21" t="n">
        <v>0</v>
      </c>
      <c r="CD73" s="21" t="n">
        <v>0</v>
      </c>
      <c r="CE73" s="21" t="n">
        <v>0</v>
      </c>
      <c r="CF73" s="21" t="n">
        <v>0</v>
      </c>
      <c r="CG73" s="21" t="n">
        <v>0</v>
      </c>
      <c r="CH73" s="21" t="n">
        <v>0</v>
      </c>
      <c r="CI73" s="21" t="n">
        <v>0</v>
      </c>
      <c r="CJ73" s="21" t="n">
        <v>0</v>
      </c>
      <c r="CK73" s="21" t="n">
        <v>0</v>
      </c>
      <c r="CL73" s="21" t="n">
        <v>0</v>
      </c>
      <c r="CM73" s="21" t="n">
        <v>0</v>
      </c>
      <c r="CN73" s="21" t="n">
        <v>0</v>
      </c>
      <c r="CO73" s="21" t="n">
        <v>0</v>
      </c>
      <c r="CP73" s="21" t="n">
        <v>0</v>
      </c>
      <c r="CQ73" s="21" t="n">
        <v>0</v>
      </c>
      <c r="CR73" s="21" t="n">
        <v>0</v>
      </c>
      <c r="CS73" s="21" t="n">
        <v>0</v>
      </c>
      <c r="CT73" s="21" t="n">
        <v>0</v>
      </c>
      <c r="CU73" s="21" t="n">
        <v>0</v>
      </c>
      <c r="CV73" s="21" t="n">
        <v>0</v>
      </c>
      <c r="CW73" s="21" t="n">
        <v>0</v>
      </c>
      <c r="CX73" s="21" t="n">
        <v>0</v>
      </c>
      <c r="CY73" s="21" t="n">
        <v>0</v>
      </c>
      <c r="CZ73" s="21" t="n">
        <v>0</v>
      </c>
      <c r="DA73" s="21" t="n">
        <v>0</v>
      </c>
    </row>
    <row r="74">
      <c r="A74" t="inlineStr">
        <is>
          <t>TPP-613</t>
        </is>
      </c>
      <c r="B74" s="21" t="n">
        <v>0</v>
      </c>
      <c r="C74" s="21" t="n">
        <v>0</v>
      </c>
      <c r="D74" s="21" t="n">
        <v>0</v>
      </c>
      <c r="E74" s="21" t="n">
        <v>0</v>
      </c>
      <c r="F74" s="21" t="n">
        <v>0</v>
      </c>
      <c r="G74" s="21" t="n">
        <v>0</v>
      </c>
      <c r="H74" s="21" t="n">
        <v>0</v>
      </c>
      <c r="I74" s="21" t="n">
        <v>0</v>
      </c>
      <c r="J74" s="21" t="n">
        <v>0</v>
      </c>
      <c r="K74" s="21" t="n">
        <v>0</v>
      </c>
      <c r="L74" s="21" t="n">
        <v>0</v>
      </c>
      <c r="M74" s="21" t="n">
        <v>0</v>
      </c>
      <c r="N74" s="21" t="n">
        <v>0</v>
      </c>
      <c r="O74" s="21" t="n">
        <v>0</v>
      </c>
      <c r="P74" s="21" t="n">
        <v>0</v>
      </c>
      <c r="Q74" s="21" t="n">
        <v>0</v>
      </c>
      <c r="R74" s="21" t="n">
        <v>0</v>
      </c>
      <c r="S74" s="21" t="n">
        <v>0</v>
      </c>
      <c r="T74" s="21" t="n">
        <v>0</v>
      </c>
      <c r="U74" s="21" t="n">
        <v>0</v>
      </c>
      <c r="V74" s="21" t="n">
        <v>0</v>
      </c>
      <c r="W74" s="21" t="n">
        <v>0</v>
      </c>
      <c r="X74" s="21" t="n">
        <v>0</v>
      </c>
      <c r="Y74" s="21" t="n">
        <v>0</v>
      </c>
      <c r="Z74" s="21" t="n">
        <v>0</v>
      </c>
      <c r="AA74" s="21" t="n">
        <v>0</v>
      </c>
      <c r="AB74" s="21" t="n">
        <v>0</v>
      </c>
      <c r="AC74" s="21" t="n">
        <v>0</v>
      </c>
      <c r="AD74" s="21" t="n">
        <v>0</v>
      </c>
      <c r="AE74" s="21" t="n">
        <v>0</v>
      </c>
      <c r="AF74" s="21" t="n">
        <v>0</v>
      </c>
      <c r="AG74" s="21" t="n">
        <v>0</v>
      </c>
      <c r="AH74" s="21" t="n">
        <v>0</v>
      </c>
      <c r="AI74" s="21" t="n">
        <v>0</v>
      </c>
      <c r="AJ74" s="21" t="n">
        <v>0</v>
      </c>
      <c r="AK74" s="21" t="n">
        <v>0</v>
      </c>
      <c r="AL74" s="21" t="n">
        <v>0</v>
      </c>
      <c r="AM74" s="21" t="n">
        <v>0</v>
      </c>
      <c r="AN74" s="21" t="n">
        <v>0</v>
      </c>
      <c r="AO74" s="21" t="n">
        <v>0</v>
      </c>
      <c r="AP74" s="21" t="n">
        <v>0</v>
      </c>
      <c r="AQ74" s="21" t="n">
        <v>0</v>
      </c>
      <c r="AR74" s="21" t="n">
        <v>0</v>
      </c>
      <c r="AS74" s="21" t="n">
        <v>0</v>
      </c>
      <c r="AT74" s="21" t="n">
        <v>0</v>
      </c>
      <c r="AU74" s="21" t="n">
        <v>0</v>
      </c>
      <c r="AV74" s="21" t="n">
        <v>0</v>
      </c>
      <c r="AW74" s="21" t="n">
        <v>0</v>
      </c>
      <c r="AX74" s="21" t="n">
        <v>0</v>
      </c>
      <c r="AY74" s="21" t="n">
        <v>0</v>
      </c>
      <c r="AZ74" s="21" t="n">
        <v>0</v>
      </c>
      <c r="BA74" s="21" t="n">
        <v>0</v>
      </c>
      <c r="BB74" s="21" t="n">
        <v>0</v>
      </c>
      <c r="BC74" s="21" t="n">
        <v>0</v>
      </c>
      <c r="BD74" s="21" t="n">
        <v>0</v>
      </c>
      <c r="BE74" s="21" t="n">
        <v>0</v>
      </c>
      <c r="BF74" s="21" t="n">
        <v>0</v>
      </c>
      <c r="BG74" s="21" t="n">
        <v>0</v>
      </c>
      <c r="BH74" s="21" t="n">
        <v>0</v>
      </c>
      <c r="BI74" s="21" t="n">
        <v>0</v>
      </c>
      <c r="BJ74" s="21" t="n">
        <v>0</v>
      </c>
      <c r="BK74" s="21" t="n">
        <v>0</v>
      </c>
      <c r="BL74" s="21" t="n">
        <v>0</v>
      </c>
      <c r="BM74" s="21" t="n">
        <v>0</v>
      </c>
      <c r="BN74" s="21" t="n">
        <v>0</v>
      </c>
      <c r="BO74" s="21" t="n">
        <v>0</v>
      </c>
      <c r="BP74" s="21" t="n">
        <v>0</v>
      </c>
      <c r="BQ74" s="21" t="n">
        <v>0</v>
      </c>
      <c r="BR74" s="21" t="n">
        <v>0</v>
      </c>
      <c r="BS74" s="21" t="n">
        <v>0</v>
      </c>
      <c r="BT74" s="21" t="n">
        <v>0</v>
      </c>
      <c r="BU74" s="21" t="n">
        <v>0</v>
      </c>
      <c r="BV74" s="21" t="n">
        <v>0</v>
      </c>
      <c r="BW74" s="21" t="n">
        <v>0</v>
      </c>
      <c r="BX74" s="21" t="n">
        <v>0</v>
      </c>
      <c r="BY74" s="21" t="n">
        <v>0</v>
      </c>
      <c r="BZ74" s="21" t="n">
        <v>0</v>
      </c>
      <c r="CA74" s="21" t="n">
        <v>0</v>
      </c>
      <c r="CB74" s="21" t="n">
        <v>0</v>
      </c>
      <c r="CC74" s="21" t="n">
        <v>0</v>
      </c>
      <c r="CD74" s="21" t="n">
        <v>0</v>
      </c>
      <c r="CE74" s="21" t="n">
        <v>0</v>
      </c>
      <c r="CF74" s="21" t="n">
        <v>0</v>
      </c>
      <c r="CG74" s="21" t="n">
        <v>0</v>
      </c>
      <c r="CH74" s="21" t="n">
        <v>0</v>
      </c>
      <c r="CI74" s="21" t="n">
        <v>0</v>
      </c>
      <c r="CJ74" s="21" t="n">
        <v>0</v>
      </c>
      <c r="CK74" s="21" t="n">
        <v>0</v>
      </c>
      <c r="CL74" s="21" t="n">
        <v>0</v>
      </c>
      <c r="CM74" s="21" t="n">
        <v>0</v>
      </c>
      <c r="CN74" s="21" t="n">
        <v>0</v>
      </c>
      <c r="CO74" s="21" t="n">
        <v>0</v>
      </c>
      <c r="CP74" s="21" t="n">
        <v>0</v>
      </c>
      <c r="CQ74" s="21" t="n">
        <v>0</v>
      </c>
      <c r="CR74" s="21" t="n">
        <v>0</v>
      </c>
      <c r="CS74" s="21" t="n">
        <v>0</v>
      </c>
      <c r="CT74" s="21" t="n">
        <v>0</v>
      </c>
      <c r="CU74" s="21" t="n">
        <v>0</v>
      </c>
      <c r="CV74" s="21" t="n">
        <v>0</v>
      </c>
      <c r="CW74" s="21" t="n">
        <v>0</v>
      </c>
      <c r="CX74" s="21" t="n">
        <v>0</v>
      </c>
      <c r="CY74" s="21" t="n">
        <v>0</v>
      </c>
      <c r="CZ74" s="21" t="n">
        <v>0</v>
      </c>
      <c r="DA74" s="21" t="n">
        <v>0</v>
      </c>
    </row>
    <row r="75">
      <c r="A75" t="inlineStr">
        <is>
          <t>TPP-635</t>
        </is>
      </c>
      <c r="B75" s="21" t="n">
        <v>0</v>
      </c>
      <c r="C75" s="21" t="n">
        <v>0</v>
      </c>
      <c r="D75" s="21" t="n">
        <v>0</v>
      </c>
      <c r="E75" s="21" t="n">
        <v>0</v>
      </c>
      <c r="F75" s="21" t="n">
        <v>0</v>
      </c>
      <c r="G75" s="21" t="n">
        <v>0</v>
      </c>
      <c r="H75" s="21" t="n">
        <v>0</v>
      </c>
      <c r="I75" s="21" t="n">
        <v>0</v>
      </c>
      <c r="J75" s="21" t="n">
        <v>0</v>
      </c>
      <c r="K75" s="21" t="n">
        <v>0</v>
      </c>
      <c r="L75" s="21" t="n">
        <v>0</v>
      </c>
      <c r="M75" s="21" t="n">
        <v>0</v>
      </c>
      <c r="N75" s="21" t="n">
        <v>0</v>
      </c>
      <c r="O75" s="21" t="n">
        <v>0</v>
      </c>
      <c r="P75" s="21" t="n">
        <v>0</v>
      </c>
      <c r="Q75" s="21" t="n">
        <v>0</v>
      </c>
      <c r="R75" s="21" t="n">
        <v>0</v>
      </c>
      <c r="S75" s="21" t="n">
        <v>0</v>
      </c>
      <c r="T75" s="21" t="n">
        <v>0</v>
      </c>
      <c r="U75" s="21" t="n">
        <v>0</v>
      </c>
      <c r="V75" s="21" t="n">
        <v>0</v>
      </c>
      <c r="W75" s="21" t="n">
        <v>0</v>
      </c>
      <c r="X75" s="21" t="n">
        <v>0</v>
      </c>
      <c r="Y75" s="21" t="n">
        <v>0</v>
      </c>
      <c r="Z75" s="21" t="n">
        <v>0</v>
      </c>
      <c r="AA75" s="21" t="n">
        <v>0</v>
      </c>
      <c r="AB75" s="21" t="n">
        <v>0</v>
      </c>
      <c r="AC75" s="21" t="n">
        <v>0</v>
      </c>
      <c r="AD75" s="21" t="n">
        <v>0</v>
      </c>
      <c r="AE75" s="21" t="n">
        <v>0</v>
      </c>
      <c r="AF75" s="21" t="n">
        <v>0</v>
      </c>
      <c r="AG75" s="21" t="n">
        <v>0</v>
      </c>
      <c r="AH75" s="21" t="n">
        <v>0</v>
      </c>
      <c r="AI75" s="21" t="n">
        <v>0</v>
      </c>
      <c r="AJ75" s="21" t="n">
        <v>0</v>
      </c>
      <c r="AK75" s="21" t="n">
        <v>0</v>
      </c>
      <c r="AL75" s="21" t="n">
        <v>0</v>
      </c>
      <c r="AM75" s="21" t="n">
        <v>0</v>
      </c>
      <c r="AN75" s="21" t="n">
        <v>0</v>
      </c>
      <c r="AO75" s="21" t="n">
        <v>0</v>
      </c>
      <c r="AP75" s="21" t="n">
        <v>0</v>
      </c>
      <c r="AQ75" s="21" t="n">
        <v>0</v>
      </c>
      <c r="AR75" s="21" t="n">
        <v>0</v>
      </c>
      <c r="AS75" s="21" t="n">
        <v>0</v>
      </c>
      <c r="AT75" s="21" t="n">
        <v>0</v>
      </c>
      <c r="AU75" s="21" t="n">
        <v>0</v>
      </c>
      <c r="AV75" s="21" t="n">
        <v>0</v>
      </c>
      <c r="AW75" s="21" t="n">
        <v>0</v>
      </c>
      <c r="AX75" s="21" t="n">
        <v>0</v>
      </c>
      <c r="AY75" s="21" t="n">
        <v>0</v>
      </c>
      <c r="AZ75" s="21" t="n">
        <v>0</v>
      </c>
      <c r="BA75" s="21" t="n">
        <v>0</v>
      </c>
      <c r="BB75" s="21" t="n">
        <v>0</v>
      </c>
      <c r="BC75" s="21" t="n">
        <v>0</v>
      </c>
      <c r="BD75" s="21" t="n">
        <v>0</v>
      </c>
      <c r="BE75" s="21" t="n">
        <v>0</v>
      </c>
      <c r="BF75" s="21" t="n">
        <v>0</v>
      </c>
      <c r="BG75" s="21" t="n">
        <v>0</v>
      </c>
      <c r="BH75" s="21" t="n">
        <v>0</v>
      </c>
      <c r="BI75" s="21" t="n">
        <v>0</v>
      </c>
      <c r="BJ75" s="21" t="n">
        <v>0</v>
      </c>
      <c r="BK75" s="21" t="n">
        <v>0</v>
      </c>
      <c r="BL75" s="21" t="n">
        <v>0</v>
      </c>
      <c r="BM75" s="21" t="n">
        <v>0</v>
      </c>
      <c r="BN75" s="21" t="n">
        <v>0</v>
      </c>
      <c r="BO75" s="21" t="n">
        <v>0</v>
      </c>
      <c r="BP75" s="21" t="n">
        <v>0</v>
      </c>
      <c r="BQ75" s="21" t="n">
        <v>0</v>
      </c>
      <c r="BR75" s="21" t="n">
        <v>0</v>
      </c>
      <c r="BS75" s="21" t="n">
        <v>0</v>
      </c>
      <c r="BT75" s="21" t="n">
        <v>0</v>
      </c>
      <c r="BU75" s="21" t="n">
        <v>0</v>
      </c>
      <c r="BV75" s="21" t="n">
        <v>0</v>
      </c>
      <c r="BW75" s="21" t="n">
        <v>0</v>
      </c>
      <c r="BX75" s="21" t="n">
        <v>0</v>
      </c>
      <c r="BY75" s="21" t="n">
        <v>0</v>
      </c>
      <c r="BZ75" s="21" t="n">
        <v>0</v>
      </c>
      <c r="CA75" s="21" t="n">
        <v>0</v>
      </c>
      <c r="CB75" s="21" t="n">
        <v>0</v>
      </c>
      <c r="CC75" s="21" t="n">
        <v>0</v>
      </c>
      <c r="CD75" s="21" t="n">
        <v>0</v>
      </c>
      <c r="CE75" s="21" t="n">
        <v>0</v>
      </c>
      <c r="CF75" s="21" t="n">
        <v>0</v>
      </c>
      <c r="CG75" s="21" t="n">
        <v>0</v>
      </c>
      <c r="CH75" s="21" t="n">
        <v>0</v>
      </c>
      <c r="CI75" s="21" t="n">
        <v>0</v>
      </c>
      <c r="CJ75" s="21" t="n">
        <v>0</v>
      </c>
      <c r="CK75" s="21" t="n">
        <v>0</v>
      </c>
      <c r="CL75" s="21" t="n">
        <v>0</v>
      </c>
      <c r="CM75" s="21" t="n">
        <v>0</v>
      </c>
      <c r="CN75" s="21" t="n">
        <v>0</v>
      </c>
      <c r="CO75" s="21" t="n">
        <v>0</v>
      </c>
      <c r="CP75" s="21" t="n">
        <v>0</v>
      </c>
      <c r="CQ75" s="21" t="n">
        <v>0</v>
      </c>
      <c r="CR75" s="21" t="n">
        <v>0</v>
      </c>
      <c r="CS75" s="21" t="n">
        <v>0</v>
      </c>
      <c r="CT75" s="21" t="n">
        <v>0</v>
      </c>
      <c r="CU75" s="21" t="n">
        <v>0</v>
      </c>
      <c r="CV75" s="21" t="n">
        <v>0</v>
      </c>
      <c r="CW75" s="21" t="n">
        <v>0</v>
      </c>
      <c r="CX75" s="21" t="n">
        <v>0</v>
      </c>
      <c r="CY75" s="21" t="n">
        <v>0</v>
      </c>
      <c r="CZ75" s="21" t="n">
        <v>0</v>
      </c>
      <c r="DA75" s="21" t="n">
        <v>0</v>
      </c>
    </row>
    <row r="76">
      <c r="A76" t="inlineStr">
        <is>
          <t>TPP-650</t>
        </is>
      </c>
      <c r="B76" s="21" t="n">
        <v>0</v>
      </c>
      <c r="C76" s="21" t="n">
        <v>0</v>
      </c>
      <c r="D76" s="21" t="n">
        <v>0</v>
      </c>
      <c r="E76" s="21" t="n">
        <v>0</v>
      </c>
      <c r="F76" s="21" t="n">
        <v>0</v>
      </c>
      <c r="G76" s="21" t="n">
        <v>0</v>
      </c>
      <c r="H76" s="21" t="n">
        <v>0</v>
      </c>
      <c r="I76" s="21" t="n">
        <v>0</v>
      </c>
      <c r="J76" s="21" t="n">
        <v>0</v>
      </c>
      <c r="K76" s="21" t="n">
        <v>0</v>
      </c>
      <c r="L76" s="21" t="n">
        <v>0</v>
      </c>
      <c r="M76" s="21" t="n">
        <v>0</v>
      </c>
      <c r="N76" s="21" t="n">
        <v>0</v>
      </c>
      <c r="O76" s="21" t="n">
        <v>0</v>
      </c>
      <c r="P76" s="21" t="n">
        <v>0</v>
      </c>
      <c r="Q76" s="21" t="n">
        <v>0</v>
      </c>
      <c r="R76" s="21" t="n">
        <v>0</v>
      </c>
      <c r="S76" s="21" t="n">
        <v>0</v>
      </c>
      <c r="T76" s="21" t="n">
        <v>0</v>
      </c>
      <c r="U76" s="21" t="n">
        <v>0</v>
      </c>
      <c r="V76" s="21" t="n">
        <v>0</v>
      </c>
      <c r="W76" s="21" t="n">
        <v>0</v>
      </c>
      <c r="X76" s="21" t="n">
        <v>0</v>
      </c>
      <c r="Y76" s="21" t="n">
        <v>2</v>
      </c>
      <c r="Z76" s="21" t="n">
        <v>0</v>
      </c>
      <c r="AA76" s="21" t="n">
        <v>4</v>
      </c>
      <c r="AB76" s="21" t="n">
        <v>4</v>
      </c>
      <c r="AC76" s="21" t="n">
        <v>4</v>
      </c>
      <c r="AD76" s="21" t="n">
        <v>2</v>
      </c>
      <c r="AE76" s="21" t="n">
        <v>4</v>
      </c>
      <c r="AF76" s="21" t="n">
        <v>0</v>
      </c>
      <c r="AG76" s="21" t="n">
        <v>4</v>
      </c>
      <c r="AH76" s="21" t="n">
        <v>0</v>
      </c>
      <c r="AI76" s="21" t="n">
        <v>0</v>
      </c>
      <c r="AJ76" s="21" t="n">
        <v>4</v>
      </c>
      <c r="AK76" s="21" t="n">
        <v>2</v>
      </c>
      <c r="AL76" s="21" t="n">
        <v>2</v>
      </c>
      <c r="AM76" s="21" t="n">
        <v>2</v>
      </c>
      <c r="AN76" s="21" t="n">
        <v>0</v>
      </c>
      <c r="AO76" s="21" t="n">
        <v>0</v>
      </c>
      <c r="AP76" s="21" t="n">
        <v>0</v>
      </c>
      <c r="AQ76" s="21" t="n">
        <v>2</v>
      </c>
      <c r="AR76" s="21" t="n">
        <v>4</v>
      </c>
      <c r="AS76" s="21" t="n">
        <v>2</v>
      </c>
      <c r="AT76" s="21" t="n">
        <v>2</v>
      </c>
      <c r="AU76" s="21" t="n">
        <v>2</v>
      </c>
      <c r="AV76" s="21" t="n">
        <v>2</v>
      </c>
      <c r="AW76" s="21" t="n">
        <v>4</v>
      </c>
      <c r="AX76" s="21" t="n">
        <v>0</v>
      </c>
      <c r="AY76" s="21" t="n">
        <v>0</v>
      </c>
      <c r="AZ76" s="21" t="n">
        <v>0</v>
      </c>
      <c r="BA76" s="21" t="n">
        <v>0</v>
      </c>
      <c r="BB76" s="21" t="n">
        <v>0</v>
      </c>
      <c r="BC76" s="21" t="n">
        <v>4</v>
      </c>
      <c r="BD76" s="21" t="n">
        <v>2</v>
      </c>
      <c r="BE76" s="21" t="n">
        <v>0</v>
      </c>
      <c r="BF76" s="21" t="n">
        <v>4</v>
      </c>
      <c r="BG76" s="21" t="n">
        <v>0</v>
      </c>
      <c r="BH76" s="21" t="n">
        <v>0</v>
      </c>
      <c r="BI76" s="21" t="n">
        <v>2</v>
      </c>
      <c r="BJ76" s="21" t="n">
        <v>0</v>
      </c>
      <c r="BK76" s="21" t="n">
        <v>0</v>
      </c>
      <c r="BL76" s="21" t="n">
        <v>2</v>
      </c>
      <c r="BM76" s="21" t="n">
        <v>0</v>
      </c>
      <c r="BN76" s="21" t="n">
        <v>0</v>
      </c>
      <c r="BO76" s="21" t="n">
        <v>0</v>
      </c>
      <c r="BP76" s="21" t="n">
        <v>0</v>
      </c>
      <c r="BQ76" s="21" t="n">
        <v>0</v>
      </c>
      <c r="BR76" s="21" t="n">
        <v>0</v>
      </c>
      <c r="BS76" s="21" t="n">
        <v>0</v>
      </c>
      <c r="BT76" s="21" t="n">
        <v>0</v>
      </c>
      <c r="BU76" s="21" t="n">
        <v>0</v>
      </c>
      <c r="BV76" s="21" t="n">
        <v>0</v>
      </c>
      <c r="BW76" s="21" t="n">
        <v>0</v>
      </c>
      <c r="BX76" s="21" t="n">
        <v>0</v>
      </c>
      <c r="BY76" s="21" t="n">
        <v>0</v>
      </c>
      <c r="BZ76" s="21" t="n">
        <v>0</v>
      </c>
      <c r="CA76" s="21" t="n">
        <v>0</v>
      </c>
      <c r="CB76" s="21" t="n">
        <v>0</v>
      </c>
      <c r="CC76" s="21" t="n">
        <v>0</v>
      </c>
      <c r="CD76" s="21" t="n">
        <v>0</v>
      </c>
      <c r="CE76" s="21" t="n">
        <v>0</v>
      </c>
      <c r="CF76" s="21" t="n">
        <v>0</v>
      </c>
      <c r="CG76" s="21" t="n">
        <v>0</v>
      </c>
      <c r="CH76" s="21" t="n">
        <v>0</v>
      </c>
      <c r="CI76" s="21" t="n">
        <v>0</v>
      </c>
      <c r="CJ76" s="21" t="n">
        <v>0</v>
      </c>
      <c r="CK76" s="21" t="n">
        <v>0</v>
      </c>
      <c r="CL76" s="21" t="n">
        <v>0</v>
      </c>
      <c r="CM76" s="21" t="n">
        <v>0</v>
      </c>
      <c r="CN76" s="21" t="n">
        <v>0</v>
      </c>
      <c r="CO76" s="21" t="n">
        <v>0</v>
      </c>
      <c r="CP76" s="21" t="n">
        <v>0</v>
      </c>
      <c r="CQ76" s="21" t="n">
        <v>0</v>
      </c>
      <c r="CR76" s="21" t="n">
        <v>0</v>
      </c>
      <c r="CS76" s="21" t="n">
        <v>0</v>
      </c>
      <c r="CT76" s="21" t="n">
        <v>0</v>
      </c>
      <c r="CU76" s="21" t="n">
        <v>0</v>
      </c>
      <c r="CV76" s="21" t="n">
        <v>0</v>
      </c>
      <c r="CW76" s="21" t="n">
        <v>0</v>
      </c>
      <c r="CX76" s="21" t="n">
        <v>0</v>
      </c>
      <c r="CY76" s="21" t="n">
        <v>0</v>
      </c>
      <c r="CZ76" s="21" t="n">
        <v>0</v>
      </c>
      <c r="DA76" s="21" t="n">
        <v>0</v>
      </c>
    </row>
    <row r="77">
      <c r="A77" t="inlineStr">
        <is>
          <t>TPP-704</t>
        </is>
      </c>
      <c r="B77" s="21" t="n">
        <v>0</v>
      </c>
      <c r="C77" s="21" t="n">
        <v>0</v>
      </c>
      <c r="D77" s="21" t="n">
        <v>0</v>
      </c>
      <c r="E77" s="21" t="n">
        <v>0</v>
      </c>
      <c r="F77" s="21" t="n">
        <v>0</v>
      </c>
      <c r="G77" s="21" t="n">
        <v>0</v>
      </c>
      <c r="H77" s="21" t="n">
        <v>0</v>
      </c>
      <c r="I77" s="21" t="n">
        <v>0</v>
      </c>
      <c r="J77" s="21" t="n">
        <v>0</v>
      </c>
      <c r="K77" s="21" t="n">
        <v>0</v>
      </c>
      <c r="L77" s="21" t="n">
        <v>0</v>
      </c>
      <c r="M77" s="21" t="n">
        <v>0</v>
      </c>
      <c r="N77" s="21" t="n">
        <v>0</v>
      </c>
      <c r="O77" s="21" t="n">
        <v>0</v>
      </c>
      <c r="P77" s="21" t="n">
        <v>0</v>
      </c>
      <c r="Q77" s="21" t="n">
        <v>0</v>
      </c>
      <c r="R77" s="21" t="n">
        <v>0</v>
      </c>
      <c r="S77" s="21" t="n">
        <v>0</v>
      </c>
      <c r="T77" s="21" t="n">
        <v>0</v>
      </c>
      <c r="U77" s="21" t="n">
        <v>0</v>
      </c>
      <c r="V77" s="21" t="n">
        <v>0</v>
      </c>
      <c r="W77" s="21" t="n">
        <v>0</v>
      </c>
      <c r="X77" s="21" t="n">
        <v>0</v>
      </c>
      <c r="Y77" s="21" t="n">
        <v>0</v>
      </c>
      <c r="Z77" s="21" t="n">
        <v>0</v>
      </c>
      <c r="AA77" s="21" t="n">
        <v>0</v>
      </c>
      <c r="AB77" s="21" t="n">
        <v>0</v>
      </c>
      <c r="AC77" s="21" t="n">
        <v>0</v>
      </c>
      <c r="AD77" s="21" t="n">
        <v>0</v>
      </c>
      <c r="AE77" s="21" t="n">
        <v>0</v>
      </c>
      <c r="AF77" s="21" t="n">
        <v>0</v>
      </c>
      <c r="AG77" s="21" t="n">
        <v>0</v>
      </c>
      <c r="AH77" s="21" t="n">
        <v>0</v>
      </c>
      <c r="AI77" s="21" t="n">
        <v>0</v>
      </c>
      <c r="AJ77" s="21" t="n">
        <v>0</v>
      </c>
      <c r="AK77" s="21" t="n">
        <v>0</v>
      </c>
      <c r="AL77" s="21" t="n">
        <v>0</v>
      </c>
      <c r="AM77" s="21" t="n">
        <v>0</v>
      </c>
      <c r="AN77" s="21" t="n">
        <v>0</v>
      </c>
      <c r="AO77" s="21" t="n">
        <v>0</v>
      </c>
      <c r="AP77" s="21" t="n">
        <v>0</v>
      </c>
      <c r="AQ77" s="21" t="n">
        <v>0</v>
      </c>
      <c r="AR77" s="21" t="n">
        <v>0</v>
      </c>
      <c r="AS77" s="21" t="n">
        <v>0</v>
      </c>
      <c r="AT77" s="21" t="n">
        <v>0</v>
      </c>
      <c r="AU77" s="21" t="n">
        <v>0</v>
      </c>
      <c r="AV77" s="21" t="n">
        <v>0</v>
      </c>
      <c r="AW77" s="21" t="n">
        <v>0</v>
      </c>
      <c r="AX77" s="21" t="n">
        <v>0</v>
      </c>
      <c r="AY77" s="21" t="n">
        <v>0</v>
      </c>
      <c r="AZ77" s="21" t="n">
        <v>0</v>
      </c>
      <c r="BA77" s="21" t="n">
        <v>0</v>
      </c>
      <c r="BB77" s="21" t="n">
        <v>0</v>
      </c>
      <c r="BC77" s="21" t="n">
        <v>0</v>
      </c>
      <c r="BD77" s="21" t="n">
        <v>0</v>
      </c>
      <c r="BE77" s="21" t="n">
        <v>0</v>
      </c>
      <c r="BF77" s="21" t="n">
        <v>0</v>
      </c>
      <c r="BG77" s="21" t="n">
        <v>0</v>
      </c>
      <c r="BH77" s="21" t="n">
        <v>0</v>
      </c>
      <c r="BI77" s="21" t="n">
        <v>0</v>
      </c>
      <c r="BJ77" s="21" t="n">
        <v>0</v>
      </c>
      <c r="BK77" s="21" t="n">
        <v>0</v>
      </c>
      <c r="BL77" s="21" t="n">
        <v>0</v>
      </c>
      <c r="BM77" s="21" t="n">
        <v>0</v>
      </c>
      <c r="BN77" s="21" t="n">
        <v>0</v>
      </c>
      <c r="BO77" s="21" t="n">
        <v>0</v>
      </c>
      <c r="BP77" s="21" t="n">
        <v>0</v>
      </c>
      <c r="BQ77" s="21" t="n">
        <v>0</v>
      </c>
      <c r="BR77" s="21" t="n">
        <v>0</v>
      </c>
      <c r="BS77" s="21" t="n">
        <v>0</v>
      </c>
      <c r="BT77" s="21" t="n">
        <v>0</v>
      </c>
      <c r="BU77" s="21" t="n">
        <v>0</v>
      </c>
      <c r="BV77" s="21" t="n">
        <v>0</v>
      </c>
      <c r="BW77" s="21" t="n">
        <v>0</v>
      </c>
      <c r="BX77" s="21" t="n">
        <v>0</v>
      </c>
      <c r="BY77" s="21" t="n">
        <v>0</v>
      </c>
      <c r="BZ77" s="21" t="n">
        <v>0</v>
      </c>
      <c r="CA77" s="21" t="n">
        <v>0</v>
      </c>
      <c r="CB77" s="21" t="n">
        <v>0</v>
      </c>
      <c r="CC77" s="21" t="n">
        <v>0</v>
      </c>
      <c r="CD77" s="21" t="n">
        <v>0</v>
      </c>
      <c r="CE77" s="21" t="n">
        <v>0</v>
      </c>
      <c r="CF77" s="21" t="n">
        <v>0</v>
      </c>
      <c r="CG77" s="21" t="n">
        <v>0</v>
      </c>
      <c r="CH77" s="21" t="n">
        <v>0</v>
      </c>
      <c r="CI77" s="21" t="n">
        <v>0</v>
      </c>
      <c r="CJ77" s="21" t="n">
        <v>0</v>
      </c>
      <c r="CK77" s="21" t="n">
        <v>0</v>
      </c>
      <c r="CL77" s="21" t="n">
        <v>0</v>
      </c>
      <c r="CM77" s="21" t="n">
        <v>0</v>
      </c>
      <c r="CN77" s="21" t="n">
        <v>0</v>
      </c>
      <c r="CO77" s="21" t="n">
        <v>0</v>
      </c>
      <c r="CP77" s="21" t="n">
        <v>0</v>
      </c>
      <c r="CQ77" s="21" t="n">
        <v>0</v>
      </c>
      <c r="CR77" s="21" t="n">
        <v>0</v>
      </c>
      <c r="CS77" s="21" t="n">
        <v>0</v>
      </c>
      <c r="CT77" s="21" t="n">
        <v>0</v>
      </c>
      <c r="CU77" s="21" t="n">
        <v>0</v>
      </c>
      <c r="CV77" s="21" t="n">
        <v>0</v>
      </c>
      <c r="CW77" s="21" t="n">
        <v>0</v>
      </c>
      <c r="CX77" s="21" t="n">
        <v>0</v>
      </c>
      <c r="CY77" s="21" t="n">
        <v>0</v>
      </c>
      <c r="CZ77" s="21" t="n">
        <v>0</v>
      </c>
      <c r="DA77" s="21" t="n">
        <v>0</v>
      </c>
    </row>
    <row r="78">
      <c r="A78" t="inlineStr">
        <is>
          <t>TPP-911</t>
        </is>
      </c>
      <c r="B78" s="21" t="n">
        <v>0</v>
      </c>
      <c r="C78" s="21" t="n">
        <v>0</v>
      </c>
      <c r="D78" s="21" t="n">
        <v>0</v>
      </c>
      <c r="E78" s="21" t="n">
        <v>0</v>
      </c>
      <c r="F78" s="21" t="n">
        <v>0</v>
      </c>
      <c r="G78" s="21" t="n">
        <v>0</v>
      </c>
      <c r="H78" s="21" t="n">
        <v>0</v>
      </c>
      <c r="I78" s="21" t="n">
        <v>0</v>
      </c>
      <c r="J78" s="21" t="n">
        <v>0</v>
      </c>
      <c r="K78" s="21" t="n">
        <v>0</v>
      </c>
      <c r="L78" s="21" t="n">
        <v>0</v>
      </c>
      <c r="M78" s="21" t="n">
        <v>0</v>
      </c>
      <c r="N78" s="21" t="n">
        <v>0</v>
      </c>
      <c r="O78" s="21" t="n">
        <v>0</v>
      </c>
      <c r="P78" s="21" t="n">
        <v>0</v>
      </c>
      <c r="Q78" s="21" t="n">
        <v>0</v>
      </c>
      <c r="R78" s="21" t="n">
        <v>0</v>
      </c>
      <c r="S78" s="21" t="n">
        <v>0</v>
      </c>
      <c r="T78" s="21" t="n">
        <v>0</v>
      </c>
      <c r="U78" s="21" t="n">
        <v>0</v>
      </c>
      <c r="V78" s="21" t="n">
        <v>0</v>
      </c>
      <c r="W78" s="21" t="n">
        <v>0</v>
      </c>
      <c r="X78" s="21" t="n">
        <v>0</v>
      </c>
      <c r="Y78" s="21" t="n">
        <v>0</v>
      </c>
      <c r="Z78" s="21" t="n">
        <v>0</v>
      </c>
      <c r="AA78" s="21" t="n">
        <v>0</v>
      </c>
      <c r="AB78" s="21" t="n">
        <v>0</v>
      </c>
      <c r="AC78" s="21" t="n">
        <v>0</v>
      </c>
      <c r="AD78" s="21" t="n">
        <v>0</v>
      </c>
      <c r="AE78" s="21" t="n">
        <v>0</v>
      </c>
      <c r="AF78" s="21" t="n">
        <v>0</v>
      </c>
      <c r="AG78" s="21" t="n">
        <v>0</v>
      </c>
      <c r="AH78" s="21" t="n">
        <v>0</v>
      </c>
      <c r="AI78" s="21" t="n">
        <v>0</v>
      </c>
      <c r="AJ78" s="21" t="n">
        <v>0</v>
      </c>
      <c r="AK78" s="21" t="n">
        <v>0</v>
      </c>
      <c r="AL78" s="21" t="n">
        <v>0</v>
      </c>
      <c r="AM78" s="21" t="n">
        <v>0</v>
      </c>
      <c r="AN78" s="21" t="n">
        <v>3</v>
      </c>
      <c r="AO78" s="21" t="n">
        <v>0</v>
      </c>
      <c r="AP78" s="21" t="n">
        <v>0</v>
      </c>
      <c r="AQ78" s="21" t="n">
        <v>0</v>
      </c>
      <c r="AR78" s="21" t="n">
        <v>0</v>
      </c>
      <c r="AS78" s="21" t="n">
        <v>0</v>
      </c>
      <c r="AT78" s="21" t="n">
        <v>0</v>
      </c>
      <c r="AU78" s="21" t="n">
        <v>0</v>
      </c>
      <c r="AV78" s="21" t="n">
        <v>0</v>
      </c>
      <c r="AW78" s="21" t="n">
        <v>0</v>
      </c>
      <c r="AX78" s="21" t="n">
        <v>0</v>
      </c>
      <c r="AY78" s="21" t="n">
        <v>0</v>
      </c>
      <c r="AZ78" s="21" t="n">
        <v>0</v>
      </c>
      <c r="BA78" s="21" t="n">
        <v>0</v>
      </c>
      <c r="BB78" s="21" t="n">
        <v>0</v>
      </c>
      <c r="BC78" s="21" t="n">
        <v>0</v>
      </c>
      <c r="BD78" s="21" t="n">
        <v>0</v>
      </c>
      <c r="BE78" s="21" t="n">
        <v>0</v>
      </c>
      <c r="BF78" s="21" t="n">
        <v>0</v>
      </c>
      <c r="BG78" s="21" t="n">
        <v>0</v>
      </c>
      <c r="BH78" s="21" t="n">
        <v>0</v>
      </c>
      <c r="BI78" s="21" t="n">
        <v>0</v>
      </c>
      <c r="BJ78" s="21" t="n">
        <v>0</v>
      </c>
      <c r="BK78" s="21" t="n">
        <v>0</v>
      </c>
      <c r="BL78" s="21" t="n">
        <v>0</v>
      </c>
      <c r="BM78" s="21" t="n">
        <v>0</v>
      </c>
      <c r="BN78" s="21" t="n">
        <v>0</v>
      </c>
      <c r="BO78" s="21" t="n">
        <v>0</v>
      </c>
      <c r="BP78" s="21" t="n">
        <v>0</v>
      </c>
      <c r="BQ78" s="21" t="n">
        <v>0</v>
      </c>
      <c r="BR78" s="21" t="n">
        <v>0</v>
      </c>
      <c r="BS78" s="21" t="n">
        <v>0</v>
      </c>
      <c r="BT78" s="21" t="n">
        <v>0</v>
      </c>
      <c r="BU78" s="21" t="n">
        <v>0</v>
      </c>
      <c r="BV78" s="21" t="n">
        <v>0</v>
      </c>
      <c r="BW78" s="21" t="n">
        <v>0</v>
      </c>
      <c r="BX78" s="21" t="n">
        <v>0</v>
      </c>
      <c r="BY78" s="21" t="n">
        <v>0</v>
      </c>
      <c r="BZ78" s="21" t="n">
        <v>0</v>
      </c>
      <c r="CA78" s="21" t="n">
        <v>0</v>
      </c>
      <c r="CB78" s="21" t="n">
        <v>0</v>
      </c>
      <c r="CC78" s="21" t="n">
        <v>0</v>
      </c>
      <c r="CD78" s="21" t="n">
        <v>0</v>
      </c>
      <c r="CE78" s="21" t="n">
        <v>0</v>
      </c>
      <c r="CF78" s="21" t="n">
        <v>0</v>
      </c>
      <c r="CG78" s="21" t="n">
        <v>0</v>
      </c>
      <c r="CH78" s="21" t="n">
        <v>0</v>
      </c>
      <c r="CI78" s="21" t="n">
        <v>0</v>
      </c>
      <c r="CJ78" s="21" t="n">
        <v>0</v>
      </c>
      <c r="CK78" s="21" t="n">
        <v>0</v>
      </c>
      <c r="CL78" s="21" t="n">
        <v>0</v>
      </c>
      <c r="CM78" s="21" t="n">
        <v>0</v>
      </c>
      <c r="CN78" s="21" t="n">
        <v>0</v>
      </c>
      <c r="CO78" s="21" t="n">
        <v>0</v>
      </c>
      <c r="CP78" s="21" t="n">
        <v>0</v>
      </c>
      <c r="CQ78" s="21" t="n">
        <v>0</v>
      </c>
      <c r="CR78" s="21" t="n">
        <v>0</v>
      </c>
      <c r="CS78" s="21" t="n">
        <v>0</v>
      </c>
      <c r="CT78" s="21" t="n">
        <v>0</v>
      </c>
      <c r="CU78" s="21" t="n">
        <v>0</v>
      </c>
      <c r="CV78" s="21" t="n">
        <v>0</v>
      </c>
      <c r="CW78" s="21" t="n">
        <v>0</v>
      </c>
      <c r="CX78" s="21" t="n">
        <v>0</v>
      </c>
      <c r="CY78" s="21" t="n">
        <v>0</v>
      </c>
      <c r="CZ78" s="21" t="n">
        <v>0</v>
      </c>
      <c r="DA78" s="21" t="n">
        <v>0</v>
      </c>
    </row>
    <row r="79">
      <c r="A79" t="inlineStr">
        <is>
          <t>TPP-912</t>
        </is>
      </c>
      <c r="B79" s="21" t="n">
        <v>0</v>
      </c>
      <c r="C79" s="21" t="n">
        <v>0</v>
      </c>
      <c r="D79" s="21" t="n">
        <v>0</v>
      </c>
      <c r="E79" s="21" t="n">
        <v>0</v>
      </c>
      <c r="F79" s="21" t="n">
        <v>0</v>
      </c>
      <c r="G79" s="21" t="n">
        <v>0</v>
      </c>
      <c r="H79" s="21" t="n">
        <v>0</v>
      </c>
      <c r="I79" s="21" t="n">
        <v>0</v>
      </c>
      <c r="J79" s="21" t="n">
        <v>0</v>
      </c>
      <c r="K79" s="21" t="n">
        <v>0</v>
      </c>
      <c r="L79" s="21" t="n">
        <v>0</v>
      </c>
      <c r="M79" s="21" t="n">
        <v>0</v>
      </c>
      <c r="N79" s="21" t="n">
        <v>0</v>
      </c>
      <c r="O79" s="21" t="n">
        <v>0</v>
      </c>
      <c r="P79" s="21" t="n">
        <v>0</v>
      </c>
      <c r="Q79" s="21" t="n">
        <v>0</v>
      </c>
      <c r="R79" s="21" t="n">
        <v>0</v>
      </c>
      <c r="S79" s="21" t="n">
        <v>0</v>
      </c>
      <c r="T79" s="21" t="n">
        <v>0</v>
      </c>
      <c r="U79" s="21" t="n">
        <v>0</v>
      </c>
      <c r="V79" s="21" t="n">
        <v>0</v>
      </c>
      <c r="W79" s="21" t="n">
        <v>0</v>
      </c>
      <c r="X79" s="21" t="n">
        <v>0</v>
      </c>
      <c r="Y79" s="21" t="n">
        <v>0</v>
      </c>
      <c r="Z79" s="21" t="n">
        <v>0</v>
      </c>
      <c r="AA79" s="21" t="n">
        <v>0</v>
      </c>
      <c r="AB79" s="21" t="n">
        <v>0</v>
      </c>
      <c r="AC79" s="21" t="n">
        <v>2</v>
      </c>
      <c r="AD79" s="21" t="n">
        <v>0</v>
      </c>
      <c r="AE79" s="21" t="n">
        <v>0</v>
      </c>
      <c r="AF79" s="21" t="n">
        <v>0</v>
      </c>
      <c r="AG79" s="21" t="n">
        <v>0</v>
      </c>
      <c r="AH79" s="21" t="n">
        <v>0</v>
      </c>
      <c r="AI79" s="21" t="n">
        <v>2</v>
      </c>
      <c r="AJ79" s="21" t="n">
        <v>0</v>
      </c>
      <c r="AK79" s="21" t="n">
        <v>0</v>
      </c>
      <c r="AL79" s="21" t="n">
        <v>0</v>
      </c>
      <c r="AM79" s="21" t="n">
        <v>0</v>
      </c>
      <c r="AN79" s="21" t="n">
        <v>0</v>
      </c>
      <c r="AO79" s="21" t="n">
        <v>0</v>
      </c>
      <c r="AP79" s="21" t="n">
        <v>0</v>
      </c>
      <c r="AQ79" s="21" t="n">
        <v>0</v>
      </c>
      <c r="AR79" s="21" t="n">
        <v>0</v>
      </c>
      <c r="AS79" s="21" t="n">
        <v>0</v>
      </c>
      <c r="AT79" s="21" t="n">
        <v>0</v>
      </c>
      <c r="AU79" s="21" t="n">
        <v>0</v>
      </c>
      <c r="AV79" s="21" t="n">
        <v>0</v>
      </c>
      <c r="AW79" s="21" t="n">
        <v>0</v>
      </c>
      <c r="AX79" s="21" t="n">
        <v>0</v>
      </c>
      <c r="AY79" s="21" t="n">
        <v>0</v>
      </c>
      <c r="AZ79" s="21" t="n">
        <v>0</v>
      </c>
      <c r="BA79" s="21" t="n">
        <v>0</v>
      </c>
      <c r="BB79" s="21" t="n">
        <v>0</v>
      </c>
      <c r="BC79" s="21" t="n">
        <v>0</v>
      </c>
      <c r="BD79" s="21" t="n">
        <v>0</v>
      </c>
      <c r="BE79" s="21" t="n">
        <v>0</v>
      </c>
      <c r="BF79" s="21" t="n">
        <v>0</v>
      </c>
      <c r="BG79" s="21" t="n">
        <v>0</v>
      </c>
      <c r="BH79" s="21" t="n">
        <v>0</v>
      </c>
      <c r="BI79" s="21" t="n">
        <v>0</v>
      </c>
      <c r="BJ79" s="21" t="n">
        <v>0</v>
      </c>
      <c r="BK79" s="21" t="n">
        <v>0</v>
      </c>
      <c r="BL79" s="21" t="n">
        <v>0</v>
      </c>
      <c r="BM79" s="21" t="n">
        <v>0</v>
      </c>
      <c r="BN79" s="21" t="n">
        <v>0</v>
      </c>
      <c r="BO79" s="21" t="n">
        <v>0</v>
      </c>
      <c r="BP79" s="21" t="n">
        <v>0</v>
      </c>
      <c r="BQ79" s="21" t="n">
        <v>0</v>
      </c>
      <c r="BR79" s="21" t="n">
        <v>0</v>
      </c>
      <c r="BS79" s="21" t="n">
        <v>0</v>
      </c>
      <c r="BT79" s="21" t="n">
        <v>0</v>
      </c>
      <c r="BU79" s="21" t="n">
        <v>0</v>
      </c>
      <c r="BV79" s="21" t="n">
        <v>0</v>
      </c>
      <c r="BW79" s="21" t="n">
        <v>0</v>
      </c>
      <c r="BX79" s="21" t="n">
        <v>0</v>
      </c>
      <c r="BY79" s="21" t="n">
        <v>0</v>
      </c>
      <c r="BZ79" s="21" t="n">
        <v>0</v>
      </c>
      <c r="CA79" s="21" t="n">
        <v>0</v>
      </c>
      <c r="CB79" s="21" t="n">
        <v>0</v>
      </c>
      <c r="CC79" s="21" t="n">
        <v>0</v>
      </c>
      <c r="CD79" s="21" t="n">
        <v>0</v>
      </c>
      <c r="CE79" s="21" t="n">
        <v>0</v>
      </c>
      <c r="CF79" s="21" t="n">
        <v>0</v>
      </c>
      <c r="CG79" s="21" t="n">
        <v>0</v>
      </c>
      <c r="CH79" s="21" t="n">
        <v>0</v>
      </c>
      <c r="CI79" s="21" t="n">
        <v>0</v>
      </c>
      <c r="CJ79" s="21" t="n">
        <v>0</v>
      </c>
      <c r="CK79" s="21" t="n">
        <v>0</v>
      </c>
      <c r="CL79" s="21" t="n">
        <v>0</v>
      </c>
      <c r="CM79" s="21" t="n">
        <v>0</v>
      </c>
      <c r="CN79" s="21" t="n">
        <v>0</v>
      </c>
      <c r="CO79" s="21" t="n">
        <v>0</v>
      </c>
      <c r="CP79" s="21" t="n">
        <v>0</v>
      </c>
      <c r="CQ79" s="21" t="n">
        <v>0</v>
      </c>
      <c r="CR79" s="21" t="n">
        <v>0</v>
      </c>
      <c r="CS79" s="21" t="n">
        <v>0</v>
      </c>
      <c r="CT79" s="21" t="n">
        <v>0</v>
      </c>
      <c r="CU79" s="21" t="n">
        <v>0</v>
      </c>
      <c r="CV79" s="21" t="n">
        <v>0</v>
      </c>
      <c r="CW79" s="21" t="n">
        <v>0</v>
      </c>
      <c r="CX79" s="21" t="n">
        <v>0</v>
      </c>
      <c r="CY79" s="21" t="n">
        <v>0</v>
      </c>
      <c r="CZ79" s="21" t="n">
        <v>0</v>
      </c>
      <c r="DA79" s="21" t="n">
        <v>0</v>
      </c>
    </row>
    <row r="80">
      <c r="A80" t="inlineStr">
        <is>
          <t>TPP-914</t>
        </is>
      </c>
      <c r="B80" s="21" t="n">
        <v>0</v>
      </c>
      <c r="C80" s="21" t="n">
        <v>0</v>
      </c>
      <c r="D80" s="21" t="n">
        <v>0</v>
      </c>
      <c r="E80" s="21" t="n">
        <v>0</v>
      </c>
      <c r="F80" s="21" t="n">
        <v>0</v>
      </c>
      <c r="G80" s="21" t="n">
        <v>0</v>
      </c>
      <c r="H80" s="21" t="n">
        <v>0</v>
      </c>
      <c r="I80" s="21" t="n">
        <v>0</v>
      </c>
      <c r="J80" s="21" t="n">
        <v>0</v>
      </c>
      <c r="K80" s="21" t="n">
        <v>0</v>
      </c>
      <c r="L80" s="21" t="n">
        <v>0</v>
      </c>
      <c r="M80" s="21" t="n">
        <v>0</v>
      </c>
      <c r="N80" s="21" t="n">
        <v>0</v>
      </c>
      <c r="O80" s="21" t="n">
        <v>0</v>
      </c>
      <c r="P80" s="21" t="n">
        <v>0</v>
      </c>
      <c r="Q80" s="21" t="n">
        <v>0</v>
      </c>
      <c r="R80" s="21" t="n">
        <v>0</v>
      </c>
      <c r="S80" s="21" t="n">
        <v>0</v>
      </c>
      <c r="T80" s="21" t="n">
        <v>0</v>
      </c>
      <c r="U80" s="21" t="n">
        <v>0</v>
      </c>
      <c r="V80" s="21" t="n">
        <v>0</v>
      </c>
      <c r="W80" s="21" t="n">
        <v>0</v>
      </c>
      <c r="X80" s="21" t="n">
        <v>0</v>
      </c>
      <c r="Y80" s="21" t="n">
        <v>0</v>
      </c>
      <c r="Z80" s="21" t="n">
        <v>0</v>
      </c>
      <c r="AA80" s="21" t="n">
        <v>0</v>
      </c>
      <c r="AB80" s="21" t="n">
        <v>0</v>
      </c>
      <c r="AC80" s="21" t="n">
        <v>0</v>
      </c>
      <c r="AD80" s="21" t="n">
        <v>0</v>
      </c>
      <c r="AE80" s="21" t="n">
        <v>0</v>
      </c>
      <c r="AF80" s="21" t="n">
        <v>0</v>
      </c>
      <c r="AG80" s="21" t="n">
        <v>0</v>
      </c>
      <c r="AH80" s="21" t="n">
        <v>0</v>
      </c>
      <c r="AI80" s="21" t="n">
        <v>0</v>
      </c>
      <c r="AJ80" s="21" t="n">
        <v>0</v>
      </c>
      <c r="AK80" s="21" t="n">
        <v>0</v>
      </c>
      <c r="AL80" s="21" t="n">
        <v>0</v>
      </c>
      <c r="AM80" s="21" t="n">
        <v>0</v>
      </c>
      <c r="AN80" s="21" t="n">
        <v>0</v>
      </c>
      <c r="AO80" s="21" t="n">
        <v>0</v>
      </c>
      <c r="AP80" s="21" t="n">
        <v>0</v>
      </c>
      <c r="AQ80" s="21" t="n">
        <v>0</v>
      </c>
      <c r="AR80" s="21" t="n">
        <v>0</v>
      </c>
      <c r="AS80" s="21" t="n">
        <v>0</v>
      </c>
      <c r="AT80" s="21" t="n">
        <v>0</v>
      </c>
      <c r="AU80" s="21" t="n">
        <v>0</v>
      </c>
      <c r="AV80" s="21" t="n">
        <v>0</v>
      </c>
      <c r="AW80" s="21" t="n">
        <v>0</v>
      </c>
      <c r="AX80" s="21" t="n">
        <v>0</v>
      </c>
      <c r="AY80" s="21" t="n">
        <v>0</v>
      </c>
      <c r="AZ80" s="21" t="n">
        <v>0</v>
      </c>
      <c r="BA80" s="21" t="n">
        <v>0</v>
      </c>
      <c r="BB80" s="21" t="n">
        <v>0</v>
      </c>
      <c r="BC80" s="21" t="n">
        <v>0</v>
      </c>
      <c r="BD80" s="21" t="n">
        <v>0</v>
      </c>
      <c r="BE80" s="21" t="n">
        <v>0</v>
      </c>
      <c r="BF80" s="21" t="n">
        <v>0</v>
      </c>
      <c r="BG80" s="21" t="n">
        <v>0</v>
      </c>
      <c r="BH80" s="21" t="n">
        <v>0</v>
      </c>
      <c r="BI80" s="21" t="n">
        <v>0</v>
      </c>
      <c r="BJ80" s="21" t="n">
        <v>0</v>
      </c>
      <c r="BK80" s="21" t="n">
        <v>0</v>
      </c>
      <c r="BL80" s="21" t="n">
        <v>0</v>
      </c>
      <c r="BM80" s="21" t="n">
        <v>0</v>
      </c>
      <c r="BN80" s="21" t="n">
        <v>0</v>
      </c>
      <c r="BO80" s="21" t="n">
        <v>0</v>
      </c>
      <c r="BP80" s="21" t="n">
        <v>0</v>
      </c>
      <c r="BQ80" s="21" t="n">
        <v>0</v>
      </c>
      <c r="BR80" s="21" t="n">
        <v>0</v>
      </c>
      <c r="BS80" s="21" t="n">
        <v>0</v>
      </c>
      <c r="BT80" s="21" t="n">
        <v>0</v>
      </c>
      <c r="BU80" s="21" t="n">
        <v>0</v>
      </c>
      <c r="BV80" s="21" t="n">
        <v>0</v>
      </c>
      <c r="BW80" s="21" t="n">
        <v>0</v>
      </c>
      <c r="BX80" s="21" t="n">
        <v>0</v>
      </c>
      <c r="BY80" s="21" t="n">
        <v>0</v>
      </c>
      <c r="BZ80" s="21" t="n">
        <v>0</v>
      </c>
      <c r="CA80" s="21" t="n">
        <v>0</v>
      </c>
      <c r="CB80" s="21" t="n">
        <v>0</v>
      </c>
      <c r="CC80" s="21" t="n">
        <v>0</v>
      </c>
      <c r="CD80" s="21" t="n">
        <v>0</v>
      </c>
      <c r="CE80" s="21" t="n">
        <v>0</v>
      </c>
      <c r="CF80" s="21" t="n">
        <v>0</v>
      </c>
      <c r="CG80" s="21" t="n">
        <v>0</v>
      </c>
      <c r="CH80" s="21" t="n">
        <v>0</v>
      </c>
      <c r="CI80" s="21" t="n">
        <v>0</v>
      </c>
      <c r="CJ80" s="21" t="n">
        <v>0</v>
      </c>
      <c r="CK80" s="21" t="n">
        <v>0</v>
      </c>
      <c r="CL80" s="21" t="n">
        <v>0</v>
      </c>
      <c r="CM80" s="21" t="n">
        <v>0</v>
      </c>
      <c r="CN80" s="21" t="n">
        <v>0</v>
      </c>
      <c r="CO80" s="21" t="n">
        <v>0</v>
      </c>
      <c r="CP80" s="21" t="n">
        <v>0</v>
      </c>
      <c r="CQ80" s="21" t="n">
        <v>0</v>
      </c>
      <c r="CR80" s="21" t="n">
        <v>0</v>
      </c>
      <c r="CS80" s="21" t="n">
        <v>0</v>
      </c>
      <c r="CT80" s="21" t="n">
        <v>0</v>
      </c>
      <c r="CU80" s="21" t="n">
        <v>0</v>
      </c>
      <c r="CV80" s="21" t="n">
        <v>0</v>
      </c>
      <c r="CW80" s="21" t="n">
        <v>0</v>
      </c>
      <c r="CX80" s="21" t="n">
        <v>0</v>
      </c>
      <c r="CY80" s="21" t="n">
        <v>0</v>
      </c>
      <c r="CZ80" s="21" t="n">
        <v>0</v>
      </c>
      <c r="DA80" s="21" t="n">
        <v>0</v>
      </c>
    </row>
    <row r="81">
      <c r="A81" t="inlineStr">
        <is>
          <t>TPP-915</t>
        </is>
      </c>
      <c r="B81" s="21" t="n">
        <v>0</v>
      </c>
      <c r="C81" s="21" t="n">
        <v>0</v>
      </c>
      <c r="D81" s="21" t="n">
        <v>0</v>
      </c>
      <c r="E81" s="21" t="n">
        <v>0</v>
      </c>
      <c r="F81" s="21" t="n">
        <v>0</v>
      </c>
      <c r="G81" s="21" t="n">
        <v>0</v>
      </c>
      <c r="H81" s="21" t="n">
        <v>0</v>
      </c>
      <c r="I81" s="21" t="n">
        <v>0</v>
      </c>
      <c r="J81" s="21" t="n">
        <v>0</v>
      </c>
      <c r="K81" s="21" t="n">
        <v>0</v>
      </c>
      <c r="L81" s="21" t="n">
        <v>0</v>
      </c>
      <c r="M81" s="21" t="n">
        <v>0</v>
      </c>
      <c r="N81" s="21" t="n">
        <v>0</v>
      </c>
      <c r="O81" s="21" t="n">
        <v>0</v>
      </c>
      <c r="P81" s="21" t="n">
        <v>0</v>
      </c>
      <c r="Q81" s="21" t="n">
        <v>0</v>
      </c>
      <c r="R81" s="21" t="n">
        <v>0</v>
      </c>
      <c r="S81" s="21" t="n">
        <v>0</v>
      </c>
      <c r="T81" s="21" t="n">
        <v>0</v>
      </c>
      <c r="U81" s="21" t="n">
        <v>0</v>
      </c>
      <c r="V81" s="21" t="n">
        <v>0</v>
      </c>
      <c r="W81" s="21" t="n">
        <v>0</v>
      </c>
      <c r="X81" s="21" t="n">
        <v>0</v>
      </c>
      <c r="Y81" s="21" t="n">
        <v>0</v>
      </c>
      <c r="Z81" s="21" t="n">
        <v>0</v>
      </c>
      <c r="AA81" s="21" t="n">
        <v>0</v>
      </c>
      <c r="AB81" s="21" t="n">
        <v>0</v>
      </c>
      <c r="AC81" s="21" t="n">
        <v>0</v>
      </c>
      <c r="AD81" s="21" t="n">
        <v>0</v>
      </c>
      <c r="AE81" s="21" t="n">
        <v>0</v>
      </c>
      <c r="AF81" s="21" t="n">
        <v>0</v>
      </c>
      <c r="AG81" s="21" t="n">
        <v>2</v>
      </c>
      <c r="AH81" s="21" t="n">
        <v>0</v>
      </c>
      <c r="AI81" s="21" t="n">
        <v>0</v>
      </c>
      <c r="AJ81" s="21" t="n">
        <v>0</v>
      </c>
      <c r="AK81" s="21" t="n">
        <v>0</v>
      </c>
      <c r="AL81" s="21" t="n">
        <v>0</v>
      </c>
      <c r="AM81" s="21" t="n">
        <v>2</v>
      </c>
      <c r="AN81" s="21" t="n">
        <v>0</v>
      </c>
      <c r="AO81" s="21" t="n">
        <v>0</v>
      </c>
      <c r="AP81" s="21" t="n">
        <v>0</v>
      </c>
      <c r="AQ81" s="21" t="n">
        <v>0</v>
      </c>
      <c r="AR81" s="21" t="n">
        <v>3</v>
      </c>
      <c r="AS81" s="21" t="n">
        <v>0</v>
      </c>
      <c r="AT81" s="21" t="n">
        <v>0</v>
      </c>
      <c r="AU81" s="21" t="n">
        <v>0</v>
      </c>
      <c r="AV81" s="21" t="n">
        <v>0</v>
      </c>
      <c r="AW81" s="21" t="n">
        <v>0</v>
      </c>
      <c r="AX81" s="21" t="n">
        <v>0</v>
      </c>
      <c r="AY81" s="21" t="n">
        <v>0</v>
      </c>
      <c r="AZ81" s="21" t="n">
        <v>0</v>
      </c>
      <c r="BA81" s="21" t="n">
        <v>0</v>
      </c>
      <c r="BB81" s="21" t="n">
        <v>0</v>
      </c>
      <c r="BC81" s="21" t="n">
        <v>0</v>
      </c>
      <c r="BD81" s="21" t="n">
        <v>0</v>
      </c>
      <c r="BE81" s="21" t="n">
        <v>0</v>
      </c>
      <c r="BF81" s="21" t="n">
        <v>0</v>
      </c>
      <c r="BG81" s="21" t="n">
        <v>0</v>
      </c>
      <c r="BH81" s="21" t="n">
        <v>0</v>
      </c>
      <c r="BI81" s="21" t="n">
        <v>0</v>
      </c>
      <c r="BJ81" s="21" t="n">
        <v>0</v>
      </c>
      <c r="BK81" s="21" t="n">
        <v>0</v>
      </c>
      <c r="BL81" s="21" t="n">
        <v>0</v>
      </c>
      <c r="BM81" s="21" t="n">
        <v>0</v>
      </c>
      <c r="BN81" s="21" t="n">
        <v>0</v>
      </c>
      <c r="BO81" s="21" t="n">
        <v>0</v>
      </c>
      <c r="BP81" s="21" t="n">
        <v>0</v>
      </c>
      <c r="BQ81" s="21" t="n">
        <v>0</v>
      </c>
      <c r="BR81" s="21" t="n">
        <v>0</v>
      </c>
      <c r="BS81" s="21" t="n">
        <v>0</v>
      </c>
      <c r="BT81" s="21" t="n">
        <v>0</v>
      </c>
      <c r="BU81" s="21" t="n">
        <v>0</v>
      </c>
      <c r="BV81" s="21" t="n">
        <v>0</v>
      </c>
      <c r="BW81" s="21" t="n">
        <v>0</v>
      </c>
      <c r="BX81" s="21" t="n">
        <v>0</v>
      </c>
      <c r="BY81" s="21" t="n">
        <v>0</v>
      </c>
      <c r="BZ81" s="21" t="n">
        <v>0</v>
      </c>
      <c r="CA81" s="21" t="n">
        <v>0</v>
      </c>
      <c r="CB81" s="21" t="n">
        <v>0</v>
      </c>
      <c r="CC81" s="21" t="n">
        <v>0</v>
      </c>
      <c r="CD81" s="21" t="n">
        <v>0</v>
      </c>
      <c r="CE81" s="21" t="n">
        <v>0</v>
      </c>
      <c r="CF81" s="21" t="n">
        <v>0</v>
      </c>
      <c r="CG81" s="21" t="n">
        <v>0</v>
      </c>
      <c r="CH81" s="21" t="n">
        <v>0</v>
      </c>
      <c r="CI81" s="21" t="n">
        <v>0</v>
      </c>
      <c r="CJ81" s="21" t="n">
        <v>0</v>
      </c>
      <c r="CK81" s="21" t="n">
        <v>0</v>
      </c>
      <c r="CL81" s="21" t="n">
        <v>0</v>
      </c>
      <c r="CM81" s="21" t="n">
        <v>0</v>
      </c>
      <c r="CN81" s="21" t="n">
        <v>0</v>
      </c>
      <c r="CO81" s="21" t="n">
        <v>0</v>
      </c>
      <c r="CP81" s="21" t="n">
        <v>0</v>
      </c>
      <c r="CQ81" s="21" t="n">
        <v>0</v>
      </c>
      <c r="CR81" s="21" t="n">
        <v>0</v>
      </c>
      <c r="CS81" s="21" t="n">
        <v>0</v>
      </c>
      <c r="CT81" s="21" t="n">
        <v>0</v>
      </c>
      <c r="CU81" s="21" t="n">
        <v>0</v>
      </c>
      <c r="CV81" s="21" t="n">
        <v>0</v>
      </c>
      <c r="CW81" s="21" t="n">
        <v>0</v>
      </c>
      <c r="CX81" s="21" t="n">
        <v>0</v>
      </c>
      <c r="CY81" s="21" t="n">
        <v>0</v>
      </c>
      <c r="CZ81" s="21" t="n">
        <v>0</v>
      </c>
      <c r="DA81" s="21" t="n">
        <v>0</v>
      </c>
    </row>
    <row r="82">
      <c r="A82" t="inlineStr">
        <is>
          <t>TPP-916</t>
        </is>
      </c>
      <c r="B82" s="21" t="n">
        <v>0</v>
      </c>
      <c r="C82" s="21" t="n">
        <v>0</v>
      </c>
      <c r="D82" s="21" t="n">
        <v>0</v>
      </c>
      <c r="E82" s="21" t="n">
        <v>0</v>
      </c>
      <c r="F82" s="21" t="n">
        <v>0</v>
      </c>
      <c r="G82" s="21" t="n">
        <v>0</v>
      </c>
      <c r="H82" s="21" t="n">
        <v>0</v>
      </c>
      <c r="I82" s="21" t="n">
        <v>0</v>
      </c>
      <c r="J82" s="21" t="n">
        <v>0</v>
      </c>
      <c r="K82" s="21" t="n">
        <v>0</v>
      </c>
      <c r="L82" s="21" t="n">
        <v>0</v>
      </c>
      <c r="M82" s="21" t="n">
        <v>0</v>
      </c>
      <c r="N82" s="21" t="n">
        <v>0</v>
      </c>
      <c r="O82" s="21" t="n">
        <v>0</v>
      </c>
      <c r="P82" s="21" t="n">
        <v>0</v>
      </c>
      <c r="Q82" s="21" t="n">
        <v>0</v>
      </c>
      <c r="R82" s="21" t="n">
        <v>0</v>
      </c>
      <c r="S82" s="21" t="n">
        <v>0</v>
      </c>
      <c r="T82" s="21" t="n">
        <v>0</v>
      </c>
      <c r="U82" s="21" t="n">
        <v>0</v>
      </c>
      <c r="V82" s="21" t="n">
        <v>0</v>
      </c>
      <c r="W82" s="21" t="n">
        <v>0</v>
      </c>
      <c r="X82" s="21" t="n">
        <v>0</v>
      </c>
      <c r="Y82" s="21" t="n">
        <v>0</v>
      </c>
      <c r="Z82" s="21" t="n">
        <v>0</v>
      </c>
      <c r="AA82" s="21" t="n">
        <v>0</v>
      </c>
      <c r="AB82" s="21" t="n">
        <v>0</v>
      </c>
      <c r="AC82" s="21" t="n">
        <v>0</v>
      </c>
      <c r="AD82" s="21" t="n">
        <v>0</v>
      </c>
      <c r="AE82" s="21" t="n">
        <v>0</v>
      </c>
      <c r="AF82" s="21" t="n">
        <v>0</v>
      </c>
      <c r="AG82" s="21" t="n">
        <v>0</v>
      </c>
      <c r="AH82" s="21" t="n">
        <v>0</v>
      </c>
      <c r="AI82" s="21" t="n">
        <v>0</v>
      </c>
      <c r="AJ82" s="21" t="n">
        <v>0</v>
      </c>
      <c r="AK82" s="21" t="n">
        <v>0</v>
      </c>
      <c r="AL82" s="21" t="n">
        <v>0</v>
      </c>
      <c r="AM82" s="21" t="n">
        <v>0</v>
      </c>
      <c r="AN82" s="21" t="n">
        <v>0</v>
      </c>
      <c r="AO82" s="21" t="n">
        <v>0</v>
      </c>
      <c r="AP82" s="21" t="n">
        <v>0</v>
      </c>
      <c r="AQ82" s="21" t="n">
        <v>0</v>
      </c>
      <c r="AR82" s="21" t="n">
        <v>0</v>
      </c>
      <c r="AS82" s="21" t="n">
        <v>0</v>
      </c>
      <c r="AT82" s="21" t="n">
        <v>0</v>
      </c>
      <c r="AU82" s="21" t="n">
        <v>0</v>
      </c>
      <c r="AV82" s="21" t="n">
        <v>0</v>
      </c>
      <c r="AW82" s="21" t="n">
        <v>0</v>
      </c>
      <c r="AX82" s="21" t="n">
        <v>0</v>
      </c>
      <c r="AY82" s="21" t="n">
        <v>0</v>
      </c>
      <c r="AZ82" s="21" t="n">
        <v>0</v>
      </c>
      <c r="BA82" s="21" t="n">
        <v>0</v>
      </c>
      <c r="BB82" s="21" t="n">
        <v>0</v>
      </c>
      <c r="BC82" s="21" t="n">
        <v>0</v>
      </c>
      <c r="BD82" s="21" t="n">
        <v>0</v>
      </c>
      <c r="BE82" s="21" t="n">
        <v>0</v>
      </c>
      <c r="BF82" s="21" t="n">
        <v>0</v>
      </c>
      <c r="BG82" s="21" t="n">
        <v>0</v>
      </c>
      <c r="BH82" s="21" t="n">
        <v>0</v>
      </c>
      <c r="BI82" s="21" t="n">
        <v>0</v>
      </c>
      <c r="BJ82" s="21" t="n">
        <v>0</v>
      </c>
      <c r="BK82" s="21" t="n">
        <v>0</v>
      </c>
      <c r="BL82" s="21" t="n">
        <v>0</v>
      </c>
      <c r="BM82" s="21" t="n">
        <v>0</v>
      </c>
      <c r="BN82" s="21" t="n">
        <v>0</v>
      </c>
      <c r="BO82" s="21" t="n">
        <v>0</v>
      </c>
      <c r="BP82" s="21" t="n">
        <v>0</v>
      </c>
      <c r="BQ82" s="21" t="n">
        <v>0</v>
      </c>
      <c r="BR82" s="21" t="n">
        <v>0</v>
      </c>
      <c r="BS82" s="21" t="n">
        <v>0</v>
      </c>
      <c r="BT82" s="21" t="n">
        <v>0</v>
      </c>
      <c r="BU82" s="21" t="n">
        <v>0</v>
      </c>
      <c r="BV82" s="21" t="n">
        <v>0</v>
      </c>
      <c r="BW82" s="21" t="n">
        <v>0</v>
      </c>
      <c r="BX82" s="21" t="n">
        <v>0</v>
      </c>
      <c r="BY82" s="21" t="n">
        <v>0</v>
      </c>
      <c r="BZ82" s="21" t="n">
        <v>0</v>
      </c>
      <c r="CA82" s="21" t="n">
        <v>0</v>
      </c>
      <c r="CB82" s="21" t="n">
        <v>0</v>
      </c>
      <c r="CC82" s="21" t="n">
        <v>0</v>
      </c>
      <c r="CD82" s="21" t="n">
        <v>0</v>
      </c>
      <c r="CE82" s="21" t="n">
        <v>0</v>
      </c>
      <c r="CF82" s="21" t="n">
        <v>0</v>
      </c>
      <c r="CG82" s="21" t="n">
        <v>0</v>
      </c>
      <c r="CH82" s="21" t="n">
        <v>0</v>
      </c>
      <c r="CI82" s="21" t="n">
        <v>0</v>
      </c>
      <c r="CJ82" s="21" t="n">
        <v>0</v>
      </c>
      <c r="CK82" s="21" t="n">
        <v>0</v>
      </c>
      <c r="CL82" s="21" t="n">
        <v>0</v>
      </c>
      <c r="CM82" s="21" t="n">
        <v>0</v>
      </c>
      <c r="CN82" s="21" t="n">
        <v>0</v>
      </c>
      <c r="CO82" s="21" t="n">
        <v>0</v>
      </c>
      <c r="CP82" s="21" t="n">
        <v>0</v>
      </c>
      <c r="CQ82" s="21" t="n">
        <v>0</v>
      </c>
      <c r="CR82" s="21" t="n">
        <v>0</v>
      </c>
      <c r="CS82" s="21" t="n">
        <v>0</v>
      </c>
      <c r="CT82" s="21" t="n">
        <v>0</v>
      </c>
      <c r="CU82" s="21" t="n">
        <v>0</v>
      </c>
      <c r="CV82" s="21" t="n">
        <v>0</v>
      </c>
      <c r="CW82" s="21" t="n">
        <v>0</v>
      </c>
      <c r="CX82" s="21" t="n">
        <v>0</v>
      </c>
      <c r="CY82" s="21" t="n">
        <v>0</v>
      </c>
      <c r="CZ82" s="21" t="n">
        <v>0</v>
      </c>
      <c r="DA82" s="21" t="n">
        <v>0</v>
      </c>
    </row>
    <row r="83">
      <c r="A83" t="inlineStr">
        <is>
          <t>TPP-917</t>
        </is>
      </c>
      <c r="B83" s="21" t="n">
        <v>0</v>
      </c>
      <c r="C83" s="21" t="n">
        <v>0</v>
      </c>
      <c r="D83" s="21" t="n">
        <v>0</v>
      </c>
      <c r="E83" s="21" t="n">
        <v>0</v>
      </c>
      <c r="F83" s="21" t="n">
        <v>0</v>
      </c>
      <c r="G83" s="21" t="n">
        <v>0</v>
      </c>
      <c r="H83" s="21" t="n">
        <v>0</v>
      </c>
      <c r="I83" s="21" t="n">
        <v>0</v>
      </c>
      <c r="J83" s="21" t="n">
        <v>0</v>
      </c>
      <c r="K83" s="21" t="n">
        <v>0</v>
      </c>
      <c r="L83" s="21" t="n">
        <v>0</v>
      </c>
      <c r="M83" s="21" t="n">
        <v>0</v>
      </c>
      <c r="N83" s="21" t="n">
        <v>0</v>
      </c>
      <c r="O83" s="21" t="n">
        <v>0</v>
      </c>
      <c r="P83" s="21" t="n">
        <v>0</v>
      </c>
      <c r="Q83" s="21" t="n">
        <v>0</v>
      </c>
      <c r="R83" s="21" t="n">
        <v>0</v>
      </c>
      <c r="S83" s="21" t="n">
        <v>0</v>
      </c>
      <c r="T83" s="21" t="n">
        <v>0</v>
      </c>
      <c r="U83" s="21" t="n">
        <v>0</v>
      </c>
      <c r="V83" s="21" t="n">
        <v>0</v>
      </c>
      <c r="W83" s="21" t="n">
        <v>0</v>
      </c>
      <c r="X83" s="21" t="n">
        <v>0</v>
      </c>
      <c r="Y83" s="21" t="n">
        <v>0</v>
      </c>
      <c r="Z83" s="21" t="n">
        <v>0</v>
      </c>
      <c r="AA83" s="21" t="n">
        <v>0</v>
      </c>
      <c r="AB83" s="21" t="n">
        <v>0</v>
      </c>
      <c r="AC83" s="21" t="n">
        <v>0</v>
      </c>
      <c r="AD83" s="21" t="n">
        <v>0</v>
      </c>
      <c r="AE83" s="21" t="n">
        <v>4</v>
      </c>
      <c r="AF83" s="21" t="n">
        <v>0</v>
      </c>
      <c r="AG83" s="21" t="n">
        <v>0</v>
      </c>
      <c r="AH83" s="21" t="n">
        <v>0</v>
      </c>
      <c r="AI83" s="21" t="n">
        <v>0</v>
      </c>
      <c r="AJ83" s="21" t="n">
        <v>0</v>
      </c>
      <c r="AK83" s="21" t="n">
        <v>0</v>
      </c>
      <c r="AL83" s="21" t="n">
        <v>0</v>
      </c>
      <c r="AM83" s="21" t="n">
        <v>0</v>
      </c>
      <c r="AN83" s="21" t="n">
        <v>3</v>
      </c>
      <c r="AO83" s="21" t="n">
        <v>0</v>
      </c>
      <c r="AP83" s="21" t="n">
        <v>0</v>
      </c>
      <c r="AQ83" s="21" t="n">
        <v>0</v>
      </c>
      <c r="AR83" s="21" t="n">
        <v>0</v>
      </c>
      <c r="AS83" s="21" t="n">
        <v>0</v>
      </c>
      <c r="AT83" s="21" t="n">
        <v>0</v>
      </c>
      <c r="AU83" s="21" t="n">
        <v>0</v>
      </c>
      <c r="AV83" s="21" t="n">
        <v>0</v>
      </c>
      <c r="AW83" s="21" t="n">
        <v>0</v>
      </c>
      <c r="AX83" s="21" t="n">
        <v>0</v>
      </c>
      <c r="AY83" s="21" t="n">
        <v>0</v>
      </c>
      <c r="AZ83" s="21" t="n">
        <v>0</v>
      </c>
      <c r="BA83" s="21" t="n">
        <v>0</v>
      </c>
      <c r="BB83" s="21" t="n">
        <v>0</v>
      </c>
      <c r="BC83" s="21" t="n">
        <v>0</v>
      </c>
      <c r="BD83" s="21" t="n">
        <v>0</v>
      </c>
      <c r="BE83" s="21" t="n">
        <v>0</v>
      </c>
      <c r="BF83" s="21" t="n">
        <v>0</v>
      </c>
      <c r="BG83" s="21" t="n">
        <v>0</v>
      </c>
      <c r="BH83" s="21" t="n">
        <v>0</v>
      </c>
      <c r="BI83" s="21" t="n">
        <v>0</v>
      </c>
      <c r="BJ83" s="21" t="n">
        <v>0</v>
      </c>
      <c r="BK83" s="21" t="n">
        <v>0</v>
      </c>
      <c r="BL83" s="21" t="n">
        <v>0</v>
      </c>
      <c r="BM83" s="21" t="n">
        <v>0</v>
      </c>
      <c r="BN83" s="21" t="n">
        <v>0</v>
      </c>
      <c r="BO83" s="21" t="n">
        <v>0</v>
      </c>
      <c r="BP83" s="21" t="n">
        <v>0</v>
      </c>
      <c r="BQ83" s="21" t="n">
        <v>0</v>
      </c>
      <c r="BR83" s="21" t="n">
        <v>0</v>
      </c>
      <c r="BS83" s="21" t="n">
        <v>0</v>
      </c>
      <c r="BT83" s="21" t="n">
        <v>0</v>
      </c>
      <c r="BU83" s="21" t="n">
        <v>0</v>
      </c>
      <c r="BV83" s="21" t="n">
        <v>0</v>
      </c>
      <c r="BW83" s="21" t="n">
        <v>0</v>
      </c>
      <c r="BX83" s="21" t="n">
        <v>0</v>
      </c>
      <c r="BY83" s="21" t="n">
        <v>0</v>
      </c>
      <c r="BZ83" s="21" t="n">
        <v>0</v>
      </c>
      <c r="CA83" s="21" t="n">
        <v>0</v>
      </c>
      <c r="CB83" s="21" t="n">
        <v>0</v>
      </c>
      <c r="CC83" s="21" t="n">
        <v>0</v>
      </c>
      <c r="CD83" s="21" t="n">
        <v>0</v>
      </c>
      <c r="CE83" s="21" t="n">
        <v>0</v>
      </c>
      <c r="CF83" s="21" t="n">
        <v>0</v>
      </c>
      <c r="CG83" s="21" t="n">
        <v>0</v>
      </c>
      <c r="CH83" s="21" t="n">
        <v>0</v>
      </c>
      <c r="CI83" s="21" t="n">
        <v>0</v>
      </c>
      <c r="CJ83" s="21" t="n">
        <v>0</v>
      </c>
      <c r="CK83" s="21" t="n">
        <v>0</v>
      </c>
      <c r="CL83" s="21" t="n">
        <v>0</v>
      </c>
      <c r="CM83" s="21" t="n">
        <v>0</v>
      </c>
      <c r="CN83" s="21" t="n">
        <v>0</v>
      </c>
      <c r="CO83" s="21" t="n">
        <v>0</v>
      </c>
      <c r="CP83" s="21" t="n">
        <v>0</v>
      </c>
      <c r="CQ83" s="21" t="n">
        <v>0</v>
      </c>
      <c r="CR83" s="21" t="n">
        <v>0</v>
      </c>
      <c r="CS83" s="21" t="n">
        <v>0</v>
      </c>
      <c r="CT83" s="21" t="n">
        <v>0</v>
      </c>
      <c r="CU83" s="21" t="n">
        <v>0</v>
      </c>
      <c r="CV83" s="21" t="n">
        <v>0</v>
      </c>
      <c r="CW83" s="21" t="n">
        <v>0</v>
      </c>
      <c r="CX83" s="21" t="n">
        <v>0</v>
      </c>
      <c r="CY83" s="21" t="n">
        <v>0</v>
      </c>
      <c r="CZ83" s="21" t="n">
        <v>0</v>
      </c>
      <c r="DA83" s="21" t="n">
        <v>0</v>
      </c>
    </row>
    <row r="84">
      <c r="A84" t="inlineStr">
        <is>
          <t>TPP-919</t>
        </is>
      </c>
      <c r="B84" s="21" t="n">
        <v>0</v>
      </c>
      <c r="C84" s="21" t="n">
        <v>0</v>
      </c>
      <c r="D84" s="21" t="n">
        <v>0</v>
      </c>
      <c r="E84" s="21" t="n">
        <v>0</v>
      </c>
      <c r="F84" s="21" t="n">
        <v>0</v>
      </c>
      <c r="G84" s="21" t="n">
        <v>0</v>
      </c>
      <c r="H84" s="21" t="n">
        <v>0</v>
      </c>
      <c r="I84" s="21" t="n">
        <v>0</v>
      </c>
      <c r="J84" s="21" t="n">
        <v>0</v>
      </c>
      <c r="K84" s="21" t="n">
        <v>0</v>
      </c>
      <c r="L84" s="21" t="n">
        <v>0</v>
      </c>
      <c r="M84" s="21" t="n">
        <v>0</v>
      </c>
      <c r="N84" s="21" t="n">
        <v>0</v>
      </c>
      <c r="O84" s="21" t="n">
        <v>0</v>
      </c>
      <c r="P84" s="21" t="n">
        <v>0</v>
      </c>
      <c r="Q84" s="21" t="n">
        <v>0</v>
      </c>
      <c r="R84" s="21" t="n">
        <v>0</v>
      </c>
      <c r="S84" s="21" t="n">
        <v>0</v>
      </c>
      <c r="T84" s="21" t="n">
        <v>0</v>
      </c>
      <c r="U84" s="21" t="n">
        <v>0</v>
      </c>
      <c r="V84" s="21" t="n">
        <v>0</v>
      </c>
      <c r="W84" s="21" t="n">
        <v>0</v>
      </c>
      <c r="X84" s="21" t="n">
        <v>0</v>
      </c>
      <c r="Y84" s="21" t="n">
        <v>0</v>
      </c>
      <c r="Z84" s="21" t="n">
        <v>0</v>
      </c>
      <c r="AA84" s="21" t="n">
        <v>0</v>
      </c>
      <c r="AB84" s="21" t="n">
        <v>0</v>
      </c>
      <c r="AC84" s="21" t="n">
        <v>0</v>
      </c>
      <c r="AD84" s="21" t="n">
        <v>0</v>
      </c>
      <c r="AE84" s="21" t="n">
        <v>0</v>
      </c>
      <c r="AF84" s="21" t="n">
        <v>0</v>
      </c>
      <c r="AG84" s="21" t="n">
        <v>0</v>
      </c>
      <c r="AH84" s="21" t="n">
        <v>0</v>
      </c>
      <c r="AI84" s="21" t="n">
        <v>0</v>
      </c>
      <c r="AJ84" s="21" t="n">
        <v>0</v>
      </c>
      <c r="AK84" s="21" t="n">
        <v>0</v>
      </c>
      <c r="AL84" s="21" t="n">
        <v>0</v>
      </c>
      <c r="AM84" s="21" t="n">
        <v>0</v>
      </c>
      <c r="AN84" s="21" t="n">
        <v>0</v>
      </c>
      <c r="AO84" s="21" t="n">
        <v>0</v>
      </c>
      <c r="AP84" s="21" t="n">
        <v>0</v>
      </c>
      <c r="AQ84" s="21" t="n">
        <v>0</v>
      </c>
      <c r="AR84" s="21" t="n">
        <v>0</v>
      </c>
      <c r="AS84" s="21" t="n">
        <v>0</v>
      </c>
      <c r="AT84" s="21" t="n">
        <v>0</v>
      </c>
      <c r="AU84" s="21" t="n">
        <v>0</v>
      </c>
      <c r="AV84" s="21" t="n">
        <v>0</v>
      </c>
      <c r="AW84" s="21" t="n">
        <v>0</v>
      </c>
      <c r="AX84" s="21" t="n">
        <v>0</v>
      </c>
      <c r="AY84" s="21" t="n">
        <v>0</v>
      </c>
      <c r="AZ84" s="21" t="n">
        <v>0</v>
      </c>
      <c r="BA84" s="21" t="n">
        <v>0</v>
      </c>
      <c r="BB84" s="21" t="n">
        <v>0</v>
      </c>
      <c r="BC84" s="21" t="n">
        <v>0</v>
      </c>
      <c r="BD84" s="21" t="n">
        <v>0</v>
      </c>
      <c r="BE84" s="21" t="n">
        <v>0</v>
      </c>
      <c r="BF84" s="21" t="n">
        <v>0</v>
      </c>
      <c r="BG84" s="21" t="n">
        <v>0</v>
      </c>
      <c r="BH84" s="21" t="n">
        <v>0</v>
      </c>
      <c r="BI84" s="21" t="n">
        <v>0</v>
      </c>
      <c r="BJ84" s="21" t="n">
        <v>0</v>
      </c>
      <c r="BK84" s="21" t="n">
        <v>0</v>
      </c>
      <c r="BL84" s="21" t="n">
        <v>0</v>
      </c>
      <c r="BM84" s="21" t="n">
        <v>0</v>
      </c>
      <c r="BN84" s="21" t="n">
        <v>0</v>
      </c>
      <c r="BO84" s="21" t="n">
        <v>0</v>
      </c>
      <c r="BP84" s="21" t="n">
        <v>0</v>
      </c>
      <c r="BQ84" s="21" t="n">
        <v>0</v>
      </c>
      <c r="BR84" s="21" t="n">
        <v>0</v>
      </c>
      <c r="BS84" s="21" t="n">
        <v>0</v>
      </c>
      <c r="BT84" s="21" t="n">
        <v>0</v>
      </c>
      <c r="BU84" s="21" t="n">
        <v>0</v>
      </c>
      <c r="BV84" s="21" t="n">
        <v>0</v>
      </c>
      <c r="BW84" s="21" t="n">
        <v>0</v>
      </c>
      <c r="BX84" s="21" t="n">
        <v>0</v>
      </c>
      <c r="BY84" s="21" t="n">
        <v>0</v>
      </c>
      <c r="BZ84" s="21" t="n">
        <v>0</v>
      </c>
      <c r="CA84" s="21" t="n">
        <v>0</v>
      </c>
      <c r="CB84" s="21" t="n">
        <v>0</v>
      </c>
      <c r="CC84" s="21" t="n">
        <v>0</v>
      </c>
      <c r="CD84" s="21" t="n">
        <v>0</v>
      </c>
      <c r="CE84" s="21" t="n">
        <v>0</v>
      </c>
      <c r="CF84" s="21" t="n">
        <v>0</v>
      </c>
      <c r="CG84" s="21" t="n">
        <v>0</v>
      </c>
      <c r="CH84" s="21" t="n">
        <v>0</v>
      </c>
      <c r="CI84" s="21" t="n">
        <v>0</v>
      </c>
      <c r="CJ84" s="21" t="n">
        <v>0</v>
      </c>
      <c r="CK84" s="21" t="n">
        <v>0</v>
      </c>
      <c r="CL84" s="21" t="n">
        <v>0</v>
      </c>
      <c r="CM84" s="21" t="n">
        <v>0</v>
      </c>
      <c r="CN84" s="21" t="n">
        <v>0</v>
      </c>
      <c r="CO84" s="21" t="n">
        <v>0</v>
      </c>
      <c r="CP84" s="21" t="n">
        <v>0</v>
      </c>
      <c r="CQ84" s="21" t="n">
        <v>0</v>
      </c>
      <c r="CR84" s="21" t="n">
        <v>0</v>
      </c>
      <c r="CS84" s="21" t="n">
        <v>0</v>
      </c>
      <c r="CT84" s="21" t="n">
        <v>0</v>
      </c>
      <c r="CU84" s="21" t="n">
        <v>0</v>
      </c>
      <c r="CV84" s="21" t="n">
        <v>0</v>
      </c>
      <c r="CW84" s="21" t="n">
        <v>0</v>
      </c>
      <c r="CX84" s="21" t="n">
        <v>0</v>
      </c>
      <c r="CY84" s="21" t="n">
        <v>0</v>
      </c>
      <c r="CZ84" s="21" t="n">
        <v>0</v>
      </c>
      <c r="DA84" s="21" t="n">
        <v>0</v>
      </c>
    </row>
    <row r="85">
      <c r="A85" t="inlineStr">
        <is>
          <t>TPP-920</t>
        </is>
      </c>
      <c r="B85" s="21" t="n">
        <v>0</v>
      </c>
      <c r="C85" s="21" t="n">
        <v>0</v>
      </c>
      <c r="D85" s="21" t="n">
        <v>0</v>
      </c>
      <c r="E85" s="21" t="n">
        <v>0</v>
      </c>
      <c r="F85" s="21" t="n">
        <v>0</v>
      </c>
      <c r="G85" s="21" t="n">
        <v>0</v>
      </c>
      <c r="H85" s="21" t="n">
        <v>0</v>
      </c>
      <c r="I85" s="21" t="n">
        <v>0</v>
      </c>
      <c r="J85" s="21" t="n">
        <v>0</v>
      </c>
      <c r="K85" s="21" t="n">
        <v>0</v>
      </c>
      <c r="L85" s="21" t="n">
        <v>0</v>
      </c>
      <c r="M85" s="21" t="n">
        <v>0</v>
      </c>
      <c r="N85" s="21" t="n">
        <v>0</v>
      </c>
      <c r="O85" s="21" t="n">
        <v>0</v>
      </c>
      <c r="P85" s="21" t="n">
        <v>0</v>
      </c>
      <c r="Q85" s="21" t="n">
        <v>0</v>
      </c>
      <c r="R85" s="21" t="n">
        <v>0</v>
      </c>
      <c r="S85" s="21" t="n">
        <v>0</v>
      </c>
      <c r="T85" s="21" t="n">
        <v>0</v>
      </c>
      <c r="U85" s="21" t="n">
        <v>0</v>
      </c>
      <c r="V85" s="21" t="n">
        <v>0</v>
      </c>
      <c r="W85" s="21" t="n">
        <v>0</v>
      </c>
      <c r="X85" s="21" t="n">
        <v>0</v>
      </c>
      <c r="Y85" s="21" t="n">
        <v>0</v>
      </c>
      <c r="Z85" s="21" t="n">
        <v>0</v>
      </c>
      <c r="AA85" s="21" t="n">
        <v>0</v>
      </c>
      <c r="AB85" s="21" t="n">
        <v>0</v>
      </c>
      <c r="AC85" s="21" t="n">
        <v>0</v>
      </c>
      <c r="AD85" s="21" t="n">
        <v>0</v>
      </c>
      <c r="AE85" s="21" t="n">
        <v>0</v>
      </c>
      <c r="AF85" s="21" t="n">
        <v>0</v>
      </c>
      <c r="AG85" s="21" t="n">
        <v>0</v>
      </c>
      <c r="AH85" s="21" t="n">
        <v>0</v>
      </c>
      <c r="AI85" s="21" t="n">
        <v>3</v>
      </c>
      <c r="AJ85" s="21" t="n">
        <v>0</v>
      </c>
      <c r="AK85" s="21" t="n">
        <v>0</v>
      </c>
      <c r="AL85" s="21" t="n">
        <v>0</v>
      </c>
      <c r="AM85" s="21" t="n">
        <v>0</v>
      </c>
      <c r="AN85" s="21" t="n">
        <v>0</v>
      </c>
      <c r="AO85" s="21" t="n">
        <v>2</v>
      </c>
      <c r="AP85" s="21" t="n">
        <v>0</v>
      </c>
      <c r="AQ85" s="21" t="n">
        <v>0</v>
      </c>
      <c r="AR85" s="21" t="n">
        <v>0</v>
      </c>
      <c r="AS85" s="21" t="n">
        <v>2</v>
      </c>
      <c r="AT85" s="21" t="n">
        <v>0</v>
      </c>
      <c r="AU85" s="21" t="n">
        <v>0</v>
      </c>
      <c r="AV85" s="21" t="n">
        <v>0</v>
      </c>
      <c r="AW85" s="21" t="n">
        <v>0</v>
      </c>
      <c r="AX85" s="21" t="n">
        <v>0</v>
      </c>
      <c r="AY85" s="21" t="n">
        <v>0</v>
      </c>
      <c r="AZ85" s="21" t="n">
        <v>0</v>
      </c>
      <c r="BA85" s="21" t="n">
        <v>0</v>
      </c>
      <c r="BB85" s="21" t="n">
        <v>0</v>
      </c>
      <c r="BC85" s="21" t="n">
        <v>0</v>
      </c>
      <c r="BD85" s="21" t="n">
        <v>0</v>
      </c>
      <c r="BE85" s="21" t="n">
        <v>0</v>
      </c>
      <c r="BF85" s="21" t="n">
        <v>0</v>
      </c>
      <c r="BG85" s="21" t="n">
        <v>0</v>
      </c>
      <c r="BH85" s="21" t="n">
        <v>0</v>
      </c>
      <c r="BI85" s="21" t="n">
        <v>0</v>
      </c>
      <c r="BJ85" s="21" t="n">
        <v>0</v>
      </c>
      <c r="BK85" s="21" t="n">
        <v>0</v>
      </c>
      <c r="BL85" s="21" t="n">
        <v>0</v>
      </c>
      <c r="BM85" s="21" t="n">
        <v>0</v>
      </c>
      <c r="BN85" s="21" t="n">
        <v>0</v>
      </c>
      <c r="BO85" s="21" t="n">
        <v>0</v>
      </c>
      <c r="BP85" s="21" t="n">
        <v>0</v>
      </c>
      <c r="BQ85" s="21" t="n">
        <v>0</v>
      </c>
      <c r="BR85" s="21" t="n">
        <v>0</v>
      </c>
      <c r="BS85" s="21" t="n">
        <v>0</v>
      </c>
      <c r="BT85" s="21" t="n">
        <v>0</v>
      </c>
      <c r="BU85" s="21" t="n">
        <v>0</v>
      </c>
      <c r="BV85" s="21" t="n">
        <v>0</v>
      </c>
      <c r="BW85" s="21" t="n">
        <v>0</v>
      </c>
      <c r="BX85" s="21" t="n">
        <v>0</v>
      </c>
      <c r="BY85" s="21" t="n">
        <v>0</v>
      </c>
      <c r="BZ85" s="21" t="n">
        <v>0</v>
      </c>
      <c r="CA85" s="21" t="n">
        <v>0</v>
      </c>
      <c r="CB85" s="21" t="n">
        <v>0</v>
      </c>
      <c r="CC85" s="21" t="n">
        <v>0</v>
      </c>
      <c r="CD85" s="21" t="n">
        <v>0</v>
      </c>
      <c r="CE85" s="21" t="n">
        <v>0</v>
      </c>
      <c r="CF85" s="21" t="n">
        <v>0</v>
      </c>
      <c r="CG85" s="21" t="n">
        <v>0</v>
      </c>
      <c r="CH85" s="21" t="n">
        <v>0</v>
      </c>
      <c r="CI85" s="21" t="n">
        <v>0</v>
      </c>
      <c r="CJ85" s="21" t="n">
        <v>0</v>
      </c>
      <c r="CK85" s="21" t="n">
        <v>0</v>
      </c>
      <c r="CL85" s="21" t="n">
        <v>0</v>
      </c>
      <c r="CM85" s="21" t="n">
        <v>0</v>
      </c>
      <c r="CN85" s="21" t="n">
        <v>0</v>
      </c>
      <c r="CO85" s="21" t="n">
        <v>0</v>
      </c>
      <c r="CP85" s="21" t="n">
        <v>0</v>
      </c>
      <c r="CQ85" s="21" t="n">
        <v>0</v>
      </c>
      <c r="CR85" s="21" t="n">
        <v>0</v>
      </c>
      <c r="CS85" s="21" t="n">
        <v>0</v>
      </c>
      <c r="CT85" s="21" t="n">
        <v>0</v>
      </c>
      <c r="CU85" s="21" t="n">
        <v>0</v>
      </c>
      <c r="CV85" s="21" t="n">
        <v>0</v>
      </c>
      <c r="CW85" s="21" t="n">
        <v>0</v>
      </c>
      <c r="CX85" s="21" t="n">
        <v>0</v>
      </c>
      <c r="CY85" s="21" t="n">
        <v>0</v>
      </c>
      <c r="CZ85" s="21" t="n">
        <v>0</v>
      </c>
      <c r="DA85" s="21" t="n">
        <v>0</v>
      </c>
    </row>
    <row r="86">
      <c r="A86" t="inlineStr">
        <is>
          <t>TPP-922</t>
        </is>
      </c>
      <c r="B86" s="21" t="n">
        <v>0</v>
      </c>
      <c r="C86" s="21" t="n">
        <v>0</v>
      </c>
      <c r="D86" s="21" t="n">
        <v>0</v>
      </c>
      <c r="E86" s="21" t="n">
        <v>0</v>
      </c>
      <c r="F86" s="21" t="n">
        <v>0</v>
      </c>
      <c r="G86" s="21" t="n">
        <v>0</v>
      </c>
      <c r="H86" s="21" t="n">
        <v>0</v>
      </c>
      <c r="I86" s="21" t="n">
        <v>0</v>
      </c>
      <c r="J86" s="21" t="n">
        <v>0</v>
      </c>
      <c r="K86" s="21" t="n">
        <v>0</v>
      </c>
      <c r="L86" s="21" t="n">
        <v>0</v>
      </c>
      <c r="M86" s="21" t="n">
        <v>0</v>
      </c>
      <c r="N86" s="21" t="n">
        <v>0</v>
      </c>
      <c r="O86" s="21" t="n">
        <v>0</v>
      </c>
      <c r="P86" s="21" t="n">
        <v>0</v>
      </c>
      <c r="Q86" s="21" t="n">
        <v>0</v>
      </c>
      <c r="R86" s="21" t="n">
        <v>0</v>
      </c>
      <c r="S86" s="21" t="n">
        <v>0</v>
      </c>
      <c r="T86" s="21" t="n">
        <v>0</v>
      </c>
      <c r="U86" s="21" t="n">
        <v>0</v>
      </c>
      <c r="V86" s="21" t="n">
        <v>0</v>
      </c>
      <c r="W86" s="21" t="n">
        <v>0</v>
      </c>
      <c r="X86" s="21" t="n">
        <v>0</v>
      </c>
      <c r="Y86" s="21" t="n">
        <v>0</v>
      </c>
      <c r="Z86" s="21" t="n">
        <v>0</v>
      </c>
      <c r="AA86" s="21" t="n">
        <v>0</v>
      </c>
      <c r="AB86" s="21" t="n">
        <v>0</v>
      </c>
      <c r="AC86" s="21" t="n">
        <v>0</v>
      </c>
      <c r="AD86" s="21" t="n">
        <v>0</v>
      </c>
      <c r="AE86" s="21" t="n">
        <v>0</v>
      </c>
      <c r="AF86" s="21" t="n">
        <v>0</v>
      </c>
      <c r="AG86" s="21" t="n">
        <v>0</v>
      </c>
      <c r="AH86" s="21" t="n">
        <v>0</v>
      </c>
      <c r="AI86" s="21" t="n">
        <v>0</v>
      </c>
      <c r="AJ86" s="21" t="n">
        <v>0</v>
      </c>
      <c r="AK86" s="21" t="n">
        <v>0</v>
      </c>
      <c r="AL86" s="21" t="n">
        <v>0</v>
      </c>
      <c r="AM86" s="21" t="n">
        <v>0</v>
      </c>
      <c r="AN86" s="21" t="n">
        <v>0</v>
      </c>
      <c r="AO86" s="21" t="n">
        <v>0</v>
      </c>
      <c r="AP86" s="21" t="n">
        <v>0</v>
      </c>
      <c r="AQ86" s="21" t="n">
        <v>0</v>
      </c>
      <c r="AR86" s="21" t="n">
        <v>0</v>
      </c>
      <c r="AS86" s="21" t="n">
        <v>0</v>
      </c>
      <c r="AT86" s="21" t="n">
        <v>0</v>
      </c>
      <c r="AU86" s="21" t="n">
        <v>0</v>
      </c>
      <c r="AV86" s="21" t="n">
        <v>0</v>
      </c>
      <c r="AW86" s="21" t="n">
        <v>0</v>
      </c>
      <c r="AX86" s="21" t="n">
        <v>0</v>
      </c>
      <c r="AY86" s="21" t="n">
        <v>0</v>
      </c>
      <c r="AZ86" s="21" t="n">
        <v>0</v>
      </c>
      <c r="BA86" s="21" t="n">
        <v>0</v>
      </c>
      <c r="BB86" s="21" t="n">
        <v>0</v>
      </c>
      <c r="BC86" s="21" t="n">
        <v>0</v>
      </c>
      <c r="BD86" s="21" t="n">
        <v>0</v>
      </c>
      <c r="BE86" s="21" t="n">
        <v>0</v>
      </c>
      <c r="BF86" s="21" t="n">
        <v>0</v>
      </c>
      <c r="BG86" s="21" t="n">
        <v>0</v>
      </c>
      <c r="BH86" s="21" t="n">
        <v>0</v>
      </c>
      <c r="BI86" s="21" t="n">
        <v>0</v>
      </c>
      <c r="BJ86" s="21" t="n">
        <v>0</v>
      </c>
      <c r="BK86" s="21" t="n">
        <v>0</v>
      </c>
      <c r="BL86" s="21" t="n">
        <v>0</v>
      </c>
      <c r="BM86" s="21" t="n">
        <v>0</v>
      </c>
      <c r="BN86" s="21" t="n">
        <v>0</v>
      </c>
      <c r="BO86" s="21" t="n">
        <v>0</v>
      </c>
      <c r="BP86" s="21" t="n">
        <v>0</v>
      </c>
      <c r="BQ86" s="21" t="n">
        <v>0</v>
      </c>
      <c r="BR86" s="21" t="n">
        <v>0</v>
      </c>
      <c r="BS86" s="21" t="n">
        <v>0</v>
      </c>
      <c r="BT86" s="21" t="n">
        <v>0</v>
      </c>
      <c r="BU86" s="21" t="n">
        <v>0</v>
      </c>
      <c r="BV86" s="21" t="n">
        <v>0</v>
      </c>
      <c r="BW86" s="21" t="n">
        <v>0</v>
      </c>
      <c r="BX86" s="21" t="n">
        <v>0</v>
      </c>
      <c r="BY86" s="21" t="n">
        <v>0</v>
      </c>
      <c r="BZ86" s="21" t="n">
        <v>0</v>
      </c>
      <c r="CA86" s="21" t="n">
        <v>0</v>
      </c>
      <c r="CB86" s="21" t="n">
        <v>0</v>
      </c>
      <c r="CC86" s="21" t="n">
        <v>0</v>
      </c>
      <c r="CD86" s="21" t="n">
        <v>0</v>
      </c>
      <c r="CE86" s="21" t="n">
        <v>0</v>
      </c>
      <c r="CF86" s="21" t="n">
        <v>0</v>
      </c>
      <c r="CG86" s="21" t="n">
        <v>0</v>
      </c>
      <c r="CH86" s="21" t="n">
        <v>0</v>
      </c>
      <c r="CI86" s="21" t="n">
        <v>0</v>
      </c>
      <c r="CJ86" s="21" t="n">
        <v>0</v>
      </c>
      <c r="CK86" s="21" t="n">
        <v>0</v>
      </c>
      <c r="CL86" s="21" t="n">
        <v>0</v>
      </c>
      <c r="CM86" s="21" t="n">
        <v>0</v>
      </c>
      <c r="CN86" s="21" t="n">
        <v>0</v>
      </c>
      <c r="CO86" s="21" t="n">
        <v>0</v>
      </c>
      <c r="CP86" s="21" t="n">
        <v>0</v>
      </c>
      <c r="CQ86" s="21" t="n">
        <v>0</v>
      </c>
      <c r="CR86" s="21" t="n">
        <v>0</v>
      </c>
      <c r="CS86" s="21" t="n">
        <v>0</v>
      </c>
      <c r="CT86" s="21" t="n">
        <v>0</v>
      </c>
      <c r="CU86" s="21" t="n">
        <v>0</v>
      </c>
      <c r="CV86" s="21" t="n">
        <v>0</v>
      </c>
      <c r="CW86" s="21" t="n">
        <v>0</v>
      </c>
      <c r="CX86" s="21" t="n">
        <v>0</v>
      </c>
      <c r="CY86" s="21" t="n">
        <v>0</v>
      </c>
      <c r="CZ86" s="21" t="n">
        <v>0</v>
      </c>
      <c r="DA86" s="21" t="n">
        <v>0</v>
      </c>
    </row>
    <row r="87">
      <c r="A87" t="inlineStr">
        <is>
          <t>TPP-923</t>
        </is>
      </c>
      <c r="B87" s="21" t="n">
        <v>0</v>
      </c>
      <c r="C87" s="21" t="n">
        <v>0</v>
      </c>
      <c r="D87" s="21" t="n">
        <v>0</v>
      </c>
      <c r="E87" s="21" t="n">
        <v>0</v>
      </c>
      <c r="F87" s="21" t="n">
        <v>0</v>
      </c>
      <c r="G87" s="21" t="n">
        <v>0</v>
      </c>
      <c r="H87" s="21" t="n">
        <v>0</v>
      </c>
      <c r="I87" s="21" t="n">
        <v>0</v>
      </c>
      <c r="J87" s="21" t="n">
        <v>0</v>
      </c>
      <c r="K87" s="21" t="n">
        <v>0</v>
      </c>
      <c r="L87" s="21" t="n">
        <v>0</v>
      </c>
      <c r="M87" s="21" t="n">
        <v>0</v>
      </c>
      <c r="N87" s="21" t="n">
        <v>0</v>
      </c>
      <c r="O87" s="21" t="n">
        <v>0</v>
      </c>
      <c r="P87" s="21" t="n">
        <v>0</v>
      </c>
      <c r="Q87" s="21" t="n">
        <v>0</v>
      </c>
      <c r="R87" s="21" t="n">
        <v>0</v>
      </c>
      <c r="S87" s="21" t="n">
        <v>0</v>
      </c>
      <c r="T87" s="21" t="n">
        <v>0</v>
      </c>
      <c r="U87" s="21" t="n">
        <v>0</v>
      </c>
      <c r="V87" s="21" t="n">
        <v>0</v>
      </c>
      <c r="W87" s="21" t="n">
        <v>0</v>
      </c>
      <c r="X87" s="21" t="n">
        <v>0</v>
      </c>
      <c r="Y87" s="21" t="n">
        <v>0</v>
      </c>
      <c r="Z87" s="21" t="n">
        <v>0</v>
      </c>
      <c r="AA87" s="21" t="n">
        <v>0</v>
      </c>
      <c r="AB87" s="21" t="n">
        <v>0</v>
      </c>
      <c r="AC87" s="21" t="n">
        <v>0</v>
      </c>
      <c r="AD87" s="21" t="n">
        <v>0</v>
      </c>
      <c r="AE87" s="21" t="n">
        <v>0</v>
      </c>
      <c r="AF87" s="21" t="n">
        <v>0</v>
      </c>
      <c r="AG87" s="21" t="n">
        <v>0</v>
      </c>
      <c r="AH87" s="21" t="n">
        <v>0</v>
      </c>
      <c r="AI87" s="21" t="n">
        <v>4</v>
      </c>
      <c r="AJ87" s="21" t="n">
        <v>0</v>
      </c>
      <c r="AK87" s="21" t="n">
        <v>0</v>
      </c>
      <c r="AL87" s="21" t="n">
        <v>0</v>
      </c>
      <c r="AM87" s="21" t="n">
        <v>0</v>
      </c>
      <c r="AN87" s="21" t="n">
        <v>0</v>
      </c>
      <c r="AO87" s="21" t="n">
        <v>0</v>
      </c>
      <c r="AP87" s="21" t="n">
        <v>0</v>
      </c>
      <c r="AQ87" s="21" t="n">
        <v>0</v>
      </c>
      <c r="AR87" s="21" t="n">
        <v>2</v>
      </c>
      <c r="AS87" s="21" t="n">
        <v>0</v>
      </c>
      <c r="AT87" s="21" t="n">
        <v>0</v>
      </c>
      <c r="AU87" s="21" t="n">
        <v>0</v>
      </c>
      <c r="AV87" s="21" t="n">
        <v>0</v>
      </c>
      <c r="AW87" s="21" t="n">
        <v>0</v>
      </c>
      <c r="AX87" s="21" t="n">
        <v>0</v>
      </c>
      <c r="AY87" s="21" t="n">
        <v>0</v>
      </c>
      <c r="AZ87" s="21" t="n">
        <v>0</v>
      </c>
      <c r="BA87" s="21" t="n">
        <v>0</v>
      </c>
      <c r="BB87" s="21" t="n">
        <v>0</v>
      </c>
      <c r="BC87" s="21" t="n">
        <v>0</v>
      </c>
      <c r="BD87" s="21" t="n">
        <v>0</v>
      </c>
      <c r="BE87" s="21" t="n">
        <v>0</v>
      </c>
      <c r="BF87" s="21" t="n">
        <v>0</v>
      </c>
      <c r="BG87" s="21" t="n">
        <v>0</v>
      </c>
      <c r="BH87" s="21" t="n">
        <v>0</v>
      </c>
      <c r="BI87" s="21" t="n">
        <v>0</v>
      </c>
      <c r="BJ87" s="21" t="n">
        <v>0</v>
      </c>
      <c r="BK87" s="21" t="n">
        <v>0</v>
      </c>
      <c r="BL87" s="21" t="n">
        <v>0</v>
      </c>
      <c r="BM87" s="21" t="n">
        <v>0</v>
      </c>
      <c r="BN87" s="21" t="n">
        <v>0</v>
      </c>
      <c r="BO87" s="21" t="n">
        <v>0</v>
      </c>
      <c r="BP87" s="21" t="n">
        <v>0</v>
      </c>
      <c r="BQ87" s="21" t="n">
        <v>0</v>
      </c>
      <c r="BR87" s="21" t="n">
        <v>0</v>
      </c>
      <c r="BS87" s="21" t="n">
        <v>0</v>
      </c>
      <c r="BT87" s="21" t="n">
        <v>0</v>
      </c>
      <c r="BU87" s="21" t="n">
        <v>0</v>
      </c>
      <c r="BV87" s="21" t="n">
        <v>0</v>
      </c>
      <c r="BW87" s="21" t="n">
        <v>0</v>
      </c>
      <c r="BX87" s="21" t="n">
        <v>0</v>
      </c>
      <c r="BY87" s="21" t="n">
        <v>0</v>
      </c>
      <c r="BZ87" s="21" t="n">
        <v>0</v>
      </c>
      <c r="CA87" s="21" t="n">
        <v>0</v>
      </c>
      <c r="CB87" s="21" t="n">
        <v>0</v>
      </c>
      <c r="CC87" s="21" t="n">
        <v>0</v>
      </c>
      <c r="CD87" s="21" t="n">
        <v>0</v>
      </c>
      <c r="CE87" s="21" t="n">
        <v>0</v>
      </c>
      <c r="CF87" s="21" t="n">
        <v>0</v>
      </c>
      <c r="CG87" s="21" t="n">
        <v>0</v>
      </c>
      <c r="CH87" s="21" t="n">
        <v>0</v>
      </c>
      <c r="CI87" s="21" t="n">
        <v>0</v>
      </c>
      <c r="CJ87" s="21" t="n">
        <v>0</v>
      </c>
      <c r="CK87" s="21" t="n">
        <v>0</v>
      </c>
      <c r="CL87" s="21" t="n">
        <v>0</v>
      </c>
      <c r="CM87" s="21" t="n">
        <v>0</v>
      </c>
      <c r="CN87" s="21" t="n">
        <v>0</v>
      </c>
      <c r="CO87" s="21" t="n">
        <v>0</v>
      </c>
      <c r="CP87" s="21" t="n">
        <v>0</v>
      </c>
      <c r="CQ87" s="21" t="n">
        <v>0</v>
      </c>
      <c r="CR87" s="21" t="n">
        <v>0</v>
      </c>
      <c r="CS87" s="21" t="n">
        <v>0</v>
      </c>
      <c r="CT87" s="21" t="n">
        <v>0</v>
      </c>
      <c r="CU87" s="21" t="n">
        <v>0</v>
      </c>
      <c r="CV87" s="21" t="n">
        <v>0</v>
      </c>
      <c r="CW87" s="21" t="n">
        <v>0</v>
      </c>
      <c r="CX87" s="21" t="n">
        <v>0</v>
      </c>
      <c r="CY87" s="21" t="n">
        <v>0</v>
      </c>
      <c r="CZ87" s="21" t="n">
        <v>0</v>
      </c>
      <c r="DA87" s="21" t="n">
        <v>0</v>
      </c>
    </row>
    <row r="88">
      <c r="A88" t="inlineStr">
        <is>
          <t>TPP-970</t>
        </is>
      </c>
      <c r="B88" s="21" t="n">
        <v>0</v>
      </c>
      <c r="C88" s="21" t="n">
        <v>0</v>
      </c>
      <c r="D88" s="21" t="n">
        <v>0</v>
      </c>
      <c r="E88" s="21" t="n">
        <v>0</v>
      </c>
      <c r="F88" s="21" t="n">
        <v>0</v>
      </c>
      <c r="G88" s="21" t="n">
        <v>0</v>
      </c>
      <c r="H88" s="21" t="n">
        <v>0</v>
      </c>
      <c r="I88" s="21" t="n">
        <v>0</v>
      </c>
      <c r="J88" s="21" t="n">
        <v>0</v>
      </c>
      <c r="K88" s="21" t="n">
        <v>0</v>
      </c>
      <c r="L88" s="21" t="n">
        <v>0</v>
      </c>
      <c r="M88" s="21" t="n">
        <v>0</v>
      </c>
      <c r="N88" s="21" t="n">
        <v>0</v>
      </c>
      <c r="O88" s="21" t="n">
        <v>0</v>
      </c>
      <c r="P88" s="21" t="n">
        <v>0</v>
      </c>
      <c r="Q88" s="21" t="n">
        <v>0</v>
      </c>
      <c r="R88" s="21" t="n">
        <v>0</v>
      </c>
      <c r="S88" s="21" t="n">
        <v>0</v>
      </c>
      <c r="T88" s="21" t="n">
        <v>0</v>
      </c>
      <c r="U88" s="21" t="n">
        <v>0</v>
      </c>
      <c r="V88" s="21" t="n">
        <v>0</v>
      </c>
      <c r="W88" s="21" t="n">
        <v>0</v>
      </c>
      <c r="X88" s="21" t="n">
        <v>0</v>
      </c>
      <c r="Y88" s="21" t="n">
        <v>0</v>
      </c>
      <c r="Z88" s="21" t="n">
        <v>0</v>
      </c>
      <c r="AA88" s="21" t="n">
        <v>0</v>
      </c>
      <c r="AB88" s="21" t="n">
        <v>0</v>
      </c>
      <c r="AC88" s="21" t="n">
        <v>0</v>
      </c>
      <c r="AD88" s="21" t="n">
        <v>0</v>
      </c>
      <c r="AE88" s="21" t="n">
        <v>0</v>
      </c>
      <c r="AF88" s="21" t="n">
        <v>0</v>
      </c>
      <c r="AG88" s="21" t="n">
        <v>0</v>
      </c>
      <c r="AH88" s="21" t="n">
        <v>0</v>
      </c>
      <c r="AI88" s="21" t="n">
        <v>0</v>
      </c>
      <c r="AJ88" s="21" t="n">
        <v>0</v>
      </c>
      <c r="AK88" s="21" t="n">
        <v>0</v>
      </c>
      <c r="AL88" s="21" t="n">
        <v>0</v>
      </c>
      <c r="AM88" s="21" t="n">
        <v>0</v>
      </c>
      <c r="AN88" s="21" t="n">
        <v>0</v>
      </c>
      <c r="AO88" s="21" t="n">
        <v>0</v>
      </c>
      <c r="AP88" s="21" t="n">
        <v>0</v>
      </c>
      <c r="AQ88" s="21" t="n">
        <v>0</v>
      </c>
      <c r="AR88" s="21" t="n">
        <v>0</v>
      </c>
      <c r="AS88" s="21" t="n">
        <v>0</v>
      </c>
      <c r="AT88" s="21" t="n">
        <v>0</v>
      </c>
      <c r="AU88" s="21" t="n">
        <v>0</v>
      </c>
      <c r="AV88" s="21" t="n">
        <v>0</v>
      </c>
      <c r="AW88" s="21" t="n">
        <v>0</v>
      </c>
      <c r="AX88" s="21" t="n">
        <v>0</v>
      </c>
      <c r="AY88" s="21" t="n">
        <v>0</v>
      </c>
      <c r="AZ88" s="21" t="n">
        <v>0</v>
      </c>
      <c r="BA88" s="21" t="n">
        <v>0</v>
      </c>
      <c r="BB88" s="21" t="n">
        <v>0</v>
      </c>
      <c r="BC88" s="21" t="n">
        <v>0</v>
      </c>
      <c r="BD88" s="21" t="n">
        <v>0</v>
      </c>
      <c r="BE88" s="21" t="n">
        <v>0</v>
      </c>
      <c r="BF88" s="21" t="n">
        <v>0</v>
      </c>
      <c r="BG88" s="21" t="n">
        <v>0</v>
      </c>
      <c r="BH88" s="21" t="n">
        <v>0</v>
      </c>
      <c r="BI88" s="21" t="n">
        <v>0</v>
      </c>
      <c r="BJ88" s="21" t="n">
        <v>0</v>
      </c>
      <c r="BK88" s="21" t="n">
        <v>0</v>
      </c>
      <c r="BL88" s="21" t="n">
        <v>0</v>
      </c>
      <c r="BM88" s="21" t="n">
        <v>0</v>
      </c>
      <c r="BN88" s="21" t="n">
        <v>0</v>
      </c>
      <c r="BO88" s="21" t="n">
        <v>0</v>
      </c>
      <c r="BP88" s="21" t="n">
        <v>0</v>
      </c>
      <c r="BQ88" s="21" t="n">
        <v>0</v>
      </c>
      <c r="BR88" s="21" t="n">
        <v>0</v>
      </c>
      <c r="BS88" s="21" t="n">
        <v>0</v>
      </c>
      <c r="BT88" s="21" t="n">
        <v>0</v>
      </c>
      <c r="BU88" s="21" t="n">
        <v>0</v>
      </c>
      <c r="BV88" s="21" t="n">
        <v>0</v>
      </c>
      <c r="BW88" s="21" t="n">
        <v>0</v>
      </c>
      <c r="BX88" s="21" t="n">
        <v>0</v>
      </c>
      <c r="BY88" s="21" t="n">
        <v>0</v>
      </c>
      <c r="BZ88" s="21" t="n">
        <v>0</v>
      </c>
      <c r="CA88" s="21" t="n">
        <v>0</v>
      </c>
      <c r="CB88" s="21" t="n">
        <v>0</v>
      </c>
      <c r="CC88" s="21" t="n">
        <v>0</v>
      </c>
      <c r="CD88" s="21" t="n">
        <v>0</v>
      </c>
      <c r="CE88" s="21" t="n">
        <v>0</v>
      </c>
      <c r="CF88" s="21" t="n">
        <v>0</v>
      </c>
      <c r="CG88" s="21" t="n">
        <v>0</v>
      </c>
      <c r="CH88" s="21" t="n">
        <v>0</v>
      </c>
      <c r="CI88" s="21" t="n">
        <v>0</v>
      </c>
      <c r="CJ88" s="21" t="n">
        <v>0</v>
      </c>
      <c r="CK88" s="21" t="n">
        <v>0</v>
      </c>
      <c r="CL88" s="21" t="n">
        <v>0</v>
      </c>
      <c r="CM88" s="21" t="n">
        <v>0</v>
      </c>
      <c r="CN88" s="21" t="n">
        <v>0</v>
      </c>
      <c r="CO88" s="21" t="n">
        <v>0</v>
      </c>
      <c r="CP88" s="21" t="n">
        <v>0</v>
      </c>
      <c r="CQ88" s="21" t="n">
        <v>0</v>
      </c>
      <c r="CR88" s="21" t="n">
        <v>0</v>
      </c>
      <c r="CS88" s="21" t="n">
        <v>0</v>
      </c>
      <c r="CT88" s="21" t="n">
        <v>0</v>
      </c>
      <c r="CU88" s="21" t="n">
        <v>0</v>
      </c>
      <c r="CV88" s="21" t="n">
        <v>0</v>
      </c>
      <c r="CW88" s="21" t="n">
        <v>0</v>
      </c>
      <c r="CX88" s="21" t="n">
        <v>0</v>
      </c>
      <c r="CY88" s="21" t="n">
        <v>0</v>
      </c>
      <c r="CZ88" s="21" t="n">
        <v>0</v>
      </c>
      <c r="DA88" s="21" t="n">
        <v>0</v>
      </c>
    </row>
    <row r="89">
      <c r="A89" t="inlineStr">
        <is>
          <t>20p</t>
        </is>
      </c>
      <c r="B89" s="21" t="n">
        <v>0</v>
      </c>
      <c r="C89" s="21" t="n">
        <v>0</v>
      </c>
      <c r="D89" s="21" t="n">
        <v>0</v>
      </c>
      <c r="E89" s="21" t="n">
        <v>0</v>
      </c>
      <c r="F89" s="21" t="n">
        <v>0</v>
      </c>
      <c r="G89" s="21" t="n">
        <v>0</v>
      </c>
      <c r="H89" s="21" t="n">
        <v>0</v>
      </c>
      <c r="I89" s="21" t="n">
        <v>0</v>
      </c>
      <c r="J89" s="21" t="n">
        <v>0</v>
      </c>
      <c r="K89" s="21" t="n">
        <v>0</v>
      </c>
      <c r="L89" s="21" t="n">
        <v>0</v>
      </c>
      <c r="M89" s="21" t="n">
        <v>0</v>
      </c>
      <c r="N89" s="21" t="n">
        <v>0</v>
      </c>
      <c r="O89" s="21" t="n">
        <v>0</v>
      </c>
      <c r="P89" s="21" t="n">
        <v>0</v>
      </c>
      <c r="Q89" s="21" t="n">
        <v>0</v>
      </c>
      <c r="R89" s="21" t="n">
        <v>0</v>
      </c>
      <c r="S89" s="21" t="n">
        <v>0</v>
      </c>
      <c r="T89" s="21" t="n">
        <v>0</v>
      </c>
      <c r="U89" s="21" t="n">
        <v>0</v>
      </c>
      <c r="V89" s="21" t="n">
        <v>0</v>
      </c>
      <c r="W89" s="21" t="n">
        <v>0</v>
      </c>
      <c r="X89" s="21" t="n">
        <v>0</v>
      </c>
      <c r="Y89" s="21" t="n">
        <v>0</v>
      </c>
      <c r="Z89" s="21" t="n">
        <v>0</v>
      </c>
      <c r="AA89" s="21" t="n">
        <v>0</v>
      </c>
      <c r="AB89" s="21" t="n">
        <v>0</v>
      </c>
      <c r="AC89" s="21" t="n">
        <v>0</v>
      </c>
      <c r="AD89" s="21" t="n">
        <v>0</v>
      </c>
      <c r="AE89" s="21" t="n">
        <v>0</v>
      </c>
      <c r="AF89" s="21" t="n">
        <v>0</v>
      </c>
      <c r="AG89" s="21" t="n">
        <v>0</v>
      </c>
      <c r="AH89" s="21" t="n">
        <v>0</v>
      </c>
      <c r="AI89" s="21" t="n">
        <v>0</v>
      </c>
      <c r="AJ89" s="21" t="n">
        <v>0</v>
      </c>
      <c r="AK89" s="21" t="n">
        <v>0</v>
      </c>
      <c r="AL89" s="21" t="n">
        <v>0</v>
      </c>
      <c r="AM89" s="21" t="n">
        <v>0</v>
      </c>
      <c r="AN89" s="21" t="n">
        <v>0</v>
      </c>
      <c r="AO89" s="21" t="n">
        <v>0</v>
      </c>
      <c r="AP89" s="21" t="n">
        <v>0</v>
      </c>
      <c r="AQ89" s="21" t="n">
        <v>0</v>
      </c>
      <c r="AR89" s="21" t="n">
        <v>0</v>
      </c>
      <c r="AS89" s="21" t="n">
        <v>0</v>
      </c>
      <c r="AT89" s="21" t="n">
        <v>0</v>
      </c>
      <c r="AU89" s="21" t="n">
        <v>0</v>
      </c>
      <c r="AV89" s="21" t="n">
        <v>0</v>
      </c>
      <c r="AW89" s="21" t="n">
        <v>0</v>
      </c>
      <c r="AX89" s="21" t="n">
        <v>0</v>
      </c>
      <c r="AY89" s="21" t="n">
        <v>0</v>
      </c>
      <c r="AZ89" s="21" t="n">
        <v>0</v>
      </c>
      <c r="BA89" s="21" t="n">
        <v>0</v>
      </c>
      <c r="BB89" s="21" t="n">
        <v>0</v>
      </c>
      <c r="BC89" s="21" t="n">
        <v>0</v>
      </c>
      <c r="BD89" s="21" t="n">
        <v>0</v>
      </c>
      <c r="BE89" s="21" t="n">
        <v>0</v>
      </c>
      <c r="BF89" s="21" t="n">
        <v>0</v>
      </c>
      <c r="BG89" s="21" t="n">
        <v>0</v>
      </c>
      <c r="BH89" s="21" t="n">
        <v>0</v>
      </c>
      <c r="BI89" s="21" t="n">
        <v>0</v>
      </c>
      <c r="BJ89" s="21" t="n">
        <v>0</v>
      </c>
      <c r="BK89" s="21" t="n">
        <v>0</v>
      </c>
      <c r="BL89" s="21" t="n">
        <v>0</v>
      </c>
      <c r="BM89" s="21" t="n">
        <v>0</v>
      </c>
      <c r="BN89" s="21" t="n">
        <v>0</v>
      </c>
      <c r="BO89" s="21" t="n">
        <v>0</v>
      </c>
      <c r="BP89" s="21" t="n">
        <v>0</v>
      </c>
      <c r="BQ89" s="21" t="n">
        <v>0</v>
      </c>
      <c r="BR89" s="21" t="n">
        <v>0</v>
      </c>
      <c r="BS89" s="21" t="n">
        <v>0</v>
      </c>
      <c r="BT89" s="21" t="n">
        <v>0</v>
      </c>
      <c r="BU89" s="21" t="n">
        <v>0</v>
      </c>
      <c r="BV89" s="21" t="n">
        <v>0</v>
      </c>
      <c r="BW89" s="21" t="n">
        <v>0</v>
      </c>
      <c r="BX89" s="21" t="n">
        <v>0</v>
      </c>
      <c r="BY89" s="21" t="n">
        <v>0</v>
      </c>
      <c r="BZ89" s="21" t="n">
        <v>0</v>
      </c>
      <c r="CA89" s="21" t="n">
        <v>0</v>
      </c>
      <c r="CB89" s="21" t="n">
        <v>0</v>
      </c>
      <c r="CC89" s="21" t="n">
        <v>0</v>
      </c>
      <c r="CD89" s="21" t="n">
        <v>0</v>
      </c>
      <c r="CE89" s="21" t="n">
        <v>0</v>
      </c>
      <c r="CF89" s="21" t="n">
        <v>0</v>
      </c>
      <c r="CG89" s="21" t="n">
        <v>0</v>
      </c>
      <c r="CH89" s="21" t="n">
        <v>0</v>
      </c>
      <c r="CI89" s="21" t="n">
        <v>0</v>
      </c>
      <c r="CJ89" s="21" t="n">
        <v>0</v>
      </c>
      <c r="CK89" s="21" t="n">
        <v>0</v>
      </c>
      <c r="CL89" s="21" t="n">
        <v>0</v>
      </c>
      <c r="CM89" s="21" t="n">
        <v>0</v>
      </c>
      <c r="CN89" s="21" t="n">
        <v>0</v>
      </c>
      <c r="CO89" s="21" t="n">
        <v>0</v>
      </c>
      <c r="CP89" s="21" t="n">
        <v>0</v>
      </c>
      <c r="CQ89" s="21" t="n">
        <v>0</v>
      </c>
      <c r="CR89" s="21" t="n">
        <v>0</v>
      </c>
      <c r="CS89" s="21" t="n">
        <v>0</v>
      </c>
      <c r="CT89" s="21" t="n">
        <v>0</v>
      </c>
      <c r="CU89" s="21" t="n">
        <v>0</v>
      </c>
      <c r="CV89" s="21" t="n">
        <v>0</v>
      </c>
      <c r="CW89" s="21" t="n">
        <v>0</v>
      </c>
      <c r="CX89" s="21" t="n">
        <v>0</v>
      </c>
      <c r="CY89" s="21" t="n">
        <v>0</v>
      </c>
      <c r="CZ89" s="21" t="n">
        <v>0</v>
      </c>
      <c r="DA89" s="21" t="n">
        <v>0</v>
      </c>
    </row>
    <row r="90">
      <c r="A90" t="inlineStr">
        <is>
          <t>TPP-1459</t>
        </is>
      </c>
      <c r="B90" s="21" t="n">
        <v>0</v>
      </c>
      <c r="C90" s="21" t="n">
        <v>0</v>
      </c>
      <c r="D90" s="21" t="n">
        <v>0</v>
      </c>
      <c r="E90" s="21" t="n">
        <v>0</v>
      </c>
      <c r="F90" s="21" t="n">
        <v>0</v>
      </c>
      <c r="G90" s="21" t="n">
        <v>0</v>
      </c>
      <c r="H90" s="21" t="n">
        <v>0</v>
      </c>
      <c r="I90" s="21" t="n">
        <v>0</v>
      </c>
      <c r="J90" s="21" t="n">
        <v>0</v>
      </c>
      <c r="K90" s="21" t="n">
        <v>0</v>
      </c>
      <c r="L90" s="21" t="n">
        <v>0</v>
      </c>
      <c r="M90" s="21" t="n">
        <v>0</v>
      </c>
      <c r="N90" s="21" t="n">
        <v>0</v>
      </c>
      <c r="O90" s="21" t="n">
        <v>0</v>
      </c>
      <c r="P90" s="21" t="n">
        <v>0</v>
      </c>
      <c r="Q90" s="21" t="n">
        <v>0</v>
      </c>
      <c r="R90" s="21" t="n">
        <v>0</v>
      </c>
      <c r="S90" s="21" t="n">
        <v>0</v>
      </c>
      <c r="T90" s="21" t="n">
        <v>0</v>
      </c>
      <c r="U90" s="21" t="n">
        <v>0</v>
      </c>
      <c r="V90" s="21" t="n">
        <v>0</v>
      </c>
      <c r="W90" s="21" t="n">
        <v>0</v>
      </c>
      <c r="X90" s="21" t="n">
        <v>0</v>
      </c>
      <c r="Y90" s="21" t="n">
        <v>3</v>
      </c>
      <c r="Z90" s="21" t="n">
        <v>0</v>
      </c>
      <c r="AA90" s="21" t="n">
        <v>2</v>
      </c>
      <c r="AB90" s="21" t="n">
        <v>0</v>
      </c>
      <c r="AC90" s="21" t="n">
        <v>0</v>
      </c>
      <c r="AD90" s="21" t="n">
        <v>0</v>
      </c>
      <c r="AE90" s="21" t="n">
        <v>0</v>
      </c>
      <c r="AF90" s="21" t="n">
        <v>4</v>
      </c>
      <c r="AG90" s="21" t="n">
        <v>0</v>
      </c>
      <c r="AH90" s="21" t="n">
        <v>0</v>
      </c>
      <c r="AI90" s="21" t="n">
        <v>0</v>
      </c>
      <c r="AJ90" s="21" t="n">
        <v>2</v>
      </c>
      <c r="AK90" s="21" t="n">
        <v>0</v>
      </c>
      <c r="AL90" s="21" t="n">
        <v>2</v>
      </c>
      <c r="AM90" s="21" t="n">
        <v>0</v>
      </c>
      <c r="AN90" s="21" t="n">
        <v>0</v>
      </c>
      <c r="AO90" s="21" t="n">
        <v>1</v>
      </c>
      <c r="AP90" s="21" t="n">
        <v>0</v>
      </c>
      <c r="AQ90" s="21" t="n">
        <v>0</v>
      </c>
      <c r="AR90" s="21" t="n">
        <v>2</v>
      </c>
      <c r="AS90" s="21" t="n">
        <v>1</v>
      </c>
      <c r="AT90" s="21" t="n">
        <v>0</v>
      </c>
      <c r="AU90" s="21" t="n">
        <v>0</v>
      </c>
      <c r="AV90" s="21" t="n">
        <v>4</v>
      </c>
      <c r="AW90" s="21" t="n">
        <v>0</v>
      </c>
      <c r="AX90" s="21" t="n">
        <v>0</v>
      </c>
      <c r="AY90" s="21" t="n">
        <v>0</v>
      </c>
      <c r="AZ90" s="21" t="n">
        <v>0</v>
      </c>
      <c r="BA90" s="21" t="n">
        <v>0</v>
      </c>
      <c r="BB90" s="21" t="n">
        <v>0</v>
      </c>
      <c r="BC90" s="21" t="n">
        <v>0</v>
      </c>
      <c r="BD90" s="21" t="n">
        <v>0</v>
      </c>
      <c r="BE90" s="21" t="n">
        <v>2</v>
      </c>
      <c r="BF90" s="21" t="n">
        <v>0</v>
      </c>
      <c r="BG90" s="21" t="n">
        <v>0</v>
      </c>
      <c r="BH90" s="21" t="n">
        <v>0</v>
      </c>
      <c r="BI90" s="21" t="n">
        <v>4</v>
      </c>
      <c r="BJ90" s="21" t="n">
        <v>0</v>
      </c>
      <c r="BK90" s="21" t="n">
        <v>0</v>
      </c>
      <c r="BL90" s="21" t="n">
        <v>0</v>
      </c>
      <c r="BM90" s="21" t="n">
        <v>2</v>
      </c>
      <c r="BN90" s="21" t="n">
        <v>0</v>
      </c>
      <c r="BO90" s="21" t="n">
        <v>0</v>
      </c>
      <c r="BP90" s="21" t="n">
        <v>2</v>
      </c>
      <c r="BQ90" s="21" t="n">
        <v>4</v>
      </c>
      <c r="BR90" s="21" t="n">
        <v>4</v>
      </c>
      <c r="BS90" s="21" t="n">
        <v>0</v>
      </c>
      <c r="BT90" s="21" t="n">
        <v>2</v>
      </c>
      <c r="BU90" s="21" t="n">
        <v>4</v>
      </c>
      <c r="BV90" s="21" t="n">
        <v>0</v>
      </c>
      <c r="BW90" s="21" t="n">
        <v>0</v>
      </c>
      <c r="BX90" s="21" t="n">
        <v>0</v>
      </c>
      <c r="BY90" s="21" t="n">
        <v>0</v>
      </c>
      <c r="BZ90" s="21" t="n">
        <v>0</v>
      </c>
      <c r="CA90" s="21" t="n">
        <v>0</v>
      </c>
      <c r="CB90" s="21" t="n">
        <v>0</v>
      </c>
      <c r="CC90" s="21" t="n">
        <v>0</v>
      </c>
      <c r="CD90" s="21" t="n">
        <v>0</v>
      </c>
      <c r="CE90" s="21" t="n">
        <v>0</v>
      </c>
      <c r="CF90" s="21" t="n">
        <v>0</v>
      </c>
      <c r="CG90" s="21" t="n">
        <v>0</v>
      </c>
      <c r="CH90" s="21" t="n">
        <v>0</v>
      </c>
      <c r="CI90" s="21" t="n">
        <v>0</v>
      </c>
      <c r="CJ90" s="21" t="n">
        <v>0</v>
      </c>
      <c r="CK90" s="21" t="n">
        <v>0</v>
      </c>
      <c r="CL90" s="21" t="n">
        <v>0</v>
      </c>
      <c r="CM90" s="21" t="n">
        <v>0</v>
      </c>
      <c r="CN90" s="21" t="n">
        <v>0</v>
      </c>
      <c r="CO90" s="21" t="n">
        <v>0</v>
      </c>
      <c r="CP90" s="21" t="n">
        <v>0</v>
      </c>
      <c r="CQ90" s="21" t="n">
        <v>0</v>
      </c>
      <c r="CR90" s="21" t="n">
        <v>0</v>
      </c>
      <c r="CS90" s="21" t="n">
        <v>0</v>
      </c>
      <c r="CT90" s="21" t="n">
        <v>0</v>
      </c>
      <c r="CU90" s="21" t="n">
        <v>0</v>
      </c>
      <c r="CV90" s="21" t="n">
        <v>0</v>
      </c>
      <c r="CW90" s="21" t="n">
        <v>0</v>
      </c>
      <c r="CX90" s="21" t="n">
        <v>0</v>
      </c>
      <c r="CY90" s="21" t="n">
        <v>0</v>
      </c>
      <c r="CZ90" s="21" t="n">
        <v>0</v>
      </c>
      <c r="DA90" s="21" t="n">
        <v>0</v>
      </c>
    </row>
    <row r="91">
      <c r="A91" t="inlineStr">
        <is>
          <t>TPP-1466</t>
        </is>
      </c>
      <c r="B91" s="21" t="n">
        <v>0</v>
      </c>
      <c r="C91" s="21" t="n">
        <v>0</v>
      </c>
      <c r="D91" s="21" t="n">
        <v>0</v>
      </c>
      <c r="E91" s="21" t="n">
        <v>0</v>
      </c>
      <c r="F91" s="21" t="n">
        <v>0</v>
      </c>
      <c r="G91" s="21" t="n">
        <v>0</v>
      </c>
      <c r="H91" s="21" t="n">
        <v>0</v>
      </c>
      <c r="I91" s="21" t="n">
        <v>0</v>
      </c>
      <c r="J91" s="21" t="n">
        <v>0</v>
      </c>
      <c r="K91" s="21" t="n">
        <v>0</v>
      </c>
      <c r="L91" s="21" t="n">
        <v>0</v>
      </c>
      <c r="M91" s="21" t="n">
        <v>0</v>
      </c>
      <c r="N91" s="21" t="n">
        <v>0</v>
      </c>
      <c r="O91" s="21" t="n">
        <v>0</v>
      </c>
      <c r="P91" s="21" t="n">
        <v>0</v>
      </c>
      <c r="Q91" s="21" t="n">
        <v>0</v>
      </c>
      <c r="R91" s="21" t="n">
        <v>0</v>
      </c>
      <c r="S91" s="21" t="n">
        <v>0</v>
      </c>
      <c r="T91" s="21" t="n">
        <v>0</v>
      </c>
      <c r="U91" s="21" t="n">
        <v>0</v>
      </c>
      <c r="V91" s="21" t="n">
        <v>0</v>
      </c>
      <c r="W91" s="21" t="n">
        <v>0</v>
      </c>
      <c r="X91" s="21" t="n">
        <v>0</v>
      </c>
      <c r="Y91" s="21" t="n">
        <v>0</v>
      </c>
      <c r="Z91" s="21" t="n">
        <v>0</v>
      </c>
      <c r="AA91" s="21" t="n">
        <v>0</v>
      </c>
      <c r="AB91" s="21" t="n">
        <v>0</v>
      </c>
      <c r="AC91" s="21" t="n">
        <v>0</v>
      </c>
      <c r="AD91" s="21" t="n">
        <v>0</v>
      </c>
      <c r="AE91" s="21" t="n">
        <v>0</v>
      </c>
      <c r="AF91" s="21" t="n">
        <v>0</v>
      </c>
      <c r="AG91" s="21" t="n">
        <v>0</v>
      </c>
      <c r="AH91" s="21" t="n">
        <v>0</v>
      </c>
      <c r="AI91" s="21" t="n">
        <v>0</v>
      </c>
      <c r="AJ91" s="21" t="n">
        <v>0</v>
      </c>
      <c r="AK91" s="21" t="n">
        <v>0</v>
      </c>
      <c r="AL91" s="21" t="n">
        <v>0</v>
      </c>
      <c r="AM91" s="21" t="n">
        <v>0</v>
      </c>
      <c r="AN91" s="21" t="n">
        <v>0</v>
      </c>
      <c r="AO91" s="21" t="n">
        <v>0</v>
      </c>
      <c r="AP91" s="21" t="n">
        <v>0</v>
      </c>
      <c r="AQ91" s="21" t="n">
        <v>0</v>
      </c>
      <c r="AR91" s="21" t="n">
        <v>0</v>
      </c>
      <c r="AS91" s="21" t="n">
        <v>0</v>
      </c>
      <c r="AT91" s="21" t="n">
        <v>0</v>
      </c>
      <c r="AU91" s="21" t="n">
        <v>0</v>
      </c>
      <c r="AV91" s="21" t="n">
        <v>0</v>
      </c>
      <c r="AW91" s="21" t="n">
        <v>0</v>
      </c>
      <c r="AX91" s="21" t="n">
        <v>0</v>
      </c>
      <c r="AY91" s="21" t="n">
        <v>0</v>
      </c>
      <c r="AZ91" s="21" t="n">
        <v>0</v>
      </c>
      <c r="BA91" s="21" t="n">
        <v>0</v>
      </c>
      <c r="BB91" s="21" t="n">
        <v>0</v>
      </c>
      <c r="BC91" s="21" t="n">
        <v>0</v>
      </c>
      <c r="BD91" s="21" t="n">
        <v>0</v>
      </c>
      <c r="BE91" s="21" t="n">
        <v>0</v>
      </c>
      <c r="BF91" s="21" t="n">
        <v>0</v>
      </c>
      <c r="BG91" s="21" t="n">
        <v>0</v>
      </c>
      <c r="BH91" s="21" t="n">
        <v>0</v>
      </c>
      <c r="BI91" s="21" t="n">
        <v>0</v>
      </c>
      <c r="BJ91" s="21" t="n">
        <v>0</v>
      </c>
      <c r="BK91" s="21" t="n">
        <v>0</v>
      </c>
      <c r="BL91" s="21" t="n">
        <v>0</v>
      </c>
      <c r="BM91" s="21" t="n">
        <v>0</v>
      </c>
      <c r="BN91" s="21" t="n">
        <v>0</v>
      </c>
      <c r="BO91" s="21" t="n">
        <v>0</v>
      </c>
      <c r="BP91" s="21" t="n">
        <v>0</v>
      </c>
      <c r="BQ91" s="21" t="n">
        <v>0</v>
      </c>
      <c r="BR91" s="21" t="n">
        <v>0</v>
      </c>
      <c r="BS91" s="21" t="n">
        <v>0</v>
      </c>
      <c r="BT91" s="21" t="n">
        <v>0</v>
      </c>
      <c r="BU91" s="21" t="n">
        <v>0</v>
      </c>
      <c r="BV91" s="21" t="n">
        <v>0</v>
      </c>
      <c r="BW91" s="21" t="n">
        <v>0</v>
      </c>
      <c r="BX91" s="21" t="n">
        <v>0</v>
      </c>
      <c r="BY91" s="21" t="n">
        <v>0</v>
      </c>
      <c r="BZ91" s="21" t="n">
        <v>0</v>
      </c>
      <c r="CA91" s="21" t="n">
        <v>0</v>
      </c>
      <c r="CB91" s="21" t="n">
        <v>0</v>
      </c>
      <c r="CC91" s="21" t="n">
        <v>0</v>
      </c>
      <c r="CD91" s="21" t="n">
        <v>0</v>
      </c>
      <c r="CE91" s="21" t="n">
        <v>0</v>
      </c>
      <c r="CF91" s="21" t="n">
        <v>0</v>
      </c>
      <c r="CG91" s="21" t="n">
        <v>0</v>
      </c>
      <c r="CH91" s="21" t="n">
        <v>0</v>
      </c>
      <c r="CI91" s="21" t="n">
        <v>0</v>
      </c>
      <c r="CJ91" s="21" t="n">
        <v>0</v>
      </c>
      <c r="CK91" s="21" t="n">
        <v>0</v>
      </c>
      <c r="CL91" s="21" t="n">
        <v>0</v>
      </c>
      <c r="CM91" s="21" t="n">
        <v>0</v>
      </c>
      <c r="CN91" s="21" t="n">
        <v>0</v>
      </c>
      <c r="CO91" s="21" t="n">
        <v>0</v>
      </c>
      <c r="CP91" s="21" t="n">
        <v>0</v>
      </c>
      <c r="CQ91" s="21" t="n">
        <v>0</v>
      </c>
      <c r="CR91" s="21" t="n">
        <v>0</v>
      </c>
      <c r="CS91" s="21" t="n">
        <v>0</v>
      </c>
      <c r="CT91" s="21" t="n">
        <v>0</v>
      </c>
      <c r="CU91" s="21" t="n">
        <v>0</v>
      </c>
      <c r="CV91" s="21" t="n">
        <v>0</v>
      </c>
      <c r="CW91" s="21" t="n">
        <v>0</v>
      </c>
      <c r="CX91" s="21" t="n">
        <v>0</v>
      </c>
      <c r="CY91" s="21" t="n">
        <v>0</v>
      </c>
      <c r="CZ91" s="21" t="n">
        <v>0</v>
      </c>
      <c r="DA91" s="21" t="n">
        <v>0</v>
      </c>
    </row>
    <row r="92">
      <c r="A92" t="inlineStr">
        <is>
          <t>TPP-2245</t>
        </is>
      </c>
      <c r="B92" s="21" t="n">
        <v>0</v>
      </c>
      <c r="C92" s="21" t="n">
        <v>0</v>
      </c>
      <c r="D92" s="21" t="n">
        <v>0</v>
      </c>
      <c r="E92" s="21" t="n">
        <v>0</v>
      </c>
      <c r="F92" s="21" t="n">
        <v>0</v>
      </c>
      <c r="G92" s="21" t="n">
        <v>0</v>
      </c>
      <c r="H92" s="21" t="n">
        <v>0</v>
      </c>
      <c r="I92" s="21" t="n">
        <v>0</v>
      </c>
      <c r="J92" s="21" t="n">
        <v>0</v>
      </c>
      <c r="K92" s="21" t="n">
        <v>0</v>
      </c>
      <c r="L92" s="21" t="n">
        <v>0</v>
      </c>
      <c r="M92" s="21" t="n">
        <v>0</v>
      </c>
      <c r="N92" s="21" t="n">
        <v>0</v>
      </c>
      <c r="O92" s="21" t="n">
        <v>0</v>
      </c>
      <c r="P92" s="21" t="n">
        <v>0</v>
      </c>
      <c r="Q92" s="21" t="n">
        <v>0</v>
      </c>
      <c r="R92" s="21" t="n">
        <v>0</v>
      </c>
      <c r="S92" s="21" t="n">
        <v>0</v>
      </c>
      <c r="T92" s="21" t="n">
        <v>0</v>
      </c>
      <c r="U92" s="21" t="n">
        <v>0</v>
      </c>
      <c r="V92" s="21" t="n">
        <v>0</v>
      </c>
      <c r="W92" s="21" t="n">
        <v>0</v>
      </c>
      <c r="X92" s="21" t="n">
        <v>0</v>
      </c>
      <c r="Y92" s="21" t="n">
        <v>0</v>
      </c>
      <c r="Z92" s="21" t="n">
        <v>0</v>
      </c>
      <c r="AA92" s="21" t="n">
        <v>0</v>
      </c>
      <c r="AB92" s="21" t="n">
        <v>0</v>
      </c>
      <c r="AC92" s="21" t="n">
        <v>0</v>
      </c>
      <c r="AD92" s="21" t="n">
        <v>0</v>
      </c>
      <c r="AE92" s="21" t="n">
        <v>0</v>
      </c>
      <c r="AF92" s="21" t="n">
        <v>0</v>
      </c>
      <c r="AG92" s="21" t="n">
        <v>0</v>
      </c>
      <c r="AH92" s="21" t="n">
        <v>0</v>
      </c>
      <c r="AI92" s="21" t="n">
        <v>0</v>
      </c>
      <c r="AJ92" s="21" t="n">
        <v>0</v>
      </c>
      <c r="AK92" s="21" t="n">
        <v>0</v>
      </c>
      <c r="AL92" s="21" t="n">
        <v>0</v>
      </c>
      <c r="AM92" s="21" t="n">
        <v>0</v>
      </c>
      <c r="AN92" s="21" t="n">
        <v>0</v>
      </c>
      <c r="AO92" s="21" t="n">
        <v>0</v>
      </c>
      <c r="AP92" s="21" t="n">
        <v>0</v>
      </c>
      <c r="AQ92" s="21" t="n">
        <v>0</v>
      </c>
      <c r="AR92" s="21" t="n">
        <v>0</v>
      </c>
      <c r="AS92" s="21" t="n">
        <v>0</v>
      </c>
      <c r="AT92" s="21" t="n">
        <v>0</v>
      </c>
      <c r="AU92" s="21" t="n">
        <v>0</v>
      </c>
      <c r="AV92" s="21" t="n">
        <v>0</v>
      </c>
      <c r="AW92" s="21" t="n">
        <v>0</v>
      </c>
      <c r="AX92" s="21" t="n">
        <v>0</v>
      </c>
      <c r="AY92" s="21" t="n">
        <v>0</v>
      </c>
      <c r="AZ92" s="21" t="n">
        <v>0</v>
      </c>
      <c r="BA92" s="21" t="n">
        <v>0</v>
      </c>
      <c r="BB92" s="21" t="n">
        <v>0</v>
      </c>
      <c r="BC92" s="21" t="n">
        <v>0</v>
      </c>
      <c r="BD92" s="21" t="n">
        <v>0</v>
      </c>
      <c r="BE92" s="21" t="n">
        <v>0</v>
      </c>
      <c r="BF92" s="21" t="n">
        <v>0</v>
      </c>
      <c r="BG92" s="21" t="n">
        <v>0</v>
      </c>
      <c r="BH92" s="21" t="n">
        <v>0</v>
      </c>
      <c r="BI92" s="21" t="n">
        <v>0</v>
      </c>
      <c r="BJ92" s="21" t="n">
        <v>0</v>
      </c>
      <c r="BK92" s="21" t="n">
        <v>0</v>
      </c>
      <c r="BL92" s="21" t="n">
        <v>0</v>
      </c>
      <c r="BM92" s="21" t="n">
        <v>0</v>
      </c>
      <c r="BN92" s="21" t="n">
        <v>0</v>
      </c>
      <c r="BO92" s="21" t="n">
        <v>0</v>
      </c>
      <c r="BP92" s="21" t="n">
        <v>0</v>
      </c>
      <c r="BQ92" s="21" t="n">
        <v>0</v>
      </c>
      <c r="BR92" s="21" t="n">
        <v>0</v>
      </c>
      <c r="BS92" s="21" t="n">
        <v>0</v>
      </c>
      <c r="BT92" s="21" t="n">
        <v>0</v>
      </c>
      <c r="BU92" s="21" t="n">
        <v>0</v>
      </c>
      <c r="BV92" s="21" t="n">
        <v>0</v>
      </c>
      <c r="BW92" s="21" t="n">
        <v>0</v>
      </c>
      <c r="BX92" s="21" t="n">
        <v>0</v>
      </c>
      <c r="BY92" s="21" t="n">
        <v>0</v>
      </c>
      <c r="BZ92" s="21" t="n">
        <v>0</v>
      </c>
      <c r="CA92" s="21" t="n">
        <v>0</v>
      </c>
      <c r="CB92" s="21" t="n">
        <v>0</v>
      </c>
      <c r="CC92" s="21" t="n">
        <v>0</v>
      </c>
      <c r="CD92" s="21" t="n">
        <v>0</v>
      </c>
      <c r="CE92" s="21" t="n">
        <v>0</v>
      </c>
      <c r="CF92" s="21" t="n">
        <v>0</v>
      </c>
      <c r="CG92" s="21" t="n">
        <v>0</v>
      </c>
      <c r="CH92" s="21" t="n">
        <v>0</v>
      </c>
      <c r="CI92" s="21" t="n">
        <v>0</v>
      </c>
      <c r="CJ92" s="21" t="n">
        <v>0</v>
      </c>
      <c r="CK92" s="21" t="n">
        <v>0</v>
      </c>
      <c r="CL92" s="21" t="n">
        <v>0</v>
      </c>
      <c r="CM92" s="21" t="n">
        <v>0</v>
      </c>
      <c r="CN92" s="21" t="n">
        <v>0</v>
      </c>
      <c r="CO92" s="21" t="n">
        <v>0</v>
      </c>
      <c r="CP92" s="21" t="n">
        <v>0</v>
      </c>
      <c r="CQ92" s="21" t="n">
        <v>0</v>
      </c>
      <c r="CR92" s="21" t="n">
        <v>0</v>
      </c>
      <c r="CS92" s="21" t="n">
        <v>0</v>
      </c>
      <c r="CT92" s="21" t="n">
        <v>0</v>
      </c>
      <c r="CU92" s="21" t="n">
        <v>0</v>
      </c>
      <c r="CV92" s="21" t="n">
        <v>0</v>
      </c>
      <c r="CW92" s="21" t="n">
        <v>0</v>
      </c>
      <c r="CX92" s="21" t="n">
        <v>0</v>
      </c>
      <c r="CY92" s="21" t="n">
        <v>0</v>
      </c>
      <c r="CZ92" s="21" t="n">
        <v>0</v>
      </c>
      <c r="DA92" s="21" t="n">
        <v>0</v>
      </c>
    </row>
    <row r="93">
      <c r="A93" t="inlineStr">
        <is>
          <t>TPP-533(98%)</t>
        </is>
      </c>
      <c r="B93" s="21" t="n">
        <v>0</v>
      </c>
      <c r="C93" s="21" t="n">
        <v>0</v>
      </c>
      <c r="D93" s="21" t="n">
        <v>0</v>
      </c>
      <c r="E93" s="21" t="n">
        <v>0</v>
      </c>
      <c r="F93" s="21" t="n">
        <v>0</v>
      </c>
      <c r="G93" s="21" t="n">
        <v>0</v>
      </c>
      <c r="H93" s="21" t="n">
        <v>0</v>
      </c>
      <c r="I93" s="21" t="n">
        <v>0</v>
      </c>
      <c r="J93" s="21" t="n">
        <v>0</v>
      </c>
      <c r="K93" s="21" t="n">
        <v>0</v>
      </c>
      <c r="L93" s="21" t="n">
        <v>0</v>
      </c>
      <c r="M93" s="21" t="n">
        <v>0</v>
      </c>
      <c r="N93" s="21" t="n">
        <v>0</v>
      </c>
      <c r="O93" s="21" t="n">
        <v>0</v>
      </c>
      <c r="P93" s="21" t="n">
        <v>0</v>
      </c>
      <c r="Q93" s="21" t="n">
        <v>0</v>
      </c>
      <c r="R93" s="21" t="n">
        <v>0</v>
      </c>
      <c r="S93" s="21" t="n">
        <v>0</v>
      </c>
      <c r="T93" s="21" t="n">
        <v>0</v>
      </c>
      <c r="U93" s="21" t="n">
        <v>0</v>
      </c>
      <c r="V93" s="21" t="n">
        <v>0</v>
      </c>
      <c r="W93" s="21" t="n">
        <v>0</v>
      </c>
      <c r="X93" s="21" t="n">
        <v>0</v>
      </c>
      <c r="Y93" s="21" t="n">
        <v>0</v>
      </c>
      <c r="Z93" s="21" t="n">
        <v>0</v>
      </c>
      <c r="AA93" s="21" t="n">
        <v>0</v>
      </c>
      <c r="AB93" s="21" t="n">
        <v>0</v>
      </c>
      <c r="AC93" s="21" t="n">
        <v>0</v>
      </c>
      <c r="AD93" s="21" t="n">
        <v>0</v>
      </c>
      <c r="AE93" s="21" t="n">
        <v>0</v>
      </c>
      <c r="AF93" s="21" t="n">
        <v>0</v>
      </c>
      <c r="AG93" s="21" t="n">
        <v>0</v>
      </c>
      <c r="AH93" s="21" t="n">
        <v>0</v>
      </c>
      <c r="AI93" s="21" t="n">
        <v>0</v>
      </c>
      <c r="AJ93" s="21" t="n">
        <v>0</v>
      </c>
      <c r="AK93" s="21" t="n">
        <v>0</v>
      </c>
      <c r="AL93" s="21" t="n">
        <v>0</v>
      </c>
      <c r="AM93" s="21" t="n">
        <v>0</v>
      </c>
      <c r="AN93" s="21" t="n">
        <v>0</v>
      </c>
      <c r="AO93" s="21" t="n">
        <v>0</v>
      </c>
      <c r="AP93" s="21" t="n">
        <v>0</v>
      </c>
      <c r="AQ93" s="21" t="n">
        <v>0</v>
      </c>
      <c r="AR93" s="21" t="n">
        <v>0</v>
      </c>
      <c r="AS93" s="21" t="n">
        <v>0</v>
      </c>
      <c r="AT93" s="21" t="n">
        <v>0</v>
      </c>
      <c r="AU93" s="21" t="n">
        <v>0</v>
      </c>
      <c r="AV93" s="21" t="n">
        <v>0</v>
      </c>
      <c r="AW93" s="21" t="n">
        <v>0</v>
      </c>
      <c r="AX93" s="21" t="n">
        <v>0</v>
      </c>
      <c r="AY93" s="21" t="n">
        <v>0</v>
      </c>
      <c r="AZ93" s="21" t="n">
        <v>0</v>
      </c>
      <c r="BA93" s="21" t="n">
        <v>0</v>
      </c>
      <c r="BB93" s="21" t="n">
        <v>0</v>
      </c>
      <c r="BC93" s="21" t="n">
        <v>0</v>
      </c>
      <c r="BD93" s="21" t="n">
        <v>0</v>
      </c>
      <c r="BE93" s="21" t="n">
        <v>0</v>
      </c>
      <c r="BF93" s="21" t="n">
        <v>0</v>
      </c>
      <c r="BG93" s="21" t="n">
        <v>0</v>
      </c>
      <c r="BH93" s="21" t="n">
        <v>0</v>
      </c>
      <c r="BI93" s="21" t="n">
        <v>0</v>
      </c>
      <c r="BJ93" s="21" t="n">
        <v>0</v>
      </c>
      <c r="BK93" s="21" t="n">
        <v>0</v>
      </c>
      <c r="BL93" s="21" t="n">
        <v>0</v>
      </c>
      <c r="BM93" s="21" t="n">
        <v>0</v>
      </c>
      <c r="BN93" s="21" t="n">
        <v>0</v>
      </c>
      <c r="BO93" s="21" t="n">
        <v>0</v>
      </c>
      <c r="BP93" s="21" t="n">
        <v>0</v>
      </c>
      <c r="BQ93" s="21" t="n">
        <v>0</v>
      </c>
      <c r="BR93" s="21" t="n">
        <v>0</v>
      </c>
      <c r="BS93" s="21" t="n">
        <v>0</v>
      </c>
      <c r="BT93" s="21" t="n">
        <v>0</v>
      </c>
      <c r="BU93" s="21" t="n">
        <v>0</v>
      </c>
      <c r="BV93" s="21" t="n">
        <v>0</v>
      </c>
      <c r="BW93" s="21" t="n">
        <v>0</v>
      </c>
      <c r="BX93" s="21" t="n">
        <v>0</v>
      </c>
      <c r="BY93" s="21" t="n">
        <v>0</v>
      </c>
      <c r="BZ93" s="21" t="n">
        <v>0</v>
      </c>
      <c r="CA93" s="21" t="n">
        <v>0</v>
      </c>
      <c r="CB93" s="21" t="n">
        <v>0</v>
      </c>
      <c r="CC93" s="21" t="n">
        <v>0</v>
      </c>
      <c r="CD93" s="21" t="n">
        <v>0</v>
      </c>
      <c r="CE93" s="21" t="n">
        <v>0</v>
      </c>
      <c r="CF93" s="21" t="n">
        <v>0</v>
      </c>
      <c r="CG93" s="21" t="n">
        <v>0</v>
      </c>
      <c r="CH93" s="21" t="n">
        <v>0</v>
      </c>
      <c r="CI93" s="21" t="n">
        <v>0</v>
      </c>
      <c r="CJ93" s="21" t="n">
        <v>0</v>
      </c>
      <c r="CK93" s="21" t="n">
        <v>0</v>
      </c>
      <c r="CL93" s="21" t="n">
        <v>0</v>
      </c>
      <c r="CM93" s="21" t="n">
        <v>0</v>
      </c>
      <c r="CN93" s="21" t="n">
        <v>0</v>
      </c>
      <c r="CO93" s="21" t="n">
        <v>0</v>
      </c>
      <c r="CP93" s="21" t="n">
        <v>0</v>
      </c>
      <c r="CQ93" s="21" t="n">
        <v>0</v>
      </c>
      <c r="CR93" s="21" t="n">
        <v>0</v>
      </c>
      <c r="CS93" s="21" t="n">
        <v>0</v>
      </c>
      <c r="CT93" s="21" t="n">
        <v>0</v>
      </c>
      <c r="CU93" s="21" t="n">
        <v>0</v>
      </c>
      <c r="CV93" s="21" t="n">
        <v>0</v>
      </c>
      <c r="CW93" s="21" t="n">
        <v>0</v>
      </c>
      <c r="CX93" s="21" t="n">
        <v>0</v>
      </c>
      <c r="CY93" s="21" t="n">
        <v>0</v>
      </c>
      <c r="CZ93" s="21" t="n">
        <v>0</v>
      </c>
      <c r="DA93" s="21" t="n">
        <v>0</v>
      </c>
    </row>
    <row r="94">
      <c r="A94" t="inlineStr">
        <is>
          <t>TPP-533(A)</t>
        </is>
      </c>
      <c r="B94" s="21" t="n">
        <v>0</v>
      </c>
      <c r="C94" s="21" t="n">
        <v>0</v>
      </c>
      <c r="D94" s="21" t="n">
        <v>0</v>
      </c>
      <c r="E94" s="21" t="n">
        <v>0</v>
      </c>
      <c r="F94" s="21" t="n">
        <v>0</v>
      </c>
      <c r="G94" s="21" t="n">
        <v>0</v>
      </c>
      <c r="H94" s="21" t="n">
        <v>0</v>
      </c>
      <c r="I94" s="21" t="n">
        <v>0</v>
      </c>
      <c r="J94" s="21" t="n">
        <v>0</v>
      </c>
      <c r="K94" s="21" t="n">
        <v>0</v>
      </c>
      <c r="L94" s="21" t="n">
        <v>0</v>
      </c>
      <c r="M94" s="21" t="n">
        <v>0</v>
      </c>
      <c r="N94" s="21" t="n">
        <v>0</v>
      </c>
      <c r="O94" s="21" t="n">
        <v>0</v>
      </c>
      <c r="P94" s="21" t="n">
        <v>0</v>
      </c>
      <c r="Q94" s="21" t="n">
        <v>0</v>
      </c>
      <c r="R94" s="21" t="n">
        <v>0</v>
      </c>
      <c r="S94" s="21" t="n">
        <v>0</v>
      </c>
      <c r="T94" s="21" t="n">
        <v>0</v>
      </c>
      <c r="U94" s="21" t="n">
        <v>0</v>
      </c>
      <c r="V94" s="21" t="n">
        <v>0</v>
      </c>
      <c r="W94" s="21" t="n">
        <v>0</v>
      </c>
      <c r="X94" s="21" t="n">
        <v>0</v>
      </c>
      <c r="Y94" s="21" t="n">
        <v>0</v>
      </c>
      <c r="Z94" s="21" t="n">
        <v>0</v>
      </c>
      <c r="AA94" s="21" t="n">
        <v>0</v>
      </c>
      <c r="AB94" s="21" t="n">
        <v>0</v>
      </c>
      <c r="AC94" s="21" t="n">
        <v>0</v>
      </c>
      <c r="AD94" s="21" t="n">
        <v>0</v>
      </c>
      <c r="AE94" s="21" t="n">
        <v>0</v>
      </c>
      <c r="AF94" s="21" t="n">
        <v>0</v>
      </c>
      <c r="AG94" s="21" t="n">
        <v>0</v>
      </c>
      <c r="AH94" s="21" t="n">
        <v>0</v>
      </c>
      <c r="AI94" s="21" t="n">
        <v>0</v>
      </c>
      <c r="AJ94" s="21" t="n">
        <v>0</v>
      </c>
      <c r="AK94" s="21" t="n">
        <v>0</v>
      </c>
      <c r="AL94" s="21" t="n">
        <v>0</v>
      </c>
      <c r="AM94" s="21" t="n">
        <v>0</v>
      </c>
      <c r="AN94" s="21" t="n">
        <v>0</v>
      </c>
      <c r="AO94" s="21" t="n">
        <v>0</v>
      </c>
      <c r="AP94" s="21" t="n">
        <v>0</v>
      </c>
      <c r="AQ94" s="21" t="n">
        <v>0</v>
      </c>
      <c r="AR94" s="21" t="n">
        <v>0</v>
      </c>
      <c r="AS94" s="21" t="n">
        <v>0</v>
      </c>
      <c r="AT94" s="21" t="n">
        <v>0</v>
      </c>
      <c r="AU94" s="21" t="n">
        <v>0</v>
      </c>
      <c r="AV94" s="21" t="n">
        <v>0</v>
      </c>
      <c r="AW94" s="21" t="n">
        <v>0</v>
      </c>
      <c r="AX94" s="21" t="n">
        <v>0</v>
      </c>
      <c r="AY94" s="21" t="n">
        <v>0</v>
      </c>
      <c r="AZ94" s="21" t="n">
        <v>0</v>
      </c>
      <c r="BA94" s="21" t="n">
        <v>0</v>
      </c>
      <c r="BB94" s="21" t="n">
        <v>0</v>
      </c>
      <c r="BC94" s="21" t="n">
        <v>0</v>
      </c>
      <c r="BD94" s="21" t="n">
        <v>0</v>
      </c>
      <c r="BE94" s="21" t="n">
        <v>0</v>
      </c>
      <c r="BF94" s="21" t="n">
        <v>0</v>
      </c>
      <c r="BG94" s="21" t="n">
        <v>0</v>
      </c>
      <c r="BH94" s="21" t="n">
        <v>0</v>
      </c>
      <c r="BI94" s="21" t="n">
        <v>0</v>
      </c>
      <c r="BJ94" s="21" t="n">
        <v>0</v>
      </c>
      <c r="BK94" s="21" t="n">
        <v>0</v>
      </c>
      <c r="BL94" s="21" t="n">
        <v>0</v>
      </c>
      <c r="BM94" s="21" t="n">
        <v>0</v>
      </c>
      <c r="BN94" s="21" t="n">
        <v>0</v>
      </c>
      <c r="BO94" s="21" t="n">
        <v>0</v>
      </c>
      <c r="BP94" s="21" t="n">
        <v>0</v>
      </c>
      <c r="BQ94" s="21" t="n">
        <v>0</v>
      </c>
      <c r="BR94" s="21" t="n">
        <v>0</v>
      </c>
      <c r="BS94" s="21" t="n">
        <v>0</v>
      </c>
      <c r="BT94" s="21" t="n">
        <v>0</v>
      </c>
      <c r="BU94" s="21" t="n">
        <v>0</v>
      </c>
      <c r="BV94" s="21" t="n">
        <v>0</v>
      </c>
      <c r="BW94" s="21" t="n">
        <v>0</v>
      </c>
      <c r="BX94" s="21" t="n">
        <v>0</v>
      </c>
      <c r="BY94" s="21" t="n">
        <v>0</v>
      </c>
      <c r="BZ94" s="21" t="n">
        <v>0</v>
      </c>
      <c r="CA94" s="21" t="n">
        <v>0</v>
      </c>
      <c r="CB94" s="21" t="n">
        <v>0</v>
      </c>
      <c r="CC94" s="21" t="n">
        <v>0</v>
      </c>
      <c r="CD94" s="21" t="n">
        <v>0</v>
      </c>
      <c r="CE94" s="21" t="n">
        <v>0</v>
      </c>
      <c r="CF94" s="21" t="n">
        <v>0</v>
      </c>
      <c r="CG94" s="21" t="n">
        <v>0</v>
      </c>
      <c r="CH94" s="21" t="n">
        <v>0</v>
      </c>
      <c r="CI94" s="21" t="n">
        <v>0</v>
      </c>
      <c r="CJ94" s="21" t="n">
        <v>0</v>
      </c>
      <c r="CK94" s="21" t="n">
        <v>0</v>
      </c>
      <c r="CL94" s="21" t="n">
        <v>0</v>
      </c>
      <c r="CM94" s="21" t="n">
        <v>0</v>
      </c>
      <c r="CN94" s="21" t="n">
        <v>0</v>
      </c>
      <c r="CO94" s="21" t="n">
        <v>0</v>
      </c>
      <c r="CP94" s="21" t="n">
        <v>0</v>
      </c>
      <c r="CQ94" s="21" t="n">
        <v>0</v>
      </c>
      <c r="CR94" s="21" t="n">
        <v>0</v>
      </c>
      <c r="CS94" s="21" t="n">
        <v>0</v>
      </c>
      <c r="CT94" s="21" t="n">
        <v>0</v>
      </c>
      <c r="CU94" s="21" t="n">
        <v>0</v>
      </c>
      <c r="CV94" s="21" t="n">
        <v>0</v>
      </c>
      <c r="CW94" s="21" t="n">
        <v>0</v>
      </c>
      <c r="CX94" s="21" t="n">
        <v>0</v>
      </c>
      <c r="CY94" s="21" t="n">
        <v>0</v>
      </c>
      <c r="CZ94" s="21" t="n">
        <v>0</v>
      </c>
      <c r="DA94" s="21" t="n">
        <v>0</v>
      </c>
    </row>
    <row r="95">
      <c r="A95" t="inlineStr">
        <is>
          <t>TSP-077</t>
        </is>
      </c>
      <c r="B95" s="21" t="n">
        <v>0</v>
      </c>
      <c r="C95" s="21" t="n">
        <v>0</v>
      </c>
      <c r="D95" s="21" t="n">
        <v>0</v>
      </c>
      <c r="E95" s="21" t="n">
        <v>0</v>
      </c>
      <c r="F95" s="21" t="n">
        <v>0</v>
      </c>
      <c r="G95" s="21" t="n">
        <v>0</v>
      </c>
      <c r="H95" s="21" t="n">
        <v>0</v>
      </c>
      <c r="I95" s="21" t="n">
        <v>0</v>
      </c>
      <c r="J95" s="21" t="n">
        <v>0</v>
      </c>
      <c r="K95" s="21" t="n">
        <v>0</v>
      </c>
      <c r="L95" s="21" t="n">
        <v>0</v>
      </c>
      <c r="M95" s="21" t="n">
        <v>0</v>
      </c>
      <c r="N95" s="21" t="n">
        <v>0</v>
      </c>
      <c r="O95" s="21" t="n">
        <v>0</v>
      </c>
      <c r="P95" s="21" t="n">
        <v>0</v>
      </c>
      <c r="Q95" s="21" t="n">
        <v>0</v>
      </c>
      <c r="R95" s="21" t="n">
        <v>0</v>
      </c>
      <c r="S95" s="21" t="n">
        <v>0</v>
      </c>
      <c r="T95" s="21" t="n">
        <v>0</v>
      </c>
      <c r="U95" s="21" t="n">
        <v>0</v>
      </c>
      <c r="V95" s="21" t="n">
        <v>0</v>
      </c>
      <c r="W95" s="21" t="n">
        <v>0</v>
      </c>
      <c r="X95" s="21" t="n">
        <v>0</v>
      </c>
      <c r="Y95" s="21" t="n">
        <v>0</v>
      </c>
      <c r="Z95" s="21" t="n">
        <v>0</v>
      </c>
      <c r="AA95" s="21" t="n">
        <v>0</v>
      </c>
      <c r="AB95" s="21" t="n">
        <v>0</v>
      </c>
      <c r="AC95" s="21" t="n">
        <v>0</v>
      </c>
      <c r="AD95" s="21" t="n">
        <v>0</v>
      </c>
      <c r="AE95" s="21" t="n">
        <v>0</v>
      </c>
      <c r="AF95" s="21" t="n">
        <v>0</v>
      </c>
      <c r="AG95" s="21" t="n">
        <v>0</v>
      </c>
      <c r="AH95" s="21" t="n">
        <v>0</v>
      </c>
      <c r="AI95" s="21" t="n">
        <v>0</v>
      </c>
      <c r="AJ95" s="21" t="n">
        <v>0</v>
      </c>
      <c r="AK95" s="21" t="n">
        <v>0</v>
      </c>
      <c r="AL95" s="21" t="n">
        <v>0</v>
      </c>
      <c r="AM95" s="21" t="n">
        <v>0</v>
      </c>
      <c r="AN95" s="21" t="n">
        <v>0</v>
      </c>
      <c r="AO95" s="21" t="n">
        <v>0</v>
      </c>
      <c r="AP95" s="21" t="n">
        <v>0</v>
      </c>
      <c r="AQ95" s="21" t="n">
        <v>0</v>
      </c>
      <c r="AR95" s="21" t="n">
        <v>0</v>
      </c>
      <c r="AS95" s="21" t="n">
        <v>0</v>
      </c>
      <c r="AT95" s="21" t="n">
        <v>0</v>
      </c>
      <c r="AU95" s="21" t="n">
        <v>0</v>
      </c>
      <c r="AV95" s="21" t="n">
        <v>0</v>
      </c>
      <c r="AW95" s="21" t="n">
        <v>0</v>
      </c>
      <c r="AX95" s="21" t="n">
        <v>0</v>
      </c>
      <c r="AY95" s="21" t="n">
        <v>0</v>
      </c>
      <c r="AZ95" s="21" t="n">
        <v>0</v>
      </c>
      <c r="BA95" s="21" t="n">
        <v>0</v>
      </c>
      <c r="BB95" s="21" t="n">
        <v>0</v>
      </c>
      <c r="BC95" s="21" t="n">
        <v>0</v>
      </c>
      <c r="BD95" s="21" t="n">
        <v>0</v>
      </c>
      <c r="BE95" s="21" t="n">
        <v>0</v>
      </c>
      <c r="BF95" s="21" t="n">
        <v>0</v>
      </c>
      <c r="BG95" s="21" t="n">
        <v>0</v>
      </c>
      <c r="BH95" s="21" t="n">
        <v>0</v>
      </c>
      <c r="BI95" s="21" t="n">
        <v>0</v>
      </c>
      <c r="BJ95" s="21" t="n">
        <v>0</v>
      </c>
      <c r="BK95" s="21" t="n">
        <v>0</v>
      </c>
      <c r="BL95" s="21" t="n">
        <v>0</v>
      </c>
      <c r="BM95" s="21" t="n">
        <v>0</v>
      </c>
      <c r="BN95" s="21" t="n">
        <v>0</v>
      </c>
      <c r="BO95" s="21" t="n">
        <v>0</v>
      </c>
      <c r="BP95" s="21" t="n">
        <v>0</v>
      </c>
      <c r="BQ95" s="21" t="n">
        <v>0</v>
      </c>
      <c r="BR95" s="21" t="n">
        <v>0</v>
      </c>
      <c r="BS95" s="21" t="n">
        <v>0</v>
      </c>
      <c r="BT95" s="21" t="n">
        <v>0</v>
      </c>
      <c r="BU95" s="21" t="n">
        <v>0</v>
      </c>
      <c r="BV95" s="21" t="n">
        <v>0</v>
      </c>
      <c r="BW95" s="21" t="n">
        <v>0</v>
      </c>
      <c r="BX95" s="21" t="n">
        <v>0</v>
      </c>
      <c r="BY95" s="21" t="n">
        <v>0</v>
      </c>
      <c r="BZ95" s="21" t="n">
        <v>0</v>
      </c>
      <c r="CA95" s="21" t="n">
        <v>0</v>
      </c>
      <c r="CB95" s="21" t="n">
        <v>0</v>
      </c>
      <c r="CC95" s="21" t="n">
        <v>0</v>
      </c>
      <c r="CD95" s="21" t="n">
        <v>0</v>
      </c>
      <c r="CE95" s="21" t="n">
        <v>0</v>
      </c>
      <c r="CF95" s="21" t="n">
        <v>0</v>
      </c>
      <c r="CG95" s="21" t="n">
        <v>0</v>
      </c>
      <c r="CH95" s="21" t="n">
        <v>0</v>
      </c>
      <c r="CI95" s="21" t="n">
        <v>0</v>
      </c>
      <c r="CJ95" s="21" t="n">
        <v>0</v>
      </c>
      <c r="CK95" s="21" t="n">
        <v>0</v>
      </c>
      <c r="CL95" s="21" t="n">
        <v>0</v>
      </c>
      <c r="CM95" s="21" t="n">
        <v>0</v>
      </c>
      <c r="CN95" s="21" t="n">
        <v>0</v>
      </c>
      <c r="CO95" s="21" t="n">
        <v>0</v>
      </c>
      <c r="CP95" s="21" t="n">
        <v>0</v>
      </c>
      <c r="CQ95" s="21" t="n">
        <v>0</v>
      </c>
      <c r="CR95" s="21" t="n">
        <v>0</v>
      </c>
      <c r="CS95" s="21" t="n">
        <v>0</v>
      </c>
      <c r="CT95" s="21" t="n">
        <v>0</v>
      </c>
      <c r="CU95" s="21" t="n">
        <v>0</v>
      </c>
      <c r="CV95" s="21" t="n">
        <v>0</v>
      </c>
      <c r="CW95" s="21" t="n">
        <v>0</v>
      </c>
      <c r="CX95" s="21" t="n">
        <v>0</v>
      </c>
      <c r="CY95" s="21" t="n">
        <v>0</v>
      </c>
      <c r="CZ95" s="21" t="n">
        <v>0</v>
      </c>
      <c r="DA95" s="21" t="n">
        <v>0</v>
      </c>
    </row>
    <row r="96">
      <c r="A96" t="inlineStr">
        <is>
          <t>TSP-088</t>
        </is>
      </c>
      <c r="B96" s="21" t="n">
        <v>0</v>
      </c>
      <c r="C96" s="21" t="n">
        <v>0</v>
      </c>
      <c r="D96" s="21" t="n">
        <v>0</v>
      </c>
      <c r="E96" s="21" t="n">
        <v>0</v>
      </c>
      <c r="F96" s="21" t="n">
        <v>0</v>
      </c>
      <c r="G96" s="21" t="n">
        <v>0</v>
      </c>
      <c r="H96" s="21" t="n">
        <v>0</v>
      </c>
      <c r="I96" s="21" t="n">
        <v>0</v>
      </c>
      <c r="J96" s="21" t="n">
        <v>0</v>
      </c>
      <c r="K96" s="21" t="n">
        <v>0</v>
      </c>
      <c r="L96" s="21" t="n">
        <v>0</v>
      </c>
      <c r="M96" s="21" t="n">
        <v>0</v>
      </c>
      <c r="N96" s="21" t="n">
        <v>0</v>
      </c>
      <c r="O96" s="21" t="n">
        <v>0</v>
      </c>
      <c r="P96" s="21" t="n">
        <v>0</v>
      </c>
      <c r="Q96" s="21" t="n">
        <v>0</v>
      </c>
      <c r="R96" s="21" t="n">
        <v>0</v>
      </c>
      <c r="S96" s="21" t="n">
        <v>0</v>
      </c>
      <c r="T96" s="21" t="n">
        <v>0</v>
      </c>
      <c r="U96" s="21" t="n">
        <v>0</v>
      </c>
      <c r="V96" s="21" t="n">
        <v>0</v>
      </c>
      <c r="W96" s="21" t="n">
        <v>0</v>
      </c>
      <c r="X96" s="21" t="n">
        <v>0</v>
      </c>
      <c r="Y96" s="21" t="n">
        <v>0</v>
      </c>
      <c r="Z96" s="21" t="n">
        <v>0</v>
      </c>
      <c r="AA96" s="21" t="n">
        <v>0</v>
      </c>
      <c r="AB96" s="21" t="n">
        <v>0</v>
      </c>
      <c r="AC96" s="21" t="n">
        <v>0</v>
      </c>
      <c r="AD96" s="21" t="n">
        <v>0</v>
      </c>
      <c r="AE96" s="21" t="n">
        <v>0</v>
      </c>
      <c r="AF96" s="21" t="n">
        <v>0</v>
      </c>
      <c r="AG96" s="21" t="n">
        <v>0</v>
      </c>
      <c r="AH96" s="21" t="n">
        <v>0</v>
      </c>
      <c r="AI96" s="21" t="n">
        <v>0</v>
      </c>
      <c r="AJ96" s="21" t="n">
        <v>0</v>
      </c>
      <c r="AK96" s="21" t="n">
        <v>0</v>
      </c>
      <c r="AL96" s="21" t="n">
        <v>0</v>
      </c>
      <c r="AM96" s="21" t="n">
        <v>0</v>
      </c>
      <c r="AN96" s="21" t="n">
        <v>0</v>
      </c>
      <c r="AO96" s="21" t="n">
        <v>0</v>
      </c>
      <c r="AP96" s="21" t="n">
        <v>0</v>
      </c>
      <c r="AQ96" s="21" t="n">
        <v>0</v>
      </c>
      <c r="AR96" s="21" t="n">
        <v>0</v>
      </c>
      <c r="AS96" s="21" t="n">
        <v>0</v>
      </c>
      <c r="AT96" s="21" t="n">
        <v>0</v>
      </c>
      <c r="AU96" s="21" t="n">
        <v>0</v>
      </c>
      <c r="AV96" s="21" t="n">
        <v>0</v>
      </c>
      <c r="AW96" s="21" t="n">
        <v>0</v>
      </c>
      <c r="AX96" s="21" t="n">
        <v>0</v>
      </c>
      <c r="AY96" s="21" t="n">
        <v>0</v>
      </c>
      <c r="AZ96" s="21" t="n">
        <v>0</v>
      </c>
      <c r="BA96" s="21" t="n">
        <v>0</v>
      </c>
      <c r="BB96" s="21" t="n">
        <v>0</v>
      </c>
      <c r="BC96" s="21" t="n">
        <v>0</v>
      </c>
      <c r="BD96" s="21" t="n">
        <v>0</v>
      </c>
      <c r="BE96" s="21" t="n">
        <v>0</v>
      </c>
      <c r="BF96" s="21" t="n">
        <v>0</v>
      </c>
      <c r="BG96" s="21" t="n">
        <v>0</v>
      </c>
      <c r="BH96" s="21" t="n">
        <v>0</v>
      </c>
      <c r="BI96" s="21" t="n">
        <v>0</v>
      </c>
      <c r="BJ96" s="21" t="n">
        <v>0</v>
      </c>
      <c r="BK96" s="21" t="n">
        <v>0</v>
      </c>
      <c r="BL96" s="21" t="n">
        <v>0</v>
      </c>
      <c r="BM96" s="21" t="n">
        <v>0</v>
      </c>
      <c r="BN96" s="21" t="n">
        <v>0</v>
      </c>
      <c r="BO96" s="21" t="n">
        <v>0</v>
      </c>
      <c r="BP96" s="21" t="n">
        <v>0</v>
      </c>
      <c r="BQ96" s="21" t="n">
        <v>0</v>
      </c>
      <c r="BR96" s="21" t="n">
        <v>0</v>
      </c>
      <c r="BS96" s="21" t="n">
        <v>0</v>
      </c>
      <c r="BT96" s="21" t="n">
        <v>0</v>
      </c>
      <c r="BU96" s="21" t="n">
        <v>0</v>
      </c>
      <c r="BV96" s="21" t="n">
        <v>0</v>
      </c>
      <c r="BW96" s="21" t="n">
        <v>0</v>
      </c>
      <c r="BX96" s="21" t="n">
        <v>0</v>
      </c>
      <c r="BY96" s="21" t="n">
        <v>0</v>
      </c>
      <c r="BZ96" s="21" t="n">
        <v>0</v>
      </c>
      <c r="CA96" s="21" t="n">
        <v>0</v>
      </c>
      <c r="CB96" s="21" t="n">
        <v>0</v>
      </c>
      <c r="CC96" s="21" t="n">
        <v>0</v>
      </c>
      <c r="CD96" s="21" t="n">
        <v>0</v>
      </c>
      <c r="CE96" s="21" t="n">
        <v>0</v>
      </c>
      <c r="CF96" s="21" t="n">
        <v>0</v>
      </c>
      <c r="CG96" s="21" t="n">
        <v>0</v>
      </c>
      <c r="CH96" s="21" t="n">
        <v>0</v>
      </c>
      <c r="CI96" s="21" t="n">
        <v>0</v>
      </c>
      <c r="CJ96" s="21" t="n">
        <v>0</v>
      </c>
      <c r="CK96" s="21" t="n">
        <v>0</v>
      </c>
      <c r="CL96" s="21" t="n">
        <v>0</v>
      </c>
      <c r="CM96" s="21" t="n">
        <v>0</v>
      </c>
      <c r="CN96" s="21" t="n">
        <v>0</v>
      </c>
      <c r="CO96" s="21" t="n">
        <v>0</v>
      </c>
      <c r="CP96" s="21" t="n">
        <v>0</v>
      </c>
      <c r="CQ96" s="21" t="n">
        <v>0</v>
      </c>
      <c r="CR96" s="21" t="n">
        <v>0</v>
      </c>
      <c r="CS96" s="21" t="n">
        <v>0</v>
      </c>
      <c r="CT96" s="21" t="n">
        <v>0</v>
      </c>
      <c r="CU96" s="21" t="n">
        <v>0</v>
      </c>
      <c r="CV96" s="21" t="n">
        <v>0</v>
      </c>
      <c r="CW96" s="21" t="n">
        <v>0</v>
      </c>
      <c r="CX96" s="21" t="n">
        <v>0</v>
      </c>
      <c r="CY96" s="21" t="n">
        <v>0</v>
      </c>
      <c r="CZ96" s="21" t="n">
        <v>0</v>
      </c>
      <c r="DA96" s="21" t="n">
        <v>0</v>
      </c>
    </row>
    <row r="97">
      <c r="A97" t="inlineStr">
        <is>
          <t>TSP-089</t>
        </is>
      </c>
      <c r="B97" s="21" t="n">
        <v>0</v>
      </c>
      <c r="C97" s="21" t="n">
        <v>0</v>
      </c>
      <c r="D97" s="21" t="n">
        <v>0</v>
      </c>
      <c r="E97" s="21" t="n">
        <v>0</v>
      </c>
      <c r="F97" s="21" t="n">
        <v>0</v>
      </c>
      <c r="G97" s="21" t="n">
        <v>0</v>
      </c>
      <c r="H97" s="21" t="n">
        <v>0</v>
      </c>
      <c r="I97" s="21" t="n">
        <v>0</v>
      </c>
      <c r="J97" s="21" t="n">
        <v>0</v>
      </c>
      <c r="K97" s="21" t="n">
        <v>0</v>
      </c>
      <c r="L97" s="21" t="n">
        <v>0</v>
      </c>
      <c r="M97" s="21" t="n">
        <v>0</v>
      </c>
      <c r="N97" s="21" t="n">
        <v>0</v>
      </c>
      <c r="O97" s="21" t="n">
        <v>0</v>
      </c>
      <c r="P97" s="21" t="n">
        <v>0</v>
      </c>
      <c r="Q97" s="21" t="n">
        <v>0</v>
      </c>
      <c r="R97" s="21" t="n">
        <v>0</v>
      </c>
      <c r="S97" s="21" t="n">
        <v>0</v>
      </c>
      <c r="T97" s="21" t="n">
        <v>0</v>
      </c>
      <c r="U97" s="21" t="n">
        <v>0</v>
      </c>
      <c r="V97" s="21" t="n">
        <v>0</v>
      </c>
      <c r="W97" s="21" t="n">
        <v>0</v>
      </c>
      <c r="X97" s="21" t="n">
        <v>0</v>
      </c>
      <c r="Y97" s="21" t="n">
        <v>0</v>
      </c>
      <c r="Z97" s="21" t="n">
        <v>0</v>
      </c>
      <c r="AA97" s="21" t="n">
        <v>0</v>
      </c>
      <c r="AB97" s="21" t="n">
        <v>0</v>
      </c>
      <c r="AC97" s="21" t="n">
        <v>0</v>
      </c>
      <c r="AD97" s="21" t="n">
        <v>0</v>
      </c>
      <c r="AE97" s="21" t="n">
        <v>0</v>
      </c>
      <c r="AF97" s="21" t="n">
        <v>0</v>
      </c>
      <c r="AG97" s="21" t="n">
        <v>0</v>
      </c>
      <c r="AH97" s="21" t="n">
        <v>0</v>
      </c>
      <c r="AI97" s="21" t="n">
        <v>0</v>
      </c>
      <c r="AJ97" s="21" t="n">
        <v>0</v>
      </c>
      <c r="AK97" s="21" t="n">
        <v>0</v>
      </c>
      <c r="AL97" s="21" t="n">
        <v>0</v>
      </c>
      <c r="AM97" s="21" t="n">
        <v>0</v>
      </c>
      <c r="AN97" s="21" t="n">
        <v>0</v>
      </c>
      <c r="AO97" s="21" t="n">
        <v>0</v>
      </c>
      <c r="AP97" s="21" t="n">
        <v>0</v>
      </c>
      <c r="AQ97" s="21" t="n">
        <v>0</v>
      </c>
      <c r="AR97" s="21" t="n">
        <v>0</v>
      </c>
      <c r="AS97" s="21" t="n">
        <v>0</v>
      </c>
      <c r="AT97" s="21" t="n">
        <v>0</v>
      </c>
      <c r="AU97" s="21" t="n">
        <v>0</v>
      </c>
      <c r="AV97" s="21" t="n">
        <v>0</v>
      </c>
      <c r="AW97" s="21" t="n">
        <v>0</v>
      </c>
      <c r="AX97" s="21" t="n">
        <v>0</v>
      </c>
      <c r="AY97" s="21" t="n">
        <v>0</v>
      </c>
      <c r="AZ97" s="21" t="n">
        <v>0</v>
      </c>
      <c r="BA97" s="21" t="n">
        <v>0</v>
      </c>
      <c r="BB97" s="21" t="n">
        <v>0</v>
      </c>
      <c r="BC97" s="21" t="n">
        <v>0</v>
      </c>
      <c r="BD97" s="21" t="n">
        <v>0</v>
      </c>
      <c r="BE97" s="21" t="n">
        <v>0</v>
      </c>
      <c r="BF97" s="21" t="n">
        <v>0</v>
      </c>
      <c r="BG97" s="21" t="n">
        <v>0</v>
      </c>
      <c r="BH97" s="21" t="n">
        <v>0</v>
      </c>
      <c r="BI97" s="21" t="n">
        <v>0</v>
      </c>
      <c r="BJ97" s="21" t="n">
        <v>0</v>
      </c>
      <c r="BK97" s="21" t="n">
        <v>0</v>
      </c>
      <c r="BL97" s="21" t="n">
        <v>0</v>
      </c>
      <c r="BM97" s="21" t="n">
        <v>0</v>
      </c>
      <c r="BN97" s="21" t="n">
        <v>0</v>
      </c>
      <c r="BO97" s="21" t="n">
        <v>0</v>
      </c>
      <c r="BP97" s="21" t="n">
        <v>0</v>
      </c>
      <c r="BQ97" s="21" t="n">
        <v>0</v>
      </c>
      <c r="BR97" s="21" t="n">
        <v>0</v>
      </c>
      <c r="BS97" s="21" t="n">
        <v>0</v>
      </c>
      <c r="BT97" s="21" t="n">
        <v>0</v>
      </c>
      <c r="BU97" s="21" t="n">
        <v>0</v>
      </c>
      <c r="BV97" s="21" t="n">
        <v>0</v>
      </c>
      <c r="BW97" s="21" t="n">
        <v>0</v>
      </c>
      <c r="BX97" s="21" t="n">
        <v>0</v>
      </c>
      <c r="BY97" s="21" t="n">
        <v>0</v>
      </c>
      <c r="BZ97" s="21" t="n">
        <v>0</v>
      </c>
      <c r="CA97" s="21" t="n">
        <v>0</v>
      </c>
      <c r="CB97" s="21" t="n">
        <v>0</v>
      </c>
      <c r="CC97" s="21" t="n">
        <v>0</v>
      </c>
      <c r="CD97" s="21" t="n">
        <v>0</v>
      </c>
      <c r="CE97" s="21" t="n">
        <v>0</v>
      </c>
      <c r="CF97" s="21" t="n">
        <v>0</v>
      </c>
      <c r="CG97" s="21" t="n">
        <v>0</v>
      </c>
      <c r="CH97" s="21" t="n">
        <v>0</v>
      </c>
      <c r="CI97" s="21" t="n">
        <v>0</v>
      </c>
      <c r="CJ97" s="21" t="n">
        <v>0</v>
      </c>
      <c r="CK97" s="21" t="n">
        <v>0</v>
      </c>
      <c r="CL97" s="21" t="n">
        <v>0</v>
      </c>
      <c r="CM97" s="21" t="n">
        <v>0</v>
      </c>
      <c r="CN97" s="21" t="n">
        <v>0</v>
      </c>
      <c r="CO97" s="21" t="n">
        <v>0</v>
      </c>
      <c r="CP97" s="21" t="n">
        <v>0</v>
      </c>
      <c r="CQ97" s="21" t="n">
        <v>0</v>
      </c>
      <c r="CR97" s="21" t="n">
        <v>0</v>
      </c>
      <c r="CS97" s="21" t="n">
        <v>0</v>
      </c>
      <c r="CT97" s="21" t="n">
        <v>0</v>
      </c>
      <c r="CU97" s="21" t="n">
        <v>0</v>
      </c>
      <c r="CV97" s="21" t="n">
        <v>0</v>
      </c>
      <c r="CW97" s="21" t="n">
        <v>0</v>
      </c>
      <c r="CX97" s="21" t="n">
        <v>0</v>
      </c>
      <c r="CY97" s="21" t="n">
        <v>0</v>
      </c>
      <c r="CZ97" s="21" t="n">
        <v>0</v>
      </c>
      <c r="DA97" s="21" t="n">
        <v>0</v>
      </c>
    </row>
    <row r="98">
      <c r="A98" t="inlineStr">
        <is>
          <t>TSP-1499</t>
        </is>
      </c>
      <c r="B98" s="21" t="n">
        <v>0</v>
      </c>
      <c r="C98" s="21" t="n">
        <v>0</v>
      </c>
      <c r="D98" s="21" t="n">
        <v>0</v>
      </c>
      <c r="E98" s="21" t="n">
        <v>0</v>
      </c>
      <c r="F98" s="21" t="n">
        <v>0</v>
      </c>
      <c r="G98" s="21" t="n">
        <v>0</v>
      </c>
      <c r="H98" s="21" t="n">
        <v>0</v>
      </c>
      <c r="I98" s="21" t="n">
        <v>0</v>
      </c>
      <c r="J98" s="21" t="n">
        <v>0</v>
      </c>
      <c r="K98" s="21" t="n">
        <v>0</v>
      </c>
      <c r="L98" s="21" t="n">
        <v>0</v>
      </c>
      <c r="M98" s="21" t="n">
        <v>0</v>
      </c>
      <c r="N98" s="21" t="n">
        <v>0</v>
      </c>
      <c r="O98" s="21" t="n">
        <v>0</v>
      </c>
      <c r="P98" s="21" t="n">
        <v>0</v>
      </c>
      <c r="Q98" s="21" t="n">
        <v>0</v>
      </c>
      <c r="R98" s="21" t="n">
        <v>0</v>
      </c>
      <c r="S98" s="21" t="n">
        <v>0</v>
      </c>
      <c r="T98" s="21" t="n">
        <v>0</v>
      </c>
      <c r="U98" s="21" t="n">
        <v>0</v>
      </c>
      <c r="V98" s="21" t="n">
        <v>0</v>
      </c>
      <c r="W98" s="21" t="n">
        <v>0</v>
      </c>
      <c r="X98" s="21" t="n">
        <v>0</v>
      </c>
      <c r="Y98" s="21" t="n">
        <v>0</v>
      </c>
      <c r="Z98" s="21" t="n">
        <v>0</v>
      </c>
      <c r="AA98" s="21" t="n">
        <v>0</v>
      </c>
      <c r="AB98" s="21" t="n">
        <v>5.999999999999999</v>
      </c>
      <c r="AC98" s="21" t="n">
        <v>0</v>
      </c>
      <c r="AD98" s="21" t="n">
        <v>0</v>
      </c>
      <c r="AE98" s="21" t="n">
        <v>0</v>
      </c>
      <c r="AF98" s="21" t="n">
        <v>0</v>
      </c>
      <c r="AG98" s="21" t="n">
        <v>3</v>
      </c>
      <c r="AH98" s="21" t="n">
        <v>0</v>
      </c>
      <c r="AI98" s="21" t="n">
        <v>0</v>
      </c>
      <c r="AJ98" s="21" t="n">
        <v>0</v>
      </c>
      <c r="AK98" s="21" t="n">
        <v>3</v>
      </c>
      <c r="AL98" s="21" t="n">
        <v>0</v>
      </c>
      <c r="AM98" s="21" t="n">
        <v>0</v>
      </c>
      <c r="AN98" s="21" t="n">
        <v>0</v>
      </c>
      <c r="AO98" s="21" t="n">
        <v>0</v>
      </c>
      <c r="AP98" s="21" t="n">
        <v>3</v>
      </c>
      <c r="AQ98" s="21" t="n">
        <v>0</v>
      </c>
      <c r="AR98" s="21" t="n">
        <v>0</v>
      </c>
      <c r="AS98" s="21" t="n">
        <v>0</v>
      </c>
      <c r="AT98" s="21" t="n">
        <v>3</v>
      </c>
      <c r="AU98" s="21" t="n">
        <v>0</v>
      </c>
      <c r="AV98" s="21" t="n">
        <v>0</v>
      </c>
      <c r="AW98" s="21" t="n">
        <v>0</v>
      </c>
      <c r="AX98" s="21" t="n">
        <v>3</v>
      </c>
      <c r="AY98" s="21" t="n">
        <v>0</v>
      </c>
      <c r="AZ98" s="21" t="n">
        <v>0</v>
      </c>
      <c r="BA98" s="21" t="n">
        <v>0</v>
      </c>
      <c r="BB98" s="21" t="n">
        <v>0</v>
      </c>
      <c r="BC98" s="21" t="n">
        <v>0</v>
      </c>
      <c r="BD98" s="21" t="n">
        <v>0</v>
      </c>
      <c r="BE98" s="21" t="n">
        <v>0</v>
      </c>
      <c r="BF98" s="21" t="n">
        <v>3</v>
      </c>
      <c r="BG98" s="21" t="n">
        <v>0</v>
      </c>
      <c r="BH98" s="21" t="n">
        <v>0</v>
      </c>
      <c r="BI98" s="21" t="n">
        <v>0</v>
      </c>
      <c r="BJ98" s="21" t="n">
        <v>3</v>
      </c>
      <c r="BK98" s="21" t="n">
        <v>0</v>
      </c>
      <c r="BL98" s="21" t="n">
        <v>0</v>
      </c>
      <c r="BM98" s="21" t="n">
        <v>0</v>
      </c>
      <c r="BN98" s="21" t="n">
        <v>3</v>
      </c>
      <c r="BO98" s="21" t="n">
        <v>0</v>
      </c>
      <c r="BP98" s="21" t="n">
        <v>0</v>
      </c>
      <c r="BQ98" s="21" t="n">
        <v>0</v>
      </c>
      <c r="BR98" s="21" t="n">
        <v>3</v>
      </c>
      <c r="BS98" s="21" t="n">
        <v>3</v>
      </c>
      <c r="BT98" s="21" t="n">
        <v>3</v>
      </c>
      <c r="BU98" s="21" t="n">
        <v>3</v>
      </c>
      <c r="BV98" s="21" t="n">
        <v>0</v>
      </c>
      <c r="BW98" s="21" t="n">
        <v>3</v>
      </c>
      <c r="BX98" s="21" t="n">
        <v>0</v>
      </c>
      <c r="BY98" s="21" t="n">
        <v>0</v>
      </c>
      <c r="BZ98" s="21" t="n">
        <v>0</v>
      </c>
      <c r="CA98" s="21" t="n">
        <v>0</v>
      </c>
      <c r="CB98" s="21" t="n">
        <v>0</v>
      </c>
      <c r="CC98" s="21" t="n">
        <v>0</v>
      </c>
      <c r="CD98" s="21" t="n">
        <v>0</v>
      </c>
      <c r="CE98" s="21" t="n">
        <v>0</v>
      </c>
      <c r="CF98" s="21" t="n">
        <v>0</v>
      </c>
      <c r="CG98" s="21" t="n">
        <v>0</v>
      </c>
      <c r="CH98" s="21" t="n">
        <v>0</v>
      </c>
      <c r="CI98" s="21" t="n">
        <v>0</v>
      </c>
      <c r="CJ98" s="21" t="n">
        <v>0</v>
      </c>
      <c r="CK98" s="21" t="n">
        <v>0</v>
      </c>
      <c r="CL98" s="21" t="n">
        <v>0</v>
      </c>
      <c r="CM98" s="21" t="n">
        <v>0</v>
      </c>
      <c r="CN98" s="21" t="n">
        <v>0</v>
      </c>
      <c r="CO98" s="21" t="n">
        <v>0</v>
      </c>
      <c r="CP98" s="21" t="n">
        <v>0</v>
      </c>
      <c r="CQ98" s="21" t="n">
        <v>0</v>
      </c>
      <c r="CR98" s="21" t="n">
        <v>0</v>
      </c>
      <c r="CS98" s="21" t="n">
        <v>0</v>
      </c>
      <c r="CT98" s="21" t="n">
        <v>0</v>
      </c>
      <c r="CU98" s="21" t="n">
        <v>0</v>
      </c>
      <c r="CV98" s="21" t="n">
        <v>0</v>
      </c>
      <c r="CW98" s="21" t="n">
        <v>0</v>
      </c>
      <c r="CX98" s="21" t="n">
        <v>0</v>
      </c>
      <c r="CY98" s="21" t="n">
        <v>0</v>
      </c>
      <c r="CZ98" s="21" t="n">
        <v>0</v>
      </c>
      <c r="DA98" s="21" t="n">
        <v>0</v>
      </c>
    </row>
    <row r="99">
      <c r="A99" t="inlineStr">
        <is>
          <t>TSP-1558</t>
        </is>
      </c>
      <c r="B99" s="21" t="n">
        <v>0</v>
      </c>
      <c r="C99" s="21" t="n">
        <v>0</v>
      </c>
      <c r="D99" s="21" t="n">
        <v>0</v>
      </c>
      <c r="E99" s="21" t="n">
        <v>0</v>
      </c>
      <c r="F99" s="21" t="n">
        <v>0</v>
      </c>
      <c r="G99" s="21" t="n">
        <v>0</v>
      </c>
      <c r="H99" s="21" t="n">
        <v>0</v>
      </c>
      <c r="I99" s="21" t="n">
        <v>0</v>
      </c>
      <c r="J99" s="21" t="n">
        <v>0</v>
      </c>
      <c r="K99" s="21" t="n">
        <v>0</v>
      </c>
      <c r="L99" s="21" t="n">
        <v>0</v>
      </c>
      <c r="M99" s="21" t="n">
        <v>0</v>
      </c>
      <c r="N99" s="21" t="n">
        <v>0</v>
      </c>
      <c r="O99" s="21" t="n">
        <v>0</v>
      </c>
      <c r="P99" s="21" t="n">
        <v>0</v>
      </c>
      <c r="Q99" s="21" t="n">
        <v>0</v>
      </c>
      <c r="R99" s="21" t="n">
        <v>0</v>
      </c>
      <c r="S99" s="21" t="n">
        <v>0</v>
      </c>
      <c r="T99" s="21" t="n">
        <v>0</v>
      </c>
      <c r="U99" s="21" t="n">
        <v>0</v>
      </c>
      <c r="V99" s="21" t="n">
        <v>0</v>
      </c>
      <c r="W99" s="21" t="n">
        <v>0</v>
      </c>
      <c r="X99" s="21" t="n">
        <v>0</v>
      </c>
      <c r="Y99" s="21" t="n">
        <v>0</v>
      </c>
      <c r="Z99" s="21" t="n">
        <v>0</v>
      </c>
      <c r="AA99" s="21" t="n">
        <v>0</v>
      </c>
      <c r="AB99" s="21" t="n">
        <v>4</v>
      </c>
      <c r="AC99" s="21" t="n">
        <v>0</v>
      </c>
      <c r="AD99" s="21" t="n">
        <v>0</v>
      </c>
      <c r="AE99" s="21" t="n">
        <v>0</v>
      </c>
      <c r="AF99" s="21" t="n">
        <v>0</v>
      </c>
      <c r="AG99" s="21" t="n">
        <v>2</v>
      </c>
      <c r="AH99" s="21" t="n">
        <v>0</v>
      </c>
      <c r="AI99" s="21" t="n">
        <v>0</v>
      </c>
      <c r="AJ99" s="21" t="n">
        <v>0</v>
      </c>
      <c r="AK99" s="21" t="n">
        <v>2</v>
      </c>
      <c r="AL99" s="21" t="n">
        <v>0</v>
      </c>
      <c r="AM99" s="21" t="n">
        <v>0</v>
      </c>
      <c r="AN99" s="21" t="n">
        <v>0</v>
      </c>
      <c r="AO99" s="21" t="n">
        <v>0</v>
      </c>
      <c r="AP99" s="21" t="n">
        <v>2</v>
      </c>
      <c r="AQ99" s="21" t="n">
        <v>0</v>
      </c>
      <c r="AR99" s="21" t="n">
        <v>0</v>
      </c>
      <c r="AS99" s="21" t="n">
        <v>0</v>
      </c>
      <c r="AT99" s="21" t="n">
        <v>2</v>
      </c>
      <c r="AU99" s="21" t="n">
        <v>0</v>
      </c>
      <c r="AV99" s="21" t="n">
        <v>0</v>
      </c>
      <c r="AW99" s="21" t="n">
        <v>0</v>
      </c>
      <c r="AX99" s="21" t="n">
        <v>2</v>
      </c>
      <c r="AY99" s="21" t="n">
        <v>0</v>
      </c>
      <c r="AZ99" s="21" t="n">
        <v>0</v>
      </c>
      <c r="BA99" s="21" t="n">
        <v>0</v>
      </c>
      <c r="BB99" s="21" t="n">
        <v>0</v>
      </c>
      <c r="BC99" s="21" t="n">
        <v>0</v>
      </c>
      <c r="BD99" s="21" t="n">
        <v>0</v>
      </c>
      <c r="BE99" s="21" t="n">
        <v>0</v>
      </c>
      <c r="BF99" s="21" t="n">
        <v>2</v>
      </c>
      <c r="BG99" s="21" t="n">
        <v>0</v>
      </c>
      <c r="BH99" s="21" t="n">
        <v>0</v>
      </c>
      <c r="BI99" s="21" t="n">
        <v>0</v>
      </c>
      <c r="BJ99" s="21" t="n">
        <v>2</v>
      </c>
      <c r="BK99" s="21" t="n">
        <v>0</v>
      </c>
      <c r="BL99" s="21" t="n">
        <v>0</v>
      </c>
      <c r="BM99" s="21" t="n">
        <v>0</v>
      </c>
      <c r="BN99" s="21" t="n">
        <v>2</v>
      </c>
      <c r="BO99" s="21" t="n">
        <v>0</v>
      </c>
      <c r="BP99" s="21" t="n">
        <v>0</v>
      </c>
      <c r="BQ99" s="21" t="n">
        <v>0</v>
      </c>
      <c r="BR99" s="21" t="n">
        <v>2</v>
      </c>
      <c r="BS99" s="21" t="n">
        <v>2</v>
      </c>
      <c r="BT99" s="21" t="n">
        <v>2</v>
      </c>
      <c r="BU99" s="21" t="n">
        <v>2</v>
      </c>
      <c r="BV99" s="21" t="n">
        <v>0</v>
      </c>
      <c r="BW99" s="21" t="n">
        <v>2</v>
      </c>
      <c r="BX99" s="21" t="n">
        <v>0</v>
      </c>
      <c r="BY99" s="21" t="n">
        <v>0</v>
      </c>
      <c r="BZ99" s="21" t="n">
        <v>0</v>
      </c>
      <c r="CA99" s="21" t="n">
        <v>0</v>
      </c>
      <c r="CB99" s="21" t="n">
        <v>0</v>
      </c>
      <c r="CC99" s="21" t="n">
        <v>0</v>
      </c>
      <c r="CD99" s="21" t="n">
        <v>0</v>
      </c>
      <c r="CE99" s="21" t="n">
        <v>0</v>
      </c>
      <c r="CF99" s="21" t="n">
        <v>0</v>
      </c>
      <c r="CG99" s="21" t="n">
        <v>0</v>
      </c>
      <c r="CH99" s="21" t="n">
        <v>0</v>
      </c>
      <c r="CI99" s="21" t="n">
        <v>0</v>
      </c>
      <c r="CJ99" s="21" t="n">
        <v>0</v>
      </c>
      <c r="CK99" s="21" t="n">
        <v>0</v>
      </c>
      <c r="CL99" s="21" t="n">
        <v>0</v>
      </c>
      <c r="CM99" s="21" t="n">
        <v>0</v>
      </c>
      <c r="CN99" s="21" t="n">
        <v>0</v>
      </c>
      <c r="CO99" s="21" t="n">
        <v>0</v>
      </c>
      <c r="CP99" s="21" t="n">
        <v>0</v>
      </c>
      <c r="CQ99" s="21" t="n">
        <v>0</v>
      </c>
      <c r="CR99" s="21" t="n">
        <v>0</v>
      </c>
      <c r="CS99" s="21" t="n">
        <v>0</v>
      </c>
      <c r="CT99" s="21" t="n">
        <v>0</v>
      </c>
      <c r="CU99" s="21" t="n">
        <v>0</v>
      </c>
      <c r="CV99" s="21" t="n">
        <v>0</v>
      </c>
      <c r="CW99" s="21" t="n">
        <v>0</v>
      </c>
      <c r="CX99" s="21" t="n">
        <v>0</v>
      </c>
      <c r="CY99" s="21" t="n">
        <v>0</v>
      </c>
      <c r="CZ99" s="21" t="n">
        <v>0</v>
      </c>
      <c r="DA99" s="21" t="n">
        <v>0</v>
      </c>
    </row>
    <row r="100">
      <c r="A100" t="inlineStr">
        <is>
          <t>TSP-1559</t>
        </is>
      </c>
      <c r="B100" s="21" t="n">
        <v>0</v>
      </c>
      <c r="C100" s="21" t="n">
        <v>0</v>
      </c>
      <c r="D100" s="21" t="n">
        <v>0</v>
      </c>
      <c r="E100" s="21" t="n">
        <v>0</v>
      </c>
      <c r="F100" s="21" t="n">
        <v>0</v>
      </c>
      <c r="G100" s="21" t="n">
        <v>0</v>
      </c>
      <c r="H100" s="21" t="n">
        <v>0</v>
      </c>
      <c r="I100" s="21" t="n">
        <v>0</v>
      </c>
      <c r="J100" s="21" t="n">
        <v>0</v>
      </c>
      <c r="K100" s="21" t="n">
        <v>0</v>
      </c>
      <c r="L100" s="21" t="n">
        <v>0</v>
      </c>
      <c r="M100" s="21" t="n">
        <v>0</v>
      </c>
      <c r="N100" s="21" t="n">
        <v>0</v>
      </c>
      <c r="O100" s="21" t="n">
        <v>0</v>
      </c>
      <c r="P100" s="21" t="n">
        <v>0</v>
      </c>
      <c r="Q100" s="21" t="n">
        <v>0</v>
      </c>
      <c r="R100" s="21" t="n">
        <v>0</v>
      </c>
      <c r="S100" s="21" t="n">
        <v>0</v>
      </c>
      <c r="T100" s="21" t="n">
        <v>0</v>
      </c>
      <c r="U100" s="21" t="n">
        <v>0</v>
      </c>
      <c r="V100" s="21" t="n">
        <v>0</v>
      </c>
      <c r="W100" s="21" t="n">
        <v>0</v>
      </c>
      <c r="X100" s="21" t="n">
        <v>0</v>
      </c>
      <c r="Y100" s="21" t="n">
        <v>0</v>
      </c>
      <c r="Z100" s="21" t="n">
        <v>0</v>
      </c>
      <c r="AA100" s="21" t="n">
        <v>0</v>
      </c>
      <c r="AB100" s="21" t="n">
        <v>0</v>
      </c>
      <c r="AC100" s="21" t="n">
        <v>0</v>
      </c>
      <c r="AD100" s="21" t="n">
        <v>0</v>
      </c>
      <c r="AE100" s="21" t="n">
        <v>0</v>
      </c>
      <c r="AF100" s="21" t="n">
        <v>0</v>
      </c>
      <c r="AG100" s="21" t="n">
        <v>0</v>
      </c>
      <c r="AH100" s="21" t="n">
        <v>0</v>
      </c>
      <c r="AI100" s="21" t="n">
        <v>0</v>
      </c>
      <c r="AJ100" s="21" t="n">
        <v>0</v>
      </c>
      <c r="AK100" s="21" t="n">
        <v>0</v>
      </c>
      <c r="AL100" s="21" t="n">
        <v>0</v>
      </c>
      <c r="AM100" s="21" t="n">
        <v>0</v>
      </c>
      <c r="AN100" s="21" t="n">
        <v>0</v>
      </c>
      <c r="AO100" s="21" t="n">
        <v>0</v>
      </c>
      <c r="AP100" s="21" t="n">
        <v>0</v>
      </c>
      <c r="AQ100" s="21" t="n">
        <v>0</v>
      </c>
      <c r="AR100" s="21" t="n">
        <v>0</v>
      </c>
      <c r="AS100" s="21" t="n">
        <v>0</v>
      </c>
      <c r="AT100" s="21" t="n">
        <v>0</v>
      </c>
      <c r="AU100" s="21" t="n">
        <v>0</v>
      </c>
      <c r="AV100" s="21" t="n">
        <v>0</v>
      </c>
      <c r="AW100" s="21" t="n">
        <v>0</v>
      </c>
      <c r="AX100" s="21" t="n">
        <v>0</v>
      </c>
      <c r="AY100" s="21" t="n">
        <v>0</v>
      </c>
      <c r="AZ100" s="21" t="n">
        <v>0</v>
      </c>
      <c r="BA100" s="21" t="n">
        <v>0</v>
      </c>
      <c r="BB100" s="21" t="n">
        <v>0</v>
      </c>
      <c r="BC100" s="21" t="n">
        <v>0</v>
      </c>
      <c r="BD100" s="21" t="n">
        <v>0</v>
      </c>
      <c r="BE100" s="21" t="n">
        <v>0</v>
      </c>
      <c r="BF100" s="21" t="n">
        <v>0</v>
      </c>
      <c r="BG100" s="21" t="n">
        <v>0</v>
      </c>
      <c r="BH100" s="21" t="n">
        <v>0</v>
      </c>
      <c r="BI100" s="21" t="n">
        <v>0</v>
      </c>
      <c r="BJ100" s="21" t="n">
        <v>0</v>
      </c>
      <c r="BK100" s="21" t="n">
        <v>0</v>
      </c>
      <c r="BL100" s="21" t="n">
        <v>0</v>
      </c>
      <c r="BM100" s="21" t="n">
        <v>0</v>
      </c>
      <c r="BN100" s="21" t="n">
        <v>0</v>
      </c>
      <c r="BO100" s="21" t="n">
        <v>0</v>
      </c>
      <c r="BP100" s="21" t="n">
        <v>0</v>
      </c>
      <c r="BQ100" s="21" t="n">
        <v>0</v>
      </c>
      <c r="BR100" s="21" t="n">
        <v>0</v>
      </c>
      <c r="BS100" s="21" t="n">
        <v>0</v>
      </c>
      <c r="BT100" s="21" t="n">
        <v>0</v>
      </c>
      <c r="BU100" s="21" t="n">
        <v>0</v>
      </c>
      <c r="BV100" s="21" t="n">
        <v>0</v>
      </c>
      <c r="BW100" s="21" t="n">
        <v>0</v>
      </c>
      <c r="BX100" s="21" t="n">
        <v>0</v>
      </c>
      <c r="BY100" s="21" t="n">
        <v>0</v>
      </c>
      <c r="BZ100" s="21" t="n">
        <v>0</v>
      </c>
      <c r="CA100" s="21" t="n">
        <v>0</v>
      </c>
      <c r="CB100" s="21" t="n">
        <v>0</v>
      </c>
      <c r="CC100" s="21" t="n">
        <v>0</v>
      </c>
      <c r="CD100" s="21" t="n">
        <v>0</v>
      </c>
      <c r="CE100" s="21" t="n">
        <v>0</v>
      </c>
      <c r="CF100" s="21" t="n">
        <v>0</v>
      </c>
      <c r="CG100" s="21" t="n">
        <v>0</v>
      </c>
      <c r="CH100" s="21" t="n">
        <v>0</v>
      </c>
      <c r="CI100" s="21" t="n">
        <v>0</v>
      </c>
      <c r="CJ100" s="21" t="n">
        <v>0</v>
      </c>
      <c r="CK100" s="21" t="n">
        <v>0</v>
      </c>
      <c r="CL100" s="21" t="n">
        <v>0</v>
      </c>
      <c r="CM100" s="21" t="n">
        <v>0</v>
      </c>
      <c r="CN100" s="21" t="n">
        <v>0</v>
      </c>
      <c r="CO100" s="21" t="n">
        <v>0</v>
      </c>
      <c r="CP100" s="21" t="n">
        <v>0</v>
      </c>
      <c r="CQ100" s="21" t="n">
        <v>0</v>
      </c>
      <c r="CR100" s="21" t="n">
        <v>0</v>
      </c>
      <c r="CS100" s="21" t="n">
        <v>0</v>
      </c>
      <c r="CT100" s="21" t="n">
        <v>0</v>
      </c>
      <c r="CU100" s="21" t="n">
        <v>0</v>
      </c>
      <c r="CV100" s="21" t="n">
        <v>0</v>
      </c>
      <c r="CW100" s="21" t="n">
        <v>0</v>
      </c>
      <c r="CX100" s="21" t="n">
        <v>0</v>
      </c>
      <c r="CY100" s="21" t="n">
        <v>0</v>
      </c>
      <c r="CZ100" s="21" t="n">
        <v>0</v>
      </c>
      <c r="DA100" s="21" t="n">
        <v>0</v>
      </c>
    </row>
    <row r="101">
      <c r="A101" t="inlineStr">
        <is>
          <t>TSP-2157</t>
        </is>
      </c>
      <c r="B101" s="21" t="n">
        <v>0</v>
      </c>
      <c r="C101" s="21" t="n">
        <v>0</v>
      </c>
      <c r="D101" s="21" t="n">
        <v>0</v>
      </c>
      <c r="E101" s="21" t="n">
        <v>0</v>
      </c>
      <c r="F101" s="21" t="n">
        <v>0</v>
      </c>
      <c r="G101" s="21" t="n">
        <v>0</v>
      </c>
      <c r="H101" s="21" t="n">
        <v>0</v>
      </c>
      <c r="I101" s="21" t="n">
        <v>0</v>
      </c>
      <c r="J101" s="21" t="n">
        <v>0</v>
      </c>
      <c r="K101" s="21" t="n">
        <v>0</v>
      </c>
      <c r="L101" s="21" t="n">
        <v>0</v>
      </c>
      <c r="M101" s="21" t="n">
        <v>0</v>
      </c>
      <c r="N101" s="21" t="n">
        <v>0</v>
      </c>
      <c r="O101" s="21" t="n">
        <v>0</v>
      </c>
      <c r="P101" s="21" t="n">
        <v>0</v>
      </c>
      <c r="Q101" s="21" t="n">
        <v>0</v>
      </c>
      <c r="R101" s="21" t="n">
        <v>0</v>
      </c>
      <c r="S101" s="21" t="n">
        <v>0</v>
      </c>
      <c r="T101" s="21" t="n">
        <v>0</v>
      </c>
      <c r="U101" s="21" t="n">
        <v>0</v>
      </c>
      <c r="V101" s="21" t="n">
        <v>0</v>
      </c>
      <c r="W101" s="21" t="n">
        <v>0</v>
      </c>
      <c r="X101" s="21" t="n">
        <v>0</v>
      </c>
      <c r="Y101" s="21" t="n">
        <v>0</v>
      </c>
      <c r="Z101" s="21" t="n">
        <v>0</v>
      </c>
      <c r="AA101" s="21" t="n">
        <v>0</v>
      </c>
      <c r="AB101" s="21" t="n">
        <v>0</v>
      </c>
      <c r="AC101" s="21" t="n">
        <v>0</v>
      </c>
      <c r="AD101" s="21" t="n">
        <v>0</v>
      </c>
      <c r="AE101" s="21" t="n">
        <v>0</v>
      </c>
      <c r="AF101" s="21" t="n">
        <v>0</v>
      </c>
      <c r="AG101" s="21" t="n">
        <v>0</v>
      </c>
      <c r="AH101" s="21" t="n">
        <v>0</v>
      </c>
      <c r="AI101" s="21" t="n">
        <v>0</v>
      </c>
      <c r="AJ101" s="21" t="n">
        <v>0</v>
      </c>
      <c r="AK101" s="21" t="n">
        <v>0</v>
      </c>
      <c r="AL101" s="21" t="n">
        <v>0</v>
      </c>
      <c r="AM101" s="21" t="n">
        <v>0</v>
      </c>
      <c r="AN101" s="21" t="n">
        <v>0</v>
      </c>
      <c r="AO101" s="21" t="n">
        <v>0</v>
      </c>
      <c r="AP101" s="21" t="n">
        <v>0</v>
      </c>
      <c r="AQ101" s="21" t="n">
        <v>0</v>
      </c>
      <c r="AR101" s="21" t="n">
        <v>0</v>
      </c>
      <c r="AS101" s="21" t="n">
        <v>0</v>
      </c>
      <c r="AT101" s="21" t="n">
        <v>0</v>
      </c>
      <c r="AU101" s="21" t="n">
        <v>0</v>
      </c>
      <c r="AV101" s="21" t="n">
        <v>0</v>
      </c>
      <c r="AW101" s="21" t="n">
        <v>0</v>
      </c>
      <c r="AX101" s="21" t="n">
        <v>0</v>
      </c>
      <c r="AY101" s="21" t="n">
        <v>0</v>
      </c>
      <c r="AZ101" s="21" t="n">
        <v>0</v>
      </c>
      <c r="BA101" s="21" t="n">
        <v>0</v>
      </c>
      <c r="BB101" s="21" t="n">
        <v>0</v>
      </c>
      <c r="BC101" s="21" t="n">
        <v>0</v>
      </c>
      <c r="BD101" s="21" t="n">
        <v>0</v>
      </c>
      <c r="BE101" s="21" t="n">
        <v>0</v>
      </c>
      <c r="BF101" s="21" t="n">
        <v>0</v>
      </c>
      <c r="BG101" s="21" t="n">
        <v>0</v>
      </c>
      <c r="BH101" s="21" t="n">
        <v>0</v>
      </c>
      <c r="BI101" s="21" t="n">
        <v>0</v>
      </c>
      <c r="BJ101" s="21" t="n">
        <v>0</v>
      </c>
      <c r="BK101" s="21" t="n">
        <v>0</v>
      </c>
      <c r="BL101" s="21" t="n">
        <v>0</v>
      </c>
      <c r="BM101" s="21" t="n">
        <v>0</v>
      </c>
      <c r="BN101" s="21" t="n">
        <v>0</v>
      </c>
      <c r="BO101" s="21" t="n">
        <v>0</v>
      </c>
      <c r="BP101" s="21" t="n">
        <v>0</v>
      </c>
      <c r="BQ101" s="21" t="n">
        <v>0</v>
      </c>
      <c r="BR101" s="21" t="n">
        <v>0</v>
      </c>
      <c r="BS101" s="21" t="n">
        <v>0</v>
      </c>
      <c r="BT101" s="21" t="n">
        <v>0</v>
      </c>
      <c r="BU101" s="21" t="n">
        <v>0</v>
      </c>
      <c r="BV101" s="21" t="n">
        <v>0</v>
      </c>
      <c r="BW101" s="21" t="n">
        <v>0</v>
      </c>
      <c r="BX101" s="21" t="n">
        <v>0</v>
      </c>
      <c r="BY101" s="21" t="n">
        <v>0</v>
      </c>
      <c r="BZ101" s="21" t="n">
        <v>0</v>
      </c>
      <c r="CA101" s="21" t="n">
        <v>0</v>
      </c>
      <c r="CB101" s="21" t="n">
        <v>0</v>
      </c>
      <c r="CC101" s="21" t="n">
        <v>0</v>
      </c>
      <c r="CD101" s="21" t="n">
        <v>0</v>
      </c>
      <c r="CE101" s="21" t="n">
        <v>0</v>
      </c>
      <c r="CF101" s="21" t="n">
        <v>0</v>
      </c>
      <c r="CG101" s="21" t="n">
        <v>0</v>
      </c>
      <c r="CH101" s="21" t="n">
        <v>0</v>
      </c>
      <c r="CI101" s="21" t="n">
        <v>0</v>
      </c>
      <c r="CJ101" s="21" t="n">
        <v>0</v>
      </c>
      <c r="CK101" s="21" t="n">
        <v>0</v>
      </c>
      <c r="CL101" s="21" t="n">
        <v>0</v>
      </c>
      <c r="CM101" s="21" t="n">
        <v>0</v>
      </c>
      <c r="CN101" s="21" t="n">
        <v>0</v>
      </c>
      <c r="CO101" s="21" t="n">
        <v>0</v>
      </c>
      <c r="CP101" s="21" t="n">
        <v>0</v>
      </c>
      <c r="CQ101" s="21" t="n">
        <v>0</v>
      </c>
      <c r="CR101" s="21" t="n">
        <v>0</v>
      </c>
      <c r="CS101" s="21" t="n">
        <v>0</v>
      </c>
      <c r="CT101" s="21" t="n">
        <v>0</v>
      </c>
      <c r="CU101" s="21" t="n">
        <v>0</v>
      </c>
      <c r="CV101" s="21" t="n">
        <v>0</v>
      </c>
      <c r="CW101" s="21" t="n">
        <v>0</v>
      </c>
      <c r="CX101" s="21" t="n">
        <v>0</v>
      </c>
      <c r="CY101" s="21" t="n">
        <v>0</v>
      </c>
      <c r="CZ101" s="21" t="n">
        <v>0</v>
      </c>
      <c r="DA101" s="21" t="n">
        <v>0</v>
      </c>
    </row>
    <row r="102">
      <c r="A102" t="inlineStr">
        <is>
          <t>TSP-2168</t>
        </is>
      </c>
      <c r="B102" s="21" t="n">
        <v>0</v>
      </c>
      <c r="C102" s="21" t="n">
        <v>0</v>
      </c>
      <c r="D102" s="21" t="n">
        <v>0</v>
      </c>
      <c r="E102" s="21" t="n">
        <v>0</v>
      </c>
      <c r="F102" s="21" t="n">
        <v>0</v>
      </c>
      <c r="G102" s="21" t="n">
        <v>0</v>
      </c>
      <c r="H102" s="21" t="n">
        <v>0</v>
      </c>
      <c r="I102" s="21" t="n">
        <v>0</v>
      </c>
      <c r="J102" s="21" t="n">
        <v>0</v>
      </c>
      <c r="K102" s="21" t="n">
        <v>0</v>
      </c>
      <c r="L102" s="21" t="n">
        <v>0</v>
      </c>
      <c r="M102" s="21" t="n">
        <v>0</v>
      </c>
      <c r="N102" s="21" t="n">
        <v>0</v>
      </c>
      <c r="O102" s="21" t="n">
        <v>0</v>
      </c>
      <c r="P102" s="21" t="n">
        <v>0</v>
      </c>
      <c r="Q102" s="21" t="n">
        <v>0</v>
      </c>
      <c r="R102" s="21" t="n">
        <v>0</v>
      </c>
      <c r="S102" s="21" t="n">
        <v>0</v>
      </c>
      <c r="T102" s="21" t="n">
        <v>0</v>
      </c>
      <c r="U102" s="21" t="n">
        <v>0</v>
      </c>
      <c r="V102" s="21" t="n">
        <v>0</v>
      </c>
      <c r="W102" s="21" t="n">
        <v>0</v>
      </c>
      <c r="X102" s="21" t="n">
        <v>0</v>
      </c>
      <c r="Y102" s="21" t="n">
        <v>0</v>
      </c>
      <c r="Z102" s="21" t="n">
        <v>0</v>
      </c>
      <c r="AA102" s="21" t="n">
        <v>0</v>
      </c>
      <c r="AB102" s="21" t="n">
        <v>0</v>
      </c>
      <c r="AC102" s="21" t="n">
        <v>0</v>
      </c>
      <c r="AD102" s="21" t="n">
        <v>0</v>
      </c>
      <c r="AE102" s="21" t="n">
        <v>0</v>
      </c>
      <c r="AF102" s="21" t="n">
        <v>0</v>
      </c>
      <c r="AG102" s="21" t="n">
        <v>0</v>
      </c>
      <c r="AH102" s="21" t="n">
        <v>0</v>
      </c>
      <c r="AI102" s="21" t="n">
        <v>0</v>
      </c>
      <c r="AJ102" s="21" t="n">
        <v>0</v>
      </c>
      <c r="AK102" s="21" t="n">
        <v>0</v>
      </c>
      <c r="AL102" s="21" t="n">
        <v>0</v>
      </c>
      <c r="AM102" s="21" t="n">
        <v>0</v>
      </c>
      <c r="AN102" s="21" t="n">
        <v>0</v>
      </c>
      <c r="AO102" s="21" t="n">
        <v>0</v>
      </c>
      <c r="AP102" s="21" t="n">
        <v>0</v>
      </c>
      <c r="AQ102" s="21" t="n">
        <v>0</v>
      </c>
      <c r="AR102" s="21" t="n">
        <v>0</v>
      </c>
      <c r="AS102" s="21" t="n">
        <v>0</v>
      </c>
      <c r="AT102" s="21" t="n">
        <v>0</v>
      </c>
      <c r="AU102" s="21" t="n">
        <v>0</v>
      </c>
      <c r="AV102" s="21" t="n">
        <v>0</v>
      </c>
      <c r="AW102" s="21" t="n">
        <v>0</v>
      </c>
      <c r="AX102" s="21" t="n">
        <v>0</v>
      </c>
      <c r="AY102" s="21" t="n">
        <v>0</v>
      </c>
      <c r="AZ102" s="21" t="n">
        <v>0</v>
      </c>
      <c r="BA102" s="21" t="n">
        <v>0</v>
      </c>
      <c r="BB102" s="21" t="n">
        <v>0</v>
      </c>
      <c r="BC102" s="21" t="n">
        <v>0</v>
      </c>
      <c r="BD102" s="21" t="n">
        <v>0</v>
      </c>
      <c r="BE102" s="21" t="n">
        <v>0</v>
      </c>
      <c r="BF102" s="21" t="n">
        <v>0</v>
      </c>
      <c r="BG102" s="21" t="n">
        <v>0</v>
      </c>
      <c r="BH102" s="21" t="n">
        <v>0</v>
      </c>
      <c r="BI102" s="21" t="n">
        <v>0</v>
      </c>
      <c r="BJ102" s="21" t="n">
        <v>0</v>
      </c>
      <c r="BK102" s="21" t="n">
        <v>0</v>
      </c>
      <c r="BL102" s="21" t="n">
        <v>0</v>
      </c>
      <c r="BM102" s="21" t="n">
        <v>0</v>
      </c>
      <c r="BN102" s="21" t="n">
        <v>0</v>
      </c>
      <c r="BO102" s="21" t="n">
        <v>0</v>
      </c>
      <c r="BP102" s="21" t="n">
        <v>0</v>
      </c>
      <c r="BQ102" s="21" t="n">
        <v>0</v>
      </c>
      <c r="BR102" s="21" t="n">
        <v>0</v>
      </c>
      <c r="BS102" s="21" t="n">
        <v>0</v>
      </c>
      <c r="BT102" s="21" t="n">
        <v>0</v>
      </c>
      <c r="BU102" s="21" t="n">
        <v>0</v>
      </c>
      <c r="BV102" s="21" t="n">
        <v>0</v>
      </c>
      <c r="BW102" s="21" t="n">
        <v>0</v>
      </c>
      <c r="BX102" s="21" t="n">
        <v>0</v>
      </c>
      <c r="BY102" s="21" t="n">
        <v>0</v>
      </c>
      <c r="BZ102" s="21" t="n">
        <v>0</v>
      </c>
      <c r="CA102" s="21" t="n">
        <v>0</v>
      </c>
      <c r="CB102" s="21" t="n">
        <v>0</v>
      </c>
      <c r="CC102" s="21" t="n">
        <v>0</v>
      </c>
      <c r="CD102" s="21" t="n">
        <v>0</v>
      </c>
      <c r="CE102" s="21" t="n">
        <v>0</v>
      </c>
      <c r="CF102" s="21" t="n">
        <v>0</v>
      </c>
      <c r="CG102" s="21" t="n">
        <v>0</v>
      </c>
      <c r="CH102" s="21" t="n">
        <v>0</v>
      </c>
      <c r="CI102" s="21" t="n">
        <v>0</v>
      </c>
      <c r="CJ102" s="21" t="n">
        <v>0</v>
      </c>
      <c r="CK102" s="21" t="n">
        <v>0</v>
      </c>
      <c r="CL102" s="21" t="n">
        <v>0</v>
      </c>
      <c r="CM102" s="21" t="n">
        <v>0</v>
      </c>
      <c r="CN102" s="21" t="n">
        <v>0</v>
      </c>
      <c r="CO102" s="21" t="n">
        <v>0</v>
      </c>
      <c r="CP102" s="21" t="n">
        <v>0</v>
      </c>
      <c r="CQ102" s="21" t="n">
        <v>0</v>
      </c>
      <c r="CR102" s="21" t="n">
        <v>0</v>
      </c>
      <c r="CS102" s="21" t="n">
        <v>0</v>
      </c>
      <c r="CT102" s="21" t="n">
        <v>0</v>
      </c>
      <c r="CU102" s="21" t="n">
        <v>0</v>
      </c>
      <c r="CV102" s="21" t="n">
        <v>0</v>
      </c>
      <c r="CW102" s="21" t="n">
        <v>0</v>
      </c>
      <c r="CX102" s="21" t="n">
        <v>0</v>
      </c>
      <c r="CY102" s="21" t="n">
        <v>0</v>
      </c>
      <c r="CZ102" s="21" t="n">
        <v>0</v>
      </c>
      <c r="DA102" s="21" t="n">
        <v>0</v>
      </c>
    </row>
    <row r="103">
      <c r="A103" t="inlineStr">
        <is>
          <t>TSP-218</t>
        </is>
      </c>
      <c r="B103" s="21" t="n">
        <v>0</v>
      </c>
      <c r="C103" s="21" t="n">
        <v>0</v>
      </c>
      <c r="D103" s="21" t="n">
        <v>0</v>
      </c>
      <c r="E103" s="21" t="n">
        <v>0</v>
      </c>
      <c r="F103" s="21" t="n">
        <v>0</v>
      </c>
      <c r="G103" s="21" t="n">
        <v>0</v>
      </c>
      <c r="H103" s="21" t="n">
        <v>0</v>
      </c>
      <c r="I103" s="21" t="n">
        <v>0</v>
      </c>
      <c r="J103" s="21" t="n">
        <v>0</v>
      </c>
      <c r="K103" s="21" t="n">
        <v>0</v>
      </c>
      <c r="L103" s="21" t="n">
        <v>0</v>
      </c>
      <c r="M103" s="21" t="n">
        <v>0</v>
      </c>
      <c r="N103" s="21" t="n">
        <v>0</v>
      </c>
      <c r="O103" s="21" t="n">
        <v>0</v>
      </c>
      <c r="P103" s="21" t="n">
        <v>0</v>
      </c>
      <c r="Q103" s="21" t="n">
        <v>0</v>
      </c>
      <c r="R103" s="21" t="n">
        <v>0</v>
      </c>
      <c r="S103" s="21" t="n">
        <v>0</v>
      </c>
      <c r="T103" s="21" t="n">
        <v>0</v>
      </c>
      <c r="U103" s="21" t="n">
        <v>0</v>
      </c>
      <c r="V103" s="21" t="n">
        <v>0</v>
      </c>
      <c r="W103" s="21" t="n">
        <v>0</v>
      </c>
      <c r="X103" s="21" t="n">
        <v>0</v>
      </c>
      <c r="Y103" s="21" t="n">
        <v>0</v>
      </c>
      <c r="Z103" s="21" t="n">
        <v>0</v>
      </c>
      <c r="AA103" s="21" t="n">
        <v>0</v>
      </c>
      <c r="AB103" s="21" t="n">
        <v>0</v>
      </c>
      <c r="AC103" s="21" t="n">
        <v>0</v>
      </c>
      <c r="AD103" s="21" t="n">
        <v>0</v>
      </c>
      <c r="AE103" s="21" t="n">
        <v>0</v>
      </c>
      <c r="AF103" s="21" t="n">
        <v>0</v>
      </c>
      <c r="AG103" s="21" t="n">
        <v>0</v>
      </c>
      <c r="AH103" s="21" t="n">
        <v>0</v>
      </c>
      <c r="AI103" s="21" t="n">
        <v>0</v>
      </c>
      <c r="AJ103" s="21" t="n">
        <v>0</v>
      </c>
      <c r="AK103" s="21" t="n">
        <v>0</v>
      </c>
      <c r="AL103" s="21" t="n">
        <v>0</v>
      </c>
      <c r="AM103" s="21" t="n">
        <v>0</v>
      </c>
      <c r="AN103" s="21" t="n">
        <v>0</v>
      </c>
      <c r="AO103" s="21" t="n">
        <v>0</v>
      </c>
      <c r="AP103" s="21" t="n">
        <v>0</v>
      </c>
      <c r="AQ103" s="21" t="n">
        <v>0</v>
      </c>
      <c r="AR103" s="21" t="n">
        <v>0</v>
      </c>
      <c r="AS103" s="21" t="n">
        <v>0</v>
      </c>
      <c r="AT103" s="21" t="n">
        <v>0</v>
      </c>
      <c r="AU103" s="21" t="n">
        <v>0</v>
      </c>
      <c r="AV103" s="21" t="n">
        <v>0</v>
      </c>
      <c r="AW103" s="21" t="n">
        <v>0</v>
      </c>
      <c r="AX103" s="21" t="n">
        <v>0</v>
      </c>
      <c r="AY103" s="21" t="n">
        <v>0</v>
      </c>
      <c r="AZ103" s="21" t="n">
        <v>0</v>
      </c>
      <c r="BA103" s="21" t="n">
        <v>0</v>
      </c>
      <c r="BB103" s="21" t="n">
        <v>0</v>
      </c>
      <c r="BC103" s="21" t="n">
        <v>0</v>
      </c>
      <c r="BD103" s="21" t="n">
        <v>0</v>
      </c>
      <c r="BE103" s="21" t="n">
        <v>0</v>
      </c>
      <c r="BF103" s="21" t="n">
        <v>0</v>
      </c>
      <c r="BG103" s="21" t="n">
        <v>0</v>
      </c>
      <c r="BH103" s="21" t="n">
        <v>0</v>
      </c>
      <c r="BI103" s="21" t="n">
        <v>0</v>
      </c>
      <c r="BJ103" s="21" t="n">
        <v>0</v>
      </c>
      <c r="BK103" s="21" t="n">
        <v>0</v>
      </c>
      <c r="BL103" s="21" t="n">
        <v>0</v>
      </c>
      <c r="BM103" s="21" t="n">
        <v>0</v>
      </c>
      <c r="BN103" s="21" t="n">
        <v>0</v>
      </c>
      <c r="BO103" s="21" t="n">
        <v>0</v>
      </c>
      <c r="BP103" s="21" t="n">
        <v>0</v>
      </c>
      <c r="BQ103" s="21" t="n">
        <v>0</v>
      </c>
      <c r="BR103" s="21" t="n">
        <v>0</v>
      </c>
      <c r="BS103" s="21" t="n">
        <v>0</v>
      </c>
      <c r="BT103" s="21" t="n">
        <v>0</v>
      </c>
      <c r="BU103" s="21" t="n">
        <v>0</v>
      </c>
      <c r="BV103" s="21" t="n">
        <v>0</v>
      </c>
      <c r="BW103" s="21" t="n">
        <v>0</v>
      </c>
      <c r="BX103" s="21" t="n">
        <v>0</v>
      </c>
      <c r="BY103" s="21" t="n">
        <v>0</v>
      </c>
      <c r="BZ103" s="21" t="n">
        <v>0</v>
      </c>
      <c r="CA103" s="21" t="n">
        <v>0</v>
      </c>
      <c r="CB103" s="21" t="n">
        <v>0</v>
      </c>
      <c r="CC103" s="21" t="n">
        <v>0</v>
      </c>
      <c r="CD103" s="21" t="n">
        <v>0</v>
      </c>
      <c r="CE103" s="21" t="n">
        <v>0</v>
      </c>
      <c r="CF103" s="21" t="n">
        <v>0</v>
      </c>
      <c r="CG103" s="21" t="n">
        <v>0</v>
      </c>
      <c r="CH103" s="21" t="n">
        <v>0</v>
      </c>
      <c r="CI103" s="21" t="n">
        <v>0</v>
      </c>
      <c r="CJ103" s="21" t="n">
        <v>0</v>
      </c>
      <c r="CK103" s="21" t="n">
        <v>0</v>
      </c>
      <c r="CL103" s="21" t="n">
        <v>0</v>
      </c>
      <c r="CM103" s="21" t="n">
        <v>0</v>
      </c>
      <c r="CN103" s="21" t="n">
        <v>0</v>
      </c>
      <c r="CO103" s="21" t="n">
        <v>0</v>
      </c>
      <c r="CP103" s="21" t="n">
        <v>0</v>
      </c>
      <c r="CQ103" s="21" t="n">
        <v>0</v>
      </c>
      <c r="CR103" s="21" t="n">
        <v>0</v>
      </c>
      <c r="CS103" s="21" t="n">
        <v>0</v>
      </c>
      <c r="CT103" s="21" t="n">
        <v>0</v>
      </c>
      <c r="CU103" s="21" t="n">
        <v>0</v>
      </c>
      <c r="CV103" s="21" t="n">
        <v>0</v>
      </c>
      <c r="CW103" s="21" t="n">
        <v>0</v>
      </c>
      <c r="CX103" s="21" t="n">
        <v>0</v>
      </c>
      <c r="CY103" s="21" t="n">
        <v>0</v>
      </c>
      <c r="CZ103" s="21" t="n">
        <v>0</v>
      </c>
      <c r="DA103" s="21" t="n">
        <v>0</v>
      </c>
    </row>
    <row r="104">
      <c r="A104" t="inlineStr">
        <is>
          <t>TSP-219</t>
        </is>
      </c>
      <c r="B104" s="21" t="n">
        <v>0</v>
      </c>
      <c r="C104" s="21" t="n">
        <v>0</v>
      </c>
      <c r="D104" s="21" t="n">
        <v>0</v>
      </c>
      <c r="E104" s="21" t="n">
        <v>0</v>
      </c>
      <c r="F104" s="21" t="n">
        <v>0</v>
      </c>
      <c r="G104" s="21" t="n">
        <v>0</v>
      </c>
      <c r="H104" s="21" t="n">
        <v>0</v>
      </c>
      <c r="I104" s="21" t="n">
        <v>0</v>
      </c>
      <c r="J104" s="21" t="n">
        <v>0</v>
      </c>
      <c r="K104" s="21" t="n">
        <v>0</v>
      </c>
      <c r="L104" s="21" t="n">
        <v>0</v>
      </c>
      <c r="M104" s="21" t="n">
        <v>0</v>
      </c>
      <c r="N104" s="21" t="n">
        <v>0</v>
      </c>
      <c r="O104" s="21" t="n">
        <v>0</v>
      </c>
      <c r="P104" s="21" t="n">
        <v>0</v>
      </c>
      <c r="Q104" s="21" t="n">
        <v>0</v>
      </c>
      <c r="R104" s="21" t="n">
        <v>0</v>
      </c>
      <c r="S104" s="21" t="n">
        <v>0</v>
      </c>
      <c r="T104" s="21" t="n">
        <v>0</v>
      </c>
      <c r="U104" s="21" t="n">
        <v>0</v>
      </c>
      <c r="V104" s="21" t="n">
        <v>0</v>
      </c>
      <c r="W104" s="21" t="n">
        <v>0</v>
      </c>
      <c r="X104" s="21" t="n">
        <v>0</v>
      </c>
      <c r="Y104" s="21" t="n">
        <v>0</v>
      </c>
      <c r="Z104" s="21" t="n">
        <v>0</v>
      </c>
      <c r="AA104" s="21" t="n">
        <v>0</v>
      </c>
      <c r="AB104" s="21" t="n">
        <v>0</v>
      </c>
      <c r="AC104" s="21" t="n">
        <v>0</v>
      </c>
      <c r="AD104" s="21" t="n">
        <v>0</v>
      </c>
      <c r="AE104" s="21" t="n">
        <v>0</v>
      </c>
      <c r="AF104" s="21" t="n">
        <v>0</v>
      </c>
      <c r="AG104" s="21" t="n">
        <v>0</v>
      </c>
      <c r="AH104" s="21" t="n">
        <v>0</v>
      </c>
      <c r="AI104" s="21" t="n">
        <v>0</v>
      </c>
      <c r="AJ104" s="21" t="n">
        <v>0</v>
      </c>
      <c r="AK104" s="21" t="n">
        <v>0</v>
      </c>
      <c r="AL104" s="21" t="n">
        <v>0</v>
      </c>
      <c r="AM104" s="21" t="n">
        <v>0</v>
      </c>
      <c r="AN104" s="21" t="n">
        <v>0</v>
      </c>
      <c r="AO104" s="21" t="n">
        <v>0</v>
      </c>
      <c r="AP104" s="21" t="n">
        <v>0</v>
      </c>
      <c r="AQ104" s="21" t="n">
        <v>0</v>
      </c>
      <c r="AR104" s="21" t="n">
        <v>0</v>
      </c>
      <c r="AS104" s="21" t="n">
        <v>0</v>
      </c>
      <c r="AT104" s="21" t="n">
        <v>0</v>
      </c>
      <c r="AU104" s="21" t="n">
        <v>0</v>
      </c>
      <c r="AV104" s="21" t="n">
        <v>0</v>
      </c>
      <c r="AW104" s="21" t="n">
        <v>0</v>
      </c>
      <c r="AX104" s="21" t="n">
        <v>0</v>
      </c>
      <c r="AY104" s="21" t="n">
        <v>0</v>
      </c>
      <c r="AZ104" s="21" t="n">
        <v>0</v>
      </c>
      <c r="BA104" s="21" t="n">
        <v>0</v>
      </c>
      <c r="BB104" s="21" t="n">
        <v>0</v>
      </c>
      <c r="BC104" s="21" t="n">
        <v>0</v>
      </c>
      <c r="BD104" s="21" t="n">
        <v>0</v>
      </c>
      <c r="BE104" s="21" t="n">
        <v>0</v>
      </c>
      <c r="BF104" s="21" t="n">
        <v>0</v>
      </c>
      <c r="BG104" s="21" t="n">
        <v>0</v>
      </c>
      <c r="BH104" s="21" t="n">
        <v>0</v>
      </c>
      <c r="BI104" s="21" t="n">
        <v>0</v>
      </c>
      <c r="BJ104" s="21" t="n">
        <v>0</v>
      </c>
      <c r="BK104" s="21" t="n">
        <v>0</v>
      </c>
      <c r="BL104" s="21" t="n">
        <v>0</v>
      </c>
      <c r="BM104" s="21" t="n">
        <v>0</v>
      </c>
      <c r="BN104" s="21" t="n">
        <v>0</v>
      </c>
      <c r="BO104" s="21" t="n">
        <v>0</v>
      </c>
      <c r="BP104" s="21" t="n">
        <v>0</v>
      </c>
      <c r="BQ104" s="21" t="n">
        <v>0</v>
      </c>
      <c r="BR104" s="21" t="n">
        <v>0</v>
      </c>
      <c r="BS104" s="21" t="n">
        <v>0</v>
      </c>
      <c r="BT104" s="21" t="n">
        <v>0</v>
      </c>
      <c r="BU104" s="21" t="n">
        <v>0</v>
      </c>
      <c r="BV104" s="21" t="n">
        <v>0</v>
      </c>
      <c r="BW104" s="21" t="n">
        <v>0</v>
      </c>
      <c r="BX104" s="21" t="n">
        <v>0</v>
      </c>
      <c r="BY104" s="21" t="n">
        <v>0</v>
      </c>
      <c r="BZ104" s="21" t="n">
        <v>0</v>
      </c>
      <c r="CA104" s="21" t="n">
        <v>0</v>
      </c>
      <c r="CB104" s="21" t="n">
        <v>0</v>
      </c>
      <c r="CC104" s="21" t="n">
        <v>0</v>
      </c>
      <c r="CD104" s="21" t="n">
        <v>0</v>
      </c>
      <c r="CE104" s="21" t="n">
        <v>0</v>
      </c>
      <c r="CF104" s="21" t="n">
        <v>0</v>
      </c>
      <c r="CG104" s="21" t="n">
        <v>0</v>
      </c>
      <c r="CH104" s="21" t="n">
        <v>0</v>
      </c>
      <c r="CI104" s="21" t="n">
        <v>0</v>
      </c>
      <c r="CJ104" s="21" t="n">
        <v>0</v>
      </c>
      <c r="CK104" s="21" t="n">
        <v>0</v>
      </c>
      <c r="CL104" s="21" t="n">
        <v>0</v>
      </c>
      <c r="CM104" s="21" t="n">
        <v>0</v>
      </c>
      <c r="CN104" s="21" t="n">
        <v>0</v>
      </c>
      <c r="CO104" s="21" t="n">
        <v>0</v>
      </c>
      <c r="CP104" s="21" t="n">
        <v>0</v>
      </c>
      <c r="CQ104" s="21" t="n">
        <v>0</v>
      </c>
      <c r="CR104" s="21" t="n">
        <v>0</v>
      </c>
      <c r="CS104" s="21" t="n">
        <v>0</v>
      </c>
      <c r="CT104" s="21" t="n">
        <v>0</v>
      </c>
      <c r="CU104" s="21" t="n">
        <v>0</v>
      </c>
      <c r="CV104" s="21" t="n">
        <v>0</v>
      </c>
      <c r="CW104" s="21" t="n">
        <v>0</v>
      </c>
      <c r="CX104" s="21" t="n">
        <v>0</v>
      </c>
      <c r="CY104" s="21" t="n">
        <v>0</v>
      </c>
      <c r="CZ104" s="21" t="n">
        <v>0</v>
      </c>
      <c r="DA104" s="21" t="n">
        <v>0</v>
      </c>
    </row>
    <row r="105">
      <c r="A105" t="inlineStr">
        <is>
          <t>TSP-390</t>
        </is>
      </c>
      <c r="B105" s="21" t="n">
        <v>0</v>
      </c>
      <c r="C105" s="21" t="n">
        <v>0</v>
      </c>
      <c r="D105" s="21" t="n">
        <v>0</v>
      </c>
      <c r="E105" s="21" t="n">
        <v>0</v>
      </c>
      <c r="F105" s="21" t="n">
        <v>0</v>
      </c>
      <c r="G105" s="21" t="n">
        <v>0</v>
      </c>
      <c r="H105" s="21" t="n">
        <v>0</v>
      </c>
      <c r="I105" s="21" t="n">
        <v>0</v>
      </c>
      <c r="J105" s="21" t="n">
        <v>0</v>
      </c>
      <c r="K105" s="21" t="n">
        <v>0</v>
      </c>
      <c r="L105" s="21" t="n">
        <v>0</v>
      </c>
      <c r="M105" s="21" t="n">
        <v>0</v>
      </c>
      <c r="N105" s="21" t="n">
        <v>0</v>
      </c>
      <c r="O105" s="21" t="n">
        <v>0</v>
      </c>
      <c r="P105" s="21" t="n">
        <v>0</v>
      </c>
      <c r="Q105" s="21" t="n">
        <v>0</v>
      </c>
      <c r="R105" s="21" t="n">
        <v>0</v>
      </c>
      <c r="S105" s="21" t="n">
        <v>0</v>
      </c>
      <c r="T105" s="21" t="n">
        <v>0</v>
      </c>
      <c r="U105" s="21" t="n">
        <v>0</v>
      </c>
      <c r="V105" s="21" t="n">
        <v>0</v>
      </c>
      <c r="W105" s="21" t="n">
        <v>0</v>
      </c>
      <c r="X105" s="21" t="n">
        <v>0</v>
      </c>
      <c r="Y105" s="21" t="n">
        <v>0</v>
      </c>
      <c r="Z105" s="21" t="n">
        <v>0</v>
      </c>
      <c r="AA105" s="21" t="n">
        <v>0</v>
      </c>
      <c r="AB105" s="21" t="n">
        <v>0</v>
      </c>
      <c r="AC105" s="21" t="n">
        <v>0</v>
      </c>
      <c r="AD105" s="21" t="n">
        <v>0</v>
      </c>
      <c r="AE105" s="21" t="n">
        <v>0</v>
      </c>
      <c r="AF105" s="21" t="n">
        <v>0</v>
      </c>
      <c r="AG105" s="21" t="n">
        <v>0</v>
      </c>
      <c r="AH105" s="21" t="n">
        <v>0</v>
      </c>
      <c r="AI105" s="21" t="n">
        <v>0</v>
      </c>
      <c r="AJ105" s="21" t="n">
        <v>0</v>
      </c>
      <c r="AK105" s="21" t="n">
        <v>0</v>
      </c>
      <c r="AL105" s="21" t="n">
        <v>0</v>
      </c>
      <c r="AM105" s="21" t="n">
        <v>0</v>
      </c>
      <c r="AN105" s="21" t="n">
        <v>0</v>
      </c>
      <c r="AO105" s="21" t="n">
        <v>0</v>
      </c>
      <c r="AP105" s="21" t="n">
        <v>0</v>
      </c>
      <c r="AQ105" s="21" t="n">
        <v>0</v>
      </c>
      <c r="AR105" s="21" t="n">
        <v>0</v>
      </c>
      <c r="AS105" s="21" t="n">
        <v>0</v>
      </c>
      <c r="AT105" s="21" t="n">
        <v>0</v>
      </c>
      <c r="AU105" s="21" t="n">
        <v>0</v>
      </c>
      <c r="AV105" s="21" t="n">
        <v>0</v>
      </c>
      <c r="AW105" s="21" t="n">
        <v>0</v>
      </c>
      <c r="AX105" s="21" t="n">
        <v>0</v>
      </c>
      <c r="AY105" s="21" t="n">
        <v>0</v>
      </c>
      <c r="AZ105" s="21" t="n">
        <v>0</v>
      </c>
      <c r="BA105" s="21" t="n">
        <v>0</v>
      </c>
      <c r="BB105" s="21" t="n">
        <v>0</v>
      </c>
      <c r="BC105" s="21" t="n">
        <v>0</v>
      </c>
      <c r="BD105" s="21" t="n">
        <v>0</v>
      </c>
      <c r="BE105" s="21" t="n">
        <v>0</v>
      </c>
      <c r="BF105" s="21" t="n">
        <v>0</v>
      </c>
      <c r="BG105" s="21" t="n">
        <v>0</v>
      </c>
      <c r="BH105" s="21" t="n">
        <v>0</v>
      </c>
      <c r="BI105" s="21" t="n">
        <v>0</v>
      </c>
      <c r="BJ105" s="21" t="n">
        <v>0</v>
      </c>
      <c r="BK105" s="21" t="n">
        <v>0</v>
      </c>
      <c r="BL105" s="21" t="n">
        <v>0</v>
      </c>
      <c r="BM105" s="21" t="n">
        <v>0</v>
      </c>
      <c r="BN105" s="21" t="n">
        <v>0</v>
      </c>
      <c r="BO105" s="21" t="n">
        <v>0</v>
      </c>
      <c r="BP105" s="21" t="n">
        <v>0</v>
      </c>
      <c r="BQ105" s="21" t="n">
        <v>0</v>
      </c>
      <c r="BR105" s="21" t="n">
        <v>0</v>
      </c>
      <c r="BS105" s="21" t="n">
        <v>0</v>
      </c>
      <c r="BT105" s="21" t="n">
        <v>0</v>
      </c>
      <c r="BU105" s="21" t="n">
        <v>0</v>
      </c>
      <c r="BV105" s="21" t="n">
        <v>0</v>
      </c>
      <c r="BW105" s="21" t="n">
        <v>0</v>
      </c>
      <c r="BX105" s="21" t="n">
        <v>0</v>
      </c>
      <c r="BY105" s="21" t="n">
        <v>0</v>
      </c>
      <c r="BZ105" s="21" t="n">
        <v>0</v>
      </c>
      <c r="CA105" s="21" t="n">
        <v>0</v>
      </c>
      <c r="CB105" s="21" t="n">
        <v>0</v>
      </c>
      <c r="CC105" s="21" t="n">
        <v>0</v>
      </c>
      <c r="CD105" s="21" t="n">
        <v>0</v>
      </c>
      <c r="CE105" s="21" t="n">
        <v>0</v>
      </c>
      <c r="CF105" s="21" t="n">
        <v>0</v>
      </c>
      <c r="CG105" s="21" t="n">
        <v>0</v>
      </c>
      <c r="CH105" s="21" t="n">
        <v>0</v>
      </c>
      <c r="CI105" s="21" t="n">
        <v>0</v>
      </c>
      <c r="CJ105" s="21" t="n">
        <v>0</v>
      </c>
      <c r="CK105" s="21" t="n">
        <v>0</v>
      </c>
      <c r="CL105" s="21" t="n">
        <v>0</v>
      </c>
      <c r="CM105" s="21" t="n">
        <v>0</v>
      </c>
      <c r="CN105" s="21" t="n">
        <v>0</v>
      </c>
      <c r="CO105" s="21" t="n">
        <v>0</v>
      </c>
      <c r="CP105" s="21" t="n">
        <v>0</v>
      </c>
      <c r="CQ105" s="21" t="n">
        <v>0</v>
      </c>
      <c r="CR105" s="21" t="n">
        <v>0</v>
      </c>
      <c r="CS105" s="21" t="n">
        <v>0</v>
      </c>
      <c r="CT105" s="21" t="n">
        <v>0</v>
      </c>
      <c r="CU105" s="21" t="n">
        <v>0</v>
      </c>
      <c r="CV105" s="21" t="n">
        <v>0</v>
      </c>
      <c r="CW105" s="21" t="n">
        <v>0</v>
      </c>
      <c r="CX105" s="21" t="n">
        <v>0</v>
      </c>
      <c r="CY105" s="21" t="n">
        <v>0</v>
      </c>
      <c r="CZ105" s="21" t="n">
        <v>0</v>
      </c>
      <c r="DA105" s="21" t="n">
        <v>0</v>
      </c>
    </row>
    <row r="106">
      <c r="A106" t="inlineStr">
        <is>
          <t>TSP-399</t>
        </is>
      </c>
      <c r="B106" s="21" t="n">
        <v>0</v>
      </c>
      <c r="C106" s="21" t="n">
        <v>0</v>
      </c>
      <c r="D106" s="21" t="n">
        <v>0</v>
      </c>
      <c r="E106" s="21" t="n">
        <v>0</v>
      </c>
      <c r="F106" s="21" t="n">
        <v>0</v>
      </c>
      <c r="G106" s="21" t="n">
        <v>0</v>
      </c>
      <c r="H106" s="21" t="n">
        <v>0</v>
      </c>
      <c r="I106" s="21" t="n">
        <v>0</v>
      </c>
      <c r="J106" s="21" t="n">
        <v>0</v>
      </c>
      <c r="K106" s="21" t="n">
        <v>0</v>
      </c>
      <c r="L106" s="21" t="n">
        <v>0</v>
      </c>
      <c r="M106" s="21" t="n">
        <v>0</v>
      </c>
      <c r="N106" s="21" t="n">
        <v>0</v>
      </c>
      <c r="O106" s="21" t="n">
        <v>0</v>
      </c>
      <c r="P106" s="21" t="n">
        <v>0</v>
      </c>
      <c r="Q106" s="21" t="n">
        <v>0</v>
      </c>
      <c r="R106" s="21" t="n">
        <v>0</v>
      </c>
      <c r="S106" s="21" t="n">
        <v>0</v>
      </c>
      <c r="T106" s="21" t="n">
        <v>0</v>
      </c>
      <c r="U106" s="21" t="n">
        <v>0</v>
      </c>
      <c r="V106" s="21" t="n">
        <v>0</v>
      </c>
      <c r="W106" s="21" t="n">
        <v>0</v>
      </c>
      <c r="X106" s="21" t="n">
        <v>0</v>
      </c>
      <c r="Y106" s="21" t="n">
        <v>0</v>
      </c>
      <c r="Z106" s="21" t="n">
        <v>0</v>
      </c>
      <c r="AA106" s="21" t="n">
        <v>0</v>
      </c>
      <c r="AB106" s="21" t="n">
        <v>0</v>
      </c>
      <c r="AC106" s="21" t="n">
        <v>0</v>
      </c>
      <c r="AD106" s="21" t="n">
        <v>0</v>
      </c>
      <c r="AE106" s="21" t="n">
        <v>0</v>
      </c>
      <c r="AF106" s="21" t="n">
        <v>0</v>
      </c>
      <c r="AG106" s="21" t="n">
        <v>0</v>
      </c>
      <c r="AH106" s="21" t="n">
        <v>0</v>
      </c>
      <c r="AI106" s="21" t="n">
        <v>0</v>
      </c>
      <c r="AJ106" s="21" t="n">
        <v>0</v>
      </c>
      <c r="AK106" s="21" t="n">
        <v>0</v>
      </c>
      <c r="AL106" s="21" t="n">
        <v>0</v>
      </c>
      <c r="AM106" s="21" t="n">
        <v>0</v>
      </c>
      <c r="AN106" s="21" t="n">
        <v>0</v>
      </c>
      <c r="AO106" s="21" t="n">
        <v>0</v>
      </c>
      <c r="AP106" s="21" t="n">
        <v>0</v>
      </c>
      <c r="AQ106" s="21" t="n">
        <v>0</v>
      </c>
      <c r="AR106" s="21" t="n">
        <v>0</v>
      </c>
      <c r="AS106" s="21" t="n">
        <v>0</v>
      </c>
      <c r="AT106" s="21" t="n">
        <v>0</v>
      </c>
      <c r="AU106" s="21" t="n">
        <v>0</v>
      </c>
      <c r="AV106" s="21" t="n">
        <v>0</v>
      </c>
      <c r="AW106" s="21" t="n">
        <v>0</v>
      </c>
      <c r="AX106" s="21" t="n">
        <v>0</v>
      </c>
      <c r="AY106" s="21" t="n">
        <v>0</v>
      </c>
      <c r="AZ106" s="21" t="n">
        <v>0</v>
      </c>
      <c r="BA106" s="21" t="n">
        <v>0</v>
      </c>
      <c r="BB106" s="21" t="n">
        <v>0</v>
      </c>
      <c r="BC106" s="21" t="n">
        <v>0</v>
      </c>
      <c r="BD106" s="21" t="n">
        <v>0</v>
      </c>
      <c r="BE106" s="21" t="n">
        <v>0</v>
      </c>
      <c r="BF106" s="21" t="n">
        <v>0</v>
      </c>
      <c r="BG106" s="21" t="n">
        <v>0</v>
      </c>
      <c r="BH106" s="21" t="n">
        <v>0</v>
      </c>
      <c r="BI106" s="21" t="n">
        <v>0</v>
      </c>
      <c r="BJ106" s="21" t="n">
        <v>0</v>
      </c>
      <c r="BK106" s="21" t="n">
        <v>0</v>
      </c>
      <c r="BL106" s="21" t="n">
        <v>0</v>
      </c>
      <c r="BM106" s="21" t="n">
        <v>0</v>
      </c>
      <c r="BN106" s="21" t="n">
        <v>0</v>
      </c>
      <c r="BO106" s="21" t="n">
        <v>0</v>
      </c>
      <c r="BP106" s="21" t="n">
        <v>0</v>
      </c>
      <c r="BQ106" s="21" t="n">
        <v>0</v>
      </c>
      <c r="BR106" s="21" t="n">
        <v>0</v>
      </c>
      <c r="BS106" s="21" t="n">
        <v>0</v>
      </c>
      <c r="BT106" s="21" t="n">
        <v>0</v>
      </c>
      <c r="BU106" s="21" t="n">
        <v>0</v>
      </c>
      <c r="BV106" s="21" t="n">
        <v>0</v>
      </c>
      <c r="BW106" s="21" t="n">
        <v>0</v>
      </c>
      <c r="BX106" s="21" t="n">
        <v>0</v>
      </c>
      <c r="BY106" s="21" t="n">
        <v>0</v>
      </c>
      <c r="BZ106" s="21" t="n">
        <v>0</v>
      </c>
      <c r="CA106" s="21" t="n">
        <v>0</v>
      </c>
      <c r="CB106" s="21" t="n">
        <v>0</v>
      </c>
      <c r="CC106" s="21" t="n">
        <v>0</v>
      </c>
      <c r="CD106" s="21" t="n">
        <v>0</v>
      </c>
      <c r="CE106" s="21" t="n">
        <v>0</v>
      </c>
      <c r="CF106" s="21" t="n">
        <v>0</v>
      </c>
      <c r="CG106" s="21" t="n">
        <v>0</v>
      </c>
      <c r="CH106" s="21" t="n">
        <v>0</v>
      </c>
      <c r="CI106" s="21" t="n">
        <v>0</v>
      </c>
      <c r="CJ106" s="21" t="n">
        <v>0</v>
      </c>
      <c r="CK106" s="21" t="n">
        <v>0</v>
      </c>
      <c r="CL106" s="21" t="n">
        <v>0</v>
      </c>
      <c r="CM106" s="21" t="n">
        <v>0</v>
      </c>
      <c r="CN106" s="21" t="n">
        <v>0</v>
      </c>
      <c r="CO106" s="21" t="n">
        <v>0</v>
      </c>
      <c r="CP106" s="21" t="n">
        <v>0</v>
      </c>
      <c r="CQ106" s="21" t="n">
        <v>0</v>
      </c>
      <c r="CR106" s="21" t="n">
        <v>0</v>
      </c>
      <c r="CS106" s="21" t="n">
        <v>0</v>
      </c>
      <c r="CT106" s="21" t="n">
        <v>0</v>
      </c>
      <c r="CU106" s="21" t="n">
        <v>0</v>
      </c>
      <c r="CV106" s="21" t="n">
        <v>0</v>
      </c>
      <c r="CW106" s="21" t="n">
        <v>0</v>
      </c>
      <c r="CX106" s="21" t="n">
        <v>0</v>
      </c>
      <c r="CY106" s="21" t="n">
        <v>0</v>
      </c>
      <c r="CZ106" s="21" t="n">
        <v>0</v>
      </c>
      <c r="DA106" s="21" t="n">
        <v>0</v>
      </c>
    </row>
    <row r="107">
      <c r="A107" t="inlineStr">
        <is>
          <t>TSP-699</t>
        </is>
      </c>
      <c r="B107" s="21" t="n">
        <v>0</v>
      </c>
      <c r="C107" s="21" t="n">
        <v>0</v>
      </c>
      <c r="D107" s="21" t="n">
        <v>0</v>
      </c>
      <c r="E107" s="21" t="n">
        <v>0</v>
      </c>
      <c r="F107" s="21" t="n">
        <v>0</v>
      </c>
      <c r="G107" s="21" t="n">
        <v>0</v>
      </c>
      <c r="H107" s="21" t="n">
        <v>0</v>
      </c>
      <c r="I107" s="21" t="n">
        <v>0</v>
      </c>
      <c r="J107" s="21" t="n">
        <v>0</v>
      </c>
      <c r="K107" s="21" t="n">
        <v>0</v>
      </c>
      <c r="L107" s="21" t="n">
        <v>0</v>
      </c>
      <c r="M107" s="21" t="n">
        <v>0</v>
      </c>
      <c r="N107" s="21" t="n">
        <v>0</v>
      </c>
      <c r="O107" s="21" t="n">
        <v>0</v>
      </c>
      <c r="P107" s="21" t="n">
        <v>0</v>
      </c>
      <c r="Q107" s="21" t="n">
        <v>0</v>
      </c>
      <c r="R107" s="21" t="n">
        <v>0</v>
      </c>
      <c r="S107" s="21" t="n">
        <v>0</v>
      </c>
      <c r="T107" s="21" t="n">
        <v>0</v>
      </c>
      <c r="U107" s="21" t="n">
        <v>0</v>
      </c>
      <c r="V107" s="21" t="n">
        <v>0</v>
      </c>
      <c r="W107" s="21" t="n">
        <v>0</v>
      </c>
      <c r="X107" s="21" t="n">
        <v>0</v>
      </c>
      <c r="Y107" s="21" t="n">
        <v>0</v>
      </c>
      <c r="Z107" s="21" t="n">
        <v>0</v>
      </c>
      <c r="AA107" s="21" t="n">
        <v>0</v>
      </c>
      <c r="AB107" s="21" t="n">
        <v>0</v>
      </c>
      <c r="AC107" s="21" t="n">
        <v>0</v>
      </c>
      <c r="AD107" s="21" t="n">
        <v>0</v>
      </c>
      <c r="AE107" s="21" t="n">
        <v>0</v>
      </c>
      <c r="AF107" s="21" t="n">
        <v>0</v>
      </c>
      <c r="AG107" s="21" t="n">
        <v>0</v>
      </c>
      <c r="AH107" s="21" t="n">
        <v>0</v>
      </c>
      <c r="AI107" s="21" t="n">
        <v>0</v>
      </c>
      <c r="AJ107" s="21" t="n">
        <v>0</v>
      </c>
      <c r="AK107" s="21" t="n">
        <v>0</v>
      </c>
      <c r="AL107" s="21" t="n">
        <v>0</v>
      </c>
      <c r="AM107" s="21" t="n">
        <v>0</v>
      </c>
      <c r="AN107" s="21" t="n">
        <v>0</v>
      </c>
      <c r="AO107" s="21" t="n">
        <v>0</v>
      </c>
      <c r="AP107" s="21" t="n">
        <v>0</v>
      </c>
      <c r="AQ107" s="21" t="n">
        <v>0</v>
      </c>
      <c r="AR107" s="21" t="n">
        <v>0</v>
      </c>
      <c r="AS107" s="21" t="n">
        <v>0</v>
      </c>
      <c r="AT107" s="21" t="n">
        <v>0</v>
      </c>
      <c r="AU107" s="21" t="n">
        <v>0</v>
      </c>
      <c r="AV107" s="21" t="n">
        <v>0</v>
      </c>
      <c r="AW107" s="21" t="n">
        <v>0</v>
      </c>
      <c r="AX107" s="21" t="n">
        <v>0</v>
      </c>
      <c r="AY107" s="21" t="n">
        <v>0</v>
      </c>
      <c r="AZ107" s="21" t="n">
        <v>0</v>
      </c>
      <c r="BA107" s="21" t="n">
        <v>0</v>
      </c>
      <c r="BB107" s="21" t="n">
        <v>0</v>
      </c>
      <c r="BC107" s="21" t="n">
        <v>0</v>
      </c>
      <c r="BD107" s="21" t="n">
        <v>0</v>
      </c>
      <c r="BE107" s="21" t="n">
        <v>0</v>
      </c>
      <c r="BF107" s="21" t="n">
        <v>0</v>
      </c>
      <c r="BG107" s="21" t="n">
        <v>0</v>
      </c>
      <c r="BH107" s="21" t="n">
        <v>0</v>
      </c>
      <c r="BI107" s="21" t="n">
        <v>0</v>
      </c>
      <c r="BJ107" s="21" t="n">
        <v>0</v>
      </c>
      <c r="BK107" s="21" t="n">
        <v>0</v>
      </c>
      <c r="BL107" s="21" t="n">
        <v>0</v>
      </c>
      <c r="BM107" s="21" t="n">
        <v>0</v>
      </c>
      <c r="BN107" s="21" t="n">
        <v>0</v>
      </c>
      <c r="BO107" s="21" t="n">
        <v>0</v>
      </c>
      <c r="BP107" s="21" t="n">
        <v>0</v>
      </c>
      <c r="BQ107" s="21" t="n">
        <v>0</v>
      </c>
      <c r="BR107" s="21" t="n">
        <v>0</v>
      </c>
      <c r="BS107" s="21" t="n">
        <v>0</v>
      </c>
      <c r="BT107" s="21" t="n">
        <v>0</v>
      </c>
      <c r="BU107" s="21" t="n">
        <v>0</v>
      </c>
      <c r="BV107" s="21" t="n">
        <v>0</v>
      </c>
      <c r="BW107" s="21" t="n">
        <v>0</v>
      </c>
      <c r="BX107" s="21" t="n">
        <v>0</v>
      </c>
      <c r="BY107" s="21" t="n">
        <v>0</v>
      </c>
      <c r="BZ107" s="21" t="n">
        <v>0</v>
      </c>
      <c r="CA107" s="21" t="n">
        <v>0</v>
      </c>
      <c r="CB107" s="21" t="n">
        <v>0</v>
      </c>
      <c r="CC107" s="21" t="n">
        <v>0</v>
      </c>
      <c r="CD107" s="21" t="n">
        <v>0</v>
      </c>
      <c r="CE107" s="21" t="n">
        <v>0</v>
      </c>
      <c r="CF107" s="21" t="n">
        <v>0</v>
      </c>
      <c r="CG107" s="21" t="n">
        <v>0</v>
      </c>
      <c r="CH107" s="21" t="n">
        <v>0</v>
      </c>
      <c r="CI107" s="21" t="n">
        <v>0</v>
      </c>
      <c r="CJ107" s="21" t="n">
        <v>0</v>
      </c>
      <c r="CK107" s="21" t="n">
        <v>0</v>
      </c>
      <c r="CL107" s="21" t="n">
        <v>0</v>
      </c>
      <c r="CM107" s="21" t="n">
        <v>0</v>
      </c>
      <c r="CN107" s="21" t="n">
        <v>0</v>
      </c>
      <c r="CO107" s="21" t="n">
        <v>0</v>
      </c>
      <c r="CP107" s="21" t="n">
        <v>0</v>
      </c>
      <c r="CQ107" s="21" t="n">
        <v>0</v>
      </c>
      <c r="CR107" s="21" t="n">
        <v>0</v>
      </c>
      <c r="CS107" s="21" t="n">
        <v>0</v>
      </c>
      <c r="CT107" s="21" t="n">
        <v>0</v>
      </c>
      <c r="CU107" s="21" t="n">
        <v>0</v>
      </c>
      <c r="CV107" s="21" t="n">
        <v>0</v>
      </c>
      <c r="CW107" s="21" t="n">
        <v>0</v>
      </c>
      <c r="CX107" s="21" t="n">
        <v>0</v>
      </c>
      <c r="CY107" s="21" t="n">
        <v>0</v>
      </c>
      <c r="CZ107" s="21" t="n">
        <v>0</v>
      </c>
      <c r="DA107" s="21" t="n">
        <v>0</v>
      </c>
    </row>
    <row r="108">
      <c r="A108" t="inlineStr">
        <is>
          <t>VSP-567</t>
        </is>
      </c>
      <c r="B108" s="21" t="n">
        <v>0</v>
      </c>
      <c r="C108" s="21" t="n">
        <v>0</v>
      </c>
      <c r="D108" s="21" t="n">
        <v>0</v>
      </c>
      <c r="E108" s="21" t="n">
        <v>0</v>
      </c>
      <c r="F108" s="21" t="n">
        <v>0</v>
      </c>
      <c r="G108" s="21" t="n">
        <v>0</v>
      </c>
      <c r="H108" s="21" t="n">
        <v>0</v>
      </c>
      <c r="I108" s="21" t="n">
        <v>0</v>
      </c>
      <c r="J108" s="21" t="n">
        <v>0</v>
      </c>
      <c r="K108" s="21" t="n">
        <v>0</v>
      </c>
      <c r="L108" s="21" t="n">
        <v>0</v>
      </c>
      <c r="M108" s="21" t="n">
        <v>0</v>
      </c>
      <c r="N108" s="21" t="n">
        <v>0</v>
      </c>
      <c r="O108" s="21" t="n">
        <v>0</v>
      </c>
      <c r="P108" s="21" t="n">
        <v>0</v>
      </c>
      <c r="Q108" s="21" t="n">
        <v>0</v>
      </c>
      <c r="R108" s="21" t="n">
        <v>0</v>
      </c>
      <c r="S108" s="21" t="n">
        <v>0</v>
      </c>
      <c r="T108" s="21" t="n">
        <v>0</v>
      </c>
      <c r="U108" s="21" t="n">
        <v>0</v>
      </c>
      <c r="V108" s="21" t="n">
        <v>0</v>
      </c>
      <c r="W108" s="21" t="n">
        <v>0</v>
      </c>
      <c r="X108" s="21" t="n">
        <v>0</v>
      </c>
      <c r="Y108" s="21" t="n">
        <v>0</v>
      </c>
      <c r="Z108" s="21" t="n">
        <v>0</v>
      </c>
      <c r="AA108" s="21" t="n">
        <v>0</v>
      </c>
      <c r="AB108" s="21" t="n">
        <v>0</v>
      </c>
      <c r="AC108" s="21" t="n">
        <v>0</v>
      </c>
      <c r="AD108" s="21" t="n">
        <v>0</v>
      </c>
      <c r="AE108" s="21" t="n">
        <v>0</v>
      </c>
      <c r="AF108" s="21" t="n">
        <v>0</v>
      </c>
      <c r="AG108" s="21" t="n">
        <v>0</v>
      </c>
      <c r="AH108" s="21" t="n">
        <v>0</v>
      </c>
      <c r="AI108" s="21" t="n">
        <v>0</v>
      </c>
      <c r="AJ108" s="21" t="n">
        <v>0</v>
      </c>
      <c r="AK108" s="21" t="n">
        <v>0</v>
      </c>
      <c r="AL108" s="21" t="n">
        <v>0</v>
      </c>
      <c r="AM108" s="21" t="n">
        <v>0</v>
      </c>
      <c r="AN108" s="21" t="n">
        <v>0</v>
      </c>
      <c r="AO108" s="21" t="n">
        <v>0</v>
      </c>
      <c r="AP108" s="21" t="n">
        <v>0</v>
      </c>
      <c r="AQ108" s="21" t="n">
        <v>0</v>
      </c>
      <c r="AR108" s="21" t="n">
        <v>0</v>
      </c>
      <c r="AS108" s="21" t="n">
        <v>0</v>
      </c>
      <c r="AT108" s="21" t="n">
        <v>0</v>
      </c>
      <c r="AU108" s="21" t="n">
        <v>0</v>
      </c>
      <c r="AV108" s="21" t="n">
        <v>0</v>
      </c>
      <c r="AW108" s="21" t="n">
        <v>0</v>
      </c>
      <c r="AX108" s="21" t="n">
        <v>0</v>
      </c>
      <c r="AY108" s="21" t="n">
        <v>0</v>
      </c>
      <c r="AZ108" s="21" t="n">
        <v>0</v>
      </c>
      <c r="BA108" s="21" t="n">
        <v>0</v>
      </c>
      <c r="BB108" s="21" t="n">
        <v>0</v>
      </c>
      <c r="BC108" s="21" t="n">
        <v>0</v>
      </c>
      <c r="BD108" s="21" t="n">
        <v>0</v>
      </c>
      <c r="BE108" s="21" t="n">
        <v>0</v>
      </c>
      <c r="BF108" s="21" t="n">
        <v>0</v>
      </c>
      <c r="BG108" s="21" t="n">
        <v>0</v>
      </c>
      <c r="BH108" s="21" t="n">
        <v>0</v>
      </c>
      <c r="BI108" s="21" t="n">
        <v>0</v>
      </c>
      <c r="BJ108" s="21" t="n">
        <v>0</v>
      </c>
      <c r="BK108" s="21" t="n">
        <v>0</v>
      </c>
      <c r="BL108" s="21" t="n">
        <v>0</v>
      </c>
      <c r="BM108" s="21" t="n">
        <v>0</v>
      </c>
      <c r="BN108" s="21" t="n">
        <v>0</v>
      </c>
      <c r="BO108" s="21" t="n">
        <v>0</v>
      </c>
      <c r="BP108" s="21" t="n">
        <v>0</v>
      </c>
      <c r="BQ108" s="21" t="n">
        <v>0</v>
      </c>
      <c r="BR108" s="21" t="n">
        <v>0</v>
      </c>
      <c r="BS108" s="21" t="n">
        <v>0</v>
      </c>
      <c r="BT108" s="21" t="n">
        <v>0</v>
      </c>
      <c r="BU108" s="21" t="n">
        <v>0</v>
      </c>
      <c r="BV108" s="21" t="n">
        <v>0</v>
      </c>
      <c r="BW108" s="21" t="n">
        <v>0</v>
      </c>
      <c r="BX108" s="21" t="n">
        <v>0</v>
      </c>
      <c r="BY108" s="21" t="n">
        <v>0</v>
      </c>
      <c r="BZ108" s="21" t="n">
        <v>0</v>
      </c>
      <c r="CA108" s="21" t="n">
        <v>0</v>
      </c>
      <c r="CB108" s="21" t="n">
        <v>0</v>
      </c>
      <c r="CC108" s="21" t="n">
        <v>0</v>
      </c>
      <c r="CD108" s="21" t="n">
        <v>0</v>
      </c>
      <c r="CE108" s="21" t="n">
        <v>0</v>
      </c>
      <c r="CF108" s="21" t="n">
        <v>0</v>
      </c>
      <c r="CG108" s="21" t="n">
        <v>0</v>
      </c>
      <c r="CH108" s="21" t="n">
        <v>0</v>
      </c>
      <c r="CI108" s="21" t="n">
        <v>0</v>
      </c>
      <c r="CJ108" s="21" t="n">
        <v>0</v>
      </c>
      <c r="CK108" s="21" t="n">
        <v>0</v>
      </c>
      <c r="CL108" s="21" t="n">
        <v>0</v>
      </c>
      <c r="CM108" s="21" t="n">
        <v>0</v>
      </c>
      <c r="CN108" s="21" t="n">
        <v>0</v>
      </c>
      <c r="CO108" s="21" t="n">
        <v>0</v>
      </c>
      <c r="CP108" s="21" t="n">
        <v>0</v>
      </c>
      <c r="CQ108" s="21" t="n">
        <v>0</v>
      </c>
      <c r="CR108" s="21" t="n">
        <v>0</v>
      </c>
      <c r="CS108" s="21" t="n">
        <v>0</v>
      </c>
      <c r="CT108" s="21" t="n">
        <v>0</v>
      </c>
      <c r="CU108" s="21" t="n">
        <v>0</v>
      </c>
      <c r="CV108" s="21" t="n">
        <v>0</v>
      </c>
      <c r="CW108" s="21" t="n">
        <v>0</v>
      </c>
      <c r="CX108" s="21" t="n">
        <v>0</v>
      </c>
      <c r="CY108" s="21" t="n">
        <v>0</v>
      </c>
      <c r="CZ108" s="21" t="n">
        <v>0</v>
      </c>
      <c r="DA108" s="21" t="n">
        <v>0</v>
      </c>
    </row>
    <row r="109">
      <c r="A109" t="inlineStr">
        <is>
          <t>VSP-603</t>
        </is>
      </c>
      <c r="B109" s="21" t="n">
        <v>0</v>
      </c>
      <c r="C109" s="21" t="n">
        <v>0</v>
      </c>
      <c r="D109" s="21" t="n">
        <v>0</v>
      </c>
      <c r="E109" s="21" t="n">
        <v>0</v>
      </c>
      <c r="F109" s="21" t="n">
        <v>0</v>
      </c>
      <c r="G109" s="21" t="n">
        <v>0</v>
      </c>
      <c r="H109" s="21" t="n">
        <v>0</v>
      </c>
      <c r="I109" s="21" t="n">
        <v>0</v>
      </c>
      <c r="J109" s="21" t="n">
        <v>0</v>
      </c>
      <c r="K109" s="21" t="n">
        <v>0</v>
      </c>
      <c r="L109" s="21" t="n">
        <v>0</v>
      </c>
      <c r="M109" s="21" t="n">
        <v>0</v>
      </c>
      <c r="N109" s="21" t="n">
        <v>0</v>
      </c>
      <c r="O109" s="21" t="n">
        <v>0</v>
      </c>
      <c r="P109" s="21" t="n">
        <v>0</v>
      </c>
      <c r="Q109" s="21" t="n">
        <v>0</v>
      </c>
      <c r="R109" s="21" t="n">
        <v>0</v>
      </c>
      <c r="S109" s="21" t="n">
        <v>0</v>
      </c>
      <c r="T109" s="21" t="n">
        <v>0</v>
      </c>
      <c r="U109" s="21" t="n">
        <v>0</v>
      </c>
      <c r="V109" s="21" t="n">
        <v>0</v>
      </c>
      <c r="W109" s="21" t="n">
        <v>0</v>
      </c>
      <c r="X109" s="21" t="n">
        <v>0</v>
      </c>
      <c r="Y109" s="21" t="n">
        <v>0</v>
      </c>
      <c r="Z109" s="21" t="n">
        <v>0</v>
      </c>
      <c r="AA109" s="21" t="n">
        <v>0</v>
      </c>
      <c r="AB109" s="21" t="n">
        <v>0</v>
      </c>
      <c r="AC109" s="21" t="n">
        <v>0</v>
      </c>
      <c r="AD109" s="21" t="n">
        <v>0</v>
      </c>
      <c r="AE109" s="21" t="n">
        <v>0</v>
      </c>
      <c r="AF109" s="21" t="n">
        <v>0</v>
      </c>
      <c r="AG109" s="21" t="n">
        <v>0</v>
      </c>
      <c r="AH109" s="21" t="n">
        <v>0</v>
      </c>
      <c r="AI109" s="21" t="n">
        <v>0</v>
      </c>
      <c r="AJ109" s="21" t="n">
        <v>0</v>
      </c>
      <c r="AK109" s="21" t="n">
        <v>0</v>
      </c>
      <c r="AL109" s="21" t="n">
        <v>0</v>
      </c>
      <c r="AM109" s="21" t="n">
        <v>0</v>
      </c>
      <c r="AN109" s="21" t="n">
        <v>0</v>
      </c>
      <c r="AO109" s="21" t="n">
        <v>0</v>
      </c>
      <c r="AP109" s="21" t="n">
        <v>0</v>
      </c>
      <c r="AQ109" s="21" t="n">
        <v>0</v>
      </c>
      <c r="AR109" s="21" t="n">
        <v>0</v>
      </c>
      <c r="AS109" s="21" t="n">
        <v>0</v>
      </c>
      <c r="AT109" s="21" t="n">
        <v>0</v>
      </c>
      <c r="AU109" s="21" t="n">
        <v>0</v>
      </c>
      <c r="AV109" s="21" t="n">
        <v>0</v>
      </c>
      <c r="AW109" s="21" t="n">
        <v>0</v>
      </c>
      <c r="AX109" s="21" t="n">
        <v>0</v>
      </c>
      <c r="AY109" s="21" t="n">
        <v>0</v>
      </c>
      <c r="AZ109" s="21" t="n">
        <v>0</v>
      </c>
      <c r="BA109" s="21" t="n">
        <v>0</v>
      </c>
      <c r="BB109" s="21" t="n">
        <v>0</v>
      </c>
      <c r="BC109" s="21" t="n">
        <v>0</v>
      </c>
      <c r="BD109" s="21" t="n">
        <v>0</v>
      </c>
      <c r="BE109" s="21" t="n">
        <v>0</v>
      </c>
      <c r="BF109" s="21" t="n">
        <v>0</v>
      </c>
      <c r="BG109" s="21" t="n">
        <v>0</v>
      </c>
      <c r="BH109" s="21" t="n">
        <v>0</v>
      </c>
      <c r="BI109" s="21" t="n">
        <v>0</v>
      </c>
      <c r="BJ109" s="21" t="n">
        <v>0</v>
      </c>
      <c r="BK109" s="21" t="n">
        <v>0</v>
      </c>
      <c r="BL109" s="21" t="n">
        <v>0</v>
      </c>
      <c r="BM109" s="21" t="n">
        <v>0</v>
      </c>
      <c r="BN109" s="21" t="n">
        <v>0</v>
      </c>
      <c r="BO109" s="21" t="n">
        <v>0</v>
      </c>
      <c r="BP109" s="21" t="n">
        <v>0</v>
      </c>
      <c r="BQ109" s="21" t="n">
        <v>0</v>
      </c>
      <c r="BR109" s="21" t="n">
        <v>0</v>
      </c>
      <c r="BS109" s="21" t="n">
        <v>0</v>
      </c>
      <c r="BT109" s="21" t="n">
        <v>0</v>
      </c>
      <c r="BU109" s="21" t="n">
        <v>0</v>
      </c>
      <c r="BV109" s="21" t="n">
        <v>0</v>
      </c>
      <c r="BW109" s="21" t="n">
        <v>0</v>
      </c>
      <c r="BX109" s="21" t="n">
        <v>0</v>
      </c>
      <c r="BY109" s="21" t="n">
        <v>0</v>
      </c>
      <c r="BZ109" s="21" t="n">
        <v>0</v>
      </c>
      <c r="CA109" s="21" t="n">
        <v>0</v>
      </c>
      <c r="CB109" s="21" t="n">
        <v>0</v>
      </c>
      <c r="CC109" s="21" t="n">
        <v>0</v>
      </c>
      <c r="CD109" s="21" t="n">
        <v>0</v>
      </c>
      <c r="CE109" s="21" t="n">
        <v>0</v>
      </c>
      <c r="CF109" s="21" t="n">
        <v>0</v>
      </c>
      <c r="CG109" s="21" t="n">
        <v>0</v>
      </c>
      <c r="CH109" s="21" t="n">
        <v>0</v>
      </c>
      <c r="CI109" s="21" t="n">
        <v>0</v>
      </c>
      <c r="CJ109" s="21" t="n">
        <v>0</v>
      </c>
      <c r="CK109" s="21" t="n">
        <v>0</v>
      </c>
      <c r="CL109" s="21" t="n">
        <v>0</v>
      </c>
      <c r="CM109" s="21" t="n">
        <v>0</v>
      </c>
      <c r="CN109" s="21" t="n">
        <v>0</v>
      </c>
      <c r="CO109" s="21" t="n">
        <v>0</v>
      </c>
      <c r="CP109" s="21" t="n">
        <v>0</v>
      </c>
      <c r="CQ109" s="21" t="n">
        <v>0</v>
      </c>
      <c r="CR109" s="21" t="n">
        <v>0</v>
      </c>
      <c r="CS109" s="21" t="n">
        <v>0</v>
      </c>
      <c r="CT109" s="21" t="n">
        <v>0</v>
      </c>
      <c r="CU109" s="21" t="n">
        <v>0</v>
      </c>
      <c r="CV109" s="21" t="n">
        <v>0</v>
      </c>
      <c r="CW109" s="21" t="n">
        <v>0</v>
      </c>
      <c r="CX109" s="21" t="n">
        <v>0</v>
      </c>
      <c r="CY109" s="21" t="n">
        <v>0</v>
      </c>
      <c r="CZ109" s="21" t="n">
        <v>0</v>
      </c>
      <c r="DA109" s="21" t="n">
        <v>0</v>
      </c>
    </row>
    <row r="110">
      <c r="A110" t="inlineStr">
        <is>
          <t>VSP-604</t>
        </is>
      </c>
      <c r="B110" s="21" t="n">
        <v>0</v>
      </c>
      <c r="C110" s="21" t="n">
        <v>0</v>
      </c>
      <c r="D110" s="21" t="n">
        <v>0</v>
      </c>
      <c r="E110" s="21" t="n">
        <v>0</v>
      </c>
      <c r="F110" s="21" t="n">
        <v>0</v>
      </c>
      <c r="G110" s="21" t="n">
        <v>0</v>
      </c>
      <c r="H110" s="21" t="n">
        <v>0</v>
      </c>
      <c r="I110" s="21" t="n">
        <v>0</v>
      </c>
      <c r="J110" s="21" t="n">
        <v>0</v>
      </c>
      <c r="K110" s="21" t="n">
        <v>0</v>
      </c>
      <c r="L110" s="21" t="n">
        <v>0</v>
      </c>
      <c r="M110" s="21" t="n">
        <v>0</v>
      </c>
      <c r="N110" s="21" t="n">
        <v>0</v>
      </c>
      <c r="O110" s="21" t="n">
        <v>0</v>
      </c>
      <c r="P110" s="21" t="n">
        <v>0</v>
      </c>
      <c r="Q110" s="21" t="n">
        <v>0</v>
      </c>
      <c r="R110" s="21" t="n">
        <v>0</v>
      </c>
      <c r="S110" s="21" t="n">
        <v>0</v>
      </c>
      <c r="T110" s="21" t="n">
        <v>0</v>
      </c>
      <c r="U110" s="21" t="n">
        <v>0</v>
      </c>
      <c r="V110" s="21" t="n">
        <v>0</v>
      </c>
      <c r="W110" s="21" t="n">
        <v>0</v>
      </c>
      <c r="X110" s="21" t="n">
        <v>0</v>
      </c>
      <c r="Y110" s="21" t="n">
        <v>0</v>
      </c>
      <c r="Z110" s="21" t="n">
        <v>0</v>
      </c>
      <c r="AA110" s="21" t="n">
        <v>0</v>
      </c>
      <c r="AB110" s="21" t="n">
        <v>0</v>
      </c>
      <c r="AC110" s="21" t="n">
        <v>0</v>
      </c>
      <c r="AD110" s="21" t="n">
        <v>0</v>
      </c>
      <c r="AE110" s="21" t="n">
        <v>0</v>
      </c>
      <c r="AF110" s="21" t="n">
        <v>0</v>
      </c>
      <c r="AG110" s="21" t="n">
        <v>0</v>
      </c>
      <c r="AH110" s="21" t="n">
        <v>0</v>
      </c>
      <c r="AI110" s="21" t="n">
        <v>0</v>
      </c>
      <c r="AJ110" s="21" t="n">
        <v>0</v>
      </c>
      <c r="AK110" s="21" t="n">
        <v>0</v>
      </c>
      <c r="AL110" s="21" t="n">
        <v>0</v>
      </c>
      <c r="AM110" s="21" t="n">
        <v>0</v>
      </c>
      <c r="AN110" s="21" t="n">
        <v>0</v>
      </c>
      <c r="AO110" s="21" t="n">
        <v>0</v>
      </c>
      <c r="AP110" s="21" t="n">
        <v>0</v>
      </c>
      <c r="AQ110" s="21" t="n">
        <v>0</v>
      </c>
      <c r="AR110" s="21" t="n">
        <v>0</v>
      </c>
      <c r="AS110" s="21" t="n">
        <v>0</v>
      </c>
      <c r="AT110" s="21" t="n">
        <v>0</v>
      </c>
      <c r="AU110" s="21" t="n">
        <v>0</v>
      </c>
      <c r="AV110" s="21" t="n">
        <v>0</v>
      </c>
      <c r="AW110" s="21" t="n">
        <v>0</v>
      </c>
      <c r="AX110" s="21" t="n">
        <v>0</v>
      </c>
      <c r="AY110" s="21" t="n">
        <v>0</v>
      </c>
      <c r="AZ110" s="21" t="n">
        <v>0</v>
      </c>
      <c r="BA110" s="21" t="n">
        <v>0</v>
      </c>
      <c r="BB110" s="21" t="n">
        <v>0</v>
      </c>
      <c r="BC110" s="21" t="n">
        <v>0</v>
      </c>
      <c r="BD110" s="21" t="n">
        <v>0</v>
      </c>
      <c r="BE110" s="21" t="n">
        <v>0</v>
      </c>
      <c r="BF110" s="21" t="n">
        <v>0</v>
      </c>
      <c r="BG110" s="21" t="n">
        <v>0</v>
      </c>
      <c r="BH110" s="21" t="n">
        <v>0</v>
      </c>
      <c r="BI110" s="21" t="n">
        <v>0</v>
      </c>
      <c r="BJ110" s="21" t="n">
        <v>0</v>
      </c>
      <c r="BK110" s="21" t="n">
        <v>0</v>
      </c>
      <c r="BL110" s="21" t="n">
        <v>0</v>
      </c>
      <c r="BM110" s="21" t="n">
        <v>0</v>
      </c>
      <c r="BN110" s="21" t="n">
        <v>0</v>
      </c>
      <c r="BO110" s="21" t="n">
        <v>0</v>
      </c>
      <c r="BP110" s="21" t="n">
        <v>0</v>
      </c>
      <c r="BQ110" s="21" t="n">
        <v>0</v>
      </c>
      <c r="BR110" s="21" t="n">
        <v>0</v>
      </c>
      <c r="BS110" s="21" t="n">
        <v>0</v>
      </c>
      <c r="BT110" s="21" t="n">
        <v>0</v>
      </c>
      <c r="BU110" s="21" t="n">
        <v>0</v>
      </c>
      <c r="BV110" s="21" t="n">
        <v>0</v>
      </c>
      <c r="BW110" s="21" t="n">
        <v>0</v>
      </c>
      <c r="BX110" s="21" t="n">
        <v>0</v>
      </c>
      <c r="BY110" s="21" t="n">
        <v>0</v>
      </c>
      <c r="BZ110" s="21" t="n">
        <v>0</v>
      </c>
      <c r="CA110" s="21" t="n">
        <v>0</v>
      </c>
      <c r="CB110" s="21" t="n">
        <v>0</v>
      </c>
      <c r="CC110" s="21" t="n">
        <v>0</v>
      </c>
      <c r="CD110" s="21" t="n">
        <v>0</v>
      </c>
      <c r="CE110" s="21" t="n">
        <v>0</v>
      </c>
      <c r="CF110" s="21" t="n">
        <v>0</v>
      </c>
      <c r="CG110" s="21" t="n">
        <v>0</v>
      </c>
      <c r="CH110" s="21" t="n">
        <v>0</v>
      </c>
      <c r="CI110" s="21" t="n">
        <v>0</v>
      </c>
      <c r="CJ110" s="21" t="n">
        <v>0</v>
      </c>
      <c r="CK110" s="21" t="n">
        <v>0</v>
      </c>
      <c r="CL110" s="21" t="n">
        <v>0</v>
      </c>
      <c r="CM110" s="21" t="n">
        <v>0</v>
      </c>
      <c r="CN110" s="21" t="n">
        <v>0</v>
      </c>
      <c r="CO110" s="21" t="n">
        <v>0</v>
      </c>
      <c r="CP110" s="21" t="n">
        <v>0</v>
      </c>
      <c r="CQ110" s="21" t="n">
        <v>0</v>
      </c>
      <c r="CR110" s="21" t="n">
        <v>0</v>
      </c>
      <c r="CS110" s="21" t="n">
        <v>0</v>
      </c>
      <c r="CT110" s="21" t="n">
        <v>0</v>
      </c>
      <c r="CU110" s="21" t="n">
        <v>0</v>
      </c>
      <c r="CV110" s="21" t="n">
        <v>0</v>
      </c>
      <c r="CW110" s="21" t="n">
        <v>0</v>
      </c>
      <c r="CX110" s="21" t="n">
        <v>0</v>
      </c>
      <c r="CY110" s="21" t="n">
        <v>0</v>
      </c>
      <c r="CZ110" s="21" t="n">
        <v>0</v>
      </c>
      <c r="DA110" s="21" t="n">
        <v>0</v>
      </c>
    </row>
    <row r="111">
      <c r="A111" t="inlineStr">
        <is>
          <t>VSP-605</t>
        </is>
      </c>
      <c r="B111" s="21" t="n">
        <v>0</v>
      </c>
      <c r="C111" s="21" t="n">
        <v>0</v>
      </c>
      <c r="D111" s="21" t="n">
        <v>0</v>
      </c>
      <c r="E111" s="21" t="n">
        <v>0</v>
      </c>
      <c r="F111" s="21" t="n">
        <v>0</v>
      </c>
      <c r="G111" s="21" t="n">
        <v>0</v>
      </c>
      <c r="H111" s="21" t="n">
        <v>0</v>
      </c>
      <c r="I111" s="21" t="n">
        <v>0</v>
      </c>
      <c r="J111" s="21" t="n">
        <v>0</v>
      </c>
      <c r="K111" s="21" t="n">
        <v>0</v>
      </c>
      <c r="L111" s="21" t="n">
        <v>0</v>
      </c>
      <c r="M111" s="21" t="n">
        <v>0</v>
      </c>
      <c r="N111" s="21" t="n">
        <v>0</v>
      </c>
      <c r="O111" s="21" t="n">
        <v>0</v>
      </c>
      <c r="P111" s="21" t="n">
        <v>0</v>
      </c>
      <c r="Q111" s="21" t="n">
        <v>0</v>
      </c>
      <c r="R111" s="21" t="n">
        <v>0</v>
      </c>
      <c r="S111" s="21" t="n">
        <v>0</v>
      </c>
      <c r="T111" s="21" t="n">
        <v>0</v>
      </c>
      <c r="U111" s="21" t="n">
        <v>0</v>
      </c>
      <c r="V111" s="21" t="n">
        <v>0</v>
      </c>
      <c r="W111" s="21" t="n">
        <v>0</v>
      </c>
      <c r="X111" s="21" t="n">
        <v>0</v>
      </c>
      <c r="Y111" s="21" t="n">
        <v>0</v>
      </c>
      <c r="Z111" s="21" t="n">
        <v>0</v>
      </c>
      <c r="AA111" s="21" t="n">
        <v>0</v>
      </c>
      <c r="AB111" s="21" t="n">
        <v>0</v>
      </c>
      <c r="AC111" s="21" t="n">
        <v>0</v>
      </c>
      <c r="AD111" s="21" t="n">
        <v>0</v>
      </c>
      <c r="AE111" s="21" t="n">
        <v>0</v>
      </c>
      <c r="AF111" s="21" t="n">
        <v>0</v>
      </c>
      <c r="AG111" s="21" t="n">
        <v>0</v>
      </c>
      <c r="AH111" s="21" t="n">
        <v>0</v>
      </c>
      <c r="AI111" s="21" t="n">
        <v>0</v>
      </c>
      <c r="AJ111" s="21" t="n">
        <v>0</v>
      </c>
      <c r="AK111" s="21" t="n">
        <v>0</v>
      </c>
      <c r="AL111" s="21" t="n">
        <v>0</v>
      </c>
      <c r="AM111" s="21" t="n">
        <v>0</v>
      </c>
      <c r="AN111" s="21" t="n">
        <v>0</v>
      </c>
      <c r="AO111" s="21" t="n">
        <v>0</v>
      </c>
      <c r="AP111" s="21" t="n">
        <v>0</v>
      </c>
      <c r="AQ111" s="21" t="n">
        <v>0</v>
      </c>
      <c r="AR111" s="21" t="n">
        <v>0</v>
      </c>
      <c r="AS111" s="21" t="n">
        <v>0</v>
      </c>
      <c r="AT111" s="21" t="n">
        <v>0</v>
      </c>
      <c r="AU111" s="21" t="n">
        <v>0</v>
      </c>
      <c r="AV111" s="21" t="n">
        <v>0</v>
      </c>
      <c r="AW111" s="21" t="n">
        <v>0</v>
      </c>
      <c r="AX111" s="21" t="n">
        <v>0</v>
      </c>
      <c r="AY111" s="21" t="n">
        <v>0</v>
      </c>
      <c r="AZ111" s="21" t="n">
        <v>0</v>
      </c>
      <c r="BA111" s="21" t="n">
        <v>0</v>
      </c>
      <c r="BB111" s="21" t="n">
        <v>0</v>
      </c>
      <c r="BC111" s="21" t="n">
        <v>0</v>
      </c>
      <c r="BD111" s="21" t="n">
        <v>0</v>
      </c>
      <c r="BE111" s="21" t="n">
        <v>0</v>
      </c>
      <c r="BF111" s="21" t="n">
        <v>0</v>
      </c>
      <c r="BG111" s="21" t="n">
        <v>0</v>
      </c>
      <c r="BH111" s="21" t="n">
        <v>0</v>
      </c>
      <c r="BI111" s="21" t="n">
        <v>0</v>
      </c>
      <c r="BJ111" s="21" t="n">
        <v>0</v>
      </c>
      <c r="BK111" s="21" t="n">
        <v>0</v>
      </c>
      <c r="BL111" s="21" t="n">
        <v>0</v>
      </c>
      <c r="BM111" s="21" t="n">
        <v>0</v>
      </c>
      <c r="BN111" s="21" t="n">
        <v>0</v>
      </c>
      <c r="BO111" s="21" t="n">
        <v>0</v>
      </c>
      <c r="BP111" s="21" t="n">
        <v>0</v>
      </c>
      <c r="BQ111" s="21" t="n">
        <v>0</v>
      </c>
      <c r="BR111" s="21" t="n">
        <v>0</v>
      </c>
      <c r="BS111" s="21" t="n">
        <v>0</v>
      </c>
      <c r="BT111" s="21" t="n">
        <v>0</v>
      </c>
      <c r="BU111" s="21" t="n">
        <v>0</v>
      </c>
      <c r="BV111" s="21" t="n">
        <v>0</v>
      </c>
      <c r="BW111" s="21" t="n">
        <v>0</v>
      </c>
      <c r="BX111" s="21" t="n">
        <v>0</v>
      </c>
      <c r="BY111" s="21" t="n">
        <v>0</v>
      </c>
      <c r="BZ111" s="21" t="n">
        <v>0</v>
      </c>
      <c r="CA111" s="21" t="n">
        <v>0</v>
      </c>
      <c r="CB111" s="21" t="n">
        <v>0</v>
      </c>
      <c r="CC111" s="21" t="n">
        <v>0</v>
      </c>
      <c r="CD111" s="21" t="n">
        <v>0</v>
      </c>
      <c r="CE111" s="21" t="n">
        <v>0</v>
      </c>
      <c r="CF111" s="21" t="n">
        <v>0</v>
      </c>
      <c r="CG111" s="21" t="n">
        <v>0</v>
      </c>
      <c r="CH111" s="21" t="n">
        <v>0</v>
      </c>
      <c r="CI111" s="21" t="n">
        <v>0</v>
      </c>
      <c r="CJ111" s="21" t="n">
        <v>0</v>
      </c>
      <c r="CK111" s="21" t="n">
        <v>0</v>
      </c>
      <c r="CL111" s="21" t="n">
        <v>0</v>
      </c>
      <c r="CM111" s="21" t="n">
        <v>0</v>
      </c>
      <c r="CN111" s="21" t="n">
        <v>0</v>
      </c>
      <c r="CO111" s="21" t="n">
        <v>0</v>
      </c>
      <c r="CP111" s="21" t="n">
        <v>0</v>
      </c>
      <c r="CQ111" s="21" t="n">
        <v>0</v>
      </c>
      <c r="CR111" s="21" t="n">
        <v>0</v>
      </c>
      <c r="CS111" s="21" t="n">
        <v>0</v>
      </c>
      <c r="CT111" s="21" t="n">
        <v>0</v>
      </c>
      <c r="CU111" s="21" t="n">
        <v>0</v>
      </c>
      <c r="CV111" s="21" t="n">
        <v>0</v>
      </c>
      <c r="CW111" s="21" t="n">
        <v>0</v>
      </c>
      <c r="CX111" s="21" t="n">
        <v>0</v>
      </c>
      <c r="CY111" s="21" t="n">
        <v>0</v>
      </c>
      <c r="CZ111" s="21" t="n">
        <v>0</v>
      </c>
      <c r="DA111" s="21" t="n">
        <v>0</v>
      </c>
    </row>
    <row r="112">
      <c r="A112" t="inlineStr">
        <is>
          <t>VSP-606</t>
        </is>
      </c>
      <c r="B112" s="21" t="n">
        <v>0</v>
      </c>
      <c r="C112" s="21" t="n">
        <v>0</v>
      </c>
      <c r="D112" s="21" t="n">
        <v>0</v>
      </c>
      <c r="E112" s="21" t="n">
        <v>0</v>
      </c>
      <c r="F112" s="21" t="n">
        <v>0</v>
      </c>
      <c r="G112" s="21" t="n">
        <v>0</v>
      </c>
      <c r="H112" s="21" t="n">
        <v>0</v>
      </c>
      <c r="I112" s="21" t="n">
        <v>0</v>
      </c>
      <c r="J112" s="21" t="n">
        <v>0</v>
      </c>
      <c r="K112" s="21" t="n">
        <v>0</v>
      </c>
      <c r="L112" s="21" t="n">
        <v>0</v>
      </c>
      <c r="M112" s="21" t="n">
        <v>0</v>
      </c>
      <c r="N112" s="21" t="n">
        <v>0</v>
      </c>
      <c r="O112" s="21" t="n">
        <v>0</v>
      </c>
      <c r="P112" s="21" t="n">
        <v>0</v>
      </c>
      <c r="Q112" s="21" t="n">
        <v>0</v>
      </c>
      <c r="R112" s="21" t="n">
        <v>0</v>
      </c>
      <c r="S112" s="21" t="n">
        <v>0</v>
      </c>
      <c r="T112" s="21" t="n">
        <v>0</v>
      </c>
      <c r="U112" s="21" t="n">
        <v>0</v>
      </c>
      <c r="V112" s="21" t="n">
        <v>0</v>
      </c>
      <c r="W112" s="21" t="n">
        <v>0</v>
      </c>
      <c r="X112" s="21" t="n">
        <v>0</v>
      </c>
      <c r="Y112" s="21" t="n">
        <v>0</v>
      </c>
      <c r="Z112" s="21" t="n">
        <v>0</v>
      </c>
      <c r="AA112" s="21" t="n">
        <v>0</v>
      </c>
      <c r="AB112" s="21" t="n">
        <v>0</v>
      </c>
      <c r="AC112" s="21" t="n">
        <v>0</v>
      </c>
      <c r="AD112" s="21" t="n">
        <v>0</v>
      </c>
      <c r="AE112" s="21" t="n">
        <v>0</v>
      </c>
      <c r="AF112" s="21" t="n">
        <v>0</v>
      </c>
      <c r="AG112" s="21" t="n">
        <v>0</v>
      </c>
      <c r="AH112" s="21" t="n">
        <v>0</v>
      </c>
      <c r="AI112" s="21" t="n">
        <v>0</v>
      </c>
      <c r="AJ112" s="21" t="n">
        <v>0</v>
      </c>
      <c r="AK112" s="21" t="n">
        <v>0</v>
      </c>
      <c r="AL112" s="21" t="n">
        <v>0</v>
      </c>
      <c r="AM112" s="21" t="n">
        <v>0</v>
      </c>
      <c r="AN112" s="21" t="n">
        <v>0</v>
      </c>
      <c r="AO112" s="21" t="n">
        <v>0</v>
      </c>
      <c r="AP112" s="21" t="n">
        <v>0</v>
      </c>
      <c r="AQ112" s="21" t="n">
        <v>0</v>
      </c>
      <c r="AR112" s="21" t="n">
        <v>0</v>
      </c>
      <c r="AS112" s="21" t="n">
        <v>0</v>
      </c>
      <c r="AT112" s="21" t="n">
        <v>0</v>
      </c>
      <c r="AU112" s="21" t="n">
        <v>0</v>
      </c>
      <c r="AV112" s="21" t="n">
        <v>0</v>
      </c>
      <c r="AW112" s="21" t="n">
        <v>0</v>
      </c>
      <c r="AX112" s="21" t="n">
        <v>0</v>
      </c>
      <c r="AY112" s="21" t="n">
        <v>0</v>
      </c>
      <c r="AZ112" s="21" t="n">
        <v>0</v>
      </c>
      <c r="BA112" s="21" t="n">
        <v>0</v>
      </c>
      <c r="BB112" s="21" t="n">
        <v>0</v>
      </c>
      <c r="BC112" s="21" t="n">
        <v>0</v>
      </c>
      <c r="BD112" s="21" t="n">
        <v>0</v>
      </c>
      <c r="BE112" s="21" t="n">
        <v>0</v>
      </c>
      <c r="BF112" s="21" t="n">
        <v>0</v>
      </c>
      <c r="BG112" s="21" t="n">
        <v>0</v>
      </c>
      <c r="BH112" s="21" t="n">
        <v>0</v>
      </c>
      <c r="BI112" s="21" t="n">
        <v>0</v>
      </c>
      <c r="BJ112" s="21" t="n">
        <v>0</v>
      </c>
      <c r="BK112" s="21" t="n">
        <v>0</v>
      </c>
      <c r="BL112" s="21" t="n">
        <v>0</v>
      </c>
      <c r="BM112" s="21" t="n">
        <v>0</v>
      </c>
      <c r="BN112" s="21" t="n">
        <v>0</v>
      </c>
      <c r="BO112" s="21" t="n">
        <v>0</v>
      </c>
      <c r="BP112" s="21" t="n">
        <v>0</v>
      </c>
      <c r="BQ112" s="21" t="n">
        <v>0</v>
      </c>
      <c r="BR112" s="21" t="n">
        <v>0</v>
      </c>
      <c r="BS112" s="21" t="n">
        <v>0</v>
      </c>
      <c r="BT112" s="21" t="n">
        <v>0</v>
      </c>
      <c r="BU112" s="21" t="n">
        <v>0</v>
      </c>
      <c r="BV112" s="21" t="n">
        <v>0</v>
      </c>
      <c r="BW112" s="21" t="n">
        <v>0</v>
      </c>
      <c r="BX112" s="21" t="n">
        <v>0</v>
      </c>
      <c r="BY112" s="21" t="n">
        <v>0</v>
      </c>
      <c r="BZ112" s="21" t="n">
        <v>0</v>
      </c>
      <c r="CA112" s="21" t="n">
        <v>0</v>
      </c>
      <c r="CB112" s="21" t="n">
        <v>0</v>
      </c>
      <c r="CC112" s="21" t="n">
        <v>0</v>
      </c>
      <c r="CD112" s="21" t="n">
        <v>0</v>
      </c>
      <c r="CE112" s="21" t="n">
        <v>0</v>
      </c>
      <c r="CF112" s="21" t="n">
        <v>0</v>
      </c>
      <c r="CG112" s="21" t="n">
        <v>0</v>
      </c>
      <c r="CH112" s="21" t="n">
        <v>0</v>
      </c>
      <c r="CI112" s="21" t="n">
        <v>0</v>
      </c>
      <c r="CJ112" s="21" t="n">
        <v>0</v>
      </c>
      <c r="CK112" s="21" t="n">
        <v>0</v>
      </c>
      <c r="CL112" s="21" t="n">
        <v>0</v>
      </c>
      <c r="CM112" s="21" t="n">
        <v>0</v>
      </c>
      <c r="CN112" s="21" t="n">
        <v>0</v>
      </c>
      <c r="CO112" s="21" t="n">
        <v>0</v>
      </c>
      <c r="CP112" s="21" t="n">
        <v>0</v>
      </c>
      <c r="CQ112" s="21" t="n">
        <v>0</v>
      </c>
      <c r="CR112" s="21" t="n">
        <v>0</v>
      </c>
      <c r="CS112" s="21" t="n">
        <v>0</v>
      </c>
      <c r="CT112" s="21" t="n">
        <v>0</v>
      </c>
      <c r="CU112" s="21" t="n">
        <v>0</v>
      </c>
      <c r="CV112" s="21" t="n">
        <v>0</v>
      </c>
      <c r="CW112" s="21" t="n">
        <v>0</v>
      </c>
      <c r="CX112" s="21" t="n">
        <v>0</v>
      </c>
      <c r="CY112" s="21" t="n">
        <v>0</v>
      </c>
      <c r="CZ112" s="21" t="n">
        <v>0</v>
      </c>
      <c r="DA112" s="21" t="n">
        <v>0</v>
      </c>
    </row>
    <row r="113">
      <c r="A113" t="inlineStr">
        <is>
          <t>VSP-607</t>
        </is>
      </c>
      <c r="B113" s="21" t="n">
        <v>0</v>
      </c>
      <c r="C113" s="21" t="n">
        <v>0</v>
      </c>
      <c r="D113" s="21" t="n">
        <v>0</v>
      </c>
      <c r="E113" s="21" t="n">
        <v>0</v>
      </c>
      <c r="F113" s="21" t="n">
        <v>0</v>
      </c>
      <c r="G113" s="21" t="n">
        <v>0</v>
      </c>
      <c r="H113" s="21" t="n">
        <v>0</v>
      </c>
      <c r="I113" s="21" t="n">
        <v>0</v>
      </c>
      <c r="J113" s="21" t="n">
        <v>0</v>
      </c>
      <c r="K113" s="21" t="n">
        <v>0</v>
      </c>
      <c r="L113" s="21" t="n">
        <v>0</v>
      </c>
      <c r="M113" s="21" t="n">
        <v>0</v>
      </c>
      <c r="N113" s="21" t="n">
        <v>0</v>
      </c>
      <c r="O113" s="21" t="n">
        <v>0</v>
      </c>
      <c r="P113" s="21" t="n">
        <v>0</v>
      </c>
      <c r="Q113" s="21" t="n">
        <v>0</v>
      </c>
      <c r="R113" s="21" t="n">
        <v>0</v>
      </c>
      <c r="S113" s="21" t="n">
        <v>0</v>
      </c>
      <c r="T113" s="21" t="n">
        <v>0</v>
      </c>
      <c r="U113" s="21" t="n">
        <v>0</v>
      </c>
      <c r="V113" s="21" t="n">
        <v>0</v>
      </c>
      <c r="W113" s="21" t="n">
        <v>0</v>
      </c>
      <c r="X113" s="21" t="n">
        <v>0</v>
      </c>
      <c r="Y113" s="21" t="n">
        <v>0</v>
      </c>
      <c r="Z113" s="21" t="n">
        <v>0</v>
      </c>
      <c r="AA113" s="21" t="n">
        <v>0</v>
      </c>
      <c r="AB113" s="21" t="n">
        <v>0</v>
      </c>
      <c r="AC113" s="21" t="n">
        <v>0</v>
      </c>
      <c r="AD113" s="21" t="n">
        <v>0</v>
      </c>
      <c r="AE113" s="21" t="n">
        <v>0</v>
      </c>
      <c r="AF113" s="21" t="n">
        <v>0</v>
      </c>
      <c r="AG113" s="21" t="n">
        <v>0</v>
      </c>
      <c r="AH113" s="21" t="n">
        <v>0</v>
      </c>
      <c r="AI113" s="21" t="n">
        <v>0</v>
      </c>
      <c r="AJ113" s="21" t="n">
        <v>0</v>
      </c>
      <c r="AK113" s="21" t="n">
        <v>0</v>
      </c>
      <c r="AL113" s="21" t="n">
        <v>0</v>
      </c>
      <c r="AM113" s="21" t="n">
        <v>0</v>
      </c>
      <c r="AN113" s="21" t="n">
        <v>0</v>
      </c>
      <c r="AO113" s="21" t="n">
        <v>0</v>
      </c>
      <c r="AP113" s="21" t="n">
        <v>0</v>
      </c>
      <c r="AQ113" s="21" t="n">
        <v>0</v>
      </c>
      <c r="AR113" s="21" t="n">
        <v>0</v>
      </c>
      <c r="AS113" s="21" t="n">
        <v>0</v>
      </c>
      <c r="AT113" s="21" t="n">
        <v>0</v>
      </c>
      <c r="AU113" s="21" t="n">
        <v>0</v>
      </c>
      <c r="AV113" s="21" t="n">
        <v>0</v>
      </c>
      <c r="AW113" s="21" t="n">
        <v>0</v>
      </c>
      <c r="AX113" s="21" t="n">
        <v>0</v>
      </c>
      <c r="AY113" s="21" t="n">
        <v>0</v>
      </c>
      <c r="AZ113" s="21" t="n">
        <v>0</v>
      </c>
      <c r="BA113" s="21" t="n">
        <v>0</v>
      </c>
      <c r="BB113" s="21" t="n">
        <v>0</v>
      </c>
      <c r="BC113" s="21" t="n">
        <v>0</v>
      </c>
      <c r="BD113" s="21" t="n">
        <v>0</v>
      </c>
      <c r="BE113" s="21" t="n">
        <v>0</v>
      </c>
      <c r="BF113" s="21" t="n">
        <v>0</v>
      </c>
      <c r="BG113" s="21" t="n">
        <v>0</v>
      </c>
      <c r="BH113" s="21" t="n">
        <v>0</v>
      </c>
      <c r="BI113" s="21" t="n">
        <v>0</v>
      </c>
      <c r="BJ113" s="21" t="n">
        <v>0</v>
      </c>
      <c r="BK113" s="21" t="n">
        <v>0</v>
      </c>
      <c r="BL113" s="21" t="n">
        <v>0</v>
      </c>
      <c r="BM113" s="21" t="n">
        <v>0</v>
      </c>
      <c r="BN113" s="21" t="n">
        <v>0</v>
      </c>
      <c r="BO113" s="21" t="n">
        <v>0</v>
      </c>
      <c r="BP113" s="21" t="n">
        <v>0</v>
      </c>
      <c r="BQ113" s="21" t="n">
        <v>0</v>
      </c>
      <c r="BR113" s="21" t="n">
        <v>0</v>
      </c>
      <c r="BS113" s="21" t="n">
        <v>0</v>
      </c>
      <c r="BT113" s="21" t="n">
        <v>0</v>
      </c>
      <c r="BU113" s="21" t="n">
        <v>0</v>
      </c>
      <c r="BV113" s="21" t="n">
        <v>0</v>
      </c>
      <c r="BW113" s="21" t="n">
        <v>0</v>
      </c>
      <c r="BX113" s="21" t="n">
        <v>0</v>
      </c>
      <c r="BY113" s="21" t="n">
        <v>0</v>
      </c>
      <c r="BZ113" s="21" t="n">
        <v>0</v>
      </c>
      <c r="CA113" s="21" t="n">
        <v>0</v>
      </c>
      <c r="CB113" s="21" t="n">
        <v>0</v>
      </c>
      <c r="CC113" s="21" t="n">
        <v>0</v>
      </c>
      <c r="CD113" s="21" t="n">
        <v>0</v>
      </c>
      <c r="CE113" s="21" t="n">
        <v>0</v>
      </c>
      <c r="CF113" s="21" t="n">
        <v>0</v>
      </c>
      <c r="CG113" s="21" t="n">
        <v>0</v>
      </c>
      <c r="CH113" s="21" t="n">
        <v>0</v>
      </c>
      <c r="CI113" s="21" t="n">
        <v>0</v>
      </c>
      <c r="CJ113" s="21" t="n">
        <v>0</v>
      </c>
      <c r="CK113" s="21" t="n">
        <v>0</v>
      </c>
      <c r="CL113" s="21" t="n">
        <v>0</v>
      </c>
      <c r="CM113" s="21" t="n">
        <v>0</v>
      </c>
      <c r="CN113" s="21" t="n">
        <v>0</v>
      </c>
      <c r="CO113" s="21" t="n">
        <v>0</v>
      </c>
      <c r="CP113" s="21" t="n">
        <v>0</v>
      </c>
      <c r="CQ113" s="21" t="n">
        <v>0</v>
      </c>
      <c r="CR113" s="21" t="n">
        <v>0</v>
      </c>
      <c r="CS113" s="21" t="n">
        <v>0</v>
      </c>
      <c r="CT113" s="21" t="n">
        <v>0</v>
      </c>
      <c r="CU113" s="21" t="n">
        <v>0</v>
      </c>
      <c r="CV113" s="21" t="n">
        <v>0</v>
      </c>
      <c r="CW113" s="21" t="n">
        <v>0</v>
      </c>
      <c r="CX113" s="21" t="n">
        <v>0</v>
      </c>
      <c r="CY113" s="21" t="n">
        <v>0</v>
      </c>
      <c r="CZ113" s="21" t="n">
        <v>0</v>
      </c>
      <c r="DA113" s="21" t="n">
        <v>0</v>
      </c>
    </row>
    <row r="114">
      <c r="A114" t="inlineStr">
        <is>
          <t>VSP-738</t>
        </is>
      </c>
      <c r="B114" s="21" t="n">
        <v>0</v>
      </c>
      <c r="C114" s="21" t="n">
        <v>0</v>
      </c>
      <c r="D114" s="21" t="n">
        <v>0</v>
      </c>
      <c r="E114" s="21" t="n">
        <v>0</v>
      </c>
      <c r="F114" s="21" t="n">
        <v>0</v>
      </c>
      <c r="G114" s="21" t="n">
        <v>0</v>
      </c>
      <c r="H114" s="21" t="n">
        <v>0</v>
      </c>
      <c r="I114" s="21" t="n">
        <v>0</v>
      </c>
      <c r="J114" s="21" t="n">
        <v>0</v>
      </c>
      <c r="K114" s="21" t="n">
        <v>0</v>
      </c>
      <c r="L114" s="21" t="n">
        <v>0</v>
      </c>
      <c r="M114" s="21" t="n">
        <v>0</v>
      </c>
      <c r="N114" s="21" t="n">
        <v>0</v>
      </c>
      <c r="O114" s="21" t="n">
        <v>0</v>
      </c>
      <c r="P114" s="21" t="n">
        <v>0</v>
      </c>
      <c r="Q114" s="21" t="n">
        <v>0</v>
      </c>
      <c r="R114" s="21" t="n">
        <v>0</v>
      </c>
      <c r="S114" s="21" t="n">
        <v>0</v>
      </c>
      <c r="T114" s="21" t="n">
        <v>0</v>
      </c>
      <c r="U114" s="21" t="n">
        <v>0</v>
      </c>
      <c r="V114" s="21" t="n">
        <v>0</v>
      </c>
      <c r="W114" s="21" t="n">
        <v>0</v>
      </c>
      <c r="X114" s="21" t="n">
        <v>0</v>
      </c>
      <c r="Y114" s="21" t="n">
        <v>0</v>
      </c>
      <c r="Z114" s="21" t="n">
        <v>0</v>
      </c>
      <c r="AA114" s="21" t="n">
        <v>0</v>
      </c>
      <c r="AB114" s="21" t="n">
        <v>0</v>
      </c>
      <c r="AC114" s="21" t="n">
        <v>0</v>
      </c>
      <c r="AD114" s="21" t="n">
        <v>0</v>
      </c>
      <c r="AE114" s="21" t="n">
        <v>0</v>
      </c>
      <c r="AF114" s="21" t="n">
        <v>0</v>
      </c>
      <c r="AG114" s="21" t="n">
        <v>0</v>
      </c>
      <c r="AH114" s="21" t="n">
        <v>0</v>
      </c>
      <c r="AI114" s="21" t="n">
        <v>0</v>
      </c>
      <c r="AJ114" s="21" t="n">
        <v>0</v>
      </c>
      <c r="AK114" s="21" t="n">
        <v>0</v>
      </c>
      <c r="AL114" s="21" t="n">
        <v>0</v>
      </c>
      <c r="AM114" s="21" t="n">
        <v>0</v>
      </c>
      <c r="AN114" s="21" t="n">
        <v>0</v>
      </c>
      <c r="AO114" s="21" t="n">
        <v>0</v>
      </c>
      <c r="AP114" s="21" t="n">
        <v>0</v>
      </c>
      <c r="AQ114" s="21" t="n">
        <v>0</v>
      </c>
      <c r="AR114" s="21" t="n">
        <v>0</v>
      </c>
      <c r="AS114" s="21" t="n">
        <v>0</v>
      </c>
      <c r="AT114" s="21" t="n">
        <v>0</v>
      </c>
      <c r="AU114" s="21" t="n">
        <v>0</v>
      </c>
      <c r="AV114" s="21" t="n">
        <v>0</v>
      </c>
      <c r="AW114" s="21" t="n">
        <v>0</v>
      </c>
      <c r="AX114" s="21" t="n">
        <v>0</v>
      </c>
      <c r="AY114" s="21" t="n">
        <v>0</v>
      </c>
      <c r="AZ114" s="21" t="n">
        <v>0</v>
      </c>
      <c r="BA114" s="21" t="n">
        <v>0</v>
      </c>
      <c r="BB114" s="21" t="n">
        <v>0</v>
      </c>
      <c r="BC114" s="21" t="n">
        <v>0</v>
      </c>
      <c r="BD114" s="21" t="n">
        <v>0</v>
      </c>
      <c r="BE114" s="21" t="n">
        <v>0</v>
      </c>
      <c r="BF114" s="21" t="n">
        <v>0</v>
      </c>
      <c r="BG114" s="21" t="n">
        <v>0</v>
      </c>
      <c r="BH114" s="21" t="n">
        <v>0</v>
      </c>
      <c r="BI114" s="21" t="n">
        <v>0</v>
      </c>
      <c r="BJ114" s="21" t="n">
        <v>0</v>
      </c>
      <c r="BK114" s="21" t="n">
        <v>0</v>
      </c>
      <c r="BL114" s="21" t="n">
        <v>0</v>
      </c>
      <c r="BM114" s="21" t="n">
        <v>0</v>
      </c>
      <c r="BN114" s="21" t="n">
        <v>0</v>
      </c>
      <c r="BO114" s="21" t="n">
        <v>0</v>
      </c>
      <c r="BP114" s="21" t="n">
        <v>0</v>
      </c>
      <c r="BQ114" s="21" t="n">
        <v>0</v>
      </c>
      <c r="BR114" s="21" t="n">
        <v>0</v>
      </c>
      <c r="BS114" s="21" t="n">
        <v>0</v>
      </c>
      <c r="BT114" s="21" t="n">
        <v>0</v>
      </c>
      <c r="BU114" s="21" t="n">
        <v>0</v>
      </c>
      <c r="BV114" s="21" t="n">
        <v>0</v>
      </c>
      <c r="BW114" s="21" t="n">
        <v>0</v>
      </c>
      <c r="BX114" s="21" t="n">
        <v>0</v>
      </c>
      <c r="BY114" s="21" t="n">
        <v>0</v>
      </c>
      <c r="BZ114" s="21" t="n">
        <v>0</v>
      </c>
      <c r="CA114" s="21" t="n">
        <v>0</v>
      </c>
      <c r="CB114" s="21" t="n">
        <v>0</v>
      </c>
      <c r="CC114" s="21" t="n">
        <v>0</v>
      </c>
      <c r="CD114" s="21" t="n">
        <v>0</v>
      </c>
      <c r="CE114" s="21" t="n">
        <v>0</v>
      </c>
      <c r="CF114" s="21" t="n">
        <v>0</v>
      </c>
      <c r="CG114" s="21" t="n">
        <v>0</v>
      </c>
      <c r="CH114" s="21" t="n">
        <v>0</v>
      </c>
      <c r="CI114" s="21" t="n">
        <v>0</v>
      </c>
      <c r="CJ114" s="21" t="n">
        <v>0</v>
      </c>
      <c r="CK114" s="21" t="n">
        <v>0</v>
      </c>
      <c r="CL114" s="21" t="n">
        <v>0</v>
      </c>
      <c r="CM114" s="21" t="n">
        <v>0</v>
      </c>
      <c r="CN114" s="21" t="n">
        <v>0</v>
      </c>
      <c r="CO114" s="21" t="n">
        <v>0</v>
      </c>
      <c r="CP114" s="21" t="n">
        <v>0</v>
      </c>
      <c r="CQ114" s="21" t="n">
        <v>0</v>
      </c>
      <c r="CR114" s="21" t="n">
        <v>0</v>
      </c>
      <c r="CS114" s="21" t="n">
        <v>0</v>
      </c>
      <c r="CT114" s="21" t="n">
        <v>0</v>
      </c>
      <c r="CU114" s="21" t="n">
        <v>0</v>
      </c>
      <c r="CV114" s="21" t="n">
        <v>0</v>
      </c>
      <c r="CW114" s="21" t="n">
        <v>0</v>
      </c>
      <c r="CX114" s="21" t="n">
        <v>0</v>
      </c>
      <c r="CY114" s="21" t="n">
        <v>0</v>
      </c>
      <c r="CZ114" s="21" t="n">
        <v>0</v>
      </c>
      <c r="DA114" s="21" t="n">
        <v>0</v>
      </c>
    </row>
    <row r="115">
      <c r="A115" t="inlineStr">
        <is>
          <t>VSP-739</t>
        </is>
      </c>
      <c r="B115" s="21" t="n">
        <v>0</v>
      </c>
      <c r="C115" s="21" t="n">
        <v>0</v>
      </c>
      <c r="D115" s="21" t="n">
        <v>0</v>
      </c>
      <c r="E115" s="21" t="n">
        <v>0</v>
      </c>
      <c r="F115" s="21" t="n">
        <v>0</v>
      </c>
      <c r="G115" s="21" t="n">
        <v>0</v>
      </c>
      <c r="H115" s="21" t="n">
        <v>0</v>
      </c>
      <c r="I115" s="21" t="n">
        <v>0</v>
      </c>
      <c r="J115" s="21" t="n">
        <v>0</v>
      </c>
      <c r="K115" s="21" t="n">
        <v>0</v>
      </c>
      <c r="L115" s="21" t="n">
        <v>0</v>
      </c>
      <c r="M115" s="21" t="n">
        <v>0</v>
      </c>
      <c r="N115" s="21" t="n">
        <v>0</v>
      </c>
      <c r="O115" s="21" t="n">
        <v>0</v>
      </c>
      <c r="P115" s="21" t="n">
        <v>0</v>
      </c>
      <c r="Q115" s="21" t="n">
        <v>0</v>
      </c>
      <c r="R115" s="21" t="n">
        <v>0</v>
      </c>
      <c r="S115" s="21" t="n">
        <v>0</v>
      </c>
      <c r="T115" s="21" t="n">
        <v>0</v>
      </c>
      <c r="U115" s="21" t="n">
        <v>0</v>
      </c>
      <c r="V115" s="21" t="n">
        <v>0</v>
      </c>
      <c r="W115" s="21" t="n">
        <v>0</v>
      </c>
      <c r="X115" s="21" t="n">
        <v>0</v>
      </c>
      <c r="Y115" s="21" t="n">
        <v>0</v>
      </c>
      <c r="Z115" s="21" t="n">
        <v>0</v>
      </c>
      <c r="AA115" s="21" t="n">
        <v>0</v>
      </c>
      <c r="AB115" s="21" t="n">
        <v>0</v>
      </c>
      <c r="AC115" s="21" t="n">
        <v>0</v>
      </c>
      <c r="AD115" s="21" t="n">
        <v>0</v>
      </c>
      <c r="AE115" s="21" t="n">
        <v>0</v>
      </c>
      <c r="AF115" s="21" t="n">
        <v>0</v>
      </c>
      <c r="AG115" s="21" t="n">
        <v>0</v>
      </c>
      <c r="AH115" s="21" t="n">
        <v>0</v>
      </c>
      <c r="AI115" s="21" t="n">
        <v>0</v>
      </c>
      <c r="AJ115" s="21" t="n">
        <v>0</v>
      </c>
      <c r="AK115" s="21" t="n">
        <v>0</v>
      </c>
      <c r="AL115" s="21" t="n">
        <v>0</v>
      </c>
      <c r="AM115" s="21" t="n">
        <v>0</v>
      </c>
      <c r="AN115" s="21" t="n">
        <v>0</v>
      </c>
      <c r="AO115" s="21" t="n">
        <v>0</v>
      </c>
      <c r="AP115" s="21" t="n">
        <v>0</v>
      </c>
      <c r="AQ115" s="21" t="n">
        <v>0</v>
      </c>
      <c r="AR115" s="21" t="n">
        <v>0</v>
      </c>
      <c r="AS115" s="21" t="n">
        <v>0</v>
      </c>
      <c r="AT115" s="21" t="n">
        <v>0</v>
      </c>
      <c r="AU115" s="21" t="n">
        <v>0</v>
      </c>
      <c r="AV115" s="21" t="n">
        <v>0</v>
      </c>
      <c r="AW115" s="21" t="n">
        <v>0</v>
      </c>
      <c r="AX115" s="21" t="n">
        <v>0</v>
      </c>
      <c r="AY115" s="21" t="n">
        <v>0</v>
      </c>
      <c r="AZ115" s="21" t="n">
        <v>0</v>
      </c>
      <c r="BA115" s="21" t="n">
        <v>0</v>
      </c>
      <c r="BB115" s="21" t="n">
        <v>0</v>
      </c>
      <c r="BC115" s="21" t="n">
        <v>0</v>
      </c>
      <c r="BD115" s="21" t="n">
        <v>0</v>
      </c>
      <c r="BE115" s="21" t="n">
        <v>0</v>
      </c>
      <c r="BF115" s="21" t="n">
        <v>0</v>
      </c>
      <c r="BG115" s="21" t="n">
        <v>0</v>
      </c>
      <c r="BH115" s="21" t="n">
        <v>0</v>
      </c>
      <c r="BI115" s="21" t="n">
        <v>0</v>
      </c>
      <c r="BJ115" s="21" t="n">
        <v>0</v>
      </c>
      <c r="BK115" s="21" t="n">
        <v>0</v>
      </c>
      <c r="BL115" s="21" t="n">
        <v>0</v>
      </c>
      <c r="BM115" s="21" t="n">
        <v>0</v>
      </c>
      <c r="BN115" s="21" t="n">
        <v>0</v>
      </c>
      <c r="BO115" s="21" t="n">
        <v>0</v>
      </c>
      <c r="BP115" s="21" t="n">
        <v>0</v>
      </c>
      <c r="BQ115" s="21" t="n">
        <v>0</v>
      </c>
      <c r="BR115" s="21" t="n">
        <v>0</v>
      </c>
      <c r="BS115" s="21" t="n">
        <v>0</v>
      </c>
      <c r="BT115" s="21" t="n">
        <v>0</v>
      </c>
      <c r="BU115" s="21" t="n">
        <v>0</v>
      </c>
      <c r="BV115" s="21" t="n">
        <v>0</v>
      </c>
      <c r="BW115" s="21" t="n">
        <v>0</v>
      </c>
      <c r="BX115" s="21" t="n">
        <v>0</v>
      </c>
      <c r="BY115" s="21" t="n">
        <v>0</v>
      </c>
      <c r="BZ115" s="21" t="n">
        <v>0</v>
      </c>
      <c r="CA115" s="21" t="n">
        <v>0</v>
      </c>
      <c r="CB115" s="21" t="n">
        <v>0</v>
      </c>
      <c r="CC115" s="21" t="n">
        <v>0</v>
      </c>
      <c r="CD115" s="21" t="n">
        <v>0</v>
      </c>
      <c r="CE115" s="21" t="n">
        <v>0</v>
      </c>
      <c r="CF115" s="21" t="n">
        <v>0</v>
      </c>
      <c r="CG115" s="21" t="n">
        <v>0</v>
      </c>
      <c r="CH115" s="21" t="n">
        <v>0</v>
      </c>
      <c r="CI115" s="21" t="n">
        <v>0</v>
      </c>
      <c r="CJ115" s="21" t="n">
        <v>0</v>
      </c>
      <c r="CK115" s="21" t="n">
        <v>0</v>
      </c>
      <c r="CL115" s="21" t="n">
        <v>0</v>
      </c>
      <c r="CM115" s="21" t="n">
        <v>0</v>
      </c>
      <c r="CN115" s="21" t="n">
        <v>0</v>
      </c>
      <c r="CO115" s="21" t="n">
        <v>0</v>
      </c>
      <c r="CP115" s="21" t="n">
        <v>0</v>
      </c>
      <c r="CQ115" s="21" t="n">
        <v>0</v>
      </c>
      <c r="CR115" s="21" t="n">
        <v>0</v>
      </c>
      <c r="CS115" s="21" t="n">
        <v>0</v>
      </c>
      <c r="CT115" s="21" t="n">
        <v>0</v>
      </c>
      <c r="CU115" s="21" t="n">
        <v>0</v>
      </c>
      <c r="CV115" s="21" t="n">
        <v>0</v>
      </c>
      <c r="CW115" s="21" t="n">
        <v>0</v>
      </c>
      <c r="CX115" s="21" t="n">
        <v>0</v>
      </c>
      <c r="CY115" s="21" t="n">
        <v>0</v>
      </c>
      <c r="CZ115" s="21" t="n">
        <v>0</v>
      </c>
      <c r="DA115" s="21" t="n">
        <v>0</v>
      </c>
    </row>
    <row r="116">
      <c r="A116" t="inlineStr">
        <is>
          <t>VSP-740</t>
        </is>
      </c>
      <c r="B116" s="21" t="n">
        <v>0</v>
      </c>
      <c r="C116" s="21" t="n">
        <v>0</v>
      </c>
      <c r="D116" s="21" t="n">
        <v>0</v>
      </c>
      <c r="E116" s="21" t="n">
        <v>0</v>
      </c>
      <c r="F116" s="21" t="n">
        <v>0</v>
      </c>
      <c r="G116" s="21" t="n">
        <v>0</v>
      </c>
      <c r="H116" s="21" t="n">
        <v>0</v>
      </c>
      <c r="I116" s="21" t="n">
        <v>0</v>
      </c>
      <c r="J116" s="21" t="n">
        <v>0</v>
      </c>
      <c r="K116" s="21" t="n">
        <v>0</v>
      </c>
      <c r="L116" s="21" t="n">
        <v>0</v>
      </c>
      <c r="M116" s="21" t="n">
        <v>0</v>
      </c>
      <c r="N116" s="21" t="n">
        <v>0</v>
      </c>
      <c r="O116" s="21" t="n">
        <v>0</v>
      </c>
      <c r="P116" s="21" t="n">
        <v>0</v>
      </c>
      <c r="Q116" s="21" t="n">
        <v>0</v>
      </c>
      <c r="R116" s="21" t="n">
        <v>0</v>
      </c>
      <c r="S116" s="21" t="n">
        <v>0</v>
      </c>
      <c r="T116" s="21" t="n">
        <v>0</v>
      </c>
      <c r="U116" s="21" t="n">
        <v>0</v>
      </c>
      <c r="V116" s="21" t="n">
        <v>0</v>
      </c>
      <c r="W116" s="21" t="n">
        <v>0</v>
      </c>
      <c r="X116" s="21" t="n">
        <v>0</v>
      </c>
      <c r="Y116" s="21" t="n">
        <v>0</v>
      </c>
      <c r="Z116" s="21" t="n">
        <v>0</v>
      </c>
      <c r="AA116" s="21" t="n">
        <v>0</v>
      </c>
      <c r="AB116" s="21" t="n">
        <v>0</v>
      </c>
      <c r="AC116" s="21" t="n">
        <v>0</v>
      </c>
      <c r="AD116" s="21" t="n">
        <v>0</v>
      </c>
      <c r="AE116" s="21" t="n">
        <v>0</v>
      </c>
      <c r="AF116" s="21" t="n">
        <v>0</v>
      </c>
      <c r="AG116" s="21" t="n">
        <v>0</v>
      </c>
      <c r="AH116" s="21" t="n">
        <v>0</v>
      </c>
      <c r="AI116" s="21" t="n">
        <v>0</v>
      </c>
      <c r="AJ116" s="21" t="n">
        <v>0</v>
      </c>
      <c r="AK116" s="21" t="n">
        <v>0</v>
      </c>
      <c r="AL116" s="21" t="n">
        <v>0</v>
      </c>
      <c r="AM116" s="21" t="n">
        <v>0</v>
      </c>
      <c r="AN116" s="21" t="n">
        <v>0</v>
      </c>
      <c r="AO116" s="21" t="n">
        <v>0</v>
      </c>
      <c r="AP116" s="21" t="n">
        <v>0</v>
      </c>
      <c r="AQ116" s="21" t="n">
        <v>0</v>
      </c>
      <c r="AR116" s="21" t="n">
        <v>0</v>
      </c>
      <c r="AS116" s="21" t="n">
        <v>0</v>
      </c>
      <c r="AT116" s="21" t="n">
        <v>0</v>
      </c>
      <c r="AU116" s="21" t="n">
        <v>0</v>
      </c>
      <c r="AV116" s="21" t="n">
        <v>0</v>
      </c>
      <c r="AW116" s="21" t="n">
        <v>0</v>
      </c>
      <c r="AX116" s="21" t="n">
        <v>0</v>
      </c>
      <c r="AY116" s="21" t="n">
        <v>0</v>
      </c>
      <c r="AZ116" s="21" t="n">
        <v>0</v>
      </c>
      <c r="BA116" s="21" t="n">
        <v>0</v>
      </c>
      <c r="BB116" s="21" t="n">
        <v>0</v>
      </c>
      <c r="BC116" s="21" t="n">
        <v>0</v>
      </c>
      <c r="BD116" s="21" t="n">
        <v>0</v>
      </c>
      <c r="BE116" s="21" t="n">
        <v>0</v>
      </c>
      <c r="BF116" s="21" t="n">
        <v>0</v>
      </c>
      <c r="BG116" s="21" t="n">
        <v>0</v>
      </c>
      <c r="BH116" s="21" t="n">
        <v>0</v>
      </c>
      <c r="BI116" s="21" t="n">
        <v>0</v>
      </c>
      <c r="BJ116" s="21" t="n">
        <v>0</v>
      </c>
      <c r="BK116" s="21" t="n">
        <v>0</v>
      </c>
      <c r="BL116" s="21" t="n">
        <v>0</v>
      </c>
      <c r="BM116" s="21" t="n">
        <v>0</v>
      </c>
      <c r="BN116" s="21" t="n">
        <v>0</v>
      </c>
      <c r="BO116" s="21" t="n">
        <v>0</v>
      </c>
      <c r="BP116" s="21" t="n">
        <v>0</v>
      </c>
      <c r="BQ116" s="21" t="n">
        <v>0</v>
      </c>
      <c r="BR116" s="21" t="n">
        <v>0</v>
      </c>
      <c r="BS116" s="21" t="n">
        <v>0</v>
      </c>
      <c r="BT116" s="21" t="n">
        <v>0</v>
      </c>
      <c r="BU116" s="21" t="n">
        <v>0</v>
      </c>
      <c r="BV116" s="21" t="n">
        <v>0</v>
      </c>
      <c r="BW116" s="21" t="n">
        <v>0</v>
      </c>
      <c r="BX116" s="21" t="n">
        <v>0</v>
      </c>
      <c r="BY116" s="21" t="n">
        <v>0</v>
      </c>
      <c r="BZ116" s="21" t="n">
        <v>0</v>
      </c>
      <c r="CA116" s="21" t="n">
        <v>0</v>
      </c>
      <c r="CB116" s="21" t="n">
        <v>0</v>
      </c>
      <c r="CC116" s="21" t="n">
        <v>0</v>
      </c>
      <c r="CD116" s="21" t="n">
        <v>0</v>
      </c>
      <c r="CE116" s="21" t="n">
        <v>0</v>
      </c>
      <c r="CF116" s="21" t="n">
        <v>0</v>
      </c>
      <c r="CG116" s="21" t="n">
        <v>0</v>
      </c>
      <c r="CH116" s="21" t="n">
        <v>0</v>
      </c>
      <c r="CI116" s="21" t="n">
        <v>0</v>
      </c>
      <c r="CJ116" s="21" t="n">
        <v>0</v>
      </c>
      <c r="CK116" s="21" t="n">
        <v>0</v>
      </c>
      <c r="CL116" s="21" t="n">
        <v>0</v>
      </c>
      <c r="CM116" s="21" t="n">
        <v>0</v>
      </c>
      <c r="CN116" s="21" t="n">
        <v>0</v>
      </c>
      <c r="CO116" s="21" t="n">
        <v>0</v>
      </c>
      <c r="CP116" s="21" t="n">
        <v>0</v>
      </c>
      <c r="CQ116" s="21" t="n">
        <v>0</v>
      </c>
      <c r="CR116" s="21" t="n">
        <v>0</v>
      </c>
      <c r="CS116" s="21" t="n">
        <v>0</v>
      </c>
      <c r="CT116" s="21" t="n">
        <v>0</v>
      </c>
      <c r="CU116" s="21" t="n">
        <v>0</v>
      </c>
      <c r="CV116" s="21" t="n">
        <v>0</v>
      </c>
      <c r="CW116" s="21" t="n">
        <v>0</v>
      </c>
      <c r="CX116" s="21" t="n">
        <v>0</v>
      </c>
      <c r="CY116" s="21" t="n">
        <v>0</v>
      </c>
      <c r="CZ116" s="21" t="n">
        <v>0</v>
      </c>
      <c r="DA116" s="21" t="n">
        <v>0</v>
      </c>
    </row>
    <row r="117">
      <c r="A117" t="inlineStr">
        <is>
          <t>VSP-746</t>
        </is>
      </c>
      <c r="B117" s="21" t="n">
        <v>0</v>
      </c>
      <c r="C117" s="21" t="n">
        <v>0</v>
      </c>
      <c r="D117" s="21" t="n">
        <v>0</v>
      </c>
      <c r="E117" s="21" t="n">
        <v>0</v>
      </c>
      <c r="F117" s="21" t="n">
        <v>0</v>
      </c>
      <c r="G117" s="21" t="n">
        <v>0</v>
      </c>
      <c r="H117" s="21" t="n">
        <v>0</v>
      </c>
      <c r="I117" s="21" t="n">
        <v>0</v>
      </c>
      <c r="J117" s="21" t="n">
        <v>0</v>
      </c>
      <c r="K117" s="21" t="n">
        <v>0</v>
      </c>
      <c r="L117" s="21" t="n">
        <v>0</v>
      </c>
      <c r="M117" s="21" t="n">
        <v>0</v>
      </c>
      <c r="N117" s="21" t="n">
        <v>0</v>
      </c>
      <c r="O117" s="21" t="n">
        <v>0</v>
      </c>
      <c r="P117" s="21" t="n">
        <v>0</v>
      </c>
      <c r="Q117" s="21" t="n">
        <v>0</v>
      </c>
      <c r="R117" s="21" t="n">
        <v>0</v>
      </c>
      <c r="S117" s="21" t="n">
        <v>0</v>
      </c>
      <c r="T117" s="21" t="n">
        <v>0</v>
      </c>
      <c r="U117" s="21" t="n">
        <v>0</v>
      </c>
      <c r="V117" s="21" t="n">
        <v>0</v>
      </c>
      <c r="W117" s="21" t="n">
        <v>0</v>
      </c>
      <c r="X117" s="21" t="n">
        <v>0</v>
      </c>
      <c r="Y117" s="21" t="n">
        <v>0</v>
      </c>
      <c r="Z117" s="21" t="n">
        <v>0</v>
      </c>
      <c r="AA117" s="21" t="n">
        <v>0</v>
      </c>
      <c r="AB117" s="21" t="n">
        <v>0</v>
      </c>
      <c r="AC117" s="21" t="n">
        <v>0</v>
      </c>
      <c r="AD117" s="21" t="n">
        <v>0</v>
      </c>
      <c r="AE117" s="21" t="n">
        <v>0</v>
      </c>
      <c r="AF117" s="21" t="n">
        <v>0</v>
      </c>
      <c r="AG117" s="21" t="n">
        <v>0</v>
      </c>
      <c r="AH117" s="21" t="n">
        <v>0</v>
      </c>
      <c r="AI117" s="21" t="n">
        <v>0</v>
      </c>
      <c r="AJ117" s="21" t="n">
        <v>0</v>
      </c>
      <c r="AK117" s="21" t="n">
        <v>0</v>
      </c>
      <c r="AL117" s="21" t="n">
        <v>0</v>
      </c>
      <c r="AM117" s="21" t="n">
        <v>0</v>
      </c>
      <c r="AN117" s="21" t="n">
        <v>0</v>
      </c>
      <c r="AO117" s="21" t="n">
        <v>0</v>
      </c>
      <c r="AP117" s="21" t="n">
        <v>0</v>
      </c>
      <c r="AQ117" s="21" t="n">
        <v>0</v>
      </c>
      <c r="AR117" s="21" t="n">
        <v>0</v>
      </c>
      <c r="AS117" s="21" t="n">
        <v>0</v>
      </c>
      <c r="AT117" s="21" t="n">
        <v>0</v>
      </c>
      <c r="AU117" s="21" t="n">
        <v>0</v>
      </c>
      <c r="AV117" s="21" t="n">
        <v>0</v>
      </c>
      <c r="AW117" s="21" t="n">
        <v>0</v>
      </c>
      <c r="AX117" s="21" t="n">
        <v>0</v>
      </c>
      <c r="AY117" s="21" t="n">
        <v>0</v>
      </c>
      <c r="AZ117" s="21" t="n">
        <v>0</v>
      </c>
      <c r="BA117" s="21" t="n">
        <v>0</v>
      </c>
      <c r="BB117" s="21" t="n">
        <v>0</v>
      </c>
      <c r="BC117" s="21" t="n">
        <v>0</v>
      </c>
      <c r="BD117" s="21" t="n">
        <v>0</v>
      </c>
      <c r="BE117" s="21" t="n">
        <v>0</v>
      </c>
      <c r="BF117" s="21" t="n">
        <v>0</v>
      </c>
      <c r="BG117" s="21" t="n">
        <v>0</v>
      </c>
      <c r="BH117" s="21" t="n">
        <v>0</v>
      </c>
      <c r="BI117" s="21" t="n">
        <v>0</v>
      </c>
      <c r="BJ117" s="21" t="n">
        <v>0</v>
      </c>
      <c r="BK117" s="21" t="n">
        <v>0</v>
      </c>
      <c r="BL117" s="21" t="n">
        <v>0</v>
      </c>
      <c r="BM117" s="21" t="n">
        <v>0</v>
      </c>
      <c r="BN117" s="21" t="n">
        <v>0</v>
      </c>
      <c r="BO117" s="21" t="n">
        <v>0</v>
      </c>
      <c r="BP117" s="21" t="n">
        <v>0</v>
      </c>
      <c r="BQ117" s="21" t="n">
        <v>0</v>
      </c>
      <c r="BR117" s="21" t="n">
        <v>0</v>
      </c>
      <c r="BS117" s="21" t="n">
        <v>0</v>
      </c>
      <c r="BT117" s="21" t="n">
        <v>0</v>
      </c>
      <c r="BU117" s="21" t="n">
        <v>0</v>
      </c>
      <c r="BV117" s="21" t="n">
        <v>0</v>
      </c>
      <c r="BW117" s="21" t="n">
        <v>0</v>
      </c>
      <c r="BX117" s="21" t="n">
        <v>0</v>
      </c>
      <c r="BY117" s="21" t="n">
        <v>0</v>
      </c>
      <c r="BZ117" s="21" t="n">
        <v>0</v>
      </c>
      <c r="CA117" s="21" t="n">
        <v>0</v>
      </c>
      <c r="CB117" s="21" t="n">
        <v>0</v>
      </c>
      <c r="CC117" s="21" t="n">
        <v>0</v>
      </c>
      <c r="CD117" s="21" t="n">
        <v>0</v>
      </c>
      <c r="CE117" s="21" t="n">
        <v>0</v>
      </c>
      <c r="CF117" s="21" t="n">
        <v>0</v>
      </c>
      <c r="CG117" s="21" t="n">
        <v>0</v>
      </c>
      <c r="CH117" s="21" t="n">
        <v>0</v>
      </c>
      <c r="CI117" s="21" t="n">
        <v>0</v>
      </c>
      <c r="CJ117" s="21" t="n">
        <v>0</v>
      </c>
      <c r="CK117" s="21" t="n">
        <v>0</v>
      </c>
      <c r="CL117" s="21" t="n">
        <v>0</v>
      </c>
      <c r="CM117" s="21" t="n">
        <v>0</v>
      </c>
      <c r="CN117" s="21" t="n">
        <v>0</v>
      </c>
      <c r="CO117" s="21" t="n">
        <v>0</v>
      </c>
      <c r="CP117" s="21" t="n">
        <v>0</v>
      </c>
      <c r="CQ117" s="21" t="n">
        <v>0</v>
      </c>
      <c r="CR117" s="21" t="n">
        <v>0</v>
      </c>
      <c r="CS117" s="21" t="n">
        <v>0</v>
      </c>
      <c r="CT117" s="21" t="n">
        <v>0</v>
      </c>
      <c r="CU117" s="21" t="n">
        <v>0</v>
      </c>
      <c r="CV117" s="21" t="n">
        <v>0</v>
      </c>
      <c r="CW117" s="21" t="n">
        <v>0</v>
      </c>
      <c r="CX117" s="21" t="n">
        <v>0</v>
      </c>
      <c r="CY117" s="21" t="n">
        <v>0</v>
      </c>
      <c r="CZ117" s="21" t="n">
        <v>0</v>
      </c>
      <c r="DA117" s="21" t="n">
        <v>0</v>
      </c>
    </row>
    <row r="118">
      <c r="A118" t="inlineStr">
        <is>
          <t>VSP-869</t>
        </is>
      </c>
      <c r="B118" s="21" t="n">
        <v>0</v>
      </c>
      <c r="C118" s="21" t="n">
        <v>0</v>
      </c>
      <c r="D118" s="21" t="n">
        <v>0</v>
      </c>
      <c r="E118" s="21" t="n">
        <v>0</v>
      </c>
      <c r="F118" s="21" t="n">
        <v>0</v>
      </c>
      <c r="G118" s="21" t="n">
        <v>0</v>
      </c>
      <c r="H118" s="21" t="n">
        <v>0</v>
      </c>
      <c r="I118" s="21" t="n">
        <v>0</v>
      </c>
      <c r="J118" s="21" t="n">
        <v>0</v>
      </c>
      <c r="K118" s="21" t="n">
        <v>0</v>
      </c>
      <c r="L118" s="21" t="n">
        <v>0</v>
      </c>
      <c r="M118" s="21" t="n">
        <v>0</v>
      </c>
      <c r="N118" s="21" t="n">
        <v>0</v>
      </c>
      <c r="O118" s="21" t="n">
        <v>0</v>
      </c>
      <c r="P118" s="21" t="n">
        <v>0</v>
      </c>
      <c r="Q118" s="21" t="n">
        <v>0</v>
      </c>
      <c r="R118" s="21" t="n">
        <v>0</v>
      </c>
      <c r="S118" s="21" t="n">
        <v>0</v>
      </c>
      <c r="T118" s="21" t="n">
        <v>0</v>
      </c>
      <c r="U118" s="21" t="n">
        <v>0</v>
      </c>
      <c r="V118" s="21" t="n">
        <v>0</v>
      </c>
      <c r="W118" s="21" t="n">
        <v>0</v>
      </c>
      <c r="X118" s="21" t="n">
        <v>0</v>
      </c>
      <c r="Y118" s="21" t="n">
        <v>0</v>
      </c>
      <c r="Z118" s="21" t="n">
        <v>0</v>
      </c>
      <c r="AA118" s="21" t="n">
        <v>0</v>
      </c>
      <c r="AB118" s="21" t="n">
        <v>0</v>
      </c>
      <c r="AC118" s="21" t="n">
        <v>0</v>
      </c>
      <c r="AD118" s="21" t="n">
        <v>0</v>
      </c>
      <c r="AE118" s="21" t="n">
        <v>0</v>
      </c>
      <c r="AF118" s="21" t="n">
        <v>0</v>
      </c>
      <c r="AG118" s="21" t="n">
        <v>0</v>
      </c>
      <c r="AH118" s="21" t="n">
        <v>0</v>
      </c>
      <c r="AI118" s="21" t="n">
        <v>0</v>
      </c>
      <c r="AJ118" s="21" t="n">
        <v>0</v>
      </c>
      <c r="AK118" s="21" t="n">
        <v>0</v>
      </c>
      <c r="AL118" s="21" t="n">
        <v>0</v>
      </c>
      <c r="AM118" s="21" t="n">
        <v>0</v>
      </c>
      <c r="AN118" s="21" t="n">
        <v>0</v>
      </c>
      <c r="AO118" s="21" t="n">
        <v>0</v>
      </c>
      <c r="AP118" s="21" t="n">
        <v>0</v>
      </c>
      <c r="AQ118" s="21" t="n">
        <v>0</v>
      </c>
      <c r="AR118" s="21" t="n">
        <v>0</v>
      </c>
      <c r="AS118" s="21" t="n">
        <v>0</v>
      </c>
      <c r="AT118" s="21" t="n">
        <v>0</v>
      </c>
      <c r="AU118" s="21" t="n">
        <v>0</v>
      </c>
      <c r="AV118" s="21" t="n">
        <v>0</v>
      </c>
      <c r="AW118" s="21" t="n">
        <v>0</v>
      </c>
      <c r="AX118" s="21" t="n">
        <v>0</v>
      </c>
      <c r="AY118" s="21" t="n">
        <v>0</v>
      </c>
      <c r="AZ118" s="21" t="n">
        <v>0</v>
      </c>
      <c r="BA118" s="21" t="n">
        <v>0</v>
      </c>
      <c r="BB118" s="21" t="n">
        <v>0</v>
      </c>
      <c r="BC118" s="21" t="n">
        <v>0</v>
      </c>
      <c r="BD118" s="21" t="n">
        <v>0</v>
      </c>
      <c r="BE118" s="21" t="n">
        <v>0</v>
      </c>
      <c r="BF118" s="21" t="n">
        <v>0</v>
      </c>
      <c r="BG118" s="21" t="n">
        <v>0</v>
      </c>
      <c r="BH118" s="21" t="n">
        <v>0</v>
      </c>
      <c r="BI118" s="21" t="n">
        <v>0</v>
      </c>
      <c r="BJ118" s="21" t="n">
        <v>0</v>
      </c>
      <c r="BK118" s="21" t="n">
        <v>0</v>
      </c>
      <c r="BL118" s="21" t="n">
        <v>0</v>
      </c>
      <c r="BM118" s="21" t="n">
        <v>0</v>
      </c>
      <c r="BN118" s="21" t="n">
        <v>0</v>
      </c>
      <c r="BO118" s="21" t="n">
        <v>0</v>
      </c>
      <c r="BP118" s="21" t="n">
        <v>0</v>
      </c>
      <c r="BQ118" s="21" t="n">
        <v>0</v>
      </c>
      <c r="BR118" s="21" t="n">
        <v>0</v>
      </c>
      <c r="BS118" s="21" t="n">
        <v>0</v>
      </c>
      <c r="BT118" s="21" t="n">
        <v>0</v>
      </c>
      <c r="BU118" s="21" t="n">
        <v>0</v>
      </c>
      <c r="BV118" s="21" t="n">
        <v>0</v>
      </c>
      <c r="BW118" s="21" t="n">
        <v>0</v>
      </c>
      <c r="BX118" s="21" t="n">
        <v>0</v>
      </c>
      <c r="BY118" s="21" t="n">
        <v>0</v>
      </c>
      <c r="BZ118" s="21" t="n">
        <v>0</v>
      </c>
      <c r="CA118" s="21" t="n">
        <v>0</v>
      </c>
      <c r="CB118" s="21" t="n">
        <v>0</v>
      </c>
      <c r="CC118" s="21" t="n">
        <v>0</v>
      </c>
      <c r="CD118" s="21" t="n">
        <v>0</v>
      </c>
      <c r="CE118" s="21" t="n">
        <v>0</v>
      </c>
      <c r="CF118" s="21" t="n">
        <v>0</v>
      </c>
      <c r="CG118" s="21" t="n">
        <v>0</v>
      </c>
      <c r="CH118" s="21" t="n">
        <v>0</v>
      </c>
      <c r="CI118" s="21" t="n">
        <v>0</v>
      </c>
      <c r="CJ118" s="21" t="n">
        <v>0</v>
      </c>
      <c r="CK118" s="21" t="n">
        <v>0</v>
      </c>
      <c r="CL118" s="21" t="n">
        <v>0</v>
      </c>
      <c r="CM118" s="21" t="n">
        <v>0</v>
      </c>
      <c r="CN118" s="21" t="n">
        <v>0</v>
      </c>
      <c r="CO118" s="21" t="n">
        <v>0</v>
      </c>
      <c r="CP118" s="21" t="n">
        <v>0</v>
      </c>
      <c r="CQ118" s="21" t="n">
        <v>0</v>
      </c>
      <c r="CR118" s="21" t="n">
        <v>0</v>
      </c>
      <c r="CS118" s="21" t="n">
        <v>0</v>
      </c>
      <c r="CT118" s="21" t="n">
        <v>0</v>
      </c>
      <c r="CU118" s="21" t="n">
        <v>0</v>
      </c>
      <c r="CV118" s="21" t="n">
        <v>0</v>
      </c>
      <c r="CW118" s="21" t="n">
        <v>0</v>
      </c>
      <c r="CX118" s="21" t="n">
        <v>0</v>
      </c>
      <c r="CY118" s="21" t="n">
        <v>0</v>
      </c>
      <c r="CZ118" s="21" t="n">
        <v>0</v>
      </c>
      <c r="DA118" s="21" t="n">
        <v>0</v>
      </c>
    </row>
    <row r="119">
      <c r="A119" t="inlineStr">
        <is>
          <t>VSP-870</t>
        </is>
      </c>
      <c r="B119" s="21" t="n">
        <v>0</v>
      </c>
      <c r="C119" s="21" t="n">
        <v>0</v>
      </c>
      <c r="D119" s="21" t="n">
        <v>0</v>
      </c>
      <c r="E119" s="21" t="n">
        <v>0</v>
      </c>
      <c r="F119" s="21" t="n">
        <v>0</v>
      </c>
      <c r="G119" s="21" t="n">
        <v>0</v>
      </c>
      <c r="H119" s="21" t="n">
        <v>0</v>
      </c>
      <c r="I119" s="21" t="n">
        <v>0</v>
      </c>
      <c r="J119" s="21" t="n">
        <v>0</v>
      </c>
      <c r="K119" s="21" t="n">
        <v>0</v>
      </c>
      <c r="L119" s="21" t="n">
        <v>0</v>
      </c>
      <c r="M119" s="21" t="n">
        <v>0</v>
      </c>
      <c r="N119" s="21" t="n">
        <v>0</v>
      </c>
      <c r="O119" s="21" t="n">
        <v>0</v>
      </c>
      <c r="P119" s="21" t="n">
        <v>0</v>
      </c>
      <c r="Q119" s="21" t="n">
        <v>0</v>
      </c>
      <c r="R119" s="21" t="n">
        <v>0</v>
      </c>
      <c r="S119" s="21" t="n">
        <v>0</v>
      </c>
      <c r="T119" s="21" t="n">
        <v>0</v>
      </c>
      <c r="U119" s="21" t="n">
        <v>0</v>
      </c>
      <c r="V119" s="21" t="n">
        <v>0</v>
      </c>
      <c r="W119" s="21" t="n">
        <v>0</v>
      </c>
      <c r="X119" s="21" t="n">
        <v>0</v>
      </c>
      <c r="Y119" s="21" t="n">
        <v>0</v>
      </c>
      <c r="Z119" s="21" t="n">
        <v>0</v>
      </c>
      <c r="AA119" s="21" t="n">
        <v>0</v>
      </c>
      <c r="AB119" s="21" t="n">
        <v>0</v>
      </c>
      <c r="AC119" s="21" t="n">
        <v>0</v>
      </c>
      <c r="AD119" s="21" t="n">
        <v>0</v>
      </c>
      <c r="AE119" s="21" t="n">
        <v>0</v>
      </c>
      <c r="AF119" s="21" t="n">
        <v>0</v>
      </c>
      <c r="AG119" s="21" t="n">
        <v>0</v>
      </c>
      <c r="AH119" s="21" t="n">
        <v>0</v>
      </c>
      <c r="AI119" s="21" t="n">
        <v>0</v>
      </c>
      <c r="AJ119" s="21" t="n">
        <v>0</v>
      </c>
      <c r="AK119" s="21" t="n">
        <v>0</v>
      </c>
      <c r="AL119" s="21" t="n">
        <v>0</v>
      </c>
      <c r="AM119" s="21" t="n">
        <v>0</v>
      </c>
      <c r="AN119" s="21" t="n">
        <v>0</v>
      </c>
      <c r="AO119" s="21" t="n">
        <v>0</v>
      </c>
      <c r="AP119" s="21" t="n">
        <v>0</v>
      </c>
      <c r="AQ119" s="21" t="n">
        <v>0</v>
      </c>
      <c r="AR119" s="21" t="n">
        <v>0</v>
      </c>
      <c r="AS119" s="21" t="n">
        <v>0</v>
      </c>
      <c r="AT119" s="21" t="n">
        <v>0</v>
      </c>
      <c r="AU119" s="21" t="n">
        <v>0</v>
      </c>
      <c r="AV119" s="21" t="n">
        <v>0</v>
      </c>
      <c r="AW119" s="21" t="n">
        <v>0</v>
      </c>
      <c r="AX119" s="21" t="n">
        <v>0</v>
      </c>
      <c r="AY119" s="21" t="n">
        <v>0</v>
      </c>
      <c r="AZ119" s="21" t="n">
        <v>0</v>
      </c>
      <c r="BA119" s="21" t="n">
        <v>0</v>
      </c>
      <c r="BB119" s="21" t="n">
        <v>0</v>
      </c>
      <c r="BC119" s="21" t="n">
        <v>0</v>
      </c>
      <c r="BD119" s="21" t="n">
        <v>0</v>
      </c>
      <c r="BE119" s="21" t="n">
        <v>0</v>
      </c>
      <c r="BF119" s="21" t="n">
        <v>0</v>
      </c>
      <c r="BG119" s="21" t="n">
        <v>0</v>
      </c>
      <c r="BH119" s="21" t="n">
        <v>0</v>
      </c>
      <c r="BI119" s="21" t="n">
        <v>0</v>
      </c>
      <c r="BJ119" s="21" t="n">
        <v>0</v>
      </c>
      <c r="BK119" s="21" t="n">
        <v>0</v>
      </c>
      <c r="BL119" s="21" t="n">
        <v>0</v>
      </c>
      <c r="BM119" s="21" t="n">
        <v>0</v>
      </c>
      <c r="BN119" s="21" t="n">
        <v>0</v>
      </c>
      <c r="BO119" s="21" t="n">
        <v>0</v>
      </c>
      <c r="BP119" s="21" t="n">
        <v>0</v>
      </c>
      <c r="BQ119" s="21" t="n">
        <v>0</v>
      </c>
      <c r="BR119" s="21" t="n">
        <v>0</v>
      </c>
      <c r="BS119" s="21" t="n">
        <v>0</v>
      </c>
      <c r="BT119" s="21" t="n">
        <v>0</v>
      </c>
      <c r="BU119" s="21" t="n">
        <v>0</v>
      </c>
      <c r="BV119" s="21" t="n">
        <v>0</v>
      </c>
      <c r="BW119" s="21" t="n">
        <v>0</v>
      </c>
      <c r="BX119" s="21" t="n">
        <v>0</v>
      </c>
      <c r="BY119" s="21" t="n">
        <v>0</v>
      </c>
      <c r="BZ119" s="21" t="n">
        <v>0</v>
      </c>
      <c r="CA119" s="21" t="n">
        <v>0</v>
      </c>
      <c r="CB119" s="21" t="n">
        <v>0</v>
      </c>
      <c r="CC119" s="21" t="n">
        <v>0</v>
      </c>
      <c r="CD119" s="21" t="n">
        <v>0</v>
      </c>
      <c r="CE119" s="21" t="n">
        <v>0</v>
      </c>
      <c r="CF119" s="21" t="n">
        <v>0</v>
      </c>
      <c r="CG119" s="21" t="n">
        <v>0</v>
      </c>
      <c r="CH119" s="21" t="n">
        <v>0</v>
      </c>
      <c r="CI119" s="21" t="n">
        <v>0</v>
      </c>
      <c r="CJ119" s="21" t="n">
        <v>0</v>
      </c>
      <c r="CK119" s="21" t="n">
        <v>0</v>
      </c>
      <c r="CL119" s="21" t="n">
        <v>0</v>
      </c>
      <c r="CM119" s="21" t="n">
        <v>0</v>
      </c>
      <c r="CN119" s="21" t="n">
        <v>0</v>
      </c>
      <c r="CO119" s="21" t="n">
        <v>0</v>
      </c>
      <c r="CP119" s="21" t="n">
        <v>0</v>
      </c>
      <c r="CQ119" s="21" t="n">
        <v>0</v>
      </c>
      <c r="CR119" s="21" t="n">
        <v>0</v>
      </c>
      <c r="CS119" s="21" t="n">
        <v>0</v>
      </c>
      <c r="CT119" s="21" t="n">
        <v>0</v>
      </c>
      <c r="CU119" s="21" t="n">
        <v>0</v>
      </c>
      <c r="CV119" s="21" t="n">
        <v>0</v>
      </c>
      <c r="CW119" s="21" t="n">
        <v>0</v>
      </c>
      <c r="CX119" s="21" t="n">
        <v>0</v>
      </c>
      <c r="CY119" s="21" t="n">
        <v>0</v>
      </c>
      <c r="CZ119" s="21" t="n">
        <v>0</v>
      </c>
      <c r="DA119" s="21" t="n">
        <v>0</v>
      </c>
    </row>
    <row r="120">
      <c r="A120" t="inlineStr">
        <is>
          <t>VSZ-745</t>
        </is>
      </c>
      <c r="B120" s="21" t="n">
        <v>0</v>
      </c>
      <c r="C120" s="21" t="n">
        <v>0</v>
      </c>
      <c r="D120" s="21" t="n">
        <v>0</v>
      </c>
      <c r="E120" s="21" t="n">
        <v>0</v>
      </c>
      <c r="F120" s="21" t="n">
        <v>0</v>
      </c>
      <c r="G120" s="21" t="n">
        <v>0</v>
      </c>
      <c r="H120" s="21" t="n">
        <v>0</v>
      </c>
      <c r="I120" s="21" t="n">
        <v>0</v>
      </c>
      <c r="J120" s="21" t="n">
        <v>0</v>
      </c>
      <c r="K120" s="21" t="n">
        <v>0</v>
      </c>
      <c r="L120" s="21" t="n">
        <v>0</v>
      </c>
      <c r="M120" s="21" t="n">
        <v>0</v>
      </c>
      <c r="N120" s="21" t="n">
        <v>0</v>
      </c>
      <c r="O120" s="21" t="n">
        <v>0</v>
      </c>
      <c r="P120" s="21" t="n">
        <v>0</v>
      </c>
      <c r="Q120" s="21" t="n">
        <v>0</v>
      </c>
      <c r="R120" s="21" t="n">
        <v>0</v>
      </c>
      <c r="S120" s="21" t="n">
        <v>0</v>
      </c>
      <c r="T120" s="21" t="n">
        <v>0</v>
      </c>
      <c r="U120" s="21" t="n">
        <v>0</v>
      </c>
      <c r="V120" s="21" t="n">
        <v>0</v>
      </c>
      <c r="W120" s="21" t="n">
        <v>0</v>
      </c>
      <c r="X120" s="21" t="n">
        <v>0</v>
      </c>
      <c r="Y120" s="21" t="n">
        <v>0</v>
      </c>
      <c r="Z120" s="21" t="n">
        <v>0</v>
      </c>
      <c r="AA120" s="21" t="n">
        <v>0</v>
      </c>
      <c r="AB120" s="21" t="n">
        <v>0</v>
      </c>
      <c r="AC120" s="21" t="n">
        <v>0</v>
      </c>
      <c r="AD120" s="21" t="n">
        <v>0</v>
      </c>
      <c r="AE120" s="21" t="n">
        <v>0</v>
      </c>
      <c r="AF120" s="21" t="n">
        <v>0</v>
      </c>
      <c r="AG120" s="21" t="n">
        <v>0</v>
      </c>
      <c r="AH120" s="21" t="n">
        <v>0</v>
      </c>
      <c r="AI120" s="21" t="n">
        <v>0</v>
      </c>
      <c r="AJ120" s="21" t="n">
        <v>0</v>
      </c>
      <c r="AK120" s="21" t="n">
        <v>0</v>
      </c>
      <c r="AL120" s="21" t="n">
        <v>0</v>
      </c>
      <c r="AM120" s="21" t="n">
        <v>0</v>
      </c>
      <c r="AN120" s="21" t="n">
        <v>0</v>
      </c>
      <c r="AO120" s="21" t="n">
        <v>0</v>
      </c>
      <c r="AP120" s="21" t="n">
        <v>0</v>
      </c>
      <c r="AQ120" s="21" t="n">
        <v>0</v>
      </c>
      <c r="AR120" s="21" t="n">
        <v>0</v>
      </c>
      <c r="AS120" s="21" t="n">
        <v>0</v>
      </c>
      <c r="AT120" s="21" t="n">
        <v>0</v>
      </c>
      <c r="AU120" s="21" t="n">
        <v>0</v>
      </c>
      <c r="AV120" s="21" t="n">
        <v>0</v>
      </c>
      <c r="AW120" s="21" t="n">
        <v>0</v>
      </c>
      <c r="AX120" s="21" t="n">
        <v>0</v>
      </c>
      <c r="AY120" s="21" t="n">
        <v>0</v>
      </c>
      <c r="AZ120" s="21" t="n">
        <v>0</v>
      </c>
      <c r="BA120" s="21" t="n">
        <v>0</v>
      </c>
      <c r="BB120" s="21" t="n">
        <v>0</v>
      </c>
      <c r="BC120" s="21" t="n">
        <v>0</v>
      </c>
      <c r="BD120" s="21" t="n">
        <v>0</v>
      </c>
      <c r="BE120" s="21" t="n">
        <v>0</v>
      </c>
      <c r="BF120" s="21" t="n">
        <v>0</v>
      </c>
      <c r="BG120" s="21" t="n">
        <v>0</v>
      </c>
      <c r="BH120" s="21" t="n">
        <v>0</v>
      </c>
      <c r="BI120" s="21" t="n">
        <v>0</v>
      </c>
      <c r="BJ120" s="21" t="n">
        <v>0</v>
      </c>
      <c r="BK120" s="21" t="n">
        <v>0</v>
      </c>
      <c r="BL120" s="21" t="n">
        <v>0</v>
      </c>
      <c r="BM120" s="21" t="n">
        <v>0</v>
      </c>
      <c r="BN120" s="21" t="n">
        <v>0</v>
      </c>
      <c r="BO120" s="21" t="n">
        <v>0</v>
      </c>
      <c r="BP120" s="21" t="n">
        <v>0</v>
      </c>
      <c r="BQ120" s="21" t="n">
        <v>0</v>
      </c>
      <c r="BR120" s="21" t="n">
        <v>0</v>
      </c>
      <c r="BS120" s="21" t="n">
        <v>0</v>
      </c>
      <c r="BT120" s="21" t="n">
        <v>0</v>
      </c>
      <c r="BU120" s="21" t="n">
        <v>0</v>
      </c>
      <c r="BV120" s="21" t="n">
        <v>0</v>
      </c>
      <c r="BW120" s="21" t="n">
        <v>0</v>
      </c>
      <c r="BX120" s="21" t="n">
        <v>0</v>
      </c>
      <c r="BY120" s="21" t="n">
        <v>0</v>
      </c>
      <c r="BZ120" s="21" t="n">
        <v>0</v>
      </c>
      <c r="CA120" s="21" t="n">
        <v>0</v>
      </c>
      <c r="CB120" s="21" t="n">
        <v>0</v>
      </c>
      <c r="CC120" s="21" t="n">
        <v>0</v>
      </c>
      <c r="CD120" s="21" t="n">
        <v>0</v>
      </c>
      <c r="CE120" s="21" t="n">
        <v>0</v>
      </c>
      <c r="CF120" s="21" t="n">
        <v>0</v>
      </c>
      <c r="CG120" s="21" t="n">
        <v>0</v>
      </c>
      <c r="CH120" s="21" t="n">
        <v>0</v>
      </c>
      <c r="CI120" s="21" t="n">
        <v>0</v>
      </c>
      <c r="CJ120" s="21" t="n">
        <v>0</v>
      </c>
      <c r="CK120" s="21" t="n">
        <v>0</v>
      </c>
      <c r="CL120" s="21" t="n">
        <v>0</v>
      </c>
      <c r="CM120" s="21" t="n">
        <v>0</v>
      </c>
      <c r="CN120" s="21" t="n">
        <v>0</v>
      </c>
      <c r="CO120" s="21" t="n">
        <v>0</v>
      </c>
      <c r="CP120" s="21" t="n">
        <v>0</v>
      </c>
      <c r="CQ120" s="21" t="n">
        <v>0</v>
      </c>
      <c r="CR120" s="21" t="n">
        <v>0</v>
      </c>
      <c r="CS120" s="21" t="n">
        <v>0</v>
      </c>
      <c r="CT120" s="21" t="n">
        <v>0</v>
      </c>
      <c r="CU120" s="21" t="n">
        <v>0</v>
      </c>
      <c r="CV120" s="21" t="n">
        <v>0</v>
      </c>
      <c r="CW120" s="21" t="n">
        <v>0</v>
      </c>
      <c r="CX120" s="21" t="n">
        <v>0</v>
      </c>
      <c r="CY120" s="21" t="n">
        <v>0</v>
      </c>
      <c r="CZ120" s="21" t="n">
        <v>0</v>
      </c>
      <c r="DA120" s="21" t="n">
        <v>0</v>
      </c>
    </row>
    <row r="121">
      <c r="A121" t="inlineStr">
        <is>
          <t>0Q110</t>
        </is>
      </c>
      <c r="B121" s="21" t="n">
        <v>0</v>
      </c>
      <c r="C121" s="21" t="n">
        <v>0</v>
      </c>
      <c r="D121" s="21" t="n">
        <v>0</v>
      </c>
      <c r="E121" s="21" t="n">
        <v>0</v>
      </c>
      <c r="F121" s="21" t="n">
        <v>0</v>
      </c>
      <c r="G121" s="21" t="n">
        <v>0</v>
      </c>
      <c r="H121" s="21" t="n">
        <v>0</v>
      </c>
      <c r="I121" s="21" t="n">
        <v>0</v>
      </c>
      <c r="J121" s="21" t="n">
        <v>0</v>
      </c>
      <c r="K121" s="21" t="n">
        <v>0</v>
      </c>
      <c r="L121" s="21" t="n">
        <v>0</v>
      </c>
      <c r="M121" s="21" t="n">
        <v>0</v>
      </c>
      <c r="N121" s="21" t="n">
        <v>0</v>
      </c>
      <c r="O121" s="21" t="n">
        <v>0</v>
      </c>
      <c r="P121" s="21" t="n">
        <v>0</v>
      </c>
      <c r="Q121" s="21" t="n">
        <v>0</v>
      </c>
      <c r="R121" s="21" t="n">
        <v>0</v>
      </c>
      <c r="S121" s="21" t="n">
        <v>0</v>
      </c>
      <c r="T121" s="21" t="n">
        <v>0</v>
      </c>
      <c r="U121" s="21" t="n">
        <v>0</v>
      </c>
      <c r="V121" s="21" t="n">
        <v>0</v>
      </c>
      <c r="W121" s="21" t="n">
        <v>0</v>
      </c>
      <c r="X121" s="21" t="n">
        <v>0</v>
      </c>
      <c r="Y121" s="21" t="n">
        <v>0</v>
      </c>
      <c r="Z121" s="21" t="n">
        <v>0</v>
      </c>
      <c r="AA121" s="21" t="n">
        <v>0</v>
      </c>
      <c r="AB121" s="21" t="n">
        <v>0</v>
      </c>
      <c r="AC121" s="21" t="n">
        <v>0</v>
      </c>
      <c r="AD121" s="21" t="n">
        <v>0</v>
      </c>
      <c r="AE121" s="21" t="n">
        <v>0</v>
      </c>
      <c r="AF121" s="21" t="n">
        <v>0</v>
      </c>
      <c r="AG121" s="21" t="n">
        <v>0</v>
      </c>
      <c r="AH121" s="21" t="n">
        <v>0</v>
      </c>
      <c r="AI121" s="21" t="n">
        <v>0</v>
      </c>
      <c r="AJ121" s="21" t="n">
        <v>0</v>
      </c>
      <c r="AK121" s="21" t="n">
        <v>0</v>
      </c>
      <c r="AL121" s="21" t="n">
        <v>0</v>
      </c>
      <c r="AM121" s="21" t="n">
        <v>0</v>
      </c>
      <c r="AN121" s="21" t="n">
        <v>0</v>
      </c>
      <c r="AO121" s="21" t="n">
        <v>0</v>
      </c>
      <c r="AP121" s="21" t="n">
        <v>0</v>
      </c>
      <c r="AQ121" s="21" t="n">
        <v>0</v>
      </c>
      <c r="AR121" s="21" t="n">
        <v>0</v>
      </c>
      <c r="AS121" s="21" t="n">
        <v>0</v>
      </c>
      <c r="AT121" s="21" t="n">
        <v>0</v>
      </c>
      <c r="AU121" s="21" t="n">
        <v>0</v>
      </c>
      <c r="AV121" s="21" t="n">
        <v>0</v>
      </c>
      <c r="AW121" s="21" t="n">
        <v>0</v>
      </c>
      <c r="AX121" s="21" t="n">
        <v>0</v>
      </c>
      <c r="AY121" s="21" t="n">
        <v>0</v>
      </c>
      <c r="AZ121" s="21" t="n">
        <v>0</v>
      </c>
      <c r="BA121" s="21" t="n">
        <v>0</v>
      </c>
      <c r="BB121" s="21" t="n">
        <v>0</v>
      </c>
      <c r="BC121" s="21" t="n">
        <v>0</v>
      </c>
      <c r="BD121" s="21" t="n">
        <v>0</v>
      </c>
      <c r="BE121" s="21" t="n">
        <v>0</v>
      </c>
      <c r="BF121" s="21" t="n">
        <v>0</v>
      </c>
      <c r="BG121" s="21" t="n">
        <v>0</v>
      </c>
      <c r="BH121" s="21" t="n">
        <v>0</v>
      </c>
      <c r="BI121" s="21" t="n">
        <v>0</v>
      </c>
      <c r="BJ121" s="21" t="n">
        <v>0</v>
      </c>
      <c r="BK121" s="21" t="n">
        <v>0</v>
      </c>
      <c r="BL121" s="21" t="n">
        <v>0</v>
      </c>
      <c r="BM121" s="21" t="n">
        <v>0</v>
      </c>
      <c r="BN121" s="21" t="n">
        <v>0</v>
      </c>
      <c r="BO121" s="21" t="n">
        <v>0</v>
      </c>
      <c r="BP121" s="21" t="n">
        <v>0</v>
      </c>
      <c r="BQ121" s="21" t="n">
        <v>0</v>
      </c>
      <c r="BR121" s="21" t="n">
        <v>0</v>
      </c>
      <c r="BS121" s="21" t="n">
        <v>0</v>
      </c>
      <c r="BT121" s="21" t="n">
        <v>0</v>
      </c>
      <c r="BU121" s="21" t="n">
        <v>0</v>
      </c>
      <c r="BV121" s="21" t="n">
        <v>0</v>
      </c>
      <c r="BW121" s="21" t="n">
        <v>0</v>
      </c>
      <c r="BX121" s="21" t="n">
        <v>0</v>
      </c>
      <c r="BY121" s="21" t="n">
        <v>0</v>
      </c>
      <c r="BZ121" s="21" t="n">
        <v>0</v>
      </c>
      <c r="CA121" s="21" t="n">
        <v>0</v>
      </c>
      <c r="CB121" s="21" t="n">
        <v>0</v>
      </c>
      <c r="CC121" s="21" t="n">
        <v>0</v>
      </c>
      <c r="CD121" s="21" t="n">
        <v>0</v>
      </c>
      <c r="CE121" s="21" t="n">
        <v>0</v>
      </c>
      <c r="CF121" s="21" t="n">
        <v>0</v>
      </c>
      <c r="CG121" s="21" t="n">
        <v>0</v>
      </c>
      <c r="CH121" s="21" t="n">
        <v>0</v>
      </c>
      <c r="CI121" s="21" t="n">
        <v>0</v>
      </c>
      <c r="CJ121" s="21" t="n">
        <v>0</v>
      </c>
      <c r="CK121" s="21" t="n">
        <v>0</v>
      </c>
      <c r="CL121" s="21" t="n">
        <v>0</v>
      </c>
      <c r="CM121" s="21" t="n">
        <v>0</v>
      </c>
      <c r="CN121" s="21" t="n">
        <v>0</v>
      </c>
      <c r="CO121" s="21" t="n">
        <v>0</v>
      </c>
      <c r="CP121" s="21" t="n">
        <v>0</v>
      </c>
      <c r="CQ121" s="21" t="n">
        <v>0</v>
      </c>
      <c r="CR121" s="21" t="n">
        <v>0</v>
      </c>
      <c r="CS121" s="21" t="n">
        <v>0</v>
      </c>
      <c r="CT121" s="21" t="n">
        <v>0</v>
      </c>
      <c r="CU121" s="21" t="n">
        <v>0</v>
      </c>
      <c r="CV121" s="21" t="n">
        <v>0</v>
      </c>
      <c r="CW121" s="21" t="n">
        <v>0</v>
      </c>
      <c r="CX121" s="21" t="n">
        <v>0</v>
      </c>
      <c r="CY121" s="21" t="n">
        <v>0</v>
      </c>
      <c r="CZ121" s="21" t="n">
        <v>0</v>
      </c>
      <c r="DA121" s="21" t="n">
        <v>0</v>
      </c>
    </row>
    <row r="122">
      <c r="A122" t="inlineStr">
        <is>
          <t>0TA30</t>
        </is>
      </c>
      <c r="B122" s="21" t="n">
        <v>0</v>
      </c>
      <c r="C122" s="21" t="n">
        <v>0</v>
      </c>
      <c r="D122" s="21" t="n">
        <v>0</v>
      </c>
      <c r="E122" s="21" t="n">
        <v>0</v>
      </c>
      <c r="F122" s="21" t="n">
        <v>0</v>
      </c>
      <c r="G122" s="21" t="n">
        <v>0</v>
      </c>
      <c r="H122" s="21" t="n">
        <v>0</v>
      </c>
      <c r="I122" s="21" t="n">
        <v>0</v>
      </c>
      <c r="J122" s="21" t="n">
        <v>0</v>
      </c>
      <c r="K122" s="21" t="n">
        <v>0</v>
      </c>
      <c r="L122" s="21" t="n">
        <v>0</v>
      </c>
      <c r="M122" s="21" t="n">
        <v>0</v>
      </c>
      <c r="N122" s="21" t="n">
        <v>0</v>
      </c>
      <c r="O122" s="21" t="n">
        <v>0</v>
      </c>
      <c r="P122" s="21" t="n">
        <v>0</v>
      </c>
      <c r="Q122" s="21" t="n">
        <v>0</v>
      </c>
      <c r="R122" s="21" t="n">
        <v>0</v>
      </c>
      <c r="S122" s="21" t="n">
        <v>0</v>
      </c>
      <c r="T122" s="21" t="n">
        <v>0</v>
      </c>
      <c r="U122" s="21" t="n">
        <v>0</v>
      </c>
      <c r="V122" s="21" t="n">
        <v>0</v>
      </c>
      <c r="W122" s="21" t="n">
        <v>0</v>
      </c>
      <c r="X122" s="21" t="n">
        <v>0</v>
      </c>
      <c r="Y122" s="21" t="n">
        <v>0</v>
      </c>
      <c r="Z122" s="21" t="n">
        <v>0</v>
      </c>
      <c r="AA122" s="21" t="n">
        <v>0</v>
      </c>
      <c r="AB122" s="21" t="n">
        <v>2352</v>
      </c>
      <c r="AC122" s="21" t="n">
        <v>0</v>
      </c>
      <c r="AD122" s="21" t="n">
        <v>0</v>
      </c>
      <c r="AE122" s="21" t="n">
        <v>0</v>
      </c>
      <c r="AF122" s="21" t="n">
        <v>0</v>
      </c>
      <c r="AG122" s="21" t="n">
        <v>1176</v>
      </c>
      <c r="AH122" s="21" t="n">
        <v>0</v>
      </c>
      <c r="AI122" s="21" t="n">
        <v>0</v>
      </c>
      <c r="AJ122" s="21" t="n">
        <v>0</v>
      </c>
      <c r="AK122" s="21" t="n">
        <v>1176</v>
      </c>
      <c r="AL122" s="21" t="n">
        <v>0</v>
      </c>
      <c r="AM122" s="21" t="n">
        <v>0</v>
      </c>
      <c r="AN122" s="21" t="n">
        <v>0</v>
      </c>
      <c r="AO122" s="21" t="n">
        <v>0</v>
      </c>
      <c r="AP122" s="21" t="n">
        <v>1176</v>
      </c>
      <c r="AQ122" s="21" t="n">
        <v>0</v>
      </c>
      <c r="AR122" s="21" t="n">
        <v>0</v>
      </c>
      <c r="AS122" s="21" t="n">
        <v>0</v>
      </c>
      <c r="AT122" s="21" t="n">
        <v>1176</v>
      </c>
      <c r="AU122" s="21" t="n">
        <v>0</v>
      </c>
      <c r="AV122" s="21" t="n">
        <v>0</v>
      </c>
      <c r="AW122" s="21" t="n">
        <v>0</v>
      </c>
      <c r="AX122" s="21" t="n">
        <v>1176</v>
      </c>
      <c r="AY122" s="21" t="n">
        <v>0</v>
      </c>
      <c r="AZ122" s="21" t="n">
        <v>0</v>
      </c>
      <c r="BA122" s="21" t="n">
        <v>0</v>
      </c>
      <c r="BB122" s="21" t="n">
        <v>0</v>
      </c>
      <c r="BC122" s="21" t="n">
        <v>0</v>
      </c>
      <c r="BD122" s="21" t="n">
        <v>0</v>
      </c>
      <c r="BE122" s="21" t="n">
        <v>0</v>
      </c>
      <c r="BF122" s="21" t="n">
        <v>1176</v>
      </c>
      <c r="BG122" s="21" t="n">
        <v>0</v>
      </c>
      <c r="BH122" s="21" t="n">
        <v>0</v>
      </c>
      <c r="BI122" s="21" t="n">
        <v>0</v>
      </c>
      <c r="BJ122" s="21" t="n">
        <v>1176</v>
      </c>
      <c r="BK122" s="21" t="n">
        <v>0</v>
      </c>
      <c r="BL122" s="21" t="n">
        <v>0</v>
      </c>
      <c r="BM122" s="21" t="n">
        <v>0</v>
      </c>
      <c r="BN122" s="21" t="n">
        <v>1176</v>
      </c>
      <c r="BO122" s="21" t="n">
        <v>0</v>
      </c>
      <c r="BP122" s="21" t="n">
        <v>0</v>
      </c>
      <c r="BQ122" s="21" t="n">
        <v>0</v>
      </c>
      <c r="BR122" s="21" t="n">
        <v>1176</v>
      </c>
      <c r="BS122" s="21" t="n">
        <v>1176</v>
      </c>
      <c r="BT122" s="21" t="n">
        <v>1176</v>
      </c>
      <c r="BU122" s="21" t="n">
        <v>1176</v>
      </c>
      <c r="BV122" s="21" t="n">
        <v>0</v>
      </c>
      <c r="BW122" s="21" t="n">
        <v>1176</v>
      </c>
      <c r="BX122" s="21" t="n">
        <v>0</v>
      </c>
      <c r="BY122" s="21" t="n">
        <v>0</v>
      </c>
      <c r="BZ122" s="21" t="n">
        <v>0</v>
      </c>
      <c r="CA122" s="21" t="n">
        <v>0</v>
      </c>
      <c r="CB122" s="21" t="n">
        <v>0</v>
      </c>
      <c r="CC122" s="21" t="n">
        <v>0</v>
      </c>
      <c r="CD122" s="21" t="n">
        <v>0</v>
      </c>
      <c r="CE122" s="21" t="n">
        <v>0</v>
      </c>
      <c r="CF122" s="21" t="n">
        <v>0</v>
      </c>
      <c r="CG122" s="21" t="n">
        <v>0</v>
      </c>
      <c r="CH122" s="21" t="n">
        <v>0</v>
      </c>
      <c r="CI122" s="21" t="n">
        <v>0</v>
      </c>
      <c r="CJ122" s="21" t="n">
        <v>0</v>
      </c>
      <c r="CK122" s="21" t="n">
        <v>0</v>
      </c>
      <c r="CL122" s="21" t="n">
        <v>0</v>
      </c>
      <c r="CM122" s="21" t="n">
        <v>0</v>
      </c>
      <c r="CN122" s="21" t="n">
        <v>0</v>
      </c>
      <c r="CO122" s="21" t="n">
        <v>0</v>
      </c>
      <c r="CP122" s="21" t="n">
        <v>0</v>
      </c>
      <c r="CQ122" s="21" t="n">
        <v>0</v>
      </c>
      <c r="CR122" s="21" t="n">
        <v>0</v>
      </c>
      <c r="CS122" s="21" t="n">
        <v>0</v>
      </c>
      <c r="CT122" s="21" t="n">
        <v>0</v>
      </c>
      <c r="CU122" s="21" t="n">
        <v>0</v>
      </c>
      <c r="CV122" s="21" t="n">
        <v>0</v>
      </c>
      <c r="CW122" s="21" t="n">
        <v>0</v>
      </c>
      <c r="CX122" s="21" t="n">
        <v>0</v>
      </c>
      <c r="CY122" s="21" t="n">
        <v>0</v>
      </c>
      <c r="CZ122" s="21" t="n">
        <v>0</v>
      </c>
      <c r="DA122" s="21" t="n">
        <v>0</v>
      </c>
    </row>
    <row r="123">
      <c r="A123" t="inlineStr">
        <is>
          <t>Ester Film</t>
        </is>
      </c>
      <c r="B123" s="21" t="n">
        <v>0</v>
      </c>
      <c r="C123" s="21" t="n">
        <v>0</v>
      </c>
      <c r="D123" s="21" t="n">
        <v>0</v>
      </c>
      <c r="E123" s="21" t="n">
        <v>0</v>
      </c>
      <c r="F123" s="21" t="n">
        <v>0</v>
      </c>
      <c r="G123" s="21" t="n">
        <v>0</v>
      </c>
      <c r="H123" s="21" t="n">
        <v>0</v>
      </c>
      <c r="I123" s="21" t="n">
        <v>0</v>
      </c>
      <c r="J123" s="21" t="n">
        <v>0</v>
      </c>
      <c r="K123" s="21" t="n">
        <v>0</v>
      </c>
      <c r="L123" s="21" t="n">
        <v>0</v>
      </c>
      <c r="M123" s="21" t="n">
        <v>0</v>
      </c>
      <c r="N123" s="21" t="n">
        <v>0</v>
      </c>
      <c r="O123" s="21" t="n">
        <v>0</v>
      </c>
      <c r="P123" s="21" t="n">
        <v>0</v>
      </c>
      <c r="Q123" s="21" t="n">
        <v>0</v>
      </c>
      <c r="R123" s="21" t="n">
        <v>0</v>
      </c>
      <c r="S123" s="21" t="n">
        <v>0</v>
      </c>
      <c r="T123" s="21" t="n">
        <v>0</v>
      </c>
      <c r="U123" s="21" t="n">
        <v>0</v>
      </c>
      <c r="V123" s="21" t="n">
        <v>0</v>
      </c>
      <c r="W123" s="21" t="n">
        <v>0</v>
      </c>
      <c r="X123" s="21" t="n">
        <v>5</v>
      </c>
      <c r="Y123" s="21" t="n">
        <v>5</v>
      </c>
      <c r="Z123" s="21" t="n">
        <v>5</v>
      </c>
      <c r="AA123" s="21" t="n">
        <v>5</v>
      </c>
      <c r="AB123" s="21" t="n">
        <v>5</v>
      </c>
      <c r="AC123" s="21" t="n">
        <v>5</v>
      </c>
      <c r="AD123" s="21" t="n">
        <v>5</v>
      </c>
      <c r="AE123" s="21" t="n">
        <v>5</v>
      </c>
      <c r="AF123" s="21" t="n">
        <v>5</v>
      </c>
      <c r="AG123" s="21" t="n">
        <v>5</v>
      </c>
      <c r="AH123" s="21" t="n">
        <v>5</v>
      </c>
      <c r="AI123" s="21" t="n">
        <v>5</v>
      </c>
      <c r="AJ123" s="21" t="n">
        <v>5</v>
      </c>
      <c r="AK123" s="21" t="n">
        <v>5</v>
      </c>
      <c r="AL123" s="21" t="n">
        <v>5</v>
      </c>
      <c r="AM123" s="21" t="n">
        <v>5</v>
      </c>
      <c r="AN123" s="21" t="n">
        <v>5</v>
      </c>
      <c r="AO123" s="21" t="n">
        <v>5</v>
      </c>
      <c r="AP123" s="21" t="n">
        <v>5</v>
      </c>
      <c r="AQ123" s="21" t="n">
        <v>5</v>
      </c>
      <c r="AR123" s="21" t="n">
        <v>5</v>
      </c>
      <c r="AS123" s="21" t="n">
        <v>5</v>
      </c>
      <c r="AT123" s="21" t="n">
        <v>5</v>
      </c>
      <c r="AU123" s="21" t="n">
        <v>5</v>
      </c>
      <c r="AV123" s="21" t="n">
        <v>5</v>
      </c>
      <c r="AW123" s="21" t="n">
        <v>5</v>
      </c>
      <c r="AX123" s="21" t="n">
        <v>5</v>
      </c>
      <c r="AY123" s="21" t="n">
        <v>5</v>
      </c>
      <c r="AZ123" s="21" t="n">
        <v>5</v>
      </c>
      <c r="BA123" s="21" t="n">
        <v>5</v>
      </c>
      <c r="BB123" s="21" t="n">
        <v>5</v>
      </c>
      <c r="BC123" s="21" t="n">
        <v>5</v>
      </c>
      <c r="BD123" s="21" t="n">
        <v>5</v>
      </c>
      <c r="BE123" s="21" t="n">
        <v>5</v>
      </c>
      <c r="BF123" s="21" t="n">
        <v>5</v>
      </c>
      <c r="BG123" s="21" t="n">
        <v>5</v>
      </c>
      <c r="BH123" s="21" t="n">
        <v>5</v>
      </c>
      <c r="BI123" s="21" t="n">
        <v>5</v>
      </c>
      <c r="BJ123" s="21" t="n">
        <v>5</v>
      </c>
      <c r="BK123" s="21" t="n">
        <v>5</v>
      </c>
      <c r="BL123" s="21" t="n">
        <v>5</v>
      </c>
      <c r="BM123" s="21" t="n">
        <v>5</v>
      </c>
      <c r="BN123" s="21" t="n">
        <v>5</v>
      </c>
      <c r="BO123" s="21" t="n">
        <v>5</v>
      </c>
      <c r="BP123" s="21" t="n">
        <v>5</v>
      </c>
      <c r="BQ123" s="21" t="n">
        <v>5</v>
      </c>
      <c r="BR123" s="21" t="n">
        <v>5</v>
      </c>
      <c r="BS123" s="21" t="n">
        <v>5</v>
      </c>
      <c r="BT123" s="21" t="n">
        <v>5</v>
      </c>
      <c r="BU123" s="21" t="n">
        <v>5</v>
      </c>
      <c r="BV123" s="21" t="n">
        <v>5</v>
      </c>
      <c r="BW123" s="21" t="n">
        <v>5</v>
      </c>
      <c r="BX123" s="21" t="n">
        <v>0</v>
      </c>
      <c r="BY123" s="21" t="n">
        <v>0</v>
      </c>
      <c r="BZ123" s="21" t="n">
        <v>0</v>
      </c>
      <c r="CA123" s="21" t="n">
        <v>0</v>
      </c>
      <c r="CB123" s="21" t="n">
        <v>0</v>
      </c>
      <c r="CC123" s="21" t="n">
        <v>0</v>
      </c>
      <c r="CD123" s="21" t="n">
        <v>0</v>
      </c>
      <c r="CE123" s="21" t="n">
        <v>0</v>
      </c>
      <c r="CF123" s="21" t="n">
        <v>0</v>
      </c>
      <c r="CG123" s="21" t="n">
        <v>0</v>
      </c>
      <c r="CH123" s="21" t="n">
        <v>0</v>
      </c>
      <c r="CI123" s="21" t="n">
        <v>0</v>
      </c>
      <c r="CJ123" s="21" t="n">
        <v>0</v>
      </c>
      <c r="CK123" s="21" t="n">
        <v>0</v>
      </c>
      <c r="CL123" s="21" t="n">
        <v>0</v>
      </c>
      <c r="CM123" s="21" t="n">
        <v>0</v>
      </c>
      <c r="CN123" s="21" t="n">
        <v>0</v>
      </c>
      <c r="CO123" s="21" t="n">
        <v>0</v>
      </c>
      <c r="CP123" s="21" t="n">
        <v>0</v>
      </c>
      <c r="CQ123" s="21" t="n">
        <v>0</v>
      </c>
      <c r="CR123" s="21" t="n">
        <v>0</v>
      </c>
      <c r="CS123" s="21" t="n">
        <v>0</v>
      </c>
      <c r="CT123" s="21" t="n">
        <v>0</v>
      </c>
      <c r="CU123" s="21" t="n">
        <v>0</v>
      </c>
      <c r="CV123" s="21" t="n">
        <v>0</v>
      </c>
      <c r="CW123" s="21" t="n">
        <v>0</v>
      </c>
      <c r="CX123" s="21" t="n">
        <v>0</v>
      </c>
      <c r="CY123" s="21" t="n">
        <v>0</v>
      </c>
      <c r="CZ123" s="21" t="n">
        <v>0</v>
      </c>
      <c r="DA123" s="21" t="n">
        <v>0</v>
      </c>
    </row>
    <row r="124">
      <c r="A124" t="inlineStr">
        <is>
          <t>F2090</t>
        </is>
      </c>
      <c r="B124" s="21" t="n">
        <v>0</v>
      </c>
      <c r="C124" s="21" t="n">
        <v>0</v>
      </c>
      <c r="D124" s="21" t="n">
        <v>0</v>
      </c>
      <c r="E124" s="21" t="n">
        <v>0</v>
      </c>
      <c r="F124" s="21" t="n">
        <v>0</v>
      </c>
      <c r="G124" s="21" t="n">
        <v>0</v>
      </c>
      <c r="H124" s="21" t="n">
        <v>0</v>
      </c>
      <c r="I124" s="21" t="n">
        <v>0</v>
      </c>
      <c r="J124" s="21" t="n">
        <v>0</v>
      </c>
      <c r="K124" s="21" t="n">
        <v>0</v>
      </c>
      <c r="L124" s="21" t="n">
        <v>0</v>
      </c>
      <c r="M124" s="21" t="n">
        <v>0</v>
      </c>
      <c r="N124" s="21" t="n">
        <v>0</v>
      </c>
      <c r="O124" s="21" t="n">
        <v>0</v>
      </c>
      <c r="P124" s="21" t="n">
        <v>0</v>
      </c>
      <c r="Q124" s="21" t="n">
        <v>0</v>
      </c>
      <c r="R124" s="21" t="n">
        <v>0</v>
      </c>
      <c r="S124" s="21" t="n">
        <v>0</v>
      </c>
      <c r="T124" s="21" t="n">
        <v>0</v>
      </c>
      <c r="U124" s="21" t="n">
        <v>0</v>
      </c>
      <c r="V124" s="21" t="n">
        <v>0</v>
      </c>
      <c r="W124" s="21" t="n">
        <v>0</v>
      </c>
      <c r="X124" s="21" t="n">
        <v>0</v>
      </c>
      <c r="Y124" s="21" t="n">
        <v>15840</v>
      </c>
      <c r="Z124" s="21" t="n">
        <v>0</v>
      </c>
      <c r="AA124" s="21" t="n">
        <v>7920</v>
      </c>
      <c r="AB124" s="21" t="n">
        <v>5940</v>
      </c>
      <c r="AC124" s="21" t="n">
        <v>7920</v>
      </c>
      <c r="AD124" s="21" t="n">
        <v>5940</v>
      </c>
      <c r="AE124" s="21" t="n">
        <v>7920</v>
      </c>
      <c r="AF124" s="21" t="n">
        <v>5940</v>
      </c>
      <c r="AG124" s="21" t="n">
        <v>5940</v>
      </c>
      <c r="AH124" s="21" t="n">
        <v>0</v>
      </c>
      <c r="AI124" s="21" t="n">
        <v>5940</v>
      </c>
      <c r="AJ124" s="21" t="n">
        <v>0</v>
      </c>
      <c r="AK124" s="21" t="n">
        <v>7920</v>
      </c>
      <c r="AL124" s="21" t="n">
        <v>0</v>
      </c>
      <c r="AM124" s="21" t="n">
        <v>7920</v>
      </c>
      <c r="AN124" s="21" t="n">
        <v>0</v>
      </c>
      <c r="AO124" s="21" t="n">
        <v>0</v>
      </c>
      <c r="AP124" s="21" t="n">
        <v>7920</v>
      </c>
      <c r="AQ124" s="21" t="n">
        <v>0</v>
      </c>
      <c r="AR124" s="21" t="n">
        <v>7920</v>
      </c>
      <c r="AS124" s="21" t="n">
        <v>0</v>
      </c>
      <c r="AT124" s="21" t="n">
        <v>7920</v>
      </c>
      <c r="AU124" s="21" t="n">
        <v>7920</v>
      </c>
      <c r="AV124" s="21" t="n">
        <v>7920</v>
      </c>
      <c r="AW124" s="21" t="n">
        <v>7920</v>
      </c>
      <c r="AX124" s="21" t="n">
        <v>7920</v>
      </c>
      <c r="AY124" s="21" t="n">
        <v>0</v>
      </c>
      <c r="AZ124" s="21" t="n">
        <v>0</v>
      </c>
      <c r="BA124" s="21" t="n">
        <v>0</v>
      </c>
      <c r="BB124" s="21" t="n">
        <v>0</v>
      </c>
      <c r="BC124" s="21" t="n">
        <v>0</v>
      </c>
      <c r="BD124" s="21" t="n">
        <v>7920</v>
      </c>
      <c r="BE124" s="21" t="n">
        <v>0</v>
      </c>
      <c r="BF124" s="21" t="n">
        <v>7920</v>
      </c>
      <c r="BG124" s="21" t="n">
        <v>0</v>
      </c>
      <c r="BH124" s="21" t="n">
        <v>7920</v>
      </c>
      <c r="BI124" s="21" t="n">
        <v>0</v>
      </c>
      <c r="BJ124" s="21" t="n">
        <v>0</v>
      </c>
      <c r="BK124" s="21" t="n">
        <v>7920</v>
      </c>
      <c r="BL124" s="21" t="n">
        <v>0</v>
      </c>
      <c r="BM124" s="21" t="n">
        <v>0</v>
      </c>
      <c r="BN124" s="21" t="n">
        <v>3960</v>
      </c>
      <c r="BO124" s="21" t="n">
        <v>0</v>
      </c>
      <c r="BP124" s="21" t="n">
        <v>0</v>
      </c>
      <c r="BQ124" s="21" t="n">
        <v>1980</v>
      </c>
      <c r="BR124" s="21" t="n">
        <v>0</v>
      </c>
      <c r="BS124" s="21" t="n">
        <v>0</v>
      </c>
      <c r="BT124" s="21" t="n">
        <v>0</v>
      </c>
      <c r="BU124" s="21" t="n">
        <v>0</v>
      </c>
      <c r="BV124" s="21" t="n">
        <v>0</v>
      </c>
      <c r="BW124" s="21" t="n">
        <v>0</v>
      </c>
      <c r="BX124" s="21" t="n">
        <v>0</v>
      </c>
      <c r="BY124" s="21" t="n">
        <v>0</v>
      </c>
      <c r="BZ124" s="21" t="n">
        <v>0</v>
      </c>
      <c r="CA124" s="21" t="n">
        <v>0</v>
      </c>
      <c r="CB124" s="21" t="n">
        <v>0</v>
      </c>
      <c r="CC124" s="21" t="n">
        <v>0</v>
      </c>
      <c r="CD124" s="21" t="n">
        <v>0</v>
      </c>
      <c r="CE124" s="21" t="n">
        <v>0</v>
      </c>
      <c r="CF124" s="21" t="n">
        <v>0</v>
      </c>
      <c r="CG124" s="21" t="n">
        <v>0</v>
      </c>
      <c r="CH124" s="21" t="n">
        <v>0</v>
      </c>
      <c r="CI124" s="21" t="n">
        <v>0</v>
      </c>
      <c r="CJ124" s="21" t="n">
        <v>0</v>
      </c>
      <c r="CK124" s="21" t="n">
        <v>0</v>
      </c>
      <c r="CL124" s="21" t="n">
        <v>0</v>
      </c>
      <c r="CM124" s="21" t="n">
        <v>0</v>
      </c>
      <c r="CN124" s="21" t="n">
        <v>0</v>
      </c>
      <c r="CO124" s="21" t="n">
        <v>0</v>
      </c>
      <c r="CP124" s="21" t="n">
        <v>0</v>
      </c>
      <c r="CQ124" s="21" t="n">
        <v>0</v>
      </c>
      <c r="CR124" s="21" t="n">
        <v>0</v>
      </c>
      <c r="CS124" s="21" t="n">
        <v>0</v>
      </c>
      <c r="CT124" s="21" t="n">
        <v>0</v>
      </c>
      <c r="CU124" s="21" t="n">
        <v>0</v>
      </c>
      <c r="CV124" s="21" t="n">
        <v>0</v>
      </c>
      <c r="CW124" s="21" t="n">
        <v>0</v>
      </c>
      <c r="CX124" s="21" t="n">
        <v>0</v>
      </c>
      <c r="CY124" s="21" t="n">
        <v>0</v>
      </c>
      <c r="CZ124" s="21" t="n">
        <v>0</v>
      </c>
      <c r="DA124" s="21" t="n">
        <v>0</v>
      </c>
    </row>
    <row r="125">
      <c r="A125" t="inlineStr">
        <is>
          <t>F2290</t>
        </is>
      </c>
      <c r="B125" s="21" t="n">
        <v>0</v>
      </c>
      <c r="C125" s="21" t="n">
        <v>0</v>
      </c>
      <c r="D125" s="21" t="n">
        <v>0</v>
      </c>
      <c r="E125" s="21" t="n">
        <v>0</v>
      </c>
      <c r="F125" s="21" t="n">
        <v>0</v>
      </c>
      <c r="G125" s="21" t="n">
        <v>0</v>
      </c>
      <c r="H125" s="21" t="n">
        <v>0</v>
      </c>
      <c r="I125" s="21" t="n">
        <v>0</v>
      </c>
      <c r="J125" s="21" t="n">
        <v>0</v>
      </c>
      <c r="K125" s="21" t="n">
        <v>0</v>
      </c>
      <c r="L125" s="21" t="n">
        <v>0</v>
      </c>
      <c r="M125" s="21" t="n">
        <v>0</v>
      </c>
      <c r="N125" s="21" t="n">
        <v>0</v>
      </c>
      <c r="O125" s="21" t="n">
        <v>0</v>
      </c>
      <c r="P125" s="21" t="n">
        <v>0</v>
      </c>
      <c r="Q125" s="21" t="n">
        <v>0</v>
      </c>
      <c r="R125" s="21" t="n">
        <v>0</v>
      </c>
      <c r="S125" s="21" t="n">
        <v>0</v>
      </c>
      <c r="T125" s="21" t="n">
        <v>0</v>
      </c>
      <c r="U125" s="21" t="n">
        <v>0</v>
      </c>
      <c r="V125" s="21" t="n">
        <v>0</v>
      </c>
      <c r="W125" s="21" t="n">
        <v>0</v>
      </c>
      <c r="X125" s="21" t="n">
        <v>0</v>
      </c>
      <c r="Y125" s="21" t="n">
        <v>0</v>
      </c>
      <c r="Z125" s="21" t="n">
        <v>0</v>
      </c>
      <c r="AA125" s="21" t="n">
        <v>0</v>
      </c>
      <c r="AB125" s="21" t="n">
        <v>0</v>
      </c>
      <c r="AC125" s="21" t="n">
        <v>0</v>
      </c>
      <c r="AD125" s="21" t="n">
        <v>0</v>
      </c>
      <c r="AE125" s="21" t="n">
        <v>0</v>
      </c>
      <c r="AF125" s="21" t="n">
        <v>1920</v>
      </c>
      <c r="AG125" s="21" t="n">
        <v>0</v>
      </c>
      <c r="AH125" s="21" t="n">
        <v>0</v>
      </c>
      <c r="AI125" s="21" t="n">
        <v>0</v>
      </c>
      <c r="AJ125" s="21" t="n">
        <v>0</v>
      </c>
      <c r="AK125" s="21" t="n">
        <v>0</v>
      </c>
      <c r="AL125" s="21" t="n">
        <v>0</v>
      </c>
      <c r="AM125" s="21" t="n">
        <v>1980</v>
      </c>
      <c r="AN125" s="21" t="n">
        <v>0</v>
      </c>
      <c r="AO125" s="21" t="n">
        <v>0</v>
      </c>
      <c r="AP125" s="21" t="n">
        <v>1980</v>
      </c>
      <c r="AQ125" s="21" t="n">
        <v>0</v>
      </c>
      <c r="AR125" s="21" t="n">
        <v>0</v>
      </c>
      <c r="AS125" s="21" t="n">
        <v>3960</v>
      </c>
      <c r="AT125" s="21" t="n">
        <v>0</v>
      </c>
      <c r="AU125" s="21" t="n">
        <v>0</v>
      </c>
      <c r="AV125" s="21" t="n">
        <v>0</v>
      </c>
      <c r="AW125" s="21" t="n">
        <v>0</v>
      </c>
      <c r="AX125" s="21" t="n">
        <v>3960</v>
      </c>
      <c r="AY125" s="21" t="n">
        <v>0</v>
      </c>
      <c r="AZ125" s="21" t="n">
        <v>0</v>
      </c>
      <c r="BA125" s="21" t="n">
        <v>0</v>
      </c>
      <c r="BB125" s="21" t="n">
        <v>0</v>
      </c>
      <c r="BC125" s="21" t="n">
        <v>0</v>
      </c>
      <c r="BD125" s="21" t="n">
        <v>0</v>
      </c>
      <c r="BE125" s="21" t="n">
        <v>0</v>
      </c>
      <c r="BF125" s="21" t="n">
        <v>0</v>
      </c>
      <c r="BG125" s="21" t="n">
        <v>1980</v>
      </c>
      <c r="BH125" s="21" t="n">
        <v>0</v>
      </c>
      <c r="BI125" s="21" t="n">
        <v>0</v>
      </c>
      <c r="BJ125" s="21" t="n">
        <v>0</v>
      </c>
      <c r="BK125" s="21" t="n">
        <v>1188</v>
      </c>
      <c r="BL125" s="21" t="n">
        <v>0</v>
      </c>
      <c r="BM125" s="21" t="n">
        <v>0</v>
      </c>
      <c r="BN125" s="21" t="n">
        <v>0</v>
      </c>
      <c r="BO125" s="21" t="n">
        <v>0</v>
      </c>
      <c r="BP125" s="21" t="n">
        <v>0</v>
      </c>
      <c r="BQ125" s="21" t="n">
        <v>0</v>
      </c>
      <c r="BR125" s="21" t="n">
        <v>0</v>
      </c>
      <c r="BS125" s="21" t="n">
        <v>0</v>
      </c>
      <c r="BT125" s="21" t="n">
        <v>0</v>
      </c>
      <c r="BU125" s="21" t="n">
        <v>0</v>
      </c>
      <c r="BV125" s="21" t="n">
        <v>0</v>
      </c>
      <c r="BW125" s="21" t="n">
        <v>0</v>
      </c>
      <c r="BX125" s="21" t="n">
        <v>0</v>
      </c>
      <c r="BY125" s="21" t="n">
        <v>0</v>
      </c>
      <c r="BZ125" s="21" t="n">
        <v>0</v>
      </c>
      <c r="CA125" s="21" t="n">
        <v>0</v>
      </c>
      <c r="CB125" s="21" t="n">
        <v>0</v>
      </c>
      <c r="CC125" s="21" t="n">
        <v>0</v>
      </c>
      <c r="CD125" s="21" t="n">
        <v>0</v>
      </c>
      <c r="CE125" s="21" t="n">
        <v>0</v>
      </c>
      <c r="CF125" s="21" t="n">
        <v>0</v>
      </c>
      <c r="CG125" s="21" t="n">
        <v>0</v>
      </c>
      <c r="CH125" s="21" t="n">
        <v>0</v>
      </c>
      <c r="CI125" s="21" t="n">
        <v>0</v>
      </c>
      <c r="CJ125" s="21" t="n">
        <v>0</v>
      </c>
      <c r="CK125" s="21" t="n">
        <v>0</v>
      </c>
      <c r="CL125" s="21" t="n">
        <v>0</v>
      </c>
      <c r="CM125" s="21" t="n">
        <v>0</v>
      </c>
      <c r="CN125" s="21" t="n">
        <v>0</v>
      </c>
      <c r="CO125" s="21" t="n">
        <v>0</v>
      </c>
      <c r="CP125" s="21" t="n">
        <v>0</v>
      </c>
      <c r="CQ125" s="21" t="n">
        <v>0</v>
      </c>
      <c r="CR125" s="21" t="n">
        <v>0</v>
      </c>
      <c r="CS125" s="21" t="n">
        <v>0</v>
      </c>
      <c r="CT125" s="21" t="n">
        <v>0</v>
      </c>
      <c r="CU125" s="21" t="n">
        <v>0</v>
      </c>
      <c r="CV125" s="21" t="n">
        <v>0</v>
      </c>
      <c r="CW125" s="21" t="n">
        <v>0</v>
      </c>
      <c r="CX125" s="21" t="n">
        <v>0</v>
      </c>
      <c r="CY125" s="21" t="n">
        <v>0</v>
      </c>
      <c r="CZ125" s="21" t="n">
        <v>0</v>
      </c>
      <c r="DA125" s="21" t="n">
        <v>0</v>
      </c>
    </row>
    <row r="126">
      <c r="A126" t="inlineStr">
        <is>
          <t>K0050</t>
        </is>
      </c>
      <c r="B126" s="21" t="n">
        <v>0</v>
      </c>
      <c r="C126" s="21" t="n">
        <v>0</v>
      </c>
      <c r="D126" s="21" t="n">
        <v>0</v>
      </c>
      <c r="E126" s="21" t="n">
        <v>0</v>
      </c>
      <c r="F126" s="21" t="n">
        <v>0</v>
      </c>
      <c r="G126" s="21" t="n">
        <v>0</v>
      </c>
      <c r="H126" s="21" t="n">
        <v>0</v>
      </c>
      <c r="I126" s="21" t="n">
        <v>0</v>
      </c>
      <c r="J126" s="21" t="n">
        <v>0</v>
      </c>
      <c r="K126" s="21" t="n">
        <v>0</v>
      </c>
      <c r="L126" s="21" t="n">
        <v>0</v>
      </c>
      <c r="M126" s="21" t="n">
        <v>0</v>
      </c>
      <c r="N126" s="21" t="n">
        <v>0</v>
      </c>
      <c r="O126" s="21" t="n">
        <v>0</v>
      </c>
      <c r="P126" s="21" t="n">
        <v>0</v>
      </c>
      <c r="Q126" s="21" t="n">
        <v>0</v>
      </c>
      <c r="R126" s="21" t="n">
        <v>0</v>
      </c>
      <c r="S126" s="21" t="n">
        <v>0</v>
      </c>
      <c r="T126" s="21" t="n">
        <v>0</v>
      </c>
      <c r="U126" s="21" t="n">
        <v>0</v>
      </c>
      <c r="V126" s="21" t="n">
        <v>0</v>
      </c>
      <c r="W126" s="21" t="n">
        <v>0</v>
      </c>
      <c r="X126" s="21" t="n">
        <v>9680</v>
      </c>
      <c r="Y126" s="21" t="n">
        <v>9680</v>
      </c>
      <c r="Z126" s="21" t="n">
        <v>0</v>
      </c>
      <c r="AA126" s="21" t="n">
        <v>11616</v>
      </c>
      <c r="AB126" s="21" t="n">
        <v>7744</v>
      </c>
      <c r="AC126" s="21" t="n">
        <v>9680</v>
      </c>
      <c r="AD126" s="21" t="n">
        <v>9680</v>
      </c>
      <c r="AE126" s="21" t="n">
        <v>4840</v>
      </c>
      <c r="AF126" s="21" t="n">
        <v>4840</v>
      </c>
      <c r="AG126" s="21" t="n">
        <v>9680</v>
      </c>
      <c r="AH126" s="21" t="n">
        <v>9680</v>
      </c>
      <c r="AI126" s="21" t="n">
        <v>9680</v>
      </c>
      <c r="AJ126" s="21" t="n">
        <v>9680</v>
      </c>
      <c r="AK126" s="21" t="n">
        <v>9680</v>
      </c>
      <c r="AL126" s="21" t="n">
        <v>9680</v>
      </c>
      <c r="AM126" s="21" t="n">
        <v>9680</v>
      </c>
      <c r="AN126" s="21" t="n">
        <v>4840</v>
      </c>
      <c r="AO126" s="21" t="n">
        <v>4840</v>
      </c>
      <c r="AP126" s="21" t="n">
        <v>9680</v>
      </c>
      <c r="AQ126" s="21" t="n">
        <v>9680</v>
      </c>
      <c r="AR126" s="21" t="n">
        <v>9680</v>
      </c>
      <c r="AS126" s="21" t="n">
        <v>9680</v>
      </c>
      <c r="AT126" s="21" t="n">
        <v>14520</v>
      </c>
      <c r="AU126" s="21" t="n">
        <v>14520</v>
      </c>
      <c r="AV126" s="21" t="n">
        <v>14520</v>
      </c>
      <c r="AW126" s="21" t="n">
        <v>14520</v>
      </c>
      <c r="AX126" s="21" t="n">
        <v>9680</v>
      </c>
      <c r="AY126" s="21" t="n">
        <v>9680</v>
      </c>
      <c r="AZ126" s="21" t="n">
        <v>4840</v>
      </c>
      <c r="BA126" s="21" t="n">
        <v>0</v>
      </c>
      <c r="BB126" s="21" t="n">
        <v>0</v>
      </c>
      <c r="BC126" s="21" t="n">
        <v>9680</v>
      </c>
      <c r="BD126" s="21" t="n">
        <v>9680</v>
      </c>
      <c r="BE126" s="21" t="n">
        <v>9680</v>
      </c>
      <c r="BF126" s="21" t="n">
        <v>9680</v>
      </c>
      <c r="BG126" s="21" t="n">
        <v>9680</v>
      </c>
      <c r="BH126" s="21" t="n">
        <v>9680</v>
      </c>
      <c r="BI126" s="21" t="n">
        <v>9680</v>
      </c>
      <c r="BJ126" s="21" t="n">
        <v>9680</v>
      </c>
      <c r="BK126" s="21" t="n">
        <v>9680</v>
      </c>
      <c r="BL126" s="21" t="n">
        <v>0</v>
      </c>
      <c r="BM126" s="21" t="n">
        <v>9680</v>
      </c>
      <c r="BN126" s="21" t="n">
        <v>0</v>
      </c>
      <c r="BO126" s="21" t="n">
        <v>4840</v>
      </c>
      <c r="BP126" s="21" t="n">
        <v>4840</v>
      </c>
      <c r="BQ126" s="21" t="n">
        <v>4840</v>
      </c>
      <c r="BR126" s="21" t="n">
        <v>4840</v>
      </c>
      <c r="BS126" s="21" t="n">
        <v>0</v>
      </c>
      <c r="BT126" s="21" t="n">
        <v>4840</v>
      </c>
      <c r="BU126" s="21" t="n">
        <v>4840</v>
      </c>
      <c r="BV126" s="21" t="n">
        <v>4840</v>
      </c>
      <c r="BW126" s="21" t="n">
        <v>4840</v>
      </c>
      <c r="BX126" s="21" t="n">
        <v>0</v>
      </c>
      <c r="BY126" s="21" t="n">
        <v>0</v>
      </c>
      <c r="BZ126" s="21" t="n">
        <v>0</v>
      </c>
      <c r="CA126" s="21" t="n">
        <v>0</v>
      </c>
      <c r="CB126" s="21" t="n">
        <v>0</v>
      </c>
      <c r="CC126" s="21" t="n">
        <v>0</v>
      </c>
      <c r="CD126" s="21" t="n">
        <v>0</v>
      </c>
      <c r="CE126" s="21" t="n">
        <v>0</v>
      </c>
      <c r="CF126" s="21" t="n">
        <v>0</v>
      </c>
      <c r="CG126" s="21" t="n">
        <v>0</v>
      </c>
      <c r="CH126" s="21" t="n">
        <v>0</v>
      </c>
      <c r="CI126" s="21" t="n">
        <v>0</v>
      </c>
      <c r="CJ126" s="21" t="n">
        <v>0</v>
      </c>
      <c r="CK126" s="21" t="n">
        <v>0</v>
      </c>
      <c r="CL126" s="21" t="n">
        <v>0</v>
      </c>
      <c r="CM126" s="21" t="n">
        <v>0</v>
      </c>
      <c r="CN126" s="21" t="n">
        <v>0</v>
      </c>
      <c r="CO126" s="21" t="n">
        <v>0</v>
      </c>
      <c r="CP126" s="21" t="n">
        <v>0</v>
      </c>
      <c r="CQ126" s="21" t="n">
        <v>0</v>
      </c>
      <c r="CR126" s="21" t="n">
        <v>0</v>
      </c>
      <c r="CS126" s="21" t="n">
        <v>0</v>
      </c>
      <c r="CT126" s="21" t="n">
        <v>0</v>
      </c>
      <c r="CU126" s="21" t="n">
        <v>0</v>
      </c>
      <c r="CV126" s="21" t="n">
        <v>0</v>
      </c>
      <c r="CW126" s="21" t="n">
        <v>0</v>
      </c>
      <c r="CX126" s="21" t="n">
        <v>0</v>
      </c>
      <c r="CY126" s="21" t="n">
        <v>0</v>
      </c>
      <c r="CZ126" s="21" t="n">
        <v>0</v>
      </c>
      <c r="DA126" s="21" t="n">
        <v>0</v>
      </c>
    </row>
    <row r="127">
      <c r="A127" t="inlineStr">
        <is>
          <t>PP Film</t>
        </is>
      </c>
      <c r="B127" s="21" t="n">
        <v>0</v>
      </c>
      <c r="C127" s="21" t="n">
        <v>0</v>
      </c>
      <c r="D127" s="21" t="n">
        <v>0</v>
      </c>
      <c r="E127" s="21" t="n">
        <v>0</v>
      </c>
      <c r="F127" s="21" t="n">
        <v>0</v>
      </c>
      <c r="G127" s="21" t="n">
        <v>0</v>
      </c>
      <c r="H127" s="21" t="n">
        <v>0</v>
      </c>
      <c r="I127" s="21" t="n">
        <v>0</v>
      </c>
      <c r="J127" s="21" t="n">
        <v>0</v>
      </c>
      <c r="K127" s="21" t="n">
        <v>0</v>
      </c>
      <c r="L127" s="21" t="n">
        <v>0</v>
      </c>
      <c r="M127" s="21" t="n">
        <v>0</v>
      </c>
      <c r="N127" s="21" t="n">
        <v>0</v>
      </c>
      <c r="O127" s="21" t="n">
        <v>0</v>
      </c>
      <c r="P127" s="21" t="n">
        <v>0</v>
      </c>
      <c r="Q127" s="21" t="n">
        <v>0</v>
      </c>
      <c r="R127" s="21" t="n">
        <v>0</v>
      </c>
      <c r="S127" s="21" t="n">
        <v>0</v>
      </c>
      <c r="T127" s="21" t="n">
        <v>0</v>
      </c>
      <c r="U127" s="21" t="n">
        <v>0</v>
      </c>
      <c r="V127" s="21" t="n">
        <v>0</v>
      </c>
      <c r="W127" s="21" t="n">
        <v>0</v>
      </c>
      <c r="X127" s="21" t="n">
        <v>21</v>
      </c>
      <c r="Y127" s="21" t="n">
        <v>18</v>
      </c>
      <c r="Z127" s="21" t="n">
        <v>0</v>
      </c>
      <c r="AA127" s="21" t="n">
        <v>4</v>
      </c>
      <c r="AB127" s="21" t="n">
        <v>15</v>
      </c>
      <c r="AC127" s="21" t="n">
        <v>9</v>
      </c>
      <c r="AD127" s="21" t="n">
        <v>12</v>
      </c>
      <c r="AE127" s="21" t="n">
        <v>16</v>
      </c>
      <c r="AF127" s="21" t="n">
        <v>16</v>
      </c>
      <c r="AG127" s="21" t="n">
        <v>20</v>
      </c>
      <c r="AH127" s="21" t="n">
        <v>17</v>
      </c>
      <c r="AI127" s="21" t="n">
        <v>6</v>
      </c>
      <c r="AJ127" s="21" t="n">
        <v>12</v>
      </c>
      <c r="AK127" s="21" t="n">
        <v>7</v>
      </c>
      <c r="AL127" s="21" t="n">
        <v>13</v>
      </c>
      <c r="AM127" s="21" t="n">
        <v>19</v>
      </c>
      <c r="AN127" s="21" t="n">
        <v>16</v>
      </c>
      <c r="AO127" s="21" t="n">
        <v>16</v>
      </c>
      <c r="AP127" s="21" t="n">
        <v>18</v>
      </c>
      <c r="AQ127" s="21" t="n">
        <v>19</v>
      </c>
      <c r="AR127" s="21" t="n">
        <v>18</v>
      </c>
      <c r="AS127" s="21" t="n">
        <v>23</v>
      </c>
      <c r="AT127" s="21" t="n">
        <v>26</v>
      </c>
      <c r="AU127" s="21" t="n">
        <v>26</v>
      </c>
      <c r="AV127" s="21" t="n">
        <v>26</v>
      </c>
      <c r="AW127" s="21" t="n">
        <v>19</v>
      </c>
      <c r="AX127" s="21" t="n">
        <v>23</v>
      </c>
      <c r="AY127" s="21" t="n">
        <v>10</v>
      </c>
      <c r="AZ127" s="21" t="n">
        <v>10</v>
      </c>
      <c r="BA127" s="21" t="n">
        <v>0</v>
      </c>
      <c r="BB127" s="21" t="n">
        <v>0</v>
      </c>
      <c r="BC127" s="21" t="n">
        <v>13</v>
      </c>
      <c r="BD127" s="21" t="n">
        <v>16</v>
      </c>
      <c r="BE127" s="21" t="n">
        <v>24</v>
      </c>
      <c r="BF127" s="21" t="n">
        <v>16</v>
      </c>
      <c r="BG127" s="21" t="n">
        <v>19</v>
      </c>
      <c r="BH127" s="21" t="n">
        <v>15</v>
      </c>
      <c r="BI127" s="21" t="n">
        <v>10</v>
      </c>
      <c r="BJ127" s="21" t="n">
        <v>16</v>
      </c>
      <c r="BK127" s="21" t="n">
        <v>16</v>
      </c>
      <c r="BL127" s="21" t="n">
        <v>6</v>
      </c>
      <c r="BM127" s="21" t="n">
        <v>9</v>
      </c>
      <c r="BN127" s="21" t="n">
        <v>13</v>
      </c>
      <c r="BO127" s="21" t="n">
        <v>3</v>
      </c>
      <c r="BP127" s="21" t="n">
        <v>6</v>
      </c>
      <c r="BQ127" s="21" t="n">
        <v>9</v>
      </c>
      <c r="BR127" s="21" t="n">
        <v>11</v>
      </c>
      <c r="BS127" s="21" t="n">
        <v>0</v>
      </c>
      <c r="BT127" s="21" t="n">
        <v>5</v>
      </c>
      <c r="BU127" s="21" t="n">
        <v>0</v>
      </c>
      <c r="BV127" s="21" t="n">
        <v>0</v>
      </c>
      <c r="BW127" s="21" t="n">
        <v>0</v>
      </c>
      <c r="BX127" s="21" t="n">
        <v>0</v>
      </c>
      <c r="BY127" s="21" t="n">
        <v>0</v>
      </c>
      <c r="BZ127" s="21" t="n">
        <v>0</v>
      </c>
      <c r="CA127" s="21" t="n">
        <v>0</v>
      </c>
      <c r="CB127" s="21" t="n">
        <v>0</v>
      </c>
      <c r="CC127" s="21" t="n">
        <v>0</v>
      </c>
      <c r="CD127" s="21" t="n">
        <v>0</v>
      </c>
      <c r="CE127" s="21" t="n">
        <v>0</v>
      </c>
      <c r="CF127" s="21" t="n">
        <v>0</v>
      </c>
      <c r="CG127" s="21" t="n">
        <v>0</v>
      </c>
      <c r="CH127" s="21" t="n">
        <v>0</v>
      </c>
      <c r="CI127" s="21" t="n">
        <v>0</v>
      </c>
      <c r="CJ127" s="21" t="n">
        <v>0</v>
      </c>
      <c r="CK127" s="21" t="n">
        <v>0</v>
      </c>
      <c r="CL127" s="21" t="n">
        <v>0</v>
      </c>
      <c r="CM127" s="21" t="n">
        <v>0</v>
      </c>
      <c r="CN127" s="21" t="n">
        <v>0</v>
      </c>
      <c r="CO127" s="21" t="n">
        <v>0</v>
      </c>
      <c r="CP127" s="21" t="n">
        <v>0</v>
      </c>
      <c r="CQ127" s="21" t="n">
        <v>0</v>
      </c>
      <c r="CR127" s="21" t="n">
        <v>0</v>
      </c>
      <c r="CS127" s="21" t="n">
        <v>0</v>
      </c>
      <c r="CT127" s="21" t="n">
        <v>0</v>
      </c>
      <c r="CU127" s="21" t="n">
        <v>0</v>
      </c>
      <c r="CV127" s="21" t="n">
        <v>0</v>
      </c>
      <c r="CW127" s="21" t="n">
        <v>0</v>
      </c>
      <c r="CX127" s="21" t="n">
        <v>0</v>
      </c>
      <c r="CY127" s="21" t="n">
        <v>0</v>
      </c>
      <c r="CZ127" s="21" t="n">
        <v>0</v>
      </c>
      <c r="DA127" s="21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0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8" customWidth="1" min="3" max="3"/>
    <col width="11" customWidth="1" min="4" max="4"/>
    <col width="12" customWidth="1" min="5" max="5"/>
    <col width="12" customWidth="1" min="6" max="6"/>
    <col width="14" customWidth="1" min="7" max="7"/>
  </cols>
  <sheetData>
    <row r="1">
      <c r="A1" s="4" t="inlineStr">
        <is>
          <t>AnchorYear</t>
        </is>
      </c>
      <c r="B1" s="21" t="n">
        <v>2026</v>
      </c>
    </row>
    <row r="3">
      <c r="A3" s="20" t="inlineStr">
        <is>
          <t>WeekIndex</t>
        </is>
      </c>
      <c r="B3" s="20" t="inlineStr">
        <is>
          <t>WeekStart</t>
        </is>
      </c>
      <c r="C3" s="20" t="inlineStr">
        <is>
          <t>Year</t>
        </is>
      </c>
      <c r="D3" s="20" t="inlineStr">
        <is>
          <t>WeekOfYear</t>
        </is>
      </c>
      <c r="E3" s="20" t="inlineStr">
        <is>
          <t>Label</t>
        </is>
      </c>
      <c r="F3" s="20" t="inlineStr">
        <is>
          <t>WeekEnd</t>
        </is>
      </c>
      <c r="G3" s="20" t="inlineStr">
        <is>
          <t>MonthYearLabel</t>
        </is>
      </c>
    </row>
    <row r="4">
      <c r="A4" t="n">
        <v>1</v>
      </c>
      <c r="B4" s="17">
        <f>DATE($B$1,1,1)-WEEKDAY(DATE($B$1,1,1),3)</f>
        <v/>
      </c>
      <c r="C4">
        <f>IF(B4&gt;=DATE(YEAR(B4)+1,1,1)-WEEKDAY(DATE(YEAR(B4)+1,1,1),3),YEAR(B4)+1,IF(B4&gt;=DATE(YEAR(B4),1,1)-WEEKDAY(DATE(YEAR(B4),1,1),3),YEAR(B4),YEAR(B4)-1))</f>
        <v/>
      </c>
      <c r="D4">
        <f>(B4-(DATE(C4,1,1)-WEEKDAY(DATE(C4,1,1),3)))/7+1</f>
        <v/>
      </c>
      <c r="E4">
        <f>C4&amp;"-W"&amp;TEXT(D4,"00")</f>
        <v/>
      </c>
      <c r="F4" s="17">
        <f>B4+6</f>
        <v/>
      </c>
      <c r="G4">
        <f>TEXT(B4,"mmm-yy")</f>
        <v/>
      </c>
    </row>
    <row r="5">
      <c r="A5" t="n">
        <v>2</v>
      </c>
      <c r="B5" s="17">
        <f>B4+7</f>
        <v/>
      </c>
      <c r="C5">
        <f>IF(B5&gt;=DATE(YEAR(B5)+1,1,1)-WEEKDAY(DATE(YEAR(B5)+1,1,1),3),YEAR(B5)+1,IF(B5&gt;=DATE(YEAR(B5),1,1)-WEEKDAY(DATE(YEAR(B5),1,1),3),YEAR(B5),YEAR(B5)-1))</f>
        <v/>
      </c>
      <c r="D5">
        <f>(B5-(DATE(C5,1,1)-WEEKDAY(DATE(C5,1,1),3)))/7+1</f>
        <v/>
      </c>
      <c r="E5">
        <f>C5&amp;"-W"&amp;TEXT(D5,"00")</f>
        <v/>
      </c>
      <c r="F5" s="17">
        <f>B5+6</f>
        <v/>
      </c>
      <c r="G5">
        <f>TEXT(B5,"mmm-yy")</f>
        <v/>
      </c>
    </row>
    <row r="6">
      <c r="A6" t="n">
        <v>3</v>
      </c>
      <c r="B6" s="17">
        <f>B5+7</f>
        <v/>
      </c>
      <c r="C6">
        <f>IF(B6&gt;=DATE(YEAR(B6)+1,1,1)-WEEKDAY(DATE(YEAR(B6)+1,1,1),3),YEAR(B6)+1,IF(B6&gt;=DATE(YEAR(B6),1,1)-WEEKDAY(DATE(YEAR(B6),1,1),3),YEAR(B6),YEAR(B6)-1))</f>
        <v/>
      </c>
      <c r="D6">
        <f>(B6-(DATE(C6,1,1)-WEEKDAY(DATE(C6,1,1),3)))/7+1</f>
        <v/>
      </c>
      <c r="E6">
        <f>C6&amp;"-W"&amp;TEXT(D6,"00")</f>
        <v/>
      </c>
      <c r="F6" s="17">
        <f>B6+6</f>
        <v/>
      </c>
      <c r="G6">
        <f>TEXT(B6,"mmm-yy")</f>
        <v/>
      </c>
    </row>
    <row r="7">
      <c r="A7" t="n">
        <v>4</v>
      </c>
      <c r="B7" s="17">
        <f>B6+7</f>
        <v/>
      </c>
      <c r="C7">
        <f>IF(B7&gt;=DATE(YEAR(B7)+1,1,1)-WEEKDAY(DATE(YEAR(B7)+1,1,1),3),YEAR(B7)+1,IF(B7&gt;=DATE(YEAR(B7),1,1)-WEEKDAY(DATE(YEAR(B7),1,1),3),YEAR(B7),YEAR(B7)-1))</f>
        <v/>
      </c>
      <c r="D7">
        <f>(B7-(DATE(C7,1,1)-WEEKDAY(DATE(C7,1,1),3)))/7+1</f>
        <v/>
      </c>
      <c r="E7">
        <f>C7&amp;"-W"&amp;TEXT(D7,"00")</f>
        <v/>
      </c>
      <c r="F7" s="17">
        <f>B7+6</f>
        <v/>
      </c>
      <c r="G7">
        <f>TEXT(B7,"mmm-yy")</f>
        <v/>
      </c>
    </row>
    <row r="8">
      <c r="A8" t="n">
        <v>5</v>
      </c>
      <c r="B8" s="17">
        <f>B7+7</f>
        <v/>
      </c>
      <c r="C8">
        <f>IF(B8&gt;=DATE(YEAR(B8)+1,1,1)-WEEKDAY(DATE(YEAR(B8)+1,1,1),3),YEAR(B8)+1,IF(B8&gt;=DATE(YEAR(B8),1,1)-WEEKDAY(DATE(YEAR(B8),1,1),3),YEAR(B8),YEAR(B8)-1))</f>
        <v/>
      </c>
      <c r="D8">
        <f>(B8-(DATE(C8,1,1)-WEEKDAY(DATE(C8,1,1),3)))/7+1</f>
        <v/>
      </c>
      <c r="E8">
        <f>C8&amp;"-W"&amp;TEXT(D8,"00")</f>
        <v/>
      </c>
      <c r="F8" s="17">
        <f>B8+6</f>
        <v/>
      </c>
      <c r="G8">
        <f>TEXT(B8,"mmm-yy")</f>
        <v/>
      </c>
    </row>
    <row r="9">
      <c r="A9" t="n">
        <v>6</v>
      </c>
      <c r="B9" s="17">
        <f>B8+7</f>
        <v/>
      </c>
      <c r="C9">
        <f>IF(B9&gt;=DATE(YEAR(B9)+1,1,1)-WEEKDAY(DATE(YEAR(B9)+1,1,1),3),YEAR(B9)+1,IF(B9&gt;=DATE(YEAR(B9),1,1)-WEEKDAY(DATE(YEAR(B9),1,1),3),YEAR(B9),YEAR(B9)-1))</f>
        <v/>
      </c>
      <c r="D9">
        <f>(B9-(DATE(C9,1,1)-WEEKDAY(DATE(C9,1,1),3)))/7+1</f>
        <v/>
      </c>
      <c r="E9">
        <f>C9&amp;"-W"&amp;TEXT(D9,"00")</f>
        <v/>
      </c>
      <c r="F9" s="17">
        <f>B9+6</f>
        <v/>
      </c>
      <c r="G9">
        <f>TEXT(B9,"mmm-yy")</f>
        <v/>
      </c>
    </row>
    <row r="10">
      <c r="A10" t="n">
        <v>7</v>
      </c>
      <c r="B10" s="17">
        <f>B9+7</f>
        <v/>
      </c>
      <c r="C10">
        <f>IF(B10&gt;=DATE(YEAR(B10)+1,1,1)-WEEKDAY(DATE(YEAR(B10)+1,1,1),3),YEAR(B10)+1,IF(B10&gt;=DATE(YEAR(B10),1,1)-WEEKDAY(DATE(YEAR(B10),1,1),3),YEAR(B10),YEAR(B10)-1))</f>
        <v/>
      </c>
      <c r="D10">
        <f>(B10-(DATE(C10,1,1)-WEEKDAY(DATE(C10,1,1),3)))/7+1</f>
        <v/>
      </c>
      <c r="E10">
        <f>C10&amp;"-W"&amp;TEXT(D10,"00")</f>
        <v/>
      </c>
      <c r="F10" s="17">
        <f>B10+6</f>
        <v/>
      </c>
      <c r="G10">
        <f>TEXT(B10,"mmm-yy")</f>
        <v/>
      </c>
    </row>
    <row r="11">
      <c r="A11" t="n">
        <v>8</v>
      </c>
      <c r="B11" s="17">
        <f>B10+7</f>
        <v/>
      </c>
      <c r="C11">
        <f>IF(B11&gt;=DATE(YEAR(B11)+1,1,1)-WEEKDAY(DATE(YEAR(B11)+1,1,1),3),YEAR(B11)+1,IF(B11&gt;=DATE(YEAR(B11),1,1)-WEEKDAY(DATE(YEAR(B11),1,1),3),YEAR(B11),YEAR(B11)-1))</f>
        <v/>
      </c>
      <c r="D11">
        <f>(B11-(DATE(C11,1,1)-WEEKDAY(DATE(C11,1,1),3)))/7+1</f>
        <v/>
      </c>
      <c r="E11">
        <f>C11&amp;"-W"&amp;TEXT(D11,"00")</f>
        <v/>
      </c>
      <c r="F11" s="17">
        <f>B11+6</f>
        <v/>
      </c>
      <c r="G11">
        <f>TEXT(B11,"mmm-yy")</f>
        <v/>
      </c>
    </row>
    <row r="12">
      <c r="A12" t="n">
        <v>9</v>
      </c>
      <c r="B12" s="17">
        <f>B11+7</f>
        <v/>
      </c>
      <c r="C12">
        <f>IF(B12&gt;=DATE(YEAR(B12)+1,1,1)-WEEKDAY(DATE(YEAR(B12)+1,1,1),3),YEAR(B12)+1,IF(B12&gt;=DATE(YEAR(B12),1,1)-WEEKDAY(DATE(YEAR(B12),1,1),3),YEAR(B12),YEAR(B12)-1))</f>
        <v/>
      </c>
      <c r="D12">
        <f>(B12-(DATE(C12,1,1)-WEEKDAY(DATE(C12,1,1),3)))/7+1</f>
        <v/>
      </c>
      <c r="E12">
        <f>C12&amp;"-W"&amp;TEXT(D12,"00")</f>
        <v/>
      </c>
      <c r="F12" s="17">
        <f>B12+6</f>
        <v/>
      </c>
      <c r="G12">
        <f>TEXT(B12,"mmm-yy")</f>
        <v/>
      </c>
    </row>
    <row r="13">
      <c r="A13" t="n">
        <v>10</v>
      </c>
      <c r="B13" s="17">
        <f>B12+7</f>
        <v/>
      </c>
      <c r="C13">
        <f>IF(B13&gt;=DATE(YEAR(B13)+1,1,1)-WEEKDAY(DATE(YEAR(B13)+1,1,1),3),YEAR(B13)+1,IF(B13&gt;=DATE(YEAR(B13),1,1)-WEEKDAY(DATE(YEAR(B13),1,1),3),YEAR(B13),YEAR(B13)-1))</f>
        <v/>
      </c>
      <c r="D13">
        <f>(B13-(DATE(C13,1,1)-WEEKDAY(DATE(C13,1,1),3)))/7+1</f>
        <v/>
      </c>
      <c r="E13">
        <f>C13&amp;"-W"&amp;TEXT(D13,"00")</f>
        <v/>
      </c>
      <c r="F13" s="17">
        <f>B13+6</f>
        <v/>
      </c>
      <c r="G13">
        <f>TEXT(B13,"mmm-yy")</f>
        <v/>
      </c>
    </row>
    <row r="14">
      <c r="A14" t="n">
        <v>11</v>
      </c>
      <c r="B14" s="17">
        <f>B13+7</f>
        <v/>
      </c>
      <c r="C14">
        <f>IF(B14&gt;=DATE(YEAR(B14)+1,1,1)-WEEKDAY(DATE(YEAR(B14)+1,1,1),3),YEAR(B14)+1,IF(B14&gt;=DATE(YEAR(B14),1,1)-WEEKDAY(DATE(YEAR(B14),1,1),3),YEAR(B14),YEAR(B14)-1))</f>
        <v/>
      </c>
      <c r="D14">
        <f>(B14-(DATE(C14,1,1)-WEEKDAY(DATE(C14,1,1),3)))/7+1</f>
        <v/>
      </c>
      <c r="E14">
        <f>C14&amp;"-W"&amp;TEXT(D14,"00")</f>
        <v/>
      </c>
      <c r="F14" s="17">
        <f>B14+6</f>
        <v/>
      </c>
      <c r="G14">
        <f>TEXT(B14,"mmm-yy")</f>
        <v/>
      </c>
    </row>
    <row r="15">
      <c r="A15" t="n">
        <v>12</v>
      </c>
      <c r="B15" s="17">
        <f>B14+7</f>
        <v/>
      </c>
      <c r="C15">
        <f>IF(B15&gt;=DATE(YEAR(B15)+1,1,1)-WEEKDAY(DATE(YEAR(B15)+1,1,1),3),YEAR(B15)+1,IF(B15&gt;=DATE(YEAR(B15),1,1)-WEEKDAY(DATE(YEAR(B15),1,1),3),YEAR(B15),YEAR(B15)-1))</f>
        <v/>
      </c>
      <c r="D15">
        <f>(B15-(DATE(C15,1,1)-WEEKDAY(DATE(C15,1,1),3)))/7+1</f>
        <v/>
      </c>
      <c r="E15">
        <f>C15&amp;"-W"&amp;TEXT(D15,"00")</f>
        <v/>
      </c>
      <c r="F15" s="17">
        <f>B15+6</f>
        <v/>
      </c>
      <c r="G15">
        <f>TEXT(B15,"mmm-yy")</f>
        <v/>
      </c>
    </row>
    <row r="16">
      <c r="A16" t="n">
        <v>13</v>
      </c>
      <c r="B16" s="17">
        <f>B15+7</f>
        <v/>
      </c>
      <c r="C16">
        <f>IF(B16&gt;=DATE(YEAR(B16)+1,1,1)-WEEKDAY(DATE(YEAR(B16)+1,1,1),3),YEAR(B16)+1,IF(B16&gt;=DATE(YEAR(B16),1,1)-WEEKDAY(DATE(YEAR(B16),1,1),3),YEAR(B16),YEAR(B16)-1))</f>
        <v/>
      </c>
      <c r="D16">
        <f>(B16-(DATE(C16,1,1)-WEEKDAY(DATE(C16,1,1),3)))/7+1</f>
        <v/>
      </c>
      <c r="E16">
        <f>C16&amp;"-W"&amp;TEXT(D16,"00")</f>
        <v/>
      </c>
      <c r="F16" s="17">
        <f>B16+6</f>
        <v/>
      </c>
      <c r="G16">
        <f>TEXT(B16,"mmm-yy")</f>
        <v/>
      </c>
    </row>
    <row r="17">
      <c r="A17" t="n">
        <v>14</v>
      </c>
      <c r="B17" s="17">
        <f>B16+7</f>
        <v/>
      </c>
      <c r="C17">
        <f>IF(B17&gt;=DATE(YEAR(B17)+1,1,1)-WEEKDAY(DATE(YEAR(B17)+1,1,1),3),YEAR(B17)+1,IF(B17&gt;=DATE(YEAR(B17),1,1)-WEEKDAY(DATE(YEAR(B17),1,1),3),YEAR(B17),YEAR(B17)-1))</f>
        <v/>
      </c>
      <c r="D17">
        <f>(B17-(DATE(C17,1,1)-WEEKDAY(DATE(C17,1,1),3)))/7+1</f>
        <v/>
      </c>
      <c r="E17">
        <f>C17&amp;"-W"&amp;TEXT(D17,"00")</f>
        <v/>
      </c>
      <c r="F17" s="17">
        <f>B17+6</f>
        <v/>
      </c>
      <c r="G17">
        <f>TEXT(B17,"mmm-yy")</f>
        <v/>
      </c>
    </row>
    <row r="18">
      <c r="A18" t="n">
        <v>15</v>
      </c>
      <c r="B18" s="17">
        <f>B17+7</f>
        <v/>
      </c>
      <c r="C18">
        <f>IF(B18&gt;=DATE(YEAR(B18)+1,1,1)-WEEKDAY(DATE(YEAR(B18)+1,1,1),3),YEAR(B18)+1,IF(B18&gt;=DATE(YEAR(B18),1,1)-WEEKDAY(DATE(YEAR(B18),1,1),3),YEAR(B18),YEAR(B18)-1))</f>
        <v/>
      </c>
      <c r="D18">
        <f>(B18-(DATE(C18,1,1)-WEEKDAY(DATE(C18,1,1),3)))/7+1</f>
        <v/>
      </c>
      <c r="E18">
        <f>C18&amp;"-W"&amp;TEXT(D18,"00")</f>
        <v/>
      </c>
      <c r="F18" s="17">
        <f>B18+6</f>
        <v/>
      </c>
      <c r="G18">
        <f>TEXT(B18,"mmm-yy")</f>
        <v/>
      </c>
    </row>
    <row r="19">
      <c r="A19" t="n">
        <v>16</v>
      </c>
      <c r="B19" s="17">
        <f>B18+7</f>
        <v/>
      </c>
      <c r="C19">
        <f>IF(B19&gt;=DATE(YEAR(B19)+1,1,1)-WEEKDAY(DATE(YEAR(B19)+1,1,1),3),YEAR(B19)+1,IF(B19&gt;=DATE(YEAR(B19),1,1)-WEEKDAY(DATE(YEAR(B19),1,1),3),YEAR(B19),YEAR(B19)-1))</f>
        <v/>
      </c>
      <c r="D19">
        <f>(B19-(DATE(C19,1,1)-WEEKDAY(DATE(C19,1,1),3)))/7+1</f>
        <v/>
      </c>
      <c r="E19">
        <f>C19&amp;"-W"&amp;TEXT(D19,"00")</f>
        <v/>
      </c>
      <c r="F19" s="17">
        <f>B19+6</f>
        <v/>
      </c>
      <c r="G19">
        <f>TEXT(B19,"mmm-yy")</f>
        <v/>
      </c>
    </row>
    <row r="20">
      <c r="A20" t="n">
        <v>17</v>
      </c>
      <c r="B20" s="17">
        <f>B19+7</f>
        <v/>
      </c>
      <c r="C20">
        <f>IF(B20&gt;=DATE(YEAR(B20)+1,1,1)-WEEKDAY(DATE(YEAR(B20)+1,1,1),3),YEAR(B20)+1,IF(B20&gt;=DATE(YEAR(B20),1,1)-WEEKDAY(DATE(YEAR(B20),1,1),3),YEAR(B20),YEAR(B20)-1))</f>
        <v/>
      </c>
      <c r="D20">
        <f>(B20-(DATE(C20,1,1)-WEEKDAY(DATE(C20,1,1),3)))/7+1</f>
        <v/>
      </c>
      <c r="E20">
        <f>C20&amp;"-W"&amp;TEXT(D20,"00")</f>
        <v/>
      </c>
      <c r="F20" s="17">
        <f>B20+6</f>
        <v/>
      </c>
      <c r="G20">
        <f>TEXT(B20,"mmm-yy")</f>
        <v/>
      </c>
    </row>
    <row r="21">
      <c r="A21" t="n">
        <v>18</v>
      </c>
      <c r="B21" s="17">
        <f>B20+7</f>
        <v/>
      </c>
      <c r="C21">
        <f>IF(B21&gt;=DATE(YEAR(B21)+1,1,1)-WEEKDAY(DATE(YEAR(B21)+1,1,1),3),YEAR(B21)+1,IF(B21&gt;=DATE(YEAR(B21),1,1)-WEEKDAY(DATE(YEAR(B21),1,1),3),YEAR(B21),YEAR(B21)-1))</f>
        <v/>
      </c>
      <c r="D21">
        <f>(B21-(DATE(C21,1,1)-WEEKDAY(DATE(C21,1,1),3)))/7+1</f>
        <v/>
      </c>
      <c r="E21">
        <f>C21&amp;"-W"&amp;TEXT(D21,"00")</f>
        <v/>
      </c>
      <c r="F21" s="17">
        <f>B21+6</f>
        <v/>
      </c>
      <c r="G21">
        <f>TEXT(B21,"mmm-yy")</f>
        <v/>
      </c>
    </row>
    <row r="22">
      <c r="A22" t="n">
        <v>19</v>
      </c>
      <c r="B22" s="17">
        <f>B21+7</f>
        <v/>
      </c>
      <c r="C22">
        <f>IF(B22&gt;=DATE(YEAR(B22)+1,1,1)-WEEKDAY(DATE(YEAR(B22)+1,1,1),3),YEAR(B22)+1,IF(B22&gt;=DATE(YEAR(B22),1,1)-WEEKDAY(DATE(YEAR(B22),1,1),3),YEAR(B22),YEAR(B22)-1))</f>
        <v/>
      </c>
      <c r="D22">
        <f>(B22-(DATE(C22,1,1)-WEEKDAY(DATE(C22,1,1),3)))/7+1</f>
        <v/>
      </c>
      <c r="E22">
        <f>C22&amp;"-W"&amp;TEXT(D22,"00")</f>
        <v/>
      </c>
      <c r="F22" s="17">
        <f>B22+6</f>
        <v/>
      </c>
      <c r="G22">
        <f>TEXT(B22,"mmm-yy")</f>
        <v/>
      </c>
    </row>
    <row r="23">
      <c r="A23" t="n">
        <v>20</v>
      </c>
      <c r="B23" s="17">
        <f>B22+7</f>
        <v/>
      </c>
      <c r="C23">
        <f>IF(B23&gt;=DATE(YEAR(B23)+1,1,1)-WEEKDAY(DATE(YEAR(B23)+1,1,1),3),YEAR(B23)+1,IF(B23&gt;=DATE(YEAR(B23),1,1)-WEEKDAY(DATE(YEAR(B23),1,1),3),YEAR(B23),YEAR(B23)-1))</f>
        <v/>
      </c>
      <c r="D23">
        <f>(B23-(DATE(C23,1,1)-WEEKDAY(DATE(C23,1,1),3)))/7+1</f>
        <v/>
      </c>
      <c r="E23">
        <f>C23&amp;"-W"&amp;TEXT(D23,"00")</f>
        <v/>
      </c>
      <c r="F23" s="17">
        <f>B23+6</f>
        <v/>
      </c>
      <c r="G23">
        <f>TEXT(B23,"mmm-yy")</f>
        <v/>
      </c>
    </row>
    <row r="24">
      <c r="A24" t="n">
        <v>21</v>
      </c>
      <c r="B24" s="17">
        <f>B23+7</f>
        <v/>
      </c>
      <c r="C24">
        <f>IF(B24&gt;=DATE(YEAR(B24)+1,1,1)-WEEKDAY(DATE(YEAR(B24)+1,1,1),3),YEAR(B24)+1,IF(B24&gt;=DATE(YEAR(B24),1,1)-WEEKDAY(DATE(YEAR(B24),1,1),3),YEAR(B24),YEAR(B24)-1))</f>
        <v/>
      </c>
      <c r="D24">
        <f>(B24-(DATE(C24,1,1)-WEEKDAY(DATE(C24,1,1),3)))/7+1</f>
        <v/>
      </c>
      <c r="E24">
        <f>C24&amp;"-W"&amp;TEXT(D24,"00")</f>
        <v/>
      </c>
      <c r="F24" s="17">
        <f>B24+6</f>
        <v/>
      </c>
      <c r="G24">
        <f>TEXT(B24,"mmm-yy")</f>
        <v/>
      </c>
    </row>
    <row r="25">
      <c r="A25" t="n">
        <v>22</v>
      </c>
      <c r="B25" s="17">
        <f>B24+7</f>
        <v/>
      </c>
      <c r="C25">
        <f>IF(B25&gt;=DATE(YEAR(B25)+1,1,1)-WEEKDAY(DATE(YEAR(B25)+1,1,1),3),YEAR(B25)+1,IF(B25&gt;=DATE(YEAR(B25),1,1)-WEEKDAY(DATE(YEAR(B25),1,1),3),YEAR(B25),YEAR(B25)-1))</f>
        <v/>
      </c>
      <c r="D25">
        <f>(B25-(DATE(C25,1,1)-WEEKDAY(DATE(C25,1,1),3)))/7+1</f>
        <v/>
      </c>
      <c r="E25">
        <f>C25&amp;"-W"&amp;TEXT(D25,"00")</f>
        <v/>
      </c>
      <c r="F25" s="17">
        <f>B25+6</f>
        <v/>
      </c>
      <c r="G25">
        <f>TEXT(B25,"mmm-yy")</f>
        <v/>
      </c>
    </row>
    <row r="26">
      <c r="A26" t="n">
        <v>23</v>
      </c>
      <c r="B26" s="17">
        <f>B25+7</f>
        <v/>
      </c>
      <c r="C26">
        <f>IF(B26&gt;=DATE(YEAR(B26)+1,1,1)-WEEKDAY(DATE(YEAR(B26)+1,1,1),3),YEAR(B26)+1,IF(B26&gt;=DATE(YEAR(B26),1,1)-WEEKDAY(DATE(YEAR(B26),1,1),3),YEAR(B26),YEAR(B26)-1))</f>
        <v/>
      </c>
      <c r="D26">
        <f>(B26-(DATE(C26,1,1)-WEEKDAY(DATE(C26,1,1),3)))/7+1</f>
        <v/>
      </c>
      <c r="E26">
        <f>C26&amp;"-W"&amp;TEXT(D26,"00")</f>
        <v/>
      </c>
      <c r="F26" s="17">
        <f>B26+6</f>
        <v/>
      </c>
      <c r="G26">
        <f>TEXT(B26,"mmm-yy")</f>
        <v/>
      </c>
    </row>
    <row r="27">
      <c r="A27" t="n">
        <v>24</v>
      </c>
      <c r="B27" s="17">
        <f>B26+7</f>
        <v/>
      </c>
      <c r="C27">
        <f>IF(B27&gt;=DATE(YEAR(B27)+1,1,1)-WEEKDAY(DATE(YEAR(B27)+1,1,1),3),YEAR(B27)+1,IF(B27&gt;=DATE(YEAR(B27),1,1)-WEEKDAY(DATE(YEAR(B27),1,1),3),YEAR(B27),YEAR(B27)-1))</f>
        <v/>
      </c>
      <c r="D27">
        <f>(B27-(DATE(C27,1,1)-WEEKDAY(DATE(C27,1,1),3)))/7+1</f>
        <v/>
      </c>
      <c r="E27">
        <f>C27&amp;"-W"&amp;TEXT(D27,"00")</f>
        <v/>
      </c>
      <c r="F27" s="17">
        <f>B27+6</f>
        <v/>
      </c>
      <c r="G27">
        <f>TEXT(B27,"mmm-yy")</f>
        <v/>
      </c>
    </row>
    <row r="28">
      <c r="A28" t="n">
        <v>25</v>
      </c>
      <c r="B28" s="17">
        <f>B27+7</f>
        <v/>
      </c>
      <c r="C28">
        <f>IF(B28&gt;=DATE(YEAR(B28)+1,1,1)-WEEKDAY(DATE(YEAR(B28)+1,1,1),3),YEAR(B28)+1,IF(B28&gt;=DATE(YEAR(B28),1,1)-WEEKDAY(DATE(YEAR(B28),1,1),3),YEAR(B28),YEAR(B28)-1))</f>
        <v/>
      </c>
      <c r="D28">
        <f>(B28-(DATE(C28,1,1)-WEEKDAY(DATE(C28,1,1),3)))/7+1</f>
        <v/>
      </c>
      <c r="E28">
        <f>C28&amp;"-W"&amp;TEXT(D28,"00")</f>
        <v/>
      </c>
      <c r="F28" s="17">
        <f>B28+6</f>
        <v/>
      </c>
      <c r="G28">
        <f>TEXT(B28,"mmm-yy")</f>
        <v/>
      </c>
    </row>
    <row r="29">
      <c r="A29" t="n">
        <v>26</v>
      </c>
      <c r="B29" s="17">
        <f>B28+7</f>
        <v/>
      </c>
      <c r="C29">
        <f>IF(B29&gt;=DATE(YEAR(B29)+1,1,1)-WEEKDAY(DATE(YEAR(B29)+1,1,1),3),YEAR(B29)+1,IF(B29&gt;=DATE(YEAR(B29),1,1)-WEEKDAY(DATE(YEAR(B29),1,1),3),YEAR(B29),YEAR(B29)-1))</f>
        <v/>
      </c>
      <c r="D29">
        <f>(B29-(DATE(C29,1,1)-WEEKDAY(DATE(C29,1,1),3)))/7+1</f>
        <v/>
      </c>
      <c r="E29">
        <f>C29&amp;"-W"&amp;TEXT(D29,"00")</f>
        <v/>
      </c>
      <c r="F29" s="17">
        <f>B29+6</f>
        <v/>
      </c>
      <c r="G29">
        <f>TEXT(B29,"mmm-yy")</f>
        <v/>
      </c>
    </row>
    <row r="30">
      <c r="A30" t="n">
        <v>27</v>
      </c>
      <c r="B30" s="17">
        <f>B29+7</f>
        <v/>
      </c>
      <c r="C30">
        <f>IF(B30&gt;=DATE(YEAR(B30)+1,1,1)-WEEKDAY(DATE(YEAR(B30)+1,1,1),3),YEAR(B30)+1,IF(B30&gt;=DATE(YEAR(B30),1,1)-WEEKDAY(DATE(YEAR(B30),1,1),3),YEAR(B30),YEAR(B30)-1))</f>
        <v/>
      </c>
      <c r="D30">
        <f>(B30-(DATE(C30,1,1)-WEEKDAY(DATE(C30,1,1),3)))/7+1</f>
        <v/>
      </c>
      <c r="E30">
        <f>C30&amp;"-W"&amp;TEXT(D30,"00")</f>
        <v/>
      </c>
      <c r="F30" s="17">
        <f>B30+6</f>
        <v/>
      </c>
      <c r="G30">
        <f>TEXT(B30,"mmm-yy")</f>
        <v/>
      </c>
    </row>
    <row r="31">
      <c r="A31" t="n">
        <v>28</v>
      </c>
      <c r="B31" s="17">
        <f>B30+7</f>
        <v/>
      </c>
      <c r="C31">
        <f>IF(B31&gt;=DATE(YEAR(B31)+1,1,1)-WEEKDAY(DATE(YEAR(B31)+1,1,1),3),YEAR(B31)+1,IF(B31&gt;=DATE(YEAR(B31),1,1)-WEEKDAY(DATE(YEAR(B31),1,1),3),YEAR(B31),YEAR(B31)-1))</f>
        <v/>
      </c>
      <c r="D31">
        <f>(B31-(DATE(C31,1,1)-WEEKDAY(DATE(C31,1,1),3)))/7+1</f>
        <v/>
      </c>
      <c r="E31">
        <f>C31&amp;"-W"&amp;TEXT(D31,"00")</f>
        <v/>
      </c>
      <c r="F31" s="17">
        <f>B31+6</f>
        <v/>
      </c>
      <c r="G31">
        <f>TEXT(B31,"mmm-yy")</f>
        <v/>
      </c>
    </row>
    <row r="32">
      <c r="A32" t="n">
        <v>29</v>
      </c>
      <c r="B32" s="17">
        <f>B31+7</f>
        <v/>
      </c>
      <c r="C32">
        <f>IF(B32&gt;=DATE(YEAR(B32)+1,1,1)-WEEKDAY(DATE(YEAR(B32)+1,1,1),3),YEAR(B32)+1,IF(B32&gt;=DATE(YEAR(B32),1,1)-WEEKDAY(DATE(YEAR(B32),1,1),3),YEAR(B32),YEAR(B32)-1))</f>
        <v/>
      </c>
      <c r="D32">
        <f>(B32-(DATE(C32,1,1)-WEEKDAY(DATE(C32,1,1),3)))/7+1</f>
        <v/>
      </c>
      <c r="E32">
        <f>C32&amp;"-W"&amp;TEXT(D32,"00")</f>
        <v/>
      </c>
      <c r="F32" s="17">
        <f>B32+6</f>
        <v/>
      </c>
      <c r="G32">
        <f>TEXT(B32,"mmm-yy")</f>
        <v/>
      </c>
    </row>
    <row r="33">
      <c r="A33" t="n">
        <v>30</v>
      </c>
      <c r="B33" s="17">
        <f>B32+7</f>
        <v/>
      </c>
      <c r="C33">
        <f>IF(B33&gt;=DATE(YEAR(B33)+1,1,1)-WEEKDAY(DATE(YEAR(B33)+1,1,1),3),YEAR(B33)+1,IF(B33&gt;=DATE(YEAR(B33),1,1)-WEEKDAY(DATE(YEAR(B33),1,1),3),YEAR(B33),YEAR(B33)-1))</f>
        <v/>
      </c>
      <c r="D33">
        <f>(B33-(DATE(C33,1,1)-WEEKDAY(DATE(C33,1,1),3)))/7+1</f>
        <v/>
      </c>
      <c r="E33">
        <f>C33&amp;"-W"&amp;TEXT(D33,"00")</f>
        <v/>
      </c>
      <c r="F33" s="17">
        <f>B33+6</f>
        <v/>
      </c>
      <c r="G33">
        <f>TEXT(B33,"mmm-yy")</f>
        <v/>
      </c>
    </row>
    <row r="34">
      <c r="A34" t="n">
        <v>31</v>
      </c>
      <c r="B34" s="17">
        <f>B33+7</f>
        <v/>
      </c>
      <c r="C34">
        <f>IF(B34&gt;=DATE(YEAR(B34)+1,1,1)-WEEKDAY(DATE(YEAR(B34)+1,1,1),3),YEAR(B34)+1,IF(B34&gt;=DATE(YEAR(B34),1,1)-WEEKDAY(DATE(YEAR(B34),1,1),3),YEAR(B34),YEAR(B34)-1))</f>
        <v/>
      </c>
      <c r="D34">
        <f>(B34-(DATE(C34,1,1)-WEEKDAY(DATE(C34,1,1),3)))/7+1</f>
        <v/>
      </c>
      <c r="E34">
        <f>C34&amp;"-W"&amp;TEXT(D34,"00")</f>
        <v/>
      </c>
      <c r="F34" s="17">
        <f>B34+6</f>
        <v/>
      </c>
      <c r="G34">
        <f>TEXT(B34,"mmm-yy")</f>
        <v/>
      </c>
    </row>
    <row r="35">
      <c r="A35" t="n">
        <v>32</v>
      </c>
      <c r="B35" s="17">
        <f>B34+7</f>
        <v/>
      </c>
      <c r="C35">
        <f>IF(B35&gt;=DATE(YEAR(B35)+1,1,1)-WEEKDAY(DATE(YEAR(B35)+1,1,1),3),YEAR(B35)+1,IF(B35&gt;=DATE(YEAR(B35),1,1)-WEEKDAY(DATE(YEAR(B35),1,1),3),YEAR(B35),YEAR(B35)-1))</f>
        <v/>
      </c>
      <c r="D35">
        <f>(B35-(DATE(C35,1,1)-WEEKDAY(DATE(C35,1,1),3)))/7+1</f>
        <v/>
      </c>
      <c r="E35">
        <f>C35&amp;"-W"&amp;TEXT(D35,"00")</f>
        <v/>
      </c>
      <c r="F35" s="17">
        <f>B35+6</f>
        <v/>
      </c>
      <c r="G35">
        <f>TEXT(B35,"mmm-yy")</f>
        <v/>
      </c>
    </row>
    <row r="36">
      <c r="A36" t="n">
        <v>33</v>
      </c>
      <c r="B36" s="17">
        <f>B35+7</f>
        <v/>
      </c>
      <c r="C36">
        <f>IF(B36&gt;=DATE(YEAR(B36)+1,1,1)-WEEKDAY(DATE(YEAR(B36)+1,1,1),3),YEAR(B36)+1,IF(B36&gt;=DATE(YEAR(B36),1,1)-WEEKDAY(DATE(YEAR(B36),1,1),3),YEAR(B36),YEAR(B36)-1))</f>
        <v/>
      </c>
      <c r="D36">
        <f>(B36-(DATE(C36,1,1)-WEEKDAY(DATE(C36,1,1),3)))/7+1</f>
        <v/>
      </c>
      <c r="E36">
        <f>C36&amp;"-W"&amp;TEXT(D36,"00")</f>
        <v/>
      </c>
      <c r="F36" s="17">
        <f>B36+6</f>
        <v/>
      </c>
      <c r="G36">
        <f>TEXT(B36,"mmm-yy")</f>
        <v/>
      </c>
    </row>
    <row r="37">
      <c r="A37" t="n">
        <v>34</v>
      </c>
      <c r="B37" s="17">
        <f>B36+7</f>
        <v/>
      </c>
      <c r="C37">
        <f>IF(B37&gt;=DATE(YEAR(B37)+1,1,1)-WEEKDAY(DATE(YEAR(B37)+1,1,1),3),YEAR(B37)+1,IF(B37&gt;=DATE(YEAR(B37),1,1)-WEEKDAY(DATE(YEAR(B37),1,1),3),YEAR(B37),YEAR(B37)-1))</f>
        <v/>
      </c>
      <c r="D37">
        <f>(B37-(DATE(C37,1,1)-WEEKDAY(DATE(C37,1,1),3)))/7+1</f>
        <v/>
      </c>
      <c r="E37">
        <f>C37&amp;"-W"&amp;TEXT(D37,"00")</f>
        <v/>
      </c>
      <c r="F37" s="17">
        <f>B37+6</f>
        <v/>
      </c>
      <c r="G37">
        <f>TEXT(B37,"mmm-yy")</f>
        <v/>
      </c>
    </row>
    <row r="38">
      <c r="A38" t="n">
        <v>35</v>
      </c>
      <c r="B38" s="17">
        <f>B37+7</f>
        <v/>
      </c>
      <c r="C38">
        <f>IF(B38&gt;=DATE(YEAR(B38)+1,1,1)-WEEKDAY(DATE(YEAR(B38)+1,1,1),3),YEAR(B38)+1,IF(B38&gt;=DATE(YEAR(B38),1,1)-WEEKDAY(DATE(YEAR(B38),1,1),3),YEAR(B38),YEAR(B38)-1))</f>
        <v/>
      </c>
      <c r="D38">
        <f>(B38-(DATE(C38,1,1)-WEEKDAY(DATE(C38,1,1),3)))/7+1</f>
        <v/>
      </c>
      <c r="E38">
        <f>C38&amp;"-W"&amp;TEXT(D38,"00")</f>
        <v/>
      </c>
      <c r="F38" s="17">
        <f>B38+6</f>
        <v/>
      </c>
      <c r="G38">
        <f>TEXT(B38,"mmm-yy")</f>
        <v/>
      </c>
    </row>
    <row r="39">
      <c r="A39" t="n">
        <v>36</v>
      </c>
      <c r="B39" s="17">
        <f>B38+7</f>
        <v/>
      </c>
      <c r="C39">
        <f>IF(B39&gt;=DATE(YEAR(B39)+1,1,1)-WEEKDAY(DATE(YEAR(B39)+1,1,1),3),YEAR(B39)+1,IF(B39&gt;=DATE(YEAR(B39),1,1)-WEEKDAY(DATE(YEAR(B39),1,1),3),YEAR(B39),YEAR(B39)-1))</f>
        <v/>
      </c>
      <c r="D39">
        <f>(B39-(DATE(C39,1,1)-WEEKDAY(DATE(C39,1,1),3)))/7+1</f>
        <v/>
      </c>
      <c r="E39">
        <f>C39&amp;"-W"&amp;TEXT(D39,"00")</f>
        <v/>
      </c>
      <c r="F39" s="17">
        <f>B39+6</f>
        <v/>
      </c>
      <c r="G39">
        <f>TEXT(B39,"mmm-yy")</f>
        <v/>
      </c>
    </row>
    <row r="40">
      <c r="A40" t="n">
        <v>37</v>
      </c>
      <c r="B40" s="17">
        <f>B39+7</f>
        <v/>
      </c>
      <c r="C40">
        <f>IF(B40&gt;=DATE(YEAR(B40)+1,1,1)-WEEKDAY(DATE(YEAR(B40)+1,1,1),3),YEAR(B40)+1,IF(B40&gt;=DATE(YEAR(B40),1,1)-WEEKDAY(DATE(YEAR(B40),1,1),3),YEAR(B40),YEAR(B40)-1))</f>
        <v/>
      </c>
      <c r="D40">
        <f>(B40-(DATE(C40,1,1)-WEEKDAY(DATE(C40,1,1),3)))/7+1</f>
        <v/>
      </c>
      <c r="E40">
        <f>C40&amp;"-W"&amp;TEXT(D40,"00")</f>
        <v/>
      </c>
      <c r="F40" s="17">
        <f>B40+6</f>
        <v/>
      </c>
      <c r="G40">
        <f>TEXT(B40,"mmm-yy")</f>
        <v/>
      </c>
    </row>
    <row r="41">
      <c r="A41" t="n">
        <v>38</v>
      </c>
      <c r="B41" s="17">
        <f>B40+7</f>
        <v/>
      </c>
      <c r="C41">
        <f>IF(B41&gt;=DATE(YEAR(B41)+1,1,1)-WEEKDAY(DATE(YEAR(B41)+1,1,1),3),YEAR(B41)+1,IF(B41&gt;=DATE(YEAR(B41),1,1)-WEEKDAY(DATE(YEAR(B41),1,1),3),YEAR(B41),YEAR(B41)-1))</f>
        <v/>
      </c>
      <c r="D41">
        <f>(B41-(DATE(C41,1,1)-WEEKDAY(DATE(C41,1,1),3)))/7+1</f>
        <v/>
      </c>
      <c r="E41">
        <f>C41&amp;"-W"&amp;TEXT(D41,"00")</f>
        <v/>
      </c>
      <c r="F41" s="17">
        <f>B41+6</f>
        <v/>
      </c>
      <c r="G41">
        <f>TEXT(B41,"mmm-yy")</f>
        <v/>
      </c>
    </row>
    <row r="42">
      <c r="A42" t="n">
        <v>39</v>
      </c>
      <c r="B42" s="17">
        <f>B41+7</f>
        <v/>
      </c>
      <c r="C42">
        <f>IF(B42&gt;=DATE(YEAR(B42)+1,1,1)-WEEKDAY(DATE(YEAR(B42)+1,1,1),3),YEAR(B42)+1,IF(B42&gt;=DATE(YEAR(B42),1,1)-WEEKDAY(DATE(YEAR(B42),1,1),3),YEAR(B42),YEAR(B42)-1))</f>
        <v/>
      </c>
      <c r="D42">
        <f>(B42-(DATE(C42,1,1)-WEEKDAY(DATE(C42,1,1),3)))/7+1</f>
        <v/>
      </c>
      <c r="E42">
        <f>C42&amp;"-W"&amp;TEXT(D42,"00")</f>
        <v/>
      </c>
      <c r="F42" s="17">
        <f>B42+6</f>
        <v/>
      </c>
      <c r="G42">
        <f>TEXT(B42,"mmm-yy")</f>
        <v/>
      </c>
    </row>
    <row r="43">
      <c r="A43" t="n">
        <v>40</v>
      </c>
      <c r="B43" s="17">
        <f>B42+7</f>
        <v/>
      </c>
      <c r="C43">
        <f>IF(B43&gt;=DATE(YEAR(B43)+1,1,1)-WEEKDAY(DATE(YEAR(B43)+1,1,1),3),YEAR(B43)+1,IF(B43&gt;=DATE(YEAR(B43),1,1)-WEEKDAY(DATE(YEAR(B43),1,1),3),YEAR(B43),YEAR(B43)-1))</f>
        <v/>
      </c>
      <c r="D43">
        <f>(B43-(DATE(C43,1,1)-WEEKDAY(DATE(C43,1,1),3)))/7+1</f>
        <v/>
      </c>
      <c r="E43">
        <f>C43&amp;"-W"&amp;TEXT(D43,"00")</f>
        <v/>
      </c>
      <c r="F43" s="17">
        <f>B43+6</f>
        <v/>
      </c>
      <c r="G43">
        <f>TEXT(B43,"mmm-yy")</f>
        <v/>
      </c>
    </row>
    <row r="44">
      <c r="A44" t="n">
        <v>41</v>
      </c>
      <c r="B44" s="17">
        <f>B43+7</f>
        <v/>
      </c>
      <c r="C44">
        <f>IF(B44&gt;=DATE(YEAR(B44)+1,1,1)-WEEKDAY(DATE(YEAR(B44)+1,1,1),3),YEAR(B44)+1,IF(B44&gt;=DATE(YEAR(B44),1,1)-WEEKDAY(DATE(YEAR(B44),1,1),3),YEAR(B44),YEAR(B44)-1))</f>
        <v/>
      </c>
      <c r="D44">
        <f>(B44-(DATE(C44,1,1)-WEEKDAY(DATE(C44,1,1),3)))/7+1</f>
        <v/>
      </c>
      <c r="E44">
        <f>C44&amp;"-W"&amp;TEXT(D44,"00")</f>
        <v/>
      </c>
      <c r="F44" s="17">
        <f>B44+6</f>
        <v/>
      </c>
      <c r="G44">
        <f>TEXT(B44,"mmm-yy")</f>
        <v/>
      </c>
    </row>
    <row r="45">
      <c r="A45" t="n">
        <v>42</v>
      </c>
      <c r="B45" s="17">
        <f>B44+7</f>
        <v/>
      </c>
      <c r="C45">
        <f>IF(B45&gt;=DATE(YEAR(B45)+1,1,1)-WEEKDAY(DATE(YEAR(B45)+1,1,1),3),YEAR(B45)+1,IF(B45&gt;=DATE(YEAR(B45),1,1)-WEEKDAY(DATE(YEAR(B45),1,1),3),YEAR(B45),YEAR(B45)-1))</f>
        <v/>
      </c>
      <c r="D45">
        <f>(B45-(DATE(C45,1,1)-WEEKDAY(DATE(C45,1,1),3)))/7+1</f>
        <v/>
      </c>
      <c r="E45">
        <f>C45&amp;"-W"&amp;TEXT(D45,"00")</f>
        <v/>
      </c>
      <c r="F45" s="17">
        <f>B45+6</f>
        <v/>
      </c>
      <c r="G45">
        <f>TEXT(B45,"mmm-yy")</f>
        <v/>
      </c>
    </row>
    <row r="46">
      <c r="A46" t="n">
        <v>43</v>
      </c>
      <c r="B46" s="17">
        <f>B45+7</f>
        <v/>
      </c>
      <c r="C46">
        <f>IF(B46&gt;=DATE(YEAR(B46)+1,1,1)-WEEKDAY(DATE(YEAR(B46)+1,1,1),3),YEAR(B46)+1,IF(B46&gt;=DATE(YEAR(B46),1,1)-WEEKDAY(DATE(YEAR(B46),1,1),3),YEAR(B46),YEAR(B46)-1))</f>
        <v/>
      </c>
      <c r="D46">
        <f>(B46-(DATE(C46,1,1)-WEEKDAY(DATE(C46,1,1),3)))/7+1</f>
        <v/>
      </c>
      <c r="E46">
        <f>C46&amp;"-W"&amp;TEXT(D46,"00")</f>
        <v/>
      </c>
      <c r="F46" s="17">
        <f>B46+6</f>
        <v/>
      </c>
      <c r="G46">
        <f>TEXT(B46,"mmm-yy")</f>
        <v/>
      </c>
    </row>
    <row r="47">
      <c r="A47" t="n">
        <v>44</v>
      </c>
      <c r="B47" s="17">
        <f>B46+7</f>
        <v/>
      </c>
      <c r="C47">
        <f>IF(B47&gt;=DATE(YEAR(B47)+1,1,1)-WEEKDAY(DATE(YEAR(B47)+1,1,1),3),YEAR(B47)+1,IF(B47&gt;=DATE(YEAR(B47),1,1)-WEEKDAY(DATE(YEAR(B47),1,1),3),YEAR(B47),YEAR(B47)-1))</f>
        <v/>
      </c>
      <c r="D47">
        <f>(B47-(DATE(C47,1,1)-WEEKDAY(DATE(C47,1,1),3)))/7+1</f>
        <v/>
      </c>
      <c r="E47">
        <f>C47&amp;"-W"&amp;TEXT(D47,"00")</f>
        <v/>
      </c>
      <c r="F47" s="17">
        <f>B47+6</f>
        <v/>
      </c>
      <c r="G47">
        <f>TEXT(B47,"mmm-yy")</f>
        <v/>
      </c>
    </row>
    <row r="48">
      <c r="A48" t="n">
        <v>45</v>
      </c>
      <c r="B48" s="17">
        <f>B47+7</f>
        <v/>
      </c>
      <c r="C48">
        <f>IF(B48&gt;=DATE(YEAR(B48)+1,1,1)-WEEKDAY(DATE(YEAR(B48)+1,1,1),3),YEAR(B48)+1,IF(B48&gt;=DATE(YEAR(B48),1,1)-WEEKDAY(DATE(YEAR(B48),1,1),3),YEAR(B48),YEAR(B48)-1))</f>
        <v/>
      </c>
      <c r="D48">
        <f>(B48-(DATE(C48,1,1)-WEEKDAY(DATE(C48,1,1),3)))/7+1</f>
        <v/>
      </c>
      <c r="E48">
        <f>C48&amp;"-W"&amp;TEXT(D48,"00")</f>
        <v/>
      </c>
      <c r="F48" s="17">
        <f>B48+6</f>
        <v/>
      </c>
      <c r="G48">
        <f>TEXT(B48,"mmm-yy")</f>
        <v/>
      </c>
    </row>
    <row r="49">
      <c r="A49" t="n">
        <v>46</v>
      </c>
      <c r="B49" s="17">
        <f>B48+7</f>
        <v/>
      </c>
      <c r="C49">
        <f>IF(B49&gt;=DATE(YEAR(B49)+1,1,1)-WEEKDAY(DATE(YEAR(B49)+1,1,1),3),YEAR(B49)+1,IF(B49&gt;=DATE(YEAR(B49),1,1)-WEEKDAY(DATE(YEAR(B49),1,1),3),YEAR(B49),YEAR(B49)-1))</f>
        <v/>
      </c>
      <c r="D49">
        <f>(B49-(DATE(C49,1,1)-WEEKDAY(DATE(C49,1,1),3)))/7+1</f>
        <v/>
      </c>
      <c r="E49">
        <f>C49&amp;"-W"&amp;TEXT(D49,"00")</f>
        <v/>
      </c>
      <c r="F49" s="17">
        <f>B49+6</f>
        <v/>
      </c>
      <c r="G49">
        <f>TEXT(B49,"mmm-yy")</f>
        <v/>
      </c>
    </row>
    <row r="50">
      <c r="A50" t="n">
        <v>47</v>
      </c>
      <c r="B50" s="17">
        <f>B49+7</f>
        <v/>
      </c>
      <c r="C50">
        <f>IF(B50&gt;=DATE(YEAR(B50)+1,1,1)-WEEKDAY(DATE(YEAR(B50)+1,1,1),3),YEAR(B50)+1,IF(B50&gt;=DATE(YEAR(B50),1,1)-WEEKDAY(DATE(YEAR(B50),1,1),3),YEAR(B50),YEAR(B50)-1))</f>
        <v/>
      </c>
      <c r="D50">
        <f>(B50-(DATE(C50,1,1)-WEEKDAY(DATE(C50,1,1),3)))/7+1</f>
        <v/>
      </c>
      <c r="E50">
        <f>C50&amp;"-W"&amp;TEXT(D50,"00")</f>
        <v/>
      </c>
      <c r="F50" s="17">
        <f>B50+6</f>
        <v/>
      </c>
      <c r="G50">
        <f>TEXT(B50,"mmm-yy")</f>
        <v/>
      </c>
    </row>
    <row r="51">
      <c r="A51" t="n">
        <v>48</v>
      </c>
      <c r="B51" s="17">
        <f>B50+7</f>
        <v/>
      </c>
      <c r="C51">
        <f>IF(B51&gt;=DATE(YEAR(B51)+1,1,1)-WEEKDAY(DATE(YEAR(B51)+1,1,1),3),YEAR(B51)+1,IF(B51&gt;=DATE(YEAR(B51),1,1)-WEEKDAY(DATE(YEAR(B51),1,1),3),YEAR(B51),YEAR(B51)-1))</f>
        <v/>
      </c>
      <c r="D51">
        <f>(B51-(DATE(C51,1,1)-WEEKDAY(DATE(C51,1,1),3)))/7+1</f>
        <v/>
      </c>
      <c r="E51">
        <f>C51&amp;"-W"&amp;TEXT(D51,"00")</f>
        <v/>
      </c>
      <c r="F51" s="17">
        <f>B51+6</f>
        <v/>
      </c>
      <c r="G51">
        <f>TEXT(B51,"mmm-yy")</f>
        <v/>
      </c>
    </row>
    <row r="52">
      <c r="A52" t="n">
        <v>49</v>
      </c>
      <c r="B52" s="17">
        <f>B51+7</f>
        <v/>
      </c>
      <c r="C52">
        <f>IF(B52&gt;=DATE(YEAR(B52)+1,1,1)-WEEKDAY(DATE(YEAR(B52)+1,1,1),3),YEAR(B52)+1,IF(B52&gt;=DATE(YEAR(B52),1,1)-WEEKDAY(DATE(YEAR(B52),1,1),3),YEAR(B52),YEAR(B52)-1))</f>
        <v/>
      </c>
      <c r="D52">
        <f>(B52-(DATE(C52,1,1)-WEEKDAY(DATE(C52,1,1),3)))/7+1</f>
        <v/>
      </c>
      <c r="E52">
        <f>C52&amp;"-W"&amp;TEXT(D52,"00")</f>
        <v/>
      </c>
      <c r="F52" s="17">
        <f>B52+6</f>
        <v/>
      </c>
      <c r="G52">
        <f>TEXT(B52,"mmm-yy")</f>
        <v/>
      </c>
    </row>
    <row r="53">
      <c r="A53" t="n">
        <v>50</v>
      </c>
      <c r="B53" s="17">
        <f>B52+7</f>
        <v/>
      </c>
      <c r="C53">
        <f>IF(B53&gt;=DATE(YEAR(B53)+1,1,1)-WEEKDAY(DATE(YEAR(B53)+1,1,1),3),YEAR(B53)+1,IF(B53&gt;=DATE(YEAR(B53),1,1)-WEEKDAY(DATE(YEAR(B53),1,1),3),YEAR(B53),YEAR(B53)-1))</f>
        <v/>
      </c>
      <c r="D53">
        <f>(B53-(DATE(C53,1,1)-WEEKDAY(DATE(C53,1,1),3)))/7+1</f>
        <v/>
      </c>
      <c r="E53">
        <f>C53&amp;"-W"&amp;TEXT(D53,"00")</f>
        <v/>
      </c>
      <c r="F53" s="17">
        <f>B53+6</f>
        <v/>
      </c>
      <c r="G53">
        <f>TEXT(B53,"mmm-yy")</f>
        <v/>
      </c>
    </row>
    <row r="54">
      <c r="A54" t="n">
        <v>51</v>
      </c>
      <c r="B54" s="17">
        <f>B53+7</f>
        <v/>
      </c>
      <c r="C54">
        <f>IF(B54&gt;=DATE(YEAR(B54)+1,1,1)-WEEKDAY(DATE(YEAR(B54)+1,1,1),3),YEAR(B54)+1,IF(B54&gt;=DATE(YEAR(B54),1,1)-WEEKDAY(DATE(YEAR(B54),1,1),3),YEAR(B54),YEAR(B54)-1))</f>
        <v/>
      </c>
      <c r="D54">
        <f>(B54-(DATE(C54,1,1)-WEEKDAY(DATE(C54,1,1),3)))/7+1</f>
        <v/>
      </c>
      <c r="E54">
        <f>C54&amp;"-W"&amp;TEXT(D54,"00")</f>
        <v/>
      </c>
      <c r="F54" s="17">
        <f>B54+6</f>
        <v/>
      </c>
      <c r="G54">
        <f>TEXT(B54,"mmm-yy")</f>
        <v/>
      </c>
    </row>
    <row r="55">
      <c r="A55" t="n">
        <v>52</v>
      </c>
      <c r="B55" s="17">
        <f>B54+7</f>
        <v/>
      </c>
      <c r="C55">
        <f>IF(B55&gt;=DATE(YEAR(B55)+1,1,1)-WEEKDAY(DATE(YEAR(B55)+1,1,1),3),YEAR(B55)+1,IF(B55&gt;=DATE(YEAR(B55),1,1)-WEEKDAY(DATE(YEAR(B55),1,1),3),YEAR(B55),YEAR(B55)-1))</f>
        <v/>
      </c>
      <c r="D55">
        <f>(B55-(DATE(C55,1,1)-WEEKDAY(DATE(C55,1,1),3)))/7+1</f>
        <v/>
      </c>
      <c r="E55">
        <f>C55&amp;"-W"&amp;TEXT(D55,"00")</f>
        <v/>
      </c>
      <c r="F55" s="17">
        <f>B55+6</f>
        <v/>
      </c>
      <c r="G55">
        <f>TEXT(B55,"mmm-yy")</f>
        <v/>
      </c>
    </row>
    <row r="56">
      <c r="A56" t="n">
        <v>53</v>
      </c>
      <c r="B56" s="17">
        <f>B55+7</f>
        <v/>
      </c>
      <c r="C56">
        <f>IF(B56&gt;=DATE(YEAR(B56)+1,1,1)-WEEKDAY(DATE(YEAR(B56)+1,1,1),3),YEAR(B56)+1,IF(B56&gt;=DATE(YEAR(B56),1,1)-WEEKDAY(DATE(YEAR(B56),1,1),3),YEAR(B56),YEAR(B56)-1))</f>
        <v/>
      </c>
      <c r="D56">
        <f>(B56-(DATE(C56,1,1)-WEEKDAY(DATE(C56,1,1),3)))/7+1</f>
        <v/>
      </c>
      <c r="E56">
        <f>C56&amp;"-W"&amp;TEXT(D56,"00")</f>
        <v/>
      </c>
      <c r="F56" s="17">
        <f>B56+6</f>
        <v/>
      </c>
      <c r="G56">
        <f>TEXT(B56,"mmm-yy")</f>
        <v/>
      </c>
    </row>
    <row r="57">
      <c r="A57" t="n">
        <v>54</v>
      </c>
      <c r="B57" s="17">
        <f>B56+7</f>
        <v/>
      </c>
      <c r="C57">
        <f>IF(B57&gt;=DATE(YEAR(B57)+1,1,1)-WEEKDAY(DATE(YEAR(B57)+1,1,1),3),YEAR(B57)+1,IF(B57&gt;=DATE(YEAR(B57),1,1)-WEEKDAY(DATE(YEAR(B57),1,1),3),YEAR(B57),YEAR(B57)-1))</f>
        <v/>
      </c>
      <c r="D57">
        <f>(B57-(DATE(C57,1,1)-WEEKDAY(DATE(C57,1,1),3)))/7+1</f>
        <v/>
      </c>
      <c r="E57">
        <f>C57&amp;"-W"&amp;TEXT(D57,"00")</f>
        <v/>
      </c>
      <c r="F57" s="17">
        <f>B57+6</f>
        <v/>
      </c>
      <c r="G57">
        <f>TEXT(B57,"mmm-yy")</f>
        <v/>
      </c>
    </row>
    <row r="58">
      <c r="A58" t="n">
        <v>55</v>
      </c>
      <c r="B58" s="17">
        <f>B57+7</f>
        <v/>
      </c>
      <c r="C58">
        <f>IF(B58&gt;=DATE(YEAR(B58)+1,1,1)-WEEKDAY(DATE(YEAR(B58)+1,1,1),3),YEAR(B58)+1,IF(B58&gt;=DATE(YEAR(B58),1,1)-WEEKDAY(DATE(YEAR(B58),1,1),3),YEAR(B58),YEAR(B58)-1))</f>
        <v/>
      </c>
      <c r="D58">
        <f>(B58-(DATE(C58,1,1)-WEEKDAY(DATE(C58,1,1),3)))/7+1</f>
        <v/>
      </c>
      <c r="E58">
        <f>C58&amp;"-W"&amp;TEXT(D58,"00")</f>
        <v/>
      </c>
      <c r="F58" s="17">
        <f>B58+6</f>
        <v/>
      </c>
      <c r="G58">
        <f>TEXT(B58,"mmm-yy")</f>
        <v/>
      </c>
    </row>
    <row r="59">
      <c r="A59" t="n">
        <v>56</v>
      </c>
      <c r="B59" s="17">
        <f>B58+7</f>
        <v/>
      </c>
      <c r="C59">
        <f>IF(B59&gt;=DATE(YEAR(B59)+1,1,1)-WEEKDAY(DATE(YEAR(B59)+1,1,1),3),YEAR(B59)+1,IF(B59&gt;=DATE(YEAR(B59),1,1)-WEEKDAY(DATE(YEAR(B59),1,1),3),YEAR(B59),YEAR(B59)-1))</f>
        <v/>
      </c>
      <c r="D59">
        <f>(B59-(DATE(C59,1,1)-WEEKDAY(DATE(C59,1,1),3)))/7+1</f>
        <v/>
      </c>
      <c r="E59">
        <f>C59&amp;"-W"&amp;TEXT(D59,"00")</f>
        <v/>
      </c>
      <c r="F59" s="17">
        <f>B59+6</f>
        <v/>
      </c>
      <c r="G59">
        <f>TEXT(B59,"mmm-yy")</f>
        <v/>
      </c>
    </row>
    <row r="60">
      <c r="A60" t="n">
        <v>57</v>
      </c>
      <c r="B60" s="17">
        <f>B59+7</f>
        <v/>
      </c>
      <c r="C60">
        <f>IF(B60&gt;=DATE(YEAR(B60)+1,1,1)-WEEKDAY(DATE(YEAR(B60)+1,1,1),3),YEAR(B60)+1,IF(B60&gt;=DATE(YEAR(B60),1,1)-WEEKDAY(DATE(YEAR(B60),1,1),3),YEAR(B60),YEAR(B60)-1))</f>
        <v/>
      </c>
      <c r="D60">
        <f>(B60-(DATE(C60,1,1)-WEEKDAY(DATE(C60,1,1),3)))/7+1</f>
        <v/>
      </c>
      <c r="E60">
        <f>C60&amp;"-W"&amp;TEXT(D60,"00")</f>
        <v/>
      </c>
      <c r="F60" s="17">
        <f>B60+6</f>
        <v/>
      </c>
      <c r="G60">
        <f>TEXT(B60,"mmm-yy")</f>
        <v/>
      </c>
    </row>
    <row r="61">
      <c r="A61" t="n">
        <v>58</v>
      </c>
      <c r="B61" s="17">
        <f>B60+7</f>
        <v/>
      </c>
      <c r="C61">
        <f>IF(B61&gt;=DATE(YEAR(B61)+1,1,1)-WEEKDAY(DATE(YEAR(B61)+1,1,1),3),YEAR(B61)+1,IF(B61&gt;=DATE(YEAR(B61),1,1)-WEEKDAY(DATE(YEAR(B61),1,1),3),YEAR(B61),YEAR(B61)-1))</f>
        <v/>
      </c>
      <c r="D61">
        <f>(B61-(DATE(C61,1,1)-WEEKDAY(DATE(C61,1,1),3)))/7+1</f>
        <v/>
      </c>
      <c r="E61">
        <f>C61&amp;"-W"&amp;TEXT(D61,"00")</f>
        <v/>
      </c>
      <c r="F61" s="17">
        <f>B61+6</f>
        <v/>
      </c>
      <c r="G61">
        <f>TEXT(B61,"mmm-yy")</f>
        <v/>
      </c>
    </row>
    <row r="62">
      <c r="A62" t="n">
        <v>59</v>
      </c>
      <c r="B62" s="17">
        <f>B61+7</f>
        <v/>
      </c>
      <c r="C62">
        <f>IF(B62&gt;=DATE(YEAR(B62)+1,1,1)-WEEKDAY(DATE(YEAR(B62)+1,1,1),3),YEAR(B62)+1,IF(B62&gt;=DATE(YEAR(B62),1,1)-WEEKDAY(DATE(YEAR(B62),1,1),3),YEAR(B62),YEAR(B62)-1))</f>
        <v/>
      </c>
      <c r="D62">
        <f>(B62-(DATE(C62,1,1)-WEEKDAY(DATE(C62,1,1),3)))/7+1</f>
        <v/>
      </c>
      <c r="E62">
        <f>C62&amp;"-W"&amp;TEXT(D62,"00")</f>
        <v/>
      </c>
      <c r="F62" s="17">
        <f>B62+6</f>
        <v/>
      </c>
      <c r="G62">
        <f>TEXT(B62,"mmm-yy")</f>
        <v/>
      </c>
    </row>
    <row r="63">
      <c r="A63" t="n">
        <v>60</v>
      </c>
      <c r="B63" s="17">
        <f>B62+7</f>
        <v/>
      </c>
      <c r="C63">
        <f>IF(B63&gt;=DATE(YEAR(B63)+1,1,1)-WEEKDAY(DATE(YEAR(B63)+1,1,1),3),YEAR(B63)+1,IF(B63&gt;=DATE(YEAR(B63),1,1)-WEEKDAY(DATE(YEAR(B63),1,1),3),YEAR(B63),YEAR(B63)-1))</f>
        <v/>
      </c>
      <c r="D63">
        <f>(B63-(DATE(C63,1,1)-WEEKDAY(DATE(C63,1,1),3)))/7+1</f>
        <v/>
      </c>
      <c r="E63">
        <f>C63&amp;"-W"&amp;TEXT(D63,"00")</f>
        <v/>
      </c>
      <c r="F63" s="17">
        <f>B63+6</f>
        <v/>
      </c>
      <c r="G63">
        <f>TEXT(B63,"mmm-yy")</f>
        <v/>
      </c>
    </row>
    <row r="64">
      <c r="A64" t="n">
        <v>61</v>
      </c>
      <c r="B64" s="17">
        <f>B63+7</f>
        <v/>
      </c>
      <c r="C64">
        <f>IF(B64&gt;=DATE(YEAR(B64)+1,1,1)-WEEKDAY(DATE(YEAR(B64)+1,1,1),3),YEAR(B64)+1,IF(B64&gt;=DATE(YEAR(B64),1,1)-WEEKDAY(DATE(YEAR(B64),1,1),3),YEAR(B64),YEAR(B64)-1))</f>
        <v/>
      </c>
      <c r="D64">
        <f>(B64-(DATE(C64,1,1)-WEEKDAY(DATE(C64,1,1),3)))/7+1</f>
        <v/>
      </c>
      <c r="E64">
        <f>C64&amp;"-W"&amp;TEXT(D64,"00")</f>
        <v/>
      </c>
      <c r="F64" s="17">
        <f>B64+6</f>
        <v/>
      </c>
      <c r="G64">
        <f>TEXT(B64,"mmm-yy")</f>
        <v/>
      </c>
    </row>
    <row r="65">
      <c r="A65" t="n">
        <v>62</v>
      </c>
      <c r="B65" s="17">
        <f>B64+7</f>
        <v/>
      </c>
      <c r="C65">
        <f>IF(B65&gt;=DATE(YEAR(B65)+1,1,1)-WEEKDAY(DATE(YEAR(B65)+1,1,1),3),YEAR(B65)+1,IF(B65&gt;=DATE(YEAR(B65),1,1)-WEEKDAY(DATE(YEAR(B65),1,1),3),YEAR(B65),YEAR(B65)-1))</f>
        <v/>
      </c>
      <c r="D65">
        <f>(B65-(DATE(C65,1,1)-WEEKDAY(DATE(C65,1,1),3)))/7+1</f>
        <v/>
      </c>
      <c r="E65">
        <f>C65&amp;"-W"&amp;TEXT(D65,"00")</f>
        <v/>
      </c>
      <c r="F65" s="17">
        <f>B65+6</f>
        <v/>
      </c>
      <c r="G65">
        <f>TEXT(B65,"mmm-yy")</f>
        <v/>
      </c>
    </row>
    <row r="66">
      <c r="A66" t="n">
        <v>63</v>
      </c>
      <c r="B66" s="17">
        <f>B65+7</f>
        <v/>
      </c>
      <c r="C66">
        <f>IF(B66&gt;=DATE(YEAR(B66)+1,1,1)-WEEKDAY(DATE(YEAR(B66)+1,1,1),3),YEAR(B66)+1,IF(B66&gt;=DATE(YEAR(B66),1,1)-WEEKDAY(DATE(YEAR(B66),1,1),3),YEAR(B66),YEAR(B66)-1))</f>
        <v/>
      </c>
      <c r="D66">
        <f>(B66-(DATE(C66,1,1)-WEEKDAY(DATE(C66,1,1),3)))/7+1</f>
        <v/>
      </c>
      <c r="E66">
        <f>C66&amp;"-W"&amp;TEXT(D66,"00")</f>
        <v/>
      </c>
      <c r="F66" s="17">
        <f>B66+6</f>
        <v/>
      </c>
      <c r="G66">
        <f>TEXT(B66,"mmm-yy")</f>
        <v/>
      </c>
    </row>
    <row r="67">
      <c r="A67" t="n">
        <v>64</v>
      </c>
      <c r="B67" s="17">
        <f>B66+7</f>
        <v/>
      </c>
      <c r="C67">
        <f>IF(B67&gt;=DATE(YEAR(B67)+1,1,1)-WEEKDAY(DATE(YEAR(B67)+1,1,1),3),YEAR(B67)+1,IF(B67&gt;=DATE(YEAR(B67),1,1)-WEEKDAY(DATE(YEAR(B67),1,1),3),YEAR(B67),YEAR(B67)-1))</f>
        <v/>
      </c>
      <c r="D67">
        <f>(B67-(DATE(C67,1,1)-WEEKDAY(DATE(C67,1,1),3)))/7+1</f>
        <v/>
      </c>
      <c r="E67">
        <f>C67&amp;"-W"&amp;TEXT(D67,"00")</f>
        <v/>
      </c>
      <c r="F67" s="17">
        <f>B67+6</f>
        <v/>
      </c>
      <c r="G67">
        <f>TEXT(B67,"mmm-yy")</f>
        <v/>
      </c>
    </row>
    <row r="68">
      <c r="A68" t="n">
        <v>65</v>
      </c>
      <c r="B68" s="17">
        <f>B67+7</f>
        <v/>
      </c>
      <c r="C68">
        <f>IF(B68&gt;=DATE(YEAR(B68)+1,1,1)-WEEKDAY(DATE(YEAR(B68)+1,1,1),3),YEAR(B68)+1,IF(B68&gt;=DATE(YEAR(B68),1,1)-WEEKDAY(DATE(YEAR(B68),1,1),3),YEAR(B68),YEAR(B68)-1))</f>
        <v/>
      </c>
      <c r="D68">
        <f>(B68-(DATE(C68,1,1)-WEEKDAY(DATE(C68,1,1),3)))/7+1</f>
        <v/>
      </c>
      <c r="E68">
        <f>C68&amp;"-W"&amp;TEXT(D68,"00")</f>
        <v/>
      </c>
      <c r="F68" s="17">
        <f>B68+6</f>
        <v/>
      </c>
      <c r="G68">
        <f>TEXT(B68,"mmm-yy")</f>
        <v/>
      </c>
    </row>
    <row r="69">
      <c r="A69" t="n">
        <v>66</v>
      </c>
      <c r="B69" s="17">
        <f>B68+7</f>
        <v/>
      </c>
      <c r="C69">
        <f>IF(B69&gt;=DATE(YEAR(B69)+1,1,1)-WEEKDAY(DATE(YEAR(B69)+1,1,1),3),YEAR(B69)+1,IF(B69&gt;=DATE(YEAR(B69),1,1)-WEEKDAY(DATE(YEAR(B69),1,1),3),YEAR(B69),YEAR(B69)-1))</f>
        <v/>
      </c>
      <c r="D69">
        <f>(B69-(DATE(C69,1,1)-WEEKDAY(DATE(C69,1,1),3)))/7+1</f>
        <v/>
      </c>
      <c r="E69">
        <f>C69&amp;"-W"&amp;TEXT(D69,"00")</f>
        <v/>
      </c>
      <c r="F69" s="17">
        <f>B69+6</f>
        <v/>
      </c>
      <c r="G69">
        <f>TEXT(B69,"mmm-yy")</f>
        <v/>
      </c>
    </row>
    <row r="70">
      <c r="A70" t="n">
        <v>67</v>
      </c>
      <c r="B70" s="17">
        <f>B69+7</f>
        <v/>
      </c>
      <c r="C70">
        <f>IF(B70&gt;=DATE(YEAR(B70)+1,1,1)-WEEKDAY(DATE(YEAR(B70)+1,1,1),3),YEAR(B70)+1,IF(B70&gt;=DATE(YEAR(B70),1,1)-WEEKDAY(DATE(YEAR(B70),1,1),3),YEAR(B70),YEAR(B70)-1))</f>
        <v/>
      </c>
      <c r="D70">
        <f>(B70-(DATE(C70,1,1)-WEEKDAY(DATE(C70,1,1),3)))/7+1</f>
        <v/>
      </c>
      <c r="E70">
        <f>C70&amp;"-W"&amp;TEXT(D70,"00")</f>
        <v/>
      </c>
      <c r="F70" s="17">
        <f>B70+6</f>
        <v/>
      </c>
      <c r="G70">
        <f>TEXT(B70,"mmm-yy")</f>
        <v/>
      </c>
    </row>
    <row r="71">
      <c r="A71" t="n">
        <v>68</v>
      </c>
      <c r="B71" s="17">
        <f>B70+7</f>
        <v/>
      </c>
      <c r="C71">
        <f>IF(B71&gt;=DATE(YEAR(B71)+1,1,1)-WEEKDAY(DATE(YEAR(B71)+1,1,1),3),YEAR(B71)+1,IF(B71&gt;=DATE(YEAR(B71),1,1)-WEEKDAY(DATE(YEAR(B71),1,1),3),YEAR(B71),YEAR(B71)-1))</f>
        <v/>
      </c>
      <c r="D71">
        <f>(B71-(DATE(C71,1,1)-WEEKDAY(DATE(C71,1,1),3)))/7+1</f>
        <v/>
      </c>
      <c r="E71">
        <f>C71&amp;"-W"&amp;TEXT(D71,"00")</f>
        <v/>
      </c>
      <c r="F71" s="17">
        <f>B71+6</f>
        <v/>
      </c>
      <c r="G71">
        <f>TEXT(B71,"mmm-yy")</f>
        <v/>
      </c>
    </row>
    <row r="72">
      <c r="A72" t="n">
        <v>69</v>
      </c>
      <c r="B72" s="17">
        <f>B71+7</f>
        <v/>
      </c>
      <c r="C72">
        <f>IF(B72&gt;=DATE(YEAR(B72)+1,1,1)-WEEKDAY(DATE(YEAR(B72)+1,1,1),3),YEAR(B72)+1,IF(B72&gt;=DATE(YEAR(B72),1,1)-WEEKDAY(DATE(YEAR(B72),1,1),3),YEAR(B72),YEAR(B72)-1))</f>
        <v/>
      </c>
      <c r="D72">
        <f>(B72-(DATE(C72,1,1)-WEEKDAY(DATE(C72,1,1),3)))/7+1</f>
        <v/>
      </c>
      <c r="E72">
        <f>C72&amp;"-W"&amp;TEXT(D72,"00")</f>
        <v/>
      </c>
      <c r="F72" s="17">
        <f>B72+6</f>
        <v/>
      </c>
      <c r="G72">
        <f>TEXT(B72,"mmm-yy")</f>
        <v/>
      </c>
    </row>
    <row r="73">
      <c r="A73" t="n">
        <v>70</v>
      </c>
      <c r="B73" s="17">
        <f>B72+7</f>
        <v/>
      </c>
      <c r="C73">
        <f>IF(B73&gt;=DATE(YEAR(B73)+1,1,1)-WEEKDAY(DATE(YEAR(B73)+1,1,1),3),YEAR(B73)+1,IF(B73&gt;=DATE(YEAR(B73),1,1)-WEEKDAY(DATE(YEAR(B73),1,1),3),YEAR(B73),YEAR(B73)-1))</f>
        <v/>
      </c>
      <c r="D73">
        <f>(B73-(DATE(C73,1,1)-WEEKDAY(DATE(C73,1,1),3)))/7+1</f>
        <v/>
      </c>
      <c r="E73">
        <f>C73&amp;"-W"&amp;TEXT(D73,"00")</f>
        <v/>
      </c>
      <c r="F73" s="17">
        <f>B73+6</f>
        <v/>
      </c>
      <c r="G73">
        <f>TEXT(B73,"mmm-yy")</f>
        <v/>
      </c>
    </row>
    <row r="74">
      <c r="A74" t="n">
        <v>71</v>
      </c>
      <c r="B74" s="17">
        <f>B73+7</f>
        <v/>
      </c>
      <c r="C74">
        <f>IF(B74&gt;=DATE(YEAR(B74)+1,1,1)-WEEKDAY(DATE(YEAR(B74)+1,1,1),3),YEAR(B74)+1,IF(B74&gt;=DATE(YEAR(B74),1,1)-WEEKDAY(DATE(YEAR(B74),1,1),3),YEAR(B74),YEAR(B74)-1))</f>
        <v/>
      </c>
      <c r="D74">
        <f>(B74-(DATE(C74,1,1)-WEEKDAY(DATE(C74,1,1),3)))/7+1</f>
        <v/>
      </c>
      <c r="E74">
        <f>C74&amp;"-W"&amp;TEXT(D74,"00")</f>
        <v/>
      </c>
      <c r="F74" s="17">
        <f>B74+6</f>
        <v/>
      </c>
      <c r="G74">
        <f>TEXT(B74,"mmm-yy")</f>
        <v/>
      </c>
    </row>
    <row r="75">
      <c r="A75" t="n">
        <v>72</v>
      </c>
      <c r="B75" s="17">
        <f>B74+7</f>
        <v/>
      </c>
      <c r="C75">
        <f>IF(B75&gt;=DATE(YEAR(B75)+1,1,1)-WEEKDAY(DATE(YEAR(B75)+1,1,1),3),YEAR(B75)+1,IF(B75&gt;=DATE(YEAR(B75),1,1)-WEEKDAY(DATE(YEAR(B75),1,1),3),YEAR(B75),YEAR(B75)-1))</f>
        <v/>
      </c>
      <c r="D75">
        <f>(B75-(DATE(C75,1,1)-WEEKDAY(DATE(C75,1,1),3)))/7+1</f>
        <v/>
      </c>
      <c r="E75">
        <f>C75&amp;"-W"&amp;TEXT(D75,"00")</f>
        <v/>
      </c>
      <c r="F75" s="17">
        <f>B75+6</f>
        <v/>
      </c>
      <c r="G75">
        <f>TEXT(B75,"mmm-yy")</f>
        <v/>
      </c>
    </row>
    <row r="76">
      <c r="A76" t="n">
        <v>73</v>
      </c>
      <c r="B76" s="17">
        <f>B75+7</f>
        <v/>
      </c>
      <c r="C76">
        <f>IF(B76&gt;=DATE(YEAR(B76)+1,1,1)-WEEKDAY(DATE(YEAR(B76)+1,1,1),3),YEAR(B76)+1,IF(B76&gt;=DATE(YEAR(B76),1,1)-WEEKDAY(DATE(YEAR(B76),1,1),3),YEAR(B76),YEAR(B76)-1))</f>
        <v/>
      </c>
      <c r="D76">
        <f>(B76-(DATE(C76,1,1)-WEEKDAY(DATE(C76,1,1),3)))/7+1</f>
        <v/>
      </c>
      <c r="E76">
        <f>C76&amp;"-W"&amp;TEXT(D76,"00")</f>
        <v/>
      </c>
      <c r="F76" s="17">
        <f>B76+6</f>
        <v/>
      </c>
      <c r="G76">
        <f>TEXT(B76,"mmm-yy")</f>
        <v/>
      </c>
    </row>
    <row r="77">
      <c r="A77" t="n">
        <v>74</v>
      </c>
      <c r="B77" s="17">
        <f>B76+7</f>
        <v/>
      </c>
      <c r="C77">
        <f>IF(B77&gt;=DATE(YEAR(B77)+1,1,1)-WEEKDAY(DATE(YEAR(B77)+1,1,1),3),YEAR(B77)+1,IF(B77&gt;=DATE(YEAR(B77),1,1)-WEEKDAY(DATE(YEAR(B77),1,1),3),YEAR(B77),YEAR(B77)-1))</f>
        <v/>
      </c>
      <c r="D77">
        <f>(B77-(DATE(C77,1,1)-WEEKDAY(DATE(C77,1,1),3)))/7+1</f>
        <v/>
      </c>
      <c r="E77">
        <f>C77&amp;"-W"&amp;TEXT(D77,"00")</f>
        <v/>
      </c>
      <c r="F77" s="17">
        <f>B77+6</f>
        <v/>
      </c>
      <c r="G77">
        <f>TEXT(B77,"mmm-yy")</f>
        <v/>
      </c>
    </row>
    <row r="78">
      <c r="A78" t="n">
        <v>75</v>
      </c>
      <c r="B78" s="17">
        <f>B77+7</f>
        <v/>
      </c>
      <c r="C78">
        <f>IF(B78&gt;=DATE(YEAR(B78)+1,1,1)-WEEKDAY(DATE(YEAR(B78)+1,1,1),3),YEAR(B78)+1,IF(B78&gt;=DATE(YEAR(B78),1,1)-WEEKDAY(DATE(YEAR(B78),1,1),3),YEAR(B78),YEAR(B78)-1))</f>
        <v/>
      </c>
      <c r="D78">
        <f>(B78-(DATE(C78,1,1)-WEEKDAY(DATE(C78,1,1),3)))/7+1</f>
        <v/>
      </c>
      <c r="E78">
        <f>C78&amp;"-W"&amp;TEXT(D78,"00")</f>
        <v/>
      </c>
      <c r="F78" s="17">
        <f>B78+6</f>
        <v/>
      </c>
      <c r="G78">
        <f>TEXT(B78,"mmm-yy")</f>
        <v/>
      </c>
    </row>
    <row r="79">
      <c r="A79" t="n">
        <v>76</v>
      </c>
      <c r="B79" s="17">
        <f>B78+7</f>
        <v/>
      </c>
      <c r="C79">
        <f>IF(B79&gt;=DATE(YEAR(B79)+1,1,1)-WEEKDAY(DATE(YEAR(B79)+1,1,1),3),YEAR(B79)+1,IF(B79&gt;=DATE(YEAR(B79),1,1)-WEEKDAY(DATE(YEAR(B79),1,1),3),YEAR(B79),YEAR(B79)-1))</f>
        <v/>
      </c>
      <c r="D79">
        <f>(B79-(DATE(C79,1,1)-WEEKDAY(DATE(C79,1,1),3)))/7+1</f>
        <v/>
      </c>
      <c r="E79">
        <f>C79&amp;"-W"&amp;TEXT(D79,"00")</f>
        <v/>
      </c>
      <c r="F79" s="17">
        <f>B79+6</f>
        <v/>
      </c>
      <c r="G79">
        <f>TEXT(B79,"mmm-yy")</f>
        <v/>
      </c>
    </row>
    <row r="80">
      <c r="A80" t="n">
        <v>77</v>
      </c>
      <c r="B80" s="17">
        <f>B79+7</f>
        <v/>
      </c>
      <c r="C80">
        <f>IF(B80&gt;=DATE(YEAR(B80)+1,1,1)-WEEKDAY(DATE(YEAR(B80)+1,1,1),3),YEAR(B80)+1,IF(B80&gt;=DATE(YEAR(B80),1,1)-WEEKDAY(DATE(YEAR(B80),1,1),3),YEAR(B80),YEAR(B80)-1))</f>
        <v/>
      </c>
      <c r="D80">
        <f>(B80-(DATE(C80,1,1)-WEEKDAY(DATE(C80,1,1),3)))/7+1</f>
        <v/>
      </c>
      <c r="E80">
        <f>C80&amp;"-W"&amp;TEXT(D80,"00")</f>
        <v/>
      </c>
      <c r="F80" s="17">
        <f>B80+6</f>
        <v/>
      </c>
      <c r="G80">
        <f>TEXT(B80,"mmm-yy")</f>
        <v/>
      </c>
    </row>
    <row r="81">
      <c r="A81" t="n">
        <v>78</v>
      </c>
      <c r="B81" s="17">
        <f>B80+7</f>
        <v/>
      </c>
      <c r="C81">
        <f>IF(B81&gt;=DATE(YEAR(B81)+1,1,1)-WEEKDAY(DATE(YEAR(B81)+1,1,1),3),YEAR(B81)+1,IF(B81&gt;=DATE(YEAR(B81),1,1)-WEEKDAY(DATE(YEAR(B81),1,1),3),YEAR(B81),YEAR(B81)-1))</f>
        <v/>
      </c>
      <c r="D81">
        <f>(B81-(DATE(C81,1,1)-WEEKDAY(DATE(C81,1,1),3)))/7+1</f>
        <v/>
      </c>
      <c r="E81">
        <f>C81&amp;"-W"&amp;TEXT(D81,"00")</f>
        <v/>
      </c>
      <c r="F81" s="17">
        <f>B81+6</f>
        <v/>
      </c>
      <c r="G81">
        <f>TEXT(B81,"mmm-yy")</f>
        <v/>
      </c>
    </row>
    <row r="82">
      <c r="A82" t="n">
        <v>79</v>
      </c>
      <c r="B82" s="17">
        <f>B81+7</f>
        <v/>
      </c>
      <c r="C82">
        <f>IF(B82&gt;=DATE(YEAR(B82)+1,1,1)-WEEKDAY(DATE(YEAR(B82)+1,1,1),3),YEAR(B82)+1,IF(B82&gt;=DATE(YEAR(B82),1,1)-WEEKDAY(DATE(YEAR(B82),1,1),3),YEAR(B82),YEAR(B82)-1))</f>
        <v/>
      </c>
      <c r="D82">
        <f>(B82-(DATE(C82,1,1)-WEEKDAY(DATE(C82,1,1),3)))/7+1</f>
        <v/>
      </c>
      <c r="E82">
        <f>C82&amp;"-W"&amp;TEXT(D82,"00")</f>
        <v/>
      </c>
      <c r="F82" s="17">
        <f>B82+6</f>
        <v/>
      </c>
      <c r="G82">
        <f>TEXT(B82,"mmm-yy")</f>
        <v/>
      </c>
    </row>
    <row r="83">
      <c r="A83" t="n">
        <v>80</v>
      </c>
      <c r="B83" s="17">
        <f>B82+7</f>
        <v/>
      </c>
      <c r="C83">
        <f>IF(B83&gt;=DATE(YEAR(B83)+1,1,1)-WEEKDAY(DATE(YEAR(B83)+1,1,1),3),YEAR(B83)+1,IF(B83&gt;=DATE(YEAR(B83),1,1)-WEEKDAY(DATE(YEAR(B83),1,1),3),YEAR(B83),YEAR(B83)-1))</f>
        <v/>
      </c>
      <c r="D83">
        <f>(B83-(DATE(C83,1,1)-WEEKDAY(DATE(C83,1,1),3)))/7+1</f>
        <v/>
      </c>
      <c r="E83">
        <f>C83&amp;"-W"&amp;TEXT(D83,"00")</f>
        <v/>
      </c>
      <c r="F83" s="17">
        <f>B83+6</f>
        <v/>
      </c>
      <c r="G83">
        <f>TEXT(B83,"mmm-yy")</f>
        <v/>
      </c>
    </row>
    <row r="84">
      <c r="A84" t="n">
        <v>81</v>
      </c>
      <c r="B84" s="17">
        <f>B83+7</f>
        <v/>
      </c>
      <c r="C84">
        <f>IF(B84&gt;=DATE(YEAR(B84)+1,1,1)-WEEKDAY(DATE(YEAR(B84)+1,1,1),3),YEAR(B84)+1,IF(B84&gt;=DATE(YEAR(B84),1,1)-WEEKDAY(DATE(YEAR(B84),1,1),3),YEAR(B84),YEAR(B84)-1))</f>
        <v/>
      </c>
      <c r="D84">
        <f>(B84-(DATE(C84,1,1)-WEEKDAY(DATE(C84,1,1),3)))/7+1</f>
        <v/>
      </c>
      <c r="E84">
        <f>C84&amp;"-W"&amp;TEXT(D84,"00")</f>
        <v/>
      </c>
      <c r="F84" s="17">
        <f>B84+6</f>
        <v/>
      </c>
      <c r="G84">
        <f>TEXT(B84,"mmm-yy")</f>
        <v/>
      </c>
    </row>
    <row r="85">
      <c r="A85" t="n">
        <v>82</v>
      </c>
      <c r="B85" s="17">
        <f>B84+7</f>
        <v/>
      </c>
      <c r="C85">
        <f>IF(B85&gt;=DATE(YEAR(B85)+1,1,1)-WEEKDAY(DATE(YEAR(B85)+1,1,1),3),YEAR(B85)+1,IF(B85&gt;=DATE(YEAR(B85),1,1)-WEEKDAY(DATE(YEAR(B85),1,1),3),YEAR(B85),YEAR(B85)-1))</f>
        <v/>
      </c>
      <c r="D85">
        <f>(B85-(DATE(C85,1,1)-WEEKDAY(DATE(C85,1,1),3)))/7+1</f>
        <v/>
      </c>
      <c r="E85">
        <f>C85&amp;"-W"&amp;TEXT(D85,"00")</f>
        <v/>
      </c>
      <c r="F85" s="17">
        <f>B85+6</f>
        <v/>
      </c>
      <c r="G85">
        <f>TEXT(B85,"mmm-yy")</f>
        <v/>
      </c>
    </row>
    <row r="86">
      <c r="A86" t="n">
        <v>83</v>
      </c>
      <c r="B86" s="17">
        <f>B85+7</f>
        <v/>
      </c>
      <c r="C86">
        <f>IF(B86&gt;=DATE(YEAR(B86)+1,1,1)-WEEKDAY(DATE(YEAR(B86)+1,1,1),3),YEAR(B86)+1,IF(B86&gt;=DATE(YEAR(B86),1,1)-WEEKDAY(DATE(YEAR(B86),1,1),3),YEAR(B86),YEAR(B86)-1))</f>
        <v/>
      </c>
      <c r="D86">
        <f>(B86-(DATE(C86,1,1)-WEEKDAY(DATE(C86,1,1),3)))/7+1</f>
        <v/>
      </c>
      <c r="E86">
        <f>C86&amp;"-W"&amp;TEXT(D86,"00")</f>
        <v/>
      </c>
      <c r="F86" s="17">
        <f>B86+6</f>
        <v/>
      </c>
      <c r="G86">
        <f>TEXT(B86,"mmm-yy")</f>
        <v/>
      </c>
    </row>
    <row r="87">
      <c r="A87" t="n">
        <v>84</v>
      </c>
      <c r="B87" s="17">
        <f>B86+7</f>
        <v/>
      </c>
      <c r="C87">
        <f>IF(B87&gt;=DATE(YEAR(B87)+1,1,1)-WEEKDAY(DATE(YEAR(B87)+1,1,1),3),YEAR(B87)+1,IF(B87&gt;=DATE(YEAR(B87),1,1)-WEEKDAY(DATE(YEAR(B87),1,1),3),YEAR(B87),YEAR(B87)-1))</f>
        <v/>
      </c>
      <c r="D87">
        <f>(B87-(DATE(C87,1,1)-WEEKDAY(DATE(C87,1,1),3)))/7+1</f>
        <v/>
      </c>
      <c r="E87">
        <f>C87&amp;"-W"&amp;TEXT(D87,"00")</f>
        <v/>
      </c>
      <c r="F87" s="17">
        <f>B87+6</f>
        <v/>
      </c>
      <c r="G87">
        <f>TEXT(B87,"mmm-yy")</f>
        <v/>
      </c>
    </row>
    <row r="88">
      <c r="A88" t="n">
        <v>85</v>
      </c>
      <c r="B88" s="17">
        <f>B87+7</f>
        <v/>
      </c>
      <c r="C88">
        <f>IF(B88&gt;=DATE(YEAR(B88)+1,1,1)-WEEKDAY(DATE(YEAR(B88)+1,1,1),3),YEAR(B88)+1,IF(B88&gt;=DATE(YEAR(B88),1,1)-WEEKDAY(DATE(YEAR(B88),1,1),3),YEAR(B88),YEAR(B88)-1))</f>
        <v/>
      </c>
      <c r="D88">
        <f>(B88-(DATE(C88,1,1)-WEEKDAY(DATE(C88,1,1),3)))/7+1</f>
        <v/>
      </c>
      <c r="E88">
        <f>C88&amp;"-W"&amp;TEXT(D88,"00")</f>
        <v/>
      </c>
      <c r="F88" s="17">
        <f>B88+6</f>
        <v/>
      </c>
      <c r="G88">
        <f>TEXT(B88,"mmm-yy")</f>
        <v/>
      </c>
    </row>
    <row r="89">
      <c r="A89" t="n">
        <v>86</v>
      </c>
      <c r="B89" s="17">
        <f>B88+7</f>
        <v/>
      </c>
      <c r="C89">
        <f>IF(B89&gt;=DATE(YEAR(B89)+1,1,1)-WEEKDAY(DATE(YEAR(B89)+1,1,1),3),YEAR(B89)+1,IF(B89&gt;=DATE(YEAR(B89),1,1)-WEEKDAY(DATE(YEAR(B89),1,1),3),YEAR(B89),YEAR(B89)-1))</f>
        <v/>
      </c>
      <c r="D89">
        <f>(B89-(DATE(C89,1,1)-WEEKDAY(DATE(C89,1,1),3)))/7+1</f>
        <v/>
      </c>
      <c r="E89">
        <f>C89&amp;"-W"&amp;TEXT(D89,"00")</f>
        <v/>
      </c>
      <c r="F89" s="17">
        <f>B89+6</f>
        <v/>
      </c>
      <c r="G89">
        <f>TEXT(B89,"mmm-yy")</f>
        <v/>
      </c>
    </row>
    <row r="90">
      <c r="A90" t="n">
        <v>87</v>
      </c>
      <c r="B90" s="17">
        <f>B89+7</f>
        <v/>
      </c>
      <c r="C90">
        <f>IF(B90&gt;=DATE(YEAR(B90)+1,1,1)-WEEKDAY(DATE(YEAR(B90)+1,1,1),3),YEAR(B90)+1,IF(B90&gt;=DATE(YEAR(B90),1,1)-WEEKDAY(DATE(YEAR(B90),1,1),3),YEAR(B90),YEAR(B90)-1))</f>
        <v/>
      </c>
      <c r="D90">
        <f>(B90-(DATE(C90,1,1)-WEEKDAY(DATE(C90,1,1),3)))/7+1</f>
        <v/>
      </c>
      <c r="E90">
        <f>C90&amp;"-W"&amp;TEXT(D90,"00")</f>
        <v/>
      </c>
      <c r="F90" s="17">
        <f>B90+6</f>
        <v/>
      </c>
      <c r="G90">
        <f>TEXT(B90,"mmm-yy")</f>
        <v/>
      </c>
    </row>
    <row r="91">
      <c r="A91" t="n">
        <v>88</v>
      </c>
      <c r="B91" s="17">
        <f>B90+7</f>
        <v/>
      </c>
      <c r="C91">
        <f>IF(B91&gt;=DATE(YEAR(B91)+1,1,1)-WEEKDAY(DATE(YEAR(B91)+1,1,1),3),YEAR(B91)+1,IF(B91&gt;=DATE(YEAR(B91),1,1)-WEEKDAY(DATE(YEAR(B91),1,1),3),YEAR(B91),YEAR(B91)-1))</f>
        <v/>
      </c>
      <c r="D91">
        <f>(B91-(DATE(C91,1,1)-WEEKDAY(DATE(C91,1,1),3)))/7+1</f>
        <v/>
      </c>
      <c r="E91">
        <f>C91&amp;"-W"&amp;TEXT(D91,"00")</f>
        <v/>
      </c>
      <c r="F91" s="17">
        <f>B91+6</f>
        <v/>
      </c>
      <c r="G91">
        <f>TEXT(B91,"mmm-yy")</f>
        <v/>
      </c>
    </row>
    <row r="92">
      <c r="A92" t="n">
        <v>89</v>
      </c>
      <c r="B92" s="17">
        <f>B91+7</f>
        <v/>
      </c>
      <c r="C92">
        <f>IF(B92&gt;=DATE(YEAR(B92)+1,1,1)-WEEKDAY(DATE(YEAR(B92)+1,1,1),3),YEAR(B92)+1,IF(B92&gt;=DATE(YEAR(B92),1,1)-WEEKDAY(DATE(YEAR(B92),1,1),3),YEAR(B92),YEAR(B92)-1))</f>
        <v/>
      </c>
      <c r="D92">
        <f>(B92-(DATE(C92,1,1)-WEEKDAY(DATE(C92,1,1),3)))/7+1</f>
        <v/>
      </c>
      <c r="E92">
        <f>C92&amp;"-W"&amp;TEXT(D92,"00")</f>
        <v/>
      </c>
      <c r="F92" s="17">
        <f>B92+6</f>
        <v/>
      </c>
      <c r="G92">
        <f>TEXT(B92,"mmm-yy")</f>
        <v/>
      </c>
    </row>
    <row r="93">
      <c r="A93" t="n">
        <v>90</v>
      </c>
      <c r="B93" s="17">
        <f>B92+7</f>
        <v/>
      </c>
      <c r="C93">
        <f>IF(B93&gt;=DATE(YEAR(B93)+1,1,1)-WEEKDAY(DATE(YEAR(B93)+1,1,1),3),YEAR(B93)+1,IF(B93&gt;=DATE(YEAR(B93),1,1)-WEEKDAY(DATE(YEAR(B93),1,1),3),YEAR(B93),YEAR(B93)-1))</f>
        <v/>
      </c>
      <c r="D93">
        <f>(B93-(DATE(C93,1,1)-WEEKDAY(DATE(C93,1,1),3)))/7+1</f>
        <v/>
      </c>
      <c r="E93">
        <f>C93&amp;"-W"&amp;TEXT(D93,"00")</f>
        <v/>
      </c>
      <c r="F93" s="17">
        <f>B93+6</f>
        <v/>
      </c>
      <c r="G93">
        <f>TEXT(B93,"mmm-yy")</f>
        <v/>
      </c>
    </row>
    <row r="94">
      <c r="A94" t="n">
        <v>91</v>
      </c>
      <c r="B94" s="17">
        <f>B93+7</f>
        <v/>
      </c>
      <c r="C94">
        <f>IF(B94&gt;=DATE(YEAR(B94)+1,1,1)-WEEKDAY(DATE(YEAR(B94)+1,1,1),3),YEAR(B94)+1,IF(B94&gt;=DATE(YEAR(B94),1,1)-WEEKDAY(DATE(YEAR(B94),1,1),3),YEAR(B94),YEAR(B94)-1))</f>
        <v/>
      </c>
      <c r="D94">
        <f>(B94-(DATE(C94,1,1)-WEEKDAY(DATE(C94,1,1),3)))/7+1</f>
        <v/>
      </c>
      <c r="E94">
        <f>C94&amp;"-W"&amp;TEXT(D94,"00")</f>
        <v/>
      </c>
      <c r="F94" s="17">
        <f>B94+6</f>
        <v/>
      </c>
      <c r="G94">
        <f>TEXT(B94,"mmm-yy")</f>
        <v/>
      </c>
    </row>
    <row r="95">
      <c r="A95" t="n">
        <v>92</v>
      </c>
      <c r="B95" s="17">
        <f>B94+7</f>
        <v/>
      </c>
      <c r="C95">
        <f>IF(B95&gt;=DATE(YEAR(B95)+1,1,1)-WEEKDAY(DATE(YEAR(B95)+1,1,1),3),YEAR(B95)+1,IF(B95&gt;=DATE(YEAR(B95),1,1)-WEEKDAY(DATE(YEAR(B95),1,1),3),YEAR(B95),YEAR(B95)-1))</f>
        <v/>
      </c>
      <c r="D95">
        <f>(B95-(DATE(C95,1,1)-WEEKDAY(DATE(C95,1,1),3)))/7+1</f>
        <v/>
      </c>
      <c r="E95">
        <f>C95&amp;"-W"&amp;TEXT(D95,"00")</f>
        <v/>
      </c>
      <c r="F95" s="17">
        <f>B95+6</f>
        <v/>
      </c>
      <c r="G95">
        <f>TEXT(B95,"mmm-yy")</f>
        <v/>
      </c>
    </row>
    <row r="96">
      <c r="A96" t="n">
        <v>93</v>
      </c>
      <c r="B96" s="17">
        <f>B95+7</f>
        <v/>
      </c>
      <c r="C96">
        <f>IF(B96&gt;=DATE(YEAR(B96)+1,1,1)-WEEKDAY(DATE(YEAR(B96)+1,1,1),3),YEAR(B96)+1,IF(B96&gt;=DATE(YEAR(B96),1,1)-WEEKDAY(DATE(YEAR(B96),1,1),3),YEAR(B96),YEAR(B96)-1))</f>
        <v/>
      </c>
      <c r="D96">
        <f>(B96-(DATE(C96,1,1)-WEEKDAY(DATE(C96,1,1),3)))/7+1</f>
        <v/>
      </c>
      <c r="E96">
        <f>C96&amp;"-W"&amp;TEXT(D96,"00")</f>
        <v/>
      </c>
      <c r="F96" s="17">
        <f>B96+6</f>
        <v/>
      </c>
      <c r="G96">
        <f>TEXT(B96,"mmm-yy")</f>
        <v/>
      </c>
    </row>
    <row r="97">
      <c r="A97" t="n">
        <v>94</v>
      </c>
      <c r="B97" s="17">
        <f>B96+7</f>
        <v/>
      </c>
      <c r="C97">
        <f>IF(B97&gt;=DATE(YEAR(B97)+1,1,1)-WEEKDAY(DATE(YEAR(B97)+1,1,1),3),YEAR(B97)+1,IF(B97&gt;=DATE(YEAR(B97),1,1)-WEEKDAY(DATE(YEAR(B97),1,1),3),YEAR(B97),YEAR(B97)-1))</f>
        <v/>
      </c>
      <c r="D97">
        <f>(B97-(DATE(C97,1,1)-WEEKDAY(DATE(C97,1,1),3)))/7+1</f>
        <v/>
      </c>
      <c r="E97">
        <f>C97&amp;"-W"&amp;TEXT(D97,"00")</f>
        <v/>
      </c>
      <c r="F97" s="17">
        <f>B97+6</f>
        <v/>
      </c>
      <c r="G97">
        <f>TEXT(B97,"mmm-yy")</f>
        <v/>
      </c>
    </row>
    <row r="98">
      <c r="A98" t="n">
        <v>95</v>
      </c>
      <c r="B98" s="17">
        <f>B97+7</f>
        <v/>
      </c>
      <c r="C98">
        <f>IF(B98&gt;=DATE(YEAR(B98)+1,1,1)-WEEKDAY(DATE(YEAR(B98)+1,1,1),3),YEAR(B98)+1,IF(B98&gt;=DATE(YEAR(B98),1,1)-WEEKDAY(DATE(YEAR(B98),1,1),3),YEAR(B98),YEAR(B98)-1))</f>
        <v/>
      </c>
      <c r="D98">
        <f>(B98-(DATE(C98,1,1)-WEEKDAY(DATE(C98,1,1),3)))/7+1</f>
        <v/>
      </c>
      <c r="E98">
        <f>C98&amp;"-W"&amp;TEXT(D98,"00")</f>
        <v/>
      </c>
      <c r="F98" s="17">
        <f>B98+6</f>
        <v/>
      </c>
      <c r="G98">
        <f>TEXT(B98,"mmm-yy")</f>
        <v/>
      </c>
    </row>
    <row r="99">
      <c r="A99" t="n">
        <v>96</v>
      </c>
      <c r="B99" s="17">
        <f>B98+7</f>
        <v/>
      </c>
      <c r="C99">
        <f>IF(B99&gt;=DATE(YEAR(B99)+1,1,1)-WEEKDAY(DATE(YEAR(B99)+1,1,1),3),YEAR(B99)+1,IF(B99&gt;=DATE(YEAR(B99),1,1)-WEEKDAY(DATE(YEAR(B99),1,1),3),YEAR(B99),YEAR(B99)-1))</f>
        <v/>
      </c>
      <c r="D99">
        <f>(B99-(DATE(C99,1,1)-WEEKDAY(DATE(C99,1,1),3)))/7+1</f>
        <v/>
      </c>
      <c r="E99">
        <f>C99&amp;"-W"&amp;TEXT(D99,"00")</f>
        <v/>
      </c>
      <c r="F99" s="17">
        <f>B99+6</f>
        <v/>
      </c>
      <c r="G99">
        <f>TEXT(B99,"mmm-yy")</f>
        <v/>
      </c>
    </row>
    <row r="100">
      <c r="A100" t="n">
        <v>97</v>
      </c>
      <c r="B100" s="17">
        <f>B99+7</f>
        <v/>
      </c>
      <c r="C100">
        <f>IF(B100&gt;=DATE(YEAR(B100)+1,1,1)-WEEKDAY(DATE(YEAR(B100)+1,1,1),3),YEAR(B100)+1,IF(B100&gt;=DATE(YEAR(B100),1,1)-WEEKDAY(DATE(YEAR(B100),1,1),3),YEAR(B100),YEAR(B100)-1))</f>
        <v/>
      </c>
      <c r="D100">
        <f>(B100-(DATE(C100,1,1)-WEEKDAY(DATE(C100,1,1),3)))/7+1</f>
        <v/>
      </c>
      <c r="E100">
        <f>C100&amp;"-W"&amp;TEXT(D100,"00")</f>
        <v/>
      </c>
      <c r="F100" s="17">
        <f>B100+6</f>
        <v/>
      </c>
      <c r="G100">
        <f>TEXT(B100,"mmm-yy")</f>
        <v/>
      </c>
    </row>
    <row r="101">
      <c r="A101" t="n">
        <v>98</v>
      </c>
      <c r="B101" s="17">
        <f>B100+7</f>
        <v/>
      </c>
      <c r="C101">
        <f>IF(B101&gt;=DATE(YEAR(B101)+1,1,1)-WEEKDAY(DATE(YEAR(B101)+1,1,1),3),YEAR(B101)+1,IF(B101&gt;=DATE(YEAR(B101),1,1)-WEEKDAY(DATE(YEAR(B101),1,1),3),YEAR(B101),YEAR(B101)-1))</f>
        <v/>
      </c>
      <c r="D101">
        <f>(B101-(DATE(C101,1,1)-WEEKDAY(DATE(C101,1,1),3)))/7+1</f>
        <v/>
      </c>
      <c r="E101">
        <f>C101&amp;"-W"&amp;TEXT(D101,"00")</f>
        <v/>
      </c>
      <c r="F101" s="17">
        <f>B101+6</f>
        <v/>
      </c>
      <c r="G101">
        <f>TEXT(B101,"mmm-yy")</f>
        <v/>
      </c>
    </row>
    <row r="102">
      <c r="A102" t="n">
        <v>99</v>
      </c>
      <c r="B102" s="17">
        <f>B101+7</f>
        <v/>
      </c>
      <c r="C102">
        <f>IF(B102&gt;=DATE(YEAR(B102)+1,1,1)-WEEKDAY(DATE(YEAR(B102)+1,1,1),3),YEAR(B102)+1,IF(B102&gt;=DATE(YEAR(B102),1,1)-WEEKDAY(DATE(YEAR(B102),1,1),3),YEAR(B102),YEAR(B102)-1))</f>
        <v/>
      </c>
      <c r="D102">
        <f>(B102-(DATE(C102,1,1)-WEEKDAY(DATE(C102,1,1),3)))/7+1</f>
        <v/>
      </c>
      <c r="E102">
        <f>C102&amp;"-W"&amp;TEXT(D102,"00")</f>
        <v/>
      </c>
      <c r="F102" s="17">
        <f>B102+6</f>
        <v/>
      </c>
      <c r="G102">
        <f>TEXT(B102,"mmm-yy")</f>
        <v/>
      </c>
    </row>
    <row r="103">
      <c r="A103" t="n">
        <v>100</v>
      </c>
      <c r="B103" s="17">
        <f>B102+7</f>
        <v/>
      </c>
      <c r="C103">
        <f>IF(B103&gt;=DATE(YEAR(B103)+1,1,1)-WEEKDAY(DATE(YEAR(B103)+1,1,1),3),YEAR(B103)+1,IF(B103&gt;=DATE(YEAR(B103),1,1)-WEEKDAY(DATE(YEAR(B103),1,1),3),YEAR(B103),YEAR(B103)-1))</f>
        <v/>
      </c>
      <c r="D103">
        <f>(B103-(DATE(C103,1,1)-WEEKDAY(DATE(C103,1,1),3)))/7+1</f>
        <v/>
      </c>
      <c r="E103">
        <f>C103&amp;"-W"&amp;TEXT(D103,"00")</f>
        <v/>
      </c>
      <c r="F103" s="17">
        <f>B103+6</f>
        <v/>
      </c>
      <c r="G103">
        <f>TEXT(B103,"mmm-yy")</f>
        <v/>
      </c>
    </row>
    <row r="104">
      <c r="A104" t="n">
        <v>101</v>
      </c>
      <c r="B104" s="17">
        <f>B103+7</f>
        <v/>
      </c>
      <c r="C104">
        <f>IF(B104&gt;=DATE(YEAR(B104)+1,1,1)-WEEKDAY(DATE(YEAR(B104)+1,1,1),3),YEAR(B104)+1,IF(B104&gt;=DATE(YEAR(B104),1,1)-WEEKDAY(DATE(YEAR(B104),1,1),3),YEAR(B104),YEAR(B104)-1))</f>
        <v/>
      </c>
      <c r="D104">
        <f>(B104-(DATE(C104,1,1)-WEEKDAY(DATE(C104,1,1),3)))/7+1</f>
        <v/>
      </c>
      <c r="E104">
        <f>C104&amp;"-W"&amp;TEXT(D104,"00")</f>
        <v/>
      </c>
      <c r="F104" s="17">
        <f>B104+6</f>
        <v/>
      </c>
      <c r="G104">
        <f>TEXT(B104,"mmm-yy")</f>
        <v/>
      </c>
    </row>
    <row r="105">
      <c r="A105" t="n">
        <v>102</v>
      </c>
      <c r="B105" s="17">
        <f>B104+7</f>
        <v/>
      </c>
      <c r="C105">
        <f>IF(B105&gt;=DATE(YEAR(B105)+1,1,1)-WEEKDAY(DATE(YEAR(B105)+1,1,1),3),YEAR(B105)+1,IF(B105&gt;=DATE(YEAR(B105),1,1)-WEEKDAY(DATE(YEAR(B105),1,1),3),YEAR(B105),YEAR(B105)-1))</f>
        <v/>
      </c>
      <c r="D105">
        <f>(B105-(DATE(C105,1,1)-WEEKDAY(DATE(C105,1,1),3)))/7+1</f>
        <v/>
      </c>
      <c r="E105">
        <f>C105&amp;"-W"&amp;TEXT(D105,"00")</f>
        <v/>
      </c>
      <c r="F105" s="17">
        <f>B105+6</f>
        <v/>
      </c>
      <c r="G105">
        <f>TEXT(B105,"mmm-yy")</f>
        <v/>
      </c>
    </row>
    <row r="106">
      <c r="A106" t="n">
        <v>103</v>
      </c>
      <c r="B106" s="17">
        <f>B105+7</f>
        <v/>
      </c>
      <c r="C106">
        <f>IF(B106&gt;=DATE(YEAR(B106)+1,1,1)-WEEKDAY(DATE(YEAR(B106)+1,1,1),3),YEAR(B106)+1,IF(B106&gt;=DATE(YEAR(B106),1,1)-WEEKDAY(DATE(YEAR(B106),1,1),3),YEAR(B106),YEAR(B106)-1))</f>
        <v/>
      </c>
      <c r="D106">
        <f>(B106-(DATE(C106,1,1)-WEEKDAY(DATE(C106,1,1),3)))/7+1</f>
        <v/>
      </c>
      <c r="E106">
        <f>C106&amp;"-W"&amp;TEXT(D106,"00")</f>
        <v/>
      </c>
      <c r="F106" s="17">
        <f>B106+6</f>
        <v/>
      </c>
      <c r="G106">
        <f>TEXT(B106,"mmm-yy")</f>
        <v/>
      </c>
    </row>
    <row r="107">
      <c r="A107" t="n">
        <v>104</v>
      </c>
      <c r="B107" s="17">
        <f>B106+7</f>
        <v/>
      </c>
      <c r="C107">
        <f>IF(B107&gt;=DATE(YEAR(B107)+1,1,1)-WEEKDAY(DATE(YEAR(B107)+1,1,1),3),YEAR(B107)+1,IF(B107&gt;=DATE(YEAR(B107),1,1)-WEEKDAY(DATE(YEAR(B107),1,1),3),YEAR(B107),YEAR(B107)-1))</f>
        <v/>
      </c>
      <c r="D107">
        <f>(B107-(DATE(C107,1,1)-WEEKDAY(DATE(C107,1,1),3)))/7+1</f>
        <v/>
      </c>
      <c r="E107">
        <f>C107&amp;"-W"&amp;TEXT(D107,"00")</f>
        <v/>
      </c>
      <c r="F107" s="17">
        <f>B107+6</f>
        <v/>
      </c>
      <c r="G107">
        <f>TEXT(B107,"mmm-yy")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8" customWidth="1" min="3" max="3"/>
    <col width="12" customWidth="1" min="4" max="4"/>
  </cols>
  <sheetData>
    <row r="1">
      <c r="A1" s="20" t="inlineStr">
        <is>
          <t>Intermediate</t>
        </is>
      </c>
      <c r="B1" s="20" t="inlineStr">
        <is>
          <t>Type</t>
        </is>
      </c>
      <c r="C1" s="20" t="inlineStr">
        <is>
          <t>PGM</t>
        </is>
      </c>
      <c r="D1" s="20" t="inlineStr">
        <is>
          <t>BatchSize</t>
        </is>
      </c>
    </row>
    <row r="2">
      <c r="A2" t="inlineStr">
        <is>
          <t>TSP-049</t>
        </is>
      </c>
      <c r="B2" t="inlineStr">
        <is>
          <t>Slurry</t>
        </is>
      </c>
      <c r="C2" t="inlineStr">
        <is>
          <t>Pt</t>
        </is>
      </c>
      <c r="D2" t="n">
        <v>153.7</v>
      </c>
    </row>
    <row r="3">
      <c r="A3" t="inlineStr">
        <is>
          <t>TSP-050</t>
        </is>
      </c>
      <c r="B3" t="inlineStr">
        <is>
          <t>Slurry</t>
        </is>
      </c>
      <c r="C3" t="inlineStr">
        <is>
          <t>Rh</t>
        </is>
      </c>
      <c r="D3" t="n">
        <v>101.5015</v>
      </c>
    </row>
    <row r="4">
      <c r="A4" t="inlineStr">
        <is>
          <t>TSP-067</t>
        </is>
      </c>
      <c r="B4" t="inlineStr">
        <is>
          <t>Slurry</t>
        </is>
      </c>
      <c r="C4" t="inlineStr">
        <is>
          <t>Pt</t>
        </is>
      </c>
      <c r="D4" t="n">
        <v>102.2</v>
      </c>
    </row>
    <row r="5">
      <c r="A5" t="inlineStr">
        <is>
          <t>TSP-069</t>
        </is>
      </c>
      <c r="B5" t="inlineStr">
        <is>
          <t>Slurry</t>
        </is>
      </c>
      <c r="C5" t="inlineStr">
        <is>
          <t>Pt</t>
        </is>
      </c>
      <c r="D5" t="n">
        <v>105.2079</v>
      </c>
    </row>
    <row r="6">
      <c r="A6" t="inlineStr">
        <is>
          <t>TSP-078</t>
        </is>
      </c>
      <c r="B6" t="inlineStr">
        <is>
          <t>Slurry</t>
        </is>
      </c>
      <c r="C6" t="inlineStr">
        <is>
          <t>Rh</t>
        </is>
      </c>
      <c r="D6" t="n">
        <v>67.5</v>
      </c>
    </row>
    <row r="7">
      <c r="A7" t="inlineStr">
        <is>
          <t>TSP-080</t>
        </is>
      </c>
      <c r="B7" t="inlineStr">
        <is>
          <t>Slurry</t>
        </is>
      </c>
      <c r="C7" t="inlineStr">
        <is>
          <t>Rh</t>
        </is>
      </c>
      <c r="D7" t="n">
        <v>80.15000000000001</v>
      </c>
    </row>
    <row r="8">
      <c r="A8" t="inlineStr">
        <is>
          <t>TSP-104</t>
        </is>
      </c>
      <c r="B8" t="inlineStr">
        <is>
          <t>Slurry</t>
        </is>
      </c>
      <c r="C8" t="inlineStr">
        <is>
          <t>Pd</t>
        </is>
      </c>
      <c r="D8" t="n">
        <v>81.79600000000001</v>
      </c>
    </row>
    <row r="9">
      <c r="A9" t="inlineStr">
        <is>
          <t>TSP-105</t>
        </is>
      </c>
      <c r="B9" t="inlineStr">
        <is>
          <t>Slurry</t>
        </is>
      </c>
      <c r="C9" t="inlineStr">
        <is>
          <t>Rh</t>
        </is>
      </c>
      <c r="D9" t="n">
        <v>96</v>
      </c>
    </row>
    <row r="10">
      <c r="A10" t="inlineStr">
        <is>
          <t>TSP-1388</t>
        </is>
      </c>
      <c r="B10" t="inlineStr">
        <is>
          <t>Slurry</t>
        </is>
      </c>
      <c r="C10" t="inlineStr">
        <is>
          <t>Pd</t>
        </is>
      </c>
      <c r="D10" t="n">
        <v>115.5</v>
      </c>
    </row>
    <row r="11">
      <c r="A11" t="inlineStr">
        <is>
          <t>TSP-1444</t>
        </is>
      </c>
      <c r="B11" t="inlineStr">
        <is>
          <t>Slurry</t>
        </is>
      </c>
      <c r="C11" t="inlineStr">
        <is>
          <t>Rh</t>
        </is>
      </c>
      <c r="D11" t="n">
        <v>129.3168</v>
      </c>
    </row>
    <row r="12">
      <c r="A12" t="inlineStr">
        <is>
          <t>TSP-1445</t>
        </is>
      </c>
      <c r="B12" t="inlineStr">
        <is>
          <t>Slurry</t>
        </is>
      </c>
      <c r="C12" t="inlineStr">
        <is>
          <t>Rh</t>
        </is>
      </c>
      <c r="D12" t="n">
        <v>133.875</v>
      </c>
    </row>
    <row r="13">
      <c r="A13" t="inlineStr">
        <is>
          <t>TSP-1446</t>
        </is>
      </c>
      <c r="B13" t="inlineStr">
        <is>
          <t>Slurry</t>
        </is>
      </c>
      <c r="C13" t="inlineStr">
        <is>
          <t>Rh</t>
        </is>
      </c>
      <c r="D13" t="n">
        <v>150.875</v>
      </c>
    </row>
    <row r="14">
      <c r="A14" t="inlineStr">
        <is>
          <t>TSP-1448</t>
        </is>
      </c>
      <c r="B14" t="inlineStr">
        <is>
          <t>Slurry</t>
        </is>
      </c>
      <c r="C14" t="inlineStr">
        <is>
          <t>Rh</t>
        </is>
      </c>
      <c r="D14" t="n">
        <v>62.9993</v>
      </c>
    </row>
    <row r="15">
      <c r="A15" t="inlineStr">
        <is>
          <t>TSP-1449</t>
        </is>
      </c>
      <c r="B15" t="inlineStr">
        <is>
          <t>Slurry</t>
        </is>
      </c>
      <c r="C15" t="inlineStr">
        <is>
          <t>Rh</t>
        </is>
      </c>
      <c r="D15" t="n">
        <v>64.5</v>
      </c>
    </row>
    <row r="16">
      <c r="A16" t="inlineStr">
        <is>
          <t>TSP-199</t>
        </is>
      </c>
      <c r="B16" t="inlineStr">
        <is>
          <t>Slurry</t>
        </is>
      </c>
      <c r="C16" t="inlineStr">
        <is>
          <t>Pd</t>
        </is>
      </c>
      <c r="D16" t="n">
        <v>79.92615000000001</v>
      </c>
    </row>
    <row r="17">
      <c r="A17" t="inlineStr">
        <is>
          <t>TSP-205</t>
        </is>
      </c>
      <c r="B17" t="inlineStr">
        <is>
          <t>Slurry</t>
        </is>
      </c>
      <c r="C17" t="inlineStr">
        <is>
          <t>Pd</t>
        </is>
      </c>
      <c r="D17" t="n">
        <v>55.5814</v>
      </c>
    </row>
    <row r="18">
      <c r="A18" t="inlineStr">
        <is>
          <t>TSP-206</t>
        </is>
      </c>
      <c r="B18" t="inlineStr">
        <is>
          <t>Slurry</t>
        </is>
      </c>
      <c r="C18" t="inlineStr">
        <is>
          <t>Rh</t>
        </is>
      </c>
      <c r="D18" t="n">
        <v>77.688</v>
      </c>
    </row>
    <row r="19">
      <c r="A19" t="inlineStr">
        <is>
          <t>TSP-224</t>
        </is>
      </c>
      <c r="B19" t="inlineStr">
        <is>
          <t>Slurry</t>
        </is>
      </c>
      <c r="C19" t="inlineStr">
        <is>
          <t>Pt</t>
        </is>
      </c>
      <c r="D19" t="n">
        <v>108</v>
      </c>
    </row>
    <row r="20">
      <c r="A20" t="inlineStr">
        <is>
          <t>TSP-225</t>
        </is>
      </c>
      <c r="B20" t="inlineStr">
        <is>
          <t>Slurry</t>
        </is>
      </c>
      <c r="C20" t="inlineStr">
        <is>
          <t>Rh</t>
        </is>
      </c>
      <c r="D20" t="n">
        <v>84.23999999999999</v>
      </c>
    </row>
    <row r="21">
      <c r="A21" t="inlineStr">
        <is>
          <t>TSP-360</t>
        </is>
      </c>
      <c r="B21" t="inlineStr">
        <is>
          <t>Slurry</t>
        </is>
      </c>
      <c r="C21" t="inlineStr">
        <is>
          <t>Pd</t>
        </is>
      </c>
      <c r="D21" t="n">
        <v>119.994</v>
      </c>
    </row>
    <row r="22">
      <c r="A22" t="inlineStr">
        <is>
          <t>TSP-367</t>
        </is>
      </c>
      <c r="B22" t="inlineStr">
        <is>
          <t>Slurry</t>
        </is>
      </c>
      <c r="C22" t="inlineStr">
        <is>
          <t>Pd</t>
        </is>
      </c>
      <c r="D22" t="n">
        <v>97.608</v>
      </c>
    </row>
    <row r="23">
      <c r="A23" t="inlineStr">
        <is>
          <t>TSP-369</t>
        </is>
      </c>
      <c r="B23" t="inlineStr">
        <is>
          <t>Slurry</t>
        </is>
      </c>
      <c r="C23" t="inlineStr">
        <is>
          <t>Rh</t>
        </is>
      </c>
      <c r="D23" t="n">
        <v>91.94159999999999</v>
      </c>
    </row>
    <row r="24">
      <c r="A24" t="inlineStr">
        <is>
          <t>TSP-402</t>
        </is>
      </c>
      <c r="B24" t="inlineStr">
        <is>
          <t>Slurry</t>
        </is>
      </c>
      <c r="C24" t="inlineStr">
        <is>
          <t>Rh</t>
        </is>
      </c>
      <c r="D24" t="n">
        <v>82.5</v>
      </c>
    </row>
    <row r="25">
      <c r="A25" t="inlineStr">
        <is>
          <t>TSP-403</t>
        </is>
      </c>
      <c r="B25" t="inlineStr">
        <is>
          <t>Slurry</t>
        </is>
      </c>
      <c r="C25" t="inlineStr">
        <is>
          <t>Rh</t>
        </is>
      </c>
      <c r="D25" t="n">
        <v>82.5</v>
      </c>
    </row>
    <row r="26">
      <c r="A26" t="inlineStr">
        <is>
          <t>TSP-404</t>
        </is>
      </c>
      <c r="B26" t="inlineStr">
        <is>
          <t>Slurry</t>
        </is>
      </c>
      <c r="C26" t="inlineStr">
        <is>
          <t>Rh</t>
        </is>
      </c>
      <c r="D26" t="n">
        <v>76.5</v>
      </c>
    </row>
    <row r="27">
      <c r="A27" t="inlineStr">
        <is>
          <t>TSP-405</t>
        </is>
      </c>
      <c r="B27" t="inlineStr">
        <is>
          <t>Slurry</t>
        </is>
      </c>
      <c r="C27" t="inlineStr">
        <is>
          <t>Rh</t>
        </is>
      </c>
      <c r="D27" t="n">
        <v>76.5</v>
      </c>
    </row>
    <row r="28">
      <c r="A28" t="inlineStr">
        <is>
          <t>TSP-544</t>
        </is>
      </c>
      <c r="B28" t="inlineStr">
        <is>
          <t>Slurry</t>
        </is>
      </c>
      <c r="C28" t="inlineStr">
        <is>
          <t>Pd</t>
        </is>
      </c>
      <c r="D28" t="n">
        <v>133.1655</v>
      </c>
    </row>
    <row r="29">
      <c r="A29" t="inlineStr">
        <is>
          <t>TSP-558</t>
        </is>
      </c>
      <c r="B29" t="inlineStr">
        <is>
          <t>Slurry</t>
        </is>
      </c>
      <c r="C29" t="inlineStr">
        <is>
          <t>Rh &amp; Pd</t>
        </is>
      </c>
      <c r="D29" t="n">
        <v>118.27908</v>
      </c>
    </row>
    <row r="30">
      <c r="A30" t="inlineStr">
        <is>
          <t>TSP-618</t>
        </is>
      </c>
      <c r="B30" t="inlineStr">
        <is>
          <t>Slurry</t>
        </is>
      </c>
      <c r="C30" t="inlineStr">
        <is>
          <t>Pd</t>
        </is>
      </c>
      <c r="D30" t="n">
        <v>96.9606</v>
      </c>
    </row>
    <row r="31">
      <c r="A31" t="inlineStr">
        <is>
          <t>TSP-620</t>
        </is>
      </c>
      <c r="B31" t="inlineStr">
        <is>
          <t>Slurry</t>
        </is>
      </c>
      <c r="C31" t="inlineStr">
        <is>
          <t>Rh</t>
        </is>
      </c>
      <c r="D31" t="n">
        <v>69</v>
      </c>
    </row>
    <row r="32">
      <c r="A32" t="inlineStr">
        <is>
          <t>TSP-623</t>
        </is>
      </c>
      <c r="B32" t="inlineStr">
        <is>
          <t>Slurry</t>
        </is>
      </c>
      <c r="C32" t="inlineStr">
        <is>
          <t>Rh</t>
        </is>
      </c>
      <c r="D32" t="n">
        <v>69</v>
      </c>
    </row>
    <row r="33">
      <c r="A33" t="inlineStr">
        <is>
          <t>TSP-655</t>
        </is>
      </c>
      <c r="B33" t="inlineStr">
        <is>
          <t>Slurry</t>
        </is>
      </c>
      <c r="C33" t="inlineStr">
        <is>
          <t>Rh</t>
        </is>
      </c>
      <c r="D33" t="n">
        <v>117.48</v>
      </c>
    </row>
    <row r="34">
      <c r="A34" t="inlineStr">
        <is>
          <t>TSP-656</t>
        </is>
      </c>
      <c r="B34" t="inlineStr">
        <is>
          <t>Slurry</t>
        </is>
      </c>
      <c r="C34" t="inlineStr">
        <is>
          <t>Pd</t>
        </is>
      </c>
      <c r="D34" t="n">
        <v>66</v>
      </c>
    </row>
    <row r="35">
      <c r="A35" t="inlineStr">
        <is>
          <t>TSP-668</t>
        </is>
      </c>
      <c r="B35" t="inlineStr">
        <is>
          <t>Slurry</t>
        </is>
      </c>
      <c r="C35" t="inlineStr">
        <is>
          <t>Pt</t>
        </is>
      </c>
      <c r="D35" t="n">
        <v>123.754</v>
      </c>
    </row>
    <row r="36">
      <c r="A36" t="inlineStr">
        <is>
          <t>TSP-669</t>
        </is>
      </c>
      <c r="B36" t="inlineStr">
        <is>
          <t>Slurry</t>
        </is>
      </c>
      <c r="C36" t="inlineStr">
        <is>
          <t>Pt</t>
        </is>
      </c>
      <c r="D36" t="n">
        <v>114.9</v>
      </c>
    </row>
    <row r="37">
      <c r="A37" t="inlineStr">
        <is>
          <t>TSP-670</t>
        </is>
      </c>
      <c r="B37" t="inlineStr">
        <is>
          <t>Slurry</t>
        </is>
      </c>
      <c r="C37" t="inlineStr">
        <is>
          <t>Pt</t>
        </is>
      </c>
      <c r="D37" t="n">
        <v>117.15</v>
      </c>
    </row>
    <row r="38">
      <c r="A38" t="inlineStr">
        <is>
          <t>TSP-710</t>
        </is>
      </c>
      <c r="B38" t="inlineStr">
        <is>
          <t>Slurry</t>
        </is>
      </c>
      <c r="C38" t="inlineStr">
        <is>
          <t>Pd</t>
        </is>
      </c>
      <c r="D38" t="n">
        <v>143.7492</v>
      </c>
    </row>
    <row r="39">
      <c r="A39" t="inlineStr">
        <is>
          <t>TSP-828</t>
        </is>
      </c>
      <c r="B39" t="inlineStr">
        <is>
          <t>Slurry</t>
        </is>
      </c>
      <c r="C39" t="inlineStr">
        <is>
          <t>Pt</t>
        </is>
      </c>
      <c r="D39" t="n">
        <v>88.73999999999999</v>
      </c>
    </row>
    <row r="40">
      <c r="A40" t="inlineStr">
        <is>
          <t>TSP-903</t>
        </is>
      </c>
      <c r="B40" t="inlineStr">
        <is>
          <t>Slurry</t>
        </is>
      </c>
      <c r="C40" t="inlineStr">
        <is>
          <t>Rh</t>
        </is>
      </c>
      <c r="D40" t="n">
        <v>90.0055</v>
      </c>
    </row>
    <row r="41">
      <c r="A41" t="inlineStr">
        <is>
          <t>TSP-924</t>
        </is>
      </c>
      <c r="B41" t="inlineStr">
        <is>
          <t>Slurry</t>
        </is>
      </c>
      <c r="C41" t="inlineStr">
        <is>
          <t>Pd</t>
        </is>
      </c>
      <c r="D41" t="n">
        <v>110.99685</v>
      </c>
    </row>
    <row r="42">
      <c r="A42" t="inlineStr">
        <is>
          <t>TSP-925</t>
        </is>
      </c>
      <c r="B42" t="inlineStr">
        <is>
          <t>Slurry</t>
        </is>
      </c>
      <c r="C42" t="inlineStr">
        <is>
          <t>Pd</t>
        </is>
      </c>
      <c r="D42" t="n">
        <v>111.0003</v>
      </c>
    </row>
    <row r="43">
      <c r="A43" t="inlineStr">
        <is>
          <t>TSP-927</t>
        </is>
      </c>
      <c r="B43" t="inlineStr">
        <is>
          <t>Slurry</t>
        </is>
      </c>
      <c r="C43" t="inlineStr">
        <is>
          <t>Rh</t>
        </is>
      </c>
      <c r="D43" t="n">
        <v>127.5</v>
      </c>
    </row>
    <row r="44">
      <c r="A44" t="inlineStr">
        <is>
          <t>TSP-928</t>
        </is>
      </c>
      <c r="B44" t="inlineStr">
        <is>
          <t>Slurry</t>
        </is>
      </c>
      <c r="C44" t="inlineStr">
        <is>
          <t>Rh</t>
        </is>
      </c>
      <c r="D44" t="n">
        <v>125.9986</v>
      </c>
    </row>
    <row r="45">
      <c r="A45" t="inlineStr">
        <is>
          <t>TSP-929</t>
        </is>
      </c>
      <c r="B45" t="inlineStr">
        <is>
          <t>Slurry</t>
        </is>
      </c>
      <c r="C45" t="inlineStr">
        <is>
          <t>Rh</t>
        </is>
      </c>
      <c r="D45" t="n">
        <v>129</v>
      </c>
    </row>
    <row r="46">
      <c r="A46" t="inlineStr">
        <is>
          <t>TSP-930</t>
        </is>
      </c>
      <c r="B46" t="inlineStr">
        <is>
          <t>Slurry</t>
        </is>
      </c>
      <c r="C46" t="inlineStr">
        <is>
          <t>Rh</t>
        </is>
      </c>
      <c r="D46" t="n">
        <v>129</v>
      </c>
    </row>
    <row r="47">
      <c r="A47" t="inlineStr">
        <is>
          <t>TSP-934</t>
        </is>
      </c>
      <c r="B47" t="inlineStr">
        <is>
          <t>Slurry</t>
        </is>
      </c>
      <c r="C47" t="inlineStr">
        <is>
          <t>Rh</t>
        </is>
      </c>
      <c r="D47" t="n">
        <v>81</v>
      </c>
    </row>
    <row r="48">
      <c r="A48" t="inlineStr">
        <is>
          <t>TSP-935</t>
        </is>
      </c>
      <c r="B48" t="inlineStr">
        <is>
          <t>Slurry</t>
        </is>
      </c>
      <c r="C48" t="inlineStr">
        <is>
          <t>Rh</t>
        </is>
      </c>
      <c r="D48" t="n">
        <v>83.99875</v>
      </c>
    </row>
    <row r="49">
      <c r="A49" t="inlineStr">
        <is>
          <t>TSP-936</t>
        </is>
      </c>
      <c r="B49" t="inlineStr">
        <is>
          <t>Slurry</t>
        </is>
      </c>
      <c r="C49" t="inlineStr">
        <is>
          <t>Rh</t>
        </is>
      </c>
      <c r="D49" t="n">
        <v>82.5</v>
      </c>
    </row>
    <row r="50">
      <c r="A50" t="inlineStr">
        <is>
          <t>TSP-937</t>
        </is>
      </c>
      <c r="B50" t="inlineStr">
        <is>
          <t>Slurry</t>
        </is>
      </c>
      <c r="C50" t="inlineStr">
        <is>
          <t>Rh</t>
        </is>
      </c>
      <c r="D50" t="n">
        <v>82.5</v>
      </c>
    </row>
    <row r="51">
      <c r="A51" t="inlineStr">
        <is>
          <t>TSP-959</t>
        </is>
      </c>
      <c r="B51" t="inlineStr">
        <is>
          <t>Slurry</t>
        </is>
      </c>
      <c r="C51" t="inlineStr">
        <is>
          <t>Rh</t>
        </is>
      </c>
      <c r="D51" t="n">
        <v>81.6425</v>
      </c>
    </row>
    <row r="52">
      <c r="A52" t="inlineStr">
        <is>
          <t>TSP-966</t>
        </is>
      </c>
      <c r="B52" t="inlineStr">
        <is>
          <t>Slurry</t>
        </is>
      </c>
      <c r="C52" t="inlineStr">
        <is>
          <t>Pd</t>
        </is>
      </c>
      <c r="D52" t="n">
        <v>48</v>
      </c>
    </row>
    <row r="53">
      <c r="A53" t="inlineStr">
        <is>
          <t>TSZ-616</t>
        </is>
      </c>
      <c r="B53" t="inlineStr">
        <is>
          <t>Slurry</t>
        </is>
      </c>
      <c r="C53" t="inlineStr"/>
      <c r="D53" t="n">
        <v>40</v>
      </c>
    </row>
    <row r="54">
      <c r="A54" t="inlineStr">
        <is>
          <t>TVS-267</t>
        </is>
      </c>
      <c r="B54" t="inlineStr">
        <is>
          <t>Slurry</t>
        </is>
      </c>
      <c r="C54" t="inlineStr">
        <is>
          <t>Pd</t>
        </is>
      </c>
      <c r="D54" t="n">
        <v>301.9999999999999</v>
      </c>
    </row>
    <row r="55">
      <c r="A55" t="inlineStr">
        <is>
          <t>TVS-500</t>
        </is>
      </c>
      <c r="B55" t="inlineStr">
        <is>
          <t>Slurry</t>
        </is>
      </c>
      <c r="C55" t="inlineStr">
        <is>
          <t>Pd</t>
        </is>
      </c>
      <c r="D55" t="n">
        <v>303</v>
      </c>
    </row>
    <row r="56">
      <c r="A56" t="inlineStr">
        <is>
          <t>TVS-833</t>
        </is>
      </c>
      <c r="B56" t="inlineStr">
        <is>
          <t>Slurry</t>
        </is>
      </c>
      <c r="C56" t="inlineStr">
        <is>
          <t>Pd</t>
        </is>
      </c>
      <c r="D56" t="n">
        <v>300</v>
      </c>
    </row>
    <row r="57">
      <c r="A57" t="inlineStr">
        <is>
          <t>VSP-600</t>
        </is>
      </c>
      <c r="B57" t="inlineStr">
        <is>
          <t>Slurry</t>
        </is>
      </c>
      <c r="C57" t="inlineStr">
        <is>
          <t>Pd-VW</t>
        </is>
      </c>
      <c r="D57" t="n">
        <v>112</v>
      </c>
    </row>
    <row r="58">
      <c r="A58" t="inlineStr">
        <is>
          <t>VSP-601</t>
        </is>
      </c>
      <c r="B58" t="inlineStr">
        <is>
          <t>Slurry</t>
        </is>
      </c>
      <c r="C58" t="inlineStr">
        <is>
          <t>Pd-VW</t>
        </is>
      </c>
      <c r="D58" t="n">
        <v>104.895</v>
      </c>
    </row>
    <row r="59">
      <c r="A59" t="inlineStr">
        <is>
          <t>VSP-602</t>
        </is>
      </c>
      <c r="B59" t="inlineStr">
        <is>
          <t>Slurry</t>
        </is>
      </c>
      <c r="C59" t="inlineStr">
        <is>
          <t>Rh-VW</t>
        </is>
      </c>
      <c r="D59" t="n">
        <v>105.6</v>
      </c>
    </row>
    <row r="60">
      <c r="A60" t="inlineStr">
        <is>
          <t>VSP-820</t>
        </is>
      </c>
      <c r="B60" t="inlineStr">
        <is>
          <t>Slurry</t>
        </is>
      </c>
      <c r="C60" t="inlineStr">
        <is>
          <t>Pd-VW</t>
        </is>
      </c>
      <c r="D60" t="n">
        <v>134.97</v>
      </c>
    </row>
    <row r="61">
      <c r="A61" t="inlineStr">
        <is>
          <t>VSP-822</t>
        </is>
      </c>
      <c r="B61" t="inlineStr">
        <is>
          <t>Slurry</t>
        </is>
      </c>
      <c r="C61" t="inlineStr">
        <is>
          <t>Rh-VW</t>
        </is>
      </c>
      <c r="D61" t="n">
        <v>113.85</v>
      </c>
    </row>
    <row r="62">
      <c r="A62" t="inlineStr">
        <is>
          <t>VSP-910</t>
        </is>
      </c>
      <c r="B62" t="inlineStr">
        <is>
          <t>Slurry</t>
        </is>
      </c>
      <c r="C62" t="inlineStr">
        <is>
          <t>Rh-VW</t>
        </is>
      </c>
      <c r="D62" t="n">
        <v>91.8</v>
      </c>
    </row>
    <row r="63">
      <c r="A63" t="inlineStr">
        <is>
          <t>VSP-989</t>
        </is>
      </c>
      <c r="B63" t="inlineStr">
        <is>
          <t>Slurry</t>
        </is>
      </c>
      <c r="C63" t="inlineStr">
        <is>
          <t>Pd-VW</t>
        </is>
      </c>
      <c r="D63" t="n">
        <v>94.5</v>
      </c>
    </row>
    <row r="64">
      <c r="A64" t="inlineStr">
        <is>
          <t>VSP-990</t>
        </is>
      </c>
      <c r="B64" t="inlineStr">
        <is>
          <t>Slurry</t>
        </is>
      </c>
      <c r="C64" t="inlineStr">
        <is>
          <t>Rh-VW</t>
        </is>
      </c>
      <c r="D64" t="n">
        <v>81</v>
      </c>
    </row>
    <row r="65">
      <c r="A65" t="inlineStr">
        <is>
          <t>TPP-190</t>
        </is>
      </c>
      <c r="B65" t="inlineStr">
        <is>
          <t>Powder</t>
        </is>
      </c>
      <c r="C65" t="inlineStr">
        <is>
          <t>Pd</t>
        </is>
      </c>
      <c r="D65" t="n">
        <v>72.05</v>
      </c>
    </row>
    <row r="66">
      <c r="A66" t="inlineStr">
        <is>
          <t>TPP-204</t>
        </is>
      </c>
      <c r="B66" t="inlineStr">
        <is>
          <t>Powder</t>
        </is>
      </c>
      <c r="C66" t="inlineStr">
        <is>
          <t>Pd</t>
        </is>
      </c>
      <c r="D66" t="n">
        <v>44.05</v>
      </c>
    </row>
    <row r="67">
      <c r="A67" t="inlineStr">
        <is>
          <t>TPP-350</t>
        </is>
      </c>
      <c r="B67" t="inlineStr">
        <is>
          <t>Powder</t>
        </is>
      </c>
      <c r="C67" t="inlineStr">
        <is>
          <t>Pd</t>
        </is>
      </c>
      <c r="D67" t="n">
        <v>102.71</v>
      </c>
    </row>
    <row r="68">
      <c r="A68" t="inlineStr">
        <is>
          <t>TPP-356</t>
        </is>
      </c>
      <c r="B68" t="inlineStr">
        <is>
          <t>Powder</t>
        </is>
      </c>
      <c r="C68" t="inlineStr">
        <is>
          <t>Pd</t>
        </is>
      </c>
      <c r="D68" t="n">
        <v>89.3</v>
      </c>
    </row>
    <row r="69">
      <c r="A69" t="inlineStr">
        <is>
          <t>TPP-358</t>
        </is>
      </c>
      <c r="B69" t="inlineStr">
        <is>
          <t>Powder</t>
        </is>
      </c>
      <c r="C69" t="inlineStr">
        <is>
          <t>Rh</t>
        </is>
      </c>
      <c r="D69" t="n">
        <v>64.40000000000001</v>
      </c>
    </row>
    <row r="70">
      <c r="A70" t="inlineStr">
        <is>
          <t>TPP-527</t>
        </is>
      </c>
      <c r="B70" t="inlineStr">
        <is>
          <t>Powder</t>
        </is>
      </c>
      <c r="C70" t="inlineStr">
        <is>
          <t>Pd</t>
        </is>
      </c>
      <c r="D70" t="n">
        <v>114.45</v>
      </c>
    </row>
    <row r="71">
      <c r="A71" t="inlineStr">
        <is>
          <t>TPP-537</t>
        </is>
      </c>
      <c r="B71" t="inlineStr">
        <is>
          <t>Powder</t>
        </is>
      </c>
      <c r="C71" t="inlineStr">
        <is>
          <t>Pd</t>
        </is>
      </c>
      <c r="D71" t="n">
        <v>35.58</v>
      </c>
    </row>
    <row r="72">
      <c r="A72" t="inlineStr">
        <is>
          <t>TPP-609</t>
        </is>
      </c>
      <c r="B72" t="inlineStr">
        <is>
          <t>Powder</t>
        </is>
      </c>
      <c r="C72" t="inlineStr">
        <is>
          <t>Pd</t>
        </is>
      </c>
      <c r="D72" t="n">
        <v>42.52</v>
      </c>
    </row>
    <row r="73">
      <c r="A73" t="inlineStr">
        <is>
          <t>TPP-611</t>
        </is>
      </c>
      <c r="B73" t="inlineStr">
        <is>
          <t>Powder</t>
        </is>
      </c>
      <c r="C73" t="inlineStr">
        <is>
          <t>Rh</t>
        </is>
      </c>
      <c r="D73" t="n">
        <v>17.88</v>
      </c>
    </row>
    <row r="74">
      <c r="A74" t="inlineStr">
        <is>
          <t>TPP-613</t>
        </is>
      </c>
      <c r="B74" t="inlineStr">
        <is>
          <t>Powder</t>
        </is>
      </c>
      <c r="C74" t="inlineStr">
        <is>
          <t>Rh</t>
        </is>
      </c>
      <c r="D74" t="n">
        <v>17.82</v>
      </c>
    </row>
    <row r="75">
      <c r="A75" t="inlineStr">
        <is>
          <t>TPP-635</t>
        </is>
      </c>
      <c r="B75" t="inlineStr">
        <is>
          <t>Powder</t>
        </is>
      </c>
      <c r="C75" t="inlineStr">
        <is>
          <t>Rh</t>
        </is>
      </c>
      <c r="D75" t="n">
        <v>44.26</v>
      </c>
    </row>
    <row r="76">
      <c r="A76" t="inlineStr">
        <is>
          <t>TPP-650</t>
        </is>
      </c>
      <c r="B76" t="inlineStr">
        <is>
          <t>Powder</t>
        </is>
      </c>
      <c r="C76" t="inlineStr">
        <is>
          <t>Pd</t>
        </is>
      </c>
      <c r="D76" t="n">
        <v>58.21</v>
      </c>
    </row>
    <row r="77">
      <c r="A77" t="inlineStr">
        <is>
          <t>TPP-704</t>
        </is>
      </c>
      <c r="B77" t="inlineStr">
        <is>
          <t>Powder</t>
        </is>
      </c>
      <c r="C77" t="inlineStr">
        <is>
          <t>Pd</t>
        </is>
      </c>
      <c r="D77" t="n">
        <v>123.03</v>
      </c>
    </row>
    <row r="78">
      <c r="A78" t="inlineStr">
        <is>
          <t>TPP-911</t>
        </is>
      </c>
      <c r="B78" t="inlineStr">
        <is>
          <t>Powder</t>
        </is>
      </c>
      <c r="C78" t="inlineStr">
        <is>
          <t>Pd</t>
        </is>
      </c>
      <c r="D78" t="n">
        <v>52.15</v>
      </c>
    </row>
    <row r="79">
      <c r="A79" t="inlineStr">
        <is>
          <t>TPP-912</t>
        </is>
      </c>
      <c r="B79" t="inlineStr">
        <is>
          <t>Powder</t>
        </is>
      </c>
      <c r="C79" t="inlineStr">
        <is>
          <t>Pd</t>
        </is>
      </c>
      <c r="D79" t="n">
        <v>51.73</v>
      </c>
    </row>
    <row r="80">
      <c r="A80" t="inlineStr">
        <is>
          <t>TPP-914</t>
        </is>
      </c>
      <c r="B80" t="inlineStr">
        <is>
          <t>Powder</t>
        </is>
      </c>
      <c r="C80" t="inlineStr">
        <is>
          <t>Rh</t>
        </is>
      </c>
      <c r="D80" t="n">
        <v>25.69</v>
      </c>
    </row>
    <row r="81">
      <c r="A81" t="inlineStr">
        <is>
          <t>TPP-915</t>
        </is>
      </c>
      <c r="B81" t="inlineStr">
        <is>
          <t>Powder</t>
        </is>
      </c>
      <c r="C81" t="inlineStr">
        <is>
          <t>Rh</t>
        </is>
      </c>
      <c r="D81" t="n">
        <v>25.35</v>
      </c>
    </row>
    <row r="82">
      <c r="A82" t="inlineStr">
        <is>
          <t>TPP-916</t>
        </is>
      </c>
      <c r="B82" t="inlineStr">
        <is>
          <t>Powder</t>
        </is>
      </c>
      <c r="C82" t="inlineStr">
        <is>
          <t>Rh</t>
        </is>
      </c>
      <c r="D82" t="n">
        <v>25.91</v>
      </c>
    </row>
    <row r="83">
      <c r="A83" t="inlineStr">
        <is>
          <t>TPP-917</t>
        </is>
      </c>
      <c r="B83" t="inlineStr">
        <is>
          <t>Powder</t>
        </is>
      </c>
      <c r="C83" t="inlineStr">
        <is>
          <t>Rh</t>
        </is>
      </c>
      <c r="D83" t="n">
        <v>25.89</v>
      </c>
    </row>
    <row r="84">
      <c r="A84" t="inlineStr">
        <is>
          <t>TPP-919</t>
        </is>
      </c>
      <c r="B84" t="inlineStr">
        <is>
          <t>Powder</t>
        </is>
      </c>
      <c r="C84" t="inlineStr">
        <is>
          <t>Rh</t>
        </is>
      </c>
      <c r="D84" t="n">
        <v>17.44</v>
      </c>
    </row>
    <row r="85">
      <c r="A85" t="inlineStr">
        <is>
          <t>TPP-920</t>
        </is>
      </c>
      <c r="B85" t="inlineStr">
        <is>
          <t>Powder</t>
        </is>
      </c>
      <c r="C85" t="inlineStr">
        <is>
          <t>Rh</t>
        </is>
      </c>
      <c r="D85" t="n">
        <v>18.05</v>
      </c>
    </row>
    <row r="86">
      <c r="A86" t="inlineStr">
        <is>
          <t>TPP-922</t>
        </is>
      </c>
      <c r="B86" t="inlineStr">
        <is>
          <t>Powder</t>
        </is>
      </c>
      <c r="C86" t="inlineStr">
        <is>
          <t>Rh</t>
        </is>
      </c>
      <c r="D86" t="n">
        <v>17.69</v>
      </c>
    </row>
    <row r="87">
      <c r="A87" t="inlineStr">
        <is>
          <t>TPP-923</t>
        </is>
      </c>
      <c r="B87" t="inlineStr">
        <is>
          <t>Powder</t>
        </is>
      </c>
      <c r="C87" t="inlineStr">
        <is>
          <t>Rh</t>
        </is>
      </c>
      <c r="D87" t="n">
        <v>17.67</v>
      </c>
    </row>
    <row r="88">
      <c r="A88" t="inlineStr">
        <is>
          <t>TPP-970</t>
        </is>
      </c>
      <c r="B88" t="inlineStr">
        <is>
          <t>Powder</t>
        </is>
      </c>
      <c r="C88" t="inlineStr">
        <is>
          <t>Pd</t>
        </is>
      </c>
      <c r="D88" t="n">
        <v>38.27</v>
      </c>
    </row>
    <row r="89">
      <c r="A89" t="inlineStr">
        <is>
          <t>20p</t>
        </is>
      </c>
      <c r="B89" t="inlineStr">
        <is>
          <t>Unknown</t>
        </is>
      </c>
      <c r="C89" t="inlineStr"/>
      <c r="D89" t="n">
        <v>1</v>
      </c>
    </row>
    <row r="90">
      <c r="A90" t="inlineStr">
        <is>
          <t>TPP-1459</t>
        </is>
      </c>
      <c r="B90" t="inlineStr">
        <is>
          <t>Powder</t>
        </is>
      </c>
      <c r="C90" t="inlineStr"/>
      <c r="D90" t="n">
        <v>1</v>
      </c>
    </row>
    <row r="91">
      <c r="A91" t="inlineStr">
        <is>
          <t>TPP-1466</t>
        </is>
      </c>
      <c r="B91" t="inlineStr">
        <is>
          <t>Powder</t>
        </is>
      </c>
      <c r="C91" t="inlineStr"/>
      <c r="D91" t="n">
        <v>1</v>
      </c>
    </row>
    <row r="92">
      <c r="A92" t="inlineStr">
        <is>
          <t>TPP-2245</t>
        </is>
      </c>
      <c r="B92" t="inlineStr">
        <is>
          <t>Powder</t>
        </is>
      </c>
      <c r="C92" t="inlineStr"/>
      <c r="D92" t="n">
        <v>1</v>
      </c>
    </row>
    <row r="93">
      <c r="A93" t="inlineStr">
        <is>
          <t>TPP-533(98%)</t>
        </is>
      </c>
      <c r="B93" t="inlineStr">
        <is>
          <t>Powder</t>
        </is>
      </c>
      <c r="C93" t="inlineStr"/>
      <c r="D93" t="n">
        <v>1</v>
      </c>
    </row>
    <row r="94">
      <c r="A94" t="inlineStr">
        <is>
          <t>TPP-533(A)</t>
        </is>
      </c>
      <c r="B94" t="inlineStr">
        <is>
          <t>Powder</t>
        </is>
      </c>
      <c r="C94" t="inlineStr"/>
      <c r="D94" t="n">
        <v>1</v>
      </c>
    </row>
    <row r="95">
      <c r="A95" t="inlineStr">
        <is>
          <t>TSP-077</t>
        </is>
      </c>
      <c r="B95" t="inlineStr">
        <is>
          <t>Slurry</t>
        </is>
      </c>
      <c r="C95" t="inlineStr"/>
      <c r="D95" t="n">
        <v>1</v>
      </c>
    </row>
    <row r="96">
      <c r="A96" t="inlineStr">
        <is>
          <t>TSP-088</t>
        </is>
      </c>
      <c r="B96" t="inlineStr">
        <is>
          <t>Slurry</t>
        </is>
      </c>
      <c r="C96" t="inlineStr"/>
      <c r="D96" t="n">
        <v>1</v>
      </c>
    </row>
    <row r="97">
      <c r="A97" t="inlineStr">
        <is>
          <t>TSP-089</t>
        </is>
      </c>
      <c r="B97" t="inlineStr">
        <is>
          <t>Slurry</t>
        </is>
      </c>
      <c r="C97" t="inlineStr"/>
      <c r="D97" t="n">
        <v>1</v>
      </c>
    </row>
    <row r="98">
      <c r="A98" t="inlineStr">
        <is>
          <t>TSP-1499</t>
        </is>
      </c>
      <c r="B98" t="inlineStr">
        <is>
          <t>Slurry</t>
        </is>
      </c>
      <c r="C98" t="inlineStr"/>
      <c r="D98" t="n">
        <v>1</v>
      </c>
    </row>
    <row r="99">
      <c r="A99" t="inlineStr">
        <is>
          <t>TSP-1558</t>
        </is>
      </c>
      <c r="B99" t="inlineStr">
        <is>
          <t>Slurry</t>
        </is>
      </c>
      <c r="C99" t="inlineStr"/>
      <c r="D99" t="n">
        <v>1</v>
      </c>
    </row>
    <row r="100">
      <c r="A100" t="inlineStr">
        <is>
          <t>TSP-1559</t>
        </is>
      </c>
      <c r="B100" t="inlineStr">
        <is>
          <t>Slurry</t>
        </is>
      </c>
      <c r="C100" t="inlineStr"/>
      <c r="D100" t="n">
        <v>1</v>
      </c>
    </row>
    <row r="101">
      <c r="A101" t="inlineStr">
        <is>
          <t>TSP-2157</t>
        </is>
      </c>
      <c r="B101" t="inlineStr">
        <is>
          <t>Slurry</t>
        </is>
      </c>
      <c r="C101" t="inlineStr"/>
      <c r="D101" t="n">
        <v>1</v>
      </c>
    </row>
    <row r="102">
      <c r="A102" t="inlineStr">
        <is>
          <t>TSP-2168</t>
        </is>
      </c>
      <c r="B102" t="inlineStr">
        <is>
          <t>Slurry</t>
        </is>
      </c>
      <c r="C102" t="inlineStr"/>
      <c r="D102" t="n">
        <v>1</v>
      </c>
    </row>
    <row r="103">
      <c r="A103" t="inlineStr">
        <is>
          <t>TSP-218</t>
        </is>
      </c>
      <c r="B103" t="inlineStr">
        <is>
          <t>Slurry</t>
        </is>
      </c>
      <c r="C103" t="inlineStr"/>
      <c r="D103" t="n">
        <v>1</v>
      </c>
    </row>
    <row r="104">
      <c r="A104" t="inlineStr">
        <is>
          <t>TSP-219</t>
        </is>
      </c>
      <c r="B104" t="inlineStr">
        <is>
          <t>Slurry</t>
        </is>
      </c>
      <c r="C104" t="inlineStr"/>
      <c r="D104" t="n">
        <v>1</v>
      </c>
    </row>
    <row r="105">
      <c r="A105" t="inlineStr">
        <is>
          <t>TSP-390</t>
        </is>
      </c>
      <c r="B105" t="inlineStr">
        <is>
          <t>Slurry</t>
        </is>
      </c>
      <c r="C105" t="inlineStr"/>
      <c r="D105" t="n">
        <v>1</v>
      </c>
    </row>
    <row r="106">
      <c r="A106" t="inlineStr">
        <is>
          <t>TSP-399</t>
        </is>
      </c>
      <c r="B106" t="inlineStr">
        <is>
          <t>Slurry</t>
        </is>
      </c>
      <c r="C106" t="inlineStr"/>
      <c r="D106" t="n">
        <v>1</v>
      </c>
    </row>
    <row r="107">
      <c r="A107" t="inlineStr">
        <is>
          <t>TSP-699</t>
        </is>
      </c>
      <c r="B107" t="inlineStr">
        <is>
          <t>Slurry</t>
        </is>
      </c>
      <c r="C107" t="inlineStr"/>
      <c r="D107" t="n">
        <v>1</v>
      </c>
    </row>
    <row r="108">
      <c r="A108" t="inlineStr">
        <is>
          <t>VSP-567</t>
        </is>
      </c>
      <c r="B108" t="inlineStr">
        <is>
          <t>Unknown</t>
        </is>
      </c>
      <c r="C108" t="inlineStr"/>
      <c r="D108" t="n">
        <v>1</v>
      </c>
    </row>
    <row r="109">
      <c r="A109" t="inlineStr">
        <is>
          <t>VSP-603</t>
        </is>
      </c>
      <c r="B109" t="inlineStr">
        <is>
          <t>Unknown</t>
        </is>
      </c>
      <c r="C109" t="inlineStr"/>
      <c r="D109" t="n">
        <v>1</v>
      </c>
    </row>
    <row r="110">
      <c r="A110" t="inlineStr">
        <is>
          <t>VSP-604</t>
        </is>
      </c>
      <c r="B110" t="inlineStr">
        <is>
          <t>Unknown</t>
        </is>
      </c>
      <c r="C110" t="inlineStr"/>
      <c r="D110" t="n">
        <v>1</v>
      </c>
    </row>
    <row r="111">
      <c r="A111" t="inlineStr">
        <is>
          <t>VSP-605</t>
        </is>
      </c>
      <c r="B111" t="inlineStr">
        <is>
          <t>Unknown</t>
        </is>
      </c>
      <c r="C111" t="inlineStr"/>
      <c r="D111" t="n">
        <v>1</v>
      </c>
    </row>
    <row r="112">
      <c r="A112" t="inlineStr">
        <is>
          <t>VSP-606</t>
        </is>
      </c>
      <c r="B112" t="inlineStr">
        <is>
          <t>Unknown</t>
        </is>
      </c>
      <c r="C112" t="inlineStr"/>
      <c r="D112" t="n">
        <v>1</v>
      </c>
    </row>
    <row r="113">
      <c r="A113" t="inlineStr">
        <is>
          <t>VSP-607</t>
        </is>
      </c>
      <c r="B113" t="inlineStr">
        <is>
          <t>Unknown</t>
        </is>
      </c>
      <c r="C113" t="inlineStr"/>
      <c r="D113" t="n">
        <v>1</v>
      </c>
    </row>
    <row r="114">
      <c r="A114" t="inlineStr">
        <is>
          <t>VSP-738</t>
        </is>
      </c>
      <c r="B114" t="inlineStr">
        <is>
          <t>Unknown</t>
        </is>
      </c>
      <c r="C114" t="inlineStr"/>
      <c r="D114" t="n">
        <v>1</v>
      </c>
    </row>
    <row r="115">
      <c r="A115" t="inlineStr">
        <is>
          <t>VSP-739</t>
        </is>
      </c>
      <c r="B115" t="inlineStr">
        <is>
          <t>Unknown</t>
        </is>
      </c>
      <c r="C115" t="inlineStr"/>
      <c r="D115" t="n">
        <v>1</v>
      </c>
    </row>
    <row r="116">
      <c r="A116" t="inlineStr">
        <is>
          <t>VSP-740</t>
        </is>
      </c>
      <c r="B116" t="inlineStr">
        <is>
          <t>Unknown</t>
        </is>
      </c>
      <c r="C116" t="inlineStr"/>
      <c r="D116" t="n">
        <v>1</v>
      </c>
    </row>
    <row r="117">
      <c r="A117" t="inlineStr">
        <is>
          <t>VSP-746</t>
        </is>
      </c>
      <c r="B117" t="inlineStr">
        <is>
          <t>Unknown</t>
        </is>
      </c>
      <c r="C117" t="inlineStr"/>
      <c r="D117" t="n">
        <v>1</v>
      </c>
    </row>
    <row r="118">
      <c r="A118" t="inlineStr">
        <is>
          <t>VSP-869</t>
        </is>
      </c>
      <c r="B118" t="inlineStr">
        <is>
          <t>Unknown</t>
        </is>
      </c>
      <c r="C118" t="inlineStr"/>
      <c r="D118" t="n">
        <v>1</v>
      </c>
    </row>
    <row r="119">
      <c r="A119" t="inlineStr">
        <is>
          <t>VSP-870</t>
        </is>
      </c>
      <c r="B119" t="inlineStr">
        <is>
          <t>Unknown</t>
        </is>
      </c>
      <c r="C119" t="inlineStr"/>
      <c r="D119" t="n">
        <v>1</v>
      </c>
    </row>
    <row r="120">
      <c r="A120" t="inlineStr">
        <is>
          <t>VSZ-745</t>
        </is>
      </c>
      <c r="B120" t="inlineStr">
        <is>
          <t>Unknown</t>
        </is>
      </c>
      <c r="C120" t="inlineStr"/>
      <c r="D120" t="n">
        <v>1</v>
      </c>
    </row>
    <row r="121">
      <c r="A121" t="inlineStr">
        <is>
          <t>0Q110</t>
        </is>
      </c>
      <c r="B121" t="inlineStr">
        <is>
          <t>Cat</t>
        </is>
      </c>
      <c r="C121" t="inlineStr"/>
      <c r="D121" t="n">
        <v>1</v>
      </c>
    </row>
    <row r="122">
      <c r="A122" t="inlineStr">
        <is>
          <t>0TA30</t>
        </is>
      </c>
      <c r="B122" t="inlineStr">
        <is>
          <t>Cat</t>
        </is>
      </c>
      <c r="C122" t="inlineStr"/>
      <c r="D122" t="n">
        <v>1</v>
      </c>
    </row>
    <row r="123">
      <c r="A123" t="inlineStr">
        <is>
          <t>Ester Film</t>
        </is>
      </c>
      <c r="B123" t="inlineStr">
        <is>
          <t>Cat</t>
        </is>
      </c>
      <c r="C123" t="inlineStr"/>
      <c r="D123" t="n">
        <v>1</v>
      </c>
    </row>
    <row r="124">
      <c r="A124" t="inlineStr">
        <is>
          <t>F2090</t>
        </is>
      </c>
      <c r="B124" t="inlineStr">
        <is>
          <t>Cat</t>
        </is>
      </c>
      <c r="C124" t="inlineStr"/>
      <c r="D124" t="n">
        <v>1</v>
      </c>
    </row>
    <row r="125">
      <c r="A125" t="inlineStr">
        <is>
          <t>F2290</t>
        </is>
      </c>
      <c r="B125" t="inlineStr">
        <is>
          <t>Cat</t>
        </is>
      </c>
      <c r="C125" t="inlineStr"/>
      <c r="D125" t="n">
        <v>1</v>
      </c>
    </row>
    <row r="126">
      <c r="A126" t="inlineStr">
        <is>
          <t>K0050</t>
        </is>
      </c>
      <c r="B126" t="inlineStr">
        <is>
          <t>Cat</t>
        </is>
      </c>
      <c r="C126" t="inlineStr"/>
      <c r="D126" t="n">
        <v>1</v>
      </c>
    </row>
    <row r="127">
      <c r="A127" t="inlineStr">
        <is>
          <t>PP Film</t>
        </is>
      </c>
      <c r="B127" t="inlineStr">
        <is>
          <t>Cat</t>
        </is>
      </c>
      <c r="C127" t="inlineStr"/>
      <c r="D127" t="n">
        <v>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</cols>
  <sheetData>
    <row r="1">
      <c r="A1" s="20" t="inlineStr">
        <is>
          <t>Intermediate</t>
        </is>
      </c>
      <c r="B1" s="20" t="inlineStr">
        <is>
          <t>Product_Code</t>
        </is>
      </c>
    </row>
    <row r="2">
      <c r="A2" t="inlineStr">
        <is>
          <t>TPP-190</t>
        </is>
      </c>
      <c r="B2" t="inlineStr">
        <is>
          <t>0W780</t>
        </is>
      </c>
    </row>
    <row r="3">
      <c r="A3" t="inlineStr">
        <is>
          <t>TPP-204</t>
        </is>
      </c>
      <c r="B3" t="inlineStr">
        <is>
          <t>0W780</t>
        </is>
      </c>
    </row>
    <row r="4">
      <c r="A4" t="inlineStr">
        <is>
          <t>TPP-350</t>
        </is>
      </c>
      <c r="B4" t="inlineStr">
        <is>
          <t>0T490</t>
        </is>
      </c>
    </row>
    <row r="5">
      <c r="A5" t="inlineStr">
        <is>
          <t>TPP-350</t>
        </is>
      </c>
      <c r="B5" t="inlineStr">
        <is>
          <t>0T500</t>
        </is>
      </c>
    </row>
    <row r="6">
      <c r="A6" t="inlineStr">
        <is>
          <t>TPP-356</t>
        </is>
      </c>
      <c r="B6" t="inlineStr">
        <is>
          <t>0T420</t>
        </is>
      </c>
    </row>
    <row r="7">
      <c r="A7" t="inlineStr">
        <is>
          <t>TPP-356</t>
        </is>
      </c>
      <c r="B7" t="inlineStr">
        <is>
          <t>0T470</t>
        </is>
      </c>
    </row>
    <row r="8">
      <c r="A8" t="inlineStr">
        <is>
          <t>TPP-356</t>
        </is>
      </c>
      <c r="B8" t="inlineStr">
        <is>
          <t>0T480</t>
        </is>
      </c>
    </row>
    <row r="9">
      <c r="A9" t="inlineStr">
        <is>
          <t>TPP-356</t>
        </is>
      </c>
      <c r="B9" t="inlineStr">
        <is>
          <t>0T490</t>
        </is>
      </c>
    </row>
    <row r="10">
      <c r="A10" t="inlineStr">
        <is>
          <t>TPP-356</t>
        </is>
      </c>
      <c r="B10" t="inlineStr">
        <is>
          <t>0T500</t>
        </is>
      </c>
    </row>
    <row r="11">
      <c r="A11" t="inlineStr">
        <is>
          <t>TPP-358</t>
        </is>
      </c>
      <c r="B11" t="inlineStr">
        <is>
          <t>0T420</t>
        </is>
      </c>
    </row>
    <row r="12">
      <c r="A12" t="inlineStr">
        <is>
          <t>TPP-358</t>
        </is>
      </c>
      <c r="B12" t="inlineStr">
        <is>
          <t>0T470</t>
        </is>
      </c>
    </row>
    <row r="13">
      <c r="A13" t="inlineStr">
        <is>
          <t>TPP-358</t>
        </is>
      </c>
      <c r="B13" t="inlineStr">
        <is>
          <t>0T490</t>
        </is>
      </c>
    </row>
    <row r="14">
      <c r="A14" t="inlineStr">
        <is>
          <t>TPP-358</t>
        </is>
      </c>
      <c r="B14" t="inlineStr">
        <is>
          <t>0T500</t>
        </is>
      </c>
    </row>
    <row r="15">
      <c r="A15" t="inlineStr">
        <is>
          <t>TPP-527</t>
        </is>
      </c>
      <c r="B15" t="inlineStr">
        <is>
          <t>0T480</t>
        </is>
      </c>
    </row>
    <row r="16">
      <c r="A16" t="inlineStr">
        <is>
          <t>TPP-537</t>
        </is>
      </c>
      <c r="B16" t="inlineStr">
        <is>
          <t>0T480</t>
        </is>
      </c>
    </row>
    <row r="17">
      <c r="A17" t="inlineStr">
        <is>
          <t>TPP-609</t>
        </is>
      </c>
      <c r="B17" t="inlineStr">
        <is>
          <t>F0220</t>
        </is>
      </c>
    </row>
    <row r="18">
      <c r="A18" t="inlineStr">
        <is>
          <t>TPP-609</t>
        </is>
      </c>
      <c r="B18" t="inlineStr">
        <is>
          <t>F2100</t>
        </is>
      </c>
    </row>
    <row r="19">
      <c r="A19" t="inlineStr">
        <is>
          <t>TPP-611</t>
        </is>
      </c>
      <c r="B19" t="inlineStr">
        <is>
          <t>F2100</t>
        </is>
      </c>
    </row>
    <row r="20">
      <c r="A20" t="inlineStr">
        <is>
          <t>TPP-613</t>
        </is>
      </c>
      <c r="B20" t="inlineStr">
        <is>
          <t>F0220</t>
        </is>
      </c>
    </row>
    <row r="21">
      <c r="A21" t="inlineStr">
        <is>
          <t>TPP-635</t>
        </is>
      </c>
      <c r="B21" t="inlineStr">
        <is>
          <t>0T730</t>
        </is>
      </c>
    </row>
    <row r="22">
      <c r="A22" t="inlineStr">
        <is>
          <t>TPP-650</t>
        </is>
      </c>
      <c r="B22" t="inlineStr">
        <is>
          <t>0Q110</t>
        </is>
      </c>
    </row>
    <row r="23">
      <c r="A23" t="inlineStr">
        <is>
          <t>TPP-650</t>
        </is>
      </c>
      <c r="B23" t="inlineStr">
        <is>
          <t>0Y460</t>
        </is>
      </c>
    </row>
    <row r="24">
      <c r="A24" t="inlineStr">
        <is>
          <t>TPP-650</t>
        </is>
      </c>
      <c r="B24" t="inlineStr">
        <is>
          <t>F2090</t>
        </is>
      </c>
    </row>
    <row r="25">
      <c r="A25" t="inlineStr">
        <is>
          <t>TPP-704</t>
        </is>
      </c>
      <c r="B25" t="inlineStr">
        <is>
          <t>0T420</t>
        </is>
      </c>
    </row>
    <row r="26">
      <c r="A26" t="inlineStr">
        <is>
          <t>TPP-704</t>
        </is>
      </c>
      <c r="B26" t="inlineStr">
        <is>
          <t>0T470</t>
        </is>
      </c>
    </row>
    <row r="27">
      <c r="A27" t="inlineStr">
        <is>
          <t>TPP-911</t>
        </is>
      </c>
      <c r="B27" t="inlineStr">
        <is>
          <t>K0030</t>
        </is>
      </c>
    </row>
    <row r="28">
      <c r="A28" t="inlineStr">
        <is>
          <t>TPP-911</t>
        </is>
      </c>
      <c r="B28" t="inlineStr">
        <is>
          <t>0T690</t>
        </is>
      </c>
    </row>
    <row r="29">
      <c r="A29" t="inlineStr">
        <is>
          <t>TPP-911</t>
        </is>
      </c>
      <c r="B29" t="inlineStr">
        <is>
          <t>0T720</t>
        </is>
      </c>
    </row>
    <row r="30">
      <c r="A30" t="inlineStr">
        <is>
          <t>TPP-911</t>
        </is>
      </c>
      <c r="B30" t="inlineStr">
        <is>
          <t>0T740</t>
        </is>
      </c>
    </row>
    <row r="31">
      <c r="A31" t="inlineStr">
        <is>
          <t>TPP-911</t>
        </is>
      </c>
      <c r="B31" t="inlineStr">
        <is>
          <t>F2180</t>
        </is>
      </c>
    </row>
    <row r="32">
      <c r="A32" t="inlineStr">
        <is>
          <t>TPP-911</t>
        </is>
      </c>
      <c r="B32" t="inlineStr">
        <is>
          <t>F2210</t>
        </is>
      </c>
    </row>
    <row r="33">
      <c r="A33" t="inlineStr">
        <is>
          <t>TPP-912</t>
        </is>
      </c>
      <c r="B33" t="inlineStr">
        <is>
          <t>0T750</t>
        </is>
      </c>
    </row>
    <row r="34">
      <c r="A34" t="inlineStr">
        <is>
          <t>TPP-914</t>
        </is>
      </c>
      <c r="B34" t="inlineStr">
        <is>
          <t>F2180</t>
        </is>
      </c>
    </row>
    <row r="35">
      <c r="A35" t="inlineStr">
        <is>
          <t>TPP-914</t>
        </is>
      </c>
      <c r="B35" t="inlineStr">
        <is>
          <t>F2210</t>
        </is>
      </c>
    </row>
    <row r="36">
      <c r="A36" t="inlineStr">
        <is>
          <t>TPP-915</t>
        </is>
      </c>
      <c r="B36" t="inlineStr">
        <is>
          <t>K0030</t>
        </is>
      </c>
    </row>
    <row r="37">
      <c r="A37" t="inlineStr">
        <is>
          <t>TPP-915</t>
        </is>
      </c>
      <c r="B37" t="inlineStr">
        <is>
          <t>0T690</t>
        </is>
      </c>
    </row>
    <row r="38">
      <c r="A38" t="inlineStr">
        <is>
          <t>TPP-915</t>
        </is>
      </c>
      <c r="B38" t="inlineStr">
        <is>
          <t>0T720</t>
        </is>
      </c>
    </row>
    <row r="39">
      <c r="A39" t="inlineStr">
        <is>
          <t>TPP-916</t>
        </is>
      </c>
      <c r="B39" t="inlineStr">
        <is>
          <t>0T740</t>
        </is>
      </c>
    </row>
    <row r="40">
      <c r="A40" t="inlineStr">
        <is>
          <t>TPP-917</t>
        </is>
      </c>
      <c r="B40" t="inlineStr">
        <is>
          <t>0T750</t>
        </is>
      </c>
    </row>
    <row r="41">
      <c r="A41" t="inlineStr">
        <is>
          <t>TPP-919</t>
        </is>
      </c>
      <c r="B41" t="inlineStr">
        <is>
          <t>F2180</t>
        </is>
      </c>
    </row>
    <row r="42">
      <c r="A42" t="inlineStr">
        <is>
          <t>TPP-919</t>
        </is>
      </c>
      <c r="B42" t="inlineStr">
        <is>
          <t>F2210</t>
        </is>
      </c>
    </row>
    <row r="43">
      <c r="A43" t="inlineStr">
        <is>
          <t>TPP-920</t>
        </is>
      </c>
      <c r="B43" t="inlineStr">
        <is>
          <t>K0030</t>
        </is>
      </c>
    </row>
    <row r="44">
      <c r="A44" t="inlineStr">
        <is>
          <t>TPP-920</t>
        </is>
      </c>
      <c r="B44" t="inlineStr">
        <is>
          <t>0T690</t>
        </is>
      </c>
    </row>
    <row r="45">
      <c r="A45" t="inlineStr">
        <is>
          <t>TPP-920</t>
        </is>
      </c>
      <c r="B45" t="inlineStr">
        <is>
          <t>0T720</t>
        </is>
      </c>
    </row>
    <row r="46">
      <c r="A46" t="inlineStr">
        <is>
          <t>TPP-922</t>
        </is>
      </c>
      <c r="B46" t="inlineStr">
        <is>
          <t>0T740</t>
        </is>
      </c>
    </row>
    <row r="47">
      <c r="A47" t="inlineStr">
        <is>
          <t>TPP-923</t>
        </is>
      </c>
      <c r="B47" t="inlineStr">
        <is>
          <t>0T750</t>
        </is>
      </c>
    </row>
    <row r="48">
      <c r="A48" t="inlineStr">
        <is>
          <t>TPP-970</t>
        </is>
      </c>
      <c r="B48" t="inlineStr">
        <is>
          <t>K0050</t>
        </is>
      </c>
    </row>
    <row r="49">
      <c r="A49" t="inlineStr">
        <is>
          <t>TPP-970</t>
        </is>
      </c>
      <c r="B49" t="inlineStr">
        <is>
          <t>0Q120</t>
        </is>
      </c>
    </row>
    <row r="50">
      <c r="A50" t="inlineStr">
        <is>
          <t>TSP-049</t>
        </is>
      </c>
      <c r="B50" t="inlineStr">
        <is>
          <t>0T180</t>
        </is>
      </c>
    </row>
    <row r="51">
      <c r="A51" t="inlineStr">
        <is>
          <t>TSP-049</t>
        </is>
      </c>
      <c r="B51" t="inlineStr">
        <is>
          <t>0T410</t>
        </is>
      </c>
    </row>
    <row r="52">
      <c r="A52" t="inlineStr">
        <is>
          <t>TSP-049</t>
        </is>
      </c>
      <c r="B52" t="inlineStr">
        <is>
          <t>0W750</t>
        </is>
      </c>
    </row>
    <row r="53">
      <c r="A53" t="inlineStr">
        <is>
          <t>TSP-050</t>
        </is>
      </c>
      <c r="B53" t="inlineStr">
        <is>
          <t>0T180</t>
        </is>
      </c>
    </row>
    <row r="54">
      <c r="A54" t="inlineStr">
        <is>
          <t>TSP-050</t>
        </is>
      </c>
      <c r="B54" t="inlineStr">
        <is>
          <t>0T410</t>
        </is>
      </c>
    </row>
    <row r="55">
      <c r="A55" t="inlineStr">
        <is>
          <t>TSP-050</t>
        </is>
      </c>
      <c r="B55" t="inlineStr">
        <is>
          <t>0W750</t>
        </is>
      </c>
    </row>
    <row r="56">
      <c r="A56" t="inlineStr">
        <is>
          <t>TSP-067</t>
        </is>
      </c>
      <c r="B56" t="inlineStr">
        <is>
          <t>0T160</t>
        </is>
      </c>
    </row>
    <row r="57">
      <c r="A57" t="inlineStr">
        <is>
          <t>TSP-069</t>
        </is>
      </c>
      <c r="B57" t="inlineStr">
        <is>
          <t>0W770</t>
        </is>
      </c>
    </row>
    <row r="58">
      <c r="A58" t="inlineStr">
        <is>
          <t>TSP-077</t>
        </is>
      </c>
      <c r="B58" t="inlineStr">
        <is>
          <t>0T190</t>
        </is>
      </c>
    </row>
    <row r="59">
      <c r="A59" t="inlineStr">
        <is>
          <t>TSP-078</t>
        </is>
      </c>
      <c r="B59" t="inlineStr">
        <is>
          <t>0T160</t>
        </is>
      </c>
    </row>
    <row r="60">
      <c r="A60" t="inlineStr">
        <is>
          <t>TSP-080</t>
        </is>
      </c>
      <c r="B60" t="inlineStr">
        <is>
          <t>0W770</t>
        </is>
      </c>
    </row>
    <row r="61">
      <c r="A61" t="inlineStr">
        <is>
          <t>TSP-089</t>
        </is>
      </c>
      <c r="B61" t="inlineStr">
        <is>
          <t>0T190</t>
        </is>
      </c>
    </row>
    <row r="62">
      <c r="A62" t="inlineStr">
        <is>
          <t>TSP-104</t>
        </is>
      </c>
      <c r="B62" t="inlineStr">
        <is>
          <t>0T150</t>
        </is>
      </c>
    </row>
    <row r="63">
      <c r="A63" t="inlineStr">
        <is>
          <t>TSP-105</t>
        </is>
      </c>
      <c r="B63" t="inlineStr">
        <is>
          <t>0T150</t>
        </is>
      </c>
    </row>
    <row r="64">
      <c r="A64" t="inlineStr">
        <is>
          <t>TSP-199</t>
        </is>
      </c>
      <c r="B64" t="inlineStr">
        <is>
          <t>0W780</t>
        </is>
      </c>
    </row>
    <row r="65">
      <c r="A65" t="inlineStr">
        <is>
          <t>TSP-205</t>
        </is>
      </c>
      <c r="B65" t="inlineStr">
        <is>
          <t>0W780</t>
        </is>
      </c>
    </row>
    <row r="66">
      <c r="A66" t="inlineStr">
        <is>
          <t>TSP-206</t>
        </is>
      </c>
      <c r="B66" t="inlineStr">
        <is>
          <t>0W780</t>
        </is>
      </c>
    </row>
    <row r="67">
      <c r="A67" t="inlineStr">
        <is>
          <t>TSP-224</t>
        </is>
      </c>
      <c r="B67" t="inlineStr">
        <is>
          <t>0M060</t>
        </is>
      </c>
    </row>
    <row r="68">
      <c r="A68" t="inlineStr">
        <is>
          <t>TSP-224</t>
        </is>
      </c>
      <c r="B68" t="inlineStr">
        <is>
          <t>0P340</t>
        </is>
      </c>
    </row>
    <row r="69">
      <c r="A69" t="inlineStr">
        <is>
          <t>TSP-224</t>
        </is>
      </c>
      <c r="B69" t="inlineStr">
        <is>
          <t>0V250</t>
        </is>
      </c>
    </row>
    <row r="70">
      <c r="A70" t="inlineStr">
        <is>
          <t>TSP-225</t>
        </is>
      </c>
      <c r="B70" t="inlineStr">
        <is>
          <t>0M060</t>
        </is>
      </c>
    </row>
    <row r="71">
      <c r="A71" t="inlineStr">
        <is>
          <t>TSP-225</t>
        </is>
      </c>
      <c r="B71" t="inlineStr">
        <is>
          <t>0P340</t>
        </is>
      </c>
    </row>
    <row r="72">
      <c r="A72" t="inlineStr">
        <is>
          <t>TSP-225</t>
        </is>
      </c>
      <c r="B72" t="inlineStr">
        <is>
          <t>0V250</t>
        </is>
      </c>
    </row>
    <row r="73">
      <c r="A73" t="inlineStr">
        <is>
          <t>TSP-360</t>
        </is>
      </c>
      <c r="B73" t="inlineStr">
        <is>
          <t>0T490</t>
        </is>
      </c>
    </row>
    <row r="74">
      <c r="A74" t="inlineStr">
        <is>
          <t>TSP-360</t>
        </is>
      </c>
      <c r="B74" t="inlineStr">
        <is>
          <t>0T500</t>
        </is>
      </c>
    </row>
    <row r="75">
      <c r="A75" t="inlineStr">
        <is>
          <t>TSP-367</t>
        </is>
      </c>
      <c r="B75" t="inlineStr">
        <is>
          <t>0T420</t>
        </is>
      </c>
    </row>
    <row r="76">
      <c r="A76" t="inlineStr">
        <is>
          <t>TSP-367</t>
        </is>
      </c>
      <c r="B76" t="inlineStr">
        <is>
          <t>0T470</t>
        </is>
      </c>
    </row>
    <row r="77">
      <c r="A77" t="inlineStr">
        <is>
          <t>TSP-367</t>
        </is>
      </c>
      <c r="B77" t="inlineStr">
        <is>
          <t>0T480</t>
        </is>
      </c>
    </row>
    <row r="78">
      <c r="A78" t="inlineStr">
        <is>
          <t>TSP-367</t>
        </is>
      </c>
      <c r="B78" t="inlineStr">
        <is>
          <t>0T490</t>
        </is>
      </c>
    </row>
    <row r="79">
      <c r="A79" t="inlineStr">
        <is>
          <t>TSP-367</t>
        </is>
      </c>
      <c r="B79" t="inlineStr">
        <is>
          <t>0T500</t>
        </is>
      </c>
    </row>
    <row r="80">
      <c r="A80" t="inlineStr">
        <is>
          <t>TSP-369</t>
        </is>
      </c>
      <c r="B80" t="inlineStr">
        <is>
          <t>0T420</t>
        </is>
      </c>
    </row>
    <row r="81">
      <c r="A81" t="inlineStr">
        <is>
          <t>TSP-369</t>
        </is>
      </c>
      <c r="B81" t="inlineStr">
        <is>
          <t>0T470</t>
        </is>
      </c>
    </row>
    <row r="82">
      <c r="A82" t="inlineStr">
        <is>
          <t>TSP-369</t>
        </is>
      </c>
      <c r="B82" t="inlineStr">
        <is>
          <t>0T490</t>
        </is>
      </c>
    </row>
    <row r="83">
      <c r="A83" t="inlineStr">
        <is>
          <t>TSP-369</t>
        </is>
      </c>
      <c r="B83" t="inlineStr">
        <is>
          <t>0T500</t>
        </is>
      </c>
    </row>
    <row r="84">
      <c r="A84" t="inlineStr">
        <is>
          <t>TSP-399</t>
        </is>
      </c>
      <c r="B84" t="inlineStr">
        <is>
          <t>0P390</t>
        </is>
      </c>
    </row>
    <row r="85">
      <c r="A85" t="inlineStr">
        <is>
          <t>TSP-402</t>
        </is>
      </c>
      <c r="B85" t="inlineStr">
        <is>
          <t>0T520</t>
        </is>
      </c>
    </row>
    <row r="86">
      <c r="A86" t="inlineStr">
        <is>
          <t>TSP-403</t>
        </is>
      </c>
      <c r="B86" t="inlineStr">
        <is>
          <t>0T510</t>
        </is>
      </c>
    </row>
    <row r="87">
      <c r="A87" t="inlineStr">
        <is>
          <t>TSP-404</t>
        </is>
      </c>
      <c r="B87" t="inlineStr">
        <is>
          <t>0T430</t>
        </is>
      </c>
    </row>
    <row r="88">
      <c r="A88" t="inlineStr">
        <is>
          <t>TSP-405</t>
        </is>
      </c>
      <c r="B88" t="inlineStr">
        <is>
          <t>0P390</t>
        </is>
      </c>
    </row>
    <row r="89">
      <c r="A89" t="inlineStr">
        <is>
          <t>TSP-405</t>
        </is>
      </c>
      <c r="B89" t="inlineStr">
        <is>
          <t>0Y230</t>
        </is>
      </c>
    </row>
    <row r="90">
      <c r="A90" t="inlineStr">
        <is>
          <t>TSP-544</t>
        </is>
      </c>
      <c r="B90" t="inlineStr">
        <is>
          <t>0T480</t>
        </is>
      </c>
    </row>
    <row r="91">
      <c r="A91" t="inlineStr">
        <is>
          <t>TSP-558</t>
        </is>
      </c>
      <c r="B91" t="inlineStr">
        <is>
          <t>0T480</t>
        </is>
      </c>
    </row>
    <row r="92">
      <c r="A92" t="inlineStr">
        <is>
          <t>TSP-618</t>
        </is>
      </c>
      <c r="B92" t="inlineStr">
        <is>
          <t>F0220</t>
        </is>
      </c>
    </row>
    <row r="93">
      <c r="A93" t="inlineStr">
        <is>
          <t>TSP-618</t>
        </is>
      </c>
      <c r="B93" t="inlineStr">
        <is>
          <t>F2100</t>
        </is>
      </c>
    </row>
    <row r="94">
      <c r="A94" t="inlineStr">
        <is>
          <t>TSP-620</t>
        </is>
      </c>
      <c r="B94" t="inlineStr">
        <is>
          <t>F2100</t>
        </is>
      </c>
    </row>
    <row r="95">
      <c r="A95" t="inlineStr">
        <is>
          <t>TSP-623</t>
        </is>
      </c>
      <c r="B95" t="inlineStr">
        <is>
          <t>F0220</t>
        </is>
      </c>
    </row>
    <row r="96">
      <c r="A96" t="inlineStr">
        <is>
          <t>TSP-655</t>
        </is>
      </c>
      <c r="B96" t="inlineStr">
        <is>
          <t>0Q110</t>
        </is>
      </c>
    </row>
    <row r="97">
      <c r="A97" t="inlineStr">
        <is>
          <t>TSP-655</t>
        </is>
      </c>
      <c r="B97" t="inlineStr">
        <is>
          <t>0Y460</t>
        </is>
      </c>
    </row>
    <row r="98">
      <c r="A98" t="inlineStr">
        <is>
          <t>TSP-655</t>
        </is>
      </c>
      <c r="B98" t="inlineStr">
        <is>
          <t>F2090</t>
        </is>
      </c>
    </row>
    <row r="99">
      <c r="A99" t="inlineStr">
        <is>
          <t>TSP-656</t>
        </is>
      </c>
      <c r="B99" t="inlineStr">
        <is>
          <t>0Q110</t>
        </is>
      </c>
    </row>
    <row r="100">
      <c r="A100" t="inlineStr">
        <is>
          <t>TSP-656</t>
        </is>
      </c>
      <c r="B100" t="inlineStr">
        <is>
          <t>0Y460</t>
        </is>
      </c>
    </row>
    <row r="101">
      <c r="A101" t="inlineStr">
        <is>
          <t>TSP-656</t>
        </is>
      </c>
      <c r="B101" t="inlineStr">
        <is>
          <t>F2090</t>
        </is>
      </c>
    </row>
    <row r="102">
      <c r="A102" t="inlineStr">
        <is>
          <t>TSP-668</t>
        </is>
      </c>
      <c r="B102" t="inlineStr">
        <is>
          <t>0T510</t>
        </is>
      </c>
    </row>
    <row r="103">
      <c r="A103" t="inlineStr">
        <is>
          <t>TSP-668</t>
        </is>
      </c>
      <c r="B103" t="inlineStr">
        <is>
          <t>0T520</t>
        </is>
      </c>
    </row>
    <row r="104">
      <c r="A104" t="inlineStr">
        <is>
          <t>TSP-669</t>
        </is>
      </c>
      <c r="B104" t="inlineStr">
        <is>
          <t>0T430</t>
        </is>
      </c>
    </row>
    <row r="105">
      <c r="A105" t="inlineStr">
        <is>
          <t>TSP-670</t>
        </is>
      </c>
      <c r="B105" t="inlineStr">
        <is>
          <t>0Y230</t>
        </is>
      </c>
    </row>
    <row r="106">
      <c r="A106" t="inlineStr">
        <is>
          <t>TSP-710</t>
        </is>
      </c>
      <c r="B106" t="inlineStr">
        <is>
          <t>0T420</t>
        </is>
      </c>
    </row>
    <row r="107">
      <c r="A107" t="inlineStr">
        <is>
          <t>TSP-710</t>
        </is>
      </c>
      <c r="B107" t="inlineStr">
        <is>
          <t>0T470</t>
        </is>
      </c>
    </row>
    <row r="108">
      <c r="A108" t="inlineStr">
        <is>
          <t>TSP-828</t>
        </is>
      </c>
      <c r="B108" t="inlineStr">
        <is>
          <t>0T730</t>
        </is>
      </c>
    </row>
    <row r="109">
      <c r="A109" t="inlineStr">
        <is>
          <t>TSP-903</t>
        </is>
      </c>
      <c r="B109" t="inlineStr">
        <is>
          <t>0T730</t>
        </is>
      </c>
    </row>
    <row r="110">
      <c r="A110" t="inlineStr">
        <is>
          <t>TSP-924</t>
        </is>
      </c>
      <c r="B110" t="inlineStr">
        <is>
          <t>0T720</t>
        </is>
      </c>
    </row>
    <row r="111">
      <c r="A111" t="inlineStr">
        <is>
          <t>TSP-924</t>
        </is>
      </c>
      <c r="B111" t="inlineStr">
        <is>
          <t>0T740</t>
        </is>
      </c>
    </row>
    <row r="112">
      <c r="A112" t="inlineStr">
        <is>
          <t>TSP-924</t>
        </is>
      </c>
      <c r="B112" t="inlineStr">
        <is>
          <t>F2180</t>
        </is>
      </c>
    </row>
    <row r="113">
      <c r="A113" t="inlineStr">
        <is>
          <t>TSP-924</t>
        </is>
      </c>
      <c r="B113" t="inlineStr">
        <is>
          <t>F2210</t>
        </is>
      </c>
    </row>
    <row r="114">
      <c r="A114" t="inlineStr">
        <is>
          <t>TSP-924</t>
        </is>
      </c>
      <c r="B114" t="inlineStr">
        <is>
          <t>K0030</t>
        </is>
      </c>
    </row>
    <row r="115">
      <c r="A115" t="inlineStr">
        <is>
          <t>TSP-925</t>
        </is>
      </c>
      <c r="B115" t="inlineStr">
        <is>
          <t>0T750</t>
        </is>
      </c>
    </row>
    <row r="116">
      <c r="A116" t="inlineStr">
        <is>
          <t>TSP-927</t>
        </is>
      </c>
      <c r="B116" t="inlineStr">
        <is>
          <t>F2180</t>
        </is>
      </c>
    </row>
    <row r="117">
      <c r="A117" t="inlineStr">
        <is>
          <t>TSP-927</t>
        </is>
      </c>
      <c r="B117" t="inlineStr">
        <is>
          <t>F2210</t>
        </is>
      </c>
    </row>
    <row r="118">
      <c r="A118" t="inlineStr">
        <is>
          <t>TSP-928</t>
        </is>
      </c>
      <c r="B118" t="inlineStr">
        <is>
          <t>K0030</t>
        </is>
      </c>
    </row>
    <row r="119">
      <c r="A119" t="inlineStr">
        <is>
          <t>TSP-928</t>
        </is>
      </c>
      <c r="B119" t="inlineStr">
        <is>
          <t>0T720</t>
        </is>
      </c>
    </row>
    <row r="120">
      <c r="A120" t="inlineStr">
        <is>
          <t>TSP-928</t>
        </is>
      </c>
      <c r="B120" t="inlineStr">
        <is>
          <t>OT690</t>
        </is>
      </c>
    </row>
    <row r="121">
      <c r="A121" t="inlineStr">
        <is>
          <t>TSP-929</t>
        </is>
      </c>
      <c r="B121" t="inlineStr">
        <is>
          <t>0T740</t>
        </is>
      </c>
    </row>
    <row r="122">
      <c r="A122" t="inlineStr">
        <is>
          <t>TSP-930</t>
        </is>
      </c>
      <c r="B122" t="inlineStr">
        <is>
          <t>0T750</t>
        </is>
      </c>
    </row>
    <row r="123">
      <c r="A123" t="inlineStr">
        <is>
          <t>TSP-934</t>
        </is>
      </c>
      <c r="B123" t="inlineStr">
        <is>
          <t>F2180</t>
        </is>
      </c>
    </row>
    <row r="124">
      <c r="A124" t="inlineStr">
        <is>
          <t>TSP-934</t>
        </is>
      </c>
      <c r="B124" t="inlineStr">
        <is>
          <t>F2210</t>
        </is>
      </c>
    </row>
    <row r="125">
      <c r="A125" t="inlineStr">
        <is>
          <t>TSP-934</t>
        </is>
      </c>
      <c r="B125" t="inlineStr">
        <is>
          <t>OT690</t>
        </is>
      </c>
    </row>
    <row r="126">
      <c r="A126" t="inlineStr">
        <is>
          <t>TSP-935</t>
        </is>
      </c>
      <c r="B126" t="inlineStr">
        <is>
          <t>0T720</t>
        </is>
      </c>
    </row>
    <row r="127">
      <c r="A127" t="inlineStr">
        <is>
          <t>TSP-935</t>
        </is>
      </c>
      <c r="B127" t="inlineStr">
        <is>
          <t>K0030</t>
        </is>
      </c>
    </row>
    <row r="128">
      <c r="A128" t="inlineStr">
        <is>
          <t>TSP-936</t>
        </is>
      </c>
      <c r="B128" t="inlineStr">
        <is>
          <t>0T740</t>
        </is>
      </c>
    </row>
    <row r="129">
      <c r="A129" t="inlineStr">
        <is>
          <t>TSP-937</t>
        </is>
      </c>
      <c r="B129" t="inlineStr">
        <is>
          <t>0T750</t>
        </is>
      </c>
    </row>
    <row r="130">
      <c r="A130" t="inlineStr">
        <is>
          <t>TSP-959</t>
        </is>
      </c>
      <c r="B130" t="inlineStr">
        <is>
          <t>0Q120</t>
        </is>
      </c>
    </row>
    <row r="131">
      <c r="A131" t="inlineStr">
        <is>
          <t>TSP-959</t>
        </is>
      </c>
      <c r="B131" t="inlineStr">
        <is>
          <t>K0050</t>
        </is>
      </c>
    </row>
    <row r="132">
      <c r="A132" t="inlineStr">
        <is>
          <t>TSP-966</t>
        </is>
      </c>
      <c r="B132" t="inlineStr">
        <is>
          <t>0Q120</t>
        </is>
      </c>
    </row>
    <row r="133">
      <c r="A133" t="inlineStr">
        <is>
          <t>TSP-966</t>
        </is>
      </c>
      <c r="B133" t="inlineStr">
        <is>
          <t>K0050</t>
        </is>
      </c>
    </row>
    <row r="134">
      <c r="A134" t="inlineStr">
        <is>
          <t>TSP-1388</t>
        </is>
      </c>
      <c r="B134" t="inlineStr">
        <is>
          <t>0T860</t>
        </is>
      </c>
    </row>
    <row r="135">
      <c r="A135" t="inlineStr">
        <is>
          <t>TSP-1388</t>
        </is>
      </c>
      <c r="B135" t="inlineStr">
        <is>
          <t>F2350</t>
        </is>
      </c>
    </row>
    <row r="136">
      <c r="A136" t="inlineStr">
        <is>
          <t>TSP-1388</t>
        </is>
      </c>
      <c r="B136" t="inlineStr">
        <is>
          <t>F3060</t>
        </is>
      </c>
    </row>
    <row r="137">
      <c r="A137" t="inlineStr">
        <is>
          <t>TSP-1444</t>
        </is>
      </c>
      <c r="B137" t="inlineStr">
        <is>
          <t>F2350</t>
        </is>
      </c>
    </row>
    <row r="138">
      <c r="A138" t="inlineStr">
        <is>
          <t>TSP-1444</t>
        </is>
      </c>
      <c r="B138" t="inlineStr">
        <is>
          <t>F3060</t>
        </is>
      </c>
    </row>
    <row r="139">
      <c r="A139" t="inlineStr">
        <is>
          <t>TSP-1448</t>
        </is>
      </c>
      <c r="B139" t="inlineStr">
        <is>
          <t>F2350</t>
        </is>
      </c>
    </row>
    <row r="140">
      <c r="A140" t="inlineStr">
        <is>
          <t>TSP-1448</t>
        </is>
      </c>
      <c r="B140" t="inlineStr">
        <is>
          <t>F3060</t>
        </is>
      </c>
    </row>
    <row r="141">
      <c r="A141" t="inlineStr">
        <is>
          <t>TSP-1445</t>
        </is>
      </c>
      <c r="B141" t="inlineStr">
        <is>
          <t>0T860</t>
        </is>
      </c>
    </row>
    <row r="142">
      <c r="A142" t="inlineStr">
        <is>
          <t>TSP-1446</t>
        </is>
      </c>
      <c r="B142" t="inlineStr">
        <is>
          <t>0T880</t>
        </is>
      </c>
    </row>
    <row r="143">
      <c r="A143" t="inlineStr">
        <is>
          <t>TSP-1449</t>
        </is>
      </c>
      <c r="B143" t="inlineStr">
        <is>
          <t>0T880</t>
        </is>
      </c>
    </row>
    <row r="144">
      <c r="A144" t="inlineStr">
        <is>
          <t>TSP-1449</t>
        </is>
      </c>
      <c r="B144" t="inlineStr">
        <is>
          <t>0T860</t>
        </is>
      </c>
    </row>
    <row r="145">
      <c r="A145" t="inlineStr">
        <is>
          <t>TVS-267</t>
        </is>
      </c>
      <c r="B145" t="inlineStr">
        <is>
          <t>0T750</t>
        </is>
      </c>
    </row>
    <row r="146">
      <c r="A146" t="inlineStr">
        <is>
          <t>TVS-500</t>
        </is>
      </c>
      <c r="B146" t="inlineStr">
        <is>
          <t>0T740</t>
        </is>
      </c>
    </row>
    <row r="147">
      <c r="A147" t="inlineStr">
        <is>
          <t>TVS-833</t>
        </is>
      </c>
      <c r="B147" t="inlineStr">
        <is>
          <t>0T720</t>
        </is>
      </c>
    </row>
    <row r="148">
      <c r="A148" t="inlineStr">
        <is>
          <t>VSP-567</t>
        </is>
      </c>
      <c r="B148" t="inlineStr">
        <is>
          <t>V03</t>
        </is>
      </c>
    </row>
    <row r="149">
      <c r="A149" t="inlineStr">
        <is>
          <t>VSP-600</t>
        </is>
      </c>
      <c r="B149" t="inlineStr">
        <is>
          <t>V02</t>
        </is>
      </c>
    </row>
    <row r="150">
      <c r="A150" t="inlineStr">
        <is>
          <t>VSP-601</t>
        </is>
      </c>
      <c r="B150" t="inlineStr">
        <is>
          <t>V02</t>
        </is>
      </c>
    </row>
    <row r="151">
      <c r="A151" t="inlineStr">
        <is>
          <t>VSP-602</t>
        </is>
      </c>
      <c r="B151" t="inlineStr">
        <is>
          <t>V02</t>
        </is>
      </c>
    </row>
    <row r="152">
      <c r="A152" t="inlineStr">
        <is>
          <t>VSP-603</t>
        </is>
      </c>
      <c r="B152" t="inlineStr">
        <is>
          <t>V04</t>
        </is>
      </c>
    </row>
    <row r="153">
      <c r="A153" t="inlineStr">
        <is>
          <t>VSP-604</t>
        </is>
      </c>
      <c r="B153" t="inlineStr">
        <is>
          <t>V04</t>
        </is>
      </c>
    </row>
    <row r="154">
      <c r="A154" t="inlineStr">
        <is>
          <t>VSP-605</t>
        </is>
      </c>
      <c r="B154" t="inlineStr">
        <is>
          <t>V04</t>
        </is>
      </c>
    </row>
    <row r="155">
      <c r="A155" t="inlineStr">
        <is>
          <t>VSP-606</t>
        </is>
      </c>
      <c r="B155" t="inlineStr">
        <is>
          <t>V05</t>
        </is>
      </c>
    </row>
    <row r="156">
      <c r="A156" t="inlineStr">
        <is>
          <t>VSP-607</t>
        </is>
      </c>
      <c r="B156" t="inlineStr">
        <is>
          <t>V05</t>
        </is>
      </c>
    </row>
    <row r="157">
      <c r="A157" t="inlineStr">
        <is>
          <t>VSP-738</t>
        </is>
      </c>
      <c r="B157" t="inlineStr">
        <is>
          <t>V11</t>
        </is>
      </c>
    </row>
    <row r="158">
      <c r="A158" t="inlineStr">
        <is>
          <t>VSP-739</t>
        </is>
      </c>
      <c r="B158" t="inlineStr">
        <is>
          <t>V11</t>
        </is>
      </c>
    </row>
    <row r="159">
      <c r="A159" t="inlineStr">
        <is>
          <t>VSP-740</t>
        </is>
      </c>
      <c r="B159" t="inlineStr">
        <is>
          <t>V11</t>
        </is>
      </c>
    </row>
    <row r="160">
      <c r="A160" t="inlineStr">
        <is>
          <t>VSP-746</t>
        </is>
      </c>
      <c r="B160" t="inlineStr">
        <is>
          <t>V07</t>
        </is>
      </c>
    </row>
    <row r="161">
      <c r="A161" t="inlineStr">
        <is>
          <t>VSP-820</t>
        </is>
      </c>
      <c r="B161" t="inlineStr">
        <is>
          <t>V14</t>
        </is>
      </c>
    </row>
    <row r="162">
      <c r="A162" t="inlineStr">
        <is>
          <t>VSP-820</t>
        </is>
      </c>
      <c r="B162" t="inlineStr">
        <is>
          <t>V17</t>
        </is>
      </c>
    </row>
    <row r="163">
      <c r="A163" t="inlineStr">
        <is>
          <t>VSP-822</t>
        </is>
      </c>
      <c r="B163" t="inlineStr">
        <is>
          <t>V14</t>
        </is>
      </c>
    </row>
    <row r="164">
      <c r="A164" t="inlineStr">
        <is>
          <t>VSP-869</t>
        </is>
      </c>
      <c r="B164" t="inlineStr">
        <is>
          <t>V13</t>
        </is>
      </c>
    </row>
    <row r="165">
      <c r="A165" t="inlineStr">
        <is>
          <t>VSP-870</t>
        </is>
      </c>
      <c r="B165" t="inlineStr">
        <is>
          <t>V13</t>
        </is>
      </c>
    </row>
    <row r="166">
      <c r="A166" t="inlineStr">
        <is>
          <t>VSP-910</t>
        </is>
      </c>
      <c r="B166" t="inlineStr">
        <is>
          <t>V17</t>
        </is>
      </c>
    </row>
    <row r="167">
      <c r="A167" t="inlineStr">
        <is>
          <t>VSP-989</t>
        </is>
      </c>
      <c r="B167" t="inlineStr">
        <is>
          <t>V18</t>
        </is>
      </c>
    </row>
    <row r="168">
      <c r="A168" t="inlineStr">
        <is>
          <t>VSP-990</t>
        </is>
      </c>
      <c r="B168" t="inlineStr">
        <is>
          <t>V18</t>
        </is>
      </c>
    </row>
    <row r="169">
      <c r="A169" t="inlineStr">
        <is>
          <t>VSZ-745</t>
        </is>
      </c>
      <c r="B169" t="inlineStr">
        <is>
          <t>V07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SUMPRODUCT((M_BOM[Part Name]=$A2)*M_BOM[RM_Qty_Per_Batch]*IFERROR(INDEX(PP_Grid[#Data],M_BOM[PPGridRow],2),0))</f>
        <v/>
      </c>
      <c r="C2">
        <f>SUMPRODUCT((M_BOM[Part Name]=$A2)*M_BOM[RM_Qty_Per_Batch]*IFERROR(INDEX(PP_Grid[#Data],M_BOM[PPGridRow],3),0))</f>
        <v/>
      </c>
      <c r="D2">
        <f>SUMPRODUCT((M_BOM[Part Name]=$A2)*M_BOM[RM_Qty_Per_Batch]*IFERROR(INDEX(PP_Grid[#Data],M_BOM[PPGridRow],4),0))</f>
        <v/>
      </c>
      <c r="E2">
        <f>SUMPRODUCT((M_BOM[Part Name]=$A2)*M_BOM[RM_Qty_Per_Batch]*IFERROR(INDEX(PP_Grid[#Data],M_BOM[PPGridRow],5),0))</f>
        <v/>
      </c>
      <c r="F2">
        <f>SUMPRODUCT((M_BOM[Part Name]=$A2)*M_BOM[RM_Qty_Per_Batch]*IFERROR(INDEX(PP_Grid[#Data],M_BOM[PPGridRow],6),0))</f>
        <v/>
      </c>
      <c r="G2">
        <f>SUMPRODUCT((M_BOM[Part Name]=$A2)*M_BOM[RM_Qty_Per_Batch]*IFERROR(INDEX(PP_Grid[#Data],M_BOM[PPGridRow],7),0))</f>
        <v/>
      </c>
      <c r="H2">
        <f>SUMPRODUCT((M_BOM[Part Name]=$A2)*M_BOM[RM_Qty_Per_Batch]*IFERROR(INDEX(PP_Grid[#Data],M_BOM[PPGridRow],8),0))</f>
        <v/>
      </c>
      <c r="I2">
        <f>SUMPRODUCT((M_BOM[Part Name]=$A2)*M_BOM[RM_Qty_Per_Batch]*IFERROR(INDEX(PP_Grid[#Data],M_BOM[PPGridRow],9),0))</f>
        <v/>
      </c>
      <c r="J2">
        <f>SUMPRODUCT((M_BOM[Part Name]=$A2)*M_BOM[RM_Qty_Per_Batch]*IFERROR(INDEX(PP_Grid[#Data],M_BOM[PPGridRow],10),0))</f>
        <v/>
      </c>
      <c r="K2">
        <f>SUMPRODUCT((M_BOM[Part Name]=$A2)*M_BOM[RM_Qty_Per_Batch]*IFERROR(INDEX(PP_Grid[#Data],M_BOM[PPGridRow],11),0))</f>
        <v/>
      </c>
      <c r="L2">
        <f>SUMPRODUCT((M_BOM[Part Name]=$A2)*M_BOM[RM_Qty_Per_Batch]*IFERROR(INDEX(PP_Grid[#Data],M_BOM[PPGridRow],12),0))</f>
        <v/>
      </c>
      <c r="M2">
        <f>SUMPRODUCT((M_BOM[Part Name]=$A2)*M_BOM[RM_Qty_Per_Batch]*IFERROR(INDEX(PP_Grid[#Data],M_BOM[PPGridRow],13),0))</f>
        <v/>
      </c>
      <c r="N2">
        <f>SUMPRODUCT((M_BOM[Part Name]=$A2)*M_BOM[RM_Qty_Per_Batch]*IFERROR(INDEX(PP_Grid[#Data],M_BOM[PPGridRow],14),0))</f>
        <v/>
      </c>
      <c r="O2">
        <f>SUMPRODUCT((M_BOM[Part Name]=$A2)*M_BOM[RM_Qty_Per_Batch]*IFERROR(INDEX(PP_Grid[#Data],M_BOM[PPGridRow],15),0))</f>
        <v/>
      </c>
      <c r="P2">
        <f>SUMPRODUCT((M_BOM[Part Name]=$A2)*M_BOM[RM_Qty_Per_Batch]*IFERROR(INDEX(PP_Grid[#Data],M_BOM[PPGridRow],16),0))</f>
        <v/>
      </c>
      <c r="Q2">
        <f>SUMPRODUCT((M_BOM[Part Name]=$A2)*M_BOM[RM_Qty_Per_Batch]*IFERROR(INDEX(PP_Grid[#Data],M_BOM[PPGridRow],17),0))</f>
        <v/>
      </c>
      <c r="R2">
        <f>SUMPRODUCT((M_BOM[Part Name]=$A2)*M_BOM[RM_Qty_Per_Batch]*IFERROR(INDEX(PP_Grid[#Data],M_BOM[PPGridRow],18),0))</f>
        <v/>
      </c>
      <c r="S2">
        <f>SUMPRODUCT((M_BOM[Part Name]=$A2)*M_BOM[RM_Qty_Per_Batch]*IFERROR(INDEX(PP_Grid[#Data],M_BOM[PPGridRow],19),0))</f>
        <v/>
      </c>
      <c r="T2">
        <f>SUMPRODUCT((M_BOM[Part Name]=$A2)*M_BOM[RM_Qty_Per_Batch]*IFERROR(INDEX(PP_Grid[#Data],M_BOM[PPGridRow],20),0))</f>
        <v/>
      </c>
      <c r="U2">
        <f>SUMPRODUCT((M_BOM[Part Name]=$A2)*M_BOM[RM_Qty_Per_Batch]*IFERROR(INDEX(PP_Grid[#Data],M_BOM[PPGridRow],21),0))</f>
        <v/>
      </c>
      <c r="V2">
        <f>SUMPRODUCT((M_BOM[Part Name]=$A2)*M_BOM[RM_Qty_Per_Batch]*IFERROR(INDEX(PP_Grid[#Data],M_BOM[PPGridRow],22),0))</f>
        <v/>
      </c>
      <c r="W2">
        <f>SUMPRODUCT((M_BOM[Part Name]=$A2)*M_BOM[RM_Qty_Per_Batch]*IFERROR(INDEX(PP_Grid[#Data],M_BOM[PPGridRow],23),0))</f>
        <v/>
      </c>
      <c r="X2">
        <f>SUMPRODUCT((M_BOM[Part Name]=$A2)*M_BOM[RM_Qty_Per_Batch]*IFERROR(INDEX(PP_Grid[#Data],M_BOM[PPGridRow],24),0))</f>
        <v/>
      </c>
      <c r="Y2">
        <f>SUMPRODUCT((M_BOM[Part Name]=$A2)*M_BOM[RM_Qty_Per_Batch]*IFERROR(INDEX(PP_Grid[#Data],M_BOM[PPGridRow],25),0))</f>
        <v/>
      </c>
      <c r="Z2">
        <f>SUMPRODUCT((M_BOM[Part Name]=$A2)*M_BOM[RM_Qty_Per_Batch]*IFERROR(INDEX(PP_Grid[#Data],M_BOM[PPGridRow],26),0))</f>
        <v/>
      </c>
      <c r="AA2">
        <f>SUMPRODUCT((M_BOM[Part Name]=$A2)*M_BOM[RM_Qty_Per_Batch]*IFERROR(INDEX(PP_Grid[#Data],M_BOM[PPGridRow],27),0))</f>
        <v/>
      </c>
      <c r="AB2">
        <f>SUMPRODUCT((M_BOM[Part Name]=$A2)*M_BOM[RM_Qty_Per_Batch]*IFERROR(INDEX(PP_Grid[#Data],M_BOM[PPGridRow],28),0))</f>
        <v/>
      </c>
      <c r="AC2">
        <f>SUMPRODUCT((M_BOM[Part Name]=$A2)*M_BOM[RM_Qty_Per_Batch]*IFERROR(INDEX(PP_Grid[#Data],M_BOM[PPGridRow],29),0))</f>
        <v/>
      </c>
      <c r="AD2">
        <f>SUMPRODUCT((M_BOM[Part Name]=$A2)*M_BOM[RM_Qty_Per_Batch]*IFERROR(INDEX(PP_Grid[#Data],M_BOM[PPGridRow],30),0))</f>
        <v/>
      </c>
      <c r="AE2">
        <f>SUMPRODUCT((M_BOM[Part Name]=$A2)*M_BOM[RM_Qty_Per_Batch]*IFERROR(INDEX(PP_Grid[#Data],M_BOM[PPGridRow],31),0))</f>
        <v/>
      </c>
      <c r="AF2">
        <f>SUMPRODUCT((M_BOM[Part Name]=$A2)*M_BOM[RM_Qty_Per_Batch]*IFERROR(INDEX(PP_Grid[#Data],M_BOM[PPGridRow],32),0))</f>
        <v/>
      </c>
      <c r="AG2">
        <f>SUMPRODUCT((M_BOM[Part Name]=$A2)*M_BOM[RM_Qty_Per_Batch]*IFERROR(INDEX(PP_Grid[#Data],M_BOM[PPGridRow],33),0))</f>
        <v/>
      </c>
      <c r="AH2">
        <f>SUMPRODUCT((M_BOM[Part Name]=$A2)*M_BOM[RM_Qty_Per_Batch]*IFERROR(INDEX(PP_Grid[#Data],M_BOM[PPGridRow],34),0))</f>
        <v/>
      </c>
      <c r="AI2">
        <f>SUMPRODUCT((M_BOM[Part Name]=$A2)*M_BOM[RM_Qty_Per_Batch]*IFERROR(INDEX(PP_Grid[#Data],M_BOM[PPGridRow],35),0))</f>
        <v/>
      </c>
      <c r="AJ2">
        <f>SUMPRODUCT((M_BOM[Part Name]=$A2)*M_BOM[RM_Qty_Per_Batch]*IFERROR(INDEX(PP_Grid[#Data],M_BOM[PPGridRow],36),0))</f>
        <v/>
      </c>
      <c r="AK2">
        <f>SUMPRODUCT((M_BOM[Part Name]=$A2)*M_BOM[RM_Qty_Per_Batch]*IFERROR(INDEX(PP_Grid[#Data],M_BOM[PPGridRow],37),0))</f>
        <v/>
      </c>
      <c r="AL2">
        <f>SUMPRODUCT((M_BOM[Part Name]=$A2)*M_BOM[RM_Qty_Per_Batch]*IFERROR(INDEX(PP_Grid[#Data],M_BOM[PPGridRow],38),0))</f>
        <v/>
      </c>
      <c r="AM2">
        <f>SUMPRODUCT((M_BOM[Part Name]=$A2)*M_BOM[RM_Qty_Per_Batch]*IFERROR(INDEX(PP_Grid[#Data],M_BOM[PPGridRow],39),0))</f>
        <v/>
      </c>
      <c r="AN2">
        <f>SUMPRODUCT((M_BOM[Part Name]=$A2)*M_BOM[RM_Qty_Per_Batch]*IFERROR(INDEX(PP_Grid[#Data],M_BOM[PPGridRow],40),0))</f>
        <v/>
      </c>
      <c r="AO2">
        <f>SUMPRODUCT((M_BOM[Part Name]=$A2)*M_BOM[RM_Qty_Per_Batch]*IFERROR(INDEX(PP_Grid[#Data],M_BOM[PPGridRow],41),0))</f>
        <v/>
      </c>
      <c r="AP2">
        <f>SUMPRODUCT((M_BOM[Part Name]=$A2)*M_BOM[RM_Qty_Per_Batch]*IFERROR(INDEX(PP_Grid[#Data],M_BOM[PPGridRow],42),0))</f>
        <v/>
      </c>
      <c r="AQ2">
        <f>SUMPRODUCT((M_BOM[Part Name]=$A2)*M_BOM[RM_Qty_Per_Batch]*IFERROR(INDEX(PP_Grid[#Data],M_BOM[PPGridRow],43),0))</f>
        <v/>
      </c>
      <c r="AR2">
        <f>SUMPRODUCT((M_BOM[Part Name]=$A2)*M_BOM[RM_Qty_Per_Batch]*IFERROR(INDEX(PP_Grid[#Data],M_BOM[PPGridRow],44),0))</f>
        <v/>
      </c>
      <c r="AS2">
        <f>SUMPRODUCT((M_BOM[Part Name]=$A2)*M_BOM[RM_Qty_Per_Batch]*IFERROR(INDEX(PP_Grid[#Data],M_BOM[PPGridRow],45),0))</f>
        <v/>
      </c>
      <c r="AT2">
        <f>SUMPRODUCT((M_BOM[Part Name]=$A2)*M_BOM[RM_Qty_Per_Batch]*IFERROR(INDEX(PP_Grid[#Data],M_BOM[PPGridRow],46),0))</f>
        <v/>
      </c>
      <c r="AU2">
        <f>SUMPRODUCT((M_BOM[Part Name]=$A2)*M_BOM[RM_Qty_Per_Batch]*IFERROR(INDEX(PP_Grid[#Data],M_BOM[PPGridRow],47),0))</f>
        <v/>
      </c>
      <c r="AV2">
        <f>SUMPRODUCT((M_BOM[Part Name]=$A2)*M_BOM[RM_Qty_Per_Batch]*IFERROR(INDEX(PP_Grid[#Data],M_BOM[PPGridRow],48),0))</f>
        <v/>
      </c>
      <c r="AW2">
        <f>SUMPRODUCT((M_BOM[Part Name]=$A2)*M_BOM[RM_Qty_Per_Batch]*IFERROR(INDEX(PP_Grid[#Data],M_BOM[PPGridRow],49),0))</f>
        <v/>
      </c>
      <c r="AX2">
        <f>SUMPRODUCT((M_BOM[Part Name]=$A2)*M_BOM[RM_Qty_Per_Batch]*IFERROR(INDEX(PP_Grid[#Data],M_BOM[PPGridRow],50),0))</f>
        <v/>
      </c>
      <c r="AY2">
        <f>SUMPRODUCT((M_BOM[Part Name]=$A2)*M_BOM[RM_Qty_Per_Batch]*IFERROR(INDEX(PP_Grid[#Data],M_BOM[PPGridRow],51),0))</f>
        <v/>
      </c>
      <c r="AZ2">
        <f>SUMPRODUCT((M_BOM[Part Name]=$A2)*M_BOM[RM_Qty_Per_Batch]*IFERROR(INDEX(PP_Grid[#Data],M_BOM[PPGridRow],52),0))</f>
        <v/>
      </c>
      <c r="BA2">
        <f>SUMPRODUCT((M_BOM[Part Name]=$A2)*M_BOM[RM_Qty_Per_Batch]*IFERROR(INDEX(PP_Grid[#Data],M_BOM[PPGridRow],53),0))</f>
        <v/>
      </c>
      <c r="BB2">
        <f>SUMPRODUCT((M_BOM[Part Name]=$A2)*M_BOM[RM_Qty_Per_Batch]*IFERROR(INDEX(PP_Grid[#Data],M_BOM[PPGridRow],54),0))</f>
        <v/>
      </c>
      <c r="BC2">
        <f>SUMPRODUCT((M_BOM[Part Name]=$A2)*M_BOM[RM_Qty_Per_Batch]*IFERROR(INDEX(PP_Grid[#Data],M_BOM[PPGridRow],55),0))</f>
        <v/>
      </c>
      <c r="BD2">
        <f>SUMPRODUCT((M_BOM[Part Name]=$A2)*M_BOM[RM_Qty_Per_Batch]*IFERROR(INDEX(PP_Grid[#Data],M_BOM[PPGridRow],56),0))</f>
        <v/>
      </c>
      <c r="BE2">
        <f>SUMPRODUCT((M_BOM[Part Name]=$A2)*M_BOM[RM_Qty_Per_Batch]*IFERROR(INDEX(PP_Grid[#Data],M_BOM[PPGridRow],57),0))</f>
        <v/>
      </c>
      <c r="BF2">
        <f>SUMPRODUCT((M_BOM[Part Name]=$A2)*M_BOM[RM_Qty_Per_Batch]*IFERROR(INDEX(PP_Grid[#Data],M_BOM[PPGridRow],58),0))</f>
        <v/>
      </c>
      <c r="BG2">
        <f>SUMPRODUCT((M_BOM[Part Name]=$A2)*M_BOM[RM_Qty_Per_Batch]*IFERROR(INDEX(PP_Grid[#Data],M_BOM[PPGridRow],59),0))</f>
        <v/>
      </c>
      <c r="BH2">
        <f>SUMPRODUCT((M_BOM[Part Name]=$A2)*M_BOM[RM_Qty_Per_Batch]*IFERROR(INDEX(PP_Grid[#Data],M_BOM[PPGridRow],60),0))</f>
        <v/>
      </c>
      <c r="BI2">
        <f>SUMPRODUCT((M_BOM[Part Name]=$A2)*M_BOM[RM_Qty_Per_Batch]*IFERROR(INDEX(PP_Grid[#Data],M_BOM[PPGridRow],61),0))</f>
        <v/>
      </c>
      <c r="BJ2">
        <f>SUMPRODUCT((M_BOM[Part Name]=$A2)*M_BOM[RM_Qty_Per_Batch]*IFERROR(INDEX(PP_Grid[#Data],M_BOM[PPGridRow],62),0))</f>
        <v/>
      </c>
      <c r="BK2">
        <f>SUMPRODUCT((M_BOM[Part Name]=$A2)*M_BOM[RM_Qty_Per_Batch]*IFERROR(INDEX(PP_Grid[#Data],M_BOM[PPGridRow],63),0))</f>
        <v/>
      </c>
      <c r="BL2">
        <f>SUMPRODUCT((M_BOM[Part Name]=$A2)*M_BOM[RM_Qty_Per_Batch]*IFERROR(INDEX(PP_Grid[#Data],M_BOM[PPGridRow],64),0))</f>
        <v/>
      </c>
      <c r="BM2">
        <f>SUMPRODUCT((M_BOM[Part Name]=$A2)*M_BOM[RM_Qty_Per_Batch]*IFERROR(INDEX(PP_Grid[#Data],M_BOM[PPGridRow],65),0))</f>
        <v/>
      </c>
      <c r="BN2">
        <f>SUMPRODUCT((M_BOM[Part Name]=$A2)*M_BOM[RM_Qty_Per_Batch]*IFERROR(INDEX(PP_Grid[#Data],M_BOM[PPGridRow],66),0))</f>
        <v/>
      </c>
      <c r="BO2">
        <f>SUMPRODUCT((M_BOM[Part Name]=$A2)*M_BOM[RM_Qty_Per_Batch]*IFERROR(INDEX(PP_Grid[#Data],M_BOM[PPGridRow],67),0))</f>
        <v/>
      </c>
      <c r="BP2">
        <f>SUMPRODUCT((M_BOM[Part Name]=$A2)*M_BOM[RM_Qty_Per_Batch]*IFERROR(INDEX(PP_Grid[#Data],M_BOM[PPGridRow],68),0))</f>
        <v/>
      </c>
      <c r="BQ2">
        <f>SUMPRODUCT((M_BOM[Part Name]=$A2)*M_BOM[RM_Qty_Per_Batch]*IFERROR(INDEX(PP_Grid[#Data],M_BOM[PPGridRow],69),0))</f>
        <v/>
      </c>
      <c r="BR2">
        <f>SUMPRODUCT((M_BOM[Part Name]=$A2)*M_BOM[RM_Qty_Per_Batch]*IFERROR(INDEX(PP_Grid[#Data],M_BOM[PPGridRow],70),0))</f>
        <v/>
      </c>
      <c r="BS2">
        <f>SUMPRODUCT((M_BOM[Part Name]=$A2)*M_BOM[RM_Qty_Per_Batch]*IFERROR(INDEX(PP_Grid[#Data],M_BOM[PPGridRow],71),0))</f>
        <v/>
      </c>
      <c r="BT2">
        <f>SUMPRODUCT((M_BOM[Part Name]=$A2)*M_BOM[RM_Qty_Per_Batch]*IFERROR(INDEX(PP_Grid[#Data],M_BOM[PPGridRow],72),0))</f>
        <v/>
      </c>
      <c r="BU2">
        <f>SUMPRODUCT((M_BOM[Part Name]=$A2)*M_BOM[RM_Qty_Per_Batch]*IFERROR(INDEX(PP_Grid[#Data],M_BOM[PPGridRow],73),0))</f>
        <v/>
      </c>
      <c r="BV2">
        <f>SUMPRODUCT((M_BOM[Part Name]=$A2)*M_BOM[RM_Qty_Per_Batch]*IFERROR(INDEX(PP_Grid[#Data],M_BOM[PPGridRow],74),0))</f>
        <v/>
      </c>
      <c r="BW2">
        <f>SUMPRODUCT((M_BOM[Part Name]=$A2)*M_BOM[RM_Qty_Per_Batch]*IFERROR(INDEX(PP_Grid[#Data],M_BOM[PPGridRow],75),0))</f>
        <v/>
      </c>
      <c r="BX2">
        <f>SUMPRODUCT((M_BOM[Part Name]=$A2)*M_BOM[RM_Qty_Per_Batch]*IFERROR(INDEX(PP_Grid[#Data],M_BOM[PPGridRow],76),0))</f>
        <v/>
      </c>
      <c r="BY2">
        <f>SUMPRODUCT((M_BOM[Part Name]=$A2)*M_BOM[RM_Qty_Per_Batch]*IFERROR(INDEX(PP_Grid[#Data],M_BOM[PPGridRow],77),0))</f>
        <v/>
      </c>
      <c r="BZ2">
        <f>SUMPRODUCT((M_BOM[Part Name]=$A2)*M_BOM[RM_Qty_Per_Batch]*IFERROR(INDEX(PP_Grid[#Data],M_BOM[PPGridRow],78),0))</f>
        <v/>
      </c>
      <c r="CA2">
        <f>SUMPRODUCT((M_BOM[Part Name]=$A2)*M_BOM[RM_Qty_Per_Batch]*IFERROR(INDEX(PP_Grid[#Data],M_BOM[PPGridRow],79),0))</f>
        <v/>
      </c>
      <c r="CB2">
        <f>SUMPRODUCT((M_BOM[Part Name]=$A2)*M_BOM[RM_Qty_Per_Batch]*IFERROR(INDEX(PP_Grid[#Data],M_BOM[PPGridRow],80),0))</f>
        <v/>
      </c>
      <c r="CC2">
        <f>SUMPRODUCT((M_BOM[Part Name]=$A2)*M_BOM[RM_Qty_Per_Batch]*IFERROR(INDEX(PP_Grid[#Data],M_BOM[PPGridRow],81),0))</f>
        <v/>
      </c>
      <c r="CD2">
        <f>SUMPRODUCT((M_BOM[Part Name]=$A2)*M_BOM[RM_Qty_Per_Batch]*IFERROR(INDEX(PP_Grid[#Data],M_BOM[PPGridRow],82),0))</f>
        <v/>
      </c>
      <c r="CE2">
        <f>SUMPRODUCT((M_BOM[Part Name]=$A2)*M_BOM[RM_Qty_Per_Batch]*IFERROR(INDEX(PP_Grid[#Data],M_BOM[PPGridRow],83),0))</f>
        <v/>
      </c>
      <c r="CF2">
        <f>SUMPRODUCT((M_BOM[Part Name]=$A2)*M_BOM[RM_Qty_Per_Batch]*IFERROR(INDEX(PP_Grid[#Data],M_BOM[PPGridRow],84),0))</f>
        <v/>
      </c>
      <c r="CG2">
        <f>SUMPRODUCT((M_BOM[Part Name]=$A2)*M_BOM[RM_Qty_Per_Batch]*IFERROR(INDEX(PP_Grid[#Data],M_BOM[PPGridRow],85),0))</f>
        <v/>
      </c>
      <c r="CH2">
        <f>SUMPRODUCT((M_BOM[Part Name]=$A2)*M_BOM[RM_Qty_Per_Batch]*IFERROR(INDEX(PP_Grid[#Data],M_BOM[PPGridRow],86),0))</f>
        <v/>
      </c>
      <c r="CI2">
        <f>SUMPRODUCT((M_BOM[Part Name]=$A2)*M_BOM[RM_Qty_Per_Batch]*IFERROR(INDEX(PP_Grid[#Data],M_BOM[PPGridRow],87),0))</f>
        <v/>
      </c>
      <c r="CJ2">
        <f>SUMPRODUCT((M_BOM[Part Name]=$A2)*M_BOM[RM_Qty_Per_Batch]*IFERROR(INDEX(PP_Grid[#Data],M_BOM[PPGridRow],88),0))</f>
        <v/>
      </c>
      <c r="CK2">
        <f>SUMPRODUCT((M_BOM[Part Name]=$A2)*M_BOM[RM_Qty_Per_Batch]*IFERROR(INDEX(PP_Grid[#Data],M_BOM[PPGridRow],89),0))</f>
        <v/>
      </c>
      <c r="CL2">
        <f>SUMPRODUCT((M_BOM[Part Name]=$A2)*M_BOM[RM_Qty_Per_Batch]*IFERROR(INDEX(PP_Grid[#Data],M_BOM[PPGridRow],90),0))</f>
        <v/>
      </c>
      <c r="CM2">
        <f>SUMPRODUCT((M_BOM[Part Name]=$A2)*M_BOM[RM_Qty_Per_Batch]*IFERROR(INDEX(PP_Grid[#Data],M_BOM[PPGridRow],91),0))</f>
        <v/>
      </c>
      <c r="CN2">
        <f>SUMPRODUCT((M_BOM[Part Name]=$A2)*M_BOM[RM_Qty_Per_Batch]*IFERROR(INDEX(PP_Grid[#Data],M_BOM[PPGridRow],92),0))</f>
        <v/>
      </c>
      <c r="CO2">
        <f>SUMPRODUCT((M_BOM[Part Name]=$A2)*M_BOM[RM_Qty_Per_Batch]*IFERROR(INDEX(PP_Grid[#Data],M_BOM[PPGridRow],93),0))</f>
        <v/>
      </c>
      <c r="CP2">
        <f>SUMPRODUCT((M_BOM[Part Name]=$A2)*M_BOM[RM_Qty_Per_Batch]*IFERROR(INDEX(PP_Grid[#Data],M_BOM[PPGridRow],94),0))</f>
        <v/>
      </c>
      <c r="CQ2">
        <f>SUMPRODUCT((M_BOM[Part Name]=$A2)*M_BOM[RM_Qty_Per_Batch]*IFERROR(INDEX(PP_Grid[#Data],M_BOM[PPGridRow],95),0))</f>
        <v/>
      </c>
      <c r="CR2">
        <f>SUMPRODUCT((M_BOM[Part Name]=$A2)*M_BOM[RM_Qty_Per_Batch]*IFERROR(INDEX(PP_Grid[#Data],M_BOM[PPGridRow],96),0))</f>
        <v/>
      </c>
      <c r="CS2">
        <f>SUMPRODUCT((M_BOM[Part Name]=$A2)*M_BOM[RM_Qty_Per_Batch]*IFERROR(INDEX(PP_Grid[#Data],M_BOM[PPGridRow],97),0))</f>
        <v/>
      </c>
      <c r="CT2">
        <f>SUMPRODUCT((M_BOM[Part Name]=$A2)*M_BOM[RM_Qty_Per_Batch]*IFERROR(INDEX(PP_Grid[#Data],M_BOM[PPGridRow],98),0))</f>
        <v/>
      </c>
      <c r="CU2">
        <f>SUMPRODUCT((M_BOM[Part Name]=$A2)*M_BOM[RM_Qty_Per_Batch]*IFERROR(INDEX(PP_Grid[#Data],M_BOM[PPGridRow],99),0))</f>
        <v/>
      </c>
      <c r="CV2">
        <f>SUMPRODUCT((M_BOM[Part Name]=$A2)*M_BOM[RM_Qty_Per_Batch]*IFERROR(INDEX(PP_Grid[#Data],M_BOM[PPGridRow],100),0))</f>
        <v/>
      </c>
      <c r="CW2">
        <f>SUMPRODUCT((M_BOM[Part Name]=$A2)*M_BOM[RM_Qty_Per_Batch]*IFERROR(INDEX(PP_Grid[#Data],M_BOM[PPGridRow],101),0))</f>
        <v/>
      </c>
      <c r="CX2">
        <f>SUMPRODUCT((M_BOM[Part Name]=$A2)*M_BOM[RM_Qty_Per_Batch]*IFERROR(INDEX(PP_Grid[#Data],M_BOM[PPGridRow],102),0))</f>
        <v/>
      </c>
      <c r="CY2">
        <f>SUMPRODUCT((M_BOM[Part Name]=$A2)*M_BOM[RM_Qty_Per_Batch]*IFERROR(INDEX(PP_Grid[#Data],M_BOM[PPGridRow],103),0))</f>
        <v/>
      </c>
      <c r="CZ2">
        <f>SUMPRODUCT((M_BOM[Part Name]=$A2)*M_BOM[RM_Qty_Per_Batch]*IFERROR(INDEX(PP_Grid[#Data],M_BOM[PPGridRow],104),0))</f>
        <v/>
      </c>
      <c r="DA2">
        <f>SUMPRODUCT((M_BOM[Part Name]=$A2)*M_BOM[RM_Qty_Per_Batch]*IFERROR(INDEX(PP_Grid[#Data],M_BOM[PPGridRow],105),0))</f>
        <v/>
      </c>
    </row>
    <row r="3">
      <c r="A3" t="inlineStr">
        <is>
          <t>CHEM-1670</t>
        </is>
      </c>
      <c r="B3">
        <f>SUMPRODUCT((M_BOM[Part Name]=$A3)*M_BOM[RM_Qty_Per_Batch]*IFERROR(INDEX(PP_Grid[#Data],M_BOM[PPGridRow],2),0))</f>
        <v/>
      </c>
      <c r="C3">
        <f>SUMPRODUCT((M_BOM[Part Name]=$A3)*M_BOM[RM_Qty_Per_Batch]*IFERROR(INDEX(PP_Grid[#Data],M_BOM[PPGridRow],3),0))</f>
        <v/>
      </c>
      <c r="D3">
        <f>SUMPRODUCT((M_BOM[Part Name]=$A3)*M_BOM[RM_Qty_Per_Batch]*IFERROR(INDEX(PP_Grid[#Data],M_BOM[PPGridRow],4),0))</f>
        <v/>
      </c>
      <c r="E3">
        <f>SUMPRODUCT((M_BOM[Part Name]=$A3)*M_BOM[RM_Qty_Per_Batch]*IFERROR(INDEX(PP_Grid[#Data],M_BOM[PPGridRow],5),0))</f>
        <v/>
      </c>
      <c r="F3">
        <f>SUMPRODUCT((M_BOM[Part Name]=$A3)*M_BOM[RM_Qty_Per_Batch]*IFERROR(INDEX(PP_Grid[#Data],M_BOM[PPGridRow],6),0))</f>
        <v/>
      </c>
      <c r="G3">
        <f>SUMPRODUCT((M_BOM[Part Name]=$A3)*M_BOM[RM_Qty_Per_Batch]*IFERROR(INDEX(PP_Grid[#Data],M_BOM[PPGridRow],7),0))</f>
        <v/>
      </c>
      <c r="H3">
        <f>SUMPRODUCT((M_BOM[Part Name]=$A3)*M_BOM[RM_Qty_Per_Batch]*IFERROR(INDEX(PP_Grid[#Data],M_BOM[PPGridRow],8),0))</f>
        <v/>
      </c>
      <c r="I3">
        <f>SUMPRODUCT((M_BOM[Part Name]=$A3)*M_BOM[RM_Qty_Per_Batch]*IFERROR(INDEX(PP_Grid[#Data],M_BOM[PPGridRow],9),0))</f>
        <v/>
      </c>
      <c r="J3">
        <f>SUMPRODUCT((M_BOM[Part Name]=$A3)*M_BOM[RM_Qty_Per_Batch]*IFERROR(INDEX(PP_Grid[#Data],M_BOM[PPGridRow],10),0))</f>
        <v/>
      </c>
      <c r="K3">
        <f>SUMPRODUCT((M_BOM[Part Name]=$A3)*M_BOM[RM_Qty_Per_Batch]*IFERROR(INDEX(PP_Grid[#Data],M_BOM[PPGridRow],11),0))</f>
        <v/>
      </c>
      <c r="L3">
        <f>SUMPRODUCT((M_BOM[Part Name]=$A3)*M_BOM[RM_Qty_Per_Batch]*IFERROR(INDEX(PP_Grid[#Data],M_BOM[PPGridRow],12),0))</f>
        <v/>
      </c>
      <c r="M3">
        <f>SUMPRODUCT((M_BOM[Part Name]=$A3)*M_BOM[RM_Qty_Per_Batch]*IFERROR(INDEX(PP_Grid[#Data],M_BOM[PPGridRow],13),0))</f>
        <v/>
      </c>
      <c r="N3">
        <f>SUMPRODUCT((M_BOM[Part Name]=$A3)*M_BOM[RM_Qty_Per_Batch]*IFERROR(INDEX(PP_Grid[#Data],M_BOM[PPGridRow],14),0))</f>
        <v/>
      </c>
      <c r="O3">
        <f>SUMPRODUCT((M_BOM[Part Name]=$A3)*M_BOM[RM_Qty_Per_Batch]*IFERROR(INDEX(PP_Grid[#Data],M_BOM[PPGridRow],15),0))</f>
        <v/>
      </c>
      <c r="P3">
        <f>SUMPRODUCT((M_BOM[Part Name]=$A3)*M_BOM[RM_Qty_Per_Batch]*IFERROR(INDEX(PP_Grid[#Data],M_BOM[PPGridRow],16),0))</f>
        <v/>
      </c>
      <c r="Q3">
        <f>SUMPRODUCT((M_BOM[Part Name]=$A3)*M_BOM[RM_Qty_Per_Batch]*IFERROR(INDEX(PP_Grid[#Data],M_BOM[PPGridRow],17),0))</f>
        <v/>
      </c>
      <c r="R3">
        <f>SUMPRODUCT((M_BOM[Part Name]=$A3)*M_BOM[RM_Qty_Per_Batch]*IFERROR(INDEX(PP_Grid[#Data],M_BOM[PPGridRow],18),0))</f>
        <v/>
      </c>
      <c r="S3">
        <f>SUMPRODUCT((M_BOM[Part Name]=$A3)*M_BOM[RM_Qty_Per_Batch]*IFERROR(INDEX(PP_Grid[#Data],M_BOM[PPGridRow],19),0))</f>
        <v/>
      </c>
      <c r="T3">
        <f>SUMPRODUCT((M_BOM[Part Name]=$A3)*M_BOM[RM_Qty_Per_Batch]*IFERROR(INDEX(PP_Grid[#Data],M_BOM[PPGridRow],20),0))</f>
        <v/>
      </c>
      <c r="U3">
        <f>SUMPRODUCT((M_BOM[Part Name]=$A3)*M_BOM[RM_Qty_Per_Batch]*IFERROR(INDEX(PP_Grid[#Data],M_BOM[PPGridRow],21),0))</f>
        <v/>
      </c>
      <c r="V3">
        <f>SUMPRODUCT((M_BOM[Part Name]=$A3)*M_BOM[RM_Qty_Per_Batch]*IFERROR(INDEX(PP_Grid[#Data],M_BOM[PPGridRow],22),0))</f>
        <v/>
      </c>
      <c r="W3">
        <f>SUMPRODUCT((M_BOM[Part Name]=$A3)*M_BOM[RM_Qty_Per_Batch]*IFERROR(INDEX(PP_Grid[#Data],M_BOM[PPGridRow],23),0))</f>
        <v/>
      </c>
      <c r="X3">
        <f>SUMPRODUCT((M_BOM[Part Name]=$A3)*M_BOM[RM_Qty_Per_Batch]*IFERROR(INDEX(PP_Grid[#Data],M_BOM[PPGridRow],24),0))</f>
        <v/>
      </c>
      <c r="Y3">
        <f>SUMPRODUCT((M_BOM[Part Name]=$A3)*M_BOM[RM_Qty_Per_Batch]*IFERROR(INDEX(PP_Grid[#Data],M_BOM[PPGridRow],25),0))</f>
        <v/>
      </c>
      <c r="Z3">
        <f>SUMPRODUCT((M_BOM[Part Name]=$A3)*M_BOM[RM_Qty_Per_Batch]*IFERROR(INDEX(PP_Grid[#Data],M_BOM[PPGridRow],26),0))</f>
        <v/>
      </c>
      <c r="AA3">
        <f>SUMPRODUCT((M_BOM[Part Name]=$A3)*M_BOM[RM_Qty_Per_Batch]*IFERROR(INDEX(PP_Grid[#Data],M_BOM[PPGridRow],27),0))</f>
        <v/>
      </c>
      <c r="AB3">
        <f>SUMPRODUCT((M_BOM[Part Name]=$A3)*M_BOM[RM_Qty_Per_Batch]*IFERROR(INDEX(PP_Grid[#Data],M_BOM[PPGridRow],28),0))</f>
        <v/>
      </c>
      <c r="AC3">
        <f>SUMPRODUCT((M_BOM[Part Name]=$A3)*M_BOM[RM_Qty_Per_Batch]*IFERROR(INDEX(PP_Grid[#Data],M_BOM[PPGridRow],29),0))</f>
        <v/>
      </c>
      <c r="AD3">
        <f>SUMPRODUCT((M_BOM[Part Name]=$A3)*M_BOM[RM_Qty_Per_Batch]*IFERROR(INDEX(PP_Grid[#Data],M_BOM[PPGridRow],30),0))</f>
        <v/>
      </c>
      <c r="AE3">
        <f>SUMPRODUCT((M_BOM[Part Name]=$A3)*M_BOM[RM_Qty_Per_Batch]*IFERROR(INDEX(PP_Grid[#Data],M_BOM[PPGridRow],31),0))</f>
        <v/>
      </c>
      <c r="AF3">
        <f>SUMPRODUCT((M_BOM[Part Name]=$A3)*M_BOM[RM_Qty_Per_Batch]*IFERROR(INDEX(PP_Grid[#Data],M_BOM[PPGridRow],32),0))</f>
        <v/>
      </c>
      <c r="AG3">
        <f>SUMPRODUCT((M_BOM[Part Name]=$A3)*M_BOM[RM_Qty_Per_Batch]*IFERROR(INDEX(PP_Grid[#Data],M_BOM[PPGridRow],33),0))</f>
        <v/>
      </c>
      <c r="AH3">
        <f>SUMPRODUCT((M_BOM[Part Name]=$A3)*M_BOM[RM_Qty_Per_Batch]*IFERROR(INDEX(PP_Grid[#Data],M_BOM[PPGridRow],34),0))</f>
        <v/>
      </c>
      <c r="AI3">
        <f>SUMPRODUCT((M_BOM[Part Name]=$A3)*M_BOM[RM_Qty_Per_Batch]*IFERROR(INDEX(PP_Grid[#Data],M_BOM[PPGridRow],35),0))</f>
        <v/>
      </c>
      <c r="AJ3">
        <f>SUMPRODUCT((M_BOM[Part Name]=$A3)*M_BOM[RM_Qty_Per_Batch]*IFERROR(INDEX(PP_Grid[#Data],M_BOM[PPGridRow],36),0))</f>
        <v/>
      </c>
      <c r="AK3">
        <f>SUMPRODUCT((M_BOM[Part Name]=$A3)*M_BOM[RM_Qty_Per_Batch]*IFERROR(INDEX(PP_Grid[#Data],M_BOM[PPGridRow],37),0))</f>
        <v/>
      </c>
      <c r="AL3">
        <f>SUMPRODUCT((M_BOM[Part Name]=$A3)*M_BOM[RM_Qty_Per_Batch]*IFERROR(INDEX(PP_Grid[#Data],M_BOM[PPGridRow],38),0))</f>
        <v/>
      </c>
      <c r="AM3">
        <f>SUMPRODUCT((M_BOM[Part Name]=$A3)*M_BOM[RM_Qty_Per_Batch]*IFERROR(INDEX(PP_Grid[#Data],M_BOM[PPGridRow],39),0))</f>
        <v/>
      </c>
      <c r="AN3">
        <f>SUMPRODUCT((M_BOM[Part Name]=$A3)*M_BOM[RM_Qty_Per_Batch]*IFERROR(INDEX(PP_Grid[#Data],M_BOM[PPGridRow],40),0))</f>
        <v/>
      </c>
      <c r="AO3">
        <f>SUMPRODUCT((M_BOM[Part Name]=$A3)*M_BOM[RM_Qty_Per_Batch]*IFERROR(INDEX(PP_Grid[#Data],M_BOM[PPGridRow],41),0))</f>
        <v/>
      </c>
      <c r="AP3">
        <f>SUMPRODUCT((M_BOM[Part Name]=$A3)*M_BOM[RM_Qty_Per_Batch]*IFERROR(INDEX(PP_Grid[#Data],M_BOM[PPGridRow],42),0))</f>
        <v/>
      </c>
      <c r="AQ3">
        <f>SUMPRODUCT((M_BOM[Part Name]=$A3)*M_BOM[RM_Qty_Per_Batch]*IFERROR(INDEX(PP_Grid[#Data],M_BOM[PPGridRow],43),0))</f>
        <v/>
      </c>
      <c r="AR3">
        <f>SUMPRODUCT((M_BOM[Part Name]=$A3)*M_BOM[RM_Qty_Per_Batch]*IFERROR(INDEX(PP_Grid[#Data],M_BOM[PPGridRow],44),0))</f>
        <v/>
      </c>
      <c r="AS3">
        <f>SUMPRODUCT((M_BOM[Part Name]=$A3)*M_BOM[RM_Qty_Per_Batch]*IFERROR(INDEX(PP_Grid[#Data],M_BOM[PPGridRow],45),0))</f>
        <v/>
      </c>
      <c r="AT3">
        <f>SUMPRODUCT((M_BOM[Part Name]=$A3)*M_BOM[RM_Qty_Per_Batch]*IFERROR(INDEX(PP_Grid[#Data],M_BOM[PPGridRow],46),0))</f>
        <v/>
      </c>
      <c r="AU3">
        <f>SUMPRODUCT((M_BOM[Part Name]=$A3)*M_BOM[RM_Qty_Per_Batch]*IFERROR(INDEX(PP_Grid[#Data],M_BOM[PPGridRow],47),0))</f>
        <v/>
      </c>
      <c r="AV3">
        <f>SUMPRODUCT((M_BOM[Part Name]=$A3)*M_BOM[RM_Qty_Per_Batch]*IFERROR(INDEX(PP_Grid[#Data],M_BOM[PPGridRow],48),0))</f>
        <v/>
      </c>
      <c r="AW3">
        <f>SUMPRODUCT((M_BOM[Part Name]=$A3)*M_BOM[RM_Qty_Per_Batch]*IFERROR(INDEX(PP_Grid[#Data],M_BOM[PPGridRow],49),0))</f>
        <v/>
      </c>
      <c r="AX3">
        <f>SUMPRODUCT((M_BOM[Part Name]=$A3)*M_BOM[RM_Qty_Per_Batch]*IFERROR(INDEX(PP_Grid[#Data],M_BOM[PPGridRow],50),0))</f>
        <v/>
      </c>
      <c r="AY3">
        <f>SUMPRODUCT((M_BOM[Part Name]=$A3)*M_BOM[RM_Qty_Per_Batch]*IFERROR(INDEX(PP_Grid[#Data],M_BOM[PPGridRow],51),0))</f>
        <v/>
      </c>
      <c r="AZ3">
        <f>SUMPRODUCT((M_BOM[Part Name]=$A3)*M_BOM[RM_Qty_Per_Batch]*IFERROR(INDEX(PP_Grid[#Data],M_BOM[PPGridRow],52),0))</f>
        <v/>
      </c>
      <c r="BA3">
        <f>SUMPRODUCT((M_BOM[Part Name]=$A3)*M_BOM[RM_Qty_Per_Batch]*IFERROR(INDEX(PP_Grid[#Data],M_BOM[PPGridRow],53),0))</f>
        <v/>
      </c>
      <c r="BB3">
        <f>SUMPRODUCT((M_BOM[Part Name]=$A3)*M_BOM[RM_Qty_Per_Batch]*IFERROR(INDEX(PP_Grid[#Data],M_BOM[PPGridRow],54),0))</f>
        <v/>
      </c>
      <c r="BC3">
        <f>SUMPRODUCT((M_BOM[Part Name]=$A3)*M_BOM[RM_Qty_Per_Batch]*IFERROR(INDEX(PP_Grid[#Data],M_BOM[PPGridRow],55),0))</f>
        <v/>
      </c>
      <c r="BD3">
        <f>SUMPRODUCT((M_BOM[Part Name]=$A3)*M_BOM[RM_Qty_Per_Batch]*IFERROR(INDEX(PP_Grid[#Data],M_BOM[PPGridRow],56),0))</f>
        <v/>
      </c>
      <c r="BE3">
        <f>SUMPRODUCT((M_BOM[Part Name]=$A3)*M_BOM[RM_Qty_Per_Batch]*IFERROR(INDEX(PP_Grid[#Data],M_BOM[PPGridRow],57),0))</f>
        <v/>
      </c>
      <c r="BF3">
        <f>SUMPRODUCT((M_BOM[Part Name]=$A3)*M_BOM[RM_Qty_Per_Batch]*IFERROR(INDEX(PP_Grid[#Data],M_BOM[PPGridRow],58),0))</f>
        <v/>
      </c>
      <c r="BG3">
        <f>SUMPRODUCT((M_BOM[Part Name]=$A3)*M_BOM[RM_Qty_Per_Batch]*IFERROR(INDEX(PP_Grid[#Data],M_BOM[PPGridRow],59),0))</f>
        <v/>
      </c>
      <c r="BH3">
        <f>SUMPRODUCT((M_BOM[Part Name]=$A3)*M_BOM[RM_Qty_Per_Batch]*IFERROR(INDEX(PP_Grid[#Data],M_BOM[PPGridRow],60),0))</f>
        <v/>
      </c>
      <c r="BI3">
        <f>SUMPRODUCT((M_BOM[Part Name]=$A3)*M_BOM[RM_Qty_Per_Batch]*IFERROR(INDEX(PP_Grid[#Data],M_BOM[PPGridRow],61),0))</f>
        <v/>
      </c>
      <c r="BJ3">
        <f>SUMPRODUCT((M_BOM[Part Name]=$A3)*M_BOM[RM_Qty_Per_Batch]*IFERROR(INDEX(PP_Grid[#Data],M_BOM[PPGridRow],62),0))</f>
        <v/>
      </c>
      <c r="BK3">
        <f>SUMPRODUCT((M_BOM[Part Name]=$A3)*M_BOM[RM_Qty_Per_Batch]*IFERROR(INDEX(PP_Grid[#Data],M_BOM[PPGridRow],63),0))</f>
        <v/>
      </c>
      <c r="BL3">
        <f>SUMPRODUCT((M_BOM[Part Name]=$A3)*M_BOM[RM_Qty_Per_Batch]*IFERROR(INDEX(PP_Grid[#Data],M_BOM[PPGridRow],64),0))</f>
        <v/>
      </c>
      <c r="BM3">
        <f>SUMPRODUCT((M_BOM[Part Name]=$A3)*M_BOM[RM_Qty_Per_Batch]*IFERROR(INDEX(PP_Grid[#Data],M_BOM[PPGridRow],65),0))</f>
        <v/>
      </c>
      <c r="BN3">
        <f>SUMPRODUCT((M_BOM[Part Name]=$A3)*M_BOM[RM_Qty_Per_Batch]*IFERROR(INDEX(PP_Grid[#Data],M_BOM[PPGridRow],66),0))</f>
        <v/>
      </c>
      <c r="BO3">
        <f>SUMPRODUCT((M_BOM[Part Name]=$A3)*M_BOM[RM_Qty_Per_Batch]*IFERROR(INDEX(PP_Grid[#Data],M_BOM[PPGridRow],67),0))</f>
        <v/>
      </c>
      <c r="BP3">
        <f>SUMPRODUCT((M_BOM[Part Name]=$A3)*M_BOM[RM_Qty_Per_Batch]*IFERROR(INDEX(PP_Grid[#Data],M_BOM[PPGridRow],68),0))</f>
        <v/>
      </c>
      <c r="BQ3">
        <f>SUMPRODUCT((M_BOM[Part Name]=$A3)*M_BOM[RM_Qty_Per_Batch]*IFERROR(INDEX(PP_Grid[#Data],M_BOM[PPGridRow],69),0))</f>
        <v/>
      </c>
      <c r="BR3">
        <f>SUMPRODUCT((M_BOM[Part Name]=$A3)*M_BOM[RM_Qty_Per_Batch]*IFERROR(INDEX(PP_Grid[#Data],M_BOM[PPGridRow],70),0))</f>
        <v/>
      </c>
      <c r="BS3">
        <f>SUMPRODUCT((M_BOM[Part Name]=$A3)*M_BOM[RM_Qty_Per_Batch]*IFERROR(INDEX(PP_Grid[#Data],M_BOM[PPGridRow],71),0))</f>
        <v/>
      </c>
      <c r="BT3">
        <f>SUMPRODUCT((M_BOM[Part Name]=$A3)*M_BOM[RM_Qty_Per_Batch]*IFERROR(INDEX(PP_Grid[#Data],M_BOM[PPGridRow],72),0))</f>
        <v/>
      </c>
      <c r="BU3">
        <f>SUMPRODUCT((M_BOM[Part Name]=$A3)*M_BOM[RM_Qty_Per_Batch]*IFERROR(INDEX(PP_Grid[#Data],M_BOM[PPGridRow],73),0))</f>
        <v/>
      </c>
      <c r="BV3">
        <f>SUMPRODUCT((M_BOM[Part Name]=$A3)*M_BOM[RM_Qty_Per_Batch]*IFERROR(INDEX(PP_Grid[#Data],M_BOM[PPGridRow],74),0))</f>
        <v/>
      </c>
      <c r="BW3">
        <f>SUMPRODUCT((M_BOM[Part Name]=$A3)*M_BOM[RM_Qty_Per_Batch]*IFERROR(INDEX(PP_Grid[#Data],M_BOM[PPGridRow],75),0))</f>
        <v/>
      </c>
      <c r="BX3">
        <f>SUMPRODUCT((M_BOM[Part Name]=$A3)*M_BOM[RM_Qty_Per_Batch]*IFERROR(INDEX(PP_Grid[#Data],M_BOM[PPGridRow],76),0))</f>
        <v/>
      </c>
      <c r="BY3">
        <f>SUMPRODUCT((M_BOM[Part Name]=$A3)*M_BOM[RM_Qty_Per_Batch]*IFERROR(INDEX(PP_Grid[#Data],M_BOM[PPGridRow],77),0))</f>
        <v/>
      </c>
      <c r="BZ3">
        <f>SUMPRODUCT((M_BOM[Part Name]=$A3)*M_BOM[RM_Qty_Per_Batch]*IFERROR(INDEX(PP_Grid[#Data],M_BOM[PPGridRow],78),0))</f>
        <v/>
      </c>
      <c r="CA3">
        <f>SUMPRODUCT((M_BOM[Part Name]=$A3)*M_BOM[RM_Qty_Per_Batch]*IFERROR(INDEX(PP_Grid[#Data],M_BOM[PPGridRow],79),0))</f>
        <v/>
      </c>
      <c r="CB3">
        <f>SUMPRODUCT((M_BOM[Part Name]=$A3)*M_BOM[RM_Qty_Per_Batch]*IFERROR(INDEX(PP_Grid[#Data],M_BOM[PPGridRow],80),0))</f>
        <v/>
      </c>
      <c r="CC3">
        <f>SUMPRODUCT((M_BOM[Part Name]=$A3)*M_BOM[RM_Qty_Per_Batch]*IFERROR(INDEX(PP_Grid[#Data],M_BOM[PPGridRow],81),0))</f>
        <v/>
      </c>
      <c r="CD3">
        <f>SUMPRODUCT((M_BOM[Part Name]=$A3)*M_BOM[RM_Qty_Per_Batch]*IFERROR(INDEX(PP_Grid[#Data],M_BOM[PPGridRow],82),0))</f>
        <v/>
      </c>
      <c r="CE3">
        <f>SUMPRODUCT((M_BOM[Part Name]=$A3)*M_BOM[RM_Qty_Per_Batch]*IFERROR(INDEX(PP_Grid[#Data],M_BOM[PPGridRow],83),0))</f>
        <v/>
      </c>
      <c r="CF3">
        <f>SUMPRODUCT((M_BOM[Part Name]=$A3)*M_BOM[RM_Qty_Per_Batch]*IFERROR(INDEX(PP_Grid[#Data],M_BOM[PPGridRow],84),0))</f>
        <v/>
      </c>
      <c r="CG3">
        <f>SUMPRODUCT((M_BOM[Part Name]=$A3)*M_BOM[RM_Qty_Per_Batch]*IFERROR(INDEX(PP_Grid[#Data],M_BOM[PPGridRow],85),0))</f>
        <v/>
      </c>
      <c r="CH3">
        <f>SUMPRODUCT((M_BOM[Part Name]=$A3)*M_BOM[RM_Qty_Per_Batch]*IFERROR(INDEX(PP_Grid[#Data],M_BOM[PPGridRow],86),0))</f>
        <v/>
      </c>
      <c r="CI3">
        <f>SUMPRODUCT((M_BOM[Part Name]=$A3)*M_BOM[RM_Qty_Per_Batch]*IFERROR(INDEX(PP_Grid[#Data],M_BOM[PPGridRow],87),0))</f>
        <v/>
      </c>
      <c r="CJ3">
        <f>SUMPRODUCT((M_BOM[Part Name]=$A3)*M_BOM[RM_Qty_Per_Batch]*IFERROR(INDEX(PP_Grid[#Data],M_BOM[PPGridRow],88),0))</f>
        <v/>
      </c>
      <c r="CK3">
        <f>SUMPRODUCT((M_BOM[Part Name]=$A3)*M_BOM[RM_Qty_Per_Batch]*IFERROR(INDEX(PP_Grid[#Data],M_BOM[PPGridRow],89),0))</f>
        <v/>
      </c>
      <c r="CL3">
        <f>SUMPRODUCT((M_BOM[Part Name]=$A3)*M_BOM[RM_Qty_Per_Batch]*IFERROR(INDEX(PP_Grid[#Data],M_BOM[PPGridRow],90),0))</f>
        <v/>
      </c>
      <c r="CM3">
        <f>SUMPRODUCT((M_BOM[Part Name]=$A3)*M_BOM[RM_Qty_Per_Batch]*IFERROR(INDEX(PP_Grid[#Data],M_BOM[PPGridRow],91),0))</f>
        <v/>
      </c>
      <c r="CN3">
        <f>SUMPRODUCT((M_BOM[Part Name]=$A3)*M_BOM[RM_Qty_Per_Batch]*IFERROR(INDEX(PP_Grid[#Data],M_BOM[PPGridRow],92),0))</f>
        <v/>
      </c>
      <c r="CO3">
        <f>SUMPRODUCT((M_BOM[Part Name]=$A3)*M_BOM[RM_Qty_Per_Batch]*IFERROR(INDEX(PP_Grid[#Data],M_BOM[PPGridRow],93),0))</f>
        <v/>
      </c>
      <c r="CP3">
        <f>SUMPRODUCT((M_BOM[Part Name]=$A3)*M_BOM[RM_Qty_Per_Batch]*IFERROR(INDEX(PP_Grid[#Data],M_BOM[PPGridRow],94),0))</f>
        <v/>
      </c>
      <c r="CQ3">
        <f>SUMPRODUCT((M_BOM[Part Name]=$A3)*M_BOM[RM_Qty_Per_Batch]*IFERROR(INDEX(PP_Grid[#Data],M_BOM[PPGridRow],95),0))</f>
        <v/>
      </c>
      <c r="CR3">
        <f>SUMPRODUCT((M_BOM[Part Name]=$A3)*M_BOM[RM_Qty_Per_Batch]*IFERROR(INDEX(PP_Grid[#Data],M_BOM[PPGridRow],96),0))</f>
        <v/>
      </c>
      <c r="CS3">
        <f>SUMPRODUCT((M_BOM[Part Name]=$A3)*M_BOM[RM_Qty_Per_Batch]*IFERROR(INDEX(PP_Grid[#Data],M_BOM[PPGridRow],97),0))</f>
        <v/>
      </c>
      <c r="CT3">
        <f>SUMPRODUCT((M_BOM[Part Name]=$A3)*M_BOM[RM_Qty_Per_Batch]*IFERROR(INDEX(PP_Grid[#Data],M_BOM[PPGridRow],98),0))</f>
        <v/>
      </c>
      <c r="CU3">
        <f>SUMPRODUCT((M_BOM[Part Name]=$A3)*M_BOM[RM_Qty_Per_Batch]*IFERROR(INDEX(PP_Grid[#Data],M_BOM[PPGridRow],99),0))</f>
        <v/>
      </c>
      <c r="CV3">
        <f>SUMPRODUCT((M_BOM[Part Name]=$A3)*M_BOM[RM_Qty_Per_Batch]*IFERROR(INDEX(PP_Grid[#Data],M_BOM[PPGridRow],100),0))</f>
        <v/>
      </c>
      <c r="CW3">
        <f>SUMPRODUCT((M_BOM[Part Name]=$A3)*M_BOM[RM_Qty_Per_Batch]*IFERROR(INDEX(PP_Grid[#Data],M_BOM[PPGridRow],101),0))</f>
        <v/>
      </c>
      <c r="CX3">
        <f>SUMPRODUCT((M_BOM[Part Name]=$A3)*M_BOM[RM_Qty_Per_Batch]*IFERROR(INDEX(PP_Grid[#Data],M_BOM[PPGridRow],102),0))</f>
        <v/>
      </c>
      <c r="CY3">
        <f>SUMPRODUCT((M_BOM[Part Name]=$A3)*M_BOM[RM_Qty_Per_Batch]*IFERROR(INDEX(PP_Grid[#Data],M_BOM[PPGridRow],103),0))</f>
        <v/>
      </c>
      <c r="CZ3">
        <f>SUMPRODUCT((M_BOM[Part Name]=$A3)*M_BOM[RM_Qty_Per_Batch]*IFERROR(INDEX(PP_Grid[#Data],M_BOM[PPGridRow],104),0))</f>
        <v/>
      </c>
      <c r="DA3">
        <f>SUMPRODUCT((M_BOM[Part Name]=$A3)*M_BOM[RM_Qty_Per_Batch]*IFERROR(INDEX(PP_Grid[#Data],M_BOM[PPGridRow],105),0))</f>
        <v/>
      </c>
    </row>
    <row r="4">
      <c r="A4" t="inlineStr">
        <is>
          <t>CHEM-1700</t>
        </is>
      </c>
      <c r="B4">
        <f>SUMPRODUCT((M_BOM[Part Name]=$A4)*M_BOM[RM_Qty_Per_Batch]*IFERROR(INDEX(PP_Grid[#Data],M_BOM[PPGridRow],2),0))</f>
        <v/>
      </c>
      <c r="C4">
        <f>SUMPRODUCT((M_BOM[Part Name]=$A4)*M_BOM[RM_Qty_Per_Batch]*IFERROR(INDEX(PP_Grid[#Data],M_BOM[PPGridRow],3),0))</f>
        <v/>
      </c>
      <c r="D4">
        <f>SUMPRODUCT((M_BOM[Part Name]=$A4)*M_BOM[RM_Qty_Per_Batch]*IFERROR(INDEX(PP_Grid[#Data],M_BOM[PPGridRow],4),0))</f>
        <v/>
      </c>
      <c r="E4">
        <f>SUMPRODUCT((M_BOM[Part Name]=$A4)*M_BOM[RM_Qty_Per_Batch]*IFERROR(INDEX(PP_Grid[#Data],M_BOM[PPGridRow],5),0))</f>
        <v/>
      </c>
      <c r="F4">
        <f>SUMPRODUCT((M_BOM[Part Name]=$A4)*M_BOM[RM_Qty_Per_Batch]*IFERROR(INDEX(PP_Grid[#Data],M_BOM[PPGridRow],6),0))</f>
        <v/>
      </c>
      <c r="G4">
        <f>SUMPRODUCT((M_BOM[Part Name]=$A4)*M_BOM[RM_Qty_Per_Batch]*IFERROR(INDEX(PP_Grid[#Data],M_BOM[PPGridRow],7),0))</f>
        <v/>
      </c>
      <c r="H4">
        <f>SUMPRODUCT((M_BOM[Part Name]=$A4)*M_BOM[RM_Qty_Per_Batch]*IFERROR(INDEX(PP_Grid[#Data],M_BOM[PPGridRow],8),0))</f>
        <v/>
      </c>
      <c r="I4">
        <f>SUMPRODUCT((M_BOM[Part Name]=$A4)*M_BOM[RM_Qty_Per_Batch]*IFERROR(INDEX(PP_Grid[#Data],M_BOM[PPGridRow],9),0))</f>
        <v/>
      </c>
      <c r="J4">
        <f>SUMPRODUCT((M_BOM[Part Name]=$A4)*M_BOM[RM_Qty_Per_Batch]*IFERROR(INDEX(PP_Grid[#Data],M_BOM[PPGridRow],10),0))</f>
        <v/>
      </c>
      <c r="K4">
        <f>SUMPRODUCT((M_BOM[Part Name]=$A4)*M_BOM[RM_Qty_Per_Batch]*IFERROR(INDEX(PP_Grid[#Data],M_BOM[PPGridRow],11),0))</f>
        <v/>
      </c>
      <c r="L4">
        <f>SUMPRODUCT((M_BOM[Part Name]=$A4)*M_BOM[RM_Qty_Per_Batch]*IFERROR(INDEX(PP_Grid[#Data],M_BOM[PPGridRow],12),0))</f>
        <v/>
      </c>
      <c r="M4">
        <f>SUMPRODUCT((M_BOM[Part Name]=$A4)*M_BOM[RM_Qty_Per_Batch]*IFERROR(INDEX(PP_Grid[#Data],M_BOM[PPGridRow],13),0))</f>
        <v/>
      </c>
      <c r="N4">
        <f>SUMPRODUCT((M_BOM[Part Name]=$A4)*M_BOM[RM_Qty_Per_Batch]*IFERROR(INDEX(PP_Grid[#Data],M_BOM[PPGridRow],14),0))</f>
        <v/>
      </c>
      <c r="O4">
        <f>SUMPRODUCT((M_BOM[Part Name]=$A4)*M_BOM[RM_Qty_Per_Batch]*IFERROR(INDEX(PP_Grid[#Data],M_BOM[PPGridRow],15),0))</f>
        <v/>
      </c>
      <c r="P4">
        <f>SUMPRODUCT((M_BOM[Part Name]=$A4)*M_BOM[RM_Qty_Per_Batch]*IFERROR(INDEX(PP_Grid[#Data],M_BOM[PPGridRow],16),0))</f>
        <v/>
      </c>
      <c r="Q4">
        <f>SUMPRODUCT((M_BOM[Part Name]=$A4)*M_BOM[RM_Qty_Per_Batch]*IFERROR(INDEX(PP_Grid[#Data],M_BOM[PPGridRow],17),0))</f>
        <v/>
      </c>
      <c r="R4">
        <f>SUMPRODUCT((M_BOM[Part Name]=$A4)*M_BOM[RM_Qty_Per_Batch]*IFERROR(INDEX(PP_Grid[#Data],M_BOM[PPGridRow],18),0))</f>
        <v/>
      </c>
      <c r="S4">
        <f>SUMPRODUCT((M_BOM[Part Name]=$A4)*M_BOM[RM_Qty_Per_Batch]*IFERROR(INDEX(PP_Grid[#Data],M_BOM[PPGridRow],19),0))</f>
        <v/>
      </c>
      <c r="T4">
        <f>SUMPRODUCT((M_BOM[Part Name]=$A4)*M_BOM[RM_Qty_Per_Batch]*IFERROR(INDEX(PP_Grid[#Data],M_BOM[PPGridRow],20),0))</f>
        <v/>
      </c>
      <c r="U4">
        <f>SUMPRODUCT((M_BOM[Part Name]=$A4)*M_BOM[RM_Qty_Per_Batch]*IFERROR(INDEX(PP_Grid[#Data],M_BOM[PPGridRow],21),0))</f>
        <v/>
      </c>
      <c r="V4">
        <f>SUMPRODUCT((M_BOM[Part Name]=$A4)*M_BOM[RM_Qty_Per_Batch]*IFERROR(INDEX(PP_Grid[#Data],M_BOM[PPGridRow],22),0))</f>
        <v/>
      </c>
      <c r="W4">
        <f>SUMPRODUCT((M_BOM[Part Name]=$A4)*M_BOM[RM_Qty_Per_Batch]*IFERROR(INDEX(PP_Grid[#Data],M_BOM[PPGridRow],23),0))</f>
        <v/>
      </c>
      <c r="X4">
        <f>SUMPRODUCT((M_BOM[Part Name]=$A4)*M_BOM[RM_Qty_Per_Batch]*IFERROR(INDEX(PP_Grid[#Data],M_BOM[PPGridRow],24),0))</f>
        <v/>
      </c>
      <c r="Y4">
        <f>SUMPRODUCT((M_BOM[Part Name]=$A4)*M_BOM[RM_Qty_Per_Batch]*IFERROR(INDEX(PP_Grid[#Data],M_BOM[PPGridRow],25),0))</f>
        <v/>
      </c>
      <c r="Z4">
        <f>SUMPRODUCT((M_BOM[Part Name]=$A4)*M_BOM[RM_Qty_Per_Batch]*IFERROR(INDEX(PP_Grid[#Data],M_BOM[PPGridRow],26),0))</f>
        <v/>
      </c>
      <c r="AA4">
        <f>SUMPRODUCT((M_BOM[Part Name]=$A4)*M_BOM[RM_Qty_Per_Batch]*IFERROR(INDEX(PP_Grid[#Data],M_BOM[PPGridRow],27),0))</f>
        <v/>
      </c>
      <c r="AB4">
        <f>SUMPRODUCT((M_BOM[Part Name]=$A4)*M_BOM[RM_Qty_Per_Batch]*IFERROR(INDEX(PP_Grid[#Data],M_BOM[PPGridRow],28),0))</f>
        <v/>
      </c>
      <c r="AC4">
        <f>SUMPRODUCT((M_BOM[Part Name]=$A4)*M_BOM[RM_Qty_Per_Batch]*IFERROR(INDEX(PP_Grid[#Data],M_BOM[PPGridRow],29),0))</f>
        <v/>
      </c>
      <c r="AD4">
        <f>SUMPRODUCT((M_BOM[Part Name]=$A4)*M_BOM[RM_Qty_Per_Batch]*IFERROR(INDEX(PP_Grid[#Data],M_BOM[PPGridRow],30),0))</f>
        <v/>
      </c>
      <c r="AE4">
        <f>SUMPRODUCT((M_BOM[Part Name]=$A4)*M_BOM[RM_Qty_Per_Batch]*IFERROR(INDEX(PP_Grid[#Data],M_BOM[PPGridRow],31),0))</f>
        <v/>
      </c>
      <c r="AF4">
        <f>SUMPRODUCT((M_BOM[Part Name]=$A4)*M_BOM[RM_Qty_Per_Batch]*IFERROR(INDEX(PP_Grid[#Data],M_BOM[PPGridRow],32),0))</f>
        <v/>
      </c>
      <c r="AG4">
        <f>SUMPRODUCT((M_BOM[Part Name]=$A4)*M_BOM[RM_Qty_Per_Batch]*IFERROR(INDEX(PP_Grid[#Data],M_BOM[PPGridRow],33),0))</f>
        <v/>
      </c>
      <c r="AH4">
        <f>SUMPRODUCT((M_BOM[Part Name]=$A4)*M_BOM[RM_Qty_Per_Batch]*IFERROR(INDEX(PP_Grid[#Data],M_BOM[PPGridRow],34),0))</f>
        <v/>
      </c>
      <c r="AI4">
        <f>SUMPRODUCT((M_BOM[Part Name]=$A4)*M_BOM[RM_Qty_Per_Batch]*IFERROR(INDEX(PP_Grid[#Data],M_BOM[PPGridRow],35),0))</f>
        <v/>
      </c>
      <c r="AJ4">
        <f>SUMPRODUCT((M_BOM[Part Name]=$A4)*M_BOM[RM_Qty_Per_Batch]*IFERROR(INDEX(PP_Grid[#Data],M_BOM[PPGridRow],36),0))</f>
        <v/>
      </c>
      <c r="AK4">
        <f>SUMPRODUCT((M_BOM[Part Name]=$A4)*M_BOM[RM_Qty_Per_Batch]*IFERROR(INDEX(PP_Grid[#Data],M_BOM[PPGridRow],37),0))</f>
        <v/>
      </c>
      <c r="AL4">
        <f>SUMPRODUCT((M_BOM[Part Name]=$A4)*M_BOM[RM_Qty_Per_Batch]*IFERROR(INDEX(PP_Grid[#Data],M_BOM[PPGridRow],38),0))</f>
        <v/>
      </c>
      <c r="AM4">
        <f>SUMPRODUCT((M_BOM[Part Name]=$A4)*M_BOM[RM_Qty_Per_Batch]*IFERROR(INDEX(PP_Grid[#Data],M_BOM[PPGridRow],39),0))</f>
        <v/>
      </c>
      <c r="AN4">
        <f>SUMPRODUCT((M_BOM[Part Name]=$A4)*M_BOM[RM_Qty_Per_Batch]*IFERROR(INDEX(PP_Grid[#Data],M_BOM[PPGridRow],40),0))</f>
        <v/>
      </c>
      <c r="AO4">
        <f>SUMPRODUCT((M_BOM[Part Name]=$A4)*M_BOM[RM_Qty_Per_Batch]*IFERROR(INDEX(PP_Grid[#Data],M_BOM[PPGridRow],41),0))</f>
        <v/>
      </c>
      <c r="AP4">
        <f>SUMPRODUCT((M_BOM[Part Name]=$A4)*M_BOM[RM_Qty_Per_Batch]*IFERROR(INDEX(PP_Grid[#Data],M_BOM[PPGridRow],42),0))</f>
        <v/>
      </c>
      <c r="AQ4">
        <f>SUMPRODUCT((M_BOM[Part Name]=$A4)*M_BOM[RM_Qty_Per_Batch]*IFERROR(INDEX(PP_Grid[#Data],M_BOM[PPGridRow],43),0))</f>
        <v/>
      </c>
      <c r="AR4">
        <f>SUMPRODUCT((M_BOM[Part Name]=$A4)*M_BOM[RM_Qty_Per_Batch]*IFERROR(INDEX(PP_Grid[#Data],M_BOM[PPGridRow],44),0))</f>
        <v/>
      </c>
      <c r="AS4">
        <f>SUMPRODUCT((M_BOM[Part Name]=$A4)*M_BOM[RM_Qty_Per_Batch]*IFERROR(INDEX(PP_Grid[#Data],M_BOM[PPGridRow],45),0))</f>
        <v/>
      </c>
      <c r="AT4">
        <f>SUMPRODUCT((M_BOM[Part Name]=$A4)*M_BOM[RM_Qty_Per_Batch]*IFERROR(INDEX(PP_Grid[#Data],M_BOM[PPGridRow],46),0))</f>
        <v/>
      </c>
      <c r="AU4">
        <f>SUMPRODUCT((M_BOM[Part Name]=$A4)*M_BOM[RM_Qty_Per_Batch]*IFERROR(INDEX(PP_Grid[#Data],M_BOM[PPGridRow],47),0))</f>
        <v/>
      </c>
      <c r="AV4">
        <f>SUMPRODUCT((M_BOM[Part Name]=$A4)*M_BOM[RM_Qty_Per_Batch]*IFERROR(INDEX(PP_Grid[#Data],M_BOM[PPGridRow],48),0))</f>
        <v/>
      </c>
      <c r="AW4">
        <f>SUMPRODUCT((M_BOM[Part Name]=$A4)*M_BOM[RM_Qty_Per_Batch]*IFERROR(INDEX(PP_Grid[#Data],M_BOM[PPGridRow],49),0))</f>
        <v/>
      </c>
      <c r="AX4">
        <f>SUMPRODUCT((M_BOM[Part Name]=$A4)*M_BOM[RM_Qty_Per_Batch]*IFERROR(INDEX(PP_Grid[#Data],M_BOM[PPGridRow],50),0))</f>
        <v/>
      </c>
      <c r="AY4">
        <f>SUMPRODUCT((M_BOM[Part Name]=$A4)*M_BOM[RM_Qty_Per_Batch]*IFERROR(INDEX(PP_Grid[#Data],M_BOM[PPGridRow],51),0))</f>
        <v/>
      </c>
      <c r="AZ4">
        <f>SUMPRODUCT((M_BOM[Part Name]=$A4)*M_BOM[RM_Qty_Per_Batch]*IFERROR(INDEX(PP_Grid[#Data],M_BOM[PPGridRow],52),0))</f>
        <v/>
      </c>
      <c r="BA4">
        <f>SUMPRODUCT((M_BOM[Part Name]=$A4)*M_BOM[RM_Qty_Per_Batch]*IFERROR(INDEX(PP_Grid[#Data],M_BOM[PPGridRow],53),0))</f>
        <v/>
      </c>
      <c r="BB4">
        <f>SUMPRODUCT((M_BOM[Part Name]=$A4)*M_BOM[RM_Qty_Per_Batch]*IFERROR(INDEX(PP_Grid[#Data],M_BOM[PPGridRow],54),0))</f>
        <v/>
      </c>
      <c r="BC4">
        <f>SUMPRODUCT((M_BOM[Part Name]=$A4)*M_BOM[RM_Qty_Per_Batch]*IFERROR(INDEX(PP_Grid[#Data],M_BOM[PPGridRow],55),0))</f>
        <v/>
      </c>
      <c r="BD4">
        <f>SUMPRODUCT((M_BOM[Part Name]=$A4)*M_BOM[RM_Qty_Per_Batch]*IFERROR(INDEX(PP_Grid[#Data],M_BOM[PPGridRow],56),0))</f>
        <v/>
      </c>
      <c r="BE4">
        <f>SUMPRODUCT((M_BOM[Part Name]=$A4)*M_BOM[RM_Qty_Per_Batch]*IFERROR(INDEX(PP_Grid[#Data],M_BOM[PPGridRow],57),0))</f>
        <v/>
      </c>
      <c r="BF4">
        <f>SUMPRODUCT((M_BOM[Part Name]=$A4)*M_BOM[RM_Qty_Per_Batch]*IFERROR(INDEX(PP_Grid[#Data],M_BOM[PPGridRow],58),0))</f>
        <v/>
      </c>
      <c r="BG4">
        <f>SUMPRODUCT((M_BOM[Part Name]=$A4)*M_BOM[RM_Qty_Per_Batch]*IFERROR(INDEX(PP_Grid[#Data],M_BOM[PPGridRow],59),0))</f>
        <v/>
      </c>
      <c r="BH4">
        <f>SUMPRODUCT((M_BOM[Part Name]=$A4)*M_BOM[RM_Qty_Per_Batch]*IFERROR(INDEX(PP_Grid[#Data],M_BOM[PPGridRow],60),0))</f>
        <v/>
      </c>
      <c r="BI4">
        <f>SUMPRODUCT((M_BOM[Part Name]=$A4)*M_BOM[RM_Qty_Per_Batch]*IFERROR(INDEX(PP_Grid[#Data],M_BOM[PPGridRow],61),0))</f>
        <v/>
      </c>
      <c r="BJ4">
        <f>SUMPRODUCT((M_BOM[Part Name]=$A4)*M_BOM[RM_Qty_Per_Batch]*IFERROR(INDEX(PP_Grid[#Data],M_BOM[PPGridRow],62),0))</f>
        <v/>
      </c>
      <c r="BK4">
        <f>SUMPRODUCT((M_BOM[Part Name]=$A4)*M_BOM[RM_Qty_Per_Batch]*IFERROR(INDEX(PP_Grid[#Data],M_BOM[PPGridRow],63),0))</f>
        <v/>
      </c>
      <c r="BL4">
        <f>SUMPRODUCT((M_BOM[Part Name]=$A4)*M_BOM[RM_Qty_Per_Batch]*IFERROR(INDEX(PP_Grid[#Data],M_BOM[PPGridRow],64),0))</f>
        <v/>
      </c>
      <c r="BM4">
        <f>SUMPRODUCT((M_BOM[Part Name]=$A4)*M_BOM[RM_Qty_Per_Batch]*IFERROR(INDEX(PP_Grid[#Data],M_BOM[PPGridRow],65),0))</f>
        <v/>
      </c>
      <c r="BN4">
        <f>SUMPRODUCT((M_BOM[Part Name]=$A4)*M_BOM[RM_Qty_Per_Batch]*IFERROR(INDEX(PP_Grid[#Data],M_BOM[PPGridRow],66),0))</f>
        <v/>
      </c>
      <c r="BO4">
        <f>SUMPRODUCT((M_BOM[Part Name]=$A4)*M_BOM[RM_Qty_Per_Batch]*IFERROR(INDEX(PP_Grid[#Data],M_BOM[PPGridRow],67),0))</f>
        <v/>
      </c>
      <c r="BP4">
        <f>SUMPRODUCT((M_BOM[Part Name]=$A4)*M_BOM[RM_Qty_Per_Batch]*IFERROR(INDEX(PP_Grid[#Data],M_BOM[PPGridRow],68),0))</f>
        <v/>
      </c>
      <c r="BQ4">
        <f>SUMPRODUCT((M_BOM[Part Name]=$A4)*M_BOM[RM_Qty_Per_Batch]*IFERROR(INDEX(PP_Grid[#Data],M_BOM[PPGridRow],69),0))</f>
        <v/>
      </c>
      <c r="BR4">
        <f>SUMPRODUCT((M_BOM[Part Name]=$A4)*M_BOM[RM_Qty_Per_Batch]*IFERROR(INDEX(PP_Grid[#Data],M_BOM[PPGridRow],70),0))</f>
        <v/>
      </c>
      <c r="BS4">
        <f>SUMPRODUCT((M_BOM[Part Name]=$A4)*M_BOM[RM_Qty_Per_Batch]*IFERROR(INDEX(PP_Grid[#Data],M_BOM[PPGridRow],71),0))</f>
        <v/>
      </c>
      <c r="BT4">
        <f>SUMPRODUCT((M_BOM[Part Name]=$A4)*M_BOM[RM_Qty_Per_Batch]*IFERROR(INDEX(PP_Grid[#Data],M_BOM[PPGridRow],72),0))</f>
        <v/>
      </c>
      <c r="BU4">
        <f>SUMPRODUCT((M_BOM[Part Name]=$A4)*M_BOM[RM_Qty_Per_Batch]*IFERROR(INDEX(PP_Grid[#Data],M_BOM[PPGridRow],73),0))</f>
        <v/>
      </c>
      <c r="BV4">
        <f>SUMPRODUCT((M_BOM[Part Name]=$A4)*M_BOM[RM_Qty_Per_Batch]*IFERROR(INDEX(PP_Grid[#Data],M_BOM[PPGridRow],74),0))</f>
        <v/>
      </c>
      <c r="BW4">
        <f>SUMPRODUCT((M_BOM[Part Name]=$A4)*M_BOM[RM_Qty_Per_Batch]*IFERROR(INDEX(PP_Grid[#Data],M_BOM[PPGridRow],75),0))</f>
        <v/>
      </c>
      <c r="BX4">
        <f>SUMPRODUCT((M_BOM[Part Name]=$A4)*M_BOM[RM_Qty_Per_Batch]*IFERROR(INDEX(PP_Grid[#Data],M_BOM[PPGridRow],76),0))</f>
        <v/>
      </c>
      <c r="BY4">
        <f>SUMPRODUCT((M_BOM[Part Name]=$A4)*M_BOM[RM_Qty_Per_Batch]*IFERROR(INDEX(PP_Grid[#Data],M_BOM[PPGridRow],77),0))</f>
        <v/>
      </c>
      <c r="BZ4">
        <f>SUMPRODUCT((M_BOM[Part Name]=$A4)*M_BOM[RM_Qty_Per_Batch]*IFERROR(INDEX(PP_Grid[#Data],M_BOM[PPGridRow],78),0))</f>
        <v/>
      </c>
      <c r="CA4">
        <f>SUMPRODUCT((M_BOM[Part Name]=$A4)*M_BOM[RM_Qty_Per_Batch]*IFERROR(INDEX(PP_Grid[#Data],M_BOM[PPGridRow],79),0))</f>
        <v/>
      </c>
      <c r="CB4">
        <f>SUMPRODUCT((M_BOM[Part Name]=$A4)*M_BOM[RM_Qty_Per_Batch]*IFERROR(INDEX(PP_Grid[#Data],M_BOM[PPGridRow],80),0))</f>
        <v/>
      </c>
      <c r="CC4">
        <f>SUMPRODUCT((M_BOM[Part Name]=$A4)*M_BOM[RM_Qty_Per_Batch]*IFERROR(INDEX(PP_Grid[#Data],M_BOM[PPGridRow],81),0))</f>
        <v/>
      </c>
      <c r="CD4">
        <f>SUMPRODUCT((M_BOM[Part Name]=$A4)*M_BOM[RM_Qty_Per_Batch]*IFERROR(INDEX(PP_Grid[#Data],M_BOM[PPGridRow],82),0))</f>
        <v/>
      </c>
      <c r="CE4">
        <f>SUMPRODUCT((M_BOM[Part Name]=$A4)*M_BOM[RM_Qty_Per_Batch]*IFERROR(INDEX(PP_Grid[#Data],M_BOM[PPGridRow],83),0))</f>
        <v/>
      </c>
      <c r="CF4">
        <f>SUMPRODUCT((M_BOM[Part Name]=$A4)*M_BOM[RM_Qty_Per_Batch]*IFERROR(INDEX(PP_Grid[#Data],M_BOM[PPGridRow],84),0))</f>
        <v/>
      </c>
      <c r="CG4">
        <f>SUMPRODUCT((M_BOM[Part Name]=$A4)*M_BOM[RM_Qty_Per_Batch]*IFERROR(INDEX(PP_Grid[#Data],M_BOM[PPGridRow],85),0))</f>
        <v/>
      </c>
      <c r="CH4">
        <f>SUMPRODUCT((M_BOM[Part Name]=$A4)*M_BOM[RM_Qty_Per_Batch]*IFERROR(INDEX(PP_Grid[#Data],M_BOM[PPGridRow],86),0))</f>
        <v/>
      </c>
      <c r="CI4">
        <f>SUMPRODUCT((M_BOM[Part Name]=$A4)*M_BOM[RM_Qty_Per_Batch]*IFERROR(INDEX(PP_Grid[#Data],M_BOM[PPGridRow],87),0))</f>
        <v/>
      </c>
      <c r="CJ4">
        <f>SUMPRODUCT((M_BOM[Part Name]=$A4)*M_BOM[RM_Qty_Per_Batch]*IFERROR(INDEX(PP_Grid[#Data],M_BOM[PPGridRow],88),0))</f>
        <v/>
      </c>
      <c r="CK4">
        <f>SUMPRODUCT((M_BOM[Part Name]=$A4)*M_BOM[RM_Qty_Per_Batch]*IFERROR(INDEX(PP_Grid[#Data],M_BOM[PPGridRow],89),0))</f>
        <v/>
      </c>
      <c r="CL4">
        <f>SUMPRODUCT((M_BOM[Part Name]=$A4)*M_BOM[RM_Qty_Per_Batch]*IFERROR(INDEX(PP_Grid[#Data],M_BOM[PPGridRow],90),0))</f>
        <v/>
      </c>
      <c r="CM4">
        <f>SUMPRODUCT((M_BOM[Part Name]=$A4)*M_BOM[RM_Qty_Per_Batch]*IFERROR(INDEX(PP_Grid[#Data],M_BOM[PPGridRow],91),0))</f>
        <v/>
      </c>
      <c r="CN4">
        <f>SUMPRODUCT((M_BOM[Part Name]=$A4)*M_BOM[RM_Qty_Per_Batch]*IFERROR(INDEX(PP_Grid[#Data],M_BOM[PPGridRow],92),0))</f>
        <v/>
      </c>
      <c r="CO4">
        <f>SUMPRODUCT((M_BOM[Part Name]=$A4)*M_BOM[RM_Qty_Per_Batch]*IFERROR(INDEX(PP_Grid[#Data],M_BOM[PPGridRow],93),0))</f>
        <v/>
      </c>
      <c r="CP4">
        <f>SUMPRODUCT((M_BOM[Part Name]=$A4)*M_BOM[RM_Qty_Per_Batch]*IFERROR(INDEX(PP_Grid[#Data],M_BOM[PPGridRow],94),0))</f>
        <v/>
      </c>
      <c r="CQ4">
        <f>SUMPRODUCT((M_BOM[Part Name]=$A4)*M_BOM[RM_Qty_Per_Batch]*IFERROR(INDEX(PP_Grid[#Data],M_BOM[PPGridRow],95),0))</f>
        <v/>
      </c>
      <c r="CR4">
        <f>SUMPRODUCT((M_BOM[Part Name]=$A4)*M_BOM[RM_Qty_Per_Batch]*IFERROR(INDEX(PP_Grid[#Data],M_BOM[PPGridRow],96),0))</f>
        <v/>
      </c>
      <c r="CS4">
        <f>SUMPRODUCT((M_BOM[Part Name]=$A4)*M_BOM[RM_Qty_Per_Batch]*IFERROR(INDEX(PP_Grid[#Data],M_BOM[PPGridRow],97),0))</f>
        <v/>
      </c>
      <c r="CT4">
        <f>SUMPRODUCT((M_BOM[Part Name]=$A4)*M_BOM[RM_Qty_Per_Batch]*IFERROR(INDEX(PP_Grid[#Data],M_BOM[PPGridRow],98),0))</f>
        <v/>
      </c>
      <c r="CU4">
        <f>SUMPRODUCT((M_BOM[Part Name]=$A4)*M_BOM[RM_Qty_Per_Batch]*IFERROR(INDEX(PP_Grid[#Data],M_BOM[PPGridRow],99),0))</f>
        <v/>
      </c>
      <c r="CV4">
        <f>SUMPRODUCT((M_BOM[Part Name]=$A4)*M_BOM[RM_Qty_Per_Batch]*IFERROR(INDEX(PP_Grid[#Data],M_BOM[PPGridRow],100),0))</f>
        <v/>
      </c>
      <c r="CW4">
        <f>SUMPRODUCT((M_BOM[Part Name]=$A4)*M_BOM[RM_Qty_Per_Batch]*IFERROR(INDEX(PP_Grid[#Data],M_BOM[PPGridRow],101),0))</f>
        <v/>
      </c>
      <c r="CX4">
        <f>SUMPRODUCT((M_BOM[Part Name]=$A4)*M_BOM[RM_Qty_Per_Batch]*IFERROR(INDEX(PP_Grid[#Data],M_BOM[PPGridRow],102),0))</f>
        <v/>
      </c>
      <c r="CY4">
        <f>SUMPRODUCT((M_BOM[Part Name]=$A4)*M_BOM[RM_Qty_Per_Batch]*IFERROR(INDEX(PP_Grid[#Data],M_BOM[PPGridRow],103),0))</f>
        <v/>
      </c>
      <c r="CZ4">
        <f>SUMPRODUCT((M_BOM[Part Name]=$A4)*M_BOM[RM_Qty_Per_Batch]*IFERROR(INDEX(PP_Grid[#Data],M_BOM[PPGridRow],104),0))</f>
        <v/>
      </c>
      <c r="DA4">
        <f>SUMPRODUCT((M_BOM[Part Name]=$A4)*M_BOM[RM_Qty_Per_Batch]*IFERROR(INDEX(PP_Grid[#Data],M_BOM[PPGridRow],105),0))</f>
        <v/>
      </c>
    </row>
    <row r="5">
      <c r="A5" t="inlineStr">
        <is>
          <t>CHEM-1420</t>
        </is>
      </c>
      <c r="B5">
        <f>SUMPRODUCT((M_BOM[Part Name]=$A5)*M_BOM[RM_Qty_Per_Batch]*IFERROR(INDEX(PP_Grid[#Data],M_BOM[PPGridRow],2),0))</f>
        <v/>
      </c>
      <c r="C5">
        <f>SUMPRODUCT((M_BOM[Part Name]=$A5)*M_BOM[RM_Qty_Per_Batch]*IFERROR(INDEX(PP_Grid[#Data],M_BOM[PPGridRow],3),0))</f>
        <v/>
      </c>
      <c r="D5">
        <f>SUMPRODUCT((M_BOM[Part Name]=$A5)*M_BOM[RM_Qty_Per_Batch]*IFERROR(INDEX(PP_Grid[#Data],M_BOM[PPGridRow],4),0))</f>
        <v/>
      </c>
      <c r="E5">
        <f>SUMPRODUCT((M_BOM[Part Name]=$A5)*M_BOM[RM_Qty_Per_Batch]*IFERROR(INDEX(PP_Grid[#Data],M_BOM[PPGridRow],5),0))</f>
        <v/>
      </c>
      <c r="F5">
        <f>SUMPRODUCT((M_BOM[Part Name]=$A5)*M_BOM[RM_Qty_Per_Batch]*IFERROR(INDEX(PP_Grid[#Data],M_BOM[PPGridRow],6),0))</f>
        <v/>
      </c>
      <c r="G5">
        <f>SUMPRODUCT((M_BOM[Part Name]=$A5)*M_BOM[RM_Qty_Per_Batch]*IFERROR(INDEX(PP_Grid[#Data],M_BOM[PPGridRow],7),0))</f>
        <v/>
      </c>
      <c r="H5">
        <f>SUMPRODUCT((M_BOM[Part Name]=$A5)*M_BOM[RM_Qty_Per_Batch]*IFERROR(INDEX(PP_Grid[#Data],M_BOM[PPGridRow],8),0))</f>
        <v/>
      </c>
      <c r="I5">
        <f>SUMPRODUCT((M_BOM[Part Name]=$A5)*M_BOM[RM_Qty_Per_Batch]*IFERROR(INDEX(PP_Grid[#Data],M_BOM[PPGridRow],9),0))</f>
        <v/>
      </c>
      <c r="J5">
        <f>SUMPRODUCT((M_BOM[Part Name]=$A5)*M_BOM[RM_Qty_Per_Batch]*IFERROR(INDEX(PP_Grid[#Data],M_BOM[PPGridRow],10),0))</f>
        <v/>
      </c>
      <c r="K5">
        <f>SUMPRODUCT((M_BOM[Part Name]=$A5)*M_BOM[RM_Qty_Per_Batch]*IFERROR(INDEX(PP_Grid[#Data],M_BOM[PPGridRow],11),0))</f>
        <v/>
      </c>
      <c r="L5">
        <f>SUMPRODUCT((M_BOM[Part Name]=$A5)*M_BOM[RM_Qty_Per_Batch]*IFERROR(INDEX(PP_Grid[#Data],M_BOM[PPGridRow],12),0))</f>
        <v/>
      </c>
      <c r="M5">
        <f>SUMPRODUCT((M_BOM[Part Name]=$A5)*M_BOM[RM_Qty_Per_Batch]*IFERROR(INDEX(PP_Grid[#Data],M_BOM[PPGridRow],13),0))</f>
        <v/>
      </c>
      <c r="N5">
        <f>SUMPRODUCT((M_BOM[Part Name]=$A5)*M_BOM[RM_Qty_Per_Batch]*IFERROR(INDEX(PP_Grid[#Data],M_BOM[PPGridRow],14),0))</f>
        <v/>
      </c>
      <c r="O5">
        <f>SUMPRODUCT((M_BOM[Part Name]=$A5)*M_BOM[RM_Qty_Per_Batch]*IFERROR(INDEX(PP_Grid[#Data],M_BOM[PPGridRow],15),0))</f>
        <v/>
      </c>
      <c r="P5">
        <f>SUMPRODUCT((M_BOM[Part Name]=$A5)*M_BOM[RM_Qty_Per_Batch]*IFERROR(INDEX(PP_Grid[#Data],M_BOM[PPGridRow],16),0))</f>
        <v/>
      </c>
      <c r="Q5">
        <f>SUMPRODUCT((M_BOM[Part Name]=$A5)*M_BOM[RM_Qty_Per_Batch]*IFERROR(INDEX(PP_Grid[#Data],M_BOM[PPGridRow],17),0))</f>
        <v/>
      </c>
      <c r="R5">
        <f>SUMPRODUCT((M_BOM[Part Name]=$A5)*M_BOM[RM_Qty_Per_Batch]*IFERROR(INDEX(PP_Grid[#Data],M_BOM[PPGridRow],18),0))</f>
        <v/>
      </c>
      <c r="S5">
        <f>SUMPRODUCT((M_BOM[Part Name]=$A5)*M_BOM[RM_Qty_Per_Batch]*IFERROR(INDEX(PP_Grid[#Data],M_BOM[PPGridRow],19),0))</f>
        <v/>
      </c>
      <c r="T5">
        <f>SUMPRODUCT((M_BOM[Part Name]=$A5)*M_BOM[RM_Qty_Per_Batch]*IFERROR(INDEX(PP_Grid[#Data],M_BOM[PPGridRow],20),0))</f>
        <v/>
      </c>
      <c r="U5">
        <f>SUMPRODUCT((M_BOM[Part Name]=$A5)*M_BOM[RM_Qty_Per_Batch]*IFERROR(INDEX(PP_Grid[#Data],M_BOM[PPGridRow],21),0))</f>
        <v/>
      </c>
      <c r="V5">
        <f>SUMPRODUCT((M_BOM[Part Name]=$A5)*M_BOM[RM_Qty_Per_Batch]*IFERROR(INDEX(PP_Grid[#Data],M_BOM[PPGridRow],22),0))</f>
        <v/>
      </c>
      <c r="W5">
        <f>SUMPRODUCT((M_BOM[Part Name]=$A5)*M_BOM[RM_Qty_Per_Batch]*IFERROR(INDEX(PP_Grid[#Data],M_BOM[PPGridRow],23),0))</f>
        <v/>
      </c>
      <c r="X5">
        <f>SUMPRODUCT((M_BOM[Part Name]=$A5)*M_BOM[RM_Qty_Per_Batch]*IFERROR(INDEX(PP_Grid[#Data],M_BOM[PPGridRow],24),0))</f>
        <v/>
      </c>
      <c r="Y5">
        <f>SUMPRODUCT((M_BOM[Part Name]=$A5)*M_BOM[RM_Qty_Per_Batch]*IFERROR(INDEX(PP_Grid[#Data],M_BOM[PPGridRow],25),0))</f>
        <v/>
      </c>
      <c r="Z5">
        <f>SUMPRODUCT((M_BOM[Part Name]=$A5)*M_BOM[RM_Qty_Per_Batch]*IFERROR(INDEX(PP_Grid[#Data],M_BOM[PPGridRow],26),0))</f>
        <v/>
      </c>
      <c r="AA5">
        <f>SUMPRODUCT((M_BOM[Part Name]=$A5)*M_BOM[RM_Qty_Per_Batch]*IFERROR(INDEX(PP_Grid[#Data],M_BOM[PPGridRow],27),0))</f>
        <v/>
      </c>
      <c r="AB5">
        <f>SUMPRODUCT((M_BOM[Part Name]=$A5)*M_BOM[RM_Qty_Per_Batch]*IFERROR(INDEX(PP_Grid[#Data],M_BOM[PPGridRow],28),0))</f>
        <v/>
      </c>
      <c r="AC5">
        <f>SUMPRODUCT((M_BOM[Part Name]=$A5)*M_BOM[RM_Qty_Per_Batch]*IFERROR(INDEX(PP_Grid[#Data],M_BOM[PPGridRow],29),0))</f>
        <v/>
      </c>
      <c r="AD5">
        <f>SUMPRODUCT((M_BOM[Part Name]=$A5)*M_BOM[RM_Qty_Per_Batch]*IFERROR(INDEX(PP_Grid[#Data],M_BOM[PPGridRow],30),0))</f>
        <v/>
      </c>
      <c r="AE5">
        <f>SUMPRODUCT((M_BOM[Part Name]=$A5)*M_BOM[RM_Qty_Per_Batch]*IFERROR(INDEX(PP_Grid[#Data],M_BOM[PPGridRow],31),0))</f>
        <v/>
      </c>
      <c r="AF5">
        <f>SUMPRODUCT((M_BOM[Part Name]=$A5)*M_BOM[RM_Qty_Per_Batch]*IFERROR(INDEX(PP_Grid[#Data],M_BOM[PPGridRow],32),0))</f>
        <v/>
      </c>
      <c r="AG5">
        <f>SUMPRODUCT((M_BOM[Part Name]=$A5)*M_BOM[RM_Qty_Per_Batch]*IFERROR(INDEX(PP_Grid[#Data],M_BOM[PPGridRow],33),0))</f>
        <v/>
      </c>
      <c r="AH5">
        <f>SUMPRODUCT((M_BOM[Part Name]=$A5)*M_BOM[RM_Qty_Per_Batch]*IFERROR(INDEX(PP_Grid[#Data],M_BOM[PPGridRow],34),0))</f>
        <v/>
      </c>
      <c r="AI5">
        <f>SUMPRODUCT((M_BOM[Part Name]=$A5)*M_BOM[RM_Qty_Per_Batch]*IFERROR(INDEX(PP_Grid[#Data],M_BOM[PPGridRow],35),0))</f>
        <v/>
      </c>
      <c r="AJ5">
        <f>SUMPRODUCT((M_BOM[Part Name]=$A5)*M_BOM[RM_Qty_Per_Batch]*IFERROR(INDEX(PP_Grid[#Data],M_BOM[PPGridRow],36),0))</f>
        <v/>
      </c>
      <c r="AK5">
        <f>SUMPRODUCT((M_BOM[Part Name]=$A5)*M_BOM[RM_Qty_Per_Batch]*IFERROR(INDEX(PP_Grid[#Data],M_BOM[PPGridRow],37),0))</f>
        <v/>
      </c>
      <c r="AL5">
        <f>SUMPRODUCT((M_BOM[Part Name]=$A5)*M_BOM[RM_Qty_Per_Batch]*IFERROR(INDEX(PP_Grid[#Data],M_BOM[PPGridRow],38),0))</f>
        <v/>
      </c>
      <c r="AM5">
        <f>SUMPRODUCT((M_BOM[Part Name]=$A5)*M_BOM[RM_Qty_Per_Batch]*IFERROR(INDEX(PP_Grid[#Data],M_BOM[PPGridRow],39),0))</f>
        <v/>
      </c>
      <c r="AN5">
        <f>SUMPRODUCT((M_BOM[Part Name]=$A5)*M_BOM[RM_Qty_Per_Batch]*IFERROR(INDEX(PP_Grid[#Data],M_BOM[PPGridRow],40),0))</f>
        <v/>
      </c>
      <c r="AO5">
        <f>SUMPRODUCT((M_BOM[Part Name]=$A5)*M_BOM[RM_Qty_Per_Batch]*IFERROR(INDEX(PP_Grid[#Data],M_BOM[PPGridRow],41),0))</f>
        <v/>
      </c>
      <c r="AP5">
        <f>SUMPRODUCT((M_BOM[Part Name]=$A5)*M_BOM[RM_Qty_Per_Batch]*IFERROR(INDEX(PP_Grid[#Data],M_BOM[PPGridRow],42),0))</f>
        <v/>
      </c>
      <c r="AQ5">
        <f>SUMPRODUCT((M_BOM[Part Name]=$A5)*M_BOM[RM_Qty_Per_Batch]*IFERROR(INDEX(PP_Grid[#Data],M_BOM[PPGridRow],43),0))</f>
        <v/>
      </c>
      <c r="AR5">
        <f>SUMPRODUCT((M_BOM[Part Name]=$A5)*M_BOM[RM_Qty_Per_Batch]*IFERROR(INDEX(PP_Grid[#Data],M_BOM[PPGridRow],44),0))</f>
        <v/>
      </c>
      <c r="AS5">
        <f>SUMPRODUCT((M_BOM[Part Name]=$A5)*M_BOM[RM_Qty_Per_Batch]*IFERROR(INDEX(PP_Grid[#Data],M_BOM[PPGridRow],45),0))</f>
        <v/>
      </c>
      <c r="AT5">
        <f>SUMPRODUCT((M_BOM[Part Name]=$A5)*M_BOM[RM_Qty_Per_Batch]*IFERROR(INDEX(PP_Grid[#Data],M_BOM[PPGridRow],46),0))</f>
        <v/>
      </c>
      <c r="AU5">
        <f>SUMPRODUCT((M_BOM[Part Name]=$A5)*M_BOM[RM_Qty_Per_Batch]*IFERROR(INDEX(PP_Grid[#Data],M_BOM[PPGridRow],47),0))</f>
        <v/>
      </c>
      <c r="AV5">
        <f>SUMPRODUCT((M_BOM[Part Name]=$A5)*M_BOM[RM_Qty_Per_Batch]*IFERROR(INDEX(PP_Grid[#Data],M_BOM[PPGridRow],48),0))</f>
        <v/>
      </c>
      <c r="AW5">
        <f>SUMPRODUCT((M_BOM[Part Name]=$A5)*M_BOM[RM_Qty_Per_Batch]*IFERROR(INDEX(PP_Grid[#Data],M_BOM[PPGridRow],49),0))</f>
        <v/>
      </c>
      <c r="AX5">
        <f>SUMPRODUCT((M_BOM[Part Name]=$A5)*M_BOM[RM_Qty_Per_Batch]*IFERROR(INDEX(PP_Grid[#Data],M_BOM[PPGridRow],50),0))</f>
        <v/>
      </c>
      <c r="AY5">
        <f>SUMPRODUCT((M_BOM[Part Name]=$A5)*M_BOM[RM_Qty_Per_Batch]*IFERROR(INDEX(PP_Grid[#Data],M_BOM[PPGridRow],51),0))</f>
        <v/>
      </c>
      <c r="AZ5">
        <f>SUMPRODUCT((M_BOM[Part Name]=$A5)*M_BOM[RM_Qty_Per_Batch]*IFERROR(INDEX(PP_Grid[#Data],M_BOM[PPGridRow],52),0))</f>
        <v/>
      </c>
      <c r="BA5">
        <f>SUMPRODUCT((M_BOM[Part Name]=$A5)*M_BOM[RM_Qty_Per_Batch]*IFERROR(INDEX(PP_Grid[#Data],M_BOM[PPGridRow],53),0))</f>
        <v/>
      </c>
      <c r="BB5">
        <f>SUMPRODUCT((M_BOM[Part Name]=$A5)*M_BOM[RM_Qty_Per_Batch]*IFERROR(INDEX(PP_Grid[#Data],M_BOM[PPGridRow],54),0))</f>
        <v/>
      </c>
      <c r="BC5">
        <f>SUMPRODUCT((M_BOM[Part Name]=$A5)*M_BOM[RM_Qty_Per_Batch]*IFERROR(INDEX(PP_Grid[#Data],M_BOM[PPGridRow],55),0))</f>
        <v/>
      </c>
      <c r="BD5">
        <f>SUMPRODUCT((M_BOM[Part Name]=$A5)*M_BOM[RM_Qty_Per_Batch]*IFERROR(INDEX(PP_Grid[#Data],M_BOM[PPGridRow],56),0))</f>
        <v/>
      </c>
      <c r="BE5">
        <f>SUMPRODUCT((M_BOM[Part Name]=$A5)*M_BOM[RM_Qty_Per_Batch]*IFERROR(INDEX(PP_Grid[#Data],M_BOM[PPGridRow],57),0))</f>
        <v/>
      </c>
      <c r="BF5">
        <f>SUMPRODUCT((M_BOM[Part Name]=$A5)*M_BOM[RM_Qty_Per_Batch]*IFERROR(INDEX(PP_Grid[#Data],M_BOM[PPGridRow],58),0))</f>
        <v/>
      </c>
      <c r="BG5">
        <f>SUMPRODUCT((M_BOM[Part Name]=$A5)*M_BOM[RM_Qty_Per_Batch]*IFERROR(INDEX(PP_Grid[#Data],M_BOM[PPGridRow],59),0))</f>
        <v/>
      </c>
      <c r="BH5">
        <f>SUMPRODUCT((M_BOM[Part Name]=$A5)*M_BOM[RM_Qty_Per_Batch]*IFERROR(INDEX(PP_Grid[#Data],M_BOM[PPGridRow],60),0))</f>
        <v/>
      </c>
      <c r="BI5">
        <f>SUMPRODUCT((M_BOM[Part Name]=$A5)*M_BOM[RM_Qty_Per_Batch]*IFERROR(INDEX(PP_Grid[#Data],M_BOM[PPGridRow],61),0))</f>
        <v/>
      </c>
      <c r="BJ5">
        <f>SUMPRODUCT((M_BOM[Part Name]=$A5)*M_BOM[RM_Qty_Per_Batch]*IFERROR(INDEX(PP_Grid[#Data],M_BOM[PPGridRow],62),0))</f>
        <v/>
      </c>
      <c r="BK5">
        <f>SUMPRODUCT((M_BOM[Part Name]=$A5)*M_BOM[RM_Qty_Per_Batch]*IFERROR(INDEX(PP_Grid[#Data],M_BOM[PPGridRow],63),0))</f>
        <v/>
      </c>
      <c r="BL5">
        <f>SUMPRODUCT((M_BOM[Part Name]=$A5)*M_BOM[RM_Qty_Per_Batch]*IFERROR(INDEX(PP_Grid[#Data],M_BOM[PPGridRow],64),0))</f>
        <v/>
      </c>
      <c r="BM5">
        <f>SUMPRODUCT((M_BOM[Part Name]=$A5)*M_BOM[RM_Qty_Per_Batch]*IFERROR(INDEX(PP_Grid[#Data],M_BOM[PPGridRow],65),0))</f>
        <v/>
      </c>
      <c r="BN5">
        <f>SUMPRODUCT((M_BOM[Part Name]=$A5)*M_BOM[RM_Qty_Per_Batch]*IFERROR(INDEX(PP_Grid[#Data],M_BOM[PPGridRow],66),0))</f>
        <v/>
      </c>
      <c r="BO5">
        <f>SUMPRODUCT((M_BOM[Part Name]=$A5)*M_BOM[RM_Qty_Per_Batch]*IFERROR(INDEX(PP_Grid[#Data],M_BOM[PPGridRow],67),0))</f>
        <v/>
      </c>
      <c r="BP5">
        <f>SUMPRODUCT((M_BOM[Part Name]=$A5)*M_BOM[RM_Qty_Per_Batch]*IFERROR(INDEX(PP_Grid[#Data],M_BOM[PPGridRow],68),0))</f>
        <v/>
      </c>
      <c r="BQ5">
        <f>SUMPRODUCT((M_BOM[Part Name]=$A5)*M_BOM[RM_Qty_Per_Batch]*IFERROR(INDEX(PP_Grid[#Data],M_BOM[PPGridRow],69),0))</f>
        <v/>
      </c>
      <c r="BR5">
        <f>SUMPRODUCT((M_BOM[Part Name]=$A5)*M_BOM[RM_Qty_Per_Batch]*IFERROR(INDEX(PP_Grid[#Data],M_BOM[PPGridRow],70),0))</f>
        <v/>
      </c>
      <c r="BS5">
        <f>SUMPRODUCT((M_BOM[Part Name]=$A5)*M_BOM[RM_Qty_Per_Batch]*IFERROR(INDEX(PP_Grid[#Data],M_BOM[PPGridRow],71),0))</f>
        <v/>
      </c>
      <c r="BT5">
        <f>SUMPRODUCT((M_BOM[Part Name]=$A5)*M_BOM[RM_Qty_Per_Batch]*IFERROR(INDEX(PP_Grid[#Data],M_BOM[PPGridRow],72),0))</f>
        <v/>
      </c>
      <c r="BU5">
        <f>SUMPRODUCT((M_BOM[Part Name]=$A5)*M_BOM[RM_Qty_Per_Batch]*IFERROR(INDEX(PP_Grid[#Data],M_BOM[PPGridRow],73),0))</f>
        <v/>
      </c>
      <c r="BV5">
        <f>SUMPRODUCT((M_BOM[Part Name]=$A5)*M_BOM[RM_Qty_Per_Batch]*IFERROR(INDEX(PP_Grid[#Data],M_BOM[PPGridRow],74),0))</f>
        <v/>
      </c>
      <c r="BW5">
        <f>SUMPRODUCT((M_BOM[Part Name]=$A5)*M_BOM[RM_Qty_Per_Batch]*IFERROR(INDEX(PP_Grid[#Data],M_BOM[PPGridRow],75),0))</f>
        <v/>
      </c>
      <c r="BX5">
        <f>SUMPRODUCT((M_BOM[Part Name]=$A5)*M_BOM[RM_Qty_Per_Batch]*IFERROR(INDEX(PP_Grid[#Data],M_BOM[PPGridRow],76),0))</f>
        <v/>
      </c>
      <c r="BY5">
        <f>SUMPRODUCT((M_BOM[Part Name]=$A5)*M_BOM[RM_Qty_Per_Batch]*IFERROR(INDEX(PP_Grid[#Data],M_BOM[PPGridRow],77),0))</f>
        <v/>
      </c>
      <c r="BZ5">
        <f>SUMPRODUCT((M_BOM[Part Name]=$A5)*M_BOM[RM_Qty_Per_Batch]*IFERROR(INDEX(PP_Grid[#Data],M_BOM[PPGridRow],78),0))</f>
        <v/>
      </c>
      <c r="CA5">
        <f>SUMPRODUCT((M_BOM[Part Name]=$A5)*M_BOM[RM_Qty_Per_Batch]*IFERROR(INDEX(PP_Grid[#Data],M_BOM[PPGridRow],79),0))</f>
        <v/>
      </c>
      <c r="CB5">
        <f>SUMPRODUCT((M_BOM[Part Name]=$A5)*M_BOM[RM_Qty_Per_Batch]*IFERROR(INDEX(PP_Grid[#Data],M_BOM[PPGridRow],80),0))</f>
        <v/>
      </c>
      <c r="CC5">
        <f>SUMPRODUCT((M_BOM[Part Name]=$A5)*M_BOM[RM_Qty_Per_Batch]*IFERROR(INDEX(PP_Grid[#Data],M_BOM[PPGridRow],81),0))</f>
        <v/>
      </c>
      <c r="CD5">
        <f>SUMPRODUCT((M_BOM[Part Name]=$A5)*M_BOM[RM_Qty_Per_Batch]*IFERROR(INDEX(PP_Grid[#Data],M_BOM[PPGridRow],82),0))</f>
        <v/>
      </c>
      <c r="CE5">
        <f>SUMPRODUCT((M_BOM[Part Name]=$A5)*M_BOM[RM_Qty_Per_Batch]*IFERROR(INDEX(PP_Grid[#Data],M_BOM[PPGridRow],83),0))</f>
        <v/>
      </c>
      <c r="CF5">
        <f>SUMPRODUCT((M_BOM[Part Name]=$A5)*M_BOM[RM_Qty_Per_Batch]*IFERROR(INDEX(PP_Grid[#Data],M_BOM[PPGridRow],84),0))</f>
        <v/>
      </c>
      <c r="CG5">
        <f>SUMPRODUCT((M_BOM[Part Name]=$A5)*M_BOM[RM_Qty_Per_Batch]*IFERROR(INDEX(PP_Grid[#Data],M_BOM[PPGridRow],85),0))</f>
        <v/>
      </c>
      <c r="CH5">
        <f>SUMPRODUCT((M_BOM[Part Name]=$A5)*M_BOM[RM_Qty_Per_Batch]*IFERROR(INDEX(PP_Grid[#Data],M_BOM[PPGridRow],86),0))</f>
        <v/>
      </c>
      <c r="CI5">
        <f>SUMPRODUCT((M_BOM[Part Name]=$A5)*M_BOM[RM_Qty_Per_Batch]*IFERROR(INDEX(PP_Grid[#Data],M_BOM[PPGridRow],87),0))</f>
        <v/>
      </c>
      <c r="CJ5">
        <f>SUMPRODUCT((M_BOM[Part Name]=$A5)*M_BOM[RM_Qty_Per_Batch]*IFERROR(INDEX(PP_Grid[#Data],M_BOM[PPGridRow],88),0))</f>
        <v/>
      </c>
      <c r="CK5">
        <f>SUMPRODUCT((M_BOM[Part Name]=$A5)*M_BOM[RM_Qty_Per_Batch]*IFERROR(INDEX(PP_Grid[#Data],M_BOM[PPGridRow],89),0))</f>
        <v/>
      </c>
      <c r="CL5">
        <f>SUMPRODUCT((M_BOM[Part Name]=$A5)*M_BOM[RM_Qty_Per_Batch]*IFERROR(INDEX(PP_Grid[#Data],M_BOM[PPGridRow],90),0))</f>
        <v/>
      </c>
      <c r="CM5">
        <f>SUMPRODUCT((M_BOM[Part Name]=$A5)*M_BOM[RM_Qty_Per_Batch]*IFERROR(INDEX(PP_Grid[#Data],M_BOM[PPGridRow],91),0))</f>
        <v/>
      </c>
      <c r="CN5">
        <f>SUMPRODUCT((M_BOM[Part Name]=$A5)*M_BOM[RM_Qty_Per_Batch]*IFERROR(INDEX(PP_Grid[#Data],M_BOM[PPGridRow],92),0))</f>
        <v/>
      </c>
      <c r="CO5">
        <f>SUMPRODUCT((M_BOM[Part Name]=$A5)*M_BOM[RM_Qty_Per_Batch]*IFERROR(INDEX(PP_Grid[#Data],M_BOM[PPGridRow],93),0))</f>
        <v/>
      </c>
      <c r="CP5">
        <f>SUMPRODUCT((M_BOM[Part Name]=$A5)*M_BOM[RM_Qty_Per_Batch]*IFERROR(INDEX(PP_Grid[#Data],M_BOM[PPGridRow],94),0))</f>
        <v/>
      </c>
      <c r="CQ5">
        <f>SUMPRODUCT((M_BOM[Part Name]=$A5)*M_BOM[RM_Qty_Per_Batch]*IFERROR(INDEX(PP_Grid[#Data],M_BOM[PPGridRow],95),0))</f>
        <v/>
      </c>
      <c r="CR5">
        <f>SUMPRODUCT((M_BOM[Part Name]=$A5)*M_BOM[RM_Qty_Per_Batch]*IFERROR(INDEX(PP_Grid[#Data],M_BOM[PPGridRow],96),0))</f>
        <v/>
      </c>
      <c r="CS5">
        <f>SUMPRODUCT((M_BOM[Part Name]=$A5)*M_BOM[RM_Qty_Per_Batch]*IFERROR(INDEX(PP_Grid[#Data],M_BOM[PPGridRow],97),0))</f>
        <v/>
      </c>
      <c r="CT5">
        <f>SUMPRODUCT((M_BOM[Part Name]=$A5)*M_BOM[RM_Qty_Per_Batch]*IFERROR(INDEX(PP_Grid[#Data],M_BOM[PPGridRow],98),0))</f>
        <v/>
      </c>
      <c r="CU5">
        <f>SUMPRODUCT((M_BOM[Part Name]=$A5)*M_BOM[RM_Qty_Per_Batch]*IFERROR(INDEX(PP_Grid[#Data],M_BOM[PPGridRow],99),0))</f>
        <v/>
      </c>
      <c r="CV5">
        <f>SUMPRODUCT((M_BOM[Part Name]=$A5)*M_BOM[RM_Qty_Per_Batch]*IFERROR(INDEX(PP_Grid[#Data],M_BOM[PPGridRow],100),0))</f>
        <v/>
      </c>
      <c r="CW5">
        <f>SUMPRODUCT((M_BOM[Part Name]=$A5)*M_BOM[RM_Qty_Per_Batch]*IFERROR(INDEX(PP_Grid[#Data],M_BOM[PPGridRow],101),0))</f>
        <v/>
      </c>
      <c r="CX5">
        <f>SUMPRODUCT((M_BOM[Part Name]=$A5)*M_BOM[RM_Qty_Per_Batch]*IFERROR(INDEX(PP_Grid[#Data],M_BOM[PPGridRow],102),0))</f>
        <v/>
      </c>
      <c r="CY5">
        <f>SUMPRODUCT((M_BOM[Part Name]=$A5)*M_BOM[RM_Qty_Per_Batch]*IFERROR(INDEX(PP_Grid[#Data],M_BOM[PPGridRow],103),0))</f>
        <v/>
      </c>
      <c r="CZ5">
        <f>SUMPRODUCT((M_BOM[Part Name]=$A5)*M_BOM[RM_Qty_Per_Batch]*IFERROR(INDEX(PP_Grid[#Data],M_BOM[PPGridRow],104),0))</f>
        <v/>
      </c>
      <c r="DA5">
        <f>SUMPRODUCT((M_BOM[Part Name]=$A5)*M_BOM[RM_Qty_Per_Batch]*IFERROR(INDEX(PP_Grid[#Data],M_BOM[PPGridRow],105),0))</f>
        <v/>
      </c>
    </row>
    <row r="6">
      <c r="A6" t="inlineStr">
        <is>
          <t>CHEM-1530</t>
        </is>
      </c>
      <c r="B6">
        <f>SUMPRODUCT((M_BOM[Part Name]=$A6)*M_BOM[RM_Qty_Per_Batch]*IFERROR(INDEX(PP_Grid[#Data],M_BOM[PPGridRow],2),0))</f>
        <v/>
      </c>
      <c r="C6">
        <f>SUMPRODUCT((M_BOM[Part Name]=$A6)*M_BOM[RM_Qty_Per_Batch]*IFERROR(INDEX(PP_Grid[#Data],M_BOM[PPGridRow],3),0))</f>
        <v/>
      </c>
      <c r="D6">
        <f>SUMPRODUCT((M_BOM[Part Name]=$A6)*M_BOM[RM_Qty_Per_Batch]*IFERROR(INDEX(PP_Grid[#Data],M_BOM[PPGridRow],4),0))</f>
        <v/>
      </c>
      <c r="E6">
        <f>SUMPRODUCT((M_BOM[Part Name]=$A6)*M_BOM[RM_Qty_Per_Batch]*IFERROR(INDEX(PP_Grid[#Data],M_BOM[PPGridRow],5),0))</f>
        <v/>
      </c>
      <c r="F6">
        <f>SUMPRODUCT((M_BOM[Part Name]=$A6)*M_BOM[RM_Qty_Per_Batch]*IFERROR(INDEX(PP_Grid[#Data],M_BOM[PPGridRow],6),0))</f>
        <v/>
      </c>
      <c r="G6">
        <f>SUMPRODUCT((M_BOM[Part Name]=$A6)*M_BOM[RM_Qty_Per_Batch]*IFERROR(INDEX(PP_Grid[#Data],M_BOM[PPGridRow],7),0))</f>
        <v/>
      </c>
      <c r="H6">
        <f>SUMPRODUCT((M_BOM[Part Name]=$A6)*M_BOM[RM_Qty_Per_Batch]*IFERROR(INDEX(PP_Grid[#Data],M_BOM[PPGridRow],8),0))</f>
        <v/>
      </c>
      <c r="I6">
        <f>SUMPRODUCT((M_BOM[Part Name]=$A6)*M_BOM[RM_Qty_Per_Batch]*IFERROR(INDEX(PP_Grid[#Data],M_BOM[PPGridRow],9),0))</f>
        <v/>
      </c>
      <c r="J6">
        <f>SUMPRODUCT((M_BOM[Part Name]=$A6)*M_BOM[RM_Qty_Per_Batch]*IFERROR(INDEX(PP_Grid[#Data],M_BOM[PPGridRow],10),0))</f>
        <v/>
      </c>
      <c r="K6">
        <f>SUMPRODUCT((M_BOM[Part Name]=$A6)*M_BOM[RM_Qty_Per_Batch]*IFERROR(INDEX(PP_Grid[#Data],M_BOM[PPGridRow],11),0))</f>
        <v/>
      </c>
      <c r="L6">
        <f>SUMPRODUCT((M_BOM[Part Name]=$A6)*M_BOM[RM_Qty_Per_Batch]*IFERROR(INDEX(PP_Grid[#Data],M_BOM[PPGridRow],12),0))</f>
        <v/>
      </c>
      <c r="M6">
        <f>SUMPRODUCT((M_BOM[Part Name]=$A6)*M_BOM[RM_Qty_Per_Batch]*IFERROR(INDEX(PP_Grid[#Data],M_BOM[PPGridRow],13),0))</f>
        <v/>
      </c>
      <c r="N6">
        <f>SUMPRODUCT((M_BOM[Part Name]=$A6)*M_BOM[RM_Qty_Per_Batch]*IFERROR(INDEX(PP_Grid[#Data],M_BOM[PPGridRow],14),0))</f>
        <v/>
      </c>
      <c r="O6">
        <f>SUMPRODUCT((M_BOM[Part Name]=$A6)*M_BOM[RM_Qty_Per_Batch]*IFERROR(INDEX(PP_Grid[#Data],M_BOM[PPGridRow],15),0))</f>
        <v/>
      </c>
      <c r="P6">
        <f>SUMPRODUCT((M_BOM[Part Name]=$A6)*M_BOM[RM_Qty_Per_Batch]*IFERROR(INDEX(PP_Grid[#Data],M_BOM[PPGridRow],16),0))</f>
        <v/>
      </c>
      <c r="Q6">
        <f>SUMPRODUCT((M_BOM[Part Name]=$A6)*M_BOM[RM_Qty_Per_Batch]*IFERROR(INDEX(PP_Grid[#Data],M_BOM[PPGridRow],17),0))</f>
        <v/>
      </c>
      <c r="R6">
        <f>SUMPRODUCT((M_BOM[Part Name]=$A6)*M_BOM[RM_Qty_Per_Batch]*IFERROR(INDEX(PP_Grid[#Data],M_BOM[PPGridRow],18),0))</f>
        <v/>
      </c>
      <c r="S6">
        <f>SUMPRODUCT((M_BOM[Part Name]=$A6)*M_BOM[RM_Qty_Per_Batch]*IFERROR(INDEX(PP_Grid[#Data],M_BOM[PPGridRow],19),0))</f>
        <v/>
      </c>
      <c r="T6">
        <f>SUMPRODUCT((M_BOM[Part Name]=$A6)*M_BOM[RM_Qty_Per_Batch]*IFERROR(INDEX(PP_Grid[#Data],M_BOM[PPGridRow],20),0))</f>
        <v/>
      </c>
      <c r="U6">
        <f>SUMPRODUCT((M_BOM[Part Name]=$A6)*M_BOM[RM_Qty_Per_Batch]*IFERROR(INDEX(PP_Grid[#Data],M_BOM[PPGridRow],21),0))</f>
        <v/>
      </c>
      <c r="V6">
        <f>SUMPRODUCT((M_BOM[Part Name]=$A6)*M_BOM[RM_Qty_Per_Batch]*IFERROR(INDEX(PP_Grid[#Data],M_BOM[PPGridRow],22),0))</f>
        <v/>
      </c>
      <c r="W6">
        <f>SUMPRODUCT((M_BOM[Part Name]=$A6)*M_BOM[RM_Qty_Per_Batch]*IFERROR(INDEX(PP_Grid[#Data],M_BOM[PPGridRow],23),0))</f>
        <v/>
      </c>
      <c r="X6">
        <f>SUMPRODUCT((M_BOM[Part Name]=$A6)*M_BOM[RM_Qty_Per_Batch]*IFERROR(INDEX(PP_Grid[#Data],M_BOM[PPGridRow],24),0))</f>
        <v/>
      </c>
      <c r="Y6">
        <f>SUMPRODUCT((M_BOM[Part Name]=$A6)*M_BOM[RM_Qty_Per_Batch]*IFERROR(INDEX(PP_Grid[#Data],M_BOM[PPGridRow],25),0))</f>
        <v/>
      </c>
      <c r="Z6">
        <f>SUMPRODUCT((M_BOM[Part Name]=$A6)*M_BOM[RM_Qty_Per_Batch]*IFERROR(INDEX(PP_Grid[#Data],M_BOM[PPGridRow],26),0))</f>
        <v/>
      </c>
      <c r="AA6">
        <f>SUMPRODUCT((M_BOM[Part Name]=$A6)*M_BOM[RM_Qty_Per_Batch]*IFERROR(INDEX(PP_Grid[#Data],M_BOM[PPGridRow],27),0))</f>
        <v/>
      </c>
      <c r="AB6">
        <f>SUMPRODUCT((M_BOM[Part Name]=$A6)*M_BOM[RM_Qty_Per_Batch]*IFERROR(INDEX(PP_Grid[#Data],M_BOM[PPGridRow],28),0))</f>
        <v/>
      </c>
      <c r="AC6">
        <f>SUMPRODUCT((M_BOM[Part Name]=$A6)*M_BOM[RM_Qty_Per_Batch]*IFERROR(INDEX(PP_Grid[#Data],M_BOM[PPGridRow],29),0))</f>
        <v/>
      </c>
      <c r="AD6">
        <f>SUMPRODUCT((M_BOM[Part Name]=$A6)*M_BOM[RM_Qty_Per_Batch]*IFERROR(INDEX(PP_Grid[#Data],M_BOM[PPGridRow],30),0))</f>
        <v/>
      </c>
      <c r="AE6">
        <f>SUMPRODUCT((M_BOM[Part Name]=$A6)*M_BOM[RM_Qty_Per_Batch]*IFERROR(INDEX(PP_Grid[#Data],M_BOM[PPGridRow],31),0))</f>
        <v/>
      </c>
      <c r="AF6">
        <f>SUMPRODUCT((M_BOM[Part Name]=$A6)*M_BOM[RM_Qty_Per_Batch]*IFERROR(INDEX(PP_Grid[#Data],M_BOM[PPGridRow],32),0))</f>
        <v/>
      </c>
      <c r="AG6">
        <f>SUMPRODUCT((M_BOM[Part Name]=$A6)*M_BOM[RM_Qty_Per_Batch]*IFERROR(INDEX(PP_Grid[#Data],M_BOM[PPGridRow],33),0))</f>
        <v/>
      </c>
      <c r="AH6">
        <f>SUMPRODUCT((M_BOM[Part Name]=$A6)*M_BOM[RM_Qty_Per_Batch]*IFERROR(INDEX(PP_Grid[#Data],M_BOM[PPGridRow],34),0))</f>
        <v/>
      </c>
      <c r="AI6">
        <f>SUMPRODUCT((M_BOM[Part Name]=$A6)*M_BOM[RM_Qty_Per_Batch]*IFERROR(INDEX(PP_Grid[#Data],M_BOM[PPGridRow],35),0))</f>
        <v/>
      </c>
      <c r="AJ6">
        <f>SUMPRODUCT((M_BOM[Part Name]=$A6)*M_BOM[RM_Qty_Per_Batch]*IFERROR(INDEX(PP_Grid[#Data],M_BOM[PPGridRow],36),0))</f>
        <v/>
      </c>
      <c r="AK6">
        <f>SUMPRODUCT((M_BOM[Part Name]=$A6)*M_BOM[RM_Qty_Per_Batch]*IFERROR(INDEX(PP_Grid[#Data],M_BOM[PPGridRow],37),0))</f>
        <v/>
      </c>
      <c r="AL6">
        <f>SUMPRODUCT((M_BOM[Part Name]=$A6)*M_BOM[RM_Qty_Per_Batch]*IFERROR(INDEX(PP_Grid[#Data],M_BOM[PPGridRow],38),0))</f>
        <v/>
      </c>
      <c r="AM6">
        <f>SUMPRODUCT((M_BOM[Part Name]=$A6)*M_BOM[RM_Qty_Per_Batch]*IFERROR(INDEX(PP_Grid[#Data],M_BOM[PPGridRow],39),0))</f>
        <v/>
      </c>
      <c r="AN6">
        <f>SUMPRODUCT((M_BOM[Part Name]=$A6)*M_BOM[RM_Qty_Per_Batch]*IFERROR(INDEX(PP_Grid[#Data],M_BOM[PPGridRow],40),0))</f>
        <v/>
      </c>
      <c r="AO6">
        <f>SUMPRODUCT((M_BOM[Part Name]=$A6)*M_BOM[RM_Qty_Per_Batch]*IFERROR(INDEX(PP_Grid[#Data],M_BOM[PPGridRow],41),0))</f>
        <v/>
      </c>
      <c r="AP6">
        <f>SUMPRODUCT((M_BOM[Part Name]=$A6)*M_BOM[RM_Qty_Per_Batch]*IFERROR(INDEX(PP_Grid[#Data],M_BOM[PPGridRow],42),0))</f>
        <v/>
      </c>
      <c r="AQ6">
        <f>SUMPRODUCT((M_BOM[Part Name]=$A6)*M_BOM[RM_Qty_Per_Batch]*IFERROR(INDEX(PP_Grid[#Data],M_BOM[PPGridRow],43),0))</f>
        <v/>
      </c>
      <c r="AR6">
        <f>SUMPRODUCT((M_BOM[Part Name]=$A6)*M_BOM[RM_Qty_Per_Batch]*IFERROR(INDEX(PP_Grid[#Data],M_BOM[PPGridRow],44),0))</f>
        <v/>
      </c>
      <c r="AS6">
        <f>SUMPRODUCT((M_BOM[Part Name]=$A6)*M_BOM[RM_Qty_Per_Batch]*IFERROR(INDEX(PP_Grid[#Data],M_BOM[PPGridRow],45),0))</f>
        <v/>
      </c>
      <c r="AT6">
        <f>SUMPRODUCT((M_BOM[Part Name]=$A6)*M_BOM[RM_Qty_Per_Batch]*IFERROR(INDEX(PP_Grid[#Data],M_BOM[PPGridRow],46),0))</f>
        <v/>
      </c>
      <c r="AU6">
        <f>SUMPRODUCT((M_BOM[Part Name]=$A6)*M_BOM[RM_Qty_Per_Batch]*IFERROR(INDEX(PP_Grid[#Data],M_BOM[PPGridRow],47),0))</f>
        <v/>
      </c>
      <c r="AV6">
        <f>SUMPRODUCT((M_BOM[Part Name]=$A6)*M_BOM[RM_Qty_Per_Batch]*IFERROR(INDEX(PP_Grid[#Data],M_BOM[PPGridRow],48),0))</f>
        <v/>
      </c>
      <c r="AW6">
        <f>SUMPRODUCT((M_BOM[Part Name]=$A6)*M_BOM[RM_Qty_Per_Batch]*IFERROR(INDEX(PP_Grid[#Data],M_BOM[PPGridRow],49),0))</f>
        <v/>
      </c>
      <c r="AX6">
        <f>SUMPRODUCT((M_BOM[Part Name]=$A6)*M_BOM[RM_Qty_Per_Batch]*IFERROR(INDEX(PP_Grid[#Data],M_BOM[PPGridRow],50),0))</f>
        <v/>
      </c>
      <c r="AY6">
        <f>SUMPRODUCT((M_BOM[Part Name]=$A6)*M_BOM[RM_Qty_Per_Batch]*IFERROR(INDEX(PP_Grid[#Data],M_BOM[PPGridRow],51),0))</f>
        <v/>
      </c>
      <c r="AZ6">
        <f>SUMPRODUCT((M_BOM[Part Name]=$A6)*M_BOM[RM_Qty_Per_Batch]*IFERROR(INDEX(PP_Grid[#Data],M_BOM[PPGridRow],52),0))</f>
        <v/>
      </c>
      <c r="BA6">
        <f>SUMPRODUCT((M_BOM[Part Name]=$A6)*M_BOM[RM_Qty_Per_Batch]*IFERROR(INDEX(PP_Grid[#Data],M_BOM[PPGridRow],53),0))</f>
        <v/>
      </c>
      <c r="BB6">
        <f>SUMPRODUCT((M_BOM[Part Name]=$A6)*M_BOM[RM_Qty_Per_Batch]*IFERROR(INDEX(PP_Grid[#Data],M_BOM[PPGridRow],54),0))</f>
        <v/>
      </c>
      <c r="BC6">
        <f>SUMPRODUCT((M_BOM[Part Name]=$A6)*M_BOM[RM_Qty_Per_Batch]*IFERROR(INDEX(PP_Grid[#Data],M_BOM[PPGridRow],55),0))</f>
        <v/>
      </c>
      <c r="BD6">
        <f>SUMPRODUCT((M_BOM[Part Name]=$A6)*M_BOM[RM_Qty_Per_Batch]*IFERROR(INDEX(PP_Grid[#Data],M_BOM[PPGridRow],56),0))</f>
        <v/>
      </c>
      <c r="BE6">
        <f>SUMPRODUCT((M_BOM[Part Name]=$A6)*M_BOM[RM_Qty_Per_Batch]*IFERROR(INDEX(PP_Grid[#Data],M_BOM[PPGridRow],57),0))</f>
        <v/>
      </c>
      <c r="BF6">
        <f>SUMPRODUCT((M_BOM[Part Name]=$A6)*M_BOM[RM_Qty_Per_Batch]*IFERROR(INDEX(PP_Grid[#Data],M_BOM[PPGridRow],58),0))</f>
        <v/>
      </c>
      <c r="BG6">
        <f>SUMPRODUCT((M_BOM[Part Name]=$A6)*M_BOM[RM_Qty_Per_Batch]*IFERROR(INDEX(PP_Grid[#Data],M_BOM[PPGridRow],59),0))</f>
        <v/>
      </c>
      <c r="BH6">
        <f>SUMPRODUCT((M_BOM[Part Name]=$A6)*M_BOM[RM_Qty_Per_Batch]*IFERROR(INDEX(PP_Grid[#Data],M_BOM[PPGridRow],60),0))</f>
        <v/>
      </c>
      <c r="BI6">
        <f>SUMPRODUCT((M_BOM[Part Name]=$A6)*M_BOM[RM_Qty_Per_Batch]*IFERROR(INDEX(PP_Grid[#Data],M_BOM[PPGridRow],61),0))</f>
        <v/>
      </c>
      <c r="BJ6">
        <f>SUMPRODUCT((M_BOM[Part Name]=$A6)*M_BOM[RM_Qty_Per_Batch]*IFERROR(INDEX(PP_Grid[#Data],M_BOM[PPGridRow],62),0))</f>
        <v/>
      </c>
      <c r="BK6">
        <f>SUMPRODUCT((M_BOM[Part Name]=$A6)*M_BOM[RM_Qty_Per_Batch]*IFERROR(INDEX(PP_Grid[#Data],M_BOM[PPGridRow],63),0))</f>
        <v/>
      </c>
      <c r="BL6">
        <f>SUMPRODUCT((M_BOM[Part Name]=$A6)*M_BOM[RM_Qty_Per_Batch]*IFERROR(INDEX(PP_Grid[#Data],M_BOM[PPGridRow],64),0))</f>
        <v/>
      </c>
      <c r="BM6">
        <f>SUMPRODUCT((M_BOM[Part Name]=$A6)*M_BOM[RM_Qty_Per_Batch]*IFERROR(INDEX(PP_Grid[#Data],M_BOM[PPGridRow],65),0))</f>
        <v/>
      </c>
      <c r="BN6">
        <f>SUMPRODUCT((M_BOM[Part Name]=$A6)*M_BOM[RM_Qty_Per_Batch]*IFERROR(INDEX(PP_Grid[#Data],M_BOM[PPGridRow],66),0))</f>
        <v/>
      </c>
      <c r="BO6">
        <f>SUMPRODUCT((M_BOM[Part Name]=$A6)*M_BOM[RM_Qty_Per_Batch]*IFERROR(INDEX(PP_Grid[#Data],M_BOM[PPGridRow],67),0))</f>
        <v/>
      </c>
      <c r="BP6">
        <f>SUMPRODUCT((M_BOM[Part Name]=$A6)*M_BOM[RM_Qty_Per_Batch]*IFERROR(INDEX(PP_Grid[#Data],M_BOM[PPGridRow],68),0))</f>
        <v/>
      </c>
      <c r="BQ6">
        <f>SUMPRODUCT((M_BOM[Part Name]=$A6)*M_BOM[RM_Qty_Per_Batch]*IFERROR(INDEX(PP_Grid[#Data],M_BOM[PPGridRow],69),0))</f>
        <v/>
      </c>
      <c r="BR6">
        <f>SUMPRODUCT((M_BOM[Part Name]=$A6)*M_BOM[RM_Qty_Per_Batch]*IFERROR(INDEX(PP_Grid[#Data],M_BOM[PPGridRow],70),0))</f>
        <v/>
      </c>
      <c r="BS6">
        <f>SUMPRODUCT((M_BOM[Part Name]=$A6)*M_BOM[RM_Qty_Per_Batch]*IFERROR(INDEX(PP_Grid[#Data],M_BOM[PPGridRow],71),0))</f>
        <v/>
      </c>
      <c r="BT6">
        <f>SUMPRODUCT((M_BOM[Part Name]=$A6)*M_BOM[RM_Qty_Per_Batch]*IFERROR(INDEX(PP_Grid[#Data],M_BOM[PPGridRow],72),0))</f>
        <v/>
      </c>
      <c r="BU6">
        <f>SUMPRODUCT((M_BOM[Part Name]=$A6)*M_BOM[RM_Qty_Per_Batch]*IFERROR(INDEX(PP_Grid[#Data],M_BOM[PPGridRow],73),0))</f>
        <v/>
      </c>
      <c r="BV6">
        <f>SUMPRODUCT((M_BOM[Part Name]=$A6)*M_BOM[RM_Qty_Per_Batch]*IFERROR(INDEX(PP_Grid[#Data],M_BOM[PPGridRow],74),0))</f>
        <v/>
      </c>
      <c r="BW6">
        <f>SUMPRODUCT((M_BOM[Part Name]=$A6)*M_BOM[RM_Qty_Per_Batch]*IFERROR(INDEX(PP_Grid[#Data],M_BOM[PPGridRow],75),0))</f>
        <v/>
      </c>
      <c r="BX6">
        <f>SUMPRODUCT((M_BOM[Part Name]=$A6)*M_BOM[RM_Qty_Per_Batch]*IFERROR(INDEX(PP_Grid[#Data],M_BOM[PPGridRow],76),0))</f>
        <v/>
      </c>
      <c r="BY6">
        <f>SUMPRODUCT((M_BOM[Part Name]=$A6)*M_BOM[RM_Qty_Per_Batch]*IFERROR(INDEX(PP_Grid[#Data],M_BOM[PPGridRow],77),0))</f>
        <v/>
      </c>
      <c r="BZ6">
        <f>SUMPRODUCT((M_BOM[Part Name]=$A6)*M_BOM[RM_Qty_Per_Batch]*IFERROR(INDEX(PP_Grid[#Data],M_BOM[PPGridRow],78),0))</f>
        <v/>
      </c>
      <c r="CA6">
        <f>SUMPRODUCT((M_BOM[Part Name]=$A6)*M_BOM[RM_Qty_Per_Batch]*IFERROR(INDEX(PP_Grid[#Data],M_BOM[PPGridRow],79),0))</f>
        <v/>
      </c>
      <c r="CB6">
        <f>SUMPRODUCT((M_BOM[Part Name]=$A6)*M_BOM[RM_Qty_Per_Batch]*IFERROR(INDEX(PP_Grid[#Data],M_BOM[PPGridRow],80),0))</f>
        <v/>
      </c>
      <c r="CC6">
        <f>SUMPRODUCT((M_BOM[Part Name]=$A6)*M_BOM[RM_Qty_Per_Batch]*IFERROR(INDEX(PP_Grid[#Data],M_BOM[PPGridRow],81),0))</f>
        <v/>
      </c>
      <c r="CD6">
        <f>SUMPRODUCT((M_BOM[Part Name]=$A6)*M_BOM[RM_Qty_Per_Batch]*IFERROR(INDEX(PP_Grid[#Data],M_BOM[PPGridRow],82),0))</f>
        <v/>
      </c>
      <c r="CE6">
        <f>SUMPRODUCT((M_BOM[Part Name]=$A6)*M_BOM[RM_Qty_Per_Batch]*IFERROR(INDEX(PP_Grid[#Data],M_BOM[PPGridRow],83),0))</f>
        <v/>
      </c>
      <c r="CF6">
        <f>SUMPRODUCT((M_BOM[Part Name]=$A6)*M_BOM[RM_Qty_Per_Batch]*IFERROR(INDEX(PP_Grid[#Data],M_BOM[PPGridRow],84),0))</f>
        <v/>
      </c>
      <c r="CG6">
        <f>SUMPRODUCT((M_BOM[Part Name]=$A6)*M_BOM[RM_Qty_Per_Batch]*IFERROR(INDEX(PP_Grid[#Data],M_BOM[PPGridRow],85),0))</f>
        <v/>
      </c>
      <c r="CH6">
        <f>SUMPRODUCT((M_BOM[Part Name]=$A6)*M_BOM[RM_Qty_Per_Batch]*IFERROR(INDEX(PP_Grid[#Data],M_BOM[PPGridRow],86),0))</f>
        <v/>
      </c>
      <c r="CI6">
        <f>SUMPRODUCT((M_BOM[Part Name]=$A6)*M_BOM[RM_Qty_Per_Batch]*IFERROR(INDEX(PP_Grid[#Data],M_BOM[PPGridRow],87),0))</f>
        <v/>
      </c>
      <c r="CJ6">
        <f>SUMPRODUCT((M_BOM[Part Name]=$A6)*M_BOM[RM_Qty_Per_Batch]*IFERROR(INDEX(PP_Grid[#Data],M_BOM[PPGridRow],88),0))</f>
        <v/>
      </c>
      <c r="CK6">
        <f>SUMPRODUCT((M_BOM[Part Name]=$A6)*M_BOM[RM_Qty_Per_Batch]*IFERROR(INDEX(PP_Grid[#Data],M_BOM[PPGridRow],89),0))</f>
        <v/>
      </c>
      <c r="CL6">
        <f>SUMPRODUCT((M_BOM[Part Name]=$A6)*M_BOM[RM_Qty_Per_Batch]*IFERROR(INDEX(PP_Grid[#Data],M_BOM[PPGridRow],90),0))</f>
        <v/>
      </c>
      <c r="CM6">
        <f>SUMPRODUCT((M_BOM[Part Name]=$A6)*M_BOM[RM_Qty_Per_Batch]*IFERROR(INDEX(PP_Grid[#Data],M_BOM[PPGridRow],91),0))</f>
        <v/>
      </c>
      <c r="CN6">
        <f>SUMPRODUCT((M_BOM[Part Name]=$A6)*M_BOM[RM_Qty_Per_Batch]*IFERROR(INDEX(PP_Grid[#Data],M_BOM[PPGridRow],92),0))</f>
        <v/>
      </c>
      <c r="CO6">
        <f>SUMPRODUCT((M_BOM[Part Name]=$A6)*M_BOM[RM_Qty_Per_Batch]*IFERROR(INDEX(PP_Grid[#Data],M_BOM[PPGridRow],93),0))</f>
        <v/>
      </c>
      <c r="CP6">
        <f>SUMPRODUCT((M_BOM[Part Name]=$A6)*M_BOM[RM_Qty_Per_Batch]*IFERROR(INDEX(PP_Grid[#Data],M_BOM[PPGridRow],94),0))</f>
        <v/>
      </c>
      <c r="CQ6">
        <f>SUMPRODUCT((M_BOM[Part Name]=$A6)*M_BOM[RM_Qty_Per_Batch]*IFERROR(INDEX(PP_Grid[#Data],M_BOM[PPGridRow],95),0))</f>
        <v/>
      </c>
      <c r="CR6">
        <f>SUMPRODUCT((M_BOM[Part Name]=$A6)*M_BOM[RM_Qty_Per_Batch]*IFERROR(INDEX(PP_Grid[#Data],M_BOM[PPGridRow],96),0))</f>
        <v/>
      </c>
      <c r="CS6">
        <f>SUMPRODUCT((M_BOM[Part Name]=$A6)*M_BOM[RM_Qty_Per_Batch]*IFERROR(INDEX(PP_Grid[#Data],M_BOM[PPGridRow],97),0))</f>
        <v/>
      </c>
      <c r="CT6">
        <f>SUMPRODUCT((M_BOM[Part Name]=$A6)*M_BOM[RM_Qty_Per_Batch]*IFERROR(INDEX(PP_Grid[#Data],M_BOM[PPGridRow],98),0))</f>
        <v/>
      </c>
      <c r="CU6">
        <f>SUMPRODUCT((M_BOM[Part Name]=$A6)*M_BOM[RM_Qty_Per_Batch]*IFERROR(INDEX(PP_Grid[#Data],M_BOM[PPGridRow],99),0))</f>
        <v/>
      </c>
      <c r="CV6">
        <f>SUMPRODUCT((M_BOM[Part Name]=$A6)*M_BOM[RM_Qty_Per_Batch]*IFERROR(INDEX(PP_Grid[#Data],M_BOM[PPGridRow],100),0))</f>
        <v/>
      </c>
      <c r="CW6">
        <f>SUMPRODUCT((M_BOM[Part Name]=$A6)*M_BOM[RM_Qty_Per_Batch]*IFERROR(INDEX(PP_Grid[#Data],M_BOM[PPGridRow],101),0))</f>
        <v/>
      </c>
      <c r="CX6">
        <f>SUMPRODUCT((M_BOM[Part Name]=$A6)*M_BOM[RM_Qty_Per_Batch]*IFERROR(INDEX(PP_Grid[#Data],M_BOM[PPGridRow],102),0))</f>
        <v/>
      </c>
      <c r="CY6">
        <f>SUMPRODUCT((M_BOM[Part Name]=$A6)*M_BOM[RM_Qty_Per_Batch]*IFERROR(INDEX(PP_Grid[#Data],M_BOM[PPGridRow],103),0))</f>
        <v/>
      </c>
      <c r="CZ6">
        <f>SUMPRODUCT((M_BOM[Part Name]=$A6)*M_BOM[RM_Qty_Per_Batch]*IFERROR(INDEX(PP_Grid[#Data],M_BOM[PPGridRow],104),0))</f>
        <v/>
      </c>
      <c r="DA6">
        <f>SUMPRODUCT((M_BOM[Part Name]=$A6)*M_BOM[RM_Qty_Per_Batch]*IFERROR(INDEX(PP_Grid[#Data],M_BOM[PPGridRow],105),0))</f>
        <v/>
      </c>
    </row>
    <row r="7">
      <c r="A7" t="inlineStr">
        <is>
          <t>CHEM-1540</t>
        </is>
      </c>
      <c r="B7">
        <f>SUMPRODUCT((M_BOM[Part Name]=$A7)*M_BOM[RM_Qty_Per_Batch]*IFERROR(INDEX(PP_Grid[#Data],M_BOM[PPGridRow],2),0))</f>
        <v/>
      </c>
      <c r="C7">
        <f>SUMPRODUCT((M_BOM[Part Name]=$A7)*M_BOM[RM_Qty_Per_Batch]*IFERROR(INDEX(PP_Grid[#Data],M_BOM[PPGridRow],3),0))</f>
        <v/>
      </c>
      <c r="D7">
        <f>SUMPRODUCT((M_BOM[Part Name]=$A7)*M_BOM[RM_Qty_Per_Batch]*IFERROR(INDEX(PP_Grid[#Data],M_BOM[PPGridRow],4),0))</f>
        <v/>
      </c>
      <c r="E7">
        <f>SUMPRODUCT((M_BOM[Part Name]=$A7)*M_BOM[RM_Qty_Per_Batch]*IFERROR(INDEX(PP_Grid[#Data],M_BOM[PPGridRow],5),0))</f>
        <v/>
      </c>
      <c r="F7">
        <f>SUMPRODUCT((M_BOM[Part Name]=$A7)*M_BOM[RM_Qty_Per_Batch]*IFERROR(INDEX(PP_Grid[#Data],M_BOM[PPGridRow],6),0))</f>
        <v/>
      </c>
      <c r="G7">
        <f>SUMPRODUCT((M_BOM[Part Name]=$A7)*M_BOM[RM_Qty_Per_Batch]*IFERROR(INDEX(PP_Grid[#Data],M_BOM[PPGridRow],7),0))</f>
        <v/>
      </c>
      <c r="H7">
        <f>SUMPRODUCT((M_BOM[Part Name]=$A7)*M_BOM[RM_Qty_Per_Batch]*IFERROR(INDEX(PP_Grid[#Data],M_BOM[PPGridRow],8),0))</f>
        <v/>
      </c>
      <c r="I7">
        <f>SUMPRODUCT((M_BOM[Part Name]=$A7)*M_BOM[RM_Qty_Per_Batch]*IFERROR(INDEX(PP_Grid[#Data],M_BOM[PPGridRow],9),0))</f>
        <v/>
      </c>
      <c r="J7">
        <f>SUMPRODUCT((M_BOM[Part Name]=$A7)*M_BOM[RM_Qty_Per_Batch]*IFERROR(INDEX(PP_Grid[#Data],M_BOM[PPGridRow],10),0))</f>
        <v/>
      </c>
      <c r="K7">
        <f>SUMPRODUCT((M_BOM[Part Name]=$A7)*M_BOM[RM_Qty_Per_Batch]*IFERROR(INDEX(PP_Grid[#Data],M_BOM[PPGridRow],11),0))</f>
        <v/>
      </c>
      <c r="L7">
        <f>SUMPRODUCT((M_BOM[Part Name]=$A7)*M_BOM[RM_Qty_Per_Batch]*IFERROR(INDEX(PP_Grid[#Data],M_BOM[PPGridRow],12),0))</f>
        <v/>
      </c>
      <c r="M7">
        <f>SUMPRODUCT((M_BOM[Part Name]=$A7)*M_BOM[RM_Qty_Per_Batch]*IFERROR(INDEX(PP_Grid[#Data],M_BOM[PPGridRow],13),0))</f>
        <v/>
      </c>
      <c r="N7">
        <f>SUMPRODUCT((M_BOM[Part Name]=$A7)*M_BOM[RM_Qty_Per_Batch]*IFERROR(INDEX(PP_Grid[#Data],M_BOM[PPGridRow],14),0))</f>
        <v/>
      </c>
      <c r="O7">
        <f>SUMPRODUCT((M_BOM[Part Name]=$A7)*M_BOM[RM_Qty_Per_Batch]*IFERROR(INDEX(PP_Grid[#Data],M_BOM[PPGridRow],15),0))</f>
        <v/>
      </c>
      <c r="P7">
        <f>SUMPRODUCT((M_BOM[Part Name]=$A7)*M_BOM[RM_Qty_Per_Batch]*IFERROR(INDEX(PP_Grid[#Data],M_BOM[PPGridRow],16),0))</f>
        <v/>
      </c>
      <c r="Q7">
        <f>SUMPRODUCT((M_BOM[Part Name]=$A7)*M_BOM[RM_Qty_Per_Batch]*IFERROR(INDEX(PP_Grid[#Data],M_BOM[PPGridRow],17),0))</f>
        <v/>
      </c>
      <c r="R7">
        <f>SUMPRODUCT((M_BOM[Part Name]=$A7)*M_BOM[RM_Qty_Per_Batch]*IFERROR(INDEX(PP_Grid[#Data],M_BOM[PPGridRow],18),0))</f>
        <v/>
      </c>
      <c r="S7">
        <f>SUMPRODUCT((M_BOM[Part Name]=$A7)*M_BOM[RM_Qty_Per_Batch]*IFERROR(INDEX(PP_Grid[#Data],M_BOM[PPGridRow],19),0))</f>
        <v/>
      </c>
      <c r="T7">
        <f>SUMPRODUCT((M_BOM[Part Name]=$A7)*M_BOM[RM_Qty_Per_Batch]*IFERROR(INDEX(PP_Grid[#Data],M_BOM[PPGridRow],20),0))</f>
        <v/>
      </c>
      <c r="U7">
        <f>SUMPRODUCT((M_BOM[Part Name]=$A7)*M_BOM[RM_Qty_Per_Batch]*IFERROR(INDEX(PP_Grid[#Data],M_BOM[PPGridRow],21),0))</f>
        <v/>
      </c>
      <c r="V7">
        <f>SUMPRODUCT((M_BOM[Part Name]=$A7)*M_BOM[RM_Qty_Per_Batch]*IFERROR(INDEX(PP_Grid[#Data],M_BOM[PPGridRow],22),0))</f>
        <v/>
      </c>
      <c r="W7">
        <f>SUMPRODUCT((M_BOM[Part Name]=$A7)*M_BOM[RM_Qty_Per_Batch]*IFERROR(INDEX(PP_Grid[#Data],M_BOM[PPGridRow],23),0))</f>
        <v/>
      </c>
      <c r="X7">
        <f>SUMPRODUCT((M_BOM[Part Name]=$A7)*M_BOM[RM_Qty_Per_Batch]*IFERROR(INDEX(PP_Grid[#Data],M_BOM[PPGridRow],24),0))</f>
        <v/>
      </c>
      <c r="Y7">
        <f>SUMPRODUCT((M_BOM[Part Name]=$A7)*M_BOM[RM_Qty_Per_Batch]*IFERROR(INDEX(PP_Grid[#Data],M_BOM[PPGridRow],25),0))</f>
        <v/>
      </c>
      <c r="Z7">
        <f>SUMPRODUCT((M_BOM[Part Name]=$A7)*M_BOM[RM_Qty_Per_Batch]*IFERROR(INDEX(PP_Grid[#Data],M_BOM[PPGridRow],26),0))</f>
        <v/>
      </c>
      <c r="AA7">
        <f>SUMPRODUCT((M_BOM[Part Name]=$A7)*M_BOM[RM_Qty_Per_Batch]*IFERROR(INDEX(PP_Grid[#Data],M_BOM[PPGridRow],27),0))</f>
        <v/>
      </c>
      <c r="AB7">
        <f>SUMPRODUCT((M_BOM[Part Name]=$A7)*M_BOM[RM_Qty_Per_Batch]*IFERROR(INDEX(PP_Grid[#Data],M_BOM[PPGridRow],28),0))</f>
        <v/>
      </c>
      <c r="AC7">
        <f>SUMPRODUCT((M_BOM[Part Name]=$A7)*M_BOM[RM_Qty_Per_Batch]*IFERROR(INDEX(PP_Grid[#Data],M_BOM[PPGridRow],29),0))</f>
        <v/>
      </c>
      <c r="AD7">
        <f>SUMPRODUCT((M_BOM[Part Name]=$A7)*M_BOM[RM_Qty_Per_Batch]*IFERROR(INDEX(PP_Grid[#Data],M_BOM[PPGridRow],30),0))</f>
        <v/>
      </c>
      <c r="AE7">
        <f>SUMPRODUCT((M_BOM[Part Name]=$A7)*M_BOM[RM_Qty_Per_Batch]*IFERROR(INDEX(PP_Grid[#Data],M_BOM[PPGridRow],31),0))</f>
        <v/>
      </c>
      <c r="AF7">
        <f>SUMPRODUCT((M_BOM[Part Name]=$A7)*M_BOM[RM_Qty_Per_Batch]*IFERROR(INDEX(PP_Grid[#Data],M_BOM[PPGridRow],32),0))</f>
        <v/>
      </c>
      <c r="AG7">
        <f>SUMPRODUCT((M_BOM[Part Name]=$A7)*M_BOM[RM_Qty_Per_Batch]*IFERROR(INDEX(PP_Grid[#Data],M_BOM[PPGridRow],33),0))</f>
        <v/>
      </c>
      <c r="AH7">
        <f>SUMPRODUCT((M_BOM[Part Name]=$A7)*M_BOM[RM_Qty_Per_Batch]*IFERROR(INDEX(PP_Grid[#Data],M_BOM[PPGridRow],34),0))</f>
        <v/>
      </c>
      <c r="AI7">
        <f>SUMPRODUCT((M_BOM[Part Name]=$A7)*M_BOM[RM_Qty_Per_Batch]*IFERROR(INDEX(PP_Grid[#Data],M_BOM[PPGridRow],35),0))</f>
        <v/>
      </c>
      <c r="AJ7">
        <f>SUMPRODUCT((M_BOM[Part Name]=$A7)*M_BOM[RM_Qty_Per_Batch]*IFERROR(INDEX(PP_Grid[#Data],M_BOM[PPGridRow],36),0))</f>
        <v/>
      </c>
      <c r="AK7">
        <f>SUMPRODUCT((M_BOM[Part Name]=$A7)*M_BOM[RM_Qty_Per_Batch]*IFERROR(INDEX(PP_Grid[#Data],M_BOM[PPGridRow],37),0))</f>
        <v/>
      </c>
      <c r="AL7">
        <f>SUMPRODUCT((M_BOM[Part Name]=$A7)*M_BOM[RM_Qty_Per_Batch]*IFERROR(INDEX(PP_Grid[#Data],M_BOM[PPGridRow],38),0))</f>
        <v/>
      </c>
      <c r="AM7">
        <f>SUMPRODUCT((M_BOM[Part Name]=$A7)*M_BOM[RM_Qty_Per_Batch]*IFERROR(INDEX(PP_Grid[#Data],M_BOM[PPGridRow],39),0))</f>
        <v/>
      </c>
      <c r="AN7">
        <f>SUMPRODUCT((M_BOM[Part Name]=$A7)*M_BOM[RM_Qty_Per_Batch]*IFERROR(INDEX(PP_Grid[#Data],M_BOM[PPGridRow],40),0))</f>
        <v/>
      </c>
      <c r="AO7">
        <f>SUMPRODUCT((M_BOM[Part Name]=$A7)*M_BOM[RM_Qty_Per_Batch]*IFERROR(INDEX(PP_Grid[#Data],M_BOM[PPGridRow],41),0))</f>
        <v/>
      </c>
      <c r="AP7">
        <f>SUMPRODUCT((M_BOM[Part Name]=$A7)*M_BOM[RM_Qty_Per_Batch]*IFERROR(INDEX(PP_Grid[#Data],M_BOM[PPGridRow],42),0))</f>
        <v/>
      </c>
      <c r="AQ7">
        <f>SUMPRODUCT((M_BOM[Part Name]=$A7)*M_BOM[RM_Qty_Per_Batch]*IFERROR(INDEX(PP_Grid[#Data],M_BOM[PPGridRow],43),0))</f>
        <v/>
      </c>
      <c r="AR7">
        <f>SUMPRODUCT((M_BOM[Part Name]=$A7)*M_BOM[RM_Qty_Per_Batch]*IFERROR(INDEX(PP_Grid[#Data],M_BOM[PPGridRow],44),0))</f>
        <v/>
      </c>
      <c r="AS7">
        <f>SUMPRODUCT((M_BOM[Part Name]=$A7)*M_BOM[RM_Qty_Per_Batch]*IFERROR(INDEX(PP_Grid[#Data],M_BOM[PPGridRow],45),0))</f>
        <v/>
      </c>
      <c r="AT7">
        <f>SUMPRODUCT((M_BOM[Part Name]=$A7)*M_BOM[RM_Qty_Per_Batch]*IFERROR(INDEX(PP_Grid[#Data],M_BOM[PPGridRow],46),0))</f>
        <v/>
      </c>
      <c r="AU7">
        <f>SUMPRODUCT((M_BOM[Part Name]=$A7)*M_BOM[RM_Qty_Per_Batch]*IFERROR(INDEX(PP_Grid[#Data],M_BOM[PPGridRow],47),0))</f>
        <v/>
      </c>
      <c r="AV7">
        <f>SUMPRODUCT((M_BOM[Part Name]=$A7)*M_BOM[RM_Qty_Per_Batch]*IFERROR(INDEX(PP_Grid[#Data],M_BOM[PPGridRow],48),0))</f>
        <v/>
      </c>
      <c r="AW7">
        <f>SUMPRODUCT((M_BOM[Part Name]=$A7)*M_BOM[RM_Qty_Per_Batch]*IFERROR(INDEX(PP_Grid[#Data],M_BOM[PPGridRow],49),0))</f>
        <v/>
      </c>
      <c r="AX7">
        <f>SUMPRODUCT((M_BOM[Part Name]=$A7)*M_BOM[RM_Qty_Per_Batch]*IFERROR(INDEX(PP_Grid[#Data],M_BOM[PPGridRow],50),0))</f>
        <v/>
      </c>
      <c r="AY7">
        <f>SUMPRODUCT((M_BOM[Part Name]=$A7)*M_BOM[RM_Qty_Per_Batch]*IFERROR(INDEX(PP_Grid[#Data],M_BOM[PPGridRow],51),0))</f>
        <v/>
      </c>
      <c r="AZ7">
        <f>SUMPRODUCT((M_BOM[Part Name]=$A7)*M_BOM[RM_Qty_Per_Batch]*IFERROR(INDEX(PP_Grid[#Data],M_BOM[PPGridRow],52),0))</f>
        <v/>
      </c>
      <c r="BA7">
        <f>SUMPRODUCT((M_BOM[Part Name]=$A7)*M_BOM[RM_Qty_Per_Batch]*IFERROR(INDEX(PP_Grid[#Data],M_BOM[PPGridRow],53),0))</f>
        <v/>
      </c>
      <c r="BB7">
        <f>SUMPRODUCT((M_BOM[Part Name]=$A7)*M_BOM[RM_Qty_Per_Batch]*IFERROR(INDEX(PP_Grid[#Data],M_BOM[PPGridRow],54),0))</f>
        <v/>
      </c>
      <c r="BC7">
        <f>SUMPRODUCT((M_BOM[Part Name]=$A7)*M_BOM[RM_Qty_Per_Batch]*IFERROR(INDEX(PP_Grid[#Data],M_BOM[PPGridRow],55),0))</f>
        <v/>
      </c>
      <c r="BD7">
        <f>SUMPRODUCT((M_BOM[Part Name]=$A7)*M_BOM[RM_Qty_Per_Batch]*IFERROR(INDEX(PP_Grid[#Data],M_BOM[PPGridRow],56),0))</f>
        <v/>
      </c>
      <c r="BE7">
        <f>SUMPRODUCT((M_BOM[Part Name]=$A7)*M_BOM[RM_Qty_Per_Batch]*IFERROR(INDEX(PP_Grid[#Data],M_BOM[PPGridRow],57),0))</f>
        <v/>
      </c>
      <c r="BF7">
        <f>SUMPRODUCT((M_BOM[Part Name]=$A7)*M_BOM[RM_Qty_Per_Batch]*IFERROR(INDEX(PP_Grid[#Data],M_BOM[PPGridRow],58),0))</f>
        <v/>
      </c>
      <c r="BG7">
        <f>SUMPRODUCT((M_BOM[Part Name]=$A7)*M_BOM[RM_Qty_Per_Batch]*IFERROR(INDEX(PP_Grid[#Data],M_BOM[PPGridRow],59),0))</f>
        <v/>
      </c>
      <c r="BH7">
        <f>SUMPRODUCT((M_BOM[Part Name]=$A7)*M_BOM[RM_Qty_Per_Batch]*IFERROR(INDEX(PP_Grid[#Data],M_BOM[PPGridRow],60),0))</f>
        <v/>
      </c>
      <c r="BI7">
        <f>SUMPRODUCT((M_BOM[Part Name]=$A7)*M_BOM[RM_Qty_Per_Batch]*IFERROR(INDEX(PP_Grid[#Data],M_BOM[PPGridRow],61),0))</f>
        <v/>
      </c>
      <c r="BJ7">
        <f>SUMPRODUCT((M_BOM[Part Name]=$A7)*M_BOM[RM_Qty_Per_Batch]*IFERROR(INDEX(PP_Grid[#Data],M_BOM[PPGridRow],62),0))</f>
        <v/>
      </c>
      <c r="BK7">
        <f>SUMPRODUCT((M_BOM[Part Name]=$A7)*M_BOM[RM_Qty_Per_Batch]*IFERROR(INDEX(PP_Grid[#Data],M_BOM[PPGridRow],63),0))</f>
        <v/>
      </c>
      <c r="BL7">
        <f>SUMPRODUCT((M_BOM[Part Name]=$A7)*M_BOM[RM_Qty_Per_Batch]*IFERROR(INDEX(PP_Grid[#Data],M_BOM[PPGridRow],64),0))</f>
        <v/>
      </c>
      <c r="BM7">
        <f>SUMPRODUCT((M_BOM[Part Name]=$A7)*M_BOM[RM_Qty_Per_Batch]*IFERROR(INDEX(PP_Grid[#Data],M_BOM[PPGridRow],65),0))</f>
        <v/>
      </c>
      <c r="BN7">
        <f>SUMPRODUCT((M_BOM[Part Name]=$A7)*M_BOM[RM_Qty_Per_Batch]*IFERROR(INDEX(PP_Grid[#Data],M_BOM[PPGridRow],66),0))</f>
        <v/>
      </c>
      <c r="BO7">
        <f>SUMPRODUCT((M_BOM[Part Name]=$A7)*M_BOM[RM_Qty_Per_Batch]*IFERROR(INDEX(PP_Grid[#Data],M_BOM[PPGridRow],67),0))</f>
        <v/>
      </c>
      <c r="BP7">
        <f>SUMPRODUCT((M_BOM[Part Name]=$A7)*M_BOM[RM_Qty_Per_Batch]*IFERROR(INDEX(PP_Grid[#Data],M_BOM[PPGridRow],68),0))</f>
        <v/>
      </c>
      <c r="BQ7">
        <f>SUMPRODUCT((M_BOM[Part Name]=$A7)*M_BOM[RM_Qty_Per_Batch]*IFERROR(INDEX(PP_Grid[#Data],M_BOM[PPGridRow],69),0))</f>
        <v/>
      </c>
      <c r="BR7">
        <f>SUMPRODUCT((M_BOM[Part Name]=$A7)*M_BOM[RM_Qty_Per_Batch]*IFERROR(INDEX(PP_Grid[#Data],M_BOM[PPGridRow],70),0))</f>
        <v/>
      </c>
      <c r="BS7">
        <f>SUMPRODUCT((M_BOM[Part Name]=$A7)*M_BOM[RM_Qty_Per_Batch]*IFERROR(INDEX(PP_Grid[#Data],M_BOM[PPGridRow],71),0))</f>
        <v/>
      </c>
      <c r="BT7">
        <f>SUMPRODUCT((M_BOM[Part Name]=$A7)*M_BOM[RM_Qty_Per_Batch]*IFERROR(INDEX(PP_Grid[#Data],M_BOM[PPGridRow],72),0))</f>
        <v/>
      </c>
      <c r="BU7">
        <f>SUMPRODUCT((M_BOM[Part Name]=$A7)*M_BOM[RM_Qty_Per_Batch]*IFERROR(INDEX(PP_Grid[#Data],M_BOM[PPGridRow],73),0))</f>
        <v/>
      </c>
      <c r="BV7">
        <f>SUMPRODUCT((M_BOM[Part Name]=$A7)*M_BOM[RM_Qty_Per_Batch]*IFERROR(INDEX(PP_Grid[#Data],M_BOM[PPGridRow],74),0))</f>
        <v/>
      </c>
      <c r="BW7">
        <f>SUMPRODUCT((M_BOM[Part Name]=$A7)*M_BOM[RM_Qty_Per_Batch]*IFERROR(INDEX(PP_Grid[#Data],M_BOM[PPGridRow],75),0))</f>
        <v/>
      </c>
      <c r="BX7">
        <f>SUMPRODUCT((M_BOM[Part Name]=$A7)*M_BOM[RM_Qty_Per_Batch]*IFERROR(INDEX(PP_Grid[#Data],M_BOM[PPGridRow],76),0))</f>
        <v/>
      </c>
      <c r="BY7">
        <f>SUMPRODUCT((M_BOM[Part Name]=$A7)*M_BOM[RM_Qty_Per_Batch]*IFERROR(INDEX(PP_Grid[#Data],M_BOM[PPGridRow],77),0))</f>
        <v/>
      </c>
      <c r="BZ7">
        <f>SUMPRODUCT((M_BOM[Part Name]=$A7)*M_BOM[RM_Qty_Per_Batch]*IFERROR(INDEX(PP_Grid[#Data],M_BOM[PPGridRow],78),0))</f>
        <v/>
      </c>
      <c r="CA7">
        <f>SUMPRODUCT((M_BOM[Part Name]=$A7)*M_BOM[RM_Qty_Per_Batch]*IFERROR(INDEX(PP_Grid[#Data],M_BOM[PPGridRow],79),0))</f>
        <v/>
      </c>
      <c r="CB7">
        <f>SUMPRODUCT((M_BOM[Part Name]=$A7)*M_BOM[RM_Qty_Per_Batch]*IFERROR(INDEX(PP_Grid[#Data],M_BOM[PPGridRow],80),0))</f>
        <v/>
      </c>
      <c r="CC7">
        <f>SUMPRODUCT((M_BOM[Part Name]=$A7)*M_BOM[RM_Qty_Per_Batch]*IFERROR(INDEX(PP_Grid[#Data],M_BOM[PPGridRow],81),0))</f>
        <v/>
      </c>
      <c r="CD7">
        <f>SUMPRODUCT((M_BOM[Part Name]=$A7)*M_BOM[RM_Qty_Per_Batch]*IFERROR(INDEX(PP_Grid[#Data],M_BOM[PPGridRow],82),0))</f>
        <v/>
      </c>
      <c r="CE7">
        <f>SUMPRODUCT((M_BOM[Part Name]=$A7)*M_BOM[RM_Qty_Per_Batch]*IFERROR(INDEX(PP_Grid[#Data],M_BOM[PPGridRow],83),0))</f>
        <v/>
      </c>
      <c r="CF7">
        <f>SUMPRODUCT((M_BOM[Part Name]=$A7)*M_BOM[RM_Qty_Per_Batch]*IFERROR(INDEX(PP_Grid[#Data],M_BOM[PPGridRow],84),0))</f>
        <v/>
      </c>
      <c r="CG7">
        <f>SUMPRODUCT((M_BOM[Part Name]=$A7)*M_BOM[RM_Qty_Per_Batch]*IFERROR(INDEX(PP_Grid[#Data],M_BOM[PPGridRow],85),0))</f>
        <v/>
      </c>
      <c r="CH7">
        <f>SUMPRODUCT((M_BOM[Part Name]=$A7)*M_BOM[RM_Qty_Per_Batch]*IFERROR(INDEX(PP_Grid[#Data],M_BOM[PPGridRow],86),0))</f>
        <v/>
      </c>
      <c r="CI7">
        <f>SUMPRODUCT((M_BOM[Part Name]=$A7)*M_BOM[RM_Qty_Per_Batch]*IFERROR(INDEX(PP_Grid[#Data],M_BOM[PPGridRow],87),0))</f>
        <v/>
      </c>
      <c r="CJ7">
        <f>SUMPRODUCT((M_BOM[Part Name]=$A7)*M_BOM[RM_Qty_Per_Batch]*IFERROR(INDEX(PP_Grid[#Data],M_BOM[PPGridRow],88),0))</f>
        <v/>
      </c>
      <c r="CK7">
        <f>SUMPRODUCT((M_BOM[Part Name]=$A7)*M_BOM[RM_Qty_Per_Batch]*IFERROR(INDEX(PP_Grid[#Data],M_BOM[PPGridRow],89),0))</f>
        <v/>
      </c>
      <c r="CL7">
        <f>SUMPRODUCT((M_BOM[Part Name]=$A7)*M_BOM[RM_Qty_Per_Batch]*IFERROR(INDEX(PP_Grid[#Data],M_BOM[PPGridRow],90),0))</f>
        <v/>
      </c>
      <c r="CM7">
        <f>SUMPRODUCT((M_BOM[Part Name]=$A7)*M_BOM[RM_Qty_Per_Batch]*IFERROR(INDEX(PP_Grid[#Data],M_BOM[PPGridRow],91),0))</f>
        <v/>
      </c>
      <c r="CN7">
        <f>SUMPRODUCT((M_BOM[Part Name]=$A7)*M_BOM[RM_Qty_Per_Batch]*IFERROR(INDEX(PP_Grid[#Data],M_BOM[PPGridRow],92),0))</f>
        <v/>
      </c>
      <c r="CO7">
        <f>SUMPRODUCT((M_BOM[Part Name]=$A7)*M_BOM[RM_Qty_Per_Batch]*IFERROR(INDEX(PP_Grid[#Data],M_BOM[PPGridRow],93),0))</f>
        <v/>
      </c>
      <c r="CP7">
        <f>SUMPRODUCT((M_BOM[Part Name]=$A7)*M_BOM[RM_Qty_Per_Batch]*IFERROR(INDEX(PP_Grid[#Data],M_BOM[PPGridRow],94),0))</f>
        <v/>
      </c>
      <c r="CQ7">
        <f>SUMPRODUCT((M_BOM[Part Name]=$A7)*M_BOM[RM_Qty_Per_Batch]*IFERROR(INDEX(PP_Grid[#Data],M_BOM[PPGridRow],95),0))</f>
        <v/>
      </c>
      <c r="CR7">
        <f>SUMPRODUCT((M_BOM[Part Name]=$A7)*M_BOM[RM_Qty_Per_Batch]*IFERROR(INDEX(PP_Grid[#Data],M_BOM[PPGridRow],96),0))</f>
        <v/>
      </c>
      <c r="CS7">
        <f>SUMPRODUCT((M_BOM[Part Name]=$A7)*M_BOM[RM_Qty_Per_Batch]*IFERROR(INDEX(PP_Grid[#Data],M_BOM[PPGridRow],97),0))</f>
        <v/>
      </c>
      <c r="CT7">
        <f>SUMPRODUCT((M_BOM[Part Name]=$A7)*M_BOM[RM_Qty_Per_Batch]*IFERROR(INDEX(PP_Grid[#Data],M_BOM[PPGridRow],98),0))</f>
        <v/>
      </c>
      <c r="CU7">
        <f>SUMPRODUCT((M_BOM[Part Name]=$A7)*M_BOM[RM_Qty_Per_Batch]*IFERROR(INDEX(PP_Grid[#Data],M_BOM[PPGridRow],99),0))</f>
        <v/>
      </c>
      <c r="CV7">
        <f>SUMPRODUCT((M_BOM[Part Name]=$A7)*M_BOM[RM_Qty_Per_Batch]*IFERROR(INDEX(PP_Grid[#Data],M_BOM[PPGridRow],100),0))</f>
        <v/>
      </c>
      <c r="CW7">
        <f>SUMPRODUCT((M_BOM[Part Name]=$A7)*M_BOM[RM_Qty_Per_Batch]*IFERROR(INDEX(PP_Grid[#Data],M_BOM[PPGridRow],101),0))</f>
        <v/>
      </c>
      <c r="CX7">
        <f>SUMPRODUCT((M_BOM[Part Name]=$A7)*M_BOM[RM_Qty_Per_Batch]*IFERROR(INDEX(PP_Grid[#Data],M_BOM[PPGridRow],102),0))</f>
        <v/>
      </c>
      <c r="CY7">
        <f>SUMPRODUCT((M_BOM[Part Name]=$A7)*M_BOM[RM_Qty_Per_Batch]*IFERROR(INDEX(PP_Grid[#Data],M_BOM[PPGridRow],103),0))</f>
        <v/>
      </c>
      <c r="CZ7">
        <f>SUMPRODUCT((M_BOM[Part Name]=$A7)*M_BOM[RM_Qty_Per_Batch]*IFERROR(INDEX(PP_Grid[#Data],M_BOM[PPGridRow],104),0))</f>
        <v/>
      </c>
      <c r="DA7">
        <f>SUMPRODUCT((M_BOM[Part Name]=$A7)*M_BOM[RM_Qty_Per_Batch]*IFERROR(INDEX(PP_Grid[#Data],M_BOM[PPGridRow],105),0))</f>
        <v/>
      </c>
    </row>
    <row r="8">
      <c r="A8" t="inlineStr">
        <is>
          <t>CHEM-1690</t>
        </is>
      </c>
      <c r="B8">
        <f>SUMPRODUCT((M_BOM[Part Name]=$A8)*M_BOM[RM_Qty_Per_Batch]*IFERROR(INDEX(PP_Grid[#Data],M_BOM[PPGridRow],2),0))</f>
        <v/>
      </c>
      <c r="C8">
        <f>SUMPRODUCT((M_BOM[Part Name]=$A8)*M_BOM[RM_Qty_Per_Batch]*IFERROR(INDEX(PP_Grid[#Data],M_BOM[PPGridRow],3),0))</f>
        <v/>
      </c>
      <c r="D8">
        <f>SUMPRODUCT((M_BOM[Part Name]=$A8)*M_BOM[RM_Qty_Per_Batch]*IFERROR(INDEX(PP_Grid[#Data],M_BOM[PPGridRow],4),0))</f>
        <v/>
      </c>
      <c r="E8">
        <f>SUMPRODUCT((M_BOM[Part Name]=$A8)*M_BOM[RM_Qty_Per_Batch]*IFERROR(INDEX(PP_Grid[#Data],M_BOM[PPGridRow],5),0))</f>
        <v/>
      </c>
      <c r="F8">
        <f>SUMPRODUCT((M_BOM[Part Name]=$A8)*M_BOM[RM_Qty_Per_Batch]*IFERROR(INDEX(PP_Grid[#Data],M_BOM[PPGridRow],6),0))</f>
        <v/>
      </c>
      <c r="G8">
        <f>SUMPRODUCT((M_BOM[Part Name]=$A8)*M_BOM[RM_Qty_Per_Batch]*IFERROR(INDEX(PP_Grid[#Data],M_BOM[PPGridRow],7),0))</f>
        <v/>
      </c>
      <c r="H8">
        <f>SUMPRODUCT((M_BOM[Part Name]=$A8)*M_BOM[RM_Qty_Per_Batch]*IFERROR(INDEX(PP_Grid[#Data],M_BOM[PPGridRow],8),0))</f>
        <v/>
      </c>
      <c r="I8">
        <f>SUMPRODUCT((M_BOM[Part Name]=$A8)*M_BOM[RM_Qty_Per_Batch]*IFERROR(INDEX(PP_Grid[#Data],M_BOM[PPGridRow],9),0))</f>
        <v/>
      </c>
      <c r="J8">
        <f>SUMPRODUCT((M_BOM[Part Name]=$A8)*M_BOM[RM_Qty_Per_Batch]*IFERROR(INDEX(PP_Grid[#Data],M_BOM[PPGridRow],10),0))</f>
        <v/>
      </c>
      <c r="K8">
        <f>SUMPRODUCT((M_BOM[Part Name]=$A8)*M_BOM[RM_Qty_Per_Batch]*IFERROR(INDEX(PP_Grid[#Data],M_BOM[PPGridRow],11),0))</f>
        <v/>
      </c>
      <c r="L8">
        <f>SUMPRODUCT((M_BOM[Part Name]=$A8)*M_BOM[RM_Qty_Per_Batch]*IFERROR(INDEX(PP_Grid[#Data],M_BOM[PPGridRow],12),0))</f>
        <v/>
      </c>
      <c r="M8">
        <f>SUMPRODUCT((M_BOM[Part Name]=$A8)*M_BOM[RM_Qty_Per_Batch]*IFERROR(INDEX(PP_Grid[#Data],M_BOM[PPGridRow],13),0))</f>
        <v/>
      </c>
      <c r="N8">
        <f>SUMPRODUCT((M_BOM[Part Name]=$A8)*M_BOM[RM_Qty_Per_Batch]*IFERROR(INDEX(PP_Grid[#Data],M_BOM[PPGridRow],14),0))</f>
        <v/>
      </c>
      <c r="O8">
        <f>SUMPRODUCT((M_BOM[Part Name]=$A8)*M_BOM[RM_Qty_Per_Batch]*IFERROR(INDEX(PP_Grid[#Data],M_BOM[PPGridRow],15),0))</f>
        <v/>
      </c>
      <c r="P8">
        <f>SUMPRODUCT((M_BOM[Part Name]=$A8)*M_BOM[RM_Qty_Per_Batch]*IFERROR(INDEX(PP_Grid[#Data],M_BOM[PPGridRow],16),0))</f>
        <v/>
      </c>
      <c r="Q8">
        <f>SUMPRODUCT((M_BOM[Part Name]=$A8)*M_BOM[RM_Qty_Per_Batch]*IFERROR(INDEX(PP_Grid[#Data],M_BOM[PPGridRow],17),0))</f>
        <v/>
      </c>
      <c r="R8">
        <f>SUMPRODUCT((M_BOM[Part Name]=$A8)*M_BOM[RM_Qty_Per_Batch]*IFERROR(INDEX(PP_Grid[#Data],M_BOM[PPGridRow],18),0))</f>
        <v/>
      </c>
      <c r="S8">
        <f>SUMPRODUCT((M_BOM[Part Name]=$A8)*M_BOM[RM_Qty_Per_Batch]*IFERROR(INDEX(PP_Grid[#Data],M_BOM[PPGridRow],19),0))</f>
        <v/>
      </c>
      <c r="T8">
        <f>SUMPRODUCT((M_BOM[Part Name]=$A8)*M_BOM[RM_Qty_Per_Batch]*IFERROR(INDEX(PP_Grid[#Data],M_BOM[PPGridRow],20),0))</f>
        <v/>
      </c>
      <c r="U8">
        <f>SUMPRODUCT((M_BOM[Part Name]=$A8)*M_BOM[RM_Qty_Per_Batch]*IFERROR(INDEX(PP_Grid[#Data],M_BOM[PPGridRow],21),0))</f>
        <v/>
      </c>
      <c r="V8">
        <f>SUMPRODUCT((M_BOM[Part Name]=$A8)*M_BOM[RM_Qty_Per_Batch]*IFERROR(INDEX(PP_Grid[#Data],M_BOM[PPGridRow],22),0))</f>
        <v/>
      </c>
      <c r="W8">
        <f>SUMPRODUCT((M_BOM[Part Name]=$A8)*M_BOM[RM_Qty_Per_Batch]*IFERROR(INDEX(PP_Grid[#Data],M_BOM[PPGridRow],23),0))</f>
        <v/>
      </c>
      <c r="X8">
        <f>SUMPRODUCT((M_BOM[Part Name]=$A8)*M_BOM[RM_Qty_Per_Batch]*IFERROR(INDEX(PP_Grid[#Data],M_BOM[PPGridRow],24),0))</f>
        <v/>
      </c>
      <c r="Y8">
        <f>SUMPRODUCT((M_BOM[Part Name]=$A8)*M_BOM[RM_Qty_Per_Batch]*IFERROR(INDEX(PP_Grid[#Data],M_BOM[PPGridRow],25),0))</f>
        <v/>
      </c>
      <c r="Z8">
        <f>SUMPRODUCT((M_BOM[Part Name]=$A8)*M_BOM[RM_Qty_Per_Batch]*IFERROR(INDEX(PP_Grid[#Data],M_BOM[PPGridRow],26),0))</f>
        <v/>
      </c>
      <c r="AA8">
        <f>SUMPRODUCT((M_BOM[Part Name]=$A8)*M_BOM[RM_Qty_Per_Batch]*IFERROR(INDEX(PP_Grid[#Data],M_BOM[PPGridRow],27),0))</f>
        <v/>
      </c>
      <c r="AB8">
        <f>SUMPRODUCT((M_BOM[Part Name]=$A8)*M_BOM[RM_Qty_Per_Batch]*IFERROR(INDEX(PP_Grid[#Data],M_BOM[PPGridRow],28),0))</f>
        <v/>
      </c>
      <c r="AC8">
        <f>SUMPRODUCT((M_BOM[Part Name]=$A8)*M_BOM[RM_Qty_Per_Batch]*IFERROR(INDEX(PP_Grid[#Data],M_BOM[PPGridRow],29),0))</f>
        <v/>
      </c>
      <c r="AD8">
        <f>SUMPRODUCT((M_BOM[Part Name]=$A8)*M_BOM[RM_Qty_Per_Batch]*IFERROR(INDEX(PP_Grid[#Data],M_BOM[PPGridRow],30),0))</f>
        <v/>
      </c>
      <c r="AE8">
        <f>SUMPRODUCT((M_BOM[Part Name]=$A8)*M_BOM[RM_Qty_Per_Batch]*IFERROR(INDEX(PP_Grid[#Data],M_BOM[PPGridRow],31),0))</f>
        <v/>
      </c>
      <c r="AF8">
        <f>SUMPRODUCT((M_BOM[Part Name]=$A8)*M_BOM[RM_Qty_Per_Batch]*IFERROR(INDEX(PP_Grid[#Data],M_BOM[PPGridRow],32),0))</f>
        <v/>
      </c>
      <c r="AG8">
        <f>SUMPRODUCT((M_BOM[Part Name]=$A8)*M_BOM[RM_Qty_Per_Batch]*IFERROR(INDEX(PP_Grid[#Data],M_BOM[PPGridRow],33),0))</f>
        <v/>
      </c>
      <c r="AH8">
        <f>SUMPRODUCT((M_BOM[Part Name]=$A8)*M_BOM[RM_Qty_Per_Batch]*IFERROR(INDEX(PP_Grid[#Data],M_BOM[PPGridRow],34),0))</f>
        <v/>
      </c>
      <c r="AI8">
        <f>SUMPRODUCT((M_BOM[Part Name]=$A8)*M_BOM[RM_Qty_Per_Batch]*IFERROR(INDEX(PP_Grid[#Data],M_BOM[PPGridRow],35),0))</f>
        <v/>
      </c>
      <c r="AJ8">
        <f>SUMPRODUCT((M_BOM[Part Name]=$A8)*M_BOM[RM_Qty_Per_Batch]*IFERROR(INDEX(PP_Grid[#Data],M_BOM[PPGridRow],36),0))</f>
        <v/>
      </c>
      <c r="AK8">
        <f>SUMPRODUCT((M_BOM[Part Name]=$A8)*M_BOM[RM_Qty_Per_Batch]*IFERROR(INDEX(PP_Grid[#Data],M_BOM[PPGridRow],37),0))</f>
        <v/>
      </c>
      <c r="AL8">
        <f>SUMPRODUCT((M_BOM[Part Name]=$A8)*M_BOM[RM_Qty_Per_Batch]*IFERROR(INDEX(PP_Grid[#Data],M_BOM[PPGridRow],38),0))</f>
        <v/>
      </c>
      <c r="AM8">
        <f>SUMPRODUCT((M_BOM[Part Name]=$A8)*M_BOM[RM_Qty_Per_Batch]*IFERROR(INDEX(PP_Grid[#Data],M_BOM[PPGridRow],39),0))</f>
        <v/>
      </c>
      <c r="AN8">
        <f>SUMPRODUCT((M_BOM[Part Name]=$A8)*M_BOM[RM_Qty_Per_Batch]*IFERROR(INDEX(PP_Grid[#Data],M_BOM[PPGridRow],40),0))</f>
        <v/>
      </c>
      <c r="AO8">
        <f>SUMPRODUCT((M_BOM[Part Name]=$A8)*M_BOM[RM_Qty_Per_Batch]*IFERROR(INDEX(PP_Grid[#Data],M_BOM[PPGridRow],41),0))</f>
        <v/>
      </c>
      <c r="AP8">
        <f>SUMPRODUCT((M_BOM[Part Name]=$A8)*M_BOM[RM_Qty_Per_Batch]*IFERROR(INDEX(PP_Grid[#Data],M_BOM[PPGridRow],42),0))</f>
        <v/>
      </c>
      <c r="AQ8">
        <f>SUMPRODUCT((M_BOM[Part Name]=$A8)*M_BOM[RM_Qty_Per_Batch]*IFERROR(INDEX(PP_Grid[#Data],M_BOM[PPGridRow],43),0))</f>
        <v/>
      </c>
      <c r="AR8">
        <f>SUMPRODUCT((M_BOM[Part Name]=$A8)*M_BOM[RM_Qty_Per_Batch]*IFERROR(INDEX(PP_Grid[#Data],M_BOM[PPGridRow],44),0))</f>
        <v/>
      </c>
      <c r="AS8">
        <f>SUMPRODUCT((M_BOM[Part Name]=$A8)*M_BOM[RM_Qty_Per_Batch]*IFERROR(INDEX(PP_Grid[#Data],M_BOM[PPGridRow],45),0))</f>
        <v/>
      </c>
      <c r="AT8">
        <f>SUMPRODUCT((M_BOM[Part Name]=$A8)*M_BOM[RM_Qty_Per_Batch]*IFERROR(INDEX(PP_Grid[#Data],M_BOM[PPGridRow],46),0))</f>
        <v/>
      </c>
      <c r="AU8">
        <f>SUMPRODUCT((M_BOM[Part Name]=$A8)*M_BOM[RM_Qty_Per_Batch]*IFERROR(INDEX(PP_Grid[#Data],M_BOM[PPGridRow],47),0))</f>
        <v/>
      </c>
      <c r="AV8">
        <f>SUMPRODUCT((M_BOM[Part Name]=$A8)*M_BOM[RM_Qty_Per_Batch]*IFERROR(INDEX(PP_Grid[#Data],M_BOM[PPGridRow],48),0))</f>
        <v/>
      </c>
      <c r="AW8">
        <f>SUMPRODUCT((M_BOM[Part Name]=$A8)*M_BOM[RM_Qty_Per_Batch]*IFERROR(INDEX(PP_Grid[#Data],M_BOM[PPGridRow],49),0))</f>
        <v/>
      </c>
      <c r="AX8">
        <f>SUMPRODUCT((M_BOM[Part Name]=$A8)*M_BOM[RM_Qty_Per_Batch]*IFERROR(INDEX(PP_Grid[#Data],M_BOM[PPGridRow],50),0))</f>
        <v/>
      </c>
      <c r="AY8">
        <f>SUMPRODUCT((M_BOM[Part Name]=$A8)*M_BOM[RM_Qty_Per_Batch]*IFERROR(INDEX(PP_Grid[#Data],M_BOM[PPGridRow],51),0))</f>
        <v/>
      </c>
      <c r="AZ8">
        <f>SUMPRODUCT((M_BOM[Part Name]=$A8)*M_BOM[RM_Qty_Per_Batch]*IFERROR(INDEX(PP_Grid[#Data],M_BOM[PPGridRow],52),0))</f>
        <v/>
      </c>
      <c r="BA8">
        <f>SUMPRODUCT((M_BOM[Part Name]=$A8)*M_BOM[RM_Qty_Per_Batch]*IFERROR(INDEX(PP_Grid[#Data],M_BOM[PPGridRow],53),0))</f>
        <v/>
      </c>
      <c r="BB8">
        <f>SUMPRODUCT((M_BOM[Part Name]=$A8)*M_BOM[RM_Qty_Per_Batch]*IFERROR(INDEX(PP_Grid[#Data],M_BOM[PPGridRow],54),0))</f>
        <v/>
      </c>
      <c r="BC8">
        <f>SUMPRODUCT((M_BOM[Part Name]=$A8)*M_BOM[RM_Qty_Per_Batch]*IFERROR(INDEX(PP_Grid[#Data],M_BOM[PPGridRow],55),0))</f>
        <v/>
      </c>
      <c r="BD8">
        <f>SUMPRODUCT((M_BOM[Part Name]=$A8)*M_BOM[RM_Qty_Per_Batch]*IFERROR(INDEX(PP_Grid[#Data],M_BOM[PPGridRow],56),0))</f>
        <v/>
      </c>
      <c r="BE8">
        <f>SUMPRODUCT((M_BOM[Part Name]=$A8)*M_BOM[RM_Qty_Per_Batch]*IFERROR(INDEX(PP_Grid[#Data],M_BOM[PPGridRow],57),0))</f>
        <v/>
      </c>
      <c r="BF8">
        <f>SUMPRODUCT((M_BOM[Part Name]=$A8)*M_BOM[RM_Qty_Per_Batch]*IFERROR(INDEX(PP_Grid[#Data],M_BOM[PPGridRow],58),0))</f>
        <v/>
      </c>
      <c r="BG8">
        <f>SUMPRODUCT((M_BOM[Part Name]=$A8)*M_BOM[RM_Qty_Per_Batch]*IFERROR(INDEX(PP_Grid[#Data],M_BOM[PPGridRow],59),0))</f>
        <v/>
      </c>
      <c r="BH8">
        <f>SUMPRODUCT((M_BOM[Part Name]=$A8)*M_BOM[RM_Qty_Per_Batch]*IFERROR(INDEX(PP_Grid[#Data],M_BOM[PPGridRow],60),0))</f>
        <v/>
      </c>
      <c r="BI8">
        <f>SUMPRODUCT((M_BOM[Part Name]=$A8)*M_BOM[RM_Qty_Per_Batch]*IFERROR(INDEX(PP_Grid[#Data],M_BOM[PPGridRow],61),0))</f>
        <v/>
      </c>
      <c r="BJ8">
        <f>SUMPRODUCT((M_BOM[Part Name]=$A8)*M_BOM[RM_Qty_Per_Batch]*IFERROR(INDEX(PP_Grid[#Data],M_BOM[PPGridRow],62),0))</f>
        <v/>
      </c>
      <c r="BK8">
        <f>SUMPRODUCT((M_BOM[Part Name]=$A8)*M_BOM[RM_Qty_Per_Batch]*IFERROR(INDEX(PP_Grid[#Data],M_BOM[PPGridRow],63),0))</f>
        <v/>
      </c>
      <c r="BL8">
        <f>SUMPRODUCT((M_BOM[Part Name]=$A8)*M_BOM[RM_Qty_Per_Batch]*IFERROR(INDEX(PP_Grid[#Data],M_BOM[PPGridRow],64),0))</f>
        <v/>
      </c>
      <c r="BM8">
        <f>SUMPRODUCT((M_BOM[Part Name]=$A8)*M_BOM[RM_Qty_Per_Batch]*IFERROR(INDEX(PP_Grid[#Data],M_BOM[PPGridRow],65),0))</f>
        <v/>
      </c>
      <c r="BN8">
        <f>SUMPRODUCT((M_BOM[Part Name]=$A8)*M_BOM[RM_Qty_Per_Batch]*IFERROR(INDEX(PP_Grid[#Data],M_BOM[PPGridRow],66),0))</f>
        <v/>
      </c>
      <c r="BO8">
        <f>SUMPRODUCT((M_BOM[Part Name]=$A8)*M_BOM[RM_Qty_Per_Batch]*IFERROR(INDEX(PP_Grid[#Data],M_BOM[PPGridRow],67),0))</f>
        <v/>
      </c>
      <c r="BP8">
        <f>SUMPRODUCT((M_BOM[Part Name]=$A8)*M_BOM[RM_Qty_Per_Batch]*IFERROR(INDEX(PP_Grid[#Data],M_BOM[PPGridRow],68),0))</f>
        <v/>
      </c>
      <c r="BQ8">
        <f>SUMPRODUCT((M_BOM[Part Name]=$A8)*M_BOM[RM_Qty_Per_Batch]*IFERROR(INDEX(PP_Grid[#Data],M_BOM[PPGridRow],69),0))</f>
        <v/>
      </c>
      <c r="BR8">
        <f>SUMPRODUCT((M_BOM[Part Name]=$A8)*M_BOM[RM_Qty_Per_Batch]*IFERROR(INDEX(PP_Grid[#Data],M_BOM[PPGridRow],70),0))</f>
        <v/>
      </c>
      <c r="BS8">
        <f>SUMPRODUCT((M_BOM[Part Name]=$A8)*M_BOM[RM_Qty_Per_Batch]*IFERROR(INDEX(PP_Grid[#Data],M_BOM[PPGridRow],71),0))</f>
        <v/>
      </c>
      <c r="BT8">
        <f>SUMPRODUCT((M_BOM[Part Name]=$A8)*M_BOM[RM_Qty_Per_Batch]*IFERROR(INDEX(PP_Grid[#Data],M_BOM[PPGridRow],72),0))</f>
        <v/>
      </c>
      <c r="BU8">
        <f>SUMPRODUCT((M_BOM[Part Name]=$A8)*M_BOM[RM_Qty_Per_Batch]*IFERROR(INDEX(PP_Grid[#Data],M_BOM[PPGridRow],73),0))</f>
        <v/>
      </c>
      <c r="BV8">
        <f>SUMPRODUCT((M_BOM[Part Name]=$A8)*M_BOM[RM_Qty_Per_Batch]*IFERROR(INDEX(PP_Grid[#Data],M_BOM[PPGridRow],74),0))</f>
        <v/>
      </c>
      <c r="BW8">
        <f>SUMPRODUCT((M_BOM[Part Name]=$A8)*M_BOM[RM_Qty_Per_Batch]*IFERROR(INDEX(PP_Grid[#Data],M_BOM[PPGridRow],75),0))</f>
        <v/>
      </c>
      <c r="BX8">
        <f>SUMPRODUCT((M_BOM[Part Name]=$A8)*M_BOM[RM_Qty_Per_Batch]*IFERROR(INDEX(PP_Grid[#Data],M_BOM[PPGridRow],76),0))</f>
        <v/>
      </c>
      <c r="BY8">
        <f>SUMPRODUCT((M_BOM[Part Name]=$A8)*M_BOM[RM_Qty_Per_Batch]*IFERROR(INDEX(PP_Grid[#Data],M_BOM[PPGridRow],77),0))</f>
        <v/>
      </c>
      <c r="BZ8">
        <f>SUMPRODUCT((M_BOM[Part Name]=$A8)*M_BOM[RM_Qty_Per_Batch]*IFERROR(INDEX(PP_Grid[#Data],M_BOM[PPGridRow],78),0))</f>
        <v/>
      </c>
      <c r="CA8">
        <f>SUMPRODUCT((M_BOM[Part Name]=$A8)*M_BOM[RM_Qty_Per_Batch]*IFERROR(INDEX(PP_Grid[#Data],M_BOM[PPGridRow],79),0))</f>
        <v/>
      </c>
      <c r="CB8">
        <f>SUMPRODUCT((M_BOM[Part Name]=$A8)*M_BOM[RM_Qty_Per_Batch]*IFERROR(INDEX(PP_Grid[#Data],M_BOM[PPGridRow],80),0))</f>
        <v/>
      </c>
      <c r="CC8">
        <f>SUMPRODUCT((M_BOM[Part Name]=$A8)*M_BOM[RM_Qty_Per_Batch]*IFERROR(INDEX(PP_Grid[#Data],M_BOM[PPGridRow],81),0))</f>
        <v/>
      </c>
      <c r="CD8">
        <f>SUMPRODUCT((M_BOM[Part Name]=$A8)*M_BOM[RM_Qty_Per_Batch]*IFERROR(INDEX(PP_Grid[#Data],M_BOM[PPGridRow],82),0))</f>
        <v/>
      </c>
      <c r="CE8">
        <f>SUMPRODUCT((M_BOM[Part Name]=$A8)*M_BOM[RM_Qty_Per_Batch]*IFERROR(INDEX(PP_Grid[#Data],M_BOM[PPGridRow],83),0))</f>
        <v/>
      </c>
      <c r="CF8">
        <f>SUMPRODUCT((M_BOM[Part Name]=$A8)*M_BOM[RM_Qty_Per_Batch]*IFERROR(INDEX(PP_Grid[#Data],M_BOM[PPGridRow],84),0))</f>
        <v/>
      </c>
      <c r="CG8">
        <f>SUMPRODUCT((M_BOM[Part Name]=$A8)*M_BOM[RM_Qty_Per_Batch]*IFERROR(INDEX(PP_Grid[#Data],M_BOM[PPGridRow],85),0))</f>
        <v/>
      </c>
      <c r="CH8">
        <f>SUMPRODUCT((M_BOM[Part Name]=$A8)*M_BOM[RM_Qty_Per_Batch]*IFERROR(INDEX(PP_Grid[#Data],M_BOM[PPGridRow],86),0))</f>
        <v/>
      </c>
      <c r="CI8">
        <f>SUMPRODUCT((M_BOM[Part Name]=$A8)*M_BOM[RM_Qty_Per_Batch]*IFERROR(INDEX(PP_Grid[#Data],M_BOM[PPGridRow],87),0))</f>
        <v/>
      </c>
      <c r="CJ8">
        <f>SUMPRODUCT((M_BOM[Part Name]=$A8)*M_BOM[RM_Qty_Per_Batch]*IFERROR(INDEX(PP_Grid[#Data],M_BOM[PPGridRow],88),0))</f>
        <v/>
      </c>
      <c r="CK8">
        <f>SUMPRODUCT((M_BOM[Part Name]=$A8)*M_BOM[RM_Qty_Per_Batch]*IFERROR(INDEX(PP_Grid[#Data],M_BOM[PPGridRow],89),0))</f>
        <v/>
      </c>
      <c r="CL8">
        <f>SUMPRODUCT((M_BOM[Part Name]=$A8)*M_BOM[RM_Qty_Per_Batch]*IFERROR(INDEX(PP_Grid[#Data],M_BOM[PPGridRow],90),0))</f>
        <v/>
      </c>
      <c r="CM8">
        <f>SUMPRODUCT((M_BOM[Part Name]=$A8)*M_BOM[RM_Qty_Per_Batch]*IFERROR(INDEX(PP_Grid[#Data],M_BOM[PPGridRow],91),0))</f>
        <v/>
      </c>
      <c r="CN8">
        <f>SUMPRODUCT((M_BOM[Part Name]=$A8)*M_BOM[RM_Qty_Per_Batch]*IFERROR(INDEX(PP_Grid[#Data],M_BOM[PPGridRow],92),0))</f>
        <v/>
      </c>
      <c r="CO8">
        <f>SUMPRODUCT((M_BOM[Part Name]=$A8)*M_BOM[RM_Qty_Per_Batch]*IFERROR(INDEX(PP_Grid[#Data],M_BOM[PPGridRow],93),0))</f>
        <v/>
      </c>
      <c r="CP8">
        <f>SUMPRODUCT((M_BOM[Part Name]=$A8)*M_BOM[RM_Qty_Per_Batch]*IFERROR(INDEX(PP_Grid[#Data],M_BOM[PPGridRow],94),0))</f>
        <v/>
      </c>
      <c r="CQ8">
        <f>SUMPRODUCT((M_BOM[Part Name]=$A8)*M_BOM[RM_Qty_Per_Batch]*IFERROR(INDEX(PP_Grid[#Data],M_BOM[PPGridRow],95),0))</f>
        <v/>
      </c>
      <c r="CR8">
        <f>SUMPRODUCT((M_BOM[Part Name]=$A8)*M_BOM[RM_Qty_Per_Batch]*IFERROR(INDEX(PP_Grid[#Data],M_BOM[PPGridRow],96),0))</f>
        <v/>
      </c>
      <c r="CS8">
        <f>SUMPRODUCT((M_BOM[Part Name]=$A8)*M_BOM[RM_Qty_Per_Batch]*IFERROR(INDEX(PP_Grid[#Data],M_BOM[PPGridRow],97),0))</f>
        <v/>
      </c>
      <c r="CT8">
        <f>SUMPRODUCT((M_BOM[Part Name]=$A8)*M_BOM[RM_Qty_Per_Batch]*IFERROR(INDEX(PP_Grid[#Data],M_BOM[PPGridRow],98),0))</f>
        <v/>
      </c>
      <c r="CU8">
        <f>SUMPRODUCT((M_BOM[Part Name]=$A8)*M_BOM[RM_Qty_Per_Batch]*IFERROR(INDEX(PP_Grid[#Data],M_BOM[PPGridRow],99),0))</f>
        <v/>
      </c>
      <c r="CV8">
        <f>SUMPRODUCT((M_BOM[Part Name]=$A8)*M_BOM[RM_Qty_Per_Batch]*IFERROR(INDEX(PP_Grid[#Data],M_BOM[PPGridRow],100),0))</f>
        <v/>
      </c>
      <c r="CW8">
        <f>SUMPRODUCT((M_BOM[Part Name]=$A8)*M_BOM[RM_Qty_Per_Batch]*IFERROR(INDEX(PP_Grid[#Data],M_BOM[PPGridRow],101),0))</f>
        <v/>
      </c>
      <c r="CX8">
        <f>SUMPRODUCT((M_BOM[Part Name]=$A8)*M_BOM[RM_Qty_Per_Batch]*IFERROR(INDEX(PP_Grid[#Data],M_BOM[PPGridRow],102),0))</f>
        <v/>
      </c>
      <c r="CY8">
        <f>SUMPRODUCT((M_BOM[Part Name]=$A8)*M_BOM[RM_Qty_Per_Batch]*IFERROR(INDEX(PP_Grid[#Data],M_BOM[PPGridRow],103),0))</f>
        <v/>
      </c>
      <c r="CZ8">
        <f>SUMPRODUCT((M_BOM[Part Name]=$A8)*M_BOM[RM_Qty_Per_Batch]*IFERROR(INDEX(PP_Grid[#Data],M_BOM[PPGridRow],104),0))</f>
        <v/>
      </c>
      <c r="DA8">
        <f>SUMPRODUCT((M_BOM[Part Name]=$A8)*M_BOM[RM_Qty_Per_Batch]*IFERROR(INDEX(PP_Grid[#Data],M_BOM[PPGridRow],105),0))</f>
        <v/>
      </c>
    </row>
    <row r="9">
      <c r="A9" t="inlineStr">
        <is>
          <t>CHEM-1720</t>
        </is>
      </c>
      <c r="B9">
        <f>SUMPRODUCT((M_BOM[Part Name]=$A9)*M_BOM[RM_Qty_Per_Batch]*IFERROR(INDEX(PP_Grid[#Data],M_BOM[PPGridRow],2),0))</f>
        <v/>
      </c>
      <c r="C9">
        <f>SUMPRODUCT((M_BOM[Part Name]=$A9)*M_BOM[RM_Qty_Per_Batch]*IFERROR(INDEX(PP_Grid[#Data],M_BOM[PPGridRow],3),0))</f>
        <v/>
      </c>
      <c r="D9">
        <f>SUMPRODUCT((M_BOM[Part Name]=$A9)*M_BOM[RM_Qty_Per_Batch]*IFERROR(INDEX(PP_Grid[#Data],M_BOM[PPGridRow],4),0))</f>
        <v/>
      </c>
      <c r="E9">
        <f>SUMPRODUCT((M_BOM[Part Name]=$A9)*M_BOM[RM_Qty_Per_Batch]*IFERROR(INDEX(PP_Grid[#Data],M_BOM[PPGridRow],5),0))</f>
        <v/>
      </c>
      <c r="F9">
        <f>SUMPRODUCT((M_BOM[Part Name]=$A9)*M_BOM[RM_Qty_Per_Batch]*IFERROR(INDEX(PP_Grid[#Data],M_BOM[PPGridRow],6),0))</f>
        <v/>
      </c>
      <c r="G9">
        <f>SUMPRODUCT((M_BOM[Part Name]=$A9)*M_BOM[RM_Qty_Per_Batch]*IFERROR(INDEX(PP_Grid[#Data],M_BOM[PPGridRow],7),0))</f>
        <v/>
      </c>
      <c r="H9">
        <f>SUMPRODUCT((M_BOM[Part Name]=$A9)*M_BOM[RM_Qty_Per_Batch]*IFERROR(INDEX(PP_Grid[#Data],M_BOM[PPGridRow],8),0))</f>
        <v/>
      </c>
      <c r="I9">
        <f>SUMPRODUCT((M_BOM[Part Name]=$A9)*M_BOM[RM_Qty_Per_Batch]*IFERROR(INDEX(PP_Grid[#Data],M_BOM[PPGridRow],9),0))</f>
        <v/>
      </c>
      <c r="J9">
        <f>SUMPRODUCT((M_BOM[Part Name]=$A9)*M_BOM[RM_Qty_Per_Batch]*IFERROR(INDEX(PP_Grid[#Data],M_BOM[PPGridRow],10),0))</f>
        <v/>
      </c>
      <c r="K9">
        <f>SUMPRODUCT((M_BOM[Part Name]=$A9)*M_BOM[RM_Qty_Per_Batch]*IFERROR(INDEX(PP_Grid[#Data],M_BOM[PPGridRow],11),0))</f>
        <v/>
      </c>
      <c r="L9">
        <f>SUMPRODUCT((M_BOM[Part Name]=$A9)*M_BOM[RM_Qty_Per_Batch]*IFERROR(INDEX(PP_Grid[#Data],M_BOM[PPGridRow],12),0))</f>
        <v/>
      </c>
      <c r="M9">
        <f>SUMPRODUCT((M_BOM[Part Name]=$A9)*M_BOM[RM_Qty_Per_Batch]*IFERROR(INDEX(PP_Grid[#Data],M_BOM[PPGridRow],13),0))</f>
        <v/>
      </c>
      <c r="N9">
        <f>SUMPRODUCT((M_BOM[Part Name]=$A9)*M_BOM[RM_Qty_Per_Batch]*IFERROR(INDEX(PP_Grid[#Data],M_BOM[PPGridRow],14),0))</f>
        <v/>
      </c>
      <c r="O9">
        <f>SUMPRODUCT((M_BOM[Part Name]=$A9)*M_BOM[RM_Qty_Per_Batch]*IFERROR(INDEX(PP_Grid[#Data],M_BOM[PPGridRow],15),0))</f>
        <v/>
      </c>
      <c r="P9">
        <f>SUMPRODUCT((M_BOM[Part Name]=$A9)*M_BOM[RM_Qty_Per_Batch]*IFERROR(INDEX(PP_Grid[#Data],M_BOM[PPGridRow],16),0))</f>
        <v/>
      </c>
      <c r="Q9">
        <f>SUMPRODUCT((M_BOM[Part Name]=$A9)*M_BOM[RM_Qty_Per_Batch]*IFERROR(INDEX(PP_Grid[#Data],M_BOM[PPGridRow],17),0))</f>
        <v/>
      </c>
      <c r="R9">
        <f>SUMPRODUCT((M_BOM[Part Name]=$A9)*M_BOM[RM_Qty_Per_Batch]*IFERROR(INDEX(PP_Grid[#Data],M_BOM[PPGridRow],18),0))</f>
        <v/>
      </c>
      <c r="S9">
        <f>SUMPRODUCT((M_BOM[Part Name]=$A9)*M_BOM[RM_Qty_Per_Batch]*IFERROR(INDEX(PP_Grid[#Data],M_BOM[PPGridRow],19),0))</f>
        <v/>
      </c>
      <c r="T9">
        <f>SUMPRODUCT((M_BOM[Part Name]=$A9)*M_BOM[RM_Qty_Per_Batch]*IFERROR(INDEX(PP_Grid[#Data],M_BOM[PPGridRow],20),0))</f>
        <v/>
      </c>
      <c r="U9">
        <f>SUMPRODUCT((M_BOM[Part Name]=$A9)*M_BOM[RM_Qty_Per_Batch]*IFERROR(INDEX(PP_Grid[#Data],M_BOM[PPGridRow],21),0))</f>
        <v/>
      </c>
      <c r="V9">
        <f>SUMPRODUCT((M_BOM[Part Name]=$A9)*M_BOM[RM_Qty_Per_Batch]*IFERROR(INDEX(PP_Grid[#Data],M_BOM[PPGridRow],22),0))</f>
        <v/>
      </c>
      <c r="W9">
        <f>SUMPRODUCT((M_BOM[Part Name]=$A9)*M_BOM[RM_Qty_Per_Batch]*IFERROR(INDEX(PP_Grid[#Data],M_BOM[PPGridRow],23),0))</f>
        <v/>
      </c>
      <c r="X9">
        <f>SUMPRODUCT((M_BOM[Part Name]=$A9)*M_BOM[RM_Qty_Per_Batch]*IFERROR(INDEX(PP_Grid[#Data],M_BOM[PPGridRow],24),0))</f>
        <v/>
      </c>
      <c r="Y9">
        <f>SUMPRODUCT((M_BOM[Part Name]=$A9)*M_BOM[RM_Qty_Per_Batch]*IFERROR(INDEX(PP_Grid[#Data],M_BOM[PPGridRow],25),0))</f>
        <v/>
      </c>
      <c r="Z9">
        <f>SUMPRODUCT((M_BOM[Part Name]=$A9)*M_BOM[RM_Qty_Per_Batch]*IFERROR(INDEX(PP_Grid[#Data],M_BOM[PPGridRow],26),0))</f>
        <v/>
      </c>
      <c r="AA9">
        <f>SUMPRODUCT((M_BOM[Part Name]=$A9)*M_BOM[RM_Qty_Per_Batch]*IFERROR(INDEX(PP_Grid[#Data],M_BOM[PPGridRow],27),0))</f>
        <v/>
      </c>
      <c r="AB9">
        <f>SUMPRODUCT((M_BOM[Part Name]=$A9)*M_BOM[RM_Qty_Per_Batch]*IFERROR(INDEX(PP_Grid[#Data],M_BOM[PPGridRow],28),0))</f>
        <v/>
      </c>
      <c r="AC9">
        <f>SUMPRODUCT((M_BOM[Part Name]=$A9)*M_BOM[RM_Qty_Per_Batch]*IFERROR(INDEX(PP_Grid[#Data],M_BOM[PPGridRow],29),0))</f>
        <v/>
      </c>
      <c r="AD9">
        <f>SUMPRODUCT((M_BOM[Part Name]=$A9)*M_BOM[RM_Qty_Per_Batch]*IFERROR(INDEX(PP_Grid[#Data],M_BOM[PPGridRow],30),0))</f>
        <v/>
      </c>
      <c r="AE9">
        <f>SUMPRODUCT((M_BOM[Part Name]=$A9)*M_BOM[RM_Qty_Per_Batch]*IFERROR(INDEX(PP_Grid[#Data],M_BOM[PPGridRow],31),0))</f>
        <v/>
      </c>
      <c r="AF9">
        <f>SUMPRODUCT((M_BOM[Part Name]=$A9)*M_BOM[RM_Qty_Per_Batch]*IFERROR(INDEX(PP_Grid[#Data],M_BOM[PPGridRow],32),0))</f>
        <v/>
      </c>
      <c r="AG9">
        <f>SUMPRODUCT((M_BOM[Part Name]=$A9)*M_BOM[RM_Qty_Per_Batch]*IFERROR(INDEX(PP_Grid[#Data],M_BOM[PPGridRow],33),0))</f>
        <v/>
      </c>
      <c r="AH9">
        <f>SUMPRODUCT((M_BOM[Part Name]=$A9)*M_BOM[RM_Qty_Per_Batch]*IFERROR(INDEX(PP_Grid[#Data],M_BOM[PPGridRow],34),0))</f>
        <v/>
      </c>
      <c r="AI9">
        <f>SUMPRODUCT((M_BOM[Part Name]=$A9)*M_BOM[RM_Qty_Per_Batch]*IFERROR(INDEX(PP_Grid[#Data],M_BOM[PPGridRow],35),0))</f>
        <v/>
      </c>
      <c r="AJ9">
        <f>SUMPRODUCT((M_BOM[Part Name]=$A9)*M_BOM[RM_Qty_Per_Batch]*IFERROR(INDEX(PP_Grid[#Data],M_BOM[PPGridRow],36),0))</f>
        <v/>
      </c>
      <c r="AK9">
        <f>SUMPRODUCT((M_BOM[Part Name]=$A9)*M_BOM[RM_Qty_Per_Batch]*IFERROR(INDEX(PP_Grid[#Data],M_BOM[PPGridRow],37),0))</f>
        <v/>
      </c>
      <c r="AL9">
        <f>SUMPRODUCT((M_BOM[Part Name]=$A9)*M_BOM[RM_Qty_Per_Batch]*IFERROR(INDEX(PP_Grid[#Data],M_BOM[PPGridRow],38),0))</f>
        <v/>
      </c>
      <c r="AM9">
        <f>SUMPRODUCT((M_BOM[Part Name]=$A9)*M_BOM[RM_Qty_Per_Batch]*IFERROR(INDEX(PP_Grid[#Data],M_BOM[PPGridRow],39),0))</f>
        <v/>
      </c>
      <c r="AN9">
        <f>SUMPRODUCT((M_BOM[Part Name]=$A9)*M_BOM[RM_Qty_Per_Batch]*IFERROR(INDEX(PP_Grid[#Data],M_BOM[PPGridRow],40),0))</f>
        <v/>
      </c>
      <c r="AO9">
        <f>SUMPRODUCT((M_BOM[Part Name]=$A9)*M_BOM[RM_Qty_Per_Batch]*IFERROR(INDEX(PP_Grid[#Data],M_BOM[PPGridRow],41),0))</f>
        <v/>
      </c>
      <c r="AP9">
        <f>SUMPRODUCT((M_BOM[Part Name]=$A9)*M_BOM[RM_Qty_Per_Batch]*IFERROR(INDEX(PP_Grid[#Data],M_BOM[PPGridRow],42),0))</f>
        <v/>
      </c>
      <c r="AQ9">
        <f>SUMPRODUCT((M_BOM[Part Name]=$A9)*M_BOM[RM_Qty_Per_Batch]*IFERROR(INDEX(PP_Grid[#Data],M_BOM[PPGridRow],43),0))</f>
        <v/>
      </c>
      <c r="AR9">
        <f>SUMPRODUCT((M_BOM[Part Name]=$A9)*M_BOM[RM_Qty_Per_Batch]*IFERROR(INDEX(PP_Grid[#Data],M_BOM[PPGridRow],44),0))</f>
        <v/>
      </c>
      <c r="AS9">
        <f>SUMPRODUCT((M_BOM[Part Name]=$A9)*M_BOM[RM_Qty_Per_Batch]*IFERROR(INDEX(PP_Grid[#Data],M_BOM[PPGridRow],45),0))</f>
        <v/>
      </c>
      <c r="AT9">
        <f>SUMPRODUCT((M_BOM[Part Name]=$A9)*M_BOM[RM_Qty_Per_Batch]*IFERROR(INDEX(PP_Grid[#Data],M_BOM[PPGridRow],46),0))</f>
        <v/>
      </c>
      <c r="AU9">
        <f>SUMPRODUCT((M_BOM[Part Name]=$A9)*M_BOM[RM_Qty_Per_Batch]*IFERROR(INDEX(PP_Grid[#Data],M_BOM[PPGridRow],47),0))</f>
        <v/>
      </c>
      <c r="AV9">
        <f>SUMPRODUCT((M_BOM[Part Name]=$A9)*M_BOM[RM_Qty_Per_Batch]*IFERROR(INDEX(PP_Grid[#Data],M_BOM[PPGridRow],48),0))</f>
        <v/>
      </c>
      <c r="AW9">
        <f>SUMPRODUCT((M_BOM[Part Name]=$A9)*M_BOM[RM_Qty_Per_Batch]*IFERROR(INDEX(PP_Grid[#Data],M_BOM[PPGridRow],49),0))</f>
        <v/>
      </c>
      <c r="AX9">
        <f>SUMPRODUCT((M_BOM[Part Name]=$A9)*M_BOM[RM_Qty_Per_Batch]*IFERROR(INDEX(PP_Grid[#Data],M_BOM[PPGridRow],50),0))</f>
        <v/>
      </c>
      <c r="AY9">
        <f>SUMPRODUCT((M_BOM[Part Name]=$A9)*M_BOM[RM_Qty_Per_Batch]*IFERROR(INDEX(PP_Grid[#Data],M_BOM[PPGridRow],51),0))</f>
        <v/>
      </c>
      <c r="AZ9">
        <f>SUMPRODUCT((M_BOM[Part Name]=$A9)*M_BOM[RM_Qty_Per_Batch]*IFERROR(INDEX(PP_Grid[#Data],M_BOM[PPGridRow],52),0))</f>
        <v/>
      </c>
      <c r="BA9">
        <f>SUMPRODUCT((M_BOM[Part Name]=$A9)*M_BOM[RM_Qty_Per_Batch]*IFERROR(INDEX(PP_Grid[#Data],M_BOM[PPGridRow],53),0))</f>
        <v/>
      </c>
      <c r="BB9">
        <f>SUMPRODUCT((M_BOM[Part Name]=$A9)*M_BOM[RM_Qty_Per_Batch]*IFERROR(INDEX(PP_Grid[#Data],M_BOM[PPGridRow],54),0))</f>
        <v/>
      </c>
      <c r="BC9">
        <f>SUMPRODUCT((M_BOM[Part Name]=$A9)*M_BOM[RM_Qty_Per_Batch]*IFERROR(INDEX(PP_Grid[#Data],M_BOM[PPGridRow],55),0))</f>
        <v/>
      </c>
      <c r="BD9">
        <f>SUMPRODUCT((M_BOM[Part Name]=$A9)*M_BOM[RM_Qty_Per_Batch]*IFERROR(INDEX(PP_Grid[#Data],M_BOM[PPGridRow],56),0))</f>
        <v/>
      </c>
      <c r="BE9">
        <f>SUMPRODUCT((M_BOM[Part Name]=$A9)*M_BOM[RM_Qty_Per_Batch]*IFERROR(INDEX(PP_Grid[#Data],M_BOM[PPGridRow],57),0))</f>
        <v/>
      </c>
      <c r="BF9">
        <f>SUMPRODUCT((M_BOM[Part Name]=$A9)*M_BOM[RM_Qty_Per_Batch]*IFERROR(INDEX(PP_Grid[#Data],M_BOM[PPGridRow],58),0))</f>
        <v/>
      </c>
      <c r="BG9">
        <f>SUMPRODUCT((M_BOM[Part Name]=$A9)*M_BOM[RM_Qty_Per_Batch]*IFERROR(INDEX(PP_Grid[#Data],M_BOM[PPGridRow],59),0))</f>
        <v/>
      </c>
      <c r="BH9">
        <f>SUMPRODUCT((M_BOM[Part Name]=$A9)*M_BOM[RM_Qty_Per_Batch]*IFERROR(INDEX(PP_Grid[#Data],M_BOM[PPGridRow],60),0))</f>
        <v/>
      </c>
      <c r="BI9">
        <f>SUMPRODUCT((M_BOM[Part Name]=$A9)*M_BOM[RM_Qty_Per_Batch]*IFERROR(INDEX(PP_Grid[#Data],M_BOM[PPGridRow],61),0))</f>
        <v/>
      </c>
      <c r="BJ9">
        <f>SUMPRODUCT((M_BOM[Part Name]=$A9)*M_BOM[RM_Qty_Per_Batch]*IFERROR(INDEX(PP_Grid[#Data],M_BOM[PPGridRow],62),0))</f>
        <v/>
      </c>
      <c r="BK9">
        <f>SUMPRODUCT((M_BOM[Part Name]=$A9)*M_BOM[RM_Qty_Per_Batch]*IFERROR(INDEX(PP_Grid[#Data],M_BOM[PPGridRow],63),0))</f>
        <v/>
      </c>
      <c r="BL9">
        <f>SUMPRODUCT((M_BOM[Part Name]=$A9)*M_BOM[RM_Qty_Per_Batch]*IFERROR(INDEX(PP_Grid[#Data],M_BOM[PPGridRow],64),0))</f>
        <v/>
      </c>
      <c r="BM9">
        <f>SUMPRODUCT((M_BOM[Part Name]=$A9)*M_BOM[RM_Qty_Per_Batch]*IFERROR(INDEX(PP_Grid[#Data],M_BOM[PPGridRow],65),0))</f>
        <v/>
      </c>
      <c r="BN9">
        <f>SUMPRODUCT((M_BOM[Part Name]=$A9)*M_BOM[RM_Qty_Per_Batch]*IFERROR(INDEX(PP_Grid[#Data],M_BOM[PPGridRow],66),0))</f>
        <v/>
      </c>
      <c r="BO9">
        <f>SUMPRODUCT((M_BOM[Part Name]=$A9)*M_BOM[RM_Qty_Per_Batch]*IFERROR(INDEX(PP_Grid[#Data],M_BOM[PPGridRow],67),0))</f>
        <v/>
      </c>
      <c r="BP9">
        <f>SUMPRODUCT((M_BOM[Part Name]=$A9)*M_BOM[RM_Qty_Per_Batch]*IFERROR(INDEX(PP_Grid[#Data],M_BOM[PPGridRow],68),0))</f>
        <v/>
      </c>
      <c r="BQ9">
        <f>SUMPRODUCT((M_BOM[Part Name]=$A9)*M_BOM[RM_Qty_Per_Batch]*IFERROR(INDEX(PP_Grid[#Data],M_BOM[PPGridRow],69),0))</f>
        <v/>
      </c>
      <c r="BR9">
        <f>SUMPRODUCT((M_BOM[Part Name]=$A9)*M_BOM[RM_Qty_Per_Batch]*IFERROR(INDEX(PP_Grid[#Data],M_BOM[PPGridRow],70),0))</f>
        <v/>
      </c>
      <c r="BS9">
        <f>SUMPRODUCT((M_BOM[Part Name]=$A9)*M_BOM[RM_Qty_Per_Batch]*IFERROR(INDEX(PP_Grid[#Data],M_BOM[PPGridRow],71),0))</f>
        <v/>
      </c>
      <c r="BT9">
        <f>SUMPRODUCT((M_BOM[Part Name]=$A9)*M_BOM[RM_Qty_Per_Batch]*IFERROR(INDEX(PP_Grid[#Data],M_BOM[PPGridRow],72),0))</f>
        <v/>
      </c>
      <c r="BU9">
        <f>SUMPRODUCT((M_BOM[Part Name]=$A9)*M_BOM[RM_Qty_Per_Batch]*IFERROR(INDEX(PP_Grid[#Data],M_BOM[PPGridRow],73),0))</f>
        <v/>
      </c>
      <c r="BV9">
        <f>SUMPRODUCT((M_BOM[Part Name]=$A9)*M_BOM[RM_Qty_Per_Batch]*IFERROR(INDEX(PP_Grid[#Data],M_BOM[PPGridRow],74),0))</f>
        <v/>
      </c>
      <c r="BW9">
        <f>SUMPRODUCT((M_BOM[Part Name]=$A9)*M_BOM[RM_Qty_Per_Batch]*IFERROR(INDEX(PP_Grid[#Data],M_BOM[PPGridRow],75),0))</f>
        <v/>
      </c>
      <c r="BX9">
        <f>SUMPRODUCT((M_BOM[Part Name]=$A9)*M_BOM[RM_Qty_Per_Batch]*IFERROR(INDEX(PP_Grid[#Data],M_BOM[PPGridRow],76),0))</f>
        <v/>
      </c>
      <c r="BY9">
        <f>SUMPRODUCT((M_BOM[Part Name]=$A9)*M_BOM[RM_Qty_Per_Batch]*IFERROR(INDEX(PP_Grid[#Data],M_BOM[PPGridRow],77),0))</f>
        <v/>
      </c>
      <c r="BZ9">
        <f>SUMPRODUCT((M_BOM[Part Name]=$A9)*M_BOM[RM_Qty_Per_Batch]*IFERROR(INDEX(PP_Grid[#Data],M_BOM[PPGridRow],78),0))</f>
        <v/>
      </c>
      <c r="CA9">
        <f>SUMPRODUCT((M_BOM[Part Name]=$A9)*M_BOM[RM_Qty_Per_Batch]*IFERROR(INDEX(PP_Grid[#Data],M_BOM[PPGridRow],79),0))</f>
        <v/>
      </c>
      <c r="CB9">
        <f>SUMPRODUCT((M_BOM[Part Name]=$A9)*M_BOM[RM_Qty_Per_Batch]*IFERROR(INDEX(PP_Grid[#Data],M_BOM[PPGridRow],80),0))</f>
        <v/>
      </c>
      <c r="CC9">
        <f>SUMPRODUCT((M_BOM[Part Name]=$A9)*M_BOM[RM_Qty_Per_Batch]*IFERROR(INDEX(PP_Grid[#Data],M_BOM[PPGridRow],81),0))</f>
        <v/>
      </c>
      <c r="CD9">
        <f>SUMPRODUCT((M_BOM[Part Name]=$A9)*M_BOM[RM_Qty_Per_Batch]*IFERROR(INDEX(PP_Grid[#Data],M_BOM[PPGridRow],82),0))</f>
        <v/>
      </c>
      <c r="CE9">
        <f>SUMPRODUCT((M_BOM[Part Name]=$A9)*M_BOM[RM_Qty_Per_Batch]*IFERROR(INDEX(PP_Grid[#Data],M_BOM[PPGridRow],83),0))</f>
        <v/>
      </c>
      <c r="CF9">
        <f>SUMPRODUCT((M_BOM[Part Name]=$A9)*M_BOM[RM_Qty_Per_Batch]*IFERROR(INDEX(PP_Grid[#Data],M_BOM[PPGridRow],84),0))</f>
        <v/>
      </c>
      <c r="CG9">
        <f>SUMPRODUCT((M_BOM[Part Name]=$A9)*M_BOM[RM_Qty_Per_Batch]*IFERROR(INDEX(PP_Grid[#Data],M_BOM[PPGridRow],85),0))</f>
        <v/>
      </c>
      <c r="CH9">
        <f>SUMPRODUCT((M_BOM[Part Name]=$A9)*M_BOM[RM_Qty_Per_Batch]*IFERROR(INDEX(PP_Grid[#Data],M_BOM[PPGridRow],86),0))</f>
        <v/>
      </c>
      <c r="CI9">
        <f>SUMPRODUCT((M_BOM[Part Name]=$A9)*M_BOM[RM_Qty_Per_Batch]*IFERROR(INDEX(PP_Grid[#Data],M_BOM[PPGridRow],87),0))</f>
        <v/>
      </c>
      <c r="CJ9">
        <f>SUMPRODUCT((M_BOM[Part Name]=$A9)*M_BOM[RM_Qty_Per_Batch]*IFERROR(INDEX(PP_Grid[#Data],M_BOM[PPGridRow],88),0))</f>
        <v/>
      </c>
      <c r="CK9">
        <f>SUMPRODUCT((M_BOM[Part Name]=$A9)*M_BOM[RM_Qty_Per_Batch]*IFERROR(INDEX(PP_Grid[#Data],M_BOM[PPGridRow],89),0))</f>
        <v/>
      </c>
      <c r="CL9">
        <f>SUMPRODUCT((M_BOM[Part Name]=$A9)*M_BOM[RM_Qty_Per_Batch]*IFERROR(INDEX(PP_Grid[#Data],M_BOM[PPGridRow],90),0))</f>
        <v/>
      </c>
      <c r="CM9">
        <f>SUMPRODUCT((M_BOM[Part Name]=$A9)*M_BOM[RM_Qty_Per_Batch]*IFERROR(INDEX(PP_Grid[#Data],M_BOM[PPGridRow],91),0))</f>
        <v/>
      </c>
      <c r="CN9">
        <f>SUMPRODUCT((M_BOM[Part Name]=$A9)*M_BOM[RM_Qty_Per_Batch]*IFERROR(INDEX(PP_Grid[#Data],M_BOM[PPGridRow],92),0))</f>
        <v/>
      </c>
      <c r="CO9">
        <f>SUMPRODUCT((M_BOM[Part Name]=$A9)*M_BOM[RM_Qty_Per_Batch]*IFERROR(INDEX(PP_Grid[#Data],M_BOM[PPGridRow],93),0))</f>
        <v/>
      </c>
      <c r="CP9">
        <f>SUMPRODUCT((M_BOM[Part Name]=$A9)*M_BOM[RM_Qty_Per_Batch]*IFERROR(INDEX(PP_Grid[#Data],M_BOM[PPGridRow],94),0))</f>
        <v/>
      </c>
      <c r="CQ9">
        <f>SUMPRODUCT((M_BOM[Part Name]=$A9)*M_BOM[RM_Qty_Per_Batch]*IFERROR(INDEX(PP_Grid[#Data],M_BOM[PPGridRow],95),0))</f>
        <v/>
      </c>
      <c r="CR9">
        <f>SUMPRODUCT((M_BOM[Part Name]=$A9)*M_BOM[RM_Qty_Per_Batch]*IFERROR(INDEX(PP_Grid[#Data],M_BOM[PPGridRow],96),0))</f>
        <v/>
      </c>
      <c r="CS9">
        <f>SUMPRODUCT((M_BOM[Part Name]=$A9)*M_BOM[RM_Qty_Per_Batch]*IFERROR(INDEX(PP_Grid[#Data],M_BOM[PPGridRow],97),0))</f>
        <v/>
      </c>
      <c r="CT9">
        <f>SUMPRODUCT((M_BOM[Part Name]=$A9)*M_BOM[RM_Qty_Per_Batch]*IFERROR(INDEX(PP_Grid[#Data],M_BOM[PPGridRow],98),0))</f>
        <v/>
      </c>
      <c r="CU9">
        <f>SUMPRODUCT((M_BOM[Part Name]=$A9)*M_BOM[RM_Qty_Per_Batch]*IFERROR(INDEX(PP_Grid[#Data],M_BOM[PPGridRow],99),0))</f>
        <v/>
      </c>
      <c r="CV9">
        <f>SUMPRODUCT((M_BOM[Part Name]=$A9)*M_BOM[RM_Qty_Per_Batch]*IFERROR(INDEX(PP_Grid[#Data],M_BOM[PPGridRow],100),0))</f>
        <v/>
      </c>
      <c r="CW9">
        <f>SUMPRODUCT((M_BOM[Part Name]=$A9)*M_BOM[RM_Qty_Per_Batch]*IFERROR(INDEX(PP_Grid[#Data],M_BOM[PPGridRow],101),0))</f>
        <v/>
      </c>
      <c r="CX9">
        <f>SUMPRODUCT((M_BOM[Part Name]=$A9)*M_BOM[RM_Qty_Per_Batch]*IFERROR(INDEX(PP_Grid[#Data],M_BOM[PPGridRow],102),0))</f>
        <v/>
      </c>
      <c r="CY9">
        <f>SUMPRODUCT((M_BOM[Part Name]=$A9)*M_BOM[RM_Qty_Per_Batch]*IFERROR(INDEX(PP_Grid[#Data],M_BOM[PPGridRow],103),0))</f>
        <v/>
      </c>
      <c r="CZ9">
        <f>SUMPRODUCT((M_BOM[Part Name]=$A9)*M_BOM[RM_Qty_Per_Batch]*IFERROR(INDEX(PP_Grid[#Data],M_BOM[PPGridRow],104),0))</f>
        <v/>
      </c>
      <c r="DA9">
        <f>SUMPRODUCT((M_BOM[Part Name]=$A9)*M_BOM[RM_Qty_Per_Batch]*IFERROR(INDEX(PP_Grid[#Data],M_BOM[PPGridRow],105),0))</f>
        <v/>
      </c>
    </row>
    <row r="10">
      <c r="A10" t="inlineStr">
        <is>
          <t>CHEM-1440</t>
        </is>
      </c>
      <c r="B10">
        <f>SUMPRODUCT((M_BOM[Part Name]=$A10)*M_BOM[RM_Qty_Per_Batch]*IFERROR(INDEX(PP_Grid[#Data],M_BOM[PPGridRow],2),0))</f>
        <v/>
      </c>
      <c r="C10">
        <f>SUMPRODUCT((M_BOM[Part Name]=$A10)*M_BOM[RM_Qty_Per_Batch]*IFERROR(INDEX(PP_Grid[#Data],M_BOM[PPGridRow],3),0))</f>
        <v/>
      </c>
      <c r="D10">
        <f>SUMPRODUCT((M_BOM[Part Name]=$A10)*M_BOM[RM_Qty_Per_Batch]*IFERROR(INDEX(PP_Grid[#Data],M_BOM[PPGridRow],4),0))</f>
        <v/>
      </c>
      <c r="E10">
        <f>SUMPRODUCT((M_BOM[Part Name]=$A10)*M_BOM[RM_Qty_Per_Batch]*IFERROR(INDEX(PP_Grid[#Data],M_BOM[PPGridRow],5),0))</f>
        <v/>
      </c>
      <c r="F10">
        <f>SUMPRODUCT((M_BOM[Part Name]=$A10)*M_BOM[RM_Qty_Per_Batch]*IFERROR(INDEX(PP_Grid[#Data],M_BOM[PPGridRow],6),0))</f>
        <v/>
      </c>
      <c r="G10">
        <f>SUMPRODUCT((M_BOM[Part Name]=$A10)*M_BOM[RM_Qty_Per_Batch]*IFERROR(INDEX(PP_Grid[#Data],M_BOM[PPGridRow],7),0))</f>
        <v/>
      </c>
      <c r="H10">
        <f>SUMPRODUCT((M_BOM[Part Name]=$A10)*M_BOM[RM_Qty_Per_Batch]*IFERROR(INDEX(PP_Grid[#Data],M_BOM[PPGridRow],8),0))</f>
        <v/>
      </c>
      <c r="I10">
        <f>SUMPRODUCT((M_BOM[Part Name]=$A10)*M_BOM[RM_Qty_Per_Batch]*IFERROR(INDEX(PP_Grid[#Data],M_BOM[PPGridRow],9),0))</f>
        <v/>
      </c>
      <c r="J10">
        <f>SUMPRODUCT((M_BOM[Part Name]=$A10)*M_BOM[RM_Qty_Per_Batch]*IFERROR(INDEX(PP_Grid[#Data],M_BOM[PPGridRow],10),0))</f>
        <v/>
      </c>
      <c r="K10">
        <f>SUMPRODUCT((M_BOM[Part Name]=$A10)*M_BOM[RM_Qty_Per_Batch]*IFERROR(INDEX(PP_Grid[#Data],M_BOM[PPGridRow],11),0))</f>
        <v/>
      </c>
      <c r="L10">
        <f>SUMPRODUCT((M_BOM[Part Name]=$A10)*M_BOM[RM_Qty_Per_Batch]*IFERROR(INDEX(PP_Grid[#Data],M_BOM[PPGridRow],12),0))</f>
        <v/>
      </c>
      <c r="M10">
        <f>SUMPRODUCT((M_BOM[Part Name]=$A10)*M_BOM[RM_Qty_Per_Batch]*IFERROR(INDEX(PP_Grid[#Data],M_BOM[PPGridRow],13),0))</f>
        <v/>
      </c>
      <c r="N10">
        <f>SUMPRODUCT((M_BOM[Part Name]=$A10)*M_BOM[RM_Qty_Per_Batch]*IFERROR(INDEX(PP_Grid[#Data],M_BOM[PPGridRow],14),0))</f>
        <v/>
      </c>
      <c r="O10">
        <f>SUMPRODUCT((M_BOM[Part Name]=$A10)*M_BOM[RM_Qty_Per_Batch]*IFERROR(INDEX(PP_Grid[#Data],M_BOM[PPGridRow],15),0))</f>
        <v/>
      </c>
      <c r="P10">
        <f>SUMPRODUCT((M_BOM[Part Name]=$A10)*M_BOM[RM_Qty_Per_Batch]*IFERROR(INDEX(PP_Grid[#Data],M_BOM[PPGridRow],16),0))</f>
        <v/>
      </c>
      <c r="Q10">
        <f>SUMPRODUCT((M_BOM[Part Name]=$A10)*M_BOM[RM_Qty_Per_Batch]*IFERROR(INDEX(PP_Grid[#Data],M_BOM[PPGridRow],17),0))</f>
        <v/>
      </c>
      <c r="R10">
        <f>SUMPRODUCT((M_BOM[Part Name]=$A10)*M_BOM[RM_Qty_Per_Batch]*IFERROR(INDEX(PP_Grid[#Data],M_BOM[PPGridRow],18),0))</f>
        <v/>
      </c>
      <c r="S10">
        <f>SUMPRODUCT((M_BOM[Part Name]=$A10)*M_BOM[RM_Qty_Per_Batch]*IFERROR(INDEX(PP_Grid[#Data],M_BOM[PPGridRow],19),0))</f>
        <v/>
      </c>
      <c r="T10">
        <f>SUMPRODUCT((M_BOM[Part Name]=$A10)*M_BOM[RM_Qty_Per_Batch]*IFERROR(INDEX(PP_Grid[#Data],M_BOM[PPGridRow],20),0))</f>
        <v/>
      </c>
      <c r="U10">
        <f>SUMPRODUCT((M_BOM[Part Name]=$A10)*M_BOM[RM_Qty_Per_Batch]*IFERROR(INDEX(PP_Grid[#Data],M_BOM[PPGridRow],21),0))</f>
        <v/>
      </c>
      <c r="V10">
        <f>SUMPRODUCT((M_BOM[Part Name]=$A10)*M_BOM[RM_Qty_Per_Batch]*IFERROR(INDEX(PP_Grid[#Data],M_BOM[PPGridRow],22),0))</f>
        <v/>
      </c>
      <c r="W10">
        <f>SUMPRODUCT((M_BOM[Part Name]=$A10)*M_BOM[RM_Qty_Per_Batch]*IFERROR(INDEX(PP_Grid[#Data],M_BOM[PPGridRow],23),0))</f>
        <v/>
      </c>
      <c r="X10">
        <f>SUMPRODUCT((M_BOM[Part Name]=$A10)*M_BOM[RM_Qty_Per_Batch]*IFERROR(INDEX(PP_Grid[#Data],M_BOM[PPGridRow],24),0))</f>
        <v/>
      </c>
      <c r="Y10">
        <f>SUMPRODUCT((M_BOM[Part Name]=$A10)*M_BOM[RM_Qty_Per_Batch]*IFERROR(INDEX(PP_Grid[#Data],M_BOM[PPGridRow],25),0))</f>
        <v/>
      </c>
      <c r="Z10">
        <f>SUMPRODUCT((M_BOM[Part Name]=$A10)*M_BOM[RM_Qty_Per_Batch]*IFERROR(INDEX(PP_Grid[#Data],M_BOM[PPGridRow],26),0))</f>
        <v/>
      </c>
      <c r="AA10">
        <f>SUMPRODUCT((M_BOM[Part Name]=$A10)*M_BOM[RM_Qty_Per_Batch]*IFERROR(INDEX(PP_Grid[#Data],M_BOM[PPGridRow],27),0))</f>
        <v/>
      </c>
      <c r="AB10">
        <f>SUMPRODUCT((M_BOM[Part Name]=$A10)*M_BOM[RM_Qty_Per_Batch]*IFERROR(INDEX(PP_Grid[#Data],M_BOM[PPGridRow],28),0))</f>
        <v/>
      </c>
      <c r="AC10">
        <f>SUMPRODUCT((M_BOM[Part Name]=$A10)*M_BOM[RM_Qty_Per_Batch]*IFERROR(INDEX(PP_Grid[#Data],M_BOM[PPGridRow],29),0))</f>
        <v/>
      </c>
      <c r="AD10">
        <f>SUMPRODUCT((M_BOM[Part Name]=$A10)*M_BOM[RM_Qty_Per_Batch]*IFERROR(INDEX(PP_Grid[#Data],M_BOM[PPGridRow],30),0))</f>
        <v/>
      </c>
      <c r="AE10">
        <f>SUMPRODUCT((M_BOM[Part Name]=$A10)*M_BOM[RM_Qty_Per_Batch]*IFERROR(INDEX(PP_Grid[#Data],M_BOM[PPGridRow],31),0))</f>
        <v/>
      </c>
      <c r="AF10">
        <f>SUMPRODUCT((M_BOM[Part Name]=$A10)*M_BOM[RM_Qty_Per_Batch]*IFERROR(INDEX(PP_Grid[#Data],M_BOM[PPGridRow],32),0))</f>
        <v/>
      </c>
      <c r="AG10">
        <f>SUMPRODUCT((M_BOM[Part Name]=$A10)*M_BOM[RM_Qty_Per_Batch]*IFERROR(INDEX(PP_Grid[#Data],M_BOM[PPGridRow],33),0))</f>
        <v/>
      </c>
      <c r="AH10">
        <f>SUMPRODUCT((M_BOM[Part Name]=$A10)*M_BOM[RM_Qty_Per_Batch]*IFERROR(INDEX(PP_Grid[#Data],M_BOM[PPGridRow],34),0))</f>
        <v/>
      </c>
      <c r="AI10">
        <f>SUMPRODUCT((M_BOM[Part Name]=$A10)*M_BOM[RM_Qty_Per_Batch]*IFERROR(INDEX(PP_Grid[#Data],M_BOM[PPGridRow],35),0))</f>
        <v/>
      </c>
      <c r="AJ10">
        <f>SUMPRODUCT((M_BOM[Part Name]=$A10)*M_BOM[RM_Qty_Per_Batch]*IFERROR(INDEX(PP_Grid[#Data],M_BOM[PPGridRow],36),0))</f>
        <v/>
      </c>
      <c r="AK10">
        <f>SUMPRODUCT((M_BOM[Part Name]=$A10)*M_BOM[RM_Qty_Per_Batch]*IFERROR(INDEX(PP_Grid[#Data],M_BOM[PPGridRow],37),0))</f>
        <v/>
      </c>
      <c r="AL10">
        <f>SUMPRODUCT((M_BOM[Part Name]=$A10)*M_BOM[RM_Qty_Per_Batch]*IFERROR(INDEX(PP_Grid[#Data],M_BOM[PPGridRow],38),0))</f>
        <v/>
      </c>
      <c r="AM10">
        <f>SUMPRODUCT((M_BOM[Part Name]=$A10)*M_BOM[RM_Qty_Per_Batch]*IFERROR(INDEX(PP_Grid[#Data],M_BOM[PPGridRow],39),0))</f>
        <v/>
      </c>
      <c r="AN10">
        <f>SUMPRODUCT((M_BOM[Part Name]=$A10)*M_BOM[RM_Qty_Per_Batch]*IFERROR(INDEX(PP_Grid[#Data],M_BOM[PPGridRow],40),0))</f>
        <v/>
      </c>
      <c r="AO10">
        <f>SUMPRODUCT((M_BOM[Part Name]=$A10)*M_BOM[RM_Qty_Per_Batch]*IFERROR(INDEX(PP_Grid[#Data],M_BOM[PPGridRow],41),0))</f>
        <v/>
      </c>
      <c r="AP10">
        <f>SUMPRODUCT((M_BOM[Part Name]=$A10)*M_BOM[RM_Qty_Per_Batch]*IFERROR(INDEX(PP_Grid[#Data],M_BOM[PPGridRow],42),0))</f>
        <v/>
      </c>
      <c r="AQ10">
        <f>SUMPRODUCT((M_BOM[Part Name]=$A10)*M_BOM[RM_Qty_Per_Batch]*IFERROR(INDEX(PP_Grid[#Data],M_BOM[PPGridRow],43),0))</f>
        <v/>
      </c>
      <c r="AR10">
        <f>SUMPRODUCT((M_BOM[Part Name]=$A10)*M_BOM[RM_Qty_Per_Batch]*IFERROR(INDEX(PP_Grid[#Data],M_BOM[PPGridRow],44),0))</f>
        <v/>
      </c>
      <c r="AS10">
        <f>SUMPRODUCT((M_BOM[Part Name]=$A10)*M_BOM[RM_Qty_Per_Batch]*IFERROR(INDEX(PP_Grid[#Data],M_BOM[PPGridRow],45),0))</f>
        <v/>
      </c>
      <c r="AT10">
        <f>SUMPRODUCT((M_BOM[Part Name]=$A10)*M_BOM[RM_Qty_Per_Batch]*IFERROR(INDEX(PP_Grid[#Data],M_BOM[PPGridRow],46),0))</f>
        <v/>
      </c>
      <c r="AU10">
        <f>SUMPRODUCT((M_BOM[Part Name]=$A10)*M_BOM[RM_Qty_Per_Batch]*IFERROR(INDEX(PP_Grid[#Data],M_BOM[PPGridRow],47),0))</f>
        <v/>
      </c>
      <c r="AV10">
        <f>SUMPRODUCT((M_BOM[Part Name]=$A10)*M_BOM[RM_Qty_Per_Batch]*IFERROR(INDEX(PP_Grid[#Data],M_BOM[PPGridRow],48),0))</f>
        <v/>
      </c>
      <c r="AW10">
        <f>SUMPRODUCT((M_BOM[Part Name]=$A10)*M_BOM[RM_Qty_Per_Batch]*IFERROR(INDEX(PP_Grid[#Data],M_BOM[PPGridRow],49),0))</f>
        <v/>
      </c>
      <c r="AX10">
        <f>SUMPRODUCT((M_BOM[Part Name]=$A10)*M_BOM[RM_Qty_Per_Batch]*IFERROR(INDEX(PP_Grid[#Data],M_BOM[PPGridRow],50),0))</f>
        <v/>
      </c>
      <c r="AY10">
        <f>SUMPRODUCT((M_BOM[Part Name]=$A10)*M_BOM[RM_Qty_Per_Batch]*IFERROR(INDEX(PP_Grid[#Data],M_BOM[PPGridRow],51),0))</f>
        <v/>
      </c>
      <c r="AZ10">
        <f>SUMPRODUCT((M_BOM[Part Name]=$A10)*M_BOM[RM_Qty_Per_Batch]*IFERROR(INDEX(PP_Grid[#Data],M_BOM[PPGridRow],52),0))</f>
        <v/>
      </c>
      <c r="BA10">
        <f>SUMPRODUCT((M_BOM[Part Name]=$A10)*M_BOM[RM_Qty_Per_Batch]*IFERROR(INDEX(PP_Grid[#Data],M_BOM[PPGridRow],53),0))</f>
        <v/>
      </c>
      <c r="BB10">
        <f>SUMPRODUCT((M_BOM[Part Name]=$A10)*M_BOM[RM_Qty_Per_Batch]*IFERROR(INDEX(PP_Grid[#Data],M_BOM[PPGridRow],54),0))</f>
        <v/>
      </c>
      <c r="BC10">
        <f>SUMPRODUCT((M_BOM[Part Name]=$A10)*M_BOM[RM_Qty_Per_Batch]*IFERROR(INDEX(PP_Grid[#Data],M_BOM[PPGridRow],55),0))</f>
        <v/>
      </c>
      <c r="BD10">
        <f>SUMPRODUCT((M_BOM[Part Name]=$A10)*M_BOM[RM_Qty_Per_Batch]*IFERROR(INDEX(PP_Grid[#Data],M_BOM[PPGridRow],56),0))</f>
        <v/>
      </c>
      <c r="BE10">
        <f>SUMPRODUCT((M_BOM[Part Name]=$A10)*M_BOM[RM_Qty_Per_Batch]*IFERROR(INDEX(PP_Grid[#Data],M_BOM[PPGridRow],57),0))</f>
        <v/>
      </c>
      <c r="BF10">
        <f>SUMPRODUCT((M_BOM[Part Name]=$A10)*M_BOM[RM_Qty_Per_Batch]*IFERROR(INDEX(PP_Grid[#Data],M_BOM[PPGridRow],58),0))</f>
        <v/>
      </c>
      <c r="BG10">
        <f>SUMPRODUCT((M_BOM[Part Name]=$A10)*M_BOM[RM_Qty_Per_Batch]*IFERROR(INDEX(PP_Grid[#Data],M_BOM[PPGridRow],59),0))</f>
        <v/>
      </c>
      <c r="BH10">
        <f>SUMPRODUCT((M_BOM[Part Name]=$A10)*M_BOM[RM_Qty_Per_Batch]*IFERROR(INDEX(PP_Grid[#Data],M_BOM[PPGridRow],60),0))</f>
        <v/>
      </c>
      <c r="BI10">
        <f>SUMPRODUCT((M_BOM[Part Name]=$A10)*M_BOM[RM_Qty_Per_Batch]*IFERROR(INDEX(PP_Grid[#Data],M_BOM[PPGridRow],61),0))</f>
        <v/>
      </c>
      <c r="BJ10">
        <f>SUMPRODUCT((M_BOM[Part Name]=$A10)*M_BOM[RM_Qty_Per_Batch]*IFERROR(INDEX(PP_Grid[#Data],M_BOM[PPGridRow],62),0))</f>
        <v/>
      </c>
      <c r="BK10">
        <f>SUMPRODUCT((M_BOM[Part Name]=$A10)*M_BOM[RM_Qty_Per_Batch]*IFERROR(INDEX(PP_Grid[#Data],M_BOM[PPGridRow],63),0))</f>
        <v/>
      </c>
      <c r="BL10">
        <f>SUMPRODUCT((M_BOM[Part Name]=$A10)*M_BOM[RM_Qty_Per_Batch]*IFERROR(INDEX(PP_Grid[#Data],M_BOM[PPGridRow],64),0))</f>
        <v/>
      </c>
      <c r="BM10">
        <f>SUMPRODUCT((M_BOM[Part Name]=$A10)*M_BOM[RM_Qty_Per_Batch]*IFERROR(INDEX(PP_Grid[#Data],M_BOM[PPGridRow],65),0))</f>
        <v/>
      </c>
      <c r="BN10">
        <f>SUMPRODUCT((M_BOM[Part Name]=$A10)*M_BOM[RM_Qty_Per_Batch]*IFERROR(INDEX(PP_Grid[#Data],M_BOM[PPGridRow],66),0))</f>
        <v/>
      </c>
      <c r="BO10">
        <f>SUMPRODUCT((M_BOM[Part Name]=$A10)*M_BOM[RM_Qty_Per_Batch]*IFERROR(INDEX(PP_Grid[#Data],M_BOM[PPGridRow],67),0))</f>
        <v/>
      </c>
      <c r="BP10">
        <f>SUMPRODUCT((M_BOM[Part Name]=$A10)*M_BOM[RM_Qty_Per_Batch]*IFERROR(INDEX(PP_Grid[#Data],M_BOM[PPGridRow],68),0))</f>
        <v/>
      </c>
      <c r="BQ10">
        <f>SUMPRODUCT((M_BOM[Part Name]=$A10)*M_BOM[RM_Qty_Per_Batch]*IFERROR(INDEX(PP_Grid[#Data],M_BOM[PPGridRow],69),0))</f>
        <v/>
      </c>
      <c r="BR10">
        <f>SUMPRODUCT((M_BOM[Part Name]=$A10)*M_BOM[RM_Qty_Per_Batch]*IFERROR(INDEX(PP_Grid[#Data],M_BOM[PPGridRow],70),0))</f>
        <v/>
      </c>
      <c r="BS10">
        <f>SUMPRODUCT((M_BOM[Part Name]=$A10)*M_BOM[RM_Qty_Per_Batch]*IFERROR(INDEX(PP_Grid[#Data],M_BOM[PPGridRow],71),0))</f>
        <v/>
      </c>
      <c r="BT10">
        <f>SUMPRODUCT((M_BOM[Part Name]=$A10)*M_BOM[RM_Qty_Per_Batch]*IFERROR(INDEX(PP_Grid[#Data],M_BOM[PPGridRow],72),0))</f>
        <v/>
      </c>
      <c r="BU10">
        <f>SUMPRODUCT((M_BOM[Part Name]=$A10)*M_BOM[RM_Qty_Per_Batch]*IFERROR(INDEX(PP_Grid[#Data],M_BOM[PPGridRow],73),0))</f>
        <v/>
      </c>
      <c r="BV10">
        <f>SUMPRODUCT((M_BOM[Part Name]=$A10)*M_BOM[RM_Qty_Per_Batch]*IFERROR(INDEX(PP_Grid[#Data],M_BOM[PPGridRow],74),0))</f>
        <v/>
      </c>
      <c r="BW10">
        <f>SUMPRODUCT((M_BOM[Part Name]=$A10)*M_BOM[RM_Qty_Per_Batch]*IFERROR(INDEX(PP_Grid[#Data],M_BOM[PPGridRow],75),0))</f>
        <v/>
      </c>
      <c r="BX10">
        <f>SUMPRODUCT((M_BOM[Part Name]=$A10)*M_BOM[RM_Qty_Per_Batch]*IFERROR(INDEX(PP_Grid[#Data],M_BOM[PPGridRow],76),0))</f>
        <v/>
      </c>
      <c r="BY10">
        <f>SUMPRODUCT((M_BOM[Part Name]=$A10)*M_BOM[RM_Qty_Per_Batch]*IFERROR(INDEX(PP_Grid[#Data],M_BOM[PPGridRow],77),0))</f>
        <v/>
      </c>
      <c r="BZ10">
        <f>SUMPRODUCT((M_BOM[Part Name]=$A10)*M_BOM[RM_Qty_Per_Batch]*IFERROR(INDEX(PP_Grid[#Data],M_BOM[PPGridRow],78),0))</f>
        <v/>
      </c>
      <c r="CA10">
        <f>SUMPRODUCT((M_BOM[Part Name]=$A10)*M_BOM[RM_Qty_Per_Batch]*IFERROR(INDEX(PP_Grid[#Data],M_BOM[PPGridRow],79),0))</f>
        <v/>
      </c>
      <c r="CB10">
        <f>SUMPRODUCT((M_BOM[Part Name]=$A10)*M_BOM[RM_Qty_Per_Batch]*IFERROR(INDEX(PP_Grid[#Data],M_BOM[PPGridRow],80),0))</f>
        <v/>
      </c>
      <c r="CC10">
        <f>SUMPRODUCT((M_BOM[Part Name]=$A10)*M_BOM[RM_Qty_Per_Batch]*IFERROR(INDEX(PP_Grid[#Data],M_BOM[PPGridRow],81),0))</f>
        <v/>
      </c>
      <c r="CD10">
        <f>SUMPRODUCT((M_BOM[Part Name]=$A10)*M_BOM[RM_Qty_Per_Batch]*IFERROR(INDEX(PP_Grid[#Data],M_BOM[PPGridRow],82),0))</f>
        <v/>
      </c>
      <c r="CE10">
        <f>SUMPRODUCT((M_BOM[Part Name]=$A10)*M_BOM[RM_Qty_Per_Batch]*IFERROR(INDEX(PP_Grid[#Data],M_BOM[PPGridRow],83),0))</f>
        <v/>
      </c>
      <c r="CF10">
        <f>SUMPRODUCT((M_BOM[Part Name]=$A10)*M_BOM[RM_Qty_Per_Batch]*IFERROR(INDEX(PP_Grid[#Data],M_BOM[PPGridRow],84),0))</f>
        <v/>
      </c>
      <c r="CG10">
        <f>SUMPRODUCT((M_BOM[Part Name]=$A10)*M_BOM[RM_Qty_Per_Batch]*IFERROR(INDEX(PP_Grid[#Data],M_BOM[PPGridRow],85),0))</f>
        <v/>
      </c>
      <c r="CH10">
        <f>SUMPRODUCT((M_BOM[Part Name]=$A10)*M_BOM[RM_Qty_Per_Batch]*IFERROR(INDEX(PP_Grid[#Data],M_BOM[PPGridRow],86),0))</f>
        <v/>
      </c>
      <c r="CI10">
        <f>SUMPRODUCT((M_BOM[Part Name]=$A10)*M_BOM[RM_Qty_Per_Batch]*IFERROR(INDEX(PP_Grid[#Data],M_BOM[PPGridRow],87),0))</f>
        <v/>
      </c>
      <c r="CJ10">
        <f>SUMPRODUCT((M_BOM[Part Name]=$A10)*M_BOM[RM_Qty_Per_Batch]*IFERROR(INDEX(PP_Grid[#Data],M_BOM[PPGridRow],88),0))</f>
        <v/>
      </c>
      <c r="CK10">
        <f>SUMPRODUCT((M_BOM[Part Name]=$A10)*M_BOM[RM_Qty_Per_Batch]*IFERROR(INDEX(PP_Grid[#Data],M_BOM[PPGridRow],89),0))</f>
        <v/>
      </c>
      <c r="CL10">
        <f>SUMPRODUCT((M_BOM[Part Name]=$A10)*M_BOM[RM_Qty_Per_Batch]*IFERROR(INDEX(PP_Grid[#Data],M_BOM[PPGridRow],90),0))</f>
        <v/>
      </c>
      <c r="CM10">
        <f>SUMPRODUCT((M_BOM[Part Name]=$A10)*M_BOM[RM_Qty_Per_Batch]*IFERROR(INDEX(PP_Grid[#Data],M_BOM[PPGridRow],91),0))</f>
        <v/>
      </c>
      <c r="CN10">
        <f>SUMPRODUCT((M_BOM[Part Name]=$A10)*M_BOM[RM_Qty_Per_Batch]*IFERROR(INDEX(PP_Grid[#Data],M_BOM[PPGridRow],92),0))</f>
        <v/>
      </c>
      <c r="CO10">
        <f>SUMPRODUCT((M_BOM[Part Name]=$A10)*M_BOM[RM_Qty_Per_Batch]*IFERROR(INDEX(PP_Grid[#Data],M_BOM[PPGridRow],93),0))</f>
        <v/>
      </c>
      <c r="CP10">
        <f>SUMPRODUCT((M_BOM[Part Name]=$A10)*M_BOM[RM_Qty_Per_Batch]*IFERROR(INDEX(PP_Grid[#Data],M_BOM[PPGridRow],94),0))</f>
        <v/>
      </c>
      <c r="CQ10">
        <f>SUMPRODUCT((M_BOM[Part Name]=$A10)*M_BOM[RM_Qty_Per_Batch]*IFERROR(INDEX(PP_Grid[#Data],M_BOM[PPGridRow],95),0))</f>
        <v/>
      </c>
      <c r="CR10">
        <f>SUMPRODUCT((M_BOM[Part Name]=$A10)*M_BOM[RM_Qty_Per_Batch]*IFERROR(INDEX(PP_Grid[#Data],M_BOM[PPGridRow],96),0))</f>
        <v/>
      </c>
      <c r="CS10">
        <f>SUMPRODUCT((M_BOM[Part Name]=$A10)*M_BOM[RM_Qty_Per_Batch]*IFERROR(INDEX(PP_Grid[#Data],M_BOM[PPGridRow],97),0))</f>
        <v/>
      </c>
      <c r="CT10">
        <f>SUMPRODUCT((M_BOM[Part Name]=$A10)*M_BOM[RM_Qty_Per_Batch]*IFERROR(INDEX(PP_Grid[#Data],M_BOM[PPGridRow],98),0))</f>
        <v/>
      </c>
      <c r="CU10">
        <f>SUMPRODUCT((M_BOM[Part Name]=$A10)*M_BOM[RM_Qty_Per_Batch]*IFERROR(INDEX(PP_Grid[#Data],M_BOM[PPGridRow],99),0))</f>
        <v/>
      </c>
      <c r="CV10">
        <f>SUMPRODUCT((M_BOM[Part Name]=$A10)*M_BOM[RM_Qty_Per_Batch]*IFERROR(INDEX(PP_Grid[#Data],M_BOM[PPGridRow],100),0))</f>
        <v/>
      </c>
      <c r="CW10">
        <f>SUMPRODUCT((M_BOM[Part Name]=$A10)*M_BOM[RM_Qty_Per_Batch]*IFERROR(INDEX(PP_Grid[#Data],M_BOM[PPGridRow],101),0))</f>
        <v/>
      </c>
      <c r="CX10">
        <f>SUMPRODUCT((M_BOM[Part Name]=$A10)*M_BOM[RM_Qty_Per_Batch]*IFERROR(INDEX(PP_Grid[#Data],M_BOM[PPGridRow],102),0))</f>
        <v/>
      </c>
      <c r="CY10">
        <f>SUMPRODUCT((M_BOM[Part Name]=$A10)*M_BOM[RM_Qty_Per_Batch]*IFERROR(INDEX(PP_Grid[#Data],M_BOM[PPGridRow],103),0))</f>
        <v/>
      </c>
      <c r="CZ10">
        <f>SUMPRODUCT((M_BOM[Part Name]=$A10)*M_BOM[RM_Qty_Per_Batch]*IFERROR(INDEX(PP_Grid[#Data],M_BOM[PPGridRow],104),0))</f>
        <v/>
      </c>
      <c r="DA10">
        <f>SUMPRODUCT((M_BOM[Part Name]=$A10)*M_BOM[RM_Qty_Per_Batch]*IFERROR(INDEX(PP_Grid[#Data],M_BOM[PPGridRow],105),0))</f>
        <v/>
      </c>
    </row>
    <row r="11">
      <c r="A11" t="inlineStr">
        <is>
          <t>4HL</t>
        </is>
      </c>
      <c r="B11">
        <f>SUMPRODUCT((M_BOM[Part Name]=$A11)*M_BOM[RM_Qty_Per_Batch]*IFERROR(INDEX(PP_Grid[#Data],M_BOM[PPGridRow],2),0))</f>
        <v/>
      </c>
      <c r="C11">
        <f>SUMPRODUCT((M_BOM[Part Name]=$A11)*M_BOM[RM_Qty_Per_Batch]*IFERROR(INDEX(PP_Grid[#Data],M_BOM[PPGridRow],3),0))</f>
        <v/>
      </c>
      <c r="D11">
        <f>SUMPRODUCT((M_BOM[Part Name]=$A11)*M_BOM[RM_Qty_Per_Batch]*IFERROR(INDEX(PP_Grid[#Data],M_BOM[PPGridRow],4),0))</f>
        <v/>
      </c>
      <c r="E11">
        <f>SUMPRODUCT((M_BOM[Part Name]=$A11)*M_BOM[RM_Qty_Per_Batch]*IFERROR(INDEX(PP_Grid[#Data],M_BOM[PPGridRow],5),0))</f>
        <v/>
      </c>
      <c r="F11">
        <f>SUMPRODUCT((M_BOM[Part Name]=$A11)*M_BOM[RM_Qty_Per_Batch]*IFERROR(INDEX(PP_Grid[#Data],M_BOM[PPGridRow],6),0))</f>
        <v/>
      </c>
      <c r="G11">
        <f>SUMPRODUCT((M_BOM[Part Name]=$A11)*M_BOM[RM_Qty_Per_Batch]*IFERROR(INDEX(PP_Grid[#Data],M_BOM[PPGridRow],7),0))</f>
        <v/>
      </c>
      <c r="H11">
        <f>SUMPRODUCT((M_BOM[Part Name]=$A11)*M_BOM[RM_Qty_Per_Batch]*IFERROR(INDEX(PP_Grid[#Data],M_BOM[PPGridRow],8),0))</f>
        <v/>
      </c>
      <c r="I11">
        <f>SUMPRODUCT((M_BOM[Part Name]=$A11)*M_BOM[RM_Qty_Per_Batch]*IFERROR(INDEX(PP_Grid[#Data],M_BOM[PPGridRow],9),0))</f>
        <v/>
      </c>
      <c r="J11">
        <f>SUMPRODUCT((M_BOM[Part Name]=$A11)*M_BOM[RM_Qty_Per_Batch]*IFERROR(INDEX(PP_Grid[#Data],M_BOM[PPGridRow],10),0))</f>
        <v/>
      </c>
      <c r="K11">
        <f>SUMPRODUCT((M_BOM[Part Name]=$A11)*M_BOM[RM_Qty_Per_Batch]*IFERROR(INDEX(PP_Grid[#Data],M_BOM[PPGridRow],11),0))</f>
        <v/>
      </c>
      <c r="L11">
        <f>SUMPRODUCT((M_BOM[Part Name]=$A11)*M_BOM[RM_Qty_Per_Batch]*IFERROR(INDEX(PP_Grid[#Data],M_BOM[PPGridRow],12),0))</f>
        <v/>
      </c>
      <c r="M11">
        <f>SUMPRODUCT((M_BOM[Part Name]=$A11)*M_BOM[RM_Qty_Per_Batch]*IFERROR(INDEX(PP_Grid[#Data],M_BOM[PPGridRow],13),0))</f>
        <v/>
      </c>
      <c r="N11">
        <f>SUMPRODUCT((M_BOM[Part Name]=$A11)*M_BOM[RM_Qty_Per_Batch]*IFERROR(INDEX(PP_Grid[#Data],M_BOM[PPGridRow],14),0))</f>
        <v/>
      </c>
      <c r="O11">
        <f>SUMPRODUCT((M_BOM[Part Name]=$A11)*M_BOM[RM_Qty_Per_Batch]*IFERROR(INDEX(PP_Grid[#Data],M_BOM[PPGridRow],15),0))</f>
        <v/>
      </c>
      <c r="P11">
        <f>SUMPRODUCT((M_BOM[Part Name]=$A11)*M_BOM[RM_Qty_Per_Batch]*IFERROR(INDEX(PP_Grid[#Data],M_BOM[PPGridRow],16),0))</f>
        <v/>
      </c>
      <c r="Q11">
        <f>SUMPRODUCT((M_BOM[Part Name]=$A11)*M_BOM[RM_Qty_Per_Batch]*IFERROR(INDEX(PP_Grid[#Data],M_BOM[PPGridRow],17),0))</f>
        <v/>
      </c>
      <c r="R11">
        <f>SUMPRODUCT((M_BOM[Part Name]=$A11)*M_BOM[RM_Qty_Per_Batch]*IFERROR(INDEX(PP_Grid[#Data],M_BOM[PPGridRow],18),0))</f>
        <v/>
      </c>
      <c r="S11">
        <f>SUMPRODUCT((M_BOM[Part Name]=$A11)*M_BOM[RM_Qty_Per_Batch]*IFERROR(INDEX(PP_Grid[#Data],M_BOM[PPGridRow],19),0))</f>
        <v/>
      </c>
      <c r="T11">
        <f>SUMPRODUCT((M_BOM[Part Name]=$A11)*M_BOM[RM_Qty_Per_Batch]*IFERROR(INDEX(PP_Grid[#Data],M_BOM[PPGridRow],20),0))</f>
        <v/>
      </c>
      <c r="U11">
        <f>SUMPRODUCT((M_BOM[Part Name]=$A11)*M_BOM[RM_Qty_Per_Batch]*IFERROR(INDEX(PP_Grid[#Data],M_BOM[PPGridRow],21),0))</f>
        <v/>
      </c>
      <c r="V11">
        <f>SUMPRODUCT((M_BOM[Part Name]=$A11)*M_BOM[RM_Qty_Per_Batch]*IFERROR(INDEX(PP_Grid[#Data],M_BOM[PPGridRow],22),0))</f>
        <v/>
      </c>
      <c r="W11">
        <f>SUMPRODUCT((M_BOM[Part Name]=$A11)*M_BOM[RM_Qty_Per_Batch]*IFERROR(INDEX(PP_Grid[#Data],M_BOM[PPGridRow],23),0))</f>
        <v/>
      </c>
      <c r="X11">
        <f>SUMPRODUCT((M_BOM[Part Name]=$A11)*M_BOM[RM_Qty_Per_Batch]*IFERROR(INDEX(PP_Grid[#Data],M_BOM[PPGridRow],24),0))</f>
        <v/>
      </c>
      <c r="Y11">
        <f>SUMPRODUCT((M_BOM[Part Name]=$A11)*M_BOM[RM_Qty_Per_Batch]*IFERROR(INDEX(PP_Grid[#Data],M_BOM[PPGridRow],25),0))</f>
        <v/>
      </c>
      <c r="Z11">
        <f>SUMPRODUCT((M_BOM[Part Name]=$A11)*M_BOM[RM_Qty_Per_Batch]*IFERROR(INDEX(PP_Grid[#Data],M_BOM[PPGridRow],26),0))</f>
        <v/>
      </c>
      <c r="AA11">
        <f>SUMPRODUCT((M_BOM[Part Name]=$A11)*M_BOM[RM_Qty_Per_Batch]*IFERROR(INDEX(PP_Grid[#Data],M_BOM[PPGridRow],27),0))</f>
        <v/>
      </c>
      <c r="AB11">
        <f>SUMPRODUCT((M_BOM[Part Name]=$A11)*M_BOM[RM_Qty_Per_Batch]*IFERROR(INDEX(PP_Grid[#Data],M_BOM[PPGridRow],28),0))</f>
        <v/>
      </c>
      <c r="AC11">
        <f>SUMPRODUCT((M_BOM[Part Name]=$A11)*M_BOM[RM_Qty_Per_Batch]*IFERROR(INDEX(PP_Grid[#Data],M_BOM[PPGridRow],29),0))</f>
        <v/>
      </c>
      <c r="AD11">
        <f>SUMPRODUCT((M_BOM[Part Name]=$A11)*M_BOM[RM_Qty_Per_Batch]*IFERROR(INDEX(PP_Grid[#Data],M_BOM[PPGridRow],30),0))</f>
        <v/>
      </c>
      <c r="AE11">
        <f>SUMPRODUCT((M_BOM[Part Name]=$A11)*M_BOM[RM_Qty_Per_Batch]*IFERROR(INDEX(PP_Grid[#Data],M_BOM[PPGridRow],31),0))</f>
        <v/>
      </c>
      <c r="AF11">
        <f>SUMPRODUCT((M_BOM[Part Name]=$A11)*M_BOM[RM_Qty_Per_Batch]*IFERROR(INDEX(PP_Grid[#Data],M_BOM[PPGridRow],32),0))</f>
        <v/>
      </c>
      <c r="AG11">
        <f>SUMPRODUCT((M_BOM[Part Name]=$A11)*M_BOM[RM_Qty_Per_Batch]*IFERROR(INDEX(PP_Grid[#Data],M_BOM[PPGridRow],33),0))</f>
        <v/>
      </c>
      <c r="AH11">
        <f>SUMPRODUCT((M_BOM[Part Name]=$A11)*M_BOM[RM_Qty_Per_Batch]*IFERROR(INDEX(PP_Grid[#Data],M_BOM[PPGridRow],34),0))</f>
        <v/>
      </c>
      <c r="AI11">
        <f>SUMPRODUCT((M_BOM[Part Name]=$A11)*M_BOM[RM_Qty_Per_Batch]*IFERROR(INDEX(PP_Grid[#Data],M_BOM[PPGridRow],35),0))</f>
        <v/>
      </c>
      <c r="AJ11">
        <f>SUMPRODUCT((M_BOM[Part Name]=$A11)*M_BOM[RM_Qty_Per_Batch]*IFERROR(INDEX(PP_Grid[#Data],M_BOM[PPGridRow],36),0))</f>
        <v/>
      </c>
      <c r="AK11">
        <f>SUMPRODUCT((M_BOM[Part Name]=$A11)*M_BOM[RM_Qty_Per_Batch]*IFERROR(INDEX(PP_Grid[#Data],M_BOM[PPGridRow],37),0))</f>
        <v/>
      </c>
      <c r="AL11">
        <f>SUMPRODUCT((M_BOM[Part Name]=$A11)*M_BOM[RM_Qty_Per_Batch]*IFERROR(INDEX(PP_Grid[#Data],M_BOM[PPGridRow],38),0))</f>
        <v/>
      </c>
      <c r="AM11">
        <f>SUMPRODUCT((M_BOM[Part Name]=$A11)*M_BOM[RM_Qty_Per_Batch]*IFERROR(INDEX(PP_Grid[#Data],M_BOM[PPGridRow],39),0))</f>
        <v/>
      </c>
      <c r="AN11">
        <f>SUMPRODUCT((M_BOM[Part Name]=$A11)*M_BOM[RM_Qty_Per_Batch]*IFERROR(INDEX(PP_Grid[#Data],M_BOM[PPGridRow],40),0))</f>
        <v/>
      </c>
      <c r="AO11">
        <f>SUMPRODUCT((M_BOM[Part Name]=$A11)*M_BOM[RM_Qty_Per_Batch]*IFERROR(INDEX(PP_Grid[#Data],M_BOM[PPGridRow],41),0))</f>
        <v/>
      </c>
      <c r="AP11">
        <f>SUMPRODUCT((M_BOM[Part Name]=$A11)*M_BOM[RM_Qty_Per_Batch]*IFERROR(INDEX(PP_Grid[#Data],M_BOM[PPGridRow],42),0))</f>
        <v/>
      </c>
      <c r="AQ11">
        <f>SUMPRODUCT((M_BOM[Part Name]=$A11)*M_BOM[RM_Qty_Per_Batch]*IFERROR(INDEX(PP_Grid[#Data],M_BOM[PPGridRow],43),0))</f>
        <v/>
      </c>
      <c r="AR11">
        <f>SUMPRODUCT((M_BOM[Part Name]=$A11)*M_BOM[RM_Qty_Per_Batch]*IFERROR(INDEX(PP_Grid[#Data],M_BOM[PPGridRow],44),0))</f>
        <v/>
      </c>
      <c r="AS11">
        <f>SUMPRODUCT((M_BOM[Part Name]=$A11)*M_BOM[RM_Qty_Per_Batch]*IFERROR(INDEX(PP_Grid[#Data],M_BOM[PPGridRow],45),0))</f>
        <v/>
      </c>
      <c r="AT11">
        <f>SUMPRODUCT((M_BOM[Part Name]=$A11)*M_BOM[RM_Qty_Per_Batch]*IFERROR(INDEX(PP_Grid[#Data],M_BOM[PPGridRow],46),0))</f>
        <v/>
      </c>
      <c r="AU11">
        <f>SUMPRODUCT((M_BOM[Part Name]=$A11)*M_BOM[RM_Qty_Per_Batch]*IFERROR(INDEX(PP_Grid[#Data],M_BOM[PPGridRow],47),0))</f>
        <v/>
      </c>
      <c r="AV11">
        <f>SUMPRODUCT((M_BOM[Part Name]=$A11)*M_BOM[RM_Qty_Per_Batch]*IFERROR(INDEX(PP_Grid[#Data],M_BOM[PPGridRow],48),0))</f>
        <v/>
      </c>
      <c r="AW11">
        <f>SUMPRODUCT((M_BOM[Part Name]=$A11)*M_BOM[RM_Qty_Per_Batch]*IFERROR(INDEX(PP_Grid[#Data],M_BOM[PPGridRow],49),0))</f>
        <v/>
      </c>
      <c r="AX11">
        <f>SUMPRODUCT((M_BOM[Part Name]=$A11)*M_BOM[RM_Qty_Per_Batch]*IFERROR(INDEX(PP_Grid[#Data],M_BOM[PPGridRow],50),0))</f>
        <v/>
      </c>
      <c r="AY11">
        <f>SUMPRODUCT((M_BOM[Part Name]=$A11)*M_BOM[RM_Qty_Per_Batch]*IFERROR(INDEX(PP_Grid[#Data],M_BOM[PPGridRow],51),0))</f>
        <v/>
      </c>
      <c r="AZ11">
        <f>SUMPRODUCT((M_BOM[Part Name]=$A11)*M_BOM[RM_Qty_Per_Batch]*IFERROR(INDEX(PP_Grid[#Data],M_BOM[PPGridRow],52),0))</f>
        <v/>
      </c>
      <c r="BA11">
        <f>SUMPRODUCT((M_BOM[Part Name]=$A11)*M_BOM[RM_Qty_Per_Batch]*IFERROR(INDEX(PP_Grid[#Data],M_BOM[PPGridRow],53),0))</f>
        <v/>
      </c>
      <c r="BB11">
        <f>SUMPRODUCT((M_BOM[Part Name]=$A11)*M_BOM[RM_Qty_Per_Batch]*IFERROR(INDEX(PP_Grid[#Data],M_BOM[PPGridRow],54),0))</f>
        <v/>
      </c>
      <c r="BC11">
        <f>SUMPRODUCT((M_BOM[Part Name]=$A11)*M_BOM[RM_Qty_Per_Batch]*IFERROR(INDEX(PP_Grid[#Data],M_BOM[PPGridRow],55),0))</f>
        <v/>
      </c>
      <c r="BD11">
        <f>SUMPRODUCT((M_BOM[Part Name]=$A11)*M_BOM[RM_Qty_Per_Batch]*IFERROR(INDEX(PP_Grid[#Data],M_BOM[PPGridRow],56),0))</f>
        <v/>
      </c>
      <c r="BE11">
        <f>SUMPRODUCT((M_BOM[Part Name]=$A11)*M_BOM[RM_Qty_Per_Batch]*IFERROR(INDEX(PP_Grid[#Data],M_BOM[PPGridRow],57),0))</f>
        <v/>
      </c>
      <c r="BF11">
        <f>SUMPRODUCT((M_BOM[Part Name]=$A11)*M_BOM[RM_Qty_Per_Batch]*IFERROR(INDEX(PP_Grid[#Data],M_BOM[PPGridRow],58),0))</f>
        <v/>
      </c>
      <c r="BG11">
        <f>SUMPRODUCT((M_BOM[Part Name]=$A11)*M_BOM[RM_Qty_Per_Batch]*IFERROR(INDEX(PP_Grid[#Data],M_BOM[PPGridRow],59),0))</f>
        <v/>
      </c>
      <c r="BH11">
        <f>SUMPRODUCT((M_BOM[Part Name]=$A11)*M_BOM[RM_Qty_Per_Batch]*IFERROR(INDEX(PP_Grid[#Data],M_BOM[PPGridRow],60),0))</f>
        <v/>
      </c>
      <c r="BI11">
        <f>SUMPRODUCT((M_BOM[Part Name]=$A11)*M_BOM[RM_Qty_Per_Batch]*IFERROR(INDEX(PP_Grid[#Data],M_BOM[PPGridRow],61),0))</f>
        <v/>
      </c>
      <c r="BJ11">
        <f>SUMPRODUCT((M_BOM[Part Name]=$A11)*M_BOM[RM_Qty_Per_Batch]*IFERROR(INDEX(PP_Grid[#Data],M_BOM[PPGridRow],62),0))</f>
        <v/>
      </c>
      <c r="BK11">
        <f>SUMPRODUCT((M_BOM[Part Name]=$A11)*M_BOM[RM_Qty_Per_Batch]*IFERROR(INDEX(PP_Grid[#Data],M_BOM[PPGridRow],63),0))</f>
        <v/>
      </c>
      <c r="BL11">
        <f>SUMPRODUCT((M_BOM[Part Name]=$A11)*M_BOM[RM_Qty_Per_Batch]*IFERROR(INDEX(PP_Grid[#Data],M_BOM[PPGridRow],64),0))</f>
        <v/>
      </c>
      <c r="BM11">
        <f>SUMPRODUCT((M_BOM[Part Name]=$A11)*M_BOM[RM_Qty_Per_Batch]*IFERROR(INDEX(PP_Grid[#Data],M_BOM[PPGridRow],65),0))</f>
        <v/>
      </c>
      <c r="BN11">
        <f>SUMPRODUCT((M_BOM[Part Name]=$A11)*M_BOM[RM_Qty_Per_Batch]*IFERROR(INDEX(PP_Grid[#Data],M_BOM[PPGridRow],66),0))</f>
        <v/>
      </c>
      <c r="BO11">
        <f>SUMPRODUCT((M_BOM[Part Name]=$A11)*M_BOM[RM_Qty_Per_Batch]*IFERROR(INDEX(PP_Grid[#Data],M_BOM[PPGridRow],67),0))</f>
        <v/>
      </c>
      <c r="BP11">
        <f>SUMPRODUCT((M_BOM[Part Name]=$A11)*M_BOM[RM_Qty_Per_Batch]*IFERROR(INDEX(PP_Grid[#Data],M_BOM[PPGridRow],68),0))</f>
        <v/>
      </c>
      <c r="BQ11">
        <f>SUMPRODUCT((M_BOM[Part Name]=$A11)*M_BOM[RM_Qty_Per_Batch]*IFERROR(INDEX(PP_Grid[#Data],M_BOM[PPGridRow],69),0))</f>
        <v/>
      </c>
      <c r="BR11">
        <f>SUMPRODUCT((M_BOM[Part Name]=$A11)*M_BOM[RM_Qty_Per_Batch]*IFERROR(INDEX(PP_Grid[#Data],M_BOM[PPGridRow],70),0))</f>
        <v/>
      </c>
      <c r="BS11">
        <f>SUMPRODUCT((M_BOM[Part Name]=$A11)*M_BOM[RM_Qty_Per_Batch]*IFERROR(INDEX(PP_Grid[#Data],M_BOM[PPGridRow],71),0))</f>
        <v/>
      </c>
      <c r="BT11">
        <f>SUMPRODUCT((M_BOM[Part Name]=$A11)*M_BOM[RM_Qty_Per_Batch]*IFERROR(INDEX(PP_Grid[#Data],M_BOM[PPGridRow],72),0))</f>
        <v/>
      </c>
      <c r="BU11">
        <f>SUMPRODUCT((M_BOM[Part Name]=$A11)*M_BOM[RM_Qty_Per_Batch]*IFERROR(INDEX(PP_Grid[#Data],M_BOM[PPGridRow],73),0))</f>
        <v/>
      </c>
      <c r="BV11">
        <f>SUMPRODUCT((M_BOM[Part Name]=$A11)*M_BOM[RM_Qty_Per_Batch]*IFERROR(INDEX(PP_Grid[#Data],M_BOM[PPGridRow],74),0))</f>
        <v/>
      </c>
      <c r="BW11">
        <f>SUMPRODUCT((M_BOM[Part Name]=$A11)*M_BOM[RM_Qty_Per_Batch]*IFERROR(INDEX(PP_Grid[#Data],M_BOM[PPGridRow],75),0))</f>
        <v/>
      </c>
      <c r="BX11">
        <f>SUMPRODUCT((M_BOM[Part Name]=$A11)*M_BOM[RM_Qty_Per_Batch]*IFERROR(INDEX(PP_Grid[#Data],M_BOM[PPGridRow],76),0))</f>
        <v/>
      </c>
      <c r="BY11">
        <f>SUMPRODUCT((M_BOM[Part Name]=$A11)*M_BOM[RM_Qty_Per_Batch]*IFERROR(INDEX(PP_Grid[#Data],M_BOM[PPGridRow],77),0))</f>
        <v/>
      </c>
      <c r="BZ11">
        <f>SUMPRODUCT((M_BOM[Part Name]=$A11)*M_BOM[RM_Qty_Per_Batch]*IFERROR(INDEX(PP_Grid[#Data],M_BOM[PPGridRow],78),0))</f>
        <v/>
      </c>
      <c r="CA11">
        <f>SUMPRODUCT((M_BOM[Part Name]=$A11)*M_BOM[RM_Qty_Per_Batch]*IFERROR(INDEX(PP_Grid[#Data],M_BOM[PPGridRow],79),0))</f>
        <v/>
      </c>
      <c r="CB11">
        <f>SUMPRODUCT((M_BOM[Part Name]=$A11)*M_BOM[RM_Qty_Per_Batch]*IFERROR(INDEX(PP_Grid[#Data],M_BOM[PPGridRow],80),0))</f>
        <v/>
      </c>
      <c r="CC11">
        <f>SUMPRODUCT((M_BOM[Part Name]=$A11)*M_BOM[RM_Qty_Per_Batch]*IFERROR(INDEX(PP_Grid[#Data],M_BOM[PPGridRow],81),0))</f>
        <v/>
      </c>
      <c r="CD11">
        <f>SUMPRODUCT((M_BOM[Part Name]=$A11)*M_BOM[RM_Qty_Per_Batch]*IFERROR(INDEX(PP_Grid[#Data],M_BOM[PPGridRow],82),0))</f>
        <v/>
      </c>
      <c r="CE11">
        <f>SUMPRODUCT((M_BOM[Part Name]=$A11)*M_BOM[RM_Qty_Per_Batch]*IFERROR(INDEX(PP_Grid[#Data],M_BOM[PPGridRow],83),0))</f>
        <v/>
      </c>
      <c r="CF11">
        <f>SUMPRODUCT((M_BOM[Part Name]=$A11)*M_BOM[RM_Qty_Per_Batch]*IFERROR(INDEX(PP_Grid[#Data],M_BOM[PPGridRow],84),0))</f>
        <v/>
      </c>
      <c r="CG11">
        <f>SUMPRODUCT((M_BOM[Part Name]=$A11)*M_BOM[RM_Qty_Per_Batch]*IFERROR(INDEX(PP_Grid[#Data],M_BOM[PPGridRow],85),0))</f>
        <v/>
      </c>
      <c r="CH11">
        <f>SUMPRODUCT((M_BOM[Part Name]=$A11)*M_BOM[RM_Qty_Per_Batch]*IFERROR(INDEX(PP_Grid[#Data],M_BOM[PPGridRow],86),0))</f>
        <v/>
      </c>
      <c r="CI11">
        <f>SUMPRODUCT((M_BOM[Part Name]=$A11)*M_BOM[RM_Qty_Per_Batch]*IFERROR(INDEX(PP_Grid[#Data],M_BOM[PPGridRow],87),0))</f>
        <v/>
      </c>
      <c r="CJ11">
        <f>SUMPRODUCT((M_BOM[Part Name]=$A11)*M_BOM[RM_Qty_Per_Batch]*IFERROR(INDEX(PP_Grid[#Data],M_BOM[PPGridRow],88),0))</f>
        <v/>
      </c>
      <c r="CK11">
        <f>SUMPRODUCT((M_BOM[Part Name]=$A11)*M_BOM[RM_Qty_Per_Batch]*IFERROR(INDEX(PP_Grid[#Data],M_BOM[PPGridRow],89),0))</f>
        <v/>
      </c>
      <c r="CL11">
        <f>SUMPRODUCT((M_BOM[Part Name]=$A11)*M_BOM[RM_Qty_Per_Batch]*IFERROR(INDEX(PP_Grid[#Data],M_BOM[PPGridRow],90),0))</f>
        <v/>
      </c>
      <c r="CM11">
        <f>SUMPRODUCT((M_BOM[Part Name]=$A11)*M_BOM[RM_Qty_Per_Batch]*IFERROR(INDEX(PP_Grid[#Data],M_BOM[PPGridRow],91),0))</f>
        <v/>
      </c>
      <c r="CN11">
        <f>SUMPRODUCT((M_BOM[Part Name]=$A11)*M_BOM[RM_Qty_Per_Batch]*IFERROR(INDEX(PP_Grid[#Data],M_BOM[PPGridRow],92),0))</f>
        <v/>
      </c>
      <c r="CO11">
        <f>SUMPRODUCT((M_BOM[Part Name]=$A11)*M_BOM[RM_Qty_Per_Batch]*IFERROR(INDEX(PP_Grid[#Data],M_BOM[PPGridRow],93),0))</f>
        <v/>
      </c>
      <c r="CP11">
        <f>SUMPRODUCT((M_BOM[Part Name]=$A11)*M_BOM[RM_Qty_Per_Batch]*IFERROR(INDEX(PP_Grid[#Data],M_BOM[PPGridRow],94),0))</f>
        <v/>
      </c>
      <c r="CQ11">
        <f>SUMPRODUCT((M_BOM[Part Name]=$A11)*M_BOM[RM_Qty_Per_Batch]*IFERROR(INDEX(PP_Grid[#Data],M_BOM[PPGridRow],95),0))</f>
        <v/>
      </c>
      <c r="CR11">
        <f>SUMPRODUCT((M_BOM[Part Name]=$A11)*M_BOM[RM_Qty_Per_Batch]*IFERROR(INDEX(PP_Grid[#Data],M_BOM[PPGridRow],96),0))</f>
        <v/>
      </c>
      <c r="CS11">
        <f>SUMPRODUCT((M_BOM[Part Name]=$A11)*M_BOM[RM_Qty_Per_Batch]*IFERROR(INDEX(PP_Grid[#Data],M_BOM[PPGridRow],97),0))</f>
        <v/>
      </c>
      <c r="CT11">
        <f>SUMPRODUCT((M_BOM[Part Name]=$A11)*M_BOM[RM_Qty_Per_Batch]*IFERROR(INDEX(PP_Grid[#Data],M_BOM[PPGridRow],98),0))</f>
        <v/>
      </c>
      <c r="CU11">
        <f>SUMPRODUCT((M_BOM[Part Name]=$A11)*M_BOM[RM_Qty_Per_Batch]*IFERROR(INDEX(PP_Grid[#Data],M_BOM[PPGridRow],99),0))</f>
        <v/>
      </c>
      <c r="CV11">
        <f>SUMPRODUCT((M_BOM[Part Name]=$A11)*M_BOM[RM_Qty_Per_Batch]*IFERROR(INDEX(PP_Grid[#Data],M_BOM[PPGridRow],100),0))</f>
        <v/>
      </c>
      <c r="CW11">
        <f>SUMPRODUCT((M_BOM[Part Name]=$A11)*M_BOM[RM_Qty_Per_Batch]*IFERROR(INDEX(PP_Grid[#Data],M_BOM[PPGridRow],101),0))</f>
        <v/>
      </c>
      <c r="CX11">
        <f>SUMPRODUCT((M_BOM[Part Name]=$A11)*M_BOM[RM_Qty_Per_Batch]*IFERROR(INDEX(PP_Grid[#Data],M_BOM[PPGridRow],102),0))</f>
        <v/>
      </c>
      <c r="CY11">
        <f>SUMPRODUCT((M_BOM[Part Name]=$A11)*M_BOM[RM_Qty_Per_Batch]*IFERROR(INDEX(PP_Grid[#Data],M_BOM[PPGridRow],103),0))</f>
        <v/>
      </c>
      <c r="CZ11">
        <f>SUMPRODUCT((M_BOM[Part Name]=$A11)*M_BOM[RM_Qty_Per_Batch]*IFERROR(INDEX(PP_Grid[#Data],M_BOM[PPGridRow],104),0))</f>
        <v/>
      </c>
      <c r="DA11">
        <f>SUMPRODUCT((M_BOM[Part Name]=$A11)*M_BOM[RM_Qty_Per_Batch]*IFERROR(INDEX(PP_Grid[#Data],M_BOM[PPGridRow],105),0))</f>
        <v/>
      </c>
    </row>
    <row r="12">
      <c r="A12" t="inlineStr">
        <is>
          <t>1EK</t>
        </is>
      </c>
      <c r="B12">
        <f>SUMPRODUCT((M_BOM[Part Name]=$A12)*M_BOM[RM_Qty_Per_Batch]*IFERROR(INDEX(PP_Grid[#Data],M_BOM[PPGridRow],2),0))</f>
        <v/>
      </c>
      <c r="C12">
        <f>SUMPRODUCT((M_BOM[Part Name]=$A12)*M_BOM[RM_Qty_Per_Batch]*IFERROR(INDEX(PP_Grid[#Data],M_BOM[PPGridRow],3),0))</f>
        <v/>
      </c>
      <c r="D12">
        <f>SUMPRODUCT((M_BOM[Part Name]=$A12)*M_BOM[RM_Qty_Per_Batch]*IFERROR(INDEX(PP_Grid[#Data],M_BOM[PPGridRow],4),0))</f>
        <v/>
      </c>
      <c r="E12">
        <f>SUMPRODUCT((M_BOM[Part Name]=$A12)*M_BOM[RM_Qty_Per_Batch]*IFERROR(INDEX(PP_Grid[#Data],M_BOM[PPGridRow],5),0))</f>
        <v/>
      </c>
      <c r="F12">
        <f>SUMPRODUCT((M_BOM[Part Name]=$A12)*M_BOM[RM_Qty_Per_Batch]*IFERROR(INDEX(PP_Grid[#Data],M_BOM[PPGridRow],6),0))</f>
        <v/>
      </c>
      <c r="G12">
        <f>SUMPRODUCT((M_BOM[Part Name]=$A12)*M_BOM[RM_Qty_Per_Batch]*IFERROR(INDEX(PP_Grid[#Data],M_BOM[PPGridRow],7),0))</f>
        <v/>
      </c>
      <c r="H12">
        <f>SUMPRODUCT((M_BOM[Part Name]=$A12)*M_BOM[RM_Qty_Per_Batch]*IFERROR(INDEX(PP_Grid[#Data],M_BOM[PPGridRow],8),0))</f>
        <v/>
      </c>
      <c r="I12">
        <f>SUMPRODUCT((M_BOM[Part Name]=$A12)*M_BOM[RM_Qty_Per_Batch]*IFERROR(INDEX(PP_Grid[#Data],M_BOM[PPGridRow],9),0))</f>
        <v/>
      </c>
      <c r="J12">
        <f>SUMPRODUCT((M_BOM[Part Name]=$A12)*M_BOM[RM_Qty_Per_Batch]*IFERROR(INDEX(PP_Grid[#Data],M_BOM[PPGridRow],10),0))</f>
        <v/>
      </c>
      <c r="K12">
        <f>SUMPRODUCT((M_BOM[Part Name]=$A12)*M_BOM[RM_Qty_Per_Batch]*IFERROR(INDEX(PP_Grid[#Data],M_BOM[PPGridRow],11),0))</f>
        <v/>
      </c>
      <c r="L12">
        <f>SUMPRODUCT((M_BOM[Part Name]=$A12)*M_BOM[RM_Qty_Per_Batch]*IFERROR(INDEX(PP_Grid[#Data],M_BOM[PPGridRow],12),0))</f>
        <v/>
      </c>
      <c r="M12">
        <f>SUMPRODUCT((M_BOM[Part Name]=$A12)*M_BOM[RM_Qty_Per_Batch]*IFERROR(INDEX(PP_Grid[#Data],M_BOM[PPGridRow],13),0))</f>
        <v/>
      </c>
      <c r="N12">
        <f>SUMPRODUCT((M_BOM[Part Name]=$A12)*M_BOM[RM_Qty_Per_Batch]*IFERROR(INDEX(PP_Grid[#Data],M_BOM[PPGridRow],14),0))</f>
        <v/>
      </c>
      <c r="O12">
        <f>SUMPRODUCT((M_BOM[Part Name]=$A12)*M_BOM[RM_Qty_Per_Batch]*IFERROR(INDEX(PP_Grid[#Data],M_BOM[PPGridRow],15),0))</f>
        <v/>
      </c>
      <c r="P12">
        <f>SUMPRODUCT((M_BOM[Part Name]=$A12)*M_BOM[RM_Qty_Per_Batch]*IFERROR(INDEX(PP_Grid[#Data],M_BOM[PPGridRow],16),0))</f>
        <v/>
      </c>
      <c r="Q12">
        <f>SUMPRODUCT((M_BOM[Part Name]=$A12)*M_BOM[RM_Qty_Per_Batch]*IFERROR(INDEX(PP_Grid[#Data],M_BOM[PPGridRow],17),0))</f>
        <v/>
      </c>
      <c r="R12">
        <f>SUMPRODUCT((M_BOM[Part Name]=$A12)*M_BOM[RM_Qty_Per_Batch]*IFERROR(INDEX(PP_Grid[#Data],M_BOM[PPGridRow],18),0))</f>
        <v/>
      </c>
      <c r="S12">
        <f>SUMPRODUCT((M_BOM[Part Name]=$A12)*M_BOM[RM_Qty_Per_Batch]*IFERROR(INDEX(PP_Grid[#Data],M_BOM[PPGridRow],19),0))</f>
        <v/>
      </c>
      <c r="T12">
        <f>SUMPRODUCT((M_BOM[Part Name]=$A12)*M_BOM[RM_Qty_Per_Batch]*IFERROR(INDEX(PP_Grid[#Data],M_BOM[PPGridRow],20),0))</f>
        <v/>
      </c>
      <c r="U12">
        <f>SUMPRODUCT((M_BOM[Part Name]=$A12)*M_BOM[RM_Qty_Per_Batch]*IFERROR(INDEX(PP_Grid[#Data],M_BOM[PPGridRow],21),0))</f>
        <v/>
      </c>
      <c r="V12">
        <f>SUMPRODUCT((M_BOM[Part Name]=$A12)*M_BOM[RM_Qty_Per_Batch]*IFERROR(INDEX(PP_Grid[#Data],M_BOM[PPGridRow],22),0))</f>
        <v/>
      </c>
      <c r="W12">
        <f>SUMPRODUCT((M_BOM[Part Name]=$A12)*M_BOM[RM_Qty_Per_Batch]*IFERROR(INDEX(PP_Grid[#Data],M_BOM[PPGridRow],23),0))</f>
        <v/>
      </c>
      <c r="X12">
        <f>SUMPRODUCT((M_BOM[Part Name]=$A12)*M_BOM[RM_Qty_Per_Batch]*IFERROR(INDEX(PP_Grid[#Data],M_BOM[PPGridRow],24),0))</f>
        <v/>
      </c>
      <c r="Y12">
        <f>SUMPRODUCT((M_BOM[Part Name]=$A12)*M_BOM[RM_Qty_Per_Batch]*IFERROR(INDEX(PP_Grid[#Data],M_BOM[PPGridRow],25),0))</f>
        <v/>
      </c>
      <c r="Z12">
        <f>SUMPRODUCT((M_BOM[Part Name]=$A12)*M_BOM[RM_Qty_Per_Batch]*IFERROR(INDEX(PP_Grid[#Data],M_BOM[PPGridRow],26),0))</f>
        <v/>
      </c>
      <c r="AA12">
        <f>SUMPRODUCT((M_BOM[Part Name]=$A12)*M_BOM[RM_Qty_Per_Batch]*IFERROR(INDEX(PP_Grid[#Data],M_BOM[PPGridRow],27),0))</f>
        <v/>
      </c>
      <c r="AB12">
        <f>SUMPRODUCT((M_BOM[Part Name]=$A12)*M_BOM[RM_Qty_Per_Batch]*IFERROR(INDEX(PP_Grid[#Data],M_BOM[PPGridRow],28),0))</f>
        <v/>
      </c>
      <c r="AC12">
        <f>SUMPRODUCT((M_BOM[Part Name]=$A12)*M_BOM[RM_Qty_Per_Batch]*IFERROR(INDEX(PP_Grid[#Data],M_BOM[PPGridRow],29),0))</f>
        <v/>
      </c>
      <c r="AD12">
        <f>SUMPRODUCT((M_BOM[Part Name]=$A12)*M_BOM[RM_Qty_Per_Batch]*IFERROR(INDEX(PP_Grid[#Data],M_BOM[PPGridRow],30),0))</f>
        <v/>
      </c>
      <c r="AE12">
        <f>SUMPRODUCT((M_BOM[Part Name]=$A12)*M_BOM[RM_Qty_Per_Batch]*IFERROR(INDEX(PP_Grid[#Data],M_BOM[PPGridRow],31),0))</f>
        <v/>
      </c>
      <c r="AF12">
        <f>SUMPRODUCT((M_BOM[Part Name]=$A12)*M_BOM[RM_Qty_Per_Batch]*IFERROR(INDEX(PP_Grid[#Data],M_BOM[PPGridRow],32),0))</f>
        <v/>
      </c>
      <c r="AG12">
        <f>SUMPRODUCT((M_BOM[Part Name]=$A12)*M_BOM[RM_Qty_Per_Batch]*IFERROR(INDEX(PP_Grid[#Data],M_BOM[PPGridRow],33),0))</f>
        <v/>
      </c>
      <c r="AH12">
        <f>SUMPRODUCT((M_BOM[Part Name]=$A12)*M_BOM[RM_Qty_Per_Batch]*IFERROR(INDEX(PP_Grid[#Data],M_BOM[PPGridRow],34),0))</f>
        <v/>
      </c>
      <c r="AI12">
        <f>SUMPRODUCT((M_BOM[Part Name]=$A12)*M_BOM[RM_Qty_Per_Batch]*IFERROR(INDEX(PP_Grid[#Data],M_BOM[PPGridRow],35),0))</f>
        <v/>
      </c>
      <c r="AJ12">
        <f>SUMPRODUCT((M_BOM[Part Name]=$A12)*M_BOM[RM_Qty_Per_Batch]*IFERROR(INDEX(PP_Grid[#Data],M_BOM[PPGridRow],36),0))</f>
        <v/>
      </c>
      <c r="AK12">
        <f>SUMPRODUCT((M_BOM[Part Name]=$A12)*M_BOM[RM_Qty_Per_Batch]*IFERROR(INDEX(PP_Grid[#Data],M_BOM[PPGridRow],37),0))</f>
        <v/>
      </c>
      <c r="AL12">
        <f>SUMPRODUCT((M_BOM[Part Name]=$A12)*M_BOM[RM_Qty_Per_Batch]*IFERROR(INDEX(PP_Grid[#Data],M_BOM[PPGridRow],38),0))</f>
        <v/>
      </c>
      <c r="AM12">
        <f>SUMPRODUCT((M_BOM[Part Name]=$A12)*M_BOM[RM_Qty_Per_Batch]*IFERROR(INDEX(PP_Grid[#Data],M_BOM[PPGridRow],39),0))</f>
        <v/>
      </c>
      <c r="AN12">
        <f>SUMPRODUCT((M_BOM[Part Name]=$A12)*M_BOM[RM_Qty_Per_Batch]*IFERROR(INDEX(PP_Grid[#Data],M_BOM[PPGridRow],40),0))</f>
        <v/>
      </c>
      <c r="AO12">
        <f>SUMPRODUCT((M_BOM[Part Name]=$A12)*M_BOM[RM_Qty_Per_Batch]*IFERROR(INDEX(PP_Grid[#Data],M_BOM[PPGridRow],41),0))</f>
        <v/>
      </c>
      <c r="AP12">
        <f>SUMPRODUCT((M_BOM[Part Name]=$A12)*M_BOM[RM_Qty_Per_Batch]*IFERROR(INDEX(PP_Grid[#Data],M_BOM[PPGridRow],42),0))</f>
        <v/>
      </c>
      <c r="AQ12">
        <f>SUMPRODUCT((M_BOM[Part Name]=$A12)*M_BOM[RM_Qty_Per_Batch]*IFERROR(INDEX(PP_Grid[#Data],M_BOM[PPGridRow],43),0))</f>
        <v/>
      </c>
      <c r="AR12">
        <f>SUMPRODUCT((M_BOM[Part Name]=$A12)*M_BOM[RM_Qty_Per_Batch]*IFERROR(INDEX(PP_Grid[#Data],M_BOM[PPGridRow],44),0))</f>
        <v/>
      </c>
      <c r="AS12">
        <f>SUMPRODUCT((M_BOM[Part Name]=$A12)*M_BOM[RM_Qty_Per_Batch]*IFERROR(INDEX(PP_Grid[#Data],M_BOM[PPGridRow],45),0))</f>
        <v/>
      </c>
      <c r="AT12">
        <f>SUMPRODUCT((M_BOM[Part Name]=$A12)*M_BOM[RM_Qty_Per_Batch]*IFERROR(INDEX(PP_Grid[#Data],M_BOM[PPGridRow],46),0))</f>
        <v/>
      </c>
      <c r="AU12">
        <f>SUMPRODUCT((M_BOM[Part Name]=$A12)*M_BOM[RM_Qty_Per_Batch]*IFERROR(INDEX(PP_Grid[#Data],M_BOM[PPGridRow],47),0))</f>
        <v/>
      </c>
      <c r="AV12">
        <f>SUMPRODUCT((M_BOM[Part Name]=$A12)*M_BOM[RM_Qty_Per_Batch]*IFERROR(INDEX(PP_Grid[#Data],M_BOM[PPGridRow],48),0))</f>
        <v/>
      </c>
      <c r="AW12">
        <f>SUMPRODUCT((M_BOM[Part Name]=$A12)*M_BOM[RM_Qty_Per_Batch]*IFERROR(INDEX(PP_Grid[#Data],M_BOM[PPGridRow],49),0))</f>
        <v/>
      </c>
      <c r="AX12">
        <f>SUMPRODUCT((M_BOM[Part Name]=$A12)*M_BOM[RM_Qty_Per_Batch]*IFERROR(INDEX(PP_Grid[#Data],M_BOM[PPGridRow],50),0))</f>
        <v/>
      </c>
      <c r="AY12">
        <f>SUMPRODUCT((M_BOM[Part Name]=$A12)*M_BOM[RM_Qty_Per_Batch]*IFERROR(INDEX(PP_Grid[#Data],M_BOM[PPGridRow],51),0))</f>
        <v/>
      </c>
      <c r="AZ12">
        <f>SUMPRODUCT((M_BOM[Part Name]=$A12)*M_BOM[RM_Qty_Per_Batch]*IFERROR(INDEX(PP_Grid[#Data],M_BOM[PPGridRow],52),0))</f>
        <v/>
      </c>
      <c r="BA12">
        <f>SUMPRODUCT((M_BOM[Part Name]=$A12)*M_BOM[RM_Qty_Per_Batch]*IFERROR(INDEX(PP_Grid[#Data],M_BOM[PPGridRow],53),0))</f>
        <v/>
      </c>
      <c r="BB12">
        <f>SUMPRODUCT((M_BOM[Part Name]=$A12)*M_BOM[RM_Qty_Per_Batch]*IFERROR(INDEX(PP_Grid[#Data],M_BOM[PPGridRow],54),0))</f>
        <v/>
      </c>
      <c r="BC12">
        <f>SUMPRODUCT((M_BOM[Part Name]=$A12)*M_BOM[RM_Qty_Per_Batch]*IFERROR(INDEX(PP_Grid[#Data],M_BOM[PPGridRow],55),0))</f>
        <v/>
      </c>
      <c r="BD12">
        <f>SUMPRODUCT((M_BOM[Part Name]=$A12)*M_BOM[RM_Qty_Per_Batch]*IFERROR(INDEX(PP_Grid[#Data],M_BOM[PPGridRow],56),0))</f>
        <v/>
      </c>
      <c r="BE12">
        <f>SUMPRODUCT((M_BOM[Part Name]=$A12)*M_BOM[RM_Qty_Per_Batch]*IFERROR(INDEX(PP_Grid[#Data],M_BOM[PPGridRow],57),0))</f>
        <v/>
      </c>
      <c r="BF12">
        <f>SUMPRODUCT((M_BOM[Part Name]=$A12)*M_BOM[RM_Qty_Per_Batch]*IFERROR(INDEX(PP_Grid[#Data],M_BOM[PPGridRow],58),0))</f>
        <v/>
      </c>
      <c r="BG12">
        <f>SUMPRODUCT((M_BOM[Part Name]=$A12)*M_BOM[RM_Qty_Per_Batch]*IFERROR(INDEX(PP_Grid[#Data],M_BOM[PPGridRow],59),0))</f>
        <v/>
      </c>
      <c r="BH12">
        <f>SUMPRODUCT((M_BOM[Part Name]=$A12)*M_BOM[RM_Qty_Per_Batch]*IFERROR(INDEX(PP_Grid[#Data],M_BOM[PPGridRow],60),0))</f>
        <v/>
      </c>
      <c r="BI12">
        <f>SUMPRODUCT((M_BOM[Part Name]=$A12)*M_BOM[RM_Qty_Per_Batch]*IFERROR(INDEX(PP_Grid[#Data],M_BOM[PPGridRow],61),0))</f>
        <v/>
      </c>
      <c r="BJ12">
        <f>SUMPRODUCT((M_BOM[Part Name]=$A12)*M_BOM[RM_Qty_Per_Batch]*IFERROR(INDEX(PP_Grid[#Data],M_BOM[PPGridRow],62),0))</f>
        <v/>
      </c>
      <c r="BK12">
        <f>SUMPRODUCT((M_BOM[Part Name]=$A12)*M_BOM[RM_Qty_Per_Batch]*IFERROR(INDEX(PP_Grid[#Data],M_BOM[PPGridRow],63),0))</f>
        <v/>
      </c>
      <c r="BL12">
        <f>SUMPRODUCT((M_BOM[Part Name]=$A12)*M_BOM[RM_Qty_Per_Batch]*IFERROR(INDEX(PP_Grid[#Data],M_BOM[PPGridRow],64),0))</f>
        <v/>
      </c>
      <c r="BM12">
        <f>SUMPRODUCT((M_BOM[Part Name]=$A12)*M_BOM[RM_Qty_Per_Batch]*IFERROR(INDEX(PP_Grid[#Data],M_BOM[PPGridRow],65),0))</f>
        <v/>
      </c>
      <c r="BN12">
        <f>SUMPRODUCT((M_BOM[Part Name]=$A12)*M_BOM[RM_Qty_Per_Batch]*IFERROR(INDEX(PP_Grid[#Data],M_BOM[PPGridRow],66),0))</f>
        <v/>
      </c>
      <c r="BO12">
        <f>SUMPRODUCT((M_BOM[Part Name]=$A12)*M_BOM[RM_Qty_Per_Batch]*IFERROR(INDEX(PP_Grid[#Data],M_BOM[PPGridRow],67),0))</f>
        <v/>
      </c>
      <c r="BP12">
        <f>SUMPRODUCT((M_BOM[Part Name]=$A12)*M_BOM[RM_Qty_Per_Batch]*IFERROR(INDEX(PP_Grid[#Data],M_BOM[PPGridRow],68),0))</f>
        <v/>
      </c>
      <c r="BQ12">
        <f>SUMPRODUCT((M_BOM[Part Name]=$A12)*M_BOM[RM_Qty_Per_Batch]*IFERROR(INDEX(PP_Grid[#Data],M_BOM[PPGridRow],69),0))</f>
        <v/>
      </c>
      <c r="BR12">
        <f>SUMPRODUCT((M_BOM[Part Name]=$A12)*M_BOM[RM_Qty_Per_Batch]*IFERROR(INDEX(PP_Grid[#Data],M_BOM[PPGridRow],70),0))</f>
        <v/>
      </c>
      <c r="BS12">
        <f>SUMPRODUCT((M_BOM[Part Name]=$A12)*M_BOM[RM_Qty_Per_Batch]*IFERROR(INDEX(PP_Grid[#Data],M_BOM[PPGridRow],71),0))</f>
        <v/>
      </c>
      <c r="BT12">
        <f>SUMPRODUCT((M_BOM[Part Name]=$A12)*M_BOM[RM_Qty_Per_Batch]*IFERROR(INDEX(PP_Grid[#Data],M_BOM[PPGridRow],72),0))</f>
        <v/>
      </c>
      <c r="BU12">
        <f>SUMPRODUCT((M_BOM[Part Name]=$A12)*M_BOM[RM_Qty_Per_Batch]*IFERROR(INDEX(PP_Grid[#Data],M_BOM[PPGridRow],73),0))</f>
        <v/>
      </c>
      <c r="BV12">
        <f>SUMPRODUCT((M_BOM[Part Name]=$A12)*M_BOM[RM_Qty_Per_Batch]*IFERROR(INDEX(PP_Grid[#Data],M_BOM[PPGridRow],74),0))</f>
        <v/>
      </c>
      <c r="BW12">
        <f>SUMPRODUCT((M_BOM[Part Name]=$A12)*M_BOM[RM_Qty_Per_Batch]*IFERROR(INDEX(PP_Grid[#Data],M_BOM[PPGridRow],75),0))</f>
        <v/>
      </c>
      <c r="BX12">
        <f>SUMPRODUCT((M_BOM[Part Name]=$A12)*M_BOM[RM_Qty_Per_Batch]*IFERROR(INDEX(PP_Grid[#Data],M_BOM[PPGridRow],76),0))</f>
        <v/>
      </c>
      <c r="BY12">
        <f>SUMPRODUCT((M_BOM[Part Name]=$A12)*M_BOM[RM_Qty_Per_Batch]*IFERROR(INDEX(PP_Grid[#Data],M_BOM[PPGridRow],77),0))</f>
        <v/>
      </c>
      <c r="BZ12">
        <f>SUMPRODUCT((M_BOM[Part Name]=$A12)*M_BOM[RM_Qty_Per_Batch]*IFERROR(INDEX(PP_Grid[#Data],M_BOM[PPGridRow],78),0))</f>
        <v/>
      </c>
      <c r="CA12">
        <f>SUMPRODUCT((M_BOM[Part Name]=$A12)*M_BOM[RM_Qty_Per_Batch]*IFERROR(INDEX(PP_Grid[#Data],M_BOM[PPGridRow],79),0))</f>
        <v/>
      </c>
      <c r="CB12">
        <f>SUMPRODUCT((M_BOM[Part Name]=$A12)*M_BOM[RM_Qty_Per_Batch]*IFERROR(INDEX(PP_Grid[#Data],M_BOM[PPGridRow],80),0))</f>
        <v/>
      </c>
      <c r="CC12">
        <f>SUMPRODUCT((M_BOM[Part Name]=$A12)*M_BOM[RM_Qty_Per_Batch]*IFERROR(INDEX(PP_Grid[#Data],M_BOM[PPGridRow],81),0))</f>
        <v/>
      </c>
      <c r="CD12">
        <f>SUMPRODUCT((M_BOM[Part Name]=$A12)*M_BOM[RM_Qty_Per_Batch]*IFERROR(INDEX(PP_Grid[#Data],M_BOM[PPGridRow],82),0))</f>
        <v/>
      </c>
      <c r="CE12">
        <f>SUMPRODUCT((M_BOM[Part Name]=$A12)*M_BOM[RM_Qty_Per_Batch]*IFERROR(INDEX(PP_Grid[#Data],M_BOM[PPGridRow],83),0))</f>
        <v/>
      </c>
      <c r="CF12">
        <f>SUMPRODUCT((M_BOM[Part Name]=$A12)*M_BOM[RM_Qty_Per_Batch]*IFERROR(INDEX(PP_Grid[#Data],M_BOM[PPGridRow],84),0))</f>
        <v/>
      </c>
      <c r="CG12">
        <f>SUMPRODUCT((M_BOM[Part Name]=$A12)*M_BOM[RM_Qty_Per_Batch]*IFERROR(INDEX(PP_Grid[#Data],M_BOM[PPGridRow],85),0))</f>
        <v/>
      </c>
      <c r="CH12">
        <f>SUMPRODUCT((M_BOM[Part Name]=$A12)*M_BOM[RM_Qty_Per_Batch]*IFERROR(INDEX(PP_Grid[#Data],M_BOM[PPGridRow],86),0))</f>
        <v/>
      </c>
      <c r="CI12">
        <f>SUMPRODUCT((M_BOM[Part Name]=$A12)*M_BOM[RM_Qty_Per_Batch]*IFERROR(INDEX(PP_Grid[#Data],M_BOM[PPGridRow],87),0))</f>
        <v/>
      </c>
      <c r="CJ12">
        <f>SUMPRODUCT((M_BOM[Part Name]=$A12)*M_BOM[RM_Qty_Per_Batch]*IFERROR(INDEX(PP_Grid[#Data],M_BOM[PPGridRow],88),0))</f>
        <v/>
      </c>
      <c r="CK12">
        <f>SUMPRODUCT((M_BOM[Part Name]=$A12)*M_BOM[RM_Qty_Per_Batch]*IFERROR(INDEX(PP_Grid[#Data],M_BOM[PPGridRow],89),0))</f>
        <v/>
      </c>
      <c r="CL12">
        <f>SUMPRODUCT((M_BOM[Part Name]=$A12)*M_BOM[RM_Qty_Per_Batch]*IFERROR(INDEX(PP_Grid[#Data],M_BOM[PPGridRow],90),0))</f>
        <v/>
      </c>
      <c r="CM12">
        <f>SUMPRODUCT((M_BOM[Part Name]=$A12)*M_BOM[RM_Qty_Per_Batch]*IFERROR(INDEX(PP_Grid[#Data],M_BOM[PPGridRow],91),0))</f>
        <v/>
      </c>
      <c r="CN12">
        <f>SUMPRODUCT((M_BOM[Part Name]=$A12)*M_BOM[RM_Qty_Per_Batch]*IFERROR(INDEX(PP_Grid[#Data],M_BOM[PPGridRow],92),0))</f>
        <v/>
      </c>
      <c r="CO12">
        <f>SUMPRODUCT((M_BOM[Part Name]=$A12)*M_BOM[RM_Qty_Per_Batch]*IFERROR(INDEX(PP_Grid[#Data],M_BOM[PPGridRow],93),0))</f>
        <v/>
      </c>
      <c r="CP12">
        <f>SUMPRODUCT((M_BOM[Part Name]=$A12)*M_BOM[RM_Qty_Per_Batch]*IFERROR(INDEX(PP_Grid[#Data],M_BOM[PPGridRow],94),0))</f>
        <v/>
      </c>
      <c r="CQ12">
        <f>SUMPRODUCT((M_BOM[Part Name]=$A12)*M_BOM[RM_Qty_Per_Batch]*IFERROR(INDEX(PP_Grid[#Data],M_BOM[PPGridRow],95),0))</f>
        <v/>
      </c>
      <c r="CR12">
        <f>SUMPRODUCT((M_BOM[Part Name]=$A12)*M_BOM[RM_Qty_Per_Batch]*IFERROR(INDEX(PP_Grid[#Data],M_BOM[PPGridRow],96),0))</f>
        <v/>
      </c>
      <c r="CS12">
        <f>SUMPRODUCT((M_BOM[Part Name]=$A12)*M_BOM[RM_Qty_Per_Batch]*IFERROR(INDEX(PP_Grid[#Data],M_BOM[PPGridRow],97),0))</f>
        <v/>
      </c>
      <c r="CT12">
        <f>SUMPRODUCT((M_BOM[Part Name]=$A12)*M_BOM[RM_Qty_Per_Batch]*IFERROR(INDEX(PP_Grid[#Data],M_BOM[PPGridRow],98),0))</f>
        <v/>
      </c>
      <c r="CU12">
        <f>SUMPRODUCT((M_BOM[Part Name]=$A12)*M_BOM[RM_Qty_Per_Batch]*IFERROR(INDEX(PP_Grid[#Data],M_BOM[PPGridRow],99),0))</f>
        <v/>
      </c>
      <c r="CV12">
        <f>SUMPRODUCT((M_BOM[Part Name]=$A12)*M_BOM[RM_Qty_Per_Batch]*IFERROR(INDEX(PP_Grid[#Data],M_BOM[PPGridRow],100),0))</f>
        <v/>
      </c>
      <c r="CW12">
        <f>SUMPRODUCT((M_BOM[Part Name]=$A12)*M_BOM[RM_Qty_Per_Batch]*IFERROR(INDEX(PP_Grid[#Data],M_BOM[PPGridRow],101),0))</f>
        <v/>
      </c>
      <c r="CX12">
        <f>SUMPRODUCT((M_BOM[Part Name]=$A12)*M_BOM[RM_Qty_Per_Batch]*IFERROR(INDEX(PP_Grid[#Data],M_BOM[PPGridRow],102),0))</f>
        <v/>
      </c>
      <c r="CY12">
        <f>SUMPRODUCT((M_BOM[Part Name]=$A12)*M_BOM[RM_Qty_Per_Batch]*IFERROR(INDEX(PP_Grid[#Data],M_BOM[PPGridRow],103),0))</f>
        <v/>
      </c>
      <c r="CZ12">
        <f>SUMPRODUCT((M_BOM[Part Name]=$A12)*M_BOM[RM_Qty_Per_Batch]*IFERROR(INDEX(PP_Grid[#Data],M_BOM[PPGridRow],104),0))</f>
        <v/>
      </c>
      <c r="DA12">
        <f>SUMPRODUCT((M_BOM[Part Name]=$A12)*M_BOM[RM_Qty_Per_Batch]*IFERROR(INDEX(PP_Grid[#Data],M_BOM[PPGridRow],105),0))</f>
        <v/>
      </c>
    </row>
    <row r="13">
      <c r="A13" t="inlineStr">
        <is>
          <t>7CL</t>
        </is>
      </c>
      <c r="B13">
        <f>SUMPRODUCT((M_BOM[Part Name]=$A13)*M_BOM[RM_Qty_Per_Batch]*IFERROR(INDEX(PP_Grid[#Data],M_BOM[PPGridRow],2),0))</f>
        <v/>
      </c>
      <c r="C13">
        <f>SUMPRODUCT((M_BOM[Part Name]=$A13)*M_BOM[RM_Qty_Per_Batch]*IFERROR(INDEX(PP_Grid[#Data],M_BOM[PPGridRow],3),0))</f>
        <v/>
      </c>
      <c r="D13">
        <f>SUMPRODUCT((M_BOM[Part Name]=$A13)*M_BOM[RM_Qty_Per_Batch]*IFERROR(INDEX(PP_Grid[#Data],M_BOM[PPGridRow],4),0))</f>
        <v/>
      </c>
      <c r="E13">
        <f>SUMPRODUCT((M_BOM[Part Name]=$A13)*M_BOM[RM_Qty_Per_Batch]*IFERROR(INDEX(PP_Grid[#Data],M_BOM[PPGridRow],5),0))</f>
        <v/>
      </c>
      <c r="F13">
        <f>SUMPRODUCT((M_BOM[Part Name]=$A13)*M_BOM[RM_Qty_Per_Batch]*IFERROR(INDEX(PP_Grid[#Data],M_BOM[PPGridRow],6),0))</f>
        <v/>
      </c>
      <c r="G13">
        <f>SUMPRODUCT((M_BOM[Part Name]=$A13)*M_BOM[RM_Qty_Per_Batch]*IFERROR(INDEX(PP_Grid[#Data],M_BOM[PPGridRow],7),0))</f>
        <v/>
      </c>
      <c r="H13">
        <f>SUMPRODUCT((M_BOM[Part Name]=$A13)*M_BOM[RM_Qty_Per_Batch]*IFERROR(INDEX(PP_Grid[#Data],M_BOM[PPGridRow],8),0))</f>
        <v/>
      </c>
      <c r="I13">
        <f>SUMPRODUCT((M_BOM[Part Name]=$A13)*M_BOM[RM_Qty_Per_Batch]*IFERROR(INDEX(PP_Grid[#Data],M_BOM[PPGridRow],9),0))</f>
        <v/>
      </c>
      <c r="J13">
        <f>SUMPRODUCT((M_BOM[Part Name]=$A13)*M_BOM[RM_Qty_Per_Batch]*IFERROR(INDEX(PP_Grid[#Data],M_BOM[PPGridRow],10),0))</f>
        <v/>
      </c>
      <c r="K13">
        <f>SUMPRODUCT((M_BOM[Part Name]=$A13)*M_BOM[RM_Qty_Per_Batch]*IFERROR(INDEX(PP_Grid[#Data],M_BOM[PPGridRow],11),0))</f>
        <v/>
      </c>
      <c r="L13">
        <f>SUMPRODUCT((M_BOM[Part Name]=$A13)*M_BOM[RM_Qty_Per_Batch]*IFERROR(INDEX(PP_Grid[#Data],M_BOM[PPGridRow],12),0))</f>
        <v/>
      </c>
      <c r="M13">
        <f>SUMPRODUCT((M_BOM[Part Name]=$A13)*M_BOM[RM_Qty_Per_Batch]*IFERROR(INDEX(PP_Grid[#Data],M_BOM[PPGridRow],13),0))</f>
        <v/>
      </c>
      <c r="N13">
        <f>SUMPRODUCT((M_BOM[Part Name]=$A13)*M_BOM[RM_Qty_Per_Batch]*IFERROR(INDEX(PP_Grid[#Data],M_BOM[PPGridRow],14),0))</f>
        <v/>
      </c>
      <c r="O13">
        <f>SUMPRODUCT((M_BOM[Part Name]=$A13)*M_BOM[RM_Qty_Per_Batch]*IFERROR(INDEX(PP_Grid[#Data],M_BOM[PPGridRow],15),0))</f>
        <v/>
      </c>
      <c r="P13">
        <f>SUMPRODUCT((M_BOM[Part Name]=$A13)*M_BOM[RM_Qty_Per_Batch]*IFERROR(INDEX(PP_Grid[#Data],M_BOM[PPGridRow],16),0))</f>
        <v/>
      </c>
      <c r="Q13">
        <f>SUMPRODUCT((M_BOM[Part Name]=$A13)*M_BOM[RM_Qty_Per_Batch]*IFERROR(INDEX(PP_Grid[#Data],M_BOM[PPGridRow],17),0))</f>
        <v/>
      </c>
      <c r="R13">
        <f>SUMPRODUCT((M_BOM[Part Name]=$A13)*M_BOM[RM_Qty_Per_Batch]*IFERROR(INDEX(PP_Grid[#Data],M_BOM[PPGridRow],18),0))</f>
        <v/>
      </c>
      <c r="S13">
        <f>SUMPRODUCT((M_BOM[Part Name]=$A13)*M_BOM[RM_Qty_Per_Batch]*IFERROR(INDEX(PP_Grid[#Data],M_BOM[PPGridRow],19),0))</f>
        <v/>
      </c>
      <c r="T13">
        <f>SUMPRODUCT((M_BOM[Part Name]=$A13)*M_BOM[RM_Qty_Per_Batch]*IFERROR(INDEX(PP_Grid[#Data],M_BOM[PPGridRow],20),0))</f>
        <v/>
      </c>
      <c r="U13">
        <f>SUMPRODUCT((M_BOM[Part Name]=$A13)*M_BOM[RM_Qty_Per_Batch]*IFERROR(INDEX(PP_Grid[#Data],M_BOM[PPGridRow],21),0))</f>
        <v/>
      </c>
      <c r="V13">
        <f>SUMPRODUCT((M_BOM[Part Name]=$A13)*M_BOM[RM_Qty_Per_Batch]*IFERROR(INDEX(PP_Grid[#Data],M_BOM[PPGridRow],22),0))</f>
        <v/>
      </c>
      <c r="W13">
        <f>SUMPRODUCT((M_BOM[Part Name]=$A13)*M_BOM[RM_Qty_Per_Batch]*IFERROR(INDEX(PP_Grid[#Data],M_BOM[PPGridRow],23),0))</f>
        <v/>
      </c>
      <c r="X13">
        <f>SUMPRODUCT((M_BOM[Part Name]=$A13)*M_BOM[RM_Qty_Per_Batch]*IFERROR(INDEX(PP_Grid[#Data],M_BOM[PPGridRow],24),0))</f>
        <v/>
      </c>
      <c r="Y13">
        <f>SUMPRODUCT((M_BOM[Part Name]=$A13)*M_BOM[RM_Qty_Per_Batch]*IFERROR(INDEX(PP_Grid[#Data],M_BOM[PPGridRow],25),0))</f>
        <v/>
      </c>
      <c r="Z13">
        <f>SUMPRODUCT((M_BOM[Part Name]=$A13)*M_BOM[RM_Qty_Per_Batch]*IFERROR(INDEX(PP_Grid[#Data],M_BOM[PPGridRow],26),0))</f>
        <v/>
      </c>
      <c r="AA13">
        <f>SUMPRODUCT((M_BOM[Part Name]=$A13)*M_BOM[RM_Qty_Per_Batch]*IFERROR(INDEX(PP_Grid[#Data],M_BOM[PPGridRow],27),0))</f>
        <v/>
      </c>
      <c r="AB13">
        <f>SUMPRODUCT((M_BOM[Part Name]=$A13)*M_BOM[RM_Qty_Per_Batch]*IFERROR(INDEX(PP_Grid[#Data],M_BOM[PPGridRow],28),0))</f>
        <v/>
      </c>
      <c r="AC13">
        <f>SUMPRODUCT((M_BOM[Part Name]=$A13)*M_BOM[RM_Qty_Per_Batch]*IFERROR(INDEX(PP_Grid[#Data],M_BOM[PPGridRow],29),0))</f>
        <v/>
      </c>
      <c r="AD13">
        <f>SUMPRODUCT((M_BOM[Part Name]=$A13)*M_BOM[RM_Qty_Per_Batch]*IFERROR(INDEX(PP_Grid[#Data],M_BOM[PPGridRow],30),0))</f>
        <v/>
      </c>
      <c r="AE13">
        <f>SUMPRODUCT((M_BOM[Part Name]=$A13)*M_BOM[RM_Qty_Per_Batch]*IFERROR(INDEX(PP_Grid[#Data],M_BOM[PPGridRow],31),0))</f>
        <v/>
      </c>
      <c r="AF13">
        <f>SUMPRODUCT((M_BOM[Part Name]=$A13)*M_BOM[RM_Qty_Per_Batch]*IFERROR(INDEX(PP_Grid[#Data],M_BOM[PPGridRow],32),0))</f>
        <v/>
      </c>
      <c r="AG13">
        <f>SUMPRODUCT((M_BOM[Part Name]=$A13)*M_BOM[RM_Qty_Per_Batch]*IFERROR(INDEX(PP_Grid[#Data],M_BOM[PPGridRow],33),0))</f>
        <v/>
      </c>
      <c r="AH13">
        <f>SUMPRODUCT((M_BOM[Part Name]=$A13)*M_BOM[RM_Qty_Per_Batch]*IFERROR(INDEX(PP_Grid[#Data],M_BOM[PPGridRow],34),0))</f>
        <v/>
      </c>
      <c r="AI13">
        <f>SUMPRODUCT((M_BOM[Part Name]=$A13)*M_BOM[RM_Qty_Per_Batch]*IFERROR(INDEX(PP_Grid[#Data],M_BOM[PPGridRow],35),0))</f>
        <v/>
      </c>
      <c r="AJ13">
        <f>SUMPRODUCT((M_BOM[Part Name]=$A13)*M_BOM[RM_Qty_Per_Batch]*IFERROR(INDEX(PP_Grid[#Data],M_BOM[PPGridRow],36),0))</f>
        <v/>
      </c>
      <c r="AK13">
        <f>SUMPRODUCT((M_BOM[Part Name]=$A13)*M_BOM[RM_Qty_Per_Batch]*IFERROR(INDEX(PP_Grid[#Data],M_BOM[PPGridRow],37),0))</f>
        <v/>
      </c>
      <c r="AL13">
        <f>SUMPRODUCT((M_BOM[Part Name]=$A13)*M_BOM[RM_Qty_Per_Batch]*IFERROR(INDEX(PP_Grid[#Data],M_BOM[PPGridRow],38),0))</f>
        <v/>
      </c>
      <c r="AM13">
        <f>SUMPRODUCT((M_BOM[Part Name]=$A13)*M_BOM[RM_Qty_Per_Batch]*IFERROR(INDEX(PP_Grid[#Data],M_BOM[PPGridRow],39),0))</f>
        <v/>
      </c>
      <c r="AN13">
        <f>SUMPRODUCT((M_BOM[Part Name]=$A13)*M_BOM[RM_Qty_Per_Batch]*IFERROR(INDEX(PP_Grid[#Data],M_BOM[PPGridRow],40),0))</f>
        <v/>
      </c>
      <c r="AO13">
        <f>SUMPRODUCT((M_BOM[Part Name]=$A13)*M_BOM[RM_Qty_Per_Batch]*IFERROR(INDEX(PP_Grid[#Data],M_BOM[PPGridRow],41),0))</f>
        <v/>
      </c>
      <c r="AP13">
        <f>SUMPRODUCT((M_BOM[Part Name]=$A13)*M_BOM[RM_Qty_Per_Batch]*IFERROR(INDEX(PP_Grid[#Data],M_BOM[PPGridRow],42),0))</f>
        <v/>
      </c>
      <c r="AQ13">
        <f>SUMPRODUCT((M_BOM[Part Name]=$A13)*M_BOM[RM_Qty_Per_Batch]*IFERROR(INDEX(PP_Grid[#Data],M_BOM[PPGridRow],43),0))</f>
        <v/>
      </c>
      <c r="AR13">
        <f>SUMPRODUCT((M_BOM[Part Name]=$A13)*M_BOM[RM_Qty_Per_Batch]*IFERROR(INDEX(PP_Grid[#Data],M_BOM[PPGridRow],44),0))</f>
        <v/>
      </c>
      <c r="AS13">
        <f>SUMPRODUCT((M_BOM[Part Name]=$A13)*M_BOM[RM_Qty_Per_Batch]*IFERROR(INDEX(PP_Grid[#Data],M_BOM[PPGridRow],45),0))</f>
        <v/>
      </c>
      <c r="AT13">
        <f>SUMPRODUCT((M_BOM[Part Name]=$A13)*M_BOM[RM_Qty_Per_Batch]*IFERROR(INDEX(PP_Grid[#Data],M_BOM[PPGridRow],46),0))</f>
        <v/>
      </c>
      <c r="AU13">
        <f>SUMPRODUCT((M_BOM[Part Name]=$A13)*M_BOM[RM_Qty_Per_Batch]*IFERROR(INDEX(PP_Grid[#Data],M_BOM[PPGridRow],47),0))</f>
        <v/>
      </c>
      <c r="AV13">
        <f>SUMPRODUCT((M_BOM[Part Name]=$A13)*M_BOM[RM_Qty_Per_Batch]*IFERROR(INDEX(PP_Grid[#Data],M_BOM[PPGridRow],48),0))</f>
        <v/>
      </c>
      <c r="AW13">
        <f>SUMPRODUCT((M_BOM[Part Name]=$A13)*M_BOM[RM_Qty_Per_Batch]*IFERROR(INDEX(PP_Grid[#Data],M_BOM[PPGridRow],49),0))</f>
        <v/>
      </c>
      <c r="AX13">
        <f>SUMPRODUCT((M_BOM[Part Name]=$A13)*M_BOM[RM_Qty_Per_Batch]*IFERROR(INDEX(PP_Grid[#Data],M_BOM[PPGridRow],50),0))</f>
        <v/>
      </c>
      <c r="AY13">
        <f>SUMPRODUCT((M_BOM[Part Name]=$A13)*M_BOM[RM_Qty_Per_Batch]*IFERROR(INDEX(PP_Grid[#Data],M_BOM[PPGridRow],51),0))</f>
        <v/>
      </c>
      <c r="AZ13">
        <f>SUMPRODUCT((M_BOM[Part Name]=$A13)*M_BOM[RM_Qty_Per_Batch]*IFERROR(INDEX(PP_Grid[#Data],M_BOM[PPGridRow],52),0))</f>
        <v/>
      </c>
      <c r="BA13">
        <f>SUMPRODUCT((M_BOM[Part Name]=$A13)*M_BOM[RM_Qty_Per_Batch]*IFERROR(INDEX(PP_Grid[#Data],M_BOM[PPGridRow],53),0))</f>
        <v/>
      </c>
      <c r="BB13">
        <f>SUMPRODUCT((M_BOM[Part Name]=$A13)*M_BOM[RM_Qty_Per_Batch]*IFERROR(INDEX(PP_Grid[#Data],M_BOM[PPGridRow],54),0))</f>
        <v/>
      </c>
      <c r="BC13">
        <f>SUMPRODUCT((M_BOM[Part Name]=$A13)*M_BOM[RM_Qty_Per_Batch]*IFERROR(INDEX(PP_Grid[#Data],M_BOM[PPGridRow],55),0))</f>
        <v/>
      </c>
      <c r="BD13">
        <f>SUMPRODUCT((M_BOM[Part Name]=$A13)*M_BOM[RM_Qty_Per_Batch]*IFERROR(INDEX(PP_Grid[#Data],M_BOM[PPGridRow],56),0))</f>
        <v/>
      </c>
      <c r="BE13">
        <f>SUMPRODUCT((M_BOM[Part Name]=$A13)*M_BOM[RM_Qty_Per_Batch]*IFERROR(INDEX(PP_Grid[#Data],M_BOM[PPGridRow],57),0))</f>
        <v/>
      </c>
      <c r="BF13">
        <f>SUMPRODUCT((M_BOM[Part Name]=$A13)*M_BOM[RM_Qty_Per_Batch]*IFERROR(INDEX(PP_Grid[#Data],M_BOM[PPGridRow],58),0))</f>
        <v/>
      </c>
      <c r="BG13">
        <f>SUMPRODUCT((M_BOM[Part Name]=$A13)*M_BOM[RM_Qty_Per_Batch]*IFERROR(INDEX(PP_Grid[#Data],M_BOM[PPGridRow],59),0))</f>
        <v/>
      </c>
      <c r="BH13">
        <f>SUMPRODUCT((M_BOM[Part Name]=$A13)*M_BOM[RM_Qty_Per_Batch]*IFERROR(INDEX(PP_Grid[#Data],M_BOM[PPGridRow],60),0))</f>
        <v/>
      </c>
      <c r="BI13">
        <f>SUMPRODUCT((M_BOM[Part Name]=$A13)*M_BOM[RM_Qty_Per_Batch]*IFERROR(INDEX(PP_Grid[#Data],M_BOM[PPGridRow],61),0))</f>
        <v/>
      </c>
      <c r="BJ13">
        <f>SUMPRODUCT((M_BOM[Part Name]=$A13)*M_BOM[RM_Qty_Per_Batch]*IFERROR(INDEX(PP_Grid[#Data],M_BOM[PPGridRow],62),0))</f>
        <v/>
      </c>
      <c r="BK13">
        <f>SUMPRODUCT((M_BOM[Part Name]=$A13)*M_BOM[RM_Qty_Per_Batch]*IFERROR(INDEX(PP_Grid[#Data],M_BOM[PPGridRow],63),0))</f>
        <v/>
      </c>
      <c r="BL13">
        <f>SUMPRODUCT((M_BOM[Part Name]=$A13)*M_BOM[RM_Qty_Per_Batch]*IFERROR(INDEX(PP_Grid[#Data],M_BOM[PPGridRow],64),0))</f>
        <v/>
      </c>
      <c r="BM13">
        <f>SUMPRODUCT((M_BOM[Part Name]=$A13)*M_BOM[RM_Qty_Per_Batch]*IFERROR(INDEX(PP_Grid[#Data],M_BOM[PPGridRow],65),0))</f>
        <v/>
      </c>
      <c r="BN13">
        <f>SUMPRODUCT((M_BOM[Part Name]=$A13)*M_BOM[RM_Qty_Per_Batch]*IFERROR(INDEX(PP_Grid[#Data],M_BOM[PPGridRow],66),0))</f>
        <v/>
      </c>
      <c r="BO13">
        <f>SUMPRODUCT((M_BOM[Part Name]=$A13)*M_BOM[RM_Qty_Per_Batch]*IFERROR(INDEX(PP_Grid[#Data],M_BOM[PPGridRow],67),0))</f>
        <v/>
      </c>
      <c r="BP13">
        <f>SUMPRODUCT((M_BOM[Part Name]=$A13)*M_BOM[RM_Qty_Per_Batch]*IFERROR(INDEX(PP_Grid[#Data],M_BOM[PPGridRow],68),0))</f>
        <v/>
      </c>
      <c r="BQ13">
        <f>SUMPRODUCT((M_BOM[Part Name]=$A13)*M_BOM[RM_Qty_Per_Batch]*IFERROR(INDEX(PP_Grid[#Data],M_BOM[PPGridRow],69),0))</f>
        <v/>
      </c>
      <c r="BR13">
        <f>SUMPRODUCT((M_BOM[Part Name]=$A13)*M_BOM[RM_Qty_Per_Batch]*IFERROR(INDEX(PP_Grid[#Data],M_BOM[PPGridRow],70),0))</f>
        <v/>
      </c>
      <c r="BS13">
        <f>SUMPRODUCT((M_BOM[Part Name]=$A13)*M_BOM[RM_Qty_Per_Batch]*IFERROR(INDEX(PP_Grid[#Data],M_BOM[PPGridRow],71),0))</f>
        <v/>
      </c>
      <c r="BT13">
        <f>SUMPRODUCT((M_BOM[Part Name]=$A13)*M_BOM[RM_Qty_Per_Batch]*IFERROR(INDEX(PP_Grid[#Data],M_BOM[PPGridRow],72),0))</f>
        <v/>
      </c>
      <c r="BU13">
        <f>SUMPRODUCT((M_BOM[Part Name]=$A13)*M_BOM[RM_Qty_Per_Batch]*IFERROR(INDEX(PP_Grid[#Data],M_BOM[PPGridRow],73),0))</f>
        <v/>
      </c>
      <c r="BV13">
        <f>SUMPRODUCT((M_BOM[Part Name]=$A13)*M_BOM[RM_Qty_Per_Batch]*IFERROR(INDEX(PP_Grid[#Data],M_BOM[PPGridRow],74),0))</f>
        <v/>
      </c>
      <c r="BW13">
        <f>SUMPRODUCT((M_BOM[Part Name]=$A13)*M_BOM[RM_Qty_Per_Batch]*IFERROR(INDEX(PP_Grid[#Data],M_BOM[PPGridRow],75),0))</f>
        <v/>
      </c>
      <c r="BX13">
        <f>SUMPRODUCT((M_BOM[Part Name]=$A13)*M_BOM[RM_Qty_Per_Batch]*IFERROR(INDEX(PP_Grid[#Data],M_BOM[PPGridRow],76),0))</f>
        <v/>
      </c>
      <c r="BY13">
        <f>SUMPRODUCT((M_BOM[Part Name]=$A13)*M_BOM[RM_Qty_Per_Batch]*IFERROR(INDEX(PP_Grid[#Data],M_BOM[PPGridRow],77),0))</f>
        <v/>
      </c>
      <c r="BZ13">
        <f>SUMPRODUCT((M_BOM[Part Name]=$A13)*M_BOM[RM_Qty_Per_Batch]*IFERROR(INDEX(PP_Grid[#Data],M_BOM[PPGridRow],78),0))</f>
        <v/>
      </c>
      <c r="CA13">
        <f>SUMPRODUCT((M_BOM[Part Name]=$A13)*M_BOM[RM_Qty_Per_Batch]*IFERROR(INDEX(PP_Grid[#Data],M_BOM[PPGridRow],79),0))</f>
        <v/>
      </c>
      <c r="CB13">
        <f>SUMPRODUCT((M_BOM[Part Name]=$A13)*M_BOM[RM_Qty_Per_Batch]*IFERROR(INDEX(PP_Grid[#Data],M_BOM[PPGridRow],80),0))</f>
        <v/>
      </c>
      <c r="CC13">
        <f>SUMPRODUCT((M_BOM[Part Name]=$A13)*M_BOM[RM_Qty_Per_Batch]*IFERROR(INDEX(PP_Grid[#Data],M_BOM[PPGridRow],81),0))</f>
        <v/>
      </c>
      <c r="CD13">
        <f>SUMPRODUCT((M_BOM[Part Name]=$A13)*M_BOM[RM_Qty_Per_Batch]*IFERROR(INDEX(PP_Grid[#Data],M_BOM[PPGridRow],82),0))</f>
        <v/>
      </c>
      <c r="CE13">
        <f>SUMPRODUCT((M_BOM[Part Name]=$A13)*M_BOM[RM_Qty_Per_Batch]*IFERROR(INDEX(PP_Grid[#Data],M_BOM[PPGridRow],83),0))</f>
        <v/>
      </c>
      <c r="CF13">
        <f>SUMPRODUCT((M_BOM[Part Name]=$A13)*M_BOM[RM_Qty_Per_Batch]*IFERROR(INDEX(PP_Grid[#Data],M_BOM[PPGridRow],84),0))</f>
        <v/>
      </c>
      <c r="CG13">
        <f>SUMPRODUCT((M_BOM[Part Name]=$A13)*M_BOM[RM_Qty_Per_Batch]*IFERROR(INDEX(PP_Grid[#Data],M_BOM[PPGridRow],85),0))</f>
        <v/>
      </c>
      <c r="CH13">
        <f>SUMPRODUCT((M_BOM[Part Name]=$A13)*M_BOM[RM_Qty_Per_Batch]*IFERROR(INDEX(PP_Grid[#Data],M_BOM[PPGridRow],86),0))</f>
        <v/>
      </c>
      <c r="CI13">
        <f>SUMPRODUCT((M_BOM[Part Name]=$A13)*M_BOM[RM_Qty_Per_Batch]*IFERROR(INDEX(PP_Grid[#Data],M_BOM[PPGridRow],87),0))</f>
        <v/>
      </c>
      <c r="CJ13">
        <f>SUMPRODUCT((M_BOM[Part Name]=$A13)*M_BOM[RM_Qty_Per_Batch]*IFERROR(INDEX(PP_Grid[#Data],M_BOM[PPGridRow],88),0))</f>
        <v/>
      </c>
      <c r="CK13">
        <f>SUMPRODUCT((M_BOM[Part Name]=$A13)*M_BOM[RM_Qty_Per_Batch]*IFERROR(INDEX(PP_Grid[#Data],M_BOM[PPGridRow],89),0))</f>
        <v/>
      </c>
      <c r="CL13">
        <f>SUMPRODUCT((M_BOM[Part Name]=$A13)*M_BOM[RM_Qty_Per_Batch]*IFERROR(INDEX(PP_Grid[#Data],M_BOM[PPGridRow],90),0))</f>
        <v/>
      </c>
      <c r="CM13">
        <f>SUMPRODUCT((M_BOM[Part Name]=$A13)*M_BOM[RM_Qty_Per_Batch]*IFERROR(INDEX(PP_Grid[#Data],M_BOM[PPGridRow],91),0))</f>
        <v/>
      </c>
      <c r="CN13">
        <f>SUMPRODUCT((M_BOM[Part Name]=$A13)*M_BOM[RM_Qty_Per_Batch]*IFERROR(INDEX(PP_Grid[#Data],M_BOM[PPGridRow],92),0))</f>
        <v/>
      </c>
      <c r="CO13">
        <f>SUMPRODUCT((M_BOM[Part Name]=$A13)*M_BOM[RM_Qty_Per_Batch]*IFERROR(INDEX(PP_Grid[#Data],M_BOM[PPGridRow],93),0))</f>
        <v/>
      </c>
      <c r="CP13">
        <f>SUMPRODUCT((M_BOM[Part Name]=$A13)*M_BOM[RM_Qty_Per_Batch]*IFERROR(INDEX(PP_Grid[#Data],M_BOM[PPGridRow],94),0))</f>
        <v/>
      </c>
      <c r="CQ13">
        <f>SUMPRODUCT((M_BOM[Part Name]=$A13)*M_BOM[RM_Qty_Per_Batch]*IFERROR(INDEX(PP_Grid[#Data],M_BOM[PPGridRow],95),0))</f>
        <v/>
      </c>
      <c r="CR13">
        <f>SUMPRODUCT((M_BOM[Part Name]=$A13)*M_BOM[RM_Qty_Per_Batch]*IFERROR(INDEX(PP_Grid[#Data],M_BOM[PPGridRow],96),0))</f>
        <v/>
      </c>
      <c r="CS13">
        <f>SUMPRODUCT((M_BOM[Part Name]=$A13)*M_BOM[RM_Qty_Per_Batch]*IFERROR(INDEX(PP_Grid[#Data],M_BOM[PPGridRow],97),0))</f>
        <v/>
      </c>
      <c r="CT13">
        <f>SUMPRODUCT((M_BOM[Part Name]=$A13)*M_BOM[RM_Qty_Per_Batch]*IFERROR(INDEX(PP_Grid[#Data],M_BOM[PPGridRow],98),0))</f>
        <v/>
      </c>
      <c r="CU13">
        <f>SUMPRODUCT((M_BOM[Part Name]=$A13)*M_BOM[RM_Qty_Per_Batch]*IFERROR(INDEX(PP_Grid[#Data],M_BOM[PPGridRow],99),0))</f>
        <v/>
      </c>
      <c r="CV13">
        <f>SUMPRODUCT((M_BOM[Part Name]=$A13)*M_BOM[RM_Qty_Per_Batch]*IFERROR(INDEX(PP_Grid[#Data],M_BOM[PPGridRow],100),0))</f>
        <v/>
      </c>
      <c r="CW13">
        <f>SUMPRODUCT((M_BOM[Part Name]=$A13)*M_BOM[RM_Qty_Per_Batch]*IFERROR(INDEX(PP_Grid[#Data],M_BOM[PPGridRow],101),0))</f>
        <v/>
      </c>
      <c r="CX13">
        <f>SUMPRODUCT((M_BOM[Part Name]=$A13)*M_BOM[RM_Qty_Per_Batch]*IFERROR(INDEX(PP_Grid[#Data],M_BOM[PPGridRow],102),0))</f>
        <v/>
      </c>
      <c r="CY13">
        <f>SUMPRODUCT((M_BOM[Part Name]=$A13)*M_BOM[RM_Qty_Per_Batch]*IFERROR(INDEX(PP_Grid[#Data],M_BOM[PPGridRow],103),0))</f>
        <v/>
      </c>
      <c r="CZ13">
        <f>SUMPRODUCT((M_BOM[Part Name]=$A13)*M_BOM[RM_Qty_Per_Batch]*IFERROR(INDEX(PP_Grid[#Data],M_BOM[PPGridRow],104),0))</f>
        <v/>
      </c>
      <c r="DA13">
        <f>SUMPRODUCT((M_BOM[Part Name]=$A13)*M_BOM[RM_Qty_Per_Batch]*IFERROR(INDEX(PP_Grid[#Data],M_BOM[PPGridRow],105),0))</f>
        <v/>
      </c>
    </row>
    <row r="14">
      <c r="A14" t="inlineStr">
        <is>
          <t>9RN</t>
        </is>
      </c>
      <c r="B14">
        <f>SUMPRODUCT((M_BOM[Part Name]=$A14)*M_BOM[RM_Qty_Per_Batch]*IFERROR(INDEX(PP_Grid[#Data],M_BOM[PPGridRow],2),0))</f>
        <v/>
      </c>
      <c r="C14">
        <f>SUMPRODUCT((M_BOM[Part Name]=$A14)*M_BOM[RM_Qty_Per_Batch]*IFERROR(INDEX(PP_Grid[#Data],M_BOM[PPGridRow],3),0))</f>
        <v/>
      </c>
      <c r="D14">
        <f>SUMPRODUCT((M_BOM[Part Name]=$A14)*M_BOM[RM_Qty_Per_Batch]*IFERROR(INDEX(PP_Grid[#Data],M_BOM[PPGridRow],4),0))</f>
        <v/>
      </c>
      <c r="E14">
        <f>SUMPRODUCT((M_BOM[Part Name]=$A14)*M_BOM[RM_Qty_Per_Batch]*IFERROR(INDEX(PP_Grid[#Data],M_BOM[PPGridRow],5),0))</f>
        <v/>
      </c>
      <c r="F14">
        <f>SUMPRODUCT((M_BOM[Part Name]=$A14)*M_BOM[RM_Qty_Per_Batch]*IFERROR(INDEX(PP_Grid[#Data],M_BOM[PPGridRow],6),0))</f>
        <v/>
      </c>
      <c r="G14">
        <f>SUMPRODUCT((M_BOM[Part Name]=$A14)*M_BOM[RM_Qty_Per_Batch]*IFERROR(INDEX(PP_Grid[#Data],M_BOM[PPGridRow],7),0))</f>
        <v/>
      </c>
      <c r="H14">
        <f>SUMPRODUCT((M_BOM[Part Name]=$A14)*M_BOM[RM_Qty_Per_Batch]*IFERROR(INDEX(PP_Grid[#Data],M_BOM[PPGridRow],8),0))</f>
        <v/>
      </c>
      <c r="I14">
        <f>SUMPRODUCT((M_BOM[Part Name]=$A14)*M_BOM[RM_Qty_Per_Batch]*IFERROR(INDEX(PP_Grid[#Data],M_BOM[PPGridRow],9),0))</f>
        <v/>
      </c>
      <c r="J14">
        <f>SUMPRODUCT((M_BOM[Part Name]=$A14)*M_BOM[RM_Qty_Per_Batch]*IFERROR(INDEX(PP_Grid[#Data],M_BOM[PPGridRow],10),0))</f>
        <v/>
      </c>
      <c r="K14">
        <f>SUMPRODUCT((M_BOM[Part Name]=$A14)*M_BOM[RM_Qty_Per_Batch]*IFERROR(INDEX(PP_Grid[#Data],M_BOM[PPGridRow],11),0))</f>
        <v/>
      </c>
      <c r="L14">
        <f>SUMPRODUCT((M_BOM[Part Name]=$A14)*M_BOM[RM_Qty_Per_Batch]*IFERROR(INDEX(PP_Grid[#Data],M_BOM[PPGridRow],12),0))</f>
        <v/>
      </c>
      <c r="M14">
        <f>SUMPRODUCT((M_BOM[Part Name]=$A14)*M_BOM[RM_Qty_Per_Batch]*IFERROR(INDEX(PP_Grid[#Data],M_BOM[PPGridRow],13),0))</f>
        <v/>
      </c>
      <c r="N14">
        <f>SUMPRODUCT((M_BOM[Part Name]=$A14)*M_BOM[RM_Qty_Per_Batch]*IFERROR(INDEX(PP_Grid[#Data],M_BOM[PPGridRow],14),0))</f>
        <v/>
      </c>
      <c r="O14">
        <f>SUMPRODUCT((M_BOM[Part Name]=$A14)*M_BOM[RM_Qty_Per_Batch]*IFERROR(INDEX(PP_Grid[#Data],M_BOM[PPGridRow],15),0))</f>
        <v/>
      </c>
      <c r="P14">
        <f>SUMPRODUCT((M_BOM[Part Name]=$A14)*M_BOM[RM_Qty_Per_Batch]*IFERROR(INDEX(PP_Grid[#Data],M_BOM[PPGridRow],16),0))</f>
        <v/>
      </c>
      <c r="Q14">
        <f>SUMPRODUCT((M_BOM[Part Name]=$A14)*M_BOM[RM_Qty_Per_Batch]*IFERROR(INDEX(PP_Grid[#Data],M_BOM[PPGridRow],17),0))</f>
        <v/>
      </c>
      <c r="R14">
        <f>SUMPRODUCT((M_BOM[Part Name]=$A14)*M_BOM[RM_Qty_Per_Batch]*IFERROR(INDEX(PP_Grid[#Data],M_BOM[PPGridRow],18),0))</f>
        <v/>
      </c>
      <c r="S14">
        <f>SUMPRODUCT((M_BOM[Part Name]=$A14)*M_BOM[RM_Qty_Per_Batch]*IFERROR(INDEX(PP_Grid[#Data],M_BOM[PPGridRow],19),0))</f>
        <v/>
      </c>
      <c r="T14">
        <f>SUMPRODUCT((M_BOM[Part Name]=$A14)*M_BOM[RM_Qty_Per_Batch]*IFERROR(INDEX(PP_Grid[#Data],M_BOM[PPGridRow],20),0))</f>
        <v/>
      </c>
      <c r="U14">
        <f>SUMPRODUCT((M_BOM[Part Name]=$A14)*M_BOM[RM_Qty_Per_Batch]*IFERROR(INDEX(PP_Grid[#Data],M_BOM[PPGridRow],21),0))</f>
        <v/>
      </c>
      <c r="V14">
        <f>SUMPRODUCT((M_BOM[Part Name]=$A14)*M_BOM[RM_Qty_Per_Batch]*IFERROR(INDEX(PP_Grid[#Data],M_BOM[PPGridRow],22),0))</f>
        <v/>
      </c>
      <c r="W14">
        <f>SUMPRODUCT((M_BOM[Part Name]=$A14)*M_BOM[RM_Qty_Per_Batch]*IFERROR(INDEX(PP_Grid[#Data],M_BOM[PPGridRow],23),0))</f>
        <v/>
      </c>
      <c r="X14">
        <f>SUMPRODUCT((M_BOM[Part Name]=$A14)*M_BOM[RM_Qty_Per_Batch]*IFERROR(INDEX(PP_Grid[#Data],M_BOM[PPGridRow],24),0))</f>
        <v/>
      </c>
      <c r="Y14">
        <f>SUMPRODUCT((M_BOM[Part Name]=$A14)*M_BOM[RM_Qty_Per_Batch]*IFERROR(INDEX(PP_Grid[#Data],M_BOM[PPGridRow],25),0))</f>
        <v/>
      </c>
      <c r="Z14">
        <f>SUMPRODUCT((M_BOM[Part Name]=$A14)*M_BOM[RM_Qty_Per_Batch]*IFERROR(INDEX(PP_Grid[#Data],M_BOM[PPGridRow],26),0))</f>
        <v/>
      </c>
      <c r="AA14">
        <f>SUMPRODUCT((M_BOM[Part Name]=$A14)*M_BOM[RM_Qty_Per_Batch]*IFERROR(INDEX(PP_Grid[#Data],M_BOM[PPGridRow],27),0))</f>
        <v/>
      </c>
      <c r="AB14">
        <f>SUMPRODUCT((M_BOM[Part Name]=$A14)*M_BOM[RM_Qty_Per_Batch]*IFERROR(INDEX(PP_Grid[#Data],M_BOM[PPGridRow],28),0))</f>
        <v/>
      </c>
      <c r="AC14">
        <f>SUMPRODUCT((M_BOM[Part Name]=$A14)*M_BOM[RM_Qty_Per_Batch]*IFERROR(INDEX(PP_Grid[#Data],M_BOM[PPGridRow],29),0))</f>
        <v/>
      </c>
      <c r="AD14">
        <f>SUMPRODUCT((M_BOM[Part Name]=$A14)*M_BOM[RM_Qty_Per_Batch]*IFERROR(INDEX(PP_Grid[#Data],M_BOM[PPGridRow],30),0))</f>
        <v/>
      </c>
      <c r="AE14">
        <f>SUMPRODUCT((M_BOM[Part Name]=$A14)*M_BOM[RM_Qty_Per_Batch]*IFERROR(INDEX(PP_Grid[#Data],M_BOM[PPGridRow],31),0))</f>
        <v/>
      </c>
      <c r="AF14">
        <f>SUMPRODUCT((M_BOM[Part Name]=$A14)*M_BOM[RM_Qty_Per_Batch]*IFERROR(INDEX(PP_Grid[#Data],M_BOM[PPGridRow],32),0))</f>
        <v/>
      </c>
      <c r="AG14">
        <f>SUMPRODUCT((M_BOM[Part Name]=$A14)*M_BOM[RM_Qty_Per_Batch]*IFERROR(INDEX(PP_Grid[#Data],M_BOM[PPGridRow],33),0))</f>
        <v/>
      </c>
      <c r="AH14">
        <f>SUMPRODUCT((M_BOM[Part Name]=$A14)*M_BOM[RM_Qty_Per_Batch]*IFERROR(INDEX(PP_Grid[#Data],M_BOM[PPGridRow],34),0))</f>
        <v/>
      </c>
      <c r="AI14">
        <f>SUMPRODUCT((M_BOM[Part Name]=$A14)*M_BOM[RM_Qty_Per_Batch]*IFERROR(INDEX(PP_Grid[#Data],M_BOM[PPGridRow],35),0))</f>
        <v/>
      </c>
      <c r="AJ14">
        <f>SUMPRODUCT((M_BOM[Part Name]=$A14)*M_BOM[RM_Qty_Per_Batch]*IFERROR(INDEX(PP_Grid[#Data],M_BOM[PPGridRow],36),0))</f>
        <v/>
      </c>
      <c r="AK14">
        <f>SUMPRODUCT((M_BOM[Part Name]=$A14)*M_BOM[RM_Qty_Per_Batch]*IFERROR(INDEX(PP_Grid[#Data],M_BOM[PPGridRow],37),0))</f>
        <v/>
      </c>
      <c r="AL14">
        <f>SUMPRODUCT((M_BOM[Part Name]=$A14)*M_BOM[RM_Qty_Per_Batch]*IFERROR(INDEX(PP_Grid[#Data],M_BOM[PPGridRow],38),0))</f>
        <v/>
      </c>
      <c r="AM14">
        <f>SUMPRODUCT((M_BOM[Part Name]=$A14)*M_BOM[RM_Qty_Per_Batch]*IFERROR(INDEX(PP_Grid[#Data],M_BOM[PPGridRow],39),0))</f>
        <v/>
      </c>
      <c r="AN14">
        <f>SUMPRODUCT((M_BOM[Part Name]=$A14)*M_BOM[RM_Qty_Per_Batch]*IFERROR(INDEX(PP_Grid[#Data],M_BOM[PPGridRow],40),0))</f>
        <v/>
      </c>
      <c r="AO14">
        <f>SUMPRODUCT((M_BOM[Part Name]=$A14)*M_BOM[RM_Qty_Per_Batch]*IFERROR(INDEX(PP_Grid[#Data],M_BOM[PPGridRow],41),0))</f>
        <v/>
      </c>
      <c r="AP14">
        <f>SUMPRODUCT((M_BOM[Part Name]=$A14)*M_BOM[RM_Qty_Per_Batch]*IFERROR(INDEX(PP_Grid[#Data],M_BOM[PPGridRow],42),0))</f>
        <v/>
      </c>
      <c r="AQ14">
        <f>SUMPRODUCT((M_BOM[Part Name]=$A14)*M_BOM[RM_Qty_Per_Batch]*IFERROR(INDEX(PP_Grid[#Data],M_BOM[PPGridRow],43),0))</f>
        <v/>
      </c>
      <c r="AR14">
        <f>SUMPRODUCT((M_BOM[Part Name]=$A14)*M_BOM[RM_Qty_Per_Batch]*IFERROR(INDEX(PP_Grid[#Data],M_BOM[PPGridRow],44),0))</f>
        <v/>
      </c>
      <c r="AS14">
        <f>SUMPRODUCT((M_BOM[Part Name]=$A14)*M_BOM[RM_Qty_Per_Batch]*IFERROR(INDEX(PP_Grid[#Data],M_BOM[PPGridRow],45),0))</f>
        <v/>
      </c>
      <c r="AT14">
        <f>SUMPRODUCT((M_BOM[Part Name]=$A14)*M_BOM[RM_Qty_Per_Batch]*IFERROR(INDEX(PP_Grid[#Data],M_BOM[PPGridRow],46),0))</f>
        <v/>
      </c>
      <c r="AU14">
        <f>SUMPRODUCT((M_BOM[Part Name]=$A14)*M_BOM[RM_Qty_Per_Batch]*IFERROR(INDEX(PP_Grid[#Data],M_BOM[PPGridRow],47),0))</f>
        <v/>
      </c>
      <c r="AV14">
        <f>SUMPRODUCT((M_BOM[Part Name]=$A14)*M_BOM[RM_Qty_Per_Batch]*IFERROR(INDEX(PP_Grid[#Data],M_BOM[PPGridRow],48),0))</f>
        <v/>
      </c>
      <c r="AW14">
        <f>SUMPRODUCT((M_BOM[Part Name]=$A14)*M_BOM[RM_Qty_Per_Batch]*IFERROR(INDEX(PP_Grid[#Data],M_BOM[PPGridRow],49),0))</f>
        <v/>
      </c>
      <c r="AX14">
        <f>SUMPRODUCT((M_BOM[Part Name]=$A14)*M_BOM[RM_Qty_Per_Batch]*IFERROR(INDEX(PP_Grid[#Data],M_BOM[PPGridRow],50),0))</f>
        <v/>
      </c>
      <c r="AY14">
        <f>SUMPRODUCT((M_BOM[Part Name]=$A14)*M_BOM[RM_Qty_Per_Batch]*IFERROR(INDEX(PP_Grid[#Data],M_BOM[PPGridRow],51),0))</f>
        <v/>
      </c>
      <c r="AZ14">
        <f>SUMPRODUCT((M_BOM[Part Name]=$A14)*M_BOM[RM_Qty_Per_Batch]*IFERROR(INDEX(PP_Grid[#Data],M_BOM[PPGridRow],52),0))</f>
        <v/>
      </c>
      <c r="BA14">
        <f>SUMPRODUCT((M_BOM[Part Name]=$A14)*M_BOM[RM_Qty_Per_Batch]*IFERROR(INDEX(PP_Grid[#Data],M_BOM[PPGridRow],53),0))</f>
        <v/>
      </c>
      <c r="BB14">
        <f>SUMPRODUCT((M_BOM[Part Name]=$A14)*M_BOM[RM_Qty_Per_Batch]*IFERROR(INDEX(PP_Grid[#Data],M_BOM[PPGridRow],54),0))</f>
        <v/>
      </c>
      <c r="BC14">
        <f>SUMPRODUCT((M_BOM[Part Name]=$A14)*M_BOM[RM_Qty_Per_Batch]*IFERROR(INDEX(PP_Grid[#Data],M_BOM[PPGridRow],55),0))</f>
        <v/>
      </c>
      <c r="BD14">
        <f>SUMPRODUCT((M_BOM[Part Name]=$A14)*M_BOM[RM_Qty_Per_Batch]*IFERROR(INDEX(PP_Grid[#Data],M_BOM[PPGridRow],56),0))</f>
        <v/>
      </c>
      <c r="BE14">
        <f>SUMPRODUCT((M_BOM[Part Name]=$A14)*M_BOM[RM_Qty_Per_Batch]*IFERROR(INDEX(PP_Grid[#Data],M_BOM[PPGridRow],57),0))</f>
        <v/>
      </c>
      <c r="BF14">
        <f>SUMPRODUCT((M_BOM[Part Name]=$A14)*M_BOM[RM_Qty_Per_Batch]*IFERROR(INDEX(PP_Grid[#Data],M_BOM[PPGridRow],58),0))</f>
        <v/>
      </c>
      <c r="BG14">
        <f>SUMPRODUCT((M_BOM[Part Name]=$A14)*M_BOM[RM_Qty_Per_Batch]*IFERROR(INDEX(PP_Grid[#Data],M_BOM[PPGridRow],59),0))</f>
        <v/>
      </c>
      <c r="BH14">
        <f>SUMPRODUCT((M_BOM[Part Name]=$A14)*M_BOM[RM_Qty_Per_Batch]*IFERROR(INDEX(PP_Grid[#Data],M_BOM[PPGridRow],60),0))</f>
        <v/>
      </c>
      <c r="BI14">
        <f>SUMPRODUCT((M_BOM[Part Name]=$A14)*M_BOM[RM_Qty_Per_Batch]*IFERROR(INDEX(PP_Grid[#Data],M_BOM[PPGridRow],61),0))</f>
        <v/>
      </c>
      <c r="BJ14">
        <f>SUMPRODUCT((M_BOM[Part Name]=$A14)*M_BOM[RM_Qty_Per_Batch]*IFERROR(INDEX(PP_Grid[#Data],M_BOM[PPGridRow],62),0))</f>
        <v/>
      </c>
      <c r="BK14">
        <f>SUMPRODUCT((M_BOM[Part Name]=$A14)*M_BOM[RM_Qty_Per_Batch]*IFERROR(INDEX(PP_Grid[#Data],M_BOM[PPGridRow],63),0))</f>
        <v/>
      </c>
      <c r="BL14">
        <f>SUMPRODUCT((M_BOM[Part Name]=$A14)*M_BOM[RM_Qty_Per_Batch]*IFERROR(INDEX(PP_Grid[#Data],M_BOM[PPGridRow],64),0))</f>
        <v/>
      </c>
      <c r="BM14">
        <f>SUMPRODUCT((M_BOM[Part Name]=$A14)*M_BOM[RM_Qty_Per_Batch]*IFERROR(INDEX(PP_Grid[#Data],M_BOM[PPGridRow],65),0))</f>
        <v/>
      </c>
      <c r="BN14">
        <f>SUMPRODUCT((M_BOM[Part Name]=$A14)*M_BOM[RM_Qty_Per_Batch]*IFERROR(INDEX(PP_Grid[#Data],M_BOM[PPGridRow],66),0))</f>
        <v/>
      </c>
      <c r="BO14">
        <f>SUMPRODUCT((M_BOM[Part Name]=$A14)*M_BOM[RM_Qty_Per_Batch]*IFERROR(INDEX(PP_Grid[#Data],M_BOM[PPGridRow],67),0))</f>
        <v/>
      </c>
      <c r="BP14">
        <f>SUMPRODUCT((M_BOM[Part Name]=$A14)*M_BOM[RM_Qty_Per_Batch]*IFERROR(INDEX(PP_Grid[#Data],M_BOM[PPGridRow],68),0))</f>
        <v/>
      </c>
      <c r="BQ14">
        <f>SUMPRODUCT((M_BOM[Part Name]=$A14)*M_BOM[RM_Qty_Per_Batch]*IFERROR(INDEX(PP_Grid[#Data],M_BOM[PPGridRow],69),0))</f>
        <v/>
      </c>
      <c r="BR14">
        <f>SUMPRODUCT((M_BOM[Part Name]=$A14)*M_BOM[RM_Qty_Per_Batch]*IFERROR(INDEX(PP_Grid[#Data],M_BOM[PPGridRow],70),0))</f>
        <v/>
      </c>
      <c r="BS14">
        <f>SUMPRODUCT((M_BOM[Part Name]=$A14)*M_BOM[RM_Qty_Per_Batch]*IFERROR(INDEX(PP_Grid[#Data],M_BOM[PPGridRow],71),0))</f>
        <v/>
      </c>
      <c r="BT14">
        <f>SUMPRODUCT((M_BOM[Part Name]=$A14)*M_BOM[RM_Qty_Per_Batch]*IFERROR(INDEX(PP_Grid[#Data],M_BOM[PPGridRow],72),0))</f>
        <v/>
      </c>
      <c r="BU14">
        <f>SUMPRODUCT((M_BOM[Part Name]=$A14)*M_BOM[RM_Qty_Per_Batch]*IFERROR(INDEX(PP_Grid[#Data],M_BOM[PPGridRow],73),0))</f>
        <v/>
      </c>
      <c r="BV14">
        <f>SUMPRODUCT((M_BOM[Part Name]=$A14)*M_BOM[RM_Qty_Per_Batch]*IFERROR(INDEX(PP_Grid[#Data],M_BOM[PPGridRow],74),0))</f>
        <v/>
      </c>
      <c r="BW14">
        <f>SUMPRODUCT((M_BOM[Part Name]=$A14)*M_BOM[RM_Qty_Per_Batch]*IFERROR(INDEX(PP_Grid[#Data],M_BOM[PPGridRow],75),0))</f>
        <v/>
      </c>
      <c r="BX14">
        <f>SUMPRODUCT((M_BOM[Part Name]=$A14)*M_BOM[RM_Qty_Per_Batch]*IFERROR(INDEX(PP_Grid[#Data],M_BOM[PPGridRow],76),0))</f>
        <v/>
      </c>
      <c r="BY14">
        <f>SUMPRODUCT((M_BOM[Part Name]=$A14)*M_BOM[RM_Qty_Per_Batch]*IFERROR(INDEX(PP_Grid[#Data],M_BOM[PPGridRow],77),0))</f>
        <v/>
      </c>
      <c r="BZ14">
        <f>SUMPRODUCT((M_BOM[Part Name]=$A14)*M_BOM[RM_Qty_Per_Batch]*IFERROR(INDEX(PP_Grid[#Data],M_BOM[PPGridRow],78),0))</f>
        <v/>
      </c>
      <c r="CA14">
        <f>SUMPRODUCT((M_BOM[Part Name]=$A14)*M_BOM[RM_Qty_Per_Batch]*IFERROR(INDEX(PP_Grid[#Data],M_BOM[PPGridRow],79),0))</f>
        <v/>
      </c>
      <c r="CB14">
        <f>SUMPRODUCT((M_BOM[Part Name]=$A14)*M_BOM[RM_Qty_Per_Batch]*IFERROR(INDEX(PP_Grid[#Data],M_BOM[PPGridRow],80),0))</f>
        <v/>
      </c>
      <c r="CC14">
        <f>SUMPRODUCT((M_BOM[Part Name]=$A14)*M_BOM[RM_Qty_Per_Batch]*IFERROR(INDEX(PP_Grid[#Data],M_BOM[PPGridRow],81),0))</f>
        <v/>
      </c>
      <c r="CD14">
        <f>SUMPRODUCT((M_BOM[Part Name]=$A14)*M_BOM[RM_Qty_Per_Batch]*IFERROR(INDEX(PP_Grid[#Data],M_BOM[PPGridRow],82),0))</f>
        <v/>
      </c>
      <c r="CE14">
        <f>SUMPRODUCT((M_BOM[Part Name]=$A14)*M_BOM[RM_Qty_Per_Batch]*IFERROR(INDEX(PP_Grid[#Data],M_BOM[PPGridRow],83),0))</f>
        <v/>
      </c>
      <c r="CF14">
        <f>SUMPRODUCT((M_BOM[Part Name]=$A14)*M_BOM[RM_Qty_Per_Batch]*IFERROR(INDEX(PP_Grid[#Data],M_BOM[PPGridRow],84),0))</f>
        <v/>
      </c>
      <c r="CG14">
        <f>SUMPRODUCT((M_BOM[Part Name]=$A14)*M_BOM[RM_Qty_Per_Batch]*IFERROR(INDEX(PP_Grid[#Data],M_BOM[PPGridRow],85),0))</f>
        <v/>
      </c>
      <c r="CH14">
        <f>SUMPRODUCT((M_BOM[Part Name]=$A14)*M_BOM[RM_Qty_Per_Batch]*IFERROR(INDEX(PP_Grid[#Data],M_BOM[PPGridRow],86),0))</f>
        <v/>
      </c>
      <c r="CI14">
        <f>SUMPRODUCT((M_BOM[Part Name]=$A14)*M_BOM[RM_Qty_Per_Batch]*IFERROR(INDEX(PP_Grid[#Data],M_BOM[PPGridRow],87),0))</f>
        <v/>
      </c>
      <c r="CJ14">
        <f>SUMPRODUCT((M_BOM[Part Name]=$A14)*M_BOM[RM_Qty_Per_Batch]*IFERROR(INDEX(PP_Grid[#Data],M_BOM[PPGridRow],88),0))</f>
        <v/>
      </c>
      <c r="CK14">
        <f>SUMPRODUCT((M_BOM[Part Name]=$A14)*M_BOM[RM_Qty_Per_Batch]*IFERROR(INDEX(PP_Grid[#Data],M_BOM[PPGridRow],89),0))</f>
        <v/>
      </c>
      <c r="CL14">
        <f>SUMPRODUCT((M_BOM[Part Name]=$A14)*M_BOM[RM_Qty_Per_Batch]*IFERROR(INDEX(PP_Grid[#Data],M_BOM[PPGridRow],90),0))</f>
        <v/>
      </c>
      <c r="CM14">
        <f>SUMPRODUCT((M_BOM[Part Name]=$A14)*M_BOM[RM_Qty_Per_Batch]*IFERROR(INDEX(PP_Grid[#Data],M_BOM[PPGridRow],91),0))</f>
        <v/>
      </c>
      <c r="CN14">
        <f>SUMPRODUCT((M_BOM[Part Name]=$A14)*M_BOM[RM_Qty_Per_Batch]*IFERROR(INDEX(PP_Grid[#Data],M_BOM[PPGridRow],92),0))</f>
        <v/>
      </c>
      <c r="CO14">
        <f>SUMPRODUCT((M_BOM[Part Name]=$A14)*M_BOM[RM_Qty_Per_Batch]*IFERROR(INDEX(PP_Grid[#Data],M_BOM[PPGridRow],93),0))</f>
        <v/>
      </c>
      <c r="CP14">
        <f>SUMPRODUCT((M_BOM[Part Name]=$A14)*M_BOM[RM_Qty_Per_Batch]*IFERROR(INDEX(PP_Grid[#Data],M_BOM[PPGridRow],94),0))</f>
        <v/>
      </c>
      <c r="CQ14">
        <f>SUMPRODUCT((M_BOM[Part Name]=$A14)*M_BOM[RM_Qty_Per_Batch]*IFERROR(INDEX(PP_Grid[#Data],M_BOM[PPGridRow],95),0))</f>
        <v/>
      </c>
      <c r="CR14">
        <f>SUMPRODUCT((M_BOM[Part Name]=$A14)*M_BOM[RM_Qty_Per_Batch]*IFERROR(INDEX(PP_Grid[#Data],M_BOM[PPGridRow],96),0))</f>
        <v/>
      </c>
      <c r="CS14">
        <f>SUMPRODUCT((M_BOM[Part Name]=$A14)*M_BOM[RM_Qty_Per_Batch]*IFERROR(INDEX(PP_Grid[#Data],M_BOM[PPGridRow],97),0))</f>
        <v/>
      </c>
      <c r="CT14">
        <f>SUMPRODUCT((M_BOM[Part Name]=$A14)*M_BOM[RM_Qty_Per_Batch]*IFERROR(INDEX(PP_Grid[#Data],M_BOM[PPGridRow],98),0))</f>
        <v/>
      </c>
      <c r="CU14">
        <f>SUMPRODUCT((M_BOM[Part Name]=$A14)*M_BOM[RM_Qty_Per_Batch]*IFERROR(INDEX(PP_Grid[#Data],M_BOM[PPGridRow],99),0))</f>
        <v/>
      </c>
      <c r="CV14">
        <f>SUMPRODUCT((M_BOM[Part Name]=$A14)*M_BOM[RM_Qty_Per_Batch]*IFERROR(INDEX(PP_Grid[#Data],M_BOM[PPGridRow],100),0))</f>
        <v/>
      </c>
      <c r="CW14">
        <f>SUMPRODUCT((M_BOM[Part Name]=$A14)*M_BOM[RM_Qty_Per_Batch]*IFERROR(INDEX(PP_Grid[#Data],M_BOM[PPGridRow],101),0))</f>
        <v/>
      </c>
      <c r="CX14">
        <f>SUMPRODUCT((M_BOM[Part Name]=$A14)*M_BOM[RM_Qty_Per_Batch]*IFERROR(INDEX(PP_Grid[#Data],M_BOM[PPGridRow],102),0))</f>
        <v/>
      </c>
      <c r="CY14">
        <f>SUMPRODUCT((M_BOM[Part Name]=$A14)*M_BOM[RM_Qty_Per_Batch]*IFERROR(INDEX(PP_Grid[#Data],M_BOM[PPGridRow],103),0))</f>
        <v/>
      </c>
      <c r="CZ14">
        <f>SUMPRODUCT((M_BOM[Part Name]=$A14)*M_BOM[RM_Qty_Per_Batch]*IFERROR(INDEX(PP_Grid[#Data],M_BOM[PPGridRow],104),0))</f>
        <v/>
      </c>
      <c r="DA14">
        <f>SUMPRODUCT((M_BOM[Part Name]=$A14)*M_BOM[RM_Qty_Per_Batch]*IFERROR(INDEX(PP_Grid[#Data],M_BOM[PPGridRow],105),0))</f>
        <v/>
      </c>
    </row>
    <row r="15">
      <c r="A15" t="inlineStr">
        <is>
          <t>CHEM-1400</t>
        </is>
      </c>
      <c r="B15">
        <f>SUMPRODUCT((M_BOM[Part Name]=$A15)*M_BOM[RM_Qty_Per_Batch]*IFERROR(INDEX(PP_Grid[#Data],M_BOM[PPGridRow],2),0))</f>
        <v/>
      </c>
      <c r="C15">
        <f>SUMPRODUCT((M_BOM[Part Name]=$A15)*M_BOM[RM_Qty_Per_Batch]*IFERROR(INDEX(PP_Grid[#Data],M_BOM[PPGridRow],3),0))</f>
        <v/>
      </c>
      <c r="D15">
        <f>SUMPRODUCT((M_BOM[Part Name]=$A15)*M_BOM[RM_Qty_Per_Batch]*IFERROR(INDEX(PP_Grid[#Data],M_BOM[PPGridRow],4),0))</f>
        <v/>
      </c>
      <c r="E15">
        <f>SUMPRODUCT((M_BOM[Part Name]=$A15)*M_BOM[RM_Qty_Per_Batch]*IFERROR(INDEX(PP_Grid[#Data],M_BOM[PPGridRow],5),0))</f>
        <v/>
      </c>
      <c r="F15">
        <f>SUMPRODUCT((M_BOM[Part Name]=$A15)*M_BOM[RM_Qty_Per_Batch]*IFERROR(INDEX(PP_Grid[#Data],M_BOM[PPGridRow],6),0))</f>
        <v/>
      </c>
      <c r="G15">
        <f>SUMPRODUCT((M_BOM[Part Name]=$A15)*M_BOM[RM_Qty_Per_Batch]*IFERROR(INDEX(PP_Grid[#Data],M_BOM[PPGridRow],7),0))</f>
        <v/>
      </c>
      <c r="H15">
        <f>SUMPRODUCT((M_BOM[Part Name]=$A15)*M_BOM[RM_Qty_Per_Batch]*IFERROR(INDEX(PP_Grid[#Data],M_BOM[PPGridRow],8),0))</f>
        <v/>
      </c>
      <c r="I15">
        <f>SUMPRODUCT((M_BOM[Part Name]=$A15)*M_BOM[RM_Qty_Per_Batch]*IFERROR(INDEX(PP_Grid[#Data],M_BOM[PPGridRow],9),0))</f>
        <v/>
      </c>
      <c r="J15">
        <f>SUMPRODUCT((M_BOM[Part Name]=$A15)*M_BOM[RM_Qty_Per_Batch]*IFERROR(INDEX(PP_Grid[#Data],M_BOM[PPGridRow],10),0))</f>
        <v/>
      </c>
      <c r="K15">
        <f>SUMPRODUCT((M_BOM[Part Name]=$A15)*M_BOM[RM_Qty_Per_Batch]*IFERROR(INDEX(PP_Grid[#Data],M_BOM[PPGridRow],11),0))</f>
        <v/>
      </c>
      <c r="L15">
        <f>SUMPRODUCT((M_BOM[Part Name]=$A15)*M_BOM[RM_Qty_Per_Batch]*IFERROR(INDEX(PP_Grid[#Data],M_BOM[PPGridRow],12),0))</f>
        <v/>
      </c>
      <c r="M15">
        <f>SUMPRODUCT((M_BOM[Part Name]=$A15)*M_BOM[RM_Qty_Per_Batch]*IFERROR(INDEX(PP_Grid[#Data],M_BOM[PPGridRow],13),0))</f>
        <v/>
      </c>
      <c r="N15">
        <f>SUMPRODUCT((M_BOM[Part Name]=$A15)*M_BOM[RM_Qty_Per_Batch]*IFERROR(INDEX(PP_Grid[#Data],M_BOM[PPGridRow],14),0))</f>
        <v/>
      </c>
      <c r="O15">
        <f>SUMPRODUCT((M_BOM[Part Name]=$A15)*M_BOM[RM_Qty_Per_Batch]*IFERROR(INDEX(PP_Grid[#Data],M_BOM[PPGridRow],15),0))</f>
        <v/>
      </c>
      <c r="P15">
        <f>SUMPRODUCT((M_BOM[Part Name]=$A15)*M_BOM[RM_Qty_Per_Batch]*IFERROR(INDEX(PP_Grid[#Data],M_BOM[PPGridRow],16),0))</f>
        <v/>
      </c>
      <c r="Q15">
        <f>SUMPRODUCT((M_BOM[Part Name]=$A15)*M_BOM[RM_Qty_Per_Batch]*IFERROR(INDEX(PP_Grid[#Data],M_BOM[PPGridRow],17),0))</f>
        <v/>
      </c>
      <c r="R15">
        <f>SUMPRODUCT((M_BOM[Part Name]=$A15)*M_BOM[RM_Qty_Per_Batch]*IFERROR(INDEX(PP_Grid[#Data],M_BOM[PPGridRow],18),0))</f>
        <v/>
      </c>
      <c r="S15">
        <f>SUMPRODUCT((M_BOM[Part Name]=$A15)*M_BOM[RM_Qty_Per_Batch]*IFERROR(INDEX(PP_Grid[#Data],M_BOM[PPGridRow],19),0))</f>
        <v/>
      </c>
      <c r="T15">
        <f>SUMPRODUCT((M_BOM[Part Name]=$A15)*M_BOM[RM_Qty_Per_Batch]*IFERROR(INDEX(PP_Grid[#Data],M_BOM[PPGridRow],20),0))</f>
        <v/>
      </c>
      <c r="U15">
        <f>SUMPRODUCT((M_BOM[Part Name]=$A15)*M_BOM[RM_Qty_Per_Batch]*IFERROR(INDEX(PP_Grid[#Data],M_BOM[PPGridRow],21),0))</f>
        <v/>
      </c>
      <c r="V15">
        <f>SUMPRODUCT((M_BOM[Part Name]=$A15)*M_BOM[RM_Qty_Per_Batch]*IFERROR(INDEX(PP_Grid[#Data],M_BOM[PPGridRow],22),0))</f>
        <v/>
      </c>
      <c r="W15">
        <f>SUMPRODUCT((M_BOM[Part Name]=$A15)*M_BOM[RM_Qty_Per_Batch]*IFERROR(INDEX(PP_Grid[#Data],M_BOM[PPGridRow],23),0))</f>
        <v/>
      </c>
      <c r="X15">
        <f>SUMPRODUCT((M_BOM[Part Name]=$A15)*M_BOM[RM_Qty_Per_Batch]*IFERROR(INDEX(PP_Grid[#Data],M_BOM[PPGridRow],24),0))</f>
        <v/>
      </c>
      <c r="Y15">
        <f>SUMPRODUCT((M_BOM[Part Name]=$A15)*M_BOM[RM_Qty_Per_Batch]*IFERROR(INDEX(PP_Grid[#Data],M_BOM[PPGridRow],25),0))</f>
        <v/>
      </c>
      <c r="Z15">
        <f>SUMPRODUCT((M_BOM[Part Name]=$A15)*M_BOM[RM_Qty_Per_Batch]*IFERROR(INDEX(PP_Grid[#Data],M_BOM[PPGridRow],26),0))</f>
        <v/>
      </c>
      <c r="AA15">
        <f>SUMPRODUCT((M_BOM[Part Name]=$A15)*M_BOM[RM_Qty_Per_Batch]*IFERROR(INDEX(PP_Grid[#Data],M_BOM[PPGridRow],27),0))</f>
        <v/>
      </c>
      <c r="AB15">
        <f>SUMPRODUCT((M_BOM[Part Name]=$A15)*M_BOM[RM_Qty_Per_Batch]*IFERROR(INDEX(PP_Grid[#Data],M_BOM[PPGridRow],28),0))</f>
        <v/>
      </c>
      <c r="AC15">
        <f>SUMPRODUCT((M_BOM[Part Name]=$A15)*M_BOM[RM_Qty_Per_Batch]*IFERROR(INDEX(PP_Grid[#Data],M_BOM[PPGridRow],29),0))</f>
        <v/>
      </c>
      <c r="AD15">
        <f>SUMPRODUCT((M_BOM[Part Name]=$A15)*M_BOM[RM_Qty_Per_Batch]*IFERROR(INDEX(PP_Grid[#Data],M_BOM[PPGridRow],30),0))</f>
        <v/>
      </c>
      <c r="AE15">
        <f>SUMPRODUCT((M_BOM[Part Name]=$A15)*M_BOM[RM_Qty_Per_Batch]*IFERROR(INDEX(PP_Grid[#Data],M_BOM[PPGridRow],31),0))</f>
        <v/>
      </c>
      <c r="AF15">
        <f>SUMPRODUCT((M_BOM[Part Name]=$A15)*M_BOM[RM_Qty_Per_Batch]*IFERROR(INDEX(PP_Grid[#Data],M_BOM[PPGridRow],32),0))</f>
        <v/>
      </c>
      <c r="AG15">
        <f>SUMPRODUCT((M_BOM[Part Name]=$A15)*M_BOM[RM_Qty_Per_Batch]*IFERROR(INDEX(PP_Grid[#Data],M_BOM[PPGridRow],33),0))</f>
        <v/>
      </c>
      <c r="AH15">
        <f>SUMPRODUCT((M_BOM[Part Name]=$A15)*M_BOM[RM_Qty_Per_Batch]*IFERROR(INDEX(PP_Grid[#Data],M_BOM[PPGridRow],34),0))</f>
        <v/>
      </c>
      <c r="AI15">
        <f>SUMPRODUCT((M_BOM[Part Name]=$A15)*M_BOM[RM_Qty_Per_Batch]*IFERROR(INDEX(PP_Grid[#Data],M_BOM[PPGridRow],35),0))</f>
        <v/>
      </c>
      <c r="AJ15">
        <f>SUMPRODUCT((M_BOM[Part Name]=$A15)*M_BOM[RM_Qty_Per_Batch]*IFERROR(INDEX(PP_Grid[#Data],M_BOM[PPGridRow],36),0))</f>
        <v/>
      </c>
      <c r="AK15">
        <f>SUMPRODUCT((M_BOM[Part Name]=$A15)*M_BOM[RM_Qty_Per_Batch]*IFERROR(INDEX(PP_Grid[#Data],M_BOM[PPGridRow],37),0))</f>
        <v/>
      </c>
      <c r="AL15">
        <f>SUMPRODUCT((M_BOM[Part Name]=$A15)*M_BOM[RM_Qty_Per_Batch]*IFERROR(INDEX(PP_Grid[#Data],M_BOM[PPGridRow],38),0))</f>
        <v/>
      </c>
      <c r="AM15">
        <f>SUMPRODUCT((M_BOM[Part Name]=$A15)*M_BOM[RM_Qty_Per_Batch]*IFERROR(INDEX(PP_Grid[#Data],M_BOM[PPGridRow],39),0))</f>
        <v/>
      </c>
      <c r="AN15">
        <f>SUMPRODUCT((M_BOM[Part Name]=$A15)*M_BOM[RM_Qty_Per_Batch]*IFERROR(INDEX(PP_Grid[#Data],M_BOM[PPGridRow],40),0))</f>
        <v/>
      </c>
      <c r="AO15">
        <f>SUMPRODUCT((M_BOM[Part Name]=$A15)*M_BOM[RM_Qty_Per_Batch]*IFERROR(INDEX(PP_Grid[#Data],M_BOM[PPGridRow],41),0))</f>
        <v/>
      </c>
      <c r="AP15">
        <f>SUMPRODUCT((M_BOM[Part Name]=$A15)*M_BOM[RM_Qty_Per_Batch]*IFERROR(INDEX(PP_Grid[#Data],M_BOM[PPGridRow],42),0))</f>
        <v/>
      </c>
      <c r="AQ15">
        <f>SUMPRODUCT((M_BOM[Part Name]=$A15)*M_BOM[RM_Qty_Per_Batch]*IFERROR(INDEX(PP_Grid[#Data],M_BOM[PPGridRow],43),0))</f>
        <v/>
      </c>
      <c r="AR15">
        <f>SUMPRODUCT((M_BOM[Part Name]=$A15)*M_BOM[RM_Qty_Per_Batch]*IFERROR(INDEX(PP_Grid[#Data],M_BOM[PPGridRow],44),0))</f>
        <v/>
      </c>
      <c r="AS15">
        <f>SUMPRODUCT((M_BOM[Part Name]=$A15)*M_BOM[RM_Qty_Per_Batch]*IFERROR(INDEX(PP_Grid[#Data],M_BOM[PPGridRow],45),0))</f>
        <v/>
      </c>
      <c r="AT15">
        <f>SUMPRODUCT((M_BOM[Part Name]=$A15)*M_BOM[RM_Qty_Per_Batch]*IFERROR(INDEX(PP_Grid[#Data],M_BOM[PPGridRow],46),0))</f>
        <v/>
      </c>
      <c r="AU15">
        <f>SUMPRODUCT((M_BOM[Part Name]=$A15)*M_BOM[RM_Qty_Per_Batch]*IFERROR(INDEX(PP_Grid[#Data],M_BOM[PPGridRow],47),0))</f>
        <v/>
      </c>
      <c r="AV15">
        <f>SUMPRODUCT((M_BOM[Part Name]=$A15)*M_BOM[RM_Qty_Per_Batch]*IFERROR(INDEX(PP_Grid[#Data],M_BOM[PPGridRow],48),0))</f>
        <v/>
      </c>
      <c r="AW15">
        <f>SUMPRODUCT((M_BOM[Part Name]=$A15)*M_BOM[RM_Qty_Per_Batch]*IFERROR(INDEX(PP_Grid[#Data],M_BOM[PPGridRow],49),0))</f>
        <v/>
      </c>
      <c r="AX15">
        <f>SUMPRODUCT((M_BOM[Part Name]=$A15)*M_BOM[RM_Qty_Per_Batch]*IFERROR(INDEX(PP_Grid[#Data],M_BOM[PPGridRow],50),0))</f>
        <v/>
      </c>
      <c r="AY15">
        <f>SUMPRODUCT((M_BOM[Part Name]=$A15)*M_BOM[RM_Qty_Per_Batch]*IFERROR(INDEX(PP_Grid[#Data],M_BOM[PPGridRow],51),0))</f>
        <v/>
      </c>
      <c r="AZ15">
        <f>SUMPRODUCT((M_BOM[Part Name]=$A15)*M_BOM[RM_Qty_Per_Batch]*IFERROR(INDEX(PP_Grid[#Data],M_BOM[PPGridRow],52),0))</f>
        <v/>
      </c>
      <c r="BA15">
        <f>SUMPRODUCT((M_BOM[Part Name]=$A15)*M_BOM[RM_Qty_Per_Batch]*IFERROR(INDEX(PP_Grid[#Data],M_BOM[PPGridRow],53),0))</f>
        <v/>
      </c>
      <c r="BB15">
        <f>SUMPRODUCT((M_BOM[Part Name]=$A15)*M_BOM[RM_Qty_Per_Batch]*IFERROR(INDEX(PP_Grid[#Data],M_BOM[PPGridRow],54),0))</f>
        <v/>
      </c>
      <c r="BC15">
        <f>SUMPRODUCT((M_BOM[Part Name]=$A15)*M_BOM[RM_Qty_Per_Batch]*IFERROR(INDEX(PP_Grid[#Data],M_BOM[PPGridRow],55),0))</f>
        <v/>
      </c>
      <c r="BD15">
        <f>SUMPRODUCT((M_BOM[Part Name]=$A15)*M_BOM[RM_Qty_Per_Batch]*IFERROR(INDEX(PP_Grid[#Data],M_BOM[PPGridRow],56),0))</f>
        <v/>
      </c>
      <c r="BE15">
        <f>SUMPRODUCT((M_BOM[Part Name]=$A15)*M_BOM[RM_Qty_Per_Batch]*IFERROR(INDEX(PP_Grid[#Data],M_BOM[PPGridRow],57),0))</f>
        <v/>
      </c>
      <c r="BF15">
        <f>SUMPRODUCT((M_BOM[Part Name]=$A15)*M_BOM[RM_Qty_Per_Batch]*IFERROR(INDEX(PP_Grid[#Data],M_BOM[PPGridRow],58),0))</f>
        <v/>
      </c>
      <c r="BG15">
        <f>SUMPRODUCT((M_BOM[Part Name]=$A15)*M_BOM[RM_Qty_Per_Batch]*IFERROR(INDEX(PP_Grid[#Data],M_BOM[PPGridRow],59),0))</f>
        <v/>
      </c>
      <c r="BH15">
        <f>SUMPRODUCT((M_BOM[Part Name]=$A15)*M_BOM[RM_Qty_Per_Batch]*IFERROR(INDEX(PP_Grid[#Data],M_BOM[PPGridRow],60),0))</f>
        <v/>
      </c>
      <c r="BI15">
        <f>SUMPRODUCT((M_BOM[Part Name]=$A15)*M_BOM[RM_Qty_Per_Batch]*IFERROR(INDEX(PP_Grid[#Data],M_BOM[PPGridRow],61),0))</f>
        <v/>
      </c>
      <c r="BJ15">
        <f>SUMPRODUCT((M_BOM[Part Name]=$A15)*M_BOM[RM_Qty_Per_Batch]*IFERROR(INDEX(PP_Grid[#Data],M_BOM[PPGridRow],62),0))</f>
        <v/>
      </c>
      <c r="BK15">
        <f>SUMPRODUCT((M_BOM[Part Name]=$A15)*M_BOM[RM_Qty_Per_Batch]*IFERROR(INDEX(PP_Grid[#Data],M_BOM[PPGridRow],63),0))</f>
        <v/>
      </c>
      <c r="BL15">
        <f>SUMPRODUCT((M_BOM[Part Name]=$A15)*M_BOM[RM_Qty_Per_Batch]*IFERROR(INDEX(PP_Grid[#Data],M_BOM[PPGridRow],64),0))</f>
        <v/>
      </c>
      <c r="BM15">
        <f>SUMPRODUCT((M_BOM[Part Name]=$A15)*M_BOM[RM_Qty_Per_Batch]*IFERROR(INDEX(PP_Grid[#Data],M_BOM[PPGridRow],65),0))</f>
        <v/>
      </c>
      <c r="BN15">
        <f>SUMPRODUCT((M_BOM[Part Name]=$A15)*M_BOM[RM_Qty_Per_Batch]*IFERROR(INDEX(PP_Grid[#Data],M_BOM[PPGridRow],66),0))</f>
        <v/>
      </c>
      <c r="BO15">
        <f>SUMPRODUCT((M_BOM[Part Name]=$A15)*M_BOM[RM_Qty_Per_Batch]*IFERROR(INDEX(PP_Grid[#Data],M_BOM[PPGridRow],67),0))</f>
        <v/>
      </c>
      <c r="BP15">
        <f>SUMPRODUCT((M_BOM[Part Name]=$A15)*M_BOM[RM_Qty_Per_Batch]*IFERROR(INDEX(PP_Grid[#Data],M_BOM[PPGridRow],68),0))</f>
        <v/>
      </c>
      <c r="BQ15">
        <f>SUMPRODUCT((M_BOM[Part Name]=$A15)*M_BOM[RM_Qty_Per_Batch]*IFERROR(INDEX(PP_Grid[#Data],M_BOM[PPGridRow],69),0))</f>
        <v/>
      </c>
      <c r="BR15">
        <f>SUMPRODUCT((M_BOM[Part Name]=$A15)*M_BOM[RM_Qty_Per_Batch]*IFERROR(INDEX(PP_Grid[#Data],M_BOM[PPGridRow],70),0))</f>
        <v/>
      </c>
      <c r="BS15">
        <f>SUMPRODUCT((M_BOM[Part Name]=$A15)*M_BOM[RM_Qty_Per_Batch]*IFERROR(INDEX(PP_Grid[#Data],M_BOM[PPGridRow],71),0))</f>
        <v/>
      </c>
      <c r="BT15">
        <f>SUMPRODUCT((M_BOM[Part Name]=$A15)*M_BOM[RM_Qty_Per_Batch]*IFERROR(INDEX(PP_Grid[#Data],M_BOM[PPGridRow],72),0))</f>
        <v/>
      </c>
      <c r="BU15">
        <f>SUMPRODUCT((M_BOM[Part Name]=$A15)*M_BOM[RM_Qty_Per_Batch]*IFERROR(INDEX(PP_Grid[#Data],M_BOM[PPGridRow],73),0))</f>
        <v/>
      </c>
      <c r="BV15">
        <f>SUMPRODUCT((M_BOM[Part Name]=$A15)*M_BOM[RM_Qty_Per_Batch]*IFERROR(INDEX(PP_Grid[#Data],M_BOM[PPGridRow],74),0))</f>
        <v/>
      </c>
      <c r="BW15">
        <f>SUMPRODUCT((M_BOM[Part Name]=$A15)*M_BOM[RM_Qty_Per_Batch]*IFERROR(INDEX(PP_Grid[#Data],M_BOM[PPGridRow],75),0))</f>
        <v/>
      </c>
      <c r="BX15">
        <f>SUMPRODUCT((M_BOM[Part Name]=$A15)*M_BOM[RM_Qty_Per_Batch]*IFERROR(INDEX(PP_Grid[#Data],M_BOM[PPGridRow],76),0))</f>
        <v/>
      </c>
      <c r="BY15">
        <f>SUMPRODUCT((M_BOM[Part Name]=$A15)*M_BOM[RM_Qty_Per_Batch]*IFERROR(INDEX(PP_Grid[#Data],M_BOM[PPGridRow],77),0))</f>
        <v/>
      </c>
      <c r="BZ15">
        <f>SUMPRODUCT((M_BOM[Part Name]=$A15)*M_BOM[RM_Qty_Per_Batch]*IFERROR(INDEX(PP_Grid[#Data],M_BOM[PPGridRow],78),0))</f>
        <v/>
      </c>
      <c r="CA15">
        <f>SUMPRODUCT((M_BOM[Part Name]=$A15)*M_BOM[RM_Qty_Per_Batch]*IFERROR(INDEX(PP_Grid[#Data],M_BOM[PPGridRow],79),0))</f>
        <v/>
      </c>
      <c r="CB15">
        <f>SUMPRODUCT((M_BOM[Part Name]=$A15)*M_BOM[RM_Qty_Per_Batch]*IFERROR(INDEX(PP_Grid[#Data],M_BOM[PPGridRow],80),0))</f>
        <v/>
      </c>
      <c r="CC15">
        <f>SUMPRODUCT((M_BOM[Part Name]=$A15)*M_BOM[RM_Qty_Per_Batch]*IFERROR(INDEX(PP_Grid[#Data],M_BOM[PPGridRow],81),0))</f>
        <v/>
      </c>
      <c r="CD15">
        <f>SUMPRODUCT((M_BOM[Part Name]=$A15)*M_BOM[RM_Qty_Per_Batch]*IFERROR(INDEX(PP_Grid[#Data],M_BOM[PPGridRow],82),0))</f>
        <v/>
      </c>
      <c r="CE15">
        <f>SUMPRODUCT((M_BOM[Part Name]=$A15)*M_BOM[RM_Qty_Per_Batch]*IFERROR(INDEX(PP_Grid[#Data],M_BOM[PPGridRow],83),0))</f>
        <v/>
      </c>
      <c r="CF15">
        <f>SUMPRODUCT((M_BOM[Part Name]=$A15)*M_BOM[RM_Qty_Per_Batch]*IFERROR(INDEX(PP_Grid[#Data],M_BOM[PPGridRow],84),0))</f>
        <v/>
      </c>
      <c r="CG15">
        <f>SUMPRODUCT((M_BOM[Part Name]=$A15)*M_BOM[RM_Qty_Per_Batch]*IFERROR(INDEX(PP_Grid[#Data],M_BOM[PPGridRow],85),0))</f>
        <v/>
      </c>
      <c r="CH15">
        <f>SUMPRODUCT((M_BOM[Part Name]=$A15)*M_BOM[RM_Qty_Per_Batch]*IFERROR(INDEX(PP_Grid[#Data],M_BOM[PPGridRow],86),0))</f>
        <v/>
      </c>
      <c r="CI15">
        <f>SUMPRODUCT((M_BOM[Part Name]=$A15)*M_BOM[RM_Qty_Per_Batch]*IFERROR(INDEX(PP_Grid[#Data],M_BOM[PPGridRow],87),0))</f>
        <v/>
      </c>
      <c r="CJ15">
        <f>SUMPRODUCT((M_BOM[Part Name]=$A15)*M_BOM[RM_Qty_Per_Batch]*IFERROR(INDEX(PP_Grid[#Data],M_BOM[PPGridRow],88),0))</f>
        <v/>
      </c>
      <c r="CK15">
        <f>SUMPRODUCT((M_BOM[Part Name]=$A15)*M_BOM[RM_Qty_Per_Batch]*IFERROR(INDEX(PP_Grid[#Data],M_BOM[PPGridRow],89),0))</f>
        <v/>
      </c>
      <c r="CL15">
        <f>SUMPRODUCT((M_BOM[Part Name]=$A15)*M_BOM[RM_Qty_Per_Batch]*IFERROR(INDEX(PP_Grid[#Data],M_BOM[PPGridRow],90),0))</f>
        <v/>
      </c>
      <c r="CM15">
        <f>SUMPRODUCT((M_BOM[Part Name]=$A15)*M_BOM[RM_Qty_Per_Batch]*IFERROR(INDEX(PP_Grid[#Data],M_BOM[PPGridRow],91),0))</f>
        <v/>
      </c>
      <c r="CN15">
        <f>SUMPRODUCT((M_BOM[Part Name]=$A15)*M_BOM[RM_Qty_Per_Batch]*IFERROR(INDEX(PP_Grid[#Data],M_BOM[PPGridRow],92),0))</f>
        <v/>
      </c>
      <c r="CO15">
        <f>SUMPRODUCT((M_BOM[Part Name]=$A15)*M_BOM[RM_Qty_Per_Batch]*IFERROR(INDEX(PP_Grid[#Data],M_BOM[PPGridRow],93),0))</f>
        <v/>
      </c>
      <c r="CP15">
        <f>SUMPRODUCT((M_BOM[Part Name]=$A15)*M_BOM[RM_Qty_Per_Batch]*IFERROR(INDEX(PP_Grid[#Data],M_BOM[PPGridRow],94),0))</f>
        <v/>
      </c>
      <c r="CQ15">
        <f>SUMPRODUCT((M_BOM[Part Name]=$A15)*M_BOM[RM_Qty_Per_Batch]*IFERROR(INDEX(PP_Grid[#Data],M_BOM[PPGridRow],95),0))</f>
        <v/>
      </c>
      <c r="CR15">
        <f>SUMPRODUCT((M_BOM[Part Name]=$A15)*M_BOM[RM_Qty_Per_Batch]*IFERROR(INDEX(PP_Grid[#Data],M_BOM[PPGridRow],96),0))</f>
        <v/>
      </c>
      <c r="CS15">
        <f>SUMPRODUCT((M_BOM[Part Name]=$A15)*M_BOM[RM_Qty_Per_Batch]*IFERROR(INDEX(PP_Grid[#Data],M_BOM[PPGridRow],97),0))</f>
        <v/>
      </c>
      <c r="CT15">
        <f>SUMPRODUCT((M_BOM[Part Name]=$A15)*M_BOM[RM_Qty_Per_Batch]*IFERROR(INDEX(PP_Grid[#Data],M_BOM[PPGridRow],98),0))</f>
        <v/>
      </c>
      <c r="CU15">
        <f>SUMPRODUCT((M_BOM[Part Name]=$A15)*M_BOM[RM_Qty_Per_Batch]*IFERROR(INDEX(PP_Grid[#Data],M_BOM[PPGridRow],99),0))</f>
        <v/>
      </c>
      <c r="CV15">
        <f>SUMPRODUCT((M_BOM[Part Name]=$A15)*M_BOM[RM_Qty_Per_Batch]*IFERROR(INDEX(PP_Grid[#Data],M_BOM[PPGridRow],100),0))</f>
        <v/>
      </c>
      <c r="CW15">
        <f>SUMPRODUCT((M_BOM[Part Name]=$A15)*M_BOM[RM_Qty_Per_Batch]*IFERROR(INDEX(PP_Grid[#Data],M_BOM[PPGridRow],101),0))</f>
        <v/>
      </c>
      <c r="CX15">
        <f>SUMPRODUCT((M_BOM[Part Name]=$A15)*M_BOM[RM_Qty_Per_Batch]*IFERROR(INDEX(PP_Grid[#Data],M_BOM[PPGridRow],102),0))</f>
        <v/>
      </c>
      <c r="CY15">
        <f>SUMPRODUCT((M_BOM[Part Name]=$A15)*M_BOM[RM_Qty_Per_Batch]*IFERROR(INDEX(PP_Grid[#Data],M_BOM[PPGridRow],103),0))</f>
        <v/>
      </c>
      <c r="CZ15">
        <f>SUMPRODUCT((M_BOM[Part Name]=$A15)*M_BOM[RM_Qty_Per_Batch]*IFERROR(INDEX(PP_Grid[#Data],M_BOM[PPGridRow],104),0))</f>
        <v/>
      </c>
      <c r="DA15">
        <f>SUMPRODUCT((M_BOM[Part Name]=$A15)*M_BOM[RM_Qty_Per_Batch]*IFERROR(INDEX(PP_Grid[#Data],M_BOM[PPGridRow],105),0))</f>
        <v/>
      </c>
    </row>
    <row r="16">
      <c r="A16" t="inlineStr">
        <is>
          <t>CHEM-1570</t>
        </is>
      </c>
      <c r="B16">
        <f>SUMPRODUCT((M_BOM[Part Name]=$A16)*M_BOM[RM_Qty_Per_Batch]*IFERROR(INDEX(PP_Grid[#Data],M_BOM[PPGridRow],2),0))</f>
        <v/>
      </c>
      <c r="C16">
        <f>SUMPRODUCT((M_BOM[Part Name]=$A16)*M_BOM[RM_Qty_Per_Batch]*IFERROR(INDEX(PP_Grid[#Data],M_BOM[PPGridRow],3),0))</f>
        <v/>
      </c>
      <c r="D16">
        <f>SUMPRODUCT((M_BOM[Part Name]=$A16)*M_BOM[RM_Qty_Per_Batch]*IFERROR(INDEX(PP_Grid[#Data],M_BOM[PPGridRow],4),0))</f>
        <v/>
      </c>
      <c r="E16">
        <f>SUMPRODUCT((M_BOM[Part Name]=$A16)*M_BOM[RM_Qty_Per_Batch]*IFERROR(INDEX(PP_Grid[#Data],M_BOM[PPGridRow],5),0))</f>
        <v/>
      </c>
      <c r="F16">
        <f>SUMPRODUCT((M_BOM[Part Name]=$A16)*M_BOM[RM_Qty_Per_Batch]*IFERROR(INDEX(PP_Grid[#Data],M_BOM[PPGridRow],6),0))</f>
        <v/>
      </c>
      <c r="G16">
        <f>SUMPRODUCT((M_BOM[Part Name]=$A16)*M_BOM[RM_Qty_Per_Batch]*IFERROR(INDEX(PP_Grid[#Data],M_BOM[PPGridRow],7),0))</f>
        <v/>
      </c>
      <c r="H16">
        <f>SUMPRODUCT((M_BOM[Part Name]=$A16)*M_BOM[RM_Qty_Per_Batch]*IFERROR(INDEX(PP_Grid[#Data],M_BOM[PPGridRow],8),0))</f>
        <v/>
      </c>
      <c r="I16">
        <f>SUMPRODUCT((M_BOM[Part Name]=$A16)*M_BOM[RM_Qty_Per_Batch]*IFERROR(INDEX(PP_Grid[#Data],M_BOM[PPGridRow],9),0))</f>
        <v/>
      </c>
      <c r="J16">
        <f>SUMPRODUCT((M_BOM[Part Name]=$A16)*M_BOM[RM_Qty_Per_Batch]*IFERROR(INDEX(PP_Grid[#Data],M_BOM[PPGridRow],10),0))</f>
        <v/>
      </c>
      <c r="K16">
        <f>SUMPRODUCT((M_BOM[Part Name]=$A16)*M_BOM[RM_Qty_Per_Batch]*IFERROR(INDEX(PP_Grid[#Data],M_BOM[PPGridRow],11),0))</f>
        <v/>
      </c>
      <c r="L16">
        <f>SUMPRODUCT((M_BOM[Part Name]=$A16)*M_BOM[RM_Qty_Per_Batch]*IFERROR(INDEX(PP_Grid[#Data],M_BOM[PPGridRow],12),0))</f>
        <v/>
      </c>
      <c r="M16">
        <f>SUMPRODUCT((M_BOM[Part Name]=$A16)*M_BOM[RM_Qty_Per_Batch]*IFERROR(INDEX(PP_Grid[#Data],M_BOM[PPGridRow],13),0))</f>
        <v/>
      </c>
      <c r="N16">
        <f>SUMPRODUCT((M_BOM[Part Name]=$A16)*M_BOM[RM_Qty_Per_Batch]*IFERROR(INDEX(PP_Grid[#Data],M_BOM[PPGridRow],14),0))</f>
        <v/>
      </c>
      <c r="O16">
        <f>SUMPRODUCT((M_BOM[Part Name]=$A16)*M_BOM[RM_Qty_Per_Batch]*IFERROR(INDEX(PP_Grid[#Data],M_BOM[PPGridRow],15),0))</f>
        <v/>
      </c>
      <c r="P16">
        <f>SUMPRODUCT((M_BOM[Part Name]=$A16)*M_BOM[RM_Qty_Per_Batch]*IFERROR(INDEX(PP_Grid[#Data],M_BOM[PPGridRow],16),0))</f>
        <v/>
      </c>
      <c r="Q16">
        <f>SUMPRODUCT((M_BOM[Part Name]=$A16)*M_BOM[RM_Qty_Per_Batch]*IFERROR(INDEX(PP_Grid[#Data],M_BOM[PPGridRow],17),0))</f>
        <v/>
      </c>
      <c r="R16">
        <f>SUMPRODUCT((M_BOM[Part Name]=$A16)*M_BOM[RM_Qty_Per_Batch]*IFERROR(INDEX(PP_Grid[#Data],M_BOM[PPGridRow],18),0))</f>
        <v/>
      </c>
      <c r="S16">
        <f>SUMPRODUCT((M_BOM[Part Name]=$A16)*M_BOM[RM_Qty_Per_Batch]*IFERROR(INDEX(PP_Grid[#Data],M_BOM[PPGridRow],19),0))</f>
        <v/>
      </c>
      <c r="T16">
        <f>SUMPRODUCT((M_BOM[Part Name]=$A16)*M_BOM[RM_Qty_Per_Batch]*IFERROR(INDEX(PP_Grid[#Data],M_BOM[PPGridRow],20),0))</f>
        <v/>
      </c>
      <c r="U16">
        <f>SUMPRODUCT((M_BOM[Part Name]=$A16)*M_BOM[RM_Qty_Per_Batch]*IFERROR(INDEX(PP_Grid[#Data],M_BOM[PPGridRow],21),0))</f>
        <v/>
      </c>
      <c r="V16">
        <f>SUMPRODUCT((M_BOM[Part Name]=$A16)*M_BOM[RM_Qty_Per_Batch]*IFERROR(INDEX(PP_Grid[#Data],M_BOM[PPGridRow],22),0))</f>
        <v/>
      </c>
      <c r="W16">
        <f>SUMPRODUCT((M_BOM[Part Name]=$A16)*M_BOM[RM_Qty_Per_Batch]*IFERROR(INDEX(PP_Grid[#Data],M_BOM[PPGridRow],23),0))</f>
        <v/>
      </c>
      <c r="X16">
        <f>SUMPRODUCT((M_BOM[Part Name]=$A16)*M_BOM[RM_Qty_Per_Batch]*IFERROR(INDEX(PP_Grid[#Data],M_BOM[PPGridRow],24),0))</f>
        <v/>
      </c>
      <c r="Y16">
        <f>SUMPRODUCT((M_BOM[Part Name]=$A16)*M_BOM[RM_Qty_Per_Batch]*IFERROR(INDEX(PP_Grid[#Data],M_BOM[PPGridRow],25),0))</f>
        <v/>
      </c>
      <c r="Z16">
        <f>SUMPRODUCT((M_BOM[Part Name]=$A16)*M_BOM[RM_Qty_Per_Batch]*IFERROR(INDEX(PP_Grid[#Data],M_BOM[PPGridRow],26),0))</f>
        <v/>
      </c>
      <c r="AA16">
        <f>SUMPRODUCT((M_BOM[Part Name]=$A16)*M_BOM[RM_Qty_Per_Batch]*IFERROR(INDEX(PP_Grid[#Data],M_BOM[PPGridRow],27),0))</f>
        <v/>
      </c>
      <c r="AB16">
        <f>SUMPRODUCT((M_BOM[Part Name]=$A16)*M_BOM[RM_Qty_Per_Batch]*IFERROR(INDEX(PP_Grid[#Data],M_BOM[PPGridRow],28),0))</f>
        <v/>
      </c>
      <c r="AC16">
        <f>SUMPRODUCT((M_BOM[Part Name]=$A16)*M_BOM[RM_Qty_Per_Batch]*IFERROR(INDEX(PP_Grid[#Data],M_BOM[PPGridRow],29),0))</f>
        <v/>
      </c>
      <c r="AD16">
        <f>SUMPRODUCT((M_BOM[Part Name]=$A16)*M_BOM[RM_Qty_Per_Batch]*IFERROR(INDEX(PP_Grid[#Data],M_BOM[PPGridRow],30),0))</f>
        <v/>
      </c>
      <c r="AE16">
        <f>SUMPRODUCT((M_BOM[Part Name]=$A16)*M_BOM[RM_Qty_Per_Batch]*IFERROR(INDEX(PP_Grid[#Data],M_BOM[PPGridRow],31),0))</f>
        <v/>
      </c>
      <c r="AF16">
        <f>SUMPRODUCT((M_BOM[Part Name]=$A16)*M_BOM[RM_Qty_Per_Batch]*IFERROR(INDEX(PP_Grid[#Data],M_BOM[PPGridRow],32),0))</f>
        <v/>
      </c>
      <c r="AG16">
        <f>SUMPRODUCT((M_BOM[Part Name]=$A16)*M_BOM[RM_Qty_Per_Batch]*IFERROR(INDEX(PP_Grid[#Data],M_BOM[PPGridRow],33),0))</f>
        <v/>
      </c>
      <c r="AH16">
        <f>SUMPRODUCT((M_BOM[Part Name]=$A16)*M_BOM[RM_Qty_Per_Batch]*IFERROR(INDEX(PP_Grid[#Data],M_BOM[PPGridRow],34),0))</f>
        <v/>
      </c>
      <c r="AI16">
        <f>SUMPRODUCT((M_BOM[Part Name]=$A16)*M_BOM[RM_Qty_Per_Batch]*IFERROR(INDEX(PP_Grid[#Data],M_BOM[PPGridRow],35),0))</f>
        <v/>
      </c>
      <c r="AJ16">
        <f>SUMPRODUCT((M_BOM[Part Name]=$A16)*M_BOM[RM_Qty_Per_Batch]*IFERROR(INDEX(PP_Grid[#Data],M_BOM[PPGridRow],36),0))</f>
        <v/>
      </c>
      <c r="AK16">
        <f>SUMPRODUCT((M_BOM[Part Name]=$A16)*M_BOM[RM_Qty_Per_Batch]*IFERROR(INDEX(PP_Grid[#Data],M_BOM[PPGridRow],37),0))</f>
        <v/>
      </c>
      <c r="AL16">
        <f>SUMPRODUCT((M_BOM[Part Name]=$A16)*M_BOM[RM_Qty_Per_Batch]*IFERROR(INDEX(PP_Grid[#Data],M_BOM[PPGridRow],38),0))</f>
        <v/>
      </c>
      <c r="AM16">
        <f>SUMPRODUCT((M_BOM[Part Name]=$A16)*M_BOM[RM_Qty_Per_Batch]*IFERROR(INDEX(PP_Grid[#Data],M_BOM[PPGridRow],39),0))</f>
        <v/>
      </c>
      <c r="AN16">
        <f>SUMPRODUCT((M_BOM[Part Name]=$A16)*M_BOM[RM_Qty_Per_Batch]*IFERROR(INDEX(PP_Grid[#Data],M_BOM[PPGridRow],40),0))</f>
        <v/>
      </c>
      <c r="AO16">
        <f>SUMPRODUCT((M_BOM[Part Name]=$A16)*M_BOM[RM_Qty_Per_Batch]*IFERROR(INDEX(PP_Grid[#Data],M_BOM[PPGridRow],41),0))</f>
        <v/>
      </c>
      <c r="AP16">
        <f>SUMPRODUCT((M_BOM[Part Name]=$A16)*M_BOM[RM_Qty_Per_Batch]*IFERROR(INDEX(PP_Grid[#Data],M_BOM[PPGridRow],42),0))</f>
        <v/>
      </c>
      <c r="AQ16">
        <f>SUMPRODUCT((M_BOM[Part Name]=$A16)*M_BOM[RM_Qty_Per_Batch]*IFERROR(INDEX(PP_Grid[#Data],M_BOM[PPGridRow],43),0))</f>
        <v/>
      </c>
      <c r="AR16">
        <f>SUMPRODUCT((M_BOM[Part Name]=$A16)*M_BOM[RM_Qty_Per_Batch]*IFERROR(INDEX(PP_Grid[#Data],M_BOM[PPGridRow],44),0))</f>
        <v/>
      </c>
      <c r="AS16">
        <f>SUMPRODUCT((M_BOM[Part Name]=$A16)*M_BOM[RM_Qty_Per_Batch]*IFERROR(INDEX(PP_Grid[#Data],M_BOM[PPGridRow],45),0))</f>
        <v/>
      </c>
      <c r="AT16">
        <f>SUMPRODUCT((M_BOM[Part Name]=$A16)*M_BOM[RM_Qty_Per_Batch]*IFERROR(INDEX(PP_Grid[#Data],M_BOM[PPGridRow],46),0))</f>
        <v/>
      </c>
      <c r="AU16">
        <f>SUMPRODUCT((M_BOM[Part Name]=$A16)*M_BOM[RM_Qty_Per_Batch]*IFERROR(INDEX(PP_Grid[#Data],M_BOM[PPGridRow],47),0))</f>
        <v/>
      </c>
      <c r="AV16">
        <f>SUMPRODUCT((M_BOM[Part Name]=$A16)*M_BOM[RM_Qty_Per_Batch]*IFERROR(INDEX(PP_Grid[#Data],M_BOM[PPGridRow],48),0))</f>
        <v/>
      </c>
      <c r="AW16">
        <f>SUMPRODUCT((M_BOM[Part Name]=$A16)*M_BOM[RM_Qty_Per_Batch]*IFERROR(INDEX(PP_Grid[#Data],M_BOM[PPGridRow],49),0))</f>
        <v/>
      </c>
      <c r="AX16">
        <f>SUMPRODUCT((M_BOM[Part Name]=$A16)*M_BOM[RM_Qty_Per_Batch]*IFERROR(INDEX(PP_Grid[#Data],M_BOM[PPGridRow],50),0))</f>
        <v/>
      </c>
      <c r="AY16">
        <f>SUMPRODUCT((M_BOM[Part Name]=$A16)*M_BOM[RM_Qty_Per_Batch]*IFERROR(INDEX(PP_Grid[#Data],M_BOM[PPGridRow],51),0))</f>
        <v/>
      </c>
      <c r="AZ16">
        <f>SUMPRODUCT((M_BOM[Part Name]=$A16)*M_BOM[RM_Qty_Per_Batch]*IFERROR(INDEX(PP_Grid[#Data],M_BOM[PPGridRow],52),0))</f>
        <v/>
      </c>
      <c r="BA16">
        <f>SUMPRODUCT((M_BOM[Part Name]=$A16)*M_BOM[RM_Qty_Per_Batch]*IFERROR(INDEX(PP_Grid[#Data],M_BOM[PPGridRow],53),0))</f>
        <v/>
      </c>
      <c r="BB16">
        <f>SUMPRODUCT((M_BOM[Part Name]=$A16)*M_BOM[RM_Qty_Per_Batch]*IFERROR(INDEX(PP_Grid[#Data],M_BOM[PPGridRow],54),0))</f>
        <v/>
      </c>
      <c r="BC16">
        <f>SUMPRODUCT((M_BOM[Part Name]=$A16)*M_BOM[RM_Qty_Per_Batch]*IFERROR(INDEX(PP_Grid[#Data],M_BOM[PPGridRow],55),0))</f>
        <v/>
      </c>
      <c r="BD16">
        <f>SUMPRODUCT((M_BOM[Part Name]=$A16)*M_BOM[RM_Qty_Per_Batch]*IFERROR(INDEX(PP_Grid[#Data],M_BOM[PPGridRow],56),0))</f>
        <v/>
      </c>
      <c r="BE16">
        <f>SUMPRODUCT((M_BOM[Part Name]=$A16)*M_BOM[RM_Qty_Per_Batch]*IFERROR(INDEX(PP_Grid[#Data],M_BOM[PPGridRow],57),0))</f>
        <v/>
      </c>
      <c r="BF16">
        <f>SUMPRODUCT((M_BOM[Part Name]=$A16)*M_BOM[RM_Qty_Per_Batch]*IFERROR(INDEX(PP_Grid[#Data],M_BOM[PPGridRow],58),0))</f>
        <v/>
      </c>
      <c r="BG16">
        <f>SUMPRODUCT((M_BOM[Part Name]=$A16)*M_BOM[RM_Qty_Per_Batch]*IFERROR(INDEX(PP_Grid[#Data],M_BOM[PPGridRow],59),0))</f>
        <v/>
      </c>
      <c r="BH16">
        <f>SUMPRODUCT((M_BOM[Part Name]=$A16)*M_BOM[RM_Qty_Per_Batch]*IFERROR(INDEX(PP_Grid[#Data],M_BOM[PPGridRow],60),0))</f>
        <v/>
      </c>
      <c r="BI16">
        <f>SUMPRODUCT((M_BOM[Part Name]=$A16)*M_BOM[RM_Qty_Per_Batch]*IFERROR(INDEX(PP_Grid[#Data],M_BOM[PPGridRow],61),0))</f>
        <v/>
      </c>
      <c r="BJ16">
        <f>SUMPRODUCT((M_BOM[Part Name]=$A16)*M_BOM[RM_Qty_Per_Batch]*IFERROR(INDEX(PP_Grid[#Data],M_BOM[PPGridRow],62),0))</f>
        <v/>
      </c>
      <c r="BK16">
        <f>SUMPRODUCT((M_BOM[Part Name]=$A16)*M_BOM[RM_Qty_Per_Batch]*IFERROR(INDEX(PP_Grid[#Data],M_BOM[PPGridRow],63),0))</f>
        <v/>
      </c>
      <c r="BL16">
        <f>SUMPRODUCT((M_BOM[Part Name]=$A16)*M_BOM[RM_Qty_Per_Batch]*IFERROR(INDEX(PP_Grid[#Data],M_BOM[PPGridRow],64),0))</f>
        <v/>
      </c>
      <c r="BM16">
        <f>SUMPRODUCT((M_BOM[Part Name]=$A16)*M_BOM[RM_Qty_Per_Batch]*IFERROR(INDEX(PP_Grid[#Data],M_BOM[PPGridRow],65),0))</f>
        <v/>
      </c>
      <c r="BN16">
        <f>SUMPRODUCT((M_BOM[Part Name]=$A16)*M_BOM[RM_Qty_Per_Batch]*IFERROR(INDEX(PP_Grid[#Data],M_BOM[PPGridRow],66),0))</f>
        <v/>
      </c>
      <c r="BO16">
        <f>SUMPRODUCT((M_BOM[Part Name]=$A16)*M_BOM[RM_Qty_Per_Batch]*IFERROR(INDEX(PP_Grid[#Data],M_BOM[PPGridRow],67),0))</f>
        <v/>
      </c>
      <c r="BP16">
        <f>SUMPRODUCT((M_BOM[Part Name]=$A16)*M_BOM[RM_Qty_Per_Batch]*IFERROR(INDEX(PP_Grid[#Data],M_BOM[PPGridRow],68),0))</f>
        <v/>
      </c>
      <c r="BQ16">
        <f>SUMPRODUCT((M_BOM[Part Name]=$A16)*M_BOM[RM_Qty_Per_Batch]*IFERROR(INDEX(PP_Grid[#Data],M_BOM[PPGridRow],69),0))</f>
        <v/>
      </c>
      <c r="BR16">
        <f>SUMPRODUCT((M_BOM[Part Name]=$A16)*M_BOM[RM_Qty_Per_Batch]*IFERROR(INDEX(PP_Grid[#Data],M_BOM[PPGridRow],70),0))</f>
        <v/>
      </c>
      <c r="BS16">
        <f>SUMPRODUCT((M_BOM[Part Name]=$A16)*M_BOM[RM_Qty_Per_Batch]*IFERROR(INDEX(PP_Grid[#Data],M_BOM[PPGridRow],71),0))</f>
        <v/>
      </c>
      <c r="BT16">
        <f>SUMPRODUCT((M_BOM[Part Name]=$A16)*M_BOM[RM_Qty_Per_Batch]*IFERROR(INDEX(PP_Grid[#Data],M_BOM[PPGridRow],72),0))</f>
        <v/>
      </c>
      <c r="BU16">
        <f>SUMPRODUCT((M_BOM[Part Name]=$A16)*M_BOM[RM_Qty_Per_Batch]*IFERROR(INDEX(PP_Grid[#Data],M_BOM[PPGridRow],73),0))</f>
        <v/>
      </c>
      <c r="BV16">
        <f>SUMPRODUCT((M_BOM[Part Name]=$A16)*M_BOM[RM_Qty_Per_Batch]*IFERROR(INDEX(PP_Grid[#Data],M_BOM[PPGridRow],74),0))</f>
        <v/>
      </c>
      <c r="BW16">
        <f>SUMPRODUCT((M_BOM[Part Name]=$A16)*M_BOM[RM_Qty_Per_Batch]*IFERROR(INDEX(PP_Grid[#Data],M_BOM[PPGridRow],75),0))</f>
        <v/>
      </c>
      <c r="BX16">
        <f>SUMPRODUCT((M_BOM[Part Name]=$A16)*M_BOM[RM_Qty_Per_Batch]*IFERROR(INDEX(PP_Grid[#Data],M_BOM[PPGridRow],76),0))</f>
        <v/>
      </c>
      <c r="BY16">
        <f>SUMPRODUCT((M_BOM[Part Name]=$A16)*M_BOM[RM_Qty_Per_Batch]*IFERROR(INDEX(PP_Grid[#Data],M_BOM[PPGridRow],77),0))</f>
        <v/>
      </c>
      <c r="BZ16">
        <f>SUMPRODUCT((M_BOM[Part Name]=$A16)*M_BOM[RM_Qty_Per_Batch]*IFERROR(INDEX(PP_Grid[#Data],M_BOM[PPGridRow],78),0))</f>
        <v/>
      </c>
      <c r="CA16">
        <f>SUMPRODUCT((M_BOM[Part Name]=$A16)*M_BOM[RM_Qty_Per_Batch]*IFERROR(INDEX(PP_Grid[#Data],M_BOM[PPGridRow],79),0))</f>
        <v/>
      </c>
      <c r="CB16">
        <f>SUMPRODUCT((M_BOM[Part Name]=$A16)*M_BOM[RM_Qty_Per_Batch]*IFERROR(INDEX(PP_Grid[#Data],M_BOM[PPGridRow],80),0))</f>
        <v/>
      </c>
      <c r="CC16">
        <f>SUMPRODUCT((M_BOM[Part Name]=$A16)*M_BOM[RM_Qty_Per_Batch]*IFERROR(INDEX(PP_Grid[#Data],M_BOM[PPGridRow],81),0))</f>
        <v/>
      </c>
      <c r="CD16">
        <f>SUMPRODUCT((M_BOM[Part Name]=$A16)*M_BOM[RM_Qty_Per_Batch]*IFERROR(INDEX(PP_Grid[#Data],M_BOM[PPGridRow],82),0))</f>
        <v/>
      </c>
      <c r="CE16">
        <f>SUMPRODUCT((M_BOM[Part Name]=$A16)*M_BOM[RM_Qty_Per_Batch]*IFERROR(INDEX(PP_Grid[#Data],M_BOM[PPGridRow],83),0))</f>
        <v/>
      </c>
      <c r="CF16">
        <f>SUMPRODUCT((M_BOM[Part Name]=$A16)*M_BOM[RM_Qty_Per_Batch]*IFERROR(INDEX(PP_Grid[#Data],M_BOM[PPGridRow],84),0))</f>
        <v/>
      </c>
      <c r="CG16">
        <f>SUMPRODUCT((M_BOM[Part Name]=$A16)*M_BOM[RM_Qty_Per_Batch]*IFERROR(INDEX(PP_Grid[#Data],M_BOM[PPGridRow],85),0))</f>
        <v/>
      </c>
      <c r="CH16">
        <f>SUMPRODUCT((M_BOM[Part Name]=$A16)*M_BOM[RM_Qty_Per_Batch]*IFERROR(INDEX(PP_Grid[#Data],M_BOM[PPGridRow],86),0))</f>
        <v/>
      </c>
      <c r="CI16">
        <f>SUMPRODUCT((M_BOM[Part Name]=$A16)*M_BOM[RM_Qty_Per_Batch]*IFERROR(INDEX(PP_Grid[#Data],M_BOM[PPGridRow],87),0))</f>
        <v/>
      </c>
      <c r="CJ16">
        <f>SUMPRODUCT((M_BOM[Part Name]=$A16)*M_BOM[RM_Qty_Per_Batch]*IFERROR(INDEX(PP_Grid[#Data],M_BOM[PPGridRow],88),0))</f>
        <v/>
      </c>
      <c r="CK16">
        <f>SUMPRODUCT((M_BOM[Part Name]=$A16)*M_BOM[RM_Qty_Per_Batch]*IFERROR(INDEX(PP_Grid[#Data],M_BOM[PPGridRow],89),0))</f>
        <v/>
      </c>
      <c r="CL16">
        <f>SUMPRODUCT((M_BOM[Part Name]=$A16)*M_BOM[RM_Qty_Per_Batch]*IFERROR(INDEX(PP_Grid[#Data],M_BOM[PPGridRow],90),0))</f>
        <v/>
      </c>
      <c r="CM16">
        <f>SUMPRODUCT((M_BOM[Part Name]=$A16)*M_BOM[RM_Qty_Per_Batch]*IFERROR(INDEX(PP_Grid[#Data],M_BOM[PPGridRow],91),0))</f>
        <v/>
      </c>
      <c r="CN16">
        <f>SUMPRODUCT((M_BOM[Part Name]=$A16)*M_BOM[RM_Qty_Per_Batch]*IFERROR(INDEX(PP_Grid[#Data],M_BOM[PPGridRow],92),0))</f>
        <v/>
      </c>
      <c r="CO16">
        <f>SUMPRODUCT((M_BOM[Part Name]=$A16)*M_BOM[RM_Qty_Per_Batch]*IFERROR(INDEX(PP_Grid[#Data],M_BOM[PPGridRow],93),0))</f>
        <v/>
      </c>
      <c r="CP16">
        <f>SUMPRODUCT((M_BOM[Part Name]=$A16)*M_BOM[RM_Qty_Per_Batch]*IFERROR(INDEX(PP_Grid[#Data],M_BOM[PPGridRow],94),0))</f>
        <v/>
      </c>
      <c r="CQ16">
        <f>SUMPRODUCT((M_BOM[Part Name]=$A16)*M_BOM[RM_Qty_Per_Batch]*IFERROR(INDEX(PP_Grid[#Data],M_BOM[PPGridRow],95),0))</f>
        <v/>
      </c>
      <c r="CR16">
        <f>SUMPRODUCT((M_BOM[Part Name]=$A16)*M_BOM[RM_Qty_Per_Batch]*IFERROR(INDEX(PP_Grid[#Data],M_BOM[PPGridRow],96),0))</f>
        <v/>
      </c>
      <c r="CS16">
        <f>SUMPRODUCT((M_BOM[Part Name]=$A16)*M_BOM[RM_Qty_Per_Batch]*IFERROR(INDEX(PP_Grid[#Data],M_BOM[PPGridRow],97),0))</f>
        <v/>
      </c>
      <c r="CT16">
        <f>SUMPRODUCT((M_BOM[Part Name]=$A16)*M_BOM[RM_Qty_Per_Batch]*IFERROR(INDEX(PP_Grid[#Data],M_BOM[PPGridRow],98),0))</f>
        <v/>
      </c>
      <c r="CU16">
        <f>SUMPRODUCT((M_BOM[Part Name]=$A16)*M_BOM[RM_Qty_Per_Batch]*IFERROR(INDEX(PP_Grid[#Data],M_BOM[PPGridRow],99),0))</f>
        <v/>
      </c>
      <c r="CV16">
        <f>SUMPRODUCT((M_BOM[Part Name]=$A16)*M_BOM[RM_Qty_Per_Batch]*IFERROR(INDEX(PP_Grid[#Data],M_BOM[PPGridRow],100),0))</f>
        <v/>
      </c>
      <c r="CW16">
        <f>SUMPRODUCT((M_BOM[Part Name]=$A16)*M_BOM[RM_Qty_Per_Batch]*IFERROR(INDEX(PP_Grid[#Data],M_BOM[PPGridRow],101),0))</f>
        <v/>
      </c>
      <c r="CX16">
        <f>SUMPRODUCT((M_BOM[Part Name]=$A16)*M_BOM[RM_Qty_Per_Batch]*IFERROR(INDEX(PP_Grid[#Data],M_BOM[PPGridRow],102),0))</f>
        <v/>
      </c>
      <c r="CY16">
        <f>SUMPRODUCT((M_BOM[Part Name]=$A16)*M_BOM[RM_Qty_Per_Batch]*IFERROR(INDEX(PP_Grid[#Data],M_BOM[PPGridRow],103),0))</f>
        <v/>
      </c>
      <c r="CZ16">
        <f>SUMPRODUCT((M_BOM[Part Name]=$A16)*M_BOM[RM_Qty_Per_Batch]*IFERROR(INDEX(PP_Grid[#Data],M_BOM[PPGridRow],104),0))</f>
        <v/>
      </c>
      <c r="DA16">
        <f>SUMPRODUCT((M_BOM[Part Name]=$A16)*M_BOM[RM_Qty_Per_Batch]*IFERROR(INDEX(PP_Grid[#Data],M_BOM[PPGridRow],105),0))</f>
        <v/>
      </c>
    </row>
    <row r="17">
      <c r="A17" t="inlineStr">
        <is>
          <t>CHEM-1650</t>
        </is>
      </c>
      <c r="B17">
        <f>SUMPRODUCT((M_BOM[Part Name]=$A17)*M_BOM[RM_Qty_Per_Batch]*IFERROR(INDEX(PP_Grid[#Data],M_BOM[PPGridRow],2),0))</f>
        <v/>
      </c>
      <c r="C17">
        <f>SUMPRODUCT((M_BOM[Part Name]=$A17)*M_BOM[RM_Qty_Per_Batch]*IFERROR(INDEX(PP_Grid[#Data],M_BOM[PPGridRow],3),0))</f>
        <v/>
      </c>
      <c r="D17">
        <f>SUMPRODUCT((M_BOM[Part Name]=$A17)*M_BOM[RM_Qty_Per_Batch]*IFERROR(INDEX(PP_Grid[#Data],M_BOM[PPGridRow],4),0))</f>
        <v/>
      </c>
      <c r="E17">
        <f>SUMPRODUCT((M_BOM[Part Name]=$A17)*M_BOM[RM_Qty_Per_Batch]*IFERROR(INDEX(PP_Grid[#Data],M_BOM[PPGridRow],5),0))</f>
        <v/>
      </c>
      <c r="F17">
        <f>SUMPRODUCT((M_BOM[Part Name]=$A17)*M_BOM[RM_Qty_Per_Batch]*IFERROR(INDEX(PP_Grid[#Data],M_BOM[PPGridRow],6),0))</f>
        <v/>
      </c>
      <c r="G17">
        <f>SUMPRODUCT((M_BOM[Part Name]=$A17)*M_BOM[RM_Qty_Per_Batch]*IFERROR(INDEX(PP_Grid[#Data],M_BOM[PPGridRow],7),0))</f>
        <v/>
      </c>
      <c r="H17">
        <f>SUMPRODUCT((M_BOM[Part Name]=$A17)*M_BOM[RM_Qty_Per_Batch]*IFERROR(INDEX(PP_Grid[#Data],M_BOM[PPGridRow],8),0))</f>
        <v/>
      </c>
      <c r="I17">
        <f>SUMPRODUCT((M_BOM[Part Name]=$A17)*M_BOM[RM_Qty_Per_Batch]*IFERROR(INDEX(PP_Grid[#Data],M_BOM[PPGridRow],9),0))</f>
        <v/>
      </c>
      <c r="J17">
        <f>SUMPRODUCT((M_BOM[Part Name]=$A17)*M_BOM[RM_Qty_Per_Batch]*IFERROR(INDEX(PP_Grid[#Data],M_BOM[PPGridRow],10),0))</f>
        <v/>
      </c>
      <c r="K17">
        <f>SUMPRODUCT((M_BOM[Part Name]=$A17)*M_BOM[RM_Qty_Per_Batch]*IFERROR(INDEX(PP_Grid[#Data],M_BOM[PPGridRow],11),0))</f>
        <v/>
      </c>
      <c r="L17">
        <f>SUMPRODUCT((M_BOM[Part Name]=$A17)*M_BOM[RM_Qty_Per_Batch]*IFERROR(INDEX(PP_Grid[#Data],M_BOM[PPGridRow],12),0))</f>
        <v/>
      </c>
      <c r="M17">
        <f>SUMPRODUCT((M_BOM[Part Name]=$A17)*M_BOM[RM_Qty_Per_Batch]*IFERROR(INDEX(PP_Grid[#Data],M_BOM[PPGridRow],13),0))</f>
        <v/>
      </c>
      <c r="N17">
        <f>SUMPRODUCT((M_BOM[Part Name]=$A17)*M_BOM[RM_Qty_Per_Batch]*IFERROR(INDEX(PP_Grid[#Data],M_BOM[PPGridRow],14),0))</f>
        <v/>
      </c>
      <c r="O17">
        <f>SUMPRODUCT((M_BOM[Part Name]=$A17)*M_BOM[RM_Qty_Per_Batch]*IFERROR(INDEX(PP_Grid[#Data],M_BOM[PPGridRow],15),0))</f>
        <v/>
      </c>
      <c r="P17">
        <f>SUMPRODUCT((M_BOM[Part Name]=$A17)*M_BOM[RM_Qty_Per_Batch]*IFERROR(INDEX(PP_Grid[#Data],M_BOM[PPGridRow],16),0))</f>
        <v/>
      </c>
      <c r="Q17">
        <f>SUMPRODUCT((M_BOM[Part Name]=$A17)*M_BOM[RM_Qty_Per_Batch]*IFERROR(INDEX(PP_Grid[#Data],M_BOM[PPGridRow],17),0))</f>
        <v/>
      </c>
      <c r="R17">
        <f>SUMPRODUCT((M_BOM[Part Name]=$A17)*M_BOM[RM_Qty_Per_Batch]*IFERROR(INDEX(PP_Grid[#Data],M_BOM[PPGridRow],18),0))</f>
        <v/>
      </c>
      <c r="S17">
        <f>SUMPRODUCT((M_BOM[Part Name]=$A17)*M_BOM[RM_Qty_Per_Batch]*IFERROR(INDEX(PP_Grid[#Data],M_BOM[PPGridRow],19),0))</f>
        <v/>
      </c>
      <c r="T17">
        <f>SUMPRODUCT((M_BOM[Part Name]=$A17)*M_BOM[RM_Qty_Per_Batch]*IFERROR(INDEX(PP_Grid[#Data],M_BOM[PPGridRow],20),0))</f>
        <v/>
      </c>
      <c r="U17">
        <f>SUMPRODUCT((M_BOM[Part Name]=$A17)*M_BOM[RM_Qty_Per_Batch]*IFERROR(INDEX(PP_Grid[#Data],M_BOM[PPGridRow],21),0))</f>
        <v/>
      </c>
      <c r="V17">
        <f>SUMPRODUCT((M_BOM[Part Name]=$A17)*M_BOM[RM_Qty_Per_Batch]*IFERROR(INDEX(PP_Grid[#Data],M_BOM[PPGridRow],22),0))</f>
        <v/>
      </c>
      <c r="W17">
        <f>SUMPRODUCT((M_BOM[Part Name]=$A17)*M_BOM[RM_Qty_Per_Batch]*IFERROR(INDEX(PP_Grid[#Data],M_BOM[PPGridRow],23),0))</f>
        <v/>
      </c>
      <c r="X17">
        <f>SUMPRODUCT((M_BOM[Part Name]=$A17)*M_BOM[RM_Qty_Per_Batch]*IFERROR(INDEX(PP_Grid[#Data],M_BOM[PPGridRow],24),0))</f>
        <v/>
      </c>
      <c r="Y17">
        <f>SUMPRODUCT((M_BOM[Part Name]=$A17)*M_BOM[RM_Qty_Per_Batch]*IFERROR(INDEX(PP_Grid[#Data],M_BOM[PPGridRow],25),0))</f>
        <v/>
      </c>
      <c r="Z17">
        <f>SUMPRODUCT((M_BOM[Part Name]=$A17)*M_BOM[RM_Qty_Per_Batch]*IFERROR(INDEX(PP_Grid[#Data],M_BOM[PPGridRow],26),0))</f>
        <v/>
      </c>
      <c r="AA17">
        <f>SUMPRODUCT((M_BOM[Part Name]=$A17)*M_BOM[RM_Qty_Per_Batch]*IFERROR(INDEX(PP_Grid[#Data],M_BOM[PPGridRow],27),0))</f>
        <v/>
      </c>
      <c r="AB17">
        <f>SUMPRODUCT((M_BOM[Part Name]=$A17)*M_BOM[RM_Qty_Per_Batch]*IFERROR(INDEX(PP_Grid[#Data],M_BOM[PPGridRow],28),0))</f>
        <v/>
      </c>
      <c r="AC17">
        <f>SUMPRODUCT((M_BOM[Part Name]=$A17)*M_BOM[RM_Qty_Per_Batch]*IFERROR(INDEX(PP_Grid[#Data],M_BOM[PPGridRow],29),0))</f>
        <v/>
      </c>
      <c r="AD17">
        <f>SUMPRODUCT((M_BOM[Part Name]=$A17)*M_BOM[RM_Qty_Per_Batch]*IFERROR(INDEX(PP_Grid[#Data],M_BOM[PPGridRow],30),0))</f>
        <v/>
      </c>
      <c r="AE17">
        <f>SUMPRODUCT((M_BOM[Part Name]=$A17)*M_BOM[RM_Qty_Per_Batch]*IFERROR(INDEX(PP_Grid[#Data],M_BOM[PPGridRow],31),0))</f>
        <v/>
      </c>
      <c r="AF17">
        <f>SUMPRODUCT((M_BOM[Part Name]=$A17)*M_BOM[RM_Qty_Per_Batch]*IFERROR(INDEX(PP_Grid[#Data],M_BOM[PPGridRow],32),0))</f>
        <v/>
      </c>
      <c r="AG17">
        <f>SUMPRODUCT((M_BOM[Part Name]=$A17)*M_BOM[RM_Qty_Per_Batch]*IFERROR(INDEX(PP_Grid[#Data],M_BOM[PPGridRow],33),0))</f>
        <v/>
      </c>
      <c r="AH17">
        <f>SUMPRODUCT((M_BOM[Part Name]=$A17)*M_BOM[RM_Qty_Per_Batch]*IFERROR(INDEX(PP_Grid[#Data],M_BOM[PPGridRow],34),0))</f>
        <v/>
      </c>
      <c r="AI17">
        <f>SUMPRODUCT((M_BOM[Part Name]=$A17)*M_BOM[RM_Qty_Per_Batch]*IFERROR(INDEX(PP_Grid[#Data],M_BOM[PPGridRow],35),0))</f>
        <v/>
      </c>
      <c r="AJ17">
        <f>SUMPRODUCT((M_BOM[Part Name]=$A17)*M_BOM[RM_Qty_Per_Batch]*IFERROR(INDEX(PP_Grid[#Data],M_BOM[PPGridRow],36),0))</f>
        <v/>
      </c>
      <c r="AK17">
        <f>SUMPRODUCT((M_BOM[Part Name]=$A17)*M_BOM[RM_Qty_Per_Batch]*IFERROR(INDEX(PP_Grid[#Data],M_BOM[PPGridRow],37),0))</f>
        <v/>
      </c>
      <c r="AL17">
        <f>SUMPRODUCT((M_BOM[Part Name]=$A17)*M_BOM[RM_Qty_Per_Batch]*IFERROR(INDEX(PP_Grid[#Data],M_BOM[PPGridRow],38),0))</f>
        <v/>
      </c>
      <c r="AM17">
        <f>SUMPRODUCT((M_BOM[Part Name]=$A17)*M_BOM[RM_Qty_Per_Batch]*IFERROR(INDEX(PP_Grid[#Data],M_BOM[PPGridRow],39),0))</f>
        <v/>
      </c>
      <c r="AN17">
        <f>SUMPRODUCT((M_BOM[Part Name]=$A17)*M_BOM[RM_Qty_Per_Batch]*IFERROR(INDEX(PP_Grid[#Data],M_BOM[PPGridRow],40),0))</f>
        <v/>
      </c>
      <c r="AO17">
        <f>SUMPRODUCT((M_BOM[Part Name]=$A17)*M_BOM[RM_Qty_Per_Batch]*IFERROR(INDEX(PP_Grid[#Data],M_BOM[PPGridRow],41),0))</f>
        <v/>
      </c>
      <c r="AP17">
        <f>SUMPRODUCT((M_BOM[Part Name]=$A17)*M_BOM[RM_Qty_Per_Batch]*IFERROR(INDEX(PP_Grid[#Data],M_BOM[PPGridRow],42),0))</f>
        <v/>
      </c>
      <c r="AQ17">
        <f>SUMPRODUCT((M_BOM[Part Name]=$A17)*M_BOM[RM_Qty_Per_Batch]*IFERROR(INDEX(PP_Grid[#Data],M_BOM[PPGridRow],43),0))</f>
        <v/>
      </c>
      <c r="AR17">
        <f>SUMPRODUCT((M_BOM[Part Name]=$A17)*M_BOM[RM_Qty_Per_Batch]*IFERROR(INDEX(PP_Grid[#Data],M_BOM[PPGridRow],44),0))</f>
        <v/>
      </c>
      <c r="AS17">
        <f>SUMPRODUCT((M_BOM[Part Name]=$A17)*M_BOM[RM_Qty_Per_Batch]*IFERROR(INDEX(PP_Grid[#Data],M_BOM[PPGridRow],45),0))</f>
        <v/>
      </c>
      <c r="AT17">
        <f>SUMPRODUCT((M_BOM[Part Name]=$A17)*M_BOM[RM_Qty_Per_Batch]*IFERROR(INDEX(PP_Grid[#Data],M_BOM[PPGridRow],46),0))</f>
        <v/>
      </c>
      <c r="AU17">
        <f>SUMPRODUCT((M_BOM[Part Name]=$A17)*M_BOM[RM_Qty_Per_Batch]*IFERROR(INDEX(PP_Grid[#Data],M_BOM[PPGridRow],47),0))</f>
        <v/>
      </c>
      <c r="AV17">
        <f>SUMPRODUCT((M_BOM[Part Name]=$A17)*M_BOM[RM_Qty_Per_Batch]*IFERROR(INDEX(PP_Grid[#Data],M_BOM[PPGridRow],48),0))</f>
        <v/>
      </c>
      <c r="AW17">
        <f>SUMPRODUCT((M_BOM[Part Name]=$A17)*M_BOM[RM_Qty_Per_Batch]*IFERROR(INDEX(PP_Grid[#Data],M_BOM[PPGridRow],49),0))</f>
        <v/>
      </c>
      <c r="AX17">
        <f>SUMPRODUCT((M_BOM[Part Name]=$A17)*M_BOM[RM_Qty_Per_Batch]*IFERROR(INDEX(PP_Grid[#Data],M_BOM[PPGridRow],50),0))</f>
        <v/>
      </c>
      <c r="AY17">
        <f>SUMPRODUCT((M_BOM[Part Name]=$A17)*M_BOM[RM_Qty_Per_Batch]*IFERROR(INDEX(PP_Grid[#Data],M_BOM[PPGridRow],51),0))</f>
        <v/>
      </c>
      <c r="AZ17">
        <f>SUMPRODUCT((M_BOM[Part Name]=$A17)*M_BOM[RM_Qty_Per_Batch]*IFERROR(INDEX(PP_Grid[#Data],M_BOM[PPGridRow],52),0))</f>
        <v/>
      </c>
      <c r="BA17">
        <f>SUMPRODUCT((M_BOM[Part Name]=$A17)*M_BOM[RM_Qty_Per_Batch]*IFERROR(INDEX(PP_Grid[#Data],M_BOM[PPGridRow],53),0))</f>
        <v/>
      </c>
      <c r="BB17">
        <f>SUMPRODUCT((M_BOM[Part Name]=$A17)*M_BOM[RM_Qty_Per_Batch]*IFERROR(INDEX(PP_Grid[#Data],M_BOM[PPGridRow],54),0))</f>
        <v/>
      </c>
      <c r="BC17">
        <f>SUMPRODUCT((M_BOM[Part Name]=$A17)*M_BOM[RM_Qty_Per_Batch]*IFERROR(INDEX(PP_Grid[#Data],M_BOM[PPGridRow],55),0))</f>
        <v/>
      </c>
      <c r="BD17">
        <f>SUMPRODUCT((M_BOM[Part Name]=$A17)*M_BOM[RM_Qty_Per_Batch]*IFERROR(INDEX(PP_Grid[#Data],M_BOM[PPGridRow],56),0))</f>
        <v/>
      </c>
      <c r="BE17">
        <f>SUMPRODUCT((M_BOM[Part Name]=$A17)*M_BOM[RM_Qty_Per_Batch]*IFERROR(INDEX(PP_Grid[#Data],M_BOM[PPGridRow],57),0))</f>
        <v/>
      </c>
      <c r="BF17">
        <f>SUMPRODUCT((M_BOM[Part Name]=$A17)*M_BOM[RM_Qty_Per_Batch]*IFERROR(INDEX(PP_Grid[#Data],M_BOM[PPGridRow],58),0))</f>
        <v/>
      </c>
      <c r="BG17">
        <f>SUMPRODUCT((M_BOM[Part Name]=$A17)*M_BOM[RM_Qty_Per_Batch]*IFERROR(INDEX(PP_Grid[#Data],M_BOM[PPGridRow],59),0))</f>
        <v/>
      </c>
      <c r="BH17">
        <f>SUMPRODUCT((M_BOM[Part Name]=$A17)*M_BOM[RM_Qty_Per_Batch]*IFERROR(INDEX(PP_Grid[#Data],M_BOM[PPGridRow],60),0))</f>
        <v/>
      </c>
      <c r="BI17">
        <f>SUMPRODUCT((M_BOM[Part Name]=$A17)*M_BOM[RM_Qty_Per_Batch]*IFERROR(INDEX(PP_Grid[#Data],M_BOM[PPGridRow],61),0))</f>
        <v/>
      </c>
      <c r="BJ17">
        <f>SUMPRODUCT((M_BOM[Part Name]=$A17)*M_BOM[RM_Qty_Per_Batch]*IFERROR(INDEX(PP_Grid[#Data],M_BOM[PPGridRow],62),0))</f>
        <v/>
      </c>
      <c r="BK17">
        <f>SUMPRODUCT((M_BOM[Part Name]=$A17)*M_BOM[RM_Qty_Per_Batch]*IFERROR(INDEX(PP_Grid[#Data],M_BOM[PPGridRow],63),0))</f>
        <v/>
      </c>
      <c r="BL17">
        <f>SUMPRODUCT((M_BOM[Part Name]=$A17)*M_BOM[RM_Qty_Per_Batch]*IFERROR(INDEX(PP_Grid[#Data],M_BOM[PPGridRow],64),0))</f>
        <v/>
      </c>
      <c r="BM17">
        <f>SUMPRODUCT((M_BOM[Part Name]=$A17)*M_BOM[RM_Qty_Per_Batch]*IFERROR(INDEX(PP_Grid[#Data],M_BOM[PPGridRow],65),0))</f>
        <v/>
      </c>
      <c r="BN17">
        <f>SUMPRODUCT((M_BOM[Part Name]=$A17)*M_BOM[RM_Qty_Per_Batch]*IFERROR(INDEX(PP_Grid[#Data],M_BOM[PPGridRow],66),0))</f>
        <v/>
      </c>
      <c r="BO17">
        <f>SUMPRODUCT((M_BOM[Part Name]=$A17)*M_BOM[RM_Qty_Per_Batch]*IFERROR(INDEX(PP_Grid[#Data],M_BOM[PPGridRow],67),0))</f>
        <v/>
      </c>
      <c r="BP17">
        <f>SUMPRODUCT((M_BOM[Part Name]=$A17)*M_BOM[RM_Qty_Per_Batch]*IFERROR(INDEX(PP_Grid[#Data],M_BOM[PPGridRow],68),0))</f>
        <v/>
      </c>
      <c r="BQ17">
        <f>SUMPRODUCT((M_BOM[Part Name]=$A17)*M_BOM[RM_Qty_Per_Batch]*IFERROR(INDEX(PP_Grid[#Data],M_BOM[PPGridRow],69),0))</f>
        <v/>
      </c>
      <c r="BR17">
        <f>SUMPRODUCT((M_BOM[Part Name]=$A17)*M_BOM[RM_Qty_Per_Batch]*IFERROR(INDEX(PP_Grid[#Data],M_BOM[PPGridRow],70),0))</f>
        <v/>
      </c>
      <c r="BS17">
        <f>SUMPRODUCT((M_BOM[Part Name]=$A17)*M_BOM[RM_Qty_Per_Batch]*IFERROR(INDEX(PP_Grid[#Data],M_BOM[PPGridRow],71),0))</f>
        <v/>
      </c>
      <c r="BT17">
        <f>SUMPRODUCT((M_BOM[Part Name]=$A17)*M_BOM[RM_Qty_Per_Batch]*IFERROR(INDEX(PP_Grid[#Data],M_BOM[PPGridRow],72),0))</f>
        <v/>
      </c>
      <c r="BU17">
        <f>SUMPRODUCT((M_BOM[Part Name]=$A17)*M_BOM[RM_Qty_Per_Batch]*IFERROR(INDEX(PP_Grid[#Data],M_BOM[PPGridRow],73),0))</f>
        <v/>
      </c>
      <c r="BV17">
        <f>SUMPRODUCT((M_BOM[Part Name]=$A17)*M_BOM[RM_Qty_Per_Batch]*IFERROR(INDEX(PP_Grid[#Data],M_BOM[PPGridRow],74),0))</f>
        <v/>
      </c>
      <c r="BW17">
        <f>SUMPRODUCT((M_BOM[Part Name]=$A17)*M_BOM[RM_Qty_Per_Batch]*IFERROR(INDEX(PP_Grid[#Data],M_BOM[PPGridRow],75),0))</f>
        <v/>
      </c>
      <c r="BX17">
        <f>SUMPRODUCT((M_BOM[Part Name]=$A17)*M_BOM[RM_Qty_Per_Batch]*IFERROR(INDEX(PP_Grid[#Data],M_BOM[PPGridRow],76),0))</f>
        <v/>
      </c>
      <c r="BY17">
        <f>SUMPRODUCT((M_BOM[Part Name]=$A17)*M_BOM[RM_Qty_Per_Batch]*IFERROR(INDEX(PP_Grid[#Data],M_BOM[PPGridRow],77),0))</f>
        <v/>
      </c>
      <c r="BZ17">
        <f>SUMPRODUCT((M_BOM[Part Name]=$A17)*M_BOM[RM_Qty_Per_Batch]*IFERROR(INDEX(PP_Grid[#Data],M_BOM[PPGridRow],78),0))</f>
        <v/>
      </c>
      <c r="CA17">
        <f>SUMPRODUCT((M_BOM[Part Name]=$A17)*M_BOM[RM_Qty_Per_Batch]*IFERROR(INDEX(PP_Grid[#Data],M_BOM[PPGridRow],79),0))</f>
        <v/>
      </c>
      <c r="CB17">
        <f>SUMPRODUCT((M_BOM[Part Name]=$A17)*M_BOM[RM_Qty_Per_Batch]*IFERROR(INDEX(PP_Grid[#Data],M_BOM[PPGridRow],80),0))</f>
        <v/>
      </c>
      <c r="CC17">
        <f>SUMPRODUCT((M_BOM[Part Name]=$A17)*M_BOM[RM_Qty_Per_Batch]*IFERROR(INDEX(PP_Grid[#Data],M_BOM[PPGridRow],81),0))</f>
        <v/>
      </c>
      <c r="CD17">
        <f>SUMPRODUCT((M_BOM[Part Name]=$A17)*M_BOM[RM_Qty_Per_Batch]*IFERROR(INDEX(PP_Grid[#Data],M_BOM[PPGridRow],82),0))</f>
        <v/>
      </c>
      <c r="CE17">
        <f>SUMPRODUCT((M_BOM[Part Name]=$A17)*M_BOM[RM_Qty_Per_Batch]*IFERROR(INDEX(PP_Grid[#Data],M_BOM[PPGridRow],83),0))</f>
        <v/>
      </c>
      <c r="CF17">
        <f>SUMPRODUCT((M_BOM[Part Name]=$A17)*M_BOM[RM_Qty_Per_Batch]*IFERROR(INDEX(PP_Grid[#Data],M_BOM[PPGridRow],84),0))</f>
        <v/>
      </c>
      <c r="CG17">
        <f>SUMPRODUCT((M_BOM[Part Name]=$A17)*M_BOM[RM_Qty_Per_Batch]*IFERROR(INDEX(PP_Grid[#Data],M_BOM[PPGridRow],85),0))</f>
        <v/>
      </c>
      <c r="CH17">
        <f>SUMPRODUCT((M_BOM[Part Name]=$A17)*M_BOM[RM_Qty_Per_Batch]*IFERROR(INDEX(PP_Grid[#Data],M_BOM[PPGridRow],86),0))</f>
        <v/>
      </c>
      <c r="CI17">
        <f>SUMPRODUCT((M_BOM[Part Name]=$A17)*M_BOM[RM_Qty_Per_Batch]*IFERROR(INDEX(PP_Grid[#Data],M_BOM[PPGridRow],87),0))</f>
        <v/>
      </c>
      <c r="CJ17">
        <f>SUMPRODUCT((M_BOM[Part Name]=$A17)*M_BOM[RM_Qty_Per_Batch]*IFERROR(INDEX(PP_Grid[#Data],M_BOM[PPGridRow],88),0))</f>
        <v/>
      </c>
      <c r="CK17">
        <f>SUMPRODUCT((M_BOM[Part Name]=$A17)*M_BOM[RM_Qty_Per_Batch]*IFERROR(INDEX(PP_Grid[#Data],M_BOM[PPGridRow],89),0))</f>
        <v/>
      </c>
      <c r="CL17">
        <f>SUMPRODUCT((M_BOM[Part Name]=$A17)*M_BOM[RM_Qty_Per_Batch]*IFERROR(INDEX(PP_Grid[#Data],M_BOM[PPGridRow],90),0))</f>
        <v/>
      </c>
      <c r="CM17">
        <f>SUMPRODUCT((M_BOM[Part Name]=$A17)*M_BOM[RM_Qty_Per_Batch]*IFERROR(INDEX(PP_Grid[#Data],M_BOM[PPGridRow],91),0))</f>
        <v/>
      </c>
      <c r="CN17">
        <f>SUMPRODUCT((M_BOM[Part Name]=$A17)*M_BOM[RM_Qty_Per_Batch]*IFERROR(INDEX(PP_Grid[#Data],M_BOM[PPGridRow],92),0))</f>
        <v/>
      </c>
      <c r="CO17">
        <f>SUMPRODUCT((M_BOM[Part Name]=$A17)*M_BOM[RM_Qty_Per_Batch]*IFERROR(INDEX(PP_Grid[#Data],M_BOM[PPGridRow],93),0))</f>
        <v/>
      </c>
      <c r="CP17">
        <f>SUMPRODUCT((M_BOM[Part Name]=$A17)*M_BOM[RM_Qty_Per_Batch]*IFERROR(INDEX(PP_Grid[#Data],M_BOM[PPGridRow],94),0))</f>
        <v/>
      </c>
      <c r="CQ17">
        <f>SUMPRODUCT((M_BOM[Part Name]=$A17)*M_BOM[RM_Qty_Per_Batch]*IFERROR(INDEX(PP_Grid[#Data],M_BOM[PPGridRow],95),0))</f>
        <v/>
      </c>
      <c r="CR17">
        <f>SUMPRODUCT((M_BOM[Part Name]=$A17)*M_BOM[RM_Qty_Per_Batch]*IFERROR(INDEX(PP_Grid[#Data],M_BOM[PPGridRow],96),0))</f>
        <v/>
      </c>
      <c r="CS17">
        <f>SUMPRODUCT((M_BOM[Part Name]=$A17)*M_BOM[RM_Qty_Per_Batch]*IFERROR(INDEX(PP_Grid[#Data],M_BOM[PPGridRow],97),0))</f>
        <v/>
      </c>
      <c r="CT17">
        <f>SUMPRODUCT((M_BOM[Part Name]=$A17)*M_BOM[RM_Qty_Per_Batch]*IFERROR(INDEX(PP_Grid[#Data],M_BOM[PPGridRow],98),0))</f>
        <v/>
      </c>
      <c r="CU17">
        <f>SUMPRODUCT((M_BOM[Part Name]=$A17)*M_BOM[RM_Qty_Per_Batch]*IFERROR(INDEX(PP_Grid[#Data],M_BOM[PPGridRow],99),0))</f>
        <v/>
      </c>
      <c r="CV17">
        <f>SUMPRODUCT((M_BOM[Part Name]=$A17)*M_BOM[RM_Qty_Per_Batch]*IFERROR(INDEX(PP_Grid[#Data],M_BOM[PPGridRow],100),0))</f>
        <v/>
      </c>
      <c r="CW17">
        <f>SUMPRODUCT((M_BOM[Part Name]=$A17)*M_BOM[RM_Qty_Per_Batch]*IFERROR(INDEX(PP_Grid[#Data],M_BOM[PPGridRow],101),0))</f>
        <v/>
      </c>
      <c r="CX17">
        <f>SUMPRODUCT((M_BOM[Part Name]=$A17)*M_BOM[RM_Qty_Per_Batch]*IFERROR(INDEX(PP_Grid[#Data],M_BOM[PPGridRow],102),0))</f>
        <v/>
      </c>
      <c r="CY17">
        <f>SUMPRODUCT((M_BOM[Part Name]=$A17)*M_BOM[RM_Qty_Per_Batch]*IFERROR(INDEX(PP_Grid[#Data],M_BOM[PPGridRow],103),0))</f>
        <v/>
      </c>
      <c r="CZ17">
        <f>SUMPRODUCT((M_BOM[Part Name]=$A17)*M_BOM[RM_Qty_Per_Batch]*IFERROR(INDEX(PP_Grid[#Data],M_BOM[PPGridRow],104),0))</f>
        <v/>
      </c>
      <c r="DA17">
        <f>SUMPRODUCT((M_BOM[Part Name]=$A17)*M_BOM[RM_Qty_Per_Batch]*IFERROR(INDEX(PP_Grid[#Data],M_BOM[PPGridRow],105),0))</f>
        <v/>
      </c>
    </row>
    <row r="18">
      <c r="A18" t="inlineStr">
        <is>
          <t>CHEM-1660</t>
        </is>
      </c>
      <c r="B18">
        <f>SUMPRODUCT((M_BOM[Part Name]=$A18)*M_BOM[RM_Qty_Per_Batch]*IFERROR(INDEX(PP_Grid[#Data],M_BOM[PPGridRow],2),0))</f>
        <v/>
      </c>
      <c r="C18">
        <f>SUMPRODUCT((M_BOM[Part Name]=$A18)*M_BOM[RM_Qty_Per_Batch]*IFERROR(INDEX(PP_Grid[#Data],M_BOM[PPGridRow],3),0))</f>
        <v/>
      </c>
      <c r="D18">
        <f>SUMPRODUCT((M_BOM[Part Name]=$A18)*M_BOM[RM_Qty_Per_Batch]*IFERROR(INDEX(PP_Grid[#Data],M_BOM[PPGridRow],4),0))</f>
        <v/>
      </c>
      <c r="E18">
        <f>SUMPRODUCT((M_BOM[Part Name]=$A18)*M_BOM[RM_Qty_Per_Batch]*IFERROR(INDEX(PP_Grid[#Data],M_BOM[PPGridRow],5),0))</f>
        <v/>
      </c>
      <c r="F18">
        <f>SUMPRODUCT((M_BOM[Part Name]=$A18)*M_BOM[RM_Qty_Per_Batch]*IFERROR(INDEX(PP_Grid[#Data],M_BOM[PPGridRow],6),0))</f>
        <v/>
      </c>
      <c r="G18">
        <f>SUMPRODUCT((M_BOM[Part Name]=$A18)*M_BOM[RM_Qty_Per_Batch]*IFERROR(INDEX(PP_Grid[#Data],M_BOM[PPGridRow],7),0))</f>
        <v/>
      </c>
      <c r="H18">
        <f>SUMPRODUCT((M_BOM[Part Name]=$A18)*M_BOM[RM_Qty_Per_Batch]*IFERROR(INDEX(PP_Grid[#Data],M_BOM[PPGridRow],8),0))</f>
        <v/>
      </c>
      <c r="I18">
        <f>SUMPRODUCT((M_BOM[Part Name]=$A18)*M_BOM[RM_Qty_Per_Batch]*IFERROR(INDEX(PP_Grid[#Data],M_BOM[PPGridRow],9),0))</f>
        <v/>
      </c>
      <c r="J18">
        <f>SUMPRODUCT((M_BOM[Part Name]=$A18)*M_BOM[RM_Qty_Per_Batch]*IFERROR(INDEX(PP_Grid[#Data],M_BOM[PPGridRow],10),0))</f>
        <v/>
      </c>
      <c r="K18">
        <f>SUMPRODUCT((M_BOM[Part Name]=$A18)*M_BOM[RM_Qty_Per_Batch]*IFERROR(INDEX(PP_Grid[#Data],M_BOM[PPGridRow],11),0))</f>
        <v/>
      </c>
      <c r="L18">
        <f>SUMPRODUCT((M_BOM[Part Name]=$A18)*M_BOM[RM_Qty_Per_Batch]*IFERROR(INDEX(PP_Grid[#Data],M_BOM[PPGridRow],12),0))</f>
        <v/>
      </c>
      <c r="M18">
        <f>SUMPRODUCT((M_BOM[Part Name]=$A18)*M_BOM[RM_Qty_Per_Batch]*IFERROR(INDEX(PP_Grid[#Data],M_BOM[PPGridRow],13),0))</f>
        <v/>
      </c>
      <c r="N18">
        <f>SUMPRODUCT((M_BOM[Part Name]=$A18)*M_BOM[RM_Qty_Per_Batch]*IFERROR(INDEX(PP_Grid[#Data],M_BOM[PPGridRow],14),0))</f>
        <v/>
      </c>
      <c r="O18">
        <f>SUMPRODUCT((M_BOM[Part Name]=$A18)*M_BOM[RM_Qty_Per_Batch]*IFERROR(INDEX(PP_Grid[#Data],M_BOM[PPGridRow],15),0))</f>
        <v/>
      </c>
      <c r="P18">
        <f>SUMPRODUCT((M_BOM[Part Name]=$A18)*M_BOM[RM_Qty_Per_Batch]*IFERROR(INDEX(PP_Grid[#Data],M_BOM[PPGridRow],16),0))</f>
        <v/>
      </c>
      <c r="Q18">
        <f>SUMPRODUCT((M_BOM[Part Name]=$A18)*M_BOM[RM_Qty_Per_Batch]*IFERROR(INDEX(PP_Grid[#Data],M_BOM[PPGridRow],17),0))</f>
        <v/>
      </c>
      <c r="R18">
        <f>SUMPRODUCT((M_BOM[Part Name]=$A18)*M_BOM[RM_Qty_Per_Batch]*IFERROR(INDEX(PP_Grid[#Data],M_BOM[PPGridRow],18),0))</f>
        <v/>
      </c>
      <c r="S18">
        <f>SUMPRODUCT((M_BOM[Part Name]=$A18)*M_BOM[RM_Qty_Per_Batch]*IFERROR(INDEX(PP_Grid[#Data],M_BOM[PPGridRow],19),0))</f>
        <v/>
      </c>
      <c r="T18">
        <f>SUMPRODUCT((M_BOM[Part Name]=$A18)*M_BOM[RM_Qty_Per_Batch]*IFERROR(INDEX(PP_Grid[#Data],M_BOM[PPGridRow],20),0))</f>
        <v/>
      </c>
      <c r="U18">
        <f>SUMPRODUCT((M_BOM[Part Name]=$A18)*M_BOM[RM_Qty_Per_Batch]*IFERROR(INDEX(PP_Grid[#Data],M_BOM[PPGridRow],21),0))</f>
        <v/>
      </c>
      <c r="V18">
        <f>SUMPRODUCT((M_BOM[Part Name]=$A18)*M_BOM[RM_Qty_Per_Batch]*IFERROR(INDEX(PP_Grid[#Data],M_BOM[PPGridRow],22),0))</f>
        <v/>
      </c>
      <c r="W18">
        <f>SUMPRODUCT((M_BOM[Part Name]=$A18)*M_BOM[RM_Qty_Per_Batch]*IFERROR(INDEX(PP_Grid[#Data],M_BOM[PPGridRow],23),0))</f>
        <v/>
      </c>
      <c r="X18">
        <f>SUMPRODUCT((M_BOM[Part Name]=$A18)*M_BOM[RM_Qty_Per_Batch]*IFERROR(INDEX(PP_Grid[#Data],M_BOM[PPGridRow],24),0))</f>
        <v/>
      </c>
      <c r="Y18">
        <f>SUMPRODUCT((M_BOM[Part Name]=$A18)*M_BOM[RM_Qty_Per_Batch]*IFERROR(INDEX(PP_Grid[#Data],M_BOM[PPGridRow],25),0))</f>
        <v/>
      </c>
      <c r="Z18">
        <f>SUMPRODUCT((M_BOM[Part Name]=$A18)*M_BOM[RM_Qty_Per_Batch]*IFERROR(INDEX(PP_Grid[#Data],M_BOM[PPGridRow],26),0))</f>
        <v/>
      </c>
      <c r="AA18">
        <f>SUMPRODUCT((M_BOM[Part Name]=$A18)*M_BOM[RM_Qty_Per_Batch]*IFERROR(INDEX(PP_Grid[#Data],M_BOM[PPGridRow],27),0))</f>
        <v/>
      </c>
      <c r="AB18">
        <f>SUMPRODUCT((M_BOM[Part Name]=$A18)*M_BOM[RM_Qty_Per_Batch]*IFERROR(INDEX(PP_Grid[#Data],M_BOM[PPGridRow],28),0))</f>
        <v/>
      </c>
      <c r="AC18">
        <f>SUMPRODUCT((M_BOM[Part Name]=$A18)*M_BOM[RM_Qty_Per_Batch]*IFERROR(INDEX(PP_Grid[#Data],M_BOM[PPGridRow],29),0))</f>
        <v/>
      </c>
      <c r="AD18">
        <f>SUMPRODUCT((M_BOM[Part Name]=$A18)*M_BOM[RM_Qty_Per_Batch]*IFERROR(INDEX(PP_Grid[#Data],M_BOM[PPGridRow],30),0))</f>
        <v/>
      </c>
      <c r="AE18">
        <f>SUMPRODUCT((M_BOM[Part Name]=$A18)*M_BOM[RM_Qty_Per_Batch]*IFERROR(INDEX(PP_Grid[#Data],M_BOM[PPGridRow],31),0))</f>
        <v/>
      </c>
      <c r="AF18">
        <f>SUMPRODUCT((M_BOM[Part Name]=$A18)*M_BOM[RM_Qty_Per_Batch]*IFERROR(INDEX(PP_Grid[#Data],M_BOM[PPGridRow],32),0))</f>
        <v/>
      </c>
      <c r="AG18">
        <f>SUMPRODUCT((M_BOM[Part Name]=$A18)*M_BOM[RM_Qty_Per_Batch]*IFERROR(INDEX(PP_Grid[#Data],M_BOM[PPGridRow],33),0))</f>
        <v/>
      </c>
      <c r="AH18">
        <f>SUMPRODUCT((M_BOM[Part Name]=$A18)*M_BOM[RM_Qty_Per_Batch]*IFERROR(INDEX(PP_Grid[#Data],M_BOM[PPGridRow],34),0))</f>
        <v/>
      </c>
      <c r="AI18">
        <f>SUMPRODUCT((M_BOM[Part Name]=$A18)*M_BOM[RM_Qty_Per_Batch]*IFERROR(INDEX(PP_Grid[#Data],M_BOM[PPGridRow],35),0))</f>
        <v/>
      </c>
      <c r="AJ18">
        <f>SUMPRODUCT((M_BOM[Part Name]=$A18)*M_BOM[RM_Qty_Per_Batch]*IFERROR(INDEX(PP_Grid[#Data],M_BOM[PPGridRow],36),0))</f>
        <v/>
      </c>
      <c r="AK18">
        <f>SUMPRODUCT((M_BOM[Part Name]=$A18)*M_BOM[RM_Qty_Per_Batch]*IFERROR(INDEX(PP_Grid[#Data],M_BOM[PPGridRow],37),0))</f>
        <v/>
      </c>
      <c r="AL18">
        <f>SUMPRODUCT((M_BOM[Part Name]=$A18)*M_BOM[RM_Qty_Per_Batch]*IFERROR(INDEX(PP_Grid[#Data],M_BOM[PPGridRow],38),0))</f>
        <v/>
      </c>
      <c r="AM18">
        <f>SUMPRODUCT((M_BOM[Part Name]=$A18)*M_BOM[RM_Qty_Per_Batch]*IFERROR(INDEX(PP_Grid[#Data],M_BOM[PPGridRow],39),0))</f>
        <v/>
      </c>
      <c r="AN18">
        <f>SUMPRODUCT((M_BOM[Part Name]=$A18)*M_BOM[RM_Qty_Per_Batch]*IFERROR(INDEX(PP_Grid[#Data],M_BOM[PPGridRow],40),0))</f>
        <v/>
      </c>
      <c r="AO18">
        <f>SUMPRODUCT((M_BOM[Part Name]=$A18)*M_BOM[RM_Qty_Per_Batch]*IFERROR(INDEX(PP_Grid[#Data],M_BOM[PPGridRow],41),0))</f>
        <v/>
      </c>
      <c r="AP18">
        <f>SUMPRODUCT((M_BOM[Part Name]=$A18)*M_BOM[RM_Qty_Per_Batch]*IFERROR(INDEX(PP_Grid[#Data],M_BOM[PPGridRow],42),0))</f>
        <v/>
      </c>
      <c r="AQ18">
        <f>SUMPRODUCT((M_BOM[Part Name]=$A18)*M_BOM[RM_Qty_Per_Batch]*IFERROR(INDEX(PP_Grid[#Data],M_BOM[PPGridRow],43),0))</f>
        <v/>
      </c>
      <c r="AR18">
        <f>SUMPRODUCT((M_BOM[Part Name]=$A18)*M_BOM[RM_Qty_Per_Batch]*IFERROR(INDEX(PP_Grid[#Data],M_BOM[PPGridRow],44),0))</f>
        <v/>
      </c>
      <c r="AS18">
        <f>SUMPRODUCT((M_BOM[Part Name]=$A18)*M_BOM[RM_Qty_Per_Batch]*IFERROR(INDEX(PP_Grid[#Data],M_BOM[PPGridRow],45),0))</f>
        <v/>
      </c>
      <c r="AT18">
        <f>SUMPRODUCT((M_BOM[Part Name]=$A18)*M_BOM[RM_Qty_Per_Batch]*IFERROR(INDEX(PP_Grid[#Data],M_BOM[PPGridRow],46),0))</f>
        <v/>
      </c>
      <c r="AU18">
        <f>SUMPRODUCT((M_BOM[Part Name]=$A18)*M_BOM[RM_Qty_Per_Batch]*IFERROR(INDEX(PP_Grid[#Data],M_BOM[PPGridRow],47),0))</f>
        <v/>
      </c>
      <c r="AV18">
        <f>SUMPRODUCT((M_BOM[Part Name]=$A18)*M_BOM[RM_Qty_Per_Batch]*IFERROR(INDEX(PP_Grid[#Data],M_BOM[PPGridRow],48),0))</f>
        <v/>
      </c>
      <c r="AW18">
        <f>SUMPRODUCT((M_BOM[Part Name]=$A18)*M_BOM[RM_Qty_Per_Batch]*IFERROR(INDEX(PP_Grid[#Data],M_BOM[PPGridRow],49),0))</f>
        <v/>
      </c>
      <c r="AX18">
        <f>SUMPRODUCT((M_BOM[Part Name]=$A18)*M_BOM[RM_Qty_Per_Batch]*IFERROR(INDEX(PP_Grid[#Data],M_BOM[PPGridRow],50),0))</f>
        <v/>
      </c>
      <c r="AY18">
        <f>SUMPRODUCT((M_BOM[Part Name]=$A18)*M_BOM[RM_Qty_Per_Batch]*IFERROR(INDEX(PP_Grid[#Data],M_BOM[PPGridRow],51),0))</f>
        <v/>
      </c>
      <c r="AZ18">
        <f>SUMPRODUCT((M_BOM[Part Name]=$A18)*M_BOM[RM_Qty_Per_Batch]*IFERROR(INDEX(PP_Grid[#Data],M_BOM[PPGridRow],52),0))</f>
        <v/>
      </c>
      <c r="BA18">
        <f>SUMPRODUCT((M_BOM[Part Name]=$A18)*M_BOM[RM_Qty_Per_Batch]*IFERROR(INDEX(PP_Grid[#Data],M_BOM[PPGridRow],53),0))</f>
        <v/>
      </c>
      <c r="BB18">
        <f>SUMPRODUCT((M_BOM[Part Name]=$A18)*M_BOM[RM_Qty_Per_Batch]*IFERROR(INDEX(PP_Grid[#Data],M_BOM[PPGridRow],54),0))</f>
        <v/>
      </c>
      <c r="BC18">
        <f>SUMPRODUCT((M_BOM[Part Name]=$A18)*M_BOM[RM_Qty_Per_Batch]*IFERROR(INDEX(PP_Grid[#Data],M_BOM[PPGridRow],55),0))</f>
        <v/>
      </c>
      <c r="BD18">
        <f>SUMPRODUCT((M_BOM[Part Name]=$A18)*M_BOM[RM_Qty_Per_Batch]*IFERROR(INDEX(PP_Grid[#Data],M_BOM[PPGridRow],56),0))</f>
        <v/>
      </c>
      <c r="BE18">
        <f>SUMPRODUCT((M_BOM[Part Name]=$A18)*M_BOM[RM_Qty_Per_Batch]*IFERROR(INDEX(PP_Grid[#Data],M_BOM[PPGridRow],57),0))</f>
        <v/>
      </c>
      <c r="BF18">
        <f>SUMPRODUCT((M_BOM[Part Name]=$A18)*M_BOM[RM_Qty_Per_Batch]*IFERROR(INDEX(PP_Grid[#Data],M_BOM[PPGridRow],58),0))</f>
        <v/>
      </c>
      <c r="BG18">
        <f>SUMPRODUCT((M_BOM[Part Name]=$A18)*M_BOM[RM_Qty_Per_Batch]*IFERROR(INDEX(PP_Grid[#Data],M_BOM[PPGridRow],59),0))</f>
        <v/>
      </c>
      <c r="BH18">
        <f>SUMPRODUCT((M_BOM[Part Name]=$A18)*M_BOM[RM_Qty_Per_Batch]*IFERROR(INDEX(PP_Grid[#Data],M_BOM[PPGridRow],60),0))</f>
        <v/>
      </c>
      <c r="BI18">
        <f>SUMPRODUCT((M_BOM[Part Name]=$A18)*M_BOM[RM_Qty_Per_Batch]*IFERROR(INDEX(PP_Grid[#Data],M_BOM[PPGridRow],61),0))</f>
        <v/>
      </c>
      <c r="BJ18">
        <f>SUMPRODUCT((M_BOM[Part Name]=$A18)*M_BOM[RM_Qty_Per_Batch]*IFERROR(INDEX(PP_Grid[#Data],M_BOM[PPGridRow],62),0))</f>
        <v/>
      </c>
      <c r="BK18">
        <f>SUMPRODUCT((M_BOM[Part Name]=$A18)*M_BOM[RM_Qty_Per_Batch]*IFERROR(INDEX(PP_Grid[#Data],M_BOM[PPGridRow],63),0))</f>
        <v/>
      </c>
      <c r="BL18">
        <f>SUMPRODUCT((M_BOM[Part Name]=$A18)*M_BOM[RM_Qty_Per_Batch]*IFERROR(INDEX(PP_Grid[#Data],M_BOM[PPGridRow],64),0))</f>
        <v/>
      </c>
      <c r="BM18">
        <f>SUMPRODUCT((M_BOM[Part Name]=$A18)*M_BOM[RM_Qty_Per_Batch]*IFERROR(INDEX(PP_Grid[#Data],M_BOM[PPGridRow],65),0))</f>
        <v/>
      </c>
      <c r="BN18">
        <f>SUMPRODUCT((M_BOM[Part Name]=$A18)*M_BOM[RM_Qty_Per_Batch]*IFERROR(INDEX(PP_Grid[#Data],M_BOM[PPGridRow],66),0))</f>
        <v/>
      </c>
      <c r="BO18">
        <f>SUMPRODUCT((M_BOM[Part Name]=$A18)*M_BOM[RM_Qty_Per_Batch]*IFERROR(INDEX(PP_Grid[#Data],M_BOM[PPGridRow],67),0))</f>
        <v/>
      </c>
      <c r="BP18">
        <f>SUMPRODUCT((M_BOM[Part Name]=$A18)*M_BOM[RM_Qty_Per_Batch]*IFERROR(INDEX(PP_Grid[#Data],M_BOM[PPGridRow],68),0))</f>
        <v/>
      </c>
      <c r="BQ18">
        <f>SUMPRODUCT((M_BOM[Part Name]=$A18)*M_BOM[RM_Qty_Per_Batch]*IFERROR(INDEX(PP_Grid[#Data],M_BOM[PPGridRow],69),0))</f>
        <v/>
      </c>
      <c r="BR18">
        <f>SUMPRODUCT((M_BOM[Part Name]=$A18)*M_BOM[RM_Qty_Per_Batch]*IFERROR(INDEX(PP_Grid[#Data],M_BOM[PPGridRow],70),0))</f>
        <v/>
      </c>
      <c r="BS18">
        <f>SUMPRODUCT((M_BOM[Part Name]=$A18)*M_BOM[RM_Qty_Per_Batch]*IFERROR(INDEX(PP_Grid[#Data],M_BOM[PPGridRow],71),0))</f>
        <v/>
      </c>
      <c r="BT18">
        <f>SUMPRODUCT((M_BOM[Part Name]=$A18)*M_BOM[RM_Qty_Per_Batch]*IFERROR(INDEX(PP_Grid[#Data],M_BOM[PPGridRow],72),0))</f>
        <v/>
      </c>
      <c r="BU18">
        <f>SUMPRODUCT((M_BOM[Part Name]=$A18)*M_BOM[RM_Qty_Per_Batch]*IFERROR(INDEX(PP_Grid[#Data],M_BOM[PPGridRow],73),0))</f>
        <v/>
      </c>
      <c r="BV18">
        <f>SUMPRODUCT((M_BOM[Part Name]=$A18)*M_BOM[RM_Qty_Per_Batch]*IFERROR(INDEX(PP_Grid[#Data],M_BOM[PPGridRow],74),0))</f>
        <v/>
      </c>
      <c r="BW18">
        <f>SUMPRODUCT((M_BOM[Part Name]=$A18)*M_BOM[RM_Qty_Per_Batch]*IFERROR(INDEX(PP_Grid[#Data],M_BOM[PPGridRow],75),0))</f>
        <v/>
      </c>
      <c r="BX18">
        <f>SUMPRODUCT((M_BOM[Part Name]=$A18)*M_BOM[RM_Qty_Per_Batch]*IFERROR(INDEX(PP_Grid[#Data],M_BOM[PPGridRow],76),0))</f>
        <v/>
      </c>
      <c r="BY18">
        <f>SUMPRODUCT((M_BOM[Part Name]=$A18)*M_BOM[RM_Qty_Per_Batch]*IFERROR(INDEX(PP_Grid[#Data],M_BOM[PPGridRow],77),0))</f>
        <v/>
      </c>
      <c r="BZ18">
        <f>SUMPRODUCT((M_BOM[Part Name]=$A18)*M_BOM[RM_Qty_Per_Batch]*IFERROR(INDEX(PP_Grid[#Data],M_BOM[PPGridRow],78),0))</f>
        <v/>
      </c>
      <c r="CA18">
        <f>SUMPRODUCT((M_BOM[Part Name]=$A18)*M_BOM[RM_Qty_Per_Batch]*IFERROR(INDEX(PP_Grid[#Data],M_BOM[PPGridRow],79),0))</f>
        <v/>
      </c>
      <c r="CB18">
        <f>SUMPRODUCT((M_BOM[Part Name]=$A18)*M_BOM[RM_Qty_Per_Batch]*IFERROR(INDEX(PP_Grid[#Data],M_BOM[PPGridRow],80),0))</f>
        <v/>
      </c>
      <c r="CC18">
        <f>SUMPRODUCT((M_BOM[Part Name]=$A18)*M_BOM[RM_Qty_Per_Batch]*IFERROR(INDEX(PP_Grid[#Data],M_BOM[PPGridRow],81),0))</f>
        <v/>
      </c>
      <c r="CD18">
        <f>SUMPRODUCT((M_BOM[Part Name]=$A18)*M_BOM[RM_Qty_Per_Batch]*IFERROR(INDEX(PP_Grid[#Data],M_BOM[PPGridRow],82),0))</f>
        <v/>
      </c>
      <c r="CE18">
        <f>SUMPRODUCT((M_BOM[Part Name]=$A18)*M_BOM[RM_Qty_Per_Batch]*IFERROR(INDEX(PP_Grid[#Data],M_BOM[PPGridRow],83),0))</f>
        <v/>
      </c>
      <c r="CF18">
        <f>SUMPRODUCT((M_BOM[Part Name]=$A18)*M_BOM[RM_Qty_Per_Batch]*IFERROR(INDEX(PP_Grid[#Data],M_BOM[PPGridRow],84),0))</f>
        <v/>
      </c>
      <c r="CG18">
        <f>SUMPRODUCT((M_BOM[Part Name]=$A18)*M_BOM[RM_Qty_Per_Batch]*IFERROR(INDEX(PP_Grid[#Data],M_BOM[PPGridRow],85),0))</f>
        <v/>
      </c>
      <c r="CH18">
        <f>SUMPRODUCT((M_BOM[Part Name]=$A18)*M_BOM[RM_Qty_Per_Batch]*IFERROR(INDEX(PP_Grid[#Data],M_BOM[PPGridRow],86),0))</f>
        <v/>
      </c>
      <c r="CI18">
        <f>SUMPRODUCT((M_BOM[Part Name]=$A18)*M_BOM[RM_Qty_Per_Batch]*IFERROR(INDEX(PP_Grid[#Data],M_BOM[PPGridRow],87),0))</f>
        <v/>
      </c>
      <c r="CJ18">
        <f>SUMPRODUCT((M_BOM[Part Name]=$A18)*M_BOM[RM_Qty_Per_Batch]*IFERROR(INDEX(PP_Grid[#Data],M_BOM[PPGridRow],88),0))</f>
        <v/>
      </c>
      <c r="CK18">
        <f>SUMPRODUCT((M_BOM[Part Name]=$A18)*M_BOM[RM_Qty_Per_Batch]*IFERROR(INDEX(PP_Grid[#Data],M_BOM[PPGridRow],89),0))</f>
        <v/>
      </c>
      <c r="CL18">
        <f>SUMPRODUCT((M_BOM[Part Name]=$A18)*M_BOM[RM_Qty_Per_Batch]*IFERROR(INDEX(PP_Grid[#Data],M_BOM[PPGridRow],90),0))</f>
        <v/>
      </c>
      <c r="CM18">
        <f>SUMPRODUCT((M_BOM[Part Name]=$A18)*M_BOM[RM_Qty_Per_Batch]*IFERROR(INDEX(PP_Grid[#Data],M_BOM[PPGridRow],91),0))</f>
        <v/>
      </c>
      <c r="CN18">
        <f>SUMPRODUCT((M_BOM[Part Name]=$A18)*M_BOM[RM_Qty_Per_Batch]*IFERROR(INDEX(PP_Grid[#Data],M_BOM[PPGridRow],92),0))</f>
        <v/>
      </c>
      <c r="CO18">
        <f>SUMPRODUCT((M_BOM[Part Name]=$A18)*M_BOM[RM_Qty_Per_Batch]*IFERROR(INDEX(PP_Grid[#Data],M_BOM[PPGridRow],93),0))</f>
        <v/>
      </c>
      <c r="CP18">
        <f>SUMPRODUCT((M_BOM[Part Name]=$A18)*M_BOM[RM_Qty_Per_Batch]*IFERROR(INDEX(PP_Grid[#Data],M_BOM[PPGridRow],94),0))</f>
        <v/>
      </c>
      <c r="CQ18">
        <f>SUMPRODUCT((M_BOM[Part Name]=$A18)*M_BOM[RM_Qty_Per_Batch]*IFERROR(INDEX(PP_Grid[#Data],M_BOM[PPGridRow],95),0))</f>
        <v/>
      </c>
      <c r="CR18">
        <f>SUMPRODUCT((M_BOM[Part Name]=$A18)*M_BOM[RM_Qty_Per_Batch]*IFERROR(INDEX(PP_Grid[#Data],M_BOM[PPGridRow],96),0))</f>
        <v/>
      </c>
      <c r="CS18">
        <f>SUMPRODUCT((M_BOM[Part Name]=$A18)*M_BOM[RM_Qty_Per_Batch]*IFERROR(INDEX(PP_Grid[#Data],M_BOM[PPGridRow],97),0))</f>
        <v/>
      </c>
      <c r="CT18">
        <f>SUMPRODUCT((M_BOM[Part Name]=$A18)*M_BOM[RM_Qty_Per_Batch]*IFERROR(INDEX(PP_Grid[#Data],M_BOM[PPGridRow],98),0))</f>
        <v/>
      </c>
      <c r="CU18">
        <f>SUMPRODUCT((M_BOM[Part Name]=$A18)*M_BOM[RM_Qty_Per_Batch]*IFERROR(INDEX(PP_Grid[#Data],M_BOM[PPGridRow],99),0))</f>
        <v/>
      </c>
      <c r="CV18">
        <f>SUMPRODUCT((M_BOM[Part Name]=$A18)*M_BOM[RM_Qty_Per_Batch]*IFERROR(INDEX(PP_Grid[#Data],M_BOM[PPGridRow],100),0))</f>
        <v/>
      </c>
      <c r="CW18">
        <f>SUMPRODUCT((M_BOM[Part Name]=$A18)*M_BOM[RM_Qty_Per_Batch]*IFERROR(INDEX(PP_Grid[#Data],M_BOM[PPGridRow],101),0))</f>
        <v/>
      </c>
      <c r="CX18">
        <f>SUMPRODUCT((M_BOM[Part Name]=$A18)*M_BOM[RM_Qty_Per_Batch]*IFERROR(INDEX(PP_Grid[#Data],M_BOM[PPGridRow],102),0))</f>
        <v/>
      </c>
      <c r="CY18">
        <f>SUMPRODUCT((M_BOM[Part Name]=$A18)*M_BOM[RM_Qty_Per_Batch]*IFERROR(INDEX(PP_Grid[#Data],M_BOM[PPGridRow],103),0))</f>
        <v/>
      </c>
      <c r="CZ18">
        <f>SUMPRODUCT((M_BOM[Part Name]=$A18)*M_BOM[RM_Qty_Per_Batch]*IFERROR(INDEX(PP_Grid[#Data],M_BOM[PPGridRow],104),0))</f>
        <v/>
      </c>
      <c r="DA18">
        <f>SUMPRODUCT((M_BOM[Part Name]=$A18)*M_BOM[RM_Qty_Per_Batch]*IFERROR(INDEX(PP_Grid[#Data],M_BOM[PPGridRow],105),0))</f>
        <v/>
      </c>
    </row>
    <row r="19">
      <c r="A19" t="inlineStr">
        <is>
          <t>CHEM-1600</t>
        </is>
      </c>
      <c r="B19">
        <f>SUMPRODUCT((M_BOM[Part Name]=$A19)*M_BOM[RM_Qty_Per_Batch]*IFERROR(INDEX(PP_Grid[#Data],M_BOM[PPGridRow],2),0))</f>
        <v/>
      </c>
      <c r="C19">
        <f>SUMPRODUCT((M_BOM[Part Name]=$A19)*M_BOM[RM_Qty_Per_Batch]*IFERROR(INDEX(PP_Grid[#Data],M_BOM[PPGridRow],3),0))</f>
        <v/>
      </c>
      <c r="D19">
        <f>SUMPRODUCT((M_BOM[Part Name]=$A19)*M_BOM[RM_Qty_Per_Batch]*IFERROR(INDEX(PP_Grid[#Data],M_BOM[PPGridRow],4),0))</f>
        <v/>
      </c>
      <c r="E19">
        <f>SUMPRODUCT((M_BOM[Part Name]=$A19)*M_BOM[RM_Qty_Per_Batch]*IFERROR(INDEX(PP_Grid[#Data],M_BOM[PPGridRow],5),0))</f>
        <v/>
      </c>
      <c r="F19">
        <f>SUMPRODUCT((M_BOM[Part Name]=$A19)*M_BOM[RM_Qty_Per_Batch]*IFERROR(INDEX(PP_Grid[#Data],M_BOM[PPGridRow],6),0))</f>
        <v/>
      </c>
      <c r="G19">
        <f>SUMPRODUCT((M_BOM[Part Name]=$A19)*M_BOM[RM_Qty_Per_Batch]*IFERROR(INDEX(PP_Grid[#Data],M_BOM[PPGridRow],7),0))</f>
        <v/>
      </c>
      <c r="H19">
        <f>SUMPRODUCT((M_BOM[Part Name]=$A19)*M_BOM[RM_Qty_Per_Batch]*IFERROR(INDEX(PP_Grid[#Data],M_BOM[PPGridRow],8),0))</f>
        <v/>
      </c>
      <c r="I19">
        <f>SUMPRODUCT((M_BOM[Part Name]=$A19)*M_BOM[RM_Qty_Per_Batch]*IFERROR(INDEX(PP_Grid[#Data],M_BOM[PPGridRow],9),0))</f>
        <v/>
      </c>
      <c r="J19">
        <f>SUMPRODUCT((M_BOM[Part Name]=$A19)*M_BOM[RM_Qty_Per_Batch]*IFERROR(INDEX(PP_Grid[#Data],M_BOM[PPGridRow],10),0))</f>
        <v/>
      </c>
      <c r="K19">
        <f>SUMPRODUCT((M_BOM[Part Name]=$A19)*M_BOM[RM_Qty_Per_Batch]*IFERROR(INDEX(PP_Grid[#Data],M_BOM[PPGridRow],11),0))</f>
        <v/>
      </c>
      <c r="L19">
        <f>SUMPRODUCT((M_BOM[Part Name]=$A19)*M_BOM[RM_Qty_Per_Batch]*IFERROR(INDEX(PP_Grid[#Data],M_BOM[PPGridRow],12),0))</f>
        <v/>
      </c>
      <c r="M19">
        <f>SUMPRODUCT((M_BOM[Part Name]=$A19)*M_BOM[RM_Qty_Per_Batch]*IFERROR(INDEX(PP_Grid[#Data],M_BOM[PPGridRow],13),0))</f>
        <v/>
      </c>
      <c r="N19">
        <f>SUMPRODUCT((M_BOM[Part Name]=$A19)*M_BOM[RM_Qty_Per_Batch]*IFERROR(INDEX(PP_Grid[#Data],M_BOM[PPGridRow],14),0))</f>
        <v/>
      </c>
      <c r="O19">
        <f>SUMPRODUCT((M_BOM[Part Name]=$A19)*M_BOM[RM_Qty_Per_Batch]*IFERROR(INDEX(PP_Grid[#Data],M_BOM[PPGridRow],15),0))</f>
        <v/>
      </c>
      <c r="P19">
        <f>SUMPRODUCT((M_BOM[Part Name]=$A19)*M_BOM[RM_Qty_Per_Batch]*IFERROR(INDEX(PP_Grid[#Data],M_BOM[PPGridRow],16),0))</f>
        <v/>
      </c>
      <c r="Q19">
        <f>SUMPRODUCT((M_BOM[Part Name]=$A19)*M_BOM[RM_Qty_Per_Batch]*IFERROR(INDEX(PP_Grid[#Data],M_BOM[PPGridRow],17),0))</f>
        <v/>
      </c>
      <c r="R19">
        <f>SUMPRODUCT((M_BOM[Part Name]=$A19)*M_BOM[RM_Qty_Per_Batch]*IFERROR(INDEX(PP_Grid[#Data],M_BOM[PPGridRow],18),0))</f>
        <v/>
      </c>
      <c r="S19">
        <f>SUMPRODUCT((M_BOM[Part Name]=$A19)*M_BOM[RM_Qty_Per_Batch]*IFERROR(INDEX(PP_Grid[#Data],M_BOM[PPGridRow],19),0))</f>
        <v/>
      </c>
      <c r="T19">
        <f>SUMPRODUCT((M_BOM[Part Name]=$A19)*M_BOM[RM_Qty_Per_Batch]*IFERROR(INDEX(PP_Grid[#Data],M_BOM[PPGridRow],20),0))</f>
        <v/>
      </c>
      <c r="U19">
        <f>SUMPRODUCT((M_BOM[Part Name]=$A19)*M_BOM[RM_Qty_Per_Batch]*IFERROR(INDEX(PP_Grid[#Data],M_BOM[PPGridRow],21),0))</f>
        <v/>
      </c>
      <c r="V19">
        <f>SUMPRODUCT((M_BOM[Part Name]=$A19)*M_BOM[RM_Qty_Per_Batch]*IFERROR(INDEX(PP_Grid[#Data],M_BOM[PPGridRow],22),0))</f>
        <v/>
      </c>
      <c r="W19">
        <f>SUMPRODUCT((M_BOM[Part Name]=$A19)*M_BOM[RM_Qty_Per_Batch]*IFERROR(INDEX(PP_Grid[#Data],M_BOM[PPGridRow],23),0))</f>
        <v/>
      </c>
      <c r="X19">
        <f>SUMPRODUCT((M_BOM[Part Name]=$A19)*M_BOM[RM_Qty_Per_Batch]*IFERROR(INDEX(PP_Grid[#Data],M_BOM[PPGridRow],24),0))</f>
        <v/>
      </c>
      <c r="Y19">
        <f>SUMPRODUCT((M_BOM[Part Name]=$A19)*M_BOM[RM_Qty_Per_Batch]*IFERROR(INDEX(PP_Grid[#Data],M_BOM[PPGridRow],25),0))</f>
        <v/>
      </c>
      <c r="Z19">
        <f>SUMPRODUCT((M_BOM[Part Name]=$A19)*M_BOM[RM_Qty_Per_Batch]*IFERROR(INDEX(PP_Grid[#Data],M_BOM[PPGridRow],26),0))</f>
        <v/>
      </c>
      <c r="AA19">
        <f>SUMPRODUCT((M_BOM[Part Name]=$A19)*M_BOM[RM_Qty_Per_Batch]*IFERROR(INDEX(PP_Grid[#Data],M_BOM[PPGridRow],27),0))</f>
        <v/>
      </c>
      <c r="AB19">
        <f>SUMPRODUCT((M_BOM[Part Name]=$A19)*M_BOM[RM_Qty_Per_Batch]*IFERROR(INDEX(PP_Grid[#Data],M_BOM[PPGridRow],28),0))</f>
        <v/>
      </c>
      <c r="AC19">
        <f>SUMPRODUCT((M_BOM[Part Name]=$A19)*M_BOM[RM_Qty_Per_Batch]*IFERROR(INDEX(PP_Grid[#Data],M_BOM[PPGridRow],29),0))</f>
        <v/>
      </c>
      <c r="AD19">
        <f>SUMPRODUCT((M_BOM[Part Name]=$A19)*M_BOM[RM_Qty_Per_Batch]*IFERROR(INDEX(PP_Grid[#Data],M_BOM[PPGridRow],30),0))</f>
        <v/>
      </c>
      <c r="AE19">
        <f>SUMPRODUCT((M_BOM[Part Name]=$A19)*M_BOM[RM_Qty_Per_Batch]*IFERROR(INDEX(PP_Grid[#Data],M_BOM[PPGridRow],31),0))</f>
        <v/>
      </c>
      <c r="AF19">
        <f>SUMPRODUCT((M_BOM[Part Name]=$A19)*M_BOM[RM_Qty_Per_Batch]*IFERROR(INDEX(PP_Grid[#Data],M_BOM[PPGridRow],32),0))</f>
        <v/>
      </c>
      <c r="AG19">
        <f>SUMPRODUCT((M_BOM[Part Name]=$A19)*M_BOM[RM_Qty_Per_Batch]*IFERROR(INDEX(PP_Grid[#Data],M_BOM[PPGridRow],33),0))</f>
        <v/>
      </c>
      <c r="AH19">
        <f>SUMPRODUCT((M_BOM[Part Name]=$A19)*M_BOM[RM_Qty_Per_Batch]*IFERROR(INDEX(PP_Grid[#Data],M_BOM[PPGridRow],34),0))</f>
        <v/>
      </c>
      <c r="AI19">
        <f>SUMPRODUCT((M_BOM[Part Name]=$A19)*M_BOM[RM_Qty_Per_Batch]*IFERROR(INDEX(PP_Grid[#Data],M_BOM[PPGridRow],35),0))</f>
        <v/>
      </c>
      <c r="AJ19">
        <f>SUMPRODUCT((M_BOM[Part Name]=$A19)*M_BOM[RM_Qty_Per_Batch]*IFERROR(INDEX(PP_Grid[#Data],M_BOM[PPGridRow],36),0))</f>
        <v/>
      </c>
      <c r="AK19">
        <f>SUMPRODUCT((M_BOM[Part Name]=$A19)*M_BOM[RM_Qty_Per_Batch]*IFERROR(INDEX(PP_Grid[#Data],M_BOM[PPGridRow],37),0))</f>
        <v/>
      </c>
      <c r="AL19">
        <f>SUMPRODUCT((M_BOM[Part Name]=$A19)*M_BOM[RM_Qty_Per_Batch]*IFERROR(INDEX(PP_Grid[#Data],M_BOM[PPGridRow],38),0))</f>
        <v/>
      </c>
      <c r="AM19">
        <f>SUMPRODUCT((M_BOM[Part Name]=$A19)*M_BOM[RM_Qty_Per_Batch]*IFERROR(INDEX(PP_Grid[#Data],M_BOM[PPGridRow],39),0))</f>
        <v/>
      </c>
      <c r="AN19">
        <f>SUMPRODUCT((M_BOM[Part Name]=$A19)*M_BOM[RM_Qty_Per_Batch]*IFERROR(INDEX(PP_Grid[#Data],M_BOM[PPGridRow],40),0))</f>
        <v/>
      </c>
      <c r="AO19">
        <f>SUMPRODUCT((M_BOM[Part Name]=$A19)*M_BOM[RM_Qty_Per_Batch]*IFERROR(INDEX(PP_Grid[#Data],M_BOM[PPGridRow],41),0))</f>
        <v/>
      </c>
      <c r="AP19">
        <f>SUMPRODUCT((M_BOM[Part Name]=$A19)*M_BOM[RM_Qty_Per_Batch]*IFERROR(INDEX(PP_Grid[#Data],M_BOM[PPGridRow],42),0))</f>
        <v/>
      </c>
      <c r="AQ19">
        <f>SUMPRODUCT((M_BOM[Part Name]=$A19)*M_BOM[RM_Qty_Per_Batch]*IFERROR(INDEX(PP_Grid[#Data],M_BOM[PPGridRow],43),0))</f>
        <v/>
      </c>
      <c r="AR19">
        <f>SUMPRODUCT((M_BOM[Part Name]=$A19)*M_BOM[RM_Qty_Per_Batch]*IFERROR(INDEX(PP_Grid[#Data],M_BOM[PPGridRow],44),0))</f>
        <v/>
      </c>
      <c r="AS19">
        <f>SUMPRODUCT((M_BOM[Part Name]=$A19)*M_BOM[RM_Qty_Per_Batch]*IFERROR(INDEX(PP_Grid[#Data],M_BOM[PPGridRow],45),0))</f>
        <v/>
      </c>
      <c r="AT19">
        <f>SUMPRODUCT((M_BOM[Part Name]=$A19)*M_BOM[RM_Qty_Per_Batch]*IFERROR(INDEX(PP_Grid[#Data],M_BOM[PPGridRow],46),0))</f>
        <v/>
      </c>
      <c r="AU19">
        <f>SUMPRODUCT((M_BOM[Part Name]=$A19)*M_BOM[RM_Qty_Per_Batch]*IFERROR(INDEX(PP_Grid[#Data],M_BOM[PPGridRow],47),0))</f>
        <v/>
      </c>
      <c r="AV19">
        <f>SUMPRODUCT((M_BOM[Part Name]=$A19)*M_BOM[RM_Qty_Per_Batch]*IFERROR(INDEX(PP_Grid[#Data],M_BOM[PPGridRow],48),0))</f>
        <v/>
      </c>
      <c r="AW19">
        <f>SUMPRODUCT((M_BOM[Part Name]=$A19)*M_BOM[RM_Qty_Per_Batch]*IFERROR(INDEX(PP_Grid[#Data],M_BOM[PPGridRow],49),0))</f>
        <v/>
      </c>
      <c r="AX19">
        <f>SUMPRODUCT((M_BOM[Part Name]=$A19)*M_BOM[RM_Qty_Per_Batch]*IFERROR(INDEX(PP_Grid[#Data],M_BOM[PPGridRow],50),0))</f>
        <v/>
      </c>
      <c r="AY19">
        <f>SUMPRODUCT((M_BOM[Part Name]=$A19)*M_BOM[RM_Qty_Per_Batch]*IFERROR(INDEX(PP_Grid[#Data],M_BOM[PPGridRow],51),0))</f>
        <v/>
      </c>
      <c r="AZ19">
        <f>SUMPRODUCT((M_BOM[Part Name]=$A19)*M_BOM[RM_Qty_Per_Batch]*IFERROR(INDEX(PP_Grid[#Data],M_BOM[PPGridRow],52),0))</f>
        <v/>
      </c>
      <c r="BA19">
        <f>SUMPRODUCT((M_BOM[Part Name]=$A19)*M_BOM[RM_Qty_Per_Batch]*IFERROR(INDEX(PP_Grid[#Data],M_BOM[PPGridRow],53),0))</f>
        <v/>
      </c>
      <c r="BB19">
        <f>SUMPRODUCT((M_BOM[Part Name]=$A19)*M_BOM[RM_Qty_Per_Batch]*IFERROR(INDEX(PP_Grid[#Data],M_BOM[PPGridRow],54),0))</f>
        <v/>
      </c>
      <c r="BC19">
        <f>SUMPRODUCT((M_BOM[Part Name]=$A19)*M_BOM[RM_Qty_Per_Batch]*IFERROR(INDEX(PP_Grid[#Data],M_BOM[PPGridRow],55),0))</f>
        <v/>
      </c>
      <c r="BD19">
        <f>SUMPRODUCT((M_BOM[Part Name]=$A19)*M_BOM[RM_Qty_Per_Batch]*IFERROR(INDEX(PP_Grid[#Data],M_BOM[PPGridRow],56),0))</f>
        <v/>
      </c>
      <c r="BE19">
        <f>SUMPRODUCT((M_BOM[Part Name]=$A19)*M_BOM[RM_Qty_Per_Batch]*IFERROR(INDEX(PP_Grid[#Data],M_BOM[PPGridRow],57),0))</f>
        <v/>
      </c>
      <c r="BF19">
        <f>SUMPRODUCT((M_BOM[Part Name]=$A19)*M_BOM[RM_Qty_Per_Batch]*IFERROR(INDEX(PP_Grid[#Data],M_BOM[PPGridRow],58),0))</f>
        <v/>
      </c>
      <c r="BG19">
        <f>SUMPRODUCT((M_BOM[Part Name]=$A19)*M_BOM[RM_Qty_Per_Batch]*IFERROR(INDEX(PP_Grid[#Data],M_BOM[PPGridRow],59),0))</f>
        <v/>
      </c>
      <c r="BH19">
        <f>SUMPRODUCT((M_BOM[Part Name]=$A19)*M_BOM[RM_Qty_Per_Batch]*IFERROR(INDEX(PP_Grid[#Data],M_BOM[PPGridRow],60),0))</f>
        <v/>
      </c>
      <c r="BI19">
        <f>SUMPRODUCT((M_BOM[Part Name]=$A19)*M_BOM[RM_Qty_Per_Batch]*IFERROR(INDEX(PP_Grid[#Data],M_BOM[PPGridRow],61),0))</f>
        <v/>
      </c>
      <c r="BJ19">
        <f>SUMPRODUCT((M_BOM[Part Name]=$A19)*M_BOM[RM_Qty_Per_Batch]*IFERROR(INDEX(PP_Grid[#Data],M_BOM[PPGridRow],62),0))</f>
        <v/>
      </c>
      <c r="BK19">
        <f>SUMPRODUCT((M_BOM[Part Name]=$A19)*M_BOM[RM_Qty_Per_Batch]*IFERROR(INDEX(PP_Grid[#Data],M_BOM[PPGridRow],63),0))</f>
        <v/>
      </c>
      <c r="BL19">
        <f>SUMPRODUCT((M_BOM[Part Name]=$A19)*M_BOM[RM_Qty_Per_Batch]*IFERROR(INDEX(PP_Grid[#Data],M_BOM[PPGridRow],64),0))</f>
        <v/>
      </c>
      <c r="BM19">
        <f>SUMPRODUCT((M_BOM[Part Name]=$A19)*M_BOM[RM_Qty_Per_Batch]*IFERROR(INDEX(PP_Grid[#Data],M_BOM[PPGridRow],65),0))</f>
        <v/>
      </c>
      <c r="BN19">
        <f>SUMPRODUCT((M_BOM[Part Name]=$A19)*M_BOM[RM_Qty_Per_Batch]*IFERROR(INDEX(PP_Grid[#Data],M_BOM[PPGridRow],66),0))</f>
        <v/>
      </c>
      <c r="BO19">
        <f>SUMPRODUCT((M_BOM[Part Name]=$A19)*M_BOM[RM_Qty_Per_Batch]*IFERROR(INDEX(PP_Grid[#Data],M_BOM[PPGridRow],67),0))</f>
        <v/>
      </c>
      <c r="BP19">
        <f>SUMPRODUCT((M_BOM[Part Name]=$A19)*M_BOM[RM_Qty_Per_Batch]*IFERROR(INDEX(PP_Grid[#Data],M_BOM[PPGridRow],68),0))</f>
        <v/>
      </c>
      <c r="BQ19">
        <f>SUMPRODUCT((M_BOM[Part Name]=$A19)*M_BOM[RM_Qty_Per_Batch]*IFERROR(INDEX(PP_Grid[#Data],M_BOM[PPGridRow],69),0))</f>
        <v/>
      </c>
      <c r="BR19">
        <f>SUMPRODUCT((M_BOM[Part Name]=$A19)*M_BOM[RM_Qty_Per_Batch]*IFERROR(INDEX(PP_Grid[#Data],M_BOM[PPGridRow],70),0))</f>
        <v/>
      </c>
      <c r="BS19">
        <f>SUMPRODUCT((M_BOM[Part Name]=$A19)*M_BOM[RM_Qty_Per_Batch]*IFERROR(INDEX(PP_Grid[#Data],M_BOM[PPGridRow],71),0))</f>
        <v/>
      </c>
      <c r="BT19">
        <f>SUMPRODUCT((M_BOM[Part Name]=$A19)*M_BOM[RM_Qty_Per_Batch]*IFERROR(INDEX(PP_Grid[#Data],M_BOM[PPGridRow],72),0))</f>
        <v/>
      </c>
      <c r="BU19">
        <f>SUMPRODUCT((M_BOM[Part Name]=$A19)*M_BOM[RM_Qty_Per_Batch]*IFERROR(INDEX(PP_Grid[#Data],M_BOM[PPGridRow],73),0))</f>
        <v/>
      </c>
      <c r="BV19">
        <f>SUMPRODUCT((M_BOM[Part Name]=$A19)*M_BOM[RM_Qty_Per_Batch]*IFERROR(INDEX(PP_Grid[#Data],M_BOM[PPGridRow],74),0))</f>
        <v/>
      </c>
      <c r="BW19">
        <f>SUMPRODUCT((M_BOM[Part Name]=$A19)*M_BOM[RM_Qty_Per_Batch]*IFERROR(INDEX(PP_Grid[#Data],M_BOM[PPGridRow],75),0))</f>
        <v/>
      </c>
      <c r="BX19">
        <f>SUMPRODUCT((M_BOM[Part Name]=$A19)*M_BOM[RM_Qty_Per_Batch]*IFERROR(INDEX(PP_Grid[#Data],M_BOM[PPGridRow],76),0))</f>
        <v/>
      </c>
      <c r="BY19">
        <f>SUMPRODUCT((M_BOM[Part Name]=$A19)*M_BOM[RM_Qty_Per_Batch]*IFERROR(INDEX(PP_Grid[#Data],M_BOM[PPGridRow],77),0))</f>
        <v/>
      </c>
      <c r="BZ19">
        <f>SUMPRODUCT((M_BOM[Part Name]=$A19)*M_BOM[RM_Qty_Per_Batch]*IFERROR(INDEX(PP_Grid[#Data],M_BOM[PPGridRow],78),0))</f>
        <v/>
      </c>
      <c r="CA19">
        <f>SUMPRODUCT((M_BOM[Part Name]=$A19)*M_BOM[RM_Qty_Per_Batch]*IFERROR(INDEX(PP_Grid[#Data],M_BOM[PPGridRow],79),0))</f>
        <v/>
      </c>
      <c r="CB19">
        <f>SUMPRODUCT((M_BOM[Part Name]=$A19)*M_BOM[RM_Qty_Per_Batch]*IFERROR(INDEX(PP_Grid[#Data],M_BOM[PPGridRow],80),0))</f>
        <v/>
      </c>
      <c r="CC19">
        <f>SUMPRODUCT((M_BOM[Part Name]=$A19)*M_BOM[RM_Qty_Per_Batch]*IFERROR(INDEX(PP_Grid[#Data],M_BOM[PPGridRow],81),0))</f>
        <v/>
      </c>
      <c r="CD19">
        <f>SUMPRODUCT((M_BOM[Part Name]=$A19)*M_BOM[RM_Qty_Per_Batch]*IFERROR(INDEX(PP_Grid[#Data],M_BOM[PPGridRow],82),0))</f>
        <v/>
      </c>
      <c r="CE19">
        <f>SUMPRODUCT((M_BOM[Part Name]=$A19)*M_BOM[RM_Qty_Per_Batch]*IFERROR(INDEX(PP_Grid[#Data],M_BOM[PPGridRow],83),0))</f>
        <v/>
      </c>
      <c r="CF19">
        <f>SUMPRODUCT((M_BOM[Part Name]=$A19)*M_BOM[RM_Qty_Per_Batch]*IFERROR(INDEX(PP_Grid[#Data],M_BOM[PPGridRow],84),0))</f>
        <v/>
      </c>
      <c r="CG19">
        <f>SUMPRODUCT((M_BOM[Part Name]=$A19)*M_BOM[RM_Qty_Per_Batch]*IFERROR(INDEX(PP_Grid[#Data],M_BOM[PPGridRow],85),0))</f>
        <v/>
      </c>
      <c r="CH19">
        <f>SUMPRODUCT((M_BOM[Part Name]=$A19)*M_BOM[RM_Qty_Per_Batch]*IFERROR(INDEX(PP_Grid[#Data],M_BOM[PPGridRow],86),0))</f>
        <v/>
      </c>
      <c r="CI19">
        <f>SUMPRODUCT((M_BOM[Part Name]=$A19)*M_BOM[RM_Qty_Per_Batch]*IFERROR(INDEX(PP_Grid[#Data],M_BOM[PPGridRow],87),0))</f>
        <v/>
      </c>
      <c r="CJ19">
        <f>SUMPRODUCT((M_BOM[Part Name]=$A19)*M_BOM[RM_Qty_Per_Batch]*IFERROR(INDEX(PP_Grid[#Data],M_BOM[PPGridRow],88),0))</f>
        <v/>
      </c>
      <c r="CK19">
        <f>SUMPRODUCT((M_BOM[Part Name]=$A19)*M_BOM[RM_Qty_Per_Batch]*IFERROR(INDEX(PP_Grid[#Data],M_BOM[PPGridRow],89),0))</f>
        <v/>
      </c>
      <c r="CL19">
        <f>SUMPRODUCT((M_BOM[Part Name]=$A19)*M_BOM[RM_Qty_Per_Batch]*IFERROR(INDEX(PP_Grid[#Data],M_BOM[PPGridRow],90),0))</f>
        <v/>
      </c>
      <c r="CM19">
        <f>SUMPRODUCT((M_BOM[Part Name]=$A19)*M_BOM[RM_Qty_Per_Batch]*IFERROR(INDEX(PP_Grid[#Data],M_BOM[PPGridRow],91),0))</f>
        <v/>
      </c>
      <c r="CN19">
        <f>SUMPRODUCT((M_BOM[Part Name]=$A19)*M_BOM[RM_Qty_Per_Batch]*IFERROR(INDEX(PP_Grid[#Data],M_BOM[PPGridRow],92),0))</f>
        <v/>
      </c>
      <c r="CO19">
        <f>SUMPRODUCT((M_BOM[Part Name]=$A19)*M_BOM[RM_Qty_Per_Batch]*IFERROR(INDEX(PP_Grid[#Data],M_BOM[PPGridRow],93),0))</f>
        <v/>
      </c>
      <c r="CP19">
        <f>SUMPRODUCT((M_BOM[Part Name]=$A19)*M_BOM[RM_Qty_Per_Batch]*IFERROR(INDEX(PP_Grid[#Data],M_BOM[PPGridRow],94),0))</f>
        <v/>
      </c>
      <c r="CQ19">
        <f>SUMPRODUCT((M_BOM[Part Name]=$A19)*M_BOM[RM_Qty_Per_Batch]*IFERROR(INDEX(PP_Grid[#Data],M_BOM[PPGridRow],95),0))</f>
        <v/>
      </c>
      <c r="CR19">
        <f>SUMPRODUCT((M_BOM[Part Name]=$A19)*M_BOM[RM_Qty_Per_Batch]*IFERROR(INDEX(PP_Grid[#Data],M_BOM[PPGridRow],96),0))</f>
        <v/>
      </c>
      <c r="CS19">
        <f>SUMPRODUCT((M_BOM[Part Name]=$A19)*M_BOM[RM_Qty_Per_Batch]*IFERROR(INDEX(PP_Grid[#Data],M_BOM[PPGridRow],97),0))</f>
        <v/>
      </c>
      <c r="CT19">
        <f>SUMPRODUCT((M_BOM[Part Name]=$A19)*M_BOM[RM_Qty_Per_Batch]*IFERROR(INDEX(PP_Grid[#Data],M_BOM[PPGridRow],98),0))</f>
        <v/>
      </c>
      <c r="CU19">
        <f>SUMPRODUCT((M_BOM[Part Name]=$A19)*M_BOM[RM_Qty_Per_Batch]*IFERROR(INDEX(PP_Grid[#Data],M_BOM[PPGridRow],99),0))</f>
        <v/>
      </c>
      <c r="CV19">
        <f>SUMPRODUCT((M_BOM[Part Name]=$A19)*M_BOM[RM_Qty_Per_Batch]*IFERROR(INDEX(PP_Grid[#Data],M_BOM[PPGridRow],100),0))</f>
        <v/>
      </c>
      <c r="CW19">
        <f>SUMPRODUCT((M_BOM[Part Name]=$A19)*M_BOM[RM_Qty_Per_Batch]*IFERROR(INDEX(PP_Grid[#Data],M_BOM[PPGridRow],101),0))</f>
        <v/>
      </c>
      <c r="CX19">
        <f>SUMPRODUCT((M_BOM[Part Name]=$A19)*M_BOM[RM_Qty_Per_Batch]*IFERROR(INDEX(PP_Grid[#Data],M_BOM[PPGridRow],102),0))</f>
        <v/>
      </c>
      <c r="CY19">
        <f>SUMPRODUCT((M_BOM[Part Name]=$A19)*M_BOM[RM_Qty_Per_Batch]*IFERROR(INDEX(PP_Grid[#Data],M_BOM[PPGridRow],103),0))</f>
        <v/>
      </c>
      <c r="CZ19">
        <f>SUMPRODUCT((M_BOM[Part Name]=$A19)*M_BOM[RM_Qty_Per_Batch]*IFERROR(INDEX(PP_Grid[#Data],M_BOM[PPGridRow],104),0))</f>
        <v/>
      </c>
      <c r="DA19">
        <f>SUMPRODUCT((M_BOM[Part Name]=$A19)*M_BOM[RM_Qty_Per_Batch]*IFERROR(INDEX(PP_Grid[#Data],M_BOM[PPGridRow],105),0))</f>
        <v/>
      </c>
    </row>
    <row r="20">
      <c r="A20" t="inlineStr">
        <is>
          <t>CHEM-1280</t>
        </is>
      </c>
      <c r="B20">
        <f>SUMPRODUCT((M_BOM[Part Name]=$A20)*M_BOM[RM_Qty_Per_Batch]*IFERROR(INDEX(PP_Grid[#Data],M_BOM[PPGridRow],2),0))</f>
        <v/>
      </c>
      <c r="C20">
        <f>SUMPRODUCT((M_BOM[Part Name]=$A20)*M_BOM[RM_Qty_Per_Batch]*IFERROR(INDEX(PP_Grid[#Data],M_BOM[PPGridRow],3),0))</f>
        <v/>
      </c>
      <c r="D20">
        <f>SUMPRODUCT((M_BOM[Part Name]=$A20)*M_BOM[RM_Qty_Per_Batch]*IFERROR(INDEX(PP_Grid[#Data],M_BOM[PPGridRow],4),0))</f>
        <v/>
      </c>
      <c r="E20">
        <f>SUMPRODUCT((M_BOM[Part Name]=$A20)*M_BOM[RM_Qty_Per_Batch]*IFERROR(INDEX(PP_Grid[#Data],M_BOM[PPGridRow],5),0))</f>
        <v/>
      </c>
      <c r="F20">
        <f>SUMPRODUCT((M_BOM[Part Name]=$A20)*M_BOM[RM_Qty_Per_Batch]*IFERROR(INDEX(PP_Grid[#Data],M_BOM[PPGridRow],6),0))</f>
        <v/>
      </c>
      <c r="G20">
        <f>SUMPRODUCT((M_BOM[Part Name]=$A20)*M_BOM[RM_Qty_Per_Batch]*IFERROR(INDEX(PP_Grid[#Data],M_BOM[PPGridRow],7),0))</f>
        <v/>
      </c>
      <c r="H20">
        <f>SUMPRODUCT((M_BOM[Part Name]=$A20)*M_BOM[RM_Qty_Per_Batch]*IFERROR(INDEX(PP_Grid[#Data],M_BOM[PPGridRow],8),0))</f>
        <v/>
      </c>
      <c r="I20">
        <f>SUMPRODUCT((M_BOM[Part Name]=$A20)*M_BOM[RM_Qty_Per_Batch]*IFERROR(INDEX(PP_Grid[#Data],M_BOM[PPGridRow],9),0))</f>
        <v/>
      </c>
      <c r="J20">
        <f>SUMPRODUCT((M_BOM[Part Name]=$A20)*M_BOM[RM_Qty_Per_Batch]*IFERROR(INDEX(PP_Grid[#Data],M_BOM[PPGridRow],10),0))</f>
        <v/>
      </c>
      <c r="K20">
        <f>SUMPRODUCT((M_BOM[Part Name]=$A20)*M_BOM[RM_Qty_Per_Batch]*IFERROR(INDEX(PP_Grid[#Data],M_BOM[PPGridRow],11),0))</f>
        <v/>
      </c>
      <c r="L20">
        <f>SUMPRODUCT((M_BOM[Part Name]=$A20)*M_BOM[RM_Qty_Per_Batch]*IFERROR(INDEX(PP_Grid[#Data],M_BOM[PPGridRow],12),0))</f>
        <v/>
      </c>
      <c r="M20">
        <f>SUMPRODUCT((M_BOM[Part Name]=$A20)*M_BOM[RM_Qty_Per_Batch]*IFERROR(INDEX(PP_Grid[#Data],M_BOM[PPGridRow],13),0))</f>
        <v/>
      </c>
      <c r="N20">
        <f>SUMPRODUCT((M_BOM[Part Name]=$A20)*M_BOM[RM_Qty_Per_Batch]*IFERROR(INDEX(PP_Grid[#Data],M_BOM[PPGridRow],14),0))</f>
        <v/>
      </c>
      <c r="O20">
        <f>SUMPRODUCT((M_BOM[Part Name]=$A20)*M_BOM[RM_Qty_Per_Batch]*IFERROR(INDEX(PP_Grid[#Data],M_BOM[PPGridRow],15),0))</f>
        <v/>
      </c>
      <c r="P20">
        <f>SUMPRODUCT((M_BOM[Part Name]=$A20)*M_BOM[RM_Qty_Per_Batch]*IFERROR(INDEX(PP_Grid[#Data],M_BOM[PPGridRow],16),0))</f>
        <v/>
      </c>
      <c r="Q20">
        <f>SUMPRODUCT((M_BOM[Part Name]=$A20)*M_BOM[RM_Qty_Per_Batch]*IFERROR(INDEX(PP_Grid[#Data],M_BOM[PPGridRow],17),0))</f>
        <v/>
      </c>
      <c r="R20">
        <f>SUMPRODUCT((M_BOM[Part Name]=$A20)*M_BOM[RM_Qty_Per_Batch]*IFERROR(INDEX(PP_Grid[#Data],M_BOM[PPGridRow],18),0))</f>
        <v/>
      </c>
      <c r="S20">
        <f>SUMPRODUCT((M_BOM[Part Name]=$A20)*M_BOM[RM_Qty_Per_Batch]*IFERROR(INDEX(PP_Grid[#Data],M_BOM[PPGridRow],19),0))</f>
        <v/>
      </c>
      <c r="T20">
        <f>SUMPRODUCT((M_BOM[Part Name]=$A20)*M_BOM[RM_Qty_Per_Batch]*IFERROR(INDEX(PP_Grid[#Data],M_BOM[PPGridRow],20),0))</f>
        <v/>
      </c>
      <c r="U20">
        <f>SUMPRODUCT((M_BOM[Part Name]=$A20)*M_BOM[RM_Qty_Per_Batch]*IFERROR(INDEX(PP_Grid[#Data],M_BOM[PPGridRow],21),0))</f>
        <v/>
      </c>
      <c r="V20">
        <f>SUMPRODUCT((M_BOM[Part Name]=$A20)*M_BOM[RM_Qty_Per_Batch]*IFERROR(INDEX(PP_Grid[#Data],M_BOM[PPGridRow],22),0))</f>
        <v/>
      </c>
      <c r="W20">
        <f>SUMPRODUCT((M_BOM[Part Name]=$A20)*M_BOM[RM_Qty_Per_Batch]*IFERROR(INDEX(PP_Grid[#Data],M_BOM[PPGridRow],23),0))</f>
        <v/>
      </c>
      <c r="X20">
        <f>SUMPRODUCT((M_BOM[Part Name]=$A20)*M_BOM[RM_Qty_Per_Batch]*IFERROR(INDEX(PP_Grid[#Data],M_BOM[PPGridRow],24),0))</f>
        <v/>
      </c>
      <c r="Y20">
        <f>SUMPRODUCT((M_BOM[Part Name]=$A20)*M_BOM[RM_Qty_Per_Batch]*IFERROR(INDEX(PP_Grid[#Data],M_BOM[PPGridRow],25),0))</f>
        <v/>
      </c>
      <c r="Z20">
        <f>SUMPRODUCT((M_BOM[Part Name]=$A20)*M_BOM[RM_Qty_Per_Batch]*IFERROR(INDEX(PP_Grid[#Data],M_BOM[PPGridRow],26),0))</f>
        <v/>
      </c>
      <c r="AA20">
        <f>SUMPRODUCT((M_BOM[Part Name]=$A20)*M_BOM[RM_Qty_Per_Batch]*IFERROR(INDEX(PP_Grid[#Data],M_BOM[PPGridRow],27),0))</f>
        <v/>
      </c>
      <c r="AB20">
        <f>SUMPRODUCT((M_BOM[Part Name]=$A20)*M_BOM[RM_Qty_Per_Batch]*IFERROR(INDEX(PP_Grid[#Data],M_BOM[PPGridRow],28),0))</f>
        <v/>
      </c>
      <c r="AC20">
        <f>SUMPRODUCT((M_BOM[Part Name]=$A20)*M_BOM[RM_Qty_Per_Batch]*IFERROR(INDEX(PP_Grid[#Data],M_BOM[PPGridRow],29),0))</f>
        <v/>
      </c>
      <c r="AD20">
        <f>SUMPRODUCT((M_BOM[Part Name]=$A20)*M_BOM[RM_Qty_Per_Batch]*IFERROR(INDEX(PP_Grid[#Data],M_BOM[PPGridRow],30),0))</f>
        <v/>
      </c>
      <c r="AE20">
        <f>SUMPRODUCT((M_BOM[Part Name]=$A20)*M_BOM[RM_Qty_Per_Batch]*IFERROR(INDEX(PP_Grid[#Data],M_BOM[PPGridRow],31),0))</f>
        <v/>
      </c>
      <c r="AF20">
        <f>SUMPRODUCT((M_BOM[Part Name]=$A20)*M_BOM[RM_Qty_Per_Batch]*IFERROR(INDEX(PP_Grid[#Data],M_BOM[PPGridRow],32),0))</f>
        <v/>
      </c>
      <c r="AG20">
        <f>SUMPRODUCT((M_BOM[Part Name]=$A20)*M_BOM[RM_Qty_Per_Batch]*IFERROR(INDEX(PP_Grid[#Data],M_BOM[PPGridRow],33),0))</f>
        <v/>
      </c>
      <c r="AH20">
        <f>SUMPRODUCT((M_BOM[Part Name]=$A20)*M_BOM[RM_Qty_Per_Batch]*IFERROR(INDEX(PP_Grid[#Data],M_BOM[PPGridRow],34),0))</f>
        <v/>
      </c>
      <c r="AI20">
        <f>SUMPRODUCT((M_BOM[Part Name]=$A20)*M_BOM[RM_Qty_Per_Batch]*IFERROR(INDEX(PP_Grid[#Data],M_BOM[PPGridRow],35),0))</f>
        <v/>
      </c>
      <c r="AJ20">
        <f>SUMPRODUCT((M_BOM[Part Name]=$A20)*M_BOM[RM_Qty_Per_Batch]*IFERROR(INDEX(PP_Grid[#Data],M_BOM[PPGridRow],36),0))</f>
        <v/>
      </c>
      <c r="AK20">
        <f>SUMPRODUCT((M_BOM[Part Name]=$A20)*M_BOM[RM_Qty_Per_Batch]*IFERROR(INDEX(PP_Grid[#Data],M_BOM[PPGridRow],37),0))</f>
        <v/>
      </c>
      <c r="AL20">
        <f>SUMPRODUCT((M_BOM[Part Name]=$A20)*M_BOM[RM_Qty_Per_Batch]*IFERROR(INDEX(PP_Grid[#Data],M_BOM[PPGridRow],38),0))</f>
        <v/>
      </c>
      <c r="AM20">
        <f>SUMPRODUCT((M_BOM[Part Name]=$A20)*M_BOM[RM_Qty_Per_Batch]*IFERROR(INDEX(PP_Grid[#Data],M_BOM[PPGridRow],39),0))</f>
        <v/>
      </c>
      <c r="AN20">
        <f>SUMPRODUCT((M_BOM[Part Name]=$A20)*M_BOM[RM_Qty_Per_Batch]*IFERROR(INDEX(PP_Grid[#Data],M_BOM[PPGridRow],40),0))</f>
        <v/>
      </c>
      <c r="AO20">
        <f>SUMPRODUCT((M_BOM[Part Name]=$A20)*M_BOM[RM_Qty_Per_Batch]*IFERROR(INDEX(PP_Grid[#Data],M_BOM[PPGridRow],41),0))</f>
        <v/>
      </c>
      <c r="AP20">
        <f>SUMPRODUCT((M_BOM[Part Name]=$A20)*M_BOM[RM_Qty_Per_Batch]*IFERROR(INDEX(PP_Grid[#Data],M_BOM[PPGridRow],42),0))</f>
        <v/>
      </c>
      <c r="AQ20">
        <f>SUMPRODUCT((M_BOM[Part Name]=$A20)*M_BOM[RM_Qty_Per_Batch]*IFERROR(INDEX(PP_Grid[#Data],M_BOM[PPGridRow],43),0))</f>
        <v/>
      </c>
      <c r="AR20">
        <f>SUMPRODUCT((M_BOM[Part Name]=$A20)*M_BOM[RM_Qty_Per_Batch]*IFERROR(INDEX(PP_Grid[#Data],M_BOM[PPGridRow],44),0))</f>
        <v/>
      </c>
      <c r="AS20">
        <f>SUMPRODUCT((M_BOM[Part Name]=$A20)*M_BOM[RM_Qty_Per_Batch]*IFERROR(INDEX(PP_Grid[#Data],M_BOM[PPGridRow],45),0))</f>
        <v/>
      </c>
      <c r="AT20">
        <f>SUMPRODUCT((M_BOM[Part Name]=$A20)*M_BOM[RM_Qty_Per_Batch]*IFERROR(INDEX(PP_Grid[#Data],M_BOM[PPGridRow],46),0))</f>
        <v/>
      </c>
      <c r="AU20">
        <f>SUMPRODUCT((M_BOM[Part Name]=$A20)*M_BOM[RM_Qty_Per_Batch]*IFERROR(INDEX(PP_Grid[#Data],M_BOM[PPGridRow],47),0))</f>
        <v/>
      </c>
      <c r="AV20">
        <f>SUMPRODUCT((M_BOM[Part Name]=$A20)*M_BOM[RM_Qty_Per_Batch]*IFERROR(INDEX(PP_Grid[#Data],M_BOM[PPGridRow],48),0))</f>
        <v/>
      </c>
      <c r="AW20">
        <f>SUMPRODUCT((M_BOM[Part Name]=$A20)*M_BOM[RM_Qty_Per_Batch]*IFERROR(INDEX(PP_Grid[#Data],M_BOM[PPGridRow],49),0))</f>
        <v/>
      </c>
      <c r="AX20">
        <f>SUMPRODUCT((M_BOM[Part Name]=$A20)*M_BOM[RM_Qty_Per_Batch]*IFERROR(INDEX(PP_Grid[#Data],M_BOM[PPGridRow],50),0))</f>
        <v/>
      </c>
      <c r="AY20">
        <f>SUMPRODUCT((M_BOM[Part Name]=$A20)*M_BOM[RM_Qty_Per_Batch]*IFERROR(INDEX(PP_Grid[#Data],M_BOM[PPGridRow],51),0))</f>
        <v/>
      </c>
      <c r="AZ20">
        <f>SUMPRODUCT((M_BOM[Part Name]=$A20)*M_BOM[RM_Qty_Per_Batch]*IFERROR(INDEX(PP_Grid[#Data],M_BOM[PPGridRow],52),0))</f>
        <v/>
      </c>
      <c r="BA20">
        <f>SUMPRODUCT((M_BOM[Part Name]=$A20)*M_BOM[RM_Qty_Per_Batch]*IFERROR(INDEX(PP_Grid[#Data],M_BOM[PPGridRow],53),0))</f>
        <v/>
      </c>
      <c r="BB20">
        <f>SUMPRODUCT((M_BOM[Part Name]=$A20)*M_BOM[RM_Qty_Per_Batch]*IFERROR(INDEX(PP_Grid[#Data],M_BOM[PPGridRow],54),0))</f>
        <v/>
      </c>
      <c r="BC20">
        <f>SUMPRODUCT((M_BOM[Part Name]=$A20)*M_BOM[RM_Qty_Per_Batch]*IFERROR(INDEX(PP_Grid[#Data],M_BOM[PPGridRow],55),0))</f>
        <v/>
      </c>
      <c r="BD20">
        <f>SUMPRODUCT((M_BOM[Part Name]=$A20)*M_BOM[RM_Qty_Per_Batch]*IFERROR(INDEX(PP_Grid[#Data],M_BOM[PPGridRow],56),0))</f>
        <v/>
      </c>
      <c r="BE20">
        <f>SUMPRODUCT((M_BOM[Part Name]=$A20)*M_BOM[RM_Qty_Per_Batch]*IFERROR(INDEX(PP_Grid[#Data],M_BOM[PPGridRow],57),0))</f>
        <v/>
      </c>
      <c r="BF20">
        <f>SUMPRODUCT((M_BOM[Part Name]=$A20)*M_BOM[RM_Qty_Per_Batch]*IFERROR(INDEX(PP_Grid[#Data],M_BOM[PPGridRow],58),0))</f>
        <v/>
      </c>
      <c r="BG20">
        <f>SUMPRODUCT((M_BOM[Part Name]=$A20)*M_BOM[RM_Qty_Per_Batch]*IFERROR(INDEX(PP_Grid[#Data],M_BOM[PPGridRow],59),0))</f>
        <v/>
      </c>
      <c r="BH20">
        <f>SUMPRODUCT((M_BOM[Part Name]=$A20)*M_BOM[RM_Qty_Per_Batch]*IFERROR(INDEX(PP_Grid[#Data],M_BOM[PPGridRow],60),0))</f>
        <v/>
      </c>
      <c r="BI20">
        <f>SUMPRODUCT((M_BOM[Part Name]=$A20)*M_BOM[RM_Qty_Per_Batch]*IFERROR(INDEX(PP_Grid[#Data],M_BOM[PPGridRow],61),0))</f>
        <v/>
      </c>
      <c r="BJ20">
        <f>SUMPRODUCT((M_BOM[Part Name]=$A20)*M_BOM[RM_Qty_Per_Batch]*IFERROR(INDEX(PP_Grid[#Data],M_BOM[PPGridRow],62),0))</f>
        <v/>
      </c>
      <c r="BK20">
        <f>SUMPRODUCT((M_BOM[Part Name]=$A20)*M_BOM[RM_Qty_Per_Batch]*IFERROR(INDEX(PP_Grid[#Data],M_BOM[PPGridRow],63),0))</f>
        <v/>
      </c>
      <c r="BL20">
        <f>SUMPRODUCT((M_BOM[Part Name]=$A20)*M_BOM[RM_Qty_Per_Batch]*IFERROR(INDEX(PP_Grid[#Data],M_BOM[PPGridRow],64),0))</f>
        <v/>
      </c>
      <c r="BM20">
        <f>SUMPRODUCT((M_BOM[Part Name]=$A20)*M_BOM[RM_Qty_Per_Batch]*IFERROR(INDEX(PP_Grid[#Data],M_BOM[PPGridRow],65),0))</f>
        <v/>
      </c>
      <c r="BN20">
        <f>SUMPRODUCT((M_BOM[Part Name]=$A20)*M_BOM[RM_Qty_Per_Batch]*IFERROR(INDEX(PP_Grid[#Data],M_BOM[PPGridRow],66),0))</f>
        <v/>
      </c>
      <c r="BO20">
        <f>SUMPRODUCT((M_BOM[Part Name]=$A20)*M_BOM[RM_Qty_Per_Batch]*IFERROR(INDEX(PP_Grid[#Data],M_BOM[PPGridRow],67),0))</f>
        <v/>
      </c>
      <c r="BP20">
        <f>SUMPRODUCT((M_BOM[Part Name]=$A20)*M_BOM[RM_Qty_Per_Batch]*IFERROR(INDEX(PP_Grid[#Data],M_BOM[PPGridRow],68),0))</f>
        <v/>
      </c>
      <c r="BQ20">
        <f>SUMPRODUCT((M_BOM[Part Name]=$A20)*M_BOM[RM_Qty_Per_Batch]*IFERROR(INDEX(PP_Grid[#Data],M_BOM[PPGridRow],69),0))</f>
        <v/>
      </c>
      <c r="BR20">
        <f>SUMPRODUCT((M_BOM[Part Name]=$A20)*M_BOM[RM_Qty_Per_Batch]*IFERROR(INDEX(PP_Grid[#Data],M_BOM[PPGridRow],70),0))</f>
        <v/>
      </c>
      <c r="BS20">
        <f>SUMPRODUCT((M_BOM[Part Name]=$A20)*M_BOM[RM_Qty_Per_Batch]*IFERROR(INDEX(PP_Grid[#Data],M_BOM[PPGridRow],71),0))</f>
        <v/>
      </c>
      <c r="BT20">
        <f>SUMPRODUCT((M_BOM[Part Name]=$A20)*M_BOM[RM_Qty_Per_Batch]*IFERROR(INDEX(PP_Grid[#Data],M_BOM[PPGridRow],72),0))</f>
        <v/>
      </c>
      <c r="BU20">
        <f>SUMPRODUCT((M_BOM[Part Name]=$A20)*M_BOM[RM_Qty_Per_Batch]*IFERROR(INDEX(PP_Grid[#Data],M_BOM[PPGridRow],73),0))</f>
        <v/>
      </c>
      <c r="BV20">
        <f>SUMPRODUCT((M_BOM[Part Name]=$A20)*M_BOM[RM_Qty_Per_Batch]*IFERROR(INDEX(PP_Grid[#Data],M_BOM[PPGridRow],74),0))</f>
        <v/>
      </c>
      <c r="BW20">
        <f>SUMPRODUCT((M_BOM[Part Name]=$A20)*M_BOM[RM_Qty_Per_Batch]*IFERROR(INDEX(PP_Grid[#Data],M_BOM[PPGridRow],75),0))</f>
        <v/>
      </c>
      <c r="BX20">
        <f>SUMPRODUCT((M_BOM[Part Name]=$A20)*M_BOM[RM_Qty_Per_Batch]*IFERROR(INDEX(PP_Grid[#Data],M_BOM[PPGridRow],76),0))</f>
        <v/>
      </c>
      <c r="BY20">
        <f>SUMPRODUCT((M_BOM[Part Name]=$A20)*M_BOM[RM_Qty_Per_Batch]*IFERROR(INDEX(PP_Grid[#Data],M_BOM[PPGridRow],77),0))</f>
        <v/>
      </c>
      <c r="BZ20">
        <f>SUMPRODUCT((M_BOM[Part Name]=$A20)*M_BOM[RM_Qty_Per_Batch]*IFERROR(INDEX(PP_Grid[#Data],M_BOM[PPGridRow],78),0))</f>
        <v/>
      </c>
      <c r="CA20">
        <f>SUMPRODUCT((M_BOM[Part Name]=$A20)*M_BOM[RM_Qty_Per_Batch]*IFERROR(INDEX(PP_Grid[#Data],M_BOM[PPGridRow],79),0))</f>
        <v/>
      </c>
      <c r="CB20">
        <f>SUMPRODUCT((M_BOM[Part Name]=$A20)*M_BOM[RM_Qty_Per_Batch]*IFERROR(INDEX(PP_Grid[#Data],M_BOM[PPGridRow],80),0))</f>
        <v/>
      </c>
      <c r="CC20">
        <f>SUMPRODUCT((M_BOM[Part Name]=$A20)*M_BOM[RM_Qty_Per_Batch]*IFERROR(INDEX(PP_Grid[#Data],M_BOM[PPGridRow],81),0))</f>
        <v/>
      </c>
      <c r="CD20">
        <f>SUMPRODUCT((M_BOM[Part Name]=$A20)*M_BOM[RM_Qty_Per_Batch]*IFERROR(INDEX(PP_Grid[#Data],M_BOM[PPGridRow],82),0))</f>
        <v/>
      </c>
      <c r="CE20">
        <f>SUMPRODUCT((M_BOM[Part Name]=$A20)*M_BOM[RM_Qty_Per_Batch]*IFERROR(INDEX(PP_Grid[#Data],M_BOM[PPGridRow],83),0))</f>
        <v/>
      </c>
      <c r="CF20">
        <f>SUMPRODUCT((M_BOM[Part Name]=$A20)*M_BOM[RM_Qty_Per_Batch]*IFERROR(INDEX(PP_Grid[#Data],M_BOM[PPGridRow],84),0))</f>
        <v/>
      </c>
      <c r="CG20">
        <f>SUMPRODUCT((M_BOM[Part Name]=$A20)*M_BOM[RM_Qty_Per_Batch]*IFERROR(INDEX(PP_Grid[#Data],M_BOM[PPGridRow],85),0))</f>
        <v/>
      </c>
      <c r="CH20">
        <f>SUMPRODUCT((M_BOM[Part Name]=$A20)*M_BOM[RM_Qty_Per_Batch]*IFERROR(INDEX(PP_Grid[#Data],M_BOM[PPGridRow],86),0))</f>
        <v/>
      </c>
      <c r="CI20">
        <f>SUMPRODUCT((M_BOM[Part Name]=$A20)*M_BOM[RM_Qty_Per_Batch]*IFERROR(INDEX(PP_Grid[#Data],M_BOM[PPGridRow],87),0))</f>
        <v/>
      </c>
      <c r="CJ20">
        <f>SUMPRODUCT((M_BOM[Part Name]=$A20)*M_BOM[RM_Qty_Per_Batch]*IFERROR(INDEX(PP_Grid[#Data],M_BOM[PPGridRow],88),0))</f>
        <v/>
      </c>
      <c r="CK20">
        <f>SUMPRODUCT((M_BOM[Part Name]=$A20)*M_BOM[RM_Qty_Per_Batch]*IFERROR(INDEX(PP_Grid[#Data],M_BOM[PPGridRow],89),0))</f>
        <v/>
      </c>
      <c r="CL20">
        <f>SUMPRODUCT((M_BOM[Part Name]=$A20)*M_BOM[RM_Qty_Per_Batch]*IFERROR(INDEX(PP_Grid[#Data],M_BOM[PPGridRow],90),0))</f>
        <v/>
      </c>
      <c r="CM20">
        <f>SUMPRODUCT((M_BOM[Part Name]=$A20)*M_BOM[RM_Qty_Per_Batch]*IFERROR(INDEX(PP_Grid[#Data],M_BOM[PPGridRow],91),0))</f>
        <v/>
      </c>
      <c r="CN20">
        <f>SUMPRODUCT((M_BOM[Part Name]=$A20)*M_BOM[RM_Qty_Per_Batch]*IFERROR(INDEX(PP_Grid[#Data],M_BOM[PPGridRow],92),0))</f>
        <v/>
      </c>
      <c r="CO20">
        <f>SUMPRODUCT((M_BOM[Part Name]=$A20)*M_BOM[RM_Qty_Per_Batch]*IFERROR(INDEX(PP_Grid[#Data],M_BOM[PPGridRow],93),0))</f>
        <v/>
      </c>
      <c r="CP20">
        <f>SUMPRODUCT((M_BOM[Part Name]=$A20)*M_BOM[RM_Qty_Per_Batch]*IFERROR(INDEX(PP_Grid[#Data],M_BOM[PPGridRow],94),0))</f>
        <v/>
      </c>
      <c r="CQ20">
        <f>SUMPRODUCT((M_BOM[Part Name]=$A20)*M_BOM[RM_Qty_Per_Batch]*IFERROR(INDEX(PP_Grid[#Data],M_BOM[PPGridRow],95),0))</f>
        <v/>
      </c>
      <c r="CR20">
        <f>SUMPRODUCT((M_BOM[Part Name]=$A20)*M_BOM[RM_Qty_Per_Batch]*IFERROR(INDEX(PP_Grid[#Data],M_BOM[PPGridRow],96),0))</f>
        <v/>
      </c>
      <c r="CS20">
        <f>SUMPRODUCT((M_BOM[Part Name]=$A20)*M_BOM[RM_Qty_Per_Batch]*IFERROR(INDEX(PP_Grid[#Data],M_BOM[PPGridRow],97),0))</f>
        <v/>
      </c>
      <c r="CT20">
        <f>SUMPRODUCT((M_BOM[Part Name]=$A20)*M_BOM[RM_Qty_Per_Batch]*IFERROR(INDEX(PP_Grid[#Data],M_BOM[PPGridRow],98),0))</f>
        <v/>
      </c>
      <c r="CU20">
        <f>SUMPRODUCT((M_BOM[Part Name]=$A20)*M_BOM[RM_Qty_Per_Batch]*IFERROR(INDEX(PP_Grid[#Data],M_BOM[PPGridRow],99),0))</f>
        <v/>
      </c>
      <c r="CV20">
        <f>SUMPRODUCT((M_BOM[Part Name]=$A20)*M_BOM[RM_Qty_Per_Batch]*IFERROR(INDEX(PP_Grid[#Data],M_BOM[PPGridRow],100),0))</f>
        <v/>
      </c>
      <c r="CW20">
        <f>SUMPRODUCT((M_BOM[Part Name]=$A20)*M_BOM[RM_Qty_Per_Batch]*IFERROR(INDEX(PP_Grid[#Data],M_BOM[PPGridRow],101),0))</f>
        <v/>
      </c>
      <c r="CX20">
        <f>SUMPRODUCT((M_BOM[Part Name]=$A20)*M_BOM[RM_Qty_Per_Batch]*IFERROR(INDEX(PP_Grid[#Data],M_BOM[PPGridRow],102),0))</f>
        <v/>
      </c>
      <c r="CY20">
        <f>SUMPRODUCT((M_BOM[Part Name]=$A20)*M_BOM[RM_Qty_Per_Batch]*IFERROR(INDEX(PP_Grid[#Data],M_BOM[PPGridRow],103),0))</f>
        <v/>
      </c>
      <c r="CZ20">
        <f>SUMPRODUCT((M_BOM[Part Name]=$A20)*M_BOM[RM_Qty_Per_Batch]*IFERROR(INDEX(PP_Grid[#Data],M_BOM[PPGridRow],104),0))</f>
        <v/>
      </c>
      <c r="DA20">
        <f>SUMPRODUCT((M_BOM[Part Name]=$A20)*M_BOM[RM_Qty_Per_Batch]*IFERROR(INDEX(PP_Grid[#Data],M_BOM[PPGridRow],105),0))</f>
        <v/>
      </c>
    </row>
    <row r="21">
      <c r="A21" t="inlineStr">
        <is>
          <t>CHEM-1240</t>
        </is>
      </c>
      <c r="B21">
        <f>SUMPRODUCT((M_BOM[Part Name]=$A21)*M_BOM[RM_Qty_Per_Batch]*IFERROR(INDEX(PP_Grid[#Data],M_BOM[PPGridRow],2),0))</f>
        <v/>
      </c>
      <c r="C21">
        <f>SUMPRODUCT((M_BOM[Part Name]=$A21)*M_BOM[RM_Qty_Per_Batch]*IFERROR(INDEX(PP_Grid[#Data],M_BOM[PPGridRow],3),0))</f>
        <v/>
      </c>
      <c r="D21">
        <f>SUMPRODUCT((M_BOM[Part Name]=$A21)*M_BOM[RM_Qty_Per_Batch]*IFERROR(INDEX(PP_Grid[#Data],M_BOM[PPGridRow],4),0))</f>
        <v/>
      </c>
      <c r="E21">
        <f>SUMPRODUCT((M_BOM[Part Name]=$A21)*M_BOM[RM_Qty_Per_Batch]*IFERROR(INDEX(PP_Grid[#Data],M_BOM[PPGridRow],5),0))</f>
        <v/>
      </c>
      <c r="F21">
        <f>SUMPRODUCT((M_BOM[Part Name]=$A21)*M_BOM[RM_Qty_Per_Batch]*IFERROR(INDEX(PP_Grid[#Data],M_BOM[PPGridRow],6),0))</f>
        <v/>
      </c>
      <c r="G21">
        <f>SUMPRODUCT((M_BOM[Part Name]=$A21)*M_BOM[RM_Qty_Per_Batch]*IFERROR(INDEX(PP_Grid[#Data],M_BOM[PPGridRow],7),0))</f>
        <v/>
      </c>
      <c r="H21">
        <f>SUMPRODUCT((M_BOM[Part Name]=$A21)*M_BOM[RM_Qty_Per_Batch]*IFERROR(INDEX(PP_Grid[#Data],M_BOM[PPGridRow],8),0))</f>
        <v/>
      </c>
      <c r="I21">
        <f>SUMPRODUCT((M_BOM[Part Name]=$A21)*M_BOM[RM_Qty_Per_Batch]*IFERROR(INDEX(PP_Grid[#Data],M_BOM[PPGridRow],9),0))</f>
        <v/>
      </c>
      <c r="J21">
        <f>SUMPRODUCT((M_BOM[Part Name]=$A21)*M_BOM[RM_Qty_Per_Batch]*IFERROR(INDEX(PP_Grid[#Data],M_BOM[PPGridRow],10),0))</f>
        <v/>
      </c>
      <c r="K21">
        <f>SUMPRODUCT((M_BOM[Part Name]=$A21)*M_BOM[RM_Qty_Per_Batch]*IFERROR(INDEX(PP_Grid[#Data],M_BOM[PPGridRow],11),0))</f>
        <v/>
      </c>
      <c r="L21">
        <f>SUMPRODUCT((M_BOM[Part Name]=$A21)*M_BOM[RM_Qty_Per_Batch]*IFERROR(INDEX(PP_Grid[#Data],M_BOM[PPGridRow],12),0))</f>
        <v/>
      </c>
      <c r="M21">
        <f>SUMPRODUCT((M_BOM[Part Name]=$A21)*M_BOM[RM_Qty_Per_Batch]*IFERROR(INDEX(PP_Grid[#Data],M_BOM[PPGridRow],13),0))</f>
        <v/>
      </c>
      <c r="N21">
        <f>SUMPRODUCT((M_BOM[Part Name]=$A21)*M_BOM[RM_Qty_Per_Batch]*IFERROR(INDEX(PP_Grid[#Data],M_BOM[PPGridRow],14),0))</f>
        <v/>
      </c>
      <c r="O21">
        <f>SUMPRODUCT((M_BOM[Part Name]=$A21)*M_BOM[RM_Qty_Per_Batch]*IFERROR(INDEX(PP_Grid[#Data],M_BOM[PPGridRow],15),0))</f>
        <v/>
      </c>
      <c r="P21">
        <f>SUMPRODUCT((M_BOM[Part Name]=$A21)*M_BOM[RM_Qty_Per_Batch]*IFERROR(INDEX(PP_Grid[#Data],M_BOM[PPGridRow],16),0))</f>
        <v/>
      </c>
      <c r="Q21">
        <f>SUMPRODUCT((M_BOM[Part Name]=$A21)*M_BOM[RM_Qty_Per_Batch]*IFERROR(INDEX(PP_Grid[#Data],M_BOM[PPGridRow],17),0))</f>
        <v/>
      </c>
      <c r="R21">
        <f>SUMPRODUCT((M_BOM[Part Name]=$A21)*M_BOM[RM_Qty_Per_Batch]*IFERROR(INDEX(PP_Grid[#Data],M_BOM[PPGridRow],18),0))</f>
        <v/>
      </c>
      <c r="S21">
        <f>SUMPRODUCT((M_BOM[Part Name]=$A21)*M_BOM[RM_Qty_Per_Batch]*IFERROR(INDEX(PP_Grid[#Data],M_BOM[PPGridRow],19),0))</f>
        <v/>
      </c>
      <c r="T21">
        <f>SUMPRODUCT((M_BOM[Part Name]=$A21)*M_BOM[RM_Qty_Per_Batch]*IFERROR(INDEX(PP_Grid[#Data],M_BOM[PPGridRow],20),0))</f>
        <v/>
      </c>
      <c r="U21">
        <f>SUMPRODUCT((M_BOM[Part Name]=$A21)*M_BOM[RM_Qty_Per_Batch]*IFERROR(INDEX(PP_Grid[#Data],M_BOM[PPGridRow],21),0))</f>
        <v/>
      </c>
      <c r="V21">
        <f>SUMPRODUCT((M_BOM[Part Name]=$A21)*M_BOM[RM_Qty_Per_Batch]*IFERROR(INDEX(PP_Grid[#Data],M_BOM[PPGridRow],22),0))</f>
        <v/>
      </c>
      <c r="W21">
        <f>SUMPRODUCT((M_BOM[Part Name]=$A21)*M_BOM[RM_Qty_Per_Batch]*IFERROR(INDEX(PP_Grid[#Data],M_BOM[PPGridRow],23),0))</f>
        <v/>
      </c>
      <c r="X21">
        <f>SUMPRODUCT((M_BOM[Part Name]=$A21)*M_BOM[RM_Qty_Per_Batch]*IFERROR(INDEX(PP_Grid[#Data],M_BOM[PPGridRow],24),0))</f>
        <v/>
      </c>
      <c r="Y21">
        <f>SUMPRODUCT((M_BOM[Part Name]=$A21)*M_BOM[RM_Qty_Per_Batch]*IFERROR(INDEX(PP_Grid[#Data],M_BOM[PPGridRow],25),0))</f>
        <v/>
      </c>
      <c r="Z21">
        <f>SUMPRODUCT((M_BOM[Part Name]=$A21)*M_BOM[RM_Qty_Per_Batch]*IFERROR(INDEX(PP_Grid[#Data],M_BOM[PPGridRow],26),0))</f>
        <v/>
      </c>
      <c r="AA21">
        <f>SUMPRODUCT((M_BOM[Part Name]=$A21)*M_BOM[RM_Qty_Per_Batch]*IFERROR(INDEX(PP_Grid[#Data],M_BOM[PPGridRow],27),0))</f>
        <v/>
      </c>
      <c r="AB21">
        <f>SUMPRODUCT((M_BOM[Part Name]=$A21)*M_BOM[RM_Qty_Per_Batch]*IFERROR(INDEX(PP_Grid[#Data],M_BOM[PPGridRow],28),0))</f>
        <v/>
      </c>
      <c r="AC21">
        <f>SUMPRODUCT((M_BOM[Part Name]=$A21)*M_BOM[RM_Qty_Per_Batch]*IFERROR(INDEX(PP_Grid[#Data],M_BOM[PPGridRow],29),0))</f>
        <v/>
      </c>
      <c r="AD21">
        <f>SUMPRODUCT((M_BOM[Part Name]=$A21)*M_BOM[RM_Qty_Per_Batch]*IFERROR(INDEX(PP_Grid[#Data],M_BOM[PPGridRow],30),0))</f>
        <v/>
      </c>
      <c r="AE21">
        <f>SUMPRODUCT((M_BOM[Part Name]=$A21)*M_BOM[RM_Qty_Per_Batch]*IFERROR(INDEX(PP_Grid[#Data],M_BOM[PPGridRow],31),0))</f>
        <v/>
      </c>
      <c r="AF21">
        <f>SUMPRODUCT((M_BOM[Part Name]=$A21)*M_BOM[RM_Qty_Per_Batch]*IFERROR(INDEX(PP_Grid[#Data],M_BOM[PPGridRow],32),0))</f>
        <v/>
      </c>
      <c r="AG21">
        <f>SUMPRODUCT((M_BOM[Part Name]=$A21)*M_BOM[RM_Qty_Per_Batch]*IFERROR(INDEX(PP_Grid[#Data],M_BOM[PPGridRow],33),0))</f>
        <v/>
      </c>
      <c r="AH21">
        <f>SUMPRODUCT((M_BOM[Part Name]=$A21)*M_BOM[RM_Qty_Per_Batch]*IFERROR(INDEX(PP_Grid[#Data],M_BOM[PPGridRow],34),0))</f>
        <v/>
      </c>
      <c r="AI21">
        <f>SUMPRODUCT((M_BOM[Part Name]=$A21)*M_BOM[RM_Qty_Per_Batch]*IFERROR(INDEX(PP_Grid[#Data],M_BOM[PPGridRow],35),0))</f>
        <v/>
      </c>
      <c r="AJ21">
        <f>SUMPRODUCT((M_BOM[Part Name]=$A21)*M_BOM[RM_Qty_Per_Batch]*IFERROR(INDEX(PP_Grid[#Data],M_BOM[PPGridRow],36),0))</f>
        <v/>
      </c>
      <c r="AK21">
        <f>SUMPRODUCT((M_BOM[Part Name]=$A21)*M_BOM[RM_Qty_Per_Batch]*IFERROR(INDEX(PP_Grid[#Data],M_BOM[PPGridRow],37),0))</f>
        <v/>
      </c>
      <c r="AL21">
        <f>SUMPRODUCT((M_BOM[Part Name]=$A21)*M_BOM[RM_Qty_Per_Batch]*IFERROR(INDEX(PP_Grid[#Data],M_BOM[PPGridRow],38),0))</f>
        <v/>
      </c>
      <c r="AM21">
        <f>SUMPRODUCT((M_BOM[Part Name]=$A21)*M_BOM[RM_Qty_Per_Batch]*IFERROR(INDEX(PP_Grid[#Data],M_BOM[PPGridRow],39),0))</f>
        <v/>
      </c>
      <c r="AN21">
        <f>SUMPRODUCT((M_BOM[Part Name]=$A21)*M_BOM[RM_Qty_Per_Batch]*IFERROR(INDEX(PP_Grid[#Data],M_BOM[PPGridRow],40),0))</f>
        <v/>
      </c>
      <c r="AO21">
        <f>SUMPRODUCT((M_BOM[Part Name]=$A21)*M_BOM[RM_Qty_Per_Batch]*IFERROR(INDEX(PP_Grid[#Data],M_BOM[PPGridRow],41),0))</f>
        <v/>
      </c>
      <c r="AP21">
        <f>SUMPRODUCT((M_BOM[Part Name]=$A21)*M_BOM[RM_Qty_Per_Batch]*IFERROR(INDEX(PP_Grid[#Data],M_BOM[PPGridRow],42),0))</f>
        <v/>
      </c>
      <c r="AQ21">
        <f>SUMPRODUCT((M_BOM[Part Name]=$A21)*M_BOM[RM_Qty_Per_Batch]*IFERROR(INDEX(PP_Grid[#Data],M_BOM[PPGridRow],43),0))</f>
        <v/>
      </c>
      <c r="AR21">
        <f>SUMPRODUCT((M_BOM[Part Name]=$A21)*M_BOM[RM_Qty_Per_Batch]*IFERROR(INDEX(PP_Grid[#Data],M_BOM[PPGridRow],44),0))</f>
        <v/>
      </c>
      <c r="AS21">
        <f>SUMPRODUCT((M_BOM[Part Name]=$A21)*M_BOM[RM_Qty_Per_Batch]*IFERROR(INDEX(PP_Grid[#Data],M_BOM[PPGridRow],45),0))</f>
        <v/>
      </c>
      <c r="AT21">
        <f>SUMPRODUCT((M_BOM[Part Name]=$A21)*M_BOM[RM_Qty_Per_Batch]*IFERROR(INDEX(PP_Grid[#Data],M_BOM[PPGridRow],46),0))</f>
        <v/>
      </c>
      <c r="AU21">
        <f>SUMPRODUCT((M_BOM[Part Name]=$A21)*M_BOM[RM_Qty_Per_Batch]*IFERROR(INDEX(PP_Grid[#Data],M_BOM[PPGridRow],47),0))</f>
        <v/>
      </c>
      <c r="AV21">
        <f>SUMPRODUCT((M_BOM[Part Name]=$A21)*M_BOM[RM_Qty_Per_Batch]*IFERROR(INDEX(PP_Grid[#Data],M_BOM[PPGridRow],48),0))</f>
        <v/>
      </c>
      <c r="AW21">
        <f>SUMPRODUCT((M_BOM[Part Name]=$A21)*M_BOM[RM_Qty_Per_Batch]*IFERROR(INDEX(PP_Grid[#Data],M_BOM[PPGridRow],49),0))</f>
        <v/>
      </c>
      <c r="AX21">
        <f>SUMPRODUCT((M_BOM[Part Name]=$A21)*M_BOM[RM_Qty_Per_Batch]*IFERROR(INDEX(PP_Grid[#Data],M_BOM[PPGridRow],50),0))</f>
        <v/>
      </c>
      <c r="AY21">
        <f>SUMPRODUCT((M_BOM[Part Name]=$A21)*M_BOM[RM_Qty_Per_Batch]*IFERROR(INDEX(PP_Grid[#Data],M_BOM[PPGridRow],51),0))</f>
        <v/>
      </c>
      <c r="AZ21">
        <f>SUMPRODUCT((M_BOM[Part Name]=$A21)*M_BOM[RM_Qty_Per_Batch]*IFERROR(INDEX(PP_Grid[#Data],M_BOM[PPGridRow],52),0))</f>
        <v/>
      </c>
      <c r="BA21">
        <f>SUMPRODUCT((M_BOM[Part Name]=$A21)*M_BOM[RM_Qty_Per_Batch]*IFERROR(INDEX(PP_Grid[#Data],M_BOM[PPGridRow],53),0))</f>
        <v/>
      </c>
      <c r="BB21">
        <f>SUMPRODUCT((M_BOM[Part Name]=$A21)*M_BOM[RM_Qty_Per_Batch]*IFERROR(INDEX(PP_Grid[#Data],M_BOM[PPGridRow],54),0))</f>
        <v/>
      </c>
      <c r="BC21">
        <f>SUMPRODUCT((M_BOM[Part Name]=$A21)*M_BOM[RM_Qty_Per_Batch]*IFERROR(INDEX(PP_Grid[#Data],M_BOM[PPGridRow],55),0))</f>
        <v/>
      </c>
      <c r="BD21">
        <f>SUMPRODUCT((M_BOM[Part Name]=$A21)*M_BOM[RM_Qty_Per_Batch]*IFERROR(INDEX(PP_Grid[#Data],M_BOM[PPGridRow],56),0))</f>
        <v/>
      </c>
      <c r="BE21">
        <f>SUMPRODUCT((M_BOM[Part Name]=$A21)*M_BOM[RM_Qty_Per_Batch]*IFERROR(INDEX(PP_Grid[#Data],M_BOM[PPGridRow],57),0))</f>
        <v/>
      </c>
      <c r="BF21">
        <f>SUMPRODUCT((M_BOM[Part Name]=$A21)*M_BOM[RM_Qty_Per_Batch]*IFERROR(INDEX(PP_Grid[#Data],M_BOM[PPGridRow],58),0))</f>
        <v/>
      </c>
      <c r="BG21">
        <f>SUMPRODUCT((M_BOM[Part Name]=$A21)*M_BOM[RM_Qty_Per_Batch]*IFERROR(INDEX(PP_Grid[#Data],M_BOM[PPGridRow],59),0))</f>
        <v/>
      </c>
      <c r="BH21">
        <f>SUMPRODUCT((M_BOM[Part Name]=$A21)*M_BOM[RM_Qty_Per_Batch]*IFERROR(INDEX(PP_Grid[#Data],M_BOM[PPGridRow],60),0))</f>
        <v/>
      </c>
      <c r="BI21">
        <f>SUMPRODUCT((M_BOM[Part Name]=$A21)*M_BOM[RM_Qty_Per_Batch]*IFERROR(INDEX(PP_Grid[#Data],M_BOM[PPGridRow],61),0))</f>
        <v/>
      </c>
      <c r="BJ21">
        <f>SUMPRODUCT((M_BOM[Part Name]=$A21)*M_BOM[RM_Qty_Per_Batch]*IFERROR(INDEX(PP_Grid[#Data],M_BOM[PPGridRow],62),0))</f>
        <v/>
      </c>
      <c r="BK21">
        <f>SUMPRODUCT((M_BOM[Part Name]=$A21)*M_BOM[RM_Qty_Per_Batch]*IFERROR(INDEX(PP_Grid[#Data],M_BOM[PPGridRow],63),0))</f>
        <v/>
      </c>
      <c r="BL21">
        <f>SUMPRODUCT((M_BOM[Part Name]=$A21)*M_BOM[RM_Qty_Per_Batch]*IFERROR(INDEX(PP_Grid[#Data],M_BOM[PPGridRow],64),0))</f>
        <v/>
      </c>
      <c r="BM21">
        <f>SUMPRODUCT((M_BOM[Part Name]=$A21)*M_BOM[RM_Qty_Per_Batch]*IFERROR(INDEX(PP_Grid[#Data],M_BOM[PPGridRow],65),0))</f>
        <v/>
      </c>
      <c r="BN21">
        <f>SUMPRODUCT((M_BOM[Part Name]=$A21)*M_BOM[RM_Qty_Per_Batch]*IFERROR(INDEX(PP_Grid[#Data],M_BOM[PPGridRow],66),0))</f>
        <v/>
      </c>
      <c r="BO21">
        <f>SUMPRODUCT((M_BOM[Part Name]=$A21)*M_BOM[RM_Qty_Per_Batch]*IFERROR(INDEX(PP_Grid[#Data],M_BOM[PPGridRow],67),0))</f>
        <v/>
      </c>
      <c r="BP21">
        <f>SUMPRODUCT((M_BOM[Part Name]=$A21)*M_BOM[RM_Qty_Per_Batch]*IFERROR(INDEX(PP_Grid[#Data],M_BOM[PPGridRow],68),0))</f>
        <v/>
      </c>
      <c r="BQ21">
        <f>SUMPRODUCT((M_BOM[Part Name]=$A21)*M_BOM[RM_Qty_Per_Batch]*IFERROR(INDEX(PP_Grid[#Data],M_BOM[PPGridRow],69),0))</f>
        <v/>
      </c>
      <c r="BR21">
        <f>SUMPRODUCT((M_BOM[Part Name]=$A21)*M_BOM[RM_Qty_Per_Batch]*IFERROR(INDEX(PP_Grid[#Data],M_BOM[PPGridRow],70),0))</f>
        <v/>
      </c>
      <c r="BS21">
        <f>SUMPRODUCT((M_BOM[Part Name]=$A21)*M_BOM[RM_Qty_Per_Batch]*IFERROR(INDEX(PP_Grid[#Data],M_BOM[PPGridRow],71),0))</f>
        <v/>
      </c>
      <c r="BT21">
        <f>SUMPRODUCT((M_BOM[Part Name]=$A21)*M_BOM[RM_Qty_Per_Batch]*IFERROR(INDEX(PP_Grid[#Data],M_BOM[PPGridRow],72),0))</f>
        <v/>
      </c>
      <c r="BU21">
        <f>SUMPRODUCT((M_BOM[Part Name]=$A21)*M_BOM[RM_Qty_Per_Batch]*IFERROR(INDEX(PP_Grid[#Data],M_BOM[PPGridRow],73),0))</f>
        <v/>
      </c>
      <c r="BV21">
        <f>SUMPRODUCT((M_BOM[Part Name]=$A21)*M_BOM[RM_Qty_Per_Batch]*IFERROR(INDEX(PP_Grid[#Data],M_BOM[PPGridRow],74),0))</f>
        <v/>
      </c>
      <c r="BW21">
        <f>SUMPRODUCT((M_BOM[Part Name]=$A21)*M_BOM[RM_Qty_Per_Batch]*IFERROR(INDEX(PP_Grid[#Data],M_BOM[PPGridRow],75),0))</f>
        <v/>
      </c>
      <c r="BX21">
        <f>SUMPRODUCT((M_BOM[Part Name]=$A21)*M_BOM[RM_Qty_Per_Batch]*IFERROR(INDEX(PP_Grid[#Data],M_BOM[PPGridRow],76),0))</f>
        <v/>
      </c>
      <c r="BY21">
        <f>SUMPRODUCT((M_BOM[Part Name]=$A21)*M_BOM[RM_Qty_Per_Batch]*IFERROR(INDEX(PP_Grid[#Data],M_BOM[PPGridRow],77),0))</f>
        <v/>
      </c>
      <c r="BZ21">
        <f>SUMPRODUCT((M_BOM[Part Name]=$A21)*M_BOM[RM_Qty_Per_Batch]*IFERROR(INDEX(PP_Grid[#Data],M_BOM[PPGridRow],78),0))</f>
        <v/>
      </c>
      <c r="CA21">
        <f>SUMPRODUCT((M_BOM[Part Name]=$A21)*M_BOM[RM_Qty_Per_Batch]*IFERROR(INDEX(PP_Grid[#Data],M_BOM[PPGridRow],79),0))</f>
        <v/>
      </c>
      <c r="CB21">
        <f>SUMPRODUCT((M_BOM[Part Name]=$A21)*M_BOM[RM_Qty_Per_Batch]*IFERROR(INDEX(PP_Grid[#Data],M_BOM[PPGridRow],80),0))</f>
        <v/>
      </c>
      <c r="CC21">
        <f>SUMPRODUCT((M_BOM[Part Name]=$A21)*M_BOM[RM_Qty_Per_Batch]*IFERROR(INDEX(PP_Grid[#Data],M_BOM[PPGridRow],81),0))</f>
        <v/>
      </c>
      <c r="CD21">
        <f>SUMPRODUCT((M_BOM[Part Name]=$A21)*M_BOM[RM_Qty_Per_Batch]*IFERROR(INDEX(PP_Grid[#Data],M_BOM[PPGridRow],82),0))</f>
        <v/>
      </c>
      <c r="CE21">
        <f>SUMPRODUCT((M_BOM[Part Name]=$A21)*M_BOM[RM_Qty_Per_Batch]*IFERROR(INDEX(PP_Grid[#Data],M_BOM[PPGridRow],83),0))</f>
        <v/>
      </c>
      <c r="CF21">
        <f>SUMPRODUCT((M_BOM[Part Name]=$A21)*M_BOM[RM_Qty_Per_Batch]*IFERROR(INDEX(PP_Grid[#Data],M_BOM[PPGridRow],84),0))</f>
        <v/>
      </c>
      <c r="CG21">
        <f>SUMPRODUCT((M_BOM[Part Name]=$A21)*M_BOM[RM_Qty_Per_Batch]*IFERROR(INDEX(PP_Grid[#Data],M_BOM[PPGridRow],85),0))</f>
        <v/>
      </c>
      <c r="CH21">
        <f>SUMPRODUCT((M_BOM[Part Name]=$A21)*M_BOM[RM_Qty_Per_Batch]*IFERROR(INDEX(PP_Grid[#Data],M_BOM[PPGridRow],86),0))</f>
        <v/>
      </c>
      <c r="CI21">
        <f>SUMPRODUCT((M_BOM[Part Name]=$A21)*M_BOM[RM_Qty_Per_Batch]*IFERROR(INDEX(PP_Grid[#Data],M_BOM[PPGridRow],87),0))</f>
        <v/>
      </c>
      <c r="CJ21">
        <f>SUMPRODUCT((M_BOM[Part Name]=$A21)*M_BOM[RM_Qty_Per_Batch]*IFERROR(INDEX(PP_Grid[#Data],M_BOM[PPGridRow],88),0))</f>
        <v/>
      </c>
      <c r="CK21">
        <f>SUMPRODUCT((M_BOM[Part Name]=$A21)*M_BOM[RM_Qty_Per_Batch]*IFERROR(INDEX(PP_Grid[#Data],M_BOM[PPGridRow],89),0))</f>
        <v/>
      </c>
      <c r="CL21">
        <f>SUMPRODUCT((M_BOM[Part Name]=$A21)*M_BOM[RM_Qty_Per_Batch]*IFERROR(INDEX(PP_Grid[#Data],M_BOM[PPGridRow],90),0))</f>
        <v/>
      </c>
      <c r="CM21">
        <f>SUMPRODUCT((M_BOM[Part Name]=$A21)*M_BOM[RM_Qty_Per_Batch]*IFERROR(INDEX(PP_Grid[#Data],M_BOM[PPGridRow],91),0))</f>
        <v/>
      </c>
      <c r="CN21">
        <f>SUMPRODUCT((M_BOM[Part Name]=$A21)*M_BOM[RM_Qty_Per_Batch]*IFERROR(INDEX(PP_Grid[#Data],M_BOM[PPGridRow],92),0))</f>
        <v/>
      </c>
      <c r="CO21">
        <f>SUMPRODUCT((M_BOM[Part Name]=$A21)*M_BOM[RM_Qty_Per_Batch]*IFERROR(INDEX(PP_Grid[#Data],M_BOM[PPGridRow],93),0))</f>
        <v/>
      </c>
      <c r="CP21">
        <f>SUMPRODUCT((M_BOM[Part Name]=$A21)*M_BOM[RM_Qty_Per_Batch]*IFERROR(INDEX(PP_Grid[#Data],M_BOM[PPGridRow],94),0))</f>
        <v/>
      </c>
      <c r="CQ21">
        <f>SUMPRODUCT((M_BOM[Part Name]=$A21)*M_BOM[RM_Qty_Per_Batch]*IFERROR(INDEX(PP_Grid[#Data],M_BOM[PPGridRow],95),0))</f>
        <v/>
      </c>
      <c r="CR21">
        <f>SUMPRODUCT((M_BOM[Part Name]=$A21)*M_BOM[RM_Qty_Per_Batch]*IFERROR(INDEX(PP_Grid[#Data],M_BOM[PPGridRow],96),0))</f>
        <v/>
      </c>
      <c r="CS21">
        <f>SUMPRODUCT((M_BOM[Part Name]=$A21)*M_BOM[RM_Qty_Per_Batch]*IFERROR(INDEX(PP_Grid[#Data],M_BOM[PPGridRow],97),0))</f>
        <v/>
      </c>
      <c r="CT21">
        <f>SUMPRODUCT((M_BOM[Part Name]=$A21)*M_BOM[RM_Qty_Per_Batch]*IFERROR(INDEX(PP_Grid[#Data],M_BOM[PPGridRow],98),0))</f>
        <v/>
      </c>
      <c r="CU21">
        <f>SUMPRODUCT((M_BOM[Part Name]=$A21)*M_BOM[RM_Qty_Per_Batch]*IFERROR(INDEX(PP_Grid[#Data],M_BOM[PPGridRow],99),0))</f>
        <v/>
      </c>
      <c r="CV21">
        <f>SUMPRODUCT((M_BOM[Part Name]=$A21)*M_BOM[RM_Qty_Per_Batch]*IFERROR(INDEX(PP_Grid[#Data],M_BOM[PPGridRow],100),0))</f>
        <v/>
      </c>
      <c r="CW21">
        <f>SUMPRODUCT((M_BOM[Part Name]=$A21)*M_BOM[RM_Qty_Per_Batch]*IFERROR(INDEX(PP_Grid[#Data],M_BOM[PPGridRow],101),0))</f>
        <v/>
      </c>
      <c r="CX21">
        <f>SUMPRODUCT((M_BOM[Part Name]=$A21)*M_BOM[RM_Qty_Per_Batch]*IFERROR(INDEX(PP_Grid[#Data],M_BOM[PPGridRow],102),0))</f>
        <v/>
      </c>
      <c r="CY21">
        <f>SUMPRODUCT((M_BOM[Part Name]=$A21)*M_BOM[RM_Qty_Per_Batch]*IFERROR(INDEX(PP_Grid[#Data],M_BOM[PPGridRow],103),0))</f>
        <v/>
      </c>
      <c r="CZ21">
        <f>SUMPRODUCT((M_BOM[Part Name]=$A21)*M_BOM[RM_Qty_Per_Batch]*IFERROR(INDEX(PP_Grid[#Data],M_BOM[PPGridRow],104),0))</f>
        <v/>
      </c>
      <c r="DA21">
        <f>SUMPRODUCT((M_BOM[Part Name]=$A21)*M_BOM[RM_Qty_Per_Batch]*IFERROR(INDEX(PP_Grid[#Data],M_BOM[PPGridRow],105),0))</f>
        <v/>
      </c>
    </row>
    <row r="22">
      <c r="A22" t="inlineStr">
        <is>
          <t>0JN</t>
        </is>
      </c>
      <c r="B22">
        <f>SUMPRODUCT((M_BOM[Part Name]=$A22)*M_BOM[RM_Qty_Per_Batch]*IFERROR(INDEX(PP_Grid[#Data],M_BOM[PPGridRow],2),0))</f>
        <v/>
      </c>
      <c r="C22">
        <f>SUMPRODUCT((M_BOM[Part Name]=$A22)*M_BOM[RM_Qty_Per_Batch]*IFERROR(INDEX(PP_Grid[#Data],M_BOM[PPGridRow],3),0))</f>
        <v/>
      </c>
      <c r="D22">
        <f>SUMPRODUCT((M_BOM[Part Name]=$A22)*M_BOM[RM_Qty_Per_Batch]*IFERROR(INDEX(PP_Grid[#Data],M_BOM[PPGridRow],4),0))</f>
        <v/>
      </c>
      <c r="E22">
        <f>SUMPRODUCT((M_BOM[Part Name]=$A22)*M_BOM[RM_Qty_Per_Batch]*IFERROR(INDEX(PP_Grid[#Data],M_BOM[PPGridRow],5),0))</f>
        <v/>
      </c>
      <c r="F22">
        <f>SUMPRODUCT((M_BOM[Part Name]=$A22)*M_BOM[RM_Qty_Per_Batch]*IFERROR(INDEX(PP_Grid[#Data],M_BOM[PPGridRow],6),0))</f>
        <v/>
      </c>
      <c r="G22">
        <f>SUMPRODUCT((M_BOM[Part Name]=$A22)*M_BOM[RM_Qty_Per_Batch]*IFERROR(INDEX(PP_Grid[#Data],M_BOM[PPGridRow],7),0))</f>
        <v/>
      </c>
      <c r="H22">
        <f>SUMPRODUCT((M_BOM[Part Name]=$A22)*M_BOM[RM_Qty_Per_Batch]*IFERROR(INDEX(PP_Grid[#Data],M_BOM[PPGridRow],8),0))</f>
        <v/>
      </c>
      <c r="I22">
        <f>SUMPRODUCT((M_BOM[Part Name]=$A22)*M_BOM[RM_Qty_Per_Batch]*IFERROR(INDEX(PP_Grid[#Data],M_BOM[PPGridRow],9),0))</f>
        <v/>
      </c>
      <c r="J22">
        <f>SUMPRODUCT((M_BOM[Part Name]=$A22)*M_BOM[RM_Qty_Per_Batch]*IFERROR(INDEX(PP_Grid[#Data],M_BOM[PPGridRow],10),0))</f>
        <v/>
      </c>
      <c r="K22">
        <f>SUMPRODUCT((M_BOM[Part Name]=$A22)*M_BOM[RM_Qty_Per_Batch]*IFERROR(INDEX(PP_Grid[#Data],M_BOM[PPGridRow],11),0))</f>
        <v/>
      </c>
      <c r="L22">
        <f>SUMPRODUCT((M_BOM[Part Name]=$A22)*M_BOM[RM_Qty_Per_Batch]*IFERROR(INDEX(PP_Grid[#Data],M_BOM[PPGridRow],12),0))</f>
        <v/>
      </c>
      <c r="M22">
        <f>SUMPRODUCT((M_BOM[Part Name]=$A22)*M_BOM[RM_Qty_Per_Batch]*IFERROR(INDEX(PP_Grid[#Data],M_BOM[PPGridRow],13),0))</f>
        <v/>
      </c>
      <c r="N22">
        <f>SUMPRODUCT((M_BOM[Part Name]=$A22)*M_BOM[RM_Qty_Per_Batch]*IFERROR(INDEX(PP_Grid[#Data],M_BOM[PPGridRow],14),0))</f>
        <v/>
      </c>
      <c r="O22">
        <f>SUMPRODUCT((M_BOM[Part Name]=$A22)*M_BOM[RM_Qty_Per_Batch]*IFERROR(INDEX(PP_Grid[#Data],M_BOM[PPGridRow],15),0))</f>
        <v/>
      </c>
      <c r="P22">
        <f>SUMPRODUCT((M_BOM[Part Name]=$A22)*M_BOM[RM_Qty_Per_Batch]*IFERROR(INDEX(PP_Grid[#Data],M_BOM[PPGridRow],16),0))</f>
        <v/>
      </c>
      <c r="Q22">
        <f>SUMPRODUCT((M_BOM[Part Name]=$A22)*M_BOM[RM_Qty_Per_Batch]*IFERROR(INDEX(PP_Grid[#Data],M_BOM[PPGridRow],17),0))</f>
        <v/>
      </c>
      <c r="R22">
        <f>SUMPRODUCT((M_BOM[Part Name]=$A22)*M_BOM[RM_Qty_Per_Batch]*IFERROR(INDEX(PP_Grid[#Data],M_BOM[PPGridRow],18),0))</f>
        <v/>
      </c>
      <c r="S22">
        <f>SUMPRODUCT((M_BOM[Part Name]=$A22)*M_BOM[RM_Qty_Per_Batch]*IFERROR(INDEX(PP_Grid[#Data],M_BOM[PPGridRow],19),0))</f>
        <v/>
      </c>
      <c r="T22">
        <f>SUMPRODUCT((M_BOM[Part Name]=$A22)*M_BOM[RM_Qty_Per_Batch]*IFERROR(INDEX(PP_Grid[#Data],M_BOM[PPGridRow],20),0))</f>
        <v/>
      </c>
      <c r="U22">
        <f>SUMPRODUCT((M_BOM[Part Name]=$A22)*M_BOM[RM_Qty_Per_Batch]*IFERROR(INDEX(PP_Grid[#Data],M_BOM[PPGridRow],21),0))</f>
        <v/>
      </c>
      <c r="V22">
        <f>SUMPRODUCT((M_BOM[Part Name]=$A22)*M_BOM[RM_Qty_Per_Batch]*IFERROR(INDEX(PP_Grid[#Data],M_BOM[PPGridRow],22),0))</f>
        <v/>
      </c>
      <c r="W22">
        <f>SUMPRODUCT((M_BOM[Part Name]=$A22)*M_BOM[RM_Qty_Per_Batch]*IFERROR(INDEX(PP_Grid[#Data],M_BOM[PPGridRow],23),0))</f>
        <v/>
      </c>
      <c r="X22">
        <f>SUMPRODUCT((M_BOM[Part Name]=$A22)*M_BOM[RM_Qty_Per_Batch]*IFERROR(INDEX(PP_Grid[#Data],M_BOM[PPGridRow],24),0))</f>
        <v/>
      </c>
      <c r="Y22">
        <f>SUMPRODUCT((M_BOM[Part Name]=$A22)*M_BOM[RM_Qty_Per_Batch]*IFERROR(INDEX(PP_Grid[#Data],M_BOM[PPGridRow],25),0))</f>
        <v/>
      </c>
      <c r="Z22">
        <f>SUMPRODUCT((M_BOM[Part Name]=$A22)*M_BOM[RM_Qty_Per_Batch]*IFERROR(INDEX(PP_Grid[#Data],M_BOM[PPGridRow],26),0))</f>
        <v/>
      </c>
      <c r="AA22">
        <f>SUMPRODUCT((M_BOM[Part Name]=$A22)*M_BOM[RM_Qty_Per_Batch]*IFERROR(INDEX(PP_Grid[#Data],M_BOM[PPGridRow],27),0))</f>
        <v/>
      </c>
      <c r="AB22">
        <f>SUMPRODUCT((M_BOM[Part Name]=$A22)*M_BOM[RM_Qty_Per_Batch]*IFERROR(INDEX(PP_Grid[#Data],M_BOM[PPGridRow],28),0))</f>
        <v/>
      </c>
      <c r="AC22">
        <f>SUMPRODUCT((M_BOM[Part Name]=$A22)*M_BOM[RM_Qty_Per_Batch]*IFERROR(INDEX(PP_Grid[#Data],M_BOM[PPGridRow],29),0))</f>
        <v/>
      </c>
      <c r="AD22">
        <f>SUMPRODUCT((M_BOM[Part Name]=$A22)*M_BOM[RM_Qty_Per_Batch]*IFERROR(INDEX(PP_Grid[#Data],M_BOM[PPGridRow],30),0))</f>
        <v/>
      </c>
      <c r="AE22">
        <f>SUMPRODUCT((M_BOM[Part Name]=$A22)*M_BOM[RM_Qty_Per_Batch]*IFERROR(INDEX(PP_Grid[#Data],M_BOM[PPGridRow],31),0))</f>
        <v/>
      </c>
      <c r="AF22">
        <f>SUMPRODUCT((M_BOM[Part Name]=$A22)*M_BOM[RM_Qty_Per_Batch]*IFERROR(INDEX(PP_Grid[#Data],M_BOM[PPGridRow],32),0))</f>
        <v/>
      </c>
      <c r="AG22">
        <f>SUMPRODUCT((M_BOM[Part Name]=$A22)*M_BOM[RM_Qty_Per_Batch]*IFERROR(INDEX(PP_Grid[#Data],M_BOM[PPGridRow],33),0))</f>
        <v/>
      </c>
      <c r="AH22">
        <f>SUMPRODUCT((M_BOM[Part Name]=$A22)*M_BOM[RM_Qty_Per_Batch]*IFERROR(INDEX(PP_Grid[#Data],M_BOM[PPGridRow],34),0))</f>
        <v/>
      </c>
      <c r="AI22">
        <f>SUMPRODUCT((M_BOM[Part Name]=$A22)*M_BOM[RM_Qty_Per_Batch]*IFERROR(INDEX(PP_Grid[#Data],M_BOM[PPGridRow],35),0))</f>
        <v/>
      </c>
      <c r="AJ22">
        <f>SUMPRODUCT((M_BOM[Part Name]=$A22)*M_BOM[RM_Qty_Per_Batch]*IFERROR(INDEX(PP_Grid[#Data],M_BOM[PPGridRow],36),0))</f>
        <v/>
      </c>
      <c r="AK22">
        <f>SUMPRODUCT((M_BOM[Part Name]=$A22)*M_BOM[RM_Qty_Per_Batch]*IFERROR(INDEX(PP_Grid[#Data],M_BOM[PPGridRow],37),0))</f>
        <v/>
      </c>
      <c r="AL22">
        <f>SUMPRODUCT((M_BOM[Part Name]=$A22)*M_BOM[RM_Qty_Per_Batch]*IFERROR(INDEX(PP_Grid[#Data],M_BOM[PPGridRow],38),0))</f>
        <v/>
      </c>
      <c r="AM22">
        <f>SUMPRODUCT((M_BOM[Part Name]=$A22)*M_BOM[RM_Qty_Per_Batch]*IFERROR(INDEX(PP_Grid[#Data],M_BOM[PPGridRow],39),0))</f>
        <v/>
      </c>
      <c r="AN22">
        <f>SUMPRODUCT((M_BOM[Part Name]=$A22)*M_BOM[RM_Qty_Per_Batch]*IFERROR(INDEX(PP_Grid[#Data],M_BOM[PPGridRow],40),0))</f>
        <v/>
      </c>
      <c r="AO22">
        <f>SUMPRODUCT((M_BOM[Part Name]=$A22)*M_BOM[RM_Qty_Per_Batch]*IFERROR(INDEX(PP_Grid[#Data],M_BOM[PPGridRow],41),0))</f>
        <v/>
      </c>
      <c r="AP22">
        <f>SUMPRODUCT((M_BOM[Part Name]=$A22)*M_BOM[RM_Qty_Per_Batch]*IFERROR(INDEX(PP_Grid[#Data],M_BOM[PPGridRow],42),0))</f>
        <v/>
      </c>
      <c r="AQ22">
        <f>SUMPRODUCT((M_BOM[Part Name]=$A22)*M_BOM[RM_Qty_Per_Batch]*IFERROR(INDEX(PP_Grid[#Data],M_BOM[PPGridRow],43),0))</f>
        <v/>
      </c>
      <c r="AR22">
        <f>SUMPRODUCT((M_BOM[Part Name]=$A22)*M_BOM[RM_Qty_Per_Batch]*IFERROR(INDEX(PP_Grid[#Data],M_BOM[PPGridRow],44),0))</f>
        <v/>
      </c>
      <c r="AS22">
        <f>SUMPRODUCT((M_BOM[Part Name]=$A22)*M_BOM[RM_Qty_Per_Batch]*IFERROR(INDEX(PP_Grid[#Data],M_BOM[PPGridRow],45),0))</f>
        <v/>
      </c>
      <c r="AT22">
        <f>SUMPRODUCT((M_BOM[Part Name]=$A22)*M_BOM[RM_Qty_Per_Batch]*IFERROR(INDEX(PP_Grid[#Data],M_BOM[PPGridRow],46),0))</f>
        <v/>
      </c>
      <c r="AU22">
        <f>SUMPRODUCT((M_BOM[Part Name]=$A22)*M_BOM[RM_Qty_Per_Batch]*IFERROR(INDEX(PP_Grid[#Data],M_BOM[PPGridRow],47),0))</f>
        <v/>
      </c>
      <c r="AV22">
        <f>SUMPRODUCT((M_BOM[Part Name]=$A22)*M_BOM[RM_Qty_Per_Batch]*IFERROR(INDEX(PP_Grid[#Data],M_BOM[PPGridRow],48),0))</f>
        <v/>
      </c>
      <c r="AW22">
        <f>SUMPRODUCT((M_BOM[Part Name]=$A22)*M_BOM[RM_Qty_Per_Batch]*IFERROR(INDEX(PP_Grid[#Data],M_BOM[PPGridRow],49),0))</f>
        <v/>
      </c>
      <c r="AX22">
        <f>SUMPRODUCT((M_BOM[Part Name]=$A22)*M_BOM[RM_Qty_Per_Batch]*IFERROR(INDEX(PP_Grid[#Data],M_BOM[PPGridRow],50),0))</f>
        <v/>
      </c>
      <c r="AY22">
        <f>SUMPRODUCT((M_BOM[Part Name]=$A22)*M_BOM[RM_Qty_Per_Batch]*IFERROR(INDEX(PP_Grid[#Data],M_BOM[PPGridRow],51),0))</f>
        <v/>
      </c>
      <c r="AZ22">
        <f>SUMPRODUCT((M_BOM[Part Name]=$A22)*M_BOM[RM_Qty_Per_Batch]*IFERROR(INDEX(PP_Grid[#Data],M_BOM[PPGridRow],52),0))</f>
        <v/>
      </c>
      <c r="BA22">
        <f>SUMPRODUCT((M_BOM[Part Name]=$A22)*M_BOM[RM_Qty_Per_Batch]*IFERROR(INDEX(PP_Grid[#Data],M_BOM[PPGridRow],53),0))</f>
        <v/>
      </c>
      <c r="BB22">
        <f>SUMPRODUCT((M_BOM[Part Name]=$A22)*M_BOM[RM_Qty_Per_Batch]*IFERROR(INDEX(PP_Grid[#Data],M_BOM[PPGridRow],54),0))</f>
        <v/>
      </c>
      <c r="BC22">
        <f>SUMPRODUCT((M_BOM[Part Name]=$A22)*M_BOM[RM_Qty_Per_Batch]*IFERROR(INDEX(PP_Grid[#Data],M_BOM[PPGridRow],55),0))</f>
        <v/>
      </c>
      <c r="BD22">
        <f>SUMPRODUCT((M_BOM[Part Name]=$A22)*M_BOM[RM_Qty_Per_Batch]*IFERROR(INDEX(PP_Grid[#Data],M_BOM[PPGridRow],56),0))</f>
        <v/>
      </c>
      <c r="BE22">
        <f>SUMPRODUCT((M_BOM[Part Name]=$A22)*M_BOM[RM_Qty_Per_Batch]*IFERROR(INDEX(PP_Grid[#Data],M_BOM[PPGridRow],57),0))</f>
        <v/>
      </c>
      <c r="BF22">
        <f>SUMPRODUCT((M_BOM[Part Name]=$A22)*M_BOM[RM_Qty_Per_Batch]*IFERROR(INDEX(PP_Grid[#Data],M_BOM[PPGridRow],58),0))</f>
        <v/>
      </c>
      <c r="BG22">
        <f>SUMPRODUCT((M_BOM[Part Name]=$A22)*M_BOM[RM_Qty_Per_Batch]*IFERROR(INDEX(PP_Grid[#Data],M_BOM[PPGridRow],59),0))</f>
        <v/>
      </c>
      <c r="BH22">
        <f>SUMPRODUCT((M_BOM[Part Name]=$A22)*M_BOM[RM_Qty_Per_Batch]*IFERROR(INDEX(PP_Grid[#Data],M_BOM[PPGridRow],60),0))</f>
        <v/>
      </c>
      <c r="BI22">
        <f>SUMPRODUCT((M_BOM[Part Name]=$A22)*M_BOM[RM_Qty_Per_Batch]*IFERROR(INDEX(PP_Grid[#Data],M_BOM[PPGridRow],61),0))</f>
        <v/>
      </c>
      <c r="BJ22">
        <f>SUMPRODUCT((M_BOM[Part Name]=$A22)*M_BOM[RM_Qty_Per_Batch]*IFERROR(INDEX(PP_Grid[#Data],M_BOM[PPGridRow],62),0))</f>
        <v/>
      </c>
      <c r="BK22">
        <f>SUMPRODUCT((M_BOM[Part Name]=$A22)*M_BOM[RM_Qty_Per_Batch]*IFERROR(INDEX(PP_Grid[#Data],M_BOM[PPGridRow],63),0))</f>
        <v/>
      </c>
      <c r="BL22">
        <f>SUMPRODUCT((M_BOM[Part Name]=$A22)*M_BOM[RM_Qty_Per_Batch]*IFERROR(INDEX(PP_Grid[#Data],M_BOM[PPGridRow],64),0))</f>
        <v/>
      </c>
      <c r="BM22">
        <f>SUMPRODUCT((M_BOM[Part Name]=$A22)*M_BOM[RM_Qty_Per_Batch]*IFERROR(INDEX(PP_Grid[#Data],M_BOM[PPGridRow],65),0))</f>
        <v/>
      </c>
      <c r="BN22">
        <f>SUMPRODUCT((M_BOM[Part Name]=$A22)*M_BOM[RM_Qty_Per_Batch]*IFERROR(INDEX(PP_Grid[#Data],M_BOM[PPGridRow],66),0))</f>
        <v/>
      </c>
      <c r="BO22">
        <f>SUMPRODUCT((M_BOM[Part Name]=$A22)*M_BOM[RM_Qty_Per_Batch]*IFERROR(INDEX(PP_Grid[#Data],M_BOM[PPGridRow],67),0))</f>
        <v/>
      </c>
      <c r="BP22">
        <f>SUMPRODUCT((M_BOM[Part Name]=$A22)*M_BOM[RM_Qty_Per_Batch]*IFERROR(INDEX(PP_Grid[#Data],M_BOM[PPGridRow],68),0))</f>
        <v/>
      </c>
      <c r="BQ22">
        <f>SUMPRODUCT((M_BOM[Part Name]=$A22)*M_BOM[RM_Qty_Per_Batch]*IFERROR(INDEX(PP_Grid[#Data],M_BOM[PPGridRow],69),0))</f>
        <v/>
      </c>
      <c r="BR22">
        <f>SUMPRODUCT((M_BOM[Part Name]=$A22)*M_BOM[RM_Qty_Per_Batch]*IFERROR(INDEX(PP_Grid[#Data],M_BOM[PPGridRow],70),0))</f>
        <v/>
      </c>
      <c r="BS22">
        <f>SUMPRODUCT((M_BOM[Part Name]=$A22)*M_BOM[RM_Qty_Per_Batch]*IFERROR(INDEX(PP_Grid[#Data],M_BOM[PPGridRow],71),0))</f>
        <v/>
      </c>
      <c r="BT22">
        <f>SUMPRODUCT((M_BOM[Part Name]=$A22)*M_BOM[RM_Qty_Per_Batch]*IFERROR(INDEX(PP_Grid[#Data],M_BOM[PPGridRow],72),0))</f>
        <v/>
      </c>
      <c r="BU22">
        <f>SUMPRODUCT((M_BOM[Part Name]=$A22)*M_BOM[RM_Qty_Per_Batch]*IFERROR(INDEX(PP_Grid[#Data],M_BOM[PPGridRow],73),0))</f>
        <v/>
      </c>
      <c r="BV22">
        <f>SUMPRODUCT((M_BOM[Part Name]=$A22)*M_BOM[RM_Qty_Per_Batch]*IFERROR(INDEX(PP_Grid[#Data],M_BOM[PPGridRow],74),0))</f>
        <v/>
      </c>
      <c r="BW22">
        <f>SUMPRODUCT((M_BOM[Part Name]=$A22)*M_BOM[RM_Qty_Per_Batch]*IFERROR(INDEX(PP_Grid[#Data],M_BOM[PPGridRow],75),0))</f>
        <v/>
      </c>
      <c r="BX22">
        <f>SUMPRODUCT((M_BOM[Part Name]=$A22)*M_BOM[RM_Qty_Per_Batch]*IFERROR(INDEX(PP_Grid[#Data],M_BOM[PPGridRow],76),0))</f>
        <v/>
      </c>
      <c r="BY22">
        <f>SUMPRODUCT((M_BOM[Part Name]=$A22)*M_BOM[RM_Qty_Per_Batch]*IFERROR(INDEX(PP_Grid[#Data],M_BOM[PPGridRow],77),0))</f>
        <v/>
      </c>
      <c r="BZ22">
        <f>SUMPRODUCT((M_BOM[Part Name]=$A22)*M_BOM[RM_Qty_Per_Batch]*IFERROR(INDEX(PP_Grid[#Data],M_BOM[PPGridRow],78),0))</f>
        <v/>
      </c>
      <c r="CA22">
        <f>SUMPRODUCT((M_BOM[Part Name]=$A22)*M_BOM[RM_Qty_Per_Batch]*IFERROR(INDEX(PP_Grid[#Data],M_BOM[PPGridRow],79),0))</f>
        <v/>
      </c>
      <c r="CB22">
        <f>SUMPRODUCT((M_BOM[Part Name]=$A22)*M_BOM[RM_Qty_Per_Batch]*IFERROR(INDEX(PP_Grid[#Data],M_BOM[PPGridRow],80),0))</f>
        <v/>
      </c>
      <c r="CC22">
        <f>SUMPRODUCT((M_BOM[Part Name]=$A22)*M_BOM[RM_Qty_Per_Batch]*IFERROR(INDEX(PP_Grid[#Data],M_BOM[PPGridRow],81),0))</f>
        <v/>
      </c>
      <c r="CD22">
        <f>SUMPRODUCT((M_BOM[Part Name]=$A22)*M_BOM[RM_Qty_Per_Batch]*IFERROR(INDEX(PP_Grid[#Data],M_BOM[PPGridRow],82),0))</f>
        <v/>
      </c>
      <c r="CE22">
        <f>SUMPRODUCT((M_BOM[Part Name]=$A22)*M_BOM[RM_Qty_Per_Batch]*IFERROR(INDEX(PP_Grid[#Data],M_BOM[PPGridRow],83),0))</f>
        <v/>
      </c>
      <c r="CF22">
        <f>SUMPRODUCT((M_BOM[Part Name]=$A22)*M_BOM[RM_Qty_Per_Batch]*IFERROR(INDEX(PP_Grid[#Data],M_BOM[PPGridRow],84),0))</f>
        <v/>
      </c>
      <c r="CG22">
        <f>SUMPRODUCT((M_BOM[Part Name]=$A22)*M_BOM[RM_Qty_Per_Batch]*IFERROR(INDEX(PP_Grid[#Data],M_BOM[PPGridRow],85),0))</f>
        <v/>
      </c>
      <c r="CH22">
        <f>SUMPRODUCT((M_BOM[Part Name]=$A22)*M_BOM[RM_Qty_Per_Batch]*IFERROR(INDEX(PP_Grid[#Data],M_BOM[PPGridRow],86),0))</f>
        <v/>
      </c>
      <c r="CI22">
        <f>SUMPRODUCT((M_BOM[Part Name]=$A22)*M_BOM[RM_Qty_Per_Batch]*IFERROR(INDEX(PP_Grid[#Data],M_BOM[PPGridRow],87),0))</f>
        <v/>
      </c>
      <c r="CJ22">
        <f>SUMPRODUCT((M_BOM[Part Name]=$A22)*M_BOM[RM_Qty_Per_Batch]*IFERROR(INDEX(PP_Grid[#Data],M_BOM[PPGridRow],88),0))</f>
        <v/>
      </c>
      <c r="CK22">
        <f>SUMPRODUCT((M_BOM[Part Name]=$A22)*M_BOM[RM_Qty_Per_Batch]*IFERROR(INDEX(PP_Grid[#Data],M_BOM[PPGridRow],89),0))</f>
        <v/>
      </c>
      <c r="CL22">
        <f>SUMPRODUCT((M_BOM[Part Name]=$A22)*M_BOM[RM_Qty_Per_Batch]*IFERROR(INDEX(PP_Grid[#Data],M_BOM[PPGridRow],90),0))</f>
        <v/>
      </c>
      <c r="CM22">
        <f>SUMPRODUCT((M_BOM[Part Name]=$A22)*M_BOM[RM_Qty_Per_Batch]*IFERROR(INDEX(PP_Grid[#Data],M_BOM[PPGridRow],91),0))</f>
        <v/>
      </c>
      <c r="CN22">
        <f>SUMPRODUCT((M_BOM[Part Name]=$A22)*M_BOM[RM_Qty_Per_Batch]*IFERROR(INDEX(PP_Grid[#Data],M_BOM[PPGridRow],92),0))</f>
        <v/>
      </c>
      <c r="CO22">
        <f>SUMPRODUCT((M_BOM[Part Name]=$A22)*M_BOM[RM_Qty_Per_Batch]*IFERROR(INDEX(PP_Grid[#Data],M_BOM[PPGridRow],93),0))</f>
        <v/>
      </c>
      <c r="CP22">
        <f>SUMPRODUCT((M_BOM[Part Name]=$A22)*M_BOM[RM_Qty_Per_Batch]*IFERROR(INDEX(PP_Grid[#Data],M_BOM[PPGridRow],94),0))</f>
        <v/>
      </c>
      <c r="CQ22">
        <f>SUMPRODUCT((M_BOM[Part Name]=$A22)*M_BOM[RM_Qty_Per_Batch]*IFERROR(INDEX(PP_Grid[#Data],M_BOM[PPGridRow],95),0))</f>
        <v/>
      </c>
      <c r="CR22">
        <f>SUMPRODUCT((M_BOM[Part Name]=$A22)*M_BOM[RM_Qty_Per_Batch]*IFERROR(INDEX(PP_Grid[#Data],M_BOM[PPGridRow],96),0))</f>
        <v/>
      </c>
      <c r="CS22">
        <f>SUMPRODUCT((M_BOM[Part Name]=$A22)*M_BOM[RM_Qty_Per_Batch]*IFERROR(INDEX(PP_Grid[#Data],M_BOM[PPGridRow],97),0))</f>
        <v/>
      </c>
      <c r="CT22">
        <f>SUMPRODUCT((M_BOM[Part Name]=$A22)*M_BOM[RM_Qty_Per_Batch]*IFERROR(INDEX(PP_Grid[#Data],M_BOM[PPGridRow],98),0))</f>
        <v/>
      </c>
      <c r="CU22">
        <f>SUMPRODUCT((M_BOM[Part Name]=$A22)*M_BOM[RM_Qty_Per_Batch]*IFERROR(INDEX(PP_Grid[#Data],M_BOM[PPGridRow],99),0))</f>
        <v/>
      </c>
      <c r="CV22">
        <f>SUMPRODUCT((M_BOM[Part Name]=$A22)*M_BOM[RM_Qty_Per_Batch]*IFERROR(INDEX(PP_Grid[#Data],M_BOM[PPGridRow],100),0))</f>
        <v/>
      </c>
      <c r="CW22">
        <f>SUMPRODUCT((M_BOM[Part Name]=$A22)*M_BOM[RM_Qty_Per_Batch]*IFERROR(INDEX(PP_Grid[#Data],M_BOM[PPGridRow],101),0))</f>
        <v/>
      </c>
      <c r="CX22">
        <f>SUMPRODUCT((M_BOM[Part Name]=$A22)*M_BOM[RM_Qty_Per_Batch]*IFERROR(INDEX(PP_Grid[#Data],M_BOM[PPGridRow],102),0))</f>
        <v/>
      </c>
      <c r="CY22">
        <f>SUMPRODUCT((M_BOM[Part Name]=$A22)*M_BOM[RM_Qty_Per_Batch]*IFERROR(INDEX(PP_Grid[#Data],M_BOM[PPGridRow],103),0))</f>
        <v/>
      </c>
      <c r="CZ22">
        <f>SUMPRODUCT((M_BOM[Part Name]=$A22)*M_BOM[RM_Qty_Per_Batch]*IFERROR(INDEX(PP_Grid[#Data],M_BOM[PPGridRow],104),0))</f>
        <v/>
      </c>
      <c r="DA22">
        <f>SUMPRODUCT((M_BOM[Part Name]=$A22)*M_BOM[RM_Qty_Per_Batch]*IFERROR(INDEX(PP_Grid[#Data],M_BOM[PPGridRow],105),0))</f>
        <v/>
      </c>
    </row>
    <row r="23">
      <c r="A23" t="inlineStr">
        <is>
          <t>CHEM-1760</t>
        </is>
      </c>
      <c r="B23">
        <f>SUMPRODUCT((M_BOM[Part Name]=$A23)*M_BOM[RM_Qty_Per_Batch]*IFERROR(INDEX(PP_Grid[#Data],M_BOM[PPGridRow],2),0))</f>
        <v/>
      </c>
      <c r="C23">
        <f>SUMPRODUCT((M_BOM[Part Name]=$A23)*M_BOM[RM_Qty_Per_Batch]*IFERROR(INDEX(PP_Grid[#Data],M_BOM[PPGridRow],3),0))</f>
        <v/>
      </c>
      <c r="D23">
        <f>SUMPRODUCT((M_BOM[Part Name]=$A23)*M_BOM[RM_Qty_Per_Batch]*IFERROR(INDEX(PP_Grid[#Data],M_BOM[PPGridRow],4),0))</f>
        <v/>
      </c>
      <c r="E23">
        <f>SUMPRODUCT((M_BOM[Part Name]=$A23)*M_BOM[RM_Qty_Per_Batch]*IFERROR(INDEX(PP_Grid[#Data],M_BOM[PPGridRow],5),0))</f>
        <v/>
      </c>
      <c r="F23">
        <f>SUMPRODUCT((M_BOM[Part Name]=$A23)*M_BOM[RM_Qty_Per_Batch]*IFERROR(INDEX(PP_Grid[#Data],M_BOM[PPGridRow],6),0))</f>
        <v/>
      </c>
      <c r="G23">
        <f>SUMPRODUCT((M_BOM[Part Name]=$A23)*M_BOM[RM_Qty_Per_Batch]*IFERROR(INDEX(PP_Grid[#Data],M_BOM[PPGridRow],7),0))</f>
        <v/>
      </c>
      <c r="H23">
        <f>SUMPRODUCT((M_BOM[Part Name]=$A23)*M_BOM[RM_Qty_Per_Batch]*IFERROR(INDEX(PP_Grid[#Data],M_BOM[PPGridRow],8),0))</f>
        <v/>
      </c>
      <c r="I23">
        <f>SUMPRODUCT((M_BOM[Part Name]=$A23)*M_BOM[RM_Qty_Per_Batch]*IFERROR(INDEX(PP_Grid[#Data],M_BOM[PPGridRow],9),0))</f>
        <v/>
      </c>
      <c r="J23">
        <f>SUMPRODUCT((M_BOM[Part Name]=$A23)*M_BOM[RM_Qty_Per_Batch]*IFERROR(INDEX(PP_Grid[#Data],M_BOM[PPGridRow],10),0))</f>
        <v/>
      </c>
      <c r="K23">
        <f>SUMPRODUCT((M_BOM[Part Name]=$A23)*M_BOM[RM_Qty_Per_Batch]*IFERROR(INDEX(PP_Grid[#Data],M_BOM[PPGridRow],11),0))</f>
        <v/>
      </c>
      <c r="L23">
        <f>SUMPRODUCT((M_BOM[Part Name]=$A23)*M_BOM[RM_Qty_Per_Batch]*IFERROR(INDEX(PP_Grid[#Data],M_BOM[PPGridRow],12),0))</f>
        <v/>
      </c>
      <c r="M23">
        <f>SUMPRODUCT((M_BOM[Part Name]=$A23)*M_BOM[RM_Qty_Per_Batch]*IFERROR(INDEX(PP_Grid[#Data],M_BOM[PPGridRow],13),0))</f>
        <v/>
      </c>
      <c r="N23">
        <f>SUMPRODUCT((M_BOM[Part Name]=$A23)*M_BOM[RM_Qty_Per_Batch]*IFERROR(INDEX(PP_Grid[#Data],M_BOM[PPGridRow],14),0))</f>
        <v/>
      </c>
      <c r="O23">
        <f>SUMPRODUCT((M_BOM[Part Name]=$A23)*M_BOM[RM_Qty_Per_Batch]*IFERROR(INDEX(PP_Grid[#Data],M_BOM[PPGridRow],15),0))</f>
        <v/>
      </c>
      <c r="P23">
        <f>SUMPRODUCT((M_BOM[Part Name]=$A23)*M_BOM[RM_Qty_Per_Batch]*IFERROR(INDEX(PP_Grid[#Data],M_BOM[PPGridRow],16),0))</f>
        <v/>
      </c>
      <c r="Q23">
        <f>SUMPRODUCT((M_BOM[Part Name]=$A23)*M_BOM[RM_Qty_Per_Batch]*IFERROR(INDEX(PP_Grid[#Data],M_BOM[PPGridRow],17),0))</f>
        <v/>
      </c>
      <c r="R23">
        <f>SUMPRODUCT((M_BOM[Part Name]=$A23)*M_BOM[RM_Qty_Per_Batch]*IFERROR(INDEX(PP_Grid[#Data],M_BOM[PPGridRow],18),0))</f>
        <v/>
      </c>
      <c r="S23">
        <f>SUMPRODUCT((M_BOM[Part Name]=$A23)*M_BOM[RM_Qty_Per_Batch]*IFERROR(INDEX(PP_Grid[#Data],M_BOM[PPGridRow],19),0))</f>
        <v/>
      </c>
      <c r="T23">
        <f>SUMPRODUCT((M_BOM[Part Name]=$A23)*M_BOM[RM_Qty_Per_Batch]*IFERROR(INDEX(PP_Grid[#Data],M_BOM[PPGridRow],20),0))</f>
        <v/>
      </c>
      <c r="U23">
        <f>SUMPRODUCT((M_BOM[Part Name]=$A23)*M_BOM[RM_Qty_Per_Batch]*IFERROR(INDEX(PP_Grid[#Data],M_BOM[PPGridRow],21),0))</f>
        <v/>
      </c>
      <c r="V23">
        <f>SUMPRODUCT((M_BOM[Part Name]=$A23)*M_BOM[RM_Qty_Per_Batch]*IFERROR(INDEX(PP_Grid[#Data],M_BOM[PPGridRow],22),0))</f>
        <v/>
      </c>
      <c r="W23">
        <f>SUMPRODUCT((M_BOM[Part Name]=$A23)*M_BOM[RM_Qty_Per_Batch]*IFERROR(INDEX(PP_Grid[#Data],M_BOM[PPGridRow],23),0))</f>
        <v/>
      </c>
      <c r="X23">
        <f>SUMPRODUCT((M_BOM[Part Name]=$A23)*M_BOM[RM_Qty_Per_Batch]*IFERROR(INDEX(PP_Grid[#Data],M_BOM[PPGridRow],24),0))</f>
        <v/>
      </c>
      <c r="Y23">
        <f>SUMPRODUCT((M_BOM[Part Name]=$A23)*M_BOM[RM_Qty_Per_Batch]*IFERROR(INDEX(PP_Grid[#Data],M_BOM[PPGridRow],25),0))</f>
        <v/>
      </c>
      <c r="Z23">
        <f>SUMPRODUCT((M_BOM[Part Name]=$A23)*M_BOM[RM_Qty_Per_Batch]*IFERROR(INDEX(PP_Grid[#Data],M_BOM[PPGridRow],26),0))</f>
        <v/>
      </c>
      <c r="AA23">
        <f>SUMPRODUCT((M_BOM[Part Name]=$A23)*M_BOM[RM_Qty_Per_Batch]*IFERROR(INDEX(PP_Grid[#Data],M_BOM[PPGridRow],27),0))</f>
        <v/>
      </c>
      <c r="AB23">
        <f>SUMPRODUCT((M_BOM[Part Name]=$A23)*M_BOM[RM_Qty_Per_Batch]*IFERROR(INDEX(PP_Grid[#Data],M_BOM[PPGridRow],28),0))</f>
        <v/>
      </c>
      <c r="AC23">
        <f>SUMPRODUCT((M_BOM[Part Name]=$A23)*M_BOM[RM_Qty_Per_Batch]*IFERROR(INDEX(PP_Grid[#Data],M_BOM[PPGridRow],29),0))</f>
        <v/>
      </c>
      <c r="AD23">
        <f>SUMPRODUCT((M_BOM[Part Name]=$A23)*M_BOM[RM_Qty_Per_Batch]*IFERROR(INDEX(PP_Grid[#Data],M_BOM[PPGridRow],30),0))</f>
        <v/>
      </c>
      <c r="AE23">
        <f>SUMPRODUCT((M_BOM[Part Name]=$A23)*M_BOM[RM_Qty_Per_Batch]*IFERROR(INDEX(PP_Grid[#Data],M_BOM[PPGridRow],31),0))</f>
        <v/>
      </c>
      <c r="AF23">
        <f>SUMPRODUCT((M_BOM[Part Name]=$A23)*M_BOM[RM_Qty_Per_Batch]*IFERROR(INDEX(PP_Grid[#Data],M_BOM[PPGridRow],32),0))</f>
        <v/>
      </c>
      <c r="AG23">
        <f>SUMPRODUCT((M_BOM[Part Name]=$A23)*M_BOM[RM_Qty_Per_Batch]*IFERROR(INDEX(PP_Grid[#Data],M_BOM[PPGridRow],33),0))</f>
        <v/>
      </c>
      <c r="AH23">
        <f>SUMPRODUCT((M_BOM[Part Name]=$A23)*M_BOM[RM_Qty_Per_Batch]*IFERROR(INDEX(PP_Grid[#Data],M_BOM[PPGridRow],34),0))</f>
        <v/>
      </c>
      <c r="AI23">
        <f>SUMPRODUCT((M_BOM[Part Name]=$A23)*M_BOM[RM_Qty_Per_Batch]*IFERROR(INDEX(PP_Grid[#Data],M_BOM[PPGridRow],35),0))</f>
        <v/>
      </c>
      <c r="AJ23">
        <f>SUMPRODUCT((M_BOM[Part Name]=$A23)*M_BOM[RM_Qty_Per_Batch]*IFERROR(INDEX(PP_Grid[#Data],M_BOM[PPGridRow],36),0))</f>
        <v/>
      </c>
      <c r="AK23">
        <f>SUMPRODUCT((M_BOM[Part Name]=$A23)*M_BOM[RM_Qty_Per_Batch]*IFERROR(INDEX(PP_Grid[#Data],M_BOM[PPGridRow],37),0))</f>
        <v/>
      </c>
      <c r="AL23">
        <f>SUMPRODUCT((M_BOM[Part Name]=$A23)*M_BOM[RM_Qty_Per_Batch]*IFERROR(INDEX(PP_Grid[#Data],M_BOM[PPGridRow],38),0))</f>
        <v/>
      </c>
      <c r="AM23">
        <f>SUMPRODUCT((M_BOM[Part Name]=$A23)*M_BOM[RM_Qty_Per_Batch]*IFERROR(INDEX(PP_Grid[#Data],M_BOM[PPGridRow],39),0))</f>
        <v/>
      </c>
      <c r="AN23">
        <f>SUMPRODUCT((M_BOM[Part Name]=$A23)*M_BOM[RM_Qty_Per_Batch]*IFERROR(INDEX(PP_Grid[#Data],M_BOM[PPGridRow],40),0))</f>
        <v/>
      </c>
      <c r="AO23">
        <f>SUMPRODUCT((M_BOM[Part Name]=$A23)*M_BOM[RM_Qty_Per_Batch]*IFERROR(INDEX(PP_Grid[#Data],M_BOM[PPGridRow],41),0))</f>
        <v/>
      </c>
      <c r="AP23">
        <f>SUMPRODUCT((M_BOM[Part Name]=$A23)*M_BOM[RM_Qty_Per_Batch]*IFERROR(INDEX(PP_Grid[#Data],M_BOM[PPGridRow],42),0))</f>
        <v/>
      </c>
      <c r="AQ23">
        <f>SUMPRODUCT((M_BOM[Part Name]=$A23)*M_BOM[RM_Qty_Per_Batch]*IFERROR(INDEX(PP_Grid[#Data],M_BOM[PPGridRow],43),0))</f>
        <v/>
      </c>
      <c r="AR23">
        <f>SUMPRODUCT((M_BOM[Part Name]=$A23)*M_BOM[RM_Qty_Per_Batch]*IFERROR(INDEX(PP_Grid[#Data],M_BOM[PPGridRow],44),0))</f>
        <v/>
      </c>
      <c r="AS23">
        <f>SUMPRODUCT((M_BOM[Part Name]=$A23)*M_BOM[RM_Qty_Per_Batch]*IFERROR(INDEX(PP_Grid[#Data],M_BOM[PPGridRow],45),0))</f>
        <v/>
      </c>
      <c r="AT23">
        <f>SUMPRODUCT((M_BOM[Part Name]=$A23)*M_BOM[RM_Qty_Per_Batch]*IFERROR(INDEX(PP_Grid[#Data],M_BOM[PPGridRow],46),0))</f>
        <v/>
      </c>
      <c r="AU23">
        <f>SUMPRODUCT((M_BOM[Part Name]=$A23)*M_BOM[RM_Qty_Per_Batch]*IFERROR(INDEX(PP_Grid[#Data],M_BOM[PPGridRow],47),0))</f>
        <v/>
      </c>
      <c r="AV23">
        <f>SUMPRODUCT((M_BOM[Part Name]=$A23)*M_BOM[RM_Qty_Per_Batch]*IFERROR(INDEX(PP_Grid[#Data],M_BOM[PPGridRow],48),0))</f>
        <v/>
      </c>
      <c r="AW23">
        <f>SUMPRODUCT((M_BOM[Part Name]=$A23)*M_BOM[RM_Qty_Per_Batch]*IFERROR(INDEX(PP_Grid[#Data],M_BOM[PPGridRow],49),0))</f>
        <v/>
      </c>
      <c r="AX23">
        <f>SUMPRODUCT((M_BOM[Part Name]=$A23)*M_BOM[RM_Qty_Per_Batch]*IFERROR(INDEX(PP_Grid[#Data],M_BOM[PPGridRow],50),0))</f>
        <v/>
      </c>
      <c r="AY23">
        <f>SUMPRODUCT((M_BOM[Part Name]=$A23)*M_BOM[RM_Qty_Per_Batch]*IFERROR(INDEX(PP_Grid[#Data],M_BOM[PPGridRow],51),0))</f>
        <v/>
      </c>
      <c r="AZ23">
        <f>SUMPRODUCT((M_BOM[Part Name]=$A23)*M_BOM[RM_Qty_Per_Batch]*IFERROR(INDEX(PP_Grid[#Data],M_BOM[PPGridRow],52),0))</f>
        <v/>
      </c>
      <c r="BA23">
        <f>SUMPRODUCT((M_BOM[Part Name]=$A23)*M_BOM[RM_Qty_Per_Batch]*IFERROR(INDEX(PP_Grid[#Data],M_BOM[PPGridRow],53),0))</f>
        <v/>
      </c>
      <c r="BB23">
        <f>SUMPRODUCT((M_BOM[Part Name]=$A23)*M_BOM[RM_Qty_Per_Batch]*IFERROR(INDEX(PP_Grid[#Data],M_BOM[PPGridRow],54),0))</f>
        <v/>
      </c>
      <c r="BC23">
        <f>SUMPRODUCT((M_BOM[Part Name]=$A23)*M_BOM[RM_Qty_Per_Batch]*IFERROR(INDEX(PP_Grid[#Data],M_BOM[PPGridRow],55),0))</f>
        <v/>
      </c>
      <c r="BD23">
        <f>SUMPRODUCT((M_BOM[Part Name]=$A23)*M_BOM[RM_Qty_Per_Batch]*IFERROR(INDEX(PP_Grid[#Data],M_BOM[PPGridRow],56),0))</f>
        <v/>
      </c>
      <c r="BE23">
        <f>SUMPRODUCT((M_BOM[Part Name]=$A23)*M_BOM[RM_Qty_Per_Batch]*IFERROR(INDEX(PP_Grid[#Data],M_BOM[PPGridRow],57),0))</f>
        <v/>
      </c>
      <c r="BF23">
        <f>SUMPRODUCT((M_BOM[Part Name]=$A23)*M_BOM[RM_Qty_Per_Batch]*IFERROR(INDEX(PP_Grid[#Data],M_BOM[PPGridRow],58),0))</f>
        <v/>
      </c>
      <c r="BG23">
        <f>SUMPRODUCT((M_BOM[Part Name]=$A23)*M_BOM[RM_Qty_Per_Batch]*IFERROR(INDEX(PP_Grid[#Data],M_BOM[PPGridRow],59),0))</f>
        <v/>
      </c>
      <c r="BH23">
        <f>SUMPRODUCT((M_BOM[Part Name]=$A23)*M_BOM[RM_Qty_Per_Batch]*IFERROR(INDEX(PP_Grid[#Data],M_BOM[PPGridRow],60),0))</f>
        <v/>
      </c>
      <c r="BI23">
        <f>SUMPRODUCT((M_BOM[Part Name]=$A23)*M_BOM[RM_Qty_Per_Batch]*IFERROR(INDEX(PP_Grid[#Data],M_BOM[PPGridRow],61),0))</f>
        <v/>
      </c>
      <c r="BJ23">
        <f>SUMPRODUCT((M_BOM[Part Name]=$A23)*M_BOM[RM_Qty_Per_Batch]*IFERROR(INDEX(PP_Grid[#Data],M_BOM[PPGridRow],62),0))</f>
        <v/>
      </c>
      <c r="BK23">
        <f>SUMPRODUCT((M_BOM[Part Name]=$A23)*M_BOM[RM_Qty_Per_Batch]*IFERROR(INDEX(PP_Grid[#Data],M_BOM[PPGridRow],63),0))</f>
        <v/>
      </c>
      <c r="BL23">
        <f>SUMPRODUCT((M_BOM[Part Name]=$A23)*M_BOM[RM_Qty_Per_Batch]*IFERROR(INDEX(PP_Grid[#Data],M_BOM[PPGridRow],64),0))</f>
        <v/>
      </c>
      <c r="BM23">
        <f>SUMPRODUCT((M_BOM[Part Name]=$A23)*M_BOM[RM_Qty_Per_Batch]*IFERROR(INDEX(PP_Grid[#Data],M_BOM[PPGridRow],65),0))</f>
        <v/>
      </c>
      <c r="BN23">
        <f>SUMPRODUCT((M_BOM[Part Name]=$A23)*M_BOM[RM_Qty_Per_Batch]*IFERROR(INDEX(PP_Grid[#Data],M_BOM[PPGridRow],66),0))</f>
        <v/>
      </c>
      <c r="BO23">
        <f>SUMPRODUCT((M_BOM[Part Name]=$A23)*M_BOM[RM_Qty_Per_Batch]*IFERROR(INDEX(PP_Grid[#Data],M_BOM[PPGridRow],67),0))</f>
        <v/>
      </c>
      <c r="BP23">
        <f>SUMPRODUCT((M_BOM[Part Name]=$A23)*M_BOM[RM_Qty_Per_Batch]*IFERROR(INDEX(PP_Grid[#Data],M_BOM[PPGridRow],68),0))</f>
        <v/>
      </c>
      <c r="BQ23">
        <f>SUMPRODUCT((M_BOM[Part Name]=$A23)*M_BOM[RM_Qty_Per_Batch]*IFERROR(INDEX(PP_Grid[#Data],M_BOM[PPGridRow],69),0))</f>
        <v/>
      </c>
      <c r="BR23">
        <f>SUMPRODUCT((M_BOM[Part Name]=$A23)*M_BOM[RM_Qty_Per_Batch]*IFERROR(INDEX(PP_Grid[#Data],M_BOM[PPGridRow],70),0))</f>
        <v/>
      </c>
      <c r="BS23">
        <f>SUMPRODUCT((M_BOM[Part Name]=$A23)*M_BOM[RM_Qty_Per_Batch]*IFERROR(INDEX(PP_Grid[#Data],M_BOM[PPGridRow],71),0))</f>
        <v/>
      </c>
      <c r="BT23">
        <f>SUMPRODUCT((M_BOM[Part Name]=$A23)*M_BOM[RM_Qty_Per_Batch]*IFERROR(INDEX(PP_Grid[#Data],M_BOM[PPGridRow],72),0))</f>
        <v/>
      </c>
      <c r="BU23">
        <f>SUMPRODUCT((M_BOM[Part Name]=$A23)*M_BOM[RM_Qty_Per_Batch]*IFERROR(INDEX(PP_Grid[#Data],M_BOM[PPGridRow],73),0))</f>
        <v/>
      </c>
      <c r="BV23">
        <f>SUMPRODUCT((M_BOM[Part Name]=$A23)*M_BOM[RM_Qty_Per_Batch]*IFERROR(INDEX(PP_Grid[#Data],M_BOM[PPGridRow],74),0))</f>
        <v/>
      </c>
      <c r="BW23">
        <f>SUMPRODUCT((M_BOM[Part Name]=$A23)*M_BOM[RM_Qty_Per_Batch]*IFERROR(INDEX(PP_Grid[#Data],M_BOM[PPGridRow],75),0))</f>
        <v/>
      </c>
      <c r="BX23">
        <f>SUMPRODUCT((M_BOM[Part Name]=$A23)*M_BOM[RM_Qty_Per_Batch]*IFERROR(INDEX(PP_Grid[#Data],M_BOM[PPGridRow],76),0))</f>
        <v/>
      </c>
      <c r="BY23">
        <f>SUMPRODUCT((M_BOM[Part Name]=$A23)*M_BOM[RM_Qty_Per_Batch]*IFERROR(INDEX(PP_Grid[#Data],M_BOM[PPGridRow],77),0))</f>
        <v/>
      </c>
      <c r="BZ23">
        <f>SUMPRODUCT((M_BOM[Part Name]=$A23)*M_BOM[RM_Qty_Per_Batch]*IFERROR(INDEX(PP_Grid[#Data],M_BOM[PPGridRow],78),0))</f>
        <v/>
      </c>
      <c r="CA23">
        <f>SUMPRODUCT((M_BOM[Part Name]=$A23)*M_BOM[RM_Qty_Per_Batch]*IFERROR(INDEX(PP_Grid[#Data],M_BOM[PPGridRow],79),0))</f>
        <v/>
      </c>
      <c r="CB23">
        <f>SUMPRODUCT((M_BOM[Part Name]=$A23)*M_BOM[RM_Qty_Per_Batch]*IFERROR(INDEX(PP_Grid[#Data],M_BOM[PPGridRow],80),0))</f>
        <v/>
      </c>
      <c r="CC23">
        <f>SUMPRODUCT((M_BOM[Part Name]=$A23)*M_BOM[RM_Qty_Per_Batch]*IFERROR(INDEX(PP_Grid[#Data],M_BOM[PPGridRow],81),0))</f>
        <v/>
      </c>
      <c r="CD23">
        <f>SUMPRODUCT((M_BOM[Part Name]=$A23)*M_BOM[RM_Qty_Per_Batch]*IFERROR(INDEX(PP_Grid[#Data],M_BOM[PPGridRow],82),0))</f>
        <v/>
      </c>
      <c r="CE23">
        <f>SUMPRODUCT((M_BOM[Part Name]=$A23)*M_BOM[RM_Qty_Per_Batch]*IFERROR(INDEX(PP_Grid[#Data],M_BOM[PPGridRow],83),0))</f>
        <v/>
      </c>
      <c r="CF23">
        <f>SUMPRODUCT((M_BOM[Part Name]=$A23)*M_BOM[RM_Qty_Per_Batch]*IFERROR(INDEX(PP_Grid[#Data],M_BOM[PPGridRow],84),0))</f>
        <v/>
      </c>
      <c r="CG23">
        <f>SUMPRODUCT((M_BOM[Part Name]=$A23)*M_BOM[RM_Qty_Per_Batch]*IFERROR(INDEX(PP_Grid[#Data],M_BOM[PPGridRow],85),0))</f>
        <v/>
      </c>
      <c r="CH23">
        <f>SUMPRODUCT((M_BOM[Part Name]=$A23)*M_BOM[RM_Qty_Per_Batch]*IFERROR(INDEX(PP_Grid[#Data],M_BOM[PPGridRow],86),0))</f>
        <v/>
      </c>
      <c r="CI23">
        <f>SUMPRODUCT((M_BOM[Part Name]=$A23)*M_BOM[RM_Qty_Per_Batch]*IFERROR(INDEX(PP_Grid[#Data],M_BOM[PPGridRow],87),0))</f>
        <v/>
      </c>
      <c r="CJ23">
        <f>SUMPRODUCT((M_BOM[Part Name]=$A23)*M_BOM[RM_Qty_Per_Batch]*IFERROR(INDEX(PP_Grid[#Data],M_BOM[PPGridRow],88),0))</f>
        <v/>
      </c>
      <c r="CK23">
        <f>SUMPRODUCT((M_BOM[Part Name]=$A23)*M_BOM[RM_Qty_Per_Batch]*IFERROR(INDEX(PP_Grid[#Data],M_BOM[PPGridRow],89),0))</f>
        <v/>
      </c>
      <c r="CL23">
        <f>SUMPRODUCT((M_BOM[Part Name]=$A23)*M_BOM[RM_Qty_Per_Batch]*IFERROR(INDEX(PP_Grid[#Data],M_BOM[PPGridRow],90),0))</f>
        <v/>
      </c>
      <c r="CM23">
        <f>SUMPRODUCT((M_BOM[Part Name]=$A23)*M_BOM[RM_Qty_Per_Batch]*IFERROR(INDEX(PP_Grid[#Data],M_BOM[PPGridRow],91),0))</f>
        <v/>
      </c>
      <c r="CN23">
        <f>SUMPRODUCT((M_BOM[Part Name]=$A23)*M_BOM[RM_Qty_Per_Batch]*IFERROR(INDEX(PP_Grid[#Data],M_BOM[PPGridRow],92),0))</f>
        <v/>
      </c>
      <c r="CO23">
        <f>SUMPRODUCT((M_BOM[Part Name]=$A23)*M_BOM[RM_Qty_Per_Batch]*IFERROR(INDEX(PP_Grid[#Data],M_BOM[PPGridRow],93),0))</f>
        <v/>
      </c>
      <c r="CP23">
        <f>SUMPRODUCT((M_BOM[Part Name]=$A23)*M_BOM[RM_Qty_Per_Batch]*IFERROR(INDEX(PP_Grid[#Data],M_BOM[PPGridRow],94),0))</f>
        <v/>
      </c>
      <c r="CQ23">
        <f>SUMPRODUCT((M_BOM[Part Name]=$A23)*M_BOM[RM_Qty_Per_Batch]*IFERROR(INDEX(PP_Grid[#Data],M_BOM[PPGridRow],95),0))</f>
        <v/>
      </c>
      <c r="CR23">
        <f>SUMPRODUCT((M_BOM[Part Name]=$A23)*M_BOM[RM_Qty_Per_Batch]*IFERROR(INDEX(PP_Grid[#Data],M_BOM[PPGridRow],96),0))</f>
        <v/>
      </c>
      <c r="CS23">
        <f>SUMPRODUCT((M_BOM[Part Name]=$A23)*M_BOM[RM_Qty_Per_Batch]*IFERROR(INDEX(PP_Grid[#Data],M_BOM[PPGridRow],97),0))</f>
        <v/>
      </c>
      <c r="CT23">
        <f>SUMPRODUCT((M_BOM[Part Name]=$A23)*M_BOM[RM_Qty_Per_Batch]*IFERROR(INDEX(PP_Grid[#Data],M_BOM[PPGridRow],98),0))</f>
        <v/>
      </c>
      <c r="CU23">
        <f>SUMPRODUCT((M_BOM[Part Name]=$A23)*M_BOM[RM_Qty_Per_Batch]*IFERROR(INDEX(PP_Grid[#Data],M_BOM[PPGridRow],99),0))</f>
        <v/>
      </c>
      <c r="CV23">
        <f>SUMPRODUCT((M_BOM[Part Name]=$A23)*M_BOM[RM_Qty_Per_Batch]*IFERROR(INDEX(PP_Grid[#Data],M_BOM[PPGridRow],100),0))</f>
        <v/>
      </c>
      <c r="CW23">
        <f>SUMPRODUCT((M_BOM[Part Name]=$A23)*M_BOM[RM_Qty_Per_Batch]*IFERROR(INDEX(PP_Grid[#Data],M_BOM[PPGridRow],101),0))</f>
        <v/>
      </c>
      <c r="CX23">
        <f>SUMPRODUCT((M_BOM[Part Name]=$A23)*M_BOM[RM_Qty_Per_Batch]*IFERROR(INDEX(PP_Grid[#Data],M_BOM[PPGridRow],102),0))</f>
        <v/>
      </c>
      <c r="CY23">
        <f>SUMPRODUCT((M_BOM[Part Name]=$A23)*M_BOM[RM_Qty_Per_Batch]*IFERROR(INDEX(PP_Grid[#Data],M_BOM[PPGridRow],103),0))</f>
        <v/>
      </c>
      <c r="CZ23">
        <f>SUMPRODUCT((M_BOM[Part Name]=$A23)*M_BOM[RM_Qty_Per_Batch]*IFERROR(INDEX(PP_Grid[#Data],M_BOM[PPGridRow],104),0))</f>
        <v/>
      </c>
      <c r="DA23">
        <f>SUMPRODUCT((M_BOM[Part Name]=$A23)*M_BOM[RM_Qty_Per_Batch]*IFERROR(INDEX(PP_Grid[#Data],M_BOM[PPGridRow],105),0))</f>
        <v/>
      </c>
    </row>
    <row r="24">
      <c r="A24" t="inlineStr">
        <is>
          <t>Original Towel</t>
        </is>
      </c>
      <c r="B24">
        <f>SUMPRODUCT((M_BOM[Part Name]=$A24)*M_BOM[RM_Qty_Per_Batch]*IFERROR(INDEX(PP_Grid[#Data],M_BOM[PPGridRow],2),0))</f>
        <v/>
      </c>
      <c r="C24">
        <f>SUMPRODUCT((M_BOM[Part Name]=$A24)*M_BOM[RM_Qty_Per_Batch]*IFERROR(INDEX(PP_Grid[#Data],M_BOM[PPGridRow],3),0))</f>
        <v/>
      </c>
      <c r="D24">
        <f>SUMPRODUCT((M_BOM[Part Name]=$A24)*M_BOM[RM_Qty_Per_Batch]*IFERROR(INDEX(PP_Grid[#Data],M_BOM[PPGridRow],4),0))</f>
        <v/>
      </c>
      <c r="E24">
        <f>SUMPRODUCT((M_BOM[Part Name]=$A24)*M_BOM[RM_Qty_Per_Batch]*IFERROR(INDEX(PP_Grid[#Data],M_BOM[PPGridRow],5),0))</f>
        <v/>
      </c>
      <c r="F24">
        <f>SUMPRODUCT((M_BOM[Part Name]=$A24)*M_BOM[RM_Qty_Per_Batch]*IFERROR(INDEX(PP_Grid[#Data],M_BOM[PPGridRow],6),0))</f>
        <v/>
      </c>
      <c r="G24">
        <f>SUMPRODUCT((M_BOM[Part Name]=$A24)*M_BOM[RM_Qty_Per_Batch]*IFERROR(INDEX(PP_Grid[#Data],M_BOM[PPGridRow],7),0))</f>
        <v/>
      </c>
      <c r="H24">
        <f>SUMPRODUCT((M_BOM[Part Name]=$A24)*M_BOM[RM_Qty_Per_Batch]*IFERROR(INDEX(PP_Grid[#Data],M_BOM[PPGridRow],8),0))</f>
        <v/>
      </c>
      <c r="I24">
        <f>SUMPRODUCT((M_BOM[Part Name]=$A24)*M_BOM[RM_Qty_Per_Batch]*IFERROR(INDEX(PP_Grid[#Data],M_BOM[PPGridRow],9),0))</f>
        <v/>
      </c>
      <c r="J24">
        <f>SUMPRODUCT((M_BOM[Part Name]=$A24)*M_BOM[RM_Qty_Per_Batch]*IFERROR(INDEX(PP_Grid[#Data],M_BOM[PPGridRow],10),0))</f>
        <v/>
      </c>
      <c r="K24">
        <f>SUMPRODUCT((M_BOM[Part Name]=$A24)*M_BOM[RM_Qty_Per_Batch]*IFERROR(INDEX(PP_Grid[#Data],M_BOM[PPGridRow],11),0))</f>
        <v/>
      </c>
      <c r="L24">
        <f>SUMPRODUCT((M_BOM[Part Name]=$A24)*M_BOM[RM_Qty_Per_Batch]*IFERROR(INDEX(PP_Grid[#Data],M_BOM[PPGridRow],12),0))</f>
        <v/>
      </c>
      <c r="M24">
        <f>SUMPRODUCT((M_BOM[Part Name]=$A24)*M_BOM[RM_Qty_Per_Batch]*IFERROR(INDEX(PP_Grid[#Data],M_BOM[PPGridRow],13),0))</f>
        <v/>
      </c>
      <c r="N24">
        <f>SUMPRODUCT((M_BOM[Part Name]=$A24)*M_BOM[RM_Qty_Per_Batch]*IFERROR(INDEX(PP_Grid[#Data],M_BOM[PPGridRow],14),0))</f>
        <v/>
      </c>
      <c r="O24">
        <f>SUMPRODUCT((M_BOM[Part Name]=$A24)*M_BOM[RM_Qty_Per_Batch]*IFERROR(INDEX(PP_Grid[#Data],M_BOM[PPGridRow],15),0))</f>
        <v/>
      </c>
      <c r="P24">
        <f>SUMPRODUCT((M_BOM[Part Name]=$A24)*M_BOM[RM_Qty_Per_Batch]*IFERROR(INDEX(PP_Grid[#Data],M_BOM[PPGridRow],16),0))</f>
        <v/>
      </c>
      <c r="Q24">
        <f>SUMPRODUCT((M_BOM[Part Name]=$A24)*M_BOM[RM_Qty_Per_Batch]*IFERROR(INDEX(PP_Grid[#Data],M_BOM[PPGridRow],17),0))</f>
        <v/>
      </c>
      <c r="R24">
        <f>SUMPRODUCT((M_BOM[Part Name]=$A24)*M_BOM[RM_Qty_Per_Batch]*IFERROR(INDEX(PP_Grid[#Data],M_BOM[PPGridRow],18),0))</f>
        <v/>
      </c>
      <c r="S24">
        <f>SUMPRODUCT((M_BOM[Part Name]=$A24)*M_BOM[RM_Qty_Per_Batch]*IFERROR(INDEX(PP_Grid[#Data],M_BOM[PPGridRow],19),0))</f>
        <v/>
      </c>
      <c r="T24">
        <f>SUMPRODUCT((M_BOM[Part Name]=$A24)*M_BOM[RM_Qty_Per_Batch]*IFERROR(INDEX(PP_Grid[#Data],M_BOM[PPGridRow],20),0))</f>
        <v/>
      </c>
      <c r="U24">
        <f>SUMPRODUCT((M_BOM[Part Name]=$A24)*M_BOM[RM_Qty_Per_Batch]*IFERROR(INDEX(PP_Grid[#Data],M_BOM[PPGridRow],21),0))</f>
        <v/>
      </c>
      <c r="V24">
        <f>SUMPRODUCT((M_BOM[Part Name]=$A24)*M_BOM[RM_Qty_Per_Batch]*IFERROR(INDEX(PP_Grid[#Data],M_BOM[PPGridRow],22),0))</f>
        <v/>
      </c>
      <c r="W24">
        <f>SUMPRODUCT((M_BOM[Part Name]=$A24)*M_BOM[RM_Qty_Per_Batch]*IFERROR(INDEX(PP_Grid[#Data],M_BOM[PPGridRow],23),0))</f>
        <v/>
      </c>
      <c r="X24">
        <f>SUMPRODUCT((M_BOM[Part Name]=$A24)*M_BOM[RM_Qty_Per_Batch]*IFERROR(INDEX(PP_Grid[#Data],M_BOM[PPGridRow],24),0))</f>
        <v/>
      </c>
      <c r="Y24">
        <f>SUMPRODUCT((M_BOM[Part Name]=$A24)*M_BOM[RM_Qty_Per_Batch]*IFERROR(INDEX(PP_Grid[#Data],M_BOM[PPGridRow],25),0))</f>
        <v/>
      </c>
      <c r="Z24">
        <f>SUMPRODUCT((M_BOM[Part Name]=$A24)*M_BOM[RM_Qty_Per_Batch]*IFERROR(INDEX(PP_Grid[#Data],M_BOM[PPGridRow],26),0))</f>
        <v/>
      </c>
      <c r="AA24">
        <f>SUMPRODUCT((M_BOM[Part Name]=$A24)*M_BOM[RM_Qty_Per_Batch]*IFERROR(INDEX(PP_Grid[#Data],M_BOM[PPGridRow],27),0))</f>
        <v/>
      </c>
      <c r="AB24">
        <f>SUMPRODUCT((M_BOM[Part Name]=$A24)*M_BOM[RM_Qty_Per_Batch]*IFERROR(INDEX(PP_Grid[#Data],M_BOM[PPGridRow],28),0))</f>
        <v/>
      </c>
      <c r="AC24">
        <f>SUMPRODUCT((M_BOM[Part Name]=$A24)*M_BOM[RM_Qty_Per_Batch]*IFERROR(INDEX(PP_Grid[#Data],M_BOM[PPGridRow],29),0))</f>
        <v/>
      </c>
      <c r="AD24">
        <f>SUMPRODUCT((M_BOM[Part Name]=$A24)*M_BOM[RM_Qty_Per_Batch]*IFERROR(INDEX(PP_Grid[#Data],M_BOM[PPGridRow],30),0))</f>
        <v/>
      </c>
      <c r="AE24">
        <f>SUMPRODUCT((M_BOM[Part Name]=$A24)*M_BOM[RM_Qty_Per_Batch]*IFERROR(INDEX(PP_Grid[#Data],M_BOM[PPGridRow],31),0))</f>
        <v/>
      </c>
      <c r="AF24">
        <f>SUMPRODUCT((M_BOM[Part Name]=$A24)*M_BOM[RM_Qty_Per_Batch]*IFERROR(INDEX(PP_Grid[#Data],M_BOM[PPGridRow],32),0))</f>
        <v/>
      </c>
      <c r="AG24">
        <f>SUMPRODUCT((M_BOM[Part Name]=$A24)*M_BOM[RM_Qty_Per_Batch]*IFERROR(INDEX(PP_Grid[#Data],M_BOM[PPGridRow],33),0))</f>
        <v/>
      </c>
      <c r="AH24">
        <f>SUMPRODUCT((M_BOM[Part Name]=$A24)*M_BOM[RM_Qty_Per_Batch]*IFERROR(INDEX(PP_Grid[#Data],M_BOM[PPGridRow],34),0))</f>
        <v/>
      </c>
      <c r="AI24">
        <f>SUMPRODUCT((M_BOM[Part Name]=$A24)*M_BOM[RM_Qty_Per_Batch]*IFERROR(INDEX(PP_Grid[#Data],M_BOM[PPGridRow],35),0))</f>
        <v/>
      </c>
      <c r="AJ24">
        <f>SUMPRODUCT((M_BOM[Part Name]=$A24)*M_BOM[RM_Qty_Per_Batch]*IFERROR(INDEX(PP_Grid[#Data],M_BOM[PPGridRow],36),0))</f>
        <v/>
      </c>
      <c r="AK24">
        <f>SUMPRODUCT((M_BOM[Part Name]=$A24)*M_BOM[RM_Qty_Per_Batch]*IFERROR(INDEX(PP_Grid[#Data],M_BOM[PPGridRow],37),0))</f>
        <v/>
      </c>
      <c r="AL24">
        <f>SUMPRODUCT((M_BOM[Part Name]=$A24)*M_BOM[RM_Qty_Per_Batch]*IFERROR(INDEX(PP_Grid[#Data],M_BOM[PPGridRow],38),0))</f>
        <v/>
      </c>
      <c r="AM24">
        <f>SUMPRODUCT((M_BOM[Part Name]=$A24)*M_BOM[RM_Qty_Per_Batch]*IFERROR(INDEX(PP_Grid[#Data],M_BOM[PPGridRow],39),0))</f>
        <v/>
      </c>
      <c r="AN24">
        <f>SUMPRODUCT((M_BOM[Part Name]=$A24)*M_BOM[RM_Qty_Per_Batch]*IFERROR(INDEX(PP_Grid[#Data],M_BOM[PPGridRow],40),0))</f>
        <v/>
      </c>
      <c r="AO24">
        <f>SUMPRODUCT((M_BOM[Part Name]=$A24)*M_BOM[RM_Qty_Per_Batch]*IFERROR(INDEX(PP_Grid[#Data],M_BOM[PPGridRow],41),0))</f>
        <v/>
      </c>
      <c r="AP24">
        <f>SUMPRODUCT((M_BOM[Part Name]=$A24)*M_BOM[RM_Qty_Per_Batch]*IFERROR(INDEX(PP_Grid[#Data],M_BOM[PPGridRow],42),0))</f>
        <v/>
      </c>
      <c r="AQ24">
        <f>SUMPRODUCT((M_BOM[Part Name]=$A24)*M_BOM[RM_Qty_Per_Batch]*IFERROR(INDEX(PP_Grid[#Data],M_BOM[PPGridRow],43),0))</f>
        <v/>
      </c>
      <c r="AR24">
        <f>SUMPRODUCT((M_BOM[Part Name]=$A24)*M_BOM[RM_Qty_Per_Batch]*IFERROR(INDEX(PP_Grid[#Data],M_BOM[PPGridRow],44),0))</f>
        <v/>
      </c>
      <c r="AS24">
        <f>SUMPRODUCT((M_BOM[Part Name]=$A24)*M_BOM[RM_Qty_Per_Batch]*IFERROR(INDEX(PP_Grid[#Data],M_BOM[PPGridRow],45),0))</f>
        <v/>
      </c>
      <c r="AT24">
        <f>SUMPRODUCT((M_BOM[Part Name]=$A24)*M_BOM[RM_Qty_Per_Batch]*IFERROR(INDEX(PP_Grid[#Data],M_BOM[PPGridRow],46),0))</f>
        <v/>
      </c>
      <c r="AU24">
        <f>SUMPRODUCT((M_BOM[Part Name]=$A24)*M_BOM[RM_Qty_Per_Batch]*IFERROR(INDEX(PP_Grid[#Data],M_BOM[PPGridRow],47),0))</f>
        <v/>
      </c>
      <c r="AV24">
        <f>SUMPRODUCT((M_BOM[Part Name]=$A24)*M_BOM[RM_Qty_Per_Batch]*IFERROR(INDEX(PP_Grid[#Data],M_BOM[PPGridRow],48),0))</f>
        <v/>
      </c>
      <c r="AW24">
        <f>SUMPRODUCT((M_BOM[Part Name]=$A24)*M_BOM[RM_Qty_Per_Batch]*IFERROR(INDEX(PP_Grid[#Data],M_BOM[PPGridRow],49),0))</f>
        <v/>
      </c>
      <c r="AX24">
        <f>SUMPRODUCT((M_BOM[Part Name]=$A24)*M_BOM[RM_Qty_Per_Batch]*IFERROR(INDEX(PP_Grid[#Data],M_BOM[PPGridRow],50),0))</f>
        <v/>
      </c>
      <c r="AY24">
        <f>SUMPRODUCT((M_BOM[Part Name]=$A24)*M_BOM[RM_Qty_Per_Batch]*IFERROR(INDEX(PP_Grid[#Data],M_BOM[PPGridRow],51),0))</f>
        <v/>
      </c>
      <c r="AZ24">
        <f>SUMPRODUCT((M_BOM[Part Name]=$A24)*M_BOM[RM_Qty_Per_Batch]*IFERROR(INDEX(PP_Grid[#Data],M_BOM[PPGridRow],52),0))</f>
        <v/>
      </c>
      <c r="BA24">
        <f>SUMPRODUCT((M_BOM[Part Name]=$A24)*M_BOM[RM_Qty_Per_Batch]*IFERROR(INDEX(PP_Grid[#Data],M_BOM[PPGridRow],53),0))</f>
        <v/>
      </c>
      <c r="BB24">
        <f>SUMPRODUCT((M_BOM[Part Name]=$A24)*M_BOM[RM_Qty_Per_Batch]*IFERROR(INDEX(PP_Grid[#Data],M_BOM[PPGridRow],54),0))</f>
        <v/>
      </c>
      <c r="BC24">
        <f>SUMPRODUCT((M_BOM[Part Name]=$A24)*M_BOM[RM_Qty_Per_Batch]*IFERROR(INDEX(PP_Grid[#Data],M_BOM[PPGridRow],55),0))</f>
        <v/>
      </c>
      <c r="BD24">
        <f>SUMPRODUCT((M_BOM[Part Name]=$A24)*M_BOM[RM_Qty_Per_Batch]*IFERROR(INDEX(PP_Grid[#Data],M_BOM[PPGridRow],56),0))</f>
        <v/>
      </c>
      <c r="BE24">
        <f>SUMPRODUCT((M_BOM[Part Name]=$A24)*M_BOM[RM_Qty_Per_Batch]*IFERROR(INDEX(PP_Grid[#Data],M_BOM[PPGridRow],57),0))</f>
        <v/>
      </c>
      <c r="BF24">
        <f>SUMPRODUCT((M_BOM[Part Name]=$A24)*M_BOM[RM_Qty_Per_Batch]*IFERROR(INDEX(PP_Grid[#Data],M_BOM[PPGridRow],58),0))</f>
        <v/>
      </c>
      <c r="BG24">
        <f>SUMPRODUCT((M_BOM[Part Name]=$A24)*M_BOM[RM_Qty_Per_Batch]*IFERROR(INDEX(PP_Grid[#Data],M_BOM[PPGridRow],59),0))</f>
        <v/>
      </c>
      <c r="BH24">
        <f>SUMPRODUCT((M_BOM[Part Name]=$A24)*M_BOM[RM_Qty_Per_Batch]*IFERROR(INDEX(PP_Grid[#Data],M_BOM[PPGridRow],60),0))</f>
        <v/>
      </c>
      <c r="BI24">
        <f>SUMPRODUCT((M_BOM[Part Name]=$A24)*M_BOM[RM_Qty_Per_Batch]*IFERROR(INDEX(PP_Grid[#Data],M_BOM[PPGridRow],61),0))</f>
        <v/>
      </c>
      <c r="BJ24">
        <f>SUMPRODUCT((M_BOM[Part Name]=$A24)*M_BOM[RM_Qty_Per_Batch]*IFERROR(INDEX(PP_Grid[#Data],M_BOM[PPGridRow],62),0))</f>
        <v/>
      </c>
      <c r="BK24">
        <f>SUMPRODUCT((M_BOM[Part Name]=$A24)*M_BOM[RM_Qty_Per_Batch]*IFERROR(INDEX(PP_Grid[#Data],M_BOM[PPGridRow],63),0))</f>
        <v/>
      </c>
      <c r="BL24">
        <f>SUMPRODUCT((M_BOM[Part Name]=$A24)*M_BOM[RM_Qty_Per_Batch]*IFERROR(INDEX(PP_Grid[#Data],M_BOM[PPGridRow],64),0))</f>
        <v/>
      </c>
      <c r="BM24">
        <f>SUMPRODUCT((M_BOM[Part Name]=$A24)*M_BOM[RM_Qty_Per_Batch]*IFERROR(INDEX(PP_Grid[#Data],M_BOM[PPGridRow],65),0))</f>
        <v/>
      </c>
      <c r="BN24">
        <f>SUMPRODUCT((M_BOM[Part Name]=$A24)*M_BOM[RM_Qty_Per_Batch]*IFERROR(INDEX(PP_Grid[#Data],M_BOM[PPGridRow],66),0))</f>
        <v/>
      </c>
      <c r="BO24">
        <f>SUMPRODUCT((M_BOM[Part Name]=$A24)*M_BOM[RM_Qty_Per_Batch]*IFERROR(INDEX(PP_Grid[#Data],M_BOM[PPGridRow],67),0))</f>
        <v/>
      </c>
      <c r="BP24">
        <f>SUMPRODUCT((M_BOM[Part Name]=$A24)*M_BOM[RM_Qty_Per_Batch]*IFERROR(INDEX(PP_Grid[#Data],M_BOM[PPGridRow],68),0))</f>
        <v/>
      </c>
      <c r="BQ24">
        <f>SUMPRODUCT((M_BOM[Part Name]=$A24)*M_BOM[RM_Qty_Per_Batch]*IFERROR(INDEX(PP_Grid[#Data],M_BOM[PPGridRow],69),0))</f>
        <v/>
      </c>
      <c r="BR24">
        <f>SUMPRODUCT((M_BOM[Part Name]=$A24)*M_BOM[RM_Qty_Per_Batch]*IFERROR(INDEX(PP_Grid[#Data],M_BOM[PPGridRow],70),0))</f>
        <v/>
      </c>
      <c r="BS24">
        <f>SUMPRODUCT((M_BOM[Part Name]=$A24)*M_BOM[RM_Qty_Per_Batch]*IFERROR(INDEX(PP_Grid[#Data],M_BOM[PPGridRow],71),0))</f>
        <v/>
      </c>
      <c r="BT24">
        <f>SUMPRODUCT((M_BOM[Part Name]=$A24)*M_BOM[RM_Qty_Per_Batch]*IFERROR(INDEX(PP_Grid[#Data],M_BOM[PPGridRow],72),0))</f>
        <v/>
      </c>
      <c r="BU24">
        <f>SUMPRODUCT((M_BOM[Part Name]=$A24)*M_BOM[RM_Qty_Per_Batch]*IFERROR(INDEX(PP_Grid[#Data],M_BOM[PPGridRow],73),0))</f>
        <v/>
      </c>
      <c r="BV24">
        <f>SUMPRODUCT((M_BOM[Part Name]=$A24)*M_BOM[RM_Qty_Per_Batch]*IFERROR(INDEX(PP_Grid[#Data],M_BOM[PPGridRow],74),0))</f>
        <v/>
      </c>
      <c r="BW24">
        <f>SUMPRODUCT((M_BOM[Part Name]=$A24)*M_BOM[RM_Qty_Per_Batch]*IFERROR(INDEX(PP_Grid[#Data],M_BOM[PPGridRow],75),0))</f>
        <v/>
      </c>
      <c r="BX24">
        <f>SUMPRODUCT((M_BOM[Part Name]=$A24)*M_BOM[RM_Qty_Per_Batch]*IFERROR(INDEX(PP_Grid[#Data],M_BOM[PPGridRow],76),0))</f>
        <v/>
      </c>
      <c r="BY24">
        <f>SUMPRODUCT((M_BOM[Part Name]=$A24)*M_BOM[RM_Qty_Per_Batch]*IFERROR(INDEX(PP_Grid[#Data],M_BOM[PPGridRow],77),0))</f>
        <v/>
      </c>
      <c r="BZ24">
        <f>SUMPRODUCT((M_BOM[Part Name]=$A24)*M_BOM[RM_Qty_Per_Batch]*IFERROR(INDEX(PP_Grid[#Data],M_BOM[PPGridRow],78),0))</f>
        <v/>
      </c>
      <c r="CA24">
        <f>SUMPRODUCT((M_BOM[Part Name]=$A24)*M_BOM[RM_Qty_Per_Batch]*IFERROR(INDEX(PP_Grid[#Data],M_BOM[PPGridRow],79),0))</f>
        <v/>
      </c>
      <c r="CB24">
        <f>SUMPRODUCT((M_BOM[Part Name]=$A24)*M_BOM[RM_Qty_Per_Batch]*IFERROR(INDEX(PP_Grid[#Data],M_BOM[PPGridRow],80),0))</f>
        <v/>
      </c>
      <c r="CC24">
        <f>SUMPRODUCT((M_BOM[Part Name]=$A24)*M_BOM[RM_Qty_Per_Batch]*IFERROR(INDEX(PP_Grid[#Data],M_BOM[PPGridRow],81),0))</f>
        <v/>
      </c>
      <c r="CD24">
        <f>SUMPRODUCT((M_BOM[Part Name]=$A24)*M_BOM[RM_Qty_Per_Batch]*IFERROR(INDEX(PP_Grid[#Data],M_BOM[PPGridRow],82),0))</f>
        <v/>
      </c>
      <c r="CE24">
        <f>SUMPRODUCT((M_BOM[Part Name]=$A24)*M_BOM[RM_Qty_Per_Batch]*IFERROR(INDEX(PP_Grid[#Data],M_BOM[PPGridRow],83),0))</f>
        <v/>
      </c>
      <c r="CF24">
        <f>SUMPRODUCT((M_BOM[Part Name]=$A24)*M_BOM[RM_Qty_Per_Batch]*IFERROR(INDEX(PP_Grid[#Data],M_BOM[PPGridRow],84),0))</f>
        <v/>
      </c>
      <c r="CG24">
        <f>SUMPRODUCT((M_BOM[Part Name]=$A24)*M_BOM[RM_Qty_Per_Batch]*IFERROR(INDEX(PP_Grid[#Data],M_BOM[PPGridRow],85),0))</f>
        <v/>
      </c>
      <c r="CH24">
        <f>SUMPRODUCT((M_BOM[Part Name]=$A24)*M_BOM[RM_Qty_Per_Batch]*IFERROR(INDEX(PP_Grid[#Data],M_BOM[PPGridRow],86),0))</f>
        <v/>
      </c>
      <c r="CI24">
        <f>SUMPRODUCT((M_BOM[Part Name]=$A24)*M_BOM[RM_Qty_Per_Batch]*IFERROR(INDEX(PP_Grid[#Data],M_BOM[PPGridRow],87),0))</f>
        <v/>
      </c>
      <c r="CJ24">
        <f>SUMPRODUCT((M_BOM[Part Name]=$A24)*M_BOM[RM_Qty_Per_Batch]*IFERROR(INDEX(PP_Grid[#Data],M_BOM[PPGridRow],88),0))</f>
        <v/>
      </c>
      <c r="CK24">
        <f>SUMPRODUCT((M_BOM[Part Name]=$A24)*M_BOM[RM_Qty_Per_Batch]*IFERROR(INDEX(PP_Grid[#Data],M_BOM[PPGridRow],89),0))</f>
        <v/>
      </c>
      <c r="CL24">
        <f>SUMPRODUCT((M_BOM[Part Name]=$A24)*M_BOM[RM_Qty_Per_Batch]*IFERROR(INDEX(PP_Grid[#Data],M_BOM[PPGridRow],90),0))</f>
        <v/>
      </c>
      <c r="CM24">
        <f>SUMPRODUCT((M_BOM[Part Name]=$A24)*M_BOM[RM_Qty_Per_Batch]*IFERROR(INDEX(PP_Grid[#Data],M_BOM[PPGridRow],91),0))</f>
        <v/>
      </c>
      <c r="CN24">
        <f>SUMPRODUCT((M_BOM[Part Name]=$A24)*M_BOM[RM_Qty_Per_Batch]*IFERROR(INDEX(PP_Grid[#Data],M_BOM[PPGridRow],92),0))</f>
        <v/>
      </c>
      <c r="CO24">
        <f>SUMPRODUCT((M_BOM[Part Name]=$A24)*M_BOM[RM_Qty_Per_Batch]*IFERROR(INDEX(PP_Grid[#Data],M_BOM[PPGridRow],93),0))</f>
        <v/>
      </c>
      <c r="CP24">
        <f>SUMPRODUCT((M_BOM[Part Name]=$A24)*M_BOM[RM_Qty_Per_Batch]*IFERROR(INDEX(PP_Grid[#Data],M_BOM[PPGridRow],94),0))</f>
        <v/>
      </c>
      <c r="CQ24">
        <f>SUMPRODUCT((M_BOM[Part Name]=$A24)*M_BOM[RM_Qty_Per_Batch]*IFERROR(INDEX(PP_Grid[#Data],M_BOM[PPGridRow],95),0))</f>
        <v/>
      </c>
      <c r="CR24">
        <f>SUMPRODUCT((M_BOM[Part Name]=$A24)*M_BOM[RM_Qty_Per_Batch]*IFERROR(INDEX(PP_Grid[#Data],M_BOM[PPGridRow],96),0))</f>
        <v/>
      </c>
      <c r="CS24">
        <f>SUMPRODUCT((M_BOM[Part Name]=$A24)*M_BOM[RM_Qty_Per_Batch]*IFERROR(INDEX(PP_Grid[#Data],M_BOM[PPGridRow],97),0))</f>
        <v/>
      </c>
      <c r="CT24">
        <f>SUMPRODUCT((M_BOM[Part Name]=$A24)*M_BOM[RM_Qty_Per_Batch]*IFERROR(INDEX(PP_Grid[#Data],M_BOM[PPGridRow],98),0))</f>
        <v/>
      </c>
      <c r="CU24">
        <f>SUMPRODUCT((M_BOM[Part Name]=$A24)*M_BOM[RM_Qty_Per_Batch]*IFERROR(INDEX(PP_Grid[#Data],M_BOM[PPGridRow],99),0))</f>
        <v/>
      </c>
      <c r="CV24">
        <f>SUMPRODUCT((M_BOM[Part Name]=$A24)*M_BOM[RM_Qty_Per_Batch]*IFERROR(INDEX(PP_Grid[#Data],M_BOM[PPGridRow],100),0))</f>
        <v/>
      </c>
      <c r="CW24">
        <f>SUMPRODUCT((M_BOM[Part Name]=$A24)*M_BOM[RM_Qty_Per_Batch]*IFERROR(INDEX(PP_Grid[#Data],M_BOM[PPGridRow],101),0))</f>
        <v/>
      </c>
      <c r="CX24">
        <f>SUMPRODUCT((M_BOM[Part Name]=$A24)*M_BOM[RM_Qty_Per_Batch]*IFERROR(INDEX(PP_Grid[#Data],M_BOM[PPGridRow],102),0))</f>
        <v/>
      </c>
      <c r="CY24">
        <f>SUMPRODUCT((M_BOM[Part Name]=$A24)*M_BOM[RM_Qty_Per_Batch]*IFERROR(INDEX(PP_Grid[#Data],M_BOM[PPGridRow],103),0))</f>
        <v/>
      </c>
      <c r="CZ24">
        <f>SUMPRODUCT((M_BOM[Part Name]=$A24)*M_BOM[RM_Qty_Per_Batch]*IFERROR(INDEX(PP_Grid[#Data],M_BOM[PPGridRow],104),0))</f>
        <v/>
      </c>
      <c r="DA24">
        <f>SUMPRODUCT((M_BOM[Part Name]=$A24)*M_BOM[RM_Qty_Per_Batch]*IFERROR(INDEX(PP_Grid[#Data],M_BOM[PPGridRow],105),0))</f>
        <v/>
      </c>
    </row>
    <row r="25">
      <c r="A25" t="inlineStr">
        <is>
          <t>CHEM-1200</t>
        </is>
      </c>
      <c r="B25">
        <f>SUMPRODUCT((M_BOM[Part Name]=$A25)*M_BOM[RM_Qty_Per_Batch]*IFERROR(INDEX(PP_Grid[#Data],M_BOM[PPGridRow],2),0))</f>
        <v/>
      </c>
      <c r="C25">
        <f>SUMPRODUCT((M_BOM[Part Name]=$A25)*M_BOM[RM_Qty_Per_Batch]*IFERROR(INDEX(PP_Grid[#Data],M_BOM[PPGridRow],3),0))</f>
        <v/>
      </c>
      <c r="D25">
        <f>SUMPRODUCT((M_BOM[Part Name]=$A25)*M_BOM[RM_Qty_Per_Batch]*IFERROR(INDEX(PP_Grid[#Data],M_BOM[PPGridRow],4),0))</f>
        <v/>
      </c>
      <c r="E25">
        <f>SUMPRODUCT((M_BOM[Part Name]=$A25)*M_BOM[RM_Qty_Per_Batch]*IFERROR(INDEX(PP_Grid[#Data],M_BOM[PPGridRow],5),0))</f>
        <v/>
      </c>
      <c r="F25">
        <f>SUMPRODUCT((M_BOM[Part Name]=$A25)*M_BOM[RM_Qty_Per_Batch]*IFERROR(INDEX(PP_Grid[#Data],M_BOM[PPGridRow],6),0))</f>
        <v/>
      </c>
      <c r="G25">
        <f>SUMPRODUCT((M_BOM[Part Name]=$A25)*M_BOM[RM_Qty_Per_Batch]*IFERROR(INDEX(PP_Grid[#Data],M_BOM[PPGridRow],7),0))</f>
        <v/>
      </c>
      <c r="H25">
        <f>SUMPRODUCT((M_BOM[Part Name]=$A25)*M_BOM[RM_Qty_Per_Batch]*IFERROR(INDEX(PP_Grid[#Data],M_BOM[PPGridRow],8),0))</f>
        <v/>
      </c>
      <c r="I25">
        <f>SUMPRODUCT((M_BOM[Part Name]=$A25)*M_BOM[RM_Qty_Per_Batch]*IFERROR(INDEX(PP_Grid[#Data],M_BOM[PPGridRow],9),0))</f>
        <v/>
      </c>
      <c r="J25">
        <f>SUMPRODUCT((M_BOM[Part Name]=$A25)*M_BOM[RM_Qty_Per_Batch]*IFERROR(INDEX(PP_Grid[#Data],M_BOM[PPGridRow],10),0))</f>
        <v/>
      </c>
      <c r="K25">
        <f>SUMPRODUCT((M_BOM[Part Name]=$A25)*M_BOM[RM_Qty_Per_Batch]*IFERROR(INDEX(PP_Grid[#Data],M_BOM[PPGridRow],11),0))</f>
        <v/>
      </c>
      <c r="L25">
        <f>SUMPRODUCT((M_BOM[Part Name]=$A25)*M_BOM[RM_Qty_Per_Batch]*IFERROR(INDEX(PP_Grid[#Data],M_BOM[PPGridRow],12),0))</f>
        <v/>
      </c>
      <c r="M25">
        <f>SUMPRODUCT((M_BOM[Part Name]=$A25)*M_BOM[RM_Qty_Per_Batch]*IFERROR(INDEX(PP_Grid[#Data],M_BOM[PPGridRow],13),0))</f>
        <v/>
      </c>
      <c r="N25">
        <f>SUMPRODUCT((M_BOM[Part Name]=$A25)*M_BOM[RM_Qty_Per_Batch]*IFERROR(INDEX(PP_Grid[#Data],M_BOM[PPGridRow],14),0))</f>
        <v/>
      </c>
      <c r="O25">
        <f>SUMPRODUCT((M_BOM[Part Name]=$A25)*M_BOM[RM_Qty_Per_Batch]*IFERROR(INDEX(PP_Grid[#Data],M_BOM[PPGridRow],15),0))</f>
        <v/>
      </c>
      <c r="P25">
        <f>SUMPRODUCT((M_BOM[Part Name]=$A25)*M_BOM[RM_Qty_Per_Batch]*IFERROR(INDEX(PP_Grid[#Data],M_BOM[PPGridRow],16),0))</f>
        <v/>
      </c>
      <c r="Q25">
        <f>SUMPRODUCT((M_BOM[Part Name]=$A25)*M_BOM[RM_Qty_Per_Batch]*IFERROR(INDEX(PP_Grid[#Data],M_BOM[PPGridRow],17),0))</f>
        <v/>
      </c>
      <c r="R25">
        <f>SUMPRODUCT((M_BOM[Part Name]=$A25)*M_BOM[RM_Qty_Per_Batch]*IFERROR(INDEX(PP_Grid[#Data],M_BOM[PPGridRow],18),0))</f>
        <v/>
      </c>
      <c r="S25">
        <f>SUMPRODUCT((M_BOM[Part Name]=$A25)*M_BOM[RM_Qty_Per_Batch]*IFERROR(INDEX(PP_Grid[#Data],M_BOM[PPGridRow],19),0))</f>
        <v/>
      </c>
      <c r="T25">
        <f>SUMPRODUCT((M_BOM[Part Name]=$A25)*M_BOM[RM_Qty_Per_Batch]*IFERROR(INDEX(PP_Grid[#Data],M_BOM[PPGridRow],20),0))</f>
        <v/>
      </c>
      <c r="U25">
        <f>SUMPRODUCT((M_BOM[Part Name]=$A25)*M_BOM[RM_Qty_Per_Batch]*IFERROR(INDEX(PP_Grid[#Data],M_BOM[PPGridRow],21),0))</f>
        <v/>
      </c>
      <c r="V25">
        <f>SUMPRODUCT((M_BOM[Part Name]=$A25)*M_BOM[RM_Qty_Per_Batch]*IFERROR(INDEX(PP_Grid[#Data],M_BOM[PPGridRow],22),0))</f>
        <v/>
      </c>
      <c r="W25">
        <f>SUMPRODUCT((M_BOM[Part Name]=$A25)*M_BOM[RM_Qty_Per_Batch]*IFERROR(INDEX(PP_Grid[#Data],M_BOM[PPGridRow],23),0))</f>
        <v/>
      </c>
      <c r="X25">
        <f>SUMPRODUCT((M_BOM[Part Name]=$A25)*M_BOM[RM_Qty_Per_Batch]*IFERROR(INDEX(PP_Grid[#Data],M_BOM[PPGridRow],24),0))</f>
        <v/>
      </c>
      <c r="Y25">
        <f>SUMPRODUCT((M_BOM[Part Name]=$A25)*M_BOM[RM_Qty_Per_Batch]*IFERROR(INDEX(PP_Grid[#Data],M_BOM[PPGridRow],25),0))</f>
        <v/>
      </c>
      <c r="Z25">
        <f>SUMPRODUCT((M_BOM[Part Name]=$A25)*M_BOM[RM_Qty_Per_Batch]*IFERROR(INDEX(PP_Grid[#Data],M_BOM[PPGridRow],26),0))</f>
        <v/>
      </c>
      <c r="AA25">
        <f>SUMPRODUCT((M_BOM[Part Name]=$A25)*M_BOM[RM_Qty_Per_Batch]*IFERROR(INDEX(PP_Grid[#Data],M_BOM[PPGridRow],27),0))</f>
        <v/>
      </c>
      <c r="AB25">
        <f>SUMPRODUCT((M_BOM[Part Name]=$A25)*M_BOM[RM_Qty_Per_Batch]*IFERROR(INDEX(PP_Grid[#Data],M_BOM[PPGridRow],28),0))</f>
        <v/>
      </c>
      <c r="AC25">
        <f>SUMPRODUCT((M_BOM[Part Name]=$A25)*M_BOM[RM_Qty_Per_Batch]*IFERROR(INDEX(PP_Grid[#Data],M_BOM[PPGridRow],29),0))</f>
        <v/>
      </c>
      <c r="AD25">
        <f>SUMPRODUCT((M_BOM[Part Name]=$A25)*M_BOM[RM_Qty_Per_Batch]*IFERROR(INDEX(PP_Grid[#Data],M_BOM[PPGridRow],30),0))</f>
        <v/>
      </c>
      <c r="AE25">
        <f>SUMPRODUCT((M_BOM[Part Name]=$A25)*M_BOM[RM_Qty_Per_Batch]*IFERROR(INDEX(PP_Grid[#Data],M_BOM[PPGridRow],31),0))</f>
        <v/>
      </c>
      <c r="AF25">
        <f>SUMPRODUCT((M_BOM[Part Name]=$A25)*M_BOM[RM_Qty_Per_Batch]*IFERROR(INDEX(PP_Grid[#Data],M_BOM[PPGridRow],32),0))</f>
        <v/>
      </c>
      <c r="AG25">
        <f>SUMPRODUCT((M_BOM[Part Name]=$A25)*M_BOM[RM_Qty_Per_Batch]*IFERROR(INDEX(PP_Grid[#Data],M_BOM[PPGridRow],33),0))</f>
        <v/>
      </c>
      <c r="AH25">
        <f>SUMPRODUCT((M_BOM[Part Name]=$A25)*M_BOM[RM_Qty_Per_Batch]*IFERROR(INDEX(PP_Grid[#Data],M_BOM[PPGridRow],34),0))</f>
        <v/>
      </c>
      <c r="AI25">
        <f>SUMPRODUCT((M_BOM[Part Name]=$A25)*M_BOM[RM_Qty_Per_Batch]*IFERROR(INDEX(PP_Grid[#Data],M_BOM[PPGridRow],35),0))</f>
        <v/>
      </c>
      <c r="AJ25">
        <f>SUMPRODUCT((M_BOM[Part Name]=$A25)*M_BOM[RM_Qty_Per_Batch]*IFERROR(INDEX(PP_Grid[#Data],M_BOM[PPGridRow],36),0))</f>
        <v/>
      </c>
      <c r="AK25">
        <f>SUMPRODUCT((M_BOM[Part Name]=$A25)*M_BOM[RM_Qty_Per_Batch]*IFERROR(INDEX(PP_Grid[#Data],M_BOM[PPGridRow],37),0))</f>
        <v/>
      </c>
      <c r="AL25">
        <f>SUMPRODUCT((M_BOM[Part Name]=$A25)*M_BOM[RM_Qty_Per_Batch]*IFERROR(INDEX(PP_Grid[#Data],M_BOM[PPGridRow],38),0))</f>
        <v/>
      </c>
      <c r="AM25">
        <f>SUMPRODUCT((M_BOM[Part Name]=$A25)*M_BOM[RM_Qty_Per_Batch]*IFERROR(INDEX(PP_Grid[#Data],M_BOM[PPGridRow],39),0))</f>
        <v/>
      </c>
      <c r="AN25">
        <f>SUMPRODUCT((M_BOM[Part Name]=$A25)*M_BOM[RM_Qty_Per_Batch]*IFERROR(INDEX(PP_Grid[#Data],M_BOM[PPGridRow],40),0))</f>
        <v/>
      </c>
      <c r="AO25">
        <f>SUMPRODUCT((M_BOM[Part Name]=$A25)*M_BOM[RM_Qty_Per_Batch]*IFERROR(INDEX(PP_Grid[#Data],M_BOM[PPGridRow],41),0))</f>
        <v/>
      </c>
      <c r="AP25">
        <f>SUMPRODUCT((M_BOM[Part Name]=$A25)*M_BOM[RM_Qty_Per_Batch]*IFERROR(INDEX(PP_Grid[#Data],M_BOM[PPGridRow],42),0))</f>
        <v/>
      </c>
      <c r="AQ25">
        <f>SUMPRODUCT((M_BOM[Part Name]=$A25)*M_BOM[RM_Qty_Per_Batch]*IFERROR(INDEX(PP_Grid[#Data],M_BOM[PPGridRow],43),0))</f>
        <v/>
      </c>
      <c r="AR25">
        <f>SUMPRODUCT((M_BOM[Part Name]=$A25)*M_BOM[RM_Qty_Per_Batch]*IFERROR(INDEX(PP_Grid[#Data],M_BOM[PPGridRow],44),0))</f>
        <v/>
      </c>
      <c r="AS25">
        <f>SUMPRODUCT((M_BOM[Part Name]=$A25)*M_BOM[RM_Qty_Per_Batch]*IFERROR(INDEX(PP_Grid[#Data],M_BOM[PPGridRow],45),0))</f>
        <v/>
      </c>
      <c r="AT25">
        <f>SUMPRODUCT((M_BOM[Part Name]=$A25)*M_BOM[RM_Qty_Per_Batch]*IFERROR(INDEX(PP_Grid[#Data],M_BOM[PPGridRow],46),0))</f>
        <v/>
      </c>
      <c r="AU25">
        <f>SUMPRODUCT((M_BOM[Part Name]=$A25)*M_BOM[RM_Qty_Per_Batch]*IFERROR(INDEX(PP_Grid[#Data],M_BOM[PPGridRow],47),0))</f>
        <v/>
      </c>
      <c r="AV25">
        <f>SUMPRODUCT((M_BOM[Part Name]=$A25)*M_BOM[RM_Qty_Per_Batch]*IFERROR(INDEX(PP_Grid[#Data],M_BOM[PPGridRow],48),0))</f>
        <v/>
      </c>
      <c r="AW25">
        <f>SUMPRODUCT((M_BOM[Part Name]=$A25)*M_BOM[RM_Qty_Per_Batch]*IFERROR(INDEX(PP_Grid[#Data],M_BOM[PPGridRow],49),0))</f>
        <v/>
      </c>
      <c r="AX25">
        <f>SUMPRODUCT((M_BOM[Part Name]=$A25)*M_BOM[RM_Qty_Per_Batch]*IFERROR(INDEX(PP_Grid[#Data],M_BOM[PPGridRow],50),0))</f>
        <v/>
      </c>
      <c r="AY25">
        <f>SUMPRODUCT((M_BOM[Part Name]=$A25)*M_BOM[RM_Qty_Per_Batch]*IFERROR(INDEX(PP_Grid[#Data],M_BOM[PPGridRow],51),0))</f>
        <v/>
      </c>
      <c r="AZ25">
        <f>SUMPRODUCT((M_BOM[Part Name]=$A25)*M_BOM[RM_Qty_Per_Batch]*IFERROR(INDEX(PP_Grid[#Data],M_BOM[PPGridRow],52),0))</f>
        <v/>
      </c>
      <c r="BA25">
        <f>SUMPRODUCT((M_BOM[Part Name]=$A25)*M_BOM[RM_Qty_Per_Batch]*IFERROR(INDEX(PP_Grid[#Data],M_BOM[PPGridRow],53),0))</f>
        <v/>
      </c>
      <c r="BB25">
        <f>SUMPRODUCT((M_BOM[Part Name]=$A25)*M_BOM[RM_Qty_Per_Batch]*IFERROR(INDEX(PP_Grid[#Data],M_BOM[PPGridRow],54),0))</f>
        <v/>
      </c>
      <c r="BC25">
        <f>SUMPRODUCT((M_BOM[Part Name]=$A25)*M_BOM[RM_Qty_Per_Batch]*IFERROR(INDEX(PP_Grid[#Data],M_BOM[PPGridRow],55),0))</f>
        <v/>
      </c>
      <c r="BD25">
        <f>SUMPRODUCT((M_BOM[Part Name]=$A25)*M_BOM[RM_Qty_Per_Batch]*IFERROR(INDEX(PP_Grid[#Data],M_BOM[PPGridRow],56),0))</f>
        <v/>
      </c>
      <c r="BE25">
        <f>SUMPRODUCT((M_BOM[Part Name]=$A25)*M_BOM[RM_Qty_Per_Batch]*IFERROR(INDEX(PP_Grid[#Data],M_BOM[PPGridRow],57),0))</f>
        <v/>
      </c>
      <c r="BF25">
        <f>SUMPRODUCT((M_BOM[Part Name]=$A25)*M_BOM[RM_Qty_Per_Batch]*IFERROR(INDEX(PP_Grid[#Data],M_BOM[PPGridRow],58),0))</f>
        <v/>
      </c>
      <c r="BG25">
        <f>SUMPRODUCT((M_BOM[Part Name]=$A25)*M_BOM[RM_Qty_Per_Batch]*IFERROR(INDEX(PP_Grid[#Data],M_BOM[PPGridRow],59),0))</f>
        <v/>
      </c>
      <c r="BH25">
        <f>SUMPRODUCT((M_BOM[Part Name]=$A25)*M_BOM[RM_Qty_Per_Batch]*IFERROR(INDEX(PP_Grid[#Data],M_BOM[PPGridRow],60),0))</f>
        <v/>
      </c>
      <c r="BI25">
        <f>SUMPRODUCT((M_BOM[Part Name]=$A25)*M_BOM[RM_Qty_Per_Batch]*IFERROR(INDEX(PP_Grid[#Data],M_BOM[PPGridRow],61),0))</f>
        <v/>
      </c>
      <c r="BJ25">
        <f>SUMPRODUCT((M_BOM[Part Name]=$A25)*M_BOM[RM_Qty_Per_Batch]*IFERROR(INDEX(PP_Grid[#Data],M_BOM[PPGridRow],62),0))</f>
        <v/>
      </c>
      <c r="BK25">
        <f>SUMPRODUCT((M_BOM[Part Name]=$A25)*M_BOM[RM_Qty_Per_Batch]*IFERROR(INDEX(PP_Grid[#Data],M_BOM[PPGridRow],63),0))</f>
        <v/>
      </c>
      <c r="BL25">
        <f>SUMPRODUCT((M_BOM[Part Name]=$A25)*M_BOM[RM_Qty_Per_Batch]*IFERROR(INDEX(PP_Grid[#Data],M_BOM[PPGridRow],64),0))</f>
        <v/>
      </c>
      <c r="BM25">
        <f>SUMPRODUCT((M_BOM[Part Name]=$A25)*M_BOM[RM_Qty_Per_Batch]*IFERROR(INDEX(PP_Grid[#Data],M_BOM[PPGridRow],65),0))</f>
        <v/>
      </c>
      <c r="BN25">
        <f>SUMPRODUCT((M_BOM[Part Name]=$A25)*M_BOM[RM_Qty_Per_Batch]*IFERROR(INDEX(PP_Grid[#Data],M_BOM[PPGridRow],66),0))</f>
        <v/>
      </c>
      <c r="BO25">
        <f>SUMPRODUCT((M_BOM[Part Name]=$A25)*M_BOM[RM_Qty_Per_Batch]*IFERROR(INDEX(PP_Grid[#Data],M_BOM[PPGridRow],67),0))</f>
        <v/>
      </c>
      <c r="BP25">
        <f>SUMPRODUCT((M_BOM[Part Name]=$A25)*M_BOM[RM_Qty_Per_Batch]*IFERROR(INDEX(PP_Grid[#Data],M_BOM[PPGridRow],68),0))</f>
        <v/>
      </c>
      <c r="BQ25">
        <f>SUMPRODUCT((M_BOM[Part Name]=$A25)*M_BOM[RM_Qty_Per_Batch]*IFERROR(INDEX(PP_Grid[#Data],M_BOM[PPGridRow],69),0))</f>
        <v/>
      </c>
      <c r="BR25">
        <f>SUMPRODUCT((M_BOM[Part Name]=$A25)*M_BOM[RM_Qty_Per_Batch]*IFERROR(INDEX(PP_Grid[#Data],M_BOM[PPGridRow],70),0))</f>
        <v/>
      </c>
      <c r="BS25">
        <f>SUMPRODUCT((M_BOM[Part Name]=$A25)*M_BOM[RM_Qty_Per_Batch]*IFERROR(INDEX(PP_Grid[#Data],M_BOM[PPGridRow],71),0))</f>
        <v/>
      </c>
      <c r="BT25">
        <f>SUMPRODUCT((M_BOM[Part Name]=$A25)*M_BOM[RM_Qty_Per_Batch]*IFERROR(INDEX(PP_Grid[#Data],M_BOM[PPGridRow],72),0))</f>
        <v/>
      </c>
      <c r="BU25">
        <f>SUMPRODUCT((M_BOM[Part Name]=$A25)*M_BOM[RM_Qty_Per_Batch]*IFERROR(INDEX(PP_Grid[#Data],M_BOM[PPGridRow],73),0))</f>
        <v/>
      </c>
      <c r="BV25">
        <f>SUMPRODUCT((M_BOM[Part Name]=$A25)*M_BOM[RM_Qty_Per_Batch]*IFERROR(INDEX(PP_Grid[#Data],M_BOM[PPGridRow],74),0))</f>
        <v/>
      </c>
      <c r="BW25">
        <f>SUMPRODUCT((M_BOM[Part Name]=$A25)*M_BOM[RM_Qty_Per_Batch]*IFERROR(INDEX(PP_Grid[#Data],M_BOM[PPGridRow],75),0))</f>
        <v/>
      </c>
      <c r="BX25">
        <f>SUMPRODUCT((M_BOM[Part Name]=$A25)*M_BOM[RM_Qty_Per_Batch]*IFERROR(INDEX(PP_Grid[#Data],M_BOM[PPGridRow],76),0))</f>
        <v/>
      </c>
      <c r="BY25">
        <f>SUMPRODUCT((M_BOM[Part Name]=$A25)*M_BOM[RM_Qty_Per_Batch]*IFERROR(INDEX(PP_Grid[#Data],M_BOM[PPGridRow],77),0))</f>
        <v/>
      </c>
      <c r="BZ25">
        <f>SUMPRODUCT((M_BOM[Part Name]=$A25)*M_BOM[RM_Qty_Per_Batch]*IFERROR(INDEX(PP_Grid[#Data],M_BOM[PPGridRow],78),0))</f>
        <v/>
      </c>
      <c r="CA25">
        <f>SUMPRODUCT((M_BOM[Part Name]=$A25)*M_BOM[RM_Qty_Per_Batch]*IFERROR(INDEX(PP_Grid[#Data],M_BOM[PPGridRow],79),0))</f>
        <v/>
      </c>
      <c r="CB25">
        <f>SUMPRODUCT((M_BOM[Part Name]=$A25)*M_BOM[RM_Qty_Per_Batch]*IFERROR(INDEX(PP_Grid[#Data],M_BOM[PPGridRow],80),0))</f>
        <v/>
      </c>
      <c r="CC25">
        <f>SUMPRODUCT((M_BOM[Part Name]=$A25)*M_BOM[RM_Qty_Per_Batch]*IFERROR(INDEX(PP_Grid[#Data],M_BOM[PPGridRow],81),0))</f>
        <v/>
      </c>
      <c r="CD25">
        <f>SUMPRODUCT((M_BOM[Part Name]=$A25)*M_BOM[RM_Qty_Per_Batch]*IFERROR(INDEX(PP_Grid[#Data],M_BOM[PPGridRow],82),0))</f>
        <v/>
      </c>
      <c r="CE25">
        <f>SUMPRODUCT((M_BOM[Part Name]=$A25)*M_BOM[RM_Qty_Per_Batch]*IFERROR(INDEX(PP_Grid[#Data],M_BOM[PPGridRow],83),0))</f>
        <v/>
      </c>
      <c r="CF25">
        <f>SUMPRODUCT((M_BOM[Part Name]=$A25)*M_BOM[RM_Qty_Per_Batch]*IFERROR(INDEX(PP_Grid[#Data],M_BOM[PPGridRow],84),0))</f>
        <v/>
      </c>
      <c r="CG25">
        <f>SUMPRODUCT((M_BOM[Part Name]=$A25)*M_BOM[RM_Qty_Per_Batch]*IFERROR(INDEX(PP_Grid[#Data],M_BOM[PPGridRow],85),0))</f>
        <v/>
      </c>
      <c r="CH25">
        <f>SUMPRODUCT((M_BOM[Part Name]=$A25)*M_BOM[RM_Qty_Per_Batch]*IFERROR(INDEX(PP_Grid[#Data],M_BOM[PPGridRow],86),0))</f>
        <v/>
      </c>
      <c r="CI25">
        <f>SUMPRODUCT((M_BOM[Part Name]=$A25)*M_BOM[RM_Qty_Per_Batch]*IFERROR(INDEX(PP_Grid[#Data],M_BOM[PPGridRow],87),0))</f>
        <v/>
      </c>
      <c r="CJ25">
        <f>SUMPRODUCT((M_BOM[Part Name]=$A25)*M_BOM[RM_Qty_Per_Batch]*IFERROR(INDEX(PP_Grid[#Data],M_BOM[PPGridRow],88),0))</f>
        <v/>
      </c>
      <c r="CK25">
        <f>SUMPRODUCT((M_BOM[Part Name]=$A25)*M_BOM[RM_Qty_Per_Batch]*IFERROR(INDEX(PP_Grid[#Data],M_BOM[PPGridRow],89),0))</f>
        <v/>
      </c>
      <c r="CL25">
        <f>SUMPRODUCT((M_BOM[Part Name]=$A25)*M_BOM[RM_Qty_Per_Batch]*IFERROR(INDEX(PP_Grid[#Data],M_BOM[PPGridRow],90),0))</f>
        <v/>
      </c>
      <c r="CM25">
        <f>SUMPRODUCT((M_BOM[Part Name]=$A25)*M_BOM[RM_Qty_Per_Batch]*IFERROR(INDEX(PP_Grid[#Data],M_BOM[PPGridRow],91),0))</f>
        <v/>
      </c>
      <c r="CN25">
        <f>SUMPRODUCT((M_BOM[Part Name]=$A25)*M_BOM[RM_Qty_Per_Batch]*IFERROR(INDEX(PP_Grid[#Data],M_BOM[PPGridRow],92),0))</f>
        <v/>
      </c>
      <c r="CO25">
        <f>SUMPRODUCT((M_BOM[Part Name]=$A25)*M_BOM[RM_Qty_Per_Batch]*IFERROR(INDEX(PP_Grid[#Data],M_BOM[PPGridRow],93),0))</f>
        <v/>
      </c>
      <c r="CP25">
        <f>SUMPRODUCT((M_BOM[Part Name]=$A25)*M_BOM[RM_Qty_Per_Batch]*IFERROR(INDEX(PP_Grid[#Data],M_BOM[PPGridRow],94),0))</f>
        <v/>
      </c>
      <c r="CQ25">
        <f>SUMPRODUCT((M_BOM[Part Name]=$A25)*M_BOM[RM_Qty_Per_Batch]*IFERROR(INDEX(PP_Grid[#Data],M_BOM[PPGridRow],95),0))</f>
        <v/>
      </c>
      <c r="CR25">
        <f>SUMPRODUCT((M_BOM[Part Name]=$A25)*M_BOM[RM_Qty_Per_Batch]*IFERROR(INDEX(PP_Grid[#Data],M_BOM[PPGridRow],96),0))</f>
        <v/>
      </c>
      <c r="CS25">
        <f>SUMPRODUCT((M_BOM[Part Name]=$A25)*M_BOM[RM_Qty_Per_Batch]*IFERROR(INDEX(PP_Grid[#Data],M_BOM[PPGridRow],97),0))</f>
        <v/>
      </c>
      <c r="CT25">
        <f>SUMPRODUCT((M_BOM[Part Name]=$A25)*M_BOM[RM_Qty_Per_Batch]*IFERROR(INDEX(PP_Grid[#Data],M_BOM[PPGridRow],98),0))</f>
        <v/>
      </c>
      <c r="CU25">
        <f>SUMPRODUCT((M_BOM[Part Name]=$A25)*M_BOM[RM_Qty_Per_Batch]*IFERROR(INDEX(PP_Grid[#Data],M_BOM[PPGridRow],99),0))</f>
        <v/>
      </c>
      <c r="CV25">
        <f>SUMPRODUCT((M_BOM[Part Name]=$A25)*M_BOM[RM_Qty_Per_Batch]*IFERROR(INDEX(PP_Grid[#Data],M_BOM[PPGridRow],100),0))</f>
        <v/>
      </c>
      <c r="CW25">
        <f>SUMPRODUCT((M_BOM[Part Name]=$A25)*M_BOM[RM_Qty_Per_Batch]*IFERROR(INDEX(PP_Grid[#Data],M_BOM[PPGridRow],101),0))</f>
        <v/>
      </c>
      <c r="CX25">
        <f>SUMPRODUCT((M_BOM[Part Name]=$A25)*M_BOM[RM_Qty_Per_Batch]*IFERROR(INDEX(PP_Grid[#Data],M_BOM[PPGridRow],102),0))</f>
        <v/>
      </c>
      <c r="CY25">
        <f>SUMPRODUCT((M_BOM[Part Name]=$A25)*M_BOM[RM_Qty_Per_Batch]*IFERROR(INDEX(PP_Grid[#Data],M_BOM[PPGridRow],103),0))</f>
        <v/>
      </c>
      <c r="CZ25">
        <f>SUMPRODUCT((M_BOM[Part Name]=$A25)*M_BOM[RM_Qty_Per_Batch]*IFERROR(INDEX(PP_Grid[#Data],M_BOM[PPGridRow],104),0))</f>
        <v/>
      </c>
      <c r="DA25">
        <f>SUMPRODUCT((M_BOM[Part Name]=$A25)*M_BOM[RM_Qty_Per_Batch]*IFERROR(INDEX(PP_Grid[#Data],M_BOM[PPGridRow],105),0))</f>
        <v/>
      </c>
    </row>
    <row r="26">
      <c r="A26" t="inlineStr">
        <is>
          <t>CHEM-1830</t>
        </is>
      </c>
      <c r="B26">
        <f>SUMPRODUCT((M_BOM[Part Name]=$A26)*M_BOM[RM_Qty_Per_Batch]*IFERROR(INDEX(PP_Grid[#Data],M_BOM[PPGridRow],2),0))</f>
        <v/>
      </c>
      <c r="C26">
        <f>SUMPRODUCT((M_BOM[Part Name]=$A26)*M_BOM[RM_Qty_Per_Batch]*IFERROR(INDEX(PP_Grid[#Data],M_BOM[PPGridRow],3),0))</f>
        <v/>
      </c>
      <c r="D26">
        <f>SUMPRODUCT((M_BOM[Part Name]=$A26)*M_BOM[RM_Qty_Per_Batch]*IFERROR(INDEX(PP_Grid[#Data],M_BOM[PPGridRow],4),0))</f>
        <v/>
      </c>
      <c r="E26">
        <f>SUMPRODUCT((M_BOM[Part Name]=$A26)*M_BOM[RM_Qty_Per_Batch]*IFERROR(INDEX(PP_Grid[#Data],M_BOM[PPGridRow],5),0))</f>
        <v/>
      </c>
      <c r="F26">
        <f>SUMPRODUCT((M_BOM[Part Name]=$A26)*M_BOM[RM_Qty_Per_Batch]*IFERROR(INDEX(PP_Grid[#Data],M_BOM[PPGridRow],6),0))</f>
        <v/>
      </c>
      <c r="G26">
        <f>SUMPRODUCT((M_BOM[Part Name]=$A26)*M_BOM[RM_Qty_Per_Batch]*IFERROR(INDEX(PP_Grid[#Data],M_BOM[PPGridRow],7),0))</f>
        <v/>
      </c>
      <c r="H26">
        <f>SUMPRODUCT((M_BOM[Part Name]=$A26)*M_BOM[RM_Qty_Per_Batch]*IFERROR(INDEX(PP_Grid[#Data],M_BOM[PPGridRow],8),0))</f>
        <v/>
      </c>
      <c r="I26">
        <f>SUMPRODUCT((M_BOM[Part Name]=$A26)*M_BOM[RM_Qty_Per_Batch]*IFERROR(INDEX(PP_Grid[#Data],M_BOM[PPGridRow],9),0))</f>
        <v/>
      </c>
      <c r="J26">
        <f>SUMPRODUCT((M_BOM[Part Name]=$A26)*M_BOM[RM_Qty_Per_Batch]*IFERROR(INDEX(PP_Grid[#Data],M_BOM[PPGridRow],10),0))</f>
        <v/>
      </c>
      <c r="K26">
        <f>SUMPRODUCT((M_BOM[Part Name]=$A26)*M_BOM[RM_Qty_Per_Batch]*IFERROR(INDEX(PP_Grid[#Data],M_BOM[PPGridRow],11),0))</f>
        <v/>
      </c>
      <c r="L26">
        <f>SUMPRODUCT((M_BOM[Part Name]=$A26)*M_BOM[RM_Qty_Per_Batch]*IFERROR(INDEX(PP_Grid[#Data],M_BOM[PPGridRow],12),0))</f>
        <v/>
      </c>
      <c r="M26">
        <f>SUMPRODUCT((M_BOM[Part Name]=$A26)*M_BOM[RM_Qty_Per_Batch]*IFERROR(INDEX(PP_Grid[#Data],M_BOM[PPGridRow],13),0))</f>
        <v/>
      </c>
      <c r="N26">
        <f>SUMPRODUCT((M_BOM[Part Name]=$A26)*M_BOM[RM_Qty_Per_Batch]*IFERROR(INDEX(PP_Grid[#Data],M_BOM[PPGridRow],14),0))</f>
        <v/>
      </c>
      <c r="O26">
        <f>SUMPRODUCT((M_BOM[Part Name]=$A26)*M_BOM[RM_Qty_Per_Batch]*IFERROR(INDEX(PP_Grid[#Data],M_BOM[PPGridRow],15),0))</f>
        <v/>
      </c>
      <c r="P26">
        <f>SUMPRODUCT((M_BOM[Part Name]=$A26)*M_BOM[RM_Qty_Per_Batch]*IFERROR(INDEX(PP_Grid[#Data],M_BOM[PPGridRow],16),0))</f>
        <v/>
      </c>
      <c r="Q26">
        <f>SUMPRODUCT((M_BOM[Part Name]=$A26)*M_BOM[RM_Qty_Per_Batch]*IFERROR(INDEX(PP_Grid[#Data],M_BOM[PPGridRow],17),0))</f>
        <v/>
      </c>
      <c r="R26">
        <f>SUMPRODUCT((M_BOM[Part Name]=$A26)*M_BOM[RM_Qty_Per_Batch]*IFERROR(INDEX(PP_Grid[#Data],M_BOM[PPGridRow],18),0))</f>
        <v/>
      </c>
      <c r="S26">
        <f>SUMPRODUCT((M_BOM[Part Name]=$A26)*M_BOM[RM_Qty_Per_Batch]*IFERROR(INDEX(PP_Grid[#Data],M_BOM[PPGridRow],19),0))</f>
        <v/>
      </c>
      <c r="T26">
        <f>SUMPRODUCT((M_BOM[Part Name]=$A26)*M_BOM[RM_Qty_Per_Batch]*IFERROR(INDEX(PP_Grid[#Data],M_BOM[PPGridRow],20),0))</f>
        <v/>
      </c>
      <c r="U26">
        <f>SUMPRODUCT((M_BOM[Part Name]=$A26)*M_BOM[RM_Qty_Per_Batch]*IFERROR(INDEX(PP_Grid[#Data],M_BOM[PPGridRow],21),0))</f>
        <v/>
      </c>
      <c r="V26">
        <f>SUMPRODUCT((M_BOM[Part Name]=$A26)*M_BOM[RM_Qty_Per_Batch]*IFERROR(INDEX(PP_Grid[#Data],M_BOM[PPGridRow],22),0))</f>
        <v/>
      </c>
      <c r="W26">
        <f>SUMPRODUCT((M_BOM[Part Name]=$A26)*M_BOM[RM_Qty_Per_Batch]*IFERROR(INDEX(PP_Grid[#Data],M_BOM[PPGridRow],23),0))</f>
        <v/>
      </c>
      <c r="X26">
        <f>SUMPRODUCT((M_BOM[Part Name]=$A26)*M_BOM[RM_Qty_Per_Batch]*IFERROR(INDEX(PP_Grid[#Data],M_BOM[PPGridRow],24),0))</f>
        <v/>
      </c>
      <c r="Y26">
        <f>SUMPRODUCT((M_BOM[Part Name]=$A26)*M_BOM[RM_Qty_Per_Batch]*IFERROR(INDEX(PP_Grid[#Data],M_BOM[PPGridRow],25),0))</f>
        <v/>
      </c>
      <c r="Z26">
        <f>SUMPRODUCT((M_BOM[Part Name]=$A26)*M_BOM[RM_Qty_Per_Batch]*IFERROR(INDEX(PP_Grid[#Data],M_BOM[PPGridRow],26),0))</f>
        <v/>
      </c>
      <c r="AA26">
        <f>SUMPRODUCT((M_BOM[Part Name]=$A26)*M_BOM[RM_Qty_Per_Batch]*IFERROR(INDEX(PP_Grid[#Data],M_BOM[PPGridRow],27),0))</f>
        <v/>
      </c>
      <c r="AB26">
        <f>SUMPRODUCT((M_BOM[Part Name]=$A26)*M_BOM[RM_Qty_Per_Batch]*IFERROR(INDEX(PP_Grid[#Data],M_BOM[PPGridRow],28),0))</f>
        <v/>
      </c>
      <c r="AC26">
        <f>SUMPRODUCT((M_BOM[Part Name]=$A26)*M_BOM[RM_Qty_Per_Batch]*IFERROR(INDEX(PP_Grid[#Data],M_BOM[PPGridRow],29),0))</f>
        <v/>
      </c>
      <c r="AD26">
        <f>SUMPRODUCT((M_BOM[Part Name]=$A26)*M_BOM[RM_Qty_Per_Batch]*IFERROR(INDEX(PP_Grid[#Data],M_BOM[PPGridRow],30),0))</f>
        <v/>
      </c>
      <c r="AE26">
        <f>SUMPRODUCT((M_BOM[Part Name]=$A26)*M_BOM[RM_Qty_Per_Batch]*IFERROR(INDEX(PP_Grid[#Data],M_BOM[PPGridRow],31),0))</f>
        <v/>
      </c>
      <c r="AF26">
        <f>SUMPRODUCT((M_BOM[Part Name]=$A26)*M_BOM[RM_Qty_Per_Batch]*IFERROR(INDEX(PP_Grid[#Data],M_BOM[PPGridRow],32),0))</f>
        <v/>
      </c>
      <c r="AG26">
        <f>SUMPRODUCT((M_BOM[Part Name]=$A26)*M_BOM[RM_Qty_Per_Batch]*IFERROR(INDEX(PP_Grid[#Data],M_BOM[PPGridRow],33),0))</f>
        <v/>
      </c>
      <c r="AH26">
        <f>SUMPRODUCT((M_BOM[Part Name]=$A26)*M_BOM[RM_Qty_Per_Batch]*IFERROR(INDEX(PP_Grid[#Data],M_BOM[PPGridRow],34),0))</f>
        <v/>
      </c>
      <c r="AI26">
        <f>SUMPRODUCT((M_BOM[Part Name]=$A26)*M_BOM[RM_Qty_Per_Batch]*IFERROR(INDEX(PP_Grid[#Data],M_BOM[PPGridRow],35),0))</f>
        <v/>
      </c>
      <c r="AJ26">
        <f>SUMPRODUCT((M_BOM[Part Name]=$A26)*M_BOM[RM_Qty_Per_Batch]*IFERROR(INDEX(PP_Grid[#Data],M_BOM[PPGridRow],36),0))</f>
        <v/>
      </c>
      <c r="AK26">
        <f>SUMPRODUCT((M_BOM[Part Name]=$A26)*M_BOM[RM_Qty_Per_Batch]*IFERROR(INDEX(PP_Grid[#Data],M_BOM[PPGridRow],37),0))</f>
        <v/>
      </c>
      <c r="AL26">
        <f>SUMPRODUCT((M_BOM[Part Name]=$A26)*M_BOM[RM_Qty_Per_Batch]*IFERROR(INDEX(PP_Grid[#Data],M_BOM[PPGridRow],38),0))</f>
        <v/>
      </c>
      <c r="AM26">
        <f>SUMPRODUCT((M_BOM[Part Name]=$A26)*M_BOM[RM_Qty_Per_Batch]*IFERROR(INDEX(PP_Grid[#Data],M_BOM[PPGridRow],39),0))</f>
        <v/>
      </c>
      <c r="AN26">
        <f>SUMPRODUCT((M_BOM[Part Name]=$A26)*M_BOM[RM_Qty_Per_Batch]*IFERROR(INDEX(PP_Grid[#Data],M_BOM[PPGridRow],40),0))</f>
        <v/>
      </c>
      <c r="AO26">
        <f>SUMPRODUCT((M_BOM[Part Name]=$A26)*M_BOM[RM_Qty_Per_Batch]*IFERROR(INDEX(PP_Grid[#Data],M_BOM[PPGridRow],41),0))</f>
        <v/>
      </c>
      <c r="AP26">
        <f>SUMPRODUCT((M_BOM[Part Name]=$A26)*M_BOM[RM_Qty_Per_Batch]*IFERROR(INDEX(PP_Grid[#Data],M_BOM[PPGridRow],42),0))</f>
        <v/>
      </c>
      <c r="AQ26">
        <f>SUMPRODUCT((M_BOM[Part Name]=$A26)*M_BOM[RM_Qty_Per_Batch]*IFERROR(INDEX(PP_Grid[#Data],M_BOM[PPGridRow],43),0))</f>
        <v/>
      </c>
      <c r="AR26">
        <f>SUMPRODUCT((M_BOM[Part Name]=$A26)*M_BOM[RM_Qty_Per_Batch]*IFERROR(INDEX(PP_Grid[#Data],M_BOM[PPGridRow],44),0))</f>
        <v/>
      </c>
      <c r="AS26">
        <f>SUMPRODUCT((M_BOM[Part Name]=$A26)*M_BOM[RM_Qty_Per_Batch]*IFERROR(INDEX(PP_Grid[#Data],M_BOM[PPGridRow],45),0))</f>
        <v/>
      </c>
      <c r="AT26">
        <f>SUMPRODUCT((M_BOM[Part Name]=$A26)*M_BOM[RM_Qty_Per_Batch]*IFERROR(INDEX(PP_Grid[#Data],M_BOM[PPGridRow],46),0))</f>
        <v/>
      </c>
      <c r="AU26">
        <f>SUMPRODUCT((M_BOM[Part Name]=$A26)*M_BOM[RM_Qty_Per_Batch]*IFERROR(INDEX(PP_Grid[#Data],M_BOM[PPGridRow],47),0))</f>
        <v/>
      </c>
      <c r="AV26">
        <f>SUMPRODUCT((M_BOM[Part Name]=$A26)*M_BOM[RM_Qty_Per_Batch]*IFERROR(INDEX(PP_Grid[#Data],M_BOM[PPGridRow],48),0))</f>
        <v/>
      </c>
      <c r="AW26">
        <f>SUMPRODUCT((M_BOM[Part Name]=$A26)*M_BOM[RM_Qty_Per_Batch]*IFERROR(INDEX(PP_Grid[#Data],M_BOM[PPGridRow],49),0))</f>
        <v/>
      </c>
      <c r="AX26">
        <f>SUMPRODUCT((M_BOM[Part Name]=$A26)*M_BOM[RM_Qty_Per_Batch]*IFERROR(INDEX(PP_Grid[#Data],M_BOM[PPGridRow],50),0))</f>
        <v/>
      </c>
      <c r="AY26">
        <f>SUMPRODUCT((M_BOM[Part Name]=$A26)*M_BOM[RM_Qty_Per_Batch]*IFERROR(INDEX(PP_Grid[#Data],M_BOM[PPGridRow],51),0))</f>
        <v/>
      </c>
      <c r="AZ26">
        <f>SUMPRODUCT((M_BOM[Part Name]=$A26)*M_BOM[RM_Qty_Per_Batch]*IFERROR(INDEX(PP_Grid[#Data],M_BOM[PPGridRow],52),0))</f>
        <v/>
      </c>
      <c r="BA26">
        <f>SUMPRODUCT((M_BOM[Part Name]=$A26)*M_BOM[RM_Qty_Per_Batch]*IFERROR(INDEX(PP_Grid[#Data],M_BOM[PPGridRow],53),0))</f>
        <v/>
      </c>
      <c r="BB26">
        <f>SUMPRODUCT((M_BOM[Part Name]=$A26)*M_BOM[RM_Qty_Per_Batch]*IFERROR(INDEX(PP_Grid[#Data],M_BOM[PPGridRow],54),0))</f>
        <v/>
      </c>
      <c r="BC26">
        <f>SUMPRODUCT((M_BOM[Part Name]=$A26)*M_BOM[RM_Qty_Per_Batch]*IFERROR(INDEX(PP_Grid[#Data],M_BOM[PPGridRow],55),0))</f>
        <v/>
      </c>
      <c r="BD26">
        <f>SUMPRODUCT((M_BOM[Part Name]=$A26)*M_BOM[RM_Qty_Per_Batch]*IFERROR(INDEX(PP_Grid[#Data],M_BOM[PPGridRow],56),0))</f>
        <v/>
      </c>
      <c r="BE26">
        <f>SUMPRODUCT((M_BOM[Part Name]=$A26)*M_BOM[RM_Qty_Per_Batch]*IFERROR(INDEX(PP_Grid[#Data],M_BOM[PPGridRow],57),0))</f>
        <v/>
      </c>
      <c r="BF26">
        <f>SUMPRODUCT((M_BOM[Part Name]=$A26)*M_BOM[RM_Qty_Per_Batch]*IFERROR(INDEX(PP_Grid[#Data],M_BOM[PPGridRow],58),0))</f>
        <v/>
      </c>
      <c r="BG26">
        <f>SUMPRODUCT((M_BOM[Part Name]=$A26)*M_BOM[RM_Qty_Per_Batch]*IFERROR(INDEX(PP_Grid[#Data],M_BOM[PPGridRow],59),0))</f>
        <v/>
      </c>
      <c r="BH26">
        <f>SUMPRODUCT((M_BOM[Part Name]=$A26)*M_BOM[RM_Qty_Per_Batch]*IFERROR(INDEX(PP_Grid[#Data],M_BOM[PPGridRow],60),0))</f>
        <v/>
      </c>
      <c r="BI26">
        <f>SUMPRODUCT((M_BOM[Part Name]=$A26)*M_BOM[RM_Qty_Per_Batch]*IFERROR(INDEX(PP_Grid[#Data],M_BOM[PPGridRow],61),0))</f>
        <v/>
      </c>
      <c r="BJ26">
        <f>SUMPRODUCT((M_BOM[Part Name]=$A26)*M_BOM[RM_Qty_Per_Batch]*IFERROR(INDEX(PP_Grid[#Data],M_BOM[PPGridRow],62),0))</f>
        <v/>
      </c>
      <c r="BK26">
        <f>SUMPRODUCT((M_BOM[Part Name]=$A26)*M_BOM[RM_Qty_Per_Batch]*IFERROR(INDEX(PP_Grid[#Data],M_BOM[PPGridRow],63),0))</f>
        <v/>
      </c>
      <c r="BL26">
        <f>SUMPRODUCT((M_BOM[Part Name]=$A26)*M_BOM[RM_Qty_Per_Batch]*IFERROR(INDEX(PP_Grid[#Data],M_BOM[PPGridRow],64),0))</f>
        <v/>
      </c>
      <c r="BM26">
        <f>SUMPRODUCT((M_BOM[Part Name]=$A26)*M_BOM[RM_Qty_Per_Batch]*IFERROR(INDEX(PP_Grid[#Data],M_BOM[PPGridRow],65),0))</f>
        <v/>
      </c>
      <c r="BN26">
        <f>SUMPRODUCT((M_BOM[Part Name]=$A26)*M_BOM[RM_Qty_Per_Batch]*IFERROR(INDEX(PP_Grid[#Data],M_BOM[PPGridRow],66),0))</f>
        <v/>
      </c>
      <c r="BO26">
        <f>SUMPRODUCT((M_BOM[Part Name]=$A26)*M_BOM[RM_Qty_Per_Batch]*IFERROR(INDEX(PP_Grid[#Data],M_BOM[PPGridRow],67),0))</f>
        <v/>
      </c>
      <c r="BP26">
        <f>SUMPRODUCT((M_BOM[Part Name]=$A26)*M_BOM[RM_Qty_Per_Batch]*IFERROR(INDEX(PP_Grid[#Data],M_BOM[PPGridRow],68),0))</f>
        <v/>
      </c>
      <c r="BQ26">
        <f>SUMPRODUCT((M_BOM[Part Name]=$A26)*M_BOM[RM_Qty_Per_Batch]*IFERROR(INDEX(PP_Grid[#Data],M_BOM[PPGridRow],69),0))</f>
        <v/>
      </c>
      <c r="BR26">
        <f>SUMPRODUCT((M_BOM[Part Name]=$A26)*M_BOM[RM_Qty_Per_Batch]*IFERROR(INDEX(PP_Grid[#Data],M_BOM[PPGridRow],70),0))</f>
        <v/>
      </c>
      <c r="BS26">
        <f>SUMPRODUCT((M_BOM[Part Name]=$A26)*M_BOM[RM_Qty_Per_Batch]*IFERROR(INDEX(PP_Grid[#Data],M_BOM[PPGridRow],71),0))</f>
        <v/>
      </c>
      <c r="BT26">
        <f>SUMPRODUCT((M_BOM[Part Name]=$A26)*M_BOM[RM_Qty_Per_Batch]*IFERROR(INDEX(PP_Grid[#Data],M_BOM[PPGridRow],72),0))</f>
        <v/>
      </c>
      <c r="BU26">
        <f>SUMPRODUCT((M_BOM[Part Name]=$A26)*M_BOM[RM_Qty_Per_Batch]*IFERROR(INDEX(PP_Grid[#Data],M_BOM[PPGridRow],73),0))</f>
        <v/>
      </c>
      <c r="BV26">
        <f>SUMPRODUCT((M_BOM[Part Name]=$A26)*M_BOM[RM_Qty_Per_Batch]*IFERROR(INDEX(PP_Grid[#Data],M_BOM[PPGridRow],74),0))</f>
        <v/>
      </c>
      <c r="BW26">
        <f>SUMPRODUCT((M_BOM[Part Name]=$A26)*M_BOM[RM_Qty_Per_Batch]*IFERROR(INDEX(PP_Grid[#Data],M_BOM[PPGridRow],75),0))</f>
        <v/>
      </c>
      <c r="BX26">
        <f>SUMPRODUCT((M_BOM[Part Name]=$A26)*M_BOM[RM_Qty_Per_Batch]*IFERROR(INDEX(PP_Grid[#Data],M_BOM[PPGridRow],76),0))</f>
        <v/>
      </c>
      <c r="BY26">
        <f>SUMPRODUCT((M_BOM[Part Name]=$A26)*M_BOM[RM_Qty_Per_Batch]*IFERROR(INDEX(PP_Grid[#Data],M_BOM[PPGridRow],77),0))</f>
        <v/>
      </c>
      <c r="BZ26">
        <f>SUMPRODUCT((M_BOM[Part Name]=$A26)*M_BOM[RM_Qty_Per_Batch]*IFERROR(INDEX(PP_Grid[#Data],M_BOM[PPGridRow],78),0))</f>
        <v/>
      </c>
      <c r="CA26">
        <f>SUMPRODUCT((M_BOM[Part Name]=$A26)*M_BOM[RM_Qty_Per_Batch]*IFERROR(INDEX(PP_Grid[#Data],M_BOM[PPGridRow],79),0))</f>
        <v/>
      </c>
      <c r="CB26">
        <f>SUMPRODUCT((M_BOM[Part Name]=$A26)*M_BOM[RM_Qty_Per_Batch]*IFERROR(INDEX(PP_Grid[#Data],M_BOM[PPGridRow],80),0))</f>
        <v/>
      </c>
      <c r="CC26">
        <f>SUMPRODUCT((M_BOM[Part Name]=$A26)*M_BOM[RM_Qty_Per_Batch]*IFERROR(INDEX(PP_Grid[#Data],M_BOM[PPGridRow],81),0))</f>
        <v/>
      </c>
      <c r="CD26">
        <f>SUMPRODUCT((M_BOM[Part Name]=$A26)*M_BOM[RM_Qty_Per_Batch]*IFERROR(INDEX(PP_Grid[#Data],M_BOM[PPGridRow],82),0))</f>
        <v/>
      </c>
      <c r="CE26">
        <f>SUMPRODUCT((M_BOM[Part Name]=$A26)*M_BOM[RM_Qty_Per_Batch]*IFERROR(INDEX(PP_Grid[#Data],M_BOM[PPGridRow],83),0))</f>
        <v/>
      </c>
      <c r="CF26">
        <f>SUMPRODUCT((M_BOM[Part Name]=$A26)*M_BOM[RM_Qty_Per_Batch]*IFERROR(INDEX(PP_Grid[#Data],M_BOM[PPGridRow],84),0))</f>
        <v/>
      </c>
      <c r="CG26">
        <f>SUMPRODUCT((M_BOM[Part Name]=$A26)*M_BOM[RM_Qty_Per_Batch]*IFERROR(INDEX(PP_Grid[#Data],M_BOM[PPGridRow],85),0))</f>
        <v/>
      </c>
      <c r="CH26">
        <f>SUMPRODUCT((M_BOM[Part Name]=$A26)*M_BOM[RM_Qty_Per_Batch]*IFERROR(INDEX(PP_Grid[#Data],M_BOM[PPGridRow],86),0))</f>
        <v/>
      </c>
      <c r="CI26">
        <f>SUMPRODUCT((M_BOM[Part Name]=$A26)*M_BOM[RM_Qty_Per_Batch]*IFERROR(INDEX(PP_Grid[#Data],M_BOM[PPGridRow],87),0))</f>
        <v/>
      </c>
      <c r="CJ26">
        <f>SUMPRODUCT((M_BOM[Part Name]=$A26)*M_BOM[RM_Qty_Per_Batch]*IFERROR(INDEX(PP_Grid[#Data],M_BOM[PPGridRow],88),0))</f>
        <v/>
      </c>
      <c r="CK26">
        <f>SUMPRODUCT((M_BOM[Part Name]=$A26)*M_BOM[RM_Qty_Per_Batch]*IFERROR(INDEX(PP_Grid[#Data],M_BOM[PPGridRow],89),0))</f>
        <v/>
      </c>
      <c r="CL26">
        <f>SUMPRODUCT((M_BOM[Part Name]=$A26)*M_BOM[RM_Qty_Per_Batch]*IFERROR(INDEX(PP_Grid[#Data],M_BOM[PPGridRow],90),0))</f>
        <v/>
      </c>
      <c r="CM26">
        <f>SUMPRODUCT((M_BOM[Part Name]=$A26)*M_BOM[RM_Qty_Per_Batch]*IFERROR(INDEX(PP_Grid[#Data],M_BOM[PPGridRow],91),0))</f>
        <v/>
      </c>
      <c r="CN26">
        <f>SUMPRODUCT((M_BOM[Part Name]=$A26)*M_BOM[RM_Qty_Per_Batch]*IFERROR(INDEX(PP_Grid[#Data],M_BOM[PPGridRow],92),0))</f>
        <v/>
      </c>
      <c r="CO26">
        <f>SUMPRODUCT((M_BOM[Part Name]=$A26)*M_BOM[RM_Qty_Per_Batch]*IFERROR(INDEX(PP_Grid[#Data],M_BOM[PPGridRow],93),0))</f>
        <v/>
      </c>
      <c r="CP26">
        <f>SUMPRODUCT((M_BOM[Part Name]=$A26)*M_BOM[RM_Qty_Per_Batch]*IFERROR(INDEX(PP_Grid[#Data],M_BOM[PPGridRow],94),0))</f>
        <v/>
      </c>
      <c r="CQ26">
        <f>SUMPRODUCT((M_BOM[Part Name]=$A26)*M_BOM[RM_Qty_Per_Batch]*IFERROR(INDEX(PP_Grid[#Data],M_BOM[PPGridRow],95),0))</f>
        <v/>
      </c>
      <c r="CR26">
        <f>SUMPRODUCT((M_BOM[Part Name]=$A26)*M_BOM[RM_Qty_Per_Batch]*IFERROR(INDEX(PP_Grid[#Data],M_BOM[PPGridRow],96),0))</f>
        <v/>
      </c>
      <c r="CS26">
        <f>SUMPRODUCT((M_BOM[Part Name]=$A26)*M_BOM[RM_Qty_Per_Batch]*IFERROR(INDEX(PP_Grid[#Data],M_BOM[PPGridRow],97),0))</f>
        <v/>
      </c>
      <c r="CT26">
        <f>SUMPRODUCT((M_BOM[Part Name]=$A26)*M_BOM[RM_Qty_Per_Batch]*IFERROR(INDEX(PP_Grid[#Data],M_BOM[PPGridRow],98),0))</f>
        <v/>
      </c>
      <c r="CU26">
        <f>SUMPRODUCT((M_BOM[Part Name]=$A26)*M_BOM[RM_Qty_Per_Batch]*IFERROR(INDEX(PP_Grid[#Data],M_BOM[PPGridRow],99),0))</f>
        <v/>
      </c>
      <c r="CV26">
        <f>SUMPRODUCT((M_BOM[Part Name]=$A26)*M_BOM[RM_Qty_Per_Batch]*IFERROR(INDEX(PP_Grid[#Data],M_BOM[PPGridRow],100),0))</f>
        <v/>
      </c>
      <c r="CW26">
        <f>SUMPRODUCT((M_BOM[Part Name]=$A26)*M_BOM[RM_Qty_Per_Batch]*IFERROR(INDEX(PP_Grid[#Data],M_BOM[PPGridRow],101),0))</f>
        <v/>
      </c>
      <c r="CX26">
        <f>SUMPRODUCT((M_BOM[Part Name]=$A26)*M_BOM[RM_Qty_Per_Batch]*IFERROR(INDEX(PP_Grid[#Data],M_BOM[PPGridRow],102),0))</f>
        <v/>
      </c>
      <c r="CY26">
        <f>SUMPRODUCT((M_BOM[Part Name]=$A26)*M_BOM[RM_Qty_Per_Batch]*IFERROR(INDEX(PP_Grid[#Data],M_BOM[PPGridRow],103),0))</f>
        <v/>
      </c>
      <c r="CZ26">
        <f>SUMPRODUCT((M_BOM[Part Name]=$A26)*M_BOM[RM_Qty_Per_Batch]*IFERROR(INDEX(PP_Grid[#Data],M_BOM[PPGridRow],104),0))</f>
        <v/>
      </c>
      <c r="DA26">
        <f>SUMPRODUCT((M_BOM[Part Name]=$A26)*M_BOM[RM_Qty_Per_Batch]*IFERROR(INDEX(PP_Grid[#Data],M_BOM[PPGridRow],105),0))</f>
        <v/>
      </c>
    </row>
    <row r="27">
      <c r="A27" t="inlineStr">
        <is>
          <t>CHEM-1680</t>
        </is>
      </c>
      <c r="B27">
        <f>SUMPRODUCT((M_BOM[Part Name]=$A27)*M_BOM[RM_Qty_Per_Batch]*IFERROR(INDEX(PP_Grid[#Data],M_BOM[PPGridRow],2),0))</f>
        <v/>
      </c>
      <c r="C27">
        <f>SUMPRODUCT((M_BOM[Part Name]=$A27)*M_BOM[RM_Qty_Per_Batch]*IFERROR(INDEX(PP_Grid[#Data],M_BOM[PPGridRow],3),0))</f>
        <v/>
      </c>
      <c r="D27">
        <f>SUMPRODUCT((M_BOM[Part Name]=$A27)*M_BOM[RM_Qty_Per_Batch]*IFERROR(INDEX(PP_Grid[#Data],M_BOM[PPGridRow],4),0))</f>
        <v/>
      </c>
      <c r="E27">
        <f>SUMPRODUCT((M_BOM[Part Name]=$A27)*M_BOM[RM_Qty_Per_Batch]*IFERROR(INDEX(PP_Grid[#Data],M_BOM[PPGridRow],5),0))</f>
        <v/>
      </c>
      <c r="F27">
        <f>SUMPRODUCT((M_BOM[Part Name]=$A27)*M_BOM[RM_Qty_Per_Batch]*IFERROR(INDEX(PP_Grid[#Data],M_BOM[PPGridRow],6),0))</f>
        <v/>
      </c>
      <c r="G27">
        <f>SUMPRODUCT((M_BOM[Part Name]=$A27)*M_BOM[RM_Qty_Per_Batch]*IFERROR(INDEX(PP_Grid[#Data],M_BOM[PPGridRow],7),0))</f>
        <v/>
      </c>
      <c r="H27">
        <f>SUMPRODUCT((M_BOM[Part Name]=$A27)*M_BOM[RM_Qty_Per_Batch]*IFERROR(INDEX(PP_Grid[#Data],M_BOM[PPGridRow],8),0))</f>
        <v/>
      </c>
      <c r="I27">
        <f>SUMPRODUCT((M_BOM[Part Name]=$A27)*M_BOM[RM_Qty_Per_Batch]*IFERROR(INDEX(PP_Grid[#Data],M_BOM[PPGridRow],9),0))</f>
        <v/>
      </c>
      <c r="J27">
        <f>SUMPRODUCT((M_BOM[Part Name]=$A27)*M_BOM[RM_Qty_Per_Batch]*IFERROR(INDEX(PP_Grid[#Data],M_BOM[PPGridRow],10),0))</f>
        <v/>
      </c>
      <c r="K27">
        <f>SUMPRODUCT((M_BOM[Part Name]=$A27)*M_BOM[RM_Qty_Per_Batch]*IFERROR(INDEX(PP_Grid[#Data],M_BOM[PPGridRow],11),0))</f>
        <v/>
      </c>
      <c r="L27">
        <f>SUMPRODUCT((M_BOM[Part Name]=$A27)*M_BOM[RM_Qty_Per_Batch]*IFERROR(INDEX(PP_Grid[#Data],M_BOM[PPGridRow],12),0))</f>
        <v/>
      </c>
      <c r="M27">
        <f>SUMPRODUCT((M_BOM[Part Name]=$A27)*M_BOM[RM_Qty_Per_Batch]*IFERROR(INDEX(PP_Grid[#Data],M_BOM[PPGridRow],13),0))</f>
        <v/>
      </c>
      <c r="N27">
        <f>SUMPRODUCT((M_BOM[Part Name]=$A27)*M_BOM[RM_Qty_Per_Batch]*IFERROR(INDEX(PP_Grid[#Data],M_BOM[PPGridRow],14),0))</f>
        <v/>
      </c>
      <c r="O27">
        <f>SUMPRODUCT((M_BOM[Part Name]=$A27)*M_BOM[RM_Qty_Per_Batch]*IFERROR(INDEX(PP_Grid[#Data],M_BOM[PPGridRow],15),0))</f>
        <v/>
      </c>
      <c r="P27">
        <f>SUMPRODUCT((M_BOM[Part Name]=$A27)*M_BOM[RM_Qty_Per_Batch]*IFERROR(INDEX(PP_Grid[#Data],M_BOM[PPGridRow],16),0))</f>
        <v/>
      </c>
      <c r="Q27">
        <f>SUMPRODUCT((M_BOM[Part Name]=$A27)*M_BOM[RM_Qty_Per_Batch]*IFERROR(INDEX(PP_Grid[#Data],M_BOM[PPGridRow],17),0))</f>
        <v/>
      </c>
      <c r="R27">
        <f>SUMPRODUCT((M_BOM[Part Name]=$A27)*M_BOM[RM_Qty_Per_Batch]*IFERROR(INDEX(PP_Grid[#Data],M_BOM[PPGridRow],18),0))</f>
        <v/>
      </c>
      <c r="S27">
        <f>SUMPRODUCT((M_BOM[Part Name]=$A27)*M_BOM[RM_Qty_Per_Batch]*IFERROR(INDEX(PP_Grid[#Data],M_BOM[PPGridRow],19),0))</f>
        <v/>
      </c>
      <c r="T27">
        <f>SUMPRODUCT((M_BOM[Part Name]=$A27)*M_BOM[RM_Qty_Per_Batch]*IFERROR(INDEX(PP_Grid[#Data],M_BOM[PPGridRow],20),0))</f>
        <v/>
      </c>
      <c r="U27">
        <f>SUMPRODUCT((M_BOM[Part Name]=$A27)*M_BOM[RM_Qty_Per_Batch]*IFERROR(INDEX(PP_Grid[#Data],M_BOM[PPGridRow],21),0))</f>
        <v/>
      </c>
      <c r="V27">
        <f>SUMPRODUCT((M_BOM[Part Name]=$A27)*M_BOM[RM_Qty_Per_Batch]*IFERROR(INDEX(PP_Grid[#Data],M_BOM[PPGridRow],22),0))</f>
        <v/>
      </c>
      <c r="W27">
        <f>SUMPRODUCT((M_BOM[Part Name]=$A27)*M_BOM[RM_Qty_Per_Batch]*IFERROR(INDEX(PP_Grid[#Data],M_BOM[PPGridRow],23),0))</f>
        <v/>
      </c>
      <c r="X27">
        <f>SUMPRODUCT((M_BOM[Part Name]=$A27)*M_BOM[RM_Qty_Per_Batch]*IFERROR(INDEX(PP_Grid[#Data],M_BOM[PPGridRow],24),0))</f>
        <v/>
      </c>
      <c r="Y27">
        <f>SUMPRODUCT((M_BOM[Part Name]=$A27)*M_BOM[RM_Qty_Per_Batch]*IFERROR(INDEX(PP_Grid[#Data],M_BOM[PPGridRow],25),0))</f>
        <v/>
      </c>
      <c r="Z27">
        <f>SUMPRODUCT((M_BOM[Part Name]=$A27)*M_BOM[RM_Qty_Per_Batch]*IFERROR(INDEX(PP_Grid[#Data],M_BOM[PPGridRow],26),0))</f>
        <v/>
      </c>
      <c r="AA27">
        <f>SUMPRODUCT((M_BOM[Part Name]=$A27)*M_BOM[RM_Qty_Per_Batch]*IFERROR(INDEX(PP_Grid[#Data],M_BOM[PPGridRow],27),0))</f>
        <v/>
      </c>
      <c r="AB27">
        <f>SUMPRODUCT((M_BOM[Part Name]=$A27)*M_BOM[RM_Qty_Per_Batch]*IFERROR(INDEX(PP_Grid[#Data],M_BOM[PPGridRow],28),0))</f>
        <v/>
      </c>
      <c r="AC27">
        <f>SUMPRODUCT((M_BOM[Part Name]=$A27)*M_BOM[RM_Qty_Per_Batch]*IFERROR(INDEX(PP_Grid[#Data],M_BOM[PPGridRow],29),0))</f>
        <v/>
      </c>
      <c r="AD27">
        <f>SUMPRODUCT((M_BOM[Part Name]=$A27)*M_BOM[RM_Qty_Per_Batch]*IFERROR(INDEX(PP_Grid[#Data],M_BOM[PPGridRow],30),0))</f>
        <v/>
      </c>
      <c r="AE27">
        <f>SUMPRODUCT((M_BOM[Part Name]=$A27)*M_BOM[RM_Qty_Per_Batch]*IFERROR(INDEX(PP_Grid[#Data],M_BOM[PPGridRow],31),0))</f>
        <v/>
      </c>
      <c r="AF27">
        <f>SUMPRODUCT((M_BOM[Part Name]=$A27)*M_BOM[RM_Qty_Per_Batch]*IFERROR(INDEX(PP_Grid[#Data],M_BOM[PPGridRow],32),0))</f>
        <v/>
      </c>
      <c r="AG27">
        <f>SUMPRODUCT((M_BOM[Part Name]=$A27)*M_BOM[RM_Qty_Per_Batch]*IFERROR(INDEX(PP_Grid[#Data],M_BOM[PPGridRow],33),0))</f>
        <v/>
      </c>
      <c r="AH27">
        <f>SUMPRODUCT((M_BOM[Part Name]=$A27)*M_BOM[RM_Qty_Per_Batch]*IFERROR(INDEX(PP_Grid[#Data],M_BOM[PPGridRow],34),0))</f>
        <v/>
      </c>
      <c r="AI27">
        <f>SUMPRODUCT((M_BOM[Part Name]=$A27)*M_BOM[RM_Qty_Per_Batch]*IFERROR(INDEX(PP_Grid[#Data],M_BOM[PPGridRow],35),0))</f>
        <v/>
      </c>
      <c r="AJ27">
        <f>SUMPRODUCT((M_BOM[Part Name]=$A27)*M_BOM[RM_Qty_Per_Batch]*IFERROR(INDEX(PP_Grid[#Data],M_BOM[PPGridRow],36),0))</f>
        <v/>
      </c>
      <c r="AK27">
        <f>SUMPRODUCT((M_BOM[Part Name]=$A27)*M_BOM[RM_Qty_Per_Batch]*IFERROR(INDEX(PP_Grid[#Data],M_BOM[PPGridRow],37),0))</f>
        <v/>
      </c>
      <c r="AL27">
        <f>SUMPRODUCT((M_BOM[Part Name]=$A27)*M_BOM[RM_Qty_Per_Batch]*IFERROR(INDEX(PP_Grid[#Data],M_BOM[PPGridRow],38),0))</f>
        <v/>
      </c>
      <c r="AM27">
        <f>SUMPRODUCT((M_BOM[Part Name]=$A27)*M_BOM[RM_Qty_Per_Batch]*IFERROR(INDEX(PP_Grid[#Data],M_BOM[PPGridRow],39),0))</f>
        <v/>
      </c>
      <c r="AN27">
        <f>SUMPRODUCT((M_BOM[Part Name]=$A27)*M_BOM[RM_Qty_Per_Batch]*IFERROR(INDEX(PP_Grid[#Data],M_BOM[PPGridRow],40),0))</f>
        <v/>
      </c>
      <c r="AO27">
        <f>SUMPRODUCT((M_BOM[Part Name]=$A27)*M_BOM[RM_Qty_Per_Batch]*IFERROR(INDEX(PP_Grid[#Data],M_BOM[PPGridRow],41),0))</f>
        <v/>
      </c>
      <c r="AP27">
        <f>SUMPRODUCT((M_BOM[Part Name]=$A27)*M_BOM[RM_Qty_Per_Batch]*IFERROR(INDEX(PP_Grid[#Data],M_BOM[PPGridRow],42),0))</f>
        <v/>
      </c>
      <c r="AQ27">
        <f>SUMPRODUCT((M_BOM[Part Name]=$A27)*M_BOM[RM_Qty_Per_Batch]*IFERROR(INDEX(PP_Grid[#Data],M_BOM[PPGridRow],43),0))</f>
        <v/>
      </c>
      <c r="AR27">
        <f>SUMPRODUCT((M_BOM[Part Name]=$A27)*M_BOM[RM_Qty_Per_Batch]*IFERROR(INDEX(PP_Grid[#Data],M_BOM[PPGridRow],44),0))</f>
        <v/>
      </c>
      <c r="AS27">
        <f>SUMPRODUCT((M_BOM[Part Name]=$A27)*M_BOM[RM_Qty_Per_Batch]*IFERROR(INDEX(PP_Grid[#Data],M_BOM[PPGridRow],45),0))</f>
        <v/>
      </c>
      <c r="AT27">
        <f>SUMPRODUCT((M_BOM[Part Name]=$A27)*M_BOM[RM_Qty_Per_Batch]*IFERROR(INDEX(PP_Grid[#Data],M_BOM[PPGridRow],46),0))</f>
        <v/>
      </c>
      <c r="AU27">
        <f>SUMPRODUCT((M_BOM[Part Name]=$A27)*M_BOM[RM_Qty_Per_Batch]*IFERROR(INDEX(PP_Grid[#Data],M_BOM[PPGridRow],47),0))</f>
        <v/>
      </c>
      <c r="AV27">
        <f>SUMPRODUCT((M_BOM[Part Name]=$A27)*M_BOM[RM_Qty_Per_Batch]*IFERROR(INDEX(PP_Grid[#Data],M_BOM[PPGridRow],48),0))</f>
        <v/>
      </c>
      <c r="AW27">
        <f>SUMPRODUCT((M_BOM[Part Name]=$A27)*M_BOM[RM_Qty_Per_Batch]*IFERROR(INDEX(PP_Grid[#Data],M_BOM[PPGridRow],49),0))</f>
        <v/>
      </c>
      <c r="AX27">
        <f>SUMPRODUCT((M_BOM[Part Name]=$A27)*M_BOM[RM_Qty_Per_Batch]*IFERROR(INDEX(PP_Grid[#Data],M_BOM[PPGridRow],50),0))</f>
        <v/>
      </c>
      <c r="AY27">
        <f>SUMPRODUCT((M_BOM[Part Name]=$A27)*M_BOM[RM_Qty_Per_Batch]*IFERROR(INDEX(PP_Grid[#Data],M_BOM[PPGridRow],51),0))</f>
        <v/>
      </c>
      <c r="AZ27">
        <f>SUMPRODUCT((M_BOM[Part Name]=$A27)*M_BOM[RM_Qty_Per_Batch]*IFERROR(INDEX(PP_Grid[#Data],M_BOM[PPGridRow],52),0))</f>
        <v/>
      </c>
      <c r="BA27">
        <f>SUMPRODUCT((M_BOM[Part Name]=$A27)*M_BOM[RM_Qty_Per_Batch]*IFERROR(INDEX(PP_Grid[#Data],M_BOM[PPGridRow],53),0))</f>
        <v/>
      </c>
      <c r="BB27">
        <f>SUMPRODUCT((M_BOM[Part Name]=$A27)*M_BOM[RM_Qty_Per_Batch]*IFERROR(INDEX(PP_Grid[#Data],M_BOM[PPGridRow],54),0))</f>
        <v/>
      </c>
      <c r="BC27">
        <f>SUMPRODUCT((M_BOM[Part Name]=$A27)*M_BOM[RM_Qty_Per_Batch]*IFERROR(INDEX(PP_Grid[#Data],M_BOM[PPGridRow],55),0))</f>
        <v/>
      </c>
      <c r="BD27">
        <f>SUMPRODUCT((M_BOM[Part Name]=$A27)*M_BOM[RM_Qty_Per_Batch]*IFERROR(INDEX(PP_Grid[#Data],M_BOM[PPGridRow],56),0))</f>
        <v/>
      </c>
      <c r="BE27">
        <f>SUMPRODUCT((M_BOM[Part Name]=$A27)*M_BOM[RM_Qty_Per_Batch]*IFERROR(INDEX(PP_Grid[#Data],M_BOM[PPGridRow],57),0))</f>
        <v/>
      </c>
      <c r="BF27">
        <f>SUMPRODUCT((M_BOM[Part Name]=$A27)*M_BOM[RM_Qty_Per_Batch]*IFERROR(INDEX(PP_Grid[#Data],M_BOM[PPGridRow],58),0))</f>
        <v/>
      </c>
      <c r="BG27">
        <f>SUMPRODUCT((M_BOM[Part Name]=$A27)*M_BOM[RM_Qty_Per_Batch]*IFERROR(INDEX(PP_Grid[#Data],M_BOM[PPGridRow],59),0))</f>
        <v/>
      </c>
      <c r="BH27">
        <f>SUMPRODUCT((M_BOM[Part Name]=$A27)*M_BOM[RM_Qty_Per_Batch]*IFERROR(INDEX(PP_Grid[#Data],M_BOM[PPGridRow],60),0))</f>
        <v/>
      </c>
      <c r="BI27">
        <f>SUMPRODUCT((M_BOM[Part Name]=$A27)*M_BOM[RM_Qty_Per_Batch]*IFERROR(INDEX(PP_Grid[#Data],M_BOM[PPGridRow],61),0))</f>
        <v/>
      </c>
      <c r="BJ27">
        <f>SUMPRODUCT((M_BOM[Part Name]=$A27)*M_BOM[RM_Qty_Per_Batch]*IFERROR(INDEX(PP_Grid[#Data],M_BOM[PPGridRow],62),0))</f>
        <v/>
      </c>
      <c r="BK27">
        <f>SUMPRODUCT((M_BOM[Part Name]=$A27)*M_BOM[RM_Qty_Per_Batch]*IFERROR(INDEX(PP_Grid[#Data],M_BOM[PPGridRow],63),0))</f>
        <v/>
      </c>
      <c r="BL27">
        <f>SUMPRODUCT((M_BOM[Part Name]=$A27)*M_BOM[RM_Qty_Per_Batch]*IFERROR(INDEX(PP_Grid[#Data],M_BOM[PPGridRow],64),0))</f>
        <v/>
      </c>
      <c r="BM27">
        <f>SUMPRODUCT((M_BOM[Part Name]=$A27)*M_BOM[RM_Qty_Per_Batch]*IFERROR(INDEX(PP_Grid[#Data],M_BOM[PPGridRow],65),0))</f>
        <v/>
      </c>
      <c r="BN27">
        <f>SUMPRODUCT((M_BOM[Part Name]=$A27)*M_BOM[RM_Qty_Per_Batch]*IFERROR(INDEX(PP_Grid[#Data],M_BOM[PPGridRow],66),0))</f>
        <v/>
      </c>
      <c r="BO27">
        <f>SUMPRODUCT((M_BOM[Part Name]=$A27)*M_BOM[RM_Qty_Per_Batch]*IFERROR(INDEX(PP_Grid[#Data],M_BOM[PPGridRow],67),0))</f>
        <v/>
      </c>
      <c r="BP27">
        <f>SUMPRODUCT((M_BOM[Part Name]=$A27)*M_BOM[RM_Qty_Per_Batch]*IFERROR(INDEX(PP_Grid[#Data],M_BOM[PPGridRow],68),0))</f>
        <v/>
      </c>
      <c r="BQ27">
        <f>SUMPRODUCT((M_BOM[Part Name]=$A27)*M_BOM[RM_Qty_Per_Batch]*IFERROR(INDEX(PP_Grid[#Data],M_BOM[PPGridRow],69),0))</f>
        <v/>
      </c>
      <c r="BR27">
        <f>SUMPRODUCT((M_BOM[Part Name]=$A27)*M_BOM[RM_Qty_Per_Batch]*IFERROR(INDEX(PP_Grid[#Data],M_BOM[PPGridRow],70),0))</f>
        <v/>
      </c>
      <c r="BS27">
        <f>SUMPRODUCT((M_BOM[Part Name]=$A27)*M_BOM[RM_Qty_Per_Batch]*IFERROR(INDEX(PP_Grid[#Data],M_BOM[PPGridRow],71),0))</f>
        <v/>
      </c>
      <c r="BT27">
        <f>SUMPRODUCT((M_BOM[Part Name]=$A27)*M_BOM[RM_Qty_Per_Batch]*IFERROR(INDEX(PP_Grid[#Data],M_BOM[PPGridRow],72),0))</f>
        <v/>
      </c>
      <c r="BU27">
        <f>SUMPRODUCT((M_BOM[Part Name]=$A27)*M_BOM[RM_Qty_Per_Batch]*IFERROR(INDEX(PP_Grid[#Data],M_BOM[PPGridRow],73),0))</f>
        <v/>
      </c>
      <c r="BV27">
        <f>SUMPRODUCT((M_BOM[Part Name]=$A27)*M_BOM[RM_Qty_Per_Batch]*IFERROR(INDEX(PP_Grid[#Data],M_BOM[PPGridRow],74),0))</f>
        <v/>
      </c>
      <c r="BW27">
        <f>SUMPRODUCT((M_BOM[Part Name]=$A27)*M_BOM[RM_Qty_Per_Batch]*IFERROR(INDEX(PP_Grid[#Data],M_BOM[PPGridRow],75),0))</f>
        <v/>
      </c>
      <c r="BX27">
        <f>SUMPRODUCT((M_BOM[Part Name]=$A27)*M_BOM[RM_Qty_Per_Batch]*IFERROR(INDEX(PP_Grid[#Data],M_BOM[PPGridRow],76),0))</f>
        <v/>
      </c>
      <c r="BY27">
        <f>SUMPRODUCT((M_BOM[Part Name]=$A27)*M_BOM[RM_Qty_Per_Batch]*IFERROR(INDEX(PP_Grid[#Data],M_BOM[PPGridRow],77),0))</f>
        <v/>
      </c>
      <c r="BZ27">
        <f>SUMPRODUCT((M_BOM[Part Name]=$A27)*M_BOM[RM_Qty_Per_Batch]*IFERROR(INDEX(PP_Grid[#Data],M_BOM[PPGridRow],78),0))</f>
        <v/>
      </c>
      <c r="CA27">
        <f>SUMPRODUCT((M_BOM[Part Name]=$A27)*M_BOM[RM_Qty_Per_Batch]*IFERROR(INDEX(PP_Grid[#Data],M_BOM[PPGridRow],79),0))</f>
        <v/>
      </c>
      <c r="CB27">
        <f>SUMPRODUCT((M_BOM[Part Name]=$A27)*M_BOM[RM_Qty_Per_Batch]*IFERROR(INDEX(PP_Grid[#Data],M_BOM[PPGridRow],80),0))</f>
        <v/>
      </c>
      <c r="CC27">
        <f>SUMPRODUCT((M_BOM[Part Name]=$A27)*M_BOM[RM_Qty_Per_Batch]*IFERROR(INDEX(PP_Grid[#Data],M_BOM[PPGridRow],81),0))</f>
        <v/>
      </c>
      <c r="CD27">
        <f>SUMPRODUCT((M_BOM[Part Name]=$A27)*M_BOM[RM_Qty_Per_Batch]*IFERROR(INDEX(PP_Grid[#Data],M_BOM[PPGridRow],82),0))</f>
        <v/>
      </c>
      <c r="CE27">
        <f>SUMPRODUCT((M_BOM[Part Name]=$A27)*M_BOM[RM_Qty_Per_Batch]*IFERROR(INDEX(PP_Grid[#Data],M_BOM[PPGridRow],83),0))</f>
        <v/>
      </c>
      <c r="CF27">
        <f>SUMPRODUCT((M_BOM[Part Name]=$A27)*M_BOM[RM_Qty_Per_Batch]*IFERROR(INDEX(PP_Grid[#Data],M_BOM[PPGridRow],84),0))</f>
        <v/>
      </c>
      <c r="CG27">
        <f>SUMPRODUCT((M_BOM[Part Name]=$A27)*M_BOM[RM_Qty_Per_Batch]*IFERROR(INDEX(PP_Grid[#Data],M_BOM[PPGridRow],85),0))</f>
        <v/>
      </c>
      <c r="CH27">
        <f>SUMPRODUCT((M_BOM[Part Name]=$A27)*M_BOM[RM_Qty_Per_Batch]*IFERROR(INDEX(PP_Grid[#Data],M_BOM[PPGridRow],86),0))</f>
        <v/>
      </c>
      <c r="CI27">
        <f>SUMPRODUCT((M_BOM[Part Name]=$A27)*M_BOM[RM_Qty_Per_Batch]*IFERROR(INDEX(PP_Grid[#Data],M_BOM[PPGridRow],87),0))</f>
        <v/>
      </c>
      <c r="CJ27">
        <f>SUMPRODUCT((M_BOM[Part Name]=$A27)*M_BOM[RM_Qty_Per_Batch]*IFERROR(INDEX(PP_Grid[#Data],M_BOM[PPGridRow],88),0))</f>
        <v/>
      </c>
      <c r="CK27">
        <f>SUMPRODUCT((M_BOM[Part Name]=$A27)*M_BOM[RM_Qty_Per_Batch]*IFERROR(INDEX(PP_Grid[#Data],M_BOM[PPGridRow],89),0))</f>
        <v/>
      </c>
      <c r="CL27">
        <f>SUMPRODUCT((M_BOM[Part Name]=$A27)*M_BOM[RM_Qty_Per_Batch]*IFERROR(INDEX(PP_Grid[#Data],M_BOM[PPGridRow],90),0))</f>
        <v/>
      </c>
      <c r="CM27">
        <f>SUMPRODUCT((M_BOM[Part Name]=$A27)*M_BOM[RM_Qty_Per_Batch]*IFERROR(INDEX(PP_Grid[#Data],M_BOM[PPGridRow],91),0))</f>
        <v/>
      </c>
      <c r="CN27">
        <f>SUMPRODUCT((M_BOM[Part Name]=$A27)*M_BOM[RM_Qty_Per_Batch]*IFERROR(INDEX(PP_Grid[#Data],M_BOM[PPGridRow],92),0))</f>
        <v/>
      </c>
      <c r="CO27">
        <f>SUMPRODUCT((M_BOM[Part Name]=$A27)*M_BOM[RM_Qty_Per_Batch]*IFERROR(INDEX(PP_Grid[#Data],M_BOM[PPGridRow],93),0))</f>
        <v/>
      </c>
      <c r="CP27">
        <f>SUMPRODUCT((M_BOM[Part Name]=$A27)*M_BOM[RM_Qty_Per_Batch]*IFERROR(INDEX(PP_Grid[#Data],M_BOM[PPGridRow],94),0))</f>
        <v/>
      </c>
      <c r="CQ27">
        <f>SUMPRODUCT((M_BOM[Part Name]=$A27)*M_BOM[RM_Qty_Per_Batch]*IFERROR(INDEX(PP_Grid[#Data],M_BOM[PPGridRow],95),0))</f>
        <v/>
      </c>
      <c r="CR27">
        <f>SUMPRODUCT((M_BOM[Part Name]=$A27)*M_BOM[RM_Qty_Per_Batch]*IFERROR(INDEX(PP_Grid[#Data],M_BOM[PPGridRow],96),0))</f>
        <v/>
      </c>
      <c r="CS27">
        <f>SUMPRODUCT((M_BOM[Part Name]=$A27)*M_BOM[RM_Qty_Per_Batch]*IFERROR(INDEX(PP_Grid[#Data],M_BOM[PPGridRow],97),0))</f>
        <v/>
      </c>
      <c r="CT27">
        <f>SUMPRODUCT((M_BOM[Part Name]=$A27)*M_BOM[RM_Qty_Per_Batch]*IFERROR(INDEX(PP_Grid[#Data],M_BOM[PPGridRow],98),0))</f>
        <v/>
      </c>
      <c r="CU27">
        <f>SUMPRODUCT((M_BOM[Part Name]=$A27)*M_BOM[RM_Qty_Per_Batch]*IFERROR(INDEX(PP_Grid[#Data],M_BOM[PPGridRow],99),0))</f>
        <v/>
      </c>
      <c r="CV27">
        <f>SUMPRODUCT((M_BOM[Part Name]=$A27)*M_BOM[RM_Qty_Per_Batch]*IFERROR(INDEX(PP_Grid[#Data],M_BOM[PPGridRow],100),0))</f>
        <v/>
      </c>
      <c r="CW27">
        <f>SUMPRODUCT((M_BOM[Part Name]=$A27)*M_BOM[RM_Qty_Per_Batch]*IFERROR(INDEX(PP_Grid[#Data],M_BOM[PPGridRow],101),0))</f>
        <v/>
      </c>
      <c r="CX27">
        <f>SUMPRODUCT((M_BOM[Part Name]=$A27)*M_BOM[RM_Qty_Per_Batch]*IFERROR(INDEX(PP_Grid[#Data],M_BOM[PPGridRow],102),0))</f>
        <v/>
      </c>
      <c r="CY27">
        <f>SUMPRODUCT((M_BOM[Part Name]=$A27)*M_BOM[RM_Qty_Per_Batch]*IFERROR(INDEX(PP_Grid[#Data],M_BOM[PPGridRow],103),0))</f>
        <v/>
      </c>
      <c r="CZ27">
        <f>SUMPRODUCT((M_BOM[Part Name]=$A27)*M_BOM[RM_Qty_Per_Batch]*IFERROR(INDEX(PP_Grid[#Data],M_BOM[PPGridRow],104),0))</f>
        <v/>
      </c>
      <c r="DA27">
        <f>SUMPRODUCT((M_BOM[Part Name]=$A27)*M_BOM[RM_Qty_Per_Batch]*IFERROR(INDEX(PP_Grid[#Data],M_BOM[PPGridRow],105),0))</f>
        <v/>
      </c>
    </row>
    <row r="28">
      <c r="A28" t="inlineStr">
        <is>
          <t>CHEM-1820</t>
        </is>
      </c>
      <c r="B28">
        <f>SUMPRODUCT((M_BOM[Part Name]=$A28)*M_BOM[RM_Qty_Per_Batch]*IFERROR(INDEX(PP_Grid[#Data],M_BOM[PPGridRow],2),0))</f>
        <v/>
      </c>
      <c r="C28">
        <f>SUMPRODUCT((M_BOM[Part Name]=$A28)*M_BOM[RM_Qty_Per_Batch]*IFERROR(INDEX(PP_Grid[#Data],M_BOM[PPGridRow],3),0))</f>
        <v/>
      </c>
      <c r="D28">
        <f>SUMPRODUCT((M_BOM[Part Name]=$A28)*M_BOM[RM_Qty_Per_Batch]*IFERROR(INDEX(PP_Grid[#Data],M_BOM[PPGridRow],4),0))</f>
        <v/>
      </c>
      <c r="E28">
        <f>SUMPRODUCT((M_BOM[Part Name]=$A28)*M_BOM[RM_Qty_Per_Batch]*IFERROR(INDEX(PP_Grid[#Data],M_BOM[PPGridRow],5),0))</f>
        <v/>
      </c>
      <c r="F28">
        <f>SUMPRODUCT((M_BOM[Part Name]=$A28)*M_BOM[RM_Qty_Per_Batch]*IFERROR(INDEX(PP_Grid[#Data],M_BOM[PPGridRow],6),0))</f>
        <v/>
      </c>
      <c r="G28">
        <f>SUMPRODUCT((M_BOM[Part Name]=$A28)*M_BOM[RM_Qty_Per_Batch]*IFERROR(INDEX(PP_Grid[#Data],M_BOM[PPGridRow],7),0))</f>
        <v/>
      </c>
      <c r="H28">
        <f>SUMPRODUCT((M_BOM[Part Name]=$A28)*M_BOM[RM_Qty_Per_Batch]*IFERROR(INDEX(PP_Grid[#Data],M_BOM[PPGridRow],8),0))</f>
        <v/>
      </c>
      <c r="I28">
        <f>SUMPRODUCT((M_BOM[Part Name]=$A28)*M_BOM[RM_Qty_Per_Batch]*IFERROR(INDEX(PP_Grid[#Data],M_BOM[PPGridRow],9),0))</f>
        <v/>
      </c>
      <c r="J28">
        <f>SUMPRODUCT((M_BOM[Part Name]=$A28)*M_BOM[RM_Qty_Per_Batch]*IFERROR(INDEX(PP_Grid[#Data],M_BOM[PPGridRow],10),0))</f>
        <v/>
      </c>
      <c r="K28">
        <f>SUMPRODUCT((M_BOM[Part Name]=$A28)*M_BOM[RM_Qty_Per_Batch]*IFERROR(INDEX(PP_Grid[#Data],M_BOM[PPGridRow],11),0))</f>
        <v/>
      </c>
      <c r="L28">
        <f>SUMPRODUCT((M_BOM[Part Name]=$A28)*M_BOM[RM_Qty_Per_Batch]*IFERROR(INDEX(PP_Grid[#Data],M_BOM[PPGridRow],12),0))</f>
        <v/>
      </c>
      <c r="M28">
        <f>SUMPRODUCT((M_BOM[Part Name]=$A28)*M_BOM[RM_Qty_Per_Batch]*IFERROR(INDEX(PP_Grid[#Data],M_BOM[PPGridRow],13),0))</f>
        <v/>
      </c>
      <c r="N28">
        <f>SUMPRODUCT((M_BOM[Part Name]=$A28)*M_BOM[RM_Qty_Per_Batch]*IFERROR(INDEX(PP_Grid[#Data],M_BOM[PPGridRow],14),0))</f>
        <v/>
      </c>
      <c r="O28">
        <f>SUMPRODUCT((M_BOM[Part Name]=$A28)*M_BOM[RM_Qty_Per_Batch]*IFERROR(INDEX(PP_Grid[#Data],M_BOM[PPGridRow],15),0))</f>
        <v/>
      </c>
      <c r="P28">
        <f>SUMPRODUCT((M_BOM[Part Name]=$A28)*M_BOM[RM_Qty_Per_Batch]*IFERROR(INDEX(PP_Grid[#Data],M_BOM[PPGridRow],16),0))</f>
        <v/>
      </c>
      <c r="Q28">
        <f>SUMPRODUCT((M_BOM[Part Name]=$A28)*M_BOM[RM_Qty_Per_Batch]*IFERROR(INDEX(PP_Grid[#Data],M_BOM[PPGridRow],17),0))</f>
        <v/>
      </c>
      <c r="R28">
        <f>SUMPRODUCT((M_BOM[Part Name]=$A28)*M_BOM[RM_Qty_Per_Batch]*IFERROR(INDEX(PP_Grid[#Data],M_BOM[PPGridRow],18),0))</f>
        <v/>
      </c>
      <c r="S28">
        <f>SUMPRODUCT((M_BOM[Part Name]=$A28)*M_BOM[RM_Qty_Per_Batch]*IFERROR(INDEX(PP_Grid[#Data],M_BOM[PPGridRow],19),0))</f>
        <v/>
      </c>
      <c r="T28">
        <f>SUMPRODUCT((M_BOM[Part Name]=$A28)*M_BOM[RM_Qty_Per_Batch]*IFERROR(INDEX(PP_Grid[#Data],M_BOM[PPGridRow],20),0))</f>
        <v/>
      </c>
      <c r="U28">
        <f>SUMPRODUCT((M_BOM[Part Name]=$A28)*M_BOM[RM_Qty_Per_Batch]*IFERROR(INDEX(PP_Grid[#Data],M_BOM[PPGridRow],21),0))</f>
        <v/>
      </c>
      <c r="V28">
        <f>SUMPRODUCT((M_BOM[Part Name]=$A28)*M_BOM[RM_Qty_Per_Batch]*IFERROR(INDEX(PP_Grid[#Data],M_BOM[PPGridRow],22),0))</f>
        <v/>
      </c>
      <c r="W28">
        <f>SUMPRODUCT((M_BOM[Part Name]=$A28)*M_BOM[RM_Qty_Per_Batch]*IFERROR(INDEX(PP_Grid[#Data],M_BOM[PPGridRow],23),0))</f>
        <v/>
      </c>
      <c r="X28">
        <f>SUMPRODUCT((M_BOM[Part Name]=$A28)*M_BOM[RM_Qty_Per_Batch]*IFERROR(INDEX(PP_Grid[#Data],M_BOM[PPGridRow],24),0))</f>
        <v/>
      </c>
      <c r="Y28">
        <f>SUMPRODUCT((M_BOM[Part Name]=$A28)*M_BOM[RM_Qty_Per_Batch]*IFERROR(INDEX(PP_Grid[#Data],M_BOM[PPGridRow],25),0))</f>
        <v/>
      </c>
      <c r="Z28">
        <f>SUMPRODUCT((M_BOM[Part Name]=$A28)*M_BOM[RM_Qty_Per_Batch]*IFERROR(INDEX(PP_Grid[#Data],M_BOM[PPGridRow],26),0))</f>
        <v/>
      </c>
      <c r="AA28">
        <f>SUMPRODUCT((M_BOM[Part Name]=$A28)*M_BOM[RM_Qty_Per_Batch]*IFERROR(INDEX(PP_Grid[#Data],M_BOM[PPGridRow],27),0))</f>
        <v/>
      </c>
      <c r="AB28">
        <f>SUMPRODUCT((M_BOM[Part Name]=$A28)*M_BOM[RM_Qty_Per_Batch]*IFERROR(INDEX(PP_Grid[#Data],M_BOM[PPGridRow],28),0))</f>
        <v/>
      </c>
      <c r="AC28">
        <f>SUMPRODUCT((M_BOM[Part Name]=$A28)*M_BOM[RM_Qty_Per_Batch]*IFERROR(INDEX(PP_Grid[#Data],M_BOM[PPGridRow],29),0))</f>
        <v/>
      </c>
      <c r="AD28">
        <f>SUMPRODUCT((M_BOM[Part Name]=$A28)*M_BOM[RM_Qty_Per_Batch]*IFERROR(INDEX(PP_Grid[#Data],M_BOM[PPGridRow],30),0))</f>
        <v/>
      </c>
      <c r="AE28">
        <f>SUMPRODUCT((M_BOM[Part Name]=$A28)*M_BOM[RM_Qty_Per_Batch]*IFERROR(INDEX(PP_Grid[#Data],M_BOM[PPGridRow],31),0))</f>
        <v/>
      </c>
      <c r="AF28">
        <f>SUMPRODUCT((M_BOM[Part Name]=$A28)*M_BOM[RM_Qty_Per_Batch]*IFERROR(INDEX(PP_Grid[#Data],M_BOM[PPGridRow],32),0))</f>
        <v/>
      </c>
      <c r="AG28">
        <f>SUMPRODUCT((M_BOM[Part Name]=$A28)*M_BOM[RM_Qty_Per_Batch]*IFERROR(INDEX(PP_Grid[#Data],M_BOM[PPGridRow],33),0))</f>
        <v/>
      </c>
      <c r="AH28">
        <f>SUMPRODUCT((M_BOM[Part Name]=$A28)*M_BOM[RM_Qty_Per_Batch]*IFERROR(INDEX(PP_Grid[#Data],M_BOM[PPGridRow],34),0))</f>
        <v/>
      </c>
      <c r="AI28">
        <f>SUMPRODUCT((M_BOM[Part Name]=$A28)*M_BOM[RM_Qty_Per_Batch]*IFERROR(INDEX(PP_Grid[#Data],M_BOM[PPGridRow],35),0))</f>
        <v/>
      </c>
      <c r="AJ28">
        <f>SUMPRODUCT((M_BOM[Part Name]=$A28)*M_BOM[RM_Qty_Per_Batch]*IFERROR(INDEX(PP_Grid[#Data],M_BOM[PPGridRow],36),0))</f>
        <v/>
      </c>
      <c r="AK28">
        <f>SUMPRODUCT((M_BOM[Part Name]=$A28)*M_BOM[RM_Qty_Per_Batch]*IFERROR(INDEX(PP_Grid[#Data],M_BOM[PPGridRow],37),0))</f>
        <v/>
      </c>
      <c r="AL28">
        <f>SUMPRODUCT((M_BOM[Part Name]=$A28)*M_BOM[RM_Qty_Per_Batch]*IFERROR(INDEX(PP_Grid[#Data],M_BOM[PPGridRow],38),0))</f>
        <v/>
      </c>
      <c r="AM28">
        <f>SUMPRODUCT((M_BOM[Part Name]=$A28)*M_BOM[RM_Qty_Per_Batch]*IFERROR(INDEX(PP_Grid[#Data],M_BOM[PPGridRow],39),0))</f>
        <v/>
      </c>
      <c r="AN28">
        <f>SUMPRODUCT((M_BOM[Part Name]=$A28)*M_BOM[RM_Qty_Per_Batch]*IFERROR(INDEX(PP_Grid[#Data],M_BOM[PPGridRow],40),0))</f>
        <v/>
      </c>
      <c r="AO28">
        <f>SUMPRODUCT((M_BOM[Part Name]=$A28)*M_BOM[RM_Qty_Per_Batch]*IFERROR(INDEX(PP_Grid[#Data],M_BOM[PPGridRow],41),0))</f>
        <v/>
      </c>
      <c r="AP28">
        <f>SUMPRODUCT((M_BOM[Part Name]=$A28)*M_BOM[RM_Qty_Per_Batch]*IFERROR(INDEX(PP_Grid[#Data],M_BOM[PPGridRow],42),0))</f>
        <v/>
      </c>
      <c r="AQ28">
        <f>SUMPRODUCT((M_BOM[Part Name]=$A28)*M_BOM[RM_Qty_Per_Batch]*IFERROR(INDEX(PP_Grid[#Data],M_BOM[PPGridRow],43),0))</f>
        <v/>
      </c>
      <c r="AR28">
        <f>SUMPRODUCT((M_BOM[Part Name]=$A28)*M_BOM[RM_Qty_Per_Batch]*IFERROR(INDEX(PP_Grid[#Data],M_BOM[PPGridRow],44),0))</f>
        <v/>
      </c>
      <c r="AS28">
        <f>SUMPRODUCT((M_BOM[Part Name]=$A28)*M_BOM[RM_Qty_Per_Batch]*IFERROR(INDEX(PP_Grid[#Data],M_BOM[PPGridRow],45),0))</f>
        <v/>
      </c>
      <c r="AT28">
        <f>SUMPRODUCT((M_BOM[Part Name]=$A28)*M_BOM[RM_Qty_Per_Batch]*IFERROR(INDEX(PP_Grid[#Data],M_BOM[PPGridRow],46),0))</f>
        <v/>
      </c>
      <c r="AU28">
        <f>SUMPRODUCT((M_BOM[Part Name]=$A28)*M_BOM[RM_Qty_Per_Batch]*IFERROR(INDEX(PP_Grid[#Data],M_BOM[PPGridRow],47),0))</f>
        <v/>
      </c>
      <c r="AV28">
        <f>SUMPRODUCT((M_BOM[Part Name]=$A28)*M_BOM[RM_Qty_Per_Batch]*IFERROR(INDEX(PP_Grid[#Data],M_BOM[PPGridRow],48),0))</f>
        <v/>
      </c>
      <c r="AW28">
        <f>SUMPRODUCT((M_BOM[Part Name]=$A28)*M_BOM[RM_Qty_Per_Batch]*IFERROR(INDEX(PP_Grid[#Data],M_BOM[PPGridRow],49),0))</f>
        <v/>
      </c>
      <c r="AX28">
        <f>SUMPRODUCT((M_BOM[Part Name]=$A28)*M_BOM[RM_Qty_Per_Batch]*IFERROR(INDEX(PP_Grid[#Data],M_BOM[PPGridRow],50),0))</f>
        <v/>
      </c>
      <c r="AY28">
        <f>SUMPRODUCT((M_BOM[Part Name]=$A28)*M_BOM[RM_Qty_Per_Batch]*IFERROR(INDEX(PP_Grid[#Data],M_BOM[PPGridRow],51),0))</f>
        <v/>
      </c>
      <c r="AZ28">
        <f>SUMPRODUCT((M_BOM[Part Name]=$A28)*M_BOM[RM_Qty_Per_Batch]*IFERROR(INDEX(PP_Grid[#Data],M_BOM[PPGridRow],52),0))</f>
        <v/>
      </c>
      <c r="BA28">
        <f>SUMPRODUCT((M_BOM[Part Name]=$A28)*M_BOM[RM_Qty_Per_Batch]*IFERROR(INDEX(PP_Grid[#Data],M_BOM[PPGridRow],53),0))</f>
        <v/>
      </c>
      <c r="BB28">
        <f>SUMPRODUCT((M_BOM[Part Name]=$A28)*M_BOM[RM_Qty_Per_Batch]*IFERROR(INDEX(PP_Grid[#Data],M_BOM[PPGridRow],54),0))</f>
        <v/>
      </c>
      <c r="BC28">
        <f>SUMPRODUCT((M_BOM[Part Name]=$A28)*M_BOM[RM_Qty_Per_Batch]*IFERROR(INDEX(PP_Grid[#Data],M_BOM[PPGridRow],55),0))</f>
        <v/>
      </c>
      <c r="BD28">
        <f>SUMPRODUCT((M_BOM[Part Name]=$A28)*M_BOM[RM_Qty_Per_Batch]*IFERROR(INDEX(PP_Grid[#Data],M_BOM[PPGridRow],56),0))</f>
        <v/>
      </c>
      <c r="BE28">
        <f>SUMPRODUCT((M_BOM[Part Name]=$A28)*M_BOM[RM_Qty_Per_Batch]*IFERROR(INDEX(PP_Grid[#Data],M_BOM[PPGridRow],57),0))</f>
        <v/>
      </c>
      <c r="BF28">
        <f>SUMPRODUCT((M_BOM[Part Name]=$A28)*M_BOM[RM_Qty_Per_Batch]*IFERROR(INDEX(PP_Grid[#Data],M_BOM[PPGridRow],58),0))</f>
        <v/>
      </c>
      <c r="BG28">
        <f>SUMPRODUCT((M_BOM[Part Name]=$A28)*M_BOM[RM_Qty_Per_Batch]*IFERROR(INDEX(PP_Grid[#Data],M_BOM[PPGridRow],59),0))</f>
        <v/>
      </c>
      <c r="BH28">
        <f>SUMPRODUCT((M_BOM[Part Name]=$A28)*M_BOM[RM_Qty_Per_Batch]*IFERROR(INDEX(PP_Grid[#Data],M_BOM[PPGridRow],60),0))</f>
        <v/>
      </c>
      <c r="BI28">
        <f>SUMPRODUCT((M_BOM[Part Name]=$A28)*M_BOM[RM_Qty_Per_Batch]*IFERROR(INDEX(PP_Grid[#Data],M_BOM[PPGridRow],61),0))</f>
        <v/>
      </c>
      <c r="BJ28">
        <f>SUMPRODUCT((M_BOM[Part Name]=$A28)*M_BOM[RM_Qty_Per_Batch]*IFERROR(INDEX(PP_Grid[#Data],M_BOM[PPGridRow],62),0))</f>
        <v/>
      </c>
      <c r="BK28">
        <f>SUMPRODUCT((M_BOM[Part Name]=$A28)*M_BOM[RM_Qty_Per_Batch]*IFERROR(INDEX(PP_Grid[#Data],M_BOM[PPGridRow],63),0))</f>
        <v/>
      </c>
      <c r="BL28">
        <f>SUMPRODUCT((M_BOM[Part Name]=$A28)*M_BOM[RM_Qty_Per_Batch]*IFERROR(INDEX(PP_Grid[#Data],M_BOM[PPGridRow],64),0))</f>
        <v/>
      </c>
      <c r="BM28">
        <f>SUMPRODUCT((M_BOM[Part Name]=$A28)*M_BOM[RM_Qty_Per_Batch]*IFERROR(INDEX(PP_Grid[#Data],M_BOM[PPGridRow],65),0))</f>
        <v/>
      </c>
      <c r="BN28">
        <f>SUMPRODUCT((M_BOM[Part Name]=$A28)*M_BOM[RM_Qty_Per_Batch]*IFERROR(INDEX(PP_Grid[#Data],M_BOM[PPGridRow],66),0))</f>
        <v/>
      </c>
      <c r="BO28">
        <f>SUMPRODUCT((M_BOM[Part Name]=$A28)*M_BOM[RM_Qty_Per_Batch]*IFERROR(INDEX(PP_Grid[#Data],M_BOM[PPGridRow],67),0))</f>
        <v/>
      </c>
      <c r="BP28">
        <f>SUMPRODUCT((M_BOM[Part Name]=$A28)*M_BOM[RM_Qty_Per_Batch]*IFERROR(INDEX(PP_Grid[#Data],M_BOM[PPGridRow],68),0))</f>
        <v/>
      </c>
      <c r="BQ28">
        <f>SUMPRODUCT((M_BOM[Part Name]=$A28)*M_BOM[RM_Qty_Per_Batch]*IFERROR(INDEX(PP_Grid[#Data],M_BOM[PPGridRow],69),0))</f>
        <v/>
      </c>
      <c r="BR28">
        <f>SUMPRODUCT((M_BOM[Part Name]=$A28)*M_BOM[RM_Qty_Per_Batch]*IFERROR(INDEX(PP_Grid[#Data],M_BOM[PPGridRow],70),0))</f>
        <v/>
      </c>
      <c r="BS28">
        <f>SUMPRODUCT((M_BOM[Part Name]=$A28)*M_BOM[RM_Qty_Per_Batch]*IFERROR(INDEX(PP_Grid[#Data],M_BOM[PPGridRow],71),0))</f>
        <v/>
      </c>
      <c r="BT28">
        <f>SUMPRODUCT((M_BOM[Part Name]=$A28)*M_BOM[RM_Qty_Per_Batch]*IFERROR(INDEX(PP_Grid[#Data],M_BOM[PPGridRow],72),0))</f>
        <v/>
      </c>
      <c r="BU28">
        <f>SUMPRODUCT((M_BOM[Part Name]=$A28)*M_BOM[RM_Qty_Per_Batch]*IFERROR(INDEX(PP_Grid[#Data],M_BOM[PPGridRow],73),0))</f>
        <v/>
      </c>
      <c r="BV28">
        <f>SUMPRODUCT((M_BOM[Part Name]=$A28)*M_BOM[RM_Qty_Per_Batch]*IFERROR(INDEX(PP_Grid[#Data],M_BOM[PPGridRow],74),0))</f>
        <v/>
      </c>
      <c r="BW28">
        <f>SUMPRODUCT((M_BOM[Part Name]=$A28)*M_BOM[RM_Qty_Per_Batch]*IFERROR(INDEX(PP_Grid[#Data],M_BOM[PPGridRow],75),0))</f>
        <v/>
      </c>
      <c r="BX28">
        <f>SUMPRODUCT((M_BOM[Part Name]=$A28)*M_BOM[RM_Qty_Per_Batch]*IFERROR(INDEX(PP_Grid[#Data],M_BOM[PPGridRow],76),0))</f>
        <v/>
      </c>
      <c r="BY28">
        <f>SUMPRODUCT((M_BOM[Part Name]=$A28)*M_BOM[RM_Qty_Per_Batch]*IFERROR(INDEX(PP_Grid[#Data],M_BOM[PPGridRow],77),0))</f>
        <v/>
      </c>
      <c r="BZ28">
        <f>SUMPRODUCT((M_BOM[Part Name]=$A28)*M_BOM[RM_Qty_Per_Batch]*IFERROR(INDEX(PP_Grid[#Data],M_BOM[PPGridRow],78),0))</f>
        <v/>
      </c>
      <c r="CA28">
        <f>SUMPRODUCT((M_BOM[Part Name]=$A28)*M_BOM[RM_Qty_Per_Batch]*IFERROR(INDEX(PP_Grid[#Data],M_BOM[PPGridRow],79),0))</f>
        <v/>
      </c>
      <c r="CB28">
        <f>SUMPRODUCT((M_BOM[Part Name]=$A28)*M_BOM[RM_Qty_Per_Batch]*IFERROR(INDEX(PP_Grid[#Data],M_BOM[PPGridRow],80),0))</f>
        <v/>
      </c>
      <c r="CC28">
        <f>SUMPRODUCT((M_BOM[Part Name]=$A28)*M_BOM[RM_Qty_Per_Batch]*IFERROR(INDEX(PP_Grid[#Data],M_BOM[PPGridRow],81),0))</f>
        <v/>
      </c>
      <c r="CD28">
        <f>SUMPRODUCT((M_BOM[Part Name]=$A28)*M_BOM[RM_Qty_Per_Batch]*IFERROR(INDEX(PP_Grid[#Data],M_BOM[PPGridRow],82),0))</f>
        <v/>
      </c>
      <c r="CE28">
        <f>SUMPRODUCT((M_BOM[Part Name]=$A28)*M_BOM[RM_Qty_Per_Batch]*IFERROR(INDEX(PP_Grid[#Data],M_BOM[PPGridRow],83),0))</f>
        <v/>
      </c>
      <c r="CF28">
        <f>SUMPRODUCT((M_BOM[Part Name]=$A28)*M_BOM[RM_Qty_Per_Batch]*IFERROR(INDEX(PP_Grid[#Data],M_BOM[PPGridRow],84),0))</f>
        <v/>
      </c>
      <c r="CG28">
        <f>SUMPRODUCT((M_BOM[Part Name]=$A28)*M_BOM[RM_Qty_Per_Batch]*IFERROR(INDEX(PP_Grid[#Data],M_BOM[PPGridRow],85),0))</f>
        <v/>
      </c>
      <c r="CH28">
        <f>SUMPRODUCT((M_BOM[Part Name]=$A28)*M_BOM[RM_Qty_Per_Batch]*IFERROR(INDEX(PP_Grid[#Data],M_BOM[PPGridRow],86),0))</f>
        <v/>
      </c>
      <c r="CI28">
        <f>SUMPRODUCT((M_BOM[Part Name]=$A28)*M_BOM[RM_Qty_Per_Batch]*IFERROR(INDEX(PP_Grid[#Data],M_BOM[PPGridRow],87),0))</f>
        <v/>
      </c>
      <c r="CJ28">
        <f>SUMPRODUCT((M_BOM[Part Name]=$A28)*M_BOM[RM_Qty_Per_Batch]*IFERROR(INDEX(PP_Grid[#Data],M_BOM[PPGridRow],88),0))</f>
        <v/>
      </c>
      <c r="CK28">
        <f>SUMPRODUCT((M_BOM[Part Name]=$A28)*M_BOM[RM_Qty_Per_Batch]*IFERROR(INDEX(PP_Grid[#Data],M_BOM[PPGridRow],89),0))</f>
        <v/>
      </c>
      <c r="CL28">
        <f>SUMPRODUCT((M_BOM[Part Name]=$A28)*M_BOM[RM_Qty_Per_Batch]*IFERROR(INDEX(PP_Grid[#Data],M_BOM[PPGridRow],90),0))</f>
        <v/>
      </c>
      <c r="CM28">
        <f>SUMPRODUCT((M_BOM[Part Name]=$A28)*M_BOM[RM_Qty_Per_Batch]*IFERROR(INDEX(PP_Grid[#Data],M_BOM[PPGridRow],91),0))</f>
        <v/>
      </c>
      <c r="CN28">
        <f>SUMPRODUCT((M_BOM[Part Name]=$A28)*M_BOM[RM_Qty_Per_Batch]*IFERROR(INDEX(PP_Grid[#Data],M_BOM[PPGridRow],92),0))</f>
        <v/>
      </c>
      <c r="CO28">
        <f>SUMPRODUCT((M_BOM[Part Name]=$A28)*M_BOM[RM_Qty_Per_Batch]*IFERROR(INDEX(PP_Grid[#Data],M_BOM[PPGridRow],93),0))</f>
        <v/>
      </c>
      <c r="CP28">
        <f>SUMPRODUCT((M_BOM[Part Name]=$A28)*M_BOM[RM_Qty_Per_Batch]*IFERROR(INDEX(PP_Grid[#Data],M_BOM[PPGridRow],94),0))</f>
        <v/>
      </c>
      <c r="CQ28">
        <f>SUMPRODUCT((M_BOM[Part Name]=$A28)*M_BOM[RM_Qty_Per_Batch]*IFERROR(INDEX(PP_Grid[#Data],M_BOM[PPGridRow],95),0))</f>
        <v/>
      </c>
      <c r="CR28">
        <f>SUMPRODUCT((M_BOM[Part Name]=$A28)*M_BOM[RM_Qty_Per_Batch]*IFERROR(INDEX(PP_Grid[#Data],M_BOM[PPGridRow],96),0))</f>
        <v/>
      </c>
      <c r="CS28">
        <f>SUMPRODUCT((M_BOM[Part Name]=$A28)*M_BOM[RM_Qty_Per_Batch]*IFERROR(INDEX(PP_Grid[#Data],M_BOM[PPGridRow],97),0))</f>
        <v/>
      </c>
      <c r="CT28">
        <f>SUMPRODUCT((M_BOM[Part Name]=$A28)*M_BOM[RM_Qty_Per_Batch]*IFERROR(INDEX(PP_Grid[#Data],M_BOM[PPGridRow],98),0))</f>
        <v/>
      </c>
      <c r="CU28">
        <f>SUMPRODUCT((M_BOM[Part Name]=$A28)*M_BOM[RM_Qty_Per_Batch]*IFERROR(INDEX(PP_Grid[#Data],M_BOM[PPGridRow],99),0))</f>
        <v/>
      </c>
      <c r="CV28">
        <f>SUMPRODUCT((M_BOM[Part Name]=$A28)*M_BOM[RM_Qty_Per_Batch]*IFERROR(INDEX(PP_Grid[#Data],M_BOM[PPGridRow],100),0))</f>
        <v/>
      </c>
      <c r="CW28">
        <f>SUMPRODUCT((M_BOM[Part Name]=$A28)*M_BOM[RM_Qty_Per_Batch]*IFERROR(INDEX(PP_Grid[#Data],M_BOM[PPGridRow],101),0))</f>
        <v/>
      </c>
      <c r="CX28">
        <f>SUMPRODUCT((M_BOM[Part Name]=$A28)*M_BOM[RM_Qty_Per_Batch]*IFERROR(INDEX(PP_Grid[#Data],M_BOM[PPGridRow],102),0))</f>
        <v/>
      </c>
      <c r="CY28">
        <f>SUMPRODUCT((M_BOM[Part Name]=$A28)*M_BOM[RM_Qty_Per_Batch]*IFERROR(INDEX(PP_Grid[#Data],M_BOM[PPGridRow],103),0))</f>
        <v/>
      </c>
      <c r="CZ28">
        <f>SUMPRODUCT((M_BOM[Part Name]=$A28)*M_BOM[RM_Qty_Per_Batch]*IFERROR(INDEX(PP_Grid[#Data],M_BOM[PPGridRow],104),0))</f>
        <v/>
      </c>
      <c r="DA28">
        <f>SUMPRODUCT((M_BOM[Part Name]=$A28)*M_BOM[RM_Qty_Per_Batch]*IFERROR(INDEX(PP_Grid[#Data],M_BOM[PPGridRow],105),0))</f>
        <v/>
      </c>
    </row>
    <row r="29">
      <c r="A29" t="inlineStr">
        <is>
          <t>CHEM-1840</t>
        </is>
      </c>
      <c r="B29">
        <f>SUMPRODUCT((M_BOM[Part Name]=$A29)*M_BOM[RM_Qty_Per_Batch]*IFERROR(INDEX(PP_Grid[#Data],M_BOM[PPGridRow],2),0))</f>
        <v/>
      </c>
      <c r="C29">
        <f>SUMPRODUCT((M_BOM[Part Name]=$A29)*M_BOM[RM_Qty_Per_Batch]*IFERROR(INDEX(PP_Grid[#Data],M_BOM[PPGridRow],3),0))</f>
        <v/>
      </c>
      <c r="D29">
        <f>SUMPRODUCT((M_BOM[Part Name]=$A29)*M_BOM[RM_Qty_Per_Batch]*IFERROR(INDEX(PP_Grid[#Data],M_BOM[PPGridRow],4),0))</f>
        <v/>
      </c>
      <c r="E29">
        <f>SUMPRODUCT((M_BOM[Part Name]=$A29)*M_BOM[RM_Qty_Per_Batch]*IFERROR(INDEX(PP_Grid[#Data],M_BOM[PPGridRow],5),0))</f>
        <v/>
      </c>
      <c r="F29">
        <f>SUMPRODUCT((M_BOM[Part Name]=$A29)*M_BOM[RM_Qty_Per_Batch]*IFERROR(INDEX(PP_Grid[#Data],M_BOM[PPGridRow],6),0))</f>
        <v/>
      </c>
      <c r="G29">
        <f>SUMPRODUCT((M_BOM[Part Name]=$A29)*M_BOM[RM_Qty_Per_Batch]*IFERROR(INDEX(PP_Grid[#Data],M_BOM[PPGridRow],7),0))</f>
        <v/>
      </c>
      <c r="H29">
        <f>SUMPRODUCT((M_BOM[Part Name]=$A29)*M_BOM[RM_Qty_Per_Batch]*IFERROR(INDEX(PP_Grid[#Data],M_BOM[PPGridRow],8),0))</f>
        <v/>
      </c>
      <c r="I29">
        <f>SUMPRODUCT((M_BOM[Part Name]=$A29)*M_BOM[RM_Qty_Per_Batch]*IFERROR(INDEX(PP_Grid[#Data],M_BOM[PPGridRow],9),0))</f>
        <v/>
      </c>
      <c r="J29">
        <f>SUMPRODUCT((M_BOM[Part Name]=$A29)*M_BOM[RM_Qty_Per_Batch]*IFERROR(INDEX(PP_Grid[#Data],M_BOM[PPGridRow],10),0))</f>
        <v/>
      </c>
      <c r="K29">
        <f>SUMPRODUCT((M_BOM[Part Name]=$A29)*M_BOM[RM_Qty_Per_Batch]*IFERROR(INDEX(PP_Grid[#Data],M_BOM[PPGridRow],11),0))</f>
        <v/>
      </c>
      <c r="L29">
        <f>SUMPRODUCT((M_BOM[Part Name]=$A29)*M_BOM[RM_Qty_Per_Batch]*IFERROR(INDEX(PP_Grid[#Data],M_BOM[PPGridRow],12),0))</f>
        <v/>
      </c>
      <c r="M29">
        <f>SUMPRODUCT((M_BOM[Part Name]=$A29)*M_BOM[RM_Qty_Per_Batch]*IFERROR(INDEX(PP_Grid[#Data],M_BOM[PPGridRow],13),0))</f>
        <v/>
      </c>
      <c r="N29">
        <f>SUMPRODUCT((M_BOM[Part Name]=$A29)*M_BOM[RM_Qty_Per_Batch]*IFERROR(INDEX(PP_Grid[#Data],M_BOM[PPGridRow],14),0))</f>
        <v/>
      </c>
      <c r="O29">
        <f>SUMPRODUCT((M_BOM[Part Name]=$A29)*M_BOM[RM_Qty_Per_Batch]*IFERROR(INDEX(PP_Grid[#Data],M_BOM[PPGridRow],15),0))</f>
        <v/>
      </c>
      <c r="P29">
        <f>SUMPRODUCT((M_BOM[Part Name]=$A29)*M_BOM[RM_Qty_Per_Batch]*IFERROR(INDEX(PP_Grid[#Data],M_BOM[PPGridRow],16),0))</f>
        <v/>
      </c>
      <c r="Q29">
        <f>SUMPRODUCT((M_BOM[Part Name]=$A29)*M_BOM[RM_Qty_Per_Batch]*IFERROR(INDEX(PP_Grid[#Data],M_BOM[PPGridRow],17),0))</f>
        <v/>
      </c>
      <c r="R29">
        <f>SUMPRODUCT((M_BOM[Part Name]=$A29)*M_BOM[RM_Qty_Per_Batch]*IFERROR(INDEX(PP_Grid[#Data],M_BOM[PPGridRow],18),0))</f>
        <v/>
      </c>
      <c r="S29">
        <f>SUMPRODUCT((M_BOM[Part Name]=$A29)*M_BOM[RM_Qty_Per_Batch]*IFERROR(INDEX(PP_Grid[#Data],M_BOM[PPGridRow],19),0))</f>
        <v/>
      </c>
      <c r="T29">
        <f>SUMPRODUCT((M_BOM[Part Name]=$A29)*M_BOM[RM_Qty_Per_Batch]*IFERROR(INDEX(PP_Grid[#Data],M_BOM[PPGridRow],20),0))</f>
        <v/>
      </c>
      <c r="U29">
        <f>SUMPRODUCT((M_BOM[Part Name]=$A29)*M_BOM[RM_Qty_Per_Batch]*IFERROR(INDEX(PP_Grid[#Data],M_BOM[PPGridRow],21),0))</f>
        <v/>
      </c>
      <c r="V29">
        <f>SUMPRODUCT((M_BOM[Part Name]=$A29)*M_BOM[RM_Qty_Per_Batch]*IFERROR(INDEX(PP_Grid[#Data],M_BOM[PPGridRow],22),0))</f>
        <v/>
      </c>
      <c r="W29">
        <f>SUMPRODUCT((M_BOM[Part Name]=$A29)*M_BOM[RM_Qty_Per_Batch]*IFERROR(INDEX(PP_Grid[#Data],M_BOM[PPGridRow],23),0))</f>
        <v/>
      </c>
      <c r="X29">
        <f>SUMPRODUCT((M_BOM[Part Name]=$A29)*M_BOM[RM_Qty_Per_Batch]*IFERROR(INDEX(PP_Grid[#Data],M_BOM[PPGridRow],24),0))</f>
        <v/>
      </c>
      <c r="Y29">
        <f>SUMPRODUCT((M_BOM[Part Name]=$A29)*M_BOM[RM_Qty_Per_Batch]*IFERROR(INDEX(PP_Grid[#Data],M_BOM[PPGridRow],25),0))</f>
        <v/>
      </c>
      <c r="Z29">
        <f>SUMPRODUCT((M_BOM[Part Name]=$A29)*M_BOM[RM_Qty_Per_Batch]*IFERROR(INDEX(PP_Grid[#Data],M_BOM[PPGridRow],26),0))</f>
        <v/>
      </c>
      <c r="AA29">
        <f>SUMPRODUCT((M_BOM[Part Name]=$A29)*M_BOM[RM_Qty_Per_Batch]*IFERROR(INDEX(PP_Grid[#Data],M_BOM[PPGridRow],27),0))</f>
        <v/>
      </c>
      <c r="AB29">
        <f>SUMPRODUCT((M_BOM[Part Name]=$A29)*M_BOM[RM_Qty_Per_Batch]*IFERROR(INDEX(PP_Grid[#Data],M_BOM[PPGridRow],28),0))</f>
        <v/>
      </c>
      <c r="AC29">
        <f>SUMPRODUCT((M_BOM[Part Name]=$A29)*M_BOM[RM_Qty_Per_Batch]*IFERROR(INDEX(PP_Grid[#Data],M_BOM[PPGridRow],29),0))</f>
        <v/>
      </c>
      <c r="AD29">
        <f>SUMPRODUCT((M_BOM[Part Name]=$A29)*M_BOM[RM_Qty_Per_Batch]*IFERROR(INDEX(PP_Grid[#Data],M_BOM[PPGridRow],30),0))</f>
        <v/>
      </c>
      <c r="AE29">
        <f>SUMPRODUCT((M_BOM[Part Name]=$A29)*M_BOM[RM_Qty_Per_Batch]*IFERROR(INDEX(PP_Grid[#Data],M_BOM[PPGridRow],31),0))</f>
        <v/>
      </c>
      <c r="AF29">
        <f>SUMPRODUCT((M_BOM[Part Name]=$A29)*M_BOM[RM_Qty_Per_Batch]*IFERROR(INDEX(PP_Grid[#Data],M_BOM[PPGridRow],32),0))</f>
        <v/>
      </c>
      <c r="AG29">
        <f>SUMPRODUCT((M_BOM[Part Name]=$A29)*M_BOM[RM_Qty_Per_Batch]*IFERROR(INDEX(PP_Grid[#Data],M_BOM[PPGridRow],33),0))</f>
        <v/>
      </c>
      <c r="AH29">
        <f>SUMPRODUCT((M_BOM[Part Name]=$A29)*M_BOM[RM_Qty_Per_Batch]*IFERROR(INDEX(PP_Grid[#Data],M_BOM[PPGridRow],34),0))</f>
        <v/>
      </c>
      <c r="AI29">
        <f>SUMPRODUCT((M_BOM[Part Name]=$A29)*M_BOM[RM_Qty_Per_Batch]*IFERROR(INDEX(PP_Grid[#Data],M_BOM[PPGridRow],35),0))</f>
        <v/>
      </c>
      <c r="AJ29">
        <f>SUMPRODUCT((M_BOM[Part Name]=$A29)*M_BOM[RM_Qty_Per_Batch]*IFERROR(INDEX(PP_Grid[#Data],M_BOM[PPGridRow],36),0))</f>
        <v/>
      </c>
      <c r="AK29">
        <f>SUMPRODUCT((M_BOM[Part Name]=$A29)*M_BOM[RM_Qty_Per_Batch]*IFERROR(INDEX(PP_Grid[#Data],M_BOM[PPGridRow],37),0))</f>
        <v/>
      </c>
      <c r="AL29">
        <f>SUMPRODUCT((M_BOM[Part Name]=$A29)*M_BOM[RM_Qty_Per_Batch]*IFERROR(INDEX(PP_Grid[#Data],M_BOM[PPGridRow],38),0))</f>
        <v/>
      </c>
      <c r="AM29">
        <f>SUMPRODUCT((M_BOM[Part Name]=$A29)*M_BOM[RM_Qty_Per_Batch]*IFERROR(INDEX(PP_Grid[#Data],M_BOM[PPGridRow],39),0))</f>
        <v/>
      </c>
      <c r="AN29">
        <f>SUMPRODUCT((M_BOM[Part Name]=$A29)*M_BOM[RM_Qty_Per_Batch]*IFERROR(INDEX(PP_Grid[#Data],M_BOM[PPGridRow],40),0))</f>
        <v/>
      </c>
      <c r="AO29">
        <f>SUMPRODUCT((M_BOM[Part Name]=$A29)*M_BOM[RM_Qty_Per_Batch]*IFERROR(INDEX(PP_Grid[#Data],M_BOM[PPGridRow],41),0))</f>
        <v/>
      </c>
      <c r="AP29">
        <f>SUMPRODUCT((M_BOM[Part Name]=$A29)*M_BOM[RM_Qty_Per_Batch]*IFERROR(INDEX(PP_Grid[#Data],M_BOM[PPGridRow],42),0))</f>
        <v/>
      </c>
      <c r="AQ29">
        <f>SUMPRODUCT((M_BOM[Part Name]=$A29)*M_BOM[RM_Qty_Per_Batch]*IFERROR(INDEX(PP_Grid[#Data],M_BOM[PPGridRow],43),0))</f>
        <v/>
      </c>
      <c r="AR29">
        <f>SUMPRODUCT((M_BOM[Part Name]=$A29)*M_BOM[RM_Qty_Per_Batch]*IFERROR(INDEX(PP_Grid[#Data],M_BOM[PPGridRow],44),0))</f>
        <v/>
      </c>
      <c r="AS29">
        <f>SUMPRODUCT((M_BOM[Part Name]=$A29)*M_BOM[RM_Qty_Per_Batch]*IFERROR(INDEX(PP_Grid[#Data],M_BOM[PPGridRow],45),0))</f>
        <v/>
      </c>
      <c r="AT29">
        <f>SUMPRODUCT((M_BOM[Part Name]=$A29)*M_BOM[RM_Qty_Per_Batch]*IFERROR(INDEX(PP_Grid[#Data],M_BOM[PPGridRow],46),0))</f>
        <v/>
      </c>
      <c r="AU29">
        <f>SUMPRODUCT((M_BOM[Part Name]=$A29)*M_BOM[RM_Qty_Per_Batch]*IFERROR(INDEX(PP_Grid[#Data],M_BOM[PPGridRow],47),0))</f>
        <v/>
      </c>
      <c r="AV29">
        <f>SUMPRODUCT((M_BOM[Part Name]=$A29)*M_BOM[RM_Qty_Per_Batch]*IFERROR(INDEX(PP_Grid[#Data],M_BOM[PPGridRow],48),0))</f>
        <v/>
      </c>
      <c r="AW29">
        <f>SUMPRODUCT((M_BOM[Part Name]=$A29)*M_BOM[RM_Qty_Per_Batch]*IFERROR(INDEX(PP_Grid[#Data],M_BOM[PPGridRow],49),0))</f>
        <v/>
      </c>
      <c r="AX29">
        <f>SUMPRODUCT((M_BOM[Part Name]=$A29)*M_BOM[RM_Qty_Per_Batch]*IFERROR(INDEX(PP_Grid[#Data],M_BOM[PPGridRow],50),0))</f>
        <v/>
      </c>
      <c r="AY29">
        <f>SUMPRODUCT((M_BOM[Part Name]=$A29)*M_BOM[RM_Qty_Per_Batch]*IFERROR(INDEX(PP_Grid[#Data],M_BOM[PPGridRow],51),0))</f>
        <v/>
      </c>
      <c r="AZ29">
        <f>SUMPRODUCT((M_BOM[Part Name]=$A29)*M_BOM[RM_Qty_Per_Batch]*IFERROR(INDEX(PP_Grid[#Data],M_BOM[PPGridRow],52),0))</f>
        <v/>
      </c>
      <c r="BA29">
        <f>SUMPRODUCT((M_BOM[Part Name]=$A29)*M_BOM[RM_Qty_Per_Batch]*IFERROR(INDEX(PP_Grid[#Data],M_BOM[PPGridRow],53),0))</f>
        <v/>
      </c>
      <c r="BB29">
        <f>SUMPRODUCT((M_BOM[Part Name]=$A29)*M_BOM[RM_Qty_Per_Batch]*IFERROR(INDEX(PP_Grid[#Data],M_BOM[PPGridRow],54),0))</f>
        <v/>
      </c>
      <c r="BC29">
        <f>SUMPRODUCT((M_BOM[Part Name]=$A29)*M_BOM[RM_Qty_Per_Batch]*IFERROR(INDEX(PP_Grid[#Data],M_BOM[PPGridRow],55),0))</f>
        <v/>
      </c>
      <c r="BD29">
        <f>SUMPRODUCT((M_BOM[Part Name]=$A29)*M_BOM[RM_Qty_Per_Batch]*IFERROR(INDEX(PP_Grid[#Data],M_BOM[PPGridRow],56),0))</f>
        <v/>
      </c>
      <c r="BE29">
        <f>SUMPRODUCT((M_BOM[Part Name]=$A29)*M_BOM[RM_Qty_Per_Batch]*IFERROR(INDEX(PP_Grid[#Data],M_BOM[PPGridRow],57),0))</f>
        <v/>
      </c>
      <c r="BF29">
        <f>SUMPRODUCT((M_BOM[Part Name]=$A29)*M_BOM[RM_Qty_Per_Batch]*IFERROR(INDEX(PP_Grid[#Data],M_BOM[PPGridRow],58),0))</f>
        <v/>
      </c>
      <c r="BG29">
        <f>SUMPRODUCT((M_BOM[Part Name]=$A29)*M_BOM[RM_Qty_Per_Batch]*IFERROR(INDEX(PP_Grid[#Data],M_BOM[PPGridRow],59),0))</f>
        <v/>
      </c>
      <c r="BH29">
        <f>SUMPRODUCT((M_BOM[Part Name]=$A29)*M_BOM[RM_Qty_Per_Batch]*IFERROR(INDEX(PP_Grid[#Data],M_BOM[PPGridRow],60),0))</f>
        <v/>
      </c>
      <c r="BI29">
        <f>SUMPRODUCT((M_BOM[Part Name]=$A29)*M_BOM[RM_Qty_Per_Batch]*IFERROR(INDEX(PP_Grid[#Data],M_BOM[PPGridRow],61),0))</f>
        <v/>
      </c>
      <c r="BJ29">
        <f>SUMPRODUCT((M_BOM[Part Name]=$A29)*M_BOM[RM_Qty_Per_Batch]*IFERROR(INDEX(PP_Grid[#Data],M_BOM[PPGridRow],62),0))</f>
        <v/>
      </c>
      <c r="BK29">
        <f>SUMPRODUCT((M_BOM[Part Name]=$A29)*M_BOM[RM_Qty_Per_Batch]*IFERROR(INDEX(PP_Grid[#Data],M_BOM[PPGridRow],63),0))</f>
        <v/>
      </c>
      <c r="BL29">
        <f>SUMPRODUCT((M_BOM[Part Name]=$A29)*M_BOM[RM_Qty_Per_Batch]*IFERROR(INDEX(PP_Grid[#Data],M_BOM[PPGridRow],64),0))</f>
        <v/>
      </c>
      <c r="BM29">
        <f>SUMPRODUCT((M_BOM[Part Name]=$A29)*M_BOM[RM_Qty_Per_Batch]*IFERROR(INDEX(PP_Grid[#Data],M_BOM[PPGridRow],65),0))</f>
        <v/>
      </c>
      <c r="BN29">
        <f>SUMPRODUCT((M_BOM[Part Name]=$A29)*M_BOM[RM_Qty_Per_Batch]*IFERROR(INDEX(PP_Grid[#Data],M_BOM[PPGridRow],66),0))</f>
        <v/>
      </c>
      <c r="BO29">
        <f>SUMPRODUCT((M_BOM[Part Name]=$A29)*M_BOM[RM_Qty_Per_Batch]*IFERROR(INDEX(PP_Grid[#Data],M_BOM[PPGridRow],67),0))</f>
        <v/>
      </c>
      <c r="BP29">
        <f>SUMPRODUCT((M_BOM[Part Name]=$A29)*M_BOM[RM_Qty_Per_Batch]*IFERROR(INDEX(PP_Grid[#Data],M_BOM[PPGridRow],68),0))</f>
        <v/>
      </c>
      <c r="BQ29">
        <f>SUMPRODUCT((M_BOM[Part Name]=$A29)*M_BOM[RM_Qty_Per_Batch]*IFERROR(INDEX(PP_Grid[#Data],M_BOM[PPGridRow],69),0))</f>
        <v/>
      </c>
      <c r="BR29">
        <f>SUMPRODUCT((M_BOM[Part Name]=$A29)*M_BOM[RM_Qty_Per_Batch]*IFERROR(INDEX(PP_Grid[#Data],M_BOM[PPGridRow],70),0))</f>
        <v/>
      </c>
      <c r="BS29">
        <f>SUMPRODUCT((M_BOM[Part Name]=$A29)*M_BOM[RM_Qty_Per_Batch]*IFERROR(INDEX(PP_Grid[#Data],M_BOM[PPGridRow],71),0))</f>
        <v/>
      </c>
      <c r="BT29">
        <f>SUMPRODUCT((M_BOM[Part Name]=$A29)*M_BOM[RM_Qty_Per_Batch]*IFERROR(INDEX(PP_Grid[#Data],M_BOM[PPGridRow],72),0))</f>
        <v/>
      </c>
      <c r="BU29">
        <f>SUMPRODUCT((M_BOM[Part Name]=$A29)*M_BOM[RM_Qty_Per_Batch]*IFERROR(INDEX(PP_Grid[#Data],M_BOM[PPGridRow],73),0))</f>
        <v/>
      </c>
      <c r="BV29">
        <f>SUMPRODUCT((M_BOM[Part Name]=$A29)*M_BOM[RM_Qty_Per_Batch]*IFERROR(INDEX(PP_Grid[#Data],M_BOM[PPGridRow],74),0))</f>
        <v/>
      </c>
      <c r="BW29">
        <f>SUMPRODUCT((M_BOM[Part Name]=$A29)*M_BOM[RM_Qty_Per_Batch]*IFERROR(INDEX(PP_Grid[#Data],M_BOM[PPGridRow],75),0))</f>
        <v/>
      </c>
      <c r="BX29">
        <f>SUMPRODUCT((M_BOM[Part Name]=$A29)*M_BOM[RM_Qty_Per_Batch]*IFERROR(INDEX(PP_Grid[#Data],M_BOM[PPGridRow],76),0))</f>
        <v/>
      </c>
      <c r="BY29">
        <f>SUMPRODUCT((M_BOM[Part Name]=$A29)*M_BOM[RM_Qty_Per_Batch]*IFERROR(INDEX(PP_Grid[#Data],M_BOM[PPGridRow],77),0))</f>
        <v/>
      </c>
      <c r="BZ29">
        <f>SUMPRODUCT((M_BOM[Part Name]=$A29)*M_BOM[RM_Qty_Per_Batch]*IFERROR(INDEX(PP_Grid[#Data],M_BOM[PPGridRow],78),0))</f>
        <v/>
      </c>
      <c r="CA29">
        <f>SUMPRODUCT((M_BOM[Part Name]=$A29)*M_BOM[RM_Qty_Per_Batch]*IFERROR(INDEX(PP_Grid[#Data],M_BOM[PPGridRow],79),0))</f>
        <v/>
      </c>
      <c r="CB29">
        <f>SUMPRODUCT((M_BOM[Part Name]=$A29)*M_BOM[RM_Qty_Per_Batch]*IFERROR(INDEX(PP_Grid[#Data],M_BOM[PPGridRow],80),0))</f>
        <v/>
      </c>
      <c r="CC29">
        <f>SUMPRODUCT((M_BOM[Part Name]=$A29)*M_BOM[RM_Qty_Per_Batch]*IFERROR(INDEX(PP_Grid[#Data],M_BOM[PPGridRow],81),0))</f>
        <v/>
      </c>
      <c r="CD29">
        <f>SUMPRODUCT((M_BOM[Part Name]=$A29)*M_BOM[RM_Qty_Per_Batch]*IFERROR(INDEX(PP_Grid[#Data],M_BOM[PPGridRow],82),0))</f>
        <v/>
      </c>
      <c r="CE29">
        <f>SUMPRODUCT((M_BOM[Part Name]=$A29)*M_BOM[RM_Qty_Per_Batch]*IFERROR(INDEX(PP_Grid[#Data],M_BOM[PPGridRow],83),0))</f>
        <v/>
      </c>
      <c r="CF29">
        <f>SUMPRODUCT((M_BOM[Part Name]=$A29)*M_BOM[RM_Qty_Per_Batch]*IFERROR(INDEX(PP_Grid[#Data],M_BOM[PPGridRow],84),0))</f>
        <v/>
      </c>
      <c r="CG29">
        <f>SUMPRODUCT((M_BOM[Part Name]=$A29)*M_BOM[RM_Qty_Per_Batch]*IFERROR(INDEX(PP_Grid[#Data],M_BOM[PPGridRow],85),0))</f>
        <v/>
      </c>
      <c r="CH29">
        <f>SUMPRODUCT((M_BOM[Part Name]=$A29)*M_BOM[RM_Qty_Per_Batch]*IFERROR(INDEX(PP_Grid[#Data],M_BOM[PPGridRow],86),0))</f>
        <v/>
      </c>
      <c r="CI29">
        <f>SUMPRODUCT((M_BOM[Part Name]=$A29)*M_BOM[RM_Qty_Per_Batch]*IFERROR(INDEX(PP_Grid[#Data],M_BOM[PPGridRow],87),0))</f>
        <v/>
      </c>
      <c r="CJ29">
        <f>SUMPRODUCT((M_BOM[Part Name]=$A29)*M_BOM[RM_Qty_Per_Batch]*IFERROR(INDEX(PP_Grid[#Data],M_BOM[PPGridRow],88),0))</f>
        <v/>
      </c>
      <c r="CK29">
        <f>SUMPRODUCT((M_BOM[Part Name]=$A29)*M_BOM[RM_Qty_Per_Batch]*IFERROR(INDEX(PP_Grid[#Data],M_BOM[PPGridRow],89),0))</f>
        <v/>
      </c>
      <c r="CL29">
        <f>SUMPRODUCT((M_BOM[Part Name]=$A29)*M_BOM[RM_Qty_Per_Batch]*IFERROR(INDEX(PP_Grid[#Data],M_BOM[PPGridRow],90),0))</f>
        <v/>
      </c>
      <c r="CM29">
        <f>SUMPRODUCT((M_BOM[Part Name]=$A29)*M_BOM[RM_Qty_Per_Batch]*IFERROR(INDEX(PP_Grid[#Data],M_BOM[PPGridRow],91),0))</f>
        <v/>
      </c>
      <c r="CN29">
        <f>SUMPRODUCT((M_BOM[Part Name]=$A29)*M_BOM[RM_Qty_Per_Batch]*IFERROR(INDEX(PP_Grid[#Data],M_BOM[PPGridRow],92),0))</f>
        <v/>
      </c>
      <c r="CO29">
        <f>SUMPRODUCT((M_BOM[Part Name]=$A29)*M_BOM[RM_Qty_Per_Batch]*IFERROR(INDEX(PP_Grid[#Data],M_BOM[PPGridRow],93),0))</f>
        <v/>
      </c>
      <c r="CP29">
        <f>SUMPRODUCT((M_BOM[Part Name]=$A29)*M_BOM[RM_Qty_Per_Batch]*IFERROR(INDEX(PP_Grid[#Data],M_BOM[PPGridRow],94),0))</f>
        <v/>
      </c>
      <c r="CQ29">
        <f>SUMPRODUCT((M_BOM[Part Name]=$A29)*M_BOM[RM_Qty_Per_Batch]*IFERROR(INDEX(PP_Grid[#Data],M_BOM[PPGridRow],95),0))</f>
        <v/>
      </c>
      <c r="CR29">
        <f>SUMPRODUCT((M_BOM[Part Name]=$A29)*M_BOM[RM_Qty_Per_Batch]*IFERROR(INDEX(PP_Grid[#Data],M_BOM[PPGridRow],96),0))</f>
        <v/>
      </c>
      <c r="CS29">
        <f>SUMPRODUCT((M_BOM[Part Name]=$A29)*M_BOM[RM_Qty_Per_Batch]*IFERROR(INDEX(PP_Grid[#Data],M_BOM[PPGridRow],97),0))</f>
        <v/>
      </c>
      <c r="CT29">
        <f>SUMPRODUCT((M_BOM[Part Name]=$A29)*M_BOM[RM_Qty_Per_Batch]*IFERROR(INDEX(PP_Grid[#Data],M_BOM[PPGridRow],98),0))</f>
        <v/>
      </c>
      <c r="CU29">
        <f>SUMPRODUCT((M_BOM[Part Name]=$A29)*M_BOM[RM_Qty_Per_Batch]*IFERROR(INDEX(PP_Grid[#Data],M_BOM[PPGridRow],99),0))</f>
        <v/>
      </c>
      <c r="CV29">
        <f>SUMPRODUCT((M_BOM[Part Name]=$A29)*M_BOM[RM_Qty_Per_Batch]*IFERROR(INDEX(PP_Grid[#Data],M_BOM[PPGridRow],100),0))</f>
        <v/>
      </c>
      <c r="CW29">
        <f>SUMPRODUCT((M_BOM[Part Name]=$A29)*M_BOM[RM_Qty_Per_Batch]*IFERROR(INDEX(PP_Grid[#Data],M_BOM[PPGridRow],101),0))</f>
        <v/>
      </c>
      <c r="CX29">
        <f>SUMPRODUCT((M_BOM[Part Name]=$A29)*M_BOM[RM_Qty_Per_Batch]*IFERROR(INDEX(PP_Grid[#Data],M_BOM[PPGridRow],102),0))</f>
        <v/>
      </c>
      <c r="CY29">
        <f>SUMPRODUCT((M_BOM[Part Name]=$A29)*M_BOM[RM_Qty_Per_Batch]*IFERROR(INDEX(PP_Grid[#Data],M_BOM[PPGridRow],103),0))</f>
        <v/>
      </c>
      <c r="CZ29">
        <f>SUMPRODUCT((M_BOM[Part Name]=$A29)*M_BOM[RM_Qty_Per_Batch]*IFERROR(INDEX(PP_Grid[#Data],M_BOM[PPGridRow],104),0))</f>
        <v/>
      </c>
      <c r="DA29">
        <f>SUMPRODUCT((M_BOM[Part Name]=$A29)*M_BOM[RM_Qty_Per_Batch]*IFERROR(INDEX(PP_Grid[#Data],M_BOM[PPGridRow],105),0))</f>
        <v/>
      </c>
    </row>
    <row r="30">
      <c r="A30" t="inlineStr">
        <is>
          <t>TDJ</t>
        </is>
      </c>
      <c r="B30">
        <f>SUMPRODUCT((M_BOM[Part Name]=$A30)*M_BOM[RM_Qty_Per_Batch]*IFERROR(INDEX(PP_Grid[#Data],M_BOM[PPGridRow],2),0))</f>
        <v/>
      </c>
      <c r="C30">
        <f>SUMPRODUCT((M_BOM[Part Name]=$A30)*M_BOM[RM_Qty_Per_Batch]*IFERROR(INDEX(PP_Grid[#Data],M_BOM[PPGridRow],3),0))</f>
        <v/>
      </c>
      <c r="D30">
        <f>SUMPRODUCT((M_BOM[Part Name]=$A30)*M_BOM[RM_Qty_Per_Batch]*IFERROR(INDEX(PP_Grid[#Data],M_BOM[PPGridRow],4),0))</f>
        <v/>
      </c>
      <c r="E30">
        <f>SUMPRODUCT((M_BOM[Part Name]=$A30)*M_BOM[RM_Qty_Per_Batch]*IFERROR(INDEX(PP_Grid[#Data],M_BOM[PPGridRow],5),0))</f>
        <v/>
      </c>
      <c r="F30">
        <f>SUMPRODUCT((M_BOM[Part Name]=$A30)*M_BOM[RM_Qty_Per_Batch]*IFERROR(INDEX(PP_Grid[#Data],M_BOM[PPGridRow],6),0))</f>
        <v/>
      </c>
      <c r="G30">
        <f>SUMPRODUCT((M_BOM[Part Name]=$A30)*M_BOM[RM_Qty_Per_Batch]*IFERROR(INDEX(PP_Grid[#Data],M_BOM[PPGridRow],7),0))</f>
        <v/>
      </c>
      <c r="H30">
        <f>SUMPRODUCT((M_BOM[Part Name]=$A30)*M_BOM[RM_Qty_Per_Batch]*IFERROR(INDEX(PP_Grid[#Data],M_BOM[PPGridRow],8),0))</f>
        <v/>
      </c>
      <c r="I30">
        <f>SUMPRODUCT((M_BOM[Part Name]=$A30)*M_BOM[RM_Qty_Per_Batch]*IFERROR(INDEX(PP_Grid[#Data],M_BOM[PPGridRow],9),0))</f>
        <v/>
      </c>
      <c r="J30">
        <f>SUMPRODUCT((M_BOM[Part Name]=$A30)*M_BOM[RM_Qty_Per_Batch]*IFERROR(INDEX(PP_Grid[#Data],M_BOM[PPGridRow],10),0))</f>
        <v/>
      </c>
      <c r="K30">
        <f>SUMPRODUCT((M_BOM[Part Name]=$A30)*M_BOM[RM_Qty_Per_Batch]*IFERROR(INDEX(PP_Grid[#Data],M_BOM[PPGridRow],11),0))</f>
        <v/>
      </c>
      <c r="L30">
        <f>SUMPRODUCT((M_BOM[Part Name]=$A30)*M_BOM[RM_Qty_Per_Batch]*IFERROR(INDEX(PP_Grid[#Data],M_BOM[PPGridRow],12),0))</f>
        <v/>
      </c>
      <c r="M30">
        <f>SUMPRODUCT((M_BOM[Part Name]=$A30)*M_BOM[RM_Qty_Per_Batch]*IFERROR(INDEX(PP_Grid[#Data],M_BOM[PPGridRow],13),0))</f>
        <v/>
      </c>
      <c r="N30">
        <f>SUMPRODUCT((M_BOM[Part Name]=$A30)*M_BOM[RM_Qty_Per_Batch]*IFERROR(INDEX(PP_Grid[#Data],M_BOM[PPGridRow],14),0))</f>
        <v/>
      </c>
      <c r="O30">
        <f>SUMPRODUCT((M_BOM[Part Name]=$A30)*M_BOM[RM_Qty_Per_Batch]*IFERROR(INDEX(PP_Grid[#Data],M_BOM[PPGridRow],15),0))</f>
        <v/>
      </c>
      <c r="P30">
        <f>SUMPRODUCT((M_BOM[Part Name]=$A30)*M_BOM[RM_Qty_Per_Batch]*IFERROR(INDEX(PP_Grid[#Data],M_BOM[PPGridRow],16),0))</f>
        <v/>
      </c>
      <c r="Q30">
        <f>SUMPRODUCT((M_BOM[Part Name]=$A30)*M_BOM[RM_Qty_Per_Batch]*IFERROR(INDEX(PP_Grid[#Data],M_BOM[PPGridRow],17),0))</f>
        <v/>
      </c>
      <c r="R30">
        <f>SUMPRODUCT((M_BOM[Part Name]=$A30)*M_BOM[RM_Qty_Per_Batch]*IFERROR(INDEX(PP_Grid[#Data],M_BOM[PPGridRow],18),0))</f>
        <v/>
      </c>
      <c r="S30">
        <f>SUMPRODUCT((M_BOM[Part Name]=$A30)*M_BOM[RM_Qty_Per_Batch]*IFERROR(INDEX(PP_Grid[#Data],M_BOM[PPGridRow],19),0))</f>
        <v/>
      </c>
      <c r="T30">
        <f>SUMPRODUCT((M_BOM[Part Name]=$A30)*M_BOM[RM_Qty_Per_Batch]*IFERROR(INDEX(PP_Grid[#Data],M_BOM[PPGridRow],20),0))</f>
        <v/>
      </c>
      <c r="U30">
        <f>SUMPRODUCT((M_BOM[Part Name]=$A30)*M_BOM[RM_Qty_Per_Batch]*IFERROR(INDEX(PP_Grid[#Data],M_BOM[PPGridRow],21),0))</f>
        <v/>
      </c>
      <c r="V30">
        <f>SUMPRODUCT((M_BOM[Part Name]=$A30)*M_BOM[RM_Qty_Per_Batch]*IFERROR(INDEX(PP_Grid[#Data],M_BOM[PPGridRow],22),0))</f>
        <v/>
      </c>
      <c r="W30">
        <f>SUMPRODUCT((M_BOM[Part Name]=$A30)*M_BOM[RM_Qty_Per_Batch]*IFERROR(INDEX(PP_Grid[#Data],M_BOM[PPGridRow],23),0))</f>
        <v/>
      </c>
      <c r="X30">
        <f>SUMPRODUCT((M_BOM[Part Name]=$A30)*M_BOM[RM_Qty_Per_Batch]*IFERROR(INDEX(PP_Grid[#Data],M_BOM[PPGridRow],24),0))</f>
        <v/>
      </c>
      <c r="Y30">
        <f>SUMPRODUCT((M_BOM[Part Name]=$A30)*M_BOM[RM_Qty_Per_Batch]*IFERROR(INDEX(PP_Grid[#Data],M_BOM[PPGridRow],25),0))</f>
        <v/>
      </c>
      <c r="Z30">
        <f>SUMPRODUCT((M_BOM[Part Name]=$A30)*M_BOM[RM_Qty_Per_Batch]*IFERROR(INDEX(PP_Grid[#Data],M_BOM[PPGridRow],26),0))</f>
        <v/>
      </c>
      <c r="AA30">
        <f>SUMPRODUCT((M_BOM[Part Name]=$A30)*M_BOM[RM_Qty_Per_Batch]*IFERROR(INDEX(PP_Grid[#Data],M_BOM[PPGridRow],27),0))</f>
        <v/>
      </c>
      <c r="AB30">
        <f>SUMPRODUCT((M_BOM[Part Name]=$A30)*M_BOM[RM_Qty_Per_Batch]*IFERROR(INDEX(PP_Grid[#Data],M_BOM[PPGridRow],28),0))</f>
        <v/>
      </c>
      <c r="AC30">
        <f>SUMPRODUCT((M_BOM[Part Name]=$A30)*M_BOM[RM_Qty_Per_Batch]*IFERROR(INDEX(PP_Grid[#Data],M_BOM[PPGridRow],29),0))</f>
        <v/>
      </c>
      <c r="AD30">
        <f>SUMPRODUCT((M_BOM[Part Name]=$A30)*M_BOM[RM_Qty_Per_Batch]*IFERROR(INDEX(PP_Grid[#Data],M_BOM[PPGridRow],30),0))</f>
        <v/>
      </c>
      <c r="AE30">
        <f>SUMPRODUCT((M_BOM[Part Name]=$A30)*M_BOM[RM_Qty_Per_Batch]*IFERROR(INDEX(PP_Grid[#Data],M_BOM[PPGridRow],31),0))</f>
        <v/>
      </c>
      <c r="AF30">
        <f>SUMPRODUCT((M_BOM[Part Name]=$A30)*M_BOM[RM_Qty_Per_Batch]*IFERROR(INDEX(PP_Grid[#Data],M_BOM[PPGridRow],32),0))</f>
        <v/>
      </c>
      <c r="AG30">
        <f>SUMPRODUCT((M_BOM[Part Name]=$A30)*M_BOM[RM_Qty_Per_Batch]*IFERROR(INDEX(PP_Grid[#Data],M_BOM[PPGridRow],33),0))</f>
        <v/>
      </c>
      <c r="AH30">
        <f>SUMPRODUCT((M_BOM[Part Name]=$A30)*M_BOM[RM_Qty_Per_Batch]*IFERROR(INDEX(PP_Grid[#Data],M_BOM[PPGridRow],34),0))</f>
        <v/>
      </c>
      <c r="AI30">
        <f>SUMPRODUCT((M_BOM[Part Name]=$A30)*M_BOM[RM_Qty_Per_Batch]*IFERROR(INDEX(PP_Grid[#Data],M_BOM[PPGridRow],35),0))</f>
        <v/>
      </c>
      <c r="AJ30">
        <f>SUMPRODUCT((M_BOM[Part Name]=$A30)*M_BOM[RM_Qty_Per_Batch]*IFERROR(INDEX(PP_Grid[#Data],M_BOM[PPGridRow],36),0))</f>
        <v/>
      </c>
      <c r="AK30">
        <f>SUMPRODUCT((M_BOM[Part Name]=$A30)*M_BOM[RM_Qty_Per_Batch]*IFERROR(INDEX(PP_Grid[#Data],M_BOM[PPGridRow],37),0))</f>
        <v/>
      </c>
      <c r="AL30">
        <f>SUMPRODUCT((M_BOM[Part Name]=$A30)*M_BOM[RM_Qty_Per_Batch]*IFERROR(INDEX(PP_Grid[#Data],M_BOM[PPGridRow],38),0))</f>
        <v/>
      </c>
      <c r="AM30">
        <f>SUMPRODUCT((M_BOM[Part Name]=$A30)*M_BOM[RM_Qty_Per_Batch]*IFERROR(INDEX(PP_Grid[#Data],M_BOM[PPGridRow],39),0))</f>
        <v/>
      </c>
      <c r="AN30">
        <f>SUMPRODUCT((M_BOM[Part Name]=$A30)*M_BOM[RM_Qty_Per_Batch]*IFERROR(INDEX(PP_Grid[#Data],M_BOM[PPGridRow],40),0))</f>
        <v/>
      </c>
      <c r="AO30">
        <f>SUMPRODUCT((M_BOM[Part Name]=$A30)*M_BOM[RM_Qty_Per_Batch]*IFERROR(INDEX(PP_Grid[#Data],M_BOM[PPGridRow],41),0))</f>
        <v/>
      </c>
      <c r="AP30">
        <f>SUMPRODUCT((M_BOM[Part Name]=$A30)*M_BOM[RM_Qty_Per_Batch]*IFERROR(INDEX(PP_Grid[#Data],M_BOM[PPGridRow],42),0))</f>
        <v/>
      </c>
      <c r="AQ30">
        <f>SUMPRODUCT((M_BOM[Part Name]=$A30)*M_BOM[RM_Qty_Per_Batch]*IFERROR(INDEX(PP_Grid[#Data],M_BOM[PPGridRow],43),0))</f>
        <v/>
      </c>
      <c r="AR30">
        <f>SUMPRODUCT((M_BOM[Part Name]=$A30)*M_BOM[RM_Qty_Per_Batch]*IFERROR(INDEX(PP_Grid[#Data],M_BOM[PPGridRow],44),0))</f>
        <v/>
      </c>
      <c r="AS30">
        <f>SUMPRODUCT((M_BOM[Part Name]=$A30)*M_BOM[RM_Qty_Per_Batch]*IFERROR(INDEX(PP_Grid[#Data],M_BOM[PPGridRow],45),0))</f>
        <v/>
      </c>
      <c r="AT30">
        <f>SUMPRODUCT((M_BOM[Part Name]=$A30)*M_BOM[RM_Qty_Per_Batch]*IFERROR(INDEX(PP_Grid[#Data],M_BOM[PPGridRow],46),0))</f>
        <v/>
      </c>
      <c r="AU30">
        <f>SUMPRODUCT((M_BOM[Part Name]=$A30)*M_BOM[RM_Qty_Per_Batch]*IFERROR(INDEX(PP_Grid[#Data],M_BOM[PPGridRow],47),0))</f>
        <v/>
      </c>
      <c r="AV30">
        <f>SUMPRODUCT((M_BOM[Part Name]=$A30)*M_BOM[RM_Qty_Per_Batch]*IFERROR(INDEX(PP_Grid[#Data],M_BOM[PPGridRow],48),0))</f>
        <v/>
      </c>
      <c r="AW30">
        <f>SUMPRODUCT((M_BOM[Part Name]=$A30)*M_BOM[RM_Qty_Per_Batch]*IFERROR(INDEX(PP_Grid[#Data],M_BOM[PPGridRow],49),0))</f>
        <v/>
      </c>
      <c r="AX30">
        <f>SUMPRODUCT((M_BOM[Part Name]=$A30)*M_BOM[RM_Qty_Per_Batch]*IFERROR(INDEX(PP_Grid[#Data],M_BOM[PPGridRow],50),0))</f>
        <v/>
      </c>
      <c r="AY30">
        <f>SUMPRODUCT((M_BOM[Part Name]=$A30)*M_BOM[RM_Qty_Per_Batch]*IFERROR(INDEX(PP_Grid[#Data],M_BOM[PPGridRow],51),0))</f>
        <v/>
      </c>
      <c r="AZ30">
        <f>SUMPRODUCT((M_BOM[Part Name]=$A30)*M_BOM[RM_Qty_Per_Batch]*IFERROR(INDEX(PP_Grid[#Data],M_BOM[PPGridRow],52),0))</f>
        <v/>
      </c>
      <c r="BA30">
        <f>SUMPRODUCT((M_BOM[Part Name]=$A30)*M_BOM[RM_Qty_Per_Batch]*IFERROR(INDEX(PP_Grid[#Data],M_BOM[PPGridRow],53),0))</f>
        <v/>
      </c>
      <c r="BB30">
        <f>SUMPRODUCT((M_BOM[Part Name]=$A30)*M_BOM[RM_Qty_Per_Batch]*IFERROR(INDEX(PP_Grid[#Data],M_BOM[PPGridRow],54),0))</f>
        <v/>
      </c>
      <c r="BC30">
        <f>SUMPRODUCT((M_BOM[Part Name]=$A30)*M_BOM[RM_Qty_Per_Batch]*IFERROR(INDEX(PP_Grid[#Data],M_BOM[PPGridRow],55),0))</f>
        <v/>
      </c>
      <c r="BD30">
        <f>SUMPRODUCT((M_BOM[Part Name]=$A30)*M_BOM[RM_Qty_Per_Batch]*IFERROR(INDEX(PP_Grid[#Data],M_BOM[PPGridRow],56),0))</f>
        <v/>
      </c>
      <c r="BE30">
        <f>SUMPRODUCT((M_BOM[Part Name]=$A30)*M_BOM[RM_Qty_Per_Batch]*IFERROR(INDEX(PP_Grid[#Data],M_BOM[PPGridRow],57),0))</f>
        <v/>
      </c>
      <c r="BF30">
        <f>SUMPRODUCT((M_BOM[Part Name]=$A30)*M_BOM[RM_Qty_Per_Batch]*IFERROR(INDEX(PP_Grid[#Data],M_BOM[PPGridRow],58),0))</f>
        <v/>
      </c>
      <c r="BG30">
        <f>SUMPRODUCT((M_BOM[Part Name]=$A30)*M_BOM[RM_Qty_Per_Batch]*IFERROR(INDEX(PP_Grid[#Data],M_BOM[PPGridRow],59),0))</f>
        <v/>
      </c>
      <c r="BH30">
        <f>SUMPRODUCT((M_BOM[Part Name]=$A30)*M_BOM[RM_Qty_Per_Batch]*IFERROR(INDEX(PP_Grid[#Data],M_BOM[PPGridRow],60),0))</f>
        <v/>
      </c>
      <c r="BI30">
        <f>SUMPRODUCT((M_BOM[Part Name]=$A30)*M_BOM[RM_Qty_Per_Batch]*IFERROR(INDEX(PP_Grid[#Data],M_BOM[PPGridRow],61),0))</f>
        <v/>
      </c>
      <c r="BJ30">
        <f>SUMPRODUCT((M_BOM[Part Name]=$A30)*M_BOM[RM_Qty_Per_Batch]*IFERROR(INDEX(PP_Grid[#Data],M_BOM[PPGridRow],62),0))</f>
        <v/>
      </c>
      <c r="BK30">
        <f>SUMPRODUCT((M_BOM[Part Name]=$A30)*M_BOM[RM_Qty_Per_Batch]*IFERROR(INDEX(PP_Grid[#Data],M_BOM[PPGridRow],63),0))</f>
        <v/>
      </c>
      <c r="BL30">
        <f>SUMPRODUCT((M_BOM[Part Name]=$A30)*M_BOM[RM_Qty_Per_Batch]*IFERROR(INDEX(PP_Grid[#Data],M_BOM[PPGridRow],64),0))</f>
        <v/>
      </c>
      <c r="BM30">
        <f>SUMPRODUCT((M_BOM[Part Name]=$A30)*M_BOM[RM_Qty_Per_Batch]*IFERROR(INDEX(PP_Grid[#Data],M_BOM[PPGridRow],65),0))</f>
        <v/>
      </c>
      <c r="BN30">
        <f>SUMPRODUCT((M_BOM[Part Name]=$A30)*M_BOM[RM_Qty_Per_Batch]*IFERROR(INDEX(PP_Grid[#Data],M_BOM[PPGridRow],66),0))</f>
        <v/>
      </c>
      <c r="BO30">
        <f>SUMPRODUCT((M_BOM[Part Name]=$A30)*M_BOM[RM_Qty_Per_Batch]*IFERROR(INDEX(PP_Grid[#Data],M_BOM[PPGridRow],67),0))</f>
        <v/>
      </c>
      <c r="BP30">
        <f>SUMPRODUCT((M_BOM[Part Name]=$A30)*M_BOM[RM_Qty_Per_Batch]*IFERROR(INDEX(PP_Grid[#Data],M_BOM[PPGridRow],68),0))</f>
        <v/>
      </c>
      <c r="BQ30">
        <f>SUMPRODUCT((M_BOM[Part Name]=$A30)*M_BOM[RM_Qty_Per_Batch]*IFERROR(INDEX(PP_Grid[#Data],M_BOM[PPGridRow],69),0))</f>
        <v/>
      </c>
      <c r="BR30">
        <f>SUMPRODUCT((M_BOM[Part Name]=$A30)*M_BOM[RM_Qty_Per_Batch]*IFERROR(INDEX(PP_Grid[#Data],M_BOM[PPGridRow],70),0))</f>
        <v/>
      </c>
      <c r="BS30">
        <f>SUMPRODUCT((M_BOM[Part Name]=$A30)*M_BOM[RM_Qty_Per_Batch]*IFERROR(INDEX(PP_Grid[#Data],M_BOM[PPGridRow],71),0))</f>
        <v/>
      </c>
      <c r="BT30">
        <f>SUMPRODUCT((M_BOM[Part Name]=$A30)*M_BOM[RM_Qty_Per_Batch]*IFERROR(INDEX(PP_Grid[#Data],M_BOM[PPGridRow],72),0))</f>
        <v/>
      </c>
      <c r="BU30">
        <f>SUMPRODUCT((M_BOM[Part Name]=$A30)*M_BOM[RM_Qty_Per_Batch]*IFERROR(INDEX(PP_Grid[#Data],M_BOM[PPGridRow],73),0))</f>
        <v/>
      </c>
      <c r="BV30">
        <f>SUMPRODUCT((M_BOM[Part Name]=$A30)*M_BOM[RM_Qty_Per_Batch]*IFERROR(INDEX(PP_Grid[#Data],M_BOM[PPGridRow],74),0))</f>
        <v/>
      </c>
      <c r="BW30">
        <f>SUMPRODUCT((M_BOM[Part Name]=$A30)*M_BOM[RM_Qty_Per_Batch]*IFERROR(INDEX(PP_Grid[#Data],M_BOM[PPGridRow],75),0))</f>
        <v/>
      </c>
      <c r="BX30">
        <f>SUMPRODUCT((M_BOM[Part Name]=$A30)*M_BOM[RM_Qty_Per_Batch]*IFERROR(INDEX(PP_Grid[#Data],M_BOM[PPGridRow],76),0))</f>
        <v/>
      </c>
      <c r="BY30">
        <f>SUMPRODUCT((M_BOM[Part Name]=$A30)*M_BOM[RM_Qty_Per_Batch]*IFERROR(INDEX(PP_Grid[#Data],M_BOM[PPGridRow],77),0))</f>
        <v/>
      </c>
      <c r="BZ30">
        <f>SUMPRODUCT((M_BOM[Part Name]=$A30)*M_BOM[RM_Qty_Per_Batch]*IFERROR(INDEX(PP_Grid[#Data],M_BOM[PPGridRow],78),0))</f>
        <v/>
      </c>
      <c r="CA30">
        <f>SUMPRODUCT((M_BOM[Part Name]=$A30)*M_BOM[RM_Qty_Per_Batch]*IFERROR(INDEX(PP_Grid[#Data],M_BOM[PPGridRow],79),0))</f>
        <v/>
      </c>
      <c r="CB30">
        <f>SUMPRODUCT((M_BOM[Part Name]=$A30)*M_BOM[RM_Qty_Per_Batch]*IFERROR(INDEX(PP_Grid[#Data],M_BOM[PPGridRow],80),0))</f>
        <v/>
      </c>
      <c r="CC30">
        <f>SUMPRODUCT((M_BOM[Part Name]=$A30)*M_BOM[RM_Qty_Per_Batch]*IFERROR(INDEX(PP_Grid[#Data],M_BOM[PPGridRow],81),0))</f>
        <v/>
      </c>
      <c r="CD30">
        <f>SUMPRODUCT((M_BOM[Part Name]=$A30)*M_BOM[RM_Qty_Per_Batch]*IFERROR(INDEX(PP_Grid[#Data],M_BOM[PPGridRow],82),0))</f>
        <v/>
      </c>
      <c r="CE30">
        <f>SUMPRODUCT((M_BOM[Part Name]=$A30)*M_BOM[RM_Qty_Per_Batch]*IFERROR(INDEX(PP_Grid[#Data],M_BOM[PPGridRow],83),0))</f>
        <v/>
      </c>
      <c r="CF30">
        <f>SUMPRODUCT((M_BOM[Part Name]=$A30)*M_BOM[RM_Qty_Per_Batch]*IFERROR(INDEX(PP_Grid[#Data],M_BOM[PPGridRow],84),0))</f>
        <v/>
      </c>
      <c r="CG30">
        <f>SUMPRODUCT((M_BOM[Part Name]=$A30)*M_BOM[RM_Qty_Per_Batch]*IFERROR(INDEX(PP_Grid[#Data],M_BOM[PPGridRow],85),0))</f>
        <v/>
      </c>
      <c r="CH30">
        <f>SUMPRODUCT((M_BOM[Part Name]=$A30)*M_BOM[RM_Qty_Per_Batch]*IFERROR(INDEX(PP_Grid[#Data],M_BOM[PPGridRow],86),0))</f>
        <v/>
      </c>
      <c r="CI30">
        <f>SUMPRODUCT((M_BOM[Part Name]=$A30)*M_BOM[RM_Qty_Per_Batch]*IFERROR(INDEX(PP_Grid[#Data],M_BOM[PPGridRow],87),0))</f>
        <v/>
      </c>
      <c r="CJ30">
        <f>SUMPRODUCT((M_BOM[Part Name]=$A30)*M_BOM[RM_Qty_Per_Batch]*IFERROR(INDEX(PP_Grid[#Data],M_BOM[PPGridRow],88),0))</f>
        <v/>
      </c>
      <c r="CK30">
        <f>SUMPRODUCT((M_BOM[Part Name]=$A30)*M_BOM[RM_Qty_Per_Batch]*IFERROR(INDEX(PP_Grid[#Data],M_BOM[PPGridRow],89),0))</f>
        <v/>
      </c>
      <c r="CL30">
        <f>SUMPRODUCT((M_BOM[Part Name]=$A30)*M_BOM[RM_Qty_Per_Batch]*IFERROR(INDEX(PP_Grid[#Data],M_BOM[PPGridRow],90),0))</f>
        <v/>
      </c>
      <c r="CM30">
        <f>SUMPRODUCT((M_BOM[Part Name]=$A30)*M_BOM[RM_Qty_Per_Batch]*IFERROR(INDEX(PP_Grid[#Data],M_BOM[PPGridRow],91),0))</f>
        <v/>
      </c>
      <c r="CN30">
        <f>SUMPRODUCT((M_BOM[Part Name]=$A30)*M_BOM[RM_Qty_Per_Batch]*IFERROR(INDEX(PP_Grid[#Data],M_BOM[PPGridRow],92),0))</f>
        <v/>
      </c>
      <c r="CO30">
        <f>SUMPRODUCT((M_BOM[Part Name]=$A30)*M_BOM[RM_Qty_Per_Batch]*IFERROR(INDEX(PP_Grid[#Data],M_BOM[PPGridRow],93),0))</f>
        <v/>
      </c>
      <c r="CP30">
        <f>SUMPRODUCT((M_BOM[Part Name]=$A30)*M_BOM[RM_Qty_Per_Batch]*IFERROR(INDEX(PP_Grid[#Data],M_BOM[PPGridRow],94),0))</f>
        <v/>
      </c>
      <c r="CQ30">
        <f>SUMPRODUCT((M_BOM[Part Name]=$A30)*M_BOM[RM_Qty_Per_Batch]*IFERROR(INDEX(PP_Grid[#Data],M_BOM[PPGridRow],95),0))</f>
        <v/>
      </c>
      <c r="CR30">
        <f>SUMPRODUCT((M_BOM[Part Name]=$A30)*M_BOM[RM_Qty_Per_Batch]*IFERROR(INDEX(PP_Grid[#Data],M_BOM[PPGridRow],96),0))</f>
        <v/>
      </c>
      <c r="CS30">
        <f>SUMPRODUCT((M_BOM[Part Name]=$A30)*M_BOM[RM_Qty_Per_Batch]*IFERROR(INDEX(PP_Grid[#Data],M_BOM[PPGridRow],97),0))</f>
        <v/>
      </c>
      <c r="CT30">
        <f>SUMPRODUCT((M_BOM[Part Name]=$A30)*M_BOM[RM_Qty_Per_Batch]*IFERROR(INDEX(PP_Grid[#Data],M_BOM[PPGridRow],98),0))</f>
        <v/>
      </c>
      <c r="CU30">
        <f>SUMPRODUCT((M_BOM[Part Name]=$A30)*M_BOM[RM_Qty_Per_Batch]*IFERROR(INDEX(PP_Grid[#Data],M_BOM[PPGridRow],99),0))</f>
        <v/>
      </c>
      <c r="CV30">
        <f>SUMPRODUCT((M_BOM[Part Name]=$A30)*M_BOM[RM_Qty_Per_Batch]*IFERROR(INDEX(PP_Grid[#Data],M_BOM[PPGridRow],100),0))</f>
        <v/>
      </c>
      <c r="CW30">
        <f>SUMPRODUCT((M_BOM[Part Name]=$A30)*M_BOM[RM_Qty_Per_Batch]*IFERROR(INDEX(PP_Grid[#Data],M_BOM[PPGridRow],101),0))</f>
        <v/>
      </c>
      <c r="CX30">
        <f>SUMPRODUCT((M_BOM[Part Name]=$A30)*M_BOM[RM_Qty_Per_Batch]*IFERROR(INDEX(PP_Grid[#Data],M_BOM[PPGridRow],102),0))</f>
        <v/>
      </c>
      <c r="CY30">
        <f>SUMPRODUCT((M_BOM[Part Name]=$A30)*M_BOM[RM_Qty_Per_Batch]*IFERROR(INDEX(PP_Grid[#Data],M_BOM[PPGridRow],103),0))</f>
        <v/>
      </c>
      <c r="CZ30">
        <f>SUMPRODUCT((M_BOM[Part Name]=$A30)*M_BOM[RM_Qty_Per_Batch]*IFERROR(INDEX(PP_Grid[#Data],M_BOM[PPGridRow],104),0))</f>
        <v/>
      </c>
      <c r="DA30">
        <f>SUMPRODUCT((M_BOM[Part Name]=$A30)*M_BOM[RM_Qty_Per_Batch]*IFERROR(INDEX(PP_Grid[#Data],M_BOM[PPGridRow],105),0))</f>
        <v/>
      </c>
    </row>
    <row r="31">
      <c r="A31" t="inlineStr">
        <is>
          <t>CHEM-1730</t>
        </is>
      </c>
      <c r="B31">
        <f>SUMPRODUCT((M_BOM[Part Name]=$A31)*M_BOM[RM_Qty_Per_Batch]*IFERROR(INDEX(PP_Grid[#Data],M_BOM[PPGridRow],2),0))</f>
        <v/>
      </c>
      <c r="C31">
        <f>SUMPRODUCT((M_BOM[Part Name]=$A31)*M_BOM[RM_Qty_Per_Batch]*IFERROR(INDEX(PP_Grid[#Data],M_BOM[PPGridRow],3),0))</f>
        <v/>
      </c>
      <c r="D31">
        <f>SUMPRODUCT((M_BOM[Part Name]=$A31)*M_BOM[RM_Qty_Per_Batch]*IFERROR(INDEX(PP_Grid[#Data],M_BOM[PPGridRow],4),0))</f>
        <v/>
      </c>
      <c r="E31">
        <f>SUMPRODUCT((M_BOM[Part Name]=$A31)*M_BOM[RM_Qty_Per_Batch]*IFERROR(INDEX(PP_Grid[#Data],M_BOM[PPGridRow],5),0))</f>
        <v/>
      </c>
      <c r="F31">
        <f>SUMPRODUCT((M_BOM[Part Name]=$A31)*M_BOM[RM_Qty_Per_Batch]*IFERROR(INDEX(PP_Grid[#Data],M_BOM[PPGridRow],6),0))</f>
        <v/>
      </c>
      <c r="G31">
        <f>SUMPRODUCT((M_BOM[Part Name]=$A31)*M_BOM[RM_Qty_Per_Batch]*IFERROR(INDEX(PP_Grid[#Data],M_BOM[PPGridRow],7),0))</f>
        <v/>
      </c>
      <c r="H31">
        <f>SUMPRODUCT((M_BOM[Part Name]=$A31)*M_BOM[RM_Qty_Per_Batch]*IFERROR(INDEX(PP_Grid[#Data],M_BOM[PPGridRow],8),0))</f>
        <v/>
      </c>
      <c r="I31">
        <f>SUMPRODUCT((M_BOM[Part Name]=$A31)*M_BOM[RM_Qty_Per_Batch]*IFERROR(INDEX(PP_Grid[#Data],M_BOM[PPGridRow],9),0))</f>
        <v/>
      </c>
      <c r="J31">
        <f>SUMPRODUCT((M_BOM[Part Name]=$A31)*M_BOM[RM_Qty_Per_Batch]*IFERROR(INDEX(PP_Grid[#Data],M_BOM[PPGridRow],10),0))</f>
        <v/>
      </c>
      <c r="K31">
        <f>SUMPRODUCT((M_BOM[Part Name]=$A31)*M_BOM[RM_Qty_Per_Batch]*IFERROR(INDEX(PP_Grid[#Data],M_BOM[PPGridRow],11),0))</f>
        <v/>
      </c>
      <c r="L31">
        <f>SUMPRODUCT((M_BOM[Part Name]=$A31)*M_BOM[RM_Qty_Per_Batch]*IFERROR(INDEX(PP_Grid[#Data],M_BOM[PPGridRow],12),0))</f>
        <v/>
      </c>
      <c r="M31">
        <f>SUMPRODUCT((M_BOM[Part Name]=$A31)*M_BOM[RM_Qty_Per_Batch]*IFERROR(INDEX(PP_Grid[#Data],M_BOM[PPGridRow],13),0))</f>
        <v/>
      </c>
      <c r="N31">
        <f>SUMPRODUCT((M_BOM[Part Name]=$A31)*M_BOM[RM_Qty_Per_Batch]*IFERROR(INDEX(PP_Grid[#Data],M_BOM[PPGridRow],14),0))</f>
        <v/>
      </c>
      <c r="O31">
        <f>SUMPRODUCT((M_BOM[Part Name]=$A31)*M_BOM[RM_Qty_Per_Batch]*IFERROR(INDEX(PP_Grid[#Data],M_BOM[PPGridRow],15),0))</f>
        <v/>
      </c>
      <c r="P31">
        <f>SUMPRODUCT((M_BOM[Part Name]=$A31)*M_BOM[RM_Qty_Per_Batch]*IFERROR(INDEX(PP_Grid[#Data],M_BOM[PPGridRow],16),0))</f>
        <v/>
      </c>
      <c r="Q31">
        <f>SUMPRODUCT((M_BOM[Part Name]=$A31)*M_BOM[RM_Qty_Per_Batch]*IFERROR(INDEX(PP_Grid[#Data],M_BOM[PPGridRow],17),0))</f>
        <v/>
      </c>
      <c r="R31">
        <f>SUMPRODUCT((M_BOM[Part Name]=$A31)*M_BOM[RM_Qty_Per_Batch]*IFERROR(INDEX(PP_Grid[#Data],M_BOM[PPGridRow],18),0))</f>
        <v/>
      </c>
      <c r="S31">
        <f>SUMPRODUCT((M_BOM[Part Name]=$A31)*M_BOM[RM_Qty_Per_Batch]*IFERROR(INDEX(PP_Grid[#Data],M_BOM[PPGridRow],19),0))</f>
        <v/>
      </c>
      <c r="T31">
        <f>SUMPRODUCT((M_BOM[Part Name]=$A31)*M_BOM[RM_Qty_Per_Batch]*IFERROR(INDEX(PP_Grid[#Data],M_BOM[PPGridRow],20),0))</f>
        <v/>
      </c>
      <c r="U31">
        <f>SUMPRODUCT((M_BOM[Part Name]=$A31)*M_BOM[RM_Qty_Per_Batch]*IFERROR(INDEX(PP_Grid[#Data],M_BOM[PPGridRow],21),0))</f>
        <v/>
      </c>
      <c r="V31">
        <f>SUMPRODUCT((M_BOM[Part Name]=$A31)*M_BOM[RM_Qty_Per_Batch]*IFERROR(INDEX(PP_Grid[#Data],M_BOM[PPGridRow],22),0))</f>
        <v/>
      </c>
      <c r="W31">
        <f>SUMPRODUCT((M_BOM[Part Name]=$A31)*M_BOM[RM_Qty_Per_Batch]*IFERROR(INDEX(PP_Grid[#Data],M_BOM[PPGridRow],23),0))</f>
        <v/>
      </c>
      <c r="X31">
        <f>SUMPRODUCT((M_BOM[Part Name]=$A31)*M_BOM[RM_Qty_Per_Batch]*IFERROR(INDEX(PP_Grid[#Data],M_BOM[PPGridRow],24),0))</f>
        <v/>
      </c>
      <c r="Y31">
        <f>SUMPRODUCT((M_BOM[Part Name]=$A31)*M_BOM[RM_Qty_Per_Batch]*IFERROR(INDEX(PP_Grid[#Data],M_BOM[PPGridRow],25),0))</f>
        <v/>
      </c>
      <c r="Z31">
        <f>SUMPRODUCT((M_BOM[Part Name]=$A31)*M_BOM[RM_Qty_Per_Batch]*IFERROR(INDEX(PP_Grid[#Data],M_BOM[PPGridRow],26),0))</f>
        <v/>
      </c>
      <c r="AA31">
        <f>SUMPRODUCT((M_BOM[Part Name]=$A31)*M_BOM[RM_Qty_Per_Batch]*IFERROR(INDEX(PP_Grid[#Data],M_BOM[PPGridRow],27),0))</f>
        <v/>
      </c>
      <c r="AB31">
        <f>SUMPRODUCT((M_BOM[Part Name]=$A31)*M_BOM[RM_Qty_Per_Batch]*IFERROR(INDEX(PP_Grid[#Data],M_BOM[PPGridRow],28),0))</f>
        <v/>
      </c>
      <c r="AC31">
        <f>SUMPRODUCT((M_BOM[Part Name]=$A31)*M_BOM[RM_Qty_Per_Batch]*IFERROR(INDEX(PP_Grid[#Data],M_BOM[PPGridRow],29),0))</f>
        <v/>
      </c>
      <c r="AD31">
        <f>SUMPRODUCT((M_BOM[Part Name]=$A31)*M_BOM[RM_Qty_Per_Batch]*IFERROR(INDEX(PP_Grid[#Data],M_BOM[PPGridRow],30),0))</f>
        <v/>
      </c>
      <c r="AE31">
        <f>SUMPRODUCT((M_BOM[Part Name]=$A31)*M_BOM[RM_Qty_Per_Batch]*IFERROR(INDEX(PP_Grid[#Data],M_BOM[PPGridRow],31),0))</f>
        <v/>
      </c>
      <c r="AF31">
        <f>SUMPRODUCT((M_BOM[Part Name]=$A31)*M_BOM[RM_Qty_Per_Batch]*IFERROR(INDEX(PP_Grid[#Data],M_BOM[PPGridRow],32),0))</f>
        <v/>
      </c>
      <c r="AG31">
        <f>SUMPRODUCT((M_BOM[Part Name]=$A31)*M_BOM[RM_Qty_Per_Batch]*IFERROR(INDEX(PP_Grid[#Data],M_BOM[PPGridRow],33),0))</f>
        <v/>
      </c>
      <c r="AH31">
        <f>SUMPRODUCT((M_BOM[Part Name]=$A31)*M_BOM[RM_Qty_Per_Batch]*IFERROR(INDEX(PP_Grid[#Data],M_BOM[PPGridRow],34),0))</f>
        <v/>
      </c>
      <c r="AI31">
        <f>SUMPRODUCT((M_BOM[Part Name]=$A31)*M_BOM[RM_Qty_Per_Batch]*IFERROR(INDEX(PP_Grid[#Data],M_BOM[PPGridRow],35),0))</f>
        <v/>
      </c>
      <c r="AJ31">
        <f>SUMPRODUCT((M_BOM[Part Name]=$A31)*M_BOM[RM_Qty_Per_Batch]*IFERROR(INDEX(PP_Grid[#Data],M_BOM[PPGridRow],36),0))</f>
        <v/>
      </c>
      <c r="AK31">
        <f>SUMPRODUCT((M_BOM[Part Name]=$A31)*M_BOM[RM_Qty_Per_Batch]*IFERROR(INDEX(PP_Grid[#Data],M_BOM[PPGridRow],37),0))</f>
        <v/>
      </c>
      <c r="AL31">
        <f>SUMPRODUCT((M_BOM[Part Name]=$A31)*M_BOM[RM_Qty_Per_Batch]*IFERROR(INDEX(PP_Grid[#Data],M_BOM[PPGridRow],38),0))</f>
        <v/>
      </c>
      <c r="AM31">
        <f>SUMPRODUCT((M_BOM[Part Name]=$A31)*M_BOM[RM_Qty_Per_Batch]*IFERROR(INDEX(PP_Grid[#Data],M_BOM[PPGridRow],39),0))</f>
        <v/>
      </c>
      <c r="AN31">
        <f>SUMPRODUCT((M_BOM[Part Name]=$A31)*M_BOM[RM_Qty_Per_Batch]*IFERROR(INDEX(PP_Grid[#Data],M_BOM[PPGridRow],40),0))</f>
        <v/>
      </c>
      <c r="AO31">
        <f>SUMPRODUCT((M_BOM[Part Name]=$A31)*M_BOM[RM_Qty_Per_Batch]*IFERROR(INDEX(PP_Grid[#Data],M_BOM[PPGridRow],41),0))</f>
        <v/>
      </c>
      <c r="AP31">
        <f>SUMPRODUCT((M_BOM[Part Name]=$A31)*M_BOM[RM_Qty_Per_Batch]*IFERROR(INDEX(PP_Grid[#Data],M_BOM[PPGridRow],42),0))</f>
        <v/>
      </c>
      <c r="AQ31">
        <f>SUMPRODUCT((M_BOM[Part Name]=$A31)*M_BOM[RM_Qty_Per_Batch]*IFERROR(INDEX(PP_Grid[#Data],M_BOM[PPGridRow],43),0))</f>
        <v/>
      </c>
      <c r="AR31">
        <f>SUMPRODUCT((M_BOM[Part Name]=$A31)*M_BOM[RM_Qty_Per_Batch]*IFERROR(INDEX(PP_Grid[#Data],M_BOM[PPGridRow],44),0))</f>
        <v/>
      </c>
      <c r="AS31">
        <f>SUMPRODUCT((M_BOM[Part Name]=$A31)*M_BOM[RM_Qty_Per_Batch]*IFERROR(INDEX(PP_Grid[#Data],M_BOM[PPGridRow],45),0))</f>
        <v/>
      </c>
      <c r="AT31">
        <f>SUMPRODUCT((M_BOM[Part Name]=$A31)*M_BOM[RM_Qty_Per_Batch]*IFERROR(INDEX(PP_Grid[#Data],M_BOM[PPGridRow],46),0))</f>
        <v/>
      </c>
      <c r="AU31">
        <f>SUMPRODUCT((M_BOM[Part Name]=$A31)*M_BOM[RM_Qty_Per_Batch]*IFERROR(INDEX(PP_Grid[#Data],M_BOM[PPGridRow],47),0))</f>
        <v/>
      </c>
      <c r="AV31">
        <f>SUMPRODUCT((M_BOM[Part Name]=$A31)*M_BOM[RM_Qty_Per_Batch]*IFERROR(INDEX(PP_Grid[#Data],M_BOM[PPGridRow],48),0))</f>
        <v/>
      </c>
      <c r="AW31">
        <f>SUMPRODUCT((M_BOM[Part Name]=$A31)*M_BOM[RM_Qty_Per_Batch]*IFERROR(INDEX(PP_Grid[#Data],M_BOM[PPGridRow],49),0))</f>
        <v/>
      </c>
      <c r="AX31">
        <f>SUMPRODUCT((M_BOM[Part Name]=$A31)*M_BOM[RM_Qty_Per_Batch]*IFERROR(INDEX(PP_Grid[#Data],M_BOM[PPGridRow],50),0))</f>
        <v/>
      </c>
      <c r="AY31">
        <f>SUMPRODUCT((M_BOM[Part Name]=$A31)*M_BOM[RM_Qty_Per_Batch]*IFERROR(INDEX(PP_Grid[#Data],M_BOM[PPGridRow],51),0))</f>
        <v/>
      </c>
      <c r="AZ31">
        <f>SUMPRODUCT((M_BOM[Part Name]=$A31)*M_BOM[RM_Qty_Per_Batch]*IFERROR(INDEX(PP_Grid[#Data],M_BOM[PPGridRow],52),0))</f>
        <v/>
      </c>
      <c r="BA31">
        <f>SUMPRODUCT((M_BOM[Part Name]=$A31)*M_BOM[RM_Qty_Per_Batch]*IFERROR(INDEX(PP_Grid[#Data],M_BOM[PPGridRow],53),0))</f>
        <v/>
      </c>
      <c r="BB31">
        <f>SUMPRODUCT((M_BOM[Part Name]=$A31)*M_BOM[RM_Qty_Per_Batch]*IFERROR(INDEX(PP_Grid[#Data],M_BOM[PPGridRow],54),0))</f>
        <v/>
      </c>
      <c r="BC31">
        <f>SUMPRODUCT((M_BOM[Part Name]=$A31)*M_BOM[RM_Qty_Per_Batch]*IFERROR(INDEX(PP_Grid[#Data],M_BOM[PPGridRow],55),0))</f>
        <v/>
      </c>
      <c r="BD31">
        <f>SUMPRODUCT((M_BOM[Part Name]=$A31)*M_BOM[RM_Qty_Per_Batch]*IFERROR(INDEX(PP_Grid[#Data],M_BOM[PPGridRow],56),0))</f>
        <v/>
      </c>
      <c r="BE31">
        <f>SUMPRODUCT((M_BOM[Part Name]=$A31)*M_BOM[RM_Qty_Per_Batch]*IFERROR(INDEX(PP_Grid[#Data],M_BOM[PPGridRow],57),0))</f>
        <v/>
      </c>
      <c r="BF31">
        <f>SUMPRODUCT((M_BOM[Part Name]=$A31)*M_BOM[RM_Qty_Per_Batch]*IFERROR(INDEX(PP_Grid[#Data],M_BOM[PPGridRow],58),0))</f>
        <v/>
      </c>
      <c r="BG31">
        <f>SUMPRODUCT((M_BOM[Part Name]=$A31)*M_BOM[RM_Qty_Per_Batch]*IFERROR(INDEX(PP_Grid[#Data],M_BOM[PPGridRow],59),0))</f>
        <v/>
      </c>
      <c r="BH31">
        <f>SUMPRODUCT((M_BOM[Part Name]=$A31)*M_BOM[RM_Qty_Per_Batch]*IFERROR(INDEX(PP_Grid[#Data],M_BOM[PPGridRow],60),0))</f>
        <v/>
      </c>
      <c r="BI31">
        <f>SUMPRODUCT((M_BOM[Part Name]=$A31)*M_BOM[RM_Qty_Per_Batch]*IFERROR(INDEX(PP_Grid[#Data],M_BOM[PPGridRow],61),0))</f>
        <v/>
      </c>
      <c r="BJ31">
        <f>SUMPRODUCT((M_BOM[Part Name]=$A31)*M_BOM[RM_Qty_Per_Batch]*IFERROR(INDEX(PP_Grid[#Data],M_BOM[PPGridRow],62),0))</f>
        <v/>
      </c>
      <c r="BK31">
        <f>SUMPRODUCT((M_BOM[Part Name]=$A31)*M_BOM[RM_Qty_Per_Batch]*IFERROR(INDEX(PP_Grid[#Data],M_BOM[PPGridRow],63),0))</f>
        <v/>
      </c>
      <c r="BL31">
        <f>SUMPRODUCT((M_BOM[Part Name]=$A31)*M_BOM[RM_Qty_Per_Batch]*IFERROR(INDEX(PP_Grid[#Data],M_BOM[PPGridRow],64),0))</f>
        <v/>
      </c>
      <c r="BM31">
        <f>SUMPRODUCT((M_BOM[Part Name]=$A31)*M_BOM[RM_Qty_Per_Batch]*IFERROR(INDEX(PP_Grid[#Data],M_BOM[PPGridRow],65),0))</f>
        <v/>
      </c>
      <c r="BN31">
        <f>SUMPRODUCT((M_BOM[Part Name]=$A31)*M_BOM[RM_Qty_Per_Batch]*IFERROR(INDEX(PP_Grid[#Data],M_BOM[PPGridRow],66),0))</f>
        <v/>
      </c>
      <c r="BO31">
        <f>SUMPRODUCT((M_BOM[Part Name]=$A31)*M_BOM[RM_Qty_Per_Batch]*IFERROR(INDEX(PP_Grid[#Data],M_BOM[PPGridRow],67),0))</f>
        <v/>
      </c>
      <c r="BP31">
        <f>SUMPRODUCT((M_BOM[Part Name]=$A31)*M_BOM[RM_Qty_Per_Batch]*IFERROR(INDEX(PP_Grid[#Data],M_BOM[PPGridRow],68),0))</f>
        <v/>
      </c>
      <c r="BQ31">
        <f>SUMPRODUCT((M_BOM[Part Name]=$A31)*M_BOM[RM_Qty_Per_Batch]*IFERROR(INDEX(PP_Grid[#Data],M_BOM[PPGridRow],69),0))</f>
        <v/>
      </c>
      <c r="BR31">
        <f>SUMPRODUCT((M_BOM[Part Name]=$A31)*M_BOM[RM_Qty_Per_Batch]*IFERROR(INDEX(PP_Grid[#Data],M_BOM[PPGridRow],70),0))</f>
        <v/>
      </c>
      <c r="BS31">
        <f>SUMPRODUCT((M_BOM[Part Name]=$A31)*M_BOM[RM_Qty_Per_Batch]*IFERROR(INDEX(PP_Grid[#Data],M_BOM[PPGridRow],71),0))</f>
        <v/>
      </c>
      <c r="BT31">
        <f>SUMPRODUCT((M_BOM[Part Name]=$A31)*M_BOM[RM_Qty_Per_Batch]*IFERROR(INDEX(PP_Grid[#Data],M_BOM[PPGridRow],72),0))</f>
        <v/>
      </c>
      <c r="BU31">
        <f>SUMPRODUCT((M_BOM[Part Name]=$A31)*M_BOM[RM_Qty_Per_Batch]*IFERROR(INDEX(PP_Grid[#Data],M_BOM[PPGridRow],73),0))</f>
        <v/>
      </c>
      <c r="BV31">
        <f>SUMPRODUCT((M_BOM[Part Name]=$A31)*M_BOM[RM_Qty_Per_Batch]*IFERROR(INDEX(PP_Grid[#Data],M_BOM[PPGridRow],74),0))</f>
        <v/>
      </c>
      <c r="BW31">
        <f>SUMPRODUCT((M_BOM[Part Name]=$A31)*M_BOM[RM_Qty_Per_Batch]*IFERROR(INDEX(PP_Grid[#Data],M_BOM[PPGridRow],75),0))</f>
        <v/>
      </c>
      <c r="BX31">
        <f>SUMPRODUCT((M_BOM[Part Name]=$A31)*M_BOM[RM_Qty_Per_Batch]*IFERROR(INDEX(PP_Grid[#Data],M_BOM[PPGridRow],76),0))</f>
        <v/>
      </c>
      <c r="BY31">
        <f>SUMPRODUCT((M_BOM[Part Name]=$A31)*M_BOM[RM_Qty_Per_Batch]*IFERROR(INDEX(PP_Grid[#Data],M_BOM[PPGridRow],77),0))</f>
        <v/>
      </c>
      <c r="BZ31">
        <f>SUMPRODUCT((M_BOM[Part Name]=$A31)*M_BOM[RM_Qty_Per_Batch]*IFERROR(INDEX(PP_Grid[#Data],M_BOM[PPGridRow],78),0))</f>
        <v/>
      </c>
      <c r="CA31">
        <f>SUMPRODUCT((M_BOM[Part Name]=$A31)*M_BOM[RM_Qty_Per_Batch]*IFERROR(INDEX(PP_Grid[#Data],M_BOM[PPGridRow],79),0))</f>
        <v/>
      </c>
      <c r="CB31">
        <f>SUMPRODUCT((M_BOM[Part Name]=$A31)*M_BOM[RM_Qty_Per_Batch]*IFERROR(INDEX(PP_Grid[#Data],M_BOM[PPGridRow],80),0))</f>
        <v/>
      </c>
      <c r="CC31">
        <f>SUMPRODUCT((M_BOM[Part Name]=$A31)*M_BOM[RM_Qty_Per_Batch]*IFERROR(INDEX(PP_Grid[#Data],M_BOM[PPGridRow],81),0))</f>
        <v/>
      </c>
      <c r="CD31">
        <f>SUMPRODUCT((M_BOM[Part Name]=$A31)*M_BOM[RM_Qty_Per_Batch]*IFERROR(INDEX(PP_Grid[#Data],M_BOM[PPGridRow],82),0))</f>
        <v/>
      </c>
      <c r="CE31">
        <f>SUMPRODUCT((M_BOM[Part Name]=$A31)*M_BOM[RM_Qty_Per_Batch]*IFERROR(INDEX(PP_Grid[#Data],M_BOM[PPGridRow],83),0))</f>
        <v/>
      </c>
      <c r="CF31">
        <f>SUMPRODUCT((M_BOM[Part Name]=$A31)*M_BOM[RM_Qty_Per_Batch]*IFERROR(INDEX(PP_Grid[#Data],M_BOM[PPGridRow],84),0))</f>
        <v/>
      </c>
      <c r="CG31">
        <f>SUMPRODUCT((M_BOM[Part Name]=$A31)*M_BOM[RM_Qty_Per_Batch]*IFERROR(INDEX(PP_Grid[#Data],M_BOM[PPGridRow],85),0))</f>
        <v/>
      </c>
      <c r="CH31">
        <f>SUMPRODUCT((M_BOM[Part Name]=$A31)*M_BOM[RM_Qty_Per_Batch]*IFERROR(INDEX(PP_Grid[#Data],M_BOM[PPGridRow],86),0))</f>
        <v/>
      </c>
      <c r="CI31">
        <f>SUMPRODUCT((M_BOM[Part Name]=$A31)*M_BOM[RM_Qty_Per_Batch]*IFERROR(INDEX(PP_Grid[#Data],M_BOM[PPGridRow],87),0))</f>
        <v/>
      </c>
      <c r="CJ31">
        <f>SUMPRODUCT((M_BOM[Part Name]=$A31)*M_BOM[RM_Qty_Per_Batch]*IFERROR(INDEX(PP_Grid[#Data],M_BOM[PPGridRow],88),0))</f>
        <v/>
      </c>
      <c r="CK31">
        <f>SUMPRODUCT((M_BOM[Part Name]=$A31)*M_BOM[RM_Qty_Per_Batch]*IFERROR(INDEX(PP_Grid[#Data],M_BOM[PPGridRow],89),0))</f>
        <v/>
      </c>
      <c r="CL31">
        <f>SUMPRODUCT((M_BOM[Part Name]=$A31)*M_BOM[RM_Qty_Per_Batch]*IFERROR(INDEX(PP_Grid[#Data],M_BOM[PPGridRow],90),0))</f>
        <v/>
      </c>
      <c r="CM31">
        <f>SUMPRODUCT((M_BOM[Part Name]=$A31)*M_BOM[RM_Qty_Per_Batch]*IFERROR(INDEX(PP_Grid[#Data],M_BOM[PPGridRow],91),0))</f>
        <v/>
      </c>
      <c r="CN31">
        <f>SUMPRODUCT((M_BOM[Part Name]=$A31)*M_BOM[RM_Qty_Per_Batch]*IFERROR(INDEX(PP_Grid[#Data],M_BOM[PPGridRow],92),0))</f>
        <v/>
      </c>
      <c r="CO31">
        <f>SUMPRODUCT((M_BOM[Part Name]=$A31)*M_BOM[RM_Qty_Per_Batch]*IFERROR(INDEX(PP_Grid[#Data],M_BOM[PPGridRow],93),0))</f>
        <v/>
      </c>
      <c r="CP31">
        <f>SUMPRODUCT((M_BOM[Part Name]=$A31)*M_BOM[RM_Qty_Per_Batch]*IFERROR(INDEX(PP_Grid[#Data],M_BOM[PPGridRow],94),0))</f>
        <v/>
      </c>
      <c r="CQ31">
        <f>SUMPRODUCT((M_BOM[Part Name]=$A31)*M_BOM[RM_Qty_Per_Batch]*IFERROR(INDEX(PP_Grid[#Data],M_BOM[PPGridRow],95),0))</f>
        <v/>
      </c>
      <c r="CR31">
        <f>SUMPRODUCT((M_BOM[Part Name]=$A31)*M_BOM[RM_Qty_Per_Batch]*IFERROR(INDEX(PP_Grid[#Data],M_BOM[PPGridRow],96),0))</f>
        <v/>
      </c>
      <c r="CS31">
        <f>SUMPRODUCT((M_BOM[Part Name]=$A31)*M_BOM[RM_Qty_Per_Batch]*IFERROR(INDEX(PP_Grid[#Data],M_BOM[PPGridRow],97),0))</f>
        <v/>
      </c>
      <c r="CT31">
        <f>SUMPRODUCT((M_BOM[Part Name]=$A31)*M_BOM[RM_Qty_Per_Batch]*IFERROR(INDEX(PP_Grid[#Data],M_BOM[PPGridRow],98),0))</f>
        <v/>
      </c>
      <c r="CU31">
        <f>SUMPRODUCT((M_BOM[Part Name]=$A31)*M_BOM[RM_Qty_Per_Batch]*IFERROR(INDEX(PP_Grid[#Data],M_BOM[PPGridRow],99),0))</f>
        <v/>
      </c>
      <c r="CV31">
        <f>SUMPRODUCT((M_BOM[Part Name]=$A31)*M_BOM[RM_Qty_Per_Batch]*IFERROR(INDEX(PP_Grid[#Data],M_BOM[PPGridRow],100),0))</f>
        <v/>
      </c>
      <c r="CW31">
        <f>SUMPRODUCT((M_BOM[Part Name]=$A31)*M_BOM[RM_Qty_Per_Batch]*IFERROR(INDEX(PP_Grid[#Data],M_BOM[PPGridRow],101),0))</f>
        <v/>
      </c>
      <c r="CX31">
        <f>SUMPRODUCT((M_BOM[Part Name]=$A31)*M_BOM[RM_Qty_Per_Batch]*IFERROR(INDEX(PP_Grid[#Data],M_BOM[PPGridRow],102),0))</f>
        <v/>
      </c>
      <c r="CY31">
        <f>SUMPRODUCT((M_BOM[Part Name]=$A31)*M_BOM[RM_Qty_Per_Batch]*IFERROR(INDEX(PP_Grid[#Data],M_BOM[PPGridRow],103),0))</f>
        <v/>
      </c>
      <c r="CZ31">
        <f>SUMPRODUCT((M_BOM[Part Name]=$A31)*M_BOM[RM_Qty_Per_Batch]*IFERROR(INDEX(PP_Grid[#Data],M_BOM[PPGridRow],104),0))</f>
        <v/>
      </c>
      <c r="DA31">
        <f>SUMPRODUCT((M_BOM[Part Name]=$A31)*M_BOM[RM_Qty_Per_Batch]*IFERROR(INDEX(PP_Grid[#Data],M_BOM[PPGridRow],105),0))</f>
        <v/>
      </c>
    </row>
    <row r="32">
      <c r="A32" t="inlineStr">
        <is>
          <t>CHEM-1430</t>
        </is>
      </c>
      <c r="B32">
        <f>SUMPRODUCT((M_BOM[Part Name]=$A32)*M_BOM[RM_Qty_Per_Batch]*IFERROR(INDEX(PP_Grid[#Data],M_BOM[PPGridRow],2),0))</f>
        <v/>
      </c>
      <c r="C32">
        <f>SUMPRODUCT((M_BOM[Part Name]=$A32)*M_BOM[RM_Qty_Per_Batch]*IFERROR(INDEX(PP_Grid[#Data],M_BOM[PPGridRow],3),0))</f>
        <v/>
      </c>
      <c r="D32">
        <f>SUMPRODUCT((M_BOM[Part Name]=$A32)*M_BOM[RM_Qty_Per_Batch]*IFERROR(INDEX(PP_Grid[#Data],M_BOM[PPGridRow],4),0))</f>
        <v/>
      </c>
      <c r="E32">
        <f>SUMPRODUCT((M_BOM[Part Name]=$A32)*M_BOM[RM_Qty_Per_Batch]*IFERROR(INDEX(PP_Grid[#Data],M_BOM[PPGridRow],5),0))</f>
        <v/>
      </c>
      <c r="F32">
        <f>SUMPRODUCT((M_BOM[Part Name]=$A32)*M_BOM[RM_Qty_Per_Batch]*IFERROR(INDEX(PP_Grid[#Data],M_BOM[PPGridRow],6),0))</f>
        <v/>
      </c>
      <c r="G32">
        <f>SUMPRODUCT((M_BOM[Part Name]=$A32)*M_BOM[RM_Qty_Per_Batch]*IFERROR(INDEX(PP_Grid[#Data],M_BOM[PPGridRow],7),0))</f>
        <v/>
      </c>
      <c r="H32">
        <f>SUMPRODUCT((M_BOM[Part Name]=$A32)*M_BOM[RM_Qty_Per_Batch]*IFERROR(INDEX(PP_Grid[#Data],M_BOM[PPGridRow],8),0))</f>
        <v/>
      </c>
      <c r="I32">
        <f>SUMPRODUCT((M_BOM[Part Name]=$A32)*M_BOM[RM_Qty_Per_Batch]*IFERROR(INDEX(PP_Grid[#Data],M_BOM[PPGridRow],9),0))</f>
        <v/>
      </c>
      <c r="J32">
        <f>SUMPRODUCT((M_BOM[Part Name]=$A32)*M_BOM[RM_Qty_Per_Batch]*IFERROR(INDEX(PP_Grid[#Data],M_BOM[PPGridRow],10),0))</f>
        <v/>
      </c>
      <c r="K32">
        <f>SUMPRODUCT((M_BOM[Part Name]=$A32)*M_BOM[RM_Qty_Per_Batch]*IFERROR(INDEX(PP_Grid[#Data],M_BOM[PPGridRow],11),0))</f>
        <v/>
      </c>
      <c r="L32">
        <f>SUMPRODUCT((M_BOM[Part Name]=$A32)*M_BOM[RM_Qty_Per_Batch]*IFERROR(INDEX(PP_Grid[#Data],M_BOM[PPGridRow],12),0))</f>
        <v/>
      </c>
      <c r="M32">
        <f>SUMPRODUCT((M_BOM[Part Name]=$A32)*M_BOM[RM_Qty_Per_Batch]*IFERROR(INDEX(PP_Grid[#Data],M_BOM[PPGridRow],13),0))</f>
        <v/>
      </c>
      <c r="N32">
        <f>SUMPRODUCT((M_BOM[Part Name]=$A32)*M_BOM[RM_Qty_Per_Batch]*IFERROR(INDEX(PP_Grid[#Data],M_BOM[PPGridRow],14),0))</f>
        <v/>
      </c>
      <c r="O32">
        <f>SUMPRODUCT((M_BOM[Part Name]=$A32)*M_BOM[RM_Qty_Per_Batch]*IFERROR(INDEX(PP_Grid[#Data],M_BOM[PPGridRow],15),0))</f>
        <v/>
      </c>
      <c r="P32">
        <f>SUMPRODUCT((M_BOM[Part Name]=$A32)*M_BOM[RM_Qty_Per_Batch]*IFERROR(INDEX(PP_Grid[#Data],M_BOM[PPGridRow],16),0))</f>
        <v/>
      </c>
      <c r="Q32">
        <f>SUMPRODUCT((M_BOM[Part Name]=$A32)*M_BOM[RM_Qty_Per_Batch]*IFERROR(INDEX(PP_Grid[#Data],M_BOM[PPGridRow],17),0))</f>
        <v/>
      </c>
      <c r="R32">
        <f>SUMPRODUCT((M_BOM[Part Name]=$A32)*M_BOM[RM_Qty_Per_Batch]*IFERROR(INDEX(PP_Grid[#Data],M_BOM[PPGridRow],18),0))</f>
        <v/>
      </c>
      <c r="S32">
        <f>SUMPRODUCT((M_BOM[Part Name]=$A32)*M_BOM[RM_Qty_Per_Batch]*IFERROR(INDEX(PP_Grid[#Data],M_BOM[PPGridRow],19),0))</f>
        <v/>
      </c>
      <c r="T32">
        <f>SUMPRODUCT((M_BOM[Part Name]=$A32)*M_BOM[RM_Qty_Per_Batch]*IFERROR(INDEX(PP_Grid[#Data],M_BOM[PPGridRow],20),0))</f>
        <v/>
      </c>
      <c r="U32">
        <f>SUMPRODUCT((M_BOM[Part Name]=$A32)*M_BOM[RM_Qty_Per_Batch]*IFERROR(INDEX(PP_Grid[#Data],M_BOM[PPGridRow],21),0))</f>
        <v/>
      </c>
      <c r="V32">
        <f>SUMPRODUCT((M_BOM[Part Name]=$A32)*M_BOM[RM_Qty_Per_Batch]*IFERROR(INDEX(PP_Grid[#Data],M_BOM[PPGridRow],22),0))</f>
        <v/>
      </c>
      <c r="W32">
        <f>SUMPRODUCT((M_BOM[Part Name]=$A32)*M_BOM[RM_Qty_Per_Batch]*IFERROR(INDEX(PP_Grid[#Data],M_BOM[PPGridRow],23),0))</f>
        <v/>
      </c>
      <c r="X32">
        <f>SUMPRODUCT((M_BOM[Part Name]=$A32)*M_BOM[RM_Qty_Per_Batch]*IFERROR(INDEX(PP_Grid[#Data],M_BOM[PPGridRow],24),0))</f>
        <v/>
      </c>
      <c r="Y32">
        <f>SUMPRODUCT((M_BOM[Part Name]=$A32)*M_BOM[RM_Qty_Per_Batch]*IFERROR(INDEX(PP_Grid[#Data],M_BOM[PPGridRow],25),0))</f>
        <v/>
      </c>
      <c r="Z32">
        <f>SUMPRODUCT((M_BOM[Part Name]=$A32)*M_BOM[RM_Qty_Per_Batch]*IFERROR(INDEX(PP_Grid[#Data],M_BOM[PPGridRow],26),0))</f>
        <v/>
      </c>
      <c r="AA32">
        <f>SUMPRODUCT((M_BOM[Part Name]=$A32)*M_BOM[RM_Qty_Per_Batch]*IFERROR(INDEX(PP_Grid[#Data],M_BOM[PPGridRow],27),0))</f>
        <v/>
      </c>
      <c r="AB32">
        <f>SUMPRODUCT((M_BOM[Part Name]=$A32)*M_BOM[RM_Qty_Per_Batch]*IFERROR(INDEX(PP_Grid[#Data],M_BOM[PPGridRow],28),0))</f>
        <v/>
      </c>
      <c r="AC32">
        <f>SUMPRODUCT((M_BOM[Part Name]=$A32)*M_BOM[RM_Qty_Per_Batch]*IFERROR(INDEX(PP_Grid[#Data],M_BOM[PPGridRow],29),0))</f>
        <v/>
      </c>
      <c r="AD32">
        <f>SUMPRODUCT((M_BOM[Part Name]=$A32)*M_BOM[RM_Qty_Per_Batch]*IFERROR(INDEX(PP_Grid[#Data],M_BOM[PPGridRow],30),0))</f>
        <v/>
      </c>
      <c r="AE32">
        <f>SUMPRODUCT((M_BOM[Part Name]=$A32)*M_BOM[RM_Qty_Per_Batch]*IFERROR(INDEX(PP_Grid[#Data],M_BOM[PPGridRow],31),0))</f>
        <v/>
      </c>
      <c r="AF32">
        <f>SUMPRODUCT((M_BOM[Part Name]=$A32)*M_BOM[RM_Qty_Per_Batch]*IFERROR(INDEX(PP_Grid[#Data],M_BOM[PPGridRow],32),0))</f>
        <v/>
      </c>
      <c r="AG32">
        <f>SUMPRODUCT((M_BOM[Part Name]=$A32)*M_BOM[RM_Qty_Per_Batch]*IFERROR(INDEX(PP_Grid[#Data],M_BOM[PPGridRow],33),0))</f>
        <v/>
      </c>
      <c r="AH32">
        <f>SUMPRODUCT((M_BOM[Part Name]=$A32)*M_BOM[RM_Qty_Per_Batch]*IFERROR(INDEX(PP_Grid[#Data],M_BOM[PPGridRow],34),0))</f>
        <v/>
      </c>
      <c r="AI32">
        <f>SUMPRODUCT((M_BOM[Part Name]=$A32)*M_BOM[RM_Qty_Per_Batch]*IFERROR(INDEX(PP_Grid[#Data],M_BOM[PPGridRow],35),0))</f>
        <v/>
      </c>
      <c r="AJ32">
        <f>SUMPRODUCT((M_BOM[Part Name]=$A32)*M_BOM[RM_Qty_Per_Batch]*IFERROR(INDEX(PP_Grid[#Data],M_BOM[PPGridRow],36),0))</f>
        <v/>
      </c>
      <c r="AK32">
        <f>SUMPRODUCT((M_BOM[Part Name]=$A32)*M_BOM[RM_Qty_Per_Batch]*IFERROR(INDEX(PP_Grid[#Data],M_BOM[PPGridRow],37),0))</f>
        <v/>
      </c>
      <c r="AL32">
        <f>SUMPRODUCT((M_BOM[Part Name]=$A32)*M_BOM[RM_Qty_Per_Batch]*IFERROR(INDEX(PP_Grid[#Data],M_BOM[PPGridRow],38),0))</f>
        <v/>
      </c>
      <c r="AM32">
        <f>SUMPRODUCT((M_BOM[Part Name]=$A32)*M_BOM[RM_Qty_Per_Batch]*IFERROR(INDEX(PP_Grid[#Data],M_BOM[PPGridRow],39),0))</f>
        <v/>
      </c>
      <c r="AN32">
        <f>SUMPRODUCT((M_BOM[Part Name]=$A32)*M_BOM[RM_Qty_Per_Batch]*IFERROR(INDEX(PP_Grid[#Data],M_BOM[PPGridRow],40),0))</f>
        <v/>
      </c>
      <c r="AO32">
        <f>SUMPRODUCT((M_BOM[Part Name]=$A32)*M_BOM[RM_Qty_Per_Batch]*IFERROR(INDEX(PP_Grid[#Data],M_BOM[PPGridRow],41),0))</f>
        <v/>
      </c>
      <c r="AP32">
        <f>SUMPRODUCT((M_BOM[Part Name]=$A32)*M_BOM[RM_Qty_Per_Batch]*IFERROR(INDEX(PP_Grid[#Data],M_BOM[PPGridRow],42),0))</f>
        <v/>
      </c>
      <c r="AQ32">
        <f>SUMPRODUCT((M_BOM[Part Name]=$A32)*M_BOM[RM_Qty_Per_Batch]*IFERROR(INDEX(PP_Grid[#Data],M_BOM[PPGridRow],43),0))</f>
        <v/>
      </c>
      <c r="AR32">
        <f>SUMPRODUCT((M_BOM[Part Name]=$A32)*M_BOM[RM_Qty_Per_Batch]*IFERROR(INDEX(PP_Grid[#Data],M_BOM[PPGridRow],44),0))</f>
        <v/>
      </c>
      <c r="AS32">
        <f>SUMPRODUCT((M_BOM[Part Name]=$A32)*M_BOM[RM_Qty_Per_Batch]*IFERROR(INDEX(PP_Grid[#Data],M_BOM[PPGridRow],45),0))</f>
        <v/>
      </c>
      <c r="AT32">
        <f>SUMPRODUCT((M_BOM[Part Name]=$A32)*M_BOM[RM_Qty_Per_Batch]*IFERROR(INDEX(PP_Grid[#Data],M_BOM[PPGridRow],46),0))</f>
        <v/>
      </c>
      <c r="AU32">
        <f>SUMPRODUCT((M_BOM[Part Name]=$A32)*M_BOM[RM_Qty_Per_Batch]*IFERROR(INDEX(PP_Grid[#Data],M_BOM[PPGridRow],47),0))</f>
        <v/>
      </c>
      <c r="AV32">
        <f>SUMPRODUCT((M_BOM[Part Name]=$A32)*M_BOM[RM_Qty_Per_Batch]*IFERROR(INDEX(PP_Grid[#Data],M_BOM[PPGridRow],48),0))</f>
        <v/>
      </c>
      <c r="AW32">
        <f>SUMPRODUCT((M_BOM[Part Name]=$A32)*M_BOM[RM_Qty_Per_Batch]*IFERROR(INDEX(PP_Grid[#Data],M_BOM[PPGridRow],49),0))</f>
        <v/>
      </c>
      <c r="AX32">
        <f>SUMPRODUCT((M_BOM[Part Name]=$A32)*M_BOM[RM_Qty_Per_Batch]*IFERROR(INDEX(PP_Grid[#Data],M_BOM[PPGridRow],50),0))</f>
        <v/>
      </c>
      <c r="AY32">
        <f>SUMPRODUCT((M_BOM[Part Name]=$A32)*M_BOM[RM_Qty_Per_Batch]*IFERROR(INDEX(PP_Grid[#Data],M_BOM[PPGridRow],51),0))</f>
        <v/>
      </c>
      <c r="AZ32">
        <f>SUMPRODUCT((M_BOM[Part Name]=$A32)*M_BOM[RM_Qty_Per_Batch]*IFERROR(INDEX(PP_Grid[#Data],M_BOM[PPGridRow],52),0))</f>
        <v/>
      </c>
      <c r="BA32">
        <f>SUMPRODUCT((M_BOM[Part Name]=$A32)*M_BOM[RM_Qty_Per_Batch]*IFERROR(INDEX(PP_Grid[#Data],M_BOM[PPGridRow],53),0))</f>
        <v/>
      </c>
      <c r="BB32">
        <f>SUMPRODUCT((M_BOM[Part Name]=$A32)*M_BOM[RM_Qty_Per_Batch]*IFERROR(INDEX(PP_Grid[#Data],M_BOM[PPGridRow],54),0))</f>
        <v/>
      </c>
      <c r="BC32">
        <f>SUMPRODUCT((M_BOM[Part Name]=$A32)*M_BOM[RM_Qty_Per_Batch]*IFERROR(INDEX(PP_Grid[#Data],M_BOM[PPGridRow],55),0))</f>
        <v/>
      </c>
      <c r="BD32">
        <f>SUMPRODUCT((M_BOM[Part Name]=$A32)*M_BOM[RM_Qty_Per_Batch]*IFERROR(INDEX(PP_Grid[#Data],M_BOM[PPGridRow],56),0))</f>
        <v/>
      </c>
      <c r="BE32">
        <f>SUMPRODUCT((M_BOM[Part Name]=$A32)*M_BOM[RM_Qty_Per_Batch]*IFERROR(INDEX(PP_Grid[#Data],M_BOM[PPGridRow],57),0))</f>
        <v/>
      </c>
      <c r="BF32">
        <f>SUMPRODUCT((M_BOM[Part Name]=$A32)*M_BOM[RM_Qty_Per_Batch]*IFERROR(INDEX(PP_Grid[#Data],M_BOM[PPGridRow],58),0))</f>
        <v/>
      </c>
      <c r="BG32">
        <f>SUMPRODUCT((M_BOM[Part Name]=$A32)*M_BOM[RM_Qty_Per_Batch]*IFERROR(INDEX(PP_Grid[#Data],M_BOM[PPGridRow],59),0))</f>
        <v/>
      </c>
      <c r="BH32">
        <f>SUMPRODUCT((M_BOM[Part Name]=$A32)*M_BOM[RM_Qty_Per_Batch]*IFERROR(INDEX(PP_Grid[#Data],M_BOM[PPGridRow],60),0))</f>
        <v/>
      </c>
      <c r="BI32">
        <f>SUMPRODUCT((M_BOM[Part Name]=$A32)*M_BOM[RM_Qty_Per_Batch]*IFERROR(INDEX(PP_Grid[#Data],M_BOM[PPGridRow],61),0))</f>
        <v/>
      </c>
      <c r="BJ32">
        <f>SUMPRODUCT((M_BOM[Part Name]=$A32)*M_BOM[RM_Qty_Per_Batch]*IFERROR(INDEX(PP_Grid[#Data],M_BOM[PPGridRow],62),0))</f>
        <v/>
      </c>
      <c r="BK32">
        <f>SUMPRODUCT((M_BOM[Part Name]=$A32)*M_BOM[RM_Qty_Per_Batch]*IFERROR(INDEX(PP_Grid[#Data],M_BOM[PPGridRow],63),0))</f>
        <v/>
      </c>
      <c r="BL32">
        <f>SUMPRODUCT((M_BOM[Part Name]=$A32)*M_BOM[RM_Qty_Per_Batch]*IFERROR(INDEX(PP_Grid[#Data],M_BOM[PPGridRow],64),0))</f>
        <v/>
      </c>
      <c r="BM32">
        <f>SUMPRODUCT((M_BOM[Part Name]=$A32)*M_BOM[RM_Qty_Per_Batch]*IFERROR(INDEX(PP_Grid[#Data],M_BOM[PPGridRow],65),0))</f>
        <v/>
      </c>
      <c r="BN32">
        <f>SUMPRODUCT((M_BOM[Part Name]=$A32)*M_BOM[RM_Qty_Per_Batch]*IFERROR(INDEX(PP_Grid[#Data],M_BOM[PPGridRow],66),0))</f>
        <v/>
      </c>
      <c r="BO32">
        <f>SUMPRODUCT((M_BOM[Part Name]=$A32)*M_BOM[RM_Qty_Per_Batch]*IFERROR(INDEX(PP_Grid[#Data],M_BOM[PPGridRow],67),0))</f>
        <v/>
      </c>
      <c r="BP32">
        <f>SUMPRODUCT((M_BOM[Part Name]=$A32)*M_BOM[RM_Qty_Per_Batch]*IFERROR(INDEX(PP_Grid[#Data],M_BOM[PPGridRow],68),0))</f>
        <v/>
      </c>
      <c r="BQ32">
        <f>SUMPRODUCT((M_BOM[Part Name]=$A32)*M_BOM[RM_Qty_Per_Batch]*IFERROR(INDEX(PP_Grid[#Data],M_BOM[PPGridRow],69),0))</f>
        <v/>
      </c>
      <c r="BR32">
        <f>SUMPRODUCT((M_BOM[Part Name]=$A32)*M_BOM[RM_Qty_Per_Batch]*IFERROR(INDEX(PP_Grid[#Data],M_BOM[PPGridRow],70),0))</f>
        <v/>
      </c>
      <c r="BS32">
        <f>SUMPRODUCT((M_BOM[Part Name]=$A32)*M_BOM[RM_Qty_Per_Batch]*IFERROR(INDEX(PP_Grid[#Data],M_BOM[PPGridRow],71),0))</f>
        <v/>
      </c>
      <c r="BT32">
        <f>SUMPRODUCT((M_BOM[Part Name]=$A32)*M_BOM[RM_Qty_Per_Batch]*IFERROR(INDEX(PP_Grid[#Data],M_BOM[PPGridRow],72),0))</f>
        <v/>
      </c>
      <c r="BU32">
        <f>SUMPRODUCT((M_BOM[Part Name]=$A32)*M_BOM[RM_Qty_Per_Batch]*IFERROR(INDEX(PP_Grid[#Data],M_BOM[PPGridRow],73),0))</f>
        <v/>
      </c>
      <c r="BV32">
        <f>SUMPRODUCT((M_BOM[Part Name]=$A32)*M_BOM[RM_Qty_Per_Batch]*IFERROR(INDEX(PP_Grid[#Data],M_BOM[PPGridRow],74),0))</f>
        <v/>
      </c>
      <c r="BW32">
        <f>SUMPRODUCT((M_BOM[Part Name]=$A32)*M_BOM[RM_Qty_Per_Batch]*IFERROR(INDEX(PP_Grid[#Data],M_BOM[PPGridRow],75),0))</f>
        <v/>
      </c>
      <c r="BX32">
        <f>SUMPRODUCT((M_BOM[Part Name]=$A32)*M_BOM[RM_Qty_Per_Batch]*IFERROR(INDEX(PP_Grid[#Data],M_BOM[PPGridRow],76),0))</f>
        <v/>
      </c>
      <c r="BY32">
        <f>SUMPRODUCT((M_BOM[Part Name]=$A32)*M_BOM[RM_Qty_Per_Batch]*IFERROR(INDEX(PP_Grid[#Data],M_BOM[PPGridRow],77),0))</f>
        <v/>
      </c>
      <c r="BZ32">
        <f>SUMPRODUCT((M_BOM[Part Name]=$A32)*M_BOM[RM_Qty_Per_Batch]*IFERROR(INDEX(PP_Grid[#Data],M_BOM[PPGridRow],78),0))</f>
        <v/>
      </c>
      <c r="CA32">
        <f>SUMPRODUCT((M_BOM[Part Name]=$A32)*M_BOM[RM_Qty_Per_Batch]*IFERROR(INDEX(PP_Grid[#Data],M_BOM[PPGridRow],79),0))</f>
        <v/>
      </c>
      <c r="CB32">
        <f>SUMPRODUCT((M_BOM[Part Name]=$A32)*M_BOM[RM_Qty_Per_Batch]*IFERROR(INDEX(PP_Grid[#Data],M_BOM[PPGridRow],80),0))</f>
        <v/>
      </c>
      <c r="CC32">
        <f>SUMPRODUCT((M_BOM[Part Name]=$A32)*M_BOM[RM_Qty_Per_Batch]*IFERROR(INDEX(PP_Grid[#Data],M_BOM[PPGridRow],81),0))</f>
        <v/>
      </c>
      <c r="CD32">
        <f>SUMPRODUCT((M_BOM[Part Name]=$A32)*M_BOM[RM_Qty_Per_Batch]*IFERROR(INDEX(PP_Grid[#Data],M_BOM[PPGridRow],82),0))</f>
        <v/>
      </c>
      <c r="CE32">
        <f>SUMPRODUCT((M_BOM[Part Name]=$A32)*M_BOM[RM_Qty_Per_Batch]*IFERROR(INDEX(PP_Grid[#Data],M_BOM[PPGridRow],83),0))</f>
        <v/>
      </c>
      <c r="CF32">
        <f>SUMPRODUCT((M_BOM[Part Name]=$A32)*M_BOM[RM_Qty_Per_Batch]*IFERROR(INDEX(PP_Grid[#Data],M_BOM[PPGridRow],84),0))</f>
        <v/>
      </c>
      <c r="CG32">
        <f>SUMPRODUCT((M_BOM[Part Name]=$A32)*M_BOM[RM_Qty_Per_Batch]*IFERROR(INDEX(PP_Grid[#Data],M_BOM[PPGridRow],85),0))</f>
        <v/>
      </c>
      <c r="CH32">
        <f>SUMPRODUCT((M_BOM[Part Name]=$A32)*M_BOM[RM_Qty_Per_Batch]*IFERROR(INDEX(PP_Grid[#Data],M_BOM[PPGridRow],86),0))</f>
        <v/>
      </c>
      <c r="CI32">
        <f>SUMPRODUCT((M_BOM[Part Name]=$A32)*M_BOM[RM_Qty_Per_Batch]*IFERROR(INDEX(PP_Grid[#Data],M_BOM[PPGridRow],87),0))</f>
        <v/>
      </c>
      <c r="CJ32">
        <f>SUMPRODUCT((M_BOM[Part Name]=$A32)*M_BOM[RM_Qty_Per_Batch]*IFERROR(INDEX(PP_Grid[#Data],M_BOM[PPGridRow],88),0))</f>
        <v/>
      </c>
      <c r="CK32">
        <f>SUMPRODUCT((M_BOM[Part Name]=$A32)*M_BOM[RM_Qty_Per_Batch]*IFERROR(INDEX(PP_Grid[#Data],M_BOM[PPGridRow],89),0))</f>
        <v/>
      </c>
      <c r="CL32">
        <f>SUMPRODUCT((M_BOM[Part Name]=$A32)*M_BOM[RM_Qty_Per_Batch]*IFERROR(INDEX(PP_Grid[#Data],M_BOM[PPGridRow],90),0))</f>
        <v/>
      </c>
      <c r="CM32">
        <f>SUMPRODUCT((M_BOM[Part Name]=$A32)*M_BOM[RM_Qty_Per_Batch]*IFERROR(INDEX(PP_Grid[#Data],M_BOM[PPGridRow],91),0))</f>
        <v/>
      </c>
      <c r="CN32">
        <f>SUMPRODUCT((M_BOM[Part Name]=$A32)*M_BOM[RM_Qty_Per_Batch]*IFERROR(INDEX(PP_Grid[#Data],M_BOM[PPGridRow],92),0))</f>
        <v/>
      </c>
      <c r="CO32">
        <f>SUMPRODUCT((M_BOM[Part Name]=$A32)*M_BOM[RM_Qty_Per_Batch]*IFERROR(INDEX(PP_Grid[#Data],M_BOM[PPGridRow],93),0))</f>
        <v/>
      </c>
      <c r="CP32">
        <f>SUMPRODUCT((M_BOM[Part Name]=$A32)*M_BOM[RM_Qty_Per_Batch]*IFERROR(INDEX(PP_Grid[#Data],M_BOM[PPGridRow],94),0))</f>
        <v/>
      </c>
      <c r="CQ32">
        <f>SUMPRODUCT((M_BOM[Part Name]=$A32)*M_BOM[RM_Qty_Per_Batch]*IFERROR(INDEX(PP_Grid[#Data],M_BOM[PPGridRow],95),0))</f>
        <v/>
      </c>
      <c r="CR32">
        <f>SUMPRODUCT((M_BOM[Part Name]=$A32)*M_BOM[RM_Qty_Per_Batch]*IFERROR(INDEX(PP_Grid[#Data],M_BOM[PPGridRow],96),0))</f>
        <v/>
      </c>
      <c r="CS32">
        <f>SUMPRODUCT((M_BOM[Part Name]=$A32)*M_BOM[RM_Qty_Per_Batch]*IFERROR(INDEX(PP_Grid[#Data],M_BOM[PPGridRow],97),0))</f>
        <v/>
      </c>
      <c r="CT32">
        <f>SUMPRODUCT((M_BOM[Part Name]=$A32)*M_BOM[RM_Qty_Per_Batch]*IFERROR(INDEX(PP_Grid[#Data],M_BOM[PPGridRow],98),0))</f>
        <v/>
      </c>
      <c r="CU32">
        <f>SUMPRODUCT((M_BOM[Part Name]=$A32)*M_BOM[RM_Qty_Per_Batch]*IFERROR(INDEX(PP_Grid[#Data],M_BOM[PPGridRow],99),0))</f>
        <v/>
      </c>
      <c r="CV32">
        <f>SUMPRODUCT((M_BOM[Part Name]=$A32)*M_BOM[RM_Qty_Per_Batch]*IFERROR(INDEX(PP_Grid[#Data],M_BOM[PPGridRow],100),0))</f>
        <v/>
      </c>
      <c r="CW32">
        <f>SUMPRODUCT((M_BOM[Part Name]=$A32)*M_BOM[RM_Qty_Per_Batch]*IFERROR(INDEX(PP_Grid[#Data],M_BOM[PPGridRow],101),0))</f>
        <v/>
      </c>
      <c r="CX32">
        <f>SUMPRODUCT((M_BOM[Part Name]=$A32)*M_BOM[RM_Qty_Per_Batch]*IFERROR(INDEX(PP_Grid[#Data],M_BOM[PPGridRow],102),0))</f>
        <v/>
      </c>
      <c r="CY32">
        <f>SUMPRODUCT((M_BOM[Part Name]=$A32)*M_BOM[RM_Qty_Per_Batch]*IFERROR(INDEX(PP_Grid[#Data],M_BOM[PPGridRow],103),0))</f>
        <v/>
      </c>
      <c r="CZ32">
        <f>SUMPRODUCT((M_BOM[Part Name]=$A32)*M_BOM[RM_Qty_Per_Batch]*IFERROR(INDEX(PP_Grid[#Data],M_BOM[PPGridRow],104),0))</f>
        <v/>
      </c>
      <c r="DA32">
        <f>SUMPRODUCT((M_BOM[Part Name]=$A32)*M_BOM[RM_Qty_Per_Batch]*IFERROR(INDEX(PP_Grid[#Data],M_BOM[PPGridRow],105),0))</f>
        <v/>
      </c>
    </row>
    <row r="33">
      <c r="A33" t="inlineStr">
        <is>
          <t>CHEM-1480</t>
        </is>
      </c>
      <c r="B33">
        <f>SUMPRODUCT((M_BOM[Part Name]=$A33)*M_BOM[RM_Qty_Per_Batch]*IFERROR(INDEX(PP_Grid[#Data],M_BOM[PPGridRow],2),0))</f>
        <v/>
      </c>
      <c r="C33">
        <f>SUMPRODUCT((M_BOM[Part Name]=$A33)*M_BOM[RM_Qty_Per_Batch]*IFERROR(INDEX(PP_Grid[#Data],M_BOM[PPGridRow],3),0))</f>
        <v/>
      </c>
      <c r="D33">
        <f>SUMPRODUCT((M_BOM[Part Name]=$A33)*M_BOM[RM_Qty_Per_Batch]*IFERROR(INDEX(PP_Grid[#Data],M_BOM[PPGridRow],4),0))</f>
        <v/>
      </c>
      <c r="E33">
        <f>SUMPRODUCT((M_BOM[Part Name]=$A33)*M_BOM[RM_Qty_Per_Batch]*IFERROR(INDEX(PP_Grid[#Data],M_BOM[PPGridRow],5),0))</f>
        <v/>
      </c>
      <c r="F33">
        <f>SUMPRODUCT((M_BOM[Part Name]=$A33)*M_BOM[RM_Qty_Per_Batch]*IFERROR(INDEX(PP_Grid[#Data],M_BOM[PPGridRow],6),0))</f>
        <v/>
      </c>
      <c r="G33">
        <f>SUMPRODUCT((M_BOM[Part Name]=$A33)*M_BOM[RM_Qty_Per_Batch]*IFERROR(INDEX(PP_Grid[#Data],M_BOM[PPGridRow],7),0))</f>
        <v/>
      </c>
      <c r="H33">
        <f>SUMPRODUCT((M_BOM[Part Name]=$A33)*M_BOM[RM_Qty_Per_Batch]*IFERROR(INDEX(PP_Grid[#Data],M_BOM[PPGridRow],8),0))</f>
        <v/>
      </c>
      <c r="I33">
        <f>SUMPRODUCT((M_BOM[Part Name]=$A33)*M_BOM[RM_Qty_Per_Batch]*IFERROR(INDEX(PP_Grid[#Data],M_BOM[PPGridRow],9),0))</f>
        <v/>
      </c>
      <c r="J33">
        <f>SUMPRODUCT((M_BOM[Part Name]=$A33)*M_BOM[RM_Qty_Per_Batch]*IFERROR(INDEX(PP_Grid[#Data],M_BOM[PPGridRow],10),0))</f>
        <v/>
      </c>
      <c r="K33">
        <f>SUMPRODUCT((M_BOM[Part Name]=$A33)*M_BOM[RM_Qty_Per_Batch]*IFERROR(INDEX(PP_Grid[#Data],M_BOM[PPGridRow],11),0))</f>
        <v/>
      </c>
      <c r="L33">
        <f>SUMPRODUCT((M_BOM[Part Name]=$A33)*M_BOM[RM_Qty_Per_Batch]*IFERROR(INDEX(PP_Grid[#Data],M_BOM[PPGridRow],12),0))</f>
        <v/>
      </c>
      <c r="M33">
        <f>SUMPRODUCT((M_BOM[Part Name]=$A33)*M_BOM[RM_Qty_Per_Batch]*IFERROR(INDEX(PP_Grid[#Data],M_BOM[PPGridRow],13),0))</f>
        <v/>
      </c>
      <c r="N33">
        <f>SUMPRODUCT((M_BOM[Part Name]=$A33)*M_BOM[RM_Qty_Per_Batch]*IFERROR(INDEX(PP_Grid[#Data],M_BOM[PPGridRow],14),0))</f>
        <v/>
      </c>
      <c r="O33">
        <f>SUMPRODUCT((M_BOM[Part Name]=$A33)*M_BOM[RM_Qty_Per_Batch]*IFERROR(INDEX(PP_Grid[#Data],M_BOM[PPGridRow],15),0))</f>
        <v/>
      </c>
      <c r="P33">
        <f>SUMPRODUCT((M_BOM[Part Name]=$A33)*M_BOM[RM_Qty_Per_Batch]*IFERROR(INDEX(PP_Grid[#Data],M_BOM[PPGridRow],16),0))</f>
        <v/>
      </c>
      <c r="Q33">
        <f>SUMPRODUCT((M_BOM[Part Name]=$A33)*M_BOM[RM_Qty_Per_Batch]*IFERROR(INDEX(PP_Grid[#Data],M_BOM[PPGridRow],17),0))</f>
        <v/>
      </c>
      <c r="R33">
        <f>SUMPRODUCT((M_BOM[Part Name]=$A33)*M_BOM[RM_Qty_Per_Batch]*IFERROR(INDEX(PP_Grid[#Data],M_BOM[PPGridRow],18),0))</f>
        <v/>
      </c>
      <c r="S33">
        <f>SUMPRODUCT((M_BOM[Part Name]=$A33)*M_BOM[RM_Qty_Per_Batch]*IFERROR(INDEX(PP_Grid[#Data],M_BOM[PPGridRow],19),0))</f>
        <v/>
      </c>
      <c r="T33">
        <f>SUMPRODUCT((M_BOM[Part Name]=$A33)*M_BOM[RM_Qty_Per_Batch]*IFERROR(INDEX(PP_Grid[#Data],M_BOM[PPGridRow],20),0))</f>
        <v/>
      </c>
      <c r="U33">
        <f>SUMPRODUCT((M_BOM[Part Name]=$A33)*M_BOM[RM_Qty_Per_Batch]*IFERROR(INDEX(PP_Grid[#Data],M_BOM[PPGridRow],21),0))</f>
        <v/>
      </c>
      <c r="V33">
        <f>SUMPRODUCT((M_BOM[Part Name]=$A33)*M_BOM[RM_Qty_Per_Batch]*IFERROR(INDEX(PP_Grid[#Data],M_BOM[PPGridRow],22),0))</f>
        <v/>
      </c>
      <c r="W33">
        <f>SUMPRODUCT((M_BOM[Part Name]=$A33)*M_BOM[RM_Qty_Per_Batch]*IFERROR(INDEX(PP_Grid[#Data],M_BOM[PPGridRow],23),0))</f>
        <v/>
      </c>
      <c r="X33">
        <f>SUMPRODUCT((M_BOM[Part Name]=$A33)*M_BOM[RM_Qty_Per_Batch]*IFERROR(INDEX(PP_Grid[#Data],M_BOM[PPGridRow],24),0))</f>
        <v/>
      </c>
      <c r="Y33">
        <f>SUMPRODUCT((M_BOM[Part Name]=$A33)*M_BOM[RM_Qty_Per_Batch]*IFERROR(INDEX(PP_Grid[#Data],M_BOM[PPGridRow],25),0))</f>
        <v/>
      </c>
      <c r="Z33">
        <f>SUMPRODUCT((M_BOM[Part Name]=$A33)*M_BOM[RM_Qty_Per_Batch]*IFERROR(INDEX(PP_Grid[#Data],M_BOM[PPGridRow],26),0))</f>
        <v/>
      </c>
      <c r="AA33">
        <f>SUMPRODUCT((M_BOM[Part Name]=$A33)*M_BOM[RM_Qty_Per_Batch]*IFERROR(INDEX(PP_Grid[#Data],M_BOM[PPGridRow],27),0))</f>
        <v/>
      </c>
      <c r="AB33">
        <f>SUMPRODUCT((M_BOM[Part Name]=$A33)*M_BOM[RM_Qty_Per_Batch]*IFERROR(INDEX(PP_Grid[#Data],M_BOM[PPGridRow],28),0))</f>
        <v/>
      </c>
      <c r="AC33">
        <f>SUMPRODUCT((M_BOM[Part Name]=$A33)*M_BOM[RM_Qty_Per_Batch]*IFERROR(INDEX(PP_Grid[#Data],M_BOM[PPGridRow],29),0))</f>
        <v/>
      </c>
      <c r="AD33">
        <f>SUMPRODUCT((M_BOM[Part Name]=$A33)*M_BOM[RM_Qty_Per_Batch]*IFERROR(INDEX(PP_Grid[#Data],M_BOM[PPGridRow],30),0))</f>
        <v/>
      </c>
      <c r="AE33">
        <f>SUMPRODUCT((M_BOM[Part Name]=$A33)*M_BOM[RM_Qty_Per_Batch]*IFERROR(INDEX(PP_Grid[#Data],M_BOM[PPGridRow],31),0))</f>
        <v/>
      </c>
      <c r="AF33">
        <f>SUMPRODUCT((M_BOM[Part Name]=$A33)*M_BOM[RM_Qty_Per_Batch]*IFERROR(INDEX(PP_Grid[#Data],M_BOM[PPGridRow],32),0))</f>
        <v/>
      </c>
      <c r="AG33">
        <f>SUMPRODUCT((M_BOM[Part Name]=$A33)*M_BOM[RM_Qty_Per_Batch]*IFERROR(INDEX(PP_Grid[#Data],M_BOM[PPGridRow],33),0))</f>
        <v/>
      </c>
      <c r="AH33">
        <f>SUMPRODUCT((M_BOM[Part Name]=$A33)*M_BOM[RM_Qty_Per_Batch]*IFERROR(INDEX(PP_Grid[#Data],M_BOM[PPGridRow],34),0))</f>
        <v/>
      </c>
      <c r="AI33">
        <f>SUMPRODUCT((M_BOM[Part Name]=$A33)*M_BOM[RM_Qty_Per_Batch]*IFERROR(INDEX(PP_Grid[#Data],M_BOM[PPGridRow],35),0))</f>
        <v/>
      </c>
      <c r="AJ33">
        <f>SUMPRODUCT((M_BOM[Part Name]=$A33)*M_BOM[RM_Qty_Per_Batch]*IFERROR(INDEX(PP_Grid[#Data],M_BOM[PPGridRow],36),0))</f>
        <v/>
      </c>
      <c r="AK33">
        <f>SUMPRODUCT((M_BOM[Part Name]=$A33)*M_BOM[RM_Qty_Per_Batch]*IFERROR(INDEX(PP_Grid[#Data],M_BOM[PPGridRow],37),0))</f>
        <v/>
      </c>
      <c r="AL33">
        <f>SUMPRODUCT((M_BOM[Part Name]=$A33)*M_BOM[RM_Qty_Per_Batch]*IFERROR(INDEX(PP_Grid[#Data],M_BOM[PPGridRow],38),0))</f>
        <v/>
      </c>
      <c r="AM33">
        <f>SUMPRODUCT((M_BOM[Part Name]=$A33)*M_BOM[RM_Qty_Per_Batch]*IFERROR(INDEX(PP_Grid[#Data],M_BOM[PPGridRow],39),0))</f>
        <v/>
      </c>
      <c r="AN33">
        <f>SUMPRODUCT((M_BOM[Part Name]=$A33)*M_BOM[RM_Qty_Per_Batch]*IFERROR(INDEX(PP_Grid[#Data],M_BOM[PPGridRow],40),0))</f>
        <v/>
      </c>
      <c r="AO33">
        <f>SUMPRODUCT((M_BOM[Part Name]=$A33)*M_BOM[RM_Qty_Per_Batch]*IFERROR(INDEX(PP_Grid[#Data],M_BOM[PPGridRow],41),0))</f>
        <v/>
      </c>
      <c r="AP33">
        <f>SUMPRODUCT((M_BOM[Part Name]=$A33)*M_BOM[RM_Qty_Per_Batch]*IFERROR(INDEX(PP_Grid[#Data],M_BOM[PPGridRow],42),0))</f>
        <v/>
      </c>
      <c r="AQ33">
        <f>SUMPRODUCT((M_BOM[Part Name]=$A33)*M_BOM[RM_Qty_Per_Batch]*IFERROR(INDEX(PP_Grid[#Data],M_BOM[PPGridRow],43),0))</f>
        <v/>
      </c>
      <c r="AR33">
        <f>SUMPRODUCT((M_BOM[Part Name]=$A33)*M_BOM[RM_Qty_Per_Batch]*IFERROR(INDEX(PP_Grid[#Data],M_BOM[PPGridRow],44),0))</f>
        <v/>
      </c>
      <c r="AS33">
        <f>SUMPRODUCT((M_BOM[Part Name]=$A33)*M_BOM[RM_Qty_Per_Batch]*IFERROR(INDEX(PP_Grid[#Data],M_BOM[PPGridRow],45),0))</f>
        <v/>
      </c>
      <c r="AT33">
        <f>SUMPRODUCT((M_BOM[Part Name]=$A33)*M_BOM[RM_Qty_Per_Batch]*IFERROR(INDEX(PP_Grid[#Data],M_BOM[PPGridRow],46),0))</f>
        <v/>
      </c>
      <c r="AU33">
        <f>SUMPRODUCT((M_BOM[Part Name]=$A33)*M_BOM[RM_Qty_Per_Batch]*IFERROR(INDEX(PP_Grid[#Data],M_BOM[PPGridRow],47),0))</f>
        <v/>
      </c>
      <c r="AV33">
        <f>SUMPRODUCT((M_BOM[Part Name]=$A33)*M_BOM[RM_Qty_Per_Batch]*IFERROR(INDEX(PP_Grid[#Data],M_BOM[PPGridRow],48),0))</f>
        <v/>
      </c>
      <c r="AW33">
        <f>SUMPRODUCT((M_BOM[Part Name]=$A33)*M_BOM[RM_Qty_Per_Batch]*IFERROR(INDEX(PP_Grid[#Data],M_BOM[PPGridRow],49),0))</f>
        <v/>
      </c>
      <c r="AX33">
        <f>SUMPRODUCT((M_BOM[Part Name]=$A33)*M_BOM[RM_Qty_Per_Batch]*IFERROR(INDEX(PP_Grid[#Data],M_BOM[PPGridRow],50),0))</f>
        <v/>
      </c>
      <c r="AY33">
        <f>SUMPRODUCT((M_BOM[Part Name]=$A33)*M_BOM[RM_Qty_Per_Batch]*IFERROR(INDEX(PP_Grid[#Data],M_BOM[PPGridRow],51),0))</f>
        <v/>
      </c>
      <c r="AZ33">
        <f>SUMPRODUCT((M_BOM[Part Name]=$A33)*M_BOM[RM_Qty_Per_Batch]*IFERROR(INDEX(PP_Grid[#Data],M_BOM[PPGridRow],52),0))</f>
        <v/>
      </c>
      <c r="BA33">
        <f>SUMPRODUCT((M_BOM[Part Name]=$A33)*M_BOM[RM_Qty_Per_Batch]*IFERROR(INDEX(PP_Grid[#Data],M_BOM[PPGridRow],53),0))</f>
        <v/>
      </c>
      <c r="BB33">
        <f>SUMPRODUCT((M_BOM[Part Name]=$A33)*M_BOM[RM_Qty_Per_Batch]*IFERROR(INDEX(PP_Grid[#Data],M_BOM[PPGridRow],54),0))</f>
        <v/>
      </c>
      <c r="BC33">
        <f>SUMPRODUCT((M_BOM[Part Name]=$A33)*M_BOM[RM_Qty_Per_Batch]*IFERROR(INDEX(PP_Grid[#Data],M_BOM[PPGridRow],55),0))</f>
        <v/>
      </c>
      <c r="BD33">
        <f>SUMPRODUCT((M_BOM[Part Name]=$A33)*M_BOM[RM_Qty_Per_Batch]*IFERROR(INDEX(PP_Grid[#Data],M_BOM[PPGridRow],56),0))</f>
        <v/>
      </c>
      <c r="BE33">
        <f>SUMPRODUCT((M_BOM[Part Name]=$A33)*M_BOM[RM_Qty_Per_Batch]*IFERROR(INDEX(PP_Grid[#Data],M_BOM[PPGridRow],57),0))</f>
        <v/>
      </c>
      <c r="BF33">
        <f>SUMPRODUCT((M_BOM[Part Name]=$A33)*M_BOM[RM_Qty_Per_Batch]*IFERROR(INDEX(PP_Grid[#Data],M_BOM[PPGridRow],58),0))</f>
        <v/>
      </c>
      <c r="BG33">
        <f>SUMPRODUCT((M_BOM[Part Name]=$A33)*M_BOM[RM_Qty_Per_Batch]*IFERROR(INDEX(PP_Grid[#Data],M_BOM[PPGridRow],59),0))</f>
        <v/>
      </c>
      <c r="BH33">
        <f>SUMPRODUCT((M_BOM[Part Name]=$A33)*M_BOM[RM_Qty_Per_Batch]*IFERROR(INDEX(PP_Grid[#Data],M_BOM[PPGridRow],60),0))</f>
        <v/>
      </c>
      <c r="BI33">
        <f>SUMPRODUCT((M_BOM[Part Name]=$A33)*M_BOM[RM_Qty_Per_Batch]*IFERROR(INDEX(PP_Grid[#Data],M_BOM[PPGridRow],61),0))</f>
        <v/>
      </c>
      <c r="BJ33">
        <f>SUMPRODUCT((M_BOM[Part Name]=$A33)*M_BOM[RM_Qty_Per_Batch]*IFERROR(INDEX(PP_Grid[#Data],M_BOM[PPGridRow],62),0))</f>
        <v/>
      </c>
      <c r="BK33">
        <f>SUMPRODUCT((M_BOM[Part Name]=$A33)*M_BOM[RM_Qty_Per_Batch]*IFERROR(INDEX(PP_Grid[#Data],M_BOM[PPGridRow],63),0))</f>
        <v/>
      </c>
      <c r="BL33">
        <f>SUMPRODUCT((M_BOM[Part Name]=$A33)*M_BOM[RM_Qty_Per_Batch]*IFERROR(INDEX(PP_Grid[#Data],M_BOM[PPGridRow],64),0))</f>
        <v/>
      </c>
      <c r="BM33">
        <f>SUMPRODUCT((M_BOM[Part Name]=$A33)*M_BOM[RM_Qty_Per_Batch]*IFERROR(INDEX(PP_Grid[#Data],M_BOM[PPGridRow],65),0))</f>
        <v/>
      </c>
      <c r="BN33">
        <f>SUMPRODUCT((M_BOM[Part Name]=$A33)*M_BOM[RM_Qty_Per_Batch]*IFERROR(INDEX(PP_Grid[#Data],M_BOM[PPGridRow],66),0))</f>
        <v/>
      </c>
      <c r="BO33">
        <f>SUMPRODUCT((M_BOM[Part Name]=$A33)*M_BOM[RM_Qty_Per_Batch]*IFERROR(INDEX(PP_Grid[#Data],M_BOM[PPGridRow],67),0))</f>
        <v/>
      </c>
      <c r="BP33">
        <f>SUMPRODUCT((M_BOM[Part Name]=$A33)*M_BOM[RM_Qty_Per_Batch]*IFERROR(INDEX(PP_Grid[#Data],M_BOM[PPGridRow],68),0))</f>
        <v/>
      </c>
      <c r="BQ33">
        <f>SUMPRODUCT((M_BOM[Part Name]=$A33)*M_BOM[RM_Qty_Per_Batch]*IFERROR(INDEX(PP_Grid[#Data],M_BOM[PPGridRow],69),0))</f>
        <v/>
      </c>
      <c r="BR33">
        <f>SUMPRODUCT((M_BOM[Part Name]=$A33)*M_BOM[RM_Qty_Per_Batch]*IFERROR(INDEX(PP_Grid[#Data],M_BOM[PPGridRow],70),0))</f>
        <v/>
      </c>
      <c r="BS33">
        <f>SUMPRODUCT((M_BOM[Part Name]=$A33)*M_BOM[RM_Qty_Per_Batch]*IFERROR(INDEX(PP_Grid[#Data],M_BOM[PPGridRow],71),0))</f>
        <v/>
      </c>
      <c r="BT33">
        <f>SUMPRODUCT((M_BOM[Part Name]=$A33)*M_BOM[RM_Qty_Per_Batch]*IFERROR(INDEX(PP_Grid[#Data],M_BOM[PPGridRow],72),0))</f>
        <v/>
      </c>
      <c r="BU33">
        <f>SUMPRODUCT((M_BOM[Part Name]=$A33)*M_BOM[RM_Qty_Per_Batch]*IFERROR(INDEX(PP_Grid[#Data],M_BOM[PPGridRow],73),0))</f>
        <v/>
      </c>
      <c r="BV33">
        <f>SUMPRODUCT((M_BOM[Part Name]=$A33)*M_BOM[RM_Qty_Per_Batch]*IFERROR(INDEX(PP_Grid[#Data],M_BOM[PPGridRow],74),0))</f>
        <v/>
      </c>
      <c r="BW33">
        <f>SUMPRODUCT((M_BOM[Part Name]=$A33)*M_BOM[RM_Qty_Per_Batch]*IFERROR(INDEX(PP_Grid[#Data],M_BOM[PPGridRow],75),0))</f>
        <v/>
      </c>
      <c r="BX33">
        <f>SUMPRODUCT((M_BOM[Part Name]=$A33)*M_BOM[RM_Qty_Per_Batch]*IFERROR(INDEX(PP_Grid[#Data],M_BOM[PPGridRow],76),0))</f>
        <v/>
      </c>
      <c r="BY33">
        <f>SUMPRODUCT((M_BOM[Part Name]=$A33)*M_BOM[RM_Qty_Per_Batch]*IFERROR(INDEX(PP_Grid[#Data],M_BOM[PPGridRow],77),0))</f>
        <v/>
      </c>
      <c r="BZ33">
        <f>SUMPRODUCT((M_BOM[Part Name]=$A33)*M_BOM[RM_Qty_Per_Batch]*IFERROR(INDEX(PP_Grid[#Data],M_BOM[PPGridRow],78),0))</f>
        <v/>
      </c>
      <c r="CA33">
        <f>SUMPRODUCT((M_BOM[Part Name]=$A33)*M_BOM[RM_Qty_Per_Batch]*IFERROR(INDEX(PP_Grid[#Data],M_BOM[PPGridRow],79),0))</f>
        <v/>
      </c>
      <c r="CB33">
        <f>SUMPRODUCT((M_BOM[Part Name]=$A33)*M_BOM[RM_Qty_Per_Batch]*IFERROR(INDEX(PP_Grid[#Data],M_BOM[PPGridRow],80),0))</f>
        <v/>
      </c>
      <c r="CC33">
        <f>SUMPRODUCT((M_BOM[Part Name]=$A33)*M_BOM[RM_Qty_Per_Batch]*IFERROR(INDEX(PP_Grid[#Data],M_BOM[PPGridRow],81),0))</f>
        <v/>
      </c>
      <c r="CD33">
        <f>SUMPRODUCT((M_BOM[Part Name]=$A33)*M_BOM[RM_Qty_Per_Batch]*IFERROR(INDEX(PP_Grid[#Data],M_BOM[PPGridRow],82),0))</f>
        <v/>
      </c>
      <c r="CE33">
        <f>SUMPRODUCT((M_BOM[Part Name]=$A33)*M_BOM[RM_Qty_Per_Batch]*IFERROR(INDEX(PP_Grid[#Data],M_BOM[PPGridRow],83),0))</f>
        <v/>
      </c>
      <c r="CF33">
        <f>SUMPRODUCT((M_BOM[Part Name]=$A33)*M_BOM[RM_Qty_Per_Batch]*IFERROR(INDEX(PP_Grid[#Data],M_BOM[PPGridRow],84),0))</f>
        <v/>
      </c>
      <c r="CG33">
        <f>SUMPRODUCT((M_BOM[Part Name]=$A33)*M_BOM[RM_Qty_Per_Batch]*IFERROR(INDEX(PP_Grid[#Data],M_BOM[PPGridRow],85),0))</f>
        <v/>
      </c>
      <c r="CH33">
        <f>SUMPRODUCT((M_BOM[Part Name]=$A33)*M_BOM[RM_Qty_Per_Batch]*IFERROR(INDEX(PP_Grid[#Data],M_BOM[PPGridRow],86),0))</f>
        <v/>
      </c>
      <c r="CI33">
        <f>SUMPRODUCT((M_BOM[Part Name]=$A33)*M_BOM[RM_Qty_Per_Batch]*IFERROR(INDEX(PP_Grid[#Data],M_BOM[PPGridRow],87),0))</f>
        <v/>
      </c>
      <c r="CJ33">
        <f>SUMPRODUCT((M_BOM[Part Name]=$A33)*M_BOM[RM_Qty_Per_Batch]*IFERROR(INDEX(PP_Grid[#Data],M_BOM[PPGridRow],88),0))</f>
        <v/>
      </c>
      <c r="CK33">
        <f>SUMPRODUCT((M_BOM[Part Name]=$A33)*M_BOM[RM_Qty_Per_Batch]*IFERROR(INDEX(PP_Grid[#Data],M_BOM[PPGridRow],89),0))</f>
        <v/>
      </c>
      <c r="CL33">
        <f>SUMPRODUCT((M_BOM[Part Name]=$A33)*M_BOM[RM_Qty_Per_Batch]*IFERROR(INDEX(PP_Grid[#Data],M_BOM[PPGridRow],90),0))</f>
        <v/>
      </c>
      <c r="CM33">
        <f>SUMPRODUCT((M_BOM[Part Name]=$A33)*M_BOM[RM_Qty_Per_Batch]*IFERROR(INDEX(PP_Grid[#Data],M_BOM[PPGridRow],91),0))</f>
        <v/>
      </c>
      <c r="CN33">
        <f>SUMPRODUCT((M_BOM[Part Name]=$A33)*M_BOM[RM_Qty_Per_Batch]*IFERROR(INDEX(PP_Grid[#Data],M_BOM[PPGridRow],92),0))</f>
        <v/>
      </c>
      <c r="CO33">
        <f>SUMPRODUCT((M_BOM[Part Name]=$A33)*M_BOM[RM_Qty_Per_Batch]*IFERROR(INDEX(PP_Grid[#Data],M_BOM[PPGridRow],93),0))</f>
        <v/>
      </c>
      <c r="CP33">
        <f>SUMPRODUCT((M_BOM[Part Name]=$A33)*M_BOM[RM_Qty_Per_Batch]*IFERROR(INDEX(PP_Grid[#Data],M_BOM[PPGridRow],94),0))</f>
        <v/>
      </c>
      <c r="CQ33">
        <f>SUMPRODUCT((M_BOM[Part Name]=$A33)*M_BOM[RM_Qty_Per_Batch]*IFERROR(INDEX(PP_Grid[#Data],M_BOM[PPGridRow],95),0))</f>
        <v/>
      </c>
      <c r="CR33">
        <f>SUMPRODUCT((M_BOM[Part Name]=$A33)*M_BOM[RM_Qty_Per_Batch]*IFERROR(INDEX(PP_Grid[#Data],M_BOM[PPGridRow],96),0))</f>
        <v/>
      </c>
      <c r="CS33">
        <f>SUMPRODUCT((M_BOM[Part Name]=$A33)*M_BOM[RM_Qty_Per_Batch]*IFERROR(INDEX(PP_Grid[#Data],M_BOM[PPGridRow],97),0))</f>
        <v/>
      </c>
      <c r="CT33">
        <f>SUMPRODUCT((M_BOM[Part Name]=$A33)*M_BOM[RM_Qty_Per_Batch]*IFERROR(INDEX(PP_Grid[#Data],M_BOM[PPGridRow],98),0))</f>
        <v/>
      </c>
      <c r="CU33">
        <f>SUMPRODUCT((M_BOM[Part Name]=$A33)*M_BOM[RM_Qty_Per_Batch]*IFERROR(INDEX(PP_Grid[#Data],M_BOM[PPGridRow],99),0))</f>
        <v/>
      </c>
      <c r="CV33">
        <f>SUMPRODUCT((M_BOM[Part Name]=$A33)*M_BOM[RM_Qty_Per_Batch]*IFERROR(INDEX(PP_Grid[#Data],M_BOM[PPGridRow],100),0))</f>
        <v/>
      </c>
      <c r="CW33">
        <f>SUMPRODUCT((M_BOM[Part Name]=$A33)*M_BOM[RM_Qty_Per_Batch]*IFERROR(INDEX(PP_Grid[#Data],M_BOM[PPGridRow],101),0))</f>
        <v/>
      </c>
      <c r="CX33">
        <f>SUMPRODUCT((M_BOM[Part Name]=$A33)*M_BOM[RM_Qty_Per_Batch]*IFERROR(INDEX(PP_Grid[#Data],M_BOM[PPGridRow],102),0))</f>
        <v/>
      </c>
      <c r="CY33">
        <f>SUMPRODUCT((M_BOM[Part Name]=$A33)*M_BOM[RM_Qty_Per_Batch]*IFERROR(INDEX(PP_Grid[#Data],M_BOM[PPGridRow],103),0))</f>
        <v/>
      </c>
      <c r="CZ33">
        <f>SUMPRODUCT((M_BOM[Part Name]=$A33)*M_BOM[RM_Qty_Per_Batch]*IFERROR(INDEX(PP_Grid[#Data],M_BOM[PPGridRow],104),0))</f>
        <v/>
      </c>
      <c r="DA33">
        <f>SUMPRODUCT((M_BOM[Part Name]=$A33)*M_BOM[RM_Qty_Per_Batch]*IFERROR(INDEX(PP_Grid[#Data],M_BOM[PPGridRow],105),0))</f>
        <v/>
      </c>
    </row>
    <row r="34">
      <c r="A34" t="inlineStr">
        <is>
          <t>CHEM-1560</t>
        </is>
      </c>
      <c r="B34">
        <f>SUMPRODUCT((M_BOM[Part Name]=$A34)*M_BOM[RM_Qty_Per_Batch]*IFERROR(INDEX(PP_Grid[#Data],M_BOM[PPGridRow],2),0))</f>
        <v/>
      </c>
      <c r="C34">
        <f>SUMPRODUCT((M_BOM[Part Name]=$A34)*M_BOM[RM_Qty_Per_Batch]*IFERROR(INDEX(PP_Grid[#Data],M_BOM[PPGridRow],3),0))</f>
        <v/>
      </c>
      <c r="D34">
        <f>SUMPRODUCT((M_BOM[Part Name]=$A34)*M_BOM[RM_Qty_Per_Batch]*IFERROR(INDEX(PP_Grid[#Data],M_BOM[PPGridRow],4),0))</f>
        <v/>
      </c>
      <c r="E34">
        <f>SUMPRODUCT((M_BOM[Part Name]=$A34)*M_BOM[RM_Qty_Per_Batch]*IFERROR(INDEX(PP_Grid[#Data],M_BOM[PPGridRow],5),0))</f>
        <v/>
      </c>
      <c r="F34">
        <f>SUMPRODUCT((M_BOM[Part Name]=$A34)*M_BOM[RM_Qty_Per_Batch]*IFERROR(INDEX(PP_Grid[#Data],M_BOM[PPGridRow],6),0))</f>
        <v/>
      </c>
      <c r="G34">
        <f>SUMPRODUCT((M_BOM[Part Name]=$A34)*M_BOM[RM_Qty_Per_Batch]*IFERROR(INDEX(PP_Grid[#Data],M_BOM[PPGridRow],7),0))</f>
        <v/>
      </c>
      <c r="H34">
        <f>SUMPRODUCT((M_BOM[Part Name]=$A34)*M_BOM[RM_Qty_Per_Batch]*IFERROR(INDEX(PP_Grid[#Data],M_BOM[PPGridRow],8),0))</f>
        <v/>
      </c>
      <c r="I34">
        <f>SUMPRODUCT((M_BOM[Part Name]=$A34)*M_BOM[RM_Qty_Per_Batch]*IFERROR(INDEX(PP_Grid[#Data],M_BOM[PPGridRow],9),0))</f>
        <v/>
      </c>
      <c r="J34">
        <f>SUMPRODUCT((M_BOM[Part Name]=$A34)*M_BOM[RM_Qty_Per_Batch]*IFERROR(INDEX(PP_Grid[#Data],M_BOM[PPGridRow],10),0))</f>
        <v/>
      </c>
      <c r="K34">
        <f>SUMPRODUCT((M_BOM[Part Name]=$A34)*M_BOM[RM_Qty_Per_Batch]*IFERROR(INDEX(PP_Grid[#Data],M_BOM[PPGridRow],11),0))</f>
        <v/>
      </c>
      <c r="L34">
        <f>SUMPRODUCT((M_BOM[Part Name]=$A34)*M_BOM[RM_Qty_Per_Batch]*IFERROR(INDEX(PP_Grid[#Data],M_BOM[PPGridRow],12),0))</f>
        <v/>
      </c>
      <c r="M34">
        <f>SUMPRODUCT((M_BOM[Part Name]=$A34)*M_BOM[RM_Qty_Per_Batch]*IFERROR(INDEX(PP_Grid[#Data],M_BOM[PPGridRow],13),0))</f>
        <v/>
      </c>
      <c r="N34">
        <f>SUMPRODUCT((M_BOM[Part Name]=$A34)*M_BOM[RM_Qty_Per_Batch]*IFERROR(INDEX(PP_Grid[#Data],M_BOM[PPGridRow],14),0))</f>
        <v/>
      </c>
      <c r="O34">
        <f>SUMPRODUCT((M_BOM[Part Name]=$A34)*M_BOM[RM_Qty_Per_Batch]*IFERROR(INDEX(PP_Grid[#Data],M_BOM[PPGridRow],15),0))</f>
        <v/>
      </c>
      <c r="P34">
        <f>SUMPRODUCT((M_BOM[Part Name]=$A34)*M_BOM[RM_Qty_Per_Batch]*IFERROR(INDEX(PP_Grid[#Data],M_BOM[PPGridRow],16),0))</f>
        <v/>
      </c>
      <c r="Q34">
        <f>SUMPRODUCT((M_BOM[Part Name]=$A34)*M_BOM[RM_Qty_Per_Batch]*IFERROR(INDEX(PP_Grid[#Data],M_BOM[PPGridRow],17),0))</f>
        <v/>
      </c>
      <c r="R34">
        <f>SUMPRODUCT((M_BOM[Part Name]=$A34)*M_BOM[RM_Qty_Per_Batch]*IFERROR(INDEX(PP_Grid[#Data],M_BOM[PPGridRow],18),0))</f>
        <v/>
      </c>
      <c r="S34">
        <f>SUMPRODUCT((M_BOM[Part Name]=$A34)*M_BOM[RM_Qty_Per_Batch]*IFERROR(INDEX(PP_Grid[#Data],M_BOM[PPGridRow],19),0))</f>
        <v/>
      </c>
      <c r="T34">
        <f>SUMPRODUCT((M_BOM[Part Name]=$A34)*M_BOM[RM_Qty_Per_Batch]*IFERROR(INDEX(PP_Grid[#Data],M_BOM[PPGridRow],20),0))</f>
        <v/>
      </c>
      <c r="U34">
        <f>SUMPRODUCT((M_BOM[Part Name]=$A34)*M_BOM[RM_Qty_Per_Batch]*IFERROR(INDEX(PP_Grid[#Data],M_BOM[PPGridRow],21),0))</f>
        <v/>
      </c>
      <c r="V34">
        <f>SUMPRODUCT((M_BOM[Part Name]=$A34)*M_BOM[RM_Qty_Per_Batch]*IFERROR(INDEX(PP_Grid[#Data],M_BOM[PPGridRow],22),0))</f>
        <v/>
      </c>
      <c r="W34">
        <f>SUMPRODUCT((M_BOM[Part Name]=$A34)*M_BOM[RM_Qty_Per_Batch]*IFERROR(INDEX(PP_Grid[#Data],M_BOM[PPGridRow],23),0))</f>
        <v/>
      </c>
      <c r="X34">
        <f>SUMPRODUCT((M_BOM[Part Name]=$A34)*M_BOM[RM_Qty_Per_Batch]*IFERROR(INDEX(PP_Grid[#Data],M_BOM[PPGridRow],24),0))</f>
        <v/>
      </c>
      <c r="Y34">
        <f>SUMPRODUCT((M_BOM[Part Name]=$A34)*M_BOM[RM_Qty_Per_Batch]*IFERROR(INDEX(PP_Grid[#Data],M_BOM[PPGridRow],25),0))</f>
        <v/>
      </c>
      <c r="Z34">
        <f>SUMPRODUCT((M_BOM[Part Name]=$A34)*M_BOM[RM_Qty_Per_Batch]*IFERROR(INDEX(PP_Grid[#Data],M_BOM[PPGridRow],26),0))</f>
        <v/>
      </c>
      <c r="AA34">
        <f>SUMPRODUCT((M_BOM[Part Name]=$A34)*M_BOM[RM_Qty_Per_Batch]*IFERROR(INDEX(PP_Grid[#Data],M_BOM[PPGridRow],27),0))</f>
        <v/>
      </c>
      <c r="AB34">
        <f>SUMPRODUCT((M_BOM[Part Name]=$A34)*M_BOM[RM_Qty_Per_Batch]*IFERROR(INDEX(PP_Grid[#Data],M_BOM[PPGridRow],28),0))</f>
        <v/>
      </c>
      <c r="AC34">
        <f>SUMPRODUCT((M_BOM[Part Name]=$A34)*M_BOM[RM_Qty_Per_Batch]*IFERROR(INDEX(PP_Grid[#Data],M_BOM[PPGridRow],29),0))</f>
        <v/>
      </c>
      <c r="AD34">
        <f>SUMPRODUCT((M_BOM[Part Name]=$A34)*M_BOM[RM_Qty_Per_Batch]*IFERROR(INDEX(PP_Grid[#Data],M_BOM[PPGridRow],30),0))</f>
        <v/>
      </c>
      <c r="AE34">
        <f>SUMPRODUCT((M_BOM[Part Name]=$A34)*M_BOM[RM_Qty_Per_Batch]*IFERROR(INDEX(PP_Grid[#Data],M_BOM[PPGridRow],31),0))</f>
        <v/>
      </c>
      <c r="AF34">
        <f>SUMPRODUCT((M_BOM[Part Name]=$A34)*M_BOM[RM_Qty_Per_Batch]*IFERROR(INDEX(PP_Grid[#Data],M_BOM[PPGridRow],32),0))</f>
        <v/>
      </c>
      <c r="AG34">
        <f>SUMPRODUCT((M_BOM[Part Name]=$A34)*M_BOM[RM_Qty_Per_Batch]*IFERROR(INDEX(PP_Grid[#Data],M_BOM[PPGridRow],33),0))</f>
        <v/>
      </c>
      <c r="AH34">
        <f>SUMPRODUCT((M_BOM[Part Name]=$A34)*M_BOM[RM_Qty_Per_Batch]*IFERROR(INDEX(PP_Grid[#Data],M_BOM[PPGridRow],34),0))</f>
        <v/>
      </c>
      <c r="AI34">
        <f>SUMPRODUCT((M_BOM[Part Name]=$A34)*M_BOM[RM_Qty_Per_Batch]*IFERROR(INDEX(PP_Grid[#Data],M_BOM[PPGridRow],35),0))</f>
        <v/>
      </c>
      <c r="AJ34">
        <f>SUMPRODUCT((M_BOM[Part Name]=$A34)*M_BOM[RM_Qty_Per_Batch]*IFERROR(INDEX(PP_Grid[#Data],M_BOM[PPGridRow],36),0))</f>
        <v/>
      </c>
      <c r="AK34">
        <f>SUMPRODUCT((M_BOM[Part Name]=$A34)*M_BOM[RM_Qty_Per_Batch]*IFERROR(INDEX(PP_Grid[#Data],M_BOM[PPGridRow],37),0))</f>
        <v/>
      </c>
      <c r="AL34">
        <f>SUMPRODUCT((M_BOM[Part Name]=$A34)*M_BOM[RM_Qty_Per_Batch]*IFERROR(INDEX(PP_Grid[#Data],M_BOM[PPGridRow],38),0))</f>
        <v/>
      </c>
      <c r="AM34">
        <f>SUMPRODUCT((M_BOM[Part Name]=$A34)*M_BOM[RM_Qty_Per_Batch]*IFERROR(INDEX(PP_Grid[#Data],M_BOM[PPGridRow],39),0))</f>
        <v/>
      </c>
      <c r="AN34">
        <f>SUMPRODUCT((M_BOM[Part Name]=$A34)*M_BOM[RM_Qty_Per_Batch]*IFERROR(INDEX(PP_Grid[#Data],M_BOM[PPGridRow],40),0))</f>
        <v/>
      </c>
      <c r="AO34">
        <f>SUMPRODUCT((M_BOM[Part Name]=$A34)*M_BOM[RM_Qty_Per_Batch]*IFERROR(INDEX(PP_Grid[#Data],M_BOM[PPGridRow],41),0))</f>
        <v/>
      </c>
      <c r="AP34">
        <f>SUMPRODUCT((M_BOM[Part Name]=$A34)*M_BOM[RM_Qty_Per_Batch]*IFERROR(INDEX(PP_Grid[#Data],M_BOM[PPGridRow],42),0))</f>
        <v/>
      </c>
      <c r="AQ34">
        <f>SUMPRODUCT((M_BOM[Part Name]=$A34)*M_BOM[RM_Qty_Per_Batch]*IFERROR(INDEX(PP_Grid[#Data],M_BOM[PPGridRow],43),0))</f>
        <v/>
      </c>
      <c r="AR34">
        <f>SUMPRODUCT((M_BOM[Part Name]=$A34)*M_BOM[RM_Qty_Per_Batch]*IFERROR(INDEX(PP_Grid[#Data],M_BOM[PPGridRow],44),0))</f>
        <v/>
      </c>
      <c r="AS34">
        <f>SUMPRODUCT((M_BOM[Part Name]=$A34)*M_BOM[RM_Qty_Per_Batch]*IFERROR(INDEX(PP_Grid[#Data],M_BOM[PPGridRow],45),0))</f>
        <v/>
      </c>
      <c r="AT34">
        <f>SUMPRODUCT((M_BOM[Part Name]=$A34)*M_BOM[RM_Qty_Per_Batch]*IFERROR(INDEX(PP_Grid[#Data],M_BOM[PPGridRow],46),0))</f>
        <v/>
      </c>
      <c r="AU34">
        <f>SUMPRODUCT((M_BOM[Part Name]=$A34)*M_BOM[RM_Qty_Per_Batch]*IFERROR(INDEX(PP_Grid[#Data],M_BOM[PPGridRow],47),0))</f>
        <v/>
      </c>
      <c r="AV34">
        <f>SUMPRODUCT((M_BOM[Part Name]=$A34)*M_BOM[RM_Qty_Per_Batch]*IFERROR(INDEX(PP_Grid[#Data],M_BOM[PPGridRow],48),0))</f>
        <v/>
      </c>
      <c r="AW34">
        <f>SUMPRODUCT((M_BOM[Part Name]=$A34)*M_BOM[RM_Qty_Per_Batch]*IFERROR(INDEX(PP_Grid[#Data],M_BOM[PPGridRow],49),0))</f>
        <v/>
      </c>
      <c r="AX34">
        <f>SUMPRODUCT((M_BOM[Part Name]=$A34)*M_BOM[RM_Qty_Per_Batch]*IFERROR(INDEX(PP_Grid[#Data],M_BOM[PPGridRow],50),0))</f>
        <v/>
      </c>
      <c r="AY34">
        <f>SUMPRODUCT((M_BOM[Part Name]=$A34)*M_BOM[RM_Qty_Per_Batch]*IFERROR(INDEX(PP_Grid[#Data],M_BOM[PPGridRow],51),0))</f>
        <v/>
      </c>
      <c r="AZ34">
        <f>SUMPRODUCT((M_BOM[Part Name]=$A34)*M_BOM[RM_Qty_Per_Batch]*IFERROR(INDEX(PP_Grid[#Data],M_BOM[PPGridRow],52),0))</f>
        <v/>
      </c>
      <c r="BA34">
        <f>SUMPRODUCT((M_BOM[Part Name]=$A34)*M_BOM[RM_Qty_Per_Batch]*IFERROR(INDEX(PP_Grid[#Data],M_BOM[PPGridRow],53),0))</f>
        <v/>
      </c>
      <c r="BB34">
        <f>SUMPRODUCT((M_BOM[Part Name]=$A34)*M_BOM[RM_Qty_Per_Batch]*IFERROR(INDEX(PP_Grid[#Data],M_BOM[PPGridRow],54),0))</f>
        <v/>
      </c>
      <c r="BC34">
        <f>SUMPRODUCT((M_BOM[Part Name]=$A34)*M_BOM[RM_Qty_Per_Batch]*IFERROR(INDEX(PP_Grid[#Data],M_BOM[PPGridRow],55),0))</f>
        <v/>
      </c>
      <c r="BD34">
        <f>SUMPRODUCT((M_BOM[Part Name]=$A34)*M_BOM[RM_Qty_Per_Batch]*IFERROR(INDEX(PP_Grid[#Data],M_BOM[PPGridRow],56),0))</f>
        <v/>
      </c>
      <c r="BE34">
        <f>SUMPRODUCT((M_BOM[Part Name]=$A34)*M_BOM[RM_Qty_Per_Batch]*IFERROR(INDEX(PP_Grid[#Data],M_BOM[PPGridRow],57),0))</f>
        <v/>
      </c>
      <c r="BF34">
        <f>SUMPRODUCT((M_BOM[Part Name]=$A34)*M_BOM[RM_Qty_Per_Batch]*IFERROR(INDEX(PP_Grid[#Data],M_BOM[PPGridRow],58),0))</f>
        <v/>
      </c>
      <c r="BG34">
        <f>SUMPRODUCT((M_BOM[Part Name]=$A34)*M_BOM[RM_Qty_Per_Batch]*IFERROR(INDEX(PP_Grid[#Data],M_BOM[PPGridRow],59),0))</f>
        <v/>
      </c>
      <c r="BH34">
        <f>SUMPRODUCT((M_BOM[Part Name]=$A34)*M_BOM[RM_Qty_Per_Batch]*IFERROR(INDEX(PP_Grid[#Data],M_BOM[PPGridRow],60),0))</f>
        <v/>
      </c>
      <c r="BI34">
        <f>SUMPRODUCT((M_BOM[Part Name]=$A34)*M_BOM[RM_Qty_Per_Batch]*IFERROR(INDEX(PP_Grid[#Data],M_BOM[PPGridRow],61),0))</f>
        <v/>
      </c>
      <c r="BJ34">
        <f>SUMPRODUCT((M_BOM[Part Name]=$A34)*M_BOM[RM_Qty_Per_Batch]*IFERROR(INDEX(PP_Grid[#Data],M_BOM[PPGridRow],62),0))</f>
        <v/>
      </c>
      <c r="BK34">
        <f>SUMPRODUCT((M_BOM[Part Name]=$A34)*M_BOM[RM_Qty_Per_Batch]*IFERROR(INDEX(PP_Grid[#Data],M_BOM[PPGridRow],63),0))</f>
        <v/>
      </c>
      <c r="BL34">
        <f>SUMPRODUCT((M_BOM[Part Name]=$A34)*M_BOM[RM_Qty_Per_Batch]*IFERROR(INDEX(PP_Grid[#Data],M_BOM[PPGridRow],64),0))</f>
        <v/>
      </c>
      <c r="BM34">
        <f>SUMPRODUCT((M_BOM[Part Name]=$A34)*M_BOM[RM_Qty_Per_Batch]*IFERROR(INDEX(PP_Grid[#Data],M_BOM[PPGridRow],65),0))</f>
        <v/>
      </c>
      <c r="BN34">
        <f>SUMPRODUCT((M_BOM[Part Name]=$A34)*M_BOM[RM_Qty_Per_Batch]*IFERROR(INDEX(PP_Grid[#Data],M_BOM[PPGridRow],66),0))</f>
        <v/>
      </c>
      <c r="BO34">
        <f>SUMPRODUCT((M_BOM[Part Name]=$A34)*M_BOM[RM_Qty_Per_Batch]*IFERROR(INDEX(PP_Grid[#Data],M_BOM[PPGridRow],67),0))</f>
        <v/>
      </c>
      <c r="BP34">
        <f>SUMPRODUCT((M_BOM[Part Name]=$A34)*M_BOM[RM_Qty_Per_Batch]*IFERROR(INDEX(PP_Grid[#Data],M_BOM[PPGridRow],68),0))</f>
        <v/>
      </c>
      <c r="BQ34">
        <f>SUMPRODUCT((M_BOM[Part Name]=$A34)*M_BOM[RM_Qty_Per_Batch]*IFERROR(INDEX(PP_Grid[#Data],M_BOM[PPGridRow],69),0))</f>
        <v/>
      </c>
      <c r="BR34">
        <f>SUMPRODUCT((M_BOM[Part Name]=$A34)*M_BOM[RM_Qty_Per_Batch]*IFERROR(INDEX(PP_Grid[#Data],M_BOM[PPGridRow],70),0))</f>
        <v/>
      </c>
      <c r="BS34">
        <f>SUMPRODUCT((M_BOM[Part Name]=$A34)*M_BOM[RM_Qty_Per_Batch]*IFERROR(INDEX(PP_Grid[#Data],M_BOM[PPGridRow],71),0))</f>
        <v/>
      </c>
      <c r="BT34">
        <f>SUMPRODUCT((M_BOM[Part Name]=$A34)*M_BOM[RM_Qty_Per_Batch]*IFERROR(INDEX(PP_Grid[#Data],M_BOM[PPGridRow],72),0))</f>
        <v/>
      </c>
      <c r="BU34">
        <f>SUMPRODUCT((M_BOM[Part Name]=$A34)*M_BOM[RM_Qty_Per_Batch]*IFERROR(INDEX(PP_Grid[#Data],M_BOM[PPGridRow],73),0))</f>
        <v/>
      </c>
      <c r="BV34">
        <f>SUMPRODUCT((M_BOM[Part Name]=$A34)*M_BOM[RM_Qty_Per_Batch]*IFERROR(INDEX(PP_Grid[#Data],M_BOM[PPGridRow],74),0))</f>
        <v/>
      </c>
      <c r="BW34">
        <f>SUMPRODUCT((M_BOM[Part Name]=$A34)*M_BOM[RM_Qty_Per_Batch]*IFERROR(INDEX(PP_Grid[#Data],M_BOM[PPGridRow],75),0))</f>
        <v/>
      </c>
      <c r="BX34">
        <f>SUMPRODUCT((M_BOM[Part Name]=$A34)*M_BOM[RM_Qty_Per_Batch]*IFERROR(INDEX(PP_Grid[#Data],M_BOM[PPGridRow],76),0))</f>
        <v/>
      </c>
      <c r="BY34">
        <f>SUMPRODUCT((M_BOM[Part Name]=$A34)*M_BOM[RM_Qty_Per_Batch]*IFERROR(INDEX(PP_Grid[#Data],M_BOM[PPGridRow],77),0))</f>
        <v/>
      </c>
      <c r="BZ34">
        <f>SUMPRODUCT((M_BOM[Part Name]=$A34)*M_BOM[RM_Qty_Per_Batch]*IFERROR(INDEX(PP_Grid[#Data],M_BOM[PPGridRow],78),0))</f>
        <v/>
      </c>
      <c r="CA34">
        <f>SUMPRODUCT((M_BOM[Part Name]=$A34)*M_BOM[RM_Qty_Per_Batch]*IFERROR(INDEX(PP_Grid[#Data],M_BOM[PPGridRow],79),0))</f>
        <v/>
      </c>
      <c r="CB34">
        <f>SUMPRODUCT((M_BOM[Part Name]=$A34)*M_BOM[RM_Qty_Per_Batch]*IFERROR(INDEX(PP_Grid[#Data],M_BOM[PPGridRow],80),0))</f>
        <v/>
      </c>
      <c r="CC34">
        <f>SUMPRODUCT((M_BOM[Part Name]=$A34)*M_BOM[RM_Qty_Per_Batch]*IFERROR(INDEX(PP_Grid[#Data],M_BOM[PPGridRow],81),0))</f>
        <v/>
      </c>
      <c r="CD34">
        <f>SUMPRODUCT((M_BOM[Part Name]=$A34)*M_BOM[RM_Qty_Per_Batch]*IFERROR(INDEX(PP_Grid[#Data],M_BOM[PPGridRow],82),0))</f>
        <v/>
      </c>
      <c r="CE34">
        <f>SUMPRODUCT((M_BOM[Part Name]=$A34)*M_BOM[RM_Qty_Per_Batch]*IFERROR(INDEX(PP_Grid[#Data],M_BOM[PPGridRow],83),0))</f>
        <v/>
      </c>
      <c r="CF34">
        <f>SUMPRODUCT((M_BOM[Part Name]=$A34)*M_BOM[RM_Qty_Per_Batch]*IFERROR(INDEX(PP_Grid[#Data],M_BOM[PPGridRow],84),0))</f>
        <v/>
      </c>
      <c r="CG34">
        <f>SUMPRODUCT((M_BOM[Part Name]=$A34)*M_BOM[RM_Qty_Per_Batch]*IFERROR(INDEX(PP_Grid[#Data],M_BOM[PPGridRow],85),0))</f>
        <v/>
      </c>
      <c r="CH34">
        <f>SUMPRODUCT((M_BOM[Part Name]=$A34)*M_BOM[RM_Qty_Per_Batch]*IFERROR(INDEX(PP_Grid[#Data],M_BOM[PPGridRow],86),0))</f>
        <v/>
      </c>
      <c r="CI34">
        <f>SUMPRODUCT((M_BOM[Part Name]=$A34)*M_BOM[RM_Qty_Per_Batch]*IFERROR(INDEX(PP_Grid[#Data],M_BOM[PPGridRow],87),0))</f>
        <v/>
      </c>
      <c r="CJ34">
        <f>SUMPRODUCT((M_BOM[Part Name]=$A34)*M_BOM[RM_Qty_Per_Batch]*IFERROR(INDEX(PP_Grid[#Data],M_BOM[PPGridRow],88),0))</f>
        <v/>
      </c>
      <c r="CK34">
        <f>SUMPRODUCT((M_BOM[Part Name]=$A34)*M_BOM[RM_Qty_Per_Batch]*IFERROR(INDEX(PP_Grid[#Data],M_BOM[PPGridRow],89),0))</f>
        <v/>
      </c>
      <c r="CL34">
        <f>SUMPRODUCT((M_BOM[Part Name]=$A34)*M_BOM[RM_Qty_Per_Batch]*IFERROR(INDEX(PP_Grid[#Data],M_BOM[PPGridRow],90),0))</f>
        <v/>
      </c>
      <c r="CM34">
        <f>SUMPRODUCT((M_BOM[Part Name]=$A34)*M_BOM[RM_Qty_Per_Batch]*IFERROR(INDEX(PP_Grid[#Data],M_BOM[PPGridRow],91),0))</f>
        <v/>
      </c>
      <c r="CN34">
        <f>SUMPRODUCT((M_BOM[Part Name]=$A34)*M_BOM[RM_Qty_Per_Batch]*IFERROR(INDEX(PP_Grid[#Data],M_BOM[PPGridRow],92),0))</f>
        <v/>
      </c>
      <c r="CO34">
        <f>SUMPRODUCT((M_BOM[Part Name]=$A34)*M_BOM[RM_Qty_Per_Batch]*IFERROR(INDEX(PP_Grid[#Data],M_BOM[PPGridRow],93),0))</f>
        <v/>
      </c>
      <c r="CP34">
        <f>SUMPRODUCT((M_BOM[Part Name]=$A34)*M_BOM[RM_Qty_Per_Batch]*IFERROR(INDEX(PP_Grid[#Data],M_BOM[PPGridRow],94),0))</f>
        <v/>
      </c>
      <c r="CQ34">
        <f>SUMPRODUCT((M_BOM[Part Name]=$A34)*M_BOM[RM_Qty_Per_Batch]*IFERROR(INDEX(PP_Grid[#Data],M_BOM[PPGridRow],95),0))</f>
        <v/>
      </c>
      <c r="CR34">
        <f>SUMPRODUCT((M_BOM[Part Name]=$A34)*M_BOM[RM_Qty_Per_Batch]*IFERROR(INDEX(PP_Grid[#Data],M_BOM[PPGridRow],96),0))</f>
        <v/>
      </c>
      <c r="CS34">
        <f>SUMPRODUCT((M_BOM[Part Name]=$A34)*M_BOM[RM_Qty_Per_Batch]*IFERROR(INDEX(PP_Grid[#Data],M_BOM[PPGridRow],97),0))</f>
        <v/>
      </c>
      <c r="CT34">
        <f>SUMPRODUCT((M_BOM[Part Name]=$A34)*M_BOM[RM_Qty_Per_Batch]*IFERROR(INDEX(PP_Grid[#Data],M_BOM[PPGridRow],98),0))</f>
        <v/>
      </c>
      <c r="CU34">
        <f>SUMPRODUCT((M_BOM[Part Name]=$A34)*M_BOM[RM_Qty_Per_Batch]*IFERROR(INDEX(PP_Grid[#Data],M_BOM[PPGridRow],99),0))</f>
        <v/>
      </c>
      <c r="CV34">
        <f>SUMPRODUCT((M_BOM[Part Name]=$A34)*M_BOM[RM_Qty_Per_Batch]*IFERROR(INDEX(PP_Grid[#Data],M_BOM[PPGridRow],100),0))</f>
        <v/>
      </c>
      <c r="CW34">
        <f>SUMPRODUCT((M_BOM[Part Name]=$A34)*M_BOM[RM_Qty_Per_Batch]*IFERROR(INDEX(PP_Grid[#Data],M_BOM[PPGridRow],101),0))</f>
        <v/>
      </c>
      <c r="CX34">
        <f>SUMPRODUCT((M_BOM[Part Name]=$A34)*M_BOM[RM_Qty_Per_Batch]*IFERROR(INDEX(PP_Grid[#Data],M_BOM[PPGridRow],102),0))</f>
        <v/>
      </c>
      <c r="CY34">
        <f>SUMPRODUCT((M_BOM[Part Name]=$A34)*M_BOM[RM_Qty_Per_Batch]*IFERROR(INDEX(PP_Grid[#Data],M_BOM[PPGridRow],103),0))</f>
        <v/>
      </c>
      <c r="CZ34">
        <f>SUMPRODUCT((M_BOM[Part Name]=$A34)*M_BOM[RM_Qty_Per_Batch]*IFERROR(INDEX(PP_Grid[#Data],M_BOM[PPGridRow],104),0))</f>
        <v/>
      </c>
      <c r="DA34">
        <f>SUMPRODUCT((M_BOM[Part Name]=$A34)*M_BOM[RM_Qty_Per_Batch]*IFERROR(INDEX(PP_Grid[#Data],M_BOM[PPGridRow],105),0))</f>
        <v/>
      </c>
    </row>
    <row r="35">
      <c r="A35" t="inlineStr">
        <is>
          <t>CHEM-1510</t>
        </is>
      </c>
      <c r="B35">
        <f>SUMPRODUCT((M_BOM[Part Name]=$A35)*M_BOM[RM_Qty_Per_Batch]*IFERROR(INDEX(PP_Grid[#Data],M_BOM[PPGridRow],2),0))</f>
        <v/>
      </c>
      <c r="C35">
        <f>SUMPRODUCT((M_BOM[Part Name]=$A35)*M_BOM[RM_Qty_Per_Batch]*IFERROR(INDEX(PP_Grid[#Data],M_BOM[PPGridRow],3),0))</f>
        <v/>
      </c>
      <c r="D35">
        <f>SUMPRODUCT((M_BOM[Part Name]=$A35)*M_BOM[RM_Qty_Per_Batch]*IFERROR(INDEX(PP_Grid[#Data],M_BOM[PPGridRow],4),0))</f>
        <v/>
      </c>
      <c r="E35">
        <f>SUMPRODUCT((M_BOM[Part Name]=$A35)*M_BOM[RM_Qty_Per_Batch]*IFERROR(INDEX(PP_Grid[#Data],M_BOM[PPGridRow],5),0))</f>
        <v/>
      </c>
      <c r="F35">
        <f>SUMPRODUCT((M_BOM[Part Name]=$A35)*M_BOM[RM_Qty_Per_Batch]*IFERROR(INDEX(PP_Grid[#Data],M_BOM[PPGridRow],6),0))</f>
        <v/>
      </c>
      <c r="G35">
        <f>SUMPRODUCT((M_BOM[Part Name]=$A35)*M_BOM[RM_Qty_Per_Batch]*IFERROR(INDEX(PP_Grid[#Data],M_BOM[PPGridRow],7),0))</f>
        <v/>
      </c>
      <c r="H35">
        <f>SUMPRODUCT((M_BOM[Part Name]=$A35)*M_BOM[RM_Qty_Per_Batch]*IFERROR(INDEX(PP_Grid[#Data],M_BOM[PPGridRow],8),0))</f>
        <v/>
      </c>
      <c r="I35">
        <f>SUMPRODUCT((M_BOM[Part Name]=$A35)*M_BOM[RM_Qty_Per_Batch]*IFERROR(INDEX(PP_Grid[#Data],M_BOM[PPGridRow],9),0))</f>
        <v/>
      </c>
      <c r="J35">
        <f>SUMPRODUCT((M_BOM[Part Name]=$A35)*M_BOM[RM_Qty_Per_Batch]*IFERROR(INDEX(PP_Grid[#Data],M_BOM[PPGridRow],10),0))</f>
        <v/>
      </c>
      <c r="K35">
        <f>SUMPRODUCT((M_BOM[Part Name]=$A35)*M_BOM[RM_Qty_Per_Batch]*IFERROR(INDEX(PP_Grid[#Data],M_BOM[PPGridRow],11),0))</f>
        <v/>
      </c>
      <c r="L35">
        <f>SUMPRODUCT((M_BOM[Part Name]=$A35)*M_BOM[RM_Qty_Per_Batch]*IFERROR(INDEX(PP_Grid[#Data],M_BOM[PPGridRow],12),0))</f>
        <v/>
      </c>
      <c r="M35">
        <f>SUMPRODUCT((M_BOM[Part Name]=$A35)*M_BOM[RM_Qty_Per_Batch]*IFERROR(INDEX(PP_Grid[#Data],M_BOM[PPGridRow],13),0))</f>
        <v/>
      </c>
      <c r="N35">
        <f>SUMPRODUCT((M_BOM[Part Name]=$A35)*M_BOM[RM_Qty_Per_Batch]*IFERROR(INDEX(PP_Grid[#Data],M_BOM[PPGridRow],14),0))</f>
        <v/>
      </c>
      <c r="O35">
        <f>SUMPRODUCT((M_BOM[Part Name]=$A35)*M_BOM[RM_Qty_Per_Batch]*IFERROR(INDEX(PP_Grid[#Data],M_BOM[PPGridRow],15),0))</f>
        <v/>
      </c>
      <c r="P35">
        <f>SUMPRODUCT((M_BOM[Part Name]=$A35)*M_BOM[RM_Qty_Per_Batch]*IFERROR(INDEX(PP_Grid[#Data],M_BOM[PPGridRow],16),0))</f>
        <v/>
      </c>
      <c r="Q35">
        <f>SUMPRODUCT((M_BOM[Part Name]=$A35)*M_BOM[RM_Qty_Per_Batch]*IFERROR(INDEX(PP_Grid[#Data],M_BOM[PPGridRow],17),0))</f>
        <v/>
      </c>
      <c r="R35">
        <f>SUMPRODUCT((M_BOM[Part Name]=$A35)*M_BOM[RM_Qty_Per_Batch]*IFERROR(INDEX(PP_Grid[#Data],M_BOM[PPGridRow],18),0))</f>
        <v/>
      </c>
      <c r="S35">
        <f>SUMPRODUCT((M_BOM[Part Name]=$A35)*M_BOM[RM_Qty_Per_Batch]*IFERROR(INDEX(PP_Grid[#Data],M_BOM[PPGridRow],19),0))</f>
        <v/>
      </c>
      <c r="T35">
        <f>SUMPRODUCT((M_BOM[Part Name]=$A35)*M_BOM[RM_Qty_Per_Batch]*IFERROR(INDEX(PP_Grid[#Data],M_BOM[PPGridRow],20),0))</f>
        <v/>
      </c>
      <c r="U35">
        <f>SUMPRODUCT((M_BOM[Part Name]=$A35)*M_BOM[RM_Qty_Per_Batch]*IFERROR(INDEX(PP_Grid[#Data],M_BOM[PPGridRow],21),0))</f>
        <v/>
      </c>
      <c r="V35">
        <f>SUMPRODUCT((M_BOM[Part Name]=$A35)*M_BOM[RM_Qty_Per_Batch]*IFERROR(INDEX(PP_Grid[#Data],M_BOM[PPGridRow],22),0))</f>
        <v/>
      </c>
      <c r="W35">
        <f>SUMPRODUCT((M_BOM[Part Name]=$A35)*M_BOM[RM_Qty_Per_Batch]*IFERROR(INDEX(PP_Grid[#Data],M_BOM[PPGridRow],23),0))</f>
        <v/>
      </c>
      <c r="X35">
        <f>SUMPRODUCT((M_BOM[Part Name]=$A35)*M_BOM[RM_Qty_Per_Batch]*IFERROR(INDEX(PP_Grid[#Data],M_BOM[PPGridRow],24),0))</f>
        <v/>
      </c>
      <c r="Y35">
        <f>SUMPRODUCT((M_BOM[Part Name]=$A35)*M_BOM[RM_Qty_Per_Batch]*IFERROR(INDEX(PP_Grid[#Data],M_BOM[PPGridRow],25),0))</f>
        <v/>
      </c>
      <c r="Z35">
        <f>SUMPRODUCT((M_BOM[Part Name]=$A35)*M_BOM[RM_Qty_Per_Batch]*IFERROR(INDEX(PP_Grid[#Data],M_BOM[PPGridRow],26),0))</f>
        <v/>
      </c>
      <c r="AA35">
        <f>SUMPRODUCT((M_BOM[Part Name]=$A35)*M_BOM[RM_Qty_Per_Batch]*IFERROR(INDEX(PP_Grid[#Data],M_BOM[PPGridRow],27),0))</f>
        <v/>
      </c>
      <c r="AB35">
        <f>SUMPRODUCT((M_BOM[Part Name]=$A35)*M_BOM[RM_Qty_Per_Batch]*IFERROR(INDEX(PP_Grid[#Data],M_BOM[PPGridRow],28),0))</f>
        <v/>
      </c>
      <c r="AC35">
        <f>SUMPRODUCT((M_BOM[Part Name]=$A35)*M_BOM[RM_Qty_Per_Batch]*IFERROR(INDEX(PP_Grid[#Data],M_BOM[PPGridRow],29),0))</f>
        <v/>
      </c>
      <c r="AD35">
        <f>SUMPRODUCT((M_BOM[Part Name]=$A35)*M_BOM[RM_Qty_Per_Batch]*IFERROR(INDEX(PP_Grid[#Data],M_BOM[PPGridRow],30),0))</f>
        <v/>
      </c>
      <c r="AE35">
        <f>SUMPRODUCT((M_BOM[Part Name]=$A35)*M_BOM[RM_Qty_Per_Batch]*IFERROR(INDEX(PP_Grid[#Data],M_BOM[PPGridRow],31),0))</f>
        <v/>
      </c>
      <c r="AF35">
        <f>SUMPRODUCT((M_BOM[Part Name]=$A35)*M_BOM[RM_Qty_Per_Batch]*IFERROR(INDEX(PP_Grid[#Data],M_BOM[PPGridRow],32),0))</f>
        <v/>
      </c>
      <c r="AG35">
        <f>SUMPRODUCT((M_BOM[Part Name]=$A35)*M_BOM[RM_Qty_Per_Batch]*IFERROR(INDEX(PP_Grid[#Data],M_BOM[PPGridRow],33),0))</f>
        <v/>
      </c>
      <c r="AH35">
        <f>SUMPRODUCT((M_BOM[Part Name]=$A35)*M_BOM[RM_Qty_Per_Batch]*IFERROR(INDEX(PP_Grid[#Data],M_BOM[PPGridRow],34),0))</f>
        <v/>
      </c>
      <c r="AI35">
        <f>SUMPRODUCT((M_BOM[Part Name]=$A35)*M_BOM[RM_Qty_Per_Batch]*IFERROR(INDEX(PP_Grid[#Data],M_BOM[PPGridRow],35),0))</f>
        <v/>
      </c>
      <c r="AJ35">
        <f>SUMPRODUCT((M_BOM[Part Name]=$A35)*M_BOM[RM_Qty_Per_Batch]*IFERROR(INDEX(PP_Grid[#Data],M_BOM[PPGridRow],36),0))</f>
        <v/>
      </c>
      <c r="AK35">
        <f>SUMPRODUCT((M_BOM[Part Name]=$A35)*M_BOM[RM_Qty_Per_Batch]*IFERROR(INDEX(PP_Grid[#Data],M_BOM[PPGridRow],37),0))</f>
        <v/>
      </c>
      <c r="AL35">
        <f>SUMPRODUCT((M_BOM[Part Name]=$A35)*M_BOM[RM_Qty_Per_Batch]*IFERROR(INDEX(PP_Grid[#Data],M_BOM[PPGridRow],38),0))</f>
        <v/>
      </c>
      <c r="AM35">
        <f>SUMPRODUCT((M_BOM[Part Name]=$A35)*M_BOM[RM_Qty_Per_Batch]*IFERROR(INDEX(PP_Grid[#Data],M_BOM[PPGridRow],39),0))</f>
        <v/>
      </c>
      <c r="AN35">
        <f>SUMPRODUCT((M_BOM[Part Name]=$A35)*M_BOM[RM_Qty_Per_Batch]*IFERROR(INDEX(PP_Grid[#Data],M_BOM[PPGridRow],40),0))</f>
        <v/>
      </c>
      <c r="AO35">
        <f>SUMPRODUCT((M_BOM[Part Name]=$A35)*M_BOM[RM_Qty_Per_Batch]*IFERROR(INDEX(PP_Grid[#Data],M_BOM[PPGridRow],41),0))</f>
        <v/>
      </c>
      <c r="AP35">
        <f>SUMPRODUCT((M_BOM[Part Name]=$A35)*M_BOM[RM_Qty_Per_Batch]*IFERROR(INDEX(PP_Grid[#Data],M_BOM[PPGridRow],42),0))</f>
        <v/>
      </c>
      <c r="AQ35">
        <f>SUMPRODUCT((M_BOM[Part Name]=$A35)*M_BOM[RM_Qty_Per_Batch]*IFERROR(INDEX(PP_Grid[#Data],M_BOM[PPGridRow],43),0))</f>
        <v/>
      </c>
      <c r="AR35">
        <f>SUMPRODUCT((M_BOM[Part Name]=$A35)*M_BOM[RM_Qty_Per_Batch]*IFERROR(INDEX(PP_Grid[#Data],M_BOM[PPGridRow],44),0))</f>
        <v/>
      </c>
      <c r="AS35">
        <f>SUMPRODUCT((M_BOM[Part Name]=$A35)*M_BOM[RM_Qty_Per_Batch]*IFERROR(INDEX(PP_Grid[#Data],M_BOM[PPGridRow],45),0))</f>
        <v/>
      </c>
      <c r="AT35">
        <f>SUMPRODUCT((M_BOM[Part Name]=$A35)*M_BOM[RM_Qty_Per_Batch]*IFERROR(INDEX(PP_Grid[#Data],M_BOM[PPGridRow],46),0))</f>
        <v/>
      </c>
      <c r="AU35">
        <f>SUMPRODUCT((M_BOM[Part Name]=$A35)*M_BOM[RM_Qty_Per_Batch]*IFERROR(INDEX(PP_Grid[#Data],M_BOM[PPGridRow],47),0))</f>
        <v/>
      </c>
      <c r="AV35">
        <f>SUMPRODUCT((M_BOM[Part Name]=$A35)*M_BOM[RM_Qty_Per_Batch]*IFERROR(INDEX(PP_Grid[#Data],M_BOM[PPGridRow],48),0))</f>
        <v/>
      </c>
      <c r="AW35">
        <f>SUMPRODUCT((M_BOM[Part Name]=$A35)*M_BOM[RM_Qty_Per_Batch]*IFERROR(INDEX(PP_Grid[#Data],M_BOM[PPGridRow],49),0))</f>
        <v/>
      </c>
      <c r="AX35">
        <f>SUMPRODUCT((M_BOM[Part Name]=$A35)*M_BOM[RM_Qty_Per_Batch]*IFERROR(INDEX(PP_Grid[#Data],M_BOM[PPGridRow],50),0))</f>
        <v/>
      </c>
      <c r="AY35">
        <f>SUMPRODUCT((M_BOM[Part Name]=$A35)*M_BOM[RM_Qty_Per_Batch]*IFERROR(INDEX(PP_Grid[#Data],M_BOM[PPGridRow],51),0))</f>
        <v/>
      </c>
      <c r="AZ35">
        <f>SUMPRODUCT((M_BOM[Part Name]=$A35)*M_BOM[RM_Qty_Per_Batch]*IFERROR(INDEX(PP_Grid[#Data],M_BOM[PPGridRow],52),0))</f>
        <v/>
      </c>
      <c r="BA35">
        <f>SUMPRODUCT((M_BOM[Part Name]=$A35)*M_BOM[RM_Qty_Per_Batch]*IFERROR(INDEX(PP_Grid[#Data],M_BOM[PPGridRow],53),0))</f>
        <v/>
      </c>
      <c r="BB35">
        <f>SUMPRODUCT((M_BOM[Part Name]=$A35)*M_BOM[RM_Qty_Per_Batch]*IFERROR(INDEX(PP_Grid[#Data],M_BOM[PPGridRow],54),0))</f>
        <v/>
      </c>
      <c r="BC35">
        <f>SUMPRODUCT((M_BOM[Part Name]=$A35)*M_BOM[RM_Qty_Per_Batch]*IFERROR(INDEX(PP_Grid[#Data],M_BOM[PPGridRow],55),0))</f>
        <v/>
      </c>
      <c r="BD35">
        <f>SUMPRODUCT((M_BOM[Part Name]=$A35)*M_BOM[RM_Qty_Per_Batch]*IFERROR(INDEX(PP_Grid[#Data],M_BOM[PPGridRow],56),0))</f>
        <v/>
      </c>
      <c r="BE35">
        <f>SUMPRODUCT((M_BOM[Part Name]=$A35)*M_BOM[RM_Qty_Per_Batch]*IFERROR(INDEX(PP_Grid[#Data],M_BOM[PPGridRow],57),0))</f>
        <v/>
      </c>
      <c r="BF35">
        <f>SUMPRODUCT((M_BOM[Part Name]=$A35)*M_BOM[RM_Qty_Per_Batch]*IFERROR(INDEX(PP_Grid[#Data],M_BOM[PPGridRow],58),0))</f>
        <v/>
      </c>
      <c r="BG35">
        <f>SUMPRODUCT((M_BOM[Part Name]=$A35)*M_BOM[RM_Qty_Per_Batch]*IFERROR(INDEX(PP_Grid[#Data],M_BOM[PPGridRow],59),0))</f>
        <v/>
      </c>
      <c r="BH35">
        <f>SUMPRODUCT((M_BOM[Part Name]=$A35)*M_BOM[RM_Qty_Per_Batch]*IFERROR(INDEX(PP_Grid[#Data],M_BOM[PPGridRow],60),0))</f>
        <v/>
      </c>
      <c r="BI35">
        <f>SUMPRODUCT((M_BOM[Part Name]=$A35)*M_BOM[RM_Qty_Per_Batch]*IFERROR(INDEX(PP_Grid[#Data],M_BOM[PPGridRow],61),0))</f>
        <v/>
      </c>
      <c r="BJ35">
        <f>SUMPRODUCT((M_BOM[Part Name]=$A35)*M_BOM[RM_Qty_Per_Batch]*IFERROR(INDEX(PP_Grid[#Data],M_BOM[PPGridRow],62),0))</f>
        <v/>
      </c>
      <c r="BK35">
        <f>SUMPRODUCT((M_BOM[Part Name]=$A35)*M_BOM[RM_Qty_Per_Batch]*IFERROR(INDEX(PP_Grid[#Data],M_BOM[PPGridRow],63),0))</f>
        <v/>
      </c>
      <c r="BL35">
        <f>SUMPRODUCT((M_BOM[Part Name]=$A35)*M_BOM[RM_Qty_Per_Batch]*IFERROR(INDEX(PP_Grid[#Data],M_BOM[PPGridRow],64),0))</f>
        <v/>
      </c>
      <c r="BM35">
        <f>SUMPRODUCT((M_BOM[Part Name]=$A35)*M_BOM[RM_Qty_Per_Batch]*IFERROR(INDEX(PP_Grid[#Data],M_BOM[PPGridRow],65),0))</f>
        <v/>
      </c>
      <c r="BN35">
        <f>SUMPRODUCT((M_BOM[Part Name]=$A35)*M_BOM[RM_Qty_Per_Batch]*IFERROR(INDEX(PP_Grid[#Data],M_BOM[PPGridRow],66),0))</f>
        <v/>
      </c>
      <c r="BO35">
        <f>SUMPRODUCT((M_BOM[Part Name]=$A35)*M_BOM[RM_Qty_Per_Batch]*IFERROR(INDEX(PP_Grid[#Data],M_BOM[PPGridRow],67),0))</f>
        <v/>
      </c>
      <c r="BP35">
        <f>SUMPRODUCT((M_BOM[Part Name]=$A35)*M_BOM[RM_Qty_Per_Batch]*IFERROR(INDEX(PP_Grid[#Data],M_BOM[PPGridRow],68),0))</f>
        <v/>
      </c>
      <c r="BQ35">
        <f>SUMPRODUCT((M_BOM[Part Name]=$A35)*M_BOM[RM_Qty_Per_Batch]*IFERROR(INDEX(PP_Grid[#Data],M_BOM[PPGridRow],69),0))</f>
        <v/>
      </c>
      <c r="BR35">
        <f>SUMPRODUCT((M_BOM[Part Name]=$A35)*M_BOM[RM_Qty_Per_Batch]*IFERROR(INDEX(PP_Grid[#Data],M_BOM[PPGridRow],70),0))</f>
        <v/>
      </c>
      <c r="BS35">
        <f>SUMPRODUCT((M_BOM[Part Name]=$A35)*M_BOM[RM_Qty_Per_Batch]*IFERROR(INDEX(PP_Grid[#Data],M_BOM[PPGridRow],71),0))</f>
        <v/>
      </c>
      <c r="BT35">
        <f>SUMPRODUCT((M_BOM[Part Name]=$A35)*M_BOM[RM_Qty_Per_Batch]*IFERROR(INDEX(PP_Grid[#Data],M_BOM[PPGridRow],72),0))</f>
        <v/>
      </c>
      <c r="BU35">
        <f>SUMPRODUCT((M_BOM[Part Name]=$A35)*M_BOM[RM_Qty_Per_Batch]*IFERROR(INDEX(PP_Grid[#Data],M_BOM[PPGridRow],73),0))</f>
        <v/>
      </c>
      <c r="BV35">
        <f>SUMPRODUCT((M_BOM[Part Name]=$A35)*M_BOM[RM_Qty_Per_Batch]*IFERROR(INDEX(PP_Grid[#Data],M_BOM[PPGridRow],74),0))</f>
        <v/>
      </c>
      <c r="BW35">
        <f>SUMPRODUCT((M_BOM[Part Name]=$A35)*M_BOM[RM_Qty_Per_Batch]*IFERROR(INDEX(PP_Grid[#Data],M_BOM[PPGridRow],75),0))</f>
        <v/>
      </c>
      <c r="BX35">
        <f>SUMPRODUCT((M_BOM[Part Name]=$A35)*M_BOM[RM_Qty_Per_Batch]*IFERROR(INDEX(PP_Grid[#Data],M_BOM[PPGridRow],76),0))</f>
        <v/>
      </c>
      <c r="BY35">
        <f>SUMPRODUCT((M_BOM[Part Name]=$A35)*M_BOM[RM_Qty_Per_Batch]*IFERROR(INDEX(PP_Grid[#Data],M_BOM[PPGridRow],77),0))</f>
        <v/>
      </c>
      <c r="BZ35">
        <f>SUMPRODUCT((M_BOM[Part Name]=$A35)*M_BOM[RM_Qty_Per_Batch]*IFERROR(INDEX(PP_Grid[#Data],M_BOM[PPGridRow],78),0))</f>
        <v/>
      </c>
      <c r="CA35">
        <f>SUMPRODUCT((M_BOM[Part Name]=$A35)*M_BOM[RM_Qty_Per_Batch]*IFERROR(INDEX(PP_Grid[#Data],M_BOM[PPGridRow],79),0))</f>
        <v/>
      </c>
      <c r="CB35">
        <f>SUMPRODUCT((M_BOM[Part Name]=$A35)*M_BOM[RM_Qty_Per_Batch]*IFERROR(INDEX(PP_Grid[#Data],M_BOM[PPGridRow],80),0))</f>
        <v/>
      </c>
      <c r="CC35">
        <f>SUMPRODUCT((M_BOM[Part Name]=$A35)*M_BOM[RM_Qty_Per_Batch]*IFERROR(INDEX(PP_Grid[#Data],M_BOM[PPGridRow],81),0))</f>
        <v/>
      </c>
      <c r="CD35">
        <f>SUMPRODUCT((M_BOM[Part Name]=$A35)*M_BOM[RM_Qty_Per_Batch]*IFERROR(INDEX(PP_Grid[#Data],M_BOM[PPGridRow],82),0))</f>
        <v/>
      </c>
      <c r="CE35">
        <f>SUMPRODUCT((M_BOM[Part Name]=$A35)*M_BOM[RM_Qty_Per_Batch]*IFERROR(INDEX(PP_Grid[#Data],M_BOM[PPGridRow],83),0))</f>
        <v/>
      </c>
      <c r="CF35">
        <f>SUMPRODUCT((M_BOM[Part Name]=$A35)*M_BOM[RM_Qty_Per_Batch]*IFERROR(INDEX(PP_Grid[#Data],M_BOM[PPGridRow],84),0))</f>
        <v/>
      </c>
      <c r="CG35">
        <f>SUMPRODUCT((M_BOM[Part Name]=$A35)*M_BOM[RM_Qty_Per_Batch]*IFERROR(INDEX(PP_Grid[#Data],M_BOM[PPGridRow],85),0))</f>
        <v/>
      </c>
      <c r="CH35">
        <f>SUMPRODUCT((M_BOM[Part Name]=$A35)*M_BOM[RM_Qty_Per_Batch]*IFERROR(INDEX(PP_Grid[#Data],M_BOM[PPGridRow],86),0))</f>
        <v/>
      </c>
      <c r="CI35">
        <f>SUMPRODUCT((M_BOM[Part Name]=$A35)*M_BOM[RM_Qty_Per_Batch]*IFERROR(INDEX(PP_Grid[#Data],M_BOM[PPGridRow],87),0))</f>
        <v/>
      </c>
      <c r="CJ35">
        <f>SUMPRODUCT((M_BOM[Part Name]=$A35)*M_BOM[RM_Qty_Per_Batch]*IFERROR(INDEX(PP_Grid[#Data],M_BOM[PPGridRow],88),0))</f>
        <v/>
      </c>
      <c r="CK35">
        <f>SUMPRODUCT((M_BOM[Part Name]=$A35)*M_BOM[RM_Qty_Per_Batch]*IFERROR(INDEX(PP_Grid[#Data],M_BOM[PPGridRow],89),0))</f>
        <v/>
      </c>
      <c r="CL35">
        <f>SUMPRODUCT((M_BOM[Part Name]=$A35)*M_BOM[RM_Qty_Per_Batch]*IFERROR(INDEX(PP_Grid[#Data],M_BOM[PPGridRow],90),0))</f>
        <v/>
      </c>
      <c r="CM35">
        <f>SUMPRODUCT((M_BOM[Part Name]=$A35)*M_BOM[RM_Qty_Per_Batch]*IFERROR(INDEX(PP_Grid[#Data],M_BOM[PPGridRow],91),0))</f>
        <v/>
      </c>
      <c r="CN35">
        <f>SUMPRODUCT((M_BOM[Part Name]=$A35)*M_BOM[RM_Qty_Per_Batch]*IFERROR(INDEX(PP_Grid[#Data],M_BOM[PPGridRow],92),0))</f>
        <v/>
      </c>
      <c r="CO35">
        <f>SUMPRODUCT((M_BOM[Part Name]=$A35)*M_BOM[RM_Qty_Per_Batch]*IFERROR(INDEX(PP_Grid[#Data],M_BOM[PPGridRow],93),0))</f>
        <v/>
      </c>
      <c r="CP35">
        <f>SUMPRODUCT((M_BOM[Part Name]=$A35)*M_BOM[RM_Qty_Per_Batch]*IFERROR(INDEX(PP_Grid[#Data],M_BOM[PPGridRow],94),0))</f>
        <v/>
      </c>
      <c r="CQ35">
        <f>SUMPRODUCT((M_BOM[Part Name]=$A35)*M_BOM[RM_Qty_Per_Batch]*IFERROR(INDEX(PP_Grid[#Data],M_BOM[PPGridRow],95),0))</f>
        <v/>
      </c>
      <c r="CR35">
        <f>SUMPRODUCT((M_BOM[Part Name]=$A35)*M_BOM[RM_Qty_Per_Batch]*IFERROR(INDEX(PP_Grid[#Data],M_BOM[PPGridRow],96),0))</f>
        <v/>
      </c>
      <c r="CS35">
        <f>SUMPRODUCT((M_BOM[Part Name]=$A35)*M_BOM[RM_Qty_Per_Batch]*IFERROR(INDEX(PP_Grid[#Data],M_BOM[PPGridRow],97),0))</f>
        <v/>
      </c>
      <c r="CT35">
        <f>SUMPRODUCT((M_BOM[Part Name]=$A35)*M_BOM[RM_Qty_Per_Batch]*IFERROR(INDEX(PP_Grid[#Data],M_BOM[PPGridRow],98),0))</f>
        <v/>
      </c>
      <c r="CU35">
        <f>SUMPRODUCT((M_BOM[Part Name]=$A35)*M_BOM[RM_Qty_Per_Batch]*IFERROR(INDEX(PP_Grid[#Data],M_BOM[PPGridRow],99),0))</f>
        <v/>
      </c>
      <c r="CV35">
        <f>SUMPRODUCT((M_BOM[Part Name]=$A35)*M_BOM[RM_Qty_Per_Batch]*IFERROR(INDEX(PP_Grid[#Data],M_BOM[PPGridRow],100),0))</f>
        <v/>
      </c>
      <c r="CW35">
        <f>SUMPRODUCT((M_BOM[Part Name]=$A35)*M_BOM[RM_Qty_Per_Batch]*IFERROR(INDEX(PP_Grid[#Data],M_BOM[PPGridRow],101),0))</f>
        <v/>
      </c>
      <c r="CX35">
        <f>SUMPRODUCT((M_BOM[Part Name]=$A35)*M_BOM[RM_Qty_Per_Batch]*IFERROR(INDEX(PP_Grid[#Data],M_BOM[PPGridRow],102),0))</f>
        <v/>
      </c>
      <c r="CY35">
        <f>SUMPRODUCT((M_BOM[Part Name]=$A35)*M_BOM[RM_Qty_Per_Batch]*IFERROR(INDEX(PP_Grid[#Data],M_BOM[PPGridRow],103),0))</f>
        <v/>
      </c>
      <c r="CZ35">
        <f>SUMPRODUCT((M_BOM[Part Name]=$A35)*M_BOM[RM_Qty_Per_Batch]*IFERROR(INDEX(PP_Grid[#Data],M_BOM[PPGridRow],104),0))</f>
        <v/>
      </c>
      <c r="DA35">
        <f>SUMPRODUCT((M_BOM[Part Name]=$A35)*M_BOM[RM_Qty_Per_Batch]*IFERROR(INDEX(PP_Grid[#Data],M_BOM[PPGridRow],105),0))</f>
        <v/>
      </c>
    </row>
    <row r="36">
      <c r="A36" t="inlineStr">
        <is>
          <t>CHEM-1770</t>
        </is>
      </c>
      <c r="B36">
        <f>SUMPRODUCT((M_BOM[Part Name]=$A36)*M_BOM[RM_Qty_Per_Batch]*IFERROR(INDEX(PP_Grid[#Data],M_BOM[PPGridRow],2),0))</f>
        <v/>
      </c>
      <c r="C36">
        <f>SUMPRODUCT((M_BOM[Part Name]=$A36)*M_BOM[RM_Qty_Per_Batch]*IFERROR(INDEX(PP_Grid[#Data],M_BOM[PPGridRow],3),0))</f>
        <v/>
      </c>
      <c r="D36">
        <f>SUMPRODUCT((M_BOM[Part Name]=$A36)*M_BOM[RM_Qty_Per_Batch]*IFERROR(INDEX(PP_Grid[#Data],M_BOM[PPGridRow],4),0))</f>
        <v/>
      </c>
      <c r="E36">
        <f>SUMPRODUCT((M_BOM[Part Name]=$A36)*M_BOM[RM_Qty_Per_Batch]*IFERROR(INDEX(PP_Grid[#Data],M_BOM[PPGridRow],5),0))</f>
        <v/>
      </c>
      <c r="F36">
        <f>SUMPRODUCT((M_BOM[Part Name]=$A36)*M_BOM[RM_Qty_Per_Batch]*IFERROR(INDEX(PP_Grid[#Data],M_BOM[PPGridRow],6),0))</f>
        <v/>
      </c>
      <c r="G36">
        <f>SUMPRODUCT((M_BOM[Part Name]=$A36)*M_BOM[RM_Qty_Per_Batch]*IFERROR(INDEX(PP_Grid[#Data],M_BOM[PPGridRow],7),0))</f>
        <v/>
      </c>
      <c r="H36">
        <f>SUMPRODUCT((M_BOM[Part Name]=$A36)*M_BOM[RM_Qty_Per_Batch]*IFERROR(INDEX(PP_Grid[#Data],M_BOM[PPGridRow],8),0))</f>
        <v/>
      </c>
      <c r="I36">
        <f>SUMPRODUCT((M_BOM[Part Name]=$A36)*M_BOM[RM_Qty_Per_Batch]*IFERROR(INDEX(PP_Grid[#Data],M_BOM[PPGridRow],9),0))</f>
        <v/>
      </c>
      <c r="J36">
        <f>SUMPRODUCT((M_BOM[Part Name]=$A36)*M_BOM[RM_Qty_Per_Batch]*IFERROR(INDEX(PP_Grid[#Data],M_BOM[PPGridRow],10),0))</f>
        <v/>
      </c>
      <c r="K36">
        <f>SUMPRODUCT((M_BOM[Part Name]=$A36)*M_BOM[RM_Qty_Per_Batch]*IFERROR(INDEX(PP_Grid[#Data],M_BOM[PPGridRow],11),0))</f>
        <v/>
      </c>
      <c r="L36">
        <f>SUMPRODUCT((M_BOM[Part Name]=$A36)*M_BOM[RM_Qty_Per_Batch]*IFERROR(INDEX(PP_Grid[#Data],M_BOM[PPGridRow],12),0))</f>
        <v/>
      </c>
      <c r="M36">
        <f>SUMPRODUCT((M_BOM[Part Name]=$A36)*M_BOM[RM_Qty_Per_Batch]*IFERROR(INDEX(PP_Grid[#Data],M_BOM[PPGridRow],13),0))</f>
        <v/>
      </c>
      <c r="N36">
        <f>SUMPRODUCT((M_BOM[Part Name]=$A36)*M_BOM[RM_Qty_Per_Batch]*IFERROR(INDEX(PP_Grid[#Data],M_BOM[PPGridRow],14),0))</f>
        <v/>
      </c>
      <c r="O36">
        <f>SUMPRODUCT((M_BOM[Part Name]=$A36)*M_BOM[RM_Qty_Per_Batch]*IFERROR(INDEX(PP_Grid[#Data],M_BOM[PPGridRow],15),0))</f>
        <v/>
      </c>
      <c r="P36">
        <f>SUMPRODUCT((M_BOM[Part Name]=$A36)*M_BOM[RM_Qty_Per_Batch]*IFERROR(INDEX(PP_Grid[#Data],M_BOM[PPGridRow],16),0))</f>
        <v/>
      </c>
      <c r="Q36">
        <f>SUMPRODUCT((M_BOM[Part Name]=$A36)*M_BOM[RM_Qty_Per_Batch]*IFERROR(INDEX(PP_Grid[#Data],M_BOM[PPGridRow],17),0))</f>
        <v/>
      </c>
      <c r="R36">
        <f>SUMPRODUCT((M_BOM[Part Name]=$A36)*M_BOM[RM_Qty_Per_Batch]*IFERROR(INDEX(PP_Grid[#Data],M_BOM[PPGridRow],18),0))</f>
        <v/>
      </c>
      <c r="S36">
        <f>SUMPRODUCT((M_BOM[Part Name]=$A36)*M_BOM[RM_Qty_Per_Batch]*IFERROR(INDEX(PP_Grid[#Data],M_BOM[PPGridRow],19),0))</f>
        <v/>
      </c>
      <c r="T36">
        <f>SUMPRODUCT((M_BOM[Part Name]=$A36)*M_BOM[RM_Qty_Per_Batch]*IFERROR(INDEX(PP_Grid[#Data],M_BOM[PPGridRow],20),0))</f>
        <v/>
      </c>
      <c r="U36">
        <f>SUMPRODUCT((M_BOM[Part Name]=$A36)*M_BOM[RM_Qty_Per_Batch]*IFERROR(INDEX(PP_Grid[#Data],M_BOM[PPGridRow],21),0))</f>
        <v/>
      </c>
      <c r="V36">
        <f>SUMPRODUCT((M_BOM[Part Name]=$A36)*M_BOM[RM_Qty_Per_Batch]*IFERROR(INDEX(PP_Grid[#Data],M_BOM[PPGridRow],22),0))</f>
        <v/>
      </c>
      <c r="W36">
        <f>SUMPRODUCT((M_BOM[Part Name]=$A36)*M_BOM[RM_Qty_Per_Batch]*IFERROR(INDEX(PP_Grid[#Data],M_BOM[PPGridRow],23),0))</f>
        <v/>
      </c>
      <c r="X36">
        <f>SUMPRODUCT((M_BOM[Part Name]=$A36)*M_BOM[RM_Qty_Per_Batch]*IFERROR(INDEX(PP_Grid[#Data],M_BOM[PPGridRow],24),0))</f>
        <v/>
      </c>
      <c r="Y36">
        <f>SUMPRODUCT((M_BOM[Part Name]=$A36)*M_BOM[RM_Qty_Per_Batch]*IFERROR(INDEX(PP_Grid[#Data],M_BOM[PPGridRow],25),0))</f>
        <v/>
      </c>
      <c r="Z36">
        <f>SUMPRODUCT((M_BOM[Part Name]=$A36)*M_BOM[RM_Qty_Per_Batch]*IFERROR(INDEX(PP_Grid[#Data],M_BOM[PPGridRow],26),0))</f>
        <v/>
      </c>
      <c r="AA36">
        <f>SUMPRODUCT((M_BOM[Part Name]=$A36)*M_BOM[RM_Qty_Per_Batch]*IFERROR(INDEX(PP_Grid[#Data],M_BOM[PPGridRow],27),0))</f>
        <v/>
      </c>
      <c r="AB36">
        <f>SUMPRODUCT((M_BOM[Part Name]=$A36)*M_BOM[RM_Qty_Per_Batch]*IFERROR(INDEX(PP_Grid[#Data],M_BOM[PPGridRow],28),0))</f>
        <v/>
      </c>
      <c r="AC36">
        <f>SUMPRODUCT((M_BOM[Part Name]=$A36)*M_BOM[RM_Qty_Per_Batch]*IFERROR(INDEX(PP_Grid[#Data],M_BOM[PPGridRow],29),0))</f>
        <v/>
      </c>
      <c r="AD36">
        <f>SUMPRODUCT((M_BOM[Part Name]=$A36)*M_BOM[RM_Qty_Per_Batch]*IFERROR(INDEX(PP_Grid[#Data],M_BOM[PPGridRow],30),0))</f>
        <v/>
      </c>
      <c r="AE36">
        <f>SUMPRODUCT((M_BOM[Part Name]=$A36)*M_BOM[RM_Qty_Per_Batch]*IFERROR(INDEX(PP_Grid[#Data],M_BOM[PPGridRow],31),0))</f>
        <v/>
      </c>
      <c r="AF36">
        <f>SUMPRODUCT((M_BOM[Part Name]=$A36)*M_BOM[RM_Qty_Per_Batch]*IFERROR(INDEX(PP_Grid[#Data],M_BOM[PPGridRow],32),0))</f>
        <v/>
      </c>
      <c r="AG36">
        <f>SUMPRODUCT((M_BOM[Part Name]=$A36)*M_BOM[RM_Qty_Per_Batch]*IFERROR(INDEX(PP_Grid[#Data],M_BOM[PPGridRow],33),0))</f>
        <v/>
      </c>
      <c r="AH36">
        <f>SUMPRODUCT((M_BOM[Part Name]=$A36)*M_BOM[RM_Qty_Per_Batch]*IFERROR(INDEX(PP_Grid[#Data],M_BOM[PPGridRow],34),0))</f>
        <v/>
      </c>
      <c r="AI36">
        <f>SUMPRODUCT((M_BOM[Part Name]=$A36)*M_BOM[RM_Qty_Per_Batch]*IFERROR(INDEX(PP_Grid[#Data],M_BOM[PPGridRow],35),0))</f>
        <v/>
      </c>
      <c r="AJ36">
        <f>SUMPRODUCT((M_BOM[Part Name]=$A36)*M_BOM[RM_Qty_Per_Batch]*IFERROR(INDEX(PP_Grid[#Data],M_BOM[PPGridRow],36),0))</f>
        <v/>
      </c>
      <c r="AK36">
        <f>SUMPRODUCT((M_BOM[Part Name]=$A36)*M_BOM[RM_Qty_Per_Batch]*IFERROR(INDEX(PP_Grid[#Data],M_BOM[PPGridRow],37),0))</f>
        <v/>
      </c>
      <c r="AL36">
        <f>SUMPRODUCT((M_BOM[Part Name]=$A36)*M_BOM[RM_Qty_Per_Batch]*IFERROR(INDEX(PP_Grid[#Data],M_BOM[PPGridRow],38),0))</f>
        <v/>
      </c>
      <c r="AM36">
        <f>SUMPRODUCT((M_BOM[Part Name]=$A36)*M_BOM[RM_Qty_Per_Batch]*IFERROR(INDEX(PP_Grid[#Data],M_BOM[PPGridRow],39),0))</f>
        <v/>
      </c>
      <c r="AN36">
        <f>SUMPRODUCT((M_BOM[Part Name]=$A36)*M_BOM[RM_Qty_Per_Batch]*IFERROR(INDEX(PP_Grid[#Data],M_BOM[PPGridRow],40),0))</f>
        <v/>
      </c>
      <c r="AO36">
        <f>SUMPRODUCT((M_BOM[Part Name]=$A36)*M_BOM[RM_Qty_Per_Batch]*IFERROR(INDEX(PP_Grid[#Data],M_BOM[PPGridRow],41),0))</f>
        <v/>
      </c>
      <c r="AP36">
        <f>SUMPRODUCT((M_BOM[Part Name]=$A36)*M_BOM[RM_Qty_Per_Batch]*IFERROR(INDEX(PP_Grid[#Data],M_BOM[PPGridRow],42),0))</f>
        <v/>
      </c>
      <c r="AQ36">
        <f>SUMPRODUCT((M_BOM[Part Name]=$A36)*M_BOM[RM_Qty_Per_Batch]*IFERROR(INDEX(PP_Grid[#Data],M_BOM[PPGridRow],43),0))</f>
        <v/>
      </c>
      <c r="AR36">
        <f>SUMPRODUCT((M_BOM[Part Name]=$A36)*M_BOM[RM_Qty_Per_Batch]*IFERROR(INDEX(PP_Grid[#Data],M_BOM[PPGridRow],44),0))</f>
        <v/>
      </c>
      <c r="AS36">
        <f>SUMPRODUCT((M_BOM[Part Name]=$A36)*M_BOM[RM_Qty_Per_Batch]*IFERROR(INDEX(PP_Grid[#Data],M_BOM[PPGridRow],45),0))</f>
        <v/>
      </c>
      <c r="AT36">
        <f>SUMPRODUCT((M_BOM[Part Name]=$A36)*M_BOM[RM_Qty_Per_Batch]*IFERROR(INDEX(PP_Grid[#Data],M_BOM[PPGridRow],46),0))</f>
        <v/>
      </c>
      <c r="AU36">
        <f>SUMPRODUCT((M_BOM[Part Name]=$A36)*M_BOM[RM_Qty_Per_Batch]*IFERROR(INDEX(PP_Grid[#Data],M_BOM[PPGridRow],47),0))</f>
        <v/>
      </c>
      <c r="AV36">
        <f>SUMPRODUCT((M_BOM[Part Name]=$A36)*M_BOM[RM_Qty_Per_Batch]*IFERROR(INDEX(PP_Grid[#Data],M_BOM[PPGridRow],48),0))</f>
        <v/>
      </c>
      <c r="AW36">
        <f>SUMPRODUCT((M_BOM[Part Name]=$A36)*M_BOM[RM_Qty_Per_Batch]*IFERROR(INDEX(PP_Grid[#Data],M_BOM[PPGridRow],49),0))</f>
        <v/>
      </c>
      <c r="AX36">
        <f>SUMPRODUCT((M_BOM[Part Name]=$A36)*M_BOM[RM_Qty_Per_Batch]*IFERROR(INDEX(PP_Grid[#Data],M_BOM[PPGridRow],50),0))</f>
        <v/>
      </c>
      <c r="AY36">
        <f>SUMPRODUCT((M_BOM[Part Name]=$A36)*M_BOM[RM_Qty_Per_Batch]*IFERROR(INDEX(PP_Grid[#Data],M_BOM[PPGridRow],51),0))</f>
        <v/>
      </c>
      <c r="AZ36">
        <f>SUMPRODUCT((M_BOM[Part Name]=$A36)*M_BOM[RM_Qty_Per_Batch]*IFERROR(INDEX(PP_Grid[#Data],M_BOM[PPGridRow],52),0))</f>
        <v/>
      </c>
      <c r="BA36">
        <f>SUMPRODUCT((M_BOM[Part Name]=$A36)*M_BOM[RM_Qty_Per_Batch]*IFERROR(INDEX(PP_Grid[#Data],M_BOM[PPGridRow],53),0))</f>
        <v/>
      </c>
      <c r="BB36">
        <f>SUMPRODUCT((M_BOM[Part Name]=$A36)*M_BOM[RM_Qty_Per_Batch]*IFERROR(INDEX(PP_Grid[#Data],M_BOM[PPGridRow],54),0))</f>
        <v/>
      </c>
      <c r="BC36">
        <f>SUMPRODUCT((M_BOM[Part Name]=$A36)*M_BOM[RM_Qty_Per_Batch]*IFERROR(INDEX(PP_Grid[#Data],M_BOM[PPGridRow],55),0))</f>
        <v/>
      </c>
      <c r="BD36">
        <f>SUMPRODUCT((M_BOM[Part Name]=$A36)*M_BOM[RM_Qty_Per_Batch]*IFERROR(INDEX(PP_Grid[#Data],M_BOM[PPGridRow],56),0))</f>
        <v/>
      </c>
      <c r="BE36">
        <f>SUMPRODUCT((M_BOM[Part Name]=$A36)*M_BOM[RM_Qty_Per_Batch]*IFERROR(INDEX(PP_Grid[#Data],M_BOM[PPGridRow],57),0))</f>
        <v/>
      </c>
      <c r="BF36">
        <f>SUMPRODUCT((M_BOM[Part Name]=$A36)*M_BOM[RM_Qty_Per_Batch]*IFERROR(INDEX(PP_Grid[#Data],M_BOM[PPGridRow],58),0))</f>
        <v/>
      </c>
      <c r="BG36">
        <f>SUMPRODUCT((M_BOM[Part Name]=$A36)*M_BOM[RM_Qty_Per_Batch]*IFERROR(INDEX(PP_Grid[#Data],M_BOM[PPGridRow],59),0))</f>
        <v/>
      </c>
      <c r="BH36">
        <f>SUMPRODUCT((M_BOM[Part Name]=$A36)*M_BOM[RM_Qty_Per_Batch]*IFERROR(INDEX(PP_Grid[#Data],M_BOM[PPGridRow],60),0))</f>
        <v/>
      </c>
      <c r="BI36">
        <f>SUMPRODUCT((M_BOM[Part Name]=$A36)*M_BOM[RM_Qty_Per_Batch]*IFERROR(INDEX(PP_Grid[#Data],M_BOM[PPGridRow],61),0))</f>
        <v/>
      </c>
      <c r="BJ36">
        <f>SUMPRODUCT((M_BOM[Part Name]=$A36)*M_BOM[RM_Qty_Per_Batch]*IFERROR(INDEX(PP_Grid[#Data],M_BOM[PPGridRow],62),0))</f>
        <v/>
      </c>
      <c r="BK36">
        <f>SUMPRODUCT((M_BOM[Part Name]=$A36)*M_BOM[RM_Qty_Per_Batch]*IFERROR(INDEX(PP_Grid[#Data],M_BOM[PPGridRow],63),0))</f>
        <v/>
      </c>
      <c r="BL36">
        <f>SUMPRODUCT((M_BOM[Part Name]=$A36)*M_BOM[RM_Qty_Per_Batch]*IFERROR(INDEX(PP_Grid[#Data],M_BOM[PPGridRow],64),0))</f>
        <v/>
      </c>
      <c r="BM36">
        <f>SUMPRODUCT((M_BOM[Part Name]=$A36)*M_BOM[RM_Qty_Per_Batch]*IFERROR(INDEX(PP_Grid[#Data],M_BOM[PPGridRow],65),0))</f>
        <v/>
      </c>
      <c r="BN36">
        <f>SUMPRODUCT((M_BOM[Part Name]=$A36)*M_BOM[RM_Qty_Per_Batch]*IFERROR(INDEX(PP_Grid[#Data],M_BOM[PPGridRow],66),0))</f>
        <v/>
      </c>
      <c r="BO36">
        <f>SUMPRODUCT((M_BOM[Part Name]=$A36)*M_BOM[RM_Qty_Per_Batch]*IFERROR(INDEX(PP_Grid[#Data],M_BOM[PPGridRow],67),0))</f>
        <v/>
      </c>
      <c r="BP36">
        <f>SUMPRODUCT((M_BOM[Part Name]=$A36)*M_BOM[RM_Qty_Per_Batch]*IFERROR(INDEX(PP_Grid[#Data],M_BOM[PPGridRow],68),0))</f>
        <v/>
      </c>
      <c r="BQ36">
        <f>SUMPRODUCT((M_BOM[Part Name]=$A36)*M_BOM[RM_Qty_Per_Batch]*IFERROR(INDEX(PP_Grid[#Data],M_BOM[PPGridRow],69),0))</f>
        <v/>
      </c>
      <c r="BR36">
        <f>SUMPRODUCT((M_BOM[Part Name]=$A36)*M_BOM[RM_Qty_Per_Batch]*IFERROR(INDEX(PP_Grid[#Data],M_BOM[PPGridRow],70),0))</f>
        <v/>
      </c>
      <c r="BS36">
        <f>SUMPRODUCT((M_BOM[Part Name]=$A36)*M_BOM[RM_Qty_Per_Batch]*IFERROR(INDEX(PP_Grid[#Data],M_BOM[PPGridRow],71),0))</f>
        <v/>
      </c>
      <c r="BT36">
        <f>SUMPRODUCT((M_BOM[Part Name]=$A36)*M_BOM[RM_Qty_Per_Batch]*IFERROR(INDEX(PP_Grid[#Data],M_BOM[PPGridRow],72),0))</f>
        <v/>
      </c>
      <c r="BU36">
        <f>SUMPRODUCT((M_BOM[Part Name]=$A36)*M_BOM[RM_Qty_Per_Batch]*IFERROR(INDEX(PP_Grid[#Data],M_BOM[PPGridRow],73),0))</f>
        <v/>
      </c>
      <c r="BV36">
        <f>SUMPRODUCT((M_BOM[Part Name]=$A36)*M_BOM[RM_Qty_Per_Batch]*IFERROR(INDEX(PP_Grid[#Data],M_BOM[PPGridRow],74),0))</f>
        <v/>
      </c>
      <c r="BW36">
        <f>SUMPRODUCT((M_BOM[Part Name]=$A36)*M_BOM[RM_Qty_Per_Batch]*IFERROR(INDEX(PP_Grid[#Data],M_BOM[PPGridRow],75),0))</f>
        <v/>
      </c>
      <c r="BX36">
        <f>SUMPRODUCT((M_BOM[Part Name]=$A36)*M_BOM[RM_Qty_Per_Batch]*IFERROR(INDEX(PP_Grid[#Data],M_BOM[PPGridRow],76),0))</f>
        <v/>
      </c>
      <c r="BY36">
        <f>SUMPRODUCT((M_BOM[Part Name]=$A36)*M_BOM[RM_Qty_Per_Batch]*IFERROR(INDEX(PP_Grid[#Data],M_BOM[PPGridRow],77),0))</f>
        <v/>
      </c>
      <c r="BZ36">
        <f>SUMPRODUCT((M_BOM[Part Name]=$A36)*M_BOM[RM_Qty_Per_Batch]*IFERROR(INDEX(PP_Grid[#Data],M_BOM[PPGridRow],78),0))</f>
        <v/>
      </c>
      <c r="CA36">
        <f>SUMPRODUCT((M_BOM[Part Name]=$A36)*M_BOM[RM_Qty_Per_Batch]*IFERROR(INDEX(PP_Grid[#Data],M_BOM[PPGridRow],79),0))</f>
        <v/>
      </c>
      <c r="CB36">
        <f>SUMPRODUCT((M_BOM[Part Name]=$A36)*M_BOM[RM_Qty_Per_Batch]*IFERROR(INDEX(PP_Grid[#Data],M_BOM[PPGridRow],80),0))</f>
        <v/>
      </c>
      <c r="CC36">
        <f>SUMPRODUCT((M_BOM[Part Name]=$A36)*M_BOM[RM_Qty_Per_Batch]*IFERROR(INDEX(PP_Grid[#Data],M_BOM[PPGridRow],81),0))</f>
        <v/>
      </c>
      <c r="CD36">
        <f>SUMPRODUCT((M_BOM[Part Name]=$A36)*M_BOM[RM_Qty_Per_Batch]*IFERROR(INDEX(PP_Grid[#Data],M_BOM[PPGridRow],82),0))</f>
        <v/>
      </c>
      <c r="CE36">
        <f>SUMPRODUCT((M_BOM[Part Name]=$A36)*M_BOM[RM_Qty_Per_Batch]*IFERROR(INDEX(PP_Grid[#Data],M_BOM[PPGridRow],83),0))</f>
        <v/>
      </c>
      <c r="CF36">
        <f>SUMPRODUCT((M_BOM[Part Name]=$A36)*M_BOM[RM_Qty_Per_Batch]*IFERROR(INDEX(PP_Grid[#Data],M_BOM[PPGridRow],84),0))</f>
        <v/>
      </c>
      <c r="CG36">
        <f>SUMPRODUCT((M_BOM[Part Name]=$A36)*M_BOM[RM_Qty_Per_Batch]*IFERROR(INDEX(PP_Grid[#Data],M_BOM[PPGridRow],85),0))</f>
        <v/>
      </c>
      <c r="CH36">
        <f>SUMPRODUCT((M_BOM[Part Name]=$A36)*M_BOM[RM_Qty_Per_Batch]*IFERROR(INDEX(PP_Grid[#Data],M_BOM[PPGridRow],86),0))</f>
        <v/>
      </c>
      <c r="CI36">
        <f>SUMPRODUCT((M_BOM[Part Name]=$A36)*M_BOM[RM_Qty_Per_Batch]*IFERROR(INDEX(PP_Grid[#Data],M_BOM[PPGridRow],87),0))</f>
        <v/>
      </c>
      <c r="CJ36">
        <f>SUMPRODUCT((M_BOM[Part Name]=$A36)*M_BOM[RM_Qty_Per_Batch]*IFERROR(INDEX(PP_Grid[#Data],M_BOM[PPGridRow],88),0))</f>
        <v/>
      </c>
      <c r="CK36">
        <f>SUMPRODUCT((M_BOM[Part Name]=$A36)*M_BOM[RM_Qty_Per_Batch]*IFERROR(INDEX(PP_Grid[#Data],M_BOM[PPGridRow],89),0))</f>
        <v/>
      </c>
      <c r="CL36">
        <f>SUMPRODUCT((M_BOM[Part Name]=$A36)*M_BOM[RM_Qty_Per_Batch]*IFERROR(INDEX(PP_Grid[#Data],M_BOM[PPGridRow],90),0))</f>
        <v/>
      </c>
      <c r="CM36">
        <f>SUMPRODUCT((M_BOM[Part Name]=$A36)*M_BOM[RM_Qty_Per_Batch]*IFERROR(INDEX(PP_Grid[#Data],M_BOM[PPGridRow],91),0))</f>
        <v/>
      </c>
      <c r="CN36">
        <f>SUMPRODUCT((M_BOM[Part Name]=$A36)*M_BOM[RM_Qty_Per_Batch]*IFERROR(INDEX(PP_Grid[#Data],M_BOM[PPGridRow],92),0))</f>
        <v/>
      </c>
      <c r="CO36">
        <f>SUMPRODUCT((M_BOM[Part Name]=$A36)*M_BOM[RM_Qty_Per_Batch]*IFERROR(INDEX(PP_Grid[#Data],M_BOM[PPGridRow],93),0))</f>
        <v/>
      </c>
      <c r="CP36">
        <f>SUMPRODUCT((M_BOM[Part Name]=$A36)*M_BOM[RM_Qty_Per_Batch]*IFERROR(INDEX(PP_Grid[#Data],M_BOM[PPGridRow],94),0))</f>
        <v/>
      </c>
      <c r="CQ36">
        <f>SUMPRODUCT((M_BOM[Part Name]=$A36)*M_BOM[RM_Qty_Per_Batch]*IFERROR(INDEX(PP_Grid[#Data],M_BOM[PPGridRow],95),0))</f>
        <v/>
      </c>
      <c r="CR36">
        <f>SUMPRODUCT((M_BOM[Part Name]=$A36)*M_BOM[RM_Qty_Per_Batch]*IFERROR(INDEX(PP_Grid[#Data],M_BOM[PPGridRow],96),0))</f>
        <v/>
      </c>
      <c r="CS36">
        <f>SUMPRODUCT((M_BOM[Part Name]=$A36)*M_BOM[RM_Qty_Per_Batch]*IFERROR(INDEX(PP_Grid[#Data],M_BOM[PPGridRow],97),0))</f>
        <v/>
      </c>
      <c r="CT36">
        <f>SUMPRODUCT((M_BOM[Part Name]=$A36)*M_BOM[RM_Qty_Per_Batch]*IFERROR(INDEX(PP_Grid[#Data],M_BOM[PPGridRow],98),0))</f>
        <v/>
      </c>
      <c r="CU36">
        <f>SUMPRODUCT((M_BOM[Part Name]=$A36)*M_BOM[RM_Qty_Per_Batch]*IFERROR(INDEX(PP_Grid[#Data],M_BOM[PPGridRow],99),0))</f>
        <v/>
      </c>
      <c r="CV36">
        <f>SUMPRODUCT((M_BOM[Part Name]=$A36)*M_BOM[RM_Qty_Per_Batch]*IFERROR(INDEX(PP_Grid[#Data],M_BOM[PPGridRow],100),0))</f>
        <v/>
      </c>
      <c r="CW36">
        <f>SUMPRODUCT((M_BOM[Part Name]=$A36)*M_BOM[RM_Qty_Per_Batch]*IFERROR(INDEX(PP_Grid[#Data],M_BOM[PPGridRow],101),0))</f>
        <v/>
      </c>
      <c r="CX36">
        <f>SUMPRODUCT((M_BOM[Part Name]=$A36)*M_BOM[RM_Qty_Per_Batch]*IFERROR(INDEX(PP_Grid[#Data],M_BOM[PPGridRow],102),0))</f>
        <v/>
      </c>
      <c r="CY36">
        <f>SUMPRODUCT((M_BOM[Part Name]=$A36)*M_BOM[RM_Qty_Per_Batch]*IFERROR(INDEX(PP_Grid[#Data],M_BOM[PPGridRow],103),0))</f>
        <v/>
      </c>
      <c r="CZ36">
        <f>SUMPRODUCT((M_BOM[Part Name]=$A36)*M_BOM[RM_Qty_Per_Batch]*IFERROR(INDEX(PP_Grid[#Data],M_BOM[PPGridRow],104),0))</f>
        <v/>
      </c>
      <c r="DA36">
        <f>SUMPRODUCT((M_BOM[Part Name]=$A36)*M_BOM[RM_Qty_Per_Batch]*IFERROR(INDEX(PP_Grid[#Data],M_BOM[PPGridRow],105),0))</f>
        <v/>
      </c>
    </row>
    <row r="37">
      <c r="A37" t="inlineStr">
        <is>
          <t>CHEM-1020</t>
        </is>
      </c>
      <c r="B37">
        <f>SUMPRODUCT((M_BOM[Part Name]=$A37)*M_BOM[RM_Qty_Per_Batch]*IFERROR(INDEX(PP_Grid[#Data],M_BOM[PPGridRow],2),0))</f>
        <v/>
      </c>
      <c r="C37">
        <f>SUMPRODUCT((M_BOM[Part Name]=$A37)*M_BOM[RM_Qty_Per_Batch]*IFERROR(INDEX(PP_Grid[#Data],M_BOM[PPGridRow],3),0))</f>
        <v/>
      </c>
      <c r="D37">
        <f>SUMPRODUCT((M_BOM[Part Name]=$A37)*M_BOM[RM_Qty_Per_Batch]*IFERROR(INDEX(PP_Grid[#Data],M_BOM[PPGridRow],4),0))</f>
        <v/>
      </c>
      <c r="E37">
        <f>SUMPRODUCT((M_BOM[Part Name]=$A37)*M_BOM[RM_Qty_Per_Batch]*IFERROR(INDEX(PP_Grid[#Data],M_BOM[PPGridRow],5),0))</f>
        <v/>
      </c>
      <c r="F37">
        <f>SUMPRODUCT((M_BOM[Part Name]=$A37)*M_BOM[RM_Qty_Per_Batch]*IFERROR(INDEX(PP_Grid[#Data],M_BOM[PPGridRow],6),0))</f>
        <v/>
      </c>
      <c r="G37">
        <f>SUMPRODUCT((M_BOM[Part Name]=$A37)*M_BOM[RM_Qty_Per_Batch]*IFERROR(INDEX(PP_Grid[#Data],M_BOM[PPGridRow],7),0))</f>
        <v/>
      </c>
      <c r="H37">
        <f>SUMPRODUCT((M_BOM[Part Name]=$A37)*M_BOM[RM_Qty_Per_Batch]*IFERROR(INDEX(PP_Grid[#Data],M_BOM[PPGridRow],8),0))</f>
        <v/>
      </c>
      <c r="I37">
        <f>SUMPRODUCT((M_BOM[Part Name]=$A37)*M_BOM[RM_Qty_Per_Batch]*IFERROR(INDEX(PP_Grid[#Data],M_BOM[PPGridRow],9),0))</f>
        <v/>
      </c>
      <c r="J37">
        <f>SUMPRODUCT((M_BOM[Part Name]=$A37)*M_BOM[RM_Qty_Per_Batch]*IFERROR(INDEX(PP_Grid[#Data],M_BOM[PPGridRow],10),0))</f>
        <v/>
      </c>
      <c r="K37">
        <f>SUMPRODUCT((M_BOM[Part Name]=$A37)*M_BOM[RM_Qty_Per_Batch]*IFERROR(INDEX(PP_Grid[#Data],M_BOM[PPGridRow],11),0))</f>
        <v/>
      </c>
      <c r="L37">
        <f>SUMPRODUCT((M_BOM[Part Name]=$A37)*M_BOM[RM_Qty_Per_Batch]*IFERROR(INDEX(PP_Grid[#Data],M_BOM[PPGridRow],12),0))</f>
        <v/>
      </c>
      <c r="M37">
        <f>SUMPRODUCT((M_BOM[Part Name]=$A37)*M_BOM[RM_Qty_Per_Batch]*IFERROR(INDEX(PP_Grid[#Data],M_BOM[PPGridRow],13),0))</f>
        <v/>
      </c>
      <c r="N37">
        <f>SUMPRODUCT((M_BOM[Part Name]=$A37)*M_BOM[RM_Qty_Per_Batch]*IFERROR(INDEX(PP_Grid[#Data],M_BOM[PPGridRow],14),0))</f>
        <v/>
      </c>
      <c r="O37">
        <f>SUMPRODUCT((M_BOM[Part Name]=$A37)*M_BOM[RM_Qty_Per_Batch]*IFERROR(INDEX(PP_Grid[#Data],M_BOM[PPGridRow],15),0))</f>
        <v/>
      </c>
      <c r="P37">
        <f>SUMPRODUCT((M_BOM[Part Name]=$A37)*M_BOM[RM_Qty_Per_Batch]*IFERROR(INDEX(PP_Grid[#Data],M_BOM[PPGridRow],16),0))</f>
        <v/>
      </c>
      <c r="Q37">
        <f>SUMPRODUCT((M_BOM[Part Name]=$A37)*M_BOM[RM_Qty_Per_Batch]*IFERROR(INDEX(PP_Grid[#Data],M_BOM[PPGridRow],17),0))</f>
        <v/>
      </c>
      <c r="R37">
        <f>SUMPRODUCT((M_BOM[Part Name]=$A37)*M_BOM[RM_Qty_Per_Batch]*IFERROR(INDEX(PP_Grid[#Data],M_BOM[PPGridRow],18),0))</f>
        <v/>
      </c>
      <c r="S37">
        <f>SUMPRODUCT((M_BOM[Part Name]=$A37)*M_BOM[RM_Qty_Per_Batch]*IFERROR(INDEX(PP_Grid[#Data],M_BOM[PPGridRow],19),0))</f>
        <v/>
      </c>
      <c r="T37">
        <f>SUMPRODUCT((M_BOM[Part Name]=$A37)*M_BOM[RM_Qty_Per_Batch]*IFERROR(INDEX(PP_Grid[#Data],M_BOM[PPGridRow],20),0))</f>
        <v/>
      </c>
      <c r="U37">
        <f>SUMPRODUCT((M_BOM[Part Name]=$A37)*M_BOM[RM_Qty_Per_Batch]*IFERROR(INDEX(PP_Grid[#Data],M_BOM[PPGridRow],21),0))</f>
        <v/>
      </c>
      <c r="V37">
        <f>SUMPRODUCT((M_BOM[Part Name]=$A37)*M_BOM[RM_Qty_Per_Batch]*IFERROR(INDEX(PP_Grid[#Data],M_BOM[PPGridRow],22),0))</f>
        <v/>
      </c>
      <c r="W37">
        <f>SUMPRODUCT((M_BOM[Part Name]=$A37)*M_BOM[RM_Qty_Per_Batch]*IFERROR(INDEX(PP_Grid[#Data],M_BOM[PPGridRow],23),0))</f>
        <v/>
      </c>
      <c r="X37">
        <f>SUMPRODUCT((M_BOM[Part Name]=$A37)*M_BOM[RM_Qty_Per_Batch]*IFERROR(INDEX(PP_Grid[#Data],M_BOM[PPGridRow],24),0))</f>
        <v/>
      </c>
      <c r="Y37">
        <f>SUMPRODUCT((M_BOM[Part Name]=$A37)*M_BOM[RM_Qty_Per_Batch]*IFERROR(INDEX(PP_Grid[#Data],M_BOM[PPGridRow],25),0))</f>
        <v/>
      </c>
      <c r="Z37">
        <f>SUMPRODUCT((M_BOM[Part Name]=$A37)*M_BOM[RM_Qty_Per_Batch]*IFERROR(INDEX(PP_Grid[#Data],M_BOM[PPGridRow],26),0))</f>
        <v/>
      </c>
      <c r="AA37">
        <f>SUMPRODUCT((M_BOM[Part Name]=$A37)*M_BOM[RM_Qty_Per_Batch]*IFERROR(INDEX(PP_Grid[#Data],M_BOM[PPGridRow],27),0))</f>
        <v/>
      </c>
      <c r="AB37">
        <f>SUMPRODUCT((M_BOM[Part Name]=$A37)*M_BOM[RM_Qty_Per_Batch]*IFERROR(INDEX(PP_Grid[#Data],M_BOM[PPGridRow],28),0))</f>
        <v/>
      </c>
      <c r="AC37">
        <f>SUMPRODUCT((M_BOM[Part Name]=$A37)*M_BOM[RM_Qty_Per_Batch]*IFERROR(INDEX(PP_Grid[#Data],M_BOM[PPGridRow],29),0))</f>
        <v/>
      </c>
      <c r="AD37">
        <f>SUMPRODUCT((M_BOM[Part Name]=$A37)*M_BOM[RM_Qty_Per_Batch]*IFERROR(INDEX(PP_Grid[#Data],M_BOM[PPGridRow],30),0))</f>
        <v/>
      </c>
      <c r="AE37">
        <f>SUMPRODUCT((M_BOM[Part Name]=$A37)*M_BOM[RM_Qty_Per_Batch]*IFERROR(INDEX(PP_Grid[#Data],M_BOM[PPGridRow],31),0))</f>
        <v/>
      </c>
      <c r="AF37">
        <f>SUMPRODUCT((M_BOM[Part Name]=$A37)*M_BOM[RM_Qty_Per_Batch]*IFERROR(INDEX(PP_Grid[#Data],M_BOM[PPGridRow],32),0))</f>
        <v/>
      </c>
      <c r="AG37">
        <f>SUMPRODUCT((M_BOM[Part Name]=$A37)*M_BOM[RM_Qty_Per_Batch]*IFERROR(INDEX(PP_Grid[#Data],M_BOM[PPGridRow],33),0))</f>
        <v/>
      </c>
      <c r="AH37">
        <f>SUMPRODUCT((M_BOM[Part Name]=$A37)*M_BOM[RM_Qty_Per_Batch]*IFERROR(INDEX(PP_Grid[#Data],M_BOM[PPGridRow],34),0))</f>
        <v/>
      </c>
      <c r="AI37">
        <f>SUMPRODUCT((M_BOM[Part Name]=$A37)*M_BOM[RM_Qty_Per_Batch]*IFERROR(INDEX(PP_Grid[#Data],M_BOM[PPGridRow],35),0))</f>
        <v/>
      </c>
      <c r="AJ37">
        <f>SUMPRODUCT((M_BOM[Part Name]=$A37)*M_BOM[RM_Qty_Per_Batch]*IFERROR(INDEX(PP_Grid[#Data],M_BOM[PPGridRow],36),0))</f>
        <v/>
      </c>
      <c r="AK37">
        <f>SUMPRODUCT((M_BOM[Part Name]=$A37)*M_BOM[RM_Qty_Per_Batch]*IFERROR(INDEX(PP_Grid[#Data],M_BOM[PPGridRow],37),0))</f>
        <v/>
      </c>
      <c r="AL37">
        <f>SUMPRODUCT((M_BOM[Part Name]=$A37)*M_BOM[RM_Qty_Per_Batch]*IFERROR(INDEX(PP_Grid[#Data],M_BOM[PPGridRow],38),0))</f>
        <v/>
      </c>
      <c r="AM37">
        <f>SUMPRODUCT((M_BOM[Part Name]=$A37)*M_BOM[RM_Qty_Per_Batch]*IFERROR(INDEX(PP_Grid[#Data],M_BOM[PPGridRow],39),0))</f>
        <v/>
      </c>
      <c r="AN37">
        <f>SUMPRODUCT((M_BOM[Part Name]=$A37)*M_BOM[RM_Qty_Per_Batch]*IFERROR(INDEX(PP_Grid[#Data],M_BOM[PPGridRow],40),0))</f>
        <v/>
      </c>
      <c r="AO37">
        <f>SUMPRODUCT((M_BOM[Part Name]=$A37)*M_BOM[RM_Qty_Per_Batch]*IFERROR(INDEX(PP_Grid[#Data],M_BOM[PPGridRow],41),0))</f>
        <v/>
      </c>
      <c r="AP37">
        <f>SUMPRODUCT((M_BOM[Part Name]=$A37)*M_BOM[RM_Qty_Per_Batch]*IFERROR(INDEX(PP_Grid[#Data],M_BOM[PPGridRow],42),0))</f>
        <v/>
      </c>
      <c r="AQ37">
        <f>SUMPRODUCT((M_BOM[Part Name]=$A37)*M_BOM[RM_Qty_Per_Batch]*IFERROR(INDEX(PP_Grid[#Data],M_BOM[PPGridRow],43),0))</f>
        <v/>
      </c>
      <c r="AR37">
        <f>SUMPRODUCT((M_BOM[Part Name]=$A37)*M_BOM[RM_Qty_Per_Batch]*IFERROR(INDEX(PP_Grid[#Data],M_BOM[PPGridRow],44),0))</f>
        <v/>
      </c>
      <c r="AS37">
        <f>SUMPRODUCT((M_BOM[Part Name]=$A37)*M_BOM[RM_Qty_Per_Batch]*IFERROR(INDEX(PP_Grid[#Data],M_BOM[PPGridRow],45),0))</f>
        <v/>
      </c>
      <c r="AT37">
        <f>SUMPRODUCT((M_BOM[Part Name]=$A37)*M_BOM[RM_Qty_Per_Batch]*IFERROR(INDEX(PP_Grid[#Data],M_BOM[PPGridRow],46),0))</f>
        <v/>
      </c>
      <c r="AU37">
        <f>SUMPRODUCT((M_BOM[Part Name]=$A37)*M_BOM[RM_Qty_Per_Batch]*IFERROR(INDEX(PP_Grid[#Data],M_BOM[PPGridRow],47),0))</f>
        <v/>
      </c>
      <c r="AV37">
        <f>SUMPRODUCT((M_BOM[Part Name]=$A37)*M_BOM[RM_Qty_Per_Batch]*IFERROR(INDEX(PP_Grid[#Data],M_BOM[PPGridRow],48),0))</f>
        <v/>
      </c>
      <c r="AW37">
        <f>SUMPRODUCT((M_BOM[Part Name]=$A37)*M_BOM[RM_Qty_Per_Batch]*IFERROR(INDEX(PP_Grid[#Data],M_BOM[PPGridRow],49),0))</f>
        <v/>
      </c>
      <c r="AX37">
        <f>SUMPRODUCT((M_BOM[Part Name]=$A37)*M_BOM[RM_Qty_Per_Batch]*IFERROR(INDEX(PP_Grid[#Data],M_BOM[PPGridRow],50),0))</f>
        <v/>
      </c>
      <c r="AY37">
        <f>SUMPRODUCT((M_BOM[Part Name]=$A37)*M_BOM[RM_Qty_Per_Batch]*IFERROR(INDEX(PP_Grid[#Data],M_BOM[PPGridRow],51),0))</f>
        <v/>
      </c>
      <c r="AZ37">
        <f>SUMPRODUCT((M_BOM[Part Name]=$A37)*M_BOM[RM_Qty_Per_Batch]*IFERROR(INDEX(PP_Grid[#Data],M_BOM[PPGridRow],52),0))</f>
        <v/>
      </c>
      <c r="BA37">
        <f>SUMPRODUCT((M_BOM[Part Name]=$A37)*M_BOM[RM_Qty_Per_Batch]*IFERROR(INDEX(PP_Grid[#Data],M_BOM[PPGridRow],53),0))</f>
        <v/>
      </c>
      <c r="BB37">
        <f>SUMPRODUCT((M_BOM[Part Name]=$A37)*M_BOM[RM_Qty_Per_Batch]*IFERROR(INDEX(PP_Grid[#Data],M_BOM[PPGridRow],54),0))</f>
        <v/>
      </c>
      <c r="BC37">
        <f>SUMPRODUCT((M_BOM[Part Name]=$A37)*M_BOM[RM_Qty_Per_Batch]*IFERROR(INDEX(PP_Grid[#Data],M_BOM[PPGridRow],55),0))</f>
        <v/>
      </c>
      <c r="BD37">
        <f>SUMPRODUCT((M_BOM[Part Name]=$A37)*M_BOM[RM_Qty_Per_Batch]*IFERROR(INDEX(PP_Grid[#Data],M_BOM[PPGridRow],56),0))</f>
        <v/>
      </c>
      <c r="BE37">
        <f>SUMPRODUCT((M_BOM[Part Name]=$A37)*M_BOM[RM_Qty_Per_Batch]*IFERROR(INDEX(PP_Grid[#Data],M_BOM[PPGridRow],57),0))</f>
        <v/>
      </c>
      <c r="BF37">
        <f>SUMPRODUCT((M_BOM[Part Name]=$A37)*M_BOM[RM_Qty_Per_Batch]*IFERROR(INDEX(PP_Grid[#Data],M_BOM[PPGridRow],58),0))</f>
        <v/>
      </c>
      <c r="BG37">
        <f>SUMPRODUCT((M_BOM[Part Name]=$A37)*M_BOM[RM_Qty_Per_Batch]*IFERROR(INDEX(PP_Grid[#Data],M_BOM[PPGridRow],59),0))</f>
        <v/>
      </c>
      <c r="BH37">
        <f>SUMPRODUCT((M_BOM[Part Name]=$A37)*M_BOM[RM_Qty_Per_Batch]*IFERROR(INDEX(PP_Grid[#Data],M_BOM[PPGridRow],60),0))</f>
        <v/>
      </c>
      <c r="BI37">
        <f>SUMPRODUCT((M_BOM[Part Name]=$A37)*M_BOM[RM_Qty_Per_Batch]*IFERROR(INDEX(PP_Grid[#Data],M_BOM[PPGridRow],61),0))</f>
        <v/>
      </c>
      <c r="BJ37">
        <f>SUMPRODUCT((M_BOM[Part Name]=$A37)*M_BOM[RM_Qty_Per_Batch]*IFERROR(INDEX(PP_Grid[#Data],M_BOM[PPGridRow],62),0))</f>
        <v/>
      </c>
      <c r="BK37">
        <f>SUMPRODUCT((M_BOM[Part Name]=$A37)*M_BOM[RM_Qty_Per_Batch]*IFERROR(INDEX(PP_Grid[#Data],M_BOM[PPGridRow],63),0))</f>
        <v/>
      </c>
      <c r="BL37">
        <f>SUMPRODUCT((M_BOM[Part Name]=$A37)*M_BOM[RM_Qty_Per_Batch]*IFERROR(INDEX(PP_Grid[#Data],M_BOM[PPGridRow],64),0))</f>
        <v/>
      </c>
      <c r="BM37">
        <f>SUMPRODUCT((M_BOM[Part Name]=$A37)*M_BOM[RM_Qty_Per_Batch]*IFERROR(INDEX(PP_Grid[#Data],M_BOM[PPGridRow],65),0))</f>
        <v/>
      </c>
      <c r="BN37">
        <f>SUMPRODUCT((M_BOM[Part Name]=$A37)*M_BOM[RM_Qty_Per_Batch]*IFERROR(INDEX(PP_Grid[#Data],M_BOM[PPGridRow],66),0))</f>
        <v/>
      </c>
      <c r="BO37">
        <f>SUMPRODUCT((M_BOM[Part Name]=$A37)*M_BOM[RM_Qty_Per_Batch]*IFERROR(INDEX(PP_Grid[#Data],M_BOM[PPGridRow],67),0))</f>
        <v/>
      </c>
      <c r="BP37">
        <f>SUMPRODUCT((M_BOM[Part Name]=$A37)*M_BOM[RM_Qty_Per_Batch]*IFERROR(INDEX(PP_Grid[#Data],M_BOM[PPGridRow],68),0))</f>
        <v/>
      </c>
      <c r="BQ37">
        <f>SUMPRODUCT((M_BOM[Part Name]=$A37)*M_BOM[RM_Qty_Per_Batch]*IFERROR(INDEX(PP_Grid[#Data],M_BOM[PPGridRow],69),0))</f>
        <v/>
      </c>
      <c r="BR37">
        <f>SUMPRODUCT((M_BOM[Part Name]=$A37)*M_BOM[RM_Qty_Per_Batch]*IFERROR(INDEX(PP_Grid[#Data],M_BOM[PPGridRow],70),0))</f>
        <v/>
      </c>
      <c r="BS37">
        <f>SUMPRODUCT((M_BOM[Part Name]=$A37)*M_BOM[RM_Qty_Per_Batch]*IFERROR(INDEX(PP_Grid[#Data],M_BOM[PPGridRow],71),0))</f>
        <v/>
      </c>
      <c r="BT37">
        <f>SUMPRODUCT((M_BOM[Part Name]=$A37)*M_BOM[RM_Qty_Per_Batch]*IFERROR(INDEX(PP_Grid[#Data],M_BOM[PPGridRow],72),0))</f>
        <v/>
      </c>
      <c r="BU37">
        <f>SUMPRODUCT((M_BOM[Part Name]=$A37)*M_BOM[RM_Qty_Per_Batch]*IFERROR(INDEX(PP_Grid[#Data],M_BOM[PPGridRow],73),0))</f>
        <v/>
      </c>
      <c r="BV37">
        <f>SUMPRODUCT((M_BOM[Part Name]=$A37)*M_BOM[RM_Qty_Per_Batch]*IFERROR(INDEX(PP_Grid[#Data],M_BOM[PPGridRow],74),0))</f>
        <v/>
      </c>
      <c r="BW37">
        <f>SUMPRODUCT((M_BOM[Part Name]=$A37)*M_BOM[RM_Qty_Per_Batch]*IFERROR(INDEX(PP_Grid[#Data],M_BOM[PPGridRow],75),0))</f>
        <v/>
      </c>
      <c r="BX37">
        <f>SUMPRODUCT((M_BOM[Part Name]=$A37)*M_BOM[RM_Qty_Per_Batch]*IFERROR(INDEX(PP_Grid[#Data],M_BOM[PPGridRow],76),0))</f>
        <v/>
      </c>
      <c r="BY37">
        <f>SUMPRODUCT((M_BOM[Part Name]=$A37)*M_BOM[RM_Qty_Per_Batch]*IFERROR(INDEX(PP_Grid[#Data],M_BOM[PPGridRow],77),0))</f>
        <v/>
      </c>
      <c r="BZ37">
        <f>SUMPRODUCT((M_BOM[Part Name]=$A37)*M_BOM[RM_Qty_Per_Batch]*IFERROR(INDEX(PP_Grid[#Data],M_BOM[PPGridRow],78),0))</f>
        <v/>
      </c>
      <c r="CA37">
        <f>SUMPRODUCT((M_BOM[Part Name]=$A37)*M_BOM[RM_Qty_Per_Batch]*IFERROR(INDEX(PP_Grid[#Data],M_BOM[PPGridRow],79),0))</f>
        <v/>
      </c>
      <c r="CB37">
        <f>SUMPRODUCT((M_BOM[Part Name]=$A37)*M_BOM[RM_Qty_Per_Batch]*IFERROR(INDEX(PP_Grid[#Data],M_BOM[PPGridRow],80),0))</f>
        <v/>
      </c>
      <c r="CC37">
        <f>SUMPRODUCT((M_BOM[Part Name]=$A37)*M_BOM[RM_Qty_Per_Batch]*IFERROR(INDEX(PP_Grid[#Data],M_BOM[PPGridRow],81),0))</f>
        <v/>
      </c>
      <c r="CD37">
        <f>SUMPRODUCT((M_BOM[Part Name]=$A37)*M_BOM[RM_Qty_Per_Batch]*IFERROR(INDEX(PP_Grid[#Data],M_BOM[PPGridRow],82),0))</f>
        <v/>
      </c>
      <c r="CE37">
        <f>SUMPRODUCT((M_BOM[Part Name]=$A37)*M_BOM[RM_Qty_Per_Batch]*IFERROR(INDEX(PP_Grid[#Data],M_BOM[PPGridRow],83),0))</f>
        <v/>
      </c>
      <c r="CF37">
        <f>SUMPRODUCT((M_BOM[Part Name]=$A37)*M_BOM[RM_Qty_Per_Batch]*IFERROR(INDEX(PP_Grid[#Data],M_BOM[PPGridRow],84),0))</f>
        <v/>
      </c>
      <c r="CG37">
        <f>SUMPRODUCT((M_BOM[Part Name]=$A37)*M_BOM[RM_Qty_Per_Batch]*IFERROR(INDEX(PP_Grid[#Data],M_BOM[PPGridRow],85),0))</f>
        <v/>
      </c>
      <c r="CH37">
        <f>SUMPRODUCT((M_BOM[Part Name]=$A37)*M_BOM[RM_Qty_Per_Batch]*IFERROR(INDEX(PP_Grid[#Data],M_BOM[PPGridRow],86),0))</f>
        <v/>
      </c>
      <c r="CI37">
        <f>SUMPRODUCT((M_BOM[Part Name]=$A37)*M_BOM[RM_Qty_Per_Batch]*IFERROR(INDEX(PP_Grid[#Data],M_BOM[PPGridRow],87),0))</f>
        <v/>
      </c>
      <c r="CJ37">
        <f>SUMPRODUCT((M_BOM[Part Name]=$A37)*M_BOM[RM_Qty_Per_Batch]*IFERROR(INDEX(PP_Grid[#Data],M_BOM[PPGridRow],88),0))</f>
        <v/>
      </c>
      <c r="CK37">
        <f>SUMPRODUCT((M_BOM[Part Name]=$A37)*M_BOM[RM_Qty_Per_Batch]*IFERROR(INDEX(PP_Grid[#Data],M_BOM[PPGridRow],89),0))</f>
        <v/>
      </c>
      <c r="CL37">
        <f>SUMPRODUCT((M_BOM[Part Name]=$A37)*M_BOM[RM_Qty_Per_Batch]*IFERROR(INDEX(PP_Grid[#Data],M_BOM[PPGridRow],90),0))</f>
        <v/>
      </c>
      <c r="CM37">
        <f>SUMPRODUCT((M_BOM[Part Name]=$A37)*M_BOM[RM_Qty_Per_Batch]*IFERROR(INDEX(PP_Grid[#Data],M_BOM[PPGridRow],91),0))</f>
        <v/>
      </c>
      <c r="CN37">
        <f>SUMPRODUCT((M_BOM[Part Name]=$A37)*M_BOM[RM_Qty_Per_Batch]*IFERROR(INDEX(PP_Grid[#Data],M_BOM[PPGridRow],92),0))</f>
        <v/>
      </c>
      <c r="CO37">
        <f>SUMPRODUCT((M_BOM[Part Name]=$A37)*M_BOM[RM_Qty_Per_Batch]*IFERROR(INDEX(PP_Grid[#Data],M_BOM[PPGridRow],93),0))</f>
        <v/>
      </c>
      <c r="CP37">
        <f>SUMPRODUCT((M_BOM[Part Name]=$A37)*M_BOM[RM_Qty_Per_Batch]*IFERROR(INDEX(PP_Grid[#Data],M_BOM[PPGridRow],94),0))</f>
        <v/>
      </c>
      <c r="CQ37">
        <f>SUMPRODUCT((M_BOM[Part Name]=$A37)*M_BOM[RM_Qty_Per_Batch]*IFERROR(INDEX(PP_Grid[#Data],M_BOM[PPGridRow],95),0))</f>
        <v/>
      </c>
      <c r="CR37">
        <f>SUMPRODUCT((M_BOM[Part Name]=$A37)*M_BOM[RM_Qty_Per_Batch]*IFERROR(INDEX(PP_Grid[#Data],M_BOM[PPGridRow],96),0))</f>
        <v/>
      </c>
      <c r="CS37">
        <f>SUMPRODUCT((M_BOM[Part Name]=$A37)*M_BOM[RM_Qty_Per_Batch]*IFERROR(INDEX(PP_Grid[#Data],M_BOM[PPGridRow],97),0))</f>
        <v/>
      </c>
      <c r="CT37">
        <f>SUMPRODUCT((M_BOM[Part Name]=$A37)*M_BOM[RM_Qty_Per_Batch]*IFERROR(INDEX(PP_Grid[#Data],M_BOM[PPGridRow],98),0))</f>
        <v/>
      </c>
      <c r="CU37">
        <f>SUMPRODUCT((M_BOM[Part Name]=$A37)*M_BOM[RM_Qty_Per_Batch]*IFERROR(INDEX(PP_Grid[#Data],M_BOM[PPGridRow],99),0))</f>
        <v/>
      </c>
      <c r="CV37">
        <f>SUMPRODUCT((M_BOM[Part Name]=$A37)*M_BOM[RM_Qty_Per_Batch]*IFERROR(INDEX(PP_Grid[#Data],M_BOM[PPGridRow],100),0))</f>
        <v/>
      </c>
      <c r="CW37">
        <f>SUMPRODUCT((M_BOM[Part Name]=$A37)*M_BOM[RM_Qty_Per_Batch]*IFERROR(INDEX(PP_Grid[#Data],M_BOM[PPGridRow],101),0))</f>
        <v/>
      </c>
      <c r="CX37">
        <f>SUMPRODUCT((M_BOM[Part Name]=$A37)*M_BOM[RM_Qty_Per_Batch]*IFERROR(INDEX(PP_Grid[#Data],M_BOM[PPGridRow],102),0))</f>
        <v/>
      </c>
      <c r="CY37">
        <f>SUMPRODUCT((M_BOM[Part Name]=$A37)*M_BOM[RM_Qty_Per_Batch]*IFERROR(INDEX(PP_Grid[#Data],M_BOM[PPGridRow],103),0))</f>
        <v/>
      </c>
      <c r="CZ37">
        <f>SUMPRODUCT((M_BOM[Part Name]=$A37)*M_BOM[RM_Qty_Per_Batch]*IFERROR(INDEX(PP_Grid[#Data],M_BOM[PPGridRow],104),0))</f>
        <v/>
      </c>
      <c r="DA37">
        <f>SUMPRODUCT((M_BOM[Part Name]=$A37)*M_BOM[RM_Qty_Per_Batch]*IFERROR(INDEX(PP_Grid[#Data],M_BOM[PPGridRow],105),0))</f>
        <v/>
      </c>
    </row>
    <row r="38">
      <c r="A38" t="inlineStr">
        <is>
          <t>Ester Film</t>
        </is>
      </c>
      <c r="B38">
        <f>SUMPRODUCT((M_BOM[Part Name]=$A38)*M_BOM[RM_Qty_Per_Batch]*IFERROR(INDEX(PP_Grid[#Data],M_BOM[PPGridRow],2),0))</f>
        <v/>
      </c>
      <c r="C38">
        <f>SUMPRODUCT((M_BOM[Part Name]=$A38)*M_BOM[RM_Qty_Per_Batch]*IFERROR(INDEX(PP_Grid[#Data],M_BOM[PPGridRow],3),0))</f>
        <v/>
      </c>
      <c r="D38">
        <f>SUMPRODUCT((M_BOM[Part Name]=$A38)*M_BOM[RM_Qty_Per_Batch]*IFERROR(INDEX(PP_Grid[#Data],M_BOM[PPGridRow],4),0))</f>
        <v/>
      </c>
      <c r="E38">
        <f>SUMPRODUCT((M_BOM[Part Name]=$A38)*M_BOM[RM_Qty_Per_Batch]*IFERROR(INDEX(PP_Grid[#Data],M_BOM[PPGridRow],5),0))</f>
        <v/>
      </c>
      <c r="F38">
        <f>SUMPRODUCT((M_BOM[Part Name]=$A38)*M_BOM[RM_Qty_Per_Batch]*IFERROR(INDEX(PP_Grid[#Data],M_BOM[PPGridRow],6),0))</f>
        <v/>
      </c>
      <c r="G38">
        <f>SUMPRODUCT((M_BOM[Part Name]=$A38)*M_BOM[RM_Qty_Per_Batch]*IFERROR(INDEX(PP_Grid[#Data],M_BOM[PPGridRow],7),0))</f>
        <v/>
      </c>
      <c r="H38">
        <f>SUMPRODUCT((M_BOM[Part Name]=$A38)*M_BOM[RM_Qty_Per_Batch]*IFERROR(INDEX(PP_Grid[#Data],M_BOM[PPGridRow],8),0))</f>
        <v/>
      </c>
      <c r="I38">
        <f>SUMPRODUCT((M_BOM[Part Name]=$A38)*M_BOM[RM_Qty_Per_Batch]*IFERROR(INDEX(PP_Grid[#Data],M_BOM[PPGridRow],9),0))</f>
        <v/>
      </c>
      <c r="J38">
        <f>SUMPRODUCT((M_BOM[Part Name]=$A38)*M_BOM[RM_Qty_Per_Batch]*IFERROR(INDEX(PP_Grid[#Data],M_BOM[PPGridRow],10),0))</f>
        <v/>
      </c>
      <c r="K38">
        <f>SUMPRODUCT((M_BOM[Part Name]=$A38)*M_BOM[RM_Qty_Per_Batch]*IFERROR(INDEX(PP_Grid[#Data],M_BOM[PPGridRow],11),0))</f>
        <v/>
      </c>
      <c r="L38">
        <f>SUMPRODUCT((M_BOM[Part Name]=$A38)*M_BOM[RM_Qty_Per_Batch]*IFERROR(INDEX(PP_Grid[#Data],M_BOM[PPGridRow],12),0))</f>
        <v/>
      </c>
      <c r="M38">
        <f>SUMPRODUCT((M_BOM[Part Name]=$A38)*M_BOM[RM_Qty_Per_Batch]*IFERROR(INDEX(PP_Grid[#Data],M_BOM[PPGridRow],13),0))</f>
        <v/>
      </c>
      <c r="N38">
        <f>SUMPRODUCT((M_BOM[Part Name]=$A38)*M_BOM[RM_Qty_Per_Batch]*IFERROR(INDEX(PP_Grid[#Data],M_BOM[PPGridRow],14),0))</f>
        <v/>
      </c>
      <c r="O38">
        <f>SUMPRODUCT((M_BOM[Part Name]=$A38)*M_BOM[RM_Qty_Per_Batch]*IFERROR(INDEX(PP_Grid[#Data],M_BOM[PPGridRow],15),0))</f>
        <v/>
      </c>
      <c r="P38">
        <f>SUMPRODUCT((M_BOM[Part Name]=$A38)*M_BOM[RM_Qty_Per_Batch]*IFERROR(INDEX(PP_Grid[#Data],M_BOM[PPGridRow],16),0))</f>
        <v/>
      </c>
      <c r="Q38">
        <f>SUMPRODUCT((M_BOM[Part Name]=$A38)*M_BOM[RM_Qty_Per_Batch]*IFERROR(INDEX(PP_Grid[#Data],M_BOM[PPGridRow],17),0))</f>
        <v/>
      </c>
      <c r="R38">
        <f>SUMPRODUCT((M_BOM[Part Name]=$A38)*M_BOM[RM_Qty_Per_Batch]*IFERROR(INDEX(PP_Grid[#Data],M_BOM[PPGridRow],18),0))</f>
        <v/>
      </c>
      <c r="S38">
        <f>SUMPRODUCT((M_BOM[Part Name]=$A38)*M_BOM[RM_Qty_Per_Batch]*IFERROR(INDEX(PP_Grid[#Data],M_BOM[PPGridRow],19),0))</f>
        <v/>
      </c>
      <c r="T38">
        <f>SUMPRODUCT((M_BOM[Part Name]=$A38)*M_BOM[RM_Qty_Per_Batch]*IFERROR(INDEX(PP_Grid[#Data],M_BOM[PPGridRow],20),0))</f>
        <v/>
      </c>
      <c r="U38">
        <f>SUMPRODUCT((M_BOM[Part Name]=$A38)*M_BOM[RM_Qty_Per_Batch]*IFERROR(INDEX(PP_Grid[#Data],M_BOM[PPGridRow],21),0))</f>
        <v/>
      </c>
      <c r="V38">
        <f>SUMPRODUCT((M_BOM[Part Name]=$A38)*M_BOM[RM_Qty_Per_Batch]*IFERROR(INDEX(PP_Grid[#Data],M_BOM[PPGridRow],22),0))</f>
        <v/>
      </c>
      <c r="W38">
        <f>SUMPRODUCT((M_BOM[Part Name]=$A38)*M_BOM[RM_Qty_Per_Batch]*IFERROR(INDEX(PP_Grid[#Data],M_BOM[PPGridRow],23),0))</f>
        <v/>
      </c>
      <c r="X38">
        <f>SUMPRODUCT((M_BOM[Part Name]=$A38)*M_BOM[RM_Qty_Per_Batch]*IFERROR(INDEX(PP_Grid[#Data],M_BOM[PPGridRow],24),0))</f>
        <v/>
      </c>
      <c r="Y38">
        <f>SUMPRODUCT((M_BOM[Part Name]=$A38)*M_BOM[RM_Qty_Per_Batch]*IFERROR(INDEX(PP_Grid[#Data],M_BOM[PPGridRow],25),0))</f>
        <v/>
      </c>
      <c r="Z38">
        <f>SUMPRODUCT((M_BOM[Part Name]=$A38)*M_BOM[RM_Qty_Per_Batch]*IFERROR(INDEX(PP_Grid[#Data],M_BOM[PPGridRow],26),0))</f>
        <v/>
      </c>
      <c r="AA38">
        <f>SUMPRODUCT((M_BOM[Part Name]=$A38)*M_BOM[RM_Qty_Per_Batch]*IFERROR(INDEX(PP_Grid[#Data],M_BOM[PPGridRow],27),0))</f>
        <v/>
      </c>
      <c r="AB38">
        <f>SUMPRODUCT((M_BOM[Part Name]=$A38)*M_BOM[RM_Qty_Per_Batch]*IFERROR(INDEX(PP_Grid[#Data],M_BOM[PPGridRow],28),0))</f>
        <v/>
      </c>
      <c r="AC38">
        <f>SUMPRODUCT((M_BOM[Part Name]=$A38)*M_BOM[RM_Qty_Per_Batch]*IFERROR(INDEX(PP_Grid[#Data],M_BOM[PPGridRow],29),0))</f>
        <v/>
      </c>
      <c r="AD38">
        <f>SUMPRODUCT((M_BOM[Part Name]=$A38)*M_BOM[RM_Qty_Per_Batch]*IFERROR(INDEX(PP_Grid[#Data],M_BOM[PPGridRow],30),0))</f>
        <v/>
      </c>
      <c r="AE38">
        <f>SUMPRODUCT((M_BOM[Part Name]=$A38)*M_BOM[RM_Qty_Per_Batch]*IFERROR(INDEX(PP_Grid[#Data],M_BOM[PPGridRow],31),0))</f>
        <v/>
      </c>
      <c r="AF38">
        <f>SUMPRODUCT((M_BOM[Part Name]=$A38)*M_BOM[RM_Qty_Per_Batch]*IFERROR(INDEX(PP_Grid[#Data],M_BOM[PPGridRow],32),0))</f>
        <v/>
      </c>
      <c r="AG38">
        <f>SUMPRODUCT((M_BOM[Part Name]=$A38)*M_BOM[RM_Qty_Per_Batch]*IFERROR(INDEX(PP_Grid[#Data],M_BOM[PPGridRow],33),0))</f>
        <v/>
      </c>
      <c r="AH38">
        <f>SUMPRODUCT((M_BOM[Part Name]=$A38)*M_BOM[RM_Qty_Per_Batch]*IFERROR(INDEX(PP_Grid[#Data],M_BOM[PPGridRow],34),0))</f>
        <v/>
      </c>
      <c r="AI38">
        <f>SUMPRODUCT((M_BOM[Part Name]=$A38)*M_BOM[RM_Qty_Per_Batch]*IFERROR(INDEX(PP_Grid[#Data],M_BOM[PPGridRow],35),0))</f>
        <v/>
      </c>
      <c r="AJ38">
        <f>SUMPRODUCT((M_BOM[Part Name]=$A38)*M_BOM[RM_Qty_Per_Batch]*IFERROR(INDEX(PP_Grid[#Data],M_BOM[PPGridRow],36),0))</f>
        <v/>
      </c>
      <c r="AK38">
        <f>SUMPRODUCT((M_BOM[Part Name]=$A38)*M_BOM[RM_Qty_Per_Batch]*IFERROR(INDEX(PP_Grid[#Data],M_BOM[PPGridRow],37),0))</f>
        <v/>
      </c>
      <c r="AL38">
        <f>SUMPRODUCT((M_BOM[Part Name]=$A38)*M_BOM[RM_Qty_Per_Batch]*IFERROR(INDEX(PP_Grid[#Data],M_BOM[PPGridRow],38),0))</f>
        <v/>
      </c>
      <c r="AM38">
        <f>SUMPRODUCT((M_BOM[Part Name]=$A38)*M_BOM[RM_Qty_Per_Batch]*IFERROR(INDEX(PP_Grid[#Data],M_BOM[PPGridRow],39),0))</f>
        <v/>
      </c>
      <c r="AN38">
        <f>SUMPRODUCT((M_BOM[Part Name]=$A38)*M_BOM[RM_Qty_Per_Batch]*IFERROR(INDEX(PP_Grid[#Data],M_BOM[PPGridRow],40),0))</f>
        <v/>
      </c>
      <c r="AO38">
        <f>SUMPRODUCT((M_BOM[Part Name]=$A38)*M_BOM[RM_Qty_Per_Batch]*IFERROR(INDEX(PP_Grid[#Data],M_BOM[PPGridRow],41),0))</f>
        <v/>
      </c>
      <c r="AP38">
        <f>SUMPRODUCT((M_BOM[Part Name]=$A38)*M_BOM[RM_Qty_Per_Batch]*IFERROR(INDEX(PP_Grid[#Data],M_BOM[PPGridRow],42),0))</f>
        <v/>
      </c>
      <c r="AQ38">
        <f>SUMPRODUCT((M_BOM[Part Name]=$A38)*M_BOM[RM_Qty_Per_Batch]*IFERROR(INDEX(PP_Grid[#Data],M_BOM[PPGridRow],43),0))</f>
        <v/>
      </c>
      <c r="AR38">
        <f>SUMPRODUCT((M_BOM[Part Name]=$A38)*M_BOM[RM_Qty_Per_Batch]*IFERROR(INDEX(PP_Grid[#Data],M_BOM[PPGridRow],44),0))</f>
        <v/>
      </c>
      <c r="AS38">
        <f>SUMPRODUCT((M_BOM[Part Name]=$A38)*M_BOM[RM_Qty_Per_Batch]*IFERROR(INDEX(PP_Grid[#Data],M_BOM[PPGridRow],45),0))</f>
        <v/>
      </c>
      <c r="AT38">
        <f>SUMPRODUCT((M_BOM[Part Name]=$A38)*M_BOM[RM_Qty_Per_Batch]*IFERROR(INDEX(PP_Grid[#Data],M_BOM[PPGridRow],46),0))</f>
        <v/>
      </c>
      <c r="AU38">
        <f>SUMPRODUCT((M_BOM[Part Name]=$A38)*M_BOM[RM_Qty_Per_Batch]*IFERROR(INDEX(PP_Grid[#Data],M_BOM[PPGridRow],47),0))</f>
        <v/>
      </c>
      <c r="AV38">
        <f>SUMPRODUCT((M_BOM[Part Name]=$A38)*M_BOM[RM_Qty_Per_Batch]*IFERROR(INDEX(PP_Grid[#Data],M_BOM[PPGridRow],48),0))</f>
        <v/>
      </c>
      <c r="AW38">
        <f>SUMPRODUCT((M_BOM[Part Name]=$A38)*M_BOM[RM_Qty_Per_Batch]*IFERROR(INDEX(PP_Grid[#Data],M_BOM[PPGridRow],49),0))</f>
        <v/>
      </c>
      <c r="AX38">
        <f>SUMPRODUCT((M_BOM[Part Name]=$A38)*M_BOM[RM_Qty_Per_Batch]*IFERROR(INDEX(PP_Grid[#Data],M_BOM[PPGridRow],50),0))</f>
        <v/>
      </c>
      <c r="AY38">
        <f>SUMPRODUCT((M_BOM[Part Name]=$A38)*M_BOM[RM_Qty_Per_Batch]*IFERROR(INDEX(PP_Grid[#Data],M_BOM[PPGridRow],51),0))</f>
        <v/>
      </c>
      <c r="AZ38">
        <f>SUMPRODUCT((M_BOM[Part Name]=$A38)*M_BOM[RM_Qty_Per_Batch]*IFERROR(INDEX(PP_Grid[#Data],M_BOM[PPGridRow],52),0))</f>
        <v/>
      </c>
      <c r="BA38">
        <f>SUMPRODUCT((M_BOM[Part Name]=$A38)*M_BOM[RM_Qty_Per_Batch]*IFERROR(INDEX(PP_Grid[#Data],M_BOM[PPGridRow],53),0))</f>
        <v/>
      </c>
      <c r="BB38">
        <f>SUMPRODUCT((M_BOM[Part Name]=$A38)*M_BOM[RM_Qty_Per_Batch]*IFERROR(INDEX(PP_Grid[#Data],M_BOM[PPGridRow],54),0))</f>
        <v/>
      </c>
      <c r="BC38">
        <f>SUMPRODUCT((M_BOM[Part Name]=$A38)*M_BOM[RM_Qty_Per_Batch]*IFERROR(INDEX(PP_Grid[#Data],M_BOM[PPGridRow],55),0))</f>
        <v/>
      </c>
      <c r="BD38">
        <f>SUMPRODUCT((M_BOM[Part Name]=$A38)*M_BOM[RM_Qty_Per_Batch]*IFERROR(INDEX(PP_Grid[#Data],M_BOM[PPGridRow],56),0))</f>
        <v/>
      </c>
      <c r="BE38">
        <f>SUMPRODUCT((M_BOM[Part Name]=$A38)*M_BOM[RM_Qty_Per_Batch]*IFERROR(INDEX(PP_Grid[#Data],M_BOM[PPGridRow],57),0))</f>
        <v/>
      </c>
      <c r="BF38">
        <f>SUMPRODUCT((M_BOM[Part Name]=$A38)*M_BOM[RM_Qty_Per_Batch]*IFERROR(INDEX(PP_Grid[#Data],M_BOM[PPGridRow],58),0))</f>
        <v/>
      </c>
      <c r="BG38">
        <f>SUMPRODUCT((M_BOM[Part Name]=$A38)*M_BOM[RM_Qty_Per_Batch]*IFERROR(INDEX(PP_Grid[#Data],M_BOM[PPGridRow],59),0))</f>
        <v/>
      </c>
      <c r="BH38">
        <f>SUMPRODUCT((M_BOM[Part Name]=$A38)*M_BOM[RM_Qty_Per_Batch]*IFERROR(INDEX(PP_Grid[#Data],M_BOM[PPGridRow],60),0))</f>
        <v/>
      </c>
      <c r="BI38">
        <f>SUMPRODUCT((M_BOM[Part Name]=$A38)*M_BOM[RM_Qty_Per_Batch]*IFERROR(INDEX(PP_Grid[#Data],M_BOM[PPGridRow],61),0))</f>
        <v/>
      </c>
      <c r="BJ38">
        <f>SUMPRODUCT((M_BOM[Part Name]=$A38)*M_BOM[RM_Qty_Per_Batch]*IFERROR(INDEX(PP_Grid[#Data],M_BOM[PPGridRow],62),0))</f>
        <v/>
      </c>
      <c r="BK38">
        <f>SUMPRODUCT((M_BOM[Part Name]=$A38)*M_BOM[RM_Qty_Per_Batch]*IFERROR(INDEX(PP_Grid[#Data],M_BOM[PPGridRow],63),0))</f>
        <v/>
      </c>
      <c r="BL38">
        <f>SUMPRODUCT((M_BOM[Part Name]=$A38)*M_BOM[RM_Qty_Per_Batch]*IFERROR(INDEX(PP_Grid[#Data],M_BOM[PPGridRow],64),0))</f>
        <v/>
      </c>
      <c r="BM38">
        <f>SUMPRODUCT((M_BOM[Part Name]=$A38)*M_BOM[RM_Qty_Per_Batch]*IFERROR(INDEX(PP_Grid[#Data],M_BOM[PPGridRow],65),0))</f>
        <v/>
      </c>
      <c r="BN38">
        <f>SUMPRODUCT((M_BOM[Part Name]=$A38)*M_BOM[RM_Qty_Per_Batch]*IFERROR(INDEX(PP_Grid[#Data],M_BOM[PPGridRow],66),0))</f>
        <v/>
      </c>
      <c r="BO38">
        <f>SUMPRODUCT((M_BOM[Part Name]=$A38)*M_BOM[RM_Qty_Per_Batch]*IFERROR(INDEX(PP_Grid[#Data],M_BOM[PPGridRow],67),0))</f>
        <v/>
      </c>
      <c r="BP38">
        <f>SUMPRODUCT((M_BOM[Part Name]=$A38)*M_BOM[RM_Qty_Per_Batch]*IFERROR(INDEX(PP_Grid[#Data],M_BOM[PPGridRow],68),0))</f>
        <v/>
      </c>
      <c r="BQ38">
        <f>SUMPRODUCT((M_BOM[Part Name]=$A38)*M_BOM[RM_Qty_Per_Batch]*IFERROR(INDEX(PP_Grid[#Data],M_BOM[PPGridRow],69),0))</f>
        <v/>
      </c>
      <c r="BR38">
        <f>SUMPRODUCT((M_BOM[Part Name]=$A38)*M_BOM[RM_Qty_Per_Batch]*IFERROR(INDEX(PP_Grid[#Data],M_BOM[PPGridRow],70),0))</f>
        <v/>
      </c>
      <c r="BS38">
        <f>SUMPRODUCT((M_BOM[Part Name]=$A38)*M_BOM[RM_Qty_Per_Batch]*IFERROR(INDEX(PP_Grid[#Data],M_BOM[PPGridRow],71),0))</f>
        <v/>
      </c>
      <c r="BT38">
        <f>SUMPRODUCT((M_BOM[Part Name]=$A38)*M_BOM[RM_Qty_Per_Batch]*IFERROR(INDEX(PP_Grid[#Data],M_BOM[PPGridRow],72),0))</f>
        <v/>
      </c>
      <c r="BU38">
        <f>SUMPRODUCT((M_BOM[Part Name]=$A38)*M_BOM[RM_Qty_Per_Batch]*IFERROR(INDEX(PP_Grid[#Data],M_BOM[PPGridRow],73),0))</f>
        <v/>
      </c>
      <c r="BV38">
        <f>SUMPRODUCT((M_BOM[Part Name]=$A38)*M_BOM[RM_Qty_Per_Batch]*IFERROR(INDEX(PP_Grid[#Data],M_BOM[PPGridRow],74),0))</f>
        <v/>
      </c>
      <c r="BW38">
        <f>SUMPRODUCT((M_BOM[Part Name]=$A38)*M_BOM[RM_Qty_Per_Batch]*IFERROR(INDEX(PP_Grid[#Data],M_BOM[PPGridRow],75),0))</f>
        <v/>
      </c>
      <c r="BX38">
        <f>SUMPRODUCT((M_BOM[Part Name]=$A38)*M_BOM[RM_Qty_Per_Batch]*IFERROR(INDEX(PP_Grid[#Data],M_BOM[PPGridRow],76),0))</f>
        <v/>
      </c>
      <c r="BY38">
        <f>SUMPRODUCT((M_BOM[Part Name]=$A38)*M_BOM[RM_Qty_Per_Batch]*IFERROR(INDEX(PP_Grid[#Data],M_BOM[PPGridRow],77),0))</f>
        <v/>
      </c>
      <c r="BZ38">
        <f>SUMPRODUCT((M_BOM[Part Name]=$A38)*M_BOM[RM_Qty_Per_Batch]*IFERROR(INDEX(PP_Grid[#Data],M_BOM[PPGridRow],78),0))</f>
        <v/>
      </c>
      <c r="CA38">
        <f>SUMPRODUCT((M_BOM[Part Name]=$A38)*M_BOM[RM_Qty_Per_Batch]*IFERROR(INDEX(PP_Grid[#Data],M_BOM[PPGridRow],79),0))</f>
        <v/>
      </c>
      <c r="CB38">
        <f>SUMPRODUCT((M_BOM[Part Name]=$A38)*M_BOM[RM_Qty_Per_Batch]*IFERROR(INDEX(PP_Grid[#Data],M_BOM[PPGridRow],80),0))</f>
        <v/>
      </c>
      <c r="CC38">
        <f>SUMPRODUCT((M_BOM[Part Name]=$A38)*M_BOM[RM_Qty_Per_Batch]*IFERROR(INDEX(PP_Grid[#Data],M_BOM[PPGridRow],81),0))</f>
        <v/>
      </c>
      <c r="CD38">
        <f>SUMPRODUCT((M_BOM[Part Name]=$A38)*M_BOM[RM_Qty_Per_Batch]*IFERROR(INDEX(PP_Grid[#Data],M_BOM[PPGridRow],82),0))</f>
        <v/>
      </c>
      <c r="CE38">
        <f>SUMPRODUCT((M_BOM[Part Name]=$A38)*M_BOM[RM_Qty_Per_Batch]*IFERROR(INDEX(PP_Grid[#Data],M_BOM[PPGridRow],83),0))</f>
        <v/>
      </c>
      <c r="CF38">
        <f>SUMPRODUCT((M_BOM[Part Name]=$A38)*M_BOM[RM_Qty_Per_Batch]*IFERROR(INDEX(PP_Grid[#Data],M_BOM[PPGridRow],84),0))</f>
        <v/>
      </c>
      <c r="CG38">
        <f>SUMPRODUCT((M_BOM[Part Name]=$A38)*M_BOM[RM_Qty_Per_Batch]*IFERROR(INDEX(PP_Grid[#Data],M_BOM[PPGridRow],85),0))</f>
        <v/>
      </c>
      <c r="CH38">
        <f>SUMPRODUCT((M_BOM[Part Name]=$A38)*M_BOM[RM_Qty_Per_Batch]*IFERROR(INDEX(PP_Grid[#Data],M_BOM[PPGridRow],86),0))</f>
        <v/>
      </c>
      <c r="CI38">
        <f>SUMPRODUCT((M_BOM[Part Name]=$A38)*M_BOM[RM_Qty_Per_Batch]*IFERROR(INDEX(PP_Grid[#Data],M_BOM[PPGridRow],87),0))</f>
        <v/>
      </c>
      <c r="CJ38">
        <f>SUMPRODUCT((M_BOM[Part Name]=$A38)*M_BOM[RM_Qty_Per_Batch]*IFERROR(INDEX(PP_Grid[#Data],M_BOM[PPGridRow],88),0))</f>
        <v/>
      </c>
      <c r="CK38">
        <f>SUMPRODUCT((M_BOM[Part Name]=$A38)*M_BOM[RM_Qty_Per_Batch]*IFERROR(INDEX(PP_Grid[#Data],M_BOM[PPGridRow],89),0))</f>
        <v/>
      </c>
      <c r="CL38">
        <f>SUMPRODUCT((M_BOM[Part Name]=$A38)*M_BOM[RM_Qty_Per_Batch]*IFERROR(INDEX(PP_Grid[#Data],M_BOM[PPGridRow],90),0))</f>
        <v/>
      </c>
      <c r="CM38">
        <f>SUMPRODUCT((M_BOM[Part Name]=$A38)*M_BOM[RM_Qty_Per_Batch]*IFERROR(INDEX(PP_Grid[#Data],M_BOM[PPGridRow],91),0))</f>
        <v/>
      </c>
      <c r="CN38">
        <f>SUMPRODUCT((M_BOM[Part Name]=$A38)*M_BOM[RM_Qty_Per_Batch]*IFERROR(INDEX(PP_Grid[#Data],M_BOM[PPGridRow],92),0))</f>
        <v/>
      </c>
      <c r="CO38">
        <f>SUMPRODUCT((M_BOM[Part Name]=$A38)*M_BOM[RM_Qty_Per_Batch]*IFERROR(INDEX(PP_Grid[#Data],M_BOM[PPGridRow],93),0))</f>
        <v/>
      </c>
      <c r="CP38">
        <f>SUMPRODUCT((M_BOM[Part Name]=$A38)*M_BOM[RM_Qty_Per_Batch]*IFERROR(INDEX(PP_Grid[#Data],M_BOM[PPGridRow],94),0))</f>
        <v/>
      </c>
      <c r="CQ38">
        <f>SUMPRODUCT((M_BOM[Part Name]=$A38)*M_BOM[RM_Qty_Per_Batch]*IFERROR(INDEX(PP_Grid[#Data],M_BOM[PPGridRow],95),0))</f>
        <v/>
      </c>
      <c r="CR38">
        <f>SUMPRODUCT((M_BOM[Part Name]=$A38)*M_BOM[RM_Qty_Per_Batch]*IFERROR(INDEX(PP_Grid[#Data],M_BOM[PPGridRow],96),0))</f>
        <v/>
      </c>
      <c r="CS38">
        <f>SUMPRODUCT((M_BOM[Part Name]=$A38)*M_BOM[RM_Qty_Per_Batch]*IFERROR(INDEX(PP_Grid[#Data],M_BOM[PPGridRow],97),0))</f>
        <v/>
      </c>
      <c r="CT38">
        <f>SUMPRODUCT((M_BOM[Part Name]=$A38)*M_BOM[RM_Qty_Per_Batch]*IFERROR(INDEX(PP_Grid[#Data],M_BOM[PPGridRow],98),0))</f>
        <v/>
      </c>
      <c r="CU38">
        <f>SUMPRODUCT((M_BOM[Part Name]=$A38)*M_BOM[RM_Qty_Per_Batch]*IFERROR(INDEX(PP_Grid[#Data],M_BOM[PPGridRow],99),0))</f>
        <v/>
      </c>
      <c r="CV38">
        <f>SUMPRODUCT((M_BOM[Part Name]=$A38)*M_BOM[RM_Qty_Per_Batch]*IFERROR(INDEX(PP_Grid[#Data],M_BOM[PPGridRow],100),0))</f>
        <v/>
      </c>
      <c r="CW38">
        <f>SUMPRODUCT((M_BOM[Part Name]=$A38)*M_BOM[RM_Qty_Per_Batch]*IFERROR(INDEX(PP_Grid[#Data],M_BOM[PPGridRow],101),0))</f>
        <v/>
      </c>
      <c r="CX38">
        <f>SUMPRODUCT((M_BOM[Part Name]=$A38)*M_BOM[RM_Qty_Per_Batch]*IFERROR(INDEX(PP_Grid[#Data],M_BOM[PPGridRow],102),0))</f>
        <v/>
      </c>
      <c r="CY38">
        <f>SUMPRODUCT((M_BOM[Part Name]=$A38)*M_BOM[RM_Qty_Per_Batch]*IFERROR(INDEX(PP_Grid[#Data],M_BOM[PPGridRow],103),0))</f>
        <v/>
      </c>
      <c r="CZ38">
        <f>SUMPRODUCT((M_BOM[Part Name]=$A38)*M_BOM[RM_Qty_Per_Batch]*IFERROR(INDEX(PP_Grid[#Data],M_BOM[PPGridRow],104),0))</f>
        <v/>
      </c>
      <c r="DA38">
        <f>SUMPRODUCT((M_BOM[Part Name]=$A38)*M_BOM[RM_Qty_Per_Batch]*IFERROR(INDEX(PP_Grid[#Data],M_BOM[PPGridRow],105),0))</f>
        <v/>
      </c>
    </row>
    <row r="39">
      <c r="A39" t="inlineStr">
        <is>
          <t>PP Film</t>
        </is>
      </c>
      <c r="B39">
        <f>SUMPRODUCT((M_BOM[Part Name]=$A39)*M_BOM[RM_Qty_Per_Batch]*IFERROR(INDEX(PP_Grid[#Data],M_BOM[PPGridRow],2),0))</f>
        <v/>
      </c>
      <c r="C39">
        <f>SUMPRODUCT((M_BOM[Part Name]=$A39)*M_BOM[RM_Qty_Per_Batch]*IFERROR(INDEX(PP_Grid[#Data],M_BOM[PPGridRow],3),0))</f>
        <v/>
      </c>
      <c r="D39">
        <f>SUMPRODUCT((M_BOM[Part Name]=$A39)*M_BOM[RM_Qty_Per_Batch]*IFERROR(INDEX(PP_Grid[#Data],M_BOM[PPGridRow],4),0))</f>
        <v/>
      </c>
      <c r="E39">
        <f>SUMPRODUCT((M_BOM[Part Name]=$A39)*M_BOM[RM_Qty_Per_Batch]*IFERROR(INDEX(PP_Grid[#Data],M_BOM[PPGridRow],5),0))</f>
        <v/>
      </c>
      <c r="F39">
        <f>SUMPRODUCT((M_BOM[Part Name]=$A39)*M_BOM[RM_Qty_Per_Batch]*IFERROR(INDEX(PP_Grid[#Data],M_BOM[PPGridRow],6),0))</f>
        <v/>
      </c>
      <c r="G39">
        <f>SUMPRODUCT((M_BOM[Part Name]=$A39)*M_BOM[RM_Qty_Per_Batch]*IFERROR(INDEX(PP_Grid[#Data],M_BOM[PPGridRow],7),0))</f>
        <v/>
      </c>
      <c r="H39">
        <f>SUMPRODUCT((M_BOM[Part Name]=$A39)*M_BOM[RM_Qty_Per_Batch]*IFERROR(INDEX(PP_Grid[#Data],M_BOM[PPGridRow],8),0))</f>
        <v/>
      </c>
      <c r="I39">
        <f>SUMPRODUCT((M_BOM[Part Name]=$A39)*M_BOM[RM_Qty_Per_Batch]*IFERROR(INDEX(PP_Grid[#Data],M_BOM[PPGridRow],9),0))</f>
        <v/>
      </c>
      <c r="J39">
        <f>SUMPRODUCT((M_BOM[Part Name]=$A39)*M_BOM[RM_Qty_Per_Batch]*IFERROR(INDEX(PP_Grid[#Data],M_BOM[PPGridRow],10),0))</f>
        <v/>
      </c>
      <c r="K39">
        <f>SUMPRODUCT((M_BOM[Part Name]=$A39)*M_BOM[RM_Qty_Per_Batch]*IFERROR(INDEX(PP_Grid[#Data],M_BOM[PPGridRow],11),0))</f>
        <v/>
      </c>
      <c r="L39">
        <f>SUMPRODUCT((M_BOM[Part Name]=$A39)*M_BOM[RM_Qty_Per_Batch]*IFERROR(INDEX(PP_Grid[#Data],M_BOM[PPGridRow],12),0))</f>
        <v/>
      </c>
      <c r="M39">
        <f>SUMPRODUCT((M_BOM[Part Name]=$A39)*M_BOM[RM_Qty_Per_Batch]*IFERROR(INDEX(PP_Grid[#Data],M_BOM[PPGridRow],13),0))</f>
        <v/>
      </c>
      <c r="N39">
        <f>SUMPRODUCT((M_BOM[Part Name]=$A39)*M_BOM[RM_Qty_Per_Batch]*IFERROR(INDEX(PP_Grid[#Data],M_BOM[PPGridRow],14),0))</f>
        <v/>
      </c>
      <c r="O39">
        <f>SUMPRODUCT((M_BOM[Part Name]=$A39)*M_BOM[RM_Qty_Per_Batch]*IFERROR(INDEX(PP_Grid[#Data],M_BOM[PPGridRow],15),0))</f>
        <v/>
      </c>
      <c r="P39">
        <f>SUMPRODUCT((M_BOM[Part Name]=$A39)*M_BOM[RM_Qty_Per_Batch]*IFERROR(INDEX(PP_Grid[#Data],M_BOM[PPGridRow],16),0))</f>
        <v/>
      </c>
      <c r="Q39">
        <f>SUMPRODUCT((M_BOM[Part Name]=$A39)*M_BOM[RM_Qty_Per_Batch]*IFERROR(INDEX(PP_Grid[#Data],M_BOM[PPGridRow],17),0))</f>
        <v/>
      </c>
      <c r="R39">
        <f>SUMPRODUCT((M_BOM[Part Name]=$A39)*M_BOM[RM_Qty_Per_Batch]*IFERROR(INDEX(PP_Grid[#Data],M_BOM[PPGridRow],18),0))</f>
        <v/>
      </c>
      <c r="S39">
        <f>SUMPRODUCT((M_BOM[Part Name]=$A39)*M_BOM[RM_Qty_Per_Batch]*IFERROR(INDEX(PP_Grid[#Data],M_BOM[PPGridRow],19),0))</f>
        <v/>
      </c>
      <c r="T39">
        <f>SUMPRODUCT((M_BOM[Part Name]=$A39)*M_BOM[RM_Qty_Per_Batch]*IFERROR(INDEX(PP_Grid[#Data],M_BOM[PPGridRow],20),0))</f>
        <v/>
      </c>
      <c r="U39">
        <f>SUMPRODUCT((M_BOM[Part Name]=$A39)*M_BOM[RM_Qty_Per_Batch]*IFERROR(INDEX(PP_Grid[#Data],M_BOM[PPGridRow],21),0))</f>
        <v/>
      </c>
      <c r="V39">
        <f>SUMPRODUCT((M_BOM[Part Name]=$A39)*M_BOM[RM_Qty_Per_Batch]*IFERROR(INDEX(PP_Grid[#Data],M_BOM[PPGridRow],22),0))</f>
        <v/>
      </c>
      <c r="W39">
        <f>SUMPRODUCT((M_BOM[Part Name]=$A39)*M_BOM[RM_Qty_Per_Batch]*IFERROR(INDEX(PP_Grid[#Data],M_BOM[PPGridRow],23),0))</f>
        <v/>
      </c>
      <c r="X39">
        <f>SUMPRODUCT((M_BOM[Part Name]=$A39)*M_BOM[RM_Qty_Per_Batch]*IFERROR(INDEX(PP_Grid[#Data],M_BOM[PPGridRow],24),0))</f>
        <v/>
      </c>
      <c r="Y39">
        <f>SUMPRODUCT((M_BOM[Part Name]=$A39)*M_BOM[RM_Qty_Per_Batch]*IFERROR(INDEX(PP_Grid[#Data],M_BOM[PPGridRow],25),0))</f>
        <v/>
      </c>
      <c r="Z39">
        <f>SUMPRODUCT((M_BOM[Part Name]=$A39)*M_BOM[RM_Qty_Per_Batch]*IFERROR(INDEX(PP_Grid[#Data],M_BOM[PPGridRow],26),0))</f>
        <v/>
      </c>
      <c r="AA39">
        <f>SUMPRODUCT((M_BOM[Part Name]=$A39)*M_BOM[RM_Qty_Per_Batch]*IFERROR(INDEX(PP_Grid[#Data],M_BOM[PPGridRow],27),0))</f>
        <v/>
      </c>
      <c r="AB39">
        <f>SUMPRODUCT((M_BOM[Part Name]=$A39)*M_BOM[RM_Qty_Per_Batch]*IFERROR(INDEX(PP_Grid[#Data],M_BOM[PPGridRow],28),0))</f>
        <v/>
      </c>
      <c r="AC39">
        <f>SUMPRODUCT((M_BOM[Part Name]=$A39)*M_BOM[RM_Qty_Per_Batch]*IFERROR(INDEX(PP_Grid[#Data],M_BOM[PPGridRow],29),0))</f>
        <v/>
      </c>
      <c r="AD39">
        <f>SUMPRODUCT((M_BOM[Part Name]=$A39)*M_BOM[RM_Qty_Per_Batch]*IFERROR(INDEX(PP_Grid[#Data],M_BOM[PPGridRow],30),0))</f>
        <v/>
      </c>
      <c r="AE39">
        <f>SUMPRODUCT((M_BOM[Part Name]=$A39)*M_BOM[RM_Qty_Per_Batch]*IFERROR(INDEX(PP_Grid[#Data],M_BOM[PPGridRow],31),0))</f>
        <v/>
      </c>
      <c r="AF39">
        <f>SUMPRODUCT((M_BOM[Part Name]=$A39)*M_BOM[RM_Qty_Per_Batch]*IFERROR(INDEX(PP_Grid[#Data],M_BOM[PPGridRow],32),0))</f>
        <v/>
      </c>
      <c r="AG39">
        <f>SUMPRODUCT((M_BOM[Part Name]=$A39)*M_BOM[RM_Qty_Per_Batch]*IFERROR(INDEX(PP_Grid[#Data],M_BOM[PPGridRow],33),0))</f>
        <v/>
      </c>
      <c r="AH39">
        <f>SUMPRODUCT((M_BOM[Part Name]=$A39)*M_BOM[RM_Qty_Per_Batch]*IFERROR(INDEX(PP_Grid[#Data],M_BOM[PPGridRow],34),0))</f>
        <v/>
      </c>
      <c r="AI39">
        <f>SUMPRODUCT((M_BOM[Part Name]=$A39)*M_BOM[RM_Qty_Per_Batch]*IFERROR(INDEX(PP_Grid[#Data],M_BOM[PPGridRow],35),0))</f>
        <v/>
      </c>
      <c r="AJ39">
        <f>SUMPRODUCT((M_BOM[Part Name]=$A39)*M_BOM[RM_Qty_Per_Batch]*IFERROR(INDEX(PP_Grid[#Data],M_BOM[PPGridRow],36),0))</f>
        <v/>
      </c>
      <c r="AK39">
        <f>SUMPRODUCT((M_BOM[Part Name]=$A39)*M_BOM[RM_Qty_Per_Batch]*IFERROR(INDEX(PP_Grid[#Data],M_BOM[PPGridRow],37),0))</f>
        <v/>
      </c>
      <c r="AL39">
        <f>SUMPRODUCT((M_BOM[Part Name]=$A39)*M_BOM[RM_Qty_Per_Batch]*IFERROR(INDEX(PP_Grid[#Data],M_BOM[PPGridRow],38),0))</f>
        <v/>
      </c>
      <c r="AM39">
        <f>SUMPRODUCT((M_BOM[Part Name]=$A39)*M_BOM[RM_Qty_Per_Batch]*IFERROR(INDEX(PP_Grid[#Data],M_BOM[PPGridRow],39),0))</f>
        <v/>
      </c>
      <c r="AN39">
        <f>SUMPRODUCT((M_BOM[Part Name]=$A39)*M_BOM[RM_Qty_Per_Batch]*IFERROR(INDEX(PP_Grid[#Data],M_BOM[PPGridRow],40),0))</f>
        <v/>
      </c>
      <c r="AO39">
        <f>SUMPRODUCT((M_BOM[Part Name]=$A39)*M_BOM[RM_Qty_Per_Batch]*IFERROR(INDEX(PP_Grid[#Data],M_BOM[PPGridRow],41),0))</f>
        <v/>
      </c>
      <c r="AP39">
        <f>SUMPRODUCT((M_BOM[Part Name]=$A39)*M_BOM[RM_Qty_Per_Batch]*IFERROR(INDEX(PP_Grid[#Data],M_BOM[PPGridRow],42),0))</f>
        <v/>
      </c>
      <c r="AQ39">
        <f>SUMPRODUCT((M_BOM[Part Name]=$A39)*M_BOM[RM_Qty_Per_Batch]*IFERROR(INDEX(PP_Grid[#Data],M_BOM[PPGridRow],43),0))</f>
        <v/>
      </c>
      <c r="AR39">
        <f>SUMPRODUCT((M_BOM[Part Name]=$A39)*M_BOM[RM_Qty_Per_Batch]*IFERROR(INDEX(PP_Grid[#Data],M_BOM[PPGridRow],44),0))</f>
        <v/>
      </c>
      <c r="AS39">
        <f>SUMPRODUCT((M_BOM[Part Name]=$A39)*M_BOM[RM_Qty_Per_Batch]*IFERROR(INDEX(PP_Grid[#Data],M_BOM[PPGridRow],45),0))</f>
        <v/>
      </c>
      <c r="AT39">
        <f>SUMPRODUCT((M_BOM[Part Name]=$A39)*M_BOM[RM_Qty_Per_Batch]*IFERROR(INDEX(PP_Grid[#Data],M_BOM[PPGridRow],46),0))</f>
        <v/>
      </c>
      <c r="AU39">
        <f>SUMPRODUCT((M_BOM[Part Name]=$A39)*M_BOM[RM_Qty_Per_Batch]*IFERROR(INDEX(PP_Grid[#Data],M_BOM[PPGridRow],47),0))</f>
        <v/>
      </c>
      <c r="AV39">
        <f>SUMPRODUCT((M_BOM[Part Name]=$A39)*M_BOM[RM_Qty_Per_Batch]*IFERROR(INDEX(PP_Grid[#Data],M_BOM[PPGridRow],48),0))</f>
        <v/>
      </c>
      <c r="AW39">
        <f>SUMPRODUCT((M_BOM[Part Name]=$A39)*M_BOM[RM_Qty_Per_Batch]*IFERROR(INDEX(PP_Grid[#Data],M_BOM[PPGridRow],49),0))</f>
        <v/>
      </c>
      <c r="AX39">
        <f>SUMPRODUCT((M_BOM[Part Name]=$A39)*M_BOM[RM_Qty_Per_Batch]*IFERROR(INDEX(PP_Grid[#Data],M_BOM[PPGridRow],50),0))</f>
        <v/>
      </c>
      <c r="AY39">
        <f>SUMPRODUCT((M_BOM[Part Name]=$A39)*M_BOM[RM_Qty_Per_Batch]*IFERROR(INDEX(PP_Grid[#Data],M_BOM[PPGridRow],51),0))</f>
        <v/>
      </c>
      <c r="AZ39">
        <f>SUMPRODUCT((M_BOM[Part Name]=$A39)*M_BOM[RM_Qty_Per_Batch]*IFERROR(INDEX(PP_Grid[#Data],M_BOM[PPGridRow],52),0))</f>
        <v/>
      </c>
      <c r="BA39">
        <f>SUMPRODUCT((M_BOM[Part Name]=$A39)*M_BOM[RM_Qty_Per_Batch]*IFERROR(INDEX(PP_Grid[#Data],M_BOM[PPGridRow],53),0))</f>
        <v/>
      </c>
      <c r="BB39">
        <f>SUMPRODUCT((M_BOM[Part Name]=$A39)*M_BOM[RM_Qty_Per_Batch]*IFERROR(INDEX(PP_Grid[#Data],M_BOM[PPGridRow],54),0))</f>
        <v/>
      </c>
      <c r="BC39">
        <f>SUMPRODUCT((M_BOM[Part Name]=$A39)*M_BOM[RM_Qty_Per_Batch]*IFERROR(INDEX(PP_Grid[#Data],M_BOM[PPGridRow],55),0))</f>
        <v/>
      </c>
      <c r="BD39">
        <f>SUMPRODUCT((M_BOM[Part Name]=$A39)*M_BOM[RM_Qty_Per_Batch]*IFERROR(INDEX(PP_Grid[#Data],M_BOM[PPGridRow],56),0))</f>
        <v/>
      </c>
      <c r="BE39">
        <f>SUMPRODUCT((M_BOM[Part Name]=$A39)*M_BOM[RM_Qty_Per_Batch]*IFERROR(INDEX(PP_Grid[#Data],M_BOM[PPGridRow],57),0))</f>
        <v/>
      </c>
      <c r="BF39">
        <f>SUMPRODUCT((M_BOM[Part Name]=$A39)*M_BOM[RM_Qty_Per_Batch]*IFERROR(INDEX(PP_Grid[#Data],M_BOM[PPGridRow],58),0))</f>
        <v/>
      </c>
      <c r="BG39">
        <f>SUMPRODUCT((M_BOM[Part Name]=$A39)*M_BOM[RM_Qty_Per_Batch]*IFERROR(INDEX(PP_Grid[#Data],M_BOM[PPGridRow],59),0))</f>
        <v/>
      </c>
      <c r="BH39">
        <f>SUMPRODUCT((M_BOM[Part Name]=$A39)*M_BOM[RM_Qty_Per_Batch]*IFERROR(INDEX(PP_Grid[#Data],M_BOM[PPGridRow],60),0))</f>
        <v/>
      </c>
      <c r="BI39">
        <f>SUMPRODUCT((M_BOM[Part Name]=$A39)*M_BOM[RM_Qty_Per_Batch]*IFERROR(INDEX(PP_Grid[#Data],M_BOM[PPGridRow],61),0))</f>
        <v/>
      </c>
      <c r="BJ39">
        <f>SUMPRODUCT((M_BOM[Part Name]=$A39)*M_BOM[RM_Qty_Per_Batch]*IFERROR(INDEX(PP_Grid[#Data],M_BOM[PPGridRow],62),0))</f>
        <v/>
      </c>
      <c r="BK39">
        <f>SUMPRODUCT((M_BOM[Part Name]=$A39)*M_BOM[RM_Qty_Per_Batch]*IFERROR(INDEX(PP_Grid[#Data],M_BOM[PPGridRow],63),0))</f>
        <v/>
      </c>
      <c r="BL39">
        <f>SUMPRODUCT((M_BOM[Part Name]=$A39)*M_BOM[RM_Qty_Per_Batch]*IFERROR(INDEX(PP_Grid[#Data],M_BOM[PPGridRow],64),0))</f>
        <v/>
      </c>
      <c r="BM39">
        <f>SUMPRODUCT((M_BOM[Part Name]=$A39)*M_BOM[RM_Qty_Per_Batch]*IFERROR(INDEX(PP_Grid[#Data],M_BOM[PPGridRow],65),0))</f>
        <v/>
      </c>
      <c r="BN39">
        <f>SUMPRODUCT((M_BOM[Part Name]=$A39)*M_BOM[RM_Qty_Per_Batch]*IFERROR(INDEX(PP_Grid[#Data],M_BOM[PPGridRow],66),0))</f>
        <v/>
      </c>
      <c r="BO39">
        <f>SUMPRODUCT((M_BOM[Part Name]=$A39)*M_BOM[RM_Qty_Per_Batch]*IFERROR(INDEX(PP_Grid[#Data],M_BOM[PPGridRow],67),0))</f>
        <v/>
      </c>
      <c r="BP39">
        <f>SUMPRODUCT((M_BOM[Part Name]=$A39)*M_BOM[RM_Qty_Per_Batch]*IFERROR(INDEX(PP_Grid[#Data],M_BOM[PPGridRow],68),0))</f>
        <v/>
      </c>
      <c r="BQ39">
        <f>SUMPRODUCT((M_BOM[Part Name]=$A39)*M_BOM[RM_Qty_Per_Batch]*IFERROR(INDEX(PP_Grid[#Data],M_BOM[PPGridRow],69),0))</f>
        <v/>
      </c>
      <c r="BR39">
        <f>SUMPRODUCT((M_BOM[Part Name]=$A39)*M_BOM[RM_Qty_Per_Batch]*IFERROR(INDEX(PP_Grid[#Data],M_BOM[PPGridRow],70),0))</f>
        <v/>
      </c>
      <c r="BS39">
        <f>SUMPRODUCT((M_BOM[Part Name]=$A39)*M_BOM[RM_Qty_Per_Batch]*IFERROR(INDEX(PP_Grid[#Data],M_BOM[PPGridRow],71),0))</f>
        <v/>
      </c>
      <c r="BT39">
        <f>SUMPRODUCT((M_BOM[Part Name]=$A39)*M_BOM[RM_Qty_Per_Batch]*IFERROR(INDEX(PP_Grid[#Data],M_BOM[PPGridRow],72),0))</f>
        <v/>
      </c>
      <c r="BU39">
        <f>SUMPRODUCT((M_BOM[Part Name]=$A39)*M_BOM[RM_Qty_Per_Batch]*IFERROR(INDEX(PP_Grid[#Data],M_BOM[PPGridRow],73),0))</f>
        <v/>
      </c>
      <c r="BV39">
        <f>SUMPRODUCT((M_BOM[Part Name]=$A39)*M_BOM[RM_Qty_Per_Batch]*IFERROR(INDEX(PP_Grid[#Data],M_BOM[PPGridRow],74),0))</f>
        <v/>
      </c>
      <c r="BW39">
        <f>SUMPRODUCT((M_BOM[Part Name]=$A39)*M_BOM[RM_Qty_Per_Batch]*IFERROR(INDEX(PP_Grid[#Data],M_BOM[PPGridRow],75),0))</f>
        <v/>
      </c>
      <c r="BX39">
        <f>SUMPRODUCT((M_BOM[Part Name]=$A39)*M_BOM[RM_Qty_Per_Batch]*IFERROR(INDEX(PP_Grid[#Data],M_BOM[PPGridRow],76),0))</f>
        <v/>
      </c>
      <c r="BY39">
        <f>SUMPRODUCT((M_BOM[Part Name]=$A39)*M_BOM[RM_Qty_Per_Batch]*IFERROR(INDEX(PP_Grid[#Data],M_BOM[PPGridRow],77),0))</f>
        <v/>
      </c>
      <c r="BZ39">
        <f>SUMPRODUCT((M_BOM[Part Name]=$A39)*M_BOM[RM_Qty_Per_Batch]*IFERROR(INDEX(PP_Grid[#Data],M_BOM[PPGridRow],78),0))</f>
        <v/>
      </c>
      <c r="CA39">
        <f>SUMPRODUCT((M_BOM[Part Name]=$A39)*M_BOM[RM_Qty_Per_Batch]*IFERROR(INDEX(PP_Grid[#Data],M_BOM[PPGridRow],79),0))</f>
        <v/>
      </c>
      <c r="CB39">
        <f>SUMPRODUCT((M_BOM[Part Name]=$A39)*M_BOM[RM_Qty_Per_Batch]*IFERROR(INDEX(PP_Grid[#Data],M_BOM[PPGridRow],80),0))</f>
        <v/>
      </c>
      <c r="CC39">
        <f>SUMPRODUCT((M_BOM[Part Name]=$A39)*M_BOM[RM_Qty_Per_Batch]*IFERROR(INDEX(PP_Grid[#Data],M_BOM[PPGridRow],81),0))</f>
        <v/>
      </c>
      <c r="CD39">
        <f>SUMPRODUCT((M_BOM[Part Name]=$A39)*M_BOM[RM_Qty_Per_Batch]*IFERROR(INDEX(PP_Grid[#Data],M_BOM[PPGridRow],82),0))</f>
        <v/>
      </c>
      <c r="CE39">
        <f>SUMPRODUCT((M_BOM[Part Name]=$A39)*M_BOM[RM_Qty_Per_Batch]*IFERROR(INDEX(PP_Grid[#Data],M_BOM[PPGridRow],83),0))</f>
        <v/>
      </c>
      <c r="CF39">
        <f>SUMPRODUCT((M_BOM[Part Name]=$A39)*M_BOM[RM_Qty_Per_Batch]*IFERROR(INDEX(PP_Grid[#Data],M_BOM[PPGridRow],84),0))</f>
        <v/>
      </c>
      <c r="CG39">
        <f>SUMPRODUCT((M_BOM[Part Name]=$A39)*M_BOM[RM_Qty_Per_Batch]*IFERROR(INDEX(PP_Grid[#Data],M_BOM[PPGridRow],85),0))</f>
        <v/>
      </c>
      <c r="CH39">
        <f>SUMPRODUCT((M_BOM[Part Name]=$A39)*M_BOM[RM_Qty_Per_Batch]*IFERROR(INDEX(PP_Grid[#Data],M_BOM[PPGridRow],86),0))</f>
        <v/>
      </c>
      <c r="CI39">
        <f>SUMPRODUCT((M_BOM[Part Name]=$A39)*M_BOM[RM_Qty_Per_Batch]*IFERROR(INDEX(PP_Grid[#Data],M_BOM[PPGridRow],87),0))</f>
        <v/>
      </c>
      <c r="CJ39">
        <f>SUMPRODUCT((M_BOM[Part Name]=$A39)*M_BOM[RM_Qty_Per_Batch]*IFERROR(INDEX(PP_Grid[#Data],M_BOM[PPGridRow],88),0))</f>
        <v/>
      </c>
      <c r="CK39">
        <f>SUMPRODUCT((M_BOM[Part Name]=$A39)*M_BOM[RM_Qty_Per_Batch]*IFERROR(INDEX(PP_Grid[#Data],M_BOM[PPGridRow],89),0))</f>
        <v/>
      </c>
      <c r="CL39">
        <f>SUMPRODUCT((M_BOM[Part Name]=$A39)*M_BOM[RM_Qty_Per_Batch]*IFERROR(INDEX(PP_Grid[#Data],M_BOM[PPGridRow],90),0))</f>
        <v/>
      </c>
      <c r="CM39">
        <f>SUMPRODUCT((M_BOM[Part Name]=$A39)*M_BOM[RM_Qty_Per_Batch]*IFERROR(INDEX(PP_Grid[#Data],M_BOM[PPGridRow],91),0))</f>
        <v/>
      </c>
      <c r="CN39">
        <f>SUMPRODUCT((M_BOM[Part Name]=$A39)*M_BOM[RM_Qty_Per_Batch]*IFERROR(INDEX(PP_Grid[#Data],M_BOM[PPGridRow],92),0))</f>
        <v/>
      </c>
      <c r="CO39">
        <f>SUMPRODUCT((M_BOM[Part Name]=$A39)*M_BOM[RM_Qty_Per_Batch]*IFERROR(INDEX(PP_Grid[#Data],M_BOM[PPGridRow],93),0))</f>
        <v/>
      </c>
      <c r="CP39">
        <f>SUMPRODUCT((M_BOM[Part Name]=$A39)*M_BOM[RM_Qty_Per_Batch]*IFERROR(INDEX(PP_Grid[#Data],M_BOM[PPGridRow],94),0))</f>
        <v/>
      </c>
      <c r="CQ39">
        <f>SUMPRODUCT((M_BOM[Part Name]=$A39)*M_BOM[RM_Qty_Per_Batch]*IFERROR(INDEX(PP_Grid[#Data],M_BOM[PPGridRow],95),0))</f>
        <v/>
      </c>
      <c r="CR39">
        <f>SUMPRODUCT((M_BOM[Part Name]=$A39)*M_BOM[RM_Qty_Per_Batch]*IFERROR(INDEX(PP_Grid[#Data],M_BOM[PPGridRow],96),0))</f>
        <v/>
      </c>
      <c r="CS39">
        <f>SUMPRODUCT((M_BOM[Part Name]=$A39)*M_BOM[RM_Qty_Per_Batch]*IFERROR(INDEX(PP_Grid[#Data],M_BOM[PPGridRow],97),0))</f>
        <v/>
      </c>
      <c r="CT39">
        <f>SUMPRODUCT((M_BOM[Part Name]=$A39)*M_BOM[RM_Qty_Per_Batch]*IFERROR(INDEX(PP_Grid[#Data],M_BOM[PPGridRow],98),0))</f>
        <v/>
      </c>
      <c r="CU39">
        <f>SUMPRODUCT((M_BOM[Part Name]=$A39)*M_BOM[RM_Qty_Per_Batch]*IFERROR(INDEX(PP_Grid[#Data],M_BOM[PPGridRow],99),0))</f>
        <v/>
      </c>
      <c r="CV39">
        <f>SUMPRODUCT((M_BOM[Part Name]=$A39)*M_BOM[RM_Qty_Per_Batch]*IFERROR(INDEX(PP_Grid[#Data],M_BOM[PPGridRow],100),0))</f>
        <v/>
      </c>
      <c r="CW39">
        <f>SUMPRODUCT((M_BOM[Part Name]=$A39)*M_BOM[RM_Qty_Per_Batch]*IFERROR(INDEX(PP_Grid[#Data],M_BOM[PPGridRow],101),0))</f>
        <v/>
      </c>
      <c r="CX39">
        <f>SUMPRODUCT((M_BOM[Part Name]=$A39)*M_BOM[RM_Qty_Per_Batch]*IFERROR(INDEX(PP_Grid[#Data],M_BOM[PPGridRow],102),0))</f>
        <v/>
      </c>
      <c r="CY39">
        <f>SUMPRODUCT((M_BOM[Part Name]=$A39)*M_BOM[RM_Qty_Per_Batch]*IFERROR(INDEX(PP_Grid[#Data],M_BOM[PPGridRow],103),0))</f>
        <v/>
      </c>
      <c r="CZ39">
        <f>SUMPRODUCT((M_BOM[Part Name]=$A39)*M_BOM[RM_Qty_Per_Batch]*IFERROR(INDEX(PP_Grid[#Data],M_BOM[PPGridRow],104),0))</f>
        <v/>
      </c>
      <c r="DA39">
        <f>SUMPRODUCT((M_BOM[Part Name]=$A39)*M_BOM[RM_Qty_Per_Batch]*IFERROR(INDEX(PP_Grid[#Data],M_BOM[PPGridRow],105),0))</f>
        <v/>
      </c>
    </row>
    <row r="40">
      <c r="A40" t="inlineStr">
        <is>
          <t>5SN</t>
        </is>
      </c>
      <c r="B40">
        <f>SUMPRODUCT((M_BOM[Part Name]=$A40)*M_BOM[RM_Qty_Per_Batch]*IFERROR(INDEX(PP_Grid[#Data],M_BOM[PPGridRow],2),0))</f>
        <v/>
      </c>
      <c r="C40">
        <f>SUMPRODUCT((M_BOM[Part Name]=$A40)*M_BOM[RM_Qty_Per_Batch]*IFERROR(INDEX(PP_Grid[#Data],M_BOM[PPGridRow],3),0))</f>
        <v/>
      </c>
      <c r="D40">
        <f>SUMPRODUCT((M_BOM[Part Name]=$A40)*M_BOM[RM_Qty_Per_Batch]*IFERROR(INDEX(PP_Grid[#Data],M_BOM[PPGridRow],4),0))</f>
        <v/>
      </c>
      <c r="E40">
        <f>SUMPRODUCT((M_BOM[Part Name]=$A40)*M_BOM[RM_Qty_Per_Batch]*IFERROR(INDEX(PP_Grid[#Data],M_BOM[PPGridRow],5),0))</f>
        <v/>
      </c>
      <c r="F40">
        <f>SUMPRODUCT((M_BOM[Part Name]=$A40)*M_BOM[RM_Qty_Per_Batch]*IFERROR(INDEX(PP_Grid[#Data],M_BOM[PPGridRow],6),0))</f>
        <v/>
      </c>
      <c r="G40">
        <f>SUMPRODUCT((M_BOM[Part Name]=$A40)*M_BOM[RM_Qty_Per_Batch]*IFERROR(INDEX(PP_Grid[#Data],M_BOM[PPGridRow],7),0))</f>
        <v/>
      </c>
      <c r="H40">
        <f>SUMPRODUCT((M_BOM[Part Name]=$A40)*M_BOM[RM_Qty_Per_Batch]*IFERROR(INDEX(PP_Grid[#Data],M_BOM[PPGridRow],8),0))</f>
        <v/>
      </c>
      <c r="I40">
        <f>SUMPRODUCT((M_BOM[Part Name]=$A40)*M_BOM[RM_Qty_Per_Batch]*IFERROR(INDEX(PP_Grid[#Data],M_BOM[PPGridRow],9),0))</f>
        <v/>
      </c>
      <c r="J40">
        <f>SUMPRODUCT((M_BOM[Part Name]=$A40)*M_BOM[RM_Qty_Per_Batch]*IFERROR(INDEX(PP_Grid[#Data],M_BOM[PPGridRow],10),0))</f>
        <v/>
      </c>
      <c r="K40">
        <f>SUMPRODUCT((M_BOM[Part Name]=$A40)*M_BOM[RM_Qty_Per_Batch]*IFERROR(INDEX(PP_Grid[#Data],M_BOM[PPGridRow],11),0))</f>
        <v/>
      </c>
      <c r="L40">
        <f>SUMPRODUCT((M_BOM[Part Name]=$A40)*M_BOM[RM_Qty_Per_Batch]*IFERROR(INDEX(PP_Grid[#Data],M_BOM[PPGridRow],12),0))</f>
        <v/>
      </c>
      <c r="M40">
        <f>SUMPRODUCT((M_BOM[Part Name]=$A40)*M_BOM[RM_Qty_Per_Batch]*IFERROR(INDEX(PP_Grid[#Data],M_BOM[PPGridRow],13),0))</f>
        <v/>
      </c>
      <c r="N40">
        <f>SUMPRODUCT((M_BOM[Part Name]=$A40)*M_BOM[RM_Qty_Per_Batch]*IFERROR(INDEX(PP_Grid[#Data],M_BOM[PPGridRow],14),0))</f>
        <v/>
      </c>
      <c r="O40">
        <f>SUMPRODUCT((M_BOM[Part Name]=$A40)*M_BOM[RM_Qty_Per_Batch]*IFERROR(INDEX(PP_Grid[#Data],M_BOM[PPGridRow],15),0))</f>
        <v/>
      </c>
      <c r="P40">
        <f>SUMPRODUCT((M_BOM[Part Name]=$A40)*M_BOM[RM_Qty_Per_Batch]*IFERROR(INDEX(PP_Grid[#Data],M_BOM[PPGridRow],16),0))</f>
        <v/>
      </c>
      <c r="Q40">
        <f>SUMPRODUCT((M_BOM[Part Name]=$A40)*M_BOM[RM_Qty_Per_Batch]*IFERROR(INDEX(PP_Grid[#Data],M_BOM[PPGridRow],17),0))</f>
        <v/>
      </c>
      <c r="R40">
        <f>SUMPRODUCT((M_BOM[Part Name]=$A40)*M_BOM[RM_Qty_Per_Batch]*IFERROR(INDEX(PP_Grid[#Data],M_BOM[PPGridRow],18),0))</f>
        <v/>
      </c>
      <c r="S40">
        <f>SUMPRODUCT((M_BOM[Part Name]=$A40)*M_BOM[RM_Qty_Per_Batch]*IFERROR(INDEX(PP_Grid[#Data],M_BOM[PPGridRow],19),0))</f>
        <v/>
      </c>
      <c r="T40">
        <f>SUMPRODUCT((M_BOM[Part Name]=$A40)*M_BOM[RM_Qty_Per_Batch]*IFERROR(INDEX(PP_Grid[#Data],M_BOM[PPGridRow],20),0))</f>
        <v/>
      </c>
      <c r="U40">
        <f>SUMPRODUCT((M_BOM[Part Name]=$A40)*M_BOM[RM_Qty_Per_Batch]*IFERROR(INDEX(PP_Grid[#Data],M_BOM[PPGridRow],21),0))</f>
        <v/>
      </c>
      <c r="V40">
        <f>SUMPRODUCT((M_BOM[Part Name]=$A40)*M_BOM[RM_Qty_Per_Batch]*IFERROR(INDEX(PP_Grid[#Data],M_BOM[PPGridRow],22),0))</f>
        <v/>
      </c>
      <c r="W40">
        <f>SUMPRODUCT((M_BOM[Part Name]=$A40)*M_BOM[RM_Qty_Per_Batch]*IFERROR(INDEX(PP_Grid[#Data],M_BOM[PPGridRow],23),0))</f>
        <v/>
      </c>
      <c r="X40">
        <f>SUMPRODUCT((M_BOM[Part Name]=$A40)*M_BOM[RM_Qty_Per_Batch]*IFERROR(INDEX(PP_Grid[#Data],M_BOM[PPGridRow],24),0))</f>
        <v/>
      </c>
      <c r="Y40">
        <f>SUMPRODUCT((M_BOM[Part Name]=$A40)*M_BOM[RM_Qty_Per_Batch]*IFERROR(INDEX(PP_Grid[#Data],M_BOM[PPGridRow],25),0))</f>
        <v/>
      </c>
      <c r="Z40">
        <f>SUMPRODUCT((M_BOM[Part Name]=$A40)*M_BOM[RM_Qty_Per_Batch]*IFERROR(INDEX(PP_Grid[#Data],M_BOM[PPGridRow],26),0))</f>
        <v/>
      </c>
      <c r="AA40">
        <f>SUMPRODUCT((M_BOM[Part Name]=$A40)*M_BOM[RM_Qty_Per_Batch]*IFERROR(INDEX(PP_Grid[#Data],M_BOM[PPGridRow],27),0))</f>
        <v/>
      </c>
      <c r="AB40">
        <f>SUMPRODUCT((M_BOM[Part Name]=$A40)*M_BOM[RM_Qty_Per_Batch]*IFERROR(INDEX(PP_Grid[#Data],M_BOM[PPGridRow],28),0))</f>
        <v/>
      </c>
      <c r="AC40">
        <f>SUMPRODUCT((M_BOM[Part Name]=$A40)*M_BOM[RM_Qty_Per_Batch]*IFERROR(INDEX(PP_Grid[#Data],M_BOM[PPGridRow],29),0))</f>
        <v/>
      </c>
      <c r="AD40">
        <f>SUMPRODUCT((M_BOM[Part Name]=$A40)*M_BOM[RM_Qty_Per_Batch]*IFERROR(INDEX(PP_Grid[#Data],M_BOM[PPGridRow],30),0))</f>
        <v/>
      </c>
      <c r="AE40">
        <f>SUMPRODUCT((M_BOM[Part Name]=$A40)*M_BOM[RM_Qty_Per_Batch]*IFERROR(INDEX(PP_Grid[#Data],M_BOM[PPGridRow],31),0))</f>
        <v/>
      </c>
      <c r="AF40">
        <f>SUMPRODUCT((M_BOM[Part Name]=$A40)*M_BOM[RM_Qty_Per_Batch]*IFERROR(INDEX(PP_Grid[#Data],M_BOM[PPGridRow],32),0))</f>
        <v/>
      </c>
      <c r="AG40">
        <f>SUMPRODUCT((M_BOM[Part Name]=$A40)*M_BOM[RM_Qty_Per_Batch]*IFERROR(INDEX(PP_Grid[#Data],M_BOM[PPGridRow],33),0))</f>
        <v/>
      </c>
      <c r="AH40">
        <f>SUMPRODUCT((M_BOM[Part Name]=$A40)*M_BOM[RM_Qty_Per_Batch]*IFERROR(INDEX(PP_Grid[#Data],M_BOM[PPGridRow],34),0))</f>
        <v/>
      </c>
      <c r="AI40">
        <f>SUMPRODUCT((M_BOM[Part Name]=$A40)*M_BOM[RM_Qty_Per_Batch]*IFERROR(INDEX(PP_Grid[#Data],M_BOM[PPGridRow],35),0))</f>
        <v/>
      </c>
      <c r="AJ40">
        <f>SUMPRODUCT((M_BOM[Part Name]=$A40)*M_BOM[RM_Qty_Per_Batch]*IFERROR(INDEX(PP_Grid[#Data],M_BOM[PPGridRow],36),0))</f>
        <v/>
      </c>
      <c r="AK40">
        <f>SUMPRODUCT((M_BOM[Part Name]=$A40)*M_BOM[RM_Qty_Per_Batch]*IFERROR(INDEX(PP_Grid[#Data],M_BOM[PPGridRow],37),0))</f>
        <v/>
      </c>
      <c r="AL40">
        <f>SUMPRODUCT((M_BOM[Part Name]=$A40)*M_BOM[RM_Qty_Per_Batch]*IFERROR(INDEX(PP_Grid[#Data],M_BOM[PPGridRow],38),0))</f>
        <v/>
      </c>
      <c r="AM40">
        <f>SUMPRODUCT((M_BOM[Part Name]=$A40)*M_BOM[RM_Qty_Per_Batch]*IFERROR(INDEX(PP_Grid[#Data],M_BOM[PPGridRow],39),0))</f>
        <v/>
      </c>
      <c r="AN40">
        <f>SUMPRODUCT((M_BOM[Part Name]=$A40)*M_BOM[RM_Qty_Per_Batch]*IFERROR(INDEX(PP_Grid[#Data],M_BOM[PPGridRow],40),0))</f>
        <v/>
      </c>
      <c r="AO40">
        <f>SUMPRODUCT((M_BOM[Part Name]=$A40)*M_BOM[RM_Qty_Per_Batch]*IFERROR(INDEX(PP_Grid[#Data],M_BOM[PPGridRow],41),0))</f>
        <v/>
      </c>
      <c r="AP40">
        <f>SUMPRODUCT((M_BOM[Part Name]=$A40)*M_BOM[RM_Qty_Per_Batch]*IFERROR(INDEX(PP_Grid[#Data],M_BOM[PPGridRow],42),0))</f>
        <v/>
      </c>
      <c r="AQ40">
        <f>SUMPRODUCT((M_BOM[Part Name]=$A40)*M_BOM[RM_Qty_Per_Batch]*IFERROR(INDEX(PP_Grid[#Data],M_BOM[PPGridRow],43),0))</f>
        <v/>
      </c>
      <c r="AR40">
        <f>SUMPRODUCT((M_BOM[Part Name]=$A40)*M_BOM[RM_Qty_Per_Batch]*IFERROR(INDEX(PP_Grid[#Data],M_BOM[PPGridRow],44),0))</f>
        <v/>
      </c>
      <c r="AS40">
        <f>SUMPRODUCT((M_BOM[Part Name]=$A40)*M_BOM[RM_Qty_Per_Batch]*IFERROR(INDEX(PP_Grid[#Data],M_BOM[PPGridRow],45),0))</f>
        <v/>
      </c>
      <c r="AT40">
        <f>SUMPRODUCT((M_BOM[Part Name]=$A40)*M_BOM[RM_Qty_Per_Batch]*IFERROR(INDEX(PP_Grid[#Data],M_BOM[PPGridRow],46),0))</f>
        <v/>
      </c>
      <c r="AU40">
        <f>SUMPRODUCT((M_BOM[Part Name]=$A40)*M_BOM[RM_Qty_Per_Batch]*IFERROR(INDEX(PP_Grid[#Data],M_BOM[PPGridRow],47),0))</f>
        <v/>
      </c>
      <c r="AV40">
        <f>SUMPRODUCT((M_BOM[Part Name]=$A40)*M_BOM[RM_Qty_Per_Batch]*IFERROR(INDEX(PP_Grid[#Data],M_BOM[PPGridRow],48),0))</f>
        <v/>
      </c>
      <c r="AW40">
        <f>SUMPRODUCT((M_BOM[Part Name]=$A40)*M_BOM[RM_Qty_Per_Batch]*IFERROR(INDEX(PP_Grid[#Data],M_BOM[PPGridRow],49),0))</f>
        <v/>
      </c>
      <c r="AX40">
        <f>SUMPRODUCT((M_BOM[Part Name]=$A40)*M_BOM[RM_Qty_Per_Batch]*IFERROR(INDEX(PP_Grid[#Data],M_BOM[PPGridRow],50),0))</f>
        <v/>
      </c>
      <c r="AY40">
        <f>SUMPRODUCT((M_BOM[Part Name]=$A40)*M_BOM[RM_Qty_Per_Batch]*IFERROR(INDEX(PP_Grid[#Data],M_BOM[PPGridRow],51),0))</f>
        <v/>
      </c>
      <c r="AZ40">
        <f>SUMPRODUCT((M_BOM[Part Name]=$A40)*M_BOM[RM_Qty_Per_Batch]*IFERROR(INDEX(PP_Grid[#Data],M_BOM[PPGridRow],52),0))</f>
        <v/>
      </c>
      <c r="BA40">
        <f>SUMPRODUCT((M_BOM[Part Name]=$A40)*M_BOM[RM_Qty_Per_Batch]*IFERROR(INDEX(PP_Grid[#Data],M_BOM[PPGridRow],53),0))</f>
        <v/>
      </c>
      <c r="BB40">
        <f>SUMPRODUCT((M_BOM[Part Name]=$A40)*M_BOM[RM_Qty_Per_Batch]*IFERROR(INDEX(PP_Grid[#Data],M_BOM[PPGridRow],54),0))</f>
        <v/>
      </c>
      <c r="BC40">
        <f>SUMPRODUCT((M_BOM[Part Name]=$A40)*M_BOM[RM_Qty_Per_Batch]*IFERROR(INDEX(PP_Grid[#Data],M_BOM[PPGridRow],55),0))</f>
        <v/>
      </c>
      <c r="BD40">
        <f>SUMPRODUCT((M_BOM[Part Name]=$A40)*M_BOM[RM_Qty_Per_Batch]*IFERROR(INDEX(PP_Grid[#Data],M_BOM[PPGridRow],56),0))</f>
        <v/>
      </c>
      <c r="BE40">
        <f>SUMPRODUCT((M_BOM[Part Name]=$A40)*M_BOM[RM_Qty_Per_Batch]*IFERROR(INDEX(PP_Grid[#Data],M_BOM[PPGridRow],57),0))</f>
        <v/>
      </c>
      <c r="BF40">
        <f>SUMPRODUCT((M_BOM[Part Name]=$A40)*M_BOM[RM_Qty_Per_Batch]*IFERROR(INDEX(PP_Grid[#Data],M_BOM[PPGridRow],58),0))</f>
        <v/>
      </c>
      <c r="BG40">
        <f>SUMPRODUCT((M_BOM[Part Name]=$A40)*M_BOM[RM_Qty_Per_Batch]*IFERROR(INDEX(PP_Grid[#Data],M_BOM[PPGridRow],59),0))</f>
        <v/>
      </c>
      <c r="BH40">
        <f>SUMPRODUCT((M_BOM[Part Name]=$A40)*M_BOM[RM_Qty_Per_Batch]*IFERROR(INDEX(PP_Grid[#Data],M_BOM[PPGridRow],60),0))</f>
        <v/>
      </c>
      <c r="BI40">
        <f>SUMPRODUCT((M_BOM[Part Name]=$A40)*M_BOM[RM_Qty_Per_Batch]*IFERROR(INDEX(PP_Grid[#Data],M_BOM[PPGridRow],61),0))</f>
        <v/>
      </c>
      <c r="BJ40">
        <f>SUMPRODUCT((M_BOM[Part Name]=$A40)*M_BOM[RM_Qty_Per_Batch]*IFERROR(INDEX(PP_Grid[#Data],M_BOM[PPGridRow],62),0))</f>
        <v/>
      </c>
      <c r="BK40">
        <f>SUMPRODUCT((M_BOM[Part Name]=$A40)*M_BOM[RM_Qty_Per_Batch]*IFERROR(INDEX(PP_Grid[#Data],M_BOM[PPGridRow],63),0))</f>
        <v/>
      </c>
      <c r="BL40">
        <f>SUMPRODUCT((M_BOM[Part Name]=$A40)*M_BOM[RM_Qty_Per_Batch]*IFERROR(INDEX(PP_Grid[#Data],M_BOM[PPGridRow],64),0))</f>
        <v/>
      </c>
      <c r="BM40">
        <f>SUMPRODUCT((M_BOM[Part Name]=$A40)*M_BOM[RM_Qty_Per_Batch]*IFERROR(INDEX(PP_Grid[#Data],M_BOM[PPGridRow],65),0))</f>
        <v/>
      </c>
      <c r="BN40">
        <f>SUMPRODUCT((M_BOM[Part Name]=$A40)*M_BOM[RM_Qty_Per_Batch]*IFERROR(INDEX(PP_Grid[#Data],M_BOM[PPGridRow],66),0))</f>
        <v/>
      </c>
      <c r="BO40">
        <f>SUMPRODUCT((M_BOM[Part Name]=$A40)*M_BOM[RM_Qty_Per_Batch]*IFERROR(INDEX(PP_Grid[#Data],M_BOM[PPGridRow],67),0))</f>
        <v/>
      </c>
      <c r="BP40">
        <f>SUMPRODUCT((M_BOM[Part Name]=$A40)*M_BOM[RM_Qty_Per_Batch]*IFERROR(INDEX(PP_Grid[#Data],M_BOM[PPGridRow],68),0))</f>
        <v/>
      </c>
      <c r="BQ40">
        <f>SUMPRODUCT((M_BOM[Part Name]=$A40)*M_BOM[RM_Qty_Per_Batch]*IFERROR(INDEX(PP_Grid[#Data],M_BOM[PPGridRow],69),0))</f>
        <v/>
      </c>
      <c r="BR40">
        <f>SUMPRODUCT((M_BOM[Part Name]=$A40)*M_BOM[RM_Qty_Per_Batch]*IFERROR(INDEX(PP_Grid[#Data],M_BOM[PPGridRow],70),0))</f>
        <v/>
      </c>
      <c r="BS40">
        <f>SUMPRODUCT((M_BOM[Part Name]=$A40)*M_BOM[RM_Qty_Per_Batch]*IFERROR(INDEX(PP_Grid[#Data],M_BOM[PPGridRow],71),0))</f>
        <v/>
      </c>
      <c r="BT40">
        <f>SUMPRODUCT((M_BOM[Part Name]=$A40)*M_BOM[RM_Qty_Per_Batch]*IFERROR(INDEX(PP_Grid[#Data],M_BOM[PPGridRow],72),0))</f>
        <v/>
      </c>
      <c r="BU40">
        <f>SUMPRODUCT((M_BOM[Part Name]=$A40)*M_BOM[RM_Qty_Per_Batch]*IFERROR(INDEX(PP_Grid[#Data],M_BOM[PPGridRow],73),0))</f>
        <v/>
      </c>
      <c r="BV40">
        <f>SUMPRODUCT((M_BOM[Part Name]=$A40)*M_BOM[RM_Qty_Per_Batch]*IFERROR(INDEX(PP_Grid[#Data],M_BOM[PPGridRow],74),0))</f>
        <v/>
      </c>
      <c r="BW40">
        <f>SUMPRODUCT((M_BOM[Part Name]=$A40)*M_BOM[RM_Qty_Per_Batch]*IFERROR(INDEX(PP_Grid[#Data],M_BOM[PPGridRow],75),0))</f>
        <v/>
      </c>
      <c r="BX40">
        <f>SUMPRODUCT((M_BOM[Part Name]=$A40)*M_BOM[RM_Qty_Per_Batch]*IFERROR(INDEX(PP_Grid[#Data],M_BOM[PPGridRow],76),0))</f>
        <v/>
      </c>
      <c r="BY40">
        <f>SUMPRODUCT((M_BOM[Part Name]=$A40)*M_BOM[RM_Qty_Per_Batch]*IFERROR(INDEX(PP_Grid[#Data],M_BOM[PPGridRow],77),0))</f>
        <v/>
      </c>
      <c r="BZ40">
        <f>SUMPRODUCT((M_BOM[Part Name]=$A40)*M_BOM[RM_Qty_Per_Batch]*IFERROR(INDEX(PP_Grid[#Data],M_BOM[PPGridRow],78),0))</f>
        <v/>
      </c>
      <c r="CA40">
        <f>SUMPRODUCT((M_BOM[Part Name]=$A40)*M_BOM[RM_Qty_Per_Batch]*IFERROR(INDEX(PP_Grid[#Data],M_BOM[PPGridRow],79),0))</f>
        <v/>
      </c>
      <c r="CB40">
        <f>SUMPRODUCT((M_BOM[Part Name]=$A40)*M_BOM[RM_Qty_Per_Batch]*IFERROR(INDEX(PP_Grid[#Data],M_BOM[PPGridRow],80),0))</f>
        <v/>
      </c>
      <c r="CC40">
        <f>SUMPRODUCT((M_BOM[Part Name]=$A40)*M_BOM[RM_Qty_Per_Batch]*IFERROR(INDEX(PP_Grid[#Data],M_BOM[PPGridRow],81),0))</f>
        <v/>
      </c>
      <c r="CD40">
        <f>SUMPRODUCT((M_BOM[Part Name]=$A40)*M_BOM[RM_Qty_Per_Batch]*IFERROR(INDEX(PP_Grid[#Data],M_BOM[PPGridRow],82),0))</f>
        <v/>
      </c>
      <c r="CE40">
        <f>SUMPRODUCT((M_BOM[Part Name]=$A40)*M_BOM[RM_Qty_Per_Batch]*IFERROR(INDEX(PP_Grid[#Data],M_BOM[PPGridRow],83),0))</f>
        <v/>
      </c>
      <c r="CF40">
        <f>SUMPRODUCT((M_BOM[Part Name]=$A40)*M_BOM[RM_Qty_Per_Batch]*IFERROR(INDEX(PP_Grid[#Data],M_BOM[PPGridRow],84),0))</f>
        <v/>
      </c>
      <c r="CG40">
        <f>SUMPRODUCT((M_BOM[Part Name]=$A40)*M_BOM[RM_Qty_Per_Batch]*IFERROR(INDEX(PP_Grid[#Data],M_BOM[PPGridRow],85),0))</f>
        <v/>
      </c>
      <c r="CH40">
        <f>SUMPRODUCT((M_BOM[Part Name]=$A40)*M_BOM[RM_Qty_Per_Batch]*IFERROR(INDEX(PP_Grid[#Data],M_BOM[PPGridRow],86),0))</f>
        <v/>
      </c>
      <c r="CI40">
        <f>SUMPRODUCT((M_BOM[Part Name]=$A40)*M_BOM[RM_Qty_Per_Batch]*IFERROR(INDEX(PP_Grid[#Data],M_BOM[PPGridRow],87),0))</f>
        <v/>
      </c>
      <c r="CJ40">
        <f>SUMPRODUCT((M_BOM[Part Name]=$A40)*M_BOM[RM_Qty_Per_Batch]*IFERROR(INDEX(PP_Grid[#Data],M_BOM[PPGridRow],88),0))</f>
        <v/>
      </c>
      <c r="CK40">
        <f>SUMPRODUCT((M_BOM[Part Name]=$A40)*M_BOM[RM_Qty_Per_Batch]*IFERROR(INDEX(PP_Grid[#Data],M_BOM[PPGridRow],89),0))</f>
        <v/>
      </c>
      <c r="CL40">
        <f>SUMPRODUCT((M_BOM[Part Name]=$A40)*M_BOM[RM_Qty_Per_Batch]*IFERROR(INDEX(PP_Grid[#Data],M_BOM[PPGridRow],90),0))</f>
        <v/>
      </c>
      <c r="CM40">
        <f>SUMPRODUCT((M_BOM[Part Name]=$A40)*M_BOM[RM_Qty_Per_Batch]*IFERROR(INDEX(PP_Grid[#Data],M_BOM[PPGridRow],91),0))</f>
        <v/>
      </c>
      <c r="CN40">
        <f>SUMPRODUCT((M_BOM[Part Name]=$A40)*M_BOM[RM_Qty_Per_Batch]*IFERROR(INDEX(PP_Grid[#Data],M_BOM[PPGridRow],92),0))</f>
        <v/>
      </c>
      <c r="CO40">
        <f>SUMPRODUCT((M_BOM[Part Name]=$A40)*M_BOM[RM_Qty_Per_Batch]*IFERROR(INDEX(PP_Grid[#Data],M_BOM[PPGridRow],93),0))</f>
        <v/>
      </c>
      <c r="CP40">
        <f>SUMPRODUCT((M_BOM[Part Name]=$A40)*M_BOM[RM_Qty_Per_Batch]*IFERROR(INDEX(PP_Grid[#Data],M_BOM[PPGridRow],94),0))</f>
        <v/>
      </c>
      <c r="CQ40">
        <f>SUMPRODUCT((M_BOM[Part Name]=$A40)*M_BOM[RM_Qty_Per_Batch]*IFERROR(INDEX(PP_Grid[#Data],M_BOM[PPGridRow],95),0))</f>
        <v/>
      </c>
      <c r="CR40">
        <f>SUMPRODUCT((M_BOM[Part Name]=$A40)*M_BOM[RM_Qty_Per_Batch]*IFERROR(INDEX(PP_Grid[#Data],M_BOM[PPGridRow],96),0))</f>
        <v/>
      </c>
      <c r="CS40">
        <f>SUMPRODUCT((M_BOM[Part Name]=$A40)*M_BOM[RM_Qty_Per_Batch]*IFERROR(INDEX(PP_Grid[#Data],M_BOM[PPGridRow],97),0))</f>
        <v/>
      </c>
      <c r="CT40">
        <f>SUMPRODUCT((M_BOM[Part Name]=$A40)*M_BOM[RM_Qty_Per_Batch]*IFERROR(INDEX(PP_Grid[#Data],M_BOM[PPGridRow],98),0))</f>
        <v/>
      </c>
      <c r="CU40">
        <f>SUMPRODUCT((M_BOM[Part Name]=$A40)*M_BOM[RM_Qty_Per_Batch]*IFERROR(INDEX(PP_Grid[#Data],M_BOM[PPGridRow],99),0))</f>
        <v/>
      </c>
      <c r="CV40">
        <f>SUMPRODUCT((M_BOM[Part Name]=$A40)*M_BOM[RM_Qty_Per_Batch]*IFERROR(INDEX(PP_Grid[#Data],M_BOM[PPGridRow],100),0))</f>
        <v/>
      </c>
      <c r="CW40">
        <f>SUMPRODUCT((M_BOM[Part Name]=$A40)*M_BOM[RM_Qty_Per_Batch]*IFERROR(INDEX(PP_Grid[#Data],M_BOM[PPGridRow],101),0))</f>
        <v/>
      </c>
      <c r="CX40">
        <f>SUMPRODUCT((M_BOM[Part Name]=$A40)*M_BOM[RM_Qty_Per_Batch]*IFERROR(INDEX(PP_Grid[#Data],M_BOM[PPGridRow],102),0))</f>
        <v/>
      </c>
      <c r="CY40">
        <f>SUMPRODUCT((M_BOM[Part Name]=$A40)*M_BOM[RM_Qty_Per_Batch]*IFERROR(INDEX(PP_Grid[#Data],M_BOM[PPGridRow],103),0))</f>
        <v/>
      </c>
      <c r="CZ40">
        <f>SUMPRODUCT((M_BOM[Part Name]=$A40)*M_BOM[RM_Qty_Per_Batch]*IFERROR(INDEX(PP_Grid[#Data],M_BOM[PPGridRow],104),0))</f>
        <v/>
      </c>
      <c r="DA40">
        <f>SUMPRODUCT((M_BOM[Part Name]=$A40)*M_BOM[RM_Qty_Per_Batch]*IFERROR(INDEX(PP_Grid[#Data],M_BOM[PPGridRow],105),0))</f>
        <v/>
      </c>
    </row>
    <row r="41">
      <c r="A41" t="inlineStr">
        <is>
          <t>1JN</t>
        </is>
      </c>
      <c r="B41">
        <f>SUMPRODUCT((M_BOM[Part Name]=$A41)*M_BOM[RM_Qty_Per_Batch]*IFERROR(INDEX(PP_Grid[#Data],M_BOM[PPGridRow],2),0))</f>
        <v/>
      </c>
      <c r="C41">
        <f>SUMPRODUCT((M_BOM[Part Name]=$A41)*M_BOM[RM_Qty_Per_Batch]*IFERROR(INDEX(PP_Grid[#Data],M_BOM[PPGridRow],3),0))</f>
        <v/>
      </c>
      <c r="D41">
        <f>SUMPRODUCT((M_BOM[Part Name]=$A41)*M_BOM[RM_Qty_Per_Batch]*IFERROR(INDEX(PP_Grid[#Data],M_BOM[PPGridRow],4),0))</f>
        <v/>
      </c>
      <c r="E41">
        <f>SUMPRODUCT((M_BOM[Part Name]=$A41)*M_BOM[RM_Qty_Per_Batch]*IFERROR(INDEX(PP_Grid[#Data],M_BOM[PPGridRow],5),0))</f>
        <v/>
      </c>
      <c r="F41">
        <f>SUMPRODUCT((M_BOM[Part Name]=$A41)*M_BOM[RM_Qty_Per_Batch]*IFERROR(INDEX(PP_Grid[#Data],M_BOM[PPGridRow],6),0))</f>
        <v/>
      </c>
      <c r="G41">
        <f>SUMPRODUCT((M_BOM[Part Name]=$A41)*M_BOM[RM_Qty_Per_Batch]*IFERROR(INDEX(PP_Grid[#Data],M_BOM[PPGridRow],7),0))</f>
        <v/>
      </c>
      <c r="H41">
        <f>SUMPRODUCT((M_BOM[Part Name]=$A41)*M_BOM[RM_Qty_Per_Batch]*IFERROR(INDEX(PP_Grid[#Data],M_BOM[PPGridRow],8),0))</f>
        <v/>
      </c>
      <c r="I41">
        <f>SUMPRODUCT((M_BOM[Part Name]=$A41)*M_BOM[RM_Qty_Per_Batch]*IFERROR(INDEX(PP_Grid[#Data],M_BOM[PPGridRow],9),0))</f>
        <v/>
      </c>
      <c r="J41">
        <f>SUMPRODUCT((M_BOM[Part Name]=$A41)*M_BOM[RM_Qty_Per_Batch]*IFERROR(INDEX(PP_Grid[#Data],M_BOM[PPGridRow],10),0))</f>
        <v/>
      </c>
      <c r="K41">
        <f>SUMPRODUCT((M_BOM[Part Name]=$A41)*M_BOM[RM_Qty_Per_Batch]*IFERROR(INDEX(PP_Grid[#Data],M_BOM[PPGridRow],11),0))</f>
        <v/>
      </c>
      <c r="L41">
        <f>SUMPRODUCT((M_BOM[Part Name]=$A41)*M_BOM[RM_Qty_Per_Batch]*IFERROR(INDEX(PP_Grid[#Data],M_BOM[PPGridRow],12),0))</f>
        <v/>
      </c>
      <c r="M41">
        <f>SUMPRODUCT((M_BOM[Part Name]=$A41)*M_BOM[RM_Qty_Per_Batch]*IFERROR(INDEX(PP_Grid[#Data],M_BOM[PPGridRow],13),0))</f>
        <v/>
      </c>
      <c r="N41">
        <f>SUMPRODUCT((M_BOM[Part Name]=$A41)*M_BOM[RM_Qty_Per_Batch]*IFERROR(INDEX(PP_Grid[#Data],M_BOM[PPGridRow],14),0))</f>
        <v/>
      </c>
      <c r="O41">
        <f>SUMPRODUCT((M_BOM[Part Name]=$A41)*M_BOM[RM_Qty_Per_Batch]*IFERROR(INDEX(PP_Grid[#Data],M_BOM[PPGridRow],15),0))</f>
        <v/>
      </c>
      <c r="P41">
        <f>SUMPRODUCT((M_BOM[Part Name]=$A41)*M_BOM[RM_Qty_Per_Batch]*IFERROR(INDEX(PP_Grid[#Data],M_BOM[PPGridRow],16),0))</f>
        <v/>
      </c>
      <c r="Q41">
        <f>SUMPRODUCT((M_BOM[Part Name]=$A41)*M_BOM[RM_Qty_Per_Batch]*IFERROR(INDEX(PP_Grid[#Data],M_BOM[PPGridRow],17),0))</f>
        <v/>
      </c>
      <c r="R41">
        <f>SUMPRODUCT((M_BOM[Part Name]=$A41)*M_BOM[RM_Qty_Per_Batch]*IFERROR(INDEX(PP_Grid[#Data],M_BOM[PPGridRow],18),0))</f>
        <v/>
      </c>
      <c r="S41">
        <f>SUMPRODUCT((M_BOM[Part Name]=$A41)*M_BOM[RM_Qty_Per_Batch]*IFERROR(INDEX(PP_Grid[#Data],M_BOM[PPGridRow],19),0))</f>
        <v/>
      </c>
      <c r="T41">
        <f>SUMPRODUCT((M_BOM[Part Name]=$A41)*M_BOM[RM_Qty_Per_Batch]*IFERROR(INDEX(PP_Grid[#Data],M_BOM[PPGridRow],20),0))</f>
        <v/>
      </c>
      <c r="U41">
        <f>SUMPRODUCT((M_BOM[Part Name]=$A41)*M_BOM[RM_Qty_Per_Batch]*IFERROR(INDEX(PP_Grid[#Data],M_BOM[PPGridRow],21),0))</f>
        <v/>
      </c>
      <c r="V41">
        <f>SUMPRODUCT((M_BOM[Part Name]=$A41)*M_BOM[RM_Qty_Per_Batch]*IFERROR(INDEX(PP_Grid[#Data],M_BOM[PPGridRow],22),0))</f>
        <v/>
      </c>
      <c r="W41">
        <f>SUMPRODUCT((M_BOM[Part Name]=$A41)*M_BOM[RM_Qty_Per_Batch]*IFERROR(INDEX(PP_Grid[#Data],M_BOM[PPGridRow],23),0))</f>
        <v/>
      </c>
      <c r="X41">
        <f>SUMPRODUCT((M_BOM[Part Name]=$A41)*M_BOM[RM_Qty_Per_Batch]*IFERROR(INDEX(PP_Grid[#Data],M_BOM[PPGridRow],24),0))</f>
        <v/>
      </c>
      <c r="Y41">
        <f>SUMPRODUCT((M_BOM[Part Name]=$A41)*M_BOM[RM_Qty_Per_Batch]*IFERROR(INDEX(PP_Grid[#Data],M_BOM[PPGridRow],25),0))</f>
        <v/>
      </c>
      <c r="Z41">
        <f>SUMPRODUCT((M_BOM[Part Name]=$A41)*M_BOM[RM_Qty_Per_Batch]*IFERROR(INDEX(PP_Grid[#Data],M_BOM[PPGridRow],26),0))</f>
        <v/>
      </c>
      <c r="AA41">
        <f>SUMPRODUCT((M_BOM[Part Name]=$A41)*M_BOM[RM_Qty_Per_Batch]*IFERROR(INDEX(PP_Grid[#Data],M_BOM[PPGridRow],27),0))</f>
        <v/>
      </c>
      <c r="AB41">
        <f>SUMPRODUCT((M_BOM[Part Name]=$A41)*M_BOM[RM_Qty_Per_Batch]*IFERROR(INDEX(PP_Grid[#Data],M_BOM[PPGridRow],28),0))</f>
        <v/>
      </c>
      <c r="AC41">
        <f>SUMPRODUCT((M_BOM[Part Name]=$A41)*M_BOM[RM_Qty_Per_Batch]*IFERROR(INDEX(PP_Grid[#Data],M_BOM[PPGridRow],29),0))</f>
        <v/>
      </c>
      <c r="AD41">
        <f>SUMPRODUCT((M_BOM[Part Name]=$A41)*M_BOM[RM_Qty_Per_Batch]*IFERROR(INDEX(PP_Grid[#Data],M_BOM[PPGridRow],30),0))</f>
        <v/>
      </c>
      <c r="AE41">
        <f>SUMPRODUCT((M_BOM[Part Name]=$A41)*M_BOM[RM_Qty_Per_Batch]*IFERROR(INDEX(PP_Grid[#Data],M_BOM[PPGridRow],31),0))</f>
        <v/>
      </c>
      <c r="AF41">
        <f>SUMPRODUCT((M_BOM[Part Name]=$A41)*M_BOM[RM_Qty_Per_Batch]*IFERROR(INDEX(PP_Grid[#Data],M_BOM[PPGridRow],32),0))</f>
        <v/>
      </c>
      <c r="AG41">
        <f>SUMPRODUCT((M_BOM[Part Name]=$A41)*M_BOM[RM_Qty_Per_Batch]*IFERROR(INDEX(PP_Grid[#Data],M_BOM[PPGridRow],33),0))</f>
        <v/>
      </c>
      <c r="AH41">
        <f>SUMPRODUCT((M_BOM[Part Name]=$A41)*M_BOM[RM_Qty_Per_Batch]*IFERROR(INDEX(PP_Grid[#Data],M_BOM[PPGridRow],34),0))</f>
        <v/>
      </c>
      <c r="AI41">
        <f>SUMPRODUCT((M_BOM[Part Name]=$A41)*M_BOM[RM_Qty_Per_Batch]*IFERROR(INDEX(PP_Grid[#Data],M_BOM[PPGridRow],35),0))</f>
        <v/>
      </c>
      <c r="AJ41">
        <f>SUMPRODUCT((M_BOM[Part Name]=$A41)*M_BOM[RM_Qty_Per_Batch]*IFERROR(INDEX(PP_Grid[#Data],M_BOM[PPGridRow],36),0))</f>
        <v/>
      </c>
      <c r="AK41">
        <f>SUMPRODUCT((M_BOM[Part Name]=$A41)*M_BOM[RM_Qty_Per_Batch]*IFERROR(INDEX(PP_Grid[#Data],M_BOM[PPGridRow],37),0))</f>
        <v/>
      </c>
      <c r="AL41">
        <f>SUMPRODUCT((M_BOM[Part Name]=$A41)*M_BOM[RM_Qty_Per_Batch]*IFERROR(INDEX(PP_Grid[#Data],M_BOM[PPGridRow],38),0))</f>
        <v/>
      </c>
      <c r="AM41">
        <f>SUMPRODUCT((M_BOM[Part Name]=$A41)*M_BOM[RM_Qty_Per_Batch]*IFERROR(INDEX(PP_Grid[#Data],M_BOM[PPGridRow],39),0))</f>
        <v/>
      </c>
      <c r="AN41">
        <f>SUMPRODUCT((M_BOM[Part Name]=$A41)*M_BOM[RM_Qty_Per_Batch]*IFERROR(INDEX(PP_Grid[#Data],M_BOM[PPGridRow],40),0))</f>
        <v/>
      </c>
      <c r="AO41">
        <f>SUMPRODUCT((M_BOM[Part Name]=$A41)*M_BOM[RM_Qty_Per_Batch]*IFERROR(INDEX(PP_Grid[#Data],M_BOM[PPGridRow],41),0))</f>
        <v/>
      </c>
      <c r="AP41">
        <f>SUMPRODUCT((M_BOM[Part Name]=$A41)*M_BOM[RM_Qty_Per_Batch]*IFERROR(INDEX(PP_Grid[#Data],M_BOM[PPGridRow],42),0))</f>
        <v/>
      </c>
      <c r="AQ41">
        <f>SUMPRODUCT((M_BOM[Part Name]=$A41)*M_BOM[RM_Qty_Per_Batch]*IFERROR(INDEX(PP_Grid[#Data],M_BOM[PPGridRow],43),0))</f>
        <v/>
      </c>
      <c r="AR41">
        <f>SUMPRODUCT((M_BOM[Part Name]=$A41)*M_BOM[RM_Qty_Per_Batch]*IFERROR(INDEX(PP_Grid[#Data],M_BOM[PPGridRow],44),0))</f>
        <v/>
      </c>
      <c r="AS41">
        <f>SUMPRODUCT((M_BOM[Part Name]=$A41)*M_BOM[RM_Qty_Per_Batch]*IFERROR(INDEX(PP_Grid[#Data],M_BOM[PPGridRow],45),0))</f>
        <v/>
      </c>
      <c r="AT41">
        <f>SUMPRODUCT((M_BOM[Part Name]=$A41)*M_BOM[RM_Qty_Per_Batch]*IFERROR(INDEX(PP_Grid[#Data],M_BOM[PPGridRow],46),0))</f>
        <v/>
      </c>
      <c r="AU41">
        <f>SUMPRODUCT((M_BOM[Part Name]=$A41)*M_BOM[RM_Qty_Per_Batch]*IFERROR(INDEX(PP_Grid[#Data],M_BOM[PPGridRow],47),0))</f>
        <v/>
      </c>
      <c r="AV41">
        <f>SUMPRODUCT((M_BOM[Part Name]=$A41)*M_BOM[RM_Qty_Per_Batch]*IFERROR(INDEX(PP_Grid[#Data],M_BOM[PPGridRow],48),0))</f>
        <v/>
      </c>
      <c r="AW41">
        <f>SUMPRODUCT((M_BOM[Part Name]=$A41)*M_BOM[RM_Qty_Per_Batch]*IFERROR(INDEX(PP_Grid[#Data],M_BOM[PPGridRow],49),0))</f>
        <v/>
      </c>
      <c r="AX41">
        <f>SUMPRODUCT((M_BOM[Part Name]=$A41)*M_BOM[RM_Qty_Per_Batch]*IFERROR(INDEX(PP_Grid[#Data],M_BOM[PPGridRow],50),0))</f>
        <v/>
      </c>
      <c r="AY41">
        <f>SUMPRODUCT((M_BOM[Part Name]=$A41)*M_BOM[RM_Qty_Per_Batch]*IFERROR(INDEX(PP_Grid[#Data],M_BOM[PPGridRow],51),0))</f>
        <v/>
      </c>
      <c r="AZ41">
        <f>SUMPRODUCT((M_BOM[Part Name]=$A41)*M_BOM[RM_Qty_Per_Batch]*IFERROR(INDEX(PP_Grid[#Data],M_BOM[PPGridRow],52),0))</f>
        <v/>
      </c>
      <c r="BA41">
        <f>SUMPRODUCT((M_BOM[Part Name]=$A41)*M_BOM[RM_Qty_Per_Batch]*IFERROR(INDEX(PP_Grid[#Data],M_BOM[PPGridRow],53),0))</f>
        <v/>
      </c>
      <c r="BB41">
        <f>SUMPRODUCT((M_BOM[Part Name]=$A41)*M_BOM[RM_Qty_Per_Batch]*IFERROR(INDEX(PP_Grid[#Data],M_BOM[PPGridRow],54),0))</f>
        <v/>
      </c>
      <c r="BC41">
        <f>SUMPRODUCT((M_BOM[Part Name]=$A41)*M_BOM[RM_Qty_Per_Batch]*IFERROR(INDEX(PP_Grid[#Data],M_BOM[PPGridRow],55),0))</f>
        <v/>
      </c>
      <c r="BD41">
        <f>SUMPRODUCT((M_BOM[Part Name]=$A41)*M_BOM[RM_Qty_Per_Batch]*IFERROR(INDEX(PP_Grid[#Data],M_BOM[PPGridRow],56),0))</f>
        <v/>
      </c>
      <c r="BE41">
        <f>SUMPRODUCT((M_BOM[Part Name]=$A41)*M_BOM[RM_Qty_Per_Batch]*IFERROR(INDEX(PP_Grid[#Data],M_BOM[PPGridRow],57),0))</f>
        <v/>
      </c>
      <c r="BF41">
        <f>SUMPRODUCT((M_BOM[Part Name]=$A41)*M_BOM[RM_Qty_Per_Batch]*IFERROR(INDEX(PP_Grid[#Data],M_BOM[PPGridRow],58),0))</f>
        <v/>
      </c>
      <c r="BG41">
        <f>SUMPRODUCT((M_BOM[Part Name]=$A41)*M_BOM[RM_Qty_Per_Batch]*IFERROR(INDEX(PP_Grid[#Data],M_BOM[PPGridRow],59),0))</f>
        <v/>
      </c>
      <c r="BH41">
        <f>SUMPRODUCT((M_BOM[Part Name]=$A41)*M_BOM[RM_Qty_Per_Batch]*IFERROR(INDEX(PP_Grid[#Data],M_BOM[PPGridRow],60),0))</f>
        <v/>
      </c>
      <c r="BI41">
        <f>SUMPRODUCT((M_BOM[Part Name]=$A41)*M_BOM[RM_Qty_Per_Batch]*IFERROR(INDEX(PP_Grid[#Data],M_BOM[PPGridRow],61),0))</f>
        <v/>
      </c>
      <c r="BJ41">
        <f>SUMPRODUCT((M_BOM[Part Name]=$A41)*M_BOM[RM_Qty_Per_Batch]*IFERROR(INDEX(PP_Grid[#Data],M_BOM[PPGridRow],62),0))</f>
        <v/>
      </c>
      <c r="BK41">
        <f>SUMPRODUCT((M_BOM[Part Name]=$A41)*M_BOM[RM_Qty_Per_Batch]*IFERROR(INDEX(PP_Grid[#Data],M_BOM[PPGridRow],63),0))</f>
        <v/>
      </c>
      <c r="BL41">
        <f>SUMPRODUCT((M_BOM[Part Name]=$A41)*M_BOM[RM_Qty_Per_Batch]*IFERROR(INDEX(PP_Grid[#Data],M_BOM[PPGridRow],64),0))</f>
        <v/>
      </c>
      <c r="BM41">
        <f>SUMPRODUCT((M_BOM[Part Name]=$A41)*M_BOM[RM_Qty_Per_Batch]*IFERROR(INDEX(PP_Grid[#Data],M_BOM[PPGridRow],65),0))</f>
        <v/>
      </c>
      <c r="BN41">
        <f>SUMPRODUCT((M_BOM[Part Name]=$A41)*M_BOM[RM_Qty_Per_Batch]*IFERROR(INDEX(PP_Grid[#Data],M_BOM[PPGridRow],66),0))</f>
        <v/>
      </c>
      <c r="BO41">
        <f>SUMPRODUCT((M_BOM[Part Name]=$A41)*M_BOM[RM_Qty_Per_Batch]*IFERROR(INDEX(PP_Grid[#Data],M_BOM[PPGridRow],67),0))</f>
        <v/>
      </c>
      <c r="BP41">
        <f>SUMPRODUCT((M_BOM[Part Name]=$A41)*M_BOM[RM_Qty_Per_Batch]*IFERROR(INDEX(PP_Grid[#Data],M_BOM[PPGridRow],68),0))</f>
        <v/>
      </c>
      <c r="BQ41">
        <f>SUMPRODUCT((M_BOM[Part Name]=$A41)*M_BOM[RM_Qty_Per_Batch]*IFERROR(INDEX(PP_Grid[#Data],M_BOM[PPGridRow],69),0))</f>
        <v/>
      </c>
      <c r="BR41">
        <f>SUMPRODUCT((M_BOM[Part Name]=$A41)*M_BOM[RM_Qty_Per_Batch]*IFERROR(INDEX(PP_Grid[#Data],M_BOM[PPGridRow],70),0))</f>
        <v/>
      </c>
      <c r="BS41">
        <f>SUMPRODUCT((M_BOM[Part Name]=$A41)*M_BOM[RM_Qty_Per_Batch]*IFERROR(INDEX(PP_Grid[#Data],M_BOM[PPGridRow],71),0))</f>
        <v/>
      </c>
      <c r="BT41">
        <f>SUMPRODUCT((M_BOM[Part Name]=$A41)*M_BOM[RM_Qty_Per_Batch]*IFERROR(INDEX(PP_Grid[#Data],M_BOM[PPGridRow],72),0))</f>
        <v/>
      </c>
      <c r="BU41">
        <f>SUMPRODUCT((M_BOM[Part Name]=$A41)*M_BOM[RM_Qty_Per_Batch]*IFERROR(INDEX(PP_Grid[#Data],M_BOM[PPGridRow],73),0))</f>
        <v/>
      </c>
      <c r="BV41">
        <f>SUMPRODUCT((M_BOM[Part Name]=$A41)*M_BOM[RM_Qty_Per_Batch]*IFERROR(INDEX(PP_Grid[#Data],M_BOM[PPGridRow],74),0))</f>
        <v/>
      </c>
      <c r="BW41">
        <f>SUMPRODUCT((M_BOM[Part Name]=$A41)*M_BOM[RM_Qty_Per_Batch]*IFERROR(INDEX(PP_Grid[#Data],M_BOM[PPGridRow],75),0))</f>
        <v/>
      </c>
      <c r="BX41">
        <f>SUMPRODUCT((M_BOM[Part Name]=$A41)*M_BOM[RM_Qty_Per_Batch]*IFERROR(INDEX(PP_Grid[#Data],M_BOM[PPGridRow],76),0))</f>
        <v/>
      </c>
      <c r="BY41">
        <f>SUMPRODUCT((M_BOM[Part Name]=$A41)*M_BOM[RM_Qty_Per_Batch]*IFERROR(INDEX(PP_Grid[#Data],M_BOM[PPGridRow],77),0))</f>
        <v/>
      </c>
      <c r="BZ41">
        <f>SUMPRODUCT((M_BOM[Part Name]=$A41)*M_BOM[RM_Qty_Per_Batch]*IFERROR(INDEX(PP_Grid[#Data],M_BOM[PPGridRow],78),0))</f>
        <v/>
      </c>
      <c r="CA41">
        <f>SUMPRODUCT((M_BOM[Part Name]=$A41)*M_BOM[RM_Qty_Per_Batch]*IFERROR(INDEX(PP_Grid[#Data],M_BOM[PPGridRow],79),0))</f>
        <v/>
      </c>
      <c r="CB41">
        <f>SUMPRODUCT((M_BOM[Part Name]=$A41)*M_BOM[RM_Qty_Per_Batch]*IFERROR(INDEX(PP_Grid[#Data],M_BOM[PPGridRow],80),0))</f>
        <v/>
      </c>
      <c r="CC41">
        <f>SUMPRODUCT((M_BOM[Part Name]=$A41)*M_BOM[RM_Qty_Per_Batch]*IFERROR(INDEX(PP_Grid[#Data],M_BOM[PPGridRow],81),0))</f>
        <v/>
      </c>
      <c r="CD41">
        <f>SUMPRODUCT((M_BOM[Part Name]=$A41)*M_BOM[RM_Qty_Per_Batch]*IFERROR(INDEX(PP_Grid[#Data],M_BOM[PPGridRow],82),0))</f>
        <v/>
      </c>
      <c r="CE41">
        <f>SUMPRODUCT((M_BOM[Part Name]=$A41)*M_BOM[RM_Qty_Per_Batch]*IFERROR(INDEX(PP_Grid[#Data],M_BOM[PPGridRow],83),0))</f>
        <v/>
      </c>
      <c r="CF41">
        <f>SUMPRODUCT((M_BOM[Part Name]=$A41)*M_BOM[RM_Qty_Per_Batch]*IFERROR(INDEX(PP_Grid[#Data],M_BOM[PPGridRow],84),0))</f>
        <v/>
      </c>
      <c r="CG41">
        <f>SUMPRODUCT((M_BOM[Part Name]=$A41)*M_BOM[RM_Qty_Per_Batch]*IFERROR(INDEX(PP_Grid[#Data],M_BOM[PPGridRow],85),0))</f>
        <v/>
      </c>
      <c r="CH41">
        <f>SUMPRODUCT((M_BOM[Part Name]=$A41)*M_BOM[RM_Qty_Per_Batch]*IFERROR(INDEX(PP_Grid[#Data],M_BOM[PPGridRow],86),0))</f>
        <v/>
      </c>
      <c r="CI41">
        <f>SUMPRODUCT((M_BOM[Part Name]=$A41)*M_BOM[RM_Qty_Per_Batch]*IFERROR(INDEX(PP_Grid[#Data],M_BOM[PPGridRow],87),0))</f>
        <v/>
      </c>
      <c r="CJ41">
        <f>SUMPRODUCT((M_BOM[Part Name]=$A41)*M_BOM[RM_Qty_Per_Batch]*IFERROR(INDEX(PP_Grid[#Data],M_BOM[PPGridRow],88),0))</f>
        <v/>
      </c>
      <c r="CK41">
        <f>SUMPRODUCT((M_BOM[Part Name]=$A41)*M_BOM[RM_Qty_Per_Batch]*IFERROR(INDEX(PP_Grid[#Data],M_BOM[PPGridRow],89),0))</f>
        <v/>
      </c>
      <c r="CL41">
        <f>SUMPRODUCT((M_BOM[Part Name]=$A41)*M_BOM[RM_Qty_Per_Batch]*IFERROR(INDEX(PP_Grid[#Data],M_BOM[PPGridRow],90),0))</f>
        <v/>
      </c>
      <c r="CM41">
        <f>SUMPRODUCT((M_BOM[Part Name]=$A41)*M_BOM[RM_Qty_Per_Batch]*IFERROR(INDEX(PP_Grid[#Data],M_BOM[PPGridRow],91),0))</f>
        <v/>
      </c>
      <c r="CN41">
        <f>SUMPRODUCT((M_BOM[Part Name]=$A41)*M_BOM[RM_Qty_Per_Batch]*IFERROR(INDEX(PP_Grid[#Data],M_BOM[PPGridRow],92),0))</f>
        <v/>
      </c>
      <c r="CO41">
        <f>SUMPRODUCT((M_BOM[Part Name]=$A41)*M_BOM[RM_Qty_Per_Batch]*IFERROR(INDEX(PP_Grid[#Data],M_BOM[PPGridRow],93),0))</f>
        <v/>
      </c>
      <c r="CP41">
        <f>SUMPRODUCT((M_BOM[Part Name]=$A41)*M_BOM[RM_Qty_Per_Batch]*IFERROR(INDEX(PP_Grid[#Data],M_BOM[PPGridRow],94),0))</f>
        <v/>
      </c>
      <c r="CQ41">
        <f>SUMPRODUCT((M_BOM[Part Name]=$A41)*M_BOM[RM_Qty_Per_Batch]*IFERROR(INDEX(PP_Grid[#Data],M_BOM[PPGridRow],95),0))</f>
        <v/>
      </c>
      <c r="CR41">
        <f>SUMPRODUCT((M_BOM[Part Name]=$A41)*M_BOM[RM_Qty_Per_Batch]*IFERROR(INDEX(PP_Grid[#Data],M_BOM[PPGridRow],96),0))</f>
        <v/>
      </c>
      <c r="CS41">
        <f>SUMPRODUCT((M_BOM[Part Name]=$A41)*M_BOM[RM_Qty_Per_Batch]*IFERROR(INDEX(PP_Grid[#Data],M_BOM[PPGridRow],97),0))</f>
        <v/>
      </c>
      <c r="CT41">
        <f>SUMPRODUCT((M_BOM[Part Name]=$A41)*M_BOM[RM_Qty_Per_Batch]*IFERROR(INDEX(PP_Grid[#Data],M_BOM[PPGridRow],98),0))</f>
        <v/>
      </c>
      <c r="CU41">
        <f>SUMPRODUCT((M_BOM[Part Name]=$A41)*M_BOM[RM_Qty_Per_Batch]*IFERROR(INDEX(PP_Grid[#Data],M_BOM[PPGridRow],99),0))</f>
        <v/>
      </c>
      <c r="CV41">
        <f>SUMPRODUCT((M_BOM[Part Name]=$A41)*M_BOM[RM_Qty_Per_Batch]*IFERROR(INDEX(PP_Grid[#Data],M_BOM[PPGridRow],100),0))</f>
        <v/>
      </c>
      <c r="CW41">
        <f>SUMPRODUCT((M_BOM[Part Name]=$A41)*M_BOM[RM_Qty_Per_Batch]*IFERROR(INDEX(PP_Grid[#Data],M_BOM[PPGridRow],101),0))</f>
        <v/>
      </c>
      <c r="CX41">
        <f>SUMPRODUCT((M_BOM[Part Name]=$A41)*M_BOM[RM_Qty_Per_Batch]*IFERROR(INDEX(PP_Grid[#Data],M_BOM[PPGridRow],102),0))</f>
        <v/>
      </c>
      <c r="CY41">
        <f>SUMPRODUCT((M_BOM[Part Name]=$A41)*M_BOM[RM_Qty_Per_Batch]*IFERROR(INDEX(PP_Grid[#Data],M_BOM[PPGridRow],103),0))</f>
        <v/>
      </c>
      <c r="CZ41">
        <f>SUMPRODUCT((M_BOM[Part Name]=$A41)*M_BOM[RM_Qty_Per_Batch]*IFERROR(INDEX(PP_Grid[#Data],M_BOM[PPGridRow],104),0))</f>
        <v/>
      </c>
      <c r="DA41">
        <f>SUMPRODUCT((M_BOM[Part Name]=$A41)*M_BOM[RM_Qty_Per_Batch]*IFERROR(INDEX(PP_Grid[#Data],M_BOM[PPGridRow],105),0))</f>
        <v/>
      </c>
    </row>
    <row r="42">
      <c r="A42" t="inlineStr">
        <is>
          <t>V03</t>
        </is>
      </c>
      <c r="B42">
        <f>SUMPRODUCT((M_BOM[Part Name]=$A42)*M_BOM[RM_Qty_Per_Batch]*IFERROR(INDEX(PP_Grid[#Data],M_BOM[PPGridRow],2),0))</f>
        <v/>
      </c>
      <c r="C42">
        <f>SUMPRODUCT((M_BOM[Part Name]=$A42)*M_BOM[RM_Qty_Per_Batch]*IFERROR(INDEX(PP_Grid[#Data],M_BOM[PPGridRow],3),0))</f>
        <v/>
      </c>
      <c r="D42">
        <f>SUMPRODUCT((M_BOM[Part Name]=$A42)*M_BOM[RM_Qty_Per_Batch]*IFERROR(INDEX(PP_Grid[#Data],M_BOM[PPGridRow],4),0))</f>
        <v/>
      </c>
      <c r="E42">
        <f>SUMPRODUCT((M_BOM[Part Name]=$A42)*M_BOM[RM_Qty_Per_Batch]*IFERROR(INDEX(PP_Grid[#Data],M_BOM[PPGridRow],5),0))</f>
        <v/>
      </c>
      <c r="F42">
        <f>SUMPRODUCT((M_BOM[Part Name]=$A42)*M_BOM[RM_Qty_Per_Batch]*IFERROR(INDEX(PP_Grid[#Data],M_BOM[PPGridRow],6),0))</f>
        <v/>
      </c>
      <c r="G42">
        <f>SUMPRODUCT((M_BOM[Part Name]=$A42)*M_BOM[RM_Qty_Per_Batch]*IFERROR(INDEX(PP_Grid[#Data],M_BOM[PPGridRow],7),0))</f>
        <v/>
      </c>
      <c r="H42">
        <f>SUMPRODUCT((M_BOM[Part Name]=$A42)*M_BOM[RM_Qty_Per_Batch]*IFERROR(INDEX(PP_Grid[#Data],M_BOM[PPGridRow],8),0))</f>
        <v/>
      </c>
      <c r="I42">
        <f>SUMPRODUCT((M_BOM[Part Name]=$A42)*M_BOM[RM_Qty_Per_Batch]*IFERROR(INDEX(PP_Grid[#Data],M_BOM[PPGridRow],9),0))</f>
        <v/>
      </c>
      <c r="J42">
        <f>SUMPRODUCT((M_BOM[Part Name]=$A42)*M_BOM[RM_Qty_Per_Batch]*IFERROR(INDEX(PP_Grid[#Data],M_BOM[PPGridRow],10),0))</f>
        <v/>
      </c>
      <c r="K42">
        <f>SUMPRODUCT((M_BOM[Part Name]=$A42)*M_BOM[RM_Qty_Per_Batch]*IFERROR(INDEX(PP_Grid[#Data],M_BOM[PPGridRow],11),0))</f>
        <v/>
      </c>
      <c r="L42">
        <f>SUMPRODUCT((M_BOM[Part Name]=$A42)*M_BOM[RM_Qty_Per_Batch]*IFERROR(INDEX(PP_Grid[#Data],M_BOM[PPGridRow],12),0))</f>
        <v/>
      </c>
      <c r="M42">
        <f>SUMPRODUCT((M_BOM[Part Name]=$A42)*M_BOM[RM_Qty_Per_Batch]*IFERROR(INDEX(PP_Grid[#Data],M_BOM[PPGridRow],13),0))</f>
        <v/>
      </c>
      <c r="N42">
        <f>SUMPRODUCT((M_BOM[Part Name]=$A42)*M_BOM[RM_Qty_Per_Batch]*IFERROR(INDEX(PP_Grid[#Data],M_BOM[PPGridRow],14),0))</f>
        <v/>
      </c>
      <c r="O42">
        <f>SUMPRODUCT((M_BOM[Part Name]=$A42)*M_BOM[RM_Qty_Per_Batch]*IFERROR(INDEX(PP_Grid[#Data],M_BOM[PPGridRow],15),0))</f>
        <v/>
      </c>
      <c r="P42">
        <f>SUMPRODUCT((M_BOM[Part Name]=$A42)*M_BOM[RM_Qty_Per_Batch]*IFERROR(INDEX(PP_Grid[#Data],M_BOM[PPGridRow],16),0))</f>
        <v/>
      </c>
      <c r="Q42">
        <f>SUMPRODUCT((M_BOM[Part Name]=$A42)*M_BOM[RM_Qty_Per_Batch]*IFERROR(INDEX(PP_Grid[#Data],M_BOM[PPGridRow],17),0))</f>
        <v/>
      </c>
      <c r="R42">
        <f>SUMPRODUCT((M_BOM[Part Name]=$A42)*M_BOM[RM_Qty_Per_Batch]*IFERROR(INDEX(PP_Grid[#Data],M_BOM[PPGridRow],18),0))</f>
        <v/>
      </c>
      <c r="S42">
        <f>SUMPRODUCT((M_BOM[Part Name]=$A42)*M_BOM[RM_Qty_Per_Batch]*IFERROR(INDEX(PP_Grid[#Data],M_BOM[PPGridRow],19),0))</f>
        <v/>
      </c>
      <c r="T42">
        <f>SUMPRODUCT((M_BOM[Part Name]=$A42)*M_BOM[RM_Qty_Per_Batch]*IFERROR(INDEX(PP_Grid[#Data],M_BOM[PPGridRow],20),0))</f>
        <v/>
      </c>
      <c r="U42">
        <f>SUMPRODUCT((M_BOM[Part Name]=$A42)*M_BOM[RM_Qty_Per_Batch]*IFERROR(INDEX(PP_Grid[#Data],M_BOM[PPGridRow],21),0))</f>
        <v/>
      </c>
      <c r="V42">
        <f>SUMPRODUCT((M_BOM[Part Name]=$A42)*M_BOM[RM_Qty_Per_Batch]*IFERROR(INDEX(PP_Grid[#Data],M_BOM[PPGridRow],22),0))</f>
        <v/>
      </c>
      <c r="W42">
        <f>SUMPRODUCT((M_BOM[Part Name]=$A42)*M_BOM[RM_Qty_Per_Batch]*IFERROR(INDEX(PP_Grid[#Data],M_BOM[PPGridRow],23),0))</f>
        <v/>
      </c>
      <c r="X42">
        <f>SUMPRODUCT((M_BOM[Part Name]=$A42)*M_BOM[RM_Qty_Per_Batch]*IFERROR(INDEX(PP_Grid[#Data],M_BOM[PPGridRow],24),0))</f>
        <v/>
      </c>
      <c r="Y42">
        <f>SUMPRODUCT((M_BOM[Part Name]=$A42)*M_BOM[RM_Qty_Per_Batch]*IFERROR(INDEX(PP_Grid[#Data],M_BOM[PPGridRow],25),0))</f>
        <v/>
      </c>
      <c r="Z42">
        <f>SUMPRODUCT((M_BOM[Part Name]=$A42)*M_BOM[RM_Qty_Per_Batch]*IFERROR(INDEX(PP_Grid[#Data],M_BOM[PPGridRow],26),0))</f>
        <v/>
      </c>
      <c r="AA42">
        <f>SUMPRODUCT((M_BOM[Part Name]=$A42)*M_BOM[RM_Qty_Per_Batch]*IFERROR(INDEX(PP_Grid[#Data],M_BOM[PPGridRow],27),0))</f>
        <v/>
      </c>
      <c r="AB42">
        <f>SUMPRODUCT((M_BOM[Part Name]=$A42)*M_BOM[RM_Qty_Per_Batch]*IFERROR(INDEX(PP_Grid[#Data],M_BOM[PPGridRow],28),0))</f>
        <v/>
      </c>
      <c r="AC42">
        <f>SUMPRODUCT((M_BOM[Part Name]=$A42)*M_BOM[RM_Qty_Per_Batch]*IFERROR(INDEX(PP_Grid[#Data],M_BOM[PPGridRow],29),0))</f>
        <v/>
      </c>
      <c r="AD42">
        <f>SUMPRODUCT((M_BOM[Part Name]=$A42)*M_BOM[RM_Qty_Per_Batch]*IFERROR(INDEX(PP_Grid[#Data],M_BOM[PPGridRow],30),0))</f>
        <v/>
      </c>
      <c r="AE42">
        <f>SUMPRODUCT((M_BOM[Part Name]=$A42)*M_BOM[RM_Qty_Per_Batch]*IFERROR(INDEX(PP_Grid[#Data],M_BOM[PPGridRow],31),0))</f>
        <v/>
      </c>
      <c r="AF42">
        <f>SUMPRODUCT((M_BOM[Part Name]=$A42)*M_BOM[RM_Qty_Per_Batch]*IFERROR(INDEX(PP_Grid[#Data],M_BOM[PPGridRow],32),0))</f>
        <v/>
      </c>
      <c r="AG42">
        <f>SUMPRODUCT((M_BOM[Part Name]=$A42)*M_BOM[RM_Qty_Per_Batch]*IFERROR(INDEX(PP_Grid[#Data],M_BOM[PPGridRow],33),0))</f>
        <v/>
      </c>
      <c r="AH42">
        <f>SUMPRODUCT((M_BOM[Part Name]=$A42)*M_BOM[RM_Qty_Per_Batch]*IFERROR(INDEX(PP_Grid[#Data],M_BOM[PPGridRow],34),0))</f>
        <v/>
      </c>
      <c r="AI42">
        <f>SUMPRODUCT((M_BOM[Part Name]=$A42)*M_BOM[RM_Qty_Per_Batch]*IFERROR(INDEX(PP_Grid[#Data],M_BOM[PPGridRow],35),0))</f>
        <v/>
      </c>
      <c r="AJ42">
        <f>SUMPRODUCT((M_BOM[Part Name]=$A42)*M_BOM[RM_Qty_Per_Batch]*IFERROR(INDEX(PP_Grid[#Data],M_BOM[PPGridRow],36),0))</f>
        <v/>
      </c>
      <c r="AK42">
        <f>SUMPRODUCT((M_BOM[Part Name]=$A42)*M_BOM[RM_Qty_Per_Batch]*IFERROR(INDEX(PP_Grid[#Data],M_BOM[PPGridRow],37),0))</f>
        <v/>
      </c>
      <c r="AL42">
        <f>SUMPRODUCT((M_BOM[Part Name]=$A42)*M_BOM[RM_Qty_Per_Batch]*IFERROR(INDEX(PP_Grid[#Data],M_BOM[PPGridRow],38),0))</f>
        <v/>
      </c>
      <c r="AM42">
        <f>SUMPRODUCT((M_BOM[Part Name]=$A42)*M_BOM[RM_Qty_Per_Batch]*IFERROR(INDEX(PP_Grid[#Data],M_BOM[PPGridRow],39),0))</f>
        <v/>
      </c>
      <c r="AN42">
        <f>SUMPRODUCT((M_BOM[Part Name]=$A42)*M_BOM[RM_Qty_Per_Batch]*IFERROR(INDEX(PP_Grid[#Data],M_BOM[PPGridRow],40),0))</f>
        <v/>
      </c>
      <c r="AO42">
        <f>SUMPRODUCT((M_BOM[Part Name]=$A42)*M_BOM[RM_Qty_Per_Batch]*IFERROR(INDEX(PP_Grid[#Data],M_BOM[PPGridRow],41),0))</f>
        <v/>
      </c>
      <c r="AP42">
        <f>SUMPRODUCT((M_BOM[Part Name]=$A42)*M_BOM[RM_Qty_Per_Batch]*IFERROR(INDEX(PP_Grid[#Data],M_BOM[PPGridRow],42),0))</f>
        <v/>
      </c>
      <c r="AQ42">
        <f>SUMPRODUCT((M_BOM[Part Name]=$A42)*M_BOM[RM_Qty_Per_Batch]*IFERROR(INDEX(PP_Grid[#Data],M_BOM[PPGridRow],43),0))</f>
        <v/>
      </c>
      <c r="AR42">
        <f>SUMPRODUCT((M_BOM[Part Name]=$A42)*M_BOM[RM_Qty_Per_Batch]*IFERROR(INDEX(PP_Grid[#Data],M_BOM[PPGridRow],44),0))</f>
        <v/>
      </c>
      <c r="AS42">
        <f>SUMPRODUCT((M_BOM[Part Name]=$A42)*M_BOM[RM_Qty_Per_Batch]*IFERROR(INDEX(PP_Grid[#Data],M_BOM[PPGridRow],45),0))</f>
        <v/>
      </c>
      <c r="AT42">
        <f>SUMPRODUCT((M_BOM[Part Name]=$A42)*M_BOM[RM_Qty_Per_Batch]*IFERROR(INDEX(PP_Grid[#Data],M_BOM[PPGridRow],46),0))</f>
        <v/>
      </c>
      <c r="AU42">
        <f>SUMPRODUCT((M_BOM[Part Name]=$A42)*M_BOM[RM_Qty_Per_Batch]*IFERROR(INDEX(PP_Grid[#Data],M_BOM[PPGridRow],47),0))</f>
        <v/>
      </c>
      <c r="AV42">
        <f>SUMPRODUCT((M_BOM[Part Name]=$A42)*M_BOM[RM_Qty_Per_Batch]*IFERROR(INDEX(PP_Grid[#Data],M_BOM[PPGridRow],48),0))</f>
        <v/>
      </c>
      <c r="AW42">
        <f>SUMPRODUCT((M_BOM[Part Name]=$A42)*M_BOM[RM_Qty_Per_Batch]*IFERROR(INDEX(PP_Grid[#Data],M_BOM[PPGridRow],49),0))</f>
        <v/>
      </c>
      <c r="AX42">
        <f>SUMPRODUCT((M_BOM[Part Name]=$A42)*M_BOM[RM_Qty_Per_Batch]*IFERROR(INDEX(PP_Grid[#Data],M_BOM[PPGridRow],50),0))</f>
        <v/>
      </c>
      <c r="AY42">
        <f>SUMPRODUCT((M_BOM[Part Name]=$A42)*M_BOM[RM_Qty_Per_Batch]*IFERROR(INDEX(PP_Grid[#Data],M_BOM[PPGridRow],51),0))</f>
        <v/>
      </c>
      <c r="AZ42">
        <f>SUMPRODUCT((M_BOM[Part Name]=$A42)*M_BOM[RM_Qty_Per_Batch]*IFERROR(INDEX(PP_Grid[#Data],M_BOM[PPGridRow],52),0))</f>
        <v/>
      </c>
      <c r="BA42">
        <f>SUMPRODUCT((M_BOM[Part Name]=$A42)*M_BOM[RM_Qty_Per_Batch]*IFERROR(INDEX(PP_Grid[#Data],M_BOM[PPGridRow],53),0))</f>
        <v/>
      </c>
      <c r="BB42">
        <f>SUMPRODUCT((M_BOM[Part Name]=$A42)*M_BOM[RM_Qty_Per_Batch]*IFERROR(INDEX(PP_Grid[#Data],M_BOM[PPGridRow],54),0))</f>
        <v/>
      </c>
      <c r="BC42">
        <f>SUMPRODUCT((M_BOM[Part Name]=$A42)*M_BOM[RM_Qty_Per_Batch]*IFERROR(INDEX(PP_Grid[#Data],M_BOM[PPGridRow],55),0))</f>
        <v/>
      </c>
      <c r="BD42">
        <f>SUMPRODUCT((M_BOM[Part Name]=$A42)*M_BOM[RM_Qty_Per_Batch]*IFERROR(INDEX(PP_Grid[#Data],M_BOM[PPGridRow],56),0))</f>
        <v/>
      </c>
      <c r="BE42">
        <f>SUMPRODUCT((M_BOM[Part Name]=$A42)*M_BOM[RM_Qty_Per_Batch]*IFERROR(INDEX(PP_Grid[#Data],M_BOM[PPGridRow],57),0))</f>
        <v/>
      </c>
      <c r="BF42">
        <f>SUMPRODUCT((M_BOM[Part Name]=$A42)*M_BOM[RM_Qty_Per_Batch]*IFERROR(INDEX(PP_Grid[#Data],M_BOM[PPGridRow],58),0))</f>
        <v/>
      </c>
      <c r="BG42">
        <f>SUMPRODUCT((M_BOM[Part Name]=$A42)*M_BOM[RM_Qty_Per_Batch]*IFERROR(INDEX(PP_Grid[#Data],M_BOM[PPGridRow],59),0))</f>
        <v/>
      </c>
      <c r="BH42">
        <f>SUMPRODUCT((M_BOM[Part Name]=$A42)*M_BOM[RM_Qty_Per_Batch]*IFERROR(INDEX(PP_Grid[#Data],M_BOM[PPGridRow],60),0))</f>
        <v/>
      </c>
      <c r="BI42">
        <f>SUMPRODUCT((M_BOM[Part Name]=$A42)*M_BOM[RM_Qty_Per_Batch]*IFERROR(INDEX(PP_Grid[#Data],M_BOM[PPGridRow],61),0))</f>
        <v/>
      </c>
      <c r="BJ42">
        <f>SUMPRODUCT((M_BOM[Part Name]=$A42)*M_BOM[RM_Qty_Per_Batch]*IFERROR(INDEX(PP_Grid[#Data],M_BOM[PPGridRow],62),0))</f>
        <v/>
      </c>
      <c r="BK42">
        <f>SUMPRODUCT((M_BOM[Part Name]=$A42)*M_BOM[RM_Qty_Per_Batch]*IFERROR(INDEX(PP_Grid[#Data],M_BOM[PPGridRow],63),0))</f>
        <v/>
      </c>
      <c r="BL42">
        <f>SUMPRODUCT((M_BOM[Part Name]=$A42)*M_BOM[RM_Qty_Per_Batch]*IFERROR(INDEX(PP_Grid[#Data],M_BOM[PPGridRow],64),0))</f>
        <v/>
      </c>
      <c r="BM42">
        <f>SUMPRODUCT((M_BOM[Part Name]=$A42)*M_BOM[RM_Qty_Per_Batch]*IFERROR(INDEX(PP_Grid[#Data],M_BOM[PPGridRow],65),0))</f>
        <v/>
      </c>
      <c r="BN42">
        <f>SUMPRODUCT((M_BOM[Part Name]=$A42)*M_BOM[RM_Qty_Per_Batch]*IFERROR(INDEX(PP_Grid[#Data],M_BOM[PPGridRow],66),0))</f>
        <v/>
      </c>
      <c r="BO42">
        <f>SUMPRODUCT((M_BOM[Part Name]=$A42)*M_BOM[RM_Qty_Per_Batch]*IFERROR(INDEX(PP_Grid[#Data],M_BOM[PPGridRow],67),0))</f>
        <v/>
      </c>
      <c r="BP42">
        <f>SUMPRODUCT((M_BOM[Part Name]=$A42)*M_BOM[RM_Qty_Per_Batch]*IFERROR(INDEX(PP_Grid[#Data],M_BOM[PPGridRow],68),0))</f>
        <v/>
      </c>
      <c r="BQ42">
        <f>SUMPRODUCT((M_BOM[Part Name]=$A42)*M_BOM[RM_Qty_Per_Batch]*IFERROR(INDEX(PP_Grid[#Data],M_BOM[PPGridRow],69),0))</f>
        <v/>
      </c>
      <c r="BR42">
        <f>SUMPRODUCT((M_BOM[Part Name]=$A42)*M_BOM[RM_Qty_Per_Batch]*IFERROR(INDEX(PP_Grid[#Data],M_BOM[PPGridRow],70),0))</f>
        <v/>
      </c>
      <c r="BS42">
        <f>SUMPRODUCT((M_BOM[Part Name]=$A42)*M_BOM[RM_Qty_Per_Batch]*IFERROR(INDEX(PP_Grid[#Data],M_BOM[PPGridRow],71),0))</f>
        <v/>
      </c>
      <c r="BT42">
        <f>SUMPRODUCT((M_BOM[Part Name]=$A42)*M_BOM[RM_Qty_Per_Batch]*IFERROR(INDEX(PP_Grid[#Data],M_BOM[PPGridRow],72),0))</f>
        <v/>
      </c>
      <c r="BU42">
        <f>SUMPRODUCT((M_BOM[Part Name]=$A42)*M_BOM[RM_Qty_Per_Batch]*IFERROR(INDEX(PP_Grid[#Data],M_BOM[PPGridRow],73),0))</f>
        <v/>
      </c>
      <c r="BV42">
        <f>SUMPRODUCT((M_BOM[Part Name]=$A42)*M_BOM[RM_Qty_Per_Batch]*IFERROR(INDEX(PP_Grid[#Data],M_BOM[PPGridRow],74),0))</f>
        <v/>
      </c>
      <c r="BW42">
        <f>SUMPRODUCT((M_BOM[Part Name]=$A42)*M_BOM[RM_Qty_Per_Batch]*IFERROR(INDEX(PP_Grid[#Data],M_BOM[PPGridRow],75),0))</f>
        <v/>
      </c>
      <c r="BX42">
        <f>SUMPRODUCT((M_BOM[Part Name]=$A42)*M_BOM[RM_Qty_Per_Batch]*IFERROR(INDEX(PP_Grid[#Data],M_BOM[PPGridRow],76),0))</f>
        <v/>
      </c>
      <c r="BY42">
        <f>SUMPRODUCT((M_BOM[Part Name]=$A42)*M_BOM[RM_Qty_Per_Batch]*IFERROR(INDEX(PP_Grid[#Data],M_BOM[PPGridRow],77),0))</f>
        <v/>
      </c>
      <c r="BZ42">
        <f>SUMPRODUCT((M_BOM[Part Name]=$A42)*M_BOM[RM_Qty_Per_Batch]*IFERROR(INDEX(PP_Grid[#Data],M_BOM[PPGridRow],78),0))</f>
        <v/>
      </c>
      <c r="CA42">
        <f>SUMPRODUCT((M_BOM[Part Name]=$A42)*M_BOM[RM_Qty_Per_Batch]*IFERROR(INDEX(PP_Grid[#Data],M_BOM[PPGridRow],79),0))</f>
        <v/>
      </c>
      <c r="CB42">
        <f>SUMPRODUCT((M_BOM[Part Name]=$A42)*M_BOM[RM_Qty_Per_Batch]*IFERROR(INDEX(PP_Grid[#Data],M_BOM[PPGridRow],80),0))</f>
        <v/>
      </c>
      <c r="CC42">
        <f>SUMPRODUCT((M_BOM[Part Name]=$A42)*M_BOM[RM_Qty_Per_Batch]*IFERROR(INDEX(PP_Grid[#Data],M_BOM[PPGridRow],81),0))</f>
        <v/>
      </c>
      <c r="CD42">
        <f>SUMPRODUCT((M_BOM[Part Name]=$A42)*M_BOM[RM_Qty_Per_Batch]*IFERROR(INDEX(PP_Grid[#Data],M_BOM[PPGridRow],82),0))</f>
        <v/>
      </c>
      <c r="CE42">
        <f>SUMPRODUCT((M_BOM[Part Name]=$A42)*M_BOM[RM_Qty_Per_Batch]*IFERROR(INDEX(PP_Grid[#Data],M_BOM[PPGridRow],83),0))</f>
        <v/>
      </c>
      <c r="CF42">
        <f>SUMPRODUCT((M_BOM[Part Name]=$A42)*M_BOM[RM_Qty_Per_Batch]*IFERROR(INDEX(PP_Grid[#Data],M_BOM[PPGridRow],84),0))</f>
        <v/>
      </c>
      <c r="CG42">
        <f>SUMPRODUCT((M_BOM[Part Name]=$A42)*M_BOM[RM_Qty_Per_Batch]*IFERROR(INDEX(PP_Grid[#Data],M_BOM[PPGridRow],85),0))</f>
        <v/>
      </c>
      <c r="CH42">
        <f>SUMPRODUCT((M_BOM[Part Name]=$A42)*M_BOM[RM_Qty_Per_Batch]*IFERROR(INDEX(PP_Grid[#Data],M_BOM[PPGridRow],86),0))</f>
        <v/>
      </c>
      <c r="CI42">
        <f>SUMPRODUCT((M_BOM[Part Name]=$A42)*M_BOM[RM_Qty_Per_Batch]*IFERROR(INDEX(PP_Grid[#Data],M_BOM[PPGridRow],87),0))</f>
        <v/>
      </c>
      <c r="CJ42">
        <f>SUMPRODUCT((M_BOM[Part Name]=$A42)*M_BOM[RM_Qty_Per_Batch]*IFERROR(INDEX(PP_Grid[#Data],M_BOM[PPGridRow],88),0))</f>
        <v/>
      </c>
      <c r="CK42">
        <f>SUMPRODUCT((M_BOM[Part Name]=$A42)*M_BOM[RM_Qty_Per_Batch]*IFERROR(INDEX(PP_Grid[#Data],M_BOM[PPGridRow],89),0))</f>
        <v/>
      </c>
      <c r="CL42">
        <f>SUMPRODUCT((M_BOM[Part Name]=$A42)*M_BOM[RM_Qty_Per_Batch]*IFERROR(INDEX(PP_Grid[#Data],M_BOM[PPGridRow],90),0))</f>
        <v/>
      </c>
      <c r="CM42">
        <f>SUMPRODUCT((M_BOM[Part Name]=$A42)*M_BOM[RM_Qty_Per_Batch]*IFERROR(INDEX(PP_Grid[#Data],M_BOM[PPGridRow],91),0))</f>
        <v/>
      </c>
      <c r="CN42">
        <f>SUMPRODUCT((M_BOM[Part Name]=$A42)*M_BOM[RM_Qty_Per_Batch]*IFERROR(INDEX(PP_Grid[#Data],M_BOM[PPGridRow],92),0))</f>
        <v/>
      </c>
      <c r="CO42">
        <f>SUMPRODUCT((M_BOM[Part Name]=$A42)*M_BOM[RM_Qty_Per_Batch]*IFERROR(INDEX(PP_Grid[#Data],M_BOM[PPGridRow],93),0))</f>
        <v/>
      </c>
      <c r="CP42">
        <f>SUMPRODUCT((M_BOM[Part Name]=$A42)*M_BOM[RM_Qty_Per_Batch]*IFERROR(INDEX(PP_Grid[#Data],M_BOM[PPGridRow],94),0))</f>
        <v/>
      </c>
      <c r="CQ42">
        <f>SUMPRODUCT((M_BOM[Part Name]=$A42)*M_BOM[RM_Qty_Per_Batch]*IFERROR(INDEX(PP_Grid[#Data],M_BOM[PPGridRow],95),0))</f>
        <v/>
      </c>
      <c r="CR42">
        <f>SUMPRODUCT((M_BOM[Part Name]=$A42)*M_BOM[RM_Qty_Per_Batch]*IFERROR(INDEX(PP_Grid[#Data],M_BOM[PPGridRow],96),0))</f>
        <v/>
      </c>
      <c r="CS42">
        <f>SUMPRODUCT((M_BOM[Part Name]=$A42)*M_BOM[RM_Qty_Per_Batch]*IFERROR(INDEX(PP_Grid[#Data],M_BOM[PPGridRow],97),0))</f>
        <v/>
      </c>
      <c r="CT42">
        <f>SUMPRODUCT((M_BOM[Part Name]=$A42)*M_BOM[RM_Qty_Per_Batch]*IFERROR(INDEX(PP_Grid[#Data],M_BOM[PPGridRow],98),0))</f>
        <v/>
      </c>
      <c r="CU42">
        <f>SUMPRODUCT((M_BOM[Part Name]=$A42)*M_BOM[RM_Qty_Per_Batch]*IFERROR(INDEX(PP_Grid[#Data],M_BOM[PPGridRow],99),0))</f>
        <v/>
      </c>
      <c r="CV42">
        <f>SUMPRODUCT((M_BOM[Part Name]=$A42)*M_BOM[RM_Qty_Per_Batch]*IFERROR(INDEX(PP_Grid[#Data],M_BOM[PPGridRow],100),0))</f>
        <v/>
      </c>
      <c r="CW42">
        <f>SUMPRODUCT((M_BOM[Part Name]=$A42)*M_BOM[RM_Qty_Per_Batch]*IFERROR(INDEX(PP_Grid[#Data],M_BOM[PPGridRow],101),0))</f>
        <v/>
      </c>
      <c r="CX42">
        <f>SUMPRODUCT((M_BOM[Part Name]=$A42)*M_BOM[RM_Qty_Per_Batch]*IFERROR(INDEX(PP_Grid[#Data],M_BOM[PPGridRow],102),0))</f>
        <v/>
      </c>
      <c r="CY42">
        <f>SUMPRODUCT((M_BOM[Part Name]=$A42)*M_BOM[RM_Qty_Per_Batch]*IFERROR(INDEX(PP_Grid[#Data],M_BOM[PPGridRow],103),0))</f>
        <v/>
      </c>
      <c r="CZ42">
        <f>SUMPRODUCT((M_BOM[Part Name]=$A42)*M_BOM[RM_Qty_Per_Batch]*IFERROR(INDEX(PP_Grid[#Data],M_BOM[PPGridRow],104),0))</f>
        <v/>
      </c>
      <c r="DA42">
        <f>SUMPRODUCT((M_BOM[Part Name]=$A42)*M_BOM[RM_Qty_Per_Batch]*IFERROR(INDEX(PP_Grid[#Data],M_BOM[PPGridRow],105),0))</f>
        <v/>
      </c>
    </row>
    <row r="43">
      <c r="A43" t="inlineStr">
        <is>
          <t>V19</t>
        </is>
      </c>
      <c r="B43">
        <f>SUMPRODUCT((M_BOM[Part Name]=$A43)*M_BOM[RM_Qty_Per_Batch]*IFERROR(INDEX(PP_Grid[#Data],M_BOM[PPGridRow],2),0))</f>
        <v/>
      </c>
      <c r="C43">
        <f>SUMPRODUCT((M_BOM[Part Name]=$A43)*M_BOM[RM_Qty_Per_Batch]*IFERROR(INDEX(PP_Grid[#Data],M_BOM[PPGridRow],3),0))</f>
        <v/>
      </c>
      <c r="D43">
        <f>SUMPRODUCT((M_BOM[Part Name]=$A43)*M_BOM[RM_Qty_Per_Batch]*IFERROR(INDEX(PP_Grid[#Data],M_BOM[PPGridRow],4),0))</f>
        <v/>
      </c>
      <c r="E43">
        <f>SUMPRODUCT((M_BOM[Part Name]=$A43)*M_BOM[RM_Qty_Per_Batch]*IFERROR(INDEX(PP_Grid[#Data],M_BOM[PPGridRow],5),0))</f>
        <v/>
      </c>
      <c r="F43">
        <f>SUMPRODUCT((M_BOM[Part Name]=$A43)*M_BOM[RM_Qty_Per_Batch]*IFERROR(INDEX(PP_Grid[#Data],M_BOM[PPGridRow],6),0))</f>
        <v/>
      </c>
      <c r="G43">
        <f>SUMPRODUCT((M_BOM[Part Name]=$A43)*M_BOM[RM_Qty_Per_Batch]*IFERROR(INDEX(PP_Grid[#Data],M_BOM[PPGridRow],7),0))</f>
        <v/>
      </c>
      <c r="H43">
        <f>SUMPRODUCT((M_BOM[Part Name]=$A43)*M_BOM[RM_Qty_Per_Batch]*IFERROR(INDEX(PP_Grid[#Data],M_BOM[PPGridRow],8),0))</f>
        <v/>
      </c>
      <c r="I43">
        <f>SUMPRODUCT((M_BOM[Part Name]=$A43)*M_BOM[RM_Qty_Per_Batch]*IFERROR(INDEX(PP_Grid[#Data],M_BOM[PPGridRow],9),0))</f>
        <v/>
      </c>
      <c r="J43">
        <f>SUMPRODUCT((M_BOM[Part Name]=$A43)*M_BOM[RM_Qty_Per_Batch]*IFERROR(INDEX(PP_Grid[#Data],M_BOM[PPGridRow],10),0))</f>
        <v/>
      </c>
      <c r="K43">
        <f>SUMPRODUCT((M_BOM[Part Name]=$A43)*M_BOM[RM_Qty_Per_Batch]*IFERROR(INDEX(PP_Grid[#Data],M_BOM[PPGridRow],11),0))</f>
        <v/>
      </c>
      <c r="L43">
        <f>SUMPRODUCT((M_BOM[Part Name]=$A43)*M_BOM[RM_Qty_Per_Batch]*IFERROR(INDEX(PP_Grid[#Data],M_BOM[PPGridRow],12),0))</f>
        <v/>
      </c>
      <c r="M43">
        <f>SUMPRODUCT((M_BOM[Part Name]=$A43)*M_BOM[RM_Qty_Per_Batch]*IFERROR(INDEX(PP_Grid[#Data],M_BOM[PPGridRow],13),0))</f>
        <v/>
      </c>
      <c r="N43">
        <f>SUMPRODUCT((M_BOM[Part Name]=$A43)*M_BOM[RM_Qty_Per_Batch]*IFERROR(INDEX(PP_Grid[#Data],M_BOM[PPGridRow],14),0))</f>
        <v/>
      </c>
      <c r="O43">
        <f>SUMPRODUCT((M_BOM[Part Name]=$A43)*M_BOM[RM_Qty_Per_Batch]*IFERROR(INDEX(PP_Grid[#Data],M_BOM[PPGridRow],15),0))</f>
        <v/>
      </c>
      <c r="P43">
        <f>SUMPRODUCT((M_BOM[Part Name]=$A43)*M_BOM[RM_Qty_Per_Batch]*IFERROR(INDEX(PP_Grid[#Data],M_BOM[PPGridRow],16),0))</f>
        <v/>
      </c>
      <c r="Q43">
        <f>SUMPRODUCT((M_BOM[Part Name]=$A43)*M_BOM[RM_Qty_Per_Batch]*IFERROR(INDEX(PP_Grid[#Data],M_BOM[PPGridRow],17),0))</f>
        <v/>
      </c>
      <c r="R43">
        <f>SUMPRODUCT((M_BOM[Part Name]=$A43)*M_BOM[RM_Qty_Per_Batch]*IFERROR(INDEX(PP_Grid[#Data],M_BOM[PPGridRow],18),0))</f>
        <v/>
      </c>
      <c r="S43">
        <f>SUMPRODUCT((M_BOM[Part Name]=$A43)*M_BOM[RM_Qty_Per_Batch]*IFERROR(INDEX(PP_Grid[#Data],M_BOM[PPGridRow],19),0))</f>
        <v/>
      </c>
      <c r="T43">
        <f>SUMPRODUCT((M_BOM[Part Name]=$A43)*M_BOM[RM_Qty_Per_Batch]*IFERROR(INDEX(PP_Grid[#Data],M_BOM[PPGridRow],20),0))</f>
        <v/>
      </c>
      <c r="U43">
        <f>SUMPRODUCT((M_BOM[Part Name]=$A43)*M_BOM[RM_Qty_Per_Batch]*IFERROR(INDEX(PP_Grid[#Data],M_BOM[PPGridRow],21),0))</f>
        <v/>
      </c>
      <c r="V43">
        <f>SUMPRODUCT((M_BOM[Part Name]=$A43)*M_BOM[RM_Qty_Per_Batch]*IFERROR(INDEX(PP_Grid[#Data],M_BOM[PPGridRow],22),0))</f>
        <v/>
      </c>
      <c r="W43">
        <f>SUMPRODUCT((M_BOM[Part Name]=$A43)*M_BOM[RM_Qty_Per_Batch]*IFERROR(INDEX(PP_Grid[#Data],M_BOM[PPGridRow],23),0))</f>
        <v/>
      </c>
      <c r="X43">
        <f>SUMPRODUCT((M_BOM[Part Name]=$A43)*M_BOM[RM_Qty_Per_Batch]*IFERROR(INDEX(PP_Grid[#Data],M_BOM[PPGridRow],24),0))</f>
        <v/>
      </c>
      <c r="Y43">
        <f>SUMPRODUCT((M_BOM[Part Name]=$A43)*M_BOM[RM_Qty_Per_Batch]*IFERROR(INDEX(PP_Grid[#Data],M_BOM[PPGridRow],25),0))</f>
        <v/>
      </c>
      <c r="Z43">
        <f>SUMPRODUCT((M_BOM[Part Name]=$A43)*M_BOM[RM_Qty_Per_Batch]*IFERROR(INDEX(PP_Grid[#Data],M_BOM[PPGridRow],26),0))</f>
        <v/>
      </c>
      <c r="AA43">
        <f>SUMPRODUCT((M_BOM[Part Name]=$A43)*M_BOM[RM_Qty_Per_Batch]*IFERROR(INDEX(PP_Grid[#Data],M_BOM[PPGridRow],27),0))</f>
        <v/>
      </c>
      <c r="AB43">
        <f>SUMPRODUCT((M_BOM[Part Name]=$A43)*M_BOM[RM_Qty_Per_Batch]*IFERROR(INDEX(PP_Grid[#Data],M_BOM[PPGridRow],28),0))</f>
        <v/>
      </c>
      <c r="AC43">
        <f>SUMPRODUCT((M_BOM[Part Name]=$A43)*M_BOM[RM_Qty_Per_Batch]*IFERROR(INDEX(PP_Grid[#Data],M_BOM[PPGridRow],29),0))</f>
        <v/>
      </c>
      <c r="AD43">
        <f>SUMPRODUCT((M_BOM[Part Name]=$A43)*M_BOM[RM_Qty_Per_Batch]*IFERROR(INDEX(PP_Grid[#Data],M_BOM[PPGridRow],30),0))</f>
        <v/>
      </c>
      <c r="AE43">
        <f>SUMPRODUCT((M_BOM[Part Name]=$A43)*M_BOM[RM_Qty_Per_Batch]*IFERROR(INDEX(PP_Grid[#Data],M_BOM[PPGridRow],31),0))</f>
        <v/>
      </c>
      <c r="AF43">
        <f>SUMPRODUCT((M_BOM[Part Name]=$A43)*M_BOM[RM_Qty_Per_Batch]*IFERROR(INDEX(PP_Grid[#Data],M_BOM[PPGridRow],32),0))</f>
        <v/>
      </c>
      <c r="AG43">
        <f>SUMPRODUCT((M_BOM[Part Name]=$A43)*M_BOM[RM_Qty_Per_Batch]*IFERROR(INDEX(PP_Grid[#Data],M_BOM[PPGridRow],33),0))</f>
        <v/>
      </c>
      <c r="AH43">
        <f>SUMPRODUCT((M_BOM[Part Name]=$A43)*M_BOM[RM_Qty_Per_Batch]*IFERROR(INDEX(PP_Grid[#Data],M_BOM[PPGridRow],34),0))</f>
        <v/>
      </c>
      <c r="AI43">
        <f>SUMPRODUCT((M_BOM[Part Name]=$A43)*M_BOM[RM_Qty_Per_Batch]*IFERROR(INDEX(PP_Grid[#Data],M_BOM[PPGridRow],35),0))</f>
        <v/>
      </c>
      <c r="AJ43">
        <f>SUMPRODUCT((M_BOM[Part Name]=$A43)*M_BOM[RM_Qty_Per_Batch]*IFERROR(INDEX(PP_Grid[#Data],M_BOM[PPGridRow],36),0))</f>
        <v/>
      </c>
      <c r="AK43">
        <f>SUMPRODUCT((M_BOM[Part Name]=$A43)*M_BOM[RM_Qty_Per_Batch]*IFERROR(INDEX(PP_Grid[#Data],M_BOM[PPGridRow],37),0))</f>
        <v/>
      </c>
      <c r="AL43">
        <f>SUMPRODUCT((M_BOM[Part Name]=$A43)*M_BOM[RM_Qty_Per_Batch]*IFERROR(INDEX(PP_Grid[#Data],M_BOM[PPGridRow],38),0))</f>
        <v/>
      </c>
      <c r="AM43">
        <f>SUMPRODUCT((M_BOM[Part Name]=$A43)*M_BOM[RM_Qty_Per_Batch]*IFERROR(INDEX(PP_Grid[#Data],M_BOM[PPGridRow],39),0))</f>
        <v/>
      </c>
      <c r="AN43">
        <f>SUMPRODUCT((M_BOM[Part Name]=$A43)*M_BOM[RM_Qty_Per_Batch]*IFERROR(INDEX(PP_Grid[#Data],M_BOM[PPGridRow],40),0))</f>
        <v/>
      </c>
      <c r="AO43">
        <f>SUMPRODUCT((M_BOM[Part Name]=$A43)*M_BOM[RM_Qty_Per_Batch]*IFERROR(INDEX(PP_Grid[#Data],M_BOM[PPGridRow],41),0))</f>
        <v/>
      </c>
      <c r="AP43">
        <f>SUMPRODUCT((M_BOM[Part Name]=$A43)*M_BOM[RM_Qty_Per_Batch]*IFERROR(INDEX(PP_Grid[#Data],M_BOM[PPGridRow],42),0))</f>
        <v/>
      </c>
      <c r="AQ43">
        <f>SUMPRODUCT((M_BOM[Part Name]=$A43)*M_BOM[RM_Qty_Per_Batch]*IFERROR(INDEX(PP_Grid[#Data],M_BOM[PPGridRow],43),0))</f>
        <v/>
      </c>
      <c r="AR43">
        <f>SUMPRODUCT((M_BOM[Part Name]=$A43)*M_BOM[RM_Qty_Per_Batch]*IFERROR(INDEX(PP_Grid[#Data],M_BOM[PPGridRow],44),0))</f>
        <v/>
      </c>
      <c r="AS43">
        <f>SUMPRODUCT((M_BOM[Part Name]=$A43)*M_BOM[RM_Qty_Per_Batch]*IFERROR(INDEX(PP_Grid[#Data],M_BOM[PPGridRow],45),0))</f>
        <v/>
      </c>
      <c r="AT43">
        <f>SUMPRODUCT((M_BOM[Part Name]=$A43)*M_BOM[RM_Qty_Per_Batch]*IFERROR(INDEX(PP_Grid[#Data],M_BOM[PPGridRow],46),0))</f>
        <v/>
      </c>
      <c r="AU43">
        <f>SUMPRODUCT((M_BOM[Part Name]=$A43)*M_BOM[RM_Qty_Per_Batch]*IFERROR(INDEX(PP_Grid[#Data],M_BOM[PPGridRow],47),0))</f>
        <v/>
      </c>
      <c r="AV43">
        <f>SUMPRODUCT((M_BOM[Part Name]=$A43)*M_BOM[RM_Qty_Per_Batch]*IFERROR(INDEX(PP_Grid[#Data],M_BOM[PPGridRow],48),0))</f>
        <v/>
      </c>
      <c r="AW43">
        <f>SUMPRODUCT((M_BOM[Part Name]=$A43)*M_BOM[RM_Qty_Per_Batch]*IFERROR(INDEX(PP_Grid[#Data],M_BOM[PPGridRow],49),0))</f>
        <v/>
      </c>
      <c r="AX43">
        <f>SUMPRODUCT((M_BOM[Part Name]=$A43)*M_BOM[RM_Qty_Per_Batch]*IFERROR(INDEX(PP_Grid[#Data],M_BOM[PPGridRow],50),0))</f>
        <v/>
      </c>
      <c r="AY43">
        <f>SUMPRODUCT((M_BOM[Part Name]=$A43)*M_BOM[RM_Qty_Per_Batch]*IFERROR(INDEX(PP_Grid[#Data],M_BOM[PPGridRow],51),0))</f>
        <v/>
      </c>
      <c r="AZ43">
        <f>SUMPRODUCT((M_BOM[Part Name]=$A43)*M_BOM[RM_Qty_Per_Batch]*IFERROR(INDEX(PP_Grid[#Data],M_BOM[PPGridRow],52),0))</f>
        <v/>
      </c>
      <c r="BA43">
        <f>SUMPRODUCT((M_BOM[Part Name]=$A43)*M_BOM[RM_Qty_Per_Batch]*IFERROR(INDEX(PP_Grid[#Data],M_BOM[PPGridRow],53),0))</f>
        <v/>
      </c>
      <c r="BB43">
        <f>SUMPRODUCT((M_BOM[Part Name]=$A43)*M_BOM[RM_Qty_Per_Batch]*IFERROR(INDEX(PP_Grid[#Data],M_BOM[PPGridRow],54),0))</f>
        <v/>
      </c>
      <c r="BC43">
        <f>SUMPRODUCT((M_BOM[Part Name]=$A43)*M_BOM[RM_Qty_Per_Batch]*IFERROR(INDEX(PP_Grid[#Data],M_BOM[PPGridRow],55),0))</f>
        <v/>
      </c>
      <c r="BD43">
        <f>SUMPRODUCT((M_BOM[Part Name]=$A43)*M_BOM[RM_Qty_Per_Batch]*IFERROR(INDEX(PP_Grid[#Data],M_BOM[PPGridRow],56),0))</f>
        <v/>
      </c>
      <c r="BE43">
        <f>SUMPRODUCT((M_BOM[Part Name]=$A43)*M_BOM[RM_Qty_Per_Batch]*IFERROR(INDEX(PP_Grid[#Data],M_BOM[PPGridRow],57),0))</f>
        <v/>
      </c>
      <c r="BF43">
        <f>SUMPRODUCT((M_BOM[Part Name]=$A43)*M_BOM[RM_Qty_Per_Batch]*IFERROR(INDEX(PP_Grid[#Data],M_BOM[PPGridRow],58),0))</f>
        <v/>
      </c>
      <c r="BG43">
        <f>SUMPRODUCT((M_BOM[Part Name]=$A43)*M_BOM[RM_Qty_Per_Batch]*IFERROR(INDEX(PP_Grid[#Data],M_BOM[PPGridRow],59),0))</f>
        <v/>
      </c>
      <c r="BH43">
        <f>SUMPRODUCT((M_BOM[Part Name]=$A43)*M_BOM[RM_Qty_Per_Batch]*IFERROR(INDEX(PP_Grid[#Data],M_BOM[PPGridRow],60),0))</f>
        <v/>
      </c>
      <c r="BI43">
        <f>SUMPRODUCT((M_BOM[Part Name]=$A43)*M_BOM[RM_Qty_Per_Batch]*IFERROR(INDEX(PP_Grid[#Data],M_BOM[PPGridRow],61),0))</f>
        <v/>
      </c>
      <c r="BJ43">
        <f>SUMPRODUCT((M_BOM[Part Name]=$A43)*M_BOM[RM_Qty_Per_Batch]*IFERROR(INDEX(PP_Grid[#Data],M_BOM[PPGridRow],62),0))</f>
        <v/>
      </c>
      <c r="BK43">
        <f>SUMPRODUCT((M_BOM[Part Name]=$A43)*M_BOM[RM_Qty_Per_Batch]*IFERROR(INDEX(PP_Grid[#Data],M_BOM[PPGridRow],63),0))</f>
        <v/>
      </c>
      <c r="BL43">
        <f>SUMPRODUCT((M_BOM[Part Name]=$A43)*M_BOM[RM_Qty_Per_Batch]*IFERROR(INDEX(PP_Grid[#Data],M_BOM[PPGridRow],64),0))</f>
        <v/>
      </c>
      <c r="BM43">
        <f>SUMPRODUCT((M_BOM[Part Name]=$A43)*M_BOM[RM_Qty_Per_Batch]*IFERROR(INDEX(PP_Grid[#Data],M_BOM[PPGridRow],65),0))</f>
        <v/>
      </c>
      <c r="BN43">
        <f>SUMPRODUCT((M_BOM[Part Name]=$A43)*M_BOM[RM_Qty_Per_Batch]*IFERROR(INDEX(PP_Grid[#Data],M_BOM[PPGridRow],66),0))</f>
        <v/>
      </c>
      <c r="BO43">
        <f>SUMPRODUCT((M_BOM[Part Name]=$A43)*M_BOM[RM_Qty_Per_Batch]*IFERROR(INDEX(PP_Grid[#Data],M_BOM[PPGridRow],67),0))</f>
        <v/>
      </c>
      <c r="BP43">
        <f>SUMPRODUCT((M_BOM[Part Name]=$A43)*M_BOM[RM_Qty_Per_Batch]*IFERROR(INDEX(PP_Grid[#Data],M_BOM[PPGridRow],68),0))</f>
        <v/>
      </c>
      <c r="BQ43">
        <f>SUMPRODUCT((M_BOM[Part Name]=$A43)*M_BOM[RM_Qty_Per_Batch]*IFERROR(INDEX(PP_Grid[#Data],M_BOM[PPGridRow],69),0))</f>
        <v/>
      </c>
      <c r="BR43">
        <f>SUMPRODUCT((M_BOM[Part Name]=$A43)*M_BOM[RM_Qty_Per_Batch]*IFERROR(INDEX(PP_Grid[#Data],M_BOM[PPGridRow],70),0))</f>
        <v/>
      </c>
      <c r="BS43">
        <f>SUMPRODUCT((M_BOM[Part Name]=$A43)*M_BOM[RM_Qty_Per_Batch]*IFERROR(INDEX(PP_Grid[#Data],M_BOM[PPGridRow],71),0))</f>
        <v/>
      </c>
      <c r="BT43">
        <f>SUMPRODUCT((M_BOM[Part Name]=$A43)*M_BOM[RM_Qty_Per_Batch]*IFERROR(INDEX(PP_Grid[#Data],M_BOM[PPGridRow],72),0))</f>
        <v/>
      </c>
      <c r="BU43">
        <f>SUMPRODUCT((M_BOM[Part Name]=$A43)*M_BOM[RM_Qty_Per_Batch]*IFERROR(INDEX(PP_Grid[#Data],M_BOM[PPGridRow],73),0))</f>
        <v/>
      </c>
      <c r="BV43">
        <f>SUMPRODUCT((M_BOM[Part Name]=$A43)*M_BOM[RM_Qty_Per_Batch]*IFERROR(INDEX(PP_Grid[#Data],M_BOM[PPGridRow],74),0))</f>
        <v/>
      </c>
      <c r="BW43">
        <f>SUMPRODUCT((M_BOM[Part Name]=$A43)*M_BOM[RM_Qty_Per_Batch]*IFERROR(INDEX(PP_Grid[#Data],M_BOM[PPGridRow],75),0))</f>
        <v/>
      </c>
      <c r="BX43">
        <f>SUMPRODUCT((M_BOM[Part Name]=$A43)*M_BOM[RM_Qty_Per_Batch]*IFERROR(INDEX(PP_Grid[#Data],M_BOM[PPGridRow],76),0))</f>
        <v/>
      </c>
      <c r="BY43">
        <f>SUMPRODUCT((M_BOM[Part Name]=$A43)*M_BOM[RM_Qty_Per_Batch]*IFERROR(INDEX(PP_Grid[#Data],M_BOM[PPGridRow],77),0))</f>
        <v/>
      </c>
      <c r="BZ43">
        <f>SUMPRODUCT((M_BOM[Part Name]=$A43)*M_BOM[RM_Qty_Per_Batch]*IFERROR(INDEX(PP_Grid[#Data],M_BOM[PPGridRow],78),0))</f>
        <v/>
      </c>
      <c r="CA43">
        <f>SUMPRODUCT((M_BOM[Part Name]=$A43)*M_BOM[RM_Qty_Per_Batch]*IFERROR(INDEX(PP_Grid[#Data],M_BOM[PPGridRow],79),0))</f>
        <v/>
      </c>
      <c r="CB43">
        <f>SUMPRODUCT((M_BOM[Part Name]=$A43)*M_BOM[RM_Qty_Per_Batch]*IFERROR(INDEX(PP_Grid[#Data],M_BOM[PPGridRow],80),0))</f>
        <v/>
      </c>
      <c r="CC43">
        <f>SUMPRODUCT((M_BOM[Part Name]=$A43)*M_BOM[RM_Qty_Per_Batch]*IFERROR(INDEX(PP_Grid[#Data],M_BOM[PPGridRow],81),0))</f>
        <v/>
      </c>
      <c r="CD43">
        <f>SUMPRODUCT((M_BOM[Part Name]=$A43)*M_BOM[RM_Qty_Per_Batch]*IFERROR(INDEX(PP_Grid[#Data],M_BOM[PPGridRow],82),0))</f>
        <v/>
      </c>
      <c r="CE43">
        <f>SUMPRODUCT((M_BOM[Part Name]=$A43)*M_BOM[RM_Qty_Per_Batch]*IFERROR(INDEX(PP_Grid[#Data],M_BOM[PPGridRow],83),0))</f>
        <v/>
      </c>
      <c r="CF43">
        <f>SUMPRODUCT((M_BOM[Part Name]=$A43)*M_BOM[RM_Qty_Per_Batch]*IFERROR(INDEX(PP_Grid[#Data],M_BOM[PPGridRow],84),0))</f>
        <v/>
      </c>
      <c r="CG43">
        <f>SUMPRODUCT((M_BOM[Part Name]=$A43)*M_BOM[RM_Qty_Per_Batch]*IFERROR(INDEX(PP_Grid[#Data],M_BOM[PPGridRow],85),0))</f>
        <v/>
      </c>
      <c r="CH43">
        <f>SUMPRODUCT((M_BOM[Part Name]=$A43)*M_BOM[RM_Qty_Per_Batch]*IFERROR(INDEX(PP_Grid[#Data],M_BOM[PPGridRow],86),0))</f>
        <v/>
      </c>
      <c r="CI43">
        <f>SUMPRODUCT((M_BOM[Part Name]=$A43)*M_BOM[RM_Qty_Per_Batch]*IFERROR(INDEX(PP_Grid[#Data],M_BOM[PPGridRow],87),0))</f>
        <v/>
      </c>
      <c r="CJ43">
        <f>SUMPRODUCT((M_BOM[Part Name]=$A43)*M_BOM[RM_Qty_Per_Batch]*IFERROR(INDEX(PP_Grid[#Data],M_BOM[PPGridRow],88),0))</f>
        <v/>
      </c>
      <c r="CK43">
        <f>SUMPRODUCT((M_BOM[Part Name]=$A43)*M_BOM[RM_Qty_Per_Batch]*IFERROR(INDEX(PP_Grid[#Data],M_BOM[PPGridRow],89),0))</f>
        <v/>
      </c>
      <c r="CL43">
        <f>SUMPRODUCT((M_BOM[Part Name]=$A43)*M_BOM[RM_Qty_Per_Batch]*IFERROR(INDEX(PP_Grid[#Data],M_BOM[PPGridRow],90),0))</f>
        <v/>
      </c>
      <c r="CM43">
        <f>SUMPRODUCT((M_BOM[Part Name]=$A43)*M_BOM[RM_Qty_Per_Batch]*IFERROR(INDEX(PP_Grid[#Data],M_BOM[PPGridRow],91),0))</f>
        <v/>
      </c>
      <c r="CN43">
        <f>SUMPRODUCT((M_BOM[Part Name]=$A43)*M_BOM[RM_Qty_Per_Batch]*IFERROR(INDEX(PP_Grid[#Data],M_BOM[PPGridRow],92),0))</f>
        <v/>
      </c>
      <c r="CO43">
        <f>SUMPRODUCT((M_BOM[Part Name]=$A43)*M_BOM[RM_Qty_Per_Batch]*IFERROR(INDEX(PP_Grid[#Data],M_BOM[PPGridRow],93),0))</f>
        <v/>
      </c>
      <c r="CP43">
        <f>SUMPRODUCT((M_BOM[Part Name]=$A43)*M_BOM[RM_Qty_Per_Batch]*IFERROR(INDEX(PP_Grid[#Data],M_BOM[PPGridRow],94),0))</f>
        <v/>
      </c>
      <c r="CQ43">
        <f>SUMPRODUCT((M_BOM[Part Name]=$A43)*M_BOM[RM_Qty_Per_Batch]*IFERROR(INDEX(PP_Grid[#Data],M_BOM[PPGridRow],95),0))</f>
        <v/>
      </c>
      <c r="CR43">
        <f>SUMPRODUCT((M_BOM[Part Name]=$A43)*M_BOM[RM_Qty_Per_Batch]*IFERROR(INDEX(PP_Grid[#Data],M_BOM[PPGridRow],96),0))</f>
        <v/>
      </c>
      <c r="CS43">
        <f>SUMPRODUCT((M_BOM[Part Name]=$A43)*M_BOM[RM_Qty_Per_Batch]*IFERROR(INDEX(PP_Grid[#Data],M_BOM[PPGridRow],97),0))</f>
        <v/>
      </c>
      <c r="CT43">
        <f>SUMPRODUCT((M_BOM[Part Name]=$A43)*M_BOM[RM_Qty_Per_Batch]*IFERROR(INDEX(PP_Grid[#Data],M_BOM[PPGridRow],98),0))</f>
        <v/>
      </c>
      <c r="CU43">
        <f>SUMPRODUCT((M_BOM[Part Name]=$A43)*M_BOM[RM_Qty_Per_Batch]*IFERROR(INDEX(PP_Grid[#Data],M_BOM[PPGridRow],99),0))</f>
        <v/>
      </c>
      <c r="CV43">
        <f>SUMPRODUCT((M_BOM[Part Name]=$A43)*M_BOM[RM_Qty_Per_Batch]*IFERROR(INDEX(PP_Grid[#Data],M_BOM[PPGridRow],100),0))</f>
        <v/>
      </c>
      <c r="CW43">
        <f>SUMPRODUCT((M_BOM[Part Name]=$A43)*M_BOM[RM_Qty_Per_Batch]*IFERROR(INDEX(PP_Grid[#Data],M_BOM[PPGridRow],101),0))</f>
        <v/>
      </c>
      <c r="CX43">
        <f>SUMPRODUCT((M_BOM[Part Name]=$A43)*M_BOM[RM_Qty_Per_Batch]*IFERROR(INDEX(PP_Grid[#Data],M_BOM[PPGridRow],102),0))</f>
        <v/>
      </c>
      <c r="CY43">
        <f>SUMPRODUCT((M_BOM[Part Name]=$A43)*M_BOM[RM_Qty_Per_Batch]*IFERROR(INDEX(PP_Grid[#Data],M_BOM[PPGridRow],103),0))</f>
        <v/>
      </c>
      <c r="CZ43">
        <f>SUMPRODUCT((M_BOM[Part Name]=$A43)*M_BOM[RM_Qty_Per_Batch]*IFERROR(INDEX(PP_Grid[#Data],M_BOM[PPGridRow],104),0))</f>
        <v/>
      </c>
      <c r="DA43">
        <f>SUMPRODUCT((M_BOM[Part Name]=$A43)*M_BOM[RM_Qty_Per_Batch]*IFERROR(INDEX(PP_Grid[#Data],M_BOM[PPGridRow],105),0))</f>
        <v/>
      </c>
    </row>
    <row r="44">
      <c r="A44" t="inlineStr">
        <is>
          <t>3TP</t>
        </is>
      </c>
      <c r="B44">
        <f>SUMPRODUCT((M_BOM[Part Name]=$A44)*M_BOM[RM_Qty_Per_Batch]*IFERROR(INDEX(PP_Grid[#Data],M_BOM[PPGridRow],2),0))</f>
        <v/>
      </c>
      <c r="C44">
        <f>SUMPRODUCT((M_BOM[Part Name]=$A44)*M_BOM[RM_Qty_Per_Batch]*IFERROR(INDEX(PP_Grid[#Data],M_BOM[PPGridRow],3),0))</f>
        <v/>
      </c>
      <c r="D44">
        <f>SUMPRODUCT((M_BOM[Part Name]=$A44)*M_BOM[RM_Qty_Per_Batch]*IFERROR(INDEX(PP_Grid[#Data],M_BOM[PPGridRow],4),0))</f>
        <v/>
      </c>
      <c r="E44">
        <f>SUMPRODUCT((M_BOM[Part Name]=$A44)*M_BOM[RM_Qty_Per_Batch]*IFERROR(INDEX(PP_Grid[#Data],M_BOM[PPGridRow],5),0))</f>
        <v/>
      </c>
      <c r="F44">
        <f>SUMPRODUCT((M_BOM[Part Name]=$A44)*M_BOM[RM_Qty_Per_Batch]*IFERROR(INDEX(PP_Grid[#Data],M_BOM[PPGridRow],6),0))</f>
        <v/>
      </c>
      <c r="G44">
        <f>SUMPRODUCT((M_BOM[Part Name]=$A44)*M_BOM[RM_Qty_Per_Batch]*IFERROR(INDEX(PP_Grid[#Data],M_BOM[PPGridRow],7),0))</f>
        <v/>
      </c>
      <c r="H44">
        <f>SUMPRODUCT((M_BOM[Part Name]=$A44)*M_BOM[RM_Qty_Per_Batch]*IFERROR(INDEX(PP_Grid[#Data],M_BOM[PPGridRow],8),0))</f>
        <v/>
      </c>
      <c r="I44">
        <f>SUMPRODUCT((M_BOM[Part Name]=$A44)*M_BOM[RM_Qty_Per_Batch]*IFERROR(INDEX(PP_Grid[#Data],M_BOM[PPGridRow],9),0))</f>
        <v/>
      </c>
      <c r="J44">
        <f>SUMPRODUCT((M_BOM[Part Name]=$A44)*M_BOM[RM_Qty_Per_Batch]*IFERROR(INDEX(PP_Grid[#Data],M_BOM[PPGridRow],10),0))</f>
        <v/>
      </c>
      <c r="K44">
        <f>SUMPRODUCT((M_BOM[Part Name]=$A44)*M_BOM[RM_Qty_Per_Batch]*IFERROR(INDEX(PP_Grid[#Data],M_BOM[PPGridRow],11),0))</f>
        <v/>
      </c>
      <c r="L44">
        <f>SUMPRODUCT((M_BOM[Part Name]=$A44)*M_BOM[RM_Qty_Per_Batch]*IFERROR(INDEX(PP_Grid[#Data],M_BOM[PPGridRow],12),0))</f>
        <v/>
      </c>
      <c r="M44">
        <f>SUMPRODUCT((M_BOM[Part Name]=$A44)*M_BOM[RM_Qty_Per_Batch]*IFERROR(INDEX(PP_Grid[#Data],M_BOM[PPGridRow],13),0))</f>
        <v/>
      </c>
      <c r="N44">
        <f>SUMPRODUCT((M_BOM[Part Name]=$A44)*M_BOM[RM_Qty_Per_Batch]*IFERROR(INDEX(PP_Grid[#Data],M_BOM[PPGridRow],14),0))</f>
        <v/>
      </c>
      <c r="O44">
        <f>SUMPRODUCT((M_BOM[Part Name]=$A44)*M_BOM[RM_Qty_Per_Batch]*IFERROR(INDEX(PP_Grid[#Data],M_BOM[PPGridRow],15),0))</f>
        <v/>
      </c>
      <c r="P44">
        <f>SUMPRODUCT((M_BOM[Part Name]=$A44)*M_BOM[RM_Qty_Per_Batch]*IFERROR(INDEX(PP_Grid[#Data],M_BOM[PPGridRow],16),0))</f>
        <v/>
      </c>
      <c r="Q44">
        <f>SUMPRODUCT((M_BOM[Part Name]=$A44)*M_BOM[RM_Qty_Per_Batch]*IFERROR(INDEX(PP_Grid[#Data],M_BOM[PPGridRow],17),0))</f>
        <v/>
      </c>
      <c r="R44">
        <f>SUMPRODUCT((M_BOM[Part Name]=$A44)*M_BOM[RM_Qty_Per_Batch]*IFERROR(INDEX(PP_Grid[#Data],M_BOM[PPGridRow],18),0))</f>
        <v/>
      </c>
      <c r="S44">
        <f>SUMPRODUCT((M_BOM[Part Name]=$A44)*M_BOM[RM_Qty_Per_Batch]*IFERROR(INDEX(PP_Grid[#Data],M_BOM[PPGridRow],19),0))</f>
        <v/>
      </c>
      <c r="T44">
        <f>SUMPRODUCT((M_BOM[Part Name]=$A44)*M_BOM[RM_Qty_Per_Batch]*IFERROR(INDEX(PP_Grid[#Data],M_BOM[PPGridRow],20),0))</f>
        <v/>
      </c>
      <c r="U44">
        <f>SUMPRODUCT((M_BOM[Part Name]=$A44)*M_BOM[RM_Qty_Per_Batch]*IFERROR(INDEX(PP_Grid[#Data],M_BOM[PPGridRow],21),0))</f>
        <v/>
      </c>
      <c r="V44">
        <f>SUMPRODUCT((M_BOM[Part Name]=$A44)*M_BOM[RM_Qty_Per_Batch]*IFERROR(INDEX(PP_Grid[#Data],M_BOM[PPGridRow],22),0))</f>
        <v/>
      </c>
      <c r="W44">
        <f>SUMPRODUCT((M_BOM[Part Name]=$A44)*M_BOM[RM_Qty_Per_Batch]*IFERROR(INDEX(PP_Grid[#Data],M_BOM[PPGridRow],23),0))</f>
        <v/>
      </c>
      <c r="X44">
        <f>SUMPRODUCT((M_BOM[Part Name]=$A44)*M_BOM[RM_Qty_Per_Batch]*IFERROR(INDEX(PP_Grid[#Data],M_BOM[PPGridRow],24),0))</f>
        <v/>
      </c>
      <c r="Y44">
        <f>SUMPRODUCT((M_BOM[Part Name]=$A44)*M_BOM[RM_Qty_Per_Batch]*IFERROR(INDEX(PP_Grid[#Data],M_BOM[PPGridRow],25),0))</f>
        <v/>
      </c>
      <c r="Z44">
        <f>SUMPRODUCT((M_BOM[Part Name]=$A44)*M_BOM[RM_Qty_Per_Batch]*IFERROR(INDEX(PP_Grid[#Data],M_BOM[PPGridRow],26),0))</f>
        <v/>
      </c>
      <c r="AA44">
        <f>SUMPRODUCT((M_BOM[Part Name]=$A44)*M_BOM[RM_Qty_Per_Batch]*IFERROR(INDEX(PP_Grid[#Data],M_BOM[PPGridRow],27),0))</f>
        <v/>
      </c>
      <c r="AB44">
        <f>SUMPRODUCT((M_BOM[Part Name]=$A44)*M_BOM[RM_Qty_Per_Batch]*IFERROR(INDEX(PP_Grid[#Data],M_BOM[PPGridRow],28),0))</f>
        <v/>
      </c>
      <c r="AC44">
        <f>SUMPRODUCT((M_BOM[Part Name]=$A44)*M_BOM[RM_Qty_Per_Batch]*IFERROR(INDEX(PP_Grid[#Data],M_BOM[PPGridRow],29),0))</f>
        <v/>
      </c>
      <c r="AD44">
        <f>SUMPRODUCT((M_BOM[Part Name]=$A44)*M_BOM[RM_Qty_Per_Batch]*IFERROR(INDEX(PP_Grid[#Data],M_BOM[PPGridRow],30),0))</f>
        <v/>
      </c>
      <c r="AE44">
        <f>SUMPRODUCT((M_BOM[Part Name]=$A44)*M_BOM[RM_Qty_Per_Batch]*IFERROR(INDEX(PP_Grid[#Data],M_BOM[PPGridRow],31),0))</f>
        <v/>
      </c>
      <c r="AF44">
        <f>SUMPRODUCT((M_BOM[Part Name]=$A44)*M_BOM[RM_Qty_Per_Batch]*IFERROR(INDEX(PP_Grid[#Data],M_BOM[PPGridRow],32),0))</f>
        <v/>
      </c>
      <c r="AG44">
        <f>SUMPRODUCT((M_BOM[Part Name]=$A44)*M_BOM[RM_Qty_Per_Batch]*IFERROR(INDEX(PP_Grid[#Data],M_BOM[PPGridRow],33),0))</f>
        <v/>
      </c>
      <c r="AH44">
        <f>SUMPRODUCT((M_BOM[Part Name]=$A44)*M_BOM[RM_Qty_Per_Batch]*IFERROR(INDEX(PP_Grid[#Data],M_BOM[PPGridRow],34),0))</f>
        <v/>
      </c>
      <c r="AI44">
        <f>SUMPRODUCT((M_BOM[Part Name]=$A44)*M_BOM[RM_Qty_Per_Batch]*IFERROR(INDEX(PP_Grid[#Data],M_BOM[PPGridRow],35),0))</f>
        <v/>
      </c>
      <c r="AJ44">
        <f>SUMPRODUCT((M_BOM[Part Name]=$A44)*M_BOM[RM_Qty_Per_Batch]*IFERROR(INDEX(PP_Grid[#Data],M_BOM[PPGridRow],36),0))</f>
        <v/>
      </c>
      <c r="AK44">
        <f>SUMPRODUCT((M_BOM[Part Name]=$A44)*M_BOM[RM_Qty_Per_Batch]*IFERROR(INDEX(PP_Grid[#Data],M_BOM[PPGridRow],37),0))</f>
        <v/>
      </c>
      <c r="AL44">
        <f>SUMPRODUCT((M_BOM[Part Name]=$A44)*M_BOM[RM_Qty_Per_Batch]*IFERROR(INDEX(PP_Grid[#Data],M_BOM[PPGridRow],38),0))</f>
        <v/>
      </c>
      <c r="AM44">
        <f>SUMPRODUCT((M_BOM[Part Name]=$A44)*M_BOM[RM_Qty_Per_Batch]*IFERROR(INDEX(PP_Grid[#Data],M_BOM[PPGridRow],39),0))</f>
        <v/>
      </c>
      <c r="AN44">
        <f>SUMPRODUCT((M_BOM[Part Name]=$A44)*M_BOM[RM_Qty_Per_Batch]*IFERROR(INDEX(PP_Grid[#Data],M_BOM[PPGridRow],40),0))</f>
        <v/>
      </c>
      <c r="AO44">
        <f>SUMPRODUCT((M_BOM[Part Name]=$A44)*M_BOM[RM_Qty_Per_Batch]*IFERROR(INDEX(PP_Grid[#Data],M_BOM[PPGridRow],41),0))</f>
        <v/>
      </c>
      <c r="AP44">
        <f>SUMPRODUCT((M_BOM[Part Name]=$A44)*M_BOM[RM_Qty_Per_Batch]*IFERROR(INDEX(PP_Grid[#Data],M_BOM[PPGridRow],42),0))</f>
        <v/>
      </c>
      <c r="AQ44">
        <f>SUMPRODUCT((M_BOM[Part Name]=$A44)*M_BOM[RM_Qty_Per_Batch]*IFERROR(INDEX(PP_Grid[#Data],M_BOM[PPGridRow],43),0))</f>
        <v/>
      </c>
      <c r="AR44">
        <f>SUMPRODUCT((M_BOM[Part Name]=$A44)*M_BOM[RM_Qty_Per_Batch]*IFERROR(INDEX(PP_Grid[#Data],M_BOM[PPGridRow],44),0))</f>
        <v/>
      </c>
      <c r="AS44">
        <f>SUMPRODUCT((M_BOM[Part Name]=$A44)*M_BOM[RM_Qty_Per_Batch]*IFERROR(INDEX(PP_Grid[#Data],M_BOM[PPGridRow],45),0))</f>
        <v/>
      </c>
      <c r="AT44">
        <f>SUMPRODUCT((M_BOM[Part Name]=$A44)*M_BOM[RM_Qty_Per_Batch]*IFERROR(INDEX(PP_Grid[#Data],M_BOM[PPGridRow],46),0))</f>
        <v/>
      </c>
      <c r="AU44">
        <f>SUMPRODUCT((M_BOM[Part Name]=$A44)*M_BOM[RM_Qty_Per_Batch]*IFERROR(INDEX(PP_Grid[#Data],M_BOM[PPGridRow],47),0))</f>
        <v/>
      </c>
      <c r="AV44">
        <f>SUMPRODUCT((M_BOM[Part Name]=$A44)*M_BOM[RM_Qty_Per_Batch]*IFERROR(INDEX(PP_Grid[#Data],M_BOM[PPGridRow],48),0))</f>
        <v/>
      </c>
      <c r="AW44">
        <f>SUMPRODUCT((M_BOM[Part Name]=$A44)*M_BOM[RM_Qty_Per_Batch]*IFERROR(INDEX(PP_Grid[#Data],M_BOM[PPGridRow],49),0))</f>
        <v/>
      </c>
      <c r="AX44">
        <f>SUMPRODUCT((M_BOM[Part Name]=$A44)*M_BOM[RM_Qty_Per_Batch]*IFERROR(INDEX(PP_Grid[#Data],M_BOM[PPGridRow],50),0))</f>
        <v/>
      </c>
      <c r="AY44">
        <f>SUMPRODUCT((M_BOM[Part Name]=$A44)*M_BOM[RM_Qty_Per_Batch]*IFERROR(INDEX(PP_Grid[#Data],M_BOM[PPGridRow],51),0))</f>
        <v/>
      </c>
      <c r="AZ44">
        <f>SUMPRODUCT((M_BOM[Part Name]=$A44)*M_BOM[RM_Qty_Per_Batch]*IFERROR(INDEX(PP_Grid[#Data],M_BOM[PPGridRow],52),0))</f>
        <v/>
      </c>
      <c r="BA44">
        <f>SUMPRODUCT((M_BOM[Part Name]=$A44)*M_BOM[RM_Qty_Per_Batch]*IFERROR(INDEX(PP_Grid[#Data],M_BOM[PPGridRow],53),0))</f>
        <v/>
      </c>
      <c r="BB44">
        <f>SUMPRODUCT((M_BOM[Part Name]=$A44)*M_BOM[RM_Qty_Per_Batch]*IFERROR(INDEX(PP_Grid[#Data],M_BOM[PPGridRow],54),0))</f>
        <v/>
      </c>
      <c r="BC44">
        <f>SUMPRODUCT((M_BOM[Part Name]=$A44)*M_BOM[RM_Qty_Per_Batch]*IFERROR(INDEX(PP_Grid[#Data],M_BOM[PPGridRow],55),0))</f>
        <v/>
      </c>
      <c r="BD44">
        <f>SUMPRODUCT((M_BOM[Part Name]=$A44)*M_BOM[RM_Qty_Per_Batch]*IFERROR(INDEX(PP_Grid[#Data],M_BOM[PPGridRow],56),0))</f>
        <v/>
      </c>
      <c r="BE44">
        <f>SUMPRODUCT((M_BOM[Part Name]=$A44)*M_BOM[RM_Qty_Per_Batch]*IFERROR(INDEX(PP_Grid[#Data],M_BOM[PPGridRow],57),0))</f>
        <v/>
      </c>
      <c r="BF44">
        <f>SUMPRODUCT((M_BOM[Part Name]=$A44)*M_BOM[RM_Qty_Per_Batch]*IFERROR(INDEX(PP_Grid[#Data],M_BOM[PPGridRow],58),0))</f>
        <v/>
      </c>
      <c r="BG44">
        <f>SUMPRODUCT((M_BOM[Part Name]=$A44)*M_BOM[RM_Qty_Per_Batch]*IFERROR(INDEX(PP_Grid[#Data],M_BOM[PPGridRow],59),0))</f>
        <v/>
      </c>
      <c r="BH44">
        <f>SUMPRODUCT((M_BOM[Part Name]=$A44)*M_BOM[RM_Qty_Per_Batch]*IFERROR(INDEX(PP_Grid[#Data],M_BOM[PPGridRow],60),0))</f>
        <v/>
      </c>
      <c r="BI44">
        <f>SUMPRODUCT((M_BOM[Part Name]=$A44)*M_BOM[RM_Qty_Per_Batch]*IFERROR(INDEX(PP_Grid[#Data],M_BOM[PPGridRow],61),0))</f>
        <v/>
      </c>
      <c r="BJ44">
        <f>SUMPRODUCT((M_BOM[Part Name]=$A44)*M_BOM[RM_Qty_Per_Batch]*IFERROR(INDEX(PP_Grid[#Data],M_BOM[PPGridRow],62),0))</f>
        <v/>
      </c>
      <c r="BK44">
        <f>SUMPRODUCT((M_BOM[Part Name]=$A44)*M_BOM[RM_Qty_Per_Batch]*IFERROR(INDEX(PP_Grid[#Data],M_BOM[PPGridRow],63),0))</f>
        <v/>
      </c>
      <c r="BL44">
        <f>SUMPRODUCT((M_BOM[Part Name]=$A44)*M_BOM[RM_Qty_Per_Batch]*IFERROR(INDEX(PP_Grid[#Data],M_BOM[PPGridRow],64),0))</f>
        <v/>
      </c>
      <c r="BM44">
        <f>SUMPRODUCT((M_BOM[Part Name]=$A44)*M_BOM[RM_Qty_Per_Batch]*IFERROR(INDEX(PP_Grid[#Data],M_BOM[PPGridRow],65),0))</f>
        <v/>
      </c>
      <c r="BN44">
        <f>SUMPRODUCT((M_BOM[Part Name]=$A44)*M_BOM[RM_Qty_Per_Batch]*IFERROR(INDEX(PP_Grid[#Data],M_BOM[PPGridRow],66),0))</f>
        <v/>
      </c>
      <c r="BO44">
        <f>SUMPRODUCT((M_BOM[Part Name]=$A44)*M_BOM[RM_Qty_Per_Batch]*IFERROR(INDEX(PP_Grid[#Data],M_BOM[PPGridRow],67),0))</f>
        <v/>
      </c>
      <c r="BP44">
        <f>SUMPRODUCT((M_BOM[Part Name]=$A44)*M_BOM[RM_Qty_Per_Batch]*IFERROR(INDEX(PP_Grid[#Data],M_BOM[PPGridRow],68),0))</f>
        <v/>
      </c>
      <c r="BQ44">
        <f>SUMPRODUCT((M_BOM[Part Name]=$A44)*M_BOM[RM_Qty_Per_Batch]*IFERROR(INDEX(PP_Grid[#Data],M_BOM[PPGridRow],69),0))</f>
        <v/>
      </c>
      <c r="BR44">
        <f>SUMPRODUCT((M_BOM[Part Name]=$A44)*M_BOM[RM_Qty_Per_Batch]*IFERROR(INDEX(PP_Grid[#Data],M_BOM[PPGridRow],70),0))</f>
        <v/>
      </c>
      <c r="BS44">
        <f>SUMPRODUCT((M_BOM[Part Name]=$A44)*M_BOM[RM_Qty_Per_Batch]*IFERROR(INDEX(PP_Grid[#Data],M_BOM[PPGridRow],71),0))</f>
        <v/>
      </c>
      <c r="BT44">
        <f>SUMPRODUCT((M_BOM[Part Name]=$A44)*M_BOM[RM_Qty_Per_Batch]*IFERROR(INDEX(PP_Grid[#Data],M_BOM[PPGridRow],72),0))</f>
        <v/>
      </c>
      <c r="BU44">
        <f>SUMPRODUCT((M_BOM[Part Name]=$A44)*M_BOM[RM_Qty_Per_Batch]*IFERROR(INDEX(PP_Grid[#Data],M_BOM[PPGridRow],73),0))</f>
        <v/>
      </c>
      <c r="BV44">
        <f>SUMPRODUCT((M_BOM[Part Name]=$A44)*M_BOM[RM_Qty_Per_Batch]*IFERROR(INDEX(PP_Grid[#Data],M_BOM[PPGridRow],74),0))</f>
        <v/>
      </c>
      <c r="BW44">
        <f>SUMPRODUCT((M_BOM[Part Name]=$A44)*M_BOM[RM_Qty_Per_Batch]*IFERROR(INDEX(PP_Grid[#Data],M_BOM[PPGridRow],75),0))</f>
        <v/>
      </c>
      <c r="BX44">
        <f>SUMPRODUCT((M_BOM[Part Name]=$A44)*M_BOM[RM_Qty_Per_Batch]*IFERROR(INDEX(PP_Grid[#Data],M_BOM[PPGridRow],76),0))</f>
        <v/>
      </c>
      <c r="BY44">
        <f>SUMPRODUCT((M_BOM[Part Name]=$A44)*M_BOM[RM_Qty_Per_Batch]*IFERROR(INDEX(PP_Grid[#Data],M_BOM[PPGridRow],77),0))</f>
        <v/>
      </c>
      <c r="BZ44">
        <f>SUMPRODUCT((M_BOM[Part Name]=$A44)*M_BOM[RM_Qty_Per_Batch]*IFERROR(INDEX(PP_Grid[#Data],M_BOM[PPGridRow],78),0))</f>
        <v/>
      </c>
      <c r="CA44">
        <f>SUMPRODUCT((M_BOM[Part Name]=$A44)*M_BOM[RM_Qty_Per_Batch]*IFERROR(INDEX(PP_Grid[#Data],M_BOM[PPGridRow],79),0))</f>
        <v/>
      </c>
      <c r="CB44">
        <f>SUMPRODUCT((M_BOM[Part Name]=$A44)*M_BOM[RM_Qty_Per_Batch]*IFERROR(INDEX(PP_Grid[#Data],M_BOM[PPGridRow],80),0))</f>
        <v/>
      </c>
      <c r="CC44">
        <f>SUMPRODUCT((M_BOM[Part Name]=$A44)*M_BOM[RM_Qty_Per_Batch]*IFERROR(INDEX(PP_Grid[#Data],M_BOM[PPGridRow],81),0))</f>
        <v/>
      </c>
      <c r="CD44">
        <f>SUMPRODUCT((M_BOM[Part Name]=$A44)*M_BOM[RM_Qty_Per_Batch]*IFERROR(INDEX(PP_Grid[#Data],M_BOM[PPGridRow],82),0))</f>
        <v/>
      </c>
      <c r="CE44">
        <f>SUMPRODUCT((M_BOM[Part Name]=$A44)*M_BOM[RM_Qty_Per_Batch]*IFERROR(INDEX(PP_Grid[#Data],M_BOM[PPGridRow],83),0))</f>
        <v/>
      </c>
      <c r="CF44">
        <f>SUMPRODUCT((M_BOM[Part Name]=$A44)*M_BOM[RM_Qty_Per_Batch]*IFERROR(INDEX(PP_Grid[#Data],M_BOM[PPGridRow],84),0))</f>
        <v/>
      </c>
      <c r="CG44">
        <f>SUMPRODUCT((M_BOM[Part Name]=$A44)*M_BOM[RM_Qty_Per_Batch]*IFERROR(INDEX(PP_Grid[#Data],M_BOM[PPGridRow],85),0))</f>
        <v/>
      </c>
      <c r="CH44">
        <f>SUMPRODUCT((M_BOM[Part Name]=$A44)*M_BOM[RM_Qty_Per_Batch]*IFERROR(INDEX(PP_Grid[#Data],M_BOM[PPGridRow],86),0))</f>
        <v/>
      </c>
      <c r="CI44">
        <f>SUMPRODUCT((M_BOM[Part Name]=$A44)*M_BOM[RM_Qty_Per_Batch]*IFERROR(INDEX(PP_Grid[#Data],M_BOM[PPGridRow],87),0))</f>
        <v/>
      </c>
      <c r="CJ44">
        <f>SUMPRODUCT((M_BOM[Part Name]=$A44)*M_BOM[RM_Qty_Per_Batch]*IFERROR(INDEX(PP_Grid[#Data],M_BOM[PPGridRow],88),0))</f>
        <v/>
      </c>
      <c r="CK44">
        <f>SUMPRODUCT((M_BOM[Part Name]=$A44)*M_BOM[RM_Qty_Per_Batch]*IFERROR(INDEX(PP_Grid[#Data],M_BOM[PPGridRow],89),0))</f>
        <v/>
      </c>
      <c r="CL44">
        <f>SUMPRODUCT((M_BOM[Part Name]=$A44)*M_BOM[RM_Qty_Per_Batch]*IFERROR(INDEX(PP_Grid[#Data],M_BOM[PPGridRow],90),0))</f>
        <v/>
      </c>
      <c r="CM44">
        <f>SUMPRODUCT((M_BOM[Part Name]=$A44)*M_BOM[RM_Qty_Per_Batch]*IFERROR(INDEX(PP_Grid[#Data],M_BOM[PPGridRow],91),0))</f>
        <v/>
      </c>
      <c r="CN44">
        <f>SUMPRODUCT((M_BOM[Part Name]=$A44)*M_BOM[RM_Qty_Per_Batch]*IFERROR(INDEX(PP_Grid[#Data],M_BOM[PPGridRow],92),0))</f>
        <v/>
      </c>
      <c r="CO44">
        <f>SUMPRODUCT((M_BOM[Part Name]=$A44)*M_BOM[RM_Qty_Per_Batch]*IFERROR(INDEX(PP_Grid[#Data],M_BOM[PPGridRow],93),0))</f>
        <v/>
      </c>
      <c r="CP44">
        <f>SUMPRODUCT((M_BOM[Part Name]=$A44)*M_BOM[RM_Qty_Per_Batch]*IFERROR(INDEX(PP_Grid[#Data],M_BOM[PPGridRow],94),0))</f>
        <v/>
      </c>
      <c r="CQ44">
        <f>SUMPRODUCT((M_BOM[Part Name]=$A44)*M_BOM[RM_Qty_Per_Batch]*IFERROR(INDEX(PP_Grid[#Data],M_BOM[PPGridRow],95),0))</f>
        <v/>
      </c>
      <c r="CR44">
        <f>SUMPRODUCT((M_BOM[Part Name]=$A44)*M_BOM[RM_Qty_Per_Batch]*IFERROR(INDEX(PP_Grid[#Data],M_BOM[PPGridRow],96),0))</f>
        <v/>
      </c>
      <c r="CS44">
        <f>SUMPRODUCT((M_BOM[Part Name]=$A44)*M_BOM[RM_Qty_Per_Batch]*IFERROR(INDEX(PP_Grid[#Data],M_BOM[PPGridRow],97),0))</f>
        <v/>
      </c>
      <c r="CT44">
        <f>SUMPRODUCT((M_BOM[Part Name]=$A44)*M_BOM[RM_Qty_Per_Batch]*IFERROR(INDEX(PP_Grid[#Data],M_BOM[PPGridRow],98),0))</f>
        <v/>
      </c>
      <c r="CU44">
        <f>SUMPRODUCT((M_BOM[Part Name]=$A44)*M_BOM[RM_Qty_Per_Batch]*IFERROR(INDEX(PP_Grid[#Data],M_BOM[PPGridRow],99),0))</f>
        <v/>
      </c>
      <c r="CV44">
        <f>SUMPRODUCT((M_BOM[Part Name]=$A44)*M_BOM[RM_Qty_Per_Batch]*IFERROR(INDEX(PP_Grid[#Data],M_BOM[PPGridRow],100),0))</f>
        <v/>
      </c>
      <c r="CW44">
        <f>SUMPRODUCT((M_BOM[Part Name]=$A44)*M_BOM[RM_Qty_Per_Batch]*IFERROR(INDEX(PP_Grid[#Data],M_BOM[PPGridRow],101),0))</f>
        <v/>
      </c>
      <c r="CX44">
        <f>SUMPRODUCT((M_BOM[Part Name]=$A44)*M_BOM[RM_Qty_Per_Batch]*IFERROR(INDEX(PP_Grid[#Data],M_BOM[PPGridRow],102),0))</f>
        <v/>
      </c>
      <c r="CY44">
        <f>SUMPRODUCT((M_BOM[Part Name]=$A44)*M_BOM[RM_Qty_Per_Batch]*IFERROR(INDEX(PP_Grid[#Data],M_BOM[PPGridRow],103),0))</f>
        <v/>
      </c>
      <c r="CZ44">
        <f>SUMPRODUCT((M_BOM[Part Name]=$A44)*M_BOM[RM_Qty_Per_Batch]*IFERROR(INDEX(PP_Grid[#Data],M_BOM[PPGridRow],104),0))</f>
        <v/>
      </c>
      <c r="DA44">
        <f>SUMPRODUCT((M_BOM[Part Name]=$A44)*M_BOM[RM_Qty_Per_Batch]*IFERROR(INDEX(PP_Grid[#Data],M_BOM[PPGridRow],105),0))</f>
        <v/>
      </c>
    </row>
    <row r="45">
      <c r="A45" t="inlineStr">
        <is>
          <t>A043</t>
        </is>
      </c>
      <c r="B45">
        <f>SUMPRODUCT((M_BOM[Part Name]=$A45)*M_BOM[RM_Qty_Per_Batch]*IFERROR(INDEX(PP_Grid[#Data],M_BOM[PPGridRow],2),0))</f>
        <v/>
      </c>
      <c r="C45">
        <f>SUMPRODUCT((M_BOM[Part Name]=$A45)*M_BOM[RM_Qty_Per_Batch]*IFERROR(INDEX(PP_Grid[#Data],M_BOM[PPGridRow],3),0))</f>
        <v/>
      </c>
      <c r="D45">
        <f>SUMPRODUCT((M_BOM[Part Name]=$A45)*M_BOM[RM_Qty_Per_Batch]*IFERROR(INDEX(PP_Grid[#Data],M_BOM[PPGridRow],4),0))</f>
        <v/>
      </c>
      <c r="E45">
        <f>SUMPRODUCT((M_BOM[Part Name]=$A45)*M_BOM[RM_Qty_Per_Batch]*IFERROR(INDEX(PP_Grid[#Data],M_BOM[PPGridRow],5),0))</f>
        <v/>
      </c>
      <c r="F45">
        <f>SUMPRODUCT((M_BOM[Part Name]=$A45)*M_BOM[RM_Qty_Per_Batch]*IFERROR(INDEX(PP_Grid[#Data],M_BOM[PPGridRow],6),0))</f>
        <v/>
      </c>
      <c r="G45">
        <f>SUMPRODUCT((M_BOM[Part Name]=$A45)*M_BOM[RM_Qty_Per_Batch]*IFERROR(INDEX(PP_Grid[#Data],M_BOM[PPGridRow],7),0))</f>
        <v/>
      </c>
      <c r="H45">
        <f>SUMPRODUCT((M_BOM[Part Name]=$A45)*M_BOM[RM_Qty_Per_Batch]*IFERROR(INDEX(PP_Grid[#Data],M_BOM[PPGridRow],8),0))</f>
        <v/>
      </c>
      <c r="I45">
        <f>SUMPRODUCT((M_BOM[Part Name]=$A45)*M_BOM[RM_Qty_Per_Batch]*IFERROR(INDEX(PP_Grid[#Data],M_BOM[PPGridRow],9),0))</f>
        <v/>
      </c>
      <c r="J45">
        <f>SUMPRODUCT((M_BOM[Part Name]=$A45)*M_BOM[RM_Qty_Per_Batch]*IFERROR(INDEX(PP_Grid[#Data],M_BOM[PPGridRow],10),0))</f>
        <v/>
      </c>
      <c r="K45">
        <f>SUMPRODUCT((M_BOM[Part Name]=$A45)*M_BOM[RM_Qty_Per_Batch]*IFERROR(INDEX(PP_Grid[#Data],M_BOM[PPGridRow],11),0))</f>
        <v/>
      </c>
      <c r="L45">
        <f>SUMPRODUCT((M_BOM[Part Name]=$A45)*M_BOM[RM_Qty_Per_Batch]*IFERROR(INDEX(PP_Grid[#Data],M_BOM[PPGridRow],12),0))</f>
        <v/>
      </c>
      <c r="M45">
        <f>SUMPRODUCT((M_BOM[Part Name]=$A45)*M_BOM[RM_Qty_Per_Batch]*IFERROR(INDEX(PP_Grid[#Data],M_BOM[PPGridRow],13),0))</f>
        <v/>
      </c>
      <c r="N45">
        <f>SUMPRODUCT((M_BOM[Part Name]=$A45)*M_BOM[RM_Qty_Per_Batch]*IFERROR(INDEX(PP_Grid[#Data],M_BOM[PPGridRow],14),0))</f>
        <v/>
      </c>
      <c r="O45">
        <f>SUMPRODUCT((M_BOM[Part Name]=$A45)*M_BOM[RM_Qty_Per_Batch]*IFERROR(INDEX(PP_Grid[#Data],M_BOM[PPGridRow],15),0))</f>
        <v/>
      </c>
      <c r="P45">
        <f>SUMPRODUCT((M_BOM[Part Name]=$A45)*M_BOM[RM_Qty_Per_Batch]*IFERROR(INDEX(PP_Grid[#Data],M_BOM[PPGridRow],16),0))</f>
        <v/>
      </c>
      <c r="Q45">
        <f>SUMPRODUCT((M_BOM[Part Name]=$A45)*M_BOM[RM_Qty_Per_Batch]*IFERROR(INDEX(PP_Grid[#Data],M_BOM[PPGridRow],17),0))</f>
        <v/>
      </c>
      <c r="R45">
        <f>SUMPRODUCT((M_BOM[Part Name]=$A45)*M_BOM[RM_Qty_Per_Batch]*IFERROR(INDEX(PP_Grid[#Data],M_BOM[PPGridRow],18),0))</f>
        <v/>
      </c>
      <c r="S45">
        <f>SUMPRODUCT((M_BOM[Part Name]=$A45)*M_BOM[RM_Qty_Per_Batch]*IFERROR(INDEX(PP_Grid[#Data],M_BOM[PPGridRow],19),0))</f>
        <v/>
      </c>
      <c r="T45">
        <f>SUMPRODUCT((M_BOM[Part Name]=$A45)*M_BOM[RM_Qty_Per_Batch]*IFERROR(INDEX(PP_Grid[#Data],M_BOM[PPGridRow],20),0))</f>
        <v/>
      </c>
      <c r="U45">
        <f>SUMPRODUCT((M_BOM[Part Name]=$A45)*M_BOM[RM_Qty_Per_Batch]*IFERROR(INDEX(PP_Grid[#Data],M_BOM[PPGridRow],21),0))</f>
        <v/>
      </c>
      <c r="V45">
        <f>SUMPRODUCT((M_BOM[Part Name]=$A45)*M_BOM[RM_Qty_Per_Batch]*IFERROR(INDEX(PP_Grid[#Data],M_BOM[PPGridRow],22),0))</f>
        <v/>
      </c>
      <c r="W45">
        <f>SUMPRODUCT((M_BOM[Part Name]=$A45)*M_BOM[RM_Qty_Per_Batch]*IFERROR(INDEX(PP_Grid[#Data],M_BOM[PPGridRow],23),0))</f>
        <v/>
      </c>
      <c r="X45">
        <f>SUMPRODUCT((M_BOM[Part Name]=$A45)*M_BOM[RM_Qty_Per_Batch]*IFERROR(INDEX(PP_Grid[#Data],M_BOM[PPGridRow],24),0))</f>
        <v/>
      </c>
      <c r="Y45">
        <f>SUMPRODUCT((M_BOM[Part Name]=$A45)*M_BOM[RM_Qty_Per_Batch]*IFERROR(INDEX(PP_Grid[#Data],M_BOM[PPGridRow],25),0))</f>
        <v/>
      </c>
      <c r="Z45">
        <f>SUMPRODUCT((M_BOM[Part Name]=$A45)*M_BOM[RM_Qty_Per_Batch]*IFERROR(INDEX(PP_Grid[#Data],M_BOM[PPGridRow],26),0))</f>
        <v/>
      </c>
      <c r="AA45">
        <f>SUMPRODUCT((M_BOM[Part Name]=$A45)*M_BOM[RM_Qty_Per_Batch]*IFERROR(INDEX(PP_Grid[#Data],M_BOM[PPGridRow],27),0))</f>
        <v/>
      </c>
      <c r="AB45">
        <f>SUMPRODUCT((M_BOM[Part Name]=$A45)*M_BOM[RM_Qty_Per_Batch]*IFERROR(INDEX(PP_Grid[#Data],M_BOM[PPGridRow],28),0))</f>
        <v/>
      </c>
      <c r="AC45">
        <f>SUMPRODUCT((M_BOM[Part Name]=$A45)*M_BOM[RM_Qty_Per_Batch]*IFERROR(INDEX(PP_Grid[#Data],M_BOM[PPGridRow],29),0))</f>
        <v/>
      </c>
      <c r="AD45">
        <f>SUMPRODUCT((M_BOM[Part Name]=$A45)*M_BOM[RM_Qty_Per_Batch]*IFERROR(INDEX(PP_Grid[#Data],M_BOM[PPGridRow],30),0))</f>
        <v/>
      </c>
      <c r="AE45">
        <f>SUMPRODUCT((M_BOM[Part Name]=$A45)*M_BOM[RM_Qty_Per_Batch]*IFERROR(INDEX(PP_Grid[#Data],M_BOM[PPGridRow],31),0))</f>
        <v/>
      </c>
      <c r="AF45">
        <f>SUMPRODUCT((M_BOM[Part Name]=$A45)*M_BOM[RM_Qty_Per_Batch]*IFERROR(INDEX(PP_Grid[#Data],M_BOM[PPGridRow],32),0))</f>
        <v/>
      </c>
      <c r="AG45">
        <f>SUMPRODUCT((M_BOM[Part Name]=$A45)*M_BOM[RM_Qty_Per_Batch]*IFERROR(INDEX(PP_Grid[#Data],M_BOM[PPGridRow],33),0))</f>
        <v/>
      </c>
      <c r="AH45">
        <f>SUMPRODUCT((M_BOM[Part Name]=$A45)*M_BOM[RM_Qty_Per_Batch]*IFERROR(INDEX(PP_Grid[#Data],M_BOM[PPGridRow],34),0))</f>
        <v/>
      </c>
      <c r="AI45">
        <f>SUMPRODUCT((M_BOM[Part Name]=$A45)*M_BOM[RM_Qty_Per_Batch]*IFERROR(INDEX(PP_Grid[#Data],M_BOM[PPGridRow],35),0))</f>
        <v/>
      </c>
      <c r="AJ45">
        <f>SUMPRODUCT((M_BOM[Part Name]=$A45)*M_BOM[RM_Qty_Per_Batch]*IFERROR(INDEX(PP_Grid[#Data],M_BOM[PPGridRow],36),0))</f>
        <v/>
      </c>
      <c r="AK45">
        <f>SUMPRODUCT((M_BOM[Part Name]=$A45)*M_BOM[RM_Qty_Per_Batch]*IFERROR(INDEX(PP_Grid[#Data],M_BOM[PPGridRow],37),0))</f>
        <v/>
      </c>
      <c r="AL45">
        <f>SUMPRODUCT((M_BOM[Part Name]=$A45)*M_BOM[RM_Qty_Per_Batch]*IFERROR(INDEX(PP_Grid[#Data],M_BOM[PPGridRow],38),0))</f>
        <v/>
      </c>
      <c r="AM45">
        <f>SUMPRODUCT((M_BOM[Part Name]=$A45)*M_BOM[RM_Qty_Per_Batch]*IFERROR(INDEX(PP_Grid[#Data],M_BOM[PPGridRow],39),0))</f>
        <v/>
      </c>
      <c r="AN45">
        <f>SUMPRODUCT((M_BOM[Part Name]=$A45)*M_BOM[RM_Qty_Per_Batch]*IFERROR(INDEX(PP_Grid[#Data],M_BOM[PPGridRow],40),0))</f>
        <v/>
      </c>
      <c r="AO45">
        <f>SUMPRODUCT((M_BOM[Part Name]=$A45)*M_BOM[RM_Qty_Per_Batch]*IFERROR(INDEX(PP_Grid[#Data],M_BOM[PPGridRow],41),0))</f>
        <v/>
      </c>
      <c r="AP45">
        <f>SUMPRODUCT((M_BOM[Part Name]=$A45)*M_BOM[RM_Qty_Per_Batch]*IFERROR(INDEX(PP_Grid[#Data],M_BOM[PPGridRow],42),0))</f>
        <v/>
      </c>
      <c r="AQ45">
        <f>SUMPRODUCT((M_BOM[Part Name]=$A45)*M_BOM[RM_Qty_Per_Batch]*IFERROR(INDEX(PP_Grid[#Data],M_BOM[PPGridRow],43),0))</f>
        <v/>
      </c>
      <c r="AR45">
        <f>SUMPRODUCT((M_BOM[Part Name]=$A45)*M_BOM[RM_Qty_Per_Batch]*IFERROR(INDEX(PP_Grid[#Data],M_BOM[PPGridRow],44),0))</f>
        <v/>
      </c>
      <c r="AS45">
        <f>SUMPRODUCT((M_BOM[Part Name]=$A45)*M_BOM[RM_Qty_Per_Batch]*IFERROR(INDEX(PP_Grid[#Data],M_BOM[PPGridRow],45),0))</f>
        <v/>
      </c>
      <c r="AT45">
        <f>SUMPRODUCT((M_BOM[Part Name]=$A45)*M_BOM[RM_Qty_Per_Batch]*IFERROR(INDEX(PP_Grid[#Data],M_BOM[PPGridRow],46),0))</f>
        <v/>
      </c>
      <c r="AU45">
        <f>SUMPRODUCT((M_BOM[Part Name]=$A45)*M_BOM[RM_Qty_Per_Batch]*IFERROR(INDEX(PP_Grid[#Data],M_BOM[PPGridRow],47),0))</f>
        <v/>
      </c>
      <c r="AV45">
        <f>SUMPRODUCT((M_BOM[Part Name]=$A45)*M_BOM[RM_Qty_Per_Batch]*IFERROR(INDEX(PP_Grid[#Data],M_BOM[PPGridRow],48),0))</f>
        <v/>
      </c>
      <c r="AW45">
        <f>SUMPRODUCT((M_BOM[Part Name]=$A45)*M_BOM[RM_Qty_Per_Batch]*IFERROR(INDEX(PP_Grid[#Data],M_BOM[PPGridRow],49),0))</f>
        <v/>
      </c>
      <c r="AX45">
        <f>SUMPRODUCT((M_BOM[Part Name]=$A45)*M_BOM[RM_Qty_Per_Batch]*IFERROR(INDEX(PP_Grid[#Data],M_BOM[PPGridRow],50),0))</f>
        <v/>
      </c>
      <c r="AY45">
        <f>SUMPRODUCT((M_BOM[Part Name]=$A45)*M_BOM[RM_Qty_Per_Batch]*IFERROR(INDEX(PP_Grid[#Data],M_BOM[PPGridRow],51),0))</f>
        <v/>
      </c>
      <c r="AZ45">
        <f>SUMPRODUCT((M_BOM[Part Name]=$A45)*M_BOM[RM_Qty_Per_Batch]*IFERROR(INDEX(PP_Grid[#Data],M_BOM[PPGridRow],52),0))</f>
        <v/>
      </c>
      <c r="BA45">
        <f>SUMPRODUCT((M_BOM[Part Name]=$A45)*M_BOM[RM_Qty_Per_Batch]*IFERROR(INDEX(PP_Grid[#Data],M_BOM[PPGridRow],53),0))</f>
        <v/>
      </c>
      <c r="BB45">
        <f>SUMPRODUCT((M_BOM[Part Name]=$A45)*M_BOM[RM_Qty_Per_Batch]*IFERROR(INDEX(PP_Grid[#Data],M_BOM[PPGridRow],54),0))</f>
        <v/>
      </c>
      <c r="BC45">
        <f>SUMPRODUCT((M_BOM[Part Name]=$A45)*M_BOM[RM_Qty_Per_Batch]*IFERROR(INDEX(PP_Grid[#Data],M_BOM[PPGridRow],55),0))</f>
        <v/>
      </c>
      <c r="BD45">
        <f>SUMPRODUCT((M_BOM[Part Name]=$A45)*M_BOM[RM_Qty_Per_Batch]*IFERROR(INDEX(PP_Grid[#Data],M_BOM[PPGridRow],56),0))</f>
        <v/>
      </c>
      <c r="BE45">
        <f>SUMPRODUCT((M_BOM[Part Name]=$A45)*M_BOM[RM_Qty_Per_Batch]*IFERROR(INDEX(PP_Grid[#Data],M_BOM[PPGridRow],57),0))</f>
        <v/>
      </c>
      <c r="BF45">
        <f>SUMPRODUCT((M_BOM[Part Name]=$A45)*M_BOM[RM_Qty_Per_Batch]*IFERROR(INDEX(PP_Grid[#Data],M_BOM[PPGridRow],58),0))</f>
        <v/>
      </c>
      <c r="BG45">
        <f>SUMPRODUCT((M_BOM[Part Name]=$A45)*M_BOM[RM_Qty_Per_Batch]*IFERROR(INDEX(PP_Grid[#Data],M_BOM[PPGridRow],59),0))</f>
        <v/>
      </c>
      <c r="BH45">
        <f>SUMPRODUCT((M_BOM[Part Name]=$A45)*M_BOM[RM_Qty_Per_Batch]*IFERROR(INDEX(PP_Grid[#Data],M_BOM[PPGridRow],60),0))</f>
        <v/>
      </c>
      <c r="BI45">
        <f>SUMPRODUCT((M_BOM[Part Name]=$A45)*M_BOM[RM_Qty_Per_Batch]*IFERROR(INDEX(PP_Grid[#Data],M_BOM[PPGridRow],61),0))</f>
        <v/>
      </c>
      <c r="BJ45">
        <f>SUMPRODUCT((M_BOM[Part Name]=$A45)*M_BOM[RM_Qty_Per_Batch]*IFERROR(INDEX(PP_Grid[#Data],M_BOM[PPGridRow],62),0))</f>
        <v/>
      </c>
      <c r="BK45">
        <f>SUMPRODUCT((M_BOM[Part Name]=$A45)*M_BOM[RM_Qty_Per_Batch]*IFERROR(INDEX(PP_Grid[#Data],M_BOM[PPGridRow],63),0))</f>
        <v/>
      </c>
      <c r="BL45">
        <f>SUMPRODUCT((M_BOM[Part Name]=$A45)*M_BOM[RM_Qty_Per_Batch]*IFERROR(INDEX(PP_Grid[#Data],M_BOM[PPGridRow],64),0))</f>
        <v/>
      </c>
      <c r="BM45">
        <f>SUMPRODUCT((M_BOM[Part Name]=$A45)*M_BOM[RM_Qty_Per_Batch]*IFERROR(INDEX(PP_Grid[#Data],M_BOM[PPGridRow],65),0))</f>
        <v/>
      </c>
      <c r="BN45">
        <f>SUMPRODUCT((M_BOM[Part Name]=$A45)*M_BOM[RM_Qty_Per_Batch]*IFERROR(INDEX(PP_Grid[#Data],M_BOM[PPGridRow],66),0))</f>
        <v/>
      </c>
      <c r="BO45">
        <f>SUMPRODUCT((M_BOM[Part Name]=$A45)*M_BOM[RM_Qty_Per_Batch]*IFERROR(INDEX(PP_Grid[#Data],M_BOM[PPGridRow],67),0))</f>
        <v/>
      </c>
      <c r="BP45">
        <f>SUMPRODUCT((M_BOM[Part Name]=$A45)*M_BOM[RM_Qty_Per_Batch]*IFERROR(INDEX(PP_Grid[#Data],M_BOM[PPGridRow],68),0))</f>
        <v/>
      </c>
      <c r="BQ45">
        <f>SUMPRODUCT((M_BOM[Part Name]=$A45)*M_BOM[RM_Qty_Per_Batch]*IFERROR(INDEX(PP_Grid[#Data],M_BOM[PPGridRow],69),0))</f>
        <v/>
      </c>
      <c r="BR45">
        <f>SUMPRODUCT((M_BOM[Part Name]=$A45)*M_BOM[RM_Qty_Per_Batch]*IFERROR(INDEX(PP_Grid[#Data],M_BOM[PPGridRow],70),0))</f>
        <v/>
      </c>
      <c r="BS45">
        <f>SUMPRODUCT((M_BOM[Part Name]=$A45)*M_BOM[RM_Qty_Per_Batch]*IFERROR(INDEX(PP_Grid[#Data],M_BOM[PPGridRow],71),0))</f>
        <v/>
      </c>
      <c r="BT45">
        <f>SUMPRODUCT((M_BOM[Part Name]=$A45)*M_BOM[RM_Qty_Per_Batch]*IFERROR(INDEX(PP_Grid[#Data],M_BOM[PPGridRow],72),0))</f>
        <v/>
      </c>
      <c r="BU45">
        <f>SUMPRODUCT((M_BOM[Part Name]=$A45)*M_BOM[RM_Qty_Per_Batch]*IFERROR(INDEX(PP_Grid[#Data],M_BOM[PPGridRow],73),0))</f>
        <v/>
      </c>
      <c r="BV45">
        <f>SUMPRODUCT((M_BOM[Part Name]=$A45)*M_BOM[RM_Qty_Per_Batch]*IFERROR(INDEX(PP_Grid[#Data],M_BOM[PPGridRow],74),0))</f>
        <v/>
      </c>
      <c r="BW45">
        <f>SUMPRODUCT((M_BOM[Part Name]=$A45)*M_BOM[RM_Qty_Per_Batch]*IFERROR(INDEX(PP_Grid[#Data],M_BOM[PPGridRow],75),0))</f>
        <v/>
      </c>
      <c r="BX45">
        <f>SUMPRODUCT((M_BOM[Part Name]=$A45)*M_BOM[RM_Qty_Per_Batch]*IFERROR(INDEX(PP_Grid[#Data],M_BOM[PPGridRow],76),0))</f>
        <v/>
      </c>
      <c r="BY45">
        <f>SUMPRODUCT((M_BOM[Part Name]=$A45)*M_BOM[RM_Qty_Per_Batch]*IFERROR(INDEX(PP_Grid[#Data],M_BOM[PPGridRow],77),0))</f>
        <v/>
      </c>
      <c r="BZ45">
        <f>SUMPRODUCT((M_BOM[Part Name]=$A45)*M_BOM[RM_Qty_Per_Batch]*IFERROR(INDEX(PP_Grid[#Data],M_BOM[PPGridRow],78),0))</f>
        <v/>
      </c>
      <c r="CA45">
        <f>SUMPRODUCT((M_BOM[Part Name]=$A45)*M_BOM[RM_Qty_Per_Batch]*IFERROR(INDEX(PP_Grid[#Data],M_BOM[PPGridRow],79),0))</f>
        <v/>
      </c>
      <c r="CB45">
        <f>SUMPRODUCT((M_BOM[Part Name]=$A45)*M_BOM[RM_Qty_Per_Batch]*IFERROR(INDEX(PP_Grid[#Data],M_BOM[PPGridRow],80),0))</f>
        <v/>
      </c>
      <c r="CC45">
        <f>SUMPRODUCT((M_BOM[Part Name]=$A45)*M_BOM[RM_Qty_Per_Batch]*IFERROR(INDEX(PP_Grid[#Data],M_BOM[PPGridRow],81),0))</f>
        <v/>
      </c>
      <c r="CD45">
        <f>SUMPRODUCT((M_BOM[Part Name]=$A45)*M_BOM[RM_Qty_Per_Batch]*IFERROR(INDEX(PP_Grid[#Data],M_BOM[PPGridRow],82),0))</f>
        <v/>
      </c>
      <c r="CE45">
        <f>SUMPRODUCT((M_BOM[Part Name]=$A45)*M_BOM[RM_Qty_Per_Batch]*IFERROR(INDEX(PP_Grid[#Data],M_BOM[PPGridRow],83),0))</f>
        <v/>
      </c>
      <c r="CF45">
        <f>SUMPRODUCT((M_BOM[Part Name]=$A45)*M_BOM[RM_Qty_Per_Batch]*IFERROR(INDEX(PP_Grid[#Data],M_BOM[PPGridRow],84),0))</f>
        <v/>
      </c>
      <c r="CG45">
        <f>SUMPRODUCT((M_BOM[Part Name]=$A45)*M_BOM[RM_Qty_Per_Batch]*IFERROR(INDEX(PP_Grid[#Data],M_BOM[PPGridRow],85),0))</f>
        <v/>
      </c>
      <c r="CH45">
        <f>SUMPRODUCT((M_BOM[Part Name]=$A45)*M_BOM[RM_Qty_Per_Batch]*IFERROR(INDEX(PP_Grid[#Data],M_BOM[PPGridRow],86),0))</f>
        <v/>
      </c>
      <c r="CI45">
        <f>SUMPRODUCT((M_BOM[Part Name]=$A45)*M_BOM[RM_Qty_Per_Batch]*IFERROR(INDEX(PP_Grid[#Data],M_BOM[PPGridRow],87),0))</f>
        <v/>
      </c>
      <c r="CJ45">
        <f>SUMPRODUCT((M_BOM[Part Name]=$A45)*M_BOM[RM_Qty_Per_Batch]*IFERROR(INDEX(PP_Grid[#Data],M_BOM[PPGridRow],88),0))</f>
        <v/>
      </c>
      <c r="CK45">
        <f>SUMPRODUCT((M_BOM[Part Name]=$A45)*M_BOM[RM_Qty_Per_Batch]*IFERROR(INDEX(PP_Grid[#Data],M_BOM[PPGridRow],89),0))</f>
        <v/>
      </c>
      <c r="CL45">
        <f>SUMPRODUCT((M_BOM[Part Name]=$A45)*M_BOM[RM_Qty_Per_Batch]*IFERROR(INDEX(PP_Grid[#Data],M_BOM[PPGridRow],90),0))</f>
        <v/>
      </c>
      <c r="CM45">
        <f>SUMPRODUCT((M_BOM[Part Name]=$A45)*M_BOM[RM_Qty_Per_Batch]*IFERROR(INDEX(PP_Grid[#Data],M_BOM[PPGridRow],91),0))</f>
        <v/>
      </c>
      <c r="CN45">
        <f>SUMPRODUCT((M_BOM[Part Name]=$A45)*M_BOM[RM_Qty_Per_Batch]*IFERROR(INDEX(PP_Grid[#Data],M_BOM[PPGridRow],92),0))</f>
        <v/>
      </c>
      <c r="CO45">
        <f>SUMPRODUCT((M_BOM[Part Name]=$A45)*M_BOM[RM_Qty_Per_Batch]*IFERROR(INDEX(PP_Grid[#Data],M_BOM[PPGridRow],93),0))</f>
        <v/>
      </c>
      <c r="CP45">
        <f>SUMPRODUCT((M_BOM[Part Name]=$A45)*M_BOM[RM_Qty_Per_Batch]*IFERROR(INDEX(PP_Grid[#Data],M_BOM[PPGridRow],94),0))</f>
        <v/>
      </c>
      <c r="CQ45">
        <f>SUMPRODUCT((M_BOM[Part Name]=$A45)*M_BOM[RM_Qty_Per_Batch]*IFERROR(INDEX(PP_Grid[#Data],M_BOM[PPGridRow],95),0))</f>
        <v/>
      </c>
      <c r="CR45">
        <f>SUMPRODUCT((M_BOM[Part Name]=$A45)*M_BOM[RM_Qty_Per_Batch]*IFERROR(INDEX(PP_Grid[#Data],M_BOM[PPGridRow],96),0))</f>
        <v/>
      </c>
      <c r="CS45">
        <f>SUMPRODUCT((M_BOM[Part Name]=$A45)*M_BOM[RM_Qty_Per_Batch]*IFERROR(INDEX(PP_Grid[#Data],M_BOM[PPGridRow],97),0))</f>
        <v/>
      </c>
      <c r="CT45">
        <f>SUMPRODUCT((M_BOM[Part Name]=$A45)*M_BOM[RM_Qty_Per_Batch]*IFERROR(INDEX(PP_Grid[#Data],M_BOM[PPGridRow],98),0))</f>
        <v/>
      </c>
      <c r="CU45">
        <f>SUMPRODUCT((M_BOM[Part Name]=$A45)*M_BOM[RM_Qty_Per_Batch]*IFERROR(INDEX(PP_Grid[#Data],M_BOM[PPGridRow],99),0))</f>
        <v/>
      </c>
      <c r="CV45">
        <f>SUMPRODUCT((M_BOM[Part Name]=$A45)*M_BOM[RM_Qty_Per_Batch]*IFERROR(INDEX(PP_Grid[#Data],M_BOM[PPGridRow],100),0))</f>
        <v/>
      </c>
      <c r="CW45">
        <f>SUMPRODUCT((M_BOM[Part Name]=$A45)*M_BOM[RM_Qty_Per_Batch]*IFERROR(INDEX(PP_Grid[#Data],M_BOM[PPGridRow],101),0))</f>
        <v/>
      </c>
      <c r="CX45">
        <f>SUMPRODUCT((M_BOM[Part Name]=$A45)*M_BOM[RM_Qty_Per_Batch]*IFERROR(INDEX(PP_Grid[#Data],M_BOM[PPGridRow],102),0))</f>
        <v/>
      </c>
      <c r="CY45">
        <f>SUMPRODUCT((M_BOM[Part Name]=$A45)*M_BOM[RM_Qty_Per_Batch]*IFERROR(INDEX(PP_Grid[#Data],M_BOM[PPGridRow],103),0))</f>
        <v/>
      </c>
      <c r="CZ45">
        <f>SUMPRODUCT((M_BOM[Part Name]=$A45)*M_BOM[RM_Qty_Per_Batch]*IFERROR(INDEX(PP_Grid[#Data],M_BOM[PPGridRow],104),0))</f>
        <v/>
      </c>
      <c r="DA45">
        <f>SUMPRODUCT((M_BOM[Part Name]=$A45)*M_BOM[RM_Qty_Per_Batch]*IFERROR(INDEX(PP_Grid[#Data],M_BOM[PPGridRow],105),0))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SUMIFS(T_Shipments[Confirmed_Qty],T_Shipments[Part Name],$A2,T_Shipments[Effective_Week],1)</f>
        <v/>
      </c>
      <c r="C2">
        <f>SUMIFS(T_Shipments[Confirmed_Qty],T_Shipments[Part Name],$A2,T_Shipments[Effective_Week],2)</f>
        <v/>
      </c>
      <c r="D2">
        <f>SUMIFS(T_Shipments[Confirmed_Qty],T_Shipments[Part Name],$A2,T_Shipments[Effective_Week],3)</f>
        <v/>
      </c>
      <c r="E2">
        <f>SUMIFS(T_Shipments[Confirmed_Qty],T_Shipments[Part Name],$A2,T_Shipments[Effective_Week],4)</f>
        <v/>
      </c>
      <c r="F2">
        <f>SUMIFS(T_Shipments[Confirmed_Qty],T_Shipments[Part Name],$A2,T_Shipments[Effective_Week],5)</f>
        <v/>
      </c>
      <c r="G2">
        <f>SUMIFS(T_Shipments[Confirmed_Qty],T_Shipments[Part Name],$A2,T_Shipments[Effective_Week],6)</f>
        <v/>
      </c>
      <c r="H2">
        <f>SUMIFS(T_Shipments[Confirmed_Qty],T_Shipments[Part Name],$A2,T_Shipments[Effective_Week],7)</f>
        <v/>
      </c>
      <c r="I2">
        <f>SUMIFS(T_Shipments[Confirmed_Qty],T_Shipments[Part Name],$A2,T_Shipments[Effective_Week],8)</f>
        <v/>
      </c>
      <c r="J2">
        <f>SUMIFS(T_Shipments[Confirmed_Qty],T_Shipments[Part Name],$A2,T_Shipments[Effective_Week],9)</f>
        <v/>
      </c>
      <c r="K2">
        <f>SUMIFS(T_Shipments[Confirmed_Qty],T_Shipments[Part Name],$A2,T_Shipments[Effective_Week],10)</f>
        <v/>
      </c>
      <c r="L2">
        <f>SUMIFS(T_Shipments[Confirmed_Qty],T_Shipments[Part Name],$A2,T_Shipments[Effective_Week],11)</f>
        <v/>
      </c>
      <c r="M2">
        <f>SUMIFS(T_Shipments[Confirmed_Qty],T_Shipments[Part Name],$A2,T_Shipments[Effective_Week],12)</f>
        <v/>
      </c>
      <c r="N2">
        <f>SUMIFS(T_Shipments[Confirmed_Qty],T_Shipments[Part Name],$A2,T_Shipments[Effective_Week],13)</f>
        <v/>
      </c>
      <c r="O2">
        <f>SUMIFS(T_Shipments[Confirmed_Qty],T_Shipments[Part Name],$A2,T_Shipments[Effective_Week],14)</f>
        <v/>
      </c>
      <c r="P2">
        <f>SUMIFS(T_Shipments[Confirmed_Qty],T_Shipments[Part Name],$A2,T_Shipments[Effective_Week],15)</f>
        <v/>
      </c>
      <c r="Q2">
        <f>SUMIFS(T_Shipments[Confirmed_Qty],T_Shipments[Part Name],$A2,T_Shipments[Effective_Week],16)</f>
        <v/>
      </c>
      <c r="R2">
        <f>SUMIFS(T_Shipments[Confirmed_Qty],T_Shipments[Part Name],$A2,T_Shipments[Effective_Week],17)</f>
        <v/>
      </c>
      <c r="S2">
        <f>SUMIFS(T_Shipments[Confirmed_Qty],T_Shipments[Part Name],$A2,T_Shipments[Effective_Week],18)</f>
        <v/>
      </c>
      <c r="T2">
        <f>SUMIFS(T_Shipments[Confirmed_Qty],T_Shipments[Part Name],$A2,T_Shipments[Effective_Week],19)</f>
        <v/>
      </c>
      <c r="U2">
        <f>SUMIFS(T_Shipments[Confirmed_Qty],T_Shipments[Part Name],$A2,T_Shipments[Effective_Week],20)</f>
        <v/>
      </c>
      <c r="V2">
        <f>SUMIFS(T_Shipments[Confirmed_Qty],T_Shipments[Part Name],$A2,T_Shipments[Effective_Week],21)</f>
        <v/>
      </c>
      <c r="W2">
        <f>SUMIFS(T_Shipments[Confirmed_Qty],T_Shipments[Part Name],$A2,T_Shipments[Effective_Week],22)</f>
        <v/>
      </c>
      <c r="X2">
        <f>SUMIFS(T_Shipments[Confirmed_Qty],T_Shipments[Part Name],$A2,T_Shipments[Effective_Week],23)</f>
        <v/>
      </c>
      <c r="Y2">
        <f>SUMIFS(T_Shipments[Confirmed_Qty],T_Shipments[Part Name],$A2,T_Shipments[Effective_Week],24)</f>
        <v/>
      </c>
      <c r="Z2">
        <f>SUMIFS(T_Shipments[Confirmed_Qty],T_Shipments[Part Name],$A2,T_Shipments[Effective_Week],25)</f>
        <v/>
      </c>
      <c r="AA2">
        <f>SUMIFS(T_Shipments[Confirmed_Qty],T_Shipments[Part Name],$A2,T_Shipments[Effective_Week],26)</f>
        <v/>
      </c>
      <c r="AB2">
        <f>SUMIFS(T_Shipments[Confirmed_Qty],T_Shipments[Part Name],$A2,T_Shipments[Effective_Week],27)</f>
        <v/>
      </c>
      <c r="AC2">
        <f>SUMIFS(T_Shipments[Confirmed_Qty],T_Shipments[Part Name],$A2,T_Shipments[Effective_Week],28)</f>
        <v/>
      </c>
      <c r="AD2">
        <f>SUMIFS(T_Shipments[Confirmed_Qty],T_Shipments[Part Name],$A2,T_Shipments[Effective_Week],29)</f>
        <v/>
      </c>
      <c r="AE2">
        <f>SUMIFS(T_Shipments[Confirmed_Qty],T_Shipments[Part Name],$A2,T_Shipments[Effective_Week],30)</f>
        <v/>
      </c>
      <c r="AF2">
        <f>SUMIFS(T_Shipments[Confirmed_Qty],T_Shipments[Part Name],$A2,T_Shipments[Effective_Week],31)</f>
        <v/>
      </c>
      <c r="AG2">
        <f>SUMIFS(T_Shipments[Confirmed_Qty],T_Shipments[Part Name],$A2,T_Shipments[Effective_Week],32)</f>
        <v/>
      </c>
      <c r="AH2">
        <f>SUMIFS(T_Shipments[Confirmed_Qty],T_Shipments[Part Name],$A2,T_Shipments[Effective_Week],33)</f>
        <v/>
      </c>
      <c r="AI2">
        <f>SUMIFS(T_Shipments[Confirmed_Qty],T_Shipments[Part Name],$A2,T_Shipments[Effective_Week],34)</f>
        <v/>
      </c>
      <c r="AJ2">
        <f>SUMIFS(T_Shipments[Confirmed_Qty],T_Shipments[Part Name],$A2,T_Shipments[Effective_Week],35)</f>
        <v/>
      </c>
      <c r="AK2">
        <f>SUMIFS(T_Shipments[Confirmed_Qty],T_Shipments[Part Name],$A2,T_Shipments[Effective_Week],36)</f>
        <v/>
      </c>
      <c r="AL2">
        <f>SUMIFS(T_Shipments[Confirmed_Qty],T_Shipments[Part Name],$A2,T_Shipments[Effective_Week],37)</f>
        <v/>
      </c>
      <c r="AM2">
        <f>SUMIFS(T_Shipments[Confirmed_Qty],T_Shipments[Part Name],$A2,T_Shipments[Effective_Week],38)</f>
        <v/>
      </c>
      <c r="AN2">
        <f>SUMIFS(T_Shipments[Confirmed_Qty],T_Shipments[Part Name],$A2,T_Shipments[Effective_Week],39)</f>
        <v/>
      </c>
      <c r="AO2">
        <f>SUMIFS(T_Shipments[Confirmed_Qty],T_Shipments[Part Name],$A2,T_Shipments[Effective_Week],40)</f>
        <v/>
      </c>
      <c r="AP2">
        <f>SUMIFS(T_Shipments[Confirmed_Qty],T_Shipments[Part Name],$A2,T_Shipments[Effective_Week],41)</f>
        <v/>
      </c>
      <c r="AQ2">
        <f>SUMIFS(T_Shipments[Confirmed_Qty],T_Shipments[Part Name],$A2,T_Shipments[Effective_Week],42)</f>
        <v/>
      </c>
      <c r="AR2">
        <f>SUMIFS(T_Shipments[Confirmed_Qty],T_Shipments[Part Name],$A2,T_Shipments[Effective_Week],43)</f>
        <v/>
      </c>
      <c r="AS2">
        <f>SUMIFS(T_Shipments[Confirmed_Qty],T_Shipments[Part Name],$A2,T_Shipments[Effective_Week],44)</f>
        <v/>
      </c>
      <c r="AT2">
        <f>SUMIFS(T_Shipments[Confirmed_Qty],T_Shipments[Part Name],$A2,T_Shipments[Effective_Week],45)</f>
        <v/>
      </c>
      <c r="AU2">
        <f>SUMIFS(T_Shipments[Confirmed_Qty],T_Shipments[Part Name],$A2,T_Shipments[Effective_Week],46)</f>
        <v/>
      </c>
      <c r="AV2">
        <f>SUMIFS(T_Shipments[Confirmed_Qty],T_Shipments[Part Name],$A2,T_Shipments[Effective_Week],47)</f>
        <v/>
      </c>
      <c r="AW2">
        <f>SUMIFS(T_Shipments[Confirmed_Qty],T_Shipments[Part Name],$A2,T_Shipments[Effective_Week],48)</f>
        <v/>
      </c>
      <c r="AX2">
        <f>SUMIFS(T_Shipments[Confirmed_Qty],T_Shipments[Part Name],$A2,T_Shipments[Effective_Week],49)</f>
        <v/>
      </c>
      <c r="AY2">
        <f>SUMIFS(T_Shipments[Confirmed_Qty],T_Shipments[Part Name],$A2,T_Shipments[Effective_Week],50)</f>
        <v/>
      </c>
      <c r="AZ2">
        <f>SUMIFS(T_Shipments[Confirmed_Qty],T_Shipments[Part Name],$A2,T_Shipments[Effective_Week],51)</f>
        <v/>
      </c>
      <c r="BA2">
        <f>SUMIFS(T_Shipments[Confirmed_Qty],T_Shipments[Part Name],$A2,T_Shipments[Effective_Week],52)</f>
        <v/>
      </c>
      <c r="BB2">
        <f>SUMIFS(T_Shipments[Confirmed_Qty],T_Shipments[Part Name],$A2,T_Shipments[Effective_Week],53)</f>
        <v/>
      </c>
      <c r="BC2">
        <f>SUMIFS(T_Shipments[Confirmed_Qty],T_Shipments[Part Name],$A2,T_Shipments[Effective_Week],54)</f>
        <v/>
      </c>
      <c r="BD2">
        <f>SUMIFS(T_Shipments[Confirmed_Qty],T_Shipments[Part Name],$A2,T_Shipments[Effective_Week],55)</f>
        <v/>
      </c>
      <c r="BE2">
        <f>SUMIFS(T_Shipments[Confirmed_Qty],T_Shipments[Part Name],$A2,T_Shipments[Effective_Week],56)</f>
        <v/>
      </c>
      <c r="BF2">
        <f>SUMIFS(T_Shipments[Confirmed_Qty],T_Shipments[Part Name],$A2,T_Shipments[Effective_Week],57)</f>
        <v/>
      </c>
      <c r="BG2">
        <f>SUMIFS(T_Shipments[Confirmed_Qty],T_Shipments[Part Name],$A2,T_Shipments[Effective_Week],58)</f>
        <v/>
      </c>
      <c r="BH2">
        <f>SUMIFS(T_Shipments[Confirmed_Qty],T_Shipments[Part Name],$A2,T_Shipments[Effective_Week],59)</f>
        <v/>
      </c>
      <c r="BI2">
        <f>SUMIFS(T_Shipments[Confirmed_Qty],T_Shipments[Part Name],$A2,T_Shipments[Effective_Week],60)</f>
        <v/>
      </c>
      <c r="BJ2">
        <f>SUMIFS(T_Shipments[Confirmed_Qty],T_Shipments[Part Name],$A2,T_Shipments[Effective_Week],61)</f>
        <v/>
      </c>
      <c r="BK2">
        <f>SUMIFS(T_Shipments[Confirmed_Qty],T_Shipments[Part Name],$A2,T_Shipments[Effective_Week],62)</f>
        <v/>
      </c>
      <c r="BL2">
        <f>SUMIFS(T_Shipments[Confirmed_Qty],T_Shipments[Part Name],$A2,T_Shipments[Effective_Week],63)</f>
        <v/>
      </c>
      <c r="BM2">
        <f>SUMIFS(T_Shipments[Confirmed_Qty],T_Shipments[Part Name],$A2,T_Shipments[Effective_Week],64)</f>
        <v/>
      </c>
      <c r="BN2">
        <f>SUMIFS(T_Shipments[Confirmed_Qty],T_Shipments[Part Name],$A2,T_Shipments[Effective_Week],65)</f>
        <v/>
      </c>
      <c r="BO2">
        <f>SUMIFS(T_Shipments[Confirmed_Qty],T_Shipments[Part Name],$A2,T_Shipments[Effective_Week],66)</f>
        <v/>
      </c>
      <c r="BP2">
        <f>SUMIFS(T_Shipments[Confirmed_Qty],T_Shipments[Part Name],$A2,T_Shipments[Effective_Week],67)</f>
        <v/>
      </c>
      <c r="BQ2">
        <f>SUMIFS(T_Shipments[Confirmed_Qty],T_Shipments[Part Name],$A2,T_Shipments[Effective_Week],68)</f>
        <v/>
      </c>
      <c r="BR2">
        <f>SUMIFS(T_Shipments[Confirmed_Qty],T_Shipments[Part Name],$A2,T_Shipments[Effective_Week],69)</f>
        <v/>
      </c>
      <c r="BS2">
        <f>SUMIFS(T_Shipments[Confirmed_Qty],T_Shipments[Part Name],$A2,T_Shipments[Effective_Week],70)</f>
        <v/>
      </c>
      <c r="BT2">
        <f>SUMIFS(T_Shipments[Confirmed_Qty],T_Shipments[Part Name],$A2,T_Shipments[Effective_Week],71)</f>
        <v/>
      </c>
      <c r="BU2">
        <f>SUMIFS(T_Shipments[Confirmed_Qty],T_Shipments[Part Name],$A2,T_Shipments[Effective_Week],72)</f>
        <v/>
      </c>
      <c r="BV2">
        <f>SUMIFS(T_Shipments[Confirmed_Qty],T_Shipments[Part Name],$A2,T_Shipments[Effective_Week],73)</f>
        <v/>
      </c>
      <c r="BW2">
        <f>SUMIFS(T_Shipments[Confirmed_Qty],T_Shipments[Part Name],$A2,T_Shipments[Effective_Week],74)</f>
        <v/>
      </c>
      <c r="BX2">
        <f>SUMIFS(T_Shipments[Confirmed_Qty],T_Shipments[Part Name],$A2,T_Shipments[Effective_Week],75)</f>
        <v/>
      </c>
      <c r="BY2">
        <f>SUMIFS(T_Shipments[Confirmed_Qty],T_Shipments[Part Name],$A2,T_Shipments[Effective_Week],76)</f>
        <v/>
      </c>
      <c r="BZ2">
        <f>SUMIFS(T_Shipments[Confirmed_Qty],T_Shipments[Part Name],$A2,T_Shipments[Effective_Week],77)</f>
        <v/>
      </c>
      <c r="CA2">
        <f>SUMIFS(T_Shipments[Confirmed_Qty],T_Shipments[Part Name],$A2,T_Shipments[Effective_Week],78)</f>
        <v/>
      </c>
      <c r="CB2">
        <f>SUMIFS(T_Shipments[Confirmed_Qty],T_Shipments[Part Name],$A2,T_Shipments[Effective_Week],79)</f>
        <v/>
      </c>
      <c r="CC2">
        <f>SUMIFS(T_Shipments[Confirmed_Qty],T_Shipments[Part Name],$A2,T_Shipments[Effective_Week],80)</f>
        <v/>
      </c>
      <c r="CD2">
        <f>SUMIFS(T_Shipments[Confirmed_Qty],T_Shipments[Part Name],$A2,T_Shipments[Effective_Week],81)</f>
        <v/>
      </c>
      <c r="CE2">
        <f>SUMIFS(T_Shipments[Confirmed_Qty],T_Shipments[Part Name],$A2,T_Shipments[Effective_Week],82)</f>
        <v/>
      </c>
      <c r="CF2">
        <f>SUMIFS(T_Shipments[Confirmed_Qty],T_Shipments[Part Name],$A2,T_Shipments[Effective_Week],83)</f>
        <v/>
      </c>
      <c r="CG2">
        <f>SUMIFS(T_Shipments[Confirmed_Qty],T_Shipments[Part Name],$A2,T_Shipments[Effective_Week],84)</f>
        <v/>
      </c>
      <c r="CH2">
        <f>SUMIFS(T_Shipments[Confirmed_Qty],T_Shipments[Part Name],$A2,T_Shipments[Effective_Week],85)</f>
        <v/>
      </c>
      <c r="CI2">
        <f>SUMIFS(T_Shipments[Confirmed_Qty],T_Shipments[Part Name],$A2,T_Shipments[Effective_Week],86)</f>
        <v/>
      </c>
      <c r="CJ2">
        <f>SUMIFS(T_Shipments[Confirmed_Qty],T_Shipments[Part Name],$A2,T_Shipments[Effective_Week],87)</f>
        <v/>
      </c>
      <c r="CK2">
        <f>SUMIFS(T_Shipments[Confirmed_Qty],T_Shipments[Part Name],$A2,T_Shipments[Effective_Week],88)</f>
        <v/>
      </c>
      <c r="CL2">
        <f>SUMIFS(T_Shipments[Confirmed_Qty],T_Shipments[Part Name],$A2,T_Shipments[Effective_Week],89)</f>
        <v/>
      </c>
      <c r="CM2">
        <f>SUMIFS(T_Shipments[Confirmed_Qty],T_Shipments[Part Name],$A2,T_Shipments[Effective_Week],90)</f>
        <v/>
      </c>
      <c r="CN2">
        <f>SUMIFS(T_Shipments[Confirmed_Qty],T_Shipments[Part Name],$A2,T_Shipments[Effective_Week],91)</f>
        <v/>
      </c>
      <c r="CO2">
        <f>SUMIFS(T_Shipments[Confirmed_Qty],T_Shipments[Part Name],$A2,T_Shipments[Effective_Week],92)</f>
        <v/>
      </c>
      <c r="CP2">
        <f>SUMIFS(T_Shipments[Confirmed_Qty],T_Shipments[Part Name],$A2,T_Shipments[Effective_Week],93)</f>
        <v/>
      </c>
      <c r="CQ2">
        <f>SUMIFS(T_Shipments[Confirmed_Qty],T_Shipments[Part Name],$A2,T_Shipments[Effective_Week],94)</f>
        <v/>
      </c>
      <c r="CR2">
        <f>SUMIFS(T_Shipments[Confirmed_Qty],T_Shipments[Part Name],$A2,T_Shipments[Effective_Week],95)</f>
        <v/>
      </c>
      <c r="CS2">
        <f>SUMIFS(T_Shipments[Confirmed_Qty],T_Shipments[Part Name],$A2,T_Shipments[Effective_Week],96)</f>
        <v/>
      </c>
      <c r="CT2">
        <f>SUMIFS(T_Shipments[Confirmed_Qty],T_Shipments[Part Name],$A2,T_Shipments[Effective_Week],97)</f>
        <v/>
      </c>
      <c r="CU2">
        <f>SUMIFS(T_Shipments[Confirmed_Qty],T_Shipments[Part Name],$A2,T_Shipments[Effective_Week],98)</f>
        <v/>
      </c>
      <c r="CV2">
        <f>SUMIFS(T_Shipments[Confirmed_Qty],T_Shipments[Part Name],$A2,T_Shipments[Effective_Week],99)</f>
        <v/>
      </c>
      <c r="CW2">
        <f>SUMIFS(T_Shipments[Confirmed_Qty],T_Shipments[Part Name],$A2,T_Shipments[Effective_Week],100)</f>
        <v/>
      </c>
      <c r="CX2">
        <f>SUMIFS(T_Shipments[Confirmed_Qty],T_Shipments[Part Name],$A2,T_Shipments[Effective_Week],101)</f>
        <v/>
      </c>
      <c r="CY2">
        <f>SUMIFS(T_Shipments[Confirmed_Qty],T_Shipments[Part Name],$A2,T_Shipments[Effective_Week],102)</f>
        <v/>
      </c>
      <c r="CZ2">
        <f>SUMIFS(T_Shipments[Confirmed_Qty],T_Shipments[Part Name],$A2,T_Shipments[Effective_Week],103)</f>
        <v/>
      </c>
      <c r="DA2">
        <f>SUMIFS(T_Shipments[Confirmed_Qty],T_Shipments[Part Name],$A2,T_Shipments[Effective_Week],104)</f>
        <v/>
      </c>
    </row>
    <row r="3">
      <c r="A3" t="inlineStr">
        <is>
          <t>CHEM-1670</t>
        </is>
      </c>
      <c r="B3">
        <f>SUMIFS(T_Shipments[Confirmed_Qty],T_Shipments[Part Name],$A3,T_Shipments[Effective_Week],1)</f>
        <v/>
      </c>
      <c r="C3">
        <f>SUMIFS(T_Shipments[Confirmed_Qty],T_Shipments[Part Name],$A3,T_Shipments[Effective_Week],2)</f>
        <v/>
      </c>
      <c r="D3">
        <f>SUMIFS(T_Shipments[Confirmed_Qty],T_Shipments[Part Name],$A3,T_Shipments[Effective_Week],3)</f>
        <v/>
      </c>
      <c r="E3">
        <f>SUMIFS(T_Shipments[Confirmed_Qty],T_Shipments[Part Name],$A3,T_Shipments[Effective_Week],4)</f>
        <v/>
      </c>
      <c r="F3">
        <f>SUMIFS(T_Shipments[Confirmed_Qty],T_Shipments[Part Name],$A3,T_Shipments[Effective_Week],5)</f>
        <v/>
      </c>
      <c r="G3">
        <f>SUMIFS(T_Shipments[Confirmed_Qty],T_Shipments[Part Name],$A3,T_Shipments[Effective_Week],6)</f>
        <v/>
      </c>
      <c r="H3">
        <f>SUMIFS(T_Shipments[Confirmed_Qty],T_Shipments[Part Name],$A3,T_Shipments[Effective_Week],7)</f>
        <v/>
      </c>
      <c r="I3">
        <f>SUMIFS(T_Shipments[Confirmed_Qty],T_Shipments[Part Name],$A3,T_Shipments[Effective_Week],8)</f>
        <v/>
      </c>
      <c r="J3">
        <f>SUMIFS(T_Shipments[Confirmed_Qty],T_Shipments[Part Name],$A3,T_Shipments[Effective_Week],9)</f>
        <v/>
      </c>
      <c r="K3">
        <f>SUMIFS(T_Shipments[Confirmed_Qty],T_Shipments[Part Name],$A3,T_Shipments[Effective_Week],10)</f>
        <v/>
      </c>
      <c r="L3">
        <f>SUMIFS(T_Shipments[Confirmed_Qty],T_Shipments[Part Name],$A3,T_Shipments[Effective_Week],11)</f>
        <v/>
      </c>
      <c r="M3">
        <f>SUMIFS(T_Shipments[Confirmed_Qty],T_Shipments[Part Name],$A3,T_Shipments[Effective_Week],12)</f>
        <v/>
      </c>
      <c r="N3">
        <f>SUMIFS(T_Shipments[Confirmed_Qty],T_Shipments[Part Name],$A3,T_Shipments[Effective_Week],13)</f>
        <v/>
      </c>
      <c r="O3">
        <f>SUMIFS(T_Shipments[Confirmed_Qty],T_Shipments[Part Name],$A3,T_Shipments[Effective_Week],14)</f>
        <v/>
      </c>
      <c r="P3">
        <f>SUMIFS(T_Shipments[Confirmed_Qty],T_Shipments[Part Name],$A3,T_Shipments[Effective_Week],15)</f>
        <v/>
      </c>
      <c r="Q3">
        <f>SUMIFS(T_Shipments[Confirmed_Qty],T_Shipments[Part Name],$A3,T_Shipments[Effective_Week],16)</f>
        <v/>
      </c>
      <c r="R3">
        <f>SUMIFS(T_Shipments[Confirmed_Qty],T_Shipments[Part Name],$A3,T_Shipments[Effective_Week],17)</f>
        <v/>
      </c>
      <c r="S3">
        <f>SUMIFS(T_Shipments[Confirmed_Qty],T_Shipments[Part Name],$A3,T_Shipments[Effective_Week],18)</f>
        <v/>
      </c>
      <c r="T3">
        <f>SUMIFS(T_Shipments[Confirmed_Qty],T_Shipments[Part Name],$A3,T_Shipments[Effective_Week],19)</f>
        <v/>
      </c>
      <c r="U3">
        <f>SUMIFS(T_Shipments[Confirmed_Qty],T_Shipments[Part Name],$A3,T_Shipments[Effective_Week],20)</f>
        <v/>
      </c>
      <c r="V3">
        <f>SUMIFS(T_Shipments[Confirmed_Qty],T_Shipments[Part Name],$A3,T_Shipments[Effective_Week],21)</f>
        <v/>
      </c>
      <c r="W3">
        <f>SUMIFS(T_Shipments[Confirmed_Qty],T_Shipments[Part Name],$A3,T_Shipments[Effective_Week],22)</f>
        <v/>
      </c>
      <c r="X3">
        <f>SUMIFS(T_Shipments[Confirmed_Qty],T_Shipments[Part Name],$A3,T_Shipments[Effective_Week],23)</f>
        <v/>
      </c>
      <c r="Y3">
        <f>SUMIFS(T_Shipments[Confirmed_Qty],T_Shipments[Part Name],$A3,T_Shipments[Effective_Week],24)</f>
        <v/>
      </c>
      <c r="Z3">
        <f>SUMIFS(T_Shipments[Confirmed_Qty],T_Shipments[Part Name],$A3,T_Shipments[Effective_Week],25)</f>
        <v/>
      </c>
      <c r="AA3">
        <f>SUMIFS(T_Shipments[Confirmed_Qty],T_Shipments[Part Name],$A3,T_Shipments[Effective_Week],26)</f>
        <v/>
      </c>
      <c r="AB3">
        <f>SUMIFS(T_Shipments[Confirmed_Qty],T_Shipments[Part Name],$A3,T_Shipments[Effective_Week],27)</f>
        <v/>
      </c>
      <c r="AC3">
        <f>SUMIFS(T_Shipments[Confirmed_Qty],T_Shipments[Part Name],$A3,T_Shipments[Effective_Week],28)</f>
        <v/>
      </c>
      <c r="AD3">
        <f>SUMIFS(T_Shipments[Confirmed_Qty],T_Shipments[Part Name],$A3,T_Shipments[Effective_Week],29)</f>
        <v/>
      </c>
      <c r="AE3">
        <f>SUMIFS(T_Shipments[Confirmed_Qty],T_Shipments[Part Name],$A3,T_Shipments[Effective_Week],30)</f>
        <v/>
      </c>
      <c r="AF3">
        <f>SUMIFS(T_Shipments[Confirmed_Qty],T_Shipments[Part Name],$A3,T_Shipments[Effective_Week],31)</f>
        <v/>
      </c>
      <c r="AG3">
        <f>SUMIFS(T_Shipments[Confirmed_Qty],T_Shipments[Part Name],$A3,T_Shipments[Effective_Week],32)</f>
        <v/>
      </c>
      <c r="AH3">
        <f>SUMIFS(T_Shipments[Confirmed_Qty],T_Shipments[Part Name],$A3,T_Shipments[Effective_Week],33)</f>
        <v/>
      </c>
      <c r="AI3">
        <f>SUMIFS(T_Shipments[Confirmed_Qty],T_Shipments[Part Name],$A3,T_Shipments[Effective_Week],34)</f>
        <v/>
      </c>
      <c r="AJ3">
        <f>SUMIFS(T_Shipments[Confirmed_Qty],T_Shipments[Part Name],$A3,T_Shipments[Effective_Week],35)</f>
        <v/>
      </c>
      <c r="AK3">
        <f>SUMIFS(T_Shipments[Confirmed_Qty],T_Shipments[Part Name],$A3,T_Shipments[Effective_Week],36)</f>
        <v/>
      </c>
      <c r="AL3">
        <f>SUMIFS(T_Shipments[Confirmed_Qty],T_Shipments[Part Name],$A3,T_Shipments[Effective_Week],37)</f>
        <v/>
      </c>
      <c r="AM3">
        <f>SUMIFS(T_Shipments[Confirmed_Qty],T_Shipments[Part Name],$A3,T_Shipments[Effective_Week],38)</f>
        <v/>
      </c>
      <c r="AN3">
        <f>SUMIFS(T_Shipments[Confirmed_Qty],T_Shipments[Part Name],$A3,T_Shipments[Effective_Week],39)</f>
        <v/>
      </c>
      <c r="AO3">
        <f>SUMIFS(T_Shipments[Confirmed_Qty],T_Shipments[Part Name],$A3,T_Shipments[Effective_Week],40)</f>
        <v/>
      </c>
      <c r="AP3">
        <f>SUMIFS(T_Shipments[Confirmed_Qty],T_Shipments[Part Name],$A3,T_Shipments[Effective_Week],41)</f>
        <v/>
      </c>
      <c r="AQ3">
        <f>SUMIFS(T_Shipments[Confirmed_Qty],T_Shipments[Part Name],$A3,T_Shipments[Effective_Week],42)</f>
        <v/>
      </c>
      <c r="AR3">
        <f>SUMIFS(T_Shipments[Confirmed_Qty],T_Shipments[Part Name],$A3,T_Shipments[Effective_Week],43)</f>
        <v/>
      </c>
      <c r="AS3">
        <f>SUMIFS(T_Shipments[Confirmed_Qty],T_Shipments[Part Name],$A3,T_Shipments[Effective_Week],44)</f>
        <v/>
      </c>
      <c r="AT3">
        <f>SUMIFS(T_Shipments[Confirmed_Qty],T_Shipments[Part Name],$A3,T_Shipments[Effective_Week],45)</f>
        <v/>
      </c>
      <c r="AU3">
        <f>SUMIFS(T_Shipments[Confirmed_Qty],T_Shipments[Part Name],$A3,T_Shipments[Effective_Week],46)</f>
        <v/>
      </c>
      <c r="AV3">
        <f>SUMIFS(T_Shipments[Confirmed_Qty],T_Shipments[Part Name],$A3,T_Shipments[Effective_Week],47)</f>
        <v/>
      </c>
      <c r="AW3">
        <f>SUMIFS(T_Shipments[Confirmed_Qty],T_Shipments[Part Name],$A3,T_Shipments[Effective_Week],48)</f>
        <v/>
      </c>
      <c r="AX3">
        <f>SUMIFS(T_Shipments[Confirmed_Qty],T_Shipments[Part Name],$A3,T_Shipments[Effective_Week],49)</f>
        <v/>
      </c>
      <c r="AY3">
        <f>SUMIFS(T_Shipments[Confirmed_Qty],T_Shipments[Part Name],$A3,T_Shipments[Effective_Week],50)</f>
        <v/>
      </c>
      <c r="AZ3">
        <f>SUMIFS(T_Shipments[Confirmed_Qty],T_Shipments[Part Name],$A3,T_Shipments[Effective_Week],51)</f>
        <v/>
      </c>
      <c r="BA3">
        <f>SUMIFS(T_Shipments[Confirmed_Qty],T_Shipments[Part Name],$A3,T_Shipments[Effective_Week],52)</f>
        <v/>
      </c>
      <c r="BB3">
        <f>SUMIFS(T_Shipments[Confirmed_Qty],T_Shipments[Part Name],$A3,T_Shipments[Effective_Week],53)</f>
        <v/>
      </c>
      <c r="BC3">
        <f>SUMIFS(T_Shipments[Confirmed_Qty],T_Shipments[Part Name],$A3,T_Shipments[Effective_Week],54)</f>
        <v/>
      </c>
      <c r="BD3">
        <f>SUMIFS(T_Shipments[Confirmed_Qty],T_Shipments[Part Name],$A3,T_Shipments[Effective_Week],55)</f>
        <v/>
      </c>
      <c r="BE3">
        <f>SUMIFS(T_Shipments[Confirmed_Qty],T_Shipments[Part Name],$A3,T_Shipments[Effective_Week],56)</f>
        <v/>
      </c>
      <c r="BF3">
        <f>SUMIFS(T_Shipments[Confirmed_Qty],T_Shipments[Part Name],$A3,T_Shipments[Effective_Week],57)</f>
        <v/>
      </c>
      <c r="BG3">
        <f>SUMIFS(T_Shipments[Confirmed_Qty],T_Shipments[Part Name],$A3,T_Shipments[Effective_Week],58)</f>
        <v/>
      </c>
      <c r="BH3">
        <f>SUMIFS(T_Shipments[Confirmed_Qty],T_Shipments[Part Name],$A3,T_Shipments[Effective_Week],59)</f>
        <v/>
      </c>
      <c r="BI3">
        <f>SUMIFS(T_Shipments[Confirmed_Qty],T_Shipments[Part Name],$A3,T_Shipments[Effective_Week],60)</f>
        <v/>
      </c>
      <c r="BJ3">
        <f>SUMIFS(T_Shipments[Confirmed_Qty],T_Shipments[Part Name],$A3,T_Shipments[Effective_Week],61)</f>
        <v/>
      </c>
      <c r="BK3">
        <f>SUMIFS(T_Shipments[Confirmed_Qty],T_Shipments[Part Name],$A3,T_Shipments[Effective_Week],62)</f>
        <v/>
      </c>
      <c r="BL3">
        <f>SUMIFS(T_Shipments[Confirmed_Qty],T_Shipments[Part Name],$A3,T_Shipments[Effective_Week],63)</f>
        <v/>
      </c>
      <c r="BM3">
        <f>SUMIFS(T_Shipments[Confirmed_Qty],T_Shipments[Part Name],$A3,T_Shipments[Effective_Week],64)</f>
        <v/>
      </c>
      <c r="BN3">
        <f>SUMIFS(T_Shipments[Confirmed_Qty],T_Shipments[Part Name],$A3,T_Shipments[Effective_Week],65)</f>
        <v/>
      </c>
      <c r="BO3">
        <f>SUMIFS(T_Shipments[Confirmed_Qty],T_Shipments[Part Name],$A3,T_Shipments[Effective_Week],66)</f>
        <v/>
      </c>
      <c r="BP3">
        <f>SUMIFS(T_Shipments[Confirmed_Qty],T_Shipments[Part Name],$A3,T_Shipments[Effective_Week],67)</f>
        <v/>
      </c>
      <c r="BQ3">
        <f>SUMIFS(T_Shipments[Confirmed_Qty],T_Shipments[Part Name],$A3,T_Shipments[Effective_Week],68)</f>
        <v/>
      </c>
      <c r="BR3">
        <f>SUMIFS(T_Shipments[Confirmed_Qty],T_Shipments[Part Name],$A3,T_Shipments[Effective_Week],69)</f>
        <v/>
      </c>
      <c r="BS3">
        <f>SUMIFS(T_Shipments[Confirmed_Qty],T_Shipments[Part Name],$A3,T_Shipments[Effective_Week],70)</f>
        <v/>
      </c>
      <c r="BT3">
        <f>SUMIFS(T_Shipments[Confirmed_Qty],T_Shipments[Part Name],$A3,T_Shipments[Effective_Week],71)</f>
        <v/>
      </c>
      <c r="BU3">
        <f>SUMIFS(T_Shipments[Confirmed_Qty],T_Shipments[Part Name],$A3,T_Shipments[Effective_Week],72)</f>
        <v/>
      </c>
      <c r="BV3">
        <f>SUMIFS(T_Shipments[Confirmed_Qty],T_Shipments[Part Name],$A3,T_Shipments[Effective_Week],73)</f>
        <v/>
      </c>
      <c r="BW3">
        <f>SUMIFS(T_Shipments[Confirmed_Qty],T_Shipments[Part Name],$A3,T_Shipments[Effective_Week],74)</f>
        <v/>
      </c>
      <c r="BX3">
        <f>SUMIFS(T_Shipments[Confirmed_Qty],T_Shipments[Part Name],$A3,T_Shipments[Effective_Week],75)</f>
        <v/>
      </c>
      <c r="BY3">
        <f>SUMIFS(T_Shipments[Confirmed_Qty],T_Shipments[Part Name],$A3,T_Shipments[Effective_Week],76)</f>
        <v/>
      </c>
      <c r="BZ3">
        <f>SUMIFS(T_Shipments[Confirmed_Qty],T_Shipments[Part Name],$A3,T_Shipments[Effective_Week],77)</f>
        <v/>
      </c>
      <c r="CA3">
        <f>SUMIFS(T_Shipments[Confirmed_Qty],T_Shipments[Part Name],$A3,T_Shipments[Effective_Week],78)</f>
        <v/>
      </c>
      <c r="CB3">
        <f>SUMIFS(T_Shipments[Confirmed_Qty],T_Shipments[Part Name],$A3,T_Shipments[Effective_Week],79)</f>
        <v/>
      </c>
      <c r="CC3">
        <f>SUMIFS(T_Shipments[Confirmed_Qty],T_Shipments[Part Name],$A3,T_Shipments[Effective_Week],80)</f>
        <v/>
      </c>
      <c r="CD3">
        <f>SUMIFS(T_Shipments[Confirmed_Qty],T_Shipments[Part Name],$A3,T_Shipments[Effective_Week],81)</f>
        <v/>
      </c>
      <c r="CE3">
        <f>SUMIFS(T_Shipments[Confirmed_Qty],T_Shipments[Part Name],$A3,T_Shipments[Effective_Week],82)</f>
        <v/>
      </c>
      <c r="CF3">
        <f>SUMIFS(T_Shipments[Confirmed_Qty],T_Shipments[Part Name],$A3,T_Shipments[Effective_Week],83)</f>
        <v/>
      </c>
      <c r="CG3">
        <f>SUMIFS(T_Shipments[Confirmed_Qty],T_Shipments[Part Name],$A3,T_Shipments[Effective_Week],84)</f>
        <v/>
      </c>
      <c r="CH3">
        <f>SUMIFS(T_Shipments[Confirmed_Qty],T_Shipments[Part Name],$A3,T_Shipments[Effective_Week],85)</f>
        <v/>
      </c>
      <c r="CI3">
        <f>SUMIFS(T_Shipments[Confirmed_Qty],T_Shipments[Part Name],$A3,T_Shipments[Effective_Week],86)</f>
        <v/>
      </c>
      <c r="CJ3">
        <f>SUMIFS(T_Shipments[Confirmed_Qty],T_Shipments[Part Name],$A3,T_Shipments[Effective_Week],87)</f>
        <v/>
      </c>
      <c r="CK3">
        <f>SUMIFS(T_Shipments[Confirmed_Qty],T_Shipments[Part Name],$A3,T_Shipments[Effective_Week],88)</f>
        <v/>
      </c>
      <c r="CL3">
        <f>SUMIFS(T_Shipments[Confirmed_Qty],T_Shipments[Part Name],$A3,T_Shipments[Effective_Week],89)</f>
        <v/>
      </c>
      <c r="CM3">
        <f>SUMIFS(T_Shipments[Confirmed_Qty],T_Shipments[Part Name],$A3,T_Shipments[Effective_Week],90)</f>
        <v/>
      </c>
      <c r="CN3">
        <f>SUMIFS(T_Shipments[Confirmed_Qty],T_Shipments[Part Name],$A3,T_Shipments[Effective_Week],91)</f>
        <v/>
      </c>
      <c r="CO3">
        <f>SUMIFS(T_Shipments[Confirmed_Qty],T_Shipments[Part Name],$A3,T_Shipments[Effective_Week],92)</f>
        <v/>
      </c>
      <c r="CP3">
        <f>SUMIFS(T_Shipments[Confirmed_Qty],T_Shipments[Part Name],$A3,T_Shipments[Effective_Week],93)</f>
        <v/>
      </c>
      <c r="CQ3">
        <f>SUMIFS(T_Shipments[Confirmed_Qty],T_Shipments[Part Name],$A3,T_Shipments[Effective_Week],94)</f>
        <v/>
      </c>
      <c r="CR3">
        <f>SUMIFS(T_Shipments[Confirmed_Qty],T_Shipments[Part Name],$A3,T_Shipments[Effective_Week],95)</f>
        <v/>
      </c>
      <c r="CS3">
        <f>SUMIFS(T_Shipments[Confirmed_Qty],T_Shipments[Part Name],$A3,T_Shipments[Effective_Week],96)</f>
        <v/>
      </c>
      <c r="CT3">
        <f>SUMIFS(T_Shipments[Confirmed_Qty],T_Shipments[Part Name],$A3,T_Shipments[Effective_Week],97)</f>
        <v/>
      </c>
      <c r="CU3">
        <f>SUMIFS(T_Shipments[Confirmed_Qty],T_Shipments[Part Name],$A3,T_Shipments[Effective_Week],98)</f>
        <v/>
      </c>
      <c r="CV3">
        <f>SUMIFS(T_Shipments[Confirmed_Qty],T_Shipments[Part Name],$A3,T_Shipments[Effective_Week],99)</f>
        <v/>
      </c>
      <c r="CW3">
        <f>SUMIFS(T_Shipments[Confirmed_Qty],T_Shipments[Part Name],$A3,T_Shipments[Effective_Week],100)</f>
        <v/>
      </c>
      <c r="CX3">
        <f>SUMIFS(T_Shipments[Confirmed_Qty],T_Shipments[Part Name],$A3,T_Shipments[Effective_Week],101)</f>
        <v/>
      </c>
      <c r="CY3">
        <f>SUMIFS(T_Shipments[Confirmed_Qty],T_Shipments[Part Name],$A3,T_Shipments[Effective_Week],102)</f>
        <v/>
      </c>
      <c r="CZ3">
        <f>SUMIFS(T_Shipments[Confirmed_Qty],T_Shipments[Part Name],$A3,T_Shipments[Effective_Week],103)</f>
        <v/>
      </c>
      <c r="DA3">
        <f>SUMIFS(T_Shipments[Confirmed_Qty],T_Shipments[Part Name],$A3,T_Shipments[Effective_Week],104)</f>
        <v/>
      </c>
    </row>
    <row r="4">
      <c r="A4" t="inlineStr">
        <is>
          <t>CHEM-1700</t>
        </is>
      </c>
      <c r="B4">
        <f>SUMIFS(T_Shipments[Confirmed_Qty],T_Shipments[Part Name],$A4,T_Shipments[Effective_Week],1)</f>
        <v/>
      </c>
      <c r="C4">
        <f>SUMIFS(T_Shipments[Confirmed_Qty],T_Shipments[Part Name],$A4,T_Shipments[Effective_Week],2)</f>
        <v/>
      </c>
      <c r="D4">
        <f>SUMIFS(T_Shipments[Confirmed_Qty],T_Shipments[Part Name],$A4,T_Shipments[Effective_Week],3)</f>
        <v/>
      </c>
      <c r="E4">
        <f>SUMIFS(T_Shipments[Confirmed_Qty],T_Shipments[Part Name],$A4,T_Shipments[Effective_Week],4)</f>
        <v/>
      </c>
      <c r="F4">
        <f>SUMIFS(T_Shipments[Confirmed_Qty],T_Shipments[Part Name],$A4,T_Shipments[Effective_Week],5)</f>
        <v/>
      </c>
      <c r="G4">
        <f>SUMIFS(T_Shipments[Confirmed_Qty],T_Shipments[Part Name],$A4,T_Shipments[Effective_Week],6)</f>
        <v/>
      </c>
      <c r="H4">
        <f>SUMIFS(T_Shipments[Confirmed_Qty],T_Shipments[Part Name],$A4,T_Shipments[Effective_Week],7)</f>
        <v/>
      </c>
      <c r="I4">
        <f>SUMIFS(T_Shipments[Confirmed_Qty],T_Shipments[Part Name],$A4,T_Shipments[Effective_Week],8)</f>
        <v/>
      </c>
      <c r="J4">
        <f>SUMIFS(T_Shipments[Confirmed_Qty],T_Shipments[Part Name],$A4,T_Shipments[Effective_Week],9)</f>
        <v/>
      </c>
      <c r="K4">
        <f>SUMIFS(T_Shipments[Confirmed_Qty],T_Shipments[Part Name],$A4,T_Shipments[Effective_Week],10)</f>
        <v/>
      </c>
      <c r="L4">
        <f>SUMIFS(T_Shipments[Confirmed_Qty],T_Shipments[Part Name],$A4,T_Shipments[Effective_Week],11)</f>
        <v/>
      </c>
      <c r="M4">
        <f>SUMIFS(T_Shipments[Confirmed_Qty],T_Shipments[Part Name],$A4,T_Shipments[Effective_Week],12)</f>
        <v/>
      </c>
      <c r="N4">
        <f>SUMIFS(T_Shipments[Confirmed_Qty],T_Shipments[Part Name],$A4,T_Shipments[Effective_Week],13)</f>
        <v/>
      </c>
      <c r="O4">
        <f>SUMIFS(T_Shipments[Confirmed_Qty],T_Shipments[Part Name],$A4,T_Shipments[Effective_Week],14)</f>
        <v/>
      </c>
      <c r="P4">
        <f>SUMIFS(T_Shipments[Confirmed_Qty],T_Shipments[Part Name],$A4,T_Shipments[Effective_Week],15)</f>
        <v/>
      </c>
      <c r="Q4">
        <f>SUMIFS(T_Shipments[Confirmed_Qty],T_Shipments[Part Name],$A4,T_Shipments[Effective_Week],16)</f>
        <v/>
      </c>
      <c r="R4">
        <f>SUMIFS(T_Shipments[Confirmed_Qty],T_Shipments[Part Name],$A4,T_Shipments[Effective_Week],17)</f>
        <v/>
      </c>
      <c r="S4">
        <f>SUMIFS(T_Shipments[Confirmed_Qty],T_Shipments[Part Name],$A4,T_Shipments[Effective_Week],18)</f>
        <v/>
      </c>
      <c r="T4">
        <f>SUMIFS(T_Shipments[Confirmed_Qty],T_Shipments[Part Name],$A4,T_Shipments[Effective_Week],19)</f>
        <v/>
      </c>
      <c r="U4">
        <f>SUMIFS(T_Shipments[Confirmed_Qty],T_Shipments[Part Name],$A4,T_Shipments[Effective_Week],20)</f>
        <v/>
      </c>
      <c r="V4">
        <f>SUMIFS(T_Shipments[Confirmed_Qty],T_Shipments[Part Name],$A4,T_Shipments[Effective_Week],21)</f>
        <v/>
      </c>
      <c r="W4">
        <f>SUMIFS(T_Shipments[Confirmed_Qty],T_Shipments[Part Name],$A4,T_Shipments[Effective_Week],22)</f>
        <v/>
      </c>
      <c r="X4">
        <f>SUMIFS(T_Shipments[Confirmed_Qty],T_Shipments[Part Name],$A4,T_Shipments[Effective_Week],23)</f>
        <v/>
      </c>
      <c r="Y4">
        <f>SUMIFS(T_Shipments[Confirmed_Qty],T_Shipments[Part Name],$A4,T_Shipments[Effective_Week],24)</f>
        <v/>
      </c>
      <c r="Z4">
        <f>SUMIFS(T_Shipments[Confirmed_Qty],T_Shipments[Part Name],$A4,T_Shipments[Effective_Week],25)</f>
        <v/>
      </c>
      <c r="AA4">
        <f>SUMIFS(T_Shipments[Confirmed_Qty],T_Shipments[Part Name],$A4,T_Shipments[Effective_Week],26)</f>
        <v/>
      </c>
      <c r="AB4">
        <f>SUMIFS(T_Shipments[Confirmed_Qty],T_Shipments[Part Name],$A4,T_Shipments[Effective_Week],27)</f>
        <v/>
      </c>
      <c r="AC4">
        <f>SUMIFS(T_Shipments[Confirmed_Qty],T_Shipments[Part Name],$A4,T_Shipments[Effective_Week],28)</f>
        <v/>
      </c>
      <c r="AD4">
        <f>SUMIFS(T_Shipments[Confirmed_Qty],T_Shipments[Part Name],$A4,T_Shipments[Effective_Week],29)</f>
        <v/>
      </c>
      <c r="AE4">
        <f>SUMIFS(T_Shipments[Confirmed_Qty],T_Shipments[Part Name],$A4,T_Shipments[Effective_Week],30)</f>
        <v/>
      </c>
      <c r="AF4">
        <f>SUMIFS(T_Shipments[Confirmed_Qty],T_Shipments[Part Name],$A4,T_Shipments[Effective_Week],31)</f>
        <v/>
      </c>
      <c r="AG4">
        <f>SUMIFS(T_Shipments[Confirmed_Qty],T_Shipments[Part Name],$A4,T_Shipments[Effective_Week],32)</f>
        <v/>
      </c>
      <c r="AH4">
        <f>SUMIFS(T_Shipments[Confirmed_Qty],T_Shipments[Part Name],$A4,T_Shipments[Effective_Week],33)</f>
        <v/>
      </c>
      <c r="AI4">
        <f>SUMIFS(T_Shipments[Confirmed_Qty],T_Shipments[Part Name],$A4,T_Shipments[Effective_Week],34)</f>
        <v/>
      </c>
      <c r="AJ4">
        <f>SUMIFS(T_Shipments[Confirmed_Qty],T_Shipments[Part Name],$A4,T_Shipments[Effective_Week],35)</f>
        <v/>
      </c>
      <c r="AK4">
        <f>SUMIFS(T_Shipments[Confirmed_Qty],T_Shipments[Part Name],$A4,T_Shipments[Effective_Week],36)</f>
        <v/>
      </c>
      <c r="AL4">
        <f>SUMIFS(T_Shipments[Confirmed_Qty],T_Shipments[Part Name],$A4,T_Shipments[Effective_Week],37)</f>
        <v/>
      </c>
      <c r="AM4">
        <f>SUMIFS(T_Shipments[Confirmed_Qty],T_Shipments[Part Name],$A4,T_Shipments[Effective_Week],38)</f>
        <v/>
      </c>
      <c r="AN4">
        <f>SUMIFS(T_Shipments[Confirmed_Qty],T_Shipments[Part Name],$A4,T_Shipments[Effective_Week],39)</f>
        <v/>
      </c>
      <c r="AO4">
        <f>SUMIFS(T_Shipments[Confirmed_Qty],T_Shipments[Part Name],$A4,T_Shipments[Effective_Week],40)</f>
        <v/>
      </c>
      <c r="AP4">
        <f>SUMIFS(T_Shipments[Confirmed_Qty],T_Shipments[Part Name],$A4,T_Shipments[Effective_Week],41)</f>
        <v/>
      </c>
      <c r="AQ4">
        <f>SUMIFS(T_Shipments[Confirmed_Qty],T_Shipments[Part Name],$A4,T_Shipments[Effective_Week],42)</f>
        <v/>
      </c>
      <c r="AR4">
        <f>SUMIFS(T_Shipments[Confirmed_Qty],T_Shipments[Part Name],$A4,T_Shipments[Effective_Week],43)</f>
        <v/>
      </c>
      <c r="AS4">
        <f>SUMIFS(T_Shipments[Confirmed_Qty],T_Shipments[Part Name],$A4,T_Shipments[Effective_Week],44)</f>
        <v/>
      </c>
      <c r="AT4">
        <f>SUMIFS(T_Shipments[Confirmed_Qty],T_Shipments[Part Name],$A4,T_Shipments[Effective_Week],45)</f>
        <v/>
      </c>
      <c r="AU4">
        <f>SUMIFS(T_Shipments[Confirmed_Qty],T_Shipments[Part Name],$A4,T_Shipments[Effective_Week],46)</f>
        <v/>
      </c>
      <c r="AV4">
        <f>SUMIFS(T_Shipments[Confirmed_Qty],T_Shipments[Part Name],$A4,T_Shipments[Effective_Week],47)</f>
        <v/>
      </c>
      <c r="AW4">
        <f>SUMIFS(T_Shipments[Confirmed_Qty],T_Shipments[Part Name],$A4,T_Shipments[Effective_Week],48)</f>
        <v/>
      </c>
      <c r="AX4">
        <f>SUMIFS(T_Shipments[Confirmed_Qty],T_Shipments[Part Name],$A4,T_Shipments[Effective_Week],49)</f>
        <v/>
      </c>
      <c r="AY4">
        <f>SUMIFS(T_Shipments[Confirmed_Qty],T_Shipments[Part Name],$A4,T_Shipments[Effective_Week],50)</f>
        <v/>
      </c>
      <c r="AZ4">
        <f>SUMIFS(T_Shipments[Confirmed_Qty],T_Shipments[Part Name],$A4,T_Shipments[Effective_Week],51)</f>
        <v/>
      </c>
      <c r="BA4">
        <f>SUMIFS(T_Shipments[Confirmed_Qty],T_Shipments[Part Name],$A4,T_Shipments[Effective_Week],52)</f>
        <v/>
      </c>
      <c r="BB4">
        <f>SUMIFS(T_Shipments[Confirmed_Qty],T_Shipments[Part Name],$A4,T_Shipments[Effective_Week],53)</f>
        <v/>
      </c>
      <c r="BC4">
        <f>SUMIFS(T_Shipments[Confirmed_Qty],T_Shipments[Part Name],$A4,T_Shipments[Effective_Week],54)</f>
        <v/>
      </c>
      <c r="BD4">
        <f>SUMIFS(T_Shipments[Confirmed_Qty],T_Shipments[Part Name],$A4,T_Shipments[Effective_Week],55)</f>
        <v/>
      </c>
      <c r="BE4">
        <f>SUMIFS(T_Shipments[Confirmed_Qty],T_Shipments[Part Name],$A4,T_Shipments[Effective_Week],56)</f>
        <v/>
      </c>
      <c r="BF4">
        <f>SUMIFS(T_Shipments[Confirmed_Qty],T_Shipments[Part Name],$A4,T_Shipments[Effective_Week],57)</f>
        <v/>
      </c>
      <c r="BG4">
        <f>SUMIFS(T_Shipments[Confirmed_Qty],T_Shipments[Part Name],$A4,T_Shipments[Effective_Week],58)</f>
        <v/>
      </c>
      <c r="BH4">
        <f>SUMIFS(T_Shipments[Confirmed_Qty],T_Shipments[Part Name],$A4,T_Shipments[Effective_Week],59)</f>
        <v/>
      </c>
      <c r="BI4">
        <f>SUMIFS(T_Shipments[Confirmed_Qty],T_Shipments[Part Name],$A4,T_Shipments[Effective_Week],60)</f>
        <v/>
      </c>
      <c r="BJ4">
        <f>SUMIFS(T_Shipments[Confirmed_Qty],T_Shipments[Part Name],$A4,T_Shipments[Effective_Week],61)</f>
        <v/>
      </c>
      <c r="BK4">
        <f>SUMIFS(T_Shipments[Confirmed_Qty],T_Shipments[Part Name],$A4,T_Shipments[Effective_Week],62)</f>
        <v/>
      </c>
      <c r="BL4">
        <f>SUMIFS(T_Shipments[Confirmed_Qty],T_Shipments[Part Name],$A4,T_Shipments[Effective_Week],63)</f>
        <v/>
      </c>
      <c r="BM4">
        <f>SUMIFS(T_Shipments[Confirmed_Qty],T_Shipments[Part Name],$A4,T_Shipments[Effective_Week],64)</f>
        <v/>
      </c>
      <c r="BN4">
        <f>SUMIFS(T_Shipments[Confirmed_Qty],T_Shipments[Part Name],$A4,T_Shipments[Effective_Week],65)</f>
        <v/>
      </c>
      <c r="BO4">
        <f>SUMIFS(T_Shipments[Confirmed_Qty],T_Shipments[Part Name],$A4,T_Shipments[Effective_Week],66)</f>
        <v/>
      </c>
      <c r="BP4">
        <f>SUMIFS(T_Shipments[Confirmed_Qty],T_Shipments[Part Name],$A4,T_Shipments[Effective_Week],67)</f>
        <v/>
      </c>
      <c r="BQ4">
        <f>SUMIFS(T_Shipments[Confirmed_Qty],T_Shipments[Part Name],$A4,T_Shipments[Effective_Week],68)</f>
        <v/>
      </c>
      <c r="BR4">
        <f>SUMIFS(T_Shipments[Confirmed_Qty],T_Shipments[Part Name],$A4,T_Shipments[Effective_Week],69)</f>
        <v/>
      </c>
      <c r="BS4">
        <f>SUMIFS(T_Shipments[Confirmed_Qty],T_Shipments[Part Name],$A4,T_Shipments[Effective_Week],70)</f>
        <v/>
      </c>
      <c r="BT4">
        <f>SUMIFS(T_Shipments[Confirmed_Qty],T_Shipments[Part Name],$A4,T_Shipments[Effective_Week],71)</f>
        <v/>
      </c>
      <c r="BU4">
        <f>SUMIFS(T_Shipments[Confirmed_Qty],T_Shipments[Part Name],$A4,T_Shipments[Effective_Week],72)</f>
        <v/>
      </c>
      <c r="BV4">
        <f>SUMIFS(T_Shipments[Confirmed_Qty],T_Shipments[Part Name],$A4,T_Shipments[Effective_Week],73)</f>
        <v/>
      </c>
      <c r="BW4">
        <f>SUMIFS(T_Shipments[Confirmed_Qty],T_Shipments[Part Name],$A4,T_Shipments[Effective_Week],74)</f>
        <v/>
      </c>
      <c r="BX4">
        <f>SUMIFS(T_Shipments[Confirmed_Qty],T_Shipments[Part Name],$A4,T_Shipments[Effective_Week],75)</f>
        <v/>
      </c>
      <c r="BY4">
        <f>SUMIFS(T_Shipments[Confirmed_Qty],T_Shipments[Part Name],$A4,T_Shipments[Effective_Week],76)</f>
        <v/>
      </c>
      <c r="BZ4">
        <f>SUMIFS(T_Shipments[Confirmed_Qty],T_Shipments[Part Name],$A4,T_Shipments[Effective_Week],77)</f>
        <v/>
      </c>
      <c r="CA4">
        <f>SUMIFS(T_Shipments[Confirmed_Qty],T_Shipments[Part Name],$A4,T_Shipments[Effective_Week],78)</f>
        <v/>
      </c>
      <c r="CB4">
        <f>SUMIFS(T_Shipments[Confirmed_Qty],T_Shipments[Part Name],$A4,T_Shipments[Effective_Week],79)</f>
        <v/>
      </c>
      <c r="CC4">
        <f>SUMIFS(T_Shipments[Confirmed_Qty],T_Shipments[Part Name],$A4,T_Shipments[Effective_Week],80)</f>
        <v/>
      </c>
      <c r="CD4">
        <f>SUMIFS(T_Shipments[Confirmed_Qty],T_Shipments[Part Name],$A4,T_Shipments[Effective_Week],81)</f>
        <v/>
      </c>
      <c r="CE4">
        <f>SUMIFS(T_Shipments[Confirmed_Qty],T_Shipments[Part Name],$A4,T_Shipments[Effective_Week],82)</f>
        <v/>
      </c>
      <c r="CF4">
        <f>SUMIFS(T_Shipments[Confirmed_Qty],T_Shipments[Part Name],$A4,T_Shipments[Effective_Week],83)</f>
        <v/>
      </c>
      <c r="CG4">
        <f>SUMIFS(T_Shipments[Confirmed_Qty],T_Shipments[Part Name],$A4,T_Shipments[Effective_Week],84)</f>
        <v/>
      </c>
      <c r="CH4">
        <f>SUMIFS(T_Shipments[Confirmed_Qty],T_Shipments[Part Name],$A4,T_Shipments[Effective_Week],85)</f>
        <v/>
      </c>
      <c r="CI4">
        <f>SUMIFS(T_Shipments[Confirmed_Qty],T_Shipments[Part Name],$A4,T_Shipments[Effective_Week],86)</f>
        <v/>
      </c>
      <c r="CJ4">
        <f>SUMIFS(T_Shipments[Confirmed_Qty],T_Shipments[Part Name],$A4,T_Shipments[Effective_Week],87)</f>
        <v/>
      </c>
      <c r="CK4">
        <f>SUMIFS(T_Shipments[Confirmed_Qty],T_Shipments[Part Name],$A4,T_Shipments[Effective_Week],88)</f>
        <v/>
      </c>
      <c r="CL4">
        <f>SUMIFS(T_Shipments[Confirmed_Qty],T_Shipments[Part Name],$A4,T_Shipments[Effective_Week],89)</f>
        <v/>
      </c>
      <c r="CM4">
        <f>SUMIFS(T_Shipments[Confirmed_Qty],T_Shipments[Part Name],$A4,T_Shipments[Effective_Week],90)</f>
        <v/>
      </c>
      <c r="CN4">
        <f>SUMIFS(T_Shipments[Confirmed_Qty],T_Shipments[Part Name],$A4,T_Shipments[Effective_Week],91)</f>
        <v/>
      </c>
      <c r="CO4">
        <f>SUMIFS(T_Shipments[Confirmed_Qty],T_Shipments[Part Name],$A4,T_Shipments[Effective_Week],92)</f>
        <v/>
      </c>
      <c r="CP4">
        <f>SUMIFS(T_Shipments[Confirmed_Qty],T_Shipments[Part Name],$A4,T_Shipments[Effective_Week],93)</f>
        <v/>
      </c>
      <c r="CQ4">
        <f>SUMIFS(T_Shipments[Confirmed_Qty],T_Shipments[Part Name],$A4,T_Shipments[Effective_Week],94)</f>
        <v/>
      </c>
      <c r="CR4">
        <f>SUMIFS(T_Shipments[Confirmed_Qty],T_Shipments[Part Name],$A4,T_Shipments[Effective_Week],95)</f>
        <v/>
      </c>
      <c r="CS4">
        <f>SUMIFS(T_Shipments[Confirmed_Qty],T_Shipments[Part Name],$A4,T_Shipments[Effective_Week],96)</f>
        <v/>
      </c>
      <c r="CT4">
        <f>SUMIFS(T_Shipments[Confirmed_Qty],T_Shipments[Part Name],$A4,T_Shipments[Effective_Week],97)</f>
        <v/>
      </c>
      <c r="CU4">
        <f>SUMIFS(T_Shipments[Confirmed_Qty],T_Shipments[Part Name],$A4,T_Shipments[Effective_Week],98)</f>
        <v/>
      </c>
      <c r="CV4">
        <f>SUMIFS(T_Shipments[Confirmed_Qty],T_Shipments[Part Name],$A4,T_Shipments[Effective_Week],99)</f>
        <v/>
      </c>
      <c r="CW4">
        <f>SUMIFS(T_Shipments[Confirmed_Qty],T_Shipments[Part Name],$A4,T_Shipments[Effective_Week],100)</f>
        <v/>
      </c>
      <c r="CX4">
        <f>SUMIFS(T_Shipments[Confirmed_Qty],T_Shipments[Part Name],$A4,T_Shipments[Effective_Week],101)</f>
        <v/>
      </c>
      <c r="CY4">
        <f>SUMIFS(T_Shipments[Confirmed_Qty],T_Shipments[Part Name],$A4,T_Shipments[Effective_Week],102)</f>
        <v/>
      </c>
      <c r="CZ4">
        <f>SUMIFS(T_Shipments[Confirmed_Qty],T_Shipments[Part Name],$A4,T_Shipments[Effective_Week],103)</f>
        <v/>
      </c>
      <c r="DA4">
        <f>SUMIFS(T_Shipments[Confirmed_Qty],T_Shipments[Part Name],$A4,T_Shipments[Effective_Week],104)</f>
        <v/>
      </c>
    </row>
    <row r="5">
      <c r="A5" t="inlineStr">
        <is>
          <t>CHEM-1420</t>
        </is>
      </c>
      <c r="B5">
        <f>SUMIFS(T_Shipments[Confirmed_Qty],T_Shipments[Part Name],$A5,T_Shipments[Effective_Week],1)</f>
        <v/>
      </c>
      <c r="C5">
        <f>SUMIFS(T_Shipments[Confirmed_Qty],T_Shipments[Part Name],$A5,T_Shipments[Effective_Week],2)</f>
        <v/>
      </c>
      <c r="D5">
        <f>SUMIFS(T_Shipments[Confirmed_Qty],T_Shipments[Part Name],$A5,T_Shipments[Effective_Week],3)</f>
        <v/>
      </c>
      <c r="E5">
        <f>SUMIFS(T_Shipments[Confirmed_Qty],T_Shipments[Part Name],$A5,T_Shipments[Effective_Week],4)</f>
        <v/>
      </c>
      <c r="F5">
        <f>SUMIFS(T_Shipments[Confirmed_Qty],T_Shipments[Part Name],$A5,T_Shipments[Effective_Week],5)</f>
        <v/>
      </c>
      <c r="G5">
        <f>SUMIFS(T_Shipments[Confirmed_Qty],T_Shipments[Part Name],$A5,T_Shipments[Effective_Week],6)</f>
        <v/>
      </c>
      <c r="H5">
        <f>SUMIFS(T_Shipments[Confirmed_Qty],T_Shipments[Part Name],$A5,T_Shipments[Effective_Week],7)</f>
        <v/>
      </c>
      <c r="I5">
        <f>SUMIFS(T_Shipments[Confirmed_Qty],T_Shipments[Part Name],$A5,T_Shipments[Effective_Week],8)</f>
        <v/>
      </c>
      <c r="J5">
        <f>SUMIFS(T_Shipments[Confirmed_Qty],T_Shipments[Part Name],$A5,T_Shipments[Effective_Week],9)</f>
        <v/>
      </c>
      <c r="K5">
        <f>SUMIFS(T_Shipments[Confirmed_Qty],T_Shipments[Part Name],$A5,T_Shipments[Effective_Week],10)</f>
        <v/>
      </c>
      <c r="L5">
        <f>SUMIFS(T_Shipments[Confirmed_Qty],T_Shipments[Part Name],$A5,T_Shipments[Effective_Week],11)</f>
        <v/>
      </c>
      <c r="M5">
        <f>SUMIFS(T_Shipments[Confirmed_Qty],T_Shipments[Part Name],$A5,T_Shipments[Effective_Week],12)</f>
        <v/>
      </c>
      <c r="N5">
        <f>SUMIFS(T_Shipments[Confirmed_Qty],T_Shipments[Part Name],$A5,T_Shipments[Effective_Week],13)</f>
        <v/>
      </c>
      <c r="O5">
        <f>SUMIFS(T_Shipments[Confirmed_Qty],T_Shipments[Part Name],$A5,T_Shipments[Effective_Week],14)</f>
        <v/>
      </c>
      <c r="P5">
        <f>SUMIFS(T_Shipments[Confirmed_Qty],T_Shipments[Part Name],$A5,T_Shipments[Effective_Week],15)</f>
        <v/>
      </c>
      <c r="Q5">
        <f>SUMIFS(T_Shipments[Confirmed_Qty],T_Shipments[Part Name],$A5,T_Shipments[Effective_Week],16)</f>
        <v/>
      </c>
      <c r="R5">
        <f>SUMIFS(T_Shipments[Confirmed_Qty],T_Shipments[Part Name],$A5,T_Shipments[Effective_Week],17)</f>
        <v/>
      </c>
      <c r="S5">
        <f>SUMIFS(T_Shipments[Confirmed_Qty],T_Shipments[Part Name],$A5,T_Shipments[Effective_Week],18)</f>
        <v/>
      </c>
      <c r="T5">
        <f>SUMIFS(T_Shipments[Confirmed_Qty],T_Shipments[Part Name],$A5,T_Shipments[Effective_Week],19)</f>
        <v/>
      </c>
      <c r="U5">
        <f>SUMIFS(T_Shipments[Confirmed_Qty],T_Shipments[Part Name],$A5,T_Shipments[Effective_Week],20)</f>
        <v/>
      </c>
      <c r="V5">
        <f>SUMIFS(T_Shipments[Confirmed_Qty],T_Shipments[Part Name],$A5,T_Shipments[Effective_Week],21)</f>
        <v/>
      </c>
      <c r="W5">
        <f>SUMIFS(T_Shipments[Confirmed_Qty],T_Shipments[Part Name],$A5,T_Shipments[Effective_Week],22)</f>
        <v/>
      </c>
      <c r="X5">
        <f>SUMIFS(T_Shipments[Confirmed_Qty],T_Shipments[Part Name],$A5,T_Shipments[Effective_Week],23)</f>
        <v/>
      </c>
      <c r="Y5">
        <f>SUMIFS(T_Shipments[Confirmed_Qty],T_Shipments[Part Name],$A5,T_Shipments[Effective_Week],24)</f>
        <v/>
      </c>
      <c r="Z5">
        <f>SUMIFS(T_Shipments[Confirmed_Qty],T_Shipments[Part Name],$A5,T_Shipments[Effective_Week],25)</f>
        <v/>
      </c>
      <c r="AA5">
        <f>SUMIFS(T_Shipments[Confirmed_Qty],T_Shipments[Part Name],$A5,T_Shipments[Effective_Week],26)</f>
        <v/>
      </c>
      <c r="AB5">
        <f>SUMIFS(T_Shipments[Confirmed_Qty],T_Shipments[Part Name],$A5,T_Shipments[Effective_Week],27)</f>
        <v/>
      </c>
      <c r="AC5">
        <f>SUMIFS(T_Shipments[Confirmed_Qty],T_Shipments[Part Name],$A5,T_Shipments[Effective_Week],28)</f>
        <v/>
      </c>
      <c r="AD5">
        <f>SUMIFS(T_Shipments[Confirmed_Qty],T_Shipments[Part Name],$A5,T_Shipments[Effective_Week],29)</f>
        <v/>
      </c>
      <c r="AE5">
        <f>SUMIFS(T_Shipments[Confirmed_Qty],T_Shipments[Part Name],$A5,T_Shipments[Effective_Week],30)</f>
        <v/>
      </c>
      <c r="AF5">
        <f>SUMIFS(T_Shipments[Confirmed_Qty],T_Shipments[Part Name],$A5,T_Shipments[Effective_Week],31)</f>
        <v/>
      </c>
      <c r="AG5">
        <f>SUMIFS(T_Shipments[Confirmed_Qty],T_Shipments[Part Name],$A5,T_Shipments[Effective_Week],32)</f>
        <v/>
      </c>
      <c r="AH5">
        <f>SUMIFS(T_Shipments[Confirmed_Qty],T_Shipments[Part Name],$A5,T_Shipments[Effective_Week],33)</f>
        <v/>
      </c>
      <c r="AI5">
        <f>SUMIFS(T_Shipments[Confirmed_Qty],T_Shipments[Part Name],$A5,T_Shipments[Effective_Week],34)</f>
        <v/>
      </c>
      <c r="AJ5">
        <f>SUMIFS(T_Shipments[Confirmed_Qty],T_Shipments[Part Name],$A5,T_Shipments[Effective_Week],35)</f>
        <v/>
      </c>
      <c r="AK5">
        <f>SUMIFS(T_Shipments[Confirmed_Qty],T_Shipments[Part Name],$A5,T_Shipments[Effective_Week],36)</f>
        <v/>
      </c>
      <c r="AL5">
        <f>SUMIFS(T_Shipments[Confirmed_Qty],T_Shipments[Part Name],$A5,T_Shipments[Effective_Week],37)</f>
        <v/>
      </c>
      <c r="AM5">
        <f>SUMIFS(T_Shipments[Confirmed_Qty],T_Shipments[Part Name],$A5,T_Shipments[Effective_Week],38)</f>
        <v/>
      </c>
      <c r="AN5">
        <f>SUMIFS(T_Shipments[Confirmed_Qty],T_Shipments[Part Name],$A5,T_Shipments[Effective_Week],39)</f>
        <v/>
      </c>
      <c r="AO5">
        <f>SUMIFS(T_Shipments[Confirmed_Qty],T_Shipments[Part Name],$A5,T_Shipments[Effective_Week],40)</f>
        <v/>
      </c>
      <c r="AP5">
        <f>SUMIFS(T_Shipments[Confirmed_Qty],T_Shipments[Part Name],$A5,T_Shipments[Effective_Week],41)</f>
        <v/>
      </c>
      <c r="AQ5">
        <f>SUMIFS(T_Shipments[Confirmed_Qty],T_Shipments[Part Name],$A5,T_Shipments[Effective_Week],42)</f>
        <v/>
      </c>
      <c r="AR5">
        <f>SUMIFS(T_Shipments[Confirmed_Qty],T_Shipments[Part Name],$A5,T_Shipments[Effective_Week],43)</f>
        <v/>
      </c>
      <c r="AS5">
        <f>SUMIFS(T_Shipments[Confirmed_Qty],T_Shipments[Part Name],$A5,T_Shipments[Effective_Week],44)</f>
        <v/>
      </c>
      <c r="AT5">
        <f>SUMIFS(T_Shipments[Confirmed_Qty],T_Shipments[Part Name],$A5,T_Shipments[Effective_Week],45)</f>
        <v/>
      </c>
      <c r="AU5">
        <f>SUMIFS(T_Shipments[Confirmed_Qty],T_Shipments[Part Name],$A5,T_Shipments[Effective_Week],46)</f>
        <v/>
      </c>
      <c r="AV5">
        <f>SUMIFS(T_Shipments[Confirmed_Qty],T_Shipments[Part Name],$A5,T_Shipments[Effective_Week],47)</f>
        <v/>
      </c>
      <c r="AW5">
        <f>SUMIFS(T_Shipments[Confirmed_Qty],T_Shipments[Part Name],$A5,T_Shipments[Effective_Week],48)</f>
        <v/>
      </c>
      <c r="AX5">
        <f>SUMIFS(T_Shipments[Confirmed_Qty],T_Shipments[Part Name],$A5,T_Shipments[Effective_Week],49)</f>
        <v/>
      </c>
      <c r="AY5">
        <f>SUMIFS(T_Shipments[Confirmed_Qty],T_Shipments[Part Name],$A5,T_Shipments[Effective_Week],50)</f>
        <v/>
      </c>
      <c r="AZ5">
        <f>SUMIFS(T_Shipments[Confirmed_Qty],T_Shipments[Part Name],$A5,T_Shipments[Effective_Week],51)</f>
        <v/>
      </c>
      <c r="BA5">
        <f>SUMIFS(T_Shipments[Confirmed_Qty],T_Shipments[Part Name],$A5,T_Shipments[Effective_Week],52)</f>
        <v/>
      </c>
      <c r="BB5">
        <f>SUMIFS(T_Shipments[Confirmed_Qty],T_Shipments[Part Name],$A5,T_Shipments[Effective_Week],53)</f>
        <v/>
      </c>
      <c r="BC5">
        <f>SUMIFS(T_Shipments[Confirmed_Qty],T_Shipments[Part Name],$A5,T_Shipments[Effective_Week],54)</f>
        <v/>
      </c>
      <c r="BD5">
        <f>SUMIFS(T_Shipments[Confirmed_Qty],T_Shipments[Part Name],$A5,T_Shipments[Effective_Week],55)</f>
        <v/>
      </c>
      <c r="BE5">
        <f>SUMIFS(T_Shipments[Confirmed_Qty],T_Shipments[Part Name],$A5,T_Shipments[Effective_Week],56)</f>
        <v/>
      </c>
      <c r="BF5">
        <f>SUMIFS(T_Shipments[Confirmed_Qty],T_Shipments[Part Name],$A5,T_Shipments[Effective_Week],57)</f>
        <v/>
      </c>
      <c r="BG5">
        <f>SUMIFS(T_Shipments[Confirmed_Qty],T_Shipments[Part Name],$A5,T_Shipments[Effective_Week],58)</f>
        <v/>
      </c>
      <c r="BH5">
        <f>SUMIFS(T_Shipments[Confirmed_Qty],T_Shipments[Part Name],$A5,T_Shipments[Effective_Week],59)</f>
        <v/>
      </c>
      <c r="BI5">
        <f>SUMIFS(T_Shipments[Confirmed_Qty],T_Shipments[Part Name],$A5,T_Shipments[Effective_Week],60)</f>
        <v/>
      </c>
      <c r="BJ5">
        <f>SUMIFS(T_Shipments[Confirmed_Qty],T_Shipments[Part Name],$A5,T_Shipments[Effective_Week],61)</f>
        <v/>
      </c>
      <c r="BK5">
        <f>SUMIFS(T_Shipments[Confirmed_Qty],T_Shipments[Part Name],$A5,T_Shipments[Effective_Week],62)</f>
        <v/>
      </c>
      <c r="BL5">
        <f>SUMIFS(T_Shipments[Confirmed_Qty],T_Shipments[Part Name],$A5,T_Shipments[Effective_Week],63)</f>
        <v/>
      </c>
      <c r="BM5">
        <f>SUMIFS(T_Shipments[Confirmed_Qty],T_Shipments[Part Name],$A5,T_Shipments[Effective_Week],64)</f>
        <v/>
      </c>
      <c r="BN5">
        <f>SUMIFS(T_Shipments[Confirmed_Qty],T_Shipments[Part Name],$A5,T_Shipments[Effective_Week],65)</f>
        <v/>
      </c>
      <c r="BO5">
        <f>SUMIFS(T_Shipments[Confirmed_Qty],T_Shipments[Part Name],$A5,T_Shipments[Effective_Week],66)</f>
        <v/>
      </c>
      <c r="BP5">
        <f>SUMIFS(T_Shipments[Confirmed_Qty],T_Shipments[Part Name],$A5,T_Shipments[Effective_Week],67)</f>
        <v/>
      </c>
      <c r="BQ5">
        <f>SUMIFS(T_Shipments[Confirmed_Qty],T_Shipments[Part Name],$A5,T_Shipments[Effective_Week],68)</f>
        <v/>
      </c>
      <c r="BR5">
        <f>SUMIFS(T_Shipments[Confirmed_Qty],T_Shipments[Part Name],$A5,T_Shipments[Effective_Week],69)</f>
        <v/>
      </c>
      <c r="BS5">
        <f>SUMIFS(T_Shipments[Confirmed_Qty],T_Shipments[Part Name],$A5,T_Shipments[Effective_Week],70)</f>
        <v/>
      </c>
      <c r="BT5">
        <f>SUMIFS(T_Shipments[Confirmed_Qty],T_Shipments[Part Name],$A5,T_Shipments[Effective_Week],71)</f>
        <v/>
      </c>
      <c r="BU5">
        <f>SUMIFS(T_Shipments[Confirmed_Qty],T_Shipments[Part Name],$A5,T_Shipments[Effective_Week],72)</f>
        <v/>
      </c>
      <c r="BV5">
        <f>SUMIFS(T_Shipments[Confirmed_Qty],T_Shipments[Part Name],$A5,T_Shipments[Effective_Week],73)</f>
        <v/>
      </c>
      <c r="BW5">
        <f>SUMIFS(T_Shipments[Confirmed_Qty],T_Shipments[Part Name],$A5,T_Shipments[Effective_Week],74)</f>
        <v/>
      </c>
      <c r="BX5">
        <f>SUMIFS(T_Shipments[Confirmed_Qty],T_Shipments[Part Name],$A5,T_Shipments[Effective_Week],75)</f>
        <v/>
      </c>
      <c r="BY5">
        <f>SUMIFS(T_Shipments[Confirmed_Qty],T_Shipments[Part Name],$A5,T_Shipments[Effective_Week],76)</f>
        <v/>
      </c>
      <c r="BZ5">
        <f>SUMIFS(T_Shipments[Confirmed_Qty],T_Shipments[Part Name],$A5,T_Shipments[Effective_Week],77)</f>
        <v/>
      </c>
      <c r="CA5">
        <f>SUMIFS(T_Shipments[Confirmed_Qty],T_Shipments[Part Name],$A5,T_Shipments[Effective_Week],78)</f>
        <v/>
      </c>
      <c r="CB5">
        <f>SUMIFS(T_Shipments[Confirmed_Qty],T_Shipments[Part Name],$A5,T_Shipments[Effective_Week],79)</f>
        <v/>
      </c>
      <c r="CC5">
        <f>SUMIFS(T_Shipments[Confirmed_Qty],T_Shipments[Part Name],$A5,T_Shipments[Effective_Week],80)</f>
        <v/>
      </c>
      <c r="CD5">
        <f>SUMIFS(T_Shipments[Confirmed_Qty],T_Shipments[Part Name],$A5,T_Shipments[Effective_Week],81)</f>
        <v/>
      </c>
      <c r="CE5">
        <f>SUMIFS(T_Shipments[Confirmed_Qty],T_Shipments[Part Name],$A5,T_Shipments[Effective_Week],82)</f>
        <v/>
      </c>
      <c r="CF5">
        <f>SUMIFS(T_Shipments[Confirmed_Qty],T_Shipments[Part Name],$A5,T_Shipments[Effective_Week],83)</f>
        <v/>
      </c>
      <c r="CG5">
        <f>SUMIFS(T_Shipments[Confirmed_Qty],T_Shipments[Part Name],$A5,T_Shipments[Effective_Week],84)</f>
        <v/>
      </c>
      <c r="CH5">
        <f>SUMIFS(T_Shipments[Confirmed_Qty],T_Shipments[Part Name],$A5,T_Shipments[Effective_Week],85)</f>
        <v/>
      </c>
      <c r="CI5">
        <f>SUMIFS(T_Shipments[Confirmed_Qty],T_Shipments[Part Name],$A5,T_Shipments[Effective_Week],86)</f>
        <v/>
      </c>
      <c r="CJ5">
        <f>SUMIFS(T_Shipments[Confirmed_Qty],T_Shipments[Part Name],$A5,T_Shipments[Effective_Week],87)</f>
        <v/>
      </c>
      <c r="CK5">
        <f>SUMIFS(T_Shipments[Confirmed_Qty],T_Shipments[Part Name],$A5,T_Shipments[Effective_Week],88)</f>
        <v/>
      </c>
      <c r="CL5">
        <f>SUMIFS(T_Shipments[Confirmed_Qty],T_Shipments[Part Name],$A5,T_Shipments[Effective_Week],89)</f>
        <v/>
      </c>
      <c r="CM5">
        <f>SUMIFS(T_Shipments[Confirmed_Qty],T_Shipments[Part Name],$A5,T_Shipments[Effective_Week],90)</f>
        <v/>
      </c>
      <c r="CN5">
        <f>SUMIFS(T_Shipments[Confirmed_Qty],T_Shipments[Part Name],$A5,T_Shipments[Effective_Week],91)</f>
        <v/>
      </c>
      <c r="CO5">
        <f>SUMIFS(T_Shipments[Confirmed_Qty],T_Shipments[Part Name],$A5,T_Shipments[Effective_Week],92)</f>
        <v/>
      </c>
      <c r="CP5">
        <f>SUMIFS(T_Shipments[Confirmed_Qty],T_Shipments[Part Name],$A5,T_Shipments[Effective_Week],93)</f>
        <v/>
      </c>
      <c r="CQ5">
        <f>SUMIFS(T_Shipments[Confirmed_Qty],T_Shipments[Part Name],$A5,T_Shipments[Effective_Week],94)</f>
        <v/>
      </c>
      <c r="CR5">
        <f>SUMIFS(T_Shipments[Confirmed_Qty],T_Shipments[Part Name],$A5,T_Shipments[Effective_Week],95)</f>
        <v/>
      </c>
      <c r="CS5">
        <f>SUMIFS(T_Shipments[Confirmed_Qty],T_Shipments[Part Name],$A5,T_Shipments[Effective_Week],96)</f>
        <v/>
      </c>
      <c r="CT5">
        <f>SUMIFS(T_Shipments[Confirmed_Qty],T_Shipments[Part Name],$A5,T_Shipments[Effective_Week],97)</f>
        <v/>
      </c>
      <c r="CU5">
        <f>SUMIFS(T_Shipments[Confirmed_Qty],T_Shipments[Part Name],$A5,T_Shipments[Effective_Week],98)</f>
        <v/>
      </c>
      <c r="CV5">
        <f>SUMIFS(T_Shipments[Confirmed_Qty],T_Shipments[Part Name],$A5,T_Shipments[Effective_Week],99)</f>
        <v/>
      </c>
      <c r="CW5">
        <f>SUMIFS(T_Shipments[Confirmed_Qty],T_Shipments[Part Name],$A5,T_Shipments[Effective_Week],100)</f>
        <v/>
      </c>
      <c r="CX5">
        <f>SUMIFS(T_Shipments[Confirmed_Qty],T_Shipments[Part Name],$A5,T_Shipments[Effective_Week],101)</f>
        <v/>
      </c>
      <c r="CY5">
        <f>SUMIFS(T_Shipments[Confirmed_Qty],T_Shipments[Part Name],$A5,T_Shipments[Effective_Week],102)</f>
        <v/>
      </c>
      <c r="CZ5">
        <f>SUMIFS(T_Shipments[Confirmed_Qty],T_Shipments[Part Name],$A5,T_Shipments[Effective_Week],103)</f>
        <v/>
      </c>
      <c r="DA5">
        <f>SUMIFS(T_Shipments[Confirmed_Qty],T_Shipments[Part Name],$A5,T_Shipments[Effective_Week],104)</f>
        <v/>
      </c>
    </row>
    <row r="6">
      <c r="A6" t="inlineStr">
        <is>
          <t>CHEM-1530</t>
        </is>
      </c>
      <c r="B6">
        <f>SUMIFS(T_Shipments[Confirmed_Qty],T_Shipments[Part Name],$A6,T_Shipments[Effective_Week],1)</f>
        <v/>
      </c>
      <c r="C6">
        <f>SUMIFS(T_Shipments[Confirmed_Qty],T_Shipments[Part Name],$A6,T_Shipments[Effective_Week],2)</f>
        <v/>
      </c>
      <c r="D6">
        <f>SUMIFS(T_Shipments[Confirmed_Qty],T_Shipments[Part Name],$A6,T_Shipments[Effective_Week],3)</f>
        <v/>
      </c>
      <c r="E6">
        <f>SUMIFS(T_Shipments[Confirmed_Qty],T_Shipments[Part Name],$A6,T_Shipments[Effective_Week],4)</f>
        <v/>
      </c>
      <c r="F6">
        <f>SUMIFS(T_Shipments[Confirmed_Qty],T_Shipments[Part Name],$A6,T_Shipments[Effective_Week],5)</f>
        <v/>
      </c>
      <c r="G6">
        <f>SUMIFS(T_Shipments[Confirmed_Qty],T_Shipments[Part Name],$A6,T_Shipments[Effective_Week],6)</f>
        <v/>
      </c>
      <c r="H6">
        <f>SUMIFS(T_Shipments[Confirmed_Qty],T_Shipments[Part Name],$A6,T_Shipments[Effective_Week],7)</f>
        <v/>
      </c>
      <c r="I6">
        <f>SUMIFS(T_Shipments[Confirmed_Qty],T_Shipments[Part Name],$A6,T_Shipments[Effective_Week],8)</f>
        <v/>
      </c>
      <c r="J6">
        <f>SUMIFS(T_Shipments[Confirmed_Qty],T_Shipments[Part Name],$A6,T_Shipments[Effective_Week],9)</f>
        <v/>
      </c>
      <c r="K6">
        <f>SUMIFS(T_Shipments[Confirmed_Qty],T_Shipments[Part Name],$A6,T_Shipments[Effective_Week],10)</f>
        <v/>
      </c>
      <c r="L6">
        <f>SUMIFS(T_Shipments[Confirmed_Qty],T_Shipments[Part Name],$A6,T_Shipments[Effective_Week],11)</f>
        <v/>
      </c>
      <c r="M6">
        <f>SUMIFS(T_Shipments[Confirmed_Qty],T_Shipments[Part Name],$A6,T_Shipments[Effective_Week],12)</f>
        <v/>
      </c>
      <c r="N6">
        <f>SUMIFS(T_Shipments[Confirmed_Qty],T_Shipments[Part Name],$A6,T_Shipments[Effective_Week],13)</f>
        <v/>
      </c>
      <c r="O6">
        <f>SUMIFS(T_Shipments[Confirmed_Qty],T_Shipments[Part Name],$A6,T_Shipments[Effective_Week],14)</f>
        <v/>
      </c>
      <c r="P6">
        <f>SUMIFS(T_Shipments[Confirmed_Qty],T_Shipments[Part Name],$A6,T_Shipments[Effective_Week],15)</f>
        <v/>
      </c>
      <c r="Q6">
        <f>SUMIFS(T_Shipments[Confirmed_Qty],T_Shipments[Part Name],$A6,T_Shipments[Effective_Week],16)</f>
        <v/>
      </c>
      <c r="R6">
        <f>SUMIFS(T_Shipments[Confirmed_Qty],T_Shipments[Part Name],$A6,T_Shipments[Effective_Week],17)</f>
        <v/>
      </c>
      <c r="S6">
        <f>SUMIFS(T_Shipments[Confirmed_Qty],T_Shipments[Part Name],$A6,T_Shipments[Effective_Week],18)</f>
        <v/>
      </c>
      <c r="T6">
        <f>SUMIFS(T_Shipments[Confirmed_Qty],T_Shipments[Part Name],$A6,T_Shipments[Effective_Week],19)</f>
        <v/>
      </c>
      <c r="U6">
        <f>SUMIFS(T_Shipments[Confirmed_Qty],T_Shipments[Part Name],$A6,T_Shipments[Effective_Week],20)</f>
        <v/>
      </c>
      <c r="V6">
        <f>SUMIFS(T_Shipments[Confirmed_Qty],T_Shipments[Part Name],$A6,T_Shipments[Effective_Week],21)</f>
        <v/>
      </c>
      <c r="W6">
        <f>SUMIFS(T_Shipments[Confirmed_Qty],T_Shipments[Part Name],$A6,T_Shipments[Effective_Week],22)</f>
        <v/>
      </c>
      <c r="X6">
        <f>SUMIFS(T_Shipments[Confirmed_Qty],T_Shipments[Part Name],$A6,T_Shipments[Effective_Week],23)</f>
        <v/>
      </c>
      <c r="Y6">
        <f>SUMIFS(T_Shipments[Confirmed_Qty],T_Shipments[Part Name],$A6,T_Shipments[Effective_Week],24)</f>
        <v/>
      </c>
      <c r="Z6">
        <f>SUMIFS(T_Shipments[Confirmed_Qty],T_Shipments[Part Name],$A6,T_Shipments[Effective_Week],25)</f>
        <v/>
      </c>
      <c r="AA6">
        <f>SUMIFS(T_Shipments[Confirmed_Qty],T_Shipments[Part Name],$A6,T_Shipments[Effective_Week],26)</f>
        <v/>
      </c>
      <c r="AB6">
        <f>SUMIFS(T_Shipments[Confirmed_Qty],T_Shipments[Part Name],$A6,T_Shipments[Effective_Week],27)</f>
        <v/>
      </c>
      <c r="AC6">
        <f>SUMIFS(T_Shipments[Confirmed_Qty],T_Shipments[Part Name],$A6,T_Shipments[Effective_Week],28)</f>
        <v/>
      </c>
      <c r="AD6">
        <f>SUMIFS(T_Shipments[Confirmed_Qty],T_Shipments[Part Name],$A6,T_Shipments[Effective_Week],29)</f>
        <v/>
      </c>
      <c r="AE6">
        <f>SUMIFS(T_Shipments[Confirmed_Qty],T_Shipments[Part Name],$A6,T_Shipments[Effective_Week],30)</f>
        <v/>
      </c>
      <c r="AF6">
        <f>SUMIFS(T_Shipments[Confirmed_Qty],T_Shipments[Part Name],$A6,T_Shipments[Effective_Week],31)</f>
        <v/>
      </c>
      <c r="AG6">
        <f>SUMIFS(T_Shipments[Confirmed_Qty],T_Shipments[Part Name],$A6,T_Shipments[Effective_Week],32)</f>
        <v/>
      </c>
      <c r="AH6">
        <f>SUMIFS(T_Shipments[Confirmed_Qty],T_Shipments[Part Name],$A6,T_Shipments[Effective_Week],33)</f>
        <v/>
      </c>
      <c r="AI6">
        <f>SUMIFS(T_Shipments[Confirmed_Qty],T_Shipments[Part Name],$A6,T_Shipments[Effective_Week],34)</f>
        <v/>
      </c>
      <c r="AJ6">
        <f>SUMIFS(T_Shipments[Confirmed_Qty],T_Shipments[Part Name],$A6,T_Shipments[Effective_Week],35)</f>
        <v/>
      </c>
      <c r="AK6">
        <f>SUMIFS(T_Shipments[Confirmed_Qty],T_Shipments[Part Name],$A6,T_Shipments[Effective_Week],36)</f>
        <v/>
      </c>
      <c r="AL6">
        <f>SUMIFS(T_Shipments[Confirmed_Qty],T_Shipments[Part Name],$A6,T_Shipments[Effective_Week],37)</f>
        <v/>
      </c>
      <c r="AM6">
        <f>SUMIFS(T_Shipments[Confirmed_Qty],T_Shipments[Part Name],$A6,T_Shipments[Effective_Week],38)</f>
        <v/>
      </c>
      <c r="AN6">
        <f>SUMIFS(T_Shipments[Confirmed_Qty],T_Shipments[Part Name],$A6,T_Shipments[Effective_Week],39)</f>
        <v/>
      </c>
      <c r="AO6">
        <f>SUMIFS(T_Shipments[Confirmed_Qty],T_Shipments[Part Name],$A6,T_Shipments[Effective_Week],40)</f>
        <v/>
      </c>
      <c r="AP6">
        <f>SUMIFS(T_Shipments[Confirmed_Qty],T_Shipments[Part Name],$A6,T_Shipments[Effective_Week],41)</f>
        <v/>
      </c>
      <c r="AQ6">
        <f>SUMIFS(T_Shipments[Confirmed_Qty],T_Shipments[Part Name],$A6,T_Shipments[Effective_Week],42)</f>
        <v/>
      </c>
      <c r="AR6">
        <f>SUMIFS(T_Shipments[Confirmed_Qty],T_Shipments[Part Name],$A6,T_Shipments[Effective_Week],43)</f>
        <v/>
      </c>
      <c r="AS6">
        <f>SUMIFS(T_Shipments[Confirmed_Qty],T_Shipments[Part Name],$A6,T_Shipments[Effective_Week],44)</f>
        <v/>
      </c>
      <c r="AT6">
        <f>SUMIFS(T_Shipments[Confirmed_Qty],T_Shipments[Part Name],$A6,T_Shipments[Effective_Week],45)</f>
        <v/>
      </c>
      <c r="AU6">
        <f>SUMIFS(T_Shipments[Confirmed_Qty],T_Shipments[Part Name],$A6,T_Shipments[Effective_Week],46)</f>
        <v/>
      </c>
      <c r="AV6">
        <f>SUMIFS(T_Shipments[Confirmed_Qty],T_Shipments[Part Name],$A6,T_Shipments[Effective_Week],47)</f>
        <v/>
      </c>
      <c r="AW6">
        <f>SUMIFS(T_Shipments[Confirmed_Qty],T_Shipments[Part Name],$A6,T_Shipments[Effective_Week],48)</f>
        <v/>
      </c>
      <c r="AX6">
        <f>SUMIFS(T_Shipments[Confirmed_Qty],T_Shipments[Part Name],$A6,T_Shipments[Effective_Week],49)</f>
        <v/>
      </c>
      <c r="AY6">
        <f>SUMIFS(T_Shipments[Confirmed_Qty],T_Shipments[Part Name],$A6,T_Shipments[Effective_Week],50)</f>
        <v/>
      </c>
      <c r="AZ6">
        <f>SUMIFS(T_Shipments[Confirmed_Qty],T_Shipments[Part Name],$A6,T_Shipments[Effective_Week],51)</f>
        <v/>
      </c>
      <c r="BA6">
        <f>SUMIFS(T_Shipments[Confirmed_Qty],T_Shipments[Part Name],$A6,T_Shipments[Effective_Week],52)</f>
        <v/>
      </c>
      <c r="BB6">
        <f>SUMIFS(T_Shipments[Confirmed_Qty],T_Shipments[Part Name],$A6,T_Shipments[Effective_Week],53)</f>
        <v/>
      </c>
      <c r="BC6">
        <f>SUMIFS(T_Shipments[Confirmed_Qty],T_Shipments[Part Name],$A6,T_Shipments[Effective_Week],54)</f>
        <v/>
      </c>
      <c r="BD6">
        <f>SUMIFS(T_Shipments[Confirmed_Qty],T_Shipments[Part Name],$A6,T_Shipments[Effective_Week],55)</f>
        <v/>
      </c>
      <c r="BE6">
        <f>SUMIFS(T_Shipments[Confirmed_Qty],T_Shipments[Part Name],$A6,T_Shipments[Effective_Week],56)</f>
        <v/>
      </c>
      <c r="BF6">
        <f>SUMIFS(T_Shipments[Confirmed_Qty],T_Shipments[Part Name],$A6,T_Shipments[Effective_Week],57)</f>
        <v/>
      </c>
      <c r="BG6">
        <f>SUMIFS(T_Shipments[Confirmed_Qty],T_Shipments[Part Name],$A6,T_Shipments[Effective_Week],58)</f>
        <v/>
      </c>
      <c r="BH6">
        <f>SUMIFS(T_Shipments[Confirmed_Qty],T_Shipments[Part Name],$A6,T_Shipments[Effective_Week],59)</f>
        <v/>
      </c>
      <c r="BI6">
        <f>SUMIFS(T_Shipments[Confirmed_Qty],T_Shipments[Part Name],$A6,T_Shipments[Effective_Week],60)</f>
        <v/>
      </c>
      <c r="BJ6">
        <f>SUMIFS(T_Shipments[Confirmed_Qty],T_Shipments[Part Name],$A6,T_Shipments[Effective_Week],61)</f>
        <v/>
      </c>
      <c r="BK6">
        <f>SUMIFS(T_Shipments[Confirmed_Qty],T_Shipments[Part Name],$A6,T_Shipments[Effective_Week],62)</f>
        <v/>
      </c>
      <c r="BL6">
        <f>SUMIFS(T_Shipments[Confirmed_Qty],T_Shipments[Part Name],$A6,T_Shipments[Effective_Week],63)</f>
        <v/>
      </c>
      <c r="BM6">
        <f>SUMIFS(T_Shipments[Confirmed_Qty],T_Shipments[Part Name],$A6,T_Shipments[Effective_Week],64)</f>
        <v/>
      </c>
      <c r="BN6">
        <f>SUMIFS(T_Shipments[Confirmed_Qty],T_Shipments[Part Name],$A6,T_Shipments[Effective_Week],65)</f>
        <v/>
      </c>
      <c r="BO6">
        <f>SUMIFS(T_Shipments[Confirmed_Qty],T_Shipments[Part Name],$A6,T_Shipments[Effective_Week],66)</f>
        <v/>
      </c>
      <c r="BP6">
        <f>SUMIFS(T_Shipments[Confirmed_Qty],T_Shipments[Part Name],$A6,T_Shipments[Effective_Week],67)</f>
        <v/>
      </c>
      <c r="BQ6">
        <f>SUMIFS(T_Shipments[Confirmed_Qty],T_Shipments[Part Name],$A6,T_Shipments[Effective_Week],68)</f>
        <v/>
      </c>
      <c r="BR6">
        <f>SUMIFS(T_Shipments[Confirmed_Qty],T_Shipments[Part Name],$A6,T_Shipments[Effective_Week],69)</f>
        <v/>
      </c>
      <c r="BS6">
        <f>SUMIFS(T_Shipments[Confirmed_Qty],T_Shipments[Part Name],$A6,T_Shipments[Effective_Week],70)</f>
        <v/>
      </c>
      <c r="BT6">
        <f>SUMIFS(T_Shipments[Confirmed_Qty],T_Shipments[Part Name],$A6,T_Shipments[Effective_Week],71)</f>
        <v/>
      </c>
      <c r="BU6">
        <f>SUMIFS(T_Shipments[Confirmed_Qty],T_Shipments[Part Name],$A6,T_Shipments[Effective_Week],72)</f>
        <v/>
      </c>
      <c r="BV6">
        <f>SUMIFS(T_Shipments[Confirmed_Qty],T_Shipments[Part Name],$A6,T_Shipments[Effective_Week],73)</f>
        <v/>
      </c>
      <c r="BW6">
        <f>SUMIFS(T_Shipments[Confirmed_Qty],T_Shipments[Part Name],$A6,T_Shipments[Effective_Week],74)</f>
        <v/>
      </c>
      <c r="BX6">
        <f>SUMIFS(T_Shipments[Confirmed_Qty],T_Shipments[Part Name],$A6,T_Shipments[Effective_Week],75)</f>
        <v/>
      </c>
      <c r="BY6">
        <f>SUMIFS(T_Shipments[Confirmed_Qty],T_Shipments[Part Name],$A6,T_Shipments[Effective_Week],76)</f>
        <v/>
      </c>
      <c r="BZ6">
        <f>SUMIFS(T_Shipments[Confirmed_Qty],T_Shipments[Part Name],$A6,T_Shipments[Effective_Week],77)</f>
        <v/>
      </c>
      <c r="CA6">
        <f>SUMIFS(T_Shipments[Confirmed_Qty],T_Shipments[Part Name],$A6,T_Shipments[Effective_Week],78)</f>
        <v/>
      </c>
      <c r="CB6">
        <f>SUMIFS(T_Shipments[Confirmed_Qty],T_Shipments[Part Name],$A6,T_Shipments[Effective_Week],79)</f>
        <v/>
      </c>
      <c r="CC6">
        <f>SUMIFS(T_Shipments[Confirmed_Qty],T_Shipments[Part Name],$A6,T_Shipments[Effective_Week],80)</f>
        <v/>
      </c>
      <c r="CD6">
        <f>SUMIFS(T_Shipments[Confirmed_Qty],T_Shipments[Part Name],$A6,T_Shipments[Effective_Week],81)</f>
        <v/>
      </c>
      <c r="CE6">
        <f>SUMIFS(T_Shipments[Confirmed_Qty],T_Shipments[Part Name],$A6,T_Shipments[Effective_Week],82)</f>
        <v/>
      </c>
      <c r="CF6">
        <f>SUMIFS(T_Shipments[Confirmed_Qty],T_Shipments[Part Name],$A6,T_Shipments[Effective_Week],83)</f>
        <v/>
      </c>
      <c r="CG6">
        <f>SUMIFS(T_Shipments[Confirmed_Qty],T_Shipments[Part Name],$A6,T_Shipments[Effective_Week],84)</f>
        <v/>
      </c>
      <c r="CH6">
        <f>SUMIFS(T_Shipments[Confirmed_Qty],T_Shipments[Part Name],$A6,T_Shipments[Effective_Week],85)</f>
        <v/>
      </c>
      <c r="CI6">
        <f>SUMIFS(T_Shipments[Confirmed_Qty],T_Shipments[Part Name],$A6,T_Shipments[Effective_Week],86)</f>
        <v/>
      </c>
      <c r="CJ6">
        <f>SUMIFS(T_Shipments[Confirmed_Qty],T_Shipments[Part Name],$A6,T_Shipments[Effective_Week],87)</f>
        <v/>
      </c>
      <c r="CK6">
        <f>SUMIFS(T_Shipments[Confirmed_Qty],T_Shipments[Part Name],$A6,T_Shipments[Effective_Week],88)</f>
        <v/>
      </c>
      <c r="CL6">
        <f>SUMIFS(T_Shipments[Confirmed_Qty],T_Shipments[Part Name],$A6,T_Shipments[Effective_Week],89)</f>
        <v/>
      </c>
      <c r="CM6">
        <f>SUMIFS(T_Shipments[Confirmed_Qty],T_Shipments[Part Name],$A6,T_Shipments[Effective_Week],90)</f>
        <v/>
      </c>
      <c r="CN6">
        <f>SUMIFS(T_Shipments[Confirmed_Qty],T_Shipments[Part Name],$A6,T_Shipments[Effective_Week],91)</f>
        <v/>
      </c>
      <c r="CO6">
        <f>SUMIFS(T_Shipments[Confirmed_Qty],T_Shipments[Part Name],$A6,T_Shipments[Effective_Week],92)</f>
        <v/>
      </c>
      <c r="CP6">
        <f>SUMIFS(T_Shipments[Confirmed_Qty],T_Shipments[Part Name],$A6,T_Shipments[Effective_Week],93)</f>
        <v/>
      </c>
      <c r="CQ6">
        <f>SUMIFS(T_Shipments[Confirmed_Qty],T_Shipments[Part Name],$A6,T_Shipments[Effective_Week],94)</f>
        <v/>
      </c>
      <c r="CR6">
        <f>SUMIFS(T_Shipments[Confirmed_Qty],T_Shipments[Part Name],$A6,T_Shipments[Effective_Week],95)</f>
        <v/>
      </c>
      <c r="CS6">
        <f>SUMIFS(T_Shipments[Confirmed_Qty],T_Shipments[Part Name],$A6,T_Shipments[Effective_Week],96)</f>
        <v/>
      </c>
      <c r="CT6">
        <f>SUMIFS(T_Shipments[Confirmed_Qty],T_Shipments[Part Name],$A6,T_Shipments[Effective_Week],97)</f>
        <v/>
      </c>
      <c r="CU6">
        <f>SUMIFS(T_Shipments[Confirmed_Qty],T_Shipments[Part Name],$A6,T_Shipments[Effective_Week],98)</f>
        <v/>
      </c>
      <c r="CV6">
        <f>SUMIFS(T_Shipments[Confirmed_Qty],T_Shipments[Part Name],$A6,T_Shipments[Effective_Week],99)</f>
        <v/>
      </c>
      <c r="CW6">
        <f>SUMIFS(T_Shipments[Confirmed_Qty],T_Shipments[Part Name],$A6,T_Shipments[Effective_Week],100)</f>
        <v/>
      </c>
      <c r="CX6">
        <f>SUMIFS(T_Shipments[Confirmed_Qty],T_Shipments[Part Name],$A6,T_Shipments[Effective_Week],101)</f>
        <v/>
      </c>
      <c r="CY6">
        <f>SUMIFS(T_Shipments[Confirmed_Qty],T_Shipments[Part Name],$A6,T_Shipments[Effective_Week],102)</f>
        <v/>
      </c>
      <c r="CZ6">
        <f>SUMIFS(T_Shipments[Confirmed_Qty],T_Shipments[Part Name],$A6,T_Shipments[Effective_Week],103)</f>
        <v/>
      </c>
      <c r="DA6">
        <f>SUMIFS(T_Shipments[Confirmed_Qty],T_Shipments[Part Name],$A6,T_Shipments[Effective_Week],104)</f>
        <v/>
      </c>
    </row>
    <row r="7">
      <c r="A7" t="inlineStr">
        <is>
          <t>CHEM-1540</t>
        </is>
      </c>
      <c r="B7">
        <f>SUMIFS(T_Shipments[Confirmed_Qty],T_Shipments[Part Name],$A7,T_Shipments[Effective_Week],1)</f>
        <v/>
      </c>
      <c r="C7">
        <f>SUMIFS(T_Shipments[Confirmed_Qty],T_Shipments[Part Name],$A7,T_Shipments[Effective_Week],2)</f>
        <v/>
      </c>
      <c r="D7">
        <f>SUMIFS(T_Shipments[Confirmed_Qty],T_Shipments[Part Name],$A7,T_Shipments[Effective_Week],3)</f>
        <v/>
      </c>
      <c r="E7">
        <f>SUMIFS(T_Shipments[Confirmed_Qty],T_Shipments[Part Name],$A7,T_Shipments[Effective_Week],4)</f>
        <v/>
      </c>
      <c r="F7">
        <f>SUMIFS(T_Shipments[Confirmed_Qty],T_Shipments[Part Name],$A7,T_Shipments[Effective_Week],5)</f>
        <v/>
      </c>
      <c r="G7">
        <f>SUMIFS(T_Shipments[Confirmed_Qty],T_Shipments[Part Name],$A7,T_Shipments[Effective_Week],6)</f>
        <v/>
      </c>
      <c r="H7">
        <f>SUMIFS(T_Shipments[Confirmed_Qty],T_Shipments[Part Name],$A7,T_Shipments[Effective_Week],7)</f>
        <v/>
      </c>
      <c r="I7">
        <f>SUMIFS(T_Shipments[Confirmed_Qty],T_Shipments[Part Name],$A7,T_Shipments[Effective_Week],8)</f>
        <v/>
      </c>
      <c r="J7">
        <f>SUMIFS(T_Shipments[Confirmed_Qty],T_Shipments[Part Name],$A7,T_Shipments[Effective_Week],9)</f>
        <v/>
      </c>
      <c r="K7">
        <f>SUMIFS(T_Shipments[Confirmed_Qty],T_Shipments[Part Name],$A7,T_Shipments[Effective_Week],10)</f>
        <v/>
      </c>
      <c r="L7">
        <f>SUMIFS(T_Shipments[Confirmed_Qty],T_Shipments[Part Name],$A7,T_Shipments[Effective_Week],11)</f>
        <v/>
      </c>
      <c r="M7">
        <f>SUMIFS(T_Shipments[Confirmed_Qty],T_Shipments[Part Name],$A7,T_Shipments[Effective_Week],12)</f>
        <v/>
      </c>
      <c r="N7">
        <f>SUMIFS(T_Shipments[Confirmed_Qty],T_Shipments[Part Name],$A7,T_Shipments[Effective_Week],13)</f>
        <v/>
      </c>
      <c r="O7">
        <f>SUMIFS(T_Shipments[Confirmed_Qty],T_Shipments[Part Name],$A7,T_Shipments[Effective_Week],14)</f>
        <v/>
      </c>
      <c r="P7">
        <f>SUMIFS(T_Shipments[Confirmed_Qty],T_Shipments[Part Name],$A7,T_Shipments[Effective_Week],15)</f>
        <v/>
      </c>
      <c r="Q7">
        <f>SUMIFS(T_Shipments[Confirmed_Qty],T_Shipments[Part Name],$A7,T_Shipments[Effective_Week],16)</f>
        <v/>
      </c>
      <c r="R7">
        <f>SUMIFS(T_Shipments[Confirmed_Qty],T_Shipments[Part Name],$A7,T_Shipments[Effective_Week],17)</f>
        <v/>
      </c>
      <c r="S7">
        <f>SUMIFS(T_Shipments[Confirmed_Qty],T_Shipments[Part Name],$A7,T_Shipments[Effective_Week],18)</f>
        <v/>
      </c>
      <c r="T7">
        <f>SUMIFS(T_Shipments[Confirmed_Qty],T_Shipments[Part Name],$A7,T_Shipments[Effective_Week],19)</f>
        <v/>
      </c>
      <c r="U7">
        <f>SUMIFS(T_Shipments[Confirmed_Qty],T_Shipments[Part Name],$A7,T_Shipments[Effective_Week],20)</f>
        <v/>
      </c>
      <c r="V7">
        <f>SUMIFS(T_Shipments[Confirmed_Qty],T_Shipments[Part Name],$A7,T_Shipments[Effective_Week],21)</f>
        <v/>
      </c>
      <c r="W7">
        <f>SUMIFS(T_Shipments[Confirmed_Qty],T_Shipments[Part Name],$A7,T_Shipments[Effective_Week],22)</f>
        <v/>
      </c>
      <c r="X7">
        <f>SUMIFS(T_Shipments[Confirmed_Qty],T_Shipments[Part Name],$A7,T_Shipments[Effective_Week],23)</f>
        <v/>
      </c>
      <c r="Y7">
        <f>SUMIFS(T_Shipments[Confirmed_Qty],T_Shipments[Part Name],$A7,T_Shipments[Effective_Week],24)</f>
        <v/>
      </c>
      <c r="Z7">
        <f>SUMIFS(T_Shipments[Confirmed_Qty],T_Shipments[Part Name],$A7,T_Shipments[Effective_Week],25)</f>
        <v/>
      </c>
      <c r="AA7">
        <f>SUMIFS(T_Shipments[Confirmed_Qty],T_Shipments[Part Name],$A7,T_Shipments[Effective_Week],26)</f>
        <v/>
      </c>
      <c r="AB7">
        <f>SUMIFS(T_Shipments[Confirmed_Qty],T_Shipments[Part Name],$A7,T_Shipments[Effective_Week],27)</f>
        <v/>
      </c>
      <c r="AC7">
        <f>SUMIFS(T_Shipments[Confirmed_Qty],T_Shipments[Part Name],$A7,T_Shipments[Effective_Week],28)</f>
        <v/>
      </c>
      <c r="AD7">
        <f>SUMIFS(T_Shipments[Confirmed_Qty],T_Shipments[Part Name],$A7,T_Shipments[Effective_Week],29)</f>
        <v/>
      </c>
      <c r="AE7">
        <f>SUMIFS(T_Shipments[Confirmed_Qty],T_Shipments[Part Name],$A7,T_Shipments[Effective_Week],30)</f>
        <v/>
      </c>
      <c r="AF7">
        <f>SUMIFS(T_Shipments[Confirmed_Qty],T_Shipments[Part Name],$A7,T_Shipments[Effective_Week],31)</f>
        <v/>
      </c>
      <c r="AG7">
        <f>SUMIFS(T_Shipments[Confirmed_Qty],T_Shipments[Part Name],$A7,T_Shipments[Effective_Week],32)</f>
        <v/>
      </c>
      <c r="AH7">
        <f>SUMIFS(T_Shipments[Confirmed_Qty],T_Shipments[Part Name],$A7,T_Shipments[Effective_Week],33)</f>
        <v/>
      </c>
      <c r="AI7">
        <f>SUMIFS(T_Shipments[Confirmed_Qty],T_Shipments[Part Name],$A7,T_Shipments[Effective_Week],34)</f>
        <v/>
      </c>
      <c r="AJ7">
        <f>SUMIFS(T_Shipments[Confirmed_Qty],T_Shipments[Part Name],$A7,T_Shipments[Effective_Week],35)</f>
        <v/>
      </c>
      <c r="AK7">
        <f>SUMIFS(T_Shipments[Confirmed_Qty],T_Shipments[Part Name],$A7,T_Shipments[Effective_Week],36)</f>
        <v/>
      </c>
      <c r="AL7">
        <f>SUMIFS(T_Shipments[Confirmed_Qty],T_Shipments[Part Name],$A7,T_Shipments[Effective_Week],37)</f>
        <v/>
      </c>
      <c r="AM7">
        <f>SUMIFS(T_Shipments[Confirmed_Qty],T_Shipments[Part Name],$A7,T_Shipments[Effective_Week],38)</f>
        <v/>
      </c>
      <c r="AN7">
        <f>SUMIFS(T_Shipments[Confirmed_Qty],T_Shipments[Part Name],$A7,T_Shipments[Effective_Week],39)</f>
        <v/>
      </c>
      <c r="AO7">
        <f>SUMIFS(T_Shipments[Confirmed_Qty],T_Shipments[Part Name],$A7,T_Shipments[Effective_Week],40)</f>
        <v/>
      </c>
      <c r="AP7">
        <f>SUMIFS(T_Shipments[Confirmed_Qty],T_Shipments[Part Name],$A7,T_Shipments[Effective_Week],41)</f>
        <v/>
      </c>
      <c r="AQ7">
        <f>SUMIFS(T_Shipments[Confirmed_Qty],T_Shipments[Part Name],$A7,T_Shipments[Effective_Week],42)</f>
        <v/>
      </c>
      <c r="AR7">
        <f>SUMIFS(T_Shipments[Confirmed_Qty],T_Shipments[Part Name],$A7,T_Shipments[Effective_Week],43)</f>
        <v/>
      </c>
      <c r="AS7">
        <f>SUMIFS(T_Shipments[Confirmed_Qty],T_Shipments[Part Name],$A7,T_Shipments[Effective_Week],44)</f>
        <v/>
      </c>
      <c r="AT7">
        <f>SUMIFS(T_Shipments[Confirmed_Qty],T_Shipments[Part Name],$A7,T_Shipments[Effective_Week],45)</f>
        <v/>
      </c>
      <c r="AU7">
        <f>SUMIFS(T_Shipments[Confirmed_Qty],T_Shipments[Part Name],$A7,T_Shipments[Effective_Week],46)</f>
        <v/>
      </c>
      <c r="AV7">
        <f>SUMIFS(T_Shipments[Confirmed_Qty],T_Shipments[Part Name],$A7,T_Shipments[Effective_Week],47)</f>
        <v/>
      </c>
      <c r="AW7">
        <f>SUMIFS(T_Shipments[Confirmed_Qty],T_Shipments[Part Name],$A7,T_Shipments[Effective_Week],48)</f>
        <v/>
      </c>
      <c r="AX7">
        <f>SUMIFS(T_Shipments[Confirmed_Qty],T_Shipments[Part Name],$A7,T_Shipments[Effective_Week],49)</f>
        <v/>
      </c>
      <c r="AY7">
        <f>SUMIFS(T_Shipments[Confirmed_Qty],T_Shipments[Part Name],$A7,T_Shipments[Effective_Week],50)</f>
        <v/>
      </c>
      <c r="AZ7">
        <f>SUMIFS(T_Shipments[Confirmed_Qty],T_Shipments[Part Name],$A7,T_Shipments[Effective_Week],51)</f>
        <v/>
      </c>
      <c r="BA7">
        <f>SUMIFS(T_Shipments[Confirmed_Qty],T_Shipments[Part Name],$A7,T_Shipments[Effective_Week],52)</f>
        <v/>
      </c>
      <c r="BB7">
        <f>SUMIFS(T_Shipments[Confirmed_Qty],T_Shipments[Part Name],$A7,T_Shipments[Effective_Week],53)</f>
        <v/>
      </c>
      <c r="BC7">
        <f>SUMIFS(T_Shipments[Confirmed_Qty],T_Shipments[Part Name],$A7,T_Shipments[Effective_Week],54)</f>
        <v/>
      </c>
      <c r="BD7">
        <f>SUMIFS(T_Shipments[Confirmed_Qty],T_Shipments[Part Name],$A7,T_Shipments[Effective_Week],55)</f>
        <v/>
      </c>
      <c r="BE7">
        <f>SUMIFS(T_Shipments[Confirmed_Qty],T_Shipments[Part Name],$A7,T_Shipments[Effective_Week],56)</f>
        <v/>
      </c>
      <c r="BF7">
        <f>SUMIFS(T_Shipments[Confirmed_Qty],T_Shipments[Part Name],$A7,T_Shipments[Effective_Week],57)</f>
        <v/>
      </c>
      <c r="BG7">
        <f>SUMIFS(T_Shipments[Confirmed_Qty],T_Shipments[Part Name],$A7,T_Shipments[Effective_Week],58)</f>
        <v/>
      </c>
      <c r="BH7">
        <f>SUMIFS(T_Shipments[Confirmed_Qty],T_Shipments[Part Name],$A7,T_Shipments[Effective_Week],59)</f>
        <v/>
      </c>
      <c r="BI7">
        <f>SUMIFS(T_Shipments[Confirmed_Qty],T_Shipments[Part Name],$A7,T_Shipments[Effective_Week],60)</f>
        <v/>
      </c>
      <c r="BJ7">
        <f>SUMIFS(T_Shipments[Confirmed_Qty],T_Shipments[Part Name],$A7,T_Shipments[Effective_Week],61)</f>
        <v/>
      </c>
      <c r="BK7">
        <f>SUMIFS(T_Shipments[Confirmed_Qty],T_Shipments[Part Name],$A7,T_Shipments[Effective_Week],62)</f>
        <v/>
      </c>
      <c r="BL7">
        <f>SUMIFS(T_Shipments[Confirmed_Qty],T_Shipments[Part Name],$A7,T_Shipments[Effective_Week],63)</f>
        <v/>
      </c>
      <c r="BM7">
        <f>SUMIFS(T_Shipments[Confirmed_Qty],T_Shipments[Part Name],$A7,T_Shipments[Effective_Week],64)</f>
        <v/>
      </c>
      <c r="BN7">
        <f>SUMIFS(T_Shipments[Confirmed_Qty],T_Shipments[Part Name],$A7,T_Shipments[Effective_Week],65)</f>
        <v/>
      </c>
      <c r="BO7">
        <f>SUMIFS(T_Shipments[Confirmed_Qty],T_Shipments[Part Name],$A7,T_Shipments[Effective_Week],66)</f>
        <v/>
      </c>
      <c r="BP7">
        <f>SUMIFS(T_Shipments[Confirmed_Qty],T_Shipments[Part Name],$A7,T_Shipments[Effective_Week],67)</f>
        <v/>
      </c>
      <c r="BQ7">
        <f>SUMIFS(T_Shipments[Confirmed_Qty],T_Shipments[Part Name],$A7,T_Shipments[Effective_Week],68)</f>
        <v/>
      </c>
      <c r="BR7">
        <f>SUMIFS(T_Shipments[Confirmed_Qty],T_Shipments[Part Name],$A7,T_Shipments[Effective_Week],69)</f>
        <v/>
      </c>
      <c r="BS7">
        <f>SUMIFS(T_Shipments[Confirmed_Qty],T_Shipments[Part Name],$A7,T_Shipments[Effective_Week],70)</f>
        <v/>
      </c>
      <c r="BT7">
        <f>SUMIFS(T_Shipments[Confirmed_Qty],T_Shipments[Part Name],$A7,T_Shipments[Effective_Week],71)</f>
        <v/>
      </c>
      <c r="BU7">
        <f>SUMIFS(T_Shipments[Confirmed_Qty],T_Shipments[Part Name],$A7,T_Shipments[Effective_Week],72)</f>
        <v/>
      </c>
      <c r="BV7">
        <f>SUMIFS(T_Shipments[Confirmed_Qty],T_Shipments[Part Name],$A7,T_Shipments[Effective_Week],73)</f>
        <v/>
      </c>
      <c r="BW7">
        <f>SUMIFS(T_Shipments[Confirmed_Qty],T_Shipments[Part Name],$A7,T_Shipments[Effective_Week],74)</f>
        <v/>
      </c>
      <c r="BX7">
        <f>SUMIFS(T_Shipments[Confirmed_Qty],T_Shipments[Part Name],$A7,T_Shipments[Effective_Week],75)</f>
        <v/>
      </c>
      <c r="BY7">
        <f>SUMIFS(T_Shipments[Confirmed_Qty],T_Shipments[Part Name],$A7,T_Shipments[Effective_Week],76)</f>
        <v/>
      </c>
      <c r="BZ7">
        <f>SUMIFS(T_Shipments[Confirmed_Qty],T_Shipments[Part Name],$A7,T_Shipments[Effective_Week],77)</f>
        <v/>
      </c>
      <c r="CA7">
        <f>SUMIFS(T_Shipments[Confirmed_Qty],T_Shipments[Part Name],$A7,T_Shipments[Effective_Week],78)</f>
        <v/>
      </c>
      <c r="CB7">
        <f>SUMIFS(T_Shipments[Confirmed_Qty],T_Shipments[Part Name],$A7,T_Shipments[Effective_Week],79)</f>
        <v/>
      </c>
      <c r="CC7">
        <f>SUMIFS(T_Shipments[Confirmed_Qty],T_Shipments[Part Name],$A7,T_Shipments[Effective_Week],80)</f>
        <v/>
      </c>
      <c r="CD7">
        <f>SUMIFS(T_Shipments[Confirmed_Qty],T_Shipments[Part Name],$A7,T_Shipments[Effective_Week],81)</f>
        <v/>
      </c>
      <c r="CE7">
        <f>SUMIFS(T_Shipments[Confirmed_Qty],T_Shipments[Part Name],$A7,T_Shipments[Effective_Week],82)</f>
        <v/>
      </c>
      <c r="CF7">
        <f>SUMIFS(T_Shipments[Confirmed_Qty],T_Shipments[Part Name],$A7,T_Shipments[Effective_Week],83)</f>
        <v/>
      </c>
      <c r="CG7">
        <f>SUMIFS(T_Shipments[Confirmed_Qty],T_Shipments[Part Name],$A7,T_Shipments[Effective_Week],84)</f>
        <v/>
      </c>
      <c r="CH7">
        <f>SUMIFS(T_Shipments[Confirmed_Qty],T_Shipments[Part Name],$A7,T_Shipments[Effective_Week],85)</f>
        <v/>
      </c>
      <c r="CI7">
        <f>SUMIFS(T_Shipments[Confirmed_Qty],T_Shipments[Part Name],$A7,T_Shipments[Effective_Week],86)</f>
        <v/>
      </c>
      <c r="CJ7">
        <f>SUMIFS(T_Shipments[Confirmed_Qty],T_Shipments[Part Name],$A7,T_Shipments[Effective_Week],87)</f>
        <v/>
      </c>
      <c r="CK7">
        <f>SUMIFS(T_Shipments[Confirmed_Qty],T_Shipments[Part Name],$A7,T_Shipments[Effective_Week],88)</f>
        <v/>
      </c>
      <c r="CL7">
        <f>SUMIFS(T_Shipments[Confirmed_Qty],T_Shipments[Part Name],$A7,T_Shipments[Effective_Week],89)</f>
        <v/>
      </c>
      <c r="CM7">
        <f>SUMIFS(T_Shipments[Confirmed_Qty],T_Shipments[Part Name],$A7,T_Shipments[Effective_Week],90)</f>
        <v/>
      </c>
      <c r="CN7">
        <f>SUMIFS(T_Shipments[Confirmed_Qty],T_Shipments[Part Name],$A7,T_Shipments[Effective_Week],91)</f>
        <v/>
      </c>
      <c r="CO7">
        <f>SUMIFS(T_Shipments[Confirmed_Qty],T_Shipments[Part Name],$A7,T_Shipments[Effective_Week],92)</f>
        <v/>
      </c>
      <c r="CP7">
        <f>SUMIFS(T_Shipments[Confirmed_Qty],T_Shipments[Part Name],$A7,T_Shipments[Effective_Week],93)</f>
        <v/>
      </c>
      <c r="CQ7">
        <f>SUMIFS(T_Shipments[Confirmed_Qty],T_Shipments[Part Name],$A7,T_Shipments[Effective_Week],94)</f>
        <v/>
      </c>
      <c r="CR7">
        <f>SUMIFS(T_Shipments[Confirmed_Qty],T_Shipments[Part Name],$A7,T_Shipments[Effective_Week],95)</f>
        <v/>
      </c>
      <c r="CS7">
        <f>SUMIFS(T_Shipments[Confirmed_Qty],T_Shipments[Part Name],$A7,T_Shipments[Effective_Week],96)</f>
        <v/>
      </c>
      <c r="CT7">
        <f>SUMIFS(T_Shipments[Confirmed_Qty],T_Shipments[Part Name],$A7,T_Shipments[Effective_Week],97)</f>
        <v/>
      </c>
      <c r="CU7">
        <f>SUMIFS(T_Shipments[Confirmed_Qty],T_Shipments[Part Name],$A7,T_Shipments[Effective_Week],98)</f>
        <v/>
      </c>
      <c r="CV7">
        <f>SUMIFS(T_Shipments[Confirmed_Qty],T_Shipments[Part Name],$A7,T_Shipments[Effective_Week],99)</f>
        <v/>
      </c>
      <c r="CW7">
        <f>SUMIFS(T_Shipments[Confirmed_Qty],T_Shipments[Part Name],$A7,T_Shipments[Effective_Week],100)</f>
        <v/>
      </c>
      <c r="CX7">
        <f>SUMIFS(T_Shipments[Confirmed_Qty],T_Shipments[Part Name],$A7,T_Shipments[Effective_Week],101)</f>
        <v/>
      </c>
      <c r="CY7">
        <f>SUMIFS(T_Shipments[Confirmed_Qty],T_Shipments[Part Name],$A7,T_Shipments[Effective_Week],102)</f>
        <v/>
      </c>
      <c r="CZ7">
        <f>SUMIFS(T_Shipments[Confirmed_Qty],T_Shipments[Part Name],$A7,T_Shipments[Effective_Week],103)</f>
        <v/>
      </c>
      <c r="DA7">
        <f>SUMIFS(T_Shipments[Confirmed_Qty],T_Shipments[Part Name],$A7,T_Shipments[Effective_Week],104)</f>
        <v/>
      </c>
    </row>
    <row r="8">
      <c r="A8" t="inlineStr">
        <is>
          <t>CHEM-1690</t>
        </is>
      </c>
      <c r="B8">
        <f>SUMIFS(T_Shipments[Confirmed_Qty],T_Shipments[Part Name],$A8,T_Shipments[Effective_Week],1)</f>
        <v/>
      </c>
      <c r="C8">
        <f>SUMIFS(T_Shipments[Confirmed_Qty],T_Shipments[Part Name],$A8,T_Shipments[Effective_Week],2)</f>
        <v/>
      </c>
      <c r="D8">
        <f>SUMIFS(T_Shipments[Confirmed_Qty],T_Shipments[Part Name],$A8,T_Shipments[Effective_Week],3)</f>
        <v/>
      </c>
      <c r="E8">
        <f>SUMIFS(T_Shipments[Confirmed_Qty],T_Shipments[Part Name],$A8,T_Shipments[Effective_Week],4)</f>
        <v/>
      </c>
      <c r="F8">
        <f>SUMIFS(T_Shipments[Confirmed_Qty],T_Shipments[Part Name],$A8,T_Shipments[Effective_Week],5)</f>
        <v/>
      </c>
      <c r="G8">
        <f>SUMIFS(T_Shipments[Confirmed_Qty],T_Shipments[Part Name],$A8,T_Shipments[Effective_Week],6)</f>
        <v/>
      </c>
      <c r="H8">
        <f>SUMIFS(T_Shipments[Confirmed_Qty],T_Shipments[Part Name],$A8,T_Shipments[Effective_Week],7)</f>
        <v/>
      </c>
      <c r="I8">
        <f>SUMIFS(T_Shipments[Confirmed_Qty],T_Shipments[Part Name],$A8,T_Shipments[Effective_Week],8)</f>
        <v/>
      </c>
      <c r="J8">
        <f>SUMIFS(T_Shipments[Confirmed_Qty],T_Shipments[Part Name],$A8,T_Shipments[Effective_Week],9)</f>
        <v/>
      </c>
      <c r="K8">
        <f>SUMIFS(T_Shipments[Confirmed_Qty],T_Shipments[Part Name],$A8,T_Shipments[Effective_Week],10)</f>
        <v/>
      </c>
      <c r="L8">
        <f>SUMIFS(T_Shipments[Confirmed_Qty],T_Shipments[Part Name],$A8,T_Shipments[Effective_Week],11)</f>
        <v/>
      </c>
      <c r="M8">
        <f>SUMIFS(T_Shipments[Confirmed_Qty],T_Shipments[Part Name],$A8,T_Shipments[Effective_Week],12)</f>
        <v/>
      </c>
      <c r="N8">
        <f>SUMIFS(T_Shipments[Confirmed_Qty],T_Shipments[Part Name],$A8,T_Shipments[Effective_Week],13)</f>
        <v/>
      </c>
      <c r="O8">
        <f>SUMIFS(T_Shipments[Confirmed_Qty],T_Shipments[Part Name],$A8,T_Shipments[Effective_Week],14)</f>
        <v/>
      </c>
      <c r="P8">
        <f>SUMIFS(T_Shipments[Confirmed_Qty],T_Shipments[Part Name],$A8,T_Shipments[Effective_Week],15)</f>
        <v/>
      </c>
      <c r="Q8">
        <f>SUMIFS(T_Shipments[Confirmed_Qty],T_Shipments[Part Name],$A8,T_Shipments[Effective_Week],16)</f>
        <v/>
      </c>
      <c r="R8">
        <f>SUMIFS(T_Shipments[Confirmed_Qty],T_Shipments[Part Name],$A8,T_Shipments[Effective_Week],17)</f>
        <v/>
      </c>
      <c r="S8">
        <f>SUMIFS(T_Shipments[Confirmed_Qty],T_Shipments[Part Name],$A8,T_Shipments[Effective_Week],18)</f>
        <v/>
      </c>
      <c r="T8">
        <f>SUMIFS(T_Shipments[Confirmed_Qty],T_Shipments[Part Name],$A8,T_Shipments[Effective_Week],19)</f>
        <v/>
      </c>
      <c r="U8">
        <f>SUMIFS(T_Shipments[Confirmed_Qty],T_Shipments[Part Name],$A8,T_Shipments[Effective_Week],20)</f>
        <v/>
      </c>
      <c r="V8">
        <f>SUMIFS(T_Shipments[Confirmed_Qty],T_Shipments[Part Name],$A8,T_Shipments[Effective_Week],21)</f>
        <v/>
      </c>
      <c r="W8">
        <f>SUMIFS(T_Shipments[Confirmed_Qty],T_Shipments[Part Name],$A8,T_Shipments[Effective_Week],22)</f>
        <v/>
      </c>
      <c r="X8">
        <f>SUMIFS(T_Shipments[Confirmed_Qty],T_Shipments[Part Name],$A8,T_Shipments[Effective_Week],23)</f>
        <v/>
      </c>
      <c r="Y8">
        <f>SUMIFS(T_Shipments[Confirmed_Qty],T_Shipments[Part Name],$A8,T_Shipments[Effective_Week],24)</f>
        <v/>
      </c>
      <c r="Z8">
        <f>SUMIFS(T_Shipments[Confirmed_Qty],T_Shipments[Part Name],$A8,T_Shipments[Effective_Week],25)</f>
        <v/>
      </c>
      <c r="AA8">
        <f>SUMIFS(T_Shipments[Confirmed_Qty],T_Shipments[Part Name],$A8,T_Shipments[Effective_Week],26)</f>
        <v/>
      </c>
      <c r="AB8">
        <f>SUMIFS(T_Shipments[Confirmed_Qty],T_Shipments[Part Name],$A8,T_Shipments[Effective_Week],27)</f>
        <v/>
      </c>
      <c r="AC8">
        <f>SUMIFS(T_Shipments[Confirmed_Qty],T_Shipments[Part Name],$A8,T_Shipments[Effective_Week],28)</f>
        <v/>
      </c>
      <c r="AD8">
        <f>SUMIFS(T_Shipments[Confirmed_Qty],T_Shipments[Part Name],$A8,T_Shipments[Effective_Week],29)</f>
        <v/>
      </c>
      <c r="AE8">
        <f>SUMIFS(T_Shipments[Confirmed_Qty],T_Shipments[Part Name],$A8,T_Shipments[Effective_Week],30)</f>
        <v/>
      </c>
      <c r="AF8">
        <f>SUMIFS(T_Shipments[Confirmed_Qty],T_Shipments[Part Name],$A8,T_Shipments[Effective_Week],31)</f>
        <v/>
      </c>
      <c r="AG8">
        <f>SUMIFS(T_Shipments[Confirmed_Qty],T_Shipments[Part Name],$A8,T_Shipments[Effective_Week],32)</f>
        <v/>
      </c>
      <c r="AH8">
        <f>SUMIFS(T_Shipments[Confirmed_Qty],T_Shipments[Part Name],$A8,T_Shipments[Effective_Week],33)</f>
        <v/>
      </c>
      <c r="AI8">
        <f>SUMIFS(T_Shipments[Confirmed_Qty],T_Shipments[Part Name],$A8,T_Shipments[Effective_Week],34)</f>
        <v/>
      </c>
      <c r="AJ8">
        <f>SUMIFS(T_Shipments[Confirmed_Qty],T_Shipments[Part Name],$A8,T_Shipments[Effective_Week],35)</f>
        <v/>
      </c>
      <c r="AK8">
        <f>SUMIFS(T_Shipments[Confirmed_Qty],T_Shipments[Part Name],$A8,T_Shipments[Effective_Week],36)</f>
        <v/>
      </c>
      <c r="AL8">
        <f>SUMIFS(T_Shipments[Confirmed_Qty],T_Shipments[Part Name],$A8,T_Shipments[Effective_Week],37)</f>
        <v/>
      </c>
      <c r="AM8">
        <f>SUMIFS(T_Shipments[Confirmed_Qty],T_Shipments[Part Name],$A8,T_Shipments[Effective_Week],38)</f>
        <v/>
      </c>
      <c r="AN8">
        <f>SUMIFS(T_Shipments[Confirmed_Qty],T_Shipments[Part Name],$A8,T_Shipments[Effective_Week],39)</f>
        <v/>
      </c>
      <c r="AO8">
        <f>SUMIFS(T_Shipments[Confirmed_Qty],T_Shipments[Part Name],$A8,T_Shipments[Effective_Week],40)</f>
        <v/>
      </c>
      <c r="AP8">
        <f>SUMIFS(T_Shipments[Confirmed_Qty],T_Shipments[Part Name],$A8,T_Shipments[Effective_Week],41)</f>
        <v/>
      </c>
      <c r="AQ8">
        <f>SUMIFS(T_Shipments[Confirmed_Qty],T_Shipments[Part Name],$A8,T_Shipments[Effective_Week],42)</f>
        <v/>
      </c>
      <c r="AR8">
        <f>SUMIFS(T_Shipments[Confirmed_Qty],T_Shipments[Part Name],$A8,T_Shipments[Effective_Week],43)</f>
        <v/>
      </c>
      <c r="AS8">
        <f>SUMIFS(T_Shipments[Confirmed_Qty],T_Shipments[Part Name],$A8,T_Shipments[Effective_Week],44)</f>
        <v/>
      </c>
      <c r="AT8">
        <f>SUMIFS(T_Shipments[Confirmed_Qty],T_Shipments[Part Name],$A8,T_Shipments[Effective_Week],45)</f>
        <v/>
      </c>
      <c r="AU8">
        <f>SUMIFS(T_Shipments[Confirmed_Qty],T_Shipments[Part Name],$A8,T_Shipments[Effective_Week],46)</f>
        <v/>
      </c>
      <c r="AV8">
        <f>SUMIFS(T_Shipments[Confirmed_Qty],T_Shipments[Part Name],$A8,T_Shipments[Effective_Week],47)</f>
        <v/>
      </c>
      <c r="AW8">
        <f>SUMIFS(T_Shipments[Confirmed_Qty],T_Shipments[Part Name],$A8,T_Shipments[Effective_Week],48)</f>
        <v/>
      </c>
      <c r="AX8">
        <f>SUMIFS(T_Shipments[Confirmed_Qty],T_Shipments[Part Name],$A8,T_Shipments[Effective_Week],49)</f>
        <v/>
      </c>
      <c r="AY8">
        <f>SUMIFS(T_Shipments[Confirmed_Qty],T_Shipments[Part Name],$A8,T_Shipments[Effective_Week],50)</f>
        <v/>
      </c>
      <c r="AZ8">
        <f>SUMIFS(T_Shipments[Confirmed_Qty],T_Shipments[Part Name],$A8,T_Shipments[Effective_Week],51)</f>
        <v/>
      </c>
      <c r="BA8">
        <f>SUMIFS(T_Shipments[Confirmed_Qty],T_Shipments[Part Name],$A8,T_Shipments[Effective_Week],52)</f>
        <v/>
      </c>
      <c r="BB8">
        <f>SUMIFS(T_Shipments[Confirmed_Qty],T_Shipments[Part Name],$A8,T_Shipments[Effective_Week],53)</f>
        <v/>
      </c>
      <c r="BC8">
        <f>SUMIFS(T_Shipments[Confirmed_Qty],T_Shipments[Part Name],$A8,T_Shipments[Effective_Week],54)</f>
        <v/>
      </c>
      <c r="BD8">
        <f>SUMIFS(T_Shipments[Confirmed_Qty],T_Shipments[Part Name],$A8,T_Shipments[Effective_Week],55)</f>
        <v/>
      </c>
      <c r="BE8">
        <f>SUMIFS(T_Shipments[Confirmed_Qty],T_Shipments[Part Name],$A8,T_Shipments[Effective_Week],56)</f>
        <v/>
      </c>
      <c r="BF8">
        <f>SUMIFS(T_Shipments[Confirmed_Qty],T_Shipments[Part Name],$A8,T_Shipments[Effective_Week],57)</f>
        <v/>
      </c>
      <c r="BG8">
        <f>SUMIFS(T_Shipments[Confirmed_Qty],T_Shipments[Part Name],$A8,T_Shipments[Effective_Week],58)</f>
        <v/>
      </c>
      <c r="BH8">
        <f>SUMIFS(T_Shipments[Confirmed_Qty],T_Shipments[Part Name],$A8,T_Shipments[Effective_Week],59)</f>
        <v/>
      </c>
      <c r="BI8">
        <f>SUMIFS(T_Shipments[Confirmed_Qty],T_Shipments[Part Name],$A8,T_Shipments[Effective_Week],60)</f>
        <v/>
      </c>
      <c r="BJ8">
        <f>SUMIFS(T_Shipments[Confirmed_Qty],T_Shipments[Part Name],$A8,T_Shipments[Effective_Week],61)</f>
        <v/>
      </c>
      <c r="BK8">
        <f>SUMIFS(T_Shipments[Confirmed_Qty],T_Shipments[Part Name],$A8,T_Shipments[Effective_Week],62)</f>
        <v/>
      </c>
      <c r="BL8">
        <f>SUMIFS(T_Shipments[Confirmed_Qty],T_Shipments[Part Name],$A8,T_Shipments[Effective_Week],63)</f>
        <v/>
      </c>
      <c r="BM8">
        <f>SUMIFS(T_Shipments[Confirmed_Qty],T_Shipments[Part Name],$A8,T_Shipments[Effective_Week],64)</f>
        <v/>
      </c>
      <c r="BN8">
        <f>SUMIFS(T_Shipments[Confirmed_Qty],T_Shipments[Part Name],$A8,T_Shipments[Effective_Week],65)</f>
        <v/>
      </c>
      <c r="BO8">
        <f>SUMIFS(T_Shipments[Confirmed_Qty],T_Shipments[Part Name],$A8,T_Shipments[Effective_Week],66)</f>
        <v/>
      </c>
      <c r="BP8">
        <f>SUMIFS(T_Shipments[Confirmed_Qty],T_Shipments[Part Name],$A8,T_Shipments[Effective_Week],67)</f>
        <v/>
      </c>
      <c r="BQ8">
        <f>SUMIFS(T_Shipments[Confirmed_Qty],T_Shipments[Part Name],$A8,T_Shipments[Effective_Week],68)</f>
        <v/>
      </c>
      <c r="BR8">
        <f>SUMIFS(T_Shipments[Confirmed_Qty],T_Shipments[Part Name],$A8,T_Shipments[Effective_Week],69)</f>
        <v/>
      </c>
      <c r="BS8">
        <f>SUMIFS(T_Shipments[Confirmed_Qty],T_Shipments[Part Name],$A8,T_Shipments[Effective_Week],70)</f>
        <v/>
      </c>
      <c r="BT8">
        <f>SUMIFS(T_Shipments[Confirmed_Qty],T_Shipments[Part Name],$A8,T_Shipments[Effective_Week],71)</f>
        <v/>
      </c>
      <c r="BU8">
        <f>SUMIFS(T_Shipments[Confirmed_Qty],T_Shipments[Part Name],$A8,T_Shipments[Effective_Week],72)</f>
        <v/>
      </c>
      <c r="BV8">
        <f>SUMIFS(T_Shipments[Confirmed_Qty],T_Shipments[Part Name],$A8,T_Shipments[Effective_Week],73)</f>
        <v/>
      </c>
      <c r="BW8">
        <f>SUMIFS(T_Shipments[Confirmed_Qty],T_Shipments[Part Name],$A8,T_Shipments[Effective_Week],74)</f>
        <v/>
      </c>
      <c r="BX8">
        <f>SUMIFS(T_Shipments[Confirmed_Qty],T_Shipments[Part Name],$A8,T_Shipments[Effective_Week],75)</f>
        <v/>
      </c>
      <c r="BY8">
        <f>SUMIFS(T_Shipments[Confirmed_Qty],T_Shipments[Part Name],$A8,T_Shipments[Effective_Week],76)</f>
        <v/>
      </c>
      <c r="BZ8">
        <f>SUMIFS(T_Shipments[Confirmed_Qty],T_Shipments[Part Name],$A8,T_Shipments[Effective_Week],77)</f>
        <v/>
      </c>
      <c r="CA8">
        <f>SUMIFS(T_Shipments[Confirmed_Qty],T_Shipments[Part Name],$A8,T_Shipments[Effective_Week],78)</f>
        <v/>
      </c>
      <c r="CB8">
        <f>SUMIFS(T_Shipments[Confirmed_Qty],T_Shipments[Part Name],$A8,T_Shipments[Effective_Week],79)</f>
        <v/>
      </c>
      <c r="CC8">
        <f>SUMIFS(T_Shipments[Confirmed_Qty],T_Shipments[Part Name],$A8,T_Shipments[Effective_Week],80)</f>
        <v/>
      </c>
      <c r="CD8">
        <f>SUMIFS(T_Shipments[Confirmed_Qty],T_Shipments[Part Name],$A8,T_Shipments[Effective_Week],81)</f>
        <v/>
      </c>
      <c r="CE8">
        <f>SUMIFS(T_Shipments[Confirmed_Qty],T_Shipments[Part Name],$A8,T_Shipments[Effective_Week],82)</f>
        <v/>
      </c>
      <c r="CF8">
        <f>SUMIFS(T_Shipments[Confirmed_Qty],T_Shipments[Part Name],$A8,T_Shipments[Effective_Week],83)</f>
        <v/>
      </c>
      <c r="CG8">
        <f>SUMIFS(T_Shipments[Confirmed_Qty],T_Shipments[Part Name],$A8,T_Shipments[Effective_Week],84)</f>
        <v/>
      </c>
      <c r="CH8">
        <f>SUMIFS(T_Shipments[Confirmed_Qty],T_Shipments[Part Name],$A8,T_Shipments[Effective_Week],85)</f>
        <v/>
      </c>
      <c r="CI8">
        <f>SUMIFS(T_Shipments[Confirmed_Qty],T_Shipments[Part Name],$A8,T_Shipments[Effective_Week],86)</f>
        <v/>
      </c>
      <c r="CJ8">
        <f>SUMIFS(T_Shipments[Confirmed_Qty],T_Shipments[Part Name],$A8,T_Shipments[Effective_Week],87)</f>
        <v/>
      </c>
      <c r="CK8">
        <f>SUMIFS(T_Shipments[Confirmed_Qty],T_Shipments[Part Name],$A8,T_Shipments[Effective_Week],88)</f>
        <v/>
      </c>
      <c r="CL8">
        <f>SUMIFS(T_Shipments[Confirmed_Qty],T_Shipments[Part Name],$A8,T_Shipments[Effective_Week],89)</f>
        <v/>
      </c>
      <c r="CM8">
        <f>SUMIFS(T_Shipments[Confirmed_Qty],T_Shipments[Part Name],$A8,T_Shipments[Effective_Week],90)</f>
        <v/>
      </c>
      <c r="CN8">
        <f>SUMIFS(T_Shipments[Confirmed_Qty],T_Shipments[Part Name],$A8,T_Shipments[Effective_Week],91)</f>
        <v/>
      </c>
      <c r="CO8">
        <f>SUMIFS(T_Shipments[Confirmed_Qty],T_Shipments[Part Name],$A8,T_Shipments[Effective_Week],92)</f>
        <v/>
      </c>
      <c r="CP8">
        <f>SUMIFS(T_Shipments[Confirmed_Qty],T_Shipments[Part Name],$A8,T_Shipments[Effective_Week],93)</f>
        <v/>
      </c>
      <c r="CQ8">
        <f>SUMIFS(T_Shipments[Confirmed_Qty],T_Shipments[Part Name],$A8,T_Shipments[Effective_Week],94)</f>
        <v/>
      </c>
      <c r="CR8">
        <f>SUMIFS(T_Shipments[Confirmed_Qty],T_Shipments[Part Name],$A8,T_Shipments[Effective_Week],95)</f>
        <v/>
      </c>
      <c r="CS8">
        <f>SUMIFS(T_Shipments[Confirmed_Qty],T_Shipments[Part Name],$A8,T_Shipments[Effective_Week],96)</f>
        <v/>
      </c>
      <c r="CT8">
        <f>SUMIFS(T_Shipments[Confirmed_Qty],T_Shipments[Part Name],$A8,T_Shipments[Effective_Week],97)</f>
        <v/>
      </c>
      <c r="CU8">
        <f>SUMIFS(T_Shipments[Confirmed_Qty],T_Shipments[Part Name],$A8,T_Shipments[Effective_Week],98)</f>
        <v/>
      </c>
      <c r="CV8">
        <f>SUMIFS(T_Shipments[Confirmed_Qty],T_Shipments[Part Name],$A8,T_Shipments[Effective_Week],99)</f>
        <v/>
      </c>
      <c r="CW8">
        <f>SUMIFS(T_Shipments[Confirmed_Qty],T_Shipments[Part Name],$A8,T_Shipments[Effective_Week],100)</f>
        <v/>
      </c>
      <c r="CX8">
        <f>SUMIFS(T_Shipments[Confirmed_Qty],T_Shipments[Part Name],$A8,T_Shipments[Effective_Week],101)</f>
        <v/>
      </c>
      <c r="CY8">
        <f>SUMIFS(T_Shipments[Confirmed_Qty],T_Shipments[Part Name],$A8,T_Shipments[Effective_Week],102)</f>
        <v/>
      </c>
      <c r="CZ8">
        <f>SUMIFS(T_Shipments[Confirmed_Qty],T_Shipments[Part Name],$A8,T_Shipments[Effective_Week],103)</f>
        <v/>
      </c>
      <c r="DA8">
        <f>SUMIFS(T_Shipments[Confirmed_Qty],T_Shipments[Part Name],$A8,T_Shipments[Effective_Week],104)</f>
        <v/>
      </c>
    </row>
    <row r="9">
      <c r="A9" t="inlineStr">
        <is>
          <t>CHEM-1720</t>
        </is>
      </c>
      <c r="B9">
        <f>SUMIFS(T_Shipments[Confirmed_Qty],T_Shipments[Part Name],$A9,T_Shipments[Effective_Week],1)</f>
        <v/>
      </c>
      <c r="C9">
        <f>SUMIFS(T_Shipments[Confirmed_Qty],T_Shipments[Part Name],$A9,T_Shipments[Effective_Week],2)</f>
        <v/>
      </c>
      <c r="D9">
        <f>SUMIFS(T_Shipments[Confirmed_Qty],T_Shipments[Part Name],$A9,T_Shipments[Effective_Week],3)</f>
        <v/>
      </c>
      <c r="E9">
        <f>SUMIFS(T_Shipments[Confirmed_Qty],T_Shipments[Part Name],$A9,T_Shipments[Effective_Week],4)</f>
        <v/>
      </c>
      <c r="F9">
        <f>SUMIFS(T_Shipments[Confirmed_Qty],T_Shipments[Part Name],$A9,T_Shipments[Effective_Week],5)</f>
        <v/>
      </c>
      <c r="G9">
        <f>SUMIFS(T_Shipments[Confirmed_Qty],T_Shipments[Part Name],$A9,T_Shipments[Effective_Week],6)</f>
        <v/>
      </c>
      <c r="H9">
        <f>SUMIFS(T_Shipments[Confirmed_Qty],T_Shipments[Part Name],$A9,T_Shipments[Effective_Week],7)</f>
        <v/>
      </c>
      <c r="I9">
        <f>SUMIFS(T_Shipments[Confirmed_Qty],T_Shipments[Part Name],$A9,T_Shipments[Effective_Week],8)</f>
        <v/>
      </c>
      <c r="J9">
        <f>SUMIFS(T_Shipments[Confirmed_Qty],T_Shipments[Part Name],$A9,T_Shipments[Effective_Week],9)</f>
        <v/>
      </c>
      <c r="K9">
        <f>SUMIFS(T_Shipments[Confirmed_Qty],T_Shipments[Part Name],$A9,T_Shipments[Effective_Week],10)</f>
        <v/>
      </c>
      <c r="L9">
        <f>SUMIFS(T_Shipments[Confirmed_Qty],T_Shipments[Part Name],$A9,T_Shipments[Effective_Week],11)</f>
        <v/>
      </c>
      <c r="M9">
        <f>SUMIFS(T_Shipments[Confirmed_Qty],T_Shipments[Part Name],$A9,T_Shipments[Effective_Week],12)</f>
        <v/>
      </c>
      <c r="N9">
        <f>SUMIFS(T_Shipments[Confirmed_Qty],T_Shipments[Part Name],$A9,T_Shipments[Effective_Week],13)</f>
        <v/>
      </c>
      <c r="O9">
        <f>SUMIFS(T_Shipments[Confirmed_Qty],T_Shipments[Part Name],$A9,T_Shipments[Effective_Week],14)</f>
        <v/>
      </c>
      <c r="P9">
        <f>SUMIFS(T_Shipments[Confirmed_Qty],T_Shipments[Part Name],$A9,T_Shipments[Effective_Week],15)</f>
        <v/>
      </c>
      <c r="Q9">
        <f>SUMIFS(T_Shipments[Confirmed_Qty],T_Shipments[Part Name],$A9,T_Shipments[Effective_Week],16)</f>
        <v/>
      </c>
      <c r="R9">
        <f>SUMIFS(T_Shipments[Confirmed_Qty],T_Shipments[Part Name],$A9,T_Shipments[Effective_Week],17)</f>
        <v/>
      </c>
      <c r="S9">
        <f>SUMIFS(T_Shipments[Confirmed_Qty],T_Shipments[Part Name],$A9,T_Shipments[Effective_Week],18)</f>
        <v/>
      </c>
      <c r="T9">
        <f>SUMIFS(T_Shipments[Confirmed_Qty],T_Shipments[Part Name],$A9,T_Shipments[Effective_Week],19)</f>
        <v/>
      </c>
      <c r="U9">
        <f>SUMIFS(T_Shipments[Confirmed_Qty],T_Shipments[Part Name],$A9,T_Shipments[Effective_Week],20)</f>
        <v/>
      </c>
      <c r="V9">
        <f>SUMIFS(T_Shipments[Confirmed_Qty],T_Shipments[Part Name],$A9,T_Shipments[Effective_Week],21)</f>
        <v/>
      </c>
      <c r="W9">
        <f>SUMIFS(T_Shipments[Confirmed_Qty],T_Shipments[Part Name],$A9,T_Shipments[Effective_Week],22)</f>
        <v/>
      </c>
      <c r="X9">
        <f>SUMIFS(T_Shipments[Confirmed_Qty],T_Shipments[Part Name],$A9,T_Shipments[Effective_Week],23)</f>
        <v/>
      </c>
      <c r="Y9">
        <f>SUMIFS(T_Shipments[Confirmed_Qty],T_Shipments[Part Name],$A9,T_Shipments[Effective_Week],24)</f>
        <v/>
      </c>
      <c r="Z9">
        <f>SUMIFS(T_Shipments[Confirmed_Qty],T_Shipments[Part Name],$A9,T_Shipments[Effective_Week],25)</f>
        <v/>
      </c>
      <c r="AA9">
        <f>SUMIFS(T_Shipments[Confirmed_Qty],T_Shipments[Part Name],$A9,T_Shipments[Effective_Week],26)</f>
        <v/>
      </c>
      <c r="AB9">
        <f>SUMIFS(T_Shipments[Confirmed_Qty],T_Shipments[Part Name],$A9,T_Shipments[Effective_Week],27)</f>
        <v/>
      </c>
      <c r="AC9">
        <f>SUMIFS(T_Shipments[Confirmed_Qty],T_Shipments[Part Name],$A9,T_Shipments[Effective_Week],28)</f>
        <v/>
      </c>
      <c r="AD9">
        <f>SUMIFS(T_Shipments[Confirmed_Qty],T_Shipments[Part Name],$A9,T_Shipments[Effective_Week],29)</f>
        <v/>
      </c>
      <c r="AE9">
        <f>SUMIFS(T_Shipments[Confirmed_Qty],T_Shipments[Part Name],$A9,T_Shipments[Effective_Week],30)</f>
        <v/>
      </c>
      <c r="AF9">
        <f>SUMIFS(T_Shipments[Confirmed_Qty],T_Shipments[Part Name],$A9,T_Shipments[Effective_Week],31)</f>
        <v/>
      </c>
      <c r="AG9">
        <f>SUMIFS(T_Shipments[Confirmed_Qty],T_Shipments[Part Name],$A9,T_Shipments[Effective_Week],32)</f>
        <v/>
      </c>
      <c r="AH9">
        <f>SUMIFS(T_Shipments[Confirmed_Qty],T_Shipments[Part Name],$A9,T_Shipments[Effective_Week],33)</f>
        <v/>
      </c>
      <c r="AI9">
        <f>SUMIFS(T_Shipments[Confirmed_Qty],T_Shipments[Part Name],$A9,T_Shipments[Effective_Week],34)</f>
        <v/>
      </c>
      <c r="AJ9">
        <f>SUMIFS(T_Shipments[Confirmed_Qty],T_Shipments[Part Name],$A9,T_Shipments[Effective_Week],35)</f>
        <v/>
      </c>
      <c r="AK9">
        <f>SUMIFS(T_Shipments[Confirmed_Qty],T_Shipments[Part Name],$A9,T_Shipments[Effective_Week],36)</f>
        <v/>
      </c>
      <c r="AL9">
        <f>SUMIFS(T_Shipments[Confirmed_Qty],T_Shipments[Part Name],$A9,T_Shipments[Effective_Week],37)</f>
        <v/>
      </c>
      <c r="AM9">
        <f>SUMIFS(T_Shipments[Confirmed_Qty],T_Shipments[Part Name],$A9,T_Shipments[Effective_Week],38)</f>
        <v/>
      </c>
      <c r="AN9">
        <f>SUMIFS(T_Shipments[Confirmed_Qty],T_Shipments[Part Name],$A9,T_Shipments[Effective_Week],39)</f>
        <v/>
      </c>
      <c r="AO9">
        <f>SUMIFS(T_Shipments[Confirmed_Qty],T_Shipments[Part Name],$A9,T_Shipments[Effective_Week],40)</f>
        <v/>
      </c>
      <c r="AP9">
        <f>SUMIFS(T_Shipments[Confirmed_Qty],T_Shipments[Part Name],$A9,T_Shipments[Effective_Week],41)</f>
        <v/>
      </c>
      <c r="AQ9">
        <f>SUMIFS(T_Shipments[Confirmed_Qty],T_Shipments[Part Name],$A9,T_Shipments[Effective_Week],42)</f>
        <v/>
      </c>
      <c r="AR9">
        <f>SUMIFS(T_Shipments[Confirmed_Qty],T_Shipments[Part Name],$A9,T_Shipments[Effective_Week],43)</f>
        <v/>
      </c>
      <c r="AS9">
        <f>SUMIFS(T_Shipments[Confirmed_Qty],T_Shipments[Part Name],$A9,T_Shipments[Effective_Week],44)</f>
        <v/>
      </c>
      <c r="AT9">
        <f>SUMIFS(T_Shipments[Confirmed_Qty],T_Shipments[Part Name],$A9,T_Shipments[Effective_Week],45)</f>
        <v/>
      </c>
      <c r="AU9">
        <f>SUMIFS(T_Shipments[Confirmed_Qty],T_Shipments[Part Name],$A9,T_Shipments[Effective_Week],46)</f>
        <v/>
      </c>
      <c r="AV9">
        <f>SUMIFS(T_Shipments[Confirmed_Qty],T_Shipments[Part Name],$A9,T_Shipments[Effective_Week],47)</f>
        <v/>
      </c>
      <c r="AW9">
        <f>SUMIFS(T_Shipments[Confirmed_Qty],T_Shipments[Part Name],$A9,T_Shipments[Effective_Week],48)</f>
        <v/>
      </c>
      <c r="AX9">
        <f>SUMIFS(T_Shipments[Confirmed_Qty],T_Shipments[Part Name],$A9,T_Shipments[Effective_Week],49)</f>
        <v/>
      </c>
      <c r="AY9">
        <f>SUMIFS(T_Shipments[Confirmed_Qty],T_Shipments[Part Name],$A9,T_Shipments[Effective_Week],50)</f>
        <v/>
      </c>
      <c r="AZ9">
        <f>SUMIFS(T_Shipments[Confirmed_Qty],T_Shipments[Part Name],$A9,T_Shipments[Effective_Week],51)</f>
        <v/>
      </c>
      <c r="BA9">
        <f>SUMIFS(T_Shipments[Confirmed_Qty],T_Shipments[Part Name],$A9,T_Shipments[Effective_Week],52)</f>
        <v/>
      </c>
      <c r="BB9">
        <f>SUMIFS(T_Shipments[Confirmed_Qty],T_Shipments[Part Name],$A9,T_Shipments[Effective_Week],53)</f>
        <v/>
      </c>
      <c r="BC9">
        <f>SUMIFS(T_Shipments[Confirmed_Qty],T_Shipments[Part Name],$A9,T_Shipments[Effective_Week],54)</f>
        <v/>
      </c>
      <c r="BD9">
        <f>SUMIFS(T_Shipments[Confirmed_Qty],T_Shipments[Part Name],$A9,T_Shipments[Effective_Week],55)</f>
        <v/>
      </c>
      <c r="BE9">
        <f>SUMIFS(T_Shipments[Confirmed_Qty],T_Shipments[Part Name],$A9,T_Shipments[Effective_Week],56)</f>
        <v/>
      </c>
      <c r="BF9">
        <f>SUMIFS(T_Shipments[Confirmed_Qty],T_Shipments[Part Name],$A9,T_Shipments[Effective_Week],57)</f>
        <v/>
      </c>
      <c r="BG9">
        <f>SUMIFS(T_Shipments[Confirmed_Qty],T_Shipments[Part Name],$A9,T_Shipments[Effective_Week],58)</f>
        <v/>
      </c>
      <c r="BH9">
        <f>SUMIFS(T_Shipments[Confirmed_Qty],T_Shipments[Part Name],$A9,T_Shipments[Effective_Week],59)</f>
        <v/>
      </c>
      <c r="BI9">
        <f>SUMIFS(T_Shipments[Confirmed_Qty],T_Shipments[Part Name],$A9,T_Shipments[Effective_Week],60)</f>
        <v/>
      </c>
      <c r="BJ9">
        <f>SUMIFS(T_Shipments[Confirmed_Qty],T_Shipments[Part Name],$A9,T_Shipments[Effective_Week],61)</f>
        <v/>
      </c>
      <c r="BK9">
        <f>SUMIFS(T_Shipments[Confirmed_Qty],T_Shipments[Part Name],$A9,T_Shipments[Effective_Week],62)</f>
        <v/>
      </c>
      <c r="BL9">
        <f>SUMIFS(T_Shipments[Confirmed_Qty],T_Shipments[Part Name],$A9,T_Shipments[Effective_Week],63)</f>
        <v/>
      </c>
      <c r="BM9">
        <f>SUMIFS(T_Shipments[Confirmed_Qty],T_Shipments[Part Name],$A9,T_Shipments[Effective_Week],64)</f>
        <v/>
      </c>
      <c r="BN9">
        <f>SUMIFS(T_Shipments[Confirmed_Qty],T_Shipments[Part Name],$A9,T_Shipments[Effective_Week],65)</f>
        <v/>
      </c>
      <c r="BO9">
        <f>SUMIFS(T_Shipments[Confirmed_Qty],T_Shipments[Part Name],$A9,T_Shipments[Effective_Week],66)</f>
        <v/>
      </c>
      <c r="BP9">
        <f>SUMIFS(T_Shipments[Confirmed_Qty],T_Shipments[Part Name],$A9,T_Shipments[Effective_Week],67)</f>
        <v/>
      </c>
      <c r="BQ9">
        <f>SUMIFS(T_Shipments[Confirmed_Qty],T_Shipments[Part Name],$A9,T_Shipments[Effective_Week],68)</f>
        <v/>
      </c>
      <c r="BR9">
        <f>SUMIFS(T_Shipments[Confirmed_Qty],T_Shipments[Part Name],$A9,T_Shipments[Effective_Week],69)</f>
        <v/>
      </c>
      <c r="BS9">
        <f>SUMIFS(T_Shipments[Confirmed_Qty],T_Shipments[Part Name],$A9,T_Shipments[Effective_Week],70)</f>
        <v/>
      </c>
      <c r="BT9">
        <f>SUMIFS(T_Shipments[Confirmed_Qty],T_Shipments[Part Name],$A9,T_Shipments[Effective_Week],71)</f>
        <v/>
      </c>
      <c r="BU9">
        <f>SUMIFS(T_Shipments[Confirmed_Qty],T_Shipments[Part Name],$A9,T_Shipments[Effective_Week],72)</f>
        <v/>
      </c>
      <c r="BV9">
        <f>SUMIFS(T_Shipments[Confirmed_Qty],T_Shipments[Part Name],$A9,T_Shipments[Effective_Week],73)</f>
        <v/>
      </c>
      <c r="BW9">
        <f>SUMIFS(T_Shipments[Confirmed_Qty],T_Shipments[Part Name],$A9,T_Shipments[Effective_Week],74)</f>
        <v/>
      </c>
      <c r="BX9">
        <f>SUMIFS(T_Shipments[Confirmed_Qty],T_Shipments[Part Name],$A9,T_Shipments[Effective_Week],75)</f>
        <v/>
      </c>
      <c r="BY9">
        <f>SUMIFS(T_Shipments[Confirmed_Qty],T_Shipments[Part Name],$A9,T_Shipments[Effective_Week],76)</f>
        <v/>
      </c>
      <c r="BZ9">
        <f>SUMIFS(T_Shipments[Confirmed_Qty],T_Shipments[Part Name],$A9,T_Shipments[Effective_Week],77)</f>
        <v/>
      </c>
      <c r="CA9">
        <f>SUMIFS(T_Shipments[Confirmed_Qty],T_Shipments[Part Name],$A9,T_Shipments[Effective_Week],78)</f>
        <v/>
      </c>
      <c r="CB9">
        <f>SUMIFS(T_Shipments[Confirmed_Qty],T_Shipments[Part Name],$A9,T_Shipments[Effective_Week],79)</f>
        <v/>
      </c>
      <c r="CC9">
        <f>SUMIFS(T_Shipments[Confirmed_Qty],T_Shipments[Part Name],$A9,T_Shipments[Effective_Week],80)</f>
        <v/>
      </c>
      <c r="CD9">
        <f>SUMIFS(T_Shipments[Confirmed_Qty],T_Shipments[Part Name],$A9,T_Shipments[Effective_Week],81)</f>
        <v/>
      </c>
      <c r="CE9">
        <f>SUMIFS(T_Shipments[Confirmed_Qty],T_Shipments[Part Name],$A9,T_Shipments[Effective_Week],82)</f>
        <v/>
      </c>
      <c r="CF9">
        <f>SUMIFS(T_Shipments[Confirmed_Qty],T_Shipments[Part Name],$A9,T_Shipments[Effective_Week],83)</f>
        <v/>
      </c>
      <c r="CG9">
        <f>SUMIFS(T_Shipments[Confirmed_Qty],T_Shipments[Part Name],$A9,T_Shipments[Effective_Week],84)</f>
        <v/>
      </c>
      <c r="CH9">
        <f>SUMIFS(T_Shipments[Confirmed_Qty],T_Shipments[Part Name],$A9,T_Shipments[Effective_Week],85)</f>
        <v/>
      </c>
      <c r="CI9">
        <f>SUMIFS(T_Shipments[Confirmed_Qty],T_Shipments[Part Name],$A9,T_Shipments[Effective_Week],86)</f>
        <v/>
      </c>
      <c r="CJ9">
        <f>SUMIFS(T_Shipments[Confirmed_Qty],T_Shipments[Part Name],$A9,T_Shipments[Effective_Week],87)</f>
        <v/>
      </c>
      <c r="CK9">
        <f>SUMIFS(T_Shipments[Confirmed_Qty],T_Shipments[Part Name],$A9,T_Shipments[Effective_Week],88)</f>
        <v/>
      </c>
      <c r="CL9">
        <f>SUMIFS(T_Shipments[Confirmed_Qty],T_Shipments[Part Name],$A9,T_Shipments[Effective_Week],89)</f>
        <v/>
      </c>
      <c r="CM9">
        <f>SUMIFS(T_Shipments[Confirmed_Qty],T_Shipments[Part Name],$A9,T_Shipments[Effective_Week],90)</f>
        <v/>
      </c>
      <c r="CN9">
        <f>SUMIFS(T_Shipments[Confirmed_Qty],T_Shipments[Part Name],$A9,T_Shipments[Effective_Week],91)</f>
        <v/>
      </c>
      <c r="CO9">
        <f>SUMIFS(T_Shipments[Confirmed_Qty],T_Shipments[Part Name],$A9,T_Shipments[Effective_Week],92)</f>
        <v/>
      </c>
      <c r="CP9">
        <f>SUMIFS(T_Shipments[Confirmed_Qty],T_Shipments[Part Name],$A9,T_Shipments[Effective_Week],93)</f>
        <v/>
      </c>
      <c r="CQ9">
        <f>SUMIFS(T_Shipments[Confirmed_Qty],T_Shipments[Part Name],$A9,T_Shipments[Effective_Week],94)</f>
        <v/>
      </c>
      <c r="CR9">
        <f>SUMIFS(T_Shipments[Confirmed_Qty],T_Shipments[Part Name],$A9,T_Shipments[Effective_Week],95)</f>
        <v/>
      </c>
      <c r="CS9">
        <f>SUMIFS(T_Shipments[Confirmed_Qty],T_Shipments[Part Name],$A9,T_Shipments[Effective_Week],96)</f>
        <v/>
      </c>
      <c r="CT9">
        <f>SUMIFS(T_Shipments[Confirmed_Qty],T_Shipments[Part Name],$A9,T_Shipments[Effective_Week],97)</f>
        <v/>
      </c>
      <c r="CU9">
        <f>SUMIFS(T_Shipments[Confirmed_Qty],T_Shipments[Part Name],$A9,T_Shipments[Effective_Week],98)</f>
        <v/>
      </c>
      <c r="CV9">
        <f>SUMIFS(T_Shipments[Confirmed_Qty],T_Shipments[Part Name],$A9,T_Shipments[Effective_Week],99)</f>
        <v/>
      </c>
      <c r="CW9">
        <f>SUMIFS(T_Shipments[Confirmed_Qty],T_Shipments[Part Name],$A9,T_Shipments[Effective_Week],100)</f>
        <v/>
      </c>
      <c r="CX9">
        <f>SUMIFS(T_Shipments[Confirmed_Qty],T_Shipments[Part Name],$A9,T_Shipments[Effective_Week],101)</f>
        <v/>
      </c>
      <c r="CY9">
        <f>SUMIFS(T_Shipments[Confirmed_Qty],T_Shipments[Part Name],$A9,T_Shipments[Effective_Week],102)</f>
        <v/>
      </c>
      <c r="CZ9">
        <f>SUMIFS(T_Shipments[Confirmed_Qty],T_Shipments[Part Name],$A9,T_Shipments[Effective_Week],103)</f>
        <v/>
      </c>
      <c r="DA9">
        <f>SUMIFS(T_Shipments[Confirmed_Qty],T_Shipments[Part Name],$A9,T_Shipments[Effective_Week],104)</f>
        <v/>
      </c>
    </row>
    <row r="10">
      <c r="A10" t="inlineStr">
        <is>
          <t>CHEM-1440</t>
        </is>
      </c>
      <c r="B10">
        <f>SUMIFS(T_Shipments[Confirmed_Qty],T_Shipments[Part Name],$A10,T_Shipments[Effective_Week],1)</f>
        <v/>
      </c>
      <c r="C10">
        <f>SUMIFS(T_Shipments[Confirmed_Qty],T_Shipments[Part Name],$A10,T_Shipments[Effective_Week],2)</f>
        <v/>
      </c>
      <c r="D10">
        <f>SUMIFS(T_Shipments[Confirmed_Qty],T_Shipments[Part Name],$A10,T_Shipments[Effective_Week],3)</f>
        <v/>
      </c>
      <c r="E10">
        <f>SUMIFS(T_Shipments[Confirmed_Qty],T_Shipments[Part Name],$A10,T_Shipments[Effective_Week],4)</f>
        <v/>
      </c>
      <c r="F10">
        <f>SUMIFS(T_Shipments[Confirmed_Qty],T_Shipments[Part Name],$A10,T_Shipments[Effective_Week],5)</f>
        <v/>
      </c>
      <c r="G10">
        <f>SUMIFS(T_Shipments[Confirmed_Qty],T_Shipments[Part Name],$A10,T_Shipments[Effective_Week],6)</f>
        <v/>
      </c>
      <c r="H10">
        <f>SUMIFS(T_Shipments[Confirmed_Qty],T_Shipments[Part Name],$A10,T_Shipments[Effective_Week],7)</f>
        <v/>
      </c>
      <c r="I10">
        <f>SUMIFS(T_Shipments[Confirmed_Qty],T_Shipments[Part Name],$A10,T_Shipments[Effective_Week],8)</f>
        <v/>
      </c>
      <c r="J10">
        <f>SUMIFS(T_Shipments[Confirmed_Qty],T_Shipments[Part Name],$A10,T_Shipments[Effective_Week],9)</f>
        <v/>
      </c>
      <c r="K10">
        <f>SUMIFS(T_Shipments[Confirmed_Qty],T_Shipments[Part Name],$A10,T_Shipments[Effective_Week],10)</f>
        <v/>
      </c>
      <c r="L10">
        <f>SUMIFS(T_Shipments[Confirmed_Qty],T_Shipments[Part Name],$A10,T_Shipments[Effective_Week],11)</f>
        <v/>
      </c>
      <c r="M10">
        <f>SUMIFS(T_Shipments[Confirmed_Qty],T_Shipments[Part Name],$A10,T_Shipments[Effective_Week],12)</f>
        <v/>
      </c>
      <c r="N10">
        <f>SUMIFS(T_Shipments[Confirmed_Qty],T_Shipments[Part Name],$A10,T_Shipments[Effective_Week],13)</f>
        <v/>
      </c>
      <c r="O10">
        <f>SUMIFS(T_Shipments[Confirmed_Qty],T_Shipments[Part Name],$A10,T_Shipments[Effective_Week],14)</f>
        <v/>
      </c>
      <c r="P10">
        <f>SUMIFS(T_Shipments[Confirmed_Qty],T_Shipments[Part Name],$A10,T_Shipments[Effective_Week],15)</f>
        <v/>
      </c>
      <c r="Q10">
        <f>SUMIFS(T_Shipments[Confirmed_Qty],T_Shipments[Part Name],$A10,T_Shipments[Effective_Week],16)</f>
        <v/>
      </c>
      <c r="R10">
        <f>SUMIFS(T_Shipments[Confirmed_Qty],T_Shipments[Part Name],$A10,T_Shipments[Effective_Week],17)</f>
        <v/>
      </c>
      <c r="S10">
        <f>SUMIFS(T_Shipments[Confirmed_Qty],T_Shipments[Part Name],$A10,T_Shipments[Effective_Week],18)</f>
        <v/>
      </c>
      <c r="T10">
        <f>SUMIFS(T_Shipments[Confirmed_Qty],T_Shipments[Part Name],$A10,T_Shipments[Effective_Week],19)</f>
        <v/>
      </c>
      <c r="U10">
        <f>SUMIFS(T_Shipments[Confirmed_Qty],T_Shipments[Part Name],$A10,T_Shipments[Effective_Week],20)</f>
        <v/>
      </c>
      <c r="V10">
        <f>SUMIFS(T_Shipments[Confirmed_Qty],T_Shipments[Part Name],$A10,T_Shipments[Effective_Week],21)</f>
        <v/>
      </c>
      <c r="W10">
        <f>SUMIFS(T_Shipments[Confirmed_Qty],T_Shipments[Part Name],$A10,T_Shipments[Effective_Week],22)</f>
        <v/>
      </c>
      <c r="X10">
        <f>SUMIFS(T_Shipments[Confirmed_Qty],T_Shipments[Part Name],$A10,T_Shipments[Effective_Week],23)</f>
        <v/>
      </c>
      <c r="Y10">
        <f>SUMIFS(T_Shipments[Confirmed_Qty],T_Shipments[Part Name],$A10,T_Shipments[Effective_Week],24)</f>
        <v/>
      </c>
      <c r="Z10">
        <f>SUMIFS(T_Shipments[Confirmed_Qty],T_Shipments[Part Name],$A10,T_Shipments[Effective_Week],25)</f>
        <v/>
      </c>
      <c r="AA10">
        <f>SUMIFS(T_Shipments[Confirmed_Qty],T_Shipments[Part Name],$A10,T_Shipments[Effective_Week],26)</f>
        <v/>
      </c>
      <c r="AB10">
        <f>SUMIFS(T_Shipments[Confirmed_Qty],T_Shipments[Part Name],$A10,T_Shipments[Effective_Week],27)</f>
        <v/>
      </c>
      <c r="AC10">
        <f>SUMIFS(T_Shipments[Confirmed_Qty],T_Shipments[Part Name],$A10,T_Shipments[Effective_Week],28)</f>
        <v/>
      </c>
      <c r="AD10">
        <f>SUMIFS(T_Shipments[Confirmed_Qty],T_Shipments[Part Name],$A10,T_Shipments[Effective_Week],29)</f>
        <v/>
      </c>
      <c r="AE10">
        <f>SUMIFS(T_Shipments[Confirmed_Qty],T_Shipments[Part Name],$A10,T_Shipments[Effective_Week],30)</f>
        <v/>
      </c>
      <c r="AF10">
        <f>SUMIFS(T_Shipments[Confirmed_Qty],T_Shipments[Part Name],$A10,T_Shipments[Effective_Week],31)</f>
        <v/>
      </c>
      <c r="AG10">
        <f>SUMIFS(T_Shipments[Confirmed_Qty],T_Shipments[Part Name],$A10,T_Shipments[Effective_Week],32)</f>
        <v/>
      </c>
      <c r="AH10">
        <f>SUMIFS(T_Shipments[Confirmed_Qty],T_Shipments[Part Name],$A10,T_Shipments[Effective_Week],33)</f>
        <v/>
      </c>
      <c r="AI10">
        <f>SUMIFS(T_Shipments[Confirmed_Qty],T_Shipments[Part Name],$A10,T_Shipments[Effective_Week],34)</f>
        <v/>
      </c>
      <c r="AJ10">
        <f>SUMIFS(T_Shipments[Confirmed_Qty],T_Shipments[Part Name],$A10,T_Shipments[Effective_Week],35)</f>
        <v/>
      </c>
      <c r="AK10">
        <f>SUMIFS(T_Shipments[Confirmed_Qty],T_Shipments[Part Name],$A10,T_Shipments[Effective_Week],36)</f>
        <v/>
      </c>
      <c r="AL10">
        <f>SUMIFS(T_Shipments[Confirmed_Qty],T_Shipments[Part Name],$A10,T_Shipments[Effective_Week],37)</f>
        <v/>
      </c>
      <c r="AM10">
        <f>SUMIFS(T_Shipments[Confirmed_Qty],T_Shipments[Part Name],$A10,T_Shipments[Effective_Week],38)</f>
        <v/>
      </c>
      <c r="AN10">
        <f>SUMIFS(T_Shipments[Confirmed_Qty],T_Shipments[Part Name],$A10,T_Shipments[Effective_Week],39)</f>
        <v/>
      </c>
      <c r="AO10">
        <f>SUMIFS(T_Shipments[Confirmed_Qty],T_Shipments[Part Name],$A10,T_Shipments[Effective_Week],40)</f>
        <v/>
      </c>
      <c r="AP10">
        <f>SUMIFS(T_Shipments[Confirmed_Qty],T_Shipments[Part Name],$A10,T_Shipments[Effective_Week],41)</f>
        <v/>
      </c>
      <c r="AQ10">
        <f>SUMIFS(T_Shipments[Confirmed_Qty],T_Shipments[Part Name],$A10,T_Shipments[Effective_Week],42)</f>
        <v/>
      </c>
      <c r="AR10">
        <f>SUMIFS(T_Shipments[Confirmed_Qty],T_Shipments[Part Name],$A10,T_Shipments[Effective_Week],43)</f>
        <v/>
      </c>
      <c r="AS10">
        <f>SUMIFS(T_Shipments[Confirmed_Qty],T_Shipments[Part Name],$A10,T_Shipments[Effective_Week],44)</f>
        <v/>
      </c>
      <c r="AT10">
        <f>SUMIFS(T_Shipments[Confirmed_Qty],T_Shipments[Part Name],$A10,T_Shipments[Effective_Week],45)</f>
        <v/>
      </c>
      <c r="AU10">
        <f>SUMIFS(T_Shipments[Confirmed_Qty],T_Shipments[Part Name],$A10,T_Shipments[Effective_Week],46)</f>
        <v/>
      </c>
      <c r="AV10">
        <f>SUMIFS(T_Shipments[Confirmed_Qty],T_Shipments[Part Name],$A10,T_Shipments[Effective_Week],47)</f>
        <v/>
      </c>
      <c r="AW10">
        <f>SUMIFS(T_Shipments[Confirmed_Qty],T_Shipments[Part Name],$A10,T_Shipments[Effective_Week],48)</f>
        <v/>
      </c>
      <c r="AX10">
        <f>SUMIFS(T_Shipments[Confirmed_Qty],T_Shipments[Part Name],$A10,T_Shipments[Effective_Week],49)</f>
        <v/>
      </c>
      <c r="AY10">
        <f>SUMIFS(T_Shipments[Confirmed_Qty],T_Shipments[Part Name],$A10,T_Shipments[Effective_Week],50)</f>
        <v/>
      </c>
      <c r="AZ10">
        <f>SUMIFS(T_Shipments[Confirmed_Qty],T_Shipments[Part Name],$A10,T_Shipments[Effective_Week],51)</f>
        <v/>
      </c>
      <c r="BA10">
        <f>SUMIFS(T_Shipments[Confirmed_Qty],T_Shipments[Part Name],$A10,T_Shipments[Effective_Week],52)</f>
        <v/>
      </c>
      <c r="BB10">
        <f>SUMIFS(T_Shipments[Confirmed_Qty],T_Shipments[Part Name],$A10,T_Shipments[Effective_Week],53)</f>
        <v/>
      </c>
      <c r="BC10">
        <f>SUMIFS(T_Shipments[Confirmed_Qty],T_Shipments[Part Name],$A10,T_Shipments[Effective_Week],54)</f>
        <v/>
      </c>
      <c r="BD10">
        <f>SUMIFS(T_Shipments[Confirmed_Qty],T_Shipments[Part Name],$A10,T_Shipments[Effective_Week],55)</f>
        <v/>
      </c>
      <c r="BE10">
        <f>SUMIFS(T_Shipments[Confirmed_Qty],T_Shipments[Part Name],$A10,T_Shipments[Effective_Week],56)</f>
        <v/>
      </c>
      <c r="BF10">
        <f>SUMIFS(T_Shipments[Confirmed_Qty],T_Shipments[Part Name],$A10,T_Shipments[Effective_Week],57)</f>
        <v/>
      </c>
      <c r="BG10">
        <f>SUMIFS(T_Shipments[Confirmed_Qty],T_Shipments[Part Name],$A10,T_Shipments[Effective_Week],58)</f>
        <v/>
      </c>
      <c r="BH10">
        <f>SUMIFS(T_Shipments[Confirmed_Qty],T_Shipments[Part Name],$A10,T_Shipments[Effective_Week],59)</f>
        <v/>
      </c>
      <c r="BI10">
        <f>SUMIFS(T_Shipments[Confirmed_Qty],T_Shipments[Part Name],$A10,T_Shipments[Effective_Week],60)</f>
        <v/>
      </c>
      <c r="BJ10">
        <f>SUMIFS(T_Shipments[Confirmed_Qty],T_Shipments[Part Name],$A10,T_Shipments[Effective_Week],61)</f>
        <v/>
      </c>
      <c r="BK10">
        <f>SUMIFS(T_Shipments[Confirmed_Qty],T_Shipments[Part Name],$A10,T_Shipments[Effective_Week],62)</f>
        <v/>
      </c>
      <c r="BL10">
        <f>SUMIFS(T_Shipments[Confirmed_Qty],T_Shipments[Part Name],$A10,T_Shipments[Effective_Week],63)</f>
        <v/>
      </c>
      <c r="BM10">
        <f>SUMIFS(T_Shipments[Confirmed_Qty],T_Shipments[Part Name],$A10,T_Shipments[Effective_Week],64)</f>
        <v/>
      </c>
      <c r="BN10">
        <f>SUMIFS(T_Shipments[Confirmed_Qty],T_Shipments[Part Name],$A10,T_Shipments[Effective_Week],65)</f>
        <v/>
      </c>
      <c r="BO10">
        <f>SUMIFS(T_Shipments[Confirmed_Qty],T_Shipments[Part Name],$A10,T_Shipments[Effective_Week],66)</f>
        <v/>
      </c>
      <c r="BP10">
        <f>SUMIFS(T_Shipments[Confirmed_Qty],T_Shipments[Part Name],$A10,T_Shipments[Effective_Week],67)</f>
        <v/>
      </c>
      <c r="BQ10">
        <f>SUMIFS(T_Shipments[Confirmed_Qty],T_Shipments[Part Name],$A10,T_Shipments[Effective_Week],68)</f>
        <v/>
      </c>
      <c r="BR10">
        <f>SUMIFS(T_Shipments[Confirmed_Qty],T_Shipments[Part Name],$A10,T_Shipments[Effective_Week],69)</f>
        <v/>
      </c>
      <c r="BS10">
        <f>SUMIFS(T_Shipments[Confirmed_Qty],T_Shipments[Part Name],$A10,T_Shipments[Effective_Week],70)</f>
        <v/>
      </c>
      <c r="BT10">
        <f>SUMIFS(T_Shipments[Confirmed_Qty],T_Shipments[Part Name],$A10,T_Shipments[Effective_Week],71)</f>
        <v/>
      </c>
      <c r="BU10">
        <f>SUMIFS(T_Shipments[Confirmed_Qty],T_Shipments[Part Name],$A10,T_Shipments[Effective_Week],72)</f>
        <v/>
      </c>
      <c r="BV10">
        <f>SUMIFS(T_Shipments[Confirmed_Qty],T_Shipments[Part Name],$A10,T_Shipments[Effective_Week],73)</f>
        <v/>
      </c>
      <c r="BW10">
        <f>SUMIFS(T_Shipments[Confirmed_Qty],T_Shipments[Part Name],$A10,T_Shipments[Effective_Week],74)</f>
        <v/>
      </c>
      <c r="BX10">
        <f>SUMIFS(T_Shipments[Confirmed_Qty],T_Shipments[Part Name],$A10,T_Shipments[Effective_Week],75)</f>
        <v/>
      </c>
      <c r="BY10">
        <f>SUMIFS(T_Shipments[Confirmed_Qty],T_Shipments[Part Name],$A10,T_Shipments[Effective_Week],76)</f>
        <v/>
      </c>
      <c r="BZ10">
        <f>SUMIFS(T_Shipments[Confirmed_Qty],T_Shipments[Part Name],$A10,T_Shipments[Effective_Week],77)</f>
        <v/>
      </c>
      <c r="CA10">
        <f>SUMIFS(T_Shipments[Confirmed_Qty],T_Shipments[Part Name],$A10,T_Shipments[Effective_Week],78)</f>
        <v/>
      </c>
      <c r="CB10">
        <f>SUMIFS(T_Shipments[Confirmed_Qty],T_Shipments[Part Name],$A10,T_Shipments[Effective_Week],79)</f>
        <v/>
      </c>
      <c r="CC10">
        <f>SUMIFS(T_Shipments[Confirmed_Qty],T_Shipments[Part Name],$A10,T_Shipments[Effective_Week],80)</f>
        <v/>
      </c>
      <c r="CD10">
        <f>SUMIFS(T_Shipments[Confirmed_Qty],T_Shipments[Part Name],$A10,T_Shipments[Effective_Week],81)</f>
        <v/>
      </c>
      <c r="CE10">
        <f>SUMIFS(T_Shipments[Confirmed_Qty],T_Shipments[Part Name],$A10,T_Shipments[Effective_Week],82)</f>
        <v/>
      </c>
      <c r="CF10">
        <f>SUMIFS(T_Shipments[Confirmed_Qty],T_Shipments[Part Name],$A10,T_Shipments[Effective_Week],83)</f>
        <v/>
      </c>
      <c r="CG10">
        <f>SUMIFS(T_Shipments[Confirmed_Qty],T_Shipments[Part Name],$A10,T_Shipments[Effective_Week],84)</f>
        <v/>
      </c>
      <c r="CH10">
        <f>SUMIFS(T_Shipments[Confirmed_Qty],T_Shipments[Part Name],$A10,T_Shipments[Effective_Week],85)</f>
        <v/>
      </c>
      <c r="CI10">
        <f>SUMIFS(T_Shipments[Confirmed_Qty],T_Shipments[Part Name],$A10,T_Shipments[Effective_Week],86)</f>
        <v/>
      </c>
      <c r="CJ10">
        <f>SUMIFS(T_Shipments[Confirmed_Qty],T_Shipments[Part Name],$A10,T_Shipments[Effective_Week],87)</f>
        <v/>
      </c>
      <c r="CK10">
        <f>SUMIFS(T_Shipments[Confirmed_Qty],T_Shipments[Part Name],$A10,T_Shipments[Effective_Week],88)</f>
        <v/>
      </c>
      <c r="CL10">
        <f>SUMIFS(T_Shipments[Confirmed_Qty],T_Shipments[Part Name],$A10,T_Shipments[Effective_Week],89)</f>
        <v/>
      </c>
      <c r="CM10">
        <f>SUMIFS(T_Shipments[Confirmed_Qty],T_Shipments[Part Name],$A10,T_Shipments[Effective_Week],90)</f>
        <v/>
      </c>
      <c r="CN10">
        <f>SUMIFS(T_Shipments[Confirmed_Qty],T_Shipments[Part Name],$A10,T_Shipments[Effective_Week],91)</f>
        <v/>
      </c>
      <c r="CO10">
        <f>SUMIFS(T_Shipments[Confirmed_Qty],T_Shipments[Part Name],$A10,T_Shipments[Effective_Week],92)</f>
        <v/>
      </c>
      <c r="CP10">
        <f>SUMIFS(T_Shipments[Confirmed_Qty],T_Shipments[Part Name],$A10,T_Shipments[Effective_Week],93)</f>
        <v/>
      </c>
      <c r="CQ10">
        <f>SUMIFS(T_Shipments[Confirmed_Qty],T_Shipments[Part Name],$A10,T_Shipments[Effective_Week],94)</f>
        <v/>
      </c>
      <c r="CR10">
        <f>SUMIFS(T_Shipments[Confirmed_Qty],T_Shipments[Part Name],$A10,T_Shipments[Effective_Week],95)</f>
        <v/>
      </c>
      <c r="CS10">
        <f>SUMIFS(T_Shipments[Confirmed_Qty],T_Shipments[Part Name],$A10,T_Shipments[Effective_Week],96)</f>
        <v/>
      </c>
      <c r="CT10">
        <f>SUMIFS(T_Shipments[Confirmed_Qty],T_Shipments[Part Name],$A10,T_Shipments[Effective_Week],97)</f>
        <v/>
      </c>
      <c r="CU10">
        <f>SUMIFS(T_Shipments[Confirmed_Qty],T_Shipments[Part Name],$A10,T_Shipments[Effective_Week],98)</f>
        <v/>
      </c>
      <c r="CV10">
        <f>SUMIFS(T_Shipments[Confirmed_Qty],T_Shipments[Part Name],$A10,T_Shipments[Effective_Week],99)</f>
        <v/>
      </c>
      <c r="CW10">
        <f>SUMIFS(T_Shipments[Confirmed_Qty],T_Shipments[Part Name],$A10,T_Shipments[Effective_Week],100)</f>
        <v/>
      </c>
      <c r="CX10">
        <f>SUMIFS(T_Shipments[Confirmed_Qty],T_Shipments[Part Name],$A10,T_Shipments[Effective_Week],101)</f>
        <v/>
      </c>
      <c r="CY10">
        <f>SUMIFS(T_Shipments[Confirmed_Qty],T_Shipments[Part Name],$A10,T_Shipments[Effective_Week],102)</f>
        <v/>
      </c>
      <c r="CZ10">
        <f>SUMIFS(T_Shipments[Confirmed_Qty],T_Shipments[Part Name],$A10,T_Shipments[Effective_Week],103)</f>
        <v/>
      </c>
      <c r="DA10">
        <f>SUMIFS(T_Shipments[Confirmed_Qty],T_Shipments[Part Name],$A10,T_Shipments[Effective_Week],104)</f>
        <v/>
      </c>
    </row>
    <row r="11">
      <c r="A11" t="inlineStr">
        <is>
          <t>4HL</t>
        </is>
      </c>
      <c r="B11">
        <f>SUMIFS(T_Shipments[Confirmed_Qty],T_Shipments[Part Name],$A11,T_Shipments[Effective_Week],1)</f>
        <v/>
      </c>
      <c r="C11">
        <f>SUMIFS(T_Shipments[Confirmed_Qty],T_Shipments[Part Name],$A11,T_Shipments[Effective_Week],2)</f>
        <v/>
      </c>
      <c r="D11">
        <f>SUMIFS(T_Shipments[Confirmed_Qty],T_Shipments[Part Name],$A11,T_Shipments[Effective_Week],3)</f>
        <v/>
      </c>
      <c r="E11">
        <f>SUMIFS(T_Shipments[Confirmed_Qty],T_Shipments[Part Name],$A11,T_Shipments[Effective_Week],4)</f>
        <v/>
      </c>
      <c r="F11">
        <f>SUMIFS(T_Shipments[Confirmed_Qty],T_Shipments[Part Name],$A11,T_Shipments[Effective_Week],5)</f>
        <v/>
      </c>
      <c r="G11">
        <f>SUMIFS(T_Shipments[Confirmed_Qty],T_Shipments[Part Name],$A11,T_Shipments[Effective_Week],6)</f>
        <v/>
      </c>
      <c r="H11">
        <f>SUMIFS(T_Shipments[Confirmed_Qty],T_Shipments[Part Name],$A11,T_Shipments[Effective_Week],7)</f>
        <v/>
      </c>
      <c r="I11">
        <f>SUMIFS(T_Shipments[Confirmed_Qty],T_Shipments[Part Name],$A11,T_Shipments[Effective_Week],8)</f>
        <v/>
      </c>
      <c r="J11">
        <f>SUMIFS(T_Shipments[Confirmed_Qty],T_Shipments[Part Name],$A11,T_Shipments[Effective_Week],9)</f>
        <v/>
      </c>
      <c r="K11">
        <f>SUMIFS(T_Shipments[Confirmed_Qty],T_Shipments[Part Name],$A11,T_Shipments[Effective_Week],10)</f>
        <v/>
      </c>
      <c r="L11">
        <f>SUMIFS(T_Shipments[Confirmed_Qty],T_Shipments[Part Name],$A11,T_Shipments[Effective_Week],11)</f>
        <v/>
      </c>
      <c r="M11">
        <f>SUMIFS(T_Shipments[Confirmed_Qty],T_Shipments[Part Name],$A11,T_Shipments[Effective_Week],12)</f>
        <v/>
      </c>
      <c r="N11">
        <f>SUMIFS(T_Shipments[Confirmed_Qty],T_Shipments[Part Name],$A11,T_Shipments[Effective_Week],13)</f>
        <v/>
      </c>
      <c r="O11">
        <f>SUMIFS(T_Shipments[Confirmed_Qty],T_Shipments[Part Name],$A11,T_Shipments[Effective_Week],14)</f>
        <v/>
      </c>
      <c r="P11">
        <f>SUMIFS(T_Shipments[Confirmed_Qty],T_Shipments[Part Name],$A11,T_Shipments[Effective_Week],15)</f>
        <v/>
      </c>
      <c r="Q11">
        <f>SUMIFS(T_Shipments[Confirmed_Qty],T_Shipments[Part Name],$A11,T_Shipments[Effective_Week],16)</f>
        <v/>
      </c>
      <c r="R11">
        <f>SUMIFS(T_Shipments[Confirmed_Qty],T_Shipments[Part Name],$A11,T_Shipments[Effective_Week],17)</f>
        <v/>
      </c>
      <c r="S11">
        <f>SUMIFS(T_Shipments[Confirmed_Qty],T_Shipments[Part Name],$A11,T_Shipments[Effective_Week],18)</f>
        <v/>
      </c>
      <c r="T11">
        <f>SUMIFS(T_Shipments[Confirmed_Qty],T_Shipments[Part Name],$A11,T_Shipments[Effective_Week],19)</f>
        <v/>
      </c>
      <c r="U11">
        <f>SUMIFS(T_Shipments[Confirmed_Qty],T_Shipments[Part Name],$A11,T_Shipments[Effective_Week],20)</f>
        <v/>
      </c>
      <c r="V11">
        <f>SUMIFS(T_Shipments[Confirmed_Qty],T_Shipments[Part Name],$A11,T_Shipments[Effective_Week],21)</f>
        <v/>
      </c>
      <c r="W11">
        <f>SUMIFS(T_Shipments[Confirmed_Qty],T_Shipments[Part Name],$A11,T_Shipments[Effective_Week],22)</f>
        <v/>
      </c>
      <c r="X11">
        <f>SUMIFS(T_Shipments[Confirmed_Qty],T_Shipments[Part Name],$A11,T_Shipments[Effective_Week],23)</f>
        <v/>
      </c>
      <c r="Y11">
        <f>SUMIFS(T_Shipments[Confirmed_Qty],T_Shipments[Part Name],$A11,T_Shipments[Effective_Week],24)</f>
        <v/>
      </c>
      <c r="Z11">
        <f>SUMIFS(T_Shipments[Confirmed_Qty],T_Shipments[Part Name],$A11,T_Shipments[Effective_Week],25)</f>
        <v/>
      </c>
      <c r="AA11">
        <f>SUMIFS(T_Shipments[Confirmed_Qty],T_Shipments[Part Name],$A11,T_Shipments[Effective_Week],26)</f>
        <v/>
      </c>
      <c r="AB11">
        <f>SUMIFS(T_Shipments[Confirmed_Qty],T_Shipments[Part Name],$A11,T_Shipments[Effective_Week],27)</f>
        <v/>
      </c>
      <c r="AC11">
        <f>SUMIFS(T_Shipments[Confirmed_Qty],T_Shipments[Part Name],$A11,T_Shipments[Effective_Week],28)</f>
        <v/>
      </c>
      <c r="AD11">
        <f>SUMIFS(T_Shipments[Confirmed_Qty],T_Shipments[Part Name],$A11,T_Shipments[Effective_Week],29)</f>
        <v/>
      </c>
      <c r="AE11">
        <f>SUMIFS(T_Shipments[Confirmed_Qty],T_Shipments[Part Name],$A11,T_Shipments[Effective_Week],30)</f>
        <v/>
      </c>
      <c r="AF11">
        <f>SUMIFS(T_Shipments[Confirmed_Qty],T_Shipments[Part Name],$A11,T_Shipments[Effective_Week],31)</f>
        <v/>
      </c>
      <c r="AG11">
        <f>SUMIFS(T_Shipments[Confirmed_Qty],T_Shipments[Part Name],$A11,T_Shipments[Effective_Week],32)</f>
        <v/>
      </c>
      <c r="AH11">
        <f>SUMIFS(T_Shipments[Confirmed_Qty],T_Shipments[Part Name],$A11,T_Shipments[Effective_Week],33)</f>
        <v/>
      </c>
      <c r="AI11">
        <f>SUMIFS(T_Shipments[Confirmed_Qty],T_Shipments[Part Name],$A11,T_Shipments[Effective_Week],34)</f>
        <v/>
      </c>
      <c r="AJ11">
        <f>SUMIFS(T_Shipments[Confirmed_Qty],T_Shipments[Part Name],$A11,T_Shipments[Effective_Week],35)</f>
        <v/>
      </c>
      <c r="AK11">
        <f>SUMIFS(T_Shipments[Confirmed_Qty],T_Shipments[Part Name],$A11,T_Shipments[Effective_Week],36)</f>
        <v/>
      </c>
      <c r="AL11">
        <f>SUMIFS(T_Shipments[Confirmed_Qty],T_Shipments[Part Name],$A11,T_Shipments[Effective_Week],37)</f>
        <v/>
      </c>
      <c r="AM11">
        <f>SUMIFS(T_Shipments[Confirmed_Qty],T_Shipments[Part Name],$A11,T_Shipments[Effective_Week],38)</f>
        <v/>
      </c>
      <c r="AN11">
        <f>SUMIFS(T_Shipments[Confirmed_Qty],T_Shipments[Part Name],$A11,T_Shipments[Effective_Week],39)</f>
        <v/>
      </c>
      <c r="AO11">
        <f>SUMIFS(T_Shipments[Confirmed_Qty],T_Shipments[Part Name],$A11,T_Shipments[Effective_Week],40)</f>
        <v/>
      </c>
      <c r="AP11">
        <f>SUMIFS(T_Shipments[Confirmed_Qty],T_Shipments[Part Name],$A11,T_Shipments[Effective_Week],41)</f>
        <v/>
      </c>
      <c r="AQ11">
        <f>SUMIFS(T_Shipments[Confirmed_Qty],T_Shipments[Part Name],$A11,T_Shipments[Effective_Week],42)</f>
        <v/>
      </c>
      <c r="AR11">
        <f>SUMIFS(T_Shipments[Confirmed_Qty],T_Shipments[Part Name],$A11,T_Shipments[Effective_Week],43)</f>
        <v/>
      </c>
      <c r="AS11">
        <f>SUMIFS(T_Shipments[Confirmed_Qty],T_Shipments[Part Name],$A11,T_Shipments[Effective_Week],44)</f>
        <v/>
      </c>
      <c r="AT11">
        <f>SUMIFS(T_Shipments[Confirmed_Qty],T_Shipments[Part Name],$A11,T_Shipments[Effective_Week],45)</f>
        <v/>
      </c>
      <c r="AU11">
        <f>SUMIFS(T_Shipments[Confirmed_Qty],T_Shipments[Part Name],$A11,T_Shipments[Effective_Week],46)</f>
        <v/>
      </c>
      <c r="AV11">
        <f>SUMIFS(T_Shipments[Confirmed_Qty],T_Shipments[Part Name],$A11,T_Shipments[Effective_Week],47)</f>
        <v/>
      </c>
      <c r="AW11">
        <f>SUMIFS(T_Shipments[Confirmed_Qty],T_Shipments[Part Name],$A11,T_Shipments[Effective_Week],48)</f>
        <v/>
      </c>
      <c r="AX11">
        <f>SUMIFS(T_Shipments[Confirmed_Qty],T_Shipments[Part Name],$A11,T_Shipments[Effective_Week],49)</f>
        <v/>
      </c>
      <c r="AY11">
        <f>SUMIFS(T_Shipments[Confirmed_Qty],T_Shipments[Part Name],$A11,T_Shipments[Effective_Week],50)</f>
        <v/>
      </c>
      <c r="AZ11">
        <f>SUMIFS(T_Shipments[Confirmed_Qty],T_Shipments[Part Name],$A11,T_Shipments[Effective_Week],51)</f>
        <v/>
      </c>
      <c r="BA11">
        <f>SUMIFS(T_Shipments[Confirmed_Qty],T_Shipments[Part Name],$A11,T_Shipments[Effective_Week],52)</f>
        <v/>
      </c>
      <c r="BB11">
        <f>SUMIFS(T_Shipments[Confirmed_Qty],T_Shipments[Part Name],$A11,T_Shipments[Effective_Week],53)</f>
        <v/>
      </c>
      <c r="BC11">
        <f>SUMIFS(T_Shipments[Confirmed_Qty],T_Shipments[Part Name],$A11,T_Shipments[Effective_Week],54)</f>
        <v/>
      </c>
      <c r="BD11">
        <f>SUMIFS(T_Shipments[Confirmed_Qty],T_Shipments[Part Name],$A11,T_Shipments[Effective_Week],55)</f>
        <v/>
      </c>
      <c r="BE11">
        <f>SUMIFS(T_Shipments[Confirmed_Qty],T_Shipments[Part Name],$A11,T_Shipments[Effective_Week],56)</f>
        <v/>
      </c>
      <c r="BF11">
        <f>SUMIFS(T_Shipments[Confirmed_Qty],T_Shipments[Part Name],$A11,T_Shipments[Effective_Week],57)</f>
        <v/>
      </c>
      <c r="BG11">
        <f>SUMIFS(T_Shipments[Confirmed_Qty],T_Shipments[Part Name],$A11,T_Shipments[Effective_Week],58)</f>
        <v/>
      </c>
      <c r="BH11">
        <f>SUMIFS(T_Shipments[Confirmed_Qty],T_Shipments[Part Name],$A11,T_Shipments[Effective_Week],59)</f>
        <v/>
      </c>
      <c r="BI11">
        <f>SUMIFS(T_Shipments[Confirmed_Qty],T_Shipments[Part Name],$A11,T_Shipments[Effective_Week],60)</f>
        <v/>
      </c>
      <c r="BJ11">
        <f>SUMIFS(T_Shipments[Confirmed_Qty],T_Shipments[Part Name],$A11,T_Shipments[Effective_Week],61)</f>
        <v/>
      </c>
      <c r="BK11">
        <f>SUMIFS(T_Shipments[Confirmed_Qty],T_Shipments[Part Name],$A11,T_Shipments[Effective_Week],62)</f>
        <v/>
      </c>
      <c r="BL11">
        <f>SUMIFS(T_Shipments[Confirmed_Qty],T_Shipments[Part Name],$A11,T_Shipments[Effective_Week],63)</f>
        <v/>
      </c>
      <c r="BM11">
        <f>SUMIFS(T_Shipments[Confirmed_Qty],T_Shipments[Part Name],$A11,T_Shipments[Effective_Week],64)</f>
        <v/>
      </c>
      <c r="BN11">
        <f>SUMIFS(T_Shipments[Confirmed_Qty],T_Shipments[Part Name],$A11,T_Shipments[Effective_Week],65)</f>
        <v/>
      </c>
      <c r="BO11">
        <f>SUMIFS(T_Shipments[Confirmed_Qty],T_Shipments[Part Name],$A11,T_Shipments[Effective_Week],66)</f>
        <v/>
      </c>
      <c r="BP11">
        <f>SUMIFS(T_Shipments[Confirmed_Qty],T_Shipments[Part Name],$A11,T_Shipments[Effective_Week],67)</f>
        <v/>
      </c>
      <c r="BQ11">
        <f>SUMIFS(T_Shipments[Confirmed_Qty],T_Shipments[Part Name],$A11,T_Shipments[Effective_Week],68)</f>
        <v/>
      </c>
      <c r="BR11">
        <f>SUMIFS(T_Shipments[Confirmed_Qty],T_Shipments[Part Name],$A11,T_Shipments[Effective_Week],69)</f>
        <v/>
      </c>
      <c r="BS11">
        <f>SUMIFS(T_Shipments[Confirmed_Qty],T_Shipments[Part Name],$A11,T_Shipments[Effective_Week],70)</f>
        <v/>
      </c>
      <c r="BT11">
        <f>SUMIFS(T_Shipments[Confirmed_Qty],T_Shipments[Part Name],$A11,T_Shipments[Effective_Week],71)</f>
        <v/>
      </c>
      <c r="BU11">
        <f>SUMIFS(T_Shipments[Confirmed_Qty],T_Shipments[Part Name],$A11,T_Shipments[Effective_Week],72)</f>
        <v/>
      </c>
      <c r="BV11">
        <f>SUMIFS(T_Shipments[Confirmed_Qty],T_Shipments[Part Name],$A11,T_Shipments[Effective_Week],73)</f>
        <v/>
      </c>
      <c r="BW11">
        <f>SUMIFS(T_Shipments[Confirmed_Qty],T_Shipments[Part Name],$A11,T_Shipments[Effective_Week],74)</f>
        <v/>
      </c>
      <c r="BX11">
        <f>SUMIFS(T_Shipments[Confirmed_Qty],T_Shipments[Part Name],$A11,T_Shipments[Effective_Week],75)</f>
        <v/>
      </c>
      <c r="BY11">
        <f>SUMIFS(T_Shipments[Confirmed_Qty],T_Shipments[Part Name],$A11,T_Shipments[Effective_Week],76)</f>
        <v/>
      </c>
      <c r="BZ11">
        <f>SUMIFS(T_Shipments[Confirmed_Qty],T_Shipments[Part Name],$A11,T_Shipments[Effective_Week],77)</f>
        <v/>
      </c>
      <c r="CA11">
        <f>SUMIFS(T_Shipments[Confirmed_Qty],T_Shipments[Part Name],$A11,T_Shipments[Effective_Week],78)</f>
        <v/>
      </c>
      <c r="CB11">
        <f>SUMIFS(T_Shipments[Confirmed_Qty],T_Shipments[Part Name],$A11,T_Shipments[Effective_Week],79)</f>
        <v/>
      </c>
      <c r="CC11">
        <f>SUMIFS(T_Shipments[Confirmed_Qty],T_Shipments[Part Name],$A11,T_Shipments[Effective_Week],80)</f>
        <v/>
      </c>
      <c r="CD11">
        <f>SUMIFS(T_Shipments[Confirmed_Qty],T_Shipments[Part Name],$A11,T_Shipments[Effective_Week],81)</f>
        <v/>
      </c>
      <c r="CE11">
        <f>SUMIFS(T_Shipments[Confirmed_Qty],T_Shipments[Part Name],$A11,T_Shipments[Effective_Week],82)</f>
        <v/>
      </c>
      <c r="CF11">
        <f>SUMIFS(T_Shipments[Confirmed_Qty],T_Shipments[Part Name],$A11,T_Shipments[Effective_Week],83)</f>
        <v/>
      </c>
      <c r="CG11">
        <f>SUMIFS(T_Shipments[Confirmed_Qty],T_Shipments[Part Name],$A11,T_Shipments[Effective_Week],84)</f>
        <v/>
      </c>
      <c r="CH11">
        <f>SUMIFS(T_Shipments[Confirmed_Qty],T_Shipments[Part Name],$A11,T_Shipments[Effective_Week],85)</f>
        <v/>
      </c>
      <c r="CI11">
        <f>SUMIFS(T_Shipments[Confirmed_Qty],T_Shipments[Part Name],$A11,T_Shipments[Effective_Week],86)</f>
        <v/>
      </c>
      <c r="CJ11">
        <f>SUMIFS(T_Shipments[Confirmed_Qty],T_Shipments[Part Name],$A11,T_Shipments[Effective_Week],87)</f>
        <v/>
      </c>
      <c r="CK11">
        <f>SUMIFS(T_Shipments[Confirmed_Qty],T_Shipments[Part Name],$A11,T_Shipments[Effective_Week],88)</f>
        <v/>
      </c>
      <c r="CL11">
        <f>SUMIFS(T_Shipments[Confirmed_Qty],T_Shipments[Part Name],$A11,T_Shipments[Effective_Week],89)</f>
        <v/>
      </c>
      <c r="CM11">
        <f>SUMIFS(T_Shipments[Confirmed_Qty],T_Shipments[Part Name],$A11,T_Shipments[Effective_Week],90)</f>
        <v/>
      </c>
      <c r="CN11">
        <f>SUMIFS(T_Shipments[Confirmed_Qty],T_Shipments[Part Name],$A11,T_Shipments[Effective_Week],91)</f>
        <v/>
      </c>
      <c r="CO11">
        <f>SUMIFS(T_Shipments[Confirmed_Qty],T_Shipments[Part Name],$A11,T_Shipments[Effective_Week],92)</f>
        <v/>
      </c>
      <c r="CP11">
        <f>SUMIFS(T_Shipments[Confirmed_Qty],T_Shipments[Part Name],$A11,T_Shipments[Effective_Week],93)</f>
        <v/>
      </c>
      <c r="CQ11">
        <f>SUMIFS(T_Shipments[Confirmed_Qty],T_Shipments[Part Name],$A11,T_Shipments[Effective_Week],94)</f>
        <v/>
      </c>
      <c r="CR11">
        <f>SUMIFS(T_Shipments[Confirmed_Qty],T_Shipments[Part Name],$A11,T_Shipments[Effective_Week],95)</f>
        <v/>
      </c>
      <c r="CS11">
        <f>SUMIFS(T_Shipments[Confirmed_Qty],T_Shipments[Part Name],$A11,T_Shipments[Effective_Week],96)</f>
        <v/>
      </c>
      <c r="CT11">
        <f>SUMIFS(T_Shipments[Confirmed_Qty],T_Shipments[Part Name],$A11,T_Shipments[Effective_Week],97)</f>
        <v/>
      </c>
      <c r="CU11">
        <f>SUMIFS(T_Shipments[Confirmed_Qty],T_Shipments[Part Name],$A11,T_Shipments[Effective_Week],98)</f>
        <v/>
      </c>
      <c r="CV11">
        <f>SUMIFS(T_Shipments[Confirmed_Qty],T_Shipments[Part Name],$A11,T_Shipments[Effective_Week],99)</f>
        <v/>
      </c>
      <c r="CW11">
        <f>SUMIFS(T_Shipments[Confirmed_Qty],T_Shipments[Part Name],$A11,T_Shipments[Effective_Week],100)</f>
        <v/>
      </c>
      <c r="CX11">
        <f>SUMIFS(T_Shipments[Confirmed_Qty],T_Shipments[Part Name],$A11,T_Shipments[Effective_Week],101)</f>
        <v/>
      </c>
      <c r="CY11">
        <f>SUMIFS(T_Shipments[Confirmed_Qty],T_Shipments[Part Name],$A11,T_Shipments[Effective_Week],102)</f>
        <v/>
      </c>
      <c r="CZ11">
        <f>SUMIFS(T_Shipments[Confirmed_Qty],T_Shipments[Part Name],$A11,T_Shipments[Effective_Week],103)</f>
        <v/>
      </c>
      <c r="DA11">
        <f>SUMIFS(T_Shipments[Confirmed_Qty],T_Shipments[Part Name],$A11,T_Shipments[Effective_Week],104)</f>
        <v/>
      </c>
    </row>
    <row r="12">
      <c r="A12" t="inlineStr">
        <is>
          <t>1EK</t>
        </is>
      </c>
      <c r="B12">
        <f>SUMIFS(T_Shipments[Confirmed_Qty],T_Shipments[Part Name],$A12,T_Shipments[Effective_Week],1)</f>
        <v/>
      </c>
      <c r="C12">
        <f>SUMIFS(T_Shipments[Confirmed_Qty],T_Shipments[Part Name],$A12,T_Shipments[Effective_Week],2)</f>
        <v/>
      </c>
      <c r="D12">
        <f>SUMIFS(T_Shipments[Confirmed_Qty],T_Shipments[Part Name],$A12,T_Shipments[Effective_Week],3)</f>
        <v/>
      </c>
      <c r="E12">
        <f>SUMIFS(T_Shipments[Confirmed_Qty],T_Shipments[Part Name],$A12,T_Shipments[Effective_Week],4)</f>
        <v/>
      </c>
      <c r="F12">
        <f>SUMIFS(T_Shipments[Confirmed_Qty],T_Shipments[Part Name],$A12,T_Shipments[Effective_Week],5)</f>
        <v/>
      </c>
      <c r="G12">
        <f>SUMIFS(T_Shipments[Confirmed_Qty],T_Shipments[Part Name],$A12,T_Shipments[Effective_Week],6)</f>
        <v/>
      </c>
      <c r="H12">
        <f>SUMIFS(T_Shipments[Confirmed_Qty],T_Shipments[Part Name],$A12,T_Shipments[Effective_Week],7)</f>
        <v/>
      </c>
      <c r="I12">
        <f>SUMIFS(T_Shipments[Confirmed_Qty],T_Shipments[Part Name],$A12,T_Shipments[Effective_Week],8)</f>
        <v/>
      </c>
      <c r="J12">
        <f>SUMIFS(T_Shipments[Confirmed_Qty],T_Shipments[Part Name],$A12,T_Shipments[Effective_Week],9)</f>
        <v/>
      </c>
      <c r="K12">
        <f>SUMIFS(T_Shipments[Confirmed_Qty],T_Shipments[Part Name],$A12,T_Shipments[Effective_Week],10)</f>
        <v/>
      </c>
      <c r="L12">
        <f>SUMIFS(T_Shipments[Confirmed_Qty],T_Shipments[Part Name],$A12,T_Shipments[Effective_Week],11)</f>
        <v/>
      </c>
      <c r="M12">
        <f>SUMIFS(T_Shipments[Confirmed_Qty],T_Shipments[Part Name],$A12,T_Shipments[Effective_Week],12)</f>
        <v/>
      </c>
      <c r="N12">
        <f>SUMIFS(T_Shipments[Confirmed_Qty],T_Shipments[Part Name],$A12,T_Shipments[Effective_Week],13)</f>
        <v/>
      </c>
      <c r="O12">
        <f>SUMIFS(T_Shipments[Confirmed_Qty],T_Shipments[Part Name],$A12,T_Shipments[Effective_Week],14)</f>
        <v/>
      </c>
      <c r="P12">
        <f>SUMIFS(T_Shipments[Confirmed_Qty],T_Shipments[Part Name],$A12,T_Shipments[Effective_Week],15)</f>
        <v/>
      </c>
      <c r="Q12">
        <f>SUMIFS(T_Shipments[Confirmed_Qty],T_Shipments[Part Name],$A12,T_Shipments[Effective_Week],16)</f>
        <v/>
      </c>
      <c r="R12">
        <f>SUMIFS(T_Shipments[Confirmed_Qty],T_Shipments[Part Name],$A12,T_Shipments[Effective_Week],17)</f>
        <v/>
      </c>
      <c r="S12">
        <f>SUMIFS(T_Shipments[Confirmed_Qty],T_Shipments[Part Name],$A12,T_Shipments[Effective_Week],18)</f>
        <v/>
      </c>
      <c r="T12">
        <f>SUMIFS(T_Shipments[Confirmed_Qty],T_Shipments[Part Name],$A12,T_Shipments[Effective_Week],19)</f>
        <v/>
      </c>
      <c r="U12">
        <f>SUMIFS(T_Shipments[Confirmed_Qty],T_Shipments[Part Name],$A12,T_Shipments[Effective_Week],20)</f>
        <v/>
      </c>
      <c r="V12">
        <f>SUMIFS(T_Shipments[Confirmed_Qty],T_Shipments[Part Name],$A12,T_Shipments[Effective_Week],21)</f>
        <v/>
      </c>
      <c r="W12">
        <f>SUMIFS(T_Shipments[Confirmed_Qty],T_Shipments[Part Name],$A12,T_Shipments[Effective_Week],22)</f>
        <v/>
      </c>
      <c r="X12">
        <f>SUMIFS(T_Shipments[Confirmed_Qty],T_Shipments[Part Name],$A12,T_Shipments[Effective_Week],23)</f>
        <v/>
      </c>
      <c r="Y12">
        <f>SUMIFS(T_Shipments[Confirmed_Qty],T_Shipments[Part Name],$A12,T_Shipments[Effective_Week],24)</f>
        <v/>
      </c>
      <c r="Z12">
        <f>SUMIFS(T_Shipments[Confirmed_Qty],T_Shipments[Part Name],$A12,T_Shipments[Effective_Week],25)</f>
        <v/>
      </c>
      <c r="AA12">
        <f>SUMIFS(T_Shipments[Confirmed_Qty],T_Shipments[Part Name],$A12,T_Shipments[Effective_Week],26)</f>
        <v/>
      </c>
      <c r="AB12">
        <f>SUMIFS(T_Shipments[Confirmed_Qty],T_Shipments[Part Name],$A12,T_Shipments[Effective_Week],27)</f>
        <v/>
      </c>
      <c r="AC12">
        <f>SUMIFS(T_Shipments[Confirmed_Qty],T_Shipments[Part Name],$A12,T_Shipments[Effective_Week],28)</f>
        <v/>
      </c>
      <c r="AD12">
        <f>SUMIFS(T_Shipments[Confirmed_Qty],T_Shipments[Part Name],$A12,T_Shipments[Effective_Week],29)</f>
        <v/>
      </c>
      <c r="AE12">
        <f>SUMIFS(T_Shipments[Confirmed_Qty],T_Shipments[Part Name],$A12,T_Shipments[Effective_Week],30)</f>
        <v/>
      </c>
      <c r="AF12">
        <f>SUMIFS(T_Shipments[Confirmed_Qty],T_Shipments[Part Name],$A12,T_Shipments[Effective_Week],31)</f>
        <v/>
      </c>
      <c r="AG12">
        <f>SUMIFS(T_Shipments[Confirmed_Qty],T_Shipments[Part Name],$A12,T_Shipments[Effective_Week],32)</f>
        <v/>
      </c>
      <c r="AH12">
        <f>SUMIFS(T_Shipments[Confirmed_Qty],T_Shipments[Part Name],$A12,T_Shipments[Effective_Week],33)</f>
        <v/>
      </c>
      <c r="AI12">
        <f>SUMIFS(T_Shipments[Confirmed_Qty],T_Shipments[Part Name],$A12,T_Shipments[Effective_Week],34)</f>
        <v/>
      </c>
      <c r="AJ12">
        <f>SUMIFS(T_Shipments[Confirmed_Qty],T_Shipments[Part Name],$A12,T_Shipments[Effective_Week],35)</f>
        <v/>
      </c>
      <c r="AK12">
        <f>SUMIFS(T_Shipments[Confirmed_Qty],T_Shipments[Part Name],$A12,T_Shipments[Effective_Week],36)</f>
        <v/>
      </c>
      <c r="AL12">
        <f>SUMIFS(T_Shipments[Confirmed_Qty],T_Shipments[Part Name],$A12,T_Shipments[Effective_Week],37)</f>
        <v/>
      </c>
      <c r="AM12">
        <f>SUMIFS(T_Shipments[Confirmed_Qty],T_Shipments[Part Name],$A12,T_Shipments[Effective_Week],38)</f>
        <v/>
      </c>
      <c r="AN12">
        <f>SUMIFS(T_Shipments[Confirmed_Qty],T_Shipments[Part Name],$A12,T_Shipments[Effective_Week],39)</f>
        <v/>
      </c>
      <c r="AO12">
        <f>SUMIFS(T_Shipments[Confirmed_Qty],T_Shipments[Part Name],$A12,T_Shipments[Effective_Week],40)</f>
        <v/>
      </c>
      <c r="AP12">
        <f>SUMIFS(T_Shipments[Confirmed_Qty],T_Shipments[Part Name],$A12,T_Shipments[Effective_Week],41)</f>
        <v/>
      </c>
      <c r="AQ12">
        <f>SUMIFS(T_Shipments[Confirmed_Qty],T_Shipments[Part Name],$A12,T_Shipments[Effective_Week],42)</f>
        <v/>
      </c>
      <c r="AR12">
        <f>SUMIFS(T_Shipments[Confirmed_Qty],T_Shipments[Part Name],$A12,T_Shipments[Effective_Week],43)</f>
        <v/>
      </c>
      <c r="AS12">
        <f>SUMIFS(T_Shipments[Confirmed_Qty],T_Shipments[Part Name],$A12,T_Shipments[Effective_Week],44)</f>
        <v/>
      </c>
      <c r="AT12">
        <f>SUMIFS(T_Shipments[Confirmed_Qty],T_Shipments[Part Name],$A12,T_Shipments[Effective_Week],45)</f>
        <v/>
      </c>
      <c r="AU12">
        <f>SUMIFS(T_Shipments[Confirmed_Qty],T_Shipments[Part Name],$A12,T_Shipments[Effective_Week],46)</f>
        <v/>
      </c>
      <c r="AV12">
        <f>SUMIFS(T_Shipments[Confirmed_Qty],T_Shipments[Part Name],$A12,T_Shipments[Effective_Week],47)</f>
        <v/>
      </c>
      <c r="AW12">
        <f>SUMIFS(T_Shipments[Confirmed_Qty],T_Shipments[Part Name],$A12,T_Shipments[Effective_Week],48)</f>
        <v/>
      </c>
      <c r="AX12">
        <f>SUMIFS(T_Shipments[Confirmed_Qty],T_Shipments[Part Name],$A12,T_Shipments[Effective_Week],49)</f>
        <v/>
      </c>
      <c r="AY12">
        <f>SUMIFS(T_Shipments[Confirmed_Qty],T_Shipments[Part Name],$A12,T_Shipments[Effective_Week],50)</f>
        <v/>
      </c>
      <c r="AZ12">
        <f>SUMIFS(T_Shipments[Confirmed_Qty],T_Shipments[Part Name],$A12,T_Shipments[Effective_Week],51)</f>
        <v/>
      </c>
      <c r="BA12">
        <f>SUMIFS(T_Shipments[Confirmed_Qty],T_Shipments[Part Name],$A12,T_Shipments[Effective_Week],52)</f>
        <v/>
      </c>
      <c r="BB12">
        <f>SUMIFS(T_Shipments[Confirmed_Qty],T_Shipments[Part Name],$A12,T_Shipments[Effective_Week],53)</f>
        <v/>
      </c>
      <c r="BC12">
        <f>SUMIFS(T_Shipments[Confirmed_Qty],T_Shipments[Part Name],$A12,T_Shipments[Effective_Week],54)</f>
        <v/>
      </c>
      <c r="BD12">
        <f>SUMIFS(T_Shipments[Confirmed_Qty],T_Shipments[Part Name],$A12,T_Shipments[Effective_Week],55)</f>
        <v/>
      </c>
      <c r="BE12">
        <f>SUMIFS(T_Shipments[Confirmed_Qty],T_Shipments[Part Name],$A12,T_Shipments[Effective_Week],56)</f>
        <v/>
      </c>
      <c r="BF12">
        <f>SUMIFS(T_Shipments[Confirmed_Qty],T_Shipments[Part Name],$A12,T_Shipments[Effective_Week],57)</f>
        <v/>
      </c>
      <c r="BG12">
        <f>SUMIFS(T_Shipments[Confirmed_Qty],T_Shipments[Part Name],$A12,T_Shipments[Effective_Week],58)</f>
        <v/>
      </c>
      <c r="BH12">
        <f>SUMIFS(T_Shipments[Confirmed_Qty],T_Shipments[Part Name],$A12,T_Shipments[Effective_Week],59)</f>
        <v/>
      </c>
      <c r="BI12">
        <f>SUMIFS(T_Shipments[Confirmed_Qty],T_Shipments[Part Name],$A12,T_Shipments[Effective_Week],60)</f>
        <v/>
      </c>
      <c r="BJ12">
        <f>SUMIFS(T_Shipments[Confirmed_Qty],T_Shipments[Part Name],$A12,T_Shipments[Effective_Week],61)</f>
        <v/>
      </c>
      <c r="BK12">
        <f>SUMIFS(T_Shipments[Confirmed_Qty],T_Shipments[Part Name],$A12,T_Shipments[Effective_Week],62)</f>
        <v/>
      </c>
      <c r="BL12">
        <f>SUMIFS(T_Shipments[Confirmed_Qty],T_Shipments[Part Name],$A12,T_Shipments[Effective_Week],63)</f>
        <v/>
      </c>
      <c r="BM12">
        <f>SUMIFS(T_Shipments[Confirmed_Qty],T_Shipments[Part Name],$A12,T_Shipments[Effective_Week],64)</f>
        <v/>
      </c>
      <c r="BN12">
        <f>SUMIFS(T_Shipments[Confirmed_Qty],T_Shipments[Part Name],$A12,T_Shipments[Effective_Week],65)</f>
        <v/>
      </c>
      <c r="BO12">
        <f>SUMIFS(T_Shipments[Confirmed_Qty],T_Shipments[Part Name],$A12,T_Shipments[Effective_Week],66)</f>
        <v/>
      </c>
      <c r="BP12">
        <f>SUMIFS(T_Shipments[Confirmed_Qty],T_Shipments[Part Name],$A12,T_Shipments[Effective_Week],67)</f>
        <v/>
      </c>
      <c r="BQ12">
        <f>SUMIFS(T_Shipments[Confirmed_Qty],T_Shipments[Part Name],$A12,T_Shipments[Effective_Week],68)</f>
        <v/>
      </c>
      <c r="BR12">
        <f>SUMIFS(T_Shipments[Confirmed_Qty],T_Shipments[Part Name],$A12,T_Shipments[Effective_Week],69)</f>
        <v/>
      </c>
      <c r="BS12">
        <f>SUMIFS(T_Shipments[Confirmed_Qty],T_Shipments[Part Name],$A12,T_Shipments[Effective_Week],70)</f>
        <v/>
      </c>
      <c r="BT12">
        <f>SUMIFS(T_Shipments[Confirmed_Qty],T_Shipments[Part Name],$A12,T_Shipments[Effective_Week],71)</f>
        <v/>
      </c>
      <c r="BU12">
        <f>SUMIFS(T_Shipments[Confirmed_Qty],T_Shipments[Part Name],$A12,T_Shipments[Effective_Week],72)</f>
        <v/>
      </c>
      <c r="BV12">
        <f>SUMIFS(T_Shipments[Confirmed_Qty],T_Shipments[Part Name],$A12,T_Shipments[Effective_Week],73)</f>
        <v/>
      </c>
      <c r="BW12">
        <f>SUMIFS(T_Shipments[Confirmed_Qty],T_Shipments[Part Name],$A12,T_Shipments[Effective_Week],74)</f>
        <v/>
      </c>
      <c r="BX12">
        <f>SUMIFS(T_Shipments[Confirmed_Qty],T_Shipments[Part Name],$A12,T_Shipments[Effective_Week],75)</f>
        <v/>
      </c>
      <c r="BY12">
        <f>SUMIFS(T_Shipments[Confirmed_Qty],T_Shipments[Part Name],$A12,T_Shipments[Effective_Week],76)</f>
        <v/>
      </c>
      <c r="BZ12">
        <f>SUMIFS(T_Shipments[Confirmed_Qty],T_Shipments[Part Name],$A12,T_Shipments[Effective_Week],77)</f>
        <v/>
      </c>
      <c r="CA12">
        <f>SUMIFS(T_Shipments[Confirmed_Qty],T_Shipments[Part Name],$A12,T_Shipments[Effective_Week],78)</f>
        <v/>
      </c>
      <c r="CB12">
        <f>SUMIFS(T_Shipments[Confirmed_Qty],T_Shipments[Part Name],$A12,T_Shipments[Effective_Week],79)</f>
        <v/>
      </c>
      <c r="CC12">
        <f>SUMIFS(T_Shipments[Confirmed_Qty],T_Shipments[Part Name],$A12,T_Shipments[Effective_Week],80)</f>
        <v/>
      </c>
      <c r="CD12">
        <f>SUMIFS(T_Shipments[Confirmed_Qty],T_Shipments[Part Name],$A12,T_Shipments[Effective_Week],81)</f>
        <v/>
      </c>
      <c r="CE12">
        <f>SUMIFS(T_Shipments[Confirmed_Qty],T_Shipments[Part Name],$A12,T_Shipments[Effective_Week],82)</f>
        <v/>
      </c>
      <c r="CF12">
        <f>SUMIFS(T_Shipments[Confirmed_Qty],T_Shipments[Part Name],$A12,T_Shipments[Effective_Week],83)</f>
        <v/>
      </c>
      <c r="CG12">
        <f>SUMIFS(T_Shipments[Confirmed_Qty],T_Shipments[Part Name],$A12,T_Shipments[Effective_Week],84)</f>
        <v/>
      </c>
      <c r="CH12">
        <f>SUMIFS(T_Shipments[Confirmed_Qty],T_Shipments[Part Name],$A12,T_Shipments[Effective_Week],85)</f>
        <v/>
      </c>
      <c r="CI12">
        <f>SUMIFS(T_Shipments[Confirmed_Qty],T_Shipments[Part Name],$A12,T_Shipments[Effective_Week],86)</f>
        <v/>
      </c>
      <c r="CJ12">
        <f>SUMIFS(T_Shipments[Confirmed_Qty],T_Shipments[Part Name],$A12,T_Shipments[Effective_Week],87)</f>
        <v/>
      </c>
      <c r="CK12">
        <f>SUMIFS(T_Shipments[Confirmed_Qty],T_Shipments[Part Name],$A12,T_Shipments[Effective_Week],88)</f>
        <v/>
      </c>
      <c r="CL12">
        <f>SUMIFS(T_Shipments[Confirmed_Qty],T_Shipments[Part Name],$A12,T_Shipments[Effective_Week],89)</f>
        <v/>
      </c>
      <c r="CM12">
        <f>SUMIFS(T_Shipments[Confirmed_Qty],T_Shipments[Part Name],$A12,T_Shipments[Effective_Week],90)</f>
        <v/>
      </c>
      <c r="CN12">
        <f>SUMIFS(T_Shipments[Confirmed_Qty],T_Shipments[Part Name],$A12,T_Shipments[Effective_Week],91)</f>
        <v/>
      </c>
      <c r="CO12">
        <f>SUMIFS(T_Shipments[Confirmed_Qty],T_Shipments[Part Name],$A12,T_Shipments[Effective_Week],92)</f>
        <v/>
      </c>
      <c r="CP12">
        <f>SUMIFS(T_Shipments[Confirmed_Qty],T_Shipments[Part Name],$A12,T_Shipments[Effective_Week],93)</f>
        <v/>
      </c>
      <c r="CQ12">
        <f>SUMIFS(T_Shipments[Confirmed_Qty],T_Shipments[Part Name],$A12,T_Shipments[Effective_Week],94)</f>
        <v/>
      </c>
      <c r="CR12">
        <f>SUMIFS(T_Shipments[Confirmed_Qty],T_Shipments[Part Name],$A12,T_Shipments[Effective_Week],95)</f>
        <v/>
      </c>
      <c r="CS12">
        <f>SUMIFS(T_Shipments[Confirmed_Qty],T_Shipments[Part Name],$A12,T_Shipments[Effective_Week],96)</f>
        <v/>
      </c>
      <c r="CT12">
        <f>SUMIFS(T_Shipments[Confirmed_Qty],T_Shipments[Part Name],$A12,T_Shipments[Effective_Week],97)</f>
        <v/>
      </c>
      <c r="CU12">
        <f>SUMIFS(T_Shipments[Confirmed_Qty],T_Shipments[Part Name],$A12,T_Shipments[Effective_Week],98)</f>
        <v/>
      </c>
      <c r="CV12">
        <f>SUMIFS(T_Shipments[Confirmed_Qty],T_Shipments[Part Name],$A12,T_Shipments[Effective_Week],99)</f>
        <v/>
      </c>
      <c r="CW12">
        <f>SUMIFS(T_Shipments[Confirmed_Qty],T_Shipments[Part Name],$A12,T_Shipments[Effective_Week],100)</f>
        <v/>
      </c>
      <c r="CX12">
        <f>SUMIFS(T_Shipments[Confirmed_Qty],T_Shipments[Part Name],$A12,T_Shipments[Effective_Week],101)</f>
        <v/>
      </c>
      <c r="CY12">
        <f>SUMIFS(T_Shipments[Confirmed_Qty],T_Shipments[Part Name],$A12,T_Shipments[Effective_Week],102)</f>
        <v/>
      </c>
      <c r="CZ12">
        <f>SUMIFS(T_Shipments[Confirmed_Qty],T_Shipments[Part Name],$A12,T_Shipments[Effective_Week],103)</f>
        <v/>
      </c>
      <c r="DA12">
        <f>SUMIFS(T_Shipments[Confirmed_Qty],T_Shipments[Part Name],$A12,T_Shipments[Effective_Week],104)</f>
        <v/>
      </c>
    </row>
    <row r="13">
      <c r="A13" t="inlineStr">
        <is>
          <t>7CL</t>
        </is>
      </c>
      <c r="B13">
        <f>SUMIFS(T_Shipments[Confirmed_Qty],T_Shipments[Part Name],$A13,T_Shipments[Effective_Week],1)</f>
        <v/>
      </c>
      <c r="C13">
        <f>SUMIFS(T_Shipments[Confirmed_Qty],T_Shipments[Part Name],$A13,T_Shipments[Effective_Week],2)</f>
        <v/>
      </c>
      <c r="D13">
        <f>SUMIFS(T_Shipments[Confirmed_Qty],T_Shipments[Part Name],$A13,T_Shipments[Effective_Week],3)</f>
        <v/>
      </c>
      <c r="E13">
        <f>SUMIFS(T_Shipments[Confirmed_Qty],T_Shipments[Part Name],$A13,T_Shipments[Effective_Week],4)</f>
        <v/>
      </c>
      <c r="F13">
        <f>SUMIFS(T_Shipments[Confirmed_Qty],T_Shipments[Part Name],$A13,T_Shipments[Effective_Week],5)</f>
        <v/>
      </c>
      <c r="G13">
        <f>SUMIFS(T_Shipments[Confirmed_Qty],T_Shipments[Part Name],$A13,T_Shipments[Effective_Week],6)</f>
        <v/>
      </c>
      <c r="H13">
        <f>SUMIFS(T_Shipments[Confirmed_Qty],T_Shipments[Part Name],$A13,T_Shipments[Effective_Week],7)</f>
        <v/>
      </c>
      <c r="I13">
        <f>SUMIFS(T_Shipments[Confirmed_Qty],T_Shipments[Part Name],$A13,T_Shipments[Effective_Week],8)</f>
        <v/>
      </c>
      <c r="J13">
        <f>SUMIFS(T_Shipments[Confirmed_Qty],T_Shipments[Part Name],$A13,T_Shipments[Effective_Week],9)</f>
        <v/>
      </c>
      <c r="K13">
        <f>SUMIFS(T_Shipments[Confirmed_Qty],T_Shipments[Part Name],$A13,T_Shipments[Effective_Week],10)</f>
        <v/>
      </c>
      <c r="L13">
        <f>SUMIFS(T_Shipments[Confirmed_Qty],T_Shipments[Part Name],$A13,T_Shipments[Effective_Week],11)</f>
        <v/>
      </c>
      <c r="M13">
        <f>SUMIFS(T_Shipments[Confirmed_Qty],T_Shipments[Part Name],$A13,T_Shipments[Effective_Week],12)</f>
        <v/>
      </c>
      <c r="N13">
        <f>SUMIFS(T_Shipments[Confirmed_Qty],T_Shipments[Part Name],$A13,T_Shipments[Effective_Week],13)</f>
        <v/>
      </c>
      <c r="O13">
        <f>SUMIFS(T_Shipments[Confirmed_Qty],T_Shipments[Part Name],$A13,T_Shipments[Effective_Week],14)</f>
        <v/>
      </c>
      <c r="P13">
        <f>SUMIFS(T_Shipments[Confirmed_Qty],T_Shipments[Part Name],$A13,T_Shipments[Effective_Week],15)</f>
        <v/>
      </c>
      <c r="Q13">
        <f>SUMIFS(T_Shipments[Confirmed_Qty],T_Shipments[Part Name],$A13,T_Shipments[Effective_Week],16)</f>
        <v/>
      </c>
      <c r="R13">
        <f>SUMIFS(T_Shipments[Confirmed_Qty],T_Shipments[Part Name],$A13,T_Shipments[Effective_Week],17)</f>
        <v/>
      </c>
      <c r="S13">
        <f>SUMIFS(T_Shipments[Confirmed_Qty],T_Shipments[Part Name],$A13,T_Shipments[Effective_Week],18)</f>
        <v/>
      </c>
      <c r="T13">
        <f>SUMIFS(T_Shipments[Confirmed_Qty],T_Shipments[Part Name],$A13,T_Shipments[Effective_Week],19)</f>
        <v/>
      </c>
      <c r="U13">
        <f>SUMIFS(T_Shipments[Confirmed_Qty],T_Shipments[Part Name],$A13,T_Shipments[Effective_Week],20)</f>
        <v/>
      </c>
      <c r="V13">
        <f>SUMIFS(T_Shipments[Confirmed_Qty],T_Shipments[Part Name],$A13,T_Shipments[Effective_Week],21)</f>
        <v/>
      </c>
      <c r="W13">
        <f>SUMIFS(T_Shipments[Confirmed_Qty],T_Shipments[Part Name],$A13,T_Shipments[Effective_Week],22)</f>
        <v/>
      </c>
      <c r="X13">
        <f>SUMIFS(T_Shipments[Confirmed_Qty],T_Shipments[Part Name],$A13,T_Shipments[Effective_Week],23)</f>
        <v/>
      </c>
      <c r="Y13">
        <f>SUMIFS(T_Shipments[Confirmed_Qty],T_Shipments[Part Name],$A13,T_Shipments[Effective_Week],24)</f>
        <v/>
      </c>
      <c r="Z13">
        <f>SUMIFS(T_Shipments[Confirmed_Qty],T_Shipments[Part Name],$A13,T_Shipments[Effective_Week],25)</f>
        <v/>
      </c>
      <c r="AA13">
        <f>SUMIFS(T_Shipments[Confirmed_Qty],T_Shipments[Part Name],$A13,T_Shipments[Effective_Week],26)</f>
        <v/>
      </c>
      <c r="AB13">
        <f>SUMIFS(T_Shipments[Confirmed_Qty],T_Shipments[Part Name],$A13,T_Shipments[Effective_Week],27)</f>
        <v/>
      </c>
      <c r="AC13">
        <f>SUMIFS(T_Shipments[Confirmed_Qty],T_Shipments[Part Name],$A13,T_Shipments[Effective_Week],28)</f>
        <v/>
      </c>
      <c r="AD13">
        <f>SUMIFS(T_Shipments[Confirmed_Qty],T_Shipments[Part Name],$A13,T_Shipments[Effective_Week],29)</f>
        <v/>
      </c>
      <c r="AE13">
        <f>SUMIFS(T_Shipments[Confirmed_Qty],T_Shipments[Part Name],$A13,T_Shipments[Effective_Week],30)</f>
        <v/>
      </c>
      <c r="AF13">
        <f>SUMIFS(T_Shipments[Confirmed_Qty],T_Shipments[Part Name],$A13,T_Shipments[Effective_Week],31)</f>
        <v/>
      </c>
      <c r="AG13">
        <f>SUMIFS(T_Shipments[Confirmed_Qty],T_Shipments[Part Name],$A13,T_Shipments[Effective_Week],32)</f>
        <v/>
      </c>
      <c r="AH13">
        <f>SUMIFS(T_Shipments[Confirmed_Qty],T_Shipments[Part Name],$A13,T_Shipments[Effective_Week],33)</f>
        <v/>
      </c>
      <c r="AI13">
        <f>SUMIFS(T_Shipments[Confirmed_Qty],T_Shipments[Part Name],$A13,T_Shipments[Effective_Week],34)</f>
        <v/>
      </c>
      <c r="AJ13">
        <f>SUMIFS(T_Shipments[Confirmed_Qty],T_Shipments[Part Name],$A13,T_Shipments[Effective_Week],35)</f>
        <v/>
      </c>
      <c r="AK13">
        <f>SUMIFS(T_Shipments[Confirmed_Qty],T_Shipments[Part Name],$A13,T_Shipments[Effective_Week],36)</f>
        <v/>
      </c>
      <c r="AL13">
        <f>SUMIFS(T_Shipments[Confirmed_Qty],T_Shipments[Part Name],$A13,T_Shipments[Effective_Week],37)</f>
        <v/>
      </c>
      <c r="AM13">
        <f>SUMIFS(T_Shipments[Confirmed_Qty],T_Shipments[Part Name],$A13,T_Shipments[Effective_Week],38)</f>
        <v/>
      </c>
      <c r="AN13">
        <f>SUMIFS(T_Shipments[Confirmed_Qty],T_Shipments[Part Name],$A13,T_Shipments[Effective_Week],39)</f>
        <v/>
      </c>
      <c r="AO13">
        <f>SUMIFS(T_Shipments[Confirmed_Qty],T_Shipments[Part Name],$A13,T_Shipments[Effective_Week],40)</f>
        <v/>
      </c>
      <c r="AP13">
        <f>SUMIFS(T_Shipments[Confirmed_Qty],T_Shipments[Part Name],$A13,T_Shipments[Effective_Week],41)</f>
        <v/>
      </c>
      <c r="AQ13">
        <f>SUMIFS(T_Shipments[Confirmed_Qty],T_Shipments[Part Name],$A13,T_Shipments[Effective_Week],42)</f>
        <v/>
      </c>
      <c r="AR13">
        <f>SUMIFS(T_Shipments[Confirmed_Qty],T_Shipments[Part Name],$A13,T_Shipments[Effective_Week],43)</f>
        <v/>
      </c>
      <c r="AS13">
        <f>SUMIFS(T_Shipments[Confirmed_Qty],T_Shipments[Part Name],$A13,T_Shipments[Effective_Week],44)</f>
        <v/>
      </c>
      <c r="AT13">
        <f>SUMIFS(T_Shipments[Confirmed_Qty],T_Shipments[Part Name],$A13,T_Shipments[Effective_Week],45)</f>
        <v/>
      </c>
      <c r="AU13">
        <f>SUMIFS(T_Shipments[Confirmed_Qty],T_Shipments[Part Name],$A13,T_Shipments[Effective_Week],46)</f>
        <v/>
      </c>
      <c r="AV13">
        <f>SUMIFS(T_Shipments[Confirmed_Qty],T_Shipments[Part Name],$A13,T_Shipments[Effective_Week],47)</f>
        <v/>
      </c>
      <c r="AW13">
        <f>SUMIFS(T_Shipments[Confirmed_Qty],T_Shipments[Part Name],$A13,T_Shipments[Effective_Week],48)</f>
        <v/>
      </c>
      <c r="AX13">
        <f>SUMIFS(T_Shipments[Confirmed_Qty],T_Shipments[Part Name],$A13,T_Shipments[Effective_Week],49)</f>
        <v/>
      </c>
      <c r="AY13">
        <f>SUMIFS(T_Shipments[Confirmed_Qty],T_Shipments[Part Name],$A13,T_Shipments[Effective_Week],50)</f>
        <v/>
      </c>
      <c r="AZ13">
        <f>SUMIFS(T_Shipments[Confirmed_Qty],T_Shipments[Part Name],$A13,T_Shipments[Effective_Week],51)</f>
        <v/>
      </c>
      <c r="BA13">
        <f>SUMIFS(T_Shipments[Confirmed_Qty],T_Shipments[Part Name],$A13,T_Shipments[Effective_Week],52)</f>
        <v/>
      </c>
      <c r="BB13">
        <f>SUMIFS(T_Shipments[Confirmed_Qty],T_Shipments[Part Name],$A13,T_Shipments[Effective_Week],53)</f>
        <v/>
      </c>
      <c r="BC13">
        <f>SUMIFS(T_Shipments[Confirmed_Qty],T_Shipments[Part Name],$A13,T_Shipments[Effective_Week],54)</f>
        <v/>
      </c>
      <c r="BD13">
        <f>SUMIFS(T_Shipments[Confirmed_Qty],T_Shipments[Part Name],$A13,T_Shipments[Effective_Week],55)</f>
        <v/>
      </c>
      <c r="BE13">
        <f>SUMIFS(T_Shipments[Confirmed_Qty],T_Shipments[Part Name],$A13,T_Shipments[Effective_Week],56)</f>
        <v/>
      </c>
      <c r="BF13">
        <f>SUMIFS(T_Shipments[Confirmed_Qty],T_Shipments[Part Name],$A13,T_Shipments[Effective_Week],57)</f>
        <v/>
      </c>
      <c r="BG13">
        <f>SUMIFS(T_Shipments[Confirmed_Qty],T_Shipments[Part Name],$A13,T_Shipments[Effective_Week],58)</f>
        <v/>
      </c>
      <c r="BH13">
        <f>SUMIFS(T_Shipments[Confirmed_Qty],T_Shipments[Part Name],$A13,T_Shipments[Effective_Week],59)</f>
        <v/>
      </c>
      <c r="BI13">
        <f>SUMIFS(T_Shipments[Confirmed_Qty],T_Shipments[Part Name],$A13,T_Shipments[Effective_Week],60)</f>
        <v/>
      </c>
      <c r="BJ13">
        <f>SUMIFS(T_Shipments[Confirmed_Qty],T_Shipments[Part Name],$A13,T_Shipments[Effective_Week],61)</f>
        <v/>
      </c>
      <c r="BK13">
        <f>SUMIFS(T_Shipments[Confirmed_Qty],T_Shipments[Part Name],$A13,T_Shipments[Effective_Week],62)</f>
        <v/>
      </c>
      <c r="BL13">
        <f>SUMIFS(T_Shipments[Confirmed_Qty],T_Shipments[Part Name],$A13,T_Shipments[Effective_Week],63)</f>
        <v/>
      </c>
      <c r="BM13">
        <f>SUMIFS(T_Shipments[Confirmed_Qty],T_Shipments[Part Name],$A13,T_Shipments[Effective_Week],64)</f>
        <v/>
      </c>
      <c r="BN13">
        <f>SUMIFS(T_Shipments[Confirmed_Qty],T_Shipments[Part Name],$A13,T_Shipments[Effective_Week],65)</f>
        <v/>
      </c>
      <c r="BO13">
        <f>SUMIFS(T_Shipments[Confirmed_Qty],T_Shipments[Part Name],$A13,T_Shipments[Effective_Week],66)</f>
        <v/>
      </c>
      <c r="BP13">
        <f>SUMIFS(T_Shipments[Confirmed_Qty],T_Shipments[Part Name],$A13,T_Shipments[Effective_Week],67)</f>
        <v/>
      </c>
      <c r="BQ13">
        <f>SUMIFS(T_Shipments[Confirmed_Qty],T_Shipments[Part Name],$A13,T_Shipments[Effective_Week],68)</f>
        <v/>
      </c>
      <c r="BR13">
        <f>SUMIFS(T_Shipments[Confirmed_Qty],T_Shipments[Part Name],$A13,T_Shipments[Effective_Week],69)</f>
        <v/>
      </c>
      <c r="BS13">
        <f>SUMIFS(T_Shipments[Confirmed_Qty],T_Shipments[Part Name],$A13,T_Shipments[Effective_Week],70)</f>
        <v/>
      </c>
      <c r="BT13">
        <f>SUMIFS(T_Shipments[Confirmed_Qty],T_Shipments[Part Name],$A13,T_Shipments[Effective_Week],71)</f>
        <v/>
      </c>
      <c r="BU13">
        <f>SUMIFS(T_Shipments[Confirmed_Qty],T_Shipments[Part Name],$A13,T_Shipments[Effective_Week],72)</f>
        <v/>
      </c>
      <c r="BV13">
        <f>SUMIFS(T_Shipments[Confirmed_Qty],T_Shipments[Part Name],$A13,T_Shipments[Effective_Week],73)</f>
        <v/>
      </c>
      <c r="BW13">
        <f>SUMIFS(T_Shipments[Confirmed_Qty],T_Shipments[Part Name],$A13,T_Shipments[Effective_Week],74)</f>
        <v/>
      </c>
      <c r="BX13">
        <f>SUMIFS(T_Shipments[Confirmed_Qty],T_Shipments[Part Name],$A13,T_Shipments[Effective_Week],75)</f>
        <v/>
      </c>
      <c r="BY13">
        <f>SUMIFS(T_Shipments[Confirmed_Qty],T_Shipments[Part Name],$A13,T_Shipments[Effective_Week],76)</f>
        <v/>
      </c>
      <c r="BZ13">
        <f>SUMIFS(T_Shipments[Confirmed_Qty],T_Shipments[Part Name],$A13,T_Shipments[Effective_Week],77)</f>
        <v/>
      </c>
      <c r="CA13">
        <f>SUMIFS(T_Shipments[Confirmed_Qty],T_Shipments[Part Name],$A13,T_Shipments[Effective_Week],78)</f>
        <v/>
      </c>
      <c r="CB13">
        <f>SUMIFS(T_Shipments[Confirmed_Qty],T_Shipments[Part Name],$A13,T_Shipments[Effective_Week],79)</f>
        <v/>
      </c>
      <c r="CC13">
        <f>SUMIFS(T_Shipments[Confirmed_Qty],T_Shipments[Part Name],$A13,T_Shipments[Effective_Week],80)</f>
        <v/>
      </c>
      <c r="CD13">
        <f>SUMIFS(T_Shipments[Confirmed_Qty],T_Shipments[Part Name],$A13,T_Shipments[Effective_Week],81)</f>
        <v/>
      </c>
      <c r="CE13">
        <f>SUMIFS(T_Shipments[Confirmed_Qty],T_Shipments[Part Name],$A13,T_Shipments[Effective_Week],82)</f>
        <v/>
      </c>
      <c r="CF13">
        <f>SUMIFS(T_Shipments[Confirmed_Qty],T_Shipments[Part Name],$A13,T_Shipments[Effective_Week],83)</f>
        <v/>
      </c>
      <c r="CG13">
        <f>SUMIFS(T_Shipments[Confirmed_Qty],T_Shipments[Part Name],$A13,T_Shipments[Effective_Week],84)</f>
        <v/>
      </c>
      <c r="CH13">
        <f>SUMIFS(T_Shipments[Confirmed_Qty],T_Shipments[Part Name],$A13,T_Shipments[Effective_Week],85)</f>
        <v/>
      </c>
      <c r="CI13">
        <f>SUMIFS(T_Shipments[Confirmed_Qty],T_Shipments[Part Name],$A13,T_Shipments[Effective_Week],86)</f>
        <v/>
      </c>
      <c r="CJ13">
        <f>SUMIFS(T_Shipments[Confirmed_Qty],T_Shipments[Part Name],$A13,T_Shipments[Effective_Week],87)</f>
        <v/>
      </c>
      <c r="CK13">
        <f>SUMIFS(T_Shipments[Confirmed_Qty],T_Shipments[Part Name],$A13,T_Shipments[Effective_Week],88)</f>
        <v/>
      </c>
      <c r="CL13">
        <f>SUMIFS(T_Shipments[Confirmed_Qty],T_Shipments[Part Name],$A13,T_Shipments[Effective_Week],89)</f>
        <v/>
      </c>
      <c r="CM13">
        <f>SUMIFS(T_Shipments[Confirmed_Qty],T_Shipments[Part Name],$A13,T_Shipments[Effective_Week],90)</f>
        <v/>
      </c>
      <c r="CN13">
        <f>SUMIFS(T_Shipments[Confirmed_Qty],T_Shipments[Part Name],$A13,T_Shipments[Effective_Week],91)</f>
        <v/>
      </c>
      <c r="CO13">
        <f>SUMIFS(T_Shipments[Confirmed_Qty],T_Shipments[Part Name],$A13,T_Shipments[Effective_Week],92)</f>
        <v/>
      </c>
      <c r="CP13">
        <f>SUMIFS(T_Shipments[Confirmed_Qty],T_Shipments[Part Name],$A13,T_Shipments[Effective_Week],93)</f>
        <v/>
      </c>
      <c r="CQ13">
        <f>SUMIFS(T_Shipments[Confirmed_Qty],T_Shipments[Part Name],$A13,T_Shipments[Effective_Week],94)</f>
        <v/>
      </c>
      <c r="CR13">
        <f>SUMIFS(T_Shipments[Confirmed_Qty],T_Shipments[Part Name],$A13,T_Shipments[Effective_Week],95)</f>
        <v/>
      </c>
      <c r="CS13">
        <f>SUMIFS(T_Shipments[Confirmed_Qty],T_Shipments[Part Name],$A13,T_Shipments[Effective_Week],96)</f>
        <v/>
      </c>
      <c r="CT13">
        <f>SUMIFS(T_Shipments[Confirmed_Qty],T_Shipments[Part Name],$A13,T_Shipments[Effective_Week],97)</f>
        <v/>
      </c>
      <c r="CU13">
        <f>SUMIFS(T_Shipments[Confirmed_Qty],T_Shipments[Part Name],$A13,T_Shipments[Effective_Week],98)</f>
        <v/>
      </c>
      <c r="CV13">
        <f>SUMIFS(T_Shipments[Confirmed_Qty],T_Shipments[Part Name],$A13,T_Shipments[Effective_Week],99)</f>
        <v/>
      </c>
      <c r="CW13">
        <f>SUMIFS(T_Shipments[Confirmed_Qty],T_Shipments[Part Name],$A13,T_Shipments[Effective_Week],100)</f>
        <v/>
      </c>
      <c r="CX13">
        <f>SUMIFS(T_Shipments[Confirmed_Qty],T_Shipments[Part Name],$A13,T_Shipments[Effective_Week],101)</f>
        <v/>
      </c>
      <c r="CY13">
        <f>SUMIFS(T_Shipments[Confirmed_Qty],T_Shipments[Part Name],$A13,T_Shipments[Effective_Week],102)</f>
        <v/>
      </c>
      <c r="CZ13">
        <f>SUMIFS(T_Shipments[Confirmed_Qty],T_Shipments[Part Name],$A13,T_Shipments[Effective_Week],103)</f>
        <v/>
      </c>
      <c r="DA13">
        <f>SUMIFS(T_Shipments[Confirmed_Qty],T_Shipments[Part Name],$A13,T_Shipments[Effective_Week],104)</f>
        <v/>
      </c>
    </row>
    <row r="14">
      <c r="A14" t="inlineStr">
        <is>
          <t>9RN</t>
        </is>
      </c>
      <c r="B14">
        <f>SUMIFS(T_Shipments[Confirmed_Qty],T_Shipments[Part Name],$A14,T_Shipments[Effective_Week],1)</f>
        <v/>
      </c>
      <c r="C14">
        <f>SUMIFS(T_Shipments[Confirmed_Qty],T_Shipments[Part Name],$A14,T_Shipments[Effective_Week],2)</f>
        <v/>
      </c>
      <c r="D14">
        <f>SUMIFS(T_Shipments[Confirmed_Qty],T_Shipments[Part Name],$A14,T_Shipments[Effective_Week],3)</f>
        <v/>
      </c>
      <c r="E14">
        <f>SUMIFS(T_Shipments[Confirmed_Qty],T_Shipments[Part Name],$A14,T_Shipments[Effective_Week],4)</f>
        <v/>
      </c>
      <c r="F14">
        <f>SUMIFS(T_Shipments[Confirmed_Qty],T_Shipments[Part Name],$A14,T_Shipments[Effective_Week],5)</f>
        <v/>
      </c>
      <c r="G14">
        <f>SUMIFS(T_Shipments[Confirmed_Qty],T_Shipments[Part Name],$A14,T_Shipments[Effective_Week],6)</f>
        <v/>
      </c>
      <c r="H14">
        <f>SUMIFS(T_Shipments[Confirmed_Qty],T_Shipments[Part Name],$A14,T_Shipments[Effective_Week],7)</f>
        <v/>
      </c>
      <c r="I14">
        <f>SUMIFS(T_Shipments[Confirmed_Qty],T_Shipments[Part Name],$A14,T_Shipments[Effective_Week],8)</f>
        <v/>
      </c>
      <c r="J14">
        <f>SUMIFS(T_Shipments[Confirmed_Qty],T_Shipments[Part Name],$A14,T_Shipments[Effective_Week],9)</f>
        <v/>
      </c>
      <c r="K14">
        <f>SUMIFS(T_Shipments[Confirmed_Qty],T_Shipments[Part Name],$A14,T_Shipments[Effective_Week],10)</f>
        <v/>
      </c>
      <c r="L14">
        <f>SUMIFS(T_Shipments[Confirmed_Qty],T_Shipments[Part Name],$A14,T_Shipments[Effective_Week],11)</f>
        <v/>
      </c>
      <c r="M14">
        <f>SUMIFS(T_Shipments[Confirmed_Qty],T_Shipments[Part Name],$A14,T_Shipments[Effective_Week],12)</f>
        <v/>
      </c>
      <c r="N14">
        <f>SUMIFS(T_Shipments[Confirmed_Qty],T_Shipments[Part Name],$A14,T_Shipments[Effective_Week],13)</f>
        <v/>
      </c>
      <c r="O14">
        <f>SUMIFS(T_Shipments[Confirmed_Qty],T_Shipments[Part Name],$A14,T_Shipments[Effective_Week],14)</f>
        <v/>
      </c>
      <c r="P14">
        <f>SUMIFS(T_Shipments[Confirmed_Qty],T_Shipments[Part Name],$A14,T_Shipments[Effective_Week],15)</f>
        <v/>
      </c>
      <c r="Q14">
        <f>SUMIFS(T_Shipments[Confirmed_Qty],T_Shipments[Part Name],$A14,T_Shipments[Effective_Week],16)</f>
        <v/>
      </c>
      <c r="R14">
        <f>SUMIFS(T_Shipments[Confirmed_Qty],T_Shipments[Part Name],$A14,T_Shipments[Effective_Week],17)</f>
        <v/>
      </c>
      <c r="S14">
        <f>SUMIFS(T_Shipments[Confirmed_Qty],T_Shipments[Part Name],$A14,T_Shipments[Effective_Week],18)</f>
        <v/>
      </c>
      <c r="T14">
        <f>SUMIFS(T_Shipments[Confirmed_Qty],T_Shipments[Part Name],$A14,T_Shipments[Effective_Week],19)</f>
        <v/>
      </c>
      <c r="U14">
        <f>SUMIFS(T_Shipments[Confirmed_Qty],T_Shipments[Part Name],$A14,T_Shipments[Effective_Week],20)</f>
        <v/>
      </c>
      <c r="V14">
        <f>SUMIFS(T_Shipments[Confirmed_Qty],T_Shipments[Part Name],$A14,T_Shipments[Effective_Week],21)</f>
        <v/>
      </c>
      <c r="W14">
        <f>SUMIFS(T_Shipments[Confirmed_Qty],T_Shipments[Part Name],$A14,T_Shipments[Effective_Week],22)</f>
        <v/>
      </c>
      <c r="X14">
        <f>SUMIFS(T_Shipments[Confirmed_Qty],T_Shipments[Part Name],$A14,T_Shipments[Effective_Week],23)</f>
        <v/>
      </c>
      <c r="Y14">
        <f>SUMIFS(T_Shipments[Confirmed_Qty],T_Shipments[Part Name],$A14,T_Shipments[Effective_Week],24)</f>
        <v/>
      </c>
      <c r="Z14">
        <f>SUMIFS(T_Shipments[Confirmed_Qty],T_Shipments[Part Name],$A14,T_Shipments[Effective_Week],25)</f>
        <v/>
      </c>
      <c r="AA14">
        <f>SUMIFS(T_Shipments[Confirmed_Qty],T_Shipments[Part Name],$A14,T_Shipments[Effective_Week],26)</f>
        <v/>
      </c>
      <c r="AB14">
        <f>SUMIFS(T_Shipments[Confirmed_Qty],T_Shipments[Part Name],$A14,T_Shipments[Effective_Week],27)</f>
        <v/>
      </c>
      <c r="AC14">
        <f>SUMIFS(T_Shipments[Confirmed_Qty],T_Shipments[Part Name],$A14,T_Shipments[Effective_Week],28)</f>
        <v/>
      </c>
      <c r="AD14">
        <f>SUMIFS(T_Shipments[Confirmed_Qty],T_Shipments[Part Name],$A14,T_Shipments[Effective_Week],29)</f>
        <v/>
      </c>
      <c r="AE14">
        <f>SUMIFS(T_Shipments[Confirmed_Qty],T_Shipments[Part Name],$A14,T_Shipments[Effective_Week],30)</f>
        <v/>
      </c>
      <c r="AF14">
        <f>SUMIFS(T_Shipments[Confirmed_Qty],T_Shipments[Part Name],$A14,T_Shipments[Effective_Week],31)</f>
        <v/>
      </c>
      <c r="AG14">
        <f>SUMIFS(T_Shipments[Confirmed_Qty],T_Shipments[Part Name],$A14,T_Shipments[Effective_Week],32)</f>
        <v/>
      </c>
      <c r="AH14">
        <f>SUMIFS(T_Shipments[Confirmed_Qty],T_Shipments[Part Name],$A14,T_Shipments[Effective_Week],33)</f>
        <v/>
      </c>
      <c r="AI14">
        <f>SUMIFS(T_Shipments[Confirmed_Qty],T_Shipments[Part Name],$A14,T_Shipments[Effective_Week],34)</f>
        <v/>
      </c>
      <c r="AJ14">
        <f>SUMIFS(T_Shipments[Confirmed_Qty],T_Shipments[Part Name],$A14,T_Shipments[Effective_Week],35)</f>
        <v/>
      </c>
      <c r="AK14">
        <f>SUMIFS(T_Shipments[Confirmed_Qty],T_Shipments[Part Name],$A14,T_Shipments[Effective_Week],36)</f>
        <v/>
      </c>
      <c r="AL14">
        <f>SUMIFS(T_Shipments[Confirmed_Qty],T_Shipments[Part Name],$A14,T_Shipments[Effective_Week],37)</f>
        <v/>
      </c>
      <c r="AM14">
        <f>SUMIFS(T_Shipments[Confirmed_Qty],T_Shipments[Part Name],$A14,T_Shipments[Effective_Week],38)</f>
        <v/>
      </c>
      <c r="AN14">
        <f>SUMIFS(T_Shipments[Confirmed_Qty],T_Shipments[Part Name],$A14,T_Shipments[Effective_Week],39)</f>
        <v/>
      </c>
      <c r="AO14">
        <f>SUMIFS(T_Shipments[Confirmed_Qty],T_Shipments[Part Name],$A14,T_Shipments[Effective_Week],40)</f>
        <v/>
      </c>
      <c r="AP14">
        <f>SUMIFS(T_Shipments[Confirmed_Qty],T_Shipments[Part Name],$A14,T_Shipments[Effective_Week],41)</f>
        <v/>
      </c>
      <c r="AQ14">
        <f>SUMIFS(T_Shipments[Confirmed_Qty],T_Shipments[Part Name],$A14,T_Shipments[Effective_Week],42)</f>
        <v/>
      </c>
      <c r="AR14">
        <f>SUMIFS(T_Shipments[Confirmed_Qty],T_Shipments[Part Name],$A14,T_Shipments[Effective_Week],43)</f>
        <v/>
      </c>
      <c r="AS14">
        <f>SUMIFS(T_Shipments[Confirmed_Qty],T_Shipments[Part Name],$A14,T_Shipments[Effective_Week],44)</f>
        <v/>
      </c>
      <c r="AT14">
        <f>SUMIFS(T_Shipments[Confirmed_Qty],T_Shipments[Part Name],$A14,T_Shipments[Effective_Week],45)</f>
        <v/>
      </c>
      <c r="AU14">
        <f>SUMIFS(T_Shipments[Confirmed_Qty],T_Shipments[Part Name],$A14,T_Shipments[Effective_Week],46)</f>
        <v/>
      </c>
      <c r="AV14">
        <f>SUMIFS(T_Shipments[Confirmed_Qty],T_Shipments[Part Name],$A14,T_Shipments[Effective_Week],47)</f>
        <v/>
      </c>
      <c r="AW14">
        <f>SUMIFS(T_Shipments[Confirmed_Qty],T_Shipments[Part Name],$A14,T_Shipments[Effective_Week],48)</f>
        <v/>
      </c>
      <c r="AX14">
        <f>SUMIFS(T_Shipments[Confirmed_Qty],T_Shipments[Part Name],$A14,T_Shipments[Effective_Week],49)</f>
        <v/>
      </c>
      <c r="AY14">
        <f>SUMIFS(T_Shipments[Confirmed_Qty],T_Shipments[Part Name],$A14,T_Shipments[Effective_Week],50)</f>
        <v/>
      </c>
      <c r="AZ14">
        <f>SUMIFS(T_Shipments[Confirmed_Qty],T_Shipments[Part Name],$A14,T_Shipments[Effective_Week],51)</f>
        <v/>
      </c>
      <c r="BA14">
        <f>SUMIFS(T_Shipments[Confirmed_Qty],T_Shipments[Part Name],$A14,T_Shipments[Effective_Week],52)</f>
        <v/>
      </c>
      <c r="BB14">
        <f>SUMIFS(T_Shipments[Confirmed_Qty],T_Shipments[Part Name],$A14,T_Shipments[Effective_Week],53)</f>
        <v/>
      </c>
      <c r="BC14">
        <f>SUMIFS(T_Shipments[Confirmed_Qty],T_Shipments[Part Name],$A14,T_Shipments[Effective_Week],54)</f>
        <v/>
      </c>
      <c r="BD14">
        <f>SUMIFS(T_Shipments[Confirmed_Qty],T_Shipments[Part Name],$A14,T_Shipments[Effective_Week],55)</f>
        <v/>
      </c>
      <c r="BE14">
        <f>SUMIFS(T_Shipments[Confirmed_Qty],T_Shipments[Part Name],$A14,T_Shipments[Effective_Week],56)</f>
        <v/>
      </c>
      <c r="BF14">
        <f>SUMIFS(T_Shipments[Confirmed_Qty],T_Shipments[Part Name],$A14,T_Shipments[Effective_Week],57)</f>
        <v/>
      </c>
      <c r="BG14">
        <f>SUMIFS(T_Shipments[Confirmed_Qty],T_Shipments[Part Name],$A14,T_Shipments[Effective_Week],58)</f>
        <v/>
      </c>
      <c r="BH14">
        <f>SUMIFS(T_Shipments[Confirmed_Qty],T_Shipments[Part Name],$A14,T_Shipments[Effective_Week],59)</f>
        <v/>
      </c>
      <c r="BI14">
        <f>SUMIFS(T_Shipments[Confirmed_Qty],T_Shipments[Part Name],$A14,T_Shipments[Effective_Week],60)</f>
        <v/>
      </c>
      <c r="BJ14">
        <f>SUMIFS(T_Shipments[Confirmed_Qty],T_Shipments[Part Name],$A14,T_Shipments[Effective_Week],61)</f>
        <v/>
      </c>
      <c r="BK14">
        <f>SUMIFS(T_Shipments[Confirmed_Qty],T_Shipments[Part Name],$A14,T_Shipments[Effective_Week],62)</f>
        <v/>
      </c>
      <c r="BL14">
        <f>SUMIFS(T_Shipments[Confirmed_Qty],T_Shipments[Part Name],$A14,T_Shipments[Effective_Week],63)</f>
        <v/>
      </c>
      <c r="BM14">
        <f>SUMIFS(T_Shipments[Confirmed_Qty],T_Shipments[Part Name],$A14,T_Shipments[Effective_Week],64)</f>
        <v/>
      </c>
      <c r="BN14">
        <f>SUMIFS(T_Shipments[Confirmed_Qty],T_Shipments[Part Name],$A14,T_Shipments[Effective_Week],65)</f>
        <v/>
      </c>
      <c r="BO14">
        <f>SUMIFS(T_Shipments[Confirmed_Qty],T_Shipments[Part Name],$A14,T_Shipments[Effective_Week],66)</f>
        <v/>
      </c>
      <c r="BP14">
        <f>SUMIFS(T_Shipments[Confirmed_Qty],T_Shipments[Part Name],$A14,T_Shipments[Effective_Week],67)</f>
        <v/>
      </c>
      <c r="BQ14">
        <f>SUMIFS(T_Shipments[Confirmed_Qty],T_Shipments[Part Name],$A14,T_Shipments[Effective_Week],68)</f>
        <v/>
      </c>
      <c r="BR14">
        <f>SUMIFS(T_Shipments[Confirmed_Qty],T_Shipments[Part Name],$A14,T_Shipments[Effective_Week],69)</f>
        <v/>
      </c>
      <c r="BS14">
        <f>SUMIFS(T_Shipments[Confirmed_Qty],T_Shipments[Part Name],$A14,T_Shipments[Effective_Week],70)</f>
        <v/>
      </c>
      <c r="BT14">
        <f>SUMIFS(T_Shipments[Confirmed_Qty],T_Shipments[Part Name],$A14,T_Shipments[Effective_Week],71)</f>
        <v/>
      </c>
      <c r="BU14">
        <f>SUMIFS(T_Shipments[Confirmed_Qty],T_Shipments[Part Name],$A14,T_Shipments[Effective_Week],72)</f>
        <v/>
      </c>
      <c r="BV14">
        <f>SUMIFS(T_Shipments[Confirmed_Qty],T_Shipments[Part Name],$A14,T_Shipments[Effective_Week],73)</f>
        <v/>
      </c>
      <c r="BW14">
        <f>SUMIFS(T_Shipments[Confirmed_Qty],T_Shipments[Part Name],$A14,T_Shipments[Effective_Week],74)</f>
        <v/>
      </c>
      <c r="BX14">
        <f>SUMIFS(T_Shipments[Confirmed_Qty],T_Shipments[Part Name],$A14,T_Shipments[Effective_Week],75)</f>
        <v/>
      </c>
      <c r="BY14">
        <f>SUMIFS(T_Shipments[Confirmed_Qty],T_Shipments[Part Name],$A14,T_Shipments[Effective_Week],76)</f>
        <v/>
      </c>
      <c r="BZ14">
        <f>SUMIFS(T_Shipments[Confirmed_Qty],T_Shipments[Part Name],$A14,T_Shipments[Effective_Week],77)</f>
        <v/>
      </c>
      <c r="CA14">
        <f>SUMIFS(T_Shipments[Confirmed_Qty],T_Shipments[Part Name],$A14,T_Shipments[Effective_Week],78)</f>
        <v/>
      </c>
      <c r="CB14">
        <f>SUMIFS(T_Shipments[Confirmed_Qty],T_Shipments[Part Name],$A14,T_Shipments[Effective_Week],79)</f>
        <v/>
      </c>
      <c r="CC14">
        <f>SUMIFS(T_Shipments[Confirmed_Qty],T_Shipments[Part Name],$A14,T_Shipments[Effective_Week],80)</f>
        <v/>
      </c>
      <c r="CD14">
        <f>SUMIFS(T_Shipments[Confirmed_Qty],T_Shipments[Part Name],$A14,T_Shipments[Effective_Week],81)</f>
        <v/>
      </c>
      <c r="CE14">
        <f>SUMIFS(T_Shipments[Confirmed_Qty],T_Shipments[Part Name],$A14,T_Shipments[Effective_Week],82)</f>
        <v/>
      </c>
      <c r="CF14">
        <f>SUMIFS(T_Shipments[Confirmed_Qty],T_Shipments[Part Name],$A14,T_Shipments[Effective_Week],83)</f>
        <v/>
      </c>
      <c r="CG14">
        <f>SUMIFS(T_Shipments[Confirmed_Qty],T_Shipments[Part Name],$A14,T_Shipments[Effective_Week],84)</f>
        <v/>
      </c>
      <c r="CH14">
        <f>SUMIFS(T_Shipments[Confirmed_Qty],T_Shipments[Part Name],$A14,T_Shipments[Effective_Week],85)</f>
        <v/>
      </c>
      <c r="CI14">
        <f>SUMIFS(T_Shipments[Confirmed_Qty],T_Shipments[Part Name],$A14,T_Shipments[Effective_Week],86)</f>
        <v/>
      </c>
      <c r="CJ14">
        <f>SUMIFS(T_Shipments[Confirmed_Qty],T_Shipments[Part Name],$A14,T_Shipments[Effective_Week],87)</f>
        <v/>
      </c>
      <c r="CK14">
        <f>SUMIFS(T_Shipments[Confirmed_Qty],T_Shipments[Part Name],$A14,T_Shipments[Effective_Week],88)</f>
        <v/>
      </c>
      <c r="CL14">
        <f>SUMIFS(T_Shipments[Confirmed_Qty],T_Shipments[Part Name],$A14,T_Shipments[Effective_Week],89)</f>
        <v/>
      </c>
      <c r="CM14">
        <f>SUMIFS(T_Shipments[Confirmed_Qty],T_Shipments[Part Name],$A14,T_Shipments[Effective_Week],90)</f>
        <v/>
      </c>
      <c r="CN14">
        <f>SUMIFS(T_Shipments[Confirmed_Qty],T_Shipments[Part Name],$A14,T_Shipments[Effective_Week],91)</f>
        <v/>
      </c>
      <c r="CO14">
        <f>SUMIFS(T_Shipments[Confirmed_Qty],T_Shipments[Part Name],$A14,T_Shipments[Effective_Week],92)</f>
        <v/>
      </c>
      <c r="CP14">
        <f>SUMIFS(T_Shipments[Confirmed_Qty],T_Shipments[Part Name],$A14,T_Shipments[Effective_Week],93)</f>
        <v/>
      </c>
      <c r="CQ14">
        <f>SUMIFS(T_Shipments[Confirmed_Qty],T_Shipments[Part Name],$A14,T_Shipments[Effective_Week],94)</f>
        <v/>
      </c>
      <c r="CR14">
        <f>SUMIFS(T_Shipments[Confirmed_Qty],T_Shipments[Part Name],$A14,T_Shipments[Effective_Week],95)</f>
        <v/>
      </c>
      <c r="CS14">
        <f>SUMIFS(T_Shipments[Confirmed_Qty],T_Shipments[Part Name],$A14,T_Shipments[Effective_Week],96)</f>
        <v/>
      </c>
      <c r="CT14">
        <f>SUMIFS(T_Shipments[Confirmed_Qty],T_Shipments[Part Name],$A14,T_Shipments[Effective_Week],97)</f>
        <v/>
      </c>
      <c r="CU14">
        <f>SUMIFS(T_Shipments[Confirmed_Qty],T_Shipments[Part Name],$A14,T_Shipments[Effective_Week],98)</f>
        <v/>
      </c>
      <c r="CV14">
        <f>SUMIFS(T_Shipments[Confirmed_Qty],T_Shipments[Part Name],$A14,T_Shipments[Effective_Week],99)</f>
        <v/>
      </c>
      <c r="CW14">
        <f>SUMIFS(T_Shipments[Confirmed_Qty],T_Shipments[Part Name],$A14,T_Shipments[Effective_Week],100)</f>
        <v/>
      </c>
      <c r="CX14">
        <f>SUMIFS(T_Shipments[Confirmed_Qty],T_Shipments[Part Name],$A14,T_Shipments[Effective_Week],101)</f>
        <v/>
      </c>
      <c r="CY14">
        <f>SUMIFS(T_Shipments[Confirmed_Qty],T_Shipments[Part Name],$A14,T_Shipments[Effective_Week],102)</f>
        <v/>
      </c>
      <c r="CZ14">
        <f>SUMIFS(T_Shipments[Confirmed_Qty],T_Shipments[Part Name],$A14,T_Shipments[Effective_Week],103)</f>
        <v/>
      </c>
      <c r="DA14">
        <f>SUMIFS(T_Shipments[Confirmed_Qty],T_Shipments[Part Name],$A14,T_Shipments[Effective_Week],104)</f>
        <v/>
      </c>
    </row>
    <row r="15">
      <c r="A15" t="inlineStr">
        <is>
          <t>CHEM-1400</t>
        </is>
      </c>
      <c r="B15">
        <f>SUMIFS(T_Shipments[Confirmed_Qty],T_Shipments[Part Name],$A15,T_Shipments[Effective_Week],1)</f>
        <v/>
      </c>
      <c r="C15">
        <f>SUMIFS(T_Shipments[Confirmed_Qty],T_Shipments[Part Name],$A15,T_Shipments[Effective_Week],2)</f>
        <v/>
      </c>
      <c r="D15">
        <f>SUMIFS(T_Shipments[Confirmed_Qty],T_Shipments[Part Name],$A15,T_Shipments[Effective_Week],3)</f>
        <v/>
      </c>
      <c r="E15">
        <f>SUMIFS(T_Shipments[Confirmed_Qty],T_Shipments[Part Name],$A15,T_Shipments[Effective_Week],4)</f>
        <v/>
      </c>
      <c r="F15">
        <f>SUMIFS(T_Shipments[Confirmed_Qty],T_Shipments[Part Name],$A15,T_Shipments[Effective_Week],5)</f>
        <v/>
      </c>
      <c r="G15">
        <f>SUMIFS(T_Shipments[Confirmed_Qty],T_Shipments[Part Name],$A15,T_Shipments[Effective_Week],6)</f>
        <v/>
      </c>
      <c r="H15">
        <f>SUMIFS(T_Shipments[Confirmed_Qty],T_Shipments[Part Name],$A15,T_Shipments[Effective_Week],7)</f>
        <v/>
      </c>
      <c r="I15">
        <f>SUMIFS(T_Shipments[Confirmed_Qty],T_Shipments[Part Name],$A15,T_Shipments[Effective_Week],8)</f>
        <v/>
      </c>
      <c r="J15">
        <f>SUMIFS(T_Shipments[Confirmed_Qty],T_Shipments[Part Name],$A15,T_Shipments[Effective_Week],9)</f>
        <v/>
      </c>
      <c r="K15">
        <f>SUMIFS(T_Shipments[Confirmed_Qty],T_Shipments[Part Name],$A15,T_Shipments[Effective_Week],10)</f>
        <v/>
      </c>
      <c r="L15">
        <f>SUMIFS(T_Shipments[Confirmed_Qty],T_Shipments[Part Name],$A15,T_Shipments[Effective_Week],11)</f>
        <v/>
      </c>
      <c r="M15">
        <f>SUMIFS(T_Shipments[Confirmed_Qty],T_Shipments[Part Name],$A15,T_Shipments[Effective_Week],12)</f>
        <v/>
      </c>
      <c r="N15">
        <f>SUMIFS(T_Shipments[Confirmed_Qty],T_Shipments[Part Name],$A15,T_Shipments[Effective_Week],13)</f>
        <v/>
      </c>
      <c r="O15">
        <f>SUMIFS(T_Shipments[Confirmed_Qty],T_Shipments[Part Name],$A15,T_Shipments[Effective_Week],14)</f>
        <v/>
      </c>
      <c r="P15">
        <f>SUMIFS(T_Shipments[Confirmed_Qty],T_Shipments[Part Name],$A15,T_Shipments[Effective_Week],15)</f>
        <v/>
      </c>
      <c r="Q15">
        <f>SUMIFS(T_Shipments[Confirmed_Qty],T_Shipments[Part Name],$A15,T_Shipments[Effective_Week],16)</f>
        <v/>
      </c>
      <c r="R15">
        <f>SUMIFS(T_Shipments[Confirmed_Qty],T_Shipments[Part Name],$A15,T_Shipments[Effective_Week],17)</f>
        <v/>
      </c>
      <c r="S15">
        <f>SUMIFS(T_Shipments[Confirmed_Qty],T_Shipments[Part Name],$A15,T_Shipments[Effective_Week],18)</f>
        <v/>
      </c>
      <c r="T15">
        <f>SUMIFS(T_Shipments[Confirmed_Qty],T_Shipments[Part Name],$A15,T_Shipments[Effective_Week],19)</f>
        <v/>
      </c>
      <c r="U15">
        <f>SUMIFS(T_Shipments[Confirmed_Qty],T_Shipments[Part Name],$A15,T_Shipments[Effective_Week],20)</f>
        <v/>
      </c>
      <c r="V15">
        <f>SUMIFS(T_Shipments[Confirmed_Qty],T_Shipments[Part Name],$A15,T_Shipments[Effective_Week],21)</f>
        <v/>
      </c>
      <c r="W15">
        <f>SUMIFS(T_Shipments[Confirmed_Qty],T_Shipments[Part Name],$A15,T_Shipments[Effective_Week],22)</f>
        <v/>
      </c>
      <c r="X15">
        <f>SUMIFS(T_Shipments[Confirmed_Qty],T_Shipments[Part Name],$A15,T_Shipments[Effective_Week],23)</f>
        <v/>
      </c>
      <c r="Y15">
        <f>SUMIFS(T_Shipments[Confirmed_Qty],T_Shipments[Part Name],$A15,T_Shipments[Effective_Week],24)</f>
        <v/>
      </c>
      <c r="Z15">
        <f>SUMIFS(T_Shipments[Confirmed_Qty],T_Shipments[Part Name],$A15,T_Shipments[Effective_Week],25)</f>
        <v/>
      </c>
      <c r="AA15">
        <f>SUMIFS(T_Shipments[Confirmed_Qty],T_Shipments[Part Name],$A15,T_Shipments[Effective_Week],26)</f>
        <v/>
      </c>
      <c r="AB15">
        <f>SUMIFS(T_Shipments[Confirmed_Qty],T_Shipments[Part Name],$A15,T_Shipments[Effective_Week],27)</f>
        <v/>
      </c>
      <c r="AC15">
        <f>SUMIFS(T_Shipments[Confirmed_Qty],T_Shipments[Part Name],$A15,T_Shipments[Effective_Week],28)</f>
        <v/>
      </c>
      <c r="AD15">
        <f>SUMIFS(T_Shipments[Confirmed_Qty],T_Shipments[Part Name],$A15,T_Shipments[Effective_Week],29)</f>
        <v/>
      </c>
      <c r="AE15">
        <f>SUMIFS(T_Shipments[Confirmed_Qty],T_Shipments[Part Name],$A15,T_Shipments[Effective_Week],30)</f>
        <v/>
      </c>
      <c r="AF15">
        <f>SUMIFS(T_Shipments[Confirmed_Qty],T_Shipments[Part Name],$A15,T_Shipments[Effective_Week],31)</f>
        <v/>
      </c>
      <c r="AG15">
        <f>SUMIFS(T_Shipments[Confirmed_Qty],T_Shipments[Part Name],$A15,T_Shipments[Effective_Week],32)</f>
        <v/>
      </c>
      <c r="AH15">
        <f>SUMIFS(T_Shipments[Confirmed_Qty],T_Shipments[Part Name],$A15,T_Shipments[Effective_Week],33)</f>
        <v/>
      </c>
      <c r="AI15">
        <f>SUMIFS(T_Shipments[Confirmed_Qty],T_Shipments[Part Name],$A15,T_Shipments[Effective_Week],34)</f>
        <v/>
      </c>
      <c r="AJ15">
        <f>SUMIFS(T_Shipments[Confirmed_Qty],T_Shipments[Part Name],$A15,T_Shipments[Effective_Week],35)</f>
        <v/>
      </c>
      <c r="AK15">
        <f>SUMIFS(T_Shipments[Confirmed_Qty],T_Shipments[Part Name],$A15,T_Shipments[Effective_Week],36)</f>
        <v/>
      </c>
      <c r="AL15">
        <f>SUMIFS(T_Shipments[Confirmed_Qty],T_Shipments[Part Name],$A15,T_Shipments[Effective_Week],37)</f>
        <v/>
      </c>
      <c r="AM15">
        <f>SUMIFS(T_Shipments[Confirmed_Qty],T_Shipments[Part Name],$A15,T_Shipments[Effective_Week],38)</f>
        <v/>
      </c>
      <c r="AN15">
        <f>SUMIFS(T_Shipments[Confirmed_Qty],T_Shipments[Part Name],$A15,T_Shipments[Effective_Week],39)</f>
        <v/>
      </c>
      <c r="AO15">
        <f>SUMIFS(T_Shipments[Confirmed_Qty],T_Shipments[Part Name],$A15,T_Shipments[Effective_Week],40)</f>
        <v/>
      </c>
      <c r="AP15">
        <f>SUMIFS(T_Shipments[Confirmed_Qty],T_Shipments[Part Name],$A15,T_Shipments[Effective_Week],41)</f>
        <v/>
      </c>
      <c r="AQ15">
        <f>SUMIFS(T_Shipments[Confirmed_Qty],T_Shipments[Part Name],$A15,T_Shipments[Effective_Week],42)</f>
        <v/>
      </c>
      <c r="AR15">
        <f>SUMIFS(T_Shipments[Confirmed_Qty],T_Shipments[Part Name],$A15,T_Shipments[Effective_Week],43)</f>
        <v/>
      </c>
      <c r="AS15">
        <f>SUMIFS(T_Shipments[Confirmed_Qty],T_Shipments[Part Name],$A15,T_Shipments[Effective_Week],44)</f>
        <v/>
      </c>
      <c r="AT15">
        <f>SUMIFS(T_Shipments[Confirmed_Qty],T_Shipments[Part Name],$A15,T_Shipments[Effective_Week],45)</f>
        <v/>
      </c>
      <c r="AU15">
        <f>SUMIFS(T_Shipments[Confirmed_Qty],T_Shipments[Part Name],$A15,T_Shipments[Effective_Week],46)</f>
        <v/>
      </c>
      <c r="AV15">
        <f>SUMIFS(T_Shipments[Confirmed_Qty],T_Shipments[Part Name],$A15,T_Shipments[Effective_Week],47)</f>
        <v/>
      </c>
      <c r="AW15">
        <f>SUMIFS(T_Shipments[Confirmed_Qty],T_Shipments[Part Name],$A15,T_Shipments[Effective_Week],48)</f>
        <v/>
      </c>
      <c r="AX15">
        <f>SUMIFS(T_Shipments[Confirmed_Qty],T_Shipments[Part Name],$A15,T_Shipments[Effective_Week],49)</f>
        <v/>
      </c>
      <c r="AY15">
        <f>SUMIFS(T_Shipments[Confirmed_Qty],T_Shipments[Part Name],$A15,T_Shipments[Effective_Week],50)</f>
        <v/>
      </c>
      <c r="AZ15">
        <f>SUMIFS(T_Shipments[Confirmed_Qty],T_Shipments[Part Name],$A15,T_Shipments[Effective_Week],51)</f>
        <v/>
      </c>
      <c r="BA15">
        <f>SUMIFS(T_Shipments[Confirmed_Qty],T_Shipments[Part Name],$A15,T_Shipments[Effective_Week],52)</f>
        <v/>
      </c>
      <c r="BB15">
        <f>SUMIFS(T_Shipments[Confirmed_Qty],T_Shipments[Part Name],$A15,T_Shipments[Effective_Week],53)</f>
        <v/>
      </c>
      <c r="BC15">
        <f>SUMIFS(T_Shipments[Confirmed_Qty],T_Shipments[Part Name],$A15,T_Shipments[Effective_Week],54)</f>
        <v/>
      </c>
      <c r="BD15">
        <f>SUMIFS(T_Shipments[Confirmed_Qty],T_Shipments[Part Name],$A15,T_Shipments[Effective_Week],55)</f>
        <v/>
      </c>
      <c r="BE15">
        <f>SUMIFS(T_Shipments[Confirmed_Qty],T_Shipments[Part Name],$A15,T_Shipments[Effective_Week],56)</f>
        <v/>
      </c>
      <c r="BF15">
        <f>SUMIFS(T_Shipments[Confirmed_Qty],T_Shipments[Part Name],$A15,T_Shipments[Effective_Week],57)</f>
        <v/>
      </c>
      <c r="BG15">
        <f>SUMIFS(T_Shipments[Confirmed_Qty],T_Shipments[Part Name],$A15,T_Shipments[Effective_Week],58)</f>
        <v/>
      </c>
      <c r="BH15">
        <f>SUMIFS(T_Shipments[Confirmed_Qty],T_Shipments[Part Name],$A15,T_Shipments[Effective_Week],59)</f>
        <v/>
      </c>
      <c r="BI15">
        <f>SUMIFS(T_Shipments[Confirmed_Qty],T_Shipments[Part Name],$A15,T_Shipments[Effective_Week],60)</f>
        <v/>
      </c>
      <c r="BJ15">
        <f>SUMIFS(T_Shipments[Confirmed_Qty],T_Shipments[Part Name],$A15,T_Shipments[Effective_Week],61)</f>
        <v/>
      </c>
      <c r="BK15">
        <f>SUMIFS(T_Shipments[Confirmed_Qty],T_Shipments[Part Name],$A15,T_Shipments[Effective_Week],62)</f>
        <v/>
      </c>
      <c r="BL15">
        <f>SUMIFS(T_Shipments[Confirmed_Qty],T_Shipments[Part Name],$A15,T_Shipments[Effective_Week],63)</f>
        <v/>
      </c>
      <c r="BM15">
        <f>SUMIFS(T_Shipments[Confirmed_Qty],T_Shipments[Part Name],$A15,T_Shipments[Effective_Week],64)</f>
        <v/>
      </c>
      <c r="BN15">
        <f>SUMIFS(T_Shipments[Confirmed_Qty],T_Shipments[Part Name],$A15,T_Shipments[Effective_Week],65)</f>
        <v/>
      </c>
      <c r="BO15">
        <f>SUMIFS(T_Shipments[Confirmed_Qty],T_Shipments[Part Name],$A15,T_Shipments[Effective_Week],66)</f>
        <v/>
      </c>
      <c r="BP15">
        <f>SUMIFS(T_Shipments[Confirmed_Qty],T_Shipments[Part Name],$A15,T_Shipments[Effective_Week],67)</f>
        <v/>
      </c>
      <c r="BQ15">
        <f>SUMIFS(T_Shipments[Confirmed_Qty],T_Shipments[Part Name],$A15,T_Shipments[Effective_Week],68)</f>
        <v/>
      </c>
      <c r="BR15">
        <f>SUMIFS(T_Shipments[Confirmed_Qty],T_Shipments[Part Name],$A15,T_Shipments[Effective_Week],69)</f>
        <v/>
      </c>
      <c r="BS15">
        <f>SUMIFS(T_Shipments[Confirmed_Qty],T_Shipments[Part Name],$A15,T_Shipments[Effective_Week],70)</f>
        <v/>
      </c>
      <c r="BT15">
        <f>SUMIFS(T_Shipments[Confirmed_Qty],T_Shipments[Part Name],$A15,T_Shipments[Effective_Week],71)</f>
        <v/>
      </c>
      <c r="BU15">
        <f>SUMIFS(T_Shipments[Confirmed_Qty],T_Shipments[Part Name],$A15,T_Shipments[Effective_Week],72)</f>
        <v/>
      </c>
      <c r="BV15">
        <f>SUMIFS(T_Shipments[Confirmed_Qty],T_Shipments[Part Name],$A15,T_Shipments[Effective_Week],73)</f>
        <v/>
      </c>
      <c r="BW15">
        <f>SUMIFS(T_Shipments[Confirmed_Qty],T_Shipments[Part Name],$A15,T_Shipments[Effective_Week],74)</f>
        <v/>
      </c>
      <c r="BX15">
        <f>SUMIFS(T_Shipments[Confirmed_Qty],T_Shipments[Part Name],$A15,T_Shipments[Effective_Week],75)</f>
        <v/>
      </c>
      <c r="BY15">
        <f>SUMIFS(T_Shipments[Confirmed_Qty],T_Shipments[Part Name],$A15,T_Shipments[Effective_Week],76)</f>
        <v/>
      </c>
      <c r="BZ15">
        <f>SUMIFS(T_Shipments[Confirmed_Qty],T_Shipments[Part Name],$A15,T_Shipments[Effective_Week],77)</f>
        <v/>
      </c>
      <c r="CA15">
        <f>SUMIFS(T_Shipments[Confirmed_Qty],T_Shipments[Part Name],$A15,T_Shipments[Effective_Week],78)</f>
        <v/>
      </c>
      <c r="CB15">
        <f>SUMIFS(T_Shipments[Confirmed_Qty],T_Shipments[Part Name],$A15,T_Shipments[Effective_Week],79)</f>
        <v/>
      </c>
      <c r="CC15">
        <f>SUMIFS(T_Shipments[Confirmed_Qty],T_Shipments[Part Name],$A15,T_Shipments[Effective_Week],80)</f>
        <v/>
      </c>
      <c r="CD15">
        <f>SUMIFS(T_Shipments[Confirmed_Qty],T_Shipments[Part Name],$A15,T_Shipments[Effective_Week],81)</f>
        <v/>
      </c>
      <c r="CE15">
        <f>SUMIFS(T_Shipments[Confirmed_Qty],T_Shipments[Part Name],$A15,T_Shipments[Effective_Week],82)</f>
        <v/>
      </c>
      <c r="CF15">
        <f>SUMIFS(T_Shipments[Confirmed_Qty],T_Shipments[Part Name],$A15,T_Shipments[Effective_Week],83)</f>
        <v/>
      </c>
      <c r="CG15">
        <f>SUMIFS(T_Shipments[Confirmed_Qty],T_Shipments[Part Name],$A15,T_Shipments[Effective_Week],84)</f>
        <v/>
      </c>
      <c r="CH15">
        <f>SUMIFS(T_Shipments[Confirmed_Qty],T_Shipments[Part Name],$A15,T_Shipments[Effective_Week],85)</f>
        <v/>
      </c>
      <c r="CI15">
        <f>SUMIFS(T_Shipments[Confirmed_Qty],T_Shipments[Part Name],$A15,T_Shipments[Effective_Week],86)</f>
        <v/>
      </c>
      <c r="CJ15">
        <f>SUMIFS(T_Shipments[Confirmed_Qty],T_Shipments[Part Name],$A15,T_Shipments[Effective_Week],87)</f>
        <v/>
      </c>
      <c r="CK15">
        <f>SUMIFS(T_Shipments[Confirmed_Qty],T_Shipments[Part Name],$A15,T_Shipments[Effective_Week],88)</f>
        <v/>
      </c>
      <c r="CL15">
        <f>SUMIFS(T_Shipments[Confirmed_Qty],T_Shipments[Part Name],$A15,T_Shipments[Effective_Week],89)</f>
        <v/>
      </c>
      <c r="CM15">
        <f>SUMIFS(T_Shipments[Confirmed_Qty],T_Shipments[Part Name],$A15,T_Shipments[Effective_Week],90)</f>
        <v/>
      </c>
      <c r="CN15">
        <f>SUMIFS(T_Shipments[Confirmed_Qty],T_Shipments[Part Name],$A15,T_Shipments[Effective_Week],91)</f>
        <v/>
      </c>
      <c r="CO15">
        <f>SUMIFS(T_Shipments[Confirmed_Qty],T_Shipments[Part Name],$A15,T_Shipments[Effective_Week],92)</f>
        <v/>
      </c>
      <c r="CP15">
        <f>SUMIFS(T_Shipments[Confirmed_Qty],T_Shipments[Part Name],$A15,T_Shipments[Effective_Week],93)</f>
        <v/>
      </c>
      <c r="CQ15">
        <f>SUMIFS(T_Shipments[Confirmed_Qty],T_Shipments[Part Name],$A15,T_Shipments[Effective_Week],94)</f>
        <v/>
      </c>
      <c r="CR15">
        <f>SUMIFS(T_Shipments[Confirmed_Qty],T_Shipments[Part Name],$A15,T_Shipments[Effective_Week],95)</f>
        <v/>
      </c>
      <c r="CS15">
        <f>SUMIFS(T_Shipments[Confirmed_Qty],T_Shipments[Part Name],$A15,T_Shipments[Effective_Week],96)</f>
        <v/>
      </c>
      <c r="CT15">
        <f>SUMIFS(T_Shipments[Confirmed_Qty],T_Shipments[Part Name],$A15,T_Shipments[Effective_Week],97)</f>
        <v/>
      </c>
      <c r="CU15">
        <f>SUMIFS(T_Shipments[Confirmed_Qty],T_Shipments[Part Name],$A15,T_Shipments[Effective_Week],98)</f>
        <v/>
      </c>
      <c r="CV15">
        <f>SUMIFS(T_Shipments[Confirmed_Qty],T_Shipments[Part Name],$A15,T_Shipments[Effective_Week],99)</f>
        <v/>
      </c>
      <c r="CW15">
        <f>SUMIFS(T_Shipments[Confirmed_Qty],T_Shipments[Part Name],$A15,T_Shipments[Effective_Week],100)</f>
        <v/>
      </c>
      <c r="CX15">
        <f>SUMIFS(T_Shipments[Confirmed_Qty],T_Shipments[Part Name],$A15,T_Shipments[Effective_Week],101)</f>
        <v/>
      </c>
      <c r="CY15">
        <f>SUMIFS(T_Shipments[Confirmed_Qty],T_Shipments[Part Name],$A15,T_Shipments[Effective_Week],102)</f>
        <v/>
      </c>
      <c r="CZ15">
        <f>SUMIFS(T_Shipments[Confirmed_Qty],T_Shipments[Part Name],$A15,T_Shipments[Effective_Week],103)</f>
        <v/>
      </c>
      <c r="DA15">
        <f>SUMIFS(T_Shipments[Confirmed_Qty],T_Shipments[Part Name],$A15,T_Shipments[Effective_Week],104)</f>
        <v/>
      </c>
    </row>
    <row r="16">
      <c r="A16" t="inlineStr">
        <is>
          <t>CHEM-1570</t>
        </is>
      </c>
      <c r="B16">
        <f>SUMIFS(T_Shipments[Confirmed_Qty],T_Shipments[Part Name],$A16,T_Shipments[Effective_Week],1)</f>
        <v/>
      </c>
      <c r="C16">
        <f>SUMIFS(T_Shipments[Confirmed_Qty],T_Shipments[Part Name],$A16,T_Shipments[Effective_Week],2)</f>
        <v/>
      </c>
      <c r="D16">
        <f>SUMIFS(T_Shipments[Confirmed_Qty],T_Shipments[Part Name],$A16,T_Shipments[Effective_Week],3)</f>
        <v/>
      </c>
      <c r="E16">
        <f>SUMIFS(T_Shipments[Confirmed_Qty],T_Shipments[Part Name],$A16,T_Shipments[Effective_Week],4)</f>
        <v/>
      </c>
      <c r="F16">
        <f>SUMIFS(T_Shipments[Confirmed_Qty],T_Shipments[Part Name],$A16,T_Shipments[Effective_Week],5)</f>
        <v/>
      </c>
      <c r="G16">
        <f>SUMIFS(T_Shipments[Confirmed_Qty],T_Shipments[Part Name],$A16,T_Shipments[Effective_Week],6)</f>
        <v/>
      </c>
      <c r="H16">
        <f>SUMIFS(T_Shipments[Confirmed_Qty],T_Shipments[Part Name],$A16,T_Shipments[Effective_Week],7)</f>
        <v/>
      </c>
      <c r="I16">
        <f>SUMIFS(T_Shipments[Confirmed_Qty],T_Shipments[Part Name],$A16,T_Shipments[Effective_Week],8)</f>
        <v/>
      </c>
      <c r="J16">
        <f>SUMIFS(T_Shipments[Confirmed_Qty],T_Shipments[Part Name],$A16,T_Shipments[Effective_Week],9)</f>
        <v/>
      </c>
      <c r="K16">
        <f>SUMIFS(T_Shipments[Confirmed_Qty],T_Shipments[Part Name],$A16,T_Shipments[Effective_Week],10)</f>
        <v/>
      </c>
      <c r="L16">
        <f>SUMIFS(T_Shipments[Confirmed_Qty],T_Shipments[Part Name],$A16,T_Shipments[Effective_Week],11)</f>
        <v/>
      </c>
      <c r="M16">
        <f>SUMIFS(T_Shipments[Confirmed_Qty],T_Shipments[Part Name],$A16,T_Shipments[Effective_Week],12)</f>
        <v/>
      </c>
      <c r="N16">
        <f>SUMIFS(T_Shipments[Confirmed_Qty],T_Shipments[Part Name],$A16,T_Shipments[Effective_Week],13)</f>
        <v/>
      </c>
      <c r="O16">
        <f>SUMIFS(T_Shipments[Confirmed_Qty],T_Shipments[Part Name],$A16,T_Shipments[Effective_Week],14)</f>
        <v/>
      </c>
      <c r="P16">
        <f>SUMIFS(T_Shipments[Confirmed_Qty],T_Shipments[Part Name],$A16,T_Shipments[Effective_Week],15)</f>
        <v/>
      </c>
      <c r="Q16">
        <f>SUMIFS(T_Shipments[Confirmed_Qty],T_Shipments[Part Name],$A16,T_Shipments[Effective_Week],16)</f>
        <v/>
      </c>
      <c r="R16">
        <f>SUMIFS(T_Shipments[Confirmed_Qty],T_Shipments[Part Name],$A16,T_Shipments[Effective_Week],17)</f>
        <v/>
      </c>
      <c r="S16">
        <f>SUMIFS(T_Shipments[Confirmed_Qty],T_Shipments[Part Name],$A16,T_Shipments[Effective_Week],18)</f>
        <v/>
      </c>
      <c r="T16">
        <f>SUMIFS(T_Shipments[Confirmed_Qty],T_Shipments[Part Name],$A16,T_Shipments[Effective_Week],19)</f>
        <v/>
      </c>
      <c r="U16">
        <f>SUMIFS(T_Shipments[Confirmed_Qty],T_Shipments[Part Name],$A16,T_Shipments[Effective_Week],20)</f>
        <v/>
      </c>
      <c r="V16">
        <f>SUMIFS(T_Shipments[Confirmed_Qty],T_Shipments[Part Name],$A16,T_Shipments[Effective_Week],21)</f>
        <v/>
      </c>
      <c r="W16">
        <f>SUMIFS(T_Shipments[Confirmed_Qty],T_Shipments[Part Name],$A16,T_Shipments[Effective_Week],22)</f>
        <v/>
      </c>
      <c r="X16">
        <f>SUMIFS(T_Shipments[Confirmed_Qty],T_Shipments[Part Name],$A16,T_Shipments[Effective_Week],23)</f>
        <v/>
      </c>
      <c r="Y16">
        <f>SUMIFS(T_Shipments[Confirmed_Qty],T_Shipments[Part Name],$A16,T_Shipments[Effective_Week],24)</f>
        <v/>
      </c>
      <c r="Z16">
        <f>SUMIFS(T_Shipments[Confirmed_Qty],T_Shipments[Part Name],$A16,T_Shipments[Effective_Week],25)</f>
        <v/>
      </c>
      <c r="AA16">
        <f>SUMIFS(T_Shipments[Confirmed_Qty],T_Shipments[Part Name],$A16,T_Shipments[Effective_Week],26)</f>
        <v/>
      </c>
      <c r="AB16">
        <f>SUMIFS(T_Shipments[Confirmed_Qty],T_Shipments[Part Name],$A16,T_Shipments[Effective_Week],27)</f>
        <v/>
      </c>
      <c r="AC16">
        <f>SUMIFS(T_Shipments[Confirmed_Qty],T_Shipments[Part Name],$A16,T_Shipments[Effective_Week],28)</f>
        <v/>
      </c>
      <c r="AD16">
        <f>SUMIFS(T_Shipments[Confirmed_Qty],T_Shipments[Part Name],$A16,T_Shipments[Effective_Week],29)</f>
        <v/>
      </c>
      <c r="AE16">
        <f>SUMIFS(T_Shipments[Confirmed_Qty],T_Shipments[Part Name],$A16,T_Shipments[Effective_Week],30)</f>
        <v/>
      </c>
      <c r="AF16">
        <f>SUMIFS(T_Shipments[Confirmed_Qty],T_Shipments[Part Name],$A16,T_Shipments[Effective_Week],31)</f>
        <v/>
      </c>
      <c r="AG16">
        <f>SUMIFS(T_Shipments[Confirmed_Qty],T_Shipments[Part Name],$A16,T_Shipments[Effective_Week],32)</f>
        <v/>
      </c>
      <c r="AH16">
        <f>SUMIFS(T_Shipments[Confirmed_Qty],T_Shipments[Part Name],$A16,T_Shipments[Effective_Week],33)</f>
        <v/>
      </c>
      <c r="AI16">
        <f>SUMIFS(T_Shipments[Confirmed_Qty],T_Shipments[Part Name],$A16,T_Shipments[Effective_Week],34)</f>
        <v/>
      </c>
      <c r="AJ16">
        <f>SUMIFS(T_Shipments[Confirmed_Qty],T_Shipments[Part Name],$A16,T_Shipments[Effective_Week],35)</f>
        <v/>
      </c>
      <c r="AK16">
        <f>SUMIFS(T_Shipments[Confirmed_Qty],T_Shipments[Part Name],$A16,T_Shipments[Effective_Week],36)</f>
        <v/>
      </c>
      <c r="AL16">
        <f>SUMIFS(T_Shipments[Confirmed_Qty],T_Shipments[Part Name],$A16,T_Shipments[Effective_Week],37)</f>
        <v/>
      </c>
      <c r="AM16">
        <f>SUMIFS(T_Shipments[Confirmed_Qty],T_Shipments[Part Name],$A16,T_Shipments[Effective_Week],38)</f>
        <v/>
      </c>
      <c r="AN16">
        <f>SUMIFS(T_Shipments[Confirmed_Qty],T_Shipments[Part Name],$A16,T_Shipments[Effective_Week],39)</f>
        <v/>
      </c>
      <c r="AO16">
        <f>SUMIFS(T_Shipments[Confirmed_Qty],T_Shipments[Part Name],$A16,T_Shipments[Effective_Week],40)</f>
        <v/>
      </c>
      <c r="AP16">
        <f>SUMIFS(T_Shipments[Confirmed_Qty],T_Shipments[Part Name],$A16,T_Shipments[Effective_Week],41)</f>
        <v/>
      </c>
      <c r="AQ16">
        <f>SUMIFS(T_Shipments[Confirmed_Qty],T_Shipments[Part Name],$A16,T_Shipments[Effective_Week],42)</f>
        <v/>
      </c>
      <c r="AR16">
        <f>SUMIFS(T_Shipments[Confirmed_Qty],T_Shipments[Part Name],$A16,T_Shipments[Effective_Week],43)</f>
        <v/>
      </c>
      <c r="AS16">
        <f>SUMIFS(T_Shipments[Confirmed_Qty],T_Shipments[Part Name],$A16,T_Shipments[Effective_Week],44)</f>
        <v/>
      </c>
      <c r="AT16">
        <f>SUMIFS(T_Shipments[Confirmed_Qty],T_Shipments[Part Name],$A16,T_Shipments[Effective_Week],45)</f>
        <v/>
      </c>
      <c r="AU16">
        <f>SUMIFS(T_Shipments[Confirmed_Qty],T_Shipments[Part Name],$A16,T_Shipments[Effective_Week],46)</f>
        <v/>
      </c>
      <c r="AV16">
        <f>SUMIFS(T_Shipments[Confirmed_Qty],T_Shipments[Part Name],$A16,T_Shipments[Effective_Week],47)</f>
        <v/>
      </c>
      <c r="AW16">
        <f>SUMIFS(T_Shipments[Confirmed_Qty],T_Shipments[Part Name],$A16,T_Shipments[Effective_Week],48)</f>
        <v/>
      </c>
      <c r="AX16">
        <f>SUMIFS(T_Shipments[Confirmed_Qty],T_Shipments[Part Name],$A16,T_Shipments[Effective_Week],49)</f>
        <v/>
      </c>
      <c r="AY16">
        <f>SUMIFS(T_Shipments[Confirmed_Qty],T_Shipments[Part Name],$A16,T_Shipments[Effective_Week],50)</f>
        <v/>
      </c>
      <c r="AZ16">
        <f>SUMIFS(T_Shipments[Confirmed_Qty],T_Shipments[Part Name],$A16,T_Shipments[Effective_Week],51)</f>
        <v/>
      </c>
      <c r="BA16">
        <f>SUMIFS(T_Shipments[Confirmed_Qty],T_Shipments[Part Name],$A16,T_Shipments[Effective_Week],52)</f>
        <v/>
      </c>
      <c r="BB16">
        <f>SUMIFS(T_Shipments[Confirmed_Qty],T_Shipments[Part Name],$A16,T_Shipments[Effective_Week],53)</f>
        <v/>
      </c>
      <c r="BC16">
        <f>SUMIFS(T_Shipments[Confirmed_Qty],T_Shipments[Part Name],$A16,T_Shipments[Effective_Week],54)</f>
        <v/>
      </c>
      <c r="BD16">
        <f>SUMIFS(T_Shipments[Confirmed_Qty],T_Shipments[Part Name],$A16,T_Shipments[Effective_Week],55)</f>
        <v/>
      </c>
      <c r="BE16">
        <f>SUMIFS(T_Shipments[Confirmed_Qty],T_Shipments[Part Name],$A16,T_Shipments[Effective_Week],56)</f>
        <v/>
      </c>
      <c r="BF16">
        <f>SUMIFS(T_Shipments[Confirmed_Qty],T_Shipments[Part Name],$A16,T_Shipments[Effective_Week],57)</f>
        <v/>
      </c>
      <c r="BG16">
        <f>SUMIFS(T_Shipments[Confirmed_Qty],T_Shipments[Part Name],$A16,T_Shipments[Effective_Week],58)</f>
        <v/>
      </c>
      <c r="BH16">
        <f>SUMIFS(T_Shipments[Confirmed_Qty],T_Shipments[Part Name],$A16,T_Shipments[Effective_Week],59)</f>
        <v/>
      </c>
      <c r="BI16">
        <f>SUMIFS(T_Shipments[Confirmed_Qty],T_Shipments[Part Name],$A16,T_Shipments[Effective_Week],60)</f>
        <v/>
      </c>
      <c r="BJ16">
        <f>SUMIFS(T_Shipments[Confirmed_Qty],T_Shipments[Part Name],$A16,T_Shipments[Effective_Week],61)</f>
        <v/>
      </c>
      <c r="BK16">
        <f>SUMIFS(T_Shipments[Confirmed_Qty],T_Shipments[Part Name],$A16,T_Shipments[Effective_Week],62)</f>
        <v/>
      </c>
      <c r="BL16">
        <f>SUMIFS(T_Shipments[Confirmed_Qty],T_Shipments[Part Name],$A16,T_Shipments[Effective_Week],63)</f>
        <v/>
      </c>
      <c r="BM16">
        <f>SUMIFS(T_Shipments[Confirmed_Qty],T_Shipments[Part Name],$A16,T_Shipments[Effective_Week],64)</f>
        <v/>
      </c>
      <c r="BN16">
        <f>SUMIFS(T_Shipments[Confirmed_Qty],T_Shipments[Part Name],$A16,T_Shipments[Effective_Week],65)</f>
        <v/>
      </c>
      <c r="BO16">
        <f>SUMIFS(T_Shipments[Confirmed_Qty],T_Shipments[Part Name],$A16,T_Shipments[Effective_Week],66)</f>
        <v/>
      </c>
      <c r="BP16">
        <f>SUMIFS(T_Shipments[Confirmed_Qty],T_Shipments[Part Name],$A16,T_Shipments[Effective_Week],67)</f>
        <v/>
      </c>
      <c r="BQ16">
        <f>SUMIFS(T_Shipments[Confirmed_Qty],T_Shipments[Part Name],$A16,T_Shipments[Effective_Week],68)</f>
        <v/>
      </c>
      <c r="BR16">
        <f>SUMIFS(T_Shipments[Confirmed_Qty],T_Shipments[Part Name],$A16,T_Shipments[Effective_Week],69)</f>
        <v/>
      </c>
      <c r="BS16">
        <f>SUMIFS(T_Shipments[Confirmed_Qty],T_Shipments[Part Name],$A16,T_Shipments[Effective_Week],70)</f>
        <v/>
      </c>
      <c r="BT16">
        <f>SUMIFS(T_Shipments[Confirmed_Qty],T_Shipments[Part Name],$A16,T_Shipments[Effective_Week],71)</f>
        <v/>
      </c>
      <c r="BU16">
        <f>SUMIFS(T_Shipments[Confirmed_Qty],T_Shipments[Part Name],$A16,T_Shipments[Effective_Week],72)</f>
        <v/>
      </c>
      <c r="BV16">
        <f>SUMIFS(T_Shipments[Confirmed_Qty],T_Shipments[Part Name],$A16,T_Shipments[Effective_Week],73)</f>
        <v/>
      </c>
      <c r="BW16">
        <f>SUMIFS(T_Shipments[Confirmed_Qty],T_Shipments[Part Name],$A16,T_Shipments[Effective_Week],74)</f>
        <v/>
      </c>
      <c r="BX16">
        <f>SUMIFS(T_Shipments[Confirmed_Qty],T_Shipments[Part Name],$A16,T_Shipments[Effective_Week],75)</f>
        <v/>
      </c>
      <c r="BY16">
        <f>SUMIFS(T_Shipments[Confirmed_Qty],T_Shipments[Part Name],$A16,T_Shipments[Effective_Week],76)</f>
        <v/>
      </c>
      <c r="BZ16">
        <f>SUMIFS(T_Shipments[Confirmed_Qty],T_Shipments[Part Name],$A16,T_Shipments[Effective_Week],77)</f>
        <v/>
      </c>
      <c r="CA16">
        <f>SUMIFS(T_Shipments[Confirmed_Qty],T_Shipments[Part Name],$A16,T_Shipments[Effective_Week],78)</f>
        <v/>
      </c>
      <c r="CB16">
        <f>SUMIFS(T_Shipments[Confirmed_Qty],T_Shipments[Part Name],$A16,T_Shipments[Effective_Week],79)</f>
        <v/>
      </c>
      <c r="CC16">
        <f>SUMIFS(T_Shipments[Confirmed_Qty],T_Shipments[Part Name],$A16,T_Shipments[Effective_Week],80)</f>
        <v/>
      </c>
      <c r="CD16">
        <f>SUMIFS(T_Shipments[Confirmed_Qty],T_Shipments[Part Name],$A16,T_Shipments[Effective_Week],81)</f>
        <v/>
      </c>
      <c r="CE16">
        <f>SUMIFS(T_Shipments[Confirmed_Qty],T_Shipments[Part Name],$A16,T_Shipments[Effective_Week],82)</f>
        <v/>
      </c>
      <c r="CF16">
        <f>SUMIFS(T_Shipments[Confirmed_Qty],T_Shipments[Part Name],$A16,T_Shipments[Effective_Week],83)</f>
        <v/>
      </c>
      <c r="CG16">
        <f>SUMIFS(T_Shipments[Confirmed_Qty],T_Shipments[Part Name],$A16,T_Shipments[Effective_Week],84)</f>
        <v/>
      </c>
      <c r="CH16">
        <f>SUMIFS(T_Shipments[Confirmed_Qty],T_Shipments[Part Name],$A16,T_Shipments[Effective_Week],85)</f>
        <v/>
      </c>
      <c r="CI16">
        <f>SUMIFS(T_Shipments[Confirmed_Qty],T_Shipments[Part Name],$A16,T_Shipments[Effective_Week],86)</f>
        <v/>
      </c>
      <c r="CJ16">
        <f>SUMIFS(T_Shipments[Confirmed_Qty],T_Shipments[Part Name],$A16,T_Shipments[Effective_Week],87)</f>
        <v/>
      </c>
      <c r="CK16">
        <f>SUMIFS(T_Shipments[Confirmed_Qty],T_Shipments[Part Name],$A16,T_Shipments[Effective_Week],88)</f>
        <v/>
      </c>
      <c r="CL16">
        <f>SUMIFS(T_Shipments[Confirmed_Qty],T_Shipments[Part Name],$A16,T_Shipments[Effective_Week],89)</f>
        <v/>
      </c>
      <c r="CM16">
        <f>SUMIFS(T_Shipments[Confirmed_Qty],T_Shipments[Part Name],$A16,T_Shipments[Effective_Week],90)</f>
        <v/>
      </c>
      <c r="CN16">
        <f>SUMIFS(T_Shipments[Confirmed_Qty],T_Shipments[Part Name],$A16,T_Shipments[Effective_Week],91)</f>
        <v/>
      </c>
      <c r="CO16">
        <f>SUMIFS(T_Shipments[Confirmed_Qty],T_Shipments[Part Name],$A16,T_Shipments[Effective_Week],92)</f>
        <v/>
      </c>
      <c r="CP16">
        <f>SUMIFS(T_Shipments[Confirmed_Qty],T_Shipments[Part Name],$A16,T_Shipments[Effective_Week],93)</f>
        <v/>
      </c>
      <c r="CQ16">
        <f>SUMIFS(T_Shipments[Confirmed_Qty],T_Shipments[Part Name],$A16,T_Shipments[Effective_Week],94)</f>
        <v/>
      </c>
      <c r="CR16">
        <f>SUMIFS(T_Shipments[Confirmed_Qty],T_Shipments[Part Name],$A16,T_Shipments[Effective_Week],95)</f>
        <v/>
      </c>
      <c r="CS16">
        <f>SUMIFS(T_Shipments[Confirmed_Qty],T_Shipments[Part Name],$A16,T_Shipments[Effective_Week],96)</f>
        <v/>
      </c>
      <c r="CT16">
        <f>SUMIFS(T_Shipments[Confirmed_Qty],T_Shipments[Part Name],$A16,T_Shipments[Effective_Week],97)</f>
        <v/>
      </c>
      <c r="CU16">
        <f>SUMIFS(T_Shipments[Confirmed_Qty],T_Shipments[Part Name],$A16,T_Shipments[Effective_Week],98)</f>
        <v/>
      </c>
      <c r="CV16">
        <f>SUMIFS(T_Shipments[Confirmed_Qty],T_Shipments[Part Name],$A16,T_Shipments[Effective_Week],99)</f>
        <v/>
      </c>
      <c r="CW16">
        <f>SUMIFS(T_Shipments[Confirmed_Qty],T_Shipments[Part Name],$A16,T_Shipments[Effective_Week],100)</f>
        <v/>
      </c>
      <c r="CX16">
        <f>SUMIFS(T_Shipments[Confirmed_Qty],T_Shipments[Part Name],$A16,T_Shipments[Effective_Week],101)</f>
        <v/>
      </c>
      <c r="CY16">
        <f>SUMIFS(T_Shipments[Confirmed_Qty],T_Shipments[Part Name],$A16,T_Shipments[Effective_Week],102)</f>
        <v/>
      </c>
      <c r="CZ16">
        <f>SUMIFS(T_Shipments[Confirmed_Qty],T_Shipments[Part Name],$A16,T_Shipments[Effective_Week],103)</f>
        <v/>
      </c>
      <c r="DA16">
        <f>SUMIFS(T_Shipments[Confirmed_Qty],T_Shipments[Part Name],$A16,T_Shipments[Effective_Week],104)</f>
        <v/>
      </c>
    </row>
    <row r="17">
      <c r="A17" t="inlineStr">
        <is>
          <t>CHEM-1650</t>
        </is>
      </c>
      <c r="B17">
        <f>SUMIFS(T_Shipments[Confirmed_Qty],T_Shipments[Part Name],$A17,T_Shipments[Effective_Week],1)</f>
        <v/>
      </c>
      <c r="C17">
        <f>SUMIFS(T_Shipments[Confirmed_Qty],T_Shipments[Part Name],$A17,T_Shipments[Effective_Week],2)</f>
        <v/>
      </c>
      <c r="D17">
        <f>SUMIFS(T_Shipments[Confirmed_Qty],T_Shipments[Part Name],$A17,T_Shipments[Effective_Week],3)</f>
        <v/>
      </c>
      <c r="E17">
        <f>SUMIFS(T_Shipments[Confirmed_Qty],T_Shipments[Part Name],$A17,T_Shipments[Effective_Week],4)</f>
        <v/>
      </c>
      <c r="F17">
        <f>SUMIFS(T_Shipments[Confirmed_Qty],T_Shipments[Part Name],$A17,T_Shipments[Effective_Week],5)</f>
        <v/>
      </c>
      <c r="G17">
        <f>SUMIFS(T_Shipments[Confirmed_Qty],T_Shipments[Part Name],$A17,T_Shipments[Effective_Week],6)</f>
        <v/>
      </c>
      <c r="H17">
        <f>SUMIFS(T_Shipments[Confirmed_Qty],T_Shipments[Part Name],$A17,T_Shipments[Effective_Week],7)</f>
        <v/>
      </c>
      <c r="I17">
        <f>SUMIFS(T_Shipments[Confirmed_Qty],T_Shipments[Part Name],$A17,T_Shipments[Effective_Week],8)</f>
        <v/>
      </c>
      <c r="J17">
        <f>SUMIFS(T_Shipments[Confirmed_Qty],T_Shipments[Part Name],$A17,T_Shipments[Effective_Week],9)</f>
        <v/>
      </c>
      <c r="K17">
        <f>SUMIFS(T_Shipments[Confirmed_Qty],T_Shipments[Part Name],$A17,T_Shipments[Effective_Week],10)</f>
        <v/>
      </c>
      <c r="L17">
        <f>SUMIFS(T_Shipments[Confirmed_Qty],T_Shipments[Part Name],$A17,T_Shipments[Effective_Week],11)</f>
        <v/>
      </c>
      <c r="M17">
        <f>SUMIFS(T_Shipments[Confirmed_Qty],T_Shipments[Part Name],$A17,T_Shipments[Effective_Week],12)</f>
        <v/>
      </c>
      <c r="N17">
        <f>SUMIFS(T_Shipments[Confirmed_Qty],T_Shipments[Part Name],$A17,T_Shipments[Effective_Week],13)</f>
        <v/>
      </c>
      <c r="O17">
        <f>SUMIFS(T_Shipments[Confirmed_Qty],T_Shipments[Part Name],$A17,T_Shipments[Effective_Week],14)</f>
        <v/>
      </c>
      <c r="P17">
        <f>SUMIFS(T_Shipments[Confirmed_Qty],T_Shipments[Part Name],$A17,T_Shipments[Effective_Week],15)</f>
        <v/>
      </c>
      <c r="Q17">
        <f>SUMIFS(T_Shipments[Confirmed_Qty],T_Shipments[Part Name],$A17,T_Shipments[Effective_Week],16)</f>
        <v/>
      </c>
      <c r="R17">
        <f>SUMIFS(T_Shipments[Confirmed_Qty],T_Shipments[Part Name],$A17,T_Shipments[Effective_Week],17)</f>
        <v/>
      </c>
      <c r="S17">
        <f>SUMIFS(T_Shipments[Confirmed_Qty],T_Shipments[Part Name],$A17,T_Shipments[Effective_Week],18)</f>
        <v/>
      </c>
      <c r="T17">
        <f>SUMIFS(T_Shipments[Confirmed_Qty],T_Shipments[Part Name],$A17,T_Shipments[Effective_Week],19)</f>
        <v/>
      </c>
      <c r="U17">
        <f>SUMIFS(T_Shipments[Confirmed_Qty],T_Shipments[Part Name],$A17,T_Shipments[Effective_Week],20)</f>
        <v/>
      </c>
      <c r="V17">
        <f>SUMIFS(T_Shipments[Confirmed_Qty],T_Shipments[Part Name],$A17,T_Shipments[Effective_Week],21)</f>
        <v/>
      </c>
      <c r="W17">
        <f>SUMIFS(T_Shipments[Confirmed_Qty],T_Shipments[Part Name],$A17,T_Shipments[Effective_Week],22)</f>
        <v/>
      </c>
      <c r="X17">
        <f>SUMIFS(T_Shipments[Confirmed_Qty],T_Shipments[Part Name],$A17,T_Shipments[Effective_Week],23)</f>
        <v/>
      </c>
      <c r="Y17">
        <f>SUMIFS(T_Shipments[Confirmed_Qty],T_Shipments[Part Name],$A17,T_Shipments[Effective_Week],24)</f>
        <v/>
      </c>
      <c r="Z17">
        <f>SUMIFS(T_Shipments[Confirmed_Qty],T_Shipments[Part Name],$A17,T_Shipments[Effective_Week],25)</f>
        <v/>
      </c>
      <c r="AA17">
        <f>SUMIFS(T_Shipments[Confirmed_Qty],T_Shipments[Part Name],$A17,T_Shipments[Effective_Week],26)</f>
        <v/>
      </c>
      <c r="AB17">
        <f>SUMIFS(T_Shipments[Confirmed_Qty],T_Shipments[Part Name],$A17,T_Shipments[Effective_Week],27)</f>
        <v/>
      </c>
      <c r="AC17">
        <f>SUMIFS(T_Shipments[Confirmed_Qty],T_Shipments[Part Name],$A17,T_Shipments[Effective_Week],28)</f>
        <v/>
      </c>
      <c r="AD17">
        <f>SUMIFS(T_Shipments[Confirmed_Qty],T_Shipments[Part Name],$A17,T_Shipments[Effective_Week],29)</f>
        <v/>
      </c>
      <c r="AE17">
        <f>SUMIFS(T_Shipments[Confirmed_Qty],T_Shipments[Part Name],$A17,T_Shipments[Effective_Week],30)</f>
        <v/>
      </c>
      <c r="AF17">
        <f>SUMIFS(T_Shipments[Confirmed_Qty],T_Shipments[Part Name],$A17,T_Shipments[Effective_Week],31)</f>
        <v/>
      </c>
      <c r="AG17">
        <f>SUMIFS(T_Shipments[Confirmed_Qty],T_Shipments[Part Name],$A17,T_Shipments[Effective_Week],32)</f>
        <v/>
      </c>
      <c r="AH17">
        <f>SUMIFS(T_Shipments[Confirmed_Qty],T_Shipments[Part Name],$A17,T_Shipments[Effective_Week],33)</f>
        <v/>
      </c>
      <c r="AI17">
        <f>SUMIFS(T_Shipments[Confirmed_Qty],T_Shipments[Part Name],$A17,T_Shipments[Effective_Week],34)</f>
        <v/>
      </c>
      <c r="AJ17">
        <f>SUMIFS(T_Shipments[Confirmed_Qty],T_Shipments[Part Name],$A17,T_Shipments[Effective_Week],35)</f>
        <v/>
      </c>
      <c r="AK17">
        <f>SUMIFS(T_Shipments[Confirmed_Qty],T_Shipments[Part Name],$A17,T_Shipments[Effective_Week],36)</f>
        <v/>
      </c>
      <c r="AL17">
        <f>SUMIFS(T_Shipments[Confirmed_Qty],T_Shipments[Part Name],$A17,T_Shipments[Effective_Week],37)</f>
        <v/>
      </c>
      <c r="AM17">
        <f>SUMIFS(T_Shipments[Confirmed_Qty],T_Shipments[Part Name],$A17,T_Shipments[Effective_Week],38)</f>
        <v/>
      </c>
      <c r="AN17">
        <f>SUMIFS(T_Shipments[Confirmed_Qty],T_Shipments[Part Name],$A17,T_Shipments[Effective_Week],39)</f>
        <v/>
      </c>
      <c r="AO17">
        <f>SUMIFS(T_Shipments[Confirmed_Qty],T_Shipments[Part Name],$A17,T_Shipments[Effective_Week],40)</f>
        <v/>
      </c>
      <c r="AP17">
        <f>SUMIFS(T_Shipments[Confirmed_Qty],T_Shipments[Part Name],$A17,T_Shipments[Effective_Week],41)</f>
        <v/>
      </c>
      <c r="AQ17">
        <f>SUMIFS(T_Shipments[Confirmed_Qty],T_Shipments[Part Name],$A17,T_Shipments[Effective_Week],42)</f>
        <v/>
      </c>
      <c r="AR17">
        <f>SUMIFS(T_Shipments[Confirmed_Qty],T_Shipments[Part Name],$A17,T_Shipments[Effective_Week],43)</f>
        <v/>
      </c>
      <c r="AS17">
        <f>SUMIFS(T_Shipments[Confirmed_Qty],T_Shipments[Part Name],$A17,T_Shipments[Effective_Week],44)</f>
        <v/>
      </c>
      <c r="AT17">
        <f>SUMIFS(T_Shipments[Confirmed_Qty],T_Shipments[Part Name],$A17,T_Shipments[Effective_Week],45)</f>
        <v/>
      </c>
      <c r="AU17">
        <f>SUMIFS(T_Shipments[Confirmed_Qty],T_Shipments[Part Name],$A17,T_Shipments[Effective_Week],46)</f>
        <v/>
      </c>
      <c r="AV17">
        <f>SUMIFS(T_Shipments[Confirmed_Qty],T_Shipments[Part Name],$A17,T_Shipments[Effective_Week],47)</f>
        <v/>
      </c>
      <c r="AW17">
        <f>SUMIFS(T_Shipments[Confirmed_Qty],T_Shipments[Part Name],$A17,T_Shipments[Effective_Week],48)</f>
        <v/>
      </c>
      <c r="AX17">
        <f>SUMIFS(T_Shipments[Confirmed_Qty],T_Shipments[Part Name],$A17,T_Shipments[Effective_Week],49)</f>
        <v/>
      </c>
      <c r="AY17">
        <f>SUMIFS(T_Shipments[Confirmed_Qty],T_Shipments[Part Name],$A17,T_Shipments[Effective_Week],50)</f>
        <v/>
      </c>
      <c r="AZ17">
        <f>SUMIFS(T_Shipments[Confirmed_Qty],T_Shipments[Part Name],$A17,T_Shipments[Effective_Week],51)</f>
        <v/>
      </c>
      <c r="BA17">
        <f>SUMIFS(T_Shipments[Confirmed_Qty],T_Shipments[Part Name],$A17,T_Shipments[Effective_Week],52)</f>
        <v/>
      </c>
      <c r="BB17">
        <f>SUMIFS(T_Shipments[Confirmed_Qty],T_Shipments[Part Name],$A17,T_Shipments[Effective_Week],53)</f>
        <v/>
      </c>
      <c r="BC17">
        <f>SUMIFS(T_Shipments[Confirmed_Qty],T_Shipments[Part Name],$A17,T_Shipments[Effective_Week],54)</f>
        <v/>
      </c>
      <c r="BD17">
        <f>SUMIFS(T_Shipments[Confirmed_Qty],T_Shipments[Part Name],$A17,T_Shipments[Effective_Week],55)</f>
        <v/>
      </c>
      <c r="BE17">
        <f>SUMIFS(T_Shipments[Confirmed_Qty],T_Shipments[Part Name],$A17,T_Shipments[Effective_Week],56)</f>
        <v/>
      </c>
      <c r="BF17">
        <f>SUMIFS(T_Shipments[Confirmed_Qty],T_Shipments[Part Name],$A17,T_Shipments[Effective_Week],57)</f>
        <v/>
      </c>
      <c r="BG17">
        <f>SUMIFS(T_Shipments[Confirmed_Qty],T_Shipments[Part Name],$A17,T_Shipments[Effective_Week],58)</f>
        <v/>
      </c>
      <c r="BH17">
        <f>SUMIFS(T_Shipments[Confirmed_Qty],T_Shipments[Part Name],$A17,T_Shipments[Effective_Week],59)</f>
        <v/>
      </c>
      <c r="BI17">
        <f>SUMIFS(T_Shipments[Confirmed_Qty],T_Shipments[Part Name],$A17,T_Shipments[Effective_Week],60)</f>
        <v/>
      </c>
      <c r="BJ17">
        <f>SUMIFS(T_Shipments[Confirmed_Qty],T_Shipments[Part Name],$A17,T_Shipments[Effective_Week],61)</f>
        <v/>
      </c>
      <c r="BK17">
        <f>SUMIFS(T_Shipments[Confirmed_Qty],T_Shipments[Part Name],$A17,T_Shipments[Effective_Week],62)</f>
        <v/>
      </c>
      <c r="BL17">
        <f>SUMIFS(T_Shipments[Confirmed_Qty],T_Shipments[Part Name],$A17,T_Shipments[Effective_Week],63)</f>
        <v/>
      </c>
      <c r="BM17">
        <f>SUMIFS(T_Shipments[Confirmed_Qty],T_Shipments[Part Name],$A17,T_Shipments[Effective_Week],64)</f>
        <v/>
      </c>
      <c r="BN17">
        <f>SUMIFS(T_Shipments[Confirmed_Qty],T_Shipments[Part Name],$A17,T_Shipments[Effective_Week],65)</f>
        <v/>
      </c>
      <c r="BO17">
        <f>SUMIFS(T_Shipments[Confirmed_Qty],T_Shipments[Part Name],$A17,T_Shipments[Effective_Week],66)</f>
        <v/>
      </c>
      <c r="BP17">
        <f>SUMIFS(T_Shipments[Confirmed_Qty],T_Shipments[Part Name],$A17,T_Shipments[Effective_Week],67)</f>
        <v/>
      </c>
      <c r="BQ17">
        <f>SUMIFS(T_Shipments[Confirmed_Qty],T_Shipments[Part Name],$A17,T_Shipments[Effective_Week],68)</f>
        <v/>
      </c>
      <c r="BR17">
        <f>SUMIFS(T_Shipments[Confirmed_Qty],T_Shipments[Part Name],$A17,T_Shipments[Effective_Week],69)</f>
        <v/>
      </c>
      <c r="BS17">
        <f>SUMIFS(T_Shipments[Confirmed_Qty],T_Shipments[Part Name],$A17,T_Shipments[Effective_Week],70)</f>
        <v/>
      </c>
      <c r="BT17">
        <f>SUMIFS(T_Shipments[Confirmed_Qty],T_Shipments[Part Name],$A17,T_Shipments[Effective_Week],71)</f>
        <v/>
      </c>
      <c r="BU17">
        <f>SUMIFS(T_Shipments[Confirmed_Qty],T_Shipments[Part Name],$A17,T_Shipments[Effective_Week],72)</f>
        <v/>
      </c>
      <c r="BV17">
        <f>SUMIFS(T_Shipments[Confirmed_Qty],T_Shipments[Part Name],$A17,T_Shipments[Effective_Week],73)</f>
        <v/>
      </c>
      <c r="BW17">
        <f>SUMIFS(T_Shipments[Confirmed_Qty],T_Shipments[Part Name],$A17,T_Shipments[Effective_Week],74)</f>
        <v/>
      </c>
      <c r="BX17">
        <f>SUMIFS(T_Shipments[Confirmed_Qty],T_Shipments[Part Name],$A17,T_Shipments[Effective_Week],75)</f>
        <v/>
      </c>
      <c r="BY17">
        <f>SUMIFS(T_Shipments[Confirmed_Qty],T_Shipments[Part Name],$A17,T_Shipments[Effective_Week],76)</f>
        <v/>
      </c>
      <c r="BZ17">
        <f>SUMIFS(T_Shipments[Confirmed_Qty],T_Shipments[Part Name],$A17,T_Shipments[Effective_Week],77)</f>
        <v/>
      </c>
      <c r="CA17">
        <f>SUMIFS(T_Shipments[Confirmed_Qty],T_Shipments[Part Name],$A17,T_Shipments[Effective_Week],78)</f>
        <v/>
      </c>
      <c r="CB17">
        <f>SUMIFS(T_Shipments[Confirmed_Qty],T_Shipments[Part Name],$A17,T_Shipments[Effective_Week],79)</f>
        <v/>
      </c>
      <c r="CC17">
        <f>SUMIFS(T_Shipments[Confirmed_Qty],T_Shipments[Part Name],$A17,T_Shipments[Effective_Week],80)</f>
        <v/>
      </c>
      <c r="CD17">
        <f>SUMIFS(T_Shipments[Confirmed_Qty],T_Shipments[Part Name],$A17,T_Shipments[Effective_Week],81)</f>
        <v/>
      </c>
      <c r="CE17">
        <f>SUMIFS(T_Shipments[Confirmed_Qty],T_Shipments[Part Name],$A17,T_Shipments[Effective_Week],82)</f>
        <v/>
      </c>
      <c r="CF17">
        <f>SUMIFS(T_Shipments[Confirmed_Qty],T_Shipments[Part Name],$A17,T_Shipments[Effective_Week],83)</f>
        <v/>
      </c>
      <c r="CG17">
        <f>SUMIFS(T_Shipments[Confirmed_Qty],T_Shipments[Part Name],$A17,T_Shipments[Effective_Week],84)</f>
        <v/>
      </c>
      <c r="CH17">
        <f>SUMIFS(T_Shipments[Confirmed_Qty],T_Shipments[Part Name],$A17,T_Shipments[Effective_Week],85)</f>
        <v/>
      </c>
      <c r="CI17">
        <f>SUMIFS(T_Shipments[Confirmed_Qty],T_Shipments[Part Name],$A17,T_Shipments[Effective_Week],86)</f>
        <v/>
      </c>
      <c r="CJ17">
        <f>SUMIFS(T_Shipments[Confirmed_Qty],T_Shipments[Part Name],$A17,T_Shipments[Effective_Week],87)</f>
        <v/>
      </c>
      <c r="CK17">
        <f>SUMIFS(T_Shipments[Confirmed_Qty],T_Shipments[Part Name],$A17,T_Shipments[Effective_Week],88)</f>
        <v/>
      </c>
      <c r="CL17">
        <f>SUMIFS(T_Shipments[Confirmed_Qty],T_Shipments[Part Name],$A17,T_Shipments[Effective_Week],89)</f>
        <v/>
      </c>
      <c r="CM17">
        <f>SUMIFS(T_Shipments[Confirmed_Qty],T_Shipments[Part Name],$A17,T_Shipments[Effective_Week],90)</f>
        <v/>
      </c>
      <c r="CN17">
        <f>SUMIFS(T_Shipments[Confirmed_Qty],T_Shipments[Part Name],$A17,T_Shipments[Effective_Week],91)</f>
        <v/>
      </c>
      <c r="CO17">
        <f>SUMIFS(T_Shipments[Confirmed_Qty],T_Shipments[Part Name],$A17,T_Shipments[Effective_Week],92)</f>
        <v/>
      </c>
      <c r="CP17">
        <f>SUMIFS(T_Shipments[Confirmed_Qty],T_Shipments[Part Name],$A17,T_Shipments[Effective_Week],93)</f>
        <v/>
      </c>
      <c r="CQ17">
        <f>SUMIFS(T_Shipments[Confirmed_Qty],T_Shipments[Part Name],$A17,T_Shipments[Effective_Week],94)</f>
        <v/>
      </c>
      <c r="CR17">
        <f>SUMIFS(T_Shipments[Confirmed_Qty],T_Shipments[Part Name],$A17,T_Shipments[Effective_Week],95)</f>
        <v/>
      </c>
      <c r="CS17">
        <f>SUMIFS(T_Shipments[Confirmed_Qty],T_Shipments[Part Name],$A17,T_Shipments[Effective_Week],96)</f>
        <v/>
      </c>
      <c r="CT17">
        <f>SUMIFS(T_Shipments[Confirmed_Qty],T_Shipments[Part Name],$A17,T_Shipments[Effective_Week],97)</f>
        <v/>
      </c>
      <c r="CU17">
        <f>SUMIFS(T_Shipments[Confirmed_Qty],T_Shipments[Part Name],$A17,T_Shipments[Effective_Week],98)</f>
        <v/>
      </c>
      <c r="CV17">
        <f>SUMIFS(T_Shipments[Confirmed_Qty],T_Shipments[Part Name],$A17,T_Shipments[Effective_Week],99)</f>
        <v/>
      </c>
      <c r="CW17">
        <f>SUMIFS(T_Shipments[Confirmed_Qty],T_Shipments[Part Name],$A17,T_Shipments[Effective_Week],100)</f>
        <v/>
      </c>
      <c r="CX17">
        <f>SUMIFS(T_Shipments[Confirmed_Qty],T_Shipments[Part Name],$A17,T_Shipments[Effective_Week],101)</f>
        <v/>
      </c>
      <c r="CY17">
        <f>SUMIFS(T_Shipments[Confirmed_Qty],T_Shipments[Part Name],$A17,T_Shipments[Effective_Week],102)</f>
        <v/>
      </c>
      <c r="CZ17">
        <f>SUMIFS(T_Shipments[Confirmed_Qty],T_Shipments[Part Name],$A17,T_Shipments[Effective_Week],103)</f>
        <v/>
      </c>
      <c r="DA17">
        <f>SUMIFS(T_Shipments[Confirmed_Qty],T_Shipments[Part Name],$A17,T_Shipments[Effective_Week],104)</f>
        <v/>
      </c>
    </row>
    <row r="18">
      <c r="A18" t="inlineStr">
        <is>
          <t>CHEM-1660</t>
        </is>
      </c>
      <c r="B18">
        <f>SUMIFS(T_Shipments[Confirmed_Qty],T_Shipments[Part Name],$A18,T_Shipments[Effective_Week],1)</f>
        <v/>
      </c>
      <c r="C18">
        <f>SUMIFS(T_Shipments[Confirmed_Qty],T_Shipments[Part Name],$A18,T_Shipments[Effective_Week],2)</f>
        <v/>
      </c>
      <c r="D18">
        <f>SUMIFS(T_Shipments[Confirmed_Qty],T_Shipments[Part Name],$A18,T_Shipments[Effective_Week],3)</f>
        <v/>
      </c>
      <c r="E18">
        <f>SUMIFS(T_Shipments[Confirmed_Qty],T_Shipments[Part Name],$A18,T_Shipments[Effective_Week],4)</f>
        <v/>
      </c>
      <c r="F18">
        <f>SUMIFS(T_Shipments[Confirmed_Qty],T_Shipments[Part Name],$A18,T_Shipments[Effective_Week],5)</f>
        <v/>
      </c>
      <c r="G18">
        <f>SUMIFS(T_Shipments[Confirmed_Qty],T_Shipments[Part Name],$A18,T_Shipments[Effective_Week],6)</f>
        <v/>
      </c>
      <c r="H18">
        <f>SUMIFS(T_Shipments[Confirmed_Qty],T_Shipments[Part Name],$A18,T_Shipments[Effective_Week],7)</f>
        <v/>
      </c>
      <c r="I18">
        <f>SUMIFS(T_Shipments[Confirmed_Qty],T_Shipments[Part Name],$A18,T_Shipments[Effective_Week],8)</f>
        <v/>
      </c>
      <c r="J18">
        <f>SUMIFS(T_Shipments[Confirmed_Qty],T_Shipments[Part Name],$A18,T_Shipments[Effective_Week],9)</f>
        <v/>
      </c>
      <c r="K18">
        <f>SUMIFS(T_Shipments[Confirmed_Qty],T_Shipments[Part Name],$A18,T_Shipments[Effective_Week],10)</f>
        <v/>
      </c>
      <c r="L18">
        <f>SUMIFS(T_Shipments[Confirmed_Qty],T_Shipments[Part Name],$A18,T_Shipments[Effective_Week],11)</f>
        <v/>
      </c>
      <c r="M18">
        <f>SUMIFS(T_Shipments[Confirmed_Qty],T_Shipments[Part Name],$A18,T_Shipments[Effective_Week],12)</f>
        <v/>
      </c>
      <c r="N18">
        <f>SUMIFS(T_Shipments[Confirmed_Qty],T_Shipments[Part Name],$A18,T_Shipments[Effective_Week],13)</f>
        <v/>
      </c>
      <c r="O18">
        <f>SUMIFS(T_Shipments[Confirmed_Qty],T_Shipments[Part Name],$A18,T_Shipments[Effective_Week],14)</f>
        <v/>
      </c>
      <c r="P18">
        <f>SUMIFS(T_Shipments[Confirmed_Qty],T_Shipments[Part Name],$A18,T_Shipments[Effective_Week],15)</f>
        <v/>
      </c>
      <c r="Q18">
        <f>SUMIFS(T_Shipments[Confirmed_Qty],T_Shipments[Part Name],$A18,T_Shipments[Effective_Week],16)</f>
        <v/>
      </c>
      <c r="R18">
        <f>SUMIFS(T_Shipments[Confirmed_Qty],T_Shipments[Part Name],$A18,T_Shipments[Effective_Week],17)</f>
        <v/>
      </c>
      <c r="S18">
        <f>SUMIFS(T_Shipments[Confirmed_Qty],T_Shipments[Part Name],$A18,T_Shipments[Effective_Week],18)</f>
        <v/>
      </c>
      <c r="T18">
        <f>SUMIFS(T_Shipments[Confirmed_Qty],T_Shipments[Part Name],$A18,T_Shipments[Effective_Week],19)</f>
        <v/>
      </c>
      <c r="U18">
        <f>SUMIFS(T_Shipments[Confirmed_Qty],T_Shipments[Part Name],$A18,T_Shipments[Effective_Week],20)</f>
        <v/>
      </c>
      <c r="V18">
        <f>SUMIFS(T_Shipments[Confirmed_Qty],T_Shipments[Part Name],$A18,T_Shipments[Effective_Week],21)</f>
        <v/>
      </c>
      <c r="W18">
        <f>SUMIFS(T_Shipments[Confirmed_Qty],T_Shipments[Part Name],$A18,T_Shipments[Effective_Week],22)</f>
        <v/>
      </c>
      <c r="X18">
        <f>SUMIFS(T_Shipments[Confirmed_Qty],T_Shipments[Part Name],$A18,T_Shipments[Effective_Week],23)</f>
        <v/>
      </c>
      <c r="Y18">
        <f>SUMIFS(T_Shipments[Confirmed_Qty],T_Shipments[Part Name],$A18,T_Shipments[Effective_Week],24)</f>
        <v/>
      </c>
      <c r="Z18">
        <f>SUMIFS(T_Shipments[Confirmed_Qty],T_Shipments[Part Name],$A18,T_Shipments[Effective_Week],25)</f>
        <v/>
      </c>
      <c r="AA18">
        <f>SUMIFS(T_Shipments[Confirmed_Qty],T_Shipments[Part Name],$A18,T_Shipments[Effective_Week],26)</f>
        <v/>
      </c>
      <c r="AB18">
        <f>SUMIFS(T_Shipments[Confirmed_Qty],T_Shipments[Part Name],$A18,T_Shipments[Effective_Week],27)</f>
        <v/>
      </c>
      <c r="AC18">
        <f>SUMIFS(T_Shipments[Confirmed_Qty],T_Shipments[Part Name],$A18,T_Shipments[Effective_Week],28)</f>
        <v/>
      </c>
      <c r="AD18">
        <f>SUMIFS(T_Shipments[Confirmed_Qty],T_Shipments[Part Name],$A18,T_Shipments[Effective_Week],29)</f>
        <v/>
      </c>
      <c r="AE18">
        <f>SUMIFS(T_Shipments[Confirmed_Qty],T_Shipments[Part Name],$A18,T_Shipments[Effective_Week],30)</f>
        <v/>
      </c>
      <c r="AF18">
        <f>SUMIFS(T_Shipments[Confirmed_Qty],T_Shipments[Part Name],$A18,T_Shipments[Effective_Week],31)</f>
        <v/>
      </c>
      <c r="AG18">
        <f>SUMIFS(T_Shipments[Confirmed_Qty],T_Shipments[Part Name],$A18,T_Shipments[Effective_Week],32)</f>
        <v/>
      </c>
      <c r="AH18">
        <f>SUMIFS(T_Shipments[Confirmed_Qty],T_Shipments[Part Name],$A18,T_Shipments[Effective_Week],33)</f>
        <v/>
      </c>
      <c r="AI18">
        <f>SUMIFS(T_Shipments[Confirmed_Qty],T_Shipments[Part Name],$A18,T_Shipments[Effective_Week],34)</f>
        <v/>
      </c>
      <c r="AJ18">
        <f>SUMIFS(T_Shipments[Confirmed_Qty],T_Shipments[Part Name],$A18,T_Shipments[Effective_Week],35)</f>
        <v/>
      </c>
      <c r="AK18">
        <f>SUMIFS(T_Shipments[Confirmed_Qty],T_Shipments[Part Name],$A18,T_Shipments[Effective_Week],36)</f>
        <v/>
      </c>
      <c r="AL18">
        <f>SUMIFS(T_Shipments[Confirmed_Qty],T_Shipments[Part Name],$A18,T_Shipments[Effective_Week],37)</f>
        <v/>
      </c>
      <c r="AM18">
        <f>SUMIFS(T_Shipments[Confirmed_Qty],T_Shipments[Part Name],$A18,T_Shipments[Effective_Week],38)</f>
        <v/>
      </c>
      <c r="AN18">
        <f>SUMIFS(T_Shipments[Confirmed_Qty],T_Shipments[Part Name],$A18,T_Shipments[Effective_Week],39)</f>
        <v/>
      </c>
      <c r="AO18">
        <f>SUMIFS(T_Shipments[Confirmed_Qty],T_Shipments[Part Name],$A18,T_Shipments[Effective_Week],40)</f>
        <v/>
      </c>
      <c r="AP18">
        <f>SUMIFS(T_Shipments[Confirmed_Qty],T_Shipments[Part Name],$A18,T_Shipments[Effective_Week],41)</f>
        <v/>
      </c>
      <c r="AQ18">
        <f>SUMIFS(T_Shipments[Confirmed_Qty],T_Shipments[Part Name],$A18,T_Shipments[Effective_Week],42)</f>
        <v/>
      </c>
      <c r="AR18">
        <f>SUMIFS(T_Shipments[Confirmed_Qty],T_Shipments[Part Name],$A18,T_Shipments[Effective_Week],43)</f>
        <v/>
      </c>
      <c r="AS18">
        <f>SUMIFS(T_Shipments[Confirmed_Qty],T_Shipments[Part Name],$A18,T_Shipments[Effective_Week],44)</f>
        <v/>
      </c>
      <c r="AT18">
        <f>SUMIFS(T_Shipments[Confirmed_Qty],T_Shipments[Part Name],$A18,T_Shipments[Effective_Week],45)</f>
        <v/>
      </c>
      <c r="AU18">
        <f>SUMIFS(T_Shipments[Confirmed_Qty],T_Shipments[Part Name],$A18,T_Shipments[Effective_Week],46)</f>
        <v/>
      </c>
      <c r="AV18">
        <f>SUMIFS(T_Shipments[Confirmed_Qty],T_Shipments[Part Name],$A18,T_Shipments[Effective_Week],47)</f>
        <v/>
      </c>
      <c r="AW18">
        <f>SUMIFS(T_Shipments[Confirmed_Qty],T_Shipments[Part Name],$A18,T_Shipments[Effective_Week],48)</f>
        <v/>
      </c>
      <c r="AX18">
        <f>SUMIFS(T_Shipments[Confirmed_Qty],T_Shipments[Part Name],$A18,T_Shipments[Effective_Week],49)</f>
        <v/>
      </c>
      <c r="AY18">
        <f>SUMIFS(T_Shipments[Confirmed_Qty],T_Shipments[Part Name],$A18,T_Shipments[Effective_Week],50)</f>
        <v/>
      </c>
      <c r="AZ18">
        <f>SUMIFS(T_Shipments[Confirmed_Qty],T_Shipments[Part Name],$A18,T_Shipments[Effective_Week],51)</f>
        <v/>
      </c>
      <c r="BA18">
        <f>SUMIFS(T_Shipments[Confirmed_Qty],T_Shipments[Part Name],$A18,T_Shipments[Effective_Week],52)</f>
        <v/>
      </c>
      <c r="BB18">
        <f>SUMIFS(T_Shipments[Confirmed_Qty],T_Shipments[Part Name],$A18,T_Shipments[Effective_Week],53)</f>
        <v/>
      </c>
      <c r="BC18">
        <f>SUMIFS(T_Shipments[Confirmed_Qty],T_Shipments[Part Name],$A18,T_Shipments[Effective_Week],54)</f>
        <v/>
      </c>
      <c r="BD18">
        <f>SUMIFS(T_Shipments[Confirmed_Qty],T_Shipments[Part Name],$A18,T_Shipments[Effective_Week],55)</f>
        <v/>
      </c>
      <c r="BE18">
        <f>SUMIFS(T_Shipments[Confirmed_Qty],T_Shipments[Part Name],$A18,T_Shipments[Effective_Week],56)</f>
        <v/>
      </c>
      <c r="BF18">
        <f>SUMIFS(T_Shipments[Confirmed_Qty],T_Shipments[Part Name],$A18,T_Shipments[Effective_Week],57)</f>
        <v/>
      </c>
      <c r="BG18">
        <f>SUMIFS(T_Shipments[Confirmed_Qty],T_Shipments[Part Name],$A18,T_Shipments[Effective_Week],58)</f>
        <v/>
      </c>
      <c r="BH18">
        <f>SUMIFS(T_Shipments[Confirmed_Qty],T_Shipments[Part Name],$A18,T_Shipments[Effective_Week],59)</f>
        <v/>
      </c>
      <c r="BI18">
        <f>SUMIFS(T_Shipments[Confirmed_Qty],T_Shipments[Part Name],$A18,T_Shipments[Effective_Week],60)</f>
        <v/>
      </c>
      <c r="BJ18">
        <f>SUMIFS(T_Shipments[Confirmed_Qty],T_Shipments[Part Name],$A18,T_Shipments[Effective_Week],61)</f>
        <v/>
      </c>
      <c r="BK18">
        <f>SUMIFS(T_Shipments[Confirmed_Qty],T_Shipments[Part Name],$A18,T_Shipments[Effective_Week],62)</f>
        <v/>
      </c>
      <c r="BL18">
        <f>SUMIFS(T_Shipments[Confirmed_Qty],T_Shipments[Part Name],$A18,T_Shipments[Effective_Week],63)</f>
        <v/>
      </c>
      <c r="BM18">
        <f>SUMIFS(T_Shipments[Confirmed_Qty],T_Shipments[Part Name],$A18,T_Shipments[Effective_Week],64)</f>
        <v/>
      </c>
      <c r="BN18">
        <f>SUMIFS(T_Shipments[Confirmed_Qty],T_Shipments[Part Name],$A18,T_Shipments[Effective_Week],65)</f>
        <v/>
      </c>
      <c r="BO18">
        <f>SUMIFS(T_Shipments[Confirmed_Qty],T_Shipments[Part Name],$A18,T_Shipments[Effective_Week],66)</f>
        <v/>
      </c>
      <c r="BP18">
        <f>SUMIFS(T_Shipments[Confirmed_Qty],T_Shipments[Part Name],$A18,T_Shipments[Effective_Week],67)</f>
        <v/>
      </c>
      <c r="BQ18">
        <f>SUMIFS(T_Shipments[Confirmed_Qty],T_Shipments[Part Name],$A18,T_Shipments[Effective_Week],68)</f>
        <v/>
      </c>
      <c r="BR18">
        <f>SUMIFS(T_Shipments[Confirmed_Qty],T_Shipments[Part Name],$A18,T_Shipments[Effective_Week],69)</f>
        <v/>
      </c>
      <c r="BS18">
        <f>SUMIFS(T_Shipments[Confirmed_Qty],T_Shipments[Part Name],$A18,T_Shipments[Effective_Week],70)</f>
        <v/>
      </c>
      <c r="BT18">
        <f>SUMIFS(T_Shipments[Confirmed_Qty],T_Shipments[Part Name],$A18,T_Shipments[Effective_Week],71)</f>
        <v/>
      </c>
      <c r="BU18">
        <f>SUMIFS(T_Shipments[Confirmed_Qty],T_Shipments[Part Name],$A18,T_Shipments[Effective_Week],72)</f>
        <v/>
      </c>
      <c r="BV18">
        <f>SUMIFS(T_Shipments[Confirmed_Qty],T_Shipments[Part Name],$A18,T_Shipments[Effective_Week],73)</f>
        <v/>
      </c>
      <c r="BW18">
        <f>SUMIFS(T_Shipments[Confirmed_Qty],T_Shipments[Part Name],$A18,T_Shipments[Effective_Week],74)</f>
        <v/>
      </c>
      <c r="BX18">
        <f>SUMIFS(T_Shipments[Confirmed_Qty],T_Shipments[Part Name],$A18,T_Shipments[Effective_Week],75)</f>
        <v/>
      </c>
      <c r="BY18">
        <f>SUMIFS(T_Shipments[Confirmed_Qty],T_Shipments[Part Name],$A18,T_Shipments[Effective_Week],76)</f>
        <v/>
      </c>
      <c r="BZ18">
        <f>SUMIFS(T_Shipments[Confirmed_Qty],T_Shipments[Part Name],$A18,T_Shipments[Effective_Week],77)</f>
        <v/>
      </c>
      <c r="CA18">
        <f>SUMIFS(T_Shipments[Confirmed_Qty],T_Shipments[Part Name],$A18,T_Shipments[Effective_Week],78)</f>
        <v/>
      </c>
      <c r="CB18">
        <f>SUMIFS(T_Shipments[Confirmed_Qty],T_Shipments[Part Name],$A18,T_Shipments[Effective_Week],79)</f>
        <v/>
      </c>
      <c r="CC18">
        <f>SUMIFS(T_Shipments[Confirmed_Qty],T_Shipments[Part Name],$A18,T_Shipments[Effective_Week],80)</f>
        <v/>
      </c>
      <c r="CD18">
        <f>SUMIFS(T_Shipments[Confirmed_Qty],T_Shipments[Part Name],$A18,T_Shipments[Effective_Week],81)</f>
        <v/>
      </c>
      <c r="CE18">
        <f>SUMIFS(T_Shipments[Confirmed_Qty],T_Shipments[Part Name],$A18,T_Shipments[Effective_Week],82)</f>
        <v/>
      </c>
      <c r="CF18">
        <f>SUMIFS(T_Shipments[Confirmed_Qty],T_Shipments[Part Name],$A18,T_Shipments[Effective_Week],83)</f>
        <v/>
      </c>
      <c r="CG18">
        <f>SUMIFS(T_Shipments[Confirmed_Qty],T_Shipments[Part Name],$A18,T_Shipments[Effective_Week],84)</f>
        <v/>
      </c>
      <c r="CH18">
        <f>SUMIFS(T_Shipments[Confirmed_Qty],T_Shipments[Part Name],$A18,T_Shipments[Effective_Week],85)</f>
        <v/>
      </c>
      <c r="CI18">
        <f>SUMIFS(T_Shipments[Confirmed_Qty],T_Shipments[Part Name],$A18,T_Shipments[Effective_Week],86)</f>
        <v/>
      </c>
      <c r="CJ18">
        <f>SUMIFS(T_Shipments[Confirmed_Qty],T_Shipments[Part Name],$A18,T_Shipments[Effective_Week],87)</f>
        <v/>
      </c>
      <c r="CK18">
        <f>SUMIFS(T_Shipments[Confirmed_Qty],T_Shipments[Part Name],$A18,T_Shipments[Effective_Week],88)</f>
        <v/>
      </c>
      <c r="CL18">
        <f>SUMIFS(T_Shipments[Confirmed_Qty],T_Shipments[Part Name],$A18,T_Shipments[Effective_Week],89)</f>
        <v/>
      </c>
      <c r="CM18">
        <f>SUMIFS(T_Shipments[Confirmed_Qty],T_Shipments[Part Name],$A18,T_Shipments[Effective_Week],90)</f>
        <v/>
      </c>
      <c r="CN18">
        <f>SUMIFS(T_Shipments[Confirmed_Qty],T_Shipments[Part Name],$A18,T_Shipments[Effective_Week],91)</f>
        <v/>
      </c>
      <c r="CO18">
        <f>SUMIFS(T_Shipments[Confirmed_Qty],T_Shipments[Part Name],$A18,T_Shipments[Effective_Week],92)</f>
        <v/>
      </c>
      <c r="CP18">
        <f>SUMIFS(T_Shipments[Confirmed_Qty],T_Shipments[Part Name],$A18,T_Shipments[Effective_Week],93)</f>
        <v/>
      </c>
      <c r="CQ18">
        <f>SUMIFS(T_Shipments[Confirmed_Qty],T_Shipments[Part Name],$A18,T_Shipments[Effective_Week],94)</f>
        <v/>
      </c>
      <c r="CR18">
        <f>SUMIFS(T_Shipments[Confirmed_Qty],T_Shipments[Part Name],$A18,T_Shipments[Effective_Week],95)</f>
        <v/>
      </c>
      <c r="CS18">
        <f>SUMIFS(T_Shipments[Confirmed_Qty],T_Shipments[Part Name],$A18,T_Shipments[Effective_Week],96)</f>
        <v/>
      </c>
      <c r="CT18">
        <f>SUMIFS(T_Shipments[Confirmed_Qty],T_Shipments[Part Name],$A18,T_Shipments[Effective_Week],97)</f>
        <v/>
      </c>
      <c r="CU18">
        <f>SUMIFS(T_Shipments[Confirmed_Qty],T_Shipments[Part Name],$A18,T_Shipments[Effective_Week],98)</f>
        <v/>
      </c>
      <c r="CV18">
        <f>SUMIFS(T_Shipments[Confirmed_Qty],T_Shipments[Part Name],$A18,T_Shipments[Effective_Week],99)</f>
        <v/>
      </c>
      <c r="CW18">
        <f>SUMIFS(T_Shipments[Confirmed_Qty],T_Shipments[Part Name],$A18,T_Shipments[Effective_Week],100)</f>
        <v/>
      </c>
      <c r="CX18">
        <f>SUMIFS(T_Shipments[Confirmed_Qty],T_Shipments[Part Name],$A18,T_Shipments[Effective_Week],101)</f>
        <v/>
      </c>
      <c r="CY18">
        <f>SUMIFS(T_Shipments[Confirmed_Qty],T_Shipments[Part Name],$A18,T_Shipments[Effective_Week],102)</f>
        <v/>
      </c>
      <c r="CZ18">
        <f>SUMIFS(T_Shipments[Confirmed_Qty],T_Shipments[Part Name],$A18,T_Shipments[Effective_Week],103)</f>
        <v/>
      </c>
      <c r="DA18">
        <f>SUMIFS(T_Shipments[Confirmed_Qty],T_Shipments[Part Name],$A18,T_Shipments[Effective_Week],104)</f>
        <v/>
      </c>
    </row>
    <row r="19">
      <c r="A19" t="inlineStr">
        <is>
          <t>CHEM-1600</t>
        </is>
      </c>
      <c r="B19">
        <f>SUMIFS(T_Shipments[Confirmed_Qty],T_Shipments[Part Name],$A19,T_Shipments[Effective_Week],1)</f>
        <v/>
      </c>
      <c r="C19">
        <f>SUMIFS(T_Shipments[Confirmed_Qty],T_Shipments[Part Name],$A19,T_Shipments[Effective_Week],2)</f>
        <v/>
      </c>
      <c r="D19">
        <f>SUMIFS(T_Shipments[Confirmed_Qty],T_Shipments[Part Name],$A19,T_Shipments[Effective_Week],3)</f>
        <v/>
      </c>
      <c r="E19">
        <f>SUMIFS(T_Shipments[Confirmed_Qty],T_Shipments[Part Name],$A19,T_Shipments[Effective_Week],4)</f>
        <v/>
      </c>
      <c r="F19">
        <f>SUMIFS(T_Shipments[Confirmed_Qty],T_Shipments[Part Name],$A19,T_Shipments[Effective_Week],5)</f>
        <v/>
      </c>
      <c r="G19">
        <f>SUMIFS(T_Shipments[Confirmed_Qty],T_Shipments[Part Name],$A19,T_Shipments[Effective_Week],6)</f>
        <v/>
      </c>
      <c r="H19">
        <f>SUMIFS(T_Shipments[Confirmed_Qty],T_Shipments[Part Name],$A19,T_Shipments[Effective_Week],7)</f>
        <v/>
      </c>
      <c r="I19">
        <f>SUMIFS(T_Shipments[Confirmed_Qty],T_Shipments[Part Name],$A19,T_Shipments[Effective_Week],8)</f>
        <v/>
      </c>
      <c r="J19">
        <f>SUMIFS(T_Shipments[Confirmed_Qty],T_Shipments[Part Name],$A19,T_Shipments[Effective_Week],9)</f>
        <v/>
      </c>
      <c r="K19">
        <f>SUMIFS(T_Shipments[Confirmed_Qty],T_Shipments[Part Name],$A19,T_Shipments[Effective_Week],10)</f>
        <v/>
      </c>
      <c r="L19">
        <f>SUMIFS(T_Shipments[Confirmed_Qty],T_Shipments[Part Name],$A19,T_Shipments[Effective_Week],11)</f>
        <v/>
      </c>
      <c r="M19">
        <f>SUMIFS(T_Shipments[Confirmed_Qty],T_Shipments[Part Name],$A19,T_Shipments[Effective_Week],12)</f>
        <v/>
      </c>
      <c r="N19">
        <f>SUMIFS(T_Shipments[Confirmed_Qty],T_Shipments[Part Name],$A19,T_Shipments[Effective_Week],13)</f>
        <v/>
      </c>
      <c r="O19">
        <f>SUMIFS(T_Shipments[Confirmed_Qty],T_Shipments[Part Name],$A19,T_Shipments[Effective_Week],14)</f>
        <v/>
      </c>
      <c r="P19">
        <f>SUMIFS(T_Shipments[Confirmed_Qty],T_Shipments[Part Name],$A19,T_Shipments[Effective_Week],15)</f>
        <v/>
      </c>
      <c r="Q19">
        <f>SUMIFS(T_Shipments[Confirmed_Qty],T_Shipments[Part Name],$A19,T_Shipments[Effective_Week],16)</f>
        <v/>
      </c>
      <c r="R19">
        <f>SUMIFS(T_Shipments[Confirmed_Qty],T_Shipments[Part Name],$A19,T_Shipments[Effective_Week],17)</f>
        <v/>
      </c>
      <c r="S19">
        <f>SUMIFS(T_Shipments[Confirmed_Qty],T_Shipments[Part Name],$A19,T_Shipments[Effective_Week],18)</f>
        <v/>
      </c>
      <c r="T19">
        <f>SUMIFS(T_Shipments[Confirmed_Qty],T_Shipments[Part Name],$A19,T_Shipments[Effective_Week],19)</f>
        <v/>
      </c>
      <c r="U19">
        <f>SUMIFS(T_Shipments[Confirmed_Qty],T_Shipments[Part Name],$A19,T_Shipments[Effective_Week],20)</f>
        <v/>
      </c>
      <c r="V19">
        <f>SUMIFS(T_Shipments[Confirmed_Qty],T_Shipments[Part Name],$A19,T_Shipments[Effective_Week],21)</f>
        <v/>
      </c>
      <c r="W19">
        <f>SUMIFS(T_Shipments[Confirmed_Qty],T_Shipments[Part Name],$A19,T_Shipments[Effective_Week],22)</f>
        <v/>
      </c>
      <c r="X19">
        <f>SUMIFS(T_Shipments[Confirmed_Qty],T_Shipments[Part Name],$A19,T_Shipments[Effective_Week],23)</f>
        <v/>
      </c>
      <c r="Y19">
        <f>SUMIFS(T_Shipments[Confirmed_Qty],T_Shipments[Part Name],$A19,T_Shipments[Effective_Week],24)</f>
        <v/>
      </c>
      <c r="Z19">
        <f>SUMIFS(T_Shipments[Confirmed_Qty],T_Shipments[Part Name],$A19,T_Shipments[Effective_Week],25)</f>
        <v/>
      </c>
      <c r="AA19">
        <f>SUMIFS(T_Shipments[Confirmed_Qty],T_Shipments[Part Name],$A19,T_Shipments[Effective_Week],26)</f>
        <v/>
      </c>
      <c r="AB19">
        <f>SUMIFS(T_Shipments[Confirmed_Qty],T_Shipments[Part Name],$A19,T_Shipments[Effective_Week],27)</f>
        <v/>
      </c>
      <c r="AC19">
        <f>SUMIFS(T_Shipments[Confirmed_Qty],T_Shipments[Part Name],$A19,T_Shipments[Effective_Week],28)</f>
        <v/>
      </c>
      <c r="AD19">
        <f>SUMIFS(T_Shipments[Confirmed_Qty],T_Shipments[Part Name],$A19,T_Shipments[Effective_Week],29)</f>
        <v/>
      </c>
      <c r="AE19">
        <f>SUMIFS(T_Shipments[Confirmed_Qty],T_Shipments[Part Name],$A19,T_Shipments[Effective_Week],30)</f>
        <v/>
      </c>
      <c r="AF19">
        <f>SUMIFS(T_Shipments[Confirmed_Qty],T_Shipments[Part Name],$A19,T_Shipments[Effective_Week],31)</f>
        <v/>
      </c>
      <c r="AG19">
        <f>SUMIFS(T_Shipments[Confirmed_Qty],T_Shipments[Part Name],$A19,T_Shipments[Effective_Week],32)</f>
        <v/>
      </c>
      <c r="AH19">
        <f>SUMIFS(T_Shipments[Confirmed_Qty],T_Shipments[Part Name],$A19,T_Shipments[Effective_Week],33)</f>
        <v/>
      </c>
      <c r="AI19">
        <f>SUMIFS(T_Shipments[Confirmed_Qty],T_Shipments[Part Name],$A19,T_Shipments[Effective_Week],34)</f>
        <v/>
      </c>
      <c r="AJ19">
        <f>SUMIFS(T_Shipments[Confirmed_Qty],T_Shipments[Part Name],$A19,T_Shipments[Effective_Week],35)</f>
        <v/>
      </c>
      <c r="AK19">
        <f>SUMIFS(T_Shipments[Confirmed_Qty],T_Shipments[Part Name],$A19,T_Shipments[Effective_Week],36)</f>
        <v/>
      </c>
      <c r="AL19">
        <f>SUMIFS(T_Shipments[Confirmed_Qty],T_Shipments[Part Name],$A19,T_Shipments[Effective_Week],37)</f>
        <v/>
      </c>
      <c r="AM19">
        <f>SUMIFS(T_Shipments[Confirmed_Qty],T_Shipments[Part Name],$A19,T_Shipments[Effective_Week],38)</f>
        <v/>
      </c>
      <c r="AN19">
        <f>SUMIFS(T_Shipments[Confirmed_Qty],T_Shipments[Part Name],$A19,T_Shipments[Effective_Week],39)</f>
        <v/>
      </c>
      <c r="AO19">
        <f>SUMIFS(T_Shipments[Confirmed_Qty],T_Shipments[Part Name],$A19,T_Shipments[Effective_Week],40)</f>
        <v/>
      </c>
      <c r="AP19">
        <f>SUMIFS(T_Shipments[Confirmed_Qty],T_Shipments[Part Name],$A19,T_Shipments[Effective_Week],41)</f>
        <v/>
      </c>
      <c r="AQ19">
        <f>SUMIFS(T_Shipments[Confirmed_Qty],T_Shipments[Part Name],$A19,T_Shipments[Effective_Week],42)</f>
        <v/>
      </c>
      <c r="AR19">
        <f>SUMIFS(T_Shipments[Confirmed_Qty],T_Shipments[Part Name],$A19,T_Shipments[Effective_Week],43)</f>
        <v/>
      </c>
      <c r="AS19">
        <f>SUMIFS(T_Shipments[Confirmed_Qty],T_Shipments[Part Name],$A19,T_Shipments[Effective_Week],44)</f>
        <v/>
      </c>
      <c r="AT19">
        <f>SUMIFS(T_Shipments[Confirmed_Qty],T_Shipments[Part Name],$A19,T_Shipments[Effective_Week],45)</f>
        <v/>
      </c>
      <c r="AU19">
        <f>SUMIFS(T_Shipments[Confirmed_Qty],T_Shipments[Part Name],$A19,T_Shipments[Effective_Week],46)</f>
        <v/>
      </c>
      <c r="AV19">
        <f>SUMIFS(T_Shipments[Confirmed_Qty],T_Shipments[Part Name],$A19,T_Shipments[Effective_Week],47)</f>
        <v/>
      </c>
      <c r="AW19">
        <f>SUMIFS(T_Shipments[Confirmed_Qty],T_Shipments[Part Name],$A19,T_Shipments[Effective_Week],48)</f>
        <v/>
      </c>
      <c r="AX19">
        <f>SUMIFS(T_Shipments[Confirmed_Qty],T_Shipments[Part Name],$A19,T_Shipments[Effective_Week],49)</f>
        <v/>
      </c>
      <c r="AY19">
        <f>SUMIFS(T_Shipments[Confirmed_Qty],T_Shipments[Part Name],$A19,T_Shipments[Effective_Week],50)</f>
        <v/>
      </c>
      <c r="AZ19">
        <f>SUMIFS(T_Shipments[Confirmed_Qty],T_Shipments[Part Name],$A19,T_Shipments[Effective_Week],51)</f>
        <v/>
      </c>
      <c r="BA19">
        <f>SUMIFS(T_Shipments[Confirmed_Qty],T_Shipments[Part Name],$A19,T_Shipments[Effective_Week],52)</f>
        <v/>
      </c>
      <c r="BB19">
        <f>SUMIFS(T_Shipments[Confirmed_Qty],T_Shipments[Part Name],$A19,T_Shipments[Effective_Week],53)</f>
        <v/>
      </c>
      <c r="BC19">
        <f>SUMIFS(T_Shipments[Confirmed_Qty],T_Shipments[Part Name],$A19,T_Shipments[Effective_Week],54)</f>
        <v/>
      </c>
      <c r="BD19">
        <f>SUMIFS(T_Shipments[Confirmed_Qty],T_Shipments[Part Name],$A19,T_Shipments[Effective_Week],55)</f>
        <v/>
      </c>
      <c r="BE19">
        <f>SUMIFS(T_Shipments[Confirmed_Qty],T_Shipments[Part Name],$A19,T_Shipments[Effective_Week],56)</f>
        <v/>
      </c>
      <c r="BF19">
        <f>SUMIFS(T_Shipments[Confirmed_Qty],T_Shipments[Part Name],$A19,T_Shipments[Effective_Week],57)</f>
        <v/>
      </c>
      <c r="BG19">
        <f>SUMIFS(T_Shipments[Confirmed_Qty],T_Shipments[Part Name],$A19,T_Shipments[Effective_Week],58)</f>
        <v/>
      </c>
      <c r="BH19">
        <f>SUMIFS(T_Shipments[Confirmed_Qty],T_Shipments[Part Name],$A19,T_Shipments[Effective_Week],59)</f>
        <v/>
      </c>
      <c r="BI19">
        <f>SUMIFS(T_Shipments[Confirmed_Qty],T_Shipments[Part Name],$A19,T_Shipments[Effective_Week],60)</f>
        <v/>
      </c>
      <c r="BJ19">
        <f>SUMIFS(T_Shipments[Confirmed_Qty],T_Shipments[Part Name],$A19,T_Shipments[Effective_Week],61)</f>
        <v/>
      </c>
      <c r="BK19">
        <f>SUMIFS(T_Shipments[Confirmed_Qty],T_Shipments[Part Name],$A19,T_Shipments[Effective_Week],62)</f>
        <v/>
      </c>
      <c r="BL19">
        <f>SUMIFS(T_Shipments[Confirmed_Qty],T_Shipments[Part Name],$A19,T_Shipments[Effective_Week],63)</f>
        <v/>
      </c>
      <c r="BM19">
        <f>SUMIFS(T_Shipments[Confirmed_Qty],T_Shipments[Part Name],$A19,T_Shipments[Effective_Week],64)</f>
        <v/>
      </c>
      <c r="BN19">
        <f>SUMIFS(T_Shipments[Confirmed_Qty],T_Shipments[Part Name],$A19,T_Shipments[Effective_Week],65)</f>
        <v/>
      </c>
      <c r="BO19">
        <f>SUMIFS(T_Shipments[Confirmed_Qty],T_Shipments[Part Name],$A19,T_Shipments[Effective_Week],66)</f>
        <v/>
      </c>
      <c r="BP19">
        <f>SUMIFS(T_Shipments[Confirmed_Qty],T_Shipments[Part Name],$A19,T_Shipments[Effective_Week],67)</f>
        <v/>
      </c>
      <c r="BQ19">
        <f>SUMIFS(T_Shipments[Confirmed_Qty],T_Shipments[Part Name],$A19,T_Shipments[Effective_Week],68)</f>
        <v/>
      </c>
      <c r="BR19">
        <f>SUMIFS(T_Shipments[Confirmed_Qty],T_Shipments[Part Name],$A19,T_Shipments[Effective_Week],69)</f>
        <v/>
      </c>
      <c r="BS19">
        <f>SUMIFS(T_Shipments[Confirmed_Qty],T_Shipments[Part Name],$A19,T_Shipments[Effective_Week],70)</f>
        <v/>
      </c>
      <c r="BT19">
        <f>SUMIFS(T_Shipments[Confirmed_Qty],T_Shipments[Part Name],$A19,T_Shipments[Effective_Week],71)</f>
        <v/>
      </c>
      <c r="BU19">
        <f>SUMIFS(T_Shipments[Confirmed_Qty],T_Shipments[Part Name],$A19,T_Shipments[Effective_Week],72)</f>
        <v/>
      </c>
      <c r="BV19">
        <f>SUMIFS(T_Shipments[Confirmed_Qty],T_Shipments[Part Name],$A19,T_Shipments[Effective_Week],73)</f>
        <v/>
      </c>
      <c r="BW19">
        <f>SUMIFS(T_Shipments[Confirmed_Qty],T_Shipments[Part Name],$A19,T_Shipments[Effective_Week],74)</f>
        <v/>
      </c>
      <c r="BX19">
        <f>SUMIFS(T_Shipments[Confirmed_Qty],T_Shipments[Part Name],$A19,T_Shipments[Effective_Week],75)</f>
        <v/>
      </c>
      <c r="BY19">
        <f>SUMIFS(T_Shipments[Confirmed_Qty],T_Shipments[Part Name],$A19,T_Shipments[Effective_Week],76)</f>
        <v/>
      </c>
      <c r="BZ19">
        <f>SUMIFS(T_Shipments[Confirmed_Qty],T_Shipments[Part Name],$A19,T_Shipments[Effective_Week],77)</f>
        <v/>
      </c>
      <c r="CA19">
        <f>SUMIFS(T_Shipments[Confirmed_Qty],T_Shipments[Part Name],$A19,T_Shipments[Effective_Week],78)</f>
        <v/>
      </c>
      <c r="CB19">
        <f>SUMIFS(T_Shipments[Confirmed_Qty],T_Shipments[Part Name],$A19,T_Shipments[Effective_Week],79)</f>
        <v/>
      </c>
      <c r="CC19">
        <f>SUMIFS(T_Shipments[Confirmed_Qty],T_Shipments[Part Name],$A19,T_Shipments[Effective_Week],80)</f>
        <v/>
      </c>
      <c r="CD19">
        <f>SUMIFS(T_Shipments[Confirmed_Qty],T_Shipments[Part Name],$A19,T_Shipments[Effective_Week],81)</f>
        <v/>
      </c>
      <c r="CE19">
        <f>SUMIFS(T_Shipments[Confirmed_Qty],T_Shipments[Part Name],$A19,T_Shipments[Effective_Week],82)</f>
        <v/>
      </c>
      <c r="CF19">
        <f>SUMIFS(T_Shipments[Confirmed_Qty],T_Shipments[Part Name],$A19,T_Shipments[Effective_Week],83)</f>
        <v/>
      </c>
      <c r="CG19">
        <f>SUMIFS(T_Shipments[Confirmed_Qty],T_Shipments[Part Name],$A19,T_Shipments[Effective_Week],84)</f>
        <v/>
      </c>
      <c r="CH19">
        <f>SUMIFS(T_Shipments[Confirmed_Qty],T_Shipments[Part Name],$A19,T_Shipments[Effective_Week],85)</f>
        <v/>
      </c>
      <c r="CI19">
        <f>SUMIFS(T_Shipments[Confirmed_Qty],T_Shipments[Part Name],$A19,T_Shipments[Effective_Week],86)</f>
        <v/>
      </c>
      <c r="CJ19">
        <f>SUMIFS(T_Shipments[Confirmed_Qty],T_Shipments[Part Name],$A19,T_Shipments[Effective_Week],87)</f>
        <v/>
      </c>
      <c r="CK19">
        <f>SUMIFS(T_Shipments[Confirmed_Qty],T_Shipments[Part Name],$A19,T_Shipments[Effective_Week],88)</f>
        <v/>
      </c>
      <c r="CL19">
        <f>SUMIFS(T_Shipments[Confirmed_Qty],T_Shipments[Part Name],$A19,T_Shipments[Effective_Week],89)</f>
        <v/>
      </c>
      <c r="CM19">
        <f>SUMIFS(T_Shipments[Confirmed_Qty],T_Shipments[Part Name],$A19,T_Shipments[Effective_Week],90)</f>
        <v/>
      </c>
      <c r="CN19">
        <f>SUMIFS(T_Shipments[Confirmed_Qty],T_Shipments[Part Name],$A19,T_Shipments[Effective_Week],91)</f>
        <v/>
      </c>
      <c r="CO19">
        <f>SUMIFS(T_Shipments[Confirmed_Qty],T_Shipments[Part Name],$A19,T_Shipments[Effective_Week],92)</f>
        <v/>
      </c>
      <c r="CP19">
        <f>SUMIFS(T_Shipments[Confirmed_Qty],T_Shipments[Part Name],$A19,T_Shipments[Effective_Week],93)</f>
        <v/>
      </c>
      <c r="CQ19">
        <f>SUMIFS(T_Shipments[Confirmed_Qty],T_Shipments[Part Name],$A19,T_Shipments[Effective_Week],94)</f>
        <v/>
      </c>
      <c r="CR19">
        <f>SUMIFS(T_Shipments[Confirmed_Qty],T_Shipments[Part Name],$A19,T_Shipments[Effective_Week],95)</f>
        <v/>
      </c>
      <c r="CS19">
        <f>SUMIFS(T_Shipments[Confirmed_Qty],T_Shipments[Part Name],$A19,T_Shipments[Effective_Week],96)</f>
        <v/>
      </c>
      <c r="CT19">
        <f>SUMIFS(T_Shipments[Confirmed_Qty],T_Shipments[Part Name],$A19,T_Shipments[Effective_Week],97)</f>
        <v/>
      </c>
      <c r="CU19">
        <f>SUMIFS(T_Shipments[Confirmed_Qty],T_Shipments[Part Name],$A19,T_Shipments[Effective_Week],98)</f>
        <v/>
      </c>
      <c r="CV19">
        <f>SUMIFS(T_Shipments[Confirmed_Qty],T_Shipments[Part Name],$A19,T_Shipments[Effective_Week],99)</f>
        <v/>
      </c>
      <c r="CW19">
        <f>SUMIFS(T_Shipments[Confirmed_Qty],T_Shipments[Part Name],$A19,T_Shipments[Effective_Week],100)</f>
        <v/>
      </c>
      <c r="CX19">
        <f>SUMIFS(T_Shipments[Confirmed_Qty],T_Shipments[Part Name],$A19,T_Shipments[Effective_Week],101)</f>
        <v/>
      </c>
      <c r="CY19">
        <f>SUMIFS(T_Shipments[Confirmed_Qty],T_Shipments[Part Name],$A19,T_Shipments[Effective_Week],102)</f>
        <v/>
      </c>
      <c r="CZ19">
        <f>SUMIFS(T_Shipments[Confirmed_Qty],T_Shipments[Part Name],$A19,T_Shipments[Effective_Week],103)</f>
        <v/>
      </c>
      <c r="DA19">
        <f>SUMIFS(T_Shipments[Confirmed_Qty],T_Shipments[Part Name],$A19,T_Shipments[Effective_Week],104)</f>
        <v/>
      </c>
    </row>
    <row r="20">
      <c r="A20" t="inlineStr">
        <is>
          <t>CHEM-1280</t>
        </is>
      </c>
      <c r="B20">
        <f>SUMIFS(T_Shipments[Confirmed_Qty],T_Shipments[Part Name],$A20,T_Shipments[Effective_Week],1)</f>
        <v/>
      </c>
      <c r="C20">
        <f>SUMIFS(T_Shipments[Confirmed_Qty],T_Shipments[Part Name],$A20,T_Shipments[Effective_Week],2)</f>
        <v/>
      </c>
      <c r="D20">
        <f>SUMIFS(T_Shipments[Confirmed_Qty],T_Shipments[Part Name],$A20,T_Shipments[Effective_Week],3)</f>
        <v/>
      </c>
      <c r="E20">
        <f>SUMIFS(T_Shipments[Confirmed_Qty],T_Shipments[Part Name],$A20,T_Shipments[Effective_Week],4)</f>
        <v/>
      </c>
      <c r="F20">
        <f>SUMIFS(T_Shipments[Confirmed_Qty],T_Shipments[Part Name],$A20,T_Shipments[Effective_Week],5)</f>
        <v/>
      </c>
      <c r="G20">
        <f>SUMIFS(T_Shipments[Confirmed_Qty],T_Shipments[Part Name],$A20,T_Shipments[Effective_Week],6)</f>
        <v/>
      </c>
      <c r="H20">
        <f>SUMIFS(T_Shipments[Confirmed_Qty],T_Shipments[Part Name],$A20,T_Shipments[Effective_Week],7)</f>
        <v/>
      </c>
      <c r="I20">
        <f>SUMIFS(T_Shipments[Confirmed_Qty],T_Shipments[Part Name],$A20,T_Shipments[Effective_Week],8)</f>
        <v/>
      </c>
      <c r="J20">
        <f>SUMIFS(T_Shipments[Confirmed_Qty],T_Shipments[Part Name],$A20,T_Shipments[Effective_Week],9)</f>
        <v/>
      </c>
      <c r="K20">
        <f>SUMIFS(T_Shipments[Confirmed_Qty],T_Shipments[Part Name],$A20,T_Shipments[Effective_Week],10)</f>
        <v/>
      </c>
      <c r="L20">
        <f>SUMIFS(T_Shipments[Confirmed_Qty],T_Shipments[Part Name],$A20,T_Shipments[Effective_Week],11)</f>
        <v/>
      </c>
      <c r="M20">
        <f>SUMIFS(T_Shipments[Confirmed_Qty],T_Shipments[Part Name],$A20,T_Shipments[Effective_Week],12)</f>
        <v/>
      </c>
      <c r="N20">
        <f>SUMIFS(T_Shipments[Confirmed_Qty],T_Shipments[Part Name],$A20,T_Shipments[Effective_Week],13)</f>
        <v/>
      </c>
      <c r="O20">
        <f>SUMIFS(T_Shipments[Confirmed_Qty],T_Shipments[Part Name],$A20,T_Shipments[Effective_Week],14)</f>
        <v/>
      </c>
      <c r="P20">
        <f>SUMIFS(T_Shipments[Confirmed_Qty],T_Shipments[Part Name],$A20,T_Shipments[Effective_Week],15)</f>
        <v/>
      </c>
      <c r="Q20">
        <f>SUMIFS(T_Shipments[Confirmed_Qty],T_Shipments[Part Name],$A20,T_Shipments[Effective_Week],16)</f>
        <v/>
      </c>
      <c r="R20">
        <f>SUMIFS(T_Shipments[Confirmed_Qty],T_Shipments[Part Name],$A20,T_Shipments[Effective_Week],17)</f>
        <v/>
      </c>
      <c r="S20">
        <f>SUMIFS(T_Shipments[Confirmed_Qty],T_Shipments[Part Name],$A20,T_Shipments[Effective_Week],18)</f>
        <v/>
      </c>
      <c r="T20">
        <f>SUMIFS(T_Shipments[Confirmed_Qty],T_Shipments[Part Name],$A20,T_Shipments[Effective_Week],19)</f>
        <v/>
      </c>
      <c r="U20">
        <f>SUMIFS(T_Shipments[Confirmed_Qty],T_Shipments[Part Name],$A20,T_Shipments[Effective_Week],20)</f>
        <v/>
      </c>
      <c r="V20">
        <f>SUMIFS(T_Shipments[Confirmed_Qty],T_Shipments[Part Name],$A20,T_Shipments[Effective_Week],21)</f>
        <v/>
      </c>
      <c r="W20">
        <f>SUMIFS(T_Shipments[Confirmed_Qty],T_Shipments[Part Name],$A20,T_Shipments[Effective_Week],22)</f>
        <v/>
      </c>
      <c r="X20">
        <f>SUMIFS(T_Shipments[Confirmed_Qty],T_Shipments[Part Name],$A20,T_Shipments[Effective_Week],23)</f>
        <v/>
      </c>
      <c r="Y20">
        <f>SUMIFS(T_Shipments[Confirmed_Qty],T_Shipments[Part Name],$A20,T_Shipments[Effective_Week],24)</f>
        <v/>
      </c>
      <c r="Z20">
        <f>SUMIFS(T_Shipments[Confirmed_Qty],T_Shipments[Part Name],$A20,T_Shipments[Effective_Week],25)</f>
        <v/>
      </c>
      <c r="AA20">
        <f>SUMIFS(T_Shipments[Confirmed_Qty],T_Shipments[Part Name],$A20,T_Shipments[Effective_Week],26)</f>
        <v/>
      </c>
      <c r="AB20">
        <f>SUMIFS(T_Shipments[Confirmed_Qty],T_Shipments[Part Name],$A20,T_Shipments[Effective_Week],27)</f>
        <v/>
      </c>
      <c r="AC20">
        <f>SUMIFS(T_Shipments[Confirmed_Qty],T_Shipments[Part Name],$A20,T_Shipments[Effective_Week],28)</f>
        <v/>
      </c>
      <c r="AD20">
        <f>SUMIFS(T_Shipments[Confirmed_Qty],T_Shipments[Part Name],$A20,T_Shipments[Effective_Week],29)</f>
        <v/>
      </c>
      <c r="AE20">
        <f>SUMIFS(T_Shipments[Confirmed_Qty],T_Shipments[Part Name],$A20,T_Shipments[Effective_Week],30)</f>
        <v/>
      </c>
      <c r="AF20">
        <f>SUMIFS(T_Shipments[Confirmed_Qty],T_Shipments[Part Name],$A20,T_Shipments[Effective_Week],31)</f>
        <v/>
      </c>
      <c r="AG20">
        <f>SUMIFS(T_Shipments[Confirmed_Qty],T_Shipments[Part Name],$A20,T_Shipments[Effective_Week],32)</f>
        <v/>
      </c>
      <c r="AH20">
        <f>SUMIFS(T_Shipments[Confirmed_Qty],T_Shipments[Part Name],$A20,T_Shipments[Effective_Week],33)</f>
        <v/>
      </c>
      <c r="AI20">
        <f>SUMIFS(T_Shipments[Confirmed_Qty],T_Shipments[Part Name],$A20,T_Shipments[Effective_Week],34)</f>
        <v/>
      </c>
      <c r="AJ20">
        <f>SUMIFS(T_Shipments[Confirmed_Qty],T_Shipments[Part Name],$A20,T_Shipments[Effective_Week],35)</f>
        <v/>
      </c>
      <c r="AK20">
        <f>SUMIFS(T_Shipments[Confirmed_Qty],T_Shipments[Part Name],$A20,T_Shipments[Effective_Week],36)</f>
        <v/>
      </c>
      <c r="AL20">
        <f>SUMIFS(T_Shipments[Confirmed_Qty],T_Shipments[Part Name],$A20,T_Shipments[Effective_Week],37)</f>
        <v/>
      </c>
      <c r="AM20">
        <f>SUMIFS(T_Shipments[Confirmed_Qty],T_Shipments[Part Name],$A20,T_Shipments[Effective_Week],38)</f>
        <v/>
      </c>
      <c r="AN20">
        <f>SUMIFS(T_Shipments[Confirmed_Qty],T_Shipments[Part Name],$A20,T_Shipments[Effective_Week],39)</f>
        <v/>
      </c>
      <c r="AO20">
        <f>SUMIFS(T_Shipments[Confirmed_Qty],T_Shipments[Part Name],$A20,T_Shipments[Effective_Week],40)</f>
        <v/>
      </c>
      <c r="AP20">
        <f>SUMIFS(T_Shipments[Confirmed_Qty],T_Shipments[Part Name],$A20,T_Shipments[Effective_Week],41)</f>
        <v/>
      </c>
      <c r="AQ20">
        <f>SUMIFS(T_Shipments[Confirmed_Qty],T_Shipments[Part Name],$A20,T_Shipments[Effective_Week],42)</f>
        <v/>
      </c>
      <c r="AR20">
        <f>SUMIFS(T_Shipments[Confirmed_Qty],T_Shipments[Part Name],$A20,T_Shipments[Effective_Week],43)</f>
        <v/>
      </c>
      <c r="AS20">
        <f>SUMIFS(T_Shipments[Confirmed_Qty],T_Shipments[Part Name],$A20,T_Shipments[Effective_Week],44)</f>
        <v/>
      </c>
      <c r="AT20">
        <f>SUMIFS(T_Shipments[Confirmed_Qty],T_Shipments[Part Name],$A20,T_Shipments[Effective_Week],45)</f>
        <v/>
      </c>
      <c r="AU20">
        <f>SUMIFS(T_Shipments[Confirmed_Qty],T_Shipments[Part Name],$A20,T_Shipments[Effective_Week],46)</f>
        <v/>
      </c>
      <c r="AV20">
        <f>SUMIFS(T_Shipments[Confirmed_Qty],T_Shipments[Part Name],$A20,T_Shipments[Effective_Week],47)</f>
        <v/>
      </c>
      <c r="AW20">
        <f>SUMIFS(T_Shipments[Confirmed_Qty],T_Shipments[Part Name],$A20,T_Shipments[Effective_Week],48)</f>
        <v/>
      </c>
      <c r="AX20">
        <f>SUMIFS(T_Shipments[Confirmed_Qty],T_Shipments[Part Name],$A20,T_Shipments[Effective_Week],49)</f>
        <v/>
      </c>
      <c r="AY20">
        <f>SUMIFS(T_Shipments[Confirmed_Qty],T_Shipments[Part Name],$A20,T_Shipments[Effective_Week],50)</f>
        <v/>
      </c>
      <c r="AZ20">
        <f>SUMIFS(T_Shipments[Confirmed_Qty],T_Shipments[Part Name],$A20,T_Shipments[Effective_Week],51)</f>
        <v/>
      </c>
      <c r="BA20">
        <f>SUMIFS(T_Shipments[Confirmed_Qty],T_Shipments[Part Name],$A20,T_Shipments[Effective_Week],52)</f>
        <v/>
      </c>
      <c r="BB20">
        <f>SUMIFS(T_Shipments[Confirmed_Qty],T_Shipments[Part Name],$A20,T_Shipments[Effective_Week],53)</f>
        <v/>
      </c>
      <c r="BC20">
        <f>SUMIFS(T_Shipments[Confirmed_Qty],T_Shipments[Part Name],$A20,T_Shipments[Effective_Week],54)</f>
        <v/>
      </c>
      <c r="BD20">
        <f>SUMIFS(T_Shipments[Confirmed_Qty],T_Shipments[Part Name],$A20,T_Shipments[Effective_Week],55)</f>
        <v/>
      </c>
      <c r="BE20">
        <f>SUMIFS(T_Shipments[Confirmed_Qty],T_Shipments[Part Name],$A20,T_Shipments[Effective_Week],56)</f>
        <v/>
      </c>
      <c r="BF20">
        <f>SUMIFS(T_Shipments[Confirmed_Qty],T_Shipments[Part Name],$A20,T_Shipments[Effective_Week],57)</f>
        <v/>
      </c>
      <c r="BG20">
        <f>SUMIFS(T_Shipments[Confirmed_Qty],T_Shipments[Part Name],$A20,T_Shipments[Effective_Week],58)</f>
        <v/>
      </c>
      <c r="BH20">
        <f>SUMIFS(T_Shipments[Confirmed_Qty],T_Shipments[Part Name],$A20,T_Shipments[Effective_Week],59)</f>
        <v/>
      </c>
      <c r="BI20">
        <f>SUMIFS(T_Shipments[Confirmed_Qty],T_Shipments[Part Name],$A20,T_Shipments[Effective_Week],60)</f>
        <v/>
      </c>
      <c r="BJ20">
        <f>SUMIFS(T_Shipments[Confirmed_Qty],T_Shipments[Part Name],$A20,T_Shipments[Effective_Week],61)</f>
        <v/>
      </c>
      <c r="BK20">
        <f>SUMIFS(T_Shipments[Confirmed_Qty],T_Shipments[Part Name],$A20,T_Shipments[Effective_Week],62)</f>
        <v/>
      </c>
      <c r="BL20">
        <f>SUMIFS(T_Shipments[Confirmed_Qty],T_Shipments[Part Name],$A20,T_Shipments[Effective_Week],63)</f>
        <v/>
      </c>
      <c r="BM20">
        <f>SUMIFS(T_Shipments[Confirmed_Qty],T_Shipments[Part Name],$A20,T_Shipments[Effective_Week],64)</f>
        <v/>
      </c>
      <c r="BN20">
        <f>SUMIFS(T_Shipments[Confirmed_Qty],T_Shipments[Part Name],$A20,T_Shipments[Effective_Week],65)</f>
        <v/>
      </c>
      <c r="BO20">
        <f>SUMIFS(T_Shipments[Confirmed_Qty],T_Shipments[Part Name],$A20,T_Shipments[Effective_Week],66)</f>
        <v/>
      </c>
      <c r="BP20">
        <f>SUMIFS(T_Shipments[Confirmed_Qty],T_Shipments[Part Name],$A20,T_Shipments[Effective_Week],67)</f>
        <v/>
      </c>
      <c r="BQ20">
        <f>SUMIFS(T_Shipments[Confirmed_Qty],T_Shipments[Part Name],$A20,T_Shipments[Effective_Week],68)</f>
        <v/>
      </c>
      <c r="BR20">
        <f>SUMIFS(T_Shipments[Confirmed_Qty],T_Shipments[Part Name],$A20,T_Shipments[Effective_Week],69)</f>
        <v/>
      </c>
      <c r="BS20">
        <f>SUMIFS(T_Shipments[Confirmed_Qty],T_Shipments[Part Name],$A20,T_Shipments[Effective_Week],70)</f>
        <v/>
      </c>
      <c r="BT20">
        <f>SUMIFS(T_Shipments[Confirmed_Qty],T_Shipments[Part Name],$A20,T_Shipments[Effective_Week],71)</f>
        <v/>
      </c>
      <c r="BU20">
        <f>SUMIFS(T_Shipments[Confirmed_Qty],T_Shipments[Part Name],$A20,T_Shipments[Effective_Week],72)</f>
        <v/>
      </c>
      <c r="BV20">
        <f>SUMIFS(T_Shipments[Confirmed_Qty],T_Shipments[Part Name],$A20,T_Shipments[Effective_Week],73)</f>
        <v/>
      </c>
      <c r="BW20">
        <f>SUMIFS(T_Shipments[Confirmed_Qty],T_Shipments[Part Name],$A20,T_Shipments[Effective_Week],74)</f>
        <v/>
      </c>
      <c r="BX20">
        <f>SUMIFS(T_Shipments[Confirmed_Qty],T_Shipments[Part Name],$A20,T_Shipments[Effective_Week],75)</f>
        <v/>
      </c>
      <c r="BY20">
        <f>SUMIFS(T_Shipments[Confirmed_Qty],T_Shipments[Part Name],$A20,T_Shipments[Effective_Week],76)</f>
        <v/>
      </c>
      <c r="BZ20">
        <f>SUMIFS(T_Shipments[Confirmed_Qty],T_Shipments[Part Name],$A20,T_Shipments[Effective_Week],77)</f>
        <v/>
      </c>
      <c r="CA20">
        <f>SUMIFS(T_Shipments[Confirmed_Qty],T_Shipments[Part Name],$A20,T_Shipments[Effective_Week],78)</f>
        <v/>
      </c>
      <c r="CB20">
        <f>SUMIFS(T_Shipments[Confirmed_Qty],T_Shipments[Part Name],$A20,T_Shipments[Effective_Week],79)</f>
        <v/>
      </c>
      <c r="CC20">
        <f>SUMIFS(T_Shipments[Confirmed_Qty],T_Shipments[Part Name],$A20,T_Shipments[Effective_Week],80)</f>
        <v/>
      </c>
      <c r="CD20">
        <f>SUMIFS(T_Shipments[Confirmed_Qty],T_Shipments[Part Name],$A20,T_Shipments[Effective_Week],81)</f>
        <v/>
      </c>
      <c r="CE20">
        <f>SUMIFS(T_Shipments[Confirmed_Qty],T_Shipments[Part Name],$A20,T_Shipments[Effective_Week],82)</f>
        <v/>
      </c>
      <c r="CF20">
        <f>SUMIFS(T_Shipments[Confirmed_Qty],T_Shipments[Part Name],$A20,T_Shipments[Effective_Week],83)</f>
        <v/>
      </c>
      <c r="CG20">
        <f>SUMIFS(T_Shipments[Confirmed_Qty],T_Shipments[Part Name],$A20,T_Shipments[Effective_Week],84)</f>
        <v/>
      </c>
      <c r="CH20">
        <f>SUMIFS(T_Shipments[Confirmed_Qty],T_Shipments[Part Name],$A20,T_Shipments[Effective_Week],85)</f>
        <v/>
      </c>
      <c r="CI20">
        <f>SUMIFS(T_Shipments[Confirmed_Qty],T_Shipments[Part Name],$A20,T_Shipments[Effective_Week],86)</f>
        <v/>
      </c>
      <c r="CJ20">
        <f>SUMIFS(T_Shipments[Confirmed_Qty],T_Shipments[Part Name],$A20,T_Shipments[Effective_Week],87)</f>
        <v/>
      </c>
      <c r="CK20">
        <f>SUMIFS(T_Shipments[Confirmed_Qty],T_Shipments[Part Name],$A20,T_Shipments[Effective_Week],88)</f>
        <v/>
      </c>
      <c r="CL20">
        <f>SUMIFS(T_Shipments[Confirmed_Qty],T_Shipments[Part Name],$A20,T_Shipments[Effective_Week],89)</f>
        <v/>
      </c>
      <c r="CM20">
        <f>SUMIFS(T_Shipments[Confirmed_Qty],T_Shipments[Part Name],$A20,T_Shipments[Effective_Week],90)</f>
        <v/>
      </c>
      <c r="CN20">
        <f>SUMIFS(T_Shipments[Confirmed_Qty],T_Shipments[Part Name],$A20,T_Shipments[Effective_Week],91)</f>
        <v/>
      </c>
      <c r="CO20">
        <f>SUMIFS(T_Shipments[Confirmed_Qty],T_Shipments[Part Name],$A20,T_Shipments[Effective_Week],92)</f>
        <v/>
      </c>
      <c r="CP20">
        <f>SUMIFS(T_Shipments[Confirmed_Qty],T_Shipments[Part Name],$A20,T_Shipments[Effective_Week],93)</f>
        <v/>
      </c>
      <c r="CQ20">
        <f>SUMIFS(T_Shipments[Confirmed_Qty],T_Shipments[Part Name],$A20,T_Shipments[Effective_Week],94)</f>
        <v/>
      </c>
      <c r="CR20">
        <f>SUMIFS(T_Shipments[Confirmed_Qty],T_Shipments[Part Name],$A20,T_Shipments[Effective_Week],95)</f>
        <v/>
      </c>
      <c r="CS20">
        <f>SUMIFS(T_Shipments[Confirmed_Qty],T_Shipments[Part Name],$A20,T_Shipments[Effective_Week],96)</f>
        <v/>
      </c>
      <c r="CT20">
        <f>SUMIFS(T_Shipments[Confirmed_Qty],T_Shipments[Part Name],$A20,T_Shipments[Effective_Week],97)</f>
        <v/>
      </c>
      <c r="CU20">
        <f>SUMIFS(T_Shipments[Confirmed_Qty],T_Shipments[Part Name],$A20,T_Shipments[Effective_Week],98)</f>
        <v/>
      </c>
      <c r="CV20">
        <f>SUMIFS(T_Shipments[Confirmed_Qty],T_Shipments[Part Name],$A20,T_Shipments[Effective_Week],99)</f>
        <v/>
      </c>
      <c r="CW20">
        <f>SUMIFS(T_Shipments[Confirmed_Qty],T_Shipments[Part Name],$A20,T_Shipments[Effective_Week],100)</f>
        <v/>
      </c>
      <c r="CX20">
        <f>SUMIFS(T_Shipments[Confirmed_Qty],T_Shipments[Part Name],$A20,T_Shipments[Effective_Week],101)</f>
        <v/>
      </c>
      <c r="CY20">
        <f>SUMIFS(T_Shipments[Confirmed_Qty],T_Shipments[Part Name],$A20,T_Shipments[Effective_Week],102)</f>
        <v/>
      </c>
      <c r="CZ20">
        <f>SUMIFS(T_Shipments[Confirmed_Qty],T_Shipments[Part Name],$A20,T_Shipments[Effective_Week],103)</f>
        <v/>
      </c>
      <c r="DA20">
        <f>SUMIFS(T_Shipments[Confirmed_Qty],T_Shipments[Part Name],$A20,T_Shipments[Effective_Week],104)</f>
        <v/>
      </c>
    </row>
    <row r="21">
      <c r="A21" t="inlineStr">
        <is>
          <t>CHEM-1240</t>
        </is>
      </c>
      <c r="B21">
        <f>SUMIFS(T_Shipments[Confirmed_Qty],T_Shipments[Part Name],$A21,T_Shipments[Effective_Week],1)</f>
        <v/>
      </c>
      <c r="C21">
        <f>SUMIFS(T_Shipments[Confirmed_Qty],T_Shipments[Part Name],$A21,T_Shipments[Effective_Week],2)</f>
        <v/>
      </c>
      <c r="D21">
        <f>SUMIFS(T_Shipments[Confirmed_Qty],T_Shipments[Part Name],$A21,T_Shipments[Effective_Week],3)</f>
        <v/>
      </c>
      <c r="E21">
        <f>SUMIFS(T_Shipments[Confirmed_Qty],T_Shipments[Part Name],$A21,T_Shipments[Effective_Week],4)</f>
        <v/>
      </c>
      <c r="F21">
        <f>SUMIFS(T_Shipments[Confirmed_Qty],T_Shipments[Part Name],$A21,T_Shipments[Effective_Week],5)</f>
        <v/>
      </c>
      <c r="G21">
        <f>SUMIFS(T_Shipments[Confirmed_Qty],T_Shipments[Part Name],$A21,T_Shipments[Effective_Week],6)</f>
        <v/>
      </c>
      <c r="H21">
        <f>SUMIFS(T_Shipments[Confirmed_Qty],T_Shipments[Part Name],$A21,T_Shipments[Effective_Week],7)</f>
        <v/>
      </c>
      <c r="I21">
        <f>SUMIFS(T_Shipments[Confirmed_Qty],T_Shipments[Part Name],$A21,T_Shipments[Effective_Week],8)</f>
        <v/>
      </c>
      <c r="J21">
        <f>SUMIFS(T_Shipments[Confirmed_Qty],T_Shipments[Part Name],$A21,T_Shipments[Effective_Week],9)</f>
        <v/>
      </c>
      <c r="K21">
        <f>SUMIFS(T_Shipments[Confirmed_Qty],T_Shipments[Part Name],$A21,T_Shipments[Effective_Week],10)</f>
        <v/>
      </c>
      <c r="L21">
        <f>SUMIFS(T_Shipments[Confirmed_Qty],T_Shipments[Part Name],$A21,T_Shipments[Effective_Week],11)</f>
        <v/>
      </c>
      <c r="M21">
        <f>SUMIFS(T_Shipments[Confirmed_Qty],T_Shipments[Part Name],$A21,T_Shipments[Effective_Week],12)</f>
        <v/>
      </c>
      <c r="N21">
        <f>SUMIFS(T_Shipments[Confirmed_Qty],T_Shipments[Part Name],$A21,T_Shipments[Effective_Week],13)</f>
        <v/>
      </c>
      <c r="O21">
        <f>SUMIFS(T_Shipments[Confirmed_Qty],T_Shipments[Part Name],$A21,T_Shipments[Effective_Week],14)</f>
        <v/>
      </c>
      <c r="P21">
        <f>SUMIFS(T_Shipments[Confirmed_Qty],T_Shipments[Part Name],$A21,T_Shipments[Effective_Week],15)</f>
        <v/>
      </c>
      <c r="Q21">
        <f>SUMIFS(T_Shipments[Confirmed_Qty],T_Shipments[Part Name],$A21,T_Shipments[Effective_Week],16)</f>
        <v/>
      </c>
      <c r="R21">
        <f>SUMIFS(T_Shipments[Confirmed_Qty],T_Shipments[Part Name],$A21,T_Shipments[Effective_Week],17)</f>
        <v/>
      </c>
      <c r="S21">
        <f>SUMIFS(T_Shipments[Confirmed_Qty],T_Shipments[Part Name],$A21,T_Shipments[Effective_Week],18)</f>
        <v/>
      </c>
      <c r="T21">
        <f>SUMIFS(T_Shipments[Confirmed_Qty],T_Shipments[Part Name],$A21,T_Shipments[Effective_Week],19)</f>
        <v/>
      </c>
      <c r="U21">
        <f>SUMIFS(T_Shipments[Confirmed_Qty],T_Shipments[Part Name],$A21,T_Shipments[Effective_Week],20)</f>
        <v/>
      </c>
      <c r="V21">
        <f>SUMIFS(T_Shipments[Confirmed_Qty],T_Shipments[Part Name],$A21,T_Shipments[Effective_Week],21)</f>
        <v/>
      </c>
      <c r="W21">
        <f>SUMIFS(T_Shipments[Confirmed_Qty],T_Shipments[Part Name],$A21,T_Shipments[Effective_Week],22)</f>
        <v/>
      </c>
      <c r="X21">
        <f>SUMIFS(T_Shipments[Confirmed_Qty],T_Shipments[Part Name],$A21,T_Shipments[Effective_Week],23)</f>
        <v/>
      </c>
      <c r="Y21">
        <f>SUMIFS(T_Shipments[Confirmed_Qty],T_Shipments[Part Name],$A21,T_Shipments[Effective_Week],24)</f>
        <v/>
      </c>
      <c r="Z21">
        <f>SUMIFS(T_Shipments[Confirmed_Qty],T_Shipments[Part Name],$A21,T_Shipments[Effective_Week],25)</f>
        <v/>
      </c>
      <c r="AA21">
        <f>SUMIFS(T_Shipments[Confirmed_Qty],T_Shipments[Part Name],$A21,T_Shipments[Effective_Week],26)</f>
        <v/>
      </c>
      <c r="AB21">
        <f>SUMIFS(T_Shipments[Confirmed_Qty],T_Shipments[Part Name],$A21,T_Shipments[Effective_Week],27)</f>
        <v/>
      </c>
      <c r="AC21">
        <f>SUMIFS(T_Shipments[Confirmed_Qty],T_Shipments[Part Name],$A21,T_Shipments[Effective_Week],28)</f>
        <v/>
      </c>
      <c r="AD21">
        <f>SUMIFS(T_Shipments[Confirmed_Qty],T_Shipments[Part Name],$A21,T_Shipments[Effective_Week],29)</f>
        <v/>
      </c>
      <c r="AE21">
        <f>SUMIFS(T_Shipments[Confirmed_Qty],T_Shipments[Part Name],$A21,T_Shipments[Effective_Week],30)</f>
        <v/>
      </c>
      <c r="AF21">
        <f>SUMIFS(T_Shipments[Confirmed_Qty],T_Shipments[Part Name],$A21,T_Shipments[Effective_Week],31)</f>
        <v/>
      </c>
      <c r="AG21">
        <f>SUMIFS(T_Shipments[Confirmed_Qty],T_Shipments[Part Name],$A21,T_Shipments[Effective_Week],32)</f>
        <v/>
      </c>
      <c r="AH21">
        <f>SUMIFS(T_Shipments[Confirmed_Qty],T_Shipments[Part Name],$A21,T_Shipments[Effective_Week],33)</f>
        <v/>
      </c>
      <c r="AI21">
        <f>SUMIFS(T_Shipments[Confirmed_Qty],T_Shipments[Part Name],$A21,T_Shipments[Effective_Week],34)</f>
        <v/>
      </c>
      <c r="AJ21">
        <f>SUMIFS(T_Shipments[Confirmed_Qty],T_Shipments[Part Name],$A21,T_Shipments[Effective_Week],35)</f>
        <v/>
      </c>
      <c r="AK21">
        <f>SUMIFS(T_Shipments[Confirmed_Qty],T_Shipments[Part Name],$A21,T_Shipments[Effective_Week],36)</f>
        <v/>
      </c>
      <c r="AL21">
        <f>SUMIFS(T_Shipments[Confirmed_Qty],T_Shipments[Part Name],$A21,T_Shipments[Effective_Week],37)</f>
        <v/>
      </c>
      <c r="AM21">
        <f>SUMIFS(T_Shipments[Confirmed_Qty],T_Shipments[Part Name],$A21,T_Shipments[Effective_Week],38)</f>
        <v/>
      </c>
      <c r="AN21">
        <f>SUMIFS(T_Shipments[Confirmed_Qty],T_Shipments[Part Name],$A21,T_Shipments[Effective_Week],39)</f>
        <v/>
      </c>
      <c r="AO21">
        <f>SUMIFS(T_Shipments[Confirmed_Qty],T_Shipments[Part Name],$A21,T_Shipments[Effective_Week],40)</f>
        <v/>
      </c>
      <c r="AP21">
        <f>SUMIFS(T_Shipments[Confirmed_Qty],T_Shipments[Part Name],$A21,T_Shipments[Effective_Week],41)</f>
        <v/>
      </c>
      <c r="AQ21">
        <f>SUMIFS(T_Shipments[Confirmed_Qty],T_Shipments[Part Name],$A21,T_Shipments[Effective_Week],42)</f>
        <v/>
      </c>
      <c r="AR21">
        <f>SUMIFS(T_Shipments[Confirmed_Qty],T_Shipments[Part Name],$A21,T_Shipments[Effective_Week],43)</f>
        <v/>
      </c>
      <c r="AS21">
        <f>SUMIFS(T_Shipments[Confirmed_Qty],T_Shipments[Part Name],$A21,T_Shipments[Effective_Week],44)</f>
        <v/>
      </c>
      <c r="AT21">
        <f>SUMIFS(T_Shipments[Confirmed_Qty],T_Shipments[Part Name],$A21,T_Shipments[Effective_Week],45)</f>
        <v/>
      </c>
      <c r="AU21">
        <f>SUMIFS(T_Shipments[Confirmed_Qty],T_Shipments[Part Name],$A21,T_Shipments[Effective_Week],46)</f>
        <v/>
      </c>
      <c r="AV21">
        <f>SUMIFS(T_Shipments[Confirmed_Qty],T_Shipments[Part Name],$A21,T_Shipments[Effective_Week],47)</f>
        <v/>
      </c>
      <c r="AW21">
        <f>SUMIFS(T_Shipments[Confirmed_Qty],T_Shipments[Part Name],$A21,T_Shipments[Effective_Week],48)</f>
        <v/>
      </c>
      <c r="AX21">
        <f>SUMIFS(T_Shipments[Confirmed_Qty],T_Shipments[Part Name],$A21,T_Shipments[Effective_Week],49)</f>
        <v/>
      </c>
      <c r="AY21">
        <f>SUMIFS(T_Shipments[Confirmed_Qty],T_Shipments[Part Name],$A21,T_Shipments[Effective_Week],50)</f>
        <v/>
      </c>
      <c r="AZ21">
        <f>SUMIFS(T_Shipments[Confirmed_Qty],T_Shipments[Part Name],$A21,T_Shipments[Effective_Week],51)</f>
        <v/>
      </c>
      <c r="BA21">
        <f>SUMIFS(T_Shipments[Confirmed_Qty],T_Shipments[Part Name],$A21,T_Shipments[Effective_Week],52)</f>
        <v/>
      </c>
      <c r="BB21">
        <f>SUMIFS(T_Shipments[Confirmed_Qty],T_Shipments[Part Name],$A21,T_Shipments[Effective_Week],53)</f>
        <v/>
      </c>
      <c r="BC21">
        <f>SUMIFS(T_Shipments[Confirmed_Qty],T_Shipments[Part Name],$A21,T_Shipments[Effective_Week],54)</f>
        <v/>
      </c>
      <c r="BD21">
        <f>SUMIFS(T_Shipments[Confirmed_Qty],T_Shipments[Part Name],$A21,T_Shipments[Effective_Week],55)</f>
        <v/>
      </c>
      <c r="BE21">
        <f>SUMIFS(T_Shipments[Confirmed_Qty],T_Shipments[Part Name],$A21,T_Shipments[Effective_Week],56)</f>
        <v/>
      </c>
      <c r="BF21">
        <f>SUMIFS(T_Shipments[Confirmed_Qty],T_Shipments[Part Name],$A21,T_Shipments[Effective_Week],57)</f>
        <v/>
      </c>
      <c r="BG21">
        <f>SUMIFS(T_Shipments[Confirmed_Qty],T_Shipments[Part Name],$A21,T_Shipments[Effective_Week],58)</f>
        <v/>
      </c>
      <c r="BH21">
        <f>SUMIFS(T_Shipments[Confirmed_Qty],T_Shipments[Part Name],$A21,T_Shipments[Effective_Week],59)</f>
        <v/>
      </c>
      <c r="BI21">
        <f>SUMIFS(T_Shipments[Confirmed_Qty],T_Shipments[Part Name],$A21,T_Shipments[Effective_Week],60)</f>
        <v/>
      </c>
      <c r="BJ21">
        <f>SUMIFS(T_Shipments[Confirmed_Qty],T_Shipments[Part Name],$A21,T_Shipments[Effective_Week],61)</f>
        <v/>
      </c>
      <c r="BK21">
        <f>SUMIFS(T_Shipments[Confirmed_Qty],T_Shipments[Part Name],$A21,T_Shipments[Effective_Week],62)</f>
        <v/>
      </c>
      <c r="BL21">
        <f>SUMIFS(T_Shipments[Confirmed_Qty],T_Shipments[Part Name],$A21,T_Shipments[Effective_Week],63)</f>
        <v/>
      </c>
      <c r="BM21">
        <f>SUMIFS(T_Shipments[Confirmed_Qty],T_Shipments[Part Name],$A21,T_Shipments[Effective_Week],64)</f>
        <v/>
      </c>
      <c r="BN21">
        <f>SUMIFS(T_Shipments[Confirmed_Qty],T_Shipments[Part Name],$A21,T_Shipments[Effective_Week],65)</f>
        <v/>
      </c>
      <c r="BO21">
        <f>SUMIFS(T_Shipments[Confirmed_Qty],T_Shipments[Part Name],$A21,T_Shipments[Effective_Week],66)</f>
        <v/>
      </c>
      <c r="BP21">
        <f>SUMIFS(T_Shipments[Confirmed_Qty],T_Shipments[Part Name],$A21,T_Shipments[Effective_Week],67)</f>
        <v/>
      </c>
      <c r="BQ21">
        <f>SUMIFS(T_Shipments[Confirmed_Qty],T_Shipments[Part Name],$A21,T_Shipments[Effective_Week],68)</f>
        <v/>
      </c>
      <c r="BR21">
        <f>SUMIFS(T_Shipments[Confirmed_Qty],T_Shipments[Part Name],$A21,T_Shipments[Effective_Week],69)</f>
        <v/>
      </c>
      <c r="BS21">
        <f>SUMIFS(T_Shipments[Confirmed_Qty],T_Shipments[Part Name],$A21,T_Shipments[Effective_Week],70)</f>
        <v/>
      </c>
      <c r="BT21">
        <f>SUMIFS(T_Shipments[Confirmed_Qty],T_Shipments[Part Name],$A21,T_Shipments[Effective_Week],71)</f>
        <v/>
      </c>
      <c r="BU21">
        <f>SUMIFS(T_Shipments[Confirmed_Qty],T_Shipments[Part Name],$A21,T_Shipments[Effective_Week],72)</f>
        <v/>
      </c>
      <c r="BV21">
        <f>SUMIFS(T_Shipments[Confirmed_Qty],T_Shipments[Part Name],$A21,T_Shipments[Effective_Week],73)</f>
        <v/>
      </c>
      <c r="BW21">
        <f>SUMIFS(T_Shipments[Confirmed_Qty],T_Shipments[Part Name],$A21,T_Shipments[Effective_Week],74)</f>
        <v/>
      </c>
      <c r="BX21">
        <f>SUMIFS(T_Shipments[Confirmed_Qty],T_Shipments[Part Name],$A21,T_Shipments[Effective_Week],75)</f>
        <v/>
      </c>
      <c r="BY21">
        <f>SUMIFS(T_Shipments[Confirmed_Qty],T_Shipments[Part Name],$A21,T_Shipments[Effective_Week],76)</f>
        <v/>
      </c>
      <c r="BZ21">
        <f>SUMIFS(T_Shipments[Confirmed_Qty],T_Shipments[Part Name],$A21,T_Shipments[Effective_Week],77)</f>
        <v/>
      </c>
      <c r="CA21">
        <f>SUMIFS(T_Shipments[Confirmed_Qty],T_Shipments[Part Name],$A21,T_Shipments[Effective_Week],78)</f>
        <v/>
      </c>
      <c r="CB21">
        <f>SUMIFS(T_Shipments[Confirmed_Qty],T_Shipments[Part Name],$A21,T_Shipments[Effective_Week],79)</f>
        <v/>
      </c>
      <c r="CC21">
        <f>SUMIFS(T_Shipments[Confirmed_Qty],T_Shipments[Part Name],$A21,T_Shipments[Effective_Week],80)</f>
        <v/>
      </c>
      <c r="CD21">
        <f>SUMIFS(T_Shipments[Confirmed_Qty],T_Shipments[Part Name],$A21,T_Shipments[Effective_Week],81)</f>
        <v/>
      </c>
      <c r="CE21">
        <f>SUMIFS(T_Shipments[Confirmed_Qty],T_Shipments[Part Name],$A21,T_Shipments[Effective_Week],82)</f>
        <v/>
      </c>
      <c r="CF21">
        <f>SUMIFS(T_Shipments[Confirmed_Qty],T_Shipments[Part Name],$A21,T_Shipments[Effective_Week],83)</f>
        <v/>
      </c>
      <c r="CG21">
        <f>SUMIFS(T_Shipments[Confirmed_Qty],T_Shipments[Part Name],$A21,T_Shipments[Effective_Week],84)</f>
        <v/>
      </c>
      <c r="CH21">
        <f>SUMIFS(T_Shipments[Confirmed_Qty],T_Shipments[Part Name],$A21,T_Shipments[Effective_Week],85)</f>
        <v/>
      </c>
      <c r="CI21">
        <f>SUMIFS(T_Shipments[Confirmed_Qty],T_Shipments[Part Name],$A21,T_Shipments[Effective_Week],86)</f>
        <v/>
      </c>
      <c r="CJ21">
        <f>SUMIFS(T_Shipments[Confirmed_Qty],T_Shipments[Part Name],$A21,T_Shipments[Effective_Week],87)</f>
        <v/>
      </c>
      <c r="CK21">
        <f>SUMIFS(T_Shipments[Confirmed_Qty],T_Shipments[Part Name],$A21,T_Shipments[Effective_Week],88)</f>
        <v/>
      </c>
      <c r="CL21">
        <f>SUMIFS(T_Shipments[Confirmed_Qty],T_Shipments[Part Name],$A21,T_Shipments[Effective_Week],89)</f>
        <v/>
      </c>
      <c r="CM21">
        <f>SUMIFS(T_Shipments[Confirmed_Qty],T_Shipments[Part Name],$A21,T_Shipments[Effective_Week],90)</f>
        <v/>
      </c>
      <c r="CN21">
        <f>SUMIFS(T_Shipments[Confirmed_Qty],T_Shipments[Part Name],$A21,T_Shipments[Effective_Week],91)</f>
        <v/>
      </c>
      <c r="CO21">
        <f>SUMIFS(T_Shipments[Confirmed_Qty],T_Shipments[Part Name],$A21,T_Shipments[Effective_Week],92)</f>
        <v/>
      </c>
      <c r="CP21">
        <f>SUMIFS(T_Shipments[Confirmed_Qty],T_Shipments[Part Name],$A21,T_Shipments[Effective_Week],93)</f>
        <v/>
      </c>
      <c r="CQ21">
        <f>SUMIFS(T_Shipments[Confirmed_Qty],T_Shipments[Part Name],$A21,T_Shipments[Effective_Week],94)</f>
        <v/>
      </c>
      <c r="CR21">
        <f>SUMIFS(T_Shipments[Confirmed_Qty],T_Shipments[Part Name],$A21,T_Shipments[Effective_Week],95)</f>
        <v/>
      </c>
      <c r="CS21">
        <f>SUMIFS(T_Shipments[Confirmed_Qty],T_Shipments[Part Name],$A21,T_Shipments[Effective_Week],96)</f>
        <v/>
      </c>
      <c r="CT21">
        <f>SUMIFS(T_Shipments[Confirmed_Qty],T_Shipments[Part Name],$A21,T_Shipments[Effective_Week],97)</f>
        <v/>
      </c>
      <c r="CU21">
        <f>SUMIFS(T_Shipments[Confirmed_Qty],T_Shipments[Part Name],$A21,T_Shipments[Effective_Week],98)</f>
        <v/>
      </c>
      <c r="CV21">
        <f>SUMIFS(T_Shipments[Confirmed_Qty],T_Shipments[Part Name],$A21,T_Shipments[Effective_Week],99)</f>
        <v/>
      </c>
      <c r="CW21">
        <f>SUMIFS(T_Shipments[Confirmed_Qty],T_Shipments[Part Name],$A21,T_Shipments[Effective_Week],100)</f>
        <v/>
      </c>
      <c r="CX21">
        <f>SUMIFS(T_Shipments[Confirmed_Qty],T_Shipments[Part Name],$A21,T_Shipments[Effective_Week],101)</f>
        <v/>
      </c>
      <c r="CY21">
        <f>SUMIFS(T_Shipments[Confirmed_Qty],T_Shipments[Part Name],$A21,T_Shipments[Effective_Week],102)</f>
        <v/>
      </c>
      <c r="CZ21">
        <f>SUMIFS(T_Shipments[Confirmed_Qty],T_Shipments[Part Name],$A21,T_Shipments[Effective_Week],103)</f>
        <v/>
      </c>
      <c r="DA21">
        <f>SUMIFS(T_Shipments[Confirmed_Qty],T_Shipments[Part Name],$A21,T_Shipments[Effective_Week],104)</f>
        <v/>
      </c>
    </row>
    <row r="22">
      <c r="A22" t="inlineStr">
        <is>
          <t>0JN</t>
        </is>
      </c>
      <c r="B22">
        <f>SUMIFS(T_Shipments[Confirmed_Qty],T_Shipments[Part Name],$A22,T_Shipments[Effective_Week],1)</f>
        <v/>
      </c>
      <c r="C22">
        <f>SUMIFS(T_Shipments[Confirmed_Qty],T_Shipments[Part Name],$A22,T_Shipments[Effective_Week],2)</f>
        <v/>
      </c>
      <c r="D22">
        <f>SUMIFS(T_Shipments[Confirmed_Qty],T_Shipments[Part Name],$A22,T_Shipments[Effective_Week],3)</f>
        <v/>
      </c>
      <c r="E22">
        <f>SUMIFS(T_Shipments[Confirmed_Qty],T_Shipments[Part Name],$A22,T_Shipments[Effective_Week],4)</f>
        <v/>
      </c>
      <c r="F22">
        <f>SUMIFS(T_Shipments[Confirmed_Qty],T_Shipments[Part Name],$A22,T_Shipments[Effective_Week],5)</f>
        <v/>
      </c>
      <c r="G22">
        <f>SUMIFS(T_Shipments[Confirmed_Qty],T_Shipments[Part Name],$A22,T_Shipments[Effective_Week],6)</f>
        <v/>
      </c>
      <c r="H22">
        <f>SUMIFS(T_Shipments[Confirmed_Qty],T_Shipments[Part Name],$A22,T_Shipments[Effective_Week],7)</f>
        <v/>
      </c>
      <c r="I22">
        <f>SUMIFS(T_Shipments[Confirmed_Qty],T_Shipments[Part Name],$A22,T_Shipments[Effective_Week],8)</f>
        <v/>
      </c>
      <c r="J22">
        <f>SUMIFS(T_Shipments[Confirmed_Qty],T_Shipments[Part Name],$A22,T_Shipments[Effective_Week],9)</f>
        <v/>
      </c>
      <c r="K22">
        <f>SUMIFS(T_Shipments[Confirmed_Qty],T_Shipments[Part Name],$A22,T_Shipments[Effective_Week],10)</f>
        <v/>
      </c>
      <c r="L22">
        <f>SUMIFS(T_Shipments[Confirmed_Qty],T_Shipments[Part Name],$A22,T_Shipments[Effective_Week],11)</f>
        <v/>
      </c>
      <c r="M22">
        <f>SUMIFS(T_Shipments[Confirmed_Qty],T_Shipments[Part Name],$A22,T_Shipments[Effective_Week],12)</f>
        <v/>
      </c>
      <c r="N22">
        <f>SUMIFS(T_Shipments[Confirmed_Qty],T_Shipments[Part Name],$A22,T_Shipments[Effective_Week],13)</f>
        <v/>
      </c>
      <c r="O22">
        <f>SUMIFS(T_Shipments[Confirmed_Qty],T_Shipments[Part Name],$A22,T_Shipments[Effective_Week],14)</f>
        <v/>
      </c>
      <c r="P22">
        <f>SUMIFS(T_Shipments[Confirmed_Qty],T_Shipments[Part Name],$A22,T_Shipments[Effective_Week],15)</f>
        <v/>
      </c>
      <c r="Q22">
        <f>SUMIFS(T_Shipments[Confirmed_Qty],T_Shipments[Part Name],$A22,T_Shipments[Effective_Week],16)</f>
        <v/>
      </c>
      <c r="R22">
        <f>SUMIFS(T_Shipments[Confirmed_Qty],T_Shipments[Part Name],$A22,T_Shipments[Effective_Week],17)</f>
        <v/>
      </c>
      <c r="S22">
        <f>SUMIFS(T_Shipments[Confirmed_Qty],T_Shipments[Part Name],$A22,T_Shipments[Effective_Week],18)</f>
        <v/>
      </c>
      <c r="T22">
        <f>SUMIFS(T_Shipments[Confirmed_Qty],T_Shipments[Part Name],$A22,T_Shipments[Effective_Week],19)</f>
        <v/>
      </c>
      <c r="U22">
        <f>SUMIFS(T_Shipments[Confirmed_Qty],T_Shipments[Part Name],$A22,T_Shipments[Effective_Week],20)</f>
        <v/>
      </c>
      <c r="V22">
        <f>SUMIFS(T_Shipments[Confirmed_Qty],T_Shipments[Part Name],$A22,T_Shipments[Effective_Week],21)</f>
        <v/>
      </c>
      <c r="W22">
        <f>SUMIFS(T_Shipments[Confirmed_Qty],T_Shipments[Part Name],$A22,T_Shipments[Effective_Week],22)</f>
        <v/>
      </c>
      <c r="X22">
        <f>SUMIFS(T_Shipments[Confirmed_Qty],T_Shipments[Part Name],$A22,T_Shipments[Effective_Week],23)</f>
        <v/>
      </c>
      <c r="Y22">
        <f>SUMIFS(T_Shipments[Confirmed_Qty],T_Shipments[Part Name],$A22,T_Shipments[Effective_Week],24)</f>
        <v/>
      </c>
      <c r="Z22">
        <f>SUMIFS(T_Shipments[Confirmed_Qty],T_Shipments[Part Name],$A22,T_Shipments[Effective_Week],25)</f>
        <v/>
      </c>
      <c r="AA22">
        <f>SUMIFS(T_Shipments[Confirmed_Qty],T_Shipments[Part Name],$A22,T_Shipments[Effective_Week],26)</f>
        <v/>
      </c>
      <c r="AB22">
        <f>SUMIFS(T_Shipments[Confirmed_Qty],T_Shipments[Part Name],$A22,T_Shipments[Effective_Week],27)</f>
        <v/>
      </c>
      <c r="AC22">
        <f>SUMIFS(T_Shipments[Confirmed_Qty],T_Shipments[Part Name],$A22,T_Shipments[Effective_Week],28)</f>
        <v/>
      </c>
      <c r="AD22">
        <f>SUMIFS(T_Shipments[Confirmed_Qty],T_Shipments[Part Name],$A22,T_Shipments[Effective_Week],29)</f>
        <v/>
      </c>
      <c r="AE22">
        <f>SUMIFS(T_Shipments[Confirmed_Qty],T_Shipments[Part Name],$A22,T_Shipments[Effective_Week],30)</f>
        <v/>
      </c>
      <c r="AF22">
        <f>SUMIFS(T_Shipments[Confirmed_Qty],T_Shipments[Part Name],$A22,T_Shipments[Effective_Week],31)</f>
        <v/>
      </c>
      <c r="AG22">
        <f>SUMIFS(T_Shipments[Confirmed_Qty],T_Shipments[Part Name],$A22,T_Shipments[Effective_Week],32)</f>
        <v/>
      </c>
      <c r="AH22">
        <f>SUMIFS(T_Shipments[Confirmed_Qty],T_Shipments[Part Name],$A22,T_Shipments[Effective_Week],33)</f>
        <v/>
      </c>
      <c r="AI22">
        <f>SUMIFS(T_Shipments[Confirmed_Qty],T_Shipments[Part Name],$A22,T_Shipments[Effective_Week],34)</f>
        <v/>
      </c>
      <c r="AJ22">
        <f>SUMIFS(T_Shipments[Confirmed_Qty],T_Shipments[Part Name],$A22,T_Shipments[Effective_Week],35)</f>
        <v/>
      </c>
      <c r="AK22">
        <f>SUMIFS(T_Shipments[Confirmed_Qty],T_Shipments[Part Name],$A22,T_Shipments[Effective_Week],36)</f>
        <v/>
      </c>
      <c r="AL22">
        <f>SUMIFS(T_Shipments[Confirmed_Qty],T_Shipments[Part Name],$A22,T_Shipments[Effective_Week],37)</f>
        <v/>
      </c>
      <c r="AM22">
        <f>SUMIFS(T_Shipments[Confirmed_Qty],T_Shipments[Part Name],$A22,T_Shipments[Effective_Week],38)</f>
        <v/>
      </c>
      <c r="AN22">
        <f>SUMIFS(T_Shipments[Confirmed_Qty],T_Shipments[Part Name],$A22,T_Shipments[Effective_Week],39)</f>
        <v/>
      </c>
      <c r="AO22">
        <f>SUMIFS(T_Shipments[Confirmed_Qty],T_Shipments[Part Name],$A22,T_Shipments[Effective_Week],40)</f>
        <v/>
      </c>
      <c r="AP22">
        <f>SUMIFS(T_Shipments[Confirmed_Qty],T_Shipments[Part Name],$A22,T_Shipments[Effective_Week],41)</f>
        <v/>
      </c>
      <c r="AQ22">
        <f>SUMIFS(T_Shipments[Confirmed_Qty],T_Shipments[Part Name],$A22,T_Shipments[Effective_Week],42)</f>
        <v/>
      </c>
      <c r="AR22">
        <f>SUMIFS(T_Shipments[Confirmed_Qty],T_Shipments[Part Name],$A22,T_Shipments[Effective_Week],43)</f>
        <v/>
      </c>
      <c r="AS22">
        <f>SUMIFS(T_Shipments[Confirmed_Qty],T_Shipments[Part Name],$A22,T_Shipments[Effective_Week],44)</f>
        <v/>
      </c>
      <c r="AT22">
        <f>SUMIFS(T_Shipments[Confirmed_Qty],T_Shipments[Part Name],$A22,T_Shipments[Effective_Week],45)</f>
        <v/>
      </c>
      <c r="AU22">
        <f>SUMIFS(T_Shipments[Confirmed_Qty],T_Shipments[Part Name],$A22,T_Shipments[Effective_Week],46)</f>
        <v/>
      </c>
      <c r="AV22">
        <f>SUMIFS(T_Shipments[Confirmed_Qty],T_Shipments[Part Name],$A22,T_Shipments[Effective_Week],47)</f>
        <v/>
      </c>
      <c r="AW22">
        <f>SUMIFS(T_Shipments[Confirmed_Qty],T_Shipments[Part Name],$A22,T_Shipments[Effective_Week],48)</f>
        <v/>
      </c>
      <c r="AX22">
        <f>SUMIFS(T_Shipments[Confirmed_Qty],T_Shipments[Part Name],$A22,T_Shipments[Effective_Week],49)</f>
        <v/>
      </c>
      <c r="AY22">
        <f>SUMIFS(T_Shipments[Confirmed_Qty],T_Shipments[Part Name],$A22,T_Shipments[Effective_Week],50)</f>
        <v/>
      </c>
      <c r="AZ22">
        <f>SUMIFS(T_Shipments[Confirmed_Qty],T_Shipments[Part Name],$A22,T_Shipments[Effective_Week],51)</f>
        <v/>
      </c>
      <c r="BA22">
        <f>SUMIFS(T_Shipments[Confirmed_Qty],T_Shipments[Part Name],$A22,T_Shipments[Effective_Week],52)</f>
        <v/>
      </c>
      <c r="BB22">
        <f>SUMIFS(T_Shipments[Confirmed_Qty],T_Shipments[Part Name],$A22,T_Shipments[Effective_Week],53)</f>
        <v/>
      </c>
      <c r="BC22">
        <f>SUMIFS(T_Shipments[Confirmed_Qty],T_Shipments[Part Name],$A22,T_Shipments[Effective_Week],54)</f>
        <v/>
      </c>
      <c r="BD22">
        <f>SUMIFS(T_Shipments[Confirmed_Qty],T_Shipments[Part Name],$A22,T_Shipments[Effective_Week],55)</f>
        <v/>
      </c>
      <c r="BE22">
        <f>SUMIFS(T_Shipments[Confirmed_Qty],T_Shipments[Part Name],$A22,T_Shipments[Effective_Week],56)</f>
        <v/>
      </c>
      <c r="BF22">
        <f>SUMIFS(T_Shipments[Confirmed_Qty],T_Shipments[Part Name],$A22,T_Shipments[Effective_Week],57)</f>
        <v/>
      </c>
      <c r="BG22">
        <f>SUMIFS(T_Shipments[Confirmed_Qty],T_Shipments[Part Name],$A22,T_Shipments[Effective_Week],58)</f>
        <v/>
      </c>
      <c r="BH22">
        <f>SUMIFS(T_Shipments[Confirmed_Qty],T_Shipments[Part Name],$A22,T_Shipments[Effective_Week],59)</f>
        <v/>
      </c>
      <c r="BI22">
        <f>SUMIFS(T_Shipments[Confirmed_Qty],T_Shipments[Part Name],$A22,T_Shipments[Effective_Week],60)</f>
        <v/>
      </c>
      <c r="BJ22">
        <f>SUMIFS(T_Shipments[Confirmed_Qty],T_Shipments[Part Name],$A22,T_Shipments[Effective_Week],61)</f>
        <v/>
      </c>
      <c r="BK22">
        <f>SUMIFS(T_Shipments[Confirmed_Qty],T_Shipments[Part Name],$A22,T_Shipments[Effective_Week],62)</f>
        <v/>
      </c>
      <c r="BL22">
        <f>SUMIFS(T_Shipments[Confirmed_Qty],T_Shipments[Part Name],$A22,T_Shipments[Effective_Week],63)</f>
        <v/>
      </c>
      <c r="BM22">
        <f>SUMIFS(T_Shipments[Confirmed_Qty],T_Shipments[Part Name],$A22,T_Shipments[Effective_Week],64)</f>
        <v/>
      </c>
      <c r="BN22">
        <f>SUMIFS(T_Shipments[Confirmed_Qty],T_Shipments[Part Name],$A22,T_Shipments[Effective_Week],65)</f>
        <v/>
      </c>
      <c r="BO22">
        <f>SUMIFS(T_Shipments[Confirmed_Qty],T_Shipments[Part Name],$A22,T_Shipments[Effective_Week],66)</f>
        <v/>
      </c>
      <c r="BP22">
        <f>SUMIFS(T_Shipments[Confirmed_Qty],T_Shipments[Part Name],$A22,T_Shipments[Effective_Week],67)</f>
        <v/>
      </c>
      <c r="BQ22">
        <f>SUMIFS(T_Shipments[Confirmed_Qty],T_Shipments[Part Name],$A22,T_Shipments[Effective_Week],68)</f>
        <v/>
      </c>
      <c r="BR22">
        <f>SUMIFS(T_Shipments[Confirmed_Qty],T_Shipments[Part Name],$A22,T_Shipments[Effective_Week],69)</f>
        <v/>
      </c>
      <c r="BS22">
        <f>SUMIFS(T_Shipments[Confirmed_Qty],T_Shipments[Part Name],$A22,T_Shipments[Effective_Week],70)</f>
        <v/>
      </c>
      <c r="BT22">
        <f>SUMIFS(T_Shipments[Confirmed_Qty],T_Shipments[Part Name],$A22,T_Shipments[Effective_Week],71)</f>
        <v/>
      </c>
      <c r="BU22">
        <f>SUMIFS(T_Shipments[Confirmed_Qty],T_Shipments[Part Name],$A22,T_Shipments[Effective_Week],72)</f>
        <v/>
      </c>
      <c r="BV22">
        <f>SUMIFS(T_Shipments[Confirmed_Qty],T_Shipments[Part Name],$A22,T_Shipments[Effective_Week],73)</f>
        <v/>
      </c>
      <c r="BW22">
        <f>SUMIFS(T_Shipments[Confirmed_Qty],T_Shipments[Part Name],$A22,T_Shipments[Effective_Week],74)</f>
        <v/>
      </c>
      <c r="BX22">
        <f>SUMIFS(T_Shipments[Confirmed_Qty],T_Shipments[Part Name],$A22,T_Shipments[Effective_Week],75)</f>
        <v/>
      </c>
      <c r="BY22">
        <f>SUMIFS(T_Shipments[Confirmed_Qty],T_Shipments[Part Name],$A22,T_Shipments[Effective_Week],76)</f>
        <v/>
      </c>
      <c r="BZ22">
        <f>SUMIFS(T_Shipments[Confirmed_Qty],T_Shipments[Part Name],$A22,T_Shipments[Effective_Week],77)</f>
        <v/>
      </c>
      <c r="CA22">
        <f>SUMIFS(T_Shipments[Confirmed_Qty],T_Shipments[Part Name],$A22,T_Shipments[Effective_Week],78)</f>
        <v/>
      </c>
      <c r="CB22">
        <f>SUMIFS(T_Shipments[Confirmed_Qty],T_Shipments[Part Name],$A22,T_Shipments[Effective_Week],79)</f>
        <v/>
      </c>
      <c r="CC22">
        <f>SUMIFS(T_Shipments[Confirmed_Qty],T_Shipments[Part Name],$A22,T_Shipments[Effective_Week],80)</f>
        <v/>
      </c>
      <c r="CD22">
        <f>SUMIFS(T_Shipments[Confirmed_Qty],T_Shipments[Part Name],$A22,T_Shipments[Effective_Week],81)</f>
        <v/>
      </c>
      <c r="CE22">
        <f>SUMIFS(T_Shipments[Confirmed_Qty],T_Shipments[Part Name],$A22,T_Shipments[Effective_Week],82)</f>
        <v/>
      </c>
      <c r="CF22">
        <f>SUMIFS(T_Shipments[Confirmed_Qty],T_Shipments[Part Name],$A22,T_Shipments[Effective_Week],83)</f>
        <v/>
      </c>
      <c r="CG22">
        <f>SUMIFS(T_Shipments[Confirmed_Qty],T_Shipments[Part Name],$A22,T_Shipments[Effective_Week],84)</f>
        <v/>
      </c>
      <c r="CH22">
        <f>SUMIFS(T_Shipments[Confirmed_Qty],T_Shipments[Part Name],$A22,T_Shipments[Effective_Week],85)</f>
        <v/>
      </c>
      <c r="CI22">
        <f>SUMIFS(T_Shipments[Confirmed_Qty],T_Shipments[Part Name],$A22,T_Shipments[Effective_Week],86)</f>
        <v/>
      </c>
      <c r="CJ22">
        <f>SUMIFS(T_Shipments[Confirmed_Qty],T_Shipments[Part Name],$A22,T_Shipments[Effective_Week],87)</f>
        <v/>
      </c>
      <c r="CK22">
        <f>SUMIFS(T_Shipments[Confirmed_Qty],T_Shipments[Part Name],$A22,T_Shipments[Effective_Week],88)</f>
        <v/>
      </c>
      <c r="CL22">
        <f>SUMIFS(T_Shipments[Confirmed_Qty],T_Shipments[Part Name],$A22,T_Shipments[Effective_Week],89)</f>
        <v/>
      </c>
      <c r="CM22">
        <f>SUMIFS(T_Shipments[Confirmed_Qty],T_Shipments[Part Name],$A22,T_Shipments[Effective_Week],90)</f>
        <v/>
      </c>
      <c r="CN22">
        <f>SUMIFS(T_Shipments[Confirmed_Qty],T_Shipments[Part Name],$A22,T_Shipments[Effective_Week],91)</f>
        <v/>
      </c>
      <c r="CO22">
        <f>SUMIFS(T_Shipments[Confirmed_Qty],T_Shipments[Part Name],$A22,T_Shipments[Effective_Week],92)</f>
        <v/>
      </c>
      <c r="CP22">
        <f>SUMIFS(T_Shipments[Confirmed_Qty],T_Shipments[Part Name],$A22,T_Shipments[Effective_Week],93)</f>
        <v/>
      </c>
      <c r="CQ22">
        <f>SUMIFS(T_Shipments[Confirmed_Qty],T_Shipments[Part Name],$A22,T_Shipments[Effective_Week],94)</f>
        <v/>
      </c>
      <c r="CR22">
        <f>SUMIFS(T_Shipments[Confirmed_Qty],T_Shipments[Part Name],$A22,T_Shipments[Effective_Week],95)</f>
        <v/>
      </c>
      <c r="CS22">
        <f>SUMIFS(T_Shipments[Confirmed_Qty],T_Shipments[Part Name],$A22,T_Shipments[Effective_Week],96)</f>
        <v/>
      </c>
      <c r="CT22">
        <f>SUMIFS(T_Shipments[Confirmed_Qty],T_Shipments[Part Name],$A22,T_Shipments[Effective_Week],97)</f>
        <v/>
      </c>
      <c r="CU22">
        <f>SUMIFS(T_Shipments[Confirmed_Qty],T_Shipments[Part Name],$A22,T_Shipments[Effective_Week],98)</f>
        <v/>
      </c>
      <c r="CV22">
        <f>SUMIFS(T_Shipments[Confirmed_Qty],T_Shipments[Part Name],$A22,T_Shipments[Effective_Week],99)</f>
        <v/>
      </c>
      <c r="CW22">
        <f>SUMIFS(T_Shipments[Confirmed_Qty],T_Shipments[Part Name],$A22,T_Shipments[Effective_Week],100)</f>
        <v/>
      </c>
      <c r="CX22">
        <f>SUMIFS(T_Shipments[Confirmed_Qty],T_Shipments[Part Name],$A22,T_Shipments[Effective_Week],101)</f>
        <v/>
      </c>
      <c r="CY22">
        <f>SUMIFS(T_Shipments[Confirmed_Qty],T_Shipments[Part Name],$A22,T_Shipments[Effective_Week],102)</f>
        <v/>
      </c>
      <c r="CZ22">
        <f>SUMIFS(T_Shipments[Confirmed_Qty],T_Shipments[Part Name],$A22,T_Shipments[Effective_Week],103)</f>
        <v/>
      </c>
      <c r="DA22">
        <f>SUMIFS(T_Shipments[Confirmed_Qty],T_Shipments[Part Name],$A22,T_Shipments[Effective_Week],104)</f>
        <v/>
      </c>
    </row>
    <row r="23">
      <c r="A23" t="inlineStr">
        <is>
          <t>CHEM-1760</t>
        </is>
      </c>
      <c r="B23">
        <f>SUMIFS(T_Shipments[Confirmed_Qty],T_Shipments[Part Name],$A23,T_Shipments[Effective_Week],1)</f>
        <v/>
      </c>
      <c r="C23">
        <f>SUMIFS(T_Shipments[Confirmed_Qty],T_Shipments[Part Name],$A23,T_Shipments[Effective_Week],2)</f>
        <v/>
      </c>
      <c r="D23">
        <f>SUMIFS(T_Shipments[Confirmed_Qty],T_Shipments[Part Name],$A23,T_Shipments[Effective_Week],3)</f>
        <v/>
      </c>
      <c r="E23">
        <f>SUMIFS(T_Shipments[Confirmed_Qty],T_Shipments[Part Name],$A23,T_Shipments[Effective_Week],4)</f>
        <v/>
      </c>
      <c r="F23">
        <f>SUMIFS(T_Shipments[Confirmed_Qty],T_Shipments[Part Name],$A23,T_Shipments[Effective_Week],5)</f>
        <v/>
      </c>
      <c r="G23">
        <f>SUMIFS(T_Shipments[Confirmed_Qty],T_Shipments[Part Name],$A23,T_Shipments[Effective_Week],6)</f>
        <v/>
      </c>
      <c r="H23">
        <f>SUMIFS(T_Shipments[Confirmed_Qty],T_Shipments[Part Name],$A23,T_Shipments[Effective_Week],7)</f>
        <v/>
      </c>
      <c r="I23">
        <f>SUMIFS(T_Shipments[Confirmed_Qty],T_Shipments[Part Name],$A23,T_Shipments[Effective_Week],8)</f>
        <v/>
      </c>
      <c r="J23">
        <f>SUMIFS(T_Shipments[Confirmed_Qty],T_Shipments[Part Name],$A23,T_Shipments[Effective_Week],9)</f>
        <v/>
      </c>
      <c r="K23">
        <f>SUMIFS(T_Shipments[Confirmed_Qty],T_Shipments[Part Name],$A23,T_Shipments[Effective_Week],10)</f>
        <v/>
      </c>
      <c r="L23">
        <f>SUMIFS(T_Shipments[Confirmed_Qty],T_Shipments[Part Name],$A23,T_Shipments[Effective_Week],11)</f>
        <v/>
      </c>
      <c r="M23">
        <f>SUMIFS(T_Shipments[Confirmed_Qty],T_Shipments[Part Name],$A23,T_Shipments[Effective_Week],12)</f>
        <v/>
      </c>
      <c r="N23">
        <f>SUMIFS(T_Shipments[Confirmed_Qty],T_Shipments[Part Name],$A23,T_Shipments[Effective_Week],13)</f>
        <v/>
      </c>
      <c r="O23">
        <f>SUMIFS(T_Shipments[Confirmed_Qty],T_Shipments[Part Name],$A23,T_Shipments[Effective_Week],14)</f>
        <v/>
      </c>
      <c r="P23">
        <f>SUMIFS(T_Shipments[Confirmed_Qty],T_Shipments[Part Name],$A23,T_Shipments[Effective_Week],15)</f>
        <v/>
      </c>
      <c r="Q23">
        <f>SUMIFS(T_Shipments[Confirmed_Qty],T_Shipments[Part Name],$A23,T_Shipments[Effective_Week],16)</f>
        <v/>
      </c>
      <c r="R23">
        <f>SUMIFS(T_Shipments[Confirmed_Qty],T_Shipments[Part Name],$A23,T_Shipments[Effective_Week],17)</f>
        <v/>
      </c>
      <c r="S23">
        <f>SUMIFS(T_Shipments[Confirmed_Qty],T_Shipments[Part Name],$A23,T_Shipments[Effective_Week],18)</f>
        <v/>
      </c>
      <c r="T23">
        <f>SUMIFS(T_Shipments[Confirmed_Qty],T_Shipments[Part Name],$A23,T_Shipments[Effective_Week],19)</f>
        <v/>
      </c>
      <c r="U23">
        <f>SUMIFS(T_Shipments[Confirmed_Qty],T_Shipments[Part Name],$A23,T_Shipments[Effective_Week],20)</f>
        <v/>
      </c>
      <c r="V23">
        <f>SUMIFS(T_Shipments[Confirmed_Qty],T_Shipments[Part Name],$A23,T_Shipments[Effective_Week],21)</f>
        <v/>
      </c>
      <c r="W23">
        <f>SUMIFS(T_Shipments[Confirmed_Qty],T_Shipments[Part Name],$A23,T_Shipments[Effective_Week],22)</f>
        <v/>
      </c>
      <c r="X23">
        <f>SUMIFS(T_Shipments[Confirmed_Qty],T_Shipments[Part Name],$A23,T_Shipments[Effective_Week],23)</f>
        <v/>
      </c>
      <c r="Y23">
        <f>SUMIFS(T_Shipments[Confirmed_Qty],T_Shipments[Part Name],$A23,T_Shipments[Effective_Week],24)</f>
        <v/>
      </c>
      <c r="Z23">
        <f>SUMIFS(T_Shipments[Confirmed_Qty],T_Shipments[Part Name],$A23,T_Shipments[Effective_Week],25)</f>
        <v/>
      </c>
      <c r="AA23">
        <f>SUMIFS(T_Shipments[Confirmed_Qty],T_Shipments[Part Name],$A23,T_Shipments[Effective_Week],26)</f>
        <v/>
      </c>
      <c r="AB23">
        <f>SUMIFS(T_Shipments[Confirmed_Qty],T_Shipments[Part Name],$A23,T_Shipments[Effective_Week],27)</f>
        <v/>
      </c>
      <c r="AC23">
        <f>SUMIFS(T_Shipments[Confirmed_Qty],T_Shipments[Part Name],$A23,T_Shipments[Effective_Week],28)</f>
        <v/>
      </c>
      <c r="AD23">
        <f>SUMIFS(T_Shipments[Confirmed_Qty],T_Shipments[Part Name],$A23,T_Shipments[Effective_Week],29)</f>
        <v/>
      </c>
      <c r="AE23">
        <f>SUMIFS(T_Shipments[Confirmed_Qty],T_Shipments[Part Name],$A23,T_Shipments[Effective_Week],30)</f>
        <v/>
      </c>
      <c r="AF23">
        <f>SUMIFS(T_Shipments[Confirmed_Qty],T_Shipments[Part Name],$A23,T_Shipments[Effective_Week],31)</f>
        <v/>
      </c>
      <c r="AG23">
        <f>SUMIFS(T_Shipments[Confirmed_Qty],T_Shipments[Part Name],$A23,T_Shipments[Effective_Week],32)</f>
        <v/>
      </c>
      <c r="AH23">
        <f>SUMIFS(T_Shipments[Confirmed_Qty],T_Shipments[Part Name],$A23,T_Shipments[Effective_Week],33)</f>
        <v/>
      </c>
      <c r="AI23">
        <f>SUMIFS(T_Shipments[Confirmed_Qty],T_Shipments[Part Name],$A23,T_Shipments[Effective_Week],34)</f>
        <v/>
      </c>
      <c r="AJ23">
        <f>SUMIFS(T_Shipments[Confirmed_Qty],T_Shipments[Part Name],$A23,T_Shipments[Effective_Week],35)</f>
        <v/>
      </c>
      <c r="AK23">
        <f>SUMIFS(T_Shipments[Confirmed_Qty],T_Shipments[Part Name],$A23,T_Shipments[Effective_Week],36)</f>
        <v/>
      </c>
      <c r="AL23">
        <f>SUMIFS(T_Shipments[Confirmed_Qty],T_Shipments[Part Name],$A23,T_Shipments[Effective_Week],37)</f>
        <v/>
      </c>
      <c r="AM23">
        <f>SUMIFS(T_Shipments[Confirmed_Qty],T_Shipments[Part Name],$A23,T_Shipments[Effective_Week],38)</f>
        <v/>
      </c>
      <c r="AN23">
        <f>SUMIFS(T_Shipments[Confirmed_Qty],T_Shipments[Part Name],$A23,T_Shipments[Effective_Week],39)</f>
        <v/>
      </c>
      <c r="AO23">
        <f>SUMIFS(T_Shipments[Confirmed_Qty],T_Shipments[Part Name],$A23,T_Shipments[Effective_Week],40)</f>
        <v/>
      </c>
      <c r="AP23">
        <f>SUMIFS(T_Shipments[Confirmed_Qty],T_Shipments[Part Name],$A23,T_Shipments[Effective_Week],41)</f>
        <v/>
      </c>
      <c r="AQ23">
        <f>SUMIFS(T_Shipments[Confirmed_Qty],T_Shipments[Part Name],$A23,T_Shipments[Effective_Week],42)</f>
        <v/>
      </c>
      <c r="AR23">
        <f>SUMIFS(T_Shipments[Confirmed_Qty],T_Shipments[Part Name],$A23,T_Shipments[Effective_Week],43)</f>
        <v/>
      </c>
      <c r="AS23">
        <f>SUMIFS(T_Shipments[Confirmed_Qty],T_Shipments[Part Name],$A23,T_Shipments[Effective_Week],44)</f>
        <v/>
      </c>
      <c r="AT23">
        <f>SUMIFS(T_Shipments[Confirmed_Qty],T_Shipments[Part Name],$A23,T_Shipments[Effective_Week],45)</f>
        <v/>
      </c>
      <c r="AU23">
        <f>SUMIFS(T_Shipments[Confirmed_Qty],T_Shipments[Part Name],$A23,T_Shipments[Effective_Week],46)</f>
        <v/>
      </c>
      <c r="AV23">
        <f>SUMIFS(T_Shipments[Confirmed_Qty],T_Shipments[Part Name],$A23,T_Shipments[Effective_Week],47)</f>
        <v/>
      </c>
      <c r="AW23">
        <f>SUMIFS(T_Shipments[Confirmed_Qty],T_Shipments[Part Name],$A23,T_Shipments[Effective_Week],48)</f>
        <v/>
      </c>
      <c r="AX23">
        <f>SUMIFS(T_Shipments[Confirmed_Qty],T_Shipments[Part Name],$A23,T_Shipments[Effective_Week],49)</f>
        <v/>
      </c>
      <c r="AY23">
        <f>SUMIFS(T_Shipments[Confirmed_Qty],T_Shipments[Part Name],$A23,T_Shipments[Effective_Week],50)</f>
        <v/>
      </c>
      <c r="AZ23">
        <f>SUMIFS(T_Shipments[Confirmed_Qty],T_Shipments[Part Name],$A23,T_Shipments[Effective_Week],51)</f>
        <v/>
      </c>
      <c r="BA23">
        <f>SUMIFS(T_Shipments[Confirmed_Qty],T_Shipments[Part Name],$A23,T_Shipments[Effective_Week],52)</f>
        <v/>
      </c>
      <c r="BB23">
        <f>SUMIFS(T_Shipments[Confirmed_Qty],T_Shipments[Part Name],$A23,T_Shipments[Effective_Week],53)</f>
        <v/>
      </c>
      <c r="BC23">
        <f>SUMIFS(T_Shipments[Confirmed_Qty],T_Shipments[Part Name],$A23,T_Shipments[Effective_Week],54)</f>
        <v/>
      </c>
      <c r="BD23">
        <f>SUMIFS(T_Shipments[Confirmed_Qty],T_Shipments[Part Name],$A23,T_Shipments[Effective_Week],55)</f>
        <v/>
      </c>
      <c r="BE23">
        <f>SUMIFS(T_Shipments[Confirmed_Qty],T_Shipments[Part Name],$A23,T_Shipments[Effective_Week],56)</f>
        <v/>
      </c>
      <c r="BF23">
        <f>SUMIFS(T_Shipments[Confirmed_Qty],T_Shipments[Part Name],$A23,T_Shipments[Effective_Week],57)</f>
        <v/>
      </c>
      <c r="BG23">
        <f>SUMIFS(T_Shipments[Confirmed_Qty],T_Shipments[Part Name],$A23,T_Shipments[Effective_Week],58)</f>
        <v/>
      </c>
      <c r="BH23">
        <f>SUMIFS(T_Shipments[Confirmed_Qty],T_Shipments[Part Name],$A23,T_Shipments[Effective_Week],59)</f>
        <v/>
      </c>
      <c r="BI23">
        <f>SUMIFS(T_Shipments[Confirmed_Qty],T_Shipments[Part Name],$A23,T_Shipments[Effective_Week],60)</f>
        <v/>
      </c>
      <c r="BJ23">
        <f>SUMIFS(T_Shipments[Confirmed_Qty],T_Shipments[Part Name],$A23,T_Shipments[Effective_Week],61)</f>
        <v/>
      </c>
      <c r="BK23">
        <f>SUMIFS(T_Shipments[Confirmed_Qty],T_Shipments[Part Name],$A23,T_Shipments[Effective_Week],62)</f>
        <v/>
      </c>
      <c r="BL23">
        <f>SUMIFS(T_Shipments[Confirmed_Qty],T_Shipments[Part Name],$A23,T_Shipments[Effective_Week],63)</f>
        <v/>
      </c>
      <c r="BM23">
        <f>SUMIFS(T_Shipments[Confirmed_Qty],T_Shipments[Part Name],$A23,T_Shipments[Effective_Week],64)</f>
        <v/>
      </c>
      <c r="BN23">
        <f>SUMIFS(T_Shipments[Confirmed_Qty],T_Shipments[Part Name],$A23,T_Shipments[Effective_Week],65)</f>
        <v/>
      </c>
      <c r="BO23">
        <f>SUMIFS(T_Shipments[Confirmed_Qty],T_Shipments[Part Name],$A23,T_Shipments[Effective_Week],66)</f>
        <v/>
      </c>
      <c r="BP23">
        <f>SUMIFS(T_Shipments[Confirmed_Qty],T_Shipments[Part Name],$A23,T_Shipments[Effective_Week],67)</f>
        <v/>
      </c>
      <c r="BQ23">
        <f>SUMIFS(T_Shipments[Confirmed_Qty],T_Shipments[Part Name],$A23,T_Shipments[Effective_Week],68)</f>
        <v/>
      </c>
      <c r="BR23">
        <f>SUMIFS(T_Shipments[Confirmed_Qty],T_Shipments[Part Name],$A23,T_Shipments[Effective_Week],69)</f>
        <v/>
      </c>
      <c r="BS23">
        <f>SUMIFS(T_Shipments[Confirmed_Qty],T_Shipments[Part Name],$A23,T_Shipments[Effective_Week],70)</f>
        <v/>
      </c>
      <c r="BT23">
        <f>SUMIFS(T_Shipments[Confirmed_Qty],T_Shipments[Part Name],$A23,T_Shipments[Effective_Week],71)</f>
        <v/>
      </c>
      <c r="BU23">
        <f>SUMIFS(T_Shipments[Confirmed_Qty],T_Shipments[Part Name],$A23,T_Shipments[Effective_Week],72)</f>
        <v/>
      </c>
      <c r="BV23">
        <f>SUMIFS(T_Shipments[Confirmed_Qty],T_Shipments[Part Name],$A23,T_Shipments[Effective_Week],73)</f>
        <v/>
      </c>
      <c r="BW23">
        <f>SUMIFS(T_Shipments[Confirmed_Qty],T_Shipments[Part Name],$A23,T_Shipments[Effective_Week],74)</f>
        <v/>
      </c>
      <c r="BX23">
        <f>SUMIFS(T_Shipments[Confirmed_Qty],T_Shipments[Part Name],$A23,T_Shipments[Effective_Week],75)</f>
        <v/>
      </c>
      <c r="BY23">
        <f>SUMIFS(T_Shipments[Confirmed_Qty],T_Shipments[Part Name],$A23,T_Shipments[Effective_Week],76)</f>
        <v/>
      </c>
      <c r="BZ23">
        <f>SUMIFS(T_Shipments[Confirmed_Qty],T_Shipments[Part Name],$A23,T_Shipments[Effective_Week],77)</f>
        <v/>
      </c>
      <c r="CA23">
        <f>SUMIFS(T_Shipments[Confirmed_Qty],T_Shipments[Part Name],$A23,T_Shipments[Effective_Week],78)</f>
        <v/>
      </c>
      <c r="CB23">
        <f>SUMIFS(T_Shipments[Confirmed_Qty],T_Shipments[Part Name],$A23,T_Shipments[Effective_Week],79)</f>
        <v/>
      </c>
      <c r="CC23">
        <f>SUMIFS(T_Shipments[Confirmed_Qty],T_Shipments[Part Name],$A23,T_Shipments[Effective_Week],80)</f>
        <v/>
      </c>
      <c r="CD23">
        <f>SUMIFS(T_Shipments[Confirmed_Qty],T_Shipments[Part Name],$A23,T_Shipments[Effective_Week],81)</f>
        <v/>
      </c>
      <c r="CE23">
        <f>SUMIFS(T_Shipments[Confirmed_Qty],T_Shipments[Part Name],$A23,T_Shipments[Effective_Week],82)</f>
        <v/>
      </c>
      <c r="CF23">
        <f>SUMIFS(T_Shipments[Confirmed_Qty],T_Shipments[Part Name],$A23,T_Shipments[Effective_Week],83)</f>
        <v/>
      </c>
      <c r="CG23">
        <f>SUMIFS(T_Shipments[Confirmed_Qty],T_Shipments[Part Name],$A23,T_Shipments[Effective_Week],84)</f>
        <v/>
      </c>
      <c r="CH23">
        <f>SUMIFS(T_Shipments[Confirmed_Qty],T_Shipments[Part Name],$A23,T_Shipments[Effective_Week],85)</f>
        <v/>
      </c>
      <c r="CI23">
        <f>SUMIFS(T_Shipments[Confirmed_Qty],T_Shipments[Part Name],$A23,T_Shipments[Effective_Week],86)</f>
        <v/>
      </c>
      <c r="CJ23">
        <f>SUMIFS(T_Shipments[Confirmed_Qty],T_Shipments[Part Name],$A23,T_Shipments[Effective_Week],87)</f>
        <v/>
      </c>
      <c r="CK23">
        <f>SUMIFS(T_Shipments[Confirmed_Qty],T_Shipments[Part Name],$A23,T_Shipments[Effective_Week],88)</f>
        <v/>
      </c>
      <c r="CL23">
        <f>SUMIFS(T_Shipments[Confirmed_Qty],T_Shipments[Part Name],$A23,T_Shipments[Effective_Week],89)</f>
        <v/>
      </c>
      <c r="CM23">
        <f>SUMIFS(T_Shipments[Confirmed_Qty],T_Shipments[Part Name],$A23,T_Shipments[Effective_Week],90)</f>
        <v/>
      </c>
      <c r="CN23">
        <f>SUMIFS(T_Shipments[Confirmed_Qty],T_Shipments[Part Name],$A23,T_Shipments[Effective_Week],91)</f>
        <v/>
      </c>
      <c r="CO23">
        <f>SUMIFS(T_Shipments[Confirmed_Qty],T_Shipments[Part Name],$A23,T_Shipments[Effective_Week],92)</f>
        <v/>
      </c>
      <c r="CP23">
        <f>SUMIFS(T_Shipments[Confirmed_Qty],T_Shipments[Part Name],$A23,T_Shipments[Effective_Week],93)</f>
        <v/>
      </c>
      <c r="CQ23">
        <f>SUMIFS(T_Shipments[Confirmed_Qty],T_Shipments[Part Name],$A23,T_Shipments[Effective_Week],94)</f>
        <v/>
      </c>
      <c r="CR23">
        <f>SUMIFS(T_Shipments[Confirmed_Qty],T_Shipments[Part Name],$A23,T_Shipments[Effective_Week],95)</f>
        <v/>
      </c>
      <c r="CS23">
        <f>SUMIFS(T_Shipments[Confirmed_Qty],T_Shipments[Part Name],$A23,T_Shipments[Effective_Week],96)</f>
        <v/>
      </c>
      <c r="CT23">
        <f>SUMIFS(T_Shipments[Confirmed_Qty],T_Shipments[Part Name],$A23,T_Shipments[Effective_Week],97)</f>
        <v/>
      </c>
      <c r="CU23">
        <f>SUMIFS(T_Shipments[Confirmed_Qty],T_Shipments[Part Name],$A23,T_Shipments[Effective_Week],98)</f>
        <v/>
      </c>
      <c r="CV23">
        <f>SUMIFS(T_Shipments[Confirmed_Qty],T_Shipments[Part Name],$A23,T_Shipments[Effective_Week],99)</f>
        <v/>
      </c>
      <c r="CW23">
        <f>SUMIFS(T_Shipments[Confirmed_Qty],T_Shipments[Part Name],$A23,T_Shipments[Effective_Week],100)</f>
        <v/>
      </c>
      <c r="CX23">
        <f>SUMIFS(T_Shipments[Confirmed_Qty],T_Shipments[Part Name],$A23,T_Shipments[Effective_Week],101)</f>
        <v/>
      </c>
      <c r="CY23">
        <f>SUMIFS(T_Shipments[Confirmed_Qty],T_Shipments[Part Name],$A23,T_Shipments[Effective_Week],102)</f>
        <v/>
      </c>
      <c r="CZ23">
        <f>SUMIFS(T_Shipments[Confirmed_Qty],T_Shipments[Part Name],$A23,T_Shipments[Effective_Week],103)</f>
        <v/>
      </c>
      <c r="DA23">
        <f>SUMIFS(T_Shipments[Confirmed_Qty],T_Shipments[Part Name],$A23,T_Shipments[Effective_Week],104)</f>
        <v/>
      </c>
    </row>
    <row r="24">
      <c r="A24" t="inlineStr">
        <is>
          <t>Original Towel</t>
        </is>
      </c>
      <c r="B24">
        <f>SUMIFS(T_Shipments[Confirmed_Qty],T_Shipments[Part Name],$A24,T_Shipments[Effective_Week],1)</f>
        <v/>
      </c>
      <c r="C24">
        <f>SUMIFS(T_Shipments[Confirmed_Qty],T_Shipments[Part Name],$A24,T_Shipments[Effective_Week],2)</f>
        <v/>
      </c>
      <c r="D24">
        <f>SUMIFS(T_Shipments[Confirmed_Qty],T_Shipments[Part Name],$A24,T_Shipments[Effective_Week],3)</f>
        <v/>
      </c>
      <c r="E24">
        <f>SUMIFS(T_Shipments[Confirmed_Qty],T_Shipments[Part Name],$A24,T_Shipments[Effective_Week],4)</f>
        <v/>
      </c>
      <c r="F24">
        <f>SUMIFS(T_Shipments[Confirmed_Qty],T_Shipments[Part Name],$A24,T_Shipments[Effective_Week],5)</f>
        <v/>
      </c>
      <c r="G24">
        <f>SUMIFS(T_Shipments[Confirmed_Qty],T_Shipments[Part Name],$A24,T_Shipments[Effective_Week],6)</f>
        <v/>
      </c>
      <c r="H24">
        <f>SUMIFS(T_Shipments[Confirmed_Qty],T_Shipments[Part Name],$A24,T_Shipments[Effective_Week],7)</f>
        <v/>
      </c>
      <c r="I24">
        <f>SUMIFS(T_Shipments[Confirmed_Qty],T_Shipments[Part Name],$A24,T_Shipments[Effective_Week],8)</f>
        <v/>
      </c>
      <c r="J24">
        <f>SUMIFS(T_Shipments[Confirmed_Qty],T_Shipments[Part Name],$A24,T_Shipments[Effective_Week],9)</f>
        <v/>
      </c>
      <c r="K24">
        <f>SUMIFS(T_Shipments[Confirmed_Qty],T_Shipments[Part Name],$A24,T_Shipments[Effective_Week],10)</f>
        <v/>
      </c>
      <c r="L24">
        <f>SUMIFS(T_Shipments[Confirmed_Qty],T_Shipments[Part Name],$A24,T_Shipments[Effective_Week],11)</f>
        <v/>
      </c>
      <c r="M24">
        <f>SUMIFS(T_Shipments[Confirmed_Qty],T_Shipments[Part Name],$A24,T_Shipments[Effective_Week],12)</f>
        <v/>
      </c>
      <c r="N24">
        <f>SUMIFS(T_Shipments[Confirmed_Qty],T_Shipments[Part Name],$A24,T_Shipments[Effective_Week],13)</f>
        <v/>
      </c>
      <c r="O24">
        <f>SUMIFS(T_Shipments[Confirmed_Qty],T_Shipments[Part Name],$A24,T_Shipments[Effective_Week],14)</f>
        <v/>
      </c>
      <c r="P24">
        <f>SUMIFS(T_Shipments[Confirmed_Qty],T_Shipments[Part Name],$A24,T_Shipments[Effective_Week],15)</f>
        <v/>
      </c>
      <c r="Q24">
        <f>SUMIFS(T_Shipments[Confirmed_Qty],T_Shipments[Part Name],$A24,T_Shipments[Effective_Week],16)</f>
        <v/>
      </c>
      <c r="R24">
        <f>SUMIFS(T_Shipments[Confirmed_Qty],T_Shipments[Part Name],$A24,T_Shipments[Effective_Week],17)</f>
        <v/>
      </c>
      <c r="S24">
        <f>SUMIFS(T_Shipments[Confirmed_Qty],T_Shipments[Part Name],$A24,T_Shipments[Effective_Week],18)</f>
        <v/>
      </c>
      <c r="T24">
        <f>SUMIFS(T_Shipments[Confirmed_Qty],T_Shipments[Part Name],$A24,T_Shipments[Effective_Week],19)</f>
        <v/>
      </c>
      <c r="U24">
        <f>SUMIFS(T_Shipments[Confirmed_Qty],T_Shipments[Part Name],$A24,T_Shipments[Effective_Week],20)</f>
        <v/>
      </c>
      <c r="V24">
        <f>SUMIFS(T_Shipments[Confirmed_Qty],T_Shipments[Part Name],$A24,T_Shipments[Effective_Week],21)</f>
        <v/>
      </c>
      <c r="W24">
        <f>SUMIFS(T_Shipments[Confirmed_Qty],T_Shipments[Part Name],$A24,T_Shipments[Effective_Week],22)</f>
        <v/>
      </c>
      <c r="X24">
        <f>SUMIFS(T_Shipments[Confirmed_Qty],T_Shipments[Part Name],$A24,T_Shipments[Effective_Week],23)</f>
        <v/>
      </c>
      <c r="Y24">
        <f>SUMIFS(T_Shipments[Confirmed_Qty],T_Shipments[Part Name],$A24,T_Shipments[Effective_Week],24)</f>
        <v/>
      </c>
      <c r="Z24">
        <f>SUMIFS(T_Shipments[Confirmed_Qty],T_Shipments[Part Name],$A24,T_Shipments[Effective_Week],25)</f>
        <v/>
      </c>
      <c r="AA24">
        <f>SUMIFS(T_Shipments[Confirmed_Qty],T_Shipments[Part Name],$A24,T_Shipments[Effective_Week],26)</f>
        <v/>
      </c>
      <c r="AB24">
        <f>SUMIFS(T_Shipments[Confirmed_Qty],T_Shipments[Part Name],$A24,T_Shipments[Effective_Week],27)</f>
        <v/>
      </c>
      <c r="AC24">
        <f>SUMIFS(T_Shipments[Confirmed_Qty],T_Shipments[Part Name],$A24,T_Shipments[Effective_Week],28)</f>
        <v/>
      </c>
      <c r="AD24">
        <f>SUMIFS(T_Shipments[Confirmed_Qty],T_Shipments[Part Name],$A24,T_Shipments[Effective_Week],29)</f>
        <v/>
      </c>
      <c r="AE24">
        <f>SUMIFS(T_Shipments[Confirmed_Qty],T_Shipments[Part Name],$A24,T_Shipments[Effective_Week],30)</f>
        <v/>
      </c>
      <c r="AF24">
        <f>SUMIFS(T_Shipments[Confirmed_Qty],T_Shipments[Part Name],$A24,T_Shipments[Effective_Week],31)</f>
        <v/>
      </c>
      <c r="AG24">
        <f>SUMIFS(T_Shipments[Confirmed_Qty],T_Shipments[Part Name],$A24,T_Shipments[Effective_Week],32)</f>
        <v/>
      </c>
      <c r="AH24">
        <f>SUMIFS(T_Shipments[Confirmed_Qty],T_Shipments[Part Name],$A24,T_Shipments[Effective_Week],33)</f>
        <v/>
      </c>
      <c r="AI24">
        <f>SUMIFS(T_Shipments[Confirmed_Qty],T_Shipments[Part Name],$A24,T_Shipments[Effective_Week],34)</f>
        <v/>
      </c>
      <c r="AJ24">
        <f>SUMIFS(T_Shipments[Confirmed_Qty],T_Shipments[Part Name],$A24,T_Shipments[Effective_Week],35)</f>
        <v/>
      </c>
      <c r="AK24">
        <f>SUMIFS(T_Shipments[Confirmed_Qty],T_Shipments[Part Name],$A24,T_Shipments[Effective_Week],36)</f>
        <v/>
      </c>
      <c r="AL24">
        <f>SUMIFS(T_Shipments[Confirmed_Qty],T_Shipments[Part Name],$A24,T_Shipments[Effective_Week],37)</f>
        <v/>
      </c>
      <c r="AM24">
        <f>SUMIFS(T_Shipments[Confirmed_Qty],T_Shipments[Part Name],$A24,T_Shipments[Effective_Week],38)</f>
        <v/>
      </c>
      <c r="AN24">
        <f>SUMIFS(T_Shipments[Confirmed_Qty],T_Shipments[Part Name],$A24,T_Shipments[Effective_Week],39)</f>
        <v/>
      </c>
      <c r="AO24">
        <f>SUMIFS(T_Shipments[Confirmed_Qty],T_Shipments[Part Name],$A24,T_Shipments[Effective_Week],40)</f>
        <v/>
      </c>
      <c r="AP24">
        <f>SUMIFS(T_Shipments[Confirmed_Qty],T_Shipments[Part Name],$A24,T_Shipments[Effective_Week],41)</f>
        <v/>
      </c>
      <c r="AQ24">
        <f>SUMIFS(T_Shipments[Confirmed_Qty],T_Shipments[Part Name],$A24,T_Shipments[Effective_Week],42)</f>
        <v/>
      </c>
      <c r="AR24">
        <f>SUMIFS(T_Shipments[Confirmed_Qty],T_Shipments[Part Name],$A24,T_Shipments[Effective_Week],43)</f>
        <v/>
      </c>
      <c r="AS24">
        <f>SUMIFS(T_Shipments[Confirmed_Qty],T_Shipments[Part Name],$A24,T_Shipments[Effective_Week],44)</f>
        <v/>
      </c>
      <c r="AT24">
        <f>SUMIFS(T_Shipments[Confirmed_Qty],T_Shipments[Part Name],$A24,T_Shipments[Effective_Week],45)</f>
        <v/>
      </c>
      <c r="AU24">
        <f>SUMIFS(T_Shipments[Confirmed_Qty],T_Shipments[Part Name],$A24,T_Shipments[Effective_Week],46)</f>
        <v/>
      </c>
      <c r="AV24">
        <f>SUMIFS(T_Shipments[Confirmed_Qty],T_Shipments[Part Name],$A24,T_Shipments[Effective_Week],47)</f>
        <v/>
      </c>
      <c r="AW24">
        <f>SUMIFS(T_Shipments[Confirmed_Qty],T_Shipments[Part Name],$A24,T_Shipments[Effective_Week],48)</f>
        <v/>
      </c>
      <c r="AX24">
        <f>SUMIFS(T_Shipments[Confirmed_Qty],T_Shipments[Part Name],$A24,T_Shipments[Effective_Week],49)</f>
        <v/>
      </c>
      <c r="AY24">
        <f>SUMIFS(T_Shipments[Confirmed_Qty],T_Shipments[Part Name],$A24,T_Shipments[Effective_Week],50)</f>
        <v/>
      </c>
      <c r="AZ24">
        <f>SUMIFS(T_Shipments[Confirmed_Qty],T_Shipments[Part Name],$A24,T_Shipments[Effective_Week],51)</f>
        <v/>
      </c>
      <c r="BA24">
        <f>SUMIFS(T_Shipments[Confirmed_Qty],T_Shipments[Part Name],$A24,T_Shipments[Effective_Week],52)</f>
        <v/>
      </c>
      <c r="BB24">
        <f>SUMIFS(T_Shipments[Confirmed_Qty],T_Shipments[Part Name],$A24,T_Shipments[Effective_Week],53)</f>
        <v/>
      </c>
      <c r="BC24">
        <f>SUMIFS(T_Shipments[Confirmed_Qty],T_Shipments[Part Name],$A24,T_Shipments[Effective_Week],54)</f>
        <v/>
      </c>
      <c r="BD24">
        <f>SUMIFS(T_Shipments[Confirmed_Qty],T_Shipments[Part Name],$A24,T_Shipments[Effective_Week],55)</f>
        <v/>
      </c>
      <c r="BE24">
        <f>SUMIFS(T_Shipments[Confirmed_Qty],T_Shipments[Part Name],$A24,T_Shipments[Effective_Week],56)</f>
        <v/>
      </c>
      <c r="BF24">
        <f>SUMIFS(T_Shipments[Confirmed_Qty],T_Shipments[Part Name],$A24,T_Shipments[Effective_Week],57)</f>
        <v/>
      </c>
      <c r="BG24">
        <f>SUMIFS(T_Shipments[Confirmed_Qty],T_Shipments[Part Name],$A24,T_Shipments[Effective_Week],58)</f>
        <v/>
      </c>
      <c r="BH24">
        <f>SUMIFS(T_Shipments[Confirmed_Qty],T_Shipments[Part Name],$A24,T_Shipments[Effective_Week],59)</f>
        <v/>
      </c>
      <c r="BI24">
        <f>SUMIFS(T_Shipments[Confirmed_Qty],T_Shipments[Part Name],$A24,T_Shipments[Effective_Week],60)</f>
        <v/>
      </c>
      <c r="BJ24">
        <f>SUMIFS(T_Shipments[Confirmed_Qty],T_Shipments[Part Name],$A24,T_Shipments[Effective_Week],61)</f>
        <v/>
      </c>
      <c r="BK24">
        <f>SUMIFS(T_Shipments[Confirmed_Qty],T_Shipments[Part Name],$A24,T_Shipments[Effective_Week],62)</f>
        <v/>
      </c>
      <c r="BL24">
        <f>SUMIFS(T_Shipments[Confirmed_Qty],T_Shipments[Part Name],$A24,T_Shipments[Effective_Week],63)</f>
        <v/>
      </c>
      <c r="BM24">
        <f>SUMIFS(T_Shipments[Confirmed_Qty],T_Shipments[Part Name],$A24,T_Shipments[Effective_Week],64)</f>
        <v/>
      </c>
      <c r="BN24">
        <f>SUMIFS(T_Shipments[Confirmed_Qty],T_Shipments[Part Name],$A24,T_Shipments[Effective_Week],65)</f>
        <v/>
      </c>
      <c r="BO24">
        <f>SUMIFS(T_Shipments[Confirmed_Qty],T_Shipments[Part Name],$A24,T_Shipments[Effective_Week],66)</f>
        <v/>
      </c>
      <c r="BP24">
        <f>SUMIFS(T_Shipments[Confirmed_Qty],T_Shipments[Part Name],$A24,T_Shipments[Effective_Week],67)</f>
        <v/>
      </c>
      <c r="BQ24">
        <f>SUMIFS(T_Shipments[Confirmed_Qty],T_Shipments[Part Name],$A24,T_Shipments[Effective_Week],68)</f>
        <v/>
      </c>
      <c r="BR24">
        <f>SUMIFS(T_Shipments[Confirmed_Qty],T_Shipments[Part Name],$A24,T_Shipments[Effective_Week],69)</f>
        <v/>
      </c>
      <c r="BS24">
        <f>SUMIFS(T_Shipments[Confirmed_Qty],T_Shipments[Part Name],$A24,T_Shipments[Effective_Week],70)</f>
        <v/>
      </c>
      <c r="BT24">
        <f>SUMIFS(T_Shipments[Confirmed_Qty],T_Shipments[Part Name],$A24,T_Shipments[Effective_Week],71)</f>
        <v/>
      </c>
      <c r="BU24">
        <f>SUMIFS(T_Shipments[Confirmed_Qty],T_Shipments[Part Name],$A24,T_Shipments[Effective_Week],72)</f>
        <v/>
      </c>
      <c r="BV24">
        <f>SUMIFS(T_Shipments[Confirmed_Qty],T_Shipments[Part Name],$A24,T_Shipments[Effective_Week],73)</f>
        <v/>
      </c>
      <c r="BW24">
        <f>SUMIFS(T_Shipments[Confirmed_Qty],T_Shipments[Part Name],$A24,T_Shipments[Effective_Week],74)</f>
        <v/>
      </c>
      <c r="BX24">
        <f>SUMIFS(T_Shipments[Confirmed_Qty],T_Shipments[Part Name],$A24,T_Shipments[Effective_Week],75)</f>
        <v/>
      </c>
      <c r="BY24">
        <f>SUMIFS(T_Shipments[Confirmed_Qty],T_Shipments[Part Name],$A24,T_Shipments[Effective_Week],76)</f>
        <v/>
      </c>
      <c r="BZ24">
        <f>SUMIFS(T_Shipments[Confirmed_Qty],T_Shipments[Part Name],$A24,T_Shipments[Effective_Week],77)</f>
        <v/>
      </c>
      <c r="CA24">
        <f>SUMIFS(T_Shipments[Confirmed_Qty],T_Shipments[Part Name],$A24,T_Shipments[Effective_Week],78)</f>
        <v/>
      </c>
      <c r="CB24">
        <f>SUMIFS(T_Shipments[Confirmed_Qty],T_Shipments[Part Name],$A24,T_Shipments[Effective_Week],79)</f>
        <v/>
      </c>
      <c r="CC24">
        <f>SUMIFS(T_Shipments[Confirmed_Qty],T_Shipments[Part Name],$A24,T_Shipments[Effective_Week],80)</f>
        <v/>
      </c>
      <c r="CD24">
        <f>SUMIFS(T_Shipments[Confirmed_Qty],T_Shipments[Part Name],$A24,T_Shipments[Effective_Week],81)</f>
        <v/>
      </c>
      <c r="CE24">
        <f>SUMIFS(T_Shipments[Confirmed_Qty],T_Shipments[Part Name],$A24,T_Shipments[Effective_Week],82)</f>
        <v/>
      </c>
      <c r="CF24">
        <f>SUMIFS(T_Shipments[Confirmed_Qty],T_Shipments[Part Name],$A24,T_Shipments[Effective_Week],83)</f>
        <v/>
      </c>
      <c r="CG24">
        <f>SUMIFS(T_Shipments[Confirmed_Qty],T_Shipments[Part Name],$A24,T_Shipments[Effective_Week],84)</f>
        <v/>
      </c>
      <c r="CH24">
        <f>SUMIFS(T_Shipments[Confirmed_Qty],T_Shipments[Part Name],$A24,T_Shipments[Effective_Week],85)</f>
        <v/>
      </c>
      <c r="CI24">
        <f>SUMIFS(T_Shipments[Confirmed_Qty],T_Shipments[Part Name],$A24,T_Shipments[Effective_Week],86)</f>
        <v/>
      </c>
      <c r="CJ24">
        <f>SUMIFS(T_Shipments[Confirmed_Qty],T_Shipments[Part Name],$A24,T_Shipments[Effective_Week],87)</f>
        <v/>
      </c>
      <c r="CK24">
        <f>SUMIFS(T_Shipments[Confirmed_Qty],T_Shipments[Part Name],$A24,T_Shipments[Effective_Week],88)</f>
        <v/>
      </c>
      <c r="CL24">
        <f>SUMIFS(T_Shipments[Confirmed_Qty],T_Shipments[Part Name],$A24,T_Shipments[Effective_Week],89)</f>
        <v/>
      </c>
      <c r="CM24">
        <f>SUMIFS(T_Shipments[Confirmed_Qty],T_Shipments[Part Name],$A24,T_Shipments[Effective_Week],90)</f>
        <v/>
      </c>
      <c r="CN24">
        <f>SUMIFS(T_Shipments[Confirmed_Qty],T_Shipments[Part Name],$A24,T_Shipments[Effective_Week],91)</f>
        <v/>
      </c>
      <c r="CO24">
        <f>SUMIFS(T_Shipments[Confirmed_Qty],T_Shipments[Part Name],$A24,T_Shipments[Effective_Week],92)</f>
        <v/>
      </c>
      <c r="CP24">
        <f>SUMIFS(T_Shipments[Confirmed_Qty],T_Shipments[Part Name],$A24,T_Shipments[Effective_Week],93)</f>
        <v/>
      </c>
      <c r="CQ24">
        <f>SUMIFS(T_Shipments[Confirmed_Qty],T_Shipments[Part Name],$A24,T_Shipments[Effective_Week],94)</f>
        <v/>
      </c>
      <c r="CR24">
        <f>SUMIFS(T_Shipments[Confirmed_Qty],T_Shipments[Part Name],$A24,T_Shipments[Effective_Week],95)</f>
        <v/>
      </c>
      <c r="CS24">
        <f>SUMIFS(T_Shipments[Confirmed_Qty],T_Shipments[Part Name],$A24,T_Shipments[Effective_Week],96)</f>
        <v/>
      </c>
      <c r="CT24">
        <f>SUMIFS(T_Shipments[Confirmed_Qty],T_Shipments[Part Name],$A24,T_Shipments[Effective_Week],97)</f>
        <v/>
      </c>
      <c r="CU24">
        <f>SUMIFS(T_Shipments[Confirmed_Qty],T_Shipments[Part Name],$A24,T_Shipments[Effective_Week],98)</f>
        <v/>
      </c>
      <c r="CV24">
        <f>SUMIFS(T_Shipments[Confirmed_Qty],T_Shipments[Part Name],$A24,T_Shipments[Effective_Week],99)</f>
        <v/>
      </c>
      <c r="CW24">
        <f>SUMIFS(T_Shipments[Confirmed_Qty],T_Shipments[Part Name],$A24,T_Shipments[Effective_Week],100)</f>
        <v/>
      </c>
      <c r="CX24">
        <f>SUMIFS(T_Shipments[Confirmed_Qty],T_Shipments[Part Name],$A24,T_Shipments[Effective_Week],101)</f>
        <v/>
      </c>
      <c r="CY24">
        <f>SUMIFS(T_Shipments[Confirmed_Qty],T_Shipments[Part Name],$A24,T_Shipments[Effective_Week],102)</f>
        <v/>
      </c>
      <c r="CZ24">
        <f>SUMIFS(T_Shipments[Confirmed_Qty],T_Shipments[Part Name],$A24,T_Shipments[Effective_Week],103)</f>
        <v/>
      </c>
      <c r="DA24">
        <f>SUMIFS(T_Shipments[Confirmed_Qty],T_Shipments[Part Name],$A24,T_Shipments[Effective_Week],104)</f>
        <v/>
      </c>
    </row>
    <row r="25">
      <c r="A25" t="inlineStr">
        <is>
          <t>CHEM-1200</t>
        </is>
      </c>
      <c r="B25">
        <f>SUMIFS(T_Shipments[Confirmed_Qty],T_Shipments[Part Name],$A25,T_Shipments[Effective_Week],1)</f>
        <v/>
      </c>
      <c r="C25">
        <f>SUMIFS(T_Shipments[Confirmed_Qty],T_Shipments[Part Name],$A25,T_Shipments[Effective_Week],2)</f>
        <v/>
      </c>
      <c r="D25">
        <f>SUMIFS(T_Shipments[Confirmed_Qty],T_Shipments[Part Name],$A25,T_Shipments[Effective_Week],3)</f>
        <v/>
      </c>
      <c r="E25">
        <f>SUMIFS(T_Shipments[Confirmed_Qty],T_Shipments[Part Name],$A25,T_Shipments[Effective_Week],4)</f>
        <v/>
      </c>
      <c r="F25">
        <f>SUMIFS(T_Shipments[Confirmed_Qty],T_Shipments[Part Name],$A25,T_Shipments[Effective_Week],5)</f>
        <v/>
      </c>
      <c r="G25">
        <f>SUMIFS(T_Shipments[Confirmed_Qty],T_Shipments[Part Name],$A25,T_Shipments[Effective_Week],6)</f>
        <v/>
      </c>
      <c r="H25">
        <f>SUMIFS(T_Shipments[Confirmed_Qty],T_Shipments[Part Name],$A25,T_Shipments[Effective_Week],7)</f>
        <v/>
      </c>
      <c r="I25">
        <f>SUMIFS(T_Shipments[Confirmed_Qty],T_Shipments[Part Name],$A25,T_Shipments[Effective_Week],8)</f>
        <v/>
      </c>
      <c r="J25">
        <f>SUMIFS(T_Shipments[Confirmed_Qty],T_Shipments[Part Name],$A25,T_Shipments[Effective_Week],9)</f>
        <v/>
      </c>
      <c r="K25">
        <f>SUMIFS(T_Shipments[Confirmed_Qty],T_Shipments[Part Name],$A25,T_Shipments[Effective_Week],10)</f>
        <v/>
      </c>
      <c r="L25">
        <f>SUMIFS(T_Shipments[Confirmed_Qty],T_Shipments[Part Name],$A25,T_Shipments[Effective_Week],11)</f>
        <v/>
      </c>
      <c r="M25">
        <f>SUMIFS(T_Shipments[Confirmed_Qty],T_Shipments[Part Name],$A25,T_Shipments[Effective_Week],12)</f>
        <v/>
      </c>
      <c r="N25">
        <f>SUMIFS(T_Shipments[Confirmed_Qty],T_Shipments[Part Name],$A25,T_Shipments[Effective_Week],13)</f>
        <v/>
      </c>
      <c r="O25">
        <f>SUMIFS(T_Shipments[Confirmed_Qty],T_Shipments[Part Name],$A25,T_Shipments[Effective_Week],14)</f>
        <v/>
      </c>
      <c r="P25">
        <f>SUMIFS(T_Shipments[Confirmed_Qty],T_Shipments[Part Name],$A25,T_Shipments[Effective_Week],15)</f>
        <v/>
      </c>
      <c r="Q25">
        <f>SUMIFS(T_Shipments[Confirmed_Qty],T_Shipments[Part Name],$A25,T_Shipments[Effective_Week],16)</f>
        <v/>
      </c>
      <c r="R25">
        <f>SUMIFS(T_Shipments[Confirmed_Qty],T_Shipments[Part Name],$A25,T_Shipments[Effective_Week],17)</f>
        <v/>
      </c>
      <c r="S25">
        <f>SUMIFS(T_Shipments[Confirmed_Qty],T_Shipments[Part Name],$A25,T_Shipments[Effective_Week],18)</f>
        <v/>
      </c>
      <c r="T25">
        <f>SUMIFS(T_Shipments[Confirmed_Qty],T_Shipments[Part Name],$A25,T_Shipments[Effective_Week],19)</f>
        <v/>
      </c>
      <c r="U25">
        <f>SUMIFS(T_Shipments[Confirmed_Qty],T_Shipments[Part Name],$A25,T_Shipments[Effective_Week],20)</f>
        <v/>
      </c>
      <c r="V25">
        <f>SUMIFS(T_Shipments[Confirmed_Qty],T_Shipments[Part Name],$A25,T_Shipments[Effective_Week],21)</f>
        <v/>
      </c>
      <c r="W25">
        <f>SUMIFS(T_Shipments[Confirmed_Qty],T_Shipments[Part Name],$A25,T_Shipments[Effective_Week],22)</f>
        <v/>
      </c>
      <c r="X25">
        <f>SUMIFS(T_Shipments[Confirmed_Qty],T_Shipments[Part Name],$A25,T_Shipments[Effective_Week],23)</f>
        <v/>
      </c>
      <c r="Y25">
        <f>SUMIFS(T_Shipments[Confirmed_Qty],T_Shipments[Part Name],$A25,T_Shipments[Effective_Week],24)</f>
        <v/>
      </c>
      <c r="Z25">
        <f>SUMIFS(T_Shipments[Confirmed_Qty],T_Shipments[Part Name],$A25,T_Shipments[Effective_Week],25)</f>
        <v/>
      </c>
      <c r="AA25">
        <f>SUMIFS(T_Shipments[Confirmed_Qty],T_Shipments[Part Name],$A25,T_Shipments[Effective_Week],26)</f>
        <v/>
      </c>
      <c r="AB25">
        <f>SUMIFS(T_Shipments[Confirmed_Qty],T_Shipments[Part Name],$A25,T_Shipments[Effective_Week],27)</f>
        <v/>
      </c>
      <c r="AC25">
        <f>SUMIFS(T_Shipments[Confirmed_Qty],T_Shipments[Part Name],$A25,T_Shipments[Effective_Week],28)</f>
        <v/>
      </c>
      <c r="AD25">
        <f>SUMIFS(T_Shipments[Confirmed_Qty],T_Shipments[Part Name],$A25,T_Shipments[Effective_Week],29)</f>
        <v/>
      </c>
      <c r="AE25">
        <f>SUMIFS(T_Shipments[Confirmed_Qty],T_Shipments[Part Name],$A25,T_Shipments[Effective_Week],30)</f>
        <v/>
      </c>
      <c r="AF25">
        <f>SUMIFS(T_Shipments[Confirmed_Qty],T_Shipments[Part Name],$A25,T_Shipments[Effective_Week],31)</f>
        <v/>
      </c>
      <c r="AG25">
        <f>SUMIFS(T_Shipments[Confirmed_Qty],T_Shipments[Part Name],$A25,T_Shipments[Effective_Week],32)</f>
        <v/>
      </c>
      <c r="AH25">
        <f>SUMIFS(T_Shipments[Confirmed_Qty],T_Shipments[Part Name],$A25,T_Shipments[Effective_Week],33)</f>
        <v/>
      </c>
      <c r="AI25">
        <f>SUMIFS(T_Shipments[Confirmed_Qty],T_Shipments[Part Name],$A25,T_Shipments[Effective_Week],34)</f>
        <v/>
      </c>
      <c r="AJ25">
        <f>SUMIFS(T_Shipments[Confirmed_Qty],T_Shipments[Part Name],$A25,T_Shipments[Effective_Week],35)</f>
        <v/>
      </c>
      <c r="AK25">
        <f>SUMIFS(T_Shipments[Confirmed_Qty],T_Shipments[Part Name],$A25,T_Shipments[Effective_Week],36)</f>
        <v/>
      </c>
      <c r="AL25">
        <f>SUMIFS(T_Shipments[Confirmed_Qty],T_Shipments[Part Name],$A25,T_Shipments[Effective_Week],37)</f>
        <v/>
      </c>
      <c r="AM25">
        <f>SUMIFS(T_Shipments[Confirmed_Qty],T_Shipments[Part Name],$A25,T_Shipments[Effective_Week],38)</f>
        <v/>
      </c>
      <c r="AN25">
        <f>SUMIFS(T_Shipments[Confirmed_Qty],T_Shipments[Part Name],$A25,T_Shipments[Effective_Week],39)</f>
        <v/>
      </c>
      <c r="AO25">
        <f>SUMIFS(T_Shipments[Confirmed_Qty],T_Shipments[Part Name],$A25,T_Shipments[Effective_Week],40)</f>
        <v/>
      </c>
      <c r="AP25">
        <f>SUMIFS(T_Shipments[Confirmed_Qty],T_Shipments[Part Name],$A25,T_Shipments[Effective_Week],41)</f>
        <v/>
      </c>
      <c r="AQ25">
        <f>SUMIFS(T_Shipments[Confirmed_Qty],T_Shipments[Part Name],$A25,T_Shipments[Effective_Week],42)</f>
        <v/>
      </c>
      <c r="AR25">
        <f>SUMIFS(T_Shipments[Confirmed_Qty],T_Shipments[Part Name],$A25,T_Shipments[Effective_Week],43)</f>
        <v/>
      </c>
      <c r="AS25">
        <f>SUMIFS(T_Shipments[Confirmed_Qty],T_Shipments[Part Name],$A25,T_Shipments[Effective_Week],44)</f>
        <v/>
      </c>
      <c r="AT25">
        <f>SUMIFS(T_Shipments[Confirmed_Qty],T_Shipments[Part Name],$A25,T_Shipments[Effective_Week],45)</f>
        <v/>
      </c>
      <c r="AU25">
        <f>SUMIFS(T_Shipments[Confirmed_Qty],T_Shipments[Part Name],$A25,T_Shipments[Effective_Week],46)</f>
        <v/>
      </c>
      <c r="AV25">
        <f>SUMIFS(T_Shipments[Confirmed_Qty],T_Shipments[Part Name],$A25,T_Shipments[Effective_Week],47)</f>
        <v/>
      </c>
      <c r="AW25">
        <f>SUMIFS(T_Shipments[Confirmed_Qty],T_Shipments[Part Name],$A25,T_Shipments[Effective_Week],48)</f>
        <v/>
      </c>
      <c r="AX25">
        <f>SUMIFS(T_Shipments[Confirmed_Qty],T_Shipments[Part Name],$A25,T_Shipments[Effective_Week],49)</f>
        <v/>
      </c>
      <c r="AY25">
        <f>SUMIFS(T_Shipments[Confirmed_Qty],T_Shipments[Part Name],$A25,T_Shipments[Effective_Week],50)</f>
        <v/>
      </c>
      <c r="AZ25">
        <f>SUMIFS(T_Shipments[Confirmed_Qty],T_Shipments[Part Name],$A25,T_Shipments[Effective_Week],51)</f>
        <v/>
      </c>
      <c r="BA25">
        <f>SUMIFS(T_Shipments[Confirmed_Qty],T_Shipments[Part Name],$A25,T_Shipments[Effective_Week],52)</f>
        <v/>
      </c>
      <c r="BB25">
        <f>SUMIFS(T_Shipments[Confirmed_Qty],T_Shipments[Part Name],$A25,T_Shipments[Effective_Week],53)</f>
        <v/>
      </c>
      <c r="BC25">
        <f>SUMIFS(T_Shipments[Confirmed_Qty],T_Shipments[Part Name],$A25,T_Shipments[Effective_Week],54)</f>
        <v/>
      </c>
      <c r="BD25">
        <f>SUMIFS(T_Shipments[Confirmed_Qty],T_Shipments[Part Name],$A25,T_Shipments[Effective_Week],55)</f>
        <v/>
      </c>
      <c r="BE25">
        <f>SUMIFS(T_Shipments[Confirmed_Qty],T_Shipments[Part Name],$A25,T_Shipments[Effective_Week],56)</f>
        <v/>
      </c>
      <c r="BF25">
        <f>SUMIFS(T_Shipments[Confirmed_Qty],T_Shipments[Part Name],$A25,T_Shipments[Effective_Week],57)</f>
        <v/>
      </c>
      <c r="BG25">
        <f>SUMIFS(T_Shipments[Confirmed_Qty],T_Shipments[Part Name],$A25,T_Shipments[Effective_Week],58)</f>
        <v/>
      </c>
      <c r="BH25">
        <f>SUMIFS(T_Shipments[Confirmed_Qty],T_Shipments[Part Name],$A25,T_Shipments[Effective_Week],59)</f>
        <v/>
      </c>
      <c r="BI25">
        <f>SUMIFS(T_Shipments[Confirmed_Qty],T_Shipments[Part Name],$A25,T_Shipments[Effective_Week],60)</f>
        <v/>
      </c>
      <c r="BJ25">
        <f>SUMIFS(T_Shipments[Confirmed_Qty],T_Shipments[Part Name],$A25,T_Shipments[Effective_Week],61)</f>
        <v/>
      </c>
      <c r="BK25">
        <f>SUMIFS(T_Shipments[Confirmed_Qty],T_Shipments[Part Name],$A25,T_Shipments[Effective_Week],62)</f>
        <v/>
      </c>
      <c r="BL25">
        <f>SUMIFS(T_Shipments[Confirmed_Qty],T_Shipments[Part Name],$A25,T_Shipments[Effective_Week],63)</f>
        <v/>
      </c>
      <c r="BM25">
        <f>SUMIFS(T_Shipments[Confirmed_Qty],T_Shipments[Part Name],$A25,T_Shipments[Effective_Week],64)</f>
        <v/>
      </c>
      <c r="BN25">
        <f>SUMIFS(T_Shipments[Confirmed_Qty],T_Shipments[Part Name],$A25,T_Shipments[Effective_Week],65)</f>
        <v/>
      </c>
      <c r="BO25">
        <f>SUMIFS(T_Shipments[Confirmed_Qty],T_Shipments[Part Name],$A25,T_Shipments[Effective_Week],66)</f>
        <v/>
      </c>
      <c r="BP25">
        <f>SUMIFS(T_Shipments[Confirmed_Qty],T_Shipments[Part Name],$A25,T_Shipments[Effective_Week],67)</f>
        <v/>
      </c>
      <c r="BQ25">
        <f>SUMIFS(T_Shipments[Confirmed_Qty],T_Shipments[Part Name],$A25,T_Shipments[Effective_Week],68)</f>
        <v/>
      </c>
      <c r="BR25">
        <f>SUMIFS(T_Shipments[Confirmed_Qty],T_Shipments[Part Name],$A25,T_Shipments[Effective_Week],69)</f>
        <v/>
      </c>
      <c r="BS25">
        <f>SUMIFS(T_Shipments[Confirmed_Qty],T_Shipments[Part Name],$A25,T_Shipments[Effective_Week],70)</f>
        <v/>
      </c>
      <c r="BT25">
        <f>SUMIFS(T_Shipments[Confirmed_Qty],T_Shipments[Part Name],$A25,T_Shipments[Effective_Week],71)</f>
        <v/>
      </c>
      <c r="BU25">
        <f>SUMIFS(T_Shipments[Confirmed_Qty],T_Shipments[Part Name],$A25,T_Shipments[Effective_Week],72)</f>
        <v/>
      </c>
      <c r="BV25">
        <f>SUMIFS(T_Shipments[Confirmed_Qty],T_Shipments[Part Name],$A25,T_Shipments[Effective_Week],73)</f>
        <v/>
      </c>
      <c r="BW25">
        <f>SUMIFS(T_Shipments[Confirmed_Qty],T_Shipments[Part Name],$A25,T_Shipments[Effective_Week],74)</f>
        <v/>
      </c>
      <c r="BX25">
        <f>SUMIFS(T_Shipments[Confirmed_Qty],T_Shipments[Part Name],$A25,T_Shipments[Effective_Week],75)</f>
        <v/>
      </c>
      <c r="BY25">
        <f>SUMIFS(T_Shipments[Confirmed_Qty],T_Shipments[Part Name],$A25,T_Shipments[Effective_Week],76)</f>
        <v/>
      </c>
      <c r="BZ25">
        <f>SUMIFS(T_Shipments[Confirmed_Qty],T_Shipments[Part Name],$A25,T_Shipments[Effective_Week],77)</f>
        <v/>
      </c>
      <c r="CA25">
        <f>SUMIFS(T_Shipments[Confirmed_Qty],T_Shipments[Part Name],$A25,T_Shipments[Effective_Week],78)</f>
        <v/>
      </c>
      <c r="CB25">
        <f>SUMIFS(T_Shipments[Confirmed_Qty],T_Shipments[Part Name],$A25,T_Shipments[Effective_Week],79)</f>
        <v/>
      </c>
      <c r="CC25">
        <f>SUMIFS(T_Shipments[Confirmed_Qty],T_Shipments[Part Name],$A25,T_Shipments[Effective_Week],80)</f>
        <v/>
      </c>
      <c r="CD25">
        <f>SUMIFS(T_Shipments[Confirmed_Qty],T_Shipments[Part Name],$A25,T_Shipments[Effective_Week],81)</f>
        <v/>
      </c>
      <c r="CE25">
        <f>SUMIFS(T_Shipments[Confirmed_Qty],T_Shipments[Part Name],$A25,T_Shipments[Effective_Week],82)</f>
        <v/>
      </c>
      <c r="CF25">
        <f>SUMIFS(T_Shipments[Confirmed_Qty],T_Shipments[Part Name],$A25,T_Shipments[Effective_Week],83)</f>
        <v/>
      </c>
      <c r="CG25">
        <f>SUMIFS(T_Shipments[Confirmed_Qty],T_Shipments[Part Name],$A25,T_Shipments[Effective_Week],84)</f>
        <v/>
      </c>
      <c r="CH25">
        <f>SUMIFS(T_Shipments[Confirmed_Qty],T_Shipments[Part Name],$A25,T_Shipments[Effective_Week],85)</f>
        <v/>
      </c>
      <c r="CI25">
        <f>SUMIFS(T_Shipments[Confirmed_Qty],T_Shipments[Part Name],$A25,T_Shipments[Effective_Week],86)</f>
        <v/>
      </c>
      <c r="CJ25">
        <f>SUMIFS(T_Shipments[Confirmed_Qty],T_Shipments[Part Name],$A25,T_Shipments[Effective_Week],87)</f>
        <v/>
      </c>
      <c r="CK25">
        <f>SUMIFS(T_Shipments[Confirmed_Qty],T_Shipments[Part Name],$A25,T_Shipments[Effective_Week],88)</f>
        <v/>
      </c>
      <c r="CL25">
        <f>SUMIFS(T_Shipments[Confirmed_Qty],T_Shipments[Part Name],$A25,T_Shipments[Effective_Week],89)</f>
        <v/>
      </c>
      <c r="CM25">
        <f>SUMIFS(T_Shipments[Confirmed_Qty],T_Shipments[Part Name],$A25,T_Shipments[Effective_Week],90)</f>
        <v/>
      </c>
      <c r="CN25">
        <f>SUMIFS(T_Shipments[Confirmed_Qty],T_Shipments[Part Name],$A25,T_Shipments[Effective_Week],91)</f>
        <v/>
      </c>
      <c r="CO25">
        <f>SUMIFS(T_Shipments[Confirmed_Qty],T_Shipments[Part Name],$A25,T_Shipments[Effective_Week],92)</f>
        <v/>
      </c>
      <c r="CP25">
        <f>SUMIFS(T_Shipments[Confirmed_Qty],T_Shipments[Part Name],$A25,T_Shipments[Effective_Week],93)</f>
        <v/>
      </c>
      <c r="CQ25">
        <f>SUMIFS(T_Shipments[Confirmed_Qty],T_Shipments[Part Name],$A25,T_Shipments[Effective_Week],94)</f>
        <v/>
      </c>
      <c r="CR25">
        <f>SUMIFS(T_Shipments[Confirmed_Qty],T_Shipments[Part Name],$A25,T_Shipments[Effective_Week],95)</f>
        <v/>
      </c>
      <c r="CS25">
        <f>SUMIFS(T_Shipments[Confirmed_Qty],T_Shipments[Part Name],$A25,T_Shipments[Effective_Week],96)</f>
        <v/>
      </c>
      <c r="CT25">
        <f>SUMIFS(T_Shipments[Confirmed_Qty],T_Shipments[Part Name],$A25,T_Shipments[Effective_Week],97)</f>
        <v/>
      </c>
      <c r="CU25">
        <f>SUMIFS(T_Shipments[Confirmed_Qty],T_Shipments[Part Name],$A25,T_Shipments[Effective_Week],98)</f>
        <v/>
      </c>
      <c r="CV25">
        <f>SUMIFS(T_Shipments[Confirmed_Qty],T_Shipments[Part Name],$A25,T_Shipments[Effective_Week],99)</f>
        <v/>
      </c>
      <c r="CW25">
        <f>SUMIFS(T_Shipments[Confirmed_Qty],T_Shipments[Part Name],$A25,T_Shipments[Effective_Week],100)</f>
        <v/>
      </c>
      <c r="CX25">
        <f>SUMIFS(T_Shipments[Confirmed_Qty],T_Shipments[Part Name],$A25,T_Shipments[Effective_Week],101)</f>
        <v/>
      </c>
      <c r="CY25">
        <f>SUMIFS(T_Shipments[Confirmed_Qty],T_Shipments[Part Name],$A25,T_Shipments[Effective_Week],102)</f>
        <v/>
      </c>
      <c r="CZ25">
        <f>SUMIFS(T_Shipments[Confirmed_Qty],T_Shipments[Part Name],$A25,T_Shipments[Effective_Week],103)</f>
        <v/>
      </c>
      <c r="DA25">
        <f>SUMIFS(T_Shipments[Confirmed_Qty],T_Shipments[Part Name],$A25,T_Shipments[Effective_Week],104)</f>
        <v/>
      </c>
    </row>
    <row r="26">
      <c r="A26" t="inlineStr">
        <is>
          <t>CHEM-1830</t>
        </is>
      </c>
      <c r="B26">
        <f>SUMIFS(T_Shipments[Confirmed_Qty],T_Shipments[Part Name],$A26,T_Shipments[Effective_Week],1)</f>
        <v/>
      </c>
      <c r="C26">
        <f>SUMIFS(T_Shipments[Confirmed_Qty],T_Shipments[Part Name],$A26,T_Shipments[Effective_Week],2)</f>
        <v/>
      </c>
      <c r="D26">
        <f>SUMIFS(T_Shipments[Confirmed_Qty],T_Shipments[Part Name],$A26,T_Shipments[Effective_Week],3)</f>
        <v/>
      </c>
      <c r="E26">
        <f>SUMIFS(T_Shipments[Confirmed_Qty],T_Shipments[Part Name],$A26,T_Shipments[Effective_Week],4)</f>
        <v/>
      </c>
      <c r="F26">
        <f>SUMIFS(T_Shipments[Confirmed_Qty],T_Shipments[Part Name],$A26,T_Shipments[Effective_Week],5)</f>
        <v/>
      </c>
      <c r="G26">
        <f>SUMIFS(T_Shipments[Confirmed_Qty],T_Shipments[Part Name],$A26,T_Shipments[Effective_Week],6)</f>
        <v/>
      </c>
      <c r="H26">
        <f>SUMIFS(T_Shipments[Confirmed_Qty],T_Shipments[Part Name],$A26,T_Shipments[Effective_Week],7)</f>
        <v/>
      </c>
      <c r="I26">
        <f>SUMIFS(T_Shipments[Confirmed_Qty],T_Shipments[Part Name],$A26,T_Shipments[Effective_Week],8)</f>
        <v/>
      </c>
      <c r="J26">
        <f>SUMIFS(T_Shipments[Confirmed_Qty],T_Shipments[Part Name],$A26,T_Shipments[Effective_Week],9)</f>
        <v/>
      </c>
      <c r="K26">
        <f>SUMIFS(T_Shipments[Confirmed_Qty],T_Shipments[Part Name],$A26,T_Shipments[Effective_Week],10)</f>
        <v/>
      </c>
      <c r="L26">
        <f>SUMIFS(T_Shipments[Confirmed_Qty],T_Shipments[Part Name],$A26,T_Shipments[Effective_Week],11)</f>
        <v/>
      </c>
      <c r="M26">
        <f>SUMIFS(T_Shipments[Confirmed_Qty],T_Shipments[Part Name],$A26,T_Shipments[Effective_Week],12)</f>
        <v/>
      </c>
      <c r="N26">
        <f>SUMIFS(T_Shipments[Confirmed_Qty],T_Shipments[Part Name],$A26,T_Shipments[Effective_Week],13)</f>
        <v/>
      </c>
      <c r="O26">
        <f>SUMIFS(T_Shipments[Confirmed_Qty],T_Shipments[Part Name],$A26,T_Shipments[Effective_Week],14)</f>
        <v/>
      </c>
      <c r="P26">
        <f>SUMIFS(T_Shipments[Confirmed_Qty],T_Shipments[Part Name],$A26,T_Shipments[Effective_Week],15)</f>
        <v/>
      </c>
      <c r="Q26">
        <f>SUMIFS(T_Shipments[Confirmed_Qty],T_Shipments[Part Name],$A26,T_Shipments[Effective_Week],16)</f>
        <v/>
      </c>
      <c r="R26">
        <f>SUMIFS(T_Shipments[Confirmed_Qty],T_Shipments[Part Name],$A26,T_Shipments[Effective_Week],17)</f>
        <v/>
      </c>
      <c r="S26">
        <f>SUMIFS(T_Shipments[Confirmed_Qty],T_Shipments[Part Name],$A26,T_Shipments[Effective_Week],18)</f>
        <v/>
      </c>
      <c r="T26">
        <f>SUMIFS(T_Shipments[Confirmed_Qty],T_Shipments[Part Name],$A26,T_Shipments[Effective_Week],19)</f>
        <v/>
      </c>
      <c r="U26">
        <f>SUMIFS(T_Shipments[Confirmed_Qty],T_Shipments[Part Name],$A26,T_Shipments[Effective_Week],20)</f>
        <v/>
      </c>
      <c r="V26">
        <f>SUMIFS(T_Shipments[Confirmed_Qty],T_Shipments[Part Name],$A26,T_Shipments[Effective_Week],21)</f>
        <v/>
      </c>
      <c r="W26">
        <f>SUMIFS(T_Shipments[Confirmed_Qty],T_Shipments[Part Name],$A26,T_Shipments[Effective_Week],22)</f>
        <v/>
      </c>
      <c r="X26">
        <f>SUMIFS(T_Shipments[Confirmed_Qty],T_Shipments[Part Name],$A26,T_Shipments[Effective_Week],23)</f>
        <v/>
      </c>
      <c r="Y26">
        <f>SUMIFS(T_Shipments[Confirmed_Qty],T_Shipments[Part Name],$A26,T_Shipments[Effective_Week],24)</f>
        <v/>
      </c>
      <c r="Z26">
        <f>SUMIFS(T_Shipments[Confirmed_Qty],T_Shipments[Part Name],$A26,T_Shipments[Effective_Week],25)</f>
        <v/>
      </c>
      <c r="AA26">
        <f>SUMIFS(T_Shipments[Confirmed_Qty],T_Shipments[Part Name],$A26,T_Shipments[Effective_Week],26)</f>
        <v/>
      </c>
      <c r="AB26">
        <f>SUMIFS(T_Shipments[Confirmed_Qty],T_Shipments[Part Name],$A26,T_Shipments[Effective_Week],27)</f>
        <v/>
      </c>
      <c r="AC26">
        <f>SUMIFS(T_Shipments[Confirmed_Qty],T_Shipments[Part Name],$A26,T_Shipments[Effective_Week],28)</f>
        <v/>
      </c>
      <c r="AD26">
        <f>SUMIFS(T_Shipments[Confirmed_Qty],T_Shipments[Part Name],$A26,T_Shipments[Effective_Week],29)</f>
        <v/>
      </c>
      <c r="AE26">
        <f>SUMIFS(T_Shipments[Confirmed_Qty],T_Shipments[Part Name],$A26,T_Shipments[Effective_Week],30)</f>
        <v/>
      </c>
      <c r="AF26">
        <f>SUMIFS(T_Shipments[Confirmed_Qty],T_Shipments[Part Name],$A26,T_Shipments[Effective_Week],31)</f>
        <v/>
      </c>
      <c r="AG26">
        <f>SUMIFS(T_Shipments[Confirmed_Qty],T_Shipments[Part Name],$A26,T_Shipments[Effective_Week],32)</f>
        <v/>
      </c>
      <c r="AH26">
        <f>SUMIFS(T_Shipments[Confirmed_Qty],T_Shipments[Part Name],$A26,T_Shipments[Effective_Week],33)</f>
        <v/>
      </c>
      <c r="AI26">
        <f>SUMIFS(T_Shipments[Confirmed_Qty],T_Shipments[Part Name],$A26,T_Shipments[Effective_Week],34)</f>
        <v/>
      </c>
      <c r="AJ26">
        <f>SUMIFS(T_Shipments[Confirmed_Qty],T_Shipments[Part Name],$A26,T_Shipments[Effective_Week],35)</f>
        <v/>
      </c>
      <c r="AK26">
        <f>SUMIFS(T_Shipments[Confirmed_Qty],T_Shipments[Part Name],$A26,T_Shipments[Effective_Week],36)</f>
        <v/>
      </c>
      <c r="AL26">
        <f>SUMIFS(T_Shipments[Confirmed_Qty],T_Shipments[Part Name],$A26,T_Shipments[Effective_Week],37)</f>
        <v/>
      </c>
      <c r="AM26">
        <f>SUMIFS(T_Shipments[Confirmed_Qty],T_Shipments[Part Name],$A26,T_Shipments[Effective_Week],38)</f>
        <v/>
      </c>
      <c r="AN26">
        <f>SUMIFS(T_Shipments[Confirmed_Qty],T_Shipments[Part Name],$A26,T_Shipments[Effective_Week],39)</f>
        <v/>
      </c>
      <c r="AO26">
        <f>SUMIFS(T_Shipments[Confirmed_Qty],T_Shipments[Part Name],$A26,T_Shipments[Effective_Week],40)</f>
        <v/>
      </c>
      <c r="AP26">
        <f>SUMIFS(T_Shipments[Confirmed_Qty],T_Shipments[Part Name],$A26,T_Shipments[Effective_Week],41)</f>
        <v/>
      </c>
      <c r="AQ26">
        <f>SUMIFS(T_Shipments[Confirmed_Qty],T_Shipments[Part Name],$A26,T_Shipments[Effective_Week],42)</f>
        <v/>
      </c>
      <c r="AR26">
        <f>SUMIFS(T_Shipments[Confirmed_Qty],T_Shipments[Part Name],$A26,T_Shipments[Effective_Week],43)</f>
        <v/>
      </c>
      <c r="AS26">
        <f>SUMIFS(T_Shipments[Confirmed_Qty],T_Shipments[Part Name],$A26,T_Shipments[Effective_Week],44)</f>
        <v/>
      </c>
      <c r="AT26">
        <f>SUMIFS(T_Shipments[Confirmed_Qty],T_Shipments[Part Name],$A26,T_Shipments[Effective_Week],45)</f>
        <v/>
      </c>
      <c r="AU26">
        <f>SUMIFS(T_Shipments[Confirmed_Qty],T_Shipments[Part Name],$A26,T_Shipments[Effective_Week],46)</f>
        <v/>
      </c>
      <c r="AV26">
        <f>SUMIFS(T_Shipments[Confirmed_Qty],T_Shipments[Part Name],$A26,T_Shipments[Effective_Week],47)</f>
        <v/>
      </c>
      <c r="AW26">
        <f>SUMIFS(T_Shipments[Confirmed_Qty],T_Shipments[Part Name],$A26,T_Shipments[Effective_Week],48)</f>
        <v/>
      </c>
      <c r="AX26">
        <f>SUMIFS(T_Shipments[Confirmed_Qty],T_Shipments[Part Name],$A26,T_Shipments[Effective_Week],49)</f>
        <v/>
      </c>
      <c r="AY26">
        <f>SUMIFS(T_Shipments[Confirmed_Qty],T_Shipments[Part Name],$A26,T_Shipments[Effective_Week],50)</f>
        <v/>
      </c>
      <c r="AZ26">
        <f>SUMIFS(T_Shipments[Confirmed_Qty],T_Shipments[Part Name],$A26,T_Shipments[Effective_Week],51)</f>
        <v/>
      </c>
      <c r="BA26">
        <f>SUMIFS(T_Shipments[Confirmed_Qty],T_Shipments[Part Name],$A26,T_Shipments[Effective_Week],52)</f>
        <v/>
      </c>
      <c r="BB26">
        <f>SUMIFS(T_Shipments[Confirmed_Qty],T_Shipments[Part Name],$A26,T_Shipments[Effective_Week],53)</f>
        <v/>
      </c>
      <c r="BC26">
        <f>SUMIFS(T_Shipments[Confirmed_Qty],T_Shipments[Part Name],$A26,T_Shipments[Effective_Week],54)</f>
        <v/>
      </c>
      <c r="BD26">
        <f>SUMIFS(T_Shipments[Confirmed_Qty],T_Shipments[Part Name],$A26,T_Shipments[Effective_Week],55)</f>
        <v/>
      </c>
      <c r="BE26">
        <f>SUMIFS(T_Shipments[Confirmed_Qty],T_Shipments[Part Name],$A26,T_Shipments[Effective_Week],56)</f>
        <v/>
      </c>
      <c r="BF26">
        <f>SUMIFS(T_Shipments[Confirmed_Qty],T_Shipments[Part Name],$A26,T_Shipments[Effective_Week],57)</f>
        <v/>
      </c>
      <c r="BG26">
        <f>SUMIFS(T_Shipments[Confirmed_Qty],T_Shipments[Part Name],$A26,T_Shipments[Effective_Week],58)</f>
        <v/>
      </c>
      <c r="BH26">
        <f>SUMIFS(T_Shipments[Confirmed_Qty],T_Shipments[Part Name],$A26,T_Shipments[Effective_Week],59)</f>
        <v/>
      </c>
      <c r="BI26">
        <f>SUMIFS(T_Shipments[Confirmed_Qty],T_Shipments[Part Name],$A26,T_Shipments[Effective_Week],60)</f>
        <v/>
      </c>
      <c r="BJ26">
        <f>SUMIFS(T_Shipments[Confirmed_Qty],T_Shipments[Part Name],$A26,T_Shipments[Effective_Week],61)</f>
        <v/>
      </c>
      <c r="BK26">
        <f>SUMIFS(T_Shipments[Confirmed_Qty],T_Shipments[Part Name],$A26,T_Shipments[Effective_Week],62)</f>
        <v/>
      </c>
      <c r="BL26">
        <f>SUMIFS(T_Shipments[Confirmed_Qty],T_Shipments[Part Name],$A26,T_Shipments[Effective_Week],63)</f>
        <v/>
      </c>
      <c r="BM26">
        <f>SUMIFS(T_Shipments[Confirmed_Qty],T_Shipments[Part Name],$A26,T_Shipments[Effective_Week],64)</f>
        <v/>
      </c>
      <c r="BN26">
        <f>SUMIFS(T_Shipments[Confirmed_Qty],T_Shipments[Part Name],$A26,T_Shipments[Effective_Week],65)</f>
        <v/>
      </c>
      <c r="BO26">
        <f>SUMIFS(T_Shipments[Confirmed_Qty],T_Shipments[Part Name],$A26,T_Shipments[Effective_Week],66)</f>
        <v/>
      </c>
      <c r="BP26">
        <f>SUMIFS(T_Shipments[Confirmed_Qty],T_Shipments[Part Name],$A26,T_Shipments[Effective_Week],67)</f>
        <v/>
      </c>
      <c r="BQ26">
        <f>SUMIFS(T_Shipments[Confirmed_Qty],T_Shipments[Part Name],$A26,T_Shipments[Effective_Week],68)</f>
        <v/>
      </c>
      <c r="BR26">
        <f>SUMIFS(T_Shipments[Confirmed_Qty],T_Shipments[Part Name],$A26,T_Shipments[Effective_Week],69)</f>
        <v/>
      </c>
      <c r="BS26">
        <f>SUMIFS(T_Shipments[Confirmed_Qty],T_Shipments[Part Name],$A26,T_Shipments[Effective_Week],70)</f>
        <v/>
      </c>
      <c r="BT26">
        <f>SUMIFS(T_Shipments[Confirmed_Qty],T_Shipments[Part Name],$A26,T_Shipments[Effective_Week],71)</f>
        <v/>
      </c>
      <c r="BU26">
        <f>SUMIFS(T_Shipments[Confirmed_Qty],T_Shipments[Part Name],$A26,T_Shipments[Effective_Week],72)</f>
        <v/>
      </c>
      <c r="BV26">
        <f>SUMIFS(T_Shipments[Confirmed_Qty],T_Shipments[Part Name],$A26,T_Shipments[Effective_Week],73)</f>
        <v/>
      </c>
      <c r="BW26">
        <f>SUMIFS(T_Shipments[Confirmed_Qty],T_Shipments[Part Name],$A26,T_Shipments[Effective_Week],74)</f>
        <v/>
      </c>
      <c r="BX26">
        <f>SUMIFS(T_Shipments[Confirmed_Qty],T_Shipments[Part Name],$A26,T_Shipments[Effective_Week],75)</f>
        <v/>
      </c>
      <c r="BY26">
        <f>SUMIFS(T_Shipments[Confirmed_Qty],T_Shipments[Part Name],$A26,T_Shipments[Effective_Week],76)</f>
        <v/>
      </c>
      <c r="BZ26">
        <f>SUMIFS(T_Shipments[Confirmed_Qty],T_Shipments[Part Name],$A26,T_Shipments[Effective_Week],77)</f>
        <v/>
      </c>
      <c r="CA26">
        <f>SUMIFS(T_Shipments[Confirmed_Qty],T_Shipments[Part Name],$A26,T_Shipments[Effective_Week],78)</f>
        <v/>
      </c>
      <c r="CB26">
        <f>SUMIFS(T_Shipments[Confirmed_Qty],T_Shipments[Part Name],$A26,T_Shipments[Effective_Week],79)</f>
        <v/>
      </c>
      <c r="CC26">
        <f>SUMIFS(T_Shipments[Confirmed_Qty],T_Shipments[Part Name],$A26,T_Shipments[Effective_Week],80)</f>
        <v/>
      </c>
      <c r="CD26">
        <f>SUMIFS(T_Shipments[Confirmed_Qty],T_Shipments[Part Name],$A26,T_Shipments[Effective_Week],81)</f>
        <v/>
      </c>
      <c r="CE26">
        <f>SUMIFS(T_Shipments[Confirmed_Qty],T_Shipments[Part Name],$A26,T_Shipments[Effective_Week],82)</f>
        <v/>
      </c>
      <c r="CF26">
        <f>SUMIFS(T_Shipments[Confirmed_Qty],T_Shipments[Part Name],$A26,T_Shipments[Effective_Week],83)</f>
        <v/>
      </c>
      <c r="CG26">
        <f>SUMIFS(T_Shipments[Confirmed_Qty],T_Shipments[Part Name],$A26,T_Shipments[Effective_Week],84)</f>
        <v/>
      </c>
      <c r="CH26">
        <f>SUMIFS(T_Shipments[Confirmed_Qty],T_Shipments[Part Name],$A26,T_Shipments[Effective_Week],85)</f>
        <v/>
      </c>
      <c r="CI26">
        <f>SUMIFS(T_Shipments[Confirmed_Qty],T_Shipments[Part Name],$A26,T_Shipments[Effective_Week],86)</f>
        <v/>
      </c>
      <c r="CJ26">
        <f>SUMIFS(T_Shipments[Confirmed_Qty],T_Shipments[Part Name],$A26,T_Shipments[Effective_Week],87)</f>
        <v/>
      </c>
      <c r="CK26">
        <f>SUMIFS(T_Shipments[Confirmed_Qty],T_Shipments[Part Name],$A26,T_Shipments[Effective_Week],88)</f>
        <v/>
      </c>
      <c r="CL26">
        <f>SUMIFS(T_Shipments[Confirmed_Qty],T_Shipments[Part Name],$A26,T_Shipments[Effective_Week],89)</f>
        <v/>
      </c>
      <c r="CM26">
        <f>SUMIFS(T_Shipments[Confirmed_Qty],T_Shipments[Part Name],$A26,T_Shipments[Effective_Week],90)</f>
        <v/>
      </c>
      <c r="CN26">
        <f>SUMIFS(T_Shipments[Confirmed_Qty],T_Shipments[Part Name],$A26,T_Shipments[Effective_Week],91)</f>
        <v/>
      </c>
      <c r="CO26">
        <f>SUMIFS(T_Shipments[Confirmed_Qty],T_Shipments[Part Name],$A26,T_Shipments[Effective_Week],92)</f>
        <v/>
      </c>
      <c r="CP26">
        <f>SUMIFS(T_Shipments[Confirmed_Qty],T_Shipments[Part Name],$A26,T_Shipments[Effective_Week],93)</f>
        <v/>
      </c>
      <c r="CQ26">
        <f>SUMIFS(T_Shipments[Confirmed_Qty],T_Shipments[Part Name],$A26,T_Shipments[Effective_Week],94)</f>
        <v/>
      </c>
      <c r="CR26">
        <f>SUMIFS(T_Shipments[Confirmed_Qty],T_Shipments[Part Name],$A26,T_Shipments[Effective_Week],95)</f>
        <v/>
      </c>
      <c r="CS26">
        <f>SUMIFS(T_Shipments[Confirmed_Qty],T_Shipments[Part Name],$A26,T_Shipments[Effective_Week],96)</f>
        <v/>
      </c>
      <c r="CT26">
        <f>SUMIFS(T_Shipments[Confirmed_Qty],T_Shipments[Part Name],$A26,T_Shipments[Effective_Week],97)</f>
        <v/>
      </c>
      <c r="CU26">
        <f>SUMIFS(T_Shipments[Confirmed_Qty],T_Shipments[Part Name],$A26,T_Shipments[Effective_Week],98)</f>
        <v/>
      </c>
      <c r="CV26">
        <f>SUMIFS(T_Shipments[Confirmed_Qty],T_Shipments[Part Name],$A26,T_Shipments[Effective_Week],99)</f>
        <v/>
      </c>
      <c r="CW26">
        <f>SUMIFS(T_Shipments[Confirmed_Qty],T_Shipments[Part Name],$A26,T_Shipments[Effective_Week],100)</f>
        <v/>
      </c>
      <c r="CX26">
        <f>SUMIFS(T_Shipments[Confirmed_Qty],T_Shipments[Part Name],$A26,T_Shipments[Effective_Week],101)</f>
        <v/>
      </c>
      <c r="CY26">
        <f>SUMIFS(T_Shipments[Confirmed_Qty],T_Shipments[Part Name],$A26,T_Shipments[Effective_Week],102)</f>
        <v/>
      </c>
      <c r="CZ26">
        <f>SUMIFS(T_Shipments[Confirmed_Qty],T_Shipments[Part Name],$A26,T_Shipments[Effective_Week],103)</f>
        <v/>
      </c>
      <c r="DA26">
        <f>SUMIFS(T_Shipments[Confirmed_Qty],T_Shipments[Part Name],$A26,T_Shipments[Effective_Week],104)</f>
        <v/>
      </c>
    </row>
    <row r="27">
      <c r="A27" t="inlineStr">
        <is>
          <t>CHEM-1680</t>
        </is>
      </c>
      <c r="B27">
        <f>SUMIFS(T_Shipments[Confirmed_Qty],T_Shipments[Part Name],$A27,T_Shipments[Effective_Week],1)</f>
        <v/>
      </c>
      <c r="C27">
        <f>SUMIFS(T_Shipments[Confirmed_Qty],T_Shipments[Part Name],$A27,T_Shipments[Effective_Week],2)</f>
        <v/>
      </c>
      <c r="D27">
        <f>SUMIFS(T_Shipments[Confirmed_Qty],T_Shipments[Part Name],$A27,T_Shipments[Effective_Week],3)</f>
        <v/>
      </c>
      <c r="E27">
        <f>SUMIFS(T_Shipments[Confirmed_Qty],T_Shipments[Part Name],$A27,T_Shipments[Effective_Week],4)</f>
        <v/>
      </c>
      <c r="F27">
        <f>SUMIFS(T_Shipments[Confirmed_Qty],T_Shipments[Part Name],$A27,T_Shipments[Effective_Week],5)</f>
        <v/>
      </c>
      <c r="G27">
        <f>SUMIFS(T_Shipments[Confirmed_Qty],T_Shipments[Part Name],$A27,T_Shipments[Effective_Week],6)</f>
        <v/>
      </c>
      <c r="H27">
        <f>SUMIFS(T_Shipments[Confirmed_Qty],T_Shipments[Part Name],$A27,T_Shipments[Effective_Week],7)</f>
        <v/>
      </c>
      <c r="I27">
        <f>SUMIFS(T_Shipments[Confirmed_Qty],T_Shipments[Part Name],$A27,T_Shipments[Effective_Week],8)</f>
        <v/>
      </c>
      <c r="J27">
        <f>SUMIFS(T_Shipments[Confirmed_Qty],T_Shipments[Part Name],$A27,T_Shipments[Effective_Week],9)</f>
        <v/>
      </c>
      <c r="K27">
        <f>SUMIFS(T_Shipments[Confirmed_Qty],T_Shipments[Part Name],$A27,T_Shipments[Effective_Week],10)</f>
        <v/>
      </c>
      <c r="L27">
        <f>SUMIFS(T_Shipments[Confirmed_Qty],T_Shipments[Part Name],$A27,T_Shipments[Effective_Week],11)</f>
        <v/>
      </c>
      <c r="M27">
        <f>SUMIFS(T_Shipments[Confirmed_Qty],T_Shipments[Part Name],$A27,T_Shipments[Effective_Week],12)</f>
        <v/>
      </c>
      <c r="N27">
        <f>SUMIFS(T_Shipments[Confirmed_Qty],T_Shipments[Part Name],$A27,T_Shipments[Effective_Week],13)</f>
        <v/>
      </c>
      <c r="O27">
        <f>SUMIFS(T_Shipments[Confirmed_Qty],T_Shipments[Part Name],$A27,T_Shipments[Effective_Week],14)</f>
        <v/>
      </c>
      <c r="P27">
        <f>SUMIFS(T_Shipments[Confirmed_Qty],T_Shipments[Part Name],$A27,T_Shipments[Effective_Week],15)</f>
        <v/>
      </c>
      <c r="Q27">
        <f>SUMIFS(T_Shipments[Confirmed_Qty],T_Shipments[Part Name],$A27,T_Shipments[Effective_Week],16)</f>
        <v/>
      </c>
      <c r="R27">
        <f>SUMIFS(T_Shipments[Confirmed_Qty],T_Shipments[Part Name],$A27,T_Shipments[Effective_Week],17)</f>
        <v/>
      </c>
      <c r="S27">
        <f>SUMIFS(T_Shipments[Confirmed_Qty],T_Shipments[Part Name],$A27,T_Shipments[Effective_Week],18)</f>
        <v/>
      </c>
      <c r="T27">
        <f>SUMIFS(T_Shipments[Confirmed_Qty],T_Shipments[Part Name],$A27,T_Shipments[Effective_Week],19)</f>
        <v/>
      </c>
      <c r="U27">
        <f>SUMIFS(T_Shipments[Confirmed_Qty],T_Shipments[Part Name],$A27,T_Shipments[Effective_Week],20)</f>
        <v/>
      </c>
      <c r="V27">
        <f>SUMIFS(T_Shipments[Confirmed_Qty],T_Shipments[Part Name],$A27,T_Shipments[Effective_Week],21)</f>
        <v/>
      </c>
      <c r="W27">
        <f>SUMIFS(T_Shipments[Confirmed_Qty],T_Shipments[Part Name],$A27,T_Shipments[Effective_Week],22)</f>
        <v/>
      </c>
      <c r="X27">
        <f>SUMIFS(T_Shipments[Confirmed_Qty],T_Shipments[Part Name],$A27,T_Shipments[Effective_Week],23)</f>
        <v/>
      </c>
      <c r="Y27">
        <f>SUMIFS(T_Shipments[Confirmed_Qty],T_Shipments[Part Name],$A27,T_Shipments[Effective_Week],24)</f>
        <v/>
      </c>
      <c r="Z27">
        <f>SUMIFS(T_Shipments[Confirmed_Qty],T_Shipments[Part Name],$A27,T_Shipments[Effective_Week],25)</f>
        <v/>
      </c>
      <c r="AA27">
        <f>SUMIFS(T_Shipments[Confirmed_Qty],T_Shipments[Part Name],$A27,T_Shipments[Effective_Week],26)</f>
        <v/>
      </c>
      <c r="AB27">
        <f>SUMIFS(T_Shipments[Confirmed_Qty],T_Shipments[Part Name],$A27,T_Shipments[Effective_Week],27)</f>
        <v/>
      </c>
      <c r="AC27">
        <f>SUMIFS(T_Shipments[Confirmed_Qty],T_Shipments[Part Name],$A27,T_Shipments[Effective_Week],28)</f>
        <v/>
      </c>
      <c r="AD27">
        <f>SUMIFS(T_Shipments[Confirmed_Qty],T_Shipments[Part Name],$A27,T_Shipments[Effective_Week],29)</f>
        <v/>
      </c>
      <c r="AE27">
        <f>SUMIFS(T_Shipments[Confirmed_Qty],T_Shipments[Part Name],$A27,T_Shipments[Effective_Week],30)</f>
        <v/>
      </c>
      <c r="AF27">
        <f>SUMIFS(T_Shipments[Confirmed_Qty],T_Shipments[Part Name],$A27,T_Shipments[Effective_Week],31)</f>
        <v/>
      </c>
      <c r="AG27">
        <f>SUMIFS(T_Shipments[Confirmed_Qty],T_Shipments[Part Name],$A27,T_Shipments[Effective_Week],32)</f>
        <v/>
      </c>
      <c r="AH27">
        <f>SUMIFS(T_Shipments[Confirmed_Qty],T_Shipments[Part Name],$A27,T_Shipments[Effective_Week],33)</f>
        <v/>
      </c>
      <c r="AI27">
        <f>SUMIFS(T_Shipments[Confirmed_Qty],T_Shipments[Part Name],$A27,T_Shipments[Effective_Week],34)</f>
        <v/>
      </c>
      <c r="AJ27">
        <f>SUMIFS(T_Shipments[Confirmed_Qty],T_Shipments[Part Name],$A27,T_Shipments[Effective_Week],35)</f>
        <v/>
      </c>
      <c r="AK27">
        <f>SUMIFS(T_Shipments[Confirmed_Qty],T_Shipments[Part Name],$A27,T_Shipments[Effective_Week],36)</f>
        <v/>
      </c>
      <c r="AL27">
        <f>SUMIFS(T_Shipments[Confirmed_Qty],T_Shipments[Part Name],$A27,T_Shipments[Effective_Week],37)</f>
        <v/>
      </c>
      <c r="AM27">
        <f>SUMIFS(T_Shipments[Confirmed_Qty],T_Shipments[Part Name],$A27,T_Shipments[Effective_Week],38)</f>
        <v/>
      </c>
      <c r="AN27">
        <f>SUMIFS(T_Shipments[Confirmed_Qty],T_Shipments[Part Name],$A27,T_Shipments[Effective_Week],39)</f>
        <v/>
      </c>
      <c r="AO27">
        <f>SUMIFS(T_Shipments[Confirmed_Qty],T_Shipments[Part Name],$A27,T_Shipments[Effective_Week],40)</f>
        <v/>
      </c>
      <c r="AP27">
        <f>SUMIFS(T_Shipments[Confirmed_Qty],T_Shipments[Part Name],$A27,T_Shipments[Effective_Week],41)</f>
        <v/>
      </c>
      <c r="AQ27">
        <f>SUMIFS(T_Shipments[Confirmed_Qty],T_Shipments[Part Name],$A27,T_Shipments[Effective_Week],42)</f>
        <v/>
      </c>
      <c r="AR27">
        <f>SUMIFS(T_Shipments[Confirmed_Qty],T_Shipments[Part Name],$A27,T_Shipments[Effective_Week],43)</f>
        <v/>
      </c>
      <c r="AS27">
        <f>SUMIFS(T_Shipments[Confirmed_Qty],T_Shipments[Part Name],$A27,T_Shipments[Effective_Week],44)</f>
        <v/>
      </c>
      <c r="AT27">
        <f>SUMIFS(T_Shipments[Confirmed_Qty],T_Shipments[Part Name],$A27,T_Shipments[Effective_Week],45)</f>
        <v/>
      </c>
      <c r="AU27">
        <f>SUMIFS(T_Shipments[Confirmed_Qty],T_Shipments[Part Name],$A27,T_Shipments[Effective_Week],46)</f>
        <v/>
      </c>
      <c r="AV27">
        <f>SUMIFS(T_Shipments[Confirmed_Qty],T_Shipments[Part Name],$A27,T_Shipments[Effective_Week],47)</f>
        <v/>
      </c>
      <c r="AW27">
        <f>SUMIFS(T_Shipments[Confirmed_Qty],T_Shipments[Part Name],$A27,T_Shipments[Effective_Week],48)</f>
        <v/>
      </c>
      <c r="AX27">
        <f>SUMIFS(T_Shipments[Confirmed_Qty],T_Shipments[Part Name],$A27,T_Shipments[Effective_Week],49)</f>
        <v/>
      </c>
      <c r="AY27">
        <f>SUMIFS(T_Shipments[Confirmed_Qty],T_Shipments[Part Name],$A27,T_Shipments[Effective_Week],50)</f>
        <v/>
      </c>
      <c r="AZ27">
        <f>SUMIFS(T_Shipments[Confirmed_Qty],T_Shipments[Part Name],$A27,T_Shipments[Effective_Week],51)</f>
        <v/>
      </c>
      <c r="BA27">
        <f>SUMIFS(T_Shipments[Confirmed_Qty],T_Shipments[Part Name],$A27,T_Shipments[Effective_Week],52)</f>
        <v/>
      </c>
      <c r="BB27">
        <f>SUMIFS(T_Shipments[Confirmed_Qty],T_Shipments[Part Name],$A27,T_Shipments[Effective_Week],53)</f>
        <v/>
      </c>
      <c r="BC27">
        <f>SUMIFS(T_Shipments[Confirmed_Qty],T_Shipments[Part Name],$A27,T_Shipments[Effective_Week],54)</f>
        <v/>
      </c>
      <c r="BD27">
        <f>SUMIFS(T_Shipments[Confirmed_Qty],T_Shipments[Part Name],$A27,T_Shipments[Effective_Week],55)</f>
        <v/>
      </c>
      <c r="BE27">
        <f>SUMIFS(T_Shipments[Confirmed_Qty],T_Shipments[Part Name],$A27,T_Shipments[Effective_Week],56)</f>
        <v/>
      </c>
      <c r="BF27">
        <f>SUMIFS(T_Shipments[Confirmed_Qty],T_Shipments[Part Name],$A27,T_Shipments[Effective_Week],57)</f>
        <v/>
      </c>
      <c r="BG27">
        <f>SUMIFS(T_Shipments[Confirmed_Qty],T_Shipments[Part Name],$A27,T_Shipments[Effective_Week],58)</f>
        <v/>
      </c>
      <c r="BH27">
        <f>SUMIFS(T_Shipments[Confirmed_Qty],T_Shipments[Part Name],$A27,T_Shipments[Effective_Week],59)</f>
        <v/>
      </c>
      <c r="BI27">
        <f>SUMIFS(T_Shipments[Confirmed_Qty],T_Shipments[Part Name],$A27,T_Shipments[Effective_Week],60)</f>
        <v/>
      </c>
      <c r="BJ27">
        <f>SUMIFS(T_Shipments[Confirmed_Qty],T_Shipments[Part Name],$A27,T_Shipments[Effective_Week],61)</f>
        <v/>
      </c>
      <c r="BK27">
        <f>SUMIFS(T_Shipments[Confirmed_Qty],T_Shipments[Part Name],$A27,T_Shipments[Effective_Week],62)</f>
        <v/>
      </c>
      <c r="BL27">
        <f>SUMIFS(T_Shipments[Confirmed_Qty],T_Shipments[Part Name],$A27,T_Shipments[Effective_Week],63)</f>
        <v/>
      </c>
      <c r="BM27">
        <f>SUMIFS(T_Shipments[Confirmed_Qty],T_Shipments[Part Name],$A27,T_Shipments[Effective_Week],64)</f>
        <v/>
      </c>
      <c r="BN27">
        <f>SUMIFS(T_Shipments[Confirmed_Qty],T_Shipments[Part Name],$A27,T_Shipments[Effective_Week],65)</f>
        <v/>
      </c>
      <c r="BO27">
        <f>SUMIFS(T_Shipments[Confirmed_Qty],T_Shipments[Part Name],$A27,T_Shipments[Effective_Week],66)</f>
        <v/>
      </c>
      <c r="BP27">
        <f>SUMIFS(T_Shipments[Confirmed_Qty],T_Shipments[Part Name],$A27,T_Shipments[Effective_Week],67)</f>
        <v/>
      </c>
      <c r="BQ27">
        <f>SUMIFS(T_Shipments[Confirmed_Qty],T_Shipments[Part Name],$A27,T_Shipments[Effective_Week],68)</f>
        <v/>
      </c>
      <c r="BR27">
        <f>SUMIFS(T_Shipments[Confirmed_Qty],T_Shipments[Part Name],$A27,T_Shipments[Effective_Week],69)</f>
        <v/>
      </c>
      <c r="BS27">
        <f>SUMIFS(T_Shipments[Confirmed_Qty],T_Shipments[Part Name],$A27,T_Shipments[Effective_Week],70)</f>
        <v/>
      </c>
      <c r="BT27">
        <f>SUMIFS(T_Shipments[Confirmed_Qty],T_Shipments[Part Name],$A27,T_Shipments[Effective_Week],71)</f>
        <v/>
      </c>
      <c r="BU27">
        <f>SUMIFS(T_Shipments[Confirmed_Qty],T_Shipments[Part Name],$A27,T_Shipments[Effective_Week],72)</f>
        <v/>
      </c>
      <c r="BV27">
        <f>SUMIFS(T_Shipments[Confirmed_Qty],T_Shipments[Part Name],$A27,T_Shipments[Effective_Week],73)</f>
        <v/>
      </c>
      <c r="BW27">
        <f>SUMIFS(T_Shipments[Confirmed_Qty],T_Shipments[Part Name],$A27,T_Shipments[Effective_Week],74)</f>
        <v/>
      </c>
      <c r="BX27">
        <f>SUMIFS(T_Shipments[Confirmed_Qty],T_Shipments[Part Name],$A27,T_Shipments[Effective_Week],75)</f>
        <v/>
      </c>
      <c r="BY27">
        <f>SUMIFS(T_Shipments[Confirmed_Qty],T_Shipments[Part Name],$A27,T_Shipments[Effective_Week],76)</f>
        <v/>
      </c>
      <c r="BZ27">
        <f>SUMIFS(T_Shipments[Confirmed_Qty],T_Shipments[Part Name],$A27,T_Shipments[Effective_Week],77)</f>
        <v/>
      </c>
      <c r="CA27">
        <f>SUMIFS(T_Shipments[Confirmed_Qty],T_Shipments[Part Name],$A27,T_Shipments[Effective_Week],78)</f>
        <v/>
      </c>
      <c r="CB27">
        <f>SUMIFS(T_Shipments[Confirmed_Qty],T_Shipments[Part Name],$A27,T_Shipments[Effective_Week],79)</f>
        <v/>
      </c>
      <c r="CC27">
        <f>SUMIFS(T_Shipments[Confirmed_Qty],T_Shipments[Part Name],$A27,T_Shipments[Effective_Week],80)</f>
        <v/>
      </c>
      <c r="CD27">
        <f>SUMIFS(T_Shipments[Confirmed_Qty],T_Shipments[Part Name],$A27,T_Shipments[Effective_Week],81)</f>
        <v/>
      </c>
      <c r="CE27">
        <f>SUMIFS(T_Shipments[Confirmed_Qty],T_Shipments[Part Name],$A27,T_Shipments[Effective_Week],82)</f>
        <v/>
      </c>
      <c r="CF27">
        <f>SUMIFS(T_Shipments[Confirmed_Qty],T_Shipments[Part Name],$A27,T_Shipments[Effective_Week],83)</f>
        <v/>
      </c>
      <c r="CG27">
        <f>SUMIFS(T_Shipments[Confirmed_Qty],T_Shipments[Part Name],$A27,T_Shipments[Effective_Week],84)</f>
        <v/>
      </c>
      <c r="CH27">
        <f>SUMIFS(T_Shipments[Confirmed_Qty],T_Shipments[Part Name],$A27,T_Shipments[Effective_Week],85)</f>
        <v/>
      </c>
      <c r="CI27">
        <f>SUMIFS(T_Shipments[Confirmed_Qty],T_Shipments[Part Name],$A27,T_Shipments[Effective_Week],86)</f>
        <v/>
      </c>
      <c r="CJ27">
        <f>SUMIFS(T_Shipments[Confirmed_Qty],T_Shipments[Part Name],$A27,T_Shipments[Effective_Week],87)</f>
        <v/>
      </c>
      <c r="CK27">
        <f>SUMIFS(T_Shipments[Confirmed_Qty],T_Shipments[Part Name],$A27,T_Shipments[Effective_Week],88)</f>
        <v/>
      </c>
      <c r="CL27">
        <f>SUMIFS(T_Shipments[Confirmed_Qty],T_Shipments[Part Name],$A27,T_Shipments[Effective_Week],89)</f>
        <v/>
      </c>
      <c r="CM27">
        <f>SUMIFS(T_Shipments[Confirmed_Qty],T_Shipments[Part Name],$A27,T_Shipments[Effective_Week],90)</f>
        <v/>
      </c>
      <c r="CN27">
        <f>SUMIFS(T_Shipments[Confirmed_Qty],T_Shipments[Part Name],$A27,T_Shipments[Effective_Week],91)</f>
        <v/>
      </c>
      <c r="CO27">
        <f>SUMIFS(T_Shipments[Confirmed_Qty],T_Shipments[Part Name],$A27,T_Shipments[Effective_Week],92)</f>
        <v/>
      </c>
      <c r="CP27">
        <f>SUMIFS(T_Shipments[Confirmed_Qty],T_Shipments[Part Name],$A27,T_Shipments[Effective_Week],93)</f>
        <v/>
      </c>
      <c r="CQ27">
        <f>SUMIFS(T_Shipments[Confirmed_Qty],T_Shipments[Part Name],$A27,T_Shipments[Effective_Week],94)</f>
        <v/>
      </c>
      <c r="CR27">
        <f>SUMIFS(T_Shipments[Confirmed_Qty],T_Shipments[Part Name],$A27,T_Shipments[Effective_Week],95)</f>
        <v/>
      </c>
      <c r="CS27">
        <f>SUMIFS(T_Shipments[Confirmed_Qty],T_Shipments[Part Name],$A27,T_Shipments[Effective_Week],96)</f>
        <v/>
      </c>
      <c r="CT27">
        <f>SUMIFS(T_Shipments[Confirmed_Qty],T_Shipments[Part Name],$A27,T_Shipments[Effective_Week],97)</f>
        <v/>
      </c>
      <c r="CU27">
        <f>SUMIFS(T_Shipments[Confirmed_Qty],T_Shipments[Part Name],$A27,T_Shipments[Effective_Week],98)</f>
        <v/>
      </c>
      <c r="CV27">
        <f>SUMIFS(T_Shipments[Confirmed_Qty],T_Shipments[Part Name],$A27,T_Shipments[Effective_Week],99)</f>
        <v/>
      </c>
      <c r="CW27">
        <f>SUMIFS(T_Shipments[Confirmed_Qty],T_Shipments[Part Name],$A27,T_Shipments[Effective_Week],100)</f>
        <v/>
      </c>
      <c r="CX27">
        <f>SUMIFS(T_Shipments[Confirmed_Qty],T_Shipments[Part Name],$A27,T_Shipments[Effective_Week],101)</f>
        <v/>
      </c>
      <c r="CY27">
        <f>SUMIFS(T_Shipments[Confirmed_Qty],T_Shipments[Part Name],$A27,T_Shipments[Effective_Week],102)</f>
        <v/>
      </c>
      <c r="CZ27">
        <f>SUMIFS(T_Shipments[Confirmed_Qty],T_Shipments[Part Name],$A27,T_Shipments[Effective_Week],103)</f>
        <v/>
      </c>
      <c r="DA27">
        <f>SUMIFS(T_Shipments[Confirmed_Qty],T_Shipments[Part Name],$A27,T_Shipments[Effective_Week],104)</f>
        <v/>
      </c>
    </row>
    <row r="28">
      <c r="A28" t="inlineStr">
        <is>
          <t>CHEM-1820</t>
        </is>
      </c>
      <c r="B28">
        <f>SUMIFS(T_Shipments[Confirmed_Qty],T_Shipments[Part Name],$A28,T_Shipments[Effective_Week],1)</f>
        <v/>
      </c>
      <c r="C28">
        <f>SUMIFS(T_Shipments[Confirmed_Qty],T_Shipments[Part Name],$A28,T_Shipments[Effective_Week],2)</f>
        <v/>
      </c>
      <c r="D28">
        <f>SUMIFS(T_Shipments[Confirmed_Qty],T_Shipments[Part Name],$A28,T_Shipments[Effective_Week],3)</f>
        <v/>
      </c>
      <c r="E28">
        <f>SUMIFS(T_Shipments[Confirmed_Qty],T_Shipments[Part Name],$A28,T_Shipments[Effective_Week],4)</f>
        <v/>
      </c>
      <c r="F28">
        <f>SUMIFS(T_Shipments[Confirmed_Qty],T_Shipments[Part Name],$A28,T_Shipments[Effective_Week],5)</f>
        <v/>
      </c>
      <c r="G28">
        <f>SUMIFS(T_Shipments[Confirmed_Qty],T_Shipments[Part Name],$A28,T_Shipments[Effective_Week],6)</f>
        <v/>
      </c>
      <c r="H28">
        <f>SUMIFS(T_Shipments[Confirmed_Qty],T_Shipments[Part Name],$A28,T_Shipments[Effective_Week],7)</f>
        <v/>
      </c>
      <c r="I28">
        <f>SUMIFS(T_Shipments[Confirmed_Qty],T_Shipments[Part Name],$A28,T_Shipments[Effective_Week],8)</f>
        <v/>
      </c>
      <c r="J28">
        <f>SUMIFS(T_Shipments[Confirmed_Qty],T_Shipments[Part Name],$A28,T_Shipments[Effective_Week],9)</f>
        <v/>
      </c>
      <c r="K28">
        <f>SUMIFS(T_Shipments[Confirmed_Qty],T_Shipments[Part Name],$A28,T_Shipments[Effective_Week],10)</f>
        <v/>
      </c>
      <c r="L28">
        <f>SUMIFS(T_Shipments[Confirmed_Qty],T_Shipments[Part Name],$A28,T_Shipments[Effective_Week],11)</f>
        <v/>
      </c>
      <c r="M28">
        <f>SUMIFS(T_Shipments[Confirmed_Qty],T_Shipments[Part Name],$A28,T_Shipments[Effective_Week],12)</f>
        <v/>
      </c>
      <c r="N28">
        <f>SUMIFS(T_Shipments[Confirmed_Qty],T_Shipments[Part Name],$A28,T_Shipments[Effective_Week],13)</f>
        <v/>
      </c>
      <c r="O28">
        <f>SUMIFS(T_Shipments[Confirmed_Qty],T_Shipments[Part Name],$A28,T_Shipments[Effective_Week],14)</f>
        <v/>
      </c>
      <c r="P28">
        <f>SUMIFS(T_Shipments[Confirmed_Qty],T_Shipments[Part Name],$A28,T_Shipments[Effective_Week],15)</f>
        <v/>
      </c>
      <c r="Q28">
        <f>SUMIFS(T_Shipments[Confirmed_Qty],T_Shipments[Part Name],$A28,T_Shipments[Effective_Week],16)</f>
        <v/>
      </c>
      <c r="R28">
        <f>SUMIFS(T_Shipments[Confirmed_Qty],T_Shipments[Part Name],$A28,T_Shipments[Effective_Week],17)</f>
        <v/>
      </c>
      <c r="S28">
        <f>SUMIFS(T_Shipments[Confirmed_Qty],T_Shipments[Part Name],$A28,T_Shipments[Effective_Week],18)</f>
        <v/>
      </c>
      <c r="T28">
        <f>SUMIFS(T_Shipments[Confirmed_Qty],T_Shipments[Part Name],$A28,T_Shipments[Effective_Week],19)</f>
        <v/>
      </c>
      <c r="U28">
        <f>SUMIFS(T_Shipments[Confirmed_Qty],T_Shipments[Part Name],$A28,T_Shipments[Effective_Week],20)</f>
        <v/>
      </c>
      <c r="V28">
        <f>SUMIFS(T_Shipments[Confirmed_Qty],T_Shipments[Part Name],$A28,T_Shipments[Effective_Week],21)</f>
        <v/>
      </c>
      <c r="W28">
        <f>SUMIFS(T_Shipments[Confirmed_Qty],T_Shipments[Part Name],$A28,T_Shipments[Effective_Week],22)</f>
        <v/>
      </c>
      <c r="X28">
        <f>SUMIFS(T_Shipments[Confirmed_Qty],T_Shipments[Part Name],$A28,T_Shipments[Effective_Week],23)</f>
        <v/>
      </c>
      <c r="Y28">
        <f>SUMIFS(T_Shipments[Confirmed_Qty],T_Shipments[Part Name],$A28,T_Shipments[Effective_Week],24)</f>
        <v/>
      </c>
      <c r="Z28">
        <f>SUMIFS(T_Shipments[Confirmed_Qty],T_Shipments[Part Name],$A28,T_Shipments[Effective_Week],25)</f>
        <v/>
      </c>
      <c r="AA28">
        <f>SUMIFS(T_Shipments[Confirmed_Qty],T_Shipments[Part Name],$A28,T_Shipments[Effective_Week],26)</f>
        <v/>
      </c>
      <c r="AB28">
        <f>SUMIFS(T_Shipments[Confirmed_Qty],T_Shipments[Part Name],$A28,T_Shipments[Effective_Week],27)</f>
        <v/>
      </c>
      <c r="AC28">
        <f>SUMIFS(T_Shipments[Confirmed_Qty],T_Shipments[Part Name],$A28,T_Shipments[Effective_Week],28)</f>
        <v/>
      </c>
      <c r="AD28">
        <f>SUMIFS(T_Shipments[Confirmed_Qty],T_Shipments[Part Name],$A28,T_Shipments[Effective_Week],29)</f>
        <v/>
      </c>
      <c r="AE28">
        <f>SUMIFS(T_Shipments[Confirmed_Qty],T_Shipments[Part Name],$A28,T_Shipments[Effective_Week],30)</f>
        <v/>
      </c>
      <c r="AF28">
        <f>SUMIFS(T_Shipments[Confirmed_Qty],T_Shipments[Part Name],$A28,T_Shipments[Effective_Week],31)</f>
        <v/>
      </c>
      <c r="AG28">
        <f>SUMIFS(T_Shipments[Confirmed_Qty],T_Shipments[Part Name],$A28,T_Shipments[Effective_Week],32)</f>
        <v/>
      </c>
      <c r="AH28">
        <f>SUMIFS(T_Shipments[Confirmed_Qty],T_Shipments[Part Name],$A28,T_Shipments[Effective_Week],33)</f>
        <v/>
      </c>
      <c r="AI28">
        <f>SUMIFS(T_Shipments[Confirmed_Qty],T_Shipments[Part Name],$A28,T_Shipments[Effective_Week],34)</f>
        <v/>
      </c>
      <c r="AJ28">
        <f>SUMIFS(T_Shipments[Confirmed_Qty],T_Shipments[Part Name],$A28,T_Shipments[Effective_Week],35)</f>
        <v/>
      </c>
      <c r="AK28">
        <f>SUMIFS(T_Shipments[Confirmed_Qty],T_Shipments[Part Name],$A28,T_Shipments[Effective_Week],36)</f>
        <v/>
      </c>
      <c r="AL28">
        <f>SUMIFS(T_Shipments[Confirmed_Qty],T_Shipments[Part Name],$A28,T_Shipments[Effective_Week],37)</f>
        <v/>
      </c>
      <c r="AM28">
        <f>SUMIFS(T_Shipments[Confirmed_Qty],T_Shipments[Part Name],$A28,T_Shipments[Effective_Week],38)</f>
        <v/>
      </c>
      <c r="AN28">
        <f>SUMIFS(T_Shipments[Confirmed_Qty],T_Shipments[Part Name],$A28,T_Shipments[Effective_Week],39)</f>
        <v/>
      </c>
      <c r="AO28">
        <f>SUMIFS(T_Shipments[Confirmed_Qty],T_Shipments[Part Name],$A28,T_Shipments[Effective_Week],40)</f>
        <v/>
      </c>
      <c r="AP28">
        <f>SUMIFS(T_Shipments[Confirmed_Qty],T_Shipments[Part Name],$A28,T_Shipments[Effective_Week],41)</f>
        <v/>
      </c>
      <c r="AQ28">
        <f>SUMIFS(T_Shipments[Confirmed_Qty],T_Shipments[Part Name],$A28,T_Shipments[Effective_Week],42)</f>
        <v/>
      </c>
      <c r="AR28">
        <f>SUMIFS(T_Shipments[Confirmed_Qty],T_Shipments[Part Name],$A28,T_Shipments[Effective_Week],43)</f>
        <v/>
      </c>
      <c r="AS28">
        <f>SUMIFS(T_Shipments[Confirmed_Qty],T_Shipments[Part Name],$A28,T_Shipments[Effective_Week],44)</f>
        <v/>
      </c>
      <c r="AT28">
        <f>SUMIFS(T_Shipments[Confirmed_Qty],T_Shipments[Part Name],$A28,T_Shipments[Effective_Week],45)</f>
        <v/>
      </c>
      <c r="AU28">
        <f>SUMIFS(T_Shipments[Confirmed_Qty],T_Shipments[Part Name],$A28,T_Shipments[Effective_Week],46)</f>
        <v/>
      </c>
      <c r="AV28">
        <f>SUMIFS(T_Shipments[Confirmed_Qty],T_Shipments[Part Name],$A28,T_Shipments[Effective_Week],47)</f>
        <v/>
      </c>
      <c r="AW28">
        <f>SUMIFS(T_Shipments[Confirmed_Qty],T_Shipments[Part Name],$A28,T_Shipments[Effective_Week],48)</f>
        <v/>
      </c>
      <c r="AX28">
        <f>SUMIFS(T_Shipments[Confirmed_Qty],T_Shipments[Part Name],$A28,T_Shipments[Effective_Week],49)</f>
        <v/>
      </c>
      <c r="AY28">
        <f>SUMIFS(T_Shipments[Confirmed_Qty],T_Shipments[Part Name],$A28,T_Shipments[Effective_Week],50)</f>
        <v/>
      </c>
      <c r="AZ28">
        <f>SUMIFS(T_Shipments[Confirmed_Qty],T_Shipments[Part Name],$A28,T_Shipments[Effective_Week],51)</f>
        <v/>
      </c>
      <c r="BA28">
        <f>SUMIFS(T_Shipments[Confirmed_Qty],T_Shipments[Part Name],$A28,T_Shipments[Effective_Week],52)</f>
        <v/>
      </c>
      <c r="BB28">
        <f>SUMIFS(T_Shipments[Confirmed_Qty],T_Shipments[Part Name],$A28,T_Shipments[Effective_Week],53)</f>
        <v/>
      </c>
      <c r="BC28">
        <f>SUMIFS(T_Shipments[Confirmed_Qty],T_Shipments[Part Name],$A28,T_Shipments[Effective_Week],54)</f>
        <v/>
      </c>
      <c r="BD28">
        <f>SUMIFS(T_Shipments[Confirmed_Qty],T_Shipments[Part Name],$A28,T_Shipments[Effective_Week],55)</f>
        <v/>
      </c>
      <c r="BE28">
        <f>SUMIFS(T_Shipments[Confirmed_Qty],T_Shipments[Part Name],$A28,T_Shipments[Effective_Week],56)</f>
        <v/>
      </c>
      <c r="BF28">
        <f>SUMIFS(T_Shipments[Confirmed_Qty],T_Shipments[Part Name],$A28,T_Shipments[Effective_Week],57)</f>
        <v/>
      </c>
      <c r="BG28">
        <f>SUMIFS(T_Shipments[Confirmed_Qty],T_Shipments[Part Name],$A28,T_Shipments[Effective_Week],58)</f>
        <v/>
      </c>
      <c r="BH28">
        <f>SUMIFS(T_Shipments[Confirmed_Qty],T_Shipments[Part Name],$A28,T_Shipments[Effective_Week],59)</f>
        <v/>
      </c>
      <c r="BI28">
        <f>SUMIFS(T_Shipments[Confirmed_Qty],T_Shipments[Part Name],$A28,T_Shipments[Effective_Week],60)</f>
        <v/>
      </c>
      <c r="BJ28">
        <f>SUMIFS(T_Shipments[Confirmed_Qty],T_Shipments[Part Name],$A28,T_Shipments[Effective_Week],61)</f>
        <v/>
      </c>
      <c r="BK28">
        <f>SUMIFS(T_Shipments[Confirmed_Qty],T_Shipments[Part Name],$A28,T_Shipments[Effective_Week],62)</f>
        <v/>
      </c>
      <c r="BL28">
        <f>SUMIFS(T_Shipments[Confirmed_Qty],T_Shipments[Part Name],$A28,T_Shipments[Effective_Week],63)</f>
        <v/>
      </c>
      <c r="BM28">
        <f>SUMIFS(T_Shipments[Confirmed_Qty],T_Shipments[Part Name],$A28,T_Shipments[Effective_Week],64)</f>
        <v/>
      </c>
      <c r="BN28">
        <f>SUMIFS(T_Shipments[Confirmed_Qty],T_Shipments[Part Name],$A28,T_Shipments[Effective_Week],65)</f>
        <v/>
      </c>
      <c r="BO28">
        <f>SUMIFS(T_Shipments[Confirmed_Qty],T_Shipments[Part Name],$A28,T_Shipments[Effective_Week],66)</f>
        <v/>
      </c>
      <c r="BP28">
        <f>SUMIFS(T_Shipments[Confirmed_Qty],T_Shipments[Part Name],$A28,T_Shipments[Effective_Week],67)</f>
        <v/>
      </c>
      <c r="BQ28">
        <f>SUMIFS(T_Shipments[Confirmed_Qty],T_Shipments[Part Name],$A28,T_Shipments[Effective_Week],68)</f>
        <v/>
      </c>
      <c r="BR28">
        <f>SUMIFS(T_Shipments[Confirmed_Qty],T_Shipments[Part Name],$A28,T_Shipments[Effective_Week],69)</f>
        <v/>
      </c>
      <c r="BS28">
        <f>SUMIFS(T_Shipments[Confirmed_Qty],T_Shipments[Part Name],$A28,T_Shipments[Effective_Week],70)</f>
        <v/>
      </c>
      <c r="BT28">
        <f>SUMIFS(T_Shipments[Confirmed_Qty],T_Shipments[Part Name],$A28,T_Shipments[Effective_Week],71)</f>
        <v/>
      </c>
      <c r="BU28">
        <f>SUMIFS(T_Shipments[Confirmed_Qty],T_Shipments[Part Name],$A28,T_Shipments[Effective_Week],72)</f>
        <v/>
      </c>
      <c r="BV28">
        <f>SUMIFS(T_Shipments[Confirmed_Qty],T_Shipments[Part Name],$A28,T_Shipments[Effective_Week],73)</f>
        <v/>
      </c>
      <c r="BW28">
        <f>SUMIFS(T_Shipments[Confirmed_Qty],T_Shipments[Part Name],$A28,T_Shipments[Effective_Week],74)</f>
        <v/>
      </c>
      <c r="BX28">
        <f>SUMIFS(T_Shipments[Confirmed_Qty],T_Shipments[Part Name],$A28,T_Shipments[Effective_Week],75)</f>
        <v/>
      </c>
      <c r="BY28">
        <f>SUMIFS(T_Shipments[Confirmed_Qty],T_Shipments[Part Name],$A28,T_Shipments[Effective_Week],76)</f>
        <v/>
      </c>
      <c r="BZ28">
        <f>SUMIFS(T_Shipments[Confirmed_Qty],T_Shipments[Part Name],$A28,T_Shipments[Effective_Week],77)</f>
        <v/>
      </c>
      <c r="CA28">
        <f>SUMIFS(T_Shipments[Confirmed_Qty],T_Shipments[Part Name],$A28,T_Shipments[Effective_Week],78)</f>
        <v/>
      </c>
      <c r="CB28">
        <f>SUMIFS(T_Shipments[Confirmed_Qty],T_Shipments[Part Name],$A28,T_Shipments[Effective_Week],79)</f>
        <v/>
      </c>
      <c r="CC28">
        <f>SUMIFS(T_Shipments[Confirmed_Qty],T_Shipments[Part Name],$A28,T_Shipments[Effective_Week],80)</f>
        <v/>
      </c>
      <c r="CD28">
        <f>SUMIFS(T_Shipments[Confirmed_Qty],T_Shipments[Part Name],$A28,T_Shipments[Effective_Week],81)</f>
        <v/>
      </c>
      <c r="CE28">
        <f>SUMIFS(T_Shipments[Confirmed_Qty],T_Shipments[Part Name],$A28,T_Shipments[Effective_Week],82)</f>
        <v/>
      </c>
      <c r="CF28">
        <f>SUMIFS(T_Shipments[Confirmed_Qty],T_Shipments[Part Name],$A28,T_Shipments[Effective_Week],83)</f>
        <v/>
      </c>
      <c r="CG28">
        <f>SUMIFS(T_Shipments[Confirmed_Qty],T_Shipments[Part Name],$A28,T_Shipments[Effective_Week],84)</f>
        <v/>
      </c>
      <c r="CH28">
        <f>SUMIFS(T_Shipments[Confirmed_Qty],T_Shipments[Part Name],$A28,T_Shipments[Effective_Week],85)</f>
        <v/>
      </c>
      <c r="CI28">
        <f>SUMIFS(T_Shipments[Confirmed_Qty],T_Shipments[Part Name],$A28,T_Shipments[Effective_Week],86)</f>
        <v/>
      </c>
      <c r="CJ28">
        <f>SUMIFS(T_Shipments[Confirmed_Qty],T_Shipments[Part Name],$A28,T_Shipments[Effective_Week],87)</f>
        <v/>
      </c>
      <c r="CK28">
        <f>SUMIFS(T_Shipments[Confirmed_Qty],T_Shipments[Part Name],$A28,T_Shipments[Effective_Week],88)</f>
        <v/>
      </c>
      <c r="CL28">
        <f>SUMIFS(T_Shipments[Confirmed_Qty],T_Shipments[Part Name],$A28,T_Shipments[Effective_Week],89)</f>
        <v/>
      </c>
      <c r="CM28">
        <f>SUMIFS(T_Shipments[Confirmed_Qty],T_Shipments[Part Name],$A28,T_Shipments[Effective_Week],90)</f>
        <v/>
      </c>
      <c r="CN28">
        <f>SUMIFS(T_Shipments[Confirmed_Qty],T_Shipments[Part Name],$A28,T_Shipments[Effective_Week],91)</f>
        <v/>
      </c>
      <c r="CO28">
        <f>SUMIFS(T_Shipments[Confirmed_Qty],T_Shipments[Part Name],$A28,T_Shipments[Effective_Week],92)</f>
        <v/>
      </c>
      <c r="CP28">
        <f>SUMIFS(T_Shipments[Confirmed_Qty],T_Shipments[Part Name],$A28,T_Shipments[Effective_Week],93)</f>
        <v/>
      </c>
      <c r="CQ28">
        <f>SUMIFS(T_Shipments[Confirmed_Qty],T_Shipments[Part Name],$A28,T_Shipments[Effective_Week],94)</f>
        <v/>
      </c>
      <c r="CR28">
        <f>SUMIFS(T_Shipments[Confirmed_Qty],T_Shipments[Part Name],$A28,T_Shipments[Effective_Week],95)</f>
        <v/>
      </c>
      <c r="CS28">
        <f>SUMIFS(T_Shipments[Confirmed_Qty],T_Shipments[Part Name],$A28,T_Shipments[Effective_Week],96)</f>
        <v/>
      </c>
      <c r="CT28">
        <f>SUMIFS(T_Shipments[Confirmed_Qty],T_Shipments[Part Name],$A28,T_Shipments[Effective_Week],97)</f>
        <v/>
      </c>
      <c r="CU28">
        <f>SUMIFS(T_Shipments[Confirmed_Qty],T_Shipments[Part Name],$A28,T_Shipments[Effective_Week],98)</f>
        <v/>
      </c>
      <c r="CV28">
        <f>SUMIFS(T_Shipments[Confirmed_Qty],T_Shipments[Part Name],$A28,T_Shipments[Effective_Week],99)</f>
        <v/>
      </c>
      <c r="CW28">
        <f>SUMIFS(T_Shipments[Confirmed_Qty],T_Shipments[Part Name],$A28,T_Shipments[Effective_Week],100)</f>
        <v/>
      </c>
      <c r="CX28">
        <f>SUMIFS(T_Shipments[Confirmed_Qty],T_Shipments[Part Name],$A28,T_Shipments[Effective_Week],101)</f>
        <v/>
      </c>
      <c r="CY28">
        <f>SUMIFS(T_Shipments[Confirmed_Qty],T_Shipments[Part Name],$A28,T_Shipments[Effective_Week],102)</f>
        <v/>
      </c>
      <c r="CZ28">
        <f>SUMIFS(T_Shipments[Confirmed_Qty],T_Shipments[Part Name],$A28,T_Shipments[Effective_Week],103)</f>
        <v/>
      </c>
      <c r="DA28">
        <f>SUMIFS(T_Shipments[Confirmed_Qty],T_Shipments[Part Name],$A28,T_Shipments[Effective_Week],104)</f>
        <v/>
      </c>
    </row>
    <row r="29">
      <c r="A29" t="inlineStr">
        <is>
          <t>CHEM-1840</t>
        </is>
      </c>
      <c r="B29">
        <f>SUMIFS(T_Shipments[Confirmed_Qty],T_Shipments[Part Name],$A29,T_Shipments[Effective_Week],1)</f>
        <v/>
      </c>
      <c r="C29">
        <f>SUMIFS(T_Shipments[Confirmed_Qty],T_Shipments[Part Name],$A29,T_Shipments[Effective_Week],2)</f>
        <v/>
      </c>
      <c r="D29">
        <f>SUMIFS(T_Shipments[Confirmed_Qty],T_Shipments[Part Name],$A29,T_Shipments[Effective_Week],3)</f>
        <v/>
      </c>
      <c r="E29">
        <f>SUMIFS(T_Shipments[Confirmed_Qty],T_Shipments[Part Name],$A29,T_Shipments[Effective_Week],4)</f>
        <v/>
      </c>
      <c r="F29">
        <f>SUMIFS(T_Shipments[Confirmed_Qty],T_Shipments[Part Name],$A29,T_Shipments[Effective_Week],5)</f>
        <v/>
      </c>
      <c r="G29">
        <f>SUMIFS(T_Shipments[Confirmed_Qty],T_Shipments[Part Name],$A29,T_Shipments[Effective_Week],6)</f>
        <v/>
      </c>
      <c r="H29">
        <f>SUMIFS(T_Shipments[Confirmed_Qty],T_Shipments[Part Name],$A29,T_Shipments[Effective_Week],7)</f>
        <v/>
      </c>
      <c r="I29">
        <f>SUMIFS(T_Shipments[Confirmed_Qty],T_Shipments[Part Name],$A29,T_Shipments[Effective_Week],8)</f>
        <v/>
      </c>
      <c r="J29">
        <f>SUMIFS(T_Shipments[Confirmed_Qty],T_Shipments[Part Name],$A29,T_Shipments[Effective_Week],9)</f>
        <v/>
      </c>
      <c r="K29">
        <f>SUMIFS(T_Shipments[Confirmed_Qty],T_Shipments[Part Name],$A29,T_Shipments[Effective_Week],10)</f>
        <v/>
      </c>
      <c r="L29">
        <f>SUMIFS(T_Shipments[Confirmed_Qty],T_Shipments[Part Name],$A29,T_Shipments[Effective_Week],11)</f>
        <v/>
      </c>
      <c r="M29">
        <f>SUMIFS(T_Shipments[Confirmed_Qty],T_Shipments[Part Name],$A29,T_Shipments[Effective_Week],12)</f>
        <v/>
      </c>
      <c r="N29">
        <f>SUMIFS(T_Shipments[Confirmed_Qty],T_Shipments[Part Name],$A29,T_Shipments[Effective_Week],13)</f>
        <v/>
      </c>
      <c r="O29">
        <f>SUMIFS(T_Shipments[Confirmed_Qty],T_Shipments[Part Name],$A29,T_Shipments[Effective_Week],14)</f>
        <v/>
      </c>
      <c r="P29">
        <f>SUMIFS(T_Shipments[Confirmed_Qty],T_Shipments[Part Name],$A29,T_Shipments[Effective_Week],15)</f>
        <v/>
      </c>
      <c r="Q29">
        <f>SUMIFS(T_Shipments[Confirmed_Qty],T_Shipments[Part Name],$A29,T_Shipments[Effective_Week],16)</f>
        <v/>
      </c>
      <c r="R29">
        <f>SUMIFS(T_Shipments[Confirmed_Qty],T_Shipments[Part Name],$A29,T_Shipments[Effective_Week],17)</f>
        <v/>
      </c>
      <c r="S29">
        <f>SUMIFS(T_Shipments[Confirmed_Qty],T_Shipments[Part Name],$A29,T_Shipments[Effective_Week],18)</f>
        <v/>
      </c>
      <c r="T29">
        <f>SUMIFS(T_Shipments[Confirmed_Qty],T_Shipments[Part Name],$A29,T_Shipments[Effective_Week],19)</f>
        <v/>
      </c>
      <c r="U29">
        <f>SUMIFS(T_Shipments[Confirmed_Qty],T_Shipments[Part Name],$A29,T_Shipments[Effective_Week],20)</f>
        <v/>
      </c>
      <c r="V29">
        <f>SUMIFS(T_Shipments[Confirmed_Qty],T_Shipments[Part Name],$A29,T_Shipments[Effective_Week],21)</f>
        <v/>
      </c>
      <c r="W29">
        <f>SUMIFS(T_Shipments[Confirmed_Qty],T_Shipments[Part Name],$A29,T_Shipments[Effective_Week],22)</f>
        <v/>
      </c>
      <c r="X29">
        <f>SUMIFS(T_Shipments[Confirmed_Qty],T_Shipments[Part Name],$A29,T_Shipments[Effective_Week],23)</f>
        <v/>
      </c>
      <c r="Y29">
        <f>SUMIFS(T_Shipments[Confirmed_Qty],T_Shipments[Part Name],$A29,T_Shipments[Effective_Week],24)</f>
        <v/>
      </c>
      <c r="Z29">
        <f>SUMIFS(T_Shipments[Confirmed_Qty],T_Shipments[Part Name],$A29,T_Shipments[Effective_Week],25)</f>
        <v/>
      </c>
      <c r="AA29">
        <f>SUMIFS(T_Shipments[Confirmed_Qty],T_Shipments[Part Name],$A29,T_Shipments[Effective_Week],26)</f>
        <v/>
      </c>
      <c r="AB29">
        <f>SUMIFS(T_Shipments[Confirmed_Qty],T_Shipments[Part Name],$A29,T_Shipments[Effective_Week],27)</f>
        <v/>
      </c>
      <c r="AC29">
        <f>SUMIFS(T_Shipments[Confirmed_Qty],T_Shipments[Part Name],$A29,T_Shipments[Effective_Week],28)</f>
        <v/>
      </c>
      <c r="AD29">
        <f>SUMIFS(T_Shipments[Confirmed_Qty],T_Shipments[Part Name],$A29,T_Shipments[Effective_Week],29)</f>
        <v/>
      </c>
      <c r="AE29">
        <f>SUMIFS(T_Shipments[Confirmed_Qty],T_Shipments[Part Name],$A29,T_Shipments[Effective_Week],30)</f>
        <v/>
      </c>
      <c r="AF29">
        <f>SUMIFS(T_Shipments[Confirmed_Qty],T_Shipments[Part Name],$A29,T_Shipments[Effective_Week],31)</f>
        <v/>
      </c>
      <c r="AG29">
        <f>SUMIFS(T_Shipments[Confirmed_Qty],T_Shipments[Part Name],$A29,T_Shipments[Effective_Week],32)</f>
        <v/>
      </c>
      <c r="AH29">
        <f>SUMIFS(T_Shipments[Confirmed_Qty],T_Shipments[Part Name],$A29,T_Shipments[Effective_Week],33)</f>
        <v/>
      </c>
      <c r="AI29">
        <f>SUMIFS(T_Shipments[Confirmed_Qty],T_Shipments[Part Name],$A29,T_Shipments[Effective_Week],34)</f>
        <v/>
      </c>
      <c r="AJ29">
        <f>SUMIFS(T_Shipments[Confirmed_Qty],T_Shipments[Part Name],$A29,T_Shipments[Effective_Week],35)</f>
        <v/>
      </c>
      <c r="AK29">
        <f>SUMIFS(T_Shipments[Confirmed_Qty],T_Shipments[Part Name],$A29,T_Shipments[Effective_Week],36)</f>
        <v/>
      </c>
      <c r="AL29">
        <f>SUMIFS(T_Shipments[Confirmed_Qty],T_Shipments[Part Name],$A29,T_Shipments[Effective_Week],37)</f>
        <v/>
      </c>
      <c r="AM29">
        <f>SUMIFS(T_Shipments[Confirmed_Qty],T_Shipments[Part Name],$A29,T_Shipments[Effective_Week],38)</f>
        <v/>
      </c>
      <c r="AN29">
        <f>SUMIFS(T_Shipments[Confirmed_Qty],T_Shipments[Part Name],$A29,T_Shipments[Effective_Week],39)</f>
        <v/>
      </c>
      <c r="AO29">
        <f>SUMIFS(T_Shipments[Confirmed_Qty],T_Shipments[Part Name],$A29,T_Shipments[Effective_Week],40)</f>
        <v/>
      </c>
      <c r="AP29">
        <f>SUMIFS(T_Shipments[Confirmed_Qty],T_Shipments[Part Name],$A29,T_Shipments[Effective_Week],41)</f>
        <v/>
      </c>
      <c r="AQ29">
        <f>SUMIFS(T_Shipments[Confirmed_Qty],T_Shipments[Part Name],$A29,T_Shipments[Effective_Week],42)</f>
        <v/>
      </c>
      <c r="AR29">
        <f>SUMIFS(T_Shipments[Confirmed_Qty],T_Shipments[Part Name],$A29,T_Shipments[Effective_Week],43)</f>
        <v/>
      </c>
      <c r="AS29">
        <f>SUMIFS(T_Shipments[Confirmed_Qty],T_Shipments[Part Name],$A29,T_Shipments[Effective_Week],44)</f>
        <v/>
      </c>
      <c r="AT29">
        <f>SUMIFS(T_Shipments[Confirmed_Qty],T_Shipments[Part Name],$A29,T_Shipments[Effective_Week],45)</f>
        <v/>
      </c>
      <c r="AU29">
        <f>SUMIFS(T_Shipments[Confirmed_Qty],T_Shipments[Part Name],$A29,T_Shipments[Effective_Week],46)</f>
        <v/>
      </c>
      <c r="AV29">
        <f>SUMIFS(T_Shipments[Confirmed_Qty],T_Shipments[Part Name],$A29,T_Shipments[Effective_Week],47)</f>
        <v/>
      </c>
      <c r="AW29">
        <f>SUMIFS(T_Shipments[Confirmed_Qty],T_Shipments[Part Name],$A29,T_Shipments[Effective_Week],48)</f>
        <v/>
      </c>
      <c r="AX29">
        <f>SUMIFS(T_Shipments[Confirmed_Qty],T_Shipments[Part Name],$A29,T_Shipments[Effective_Week],49)</f>
        <v/>
      </c>
      <c r="AY29">
        <f>SUMIFS(T_Shipments[Confirmed_Qty],T_Shipments[Part Name],$A29,T_Shipments[Effective_Week],50)</f>
        <v/>
      </c>
      <c r="AZ29">
        <f>SUMIFS(T_Shipments[Confirmed_Qty],T_Shipments[Part Name],$A29,T_Shipments[Effective_Week],51)</f>
        <v/>
      </c>
      <c r="BA29">
        <f>SUMIFS(T_Shipments[Confirmed_Qty],T_Shipments[Part Name],$A29,T_Shipments[Effective_Week],52)</f>
        <v/>
      </c>
      <c r="BB29">
        <f>SUMIFS(T_Shipments[Confirmed_Qty],T_Shipments[Part Name],$A29,T_Shipments[Effective_Week],53)</f>
        <v/>
      </c>
      <c r="BC29">
        <f>SUMIFS(T_Shipments[Confirmed_Qty],T_Shipments[Part Name],$A29,T_Shipments[Effective_Week],54)</f>
        <v/>
      </c>
      <c r="BD29">
        <f>SUMIFS(T_Shipments[Confirmed_Qty],T_Shipments[Part Name],$A29,T_Shipments[Effective_Week],55)</f>
        <v/>
      </c>
      <c r="BE29">
        <f>SUMIFS(T_Shipments[Confirmed_Qty],T_Shipments[Part Name],$A29,T_Shipments[Effective_Week],56)</f>
        <v/>
      </c>
      <c r="BF29">
        <f>SUMIFS(T_Shipments[Confirmed_Qty],T_Shipments[Part Name],$A29,T_Shipments[Effective_Week],57)</f>
        <v/>
      </c>
      <c r="BG29">
        <f>SUMIFS(T_Shipments[Confirmed_Qty],T_Shipments[Part Name],$A29,T_Shipments[Effective_Week],58)</f>
        <v/>
      </c>
      <c r="BH29">
        <f>SUMIFS(T_Shipments[Confirmed_Qty],T_Shipments[Part Name],$A29,T_Shipments[Effective_Week],59)</f>
        <v/>
      </c>
      <c r="BI29">
        <f>SUMIFS(T_Shipments[Confirmed_Qty],T_Shipments[Part Name],$A29,T_Shipments[Effective_Week],60)</f>
        <v/>
      </c>
      <c r="BJ29">
        <f>SUMIFS(T_Shipments[Confirmed_Qty],T_Shipments[Part Name],$A29,T_Shipments[Effective_Week],61)</f>
        <v/>
      </c>
      <c r="BK29">
        <f>SUMIFS(T_Shipments[Confirmed_Qty],T_Shipments[Part Name],$A29,T_Shipments[Effective_Week],62)</f>
        <v/>
      </c>
      <c r="BL29">
        <f>SUMIFS(T_Shipments[Confirmed_Qty],T_Shipments[Part Name],$A29,T_Shipments[Effective_Week],63)</f>
        <v/>
      </c>
      <c r="BM29">
        <f>SUMIFS(T_Shipments[Confirmed_Qty],T_Shipments[Part Name],$A29,T_Shipments[Effective_Week],64)</f>
        <v/>
      </c>
      <c r="BN29">
        <f>SUMIFS(T_Shipments[Confirmed_Qty],T_Shipments[Part Name],$A29,T_Shipments[Effective_Week],65)</f>
        <v/>
      </c>
      <c r="BO29">
        <f>SUMIFS(T_Shipments[Confirmed_Qty],T_Shipments[Part Name],$A29,T_Shipments[Effective_Week],66)</f>
        <v/>
      </c>
      <c r="BP29">
        <f>SUMIFS(T_Shipments[Confirmed_Qty],T_Shipments[Part Name],$A29,T_Shipments[Effective_Week],67)</f>
        <v/>
      </c>
      <c r="BQ29">
        <f>SUMIFS(T_Shipments[Confirmed_Qty],T_Shipments[Part Name],$A29,T_Shipments[Effective_Week],68)</f>
        <v/>
      </c>
      <c r="BR29">
        <f>SUMIFS(T_Shipments[Confirmed_Qty],T_Shipments[Part Name],$A29,T_Shipments[Effective_Week],69)</f>
        <v/>
      </c>
      <c r="BS29">
        <f>SUMIFS(T_Shipments[Confirmed_Qty],T_Shipments[Part Name],$A29,T_Shipments[Effective_Week],70)</f>
        <v/>
      </c>
      <c r="BT29">
        <f>SUMIFS(T_Shipments[Confirmed_Qty],T_Shipments[Part Name],$A29,T_Shipments[Effective_Week],71)</f>
        <v/>
      </c>
      <c r="BU29">
        <f>SUMIFS(T_Shipments[Confirmed_Qty],T_Shipments[Part Name],$A29,T_Shipments[Effective_Week],72)</f>
        <v/>
      </c>
      <c r="BV29">
        <f>SUMIFS(T_Shipments[Confirmed_Qty],T_Shipments[Part Name],$A29,T_Shipments[Effective_Week],73)</f>
        <v/>
      </c>
      <c r="BW29">
        <f>SUMIFS(T_Shipments[Confirmed_Qty],T_Shipments[Part Name],$A29,T_Shipments[Effective_Week],74)</f>
        <v/>
      </c>
      <c r="BX29">
        <f>SUMIFS(T_Shipments[Confirmed_Qty],T_Shipments[Part Name],$A29,T_Shipments[Effective_Week],75)</f>
        <v/>
      </c>
      <c r="BY29">
        <f>SUMIFS(T_Shipments[Confirmed_Qty],T_Shipments[Part Name],$A29,T_Shipments[Effective_Week],76)</f>
        <v/>
      </c>
      <c r="BZ29">
        <f>SUMIFS(T_Shipments[Confirmed_Qty],T_Shipments[Part Name],$A29,T_Shipments[Effective_Week],77)</f>
        <v/>
      </c>
      <c r="CA29">
        <f>SUMIFS(T_Shipments[Confirmed_Qty],T_Shipments[Part Name],$A29,T_Shipments[Effective_Week],78)</f>
        <v/>
      </c>
      <c r="CB29">
        <f>SUMIFS(T_Shipments[Confirmed_Qty],T_Shipments[Part Name],$A29,T_Shipments[Effective_Week],79)</f>
        <v/>
      </c>
      <c r="CC29">
        <f>SUMIFS(T_Shipments[Confirmed_Qty],T_Shipments[Part Name],$A29,T_Shipments[Effective_Week],80)</f>
        <v/>
      </c>
      <c r="CD29">
        <f>SUMIFS(T_Shipments[Confirmed_Qty],T_Shipments[Part Name],$A29,T_Shipments[Effective_Week],81)</f>
        <v/>
      </c>
      <c r="CE29">
        <f>SUMIFS(T_Shipments[Confirmed_Qty],T_Shipments[Part Name],$A29,T_Shipments[Effective_Week],82)</f>
        <v/>
      </c>
      <c r="CF29">
        <f>SUMIFS(T_Shipments[Confirmed_Qty],T_Shipments[Part Name],$A29,T_Shipments[Effective_Week],83)</f>
        <v/>
      </c>
      <c r="CG29">
        <f>SUMIFS(T_Shipments[Confirmed_Qty],T_Shipments[Part Name],$A29,T_Shipments[Effective_Week],84)</f>
        <v/>
      </c>
      <c r="CH29">
        <f>SUMIFS(T_Shipments[Confirmed_Qty],T_Shipments[Part Name],$A29,T_Shipments[Effective_Week],85)</f>
        <v/>
      </c>
      <c r="CI29">
        <f>SUMIFS(T_Shipments[Confirmed_Qty],T_Shipments[Part Name],$A29,T_Shipments[Effective_Week],86)</f>
        <v/>
      </c>
      <c r="CJ29">
        <f>SUMIFS(T_Shipments[Confirmed_Qty],T_Shipments[Part Name],$A29,T_Shipments[Effective_Week],87)</f>
        <v/>
      </c>
      <c r="CK29">
        <f>SUMIFS(T_Shipments[Confirmed_Qty],T_Shipments[Part Name],$A29,T_Shipments[Effective_Week],88)</f>
        <v/>
      </c>
      <c r="CL29">
        <f>SUMIFS(T_Shipments[Confirmed_Qty],T_Shipments[Part Name],$A29,T_Shipments[Effective_Week],89)</f>
        <v/>
      </c>
      <c r="CM29">
        <f>SUMIFS(T_Shipments[Confirmed_Qty],T_Shipments[Part Name],$A29,T_Shipments[Effective_Week],90)</f>
        <v/>
      </c>
      <c r="CN29">
        <f>SUMIFS(T_Shipments[Confirmed_Qty],T_Shipments[Part Name],$A29,T_Shipments[Effective_Week],91)</f>
        <v/>
      </c>
      <c r="CO29">
        <f>SUMIFS(T_Shipments[Confirmed_Qty],T_Shipments[Part Name],$A29,T_Shipments[Effective_Week],92)</f>
        <v/>
      </c>
      <c r="CP29">
        <f>SUMIFS(T_Shipments[Confirmed_Qty],T_Shipments[Part Name],$A29,T_Shipments[Effective_Week],93)</f>
        <v/>
      </c>
      <c r="CQ29">
        <f>SUMIFS(T_Shipments[Confirmed_Qty],T_Shipments[Part Name],$A29,T_Shipments[Effective_Week],94)</f>
        <v/>
      </c>
      <c r="CR29">
        <f>SUMIFS(T_Shipments[Confirmed_Qty],T_Shipments[Part Name],$A29,T_Shipments[Effective_Week],95)</f>
        <v/>
      </c>
      <c r="CS29">
        <f>SUMIFS(T_Shipments[Confirmed_Qty],T_Shipments[Part Name],$A29,T_Shipments[Effective_Week],96)</f>
        <v/>
      </c>
      <c r="CT29">
        <f>SUMIFS(T_Shipments[Confirmed_Qty],T_Shipments[Part Name],$A29,T_Shipments[Effective_Week],97)</f>
        <v/>
      </c>
      <c r="CU29">
        <f>SUMIFS(T_Shipments[Confirmed_Qty],T_Shipments[Part Name],$A29,T_Shipments[Effective_Week],98)</f>
        <v/>
      </c>
      <c r="CV29">
        <f>SUMIFS(T_Shipments[Confirmed_Qty],T_Shipments[Part Name],$A29,T_Shipments[Effective_Week],99)</f>
        <v/>
      </c>
      <c r="CW29">
        <f>SUMIFS(T_Shipments[Confirmed_Qty],T_Shipments[Part Name],$A29,T_Shipments[Effective_Week],100)</f>
        <v/>
      </c>
      <c r="CX29">
        <f>SUMIFS(T_Shipments[Confirmed_Qty],T_Shipments[Part Name],$A29,T_Shipments[Effective_Week],101)</f>
        <v/>
      </c>
      <c r="CY29">
        <f>SUMIFS(T_Shipments[Confirmed_Qty],T_Shipments[Part Name],$A29,T_Shipments[Effective_Week],102)</f>
        <v/>
      </c>
      <c r="CZ29">
        <f>SUMIFS(T_Shipments[Confirmed_Qty],T_Shipments[Part Name],$A29,T_Shipments[Effective_Week],103)</f>
        <v/>
      </c>
      <c r="DA29">
        <f>SUMIFS(T_Shipments[Confirmed_Qty],T_Shipments[Part Name],$A29,T_Shipments[Effective_Week],104)</f>
        <v/>
      </c>
    </row>
    <row r="30">
      <c r="A30" t="inlineStr">
        <is>
          <t>TDJ</t>
        </is>
      </c>
      <c r="B30">
        <f>SUMIFS(T_Shipments[Confirmed_Qty],T_Shipments[Part Name],$A30,T_Shipments[Effective_Week],1)</f>
        <v/>
      </c>
      <c r="C30">
        <f>SUMIFS(T_Shipments[Confirmed_Qty],T_Shipments[Part Name],$A30,T_Shipments[Effective_Week],2)</f>
        <v/>
      </c>
      <c r="D30">
        <f>SUMIFS(T_Shipments[Confirmed_Qty],T_Shipments[Part Name],$A30,T_Shipments[Effective_Week],3)</f>
        <v/>
      </c>
      <c r="E30">
        <f>SUMIFS(T_Shipments[Confirmed_Qty],T_Shipments[Part Name],$A30,T_Shipments[Effective_Week],4)</f>
        <v/>
      </c>
      <c r="F30">
        <f>SUMIFS(T_Shipments[Confirmed_Qty],T_Shipments[Part Name],$A30,T_Shipments[Effective_Week],5)</f>
        <v/>
      </c>
      <c r="G30">
        <f>SUMIFS(T_Shipments[Confirmed_Qty],T_Shipments[Part Name],$A30,T_Shipments[Effective_Week],6)</f>
        <v/>
      </c>
      <c r="H30">
        <f>SUMIFS(T_Shipments[Confirmed_Qty],T_Shipments[Part Name],$A30,T_Shipments[Effective_Week],7)</f>
        <v/>
      </c>
      <c r="I30">
        <f>SUMIFS(T_Shipments[Confirmed_Qty],T_Shipments[Part Name],$A30,T_Shipments[Effective_Week],8)</f>
        <v/>
      </c>
      <c r="J30">
        <f>SUMIFS(T_Shipments[Confirmed_Qty],T_Shipments[Part Name],$A30,T_Shipments[Effective_Week],9)</f>
        <v/>
      </c>
      <c r="K30">
        <f>SUMIFS(T_Shipments[Confirmed_Qty],T_Shipments[Part Name],$A30,T_Shipments[Effective_Week],10)</f>
        <v/>
      </c>
      <c r="L30">
        <f>SUMIFS(T_Shipments[Confirmed_Qty],T_Shipments[Part Name],$A30,T_Shipments[Effective_Week],11)</f>
        <v/>
      </c>
      <c r="M30">
        <f>SUMIFS(T_Shipments[Confirmed_Qty],T_Shipments[Part Name],$A30,T_Shipments[Effective_Week],12)</f>
        <v/>
      </c>
      <c r="N30">
        <f>SUMIFS(T_Shipments[Confirmed_Qty],T_Shipments[Part Name],$A30,T_Shipments[Effective_Week],13)</f>
        <v/>
      </c>
      <c r="O30">
        <f>SUMIFS(T_Shipments[Confirmed_Qty],T_Shipments[Part Name],$A30,T_Shipments[Effective_Week],14)</f>
        <v/>
      </c>
      <c r="P30">
        <f>SUMIFS(T_Shipments[Confirmed_Qty],T_Shipments[Part Name],$A30,T_Shipments[Effective_Week],15)</f>
        <v/>
      </c>
      <c r="Q30">
        <f>SUMIFS(T_Shipments[Confirmed_Qty],T_Shipments[Part Name],$A30,T_Shipments[Effective_Week],16)</f>
        <v/>
      </c>
      <c r="R30">
        <f>SUMIFS(T_Shipments[Confirmed_Qty],T_Shipments[Part Name],$A30,T_Shipments[Effective_Week],17)</f>
        <v/>
      </c>
      <c r="S30">
        <f>SUMIFS(T_Shipments[Confirmed_Qty],T_Shipments[Part Name],$A30,T_Shipments[Effective_Week],18)</f>
        <v/>
      </c>
      <c r="T30">
        <f>SUMIFS(T_Shipments[Confirmed_Qty],T_Shipments[Part Name],$A30,T_Shipments[Effective_Week],19)</f>
        <v/>
      </c>
      <c r="U30">
        <f>SUMIFS(T_Shipments[Confirmed_Qty],T_Shipments[Part Name],$A30,T_Shipments[Effective_Week],20)</f>
        <v/>
      </c>
      <c r="V30">
        <f>SUMIFS(T_Shipments[Confirmed_Qty],T_Shipments[Part Name],$A30,T_Shipments[Effective_Week],21)</f>
        <v/>
      </c>
      <c r="W30">
        <f>SUMIFS(T_Shipments[Confirmed_Qty],T_Shipments[Part Name],$A30,T_Shipments[Effective_Week],22)</f>
        <v/>
      </c>
      <c r="X30">
        <f>SUMIFS(T_Shipments[Confirmed_Qty],T_Shipments[Part Name],$A30,T_Shipments[Effective_Week],23)</f>
        <v/>
      </c>
      <c r="Y30">
        <f>SUMIFS(T_Shipments[Confirmed_Qty],T_Shipments[Part Name],$A30,T_Shipments[Effective_Week],24)</f>
        <v/>
      </c>
      <c r="Z30">
        <f>SUMIFS(T_Shipments[Confirmed_Qty],T_Shipments[Part Name],$A30,T_Shipments[Effective_Week],25)</f>
        <v/>
      </c>
      <c r="AA30">
        <f>SUMIFS(T_Shipments[Confirmed_Qty],T_Shipments[Part Name],$A30,T_Shipments[Effective_Week],26)</f>
        <v/>
      </c>
      <c r="AB30">
        <f>SUMIFS(T_Shipments[Confirmed_Qty],T_Shipments[Part Name],$A30,T_Shipments[Effective_Week],27)</f>
        <v/>
      </c>
      <c r="AC30">
        <f>SUMIFS(T_Shipments[Confirmed_Qty],T_Shipments[Part Name],$A30,T_Shipments[Effective_Week],28)</f>
        <v/>
      </c>
      <c r="AD30">
        <f>SUMIFS(T_Shipments[Confirmed_Qty],T_Shipments[Part Name],$A30,T_Shipments[Effective_Week],29)</f>
        <v/>
      </c>
      <c r="AE30">
        <f>SUMIFS(T_Shipments[Confirmed_Qty],T_Shipments[Part Name],$A30,T_Shipments[Effective_Week],30)</f>
        <v/>
      </c>
      <c r="AF30">
        <f>SUMIFS(T_Shipments[Confirmed_Qty],T_Shipments[Part Name],$A30,T_Shipments[Effective_Week],31)</f>
        <v/>
      </c>
      <c r="AG30">
        <f>SUMIFS(T_Shipments[Confirmed_Qty],T_Shipments[Part Name],$A30,T_Shipments[Effective_Week],32)</f>
        <v/>
      </c>
      <c r="AH30">
        <f>SUMIFS(T_Shipments[Confirmed_Qty],T_Shipments[Part Name],$A30,T_Shipments[Effective_Week],33)</f>
        <v/>
      </c>
      <c r="AI30">
        <f>SUMIFS(T_Shipments[Confirmed_Qty],T_Shipments[Part Name],$A30,T_Shipments[Effective_Week],34)</f>
        <v/>
      </c>
      <c r="AJ30">
        <f>SUMIFS(T_Shipments[Confirmed_Qty],T_Shipments[Part Name],$A30,T_Shipments[Effective_Week],35)</f>
        <v/>
      </c>
      <c r="AK30">
        <f>SUMIFS(T_Shipments[Confirmed_Qty],T_Shipments[Part Name],$A30,T_Shipments[Effective_Week],36)</f>
        <v/>
      </c>
      <c r="AL30">
        <f>SUMIFS(T_Shipments[Confirmed_Qty],T_Shipments[Part Name],$A30,T_Shipments[Effective_Week],37)</f>
        <v/>
      </c>
      <c r="AM30">
        <f>SUMIFS(T_Shipments[Confirmed_Qty],T_Shipments[Part Name],$A30,T_Shipments[Effective_Week],38)</f>
        <v/>
      </c>
      <c r="AN30">
        <f>SUMIFS(T_Shipments[Confirmed_Qty],T_Shipments[Part Name],$A30,T_Shipments[Effective_Week],39)</f>
        <v/>
      </c>
      <c r="AO30">
        <f>SUMIFS(T_Shipments[Confirmed_Qty],T_Shipments[Part Name],$A30,T_Shipments[Effective_Week],40)</f>
        <v/>
      </c>
      <c r="AP30">
        <f>SUMIFS(T_Shipments[Confirmed_Qty],T_Shipments[Part Name],$A30,T_Shipments[Effective_Week],41)</f>
        <v/>
      </c>
      <c r="AQ30">
        <f>SUMIFS(T_Shipments[Confirmed_Qty],T_Shipments[Part Name],$A30,T_Shipments[Effective_Week],42)</f>
        <v/>
      </c>
      <c r="AR30">
        <f>SUMIFS(T_Shipments[Confirmed_Qty],T_Shipments[Part Name],$A30,T_Shipments[Effective_Week],43)</f>
        <v/>
      </c>
      <c r="AS30">
        <f>SUMIFS(T_Shipments[Confirmed_Qty],T_Shipments[Part Name],$A30,T_Shipments[Effective_Week],44)</f>
        <v/>
      </c>
      <c r="AT30">
        <f>SUMIFS(T_Shipments[Confirmed_Qty],T_Shipments[Part Name],$A30,T_Shipments[Effective_Week],45)</f>
        <v/>
      </c>
      <c r="AU30">
        <f>SUMIFS(T_Shipments[Confirmed_Qty],T_Shipments[Part Name],$A30,T_Shipments[Effective_Week],46)</f>
        <v/>
      </c>
      <c r="AV30">
        <f>SUMIFS(T_Shipments[Confirmed_Qty],T_Shipments[Part Name],$A30,T_Shipments[Effective_Week],47)</f>
        <v/>
      </c>
      <c r="AW30">
        <f>SUMIFS(T_Shipments[Confirmed_Qty],T_Shipments[Part Name],$A30,T_Shipments[Effective_Week],48)</f>
        <v/>
      </c>
      <c r="AX30">
        <f>SUMIFS(T_Shipments[Confirmed_Qty],T_Shipments[Part Name],$A30,T_Shipments[Effective_Week],49)</f>
        <v/>
      </c>
      <c r="AY30">
        <f>SUMIFS(T_Shipments[Confirmed_Qty],T_Shipments[Part Name],$A30,T_Shipments[Effective_Week],50)</f>
        <v/>
      </c>
      <c r="AZ30">
        <f>SUMIFS(T_Shipments[Confirmed_Qty],T_Shipments[Part Name],$A30,T_Shipments[Effective_Week],51)</f>
        <v/>
      </c>
      <c r="BA30">
        <f>SUMIFS(T_Shipments[Confirmed_Qty],T_Shipments[Part Name],$A30,T_Shipments[Effective_Week],52)</f>
        <v/>
      </c>
      <c r="BB30">
        <f>SUMIFS(T_Shipments[Confirmed_Qty],T_Shipments[Part Name],$A30,T_Shipments[Effective_Week],53)</f>
        <v/>
      </c>
      <c r="BC30">
        <f>SUMIFS(T_Shipments[Confirmed_Qty],T_Shipments[Part Name],$A30,T_Shipments[Effective_Week],54)</f>
        <v/>
      </c>
      <c r="BD30">
        <f>SUMIFS(T_Shipments[Confirmed_Qty],T_Shipments[Part Name],$A30,T_Shipments[Effective_Week],55)</f>
        <v/>
      </c>
      <c r="BE30">
        <f>SUMIFS(T_Shipments[Confirmed_Qty],T_Shipments[Part Name],$A30,T_Shipments[Effective_Week],56)</f>
        <v/>
      </c>
      <c r="BF30">
        <f>SUMIFS(T_Shipments[Confirmed_Qty],T_Shipments[Part Name],$A30,T_Shipments[Effective_Week],57)</f>
        <v/>
      </c>
      <c r="BG30">
        <f>SUMIFS(T_Shipments[Confirmed_Qty],T_Shipments[Part Name],$A30,T_Shipments[Effective_Week],58)</f>
        <v/>
      </c>
      <c r="BH30">
        <f>SUMIFS(T_Shipments[Confirmed_Qty],T_Shipments[Part Name],$A30,T_Shipments[Effective_Week],59)</f>
        <v/>
      </c>
      <c r="BI30">
        <f>SUMIFS(T_Shipments[Confirmed_Qty],T_Shipments[Part Name],$A30,T_Shipments[Effective_Week],60)</f>
        <v/>
      </c>
      <c r="BJ30">
        <f>SUMIFS(T_Shipments[Confirmed_Qty],T_Shipments[Part Name],$A30,T_Shipments[Effective_Week],61)</f>
        <v/>
      </c>
      <c r="BK30">
        <f>SUMIFS(T_Shipments[Confirmed_Qty],T_Shipments[Part Name],$A30,T_Shipments[Effective_Week],62)</f>
        <v/>
      </c>
      <c r="BL30">
        <f>SUMIFS(T_Shipments[Confirmed_Qty],T_Shipments[Part Name],$A30,T_Shipments[Effective_Week],63)</f>
        <v/>
      </c>
      <c r="BM30">
        <f>SUMIFS(T_Shipments[Confirmed_Qty],T_Shipments[Part Name],$A30,T_Shipments[Effective_Week],64)</f>
        <v/>
      </c>
      <c r="BN30">
        <f>SUMIFS(T_Shipments[Confirmed_Qty],T_Shipments[Part Name],$A30,T_Shipments[Effective_Week],65)</f>
        <v/>
      </c>
      <c r="BO30">
        <f>SUMIFS(T_Shipments[Confirmed_Qty],T_Shipments[Part Name],$A30,T_Shipments[Effective_Week],66)</f>
        <v/>
      </c>
      <c r="BP30">
        <f>SUMIFS(T_Shipments[Confirmed_Qty],T_Shipments[Part Name],$A30,T_Shipments[Effective_Week],67)</f>
        <v/>
      </c>
      <c r="BQ30">
        <f>SUMIFS(T_Shipments[Confirmed_Qty],T_Shipments[Part Name],$A30,T_Shipments[Effective_Week],68)</f>
        <v/>
      </c>
      <c r="BR30">
        <f>SUMIFS(T_Shipments[Confirmed_Qty],T_Shipments[Part Name],$A30,T_Shipments[Effective_Week],69)</f>
        <v/>
      </c>
      <c r="BS30">
        <f>SUMIFS(T_Shipments[Confirmed_Qty],T_Shipments[Part Name],$A30,T_Shipments[Effective_Week],70)</f>
        <v/>
      </c>
      <c r="BT30">
        <f>SUMIFS(T_Shipments[Confirmed_Qty],T_Shipments[Part Name],$A30,T_Shipments[Effective_Week],71)</f>
        <v/>
      </c>
      <c r="BU30">
        <f>SUMIFS(T_Shipments[Confirmed_Qty],T_Shipments[Part Name],$A30,T_Shipments[Effective_Week],72)</f>
        <v/>
      </c>
      <c r="BV30">
        <f>SUMIFS(T_Shipments[Confirmed_Qty],T_Shipments[Part Name],$A30,T_Shipments[Effective_Week],73)</f>
        <v/>
      </c>
      <c r="BW30">
        <f>SUMIFS(T_Shipments[Confirmed_Qty],T_Shipments[Part Name],$A30,T_Shipments[Effective_Week],74)</f>
        <v/>
      </c>
      <c r="BX30">
        <f>SUMIFS(T_Shipments[Confirmed_Qty],T_Shipments[Part Name],$A30,T_Shipments[Effective_Week],75)</f>
        <v/>
      </c>
      <c r="BY30">
        <f>SUMIFS(T_Shipments[Confirmed_Qty],T_Shipments[Part Name],$A30,T_Shipments[Effective_Week],76)</f>
        <v/>
      </c>
      <c r="BZ30">
        <f>SUMIFS(T_Shipments[Confirmed_Qty],T_Shipments[Part Name],$A30,T_Shipments[Effective_Week],77)</f>
        <v/>
      </c>
      <c r="CA30">
        <f>SUMIFS(T_Shipments[Confirmed_Qty],T_Shipments[Part Name],$A30,T_Shipments[Effective_Week],78)</f>
        <v/>
      </c>
      <c r="CB30">
        <f>SUMIFS(T_Shipments[Confirmed_Qty],T_Shipments[Part Name],$A30,T_Shipments[Effective_Week],79)</f>
        <v/>
      </c>
      <c r="CC30">
        <f>SUMIFS(T_Shipments[Confirmed_Qty],T_Shipments[Part Name],$A30,T_Shipments[Effective_Week],80)</f>
        <v/>
      </c>
      <c r="CD30">
        <f>SUMIFS(T_Shipments[Confirmed_Qty],T_Shipments[Part Name],$A30,T_Shipments[Effective_Week],81)</f>
        <v/>
      </c>
      <c r="CE30">
        <f>SUMIFS(T_Shipments[Confirmed_Qty],T_Shipments[Part Name],$A30,T_Shipments[Effective_Week],82)</f>
        <v/>
      </c>
      <c r="CF30">
        <f>SUMIFS(T_Shipments[Confirmed_Qty],T_Shipments[Part Name],$A30,T_Shipments[Effective_Week],83)</f>
        <v/>
      </c>
      <c r="CG30">
        <f>SUMIFS(T_Shipments[Confirmed_Qty],T_Shipments[Part Name],$A30,T_Shipments[Effective_Week],84)</f>
        <v/>
      </c>
      <c r="CH30">
        <f>SUMIFS(T_Shipments[Confirmed_Qty],T_Shipments[Part Name],$A30,T_Shipments[Effective_Week],85)</f>
        <v/>
      </c>
      <c r="CI30">
        <f>SUMIFS(T_Shipments[Confirmed_Qty],T_Shipments[Part Name],$A30,T_Shipments[Effective_Week],86)</f>
        <v/>
      </c>
      <c r="CJ30">
        <f>SUMIFS(T_Shipments[Confirmed_Qty],T_Shipments[Part Name],$A30,T_Shipments[Effective_Week],87)</f>
        <v/>
      </c>
      <c r="CK30">
        <f>SUMIFS(T_Shipments[Confirmed_Qty],T_Shipments[Part Name],$A30,T_Shipments[Effective_Week],88)</f>
        <v/>
      </c>
      <c r="CL30">
        <f>SUMIFS(T_Shipments[Confirmed_Qty],T_Shipments[Part Name],$A30,T_Shipments[Effective_Week],89)</f>
        <v/>
      </c>
      <c r="CM30">
        <f>SUMIFS(T_Shipments[Confirmed_Qty],T_Shipments[Part Name],$A30,T_Shipments[Effective_Week],90)</f>
        <v/>
      </c>
      <c r="CN30">
        <f>SUMIFS(T_Shipments[Confirmed_Qty],T_Shipments[Part Name],$A30,T_Shipments[Effective_Week],91)</f>
        <v/>
      </c>
      <c r="CO30">
        <f>SUMIFS(T_Shipments[Confirmed_Qty],T_Shipments[Part Name],$A30,T_Shipments[Effective_Week],92)</f>
        <v/>
      </c>
      <c r="CP30">
        <f>SUMIFS(T_Shipments[Confirmed_Qty],T_Shipments[Part Name],$A30,T_Shipments[Effective_Week],93)</f>
        <v/>
      </c>
      <c r="CQ30">
        <f>SUMIFS(T_Shipments[Confirmed_Qty],T_Shipments[Part Name],$A30,T_Shipments[Effective_Week],94)</f>
        <v/>
      </c>
      <c r="CR30">
        <f>SUMIFS(T_Shipments[Confirmed_Qty],T_Shipments[Part Name],$A30,T_Shipments[Effective_Week],95)</f>
        <v/>
      </c>
      <c r="CS30">
        <f>SUMIFS(T_Shipments[Confirmed_Qty],T_Shipments[Part Name],$A30,T_Shipments[Effective_Week],96)</f>
        <v/>
      </c>
      <c r="CT30">
        <f>SUMIFS(T_Shipments[Confirmed_Qty],T_Shipments[Part Name],$A30,T_Shipments[Effective_Week],97)</f>
        <v/>
      </c>
      <c r="CU30">
        <f>SUMIFS(T_Shipments[Confirmed_Qty],T_Shipments[Part Name],$A30,T_Shipments[Effective_Week],98)</f>
        <v/>
      </c>
      <c r="CV30">
        <f>SUMIFS(T_Shipments[Confirmed_Qty],T_Shipments[Part Name],$A30,T_Shipments[Effective_Week],99)</f>
        <v/>
      </c>
      <c r="CW30">
        <f>SUMIFS(T_Shipments[Confirmed_Qty],T_Shipments[Part Name],$A30,T_Shipments[Effective_Week],100)</f>
        <v/>
      </c>
      <c r="CX30">
        <f>SUMIFS(T_Shipments[Confirmed_Qty],T_Shipments[Part Name],$A30,T_Shipments[Effective_Week],101)</f>
        <v/>
      </c>
      <c r="CY30">
        <f>SUMIFS(T_Shipments[Confirmed_Qty],T_Shipments[Part Name],$A30,T_Shipments[Effective_Week],102)</f>
        <v/>
      </c>
      <c r="CZ30">
        <f>SUMIFS(T_Shipments[Confirmed_Qty],T_Shipments[Part Name],$A30,T_Shipments[Effective_Week],103)</f>
        <v/>
      </c>
      <c r="DA30">
        <f>SUMIFS(T_Shipments[Confirmed_Qty],T_Shipments[Part Name],$A30,T_Shipments[Effective_Week],104)</f>
        <v/>
      </c>
    </row>
    <row r="31">
      <c r="A31" t="inlineStr">
        <is>
          <t>CHEM-1730</t>
        </is>
      </c>
      <c r="B31">
        <f>SUMIFS(T_Shipments[Confirmed_Qty],T_Shipments[Part Name],$A31,T_Shipments[Effective_Week],1)</f>
        <v/>
      </c>
      <c r="C31">
        <f>SUMIFS(T_Shipments[Confirmed_Qty],T_Shipments[Part Name],$A31,T_Shipments[Effective_Week],2)</f>
        <v/>
      </c>
      <c r="D31">
        <f>SUMIFS(T_Shipments[Confirmed_Qty],T_Shipments[Part Name],$A31,T_Shipments[Effective_Week],3)</f>
        <v/>
      </c>
      <c r="E31">
        <f>SUMIFS(T_Shipments[Confirmed_Qty],T_Shipments[Part Name],$A31,T_Shipments[Effective_Week],4)</f>
        <v/>
      </c>
      <c r="F31">
        <f>SUMIFS(T_Shipments[Confirmed_Qty],T_Shipments[Part Name],$A31,T_Shipments[Effective_Week],5)</f>
        <v/>
      </c>
      <c r="G31">
        <f>SUMIFS(T_Shipments[Confirmed_Qty],T_Shipments[Part Name],$A31,T_Shipments[Effective_Week],6)</f>
        <v/>
      </c>
      <c r="H31">
        <f>SUMIFS(T_Shipments[Confirmed_Qty],T_Shipments[Part Name],$A31,T_Shipments[Effective_Week],7)</f>
        <v/>
      </c>
      <c r="I31">
        <f>SUMIFS(T_Shipments[Confirmed_Qty],T_Shipments[Part Name],$A31,T_Shipments[Effective_Week],8)</f>
        <v/>
      </c>
      <c r="J31">
        <f>SUMIFS(T_Shipments[Confirmed_Qty],T_Shipments[Part Name],$A31,T_Shipments[Effective_Week],9)</f>
        <v/>
      </c>
      <c r="K31">
        <f>SUMIFS(T_Shipments[Confirmed_Qty],T_Shipments[Part Name],$A31,T_Shipments[Effective_Week],10)</f>
        <v/>
      </c>
      <c r="L31">
        <f>SUMIFS(T_Shipments[Confirmed_Qty],T_Shipments[Part Name],$A31,T_Shipments[Effective_Week],11)</f>
        <v/>
      </c>
      <c r="M31">
        <f>SUMIFS(T_Shipments[Confirmed_Qty],T_Shipments[Part Name],$A31,T_Shipments[Effective_Week],12)</f>
        <v/>
      </c>
      <c r="N31">
        <f>SUMIFS(T_Shipments[Confirmed_Qty],T_Shipments[Part Name],$A31,T_Shipments[Effective_Week],13)</f>
        <v/>
      </c>
      <c r="O31">
        <f>SUMIFS(T_Shipments[Confirmed_Qty],T_Shipments[Part Name],$A31,T_Shipments[Effective_Week],14)</f>
        <v/>
      </c>
      <c r="P31">
        <f>SUMIFS(T_Shipments[Confirmed_Qty],T_Shipments[Part Name],$A31,T_Shipments[Effective_Week],15)</f>
        <v/>
      </c>
      <c r="Q31">
        <f>SUMIFS(T_Shipments[Confirmed_Qty],T_Shipments[Part Name],$A31,T_Shipments[Effective_Week],16)</f>
        <v/>
      </c>
      <c r="R31">
        <f>SUMIFS(T_Shipments[Confirmed_Qty],T_Shipments[Part Name],$A31,T_Shipments[Effective_Week],17)</f>
        <v/>
      </c>
      <c r="S31">
        <f>SUMIFS(T_Shipments[Confirmed_Qty],T_Shipments[Part Name],$A31,T_Shipments[Effective_Week],18)</f>
        <v/>
      </c>
      <c r="T31">
        <f>SUMIFS(T_Shipments[Confirmed_Qty],T_Shipments[Part Name],$A31,T_Shipments[Effective_Week],19)</f>
        <v/>
      </c>
      <c r="U31">
        <f>SUMIFS(T_Shipments[Confirmed_Qty],T_Shipments[Part Name],$A31,T_Shipments[Effective_Week],20)</f>
        <v/>
      </c>
      <c r="V31">
        <f>SUMIFS(T_Shipments[Confirmed_Qty],T_Shipments[Part Name],$A31,T_Shipments[Effective_Week],21)</f>
        <v/>
      </c>
      <c r="W31">
        <f>SUMIFS(T_Shipments[Confirmed_Qty],T_Shipments[Part Name],$A31,T_Shipments[Effective_Week],22)</f>
        <v/>
      </c>
      <c r="X31">
        <f>SUMIFS(T_Shipments[Confirmed_Qty],T_Shipments[Part Name],$A31,T_Shipments[Effective_Week],23)</f>
        <v/>
      </c>
      <c r="Y31">
        <f>SUMIFS(T_Shipments[Confirmed_Qty],T_Shipments[Part Name],$A31,T_Shipments[Effective_Week],24)</f>
        <v/>
      </c>
      <c r="Z31">
        <f>SUMIFS(T_Shipments[Confirmed_Qty],T_Shipments[Part Name],$A31,T_Shipments[Effective_Week],25)</f>
        <v/>
      </c>
      <c r="AA31">
        <f>SUMIFS(T_Shipments[Confirmed_Qty],T_Shipments[Part Name],$A31,T_Shipments[Effective_Week],26)</f>
        <v/>
      </c>
      <c r="AB31">
        <f>SUMIFS(T_Shipments[Confirmed_Qty],T_Shipments[Part Name],$A31,T_Shipments[Effective_Week],27)</f>
        <v/>
      </c>
      <c r="AC31">
        <f>SUMIFS(T_Shipments[Confirmed_Qty],T_Shipments[Part Name],$A31,T_Shipments[Effective_Week],28)</f>
        <v/>
      </c>
      <c r="AD31">
        <f>SUMIFS(T_Shipments[Confirmed_Qty],T_Shipments[Part Name],$A31,T_Shipments[Effective_Week],29)</f>
        <v/>
      </c>
      <c r="AE31">
        <f>SUMIFS(T_Shipments[Confirmed_Qty],T_Shipments[Part Name],$A31,T_Shipments[Effective_Week],30)</f>
        <v/>
      </c>
      <c r="AF31">
        <f>SUMIFS(T_Shipments[Confirmed_Qty],T_Shipments[Part Name],$A31,T_Shipments[Effective_Week],31)</f>
        <v/>
      </c>
      <c r="AG31">
        <f>SUMIFS(T_Shipments[Confirmed_Qty],T_Shipments[Part Name],$A31,T_Shipments[Effective_Week],32)</f>
        <v/>
      </c>
      <c r="AH31">
        <f>SUMIFS(T_Shipments[Confirmed_Qty],T_Shipments[Part Name],$A31,T_Shipments[Effective_Week],33)</f>
        <v/>
      </c>
      <c r="AI31">
        <f>SUMIFS(T_Shipments[Confirmed_Qty],T_Shipments[Part Name],$A31,T_Shipments[Effective_Week],34)</f>
        <v/>
      </c>
      <c r="AJ31">
        <f>SUMIFS(T_Shipments[Confirmed_Qty],T_Shipments[Part Name],$A31,T_Shipments[Effective_Week],35)</f>
        <v/>
      </c>
      <c r="AK31">
        <f>SUMIFS(T_Shipments[Confirmed_Qty],T_Shipments[Part Name],$A31,T_Shipments[Effective_Week],36)</f>
        <v/>
      </c>
      <c r="AL31">
        <f>SUMIFS(T_Shipments[Confirmed_Qty],T_Shipments[Part Name],$A31,T_Shipments[Effective_Week],37)</f>
        <v/>
      </c>
      <c r="AM31">
        <f>SUMIFS(T_Shipments[Confirmed_Qty],T_Shipments[Part Name],$A31,T_Shipments[Effective_Week],38)</f>
        <v/>
      </c>
      <c r="AN31">
        <f>SUMIFS(T_Shipments[Confirmed_Qty],T_Shipments[Part Name],$A31,T_Shipments[Effective_Week],39)</f>
        <v/>
      </c>
      <c r="AO31">
        <f>SUMIFS(T_Shipments[Confirmed_Qty],T_Shipments[Part Name],$A31,T_Shipments[Effective_Week],40)</f>
        <v/>
      </c>
      <c r="AP31">
        <f>SUMIFS(T_Shipments[Confirmed_Qty],T_Shipments[Part Name],$A31,T_Shipments[Effective_Week],41)</f>
        <v/>
      </c>
      <c r="AQ31">
        <f>SUMIFS(T_Shipments[Confirmed_Qty],T_Shipments[Part Name],$A31,T_Shipments[Effective_Week],42)</f>
        <v/>
      </c>
      <c r="AR31">
        <f>SUMIFS(T_Shipments[Confirmed_Qty],T_Shipments[Part Name],$A31,T_Shipments[Effective_Week],43)</f>
        <v/>
      </c>
      <c r="AS31">
        <f>SUMIFS(T_Shipments[Confirmed_Qty],T_Shipments[Part Name],$A31,T_Shipments[Effective_Week],44)</f>
        <v/>
      </c>
      <c r="AT31">
        <f>SUMIFS(T_Shipments[Confirmed_Qty],T_Shipments[Part Name],$A31,T_Shipments[Effective_Week],45)</f>
        <v/>
      </c>
      <c r="AU31">
        <f>SUMIFS(T_Shipments[Confirmed_Qty],T_Shipments[Part Name],$A31,T_Shipments[Effective_Week],46)</f>
        <v/>
      </c>
      <c r="AV31">
        <f>SUMIFS(T_Shipments[Confirmed_Qty],T_Shipments[Part Name],$A31,T_Shipments[Effective_Week],47)</f>
        <v/>
      </c>
      <c r="AW31">
        <f>SUMIFS(T_Shipments[Confirmed_Qty],T_Shipments[Part Name],$A31,T_Shipments[Effective_Week],48)</f>
        <v/>
      </c>
      <c r="AX31">
        <f>SUMIFS(T_Shipments[Confirmed_Qty],T_Shipments[Part Name],$A31,T_Shipments[Effective_Week],49)</f>
        <v/>
      </c>
      <c r="AY31">
        <f>SUMIFS(T_Shipments[Confirmed_Qty],T_Shipments[Part Name],$A31,T_Shipments[Effective_Week],50)</f>
        <v/>
      </c>
      <c r="AZ31">
        <f>SUMIFS(T_Shipments[Confirmed_Qty],T_Shipments[Part Name],$A31,T_Shipments[Effective_Week],51)</f>
        <v/>
      </c>
      <c r="BA31">
        <f>SUMIFS(T_Shipments[Confirmed_Qty],T_Shipments[Part Name],$A31,T_Shipments[Effective_Week],52)</f>
        <v/>
      </c>
      <c r="BB31">
        <f>SUMIFS(T_Shipments[Confirmed_Qty],T_Shipments[Part Name],$A31,T_Shipments[Effective_Week],53)</f>
        <v/>
      </c>
      <c r="BC31">
        <f>SUMIFS(T_Shipments[Confirmed_Qty],T_Shipments[Part Name],$A31,T_Shipments[Effective_Week],54)</f>
        <v/>
      </c>
      <c r="BD31">
        <f>SUMIFS(T_Shipments[Confirmed_Qty],T_Shipments[Part Name],$A31,T_Shipments[Effective_Week],55)</f>
        <v/>
      </c>
      <c r="BE31">
        <f>SUMIFS(T_Shipments[Confirmed_Qty],T_Shipments[Part Name],$A31,T_Shipments[Effective_Week],56)</f>
        <v/>
      </c>
      <c r="BF31">
        <f>SUMIFS(T_Shipments[Confirmed_Qty],T_Shipments[Part Name],$A31,T_Shipments[Effective_Week],57)</f>
        <v/>
      </c>
      <c r="BG31">
        <f>SUMIFS(T_Shipments[Confirmed_Qty],T_Shipments[Part Name],$A31,T_Shipments[Effective_Week],58)</f>
        <v/>
      </c>
      <c r="BH31">
        <f>SUMIFS(T_Shipments[Confirmed_Qty],T_Shipments[Part Name],$A31,T_Shipments[Effective_Week],59)</f>
        <v/>
      </c>
      <c r="BI31">
        <f>SUMIFS(T_Shipments[Confirmed_Qty],T_Shipments[Part Name],$A31,T_Shipments[Effective_Week],60)</f>
        <v/>
      </c>
      <c r="BJ31">
        <f>SUMIFS(T_Shipments[Confirmed_Qty],T_Shipments[Part Name],$A31,T_Shipments[Effective_Week],61)</f>
        <v/>
      </c>
      <c r="BK31">
        <f>SUMIFS(T_Shipments[Confirmed_Qty],T_Shipments[Part Name],$A31,T_Shipments[Effective_Week],62)</f>
        <v/>
      </c>
      <c r="BL31">
        <f>SUMIFS(T_Shipments[Confirmed_Qty],T_Shipments[Part Name],$A31,T_Shipments[Effective_Week],63)</f>
        <v/>
      </c>
      <c r="BM31">
        <f>SUMIFS(T_Shipments[Confirmed_Qty],T_Shipments[Part Name],$A31,T_Shipments[Effective_Week],64)</f>
        <v/>
      </c>
      <c r="BN31">
        <f>SUMIFS(T_Shipments[Confirmed_Qty],T_Shipments[Part Name],$A31,T_Shipments[Effective_Week],65)</f>
        <v/>
      </c>
      <c r="BO31">
        <f>SUMIFS(T_Shipments[Confirmed_Qty],T_Shipments[Part Name],$A31,T_Shipments[Effective_Week],66)</f>
        <v/>
      </c>
      <c r="BP31">
        <f>SUMIFS(T_Shipments[Confirmed_Qty],T_Shipments[Part Name],$A31,T_Shipments[Effective_Week],67)</f>
        <v/>
      </c>
      <c r="BQ31">
        <f>SUMIFS(T_Shipments[Confirmed_Qty],T_Shipments[Part Name],$A31,T_Shipments[Effective_Week],68)</f>
        <v/>
      </c>
      <c r="BR31">
        <f>SUMIFS(T_Shipments[Confirmed_Qty],T_Shipments[Part Name],$A31,T_Shipments[Effective_Week],69)</f>
        <v/>
      </c>
      <c r="BS31">
        <f>SUMIFS(T_Shipments[Confirmed_Qty],T_Shipments[Part Name],$A31,T_Shipments[Effective_Week],70)</f>
        <v/>
      </c>
      <c r="BT31">
        <f>SUMIFS(T_Shipments[Confirmed_Qty],T_Shipments[Part Name],$A31,T_Shipments[Effective_Week],71)</f>
        <v/>
      </c>
      <c r="BU31">
        <f>SUMIFS(T_Shipments[Confirmed_Qty],T_Shipments[Part Name],$A31,T_Shipments[Effective_Week],72)</f>
        <v/>
      </c>
      <c r="BV31">
        <f>SUMIFS(T_Shipments[Confirmed_Qty],T_Shipments[Part Name],$A31,T_Shipments[Effective_Week],73)</f>
        <v/>
      </c>
      <c r="BW31">
        <f>SUMIFS(T_Shipments[Confirmed_Qty],T_Shipments[Part Name],$A31,T_Shipments[Effective_Week],74)</f>
        <v/>
      </c>
      <c r="BX31">
        <f>SUMIFS(T_Shipments[Confirmed_Qty],T_Shipments[Part Name],$A31,T_Shipments[Effective_Week],75)</f>
        <v/>
      </c>
      <c r="BY31">
        <f>SUMIFS(T_Shipments[Confirmed_Qty],T_Shipments[Part Name],$A31,T_Shipments[Effective_Week],76)</f>
        <v/>
      </c>
      <c r="BZ31">
        <f>SUMIFS(T_Shipments[Confirmed_Qty],T_Shipments[Part Name],$A31,T_Shipments[Effective_Week],77)</f>
        <v/>
      </c>
      <c r="CA31">
        <f>SUMIFS(T_Shipments[Confirmed_Qty],T_Shipments[Part Name],$A31,T_Shipments[Effective_Week],78)</f>
        <v/>
      </c>
      <c r="CB31">
        <f>SUMIFS(T_Shipments[Confirmed_Qty],T_Shipments[Part Name],$A31,T_Shipments[Effective_Week],79)</f>
        <v/>
      </c>
      <c r="CC31">
        <f>SUMIFS(T_Shipments[Confirmed_Qty],T_Shipments[Part Name],$A31,T_Shipments[Effective_Week],80)</f>
        <v/>
      </c>
      <c r="CD31">
        <f>SUMIFS(T_Shipments[Confirmed_Qty],T_Shipments[Part Name],$A31,T_Shipments[Effective_Week],81)</f>
        <v/>
      </c>
      <c r="CE31">
        <f>SUMIFS(T_Shipments[Confirmed_Qty],T_Shipments[Part Name],$A31,T_Shipments[Effective_Week],82)</f>
        <v/>
      </c>
      <c r="CF31">
        <f>SUMIFS(T_Shipments[Confirmed_Qty],T_Shipments[Part Name],$A31,T_Shipments[Effective_Week],83)</f>
        <v/>
      </c>
      <c r="CG31">
        <f>SUMIFS(T_Shipments[Confirmed_Qty],T_Shipments[Part Name],$A31,T_Shipments[Effective_Week],84)</f>
        <v/>
      </c>
      <c r="CH31">
        <f>SUMIFS(T_Shipments[Confirmed_Qty],T_Shipments[Part Name],$A31,T_Shipments[Effective_Week],85)</f>
        <v/>
      </c>
      <c r="CI31">
        <f>SUMIFS(T_Shipments[Confirmed_Qty],T_Shipments[Part Name],$A31,T_Shipments[Effective_Week],86)</f>
        <v/>
      </c>
      <c r="CJ31">
        <f>SUMIFS(T_Shipments[Confirmed_Qty],T_Shipments[Part Name],$A31,T_Shipments[Effective_Week],87)</f>
        <v/>
      </c>
      <c r="CK31">
        <f>SUMIFS(T_Shipments[Confirmed_Qty],T_Shipments[Part Name],$A31,T_Shipments[Effective_Week],88)</f>
        <v/>
      </c>
      <c r="CL31">
        <f>SUMIFS(T_Shipments[Confirmed_Qty],T_Shipments[Part Name],$A31,T_Shipments[Effective_Week],89)</f>
        <v/>
      </c>
      <c r="CM31">
        <f>SUMIFS(T_Shipments[Confirmed_Qty],T_Shipments[Part Name],$A31,T_Shipments[Effective_Week],90)</f>
        <v/>
      </c>
      <c r="CN31">
        <f>SUMIFS(T_Shipments[Confirmed_Qty],T_Shipments[Part Name],$A31,T_Shipments[Effective_Week],91)</f>
        <v/>
      </c>
      <c r="CO31">
        <f>SUMIFS(T_Shipments[Confirmed_Qty],T_Shipments[Part Name],$A31,T_Shipments[Effective_Week],92)</f>
        <v/>
      </c>
      <c r="CP31">
        <f>SUMIFS(T_Shipments[Confirmed_Qty],T_Shipments[Part Name],$A31,T_Shipments[Effective_Week],93)</f>
        <v/>
      </c>
      <c r="CQ31">
        <f>SUMIFS(T_Shipments[Confirmed_Qty],T_Shipments[Part Name],$A31,T_Shipments[Effective_Week],94)</f>
        <v/>
      </c>
      <c r="CR31">
        <f>SUMIFS(T_Shipments[Confirmed_Qty],T_Shipments[Part Name],$A31,T_Shipments[Effective_Week],95)</f>
        <v/>
      </c>
      <c r="CS31">
        <f>SUMIFS(T_Shipments[Confirmed_Qty],T_Shipments[Part Name],$A31,T_Shipments[Effective_Week],96)</f>
        <v/>
      </c>
      <c r="CT31">
        <f>SUMIFS(T_Shipments[Confirmed_Qty],T_Shipments[Part Name],$A31,T_Shipments[Effective_Week],97)</f>
        <v/>
      </c>
      <c r="CU31">
        <f>SUMIFS(T_Shipments[Confirmed_Qty],T_Shipments[Part Name],$A31,T_Shipments[Effective_Week],98)</f>
        <v/>
      </c>
      <c r="CV31">
        <f>SUMIFS(T_Shipments[Confirmed_Qty],T_Shipments[Part Name],$A31,T_Shipments[Effective_Week],99)</f>
        <v/>
      </c>
      <c r="CW31">
        <f>SUMIFS(T_Shipments[Confirmed_Qty],T_Shipments[Part Name],$A31,T_Shipments[Effective_Week],100)</f>
        <v/>
      </c>
      <c r="CX31">
        <f>SUMIFS(T_Shipments[Confirmed_Qty],T_Shipments[Part Name],$A31,T_Shipments[Effective_Week],101)</f>
        <v/>
      </c>
      <c r="CY31">
        <f>SUMIFS(T_Shipments[Confirmed_Qty],T_Shipments[Part Name],$A31,T_Shipments[Effective_Week],102)</f>
        <v/>
      </c>
      <c r="CZ31">
        <f>SUMIFS(T_Shipments[Confirmed_Qty],T_Shipments[Part Name],$A31,T_Shipments[Effective_Week],103)</f>
        <v/>
      </c>
      <c r="DA31">
        <f>SUMIFS(T_Shipments[Confirmed_Qty],T_Shipments[Part Name],$A31,T_Shipments[Effective_Week],104)</f>
        <v/>
      </c>
    </row>
    <row r="32">
      <c r="A32" t="inlineStr">
        <is>
          <t>CHEM-1430</t>
        </is>
      </c>
      <c r="B32">
        <f>SUMIFS(T_Shipments[Confirmed_Qty],T_Shipments[Part Name],$A32,T_Shipments[Effective_Week],1)</f>
        <v/>
      </c>
      <c r="C32">
        <f>SUMIFS(T_Shipments[Confirmed_Qty],T_Shipments[Part Name],$A32,T_Shipments[Effective_Week],2)</f>
        <v/>
      </c>
      <c r="D32">
        <f>SUMIFS(T_Shipments[Confirmed_Qty],T_Shipments[Part Name],$A32,T_Shipments[Effective_Week],3)</f>
        <v/>
      </c>
      <c r="E32">
        <f>SUMIFS(T_Shipments[Confirmed_Qty],T_Shipments[Part Name],$A32,T_Shipments[Effective_Week],4)</f>
        <v/>
      </c>
      <c r="F32">
        <f>SUMIFS(T_Shipments[Confirmed_Qty],T_Shipments[Part Name],$A32,T_Shipments[Effective_Week],5)</f>
        <v/>
      </c>
      <c r="G32">
        <f>SUMIFS(T_Shipments[Confirmed_Qty],T_Shipments[Part Name],$A32,T_Shipments[Effective_Week],6)</f>
        <v/>
      </c>
      <c r="H32">
        <f>SUMIFS(T_Shipments[Confirmed_Qty],T_Shipments[Part Name],$A32,T_Shipments[Effective_Week],7)</f>
        <v/>
      </c>
      <c r="I32">
        <f>SUMIFS(T_Shipments[Confirmed_Qty],T_Shipments[Part Name],$A32,T_Shipments[Effective_Week],8)</f>
        <v/>
      </c>
      <c r="J32">
        <f>SUMIFS(T_Shipments[Confirmed_Qty],T_Shipments[Part Name],$A32,T_Shipments[Effective_Week],9)</f>
        <v/>
      </c>
      <c r="K32">
        <f>SUMIFS(T_Shipments[Confirmed_Qty],T_Shipments[Part Name],$A32,T_Shipments[Effective_Week],10)</f>
        <v/>
      </c>
      <c r="L32">
        <f>SUMIFS(T_Shipments[Confirmed_Qty],T_Shipments[Part Name],$A32,T_Shipments[Effective_Week],11)</f>
        <v/>
      </c>
      <c r="M32">
        <f>SUMIFS(T_Shipments[Confirmed_Qty],T_Shipments[Part Name],$A32,T_Shipments[Effective_Week],12)</f>
        <v/>
      </c>
      <c r="N32">
        <f>SUMIFS(T_Shipments[Confirmed_Qty],T_Shipments[Part Name],$A32,T_Shipments[Effective_Week],13)</f>
        <v/>
      </c>
      <c r="O32">
        <f>SUMIFS(T_Shipments[Confirmed_Qty],T_Shipments[Part Name],$A32,T_Shipments[Effective_Week],14)</f>
        <v/>
      </c>
      <c r="P32">
        <f>SUMIFS(T_Shipments[Confirmed_Qty],T_Shipments[Part Name],$A32,T_Shipments[Effective_Week],15)</f>
        <v/>
      </c>
      <c r="Q32">
        <f>SUMIFS(T_Shipments[Confirmed_Qty],T_Shipments[Part Name],$A32,T_Shipments[Effective_Week],16)</f>
        <v/>
      </c>
      <c r="R32">
        <f>SUMIFS(T_Shipments[Confirmed_Qty],T_Shipments[Part Name],$A32,T_Shipments[Effective_Week],17)</f>
        <v/>
      </c>
      <c r="S32">
        <f>SUMIFS(T_Shipments[Confirmed_Qty],T_Shipments[Part Name],$A32,T_Shipments[Effective_Week],18)</f>
        <v/>
      </c>
      <c r="T32">
        <f>SUMIFS(T_Shipments[Confirmed_Qty],T_Shipments[Part Name],$A32,T_Shipments[Effective_Week],19)</f>
        <v/>
      </c>
      <c r="U32">
        <f>SUMIFS(T_Shipments[Confirmed_Qty],T_Shipments[Part Name],$A32,T_Shipments[Effective_Week],20)</f>
        <v/>
      </c>
      <c r="V32">
        <f>SUMIFS(T_Shipments[Confirmed_Qty],T_Shipments[Part Name],$A32,T_Shipments[Effective_Week],21)</f>
        <v/>
      </c>
      <c r="W32">
        <f>SUMIFS(T_Shipments[Confirmed_Qty],T_Shipments[Part Name],$A32,T_Shipments[Effective_Week],22)</f>
        <v/>
      </c>
      <c r="X32">
        <f>SUMIFS(T_Shipments[Confirmed_Qty],T_Shipments[Part Name],$A32,T_Shipments[Effective_Week],23)</f>
        <v/>
      </c>
      <c r="Y32">
        <f>SUMIFS(T_Shipments[Confirmed_Qty],T_Shipments[Part Name],$A32,T_Shipments[Effective_Week],24)</f>
        <v/>
      </c>
      <c r="Z32">
        <f>SUMIFS(T_Shipments[Confirmed_Qty],T_Shipments[Part Name],$A32,T_Shipments[Effective_Week],25)</f>
        <v/>
      </c>
      <c r="AA32">
        <f>SUMIFS(T_Shipments[Confirmed_Qty],T_Shipments[Part Name],$A32,T_Shipments[Effective_Week],26)</f>
        <v/>
      </c>
      <c r="AB32">
        <f>SUMIFS(T_Shipments[Confirmed_Qty],T_Shipments[Part Name],$A32,T_Shipments[Effective_Week],27)</f>
        <v/>
      </c>
      <c r="AC32">
        <f>SUMIFS(T_Shipments[Confirmed_Qty],T_Shipments[Part Name],$A32,T_Shipments[Effective_Week],28)</f>
        <v/>
      </c>
      <c r="AD32">
        <f>SUMIFS(T_Shipments[Confirmed_Qty],T_Shipments[Part Name],$A32,T_Shipments[Effective_Week],29)</f>
        <v/>
      </c>
      <c r="AE32">
        <f>SUMIFS(T_Shipments[Confirmed_Qty],T_Shipments[Part Name],$A32,T_Shipments[Effective_Week],30)</f>
        <v/>
      </c>
      <c r="AF32">
        <f>SUMIFS(T_Shipments[Confirmed_Qty],T_Shipments[Part Name],$A32,T_Shipments[Effective_Week],31)</f>
        <v/>
      </c>
      <c r="AG32">
        <f>SUMIFS(T_Shipments[Confirmed_Qty],T_Shipments[Part Name],$A32,T_Shipments[Effective_Week],32)</f>
        <v/>
      </c>
      <c r="AH32">
        <f>SUMIFS(T_Shipments[Confirmed_Qty],T_Shipments[Part Name],$A32,T_Shipments[Effective_Week],33)</f>
        <v/>
      </c>
      <c r="AI32">
        <f>SUMIFS(T_Shipments[Confirmed_Qty],T_Shipments[Part Name],$A32,T_Shipments[Effective_Week],34)</f>
        <v/>
      </c>
      <c r="AJ32">
        <f>SUMIFS(T_Shipments[Confirmed_Qty],T_Shipments[Part Name],$A32,T_Shipments[Effective_Week],35)</f>
        <v/>
      </c>
      <c r="AK32">
        <f>SUMIFS(T_Shipments[Confirmed_Qty],T_Shipments[Part Name],$A32,T_Shipments[Effective_Week],36)</f>
        <v/>
      </c>
      <c r="AL32">
        <f>SUMIFS(T_Shipments[Confirmed_Qty],T_Shipments[Part Name],$A32,T_Shipments[Effective_Week],37)</f>
        <v/>
      </c>
      <c r="AM32">
        <f>SUMIFS(T_Shipments[Confirmed_Qty],T_Shipments[Part Name],$A32,T_Shipments[Effective_Week],38)</f>
        <v/>
      </c>
      <c r="AN32">
        <f>SUMIFS(T_Shipments[Confirmed_Qty],T_Shipments[Part Name],$A32,T_Shipments[Effective_Week],39)</f>
        <v/>
      </c>
      <c r="AO32">
        <f>SUMIFS(T_Shipments[Confirmed_Qty],T_Shipments[Part Name],$A32,T_Shipments[Effective_Week],40)</f>
        <v/>
      </c>
      <c r="AP32">
        <f>SUMIFS(T_Shipments[Confirmed_Qty],T_Shipments[Part Name],$A32,T_Shipments[Effective_Week],41)</f>
        <v/>
      </c>
      <c r="AQ32">
        <f>SUMIFS(T_Shipments[Confirmed_Qty],T_Shipments[Part Name],$A32,T_Shipments[Effective_Week],42)</f>
        <v/>
      </c>
      <c r="AR32">
        <f>SUMIFS(T_Shipments[Confirmed_Qty],T_Shipments[Part Name],$A32,T_Shipments[Effective_Week],43)</f>
        <v/>
      </c>
      <c r="AS32">
        <f>SUMIFS(T_Shipments[Confirmed_Qty],T_Shipments[Part Name],$A32,T_Shipments[Effective_Week],44)</f>
        <v/>
      </c>
      <c r="AT32">
        <f>SUMIFS(T_Shipments[Confirmed_Qty],T_Shipments[Part Name],$A32,T_Shipments[Effective_Week],45)</f>
        <v/>
      </c>
      <c r="AU32">
        <f>SUMIFS(T_Shipments[Confirmed_Qty],T_Shipments[Part Name],$A32,T_Shipments[Effective_Week],46)</f>
        <v/>
      </c>
      <c r="AV32">
        <f>SUMIFS(T_Shipments[Confirmed_Qty],T_Shipments[Part Name],$A32,T_Shipments[Effective_Week],47)</f>
        <v/>
      </c>
      <c r="AW32">
        <f>SUMIFS(T_Shipments[Confirmed_Qty],T_Shipments[Part Name],$A32,T_Shipments[Effective_Week],48)</f>
        <v/>
      </c>
      <c r="AX32">
        <f>SUMIFS(T_Shipments[Confirmed_Qty],T_Shipments[Part Name],$A32,T_Shipments[Effective_Week],49)</f>
        <v/>
      </c>
      <c r="AY32">
        <f>SUMIFS(T_Shipments[Confirmed_Qty],T_Shipments[Part Name],$A32,T_Shipments[Effective_Week],50)</f>
        <v/>
      </c>
      <c r="AZ32">
        <f>SUMIFS(T_Shipments[Confirmed_Qty],T_Shipments[Part Name],$A32,T_Shipments[Effective_Week],51)</f>
        <v/>
      </c>
      <c r="BA32">
        <f>SUMIFS(T_Shipments[Confirmed_Qty],T_Shipments[Part Name],$A32,T_Shipments[Effective_Week],52)</f>
        <v/>
      </c>
      <c r="BB32">
        <f>SUMIFS(T_Shipments[Confirmed_Qty],T_Shipments[Part Name],$A32,T_Shipments[Effective_Week],53)</f>
        <v/>
      </c>
      <c r="BC32">
        <f>SUMIFS(T_Shipments[Confirmed_Qty],T_Shipments[Part Name],$A32,T_Shipments[Effective_Week],54)</f>
        <v/>
      </c>
      <c r="BD32">
        <f>SUMIFS(T_Shipments[Confirmed_Qty],T_Shipments[Part Name],$A32,T_Shipments[Effective_Week],55)</f>
        <v/>
      </c>
      <c r="BE32">
        <f>SUMIFS(T_Shipments[Confirmed_Qty],T_Shipments[Part Name],$A32,T_Shipments[Effective_Week],56)</f>
        <v/>
      </c>
      <c r="BF32">
        <f>SUMIFS(T_Shipments[Confirmed_Qty],T_Shipments[Part Name],$A32,T_Shipments[Effective_Week],57)</f>
        <v/>
      </c>
      <c r="BG32">
        <f>SUMIFS(T_Shipments[Confirmed_Qty],T_Shipments[Part Name],$A32,T_Shipments[Effective_Week],58)</f>
        <v/>
      </c>
      <c r="BH32">
        <f>SUMIFS(T_Shipments[Confirmed_Qty],T_Shipments[Part Name],$A32,T_Shipments[Effective_Week],59)</f>
        <v/>
      </c>
      <c r="BI32">
        <f>SUMIFS(T_Shipments[Confirmed_Qty],T_Shipments[Part Name],$A32,T_Shipments[Effective_Week],60)</f>
        <v/>
      </c>
      <c r="BJ32">
        <f>SUMIFS(T_Shipments[Confirmed_Qty],T_Shipments[Part Name],$A32,T_Shipments[Effective_Week],61)</f>
        <v/>
      </c>
      <c r="BK32">
        <f>SUMIFS(T_Shipments[Confirmed_Qty],T_Shipments[Part Name],$A32,T_Shipments[Effective_Week],62)</f>
        <v/>
      </c>
      <c r="BL32">
        <f>SUMIFS(T_Shipments[Confirmed_Qty],T_Shipments[Part Name],$A32,T_Shipments[Effective_Week],63)</f>
        <v/>
      </c>
      <c r="BM32">
        <f>SUMIFS(T_Shipments[Confirmed_Qty],T_Shipments[Part Name],$A32,T_Shipments[Effective_Week],64)</f>
        <v/>
      </c>
      <c r="BN32">
        <f>SUMIFS(T_Shipments[Confirmed_Qty],T_Shipments[Part Name],$A32,T_Shipments[Effective_Week],65)</f>
        <v/>
      </c>
      <c r="BO32">
        <f>SUMIFS(T_Shipments[Confirmed_Qty],T_Shipments[Part Name],$A32,T_Shipments[Effective_Week],66)</f>
        <v/>
      </c>
      <c r="BP32">
        <f>SUMIFS(T_Shipments[Confirmed_Qty],T_Shipments[Part Name],$A32,T_Shipments[Effective_Week],67)</f>
        <v/>
      </c>
      <c r="BQ32">
        <f>SUMIFS(T_Shipments[Confirmed_Qty],T_Shipments[Part Name],$A32,T_Shipments[Effective_Week],68)</f>
        <v/>
      </c>
      <c r="BR32">
        <f>SUMIFS(T_Shipments[Confirmed_Qty],T_Shipments[Part Name],$A32,T_Shipments[Effective_Week],69)</f>
        <v/>
      </c>
      <c r="BS32">
        <f>SUMIFS(T_Shipments[Confirmed_Qty],T_Shipments[Part Name],$A32,T_Shipments[Effective_Week],70)</f>
        <v/>
      </c>
      <c r="BT32">
        <f>SUMIFS(T_Shipments[Confirmed_Qty],T_Shipments[Part Name],$A32,T_Shipments[Effective_Week],71)</f>
        <v/>
      </c>
      <c r="BU32">
        <f>SUMIFS(T_Shipments[Confirmed_Qty],T_Shipments[Part Name],$A32,T_Shipments[Effective_Week],72)</f>
        <v/>
      </c>
      <c r="BV32">
        <f>SUMIFS(T_Shipments[Confirmed_Qty],T_Shipments[Part Name],$A32,T_Shipments[Effective_Week],73)</f>
        <v/>
      </c>
      <c r="BW32">
        <f>SUMIFS(T_Shipments[Confirmed_Qty],T_Shipments[Part Name],$A32,T_Shipments[Effective_Week],74)</f>
        <v/>
      </c>
      <c r="BX32">
        <f>SUMIFS(T_Shipments[Confirmed_Qty],T_Shipments[Part Name],$A32,T_Shipments[Effective_Week],75)</f>
        <v/>
      </c>
      <c r="BY32">
        <f>SUMIFS(T_Shipments[Confirmed_Qty],T_Shipments[Part Name],$A32,T_Shipments[Effective_Week],76)</f>
        <v/>
      </c>
      <c r="BZ32">
        <f>SUMIFS(T_Shipments[Confirmed_Qty],T_Shipments[Part Name],$A32,T_Shipments[Effective_Week],77)</f>
        <v/>
      </c>
      <c r="CA32">
        <f>SUMIFS(T_Shipments[Confirmed_Qty],T_Shipments[Part Name],$A32,T_Shipments[Effective_Week],78)</f>
        <v/>
      </c>
      <c r="CB32">
        <f>SUMIFS(T_Shipments[Confirmed_Qty],T_Shipments[Part Name],$A32,T_Shipments[Effective_Week],79)</f>
        <v/>
      </c>
      <c r="CC32">
        <f>SUMIFS(T_Shipments[Confirmed_Qty],T_Shipments[Part Name],$A32,T_Shipments[Effective_Week],80)</f>
        <v/>
      </c>
      <c r="CD32">
        <f>SUMIFS(T_Shipments[Confirmed_Qty],T_Shipments[Part Name],$A32,T_Shipments[Effective_Week],81)</f>
        <v/>
      </c>
      <c r="CE32">
        <f>SUMIFS(T_Shipments[Confirmed_Qty],T_Shipments[Part Name],$A32,T_Shipments[Effective_Week],82)</f>
        <v/>
      </c>
      <c r="CF32">
        <f>SUMIFS(T_Shipments[Confirmed_Qty],T_Shipments[Part Name],$A32,T_Shipments[Effective_Week],83)</f>
        <v/>
      </c>
      <c r="CG32">
        <f>SUMIFS(T_Shipments[Confirmed_Qty],T_Shipments[Part Name],$A32,T_Shipments[Effective_Week],84)</f>
        <v/>
      </c>
      <c r="CH32">
        <f>SUMIFS(T_Shipments[Confirmed_Qty],T_Shipments[Part Name],$A32,T_Shipments[Effective_Week],85)</f>
        <v/>
      </c>
      <c r="CI32">
        <f>SUMIFS(T_Shipments[Confirmed_Qty],T_Shipments[Part Name],$A32,T_Shipments[Effective_Week],86)</f>
        <v/>
      </c>
      <c r="CJ32">
        <f>SUMIFS(T_Shipments[Confirmed_Qty],T_Shipments[Part Name],$A32,T_Shipments[Effective_Week],87)</f>
        <v/>
      </c>
      <c r="CK32">
        <f>SUMIFS(T_Shipments[Confirmed_Qty],T_Shipments[Part Name],$A32,T_Shipments[Effective_Week],88)</f>
        <v/>
      </c>
      <c r="CL32">
        <f>SUMIFS(T_Shipments[Confirmed_Qty],T_Shipments[Part Name],$A32,T_Shipments[Effective_Week],89)</f>
        <v/>
      </c>
      <c r="CM32">
        <f>SUMIFS(T_Shipments[Confirmed_Qty],T_Shipments[Part Name],$A32,T_Shipments[Effective_Week],90)</f>
        <v/>
      </c>
      <c r="CN32">
        <f>SUMIFS(T_Shipments[Confirmed_Qty],T_Shipments[Part Name],$A32,T_Shipments[Effective_Week],91)</f>
        <v/>
      </c>
      <c r="CO32">
        <f>SUMIFS(T_Shipments[Confirmed_Qty],T_Shipments[Part Name],$A32,T_Shipments[Effective_Week],92)</f>
        <v/>
      </c>
      <c r="CP32">
        <f>SUMIFS(T_Shipments[Confirmed_Qty],T_Shipments[Part Name],$A32,T_Shipments[Effective_Week],93)</f>
        <v/>
      </c>
      <c r="CQ32">
        <f>SUMIFS(T_Shipments[Confirmed_Qty],T_Shipments[Part Name],$A32,T_Shipments[Effective_Week],94)</f>
        <v/>
      </c>
      <c r="CR32">
        <f>SUMIFS(T_Shipments[Confirmed_Qty],T_Shipments[Part Name],$A32,T_Shipments[Effective_Week],95)</f>
        <v/>
      </c>
      <c r="CS32">
        <f>SUMIFS(T_Shipments[Confirmed_Qty],T_Shipments[Part Name],$A32,T_Shipments[Effective_Week],96)</f>
        <v/>
      </c>
      <c r="CT32">
        <f>SUMIFS(T_Shipments[Confirmed_Qty],T_Shipments[Part Name],$A32,T_Shipments[Effective_Week],97)</f>
        <v/>
      </c>
      <c r="CU32">
        <f>SUMIFS(T_Shipments[Confirmed_Qty],T_Shipments[Part Name],$A32,T_Shipments[Effective_Week],98)</f>
        <v/>
      </c>
      <c r="CV32">
        <f>SUMIFS(T_Shipments[Confirmed_Qty],T_Shipments[Part Name],$A32,T_Shipments[Effective_Week],99)</f>
        <v/>
      </c>
      <c r="CW32">
        <f>SUMIFS(T_Shipments[Confirmed_Qty],T_Shipments[Part Name],$A32,T_Shipments[Effective_Week],100)</f>
        <v/>
      </c>
      <c r="CX32">
        <f>SUMIFS(T_Shipments[Confirmed_Qty],T_Shipments[Part Name],$A32,T_Shipments[Effective_Week],101)</f>
        <v/>
      </c>
      <c r="CY32">
        <f>SUMIFS(T_Shipments[Confirmed_Qty],T_Shipments[Part Name],$A32,T_Shipments[Effective_Week],102)</f>
        <v/>
      </c>
      <c r="CZ32">
        <f>SUMIFS(T_Shipments[Confirmed_Qty],T_Shipments[Part Name],$A32,T_Shipments[Effective_Week],103)</f>
        <v/>
      </c>
      <c r="DA32">
        <f>SUMIFS(T_Shipments[Confirmed_Qty],T_Shipments[Part Name],$A32,T_Shipments[Effective_Week],104)</f>
        <v/>
      </c>
    </row>
    <row r="33">
      <c r="A33" t="inlineStr">
        <is>
          <t>CHEM-1480</t>
        </is>
      </c>
      <c r="B33">
        <f>SUMIFS(T_Shipments[Confirmed_Qty],T_Shipments[Part Name],$A33,T_Shipments[Effective_Week],1)</f>
        <v/>
      </c>
      <c r="C33">
        <f>SUMIFS(T_Shipments[Confirmed_Qty],T_Shipments[Part Name],$A33,T_Shipments[Effective_Week],2)</f>
        <v/>
      </c>
      <c r="D33">
        <f>SUMIFS(T_Shipments[Confirmed_Qty],T_Shipments[Part Name],$A33,T_Shipments[Effective_Week],3)</f>
        <v/>
      </c>
      <c r="E33">
        <f>SUMIFS(T_Shipments[Confirmed_Qty],T_Shipments[Part Name],$A33,T_Shipments[Effective_Week],4)</f>
        <v/>
      </c>
      <c r="F33">
        <f>SUMIFS(T_Shipments[Confirmed_Qty],T_Shipments[Part Name],$A33,T_Shipments[Effective_Week],5)</f>
        <v/>
      </c>
      <c r="G33">
        <f>SUMIFS(T_Shipments[Confirmed_Qty],T_Shipments[Part Name],$A33,T_Shipments[Effective_Week],6)</f>
        <v/>
      </c>
      <c r="H33">
        <f>SUMIFS(T_Shipments[Confirmed_Qty],T_Shipments[Part Name],$A33,T_Shipments[Effective_Week],7)</f>
        <v/>
      </c>
      <c r="I33">
        <f>SUMIFS(T_Shipments[Confirmed_Qty],T_Shipments[Part Name],$A33,T_Shipments[Effective_Week],8)</f>
        <v/>
      </c>
      <c r="J33">
        <f>SUMIFS(T_Shipments[Confirmed_Qty],T_Shipments[Part Name],$A33,T_Shipments[Effective_Week],9)</f>
        <v/>
      </c>
      <c r="K33">
        <f>SUMIFS(T_Shipments[Confirmed_Qty],T_Shipments[Part Name],$A33,T_Shipments[Effective_Week],10)</f>
        <v/>
      </c>
      <c r="L33">
        <f>SUMIFS(T_Shipments[Confirmed_Qty],T_Shipments[Part Name],$A33,T_Shipments[Effective_Week],11)</f>
        <v/>
      </c>
      <c r="M33">
        <f>SUMIFS(T_Shipments[Confirmed_Qty],T_Shipments[Part Name],$A33,T_Shipments[Effective_Week],12)</f>
        <v/>
      </c>
      <c r="N33">
        <f>SUMIFS(T_Shipments[Confirmed_Qty],T_Shipments[Part Name],$A33,T_Shipments[Effective_Week],13)</f>
        <v/>
      </c>
      <c r="O33">
        <f>SUMIFS(T_Shipments[Confirmed_Qty],T_Shipments[Part Name],$A33,T_Shipments[Effective_Week],14)</f>
        <v/>
      </c>
      <c r="P33">
        <f>SUMIFS(T_Shipments[Confirmed_Qty],T_Shipments[Part Name],$A33,T_Shipments[Effective_Week],15)</f>
        <v/>
      </c>
      <c r="Q33">
        <f>SUMIFS(T_Shipments[Confirmed_Qty],T_Shipments[Part Name],$A33,T_Shipments[Effective_Week],16)</f>
        <v/>
      </c>
      <c r="R33">
        <f>SUMIFS(T_Shipments[Confirmed_Qty],T_Shipments[Part Name],$A33,T_Shipments[Effective_Week],17)</f>
        <v/>
      </c>
      <c r="S33">
        <f>SUMIFS(T_Shipments[Confirmed_Qty],T_Shipments[Part Name],$A33,T_Shipments[Effective_Week],18)</f>
        <v/>
      </c>
      <c r="T33">
        <f>SUMIFS(T_Shipments[Confirmed_Qty],T_Shipments[Part Name],$A33,T_Shipments[Effective_Week],19)</f>
        <v/>
      </c>
      <c r="U33">
        <f>SUMIFS(T_Shipments[Confirmed_Qty],T_Shipments[Part Name],$A33,T_Shipments[Effective_Week],20)</f>
        <v/>
      </c>
      <c r="V33">
        <f>SUMIFS(T_Shipments[Confirmed_Qty],T_Shipments[Part Name],$A33,T_Shipments[Effective_Week],21)</f>
        <v/>
      </c>
      <c r="W33">
        <f>SUMIFS(T_Shipments[Confirmed_Qty],T_Shipments[Part Name],$A33,T_Shipments[Effective_Week],22)</f>
        <v/>
      </c>
      <c r="X33">
        <f>SUMIFS(T_Shipments[Confirmed_Qty],T_Shipments[Part Name],$A33,T_Shipments[Effective_Week],23)</f>
        <v/>
      </c>
      <c r="Y33">
        <f>SUMIFS(T_Shipments[Confirmed_Qty],T_Shipments[Part Name],$A33,T_Shipments[Effective_Week],24)</f>
        <v/>
      </c>
      <c r="Z33">
        <f>SUMIFS(T_Shipments[Confirmed_Qty],T_Shipments[Part Name],$A33,T_Shipments[Effective_Week],25)</f>
        <v/>
      </c>
      <c r="AA33">
        <f>SUMIFS(T_Shipments[Confirmed_Qty],T_Shipments[Part Name],$A33,T_Shipments[Effective_Week],26)</f>
        <v/>
      </c>
      <c r="AB33">
        <f>SUMIFS(T_Shipments[Confirmed_Qty],T_Shipments[Part Name],$A33,T_Shipments[Effective_Week],27)</f>
        <v/>
      </c>
      <c r="AC33">
        <f>SUMIFS(T_Shipments[Confirmed_Qty],T_Shipments[Part Name],$A33,T_Shipments[Effective_Week],28)</f>
        <v/>
      </c>
      <c r="AD33">
        <f>SUMIFS(T_Shipments[Confirmed_Qty],T_Shipments[Part Name],$A33,T_Shipments[Effective_Week],29)</f>
        <v/>
      </c>
      <c r="AE33">
        <f>SUMIFS(T_Shipments[Confirmed_Qty],T_Shipments[Part Name],$A33,T_Shipments[Effective_Week],30)</f>
        <v/>
      </c>
      <c r="AF33">
        <f>SUMIFS(T_Shipments[Confirmed_Qty],T_Shipments[Part Name],$A33,T_Shipments[Effective_Week],31)</f>
        <v/>
      </c>
      <c r="AG33">
        <f>SUMIFS(T_Shipments[Confirmed_Qty],T_Shipments[Part Name],$A33,T_Shipments[Effective_Week],32)</f>
        <v/>
      </c>
      <c r="AH33">
        <f>SUMIFS(T_Shipments[Confirmed_Qty],T_Shipments[Part Name],$A33,T_Shipments[Effective_Week],33)</f>
        <v/>
      </c>
      <c r="AI33">
        <f>SUMIFS(T_Shipments[Confirmed_Qty],T_Shipments[Part Name],$A33,T_Shipments[Effective_Week],34)</f>
        <v/>
      </c>
      <c r="AJ33">
        <f>SUMIFS(T_Shipments[Confirmed_Qty],T_Shipments[Part Name],$A33,T_Shipments[Effective_Week],35)</f>
        <v/>
      </c>
      <c r="AK33">
        <f>SUMIFS(T_Shipments[Confirmed_Qty],T_Shipments[Part Name],$A33,T_Shipments[Effective_Week],36)</f>
        <v/>
      </c>
      <c r="AL33">
        <f>SUMIFS(T_Shipments[Confirmed_Qty],T_Shipments[Part Name],$A33,T_Shipments[Effective_Week],37)</f>
        <v/>
      </c>
      <c r="AM33">
        <f>SUMIFS(T_Shipments[Confirmed_Qty],T_Shipments[Part Name],$A33,T_Shipments[Effective_Week],38)</f>
        <v/>
      </c>
      <c r="AN33">
        <f>SUMIFS(T_Shipments[Confirmed_Qty],T_Shipments[Part Name],$A33,T_Shipments[Effective_Week],39)</f>
        <v/>
      </c>
      <c r="AO33">
        <f>SUMIFS(T_Shipments[Confirmed_Qty],T_Shipments[Part Name],$A33,T_Shipments[Effective_Week],40)</f>
        <v/>
      </c>
      <c r="AP33">
        <f>SUMIFS(T_Shipments[Confirmed_Qty],T_Shipments[Part Name],$A33,T_Shipments[Effective_Week],41)</f>
        <v/>
      </c>
      <c r="AQ33">
        <f>SUMIFS(T_Shipments[Confirmed_Qty],T_Shipments[Part Name],$A33,T_Shipments[Effective_Week],42)</f>
        <v/>
      </c>
      <c r="AR33">
        <f>SUMIFS(T_Shipments[Confirmed_Qty],T_Shipments[Part Name],$A33,T_Shipments[Effective_Week],43)</f>
        <v/>
      </c>
      <c r="AS33">
        <f>SUMIFS(T_Shipments[Confirmed_Qty],T_Shipments[Part Name],$A33,T_Shipments[Effective_Week],44)</f>
        <v/>
      </c>
      <c r="AT33">
        <f>SUMIFS(T_Shipments[Confirmed_Qty],T_Shipments[Part Name],$A33,T_Shipments[Effective_Week],45)</f>
        <v/>
      </c>
      <c r="AU33">
        <f>SUMIFS(T_Shipments[Confirmed_Qty],T_Shipments[Part Name],$A33,T_Shipments[Effective_Week],46)</f>
        <v/>
      </c>
      <c r="AV33">
        <f>SUMIFS(T_Shipments[Confirmed_Qty],T_Shipments[Part Name],$A33,T_Shipments[Effective_Week],47)</f>
        <v/>
      </c>
      <c r="AW33">
        <f>SUMIFS(T_Shipments[Confirmed_Qty],T_Shipments[Part Name],$A33,T_Shipments[Effective_Week],48)</f>
        <v/>
      </c>
      <c r="AX33">
        <f>SUMIFS(T_Shipments[Confirmed_Qty],T_Shipments[Part Name],$A33,T_Shipments[Effective_Week],49)</f>
        <v/>
      </c>
      <c r="AY33">
        <f>SUMIFS(T_Shipments[Confirmed_Qty],T_Shipments[Part Name],$A33,T_Shipments[Effective_Week],50)</f>
        <v/>
      </c>
      <c r="AZ33">
        <f>SUMIFS(T_Shipments[Confirmed_Qty],T_Shipments[Part Name],$A33,T_Shipments[Effective_Week],51)</f>
        <v/>
      </c>
      <c r="BA33">
        <f>SUMIFS(T_Shipments[Confirmed_Qty],T_Shipments[Part Name],$A33,T_Shipments[Effective_Week],52)</f>
        <v/>
      </c>
      <c r="BB33">
        <f>SUMIFS(T_Shipments[Confirmed_Qty],T_Shipments[Part Name],$A33,T_Shipments[Effective_Week],53)</f>
        <v/>
      </c>
      <c r="BC33">
        <f>SUMIFS(T_Shipments[Confirmed_Qty],T_Shipments[Part Name],$A33,T_Shipments[Effective_Week],54)</f>
        <v/>
      </c>
      <c r="BD33">
        <f>SUMIFS(T_Shipments[Confirmed_Qty],T_Shipments[Part Name],$A33,T_Shipments[Effective_Week],55)</f>
        <v/>
      </c>
      <c r="BE33">
        <f>SUMIFS(T_Shipments[Confirmed_Qty],T_Shipments[Part Name],$A33,T_Shipments[Effective_Week],56)</f>
        <v/>
      </c>
      <c r="BF33">
        <f>SUMIFS(T_Shipments[Confirmed_Qty],T_Shipments[Part Name],$A33,T_Shipments[Effective_Week],57)</f>
        <v/>
      </c>
      <c r="BG33">
        <f>SUMIFS(T_Shipments[Confirmed_Qty],T_Shipments[Part Name],$A33,T_Shipments[Effective_Week],58)</f>
        <v/>
      </c>
      <c r="BH33">
        <f>SUMIFS(T_Shipments[Confirmed_Qty],T_Shipments[Part Name],$A33,T_Shipments[Effective_Week],59)</f>
        <v/>
      </c>
      <c r="BI33">
        <f>SUMIFS(T_Shipments[Confirmed_Qty],T_Shipments[Part Name],$A33,T_Shipments[Effective_Week],60)</f>
        <v/>
      </c>
      <c r="BJ33">
        <f>SUMIFS(T_Shipments[Confirmed_Qty],T_Shipments[Part Name],$A33,T_Shipments[Effective_Week],61)</f>
        <v/>
      </c>
      <c r="BK33">
        <f>SUMIFS(T_Shipments[Confirmed_Qty],T_Shipments[Part Name],$A33,T_Shipments[Effective_Week],62)</f>
        <v/>
      </c>
      <c r="BL33">
        <f>SUMIFS(T_Shipments[Confirmed_Qty],T_Shipments[Part Name],$A33,T_Shipments[Effective_Week],63)</f>
        <v/>
      </c>
      <c r="BM33">
        <f>SUMIFS(T_Shipments[Confirmed_Qty],T_Shipments[Part Name],$A33,T_Shipments[Effective_Week],64)</f>
        <v/>
      </c>
      <c r="BN33">
        <f>SUMIFS(T_Shipments[Confirmed_Qty],T_Shipments[Part Name],$A33,T_Shipments[Effective_Week],65)</f>
        <v/>
      </c>
      <c r="BO33">
        <f>SUMIFS(T_Shipments[Confirmed_Qty],T_Shipments[Part Name],$A33,T_Shipments[Effective_Week],66)</f>
        <v/>
      </c>
      <c r="BP33">
        <f>SUMIFS(T_Shipments[Confirmed_Qty],T_Shipments[Part Name],$A33,T_Shipments[Effective_Week],67)</f>
        <v/>
      </c>
      <c r="BQ33">
        <f>SUMIFS(T_Shipments[Confirmed_Qty],T_Shipments[Part Name],$A33,T_Shipments[Effective_Week],68)</f>
        <v/>
      </c>
      <c r="BR33">
        <f>SUMIFS(T_Shipments[Confirmed_Qty],T_Shipments[Part Name],$A33,T_Shipments[Effective_Week],69)</f>
        <v/>
      </c>
      <c r="BS33">
        <f>SUMIFS(T_Shipments[Confirmed_Qty],T_Shipments[Part Name],$A33,T_Shipments[Effective_Week],70)</f>
        <v/>
      </c>
      <c r="BT33">
        <f>SUMIFS(T_Shipments[Confirmed_Qty],T_Shipments[Part Name],$A33,T_Shipments[Effective_Week],71)</f>
        <v/>
      </c>
      <c r="BU33">
        <f>SUMIFS(T_Shipments[Confirmed_Qty],T_Shipments[Part Name],$A33,T_Shipments[Effective_Week],72)</f>
        <v/>
      </c>
      <c r="BV33">
        <f>SUMIFS(T_Shipments[Confirmed_Qty],T_Shipments[Part Name],$A33,T_Shipments[Effective_Week],73)</f>
        <v/>
      </c>
      <c r="BW33">
        <f>SUMIFS(T_Shipments[Confirmed_Qty],T_Shipments[Part Name],$A33,T_Shipments[Effective_Week],74)</f>
        <v/>
      </c>
      <c r="BX33">
        <f>SUMIFS(T_Shipments[Confirmed_Qty],T_Shipments[Part Name],$A33,T_Shipments[Effective_Week],75)</f>
        <v/>
      </c>
      <c r="BY33">
        <f>SUMIFS(T_Shipments[Confirmed_Qty],T_Shipments[Part Name],$A33,T_Shipments[Effective_Week],76)</f>
        <v/>
      </c>
      <c r="BZ33">
        <f>SUMIFS(T_Shipments[Confirmed_Qty],T_Shipments[Part Name],$A33,T_Shipments[Effective_Week],77)</f>
        <v/>
      </c>
      <c r="CA33">
        <f>SUMIFS(T_Shipments[Confirmed_Qty],T_Shipments[Part Name],$A33,T_Shipments[Effective_Week],78)</f>
        <v/>
      </c>
      <c r="CB33">
        <f>SUMIFS(T_Shipments[Confirmed_Qty],T_Shipments[Part Name],$A33,T_Shipments[Effective_Week],79)</f>
        <v/>
      </c>
      <c r="CC33">
        <f>SUMIFS(T_Shipments[Confirmed_Qty],T_Shipments[Part Name],$A33,T_Shipments[Effective_Week],80)</f>
        <v/>
      </c>
      <c r="CD33">
        <f>SUMIFS(T_Shipments[Confirmed_Qty],T_Shipments[Part Name],$A33,T_Shipments[Effective_Week],81)</f>
        <v/>
      </c>
      <c r="CE33">
        <f>SUMIFS(T_Shipments[Confirmed_Qty],T_Shipments[Part Name],$A33,T_Shipments[Effective_Week],82)</f>
        <v/>
      </c>
      <c r="CF33">
        <f>SUMIFS(T_Shipments[Confirmed_Qty],T_Shipments[Part Name],$A33,T_Shipments[Effective_Week],83)</f>
        <v/>
      </c>
      <c r="CG33">
        <f>SUMIFS(T_Shipments[Confirmed_Qty],T_Shipments[Part Name],$A33,T_Shipments[Effective_Week],84)</f>
        <v/>
      </c>
      <c r="CH33">
        <f>SUMIFS(T_Shipments[Confirmed_Qty],T_Shipments[Part Name],$A33,T_Shipments[Effective_Week],85)</f>
        <v/>
      </c>
      <c r="CI33">
        <f>SUMIFS(T_Shipments[Confirmed_Qty],T_Shipments[Part Name],$A33,T_Shipments[Effective_Week],86)</f>
        <v/>
      </c>
      <c r="CJ33">
        <f>SUMIFS(T_Shipments[Confirmed_Qty],T_Shipments[Part Name],$A33,T_Shipments[Effective_Week],87)</f>
        <v/>
      </c>
      <c r="CK33">
        <f>SUMIFS(T_Shipments[Confirmed_Qty],T_Shipments[Part Name],$A33,T_Shipments[Effective_Week],88)</f>
        <v/>
      </c>
      <c r="CL33">
        <f>SUMIFS(T_Shipments[Confirmed_Qty],T_Shipments[Part Name],$A33,T_Shipments[Effective_Week],89)</f>
        <v/>
      </c>
      <c r="CM33">
        <f>SUMIFS(T_Shipments[Confirmed_Qty],T_Shipments[Part Name],$A33,T_Shipments[Effective_Week],90)</f>
        <v/>
      </c>
      <c r="CN33">
        <f>SUMIFS(T_Shipments[Confirmed_Qty],T_Shipments[Part Name],$A33,T_Shipments[Effective_Week],91)</f>
        <v/>
      </c>
      <c r="CO33">
        <f>SUMIFS(T_Shipments[Confirmed_Qty],T_Shipments[Part Name],$A33,T_Shipments[Effective_Week],92)</f>
        <v/>
      </c>
      <c r="CP33">
        <f>SUMIFS(T_Shipments[Confirmed_Qty],T_Shipments[Part Name],$A33,T_Shipments[Effective_Week],93)</f>
        <v/>
      </c>
      <c r="CQ33">
        <f>SUMIFS(T_Shipments[Confirmed_Qty],T_Shipments[Part Name],$A33,T_Shipments[Effective_Week],94)</f>
        <v/>
      </c>
      <c r="CR33">
        <f>SUMIFS(T_Shipments[Confirmed_Qty],T_Shipments[Part Name],$A33,T_Shipments[Effective_Week],95)</f>
        <v/>
      </c>
      <c r="CS33">
        <f>SUMIFS(T_Shipments[Confirmed_Qty],T_Shipments[Part Name],$A33,T_Shipments[Effective_Week],96)</f>
        <v/>
      </c>
      <c r="CT33">
        <f>SUMIFS(T_Shipments[Confirmed_Qty],T_Shipments[Part Name],$A33,T_Shipments[Effective_Week],97)</f>
        <v/>
      </c>
      <c r="CU33">
        <f>SUMIFS(T_Shipments[Confirmed_Qty],T_Shipments[Part Name],$A33,T_Shipments[Effective_Week],98)</f>
        <v/>
      </c>
      <c r="CV33">
        <f>SUMIFS(T_Shipments[Confirmed_Qty],T_Shipments[Part Name],$A33,T_Shipments[Effective_Week],99)</f>
        <v/>
      </c>
      <c r="CW33">
        <f>SUMIFS(T_Shipments[Confirmed_Qty],T_Shipments[Part Name],$A33,T_Shipments[Effective_Week],100)</f>
        <v/>
      </c>
      <c r="CX33">
        <f>SUMIFS(T_Shipments[Confirmed_Qty],T_Shipments[Part Name],$A33,T_Shipments[Effective_Week],101)</f>
        <v/>
      </c>
      <c r="CY33">
        <f>SUMIFS(T_Shipments[Confirmed_Qty],T_Shipments[Part Name],$A33,T_Shipments[Effective_Week],102)</f>
        <v/>
      </c>
      <c r="CZ33">
        <f>SUMIFS(T_Shipments[Confirmed_Qty],T_Shipments[Part Name],$A33,T_Shipments[Effective_Week],103)</f>
        <v/>
      </c>
      <c r="DA33">
        <f>SUMIFS(T_Shipments[Confirmed_Qty],T_Shipments[Part Name],$A33,T_Shipments[Effective_Week],104)</f>
        <v/>
      </c>
    </row>
    <row r="34">
      <c r="A34" t="inlineStr">
        <is>
          <t>CHEM-1560</t>
        </is>
      </c>
      <c r="B34">
        <f>SUMIFS(T_Shipments[Confirmed_Qty],T_Shipments[Part Name],$A34,T_Shipments[Effective_Week],1)</f>
        <v/>
      </c>
      <c r="C34">
        <f>SUMIFS(T_Shipments[Confirmed_Qty],T_Shipments[Part Name],$A34,T_Shipments[Effective_Week],2)</f>
        <v/>
      </c>
      <c r="D34">
        <f>SUMIFS(T_Shipments[Confirmed_Qty],T_Shipments[Part Name],$A34,T_Shipments[Effective_Week],3)</f>
        <v/>
      </c>
      <c r="E34">
        <f>SUMIFS(T_Shipments[Confirmed_Qty],T_Shipments[Part Name],$A34,T_Shipments[Effective_Week],4)</f>
        <v/>
      </c>
      <c r="F34">
        <f>SUMIFS(T_Shipments[Confirmed_Qty],T_Shipments[Part Name],$A34,T_Shipments[Effective_Week],5)</f>
        <v/>
      </c>
      <c r="G34">
        <f>SUMIFS(T_Shipments[Confirmed_Qty],T_Shipments[Part Name],$A34,T_Shipments[Effective_Week],6)</f>
        <v/>
      </c>
      <c r="H34">
        <f>SUMIFS(T_Shipments[Confirmed_Qty],T_Shipments[Part Name],$A34,T_Shipments[Effective_Week],7)</f>
        <v/>
      </c>
      <c r="I34">
        <f>SUMIFS(T_Shipments[Confirmed_Qty],T_Shipments[Part Name],$A34,T_Shipments[Effective_Week],8)</f>
        <v/>
      </c>
      <c r="J34">
        <f>SUMIFS(T_Shipments[Confirmed_Qty],T_Shipments[Part Name],$A34,T_Shipments[Effective_Week],9)</f>
        <v/>
      </c>
      <c r="K34">
        <f>SUMIFS(T_Shipments[Confirmed_Qty],T_Shipments[Part Name],$A34,T_Shipments[Effective_Week],10)</f>
        <v/>
      </c>
      <c r="L34">
        <f>SUMIFS(T_Shipments[Confirmed_Qty],T_Shipments[Part Name],$A34,T_Shipments[Effective_Week],11)</f>
        <v/>
      </c>
      <c r="M34">
        <f>SUMIFS(T_Shipments[Confirmed_Qty],T_Shipments[Part Name],$A34,T_Shipments[Effective_Week],12)</f>
        <v/>
      </c>
      <c r="N34">
        <f>SUMIFS(T_Shipments[Confirmed_Qty],T_Shipments[Part Name],$A34,T_Shipments[Effective_Week],13)</f>
        <v/>
      </c>
      <c r="O34">
        <f>SUMIFS(T_Shipments[Confirmed_Qty],T_Shipments[Part Name],$A34,T_Shipments[Effective_Week],14)</f>
        <v/>
      </c>
      <c r="P34">
        <f>SUMIFS(T_Shipments[Confirmed_Qty],T_Shipments[Part Name],$A34,T_Shipments[Effective_Week],15)</f>
        <v/>
      </c>
      <c r="Q34">
        <f>SUMIFS(T_Shipments[Confirmed_Qty],T_Shipments[Part Name],$A34,T_Shipments[Effective_Week],16)</f>
        <v/>
      </c>
      <c r="R34">
        <f>SUMIFS(T_Shipments[Confirmed_Qty],T_Shipments[Part Name],$A34,T_Shipments[Effective_Week],17)</f>
        <v/>
      </c>
      <c r="S34">
        <f>SUMIFS(T_Shipments[Confirmed_Qty],T_Shipments[Part Name],$A34,T_Shipments[Effective_Week],18)</f>
        <v/>
      </c>
      <c r="T34">
        <f>SUMIFS(T_Shipments[Confirmed_Qty],T_Shipments[Part Name],$A34,T_Shipments[Effective_Week],19)</f>
        <v/>
      </c>
      <c r="U34">
        <f>SUMIFS(T_Shipments[Confirmed_Qty],T_Shipments[Part Name],$A34,T_Shipments[Effective_Week],20)</f>
        <v/>
      </c>
      <c r="V34">
        <f>SUMIFS(T_Shipments[Confirmed_Qty],T_Shipments[Part Name],$A34,T_Shipments[Effective_Week],21)</f>
        <v/>
      </c>
      <c r="W34">
        <f>SUMIFS(T_Shipments[Confirmed_Qty],T_Shipments[Part Name],$A34,T_Shipments[Effective_Week],22)</f>
        <v/>
      </c>
      <c r="X34">
        <f>SUMIFS(T_Shipments[Confirmed_Qty],T_Shipments[Part Name],$A34,T_Shipments[Effective_Week],23)</f>
        <v/>
      </c>
      <c r="Y34">
        <f>SUMIFS(T_Shipments[Confirmed_Qty],T_Shipments[Part Name],$A34,T_Shipments[Effective_Week],24)</f>
        <v/>
      </c>
      <c r="Z34">
        <f>SUMIFS(T_Shipments[Confirmed_Qty],T_Shipments[Part Name],$A34,T_Shipments[Effective_Week],25)</f>
        <v/>
      </c>
      <c r="AA34">
        <f>SUMIFS(T_Shipments[Confirmed_Qty],T_Shipments[Part Name],$A34,T_Shipments[Effective_Week],26)</f>
        <v/>
      </c>
      <c r="AB34">
        <f>SUMIFS(T_Shipments[Confirmed_Qty],T_Shipments[Part Name],$A34,T_Shipments[Effective_Week],27)</f>
        <v/>
      </c>
      <c r="AC34">
        <f>SUMIFS(T_Shipments[Confirmed_Qty],T_Shipments[Part Name],$A34,T_Shipments[Effective_Week],28)</f>
        <v/>
      </c>
      <c r="AD34">
        <f>SUMIFS(T_Shipments[Confirmed_Qty],T_Shipments[Part Name],$A34,T_Shipments[Effective_Week],29)</f>
        <v/>
      </c>
      <c r="AE34">
        <f>SUMIFS(T_Shipments[Confirmed_Qty],T_Shipments[Part Name],$A34,T_Shipments[Effective_Week],30)</f>
        <v/>
      </c>
      <c r="AF34">
        <f>SUMIFS(T_Shipments[Confirmed_Qty],T_Shipments[Part Name],$A34,T_Shipments[Effective_Week],31)</f>
        <v/>
      </c>
      <c r="AG34">
        <f>SUMIFS(T_Shipments[Confirmed_Qty],T_Shipments[Part Name],$A34,T_Shipments[Effective_Week],32)</f>
        <v/>
      </c>
      <c r="AH34">
        <f>SUMIFS(T_Shipments[Confirmed_Qty],T_Shipments[Part Name],$A34,T_Shipments[Effective_Week],33)</f>
        <v/>
      </c>
      <c r="AI34">
        <f>SUMIFS(T_Shipments[Confirmed_Qty],T_Shipments[Part Name],$A34,T_Shipments[Effective_Week],34)</f>
        <v/>
      </c>
      <c r="AJ34">
        <f>SUMIFS(T_Shipments[Confirmed_Qty],T_Shipments[Part Name],$A34,T_Shipments[Effective_Week],35)</f>
        <v/>
      </c>
      <c r="AK34">
        <f>SUMIFS(T_Shipments[Confirmed_Qty],T_Shipments[Part Name],$A34,T_Shipments[Effective_Week],36)</f>
        <v/>
      </c>
      <c r="AL34">
        <f>SUMIFS(T_Shipments[Confirmed_Qty],T_Shipments[Part Name],$A34,T_Shipments[Effective_Week],37)</f>
        <v/>
      </c>
      <c r="AM34">
        <f>SUMIFS(T_Shipments[Confirmed_Qty],T_Shipments[Part Name],$A34,T_Shipments[Effective_Week],38)</f>
        <v/>
      </c>
      <c r="AN34">
        <f>SUMIFS(T_Shipments[Confirmed_Qty],T_Shipments[Part Name],$A34,T_Shipments[Effective_Week],39)</f>
        <v/>
      </c>
      <c r="AO34">
        <f>SUMIFS(T_Shipments[Confirmed_Qty],T_Shipments[Part Name],$A34,T_Shipments[Effective_Week],40)</f>
        <v/>
      </c>
      <c r="AP34">
        <f>SUMIFS(T_Shipments[Confirmed_Qty],T_Shipments[Part Name],$A34,T_Shipments[Effective_Week],41)</f>
        <v/>
      </c>
      <c r="AQ34">
        <f>SUMIFS(T_Shipments[Confirmed_Qty],T_Shipments[Part Name],$A34,T_Shipments[Effective_Week],42)</f>
        <v/>
      </c>
      <c r="AR34">
        <f>SUMIFS(T_Shipments[Confirmed_Qty],T_Shipments[Part Name],$A34,T_Shipments[Effective_Week],43)</f>
        <v/>
      </c>
      <c r="AS34">
        <f>SUMIFS(T_Shipments[Confirmed_Qty],T_Shipments[Part Name],$A34,T_Shipments[Effective_Week],44)</f>
        <v/>
      </c>
      <c r="AT34">
        <f>SUMIFS(T_Shipments[Confirmed_Qty],T_Shipments[Part Name],$A34,T_Shipments[Effective_Week],45)</f>
        <v/>
      </c>
      <c r="AU34">
        <f>SUMIFS(T_Shipments[Confirmed_Qty],T_Shipments[Part Name],$A34,T_Shipments[Effective_Week],46)</f>
        <v/>
      </c>
      <c r="AV34">
        <f>SUMIFS(T_Shipments[Confirmed_Qty],T_Shipments[Part Name],$A34,T_Shipments[Effective_Week],47)</f>
        <v/>
      </c>
      <c r="AW34">
        <f>SUMIFS(T_Shipments[Confirmed_Qty],T_Shipments[Part Name],$A34,T_Shipments[Effective_Week],48)</f>
        <v/>
      </c>
      <c r="AX34">
        <f>SUMIFS(T_Shipments[Confirmed_Qty],T_Shipments[Part Name],$A34,T_Shipments[Effective_Week],49)</f>
        <v/>
      </c>
      <c r="AY34">
        <f>SUMIFS(T_Shipments[Confirmed_Qty],T_Shipments[Part Name],$A34,T_Shipments[Effective_Week],50)</f>
        <v/>
      </c>
      <c r="AZ34">
        <f>SUMIFS(T_Shipments[Confirmed_Qty],T_Shipments[Part Name],$A34,T_Shipments[Effective_Week],51)</f>
        <v/>
      </c>
      <c r="BA34">
        <f>SUMIFS(T_Shipments[Confirmed_Qty],T_Shipments[Part Name],$A34,T_Shipments[Effective_Week],52)</f>
        <v/>
      </c>
      <c r="BB34">
        <f>SUMIFS(T_Shipments[Confirmed_Qty],T_Shipments[Part Name],$A34,T_Shipments[Effective_Week],53)</f>
        <v/>
      </c>
      <c r="BC34">
        <f>SUMIFS(T_Shipments[Confirmed_Qty],T_Shipments[Part Name],$A34,T_Shipments[Effective_Week],54)</f>
        <v/>
      </c>
      <c r="BD34">
        <f>SUMIFS(T_Shipments[Confirmed_Qty],T_Shipments[Part Name],$A34,T_Shipments[Effective_Week],55)</f>
        <v/>
      </c>
      <c r="BE34">
        <f>SUMIFS(T_Shipments[Confirmed_Qty],T_Shipments[Part Name],$A34,T_Shipments[Effective_Week],56)</f>
        <v/>
      </c>
      <c r="BF34">
        <f>SUMIFS(T_Shipments[Confirmed_Qty],T_Shipments[Part Name],$A34,T_Shipments[Effective_Week],57)</f>
        <v/>
      </c>
      <c r="BG34">
        <f>SUMIFS(T_Shipments[Confirmed_Qty],T_Shipments[Part Name],$A34,T_Shipments[Effective_Week],58)</f>
        <v/>
      </c>
      <c r="BH34">
        <f>SUMIFS(T_Shipments[Confirmed_Qty],T_Shipments[Part Name],$A34,T_Shipments[Effective_Week],59)</f>
        <v/>
      </c>
      <c r="BI34">
        <f>SUMIFS(T_Shipments[Confirmed_Qty],T_Shipments[Part Name],$A34,T_Shipments[Effective_Week],60)</f>
        <v/>
      </c>
      <c r="BJ34">
        <f>SUMIFS(T_Shipments[Confirmed_Qty],T_Shipments[Part Name],$A34,T_Shipments[Effective_Week],61)</f>
        <v/>
      </c>
      <c r="BK34">
        <f>SUMIFS(T_Shipments[Confirmed_Qty],T_Shipments[Part Name],$A34,T_Shipments[Effective_Week],62)</f>
        <v/>
      </c>
      <c r="BL34">
        <f>SUMIFS(T_Shipments[Confirmed_Qty],T_Shipments[Part Name],$A34,T_Shipments[Effective_Week],63)</f>
        <v/>
      </c>
      <c r="BM34">
        <f>SUMIFS(T_Shipments[Confirmed_Qty],T_Shipments[Part Name],$A34,T_Shipments[Effective_Week],64)</f>
        <v/>
      </c>
      <c r="BN34">
        <f>SUMIFS(T_Shipments[Confirmed_Qty],T_Shipments[Part Name],$A34,T_Shipments[Effective_Week],65)</f>
        <v/>
      </c>
      <c r="BO34">
        <f>SUMIFS(T_Shipments[Confirmed_Qty],T_Shipments[Part Name],$A34,T_Shipments[Effective_Week],66)</f>
        <v/>
      </c>
      <c r="BP34">
        <f>SUMIFS(T_Shipments[Confirmed_Qty],T_Shipments[Part Name],$A34,T_Shipments[Effective_Week],67)</f>
        <v/>
      </c>
      <c r="BQ34">
        <f>SUMIFS(T_Shipments[Confirmed_Qty],T_Shipments[Part Name],$A34,T_Shipments[Effective_Week],68)</f>
        <v/>
      </c>
      <c r="BR34">
        <f>SUMIFS(T_Shipments[Confirmed_Qty],T_Shipments[Part Name],$A34,T_Shipments[Effective_Week],69)</f>
        <v/>
      </c>
      <c r="BS34">
        <f>SUMIFS(T_Shipments[Confirmed_Qty],T_Shipments[Part Name],$A34,T_Shipments[Effective_Week],70)</f>
        <v/>
      </c>
      <c r="BT34">
        <f>SUMIFS(T_Shipments[Confirmed_Qty],T_Shipments[Part Name],$A34,T_Shipments[Effective_Week],71)</f>
        <v/>
      </c>
      <c r="BU34">
        <f>SUMIFS(T_Shipments[Confirmed_Qty],T_Shipments[Part Name],$A34,T_Shipments[Effective_Week],72)</f>
        <v/>
      </c>
      <c r="BV34">
        <f>SUMIFS(T_Shipments[Confirmed_Qty],T_Shipments[Part Name],$A34,T_Shipments[Effective_Week],73)</f>
        <v/>
      </c>
      <c r="BW34">
        <f>SUMIFS(T_Shipments[Confirmed_Qty],T_Shipments[Part Name],$A34,T_Shipments[Effective_Week],74)</f>
        <v/>
      </c>
      <c r="BX34">
        <f>SUMIFS(T_Shipments[Confirmed_Qty],T_Shipments[Part Name],$A34,T_Shipments[Effective_Week],75)</f>
        <v/>
      </c>
      <c r="BY34">
        <f>SUMIFS(T_Shipments[Confirmed_Qty],T_Shipments[Part Name],$A34,T_Shipments[Effective_Week],76)</f>
        <v/>
      </c>
      <c r="BZ34">
        <f>SUMIFS(T_Shipments[Confirmed_Qty],T_Shipments[Part Name],$A34,T_Shipments[Effective_Week],77)</f>
        <v/>
      </c>
      <c r="CA34">
        <f>SUMIFS(T_Shipments[Confirmed_Qty],T_Shipments[Part Name],$A34,T_Shipments[Effective_Week],78)</f>
        <v/>
      </c>
      <c r="CB34">
        <f>SUMIFS(T_Shipments[Confirmed_Qty],T_Shipments[Part Name],$A34,T_Shipments[Effective_Week],79)</f>
        <v/>
      </c>
      <c r="CC34">
        <f>SUMIFS(T_Shipments[Confirmed_Qty],T_Shipments[Part Name],$A34,T_Shipments[Effective_Week],80)</f>
        <v/>
      </c>
      <c r="CD34">
        <f>SUMIFS(T_Shipments[Confirmed_Qty],T_Shipments[Part Name],$A34,T_Shipments[Effective_Week],81)</f>
        <v/>
      </c>
      <c r="CE34">
        <f>SUMIFS(T_Shipments[Confirmed_Qty],T_Shipments[Part Name],$A34,T_Shipments[Effective_Week],82)</f>
        <v/>
      </c>
      <c r="CF34">
        <f>SUMIFS(T_Shipments[Confirmed_Qty],T_Shipments[Part Name],$A34,T_Shipments[Effective_Week],83)</f>
        <v/>
      </c>
      <c r="CG34">
        <f>SUMIFS(T_Shipments[Confirmed_Qty],T_Shipments[Part Name],$A34,T_Shipments[Effective_Week],84)</f>
        <v/>
      </c>
      <c r="CH34">
        <f>SUMIFS(T_Shipments[Confirmed_Qty],T_Shipments[Part Name],$A34,T_Shipments[Effective_Week],85)</f>
        <v/>
      </c>
      <c r="CI34">
        <f>SUMIFS(T_Shipments[Confirmed_Qty],T_Shipments[Part Name],$A34,T_Shipments[Effective_Week],86)</f>
        <v/>
      </c>
      <c r="CJ34">
        <f>SUMIFS(T_Shipments[Confirmed_Qty],T_Shipments[Part Name],$A34,T_Shipments[Effective_Week],87)</f>
        <v/>
      </c>
      <c r="CK34">
        <f>SUMIFS(T_Shipments[Confirmed_Qty],T_Shipments[Part Name],$A34,T_Shipments[Effective_Week],88)</f>
        <v/>
      </c>
      <c r="CL34">
        <f>SUMIFS(T_Shipments[Confirmed_Qty],T_Shipments[Part Name],$A34,T_Shipments[Effective_Week],89)</f>
        <v/>
      </c>
      <c r="CM34">
        <f>SUMIFS(T_Shipments[Confirmed_Qty],T_Shipments[Part Name],$A34,T_Shipments[Effective_Week],90)</f>
        <v/>
      </c>
      <c r="CN34">
        <f>SUMIFS(T_Shipments[Confirmed_Qty],T_Shipments[Part Name],$A34,T_Shipments[Effective_Week],91)</f>
        <v/>
      </c>
      <c r="CO34">
        <f>SUMIFS(T_Shipments[Confirmed_Qty],T_Shipments[Part Name],$A34,T_Shipments[Effective_Week],92)</f>
        <v/>
      </c>
      <c r="CP34">
        <f>SUMIFS(T_Shipments[Confirmed_Qty],T_Shipments[Part Name],$A34,T_Shipments[Effective_Week],93)</f>
        <v/>
      </c>
      <c r="CQ34">
        <f>SUMIFS(T_Shipments[Confirmed_Qty],T_Shipments[Part Name],$A34,T_Shipments[Effective_Week],94)</f>
        <v/>
      </c>
      <c r="CR34">
        <f>SUMIFS(T_Shipments[Confirmed_Qty],T_Shipments[Part Name],$A34,T_Shipments[Effective_Week],95)</f>
        <v/>
      </c>
      <c r="CS34">
        <f>SUMIFS(T_Shipments[Confirmed_Qty],T_Shipments[Part Name],$A34,T_Shipments[Effective_Week],96)</f>
        <v/>
      </c>
      <c r="CT34">
        <f>SUMIFS(T_Shipments[Confirmed_Qty],T_Shipments[Part Name],$A34,T_Shipments[Effective_Week],97)</f>
        <v/>
      </c>
      <c r="CU34">
        <f>SUMIFS(T_Shipments[Confirmed_Qty],T_Shipments[Part Name],$A34,T_Shipments[Effective_Week],98)</f>
        <v/>
      </c>
      <c r="CV34">
        <f>SUMIFS(T_Shipments[Confirmed_Qty],T_Shipments[Part Name],$A34,T_Shipments[Effective_Week],99)</f>
        <v/>
      </c>
      <c r="CW34">
        <f>SUMIFS(T_Shipments[Confirmed_Qty],T_Shipments[Part Name],$A34,T_Shipments[Effective_Week],100)</f>
        <v/>
      </c>
      <c r="CX34">
        <f>SUMIFS(T_Shipments[Confirmed_Qty],T_Shipments[Part Name],$A34,T_Shipments[Effective_Week],101)</f>
        <v/>
      </c>
      <c r="CY34">
        <f>SUMIFS(T_Shipments[Confirmed_Qty],T_Shipments[Part Name],$A34,T_Shipments[Effective_Week],102)</f>
        <v/>
      </c>
      <c r="CZ34">
        <f>SUMIFS(T_Shipments[Confirmed_Qty],T_Shipments[Part Name],$A34,T_Shipments[Effective_Week],103)</f>
        <v/>
      </c>
      <c r="DA34">
        <f>SUMIFS(T_Shipments[Confirmed_Qty],T_Shipments[Part Name],$A34,T_Shipments[Effective_Week],104)</f>
        <v/>
      </c>
    </row>
    <row r="35">
      <c r="A35" t="inlineStr">
        <is>
          <t>CHEM-1510</t>
        </is>
      </c>
      <c r="B35">
        <f>SUMIFS(T_Shipments[Confirmed_Qty],T_Shipments[Part Name],$A35,T_Shipments[Effective_Week],1)</f>
        <v/>
      </c>
      <c r="C35">
        <f>SUMIFS(T_Shipments[Confirmed_Qty],T_Shipments[Part Name],$A35,T_Shipments[Effective_Week],2)</f>
        <v/>
      </c>
      <c r="D35">
        <f>SUMIFS(T_Shipments[Confirmed_Qty],T_Shipments[Part Name],$A35,T_Shipments[Effective_Week],3)</f>
        <v/>
      </c>
      <c r="E35">
        <f>SUMIFS(T_Shipments[Confirmed_Qty],T_Shipments[Part Name],$A35,T_Shipments[Effective_Week],4)</f>
        <v/>
      </c>
      <c r="F35">
        <f>SUMIFS(T_Shipments[Confirmed_Qty],T_Shipments[Part Name],$A35,T_Shipments[Effective_Week],5)</f>
        <v/>
      </c>
      <c r="G35">
        <f>SUMIFS(T_Shipments[Confirmed_Qty],T_Shipments[Part Name],$A35,T_Shipments[Effective_Week],6)</f>
        <v/>
      </c>
      <c r="H35">
        <f>SUMIFS(T_Shipments[Confirmed_Qty],T_Shipments[Part Name],$A35,T_Shipments[Effective_Week],7)</f>
        <v/>
      </c>
      <c r="I35">
        <f>SUMIFS(T_Shipments[Confirmed_Qty],T_Shipments[Part Name],$A35,T_Shipments[Effective_Week],8)</f>
        <v/>
      </c>
      <c r="J35">
        <f>SUMIFS(T_Shipments[Confirmed_Qty],T_Shipments[Part Name],$A35,T_Shipments[Effective_Week],9)</f>
        <v/>
      </c>
      <c r="K35">
        <f>SUMIFS(T_Shipments[Confirmed_Qty],T_Shipments[Part Name],$A35,T_Shipments[Effective_Week],10)</f>
        <v/>
      </c>
      <c r="L35">
        <f>SUMIFS(T_Shipments[Confirmed_Qty],T_Shipments[Part Name],$A35,T_Shipments[Effective_Week],11)</f>
        <v/>
      </c>
      <c r="M35">
        <f>SUMIFS(T_Shipments[Confirmed_Qty],T_Shipments[Part Name],$A35,T_Shipments[Effective_Week],12)</f>
        <v/>
      </c>
      <c r="N35">
        <f>SUMIFS(T_Shipments[Confirmed_Qty],T_Shipments[Part Name],$A35,T_Shipments[Effective_Week],13)</f>
        <v/>
      </c>
      <c r="O35">
        <f>SUMIFS(T_Shipments[Confirmed_Qty],T_Shipments[Part Name],$A35,T_Shipments[Effective_Week],14)</f>
        <v/>
      </c>
      <c r="P35">
        <f>SUMIFS(T_Shipments[Confirmed_Qty],T_Shipments[Part Name],$A35,T_Shipments[Effective_Week],15)</f>
        <v/>
      </c>
      <c r="Q35">
        <f>SUMIFS(T_Shipments[Confirmed_Qty],T_Shipments[Part Name],$A35,T_Shipments[Effective_Week],16)</f>
        <v/>
      </c>
      <c r="R35">
        <f>SUMIFS(T_Shipments[Confirmed_Qty],T_Shipments[Part Name],$A35,T_Shipments[Effective_Week],17)</f>
        <v/>
      </c>
      <c r="S35">
        <f>SUMIFS(T_Shipments[Confirmed_Qty],T_Shipments[Part Name],$A35,T_Shipments[Effective_Week],18)</f>
        <v/>
      </c>
      <c r="T35">
        <f>SUMIFS(T_Shipments[Confirmed_Qty],T_Shipments[Part Name],$A35,T_Shipments[Effective_Week],19)</f>
        <v/>
      </c>
      <c r="U35">
        <f>SUMIFS(T_Shipments[Confirmed_Qty],T_Shipments[Part Name],$A35,T_Shipments[Effective_Week],20)</f>
        <v/>
      </c>
      <c r="V35">
        <f>SUMIFS(T_Shipments[Confirmed_Qty],T_Shipments[Part Name],$A35,T_Shipments[Effective_Week],21)</f>
        <v/>
      </c>
      <c r="W35">
        <f>SUMIFS(T_Shipments[Confirmed_Qty],T_Shipments[Part Name],$A35,T_Shipments[Effective_Week],22)</f>
        <v/>
      </c>
      <c r="X35">
        <f>SUMIFS(T_Shipments[Confirmed_Qty],T_Shipments[Part Name],$A35,T_Shipments[Effective_Week],23)</f>
        <v/>
      </c>
      <c r="Y35">
        <f>SUMIFS(T_Shipments[Confirmed_Qty],T_Shipments[Part Name],$A35,T_Shipments[Effective_Week],24)</f>
        <v/>
      </c>
      <c r="Z35">
        <f>SUMIFS(T_Shipments[Confirmed_Qty],T_Shipments[Part Name],$A35,T_Shipments[Effective_Week],25)</f>
        <v/>
      </c>
      <c r="AA35">
        <f>SUMIFS(T_Shipments[Confirmed_Qty],T_Shipments[Part Name],$A35,T_Shipments[Effective_Week],26)</f>
        <v/>
      </c>
      <c r="AB35">
        <f>SUMIFS(T_Shipments[Confirmed_Qty],T_Shipments[Part Name],$A35,T_Shipments[Effective_Week],27)</f>
        <v/>
      </c>
      <c r="AC35">
        <f>SUMIFS(T_Shipments[Confirmed_Qty],T_Shipments[Part Name],$A35,T_Shipments[Effective_Week],28)</f>
        <v/>
      </c>
      <c r="AD35">
        <f>SUMIFS(T_Shipments[Confirmed_Qty],T_Shipments[Part Name],$A35,T_Shipments[Effective_Week],29)</f>
        <v/>
      </c>
      <c r="AE35">
        <f>SUMIFS(T_Shipments[Confirmed_Qty],T_Shipments[Part Name],$A35,T_Shipments[Effective_Week],30)</f>
        <v/>
      </c>
      <c r="AF35">
        <f>SUMIFS(T_Shipments[Confirmed_Qty],T_Shipments[Part Name],$A35,T_Shipments[Effective_Week],31)</f>
        <v/>
      </c>
      <c r="AG35">
        <f>SUMIFS(T_Shipments[Confirmed_Qty],T_Shipments[Part Name],$A35,T_Shipments[Effective_Week],32)</f>
        <v/>
      </c>
      <c r="AH35">
        <f>SUMIFS(T_Shipments[Confirmed_Qty],T_Shipments[Part Name],$A35,T_Shipments[Effective_Week],33)</f>
        <v/>
      </c>
      <c r="AI35">
        <f>SUMIFS(T_Shipments[Confirmed_Qty],T_Shipments[Part Name],$A35,T_Shipments[Effective_Week],34)</f>
        <v/>
      </c>
      <c r="AJ35">
        <f>SUMIFS(T_Shipments[Confirmed_Qty],T_Shipments[Part Name],$A35,T_Shipments[Effective_Week],35)</f>
        <v/>
      </c>
      <c r="AK35">
        <f>SUMIFS(T_Shipments[Confirmed_Qty],T_Shipments[Part Name],$A35,T_Shipments[Effective_Week],36)</f>
        <v/>
      </c>
      <c r="AL35">
        <f>SUMIFS(T_Shipments[Confirmed_Qty],T_Shipments[Part Name],$A35,T_Shipments[Effective_Week],37)</f>
        <v/>
      </c>
      <c r="AM35">
        <f>SUMIFS(T_Shipments[Confirmed_Qty],T_Shipments[Part Name],$A35,T_Shipments[Effective_Week],38)</f>
        <v/>
      </c>
      <c r="AN35">
        <f>SUMIFS(T_Shipments[Confirmed_Qty],T_Shipments[Part Name],$A35,T_Shipments[Effective_Week],39)</f>
        <v/>
      </c>
      <c r="AO35">
        <f>SUMIFS(T_Shipments[Confirmed_Qty],T_Shipments[Part Name],$A35,T_Shipments[Effective_Week],40)</f>
        <v/>
      </c>
      <c r="AP35">
        <f>SUMIFS(T_Shipments[Confirmed_Qty],T_Shipments[Part Name],$A35,T_Shipments[Effective_Week],41)</f>
        <v/>
      </c>
      <c r="AQ35">
        <f>SUMIFS(T_Shipments[Confirmed_Qty],T_Shipments[Part Name],$A35,T_Shipments[Effective_Week],42)</f>
        <v/>
      </c>
      <c r="AR35">
        <f>SUMIFS(T_Shipments[Confirmed_Qty],T_Shipments[Part Name],$A35,T_Shipments[Effective_Week],43)</f>
        <v/>
      </c>
      <c r="AS35">
        <f>SUMIFS(T_Shipments[Confirmed_Qty],T_Shipments[Part Name],$A35,T_Shipments[Effective_Week],44)</f>
        <v/>
      </c>
      <c r="AT35">
        <f>SUMIFS(T_Shipments[Confirmed_Qty],T_Shipments[Part Name],$A35,T_Shipments[Effective_Week],45)</f>
        <v/>
      </c>
      <c r="AU35">
        <f>SUMIFS(T_Shipments[Confirmed_Qty],T_Shipments[Part Name],$A35,T_Shipments[Effective_Week],46)</f>
        <v/>
      </c>
      <c r="AV35">
        <f>SUMIFS(T_Shipments[Confirmed_Qty],T_Shipments[Part Name],$A35,T_Shipments[Effective_Week],47)</f>
        <v/>
      </c>
      <c r="AW35">
        <f>SUMIFS(T_Shipments[Confirmed_Qty],T_Shipments[Part Name],$A35,T_Shipments[Effective_Week],48)</f>
        <v/>
      </c>
      <c r="AX35">
        <f>SUMIFS(T_Shipments[Confirmed_Qty],T_Shipments[Part Name],$A35,T_Shipments[Effective_Week],49)</f>
        <v/>
      </c>
      <c r="AY35">
        <f>SUMIFS(T_Shipments[Confirmed_Qty],T_Shipments[Part Name],$A35,T_Shipments[Effective_Week],50)</f>
        <v/>
      </c>
      <c r="AZ35">
        <f>SUMIFS(T_Shipments[Confirmed_Qty],T_Shipments[Part Name],$A35,T_Shipments[Effective_Week],51)</f>
        <v/>
      </c>
      <c r="BA35">
        <f>SUMIFS(T_Shipments[Confirmed_Qty],T_Shipments[Part Name],$A35,T_Shipments[Effective_Week],52)</f>
        <v/>
      </c>
      <c r="BB35">
        <f>SUMIFS(T_Shipments[Confirmed_Qty],T_Shipments[Part Name],$A35,T_Shipments[Effective_Week],53)</f>
        <v/>
      </c>
      <c r="BC35">
        <f>SUMIFS(T_Shipments[Confirmed_Qty],T_Shipments[Part Name],$A35,T_Shipments[Effective_Week],54)</f>
        <v/>
      </c>
      <c r="BD35">
        <f>SUMIFS(T_Shipments[Confirmed_Qty],T_Shipments[Part Name],$A35,T_Shipments[Effective_Week],55)</f>
        <v/>
      </c>
      <c r="BE35">
        <f>SUMIFS(T_Shipments[Confirmed_Qty],T_Shipments[Part Name],$A35,T_Shipments[Effective_Week],56)</f>
        <v/>
      </c>
      <c r="BF35">
        <f>SUMIFS(T_Shipments[Confirmed_Qty],T_Shipments[Part Name],$A35,T_Shipments[Effective_Week],57)</f>
        <v/>
      </c>
      <c r="BG35">
        <f>SUMIFS(T_Shipments[Confirmed_Qty],T_Shipments[Part Name],$A35,T_Shipments[Effective_Week],58)</f>
        <v/>
      </c>
      <c r="BH35">
        <f>SUMIFS(T_Shipments[Confirmed_Qty],T_Shipments[Part Name],$A35,T_Shipments[Effective_Week],59)</f>
        <v/>
      </c>
      <c r="BI35">
        <f>SUMIFS(T_Shipments[Confirmed_Qty],T_Shipments[Part Name],$A35,T_Shipments[Effective_Week],60)</f>
        <v/>
      </c>
      <c r="BJ35">
        <f>SUMIFS(T_Shipments[Confirmed_Qty],T_Shipments[Part Name],$A35,T_Shipments[Effective_Week],61)</f>
        <v/>
      </c>
      <c r="BK35">
        <f>SUMIFS(T_Shipments[Confirmed_Qty],T_Shipments[Part Name],$A35,T_Shipments[Effective_Week],62)</f>
        <v/>
      </c>
      <c r="BL35">
        <f>SUMIFS(T_Shipments[Confirmed_Qty],T_Shipments[Part Name],$A35,T_Shipments[Effective_Week],63)</f>
        <v/>
      </c>
      <c r="BM35">
        <f>SUMIFS(T_Shipments[Confirmed_Qty],T_Shipments[Part Name],$A35,T_Shipments[Effective_Week],64)</f>
        <v/>
      </c>
      <c r="BN35">
        <f>SUMIFS(T_Shipments[Confirmed_Qty],T_Shipments[Part Name],$A35,T_Shipments[Effective_Week],65)</f>
        <v/>
      </c>
      <c r="BO35">
        <f>SUMIFS(T_Shipments[Confirmed_Qty],T_Shipments[Part Name],$A35,T_Shipments[Effective_Week],66)</f>
        <v/>
      </c>
      <c r="BP35">
        <f>SUMIFS(T_Shipments[Confirmed_Qty],T_Shipments[Part Name],$A35,T_Shipments[Effective_Week],67)</f>
        <v/>
      </c>
      <c r="BQ35">
        <f>SUMIFS(T_Shipments[Confirmed_Qty],T_Shipments[Part Name],$A35,T_Shipments[Effective_Week],68)</f>
        <v/>
      </c>
      <c r="BR35">
        <f>SUMIFS(T_Shipments[Confirmed_Qty],T_Shipments[Part Name],$A35,T_Shipments[Effective_Week],69)</f>
        <v/>
      </c>
      <c r="BS35">
        <f>SUMIFS(T_Shipments[Confirmed_Qty],T_Shipments[Part Name],$A35,T_Shipments[Effective_Week],70)</f>
        <v/>
      </c>
      <c r="BT35">
        <f>SUMIFS(T_Shipments[Confirmed_Qty],T_Shipments[Part Name],$A35,T_Shipments[Effective_Week],71)</f>
        <v/>
      </c>
      <c r="BU35">
        <f>SUMIFS(T_Shipments[Confirmed_Qty],T_Shipments[Part Name],$A35,T_Shipments[Effective_Week],72)</f>
        <v/>
      </c>
      <c r="BV35">
        <f>SUMIFS(T_Shipments[Confirmed_Qty],T_Shipments[Part Name],$A35,T_Shipments[Effective_Week],73)</f>
        <v/>
      </c>
      <c r="BW35">
        <f>SUMIFS(T_Shipments[Confirmed_Qty],T_Shipments[Part Name],$A35,T_Shipments[Effective_Week],74)</f>
        <v/>
      </c>
      <c r="BX35">
        <f>SUMIFS(T_Shipments[Confirmed_Qty],T_Shipments[Part Name],$A35,T_Shipments[Effective_Week],75)</f>
        <v/>
      </c>
      <c r="BY35">
        <f>SUMIFS(T_Shipments[Confirmed_Qty],T_Shipments[Part Name],$A35,T_Shipments[Effective_Week],76)</f>
        <v/>
      </c>
      <c r="BZ35">
        <f>SUMIFS(T_Shipments[Confirmed_Qty],T_Shipments[Part Name],$A35,T_Shipments[Effective_Week],77)</f>
        <v/>
      </c>
      <c r="CA35">
        <f>SUMIFS(T_Shipments[Confirmed_Qty],T_Shipments[Part Name],$A35,T_Shipments[Effective_Week],78)</f>
        <v/>
      </c>
      <c r="CB35">
        <f>SUMIFS(T_Shipments[Confirmed_Qty],T_Shipments[Part Name],$A35,T_Shipments[Effective_Week],79)</f>
        <v/>
      </c>
      <c r="CC35">
        <f>SUMIFS(T_Shipments[Confirmed_Qty],T_Shipments[Part Name],$A35,T_Shipments[Effective_Week],80)</f>
        <v/>
      </c>
      <c r="CD35">
        <f>SUMIFS(T_Shipments[Confirmed_Qty],T_Shipments[Part Name],$A35,T_Shipments[Effective_Week],81)</f>
        <v/>
      </c>
      <c r="CE35">
        <f>SUMIFS(T_Shipments[Confirmed_Qty],T_Shipments[Part Name],$A35,T_Shipments[Effective_Week],82)</f>
        <v/>
      </c>
      <c r="CF35">
        <f>SUMIFS(T_Shipments[Confirmed_Qty],T_Shipments[Part Name],$A35,T_Shipments[Effective_Week],83)</f>
        <v/>
      </c>
      <c r="CG35">
        <f>SUMIFS(T_Shipments[Confirmed_Qty],T_Shipments[Part Name],$A35,T_Shipments[Effective_Week],84)</f>
        <v/>
      </c>
      <c r="CH35">
        <f>SUMIFS(T_Shipments[Confirmed_Qty],T_Shipments[Part Name],$A35,T_Shipments[Effective_Week],85)</f>
        <v/>
      </c>
      <c r="CI35">
        <f>SUMIFS(T_Shipments[Confirmed_Qty],T_Shipments[Part Name],$A35,T_Shipments[Effective_Week],86)</f>
        <v/>
      </c>
      <c r="CJ35">
        <f>SUMIFS(T_Shipments[Confirmed_Qty],T_Shipments[Part Name],$A35,T_Shipments[Effective_Week],87)</f>
        <v/>
      </c>
      <c r="CK35">
        <f>SUMIFS(T_Shipments[Confirmed_Qty],T_Shipments[Part Name],$A35,T_Shipments[Effective_Week],88)</f>
        <v/>
      </c>
      <c r="CL35">
        <f>SUMIFS(T_Shipments[Confirmed_Qty],T_Shipments[Part Name],$A35,T_Shipments[Effective_Week],89)</f>
        <v/>
      </c>
      <c r="CM35">
        <f>SUMIFS(T_Shipments[Confirmed_Qty],T_Shipments[Part Name],$A35,T_Shipments[Effective_Week],90)</f>
        <v/>
      </c>
      <c r="CN35">
        <f>SUMIFS(T_Shipments[Confirmed_Qty],T_Shipments[Part Name],$A35,T_Shipments[Effective_Week],91)</f>
        <v/>
      </c>
      <c r="CO35">
        <f>SUMIFS(T_Shipments[Confirmed_Qty],T_Shipments[Part Name],$A35,T_Shipments[Effective_Week],92)</f>
        <v/>
      </c>
      <c r="CP35">
        <f>SUMIFS(T_Shipments[Confirmed_Qty],T_Shipments[Part Name],$A35,T_Shipments[Effective_Week],93)</f>
        <v/>
      </c>
      <c r="CQ35">
        <f>SUMIFS(T_Shipments[Confirmed_Qty],T_Shipments[Part Name],$A35,T_Shipments[Effective_Week],94)</f>
        <v/>
      </c>
      <c r="CR35">
        <f>SUMIFS(T_Shipments[Confirmed_Qty],T_Shipments[Part Name],$A35,T_Shipments[Effective_Week],95)</f>
        <v/>
      </c>
      <c r="CS35">
        <f>SUMIFS(T_Shipments[Confirmed_Qty],T_Shipments[Part Name],$A35,T_Shipments[Effective_Week],96)</f>
        <v/>
      </c>
      <c r="CT35">
        <f>SUMIFS(T_Shipments[Confirmed_Qty],T_Shipments[Part Name],$A35,T_Shipments[Effective_Week],97)</f>
        <v/>
      </c>
      <c r="CU35">
        <f>SUMIFS(T_Shipments[Confirmed_Qty],T_Shipments[Part Name],$A35,T_Shipments[Effective_Week],98)</f>
        <v/>
      </c>
      <c r="CV35">
        <f>SUMIFS(T_Shipments[Confirmed_Qty],T_Shipments[Part Name],$A35,T_Shipments[Effective_Week],99)</f>
        <v/>
      </c>
      <c r="CW35">
        <f>SUMIFS(T_Shipments[Confirmed_Qty],T_Shipments[Part Name],$A35,T_Shipments[Effective_Week],100)</f>
        <v/>
      </c>
      <c r="CX35">
        <f>SUMIFS(T_Shipments[Confirmed_Qty],T_Shipments[Part Name],$A35,T_Shipments[Effective_Week],101)</f>
        <v/>
      </c>
      <c r="CY35">
        <f>SUMIFS(T_Shipments[Confirmed_Qty],T_Shipments[Part Name],$A35,T_Shipments[Effective_Week],102)</f>
        <v/>
      </c>
      <c r="CZ35">
        <f>SUMIFS(T_Shipments[Confirmed_Qty],T_Shipments[Part Name],$A35,T_Shipments[Effective_Week],103)</f>
        <v/>
      </c>
      <c r="DA35">
        <f>SUMIFS(T_Shipments[Confirmed_Qty],T_Shipments[Part Name],$A35,T_Shipments[Effective_Week],104)</f>
        <v/>
      </c>
    </row>
    <row r="36">
      <c r="A36" t="inlineStr">
        <is>
          <t>CHEM-1770</t>
        </is>
      </c>
      <c r="B36">
        <f>SUMIFS(T_Shipments[Confirmed_Qty],T_Shipments[Part Name],$A36,T_Shipments[Effective_Week],1)</f>
        <v/>
      </c>
      <c r="C36">
        <f>SUMIFS(T_Shipments[Confirmed_Qty],T_Shipments[Part Name],$A36,T_Shipments[Effective_Week],2)</f>
        <v/>
      </c>
      <c r="D36">
        <f>SUMIFS(T_Shipments[Confirmed_Qty],T_Shipments[Part Name],$A36,T_Shipments[Effective_Week],3)</f>
        <v/>
      </c>
      <c r="E36">
        <f>SUMIFS(T_Shipments[Confirmed_Qty],T_Shipments[Part Name],$A36,T_Shipments[Effective_Week],4)</f>
        <v/>
      </c>
      <c r="F36">
        <f>SUMIFS(T_Shipments[Confirmed_Qty],T_Shipments[Part Name],$A36,T_Shipments[Effective_Week],5)</f>
        <v/>
      </c>
      <c r="G36">
        <f>SUMIFS(T_Shipments[Confirmed_Qty],T_Shipments[Part Name],$A36,T_Shipments[Effective_Week],6)</f>
        <v/>
      </c>
      <c r="H36">
        <f>SUMIFS(T_Shipments[Confirmed_Qty],T_Shipments[Part Name],$A36,T_Shipments[Effective_Week],7)</f>
        <v/>
      </c>
      <c r="I36">
        <f>SUMIFS(T_Shipments[Confirmed_Qty],T_Shipments[Part Name],$A36,T_Shipments[Effective_Week],8)</f>
        <v/>
      </c>
      <c r="J36">
        <f>SUMIFS(T_Shipments[Confirmed_Qty],T_Shipments[Part Name],$A36,T_Shipments[Effective_Week],9)</f>
        <v/>
      </c>
      <c r="K36">
        <f>SUMIFS(T_Shipments[Confirmed_Qty],T_Shipments[Part Name],$A36,T_Shipments[Effective_Week],10)</f>
        <v/>
      </c>
      <c r="L36">
        <f>SUMIFS(T_Shipments[Confirmed_Qty],T_Shipments[Part Name],$A36,T_Shipments[Effective_Week],11)</f>
        <v/>
      </c>
      <c r="M36">
        <f>SUMIFS(T_Shipments[Confirmed_Qty],T_Shipments[Part Name],$A36,T_Shipments[Effective_Week],12)</f>
        <v/>
      </c>
      <c r="N36">
        <f>SUMIFS(T_Shipments[Confirmed_Qty],T_Shipments[Part Name],$A36,T_Shipments[Effective_Week],13)</f>
        <v/>
      </c>
      <c r="O36">
        <f>SUMIFS(T_Shipments[Confirmed_Qty],T_Shipments[Part Name],$A36,T_Shipments[Effective_Week],14)</f>
        <v/>
      </c>
      <c r="P36">
        <f>SUMIFS(T_Shipments[Confirmed_Qty],T_Shipments[Part Name],$A36,T_Shipments[Effective_Week],15)</f>
        <v/>
      </c>
      <c r="Q36">
        <f>SUMIFS(T_Shipments[Confirmed_Qty],T_Shipments[Part Name],$A36,T_Shipments[Effective_Week],16)</f>
        <v/>
      </c>
      <c r="R36">
        <f>SUMIFS(T_Shipments[Confirmed_Qty],T_Shipments[Part Name],$A36,T_Shipments[Effective_Week],17)</f>
        <v/>
      </c>
      <c r="S36">
        <f>SUMIFS(T_Shipments[Confirmed_Qty],T_Shipments[Part Name],$A36,T_Shipments[Effective_Week],18)</f>
        <v/>
      </c>
      <c r="T36">
        <f>SUMIFS(T_Shipments[Confirmed_Qty],T_Shipments[Part Name],$A36,T_Shipments[Effective_Week],19)</f>
        <v/>
      </c>
      <c r="U36">
        <f>SUMIFS(T_Shipments[Confirmed_Qty],T_Shipments[Part Name],$A36,T_Shipments[Effective_Week],20)</f>
        <v/>
      </c>
      <c r="V36">
        <f>SUMIFS(T_Shipments[Confirmed_Qty],T_Shipments[Part Name],$A36,T_Shipments[Effective_Week],21)</f>
        <v/>
      </c>
      <c r="W36">
        <f>SUMIFS(T_Shipments[Confirmed_Qty],T_Shipments[Part Name],$A36,T_Shipments[Effective_Week],22)</f>
        <v/>
      </c>
      <c r="X36">
        <f>SUMIFS(T_Shipments[Confirmed_Qty],T_Shipments[Part Name],$A36,T_Shipments[Effective_Week],23)</f>
        <v/>
      </c>
      <c r="Y36">
        <f>SUMIFS(T_Shipments[Confirmed_Qty],T_Shipments[Part Name],$A36,T_Shipments[Effective_Week],24)</f>
        <v/>
      </c>
      <c r="Z36">
        <f>SUMIFS(T_Shipments[Confirmed_Qty],T_Shipments[Part Name],$A36,T_Shipments[Effective_Week],25)</f>
        <v/>
      </c>
      <c r="AA36">
        <f>SUMIFS(T_Shipments[Confirmed_Qty],T_Shipments[Part Name],$A36,T_Shipments[Effective_Week],26)</f>
        <v/>
      </c>
      <c r="AB36">
        <f>SUMIFS(T_Shipments[Confirmed_Qty],T_Shipments[Part Name],$A36,T_Shipments[Effective_Week],27)</f>
        <v/>
      </c>
      <c r="AC36">
        <f>SUMIFS(T_Shipments[Confirmed_Qty],T_Shipments[Part Name],$A36,T_Shipments[Effective_Week],28)</f>
        <v/>
      </c>
      <c r="AD36">
        <f>SUMIFS(T_Shipments[Confirmed_Qty],T_Shipments[Part Name],$A36,T_Shipments[Effective_Week],29)</f>
        <v/>
      </c>
      <c r="AE36">
        <f>SUMIFS(T_Shipments[Confirmed_Qty],T_Shipments[Part Name],$A36,T_Shipments[Effective_Week],30)</f>
        <v/>
      </c>
      <c r="AF36">
        <f>SUMIFS(T_Shipments[Confirmed_Qty],T_Shipments[Part Name],$A36,T_Shipments[Effective_Week],31)</f>
        <v/>
      </c>
      <c r="AG36">
        <f>SUMIFS(T_Shipments[Confirmed_Qty],T_Shipments[Part Name],$A36,T_Shipments[Effective_Week],32)</f>
        <v/>
      </c>
      <c r="AH36">
        <f>SUMIFS(T_Shipments[Confirmed_Qty],T_Shipments[Part Name],$A36,T_Shipments[Effective_Week],33)</f>
        <v/>
      </c>
      <c r="AI36">
        <f>SUMIFS(T_Shipments[Confirmed_Qty],T_Shipments[Part Name],$A36,T_Shipments[Effective_Week],34)</f>
        <v/>
      </c>
      <c r="AJ36">
        <f>SUMIFS(T_Shipments[Confirmed_Qty],T_Shipments[Part Name],$A36,T_Shipments[Effective_Week],35)</f>
        <v/>
      </c>
      <c r="AK36">
        <f>SUMIFS(T_Shipments[Confirmed_Qty],T_Shipments[Part Name],$A36,T_Shipments[Effective_Week],36)</f>
        <v/>
      </c>
      <c r="AL36">
        <f>SUMIFS(T_Shipments[Confirmed_Qty],T_Shipments[Part Name],$A36,T_Shipments[Effective_Week],37)</f>
        <v/>
      </c>
      <c r="AM36">
        <f>SUMIFS(T_Shipments[Confirmed_Qty],T_Shipments[Part Name],$A36,T_Shipments[Effective_Week],38)</f>
        <v/>
      </c>
      <c r="AN36">
        <f>SUMIFS(T_Shipments[Confirmed_Qty],T_Shipments[Part Name],$A36,T_Shipments[Effective_Week],39)</f>
        <v/>
      </c>
      <c r="AO36">
        <f>SUMIFS(T_Shipments[Confirmed_Qty],T_Shipments[Part Name],$A36,T_Shipments[Effective_Week],40)</f>
        <v/>
      </c>
      <c r="AP36">
        <f>SUMIFS(T_Shipments[Confirmed_Qty],T_Shipments[Part Name],$A36,T_Shipments[Effective_Week],41)</f>
        <v/>
      </c>
      <c r="AQ36">
        <f>SUMIFS(T_Shipments[Confirmed_Qty],T_Shipments[Part Name],$A36,T_Shipments[Effective_Week],42)</f>
        <v/>
      </c>
      <c r="AR36">
        <f>SUMIFS(T_Shipments[Confirmed_Qty],T_Shipments[Part Name],$A36,T_Shipments[Effective_Week],43)</f>
        <v/>
      </c>
      <c r="AS36">
        <f>SUMIFS(T_Shipments[Confirmed_Qty],T_Shipments[Part Name],$A36,T_Shipments[Effective_Week],44)</f>
        <v/>
      </c>
      <c r="AT36">
        <f>SUMIFS(T_Shipments[Confirmed_Qty],T_Shipments[Part Name],$A36,T_Shipments[Effective_Week],45)</f>
        <v/>
      </c>
      <c r="AU36">
        <f>SUMIFS(T_Shipments[Confirmed_Qty],T_Shipments[Part Name],$A36,T_Shipments[Effective_Week],46)</f>
        <v/>
      </c>
      <c r="AV36">
        <f>SUMIFS(T_Shipments[Confirmed_Qty],T_Shipments[Part Name],$A36,T_Shipments[Effective_Week],47)</f>
        <v/>
      </c>
      <c r="AW36">
        <f>SUMIFS(T_Shipments[Confirmed_Qty],T_Shipments[Part Name],$A36,T_Shipments[Effective_Week],48)</f>
        <v/>
      </c>
      <c r="AX36">
        <f>SUMIFS(T_Shipments[Confirmed_Qty],T_Shipments[Part Name],$A36,T_Shipments[Effective_Week],49)</f>
        <v/>
      </c>
      <c r="AY36">
        <f>SUMIFS(T_Shipments[Confirmed_Qty],T_Shipments[Part Name],$A36,T_Shipments[Effective_Week],50)</f>
        <v/>
      </c>
      <c r="AZ36">
        <f>SUMIFS(T_Shipments[Confirmed_Qty],T_Shipments[Part Name],$A36,T_Shipments[Effective_Week],51)</f>
        <v/>
      </c>
      <c r="BA36">
        <f>SUMIFS(T_Shipments[Confirmed_Qty],T_Shipments[Part Name],$A36,T_Shipments[Effective_Week],52)</f>
        <v/>
      </c>
      <c r="BB36">
        <f>SUMIFS(T_Shipments[Confirmed_Qty],T_Shipments[Part Name],$A36,T_Shipments[Effective_Week],53)</f>
        <v/>
      </c>
      <c r="BC36">
        <f>SUMIFS(T_Shipments[Confirmed_Qty],T_Shipments[Part Name],$A36,T_Shipments[Effective_Week],54)</f>
        <v/>
      </c>
      <c r="BD36">
        <f>SUMIFS(T_Shipments[Confirmed_Qty],T_Shipments[Part Name],$A36,T_Shipments[Effective_Week],55)</f>
        <v/>
      </c>
      <c r="BE36">
        <f>SUMIFS(T_Shipments[Confirmed_Qty],T_Shipments[Part Name],$A36,T_Shipments[Effective_Week],56)</f>
        <v/>
      </c>
      <c r="BF36">
        <f>SUMIFS(T_Shipments[Confirmed_Qty],T_Shipments[Part Name],$A36,T_Shipments[Effective_Week],57)</f>
        <v/>
      </c>
      <c r="BG36">
        <f>SUMIFS(T_Shipments[Confirmed_Qty],T_Shipments[Part Name],$A36,T_Shipments[Effective_Week],58)</f>
        <v/>
      </c>
      <c r="BH36">
        <f>SUMIFS(T_Shipments[Confirmed_Qty],T_Shipments[Part Name],$A36,T_Shipments[Effective_Week],59)</f>
        <v/>
      </c>
      <c r="BI36">
        <f>SUMIFS(T_Shipments[Confirmed_Qty],T_Shipments[Part Name],$A36,T_Shipments[Effective_Week],60)</f>
        <v/>
      </c>
      <c r="BJ36">
        <f>SUMIFS(T_Shipments[Confirmed_Qty],T_Shipments[Part Name],$A36,T_Shipments[Effective_Week],61)</f>
        <v/>
      </c>
      <c r="BK36">
        <f>SUMIFS(T_Shipments[Confirmed_Qty],T_Shipments[Part Name],$A36,T_Shipments[Effective_Week],62)</f>
        <v/>
      </c>
      <c r="BL36">
        <f>SUMIFS(T_Shipments[Confirmed_Qty],T_Shipments[Part Name],$A36,T_Shipments[Effective_Week],63)</f>
        <v/>
      </c>
      <c r="BM36">
        <f>SUMIFS(T_Shipments[Confirmed_Qty],T_Shipments[Part Name],$A36,T_Shipments[Effective_Week],64)</f>
        <v/>
      </c>
      <c r="BN36">
        <f>SUMIFS(T_Shipments[Confirmed_Qty],T_Shipments[Part Name],$A36,T_Shipments[Effective_Week],65)</f>
        <v/>
      </c>
      <c r="BO36">
        <f>SUMIFS(T_Shipments[Confirmed_Qty],T_Shipments[Part Name],$A36,T_Shipments[Effective_Week],66)</f>
        <v/>
      </c>
      <c r="BP36">
        <f>SUMIFS(T_Shipments[Confirmed_Qty],T_Shipments[Part Name],$A36,T_Shipments[Effective_Week],67)</f>
        <v/>
      </c>
      <c r="BQ36">
        <f>SUMIFS(T_Shipments[Confirmed_Qty],T_Shipments[Part Name],$A36,T_Shipments[Effective_Week],68)</f>
        <v/>
      </c>
      <c r="BR36">
        <f>SUMIFS(T_Shipments[Confirmed_Qty],T_Shipments[Part Name],$A36,T_Shipments[Effective_Week],69)</f>
        <v/>
      </c>
      <c r="BS36">
        <f>SUMIFS(T_Shipments[Confirmed_Qty],T_Shipments[Part Name],$A36,T_Shipments[Effective_Week],70)</f>
        <v/>
      </c>
      <c r="BT36">
        <f>SUMIFS(T_Shipments[Confirmed_Qty],T_Shipments[Part Name],$A36,T_Shipments[Effective_Week],71)</f>
        <v/>
      </c>
      <c r="BU36">
        <f>SUMIFS(T_Shipments[Confirmed_Qty],T_Shipments[Part Name],$A36,T_Shipments[Effective_Week],72)</f>
        <v/>
      </c>
      <c r="BV36">
        <f>SUMIFS(T_Shipments[Confirmed_Qty],T_Shipments[Part Name],$A36,T_Shipments[Effective_Week],73)</f>
        <v/>
      </c>
      <c r="BW36">
        <f>SUMIFS(T_Shipments[Confirmed_Qty],T_Shipments[Part Name],$A36,T_Shipments[Effective_Week],74)</f>
        <v/>
      </c>
      <c r="BX36">
        <f>SUMIFS(T_Shipments[Confirmed_Qty],T_Shipments[Part Name],$A36,T_Shipments[Effective_Week],75)</f>
        <v/>
      </c>
      <c r="BY36">
        <f>SUMIFS(T_Shipments[Confirmed_Qty],T_Shipments[Part Name],$A36,T_Shipments[Effective_Week],76)</f>
        <v/>
      </c>
      <c r="BZ36">
        <f>SUMIFS(T_Shipments[Confirmed_Qty],T_Shipments[Part Name],$A36,T_Shipments[Effective_Week],77)</f>
        <v/>
      </c>
      <c r="CA36">
        <f>SUMIFS(T_Shipments[Confirmed_Qty],T_Shipments[Part Name],$A36,T_Shipments[Effective_Week],78)</f>
        <v/>
      </c>
      <c r="CB36">
        <f>SUMIFS(T_Shipments[Confirmed_Qty],T_Shipments[Part Name],$A36,T_Shipments[Effective_Week],79)</f>
        <v/>
      </c>
      <c r="CC36">
        <f>SUMIFS(T_Shipments[Confirmed_Qty],T_Shipments[Part Name],$A36,T_Shipments[Effective_Week],80)</f>
        <v/>
      </c>
      <c r="CD36">
        <f>SUMIFS(T_Shipments[Confirmed_Qty],T_Shipments[Part Name],$A36,T_Shipments[Effective_Week],81)</f>
        <v/>
      </c>
      <c r="CE36">
        <f>SUMIFS(T_Shipments[Confirmed_Qty],T_Shipments[Part Name],$A36,T_Shipments[Effective_Week],82)</f>
        <v/>
      </c>
      <c r="CF36">
        <f>SUMIFS(T_Shipments[Confirmed_Qty],T_Shipments[Part Name],$A36,T_Shipments[Effective_Week],83)</f>
        <v/>
      </c>
      <c r="CG36">
        <f>SUMIFS(T_Shipments[Confirmed_Qty],T_Shipments[Part Name],$A36,T_Shipments[Effective_Week],84)</f>
        <v/>
      </c>
      <c r="CH36">
        <f>SUMIFS(T_Shipments[Confirmed_Qty],T_Shipments[Part Name],$A36,T_Shipments[Effective_Week],85)</f>
        <v/>
      </c>
      <c r="CI36">
        <f>SUMIFS(T_Shipments[Confirmed_Qty],T_Shipments[Part Name],$A36,T_Shipments[Effective_Week],86)</f>
        <v/>
      </c>
      <c r="CJ36">
        <f>SUMIFS(T_Shipments[Confirmed_Qty],T_Shipments[Part Name],$A36,T_Shipments[Effective_Week],87)</f>
        <v/>
      </c>
      <c r="CK36">
        <f>SUMIFS(T_Shipments[Confirmed_Qty],T_Shipments[Part Name],$A36,T_Shipments[Effective_Week],88)</f>
        <v/>
      </c>
      <c r="CL36">
        <f>SUMIFS(T_Shipments[Confirmed_Qty],T_Shipments[Part Name],$A36,T_Shipments[Effective_Week],89)</f>
        <v/>
      </c>
      <c r="CM36">
        <f>SUMIFS(T_Shipments[Confirmed_Qty],T_Shipments[Part Name],$A36,T_Shipments[Effective_Week],90)</f>
        <v/>
      </c>
      <c r="CN36">
        <f>SUMIFS(T_Shipments[Confirmed_Qty],T_Shipments[Part Name],$A36,T_Shipments[Effective_Week],91)</f>
        <v/>
      </c>
      <c r="CO36">
        <f>SUMIFS(T_Shipments[Confirmed_Qty],T_Shipments[Part Name],$A36,T_Shipments[Effective_Week],92)</f>
        <v/>
      </c>
      <c r="CP36">
        <f>SUMIFS(T_Shipments[Confirmed_Qty],T_Shipments[Part Name],$A36,T_Shipments[Effective_Week],93)</f>
        <v/>
      </c>
      <c r="CQ36">
        <f>SUMIFS(T_Shipments[Confirmed_Qty],T_Shipments[Part Name],$A36,T_Shipments[Effective_Week],94)</f>
        <v/>
      </c>
      <c r="CR36">
        <f>SUMIFS(T_Shipments[Confirmed_Qty],T_Shipments[Part Name],$A36,T_Shipments[Effective_Week],95)</f>
        <v/>
      </c>
      <c r="CS36">
        <f>SUMIFS(T_Shipments[Confirmed_Qty],T_Shipments[Part Name],$A36,T_Shipments[Effective_Week],96)</f>
        <v/>
      </c>
      <c r="CT36">
        <f>SUMIFS(T_Shipments[Confirmed_Qty],T_Shipments[Part Name],$A36,T_Shipments[Effective_Week],97)</f>
        <v/>
      </c>
      <c r="CU36">
        <f>SUMIFS(T_Shipments[Confirmed_Qty],T_Shipments[Part Name],$A36,T_Shipments[Effective_Week],98)</f>
        <v/>
      </c>
      <c r="CV36">
        <f>SUMIFS(T_Shipments[Confirmed_Qty],T_Shipments[Part Name],$A36,T_Shipments[Effective_Week],99)</f>
        <v/>
      </c>
      <c r="CW36">
        <f>SUMIFS(T_Shipments[Confirmed_Qty],T_Shipments[Part Name],$A36,T_Shipments[Effective_Week],100)</f>
        <v/>
      </c>
      <c r="CX36">
        <f>SUMIFS(T_Shipments[Confirmed_Qty],T_Shipments[Part Name],$A36,T_Shipments[Effective_Week],101)</f>
        <v/>
      </c>
      <c r="CY36">
        <f>SUMIFS(T_Shipments[Confirmed_Qty],T_Shipments[Part Name],$A36,T_Shipments[Effective_Week],102)</f>
        <v/>
      </c>
      <c r="CZ36">
        <f>SUMIFS(T_Shipments[Confirmed_Qty],T_Shipments[Part Name],$A36,T_Shipments[Effective_Week],103)</f>
        <v/>
      </c>
      <c r="DA36">
        <f>SUMIFS(T_Shipments[Confirmed_Qty],T_Shipments[Part Name],$A36,T_Shipments[Effective_Week],104)</f>
        <v/>
      </c>
    </row>
    <row r="37">
      <c r="A37" t="inlineStr">
        <is>
          <t>CHEM-1020</t>
        </is>
      </c>
      <c r="B37">
        <f>SUMIFS(T_Shipments[Confirmed_Qty],T_Shipments[Part Name],$A37,T_Shipments[Effective_Week],1)</f>
        <v/>
      </c>
      <c r="C37">
        <f>SUMIFS(T_Shipments[Confirmed_Qty],T_Shipments[Part Name],$A37,T_Shipments[Effective_Week],2)</f>
        <v/>
      </c>
      <c r="D37">
        <f>SUMIFS(T_Shipments[Confirmed_Qty],T_Shipments[Part Name],$A37,T_Shipments[Effective_Week],3)</f>
        <v/>
      </c>
      <c r="E37">
        <f>SUMIFS(T_Shipments[Confirmed_Qty],T_Shipments[Part Name],$A37,T_Shipments[Effective_Week],4)</f>
        <v/>
      </c>
      <c r="F37">
        <f>SUMIFS(T_Shipments[Confirmed_Qty],T_Shipments[Part Name],$A37,T_Shipments[Effective_Week],5)</f>
        <v/>
      </c>
      <c r="G37">
        <f>SUMIFS(T_Shipments[Confirmed_Qty],T_Shipments[Part Name],$A37,T_Shipments[Effective_Week],6)</f>
        <v/>
      </c>
      <c r="H37">
        <f>SUMIFS(T_Shipments[Confirmed_Qty],T_Shipments[Part Name],$A37,T_Shipments[Effective_Week],7)</f>
        <v/>
      </c>
      <c r="I37">
        <f>SUMIFS(T_Shipments[Confirmed_Qty],T_Shipments[Part Name],$A37,T_Shipments[Effective_Week],8)</f>
        <v/>
      </c>
      <c r="J37">
        <f>SUMIFS(T_Shipments[Confirmed_Qty],T_Shipments[Part Name],$A37,T_Shipments[Effective_Week],9)</f>
        <v/>
      </c>
      <c r="K37">
        <f>SUMIFS(T_Shipments[Confirmed_Qty],T_Shipments[Part Name],$A37,T_Shipments[Effective_Week],10)</f>
        <v/>
      </c>
      <c r="L37">
        <f>SUMIFS(T_Shipments[Confirmed_Qty],T_Shipments[Part Name],$A37,T_Shipments[Effective_Week],11)</f>
        <v/>
      </c>
      <c r="M37">
        <f>SUMIFS(T_Shipments[Confirmed_Qty],T_Shipments[Part Name],$A37,T_Shipments[Effective_Week],12)</f>
        <v/>
      </c>
      <c r="N37">
        <f>SUMIFS(T_Shipments[Confirmed_Qty],T_Shipments[Part Name],$A37,T_Shipments[Effective_Week],13)</f>
        <v/>
      </c>
      <c r="O37">
        <f>SUMIFS(T_Shipments[Confirmed_Qty],T_Shipments[Part Name],$A37,T_Shipments[Effective_Week],14)</f>
        <v/>
      </c>
      <c r="P37">
        <f>SUMIFS(T_Shipments[Confirmed_Qty],T_Shipments[Part Name],$A37,T_Shipments[Effective_Week],15)</f>
        <v/>
      </c>
      <c r="Q37">
        <f>SUMIFS(T_Shipments[Confirmed_Qty],T_Shipments[Part Name],$A37,T_Shipments[Effective_Week],16)</f>
        <v/>
      </c>
      <c r="R37">
        <f>SUMIFS(T_Shipments[Confirmed_Qty],T_Shipments[Part Name],$A37,T_Shipments[Effective_Week],17)</f>
        <v/>
      </c>
      <c r="S37">
        <f>SUMIFS(T_Shipments[Confirmed_Qty],T_Shipments[Part Name],$A37,T_Shipments[Effective_Week],18)</f>
        <v/>
      </c>
      <c r="T37">
        <f>SUMIFS(T_Shipments[Confirmed_Qty],T_Shipments[Part Name],$A37,T_Shipments[Effective_Week],19)</f>
        <v/>
      </c>
      <c r="U37">
        <f>SUMIFS(T_Shipments[Confirmed_Qty],T_Shipments[Part Name],$A37,T_Shipments[Effective_Week],20)</f>
        <v/>
      </c>
      <c r="V37">
        <f>SUMIFS(T_Shipments[Confirmed_Qty],T_Shipments[Part Name],$A37,T_Shipments[Effective_Week],21)</f>
        <v/>
      </c>
      <c r="W37">
        <f>SUMIFS(T_Shipments[Confirmed_Qty],T_Shipments[Part Name],$A37,T_Shipments[Effective_Week],22)</f>
        <v/>
      </c>
      <c r="X37">
        <f>SUMIFS(T_Shipments[Confirmed_Qty],T_Shipments[Part Name],$A37,T_Shipments[Effective_Week],23)</f>
        <v/>
      </c>
      <c r="Y37">
        <f>SUMIFS(T_Shipments[Confirmed_Qty],T_Shipments[Part Name],$A37,T_Shipments[Effective_Week],24)</f>
        <v/>
      </c>
      <c r="Z37">
        <f>SUMIFS(T_Shipments[Confirmed_Qty],T_Shipments[Part Name],$A37,T_Shipments[Effective_Week],25)</f>
        <v/>
      </c>
      <c r="AA37">
        <f>SUMIFS(T_Shipments[Confirmed_Qty],T_Shipments[Part Name],$A37,T_Shipments[Effective_Week],26)</f>
        <v/>
      </c>
      <c r="AB37">
        <f>SUMIFS(T_Shipments[Confirmed_Qty],T_Shipments[Part Name],$A37,T_Shipments[Effective_Week],27)</f>
        <v/>
      </c>
      <c r="AC37">
        <f>SUMIFS(T_Shipments[Confirmed_Qty],T_Shipments[Part Name],$A37,T_Shipments[Effective_Week],28)</f>
        <v/>
      </c>
      <c r="AD37">
        <f>SUMIFS(T_Shipments[Confirmed_Qty],T_Shipments[Part Name],$A37,T_Shipments[Effective_Week],29)</f>
        <v/>
      </c>
      <c r="AE37">
        <f>SUMIFS(T_Shipments[Confirmed_Qty],T_Shipments[Part Name],$A37,T_Shipments[Effective_Week],30)</f>
        <v/>
      </c>
      <c r="AF37">
        <f>SUMIFS(T_Shipments[Confirmed_Qty],T_Shipments[Part Name],$A37,T_Shipments[Effective_Week],31)</f>
        <v/>
      </c>
      <c r="AG37">
        <f>SUMIFS(T_Shipments[Confirmed_Qty],T_Shipments[Part Name],$A37,T_Shipments[Effective_Week],32)</f>
        <v/>
      </c>
      <c r="AH37">
        <f>SUMIFS(T_Shipments[Confirmed_Qty],T_Shipments[Part Name],$A37,T_Shipments[Effective_Week],33)</f>
        <v/>
      </c>
      <c r="AI37">
        <f>SUMIFS(T_Shipments[Confirmed_Qty],T_Shipments[Part Name],$A37,T_Shipments[Effective_Week],34)</f>
        <v/>
      </c>
      <c r="AJ37">
        <f>SUMIFS(T_Shipments[Confirmed_Qty],T_Shipments[Part Name],$A37,T_Shipments[Effective_Week],35)</f>
        <v/>
      </c>
      <c r="AK37">
        <f>SUMIFS(T_Shipments[Confirmed_Qty],T_Shipments[Part Name],$A37,T_Shipments[Effective_Week],36)</f>
        <v/>
      </c>
      <c r="AL37">
        <f>SUMIFS(T_Shipments[Confirmed_Qty],T_Shipments[Part Name],$A37,T_Shipments[Effective_Week],37)</f>
        <v/>
      </c>
      <c r="AM37">
        <f>SUMIFS(T_Shipments[Confirmed_Qty],T_Shipments[Part Name],$A37,T_Shipments[Effective_Week],38)</f>
        <v/>
      </c>
      <c r="AN37">
        <f>SUMIFS(T_Shipments[Confirmed_Qty],T_Shipments[Part Name],$A37,T_Shipments[Effective_Week],39)</f>
        <v/>
      </c>
      <c r="AO37">
        <f>SUMIFS(T_Shipments[Confirmed_Qty],T_Shipments[Part Name],$A37,T_Shipments[Effective_Week],40)</f>
        <v/>
      </c>
      <c r="AP37">
        <f>SUMIFS(T_Shipments[Confirmed_Qty],T_Shipments[Part Name],$A37,T_Shipments[Effective_Week],41)</f>
        <v/>
      </c>
      <c r="AQ37">
        <f>SUMIFS(T_Shipments[Confirmed_Qty],T_Shipments[Part Name],$A37,T_Shipments[Effective_Week],42)</f>
        <v/>
      </c>
      <c r="AR37">
        <f>SUMIFS(T_Shipments[Confirmed_Qty],T_Shipments[Part Name],$A37,T_Shipments[Effective_Week],43)</f>
        <v/>
      </c>
      <c r="AS37">
        <f>SUMIFS(T_Shipments[Confirmed_Qty],T_Shipments[Part Name],$A37,T_Shipments[Effective_Week],44)</f>
        <v/>
      </c>
      <c r="AT37">
        <f>SUMIFS(T_Shipments[Confirmed_Qty],T_Shipments[Part Name],$A37,T_Shipments[Effective_Week],45)</f>
        <v/>
      </c>
      <c r="AU37">
        <f>SUMIFS(T_Shipments[Confirmed_Qty],T_Shipments[Part Name],$A37,T_Shipments[Effective_Week],46)</f>
        <v/>
      </c>
      <c r="AV37">
        <f>SUMIFS(T_Shipments[Confirmed_Qty],T_Shipments[Part Name],$A37,T_Shipments[Effective_Week],47)</f>
        <v/>
      </c>
      <c r="AW37">
        <f>SUMIFS(T_Shipments[Confirmed_Qty],T_Shipments[Part Name],$A37,T_Shipments[Effective_Week],48)</f>
        <v/>
      </c>
      <c r="AX37">
        <f>SUMIFS(T_Shipments[Confirmed_Qty],T_Shipments[Part Name],$A37,T_Shipments[Effective_Week],49)</f>
        <v/>
      </c>
      <c r="AY37">
        <f>SUMIFS(T_Shipments[Confirmed_Qty],T_Shipments[Part Name],$A37,T_Shipments[Effective_Week],50)</f>
        <v/>
      </c>
      <c r="AZ37">
        <f>SUMIFS(T_Shipments[Confirmed_Qty],T_Shipments[Part Name],$A37,T_Shipments[Effective_Week],51)</f>
        <v/>
      </c>
      <c r="BA37">
        <f>SUMIFS(T_Shipments[Confirmed_Qty],T_Shipments[Part Name],$A37,T_Shipments[Effective_Week],52)</f>
        <v/>
      </c>
      <c r="BB37">
        <f>SUMIFS(T_Shipments[Confirmed_Qty],T_Shipments[Part Name],$A37,T_Shipments[Effective_Week],53)</f>
        <v/>
      </c>
      <c r="BC37">
        <f>SUMIFS(T_Shipments[Confirmed_Qty],T_Shipments[Part Name],$A37,T_Shipments[Effective_Week],54)</f>
        <v/>
      </c>
      <c r="BD37">
        <f>SUMIFS(T_Shipments[Confirmed_Qty],T_Shipments[Part Name],$A37,T_Shipments[Effective_Week],55)</f>
        <v/>
      </c>
      <c r="BE37">
        <f>SUMIFS(T_Shipments[Confirmed_Qty],T_Shipments[Part Name],$A37,T_Shipments[Effective_Week],56)</f>
        <v/>
      </c>
      <c r="BF37">
        <f>SUMIFS(T_Shipments[Confirmed_Qty],T_Shipments[Part Name],$A37,T_Shipments[Effective_Week],57)</f>
        <v/>
      </c>
      <c r="BG37">
        <f>SUMIFS(T_Shipments[Confirmed_Qty],T_Shipments[Part Name],$A37,T_Shipments[Effective_Week],58)</f>
        <v/>
      </c>
      <c r="BH37">
        <f>SUMIFS(T_Shipments[Confirmed_Qty],T_Shipments[Part Name],$A37,T_Shipments[Effective_Week],59)</f>
        <v/>
      </c>
      <c r="BI37">
        <f>SUMIFS(T_Shipments[Confirmed_Qty],T_Shipments[Part Name],$A37,T_Shipments[Effective_Week],60)</f>
        <v/>
      </c>
      <c r="BJ37">
        <f>SUMIFS(T_Shipments[Confirmed_Qty],T_Shipments[Part Name],$A37,T_Shipments[Effective_Week],61)</f>
        <v/>
      </c>
      <c r="BK37">
        <f>SUMIFS(T_Shipments[Confirmed_Qty],T_Shipments[Part Name],$A37,T_Shipments[Effective_Week],62)</f>
        <v/>
      </c>
      <c r="BL37">
        <f>SUMIFS(T_Shipments[Confirmed_Qty],T_Shipments[Part Name],$A37,T_Shipments[Effective_Week],63)</f>
        <v/>
      </c>
      <c r="BM37">
        <f>SUMIFS(T_Shipments[Confirmed_Qty],T_Shipments[Part Name],$A37,T_Shipments[Effective_Week],64)</f>
        <v/>
      </c>
      <c r="BN37">
        <f>SUMIFS(T_Shipments[Confirmed_Qty],T_Shipments[Part Name],$A37,T_Shipments[Effective_Week],65)</f>
        <v/>
      </c>
      <c r="BO37">
        <f>SUMIFS(T_Shipments[Confirmed_Qty],T_Shipments[Part Name],$A37,T_Shipments[Effective_Week],66)</f>
        <v/>
      </c>
      <c r="BP37">
        <f>SUMIFS(T_Shipments[Confirmed_Qty],T_Shipments[Part Name],$A37,T_Shipments[Effective_Week],67)</f>
        <v/>
      </c>
      <c r="BQ37">
        <f>SUMIFS(T_Shipments[Confirmed_Qty],T_Shipments[Part Name],$A37,T_Shipments[Effective_Week],68)</f>
        <v/>
      </c>
      <c r="BR37">
        <f>SUMIFS(T_Shipments[Confirmed_Qty],T_Shipments[Part Name],$A37,T_Shipments[Effective_Week],69)</f>
        <v/>
      </c>
      <c r="BS37">
        <f>SUMIFS(T_Shipments[Confirmed_Qty],T_Shipments[Part Name],$A37,T_Shipments[Effective_Week],70)</f>
        <v/>
      </c>
      <c r="BT37">
        <f>SUMIFS(T_Shipments[Confirmed_Qty],T_Shipments[Part Name],$A37,T_Shipments[Effective_Week],71)</f>
        <v/>
      </c>
      <c r="BU37">
        <f>SUMIFS(T_Shipments[Confirmed_Qty],T_Shipments[Part Name],$A37,T_Shipments[Effective_Week],72)</f>
        <v/>
      </c>
      <c r="BV37">
        <f>SUMIFS(T_Shipments[Confirmed_Qty],T_Shipments[Part Name],$A37,T_Shipments[Effective_Week],73)</f>
        <v/>
      </c>
      <c r="BW37">
        <f>SUMIFS(T_Shipments[Confirmed_Qty],T_Shipments[Part Name],$A37,T_Shipments[Effective_Week],74)</f>
        <v/>
      </c>
      <c r="BX37">
        <f>SUMIFS(T_Shipments[Confirmed_Qty],T_Shipments[Part Name],$A37,T_Shipments[Effective_Week],75)</f>
        <v/>
      </c>
      <c r="BY37">
        <f>SUMIFS(T_Shipments[Confirmed_Qty],T_Shipments[Part Name],$A37,T_Shipments[Effective_Week],76)</f>
        <v/>
      </c>
      <c r="BZ37">
        <f>SUMIFS(T_Shipments[Confirmed_Qty],T_Shipments[Part Name],$A37,T_Shipments[Effective_Week],77)</f>
        <v/>
      </c>
      <c r="CA37">
        <f>SUMIFS(T_Shipments[Confirmed_Qty],T_Shipments[Part Name],$A37,T_Shipments[Effective_Week],78)</f>
        <v/>
      </c>
      <c r="CB37">
        <f>SUMIFS(T_Shipments[Confirmed_Qty],T_Shipments[Part Name],$A37,T_Shipments[Effective_Week],79)</f>
        <v/>
      </c>
      <c r="CC37">
        <f>SUMIFS(T_Shipments[Confirmed_Qty],T_Shipments[Part Name],$A37,T_Shipments[Effective_Week],80)</f>
        <v/>
      </c>
      <c r="CD37">
        <f>SUMIFS(T_Shipments[Confirmed_Qty],T_Shipments[Part Name],$A37,T_Shipments[Effective_Week],81)</f>
        <v/>
      </c>
      <c r="CE37">
        <f>SUMIFS(T_Shipments[Confirmed_Qty],T_Shipments[Part Name],$A37,T_Shipments[Effective_Week],82)</f>
        <v/>
      </c>
      <c r="CF37">
        <f>SUMIFS(T_Shipments[Confirmed_Qty],T_Shipments[Part Name],$A37,T_Shipments[Effective_Week],83)</f>
        <v/>
      </c>
      <c r="CG37">
        <f>SUMIFS(T_Shipments[Confirmed_Qty],T_Shipments[Part Name],$A37,T_Shipments[Effective_Week],84)</f>
        <v/>
      </c>
      <c r="CH37">
        <f>SUMIFS(T_Shipments[Confirmed_Qty],T_Shipments[Part Name],$A37,T_Shipments[Effective_Week],85)</f>
        <v/>
      </c>
      <c r="CI37">
        <f>SUMIFS(T_Shipments[Confirmed_Qty],T_Shipments[Part Name],$A37,T_Shipments[Effective_Week],86)</f>
        <v/>
      </c>
      <c r="CJ37">
        <f>SUMIFS(T_Shipments[Confirmed_Qty],T_Shipments[Part Name],$A37,T_Shipments[Effective_Week],87)</f>
        <v/>
      </c>
      <c r="CK37">
        <f>SUMIFS(T_Shipments[Confirmed_Qty],T_Shipments[Part Name],$A37,T_Shipments[Effective_Week],88)</f>
        <v/>
      </c>
      <c r="CL37">
        <f>SUMIFS(T_Shipments[Confirmed_Qty],T_Shipments[Part Name],$A37,T_Shipments[Effective_Week],89)</f>
        <v/>
      </c>
      <c r="CM37">
        <f>SUMIFS(T_Shipments[Confirmed_Qty],T_Shipments[Part Name],$A37,T_Shipments[Effective_Week],90)</f>
        <v/>
      </c>
      <c r="CN37">
        <f>SUMIFS(T_Shipments[Confirmed_Qty],T_Shipments[Part Name],$A37,T_Shipments[Effective_Week],91)</f>
        <v/>
      </c>
      <c r="CO37">
        <f>SUMIFS(T_Shipments[Confirmed_Qty],T_Shipments[Part Name],$A37,T_Shipments[Effective_Week],92)</f>
        <v/>
      </c>
      <c r="CP37">
        <f>SUMIFS(T_Shipments[Confirmed_Qty],T_Shipments[Part Name],$A37,T_Shipments[Effective_Week],93)</f>
        <v/>
      </c>
      <c r="CQ37">
        <f>SUMIFS(T_Shipments[Confirmed_Qty],T_Shipments[Part Name],$A37,T_Shipments[Effective_Week],94)</f>
        <v/>
      </c>
      <c r="CR37">
        <f>SUMIFS(T_Shipments[Confirmed_Qty],T_Shipments[Part Name],$A37,T_Shipments[Effective_Week],95)</f>
        <v/>
      </c>
      <c r="CS37">
        <f>SUMIFS(T_Shipments[Confirmed_Qty],T_Shipments[Part Name],$A37,T_Shipments[Effective_Week],96)</f>
        <v/>
      </c>
      <c r="CT37">
        <f>SUMIFS(T_Shipments[Confirmed_Qty],T_Shipments[Part Name],$A37,T_Shipments[Effective_Week],97)</f>
        <v/>
      </c>
      <c r="CU37">
        <f>SUMIFS(T_Shipments[Confirmed_Qty],T_Shipments[Part Name],$A37,T_Shipments[Effective_Week],98)</f>
        <v/>
      </c>
      <c r="CV37">
        <f>SUMIFS(T_Shipments[Confirmed_Qty],T_Shipments[Part Name],$A37,T_Shipments[Effective_Week],99)</f>
        <v/>
      </c>
      <c r="CW37">
        <f>SUMIFS(T_Shipments[Confirmed_Qty],T_Shipments[Part Name],$A37,T_Shipments[Effective_Week],100)</f>
        <v/>
      </c>
      <c r="CX37">
        <f>SUMIFS(T_Shipments[Confirmed_Qty],T_Shipments[Part Name],$A37,T_Shipments[Effective_Week],101)</f>
        <v/>
      </c>
      <c r="CY37">
        <f>SUMIFS(T_Shipments[Confirmed_Qty],T_Shipments[Part Name],$A37,T_Shipments[Effective_Week],102)</f>
        <v/>
      </c>
      <c r="CZ37">
        <f>SUMIFS(T_Shipments[Confirmed_Qty],T_Shipments[Part Name],$A37,T_Shipments[Effective_Week],103)</f>
        <v/>
      </c>
      <c r="DA37">
        <f>SUMIFS(T_Shipments[Confirmed_Qty],T_Shipments[Part Name],$A37,T_Shipments[Effective_Week],104)</f>
        <v/>
      </c>
    </row>
    <row r="38">
      <c r="A38" t="inlineStr">
        <is>
          <t>Ester Film</t>
        </is>
      </c>
      <c r="B38">
        <f>SUMIFS(T_Shipments[Confirmed_Qty],T_Shipments[Part Name],$A38,T_Shipments[Effective_Week],1)</f>
        <v/>
      </c>
      <c r="C38">
        <f>SUMIFS(T_Shipments[Confirmed_Qty],T_Shipments[Part Name],$A38,T_Shipments[Effective_Week],2)</f>
        <v/>
      </c>
      <c r="D38">
        <f>SUMIFS(T_Shipments[Confirmed_Qty],T_Shipments[Part Name],$A38,T_Shipments[Effective_Week],3)</f>
        <v/>
      </c>
      <c r="E38">
        <f>SUMIFS(T_Shipments[Confirmed_Qty],T_Shipments[Part Name],$A38,T_Shipments[Effective_Week],4)</f>
        <v/>
      </c>
      <c r="F38">
        <f>SUMIFS(T_Shipments[Confirmed_Qty],T_Shipments[Part Name],$A38,T_Shipments[Effective_Week],5)</f>
        <v/>
      </c>
      <c r="G38">
        <f>SUMIFS(T_Shipments[Confirmed_Qty],T_Shipments[Part Name],$A38,T_Shipments[Effective_Week],6)</f>
        <v/>
      </c>
      <c r="H38">
        <f>SUMIFS(T_Shipments[Confirmed_Qty],T_Shipments[Part Name],$A38,T_Shipments[Effective_Week],7)</f>
        <v/>
      </c>
      <c r="I38">
        <f>SUMIFS(T_Shipments[Confirmed_Qty],T_Shipments[Part Name],$A38,T_Shipments[Effective_Week],8)</f>
        <v/>
      </c>
      <c r="J38">
        <f>SUMIFS(T_Shipments[Confirmed_Qty],T_Shipments[Part Name],$A38,T_Shipments[Effective_Week],9)</f>
        <v/>
      </c>
      <c r="K38">
        <f>SUMIFS(T_Shipments[Confirmed_Qty],T_Shipments[Part Name],$A38,T_Shipments[Effective_Week],10)</f>
        <v/>
      </c>
      <c r="L38">
        <f>SUMIFS(T_Shipments[Confirmed_Qty],T_Shipments[Part Name],$A38,T_Shipments[Effective_Week],11)</f>
        <v/>
      </c>
      <c r="M38">
        <f>SUMIFS(T_Shipments[Confirmed_Qty],T_Shipments[Part Name],$A38,T_Shipments[Effective_Week],12)</f>
        <v/>
      </c>
      <c r="N38">
        <f>SUMIFS(T_Shipments[Confirmed_Qty],T_Shipments[Part Name],$A38,T_Shipments[Effective_Week],13)</f>
        <v/>
      </c>
      <c r="O38">
        <f>SUMIFS(T_Shipments[Confirmed_Qty],T_Shipments[Part Name],$A38,T_Shipments[Effective_Week],14)</f>
        <v/>
      </c>
      <c r="P38">
        <f>SUMIFS(T_Shipments[Confirmed_Qty],T_Shipments[Part Name],$A38,T_Shipments[Effective_Week],15)</f>
        <v/>
      </c>
      <c r="Q38">
        <f>SUMIFS(T_Shipments[Confirmed_Qty],T_Shipments[Part Name],$A38,T_Shipments[Effective_Week],16)</f>
        <v/>
      </c>
      <c r="R38">
        <f>SUMIFS(T_Shipments[Confirmed_Qty],T_Shipments[Part Name],$A38,T_Shipments[Effective_Week],17)</f>
        <v/>
      </c>
      <c r="S38">
        <f>SUMIFS(T_Shipments[Confirmed_Qty],T_Shipments[Part Name],$A38,T_Shipments[Effective_Week],18)</f>
        <v/>
      </c>
      <c r="T38">
        <f>SUMIFS(T_Shipments[Confirmed_Qty],T_Shipments[Part Name],$A38,T_Shipments[Effective_Week],19)</f>
        <v/>
      </c>
      <c r="U38">
        <f>SUMIFS(T_Shipments[Confirmed_Qty],T_Shipments[Part Name],$A38,T_Shipments[Effective_Week],20)</f>
        <v/>
      </c>
      <c r="V38">
        <f>SUMIFS(T_Shipments[Confirmed_Qty],T_Shipments[Part Name],$A38,T_Shipments[Effective_Week],21)</f>
        <v/>
      </c>
      <c r="W38">
        <f>SUMIFS(T_Shipments[Confirmed_Qty],T_Shipments[Part Name],$A38,T_Shipments[Effective_Week],22)</f>
        <v/>
      </c>
      <c r="X38">
        <f>SUMIFS(T_Shipments[Confirmed_Qty],T_Shipments[Part Name],$A38,T_Shipments[Effective_Week],23)</f>
        <v/>
      </c>
      <c r="Y38">
        <f>SUMIFS(T_Shipments[Confirmed_Qty],T_Shipments[Part Name],$A38,T_Shipments[Effective_Week],24)</f>
        <v/>
      </c>
      <c r="Z38">
        <f>SUMIFS(T_Shipments[Confirmed_Qty],T_Shipments[Part Name],$A38,T_Shipments[Effective_Week],25)</f>
        <v/>
      </c>
      <c r="AA38">
        <f>SUMIFS(T_Shipments[Confirmed_Qty],T_Shipments[Part Name],$A38,T_Shipments[Effective_Week],26)</f>
        <v/>
      </c>
      <c r="AB38">
        <f>SUMIFS(T_Shipments[Confirmed_Qty],T_Shipments[Part Name],$A38,T_Shipments[Effective_Week],27)</f>
        <v/>
      </c>
      <c r="AC38">
        <f>SUMIFS(T_Shipments[Confirmed_Qty],T_Shipments[Part Name],$A38,T_Shipments[Effective_Week],28)</f>
        <v/>
      </c>
      <c r="AD38">
        <f>SUMIFS(T_Shipments[Confirmed_Qty],T_Shipments[Part Name],$A38,T_Shipments[Effective_Week],29)</f>
        <v/>
      </c>
      <c r="AE38">
        <f>SUMIFS(T_Shipments[Confirmed_Qty],T_Shipments[Part Name],$A38,T_Shipments[Effective_Week],30)</f>
        <v/>
      </c>
      <c r="AF38">
        <f>SUMIFS(T_Shipments[Confirmed_Qty],T_Shipments[Part Name],$A38,T_Shipments[Effective_Week],31)</f>
        <v/>
      </c>
      <c r="AG38">
        <f>SUMIFS(T_Shipments[Confirmed_Qty],T_Shipments[Part Name],$A38,T_Shipments[Effective_Week],32)</f>
        <v/>
      </c>
      <c r="AH38">
        <f>SUMIFS(T_Shipments[Confirmed_Qty],T_Shipments[Part Name],$A38,T_Shipments[Effective_Week],33)</f>
        <v/>
      </c>
      <c r="AI38">
        <f>SUMIFS(T_Shipments[Confirmed_Qty],T_Shipments[Part Name],$A38,T_Shipments[Effective_Week],34)</f>
        <v/>
      </c>
      <c r="AJ38">
        <f>SUMIFS(T_Shipments[Confirmed_Qty],T_Shipments[Part Name],$A38,T_Shipments[Effective_Week],35)</f>
        <v/>
      </c>
      <c r="AK38">
        <f>SUMIFS(T_Shipments[Confirmed_Qty],T_Shipments[Part Name],$A38,T_Shipments[Effective_Week],36)</f>
        <v/>
      </c>
      <c r="AL38">
        <f>SUMIFS(T_Shipments[Confirmed_Qty],T_Shipments[Part Name],$A38,T_Shipments[Effective_Week],37)</f>
        <v/>
      </c>
      <c r="AM38">
        <f>SUMIFS(T_Shipments[Confirmed_Qty],T_Shipments[Part Name],$A38,T_Shipments[Effective_Week],38)</f>
        <v/>
      </c>
      <c r="AN38">
        <f>SUMIFS(T_Shipments[Confirmed_Qty],T_Shipments[Part Name],$A38,T_Shipments[Effective_Week],39)</f>
        <v/>
      </c>
      <c r="AO38">
        <f>SUMIFS(T_Shipments[Confirmed_Qty],T_Shipments[Part Name],$A38,T_Shipments[Effective_Week],40)</f>
        <v/>
      </c>
      <c r="AP38">
        <f>SUMIFS(T_Shipments[Confirmed_Qty],T_Shipments[Part Name],$A38,T_Shipments[Effective_Week],41)</f>
        <v/>
      </c>
      <c r="AQ38">
        <f>SUMIFS(T_Shipments[Confirmed_Qty],T_Shipments[Part Name],$A38,T_Shipments[Effective_Week],42)</f>
        <v/>
      </c>
      <c r="AR38">
        <f>SUMIFS(T_Shipments[Confirmed_Qty],T_Shipments[Part Name],$A38,T_Shipments[Effective_Week],43)</f>
        <v/>
      </c>
      <c r="AS38">
        <f>SUMIFS(T_Shipments[Confirmed_Qty],T_Shipments[Part Name],$A38,T_Shipments[Effective_Week],44)</f>
        <v/>
      </c>
      <c r="AT38">
        <f>SUMIFS(T_Shipments[Confirmed_Qty],T_Shipments[Part Name],$A38,T_Shipments[Effective_Week],45)</f>
        <v/>
      </c>
      <c r="AU38">
        <f>SUMIFS(T_Shipments[Confirmed_Qty],T_Shipments[Part Name],$A38,T_Shipments[Effective_Week],46)</f>
        <v/>
      </c>
      <c r="AV38">
        <f>SUMIFS(T_Shipments[Confirmed_Qty],T_Shipments[Part Name],$A38,T_Shipments[Effective_Week],47)</f>
        <v/>
      </c>
      <c r="AW38">
        <f>SUMIFS(T_Shipments[Confirmed_Qty],T_Shipments[Part Name],$A38,T_Shipments[Effective_Week],48)</f>
        <v/>
      </c>
      <c r="AX38">
        <f>SUMIFS(T_Shipments[Confirmed_Qty],T_Shipments[Part Name],$A38,T_Shipments[Effective_Week],49)</f>
        <v/>
      </c>
      <c r="AY38">
        <f>SUMIFS(T_Shipments[Confirmed_Qty],T_Shipments[Part Name],$A38,T_Shipments[Effective_Week],50)</f>
        <v/>
      </c>
      <c r="AZ38">
        <f>SUMIFS(T_Shipments[Confirmed_Qty],T_Shipments[Part Name],$A38,T_Shipments[Effective_Week],51)</f>
        <v/>
      </c>
      <c r="BA38">
        <f>SUMIFS(T_Shipments[Confirmed_Qty],T_Shipments[Part Name],$A38,T_Shipments[Effective_Week],52)</f>
        <v/>
      </c>
      <c r="BB38">
        <f>SUMIFS(T_Shipments[Confirmed_Qty],T_Shipments[Part Name],$A38,T_Shipments[Effective_Week],53)</f>
        <v/>
      </c>
      <c r="BC38">
        <f>SUMIFS(T_Shipments[Confirmed_Qty],T_Shipments[Part Name],$A38,T_Shipments[Effective_Week],54)</f>
        <v/>
      </c>
      <c r="BD38">
        <f>SUMIFS(T_Shipments[Confirmed_Qty],T_Shipments[Part Name],$A38,T_Shipments[Effective_Week],55)</f>
        <v/>
      </c>
      <c r="BE38">
        <f>SUMIFS(T_Shipments[Confirmed_Qty],T_Shipments[Part Name],$A38,T_Shipments[Effective_Week],56)</f>
        <v/>
      </c>
      <c r="BF38">
        <f>SUMIFS(T_Shipments[Confirmed_Qty],T_Shipments[Part Name],$A38,T_Shipments[Effective_Week],57)</f>
        <v/>
      </c>
      <c r="BG38">
        <f>SUMIFS(T_Shipments[Confirmed_Qty],T_Shipments[Part Name],$A38,T_Shipments[Effective_Week],58)</f>
        <v/>
      </c>
      <c r="BH38">
        <f>SUMIFS(T_Shipments[Confirmed_Qty],T_Shipments[Part Name],$A38,T_Shipments[Effective_Week],59)</f>
        <v/>
      </c>
      <c r="BI38">
        <f>SUMIFS(T_Shipments[Confirmed_Qty],T_Shipments[Part Name],$A38,T_Shipments[Effective_Week],60)</f>
        <v/>
      </c>
      <c r="BJ38">
        <f>SUMIFS(T_Shipments[Confirmed_Qty],T_Shipments[Part Name],$A38,T_Shipments[Effective_Week],61)</f>
        <v/>
      </c>
      <c r="BK38">
        <f>SUMIFS(T_Shipments[Confirmed_Qty],T_Shipments[Part Name],$A38,T_Shipments[Effective_Week],62)</f>
        <v/>
      </c>
      <c r="BL38">
        <f>SUMIFS(T_Shipments[Confirmed_Qty],T_Shipments[Part Name],$A38,T_Shipments[Effective_Week],63)</f>
        <v/>
      </c>
      <c r="BM38">
        <f>SUMIFS(T_Shipments[Confirmed_Qty],T_Shipments[Part Name],$A38,T_Shipments[Effective_Week],64)</f>
        <v/>
      </c>
      <c r="BN38">
        <f>SUMIFS(T_Shipments[Confirmed_Qty],T_Shipments[Part Name],$A38,T_Shipments[Effective_Week],65)</f>
        <v/>
      </c>
      <c r="BO38">
        <f>SUMIFS(T_Shipments[Confirmed_Qty],T_Shipments[Part Name],$A38,T_Shipments[Effective_Week],66)</f>
        <v/>
      </c>
      <c r="BP38">
        <f>SUMIFS(T_Shipments[Confirmed_Qty],T_Shipments[Part Name],$A38,T_Shipments[Effective_Week],67)</f>
        <v/>
      </c>
      <c r="BQ38">
        <f>SUMIFS(T_Shipments[Confirmed_Qty],T_Shipments[Part Name],$A38,T_Shipments[Effective_Week],68)</f>
        <v/>
      </c>
      <c r="BR38">
        <f>SUMIFS(T_Shipments[Confirmed_Qty],T_Shipments[Part Name],$A38,T_Shipments[Effective_Week],69)</f>
        <v/>
      </c>
      <c r="BS38">
        <f>SUMIFS(T_Shipments[Confirmed_Qty],T_Shipments[Part Name],$A38,T_Shipments[Effective_Week],70)</f>
        <v/>
      </c>
      <c r="BT38">
        <f>SUMIFS(T_Shipments[Confirmed_Qty],T_Shipments[Part Name],$A38,T_Shipments[Effective_Week],71)</f>
        <v/>
      </c>
      <c r="BU38">
        <f>SUMIFS(T_Shipments[Confirmed_Qty],T_Shipments[Part Name],$A38,T_Shipments[Effective_Week],72)</f>
        <v/>
      </c>
      <c r="BV38">
        <f>SUMIFS(T_Shipments[Confirmed_Qty],T_Shipments[Part Name],$A38,T_Shipments[Effective_Week],73)</f>
        <v/>
      </c>
      <c r="BW38">
        <f>SUMIFS(T_Shipments[Confirmed_Qty],T_Shipments[Part Name],$A38,T_Shipments[Effective_Week],74)</f>
        <v/>
      </c>
      <c r="BX38">
        <f>SUMIFS(T_Shipments[Confirmed_Qty],T_Shipments[Part Name],$A38,T_Shipments[Effective_Week],75)</f>
        <v/>
      </c>
      <c r="BY38">
        <f>SUMIFS(T_Shipments[Confirmed_Qty],T_Shipments[Part Name],$A38,T_Shipments[Effective_Week],76)</f>
        <v/>
      </c>
      <c r="BZ38">
        <f>SUMIFS(T_Shipments[Confirmed_Qty],T_Shipments[Part Name],$A38,T_Shipments[Effective_Week],77)</f>
        <v/>
      </c>
      <c r="CA38">
        <f>SUMIFS(T_Shipments[Confirmed_Qty],T_Shipments[Part Name],$A38,T_Shipments[Effective_Week],78)</f>
        <v/>
      </c>
      <c r="CB38">
        <f>SUMIFS(T_Shipments[Confirmed_Qty],T_Shipments[Part Name],$A38,T_Shipments[Effective_Week],79)</f>
        <v/>
      </c>
      <c r="CC38">
        <f>SUMIFS(T_Shipments[Confirmed_Qty],T_Shipments[Part Name],$A38,T_Shipments[Effective_Week],80)</f>
        <v/>
      </c>
      <c r="CD38">
        <f>SUMIFS(T_Shipments[Confirmed_Qty],T_Shipments[Part Name],$A38,T_Shipments[Effective_Week],81)</f>
        <v/>
      </c>
      <c r="CE38">
        <f>SUMIFS(T_Shipments[Confirmed_Qty],T_Shipments[Part Name],$A38,T_Shipments[Effective_Week],82)</f>
        <v/>
      </c>
      <c r="CF38">
        <f>SUMIFS(T_Shipments[Confirmed_Qty],T_Shipments[Part Name],$A38,T_Shipments[Effective_Week],83)</f>
        <v/>
      </c>
      <c r="CG38">
        <f>SUMIFS(T_Shipments[Confirmed_Qty],T_Shipments[Part Name],$A38,T_Shipments[Effective_Week],84)</f>
        <v/>
      </c>
      <c r="CH38">
        <f>SUMIFS(T_Shipments[Confirmed_Qty],T_Shipments[Part Name],$A38,T_Shipments[Effective_Week],85)</f>
        <v/>
      </c>
      <c r="CI38">
        <f>SUMIFS(T_Shipments[Confirmed_Qty],T_Shipments[Part Name],$A38,T_Shipments[Effective_Week],86)</f>
        <v/>
      </c>
      <c r="CJ38">
        <f>SUMIFS(T_Shipments[Confirmed_Qty],T_Shipments[Part Name],$A38,T_Shipments[Effective_Week],87)</f>
        <v/>
      </c>
      <c r="CK38">
        <f>SUMIFS(T_Shipments[Confirmed_Qty],T_Shipments[Part Name],$A38,T_Shipments[Effective_Week],88)</f>
        <v/>
      </c>
      <c r="CL38">
        <f>SUMIFS(T_Shipments[Confirmed_Qty],T_Shipments[Part Name],$A38,T_Shipments[Effective_Week],89)</f>
        <v/>
      </c>
      <c r="CM38">
        <f>SUMIFS(T_Shipments[Confirmed_Qty],T_Shipments[Part Name],$A38,T_Shipments[Effective_Week],90)</f>
        <v/>
      </c>
      <c r="CN38">
        <f>SUMIFS(T_Shipments[Confirmed_Qty],T_Shipments[Part Name],$A38,T_Shipments[Effective_Week],91)</f>
        <v/>
      </c>
      <c r="CO38">
        <f>SUMIFS(T_Shipments[Confirmed_Qty],T_Shipments[Part Name],$A38,T_Shipments[Effective_Week],92)</f>
        <v/>
      </c>
      <c r="CP38">
        <f>SUMIFS(T_Shipments[Confirmed_Qty],T_Shipments[Part Name],$A38,T_Shipments[Effective_Week],93)</f>
        <v/>
      </c>
      <c r="CQ38">
        <f>SUMIFS(T_Shipments[Confirmed_Qty],T_Shipments[Part Name],$A38,T_Shipments[Effective_Week],94)</f>
        <v/>
      </c>
      <c r="CR38">
        <f>SUMIFS(T_Shipments[Confirmed_Qty],T_Shipments[Part Name],$A38,T_Shipments[Effective_Week],95)</f>
        <v/>
      </c>
      <c r="CS38">
        <f>SUMIFS(T_Shipments[Confirmed_Qty],T_Shipments[Part Name],$A38,T_Shipments[Effective_Week],96)</f>
        <v/>
      </c>
      <c r="CT38">
        <f>SUMIFS(T_Shipments[Confirmed_Qty],T_Shipments[Part Name],$A38,T_Shipments[Effective_Week],97)</f>
        <v/>
      </c>
      <c r="CU38">
        <f>SUMIFS(T_Shipments[Confirmed_Qty],T_Shipments[Part Name],$A38,T_Shipments[Effective_Week],98)</f>
        <v/>
      </c>
      <c r="CV38">
        <f>SUMIFS(T_Shipments[Confirmed_Qty],T_Shipments[Part Name],$A38,T_Shipments[Effective_Week],99)</f>
        <v/>
      </c>
      <c r="CW38">
        <f>SUMIFS(T_Shipments[Confirmed_Qty],T_Shipments[Part Name],$A38,T_Shipments[Effective_Week],100)</f>
        <v/>
      </c>
      <c r="CX38">
        <f>SUMIFS(T_Shipments[Confirmed_Qty],T_Shipments[Part Name],$A38,T_Shipments[Effective_Week],101)</f>
        <v/>
      </c>
      <c r="CY38">
        <f>SUMIFS(T_Shipments[Confirmed_Qty],T_Shipments[Part Name],$A38,T_Shipments[Effective_Week],102)</f>
        <v/>
      </c>
      <c r="CZ38">
        <f>SUMIFS(T_Shipments[Confirmed_Qty],T_Shipments[Part Name],$A38,T_Shipments[Effective_Week],103)</f>
        <v/>
      </c>
      <c r="DA38">
        <f>SUMIFS(T_Shipments[Confirmed_Qty],T_Shipments[Part Name],$A38,T_Shipments[Effective_Week],104)</f>
        <v/>
      </c>
    </row>
    <row r="39">
      <c r="A39" t="inlineStr">
        <is>
          <t>PP Film</t>
        </is>
      </c>
      <c r="B39">
        <f>SUMIFS(T_Shipments[Confirmed_Qty],T_Shipments[Part Name],$A39,T_Shipments[Effective_Week],1)</f>
        <v/>
      </c>
      <c r="C39">
        <f>SUMIFS(T_Shipments[Confirmed_Qty],T_Shipments[Part Name],$A39,T_Shipments[Effective_Week],2)</f>
        <v/>
      </c>
      <c r="D39">
        <f>SUMIFS(T_Shipments[Confirmed_Qty],T_Shipments[Part Name],$A39,T_Shipments[Effective_Week],3)</f>
        <v/>
      </c>
      <c r="E39">
        <f>SUMIFS(T_Shipments[Confirmed_Qty],T_Shipments[Part Name],$A39,T_Shipments[Effective_Week],4)</f>
        <v/>
      </c>
      <c r="F39">
        <f>SUMIFS(T_Shipments[Confirmed_Qty],T_Shipments[Part Name],$A39,T_Shipments[Effective_Week],5)</f>
        <v/>
      </c>
      <c r="G39">
        <f>SUMIFS(T_Shipments[Confirmed_Qty],T_Shipments[Part Name],$A39,T_Shipments[Effective_Week],6)</f>
        <v/>
      </c>
      <c r="H39">
        <f>SUMIFS(T_Shipments[Confirmed_Qty],T_Shipments[Part Name],$A39,T_Shipments[Effective_Week],7)</f>
        <v/>
      </c>
      <c r="I39">
        <f>SUMIFS(T_Shipments[Confirmed_Qty],T_Shipments[Part Name],$A39,T_Shipments[Effective_Week],8)</f>
        <v/>
      </c>
      <c r="J39">
        <f>SUMIFS(T_Shipments[Confirmed_Qty],T_Shipments[Part Name],$A39,T_Shipments[Effective_Week],9)</f>
        <v/>
      </c>
      <c r="K39">
        <f>SUMIFS(T_Shipments[Confirmed_Qty],T_Shipments[Part Name],$A39,T_Shipments[Effective_Week],10)</f>
        <v/>
      </c>
      <c r="L39">
        <f>SUMIFS(T_Shipments[Confirmed_Qty],T_Shipments[Part Name],$A39,T_Shipments[Effective_Week],11)</f>
        <v/>
      </c>
      <c r="M39">
        <f>SUMIFS(T_Shipments[Confirmed_Qty],T_Shipments[Part Name],$A39,T_Shipments[Effective_Week],12)</f>
        <v/>
      </c>
      <c r="N39">
        <f>SUMIFS(T_Shipments[Confirmed_Qty],T_Shipments[Part Name],$A39,T_Shipments[Effective_Week],13)</f>
        <v/>
      </c>
      <c r="O39">
        <f>SUMIFS(T_Shipments[Confirmed_Qty],T_Shipments[Part Name],$A39,T_Shipments[Effective_Week],14)</f>
        <v/>
      </c>
      <c r="P39">
        <f>SUMIFS(T_Shipments[Confirmed_Qty],T_Shipments[Part Name],$A39,T_Shipments[Effective_Week],15)</f>
        <v/>
      </c>
      <c r="Q39">
        <f>SUMIFS(T_Shipments[Confirmed_Qty],T_Shipments[Part Name],$A39,T_Shipments[Effective_Week],16)</f>
        <v/>
      </c>
      <c r="R39">
        <f>SUMIFS(T_Shipments[Confirmed_Qty],T_Shipments[Part Name],$A39,T_Shipments[Effective_Week],17)</f>
        <v/>
      </c>
      <c r="S39">
        <f>SUMIFS(T_Shipments[Confirmed_Qty],T_Shipments[Part Name],$A39,T_Shipments[Effective_Week],18)</f>
        <v/>
      </c>
      <c r="T39">
        <f>SUMIFS(T_Shipments[Confirmed_Qty],T_Shipments[Part Name],$A39,T_Shipments[Effective_Week],19)</f>
        <v/>
      </c>
      <c r="U39">
        <f>SUMIFS(T_Shipments[Confirmed_Qty],T_Shipments[Part Name],$A39,T_Shipments[Effective_Week],20)</f>
        <v/>
      </c>
      <c r="V39">
        <f>SUMIFS(T_Shipments[Confirmed_Qty],T_Shipments[Part Name],$A39,T_Shipments[Effective_Week],21)</f>
        <v/>
      </c>
      <c r="W39">
        <f>SUMIFS(T_Shipments[Confirmed_Qty],T_Shipments[Part Name],$A39,T_Shipments[Effective_Week],22)</f>
        <v/>
      </c>
      <c r="X39">
        <f>SUMIFS(T_Shipments[Confirmed_Qty],T_Shipments[Part Name],$A39,T_Shipments[Effective_Week],23)</f>
        <v/>
      </c>
      <c r="Y39">
        <f>SUMIFS(T_Shipments[Confirmed_Qty],T_Shipments[Part Name],$A39,T_Shipments[Effective_Week],24)</f>
        <v/>
      </c>
      <c r="Z39">
        <f>SUMIFS(T_Shipments[Confirmed_Qty],T_Shipments[Part Name],$A39,T_Shipments[Effective_Week],25)</f>
        <v/>
      </c>
      <c r="AA39">
        <f>SUMIFS(T_Shipments[Confirmed_Qty],T_Shipments[Part Name],$A39,T_Shipments[Effective_Week],26)</f>
        <v/>
      </c>
      <c r="AB39">
        <f>SUMIFS(T_Shipments[Confirmed_Qty],T_Shipments[Part Name],$A39,T_Shipments[Effective_Week],27)</f>
        <v/>
      </c>
      <c r="AC39">
        <f>SUMIFS(T_Shipments[Confirmed_Qty],T_Shipments[Part Name],$A39,T_Shipments[Effective_Week],28)</f>
        <v/>
      </c>
      <c r="AD39">
        <f>SUMIFS(T_Shipments[Confirmed_Qty],T_Shipments[Part Name],$A39,T_Shipments[Effective_Week],29)</f>
        <v/>
      </c>
      <c r="AE39">
        <f>SUMIFS(T_Shipments[Confirmed_Qty],T_Shipments[Part Name],$A39,T_Shipments[Effective_Week],30)</f>
        <v/>
      </c>
      <c r="AF39">
        <f>SUMIFS(T_Shipments[Confirmed_Qty],T_Shipments[Part Name],$A39,T_Shipments[Effective_Week],31)</f>
        <v/>
      </c>
      <c r="AG39">
        <f>SUMIFS(T_Shipments[Confirmed_Qty],T_Shipments[Part Name],$A39,T_Shipments[Effective_Week],32)</f>
        <v/>
      </c>
      <c r="AH39">
        <f>SUMIFS(T_Shipments[Confirmed_Qty],T_Shipments[Part Name],$A39,T_Shipments[Effective_Week],33)</f>
        <v/>
      </c>
      <c r="AI39">
        <f>SUMIFS(T_Shipments[Confirmed_Qty],T_Shipments[Part Name],$A39,T_Shipments[Effective_Week],34)</f>
        <v/>
      </c>
      <c r="AJ39">
        <f>SUMIFS(T_Shipments[Confirmed_Qty],T_Shipments[Part Name],$A39,T_Shipments[Effective_Week],35)</f>
        <v/>
      </c>
      <c r="AK39">
        <f>SUMIFS(T_Shipments[Confirmed_Qty],T_Shipments[Part Name],$A39,T_Shipments[Effective_Week],36)</f>
        <v/>
      </c>
      <c r="AL39">
        <f>SUMIFS(T_Shipments[Confirmed_Qty],T_Shipments[Part Name],$A39,T_Shipments[Effective_Week],37)</f>
        <v/>
      </c>
      <c r="AM39">
        <f>SUMIFS(T_Shipments[Confirmed_Qty],T_Shipments[Part Name],$A39,T_Shipments[Effective_Week],38)</f>
        <v/>
      </c>
      <c r="AN39">
        <f>SUMIFS(T_Shipments[Confirmed_Qty],T_Shipments[Part Name],$A39,T_Shipments[Effective_Week],39)</f>
        <v/>
      </c>
      <c r="AO39">
        <f>SUMIFS(T_Shipments[Confirmed_Qty],T_Shipments[Part Name],$A39,T_Shipments[Effective_Week],40)</f>
        <v/>
      </c>
      <c r="AP39">
        <f>SUMIFS(T_Shipments[Confirmed_Qty],T_Shipments[Part Name],$A39,T_Shipments[Effective_Week],41)</f>
        <v/>
      </c>
      <c r="AQ39">
        <f>SUMIFS(T_Shipments[Confirmed_Qty],T_Shipments[Part Name],$A39,T_Shipments[Effective_Week],42)</f>
        <v/>
      </c>
      <c r="AR39">
        <f>SUMIFS(T_Shipments[Confirmed_Qty],T_Shipments[Part Name],$A39,T_Shipments[Effective_Week],43)</f>
        <v/>
      </c>
      <c r="AS39">
        <f>SUMIFS(T_Shipments[Confirmed_Qty],T_Shipments[Part Name],$A39,T_Shipments[Effective_Week],44)</f>
        <v/>
      </c>
      <c r="AT39">
        <f>SUMIFS(T_Shipments[Confirmed_Qty],T_Shipments[Part Name],$A39,T_Shipments[Effective_Week],45)</f>
        <v/>
      </c>
      <c r="AU39">
        <f>SUMIFS(T_Shipments[Confirmed_Qty],T_Shipments[Part Name],$A39,T_Shipments[Effective_Week],46)</f>
        <v/>
      </c>
      <c r="AV39">
        <f>SUMIFS(T_Shipments[Confirmed_Qty],T_Shipments[Part Name],$A39,T_Shipments[Effective_Week],47)</f>
        <v/>
      </c>
      <c r="AW39">
        <f>SUMIFS(T_Shipments[Confirmed_Qty],T_Shipments[Part Name],$A39,T_Shipments[Effective_Week],48)</f>
        <v/>
      </c>
      <c r="AX39">
        <f>SUMIFS(T_Shipments[Confirmed_Qty],T_Shipments[Part Name],$A39,T_Shipments[Effective_Week],49)</f>
        <v/>
      </c>
      <c r="AY39">
        <f>SUMIFS(T_Shipments[Confirmed_Qty],T_Shipments[Part Name],$A39,T_Shipments[Effective_Week],50)</f>
        <v/>
      </c>
      <c r="AZ39">
        <f>SUMIFS(T_Shipments[Confirmed_Qty],T_Shipments[Part Name],$A39,T_Shipments[Effective_Week],51)</f>
        <v/>
      </c>
      <c r="BA39">
        <f>SUMIFS(T_Shipments[Confirmed_Qty],T_Shipments[Part Name],$A39,T_Shipments[Effective_Week],52)</f>
        <v/>
      </c>
      <c r="BB39">
        <f>SUMIFS(T_Shipments[Confirmed_Qty],T_Shipments[Part Name],$A39,T_Shipments[Effective_Week],53)</f>
        <v/>
      </c>
      <c r="BC39">
        <f>SUMIFS(T_Shipments[Confirmed_Qty],T_Shipments[Part Name],$A39,T_Shipments[Effective_Week],54)</f>
        <v/>
      </c>
      <c r="BD39">
        <f>SUMIFS(T_Shipments[Confirmed_Qty],T_Shipments[Part Name],$A39,T_Shipments[Effective_Week],55)</f>
        <v/>
      </c>
      <c r="BE39">
        <f>SUMIFS(T_Shipments[Confirmed_Qty],T_Shipments[Part Name],$A39,T_Shipments[Effective_Week],56)</f>
        <v/>
      </c>
      <c r="BF39">
        <f>SUMIFS(T_Shipments[Confirmed_Qty],T_Shipments[Part Name],$A39,T_Shipments[Effective_Week],57)</f>
        <v/>
      </c>
      <c r="BG39">
        <f>SUMIFS(T_Shipments[Confirmed_Qty],T_Shipments[Part Name],$A39,T_Shipments[Effective_Week],58)</f>
        <v/>
      </c>
      <c r="BH39">
        <f>SUMIFS(T_Shipments[Confirmed_Qty],T_Shipments[Part Name],$A39,T_Shipments[Effective_Week],59)</f>
        <v/>
      </c>
      <c r="BI39">
        <f>SUMIFS(T_Shipments[Confirmed_Qty],T_Shipments[Part Name],$A39,T_Shipments[Effective_Week],60)</f>
        <v/>
      </c>
      <c r="BJ39">
        <f>SUMIFS(T_Shipments[Confirmed_Qty],T_Shipments[Part Name],$A39,T_Shipments[Effective_Week],61)</f>
        <v/>
      </c>
      <c r="BK39">
        <f>SUMIFS(T_Shipments[Confirmed_Qty],T_Shipments[Part Name],$A39,T_Shipments[Effective_Week],62)</f>
        <v/>
      </c>
      <c r="BL39">
        <f>SUMIFS(T_Shipments[Confirmed_Qty],T_Shipments[Part Name],$A39,T_Shipments[Effective_Week],63)</f>
        <v/>
      </c>
      <c r="BM39">
        <f>SUMIFS(T_Shipments[Confirmed_Qty],T_Shipments[Part Name],$A39,T_Shipments[Effective_Week],64)</f>
        <v/>
      </c>
      <c r="BN39">
        <f>SUMIFS(T_Shipments[Confirmed_Qty],T_Shipments[Part Name],$A39,T_Shipments[Effective_Week],65)</f>
        <v/>
      </c>
      <c r="BO39">
        <f>SUMIFS(T_Shipments[Confirmed_Qty],T_Shipments[Part Name],$A39,T_Shipments[Effective_Week],66)</f>
        <v/>
      </c>
      <c r="BP39">
        <f>SUMIFS(T_Shipments[Confirmed_Qty],T_Shipments[Part Name],$A39,T_Shipments[Effective_Week],67)</f>
        <v/>
      </c>
      <c r="BQ39">
        <f>SUMIFS(T_Shipments[Confirmed_Qty],T_Shipments[Part Name],$A39,T_Shipments[Effective_Week],68)</f>
        <v/>
      </c>
      <c r="BR39">
        <f>SUMIFS(T_Shipments[Confirmed_Qty],T_Shipments[Part Name],$A39,T_Shipments[Effective_Week],69)</f>
        <v/>
      </c>
      <c r="BS39">
        <f>SUMIFS(T_Shipments[Confirmed_Qty],T_Shipments[Part Name],$A39,T_Shipments[Effective_Week],70)</f>
        <v/>
      </c>
      <c r="BT39">
        <f>SUMIFS(T_Shipments[Confirmed_Qty],T_Shipments[Part Name],$A39,T_Shipments[Effective_Week],71)</f>
        <v/>
      </c>
      <c r="BU39">
        <f>SUMIFS(T_Shipments[Confirmed_Qty],T_Shipments[Part Name],$A39,T_Shipments[Effective_Week],72)</f>
        <v/>
      </c>
      <c r="BV39">
        <f>SUMIFS(T_Shipments[Confirmed_Qty],T_Shipments[Part Name],$A39,T_Shipments[Effective_Week],73)</f>
        <v/>
      </c>
      <c r="BW39">
        <f>SUMIFS(T_Shipments[Confirmed_Qty],T_Shipments[Part Name],$A39,T_Shipments[Effective_Week],74)</f>
        <v/>
      </c>
      <c r="BX39">
        <f>SUMIFS(T_Shipments[Confirmed_Qty],T_Shipments[Part Name],$A39,T_Shipments[Effective_Week],75)</f>
        <v/>
      </c>
      <c r="BY39">
        <f>SUMIFS(T_Shipments[Confirmed_Qty],T_Shipments[Part Name],$A39,T_Shipments[Effective_Week],76)</f>
        <v/>
      </c>
      <c r="BZ39">
        <f>SUMIFS(T_Shipments[Confirmed_Qty],T_Shipments[Part Name],$A39,T_Shipments[Effective_Week],77)</f>
        <v/>
      </c>
      <c r="CA39">
        <f>SUMIFS(T_Shipments[Confirmed_Qty],T_Shipments[Part Name],$A39,T_Shipments[Effective_Week],78)</f>
        <v/>
      </c>
      <c r="CB39">
        <f>SUMIFS(T_Shipments[Confirmed_Qty],T_Shipments[Part Name],$A39,T_Shipments[Effective_Week],79)</f>
        <v/>
      </c>
      <c r="CC39">
        <f>SUMIFS(T_Shipments[Confirmed_Qty],T_Shipments[Part Name],$A39,T_Shipments[Effective_Week],80)</f>
        <v/>
      </c>
      <c r="CD39">
        <f>SUMIFS(T_Shipments[Confirmed_Qty],T_Shipments[Part Name],$A39,T_Shipments[Effective_Week],81)</f>
        <v/>
      </c>
      <c r="CE39">
        <f>SUMIFS(T_Shipments[Confirmed_Qty],T_Shipments[Part Name],$A39,T_Shipments[Effective_Week],82)</f>
        <v/>
      </c>
      <c r="CF39">
        <f>SUMIFS(T_Shipments[Confirmed_Qty],T_Shipments[Part Name],$A39,T_Shipments[Effective_Week],83)</f>
        <v/>
      </c>
      <c r="CG39">
        <f>SUMIFS(T_Shipments[Confirmed_Qty],T_Shipments[Part Name],$A39,T_Shipments[Effective_Week],84)</f>
        <v/>
      </c>
      <c r="CH39">
        <f>SUMIFS(T_Shipments[Confirmed_Qty],T_Shipments[Part Name],$A39,T_Shipments[Effective_Week],85)</f>
        <v/>
      </c>
      <c r="CI39">
        <f>SUMIFS(T_Shipments[Confirmed_Qty],T_Shipments[Part Name],$A39,T_Shipments[Effective_Week],86)</f>
        <v/>
      </c>
      <c r="CJ39">
        <f>SUMIFS(T_Shipments[Confirmed_Qty],T_Shipments[Part Name],$A39,T_Shipments[Effective_Week],87)</f>
        <v/>
      </c>
      <c r="CK39">
        <f>SUMIFS(T_Shipments[Confirmed_Qty],T_Shipments[Part Name],$A39,T_Shipments[Effective_Week],88)</f>
        <v/>
      </c>
      <c r="CL39">
        <f>SUMIFS(T_Shipments[Confirmed_Qty],T_Shipments[Part Name],$A39,T_Shipments[Effective_Week],89)</f>
        <v/>
      </c>
      <c r="CM39">
        <f>SUMIFS(T_Shipments[Confirmed_Qty],T_Shipments[Part Name],$A39,T_Shipments[Effective_Week],90)</f>
        <v/>
      </c>
      <c r="CN39">
        <f>SUMIFS(T_Shipments[Confirmed_Qty],T_Shipments[Part Name],$A39,T_Shipments[Effective_Week],91)</f>
        <v/>
      </c>
      <c r="CO39">
        <f>SUMIFS(T_Shipments[Confirmed_Qty],T_Shipments[Part Name],$A39,T_Shipments[Effective_Week],92)</f>
        <v/>
      </c>
      <c r="CP39">
        <f>SUMIFS(T_Shipments[Confirmed_Qty],T_Shipments[Part Name],$A39,T_Shipments[Effective_Week],93)</f>
        <v/>
      </c>
      <c r="CQ39">
        <f>SUMIFS(T_Shipments[Confirmed_Qty],T_Shipments[Part Name],$A39,T_Shipments[Effective_Week],94)</f>
        <v/>
      </c>
      <c r="CR39">
        <f>SUMIFS(T_Shipments[Confirmed_Qty],T_Shipments[Part Name],$A39,T_Shipments[Effective_Week],95)</f>
        <v/>
      </c>
      <c r="CS39">
        <f>SUMIFS(T_Shipments[Confirmed_Qty],T_Shipments[Part Name],$A39,T_Shipments[Effective_Week],96)</f>
        <v/>
      </c>
      <c r="CT39">
        <f>SUMIFS(T_Shipments[Confirmed_Qty],T_Shipments[Part Name],$A39,T_Shipments[Effective_Week],97)</f>
        <v/>
      </c>
      <c r="CU39">
        <f>SUMIFS(T_Shipments[Confirmed_Qty],T_Shipments[Part Name],$A39,T_Shipments[Effective_Week],98)</f>
        <v/>
      </c>
      <c r="CV39">
        <f>SUMIFS(T_Shipments[Confirmed_Qty],T_Shipments[Part Name],$A39,T_Shipments[Effective_Week],99)</f>
        <v/>
      </c>
      <c r="CW39">
        <f>SUMIFS(T_Shipments[Confirmed_Qty],T_Shipments[Part Name],$A39,T_Shipments[Effective_Week],100)</f>
        <v/>
      </c>
      <c r="CX39">
        <f>SUMIFS(T_Shipments[Confirmed_Qty],T_Shipments[Part Name],$A39,T_Shipments[Effective_Week],101)</f>
        <v/>
      </c>
      <c r="CY39">
        <f>SUMIFS(T_Shipments[Confirmed_Qty],T_Shipments[Part Name],$A39,T_Shipments[Effective_Week],102)</f>
        <v/>
      </c>
      <c r="CZ39">
        <f>SUMIFS(T_Shipments[Confirmed_Qty],T_Shipments[Part Name],$A39,T_Shipments[Effective_Week],103)</f>
        <v/>
      </c>
      <c r="DA39">
        <f>SUMIFS(T_Shipments[Confirmed_Qty],T_Shipments[Part Name],$A39,T_Shipments[Effective_Week],104)</f>
        <v/>
      </c>
    </row>
    <row r="40">
      <c r="A40" t="inlineStr">
        <is>
          <t>5SN</t>
        </is>
      </c>
      <c r="B40">
        <f>SUMIFS(T_Shipments[Confirmed_Qty],T_Shipments[Part Name],$A40,T_Shipments[Effective_Week],1)</f>
        <v/>
      </c>
      <c r="C40">
        <f>SUMIFS(T_Shipments[Confirmed_Qty],T_Shipments[Part Name],$A40,T_Shipments[Effective_Week],2)</f>
        <v/>
      </c>
      <c r="D40">
        <f>SUMIFS(T_Shipments[Confirmed_Qty],T_Shipments[Part Name],$A40,T_Shipments[Effective_Week],3)</f>
        <v/>
      </c>
      <c r="E40">
        <f>SUMIFS(T_Shipments[Confirmed_Qty],T_Shipments[Part Name],$A40,T_Shipments[Effective_Week],4)</f>
        <v/>
      </c>
      <c r="F40">
        <f>SUMIFS(T_Shipments[Confirmed_Qty],T_Shipments[Part Name],$A40,T_Shipments[Effective_Week],5)</f>
        <v/>
      </c>
      <c r="G40">
        <f>SUMIFS(T_Shipments[Confirmed_Qty],T_Shipments[Part Name],$A40,T_Shipments[Effective_Week],6)</f>
        <v/>
      </c>
      <c r="H40">
        <f>SUMIFS(T_Shipments[Confirmed_Qty],T_Shipments[Part Name],$A40,T_Shipments[Effective_Week],7)</f>
        <v/>
      </c>
      <c r="I40">
        <f>SUMIFS(T_Shipments[Confirmed_Qty],T_Shipments[Part Name],$A40,T_Shipments[Effective_Week],8)</f>
        <v/>
      </c>
      <c r="J40">
        <f>SUMIFS(T_Shipments[Confirmed_Qty],T_Shipments[Part Name],$A40,T_Shipments[Effective_Week],9)</f>
        <v/>
      </c>
      <c r="K40">
        <f>SUMIFS(T_Shipments[Confirmed_Qty],T_Shipments[Part Name],$A40,T_Shipments[Effective_Week],10)</f>
        <v/>
      </c>
      <c r="L40">
        <f>SUMIFS(T_Shipments[Confirmed_Qty],T_Shipments[Part Name],$A40,T_Shipments[Effective_Week],11)</f>
        <v/>
      </c>
      <c r="M40">
        <f>SUMIFS(T_Shipments[Confirmed_Qty],T_Shipments[Part Name],$A40,T_Shipments[Effective_Week],12)</f>
        <v/>
      </c>
      <c r="N40">
        <f>SUMIFS(T_Shipments[Confirmed_Qty],T_Shipments[Part Name],$A40,T_Shipments[Effective_Week],13)</f>
        <v/>
      </c>
      <c r="O40">
        <f>SUMIFS(T_Shipments[Confirmed_Qty],T_Shipments[Part Name],$A40,T_Shipments[Effective_Week],14)</f>
        <v/>
      </c>
      <c r="P40">
        <f>SUMIFS(T_Shipments[Confirmed_Qty],T_Shipments[Part Name],$A40,T_Shipments[Effective_Week],15)</f>
        <v/>
      </c>
      <c r="Q40">
        <f>SUMIFS(T_Shipments[Confirmed_Qty],T_Shipments[Part Name],$A40,T_Shipments[Effective_Week],16)</f>
        <v/>
      </c>
      <c r="R40">
        <f>SUMIFS(T_Shipments[Confirmed_Qty],T_Shipments[Part Name],$A40,T_Shipments[Effective_Week],17)</f>
        <v/>
      </c>
      <c r="S40">
        <f>SUMIFS(T_Shipments[Confirmed_Qty],T_Shipments[Part Name],$A40,T_Shipments[Effective_Week],18)</f>
        <v/>
      </c>
      <c r="T40">
        <f>SUMIFS(T_Shipments[Confirmed_Qty],T_Shipments[Part Name],$A40,T_Shipments[Effective_Week],19)</f>
        <v/>
      </c>
      <c r="U40">
        <f>SUMIFS(T_Shipments[Confirmed_Qty],T_Shipments[Part Name],$A40,T_Shipments[Effective_Week],20)</f>
        <v/>
      </c>
      <c r="V40">
        <f>SUMIFS(T_Shipments[Confirmed_Qty],T_Shipments[Part Name],$A40,T_Shipments[Effective_Week],21)</f>
        <v/>
      </c>
      <c r="W40">
        <f>SUMIFS(T_Shipments[Confirmed_Qty],T_Shipments[Part Name],$A40,T_Shipments[Effective_Week],22)</f>
        <v/>
      </c>
      <c r="X40">
        <f>SUMIFS(T_Shipments[Confirmed_Qty],T_Shipments[Part Name],$A40,T_Shipments[Effective_Week],23)</f>
        <v/>
      </c>
      <c r="Y40">
        <f>SUMIFS(T_Shipments[Confirmed_Qty],T_Shipments[Part Name],$A40,T_Shipments[Effective_Week],24)</f>
        <v/>
      </c>
      <c r="Z40">
        <f>SUMIFS(T_Shipments[Confirmed_Qty],T_Shipments[Part Name],$A40,T_Shipments[Effective_Week],25)</f>
        <v/>
      </c>
      <c r="AA40">
        <f>SUMIFS(T_Shipments[Confirmed_Qty],T_Shipments[Part Name],$A40,T_Shipments[Effective_Week],26)</f>
        <v/>
      </c>
      <c r="AB40">
        <f>SUMIFS(T_Shipments[Confirmed_Qty],T_Shipments[Part Name],$A40,T_Shipments[Effective_Week],27)</f>
        <v/>
      </c>
      <c r="AC40">
        <f>SUMIFS(T_Shipments[Confirmed_Qty],T_Shipments[Part Name],$A40,T_Shipments[Effective_Week],28)</f>
        <v/>
      </c>
      <c r="AD40">
        <f>SUMIFS(T_Shipments[Confirmed_Qty],T_Shipments[Part Name],$A40,T_Shipments[Effective_Week],29)</f>
        <v/>
      </c>
      <c r="AE40">
        <f>SUMIFS(T_Shipments[Confirmed_Qty],T_Shipments[Part Name],$A40,T_Shipments[Effective_Week],30)</f>
        <v/>
      </c>
      <c r="AF40">
        <f>SUMIFS(T_Shipments[Confirmed_Qty],T_Shipments[Part Name],$A40,T_Shipments[Effective_Week],31)</f>
        <v/>
      </c>
      <c r="AG40">
        <f>SUMIFS(T_Shipments[Confirmed_Qty],T_Shipments[Part Name],$A40,T_Shipments[Effective_Week],32)</f>
        <v/>
      </c>
      <c r="AH40">
        <f>SUMIFS(T_Shipments[Confirmed_Qty],T_Shipments[Part Name],$A40,T_Shipments[Effective_Week],33)</f>
        <v/>
      </c>
      <c r="AI40">
        <f>SUMIFS(T_Shipments[Confirmed_Qty],T_Shipments[Part Name],$A40,T_Shipments[Effective_Week],34)</f>
        <v/>
      </c>
      <c r="AJ40">
        <f>SUMIFS(T_Shipments[Confirmed_Qty],T_Shipments[Part Name],$A40,T_Shipments[Effective_Week],35)</f>
        <v/>
      </c>
      <c r="AK40">
        <f>SUMIFS(T_Shipments[Confirmed_Qty],T_Shipments[Part Name],$A40,T_Shipments[Effective_Week],36)</f>
        <v/>
      </c>
      <c r="AL40">
        <f>SUMIFS(T_Shipments[Confirmed_Qty],T_Shipments[Part Name],$A40,T_Shipments[Effective_Week],37)</f>
        <v/>
      </c>
      <c r="AM40">
        <f>SUMIFS(T_Shipments[Confirmed_Qty],T_Shipments[Part Name],$A40,T_Shipments[Effective_Week],38)</f>
        <v/>
      </c>
      <c r="AN40">
        <f>SUMIFS(T_Shipments[Confirmed_Qty],T_Shipments[Part Name],$A40,T_Shipments[Effective_Week],39)</f>
        <v/>
      </c>
      <c r="AO40">
        <f>SUMIFS(T_Shipments[Confirmed_Qty],T_Shipments[Part Name],$A40,T_Shipments[Effective_Week],40)</f>
        <v/>
      </c>
      <c r="AP40">
        <f>SUMIFS(T_Shipments[Confirmed_Qty],T_Shipments[Part Name],$A40,T_Shipments[Effective_Week],41)</f>
        <v/>
      </c>
      <c r="AQ40">
        <f>SUMIFS(T_Shipments[Confirmed_Qty],T_Shipments[Part Name],$A40,T_Shipments[Effective_Week],42)</f>
        <v/>
      </c>
      <c r="AR40">
        <f>SUMIFS(T_Shipments[Confirmed_Qty],T_Shipments[Part Name],$A40,T_Shipments[Effective_Week],43)</f>
        <v/>
      </c>
      <c r="AS40">
        <f>SUMIFS(T_Shipments[Confirmed_Qty],T_Shipments[Part Name],$A40,T_Shipments[Effective_Week],44)</f>
        <v/>
      </c>
      <c r="AT40">
        <f>SUMIFS(T_Shipments[Confirmed_Qty],T_Shipments[Part Name],$A40,T_Shipments[Effective_Week],45)</f>
        <v/>
      </c>
      <c r="AU40">
        <f>SUMIFS(T_Shipments[Confirmed_Qty],T_Shipments[Part Name],$A40,T_Shipments[Effective_Week],46)</f>
        <v/>
      </c>
      <c r="AV40">
        <f>SUMIFS(T_Shipments[Confirmed_Qty],T_Shipments[Part Name],$A40,T_Shipments[Effective_Week],47)</f>
        <v/>
      </c>
      <c r="AW40">
        <f>SUMIFS(T_Shipments[Confirmed_Qty],T_Shipments[Part Name],$A40,T_Shipments[Effective_Week],48)</f>
        <v/>
      </c>
      <c r="AX40">
        <f>SUMIFS(T_Shipments[Confirmed_Qty],T_Shipments[Part Name],$A40,T_Shipments[Effective_Week],49)</f>
        <v/>
      </c>
      <c r="AY40">
        <f>SUMIFS(T_Shipments[Confirmed_Qty],T_Shipments[Part Name],$A40,T_Shipments[Effective_Week],50)</f>
        <v/>
      </c>
      <c r="AZ40">
        <f>SUMIFS(T_Shipments[Confirmed_Qty],T_Shipments[Part Name],$A40,T_Shipments[Effective_Week],51)</f>
        <v/>
      </c>
      <c r="BA40">
        <f>SUMIFS(T_Shipments[Confirmed_Qty],T_Shipments[Part Name],$A40,T_Shipments[Effective_Week],52)</f>
        <v/>
      </c>
      <c r="BB40">
        <f>SUMIFS(T_Shipments[Confirmed_Qty],T_Shipments[Part Name],$A40,T_Shipments[Effective_Week],53)</f>
        <v/>
      </c>
      <c r="BC40">
        <f>SUMIFS(T_Shipments[Confirmed_Qty],T_Shipments[Part Name],$A40,T_Shipments[Effective_Week],54)</f>
        <v/>
      </c>
      <c r="BD40">
        <f>SUMIFS(T_Shipments[Confirmed_Qty],T_Shipments[Part Name],$A40,T_Shipments[Effective_Week],55)</f>
        <v/>
      </c>
      <c r="BE40">
        <f>SUMIFS(T_Shipments[Confirmed_Qty],T_Shipments[Part Name],$A40,T_Shipments[Effective_Week],56)</f>
        <v/>
      </c>
      <c r="BF40">
        <f>SUMIFS(T_Shipments[Confirmed_Qty],T_Shipments[Part Name],$A40,T_Shipments[Effective_Week],57)</f>
        <v/>
      </c>
      <c r="BG40">
        <f>SUMIFS(T_Shipments[Confirmed_Qty],T_Shipments[Part Name],$A40,T_Shipments[Effective_Week],58)</f>
        <v/>
      </c>
      <c r="BH40">
        <f>SUMIFS(T_Shipments[Confirmed_Qty],T_Shipments[Part Name],$A40,T_Shipments[Effective_Week],59)</f>
        <v/>
      </c>
      <c r="BI40">
        <f>SUMIFS(T_Shipments[Confirmed_Qty],T_Shipments[Part Name],$A40,T_Shipments[Effective_Week],60)</f>
        <v/>
      </c>
      <c r="BJ40">
        <f>SUMIFS(T_Shipments[Confirmed_Qty],T_Shipments[Part Name],$A40,T_Shipments[Effective_Week],61)</f>
        <v/>
      </c>
      <c r="BK40">
        <f>SUMIFS(T_Shipments[Confirmed_Qty],T_Shipments[Part Name],$A40,T_Shipments[Effective_Week],62)</f>
        <v/>
      </c>
      <c r="BL40">
        <f>SUMIFS(T_Shipments[Confirmed_Qty],T_Shipments[Part Name],$A40,T_Shipments[Effective_Week],63)</f>
        <v/>
      </c>
      <c r="BM40">
        <f>SUMIFS(T_Shipments[Confirmed_Qty],T_Shipments[Part Name],$A40,T_Shipments[Effective_Week],64)</f>
        <v/>
      </c>
      <c r="BN40">
        <f>SUMIFS(T_Shipments[Confirmed_Qty],T_Shipments[Part Name],$A40,T_Shipments[Effective_Week],65)</f>
        <v/>
      </c>
      <c r="BO40">
        <f>SUMIFS(T_Shipments[Confirmed_Qty],T_Shipments[Part Name],$A40,T_Shipments[Effective_Week],66)</f>
        <v/>
      </c>
      <c r="BP40">
        <f>SUMIFS(T_Shipments[Confirmed_Qty],T_Shipments[Part Name],$A40,T_Shipments[Effective_Week],67)</f>
        <v/>
      </c>
      <c r="BQ40">
        <f>SUMIFS(T_Shipments[Confirmed_Qty],T_Shipments[Part Name],$A40,T_Shipments[Effective_Week],68)</f>
        <v/>
      </c>
      <c r="BR40">
        <f>SUMIFS(T_Shipments[Confirmed_Qty],T_Shipments[Part Name],$A40,T_Shipments[Effective_Week],69)</f>
        <v/>
      </c>
      <c r="BS40">
        <f>SUMIFS(T_Shipments[Confirmed_Qty],T_Shipments[Part Name],$A40,T_Shipments[Effective_Week],70)</f>
        <v/>
      </c>
      <c r="BT40">
        <f>SUMIFS(T_Shipments[Confirmed_Qty],T_Shipments[Part Name],$A40,T_Shipments[Effective_Week],71)</f>
        <v/>
      </c>
      <c r="BU40">
        <f>SUMIFS(T_Shipments[Confirmed_Qty],T_Shipments[Part Name],$A40,T_Shipments[Effective_Week],72)</f>
        <v/>
      </c>
      <c r="BV40">
        <f>SUMIFS(T_Shipments[Confirmed_Qty],T_Shipments[Part Name],$A40,T_Shipments[Effective_Week],73)</f>
        <v/>
      </c>
      <c r="BW40">
        <f>SUMIFS(T_Shipments[Confirmed_Qty],T_Shipments[Part Name],$A40,T_Shipments[Effective_Week],74)</f>
        <v/>
      </c>
      <c r="BX40">
        <f>SUMIFS(T_Shipments[Confirmed_Qty],T_Shipments[Part Name],$A40,T_Shipments[Effective_Week],75)</f>
        <v/>
      </c>
      <c r="BY40">
        <f>SUMIFS(T_Shipments[Confirmed_Qty],T_Shipments[Part Name],$A40,T_Shipments[Effective_Week],76)</f>
        <v/>
      </c>
      <c r="BZ40">
        <f>SUMIFS(T_Shipments[Confirmed_Qty],T_Shipments[Part Name],$A40,T_Shipments[Effective_Week],77)</f>
        <v/>
      </c>
      <c r="CA40">
        <f>SUMIFS(T_Shipments[Confirmed_Qty],T_Shipments[Part Name],$A40,T_Shipments[Effective_Week],78)</f>
        <v/>
      </c>
      <c r="CB40">
        <f>SUMIFS(T_Shipments[Confirmed_Qty],T_Shipments[Part Name],$A40,T_Shipments[Effective_Week],79)</f>
        <v/>
      </c>
      <c r="CC40">
        <f>SUMIFS(T_Shipments[Confirmed_Qty],T_Shipments[Part Name],$A40,T_Shipments[Effective_Week],80)</f>
        <v/>
      </c>
      <c r="CD40">
        <f>SUMIFS(T_Shipments[Confirmed_Qty],T_Shipments[Part Name],$A40,T_Shipments[Effective_Week],81)</f>
        <v/>
      </c>
      <c r="CE40">
        <f>SUMIFS(T_Shipments[Confirmed_Qty],T_Shipments[Part Name],$A40,T_Shipments[Effective_Week],82)</f>
        <v/>
      </c>
      <c r="CF40">
        <f>SUMIFS(T_Shipments[Confirmed_Qty],T_Shipments[Part Name],$A40,T_Shipments[Effective_Week],83)</f>
        <v/>
      </c>
      <c r="CG40">
        <f>SUMIFS(T_Shipments[Confirmed_Qty],T_Shipments[Part Name],$A40,T_Shipments[Effective_Week],84)</f>
        <v/>
      </c>
      <c r="CH40">
        <f>SUMIFS(T_Shipments[Confirmed_Qty],T_Shipments[Part Name],$A40,T_Shipments[Effective_Week],85)</f>
        <v/>
      </c>
      <c r="CI40">
        <f>SUMIFS(T_Shipments[Confirmed_Qty],T_Shipments[Part Name],$A40,T_Shipments[Effective_Week],86)</f>
        <v/>
      </c>
      <c r="CJ40">
        <f>SUMIFS(T_Shipments[Confirmed_Qty],T_Shipments[Part Name],$A40,T_Shipments[Effective_Week],87)</f>
        <v/>
      </c>
      <c r="CK40">
        <f>SUMIFS(T_Shipments[Confirmed_Qty],T_Shipments[Part Name],$A40,T_Shipments[Effective_Week],88)</f>
        <v/>
      </c>
      <c r="CL40">
        <f>SUMIFS(T_Shipments[Confirmed_Qty],T_Shipments[Part Name],$A40,T_Shipments[Effective_Week],89)</f>
        <v/>
      </c>
      <c r="CM40">
        <f>SUMIFS(T_Shipments[Confirmed_Qty],T_Shipments[Part Name],$A40,T_Shipments[Effective_Week],90)</f>
        <v/>
      </c>
      <c r="CN40">
        <f>SUMIFS(T_Shipments[Confirmed_Qty],T_Shipments[Part Name],$A40,T_Shipments[Effective_Week],91)</f>
        <v/>
      </c>
      <c r="CO40">
        <f>SUMIFS(T_Shipments[Confirmed_Qty],T_Shipments[Part Name],$A40,T_Shipments[Effective_Week],92)</f>
        <v/>
      </c>
      <c r="CP40">
        <f>SUMIFS(T_Shipments[Confirmed_Qty],T_Shipments[Part Name],$A40,T_Shipments[Effective_Week],93)</f>
        <v/>
      </c>
      <c r="CQ40">
        <f>SUMIFS(T_Shipments[Confirmed_Qty],T_Shipments[Part Name],$A40,T_Shipments[Effective_Week],94)</f>
        <v/>
      </c>
      <c r="CR40">
        <f>SUMIFS(T_Shipments[Confirmed_Qty],T_Shipments[Part Name],$A40,T_Shipments[Effective_Week],95)</f>
        <v/>
      </c>
      <c r="CS40">
        <f>SUMIFS(T_Shipments[Confirmed_Qty],T_Shipments[Part Name],$A40,T_Shipments[Effective_Week],96)</f>
        <v/>
      </c>
      <c r="CT40">
        <f>SUMIFS(T_Shipments[Confirmed_Qty],T_Shipments[Part Name],$A40,T_Shipments[Effective_Week],97)</f>
        <v/>
      </c>
      <c r="CU40">
        <f>SUMIFS(T_Shipments[Confirmed_Qty],T_Shipments[Part Name],$A40,T_Shipments[Effective_Week],98)</f>
        <v/>
      </c>
      <c r="CV40">
        <f>SUMIFS(T_Shipments[Confirmed_Qty],T_Shipments[Part Name],$A40,T_Shipments[Effective_Week],99)</f>
        <v/>
      </c>
      <c r="CW40">
        <f>SUMIFS(T_Shipments[Confirmed_Qty],T_Shipments[Part Name],$A40,T_Shipments[Effective_Week],100)</f>
        <v/>
      </c>
      <c r="CX40">
        <f>SUMIFS(T_Shipments[Confirmed_Qty],T_Shipments[Part Name],$A40,T_Shipments[Effective_Week],101)</f>
        <v/>
      </c>
      <c r="CY40">
        <f>SUMIFS(T_Shipments[Confirmed_Qty],T_Shipments[Part Name],$A40,T_Shipments[Effective_Week],102)</f>
        <v/>
      </c>
      <c r="CZ40">
        <f>SUMIFS(T_Shipments[Confirmed_Qty],T_Shipments[Part Name],$A40,T_Shipments[Effective_Week],103)</f>
        <v/>
      </c>
      <c r="DA40">
        <f>SUMIFS(T_Shipments[Confirmed_Qty],T_Shipments[Part Name],$A40,T_Shipments[Effective_Week],104)</f>
        <v/>
      </c>
    </row>
    <row r="41">
      <c r="A41" t="inlineStr">
        <is>
          <t>1JN</t>
        </is>
      </c>
      <c r="B41">
        <f>SUMIFS(T_Shipments[Confirmed_Qty],T_Shipments[Part Name],$A41,T_Shipments[Effective_Week],1)</f>
        <v/>
      </c>
      <c r="C41">
        <f>SUMIFS(T_Shipments[Confirmed_Qty],T_Shipments[Part Name],$A41,T_Shipments[Effective_Week],2)</f>
        <v/>
      </c>
      <c r="D41">
        <f>SUMIFS(T_Shipments[Confirmed_Qty],T_Shipments[Part Name],$A41,T_Shipments[Effective_Week],3)</f>
        <v/>
      </c>
      <c r="E41">
        <f>SUMIFS(T_Shipments[Confirmed_Qty],T_Shipments[Part Name],$A41,T_Shipments[Effective_Week],4)</f>
        <v/>
      </c>
      <c r="F41">
        <f>SUMIFS(T_Shipments[Confirmed_Qty],T_Shipments[Part Name],$A41,T_Shipments[Effective_Week],5)</f>
        <v/>
      </c>
      <c r="G41">
        <f>SUMIFS(T_Shipments[Confirmed_Qty],T_Shipments[Part Name],$A41,T_Shipments[Effective_Week],6)</f>
        <v/>
      </c>
      <c r="H41">
        <f>SUMIFS(T_Shipments[Confirmed_Qty],T_Shipments[Part Name],$A41,T_Shipments[Effective_Week],7)</f>
        <v/>
      </c>
      <c r="I41">
        <f>SUMIFS(T_Shipments[Confirmed_Qty],T_Shipments[Part Name],$A41,T_Shipments[Effective_Week],8)</f>
        <v/>
      </c>
      <c r="J41">
        <f>SUMIFS(T_Shipments[Confirmed_Qty],T_Shipments[Part Name],$A41,T_Shipments[Effective_Week],9)</f>
        <v/>
      </c>
      <c r="K41">
        <f>SUMIFS(T_Shipments[Confirmed_Qty],T_Shipments[Part Name],$A41,T_Shipments[Effective_Week],10)</f>
        <v/>
      </c>
      <c r="L41">
        <f>SUMIFS(T_Shipments[Confirmed_Qty],T_Shipments[Part Name],$A41,T_Shipments[Effective_Week],11)</f>
        <v/>
      </c>
      <c r="M41">
        <f>SUMIFS(T_Shipments[Confirmed_Qty],T_Shipments[Part Name],$A41,T_Shipments[Effective_Week],12)</f>
        <v/>
      </c>
      <c r="N41">
        <f>SUMIFS(T_Shipments[Confirmed_Qty],T_Shipments[Part Name],$A41,T_Shipments[Effective_Week],13)</f>
        <v/>
      </c>
      <c r="O41">
        <f>SUMIFS(T_Shipments[Confirmed_Qty],T_Shipments[Part Name],$A41,T_Shipments[Effective_Week],14)</f>
        <v/>
      </c>
      <c r="P41">
        <f>SUMIFS(T_Shipments[Confirmed_Qty],T_Shipments[Part Name],$A41,T_Shipments[Effective_Week],15)</f>
        <v/>
      </c>
      <c r="Q41">
        <f>SUMIFS(T_Shipments[Confirmed_Qty],T_Shipments[Part Name],$A41,T_Shipments[Effective_Week],16)</f>
        <v/>
      </c>
      <c r="R41">
        <f>SUMIFS(T_Shipments[Confirmed_Qty],T_Shipments[Part Name],$A41,T_Shipments[Effective_Week],17)</f>
        <v/>
      </c>
      <c r="S41">
        <f>SUMIFS(T_Shipments[Confirmed_Qty],T_Shipments[Part Name],$A41,T_Shipments[Effective_Week],18)</f>
        <v/>
      </c>
      <c r="T41">
        <f>SUMIFS(T_Shipments[Confirmed_Qty],T_Shipments[Part Name],$A41,T_Shipments[Effective_Week],19)</f>
        <v/>
      </c>
      <c r="U41">
        <f>SUMIFS(T_Shipments[Confirmed_Qty],T_Shipments[Part Name],$A41,T_Shipments[Effective_Week],20)</f>
        <v/>
      </c>
      <c r="V41">
        <f>SUMIFS(T_Shipments[Confirmed_Qty],T_Shipments[Part Name],$A41,T_Shipments[Effective_Week],21)</f>
        <v/>
      </c>
      <c r="W41">
        <f>SUMIFS(T_Shipments[Confirmed_Qty],T_Shipments[Part Name],$A41,T_Shipments[Effective_Week],22)</f>
        <v/>
      </c>
      <c r="X41">
        <f>SUMIFS(T_Shipments[Confirmed_Qty],T_Shipments[Part Name],$A41,T_Shipments[Effective_Week],23)</f>
        <v/>
      </c>
      <c r="Y41">
        <f>SUMIFS(T_Shipments[Confirmed_Qty],T_Shipments[Part Name],$A41,T_Shipments[Effective_Week],24)</f>
        <v/>
      </c>
      <c r="Z41">
        <f>SUMIFS(T_Shipments[Confirmed_Qty],T_Shipments[Part Name],$A41,T_Shipments[Effective_Week],25)</f>
        <v/>
      </c>
      <c r="AA41">
        <f>SUMIFS(T_Shipments[Confirmed_Qty],T_Shipments[Part Name],$A41,T_Shipments[Effective_Week],26)</f>
        <v/>
      </c>
      <c r="AB41">
        <f>SUMIFS(T_Shipments[Confirmed_Qty],T_Shipments[Part Name],$A41,T_Shipments[Effective_Week],27)</f>
        <v/>
      </c>
      <c r="AC41">
        <f>SUMIFS(T_Shipments[Confirmed_Qty],T_Shipments[Part Name],$A41,T_Shipments[Effective_Week],28)</f>
        <v/>
      </c>
      <c r="AD41">
        <f>SUMIFS(T_Shipments[Confirmed_Qty],T_Shipments[Part Name],$A41,T_Shipments[Effective_Week],29)</f>
        <v/>
      </c>
      <c r="AE41">
        <f>SUMIFS(T_Shipments[Confirmed_Qty],T_Shipments[Part Name],$A41,T_Shipments[Effective_Week],30)</f>
        <v/>
      </c>
      <c r="AF41">
        <f>SUMIFS(T_Shipments[Confirmed_Qty],T_Shipments[Part Name],$A41,T_Shipments[Effective_Week],31)</f>
        <v/>
      </c>
      <c r="AG41">
        <f>SUMIFS(T_Shipments[Confirmed_Qty],T_Shipments[Part Name],$A41,T_Shipments[Effective_Week],32)</f>
        <v/>
      </c>
      <c r="AH41">
        <f>SUMIFS(T_Shipments[Confirmed_Qty],T_Shipments[Part Name],$A41,T_Shipments[Effective_Week],33)</f>
        <v/>
      </c>
      <c r="AI41">
        <f>SUMIFS(T_Shipments[Confirmed_Qty],T_Shipments[Part Name],$A41,T_Shipments[Effective_Week],34)</f>
        <v/>
      </c>
      <c r="AJ41">
        <f>SUMIFS(T_Shipments[Confirmed_Qty],T_Shipments[Part Name],$A41,T_Shipments[Effective_Week],35)</f>
        <v/>
      </c>
      <c r="AK41">
        <f>SUMIFS(T_Shipments[Confirmed_Qty],T_Shipments[Part Name],$A41,T_Shipments[Effective_Week],36)</f>
        <v/>
      </c>
      <c r="AL41">
        <f>SUMIFS(T_Shipments[Confirmed_Qty],T_Shipments[Part Name],$A41,T_Shipments[Effective_Week],37)</f>
        <v/>
      </c>
      <c r="AM41">
        <f>SUMIFS(T_Shipments[Confirmed_Qty],T_Shipments[Part Name],$A41,T_Shipments[Effective_Week],38)</f>
        <v/>
      </c>
      <c r="AN41">
        <f>SUMIFS(T_Shipments[Confirmed_Qty],T_Shipments[Part Name],$A41,T_Shipments[Effective_Week],39)</f>
        <v/>
      </c>
      <c r="AO41">
        <f>SUMIFS(T_Shipments[Confirmed_Qty],T_Shipments[Part Name],$A41,T_Shipments[Effective_Week],40)</f>
        <v/>
      </c>
      <c r="AP41">
        <f>SUMIFS(T_Shipments[Confirmed_Qty],T_Shipments[Part Name],$A41,T_Shipments[Effective_Week],41)</f>
        <v/>
      </c>
      <c r="AQ41">
        <f>SUMIFS(T_Shipments[Confirmed_Qty],T_Shipments[Part Name],$A41,T_Shipments[Effective_Week],42)</f>
        <v/>
      </c>
      <c r="AR41">
        <f>SUMIFS(T_Shipments[Confirmed_Qty],T_Shipments[Part Name],$A41,T_Shipments[Effective_Week],43)</f>
        <v/>
      </c>
      <c r="AS41">
        <f>SUMIFS(T_Shipments[Confirmed_Qty],T_Shipments[Part Name],$A41,T_Shipments[Effective_Week],44)</f>
        <v/>
      </c>
      <c r="AT41">
        <f>SUMIFS(T_Shipments[Confirmed_Qty],T_Shipments[Part Name],$A41,T_Shipments[Effective_Week],45)</f>
        <v/>
      </c>
      <c r="AU41">
        <f>SUMIFS(T_Shipments[Confirmed_Qty],T_Shipments[Part Name],$A41,T_Shipments[Effective_Week],46)</f>
        <v/>
      </c>
      <c r="AV41">
        <f>SUMIFS(T_Shipments[Confirmed_Qty],T_Shipments[Part Name],$A41,T_Shipments[Effective_Week],47)</f>
        <v/>
      </c>
      <c r="AW41">
        <f>SUMIFS(T_Shipments[Confirmed_Qty],T_Shipments[Part Name],$A41,T_Shipments[Effective_Week],48)</f>
        <v/>
      </c>
      <c r="AX41">
        <f>SUMIFS(T_Shipments[Confirmed_Qty],T_Shipments[Part Name],$A41,T_Shipments[Effective_Week],49)</f>
        <v/>
      </c>
      <c r="AY41">
        <f>SUMIFS(T_Shipments[Confirmed_Qty],T_Shipments[Part Name],$A41,T_Shipments[Effective_Week],50)</f>
        <v/>
      </c>
      <c r="AZ41">
        <f>SUMIFS(T_Shipments[Confirmed_Qty],T_Shipments[Part Name],$A41,T_Shipments[Effective_Week],51)</f>
        <v/>
      </c>
      <c r="BA41">
        <f>SUMIFS(T_Shipments[Confirmed_Qty],T_Shipments[Part Name],$A41,T_Shipments[Effective_Week],52)</f>
        <v/>
      </c>
      <c r="BB41">
        <f>SUMIFS(T_Shipments[Confirmed_Qty],T_Shipments[Part Name],$A41,T_Shipments[Effective_Week],53)</f>
        <v/>
      </c>
      <c r="BC41">
        <f>SUMIFS(T_Shipments[Confirmed_Qty],T_Shipments[Part Name],$A41,T_Shipments[Effective_Week],54)</f>
        <v/>
      </c>
      <c r="BD41">
        <f>SUMIFS(T_Shipments[Confirmed_Qty],T_Shipments[Part Name],$A41,T_Shipments[Effective_Week],55)</f>
        <v/>
      </c>
      <c r="BE41">
        <f>SUMIFS(T_Shipments[Confirmed_Qty],T_Shipments[Part Name],$A41,T_Shipments[Effective_Week],56)</f>
        <v/>
      </c>
      <c r="BF41">
        <f>SUMIFS(T_Shipments[Confirmed_Qty],T_Shipments[Part Name],$A41,T_Shipments[Effective_Week],57)</f>
        <v/>
      </c>
      <c r="BG41">
        <f>SUMIFS(T_Shipments[Confirmed_Qty],T_Shipments[Part Name],$A41,T_Shipments[Effective_Week],58)</f>
        <v/>
      </c>
      <c r="BH41">
        <f>SUMIFS(T_Shipments[Confirmed_Qty],T_Shipments[Part Name],$A41,T_Shipments[Effective_Week],59)</f>
        <v/>
      </c>
      <c r="BI41">
        <f>SUMIFS(T_Shipments[Confirmed_Qty],T_Shipments[Part Name],$A41,T_Shipments[Effective_Week],60)</f>
        <v/>
      </c>
      <c r="BJ41">
        <f>SUMIFS(T_Shipments[Confirmed_Qty],T_Shipments[Part Name],$A41,T_Shipments[Effective_Week],61)</f>
        <v/>
      </c>
      <c r="BK41">
        <f>SUMIFS(T_Shipments[Confirmed_Qty],T_Shipments[Part Name],$A41,T_Shipments[Effective_Week],62)</f>
        <v/>
      </c>
      <c r="BL41">
        <f>SUMIFS(T_Shipments[Confirmed_Qty],T_Shipments[Part Name],$A41,T_Shipments[Effective_Week],63)</f>
        <v/>
      </c>
      <c r="BM41">
        <f>SUMIFS(T_Shipments[Confirmed_Qty],T_Shipments[Part Name],$A41,T_Shipments[Effective_Week],64)</f>
        <v/>
      </c>
      <c r="BN41">
        <f>SUMIFS(T_Shipments[Confirmed_Qty],T_Shipments[Part Name],$A41,T_Shipments[Effective_Week],65)</f>
        <v/>
      </c>
      <c r="BO41">
        <f>SUMIFS(T_Shipments[Confirmed_Qty],T_Shipments[Part Name],$A41,T_Shipments[Effective_Week],66)</f>
        <v/>
      </c>
      <c r="BP41">
        <f>SUMIFS(T_Shipments[Confirmed_Qty],T_Shipments[Part Name],$A41,T_Shipments[Effective_Week],67)</f>
        <v/>
      </c>
      <c r="BQ41">
        <f>SUMIFS(T_Shipments[Confirmed_Qty],T_Shipments[Part Name],$A41,T_Shipments[Effective_Week],68)</f>
        <v/>
      </c>
      <c r="BR41">
        <f>SUMIFS(T_Shipments[Confirmed_Qty],T_Shipments[Part Name],$A41,T_Shipments[Effective_Week],69)</f>
        <v/>
      </c>
      <c r="BS41">
        <f>SUMIFS(T_Shipments[Confirmed_Qty],T_Shipments[Part Name],$A41,T_Shipments[Effective_Week],70)</f>
        <v/>
      </c>
      <c r="BT41">
        <f>SUMIFS(T_Shipments[Confirmed_Qty],T_Shipments[Part Name],$A41,T_Shipments[Effective_Week],71)</f>
        <v/>
      </c>
      <c r="BU41">
        <f>SUMIFS(T_Shipments[Confirmed_Qty],T_Shipments[Part Name],$A41,T_Shipments[Effective_Week],72)</f>
        <v/>
      </c>
      <c r="BV41">
        <f>SUMIFS(T_Shipments[Confirmed_Qty],T_Shipments[Part Name],$A41,T_Shipments[Effective_Week],73)</f>
        <v/>
      </c>
      <c r="BW41">
        <f>SUMIFS(T_Shipments[Confirmed_Qty],T_Shipments[Part Name],$A41,T_Shipments[Effective_Week],74)</f>
        <v/>
      </c>
      <c r="BX41">
        <f>SUMIFS(T_Shipments[Confirmed_Qty],T_Shipments[Part Name],$A41,T_Shipments[Effective_Week],75)</f>
        <v/>
      </c>
      <c r="BY41">
        <f>SUMIFS(T_Shipments[Confirmed_Qty],T_Shipments[Part Name],$A41,T_Shipments[Effective_Week],76)</f>
        <v/>
      </c>
      <c r="BZ41">
        <f>SUMIFS(T_Shipments[Confirmed_Qty],T_Shipments[Part Name],$A41,T_Shipments[Effective_Week],77)</f>
        <v/>
      </c>
      <c r="CA41">
        <f>SUMIFS(T_Shipments[Confirmed_Qty],T_Shipments[Part Name],$A41,T_Shipments[Effective_Week],78)</f>
        <v/>
      </c>
      <c r="CB41">
        <f>SUMIFS(T_Shipments[Confirmed_Qty],T_Shipments[Part Name],$A41,T_Shipments[Effective_Week],79)</f>
        <v/>
      </c>
      <c r="CC41">
        <f>SUMIFS(T_Shipments[Confirmed_Qty],T_Shipments[Part Name],$A41,T_Shipments[Effective_Week],80)</f>
        <v/>
      </c>
      <c r="CD41">
        <f>SUMIFS(T_Shipments[Confirmed_Qty],T_Shipments[Part Name],$A41,T_Shipments[Effective_Week],81)</f>
        <v/>
      </c>
      <c r="CE41">
        <f>SUMIFS(T_Shipments[Confirmed_Qty],T_Shipments[Part Name],$A41,T_Shipments[Effective_Week],82)</f>
        <v/>
      </c>
      <c r="CF41">
        <f>SUMIFS(T_Shipments[Confirmed_Qty],T_Shipments[Part Name],$A41,T_Shipments[Effective_Week],83)</f>
        <v/>
      </c>
      <c r="CG41">
        <f>SUMIFS(T_Shipments[Confirmed_Qty],T_Shipments[Part Name],$A41,T_Shipments[Effective_Week],84)</f>
        <v/>
      </c>
      <c r="CH41">
        <f>SUMIFS(T_Shipments[Confirmed_Qty],T_Shipments[Part Name],$A41,T_Shipments[Effective_Week],85)</f>
        <v/>
      </c>
      <c r="CI41">
        <f>SUMIFS(T_Shipments[Confirmed_Qty],T_Shipments[Part Name],$A41,T_Shipments[Effective_Week],86)</f>
        <v/>
      </c>
      <c r="CJ41">
        <f>SUMIFS(T_Shipments[Confirmed_Qty],T_Shipments[Part Name],$A41,T_Shipments[Effective_Week],87)</f>
        <v/>
      </c>
      <c r="CK41">
        <f>SUMIFS(T_Shipments[Confirmed_Qty],T_Shipments[Part Name],$A41,T_Shipments[Effective_Week],88)</f>
        <v/>
      </c>
      <c r="CL41">
        <f>SUMIFS(T_Shipments[Confirmed_Qty],T_Shipments[Part Name],$A41,T_Shipments[Effective_Week],89)</f>
        <v/>
      </c>
      <c r="CM41">
        <f>SUMIFS(T_Shipments[Confirmed_Qty],T_Shipments[Part Name],$A41,T_Shipments[Effective_Week],90)</f>
        <v/>
      </c>
      <c r="CN41">
        <f>SUMIFS(T_Shipments[Confirmed_Qty],T_Shipments[Part Name],$A41,T_Shipments[Effective_Week],91)</f>
        <v/>
      </c>
      <c r="CO41">
        <f>SUMIFS(T_Shipments[Confirmed_Qty],T_Shipments[Part Name],$A41,T_Shipments[Effective_Week],92)</f>
        <v/>
      </c>
      <c r="CP41">
        <f>SUMIFS(T_Shipments[Confirmed_Qty],T_Shipments[Part Name],$A41,T_Shipments[Effective_Week],93)</f>
        <v/>
      </c>
      <c r="CQ41">
        <f>SUMIFS(T_Shipments[Confirmed_Qty],T_Shipments[Part Name],$A41,T_Shipments[Effective_Week],94)</f>
        <v/>
      </c>
      <c r="CR41">
        <f>SUMIFS(T_Shipments[Confirmed_Qty],T_Shipments[Part Name],$A41,T_Shipments[Effective_Week],95)</f>
        <v/>
      </c>
      <c r="CS41">
        <f>SUMIFS(T_Shipments[Confirmed_Qty],T_Shipments[Part Name],$A41,T_Shipments[Effective_Week],96)</f>
        <v/>
      </c>
      <c r="CT41">
        <f>SUMIFS(T_Shipments[Confirmed_Qty],T_Shipments[Part Name],$A41,T_Shipments[Effective_Week],97)</f>
        <v/>
      </c>
      <c r="CU41">
        <f>SUMIFS(T_Shipments[Confirmed_Qty],T_Shipments[Part Name],$A41,T_Shipments[Effective_Week],98)</f>
        <v/>
      </c>
      <c r="CV41">
        <f>SUMIFS(T_Shipments[Confirmed_Qty],T_Shipments[Part Name],$A41,T_Shipments[Effective_Week],99)</f>
        <v/>
      </c>
      <c r="CW41">
        <f>SUMIFS(T_Shipments[Confirmed_Qty],T_Shipments[Part Name],$A41,T_Shipments[Effective_Week],100)</f>
        <v/>
      </c>
      <c r="CX41">
        <f>SUMIFS(T_Shipments[Confirmed_Qty],T_Shipments[Part Name],$A41,T_Shipments[Effective_Week],101)</f>
        <v/>
      </c>
      <c r="CY41">
        <f>SUMIFS(T_Shipments[Confirmed_Qty],T_Shipments[Part Name],$A41,T_Shipments[Effective_Week],102)</f>
        <v/>
      </c>
      <c r="CZ41">
        <f>SUMIFS(T_Shipments[Confirmed_Qty],T_Shipments[Part Name],$A41,T_Shipments[Effective_Week],103)</f>
        <v/>
      </c>
      <c r="DA41">
        <f>SUMIFS(T_Shipments[Confirmed_Qty],T_Shipments[Part Name],$A41,T_Shipments[Effective_Week],104)</f>
        <v/>
      </c>
    </row>
    <row r="42">
      <c r="A42" t="inlineStr">
        <is>
          <t>V03</t>
        </is>
      </c>
      <c r="B42">
        <f>SUMIFS(T_Shipments[Confirmed_Qty],T_Shipments[Part Name],$A42,T_Shipments[Effective_Week],1)</f>
        <v/>
      </c>
      <c r="C42">
        <f>SUMIFS(T_Shipments[Confirmed_Qty],T_Shipments[Part Name],$A42,T_Shipments[Effective_Week],2)</f>
        <v/>
      </c>
      <c r="D42">
        <f>SUMIFS(T_Shipments[Confirmed_Qty],T_Shipments[Part Name],$A42,T_Shipments[Effective_Week],3)</f>
        <v/>
      </c>
      <c r="E42">
        <f>SUMIFS(T_Shipments[Confirmed_Qty],T_Shipments[Part Name],$A42,T_Shipments[Effective_Week],4)</f>
        <v/>
      </c>
      <c r="F42">
        <f>SUMIFS(T_Shipments[Confirmed_Qty],T_Shipments[Part Name],$A42,T_Shipments[Effective_Week],5)</f>
        <v/>
      </c>
      <c r="G42">
        <f>SUMIFS(T_Shipments[Confirmed_Qty],T_Shipments[Part Name],$A42,T_Shipments[Effective_Week],6)</f>
        <v/>
      </c>
      <c r="H42">
        <f>SUMIFS(T_Shipments[Confirmed_Qty],T_Shipments[Part Name],$A42,T_Shipments[Effective_Week],7)</f>
        <v/>
      </c>
      <c r="I42">
        <f>SUMIFS(T_Shipments[Confirmed_Qty],T_Shipments[Part Name],$A42,T_Shipments[Effective_Week],8)</f>
        <v/>
      </c>
      <c r="J42">
        <f>SUMIFS(T_Shipments[Confirmed_Qty],T_Shipments[Part Name],$A42,T_Shipments[Effective_Week],9)</f>
        <v/>
      </c>
      <c r="K42">
        <f>SUMIFS(T_Shipments[Confirmed_Qty],T_Shipments[Part Name],$A42,T_Shipments[Effective_Week],10)</f>
        <v/>
      </c>
      <c r="L42">
        <f>SUMIFS(T_Shipments[Confirmed_Qty],T_Shipments[Part Name],$A42,T_Shipments[Effective_Week],11)</f>
        <v/>
      </c>
      <c r="M42">
        <f>SUMIFS(T_Shipments[Confirmed_Qty],T_Shipments[Part Name],$A42,T_Shipments[Effective_Week],12)</f>
        <v/>
      </c>
      <c r="N42">
        <f>SUMIFS(T_Shipments[Confirmed_Qty],T_Shipments[Part Name],$A42,T_Shipments[Effective_Week],13)</f>
        <v/>
      </c>
      <c r="O42">
        <f>SUMIFS(T_Shipments[Confirmed_Qty],T_Shipments[Part Name],$A42,T_Shipments[Effective_Week],14)</f>
        <v/>
      </c>
      <c r="P42">
        <f>SUMIFS(T_Shipments[Confirmed_Qty],T_Shipments[Part Name],$A42,T_Shipments[Effective_Week],15)</f>
        <v/>
      </c>
      <c r="Q42">
        <f>SUMIFS(T_Shipments[Confirmed_Qty],T_Shipments[Part Name],$A42,T_Shipments[Effective_Week],16)</f>
        <v/>
      </c>
      <c r="R42">
        <f>SUMIFS(T_Shipments[Confirmed_Qty],T_Shipments[Part Name],$A42,T_Shipments[Effective_Week],17)</f>
        <v/>
      </c>
      <c r="S42">
        <f>SUMIFS(T_Shipments[Confirmed_Qty],T_Shipments[Part Name],$A42,T_Shipments[Effective_Week],18)</f>
        <v/>
      </c>
      <c r="T42">
        <f>SUMIFS(T_Shipments[Confirmed_Qty],T_Shipments[Part Name],$A42,T_Shipments[Effective_Week],19)</f>
        <v/>
      </c>
      <c r="U42">
        <f>SUMIFS(T_Shipments[Confirmed_Qty],T_Shipments[Part Name],$A42,T_Shipments[Effective_Week],20)</f>
        <v/>
      </c>
      <c r="V42">
        <f>SUMIFS(T_Shipments[Confirmed_Qty],T_Shipments[Part Name],$A42,T_Shipments[Effective_Week],21)</f>
        <v/>
      </c>
      <c r="W42">
        <f>SUMIFS(T_Shipments[Confirmed_Qty],T_Shipments[Part Name],$A42,T_Shipments[Effective_Week],22)</f>
        <v/>
      </c>
      <c r="X42">
        <f>SUMIFS(T_Shipments[Confirmed_Qty],T_Shipments[Part Name],$A42,T_Shipments[Effective_Week],23)</f>
        <v/>
      </c>
      <c r="Y42">
        <f>SUMIFS(T_Shipments[Confirmed_Qty],T_Shipments[Part Name],$A42,T_Shipments[Effective_Week],24)</f>
        <v/>
      </c>
      <c r="Z42">
        <f>SUMIFS(T_Shipments[Confirmed_Qty],T_Shipments[Part Name],$A42,T_Shipments[Effective_Week],25)</f>
        <v/>
      </c>
      <c r="AA42">
        <f>SUMIFS(T_Shipments[Confirmed_Qty],T_Shipments[Part Name],$A42,T_Shipments[Effective_Week],26)</f>
        <v/>
      </c>
      <c r="AB42">
        <f>SUMIFS(T_Shipments[Confirmed_Qty],T_Shipments[Part Name],$A42,T_Shipments[Effective_Week],27)</f>
        <v/>
      </c>
      <c r="AC42">
        <f>SUMIFS(T_Shipments[Confirmed_Qty],T_Shipments[Part Name],$A42,T_Shipments[Effective_Week],28)</f>
        <v/>
      </c>
      <c r="AD42">
        <f>SUMIFS(T_Shipments[Confirmed_Qty],T_Shipments[Part Name],$A42,T_Shipments[Effective_Week],29)</f>
        <v/>
      </c>
      <c r="AE42">
        <f>SUMIFS(T_Shipments[Confirmed_Qty],T_Shipments[Part Name],$A42,T_Shipments[Effective_Week],30)</f>
        <v/>
      </c>
      <c r="AF42">
        <f>SUMIFS(T_Shipments[Confirmed_Qty],T_Shipments[Part Name],$A42,T_Shipments[Effective_Week],31)</f>
        <v/>
      </c>
      <c r="AG42">
        <f>SUMIFS(T_Shipments[Confirmed_Qty],T_Shipments[Part Name],$A42,T_Shipments[Effective_Week],32)</f>
        <v/>
      </c>
      <c r="AH42">
        <f>SUMIFS(T_Shipments[Confirmed_Qty],T_Shipments[Part Name],$A42,T_Shipments[Effective_Week],33)</f>
        <v/>
      </c>
      <c r="AI42">
        <f>SUMIFS(T_Shipments[Confirmed_Qty],T_Shipments[Part Name],$A42,T_Shipments[Effective_Week],34)</f>
        <v/>
      </c>
      <c r="AJ42">
        <f>SUMIFS(T_Shipments[Confirmed_Qty],T_Shipments[Part Name],$A42,T_Shipments[Effective_Week],35)</f>
        <v/>
      </c>
      <c r="AK42">
        <f>SUMIFS(T_Shipments[Confirmed_Qty],T_Shipments[Part Name],$A42,T_Shipments[Effective_Week],36)</f>
        <v/>
      </c>
      <c r="AL42">
        <f>SUMIFS(T_Shipments[Confirmed_Qty],T_Shipments[Part Name],$A42,T_Shipments[Effective_Week],37)</f>
        <v/>
      </c>
      <c r="AM42">
        <f>SUMIFS(T_Shipments[Confirmed_Qty],T_Shipments[Part Name],$A42,T_Shipments[Effective_Week],38)</f>
        <v/>
      </c>
      <c r="AN42">
        <f>SUMIFS(T_Shipments[Confirmed_Qty],T_Shipments[Part Name],$A42,T_Shipments[Effective_Week],39)</f>
        <v/>
      </c>
      <c r="AO42">
        <f>SUMIFS(T_Shipments[Confirmed_Qty],T_Shipments[Part Name],$A42,T_Shipments[Effective_Week],40)</f>
        <v/>
      </c>
      <c r="AP42">
        <f>SUMIFS(T_Shipments[Confirmed_Qty],T_Shipments[Part Name],$A42,T_Shipments[Effective_Week],41)</f>
        <v/>
      </c>
      <c r="AQ42">
        <f>SUMIFS(T_Shipments[Confirmed_Qty],T_Shipments[Part Name],$A42,T_Shipments[Effective_Week],42)</f>
        <v/>
      </c>
      <c r="AR42">
        <f>SUMIFS(T_Shipments[Confirmed_Qty],T_Shipments[Part Name],$A42,T_Shipments[Effective_Week],43)</f>
        <v/>
      </c>
      <c r="AS42">
        <f>SUMIFS(T_Shipments[Confirmed_Qty],T_Shipments[Part Name],$A42,T_Shipments[Effective_Week],44)</f>
        <v/>
      </c>
      <c r="AT42">
        <f>SUMIFS(T_Shipments[Confirmed_Qty],T_Shipments[Part Name],$A42,T_Shipments[Effective_Week],45)</f>
        <v/>
      </c>
      <c r="AU42">
        <f>SUMIFS(T_Shipments[Confirmed_Qty],T_Shipments[Part Name],$A42,T_Shipments[Effective_Week],46)</f>
        <v/>
      </c>
      <c r="AV42">
        <f>SUMIFS(T_Shipments[Confirmed_Qty],T_Shipments[Part Name],$A42,T_Shipments[Effective_Week],47)</f>
        <v/>
      </c>
      <c r="AW42">
        <f>SUMIFS(T_Shipments[Confirmed_Qty],T_Shipments[Part Name],$A42,T_Shipments[Effective_Week],48)</f>
        <v/>
      </c>
      <c r="AX42">
        <f>SUMIFS(T_Shipments[Confirmed_Qty],T_Shipments[Part Name],$A42,T_Shipments[Effective_Week],49)</f>
        <v/>
      </c>
      <c r="AY42">
        <f>SUMIFS(T_Shipments[Confirmed_Qty],T_Shipments[Part Name],$A42,T_Shipments[Effective_Week],50)</f>
        <v/>
      </c>
      <c r="AZ42">
        <f>SUMIFS(T_Shipments[Confirmed_Qty],T_Shipments[Part Name],$A42,T_Shipments[Effective_Week],51)</f>
        <v/>
      </c>
      <c r="BA42">
        <f>SUMIFS(T_Shipments[Confirmed_Qty],T_Shipments[Part Name],$A42,T_Shipments[Effective_Week],52)</f>
        <v/>
      </c>
      <c r="BB42">
        <f>SUMIFS(T_Shipments[Confirmed_Qty],T_Shipments[Part Name],$A42,T_Shipments[Effective_Week],53)</f>
        <v/>
      </c>
      <c r="BC42">
        <f>SUMIFS(T_Shipments[Confirmed_Qty],T_Shipments[Part Name],$A42,T_Shipments[Effective_Week],54)</f>
        <v/>
      </c>
      <c r="BD42">
        <f>SUMIFS(T_Shipments[Confirmed_Qty],T_Shipments[Part Name],$A42,T_Shipments[Effective_Week],55)</f>
        <v/>
      </c>
      <c r="BE42">
        <f>SUMIFS(T_Shipments[Confirmed_Qty],T_Shipments[Part Name],$A42,T_Shipments[Effective_Week],56)</f>
        <v/>
      </c>
      <c r="BF42">
        <f>SUMIFS(T_Shipments[Confirmed_Qty],T_Shipments[Part Name],$A42,T_Shipments[Effective_Week],57)</f>
        <v/>
      </c>
      <c r="BG42">
        <f>SUMIFS(T_Shipments[Confirmed_Qty],T_Shipments[Part Name],$A42,T_Shipments[Effective_Week],58)</f>
        <v/>
      </c>
      <c r="BH42">
        <f>SUMIFS(T_Shipments[Confirmed_Qty],T_Shipments[Part Name],$A42,T_Shipments[Effective_Week],59)</f>
        <v/>
      </c>
      <c r="BI42">
        <f>SUMIFS(T_Shipments[Confirmed_Qty],T_Shipments[Part Name],$A42,T_Shipments[Effective_Week],60)</f>
        <v/>
      </c>
      <c r="BJ42">
        <f>SUMIFS(T_Shipments[Confirmed_Qty],T_Shipments[Part Name],$A42,T_Shipments[Effective_Week],61)</f>
        <v/>
      </c>
      <c r="BK42">
        <f>SUMIFS(T_Shipments[Confirmed_Qty],T_Shipments[Part Name],$A42,T_Shipments[Effective_Week],62)</f>
        <v/>
      </c>
      <c r="BL42">
        <f>SUMIFS(T_Shipments[Confirmed_Qty],T_Shipments[Part Name],$A42,T_Shipments[Effective_Week],63)</f>
        <v/>
      </c>
      <c r="BM42">
        <f>SUMIFS(T_Shipments[Confirmed_Qty],T_Shipments[Part Name],$A42,T_Shipments[Effective_Week],64)</f>
        <v/>
      </c>
      <c r="BN42">
        <f>SUMIFS(T_Shipments[Confirmed_Qty],T_Shipments[Part Name],$A42,T_Shipments[Effective_Week],65)</f>
        <v/>
      </c>
      <c r="BO42">
        <f>SUMIFS(T_Shipments[Confirmed_Qty],T_Shipments[Part Name],$A42,T_Shipments[Effective_Week],66)</f>
        <v/>
      </c>
      <c r="BP42">
        <f>SUMIFS(T_Shipments[Confirmed_Qty],T_Shipments[Part Name],$A42,T_Shipments[Effective_Week],67)</f>
        <v/>
      </c>
      <c r="BQ42">
        <f>SUMIFS(T_Shipments[Confirmed_Qty],T_Shipments[Part Name],$A42,T_Shipments[Effective_Week],68)</f>
        <v/>
      </c>
      <c r="BR42">
        <f>SUMIFS(T_Shipments[Confirmed_Qty],T_Shipments[Part Name],$A42,T_Shipments[Effective_Week],69)</f>
        <v/>
      </c>
      <c r="BS42">
        <f>SUMIFS(T_Shipments[Confirmed_Qty],T_Shipments[Part Name],$A42,T_Shipments[Effective_Week],70)</f>
        <v/>
      </c>
      <c r="BT42">
        <f>SUMIFS(T_Shipments[Confirmed_Qty],T_Shipments[Part Name],$A42,T_Shipments[Effective_Week],71)</f>
        <v/>
      </c>
      <c r="BU42">
        <f>SUMIFS(T_Shipments[Confirmed_Qty],T_Shipments[Part Name],$A42,T_Shipments[Effective_Week],72)</f>
        <v/>
      </c>
      <c r="BV42">
        <f>SUMIFS(T_Shipments[Confirmed_Qty],T_Shipments[Part Name],$A42,T_Shipments[Effective_Week],73)</f>
        <v/>
      </c>
      <c r="BW42">
        <f>SUMIFS(T_Shipments[Confirmed_Qty],T_Shipments[Part Name],$A42,T_Shipments[Effective_Week],74)</f>
        <v/>
      </c>
      <c r="BX42">
        <f>SUMIFS(T_Shipments[Confirmed_Qty],T_Shipments[Part Name],$A42,T_Shipments[Effective_Week],75)</f>
        <v/>
      </c>
      <c r="BY42">
        <f>SUMIFS(T_Shipments[Confirmed_Qty],T_Shipments[Part Name],$A42,T_Shipments[Effective_Week],76)</f>
        <v/>
      </c>
      <c r="BZ42">
        <f>SUMIFS(T_Shipments[Confirmed_Qty],T_Shipments[Part Name],$A42,T_Shipments[Effective_Week],77)</f>
        <v/>
      </c>
      <c r="CA42">
        <f>SUMIFS(T_Shipments[Confirmed_Qty],T_Shipments[Part Name],$A42,T_Shipments[Effective_Week],78)</f>
        <v/>
      </c>
      <c r="CB42">
        <f>SUMIFS(T_Shipments[Confirmed_Qty],T_Shipments[Part Name],$A42,T_Shipments[Effective_Week],79)</f>
        <v/>
      </c>
      <c r="CC42">
        <f>SUMIFS(T_Shipments[Confirmed_Qty],T_Shipments[Part Name],$A42,T_Shipments[Effective_Week],80)</f>
        <v/>
      </c>
      <c r="CD42">
        <f>SUMIFS(T_Shipments[Confirmed_Qty],T_Shipments[Part Name],$A42,T_Shipments[Effective_Week],81)</f>
        <v/>
      </c>
      <c r="CE42">
        <f>SUMIFS(T_Shipments[Confirmed_Qty],T_Shipments[Part Name],$A42,T_Shipments[Effective_Week],82)</f>
        <v/>
      </c>
      <c r="CF42">
        <f>SUMIFS(T_Shipments[Confirmed_Qty],T_Shipments[Part Name],$A42,T_Shipments[Effective_Week],83)</f>
        <v/>
      </c>
      <c r="CG42">
        <f>SUMIFS(T_Shipments[Confirmed_Qty],T_Shipments[Part Name],$A42,T_Shipments[Effective_Week],84)</f>
        <v/>
      </c>
      <c r="CH42">
        <f>SUMIFS(T_Shipments[Confirmed_Qty],T_Shipments[Part Name],$A42,T_Shipments[Effective_Week],85)</f>
        <v/>
      </c>
      <c r="CI42">
        <f>SUMIFS(T_Shipments[Confirmed_Qty],T_Shipments[Part Name],$A42,T_Shipments[Effective_Week],86)</f>
        <v/>
      </c>
      <c r="CJ42">
        <f>SUMIFS(T_Shipments[Confirmed_Qty],T_Shipments[Part Name],$A42,T_Shipments[Effective_Week],87)</f>
        <v/>
      </c>
      <c r="CK42">
        <f>SUMIFS(T_Shipments[Confirmed_Qty],T_Shipments[Part Name],$A42,T_Shipments[Effective_Week],88)</f>
        <v/>
      </c>
      <c r="CL42">
        <f>SUMIFS(T_Shipments[Confirmed_Qty],T_Shipments[Part Name],$A42,T_Shipments[Effective_Week],89)</f>
        <v/>
      </c>
      <c r="CM42">
        <f>SUMIFS(T_Shipments[Confirmed_Qty],T_Shipments[Part Name],$A42,T_Shipments[Effective_Week],90)</f>
        <v/>
      </c>
      <c r="CN42">
        <f>SUMIFS(T_Shipments[Confirmed_Qty],T_Shipments[Part Name],$A42,T_Shipments[Effective_Week],91)</f>
        <v/>
      </c>
      <c r="CO42">
        <f>SUMIFS(T_Shipments[Confirmed_Qty],T_Shipments[Part Name],$A42,T_Shipments[Effective_Week],92)</f>
        <v/>
      </c>
      <c r="CP42">
        <f>SUMIFS(T_Shipments[Confirmed_Qty],T_Shipments[Part Name],$A42,T_Shipments[Effective_Week],93)</f>
        <v/>
      </c>
      <c r="CQ42">
        <f>SUMIFS(T_Shipments[Confirmed_Qty],T_Shipments[Part Name],$A42,T_Shipments[Effective_Week],94)</f>
        <v/>
      </c>
      <c r="CR42">
        <f>SUMIFS(T_Shipments[Confirmed_Qty],T_Shipments[Part Name],$A42,T_Shipments[Effective_Week],95)</f>
        <v/>
      </c>
      <c r="CS42">
        <f>SUMIFS(T_Shipments[Confirmed_Qty],T_Shipments[Part Name],$A42,T_Shipments[Effective_Week],96)</f>
        <v/>
      </c>
      <c r="CT42">
        <f>SUMIFS(T_Shipments[Confirmed_Qty],T_Shipments[Part Name],$A42,T_Shipments[Effective_Week],97)</f>
        <v/>
      </c>
      <c r="CU42">
        <f>SUMIFS(T_Shipments[Confirmed_Qty],T_Shipments[Part Name],$A42,T_Shipments[Effective_Week],98)</f>
        <v/>
      </c>
      <c r="CV42">
        <f>SUMIFS(T_Shipments[Confirmed_Qty],T_Shipments[Part Name],$A42,T_Shipments[Effective_Week],99)</f>
        <v/>
      </c>
      <c r="CW42">
        <f>SUMIFS(T_Shipments[Confirmed_Qty],T_Shipments[Part Name],$A42,T_Shipments[Effective_Week],100)</f>
        <v/>
      </c>
      <c r="CX42">
        <f>SUMIFS(T_Shipments[Confirmed_Qty],T_Shipments[Part Name],$A42,T_Shipments[Effective_Week],101)</f>
        <v/>
      </c>
      <c r="CY42">
        <f>SUMIFS(T_Shipments[Confirmed_Qty],T_Shipments[Part Name],$A42,T_Shipments[Effective_Week],102)</f>
        <v/>
      </c>
      <c r="CZ42">
        <f>SUMIFS(T_Shipments[Confirmed_Qty],T_Shipments[Part Name],$A42,T_Shipments[Effective_Week],103)</f>
        <v/>
      </c>
      <c r="DA42">
        <f>SUMIFS(T_Shipments[Confirmed_Qty],T_Shipments[Part Name],$A42,T_Shipments[Effective_Week],104)</f>
        <v/>
      </c>
    </row>
    <row r="43">
      <c r="A43" t="inlineStr">
        <is>
          <t>V19</t>
        </is>
      </c>
      <c r="B43">
        <f>SUMIFS(T_Shipments[Confirmed_Qty],T_Shipments[Part Name],$A43,T_Shipments[Effective_Week],1)</f>
        <v/>
      </c>
      <c r="C43">
        <f>SUMIFS(T_Shipments[Confirmed_Qty],T_Shipments[Part Name],$A43,T_Shipments[Effective_Week],2)</f>
        <v/>
      </c>
      <c r="D43">
        <f>SUMIFS(T_Shipments[Confirmed_Qty],T_Shipments[Part Name],$A43,T_Shipments[Effective_Week],3)</f>
        <v/>
      </c>
      <c r="E43">
        <f>SUMIFS(T_Shipments[Confirmed_Qty],T_Shipments[Part Name],$A43,T_Shipments[Effective_Week],4)</f>
        <v/>
      </c>
      <c r="F43">
        <f>SUMIFS(T_Shipments[Confirmed_Qty],T_Shipments[Part Name],$A43,T_Shipments[Effective_Week],5)</f>
        <v/>
      </c>
      <c r="G43">
        <f>SUMIFS(T_Shipments[Confirmed_Qty],T_Shipments[Part Name],$A43,T_Shipments[Effective_Week],6)</f>
        <v/>
      </c>
      <c r="H43">
        <f>SUMIFS(T_Shipments[Confirmed_Qty],T_Shipments[Part Name],$A43,T_Shipments[Effective_Week],7)</f>
        <v/>
      </c>
      <c r="I43">
        <f>SUMIFS(T_Shipments[Confirmed_Qty],T_Shipments[Part Name],$A43,T_Shipments[Effective_Week],8)</f>
        <v/>
      </c>
      <c r="J43">
        <f>SUMIFS(T_Shipments[Confirmed_Qty],T_Shipments[Part Name],$A43,T_Shipments[Effective_Week],9)</f>
        <v/>
      </c>
      <c r="K43">
        <f>SUMIFS(T_Shipments[Confirmed_Qty],T_Shipments[Part Name],$A43,T_Shipments[Effective_Week],10)</f>
        <v/>
      </c>
      <c r="L43">
        <f>SUMIFS(T_Shipments[Confirmed_Qty],T_Shipments[Part Name],$A43,T_Shipments[Effective_Week],11)</f>
        <v/>
      </c>
      <c r="M43">
        <f>SUMIFS(T_Shipments[Confirmed_Qty],T_Shipments[Part Name],$A43,T_Shipments[Effective_Week],12)</f>
        <v/>
      </c>
      <c r="N43">
        <f>SUMIFS(T_Shipments[Confirmed_Qty],T_Shipments[Part Name],$A43,T_Shipments[Effective_Week],13)</f>
        <v/>
      </c>
      <c r="O43">
        <f>SUMIFS(T_Shipments[Confirmed_Qty],T_Shipments[Part Name],$A43,T_Shipments[Effective_Week],14)</f>
        <v/>
      </c>
      <c r="P43">
        <f>SUMIFS(T_Shipments[Confirmed_Qty],T_Shipments[Part Name],$A43,T_Shipments[Effective_Week],15)</f>
        <v/>
      </c>
      <c r="Q43">
        <f>SUMIFS(T_Shipments[Confirmed_Qty],T_Shipments[Part Name],$A43,T_Shipments[Effective_Week],16)</f>
        <v/>
      </c>
      <c r="R43">
        <f>SUMIFS(T_Shipments[Confirmed_Qty],T_Shipments[Part Name],$A43,T_Shipments[Effective_Week],17)</f>
        <v/>
      </c>
      <c r="S43">
        <f>SUMIFS(T_Shipments[Confirmed_Qty],T_Shipments[Part Name],$A43,T_Shipments[Effective_Week],18)</f>
        <v/>
      </c>
      <c r="T43">
        <f>SUMIFS(T_Shipments[Confirmed_Qty],T_Shipments[Part Name],$A43,T_Shipments[Effective_Week],19)</f>
        <v/>
      </c>
      <c r="U43">
        <f>SUMIFS(T_Shipments[Confirmed_Qty],T_Shipments[Part Name],$A43,T_Shipments[Effective_Week],20)</f>
        <v/>
      </c>
      <c r="V43">
        <f>SUMIFS(T_Shipments[Confirmed_Qty],T_Shipments[Part Name],$A43,T_Shipments[Effective_Week],21)</f>
        <v/>
      </c>
      <c r="W43">
        <f>SUMIFS(T_Shipments[Confirmed_Qty],T_Shipments[Part Name],$A43,T_Shipments[Effective_Week],22)</f>
        <v/>
      </c>
      <c r="X43">
        <f>SUMIFS(T_Shipments[Confirmed_Qty],T_Shipments[Part Name],$A43,T_Shipments[Effective_Week],23)</f>
        <v/>
      </c>
      <c r="Y43">
        <f>SUMIFS(T_Shipments[Confirmed_Qty],T_Shipments[Part Name],$A43,T_Shipments[Effective_Week],24)</f>
        <v/>
      </c>
      <c r="Z43">
        <f>SUMIFS(T_Shipments[Confirmed_Qty],T_Shipments[Part Name],$A43,T_Shipments[Effective_Week],25)</f>
        <v/>
      </c>
      <c r="AA43">
        <f>SUMIFS(T_Shipments[Confirmed_Qty],T_Shipments[Part Name],$A43,T_Shipments[Effective_Week],26)</f>
        <v/>
      </c>
      <c r="AB43">
        <f>SUMIFS(T_Shipments[Confirmed_Qty],T_Shipments[Part Name],$A43,T_Shipments[Effective_Week],27)</f>
        <v/>
      </c>
      <c r="AC43">
        <f>SUMIFS(T_Shipments[Confirmed_Qty],T_Shipments[Part Name],$A43,T_Shipments[Effective_Week],28)</f>
        <v/>
      </c>
      <c r="AD43">
        <f>SUMIFS(T_Shipments[Confirmed_Qty],T_Shipments[Part Name],$A43,T_Shipments[Effective_Week],29)</f>
        <v/>
      </c>
      <c r="AE43">
        <f>SUMIFS(T_Shipments[Confirmed_Qty],T_Shipments[Part Name],$A43,T_Shipments[Effective_Week],30)</f>
        <v/>
      </c>
      <c r="AF43">
        <f>SUMIFS(T_Shipments[Confirmed_Qty],T_Shipments[Part Name],$A43,T_Shipments[Effective_Week],31)</f>
        <v/>
      </c>
      <c r="AG43">
        <f>SUMIFS(T_Shipments[Confirmed_Qty],T_Shipments[Part Name],$A43,T_Shipments[Effective_Week],32)</f>
        <v/>
      </c>
      <c r="AH43">
        <f>SUMIFS(T_Shipments[Confirmed_Qty],T_Shipments[Part Name],$A43,T_Shipments[Effective_Week],33)</f>
        <v/>
      </c>
      <c r="AI43">
        <f>SUMIFS(T_Shipments[Confirmed_Qty],T_Shipments[Part Name],$A43,T_Shipments[Effective_Week],34)</f>
        <v/>
      </c>
      <c r="AJ43">
        <f>SUMIFS(T_Shipments[Confirmed_Qty],T_Shipments[Part Name],$A43,T_Shipments[Effective_Week],35)</f>
        <v/>
      </c>
      <c r="AK43">
        <f>SUMIFS(T_Shipments[Confirmed_Qty],T_Shipments[Part Name],$A43,T_Shipments[Effective_Week],36)</f>
        <v/>
      </c>
      <c r="AL43">
        <f>SUMIFS(T_Shipments[Confirmed_Qty],T_Shipments[Part Name],$A43,T_Shipments[Effective_Week],37)</f>
        <v/>
      </c>
      <c r="AM43">
        <f>SUMIFS(T_Shipments[Confirmed_Qty],T_Shipments[Part Name],$A43,T_Shipments[Effective_Week],38)</f>
        <v/>
      </c>
      <c r="AN43">
        <f>SUMIFS(T_Shipments[Confirmed_Qty],T_Shipments[Part Name],$A43,T_Shipments[Effective_Week],39)</f>
        <v/>
      </c>
      <c r="AO43">
        <f>SUMIFS(T_Shipments[Confirmed_Qty],T_Shipments[Part Name],$A43,T_Shipments[Effective_Week],40)</f>
        <v/>
      </c>
      <c r="AP43">
        <f>SUMIFS(T_Shipments[Confirmed_Qty],T_Shipments[Part Name],$A43,T_Shipments[Effective_Week],41)</f>
        <v/>
      </c>
      <c r="AQ43">
        <f>SUMIFS(T_Shipments[Confirmed_Qty],T_Shipments[Part Name],$A43,T_Shipments[Effective_Week],42)</f>
        <v/>
      </c>
      <c r="AR43">
        <f>SUMIFS(T_Shipments[Confirmed_Qty],T_Shipments[Part Name],$A43,T_Shipments[Effective_Week],43)</f>
        <v/>
      </c>
      <c r="AS43">
        <f>SUMIFS(T_Shipments[Confirmed_Qty],T_Shipments[Part Name],$A43,T_Shipments[Effective_Week],44)</f>
        <v/>
      </c>
      <c r="AT43">
        <f>SUMIFS(T_Shipments[Confirmed_Qty],T_Shipments[Part Name],$A43,T_Shipments[Effective_Week],45)</f>
        <v/>
      </c>
      <c r="AU43">
        <f>SUMIFS(T_Shipments[Confirmed_Qty],T_Shipments[Part Name],$A43,T_Shipments[Effective_Week],46)</f>
        <v/>
      </c>
      <c r="AV43">
        <f>SUMIFS(T_Shipments[Confirmed_Qty],T_Shipments[Part Name],$A43,T_Shipments[Effective_Week],47)</f>
        <v/>
      </c>
      <c r="AW43">
        <f>SUMIFS(T_Shipments[Confirmed_Qty],T_Shipments[Part Name],$A43,T_Shipments[Effective_Week],48)</f>
        <v/>
      </c>
      <c r="AX43">
        <f>SUMIFS(T_Shipments[Confirmed_Qty],T_Shipments[Part Name],$A43,T_Shipments[Effective_Week],49)</f>
        <v/>
      </c>
      <c r="AY43">
        <f>SUMIFS(T_Shipments[Confirmed_Qty],T_Shipments[Part Name],$A43,T_Shipments[Effective_Week],50)</f>
        <v/>
      </c>
      <c r="AZ43">
        <f>SUMIFS(T_Shipments[Confirmed_Qty],T_Shipments[Part Name],$A43,T_Shipments[Effective_Week],51)</f>
        <v/>
      </c>
      <c r="BA43">
        <f>SUMIFS(T_Shipments[Confirmed_Qty],T_Shipments[Part Name],$A43,T_Shipments[Effective_Week],52)</f>
        <v/>
      </c>
      <c r="BB43">
        <f>SUMIFS(T_Shipments[Confirmed_Qty],T_Shipments[Part Name],$A43,T_Shipments[Effective_Week],53)</f>
        <v/>
      </c>
      <c r="BC43">
        <f>SUMIFS(T_Shipments[Confirmed_Qty],T_Shipments[Part Name],$A43,T_Shipments[Effective_Week],54)</f>
        <v/>
      </c>
      <c r="BD43">
        <f>SUMIFS(T_Shipments[Confirmed_Qty],T_Shipments[Part Name],$A43,T_Shipments[Effective_Week],55)</f>
        <v/>
      </c>
      <c r="BE43">
        <f>SUMIFS(T_Shipments[Confirmed_Qty],T_Shipments[Part Name],$A43,T_Shipments[Effective_Week],56)</f>
        <v/>
      </c>
      <c r="BF43">
        <f>SUMIFS(T_Shipments[Confirmed_Qty],T_Shipments[Part Name],$A43,T_Shipments[Effective_Week],57)</f>
        <v/>
      </c>
      <c r="BG43">
        <f>SUMIFS(T_Shipments[Confirmed_Qty],T_Shipments[Part Name],$A43,T_Shipments[Effective_Week],58)</f>
        <v/>
      </c>
      <c r="BH43">
        <f>SUMIFS(T_Shipments[Confirmed_Qty],T_Shipments[Part Name],$A43,T_Shipments[Effective_Week],59)</f>
        <v/>
      </c>
      <c r="BI43">
        <f>SUMIFS(T_Shipments[Confirmed_Qty],T_Shipments[Part Name],$A43,T_Shipments[Effective_Week],60)</f>
        <v/>
      </c>
      <c r="BJ43">
        <f>SUMIFS(T_Shipments[Confirmed_Qty],T_Shipments[Part Name],$A43,T_Shipments[Effective_Week],61)</f>
        <v/>
      </c>
      <c r="BK43">
        <f>SUMIFS(T_Shipments[Confirmed_Qty],T_Shipments[Part Name],$A43,T_Shipments[Effective_Week],62)</f>
        <v/>
      </c>
      <c r="BL43">
        <f>SUMIFS(T_Shipments[Confirmed_Qty],T_Shipments[Part Name],$A43,T_Shipments[Effective_Week],63)</f>
        <v/>
      </c>
      <c r="BM43">
        <f>SUMIFS(T_Shipments[Confirmed_Qty],T_Shipments[Part Name],$A43,T_Shipments[Effective_Week],64)</f>
        <v/>
      </c>
      <c r="BN43">
        <f>SUMIFS(T_Shipments[Confirmed_Qty],T_Shipments[Part Name],$A43,T_Shipments[Effective_Week],65)</f>
        <v/>
      </c>
      <c r="BO43">
        <f>SUMIFS(T_Shipments[Confirmed_Qty],T_Shipments[Part Name],$A43,T_Shipments[Effective_Week],66)</f>
        <v/>
      </c>
      <c r="BP43">
        <f>SUMIFS(T_Shipments[Confirmed_Qty],T_Shipments[Part Name],$A43,T_Shipments[Effective_Week],67)</f>
        <v/>
      </c>
      <c r="BQ43">
        <f>SUMIFS(T_Shipments[Confirmed_Qty],T_Shipments[Part Name],$A43,T_Shipments[Effective_Week],68)</f>
        <v/>
      </c>
      <c r="BR43">
        <f>SUMIFS(T_Shipments[Confirmed_Qty],T_Shipments[Part Name],$A43,T_Shipments[Effective_Week],69)</f>
        <v/>
      </c>
      <c r="BS43">
        <f>SUMIFS(T_Shipments[Confirmed_Qty],T_Shipments[Part Name],$A43,T_Shipments[Effective_Week],70)</f>
        <v/>
      </c>
      <c r="BT43">
        <f>SUMIFS(T_Shipments[Confirmed_Qty],T_Shipments[Part Name],$A43,T_Shipments[Effective_Week],71)</f>
        <v/>
      </c>
      <c r="BU43">
        <f>SUMIFS(T_Shipments[Confirmed_Qty],T_Shipments[Part Name],$A43,T_Shipments[Effective_Week],72)</f>
        <v/>
      </c>
      <c r="BV43">
        <f>SUMIFS(T_Shipments[Confirmed_Qty],T_Shipments[Part Name],$A43,T_Shipments[Effective_Week],73)</f>
        <v/>
      </c>
      <c r="BW43">
        <f>SUMIFS(T_Shipments[Confirmed_Qty],T_Shipments[Part Name],$A43,T_Shipments[Effective_Week],74)</f>
        <v/>
      </c>
      <c r="BX43">
        <f>SUMIFS(T_Shipments[Confirmed_Qty],T_Shipments[Part Name],$A43,T_Shipments[Effective_Week],75)</f>
        <v/>
      </c>
      <c r="BY43">
        <f>SUMIFS(T_Shipments[Confirmed_Qty],T_Shipments[Part Name],$A43,T_Shipments[Effective_Week],76)</f>
        <v/>
      </c>
      <c r="BZ43">
        <f>SUMIFS(T_Shipments[Confirmed_Qty],T_Shipments[Part Name],$A43,T_Shipments[Effective_Week],77)</f>
        <v/>
      </c>
      <c r="CA43">
        <f>SUMIFS(T_Shipments[Confirmed_Qty],T_Shipments[Part Name],$A43,T_Shipments[Effective_Week],78)</f>
        <v/>
      </c>
      <c r="CB43">
        <f>SUMIFS(T_Shipments[Confirmed_Qty],T_Shipments[Part Name],$A43,T_Shipments[Effective_Week],79)</f>
        <v/>
      </c>
      <c r="CC43">
        <f>SUMIFS(T_Shipments[Confirmed_Qty],T_Shipments[Part Name],$A43,T_Shipments[Effective_Week],80)</f>
        <v/>
      </c>
      <c r="CD43">
        <f>SUMIFS(T_Shipments[Confirmed_Qty],T_Shipments[Part Name],$A43,T_Shipments[Effective_Week],81)</f>
        <v/>
      </c>
      <c r="CE43">
        <f>SUMIFS(T_Shipments[Confirmed_Qty],T_Shipments[Part Name],$A43,T_Shipments[Effective_Week],82)</f>
        <v/>
      </c>
      <c r="CF43">
        <f>SUMIFS(T_Shipments[Confirmed_Qty],T_Shipments[Part Name],$A43,T_Shipments[Effective_Week],83)</f>
        <v/>
      </c>
      <c r="CG43">
        <f>SUMIFS(T_Shipments[Confirmed_Qty],T_Shipments[Part Name],$A43,T_Shipments[Effective_Week],84)</f>
        <v/>
      </c>
      <c r="CH43">
        <f>SUMIFS(T_Shipments[Confirmed_Qty],T_Shipments[Part Name],$A43,T_Shipments[Effective_Week],85)</f>
        <v/>
      </c>
      <c r="CI43">
        <f>SUMIFS(T_Shipments[Confirmed_Qty],T_Shipments[Part Name],$A43,T_Shipments[Effective_Week],86)</f>
        <v/>
      </c>
      <c r="CJ43">
        <f>SUMIFS(T_Shipments[Confirmed_Qty],T_Shipments[Part Name],$A43,T_Shipments[Effective_Week],87)</f>
        <v/>
      </c>
      <c r="CK43">
        <f>SUMIFS(T_Shipments[Confirmed_Qty],T_Shipments[Part Name],$A43,T_Shipments[Effective_Week],88)</f>
        <v/>
      </c>
      <c r="CL43">
        <f>SUMIFS(T_Shipments[Confirmed_Qty],T_Shipments[Part Name],$A43,T_Shipments[Effective_Week],89)</f>
        <v/>
      </c>
      <c r="CM43">
        <f>SUMIFS(T_Shipments[Confirmed_Qty],T_Shipments[Part Name],$A43,T_Shipments[Effective_Week],90)</f>
        <v/>
      </c>
      <c r="CN43">
        <f>SUMIFS(T_Shipments[Confirmed_Qty],T_Shipments[Part Name],$A43,T_Shipments[Effective_Week],91)</f>
        <v/>
      </c>
      <c r="CO43">
        <f>SUMIFS(T_Shipments[Confirmed_Qty],T_Shipments[Part Name],$A43,T_Shipments[Effective_Week],92)</f>
        <v/>
      </c>
      <c r="CP43">
        <f>SUMIFS(T_Shipments[Confirmed_Qty],T_Shipments[Part Name],$A43,T_Shipments[Effective_Week],93)</f>
        <v/>
      </c>
      <c r="CQ43">
        <f>SUMIFS(T_Shipments[Confirmed_Qty],T_Shipments[Part Name],$A43,T_Shipments[Effective_Week],94)</f>
        <v/>
      </c>
      <c r="CR43">
        <f>SUMIFS(T_Shipments[Confirmed_Qty],T_Shipments[Part Name],$A43,T_Shipments[Effective_Week],95)</f>
        <v/>
      </c>
      <c r="CS43">
        <f>SUMIFS(T_Shipments[Confirmed_Qty],T_Shipments[Part Name],$A43,T_Shipments[Effective_Week],96)</f>
        <v/>
      </c>
      <c r="CT43">
        <f>SUMIFS(T_Shipments[Confirmed_Qty],T_Shipments[Part Name],$A43,T_Shipments[Effective_Week],97)</f>
        <v/>
      </c>
      <c r="CU43">
        <f>SUMIFS(T_Shipments[Confirmed_Qty],T_Shipments[Part Name],$A43,T_Shipments[Effective_Week],98)</f>
        <v/>
      </c>
      <c r="CV43">
        <f>SUMIFS(T_Shipments[Confirmed_Qty],T_Shipments[Part Name],$A43,T_Shipments[Effective_Week],99)</f>
        <v/>
      </c>
      <c r="CW43">
        <f>SUMIFS(T_Shipments[Confirmed_Qty],T_Shipments[Part Name],$A43,T_Shipments[Effective_Week],100)</f>
        <v/>
      </c>
      <c r="CX43">
        <f>SUMIFS(T_Shipments[Confirmed_Qty],T_Shipments[Part Name],$A43,T_Shipments[Effective_Week],101)</f>
        <v/>
      </c>
      <c r="CY43">
        <f>SUMIFS(T_Shipments[Confirmed_Qty],T_Shipments[Part Name],$A43,T_Shipments[Effective_Week],102)</f>
        <v/>
      </c>
      <c r="CZ43">
        <f>SUMIFS(T_Shipments[Confirmed_Qty],T_Shipments[Part Name],$A43,T_Shipments[Effective_Week],103)</f>
        <v/>
      </c>
      <c r="DA43">
        <f>SUMIFS(T_Shipments[Confirmed_Qty],T_Shipments[Part Name],$A43,T_Shipments[Effective_Week],104)</f>
        <v/>
      </c>
    </row>
    <row r="44">
      <c r="A44" t="inlineStr">
        <is>
          <t>3TP</t>
        </is>
      </c>
      <c r="B44">
        <f>SUMIFS(T_Shipments[Confirmed_Qty],T_Shipments[Part Name],$A44,T_Shipments[Effective_Week],1)</f>
        <v/>
      </c>
      <c r="C44">
        <f>SUMIFS(T_Shipments[Confirmed_Qty],T_Shipments[Part Name],$A44,T_Shipments[Effective_Week],2)</f>
        <v/>
      </c>
      <c r="D44">
        <f>SUMIFS(T_Shipments[Confirmed_Qty],T_Shipments[Part Name],$A44,T_Shipments[Effective_Week],3)</f>
        <v/>
      </c>
      <c r="E44">
        <f>SUMIFS(T_Shipments[Confirmed_Qty],T_Shipments[Part Name],$A44,T_Shipments[Effective_Week],4)</f>
        <v/>
      </c>
      <c r="F44">
        <f>SUMIFS(T_Shipments[Confirmed_Qty],T_Shipments[Part Name],$A44,T_Shipments[Effective_Week],5)</f>
        <v/>
      </c>
      <c r="G44">
        <f>SUMIFS(T_Shipments[Confirmed_Qty],T_Shipments[Part Name],$A44,T_Shipments[Effective_Week],6)</f>
        <v/>
      </c>
      <c r="H44">
        <f>SUMIFS(T_Shipments[Confirmed_Qty],T_Shipments[Part Name],$A44,T_Shipments[Effective_Week],7)</f>
        <v/>
      </c>
      <c r="I44">
        <f>SUMIFS(T_Shipments[Confirmed_Qty],T_Shipments[Part Name],$A44,T_Shipments[Effective_Week],8)</f>
        <v/>
      </c>
      <c r="J44">
        <f>SUMIFS(T_Shipments[Confirmed_Qty],T_Shipments[Part Name],$A44,T_Shipments[Effective_Week],9)</f>
        <v/>
      </c>
      <c r="K44">
        <f>SUMIFS(T_Shipments[Confirmed_Qty],T_Shipments[Part Name],$A44,T_Shipments[Effective_Week],10)</f>
        <v/>
      </c>
      <c r="L44">
        <f>SUMIFS(T_Shipments[Confirmed_Qty],T_Shipments[Part Name],$A44,T_Shipments[Effective_Week],11)</f>
        <v/>
      </c>
      <c r="M44">
        <f>SUMIFS(T_Shipments[Confirmed_Qty],T_Shipments[Part Name],$A44,T_Shipments[Effective_Week],12)</f>
        <v/>
      </c>
      <c r="N44">
        <f>SUMIFS(T_Shipments[Confirmed_Qty],T_Shipments[Part Name],$A44,T_Shipments[Effective_Week],13)</f>
        <v/>
      </c>
      <c r="O44">
        <f>SUMIFS(T_Shipments[Confirmed_Qty],T_Shipments[Part Name],$A44,T_Shipments[Effective_Week],14)</f>
        <v/>
      </c>
      <c r="P44">
        <f>SUMIFS(T_Shipments[Confirmed_Qty],T_Shipments[Part Name],$A44,T_Shipments[Effective_Week],15)</f>
        <v/>
      </c>
      <c r="Q44">
        <f>SUMIFS(T_Shipments[Confirmed_Qty],T_Shipments[Part Name],$A44,T_Shipments[Effective_Week],16)</f>
        <v/>
      </c>
      <c r="R44">
        <f>SUMIFS(T_Shipments[Confirmed_Qty],T_Shipments[Part Name],$A44,T_Shipments[Effective_Week],17)</f>
        <v/>
      </c>
      <c r="S44">
        <f>SUMIFS(T_Shipments[Confirmed_Qty],T_Shipments[Part Name],$A44,T_Shipments[Effective_Week],18)</f>
        <v/>
      </c>
      <c r="T44">
        <f>SUMIFS(T_Shipments[Confirmed_Qty],T_Shipments[Part Name],$A44,T_Shipments[Effective_Week],19)</f>
        <v/>
      </c>
      <c r="U44">
        <f>SUMIFS(T_Shipments[Confirmed_Qty],T_Shipments[Part Name],$A44,T_Shipments[Effective_Week],20)</f>
        <v/>
      </c>
      <c r="V44">
        <f>SUMIFS(T_Shipments[Confirmed_Qty],T_Shipments[Part Name],$A44,T_Shipments[Effective_Week],21)</f>
        <v/>
      </c>
      <c r="W44">
        <f>SUMIFS(T_Shipments[Confirmed_Qty],T_Shipments[Part Name],$A44,T_Shipments[Effective_Week],22)</f>
        <v/>
      </c>
      <c r="X44">
        <f>SUMIFS(T_Shipments[Confirmed_Qty],T_Shipments[Part Name],$A44,T_Shipments[Effective_Week],23)</f>
        <v/>
      </c>
      <c r="Y44">
        <f>SUMIFS(T_Shipments[Confirmed_Qty],T_Shipments[Part Name],$A44,T_Shipments[Effective_Week],24)</f>
        <v/>
      </c>
      <c r="Z44">
        <f>SUMIFS(T_Shipments[Confirmed_Qty],T_Shipments[Part Name],$A44,T_Shipments[Effective_Week],25)</f>
        <v/>
      </c>
      <c r="AA44">
        <f>SUMIFS(T_Shipments[Confirmed_Qty],T_Shipments[Part Name],$A44,T_Shipments[Effective_Week],26)</f>
        <v/>
      </c>
      <c r="AB44">
        <f>SUMIFS(T_Shipments[Confirmed_Qty],T_Shipments[Part Name],$A44,T_Shipments[Effective_Week],27)</f>
        <v/>
      </c>
      <c r="AC44">
        <f>SUMIFS(T_Shipments[Confirmed_Qty],T_Shipments[Part Name],$A44,T_Shipments[Effective_Week],28)</f>
        <v/>
      </c>
      <c r="AD44">
        <f>SUMIFS(T_Shipments[Confirmed_Qty],T_Shipments[Part Name],$A44,T_Shipments[Effective_Week],29)</f>
        <v/>
      </c>
      <c r="AE44">
        <f>SUMIFS(T_Shipments[Confirmed_Qty],T_Shipments[Part Name],$A44,T_Shipments[Effective_Week],30)</f>
        <v/>
      </c>
      <c r="AF44">
        <f>SUMIFS(T_Shipments[Confirmed_Qty],T_Shipments[Part Name],$A44,T_Shipments[Effective_Week],31)</f>
        <v/>
      </c>
      <c r="AG44">
        <f>SUMIFS(T_Shipments[Confirmed_Qty],T_Shipments[Part Name],$A44,T_Shipments[Effective_Week],32)</f>
        <v/>
      </c>
      <c r="AH44">
        <f>SUMIFS(T_Shipments[Confirmed_Qty],T_Shipments[Part Name],$A44,T_Shipments[Effective_Week],33)</f>
        <v/>
      </c>
      <c r="AI44">
        <f>SUMIFS(T_Shipments[Confirmed_Qty],T_Shipments[Part Name],$A44,T_Shipments[Effective_Week],34)</f>
        <v/>
      </c>
      <c r="AJ44">
        <f>SUMIFS(T_Shipments[Confirmed_Qty],T_Shipments[Part Name],$A44,T_Shipments[Effective_Week],35)</f>
        <v/>
      </c>
      <c r="AK44">
        <f>SUMIFS(T_Shipments[Confirmed_Qty],T_Shipments[Part Name],$A44,T_Shipments[Effective_Week],36)</f>
        <v/>
      </c>
      <c r="AL44">
        <f>SUMIFS(T_Shipments[Confirmed_Qty],T_Shipments[Part Name],$A44,T_Shipments[Effective_Week],37)</f>
        <v/>
      </c>
      <c r="AM44">
        <f>SUMIFS(T_Shipments[Confirmed_Qty],T_Shipments[Part Name],$A44,T_Shipments[Effective_Week],38)</f>
        <v/>
      </c>
      <c r="AN44">
        <f>SUMIFS(T_Shipments[Confirmed_Qty],T_Shipments[Part Name],$A44,T_Shipments[Effective_Week],39)</f>
        <v/>
      </c>
      <c r="AO44">
        <f>SUMIFS(T_Shipments[Confirmed_Qty],T_Shipments[Part Name],$A44,T_Shipments[Effective_Week],40)</f>
        <v/>
      </c>
      <c r="AP44">
        <f>SUMIFS(T_Shipments[Confirmed_Qty],T_Shipments[Part Name],$A44,T_Shipments[Effective_Week],41)</f>
        <v/>
      </c>
      <c r="AQ44">
        <f>SUMIFS(T_Shipments[Confirmed_Qty],T_Shipments[Part Name],$A44,T_Shipments[Effective_Week],42)</f>
        <v/>
      </c>
      <c r="AR44">
        <f>SUMIFS(T_Shipments[Confirmed_Qty],T_Shipments[Part Name],$A44,T_Shipments[Effective_Week],43)</f>
        <v/>
      </c>
      <c r="AS44">
        <f>SUMIFS(T_Shipments[Confirmed_Qty],T_Shipments[Part Name],$A44,T_Shipments[Effective_Week],44)</f>
        <v/>
      </c>
      <c r="AT44">
        <f>SUMIFS(T_Shipments[Confirmed_Qty],T_Shipments[Part Name],$A44,T_Shipments[Effective_Week],45)</f>
        <v/>
      </c>
      <c r="AU44">
        <f>SUMIFS(T_Shipments[Confirmed_Qty],T_Shipments[Part Name],$A44,T_Shipments[Effective_Week],46)</f>
        <v/>
      </c>
      <c r="AV44">
        <f>SUMIFS(T_Shipments[Confirmed_Qty],T_Shipments[Part Name],$A44,T_Shipments[Effective_Week],47)</f>
        <v/>
      </c>
      <c r="AW44">
        <f>SUMIFS(T_Shipments[Confirmed_Qty],T_Shipments[Part Name],$A44,T_Shipments[Effective_Week],48)</f>
        <v/>
      </c>
      <c r="AX44">
        <f>SUMIFS(T_Shipments[Confirmed_Qty],T_Shipments[Part Name],$A44,T_Shipments[Effective_Week],49)</f>
        <v/>
      </c>
      <c r="AY44">
        <f>SUMIFS(T_Shipments[Confirmed_Qty],T_Shipments[Part Name],$A44,T_Shipments[Effective_Week],50)</f>
        <v/>
      </c>
      <c r="AZ44">
        <f>SUMIFS(T_Shipments[Confirmed_Qty],T_Shipments[Part Name],$A44,T_Shipments[Effective_Week],51)</f>
        <v/>
      </c>
      <c r="BA44">
        <f>SUMIFS(T_Shipments[Confirmed_Qty],T_Shipments[Part Name],$A44,T_Shipments[Effective_Week],52)</f>
        <v/>
      </c>
      <c r="BB44">
        <f>SUMIFS(T_Shipments[Confirmed_Qty],T_Shipments[Part Name],$A44,T_Shipments[Effective_Week],53)</f>
        <v/>
      </c>
      <c r="BC44">
        <f>SUMIFS(T_Shipments[Confirmed_Qty],T_Shipments[Part Name],$A44,T_Shipments[Effective_Week],54)</f>
        <v/>
      </c>
      <c r="BD44">
        <f>SUMIFS(T_Shipments[Confirmed_Qty],T_Shipments[Part Name],$A44,T_Shipments[Effective_Week],55)</f>
        <v/>
      </c>
      <c r="BE44">
        <f>SUMIFS(T_Shipments[Confirmed_Qty],T_Shipments[Part Name],$A44,T_Shipments[Effective_Week],56)</f>
        <v/>
      </c>
      <c r="BF44">
        <f>SUMIFS(T_Shipments[Confirmed_Qty],T_Shipments[Part Name],$A44,T_Shipments[Effective_Week],57)</f>
        <v/>
      </c>
      <c r="BG44">
        <f>SUMIFS(T_Shipments[Confirmed_Qty],T_Shipments[Part Name],$A44,T_Shipments[Effective_Week],58)</f>
        <v/>
      </c>
      <c r="BH44">
        <f>SUMIFS(T_Shipments[Confirmed_Qty],T_Shipments[Part Name],$A44,T_Shipments[Effective_Week],59)</f>
        <v/>
      </c>
      <c r="BI44">
        <f>SUMIFS(T_Shipments[Confirmed_Qty],T_Shipments[Part Name],$A44,T_Shipments[Effective_Week],60)</f>
        <v/>
      </c>
      <c r="BJ44">
        <f>SUMIFS(T_Shipments[Confirmed_Qty],T_Shipments[Part Name],$A44,T_Shipments[Effective_Week],61)</f>
        <v/>
      </c>
      <c r="BK44">
        <f>SUMIFS(T_Shipments[Confirmed_Qty],T_Shipments[Part Name],$A44,T_Shipments[Effective_Week],62)</f>
        <v/>
      </c>
      <c r="BL44">
        <f>SUMIFS(T_Shipments[Confirmed_Qty],T_Shipments[Part Name],$A44,T_Shipments[Effective_Week],63)</f>
        <v/>
      </c>
      <c r="BM44">
        <f>SUMIFS(T_Shipments[Confirmed_Qty],T_Shipments[Part Name],$A44,T_Shipments[Effective_Week],64)</f>
        <v/>
      </c>
      <c r="BN44">
        <f>SUMIFS(T_Shipments[Confirmed_Qty],T_Shipments[Part Name],$A44,T_Shipments[Effective_Week],65)</f>
        <v/>
      </c>
      <c r="BO44">
        <f>SUMIFS(T_Shipments[Confirmed_Qty],T_Shipments[Part Name],$A44,T_Shipments[Effective_Week],66)</f>
        <v/>
      </c>
      <c r="BP44">
        <f>SUMIFS(T_Shipments[Confirmed_Qty],T_Shipments[Part Name],$A44,T_Shipments[Effective_Week],67)</f>
        <v/>
      </c>
      <c r="BQ44">
        <f>SUMIFS(T_Shipments[Confirmed_Qty],T_Shipments[Part Name],$A44,T_Shipments[Effective_Week],68)</f>
        <v/>
      </c>
      <c r="BR44">
        <f>SUMIFS(T_Shipments[Confirmed_Qty],T_Shipments[Part Name],$A44,T_Shipments[Effective_Week],69)</f>
        <v/>
      </c>
      <c r="BS44">
        <f>SUMIFS(T_Shipments[Confirmed_Qty],T_Shipments[Part Name],$A44,T_Shipments[Effective_Week],70)</f>
        <v/>
      </c>
      <c r="BT44">
        <f>SUMIFS(T_Shipments[Confirmed_Qty],T_Shipments[Part Name],$A44,T_Shipments[Effective_Week],71)</f>
        <v/>
      </c>
      <c r="BU44">
        <f>SUMIFS(T_Shipments[Confirmed_Qty],T_Shipments[Part Name],$A44,T_Shipments[Effective_Week],72)</f>
        <v/>
      </c>
      <c r="BV44">
        <f>SUMIFS(T_Shipments[Confirmed_Qty],T_Shipments[Part Name],$A44,T_Shipments[Effective_Week],73)</f>
        <v/>
      </c>
      <c r="BW44">
        <f>SUMIFS(T_Shipments[Confirmed_Qty],T_Shipments[Part Name],$A44,T_Shipments[Effective_Week],74)</f>
        <v/>
      </c>
      <c r="BX44">
        <f>SUMIFS(T_Shipments[Confirmed_Qty],T_Shipments[Part Name],$A44,T_Shipments[Effective_Week],75)</f>
        <v/>
      </c>
      <c r="BY44">
        <f>SUMIFS(T_Shipments[Confirmed_Qty],T_Shipments[Part Name],$A44,T_Shipments[Effective_Week],76)</f>
        <v/>
      </c>
      <c r="BZ44">
        <f>SUMIFS(T_Shipments[Confirmed_Qty],T_Shipments[Part Name],$A44,T_Shipments[Effective_Week],77)</f>
        <v/>
      </c>
      <c r="CA44">
        <f>SUMIFS(T_Shipments[Confirmed_Qty],T_Shipments[Part Name],$A44,T_Shipments[Effective_Week],78)</f>
        <v/>
      </c>
      <c r="CB44">
        <f>SUMIFS(T_Shipments[Confirmed_Qty],T_Shipments[Part Name],$A44,T_Shipments[Effective_Week],79)</f>
        <v/>
      </c>
      <c r="CC44">
        <f>SUMIFS(T_Shipments[Confirmed_Qty],T_Shipments[Part Name],$A44,T_Shipments[Effective_Week],80)</f>
        <v/>
      </c>
      <c r="CD44">
        <f>SUMIFS(T_Shipments[Confirmed_Qty],T_Shipments[Part Name],$A44,T_Shipments[Effective_Week],81)</f>
        <v/>
      </c>
      <c r="CE44">
        <f>SUMIFS(T_Shipments[Confirmed_Qty],T_Shipments[Part Name],$A44,T_Shipments[Effective_Week],82)</f>
        <v/>
      </c>
      <c r="CF44">
        <f>SUMIFS(T_Shipments[Confirmed_Qty],T_Shipments[Part Name],$A44,T_Shipments[Effective_Week],83)</f>
        <v/>
      </c>
      <c r="CG44">
        <f>SUMIFS(T_Shipments[Confirmed_Qty],T_Shipments[Part Name],$A44,T_Shipments[Effective_Week],84)</f>
        <v/>
      </c>
      <c r="CH44">
        <f>SUMIFS(T_Shipments[Confirmed_Qty],T_Shipments[Part Name],$A44,T_Shipments[Effective_Week],85)</f>
        <v/>
      </c>
      <c r="CI44">
        <f>SUMIFS(T_Shipments[Confirmed_Qty],T_Shipments[Part Name],$A44,T_Shipments[Effective_Week],86)</f>
        <v/>
      </c>
      <c r="CJ44">
        <f>SUMIFS(T_Shipments[Confirmed_Qty],T_Shipments[Part Name],$A44,T_Shipments[Effective_Week],87)</f>
        <v/>
      </c>
      <c r="CK44">
        <f>SUMIFS(T_Shipments[Confirmed_Qty],T_Shipments[Part Name],$A44,T_Shipments[Effective_Week],88)</f>
        <v/>
      </c>
      <c r="CL44">
        <f>SUMIFS(T_Shipments[Confirmed_Qty],T_Shipments[Part Name],$A44,T_Shipments[Effective_Week],89)</f>
        <v/>
      </c>
      <c r="CM44">
        <f>SUMIFS(T_Shipments[Confirmed_Qty],T_Shipments[Part Name],$A44,T_Shipments[Effective_Week],90)</f>
        <v/>
      </c>
      <c r="CN44">
        <f>SUMIFS(T_Shipments[Confirmed_Qty],T_Shipments[Part Name],$A44,T_Shipments[Effective_Week],91)</f>
        <v/>
      </c>
      <c r="CO44">
        <f>SUMIFS(T_Shipments[Confirmed_Qty],T_Shipments[Part Name],$A44,T_Shipments[Effective_Week],92)</f>
        <v/>
      </c>
      <c r="CP44">
        <f>SUMIFS(T_Shipments[Confirmed_Qty],T_Shipments[Part Name],$A44,T_Shipments[Effective_Week],93)</f>
        <v/>
      </c>
      <c r="CQ44">
        <f>SUMIFS(T_Shipments[Confirmed_Qty],T_Shipments[Part Name],$A44,T_Shipments[Effective_Week],94)</f>
        <v/>
      </c>
      <c r="CR44">
        <f>SUMIFS(T_Shipments[Confirmed_Qty],T_Shipments[Part Name],$A44,T_Shipments[Effective_Week],95)</f>
        <v/>
      </c>
      <c r="CS44">
        <f>SUMIFS(T_Shipments[Confirmed_Qty],T_Shipments[Part Name],$A44,T_Shipments[Effective_Week],96)</f>
        <v/>
      </c>
      <c r="CT44">
        <f>SUMIFS(T_Shipments[Confirmed_Qty],T_Shipments[Part Name],$A44,T_Shipments[Effective_Week],97)</f>
        <v/>
      </c>
      <c r="CU44">
        <f>SUMIFS(T_Shipments[Confirmed_Qty],T_Shipments[Part Name],$A44,T_Shipments[Effective_Week],98)</f>
        <v/>
      </c>
      <c r="CV44">
        <f>SUMIFS(T_Shipments[Confirmed_Qty],T_Shipments[Part Name],$A44,T_Shipments[Effective_Week],99)</f>
        <v/>
      </c>
      <c r="CW44">
        <f>SUMIFS(T_Shipments[Confirmed_Qty],T_Shipments[Part Name],$A44,T_Shipments[Effective_Week],100)</f>
        <v/>
      </c>
      <c r="CX44">
        <f>SUMIFS(T_Shipments[Confirmed_Qty],T_Shipments[Part Name],$A44,T_Shipments[Effective_Week],101)</f>
        <v/>
      </c>
      <c r="CY44">
        <f>SUMIFS(T_Shipments[Confirmed_Qty],T_Shipments[Part Name],$A44,T_Shipments[Effective_Week],102)</f>
        <v/>
      </c>
      <c r="CZ44">
        <f>SUMIFS(T_Shipments[Confirmed_Qty],T_Shipments[Part Name],$A44,T_Shipments[Effective_Week],103)</f>
        <v/>
      </c>
      <c r="DA44">
        <f>SUMIFS(T_Shipments[Confirmed_Qty],T_Shipments[Part Name],$A44,T_Shipments[Effective_Week],104)</f>
        <v/>
      </c>
    </row>
    <row r="45">
      <c r="A45" t="inlineStr">
        <is>
          <t>A043</t>
        </is>
      </c>
      <c r="B45">
        <f>SUMIFS(T_Shipments[Confirmed_Qty],T_Shipments[Part Name],$A45,T_Shipments[Effective_Week],1)</f>
        <v/>
      </c>
      <c r="C45">
        <f>SUMIFS(T_Shipments[Confirmed_Qty],T_Shipments[Part Name],$A45,T_Shipments[Effective_Week],2)</f>
        <v/>
      </c>
      <c r="D45">
        <f>SUMIFS(T_Shipments[Confirmed_Qty],T_Shipments[Part Name],$A45,T_Shipments[Effective_Week],3)</f>
        <v/>
      </c>
      <c r="E45">
        <f>SUMIFS(T_Shipments[Confirmed_Qty],T_Shipments[Part Name],$A45,T_Shipments[Effective_Week],4)</f>
        <v/>
      </c>
      <c r="F45">
        <f>SUMIFS(T_Shipments[Confirmed_Qty],T_Shipments[Part Name],$A45,T_Shipments[Effective_Week],5)</f>
        <v/>
      </c>
      <c r="G45">
        <f>SUMIFS(T_Shipments[Confirmed_Qty],T_Shipments[Part Name],$A45,T_Shipments[Effective_Week],6)</f>
        <v/>
      </c>
      <c r="H45">
        <f>SUMIFS(T_Shipments[Confirmed_Qty],T_Shipments[Part Name],$A45,T_Shipments[Effective_Week],7)</f>
        <v/>
      </c>
      <c r="I45">
        <f>SUMIFS(T_Shipments[Confirmed_Qty],T_Shipments[Part Name],$A45,T_Shipments[Effective_Week],8)</f>
        <v/>
      </c>
      <c r="J45">
        <f>SUMIFS(T_Shipments[Confirmed_Qty],T_Shipments[Part Name],$A45,T_Shipments[Effective_Week],9)</f>
        <v/>
      </c>
      <c r="K45">
        <f>SUMIFS(T_Shipments[Confirmed_Qty],T_Shipments[Part Name],$A45,T_Shipments[Effective_Week],10)</f>
        <v/>
      </c>
      <c r="L45">
        <f>SUMIFS(T_Shipments[Confirmed_Qty],T_Shipments[Part Name],$A45,T_Shipments[Effective_Week],11)</f>
        <v/>
      </c>
      <c r="M45">
        <f>SUMIFS(T_Shipments[Confirmed_Qty],T_Shipments[Part Name],$A45,T_Shipments[Effective_Week],12)</f>
        <v/>
      </c>
      <c r="N45">
        <f>SUMIFS(T_Shipments[Confirmed_Qty],T_Shipments[Part Name],$A45,T_Shipments[Effective_Week],13)</f>
        <v/>
      </c>
      <c r="O45">
        <f>SUMIFS(T_Shipments[Confirmed_Qty],T_Shipments[Part Name],$A45,T_Shipments[Effective_Week],14)</f>
        <v/>
      </c>
      <c r="P45">
        <f>SUMIFS(T_Shipments[Confirmed_Qty],T_Shipments[Part Name],$A45,T_Shipments[Effective_Week],15)</f>
        <v/>
      </c>
      <c r="Q45">
        <f>SUMIFS(T_Shipments[Confirmed_Qty],T_Shipments[Part Name],$A45,T_Shipments[Effective_Week],16)</f>
        <v/>
      </c>
      <c r="R45">
        <f>SUMIFS(T_Shipments[Confirmed_Qty],T_Shipments[Part Name],$A45,T_Shipments[Effective_Week],17)</f>
        <v/>
      </c>
      <c r="S45">
        <f>SUMIFS(T_Shipments[Confirmed_Qty],T_Shipments[Part Name],$A45,T_Shipments[Effective_Week],18)</f>
        <v/>
      </c>
      <c r="T45">
        <f>SUMIFS(T_Shipments[Confirmed_Qty],T_Shipments[Part Name],$A45,T_Shipments[Effective_Week],19)</f>
        <v/>
      </c>
      <c r="U45">
        <f>SUMIFS(T_Shipments[Confirmed_Qty],T_Shipments[Part Name],$A45,T_Shipments[Effective_Week],20)</f>
        <v/>
      </c>
      <c r="V45">
        <f>SUMIFS(T_Shipments[Confirmed_Qty],T_Shipments[Part Name],$A45,T_Shipments[Effective_Week],21)</f>
        <v/>
      </c>
      <c r="W45">
        <f>SUMIFS(T_Shipments[Confirmed_Qty],T_Shipments[Part Name],$A45,T_Shipments[Effective_Week],22)</f>
        <v/>
      </c>
      <c r="X45">
        <f>SUMIFS(T_Shipments[Confirmed_Qty],T_Shipments[Part Name],$A45,T_Shipments[Effective_Week],23)</f>
        <v/>
      </c>
      <c r="Y45">
        <f>SUMIFS(T_Shipments[Confirmed_Qty],T_Shipments[Part Name],$A45,T_Shipments[Effective_Week],24)</f>
        <v/>
      </c>
      <c r="Z45">
        <f>SUMIFS(T_Shipments[Confirmed_Qty],T_Shipments[Part Name],$A45,T_Shipments[Effective_Week],25)</f>
        <v/>
      </c>
      <c r="AA45">
        <f>SUMIFS(T_Shipments[Confirmed_Qty],T_Shipments[Part Name],$A45,T_Shipments[Effective_Week],26)</f>
        <v/>
      </c>
      <c r="AB45">
        <f>SUMIFS(T_Shipments[Confirmed_Qty],T_Shipments[Part Name],$A45,T_Shipments[Effective_Week],27)</f>
        <v/>
      </c>
      <c r="AC45">
        <f>SUMIFS(T_Shipments[Confirmed_Qty],T_Shipments[Part Name],$A45,T_Shipments[Effective_Week],28)</f>
        <v/>
      </c>
      <c r="AD45">
        <f>SUMIFS(T_Shipments[Confirmed_Qty],T_Shipments[Part Name],$A45,T_Shipments[Effective_Week],29)</f>
        <v/>
      </c>
      <c r="AE45">
        <f>SUMIFS(T_Shipments[Confirmed_Qty],T_Shipments[Part Name],$A45,T_Shipments[Effective_Week],30)</f>
        <v/>
      </c>
      <c r="AF45">
        <f>SUMIFS(T_Shipments[Confirmed_Qty],T_Shipments[Part Name],$A45,T_Shipments[Effective_Week],31)</f>
        <v/>
      </c>
      <c r="AG45">
        <f>SUMIFS(T_Shipments[Confirmed_Qty],T_Shipments[Part Name],$A45,T_Shipments[Effective_Week],32)</f>
        <v/>
      </c>
      <c r="AH45">
        <f>SUMIFS(T_Shipments[Confirmed_Qty],T_Shipments[Part Name],$A45,T_Shipments[Effective_Week],33)</f>
        <v/>
      </c>
      <c r="AI45">
        <f>SUMIFS(T_Shipments[Confirmed_Qty],T_Shipments[Part Name],$A45,T_Shipments[Effective_Week],34)</f>
        <v/>
      </c>
      <c r="AJ45">
        <f>SUMIFS(T_Shipments[Confirmed_Qty],T_Shipments[Part Name],$A45,T_Shipments[Effective_Week],35)</f>
        <v/>
      </c>
      <c r="AK45">
        <f>SUMIFS(T_Shipments[Confirmed_Qty],T_Shipments[Part Name],$A45,T_Shipments[Effective_Week],36)</f>
        <v/>
      </c>
      <c r="AL45">
        <f>SUMIFS(T_Shipments[Confirmed_Qty],T_Shipments[Part Name],$A45,T_Shipments[Effective_Week],37)</f>
        <v/>
      </c>
      <c r="AM45">
        <f>SUMIFS(T_Shipments[Confirmed_Qty],T_Shipments[Part Name],$A45,T_Shipments[Effective_Week],38)</f>
        <v/>
      </c>
      <c r="AN45">
        <f>SUMIFS(T_Shipments[Confirmed_Qty],T_Shipments[Part Name],$A45,T_Shipments[Effective_Week],39)</f>
        <v/>
      </c>
      <c r="AO45">
        <f>SUMIFS(T_Shipments[Confirmed_Qty],T_Shipments[Part Name],$A45,T_Shipments[Effective_Week],40)</f>
        <v/>
      </c>
      <c r="AP45">
        <f>SUMIFS(T_Shipments[Confirmed_Qty],T_Shipments[Part Name],$A45,T_Shipments[Effective_Week],41)</f>
        <v/>
      </c>
      <c r="AQ45">
        <f>SUMIFS(T_Shipments[Confirmed_Qty],T_Shipments[Part Name],$A45,T_Shipments[Effective_Week],42)</f>
        <v/>
      </c>
      <c r="AR45">
        <f>SUMIFS(T_Shipments[Confirmed_Qty],T_Shipments[Part Name],$A45,T_Shipments[Effective_Week],43)</f>
        <v/>
      </c>
      <c r="AS45">
        <f>SUMIFS(T_Shipments[Confirmed_Qty],T_Shipments[Part Name],$A45,T_Shipments[Effective_Week],44)</f>
        <v/>
      </c>
      <c r="AT45">
        <f>SUMIFS(T_Shipments[Confirmed_Qty],T_Shipments[Part Name],$A45,T_Shipments[Effective_Week],45)</f>
        <v/>
      </c>
      <c r="AU45">
        <f>SUMIFS(T_Shipments[Confirmed_Qty],T_Shipments[Part Name],$A45,T_Shipments[Effective_Week],46)</f>
        <v/>
      </c>
      <c r="AV45">
        <f>SUMIFS(T_Shipments[Confirmed_Qty],T_Shipments[Part Name],$A45,T_Shipments[Effective_Week],47)</f>
        <v/>
      </c>
      <c r="AW45">
        <f>SUMIFS(T_Shipments[Confirmed_Qty],T_Shipments[Part Name],$A45,T_Shipments[Effective_Week],48)</f>
        <v/>
      </c>
      <c r="AX45">
        <f>SUMIFS(T_Shipments[Confirmed_Qty],T_Shipments[Part Name],$A45,T_Shipments[Effective_Week],49)</f>
        <v/>
      </c>
      <c r="AY45">
        <f>SUMIFS(T_Shipments[Confirmed_Qty],T_Shipments[Part Name],$A45,T_Shipments[Effective_Week],50)</f>
        <v/>
      </c>
      <c r="AZ45">
        <f>SUMIFS(T_Shipments[Confirmed_Qty],T_Shipments[Part Name],$A45,T_Shipments[Effective_Week],51)</f>
        <v/>
      </c>
      <c r="BA45">
        <f>SUMIFS(T_Shipments[Confirmed_Qty],T_Shipments[Part Name],$A45,T_Shipments[Effective_Week],52)</f>
        <v/>
      </c>
      <c r="BB45">
        <f>SUMIFS(T_Shipments[Confirmed_Qty],T_Shipments[Part Name],$A45,T_Shipments[Effective_Week],53)</f>
        <v/>
      </c>
      <c r="BC45">
        <f>SUMIFS(T_Shipments[Confirmed_Qty],T_Shipments[Part Name],$A45,T_Shipments[Effective_Week],54)</f>
        <v/>
      </c>
      <c r="BD45">
        <f>SUMIFS(T_Shipments[Confirmed_Qty],T_Shipments[Part Name],$A45,T_Shipments[Effective_Week],55)</f>
        <v/>
      </c>
      <c r="BE45">
        <f>SUMIFS(T_Shipments[Confirmed_Qty],T_Shipments[Part Name],$A45,T_Shipments[Effective_Week],56)</f>
        <v/>
      </c>
      <c r="BF45">
        <f>SUMIFS(T_Shipments[Confirmed_Qty],T_Shipments[Part Name],$A45,T_Shipments[Effective_Week],57)</f>
        <v/>
      </c>
      <c r="BG45">
        <f>SUMIFS(T_Shipments[Confirmed_Qty],T_Shipments[Part Name],$A45,T_Shipments[Effective_Week],58)</f>
        <v/>
      </c>
      <c r="BH45">
        <f>SUMIFS(T_Shipments[Confirmed_Qty],T_Shipments[Part Name],$A45,T_Shipments[Effective_Week],59)</f>
        <v/>
      </c>
      <c r="BI45">
        <f>SUMIFS(T_Shipments[Confirmed_Qty],T_Shipments[Part Name],$A45,T_Shipments[Effective_Week],60)</f>
        <v/>
      </c>
      <c r="BJ45">
        <f>SUMIFS(T_Shipments[Confirmed_Qty],T_Shipments[Part Name],$A45,T_Shipments[Effective_Week],61)</f>
        <v/>
      </c>
      <c r="BK45">
        <f>SUMIFS(T_Shipments[Confirmed_Qty],T_Shipments[Part Name],$A45,T_Shipments[Effective_Week],62)</f>
        <v/>
      </c>
      <c r="BL45">
        <f>SUMIFS(T_Shipments[Confirmed_Qty],T_Shipments[Part Name],$A45,T_Shipments[Effective_Week],63)</f>
        <v/>
      </c>
      <c r="BM45">
        <f>SUMIFS(T_Shipments[Confirmed_Qty],T_Shipments[Part Name],$A45,T_Shipments[Effective_Week],64)</f>
        <v/>
      </c>
      <c r="BN45">
        <f>SUMIFS(T_Shipments[Confirmed_Qty],T_Shipments[Part Name],$A45,T_Shipments[Effective_Week],65)</f>
        <v/>
      </c>
      <c r="BO45">
        <f>SUMIFS(T_Shipments[Confirmed_Qty],T_Shipments[Part Name],$A45,T_Shipments[Effective_Week],66)</f>
        <v/>
      </c>
      <c r="BP45">
        <f>SUMIFS(T_Shipments[Confirmed_Qty],T_Shipments[Part Name],$A45,T_Shipments[Effective_Week],67)</f>
        <v/>
      </c>
      <c r="BQ45">
        <f>SUMIFS(T_Shipments[Confirmed_Qty],T_Shipments[Part Name],$A45,T_Shipments[Effective_Week],68)</f>
        <v/>
      </c>
      <c r="BR45">
        <f>SUMIFS(T_Shipments[Confirmed_Qty],T_Shipments[Part Name],$A45,T_Shipments[Effective_Week],69)</f>
        <v/>
      </c>
      <c r="BS45">
        <f>SUMIFS(T_Shipments[Confirmed_Qty],T_Shipments[Part Name],$A45,T_Shipments[Effective_Week],70)</f>
        <v/>
      </c>
      <c r="BT45">
        <f>SUMIFS(T_Shipments[Confirmed_Qty],T_Shipments[Part Name],$A45,T_Shipments[Effective_Week],71)</f>
        <v/>
      </c>
      <c r="BU45">
        <f>SUMIFS(T_Shipments[Confirmed_Qty],T_Shipments[Part Name],$A45,T_Shipments[Effective_Week],72)</f>
        <v/>
      </c>
      <c r="BV45">
        <f>SUMIFS(T_Shipments[Confirmed_Qty],T_Shipments[Part Name],$A45,T_Shipments[Effective_Week],73)</f>
        <v/>
      </c>
      <c r="BW45">
        <f>SUMIFS(T_Shipments[Confirmed_Qty],T_Shipments[Part Name],$A45,T_Shipments[Effective_Week],74)</f>
        <v/>
      </c>
      <c r="BX45">
        <f>SUMIFS(T_Shipments[Confirmed_Qty],T_Shipments[Part Name],$A45,T_Shipments[Effective_Week],75)</f>
        <v/>
      </c>
      <c r="BY45">
        <f>SUMIFS(T_Shipments[Confirmed_Qty],T_Shipments[Part Name],$A45,T_Shipments[Effective_Week],76)</f>
        <v/>
      </c>
      <c r="BZ45">
        <f>SUMIFS(T_Shipments[Confirmed_Qty],T_Shipments[Part Name],$A45,T_Shipments[Effective_Week],77)</f>
        <v/>
      </c>
      <c r="CA45">
        <f>SUMIFS(T_Shipments[Confirmed_Qty],T_Shipments[Part Name],$A45,T_Shipments[Effective_Week],78)</f>
        <v/>
      </c>
      <c r="CB45">
        <f>SUMIFS(T_Shipments[Confirmed_Qty],T_Shipments[Part Name],$A45,T_Shipments[Effective_Week],79)</f>
        <v/>
      </c>
      <c r="CC45">
        <f>SUMIFS(T_Shipments[Confirmed_Qty],T_Shipments[Part Name],$A45,T_Shipments[Effective_Week],80)</f>
        <v/>
      </c>
      <c r="CD45">
        <f>SUMIFS(T_Shipments[Confirmed_Qty],T_Shipments[Part Name],$A45,T_Shipments[Effective_Week],81)</f>
        <v/>
      </c>
      <c r="CE45">
        <f>SUMIFS(T_Shipments[Confirmed_Qty],T_Shipments[Part Name],$A45,T_Shipments[Effective_Week],82)</f>
        <v/>
      </c>
      <c r="CF45">
        <f>SUMIFS(T_Shipments[Confirmed_Qty],T_Shipments[Part Name],$A45,T_Shipments[Effective_Week],83)</f>
        <v/>
      </c>
      <c r="CG45">
        <f>SUMIFS(T_Shipments[Confirmed_Qty],T_Shipments[Part Name],$A45,T_Shipments[Effective_Week],84)</f>
        <v/>
      </c>
      <c r="CH45">
        <f>SUMIFS(T_Shipments[Confirmed_Qty],T_Shipments[Part Name],$A45,T_Shipments[Effective_Week],85)</f>
        <v/>
      </c>
      <c r="CI45">
        <f>SUMIFS(T_Shipments[Confirmed_Qty],T_Shipments[Part Name],$A45,T_Shipments[Effective_Week],86)</f>
        <v/>
      </c>
      <c r="CJ45">
        <f>SUMIFS(T_Shipments[Confirmed_Qty],T_Shipments[Part Name],$A45,T_Shipments[Effective_Week],87)</f>
        <v/>
      </c>
      <c r="CK45">
        <f>SUMIFS(T_Shipments[Confirmed_Qty],T_Shipments[Part Name],$A45,T_Shipments[Effective_Week],88)</f>
        <v/>
      </c>
      <c r="CL45">
        <f>SUMIFS(T_Shipments[Confirmed_Qty],T_Shipments[Part Name],$A45,T_Shipments[Effective_Week],89)</f>
        <v/>
      </c>
      <c r="CM45">
        <f>SUMIFS(T_Shipments[Confirmed_Qty],T_Shipments[Part Name],$A45,T_Shipments[Effective_Week],90)</f>
        <v/>
      </c>
      <c r="CN45">
        <f>SUMIFS(T_Shipments[Confirmed_Qty],T_Shipments[Part Name],$A45,T_Shipments[Effective_Week],91)</f>
        <v/>
      </c>
      <c r="CO45">
        <f>SUMIFS(T_Shipments[Confirmed_Qty],T_Shipments[Part Name],$A45,T_Shipments[Effective_Week],92)</f>
        <v/>
      </c>
      <c r="CP45">
        <f>SUMIFS(T_Shipments[Confirmed_Qty],T_Shipments[Part Name],$A45,T_Shipments[Effective_Week],93)</f>
        <v/>
      </c>
      <c r="CQ45">
        <f>SUMIFS(T_Shipments[Confirmed_Qty],T_Shipments[Part Name],$A45,T_Shipments[Effective_Week],94)</f>
        <v/>
      </c>
      <c r="CR45">
        <f>SUMIFS(T_Shipments[Confirmed_Qty],T_Shipments[Part Name],$A45,T_Shipments[Effective_Week],95)</f>
        <v/>
      </c>
      <c r="CS45">
        <f>SUMIFS(T_Shipments[Confirmed_Qty],T_Shipments[Part Name],$A45,T_Shipments[Effective_Week],96)</f>
        <v/>
      </c>
      <c r="CT45">
        <f>SUMIFS(T_Shipments[Confirmed_Qty],T_Shipments[Part Name],$A45,T_Shipments[Effective_Week],97)</f>
        <v/>
      </c>
      <c r="CU45">
        <f>SUMIFS(T_Shipments[Confirmed_Qty],T_Shipments[Part Name],$A45,T_Shipments[Effective_Week],98)</f>
        <v/>
      </c>
      <c r="CV45">
        <f>SUMIFS(T_Shipments[Confirmed_Qty],T_Shipments[Part Name],$A45,T_Shipments[Effective_Week],99)</f>
        <v/>
      </c>
      <c r="CW45">
        <f>SUMIFS(T_Shipments[Confirmed_Qty],T_Shipments[Part Name],$A45,T_Shipments[Effective_Week],100)</f>
        <v/>
      </c>
      <c r="CX45">
        <f>SUMIFS(T_Shipments[Confirmed_Qty],T_Shipments[Part Name],$A45,T_Shipments[Effective_Week],101)</f>
        <v/>
      </c>
      <c r="CY45">
        <f>SUMIFS(T_Shipments[Confirmed_Qty],T_Shipments[Part Name],$A45,T_Shipments[Effective_Week],102)</f>
        <v/>
      </c>
      <c r="CZ45">
        <f>SUMIFS(T_Shipments[Confirmed_Qty],T_Shipments[Part Name],$A45,T_Shipments[Effective_Week],103)</f>
        <v/>
      </c>
      <c r="DA45">
        <f>SUMIFS(T_Shipments[Confirmed_Qty],T_Shipments[Part Name],$A45,T_Shipments[Effective_Week],104)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A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</cols>
  <sheetData>
    <row r="1">
      <c r="A1" s="20" t="inlineStr">
        <is>
          <t>Part Name</t>
        </is>
      </c>
      <c r="B1" s="20" t="inlineStr">
        <is>
          <t>2026-W01</t>
        </is>
      </c>
      <c r="C1" s="20" t="inlineStr">
        <is>
          <t>2026-W02</t>
        </is>
      </c>
      <c r="D1" s="20" t="inlineStr">
        <is>
          <t>2026-W03</t>
        </is>
      </c>
      <c r="E1" s="20" t="inlineStr">
        <is>
          <t>2026-W04</t>
        </is>
      </c>
      <c r="F1" s="20" t="inlineStr">
        <is>
          <t>2026-W05</t>
        </is>
      </c>
      <c r="G1" s="20" t="inlineStr">
        <is>
          <t>2026-W06</t>
        </is>
      </c>
      <c r="H1" s="20" t="inlineStr">
        <is>
          <t>2026-W07</t>
        </is>
      </c>
      <c r="I1" s="20" t="inlineStr">
        <is>
          <t>2026-W08</t>
        </is>
      </c>
      <c r="J1" s="20" t="inlineStr">
        <is>
          <t>2026-W09</t>
        </is>
      </c>
      <c r="K1" s="20" t="inlineStr">
        <is>
          <t>2026-W10</t>
        </is>
      </c>
      <c r="L1" s="20" t="inlineStr">
        <is>
          <t>2026-W11</t>
        </is>
      </c>
      <c r="M1" s="20" t="inlineStr">
        <is>
          <t>2026-W12</t>
        </is>
      </c>
      <c r="N1" s="20" t="inlineStr">
        <is>
          <t>2026-W13</t>
        </is>
      </c>
      <c r="O1" s="20" t="inlineStr">
        <is>
          <t>2026-W14</t>
        </is>
      </c>
      <c r="P1" s="20" t="inlineStr">
        <is>
          <t>2026-W15</t>
        </is>
      </c>
      <c r="Q1" s="20" t="inlineStr">
        <is>
          <t>2026-W16</t>
        </is>
      </c>
      <c r="R1" s="20" t="inlineStr">
        <is>
          <t>2026-W17</t>
        </is>
      </c>
      <c r="S1" s="20" t="inlineStr">
        <is>
          <t>2026-W18</t>
        </is>
      </c>
      <c r="T1" s="20" t="inlineStr">
        <is>
          <t>2026-W19</t>
        </is>
      </c>
      <c r="U1" s="20" t="inlineStr">
        <is>
          <t>2026-W20</t>
        </is>
      </c>
      <c r="V1" s="20" t="inlineStr">
        <is>
          <t>2026-W21</t>
        </is>
      </c>
      <c r="W1" s="20" t="inlineStr">
        <is>
          <t>2026-W22</t>
        </is>
      </c>
      <c r="X1" s="20" t="inlineStr">
        <is>
          <t>2026-W23</t>
        </is>
      </c>
      <c r="Y1" s="20" t="inlineStr">
        <is>
          <t>2026-W24</t>
        </is>
      </c>
      <c r="Z1" s="20" t="inlineStr">
        <is>
          <t>2026-W25</t>
        </is>
      </c>
      <c r="AA1" s="20" t="inlineStr">
        <is>
          <t>2026-W26</t>
        </is>
      </c>
      <c r="AB1" s="20" t="inlineStr">
        <is>
          <t>2026-W27</t>
        </is>
      </c>
      <c r="AC1" s="20" t="inlineStr">
        <is>
          <t>2026-W28</t>
        </is>
      </c>
      <c r="AD1" s="20" t="inlineStr">
        <is>
          <t>2026-W29</t>
        </is>
      </c>
      <c r="AE1" s="20" t="inlineStr">
        <is>
          <t>2026-W30</t>
        </is>
      </c>
      <c r="AF1" s="20" t="inlineStr">
        <is>
          <t>2026-W31</t>
        </is>
      </c>
      <c r="AG1" s="20" t="inlineStr">
        <is>
          <t>2026-W32</t>
        </is>
      </c>
      <c r="AH1" s="20" t="inlineStr">
        <is>
          <t>2026-W33</t>
        </is>
      </c>
      <c r="AI1" s="20" t="inlineStr">
        <is>
          <t>2026-W34</t>
        </is>
      </c>
      <c r="AJ1" s="20" t="inlineStr">
        <is>
          <t>2026-W35</t>
        </is>
      </c>
      <c r="AK1" s="20" t="inlineStr">
        <is>
          <t>2026-W36</t>
        </is>
      </c>
      <c r="AL1" s="20" t="inlineStr">
        <is>
          <t>2026-W37</t>
        </is>
      </c>
      <c r="AM1" s="20" t="inlineStr">
        <is>
          <t>2026-W38</t>
        </is>
      </c>
      <c r="AN1" s="20" t="inlineStr">
        <is>
          <t>2026-W39</t>
        </is>
      </c>
      <c r="AO1" s="20" t="inlineStr">
        <is>
          <t>2026-W40</t>
        </is>
      </c>
      <c r="AP1" s="20" t="inlineStr">
        <is>
          <t>2026-W41</t>
        </is>
      </c>
      <c r="AQ1" s="20" t="inlineStr">
        <is>
          <t>2026-W42</t>
        </is>
      </c>
      <c r="AR1" s="20" t="inlineStr">
        <is>
          <t>2026-W43</t>
        </is>
      </c>
      <c r="AS1" s="20" t="inlineStr">
        <is>
          <t>2026-W44</t>
        </is>
      </c>
      <c r="AT1" s="20" t="inlineStr">
        <is>
          <t>2026-W45</t>
        </is>
      </c>
      <c r="AU1" s="20" t="inlineStr">
        <is>
          <t>2026-W46</t>
        </is>
      </c>
      <c r="AV1" s="20" t="inlineStr">
        <is>
          <t>2026-W47</t>
        </is>
      </c>
      <c r="AW1" s="20" t="inlineStr">
        <is>
          <t>2026-W48</t>
        </is>
      </c>
      <c r="AX1" s="20" t="inlineStr">
        <is>
          <t>2026-W49</t>
        </is>
      </c>
      <c r="AY1" s="20" t="inlineStr">
        <is>
          <t>2026-W50</t>
        </is>
      </c>
      <c r="AZ1" s="20" t="inlineStr">
        <is>
          <t>2026-W51</t>
        </is>
      </c>
      <c r="BA1" s="20" t="inlineStr">
        <is>
          <t>2026-W52</t>
        </is>
      </c>
      <c r="BB1" s="20" t="inlineStr">
        <is>
          <t>2027-W01</t>
        </is>
      </c>
      <c r="BC1" s="20" t="inlineStr">
        <is>
          <t>2027-W02</t>
        </is>
      </c>
      <c r="BD1" s="20" t="inlineStr">
        <is>
          <t>2027-W03</t>
        </is>
      </c>
      <c r="BE1" s="20" t="inlineStr">
        <is>
          <t>2027-W04</t>
        </is>
      </c>
      <c r="BF1" s="20" t="inlineStr">
        <is>
          <t>2027-W05</t>
        </is>
      </c>
      <c r="BG1" s="20" t="inlineStr">
        <is>
          <t>2027-W06</t>
        </is>
      </c>
      <c r="BH1" s="20" t="inlineStr">
        <is>
          <t>2027-W07</t>
        </is>
      </c>
      <c r="BI1" s="20" t="inlineStr">
        <is>
          <t>2027-W08</t>
        </is>
      </c>
      <c r="BJ1" s="20" t="inlineStr">
        <is>
          <t>2027-W09</t>
        </is>
      </c>
      <c r="BK1" s="20" t="inlineStr">
        <is>
          <t>2027-W10</t>
        </is>
      </c>
      <c r="BL1" s="20" t="inlineStr">
        <is>
          <t>2027-W11</t>
        </is>
      </c>
      <c r="BM1" s="20" t="inlineStr">
        <is>
          <t>2027-W12</t>
        </is>
      </c>
      <c r="BN1" s="20" t="inlineStr">
        <is>
          <t>2027-W13</t>
        </is>
      </c>
      <c r="BO1" s="20" t="inlineStr">
        <is>
          <t>2027-W14</t>
        </is>
      </c>
      <c r="BP1" s="20" t="inlineStr">
        <is>
          <t>2027-W15</t>
        </is>
      </c>
      <c r="BQ1" s="20" t="inlineStr">
        <is>
          <t>2027-W16</t>
        </is>
      </c>
      <c r="BR1" s="20" t="inlineStr">
        <is>
          <t>2027-W17</t>
        </is>
      </c>
      <c r="BS1" s="20" t="inlineStr">
        <is>
          <t>2027-W18</t>
        </is>
      </c>
      <c r="BT1" s="20" t="inlineStr">
        <is>
          <t>2027-W19</t>
        </is>
      </c>
      <c r="BU1" s="20" t="inlineStr">
        <is>
          <t>2027-W20</t>
        </is>
      </c>
      <c r="BV1" s="20" t="inlineStr">
        <is>
          <t>2027-W21</t>
        </is>
      </c>
      <c r="BW1" s="20" t="inlineStr">
        <is>
          <t>2027-W22</t>
        </is>
      </c>
      <c r="BX1" s="20" t="inlineStr">
        <is>
          <t>2027-W23</t>
        </is>
      </c>
      <c r="BY1" s="20" t="inlineStr">
        <is>
          <t>2027-W24</t>
        </is>
      </c>
      <c r="BZ1" s="20" t="inlineStr">
        <is>
          <t>2027-W25</t>
        </is>
      </c>
      <c r="CA1" s="20" t="inlineStr">
        <is>
          <t>2027-W26</t>
        </is>
      </c>
      <c r="CB1" s="20" t="inlineStr">
        <is>
          <t>2027-W27</t>
        </is>
      </c>
      <c r="CC1" s="20" t="inlineStr">
        <is>
          <t>2027-W28</t>
        </is>
      </c>
      <c r="CD1" s="20" t="inlineStr">
        <is>
          <t>2027-W29</t>
        </is>
      </c>
      <c r="CE1" s="20" t="inlineStr">
        <is>
          <t>2027-W30</t>
        </is>
      </c>
      <c r="CF1" s="20" t="inlineStr">
        <is>
          <t>2027-W31</t>
        </is>
      </c>
      <c r="CG1" s="20" t="inlineStr">
        <is>
          <t>2027-W32</t>
        </is>
      </c>
      <c r="CH1" s="20" t="inlineStr">
        <is>
          <t>2027-W33</t>
        </is>
      </c>
      <c r="CI1" s="20" t="inlineStr">
        <is>
          <t>2027-W34</t>
        </is>
      </c>
      <c r="CJ1" s="20" t="inlineStr">
        <is>
          <t>2027-W35</t>
        </is>
      </c>
      <c r="CK1" s="20" t="inlineStr">
        <is>
          <t>2027-W36</t>
        </is>
      </c>
      <c r="CL1" s="20" t="inlineStr">
        <is>
          <t>2027-W37</t>
        </is>
      </c>
      <c r="CM1" s="20" t="inlineStr">
        <is>
          <t>2027-W38</t>
        </is>
      </c>
      <c r="CN1" s="20" t="inlineStr">
        <is>
          <t>2027-W39</t>
        </is>
      </c>
      <c r="CO1" s="20" t="inlineStr">
        <is>
          <t>2027-W40</t>
        </is>
      </c>
      <c r="CP1" s="20" t="inlineStr">
        <is>
          <t>2027-W41</t>
        </is>
      </c>
      <c r="CQ1" s="20" t="inlineStr">
        <is>
          <t>2027-W42</t>
        </is>
      </c>
      <c r="CR1" s="20" t="inlineStr">
        <is>
          <t>2027-W43</t>
        </is>
      </c>
      <c r="CS1" s="20" t="inlineStr">
        <is>
          <t>2027-W44</t>
        </is>
      </c>
      <c r="CT1" s="20" t="inlineStr">
        <is>
          <t>2027-W45</t>
        </is>
      </c>
      <c r="CU1" s="20" t="inlineStr">
        <is>
          <t>2027-W46</t>
        </is>
      </c>
      <c r="CV1" s="20" t="inlineStr">
        <is>
          <t>2027-W47</t>
        </is>
      </c>
      <c r="CW1" s="20" t="inlineStr">
        <is>
          <t>2027-W48</t>
        </is>
      </c>
      <c r="CX1" s="20" t="inlineStr">
        <is>
          <t>2027-W49</t>
        </is>
      </c>
      <c r="CY1" s="20" t="inlineStr">
        <is>
          <t>2027-W50</t>
        </is>
      </c>
      <c r="CZ1" s="20" t="inlineStr">
        <is>
          <t>2027-W51</t>
        </is>
      </c>
      <c r="DA1" s="20" t="inlineStr">
        <is>
          <t>2027-W52</t>
        </is>
      </c>
    </row>
    <row r="2">
      <c r="A2" t="inlineStr">
        <is>
          <t>CHEM-1250</t>
        </is>
      </c>
      <c r="B2">
        <f>IF(COUNTIFS(T_StockCount[Part Name],$A2,T_StockCount[WeekIndex],1)&gt;0,SUMIFS(T_StockCount[CountedQty],T_StockCount[Part Name],$A2,T_StockCount[WeekIndex],1),IF((('T_SelfStock'!B6&lt;&gt;""))*(('T_TTAFStock'!B6&lt;&gt;""))&gt;0,'T_SelfStock'!B6+'T_TTAFStock'!B6,IFERROR(INDEX(T_OpeningStock[Opening_Qty],MATCH($A2,T_OpeningStock[Part Name],0)),0)+'Grid_Incoming'!B2-'Grid_Requirement'!B2))</f>
        <v/>
      </c>
      <c r="C2">
        <f>IF(COUNTIFS(T_StockCount[Part Name],$A2,T_StockCount[WeekIndex],2)&gt;0,SUMIFS(T_StockCount[CountedQty],T_StockCount[Part Name],$A2,T_StockCount[WeekIndex],2),IF((('T_SelfStock'!C6&lt;&gt;""))*(('T_TTAFStock'!C6&lt;&gt;""))&gt;0,'T_SelfStock'!C6+'T_TTAFStock'!C6,B2+'Grid_Incoming'!C2-'Grid_Requirement'!C2))</f>
        <v/>
      </c>
      <c r="D2">
        <f>IF(COUNTIFS(T_StockCount[Part Name],$A2,T_StockCount[WeekIndex],3)&gt;0,SUMIFS(T_StockCount[CountedQty],T_StockCount[Part Name],$A2,T_StockCount[WeekIndex],3),IF((('T_SelfStock'!D6&lt;&gt;""))*(('T_TTAFStock'!D6&lt;&gt;""))&gt;0,'T_SelfStock'!D6+'T_TTAFStock'!D6,C2+'Grid_Incoming'!D2-'Grid_Requirement'!D2))</f>
        <v/>
      </c>
      <c r="E2">
        <f>IF(COUNTIFS(T_StockCount[Part Name],$A2,T_StockCount[WeekIndex],4)&gt;0,SUMIFS(T_StockCount[CountedQty],T_StockCount[Part Name],$A2,T_StockCount[WeekIndex],4),IF((('T_SelfStock'!E6&lt;&gt;""))*(('T_TTAFStock'!E6&lt;&gt;""))&gt;0,'T_SelfStock'!E6+'T_TTAFStock'!E6,D2+'Grid_Incoming'!E2-'Grid_Requirement'!E2))</f>
        <v/>
      </c>
      <c r="F2">
        <f>IF(COUNTIFS(T_StockCount[Part Name],$A2,T_StockCount[WeekIndex],5)&gt;0,SUMIFS(T_StockCount[CountedQty],T_StockCount[Part Name],$A2,T_StockCount[WeekIndex],5),IF((('T_SelfStock'!F6&lt;&gt;""))*(('T_TTAFStock'!F6&lt;&gt;""))&gt;0,'T_SelfStock'!F6+'T_TTAFStock'!F6,E2+'Grid_Incoming'!F2-'Grid_Requirement'!F2))</f>
        <v/>
      </c>
      <c r="G2">
        <f>IF(COUNTIFS(T_StockCount[Part Name],$A2,T_StockCount[WeekIndex],6)&gt;0,SUMIFS(T_StockCount[CountedQty],T_StockCount[Part Name],$A2,T_StockCount[WeekIndex],6),IF((('T_SelfStock'!G6&lt;&gt;""))*(('T_TTAFStock'!G6&lt;&gt;""))&gt;0,'T_SelfStock'!G6+'T_TTAFStock'!G6,F2+'Grid_Incoming'!G2-'Grid_Requirement'!G2))</f>
        <v/>
      </c>
      <c r="H2">
        <f>IF(COUNTIFS(T_StockCount[Part Name],$A2,T_StockCount[WeekIndex],7)&gt;0,SUMIFS(T_StockCount[CountedQty],T_StockCount[Part Name],$A2,T_StockCount[WeekIndex],7),IF((('T_SelfStock'!H6&lt;&gt;""))*(('T_TTAFStock'!H6&lt;&gt;""))&gt;0,'T_SelfStock'!H6+'T_TTAFStock'!H6,G2+'Grid_Incoming'!H2-'Grid_Requirement'!H2))</f>
        <v/>
      </c>
      <c r="I2">
        <f>IF(COUNTIFS(T_StockCount[Part Name],$A2,T_StockCount[WeekIndex],8)&gt;0,SUMIFS(T_StockCount[CountedQty],T_StockCount[Part Name],$A2,T_StockCount[WeekIndex],8),IF((('T_SelfStock'!I6&lt;&gt;""))*(('T_TTAFStock'!I6&lt;&gt;""))&gt;0,'T_SelfStock'!I6+'T_TTAFStock'!I6,H2+'Grid_Incoming'!I2-'Grid_Requirement'!I2))</f>
        <v/>
      </c>
      <c r="J2">
        <f>IF(COUNTIFS(T_StockCount[Part Name],$A2,T_StockCount[WeekIndex],9)&gt;0,SUMIFS(T_StockCount[CountedQty],T_StockCount[Part Name],$A2,T_StockCount[WeekIndex],9),IF((('T_SelfStock'!J6&lt;&gt;""))*(('T_TTAFStock'!J6&lt;&gt;""))&gt;0,'T_SelfStock'!J6+'T_TTAFStock'!J6,I2+'Grid_Incoming'!J2-'Grid_Requirement'!J2))</f>
        <v/>
      </c>
      <c r="K2">
        <f>IF(COUNTIFS(T_StockCount[Part Name],$A2,T_StockCount[WeekIndex],10)&gt;0,SUMIFS(T_StockCount[CountedQty],T_StockCount[Part Name],$A2,T_StockCount[WeekIndex],10),IF((('T_SelfStock'!K6&lt;&gt;""))*(('T_TTAFStock'!K6&lt;&gt;""))&gt;0,'T_SelfStock'!K6+'T_TTAFStock'!K6,J2+'Grid_Incoming'!K2-'Grid_Requirement'!K2))</f>
        <v/>
      </c>
      <c r="L2">
        <f>IF(COUNTIFS(T_StockCount[Part Name],$A2,T_StockCount[WeekIndex],11)&gt;0,SUMIFS(T_StockCount[CountedQty],T_StockCount[Part Name],$A2,T_StockCount[WeekIndex],11),IF((('T_SelfStock'!L6&lt;&gt;""))*(('T_TTAFStock'!L6&lt;&gt;""))&gt;0,'T_SelfStock'!L6+'T_TTAFStock'!L6,K2+'Grid_Incoming'!L2-'Grid_Requirement'!L2))</f>
        <v/>
      </c>
      <c r="M2">
        <f>IF(COUNTIFS(T_StockCount[Part Name],$A2,T_StockCount[WeekIndex],12)&gt;0,SUMIFS(T_StockCount[CountedQty],T_StockCount[Part Name],$A2,T_StockCount[WeekIndex],12),IF((('T_SelfStock'!M6&lt;&gt;""))*(('T_TTAFStock'!M6&lt;&gt;""))&gt;0,'T_SelfStock'!M6+'T_TTAFStock'!M6,L2+'Grid_Incoming'!M2-'Grid_Requirement'!M2))</f>
        <v/>
      </c>
      <c r="N2">
        <f>IF(COUNTIFS(T_StockCount[Part Name],$A2,T_StockCount[WeekIndex],13)&gt;0,SUMIFS(T_StockCount[CountedQty],T_StockCount[Part Name],$A2,T_StockCount[WeekIndex],13),IF((('T_SelfStock'!N6&lt;&gt;""))*(('T_TTAFStock'!N6&lt;&gt;""))&gt;0,'T_SelfStock'!N6+'T_TTAFStock'!N6,M2+'Grid_Incoming'!N2-'Grid_Requirement'!N2))</f>
        <v/>
      </c>
      <c r="O2">
        <f>IF(COUNTIFS(T_StockCount[Part Name],$A2,T_StockCount[WeekIndex],14)&gt;0,SUMIFS(T_StockCount[CountedQty],T_StockCount[Part Name],$A2,T_StockCount[WeekIndex],14),IF((('T_SelfStock'!O6&lt;&gt;""))*(('T_TTAFStock'!O6&lt;&gt;""))&gt;0,'T_SelfStock'!O6+'T_TTAFStock'!O6,N2+'Grid_Incoming'!O2-'Grid_Requirement'!O2))</f>
        <v/>
      </c>
      <c r="P2">
        <f>IF(COUNTIFS(T_StockCount[Part Name],$A2,T_StockCount[WeekIndex],15)&gt;0,SUMIFS(T_StockCount[CountedQty],T_StockCount[Part Name],$A2,T_StockCount[WeekIndex],15),IF((('T_SelfStock'!P6&lt;&gt;""))*(('T_TTAFStock'!P6&lt;&gt;""))&gt;0,'T_SelfStock'!P6+'T_TTAFStock'!P6,O2+'Grid_Incoming'!P2-'Grid_Requirement'!P2))</f>
        <v/>
      </c>
      <c r="Q2">
        <f>IF(COUNTIFS(T_StockCount[Part Name],$A2,T_StockCount[WeekIndex],16)&gt;0,SUMIFS(T_StockCount[CountedQty],T_StockCount[Part Name],$A2,T_StockCount[WeekIndex],16),IF((('T_SelfStock'!Q6&lt;&gt;""))*(('T_TTAFStock'!Q6&lt;&gt;""))&gt;0,'T_SelfStock'!Q6+'T_TTAFStock'!Q6,P2+'Grid_Incoming'!Q2-'Grid_Requirement'!Q2))</f>
        <v/>
      </c>
      <c r="R2">
        <f>IF(COUNTIFS(T_StockCount[Part Name],$A2,T_StockCount[WeekIndex],17)&gt;0,SUMIFS(T_StockCount[CountedQty],T_StockCount[Part Name],$A2,T_StockCount[WeekIndex],17),IF((('T_SelfStock'!R6&lt;&gt;""))*(('T_TTAFStock'!R6&lt;&gt;""))&gt;0,'T_SelfStock'!R6+'T_TTAFStock'!R6,Q2+'Grid_Incoming'!R2-'Grid_Requirement'!R2))</f>
        <v/>
      </c>
      <c r="S2">
        <f>IF(COUNTIFS(T_StockCount[Part Name],$A2,T_StockCount[WeekIndex],18)&gt;0,SUMIFS(T_StockCount[CountedQty],T_StockCount[Part Name],$A2,T_StockCount[WeekIndex],18),IF((('T_SelfStock'!S6&lt;&gt;""))*(('T_TTAFStock'!S6&lt;&gt;""))&gt;0,'T_SelfStock'!S6+'T_TTAFStock'!S6,R2+'Grid_Incoming'!S2-'Grid_Requirement'!S2))</f>
        <v/>
      </c>
      <c r="T2">
        <f>IF(COUNTIFS(T_StockCount[Part Name],$A2,T_StockCount[WeekIndex],19)&gt;0,SUMIFS(T_StockCount[CountedQty],T_StockCount[Part Name],$A2,T_StockCount[WeekIndex],19),IF((('T_SelfStock'!T6&lt;&gt;""))*(('T_TTAFStock'!T6&lt;&gt;""))&gt;0,'T_SelfStock'!T6+'T_TTAFStock'!T6,S2+'Grid_Incoming'!T2-'Grid_Requirement'!T2))</f>
        <v/>
      </c>
      <c r="U2">
        <f>IF(COUNTIFS(T_StockCount[Part Name],$A2,T_StockCount[WeekIndex],20)&gt;0,SUMIFS(T_StockCount[CountedQty],T_StockCount[Part Name],$A2,T_StockCount[WeekIndex],20),IF((('T_SelfStock'!U6&lt;&gt;""))*(('T_TTAFStock'!U6&lt;&gt;""))&gt;0,'T_SelfStock'!U6+'T_TTAFStock'!U6,T2+'Grid_Incoming'!U2-'Grid_Requirement'!U2))</f>
        <v/>
      </c>
      <c r="V2">
        <f>IF(COUNTIFS(T_StockCount[Part Name],$A2,T_StockCount[WeekIndex],21)&gt;0,SUMIFS(T_StockCount[CountedQty],T_StockCount[Part Name],$A2,T_StockCount[WeekIndex],21),IF((('T_SelfStock'!V6&lt;&gt;""))*(('T_TTAFStock'!V6&lt;&gt;""))&gt;0,'T_SelfStock'!V6+'T_TTAFStock'!V6,U2+'Grid_Incoming'!V2-'Grid_Requirement'!V2))</f>
        <v/>
      </c>
      <c r="W2">
        <f>IF(COUNTIFS(T_StockCount[Part Name],$A2,T_StockCount[WeekIndex],22)&gt;0,SUMIFS(T_StockCount[CountedQty],T_StockCount[Part Name],$A2,T_StockCount[WeekIndex],22),IF((('T_SelfStock'!W6&lt;&gt;""))*(('T_TTAFStock'!W6&lt;&gt;""))&gt;0,'T_SelfStock'!W6+'T_TTAFStock'!W6,V2+'Grid_Incoming'!W2-'Grid_Requirement'!W2))</f>
        <v/>
      </c>
      <c r="X2">
        <f>IF(COUNTIFS(T_StockCount[Part Name],$A2,T_StockCount[WeekIndex],23)&gt;0,SUMIFS(T_StockCount[CountedQty],T_StockCount[Part Name],$A2,T_StockCount[WeekIndex],23),IF((('T_SelfStock'!X6&lt;&gt;""))*(('T_TTAFStock'!X6&lt;&gt;""))&gt;0,'T_SelfStock'!X6+'T_TTAFStock'!X6,W2+'Grid_Incoming'!X2-'Grid_Requirement'!X2))</f>
        <v/>
      </c>
      <c r="Y2">
        <f>IF(COUNTIFS(T_StockCount[Part Name],$A2,T_StockCount[WeekIndex],24)&gt;0,SUMIFS(T_StockCount[CountedQty],T_StockCount[Part Name],$A2,T_StockCount[WeekIndex],24),IF((('T_SelfStock'!Y6&lt;&gt;""))*(('T_TTAFStock'!Y6&lt;&gt;""))&gt;0,'T_SelfStock'!Y6+'T_TTAFStock'!Y6,X2+'Grid_Incoming'!Y2-'Grid_Requirement'!Y2))</f>
        <v/>
      </c>
      <c r="Z2">
        <f>IF(COUNTIFS(T_StockCount[Part Name],$A2,T_StockCount[WeekIndex],25)&gt;0,SUMIFS(T_StockCount[CountedQty],T_StockCount[Part Name],$A2,T_StockCount[WeekIndex],25),IF((('T_SelfStock'!Z6&lt;&gt;""))*(('T_TTAFStock'!Z6&lt;&gt;""))&gt;0,'T_SelfStock'!Z6+'T_TTAFStock'!Z6,Y2+'Grid_Incoming'!Z2-'Grid_Requirement'!Z2))</f>
        <v/>
      </c>
      <c r="AA2">
        <f>IF(COUNTIFS(T_StockCount[Part Name],$A2,T_StockCount[WeekIndex],26)&gt;0,SUMIFS(T_StockCount[CountedQty],T_StockCount[Part Name],$A2,T_StockCount[WeekIndex],26),IF((('T_SelfStock'!AA6&lt;&gt;""))*(('T_TTAFStock'!AA6&lt;&gt;""))&gt;0,'T_SelfStock'!AA6+'T_TTAFStock'!AA6,Z2+'Grid_Incoming'!AA2-'Grid_Requirement'!AA2))</f>
        <v/>
      </c>
      <c r="AB2">
        <f>IF(COUNTIFS(T_StockCount[Part Name],$A2,T_StockCount[WeekIndex],27)&gt;0,SUMIFS(T_StockCount[CountedQty],T_StockCount[Part Name],$A2,T_StockCount[WeekIndex],27),IF((('T_SelfStock'!AB6&lt;&gt;""))*(('T_TTAFStock'!AB6&lt;&gt;""))&gt;0,'T_SelfStock'!AB6+'T_TTAFStock'!AB6,AA2+'Grid_Incoming'!AB2-'Grid_Requirement'!AB2))</f>
        <v/>
      </c>
      <c r="AC2">
        <f>IF(COUNTIFS(T_StockCount[Part Name],$A2,T_StockCount[WeekIndex],28)&gt;0,SUMIFS(T_StockCount[CountedQty],T_StockCount[Part Name],$A2,T_StockCount[WeekIndex],28),IF((('T_SelfStock'!AC6&lt;&gt;""))*(('T_TTAFStock'!AC6&lt;&gt;""))&gt;0,'T_SelfStock'!AC6+'T_TTAFStock'!AC6,AB2+'Grid_Incoming'!AC2-'Grid_Requirement'!AC2))</f>
        <v/>
      </c>
      <c r="AD2">
        <f>IF(COUNTIFS(T_StockCount[Part Name],$A2,T_StockCount[WeekIndex],29)&gt;0,SUMIFS(T_StockCount[CountedQty],T_StockCount[Part Name],$A2,T_StockCount[WeekIndex],29),IF((('T_SelfStock'!AD6&lt;&gt;""))*(('T_TTAFStock'!AD6&lt;&gt;""))&gt;0,'T_SelfStock'!AD6+'T_TTAFStock'!AD6,AC2+'Grid_Incoming'!AD2-'Grid_Requirement'!AD2))</f>
        <v/>
      </c>
      <c r="AE2">
        <f>IF(COUNTIFS(T_StockCount[Part Name],$A2,T_StockCount[WeekIndex],30)&gt;0,SUMIFS(T_StockCount[CountedQty],T_StockCount[Part Name],$A2,T_StockCount[WeekIndex],30),IF((('T_SelfStock'!AE6&lt;&gt;""))*(('T_TTAFStock'!AE6&lt;&gt;""))&gt;0,'T_SelfStock'!AE6+'T_TTAFStock'!AE6,AD2+'Grid_Incoming'!AE2-'Grid_Requirement'!AE2))</f>
        <v/>
      </c>
      <c r="AF2">
        <f>IF(COUNTIFS(T_StockCount[Part Name],$A2,T_StockCount[WeekIndex],31)&gt;0,SUMIFS(T_StockCount[CountedQty],T_StockCount[Part Name],$A2,T_StockCount[WeekIndex],31),IF((('T_SelfStock'!AF6&lt;&gt;""))*(('T_TTAFStock'!AF6&lt;&gt;""))&gt;0,'T_SelfStock'!AF6+'T_TTAFStock'!AF6,AE2+'Grid_Incoming'!AF2-'Grid_Requirement'!AF2))</f>
        <v/>
      </c>
      <c r="AG2">
        <f>IF(COUNTIFS(T_StockCount[Part Name],$A2,T_StockCount[WeekIndex],32)&gt;0,SUMIFS(T_StockCount[CountedQty],T_StockCount[Part Name],$A2,T_StockCount[WeekIndex],32),IF((('T_SelfStock'!AG6&lt;&gt;""))*(('T_TTAFStock'!AG6&lt;&gt;""))&gt;0,'T_SelfStock'!AG6+'T_TTAFStock'!AG6,AF2+'Grid_Incoming'!AG2-'Grid_Requirement'!AG2))</f>
        <v/>
      </c>
      <c r="AH2">
        <f>IF(COUNTIFS(T_StockCount[Part Name],$A2,T_StockCount[WeekIndex],33)&gt;0,SUMIFS(T_StockCount[CountedQty],T_StockCount[Part Name],$A2,T_StockCount[WeekIndex],33),IF((('T_SelfStock'!AH6&lt;&gt;""))*(('T_TTAFStock'!AH6&lt;&gt;""))&gt;0,'T_SelfStock'!AH6+'T_TTAFStock'!AH6,AG2+'Grid_Incoming'!AH2-'Grid_Requirement'!AH2))</f>
        <v/>
      </c>
      <c r="AI2">
        <f>IF(COUNTIFS(T_StockCount[Part Name],$A2,T_StockCount[WeekIndex],34)&gt;0,SUMIFS(T_StockCount[CountedQty],T_StockCount[Part Name],$A2,T_StockCount[WeekIndex],34),IF((('T_SelfStock'!AI6&lt;&gt;""))*(('T_TTAFStock'!AI6&lt;&gt;""))&gt;0,'T_SelfStock'!AI6+'T_TTAFStock'!AI6,AH2+'Grid_Incoming'!AI2-'Grid_Requirement'!AI2))</f>
        <v/>
      </c>
      <c r="AJ2">
        <f>IF(COUNTIFS(T_StockCount[Part Name],$A2,T_StockCount[WeekIndex],35)&gt;0,SUMIFS(T_StockCount[CountedQty],T_StockCount[Part Name],$A2,T_StockCount[WeekIndex],35),IF((('T_SelfStock'!AJ6&lt;&gt;""))*(('T_TTAFStock'!AJ6&lt;&gt;""))&gt;0,'T_SelfStock'!AJ6+'T_TTAFStock'!AJ6,AI2+'Grid_Incoming'!AJ2-'Grid_Requirement'!AJ2))</f>
        <v/>
      </c>
      <c r="AK2">
        <f>IF(COUNTIFS(T_StockCount[Part Name],$A2,T_StockCount[WeekIndex],36)&gt;0,SUMIFS(T_StockCount[CountedQty],T_StockCount[Part Name],$A2,T_StockCount[WeekIndex],36),IF((('T_SelfStock'!AK6&lt;&gt;""))*(('T_TTAFStock'!AK6&lt;&gt;""))&gt;0,'T_SelfStock'!AK6+'T_TTAFStock'!AK6,AJ2+'Grid_Incoming'!AK2-'Grid_Requirement'!AK2))</f>
        <v/>
      </c>
      <c r="AL2">
        <f>IF(COUNTIFS(T_StockCount[Part Name],$A2,T_StockCount[WeekIndex],37)&gt;0,SUMIFS(T_StockCount[CountedQty],T_StockCount[Part Name],$A2,T_StockCount[WeekIndex],37),IF((('T_SelfStock'!AL6&lt;&gt;""))*(('T_TTAFStock'!AL6&lt;&gt;""))&gt;0,'T_SelfStock'!AL6+'T_TTAFStock'!AL6,AK2+'Grid_Incoming'!AL2-'Grid_Requirement'!AL2))</f>
        <v/>
      </c>
      <c r="AM2">
        <f>IF(COUNTIFS(T_StockCount[Part Name],$A2,T_StockCount[WeekIndex],38)&gt;0,SUMIFS(T_StockCount[CountedQty],T_StockCount[Part Name],$A2,T_StockCount[WeekIndex],38),IF((('T_SelfStock'!AM6&lt;&gt;""))*(('T_TTAFStock'!AM6&lt;&gt;""))&gt;0,'T_SelfStock'!AM6+'T_TTAFStock'!AM6,AL2+'Grid_Incoming'!AM2-'Grid_Requirement'!AM2))</f>
        <v/>
      </c>
      <c r="AN2">
        <f>IF(COUNTIFS(T_StockCount[Part Name],$A2,T_StockCount[WeekIndex],39)&gt;0,SUMIFS(T_StockCount[CountedQty],T_StockCount[Part Name],$A2,T_StockCount[WeekIndex],39),IF((('T_SelfStock'!AN6&lt;&gt;""))*(('T_TTAFStock'!AN6&lt;&gt;""))&gt;0,'T_SelfStock'!AN6+'T_TTAFStock'!AN6,AM2+'Grid_Incoming'!AN2-'Grid_Requirement'!AN2))</f>
        <v/>
      </c>
      <c r="AO2">
        <f>IF(COUNTIFS(T_StockCount[Part Name],$A2,T_StockCount[WeekIndex],40)&gt;0,SUMIFS(T_StockCount[CountedQty],T_StockCount[Part Name],$A2,T_StockCount[WeekIndex],40),IF((('T_SelfStock'!AO6&lt;&gt;""))*(('T_TTAFStock'!AO6&lt;&gt;""))&gt;0,'T_SelfStock'!AO6+'T_TTAFStock'!AO6,AN2+'Grid_Incoming'!AO2-'Grid_Requirement'!AO2))</f>
        <v/>
      </c>
      <c r="AP2">
        <f>IF(COUNTIFS(T_StockCount[Part Name],$A2,T_StockCount[WeekIndex],41)&gt;0,SUMIFS(T_StockCount[CountedQty],T_StockCount[Part Name],$A2,T_StockCount[WeekIndex],41),IF((('T_SelfStock'!AP6&lt;&gt;""))*(('T_TTAFStock'!AP6&lt;&gt;""))&gt;0,'T_SelfStock'!AP6+'T_TTAFStock'!AP6,AO2+'Grid_Incoming'!AP2-'Grid_Requirement'!AP2))</f>
        <v/>
      </c>
      <c r="AQ2">
        <f>IF(COUNTIFS(T_StockCount[Part Name],$A2,T_StockCount[WeekIndex],42)&gt;0,SUMIFS(T_StockCount[CountedQty],T_StockCount[Part Name],$A2,T_StockCount[WeekIndex],42),IF((('T_SelfStock'!AQ6&lt;&gt;""))*(('T_TTAFStock'!AQ6&lt;&gt;""))&gt;0,'T_SelfStock'!AQ6+'T_TTAFStock'!AQ6,AP2+'Grid_Incoming'!AQ2-'Grid_Requirement'!AQ2))</f>
        <v/>
      </c>
      <c r="AR2">
        <f>IF(COUNTIFS(T_StockCount[Part Name],$A2,T_StockCount[WeekIndex],43)&gt;0,SUMIFS(T_StockCount[CountedQty],T_StockCount[Part Name],$A2,T_StockCount[WeekIndex],43),IF((('T_SelfStock'!AR6&lt;&gt;""))*(('T_TTAFStock'!AR6&lt;&gt;""))&gt;0,'T_SelfStock'!AR6+'T_TTAFStock'!AR6,AQ2+'Grid_Incoming'!AR2-'Grid_Requirement'!AR2))</f>
        <v/>
      </c>
      <c r="AS2">
        <f>IF(COUNTIFS(T_StockCount[Part Name],$A2,T_StockCount[WeekIndex],44)&gt;0,SUMIFS(T_StockCount[CountedQty],T_StockCount[Part Name],$A2,T_StockCount[WeekIndex],44),IF((('T_SelfStock'!AS6&lt;&gt;""))*(('T_TTAFStock'!AS6&lt;&gt;""))&gt;0,'T_SelfStock'!AS6+'T_TTAFStock'!AS6,AR2+'Grid_Incoming'!AS2-'Grid_Requirement'!AS2))</f>
        <v/>
      </c>
      <c r="AT2">
        <f>IF(COUNTIFS(T_StockCount[Part Name],$A2,T_StockCount[WeekIndex],45)&gt;0,SUMIFS(T_StockCount[CountedQty],T_StockCount[Part Name],$A2,T_StockCount[WeekIndex],45),IF((('T_SelfStock'!AT6&lt;&gt;""))*(('T_TTAFStock'!AT6&lt;&gt;""))&gt;0,'T_SelfStock'!AT6+'T_TTAFStock'!AT6,AS2+'Grid_Incoming'!AT2-'Grid_Requirement'!AT2))</f>
        <v/>
      </c>
      <c r="AU2">
        <f>IF(COUNTIFS(T_StockCount[Part Name],$A2,T_StockCount[WeekIndex],46)&gt;0,SUMIFS(T_StockCount[CountedQty],T_StockCount[Part Name],$A2,T_StockCount[WeekIndex],46),IF((('T_SelfStock'!AU6&lt;&gt;""))*(('T_TTAFStock'!AU6&lt;&gt;""))&gt;0,'T_SelfStock'!AU6+'T_TTAFStock'!AU6,AT2+'Grid_Incoming'!AU2-'Grid_Requirement'!AU2))</f>
        <v/>
      </c>
      <c r="AV2">
        <f>IF(COUNTIFS(T_StockCount[Part Name],$A2,T_StockCount[WeekIndex],47)&gt;0,SUMIFS(T_StockCount[CountedQty],T_StockCount[Part Name],$A2,T_StockCount[WeekIndex],47),IF((('T_SelfStock'!AV6&lt;&gt;""))*(('T_TTAFStock'!AV6&lt;&gt;""))&gt;0,'T_SelfStock'!AV6+'T_TTAFStock'!AV6,AU2+'Grid_Incoming'!AV2-'Grid_Requirement'!AV2))</f>
        <v/>
      </c>
      <c r="AW2">
        <f>IF(COUNTIFS(T_StockCount[Part Name],$A2,T_StockCount[WeekIndex],48)&gt;0,SUMIFS(T_StockCount[CountedQty],T_StockCount[Part Name],$A2,T_StockCount[WeekIndex],48),IF((('T_SelfStock'!AW6&lt;&gt;""))*(('T_TTAFStock'!AW6&lt;&gt;""))&gt;0,'T_SelfStock'!AW6+'T_TTAFStock'!AW6,AV2+'Grid_Incoming'!AW2-'Grid_Requirement'!AW2))</f>
        <v/>
      </c>
      <c r="AX2">
        <f>IF(COUNTIFS(T_StockCount[Part Name],$A2,T_StockCount[WeekIndex],49)&gt;0,SUMIFS(T_StockCount[CountedQty],T_StockCount[Part Name],$A2,T_StockCount[WeekIndex],49),IF((('T_SelfStock'!AX6&lt;&gt;""))*(('T_TTAFStock'!AX6&lt;&gt;""))&gt;0,'T_SelfStock'!AX6+'T_TTAFStock'!AX6,AW2+'Grid_Incoming'!AX2-'Grid_Requirement'!AX2))</f>
        <v/>
      </c>
      <c r="AY2">
        <f>IF(COUNTIFS(T_StockCount[Part Name],$A2,T_StockCount[WeekIndex],50)&gt;0,SUMIFS(T_StockCount[CountedQty],T_StockCount[Part Name],$A2,T_StockCount[WeekIndex],50),IF((('T_SelfStock'!AY6&lt;&gt;""))*(('T_TTAFStock'!AY6&lt;&gt;""))&gt;0,'T_SelfStock'!AY6+'T_TTAFStock'!AY6,AX2+'Grid_Incoming'!AY2-'Grid_Requirement'!AY2))</f>
        <v/>
      </c>
      <c r="AZ2">
        <f>IF(COUNTIFS(T_StockCount[Part Name],$A2,T_StockCount[WeekIndex],51)&gt;0,SUMIFS(T_StockCount[CountedQty],T_StockCount[Part Name],$A2,T_StockCount[WeekIndex],51),IF((('T_SelfStock'!AZ6&lt;&gt;""))*(('T_TTAFStock'!AZ6&lt;&gt;""))&gt;0,'T_SelfStock'!AZ6+'T_TTAFStock'!AZ6,AY2+'Grid_Incoming'!AZ2-'Grid_Requirement'!AZ2))</f>
        <v/>
      </c>
      <c r="BA2">
        <f>IF(COUNTIFS(T_StockCount[Part Name],$A2,T_StockCount[WeekIndex],52)&gt;0,SUMIFS(T_StockCount[CountedQty],T_StockCount[Part Name],$A2,T_StockCount[WeekIndex],52),IF((('T_SelfStock'!BA6&lt;&gt;""))*(('T_TTAFStock'!BA6&lt;&gt;""))&gt;0,'T_SelfStock'!BA6+'T_TTAFStock'!BA6,AZ2+'Grid_Incoming'!BA2-'Grid_Requirement'!BA2))</f>
        <v/>
      </c>
      <c r="BB2">
        <f>IF(COUNTIFS(T_StockCount[Part Name],$A2,T_StockCount[WeekIndex],53)&gt;0,SUMIFS(T_StockCount[CountedQty],T_StockCount[Part Name],$A2,T_StockCount[WeekIndex],53),IF((('T_SelfStock'!BB6&lt;&gt;""))*(('T_TTAFStock'!BB6&lt;&gt;""))&gt;0,'T_SelfStock'!BB6+'T_TTAFStock'!BB6,BA2+'Grid_Incoming'!BB2-'Grid_Requirement'!BB2))</f>
        <v/>
      </c>
      <c r="BC2">
        <f>IF(COUNTIFS(T_StockCount[Part Name],$A2,T_StockCount[WeekIndex],54)&gt;0,SUMIFS(T_StockCount[CountedQty],T_StockCount[Part Name],$A2,T_StockCount[WeekIndex],54),IF((('T_SelfStock'!BC6&lt;&gt;""))*(('T_TTAFStock'!BC6&lt;&gt;""))&gt;0,'T_SelfStock'!BC6+'T_TTAFStock'!BC6,BB2+'Grid_Incoming'!BC2-'Grid_Requirement'!BC2))</f>
        <v/>
      </c>
      <c r="BD2">
        <f>IF(COUNTIFS(T_StockCount[Part Name],$A2,T_StockCount[WeekIndex],55)&gt;0,SUMIFS(T_StockCount[CountedQty],T_StockCount[Part Name],$A2,T_StockCount[WeekIndex],55),IF((('T_SelfStock'!BD6&lt;&gt;""))*(('T_TTAFStock'!BD6&lt;&gt;""))&gt;0,'T_SelfStock'!BD6+'T_TTAFStock'!BD6,BC2+'Grid_Incoming'!BD2-'Grid_Requirement'!BD2))</f>
        <v/>
      </c>
      <c r="BE2">
        <f>IF(COUNTIFS(T_StockCount[Part Name],$A2,T_StockCount[WeekIndex],56)&gt;0,SUMIFS(T_StockCount[CountedQty],T_StockCount[Part Name],$A2,T_StockCount[WeekIndex],56),IF((('T_SelfStock'!BE6&lt;&gt;""))*(('T_TTAFStock'!BE6&lt;&gt;""))&gt;0,'T_SelfStock'!BE6+'T_TTAFStock'!BE6,BD2+'Grid_Incoming'!BE2-'Grid_Requirement'!BE2))</f>
        <v/>
      </c>
      <c r="BF2">
        <f>IF(COUNTIFS(T_StockCount[Part Name],$A2,T_StockCount[WeekIndex],57)&gt;0,SUMIFS(T_StockCount[CountedQty],T_StockCount[Part Name],$A2,T_StockCount[WeekIndex],57),IF((('T_SelfStock'!BF6&lt;&gt;""))*(('T_TTAFStock'!BF6&lt;&gt;""))&gt;0,'T_SelfStock'!BF6+'T_TTAFStock'!BF6,BE2+'Grid_Incoming'!BF2-'Grid_Requirement'!BF2))</f>
        <v/>
      </c>
      <c r="BG2">
        <f>IF(COUNTIFS(T_StockCount[Part Name],$A2,T_StockCount[WeekIndex],58)&gt;0,SUMIFS(T_StockCount[CountedQty],T_StockCount[Part Name],$A2,T_StockCount[WeekIndex],58),IF((('T_SelfStock'!BG6&lt;&gt;""))*(('T_TTAFStock'!BG6&lt;&gt;""))&gt;0,'T_SelfStock'!BG6+'T_TTAFStock'!BG6,BF2+'Grid_Incoming'!BG2-'Grid_Requirement'!BG2))</f>
        <v/>
      </c>
      <c r="BH2">
        <f>IF(COUNTIFS(T_StockCount[Part Name],$A2,T_StockCount[WeekIndex],59)&gt;0,SUMIFS(T_StockCount[CountedQty],T_StockCount[Part Name],$A2,T_StockCount[WeekIndex],59),IF((('T_SelfStock'!BH6&lt;&gt;""))*(('T_TTAFStock'!BH6&lt;&gt;""))&gt;0,'T_SelfStock'!BH6+'T_TTAFStock'!BH6,BG2+'Grid_Incoming'!BH2-'Grid_Requirement'!BH2))</f>
        <v/>
      </c>
      <c r="BI2">
        <f>IF(COUNTIFS(T_StockCount[Part Name],$A2,T_StockCount[WeekIndex],60)&gt;0,SUMIFS(T_StockCount[CountedQty],T_StockCount[Part Name],$A2,T_StockCount[WeekIndex],60),IF((('T_SelfStock'!BI6&lt;&gt;""))*(('T_TTAFStock'!BI6&lt;&gt;""))&gt;0,'T_SelfStock'!BI6+'T_TTAFStock'!BI6,BH2+'Grid_Incoming'!BI2-'Grid_Requirement'!BI2))</f>
        <v/>
      </c>
      <c r="BJ2">
        <f>IF(COUNTIFS(T_StockCount[Part Name],$A2,T_StockCount[WeekIndex],61)&gt;0,SUMIFS(T_StockCount[CountedQty],T_StockCount[Part Name],$A2,T_StockCount[WeekIndex],61),IF((('T_SelfStock'!BJ6&lt;&gt;""))*(('T_TTAFStock'!BJ6&lt;&gt;""))&gt;0,'T_SelfStock'!BJ6+'T_TTAFStock'!BJ6,BI2+'Grid_Incoming'!BJ2-'Grid_Requirement'!BJ2))</f>
        <v/>
      </c>
      <c r="BK2">
        <f>IF(COUNTIFS(T_StockCount[Part Name],$A2,T_StockCount[WeekIndex],62)&gt;0,SUMIFS(T_StockCount[CountedQty],T_StockCount[Part Name],$A2,T_StockCount[WeekIndex],62),IF((('T_SelfStock'!BK6&lt;&gt;""))*(('T_TTAFStock'!BK6&lt;&gt;""))&gt;0,'T_SelfStock'!BK6+'T_TTAFStock'!BK6,BJ2+'Grid_Incoming'!BK2-'Grid_Requirement'!BK2))</f>
        <v/>
      </c>
      <c r="BL2">
        <f>IF(COUNTIFS(T_StockCount[Part Name],$A2,T_StockCount[WeekIndex],63)&gt;0,SUMIFS(T_StockCount[CountedQty],T_StockCount[Part Name],$A2,T_StockCount[WeekIndex],63),IF((('T_SelfStock'!BL6&lt;&gt;""))*(('T_TTAFStock'!BL6&lt;&gt;""))&gt;0,'T_SelfStock'!BL6+'T_TTAFStock'!BL6,BK2+'Grid_Incoming'!BL2-'Grid_Requirement'!BL2))</f>
        <v/>
      </c>
      <c r="BM2">
        <f>IF(COUNTIFS(T_StockCount[Part Name],$A2,T_StockCount[WeekIndex],64)&gt;0,SUMIFS(T_StockCount[CountedQty],T_StockCount[Part Name],$A2,T_StockCount[WeekIndex],64),IF((('T_SelfStock'!BM6&lt;&gt;""))*(('T_TTAFStock'!BM6&lt;&gt;""))&gt;0,'T_SelfStock'!BM6+'T_TTAFStock'!BM6,BL2+'Grid_Incoming'!BM2-'Grid_Requirement'!BM2))</f>
        <v/>
      </c>
      <c r="BN2">
        <f>IF(COUNTIFS(T_StockCount[Part Name],$A2,T_StockCount[WeekIndex],65)&gt;0,SUMIFS(T_StockCount[CountedQty],T_StockCount[Part Name],$A2,T_StockCount[WeekIndex],65),IF((('T_SelfStock'!BN6&lt;&gt;""))*(('T_TTAFStock'!BN6&lt;&gt;""))&gt;0,'T_SelfStock'!BN6+'T_TTAFStock'!BN6,BM2+'Grid_Incoming'!BN2-'Grid_Requirement'!BN2))</f>
        <v/>
      </c>
      <c r="BO2">
        <f>IF(COUNTIFS(T_StockCount[Part Name],$A2,T_StockCount[WeekIndex],66)&gt;0,SUMIFS(T_StockCount[CountedQty],T_StockCount[Part Name],$A2,T_StockCount[WeekIndex],66),IF((('T_SelfStock'!BO6&lt;&gt;""))*(('T_TTAFStock'!BO6&lt;&gt;""))&gt;0,'T_SelfStock'!BO6+'T_TTAFStock'!BO6,BN2+'Grid_Incoming'!BO2-'Grid_Requirement'!BO2))</f>
        <v/>
      </c>
      <c r="BP2">
        <f>IF(COUNTIFS(T_StockCount[Part Name],$A2,T_StockCount[WeekIndex],67)&gt;0,SUMIFS(T_StockCount[CountedQty],T_StockCount[Part Name],$A2,T_StockCount[WeekIndex],67),IF((('T_SelfStock'!BP6&lt;&gt;""))*(('T_TTAFStock'!BP6&lt;&gt;""))&gt;0,'T_SelfStock'!BP6+'T_TTAFStock'!BP6,BO2+'Grid_Incoming'!BP2-'Grid_Requirement'!BP2))</f>
        <v/>
      </c>
      <c r="BQ2">
        <f>IF(COUNTIFS(T_StockCount[Part Name],$A2,T_StockCount[WeekIndex],68)&gt;0,SUMIFS(T_StockCount[CountedQty],T_StockCount[Part Name],$A2,T_StockCount[WeekIndex],68),IF((('T_SelfStock'!BQ6&lt;&gt;""))*(('T_TTAFStock'!BQ6&lt;&gt;""))&gt;0,'T_SelfStock'!BQ6+'T_TTAFStock'!BQ6,BP2+'Grid_Incoming'!BQ2-'Grid_Requirement'!BQ2))</f>
        <v/>
      </c>
      <c r="BR2">
        <f>IF(COUNTIFS(T_StockCount[Part Name],$A2,T_StockCount[WeekIndex],69)&gt;0,SUMIFS(T_StockCount[CountedQty],T_StockCount[Part Name],$A2,T_StockCount[WeekIndex],69),IF((('T_SelfStock'!BR6&lt;&gt;""))*(('T_TTAFStock'!BR6&lt;&gt;""))&gt;0,'T_SelfStock'!BR6+'T_TTAFStock'!BR6,BQ2+'Grid_Incoming'!BR2-'Grid_Requirement'!BR2))</f>
        <v/>
      </c>
      <c r="BS2">
        <f>IF(COUNTIFS(T_StockCount[Part Name],$A2,T_StockCount[WeekIndex],70)&gt;0,SUMIFS(T_StockCount[CountedQty],T_StockCount[Part Name],$A2,T_StockCount[WeekIndex],70),IF((('T_SelfStock'!BS6&lt;&gt;""))*(('T_TTAFStock'!BS6&lt;&gt;""))&gt;0,'T_SelfStock'!BS6+'T_TTAFStock'!BS6,BR2+'Grid_Incoming'!BS2-'Grid_Requirement'!BS2))</f>
        <v/>
      </c>
      <c r="BT2">
        <f>IF(COUNTIFS(T_StockCount[Part Name],$A2,T_StockCount[WeekIndex],71)&gt;0,SUMIFS(T_StockCount[CountedQty],T_StockCount[Part Name],$A2,T_StockCount[WeekIndex],71),IF((('T_SelfStock'!BT6&lt;&gt;""))*(('T_TTAFStock'!BT6&lt;&gt;""))&gt;0,'T_SelfStock'!BT6+'T_TTAFStock'!BT6,BS2+'Grid_Incoming'!BT2-'Grid_Requirement'!BT2))</f>
        <v/>
      </c>
      <c r="BU2">
        <f>IF(COUNTIFS(T_StockCount[Part Name],$A2,T_StockCount[WeekIndex],72)&gt;0,SUMIFS(T_StockCount[CountedQty],T_StockCount[Part Name],$A2,T_StockCount[WeekIndex],72),IF((('T_SelfStock'!BU6&lt;&gt;""))*(('T_TTAFStock'!BU6&lt;&gt;""))&gt;0,'T_SelfStock'!BU6+'T_TTAFStock'!BU6,BT2+'Grid_Incoming'!BU2-'Grid_Requirement'!BU2))</f>
        <v/>
      </c>
      <c r="BV2">
        <f>IF(COUNTIFS(T_StockCount[Part Name],$A2,T_StockCount[WeekIndex],73)&gt;0,SUMIFS(T_StockCount[CountedQty],T_StockCount[Part Name],$A2,T_StockCount[WeekIndex],73),IF((('T_SelfStock'!BV6&lt;&gt;""))*(('T_TTAFStock'!BV6&lt;&gt;""))&gt;0,'T_SelfStock'!BV6+'T_TTAFStock'!BV6,BU2+'Grid_Incoming'!BV2-'Grid_Requirement'!BV2))</f>
        <v/>
      </c>
      <c r="BW2">
        <f>IF(COUNTIFS(T_StockCount[Part Name],$A2,T_StockCount[WeekIndex],74)&gt;0,SUMIFS(T_StockCount[CountedQty],T_StockCount[Part Name],$A2,T_StockCount[WeekIndex],74),IF((('T_SelfStock'!BW6&lt;&gt;""))*(('T_TTAFStock'!BW6&lt;&gt;""))&gt;0,'T_SelfStock'!BW6+'T_TTAFStock'!BW6,BV2+'Grid_Incoming'!BW2-'Grid_Requirement'!BW2))</f>
        <v/>
      </c>
      <c r="BX2">
        <f>IF(COUNTIFS(T_StockCount[Part Name],$A2,T_StockCount[WeekIndex],75)&gt;0,SUMIFS(T_StockCount[CountedQty],T_StockCount[Part Name],$A2,T_StockCount[WeekIndex],75),IF((('T_SelfStock'!BX6&lt;&gt;""))*(('T_TTAFStock'!BX6&lt;&gt;""))&gt;0,'T_SelfStock'!BX6+'T_TTAFStock'!BX6,BW2+'Grid_Incoming'!BX2-'Grid_Requirement'!BX2))</f>
        <v/>
      </c>
      <c r="BY2">
        <f>IF(COUNTIFS(T_StockCount[Part Name],$A2,T_StockCount[WeekIndex],76)&gt;0,SUMIFS(T_StockCount[CountedQty],T_StockCount[Part Name],$A2,T_StockCount[WeekIndex],76),IF((('T_SelfStock'!BY6&lt;&gt;""))*(('T_TTAFStock'!BY6&lt;&gt;""))&gt;0,'T_SelfStock'!BY6+'T_TTAFStock'!BY6,BX2+'Grid_Incoming'!BY2-'Grid_Requirement'!BY2))</f>
        <v/>
      </c>
      <c r="BZ2">
        <f>IF(COUNTIFS(T_StockCount[Part Name],$A2,T_StockCount[WeekIndex],77)&gt;0,SUMIFS(T_StockCount[CountedQty],T_StockCount[Part Name],$A2,T_StockCount[WeekIndex],77),IF((('T_SelfStock'!BZ6&lt;&gt;""))*(('T_TTAFStock'!BZ6&lt;&gt;""))&gt;0,'T_SelfStock'!BZ6+'T_TTAFStock'!BZ6,BY2+'Grid_Incoming'!BZ2-'Grid_Requirement'!BZ2))</f>
        <v/>
      </c>
      <c r="CA2">
        <f>IF(COUNTIFS(T_StockCount[Part Name],$A2,T_StockCount[WeekIndex],78)&gt;0,SUMIFS(T_StockCount[CountedQty],T_StockCount[Part Name],$A2,T_StockCount[WeekIndex],78),IF((('T_SelfStock'!CA6&lt;&gt;""))*(('T_TTAFStock'!CA6&lt;&gt;""))&gt;0,'T_SelfStock'!CA6+'T_TTAFStock'!CA6,BZ2+'Grid_Incoming'!CA2-'Grid_Requirement'!CA2))</f>
        <v/>
      </c>
      <c r="CB2">
        <f>IF(COUNTIFS(T_StockCount[Part Name],$A2,T_StockCount[WeekIndex],79)&gt;0,SUMIFS(T_StockCount[CountedQty],T_StockCount[Part Name],$A2,T_StockCount[WeekIndex],79),IF((('T_SelfStock'!CB6&lt;&gt;""))*(('T_TTAFStock'!CB6&lt;&gt;""))&gt;0,'T_SelfStock'!CB6+'T_TTAFStock'!CB6,CA2+'Grid_Incoming'!CB2-'Grid_Requirement'!CB2))</f>
        <v/>
      </c>
      <c r="CC2">
        <f>IF(COUNTIFS(T_StockCount[Part Name],$A2,T_StockCount[WeekIndex],80)&gt;0,SUMIFS(T_StockCount[CountedQty],T_StockCount[Part Name],$A2,T_StockCount[WeekIndex],80),IF((('T_SelfStock'!CC6&lt;&gt;""))*(('T_TTAFStock'!CC6&lt;&gt;""))&gt;0,'T_SelfStock'!CC6+'T_TTAFStock'!CC6,CB2+'Grid_Incoming'!CC2-'Grid_Requirement'!CC2))</f>
        <v/>
      </c>
      <c r="CD2">
        <f>IF(COUNTIFS(T_StockCount[Part Name],$A2,T_StockCount[WeekIndex],81)&gt;0,SUMIFS(T_StockCount[CountedQty],T_StockCount[Part Name],$A2,T_StockCount[WeekIndex],81),IF((('T_SelfStock'!CD6&lt;&gt;""))*(('T_TTAFStock'!CD6&lt;&gt;""))&gt;0,'T_SelfStock'!CD6+'T_TTAFStock'!CD6,CC2+'Grid_Incoming'!CD2-'Grid_Requirement'!CD2))</f>
        <v/>
      </c>
      <c r="CE2">
        <f>IF(COUNTIFS(T_StockCount[Part Name],$A2,T_StockCount[WeekIndex],82)&gt;0,SUMIFS(T_StockCount[CountedQty],T_StockCount[Part Name],$A2,T_StockCount[WeekIndex],82),IF((('T_SelfStock'!CE6&lt;&gt;""))*(('T_TTAFStock'!CE6&lt;&gt;""))&gt;0,'T_SelfStock'!CE6+'T_TTAFStock'!CE6,CD2+'Grid_Incoming'!CE2-'Grid_Requirement'!CE2))</f>
        <v/>
      </c>
      <c r="CF2">
        <f>IF(COUNTIFS(T_StockCount[Part Name],$A2,T_StockCount[WeekIndex],83)&gt;0,SUMIFS(T_StockCount[CountedQty],T_StockCount[Part Name],$A2,T_StockCount[WeekIndex],83),IF((('T_SelfStock'!CF6&lt;&gt;""))*(('T_TTAFStock'!CF6&lt;&gt;""))&gt;0,'T_SelfStock'!CF6+'T_TTAFStock'!CF6,CE2+'Grid_Incoming'!CF2-'Grid_Requirement'!CF2))</f>
        <v/>
      </c>
      <c r="CG2">
        <f>IF(COUNTIFS(T_StockCount[Part Name],$A2,T_StockCount[WeekIndex],84)&gt;0,SUMIFS(T_StockCount[CountedQty],T_StockCount[Part Name],$A2,T_StockCount[WeekIndex],84),IF((('T_SelfStock'!CG6&lt;&gt;""))*(('T_TTAFStock'!CG6&lt;&gt;""))&gt;0,'T_SelfStock'!CG6+'T_TTAFStock'!CG6,CF2+'Grid_Incoming'!CG2-'Grid_Requirement'!CG2))</f>
        <v/>
      </c>
      <c r="CH2">
        <f>IF(COUNTIFS(T_StockCount[Part Name],$A2,T_StockCount[WeekIndex],85)&gt;0,SUMIFS(T_StockCount[CountedQty],T_StockCount[Part Name],$A2,T_StockCount[WeekIndex],85),IF((('T_SelfStock'!CH6&lt;&gt;""))*(('T_TTAFStock'!CH6&lt;&gt;""))&gt;0,'T_SelfStock'!CH6+'T_TTAFStock'!CH6,CG2+'Grid_Incoming'!CH2-'Grid_Requirement'!CH2))</f>
        <v/>
      </c>
      <c r="CI2">
        <f>IF(COUNTIFS(T_StockCount[Part Name],$A2,T_StockCount[WeekIndex],86)&gt;0,SUMIFS(T_StockCount[CountedQty],T_StockCount[Part Name],$A2,T_StockCount[WeekIndex],86),IF((('T_SelfStock'!CI6&lt;&gt;""))*(('T_TTAFStock'!CI6&lt;&gt;""))&gt;0,'T_SelfStock'!CI6+'T_TTAFStock'!CI6,CH2+'Grid_Incoming'!CI2-'Grid_Requirement'!CI2))</f>
        <v/>
      </c>
      <c r="CJ2">
        <f>IF(COUNTIFS(T_StockCount[Part Name],$A2,T_StockCount[WeekIndex],87)&gt;0,SUMIFS(T_StockCount[CountedQty],T_StockCount[Part Name],$A2,T_StockCount[WeekIndex],87),IF((('T_SelfStock'!CJ6&lt;&gt;""))*(('T_TTAFStock'!CJ6&lt;&gt;""))&gt;0,'T_SelfStock'!CJ6+'T_TTAFStock'!CJ6,CI2+'Grid_Incoming'!CJ2-'Grid_Requirement'!CJ2))</f>
        <v/>
      </c>
      <c r="CK2">
        <f>IF(COUNTIFS(T_StockCount[Part Name],$A2,T_StockCount[WeekIndex],88)&gt;0,SUMIFS(T_StockCount[CountedQty],T_StockCount[Part Name],$A2,T_StockCount[WeekIndex],88),IF((('T_SelfStock'!CK6&lt;&gt;""))*(('T_TTAFStock'!CK6&lt;&gt;""))&gt;0,'T_SelfStock'!CK6+'T_TTAFStock'!CK6,CJ2+'Grid_Incoming'!CK2-'Grid_Requirement'!CK2))</f>
        <v/>
      </c>
      <c r="CL2">
        <f>IF(COUNTIFS(T_StockCount[Part Name],$A2,T_StockCount[WeekIndex],89)&gt;0,SUMIFS(T_StockCount[CountedQty],T_StockCount[Part Name],$A2,T_StockCount[WeekIndex],89),IF((('T_SelfStock'!CL6&lt;&gt;""))*(('T_TTAFStock'!CL6&lt;&gt;""))&gt;0,'T_SelfStock'!CL6+'T_TTAFStock'!CL6,CK2+'Grid_Incoming'!CL2-'Grid_Requirement'!CL2))</f>
        <v/>
      </c>
      <c r="CM2">
        <f>IF(COUNTIFS(T_StockCount[Part Name],$A2,T_StockCount[WeekIndex],90)&gt;0,SUMIFS(T_StockCount[CountedQty],T_StockCount[Part Name],$A2,T_StockCount[WeekIndex],90),IF((('T_SelfStock'!CM6&lt;&gt;""))*(('T_TTAFStock'!CM6&lt;&gt;""))&gt;0,'T_SelfStock'!CM6+'T_TTAFStock'!CM6,CL2+'Grid_Incoming'!CM2-'Grid_Requirement'!CM2))</f>
        <v/>
      </c>
      <c r="CN2">
        <f>IF(COUNTIFS(T_StockCount[Part Name],$A2,T_StockCount[WeekIndex],91)&gt;0,SUMIFS(T_StockCount[CountedQty],T_StockCount[Part Name],$A2,T_StockCount[WeekIndex],91),IF((('T_SelfStock'!CN6&lt;&gt;""))*(('T_TTAFStock'!CN6&lt;&gt;""))&gt;0,'T_SelfStock'!CN6+'T_TTAFStock'!CN6,CM2+'Grid_Incoming'!CN2-'Grid_Requirement'!CN2))</f>
        <v/>
      </c>
      <c r="CO2">
        <f>IF(COUNTIFS(T_StockCount[Part Name],$A2,T_StockCount[WeekIndex],92)&gt;0,SUMIFS(T_StockCount[CountedQty],T_StockCount[Part Name],$A2,T_StockCount[WeekIndex],92),IF((('T_SelfStock'!CO6&lt;&gt;""))*(('T_TTAFStock'!CO6&lt;&gt;""))&gt;0,'T_SelfStock'!CO6+'T_TTAFStock'!CO6,CN2+'Grid_Incoming'!CO2-'Grid_Requirement'!CO2))</f>
        <v/>
      </c>
      <c r="CP2">
        <f>IF(COUNTIFS(T_StockCount[Part Name],$A2,T_StockCount[WeekIndex],93)&gt;0,SUMIFS(T_StockCount[CountedQty],T_StockCount[Part Name],$A2,T_StockCount[WeekIndex],93),IF((('T_SelfStock'!CP6&lt;&gt;""))*(('T_TTAFStock'!CP6&lt;&gt;""))&gt;0,'T_SelfStock'!CP6+'T_TTAFStock'!CP6,CO2+'Grid_Incoming'!CP2-'Grid_Requirement'!CP2))</f>
        <v/>
      </c>
      <c r="CQ2">
        <f>IF(COUNTIFS(T_StockCount[Part Name],$A2,T_StockCount[WeekIndex],94)&gt;0,SUMIFS(T_StockCount[CountedQty],T_StockCount[Part Name],$A2,T_StockCount[WeekIndex],94),IF((('T_SelfStock'!CQ6&lt;&gt;""))*(('T_TTAFStock'!CQ6&lt;&gt;""))&gt;0,'T_SelfStock'!CQ6+'T_TTAFStock'!CQ6,CP2+'Grid_Incoming'!CQ2-'Grid_Requirement'!CQ2))</f>
        <v/>
      </c>
      <c r="CR2">
        <f>IF(COUNTIFS(T_StockCount[Part Name],$A2,T_StockCount[WeekIndex],95)&gt;0,SUMIFS(T_StockCount[CountedQty],T_StockCount[Part Name],$A2,T_StockCount[WeekIndex],95),IF((('T_SelfStock'!CR6&lt;&gt;""))*(('T_TTAFStock'!CR6&lt;&gt;""))&gt;0,'T_SelfStock'!CR6+'T_TTAFStock'!CR6,CQ2+'Grid_Incoming'!CR2-'Grid_Requirement'!CR2))</f>
        <v/>
      </c>
      <c r="CS2">
        <f>IF(COUNTIFS(T_StockCount[Part Name],$A2,T_StockCount[WeekIndex],96)&gt;0,SUMIFS(T_StockCount[CountedQty],T_StockCount[Part Name],$A2,T_StockCount[WeekIndex],96),IF((('T_SelfStock'!CS6&lt;&gt;""))*(('T_TTAFStock'!CS6&lt;&gt;""))&gt;0,'T_SelfStock'!CS6+'T_TTAFStock'!CS6,CR2+'Grid_Incoming'!CS2-'Grid_Requirement'!CS2))</f>
        <v/>
      </c>
      <c r="CT2">
        <f>IF(COUNTIFS(T_StockCount[Part Name],$A2,T_StockCount[WeekIndex],97)&gt;0,SUMIFS(T_StockCount[CountedQty],T_StockCount[Part Name],$A2,T_StockCount[WeekIndex],97),IF((('T_SelfStock'!CT6&lt;&gt;""))*(('T_TTAFStock'!CT6&lt;&gt;""))&gt;0,'T_SelfStock'!CT6+'T_TTAFStock'!CT6,CS2+'Grid_Incoming'!CT2-'Grid_Requirement'!CT2))</f>
        <v/>
      </c>
      <c r="CU2">
        <f>IF(COUNTIFS(T_StockCount[Part Name],$A2,T_StockCount[WeekIndex],98)&gt;0,SUMIFS(T_StockCount[CountedQty],T_StockCount[Part Name],$A2,T_StockCount[WeekIndex],98),IF((('T_SelfStock'!CU6&lt;&gt;""))*(('T_TTAFStock'!CU6&lt;&gt;""))&gt;0,'T_SelfStock'!CU6+'T_TTAFStock'!CU6,CT2+'Grid_Incoming'!CU2-'Grid_Requirement'!CU2))</f>
        <v/>
      </c>
      <c r="CV2">
        <f>IF(COUNTIFS(T_StockCount[Part Name],$A2,T_StockCount[WeekIndex],99)&gt;0,SUMIFS(T_StockCount[CountedQty],T_StockCount[Part Name],$A2,T_StockCount[WeekIndex],99),IF((('T_SelfStock'!CV6&lt;&gt;""))*(('T_TTAFStock'!CV6&lt;&gt;""))&gt;0,'T_SelfStock'!CV6+'T_TTAFStock'!CV6,CU2+'Grid_Incoming'!CV2-'Grid_Requirement'!CV2))</f>
        <v/>
      </c>
      <c r="CW2">
        <f>IF(COUNTIFS(T_StockCount[Part Name],$A2,T_StockCount[WeekIndex],100)&gt;0,SUMIFS(T_StockCount[CountedQty],T_StockCount[Part Name],$A2,T_StockCount[WeekIndex],100),IF((('T_SelfStock'!CW6&lt;&gt;""))*(('T_TTAFStock'!CW6&lt;&gt;""))&gt;0,'T_SelfStock'!CW6+'T_TTAFStock'!CW6,CV2+'Grid_Incoming'!CW2-'Grid_Requirement'!CW2))</f>
        <v/>
      </c>
      <c r="CX2">
        <f>IF(COUNTIFS(T_StockCount[Part Name],$A2,T_StockCount[WeekIndex],101)&gt;0,SUMIFS(T_StockCount[CountedQty],T_StockCount[Part Name],$A2,T_StockCount[WeekIndex],101),IF((('T_SelfStock'!CX6&lt;&gt;""))*(('T_TTAFStock'!CX6&lt;&gt;""))&gt;0,'T_SelfStock'!CX6+'T_TTAFStock'!CX6,CW2+'Grid_Incoming'!CX2-'Grid_Requirement'!CX2))</f>
        <v/>
      </c>
      <c r="CY2">
        <f>IF(COUNTIFS(T_StockCount[Part Name],$A2,T_StockCount[WeekIndex],102)&gt;0,SUMIFS(T_StockCount[CountedQty],T_StockCount[Part Name],$A2,T_StockCount[WeekIndex],102),IF((('T_SelfStock'!CY6&lt;&gt;""))*(('T_TTAFStock'!CY6&lt;&gt;""))&gt;0,'T_SelfStock'!CY6+'T_TTAFStock'!CY6,CX2+'Grid_Incoming'!CY2-'Grid_Requirement'!CY2))</f>
        <v/>
      </c>
      <c r="CZ2">
        <f>IF(COUNTIFS(T_StockCount[Part Name],$A2,T_StockCount[WeekIndex],103)&gt;0,SUMIFS(T_StockCount[CountedQty],T_StockCount[Part Name],$A2,T_StockCount[WeekIndex],103),IF((('T_SelfStock'!CZ6&lt;&gt;""))*(('T_TTAFStock'!CZ6&lt;&gt;""))&gt;0,'T_SelfStock'!CZ6+'T_TTAFStock'!CZ6,CY2+'Grid_Incoming'!CZ2-'Grid_Requirement'!CZ2))</f>
        <v/>
      </c>
      <c r="DA2">
        <f>IF(COUNTIFS(T_StockCount[Part Name],$A2,T_StockCount[WeekIndex],104)&gt;0,SUMIFS(T_StockCount[CountedQty],T_StockCount[Part Name],$A2,T_StockCount[WeekIndex],104),IF((('T_SelfStock'!DA6&lt;&gt;""))*(('T_TTAFStock'!DA6&lt;&gt;""))&gt;0,'T_SelfStock'!DA6+'T_TTAFStock'!DA6,CZ2+'Grid_Incoming'!DA2-'Grid_Requirement'!DA2))</f>
        <v/>
      </c>
    </row>
    <row r="3">
      <c r="A3" t="inlineStr">
        <is>
          <t>CHEM-1670</t>
        </is>
      </c>
      <c r="B3">
        <f>IF(COUNTIFS(T_StockCount[Part Name],$A3,T_StockCount[WeekIndex],1)&gt;0,SUMIFS(T_StockCount[CountedQty],T_StockCount[Part Name],$A3,T_StockCount[WeekIndex],1),IF((('T_SelfStock'!B7&lt;&gt;""))*(('T_TTAFStock'!B7&lt;&gt;""))&gt;0,'T_SelfStock'!B7+'T_TTAFStock'!B7,IFERROR(INDEX(T_OpeningStock[Opening_Qty],MATCH($A3,T_OpeningStock[Part Name],0)),0)+'Grid_Incoming'!B3-'Grid_Requirement'!B3))</f>
        <v/>
      </c>
      <c r="C3">
        <f>IF(COUNTIFS(T_StockCount[Part Name],$A3,T_StockCount[WeekIndex],2)&gt;0,SUMIFS(T_StockCount[CountedQty],T_StockCount[Part Name],$A3,T_StockCount[WeekIndex],2),IF((('T_SelfStock'!C7&lt;&gt;""))*(('T_TTAFStock'!C7&lt;&gt;""))&gt;0,'T_SelfStock'!C7+'T_TTAFStock'!C7,B3+'Grid_Incoming'!C3-'Grid_Requirement'!C3))</f>
        <v/>
      </c>
      <c r="D3">
        <f>IF(COUNTIFS(T_StockCount[Part Name],$A3,T_StockCount[WeekIndex],3)&gt;0,SUMIFS(T_StockCount[CountedQty],T_StockCount[Part Name],$A3,T_StockCount[WeekIndex],3),IF((('T_SelfStock'!D7&lt;&gt;""))*(('T_TTAFStock'!D7&lt;&gt;""))&gt;0,'T_SelfStock'!D7+'T_TTAFStock'!D7,C3+'Grid_Incoming'!D3-'Grid_Requirement'!D3))</f>
        <v/>
      </c>
      <c r="E3">
        <f>IF(COUNTIFS(T_StockCount[Part Name],$A3,T_StockCount[WeekIndex],4)&gt;0,SUMIFS(T_StockCount[CountedQty],T_StockCount[Part Name],$A3,T_StockCount[WeekIndex],4),IF((('T_SelfStock'!E7&lt;&gt;""))*(('T_TTAFStock'!E7&lt;&gt;""))&gt;0,'T_SelfStock'!E7+'T_TTAFStock'!E7,D3+'Grid_Incoming'!E3-'Grid_Requirement'!E3))</f>
        <v/>
      </c>
      <c r="F3">
        <f>IF(COUNTIFS(T_StockCount[Part Name],$A3,T_StockCount[WeekIndex],5)&gt;0,SUMIFS(T_StockCount[CountedQty],T_StockCount[Part Name],$A3,T_StockCount[WeekIndex],5),IF((('T_SelfStock'!F7&lt;&gt;""))*(('T_TTAFStock'!F7&lt;&gt;""))&gt;0,'T_SelfStock'!F7+'T_TTAFStock'!F7,E3+'Grid_Incoming'!F3-'Grid_Requirement'!F3))</f>
        <v/>
      </c>
      <c r="G3">
        <f>IF(COUNTIFS(T_StockCount[Part Name],$A3,T_StockCount[WeekIndex],6)&gt;0,SUMIFS(T_StockCount[CountedQty],T_StockCount[Part Name],$A3,T_StockCount[WeekIndex],6),IF((('T_SelfStock'!G7&lt;&gt;""))*(('T_TTAFStock'!G7&lt;&gt;""))&gt;0,'T_SelfStock'!G7+'T_TTAFStock'!G7,F3+'Grid_Incoming'!G3-'Grid_Requirement'!G3))</f>
        <v/>
      </c>
      <c r="H3">
        <f>IF(COUNTIFS(T_StockCount[Part Name],$A3,T_StockCount[WeekIndex],7)&gt;0,SUMIFS(T_StockCount[CountedQty],T_StockCount[Part Name],$A3,T_StockCount[WeekIndex],7),IF((('T_SelfStock'!H7&lt;&gt;""))*(('T_TTAFStock'!H7&lt;&gt;""))&gt;0,'T_SelfStock'!H7+'T_TTAFStock'!H7,G3+'Grid_Incoming'!H3-'Grid_Requirement'!H3))</f>
        <v/>
      </c>
      <c r="I3">
        <f>IF(COUNTIFS(T_StockCount[Part Name],$A3,T_StockCount[WeekIndex],8)&gt;0,SUMIFS(T_StockCount[CountedQty],T_StockCount[Part Name],$A3,T_StockCount[WeekIndex],8),IF((('T_SelfStock'!I7&lt;&gt;""))*(('T_TTAFStock'!I7&lt;&gt;""))&gt;0,'T_SelfStock'!I7+'T_TTAFStock'!I7,H3+'Grid_Incoming'!I3-'Grid_Requirement'!I3))</f>
        <v/>
      </c>
      <c r="J3">
        <f>IF(COUNTIFS(T_StockCount[Part Name],$A3,T_StockCount[WeekIndex],9)&gt;0,SUMIFS(T_StockCount[CountedQty],T_StockCount[Part Name],$A3,T_StockCount[WeekIndex],9),IF((('T_SelfStock'!J7&lt;&gt;""))*(('T_TTAFStock'!J7&lt;&gt;""))&gt;0,'T_SelfStock'!J7+'T_TTAFStock'!J7,I3+'Grid_Incoming'!J3-'Grid_Requirement'!J3))</f>
        <v/>
      </c>
      <c r="K3">
        <f>IF(COUNTIFS(T_StockCount[Part Name],$A3,T_StockCount[WeekIndex],10)&gt;0,SUMIFS(T_StockCount[CountedQty],T_StockCount[Part Name],$A3,T_StockCount[WeekIndex],10),IF((('T_SelfStock'!K7&lt;&gt;""))*(('T_TTAFStock'!K7&lt;&gt;""))&gt;0,'T_SelfStock'!K7+'T_TTAFStock'!K7,J3+'Grid_Incoming'!K3-'Grid_Requirement'!K3))</f>
        <v/>
      </c>
      <c r="L3">
        <f>IF(COUNTIFS(T_StockCount[Part Name],$A3,T_StockCount[WeekIndex],11)&gt;0,SUMIFS(T_StockCount[CountedQty],T_StockCount[Part Name],$A3,T_StockCount[WeekIndex],11),IF((('T_SelfStock'!L7&lt;&gt;""))*(('T_TTAFStock'!L7&lt;&gt;""))&gt;0,'T_SelfStock'!L7+'T_TTAFStock'!L7,K3+'Grid_Incoming'!L3-'Grid_Requirement'!L3))</f>
        <v/>
      </c>
      <c r="M3">
        <f>IF(COUNTIFS(T_StockCount[Part Name],$A3,T_StockCount[WeekIndex],12)&gt;0,SUMIFS(T_StockCount[CountedQty],T_StockCount[Part Name],$A3,T_StockCount[WeekIndex],12),IF((('T_SelfStock'!M7&lt;&gt;""))*(('T_TTAFStock'!M7&lt;&gt;""))&gt;0,'T_SelfStock'!M7+'T_TTAFStock'!M7,L3+'Grid_Incoming'!M3-'Grid_Requirement'!M3))</f>
        <v/>
      </c>
      <c r="N3">
        <f>IF(COUNTIFS(T_StockCount[Part Name],$A3,T_StockCount[WeekIndex],13)&gt;0,SUMIFS(T_StockCount[CountedQty],T_StockCount[Part Name],$A3,T_StockCount[WeekIndex],13),IF((('T_SelfStock'!N7&lt;&gt;""))*(('T_TTAFStock'!N7&lt;&gt;""))&gt;0,'T_SelfStock'!N7+'T_TTAFStock'!N7,M3+'Grid_Incoming'!N3-'Grid_Requirement'!N3))</f>
        <v/>
      </c>
      <c r="O3">
        <f>IF(COUNTIFS(T_StockCount[Part Name],$A3,T_StockCount[WeekIndex],14)&gt;0,SUMIFS(T_StockCount[CountedQty],T_StockCount[Part Name],$A3,T_StockCount[WeekIndex],14),IF((('T_SelfStock'!O7&lt;&gt;""))*(('T_TTAFStock'!O7&lt;&gt;""))&gt;0,'T_SelfStock'!O7+'T_TTAFStock'!O7,N3+'Grid_Incoming'!O3-'Grid_Requirement'!O3))</f>
        <v/>
      </c>
      <c r="P3">
        <f>IF(COUNTIFS(T_StockCount[Part Name],$A3,T_StockCount[WeekIndex],15)&gt;0,SUMIFS(T_StockCount[CountedQty],T_StockCount[Part Name],$A3,T_StockCount[WeekIndex],15),IF((('T_SelfStock'!P7&lt;&gt;""))*(('T_TTAFStock'!P7&lt;&gt;""))&gt;0,'T_SelfStock'!P7+'T_TTAFStock'!P7,O3+'Grid_Incoming'!P3-'Grid_Requirement'!P3))</f>
        <v/>
      </c>
      <c r="Q3">
        <f>IF(COUNTIFS(T_StockCount[Part Name],$A3,T_StockCount[WeekIndex],16)&gt;0,SUMIFS(T_StockCount[CountedQty],T_StockCount[Part Name],$A3,T_StockCount[WeekIndex],16),IF((('T_SelfStock'!Q7&lt;&gt;""))*(('T_TTAFStock'!Q7&lt;&gt;""))&gt;0,'T_SelfStock'!Q7+'T_TTAFStock'!Q7,P3+'Grid_Incoming'!Q3-'Grid_Requirement'!Q3))</f>
        <v/>
      </c>
      <c r="R3">
        <f>IF(COUNTIFS(T_StockCount[Part Name],$A3,T_StockCount[WeekIndex],17)&gt;0,SUMIFS(T_StockCount[CountedQty],T_StockCount[Part Name],$A3,T_StockCount[WeekIndex],17),IF((('T_SelfStock'!R7&lt;&gt;""))*(('T_TTAFStock'!R7&lt;&gt;""))&gt;0,'T_SelfStock'!R7+'T_TTAFStock'!R7,Q3+'Grid_Incoming'!R3-'Grid_Requirement'!R3))</f>
        <v/>
      </c>
      <c r="S3">
        <f>IF(COUNTIFS(T_StockCount[Part Name],$A3,T_StockCount[WeekIndex],18)&gt;0,SUMIFS(T_StockCount[CountedQty],T_StockCount[Part Name],$A3,T_StockCount[WeekIndex],18),IF((('T_SelfStock'!S7&lt;&gt;""))*(('T_TTAFStock'!S7&lt;&gt;""))&gt;0,'T_SelfStock'!S7+'T_TTAFStock'!S7,R3+'Grid_Incoming'!S3-'Grid_Requirement'!S3))</f>
        <v/>
      </c>
      <c r="T3">
        <f>IF(COUNTIFS(T_StockCount[Part Name],$A3,T_StockCount[WeekIndex],19)&gt;0,SUMIFS(T_StockCount[CountedQty],T_StockCount[Part Name],$A3,T_StockCount[WeekIndex],19),IF((('T_SelfStock'!T7&lt;&gt;""))*(('T_TTAFStock'!T7&lt;&gt;""))&gt;0,'T_SelfStock'!T7+'T_TTAFStock'!T7,S3+'Grid_Incoming'!T3-'Grid_Requirement'!T3))</f>
        <v/>
      </c>
      <c r="U3">
        <f>IF(COUNTIFS(T_StockCount[Part Name],$A3,T_StockCount[WeekIndex],20)&gt;0,SUMIFS(T_StockCount[CountedQty],T_StockCount[Part Name],$A3,T_StockCount[WeekIndex],20),IF((('T_SelfStock'!U7&lt;&gt;""))*(('T_TTAFStock'!U7&lt;&gt;""))&gt;0,'T_SelfStock'!U7+'T_TTAFStock'!U7,T3+'Grid_Incoming'!U3-'Grid_Requirement'!U3))</f>
        <v/>
      </c>
      <c r="V3">
        <f>IF(COUNTIFS(T_StockCount[Part Name],$A3,T_StockCount[WeekIndex],21)&gt;0,SUMIFS(T_StockCount[CountedQty],T_StockCount[Part Name],$A3,T_StockCount[WeekIndex],21),IF((('T_SelfStock'!V7&lt;&gt;""))*(('T_TTAFStock'!V7&lt;&gt;""))&gt;0,'T_SelfStock'!V7+'T_TTAFStock'!V7,U3+'Grid_Incoming'!V3-'Grid_Requirement'!V3))</f>
        <v/>
      </c>
      <c r="W3">
        <f>IF(COUNTIFS(T_StockCount[Part Name],$A3,T_StockCount[WeekIndex],22)&gt;0,SUMIFS(T_StockCount[CountedQty],T_StockCount[Part Name],$A3,T_StockCount[WeekIndex],22),IF((('T_SelfStock'!W7&lt;&gt;""))*(('T_TTAFStock'!W7&lt;&gt;""))&gt;0,'T_SelfStock'!W7+'T_TTAFStock'!W7,V3+'Grid_Incoming'!W3-'Grid_Requirement'!W3))</f>
        <v/>
      </c>
      <c r="X3">
        <f>IF(COUNTIFS(T_StockCount[Part Name],$A3,T_StockCount[WeekIndex],23)&gt;0,SUMIFS(T_StockCount[CountedQty],T_StockCount[Part Name],$A3,T_StockCount[WeekIndex],23),IF((('T_SelfStock'!X7&lt;&gt;""))*(('T_TTAFStock'!X7&lt;&gt;""))&gt;0,'T_SelfStock'!X7+'T_TTAFStock'!X7,W3+'Grid_Incoming'!X3-'Grid_Requirement'!X3))</f>
        <v/>
      </c>
      <c r="Y3">
        <f>IF(COUNTIFS(T_StockCount[Part Name],$A3,T_StockCount[WeekIndex],24)&gt;0,SUMIFS(T_StockCount[CountedQty],T_StockCount[Part Name],$A3,T_StockCount[WeekIndex],24),IF((('T_SelfStock'!Y7&lt;&gt;""))*(('T_TTAFStock'!Y7&lt;&gt;""))&gt;0,'T_SelfStock'!Y7+'T_TTAFStock'!Y7,X3+'Grid_Incoming'!Y3-'Grid_Requirement'!Y3))</f>
        <v/>
      </c>
      <c r="Z3">
        <f>IF(COUNTIFS(T_StockCount[Part Name],$A3,T_StockCount[WeekIndex],25)&gt;0,SUMIFS(T_StockCount[CountedQty],T_StockCount[Part Name],$A3,T_StockCount[WeekIndex],25),IF((('T_SelfStock'!Z7&lt;&gt;""))*(('T_TTAFStock'!Z7&lt;&gt;""))&gt;0,'T_SelfStock'!Z7+'T_TTAFStock'!Z7,Y3+'Grid_Incoming'!Z3-'Grid_Requirement'!Z3))</f>
        <v/>
      </c>
      <c r="AA3">
        <f>IF(COUNTIFS(T_StockCount[Part Name],$A3,T_StockCount[WeekIndex],26)&gt;0,SUMIFS(T_StockCount[CountedQty],T_StockCount[Part Name],$A3,T_StockCount[WeekIndex],26),IF((('T_SelfStock'!AA7&lt;&gt;""))*(('T_TTAFStock'!AA7&lt;&gt;""))&gt;0,'T_SelfStock'!AA7+'T_TTAFStock'!AA7,Z3+'Grid_Incoming'!AA3-'Grid_Requirement'!AA3))</f>
        <v/>
      </c>
      <c r="AB3">
        <f>IF(COUNTIFS(T_StockCount[Part Name],$A3,T_StockCount[WeekIndex],27)&gt;0,SUMIFS(T_StockCount[CountedQty],T_StockCount[Part Name],$A3,T_StockCount[WeekIndex],27),IF((('T_SelfStock'!AB7&lt;&gt;""))*(('T_TTAFStock'!AB7&lt;&gt;""))&gt;0,'T_SelfStock'!AB7+'T_TTAFStock'!AB7,AA3+'Grid_Incoming'!AB3-'Grid_Requirement'!AB3))</f>
        <v/>
      </c>
      <c r="AC3">
        <f>IF(COUNTIFS(T_StockCount[Part Name],$A3,T_StockCount[WeekIndex],28)&gt;0,SUMIFS(T_StockCount[CountedQty],T_StockCount[Part Name],$A3,T_StockCount[WeekIndex],28),IF((('T_SelfStock'!AC7&lt;&gt;""))*(('T_TTAFStock'!AC7&lt;&gt;""))&gt;0,'T_SelfStock'!AC7+'T_TTAFStock'!AC7,AB3+'Grid_Incoming'!AC3-'Grid_Requirement'!AC3))</f>
        <v/>
      </c>
      <c r="AD3">
        <f>IF(COUNTIFS(T_StockCount[Part Name],$A3,T_StockCount[WeekIndex],29)&gt;0,SUMIFS(T_StockCount[CountedQty],T_StockCount[Part Name],$A3,T_StockCount[WeekIndex],29),IF((('T_SelfStock'!AD7&lt;&gt;""))*(('T_TTAFStock'!AD7&lt;&gt;""))&gt;0,'T_SelfStock'!AD7+'T_TTAFStock'!AD7,AC3+'Grid_Incoming'!AD3-'Grid_Requirement'!AD3))</f>
        <v/>
      </c>
      <c r="AE3">
        <f>IF(COUNTIFS(T_StockCount[Part Name],$A3,T_StockCount[WeekIndex],30)&gt;0,SUMIFS(T_StockCount[CountedQty],T_StockCount[Part Name],$A3,T_StockCount[WeekIndex],30),IF((('T_SelfStock'!AE7&lt;&gt;""))*(('T_TTAFStock'!AE7&lt;&gt;""))&gt;0,'T_SelfStock'!AE7+'T_TTAFStock'!AE7,AD3+'Grid_Incoming'!AE3-'Grid_Requirement'!AE3))</f>
        <v/>
      </c>
      <c r="AF3">
        <f>IF(COUNTIFS(T_StockCount[Part Name],$A3,T_StockCount[WeekIndex],31)&gt;0,SUMIFS(T_StockCount[CountedQty],T_StockCount[Part Name],$A3,T_StockCount[WeekIndex],31),IF((('T_SelfStock'!AF7&lt;&gt;""))*(('T_TTAFStock'!AF7&lt;&gt;""))&gt;0,'T_SelfStock'!AF7+'T_TTAFStock'!AF7,AE3+'Grid_Incoming'!AF3-'Grid_Requirement'!AF3))</f>
        <v/>
      </c>
      <c r="AG3">
        <f>IF(COUNTIFS(T_StockCount[Part Name],$A3,T_StockCount[WeekIndex],32)&gt;0,SUMIFS(T_StockCount[CountedQty],T_StockCount[Part Name],$A3,T_StockCount[WeekIndex],32),IF((('T_SelfStock'!AG7&lt;&gt;""))*(('T_TTAFStock'!AG7&lt;&gt;""))&gt;0,'T_SelfStock'!AG7+'T_TTAFStock'!AG7,AF3+'Grid_Incoming'!AG3-'Grid_Requirement'!AG3))</f>
        <v/>
      </c>
      <c r="AH3">
        <f>IF(COUNTIFS(T_StockCount[Part Name],$A3,T_StockCount[WeekIndex],33)&gt;0,SUMIFS(T_StockCount[CountedQty],T_StockCount[Part Name],$A3,T_StockCount[WeekIndex],33),IF((('T_SelfStock'!AH7&lt;&gt;""))*(('T_TTAFStock'!AH7&lt;&gt;""))&gt;0,'T_SelfStock'!AH7+'T_TTAFStock'!AH7,AG3+'Grid_Incoming'!AH3-'Grid_Requirement'!AH3))</f>
        <v/>
      </c>
      <c r="AI3">
        <f>IF(COUNTIFS(T_StockCount[Part Name],$A3,T_StockCount[WeekIndex],34)&gt;0,SUMIFS(T_StockCount[CountedQty],T_StockCount[Part Name],$A3,T_StockCount[WeekIndex],34),IF((('T_SelfStock'!AI7&lt;&gt;""))*(('T_TTAFStock'!AI7&lt;&gt;""))&gt;0,'T_SelfStock'!AI7+'T_TTAFStock'!AI7,AH3+'Grid_Incoming'!AI3-'Grid_Requirement'!AI3))</f>
        <v/>
      </c>
      <c r="AJ3">
        <f>IF(COUNTIFS(T_StockCount[Part Name],$A3,T_StockCount[WeekIndex],35)&gt;0,SUMIFS(T_StockCount[CountedQty],T_StockCount[Part Name],$A3,T_StockCount[WeekIndex],35),IF((('T_SelfStock'!AJ7&lt;&gt;""))*(('T_TTAFStock'!AJ7&lt;&gt;""))&gt;0,'T_SelfStock'!AJ7+'T_TTAFStock'!AJ7,AI3+'Grid_Incoming'!AJ3-'Grid_Requirement'!AJ3))</f>
        <v/>
      </c>
      <c r="AK3">
        <f>IF(COUNTIFS(T_StockCount[Part Name],$A3,T_StockCount[WeekIndex],36)&gt;0,SUMIFS(T_StockCount[CountedQty],T_StockCount[Part Name],$A3,T_StockCount[WeekIndex],36),IF((('T_SelfStock'!AK7&lt;&gt;""))*(('T_TTAFStock'!AK7&lt;&gt;""))&gt;0,'T_SelfStock'!AK7+'T_TTAFStock'!AK7,AJ3+'Grid_Incoming'!AK3-'Grid_Requirement'!AK3))</f>
        <v/>
      </c>
      <c r="AL3">
        <f>IF(COUNTIFS(T_StockCount[Part Name],$A3,T_StockCount[WeekIndex],37)&gt;0,SUMIFS(T_StockCount[CountedQty],T_StockCount[Part Name],$A3,T_StockCount[WeekIndex],37),IF((('T_SelfStock'!AL7&lt;&gt;""))*(('T_TTAFStock'!AL7&lt;&gt;""))&gt;0,'T_SelfStock'!AL7+'T_TTAFStock'!AL7,AK3+'Grid_Incoming'!AL3-'Grid_Requirement'!AL3))</f>
        <v/>
      </c>
      <c r="AM3">
        <f>IF(COUNTIFS(T_StockCount[Part Name],$A3,T_StockCount[WeekIndex],38)&gt;0,SUMIFS(T_StockCount[CountedQty],T_StockCount[Part Name],$A3,T_StockCount[WeekIndex],38),IF((('T_SelfStock'!AM7&lt;&gt;""))*(('T_TTAFStock'!AM7&lt;&gt;""))&gt;0,'T_SelfStock'!AM7+'T_TTAFStock'!AM7,AL3+'Grid_Incoming'!AM3-'Grid_Requirement'!AM3))</f>
        <v/>
      </c>
      <c r="AN3">
        <f>IF(COUNTIFS(T_StockCount[Part Name],$A3,T_StockCount[WeekIndex],39)&gt;0,SUMIFS(T_StockCount[CountedQty],T_StockCount[Part Name],$A3,T_StockCount[WeekIndex],39),IF((('T_SelfStock'!AN7&lt;&gt;""))*(('T_TTAFStock'!AN7&lt;&gt;""))&gt;0,'T_SelfStock'!AN7+'T_TTAFStock'!AN7,AM3+'Grid_Incoming'!AN3-'Grid_Requirement'!AN3))</f>
        <v/>
      </c>
      <c r="AO3">
        <f>IF(COUNTIFS(T_StockCount[Part Name],$A3,T_StockCount[WeekIndex],40)&gt;0,SUMIFS(T_StockCount[CountedQty],T_StockCount[Part Name],$A3,T_StockCount[WeekIndex],40),IF((('T_SelfStock'!AO7&lt;&gt;""))*(('T_TTAFStock'!AO7&lt;&gt;""))&gt;0,'T_SelfStock'!AO7+'T_TTAFStock'!AO7,AN3+'Grid_Incoming'!AO3-'Grid_Requirement'!AO3))</f>
        <v/>
      </c>
      <c r="AP3">
        <f>IF(COUNTIFS(T_StockCount[Part Name],$A3,T_StockCount[WeekIndex],41)&gt;0,SUMIFS(T_StockCount[CountedQty],T_StockCount[Part Name],$A3,T_StockCount[WeekIndex],41),IF((('T_SelfStock'!AP7&lt;&gt;""))*(('T_TTAFStock'!AP7&lt;&gt;""))&gt;0,'T_SelfStock'!AP7+'T_TTAFStock'!AP7,AO3+'Grid_Incoming'!AP3-'Grid_Requirement'!AP3))</f>
        <v/>
      </c>
      <c r="AQ3">
        <f>IF(COUNTIFS(T_StockCount[Part Name],$A3,T_StockCount[WeekIndex],42)&gt;0,SUMIFS(T_StockCount[CountedQty],T_StockCount[Part Name],$A3,T_StockCount[WeekIndex],42),IF((('T_SelfStock'!AQ7&lt;&gt;""))*(('T_TTAFStock'!AQ7&lt;&gt;""))&gt;0,'T_SelfStock'!AQ7+'T_TTAFStock'!AQ7,AP3+'Grid_Incoming'!AQ3-'Grid_Requirement'!AQ3))</f>
        <v/>
      </c>
      <c r="AR3">
        <f>IF(COUNTIFS(T_StockCount[Part Name],$A3,T_StockCount[WeekIndex],43)&gt;0,SUMIFS(T_StockCount[CountedQty],T_StockCount[Part Name],$A3,T_StockCount[WeekIndex],43),IF((('T_SelfStock'!AR7&lt;&gt;""))*(('T_TTAFStock'!AR7&lt;&gt;""))&gt;0,'T_SelfStock'!AR7+'T_TTAFStock'!AR7,AQ3+'Grid_Incoming'!AR3-'Grid_Requirement'!AR3))</f>
        <v/>
      </c>
      <c r="AS3">
        <f>IF(COUNTIFS(T_StockCount[Part Name],$A3,T_StockCount[WeekIndex],44)&gt;0,SUMIFS(T_StockCount[CountedQty],T_StockCount[Part Name],$A3,T_StockCount[WeekIndex],44),IF((('T_SelfStock'!AS7&lt;&gt;""))*(('T_TTAFStock'!AS7&lt;&gt;""))&gt;0,'T_SelfStock'!AS7+'T_TTAFStock'!AS7,AR3+'Grid_Incoming'!AS3-'Grid_Requirement'!AS3))</f>
        <v/>
      </c>
      <c r="AT3">
        <f>IF(COUNTIFS(T_StockCount[Part Name],$A3,T_StockCount[WeekIndex],45)&gt;0,SUMIFS(T_StockCount[CountedQty],T_StockCount[Part Name],$A3,T_StockCount[WeekIndex],45),IF((('T_SelfStock'!AT7&lt;&gt;""))*(('T_TTAFStock'!AT7&lt;&gt;""))&gt;0,'T_SelfStock'!AT7+'T_TTAFStock'!AT7,AS3+'Grid_Incoming'!AT3-'Grid_Requirement'!AT3))</f>
        <v/>
      </c>
      <c r="AU3">
        <f>IF(COUNTIFS(T_StockCount[Part Name],$A3,T_StockCount[WeekIndex],46)&gt;0,SUMIFS(T_StockCount[CountedQty],T_StockCount[Part Name],$A3,T_StockCount[WeekIndex],46),IF((('T_SelfStock'!AU7&lt;&gt;""))*(('T_TTAFStock'!AU7&lt;&gt;""))&gt;0,'T_SelfStock'!AU7+'T_TTAFStock'!AU7,AT3+'Grid_Incoming'!AU3-'Grid_Requirement'!AU3))</f>
        <v/>
      </c>
      <c r="AV3">
        <f>IF(COUNTIFS(T_StockCount[Part Name],$A3,T_StockCount[WeekIndex],47)&gt;0,SUMIFS(T_StockCount[CountedQty],T_StockCount[Part Name],$A3,T_StockCount[WeekIndex],47),IF((('T_SelfStock'!AV7&lt;&gt;""))*(('T_TTAFStock'!AV7&lt;&gt;""))&gt;0,'T_SelfStock'!AV7+'T_TTAFStock'!AV7,AU3+'Grid_Incoming'!AV3-'Grid_Requirement'!AV3))</f>
        <v/>
      </c>
      <c r="AW3">
        <f>IF(COUNTIFS(T_StockCount[Part Name],$A3,T_StockCount[WeekIndex],48)&gt;0,SUMIFS(T_StockCount[CountedQty],T_StockCount[Part Name],$A3,T_StockCount[WeekIndex],48),IF((('T_SelfStock'!AW7&lt;&gt;""))*(('T_TTAFStock'!AW7&lt;&gt;""))&gt;0,'T_SelfStock'!AW7+'T_TTAFStock'!AW7,AV3+'Grid_Incoming'!AW3-'Grid_Requirement'!AW3))</f>
        <v/>
      </c>
      <c r="AX3">
        <f>IF(COUNTIFS(T_StockCount[Part Name],$A3,T_StockCount[WeekIndex],49)&gt;0,SUMIFS(T_StockCount[CountedQty],T_StockCount[Part Name],$A3,T_StockCount[WeekIndex],49),IF((('T_SelfStock'!AX7&lt;&gt;""))*(('T_TTAFStock'!AX7&lt;&gt;""))&gt;0,'T_SelfStock'!AX7+'T_TTAFStock'!AX7,AW3+'Grid_Incoming'!AX3-'Grid_Requirement'!AX3))</f>
        <v/>
      </c>
      <c r="AY3">
        <f>IF(COUNTIFS(T_StockCount[Part Name],$A3,T_StockCount[WeekIndex],50)&gt;0,SUMIFS(T_StockCount[CountedQty],T_StockCount[Part Name],$A3,T_StockCount[WeekIndex],50),IF((('T_SelfStock'!AY7&lt;&gt;""))*(('T_TTAFStock'!AY7&lt;&gt;""))&gt;0,'T_SelfStock'!AY7+'T_TTAFStock'!AY7,AX3+'Grid_Incoming'!AY3-'Grid_Requirement'!AY3))</f>
        <v/>
      </c>
      <c r="AZ3">
        <f>IF(COUNTIFS(T_StockCount[Part Name],$A3,T_StockCount[WeekIndex],51)&gt;0,SUMIFS(T_StockCount[CountedQty],T_StockCount[Part Name],$A3,T_StockCount[WeekIndex],51),IF((('T_SelfStock'!AZ7&lt;&gt;""))*(('T_TTAFStock'!AZ7&lt;&gt;""))&gt;0,'T_SelfStock'!AZ7+'T_TTAFStock'!AZ7,AY3+'Grid_Incoming'!AZ3-'Grid_Requirement'!AZ3))</f>
        <v/>
      </c>
      <c r="BA3">
        <f>IF(COUNTIFS(T_StockCount[Part Name],$A3,T_StockCount[WeekIndex],52)&gt;0,SUMIFS(T_StockCount[CountedQty],T_StockCount[Part Name],$A3,T_StockCount[WeekIndex],52),IF((('T_SelfStock'!BA7&lt;&gt;""))*(('T_TTAFStock'!BA7&lt;&gt;""))&gt;0,'T_SelfStock'!BA7+'T_TTAFStock'!BA7,AZ3+'Grid_Incoming'!BA3-'Grid_Requirement'!BA3))</f>
        <v/>
      </c>
      <c r="BB3">
        <f>IF(COUNTIFS(T_StockCount[Part Name],$A3,T_StockCount[WeekIndex],53)&gt;0,SUMIFS(T_StockCount[CountedQty],T_StockCount[Part Name],$A3,T_StockCount[WeekIndex],53),IF((('T_SelfStock'!BB7&lt;&gt;""))*(('T_TTAFStock'!BB7&lt;&gt;""))&gt;0,'T_SelfStock'!BB7+'T_TTAFStock'!BB7,BA3+'Grid_Incoming'!BB3-'Grid_Requirement'!BB3))</f>
        <v/>
      </c>
      <c r="BC3">
        <f>IF(COUNTIFS(T_StockCount[Part Name],$A3,T_StockCount[WeekIndex],54)&gt;0,SUMIFS(T_StockCount[CountedQty],T_StockCount[Part Name],$A3,T_StockCount[WeekIndex],54),IF((('T_SelfStock'!BC7&lt;&gt;""))*(('T_TTAFStock'!BC7&lt;&gt;""))&gt;0,'T_SelfStock'!BC7+'T_TTAFStock'!BC7,BB3+'Grid_Incoming'!BC3-'Grid_Requirement'!BC3))</f>
        <v/>
      </c>
      <c r="BD3">
        <f>IF(COUNTIFS(T_StockCount[Part Name],$A3,T_StockCount[WeekIndex],55)&gt;0,SUMIFS(T_StockCount[CountedQty],T_StockCount[Part Name],$A3,T_StockCount[WeekIndex],55),IF((('T_SelfStock'!BD7&lt;&gt;""))*(('T_TTAFStock'!BD7&lt;&gt;""))&gt;0,'T_SelfStock'!BD7+'T_TTAFStock'!BD7,BC3+'Grid_Incoming'!BD3-'Grid_Requirement'!BD3))</f>
        <v/>
      </c>
      <c r="BE3">
        <f>IF(COUNTIFS(T_StockCount[Part Name],$A3,T_StockCount[WeekIndex],56)&gt;0,SUMIFS(T_StockCount[CountedQty],T_StockCount[Part Name],$A3,T_StockCount[WeekIndex],56),IF((('T_SelfStock'!BE7&lt;&gt;""))*(('T_TTAFStock'!BE7&lt;&gt;""))&gt;0,'T_SelfStock'!BE7+'T_TTAFStock'!BE7,BD3+'Grid_Incoming'!BE3-'Grid_Requirement'!BE3))</f>
        <v/>
      </c>
      <c r="BF3">
        <f>IF(COUNTIFS(T_StockCount[Part Name],$A3,T_StockCount[WeekIndex],57)&gt;0,SUMIFS(T_StockCount[CountedQty],T_StockCount[Part Name],$A3,T_StockCount[WeekIndex],57),IF((('T_SelfStock'!BF7&lt;&gt;""))*(('T_TTAFStock'!BF7&lt;&gt;""))&gt;0,'T_SelfStock'!BF7+'T_TTAFStock'!BF7,BE3+'Grid_Incoming'!BF3-'Grid_Requirement'!BF3))</f>
        <v/>
      </c>
      <c r="BG3">
        <f>IF(COUNTIFS(T_StockCount[Part Name],$A3,T_StockCount[WeekIndex],58)&gt;0,SUMIFS(T_StockCount[CountedQty],T_StockCount[Part Name],$A3,T_StockCount[WeekIndex],58),IF((('T_SelfStock'!BG7&lt;&gt;""))*(('T_TTAFStock'!BG7&lt;&gt;""))&gt;0,'T_SelfStock'!BG7+'T_TTAFStock'!BG7,BF3+'Grid_Incoming'!BG3-'Grid_Requirement'!BG3))</f>
        <v/>
      </c>
      <c r="BH3">
        <f>IF(COUNTIFS(T_StockCount[Part Name],$A3,T_StockCount[WeekIndex],59)&gt;0,SUMIFS(T_StockCount[CountedQty],T_StockCount[Part Name],$A3,T_StockCount[WeekIndex],59),IF((('T_SelfStock'!BH7&lt;&gt;""))*(('T_TTAFStock'!BH7&lt;&gt;""))&gt;0,'T_SelfStock'!BH7+'T_TTAFStock'!BH7,BG3+'Grid_Incoming'!BH3-'Grid_Requirement'!BH3))</f>
        <v/>
      </c>
      <c r="BI3">
        <f>IF(COUNTIFS(T_StockCount[Part Name],$A3,T_StockCount[WeekIndex],60)&gt;0,SUMIFS(T_StockCount[CountedQty],T_StockCount[Part Name],$A3,T_StockCount[WeekIndex],60),IF((('T_SelfStock'!BI7&lt;&gt;""))*(('T_TTAFStock'!BI7&lt;&gt;""))&gt;0,'T_SelfStock'!BI7+'T_TTAFStock'!BI7,BH3+'Grid_Incoming'!BI3-'Grid_Requirement'!BI3))</f>
        <v/>
      </c>
      <c r="BJ3">
        <f>IF(COUNTIFS(T_StockCount[Part Name],$A3,T_StockCount[WeekIndex],61)&gt;0,SUMIFS(T_StockCount[CountedQty],T_StockCount[Part Name],$A3,T_StockCount[WeekIndex],61),IF((('T_SelfStock'!BJ7&lt;&gt;""))*(('T_TTAFStock'!BJ7&lt;&gt;""))&gt;0,'T_SelfStock'!BJ7+'T_TTAFStock'!BJ7,BI3+'Grid_Incoming'!BJ3-'Grid_Requirement'!BJ3))</f>
        <v/>
      </c>
      <c r="BK3">
        <f>IF(COUNTIFS(T_StockCount[Part Name],$A3,T_StockCount[WeekIndex],62)&gt;0,SUMIFS(T_StockCount[CountedQty],T_StockCount[Part Name],$A3,T_StockCount[WeekIndex],62),IF((('T_SelfStock'!BK7&lt;&gt;""))*(('T_TTAFStock'!BK7&lt;&gt;""))&gt;0,'T_SelfStock'!BK7+'T_TTAFStock'!BK7,BJ3+'Grid_Incoming'!BK3-'Grid_Requirement'!BK3))</f>
        <v/>
      </c>
      <c r="BL3">
        <f>IF(COUNTIFS(T_StockCount[Part Name],$A3,T_StockCount[WeekIndex],63)&gt;0,SUMIFS(T_StockCount[CountedQty],T_StockCount[Part Name],$A3,T_StockCount[WeekIndex],63),IF((('T_SelfStock'!BL7&lt;&gt;""))*(('T_TTAFStock'!BL7&lt;&gt;""))&gt;0,'T_SelfStock'!BL7+'T_TTAFStock'!BL7,BK3+'Grid_Incoming'!BL3-'Grid_Requirement'!BL3))</f>
        <v/>
      </c>
      <c r="BM3">
        <f>IF(COUNTIFS(T_StockCount[Part Name],$A3,T_StockCount[WeekIndex],64)&gt;0,SUMIFS(T_StockCount[CountedQty],T_StockCount[Part Name],$A3,T_StockCount[WeekIndex],64),IF((('T_SelfStock'!BM7&lt;&gt;""))*(('T_TTAFStock'!BM7&lt;&gt;""))&gt;0,'T_SelfStock'!BM7+'T_TTAFStock'!BM7,BL3+'Grid_Incoming'!BM3-'Grid_Requirement'!BM3))</f>
        <v/>
      </c>
      <c r="BN3">
        <f>IF(COUNTIFS(T_StockCount[Part Name],$A3,T_StockCount[WeekIndex],65)&gt;0,SUMIFS(T_StockCount[CountedQty],T_StockCount[Part Name],$A3,T_StockCount[WeekIndex],65),IF((('T_SelfStock'!BN7&lt;&gt;""))*(('T_TTAFStock'!BN7&lt;&gt;""))&gt;0,'T_SelfStock'!BN7+'T_TTAFStock'!BN7,BM3+'Grid_Incoming'!BN3-'Grid_Requirement'!BN3))</f>
        <v/>
      </c>
      <c r="BO3">
        <f>IF(COUNTIFS(T_StockCount[Part Name],$A3,T_StockCount[WeekIndex],66)&gt;0,SUMIFS(T_StockCount[CountedQty],T_StockCount[Part Name],$A3,T_StockCount[WeekIndex],66),IF((('T_SelfStock'!BO7&lt;&gt;""))*(('T_TTAFStock'!BO7&lt;&gt;""))&gt;0,'T_SelfStock'!BO7+'T_TTAFStock'!BO7,BN3+'Grid_Incoming'!BO3-'Grid_Requirement'!BO3))</f>
        <v/>
      </c>
      <c r="BP3">
        <f>IF(COUNTIFS(T_StockCount[Part Name],$A3,T_StockCount[WeekIndex],67)&gt;0,SUMIFS(T_StockCount[CountedQty],T_StockCount[Part Name],$A3,T_StockCount[WeekIndex],67),IF((('T_SelfStock'!BP7&lt;&gt;""))*(('T_TTAFStock'!BP7&lt;&gt;""))&gt;0,'T_SelfStock'!BP7+'T_TTAFStock'!BP7,BO3+'Grid_Incoming'!BP3-'Grid_Requirement'!BP3))</f>
        <v/>
      </c>
      <c r="BQ3">
        <f>IF(COUNTIFS(T_StockCount[Part Name],$A3,T_StockCount[WeekIndex],68)&gt;0,SUMIFS(T_StockCount[CountedQty],T_StockCount[Part Name],$A3,T_StockCount[WeekIndex],68),IF((('T_SelfStock'!BQ7&lt;&gt;""))*(('T_TTAFStock'!BQ7&lt;&gt;""))&gt;0,'T_SelfStock'!BQ7+'T_TTAFStock'!BQ7,BP3+'Grid_Incoming'!BQ3-'Grid_Requirement'!BQ3))</f>
        <v/>
      </c>
      <c r="BR3">
        <f>IF(COUNTIFS(T_StockCount[Part Name],$A3,T_StockCount[WeekIndex],69)&gt;0,SUMIFS(T_StockCount[CountedQty],T_StockCount[Part Name],$A3,T_StockCount[WeekIndex],69),IF((('T_SelfStock'!BR7&lt;&gt;""))*(('T_TTAFStock'!BR7&lt;&gt;""))&gt;0,'T_SelfStock'!BR7+'T_TTAFStock'!BR7,BQ3+'Grid_Incoming'!BR3-'Grid_Requirement'!BR3))</f>
        <v/>
      </c>
      <c r="BS3">
        <f>IF(COUNTIFS(T_StockCount[Part Name],$A3,T_StockCount[WeekIndex],70)&gt;0,SUMIFS(T_StockCount[CountedQty],T_StockCount[Part Name],$A3,T_StockCount[WeekIndex],70),IF((('T_SelfStock'!BS7&lt;&gt;""))*(('T_TTAFStock'!BS7&lt;&gt;""))&gt;0,'T_SelfStock'!BS7+'T_TTAFStock'!BS7,BR3+'Grid_Incoming'!BS3-'Grid_Requirement'!BS3))</f>
        <v/>
      </c>
      <c r="BT3">
        <f>IF(COUNTIFS(T_StockCount[Part Name],$A3,T_StockCount[WeekIndex],71)&gt;0,SUMIFS(T_StockCount[CountedQty],T_StockCount[Part Name],$A3,T_StockCount[WeekIndex],71),IF((('T_SelfStock'!BT7&lt;&gt;""))*(('T_TTAFStock'!BT7&lt;&gt;""))&gt;0,'T_SelfStock'!BT7+'T_TTAFStock'!BT7,BS3+'Grid_Incoming'!BT3-'Grid_Requirement'!BT3))</f>
        <v/>
      </c>
      <c r="BU3">
        <f>IF(COUNTIFS(T_StockCount[Part Name],$A3,T_StockCount[WeekIndex],72)&gt;0,SUMIFS(T_StockCount[CountedQty],T_StockCount[Part Name],$A3,T_StockCount[WeekIndex],72),IF((('T_SelfStock'!BU7&lt;&gt;""))*(('T_TTAFStock'!BU7&lt;&gt;""))&gt;0,'T_SelfStock'!BU7+'T_TTAFStock'!BU7,BT3+'Grid_Incoming'!BU3-'Grid_Requirement'!BU3))</f>
        <v/>
      </c>
      <c r="BV3">
        <f>IF(COUNTIFS(T_StockCount[Part Name],$A3,T_StockCount[WeekIndex],73)&gt;0,SUMIFS(T_StockCount[CountedQty],T_StockCount[Part Name],$A3,T_StockCount[WeekIndex],73),IF((('T_SelfStock'!BV7&lt;&gt;""))*(('T_TTAFStock'!BV7&lt;&gt;""))&gt;0,'T_SelfStock'!BV7+'T_TTAFStock'!BV7,BU3+'Grid_Incoming'!BV3-'Grid_Requirement'!BV3))</f>
        <v/>
      </c>
      <c r="BW3">
        <f>IF(COUNTIFS(T_StockCount[Part Name],$A3,T_StockCount[WeekIndex],74)&gt;0,SUMIFS(T_StockCount[CountedQty],T_StockCount[Part Name],$A3,T_StockCount[WeekIndex],74),IF((('T_SelfStock'!BW7&lt;&gt;""))*(('T_TTAFStock'!BW7&lt;&gt;""))&gt;0,'T_SelfStock'!BW7+'T_TTAFStock'!BW7,BV3+'Grid_Incoming'!BW3-'Grid_Requirement'!BW3))</f>
        <v/>
      </c>
      <c r="BX3">
        <f>IF(COUNTIFS(T_StockCount[Part Name],$A3,T_StockCount[WeekIndex],75)&gt;0,SUMIFS(T_StockCount[CountedQty],T_StockCount[Part Name],$A3,T_StockCount[WeekIndex],75),IF((('T_SelfStock'!BX7&lt;&gt;""))*(('T_TTAFStock'!BX7&lt;&gt;""))&gt;0,'T_SelfStock'!BX7+'T_TTAFStock'!BX7,BW3+'Grid_Incoming'!BX3-'Grid_Requirement'!BX3))</f>
        <v/>
      </c>
      <c r="BY3">
        <f>IF(COUNTIFS(T_StockCount[Part Name],$A3,T_StockCount[WeekIndex],76)&gt;0,SUMIFS(T_StockCount[CountedQty],T_StockCount[Part Name],$A3,T_StockCount[WeekIndex],76),IF((('T_SelfStock'!BY7&lt;&gt;""))*(('T_TTAFStock'!BY7&lt;&gt;""))&gt;0,'T_SelfStock'!BY7+'T_TTAFStock'!BY7,BX3+'Grid_Incoming'!BY3-'Grid_Requirement'!BY3))</f>
        <v/>
      </c>
      <c r="BZ3">
        <f>IF(COUNTIFS(T_StockCount[Part Name],$A3,T_StockCount[WeekIndex],77)&gt;0,SUMIFS(T_StockCount[CountedQty],T_StockCount[Part Name],$A3,T_StockCount[WeekIndex],77),IF((('T_SelfStock'!BZ7&lt;&gt;""))*(('T_TTAFStock'!BZ7&lt;&gt;""))&gt;0,'T_SelfStock'!BZ7+'T_TTAFStock'!BZ7,BY3+'Grid_Incoming'!BZ3-'Grid_Requirement'!BZ3))</f>
        <v/>
      </c>
      <c r="CA3">
        <f>IF(COUNTIFS(T_StockCount[Part Name],$A3,T_StockCount[WeekIndex],78)&gt;0,SUMIFS(T_StockCount[CountedQty],T_StockCount[Part Name],$A3,T_StockCount[WeekIndex],78),IF((('T_SelfStock'!CA7&lt;&gt;""))*(('T_TTAFStock'!CA7&lt;&gt;""))&gt;0,'T_SelfStock'!CA7+'T_TTAFStock'!CA7,BZ3+'Grid_Incoming'!CA3-'Grid_Requirement'!CA3))</f>
        <v/>
      </c>
      <c r="CB3">
        <f>IF(COUNTIFS(T_StockCount[Part Name],$A3,T_StockCount[WeekIndex],79)&gt;0,SUMIFS(T_StockCount[CountedQty],T_StockCount[Part Name],$A3,T_StockCount[WeekIndex],79),IF((('T_SelfStock'!CB7&lt;&gt;""))*(('T_TTAFStock'!CB7&lt;&gt;""))&gt;0,'T_SelfStock'!CB7+'T_TTAFStock'!CB7,CA3+'Grid_Incoming'!CB3-'Grid_Requirement'!CB3))</f>
        <v/>
      </c>
      <c r="CC3">
        <f>IF(COUNTIFS(T_StockCount[Part Name],$A3,T_StockCount[WeekIndex],80)&gt;0,SUMIFS(T_StockCount[CountedQty],T_StockCount[Part Name],$A3,T_StockCount[WeekIndex],80),IF((('T_SelfStock'!CC7&lt;&gt;""))*(('T_TTAFStock'!CC7&lt;&gt;""))&gt;0,'T_SelfStock'!CC7+'T_TTAFStock'!CC7,CB3+'Grid_Incoming'!CC3-'Grid_Requirement'!CC3))</f>
        <v/>
      </c>
      <c r="CD3">
        <f>IF(COUNTIFS(T_StockCount[Part Name],$A3,T_StockCount[WeekIndex],81)&gt;0,SUMIFS(T_StockCount[CountedQty],T_StockCount[Part Name],$A3,T_StockCount[WeekIndex],81),IF((('T_SelfStock'!CD7&lt;&gt;""))*(('T_TTAFStock'!CD7&lt;&gt;""))&gt;0,'T_SelfStock'!CD7+'T_TTAFStock'!CD7,CC3+'Grid_Incoming'!CD3-'Grid_Requirement'!CD3))</f>
        <v/>
      </c>
      <c r="CE3">
        <f>IF(COUNTIFS(T_StockCount[Part Name],$A3,T_StockCount[WeekIndex],82)&gt;0,SUMIFS(T_StockCount[CountedQty],T_StockCount[Part Name],$A3,T_StockCount[WeekIndex],82),IF((('T_SelfStock'!CE7&lt;&gt;""))*(('T_TTAFStock'!CE7&lt;&gt;""))&gt;0,'T_SelfStock'!CE7+'T_TTAFStock'!CE7,CD3+'Grid_Incoming'!CE3-'Grid_Requirement'!CE3))</f>
        <v/>
      </c>
      <c r="CF3">
        <f>IF(COUNTIFS(T_StockCount[Part Name],$A3,T_StockCount[WeekIndex],83)&gt;0,SUMIFS(T_StockCount[CountedQty],T_StockCount[Part Name],$A3,T_StockCount[WeekIndex],83),IF((('T_SelfStock'!CF7&lt;&gt;""))*(('T_TTAFStock'!CF7&lt;&gt;""))&gt;0,'T_SelfStock'!CF7+'T_TTAFStock'!CF7,CE3+'Grid_Incoming'!CF3-'Grid_Requirement'!CF3))</f>
        <v/>
      </c>
      <c r="CG3">
        <f>IF(COUNTIFS(T_StockCount[Part Name],$A3,T_StockCount[WeekIndex],84)&gt;0,SUMIFS(T_StockCount[CountedQty],T_StockCount[Part Name],$A3,T_StockCount[WeekIndex],84),IF((('T_SelfStock'!CG7&lt;&gt;""))*(('T_TTAFStock'!CG7&lt;&gt;""))&gt;0,'T_SelfStock'!CG7+'T_TTAFStock'!CG7,CF3+'Grid_Incoming'!CG3-'Grid_Requirement'!CG3))</f>
        <v/>
      </c>
      <c r="CH3">
        <f>IF(COUNTIFS(T_StockCount[Part Name],$A3,T_StockCount[WeekIndex],85)&gt;0,SUMIFS(T_StockCount[CountedQty],T_StockCount[Part Name],$A3,T_StockCount[WeekIndex],85),IF((('T_SelfStock'!CH7&lt;&gt;""))*(('T_TTAFStock'!CH7&lt;&gt;""))&gt;0,'T_SelfStock'!CH7+'T_TTAFStock'!CH7,CG3+'Grid_Incoming'!CH3-'Grid_Requirement'!CH3))</f>
        <v/>
      </c>
      <c r="CI3">
        <f>IF(COUNTIFS(T_StockCount[Part Name],$A3,T_StockCount[WeekIndex],86)&gt;0,SUMIFS(T_StockCount[CountedQty],T_StockCount[Part Name],$A3,T_StockCount[WeekIndex],86),IF((('T_SelfStock'!CI7&lt;&gt;""))*(('T_TTAFStock'!CI7&lt;&gt;""))&gt;0,'T_SelfStock'!CI7+'T_TTAFStock'!CI7,CH3+'Grid_Incoming'!CI3-'Grid_Requirement'!CI3))</f>
        <v/>
      </c>
      <c r="CJ3">
        <f>IF(COUNTIFS(T_StockCount[Part Name],$A3,T_StockCount[WeekIndex],87)&gt;0,SUMIFS(T_StockCount[CountedQty],T_StockCount[Part Name],$A3,T_StockCount[WeekIndex],87),IF((('T_SelfStock'!CJ7&lt;&gt;""))*(('T_TTAFStock'!CJ7&lt;&gt;""))&gt;0,'T_SelfStock'!CJ7+'T_TTAFStock'!CJ7,CI3+'Grid_Incoming'!CJ3-'Grid_Requirement'!CJ3))</f>
        <v/>
      </c>
      <c r="CK3">
        <f>IF(COUNTIFS(T_StockCount[Part Name],$A3,T_StockCount[WeekIndex],88)&gt;0,SUMIFS(T_StockCount[CountedQty],T_StockCount[Part Name],$A3,T_StockCount[WeekIndex],88),IF((('T_SelfStock'!CK7&lt;&gt;""))*(('T_TTAFStock'!CK7&lt;&gt;""))&gt;0,'T_SelfStock'!CK7+'T_TTAFStock'!CK7,CJ3+'Grid_Incoming'!CK3-'Grid_Requirement'!CK3))</f>
        <v/>
      </c>
      <c r="CL3">
        <f>IF(COUNTIFS(T_StockCount[Part Name],$A3,T_StockCount[WeekIndex],89)&gt;0,SUMIFS(T_StockCount[CountedQty],T_StockCount[Part Name],$A3,T_StockCount[WeekIndex],89),IF((('T_SelfStock'!CL7&lt;&gt;""))*(('T_TTAFStock'!CL7&lt;&gt;""))&gt;0,'T_SelfStock'!CL7+'T_TTAFStock'!CL7,CK3+'Grid_Incoming'!CL3-'Grid_Requirement'!CL3))</f>
        <v/>
      </c>
      <c r="CM3">
        <f>IF(COUNTIFS(T_StockCount[Part Name],$A3,T_StockCount[WeekIndex],90)&gt;0,SUMIFS(T_StockCount[CountedQty],T_StockCount[Part Name],$A3,T_StockCount[WeekIndex],90),IF((('T_SelfStock'!CM7&lt;&gt;""))*(('T_TTAFStock'!CM7&lt;&gt;""))&gt;0,'T_SelfStock'!CM7+'T_TTAFStock'!CM7,CL3+'Grid_Incoming'!CM3-'Grid_Requirement'!CM3))</f>
        <v/>
      </c>
      <c r="CN3">
        <f>IF(COUNTIFS(T_StockCount[Part Name],$A3,T_StockCount[WeekIndex],91)&gt;0,SUMIFS(T_StockCount[CountedQty],T_StockCount[Part Name],$A3,T_StockCount[WeekIndex],91),IF((('T_SelfStock'!CN7&lt;&gt;""))*(('T_TTAFStock'!CN7&lt;&gt;""))&gt;0,'T_SelfStock'!CN7+'T_TTAFStock'!CN7,CM3+'Grid_Incoming'!CN3-'Grid_Requirement'!CN3))</f>
        <v/>
      </c>
      <c r="CO3">
        <f>IF(COUNTIFS(T_StockCount[Part Name],$A3,T_StockCount[WeekIndex],92)&gt;0,SUMIFS(T_StockCount[CountedQty],T_StockCount[Part Name],$A3,T_StockCount[WeekIndex],92),IF((('T_SelfStock'!CO7&lt;&gt;""))*(('T_TTAFStock'!CO7&lt;&gt;""))&gt;0,'T_SelfStock'!CO7+'T_TTAFStock'!CO7,CN3+'Grid_Incoming'!CO3-'Grid_Requirement'!CO3))</f>
        <v/>
      </c>
      <c r="CP3">
        <f>IF(COUNTIFS(T_StockCount[Part Name],$A3,T_StockCount[WeekIndex],93)&gt;0,SUMIFS(T_StockCount[CountedQty],T_StockCount[Part Name],$A3,T_StockCount[WeekIndex],93),IF((('T_SelfStock'!CP7&lt;&gt;""))*(('T_TTAFStock'!CP7&lt;&gt;""))&gt;0,'T_SelfStock'!CP7+'T_TTAFStock'!CP7,CO3+'Grid_Incoming'!CP3-'Grid_Requirement'!CP3))</f>
        <v/>
      </c>
      <c r="CQ3">
        <f>IF(COUNTIFS(T_StockCount[Part Name],$A3,T_StockCount[WeekIndex],94)&gt;0,SUMIFS(T_StockCount[CountedQty],T_StockCount[Part Name],$A3,T_StockCount[WeekIndex],94),IF((('T_SelfStock'!CQ7&lt;&gt;""))*(('T_TTAFStock'!CQ7&lt;&gt;""))&gt;0,'T_SelfStock'!CQ7+'T_TTAFStock'!CQ7,CP3+'Grid_Incoming'!CQ3-'Grid_Requirement'!CQ3))</f>
        <v/>
      </c>
      <c r="CR3">
        <f>IF(COUNTIFS(T_StockCount[Part Name],$A3,T_StockCount[WeekIndex],95)&gt;0,SUMIFS(T_StockCount[CountedQty],T_StockCount[Part Name],$A3,T_StockCount[WeekIndex],95),IF((('T_SelfStock'!CR7&lt;&gt;""))*(('T_TTAFStock'!CR7&lt;&gt;""))&gt;0,'T_SelfStock'!CR7+'T_TTAFStock'!CR7,CQ3+'Grid_Incoming'!CR3-'Grid_Requirement'!CR3))</f>
        <v/>
      </c>
      <c r="CS3">
        <f>IF(COUNTIFS(T_StockCount[Part Name],$A3,T_StockCount[WeekIndex],96)&gt;0,SUMIFS(T_StockCount[CountedQty],T_StockCount[Part Name],$A3,T_StockCount[WeekIndex],96),IF((('T_SelfStock'!CS7&lt;&gt;""))*(('T_TTAFStock'!CS7&lt;&gt;""))&gt;0,'T_SelfStock'!CS7+'T_TTAFStock'!CS7,CR3+'Grid_Incoming'!CS3-'Grid_Requirement'!CS3))</f>
        <v/>
      </c>
      <c r="CT3">
        <f>IF(COUNTIFS(T_StockCount[Part Name],$A3,T_StockCount[WeekIndex],97)&gt;0,SUMIFS(T_StockCount[CountedQty],T_StockCount[Part Name],$A3,T_StockCount[WeekIndex],97),IF((('T_SelfStock'!CT7&lt;&gt;""))*(('T_TTAFStock'!CT7&lt;&gt;""))&gt;0,'T_SelfStock'!CT7+'T_TTAFStock'!CT7,CS3+'Grid_Incoming'!CT3-'Grid_Requirement'!CT3))</f>
        <v/>
      </c>
      <c r="CU3">
        <f>IF(COUNTIFS(T_StockCount[Part Name],$A3,T_StockCount[WeekIndex],98)&gt;0,SUMIFS(T_StockCount[CountedQty],T_StockCount[Part Name],$A3,T_StockCount[WeekIndex],98),IF((('T_SelfStock'!CU7&lt;&gt;""))*(('T_TTAFStock'!CU7&lt;&gt;""))&gt;0,'T_SelfStock'!CU7+'T_TTAFStock'!CU7,CT3+'Grid_Incoming'!CU3-'Grid_Requirement'!CU3))</f>
        <v/>
      </c>
      <c r="CV3">
        <f>IF(COUNTIFS(T_StockCount[Part Name],$A3,T_StockCount[WeekIndex],99)&gt;0,SUMIFS(T_StockCount[CountedQty],T_StockCount[Part Name],$A3,T_StockCount[WeekIndex],99),IF((('T_SelfStock'!CV7&lt;&gt;""))*(('T_TTAFStock'!CV7&lt;&gt;""))&gt;0,'T_SelfStock'!CV7+'T_TTAFStock'!CV7,CU3+'Grid_Incoming'!CV3-'Grid_Requirement'!CV3))</f>
        <v/>
      </c>
      <c r="CW3">
        <f>IF(COUNTIFS(T_StockCount[Part Name],$A3,T_StockCount[WeekIndex],100)&gt;0,SUMIFS(T_StockCount[CountedQty],T_StockCount[Part Name],$A3,T_StockCount[WeekIndex],100),IF((('T_SelfStock'!CW7&lt;&gt;""))*(('T_TTAFStock'!CW7&lt;&gt;""))&gt;0,'T_SelfStock'!CW7+'T_TTAFStock'!CW7,CV3+'Grid_Incoming'!CW3-'Grid_Requirement'!CW3))</f>
        <v/>
      </c>
      <c r="CX3">
        <f>IF(COUNTIFS(T_StockCount[Part Name],$A3,T_StockCount[WeekIndex],101)&gt;0,SUMIFS(T_StockCount[CountedQty],T_StockCount[Part Name],$A3,T_StockCount[WeekIndex],101),IF((('T_SelfStock'!CX7&lt;&gt;""))*(('T_TTAFStock'!CX7&lt;&gt;""))&gt;0,'T_SelfStock'!CX7+'T_TTAFStock'!CX7,CW3+'Grid_Incoming'!CX3-'Grid_Requirement'!CX3))</f>
        <v/>
      </c>
      <c r="CY3">
        <f>IF(COUNTIFS(T_StockCount[Part Name],$A3,T_StockCount[WeekIndex],102)&gt;0,SUMIFS(T_StockCount[CountedQty],T_StockCount[Part Name],$A3,T_StockCount[WeekIndex],102),IF((('T_SelfStock'!CY7&lt;&gt;""))*(('T_TTAFStock'!CY7&lt;&gt;""))&gt;0,'T_SelfStock'!CY7+'T_TTAFStock'!CY7,CX3+'Grid_Incoming'!CY3-'Grid_Requirement'!CY3))</f>
        <v/>
      </c>
      <c r="CZ3">
        <f>IF(COUNTIFS(T_StockCount[Part Name],$A3,T_StockCount[WeekIndex],103)&gt;0,SUMIFS(T_StockCount[CountedQty],T_StockCount[Part Name],$A3,T_StockCount[WeekIndex],103),IF((('T_SelfStock'!CZ7&lt;&gt;""))*(('T_TTAFStock'!CZ7&lt;&gt;""))&gt;0,'T_SelfStock'!CZ7+'T_TTAFStock'!CZ7,CY3+'Grid_Incoming'!CZ3-'Grid_Requirement'!CZ3))</f>
        <v/>
      </c>
      <c r="DA3">
        <f>IF(COUNTIFS(T_StockCount[Part Name],$A3,T_StockCount[WeekIndex],104)&gt;0,SUMIFS(T_StockCount[CountedQty],T_StockCount[Part Name],$A3,T_StockCount[WeekIndex],104),IF((('T_SelfStock'!DA7&lt;&gt;""))*(('T_TTAFStock'!DA7&lt;&gt;""))&gt;0,'T_SelfStock'!DA7+'T_TTAFStock'!DA7,CZ3+'Grid_Incoming'!DA3-'Grid_Requirement'!DA3))</f>
        <v/>
      </c>
    </row>
    <row r="4">
      <c r="A4" t="inlineStr">
        <is>
          <t>CHEM-1700</t>
        </is>
      </c>
      <c r="B4">
        <f>IF(COUNTIFS(T_StockCount[Part Name],$A4,T_StockCount[WeekIndex],1)&gt;0,SUMIFS(T_StockCount[CountedQty],T_StockCount[Part Name],$A4,T_StockCount[WeekIndex],1),IF((('T_SelfStock'!B8&lt;&gt;""))*(('T_TTAFStock'!B8&lt;&gt;""))&gt;0,'T_SelfStock'!B8+'T_TTAFStock'!B8,IFERROR(INDEX(T_OpeningStock[Opening_Qty],MATCH($A4,T_OpeningStock[Part Name],0)),0)+'Grid_Incoming'!B4-'Grid_Requirement'!B4))</f>
        <v/>
      </c>
      <c r="C4">
        <f>IF(COUNTIFS(T_StockCount[Part Name],$A4,T_StockCount[WeekIndex],2)&gt;0,SUMIFS(T_StockCount[CountedQty],T_StockCount[Part Name],$A4,T_StockCount[WeekIndex],2),IF((('T_SelfStock'!C8&lt;&gt;""))*(('T_TTAFStock'!C8&lt;&gt;""))&gt;0,'T_SelfStock'!C8+'T_TTAFStock'!C8,B4+'Grid_Incoming'!C4-'Grid_Requirement'!C4))</f>
        <v/>
      </c>
      <c r="D4">
        <f>IF(COUNTIFS(T_StockCount[Part Name],$A4,T_StockCount[WeekIndex],3)&gt;0,SUMIFS(T_StockCount[CountedQty],T_StockCount[Part Name],$A4,T_StockCount[WeekIndex],3),IF((('T_SelfStock'!D8&lt;&gt;""))*(('T_TTAFStock'!D8&lt;&gt;""))&gt;0,'T_SelfStock'!D8+'T_TTAFStock'!D8,C4+'Grid_Incoming'!D4-'Grid_Requirement'!D4))</f>
        <v/>
      </c>
      <c r="E4">
        <f>IF(COUNTIFS(T_StockCount[Part Name],$A4,T_StockCount[WeekIndex],4)&gt;0,SUMIFS(T_StockCount[CountedQty],T_StockCount[Part Name],$A4,T_StockCount[WeekIndex],4),IF((('T_SelfStock'!E8&lt;&gt;""))*(('T_TTAFStock'!E8&lt;&gt;""))&gt;0,'T_SelfStock'!E8+'T_TTAFStock'!E8,D4+'Grid_Incoming'!E4-'Grid_Requirement'!E4))</f>
        <v/>
      </c>
      <c r="F4">
        <f>IF(COUNTIFS(T_StockCount[Part Name],$A4,T_StockCount[WeekIndex],5)&gt;0,SUMIFS(T_StockCount[CountedQty],T_StockCount[Part Name],$A4,T_StockCount[WeekIndex],5),IF((('T_SelfStock'!F8&lt;&gt;""))*(('T_TTAFStock'!F8&lt;&gt;""))&gt;0,'T_SelfStock'!F8+'T_TTAFStock'!F8,E4+'Grid_Incoming'!F4-'Grid_Requirement'!F4))</f>
        <v/>
      </c>
      <c r="G4">
        <f>IF(COUNTIFS(T_StockCount[Part Name],$A4,T_StockCount[WeekIndex],6)&gt;0,SUMIFS(T_StockCount[CountedQty],T_StockCount[Part Name],$A4,T_StockCount[WeekIndex],6),IF((('T_SelfStock'!G8&lt;&gt;""))*(('T_TTAFStock'!G8&lt;&gt;""))&gt;0,'T_SelfStock'!G8+'T_TTAFStock'!G8,F4+'Grid_Incoming'!G4-'Grid_Requirement'!G4))</f>
        <v/>
      </c>
      <c r="H4">
        <f>IF(COUNTIFS(T_StockCount[Part Name],$A4,T_StockCount[WeekIndex],7)&gt;0,SUMIFS(T_StockCount[CountedQty],T_StockCount[Part Name],$A4,T_StockCount[WeekIndex],7),IF((('T_SelfStock'!H8&lt;&gt;""))*(('T_TTAFStock'!H8&lt;&gt;""))&gt;0,'T_SelfStock'!H8+'T_TTAFStock'!H8,G4+'Grid_Incoming'!H4-'Grid_Requirement'!H4))</f>
        <v/>
      </c>
      <c r="I4">
        <f>IF(COUNTIFS(T_StockCount[Part Name],$A4,T_StockCount[WeekIndex],8)&gt;0,SUMIFS(T_StockCount[CountedQty],T_StockCount[Part Name],$A4,T_StockCount[WeekIndex],8),IF((('T_SelfStock'!I8&lt;&gt;""))*(('T_TTAFStock'!I8&lt;&gt;""))&gt;0,'T_SelfStock'!I8+'T_TTAFStock'!I8,H4+'Grid_Incoming'!I4-'Grid_Requirement'!I4))</f>
        <v/>
      </c>
      <c r="J4">
        <f>IF(COUNTIFS(T_StockCount[Part Name],$A4,T_StockCount[WeekIndex],9)&gt;0,SUMIFS(T_StockCount[CountedQty],T_StockCount[Part Name],$A4,T_StockCount[WeekIndex],9),IF((('T_SelfStock'!J8&lt;&gt;""))*(('T_TTAFStock'!J8&lt;&gt;""))&gt;0,'T_SelfStock'!J8+'T_TTAFStock'!J8,I4+'Grid_Incoming'!J4-'Grid_Requirement'!J4))</f>
        <v/>
      </c>
      <c r="K4">
        <f>IF(COUNTIFS(T_StockCount[Part Name],$A4,T_StockCount[WeekIndex],10)&gt;0,SUMIFS(T_StockCount[CountedQty],T_StockCount[Part Name],$A4,T_StockCount[WeekIndex],10),IF((('T_SelfStock'!K8&lt;&gt;""))*(('T_TTAFStock'!K8&lt;&gt;""))&gt;0,'T_SelfStock'!K8+'T_TTAFStock'!K8,J4+'Grid_Incoming'!K4-'Grid_Requirement'!K4))</f>
        <v/>
      </c>
      <c r="L4">
        <f>IF(COUNTIFS(T_StockCount[Part Name],$A4,T_StockCount[WeekIndex],11)&gt;0,SUMIFS(T_StockCount[CountedQty],T_StockCount[Part Name],$A4,T_StockCount[WeekIndex],11),IF((('T_SelfStock'!L8&lt;&gt;""))*(('T_TTAFStock'!L8&lt;&gt;""))&gt;0,'T_SelfStock'!L8+'T_TTAFStock'!L8,K4+'Grid_Incoming'!L4-'Grid_Requirement'!L4))</f>
        <v/>
      </c>
      <c r="M4">
        <f>IF(COUNTIFS(T_StockCount[Part Name],$A4,T_StockCount[WeekIndex],12)&gt;0,SUMIFS(T_StockCount[CountedQty],T_StockCount[Part Name],$A4,T_StockCount[WeekIndex],12),IF((('T_SelfStock'!M8&lt;&gt;""))*(('T_TTAFStock'!M8&lt;&gt;""))&gt;0,'T_SelfStock'!M8+'T_TTAFStock'!M8,L4+'Grid_Incoming'!M4-'Grid_Requirement'!M4))</f>
        <v/>
      </c>
      <c r="N4">
        <f>IF(COUNTIFS(T_StockCount[Part Name],$A4,T_StockCount[WeekIndex],13)&gt;0,SUMIFS(T_StockCount[CountedQty],T_StockCount[Part Name],$A4,T_StockCount[WeekIndex],13),IF((('T_SelfStock'!N8&lt;&gt;""))*(('T_TTAFStock'!N8&lt;&gt;""))&gt;0,'T_SelfStock'!N8+'T_TTAFStock'!N8,M4+'Grid_Incoming'!N4-'Grid_Requirement'!N4))</f>
        <v/>
      </c>
      <c r="O4">
        <f>IF(COUNTIFS(T_StockCount[Part Name],$A4,T_StockCount[WeekIndex],14)&gt;0,SUMIFS(T_StockCount[CountedQty],T_StockCount[Part Name],$A4,T_StockCount[WeekIndex],14),IF((('T_SelfStock'!O8&lt;&gt;""))*(('T_TTAFStock'!O8&lt;&gt;""))&gt;0,'T_SelfStock'!O8+'T_TTAFStock'!O8,N4+'Grid_Incoming'!O4-'Grid_Requirement'!O4))</f>
        <v/>
      </c>
      <c r="P4">
        <f>IF(COUNTIFS(T_StockCount[Part Name],$A4,T_StockCount[WeekIndex],15)&gt;0,SUMIFS(T_StockCount[CountedQty],T_StockCount[Part Name],$A4,T_StockCount[WeekIndex],15),IF((('T_SelfStock'!P8&lt;&gt;""))*(('T_TTAFStock'!P8&lt;&gt;""))&gt;0,'T_SelfStock'!P8+'T_TTAFStock'!P8,O4+'Grid_Incoming'!P4-'Grid_Requirement'!P4))</f>
        <v/>
      </c>
      <c r="Q4">
        <f>IF(COUNTIFS(T_StockCount[Part Name],$A4,T_StockCount[WeekIndex],16)&gt;0,SUMIFS(T_StockCount[CountedQty],T_StockCount[Part Name],$A4,T_StockCount[WeekIndex],16),IF((('T_SelfStock'!Q8&lt;&gt;""))*(('T_TTAFStock'!Q8&lt;&gt;""))&gt;0,'T_SelfStock'!Q8+'T_TTAFStock'!Q8,P4+'Grid_Incoming'!Q4-'Grid_Requirement'!Q4))</f>
        <v/>
      </c>
      <c r="R4">
        <f>IF(COUNTIFS(T_StockCount[Part Name],$A4,T_StockCount[WeekIndex],17)&gt;0,SUMIFS(T_StockCount[CountedQty],T_StockCount[Part Name],$A4,T_StockCount[WeekIndex],17),IF((('T_SelfStock'!R8&lt;&gt;""))*(('T_TTAFStock'!R8&lt;&gt;""))&gt;0,'T_SelfStock'!R8+'T_TTAFStock'!R8,Q4+'Grid_Incoming'!R4-'Grid_Requirement'!R4))</f>
        <v/>
      </c>
      <c r="S4">
        <f>IF(COUNTIFS(T_StockCount[Part Name],$A4,T_StockCount[WeekIndex],18)&gt;0,SUMIFS(T_StockCount[CountedQty],T_StockCount[Part Name],$A4,T_StockCount[WeekIndex],18),IF((('T_SelfStock'!S8&lt;&gt;""))*(('T_TTAFStock'!S8&lt;&gt;""))&gt;0,'T_SelfStock'!S8+'T_TTAFStock'!S8,R4+'Grid_Incoming'!S4-'Grid_Requirement'!S4))</f>
        <v/>
      </c>
      <c r="T4">
        <f>IF(COUNTIFS(T_StockCount[Part Name],$A4,T_StockCount[WeekIndex],19)&gt;0,SUMIFS(T_StockCount[CountedQty],T_StockCount[Part Name],$A4,T_StockCount[WeekIndex],19),IF((('T_SelfStock'!T8&lt;&gt;""))*(('T_TTAFStock'!T8&lt;&gt;""))&gt;0,'T_SelfStock'!T8+'T_TTAFStock'!T8,S4+'Grid_Incoming'!T4-'Grid_Requirement'!T4))</f>
        <v/>
      </c>
      <c r="U4">
        <f>IF(COUNTIFS(T_StockCount[Part Name],$A4,T_StockCount[WeekIndex],20)&gt;0,SUMIFS(T_StockCount[CountedQty],T_StockCount[Part Name],$A4,T_StockCount[WeekIndex],20),IF((('T_SelfStock'!U8&lt;&gt;""))*(('T_TTAFStock'!U8&lt;&gt;""))&gt;0,'T_SelfStock'!U8+'T_TTAFStock'!U8,T4+'Grid_Incoming'!U4-'Grid_Requirement'!U4))</f>
        <v/>
      </c>
      <c r="V4">
        <f>IF(COUNTIFS(T_StockCount[Part Name],$A4,T_StockCount[WeekIndex],21)&gt;0,SUMIFS(T_StockCount[CountedQty],T_StockCount[Part Name],$A4,T_StockCount[WeekIndex],21),IF((('T_SelfStock'!V8&lt;&gt;""))*(('T_TTAFStock'!V8&lt;&gt;""))&gt;0,'T_SelfStock'!V8+'T_TTAFStock'!V8,U4+'Grid_Incoming'!V4-'Grid_Requirement'!V4))</f>
        <v/>
      </c>
      <c r="W4">
        <f>IF(COUNTIFS(T_StockCount[Part Name],$A4,T_StockCount[WeekIndex],22)&gt;0,SUMIFS(T_StockCount[CountedQty],T_StockCount[Part Name],$A4,T_StockCount[WeekIndex],22),IF((('T_SelfStock'!W8&lt;&gt;""))*(('T_TTAFStock'!W8&lt;&gt;""))&gt;0,'T_SelfStock'!W8+'T_TTAFStock'!W8,V4+'Grid_Incoming'!W4-'Grid_Requirement'!W4))</f>
        <v/>
      </c>
      <c r="X4">
        <f>IF(COUNTIFS(T_StockCount[Part Name],$A4,T_StockCount[WeekIndex],23)&gt;0,SUMIFS(T_StockCount[CountedQty],T_StockCount[Part Name],$A4,T_StockCount[WeekIndex],23),IF((('T_SelfStock'!X8&lt;&gt;""))*(('T_TTAFStock'!X8&lt;&gt;""))&gt;0,'T_SelfStock'!X8+'T_TTAFStock'!X8,W4+'Grid_Incoming'!X4-'Grid_Requirement'!X4))</f>
        <v/>
      </c>
      <c r="Y4">
        <f>IF(COUNTIFS(T_StockCount[Part Name],$A4,T_StockCount[WeekIndex],24)&gt;0,SUMIFS(T_StockCount[CountedQty],T_StockCount[Part Name],$A4,T_StockCount[WeekIndex],24),IF((('T_SelfStock'!Y8&lt;&gt;""))*(('T_TTAFStock'!Y8&lt;&gt;""))&gt;0,'T_SelfStock'!Y8+'T_TTAFStock'!Y8,X4+'Grid_Incoming'!Y4-'Grid_Requirement'!Y4))</f>
        <v/>
      </c>
      <c r="Z4">
        <f>IF(COUNTIFS(T_StockCount[Part Name],$A4,T_StockCount[WeekIndex],25)&gt;0,SUMIFS(T_StockCount[CountedQty],T_StockCount[Part Name],$A4,T_StockCount[WeekIndex],25),IF((('T_SelfStock'!Z8&lt;&gt;""))*(('T_TTAFStock'!Z8&lt;&gt;""))&gt;0,'T_SelfStock'!Z8+'T_TTAFStock'!Z8,Y4+'Grid_Incoming'!Z4-'Grid_Requirement'!Z4))</f>
        <v/>
      </c>
      <c r="AA4">
        <f>IF(COUNTIFS(T_StockCount[Part Name],$A4,T_StockCount[WeekIndex],26)&gt;0,SUMIFS(T_StockCount[CountedQty],T_StockCount[Part Name],$A4,T_StockCount[WeekIndex],26),IF((('T_SelfStock'!AA8&lt;&gt;""))*(('T_TTAFStock'!AA8&lt;&gt;""))&gt;0,'T_SelfStock'!AA8+'T_TTAFStock'!AA8,Z4+'Grid_Incoming'!AA4-'Grid_Requirement'!AA4))</f>
        <v/>
      </c>
      <c r="AB4">
        <f>IF(COUNTIFS(T_StockCount[Part Name],$A4,T_StockCount[WeekIndex],27)&gt;0,SUMIFS(T_StockCount[CountedQty],T_StockCount[Part Name],$A4,T_StockCount[WeekIndex],27),IF((('T_SelfStock'!AB8&lt;&gt;""))*(('T_TTAFStock'!AB8&lt;&gt;""))&gt;0,'T_SelfStock'!AB8+'T_TTAFStock'!AB8,AA4+'Grid_Incoming'!AB4-'Grid_Requirement'!AB4))</f>
        <v/>
      </c>
      <c r="AC4">
        <f>IF(COUNTIFS(T_StockCount[Part Name],$A4,T_StockCount[WeekIndex],28)&gt;0,SUMIFS(T_StockCount[CountedQty],T_StockCount[Part Name],$A4,T_StockCount[WeekIndex],28),IF((('T_SelfStock'!AC8&lt;&gt;""))*(('T_TTAFStock'!AC8&lt;&gt;""))&gt;0,'T_SelfStock'!AC8+'T_TTAFStock'!AC8,AB4+'Grid_Incoming'!AC4-'Grid_Requirement'!AC4))</f>
        <v/>
      </c>
      <c r="AD4">
        <f>IF(COUNTIFS(T_StockCount[Part Name],$A4,T_StockCount[WeekIndex],29)&gt;0,SUMIFS(T_StockCount[CountedQty],T_StockCount[Part Name],$A4,T_StockCount[WeekIndex],29),IF((('T_SelfStock'!AD8&lt;&gt;""))*(('T_TTAFStock'!AD8&lt;&gt;""))&gt;0,'T_SelfStock'!AD8+'T_TTAFStock'!AD8,AC4+'Grid_Incoming'!AD4-'Grid_Requirement'!AD4))</f>
        <v/>
      </c>
      <c r="AE4">
        <f>IF(COUNTIFS(T_StockCount[Part Name],$A4,T_StockCount[WeekIndex],30)&gt;0,SUMIFS(T_StockCount[CountedQty],T_StockCount[Part Name],$A4,T_StockCount[WeekIndex],30),IF((('T_SelfStock'!AE8&lt;&gt;""))*(('T_TTAFStock'!AE8&lt;&gt;""))&gt;0,'T_SelfStock'!AE8+'T_TTAFStock'!AE8,AD4+'Grid_Incoming'!AE4-'Grid_Requirement'!AE4))</f>
        <v/>
      </c>
      <c r="AF4">
        <f>IF(COUNTIFS(T_StockCount[Part Name],$A4,T_StockCount[WeekIndex],31)&gt;0,SUMIFS(T_StockCount[CountedQty],T_StockCount[Part Name],$A4,T_StockCount[WeekIndex],31),IF((('T_SelfStock'!AF8&lt;&gt;""))*(('T_TTAFStock'!AF8&lt;&gt;""))&gt;0,'T_SelfStock'!AF8+'T_TTAFStock'!AF8,AE4+'Grid_Incoming'!AF4-'Grid_Requirement'!AF4))</f>
        <v/>
      </c>
      <c r="AG4">
        <f>IF(COUNTIFS(T_StockCount[Part Name],$A4,T_StockCount[WeekIndex],32)&gt;0,SUMIFS(T_StockCount[CountedQty],T_StockCount[Part Name],$A4,T_StockCount[WeekIndex],32),IF((('T_SelfStock'!AG8&lt;&gt;""))*(('T_TTAFStock'!AG8&lt;&gt;""))&gt;0,'T_SelfStock'!AG8+'T_TTAFStock'!AG8,AF4+'Grid_Incoming'!AG4-'Grid_Requirement'!AG4))</f>
        <v/>
      </c>
      <c r="AH4">
        <f>IF(COUNTIFS(T_StockCount[Part Name],$A4,T_StockCount[WeekIndex],33)&gt;0,SUMIFS(T_StockCount[CountedQty],T_StockCount[Part Name],$A4,T_StockCount[WeekIndex],33),IF((('T_SelfStock'!AH8&lt;&gt;""))*(('T_TTAFStock'!AH8&lt;&gt;""))&gt;0,'T_SelfStock'!AH8+'T_TTAFStock'!AH8,AG4+'Grid_Incoming'!AH4-'Grid_Requirement'!AH4))</f>
        <v/>
      </c>
      <c r="AI4">
        <f>IF(COUNTIFS(T_StockCount[Part Name],$A4,T_StockCount[WeekIndex],34)&gt;0,SUMIFS(T_StockCount[CountedQty],T_StockCount[Part Name],$A4,T_StockCount[WeekIndex],34),IF((('T_SelfStock'!AI8&lt;&gt;""))*(('T_TTAFStock'!AI8&lt;&gt;""))&gt;0,'T_SelfStock'!AI8+'T_TTAFStock'!AI8,AH4+'Grid_Incoming'!AI4-'Grid_Requirement'!AI4))</f>
        <v/>
      </c>
      <c r="AJ4">
        <f>IF(COUNTIFS(T_StockCount[Part Name],$A4,T_StockCount[WeekIndex],35)&gt;0,SUMIFS(T_StockCount[CountedQty],T_StockCount[Part Name],$A4,T_StockCount[WeekIndex],35),IF((('T_SelfStock'!AJ8&lt;&gt;""))*(('T_TTAFStock'!AJ8&lt;&gt;""))&gt;0,'T_SelfStock'!AJ8+'T_TTAFStock'!AJ8,AI4+'Grid_Incoming'!AJ4-'Grid_Requirement'!AJ4))</f>
        <v/>
      </c>
      <c r="AK4">
        <f>IF(COUNTIFS(T_StockCount[Part Name],$A4,T_StockCount[WeekIndex],36)&gt;0,SUMIFS(T_StockCount[CountedQty],T_StockCount[Part Name],$A4,T_StockCount[WeekIndex],36),IF((('T_SelfStock'!AK8&lt;&gt;""))*(('T_TTAFStock'!AK8&lt;&gt;""))&gt;0,'T_SelfStock'!AK8+'T_TTAFStock'!AK8,AJ4+'Grid_Incoming'!AK4-'Grid_Requirement'!AK4))</f>
        <v/>
      </c>
      <c r="AL4">
        <f>IF(COUNTIFS(T_StockCount[Part Name],$A4,T_StockCount[WeekIndex],37)&gt;0,SUMIFS(T_StockCount[CountedQty],T_StockCount[Part Name],$A4,T_StockCount[WeekIndex],37),IF((('T_SelfStock'!AL8&lt;&gt;""))*(('T_TTAFStock'!AL8&lt;&gt;""))&gt;0,'T_SelfStock'!AL8+'T_TTAFStock'!AL8,AK4+'Grid_Incoming'!AL4-'Grid_Requirement'!AL4))</f>
        <v/>
      </c>
      <c r="AM4">
        <f>IF(COUNTIFS(T_StockCount[Part Name],$A4,T_StockCount[WeekIndex],38)&gt;0,SUMIFS(T_StockCount[CountedQty],T_StockCount[Part Name],$A4,T_StockCount[WeekIndex],38),IF((('T_SelfStock'!AM8&lt;&gt;""))*(('T_TTAFStock'!AM8&lt;&gt;""))&gt;0,'T_SelfStock'!AM8+'T_TTAFStock'!AM8,AL4+'Grid_Incoming'!AM4-'Grid_Requirement'!AM4))</f>
        <v/>
      </c>
      <c r="AN4">
        <f>IF(COUNTIFS(T_StockCount[Part Name],$A4,T_StockCount[WeekIndex],39)&gt;0,SUMIFS(T_StockCount[CountedQty],T_StockCount[Part Name],$A4,T_StockCount[WeekIndex],39),IF((('T_SelfStock'!AN8&lt;&gt;""))*(('T_TTAFStock'!AN8&lt;&gt;""))&gt;0,'T_SelfStock'!AN8+'T_TTAFStock'!AN8,AM4+'Grid_Incoming'!AN4-'Grid_Requirement'!AN4))</f>
        <v/>
      </c>
      <c r="AO4">
        <f>IF(COUNTIFS(T_StockCount[Part Name],$A4,T_StockCount[WeekIndex],40)&gt;0,SUMIFS(T_StockCount[CountedQty],T_StockCount[Part Name],$A4,T_StockCount[WeekIndex],40),IF((('T_SelfStock'!AO8&lt;&gt;""))*(('T_TTAFStock'!AO8&lt;&gt;""))&gt;0,'T_SelfStock'!AO8+'T_TTAFStock'!AO8,AN4+'Grid_Incoming'!AO4-'Grid_Requirement'!AO4))</f>
        <v/>
      </c>
      <c r="AP4">
        <f>IF(COUNTIFS(T_StockCount[Part Name],$A4,T_StockCount[WeekIndex],41)&gt;0,SUMIFS(T_StockCount[CountedQty],T_StockCount[Part Name],$A4,T_StockCount[WeekIndex],41),IF((('T_SelfStock'!AP8&lt;&gt;""))*(('T_TTAFStock'!AP8&lt;&gt;""))&gt;0,'T_SelfStock'!AP8+'T_TTAFStock'!AP8,AO4+'Grid_Incoming'!AP4-'Grid_Requirement'!AP4))</f>
        <v/>
      </c>
      <c r="AQ4">
        <f>IF(COUNTIFS(T_StockCount[Part Name],$A4,T_StockCount[WeekIndex],42)&gt;0,SUMIFS(T_StockCount[CountedQty],T_StockCount[Part Name],$A4,T_StockCount[WeekIndex],42),IF((('T_SelfStock'!AQ8&lt;&gt;""))*(('T_TTAFStock'!AQ8&lt;&gt;""))&gt;0,'T_SelfStock'!AQ8+'T_TTAFStock'!AQ8,AP4+'Grid_Incoming'!AQ4-'Grid_Requirement'!AQ4))</f>
        <v/>
      </c>
      <c r="AR4">
        <f>IF(COUNTIFS(T_StockCount[Part Name],$A4,T_StockCount[WeekIndex],43)&gt;0,SUMIFS(T_StockCount[CountedQty],T_StockCount[Part Name],$A4,T_StockCount[WeekIndex],43),IF((('T_SelfStock'!AR8&lt;&gt;""))*(('T_TTAFStock'!AR8&lt;&gt;""))&gt;0,'T_SelfStock'!AR8+'T_TTAFStock'!AR8,AQ4+'Grid_Incoming'!AR4-'Grid_Requirement'!AR4))</f>
        <v/>
      </c>
      <c r="AS4">
        <f>IF(COUNTIFS(T_StockCount[Part Name],$A4,T_StockCount[WeekIndex],44)&gt;0,SUMIFS(T_StockCount[CountedQty],T_StockCount[Part Name],$A4,T_StockCount[WeekIndex],44),IF((('T_SelfStock'!AS8&lt;&gt;""))*(('T_TTAFStock'!AS8&lt;&gt;""))&gt;0,'T_SelfStock'!AS8+'T_TTAFStock'!AS8,AR4+'Grid_Incoming'!AS4-'Grid_Requirement'!AS4))</f>
        <v/>
      </c>
      <c r="AT4">
        <f>IF(COUNTIFS(T_StockCount[Part Name],$A4,T_StockCount[WeekIndex],45)&gt;0,SUMIFS(T_StockCount[CountedQty],T_StockCount[Part Name],$A4,T_StockCount[WeekIndex],45),IF((('T_SelfStock'!AT8&lt;&gt;""))*(('T_TTAFStock'!AT8&lt;&gt;""))&gt;0,'T_SelfStock'!AT8+'T_TTAFStock'!AT8,AS4+'Grid_Incoming'!AT4-'Grid_Requirement'!AT4))</f>
        <v/>
      </c>
      <c r="AU4">
        <f>IF(COUNTIFS(T_StockCount[Part Name],$A4,T_StockCount[WeekIndex],46)&gt;0,SUMIFS(T_StockCount[CountedQty],T_StockCount[Part Name],$A4,T_StockCount[WeekIndex],46),IF((('T_SelfStock'!AU8&lt;&gt;""))*(('T_TTAFStock'!AU8&lt;&gt;""))&gt;0,'T_SelfStock'!AU8+'T_TTAFStock'!AU8,AT4+'Grid_Incoming'!AU4-'Grid_Requirement'!AU4))</f>
        <v/>
      </c>
      <c r="AV4">
        <f>IF(COUNTIFS(T_StockCount[Part Name],$A4,T_StockCount[WeekIndex],47)&gt;0,SUMIFS(T_StockCount[CountedQty],T_StockCount[Part Name],$A4,T_StockCount[WeekIndex],47),IF((('T_SelfStock'!AV8&lt;&gt;""))*(('T_TTAFStock'!AV8&lt;&gt;""))&gt;0,'T_SelfStock'!AV8+'T_TTAFStock'!AV8,AU4+'Grid_Incoming'!AV4-'Grid_Requirement'!AV4))</f>
        <v/>
      </c>
      <c r="AW4">
        <f>IF(COUNTIFS(T_StockCount[Part Name],$A4,T_StockCount[WeekIndex],48)&gt;0,SUMIFS(T_StockCount[CountedQty],T_StockCount[Part Name],$A4,T_StockCount[WeekIndex],48),IF((('T_SelfStock'!AW8&lt;&gt;""))*(('T_TTAFStock'!AW8&lt;&gt;""))&gt;0,'T_SelfStock'!AW8+'T_TTAFStock'!AW8,AV4+'Grid_Incoming'!AW4-'Grid_Requirement'!AW4))</f>
        <v/>
      </c>
      <c r="AX4">
        <f>IF(COUNTIFS(T_StockCount[Part Name],$A4,T_StockCount[WeekIndex],49)&gt;0,SUMIFS(T_StockCount[CountedQty],T_StockCount[Part Name],$A4,T_StockCount[WeekIndex],49),IF((('T_SelfStock'!AX8&lt;&gt;""))*(('T_TTAFStock'!AX8&lt;&gt;""))&gt;0,'T_SelfStock'!AX8+'T_TTAFStock'!AX8,AW4+'Grid_Incoming'!AX4-'Grid_Requirement'!AX4))</f>
        <v/>
      </c>
      <c r="AY4">
        <f>IF(COUNTIFS(T_StockCount[Part Name],$A4,T_StockCount[WeekIndex],50)&gt;0,SUMIFS(T_StockCount[CountedQty],T_StockCount[Part Name],$A4,T_StockCount[WeekIndex],50),IF((('T_SelfStock'!AY8&lt;&gt;""))*(('T_TTAFStock'!AY8&lt;&gt;""))&gt;0,'T_SelfStock'!AY8+'T_TTAFStock'!AY8,AX4+'Grid_Incoming'!AY4-'Grid_Requirement'!AY4))</f>
        <v/>
      </c>
      <c r="AZ4">
        <f>IF(COUNTIFS(T_StockCount[Part Name],$A4,T_StockCount[WeekIndex],51)&gt;0,SUMIFS(T_StockCount[CountedQty],T_StockCount[Part Name],$A4,T_StockCount[WeekIndex],51),IF((('T_SelfStock'!AZ8&lt;&gt;""))*(('T_TTAFStock'!AZ8&lt;&gt;""))&gt;0,'T_SelfStock'!AZ8+'T_TTAFStock'!AZ8,AY4+'Grid_Incoming'!AZ4-'Grid_Requirement'!AZ4))</f>
        <v/>
      </c>
      <c r="BA4">
        <f>IF(COUNTIFS(T_StockCount[Part Name],$A4,T_StockCount[WeekIndex],52)&gt;0,SUMIFS(T_StockCount[CountedQty],T_StockCount[Part Name],$A4,T_StockCount[WeekIndex],52),IF((('T_SelfStock'!BA8&lt;&gt;""))*(('T_TTAFStock'!BA8&lt;&gt;""))&gt;0,'T_SelfStock'!BA8+'T_TTAFStock'!BA8,AZ4+'Grid_Incoming'!BA4-'Grid_Requirement'!BA4))</f>
        <v/>
      </c>
      <c r="BB4">
        <f>IF(COUNTIFS(T_StockCount[Part Name],$A4,T_StockCount[WeekIndex],53)&gt;0,SUMIFS(T_StockCount[CountedQty],T_StockCount[Part Name],$A4,T_StockCount[WeekIndex],53),IF((('T_SelfStock'!BB8&lt;&gt;""))*(('T_TTAFStock'!BB8&lt;&gt;""))&gt;0,'T_SelfStock'!BB8+'T_TTAFStock'!BB8,BA4+'Grid_Incoming'!BB4-'Grid_Requirement'!BB4))</f>
        <v/>
      </c>
      <c r="BC4">
        <f>IF(COUNTIFS(T_StockCount[Part Name],$A4,T_StockCount[WeekIndex],54)&gt;0,SUMIFS(T_StockCount[CountedQty],T_StockCount[Part Name],$A4,T_StockCount[WeekIndex],54),IF((('T_SelfStock'!BC8&lt;&gt;""))*(('T_TTAFStock'!BC8&lt;&gt;""))&gt;0,'T_SelfStock'!BC8+'T_TTAFStock'!BC8,BB4+'Grid_Incoming'!BC4-'Grid_Requirement'!BC4))</f>
        <v/>
      </c>
      <c r="BD4">
        <f>IF(COUNTIFS(T_StockCount[Part Name],$A4,T_StockCount[WeekIndex],55)&gt;0,SUMIFS(T_StockCount[CountedQty],T_StockCount[Part Name],$A4,T_StockCount[WeekIndex],55),IF((('T_SelfStock'!BD8&lt;&gt;""))*(('T_TTAFStock'!BD8&lt;&gt;""))&gt;0,'T_SelfStock'!BD8+'T_TTAFStock'!BD8,BC4+'Grid_Incoming'!BD4-'Grid_Requirement'!BD4))</f>
        <v/>
      </c>
      <c r="BE4">
        <f>IF(COUNTIFS(T_StockCount[Part Name],$A4,T_StockCount[WeekIndex],56)&gt;0,SUMIFS(T_StockCount[CountedQty],T_StockCount[Part Name],$A4,T_StockCount[WeekIndex],56),IF((('T_SelfStock'!BE8&lt;&gt;""))*(('T_TTAFStock'!BE8&lt;&gt;""))&gt;0,'T_SelfStock'!BE8+'T_TTAFStock'!BE8,BD4+'Grid_Incoming'!BE4-'Grid_Requirement'!BE4))</f>
        <v/>
      </c>
      <c r="BF4">
        <f>IF(COUNTIFS(T_StockCount[Part Name],$A4,T_StockCount[WeekIndex],57)&gt;0,SUMIFS(T_StockCount[CountedQty],T_StockCount[Part Name],$A4,T_StockCount[WeekIndex],57),IF((('T_SelfStock'!BF8&lt;&gt;""))*(('T_TTAFStock'!BF8&lt;&gt;""))&gt;0,'T_SelfStock'!BF8+'T_TTAFStock'!BF8,BE4+'Grid_Incoming'!BF4-'Grid_Requirement'!BF4))</f>
        <v/>
      </c>
      <c r="BG4">
        <f>IF(COUNTIFS(T_StockCount[Part Name],$A4,T_StockCount[WeekIndex],58)&gt;0,SUMIFS(T_StockCount[CountedQty],T_StockCount[Part Name],$A4,T_StockCount[WeekIndex],58),IF((('T_SelfStock'!BG8&lt;&gt;""))*(('T_TTAFStock'!BG8&lt;&gt;""))&gt;0,'T_SelfStock'!BG8+'T_TTAFStock'!BG8,BF4+'Grid_Incoming'!BG4-'Grid_Requirement'!BG4))</f>
        <v/>
      </c>
      <c r="BH4">
        <f>IF(COUNTIFS(T_StockCount[Part Name],$A4,T_StockCount[WeekIndex],59)&gt;0,SUMIFS(T_StockCount[CountedQty],T_StockCount[Part Name],$A4,T_StockCount[WeekIndex],59),IF((('T_SelfStock'!BH8&lt;&gt;""))*(('T_TTAFStock'!BH8&lt;&gt;""))&gt;0,'T_SelfStock'!BH8+'T_TTAFStock'!BH8,BG4+'Grid_Incoming'!BH4-'Grid_Requirement'!BH4))</f>
        <v/>
      </c>
      <c r="BI4">
        <f>IF(COUNTIFS(T_StockCount[Part Name],$A4,T_StockCount[WeekIndex],60)&gt;0,SUMIFS(T_StockCount[CountedQty],T_StockCount[Part Name],$A4,T_StockCount[WeekIndex],60),IF((('T_SelfStock'!BI8&lt;&gt;""))*(('T_TTAFStock'!BI8&lt;&gt;""))&gt;0,'T_SelfStock'!BI8+'T_TTAFStock'!BI8,BH4+'Grid_Incoming'!BI4-'Grid_Requirement'!BI4))</f>
        <v/>
      </c>
      <c r="BJ4">
        <f>IF(COUNTIFS(T_StockCount[Part Name],$A4,T_StockCount[WeekIndex],61)&gt;0,SUMIFS(T_StockCount[CountedQty],T_StockCount[Part Name],$A4,T_StockCount[WeekIndex],61),IF((('T_SelfStock'!BJ8&lt;&gt;""))*(('T_TTAFStock'!BJ8&lt;&gt;""))&gt;0,'T_SelfStock'!BJ8+'T_TTAFStock'!BJ8,BI4+'Grid_Incoming'!BJ4-'Grid_Requirement'!BJ4))</f>
        <v/>
      </c>
      <c r="BK4">
        <f>IF(COUNTIFS(T_StockCount[Part Name],$A4,T_StockCount[WeekIndex],62)&gt;0,SUMIFS(T_StockCount[CountedQty],T_StockCount[Part Name],$A4,T_StockCount[WeekIndex],62),IF((('T_SelfStock'!BK8&lt;&gt;""))*(('T_TTAFStock'!BK8&lt;&gt;""))&gt;0,'T_SelfStock'!BK8+'T_TTAFStock'!BK8,BJ4+'Grid_Incoming'!BK4-'Grid_Requirement'!BK4))</f>
        <v/>
      </c>
      <c r="BL4">
        <f>IF(COUNTIFS(T_StockCount[Part Name],$A4,T_StockCount[WeekIndex],63)&gt;0,SUMIFS(T_StockCount[CountedQty],T_StockCount[Part Name],$A4,T_StockCount[WeekIndex],63),IF((('T_SelfStock'!BL8&lt;&gt;""))*(('T_TTAFStock'!BL8&lt;&gt;""))&gt;0,'T_SelfStock'!BL8+'T_TTAFStock'!BL8,BK4+'Grid_Incoming'!BL4-'Grid_Requirement'!BL4))</f>
        <v/>
      </c>
      <c r="BM4">
        <f>IF(COUNTIFS(T_StockCount[Part Name],$A4,T_StockCount[WeekIndex],64)&gt;0,SUMIFS(T_StockCount[CountedQty],T_StockCount[Part Name],$A4,T_StockCount[WeekIndex],64),IF((('T_SelfStock'!BM8&lt;&gt;""))*(('T_TTAFStock'!BM8&lt;&gt;""))&gt;0,'T_SelfStock'!BM8+'T_TTAFStock'!BM8,BL4+'Grid_Incoming'!BM4-'Grid_Requirement'!BM4))</f>
        <v/>
      </c>
      <c r="BN4">
        <f>IF(COUNTIFS(T_StockCount[Part Name],$A4,T_StockCount[WeekIndex],65)&gt;0,SUMIFS(T_StockCount[CountedQty],T_StockCount[Part Name],$A4,T_StockCount[WeekIndex],65),IF((('T_SelfStock'!BN8&lt;&gt;""))*(('T_TTAFStock'!BN8&lt;&gt;""))&gt;0,'T_SelfStock'!BN8+'T_TTAFStock'!BN8,BM4+'Grid_Incoming'!BN4-'Grid_Requirement'!BN4))</f>
        <v/>
      </c>
      <c r="BO4">
        <f>IF(COUNTIFS(T_StockCount[Part Name],$A4,T_StockCount[WeekIndex],66)&gt;0,SUMIFS(T_StockCount[CountedQty],T_StockCount[Part Name],$A4,T_StockCount[WeekIndex],66),IF((('T_SelfStock'!BO8&lt;&gt;""))*(('T_TTAFStock'!BO8&lt;&gt;""))&gt;0,'T_SelfStock'!BO8+'T_TTAFStock'!BO8,BN4+'Grid_Incoming'!BO4-'Grid_Requirement'!BO4))</f>
        <v/>
      </c>
      <c r="BP4">
        <f>IF(COUNTIFS(T_StockCount[Part Name],$A4,T_StockCount[WeekIndex],67)&gt;0,SUMIFS(T_StockCount[CountedQty],T_StockCount[Part Name],$A4,T_StockCount[WeekIndex],67),IF((('T_SelfStock'!BP8&lt;&gt;""))*(('T_TTAFStock'!BP8&lt;&gt;""))&gt;0,'T_SelfStock'!BP8+'T_TTAFStock'!BP8,BO4+'Grid_Incoming'!BP4-'Grid_Requirement'!BP4))</f>
        <v/>
      </c>
      <c r="BQ4">
        <f>IF(COUNTIFS(T_StockCount[Part Name],$A4,T_StockCount[WeekIndex],68)&gt;0,SUMIFS(T_StockCount[CountedQty],T_StockCount[Part Name],$A4,T_StockCount[WeekIndex],68),IF((('T_SelfStock'!BQ8&lt;&gt;""))*(('T_TTAFStock'!BQ8&lt;&gt;""))&gt;0,'T_SelfStock'!BQ8+'T_TTAFStock'!BQ8,BP4+'Grid_Incoming'!BQ4-'Grid_Requirement'!BQ4))</f>
        <v/>
      </c>
      <c r="BR4">
        <f>IF(COUNTIFS(T_StockCount[Part Name],$A4,T_StockCount[WeekIndex],69)&gt;0,SUMIFS(T_StockCount[CountedQty],T_StockCount[Part Name],$A4,T_StockCount[WeekIndex],69),IF((('T_SelfStock'!BR8&lt;&gt;""))*(('T_TTAFStock'!BR8&lt;&gt;""))&gt;0,'T_SelfStock'!BR8+'T_TTAFStock'!BR8,BQ4+'Grid_Incoming'!BR4-'Grid_Requirement'!BR4))</f>
        <v/>
      </c>
      <c r="BS4">
        <f>IF(COUNTIFS(T_StockCount[Part Name],$A4,T_StockCount[WeekIndex],70)&gt;0,SUMIFS(T_StockCount[CountedQty],T_StockCount[Part Name],$A4,T_StockCount[WeekIndex],70),IF((('T_SelfStock'!BS8&lt;&gt;""))*(('T_TTAFStock'!BS8&lt;&gt;""))&gt;0,'T_SelfStock'!BS8+'T_TTAFStock'!BS8,BR4+'Grid_Incoming'!BS4-'Grid_Requirement'!BS4))</f>
        <v/>
      </c>
      <c r="BT4">
        <f>IF(COUNTIFS(T_StockCount[Part Name],$A4,T_StockCount[WeekIndex],71)&gt;0,SUMIFS(T_StockCount[CountedQty],T_StockCount[Part Name],$A4,T_StockCount[WeekIndex],71),IF((('T_SelfStock'!BT8&lt;&gt;""))*(('T_TTAFStock'!BT8&lt;&gt;""))&gt;0,'T_SelfStock'!BT8+'T_TTAFStock'!BT8,BS4+'Grid_Incoming'!BT4-'Grid_Requirement'!BT4))</f>
        <v/>
      </c>
      <c r="BU4">
        <f>IF(COUNTIFS(T_StockCount[Part Name],$A4,T_StockCount[WeekIndex],72)&gt;0,SUMIFS(T_StockCount[CountedQty],T_StockCount[Part Name],$A4,T_StockCount[WeekIndex],72),IF((('T_SelfStock'!BU8&lt;&gt;""))*(('T_TTAFStock'!BU8&lt;&gt;""))&gt;0,'T_SelfStock'!BU8+'T_TTAFStock'!BU8,BT4+'Grid_Incoming'!BU4-'Grid_Requirement'!BU4))</f>
        <v/>
      </c>
      <c r="BV4">
        <f>IF(COUNTIFS(T_StockCount[Part Name],$A4,T_StockCount[WeekIndex],73)&gt;0,SUMIFS(T_StockCount[CountedQty],T_StockCount[Part Name],$A4,T_StockCount[WeekIndex],73),IF((('T_SelfStock'!BV8&lt;&gt;""))*(('T_TTAFStock'!BV8&lt;&gt;""))&gt;0,'T_SelfStock'!BV8+'T_TTAFStock'!BV8,BU4+'Grid_Incoming'!BV4-'Grid_Requirement'!BV4))</f>
        <v/>
      </c>
      <c r="BW4">
        <f>IF(COUNTIFS(T_StockCount[Part Name],$A4,T_StockCount[WeekIndex],74)&gt;0,SUMIFS(T_StockCount[CountedQty],T_StockCount[Part Name],$A4,T_StockCount[WeekIndex],74),IF((('T_SelfStock'!BW8&lt;&gt;""))*(('T_TTAFStock'!BW8&lt;&gt;""))&gt;0,'T_SelfStock'!BW8+'T_TTAFStock'!BW8,BV4+'Grid_Incoming'!BW4-'Grid_Requirement'!BW4))</f>
        <v/>
      </c>
      <c r="BX4">
        <f>IF(COUNTIFS(T_StockCount[Part Name],$A4,T_StockCount[WeekIndex],75)&gt;0,SUMIFS(T_StockCount[CountedQty],T_StockCount[Part Name],$A4,T_StockCount[WeekIndex],75),IF((('T_SelfStock'!BX8&lt;&gt;""))*(('T_TTAFStock'!BX8&lt;&gt;""))&gt;0,'T_SelfStock'!BX8+'T_TTAFStock'!BX8,BW4+'Grid_Incoming'!BX4-'Grid_Requirement'!BX4))</f>
        <v/>
      </c>
      <c r="BY4">
        <f>IF(COUNTIFS(T_StockCount[Part Name],$A4,T_StockCount[WeekIndex],76)&gt;0,SUMIFS(T_StockCount[CountedQty],T_StockCount[Part Name],$A4,T_StockCount[WeekIndex],76),IF((('T_SelfStock'!BY8&lt;&gt;""))*(('T_TTAFStock'!BY8&lt;&gt;""))&gt;0,'T_SelfStock'!BY8+'T_TTAFStock'!BY8,BX4+'Grid_Incoming'!BY4-'Grid_Requirement'!BY4))</f>
        <v/>
      </c>
      <c r="BZ4">
        <f>IF(COUNTIFS(T_StockCount[Part Name],$A4,T_StockCount[WeekIndex],77)&gt;0,SUMIFS(T_StockCount[CountedQty],T_StockCount[Part Name],$A4,T_StockCount[WeekIndex],77),IF((('T_SelfStock'!BZ8&lt;&gt;""))*(('T_TTAFStock'!BZ8&lt;&gt;""))&gt;0,'T_SelfStock'!BZ8+'T_TTAFStock'!BZ8,BY4+'Grid_Incoming'!BZ4-'Grid_Requirement'!BZ4))</f>
        <v/>
      </c>
      <c r="CA4">
        <f>IF(COUNTIFS(T_StockCount[Part Name],$A4,T_StockCount[WeekIndex],78)&gt;0,SUMIFS(T_StockCount[CountedQty],T_StockCount[Part Name],$A4,T_StockCount[WeekIndex],78),IF((('T_SelfStock'!CA8&lt;&gt;""))*(('T_TTAFStock'!CA8&lt;&gt;""))&gt;0,'T_SelfStock'!CA8+'T_TTAFStock'!CA8,BZ4+'Grid_Incoming'!CA4-'Grid_Requirement'!CA4))</f>
        <v/>
      </c>
      <c r="CB4">
        <f>IF(COUNTIFS(T_StockCount[Part Name],$A4,T_StockCount[WeekIndex],79)&gt;0,SUMIFS(T_StockCount[CountedQty],T_StockCount[Part Name],$A4,T_StockCount[WeekIndex],79),IF((('T_SelfStock'!CB8&lt;&gt;""))*(('T_TTAFStock'!CB8&lt;&gt;""))&gt;0,'T_SelfStock'!CB8+'T_TTAFStock'!CB8,CA4+'Grid_Incoming'!CB4-'Grid_Requirement'!CB4))</f>
        <v/>
      </c>
      <c r="CC4">
        <f>IF(COUNTIFS(T_StockCount[Part Name],$A4,T_StockCount[WeekIndex],80)&gt;0,SUMIFS(T_StockCount[CountedQty],T_StockCount[Part Name],$A4,T_StockCount[WeekIndex],80),IF((('T_SelfStock'!CC8&lt;&gt;""))*(('T_TTAFStock'!CC8&lt;&gt;""))&gt;0,'T_SelfStock'!CC8+'T_TTAFStock'!CC8,CB4+'Grid_Incoming'!CC4-'Grid_Requirement'!CC4))</f>
        <v/>
      </c>
      <c r="CD4">
        <f>IF(COUNTIFS(T_StockCount[Part Name],$A4,T_StockCount[WeekIndex],81)&gt;0,SUMIFS(T_StockCount[CountedQty],T_StockCount[Part Name],$A4,T_StockCount[WeekIndex],81),IF((('T_SelfStock'!CD8&lt;&gt;""))*(('T_TTAFStock'!CD8&lt;&gt;""))&gt;0,'T_SelfStock'!CD8+'T_TTAFStock'!CD8,CC4+'Grid_Incoming'!CD4-'Grid_Requirement'!CD4))</f>
        <v/>
      </c>
      <c r="CE4">
        <f>IF(COUNTIFS(T_StockCount[Part Name],$A4,T_StockCount[WeekIndex],82)&gt;0,SUMIFS(T_StockCount[CountedQty],T_StockCount[Part Name],$A4,T_StockCount[WeekIndex],82),IF((('T_SelfStock'!CE8&lt;&gt;""))*(('T_TTAFStock'!CE8&lt;&gt;""))&gt;0,'T_SelfStock'!CE8+'T_TTAFStock'!CE8,CD4+'Grid_Incoming'!CE4-'Grid_Requirement'!CE4))</f>
        <v/>
      </c>
      <c r="CF4">
        <f>IF(COUNTIFS(T_StockCount[Part Name],$A4,T_StockCount[WeekIndex],83)&gt;0,SUMIFS(T_StockCount[CountedQty],T_StockCount[Part Name],$A4,T_StockCount[WeekIndex],83),IF((('T_SelfStock'!CF8&lt;&gt;""))*(('T_TTAFStock'!CF8&lt;&gt;""))&gt;0,'T_SelfStock'!CF8+'T_TTAFStock'!CF8,CE4+'Grid_Incoming'!CF4-'Grid_Requirement'!CF4))</f>
        <v/>
      </c>
      <c r="CG4">
        <f>IF(COUNTIFS(T_StockCount[Part Name],$A4,T_StockCount[WeekIndex],84)&gt;0,SUMIFS(T_StockCount[CountedQty],T_StockCount[Part Name],$A4,T_StockCount[WeekIndex],84),IF((('T_SelfStock'!CG8&lt;&gt;""))*(('T_TTAFStock'!CG8&lt;&gt;""))&gt;0,'T_SelfStock'!CG8+'T_TTAFStock'!CG8,CF4+'Grid_Incoming'!CG4-'Grid_Requirement'!CG4))</f>
        <v/>
      </c>
      <c r="CH4">
        <f>IF(COUNTIFS(T_StockCount[Part Name],$A4,T_StockCount[WeekIndex],85)&gt;0,SUMIFS(T_StockCount[CountedQty],T_StockCount[Part Name],$A4,T_StockCount[WeekIndex],85),IF((('T_SelfStock'!CH8&lt;&gt;""))*(('T_TTAFStock'!CH8&lt;&gt;""))&gt;0,'T_SelfStock'!CH8+'T_TTAFStock'!CH8,CG4+'Grid_Incoming'!CH4-'Grid_Requirement'!CH4))</f>
        <v/>
      </c>
      <c r="CI4">
        <f>IF(COUNTIFS(T_StockCount[Part Name],$A4,T_StockCount[WeekIndex],86)&gt;0,SUMIFS(T_StockCount[CountedQty],T_StockCount[Part Name],$A4,T_StockCount[WeekIndex],86),IF((('T_SelfStock'!CI8&lt;&gt;""))*(('T_TTAFStock'!CI8&lt;&gt;""))&gt;0,'T_SelfStock'!CI8+'T_TTAFStock'!CI8,CH4+'Grid_Incoming'!CI4-'Grid_Requirement'!CI4))</f>
        <v/>
      </c>
      <c r="CJ4">
        <f>IF(COUNTIFS(T_StockCount[Part Name],$A4,T_StockCount[WeekIndex],87)&gt;0,SUMIFS(T_StockCount[CountedQty],T_StockCount[Part Name],$A4,T_StockCount[WeekIndex],87),IF((('T_SelfStock'!CJ8&lt;&gt;""))*(('T_TTAFStock'!CJ8&lt;&gt;""))&gt;0,'T_SelfStock'!CJ8+'T_TTAFStock'!CJ8,CI4+'Grid_Incoming'!CJ4-'Grid_Requirement'!CJ4))</f>
        <v/>
      </c>
      <c r="CK4">
        <f>IF(COUNTIFS(T_StockCount[Part Name],$A4,T_StockCount[WeekIndex],88)&gt;0,SUMIFS(T_StockCount[CountedQty],T_StockCount[Part Name],$A4,T_StockCount[WeekIndex],88),IF((('T_SelfStock'!CK8&lt;&gt;""))*(('T_TTAFStock'!CK8&lt;&gt;""))&gt;0,'T_SelfStock'!CK8+'T_TTAFStock'!CK8,CJ4+'Grid_Incoming'!CK4-'Grid_Requirement'!CK4))</f>
        <v/>
      </c>
      <c r="CL4">
        <f>IF(COUNTIFS(T_StockCount[Part Name],$A4,T_StockCount[WeekIndex],89)&gt;0,SUMIFS(T_StockCount[CountedQty],T_StockCount[Part Name],$A4,T_StockCount[WeekIndex],89),IF((('T_SelfStock'!CL8&lt;&gt;""))*(('T_TTAFStock'!CL8&lt;&gt;""))&gt;0,'T_SelfStock'!CL8+'T_TTAFStock'!CL8,CK4+'Grid_Incoming'!CL4-'Grid_Requirement'!CL4))</f>
        <v/>
      </c>
      <c r="CM4">
        <f>IF(COUNTIFS(T_StockCount[Part Name],$A4,T_StockCount[WeekIndex],90)&gt;0,SUMIFS(T_StockCount[CountedQty],T_StockCount[Part Name],$A4,T_StockCount[WeekIndex],90),IF((('T_SelfStock'!CM8&lt;&gt;""))*(('T_TTAFStock'!CM8&lt;&gt;""))&gt;0,'T_SelfStock'!CM8+'T_TTAFStock'!CM8,CL4+'Grid_Incoming'!CM4-'Grid_Requirement'!CM4))</f>
        <v/>
      </c>
      <c r="CN4">
        <f>IF(COUNTIFS(T_StockCount[Part Name],$A4,T_StockCount[WeekIndex],91)&gt;0,SUMIFS(T_StockCount[CountedQty],T_StockCount[Part Name],$A4,T_StockCount[WeekIndex],91),IF((('T_SelfStock'!CN8&lt;&gt;""))*(('T_TTAFStock'!CN8&lt;&gt;""))&gt;0,'T_SelfStock'!CN8+'T_TTAFStock'!CN8,CM4+'Grid_Incoming'!CN4-'Grid_Requirement'!CN4))</f>
        <v/>
      </c>
      <c r="CO4">
        <f>IF(COUNTIFS(T_StockCount[Part Name],$A4,T_StockCount[WeekIndex],92)&gt;0,SUMIFS(T_StockCount[CountedQty],T_StockCount[Part Name],$A4,T_StockCount[WeekIndex],92),IF((('T_SelfStock'!CO8&lt;&gt;""))*(('T_TTAFStock'!CO8&lt;&gt;""))&gt;0,'T_SelfStock'!CO8+'T_TTAFStock'!CO8,CN4+'Grid_Incoming'!CO4-'Grid_Requirement'!CO4))</f>
        <v/>
      </c>
      <c r="CP4">
        <f>IF(COUNTIFS(T_StockCount[Part Name],$A4,T_StockCount[WeekIndex],93)&gt;0,SUMIFS(T_StockCount[CountedQty],T_StockCount[Part Name],$A4,T_StockCount[WeekIndex],93),IF((('T_SelfStock'!CP8&lt;&gt;""))*(('T_TTAFStock'!CP8&lt;&gt;""))&gt;0,'T_SelfStock'!CP8+'T_TTAFStock'!CP8,CO4+'Grid_Incoming'!CP4-'Grid_Requirement'!CP4))</f>
        <v/>
      </c>
      <c r="CQ4">
        <f>IF(COUNTIFS(T_StockCount[Part Name],$A4,T_StockCount[WeekIndex],94)&gt;0,SUMIFS(T_StockCount[CountedQty],T_StockCount[Part Name],$A4,T_StockCount[WeekIndex],94),IF((('T_SelfStock'!CQ8&lt;&gt;""))*(('T_TTAFStock'!CQ8&lt;&gt;""))&gt;0,'T_SelfStock'!CQ8+'T_TTAFStock'!CQ8,CP4+'Grid_Incoming'!CQ4-'Grid_Requirement'!CQ4))</f>
        <v/>
      </c>
      <c r="CR4">
        <f>IF(COUNTIFS(T_StockCount[Part Name],$A4,T_StockCount[WeekIndex],95)&gt;0,SUMIFS(T_StockCount[CountedQty],T_StockCount[Part Name],$A4,T_StockCount[WeekIndex],95),IF((('T_SelfStock'!CR8&lt;&gt;""))*(('T_TTAFStock'!CR8&lt;&gt;""))&gt;0,'T_SelfStock'!CR8+'T_TTAFStock'!CR8,CQ4+'Grid_Incoming'!CR4-'Grid_Requirement'!CR4))</f>
        <v/>
      </c>
      <c r="CS4">
        <f>IF(COUNTIFS(T_StockCount[Part Name],$A4,T_StockCount[WeekIndex],96)&gt;0,SUMIFS(T_StockCount[CountedQty],T_StockCount[Part Name],$A4,T_StockCount[WeekIndex],96),IF((('T_SelfStock'!CS8&lt;&gt;""))*(('T_TTAFStock'!CS8&lt;&gt;""))&gt;0,'T_SelfStock'!CS8+'T_TTAFStock'!CS8,CR4+'Grid_Incoming'!CS4-'Grid_Requirement'!CS4))</f>
        <v/>
      </c>
      <c r="CT4">
        <f>IF(COUNTIFS(T_StockCount[Part Name],$A4,T_StockCount[WeekIndex],97)&gt;0,SUMIFS(T_StockCount[CountedQty],T_StockCount[Part Name],$A4,T_StockCount[WeekIndex],97),IF((('T_SelfStock'!CT8&lt;&gt;""))*(('T_TTAFStock'!CT8&lt;&gt;""))&gt;0,'T_SelfStock'!CT8+'T_TTAFStock'!CT8,CS4+'Grid_Incoming'!CT4-'Grid_Requirement'!CT4))</f>
        <v/>
      </c>
      <c r="CU4">
        <f>IF(COUNTIFS(T_StockCount[Part Name],$A4,T_StockCount[WeekIndex],98)&gt;0,SUMIFS(T_StockCount[CountedQty],T_StockCount[Part Name],$A4,T_StockCount[WeekIndex],98),IF((('T_SelfStock'!CU8&lt;&gt;""))*(('T_TTAFStock'!CU8&lt;&gt;""))&gt;0,'T_SelfStock'!CU8+'T_TTAFStock'!CU8,CT4+'Grid_Incoming'!CU4-'Grid_Requirement'!CU4))</f>
        <v/>
      </c>
      <c r="CV4">
        <f>IF(COUNTIFS(T_StockCount[Part Name],$A4,T_StockCount[WeekIndex],99)&gt;0,SUMIFS(T_StockCount[CountedQty],T_StockCount[Part Name],$A4,T_StockCount[WeekIndex],99),IF((('T_SelfStock'!CV8&lt;&gt;""))*(('T_TTAFStock'!CV8&lt;&gt;""))&gt;0,'T_SelfStock'!CV8+'T_TTAFStock'!CV8,CU4+'Grid_Incoming'!CV4-'Grid_Requirement'!CV4))</f>
        <v/>
      </c>
      <c r="CW4">
        <f>IF(COUNTIFS(T_StockCount[Part Name],$A4,T_StockCount[WeekIndex],100)&gt;0,SUMIFS(T_StockCount[CountedQty],T_StockCount[Part Name],$A4,T_StockCount[WeekIndex],100),IF((('T_SelfStock'!CW8&lt;&gt;""))*(('T_TTAFStock'!CW8&lt;&gt;""))&gt;0,'T_SelfStock'!CW8+'T_TTAFStock'!CW8,CV4+'Grid_Incoming'!CW4-'Grid_Requirement'!CW4))</f>
        <v/>
      </c>
      <c r="CX4">
        <f>IF(COUNTIFS(T_StockCount[Part Name],$A4,T_StockCount[WeekIndex],101)&gt;0,SUMIFS(T_StockCount[CountedQty],T_StockCount[Part Name],$A4,T_StockCount[WeekIndex],101),IF((('T_SelfStock'!CX8&lt;&gt;""))*(('T_TTAFStock'!CX8&lt;&gt;""))&gt;0,'T_SelfStock'!CX8+'T_TTAFStock'!CX8,CW4+'Grid_Incoming'!CX4-'Grid_Requirement'!CX4))</f>
        <v/>
      </c>
      <c r="CY4">
        <f>IF(COUNTIFS(T_StockCount[Part Name],$A4,T_StockCount[WeekIndex],102)&gt;0,SUMIFS(T_StockCount[CountedQty],T_StockCount[Part Name],$A4,T_StockCount[WeekIndex],102),IF((('T_SelfStock'!CY8&lt;&gt;""))*(('T_TTAFStock'!CY8&lt;&gt;""))&gt;0,'T_SelfStock'!CY8+'T_TTAFStock'!CY8,CX4+'Grid_Incoming'!CY4-'Grid_Requirement'!CY4))</f>
        <v/>
      </c>
      <c r="CZ4">
        <f>IF(COUNTIFS(T_StockCount[Part Name],$A4,T_StockCount[WeekIndex],103)&gt;0,SUMIFS(T_StockCount[CountedQty],T_StockCount[Part Name],$A4,T_StockCount[WeekIndex],103),IF((('T_SelfStock'!CZ8&lt;&gt;""))*(('T_TTAFStock'!CZ8&lt;&gt;""))&gt;0,'T_SelfStock'!CZ8+'T_TTAFStock'!CZ8,CY4+'Grid_Incoming'!CZ4-'Grid_Requirement'!CZ4))</f>
        <v/>
      </c>
      <c r="DA4">
        <f>IF(COUNTIFS(T_StockCount[Part Name],$A4,T_StockCount[WeekIndex],104)&gt;0,SUMIFS(T_StockCount[CountedQty],T_StockCount[Part Name],$A4,T_StockCount[WeekIndex],104),IF((('T_SelfStock'!DA8&lt;&gt;""))*(('T_TTAFStock'!DA8&lt;&gt;""))&gt;0,'T_SelfStock'!DA8+'T_TTAFStock'!DA8,CZ4+'Grid_Incoming'!DA4-'Grid_Requirement'!DA4))</f>
        <v/>
      </c>
    </row>
    <row r="5">
      <c r="A5" t="inlineStr">
        <is>
          <t>CHEM-1420</t>
        </is>
      </c>
      <c r="B5">
        <f>IF(COUNTIFS(T_StockCount[Part Name],$A5,T_StockCount[WeekIndex],1)&gt;0,SUMIFS(T_StockCount[CountedQty],T_StockCount[Part Name],$A5,T_StockCount[WeekIndex],1),IF((('T_SelfStock'!B9&lt;&gt;""))*(('T_TTAFStock'!B9&lt;&gt;""))&gt;0,'T_SelfStock'!B9+'T_TTAFStock'!B9,IFERROR(INDEX(T_OpeningStock[Opening_Qty],MATCH($A5,T_OpeningStock[Part Name],0)),0)+'Grid_Incoming'!B5-'Grid_Requirement'!B5))</f>
        <v/>
      </c>
      <c r="C5">
        <f>IF(COUNTIFS(T_StockCount[Part Name],$A5,T_StockCount[WeekIndex],2)&gt;0,SUMIFS(T_StockCount[CountedQty],T_StockCount[Part Name],$A5,T_StockCount[WeekIndex],2),IF((('T_SelfStock'!C9&lt;&gt;""))*(('T_TTAFStock'!C9&lt;&gt;""))&gt;0,'T_SelfStock'!C9+'T_TTAFStock'!C9,B5+'Grid_Incoming'!C5-'Grid_Requirement'!C5))</f>
        <v/>
      </c>
      <c r="D5">
        <f>IF(COUNTIFS(T_StockCount[Part Name],$A5,T_StockCount[WeekIndex],3)&gt;0,SUMIFS(T_StockCount[CountedQty],T_StockCount[Part Name],$A5,T_StockCount[WeekIndex],3),IF((('T_SelfStock'!D9&lt;&gt;""))*(('T_TTAFStock'!D9&lt;&gt;""))&gt;0,'T_SelfStock'!D9+'T_TTAFStock'!D9,C5+'Grid_Incoming'!D5-'Grid_Requirement'!D5))</f>
        <v/>
      </c>
      <c r="E5">
        <f>IF(COUNTIFS(T_StockCount[Part Name],$A5,T_StockCount[WeekIndex],4)&gt;0,SUMIFS(T_StockCount[CountedQty],T_StockCount[Part Name],$A5,T_StockCount[WeekIndex],4),IF((('T_SelfStock'!E9&lt;&gt;""))*(('T_TTAFStock'!E9&lt;&gt;""))&gt;0,'T_SelfStock'!E9+'T_TTAFStock'!E9,D5+'Grid_Incoming'!E5-'Grid_Requirement'!E5))</f>
        <v/>
      </c>
      <c r="F5">
        <f>IF(COUNTIFS(T_StockCount[Part Name],$A5,T_StockCount[WeekIndex],5)&gt;0,SUMIFS(T_StockCount[CountedQty],T_StockCount[Part Name],$A5,T_StockCount[WeekIndex],5),IF((('T_SelfStock'!F9&lt;&gt;""))*(('T_TTAFStock'!F9&lt;&gt;""))&gt;0,'T_SelfStock'!F9+'T_TTAFStock'!F9,E5+'Grid_Incoming'!F5-'Grid_Requirement'!F5))</f>
        <v/>
      </c>
      <c r="G5">
        <f>IF(COUNTIFS(T_StockCount[Part Name],$A5,T_StockCount[WeekIndex],6)&gt;0,SUMIFS(T_StockCount[CountedQty],T_StockCount[Part Name],$A5,T_StockCount[WeekIndex],6),IF((('T_SelfStock'!G9&lt;&gt;""))*(('T_TTAFStock'!G9&lt;&gt;""))&gt;0,'T_SelfStock'!G9+'T_TTAFStock'!G9,F5+'Grid_Incoming'!G5-'Grid_Requirement'!G5))</f>
        <v/>
      </c>
      <c r="H5">
        <f>IF(COUNTIFS(T_StockCount[Part Name],$A5,T_StockCount[WeekIndex],7)&gt;0,SUMIFS(T_StockCount[CountedQty],T_StockCount[Part Name],$A5,T_StockCount[WeekIndex],7),IF((('T_SelfStock'!H9&lt;&gt;""))*(('T_TTAFStock'!H9&lt;&gt;""))&gt;0,'T_SelfStock'!H9+'T_TTAFStock'!H9,G5+'Grid_Incoming'!H5-'Grid_Requirement'!H5))</f>
        <v/>
      </c>
      <c r="I5">
        <f>IF(COUNTIFS(T_StockCount[Part Name],$A5,T_StockCount[WeekIndex],8)&gt;0,SUMIFS(T_StockCount[CountedQty],T_StockCount[Part Name],$A5,T_StockCount[WeekIndex],8),IF((('T_SelfStock'!I9&lt;&gt;""))*(('T_TTAFStock'!I9&lt;&gt;""))&gt;0,'T_SelfStock'!I9+'T_TTAFStock'!I9,H5+'Grid_Incoming'!I5-'Grid_Requirement'!I5))</f>
        <v/>
      </c>
      <c r="J5">
        <f>IF(COUNTIFS(T_StockCount[Part Name],$A5,T_StockCount[WeekIndex],9)&gt;0,SUMIFS(T_StockCount[CountedQty],T_StockCount[Part Name],$A5,T_StockCount[WeekIndex],9),IF((('T_SelfStock'!J9&lt;&gt;""))*(('T_TTAFStock'!J9&lt;&gt;""))&gt;0,'T_SelfStock'!J9+'T_TTAFStock'!J9,I5+'Grid_Incoming'!J5-'Grid_Requirement'!J5))</f>
        <v/>
      </c>
      <c r="K5">
        <f>IF(COUNTIFS(T_StockCount[Part Name],$A5,T_StockCount[WeekIndex],10)&gt;0,SUMIFS(T_StockCount[CountedQty],T_StockCount[Part Name],$A5,T_StockCount[WeekIndex],10),IF((('T_SelfStock'!K9&lt;&gt;""))*(('T_TTAFStock'!K9&lt;&gt;""))&gt;0,'T_SelfStock'!K9+'T_TTAFStock'!K9,J5+'Grid_Incoming'!K5-'Grid_Requirement'!K5))</f>
        <v/>
      </c>
      <c r="L5">
        <f>IF(COUNTIFS(T_StockCount[Part Name],$A5,T_StockCount[WeekIndex],11)&gt;0,SUMIFS(T_StockCount[CountedQty],T_StockCount[Part Name],$A5,T_StockCount[WeekIndex],11),IF((('T_SelfStock'!L9&lt;&gt;""))*(('T_TTAFStock'!L9&lt;&gt;""))&gt;0,'T_SelfStock'!L9+'T_TTAFStock'!L9,K5+'Grid_Incoming'!L5-'Grid_Requirement'!L5))</f>
        <v/>
      </c>
      <c r="M5">
        <f>IF(COUNTIFS(T_StockCount[Part Name],$A5,T_StockCount[WeekIndex],12)&gt;0,SUMIFS(T_StockCount[CountedQty],T_StockCount[Part Name],$A5,T_StockCount[WeekIndex],12),IF((('T_SelfStock'!M9&lt;&gt;""))*(('T_TTAFStock'!M9&lt;&gt;""))&gt;0,'T_SelfStock'!M9+'T_TTAFStock'!M9,L5+'Grid_Incoming'!M5-'Grid_Requirement'!M5))</f>
        <v/>
      </c>
      <c r="N5">
        <f>IF(COUNTIFS(T_StockCount[Part Name],$A5,T_StockCount[WeekIndex],13)&gt;0,SUMIFS(T_StockCount[CountedQty],T_StockCount[Part Name],$A5,T_StockCount[WeekIndex],13),IF((('T_SelfStock'!N9&lt;&gt;""))*(('T_TTAFStock'!N9&lt;&gt;""))&gt;0,'T_SelfStock'!N9+'T_TTAFStock'!N9,M5+'Grid_Incoming'!N5-'Grid_Requirement'!N5))</f>
        <v/>
      </c>
      <c r="O5">
        <f>IF(COUNTIFS(T_StockCount[Part Name],$A5,T_StockCount[WeekIndex],14)&gt;0,SUMIFS(T_StockCount[CountedQty],T_StockCount[Part Name],$A5,T_StockCount[WeekIndex],14),IF((('T_SelfStock'!O9&lt;&gt;""))*(('T_TTAFStock'!O9&lt;&gt;""))&gt;0,'T_SelfStock'!O9+'T_TTAFStock'!O9,N5+'Grid_Incoming'!O5-'Grid_Requirement'!O5))</f>
        <v/>
      </c>
      <c r="P5">
        <f>IF(COUNTIFS(T_StockCount[Part Name],$A5,T_StockCount[WeekIndex],15)&gt;0,SUMIFS(T_StockCount[CountedQty],T_StockCount[Part Name],$A5,T_StockCount[WeekIndex],15),IF((('T_SelfStock'!P9&lt;&gt;""))*(('T_TTAFStock'!P9&lt;&gt;""))&gt;0,'T_SelfStock'!P9+'T_TTAFStock'!P9,O5+'Grid_Incoming'!P5-'Grid_Requirement'!P5))</f>
        <v/>
      </c>
      <c r="Q5">
        <f>IF(COUNTIFS(T_StockCount[Part Name],$A5,T_StockCount[WeekIndex],16)&gt;0,SUMIFS(T_StockCount[CountedQty],T_StockCount[Part Name],$A5,T_StockCount[WeekIndex],16),IF((('T_SelfStock'!Q9&lt;&gt;""))*(('T_TTAFStock'!Q9&lt;&gt;""))&gt;0,'T_SelfStock'!Q9+'T_TTAFStock'!Q9,P5+'Grid_Incoming'!Q5-'Grid_Requirement'!Q5))</f>
        <v/>
      </c>
      <c r="R5">
        <f>IF(COUNTIFS(T_StockCount[Part Name],$A5,T_StockCount[WeekIndex],17)&gt;0,SUMIFS(T_StockCount[CountedQty],T_StockCount[Part Name],$A5,T_StockCount[WeekIndex],17),IF((('T_SelfStock'!R9&lt;&gt;""))*(('T_TTAFStock'!R9&lt;&gt;""))&gt;0,'T_SelfStock'!R9+'T_TTAFStock'!R9,Q5+'Grid_Incoming'!R5-'Grid_Requirement'!R5))</f>
        <v/>
      </c>
      <c r="S5">
        <f>IF(COUNTIFS(T_StockCount[Part Name],$A5,T_StockCount[WeekIndex],18)&gt;0,SUMIFS(T_StockCount[CountedQty],T_StockCount[Part Name],$A5,T_StockCount[WeekIndex],18),IF((('T_SelfStock'!S9&lt;&gt;""))*(('T_TTAFStock'!S9&lt;&gt;""))&gt;0,'T_SelfStock'!S9+'T_TTAFStock'!S9,R5+'Grid_Incoming'!S5-'Grid_Requirement'!S5))</f>
        <v/>
      </c>
      <c r="T5">
        <f>IF(COUNTIFS(T_StockCount[Part Name],$A5,T_StockCount[WeekIndex],19)&gt;0,SUMIFS(T_StockCount[CountedQty],T_StockCount[Part Name],$A5,T_StockCount[WeekIndex],19),IF((('T_SelfStock'!T9&lt;&gt;""))*(('T_TTAFStock'!T9&lt;&gt;""))&gt;0,'T_SelfStock'!T9+'T_TTAFStock'!T9,S5+'Grid_Incoming'!T5-'Grid_Requirement'!T5))</f>
        <v/>
      </c>
      <c r="U5">
        <f>IF(COUNTIFS(T_StockCount[Part Name],$A5,T_StockCount[WeekIndex],20)&gt;0,SUMIFS(T_StockCount[CountedQty],T_StockCount[Part Name],$A5,T_StockCount[WeekIndex],20),IF((('T_SelfStock'!U9&lt;&gt;""))*(('T_TTAFStock'!U9&lt;&gt;""))&gt;0,'T_SelfStock'!U9+'T_TTAFStock'!U9,T5+'Grid_Incoming'!U5-'Grid_Requirement'!U5))</f>
        <v/>
      </c>
      <c r="V5">
        <f>IF(COUNTIFS(T_StockCount[Part Name],$A5,T_StockCount[WeekIndex],21)&gt;0,SUMIFS(T_StockCount[CountedQty],T_StockCount[Part Name],$A5,T_StockCount[WeekIndex],21),IF((('T_SelfStock'!V9&lt;&gt;""))*(('T_TTAFStock'!V9&lt;&gt;""))&gt;0,'T_SelfStock'!V9+'T_TTAFStock'!V9,U5+'Grid_Incoming'!V5-'Grid_Requirement'!V5))</f>
        <v/>
      </c>
      <c r="W5">
        <f>IF(COUNTIFS(T_StockCount[Part Name],$A5,T_StockCount[WeekIndex],22)&gt;0,SUMIFS(T_StockCount[CountedQty],T_StockCount[Part Name],$A5,T_StockCount[WeekIndex],22),IF((('T_SelfStock'!W9&lt;&gt;""))*(('T_TTAFStock'!W9&lt;&gt;""))&gt;0,'T_SelfStock'!W9+'T_TTAFStock'!W9,V5+'Grid_Incoming'!W5-'Grid_Requirement'!W5))</f>
        <v/>
      </c>
      <c r="X5">
        <f>IF(COUNTIFS(T_StockCount[Part Name],$A5,T_StockCount[WeekIndex],23)&gt;0,SUMIFS(T_StockCount[CountedQty],T_StockCount[Part Name],$A5,T_StockCount[WeekIndex],23),IF((('T_SelfStock'!X9&lt;&gt;""))*(('T_TTAFStock'!X9&lt;&gt;""))&gt;0,'T_SelfStock'!X9+'T_TTAFStock'!X9,W5+'Grid_Incoming'!X5-'Grid_Requirement'!X5))</f>
        <v/>
      </c>
      <c r="Y5">
        <f>IF(COUNTIFS(T_StockCount[Part Name],$A5,T_StockCount[WeekIndex],24)&gt;0,SUMIFS(T_StockCount[CountedQty],T_StockCount[Part Name],$A5,T_StockCount[WeekIndex],24),IF((('T_SelfStock'!Y9&lt;&gt;""))*(('T_TTAFStock'!Y9&lt;&gt;""))&gt;0,'T_SelfStock'!Y9+'T_TTAFStock'!Y9,X5+'Grid_Incoming'!Y5-'Grid_Requirement'!Y5))</f>
        <v/>
      </c>
      <c r="Z5">
        <f>IF(COUNTIFS(T_StockCount[Part Name],$A5,T_StockCount[WeekIndex],25)&gt;0,SUMIFS(T_StockCount[CountedQty],T_StockCount[Part Name],$A5,T_StockCount[WeekIndex],25),IF((('T_SelfStock'!Z9&lt;&gt;""))*(('T_TTAFStock'!Z9&lt;&gt;""))&gt;0,'T_SelfStock'!Z9+'T_TTAFStock'!Z9,Y5+'Grid_Incoming'!Z5-'Grid_Requirement'!Z5))</f>
        <v/>
      </c>
      <c r="AA5">
        <f>IF(COUNTIFS(T_StockCount[Part Name],$A5,T_StockCount[WeekIndex],26)&gt;0,SUMIFS(T_StockCount[CountedQty],T_StockCount[Part Name],$A5,T_StockCount[WeekIndex],26),IF((('T_SelfStock'!AA9&lt;&gt;""))*(('T_TTAFStock'!AA9&lt;&gt;""))&gt;0,'T_SelfStock'!AA9+'T_TTAFStock'!AA9,Z5+'Grid_Incoming'!AA5-'Grid_Requirement'!AA5))</f>
        <v/>
      </c>
      <c r="AB5">
        <f>IF(COUNTIFS(T_StockCount[Part Name],$A5,T_StockCount[WeekIndex],27)&gt;0,SUMIFS(T_StockCount[CountedQty],T_StockCount[Part Name],$A5,T_StockCount[WeekIndex],27),IF((('T_SelfStock'!AB9&lt;&gt;""))*(('T_TTAFStock'!AB9&lt;&gt;""))&gt;0,'T_SelfStock'!AB9+'T_TTAFStock'!AB9,AA5+'Grid_Incoming'!AB5-'Grid_Requirement'!AB5))</f>
        <v/>
      </c>
      <c r="AC5">
        <f>IF(COUNTIFS(T_StockCount[Part Name],$A5,T_StockCount[WeekIndex],28)&gt;0,SUMIFS(T_StockCount[CountedQty],T_StockCount[Part Name],$A5,T_StockCount[WeekIndex],28),IF((('T_SelfStock'!AC9&lt;&gt;""))*(('T_TTAFStock'!AC9&lt;&gt;""))&gt;0,'T_SelfStock'!AC9+'T_TTAFStock'!AC9,AB5+'Grid_Incoming'!AC5-'Grid_Requirement'!AC5))</f>
        <v/>
      </c>
      <c r="AD5">
        <f>IF(COUNTIFS(T_StockCount[Part Name],$A5,T_StockCount[WeekIndex],29)&gt;0,SUMIFS(T_StockCount[CountedQty],T_StockCount[Part Name],$A5,T_StockCount[WeekIndex],29),IF((('T_SelfStock'!AD9&lt;&gt;""))*(('T_TTAFStock'!AD9&lt;&gt;""))&gt;0,'T_SelfStock'!AD9+'T_TTAFStock'!AD9,AC5+'Grid_Incoming'!AD5-'Grid_Requirement'!AD5))</f>
        <v/>
      </c>
      <c r="AE5">
        <f>IF(COUNTIFS(T_StockCount[Part Name],$A5,T_StockCount[WeekIndex],30)&gt;0,SUMIFS(T_StockCount[CountedQty],T_StockCount[Part Name],$A5,T_StockCount[WeekIndex],30),IF((('T_SelfStock'!AE9&lt;&gt;""))*(('T_TTAFStock'!AE9&lt;&gt;""))&gt;0,'T_SelfStock'!AE9+'T_TTAFStock'!AE9,AD5+'Grid_Incoming'!AE5-'Grid_Requirement'!AE5))</f>
        <v/>
      </c>
      <c r="AF5">
        <f>IF(COUNTIFS(T_StockCount[Part Name],$A5,T_StockCount[WeekIndex],31)&gt;0,SUMIFS(T_StockCount[CountedQty],T_StockCount[Part Name],$A5,T_StockCount[WeekIndex],31),IF((('T_SelfStock'!AF9&lt;&gt;""))*(('T_TTAFStock'!AF9&lt;&gt;""))&gt;0,'T_SelfStock'!AF9+'T_TTAFStock'!AF9,AE5+'Grid_Incoming'!AF5-'Grid_Requirement'!AF5))</f>
        <v/>
      </c>
      <c r="AG5">
        <f>IF(COUNTIFS(T_StockCount[Part Name],$A5,T_StockCount[WeekIndex],32)&gt;0,SUMIFS(T_StockCount[CountedQty],T_StockCount[Part Name],$A5,T_StockCount[WeekIndex],32),IF((('T_SelfStock'!AG9&lt;&gt;""))*(('T_TTAFStock'!AG9&lt;&gt;""))&gt;0,'T_SelfStock'!AG9+'T_TTAFStock'!AG9,AF5+'Grid_Incoming'!AG5-'Grid_Requirement'!AG5))</f>
        <v/>
      </c>
      <c r="AH5">
        <f>IF(COUNTIFS(T_StockCount[Part Name],$A5,T_StockCount[WeekIndex],33)&gt;0,SUMIFS(T_StockCount[CountedQty],T_StockCount[Part Name],$A5,T_StockCount[WeekIndex],33),IF((('T_SelfStock'!AH9&lt;&gt;""))*(('T_TTAFStock'!AH9&lt;&gt;""))&gt;0,'T_SelfStock'!AH9+'T_TTAFStock'!AH9,AG5+'Grid_Incoming'!AH5-'Grid_Requirement'!AH5))</f>
        <v/>
      </c>
      <c r="AI5">
        <f>IF(COUNTIFS(T_StockCount[Part Name],$A5,T_StockCount[WeekIndex],34)&gt;0,SUMIFS(T_StockCount[CountedQty],T_StockCount[Part Name],$A5,T_StockCount[WeekIndex],34),IF((('T_SelfStock'!AI9&lt;&gt;""))*(('T_TTAFStock'!AI9&lt;&gt;""))&gt;0,'T_SelfStock'!AI9+'T_TTAFStock'!AI9,AH5+'Grid_Incoming'!AI5-'Grid_Requirement'!AI5))</f>
        <v/>
      </c>
      <c r="AJ5">
        <f>IF(COUNTIFS(T_StockCount[Part Name],$A5,T_StockCount[WeekIndex],35)&gt;0,SUMIFS(T_StockCount[CountedQty],T_StockCount[Part Name],$A5,T_StockCount[WeekIndex],35),IF((('T_SelfStock'!AJ9&lt;&gt;""))*(('T_TTAFStock'!AJ9&lt;&gt;""))&gt;0,'T_SelfStock'!AJ9+'T_TTAFStock'!AJ9,AI5+'Grid_Incoming'!AJ5-'Grid_Requirement'!AJ5))</f>
        <v/>
      </c>
      <c r="AK5">
        <f>IF(COUNTIFS(T_StockCount[Part Name],$A5,T_StockCount[WeekIndex],36)&gt;0,SUMIFS(T_StockCount[CountedQty],T_StockCount[Part Name],$A5,T_StockCount[WeekIndex],36),IF((('T_SelfStock'!AK9&lt;&gt;""))*(('T_TTAFStock'!AK9&lt;&gt;""))&gt;0,'T_SelfStock'!AK9+'T_TTAFStock'!AK9,AJ5+'Grid_Incoming'!AK5-'Grid_Requirement'!AK5))</f>
        <v/>
      </c>
      <c r="AL5">
        <f>IF(COUNTIFS(T_StockCount[Part Name],$A5,T_StockCount[WeekIndex],37)&gt;0,SUMIFS(T_StockCount[CountedQty],T_StockCount[Part Name],$A5,T_StockCount[WeekIndex],37),IF((('T_SelfStock'!AL9&lt;&gt;""))*(('T_TTAFStock'!AL9&lt;&gt;""))&gt;0,'T_SelfStock'!AL9+'T_TTAFStock'!AL9,AK5+'Grid_Incoming'!AL5-'Grid_Requirement'!AL5))</f>
        <v/>
      </c>
      <c r="AM5">
        <f>IF(COUNTIFS(T_StockCount[Part Name],$A5,T_StockCount[WeekIndex],38)&gt;0,SUMIFS(T_StockCount[CountedQty],T_StockCount[Part Name],$A5,T_StockCount[WeekIndex],38),IF((('T_SelfStock'!AM9&lt;&gt;""))*(('T_TTAFStock'!AM9&lt;&gt;""))&gt;0,'T_SelfStock'!AM9+'T_TTAFStock'!AM9,AL5+'Grid_Incoming'!AM5-'Grid_Requirement'!AM5))</f>
        <v/>
      </c>
      <c r="AN5">
        <f>IF(COUNTIFS(T_StockCount[Part Name],$A5,T_StockCount[WeekIndex],39)&gt;0,SUMIFS(T_StockCount[CountedQty],T_StockCount[Part Name],$A5,T_StockCount[WeekIndex],39),IF((('T_SelfStock'!AN9&lt;&gt;""))*(('T_TTAFStock'!AN9&lt;&gt;""))&gt;0,'T_SelfStock'!AN9+'T_TTAFStock'!AN9,AM5+'Grid_Incoming'!AN5-'Grid_Requirement'!AN5))</f>
        <v/>
      </c>
      <c r="AO5">
        <f>IF(COUNTIFS(T_StockCount[Part Name],$A5,T_StockCount[WeekIndex],40)&gt;0,SUMIFS(T_StockCount[CountedQty],T_StockCount[Part Name],$A5,T_StockCount[WeekIndex],40),IF((('T_SelfStock'!AO9&lt;&gt;""))*(('T_TTAFStock'!AO9&lt;&gt;""))&gt;0,'T_SelfStock'!AO9+'T_TTAFStock'!AO9,AN5+'Grid_Incoming'!AO5-'Grid_Requirement'!AO5))</f>
        <v/>
      </c>
      <c r="AP5">
        <f>IF(COUNTIFS(T_StockCount[Part Name],$A5,T_StockCount[WeekIndex],41)&gt;0,SUMIFS(T_StockCount[CountedQty],T_StockCount[Part Name],$A5,T_StockCount[WeekIndex],41),IF((('T_SelfStock'!AP9&lt;&gt;""))*(('T_TTAFStock'!AP9&lt;&gt;""))&gt;0,'T_SelfStock'!AP9+'T_TTAFStock'!AP9,AO5+'Grid_Incoming'!AP5-'Grid_Requirement'!AP5))</f>
        <v/>
      </c>
      <c r="AQ5">
        <f>IF(COUNTIFS(T_StockCount[Part Name],$A5,T_StockCount[WeekIndex],42)&gt;0,SUMIFS(T_StockCount[CountedQty],T_StockCount[Part Name],$A5,T_StockCount[WeekIndex],42),IF((('T_SelfStock'!AQ9&lt;&gt;""))*(('T_TTAFStock'!AQ9&lt;&gt;""))&gt;0,'T_SelfStock'!AQ9+'T_TTAFStock'!AQ9,AP5+'Grid_Incoming'!AQ5-'Grid_Requirement'!AQ5))</f>
        <v/>
      </c>
      <c r="AR5">
        <f>IF(COUNTIFS(T_StockCount[Part Name],$A5,T_StockCount[WeekIndex],43)&gt;0,SUMIFS(T_StockCount[CountedQty],T_StockCount[Part Name],$A5,T_StockCount[WeekIndex],43),IF((('T_SelfStock'!AR9&lt;&gt;""))*(('T_TTAFStock'!AR9&lt;&gt;""))&gt;0,'T_SelfStock'!AR9+'T_TTAFStock'!AR9,AQ5+'Grid_Incoming'!AR5-'Grid_Requirement'!AR5))</f>
        <v/>
      </c>
      <c r="AS5">
        <f>IF(COUNTIFS(T_StockCount[Part Name],$A5,T_StockCount[WeekIndex],44)&gt;0,SUMIFS(T_StockCount[CountedQty],T_StockCount[Part Name],$A5,T_StockCount[WeekIndex],44),IF((('T_SelfStock'!AS9&lt;&gt;""))*(('T_TTAFStock'!AS9&lt;&gt;""))&gt;0,'T_SelfStock'!AS9+'T_TTAFStock'!AS9,AR5+'Grid_Incoming'!AS5-'Grid_Requirement'!AS5))</f>
        <v/>
      </c>
      <c r="AT5">
        <f>IF(COUNTIFS(T_StockCount[Part Name],$A5,T_StockCount[WeekIndex],45)&gt;0,SUMIFS(T_StockCount[CountedQty],T_StockCount[Part Name],$A5,T_StockCount[WeekIndex],45),IF((('T_SelfStock'!AT9&lt;&gt;""))*(('T_TTAFStock'!AT9&lt;&gt;""))&gt;0,'T_SelfStock'!AT9+'T_TTAFStock'!AT9,AS5+'Grid_Incoming'!AT5-'Grid_Requirement'!AT5))</f>
        <v/>
      </c>
      <c r="AU5">
        <f>IF(COUNTIFS(T_StockCount[Part Name],$A5,T_StockCount[WeekIndex],46)&gt;0,SUMIFS(T_StockCount[CountedQty],T_StockCount[Part Name],$A5,T_StockCount[WeekIndex],46),IF((('T_SelfStock'!AU9&lt;&gt;""))*(('T_TTAFStock'!AU9&lt;&gt;""))&gt;0,'T_SelfStock'!AU9+'T_TTAFStock'!AU9,AT5+'Grid_Incoming'!AU5-'Grid_Requirement'!AU5))</f>
        <v/>
      </c>
      <c r="AV5">
        <f>IF(COUNTIFS(T_StockCount[Part Name],$A5,T_StockCount[WeekIndex],47)&gt;0,SUMIFS(T_StockCount[CountedQty],T_StockCount[Part Name],$A5,T_StockCount[WeekIndex],47),IF((('T_SelfStock'!AV9&lt;&gt;""))*(('T_TTAFStock'!AV9&lt;&gt;""))&gt;0,'T_SelfStock'!AV9+'T_TTAFStock'!AV9,AU5+'Grid_Incoming'!AV5-'Grid_Requirement'!AV5))</f>
        <v/>
      </c>
      <c r="AW5">
        <f>IF(COUNTIFS(T_StockCount[Part Name],$A5,T_StockCount[WeekIndex],48)&gt;0,SUMIFS(T_StockCount[CountedQty],T_StockCount[Part Name],$A5,T_StockCount[WeekIndex],48),IF((('T_SelfStock'!AW9&lt;&gt;""))*(('T_TTAFStock'!AW9&lt;&gt;""))&gt;0,'T_SelfStock'!AW9+'T_TTAFStock'!AW9,AV5+'Grid_Incoming'!AW5-'Grid_Requirement'!AW5))</f>
        <v/>
      </c>
      <c r="AX5">
        <f>IF(COUNTIFS(T_StockCount[Part Name],$A5,T_StockCount[WeekIndex],49)&gt;0,SUMIFS(T_StockCount[CountedQty],T_StockCount[Part Name],$A5,T_StockCount[WeekIndex],49),IF((('T_SelfStock'!AX9&lt;&gt;""))*(('T_TTAFStock'!AX9&lt;&gt;""))&gt;0,'T_SelfStock'!AX9+'T_TTAFStock'!AX9,AW5+'Grid_Incoming'!AX5-'Grid_Requirement'!AX5))</f>
        <v/>
      </c>
      <c r="AY5">
        <f>IF(COUNTIFS(T_StockCount[Part Name],$A5,T_StockCount[WeekIndex],50)&gt;0,SUMIFS(T_StockCount[CountedQty],T_StockCount[Part Name],$A5,T_StockCount[WeekIndex],50),IF((('T_SelfStock'!AY9&lt;&gt;""))*(('T_TTAFStock'!AY9&lt;&gt;""))&gt;0,'T_SelfStock'!AY9+'T_TTAFStock'!AY9,AX5+'Grid_Incoming'!AY5-'Grid_Requirement'!AY5))</f>
        <v/>
      </c>
      <c r="AZ5">
        <f>IF(COUNTIFS(T_StockCount[Part Name],$A5,T_StockCount[WeekIndex],51)&gt;0,SUMIFS(T_StockCount[CountedQty],T_StockCount[Part Name],$A5,T_StockCount[WeekIndex],51),IF((('T_SelfStock'!AZ9&lt;&gt;""))*(('T_TTAFStock'!AZ9&lt;&gt;""))&gt;0,'T_SelfStock'!AZ9+'T_TTAFStock'!AZ9,AY5+'Grid_Incoming'!AZ5-'Grid_Requirement'!AZ5))</f>
        <v/>
      </c>
      <c r="BA5">
        <f>IF(COUNTIFS(T_StockCount[Part Name],$A5,T_StockCount[WeekIndex],52)&gt;0,SUMIFS(T_StockCount[CountedQty],T_StockCount[Part Name],$A5,T_StockCount[WeekIndex],52),IF((('T_SelfStock'!BA9&lt;&gt;""))*(('T_TTAFStock'!BA9&lt;&gt;""))&gt;0,'T_SelfStock'!BA9+'T_TTAFStock'!BA9,AZ5+'Grid_Incoming'!BA5-'Grid_Requirement'!BA5))</f>
        <v/>
      </c>
      <c r="BB5">
        <f>IF(COUNTIFS(T_StockCount[Part Name],$A5,T_StockCount[WeekIndex],53)&gt;0,SUMIFS(T_StockCount[CountedQty],T_StockCount[Part Name],$A5,T_StockCount[WeekIndex],53),IF((('T_SelfStock'!BB9&lt;&gt;""))*(('T_TTAFStock'!BB9&lt;&gt;""))&gt;0,'T_SelfStock'!BB9+'T_TTAFStock'!BB9,BA5+'Grid_Incoming'!BB5-'Grid_Requirement'!BB5))</f>
        <v/>
      </c>
      <c r="BC5">
        <f>IF(COUNTIFS(T_StockCount[Part Name],$A5,T_StockCount[WeekIndex],54)&gt;0,SUMIFS(T_StockCount[CountedQty],T_StockCount[Part Name],$A5,T_StockCount[WeekIndex],54),IF((('T_SelfStock'!BC9&lt;&gt;""))*(('T_TTAFStock'!BC9&lt;&gt;""))&gt;0,'T_SelfStock'!BC9+'T_TTAFStock'!BC9,BB5+'Grid_Incoming'!BC5-'Grid_Requirement'!BC5))</f>
        <v/>
      </c>
      <c r="BD5">
        <f>IF(COUNTIFS(T_StockCount[Part Name],$A5,T_StockCount[WeekIndex],55)&gt;0,SUMIFS(T_StockCount[CountedQty],T_StockCount[Part Name],$A5,T_StockCount[WeekIndex],55),IF((('T_SelfStock'!BD9&lt;&gt;""))*(('T_TTAFStock'!BD9&lt;&gt;""))&gt;0,'T_SelfStock'!BD9+'T_TTAFStock'!BD9,BC5+'Grid_Incoming'!BD5-'Grid_Requirement'!BD5))</f>
        <v/>
      </c>
      <c r="BE5">
        <f>IF(COUNTIFS(T_StockCount[Part Name],$A5,T_StockCount[WeekIndex],56)&gt;0,SUMIFS(T_StockCount[CountedQty],T_StockCount[Part Name],$A5,T_StockCount[WeekIndex],56),IF((('T_SelfStock'!BE9&lt;&gt;""))*(('T_TTAFStock'!BE9&lt;&gt;""))&gt;0,'T_SelfStock'!BE9+'T_TTAFStock'!BE9,BD5+'Grid_Incoming'!BE5-'Grid_Requirement'!BE5))</f>
        <v/>
      </c>
      <c r="BF5">
        <f>IF(COUNTIFS(T_StockCount[Part Name],$A5,T_StockCount[WeekIndex],57)&gt;0,SUMIFS(T_StockCount[CountedQty],T_StockCount[Part Name],$A5,T_StockCount[WeekIndex],57),IF((('T_SelfStock'!BF9&lt;&gt;""))*(('T_TTAFStock'!BF9&lt;&gt;""))&gt;0,'T_SelfStock'!BF9+'T_TTAFStock'!BF9,BE5+'Grid_Incoming'!BF5-'Grid_Requirement'!BF5))</f>
        <v/>
      </c>
      <c r="BG5">
        <f>IF(COUNTIFS(T_StockCount[Part Name],$A5,T_StockCount[WeekIndex],58)&gt;0,SUMIFS(T_StockCount[CountedQty],T_StockCount[Part Name],$A5,T_StockCount[WeekIndex],58),IF((('T_SelfStock'!BG9&lt;&gt;""))*(('T_TTAFStock'!BG9&lt;&gt;""))&gt;0,'T_SelfStock'!BG9+'T_TTAFStock'!BG9,BF5+'Grid_Incoming'!BG5-'Grid_Requirement'!BG5))</f>
        <v/>
      </c>
      <c r="BH5">
        <f>IF(COUNTIFS(T_StockCount[Part Name],$A5,T_StockCount[WeekIndex],59)&gt;0,SUMIFS(T_StockCount[CountedQty],T_StockCount[Part Name],$A5,T_StockCount[WeekIndex],59),IF((('T_SelfStock'!BH9&lt;&gt;""))*(('T_TTAFStock'!BH9&lt;&gt;""))&gt;0,'T_SelfStock'!BH9+'T_TTAFStock'!BH9,BG5+'Grid_Incoming'!BH5-'Grid_Requirement'!BH5))</f>
        <v/>
      </c>
      <c r="BI5">
        <f>IF(COUNTIFS(T_StockCount[Part Name],$A5,T_StockCount[WeekIndex],60)&gt;0,SUMIFS(T_StockCount[CountedQty],T_StockCount[Part Name],$A5,T_StockCount[WeekIndex],60),IF((('T_SelfStock'!BI9&lt;&gt;""))*(('T_TTAFStock'!BI9&lt;&gt;""))&gt;0,'T_SelfStock'!BI9+'T_TTAFStock'!BI9,BH5+'Grid_Incoming'!BI5-'Grid_Requirement'!BI5))</f>
        <v/>
      </c>
      <c r="BJ5">
        <f>IF(COUNTIFS(T_StockCount[Part Name],$A5,T_StockCount[WeekIndex],61)&gt;0,SUMIFS(T_StockCount[CountedQty],T_StockCount[Part Name],$A5,T_StockCount[WeekIndex],61),IF((('T_SelfStock'!BJ9&lt;&gt;""))*(('T_TTAFStock'!BJ9&lt;&gt;""))&gt;0,'T_SelfStock'!BJ9+'T_TTAFStock'!BJ9,BI5+'Grid_Incoming'!BJ5-'Grid_Requirement'!BJ5))</f>
        <v/>
      </c>
      <c r="BK5">
        <f>IF(COUNTIFS(T_StockCount[Part Name],$A5,T_StockCount[WeekIndex],62)&gt;0,SUMIFS(T_StockCount[CountedQty],T_StockCount[Part Name],$A5,T_StockCount[WeekIndex],62),IF((('T_SelfStock'!BK9&lt;&gt;""))*(('T_TTAFStock'!BK9&lt;&gt;""))&gt;0,'T_SelfStock'!BK9+'T_TTAFStock'!BK9,BJ5+'Grid_Incoming'!BK5-'Grid_Requirement'!BK5))</f>
        <v/>
      </c>
      <c r="BL5">
        <f>IF(COUNTIFS(T_StockCount[Part Name],$A5,T_StockCount[WeekIndex],63)&gt;0,SUMIFS(T_StockCount[CountedQty],T_StockCount[Part Name],$A5,T_StockCount[WeekIndex],63),IF((('T_SelfStock'!BL9&lt;&gt;""))*(('T_TTAFStock'!BL9&lt;&gt;""))&gt;0,'T_SelfStock'!BL9+'T_TTAFStock'!BL9,BK5+'Grid_Incoming'!BL5-'Grid_Requirement'!BL5))</f>
        <v/>
      </c>
      <c r="BM5">
        <f>IF(COUNTIFS(T_StockCount[Part Name],$A5,T_StockCount[WeekIndex],64)&gt;0,SUMIFS(T_StockCount[CountedQty],T_StockCount[Part Name],$A5,T_StockCount[WeekIndex],64),IF((('T_SelfStock'!BM9&lt;&gt;""))*(('T_TTAFStock'!BM9&lt;&gt;""))&gt;0,'T_SelfStock'!BM9+'T_TTAFStock'!BM9,BL5+'Grid_Incoming'!BM5-'Grid_Requirement'!BM5))</f>
        <v/>
      </c>
      <c r="BN5">
        <f>IF(COUNTIFS(T_StockCount[Part Name],$A5,T_StockCount[WeekIndex],65)&gt;0,SUMIFS(T_StockCount[CountedQty],T_StockCount[Part Name],$A5,T_StockCount[WeekIndex],65),IF((('T_SelfStock'!BN9&lt;&gt;""))*(('T_TTAFStock'!BN9&lt;&gt;""))&gt;0,'T_SelfStock'!BN9+'T_TTAFStock'!BN9,BM5+'Grid_Incoming'!BN5-'Grid_Requirement'!BN5))</f>
        <v/>
      </c>
      <c r="BO5">
        <f>IF(COUNTIFS(T_StockCount[Part Name],$A5,T_StockCount[WeekIndex],66)&gt;0,SUMIFS(T_StockCount[CountedQty],T_StockCount[Part Name],$A5,T_StockCount[WeekIndex],66),IF((('T_SelfStock'!BO9&lt;&gt;""))*(('T_TTAFStock'!BO9&lt;&gt;""))&gt;0,'T_SelfStock'!BO9+'T_TTAFStock'!BO9,BN5+'Grid_Incoming'!BO5-'Grid_Requirement'!BO5))</f>
        <v/>
      </c>
      <c r="BP5">
        <f>IF(COUNTIFS(T_StockCount[Part Name],$A5,T_StockCount[WeekIndex],67)&gt;0,SUMIFS(T_StockCount[CountedQty],T_StockCount[Part Name],$A5,T_StockCount[WeekIndex],67),IF((('T_SelfStock'!BP9&lt;&gt;""))*(('T_TTAFStock'!BP9&lt;&gt;""))&gt;0,'T_SelfStock'!BP9+'T_TTAFStock'!BP9,BO5+'Grid_Incoming'!BP5-'Grid_Requirement'!BP5))</f>
        <v/>
      </c>
      <c r="BQ5">
        <f>IF(COUNTIFS(T_StockCount[Part Name],$A5,T_StockCount[WeekIndex],68)&gt;0,SUMIFS(T_StockCount[CountedQty],T_StockCount[Part Name],$A5,T_StockCount[WeekIndex],68),IF((('T_SelfStock'!BQ9&lt;&gt;""))*(('T_TTAFStock'!BQ9&lt;&gt;""))&gt;0,'T_SelfStock'!BQ9+'T_TTAFStock'!BQ9,BP5+'Grid_Incoming'!BQ5-'Grid_Requirement'!BQ5))</f>
        <v/>
      </c>
      <c r="BR5">
        <f>IF(COUNTIFS(T_StockCount[Part Name],$A5,T_StockCount[WeekIndex],69)&gt;0,SUMIFS(T_StockCount[CountedQty],T_StockCount[Part Name],$A5,T_StockCount[WeekIndex],69),IF((('T_SelfStock'!BR9&lt;&gt;""))*(('T_TTAFStock'!BR9&lt;&gt;""))&gt;0,'T_SelfStock'!BR9+'T_TTAFStock'!BR9,BQ5+'Grid_Incoming'!BR5-'Grid_Requirement'!BR5))</f>
        <v/>
      </c>
      <c r="BS5">
        <f>IF(COUNTIFS(T_StockCount[Part Name],$A5,T_StockCount[WeekIndex],70)&gt;0,SUMIFS(T_StockCount[CountedQty],T_StockCount[Part Name],$A5,T_StockCount[WeekIndex],70),IF((('T_SelfStock'!BS9&lt;&gt;""))*(('T_TTAFStock'!BS9&lt;&gt;""))&gt;0,'T_SelfStock'!BS9+'T_TTAFStock'!BS9,BR5+'Grid_Incoming'!BS5-'Grid_Requirement'!BS5))</f>
        <v/>
      </c>
      <c r="BT5">
        <f>IF(COUNTIFS(T_StockCount[Part Name],$A5,T_StockCount[WeekIndex],71)&gt;0,SUMIFS(T_StockCount[CountedQty],T_StockCount[Part Name],$A5,T_StockCount[WeekIndex],71),IF((('T_SelfStock'!BT9&lt;&gt;""))*(('T_TTAFStock'!BT9&lt;&gt;""))&gt;0,'T_SelfStock'!BT9+'T_TTAFStock'!BT9,BS5+'Grid_Incoming'!BT5-'Grid_Requirement'!BT5))</f>
        <v/>
      </c>
      <c r="BU5">
        <f>IF(COUNTIFS(T_StockCount[Part Name],$A5,T_StockCount[WeekIndex],72)&gt;0,SUMIFS(T_StockCount[CountedQty],T_StockCount[Part Name],$A5,T_StockCount[WeekIndex],72),IF((('T_SelfStock'!BU9&lt;&gt;""))*(('T_TTAFStock'!BU9&lt;&gt;""))&gt;0,'T_SelfStock'!BU9+'T_TTAFStock'!BU9,BT5+'Grid_Incoming'!BU5-'Grid_Requirement'!BU5))</f>
        <v/>
      </c>
      <c r="BV5">
        <f>IF(COUNTIFS(T_StockCount[Part Name],$A5,T_StockCount[WeekIndex],73)&gt;0,SUMIFS(T_StockCount[CountedQty],T_StockCount[Part Name],$A5,T_StockCount[WeekIndex],73),IF((('T_SelfStock'!BV9&lt;&gt;""))*(('T_TTAFStock'!BV9&lt;&gt;""))&gt;0,'T_SelfStock'!BV9+'T_TTAFStock'!BV9,BU5+'Grid_Incoming'!BV5-'Grid_Requirement'!BV5))</f>
        <v/>
      </c>
      <c r="BW5">
        <f>IF(COUNTIFS(T_StockCount[Part Name],$A5,T_StockCount[WeekIndex],74)&gt;0,SUMIFS(T_StockCount[CountedQty],T_StockCount[Part Name],$A5,T_StockCount[WeekIndex],74),IF((('T_SelfStock'!BW9&lt;&gt;""))*(('T_TTAFStock'!BW9&lt;&gt;""))&gt;0,'T_SelfStock'!BW9+'T_TTAFStock'!BW9,BV5+'Grid_Incoming'!BW5-'Grid_Requirement'!BW5))</f>
        <v/>
      </c>
      <c r="BX5">
        <f>IF(COUNTIFS(T_StockCount[Part Name],$A5,T_StockCount[WeekIndex],75)&gt;0,SUMIFS(T_StockCount[CountedQty],T_StockCount[Part Name],$A5,T_StockCount[WeekIndex],75),IF((('T_SelfStock'!BX9&lt;&gt;""))*(('T_TTAFStock'!BX9&lt;&gt;""))&gt;0,'T_SelfStock'!BX9+'T_TTAFStock'!BX9,BW5+'Grid_Incoming'!BX5-'Grid_Requirement'!BX5))</f>
        <v/>
      </c>
      <c r="BY5">
        <f>IF(COUNTIFS(T_StockCount[Part Name],$A5,T_StockCount[WeekIndex],76)&gt;0,SUMIFS(T_StockCount[CountedQty],T_StockCount[Part Name],$A5,T_StockCount[WeekIndex],76),IF((('T_SelfStock'!BY9&lt;&gt;""))*(('T_TTAFStock'!BY9&lt;&gt;""))&gt;0,'T_SelfStock'!BY9+'T_TTAFStock'!BY9,BX5+'Grid_Incoming'!BY5-'Grid_Requirement'!BY5))</f>
        <v/>
      </c>
      <c r="BZ5">
        <f>IF(COUNTIFS(T_StockCount[Part Name],$A5,T_StockCount[WeekIndex],77)&gt;0,SUMIFS(T_StockCount[CountedQty],T_StockCount[Part Name],$A5,T_StockCount[WeekIndex],77),IF((('T_SelfStock'!BZ9&lt;&gt;""))*(('T_TTAFStock'!BZ9&lt;&gt;""))&gt;0,'T_SelfStock'!BZ9+'T_TTAFStock'!BZ9,BY5+'Grid_Incoming'!BZ5-'Grid_Requirement'!BZ5))</f>
        <v/>
      </c>
      <c r="CA5">
        <f>IF(COUNTIFS(T_StockCount[Part Name],$A5,T_StockCount[WeekIndex],78)&gt;0,SUMIFS(T_StockCount[CountedQty],T_StockCount[Part Name],$A5,T_StockCount[WeekIndex],78),IF((('T_SelfStock'!CA9&lt;&gt;""))*(('T_TTAFStock'!CA9&lt;&gt;""))&gt;0,'T_SelfStock'!CA9+'T_TTAFStock'!CA9,BZ5+'Grid_Incoming'!CA5-'Grid_Requirement'!CA5))</f>
        <v/>
      </c>
      <c r="CB5">
        <f>IF(COUNTIFS(T_StockCount[Part Name],$A5,T_StockCount[WeekIndex],79)&gt;0,SUMIFS(T_StockCount[CountedQty],T_StockCount[Part Name],$A5,T_StockCount[WeekIndex],79),IF((('T_SelfStock'!CB9&lt;&gt;""))*(('T_TTAFStock'!CB9&lt;&gt;""))&gt;0,'T_SelfStock'!CB9+'T_TTAFStock'!CB9,CA5+'Grid_Incoming'!CB5-'Grid_Requirement'!CB5))</f>
        <v/>
      </c>
      <c r="CC5">
        <f>IF(COUNTIFS(T_StockCount[Part Name],$A5,T_StockCount[WeekIndex],80)&gt;0,SUMIFS(T_StockCount[CountedQty],T_StockCount[Part Name],$A5,T_StockCount[WeekIndex],80),IF((('T_SelfStock'!CC9&lt;&gt;""))*(('T_TTAFStock'!CC9&lt;&gt;""))&gt;0,'T_SelfStock'!CC9+'T_TTAFStock'!CC9,CB5+'Grid_Incoming'!CC5-'Grid_Requirement'!CC5))</f>
        <v/>
      </c>
      <c r="CD5">
        <f>IF(COUNTIFS(T_StockCount[Part Name],$A5,T_StockCount[WeekIndex],81)&gt;0,SUMIFS(T_StockCount[CountedQty],T_StockCount[Part Name],$A5,T_StockCount[WeekIndex],81),IF((('T_SelfStock'!CD9&lt;&gt;""))*(('T_TTAFStock'!CD9&lt;&gt;""))&gt;0,'T_SelfStock'!CD9+'T_TTAFStock'!CD9,CC5+'Grid_Incoming'!CD5-'Grid_Requirement'!CD5))</f>
        <v/>
      </c>
      <c r="CE5">
        <f>IF(COUNTIFS(T_StockCount[Part Name],$A5,T_StockCount[WeekIndex],82)&gt;0,SUMIFS(T_StockCount[CountedQty],T_StockCount[Part Name],$A5,T_StockCount[WeekIndex],82),IF((('T_SelfStock'!CE9&lt;&gt;""))*(('T_TTAFStock'!CE9&lt;&gt;""))&gt;0,'T_SelfStock'!CE9+'T_TTAFStock'!CE9,CD5+'Grid_Incoming'!CE5-'Grid_Requirement'!CE5))</f>
        <v/>
      </c>
      <c r="CF5">
        <f>IF(COUNTIFS(T_StockCount[Part Name],$A5,T_StockCount[WeekIndex],83)&gt;0,SUMIFS(T_StockCount[CountedQty],T_StockCount[Part Name],$A5,T_StockCount[WeekIndex],83),IF((('T_SelfStock'!CF9&lt;&gt;""))*(('T_TTAFStock'!CF9&lt;&gt;""))&gt;0,'T_SelfStock'!CF9+'T_TTAFStock'!CF9,CE5+'Grid_Incoming'!CF5-'Grid_Requirement'!CF5))</f>
        <v/>
      </c>
      <c r="CG5">
        <f>IF(COUNTIFS(T_StockCount[Part Name],$A5,T_StockCount[WeekIndex],84)&gt;0,SUMIFS(T_StockCount[CountedQty],T_StockCount[Part Name],$A5,T_StockCount[WeekIndex],84),IF((('T_SelfStock'!CG9&lt;&gt;""))*(('T_TTAFStock'!CG9&lt;&gt;""))&gt;0,'T_SelfStock'!CG9+'T_TTAFStock'!CG9,CF5+'Grid_Incoming'!CG5-'Grid_Requirement'!CG5))</f>
        <v/>
      </c>
      <c r="CH5">
        <f>IF(COUNTIFS(T_StockCount[Part Name],$A5,T_StockCount[WeekIndex],85)&gt;0,SUMIFS(T_StockCount[CountedQty],T_StockCount[Part Name],$A5,T_StockCount[WeekIndex],85),IF((('T_SelfStock'!CH9&lt;&gt;""))*(('T_TTAFStock'!CH9&lt;&gt;""))&gt;0,'T_SelfStock'!CH9+'T_TTAFStock'!CH9,CG5+'Grid_Incoming'!CH5-'Grid_Requirement'!CH5))</f>
        <v/>
      </c>
      <c r="CI5">
        <f>IF(COUNTIFS(T_StockCount[Part Name],$A5,T_StockCount[WeekIndex],86)&gt;0,SUMIFS(T_StockCount[CountedQty],T_StockCount[Part Name],$A5,T_StockCount[WeekIndex],86),IF((('T_SelfStock'!CI9&lt;&gt;""))*(('T_TTAFStock'!CI9&lt;&gt;""))&gt;0,'T_SelfStock'!CI9+'T_TTAFStock'!CI9,CH5+'Grid_Incoming'!CI5-'Grid_Requirement'!CI5))</f>
        <v/>
      </c>
      <c r="CJ5">
        <f>IF(COUNTIFS(T_StockCount[Part Name],$A5,T_StockCount[WeekIndex],87)&gt;0,SUMIFS(T_StockCount[CountedQty],T_StockCount[Part Name],$A5,T_StockCount[WeekIndex],87),IF((('T_SelfStock'!CJ9&lt;&gt;""))*(('T_TTAFStock'!CJ9&lt;&gt;""))&gt;0,'T_SelfStock'!CJ9+'T_TTAFStock'!CJ9,CI5+'Grid_Incoming'!CJ5-'Grid_Requirement'!CJ5))</f>
        <v/>
      </c>
      <c r="CK5">
        <f>IF(COUNTIFS(T_StockCount[Part Name],$A5,T_StockCount[WeekIndex],88)&gt;0,SUMIFS(T_StockCount[CountedQty],T_StockCount[Part Name],$A5,T_StockCount[WeekIndex],88),IF((('T_SelfStock'!CK9&lt;&gt;""))*(('T_TTAFStock'!CK9&lt;&gt;""))&gt;0,'T_SelfStock'!CK9+'T_TTAFStock'!CK9,CJ5+'Grid_Incoming'!CK5-'Grid_Requirement'!CK5))</f>
        <v/>
      </c>
      <c r="CL5">
        <f>IF(COUNTIFS(T_StockCount[Part Name],$A5,T_StockCount[WeekIndex],89)&gt;0,SUMIFS(T_StockCount[CountedQty],T_StockCount[Part Name],$A5,T_StockCount[WeekIndex],89),IF((('T_SelfStock'!CL9&lt;&gt;""))*(('T_TTAFStock'!CL9&lt;&gt;""))&gt;0,'T_SelfStock'!CL9+'T_TTAFStock'!CL9,CK5+'Grid_Incoming'!CL5-'Grid_Requirement'!CL5))</f>
        <v/>
      </c>
      <c r="CM5">
        <f>IF(COUNTIFS(T_StockCount[Part Name],$A5,T_StockCount[WeekIndex],90)&gt;0,SUMIFS(T_StockCount[CountedQty],T_StockCount[Part Name],$A5,T_StockCount[WeekIndex],90),IF((('T_SelfStock'!CM9&lt;&gt;""))*(('T_TTAFStock'!CM9&lt;&gt;""))&gt;0,'T_SelfStock'!CM9+'T_TTAFStock'!CM9,CL5+'Grid_Incoming'!CM5-'Grid_Requirement'!CM5))</f>
        <v/>
      </c>
      <c r="CN5">
        <f>IF(COUNTIFS(T_StockCount[Part Name],$A5,T_StockCount[WeekIndex],91)&gt;0,SUMIFS(T_StockCount[CountedQty],T_StockCount[Part Name],$A5,T_StockCount[WeekIndex],91),IF((('T_SelfStock'!CN9&lt;&gt;""))*(('T_TTAFStock'!CN9&lt;&gt;""))&gt;0,'T_SelfStock'!CN9+'T_TTAFStock'!CN9,CM5+'Grid_Incoming'!CN5-'Grid_Requirement'!CN5))</f>
        <v/>
      </c>
      <c r="CO5">
        <f>IF(COUNTIFS(T_StockCount[Part Name],$A5,T_StockCount[WeekIndex],92)&gt;0,SUMIFS(T_StockCount[CountedQty],T_StockCount[Part Name],$A5,T_StockCount[WeekIndex],92),IF((('T_SelfStock'!CO9&lt;&gt;""))*(('T_TTAFStock'!CO9&lt;&gt;""))&gt;0,'T_SelfStock'!CO9+'T_TTAFStock'!CO9,CN5+'Grid_Incoming'!CO5-'Grid_Requirement'!CO5))</f>
        <v/>
      </c>
      <c r="CP5">
        <f>IF(COUNTIFS(T_StockCount[Part Name],$A5,T_StockCount[WeekIndex],93)&gt;0,SUMIFS(T_StockCount[CountedQty],T_StockCount[Part Name],$A5,T_StockCount[WeekIndex],93),IF((('T_SelfStock'!CP9&lt;&gt;""))*(('T_TTAFStock'!CP9&lt;&gt;""))&gt;0,'T_SelfStock'!CP9+'T_TTAFStock'!CP9,CO5+'Grid_Incoming'!CP5-'Grid_Requirement'!CP5))</f>
        <v/>
      </c>
      <c r="CQ5">
        <f>IF(COUNTIFS(T_StockCount[Part Name],$A5,T_StockCount[WeekIndex],94)&gt;0,SUMIFS(T_StockCount[CountedQty],T_StockCount[Part Name],$A5,T_StockCount[WeekIndex],94),IF((('T_SelfStock'!CQ9&lt;&gt;""))*(('T_TTAFStock'!CQ9&lt;&gt;""))&gt;0,'T_SelfStock'!CQ9+'T_TTAFStock'!CQ9,CP5+'Grid_Incoming'!CQ5-'Grid_Requirement'!CQ5))</f>
        <v/>
      </c>
      <c r="CR5">
        <f>IF(COUNTIFS(T_StockCount[Part Name],$A5,T_StockCount[WeekIndex],95)&gt;0,SUMIFS(T_StockCount[CountedQty],T_StockCount[Part Name],$A5,T_StockCount[WeekIndex],95),IF((('T_SelfStock'!CR9&lt;&gt;""))*(('T_TTAFStock'!CR9&lt;&gt;""))&gt;0,'T_SelfStock'!CR9+'T_TTAFStock'!CR9,CQ5+'Grid_Incoming'!CR5-'Grid_Requirement'!CR5))</f>
        <v/>
      </c>
      <c r="CS5">
        <f>IF(COUNTIFS(T_StockCount[Part Name],$A5,T_StockCount[WeekIndex],96)&gt;0,SUMIFS(T_StockCount[CountedQty],T_StockCount[Part Name],$A5,T_StockCount[WeekIndex],96),IF((('T_SelfStock'!CS9&lt;&gt;""))*(('T_TTAFStock'!CS9&lt;&gt;""))&gt;0,'T_SelfStock'!CS9+'T_TTAFStock'!CS9,CR5+'Grid_Incoming'!CS5-'Grid_Requirement'!CS5))</f>
        <v/>
      </c>
      <c r="CT5">
        <f>IF(COUNTIFS(T_StockCount[Part Name],$A5,T_StockCount[WeekIndex],97)&gt;0,SUMIFS(T_StockCount[CountedQty],T_StockCount[Part Name],$A5,T_StockCount[WeekIndex],97),IF((('T_SelfStock'!CT9&lt;&gt;""))*(('T_TTAFStock'!CT9&lt;&gt;""))&gt;0,'T_SelfStock'!CT9+'T_TTAFStock'!CT9,CS5+'Grid_Incoming'!CT5-'Grid_Requirement'!CT5))</f>
        <v/>
      </c>
      <c r="CU5">
        <f>IF(COUNTIFS(T_StockCount[Part Name],$A5,T_StockCount[WeekIndex],98)&gt;0,SUMIFS(T_StockCount[CountedQty],T_StockCount[Part Name],$A5,T_StockCount[WeekIndex],98),IF((('T_SelfStock'!CU9&lt;&gt;""))*(('T_TTAFStock'!CU9&lt;&gt;""))&gt;0,'T_SelfStock'!CU9+'T_TTAFStock'!CU9,CT5+'Grid_Incoming'!CU5-'Grid_Requirement'!CU5))</f>
        <v/>
      </c>
      <c r="CV5">
        <f>IF(COUNTIFS(T_StockCount[Part Name],$A5,T_StockCount[WeekIndex],99)&gt;0,SUMIFS(T_StockCount[CountedQty],T_StockCount[Part Name],$A5,T_StockCount[WeekIndex],99),IF((('T_SelfStock'!CV9&lt;&gt;""))*(('T_TTAFStock'!CV9&lt;&gt;""))&gt;0,'T_SelfStock'!CV9+'T_TTAFStock'!CV9,CU5+'Grid_Incoming'!CV5-'Grid_Requirement'!CV5))</f>
        <v/>
      </c>
      <c r="CW5">
        <f>IF(COUNTIFS(T_StockCount[Part Name],$A5,T_StockCount[WeekIndex],100)&gt;0,SUMIFS(T_StockCount[CountedQty],T_StockCount[Part Name],$A5,T_StockCount[WeekIndex],100),IF((('T_SelfStock'!CW9&lt;&gt;""))*(('T_TTAFStock'!CW9&lt;&gt;""))&gt;0,'T_SelfStock'!CW9+'T_TTAFStock'!CW9,CV5+'Grid_Incoming'!CW5-'Grid_Requirement'!CW5))</f>
        <v/>
      </c>
      <c r="CX5">
        <f>IF(COUNTIFS(T_StockCount[Part Name],$A5,T_StockCount[WeekIndex],101)&gt;0,SUMIFS(T_StockCount[CountedQty],T_StockCount[Part Name],$A5,T_StockCount[WeekIndex],101),IF((('T_SelfStock'!CX9&lt;&gt;""))*(('T_TTAFStock'!CX9&lt;&gt;""))&gt;0,'T_SelfStock'!CX9+'T_TTAFStock'!CX9,CW5+'Grid_Incoming'!CX5-'Grid_Requirement'!CX5))</f>
        <v/>
      </c>
      <c r="CY5">
        <f>IF(COUNTIFS(T_StockCount[Part Name],$A5,T_StockCount[WeekIndex],102)&gt;0,SUMIFS(T_StockCount[CountedQty],T_StockCount[Part Name],$A5,T_StockCount[WeekIndex],102),IF((('T_SelfStock'!CY9&lt;&gt;""))*(('T_TTAFStock'!CY9&lt;&gt;""))&gt;0,'T_SelfStock'!CY9+'T_TTAFStock'!CY9,CX5+'Grid_Incoming'!CY5-'Grid_Requirement'!CY5))</f>
        <v/>
      </c>
      <c r="CZ5">
        <f>IF(COUNTIFS(T_StockCount[Part Name],$A5,T_StockCount[WeekIndex],103)&gt;0,SUMIFS(T_StockCount[CountedQty],T_StockCount[Part Name],$A5,T_StockCount[WeekIndex],103),IF((('T_SelfStock'!CZ9&lt;&gt;""))*(('T_TTAFStock'!CZ9&lt;&gt;""))&gt;0,'T_SelfStock'!CZ9+'T_TTAFStock'!CZ9,CY5+'Grid_Incoming'!CZ5-'Grid_Requirement'!CZ5))</f>
        <v/>
      </c>
      <c r="DA5">
        <f>IF(COUNTIFS(T_StockCount[Part Name],$A5,T_StockCount[WeekIndex],104)&gt;0,SUMIFS(T_StockCount[CountedQty],T_StockCount[Part Name],$A5,T_StockCount[WeekIndex],104),IF((('T_SelfStock'!DA9&lt;&gt;""))*(('T_TTAFStock'!DA9&lt;&gt;""))&gt;0,'T_SelfStock'!DA9+'T_TTAFStock'!DA9,CZ5+'Grid_Incoming'!DA5-'Grid_Requirement'!DA5))</f>
        <v/>
      </c>
    </row>
    <row r="6">
      <c r="A6" t="inlineStr">
        <is>
          <t>CHEM-1530</t>
        </is>
      </c>
      <c r="B6">
        <f>IF(COUNTIFS(T_StockCount[Part Name],$A6,T_StockCount[WeekIndex],1)&gt;0,SUMIFS(T_StockCount[CountedQty],T_StockCount[Part Name],$A6,T_StockCount[WeekIndex],1),IF((('T_SelfStock'!B10&lt;&gt;""))*(('T_TTAFStock'!B10&lt;&gt;""))&gt;0,'T_SelfStock'!B10+'T_TTAFStock'!B10,IFERROR(INDEX(T_OpeningStock[Opening_Qty],MATCH($A6,T_OpeningStock[Part Name],0)),0)+'Grid_Incoming'!B6-'Grid_Requirement'!B6))</f>
        <v/>
      </c>
      <c r="C6">
        <f>IF(COUNTIFS(T_StockCount[Part Name],$A6,T_StockCount[WeekIndex],2)&gt;0,SUMIFS(T_StockCount[CountedQty],T_StockCount[Part Name],$A6,T_StockCount[WeekIndex],2),IF((('T_SelfStock'!C10&lt;&gt;""))*(('T_TTAFStock'!C10&lt;&gt;""))&gt;0,'T_SelfStock'!C10+'T_TTAFStock'!C10,B6+'Grid_Incoming'!C6-'Grid_Requirement'!C6))</f>
        <v/>
      </c>
      <c r="D6">
        <f>IF(COUNTIFS(T_StockCount[Part Name],$A6,T_StockCount[WeekIndex],3)&gt;0,SUMIFS(T_StockCount[CountedQty],T_StockCount[Part Name],$A6,T_StockCount[WeekIndex],3),IF((('T_SelfStock'!D10&lt;&gt;""))*(('T_TTAFStock'!D10&lt;&gt;""))&gt;0,'T_SelfStock'!D10+'T_TTAFStock'!D10,C6+'Grid_Incoming'!D6-'Grid_Requirement'!D6))</f>
        <v/>
      </c>
      <c r="E6">
        <f>IF(COUNTIFS(T_StockCount[Part Name],$A6,T_StockCount[WeekIndex],4)&gt;0,SUMIFS(T_StockCount[CountedQty],T_StockCount[Part Name],$A6,T_StockCount[WeekIndex],4),IF((('T_SelfStock'!E10&lt;&gt;""))*(('T_TTAFStock'!E10&lt;&gt;""))&gt;0,'T_SelfStock'!E10+'T_TTAFStock'!E10,D6+'Grid_Incoming'!E6-'Grid_Requirement'!E6))</f>
        <v/>
      </c>
      <c r="F6">
        <f>IF(COUNTIFS(T_StockCount[Part Name],$A6,T_StockCount[WeekIndex],5)&gt;0,SUMIFS(T_StockCount[CountedQty],T_StockCount[Part Name],$A6,T_StockCount[WeekIndex],5),IF((('T_SelfStock'!F10&lt;&gt;""))*(('T_TTAFStock'!F10&lt;&gt;""))&gt;0,'T_SelfStock'!F10+'T_TTAFStock'!F10,E6+'Grid_Incoming'!F6-'Grid_Requirement'!F6))</f>
        <v/>
      </c>
      <c r="G6">
        <f>IF(COUNTIFS(T_StockCount[Part Name],$A6,T_StockCount[WeekIndex],6)&gt;0,SUMIFS(T_StockCount[CountedQty],T_StockCount[Part Name],$A6,T_StockCount[WeekIndex],6),IF((('T_SelfStock'!G10&lt;&gt;""))*(('T_TTAFStock'!G10&lt;&gt;""))&gt;0,'T_SelfStock'!G10+'T_TTAFStock'!G10,F6+'Grid_Incoming'!G6-'Grid_Requirement'!G6))</f>
        <v/>
      </c>
      <c r="H6">
        <f>IF(COUNTIFS(T_StockCount[Part Name],$A6,T_StockCount[WeekIndex],7)&gt;0,SUMIFS(T_StockCount[CountedQty],T_StockCount[Part Name],$A6,T_StockCount[WeekIndex],7),IF((('T_SelfStock'!H10&lt;&gt;""))*(('T_TTAFStock'!H10&lt;&gt;""))&gt;0,'T_SelfStock'!H10+'T_TTAFStock'!H10,G6+'Grid_Incoming'!H6-'Grid_Requirement'!H6))</f>
        <v/>
      </c>
      <c r="I6">
        <f>IF(COUNTIFS(T_StockCount[Part Name],$A6,T_StockCount[WeekIndex],8)&gt;0,SUMIFS(T_StockCount[CountedQty],T_StockCount[Part Name],$A6,T_StockCount[WeekIndex],8),IF((('T_SelfStock'!I10&lt;&gt;""))*(('T_TTAFStock'!I10&lt;&gt;""))&gt;0,'T_SelfStock'!I10+'T_TTAFStock'!I10,H6+'Grid_Incoming'!I6-'Grid_Requirement'!I6))</f>
        <v/>
      </c>
      <c r="J6">
        <f>IF(COUNTIFS(T_StockCount[Part Name],$A6,T_StockCount[WeekIndex],9)&gt;0,SUMIFS(T_StockCount[CountedQty],T_StockCount[Part Name],$A6,T_StockCount[WeekIndex],9),IF((('T_SelfStock'!J10&lt;&gt;""))*(('T_TTAFStock'!J10&lt;&gt;""))&gt;0,'T_SelfStock'!J10+'T_TTAFStock'!J10,I6+'Grid_Incoming'!J6-'Grid_Requirement'!J6))</f>
        <v/>
      </c>
      <c r="K6">
        <f>IF(COUNTIFS(T_StockCount[Part Name],$A6,T_StockCount[WeekIndex],10)&gt;0,SUMIFS(T_StockCount[CountedQty],T_StockCount[Part Name],$A6,T_StockCount[WeekIndex],10),IF((('T_SelfStock'!K10&lt;&gt;""))*(('T_TTAFStock'!K10&lt;&gt;""))&gt;0,'T_SelfStock'!K10+'T_TTAFStock'!K10,J6+'Grid_Incoming'!K6-'Grid_Requirement'!K6))</f>
        <v/>
      </c>
      <c r="L6">
        <f>IF(COUNTIFS(T_StockCount[Part Name],$A6,T_StockCount[WeekIndex],11)&gt;0,SUMIFS(T_StockCount[CountedQty],T_StockCount[Part Name],$A6,T_StockCount[WeekIndex],11),IF((('T_SelfStock'!L10&lt;&gt;""))*(('T_TTAFStock'!L10&lt;&gt;""))&gt;0,'T_SelfStock'!L10+'T_TTAFStock'!L10,K6+'Grid_Incoming'!L6-'Grid_Requirement'!L6))</f>
        <v/>
      </c>
      <c r="M6">
        <f>IF(COUNTIFS(T_StockCount[Part Name],$A6,T_StockCount[WeekIndex],12)&gt;0,SUMIFS(T_StockCount[CountedQty],T_StockCount[Part Name],$A6,T_StockCount[WeekIndex],12),IF((('T_SelfStock'!M10&lt;&gt;""))*(('T_TTAFStock'!M10&lt;&gt;""))&gt;0,'T_SelfStock'!M10+'T_TTAFStock'!M10,L6+'Grid_Incoming'!M6-'Grid_Requirement'!M6))</f>
        <v/>
      </c>
      <c r="N6">
        <f>IF(COUNTIFS(T_StockCount[Part Name],$A6,T_StockCount[WeekIndex],13)&gt;0,SUMIFS(T_StockCount[CountedQty],T_StockCount[Part Name],$A6,T_StockCount[WeekIndex],13),IF((('T_SelfStock'!N10&lt;&gt;""))*(('T_TTAFStock'!N10&lt;&gt;""))&gt;0,'T_SelfStock'!N10+'T_TTAFStock'!N10,M6+'Grid_Incoming'!N6-'Grid_Requirement'!N6))</f>
        <v/>
      </c>
      <c r="O6">
        <f>IF(COUNTIFS(T_StockCount[Part Name],$A6,T_StockCount[WeekIndex],14)&gt;0,SUMIFS(T_StockCount[CountedQty],T_StockCount[Part Name],$A6,T_StockCount[WeekIndex],14),IF((('T_SelfStock'!O10&lt;&gt;""))*(('T_TTAFStock'!O10&lt;&gt;""))&gt;0,'T_SelfStock'!O10+'T_TTAFStock'!O10,N6+'Grid_Incoming'!O6-'Grid_Requirement'!O6))</f>
        <v/>
      </c>
      <c r="P6">
        <f>IF(COUNTIFS(T_StockCount[Part Name],$A6,T_StockCount[WeekIndex],15)&gt;0,SUMIFS(T_StockCount[CountedQty],T_StockCount[Part Name],$A6,T_StockCount[WeekIndex],15),IF((('T_SelfStock'!P10&lt;&gt;""))*(('T_TTAFStock'!P10&lt;&gt;""))&gt;0,'T_SelfStock'!P10+'T_TTAFStock'!P10,O6+'Grid_Incoming'!P6-'Grid_Requirement'!P6))</f>
        <v/>
      </c>
      <c r="Q6">
        <f>IF(COUNTIFS(T_StockCount[Part Name],$A6,T_StockCount[WeekIndex],16)&gt;0,SUMIFS(T_StockCount[CountedQty],T_StockCount[Part Name],$A6,T_StockCount[WeekIndex],16),IF((('T_SelfStock'!Q10&lt;&gt;""))*(('T_TTAFStock'!Q10&lt;&gt;""))&gt;0,'T_SelfStock'!Q10+'T_TTAFStock'!Q10,P6+'Grid_Incoming'!Q6-'Grid_Requirement'!Q6))</f>
        <v/>
      </c>
      <c r="R6">
        <f>IF(COUNTIFS(T_StockCount[Part Name],$A6,T_StockCount[WeekIndex],17)&gt;0,SUMIFS(T_StockCount[CountedQty],T_StockCount[Part Name],$A6,T_StockCount[WeekIndex],17),IF((('T_SelfStock'!R10&lt;&gt;""))*(('T_TTAFStock'!R10&lt;&gt;""))&gt;0,'T_SelfStock'!R10+'T_TTAFStock'!R10,Q6+'Grid_Incoming'!R6-'Grid_Requirement'!R6))</f>
        <v/>
      </c>
      <c r="S6">
        <f>IF(COUNTIFS(T_StockCount[Part Name],$A6,T_StockCount[WeekIndex],18)&gt;0,SUMIFS(T_StockCount[CountedQty],T_StockCount[Part Name],$A6,T_StockCount[WeekIndex],18),IF((('T_SelfStock'!S10&lt;&gt;""))*(('T_TTAFStock'!S10&lt;&gt;""))&gt;0,'T_SelfStock'!S10+'T_TTAFStock'!S10,R6+'Grid_Incoming'!S6-'Grid_Requirement'!S6))</f>
        <v/>
      </c>
      <c r="T6">
        <f>IF(COUNTIFS(T_StockCount[Part Name],$A6,T_StockCount[WeekIndex],19)&gt;0,SUMIFS(T_StockCount[CountedQty],T_StockCount[Part Name],$A6,T_StockCount[WeekIndex],19),IF((('T_SelfStock'!T10&lt;&gt;""))*(('T_TTAFStock'!T10&lt;&gt;""))&gt;0,'T_SelfStock'!T10+'T_TTAFStock'!T10,S6+'Grid_Incoming'!T6-'Grid_Requirement'!T6))</f>
        <v/>
      </c>
      <c r="U6">
        <f>IF(COUNTIFS(T_StockCount[Part Name],$A6,T_StockCount[WeekIndex],20)&gt;0,SUMIFS(T_StockCount[CountedQty],T_StockCount[Part Name],$A6,T_StockCount[WeekIndex],20),IF((('T_SelfStock'!U10&lt;&gt;""))*(('T_TTAFStock'!U10&lt;&gt;""))&gt;0,'T_SelfStock'!U10+'T_TTAFStock'!U10,T6+'Grid_Incoming'!U6-'Grid_Requirement'!U6))</f>
        <v/>
      </c>
      <c r="V6">
        <f>IF(COUNTIFS(T_StockCount[Part Name],$A6,T_StockCount[WeekIndex],21)&gt;0,SUMIFS(T_StockCount[CountedQty],T_StockCount[Part Name],$A6,T_StockCount[WeekIndex],21),IF((('T_SelfStock'!V10&lt;&gt;""))*(('T_TTAFStock'!V10&lt;&gt;""))&gt;0,'T_SelfStock'!V10+'T_TTAFStock'!V10,U6+'Grid_Incoming'!V6-'Grid_Requirement'!V6))</f>
        <v/>
      </c>
      <c r="W6">
        <f>IF(COUNTIFS(T_StockCount[Part Name],$A6,T_StockCount[WeekIndex],22)&gt;0,SUMIFS(T_StockCount[CountedQty],T_StockCount[Part Name],$A6,T_StockCount[WeekIndex],22),IF((('T_SelfStock'!W10&lt;&gt;""))*(('T_TTAFStock'!W10&lt;&gt;""))&gt;0,'T_SelfStock'!W10+'T_TTAFStock'!W10,V6+'Grid_Incoming'!W6-'Grid_Requirement'!W6))</f>
        <v/>
      </c>
      <c r="X6">
        <f>IF(COUNTIFS(T_StockCount[Part Name],$A6,T_StockCount[WeekIndex],23)&gt;0,SUMIFS(T_StockCount[CountedQty],T_StockCount[Part Name],$A6,T_StockCount[WeekIndex],23),IF((('T_SelfStock'!X10&lt;&gt;""))*(('T_TTAFStock'!X10&lt;&gt;""))&gt;0,'T_SelfStock'!X10+'T_TTAFStock'!X10,W6+'Grid_Incoming'!X6-'Grid_Requirement'!X6))</f>
        <v/>
      </c>
      <c r="Y6">
        <f>IF(COUNTIFS(T_StockCount[Part Name],$A6,T_StockCount[WeekIndex],24)&gt;0,SUMIFS(T_StockCount[CountedQty],T_StockCount[Part Name],$A6,T_StockCount[WeekIndex],24),IF((('T_SelfStock'!Y10&lt;&gt;""))*(('T_TTAFStock'!Y10&lt;&gt;""))&gt;0,'T_SelfStock'!Y10+'T_TTAFStock'!Y10,X6+'Grid_Incoming'!Y6-'Grid_Requirement'!Y6))</f>
        <v/>
      </c>
      <c r="Z6">
        <f>IF(COUNTIFS(T_StockCount[Part Name],$A6,T_StockCount[WeekIndex],25)&gt;0,SUMIFS(T_StockCount[CountedQty],T_StockCount[Part Name],$A6,T_StockCount[WeekIndex],25),IF((('T_SelfStock'!Z10&lt;&gt;""))*(('T_TTAFStock'!Z10&lt;&gt;""))&gt;0,'T_SelfStock'!Z10+'T_TTAFStock'!Z10,Y6+'Grid_Incoming'!Z6-'Grid_Requirement'!Z6))</f>
        <v/>
      </c>
      <c r="AA6">
        <f>IF(COUNTIFS(T_StockCount[Part Name],$A6,T_StockCount[WeekIndex],26)&gt;0,SUMIFS(T_StockCount[CountedQty],T_StockCount[Part Name],$A6,T_StockCount[WeekIndex],26),IF((('T_SelfStock'!AA10&lt;&gt;""))*(('T_TTAFStock'!AA10&lt;&gt;""))&gt;0,'T_SelfStock'!AA10+'T_TTAFStock'!AA10,Z6+'Grid_Incoming'!AA6-'Grid_Requirement'!AA6))</f>
        <v/>
      </c>
      <c r="AB6">
        <f>IF(COUNTIFS(T_StockCount[Part Name],$A6,T_StockCount[WeekIndex],27)&gt;0,SUMIFS(T_StockCount[CountedQty],T_StockCount[Part Name],$A6,T_StockCount[WeekIndex],27),IF((('T_SelfStock'!AB10&lt;&gt;""))*(('T_TTAFStock'!AB10&lt;&gt;""))&gt;0,'T_SelfStock'!AB10+'T_TTAFStock'!AB10,AA6+'Grid_Incoming'!AB6-'Grid_Requirement'!AB6))</f>
        <v/>
      </c>
      <c r="AC6">
        <f>IF(COUNTIFS(T_StockCount[Part Name],$A6,T_StockCount[WeekIndex],28)&gt;0,SUMIFS(T_StockCount[CountedQty],T_StockCount[Part Name],$A6,T_StockCount[WeekIndex],28),IF((('T_SelfStock'!AC10&lt;&gt;""))*(('T_TTAFStock'!AC10&lt;&gt;""))&gt;0,'T_SelfStock'!AC10+'T_TTAFStock'!AC10,AB6+'Grid_Incoming'!AC6-'Grid_Requirement'!AC6))</f>
        <v/>
      </c>
      <c r="AD6">
        <f>IF(COUNTIFS(T_StockCount[Part Name],$A6,T_StockCount[WeekIndex],29)&gt;0,SUMIFS(T_StockCount[CountedQty],T_StockCount[Part Name],$A6,T_StockCount[WeekIndex],29),IF((('T_SelfStock'!AD10&lt;&gt;""))*(('T_TTAFStock'!AD10&lt;&gt;""))&gt;0,'T_SelfStock'!AD10+'T_TTAFStock'!AD10,AC6+'Grid_Incoming'!AD6-'Grid_Requirement'!AD6))</f>
        <v/>
      </c>
      <c r="AE6">
        <f>IF(COUNTIFS(T_StockCount[Part Name],$A6,T_StockCount[WeekIndex],30)&gt;0,SUMIFS(T_StockCount[CountedQty],T_StockCount[Part Name],$A6,T_StockCount[WeekIndex],30),IF((('T_SelfStock'!AE10&lt;&gt;""))*(('T_TTAFStock'!AE10&lt;&gt;""))&gt;0,'T_SelfStock'!AE10+'T_TTAFStock'!AE10,AD6+'Grid_Incoming'!AE6-'Grid_Requirement'!AE6))</f>
        <v/>
      </c>
      <c r="AF6">
        <f>IF(COUNTIFS(T_StockCount[Part Name],$A6,T_StockCount[WeekIndex],31)&gt;0,SUMIFS(T_StockCount[CountedQty],T_StockCount[Part Name],$A6,T_StockCount[WeekIndex],31),IF((('T_SelfStock'!AF10&lt;&gt;""))*(('T_TTAFStock'!AF10&lt;&gt;""))&gt;0,'T_SelfStock'!AF10+'T_TTAFStock'!AF10,AE6+'Grid_Incoming'!AF6-'Grid_Requirement'!AF6))</f>
        <v/>
      </c>
      <c r="AG6">
        <f>IF(COUNTIFS(T_StockCount[Part Name],$A6,T_StockCount[WeekIndex],32)&gt;0,SUMIFS(T_StockCount[CountedQty],T_StockCount[Part Name],$A6,T_StockCount[WeekIndex],32),IF((('T_SelfStock'!AG10&lt;&gt;""))*(('T_TTAFStock'!AG10&lt;&gt;""))&gt;0,'T_SelfStock'!AG10+'T_TTAFStock'!AG10,AF6+'Grid_Incoming'!AG6-'Grid_Requirement'!AG6))</f>
        <v/>
      </c>
      <c r="AH6">
        <f>IF(COUNTIFS(T_StockCount[Part Name],$A6,T_StockCount[WeekIndex],33)&gt;0,SUMIFS(T_StockCount[CountedQty],T_StockCount[Part Name],$A6,T_StockCount[WeekIndex],33),IF((('T_SelfStock'!AH10&lt;&gt;""))*(('T_TTAFStock'!AH10&lt;&gt;""))&gt;0,'T_SelfStock'!AH10+'T_TTAFStock'!AH10,AG6+'Grid_Incoming'!AH6-'Grid_Requirement'!AH6))</f>
        <v/>
      </c>
      <c r="AI6">
        <f>IF(COUNTIFS(T_StockCount[Part Name],$A6,T_StockCount[WeekIndex],34)&gt;0,SUMIFS(T_StockCount[CountedQty],T_StockCount[Part Name],$A6,T_StockCount[WeekIndex],34),IF((('T_SelfStock'!AI10&lt;&gt;""))*(('T_TTAFStock'!AI10&lt;&gt;""))&gt;0,'T_SelfStock'!AI10+'T_TTAFStock'!AI10,AH6+'Grid_Incoming'!AI6-'Grid_Requirement'!AI6))</f>
        <v/>
      </c>
      <c r="AJ6">
        <f>IF(COUNTIFS(T_StockCount[Part Name],$A6,T_StockCount[WeekIndex],35)&gt;0,SUMIFS(T_StockCount[CountedQty],T_StockCount[Part Name],$A6,T_StockCount[WeekIndex],35),IF((('T_SelfStock'!AJ10&lt;&gt;""))*(('T_TTAFStock'!AJ10&lt;&gt;""))&gt;0,'T_SelfStock'!AJ10+'T_TTAFStock'!AJ10,AI6+'Grid_Incoming'!AJ6-'Grid_Requirement'!AJ6))</f>
        <v/>
      </c>
      <c r="AK6">
        <f>IF(COUNTIFS(T_StockCount[Part Name],$A6,T_StockCount[WeekIndex],36)&gt;0,SUMIFS(T_StockCount[CountedQty],T_StockCount[Part Name],$A6,T_StockCount[WeekIndex],36),IF((('T_SelfStock'!AK10&lt;&gt;""))*(('T_TTAFStock'!AK10&lt;&gt;""))&gt;0,'T_SelfStock'!AK10+'T_TTAFStock'!AK10,AJ6+'Grid_Incoming'!AK6-'Grid_Requirement'!AK6))</f>
        <v/>
      </c>
      <c r="AL6">
        <f>IF(COUNTIFS(T_StockCount[Part Name],$A6,T_StockCount[WeekIndex],37)&gt;0,SUMIFS(T_StockCount[CountedQty],T_StockCount[Part Name],$A6,T_StockCount[WeekIndex],37),IF((('T_SelfStock'!AL10&lt;&gt;""))*(('T_TTAFStock'!AL10&lt;&gt;""))&gt;0,'T_SelfStock'!AL10+'T_TTAFStock'!AL10,AK6+'Grid_Incoming'!AL6-'Grid_Requirement'!AL6))</f>
        <v/>
      </c>
      <c r="AM6">
        <f>IF(COUNTIFS(T_StockCount[Part Name],$A6,T_StockCount[WeekIndex],38)&gt;0,SUMIFS(T_StockCount[CountedQty],T_StockCount[Part Name],$A6,T_StockCount[WeekIndex],38),IF((('T_SelfStock'!AM10&lt;&gt;""))*(('T_TTAFStock'!AM10&lt;&gt;""))&gt;0,'T_SelfStock'!AM10+'T_TTAFStock'!AM10,AL6+'Grid_Incoming'!AM6-'Grid_Requirement'!AM6))</f>
        <v/>
      </c>
      <c r="AN6">
        <f>IF(COUNTIFS(T_StockCount[Part Name],$A6,T_StockCount[WeekIndex],39)&gt;0,SUMIFS(T_StockCount[CountedQty],T_StockCount[Part Name],$A6,T_StockCount[WeekIndex],39),IF((('T_SelfStock'!AN10&lt;&gt;""))*(('T_TTAFStock'!AN10&lt;&gt;""))&gt;0,'T_SelfStock'!AN10+'T_TTAFStock'!AN10,AM6+'Grid_Incoming'!AN6-'Grid_Requirement'!AN6))</f>
        <v/>
      </c>
      <c r="AO6">
        <f>IF(COUNTIFS(T_StockCount[Part Name],$A6,T_StockCount[WeekIndex],40)&gt;0,SUMIFS(T_StockCount[CountedQty],T_StockCount[Part Name],$A6,T_StockCount[WeekIndex],40),IF((('T_SelfStock'!AO10&lt;&gt;""))*(('T_TTAFStock'!AO10&lt;&gt;""))&gt;0,'T_SelfStock'!AO10+'T_TTAFStock'!AO10,AN6+'Grid_Incoming'!AO6-'Grid_Requirement'!AO6))</f>
        <v/>
      </c>
      <c r="AP6">
        <f>IF(COUNTIFS(T_StockCount[Part Name],$A6,T_StockCount[WeekIndex],41)&gt;0,SUMIFS(T_StockCount[CountedQty],T_StockCount[Part Name],$A6,T_StockCount[WeekIndex],41),IF((('T_SelfStock'!AP10&lt;&gt;""))*(('T_TTAFStock'!AP10&lt;&gt;""))&gt;0,'T_SelfStock'!AP10+'T_TTAFStock'!AP10,AO6+'Grid_Incoming'!AP6-'Grid_Requirement'!AP6))</f>
        <v/>
      </c>
      <c r="AQ6">
        <f>IF(COUNTIFS(T_StockCount[Part Name],$A6,T_StockCount[WeekIndex],42)&gt;0,SUMIFS(T_StockCount[CountedQty],T_StockCount[Part Name],$A6,T_StockCount[WeekIndex],42),IF((('T_SelfStock'!AQ10&lt;&gt;""))*(('T_TTAFStock'!AQ10&lt;&gt;""))&gt;0,'T_SelfStock'!AQ10+'T_TTAFStock'!AQ10,AP6+'Grid_Incoming'!AQ6-'Grid_Requirement'!AQ6))</f>
        <v/>
      </c>
      <c r="AR6">
        <f>IF(COUNTIFS(T_StockCount[Part Name],$A6,T_StockCount[WeekIndex],43)&gt;0,SUMIFS(T_StockCount[CountedQty],T_StockCount[Part Name],$A6,T_StockCount[WeekIndex],43),IF((('T_SelfStock'!AR10&lt;&gt;""))*(('T_TTAFStock'!AR10&lt;&gt;""))&gt;0,'T_SelfStock'!AR10+'T_TTAFStock'!AR10,AQ6+'Grid_Incoming'!AR6-'Grid_Requirement'!AR6))</f>
        <v/>
      </c>
      <c r="AS6">
        <f>IF(COUNTIFS(T_StockCount[Part Name],$A6,T_StockCount[WeekIndex],44)&gt;0,SUMIFS(T_StockCount[CountedQty],T_StockCount[Part Name],$A6,T_StockCount[WeekIndex],44),IF((('T_SelfStock'!AS10&lt;&gt;""))*(('T_TTAFStock'!AS10&lt;&gt;""))&gt;0,'T_SelfStock'!AS10+'T_TTAFStock'!AS10,AR6+'Grid_Incoming'!AS6-'Grid_Requirement'!AS6))</f>
        <v/>
      </c>
      <c r="AT6">
        <f>IF(COUNTIFS(T_StockCount[Part Name],$A6,T_StockCount[WeekIndex],45)&gt;0,SUMIFS(T_StockCount[CountedQty],T_StockCount[Part Name],$A6,T_StockCount[WeekIndex],45),IF((('T_SelfStock'!AT10&lt;&gt;""))*(('T_TTAFStock'!AT10&lt;&gt;""))&gt;0,'T_SelfStock'!AT10+'T_TTAFStock'!AT10,AS6+'Grid_Incoming'!AT6-'Grid_Requirement'!AT6))</f>
        <v/>
      </c>
      <c r="AU6">
        <f>IF(COUNTIFS(T_StockCount[Part Name],$A6,T_StockCount[WeekIndex],46)&gt;0,SUMIFS(T_StockCount[CountedQty],T_StockCount[Part Name],$A6,T_StockCount[WeekIndex],46),IF((('T_SelfStock'!AU10&lt;&gt;""))*(('T_TTAFStock'!AU10&lt;&gt;""))&gt;0,'T_SelfStock'!AU10+'T_TTAFStock'!AU10,AT6+'Grid_Incoming'!AU6-'Grid_Requirement'!AU6))</f>
        <v/>
      </c>
      <c r="AV6">
        <f>IF(COUNTIFS(T_StockCount[Part Name],$A6,T_StockCount[WeekIndex],47)&gt;0,SUMIFS(T_StockCount[CountedQty],T_StockCount[Part Name],$A6,T_StockCount[WeekIndex],47),IF((('T_SelfStock'!AV10&lt;&gt;""))*(('T_TTAFStock'!AV10&lt;&gt;""))&gt;0,'T_SelfStock'!AV10+'T_TTAFStock'!AV10,AU6+'Grid_Incoming'!AV6-'Grid_Requirement'!AV6))</f>
        <v/>
      </c>
      <c r="AW6">
        <f>IF(COUNTIFS(T_StockCount[Part Name],$A6,T_StockCount[WeekIndex],48)&gt;0,SUMIFS(T_StockCount[CountedQty],T_StockCount[Part Name],$A6,T_StockCount[WeekIndex],48),IF((('T_SelfStock'!AW10&lt;&gt;""))*(('T_TTAFStock'!AW10&lt;&gt;""))&gt;0,'T_SelfStock'!AW10+'T_TTAFStock'!AW10,AV6+'Grid_Incoming'!AW6-'Grid_Requirement'!AW6))</f>
        <v/>
      </c>
      <c r="AX6">
        <f>IF(COUNTIFS(T_StockCount[Part Name],$A6,T_StockCount[WeekIndex],49)&gt;0,SUMIFS(T_StockCount[CountedQty],T_StockCount[Part Name],$A6,T_StockCount[WeekIndex],49),IF((('T_SelfStock'!AX10&lt;&gt;""))*(('T_TTAFStock'!AX10&lt;&gt;""))&gt;0,'T_SelfStock'!AX10+'T_TTAFStock'!AX10,AW6+'Grid_Incoming'!AX6-'Grid_Requirement'!AX6))</f>
        <v/>
      </c>
      <c r="AY6">
        <f>IF(COUNTIFS(T_StockCount[Part Name],$A6,T_StockCount[WeekIndex],50)&gt;0,SUMIFS(T_StockCount[CountedQty],T_StockCount[Part Name],$A6,T_StockCount[WeekIndex],50),IF((('T_SelfStock'!AY10&lt;&gt;""))*(('T_TTAFStock'!AY10&lt;&gt;""))&gt;0,'T_SelfStock'!AY10+'T_TTAFStock'!AY10,AX6+'Grid_Incoming'!AY6-'Grid_Requirement'!AY6))</f>
        <v/>
      </c>
      <c r="AZ6">
        <f>IF(COUNTIFS(T_StockCount[Part Name],$A6,T_StockCount[WeekIndex],51)&gt;0,SUMIFS(T_StockCount[CountedQty],T_StockCount[Part Name],$A6,T_StockCount[WeekIndex],51),IF((('T_SelfStock'!AZ10&lt;&gt;""))*(('T_TTAFStock'!AZ10&lt;&gt;""))&gt;0,'T_SelfStock'!AZ10+'T_TTAFStock'!AZ10,AY6+'Grid_Incoming'!AZ6-'Grid_Requirement'!AZ6))</f>
        <v/>
      </c>
      <c r="BA6">
        <f>IF(COUNTIFS(T_StockCount[Part Name],$A6,T_StockCount[WeekIndex],52)&gt;0,SUMIFS(T_StockCount[CountedQty],T_StockCount[Part Name],$A6,T_StockCount[WeekIndex],52),IF((('T_SelfStock'!BA10&lt;&gt;""))*(('T_TTAFStock'!BA10&lt;&gt;""))&gt;0,'T_SelfStock'!BA10+'T_TTAFStock'!BA10,AZ6+'Grid_Incoming'!BA6-'Grid_Requirement'!BA6))</f>
        <v/>
      </c>
      <c r="BB6">
        <f>IF(COUNTIFS(T_StockCount[Part Name],$A6,T_StockCount[WeekIndex],53)&gt;0,SUMIFS(T_StockCount[CountedQty],T_StockCount[Part Name],$A6,T_StockCount[WeekIndex],53),IF((('T_SelfStock'!BB10&lt;&gt;""))*(('T_TTAFStock'!BB10&lt;&gt;""))&gt;0,'T_SelfStock'!BB10+'T_TTAFStock'!BB10,BA6+'Grid_Incoming'!BB6-'Grid_Requirement'!BB6))</f>
        <v/>
      </c>
      <c r="BC6">
        <f>IF(COUNTIFS(T_StockCount[Part Name],$A6,T_StockCount[WeekIndex],54)&gt;0,SUMIFS(T_StockCount[CountedQty],T_StockCount[Part Name],$A6,T_StockCount[WeekIndex],54),IF((('T_SelfStock'!BC10&lt;&gt;""))*(('T_TTAFStock'!BC10&lt;&gt;""))&gt;0,'T_SelfStock'!BC10+'T_TTAFStock'!BC10,BB6+'Grid_Incoming'!BC6-'Grid_Requirement'!BC6))</f>
        <v/>
      </c>
      <c r="BD6">
        <f>IF(COUNTIFS(T_StockCount[Part Name],$A6,T_StockCount[WeekIndex],55)&gt;0,SUMIFS(T_StockCount[CountedQty],T_StockCount[Part Name],$A6,T_StockCount[WeekIndex],55),IF((('T_SelfStock'!BD10&lt;&gt;""))*(('T_TTAFStock'!BD10&lt;&gt;""))&gt;0,'T_SelfStock'!BD10+'T_TTAFStock'!BD10,BC6+'Grid_Incoming'!BD6-'Grid_Requirement'!BD6))</f>
        <v/>
      </c>
      <c r="BE6">
        <f>IF(COUNTIFS(T_StockCount[Part Name],$A6,T_StockCount[WeekIndex],56)&gt;0,SUMIFS(T_StockCount[CountedQty],T_StockCount[Part Name],$A6,T_StockCount[WeekIndex],56),IF((('T_SelfStock'!BE10&lt;&gt;""))*(('T_TTAFStock'!BE10&lt;&gt;""))&gt;0,'T_SelfStock'!BE10+'T_TTAFStock'!BE10,BD6+'Grid_Incoming'!BE6-'Grid_Requirement'!BE6))</f>
        <v/>
      </c>
      <c r="BF6">
        <f>IF(COUNTIFS(T_StockCount[Part Name],$A6,T_StockCount[WeekIndex],57)&gt;0,SUMIFS(T_StockCount[CountedQty],T_StockCount[Part Name],$A6,T_StockCount[WeekIndex],57),IF((('T_SelfStock'!BF10&lt;&gt;""))*(('T_TTAFStock'!BF10&lt;&gt;""))&gt;0,'T_SelfStock'!BF10+'T_TTAFStock'!BF10,BE6+'Grid_Incoming'!BF6-'Grid_Requirement'!BF6))</f>
        <v/>
      </c>
      <c r="BG6">
        <f>IF(COUNTIFS(T_StockCount[Part Name],$A6,T_StockCount[WeekIndex],58)&gt;0,SUMIFS(T_StockCount[CountedQty],T_StockCount[Part Name],$A6,T_StockCount[WeekIndex],58),IF((('T_SelfStock'!BG10&lt;&gt;""))*(('T_TTAFStock'!BG10&lt;&gt;""))&gt;0,'T_SelfStock'!BG10+'T_TTAFStock'!BG10,BF6+'Grid_Incoming'!BG6-'Grid_Requirement'!BG6))</f>
        <v/>
      </c>
      <c r="BH6">
        <f>IF(COUNTIFS(T_StockCount[Part Name],$A6,T_StockCount[WeekIndex],59)&gt;0,SUMIFS(T_StockCount[CountedQty],T_StockCount[Part Name],$A6,T_StockCount[WeekIndex],59),IF((('T_SelfStock'!BH10&lt;&gt;""))*(('T_TTAFStock'!BH10&lt;&gt;""))&gt;0,'T_SelfStock'!BH10+'T_TTAFStock'!BH10,BG6+'Grid_Incoming'!BH6-'Grid_Requirement'!BH6))</f>
        <v/>
      </c>
      <c r="BI6">
        <f>IF(COUNTIFS(T_StockCount[Part Name],$A6,T_StockCount[WeekIndex],60)&gt;0,SUMIFS(T_StockCount[CountedQty],T_StockCount[Part Name],$A6,T_StockCount[WeekIndex],60),IF((('T_SelfStock'!BI10&lt;&gt;""))*(('T_TTAFStock'!BI10&lt;&gt;""))&gt;0,'T_SelfStock'!BI10+'T_TTAFStock'!BI10,BH6+'Grid_Incoming'!BI6-'Grid_Requirement'!BI6))</f>
        <v/>
      </c>
      <c r="BJ6">
        <f>IF(COUNTIFS(T_StockCount[Part Name],$A6,T_StockCount[WeekIndex],61)&gt;0,SUMIFS(T_StockCount[CountedQty],T_StockCount[Part Name],$A6,T_StockCount[WeekIndex],61),IF((('T_SelfStock'!BJ10&lt;&gt;""))*(('T_TTAFStock'!BJ10&lt;&gt;""))&gt;0,'T_SelfStock'!BJ10+'T_TTAFStock'!BJ10,BI6+'Grid_Incoming'!BJ6-'Grid_Requirement'!BJ6))</f>
        <v/>
      </c>
      <c r="BK6">
        <f>IF(COUNTIFS(T_StockCount[Part Name],$A6,T_StockCount[WeekIndex],62)&gt;0,SUMIFS(T_StockCount[CountedQty],T_StockCount[Part Name],$A6,T_StockCount[WeekIndex],62),IF((('T_SelfStock'!BK10&lt;&gt;""))*(('T_TTAFStock'!BK10&lt;&gt;""))&gt;0,'T_SelfStock'!BK10+'T_TTAFStock'!BK10,BJ6+'Grid_Incoming'!BK6-'Grid_Requirement'!BK6))</f>
        <v/>
      </c>
      <c r="BL6">
        <f>IF(COUNTIFS(T_StockCount[Part Name],$A6,T_StockCount[WeekIndex],63)&gt;0,SUMIFS(T_StockCount[CountedQty],T_StockCount[Part Name],$A6,T_StockCount[WeekIndex],63),IF((('T_SelfStock'!BL10&lt;&gt;""))*(('T_TTAFStock'!BL10&lt;&gt;""))&gt;0,'T_SelfStock'!BL10+'T_TTAFStock'!BL10,BK6+'Grid_Incoming'!BL6-'Grid_Requirement'!BL6))</f>
        <v/>
      </c>
      <c r="BM6">
        <f>IF(COUNTIFS(T_StockCount[Part Name],$A6,T_StockCount[WeekIndex],64)&gt;0,SUMIFS(T_StockCount[CountedQty],T_StockCount[Part Name],$A6,T_StockCount[WeekIndex],64),IF((('T_SelfStock'!BM10&lt;&gt;""))*(('T_TTAFStock'!BM10&lt;&gt;""))&gt;0,'T_SelfStock'!BM10+'T_TTAFStock'!BM10,BL6+'Grid_Incoming'!BM6-'Grid_Requirement'!BM6))</f>
        <v/>
      </c>
      <c r="BN6">
        <f>IF(COUNTIFS(T_StockCount[Part Name],$A6,T_StockCount[WeekIndex],65)&gt;0,SUMIFS(T_StockCount[CountedQty],T_StockCount[Part Name],$A6,T_StockCount[WeekIndex],65),IF((('T_SelfStock'!BN10&lt;&gt;""))*(('T_TTAFStock'!BN10&lt;&gt;""))&gt;0,'T_SelfStock'!BN10+'T_TTAFStock'!BN10,BM6+'Grid_Incoming'!BN6-'Grid_Requirement'!BN6))</f>
        <v/>
      </c>
      <c r="BO6">
        <f>IF(COUNTIFS(T_StockCount[Part Name],$A6,T_StockCount[WeekIndex],66)&gt;0,SUMIFS(T_StockCount[CountedQty],T_StockCount[Part Name],$A6,T_StockCount[WeekIndex],66),IF((('T_SelfStock'!BO10&lt;&gt;""))*(('T_TTAFStock'!BO10&lt;&gt;""))&gt;0,'T_SelfStock'!BO10+'T_TTAFStock'!BO10,BN6+'Grid_Incoming'!BO6-'Grid_Requirement'!BO6))</f>
        <v/>
      </c>
      <c r="BP6">
        <f>IF(COUNTIFS(T_StockCount[Part Name],$A6,T_StockCount[WeekIndex],67)&gt;0,SUMIFS(T_StockCount[CountedQty],T_StockCount[Part Name],$A6,T_StockCount[WeekIndex],67),IF((('T_SelfStock'!BP10&lt;&gt;""))*(('T_TTAFStock'!BP10&lt;&gt;""))&gt;0,'T_SelfStock'!BP10+'T_TTAFStock'!BP10,BO6+'Grid_Incoming'!BP6-'Grid_Requirement'!BP6))</f>
        <v/>
      </c>
      <c r="BQ6">
        <f>IF(COUNTIFS(T_StockCount[Part Name],$A6,T_StockCount[WeekIndex],68)&gt;0,SUMIFS(T_StockCount[CountedQty],T_StockCount[Part Name],$A6,T_StockCount[WeekIndex],68),IF((('T_SelfStock'!BQ10&lt;&gt;""))*(('T_TTAFStock'!BQ10&lt;&gt;""))&gt;0,'T_SelfStock'!BQ10+'T_TTAFStock'!BQ10,BP6+'Grid_Incoming'!BQ6-'Grid_Requirement'!BQ6))</f>
        <v/>
      </c>
      <c r="BR6">
        <f>IF(COUNTIFS(T_StockCount[Part Name],$A6,T_StockCount[WeekIndex],69)&gt;0,SUMIFS(T_StockCount[CountedQty],T_StockCount[Part Name],$A6,T_StockCount[WeekIndex],69),IF((('T_SelfStock'!BR10&lt;&gt;""))*(('T_TTAFStock'!BR10&lt;&gt;""))&gt;0,'T_SelfStock'!BR10+'T_TTAFStock'!BR10,BQ6+'Grid_Incoming'!BR6-'Grid_Requirement'!BR6))</f>
        <v/>
      </c>
      <c r="BS6">
        <f>IF(COUNTIFS(T_StockCount[Part Name],$A6,T_StockCount[WeekIndex],70)&gt;0,SUMIFS(T_StockCount[CountedQty],T_StockCount[Part Name],$A6,T_StockCount[WeekIndex],70),IF((('T_SelfStock'!BS10&lt;&gt;""))*(('T_TTAFStock'!BS10&lt;&gt;""))&gt;0,'T_SelfStock'!BS10+'T_TTAFStock'!BS10,BR6+'Grid_Incoming'!BS6-'Grid_Requirement'!BS6))</f>
        <v/>
      </c>
      <c r="BT6">
        <f>IF(COUNTIFS(T_StockCount[Part Name],$A6,T_StockCount[WeekIndex],71)&gt;0,SUMIFS(T_StockCount[CountedQty],T_StockCount[Part Name],$A6,T_StockCount[WeekIndex],71),IF((('T_SelfStock'!BT10&lt;&gt;""))*(('T_TTAFStock'!BT10&lt;&gt;""))&gt;0,'T_SelfStock'!BT10+'T_TTAFStock'!BT10,BS6+'Grid_Incoming'!BT6-'Grid_Requirement'!BT6))</f>
        <v/>
      </c>
      <c r="BU6">
        <f>IF(COUNTIFS(T_StockCount[Part Name],$A6,T_StockCount[WeekIndex],72)&gt;0,SUMIFS(T_StockCount[CountedQty],T_StockCount[Part Name],$A6,T_StockCount[WeekIndex],72),IF((('T_SelfStock'!BU10&lt;&gt;""))*(('T_TTAFStock'!BU10&lt;&gt;""))&gt;0,'T_SelfStock'!BU10+'T_TTAFStock'!BU10,BT6+'Grid_Incoming'!BU6-'Grid_Requirement'!BU6))</f>
        <v/>
      </c>
      <c r="BV6">
        <f>IF(COUNTIFS(T_StockCount[Part Name],$A6,T_StockCount[WeekIndex],73)&gt;0,SUMIFS(T_StockCount[CountedQty],T_StockCount[Part Name],$A6,T_StockCount[WeekIndex],73),IF((('T_SelfStock'!BV10&lt;&gt;""))*(('T_TTAFStock'!BV10&lt;&gt;""))&gt;0,'T_SelfStock'!BV10+'T_TTAFStock'!BV10,BU6+'Grid_Incoming'!BV6-'Grid_Requirement'!BV6))</f>
        <v/>
      </c>
      <c r="BW6">
        <f>IF(COUNTIFS(T_StockCount[Part Name],$A6,T_StockCount[WeekIndex],74)&gt;0,SUMIFS(T_StockCount[CountedQty],T_StockCount[Part Name],$A6,T_StockCount[WeekIndex],74),IF((('T_SelfStock'!BW10&lt;&gt;""))*(('T_TTAFStock'!BW10&lt;&gt;""))&gt;0,'T_SelfStock'!BW10+'T_TTAFStock'!BW10,BV6+'Grid_Incoming'!BW6-'Grid_Requirement'!BW6))</f>
        <v/>
      </c>
      <c r="BX6">
        <f>IF(COUNTIFS(T_StockCount[Part Name],$A6,T_StockCount[WeekIndex],75)&gt;0,SUMIFS(T_StockCount[CountedQty],T_StockCount[Part Name],$A6,T_StockCount[WeekIndex],75),IF((('T_SelfStock'!BX10&lt;&gt;""))*(('T_TTAFStock'!BX10&lt;&gt;""))&gt;0,'T_SelfStock'!BX10+'T_TTAFStock'!BX10,BW6+'Grid_Incoming'!BX6-'Grid_Requirement'!BX6))</f>
        <v/>
      </c>
      <c r="BY6">
        <f>IF(COUNTIFS(T_StockCount[Part Name],$A6,T_StockCount[WeekIndex],76)&gt;0,SUMIFS(T_StockCount[CountedQty],T_StockCount[Part Name],$A6,T_StockCount[WeekIndex],76),IF((('T_SelfStock'!BY10&lt;&gt;""))*(('T_TTAFStock'!BY10&lt;&gt;""))&gt;0,'T_SelfStock'!BY10+'T_TTAFStock'!BY10,BX6+'Grid_Incoming'!BY6-'Grid_Requirement'!BY6))</f>
        <v/>
      </c>
      <c r="BZ6">
        <f>IF(COUNTIFS(T_StockCount[Part Name],$A6,T_StockCount[WeekIndex],77)&gt;0,SUMIFS(T_StockCount[CountedQty],T_StockCount[Part Name],$A6,T_StockCount[WeekIndex],77),IF((('T_SelfStock'!BZ10&lt;&gt;""))*(('T_TTAFStock'!BZ10&lt;&gt;""))&gt;0,'T_SelfStock'!BZ10+'T_TTAFStock'!BZ10,BY6+'Grid_Incoming'!BZ6-'Grid_Requirement'!BZ6))</f>
        <v/>
      </c>
      <c r="CA6">
        <f>IF(COUNTIFS(T_StockCount[Part Name],$A6,T_StockCount[WeekIndex],78)&gt;0,SUMIFS(T_StockCount[CountedQty],T_StockCount[Part Name],$A6,T_StockCount[WeekIndex],78),IF((('T_SelfStock'!CA10&lt;&gt;""))*(('T_TTAFStock'!CA10&lt;&gt;""))&gt;0,'T_SelfStock'!CA10+'T_TTAFStock'!CA10,BZ6+'Grid_Incoming'!CA6-'Grid_Requirement'!CA6))</f>
        <v/>
      </c>
      <c r="CB6">
        <f>IF(COUNTIFS(T_StockCount[Part Name],$A6,T_StockCount[WeekIndex],79)&gt;0,SUMIFS(T_StockCount[CountedQty],T_StockCount[Part Name],$A6,T_StockCount[WeekIndex],79),IF((('T_SelfStock'!CB10&lt;&gt;""))*(('T_TTAFStock'!CB10&lt;&gt;""))&gt;0,'T_SelfStock'!CB10+'T_TTAFStock'!CB10,CA6+'Grid_Incoming'!CB6-'Grid_Requirement'!CB6))</f>
        <v/>
      </c>
      <c r="CC6">
        <f>IF(COUNTIFS(T_StockCount[Part Name],$A6,T_StockCount[WeekIndex],80)&gt;0,SUMIFS(T_StockCount[CountedQty],T_StockCount[Part Name],$A6,T_StockCount[WeekIndex],80),IF((('T_SelfStock'!CC10&lt;&gt;""))*(('T_TTAFStock'!CC10&lt;&gt;""))&gt;0,'T_SelfStock'!CC10+'T_TTAFStock'!CC10,CB6+'Grid_Incoming'!CC6-'Grid_Requirement'!CC6))</f>
        <v/>
      </c>
      <c r="CD6">
        <f>IF(COUNTIFS(T_StockCount[Part Name],$A6,T_StockCount[WeekIndex],81)&gt;0,SUMIFS(T_StockCount[CountedQty],T_StockCount[Part Name],$A6,T_StockCount[WeekIndex],81),IF((('T_SelfStock'!CD10&lt;&gt;""))*(('T_TTAFStock'!CD10&lt;&gt;""))&gt;0,'T_SelfStock'!CD10+'T_TTAFStock'!CD10,CC6+'Grid_Incoming'!CD6-'Grid_Requirement'!CD6))</f>
        <v/>
      </c>
      <c r="CE6">
        <f>IF(COUNTIFS(T_StockCount[Part Name],$A6,T_StockCount[WeekIndex],82)&gt;0,SUMIFS(T_StockCount[CountedQty],T_StockCount[Part Name],$A6,T_StockCount[WeekIndex],82),IF((('T_SelfStock'!CE10&lt;&gt;""))*(('T_TTAFStock'!CE10&lt;&gt;""))&gt;0,'T_SelfStock'!CE10+'T_TTAFStock'!CE10,CD6+'Grid_Incoming'!CE6-'Grid_Requirement'!CE6))</f>
        <v/>
      </c>
      <c r="CF6">
        <f>IF(COUNTIFS(T_StockCount[Part Name],$A6,T_StockCount[WeekIndex],83)&gt;0,SUMIFS(T_StockCount[CountedQty],T_StockCount[Part Name],$A6,T_StockCount[WeekIndex],83),IF((('T_SelfStock'!CF10&lt;&gt;""))*(('T_TTAFStock'!CF10&lt;&gt;""))&gt;0,'T_SelfStock'!CF10+'T_TTAFStock'!CF10,CE6+'Grid_Incoming'!CF6-'Grid_Requirement'!CF6))</f>
        <v/>
      </c>
      <c r="CG6">
        <f>IF(COUNTIFS(T_StockCount[Part Name],$A6,T_StockCount[WeekIndex],84)&gt;0,SUMIFS(T_StockCount[CountedQty],T_StockCount[Part Name],$A6,T_StockCount[WeekIndex],84),IF((('T_SelfStock'!CG10&lt;&gt;""))*(('T_TTAFStock'!CG10&lt;&gt;""))&gt;0,'T_SelfStock'!CG10+'T_TTAFStock'!CG10,CF6+'Grid_Incoming'!CG6-'Grid_Requirement'!CG6))</f>
        <v/>
      </c>
      <c r="CH6">
        <f>IF(COUNTIFS(T_StockCount[Part Name],$A6,T_StockCount[WeekIndex],85)&gt;0,SUMIFS(T_StockCount[CountedQty],T_StockCount[Part Name],$A6,T_StockCount[WeekIndex],85),IF((('T_SelfStock'!CH10&lt;&gt;""))*(('T_TTAFStock'!CH10&lt;&gt;""))&gt;0,'T_SelfStock'!CH10+'T_TTAFStock'!CH10,CG6+'Grid_Incoming'!CH6-'Grid_Requirement'!CH6))</f>
        <v/>
      </c>
      <c r="CI6">
        <f>IF(COUNTIFS(T_StockCount[Part Name],$A6,T_StockCount[WeekIndex],86)&gt;0,SUMIFS(T_StockCount[CountedQty],T_StockCount[Part Name],$A6,T_StockCount[WeekIndex],86),IF((('T_SelfStock'!CI10&lt;&gt;""))*(('T_TTAFStock'!CI10&lt;&gt;""))&gt;0,'T_SelfStock'!CI10+'T_TTAFStock'!CI10,CH6+'Grid_Incoming'!CI6-'Grid_Requirement'!CI6))</f>
        <v/>
      </c>
      <c r="CJ6">
        <f>IF(COUNTIFS(T_StockCount[Part Name],$A6,T_StockCount[WeekIndex],87)&gt;0,SUMIFS(T_StockCount[CountedQty],T_StockCount[Part Name],$A6,T_StockCount[WeekIndex],87),IF((('T_SelfStock'!CJ10&lt;&gt;""))*(('T_TTAFStock'!CJ10&lt;&gt;""))&gt;0,'T_SelfStock'!CJ10+'T_TTAFStock'!CJ10,CI6+'Grid_Incoming'!CJ6-'Grid_Requirement'!CJ6))</f>
        <v/>
      </c>
      <c r="CK6">
        <f>IF(COUNTIFS(T_StockCount[Part Name],$A6,T_StockCount[WeekIndex],88)&gt;0,SUMIFS(T_StockCount[CountedQty],T_StockCount[Part Name],$A6,T_StockCount[WeekIndex],88),IF((('T_SelfStock'!CK10&lt;&gt;""))*(('T_TTAFStock'!CK10&lt;&gt;""))&gt;0,'T_SelfStock'!CK10+'T_TTAFStock'!CK10,CJ6+'Grid_Incoming'!CK6-'Grid_Requirement'!CK6))</f>
        <v/>
      </c>
      <c r="CL6">
        <f>IF(COUNTIFS(T_StockCount[Part Name],$A6,T_StockCount[WeekIndex],89)&gt;0,SUMIFS(T_StockCount[CountedQty],T_StockCount[Part Name],$A6,T_StockCount[WeekIndex],89),IF((('T_SelfStock'!CL10&lt;&gt;""))*(('T_TTAFStock'!CL10&lt;&gt;""))&gt;0,'T_SelfStock'!CL10+'T_TTAFStock'!CL10,CK6+'Grid_Incoming'!CL6-'Grid_Requirement'!CL6))</f>
        <v/>
      </c>
      <c r="CM6">
        <f>IF(COUNTIFS(T_StockCount[Part Name],$A6,T_StockCount[WeekIndex],90)&gt;0,SUMIFS(T_StockCount[CountedQty],T_StockCount[Part Name],$A6,T_StockCount[WeekIndex],90),IF((('T_SelfStock'!CM10&lt;&gt;""))*(('T_TTAFStock'!CM10&lt;&gt;""))&gt;0,'T_SelfStock'!CM10+'T_TTAFStock'!CM10,CL6+'Grid_Incoming'!CM6-'Grid_Requirement'!CM6))</f>
        <v/>
      </c>
      <c r="CN6">
        <f>IF(COUNTIFS(T_StockCount[Part Name],$A6,T_StockCount[WeekIndex],91)&gt;0,SUMIFS(T_StockCount[CountedQty],T_StockCount[Part Name],$A6,T_StockCount[WeekIndex],91),IF((('T_SelfStock'!CN10&lt;&gt;""))*(('T_TTAFStock'!CN10&lt;&gt;""))&gt;0,'T_SelfStock'!CN10+'T_TTAFStock'!CN10,CM6+'Grid_Incoming'!CN6-'Grid_Requirement'!CN6))</f>
        <v/>
      </c>
      <c r="CO6">
        <f>IF(COUNTIFS(T_StockCount[Part Name],$A6,T_StockCount[WeekIndex],92)&gt;0,SUMIFS(T_StockCount[CountedQty],T_StockCount[Part Name],$A6,T_StockCount[WeekIndex],92),IF((('T_SelfStock'!CO10&lt;&gt;""))*(('T_TTAFStock'!CO10&lt;&gt;""))&gt;0,'T_SelfStock'!CO10+'T_TTAFStock'!CO10,CN6+'Grid_Incoming'!CO6-'Grid_Requirement'!CO6))</f>
        <v/>
      </c>
      <c r="CP6">
        <f>IF(COUNTIFS(T_StockCount[Part Name],$A6,T_StockCount[WeekIndex],93)&gt;0,SUMIFS(T_StockCount[CountedQty],T_StockCount[Part Name],$A6,T_StockCount[WeekIndex],93),IF((('T_SelfStock'!CP10&lt;&gt;""))*(('T_TTAFStock'!CP10&lt;&gt;""))&gt;0,'T_SelfStock'!CP10+'T_TTAFStock'!CP10,CO6+'Grid_Incoming'!CP6-'Grid_Requirement'!CP6))</f>
        <v/>
      </c>
      <c r="CQ6">
        <f>IF(COUNTIFS(T_StockCount[Part Name],$A6,T_StockCount[WeekIndex],94)&gt;0,SUMIFS(T_StockCount[CountedQty],T_StockCount[Part Name],$A6,T_StockCount[WeekIndex],94),IF((('T_SelfStock'!CQ10&lt;&gt;""))*(('T_TTAFStock'!CQ10&lt;&gt;""))&gt;0,'T_SelfStock'!CQ10+'T_TTAFStock'!CQ10,CP6+'Grid_Incoming'!CQ6-'Grid_Requirement'!CQ6))</f>
        <v/>
      </c>
      <c r="CR6">
        <f>IF(COUNTIFS(T_StockCount[Part Name],$A6,T_StockCount[WeekIndex],95)&gt;0,SUMIFS(T_StockCount[CountedQty],T_StockCount[Part Name],$A6,T_StockCount[WeekIndex],95),IF((('T_SelfStock'!CR10&lt;&gt;""))*(('T_TTAFStock'!CR10&lt;&gt;""))&gt;0,'T_SelfStock'!CR10+'T_TTAFStock'!CR10,CQ6+'Grid_Incoming'!CR6-'Grid_Requirement'!CR6))</f>
        <v/>
      </c>
      <c r="CS6">
        <f>IF(COUNTIFS(T_StockCount[Part Name],$A6,T_StockCount[WeekIndex],96)&gt;0,SUMIFS(T_StockCount[CountedQty],T_StockCount[Part Name],$A6,T_StockCount[WeekIndex],96),IF((('T_SelfStock'!CS10&lt;&gt;""))*(('T_TTAFStock'!CS10&lt;&gt;""))&gt;0,'T_SelfStock'!CS10+'T_TTAFStock'!CS10,CR6+'Grid_Incoming'!CS6-'Grid_Requirement'!CS6))</f>
        <v/>
      </c>
      <c r="CT6">
        <f>IF(COUNTIFS(T_StockCount[Part Name],$A6,T_StockCount[WeekIndex],97)&gt;0,SUMIFS(T_StockCount[CountedQty],T_StockCount[Part Name],$A6,T_StockCount[WeekIndex],97),IF((('T_SelfStock'!CT10&lt;&gt;""))*(('T_TTAFStock'!CT10&lt;&gt;""))&gt;0,'T_SelfStock'!CT10+'T_TTAFStock'!CT10,CS6+'Grid_Incoming'!CT6-'Grid_Requirement'!CT6))</f>
        <v/>
      </c>
      <c r="CU6">
        <f>IF(COUNTIFS(T_StockCount[Part Name],$A6,T_StockCount[WeekIndex],98)&gt;0,SUMIFS(T_StockCount[CountedQty],T_StockCount[Part Name],$A6,T_StockCount[WeekIndex],98),IF((('T_SelfStock'!CU10&lt;&gt;""))*(('T_TTAFStock'!CU10&lt;&gt;""))&gt;0,'T_SelfStock'!CU10+'T_TTAFStock'!CU10,CT6+'Grid_Incoming'!CU6-'Grid_Requirement'!CU6))</f>
        <v/>
      </c>
      <c r="CV6">
        <f>IF(COUNTIFS(T_StockCount[Part Name],$A6,T_StockCount[WeekIndex],99)&gt;0,SUMIFS(T_StockCount[CountedQty],T_StockCount[Part Name],$A6,T_StockCount[WeekIndex],99),IF((('T_SelfStock'!CV10&lt;&gt;""))*(('T_TTAFStock'!CV10&lt;&gt;""))&gt;0,'T_SelfStock'!CV10+'T_TTAFStock'!CV10,CU6+'Grid_Incoming'!CV6-'Grid_Requirement'!CV6))</f>
        <v/>
      </c>
      <c r="CW6">
        <f>IF(COUNTIFS(T_StockCount[Part Name],$A6,T_StockCount[WeekIndex],100)&gt;0,SUMIFS(T_StockCount[CountedQty],T_StockCount[Part Name],$A6,T_StockCount[WeekIndex],100),IF((('T_SelfStock'!CW10&lt;&gt;""))*(('T_TTAFStock'!CW10&lt;&gt;""))&gt;0,'T_SelfStock'!CW10+'T_TTAFStock'!CW10,CV6+'Grid_Incoming'!CW6-'Grid_Requirement'!CW6))</f>
        <v/>
      </c>
      <c r="CX6">
        <f>IF(COUNTIFS(T_StockCount[Part Name],$A6,T_StockCount[WeekIndex],101)&gt;0,SUMIFS(T_StockCount[CountedQty],T_StockCount[Part Name],$A6,T_StockCount[WeekIndex],101),IF((('T_SelfStock'!CX10&lt;&gt;""))*(('T_TTAFStock'!CX10&lt;&gt;""))&gt;0,'T_SelfStock'!CX10+'T_TTAFStock'!CX10,CW6+'Grid_Incoming'!CX6-'Grid_Requirement'!CX6))</f>
        <v/>
      </c>
      <c r="CY6">
        <f>IF(COUNTIFS(T_StockCount[Part Name],$A6,T_StockCount[WeekIndex],102)&gt;0,SUMIFS(T_StockCount[CountedQty],T_StockCount[Part Name],$A6,T_StockCount[WeekIndex],102),IF((('T_SelfStock'!CY10&lt;&gt;""))*(('T_TTAFStock'!CY10&lt;&gt;""))&gt;0,'T_SelfStock'!CY10+'T_TTAFStock'!CY10,CX6+'Grid_Incoming'!CY6-'Grid_Requirement'!CY6))</f>
        <v/>
      </c>
      <c r="CZ6">
        <f>IF(COUNTIFS(T_StockCount[Part Name],$A6,T_StockCount[WeekIndex],103)&gt;0,SUMIFS(T_StockCount[CountedQty],T_StockCount[Part Name],$A6,T_StockCount[WeekIndex],103),IF((('T_SelfStock'!CZ10&lt;&gt;""))*(('T_TTAFStock'!CZ10&lt;&gt;""))&gt;0,'T_SelfStock'!CZ10+'T_TTAFStock'!CZ10,CY6+'Grid_Incoming'!CZ6-'Grid_Requirement'!CZ6))</f>
        <v/>
      </c>
      <c r="DA6">
        <f>IF(COUNTIFS(T_StockCount[Part Name],$A6,T_StockCount[WeekIndex],104)&gt;0,SUMIFS(T_StockCount[CountedQty],T_StockCount[Part Name],$A6,T_StockCount[WeekIndex],104),IF((('T_SelfStock'!DA10&lt;&gt;""))*(('T_TTAFStock'!DA10&lt;&gt;""))&gt;0,'T_SelfStock'!DA10+'T_TTAFStock'!DA10,CZ6+'Grid_Incoming'!DA6-'Grid_Requirement'!DA6))</f>
        <v/>
      </c>
    </row>
    <row r="7">
      <c r="A7" t="inlineStr">
        <is>
          <t>CHEM-1540</t>
        </is>
      </c>
      <c r="B7">
        <f>IF(COUNTIFS(T_StockCount[Part Name],$A7,T_StockCount[WeekIndex],1)&gt;0,SUMIFS(T_StockCount[CountedQty],T_StockCount[Part Name],$A7,T_StockCount[WeekIndex],1),IF((('T_SelfStock'!B11&lt;&gt;""))*(('T_TTAFStock'!B11&lt;&gt;""))&gt;0,'T_SelfStock'!B11+'T_TTAFStock'!B11,IFERROR(INDEX(T_OpeningStock[Opening_Qty],MATCH($A7,T_OpeningStock[Part Name],0)),0)+'Grid_Incoming'!B7-'Grid_Requirement'!B7))</f>
        <v/>
      </c>
      <c r="C7">
        <f>IF(COUNTIFS(T_StockCount[Part Name],$A7,T_StockCount[WeekIndex],2)&gt;0,SUMIFS(T_StockCount[CountedQty],T_StockCount[Part Name],$A7,T_StockCount[WeekIndex],2),IF((('T_SelfStock'!C11&lt;&gt;""))*(('T_TTAFStock'!C11&lt;&gt;""))&gt;0,'T_SelfStock'!C11+'T_TTAFStock'!C11,B7+'Grid_Incoming'!C7-'Grid_Requirement'!C7))</f>
        <v/>
      </c>
      <c r="D7">
        <f>IF(COUNTIFS(T_StockCount[Part Name],$A7,T_StockCount[WeekIndex],3)&gt;0,SUMIFS(T_StockCount[CountedQty],T_StockCount[Part Name],$A7,T_StockCount[WeekIndex],3),IF((('T_SelfStock'!D11&lt;&gt;""))*(('T_TTAFStock'!D11&lt;&gt;""))&gt;0,'T_SelfStock'!D11+'T_TTAFStock'!D11,C7+'Grid_Incoming'!D7-'Grid_Requirement'!D7))</f>
        <v/>
      </c>
      <c r="E7">
        <f>IF(COUNTIFS(T_StockCount[Part Name],$A7,T_StockCount[WeekIndex],4)&gt;0,SUMIFS(T_StockCount[CountedQty],T_StockCount[Part Name],$A7,T_StockCount[WeekIndex],4),IF((('T_SelfStock'!E11&lt;&gt;""))*(('T_TTAFStock'!E11&lt;&gt;""))&gt;0,'T_SelfStock'!E11+'T_TTAFStock'!E11,D7+'Grid_Incoming'!E7-'Grid_Requirement'!E7))</f>
        <v/>
      </c>
      <c r="F7">
        <f>IF(COUNTIFS(T_StockCount[Part Name],$A7,T_StockCount[WeekIndex],5)&gt;0,SUMIFS(T_StockCount[CountedQty],T_StockCount[Part Name],$A7,T_StockCount[WeekIndex],5),IF((('T_SelfStock'!F11&lt;&gt;""))*(('T_TTAFStock'!F11&lt;&gt;""))&gt;0,'T_SelfStock'!F11+'T_TTAFStock'!F11,E7+'Grid_Incoming'!F7-'Grid_Requirement'!F7))</f>
        <v/>
      </c>
      <c r="G7">
        <f>IF(COUNTIFS(T_StockCount[Part Name],$A7,T_StockCount[WeekIndex],6)&gt;0,SUMIFS(T_StockCount[CountedQty],T_StockCount[Part Name],$A7,T_StockCount[WeekIndex],6),IF((('T_SelfStock'!G11&lt;&gt;""))*(('T_TTAFStock'!G11&lt;&gt;""))&gt;0,'T_SelfStock'!G11+'T_TTAFStock'!G11,F7+'Grid_Incoming'!G7-'Grid_Requirement'!G7))</f>
        <v/>
      </c>
      <c r="H7">
        <f>IF(COUNTIFS(T_StockCount[Part Name],$A7,T_StockCount[WeekIndex],7)&gt;0,SUMIFS(T_StockCount[CountedQty],T_StockCount[Part Name],$A7,T_StockCount[WeekIndex],7),IF((('T_SelfStock'!H11&lt;&gt;""))*(('T_TTAFStock'!H11&lt;&gt;""))&gt;0,'T_SelfStock'!H11+'T_TTAFStock'!H11,G7+'Grid_Incoming'!H7-'Grid_Requirement'!H7))</f>
        <v/>
      </c>
      <c r="I7">
        <f>IF(COUNTIFS(T_StockCount[Part Name],$A7,T_StockCount[WeekIndex],8)&gt;0,SUMIFS(T_StockCount[CountedQty],T_StockCount[Part Name],$A7,T_StockCount[WeekIndex],8),IF((('T_SelfStock'!I11&lt;&gt;""))*(('T_TTAFStock'!I11&lt;&gt;""))&gt;0,'T_SelfStock'!I11+'T_TTAFStock'!I11,H7+'Grid_Incoming'!I7-'Grid_Requirement'!I7))</f>
        <v/>
      </c>
      <c r="J7">
        <f>IF(COUNTIFS(T_StockCount[Part Name],$A7,T_StockCount[WeekIndex],9)&gt;0,SUMIFS(T_StockCount[CountedQty],T_StockCount[Part Name],$A7,T_StockCount[WeekIndex],9),IF((('T_SelfStock'!J11&lt;&gt;""))*(('T_TTAFStock'!J11&lt;&gt;""))&gt;0,'T_SelfStock'!J11+'T_TTAFStock'!J11,I7+'Grid_Incoming'!J7-'Grid_Requirement'!J7))</f>
        <v/>
      </c>
      <c r="K7">
        <f>IF(COUNTIFS(T_StockCount[Part Name],$A7,T_StockCount[WeekIndex],10)&gt;0,SUMIFS(T_StockCount[CountedQty],T_StockCount[Part Name],$A7,T_StockCount[WeekIndex],10),IF((('T_SelfStock'!K11&lt;&gt;""))*(('T_TTAFStock'!K11&lt;&gt;""))&gt;0,'T_SelfStock'!K11+'T_TTAFStock'!K11,J7+'Grid_Incoming'!K7-'Grid_Requirement'!K7))</f>
        <v/>
      </c>
      <c r="L7">
        <f>IF(COUNTIFS(T_StockCount[Part Name],$A7,T_StockCount[WeekIndex],11)&gt;0,SUMIFS(T_StockCount[CountedQty],T_StockCount[Part Name],$A7,T_StockCount[WeekIndex],11),IF((('T_SelfStock'!L11&lt;&gt;""))*(('T_TTAFStock'!L11&lt;&gt;""))&gt;0,'T_SelfStock'!L11+'T_TTAFStock'!L11,K7+'Grid_Incoming'!L7-'Grid_Requirement'!L7))</f>
        <v/>
      </c>
      <c r="M7">
        <f>IF(COUNTIFS(T_StockCount[Part Name],$A7,T_StockCount[WeekIndex],12)&gt;0,SUMIFS(T_StockCount[CountedQty],T_StockCount[Part Name],$A7,T_StockCount[WeekIndex],12),IF((('T_SelfStock'!M11&lt;&gt;""))*(('T_TTAFStock'!M11&lt;&gt;""))&gt;0,'T_SelfStock'!M11+'T_TTAFStock'!M11,L7+'Grid_Incoming'!M7-'Grid_Requirement'!M7))</f>
        <v/>
      </c>
      <c r="N7">
        <f>IF(COUNTIFS(T_StockCount[Part Name],$A7,T_StockCount[WeekIndex],13)&gt;0,SUMIFS(T_StockCount[CountedQty],T_StockCount[Part Name],$A7,T_StockCount[WeekIndex],13),IF((('T_SelfStock'!N11&lt;&gt;""))*(('T_TTAFStock'!N11&lt;&gt;""))&gt;0,'T_SelfStock'!N11+'T_TTAFStock'!N11,M7+'Grid_Incoming'!N7-'Grid_Requirement'!N7))</f>
        <v/>
      </c>
      <c r="O7">
        <f>IF(COUNTIFS(T_StockCount[Part Name],$A7,T_StockCount[WeekIndex],14)&gt;0,SUMIFS(T_StockCount[CountedQty],T_StockCount[Part Name],$A7,T_StockCount[WeekIndex],14),IF((('T_SelfStock'!O11&lt;&gt;""))*(('T_TTAFStock'!O11&lt;&gt;""))&gt;0,'T_SelfStock'!O11+'T_TTAFStock'!O11,N7+'Grid_Incoming'!O7-'Grid_Requirement'!O7))</f>
        <v/>
      </c>
      <c r="P7">
        <f>IF(COUNTIFS(T_StockCount[Part Name],$A7,T_StockCount[WeekIndex],15)&gt;0,SUMIFS(T_StockCount[CountedQty],T_StockCount[Part Name],$A7,T_StockCount[WeekIndex],15),IF((('T_SelfStock'!P11&lt;&gt;""))*(('T_TTAFStock'!P11&lt;&gt;""))&gt;0,'T_SelfStock'!P11+'T_TTAFStock'!P11,O7+'Grid_Incoming'!P7-'Grid_Requirement'!P7))</f>
        <v/>
      </c>
      <c r="Q7">
        <f>IF(COUNTIFS(T_StockCount[Part Name],$A7,T_StockCount[WeekIndex],16)&gt;0,SUMIFS(T_StockCount[CountedQty],T_StockCount[Part Name],$A7,T_StockCount[WeekIndex],16),IF((('T_SelfStock'!Q11&lt;&gt;""))*(('T_TTAFStock'!Q11&lt;&gt;""))&gt;0,'T_SelfStock'!Q11+'T_TTAFStock'!Q11,P7+'Grid_Incoming'!Q7-'Grid_Requirement'!Q7))</f>
        <v/>
      </c>
      <c r="R7">
        <f>IF(COUNTIFS(T_StockCount[Part Name],$A7,T_StockCount[WeekIndex],17)&gt;0,SUMIFS(T_StockCount[CountedQty],T_StockCount[Part Name],$A7,T_StockCount[WeekIndex],17),IF((('T_SelfStock'!R11&lt;&gt;""))*(('T_TTAFStock'!R11&lt;&gt;""))&gt;0,'T_SelfStock'!R11+'T_TTAFStock'!R11,Q7+'Grid_Incoming'!R7-'Grid_Requirement'!R7))</f>
        <v/>
      </c>
      <c r="S7">
        <f>IF(COUNTIFS(T_StockCount[Part Name],$A7,T_StockCount[WeekIndex],18)&gt;0,SUMIFS(T_StockCount[CountedQty],T_StockCount[Part Name],$A7,T_StockCount[WeekIndex],18),IF((('T_SelfStock'!S11&lt;&gt;""))*(('T_TTAFStock'!S11&lt;&gt;""))&gt;0,'T_SelfStock'!S11+'T_TTAFStock'!S11,R7+'Grid_Incoming'!S7-'Grid_Requirement'!S7))</f>
        <v/>
      </c>
      <c r="T7">
        <f>IF(COUNTIFS(T_StockCount[Part Name],$A7,T_StockCount[WeekIndex],19)&gt;0,SUMIFS(T_StockCount[CountedQty],T_StockCount[Part Name],$A7,T_StockCount[WeekIndex],19),IF((('T_SelfStock'!T11&lt;&gt;""))*(('T_TTAFStock'!T11&lt;&gt;""))&gt;0,'T_SelfStock'!T11+'T_TTAFStock'!T11,S7+'Grid_Incoming'!T7-'Grid_Requirement'!T7))</f>
        <v/>
      </c>
      <c r="U7">
        <f>IF(COUNTIFS(T_StockCount[Part Name],$A7,T_StockCount[WeekIndex],20)&gt;0,SUMIFS(T_StockCount[CountedQty],T_StockCount[Part Name],$A7,T_StockCount[WeekIndex],20),IF((('T_SelfStock'!U11&lt;&gt;""))*(('T_TTAFStock'!U11&lt;&gt;""))&gt;0,'T_SelfStock'!U11+'T_TTAFStock'!U11,T7+'Grid_Incoming'!U7-'Grid_Requirement'!U7))</f>
        <v/>
      </c>
      <c r="V7">
        <f>IF(COUNTIFS(T_StockCount[Part Name],$A7,T_StockCount[WeekIndex],21)&gt;0,SUMIFS(T_StockCount[CountedQty],T_StockCount[Part Name],$A7,T_StockCount[WeekIndex],21),IF((('T_SelfStock'!V11&lt;&gt;""))*(('T_TTAFStock'!V11&lt;&gt;""))&gt;0,'T_SelfStock'!V11+'T_TTAFStock'!V11,U7+'Grid_Incoming'!V7-'Grid_Requirement'!V7))</f>
        <v/>
      </c>
      <c r="W7">
        <f>IF(COUNTIFS(T_StockCount[Part Name],$A7,T_StockCount[WeekIndex],22)&gt;0,SUMIFS(T_StockCount[CountedQty],T_StockCount[Part Name],$A7,T_StockCount[WeekIndex],22),IF((('T_SelfStock'!W11&lt;&gt;""))*(('T_TTAFStock'!W11&lt;&gt;""))&gt;0,'T_SelfStock'!W11+'T_TTAFStock'!W11,V7+'Grid_Incoming'!W7-'Grid_Requirement'!W7))</f>
        <v/>
      </c>
      <c r="X7">
        <f>IF(COUNTIFS(T_StockCount[Part Name],$A7,T_StockCount[WeekIndex],23)&gt;0,SUMIFS(T_StockCount[CountedQty],T_StockCount[Part Name],$A7,T_StockCount[WeekIndex],23),IF((('T_SelfStock'!X11&lt;&gt;""))*(('T_TTAFStock'!X11&lt;&gt;""))&gt;0,'T_SelfStock'!X11+'T_TTAFStock'!X11,W7+'Grid_Incoming'!X7-'Grid_Requirement'!X7))</f>
        <v/>
      </c>
      <c r="Y7">
        <f>IF(COUNTIFS(T_StockCount[Part Name],$A7,T_StockCount[WeekIndex],24)&gt;0,SUMIFS(T_StockCount[CountedQty],T_StockCount[Part Name],$A7,T_StockCount[WeekIndex],24),IF((('T_SelfStock'!Y11&lt;&gt;""))*(('T_TTAFStock'!Y11&lt;&gt;""))&gt;0,'T_SelfStock'!Y11+'T_TTAFStock'!Y11,X7+'Grid_Incoming'!Y7-'Grid_Requirement'!Y7))</f>
        <v/>
      </c>
      <c r="Z7">
        <f>IF(COUNTIFS(T_StockCount[Part Name],$A7,T_StockCount[WeekIndex],25)&gt;0,SUMIFS(T_StockCount[CountedQty],T_StockCount[Part Name],$A7,T_StockCount[WeekIndex],25),IF((('T_SelfStock'!Z11&lt;&gt;""))*(('T_TTAFStock'!Z11&lt;&gt;""))&gt;0,'T_SelfStock'!Z11+'T_TTAFStock'!Z11,Y7+'Grid_Incoming'!Z7-'Grid_Requirement'!Z7))</f>
        <v/>
      </c>
      <c r="AA7">
        <f>IF(COUNTIFS(T_StockCount[Part Name],$A7,T_StockCount[WeekIndex],26)&gt;0,SUMIFS(T_StockCount[CountedQty],T_StockCount[Part Name],$A7,T_StockCount[WeekIndex],26),IF((('T_SelfStock'!AA11&lt;&gt;""))*(('T_TTAFStock'!AA11&lt;&gt;""))&gt;0,'T_SelfStock'!AA11+'T_TTAFStock'!AA11,Z7+'Grid_Incoming'!AA7-'Grid_Requirement'!AA7))</f>
        <v/>
      </c>
      <c r="AB7">
        <f>IF(COUNTIFS(T_StockCount[Part Name],$A7,T_StockCount[WeekIndex],27)&gt;0,SUMIFS(T_StockCount[CountedQty],T_StockCount[Part Name],$A7,T_StockCount[WeekIndex],27),IF((('T_SelfStock'!AB11&lt;&gt;""))*(('T_TTAFStock'!AB11&lt;&gt;""))&gt;0,'T_SelfStock'!AB11+'T_TTAFStock'!AB11,AA7+'Grid_Incoming'!AB7-'Grid_Requirement'!AB7))</f>
        <v/>
      </c>
      <c r="AC7">
        <f>IF(COUNTIFS(T_StockCount[Part Name],$A7,T_StockCount[WeekIndex],28)&gt;0,SUMIFS(T_StockCount[CountedQty],T_StockCount[Part Name],$A7,T_StockCount[WeekIndex],28),IF((('T_SelfStock'!AC11&lt;&gt;""))*(('T_TTAFStock'!AC11&lt;&gt;""))&gt;0,'T_SelfStock'!AC11+'T_TTAFStock'!AC11,AB7+'Grid_Incoming'!AC7-'Grid_Requirement'!AC7))</f>
        <v/>
      </c>
      <c r="AD7">
        <f>IF(COUNTIFS(T_StockCount[Part Name],$A7,T_StockCount[WeekIndex],29)&gt;0,SUMIFS(T_StockCount[CountedQty],T_StockCount[Part Name],$A7,T_StockCount[WeekIndex],29),IF((('T_SelfStock'!AD11&lt;&gt;""))*(('T_TTAFStock'!AD11&lt;&gt;""))&gt;0,'T_SelfStock'!AD11+'T_TTAFStock'!AD11,AC7+'Grid_Incoming'!AD7-'Grid_Requirement'!AD7))</f>
        <v/>
      </c>
      <c r="AE7">
        <f>IF(COUNTIFS(T_StockCount[Part Name],$A7,T_StockCount[WeekIndex],30)&gt;0,SUMIFS(T_StockCount[CountedQty],T_StockCount[Part Name],$A7,T_StockCount[WeekIndex],30),IF((('T_SelfStock'!AE11&lt;&gt;""))*(('T_TTAFStock'!AE11&lt;&gt;""))&gt;0,'T_SelfStock'!AE11+'T_TTAFStock'!AE11,AD7+'Grid_Incoming'!AE7-'Grid_Requirement'!AE7))</f>
        <v/>
      </c>
      <c r="AF7">
        <f>IF(COUNTIFS(T_StockCount[Part Name],$A7,T_StockCount[WeekIndex],31)&gt;0,SUMIFS(T_StockCount[CountedQty],T_StockCount[Part Name],$A7,T_StockCount[WeekIndex],31),IF((('T_SelfStock'!AF11&lt;&gt;""))*(('T_TTAFStock'!AF11&lt;&gt;""))&gt;0,'T_SelfStock'!AF11+'T_TTAFStock'!AF11,AE7+'Grid_Incoming'!AF7-'Grid_Requirement'!AF7))</f>
        <v/>
      </c>
      <c r="AG7">
        <f>IF(COUNTIFS(T_StockCount[Part Name],$A7,T_StockCount[WeekIndex],32)&gt;0,SUMIFS(T_StockCount[CountedQty],T_StockCount[Part Name],$A7,T_StockCount[WeekIndex],32),IF((('T_SelfStock'!AG11&lt;&gt;""))*(('T_TTAFStock'!AG11&lt;&gt;""))&gt;0,'T_SelfStock'!AG11+'T_TTAFStock'!AG11,AF7+'Grid_Incoming'!AG7-'Grid_Requirement'!AG7))</f>
        <v/>
      </c>
      <c r="AH7">
        <f>IF(COUNTIFS(T_StockCount[Part Name],$A7,T_StockCount[WeekIndex],33)&gt;0,SUMIFS(T_StockCount[CountedQty],T_StockCount[Part Name],$A7,T_StockCount[WeekIndex],33),IF((('T_SelfStock'!AH11&lt;&gt;""))*(('T_TTAFStock'!AH11&lt;&gt;""))&gt;0,'T_SelfStock'!AH11+'T_TTAFStock'!AH11,AG7+'Grid_Incoming'!AH7-'Grid_Requirement'!AH7))</f>
        <v/>
      </c>
      <c r="AI7">
        <f>IF(COUNTIFS(T_StockCount[Part Name],$A7,T_StockCount[WeekIndex],34)&gt;0,SUMIFS(T_StockCount[CountedQty],T_StockCount[Part Name],$A7,T_StockCount[WeekIndex],34),IF((('T_SelfStock'!AI11&lt;&gt;""))*(('T_TTAFStock'!AI11&lt;&gt;""))&gt;0,'T_SelfStock'!AI11+'T_TTAFStock'!AI11,AH7+'Grid_Incoming'!AI7-'Grid_Requirement'!AI7))</f>
        <v/>
      </c>
      <c r="AJ7">
        <f>IF(COUNTIFS(T_StockCount[Part Name],$A7,T_StockCount[WeekIndex],35)&gt;0,SUMIFS(T_StockCount[CountedQty],T_StockCount[Part Name],$A7,T_StockCount[WeekIndex],35),IF((('T_SelfStock'!AJ11&lt;&gt;""))*(('T_TTAFStock'!AJ11&lt;&gt;""))&gt;0,'T_SelfStock'!AJ11+'T_TTAFStock'!AJ11,AI7+'Grid_Incoming'!AJ7-'Grid_Requirement'!AJ7))</f>
        <v/>
      </c>
      <c r="AK7">
        <f>IF(COUNTIFS(T_StockCount[Part Name],$A7,T_StockCount[WeekIndex],36)&gt;0,SUMIFS(T_StockCount[CountedQty],T_StockCount[Part Name],$A7,T_StockCount[WeekIndex],36),IF((('T_SelfStock'!AK11&lt;&gt;""))*(('T_TTAFStock'!AK11&lt;&gt;""))&gt;0,'T_SelfStock'!AK11+'T_TTAFStock'!AK11,AJ7+'Grid_Incoming'!AK7-'Grid_Requirement'!AK7))</f>
        <v/>
      </c>
      <c r="AL7">
        <f>IF(COUNTIFS(T_StockCount[Part Name],$A7,T_StockCount[WeekIndex],37)&gt;0,SUMIFS(T_StockCount[CountedQty],T_StockCount[Part Name],$A7,T_StockCount[WeekIndex],37),IF((('T_SelfStock'!AL11&lt;&gt;""))*(('T_TTAFStock'!AL11&lt;&gt;""))&gt;0,'T_SelfStock'!AL11+'T_TTAFStock'!AL11,AK7+'Grid_Incoming'!AL7-'Grid_Requirement'!AL7))</f>
        <v/>
      </c>
      <c r="AM7">
        <f>IF(COUNTIFS(T_StockCount[Part Name],$A7,T_StockCount[WeekIndex],38)&gt;0,SUMIFS(T_StockCount[CountedQty],T_StockCount[Part Name],$A7,T_StockCount[WeekIndex],38),IF((('T_SelfStock'!AM11&lt;&gt;""))*(('T_TTAFStock'!AM11&lt;&gt;""))&gt;0,'T_SelfStock'!AM11+'T_TTAFStock'!AM11,AL7+'Grid_Incoming'!AM7-'Grid_Requirement'!AM7))</f>
        <v/>
      </c>
      <c r="AN7">
        <f>IF(COUNTIFS(T_StockCount[Part Name],$A7,T_StockCount[WeekIndex],39)&gt;0,SUMIFS(T_StockCount[CountedQty],T_StockCount[Part Name],$A7,T_StockCount[WeekIndex],39),IF((('T_SelfStock'!AN11&lt;&gt;""))*(('T_TTAFStock'!AN11&lt;&gt;""))&gt;0,'T_SelfStock'!AN11+'T_TTAFStock'!AN11,AM7+'Grid_Incoming'!AN7-'Grid_Requirement'!AN7))</f>
        <v/>
      </c>
      <c r="AO7">
        <f>IF(COUNTIFS(T_StockCount[Part Name],$A7,T_StockCount[WeekIndex],40)&gt;0,SUMIFS(T_StockCount[CountedQty],T_StockCount[Part Name],$A7,T_StockCount[WeekIndex],40),IF((('T_SelfStock'!AO11&lt;&gt;""))*(('T_TTAFStock'!AO11&lt;&gt;""))&gt;0,'T_SelfStock'!AO11+'T_TTAFStock'!AO11,AN7+'Grid_Incoming'!AO7-'Grid_Requirement'!AO7))</f>
        <v/>
      </c>
      <c r="AP7">
        <f>IF(COUNTIFS(T_StockCount[Part Name],$A7,T_StockCount[WeekIndex],41)&gt;0,SUMIFS(T_StockCount[CountedQty],T_StockCount[Part Name],$A7,T_StockCount[WeekIndex],41),IF((('T_SelfStock'!AP11&lt;&gt;""))*(('T_TTAFStock'!AP11&lt;&gt;""))&gt;0,'T_SelfStock'!AP11+'T_TTAFStock'!AP11,AO7+'Grid_Incoming'!AP7-'Grid_Requirement'!AP7))</f>
        <v/>
      </c>
      <c r="AQ7">
        <f>IF(COUNTIFS(T_StockCount[Part Name],$A7,T_StockCount[WeekIndex],42)&gt;0,SUMIFS(T_StockCount[CountedQty],T_StockCount[Part Name],$A7,T_StockCount[WeekIndex],42),IF((('T_SelfStock'!AQ11&lt;&gt;""))*(('T_TTAFStock'!AQ11&lt;&gt;""))&gt;0,'T_SelfStock'!AQ11+'T_TTAFStock'!AQ11,AP7+'Grid_Incoming'!AQ7-'Grid_Requirement'!AQ7))</f>
        <v/>
      </c>
      <c r="AR7">
        <f>IF(COUNTIFS(T_StockCount[Part Name],$A7,T_StockCount[WeekIndex],43)&gt;0,SUMIFS(T_StockCount[CountedQty],T_StockCount[Part Name],$A7,T_StockCount[WeekIndex],43),IF((('T_SelfStock'!AR11&lt;&gt;""))*(('T_TTAFStock'!AR11&lt;&gt;""))&gt;0,'T_SelfStock'!AR11+'T_TTAFStock'!AR11,AQ7+'Grid_Incoming'!AR7-'Grid_Requirement'!AR7))</f>
        <v/>
      </c>
      <c r="AS7">
        <f>IF(COUNTIFS(T_StockCount[Part Name],$A7,T_StockCount[WeekIndex],44)&gt;0,SUMIFS(T_StockCount[CountedQty],T_StockCount[Part Name],$A7,T_StockCount[WeekIndex],44),IF((('T_SelfStock'!AS11&lt;&gt;""))*(('T_TTAFStock'!AS11&lt;&gt;""))&gt;0,'T_SelfStock'!AS11+'T_TTAFStock'!AS11,AR7+'Grid_Incoming'!AS7-'Grid_Requirement'!AS7))</f>
        <v/>
      </c>
      <c r="AT7">
        <f>IF(COUNTIFS(T_StockCount[Part Name],$A7,T_StockCount[WeekIndex],45)&gt;0,SUMIFS(T_StockCount[CountedQty],T_StockCount[Part Name],$A7,T_StockCount[WeekIndex],45),IF((('T_SelfStock'!AT11&lt;&gt;""))*(('T_TTAFStock'!AT11&lt;&gt;""))&gt;0,'T_SelfStock'!AT11+'T_TTAFStock'!AT11,AS7+'Grid_Incoming'!AT7-'Grid_Requirement'!AT7))</f>
        <v/>
      </c>
      <c r="AU7">
        <f>IF(COUNTIFS(T_StockCount[Part Name],$A7,T_StockCount[WeekIndex],46)&gt;0,SUMIFS(T_StockCount[CountedQty],T_StockCount[Part Name],$A7,T_StockCount[WeekIndex],46),IF((('T_SelfStock'!AU11&lt;&gt;""))*(('T_TTAFStock'!AU11&lt;&gt;""))&gt;0,'T_SelfStock'!AU11+'T_TTAFStock'!AU11,AT7+'Grid_Incoming'!AU7-'Grid_Requirement'!AU7))</f>
        <v/>
      </c>
      <c r="AV7">
        <f>IF(COUNTIFS(T_StockCount[Part Name],$A7,T_StockCount[WeekIndex],47)&gt;0,SUMIFS(T_StockCount[CountedQty],T_StockCount[Part Name],$A7,T_StockCount[WeekIndex],47),IF((('T_SelfStock'!AV11&lt;&gt;""))*(('T_TTAFStock'!AV11&lt;&gt;""))&gt;0,'T_SelfStock'!AV11+'T_TTAFStock'!AV11,AU7+'Grid_Incoming'!AV7-'Grid_Requirement'!AV7))</f>
        <v/>
      </c>
      <c r="AW7">
        <f>IF(COUNTIFS(T_StockCount[Part Name],$A7,T_StockCount[WeekIndex],48)&gt;0,SUMIFS(T_StockCount[CountedQty],T_StockCount[Part Name],$A7,T_StockCount[WeekIndex],48),IF((('T_SelfStock'!AW11&lt;&gt;""))*(('T_TTAFStock'!AW11&lt;&gt;""))&gt;0,'T_SelfStock'!AW11+'T_TTAFStock'!AW11,AV7+'Grid_Incoming'!AW7-'Grid_Requirement'!AW7))</f>
        <v/>
      </c>
      <c r="AX7">
        <f>IF(COUNTIFS(T_StockCount[Part Name],$A7,T_StockCount[WeekIndex],49)&gt;0,SUMIFS(T_StockCount[CountedQty],T_StockCount[Part Name],$A7,T_StockCount[WeekIndex],49),IF((('T_SelfStock'!AX11&lt;&gt;""))*(('T_TTAFStock'!AX11&lt;&gt;""))&gt;0,'T_SelfStock'!AX11+'T_TTAFStock'!AX11,AW7+'Grid_Incoming'!AX7-'Grid_Requirement'!AX7))</f>
        <v/>
      </c>
      <c r="AY7">
        <f>IF(COUNTIFS(T_StockCount[Part Name],$A7,T_StockCount[WeekIndex],50)&gt;0,SUMIFS(T_StockCount[CountedQty],T_StockCount[Part Name],$A7,T_StockCount[WeekIndex],50),IF((('T_SelfStock'!AY11&lt;&gt;""))*(('T_TTAFStock'!AY11&lt;&gt;""))&gt;0,'T_SelfStock'!AY11+'T_TTAFStock'!AY11,AX7+'Grid_Incoming'!AY7-'Grid_Requirement'!AY7))</f>
        <v/>
      </c>
      <c r="AZ7">
        <f>IF(COUNTIFS(T_StockCount[Part Name],$A7,T_StockCount[WeekIndex],51)&gt;0,SUMIFS(T_StockCount[CountedQty],T_StockCount[Part Name],$A7,T_StockCount[WeekIndex],51),IF((('T_SelfStock'!AZ11&lt;&gt;""))*(('T_TTAFStock'!AZ11&lt;&gt;""))&gt;0,'T_SelfStock'!AZ11+'T_TTAFStock'!AZ11,AY7+'Grid_Incoming'!AZ7-'Grid_Requirement'!AZ7))</f>
        <v/>
      </c>
      <c r="BA7">
        <f>IF(COUNTIFS(T_StockCount[Part Name],$A7,T_StockCount[WeekIndex],52)&gt;0,SUMIFS(T_StockCount[CountedQty],T_StockCount[Part Name],$A7,T_StockCount[WeekIndex],52),IF((('T_SelfStock'!BA11&lt;&gt;""))*(('T_TTAFStock'!BA11&lt;&gt;""))&gt;0,'T_SelfStock'!BA11+'T_TTAFStock'!BA11,AZ7+'Grid_Incoming'!BA7-'Grid_Requirement'!BA7))</f>
        <v/>
      </c>
      <c r="BB7">
        <f>IF(COUNTIFS(T_StockCount[Part Name],$A7,T_StockCount[WeekIndex],53)&gt;0,SUMIFS(T_StockCount[CountedQty],T_StockCount[Part Name],$A7,T_StockCount[WeekIndex],53),IF((('T_SelfStock'!BB11&lt;&gt;""))*(('T_TTAFStock'!BB11&lt;&gt;""))&gt;0,'T_SelfStock'!BB11+'T_TTAFStock'!BB11,BA7+'Grid_Incoming'!BB7-'Grid_Requirement'!BB7))</f>
        <v/>
      </c>
      <c r="BC7">
        <f>IF(COUNTIFS(T_StockCount[Part Name],$A7,T_StockCount[WeekIndex],54)&gt;0,SUMIFS(T_StockCount[CountedQty],T_StockCount[Part Name],$A7,T_StockCount[WeekIndex],54),IF((('T_SelfStock'!BC11&lt;&gt;""))*(('T_TTAFStock'!BC11&lt;&gt;""))&gt;0,'T_SelfStock'!BC11+'T_TTAFStock'!BC11,BB7+'Grid_Incoming'!BC7-'Grid_Requirement'!BC7))</f>
        <v/>
      </c>
      <c r="BD7">
        <f>IF(COUNTIFS(T_StockCount[Part Name],$A7,T_StockCount[WeekIndex],55)&gt;0,SUMIFS(T_StockCount[CountedQty],T_StockCount[Part Name],$A7,T_StockCount[WeekIndex],55),IF((('T_SelfStock'!BD11&lt;&gt;""))*(('T_TTAFStock'!BD11&lt;&gt;""))&gt;0,'T_SelfStock'!BD11+'T_TTAFStock'!BD11,BC7+'Grid_Incoming'!BD7-'Grid_Requirement'!BD7))</f>
        <v/>
      </c>
      <c r="BE7">
        <f>IF(COUNTIFS(T_StockCount[Part Name],$A7,T_StockCount[WeekIndex],56)&gt;0,SUMIFS(T_StockCount[CountedQty],T_StockCount[Part Name],$A7,T_StockCount[WeekIndex],56),IF((('T_SelfStock'!BE11&lt;&gt;""))*(('T_TTAFStock'!BE11&lt;&gt;""))&gt;0,'T_SelfStock'!BE11+'T_TTAFStock'!BE11,BD7+'Grid_Incoming'!BE7-'Grid_Requirement'!BE7))</f>
        <v/>
      </c>
      <c r="BF7">
        <f>IF(COUNTIFS(T_StockCount[Part Name],$A7,T_StockCount[WeekIndex],57)&gt;0,SUMIFS(T_StockCount[CountedQty],T_StockCount[Part Name],$A7,T_StockCount[WeekIndex],57),IF((('T_SelfStock'!BF11&lt;&gt;""))*(('T_TTAFStock'!BF11&lt;&gt;""))&gt;0,'T_SelfStock'!BF11+'T_TTAFStock'!BF11,BE7+'Grid_Incoming'!BF7-'Grid_Requirement'!BF7))</f>
        <v/>
      </c>
      <c r="BG7">
        <f>IF(COUNTIFS(T_StockCount[Part Name],$A7,T_StockCount[WeekIndex],58)&gt;0,SUMIFS(T_StockCount[CountedQty],T_StockCount[Part Name],$A7,T_StockCount[WeekIndex],58),IF((('T_SelfStock'!BG11&lt;&gt;""))*(('T_TTAFStock'!BG11&lt;&gt;""))&gt;0,'T_SelfStock'!BG11+'T_TTAFStock'!BG11,BF7+'Grid_Incoming'!BG7-'Grid_Requirement'!BG7))</f>
        <v/>
      </c>
      <c r="BH7">
        <f>IF(COUNTIFS(T_StockCount[Part Name],$A7,T_StockCount[WeekIndex],59)&gt;0,SUMIFS(T_StockCount[CountedQty],T_StockCount[Part Name],$A7,T_StockCount[WeekIndex],59),IF((('T_SelfStock'!BH11&lt;&gt;""))*(('T_TTAFStock'!BH11&lt;&gt;""))&gt;0,'T_SelfStock'!BH11+'T_TTAFStock'!BH11,BG7+'Grid_Incoming'!BH7-'Grid_Requirement'!BH7))</f>
        <v/>
      </c>
      <c r="BI7">
        <f>IF(COUNTIFS(T_StockCount[Part Name],$A7,T_StockCount[WeekIndex],60)&gt;0,SUMIFS(T_StockCount[CountedQty],T_StockCount[Part Name],$A7,T_StockCount[WeekIndex],60),IF((('T_SelfStock'!BI11&lt;&gt;""))*(('T_TTAFStock'!BI11&lt;&gt;""))&gt;0,'T_SelfStock'!BI11+'T_TTAFStock'!BI11,BH7+'Grid_Incoming'!BI7-'Grid_Requirement'!BI7))</f>
        <v/>
      </c>
      <c r="BJ7">
        <f>IF(COUNTIFS(T_StockCount[Part Name],$A7,T_StockCount[WeekIndex],61)&gt;0,SUMIFS(T_StockCount[CountedQty],T_StockCount[Part Name],$A7,T_StockCount[WeekIndex],61),IF((('T_SelfStock'!BJ11&lt;&gt;""))*(('T_TTAFStock'!BJ11&lt;&gt;""))&gt;0,'T_SelfStock'!BJ11+'T_TTAFStock'!BJ11,BI7+'Grid_Incoming'!BJ7-'Grid_Requirement'!BJ7))</f>
        <v/>
      </c>
      <c r="BK7">
        <f>IF(COUNTIFS(T_StockCount[Part Name],$A7,T_StockCount[WeekIndex],62)&gt;0,SUMIFS(T_StockCount[CountedQty],T_StockCount[Part Name],$A7,T_StockCount[WeekIndex],62),IF((('T_SelfStock'!BK11&lt;&gt;""))*(('T_TTAFStock'!BK11&lt;&gt;""))&gt;0,'T_SelfStock'!BK11+'T_TTAFStock'!BK11,BJ7+'Grid_Incoming'!BK7-'Grid_Requirement'!BK7))</f>
        <v/>
      </c>
      <c r="BL7">
        <f>IF(COUNTIFS(T_StockCount[Part Name],$A7,T_StockCount[WeekIndex],63)&gt;0,SUMIFS(T_StockCount[CountedQty],T_StockCount[Part Name],$A7,T_StockCount[WeekIndex],63),IF((('T_SelfStock'!BL11&lt;&gt;""))*(('T_TTAFStock'!BL11&lt;&gt;""))&gt;0,'T_SelfStock'!BL11+'T_TTAFStock'!BL11,BK7+'Grid_Incoming'!BL7-'Grid_Requirement'!BL7))</f>
        <v/>
      </c>
      <c r="BM7">
        <f>IF(COUNTIFS(T_StockCount[Part Name],$A7,T_StockCount[WeekIndex],64)&gt;0,SUMIFS(T_StockCount[CountedQty],T_StockCount[Part Name],$A7,T_StockCount[WeekIndex],64),IF((('T_SelfStock'!BM11&lt;&gt;""))*(('T_TTAFStock'!BM11&lt;&gt;""))&gt;0,'T_SelfStock'!BM11+'T_TTAFStock'!BM11,BL7+'Grid_Incoming'!BM7-'Grid_Requirement'!BM7))</f>
        <v/>
      </c>
      <c r="BN7">
        <f>IF(COUNTIFS(T_StockCount[Part Name],$A7,T_StockCount[WeekIndex],65)&gt;0,SUMIFS(T_StockCount[CountedQty],T_StockCount[Part Name],$A7,T_StockCount[WeekIndex],65),IF((('T_SelfStock'!BN11&lt;&gt;""))*(('T_TTAFStock'!BN11&lt;&gt;""))&gt;0,'T_SelfStock'!BN11+'T_TTAFStock'!BN11,BM7+'Grid_Incoming'!BN7-'Grid_Requirement'!BN7))</f>
        <v/>
      </c>
      <c r="BO7">
        <f>IF(COUNTIFS(T_StockCount[Part Name],$A7,T_StockCount[WeekIndex],66)&gt;0,SUMIFS(T_StockCount[CountedQty],T_StockCount[Part Name],$A7,T_StockCount[WeekIndex],66),IF((('T_SelfStock'!BO11&lt;&gt;""))*(('T_TTAFStock'!BO11&lt;&gt;""))&gt;0,'T_SelfStock'!BO11+'T_TTAFStock'!BO11,BN7+'Grid_Incoming'!BO7-'Grid_Requirement'!BO7))</f>
        <v/>
      </c>
      <c r="BP7">
        <f>IF(COUNTIFS(T_StockCount[Part Name],$A7,T_StockCount[WeekIndex],67)&gt;0,SUMIFS(T_StockCount[CountedQty],T_StockCount[Part Name],$A7,T_StockCount[WeekIndex],67),IF((('T_SelfStock'!BP11&lt;&gt;""))*(('T_TTAFStock'!BP11&lt;&gt;""))&gt;0,'T_SelfStock'!BP11+'T_TTAFStock'!BP11,BO7+'Grid_Incoming'!BP7-'Grid_Requirement'!BP7))</f>
        <v/>
      </c>
      <c r="BQ7">
        <f>IF(COUNTIFS(T_StockCount[Part Name],$A7,T_StockCount[WeekIndex],68)&gt;0,SUMIFS(T_StockCount[CountedQty],T_StockCount[Part Name],$A7,T_StockCount[WeekIndex],68),IF((('T_SelfStock'!BQ11&lt;&gt;""))*(('T_TTAFStock'!BQ11&lt;&gt;""))&gt;0,'T_SelfStock'!BQ11+'T_TTAFStock'!BQ11,BP7+'Grid_Incoming'!BQ7-'Grid_Requirement'!BQ7))</f>
        <v/>
      </c>
      <c r="BR7">
        <f>IF(COUNTIFS(T_StockCount[Part Name],$A7,T_StockCount[WeekIndex],69)&gt;0,SUMIFS(T_StockCount[CountedQty],T_StockCount[Part Name],$A7,T_StockCount[WeekIndex],69),IF((('T_SelfStock'!BR11&lt;&gt;""))*(('T_TTAFStock'!BR11&lt;&gt;""))&gt;0,'T_SelfStock'!BR11+'T_TTAFStock'!BR11,BQ7+'Grid_Incoming'!BR7-'Grid_Requirement'!BR7))</f>
        <v/>
      </c>
      <c r="BS7">
        <f>IF(COUNTIFS(T_StockCount[Part Name],$A7,T_StockCount[WeekIndex],70)&gt;0,SUMIFS(T_StockCount[CountedQty],T_StockCount[Part Name],$A7,T_StockCount[WeekIndex],70),IF((('T_SelfStock'!BS11&lt;&gt;""))*(('T_TTAFStock'!BS11&lt;&gt;""))&gt;0,'T_SelfStock'!BS11+'T_TTAFStock'!BS11,BR7+'Grid_Incoming'!BS7-'Grid_Requirement'!BS7))</f>
        <v/>
      </c>
      <c r="BT7">
        <f>IF(COUNTIFS(T_StockCount[Part Name],$A7,T_StockCount[WeekIndex],71)&gt;0,SUMIFS(T_StockCount[CountedQty],T_StockCount[Part Name],$A7,T_StockCount[WeekIndex],71),IF((('T_SelfStock'!BT11&lt;&gt;""))*(('T_TTAFStock'!BT11&lt;&gt;""))&gt;0,'T_SelfStock'!BT11+'T_TTAFStock'!BT11,BS7+'Grid_Incoming'!BT7-'Grid_Requirement'!BT7))</f>
        <v/>
      </c>
      <c r="BU7">
        <f>IF(COUNTIFS(T_StockCount[Part Name],$A7,T_StockCount[WeekIndex],72)&gt;0,SUMIFS(T_StockCount[CountedQty],T_StockCount[Part Name],$A7,T_StockCount[WeekIndex],72),IF((('T_SelfStock'!BU11&lt;&gt;""))*(('T_TTAFStock'!BU11&lt;&gt;""))&gt;0,'T_SelfStock'!BU11+'T_TTAFStock'!BU11,BT7+'Grid_Incoming'!BU7-'Grid_Requirement'!BU7))</f>
        <v/>
      </c>
      <c r="BV7">
        <f>IF(COUNTIFS(T_StockCount[Part Name],$A7,T_StockCount[WeekIndex],73)&gt;0,SUMIFS(T_StockCount[CountedQty],T_StockCount[Part Name],$A7,T_StockCount[WeekIndex],73),IF((('T_SelfStock'!BV11&lt;&gt;""))*(('T_TTAFStock'!BV11&lt;&gt;""))&gt;0,'T_SelfStock'!BV11+'T_TTAFStock'!BV11,BU7+'Grid_Incoming'!BV7-'Grid_Requirement'!BV7))</f>
        <v/>
      </c>
      <c r="BW7">
        <f>IF(COUNTIFS(T_StockCount[Part Name],$A7,T_StockCount[WeekIndex],74)&gt;0,SUMIFS(T_StockCount[CountedQty],T_StockCount[Part Name],$A7,T_StockCount[WeekIndex],74),IF((('T_SelfStock'!BW11&lt;&gt;""))*(('T_TTAFStock'!BW11&lt;&gt;""))&gt;0,'T_SelfStock'!BW11+'T_TTAFStock'!BW11,BV7+'Grid_Incoming'!BW7-'Grid_Requirement'!BW7))</f>
        <v/>
      </c>
      <c r="BX7">
        <f>IF(COUNTIFS(T_StockCount[Part Name],$A7,T_StockCount[WeekIndex],75)&gt;0,SUMIFS(T_StockCount[CountedQty],T_StockCount[Part Name],$A7,T_StockCount[WeekIndex],75),IF((('T_SelfStock'!BX11&lt;&gt;""))*(('T_TTAFStock'!BX11&lt;&gt;""))&gt;0,'T_SelfStock'!BX11+'T_TTAFStock'!BX11,BW7+'Grid_Incoming'!BX7-'Grid_Requirement'!BX7))</f>
        <v/>
      </c>
      <c r="BY7">
        <f>IF(COUNTIFS(T_StockCount[Part Name],$A7,T_StockCount[WeekIndex],76)&gt;0,SUMIFS(T_StockCount[CountedQty],T_StockCount[Part Name],$A7,T_StockCount[WeekIndex],76),IF((('T_SelfStock'!BY11&lt;&gt;""))*(('T_TTAFStock'!BY11&lt;&gt;""))&gt;0,'T_SelfStock'!BY11+'T_TTAFStock'!BY11,BX7+'Grid_Incoming'!BY7-'Grid_Requirement'!BY7))</f>
        <v/>
      </c>
      <c r="BZ7">
        <f>IF(COUNTIFS(T_StockCount[Part Name],$A7,T_StockCount[WeekIndex],77)&gt;0,SUMIFS(T_StockCount[CountedQty],T_StockCount[Part Name],$A7,T_StockCount[WeekIndex],77),IF((('T_SelfStock'!BZ11&lt;&gt;""))*(('T_TTAFStock'!BZ11&lt;&gt;""))&gt;0,'T_SelfStock'!BZ11+'T_TTAFStock'!BZ11,BY7+'Grid_Incoming'!BZ7-'Grid_Requirement'!BZ7))</f>
        <v/>
      </c>
      <c r="CA7">
        <f>IF(COUNTIFS(T_StockCount[Part Name],$A7,T_StockCount[WeekIndex],78)&gt;0,SUMIFS(T_StockCount[CountedQty],T_StockCount[Part Name],$A7,T_StockCount[WeekIndex],78),IF((('T_SelfStock'!CA11&lt;&gt;""))*(('T_TTAFStock'!CA11&lt;&gt;""))&gt;0,'T_SelfStock'!CA11+'T_TTAFStock'!CA11,BZ7+'Grid_Incoming'!CA7-'Grid_Requirement'!CA7))</f>
        <v/>
      </c>
      <c r="CB7">
        <f>IF(COUNTIFS(T_StockCount[Part Name],$A7,T_StockCount[WeekIndex],79)&gt;0,SUMIFS(T_StockCount[CountedQty],T_StockCount[Part Name],$A7,T_StockCount[WeekIndex],79),IF((('T_SelfStock'!CB11&lt;&gt;""))*(('T_TTAFStock'!CB11&lt;&gt;""))&gt;0,'T_SelfStock'!CB11+'T_TTAFStock'!CB11,CA7+'Grid_Incoming'!CB7-'Grid_Requirement'!CB7))</f>
        <v/>
      </c>
      <c r="CC7">
        <f>IF(COUNTIFS(T_StockCount[Part Name],$A7,T_StockCount[WeekIndex],80)&gt;0,SUMIFS(T_StockCount[CountedQty],T_StockCount[Part Name],$A7,T_StockCount[WeekIndex],80),IF((('T_SelfStock'!CC11&lt;&gt;""))*(('T_TTAFStock'!CC11&lt;&gt;""))&gt;0,'T_SelfStock'!CC11+'T_TTAFStock'!CC11,CB7+'Grid_Incoming'!CC7-'Grid_Requirement'!CC7))</f>
        <v/>
      </c>
      <c r="CD7">
        <f>IF(COUNTIFS(T_StockCount[Part Name],$A7,T_StockCount[WeekIndex],81)&gt;0,SUMIFS(T_StockCount[CountedQty],T_StockCount[Part Name],$A7,T_StockCount[WeekIndex],81),IF((('T_SelfStock'!CD11&lt;&gt;""))*(('T_TTAFStock'!CD11&lt;&gt;""))&gt;0,'T_SelfStock'!CD11+'T_TTAFStock'!CD11,CC7+'Grid_Incoming'!CD7-'Grid_Requirement'!CD7))</f>
        <v/>
      </c>
      <c r="CE7">
        <f>IF(COUNTIFS(T_StockCount[Part Name],$A7,T_StockCount[WeekIndex],82)&gt;0,SUMIFS(T_StockCount[CountedQty],T_StockCount[Part Name],$A7,T_StockCount[WeekIndex],82),IF((('T_SelfStock'!CE11&lt;&gt;""))*(('T_TTAFStock'!CE11&lt;&gt;""))&gt;0,'T_SelfStock'!CE11+'T_TTAFStock'!CE11,CD7+'Grid_Incoming'!CE7-'Grid_Requirement'!CE7))</f>
        <v/>
      </c>
      <c r="CF7">
        <f>IF(COUNTIFS(T_StockCount[Part Name],$A7,T_StockCount[WeekIndex],83)&gt;0,SUMIFS(T_StockCount[CountedQty],T_StockCount[Part Name],$A7,T_StockCount[WeekIndex],83),IF((('T_SelfStock'!CF11&lt;&gt;""))*(('T_TTAFStock'!CF11&lt;&gt;""))&gt;0,'T_SelfStock'!CF11+'T_TTAFStock'!CF11,CE7+'Grid_Incoming'!CF7-'Grid_Requirement'!CF7))</f>
        <v/>
      </c>
      <c r="CG7">
        <f>IF(COUNTIFS(T_StockCount[Part Name],$A7,T_StockCount[WeekIndex],84)&gt;0,SUMIFS(T_StockCount[CountedQty],T_StockCount[Part Name],$A7,T_StockCount[WeekIndex],84),IF((('T_SelfStock'!CG11&lt;&gt;""))*(('T_TTAFStock'!CG11&lt;&gt;""))&gt;0,'T_SelfStock'!CG11+'T_TTAFStock'!CG11,CF7+'Grid_Incoming'!CG7-'Grid_Requirement'!CG7))</f>
        <v/>
      </c>
      <c r="CH7">
        <f>IF(COUNTIFS(T_StockCount[Part Name],$A7,T_StockCount[WeekIndex],85)&gt;0,SUMIFS(T_StockCount[CountedQty],T_StockCount[Part Name],$A7,T_StockCount[WeekIndex],85),IF((('T_SelfStock'!CH11&lt;&gt;""))*(('T_TTAFStock'!CH11&lt;&gt;""))&gt;0,'T_SelfStock'!CH11+'T_TTAFStock'!CH11,CG7+'Grid_Incoming'!CH7-'Grid_Requirement'!CH7))</f>
        <v/>
      </c>
      <c r="CI7">
        <f>IF(COUNTIFS(T_StockCount[Part Name],$A7,T_StockCount[WeekIndex],86)&gt;0,SUMIFS(T_StockCount[CountedQty],T_StockCount[Part Name],$A7,T_StockCount[WeekIndex],86),IF((('T_SelfStock'!CI11&lt;&gt;""))*(('T_TTAFStock'!CI11&lt;&gt;""))&gt;0,'T_SelfStock'!CI11+'T_TTAFStock'!CI11,CH7+'Grid_Incoming'!CI7-'Grid_Requirement'!CI7))</f>
        <v/>
      </c>
      <c r="CJ7">
        <f>IF(COUNTIFS(T_StockCount[Part Name],$A7,T_StockCount[WeekIndex],87)&gt;0,SUMIFS(T_StockCount[CountedQty],T_StockCount[Part Name],$A7,T_StockCount[WeekIndex],87),IF((('T_SelfStock'!CJ11&lt;&gt;""))*(('T_TTAFStock'!CJ11&lt;&gt;""))&gt;0,'T_SelfStock'!CJ11+'T_TTAFStock'!CJ11,CI7+'Grid_Incoming'!CJ7-'Grid_Requirement'!CJ7))</f>
        <v/>
      </c>
      <c r="CK7">
        <f>IF(COUNTIFS(T_StockCount[Part Name],$A7,T_StockCount[WeekIndex],88)&gt;0,SUMIFS(T_StockCount[CountedQty],T_StockCount[Part Name],$A7,T_StockCount[WeekIndex],88),IF((('T_SelfStock'!CK11&lt;&gt;""))*(('T_TTAFStock'!CK11&lt;&gt;""))&gt;0,'T_SelfStock'!CK11+'T_TTAFStock'!CK11,CJ7+'Grid_Incoming'!CK7-'Grid_Requirement'!CK7))</f>
        <v/>
      </c>
      <c r="CL7">
        <f>IF(COUNTIFS(T_StockCount[Part Name],$A7,T_StockCount[WeekIndex],89)&gt;0,SUMIFS(T_StockCount[CountedQty],T_StockCount[Part Name],$A7,T_StockCount[WeekIndex],89),IF((('T_SelfStock'!CL11&lt;&gt;""))*(('T_TTAFStock'!CL11&lt;&gt;""))&gt;0,'T_SelfStock'!CL11+'T_TTAFStock'!CL11,CK7+'Grid_Incoming'!CL7-'Grid_Requirement'!CL7))</f>
        <v/>
      </c>
      <c r="CM7">
        <f>IF(COUNTIFS(T_StockCount[Part Name],$A7,T_StockCount[WeekIndex],90)&gt;0,SUMIFS(T_StockCount[CountedQty],T_StockCount[Part Name],$A7,T_StockCount[WeekIndex],90),IF((('T_SelfStock'!CM11&lt;&gt;""))*(('T_TTAFStock'!CM11&lt;&gt;""))&gt;0,'T_SelfStock'!CM11+'T_TTAFStock'!CM11,CL7+'Grid_Incoming'!CM7-'Grid_Requirement'!CM7))</f>
        <v/>
      </c>
      <c r="CN7">
        <f>IF(COUNTIFS(T_StockCount[Part Name],$A7,T_StockCount[WeekIndex],91)&gt;0,SUMIFS(T_StockCount[CountedQty],T_StockCount[Part Name],$A7,T_StockCount[WeekIndex],91),IF((('T_SelfStock'!CN11&lt;&gt;""))*(('T_TTAFStock'!CN11&lt;&gt;""))&gt;0,'T_SelfStock'!CN11+'T_TTAFStock'!CN11,CM7+'Grid_Incoming'!CN7-'Grid_Requirement'!CN7))</f>
        <v/>
      </c>
      <c r="CO7">
        <f>IF(COUNTIFS(T_StockCount[Part Name],$A7,T_StockCount[WeekIndex],92)&gt;0,SUMIFS(T_StockCount[CountedQty],T_StockCount[Part Name],$A7,T_StockCount[WeekIndex],92),IF((('T_SelfStock'!CO11&lt;&gt;""))*(('T_TTAFStock'!CO11&lt;&gt;""))&gt;0,'T_SelfStock'!CO11+'T_TTAFStock'!CO11,CN7+'Grid_Incoming'!CO7-'Grid_Requirement'!CO7))</f>
        <v/>
      </c>
      <c r="CP7">
        <f>IF(COUNTIFS(T_StockCount[Part Name],$A7,T_StockCount[WeekIndex],93)&gt;0,SUMIFS(T_StockCount[CountedQty],T_StockCount[Part Name],$A7,T_StockCount[WeekIndex],93),IF((('T_SelfStock'!CP11&lt;&gt;""))*(('T_TTAFStock'!CP11&lt;&gt;""))&gt;0,'T_SelfStock'!CP11+'T_TTAFStock'!CP11,CO7+'Grid_Incoming'!CP7-'Grid_Requirement'!CP7))</f>
        <v/>
      </c>
      <c r="CQ7">
        <f>IF(COUNTIFS(T_StockCount[Part Name],$A7,T_StockCount[WeekIndex],94)&gt;0,SUMIFS(T_StockCount[CountedQty],T_StockCount[Part Name],$A7,T_StockCount[WeekIndex],94),IF((('T_SelfStock'!CQ11&lt;&gt;""))*(('T_TTAFStock'!CQ11&lt;&gt;""))&gt;0,'T_SelfStock'!CQ11+'T_TTAFStock'!CQ11,CP7+'Grid_Incoming'!CQ7-'Grid_Requirement'!CQ7))</f>
        <v/>
      </c>
      <c r="CR7">
        <f>IF(COUNTIFS(T_StockCount[Part Name],$A7,T_StockCount[WeekIndex],95)&gt;0,SUMIFS(T_StockCount[CountedQty],T_StockCount[Part Name],$A7,T_StockCount[WeekIndex],95),IF((('T_SelfStock'!CR11&lt;&gt;""))*(('T_TTAFStock'!CR11&lt;&gt;""))&gt;0,'T_SelfStock'!CR11+'T_TTAFStock'!CR11,CQ7+'Grid_Incoming'!CR7-'Grid_Requirement'!CR7))</f>
        <v/>
      </c>
      <c r="CS7">
        <f>IF(COUNTIFS(T_StockCount[Part Name],$A7,T_StockCount[WeekIndex],96)&gt;0,SUMIFS(T_StockCount[CountedQty],T_StockCount[Part Name],$A7,T_StockCount[WeekIndex],96),IF((('T_SelfStock'!CS11&lt;&gt;""))*(('T_TTAFStock'!CS11&lt;&gt;""))&gt;0,'T_SelfStock'!CS11+'T_TTAFStock'!CS11,CR7+'Grid_Incoming'!CS7-'Grid_Requirement'!CS7))</f>
        <v/>
      </c>
      <c r="CT7">
        <f>IF(COUNTIFS(T_StockCount[Part Name],$A7,T_StockCount[WeekIndex],97)&gt;0,SUMIFS(T_StockCount[CountedQty],T_StockCount[Part Name],$A7,T_StockCount[WeekIndex],97),IF((('T_SelfStock'!CT11&lt;&gt;""))*(('T_TTAFStock'!CT11&lt;&gt;""))&gt;0,'T_SelfStock'!CT11+'T_TTAFStock'!CT11,CS7+'Grid_Incoming'!CT7-'Grid_Requirement'!CT7))</f>
        <v/>
      </c>
      <c r="CU7">
        <f>IF(COUNTIFS(T_StockCount[Part Name],$A7,T_StockCount[WeekIndex],98)&gt;0,SUMIFS(T_StockCount[CountedQty],T_StockCount[Part Name],$A7,T_StockCount[WeekIndex],98),IF((('T_SelfStock'!CU11&lt;&gt;""))*(('T_TTAFStock'!CU11&lt;&gt;""))&gt;0,'T_SelfStock'!CU11+'T_TTAFStock'!CU11,CT7+'Grid_Incoming'!CU7-'Grid_Requirement'!CU7))</f>
        <v/>
      </c>
      <c r="CV7">
        <f>IF(COUNTIFS(T_StockCount[Part Name],$A7,T_StockCount[WeekIndex],99)&gt;0,SUMIFS(T_StockCount[CountedQty],T_StockCount[Part Name],$A7,T_StockCount[WeekIndex],99),IF((('T_SelfStock'!CV11&lt;&gt;""))*(('T_TTAFStock'!CV11&lt;&gt;""))&gt;0,'T_SelfStock'!CV11+'T_TTAFStock'!CV11,CU7+'Grid_Incoming'!CV7-'Grid_Requirement'!CV7))</f>
        <v/>
      </c>
      <c r="CW7">
        <f>IF(COUNTIFS(T_StockCount[Part Name],$A7,T_StockCount[WeekIndex],100)&gt;0,SUMIFS(T_StockCount[CountedQty],T_StockCount[Part Name],$A7,T_StockCount[WeekIndex],100),IF((('T_SelfStock'!CW11&lt;&gt;""))*(('T_TTAFStock'!CW11&lt;&gt;""))&gt;0,'T_SelfStock'!CW11+'T_TTAFStock'!CW11,CV7+'Grid_Incoming'!CW7-'Grid_Requirement'!CW7))</f>
        <v/>
      </c>
      <c r="CX7">
        <f>IF(COUNTIFS(T_StockCount[Part Name],$A7,T_StockCount[WeekIndex],101)&gt;0,SUMIFS(T_StockCount[CountedQty],T_StockCount[Part Name],$A7,T_StockCount[WeekIndex],101),IF((('T_SelfStock'!CX11&lt;&gt;""))*(('T_TTAFStock'!CX11&lt;&gt;""))&gt;0,'T_SelfStock'!CX11+'T_TTAFStock'!CX11,CW7+'Grid_Incoming'!CX7-'Grid_Requirement'!CX7))</f>
        <v/>
      </c>
      <c r="CY7">
        <f>IF(COUNTIFS(T_StockCount[Part Name],$A7,T_StockCount[WeekIndex],102)&gt;0,SUMIFS(T_StockCount[CountedQty],T_StockCount[Part Name],$A7,T_StockCount[WeekIndex],102),IF((('T_SelfStock'!CY11&lt;&gt;""))*(('T_TTAFStock'!CY11&lt;&gt;""))&gt;0,'T_SelfStock'!CY11+'T_TTAFStock'!CY11,CX7+'Grid_Incoming'!CY7-'Grid_Requirement'!CY7))</f>
        <v/>
      </c>
      <c r="CZ7">
        <f>IF(COUNTIFS(T_StockCount[Part Name],$A7,T_StockCount[WeekIndex],103)&gt;0,SUMIFS(T_StockCount[CountedQty],T_StockCount[Part Name],$A7,T_StockCount[WeekIndex],103),IF((('T_SelfStock'!CZ11&lt;&gt;""))*(('T_TTAFStock'!CZ11&lt;&gt;""))&gt;0,'T_SelfStock'!CZ11+'T_TTAFStock'!CZ11,CY7+'Grid_Incoming'!CZ7-'Grid_Requirement'!CZ7))</f>
        <v/>
      </c>
      <c r="DA7">
        <f>IF(COUNTIFS(T_StockCount[Part Name],$A7,T_StockCount[WeekIndex],104)&gt;0,SUMIFS(T_StockCount[CountedQty],T_StockCount[Part Name],$A7,T_StockCount[WeekIndex],104),IF((('T_SelfStock'!DA11&lt;&gt;""))*(('T_TTAFStock'!DA11&lt;&gt;""))&gt;0,'T_SelfStock'!DA11+'T_TTAFStock'!DA11,CZ7+'Grid_Incoming'!DA7-'Grid_Requirement'!DA7))</f>
        <v/>
      </c>
    </row>
    <row r="8">
      <c r="A8" t="inlineStr">
        <is>
          <t>CHEM-1690</t>
        </is>
      </c>
      <c r="B8">
        <f>IF(COUNTIFS(T_StockCount[Part Name],$A8,T_StockCount[WeekIndex],1)&gt;0,SUMIFS(T_StockCount[CountedQty],T_StockCount[Part Name],$A8,T_StockCount[WeekIndex],1),IF((('T_SelfStock'!B12&lt;&gt;""))*(('T_TTAFStock'!B12&lt;&gt;""))&gt;0,'T_SelfStock'!B12+'T_TTAFStock'!B12,IFERROR(INDEX(T_OpeningStock[Opening_Qty],MATCH($A8,T_OpeningStock[Part Name],0)),0)+'Grid_Incoming'!B8-'Grid_Requirement'!B8))</f>
        <v/>
      </c>
      <c r="C8">
        <f>IF(COUNTIFS(T_StockCount[Part Name],$A8,T_StockCount[WeekIndex],2)&gt;0,SUMIFS(T_StockCount[CountedQty],T_StockCount[Part Name],$A8,T_StockCount[WeekIndex],2),IF((('T_SelfStock'!C12&lt;&gt;""))*(('T_TTAFStock'!C12&lt;&gt;""))&gt;0,'T_SelfStock'!C12+'T_TTAFStock'!C12,B8+'Grid_Incoming'!C8-'Grid_Requirement'!C8))</f>
        <v/>
      </c>
      <c r="D8">
        <f>IF(COUNTIFS(T_StockCount[Part Name],$A8,T_StockCount[WeekIndex],3)&gt;0,SUMIFS(T_StockCount[CountedQty],T_StockCount[Part Name],$A8,T_StockCount[WeekIndex],3),IF((('T_SelfStock'!D12&lt;&gt;""))*(('T_TTAFStock'!D12&lt;&gt;""))&gt;0,'T_SelfStock'!D12+'T_TTAFStock'!D12,C8+'Grid_Incoming'!D8-'Grid_Requirement'!D8))</f>
        <v/>
      </c>
      <c r="E8">
        <f>IF(COUNTIFS(T_StockCount[Part Name],$A8,T_StockCount[WeekIndex],4)&gt;0,SUMIFS(T_StockCount[CountedQty],T_StockCount[Part Name],$A8,T_StockCount[WeekIndex],4),IF((('T_SelfStock'!E12&lt;&gt;""))*(('T_TTAFStock'!E12&lt;&gt;""))&gt;0,'T_SelfStock'!E12+'T_TTAFStock'!E12,D8+'Grid_Incoming'!E8-'Grid_Requirement'!E8))</f>
        <v/>
      </c>
      <c r="F8">
        <f>IF(COUNTIFS(T_StockCount[Part Name],$A8,T_StockCount[WeekIndex],5)&gt;0,SUMIFS(T_StockCount[CountedQty],T_StockCount[Part Name],$A8,T_StockCount[WeekIndex],5),IF((('T_SelfStock'!F12&lt;&gt;""))*(('T_TTAFStock'!F12&lt;&gt;""))&gt;0,'T_SelfStock'!F12+'T_TTAFStock'!F12,E8+'Grid_Incoming'!F8-'Grid_Requirement'!F8))</f>
        <v/>
      </c>
      <c r="G8">
        <f>IF(COUNTIFS(T_StockCount[Part Name],$A8,T_StockCount[WeekIndex],6)&gt;0,SUMIFS(T_StockCount[CountedQty],T_StockCount[Part Name],$A8,T_StockCount[WeekIndex],6),IF((('T_SelfStock'!G12&lt;&gt;""))*(('T_TTAFStock'!G12&lt;&gt;""))&gt;0,'T_SelfStock'!G12+'T_TTAFStock'!G12,F8+'Grid_Incoming'!G8-'Grid_Requirement'!G8))</f>
        <v/>
      </c>
      <c r="H8">
        <f>IF(COUNTIFS(T_StockCount[Part Name],$A8,T_StockCount[WeekIndex],7)&gt;0,SUMIFS(T_StockCount[CountedQty],T_StockCount[Part Name],$A8,T_StockCount[WeekIndex],7),IF((('T_SelfStock'!H12&lt;&gt;""))*(('T_TTAFStock'!H12&lt;&gt;""))&gt;0,'T_SelfStock'!H12+'T_TTAFStock'!H12,G8+'Grid_Incoming'!H8-'Grid_Requirement'!H8))</f>
        <v/>
      </c>
      <c r="I8">
        <f>IF(COUNTIFS(T_StockCount[Part Name],$A8,T_StockCount[WeekIndex],8)&gt;0,SUMIFS(T_StockCount[CountedQty],T_StockCount[Part Name],$A8,T_StockCount[WeekIndex],8),IF((('T_SelfStock'!I12&lt;&gt;""))*(('T_TTAFStock'!I12&lt;&gt;""))&gt;0,'T_SelfStock'!I12+'T_TTAFStock'!I12,H8+'Grid_Incoming'!I8-'Grid_Requirement'!I8))</f>
        <v/>
      </c>
      <c r="J8">
        <f>IF(COUNTIFS(T_StockCount[Part Name],$A8,T_StockCount[WeekIndex],9)&gt;0,SUMIFS(T_StockCount[CountedQty],T_StockCount[Part Name],$A8,T_StockCount[WeekIndex],9),IF((('T_SelfStock'!J12&lt;&gt;""))*(('T_TTAFStock'!J12&lt;&gt;""))&gt;0,'T_SelfStock'!J12+'T_TTAFStock'!J12,I8+'Grid_Incoming'!J8-'Grid_Requirement'!J8))</f>
        <v/>
      </c>
      <c r="K8">
        <f>IF(COUNTIFS(T_StockCount[Part Name],$A8,T_StockCount[WeekIndex],10)&gt;0,SUMIFS(T_StockCount[CountedQty],T_StockCount[Part Name],$A8,T_StockCount[WeekIndex],10),IF((('T_SelfStock'!K12&lt;&gt;""))*(('T_TTAFStock'!K12&lt;&gt;""))&gt;0,'T_SelfStock'!K12+'T_TTAFStock'!K12,J8+'Grid_Incoming'!K8-'Grid_Requirement'!K8))</f>
        <v/>
      </c>
      <c r="L8">
        <f>IF(COUNTIFS(T_StockCount[Part Name],$A8,T_StockCount[WeekIndex],11)&gt;0,SUMIFS(T_StockCount[CountedQty],T_StockCount[Part Name],$A8,T_StockCount[WeekIndex],11),IF((('T_SelfStock'!L12&lt;&gt;""))*(('T_TTAFStock'!L12&lt;&gt;""))&gt;0,'T_SelfStock'!L12+'T_TTAFStock'!L12,K8+'Grid_Incoming'!L8-'Grid_Requirement'!L8))</f>
        <v/>
      </c>
      <c r="M8">
        <f>IF(COUNTIFS(T_StockCount[Part Name],$A8,T_StockCount[WeekIndex],12)&gt;0,SUMIFS(T_StockCount[CountedQty],T_StockCount[Part Name],$A8,T_StockCount[WeekIndex],12),IF((('T_SelfStock'!M12&lt;&gt;""))*(('T_TTAFStock'!M12&lt;&gt;""))&gt;0,'T_SelfStock'!M12+'T_TTAFStock'!M12,L8+'Grid_Incoming'!M8-'Grid_Requirement'!M8))</f>
        <v/>
      </c>
      <c r="N8">
        <f>IF(COUNTIFS(T_StockCount[Part Name],$A8,T_StockCount[WeekIndex],13)&gt;0,SUMIFS(T_StockCount[CountedQty],T_StockCount[Part Name],$A8,T_StockCount[WeekIndex],13),IF((('T_SelfStock'!N12&lt;&gt;""))*(('T_TTAFStock'!N12&lt;&gt;""))&gt;0,'T_SelfStock'!N12+'T_TTAFStock'!N12,M8+'Grid_Incoming'!N8-'Grid_Requirement'!N8))</f>
        <v/>
      </c>
      <c r="O8">
        <f>IF(COUNTIFS(T_StockCount[Part Name],$A8,T_StockCount[WeekIndex],14)&gt;0,SUMIFS(T_StockCount[CountedQty],T_StockCount[Part Name],$A8,T_StockCount[WeekIndex],14),IF((('T_SelfStock'!O12&lt;&gt;""))*(('T_TTAFStock'!O12&lt;&gt;""))&gt;0,'T_SelfStock'!O12+'T_TTAFStock'!O12,N8+'Grid_Incoming'!O8-'Grid_Requirement'!O8))</f>
        <v/>
      </c>
      <c r="P8">
        <f>IF(COUNTIFS(T_StockCount[Part Name],$A8,T_StockCount[WeekIndex],15)&gt;0,SUMIFS(T_StockCount[CountedQty],T_StockCount[Part Name],$A8,T_StockCount[WeekIndex],15),IF((('T_SelfStock'!P12&lt;&gt;""))*(('T_TTAFStock'!P12&lt;&gt;""))&gt;0,'T_SelfStock'!P12+'T_TTAFStock'!P12,O8+'Grid_Incoming'!P8-'Grid_Requirement'!P8))</f>
        <v/>
      </c>
      <c r="Q8">
        <f>IF(COUNTIFS(T_StockCount[Part Name],$A8,T_StockCount[WeekIndex],16)&gt;0,SUMIFS(T_StockCount[CountedQty],T_StockCount[Part Name],$A8,T_StockCount[WeekIndex],16),IF((('T_SelfStock'!Q12&lt;&gt;""))*(('T_TTAFStock'!Q12&lt;&gt;""))&gt;0,'T_SelfStock'!Q12+'T_TTAFStock'!Q12,P8+'Grid_Incoming'!Q8-'Grid_Requirement'!Q8))</f>
        <v/>
      </c>
      <c r="R8">
        <f>IF(COUNTIFS(T_StockCount[Part Name],$A8,T_StockCount[WeekIndex],17)&gt;0,SUMIFS(T_StockCount[CountedQty],T_StockCount[Part Name],$A8,T_StockCount[WeekIndex],17),IF((('T_SelfStock'!R12&lt;&gt;""))*(('T_TTAFStock'!R12&lt;&gt;""))&gt;0,'T_SelfStock'!R12+'T_TTAFStock'!R12,Q8+'Grid_Incoming'!R8-'Grid_Requirement'!R8))</f>
        <v/>
      </c>
      <c r="S8">
        <f>IF(COUNTIFS(T_StockCount[Part Name],$A8,T_StockCount[WeekIndex],18)&gt;0,SUMIFS(T_StockCount[CountedQty],T_StockCount[Part Name],$A8,T_StockCount[WeekIndex],18),IF((('T_SelfStock'!S12&lt;&gt;""))*(('T_TTAFStock'!S12&lt;&gt;""))&gt;0,'T_SelfStock'!S12+'T_TTAFStock'!S12,R8+'Grid_Incoming'!S8-'Grid_Requirement'!S8))</f>
        <v/>
      </c>
      <c r="T8">
        <f>IF(COUNTIFS(T_StockCount[Part Name],$A8,T_StockCount[WeekIndex],19)&gt;0,SUMIFS(T_StockCount[CountedQty],T_StockCount[Part Name],$A8,T_StockCount[WeekIndex],19),IF((('T_SelfStock'!T12&lt;&gt;""))*(('T_TTAFStock'!T12&lt;&gt;""))&gt;0,'T_SelfStock'!T12+'T_TTAFStock'!T12,S8+'Grid_Incoming'!T8-'Grid_Requirement'!T8))</f>
        <v/>
      </c>
      <c r="U8">
        <f>IF(COUNTIFS(T_StockCount[Part Name],$A8,T_StockCount[WeekIndex],20)&gt;0,SUMIFS(T_StockCount[CountedQty],T_StockCount[Part Name],$A8,T_StockCount[WeekIndex],20),IF((('T_SelfStock'!U12&lt;&gt;""))*(('T_TTAFStock'!U12&lt;&gt;""))&gt;0,'T_SelfStock'!U12+'T_TTAFStock'!U12,T8+'Grid_Incoming'!U8-'Grid_Requirement'!U8))</f>
        <v/>
      </c>
      <c r="V8">
        <f>IF(COUNTIFS(T_StockCount[Part Name],$A8,T_StockCount[WeekIndex],21)&gt;0,SUMIFS(T_StockCount[CountedQty],T_StockCount[Part Name],$A8,T_StockCount[WeekIndex],21),IF((('T_SelfStock'!V12&lt;&gt;""))*(('T_TTAFStock'!V12&lt;&gt;""))&gt;0,'T_SelfStock'!V12+'T_TTAFStock'!V12,U8+'Grid_Incoming'!V8-'Grid_Requirement'!V8))</f>
        <v/>
      </c>
      <c r="W8">
        <f>IF(COUNTIFS(T_StockCount[Part Name],$A8,T_StockCount[WeekIndex],22)&gt;0,SUMIFS(T_StockCount[CountedQty],T_StockCount[Part Name],$A8,T_StockCount[WeekIndex],22),IF((('T_SelfStock'!W12&lt;&gt;""))*(('T_TTAFStock'!W12&lt;&gt;""))&gt;0,'T_SelfStock'!W12+'T_TTAFStock'!W12,V8+'Grid_Incoming'!W8-'Grid_Requirement'!W8))</f>
        <v/>
      </c>
      <c r="X8">
        <f>IF(COUNTIFS(T_StockCount[Part Name],$A8,T_StockCount[WeekIndex],23)&gt;0,SUMIFS(T_StockCount[CountedQty],T_StockCount[Part Name],$A8,T_StockCount[WeekIndex],23),IF((('T_SelfStock'!X12&lt;&gt;""))*(('T_TTAFStock'!X12&lt;&gt;""))&gt;0,'T_SelfStock'!X12+'T_TTAFStock'!X12,W8+'Grid_Incoming'!X8-'Grid_Requirement'!X8))</f>
        <v/>
      </c>
      <c r="Y8">
        <f>IF(COUNTIFS(T_StockCount[Part Name],$A8,T_StockCount[WeekIndex],24)&gt;0,SUMIFS(T_StockCount[CountedQty],T_StockCount[Part Name],$A8,T_StockCount[WeekIndex],24),IF((('T_SelfStock'!Y12&lt;&gt;""))*(('T_TTAFStock'!Y12&lt;&gt;""))&gt;0,'T_SelfStock'!Y12+'T_TTAFStock'!Y12,X8+'Grid_Incoming'!Y8-'Grid_Requirement'!Y8))</f>
        <v/>
      </c>
      <c r="Z8">
        <f>IF(COUNTIFS(T_StockCount[Part Name],$A8,T_StockCount[WeekIndex],25)&gt;0,SUMIFS(T_StockCount[CountedQty],T_StockCount[Part Name],$A8,T_StockCount[WeekIndex],25),IF((('T_SelfStock'!Z12&lt;&gt;""))*(('T_TTAFStock'!Z12&lt;&gt;""))&gt;0,'T_SelfStock'!Z12+'T_TTAFStock'!Z12,Y8+'Grid_Incoming'!Z8-'Grid_Requirement'!Z8))</f>
        <v/>
      </c>
      <c r="AA8">
        <f>IF(COUNTIFS(T_StockCount[Part Name],$A8,T_StockCount[WeekIndex],26)&gt;0,SUMIFS(T_StockCount[CountedQty],T_StockCount[Part Name],$A8,T_StockCount[WeekIndex],26),IF((('T_SelfStock'!AA12&lt;&gt;""))*(('T_TTAFStock'!AA12&lt;&gt;""))&gt;0,'T_SelfStock'!AA12+'T_TTAFStock'!AA12,Z8+'Grid_Incoming'!AA8-'Grid_Requirement'!AA8))</f>
        <v/>
      </c>
      <c r="AB8">
        <f>IF(COUNTIFS(T_StockCount[Part Name],$A8,T_StockCount[WeekIndex],27)&gt;0,SUMIFS(T_StockCount[CountedQty],T_StockCount[Part Name],$A8,T_StockCount[WeekIndex],27),IF((('T_SelfStock'!AB12&lt;&gt;""))*(('T_TTAFStock'!AB12&lt;&gt;""))&gt;0,'T_SelfStock'!AB12+'T_TTAFStock'!AB12,AA8+'Grid_Incoming'!AB8-'Grid_Requirement'!AB8))</f>
        <v/>
      </c>
      <c r="AC8">
        <f>IF(COUNTIFS(T_StockCount[Part Name],$A8,T_StockCount[WeekIndex],28)&gt;0,SUMIFS(T_StockCount[CountedQty],T_StockCount[Part Name],$A8,T_StockCount[WeekIndex],28),IF((('T_SelfStock'!AC12&lt;&gt;""))*(('T_TTAFStock'!AC12&lt;&gt;""))&gt;0,'T_SelfStock'!AC12+'T_TTAFStock'!AC12,AB8+'Grid_Incoming'!AC8-'Grid_Requirement'!AC8))</f>
        <v/>
      </c>
      <c r="AD8">
        <f>IF(COUNTIFS(T_StockCount[Part Name],$A8,T_StockCount[WeekIndex],29)&gt;0,SUMIFS(T_StockCount[CountedQty],T_StockCount[Part Name],$A8,T_StockCount[WeekIndex],29),IF((('T_SelfStock'!AD12&lt;&gt;""))*(('T_TTAFStock'!AD12&lt;&gt;""))&gt;0,'T_SelfStock'!AD12+'T_TTAFStock'!AD12,AC8+'Grid_Incoming'!AD8-'Grid_Requirement'!AD8))</f>
        <v/>
      </c>
      <c r="AE8">
        <f>IF(COUNTIFS(T_StockCount[Part Name],$A8,T_StockCount[WeekIndex],30)&gt;0,SUMIFS(T_StockCount[CountedQty],T_StockCount[Part Name],$A8,T_StockCount[WeekIndex],30),IF((('T_SelfStock'!AE12&lt;&gt;""))*(('T_TTAFStock'!AE12&lt;&gt;""))&gt;0,'T_SelfStock'!AE12+'T_TTAFStock'!AE12,AD8+'Grid_Incoming'!AE8-'Grid_Requirement'!AE8))</f>
        <v/>
      </c>
      <c r="AF8">
        <f>IF(COUNTIFS(T_StockCount[Part Name],$A8,T_StockCount[WeekIndex],31)&gt;0,SUMIFS(T_StockCount[CountedQty],T_StockCount[Part Name],$A8,T_StockCount[WeekIndex],31),IF((('T_SelfStock'!AF12&lt;&gt;""))*(('T_TTAFStock'!AF12&lt;&gt;""))&gt;0,'T_SelfStock'!AF12+'T_TTAFStock'!AF12,AE8+'Grid_Incoming'!AF8-'Grid_Requirement'!AF8))</f>
        <v/>
      </c>
      <c r="AG8">
        <f>IF(COUNTIFS(T_StockCount[Part Name],$A8,T_StockCount[WeekIndex],32)&gt;0,SUMIFS(T_StockCount[CountedQty],T_StockCount[Part Name],$A8,T_StockCount[WeekIndex],32),IF((('T_SelfStock'!AG12&lt;&gt;""))*(('T_TTAFStock'!AG12&lt;&gt;""))&gt;0,'T_SelfStock'!AG12+'T_TTAFStock'!AG12,AF8+'Grid_Incoming'!AG8-'Grid_Requirement'!AG8))</f>
        <v/>
      </c>
      <c r="AH8">
        <f>IF(COUNTIFS(T_StockCount[Part Name],$A8,T_StockCount[WeekIndex],33)&gt;0,SUMIFS(T_StockCount[CountedQty],T_StockCount[Part Name],$A8,T_StockCount[WeekIndex],33),IF((('T_SelfStock'!AH12&lt;&gt;""))*(('T_TTAFStock'!AH12&lt;&gt;""))&gt;0,'T_SelfStock'!AH12+'T_TTAFStock'!AH12,AG8+'Grid_Incoming'!AH8-'Grid_Requirement'!AH8))</f>
        <v/>
      </c>
      <c r="AI8">
        <f>IF(COUNTIFS(T_StockCount[Part Name],$A8,T_StockCount[WeekIndex],34)&gt;0,SUMIFS(T_StockCount[CountedQty],T_StockCount[Part Name],$A8,T_StockCount[WeekIndex],34),IF((('T_SelfStock'!AI12&lt;&gt;""))*(('T_TTAFStock'!AI12&lt;&gt;""))&gt;0,'T_SelfStock'!AI12+'T_TTAFStock'!AI12,AH8+'Grid_Incoming'!AI8-'Grid_Requirement'!AI8))</f>
        <v/>
      </c>
      <c r="AJ8">
        <f>IF(COUNTIFS(T_StockCount[Part Name],$A8,T_StockCount[WeekIndex],35)&gt;0,SUMIFS(T_StockCount[CountedQty],T_StockCount[Part Name],$A8,T_StockCount[WeekIndex],35),IF((('T_SelfStock'!AJ12&lt;&gt;""))*(('T_TTAFStock'!AJ12&lt;&gt;""))&gt;0,'T_SelfStock'!AJ12+'T_TTAFStock'!AJ12,AI8+'Grid_Incoming'!AJ8-'Grid_Requirement'!AJ8))</f>
        <v/>
      </c>
      <c r="AK8">
        <f>IF(COUNTIFS(T_StockCount[Part Name],$A8,T_StockCount[WeekIndex],36)&gt;0,SUMIFS(T_StockCount[CountedQty],T_StockCount[Part Name],$A8,T_StockCount[WeekIndex],36),IF((('T_SelfStock'!AK12&lt;&gt;""))*(('T_TTAFStock'!AK12&lt;&gt;""))&gt;0,'T_SelfStock'!AK12+'T_TTAFStock'!AK12,AJ8+'Grid_Incoming'!AK8-'Grid_Requirement'!AK8))</f>
        <v/>
      </c>
      <c r="AL8">
        <f>IF(COUNTIFS(T_StockCount[Part Name],$A8,T_StockCount[WeekIndex],37)&gt;0,SUMIFS(T_StockCount[CountedQty],T_StockCount[Part Name],$A8,T_StockCount[WeekIndex],37),IF((('T_SelfStock'!AL12&lt;&gt;""))*(('T_TTAFStock'!AL12&lt;&gt;""))&gt;0,'T_SelfStock'!AL12+'T_TTAFStock'!AL12,AK8+'Grid_Incoming'!AL8-'Grid_Requirement'!AL8))</f>
        <v/>
      </c>
      <c r="AM8">
        <f>IF(COUNTIFS(T_StockCount[Part Name],$A8,T_StockCount[WeekIndex],38)&gt;0,SUMIFS(T_StockCount[CountedQty],T_StockCount[Part Name],$A8,T_StockCount[WeekIndex],38),IF((('T_SelfStock'!AM12&lt;&gt;""))*(('T_TTAFStock'!AM12&lt;&gt;""))&gt;0,'T_SelfStock'!AM12+'T_TTAFStock'!AM12,AL8+'Grid_Incoming'!AM8-'Grid_Requirement'!AM8))</f>
        <v/>
      </c>
      <c r="AN8">
        <f>IF(COUNTIFS(T_StockCount[Part Name],$A8,T_StockCount[WeekIndex],39)&gt;0,SUMIFS(T_StockCount[CountedQty],T_StockCount[Part Name],$A8,T_StockCount[WeekIndex],39),IF((('T_SelfStock'!AN12&lt;&gt;""))*(('T_TTAFStock'!AN12&lt;&gt;""))&gt;0,'T_SelfStock'!AN12+'T_TTAFStock'!AN12,AM8+'Grid_Incoming'!AN8-'Grid_Requirement'!AN8))</f>
        <v/>
      </c>
      <c r="AO8">
        <f>IF(COUNTIFS(T_StockCount[Part Name],$A8,T_StockCount[WeekIndex],40)&gt;0,SUMIFS(T_StockCount[CountedQty],T_StockCount[Part Name],$A8,T_StockCount[WeekIndex],40),IF((('T_SelfStock'!AO12&lt;&gt;""))*(('T_TTAFStock'!AO12&lt;&gt;""))&gt;0,'T_SelfStock'!AO12+'T_TTAFStock'!AO12,AN8+'Grid_Incoming'!AO8-'Grid_Requirement'!AO8))</f>
        <v/>
      </c>
      <c r="AP8">
        <f>IF(COUNTIFS(T_StockCount[Part Name],$A8,T_StockCount[WeekIndex],41)&gt;0,SUMIFS(T_StockCount[CountedQty],T_StockCount[Part Name],$A8,T_StockCount[WeekIndex],41),IF((('T_SelfStock'!AP12&lt;&gt;""))*(('T_TTAFStock'!AP12&lt;&gt;""))&gt;0,'T_SelfStock'!AP12+'T_TTAFStock'!AP12,AO8+'Grid_Incoming'!AP8-'Grid_Requirement'!AP8))</f>
        <v/>
      </c>
      <c r="AQ8">
        <f>IF(COUNTIFS(T_StockCount[Part Name],$A8,T_StockCount[WeekIndex],42)&gt;0,SUMIFS(T_StockCount[CountedQty],T_StockCount[Part Name],$A8,T_StockCount[WeekIndex],42),IF((('T_SelfStock'!AQ12&lt;&gt;""))*(('T_TTAFStock'!AQ12&lt;&gt;""))&gt;0,'T_SelfStock'!AQ12+'T_TTAFStock'!AQ12,AP8+'Grid_Incoming'!AQ8-'Grid_Requirement'!AQ8))</f>
        <v/>
      </c>
      <c r="AR8">
        <f>IF(COUNTIFS(T_StockCount[Part Name],$A8,T_StockCount[WeekIndex],43)&gt;0,SUMIFS(T_StockCount[CountedQty],T_StockCount[Part Name],$A8,T_StockCount[WeekIndex],43),IF((('T_SelfStock'!AR12&lt;&gt;""))*(('T_TTAFStock'!AR12&lt;&gt;""))&gt;0,'T_SelfStock'!AR12+'T_TTAFStock'!AR12,AQ8+'Grid_Incoming'!AR8-'Grid_Requirement'!AR8))</f>
        <v/>
      </c>
      <c r="AS8">
        <f>IF(COUNTIFS(T_StockCount[Part Name],$A8,T_StockCount[WeekIndex],44)&gt;0,SUMIFS(T_StockCount[CountedQty],T_StockCount[Part Name],$A8,T_StockCount[WeekIndex],44),IF((('T_SelfStock'!AS12&lt;&gt;""))*(('T_TTAFStock'!AS12&lt;&gt;""))&gt;0,'T_SelfStock'!AS12+'T_TTAFStock'!AS12,AR8+'Grid_Incoming'!AS8-'Grid_Requirement'!AS8))</f>
        <v/>
      </c>
      <c r="AT8">
        <f>IF(COUNTIFS(T_StockCount[Part Name],$A8,T_StockCount[WeekIndex],45)&gt;0,SUMIFS(T_StockCount[CountedQty],T_StockCount[Part Name],$A8,T_StockCount[WeekIndex],45),IF((('T_SelfStock'!AT12&lt;&gt;""))*(('T_TTAFStock'!AT12&lt;&gt;""))&gt;0,'T_SelfStock'!AT12+'T_TTAFStock'!AT12,AS8+'Grid_Incoming'!AT8-'Grid_Requirement'!AT8))</f>
        <v/>
      </c>
      <c r="AU8">
        <f>IF(COUNTIFS(T_StockCount[Part Name],$A8,T_StockCount[WeekIndex],46)&gt;0,SUMIFS(T_StockCount[CountedQty],T_StockCount[Part Name],$A8,T_StockCount[WeekIndex],46),IF((('T_SelfStock'!AU12&lt;&gt;""))*(('T_TTAFStock'!AU12&lt;&gt;""))&gt;0,'T_SelfStock'!AU12+'T_TTAFStock'!AU12,AT8+'Grid_Incoming'!AU8-'Grid_Requirement'!AU8))</f>
        <v/>
      </c>
      <c r="AV8">
        <f>IF(COUNTIFS(T_StockCount[Part Name],$A8,T_StockCount[WeekIndex],47)&gt;0,SUMIFS(T_StockCount[CountedQty],T_StockCount[Part Name],$A8,T_StockCount[WeekIndex],47),IF((('T_SelfStock'!AV12&lt;&gt;""))*(('T_TTAFStock'!AV12&lt;&gt;""))&gt;0,'T_SelfStock'!AV12+'T_TTAFStock'!AV12,AU8+'Grid_Incoming'!AV8-'Grid_Requirement'!AV8))</f>
        <v/>
      </c>
      <c r="AW8">
        <f>IF(COUNTIFS(T_StockCount[Part Name],$A8,T_StockCount[WeekIndex],48)&gt;0,SUMIFS(T_StockCount[CountedQty],T_StockCount[Part Name],$A8,T_StockCount[WeekIndex],48),IF((('T_SelfStock'!AW12&lt;&gt;""))*(('T_TTAFStock'!AW12&lt;&gt;""))&gt;0,'T_SelfStock'!AW12+'T_TTAFStock'!AW12,AV8+'Grid_Incoming'!AW8-'Grid_Requirement'!AW8))</f>
        <v/>
      </c>
      <c r="AX8">
        <f>IF(COUNTIFS(T_StockCount[Part Name],$A8,T_StockCount[WeekIndex],49)&gt;0,SUMIFS(T_StockCount[CountedQty],T_StockCount[Part Name],$A8,T_StockCount[WeekIndex],49),IF((('T_SelfStock'!AX12&lt;&gt;""))*(('T_TTAFStock'!AX12&lt;&gt;""))&gt;0,'T_SelfStock'!AX12+'T_TTAFStock'!AX12,AW8+'Grid_Incoming'!AX8-'Grid_Requirement'!AX8))</f>
        <v/>
      </c>
      <c r="AY8">
        <f>IF(COUNTIFS(T_StockCount[Part Name],$A8,T_StockCount[WeekIndex],50)&gt;0,SUMIFS(T_StockCount[CountedQty],T_StockCount[Part Name],$A8,T_StockCount[WeekIndex],50),IF((('T_SelfStock'!AY12&lt;&gt;""))*(('T_TTAFStock'!AY12&lt;&gt;""))&gt;0,'T_SelfStock'!AY12+'T_TTAFStock'!AY12,AX8+'Grid_Incoming'!AY8-'Grid_Requirement'!AY8))</f>
        <v/>
      </c>
      <c r="AZ8">
        <f>IF(COUNTIFS(T_StockCount[Part Name],$A8,T_StockCount[WeekIndex],51)&gt;0,SUMIFS(T_StockCount[CountedQty],T_StockCount[Part Name],$A8,T_StockCount[WeekIndex],51),IF((('T_SelfStock'!AZ12&lt;&gt;""))*(('T_TTAFStock'!AZ12&lt;&gt;""))&gt;0,'T_SelfStock'!AZ12+'T_TTAFStock'!AZ12,AY8+'Grid_Incoming'!AZ8-'Grid_Requirement'!AZ8))</f>
        <v/>
      </c>
      <c r="BA8">
        <f>IF(COUNTIFS(T_StockCount[Part Name],$A8,T_StockCount[WeekIndex],52)&gt;0,SUMIFS(T_StockCount[CountedQty],T_StockCount[Part Name],$A8,T_StockCount[WeekIndex],52),IF((('T_SelfStock'!BA12&lt;&gt;""))*(('T_TTAFStock'!BA12&lt;&gt;""))&gt;0,'T_SelfStock'!BA12+'T_TTAFStock'!BA12,AZ8+'Grid_Incoming'!BA8-'Grid_Requirement'!BA8))</f>
        <v/>
      </c>
      <c r="BB8">
        <f>IF(COUNTIFS(T_StockCount[Part Name],$A8,T_StockCount[WeekIndex],53)&gt;0,SUMIFS(T_StockCount[CountedQty],T_StockCount[Part Name],$A8,T_StockCount[WeekIndex],53),IF((('T_SelfStock'!BB12&lt;&gt;""))*(('T_TTAFStock'!BB12&lt;&gt;""))&gt;0,'T_SelfStock'!BB12+'T_TTAFStock'!BB12,BA8+'Grid_Incoming'!BB8-'Grid_Requirement'!BB8))</f>
        <v/>
      </c>
      <c r="BC8">
        <f>IF(COUNTIFS(T_StockCount[Part Name],$A8,T_StockCount[WeekIndex],54)&gt;0,SUMIFS(T_StockCount[CountedQty],T_StockCount[Part Name],$A8,T_StockCount[WeekIndex],54),IF((('T_SelfStock'!BC12&lt;&gt;""))*(('T_TTAFStock'!BC12&lt;&gt;""))&gt;0,'T_SelfStock'!BC12+'T_TTAFStock'!BC12,BB8+'Grid_Incoming'!BC8-'Grid_Requirement'!BC8))</f>
        <v/>
      </c>
      <c r="BD8">
        <f>IF(COUNTIFS(T_StockCount[Part Name],$A8,T_StockCount[WeekIndex],55)&gt;0,SUMIFS(T_StockCount[CountedQty],T_StockCount[Part Name],$A8,T_StockCount[WeekIndex],55),IF((('T_SelfStock'!BD12&lt;&gt;""))*(('T_TTAFStock'!BD12&lt;&gt;""))&gt;0,'T_SelfStock'!BD12+'T_TTAFStock'!BD12,BC8+'Grid_Incoming'!BD8-'Grid_Requirement'!BD8))</f>
        <v/>
      </c>
      <c r="BE8">
        <f>IF(COUNTIFS(T_StockCount[Part Name],$A8,T_StockCount[WeekIndex],56)&gt;0,SUMIFS(T_StockCount[CountedQty],T_StockCount[Part Name],$A8,T_StockCount[WeekIndex],56),IF((('T_SelfStock'!BE12&lt;&gt;""))*(('T_TTAFStock'!BE12&lt;&gt;""))&gt;0,'T_SelfStock'!BE12+'T_TTAFStock'!BE12,BD8+'Grid_Incoming'!BE8-'Grid_Requirement'!BE8))</f>
        <v/>
      </c>
      <c r="BF8">
        <f>IF(COUNTIFS(T_StockCount[Part Name],$A8,T_StockCount[WeekIndex],57)&gt;0,SUMIFS(T_StockCount[CountedQty],T_StockCount[Part Name],$A8,T_StockCount[WeekIndex],57),IF((('T_SelfStock'!BF12&lt;&gt;""))*(('T_TTAFStock'!BF12&lt;&gt;""))&gt;0,'T_SelfStock'!BF12+'T_TTAFStock'!BF12,BE8+'Grid_Incoming'!BF8-'Grid_Requirement'!BF8))</f>
        <v/>
      </c>
      <c r="BG8">
        <f>IF(COUNTIFS(T_StockCount[Part Name],$A8,T_StockCount[WeekIndex],58)&gt;0,SUMIFS(T_StockCount[CountedQty],T_StockCount[Part Name],$A8,T_StockCount[WeekIndex],58),IF((('T_SelfStock'!BG12&lt;&gt;""))*(('T_TTAFStock'!BG12&lt;&gt;""))&gt;0,'T_SelfStock'!BG12+'T_TTAFStock'!BG12,BF8+'Grid_Incoming'!BG8-'Grid_Requirement'!BG8))</f>
        <v/>
      </c>
      <c r="BH8">
        <f>IF(COUNTIFS(T_StockCount[Part Name],$A8,T_StockCount[WeekIndex],59)&gt;0,SUMIFS(T_StockCount[CountedQty],T_StockCount[Part Name],$A8,T_StockCount[WeekIndex],59),IF((('T_SelfStock'!BH12&lt;&gt;""))*(('T_TTAFStock'!BH12&lt;&gt;""))&gt;0,'T_SelfStock'!BH12+'T_TTAFStock'!BH12,BG8+'Grid_Incoming'!BH8-'Grid_Requirement'!BH8))</f>
        <v/>
      </c>
      <c r="BI8">
        <f>IF(COUNTIFS(T_StockCount[Part Name],$A8,T_StockCount[WeekIndex],60)&gt;0,SUMIFS(T_StockCount[CountedQty],T_StockCount[Part Name],$A8,T_StockCount[WeekIndex],60),IF((('T_SelfStock'!BI12&lt;&gt;""))*(('T_TTAFStock'!BI12&lt;&gt;""))&gt;0,'T_SelfStock'!BI12+'T_TTAFStock'!BI12,BH8+'Grid_Incoming'!BI8-'Grid_Requirement'!BI8))</f>
        <v/>
      </c>
      <c r="BJ8">
        <f>IF(COUNTIFS(T_StockCount[Part Name],$A8,T_StockCount[WeekIndex],61)&gt;0,SUMIFS(T_StockCount[CountedQty],T_StockCount[Part Name],$A8,T_StockCount[WeekIndex],61),IF((('T_SelfStock'!BJ12&lt;&gt;""))*(('T_TTAFStock'!BJ12&lt;&gt;""))&gt;0,'T_SelfStock'!BJ12+'T_TTAFStock'!BJ12,BI8+'Grid_Incoming'!BJ8-'Grid_Requirement'!BJ8))</f>
        <v/>
      </c>
      <c r="BK8">
        <f>IF(COUNTIFS(T_StockCount[Part Name],$A8,T_StockCount[WeekIndex],62)&gt;0,SUMIFS(T_StockCount[CountedQty],T_StockCount[Part Name],$A8,T_StockCount[WeekIndex],62),IF((('T_SelfStock'!BK12&lt;&gt;""))*(('T_TTAFStock'!BK12&lt;&gt;""))&gt;0,'T_SelfStock'!BK12+'T_TTAFStock'!BK12,BJ8+'Grid_Incoming'!BK8-'Grid_Requirement'!BK8))</f>
        <v/>
      </c>
      <c r="BL8">
        <f>IF(COUNTIFS(T_StockCount[Part Name],$A8,T_StockCount[WeekIndex],63)&gt;0,SUMIFS(T_StockCount[CountedQty],T_StockCount[Part Name],$A8,T_StockCount[WeekIndex],63),IF((('T_SelfStock'!BL12&lt;&gt;""))*(('T_TTAFStock'!BL12&lt;&gt;""))&gt;0,'T_SelfStock'!BL12+'T_TTAFStock'!BL12,BK8+'Grid_Incoming'!BL8-'Grid_Requirement'!BL8))</f>
        <v/>
      </c>
      <c r="BM8">
        <f>IF(COUNTIFS(T_StockCount[Part Name],$A8,T_StockCount[WeekIndex],64)&gt;0,SUMIFS(T_StockCount[CountedQty],T_StockCount[Part Name],$A8,T_StockCount[WeekIndex],64),IF((('T_SelfStock'!BM12&lt;&gt;""))*(('T_TTAFStock'!BM12&lt;&gt;""))&gt;0,'T_SelfStock'!BM12+'T_TTAFStock'!BM12,BL8+'Grid_Incoming'!BM8-'Grid_Requirement'!BM8))</f>
        <v/>
      </c>
      <c r="BN8">
        <f>IF(COUNTIFS(T_StockCount[Part Name],$A8,T_StockCount[WeekIndex],65)&gt;0,SUMIFS(T_StockCount[CountedQty],T_StockCount[Part Name],$A8,T_StockCount[WeekIndex],65),IF((('T_SelfStock'!BN12&lt;&gt;""))*(('T_TTAFStock'!BN12&lt;&gt;""))&gt;0,'T_SelfStock'!BN12+'T_TTAFStock'!BN12,BM8+'Grid_Incoming'!BN8-'Grid_Requirement'!BN8))</f>
        <v/>
      </c>
      <c r="BO8">
        <f>IF(COUNTIFS(T_StockCount[Part Name],$A8,T_StockCount[WeekIndex],66)&gt;0,SUMIFS(T_StockCount[CountedQty],T_StockCount[Part Name],$A8,T_StockCount[WeekIndex],66),IF((('T_SelfStock'!BO12&lt;&gt;""))*(('T_TTAFStock'!BO12&lt;&gt;""))&gt;0,'T_SelfStock'!BO12+'T_TTAFStock'!BO12,BN8+'Grid_Incoming'!BO8-'Grid_Requirement'!BO8))</f>
        <v/>
      </c>
      <c r="BP8">
        <f>IF(COUNTIFS(T_StockCount[Part Name],$A8,T_StockCount[WeekIndex],67)&gt;0,SUMIFS(T_StockCount[CountedQty],T_StockCount[Part Name],$A8,T_StockCount[WeekIndex],67),IF((('T_SelfStock'!BP12&lt;&gt;""))*(('T_TTAFStock'!BP12&lt;&gt;""))&gt;0,'T_SelfStock'!BP12+'T_TTAFStock'!BP12,BO8+'Grid_Incoming'!BP8-'Grid_Requirement'!BP8))</f>
        <v/>
      </c>
      <c r="BQ8">
        <f>IF(COUNTIFS(T_StockCount[Part Name],$A8,T_StockCount[WeekIndex],68)&gt;0,SUMIFS(T_StockCount[CountedQty],T_StockCount[Part Name],$A8,T_StockCount[WeekIndex],68),IF((('T_SelfStock'!BQ12&lt;&gt;""))*(('T_TTAFStock'!BQ12&lt;&gt;""))&gt;0,'T_SelfStock'!BQ12+'T_TTAFStock'!BQ12,BP8+'Grid_Incoming'!BQ8-'Grid_Requirement'!BQ8))</f>
        <v/>
      </c>
      <c r="BR8">
        <f>IF(COUNTIFS(T_StockCount[Part Name],$A8,T_StockCount[WeekIndex],69)&gt;0,SUMIFS(T_StockCount[CountedQty],T_StockCount[Part Name],$A8,T_StockCount[WeekIndex],69),IF((('T_SelfStock'!BR12&lt;&gt;""))*(('T_TTAFStock'!BR12&lt;&gt;""))&gt;0,'T_SelfStock'!BR12+'T_TTAFStock'!BR12,BQ8+'Grid_Incoming'!BR8-'Grid_Requirement'!BR8))</f>
        <v/>
      </c>
      <c r="BS8">
        <f>IF(COUNTIFS(T_StockCount[Part Name],$A8,T_StockCount[WeekIndex],70)&gt;0,SUMIFS(T_StockCount[CountedQty],T_StockCount[Part Name],$A8,T_StockCount[WeekIndex],70),IF((('T_SelfStock'!BS12&lt;&gt;""))*(('T_TTAFStock'!BS12&lt;&gt;""))&gt;0,'T_SelfStock'!BS12+'T_TTAFStock'!BS12,BR8+'Grid_Incoming'!BS8-'Grid_Requirement'!BS8))</f>
        <v/>
      </c>
      <c r="BT8">
        <f>IF(COUNTIFS(T_StockCount[Part Name],$A8,T_StockCount[WeekIndex],71)&gt;0,SUMIFS(T_StockCount[CountedQty],T_StockCount[Part Name],$A8,T_StockCount[WeekIndex],71),IF((('T_SelfStock'!BT12&lt;&gt;""))*(('T_TTAFStock'!BT12&lt;&gt;""))&gt;0,'T_SelfStock'!BT12+'T_TTAFStock'!BT12,BS8+'Grid_Incoming'!BT8-'Grid_Requirement'!BT8))</f>
        <v/>
      </c>
      <c r="BU8">
        <f>IF(COUNTIFS(T_StockCount[Part Name],$A8,T_StockCount[WeekIndex],72)&gt;0,SUMIFS(T_StockCount[CountedQty],T_StockCount[Part Name],$A8,T_StockCount[WeekIndex],72),IF((('T_SelfStock'!BU12&lt;&gt;""))*(('T_TTAFStock'!BU12&lt;&gt;""))&gt;0,'T_SelfStock'!BU12+'T_TTAFStock'!BU12,BT8+'Grid_Incoming'!BU8-'Grid_Requirement'!BU8))</f>
        <v/>
      </c>
      <c r="BV8">
        <f>IF(COUNTIFS(T_StockCount[Part Name],$A8,T_StockCount[WeekIndex],73)&gt;0,SUMIFS(T_StockCount[CountedQty],T_StockCount[Part Name],$A8,T_StockCount[WeekIndex],73),IF((('T_SelfStock'!BV12&lt;&gt;""))*(('T_TTAFStock'!BV12&lt;&gt;""))&gt;0,'T_SelfStock'!BV12+'T_TTAFStock'!BV12,BU8+'Grid_Incoming'!BV8-'Grid_Requirement'!BV8))</f>
        <v/>
      </c>
      <c r="BW8">
        <f>IF(COUNTIFS(T_StockCount[Part Name],$A8,T_StockCount[WeekIndex],74)&gt;0,SUMIFS(T_StockCount[CountedQty],T_StockCount[Part Name],$A8,T_StockCount[WeekIndex],74),IF((('T_SelfStock'!BW12&lt;&gt;""))*(('T_TTAFStock'!BW12&lt;&gt;""))&gt;0,'T_SelfStock'!BW12+'T_TTAFStock'!BW12,BV8+'Grid_Incoming'!BW8-'Grid_Requirement'!BW8))</f>
        <v/>
      </c>
      <c r="BX8">
        <f>IF(COUNTIFS(T_StockCount[Part Name],$A8,T_StockCount[WeekIndex],75)&gt;0,SUMIFS(T_StockCount[CountedQty],T_StockCount[Part Name],$A8,T_StockCount[WeekIndex],75),IF((('T_SelfStock'!BX12&lt;&gt;""))*(('T_TTAFStock'!BX12&lt;&gt;""))&gt;0,'T_SelfStock'!BX12+'T_TTAFStock'!BX12,BW8+'Grid_Incoming'!BX8-'Grid_Requirement'!BX8))</f>
        <v/>
      </c>
      <c r="BY8">
        <f>IF(COUNTIFS(T_StockCount[Part Name],$A8,T_StockCount[WeekIndex],76)&gt;0,SUMIFS(T_StockCount[CountedQty],T_StockCount[Part Name],$A8,T_StockCount[WeekIndex],76),IF((('T_SelfStock'!BY12&lt;&gt;""))*(('T_TTAFStock'!BY12&lt;&gt;""))&gt;0,'T_SelfStock'!BY12+'T_TTAFStock'!BY12,BX8+'Grid_Incoming'!BY8-'Grid_Requirement'!BY8))</f>
        <v/>
      </c>
      <c r="BZ8">
        <f>IF(COUNTIFS(T_StockCount[Part Name],$A8,T_StockCount[WeekIndex],77)&gt;0,SUMIFS(T_StockCount[CountedQty],T_StockCount[Part Name],$A8,T_StockCount[WeekIndex],77),IF((('T_SelfStock'!BZ12&lt;&gt;""))*(('T_TTAFStock'!BZ12&lt;&gt;""))&gt;0,'T_SelfStock'!BZ12+'T_TTAFStock'!BZ12,BY8+'Grid_Incoming'!BZ8-'Grid_Requirement'!BZ8))</f>
        <v/>
      </c>
      <c r="CA8">
        <f>IF(COUNTIFS(T_StockCount[Part Name],$A8,T_StockCount[WeekIndex],78)&gt;0,SUMIFS(T_StockCount[CountedQty],T_StockCount[Part Name],$A8,T_StockCount[WeekIndex],78),IF((('T_SelfStock'!CA12&lt;&gt;""))*(('T_TTAFStock'!CA12&lt;&gt;""))&gt;0,'T_SelfStock'!CA12+'T_TTAFStock'!CA12,BZ8+'Grid_Incoming'!CA8-'Grid_Requirement'!CA8))</f>
        <v/>
      </c>
      <c r="CB8">
        <f>IF(COUNTIFS(T_StockCount[Part Name],$A8,T_StockCount[WeekIndex],79)&gt;0,SUMIFS(T_StockCount[CountedQty],T_StockCount[Part Name],$A8,T_StockCount[WeekIndex],79),IF((('T_SelfStock'!CB12&lt;&gt;""))*(('T_TTAFStock'!CB12&lt;&gt;""))&gt;0,'T_SelfStock'!CB12+'T_TTAFStock'!CB12,CA8+'Grid_Incoming'!CB8-'Grid_Requirement'!CB8))</f>
        <v/>
      </c>
      <c r="CC8">
        <f>IF(COUNTIFS(T_StockCount[Part Name],$A8,T_StockCount[WeekIndex],80)&gt;0,SUMIFS(T_StockCount[CountedQty],T_StockCount[Part Name],$A8,T_StockCount[WeekIndex],80),IF((('T_SelfStock'!CC12&lt;&gt;""))*(('T_TTAFStock'!CC12&lt;&gt;""))&gt;0,'T_SelfStock'!CC12+'T_TTAFStock'!CC12,CB8+'Grid_Incoming'!CC8-'Grid_Requirement'!CC8))</f>
        <v/>
      </c>
      <c r="CD8">
        <f>IF(COUNTIFS(T_StockCount[Part Name],$A8,T_StockCount[WeekIndex],81)&gt;0,SUMIFS(T_StockCount[CountedQty],T_StockCount[Part Name],$A8,T_StockCount[WeekIndex],81),IF((('T_SelfStock'!CD12&lt;&gt;""))*(('T_TTAFStock'!CD12&lt;&gt;""))&gt;0,'T_SelfStock'!CD12+'T_TTAFStock'!CD12,CC8+'Grid_Incoming'!CD8-'Grid_Requirement'!CD8))</f>
        <v/>
      </c>
      <c r="CE8">
        <f>IF(COUNTIFS(T_StockCount[Part Name],$A8,T_StockCount[WeekIndex],82)&gt;0,SUMIFS(T_StockCount[CountedQty],T_StockCount[Part Name],$A8,T_StockCount[WeekIndex],82),IF((('T_SelfStock'!CE12&lt;&gt;""))*(('T_TTAFStock'!CE12&lt;&gt;""))&gt;0,'T_SelfStock'!CE12+'T_TTAFStock'!CE12,CD8+'Grid_Incoming'!CE8-'Grid_Requirement'!CE8))</f>
        <v/>
      </c>
      <c r="CF8">
        <f>IF(COUNTIFS(T_StockCount[Part Name],$A8,T_StockCount[WeekIndex],83)&gt;0,SUMIFS(T_StockCount[CountedQty],T_StockCount[Part Name],$A8,T_StockCount[WeekIndex],83),IF((('T_SelfStock'!CF12&lt;&gt;""))*(('T_TTAFStock'!CF12&lt;&gt;""))&gt;0,'T_SelfStock'!CF12+'T_TTAFStock'!CF12,CE8+'Grid_Incoming'!CF8-'Grid_Requirement'!CF8))</f>
        <v/>
      </c>
      <c r="CG8">
        <f>IF(COUNTIFS(T_StockCount[Part Name],$A8,T_StockCount[WeekIndex],84)&gt;0,SUMIFS(T_StockCount[CountedQty],T_StockCount[Part Name],$A8,T_StockCount[WeekIndex],84),IF((('T_SelfStock'!CG12&lt;&gt;""))*(('T_TTAFStock'!CG12&lt;&gt;""))&gt;0,'T_SelfStock'!CG12+'T_TTAFStock'!CG12,CF8+'Grid_Incoming'!CG8-'Grid_Requirement'!CG8))</f>
        <v/>
      </c>
      <c r="CH8">
        <f>IF(COUNTIFS(T_StockCount[Part Name],$A8,T_StockCount[WeekIndex],85)&gt;0,SUMIFS(T_StockCount[CountedQty],T_StockCount[Part Name],$A8,T_StockCount[WeekIndex],85),IF((('T_SelfStock'!CH12&lt;&gt;""))*(('T_TTAFStock'!CH12&lt;&gt;""))&gt;0,'T_SelfStock'!CH12+'T_TTAFStock'!CH12,CG8+'Grid_Incoming'!CH8-'Grid_Requirement'!CH8))</f>
        <v/>
      </c>
      <c r="CI8">
        <f>IF(COUNTIFS(T_StockCount[Part Name],$A8,T_StockCount[WeekIndex],86)&gt;0,SUMIFS(T_StockCount[CountedQty],T_StockCount[Part Name],$A8,T_StockCount[WeekIndex],86),IF((('T_SelfStock'!CI12&lt;&gt;""))*(('T_TTAFStock'!CI12&lt;&gt;""))&gt;0,'T_SelfStock'!CI12+'T_TTAFStock'!CI12,CH8+'Grid_Incoming'!CI8-'Grid_Requirement'!CI8))</f>
        <v/>
      </c>
      <c r="CJ8">
        <f>IF(COUNTIFS(T_StockCount[Part Name],$A8,T_StockCount[WeekIndex],87)&gt;0,SUMIFS(T_StockCount[CountedQty],T_StockCount[Part Name],$A8,T_StockCount[WeekIndex],87),IF((('T_SelfStock'!CJ12&lt;&gt;""))*(('T_TTAFStock'!CJ12&lt;&gt;""))&gt;0,'T_SelfStock'!CJ12+'T_TTAFStock'!CJ12,CI8+'Grid_Incoming'!CJ8-'Grid_Requirement'!CJ8))</f>
        <v/>
      </c>
      <c r="CK8">
        <f>IF(COUNTIFS(T_StockCount[Part Name],$A8,T_StockCount[WeekIndex],88)&gt;0,SUMIFS(T_StockCount[CountedQty],T_StockCount[Part Name],$A8,T_StockCount[WeekIndex],88),IF((('T_SelfStock'!CK12&lt;&gt;""))*(('T_TTAFStock'!CK12&lt;&gt;""))&gt;0,'T_SelfStock'!CK12+'T_TTAFStock'!CK12,CJ8+'Grid_Incoming'!CK8-'Grid_Requirement'!CK8))</f>
        <v/>
      </c>
      <c r="CL8">
        <f>IF(COUNTIFS(T_StockCount[Part Name],$A8,T_StockCount[WeekIndex],89)&gt;0,SUMIFS(T_StockCount[CountedQty],T_StockCount[Part Name],$A8,T_StockCount[WeekIndex],89),IF((('T_SelfStock'!CL12&lt;&gt;""))*(('T_TTAFStock'!CL12&lt;&gt;""))&gt;0,'T_SelfStock'!CL12+'T_TTAFStock'!CL12,CK8+'Grid_Incoming'!CL8-'Grid_Requirement'!CL8))</f>
        <v/>
      </c>
      <c r="CM8">
        <f>IF(COUNTIFS(T_StockCount[Part Name],$A8,T_StockCount[WeekIndex],90)&gt;0,SUMIFS(T_StockCount[CountedQty],T_StockCount[Part Name],$A8,T_StockCount[WeekIndex],90),IF((('T_SelfStock'!CM12&lt;&gt;""))*(('T_TTAFStock'!CM12&lt;&gt;""))&gt;0,'T_SelfStock'!CM12+'T_TTAFStock'!CM12,CL8+'Grid_Incoming'!CM8-'Grid_Requirement'!CM8))</f>
        <v/>
      </c>
      <c r="CN8">
        <f>IF(COUNTIFS(T_StockCount[Part Name],$A8,T_StockCount[WeekIndex],91)&gt;0,SUMIFS(T_StockCount[CountedQty],T_StockCount[Part Name],$A8,T_StockCount[WeekIndex],91),IF((('T_SelfStock'!CN12&lt;&gt;""))*(('T_TTAFStock'!CN12&lt;&gt;""))&gt;0,'T_SelfStock'!CN12+'T_TTAFStock'!CN12,CM8+'Grid_Incoming'!CN8-'Grid_Requirement'!CN8))</f>
        <v/>
      </c>
      <c r="CO8">
        <f>IF(COUNTIFS(T_StockCount[Part Name],$A8,T_StockCount[WeekIndex],92)&gt;0,SUMIFS(T_StockCount[CountedQty],T_StockCount[Part Name],$A8,T_StockCount[WeekIndex],92),IF((('T_SelfStock'!CO12&lt;&gt;""))*(('T_TTAFStock'!CO12&lt;&gt;""))&gt;0,'T_SelfStock'!CO12+'T_TTAFStock'!CO12,CN8+'Grid_Incoming'!CO8-'Grid_Requirement'!CO8))</f>
        <v/>
      </c>
      <c r="CP8">
        <f>IF(COUNTIFS(T_StockCount[Part Name],$A8,T_StockCount[WeekIndex],93)&gt;0,SUMIFS(T_StockCount[CountedQty],T_StockCount[Part Name],$A8,T_StockCount[WeekIndex],93),IF((('T_SelfStock'!CP12&lt;&gt;""))*(('T_TTAFStock'!CP12&lt;&gt;""))&gt;0,'T_SelfStock'!CP12+'T_TTAFStock'!CP12,CO8+'Grid_Incoming'!CP8-'Grid_Requirement'!CP8))</f>
        <v/>
      </c>
      <c r="CQ8">
        <f>IF(COUNTIFS(T_StockCount[Part Name],$A8,T_StockCount[WeekIndex],94)&gt;0,SUMIFS(T_StockCount[CountedQty],T_StockCount[Part Name],$A8,T_StockCount[WeekIndex],94),IF((('T_SelfStock'!CQ12&lt;&gt;""))*(('T_TTAFStock'!CQ12&lt;&gt;""))&gt;0,'T_SelfStock'!CQ12+'T_TTAFStock'!CQ12,CP8+'Grid_Incoming'!CQ8-'Grid_Requirement'!CQ8))</f>
        <v/>
      </c>
      <c r="CR8">
        <f>IF(COUNTIFS(T_StockCount[Part Name],$A8,T_StockCount[WeekIndex],95)&gt;0,SUMIFS(T_StockCount[CountedQty],T_StockCount[Part Name],$A8,T_StockCount[WeekIndex],95),IF((('T_SelfStock'!CR12&lt;&gt;""))*(('T_TTAFStock'!CR12&lt;&gt;""))&gt;0,'T_SelfStock'!CR12+'T_TTAFStock'!CR12,CQ8+'Grid_Incoming'!CR8-'Grid_Requirement'!CR8))</f>
        <v/>
      </c>
      <c r="CS8">
        <f>IF(COUNTIFS(T_StockCount[Part Name],$A8,T_StockCount[WeekIndex],96)&gt;0,SUMIFS(T_StockCount[CountedQty],T_StockCount[Part Name],$A8,T_StockCount[WeekIndex],96),IF((('T_SelfStock'!CS12&lt;&gt;""))*(('T_TTAFStock'!CS12&lt;&gt;""))&gt;0,'T_SelfStock'!CS12+'T_TTAFStock'!CS12,CR8+'Grid_Incoming'!CS8-'Grid_Requirement'!CS8))</f>
        <v/>
      </c>
      <c r="CT8">
        <f>IF(COUNTIFS(T_StockCount[Part Name],$A8,T_StockCount[WeekIndex],97)&gt;0,SUMIFS(T_StockCount[CountedQty],T_StockCount[Part Name],$A8,T_StockCount[WeekIndex],97),IF((('T_SelfStock'!CT12&lt;&gt;""))*(('T_TTAFStock'!CT12&lt;&gt;""))&gt;0,'T_SelfStock'!CT12+'T_TTAFStock'!CT12,CS8+'Grid_Incoming'!CT8-'Grid_Requirement'!CT8))</f>
        <v/>
      </c>
      <c r="CU8">
        <f>IF(COUNTIFS(T_StockCount[Part Name],$A8,T_StockCount[WeekIndex],98)&gt;0,SUMIFS(T_StockCount[CountedQty],T_StockCount[Part Name],$A8,T_StockCount[WeekIndex],98),IF((('T_SelfStock'!CU12&lt;&gt;""))*(('T_TTAFStock'!CU12&lt;&gt;""))&gt;0,'T_SelfStock'!CU12+'T_TTAFStock'!CU12,CT8+'Grid_Incoming'!CU8-'Grid_Requirement'!CU8))</f>
        <v/>
      </c>
      <c r="CV8">
        <f>IF(COUNTIFS(T_StockCount[Part Name],$A8,T_StockCount[WeekIndex],99)&gt;0,SUMIFS(T_StockCount[CountedQty],T_StockCount[Part Name],$A8,T_StockCount[WeekIndex],99),IF((('T_SelfStock'!CV12&lt;&gt;""))*(('T_TTAFStock'!CV12&lt;&gt;""))&gt;0,'T_SelfStock'!CV12+'T_TTAFStock'!CV12,CU8+'Grid_Incoming'!CV8-'Grid_Requirement'!CV8))</f>
        <v/>
      </c>
      <c r="CW8">
        <f>IF(COUNTIFS(T_StockCount[Part Name],$A8,T_StockCount[WeekIndex],100)&gt;0,SUMIFS(T_StockCount[CountedQty],T_StockCount[Part Name],$A8,T_StockCount[WeekIndex],100),IF((('T_SelfStock'!CW12&lt;&gt;""))*(('T_TTAFStock'!CW12&lt;&gt;""))&gt;0,'T_SelfStock'!CW12+'T_TTAFStock'!CW12,CV8+'Grid_Incoming'!CW8-'Grid_Requirement'!CW8))</f>
        <v/>
      </c>
      <c r="CX8">
        <f>IF(COUNTIFS(T_StockCount[Part Name],$A8,T_StockCount[WeekIndex],101)&gt;0,SUMIFS(T_StockCount[CountedQty],T_StockCount[Part Name],$A8,T_StockCount[WeekIndex],101),IF((('T_SelfStock'!CX12&lt;&gt;""))*(('T_TTAFStock'!CX12&lt;&gt;""))&gt;0,'T_SelfStock'!CX12+'T_TTAFStock'!CX12,CW8+'Grid_Incoming'!CX8-'Grid_Requirement'!CX8))</f>
        <v/>
      </c>
      <c r="CY8">
        <f>IF(COUNTIFS(T_StockCount[Part Name],$A8,T_StockCount[WeekIndex],102)&gt;0,SUMIFS(T_StockCount[CountedQty],T_StockCount[Part Name],$A8,T_StockCount[WeekIndex],102),IF((('T_SelfStock'!CY12&lt;&gt;""))*(('T_TTAFStock'!CY12&lt;&gt;""))&gt;0,'T_SelfStock'!CY12+'T_TTAFStock'!CY12,CX8+'Grid_Incoming'!CY8-'Grid_Requirement'!CY8))</f>
        <v/>
      </c>
      <c r="CZ8">
        <f>IF(COUNTIFS(T_StockCount[Part Name],$A8,T_StockCount[WeekIndex],103)&gt;0,SUMIFS(T_StockCount[CountedQty],T_StockCount[Part Name],$A8,T_StockCount[WeekIndex],103),IF((('T_SelfStock'!CZ12&lt;&gt;""))*(('T_TTAFStock'!CZ12&lt;&gt;""))&gt;0,'T_SelfStock'!CZ12+'T_TTAFStock'!CZ12,CY8+'Grid_Incoming'!CZ8-'Grid_Requirement'!CZ8))</f>
        <v/>
      </c>
      <c r="DA8">
        <f>IF(COUNTIFS(T_StockCount[Part Name],$A8,T_StockCount[WeekIndex],104)&gt;0,SUMIFS(T_StockCount[CountedQty],T_StockCount[Part Name],$A8,T_StockCount[WeekIndex],104),IF((('T_SelfStock'!DA12&lt;&gt;""))*(('T_TTAFStock'!DA12&lt;&gt;""))&gt;0,'T_SelfStock'!DA12+'T_TTAFStock'!DA12,CZ8+'Grid_Incoming'!DA8-'Grid_Requirement'!DA8))</f>
        <v/>
      </c>
    </row>
    <row r="9">
      <c r="A9" t="inlineStr">
        <is>
          <t>CHEM-1720</t>
        </is>
      </c>
      <c r="B9">
        <f>IF(COUNTIFS(T_StockCount[Part Name],$A9,T_StockCount[WeekIndex],1)&gt;0,SUMIFS(T_StockCount[CountedQty],T_StockCount[Part Name],$A9,T_StockCount[WeekIndex],1),IF((('T_SelfStock'!B13&lt;&gt;""))*(('T_TTAFStock'!B13&lt;&gt;""))&gt;0,'T_SelfStock'!B13+'T_TTAFStock'!B13,IFERROR(INDEX(T_OpeningStock[Opening_Qty],MATCH($A9,T_OpeningStock[Part Name],0)),0)+'Grid_Incoming'!B9-'Grid_Requirement'!B9))</f>
        <v/>
      </c>
      <c r="C9">
        <f>IF(COUNTIFS(T_StockCount[Part Name],$A9,T_StockCount[WeekIndex],2)&gt;0,SUMIFS(T_StockCount[CountedQty],T_StockCount[Part Name],$A9,T_StockCount[WeekIndex],2),IF((('T_SelfStock'!C13&lt;&gt;""))*(('T_TTAFStock'!C13&lt;&gt;""))&gt;0,'T_SelfStock'!C13+'T_TTAFStock'!C13,B9+'Grid_Incoming'!C9-'Grid_Requirement'!C9))</f>
        <v/>
      </c>
      <c r="D9">
        <f>IF(COUNTIFS(T_StockCount[Part Name],$A9,T_StockCount[WeekIndex],3)&gt;0,SUMIFS(T_StockCount[CountedQty],T_StockCount[Part Name],$A9,T_StockCount[WeekIndex],3),IF((('T_SelfStock'!D13&lt;&gt;""))*(('T_TTAFStock'!D13&lt;&gt;""))&gt;0,'T_SelfStock'!D13+'T_TTAFStock'!D13,C9+'Grid_Incoming'!D9-'Grid_Requirement'!D9))</f>
        <v/>
      </c>
      <c r="E9">
        <f>IF(COUNTIFS(T_StockCount[Part Name],$A9,T_StockCount[WeekIndex],4)&gt;0,SUMIFS(T_StockCount[CountedQty],T_StockCount[Part Name],$A9,T_StockCount[WeekIndex],4),IF((('T_SelfStock'!E13&lt;&gt;""))*(('T_TTAFStock'!E13&lt;&gt;""))&gt;0,'T_SelfStock'!E13+'T_TTAFStock'!E13,D9+'Grid_Incoming'!E9-'Grid_Requirement'!E9))</f>
        <v/>
      </c>
      <c r="F9">
        <f>IF(COUNTIFS(T_StockCount[Part Name],$A9,T_StockCount[WeekIndex],5)&gt;0,SUMIFS(T_StockCount[CountedQty],T_StockCount[Part Name],$A9,T_StockCount[WeekIndex],5),IF((('T_SelfStock'!F13&lt;&gt;""))*(('T_TTAFStock'!F13&lt;&gt;""))&gt;0,'T_SelfStock'!F13+'T_TTAFStock'!F13,E9+'Grid_Incoming'!F9-'Grid_Requirement'!F9))</f>
        <v/>
      </c>
      <c r="G9">
        <f>IF(COUNTIFS(T_StockCount[Part Name],$A9,T_StockCount[WeekIndex],6)&gt;0,SUMIFS(T_StockCount[CountedQty],T_StockCount[Part Name],$A9,T_StockCount[WeekIndex],6),IF((('T_SelfStock'!G13&lt;&gt;""))*(('T_TTAFStock'!G13&lt;&gt;""))&gt;0,'T_SelfStock'!G13+'T_TTAFStock'!G13,F9+'Grid_Incoming'!G9-'Grid_Requirement'!G9))</f>
        <v/>
      </c>
      <c r="H9">
        <f>IF(COUNTIFS(T_StockCount[Part Name],$A9,T_StockCount[WeekIndex],7)&gt;0,SUMIFS(T_StockCount[CountedQty],T_StockCount[Part Name],$A9,T_StockCount[WeekIndex],7),IF((('T_SelfStock'!H13&lt;&gt;""))*(('T_TTAFStock'!H13&lt;&gt;""))&gt;0,'T_SelfStock'!H13+'T_TTAFStock'!H13,G9+'Grid_Incoming'!H9-'Grid_Requirement'!H9))</f>
        <v/>
      </c>
      <c r="I9">
        <f>IF(COUNTIFS(T_StockCount[Part Name],$A9,T_StockCount[WeekIndex],8)&gt;0,SUMIFS(T_StockCount[CountedQty],T_StockCount[Part Name],$A9,T_StockCount[WeekIndex],8),IF((('T_SelfStock'!I13&lt;&gt;""))*(('T_TTAFStock'!I13&lt;&gt;""))&gt;0,'T_SelfStock'!I13+'T_TTAFStock'!I13,H9+'Grid_Incoming'!I9-'Grid_Requirement'!I9))</f>
        <v/>
      </c>
      <c r="J9">
        <f>IF(COUNTIFS(T_StockCount[Part Name],$A9,T_StockCount[WeekIndex],9)&gt;0,SUMIFS(T_StockCount[CountedQty],T_StockCount[Part Name],$A9,T_StockCount[WeekIndex],9),IF((('T_SelfStock'!J13&lt;&gt;""))*(('T_TTAFStock'!J13&lt;&gt;""))&gt;0,'T_SelfStock'!J13+'T_TTAFStock'!J13,I9+'Grid_Incoming'!J9-'Grid_Requirement'!J9))</f>
        <v/>
      </c>
      <c r="K9">
        <f>IF(COUNTIFS(T_StockCount[Part Name],$A9,T_StockCount[WeekIndex],10)&gt;0,SUMIFS(T_StockCount[CountedQty],T_StockCount[Part Name],$A9,T_StockCount[WeekIndex],10),IF((('T_SelfStock'!K13&lt;&gt;""))*(('T_TTAFStock'!K13&lt;&gt;""))&gt;0,'T_SelfStock'!K13+'T_TTAFStock'!K13,J9+'Grid_Incoming'!K9-'Grid_Requirement'!K9))</f>
        <v/>
      </c>
      <c r="L9">
        <f>IF(COUNTIFS(T_StockCount[Part Name],$A9,T_StockCount[WeekIndex],11)&gt;0,SUMIFS(T_StockCount[CountedQty],T_StockCount[Part Name],$A9,T_StockCount[WeekIndex],11),IF((('T_SelfStock'!L13&lt;&gt;""))*(('T_TTAFStock'!L13&lt;&gt;""))&gt;0,'T_SelfStock'!L13+'T_TTAFStock'!L13,K9+'Grid_Incoming'!L9-'Grid_Requirement'!L9))</f>
        <v/>
      </c>
      <c r="M9">
        <f>IF(COUNTIFS(T_StockCount[Part Name],$A9,T_StockCount[WeekIndex],12)&gt;0,SUMIFS(T_StockCount[CountedQty],T_StockCount[Part Name],$A9,T_StockCount[WeekIndex],12),IF((('T_SelfStock'!M13&lt;&gt;""))*(('T_TTAFStock'!M13&lt;&gt;""))&gt;0,'T_SelfStock'!M13+'T_TTAFStock'!M13,L9+'Grid_Incoming'!M9-'Grid_Requirement'!M9))</f>
        <v/>
      </c>
      <c r="N9">
        <f>IF(COUNTIFS(T_StockCount[Part Name],$A9,T_StockCount[WeekIndex],13)&gt;0,SUMIFS(T_StockCount[CountedQty],T_StockCount[Part Name],$A9,T_StockCount[WeekIndex],13),IF((('T_SelfStock'!N13&lt;&gt;""))*(('T_TTAFStock'!N13&lt;&gt;""))&gt;0,'T_SelfStock'!N13+'T_TTAFStock'!N13,M9+'Grid_Incoming'!N9-'Grid_Requirement'!N9))</f>
        <v/>
      </c>
      <c r="O9">
        <f>IF(COUNTIFS(T_StockCount[Part Name],$A9,T_StockCount[WeekIndex],14)&gt;0,SUMIFS(T_StockCount[CountedQty],T_StockCount[Part Name],$A9,T_StockCount[WeekIndex],14),IF((('T_SelfStock'!O13&lt;&gt;""))*(('T_TTAFStock'!O13&lt;&gt;""))&gt;0,'T_SelfStock'!O13+'T_TTAFStock'!O13,N9+'Grid_Incoming'!O9-'Grid_Requirement'!O9))</f>
        <v/>
      </c>
      <c r="P9">
        <f>IF(COUNTIFS(T_StockCount[Part Name],$A9,T_StockCount[WeekIndex],15)&gt;0,SUMIFS(T_StockCount[CountedQty],T_StockCount[Part Name],$A9,T_StockCount[WeekIndex],15),IF((('T_SelfStock'!P13&lt;&gt;""))*(('T_TTAFStock'!P13&lt;&gt;""))&gt;0,'T_SelfStock'!P13+'T_TTAFStock'!P13,O9+'Grid_Incoming'!P9-'Grid_Requirement'!P9))</f>
        <v/>
      </c>
      <c r="Q9">
        <f>IF(COUNTIFS(T_StockCount[Part Name],$A9,T_StockCount[WeekIndex],16)&gt;0,SUMIFS(T_StockCount[CountedQty],T_StockCount[Part Name],$A9,T_StockCount[WeekIndex],16),IF((('T_SelfStock'!Q13&lt;&gt;""))*(('T_TTAFStock'!Q13&lt;&gt;""))&gt;0,'T_SelfStock'!Q13+'T_TTAFStock'!Q13,P9+'Grid_Incoming'!Q9-'Grid_Requirement'!Q9))</f>
        <v/>
      </c>
      <c r="R9">
        <f>IF(COUNTIFS(T_StockCount[Part Name],$A9,T_StockCount[WeekIndex],17)&gt;0,SUMIFS(T_StockCount[CountedQty],T_StockCount[Part Name],$A9,T_StockCount[WeekIndex],17),IF((('T_SelfStock'!R13&lt;&gt;""))*(('T_TTAFStock'!R13&lt;&gt;""))&gt;0,'T_SelfStock'!R13+'T_TTAFStock'!R13,Q9+'Grid_Incoming'!R9-'Grid_Requirement'!R9))</f>
        <v/>
      </c>
      <c r="S9">
        <f>IF(COUNTIFS(T_StockCount[Part Name],$A9,T_StockCount[WeekIndex],18)&gt;0,SUMIFS(T_StockCount[CountedQty],T_StockCount[Part Name],$A9,T_StockCount[WeekIndex],18),IF((('T_SelfStock'!S13&lt;&gt;""))*(('T_TTAFStock'!S13&lt;&gt;""))&gt;0,'T_SelfStock'!S13+'T_TTAFStock'!S13,R9+'Grid_Incoming'!S9-'Grid_Requirement'!S9))</f>
        <v/>
      </c>
      <c r="T9">
        <f>IF(COUNTIFS(T_StockCount[Part Name],$A9,T_StockCount[WeekIndex],19)&gt;0,SUMIFS(T_StockCount[CountedQty],T_StockCount[Part Name],$A9,T_StockCount[WeekIndex],19),IF((('T_SelfStock'!T13&lt;&gt;""))*(('T_TTAFStock'!T13&lt;&gt;""))&gt;0,'T_SelfStock'!T13+'T_TTAFStock'!T13,S9+'Grid_Incoming'!T9-'Grid_Requirement'!T9))</f>
        <v/>
      </c>
      <c r="U9">
        <f>IF(COUNTIFS(T_StockCount[Part Name],$A9,T_StockCount[WeekIndex],20)&gt;0,SUMIFS(T_StockCount[CountedQty],T_StockCount[Part Name],$A9,T_StockCount[WeekIndex],20),IF((('T_SelfStock'!U13&lt;&gt;""))*(('T_TTAFStock'!U13&lt;&gt;""))&gt;0,'T_SelfStock'!U13+'T_TTAFStock'!U13,T9+'Grid_Incoming'!U9-'Grid_Requirement'!U9))</f>
        <v/>
      </c>
      <c r="V9">
        <f>IF(COUNTIFS(T_StockCount[Part Name],$A9,T_StockCount[WeekIndex],21)&gt;0,SUMIFS(T_StockCount[CountedQty],T_StockCount[Part Name],$A9,T_StockCount[WeekIndex],21),IF((('T_SelfStock'!V13&lt;&gt;""))*(('T_TTAFStock'!V13&lt;&gt;""))&gt;0,'T_SelfStock'!V13+'T_TTAFStock'!V13,U9+'Grid_Incoming'!V9-'Grid_Requirement'!V9))</f>
        <v/>
      </c>
      <c r="W9">
        <f>IF(COUNTIFS(T_StockCount[Part Name],$A9,T_StockCount[WeekIndex],22)&gt;0,SUMIFS(T_StockCount[CountedQty],T_StockCount[Part Name],$A9,T_StockCount[WeekIndex],22),IF((('T_SelfStock'!W13&lt;&gt;""))*(('T_TTAFStock'!W13&lt;&gt;""))&gt;0,'T_SelfStock'!W13+'T_TTAFStock'!W13,V9+'Grid_Incoming'!W9-'Grid_Requirement'!W9))</f>
        <v/>
      </c>
      <c r="X9">
        <f>IF(COUNTIFS(T_StockCount[Part Name],$A9,T_StockCount[WeekIndex],23)&gt;0,SUMIFS(T_StockCount[CountedQty],T_StockCount[Part Name],$A9,T_StockCount[WeekIndex],23),IF((('T_SelfStock'!X13&lt;&gt;""))*(('T_TTAFStock'!X13&lt;&gt;""))&gt;0,'T_SelfStock'!X13+'T_TTAFStock'!X13,W9+'Grid_Incoming'!X9-'Grid_Requirement'!X9))</f>
        <v/>
      </c>
      <c r="Y9">
        <f>IF(COUNTIFS(T_StockCount[Part Name],$A9,T_StockCount[WeekIndex],24)&gt;0,SUMIFS(T_StockCount[CountedQty],T_StockCount[Part Name],$A9,T_StockCount[WeekIndex],24),IF((('T_SelfStock'!Y13&lt;&gt;""))*(('T_TTAFStock'!Y13&lt;&gt;""))&gt;0,'T_SelfStock'!Y13+'T_TTAFStock'!Y13,X9+'Grid_Incoming'!Y9-'Grid_Requirement'!Y9))</f>
        <v/>
      </c>
      <c r="Z9">
        <f>IF(COUNTIFS(T_StockCount[Part Name],$A9,T_StockCount[WeekIndex],25)&gt;0,SUMIFS(T_StockCount[CountedQty],T_StockCount[Part Name],$A9,T_StockCount[WeekIndex],25),IF((('T_SelfStock'!Z13&lt;&gt;""))*(('T_TTAFStock'!Z13&lt;&gt;""))&gt;0,'T_SelfStock'!Z13+'T_TTAFStock'!Z13,Y9+'Grid_Incoming'!Z9-'Grid_Requirement'!Z9))</f>
        <v/>
      </c>
      <c r="AA9">
        <f>IF(COUNTIFS(T_StockCount[Part Name],$A9,T_StockCount[WeekIndex],26)&gt;0,SUMIFS(T_StockCount[CountedQty],T_StockCount[Part Name],$A9,T_StockCount[WeekIndex],26),IF((('T_SelfStock'!AA13&lt;&gt;""))*(('T_TTAFStock'!AA13&lt;&gt;""))&gt;0,'T_SelfStock'!AA13+'T_TTAFStock'!AA13,Z9+'Grid_Incoming'!AA9-'Grid_Requirement'!AA9))</f>
        <v/>
      </c>
      <c r="AB9">
        <f>IF(COUNTIFS(T_StockCount[Part Name],$A9,T_StockCount[WeekIndex],27)&gt;0,SUMIFS(T_StockCount[CountedQty],T_StockCount[Part Name],$A9,T_StockCount[WeekIndex],27),IF((('T_SelfStock'!AB13&lt;&gt;""))*(('T_TTAFStock'!AB13&lt;&gt;""))&gt;0,'T_SelfStock'!AB13+'T_TTAFStock'!AB13,AA9+'Grid_Incoming'!AB9-'Grid_Requirement'!AB9))</f>
        <v/>
      </c>
      <c r="AC9">
        <f>IF(COUNTIFS(T_StockCount[Part Name],$A9,T_StockCount[WeekIndex],28)&gt;0,SUMIFS(T_StockCount[CountedQty],T_StockCount[Part Name],$A9,T_StockCount[WeekIndex],28),IF((('T_SelfStock'!AC13&lt;&gt;""))*(('T_TTAFStock'!AC13&lt;&gt;""))&gt;0,'T_SelfStock'!AC13+'T_TTAFStock'!AC13,AB9+'Grid_Incoming'!AC9-'Grid_Requirement'!AC9))</f>
        <v/>
      </c>
      <c r="AD9">
        <f>IF(COUNTIFS(T_StockCount[Part Name],$A9,T_StockCount[WeekIndex],29)&gt;0,SUMIFS(T_StockCount[CountedQty],T_StockCount[Part Name],$A9,T_StockCount[WeekIndex],29),IF((('T_SelfStock'!AD13&lt;&gt;""))*(('T_TTAFStock'!AD13&lt;&gt;""))&gt;0,'T_SelfStock'!AD13+'T_TTAFStock'!AD13,AC9+'Grid_Incoming'!AD9-'Grid_Requirement'!AD9))</f>
        <v/>
      </c>
      <c r="AE9">
        <f>IF(COUNTIFS(T_StockCount[Part Name],$A9,T_StockCount[WeekIndex],30)&gt;0,SUMIFS(T_StockCount[CountedQty],T_StockCount[Part Name],$A9,T_StockCount[WeekIndex],30),IF((('T_SelfStock'!AE13&lt;&gt;""))*(('T_TTAFStock'!AE13&lt;&gt;""))&gt;0,'T_SelfStock'!AE13+'T_TTAFStock'!AE13,AD9+'Grid_Incoming'!AE9-'Grid_Requirement'!AE9))</f>
        <v/>
      </c>
      <c r="AF9">
        <f>IF(COUNTIFS(T_StockCount[Part Name],$A9,T_StockCount[WeekIndex],31)&gt;0,SUMIFS(T_StockCount[CountedQty],T_StockCount[Part Name],$A9,T_StockCount[WeekIndex],31),IF((('T_SelfStock'!AF13&lt;&gt;""))*(('T_TTAFStock'!AF13&lt;&gt;""))&gt;0,'T_SelfStock'!AF13+'T_TTAFStock'!AF13,AE9+'Grid_Incoming'!AF9-'Grid_Requirement'!AF9))</f>
        <v/>
      </c>
      <c r="AG9">
        <f>IF(COUNTIFS(T_StockCount[Part Name],$A9,T_StockCount[WeekIndex],32)&gt;0,SUMIFS(T_StockCount[CountedQty],T_StockCount[Part Name],$A9,T_StockCount[WeekIndex],32),IF((('T_SelfStock'!AG13&lt;&gt;""))*(('T_TTAFStock'!AG13&lt;&gt;""))&gt;0,'T_SelfStock'!AG13+'T_TTAFStock'!AG13,AF9+'Grid_Incoming'!AG9-'Grid_Requirement'!AG9))</f>
        <v/>
      </c>
      <c r="AH9">
        <f>IF(COUNTIFS(T_StockCount[Part Name],$A9,T_StockCount[WeekIndex],33)&gt;0,SUMIFS(T_StockCount[CountedQty],T_StockCount[Part Name],$A9,T_StockCount[WeekIndex],33),IF((('T_SelfStock'!AH13&lt;&gt;""))*(('T_TTAFStock'!AH13&lt;&gt;""))&gt;0,'T_SelfStock'!AH13+'T_TTAFStock'!AH13,AG9+'Grid_Incoming'!AH9-'Grid_Requirement'!AH9))</f>
        <v/>
      </c>
      <c r="AI9">
        <f>IF(COUNTIFS(T_StockCount[Part Name],$A9,T_StockCount[WeekIndex],34)&gt;0,SUMIFS(T_StockCount[CountedQty],T_StockCount[Part Name],$A9,T_StockCount[WeekIndex],34),IF((('T_SelfStock'!AI13&lt;&gt;""))*(('T_TTAFStock'!AI13&lt;&gt;""))&gt;0,'T_SelfStock'!AI13+'T_TTAFStock'!AI13,AH9+'Grid_Incoming'!AI9-'Grid_Requirement'!AI9))</f>
        <v/>
      </c>
      <c r="AJ9">
        <f>IF(COUNTIFS(T_StockCount[Part Name],$A9,T_StockCount[WeekIndex],35)&gt;0,SUMIFS(T_StockCount[CountedQty],T_StockCount[Part Name],$A9,T_StockCount[WeekIndex],35),IF((('T_SelfStock'!AJ13&lt;&gt;""))*(('T_TTAFStock'!AJ13&lt;&gt;""))&gt;0,'T_SelfStock'!AJ13+'T_TTAFStock'!AJ13,AI9+'Grid_Incoming'!AJ9-'Grid_Requirement'!AJ9))</f>
        <v/>
      </c>
      <c r="AK9">
        <f>IF(COUNTIFS(T_StockCount[Part Name],$A9,T_StockCount[WeekIndex],36)&gt;0,SUMIFS(T_StockCount[CountedQty],T_StockCount[Part Name],$A9,T_StockCount[WeekIndex],36),IF((('T_SelfStock'!AK13&lt;&gt;""))*(('T_TTAFStock'!AK13&lt;&gt;""))&gt;0,'T_SelfStock'!AK13+'T_TTAFStock'!AK13,AJ9+'Grid_Incoming'!AK9-'Grid_Requirement'!AK9))</f>
        <v/>
      </c>
      <c r="AL9">
        <f>IF(COUNTIFS(T_StockCount[Part Name],$A9,T_StockCount[WeekIndex],37)&gt;0,SUMIFS(T_StockCount[CountedQty],T_StockCount[Part Name],$A9,T_StockCount[WeekIndex],37),IF((('T_SelfStock'!AL13&lt;&gt;""))*(('T_TTAFStock'!AL13&lt;&gt;""))&gt;0,'T_SelfStock'!AL13+'T_TTAFStock'!AL13,AK9+'Grid_Incoming'!AL9-'Grid_Requirement'!AL9))</f>
        <v/>
      </c>
      <c r="AM9">
        <f>IF(COUNTIFS(T_StockCount[Part Name],$A9,T_StockCount[WeekIndex],38)&gt;0,SUMIFS(T_StockCount[CountedQty],T_StockCount[Part Name],$A9,T_StockCount[WeekIndex],38),IF((('T_SelfStock'!AM13&lt;&gt;""))*(('T_TTAFStock'!AM13&lt;&gt;""))&gt;0,'T_SelfStock'!AM13+'T_TTAFStock'!AM13,AL9+'Grid_Incoming'!AM9-'Grid_Requirement'!AM9))</f>
        <v/>
      </c>
      <c r="AN9">
        <f>IF(COUNTIFS(T_StockCount[Part Name],$A9,T_StockCount[WeekIndex],39)&gt;0,SUMIFS(T_StockCount[CountedQty],T_StockCount[Part Name],$A9,T_StockCount[WeekIndex],39),IF((('T_SelfStock'!AN13&lt;&gt;""))*(('T_TTAFStock'!AN13&lt;&gt;""))&gt;0,'T_SelfStock'!AN13+'T_TTAFStock'!AN13,AM9+'Grid_Incoming'!AN9-'Grid_Requirement'!AN9))</f>
        <v/>
      </c>
      <c r="AO9">
        <f>IF(COUNTIFS(T_StockCount[Part Name],$A9,T_StockCount[WeekIndex],40)&gt;0,SUMIFS(T_StockCount[CountedQty],T_StockCount[Part Name],$A9,T_StockCount[WeekIndex],40),IF((('T_SelfStock'!AO13&lt;&gt;""))*(('T_TTAFStock'!AO13&lt;&gt;""))&gt;0,'T_SelfStock'!AO13+'T_TTAFStock'!AO13,AN9+'Grid_Incoming'!AO9-'Grid_Requirement'!AO9))</f>
        <v/>
      </c>
      <c r="AP9">
        <f>IF(COUNTIFS(T_StockCount[Part Name],$A9,T_StockCount[WeekIndex],41)&gt;0,SUMIFS(T_StockCount[CountedQty],T_StockCount[Part Name],$A9,T_StockCount[WeekIndex],41),IF((('T_SelfStock'!AP13&lt;&gt;""))*(('T_TTAFStock'!AP13&lt;&gt;""))&gt;0,'T_SelfStock'!AP13+'T_TTAFStock'!AP13,AO9+'Grid_Incoming'!AP9-'Grid_Requirement'!AP9))</f>
        <v/>
      </c>
      <c r="AQ9">
        <f>IF(COUNTIFS(T_StockCount[Part Name],$A9,T_StockCount[WeekIndex],42)&gt;0,SUMIFS(T_StockCount[CountedQty],T_StockCount[Part Name],$A9,T_StockCount[WeekIndex],42),IF((('T_SelfStock'!AQ13&lt;&gt;""))*(('T_TTAFStock'!AQ13&lt;&gt;""))&gt;0,'T_SelfStock'!AQ13+'T_TTAFStock'!AQ13,AP9+'Grid_Incoming'!AQ9-'Grid_Requirement'!AQ9))</f>
        <v/>
      </c>
      <c r="AR9">
        <f>IF(COUNTIFS(T_StockCount[Part Name],$A9,T_StockCount[WeekIndex],43)&gt;0,SUMIFS(T_StockCount[CountedQty],T_StockCount[Part Name],$A9,T_StockCount[WeekIndex],43),IF((('T_SelfStock'!AR13&lt;&gt;""))*(('T_TTAFStock'!AR13&lt;&gt;""))&gt;0,'T_SelfStock'!AR13+'T_TTAFStock'!AR13,AQ9+'Grid_Incoming'!AR9-'Grid_Requirement'!AR9))</f>
        <v/>
      </c>
      <c r="AS9">
        <f>IF(COUNTIFS(T_StockCount[Part Name],$A9,T_StockCount[WeekIndex],44)&gt;0,SUMIFS(T_StockCount[CountedQty],T_StockCount[Part Name],$A9,T_StockCount[WeekIndex],44),IF((('T_SelfStock'!AS13&lt;&gt;""))*(('T_TTAFStock'!AS13&lt;&gt;""))&gt;0,'T_SelfStock'!AS13+'T_TTAFStock'!AS13,AR9+'Grid_Incoming'!AS9-'Grid_Requirement'!AS9))</f>
        <v/>
      </c>
      <c r="AT9">
        <f>IF(COUNTIFS(T_StockCount[Part Name],$A9,T_StockCount[WeekIndex],45)&gt;0,SUMIFS(T_StockCount[CountedQty],T_StockCount[Part Name],$A9,T_StockCount[WeekIndex],45),IF((('T_SelfStock'!AT13&lt;&gt;""))*(('T_TTAFStock'!AT13&lt;&gt;""))&gt;0,'T_SelfStock'!AT13+'T_TTAFStock'!AT13,AS9+'Grid_Incoming'!AT9-'Grid_Requirement'!AT9))</f>
        <v/>
      </c>
      <c r="AU9">
        <f>IF(COUNTIFS(T_StockCount[Part Name],$A9,T_StockCount[WeekIndex],46)&gt;0,SUMIFS(T_StockCount[CountedQty],T_StockCount[Part Name],$A9,T_StockCount[WeekIndex],46),IF((('T_SelfStock'!AU13&lt;&gt;""))*(('T_TTAFStock'!AU13&lt;&gt;""))&gt;0,'T_SelfStock'!AU13+'T_TTAFStock'!AU13,AT9+'Grid_Incoming'!AU9-'Grid_Requirement'!AU9))</f>
        <v/>
      </c>
      <c r="AV9">
        <f>IF(COUNTIFS(T_StockCount[Part Name],$A9,T_StockCount[WeekIndex],47)&gt;0,SUMIFS(T_StockCount[CountedQty],T_StockCount[Part Name],$A9,T_StockCount[WeekIndex],47),IF((('T_SelfStock'!AV13&lt;&gt;""))*(('T_TTAFStock'!AV13&lt;&gt;""))&gt;0,'T_SelfStock'!AV13+'T_TTAFStock'!AV13,AU9+'Grid_Incoming'!AV9-'Grid_Requirement'!AV9))</f>
        <v/>
      </c>
      <c r="AW9">
        <f>IF(COUNTIFS(T_StockCount[Part Name],$A9,T_StockCount[WeekIndex],48)&gt;0,SUMIFS(T_StockCount[CountedQty],T_StockCount[Part Name],$A9,T_StockCount[WeekIndex],48),IF((('T_SelfStock'!AW13&lt;&gt;""))*(('T_TTAFStock'!AW13&lt;&gt;""))&gt;0,'T_SelfStock'!AW13+'T_TTAFStock'!AW13,AV9+'Grid_Incoming'!AW9-'Grid_Requirement'!AW9))</f>
        <v/>
      </c>
      <c r="AX9">
        <f>IF(COUNTIFS(T_StockCount[Part Name],$A9,T_StockCount[WeekIndex],49)&gt;0,SUMIFS(T_StockCount[CountedQty],T_StockCount[Part Name],$A9,T_StockCount[WeekIndex],49),IF((('T_SelfStock'!AX13&lt;&gt;""))*(('T_TTAFStock'!AX13&lt;&gt;""))&gt;0,'T_SelfStock'!AX13+'T_TTAFStock'!AX13,AW9+'Grid_Incoming'!AX9-'Grid_Requirement'!AX9))</f>
        <v/>
      </c>
      <c r="AY9">
        <f>IF(COUNTIFS(T_StockCount[Part Name],$A9,T_StockCount[WeekIndex],50)&gt;0,SUMIFS(T_StockCount[CountedQty],T_StockCount[Part Name],$A9,T_StockCount[WeekIndex],50),IF((('T_SelfStock'!AY13&lt;&gt;""))*(('T_TTAFStock'!AY13&lt;&gt;""))&gt;0,'T_SelfStock'!AY13+'T_TTAFStock'!AY13,AX9+'Grid_Incoming'!AY9-'Grid_Requirement'!AY9))</f>
        <v/>
      </c>
      <c r="AZ9">
        <f>IF(COUNTIFS(T_StockCount[Part Name],$A9,T_StockCount[WeekIndex],51)&gt;0,SUMIFS(T_StockCount[CountedQty],T_StockCount[Part Name],$A9,T_StockCount[WeekIndex],51),IF((('T_SelfStock'!AZ13&lt;&gt;""))*(('T_TTAFStock'!AZ13&lt;&gt;""))&gt;0,'T_SelfStock'!AZ13+'T_TTAFStock'!AZ13,AY9+'Grid_Incoming'!AZ9-'Grid_Requirement'!AZ9))</f>
        <v/>
      </c>
      <c r="BA9">
        <f>IF(COUNTIFS(T_StockCount[Part Name],$A9,T_StockCount[WeekIndex],52)&gt;0,SUMIFS(T_StockCount[CountedQty],T_StockCount[Part Name],$A9,T_StockCount[WeekIndex],52),IF((('T_SelfStock'!BA13&lt;&gt;""))*(('T_TTAFStock'!BA13&lt;&gt;""))&gt;0,'T_SelfStock'!BA13+'T_TTAFStock'!BA13,AZ9+'Grid_Incoming'!BA9-'Grid_Requirement'!BA9))</f>
        <v/>
      </c>
      <c r="BB9">
        <f>IF(COUNTIFS(T_StockCount[Part Name],$A9,T_StockCount[WeekIndex],53)&gt;0,SUMIFS(T_StockCount[CountedQty],T_StockCount[Part Name],$A9,T_StockCount[WeekIndex],53),IF((('T_SelfStock'!BB13&lt;&gt;""))*(('T_TTAFStock'!BB13&lt;&gt;""))&gt;0,'T_SelfStock'!BB13+'T_TTAFStock'!BB13,BA9+'Grid_Incoming'!BB9-'Grid_Requirement'!BB9))</f>
        <v/>
      </c>
      <c r="BC9">
        <f>IF(COUNTIFS(T_StockCount[Part Name],$A9,T_StockCount[WeekIndex],54)&gt;0,SUMIFS(T_StockCount[CountedQty],T_StockCount[Part Name],$A9,T_StockCount[WeekIndex],54),IF((('T_SelfStock'!BC13&lt;&gt;""))*(('T_TTAFStock'!BC13&lt;&gt;""))&gt;0,'T_SelfStock'!BC13+'T_TTAFStock'!BC13,BB9+'Grid_Incoming'!BC9-'Grid_Requirement'!BC9))</f>
        <v/>
      </c>
      <c r="BD9">
        <f>IF(COUNTIFS(T_StockCount[Part Name],$A9,T_StockCount[WeekIndex],55)&gt;0,SUMIFS(T_StockCount[CountedQty],T_StockCount[Part Name],$A9,T_StockCount[WeekIndex],55),IF((('T_SelfStock'!BD13&lt;&gt;""))*(('T_TTAFStock'!BD13&lt;&gt;""))&gt;0,'T_SelfStock'!BD13+'T_TTAFStock'!BD13,BC9+'Grid_Incoming'!BD9-'Grid_Requirement'!BD9))</f>
        <v/>
      </c>
      <c r="BE9">
        <f>IF(COUNTIFS(T_StockCount[Part Name],$A9,T_StockCount[WeekIndex],56)&gt;0,SUMIFS(T_StockCount[CountedQty],T_StockCount[Part Name],$A9,T_StockCount[WeekIndex],56),IF((('T_SelfStock'!BE13&lt;&gt;""))*(('T_TTAFStock'!BE13&lt;&gt;""))&gt;0,'T_SelfStock'!BE13+'T_TTAFStock'!BE13,BD9+'Grid_Incoming'!BE9-'Grid_Requirement'!BE9))</f>
        <v/>
      </c>
      <c r="BF9">
        <f>IF(COUNTIFS(T_StockCount[Part Name],$A9,T_StockCount[WeekIndex],57)&gt;0,SUMIFS(T_StockCount[CountedQty],T_StockCount[Part Name],$A9,T_StockCount[WeekIndex],57),IF((('T_SelfStock'!BF13&lt;&gt;""))*(('T_TTAFStock'!BF13&lt;&gt;""))&gt;0,'T_SelfStock'!BF13+'T_TTAFStock'!BF13,BE9+'Grid_Incoming'!BF9-'Grid_Requirement'!BF9))</f>
        <v/>
      </c>
      <c r="BG9">
        <f>IF(COUNTIFS(T_StockCount[Part Name],$A9,T_StockCount[WeekIndex],58)&gt;0,SUMIFS(T_StockCount[CountedQty],T_StockCount[Part Name],$A9,T_StockCount[WeekIndex],58),IF((('T_SelfStock'!BG13&lt;&gt;""))*(('T_TTAFStock'!BG13&lt;&gt;""))&gt;0,'T_SelfStock'!BG13+'T_TTAFStock'!BG13,BF9+'Grid_Incoming'!BG9-'Grid_Requirement'!BG9))</f>
        <v/>
      </c>
      <c r="BH9">
        <f>IF(COUNTIFS(T_StockCount[Part Name],$A9,T_StockCount[WeekIndex],59)&gt;0,SUMIFS(T_StockCount[CountedQty],T_StockCount[Part Name],$A9,T_StockCount[WeekIndex],59),IF((('T_SelfStock'!BH13&lt;&gt;""))*(('T_TTAFStock'!BH13&lt;&gt;""))&gt;0,'T_SelfStock'!BH13+'T_TTAFStock'!BH13,BG9+'Grid_Incoming'!BH9-'Grid_Requirement'!BH9))</f>
        <v/>
      </c>
      <c r="BI9">
        <f>IF(COUNTIFS(T_StockCount[Part Name],$A9,T_StockCount[WeekIndex],60)&gt;0,SUMIFS(T_StockCount[CountedQty],T_StockCount[Part Name],$A9,T_StockCount[WeekIndex],60),IF((('T_SelfStock'!BI13&lt;&gt;""))*(('T_TTAFStock'!BI13&lt;&gt;""))&gt;0,'T_SelfStock'!BI13+'T_TTAFStock'!BI13,BH9+'Grid_Incoming'!BI9-'Grid_Requirement'!BI9))</f>
        <v/>
      </c>
      <c r="BJ9">
        <f>IF(COUNTIFS(T_StockCount[Part Name],$A9,T_StockCount[WeekIndex],61)&gt;0,SUMIFS(T_StockCount[CountedQty],T_StockCount[Part Name],$A9,T_StockCount[WeekIndex],61),IF((('T_SelfStock'!BJ13&lt;&gt;""))*(('T_TTAFStock'!BJ13&lt;&gt;""))&gt;0,'T_SelfStock'!BJ13+'T_TTAFStock'!BJ13,BI9+'Grid_Incoming'!BJ9-'Grid_Requirement'!BJ9))</f>
        <v/>
      </c>
      <c r="BK9">
        <f>IF(COUNTIFS(T_StockCount[Part Name],$A9,T_StockCount[WeekIndex],62)&gt;0,SUMIFS(T_StockCount[CountedQty],T_StockCount[Part Name],$A9,T_StockCount[WeekIndex],62),IF((('T_SelfStock'!BK13&lt;&gt;""))*(('T_TTAFStock'!BK13&lt;&gt;""))&gt;0,'T_SelfStock'!BK13+'T_TTAFStock'!BK13,BJ9+'Grid_Incoming'!BK9-'Grid_Requirement'!BK9))</f>
        <v/>
      </c>
      <c r="BL9">
        <f>IF(COUNTIFS(T_StockCount[Part Name],$A9,T_StockCount[WeekIndex],63)&gt;0,SUMIFS(T_StockCount[CountedQty],T_StockCount[Part Name],$A9,T_StockCount[WeekIndex],63),IF((('T_SelfStock'!BL13&lt;&gt;""))*(('T_TTAFStock'!BL13&lt;&gt;""))&gt;0,'T_SelfStock'!BL13+'T_TTAFStock'!BL13,BK9+'Grid_Incoming'!BL9-'Grid_Requirement'!BL9))</f>
        <v/>
      </c>
      <c r="BM9">
        <f>IF(COUNTIFS(T_StockCount[Part Name],$A9,T_StockCount[WeekIndex],64)&gt;0,SUMIFS(T_StockCount[CountedQty],T_StockCount[Part Name],$A9,T_StockCount[WeekIndex],64),IF((('T_SelfStock'!BM13&lt;&gt;""))*(('T_TTAFStock'!BM13&lt;&gt;""))&gt;0,'T_SelfStock'!BM13+'T_TTAFStock'!BM13,BL9+'Grid_Incoming'!BM9-'Grid_Requirement'!BM9))</f>
        <v/>
      </c>
      <c r="BN9">
        <f>IF(COUNTIFS(T_StockCount[Part Name],$A9,T_StockCount[WeekIndex],65)&gt;0,SUMIFS(T_StockCount[CountedQty],T_StockCount[Part Name],$A9,T_StockCount[WeekIndex],65),IF((('T_SelfStock'!BN13&lt;&gt;""))*(('T_TTAFStock'!BN13&lt;&gt;""))&gt;0,'T_SelfStock'!BN13+'T_TTAFStock'!BN13,BM9+'Grid_Incoming'!BN9-'Grid_Requirement'!BN9))</f>
        <v/>
      </c>
      <c r="BO9">
        <f>IF(COUNTIFS(T_StockCount[Part Name],$A9,T_StockCount[WeekIndex],66)&gt;0,SUMIFS(T_StockCount[CountedQty],T_StockCount[Part Name],$A9,T_StockCount[WeekIndex],66),IF((('T_SelfStock'!BO13&lt;&gt;""))*(('T_TTAFStock'!BO13&lt;&gt;""))&gt;0,'T_SelfStock'!BO13+'T_TTAFStock'!BO13,BN9+'Grid_Incoming'!BO9-'Grid_Requirement'!BO9))</f>
        <v/>
      </c>
      <c r="BP9">
        <f>IF(COUNTIFS(T_StockCount[Part Name],$A9,T_StockCount[WeekIndex],67)&gt;0,SUMIFS(T_StockCount[CountedQty],T_StockCount[Part Name],$A9,T_StockCount[WeekIndex],67),IF((('T_SelfStock'!BP13&lt;&gt;""))*(('T_TTAFStock'!BP13&lt;&gt;""))&gt;0,'T_SelfStock'!BP13+'T_TTAFStock'!BP13,BO9+'Grid_Incoming'!BP9-'Grid_Requirement'!BP9))</f>
        <v/>
      </c>
      <c r="BQ9">
        <f>IF(COUNTIFS(T_StockCount[Part Name],$A9,T_StockCount[WeekIndex],68)&gt;0,SUMIFS(T_StockCount[CountedQty],T_StockCount[Part Name],$A9,T_StockCount[WeekIndex],68),IF((('T_SelfStock'!BQ13&lt;&gt;""))*(('T_TTAFStock'!BQ13&lt;&gt;""))&gt;0,'T_SelfStock'!BQ13+'T_TTAFStock'!BQ13,BP9+'Grid_Incoming'!BQ9-'Grid_Requirement'!BQ9))</f>
        <v/>
      </c>
      <c r="BR9">
        <f>IF(COUNTIFS(T_StockCount[Part Name],$A9,T_StockCount[WeekIndex],69)&gt;0,SUMIFS(T_StockCount[CountedQty],T_StockCount[Part Name],$A9,T_StockCount[WeekIndex],69),IF((('T_SelfStock'!BR13&lt;&gt;""))*(('T_TTAFStock'!BR13&lt;&gt;""))&gt;0,'T_SelfStock'!BR13+'T_TTAFStock'!BR13,BQ9+'Grid_Incoming'!BR9-'Grid_Requirement'!BR9))</f>
        <v/>
      </c>
      <c r="BS9">
        <f>IF(COUNTIFS(T_StockCount[Part Name],$A9,T_StockCount[WeekIndex],70)&gt;0,SUMIFS(T_StockCount[CountedQty],T_StockCount[Part Name],$A9,T_StockCount[WeekIndex],70),IF((('T_SelfStock'!BS13&lt;&gt;""))*(('T_TTAFStock'!BS13&lt;&gt;""))&gt;0,'T_SelfStock'!BS13+'T_TTAFStock'!BS13,BR9+'Grid_Incoming'!BS9-'Grid_Requirement'!BS9))</f>
        <v/>
      </c>
      <c r="BT9">
        <f>IF(COUNTIFS(T_StockCount[Part Name],$A9,T_StockCount[WeekIndex],71)&gt;0,SUMIFS(T_StockCount[CountedQty],T_StockCount[Part Name],$A9,T_StockCount[WeekIndex],71),IF((('T_SelfStock'!BT13&lt;&gt;""))*(('T_TTAFStock'!BT13&lt;&gt;""))&gt;0,'T_SelfStock'!BT13+'T_TTAFStock'!BT13,BS9+'Grid_Incoming'!BT9-'Grid_Requirement'!BT9))</f>
        <v/>
      </c>
      <c r="BU9">
        <f>IF(COUNTIFS(T_StockCount[Part Name],$A9,T_StockCount[WeekIndex],72)&gt;0,SUMIFS(T_StockCount[CountedQty],T_StockCount[Part Name],$A9,T_StockCount[WeekIndex],72),IF((('T_SelfStock'!BU13&lt;&gt;""))*(('T_TTAFStock'!BU13&lt;&gt;""))&gt;0,'T_SelfStock'!BU13+'T_TTAFStock'!BU13,BT9+'Grid_Incoming'!BU9-'Grid_Requirement'!BU9))</f>
        <v/>
      </c>
      <c r="BV9">
        <f>IF(COUNTIFS(T_StockCount[Part Name],$A9,T_StockCount[WeekIndex],73)&gt;0,SUMIFS(T_StockCount[CountedQty],T_StockCount[Part Name],$A9,T_StockCount[WeekIndex],73),IF((('T_SelfStock'!BV13&lt;&gt;""))*(('T_TTAFStock'!BV13&lt;&gt;""))&gt;0,'T_SelfStock'!BV13+'T_TTAFStock'!BV13,BU9+'Grid_Incoming'!BV9-'Grid_Requirement'!BV9))</f>
        <v/>
      </c>
      <c r="BW9">
        <f>IF(COUNTIFS(T_StockCount[Part Name],$A9,T_StockCount[WeekIndex],74)&gt;0,SUMIFS(T_StockCount[CountedQty],T_StockCount[Part Name],$A9,T_StockCount[WeekIndex],74),IF((('T_SelfStock'!BW13&lt;&gt;""))*(('T_TTAFStock'!BW13&lt;&gt;""))&gt;0,'T_SelfStock'!BW13+'T_TTAFStock'!BW13,BV9+'Grid_Incoming'!BW9-'Grid_Requirement'!BW9))</f>
        <v/>
      </c>
      <c r="BX9">
        <f>IF(COUNTIFS(T_StockCount[Part Name],$A9,T_StockCount[WeekIndex],75)&gt;0,SUMIFS(T_StockCount[CountedQty],T_StockCount[Part Name],$A9,T_StockCount[WeekIndex],75),IF((('T_SelfStock'!BX13&lt;&gt;""))*(('T_TTAFStock'!BX13&lt;&gt;""))&gt;0,'T_SelfStock'!BX13+'T_TTAFStock'!BX13,BW9+'Grid_Incoming'!BX9-'Grid_Requirement'!BX9))</f>
        <v/>
      </c>
      <c r="BY9">
        <f>IF(COUNTIFS(T_StockCount[Part Name],$A9,T_StockCount[WeekIndex],76)&gt;0,SUMIFS(T_StockCount[CountedQty],T_StockCount[Part Name],$A9,T_StockCount[WeekIndex],76),IF((('T_SelfStock'!BY13&lt;&gt;""))*(('T_TTAFStock'!BY13&lt;&gt;""))&gt;0,'T_SelfStock'!BY13+'T_TTAFStock'!BY13,BX9+'Grid_Incoming'!BY9-'Grid_Requirement'!BY9))</f>
        <v/>
      </c>
      <c r="BZ9">
        <f>IF(COUNTIFS(T_StockCount[Part Name],$A9,T_StockCount[WeekIndex],77)&gt;0,SUMIFS(T_StockCount[CountedQty],T_StockCount[Part Name],$A9,T_StockCount[WeekIndex],77),IF((('T_SelfStock'!BZ13&lt;&gt;""))*(('T_TTAFStock'!BZ13&lt;&gt;""))&gt;0,'T_SelfStock'!BZ13+'T_TTAFStock'!BZ13,BY9+'Grid_Incoming'!BZ9-'Grid_Requirement'!BZ9))</f>
        <v/>
      </c>
      <c r="CA9">
        <f>IF(COUNTIFS(T_StockCount[Part Name],$A9,T_StockCount[WeekIndex],78)&gt;0,SUMIFS(T_StockCount[CountedQty],T_StockCount[Part Name],$A9,T_StockCount[WeekIndex],78),IF((('T_SelfStock'!CA13&lt;&gt;""))*(('T_TTAFStock'!CA13&lt;&gt;""))&gt;0,'T_SelfStock'!CA13+'T_TTAFStock'!CA13,BZ9+'Grid_Incoming'!CA9-'Grid_Requirement'!CA9))</f>
        <v/>
      </c>
      <c r="CB9">
        <f>IF(COUNTIFS(T_StockCount[Part Name],$A9,T_StockCount[WeekIndex],79)&gt;0,SUMIFS(T_StockCount[CountedQty],T_StockCount[Part Name],$A9,T_StockCount[WeekIndex],79),IF((('T_SelfStock'!CB13&lt;&gt;""))*(('T_TTAFStock'!CB13&lt;&gt;""))&gt;0,'T_SelfStock'!CB13+'T_TTAFStock'!CB13,CA9+'Grid_Incoming'!CB9-'Grid_Requirement'!CB9))</f>
        <v/>
      </c>
      <c r="CC9">
        <f>IF(COUNTIFS(T_StockCount[Part Name],$A9,T_StockCount[WeekIndex],80)&gt;0,SUMIFS(T_StockCount[CountedQty],T_StockCount[Part Name],$A9,T_StockCount[WeekIndex],80),IF((('T_SelfStock'!CC13&lt;&gt;""))*(('T_TTAFStock'!CC13&lt;&gt;""))&gt;0,'T_SelfStock'!CC13+'T_TTAFStock'!CC13,CB9+'Grid_Incoming'!CC9-'Grid_Requirement'!CC9))</f>
        <v/>
      </c>
      <c r="CD9">
        <f>IF(COUNTIFS(T_StockCount[Part Name],$A9,T_StockCount[WeekIndex],81)&gt;0,SUMIFS(T_StockCount[CountedQty],T_StockCount[Part Name],$A9,T_StockCount[WeekIndex],81),IF((('T_SelfStock'!CD13&lt;&gt;""))*(('T_TTAFStock'!CD13&lt;&gt;""))&gt;0,'T_SelfStock'!CD13+'T_TTAFStock'!CD13,CC9+'Grid_Incoming'!CD9-'Grid_Requirement'!CD9))</f>
        <v/>
      </c>
      <c r="CE9">
        <f>IF(COUNTIFS(T_StockCount[Part Name],$A9,T_StockCount[WeekIndex],82)&gt;0,SUMIFS(T_StockCount[CountedQty],T_StockCount[Part Name],$A9,T_StockCount[WeekIndex],82),IF((('T_SelfStock'!CE13&lt;&gt;""))*(('T_TTAFStock'!CE13&lt;&gt;""))&gt;0,'T_SelfStock'!CE13+'T_TTAFStock'!CE13,CD9+'Grid_Incoming'!CE9-'Grid_Requirement'!CE9))</f>
        <v/>
      </c>
      <c r="CF9">
        <f>IF(COUNTIFS(T_StockCount[Part Name],$A9,T_StockCount[WeekIndex],83)&gt;0,SUMIFS(T_StockCount[CountedQty],T_StockCount[Part Name],$A9,T_StockCount[WeekIndex],83),IF((('T_SelfStock'!CF13&lt;&gt;""))*(('T_TTAFStock'!CF13&lt;&gt;""))&gt;0,'T_SelfStock'!CF13+'T_TTAFStock'!CF13,CE9+'Grid_Incoming'!CF9-'Grid_Requirement'!CF9))</f>
        <v/>
      </c>
      <c r="CG9">
        <f>IF(COUNTIFS(T_StockCount[Part Name],$A9,T_StockCount[WeekIndex],84)&gt;0,SUMIFS(T_StockCount[CountedQty],T_StockCount[Part Name],$A9,T_StockCount[WeekIndex],84),IF((('T_SelfStock'!CG13&lt;&gt;""))*(('T_TTAFStock'!CG13&lt;&gt;""))&gt;0,'T_SelfStock'!CG13+'T_TTAFStock'!CG13,CF9+'Grid_Incoming'!CG9-'Grid_Requirement'!CG9))</f>
        <v/>
      </c>
      <c r="CH9">
        <f>IF(COUNTIFS(T_StockCount[Part Name],$A9,T_StockCount[WeekIndex],85)&gt;0,SUMIFS(T_StockCount[CountedQty],T_StockCount[Part Name],$A9,T_StockCount[WeekIndex],85),IF((('T_SelfStock'!CH13&lt;&gt;""))*(('T_TTAFStock'!CH13&lt;&gt;""))&gt;0,'T_SelfStock'!CH13+'T_TTAFStock'!CH13,CG9+'Grid_Incoming'!CH9-'Grid_Requirement'!CH9))</f>
        <v/>
      </c>
      <c r="CI9">
        <f>IF(COUNTIFS(T_StockCount[Part Name],$A9,T_StockCount[WeekIndex],86)&gt;0,SUMIFS(T_StockCount[CountedQty],T_StockCount[Part Name],$A9,T_StockCount[WeekIndex],86),IF((('T_SelfStock'!CI13&lt;&gt;""))*(('T_TTAFStock'!CI13&lt;&gt;""))&gt;0,'T_SelfStock'!CI13+'T_TTAFStock'!CI13,CH9+'Grid_Incoming'!CI9-'Grid_Requirement'!CI9))</f>
        <v/>
      </c>
      <c r="CJ9">
        <f>IF(COUNTIFS(T_StockCount[Part Name],$A9,T_StockCount[WeekIndex],87)&gt;0,SUMIFS(T_StockCount[CountedQty],T_StockCount[Part Name],$A9,T_StockCount[WeekIndex],87),IF((('T_SelfStock'!CJ13&lt;&gt;""))*(('T_TTAFStock'!CJ13&lt;&gt;""))&gt;0,'T_SelfStock'!CJ13+'T_TTAFStock'!CJ13,CI9+'Grid_Incoming'!CJ9-'Grid_Requirement'!CJ9))</f>
        <v/>
      </c>
      <c r="CK9">
        <f>IF(COUNTIFS(T_StockCount[Part Name],$A9,T_StockCount[WeekIndex],88)&gt;0,SUMIFS(T_StockCount[CountedQty],T_StockCount[Part Name],$A9,T_StockCount[WeekIndex],88),IF((('T_SelfStock'!CK13&lt;&gt;""))*(('T_TTAFStock'!CK13&lt;&gt;""))&gt;0,'T_SelfStock'!CK13+'T_TTAFStock'!CK13,CJ9+'Grid_Incoming'!CK9-'Grid_Requirement'!CK9))</f>
        <v/>
      </c>
      <c r="CL9">
        <f>IF(COUNTIFS(T_StockCount[Part Name],$A9,T_StockCount[WeekIndex],89)&gt;0,SUMIFS(T_StockCount[CountedQty],T_StockCount[Part Name],$A9,T_StockCount[WeekIndex],89),IF((('T_SelfStock'!CL13&lt;&gt;""))*(('T_TTAFStock'!CL13&lt;&gt;""))&gt;0,'T_SelfStock'!CL13+'T_TTAFStock'!CL13,CK9+'Grid_Incoming'!CL9-'Grid_Requirement'!CL9))</f>
        <v/>
      </c>
      <c r="CM9">
        <f>IF(COUNTIFS(T_StockCount[Part Name],$A9,T_StockCount[WeekIndex],90)&gt;0,SUMIFS(T_StockCount[CountedQty],T_StockCount[Part Name],$A9,T_StockCount[WeekIndex],90),IF((('T_SelfStock'!CM13&lt;&gt;""))*(('T_TTAFStock'!CM13&lt;&gt;""))&gt;0,'T_SelfStock'!CM13+'T_TTAFStock'!CM13,CL9+'Grid_Incoming'!CM9-'Grid_Requirement'!CM9))</f>
        <v/>
      </c>
      <c r="CN9">
        <f>IF(COUNTIFS(T_StockCount[Part Name],$A9,T_StockCount[WeekIndex],91)&gt;0,SUMIFS(T_StockCount[CountedQty],T_StockCount[Part Name],$A9,T_StockCount[WeekIndex],91),IF((('T_SelfStock'!CN13&lt;&gt;""))*(('T_TTAFStock'!CN13&lt;&gt;""))&gt;0,'T_SelfStock'!CN13+'T_TTAFStock'!CN13,CM9+'Grid_Incoming'!CN9-'Grid_Requirement'!CN9))</f>
        <v/>
      </c>
      <c r="CO9">
        <f>IF(COUNTIFS(T_StockCount[Part Name],$A9,T_StockCount[WeekIndex],92)&gt;0,SUMIFS(T_StockCount[CountedQty],T_StockCount[Part Name],$A9,T_StockCount[WeekIndex],92),IF((('T_SelfStock'!CO13&lt;&gt;""))*(('T_TTAFStock'!CO13&lt;&gt;""))&gt;0,'T_SelfStock'!CO13+'T_TTAFStock'!CO13,CN9+'Grid_Incoming'!CO9-'Grid_Requirement'!CO9))</f>
        <v/>
      </c>
      <c r="CP9">
        <f>IF(COUNTIFS(T_StockCount[Part Name],$A9,T_StockCount[WeekIndex],93)&gt;0,SUMIFS(T_StockCount[CountedQty],T_StockCount[Part Name],$A9,T_StockCount[WeekIndex],93),IF((('T_SelfStock'!CP13&lt;&gt;""))*(('T_TTAFStock'!CP13&lt;&gt;""))&gt;0,'T_SelfStock'!CP13+'T_TTAFStock'!CP13,CO9+'Grid_Incoming'!CP9-'Grid_Requirement'!CP9))</f>
        <v/>
      </c>
      <c r="CQ9">
        <f>IF(COUNTIFS(T_StockCount[Part Name],$A9,T_StockCount[WeekIndex],94)&gt;0,SUMIFS(T_StockCount[CountedQty],T_StockCount[Part Name],$A9,T_StockCount[WeekIndex],94),IF((('T_SelfStock'!CQ13&lt;&gt;""))*(('T_TTAFStock'!CQ13&lt;&gt;""))&gt;0,'T_SelfStock'!CQ13+'T_TTAFStock'!CQ13,CP9+'Grid_Incoming'!CQ9-'Grid_Requirement'!CQ9))</f>
        <v/>
      </c>
      <c r="CR9">
        <f>IF(COUNTIFS(T_StockCount[Part Name],$A9,T_StockCount[WeekIndex],95)&gt;0,SUMIFS(T_StockCount[CountedQty],T_StockCount[Part Name],$A9,T_StockCount[WeekIndex],95),IF((('T_SelfStock'!CR13&lt;&gt;""))*(('T_TTAFStock'!CR13&lt;&gt;""))&gt;0,'T_SelfStock'!CR13+'T_TTAFStock'!CR13,CQ9+'Grid_Incoming'!CR9-'Grid_Requirement'!CR9))</f>
        <v/>
      </c>
      <c r="CS9">
        <f>IF(COUNTIFS(T_StockCount[Part Name],$A9,T_StockCount[WeekIndex],96)&gt;0,SUMIFS(T_StockCount[CountedQty],T_StockCount[Part Name],$A9,T_StockCount[WeekIndex],96),IF((('T_SelfStock'!CS13&lt;&gt;""))*(('T_TTAFStock'!CS13&lt;&gt;""))&gt;0,'T_SelfStock'!CS13+'T_TTAFStock'!CS13,CR9+'Grid_Incoming'!CS9-'Grid_Requirement'!CS9))</f>
        <v/>
      </c>
      <c r="CT9">
        <f>IF(COUNTIFS(T_StockCount[Part Name],$A9,T_StockCount[WeekIndex],97)&gt;0,SUMIFS(T_StockCount[CountedQty],T_StockCount[Part Name],$A9,T_StockCount[WeekIndex],97),IF((('T_SelfStock'!CT13&lt;&gt;""))*(('T_TTAFStock'!CT13&lt;&gt;""))&gt;0,'T_SelfStock'!CT13+'T_TTAFStock'!CT13,CS9+'Grid_Incoming'!CT9-'Grid_Requirement'!CT9))</f>
        <v/>
      </c>
      <c r="CU9">
        <f>IF(COUNTIFS(T_StockCount[Part Name],$A9,T_StockCount[WeekIndex],98)&gt;0,SUMIFS(T_StockCount[CountedQty],T_StockCount[Part Name],$A9,T_StockCount[WeekIndex],98),IF((('T_SelfStock'!CU13&lt;&gt;""))*(('T_TTAFStock'!CU13&lt;&gt;""))&gt;0,'T_SelfStock'!CU13+'T_TTAFStock'!CU13,CT9+'Grid_Incoming'!CU9-'Grid_Requirement'!CU9))</f>
        <v/>
      </c>
      <c r="CV9">
        <f>IF(COUNTIFS(T_StockCount[Part Name],$A9,T_StockCount[WeekIndex],99)&gt;0,SUMIFS(T_StockCount[CountedQty],T_StockCount[Part Name],$A9,T_StockCount[WeekIndex],99),IF((('T_SelfStock'!CV13&lt;&gt;""))*(('T_TTAFStock'!CV13&lt;&gt;""))&gt;0,'T_SelfStock'!CV13+'T_TTAFStock'!CV13,CU9+'Grid_Incoming'!CV9-'Grid_Requirement'!CV9))</f>
        <v/>
      </c>
      <c r="CW9">
        <f>IF(COUNTIFS(T_StockCount[Part Name],$A9,T_StockCount[WeekIndex],100)&gt;0,SUMIFS(T_StockCount[CountedQty],T_StockCount[Part Name],$A9,T_StockCount[WeekIndex],100),IF((('T_SelfStock'!CW13&lt;&gt;""))*(('T_TTAFStock'!CW13&lt;&gt;""))&gt;0,'T_SelfStock'!CW13+'T_TTAFStock'!CW13,CV9+'Grid_Incoming'!CW9-'Grid_Requirement'!CW9))</f>
        <v/>
      </c>
      <c r="CX9">
        <f>IF(COUNTIFS(T_StockCount[Part Name],$A9,T_StockCount[WeekIndex],101)&gt;0,SUMIFS(T_StockCount[CountedQty],T_StockCount[Part Name],$A9,T_StockCount[WeekIndex],101),IF((('T_SelfStock'!CX13&lt;&gt;""))*(('T_TTAFStock'!CX13&lt;&gt;""))&gt;0,'T_SelfStock'!CX13+'T_TTAFStock'!CX13,CW9+'Grid_Incoming'!CX9-'Grid_Requirement'!CX9))</f>
        <v/>
      </c>
      <c r="CY9">
        <f>IF(COUNTIFS(T_StockCount[Part Name],$A9,T_StockCount[WeekIndex],102)&gt;0,SUMIFS(T_StockCount[CountedQty],T_StockCount[Part Name],$A9,T_StockCount[WeekIndex],102),IF((('T_SelfStock'!CY13&lt;&gt;""))*(('T_TTAFStock'!CY13&lt;&gt;""))&gt;0,'T_SelfStock'!CY13+'T_TTAFStock'!CY13,CX9+'Grid_Incoming'!CY9-'Grid_Requirement'!CY9))</f>
        <v/>
      </c>
      <c r="CZ9">
        <f>IF(COUNTIFS(T_StockCount[Part Name],$A9,T_StockCount[WeekIndex],103)&gt;0,SUMIFS(T_StockCount[CountedQty],T_StockCount[Part Name],$A9,T_StockCount[WeekIndex],103),IF((('T_SelfStock'!CZ13&lt;&gt;""))*(('T_TTAFStock'!CZ13&lt;&gt;""))&gt;0,'T_SelfStock'!CZ13+'T_TTAFStock'!CZ13,CY9+'Grid_Incoming'!CZ9-'Grid_Requirement'!CZ9))</f>
        <v/>
      </c>
      <c r="DA9">
        <f>IF(COUNTIFS(T_StockCount[Part Name],$A9,T_StockCount[WeekIndex],104)&gt;0,SUMIFS(T_StockCount[CountedQty],T_StockCount[Part Name],$A9,T_StockCount[WeekIndex],104),IF((('T_SelfStock'!DA13&lt;&gt;""))*(('T_TTAFStock'!DA13&lt;&gt;""))&gt;0,'T_SelfStock'!DA13+'T_TTAFStock'!DA13,CZ9+'Grid_Incoming'!DA9-'Grid_Requirement'!DA9))</f>
        <v/>
      </c>
    </row>
    <row r="10">
      <c r="A10" t="inlineStr">
        <is>
          <t>CHEM-1440</t>
        </is>
      </c>
      <c r="B10">
        <f>IF(COUNTIFS(T_StockCount[Part Name],$A10,T_StockCount[WeekIndex],1)&gt;0,SUMIFS(T_StockCount[CountedQty],T_StockCount[Part Name],$A10,T_StockCount[WeekIndex],1),IF((('T_SelfStock'!B14&lt;&gt;""))*(('T_TTAFStock'!B14&lt;&gt;""))&gt;0,'T_SelfStock'!B14+'T_TTAFStock'!B14,IFERROR(INDEX(T_OpeningStock[Opening_Qty],MATCH($A10,T_OpeningStock[Part Name],0)),0)+'Grid_Incoming'!B10-'Grid_Requirement'!B10))</f>
        <v/>
      </c>
      <c r="C10">
        <f>IF(COUNTIFS(T_StockCount[Part Name],$A10,T_StockCount[WeekIndex],2)&gt;0,SUMIFS(T_StockCount[CountedQty],T_StockCount[Part Name],$A10,T_StockCount[WeekIndex],2),IF((('T_SelfStock'!C14&lt;&gt;""))*(('T_TTAFStock'!C14&lt;&gt;""))&gt;0,'T_SelfStock'!C14+'T_TTAFStock'!C14,B10+'Grid_Incoming'!C10-'Grid_Requirement'!C10))</f>
        <v/>
      </c>
      <c r="D10">
        <f>IF(COUNTIFS(T_StockCount[Part Name],$A10,T_StockCount[WeekIndex],3)&gt;0,SUMIFS(T_StockCount[CountedQty],T_StockCount[Part Name],$A10,T_StockCount[WeekIndex],3),IF((('T_SelfStock'!D14&lt;&gt;""))*(('T_TTAFStock'!D14&lt;&gt;""))&gt;0,'T_SelfStock'!D14+'T_TTAFStock'!D14,C10+'Grid_Incoming'!D10-'Grid_Requirement'!D10))</f>
        <v/>
      </c>
      <c r="E10">
        <f>IF(COUNTIFS(T_StockCount[Part Name],$A10,T_StockCount[WeekIndex],4)&gt;0,SUMIFS(T_StockCount[CountedQty],T_StockCount[Part Name],$A10,T_StockCount[WeekIndex],4),IF((('T_SelfStock'!E14&lt;&gt;""))*(('T_TTAFStock'!E14&lt;&gt;""))&gt;0,'T_SelfStock'!E14+'T_TTAFStock'!E14,D10+'Grid_Incoming'!E10-'Grid_Requirement'!E10))</f>
        <v/>
      </c>
      <c r="F10">
        <f>IF(COUNTIFS(T_StockCount[Part Name],$A10,T_StockCount[WeekIndex],5)&gt;0,SUMIFS(T_StockCount[CountedQty],T_StockCount[Part Name],$A10,T_StockCount[WeekIndex],5),IF((('T_SelfStock'!F14&lt;&gt;""))*(('T_TTAFStock'!F14&lt;&gt;""))&gt;0,'T_SelfStock'!F14+'T_TTAFStock'!F14,E10+'Grid_Incoming'!F10-'Grid_Requirement'!F10))</f>
        <v/>
      </c>
      <c r="G10">
        <f>IF(COUNTIFS(T_StockCount[Part Name],$A10,T_StockCount[WeekIndex],6)&gt;0,SUMIFS(T_StockCount[CountedQty],T_StockCount[Part Name],$A10,T_StockCount[WeekIndex],6),IF((('T_SelfStock'!G14&lt;&gt;""))*(('T_TTAFStock'!G14&lt;&gt;""))&gt;0,'T_SelfStock'!G14+'T_TTAFStock'!G14,F10+'Grid_Incoming'!G10-'Grid_Requirement'!G10))</f>
        <v/>
      </c>
      <c r="H10">
        <f>IF(COUNTIFS(T_StockCount[Part Name],$A10,T_StockCount[WeekIndex],7)&gt;0,SUMIFS(T_StockCount[CountedQty],T_StockCount[Part Name],$A10,T_StockCount[WeekIndex],7),IF((('T_SelfStock'!H14&lt;&gt;""))*(('T_TTAFStock'!H14&lt;&gt;""))&gt;0,'T_SelfStock'!H14+'T_TTAFStock'!H14,G10+'Grid_Incoming'!H10-'Grid_Requirement'!H10))</f>
        <v/>
      </c>
      <c r="I10">
        <f>IF(COUNTIFS(T_StockCount[Part Name],$A10,T_StockCount[WeekIndex],8)&gt;0,SUMIFS(T_StockCount[CountedQty],T_StockCount[Part Name],$A10,T_StockCount[WeekIndex],8),IF((('T_SelfStock'!I14&lt;&gt;""))*(('T_TTAFStock'!I14&lt;&gt;""))&gt;0,'T_SelfStock'!I14+'T_TTAFStock'!I14,H10+'Grid_Incoming'!I10-'Grid_Requirement'!I10))</f>
        <v/>
      </c>
      <c r="J10">
        <f>IF(COUNTIFS(T_StockCount[Part Name],$A10,T_StockCount[WeekIndex],9)&gt;0,SUMIFS(T_StockCount[CountedQty],T_StockCount[Part Name],$A10,T_StockCount[WeekIndex],9),IF((('T_SelfStock'!J14&lt;&gt;""))*(('T_TTAFStock'!J14&lt;&gt;""))&gt;0,'T_SelfStock'!J14+'T_TTAFStock'!J14,I10+'Grid_Incoming'!J10-'Grid_Requirement'!J10))</f>
        <v/>
      </c>
      <c r="K10">
        <f>IF(COUNTIFS(T_StockCount[Part Name],$A10,T_StockCount[WeekIndex],10)&gt;0,SUMIFS(T_StockCount[CountedQty],T_StockCount[Part Name],$A10,T_StockCount[WeekIndex],10),IF((('T_SelfStock'!K14&lt;&gt;""))*(('T_TTAFStock'!K14&lt;&gt;""))&gt;0,'T_SelfStock'!K14+'T_TTAFStock'!K14,J10+'Grid_Incoming'!K10-'Grid_Requirement'!K10))</f>
        <v/>
      </c>
      <c r="L10">
        <f>IF(COUNTIFS(T_StockCount[Part Name],$A10,T_StockCount[WeekIndex],11)&gt;0,SUMIFS(T_StockCount[CountedQty],T_StockCount[Part Name],$A10,T_StockCount[WeekIndex],11),IF((('T_SelfStock'!L14&lt;&gt;""))*(('T_TTAFStock'!L14&lt;&gt;""))&gt;0,'T_SelfStock'!L14+'T_TTAFStock'!L14,K10+'Grid_Incoming'!L10-'Grid_Requirement'!L10))</f>
        <v/>
      </c>
      <c r="M10">
        <f>IF(COUNTIFS(T_StockCount[Part Name],$A10,T_StockCount[WeekIndex],12)&gt;0,SUMIFS(T_StockCount[CountedQty],T_StockCount[Part Name],$A10,T_StockCount[WeekIndex],12),IF((('T_SelfStock'!M14&lt;&gt;""))*(('T_TTAFStock'!M14&lt;&gt;""))&gt;0,'T_SelfStock'!M14+'T_TTAFStock'!M14,L10+'Grid_Incoming'!M10-'Grid_Requirement'!M10))</f>
        <v/>
      </c>
      <c r="N10">
        <f>IF(COUNTIFS(T_StockCount[Part Name],$A10,T_StockCount[WeekIndex],13)&gt;0,SUMIFS(T_StockCount[CountedQty],T_StockCount[Part Name],$A10,T_StockCount[WeekIndex],13),IF((('T_SelfStock'!N14&lt;&gt;""))*(('T_TTAFStock'!N14&lt;&gt;""))&gt;0,'T_SelfStock'!N14+'T_TTAFStock'!N14,M10+'Grid_Incoming'!N10-'Grid_Requirement'!N10))</f>
        <v/>
      </c>
      <c r="O10">
        <f>IF(COUNTIFS(T_StockCount[Part Name],$A10,T_StockCount[WeekIndex],14)&gt;0,SUMIFS(T_StockCount[CountedQty],T_StockCount[Part Name],$A10,T_StockCount[WeekIndex],14),IF((('T_SelfStock'!O14&lt;&gt;""))*(('T_TTAFStock'!O14&lt;&gt;""))&gt;0,'T_SelfStock'!O14+'T_TTAFStock'!O14,N10+'Grid_Incoming'!O10-'Grid_Requirement'!O10))</f>
        <v/>
      </c>
      <c r="P10">
        <f>IF(COUNTIFS(T_StockCount[Part Name],$A10,T_StockCount[WeekIndex],15)&gt;0,SUMIFS(T_StockCount[CountedQty],T_StockCount[Part Name],$A10,T_StockCount[WeekIndex],15),IF((('T_SelfStock'!P14&lt;&gt;""))*(('T_TTAFStock'!P14&lt;&gt;""))&gt;0,'T_SelfStock'!P14+'T_TTAFStock'!P14,O10+'Grid_Incoming'!P10-'Grid_Requirement'!P10))</f>
        <v/>
      </c>
      <c r="Q10">
        <f>IF(COUNTIFS(T_StockCount[Part Name],$A10,T_StockCount[WeekIndex],16)&gt;0,SUMIFS(T_StockCount[CountedQty],T_StockCount[Part Name],$A10,T_StockCount[WeekIndex],16),IF((('T_SelfStock'!Q14&lt;&gt;""))*(('T_TTAFStock'!Q14&lt;&gt;""))&gt;0,'T_SelfStock'!Q14+'T_TTAFStock'!Q14,P10+'Grid_Incoming'!Q10-'Grid_Requirement'!Q10))</f>
        <v/>
      </c>
      <c r="R10">
        <f>IF(COUNTIFS(T_StockCount[Part Name],$A10,T_StockCount[WeekIndex],17)&gt;0,SUMIFS(T_StockCount[CountedQty],T_StockCount[Part Name],$A10,T_StockCount[WeekIndex],17),IF((('T_SelfStock'!R14&lt;&gt;""))*(('T_TTAFStock'!R14&lt;&gt;""))&gt;0,'T_SelfStock'!R14+'T_TTAFStock'!R14,Q10+'Grid_Incoming'!R10-'Grid_Requirement'!R10))</f>
        <v/>
      </c>
      <c r="S10">
        <f>IF(COUNTIFS(T_StockCount[Part Name],$A10,T_StockCount[WeekIndex],18)&gt;0,SUMIFS(T_StockCount[CountedQty],T_StockCount[Part Name],$A10,T_StockCount[WeekIndex],18),IF((('T_SelfStock'!S14&lt;&gt;""))*(('T_TTAFStock'!S14&lt;&gt;""))&gt;0,'T_SelfStock'!S14+'T_TTAFStock'!S14,R10+'Grid_Incoming'!S10-'Grid_Requirement'!S10))</f>
        <v/>
      </c>
      <c r="T10">
        <f>IF(COUNTIFS(T_StockCount[Part Name],$A10,T_StockCount[WeekIndex],19)&gt;0,SUMIFS(T_StockCount[CountedQty],T_StockCount[Part Name],$A10,T_StockCount[WeekIndex],19),IF((('T_SelfStock'!T14&lt;&gt;""))*(('T_TTAFStock'!T14&lt;&gt;""))&gt;0,'T_SelfStock'!T14+'T_TTAFStock'!T14,S10+'Grid_Incoming'!T10-'Grid_Requirement'!T10))</f>
        <v/>
      </c>
      <c r="U10">
        <f>IF(COUNTIFS(T_StockCount[Part Name],$A10,T_StockCount[WeekIndex],20)&gt;0,SUMIFS(T_StockCount[CountedQty],T_StockCount[Part Name],$A10,T_StockCount[WeekIndex],20),IF((('T_SelfStock'!U14&lt;&gt;""))*(('T_TTAFStock'!U14&lt;&gt;""))&gt;0,'T_SelfStock'!U14+'T_TTAFStock'!U14,T10+'Grid_Incoming'!U10-'Grid_Requirement'!U10))</f>
        <v/>
      </c>
      <c r="V10">
        <f>IF(COUNTIFS(T_StockCount[Part Name],$A10,T_StockCount[WeekIndex],21)&gt;0,SUMIFS(T_StockCount[CountedQty],T_StockCount[Part Name],$A10,T_StockCount[WeekIndex],21),IF((('T_SelfStock'!V14&lt;&gt;""))*(('T_TTAFStock'!V14&lt;&gt;""))&gt;0,'T_SelfStock'!V14+'T_TTAFStock'!V14,U10+'Grid_Incoming'!V10-'Grid_Requirement'!V10))</f>
        <v/>
      </c>
      <c r="W10">
        <f>IF(COUNTIFS(T_StockCount[Part Name],$A10,T_StockCount[WeekIndex],22)&gt;0,SUMIFS(T_StockCount[CountedQty],T_StockCount[Part Name],$A10,T_StockCount[WeekIndex],22),IF((('T_SelfStock'!W14&lt;&gt;""))*(('T_TTAFStock'!W14&lt;&gt;""))&gt;0,'T_SelfStock'!W14+'T_TTAFStock'!W14,V10+'Grid_Incoming'!W10-'Grid_Requirement'!W10))</f>
        <v/>
      </c>
      <c r="X10">
        <f>IF(COUNTIFS(T_StockCount[Part Name],$A10,T_StockCount[WeekIndex],23)&gt;0,SUMIFS(T_StockCount[CountedQty],T_StockCount[Part Name],$A10,T_StockCount[WeekIndex],23),IF((('T_SelfStock'!X14&lt;&gt;""))*(('T_TTAFStock'!X14&lt;&gt;""))&gt;0,'T_SelfStock'!X14+'T_TTAFStock'!X14,W10+'Grid_Incoming'!X10-'Grid_Requirement'!X10))</f>
        <v/>
      </c>
      <c r="Y10">
        <f>IF(COUNTIFS(T_StockCount[Part Name],$A10,T_StockCount[WeekIndex],24)&gt;0,SUMIFS(T_StockCount[CountedQty],T_StockCount[Part Name],$A10,T_StockCount[WeekIndex],24),IF((('T_SelfStock'!Y14&lt;&gt;""))*(('T_TTAFStock'!Y14&lt;&gt;""))&gt;0,'T_SelfStock'!Y14+'T_TTAFStock'!Y14,X10+'Grid_Incoming'!Y10-'Grid_Requirement'!Y10))</f>
        <v/>
      </c>
      <c r="Z10">
        <f>IF(COUNTIFS(T_StockCount[Part Name],$A10,T_StockCount[WeekIndex],25)&gt;0,SUMIFS(T_StockCount[CountedQty],T_StockCount[Part Name],$A10,T_StockCount[WeekIndex],25),IF((('T_SelfStock'!Z14&lt;&gt;""))*(('T_TTAFStock'!Z14&lt;&gt;""))&gt;0,'T_SelfStock'!Z14+'T_TTAFStock'!Z14,Y10+'Grid_Incoming'!Z10-'Grid_Requirement'!Z10))</f>
        <v/>
      </c>
      <c r="AA10">
        <f>IF(COUNTIFS(T_StockCount[Part Name],$A10,T_StockCount[WeekIndex],26)&gt;0,SUMIFS(T_StockCount[CountedQty],T_StockCount[Part Name],$A10,T_StockCount[WeekIndex],26),IF((('T_SelfStock'!AA14&lt;&gt;""))*(('T_TTAFStock'!AA14&lt;&gt;""))&gt;0,'T_SelfStock'!AA14+'T_TTAFStock'!AA14,Z10+'Grid_Incoming'!AA10-'Grid_Requirement'!AA10))</f>
        <v/>
      </c>
      <c r="AB10">
        <f>IF(COUNTIFS(T_StockCount[Part Name],$A10,T_StockCount[WeekIndex],27)&gt;0,SUMIFS(T_StockCount[CountedQty],T_StockCount[Part Name],$A10,T_StockCount[WeekIndex],27),IF((('T_SelfStock'!AB14&lt;&gt;""))*(('T_TTAFStock'!AB14&lt;&gt;""))&gt;0,'T_SelfStock'!AB14+'T_TTAFStock'!AB14,AA10+'Grid_Incoming'!AB10-'Grid_Requirement'!AB10))</f>
        <v/>
      </c>
      <c r="AC10">
        <f>IF(COUNTIFS(T_StockCount[Part Name],$A10,T_StockCount[WeekIndex],28)&gt;0,SUMIFS(T_StockCount[CountedQty],T_StockCount[Part Name],$A10,T_StockCount[WeekIndex],28),IF((('T_SelfStock'!AC14&lt;&gt;""))*(('T_TTAFStock'!AC14&lt;&gt;""))&gt;0,'T_SelfStock'!AC14+'T_TTAFStock'!AC14,AB10+'Grid_Incoming'!AC10-'Grid_Requirement'!AC10))</f>
        <v/>
      </c>
      <c r="AD10">
        <f>IF(COUNTIFS(T_StockCount[Part Name],$A10,T_StockCount[WeekIndex],29)&gt;0,SUMIFS(T_StockCount[CountedQty],T_StockCount[Part Name],$A10,T_StockCount[WeekIndex],29),IF((('T_SelfStock'!AD14&lt;&gt;""))*(('T_TTAFStock'!AD14&lt;&gt;""))&gt;0,'T_SelfStock'!AD14+'T_TTAFStock'!AD14,AC10+'Grid_Incoming'!AD10-'Grid_Requirement'!AD10))</f>
        <v/>
      </c>
      <c r="AE10">
        <f>IF(COUNTIFS(T_StockCount[Part Name],$A10,T_StockCount[WeekIndex],30)&gt;0,SUMIFS(T_StockCount[CountedQty],T_StockCount[Part Name],$A10,T_StockCount[WeekIndex],30),IF((('T_SelfStock'!AE14&lt;&gt;""))*(('T_TTAFStock'!AE14&lt;&gt;""))&gt;0,'T_SelfStock'!AE14+'T_TTAFStock'!AE14,AD10+'Grid_Incoming'!AE10-'Grid_Requirement'!AE10))</f>
        <v/>
      </c>
      <c r="AF10">
        <f>IF(COUNTIFS(T_StockCount[Part Name],$A10,T_StockCount[WeekIndex],31)&gt;0,SUMIFS(T_StockCount[CountedQty],T_StockCount[Part Name],$A10,T_StockCount[WeekIndex],31),IF((('T_SelfStock'!AF14&lt;&gt;""))*(('T_TTAFStock'!AF14&lt;&gt;""))&gt;0,'T_SelfStock'!AF14+'T_TTAFStock'!AF14,AE10+'Grid_Incoming'!AF10-'Grid_Requirement'!AF10))</f>
        <v/>
      </c>
      <c r="AG10">
        <f>IF(COUNTIFS(T_StockCount[Part Name],$A10,T_StockCount[WeekIndex],32)&gt;0,SUMIFS(T_StockCount[CountedQty],T_StockCount[Part Name],$A10,T_StockCount[WeekIndex],32),IF((('T_SelfStock'!AG14&lt;&gt;""))*(('T_TTAFStock'!AG14&lt;&gt;""))&gt;0,'T_SelfStock'!AG14+'T_TTAFStock'!AG14,AF10+'Grid_Incoming'!AG10-'Grid_Requirement'!AG10))</f>
        <v/>
      </c>
      <c r="AH10">
        <f>IF(COUNTIFS(T_StockCount[Part Name],$A10,T_StockCount[WeekIndex],33)&gt;0,SUMIFS(T_StockCount[CountedQty],T_StockCount[Part Name],$A10,T_StockCount[WeekIndex],33),IF((('T_SelfStock'!AH14&lt;&gt;""))*(('T_TTAFStock'!AH14&lt;&gt;""))&gt;0,'T_SelfStock'!AH14+'T_TTAFStock'!AH14,AG10+'Grid_Incoming'!AH10-'Grid_Requirement'!AH10))</f>
        <v/>
      </c>
      <c r="AI10">
        <f>IF(COUNTIFS(T_StockCount[Part Name],$A10,T_StockCount[WeekIndex],34)&gt;0,SUMIFS(T_StockCount[CountedQty],T_StockCount[Part Name],$A10,T_StockCount[WeekIndex],34),IF((('T_SelfStock'!AI14&lt;&gt;""))*(('T_TTAFStock'!AI14&lt;&gt;""))&gt;0,'T_SelfStock'!AI14+'T_TTAFStock'!AI14,AH10+'Grid_Incoming'!AI10-'Grid_Requirement'!AI10))</f>
        <v/>
      </c>
      <c r="AJ10">
        <f>IF(COUNTIFS(T_StockCount[Part Name],$A10,T_StockCount[WeekIndex],35)&gt;0,SUMIFS(T_StockCount[CountedQty],T_StockCount[Part Name],$A10,T_StockCount[WeekIndex],35),IF((('T_SelfStock'!AJ14&lt;&gt;""))*(('T_TTAFStock'!AJ14&lt;&gt;""))&gt;0,'T_SelfStock'!AJ14+'T_TTAFStock'!AJ14,AI10+'Grid_Incoming'!AJ10-'Grid_Requirement'!AJ10))</f>
        <v/>
      </c>
      <c r="AK10">
        <f>IF(COUNTIFS(T_StockCount[Part Name],$A10,T_StockCount[WeekIndex],36)&gt;0,SUMIFS(T_StockCount[CountedQty],T_StockCount[Part Name],$A10,T_StockCount[WeekIndex],36),IF((('T_SelfStock'!AK14&lt;&gt;""))*(('T_TTAFStock'!AK14&lt;&gt;""))&gt;0,'T_SelfStock'!AK14+'T_TTAFStock'!AK14,AJ10+'Grid_Incoming'!AK10-'Grid_Requirement'!AK10))</f>
        <v/>
      </c>
      <c r="AL10">
        <f>IF(COUNTIFS(T_StockCount[Part Name],$A10,T_StockCount[WeekIndex],37)&gt;0,SUMIFS(T_StockCount[CountedQty],T_StockCount[Part Name],$A10,T_StockCount[WeekIndex],37),IF((('T_SelfStock'!AL14&lt;&gt;""))*(('T_TTAFStock'!AL14&lt;&gt;""))&gt;0,'T_SelfStock'!AL14+'T_TTAFStock'!AL14,AK10+'Grid_Incoming'!AL10-'Grid_Requirement'!AL10))</f>
        <v/>
      </c>
      <c r="AM10">
        <f>IF(COUNTIFS(T_StockCount[Part Name],$A10,T_StockCount[WeekIndex],38)&gt;0,SUMIFS(T_StockCount[CountedQty],T_StockCount[Part Name],$A10,T_StockCount[WeekIndex],38),IF((('T_SelfStock'!AM14&lt;&gt;""))*(('T_TTAFStock'!AM14&lt;&gt;""))&gt;0,'T_SelfStock'!AM14+'T_TTAFStock'!AM14,AL10+'Grid_Incoming'!AM10-'Grid_Requirement'!AM10))</f>
        <v/>
      </c>
      <c r="AN10">
        <f>IF(COUNTIFS(T_StockCount[Part Name],$A10,T_StockCount[WeekIndex],39)&gt;0,SUMIFS(T_StockCount[CountedQty],T_StockCount[Part Name],$A10,T_StockCount[WeekIndex],39),IF((('T_SelfStock'!AN14&lt;&gt;""))*(('T_TTAFStock'!AN14&lt;&gt;""))&gt;0,'T_SelfStock'!AN14+'T_TTAFStock'!AN14,AM10+'Grid_Incoming'!AN10-'Grid_Requirement'!AN10))</f>
        <v/>
      </c>
      <c r="AO10">
        <f>IF(COUNTIFS(T_StockCount[Part Name],$A10,T_StockCount[WeekIndex],40)&gt;0,SUMIFS(T_StockCount[CountedQty],T_StockCount[Part Name],$A10,T_StockCount[WeekIndex],40),IF((('T_SelfStock'!AO14&lt;&gt;""))*(('T_TTAFStock'!AO14&lt;&gt;""))&gt;0,'T_SelfStock'!AO14+'T_TTAFStock'!AO14,AN10+'Grid_Incoming'!AO10-'Grid_Requirement'!AO10))</f>
        <v/>
      </c>
      <c r="AP10">
        <f>IF(COUNTIFS(T_StockCount[Part Name],$A10,T_StockCount[WeekIndex],41)&gt;0,SUMIFS(T_StockCount[CountedQty],T_StockCount[Part Name],$A10,T_StockCount[WeekIndex],41),IF((('T_SelfStock'!AP14&lt;&gt;""))*(('T_TTAFStock'!AP14&lt;&gt;""))&gt;0,'T_SelfStock'!AP14+'T_TTAFStock'!AP14,AO10+'Grid_Incoming'!AP10-'Grid_Requirement'!AP10))</f>
        <v/>
      </c>
      <c r="AQ10">
        <f>IF(COUNTIFS(T_StockCount[Part Name],$A10,T_StockCount[WeekIndex],42)&gt;0,SUMIFS(T_StockCount[CountedQty],T_StockCount[Part Name],$A10,T_StockCount[WeekIndex],42),IF((('T_SelfStock'!AQ14&lt;&gt;""))*(('T_TTAFStock'!AQ14&lt;&gt;""))&gt;0,'T_SelfStock'!AQ14+'T_TTAFStock'!AQ14,AP10+'Grid_Incoming'!AQ10-'Grid_Requirement'!AQ10))</f>
        <v/>
      </c>
      <c r="AR10">
        <f>IF(COUNTIFS(T_StockCount[Part Name],$A10,T_StockCount[WeekIndex],43)&gt;0,SUMIFS(T_StockCount[CountedQty],T_StockCount[Part Name],$A10,T_StockCount[WeekIndex],43),IF((('T_SelfStock'!AR14&lt;&gt;""))*(('T_TTAFStock'!AR14&lt;&gt;""))&gt;0,'T_SelfStock'!AR14+'T_TTAFStock'!AR14,AQ10+'Grid_Incoming'!AR10-'Grid_Requirement'!AR10))</f>
        <v/>
      </c>
      <c r="AS10">
        <f>IF(COUNTIFS(T_StockCount[Part Name],$A10,T_StockCount[WeekIndex],44)&gt;0,SUMIFS(T_StockCount[CountedQty],T_StockCount[Part Name],$A10,T_StockCount[WeekIndex],44),IF((('T_SelfStock'!AS14&lt;&gt;""))*(('T_TTAFStock'!AS14&lt;&gt;""))&gt;0,'T_SelfStock'!AS14+'T_TTAFStock'!AS14,AR10+'Grid_Incoming'!AS10-'Grid_Requirement'!AS10))</f>
        <v/>
      </c>
      <c r="AT10">
        <f>IF(COUNTIFS(T_StockCount[Part Name],$A10,T_StockCount[WeekIndex],45)&gt;0,SUMIFS(T_StockCount[CountedQty],T_StockCount[Part Name],$A10,T_StockCount[WeekIndex],45),IF((('T_SelfStock'!AT14&lt;&gt;""))*(('T_TTAFStock'!AT14&lt;&gt;""))&gt;0,'T_SelfStock'!AT14+'T_TTAFStock'!AT14,AS10+'Grid_Incoming'!AT10-'Grid_Requirement'!AT10))</f>
        <v/>
      </c>
      <c r="AU10">
        <f>IF(COUNTIFS(T_StockCount[Part Name],$A10,T_StockCount[WeekIndex],46)&gt;0,SUMIFS(T_StockCount[CountedQty],T_StockCount[Part Name],$A10,T_StockCount[WeekIndex],46),IF((('T_SelfStock'!AU14&lt;&gt;""))*(('T_TTAFStock'!AU14&lt;&gt;""))&gt;0,'T_SelfStock'!AU14+'T_TTAFStock'!AU14,AT10+'Grid_Incoming'!AU10-'Grid_Requirement'!AU10))</f>
        <v/>
      </c>
      <c r="AV10">
        <f>IF(COUNTIFS(T_StockCount[Part Name],$A10,T_StockCount[WeekIndex],47)&gt;0,SUMIFS(T_StockCount[CountedQty],T_StockCount[Part Name],$A10,T_StockCount[WeekIndex],47),IF((('T_SelfStock'!AV14&lt;&gt;""))*(('T_TTAFStock'!AV14&lt;&gt;""))&gt;0,'T_SelfStock'!AV14+'T_TTAFStock'!AV14,AU10+'Grid_Incoming'!AV10-'Grid_Requirement'!AV10))</f>
        <v/>
      </c>
      <c r="AW10">
        <f>IF(COUNTIFS(T_StockCount[Part Name],$A10,T_StockCount[WeekIndex],48)&gt;0,SUMIFS(T_StockCount[CountedQty],T_StockCount[Part Name],$A10,T_StockCount[WeekIndex],48),IF((('T_SelfStock'!AW14&lt;&gt;""))*(('T_TTAFStock'!AW14&lt;&gt;""))&gt;0,'T_SelfStock'!AW14+'T_TTAFStock'!AW14,AV10+'Grid_Incoming'!AW10-'Grid_Requirement'!AW10))</f>
        <v/>
      </c>
      <c r="AX10">
        <f>IF(COUNTIFS(T_StockCount[Part Name],$A10,T_StockCount[WeekIndex],49)&gt;0,SUMIFS(T_StockCount[CountedQty],T_StockCount[Part Name],$A10,T_StockCount[WeekIndex],49),IF((('T_SelfStock'!AX14&lt;&gt;""))*(('T_TTAFStock'!AX14&lt;&gt;""))&gt;0,'T_SelfStock'!AX14+'T_TTAFStock'!AX14,AW10+'Grid_Incoming'!AX10-'Grid_Requirement'!AX10))</f>
        <v/>
      </c>
      <c r="AY10">
        <f>IF(COUNTIFS(T_StockCount[Part Name],$A10,T_StockCount[WeekIndex],50)&gt;0,SUMIFS(T_StockCount[CountedQty],T_StockCount[Part Name],$A10,T_StockCount[WeekIndex],50),IF((('T_SelfStock'!AY14&lt;&gt;""))*(('T_TTAFStock'!AY14&lt;&gt;""))&gt;0,'T_SelfStock'!AY14+'T_TTAFStock'!AY14,AX10+'Grid_Incoming'!AY10-'Grid_Requirement'!AY10))</f>
        <v/>
      </c>
      <c r="AZ10">
        <f>IF(COUNTIFS(T_StockCount[Part Name],$A10,T_StockCount[WeekIndex],51)&gt;0,SUMIFS(T_StockCount[CountedQty],T_StockCount[Part Name],$A10,T_StockCount[WeekIndex],51),IF((('T_SelfStock'!AZ14&lt;&gt;""))*(('T_TTAFStock'!AZ14&lt;&gt;""))&gt;0,'T_SelfStock'!AZ14+'T_TTAFStock'!AZ14,AY10+'Grid_Incoming'!AZ10-'Grid_Requirement'!AZ10))</f>
        <v/>
      </c>
      <c r="BA10">
        <f>IF(COUNTIFS(T_StockCount[Part Name],$A10,T_StockCount[WeekIndex],52)&gt;0,SUMIFS(T_StockCount[CountedQty],T_StockCount[Part Name],$A10,T_StockCount[WeekIndex],52),IF((('T_SelfStock'!BA14&lt;&gt;""))*(('T_TTAFStock'!BA14&lt;&gt;""))&gt;0,'T_SelfStock'!BA14+'T_TTAFStock'!BA14,AZ10+'Grid_Incoming'!BA10-'Grid_Requirement'!BA10))</f>
        <v/>
      </c>
      <c r="BB10">
        <f>IF(COUNTIFS(T_StockCount[Part Name],$A10,T_StockCount[WeekIndex],53)&gt;0,SUMIFS(T_StockCount[CountedQty],T_StockCount[Part Name],$A10,T_StockCount[WeekIndex],53),IF((('T_SelfStock'!BB14&lt;&gt;""))*(('T_TTAFStock'!BB14&lt;&gt;""))&gt;0,'T_SelfStock'!BB14+'T_TTAFStock'!BB14,BA10+'Grid_Incoming'!BB10-'Grid_Requirement'!BB10))</f>
        <v/>
      </c>
      <c r="BC10">
        <f>IF(COUNTIFS(T_StockCount[Part Name],$A10,T_StockCount[WeekIndex],54)&gt;0,SUMIFS(T_StockCount[CountedQty],T_StockCount[Part Name],$A10,T_StockCount[WeekIndex],54),IF((('T_SelfStock'!BC14&lt;&gt;""))*(('T_TTAFStock'!BC14&lt;&gt;""))&gt;0,'T_SelfStock'!BC14+'T_TTAFStock'!BC14,BB10+'Grid_Incoming'!BC10-'Grid_Requirement'!BC10))</f>
        <v/>
      </c>
      <c r="BD10">
        <f>IF(COUNTIFS(T_StockCount[Part Name],$A10,T_StockCount[WeekIndex],55)&gt;0,SUMIFS(T_StockCount[CountedQty],T_StockCount[Part Name],$A10,T_StockCount[WeekIndex],55),IF((('T_SelfStock'!BD14&lt;&gt;""))*(('T_TTAFStock'!BD14&lt;&gt;""))&gt;0,'T_SelfStock'!BD14+'T_TTAFStock'!BD14,BC10+'Grid_Incoming'!BD10-'Grid_Requirement'!BD10))</f>
        <v/>
      </c>
      <c r="BE10">
        <f>IF(COUNTIFS(T_StockCount[Part Name],$A10,T_StockCount[WeekIndex],56)&gt;0,SUMIFS(T_StockCount[CountedQty],T_StockCount[Part Name],$A10,T_StockCount[WeekIndex],56),IF((('T_SelfStock'!BE14&lt;&gt;""))*(('T_TTAFStock'!BE14&lt;&gt;""))&gt;0,'T_SelfStock'!BE14+'T_TTAFStock'!BE14,BD10+'Grid_Incoming'!BE10-'Grid_Requirement'!BE10))</f>
        <v/>
      </c>
      <c r="BF10">
        <f>IF(COUNTIFS(T_StockCount[Part Name],$A10,T_StockCount[WeekIndex],57)&gt;0,SUMIFS(T_StockCount[CountedQty],T_StockCount[Part Name],$A10,T_StockCount[WeekIndex],57),IF((('T_SelfStock'!BF14&lt;&gt;""))*(('T_TTAFStock'!BF14&lt;&gt;""))&gt;0,'T_SelfStock'!BF14+'T_TTAFStock'!BF14,BE10+'Grid_Incoming'!BF10-'Grid_Requirement'!BF10))</f>
        <v/>
      </c>
      <c r="BG10">
        <f>IF(COUNTIFS(T_StockCount[Part Name],$A10,T_StockCount[WeekIndex],58)&gt;0,SUMIFS(T_StockCount[CountedQty],T_StockCount[Part Name],$A10,T_StockCount[WeekIndex],58),IF((('T_SelfStock'!BG14&lt;&gt;""))*(('T_TTAFStock'!BG14&lt;&gt;""))&gt;0,'T_SelfStock'!BG14+'T_TTAFStock'!BG14,BF10+'Grid_Incoming'!BG10-'Grid_Requirement'!BG10))</f>
        <v/>
      </c>
      <c r="BH10">
        <f>IF(COUNTIFS(T_StockCount[Part Name],$A10,T_StockCount[WeekIndex],59)&gt;0,SUMIFS(T_StockCount[CountedQty],T_StockCount[Part Name],$A10,T_StockCount[WeekIndex],59),IF((('T_SelfStock'!BH14&lt;&gt;""))*(('T_TTAFStock'!BH14&lt;&gt;""))&gt;0,'T_SelfStock'!BH14+'T_TTAFStock'!BH14,BG10+'Grid_Incoming'!BH10-'Grid_Requirement'!BH10))</f>
        <v/>
      </c>
      <c r="BI10">
        <f>IF(COUNTIFS(T_StockCount[Part Name],$A10,T_StockCount[WeekIndex],60)&gt;0,SUMIFS(T_StockCount[CountedQty],T_StockCount[Part Name],$A10,T_StockCount[WeekIndex],60),IF((('T_SelfStock'!BI14&lt;&gt;""))*(('T_TTAFStock'!BI14&lt;&gt;""))&gt;0,'T_SelfStock'!BI14+'T_TTAFStock'!BI14,BH10+'Grid_Incoming'!BI10-'Grid_Requirement'!BI10))</f>
        <v/>
      </c>
      <c r="BJ10">
        <f>IF(COUNTIFS(T_StockCount[Part Name],$A10,T_StockCount[WeekIndex],61)&gt;0,SUMIFS(T_StockCount[CountedQty],T_StockCount[Part Name],$A10,T_StockCount[WeekIndex],61),IF((('T_SelfStock'!BJ14&lt;&gt;""))*(('T_TTAFStock'!BJ14&lt;&gt;""))&gt;0,'T_SelfStock'!BJ14+'T_TTAFStock'!BJ14,BI10+'Grid_Incoming'!BJ10-'Grid_Requirement'!BJ10))</f>
        <v/>
      </c>
      <c r="BK10">
        <f>IF(COUNTIFS(T_StockCount[Part Name],$A10,T_StockCount[WeekIndex],62)&gt;0,SUMIFS(T_StockCount[CountedQty],T_StockCount[Part Name],$A10,T_StockCount[WeekIndex],62),IF((('T_SelfStock'!BK14&lt;&gt;""))*(('T_TTAFStock'!BK14&lt;&gt;""))&gt;0,'T_SelfStock'!BK14+'T_TTAFStock'!BK14,BJ10+'Grid_Incoming'!BK10-'Grid_Requirement'!BK10))</f>
        <v/>
      </c>
      <c r="BL10">
        <f>IF(COUNTIFS(T_StockCount[Part Name],$A10,T_StockCount[WeekIndex],63)&gt;0,SUMIFS(T_StockCount[CountedQty],T_StockCount[Part Name],$A10,T_StockCount[WeekIndex],63),IF((('T_SelfStock'!BL14&lt;&gt;""))*(('T_TTAFStock'!BL14&lt;&gt;""))&gt;0,'T_SelfStock'!BL14+'T_TTAFStock'!BL14,BK10+'Grid_Incoming'!BL10-'Grid_Requirement'!BL10))</f>
        <v/>
      </c>
      <c r="BM10">
        <f>IF(COUNTIFS(T_StockCount[Part Name],$A10,T_StockCount[WeekIndex],64)&gt;0,SUMIFS(T_StockCount[CountedQty],T_StockCount[Part Name],$A10,T_StockCount[WeekIndex],64),IF((('T_SelfStock'!BM14&lt;&gt;""))*(('T_TTAFStock'!BM14&lt;&gt;""))&gt;0,'T_SelfStock'!BM14+'T_TTAFStock'!BM14,BL10+'Grid_Incoming'!BM10-'Grid_Requirement'!BM10))</f>
        <v/>
      </c>
      <c r="BN10">
        <f>IF(COUNTIFS(T_StockCount[Part Name],$A10,T_StockCount[WeekIndex],65)&gt;0,SUMIFS(T_StockCount[CountedQty],T_StockCount[Part Name],$A10,T_StockCount[WeekIndex],65),IF((('T_SelfStock'!BN14&lt;&gt;""))*(('T_TTAFStock'!BN14&lt;&gt;""))&gt;0,'T_SelfStock'!BN14+'T_TTAFStock'!BN14,BM10+'Grid_Incoming'!BN10-'Grid_Requirement'!BN10))</f>
        <v/>
      </c>
      <c r="BO10">
        <f>IF(COUNTIFS(T_StockCount[Part Name],$A10,T_StockCount[WeekIndex],66)&gt;0,SUMIFS(T_StockCount[CountedQty],T_StockCount[Part Name],$A10,T_StockCount[WeekIndex],66),IF((('T_SelfStock'!BO14&lt;&gt;""))*(('T_TTAFStock'!BO14&lt;&gt;""))&gt;0,'T_SelfStock'!BO14+'T_TTAFStock'!BO14,BN10+'Grid_Incoming'!BO10-'Grid_Requirement'!BO10))</f>
        <v/>
      </c>
      <c r="BP10">
        <f>IF(COUNTIFS(T_StockCount[Part Name],$A10,T_StockCount[WeekIndex],67)&gt;0,SUMIFS(T_StockCount[CountedQty],T_StockCount[Part Name],$A10,T_StockCount[WeekIndex],67),IF((('T_SelfStock'!BP14&lt;&gt;""))*(('T_TTAFStock'!BP14&lt;&gt;""))&gt;0,'T_SelfStock'!BP14+'T_TTAFStock'!BP14,BO10+'Grid_Incoming'!BP10-'Grid_Requirement'!BP10))</f>
        <v/>
      </c>
      <c r="BQ10">
        <f>IF(COUNTIFS(T_StockCount[Part Name],$A10,T_StockCount[WeekIndex],68)&gt;0,SUMIFS(T_StockCount[CountedQty],T_StockCount[Part Name],$A10,T_StockCount[WeekIndex],68),IF((('T_SelfStock'!BQ14&lt;&gt;""))*(('T_TTAFStock'!BQ14&lt;&gt;""))&gt;0,'T_SelfStock'!BQ14+'T_TTAFStock'!BQ14,BP10+'Grid_Incoming'!BQ10-'Grid_Requirement'!BQ10))</f>
        <v/>
      </c>
      <c r="BR10">
        <f>IF(COUNTIFS(T_StockCount[Part Name],$A10,T_StockCount[WeekIndex],69)&gt;0,SUMIFS(T_StockCount[CountedQty],T_StockCount[Part Name],$A10,T_StockCount[WeekIndex],69),IF((('T_SelfStock'!BR14&lt;&gt;""))*(('T_TTAFStock'!BR14&lt;&gt;""))&gt;0,'T_SelfStock'!BR14+'T_TTAFStock'!BR14,BQ10+'Grid_Incoming'!BR10-'Grid_Requirement'!BR10))</f>
        <v/>
      </c>
      <c r="BS10">
        <f>IF(COUNTIFS(T_StockCount[Part Name],$A10,T_StockCount[WeekIndex],70)&gt;0,SUMIFS(T_StockCount[CountedQty],T_StockCount[Part Name],$A10,T_StockCount[WeekIndex],70),IF((('T_SelfStock'!BS14&lt;&gt;""))*(('T_TTAFStock'!BS14&lt;&gt;""))&gt;0,'T_SelfStock'!BS14+'T_TTAFStock'!BS14,BR10+'Grid_Incoming'!BS10-'Grid_Requirement'!BS10))</f>
        <v/>
      </c>
      <c r="BT10">
        <f>IF(COUNTIFS(T_StockCount[Part Name],$A10,T_StockCount[WeekIndex],71)&gt;0,SUMIFS(T_StockCount[CountedQty],T_StockCount[Part Name],$A10,T_StockCount[WeekIndex],71),IF((('T_SelfStock'!BT14&lt;&gt;""))*(('T_TTAFStock'!BT14&lt;&gt;""))&gt;0,'T_SelfStock'!BT14+'T_TTAFStock'!BT14,BS10+'Grid_Incoming'!BT10-'Grid_Requirement'!BT10))</f>
        <v/>
      </c>
      <c r="BU10">
        <f>IF(COUNTIFS(T_StockCount[Part Name],$A10,T_StockCount[WeekIndex],72)&gt;0,SUMIFS(T_StockCount[CountedQty],T_StockCount[Part Name],$A10,T_StockCount[WeekIndex],72),IF((('T_SelfStock'!BU14&lt;&gt;""))*(('T_TTAFStock'!BU14&lt;&gt;""))&gt;0,'T_SelfStock'!BU14+'T_TTAFStock'!BU14,BT10+'Grid_Incoming'!BU10-'Grid_Requirement'!BU10))</f>
        <v/>
      </c>
      <c r="BV10">
        <f>IF(COUNTIFS(T_StockCount[Part Name],$A10,T_StockCount[WeekIndex],73)&gt;0,SUMIFS(T_StockCount[CountedQty],T_StockCount[Part Name],$A10,T_StockCount[WeekIndex],73),IF((('T_SelfStock'!BV14&lt;&gt;""))*(('T_TTAFStock'!BV14&lt;&gt;""))&gt;0,'T_SelfStock'!BV14+'T_TTAFStock'!BV14,BU10+'Grid_Incoming'!BV10-'Grid_Requirement'!BV10))</f>
        <v/>
      </c>
      <c r="BW10">
        <f>IF(COUNTIFS(T_StockCount[Part Name],$A10,T_StockCount[WeekIndex],74)&gt;0,SUMIFS(T_StockCount[CountedQty],T_StockCount[Part Name],$A10,T_StockCount[WeekIndex],74),IF((('T_SelfStock'!BW14&lt;&gt;""))*(('T_TTAFStock'!BW14&lt;&gt;""))&gt;0,'T_SelfStock'!BW14+'T_TTAFStock'!BW14,BV10+'Grid_Incoming'!BW10-'Grid_Requirement'!BW10))</f>
        <v/>
      </c>
      <c r="BX10">
        <f>IF(COUNTIFS(T_StockCount[Part Name],$A10,T_StockCount[WeekIndex],75)&gt;0,SUMIFS(T_StockCount[CountedQty],T_StockCount[Part Name],$A10,T_StockCount[WeekIndex],75),IF((('T_SelfStock'!BX14&lt;&gt;""))*(('T_TTAFStock'!BX14&lt;&gt;""))&gt;0,'T_SelfStock'!BX14+'T_TTAFStock'!BX14,BW10+'Grid_Incoming'!BX10-'Grid_Requirement'!BX10))</f>
        <v/>
      </c>
      <c r="BY10">
        <f>IF(COUNTIFS(T_StockCount[Part Name],$A10,T_StockCount[WeekIndex],76)&gt;0,SUMIFS(T_StockCount[CountedQty],T_StockCount[Part Name],$A10,T_StockCount[WeekIndex],76),IF((('T_SelfStock'!BY14&lt;&gt;""))*(('T_TTAFStock'!BY14&lt;&gt;""))&gt;0,'T_SelfStock'!BY14+'T_TTAFStock'!BY14,BX10+'Grid_Incoming'!BY10-'Grid_Requirement'!BY10))</f>
        <v/>
      </c>
      <c r="BZ10">
        <f>IF(COUNTIFS(T_StockCount[Part Name],$A10,T_StockCount[WeekIndex],77)&gt;0,SUMIFS(T_StockCount[CountedQty],T_StockCount[Part Name],$A10,T_StockCount[WeekIndex],77),IF((('T_SelfStock'!BZ14&lt;&gt;""))*(('T_TTAFStock'!BZ14&lt;&gt;""))&gt;0,'T_SelfStock'!BZ14+'T_TTAFStock'!BZ14,BY10+'Grid_Incoming'!BZ10-'Grid_Requirement'!BZ10))</f>
        <v/>
      </c>
      <c r="CA10">
        <f>IF(COUNTIFS(T_StockCount[Part Name],$A10,T_StockCount[WeekIndex],78)&gt;0,SUMIFS(T_StockCount[CountedQty],T_StockCount[Part Name],$A10,T_StockCount[WeekIndex],78),IF((('T_SelfStock'!CA14&lt;&gt;""))*(('T_TTAFStock'!CA14&lt;&gt;""))&gt;0,'T_SelfStock'!CA14+'T_TTAFStock'!CA14,BZ10+'Grid_Incoming'!CA10-'Grid_Requirement'!CA10))</f>
        <v/>
      </c>
      <c r="CB10">
        <f>IF(COUNTIFS(T_StockCount[Part Name],$A10,T_StockCount[WeekIndex],79)&gt;0,SUMIFS(T_StockCount[CountedQty],T_StockCount[Part Name],$A10,T_StockCount[WeekIndex],79),IF((('T_SelfStock'!CB14&lt;&gt;""))*(('T_TTAFStock'!CB14&lt;&gt;""))&gt;0,'T_SelfStock'!CB14+'T_TTAFStock'!CB14,CA10+'Grid_Incoming'!CB10-'Grid_Requirement'!CB10))</f>
        <v/>
      </c>
      <c r="CC10">
        <f>IF(COUNTIFS(T_StockCount[Part Name],$A10,T_StockCount[WeekIndex],80)&gt;0,SUMIFS(T_StockCount[CountedQty],T_StockCount[Part Name],$A10,T_StockCount[WeekIndex],80),IF((('T_SelfStock'!CC14&lt;&gt;""))*(('T_TTAFStock'!CC14&lt;&gt;""))&gt;0,'T_SelfStock'!CC14+'T_TTAFStock'!CC14,CB10+'Grid_Incoming'!CC10-'Grid_Requirement'!CC10))</f>
        <v/>
      </c>
      <c r="CD10">
        <f>IF(COUNTIFS(T_StockCount[Part Name],$A10,T_StockCount[WeekIndex],81)&gt;0,SUMIFS(T_StockCount[CountedQty],T_StockCount[Part Name],$A10,T_StockCount[WeekIndex],81),IF((('T_SelfStock'!CD14&lt;&gt;""))*(('T_TTAFStock'!CD14&lt;&gt;""))&gt;0,'T_SelfStock'!CD14+'T_TTAFStock'!CD14,CC10+'Grid_Incoming'!CD10-'Grid_Requirement'!CD10))</f>
        <v/>
      </c>
      <c r="CE10">
        <f>IF(COUNTIFS(T_StockCount[Part Name],$A10,T_StockCount[WeekIndex],82)&gt;0,SUMIFS(T_StockCount[CountedQty],T_StockCount[Part Name],$A10,T_StockCount[WeekIndex],82),IF((('T_SelfStock'!CE14&lt;&gt;""))*(('T_TTAFStock'!CE14&lt;&gt;""))&gt;0,'T_SelfStock'!CE14+'T_TTAFStock'!CE14,CD10+'Grid_Incoming'!CE10-'Grid_Requirement'!CE10))</f>
        <v/>
      </c>
      <c r="CF10">
        <f>IF(COUNTIFS(T_StockCount[Part Name],$A10,T_StockCount[WeekIndex],83)&gt;0,SUMIFS(T_StockCount[CountedQty],T_StockCount[Part Name],$A10,T_StockCount[WeekIndex],83),IF((('T_SelfStock'!CF14&lt;&gt;""))*(('T_TTAFStock'!CF14&lt;&gt;""))&gt;0,'T_SelfStock'!CF14+'T_TTAFStock'!CF14,CE10+'Grid_Incoming'!CF10-'Grid_Requirement'!CF10))</f>
        <v/>
      </c>
      <c r="CG10">
        <f>IF(COUNTIFS(T_StockCount[Part Name],$A10,T_StockCount[WeekIndex],84)&gt;0,SUMIFS(T_StockCount[CountedQty],T_StockCount[Part Name],$A10,T_StockCount[WeekIndex],84),IF((('T_SelfStock'!CG14&lt;&gt;""))*(('T_TTAFStock'!CG14&lt;&gt;""))&gt;0,'T_SelfStock'!CG14+'T_TTAFStock'!CG14,CF10+'Grid_Incoming'!CG10-'Grid_Requirement'!CG10))</f>
        <v/>
      </c>
      <c r="CH10">
        <f>IF(COUNTIFS(T_StockCount[Part Name],$A10,T_StockCount[WeekIndex],85)&gt;0,SUMIFS(T_StockCount[CountedQty],T_StockCount[Part Name],$A10,T_StockCount[WeekIndex],85),IF((('T_SelfStock'!CH14&lt;&gt;""))*(('T_TTAFStock'!CH14&lt;&gt;""))&gt;0,'T_SelfStock'!CH14+'T_TTAFStock'!CH14,CG10+'Grid_Incoming'!CH10-'Grid_Requirement'!CH10))</f>
        <v/>
      </c>
      <c r="CI10">
        <f>IF(COUNTIFS(T_StockCount[Part Name],$A10,T_StockCount[WeekIndex],86)&gt;0,SUMIFS(T_StockCount[CountedQty],T_StockCount[Part Name],$A10,T_StockCount[WeekIndex],86),IF((('T_SelfStock'!CI14&lt;&gt;""))*(('T_TTAFStock'!CI14&lt;&gt;""))&gt;0,'T_SelfStock'!CI14+'T_TTAFStock'!CI14,CH10+'Grid_Incoming'!CI10-'Grid_Requirement'!CI10))</f>
        <v/>
      </c>
      <c r="CJ10">
        <f>IF(COUNTIFS(T_StockCount[Part Name],$A10,T_StockCount[WeekIndex],87)&gt;0,SUMIFS(T_StockCount[CountedQty],T_StockCount[Part Name],$A10,T_StockCount[WeekIndex],87),IF((('T_SelfStock'!CJ14&lt;&gt;""))*(('T_TTAFStock'!CJ14&lt;&gt;""))&gt;0,'T_SelfStock'!CJ14+'T_TTAFStock'!CJ14,CI10+'Grid_Incoming'!CJ10-'Grid_Requirement'!CJ10))</f>
        <v/>
      </c>
      <c r="CK10">
        <f>IF(COUNTIFS(T_StockCount[Part Name],$A10,T_StockCount[WeekIndex],88)&gt;0,SUMIFS(T_StockCount[CountedQty],T_StockCount[Part Name],$A10,T_StockCount[WeekIndex],88),IF((('T_SelfStock'!CK14&lt;&gt;""))*(('T_TTAFStock'!CK14&lt;&gt;""))&gt;0,'T_SelfStock'!CK14+'T_TTAFStock'!CK14,CJ10+'Grid_Incoming'!CK10-'Grid_Requirement'!CK10))</f>
        <v/>
      </c>
      <c r="CL10">
        <f>IF(COUNTIFS(T_StockCount[Part Name],$A10,T_StockCount[WeekIndex],89)&gt;0,SUMIFS(T_StockCount[CountedQty],T_StockCount[Part Name],$A10,T_StockCount[WeekIndex],89),IF((('T_SelfStock'!CL14&lt;&gt;""))*(('T_TTAFStock'!CL14&lt;&gt;""))&gt;0,'T_SelfStock'!CL14+'T_TTAFStock'!CL14,CK10+'Grid_Incoming'!CL10-'Grid_Requirement'!CL10))</f>
        <v/>
      </c>
      <c r="CM10">
        <f>IF(COUNTIFS(T_StockCount[Part Name],$A10,T_StockCount[WeekIndex],90)&gt;0,SUMIFS(T_StockCount[CountedQty],T_StockCount[Part Name],$A10,T_StockCount[WeekIndex],90),IF((('T_SelfStock'!CM14&lt;&gt;""))*(('T_TTAFStock'!CM14&lt;&gt;""))&gt;0,'T_SelfStock'!CM14+'T_TTAFStock'!CM14,CL10+'Grid_Incoming'!CM10-'Grid_Requirement'!CM10))</f>
        <v/>
      </c>
      <c r="CN10">
        <f>IF(COUNTIFS(T_StockCount[Part Name],$A10,T_StockCount[WeekIndex],91)&gt;0,SUMIFS(T_StockCount[CountedQty],T_StockCount[Part Name],$A10,T_StockCount[WeekIndex],91),IF((('T_SelfStock'!CN14&lt;&gt;""))*(('T_TTAFStock'!CN14&lt;&gt;""))&gt;0,'T_SelfStock'!CN14+'T_TTAFStock'!CN14,CM10+'Grid_Incoming'!CN10-'Grid_Requirement'!CN10))</f>
        <v/>
      </c>
      <c r="CO10">
        <f>IF(COUNTIFS(T_StockCount[Part Name],$A10,T_StockCount[WeekIndex],92)&gt;0,SUMIFS(T_StockCount[CountedQty],T_StockCount[Part Name],$A10,T_StockCount[WeekIndex],92),IF((('T_SelfStock'!CO14&lt;&gt;""))*(('T_TTAFStock'!CO14&lt;&gt;""))&gt;0,'T_SelfStock'!CO14+'T_TTAFStock'!CO14,CN10+'Grid_Incoming'!CO10-'Grid_Requirement'!CO10))</f>
        <v/>
      </c>
      <c r="CP10">
        <f>IF(COUNTIFS(T_StockCount[Part Name],$A10,T_StockCount[WeekIndex],93)&gt;0,SUMIFS(T_StockCount[CountedQty],T_StockCount[Part Name],$A10,T_StockCount[WeekIndex],93),IF((('T_SelfStock'!CP14&lt;&gt;""))*(('T_TTAFStock'!CP14&lt;&gt;""))&gt;0,'T_SelfStock'!CP14+'T_TTAFStock'!CP14,CO10+'Grid_Incoming'!CP10-'Grid_Requirement'!CP10))</f>
        <v/>
      </c>
      <c r="CQ10">
        <f>IF(COUNTIFS(T_StockCount[Part Name],$A10,T_StockCount[WeekIndex],94)&gt;0,SUMIFS(T_StockCount[CountedQty],T_StockCount[Part Name],$A10,T_StockCount[WeekIndex],94),IF((('T_SelfStock'!CQ14&lt;&gt;""))*(('T_TTAFStock'!CQ14&lt;&gt;""))&gt;0,'T_SelfStock'!CQ14+'T_TTAFStock'!CQ14,CP10+'Grid_Incoming'!CQ10-'Grid_Requirement'!CQ10))</f>
        <v/>
      </c>
      <c r="CR10">
        <f>IF(COUNTIFS(T_StockCount[Part Name],$A10,T_StockCount[WeekIndex],95)&gt;0,SUMIFS(T_StockCount[CountedQty],T_StockCount[Part Name],$A10,T_StockCount[WeekIndex],95),IF((('T_SelfStock'!CR14&lt;&gt;""))*(('T_TTAFStock'!CR14&lt;&gt;""))&gt;0,'T_SelfStock'!CR14+'T_TTAFStock'!CR14,CQ10+'Grid_Incoming'!CR10-'Grid_Requirement'!CR10))</f>
        <v/>
      </c>
      <c r="CS10">
        <f>IF(COUNTIFS(T_StockCount[Part Name],$A10,T_StockCount[WeekIndex],96)&gt;0,SUMIFS(T_StockCount[CountedQty],T_StockCount[Part Name],$A10,T_StockCount[WeekIndex],96),IF((('T_SelfStock'!CS14&lt;&gt;""))*(('T_TTAFStock'!CS14&lt;&gt;""))&gt;0,'T_SelfStock'!CS14+'T_TTAFStock'!CS14,CR10+'Grid_Incoming'!CS10-'Grid_Requirement'!CS10))</f>
        <v/>
      </c>
      <c r="CT10">
        <f>IF(COUNTIFS(T_StockCount[Part Name],$A10,T_StockCount[WeekIndex],97)&gt;0,SUMIFS(T_StockCount[CountedQty],T_StockCount[Part Name],$A10,T_StockCount[WeekIndex],97),IF((('T_SelfStock'!CT14&lt;&gt;""))*(('T_TTAFStock'!CT14&lt;&gt;""))&gt;0,'T_SelfStock'!CT14+'T_TTAFStock'!CT14,CS10+'Grid_Incoming'!CT10-'Grid_Requirement'!CT10))</f>
        <v/>
      </c>
      <c r="CU10">
        <f>IF(COUNTIFS(T_StockCount[Part Name],$A10,T_StockCount[WeekIndex],98)&gt;0,SUMIFS(T_StockCount[CountedQty],T_StockCount[Part Name],$A10,T_StockCount[WeekIndex],98),IF((('T_SelfStock'!CU14&lt;&gt;""))*(('T_TTAFStock'!CU14&lt;&gt;""))&gt;0,'T_SelfStock'!CU14+'T_TTAFStock'!CU14,CT10+'Grid_Incoming'!CU10-'Grid_Requirement'!CU10))</f>
        <v/>
      </c>
      <c r="CV10">
        <f>IF(COUNTIFS(T_StockCount[Part Name],$A10,T_StockCount[WeekIndex],99)&gt;0,SUMIFS(T_StockCount[CountedQty],T_StockCount[Part Name],$A10,T_StockCount[WeekIndex],99),IF((('T_SelfStock'!CV14&lt;&gt;""))*(('T_TTAFStock'!CV14&lt;&gt;""))&gt;0,'T_SelfStock'!CV14+'T_TTAFStock'!CV14,CU10+'Grid_Incoming'!CV10-'Grid_Requirement'!CV10))</f>
        <v/>
      </c>
      <c r="CW10">
        <f>IF(COUNTIFS(T_StockCount[Part Name],$A10,T_StockCount[WeekIndex],100)&gt;0,SUMIFS(T_StockCount[CountedQty],T_StockCount[Part Name],$A10,T_StockCount[WeekIndex],100),IF((('T_SelfStock'!CW14&lt;&gt;""))*(('T_TTAFStock'!CW14&lt;&gt;""))&gt;0,'T_SelfStock'!CW14+'T_TTAFStock'!CW14,CV10+'Grid_Incoming'!CW10-'Grid_Requirement'!CW10))</f>
        <v/>
      </c>
      <c r="CX10">
        <f>IF(COUNTIFS(T_StockCount[Part Name],$A10,T_StockCount[WeekIndex],101)&gt;0,SUMIFS(T_StockCount[CountedQty],T_StockCount[Part Name],$A10,T_StockCount[WeekIndex],101),IF((('T_SelfStock'!CX14&lt;&gt;""))*(('T_TTAFStock'!CX14&lt;&gt;""))&gt;0,'T_SelfStock'!CX14+'T_TTAFStock'!CX14,CW10+'Grid_Incoming'!CX10-'Grid_Requirement'!CX10))</f>
        <v/>
      </c>
      <c r="CY10">
        <f>IF(COUNTIFS(T_StockCount[Part Name],$A10,T_StockCount[WeekIndex],102)&gt;0,SUMIFS(T_StockCount[CountedQty],T_StockCount[Part Name],$A10,T_StockCount[WeekIndex],102),IF((('T_SelfStock'!CY14&lt;&gt;""))*(('T_TTAFStock'!CY14&lt;&gt;""))&gt;0,'T_SelfStock'!CY14+'T_TTAFStock'!CY14,CX10+'Grid_Incoming'!CY10-'Grid_Requirement'!CY10))</f>
        <v/>
      </c>
      <c r="CZ10">
        <f>IF(COUNTIFS(T_StockCount[Part Name],$A10,T_StockCount[WeekIndex],103)&gt;0,SUMIFS(T_StockCount[CountedQty],T_StockCount[Part Name],$A10,T_StockCount[WeekIndex],103),IF((('T_SelfStock'!CZ14&lt;&gt;""))*(('T_TTAFStock'!CZ14&lt;&gt;""))&gt;0,'T_SelfStock'!CZ14+'T_TTAFStock'!CZ14,CY10+'Grid_Incoming'!CZ10-'Grid_Requirement'!CZ10))</f>
        <v/>
      </c>
      <c r="DA10">
        <f>IF(COUNTIFS(T_StockCount[Part Name],$A10,T_StockCount[WeekIndex],104)&gt;0,SUMIFS(T_StockCount[CountedQty],T_StockCount[Part Name],$A10,T_StockCount[WeekIndex],104),IF((('T_SelfStock'!DA14&lt;&gt;""))*(('T_TTAFStock'!DA14&lt;&gt;""))&gt;0,'T_SelfStock'!DA14+'T_TTAFStock'!DA14,CZ10+'Grid_Incoming'!DA10-'Grid_Requirement'!DA10))</f>
        <v/>
      </c>
    </row>
    <row r="11">
      <c r="A11" t="inlineStr">
        <is>
          <t>4HL</t>
        </is>
      </c>
      <c r="B11">
        <f>IF(COUNTIFS(T_StockCount[Part Name],$A11,T_StockCount[WeekIndex],1)&gt;0,SUMIFS(T_StockCount[CountedQty],T_StockCount[Part Name],$A11,T_StockCount[WeekIndex],1),IF((('T_SelfStock'!B15&lt;&gt;""))*(('T_TTAFStock'!B15&lt;&gt;""))&gt;0,'T_SelfStock'!B15+'T_TTAFStock'!B15,IFERROR(INDEX(T_OpeningStock[Opening_Qty],MATCH($A11,T_OpeningStock[Part Name],0)),0)+'Grid_Incoming'!B11-'Grid_Requirement'!B11))</f>
        <v/>
      </c>
      <c r="C11">
        <f>IF(COUNTIFS(T_StockCount[Part Name],$A11,T_StockCount[WeekIndex],2)&gt;0,SUMIFS(T_StockCount[CountedQty],T_StockCount[Part Name],$A11,T_StockCount[WeekIndex],2),IF((('T_SelfStock'!C15&lt;&gt;""))*(('T_TTAFStock'!C15&lt;&gt;""))&gt;0,'T_SelfStock'!C15+'T_TTAFStock'!C15,B11+'Grid_Incoming'!C11-'Grid_Requirement'!C11))</f>
        <v/>
      </c>
      <c r="D11">
        <f>IF(COUNTIFS(T_StockCount[Part Name],$A11,T_StockCount[WeekIndex],3)&gt;0,SUMIFS(T_StockCount[CountedQty],T_StockCount[Part Name],$A11,T_StockCount[WeekIndex],3),IF((('T_SelfStock'!D15&lt;&gt;""))*(('T_TTAFStock'!D15&lt;&gt;""))&gt;0,'T_SelfStock'!D15+'T_TTAFStock'!D15,C11+'Grid_Incoming'!D11-'Grid_Requirement'!D11))</f>
        <v/>
      </c>
      <c r="E11">
        <f>IF(COUNTIFS(T_StockCount[Part Name],$A11,T_StockCount[WeekIndex],4)&gt;0,SUMIFS(T_StockCount[CountedQty],T_StockCount[Part Name],$A11,T_StockCount[WeekIndex],4),IF((('T_SelfStock'!E15&lt;&gt;""))*(('T_TTAFStock'!E15&lt;&gt;""))&gt;0,'T_SelfStock'!E15+'T_TTAFStock'!E15,D11+'Grid_Incoming'!E11-'Grid_Requirement'!E11))</f>
        <v/>
      </c>
      <c r="F11">
        <f>IF(COUNTIFS(T_StockCount[Part Name],$A11,T_StockCount[WeekIndex],5)&gt;0,SUMIFS(T_StockCount[CountedQty],T_StockCount[Part Name],$A11,T_StockCount[WeekIndex],5),IF((('T_SelfStock'!F15&lt;&gt;""))*(('T_TTAFStock'!F15&lt;&gt;""))&gt;0,'T_SelfStock'!F15+'T_TTAFStock'!F15,E11+'Grid_Incoming'!F11-'Grid_Requirement'!F11))</f>
        <v/>
      </c>
      <c r="G11">
        <f>IF(COUNTIFS(T_StockCount[Part Name],$A11,T_StockCount[WeekIndex],6)&gt;0,SUMIFS(T_StockCount[CountedQty],T_StockCount[Part Name],$A11,T_StockCount[WeekIndex],6),IF((('T_SelfStock'!G15&lt;&gt;""))*(('T_TTAFStock'!G15&lt;&gt;""))&gt;0,'T_SelfStock'!G15+'T_TTAFStock'!G15,F11+'Grid_Incoming'!G11-'Grid_Requirement'!G11))</f>
        <v/>
      </c>
      <c r="H11">
        <f>IF(COUNTIFS(T_StockCount[Part Name],$A11,T_StockCount[WeekIndex],7)&gt;0,SUMIFS(T_StockCount[CountedQty],T_StockCount[Part Name],$A11,T_StockCount[WeekIndex],7),IF((('T_SelfStock'!H15&lt;&gt;""))*(('T_TTAFStock'!H15&lt;&gt;""))&gt;0,'T_SelfStock'!H15+'T_TTAFStock'!H15,G11+'Grid_Incoming'!H11-'Grid_Requirement'!H11))</f>
        <v/>
      </c>
      <c r="I11">
        <f>IF(COUNTIFS(T_StockCount[Part Name],$A11,T_StockCount[WeekIndex],8)&gt;0,SUMIFS(T_StockCount[CountedQty],T_StockCount[Part Name],$A11,T_StockCount[WeekIndex],8),IF((('T_SelfStock'!I15&lt;&gt;""))*(('T_TTAFStock'!I15&lt;&gt;""))&gt;0,'T_SelfStock'!I15+'T_TTAFStock'!I15,H11+'Grid_Incoming'!I11-'Grid_Requirement'!I11))</f>
        <v/>
      </c>
      <c r="J11">
        <f>IF(COUNTIFS(T_StockCount[Part Name],$A11,T_StockCount[WeekIndex],9)&gt;0,SUMIFS(T_StockCount[CountedQty],T_StockCount[Part Name],$A11,T_StockCount[WeekIndex],9),IF((('T_SelfStock'!J15&lt;&gt;""))*(('T_TTAFStock'!J15&lt;&gt;""))&gt;0,'T_SelfStock'!J15+'T_TTAFStock'!J15,I11+'Grid_Incoming'!J11-'Grid_Requirement'!J11))</f>
        <v/>
      </c>
      <c r="K11">
        <f>IF(COUNTIFS(T_StockCount[Part Name],$A11,T_StockCount[WeekIndex],10)&gt;0,SUMIFS(T_StockCount[CountedQty],T_StockCount[Part Name],$A11,T_StockCount[WeekIndex],10),IF((('T_SelfStock'!K15&lt;&gt;""))*(('T_TTAFStock'!K15&lt;&gt;""))&gt;0,'T_SelfStock'!K15+'T_TTAFStock'!K15,J11+'Grid_Incoming'!K11-'Grid_Requirement'!K11))</f>
        <v/>
      </c>
      <c r="L11">
        <f>IF(COUNTIFS(T_StockCount[Part Name],$A11,T_StockCount[WeekIndex],11)&gt;0,SUMIFS(T_StockCount[CountedQty],T_StockCount[Part Name],$A11,T_StockCount[WeekIndex],11),IF((('T_SelfStock'!L15&lt;&gt;""))*(('T_TTAFStock'!L15&lt;&gt;""))&gt;0,'T_SelfStock'!L15+'T_TTAFStock'!L15,K11+'Grid_Incoming'!L11-'Grid_Requirement'!L11))</f>
        <v/>
      </c>
      <c r="M11">
        <f>IF(COUNTIFS(T_StockCount[Part Name],$A11,T_StockCount[WeekIndex],12)&gt;0,SUMIFS(T_StockCount[CountedQty],T_StockCount[Part Name],$A11,T_StockCount[WeekIndex],12),IF((('T_SelfStock'!M15&lt;&gt;""))*(('T_TTAFStock'!M15&lt;&gt;""))&gt;0,'T_SelfStock'!M15+'T_TTAFStock'!M15,L11+'Grid_Incoming'!M11-'Grid_Requirement'!M11))</f>
        <v/>
      </c>
      <c r="N11">
        <f>IF(COUNTIFS(T_StockCount[Part Name],$A11,T_StockCount[WeekIndex],13)&gt;0,SUMIFS(T_StockCount[CountedQty],T_StockCount[Part Name],$A11,T_StockCount[WeekIndex],13),IF((('T_SelfStock'!N15&lt;&gt;""))*(('T_TTAFStock'!N15&lt;&gt;""))&gt;0,'T_SelfStock'!N15+'T_TTAFStock'!N15,M11+'Grid_Incoming'!N11-'Grid_Requirement'!N11))</f>
        <v/>
      </c>
      <c r="O11">
        <f>IF(COUNTIFS(T_StockCount[Part Name],$A11,T_StockCount[WeekIndex],14)&gt;0,SUMIFS(T_StockCount[CountedQty],T_StockCount[Part Name],$A11,T_StockCount[WeekIndex],14),IF((('T_SelfStock'!O15&lt;&gt;""))*(('T_TTAFStock'!O15&lt;&gt;""))&gt;0,'T_SelfStock'!O15+'T_TTAFStock'!O15,N11+'Grid_Incoming'!O11-'Grid_Requirement'!O11))</f>
        <v/>
      </c>
      <c r="P11">
        <f>IF(COUNTIFS(T_StockCount[Part Name],$A11,T_StockCount[WeekIndex],15)&gt;0,SUMIFS(T_StockCount[CountedQty],T_StockCount[Part Name],$A11,T_StockCount[WeekIndex],15),IF((('T_SelfStock'!P15&lt;&gt;""))*(('T_TTAFStock'!P15&lt;&gt;""))&gt;0,'T_SelfStock'!P15+'T_TTAFStock'!P15,O11+'Grid_Incoming'!P11-'Grid_Requirement'!P11))</f>
        <v/>
      </c>
      <c r="Q11">
        <f>IF(COUNTIFS(T_StockCount[Part Name],$A11,T_StockCount[WeekIndex],16)&gt;0,SUMIFS(T_StockCount[CountedQty],T_StockCount[Part Name],$A11,T_StockCount[WeekIndex],16),IF((('T_SelfStock'!Q15&lt;&gt;""))*(('T_TTAFStock'!Q15&lt;&gt;""))&gt;0,'T_SelfStock'!Q15+'T_TTAFStock'!Q15,P11+'Grid_Incoming'!Q11-'Grid_Requirement'!Q11))</f>
        <v/>
      </c>
      <c r="R11">
        <f>IF(COUNTIFS(T_StockCount[Part Name],$A11,T_StockCount[WeekIndex],17)&gt;0,SUMIFS(T_StockCount[CountedQty],T_StockCount[Part Name],$A11,T_StockCount[WeekIndex],17),IF((('T_SelfStock'!R15&lt;&gt;""))*(('T_TTAFStock'!R15&lt;&gt;""))&gt;0,'T_SelfStock'!R15+'T_TTAFStock'!R15,Q11+'Grid_Incoming'!R11-'Grid_Requirement'!R11))</f>
        <v/>
      </c>
      <c r="S11">
        <f>IF(COUNTIFS(T_StockCount[Part Name],$A11,T_StockCount[WeekIndex],18)&gt;0,SUMIFS(T_StockCount[CountedQty],T_StockCount[Part Name],$A11,T_StockCount[WeekIndex],18),IF((('T_SelfStock'!S15&lt;&gt;""))*(('T_TTAFStock'!S15&lt;&gt;""))&gt;0,'T_SelfStock'!S15+'T_TTAFStock'!S15,R11+'Grid_Incoming'!S11-'Grid_Requirement'!S11))</f>
        <v/>
      </c>
      <c r="T11">
        <f>IF(COUNTIFS(T_StockCount[Part Name],$A11,T_StockCount[WeekIndex],19)&gt;0,SUMIFS(T_StockCount[CountedQty],T_StockCount[Part Name],$A11,T_StockCount[WeekIndex],19),IF((('T_SelfStock'!T15&lt;&gt;""))*(('T_TTAFStock'!T15&lt;&gt;""))&gt;0,'T_SelfStock'!T15+'T_TTAFStock'!T15,S11+'Grid_Incoming'!T11-'Grid_Requirement'!T11))</f>
        <v/>
      </c>
      <c r="U11">
        <f>IF(COUNTIFS(T_StockCount[Part Name],$A11,T_StockCount[WeekIndex],20)&gt;0,SUMIFS(T_StockCount[CountedQty],T_StockCount[Part Name],$A11,T_StockCount[WeekIndex],20),IF((('T_SelfStock'!U15&lt;&gt;""))*(('T_TTAFStock'!U15&lt;&gt;""))&gt;0,'T_SelfStock'!U15+'T_TTAFStock'!U15,T11+'Grid_Incoming'!U11-'Grid_Requirement'!U11))</f>
        <v/>
      </c>
      <c r="V11">
        <f>IF(COUNTIFS(T_StockCount[Part Name],$A11,T_StockCount[WeekIndex],21)&gt;0,SUMIFS(T_StockCount[CountedQty],T_StockCount[Part Name],$A11,T_StockCount[WeekIndex],21),IF((('T_SelfStock'!V15&lt;&gt;""))*(('T_TTAFStock'!V15&lt;&gt;""))&gt;0,'T_SelfStock'!V15+'T_TTAFStock'!V15,U11+'Grid_Incoming'!V11-'Grid_Requirement'!V11))</f>
        <v/>
      </c>
      <c r="W11">
        <f>IF(COUNTIFS(T_StockCount[Part Name],$A11,T_StockCount[WeekIndex],22)&gt;0,SUMIFS(T_StockCount[CountedQty],T_StockCount[Part Name],$A11,T_StockCount[WeekIndex],22),IF((('T_SelfStock'!W15&lt;&gt;""))*(('T_TTAFStock'!W15&lt;&gt;""))&gt;0,'T_SelfStock'!W15+'T_TTAFStock'!W15,V11+'Grid_Incoming'!W11-'Grid_Requirement'!W11))</f>
        <v/>
      </c>
      <c r="X11">
        <f>IF(COUNTIFS(T_StockCount[Part Name],$A11,T_StockCount[WeekIndex],23)&gt;0,SUMIFS(T_StockCount[CountedQty],T_StockCount[Part Name],$A11,T_StockCount[WeekIndex],23),IF((('T_SelfStock'!X15&lt;&gt;""))*(('T_TTAFStock'!X15&lt;&gt;""))&gt;0,'T_SelfStock'!X15+'T_TTAFStock'!X15,W11+'Grid_Incoming'!X11-'Grid_Requirement'!X11))</f>
        <v/>
      </c>
      <c r="Y11">
        <f>IF(COUNTIFS(T_StockCount[Part Name],$A11,T_StockCount[WeekIndex],24)&gt;0,SUMIFS(T_StockCount[CountedQty],T_StockCount[Part Name],$A11,T_StockCount[WeekIndex],24),IF((('T_SelfStock'!Y15&lt;&gt;""))*(('T_TTAFStock'!Y15&lt;&gt;""))&gt;0,'T_SelfStock'!Y15+'T_TTAFStock'!Y15,X11+'Grid_Incoming'!Y11-'Grid_Requirement'!Y11))</f>
        <v/>
      </c>
      <c r="Z11">
        <f>IF(COUNTIFS(T_StockCount[Part Name],$A11,T_StockCount[WeekIndex],25)&gt;0,SUMIFS(T_StockCount[CountedQty],T_StockCount[Part Name],$A11,T_StockCount[WeekIndex],25),IF((('T_SelfStock'!Z15&lt;&gt;""))*(('T_TTAFStock'!Z15&lt;&gt;""))&gt;0,'T_SelfStock'!Z15+'T_TTAFStock'!Z15,Y11+'Grid_Incoming'!Z11-'Grid_Requirement'!Z11))</f>
        <v/>
      </c>
      <c r="AA11">
        <f>IF(COUNTIFS(T_StockCount[Part Name],$A11,T_StockCount[WeekIndex],26)&gt;0,SUMIFS(T_StockCount[CountedQty],T_StockCount[Part Name],$A11,T_StockCount[WeekIndex],26),IF((('T_SelfStock'!AA15&lt;&gt;""))*(('T_TTAFStock'!AA15&lt;&gt;""))&gt;0,'T_SelfStock'!AA15+'T_TTAFStock'!AA15,Z11+'Grid_Incoming'!AA11-'Grid_Requirement'!AA11))</f>
        <v/>
      </c>
      <c r="AB11">
        <f>IF(COUNTIFS(T_StockCount[Part Name],$A11,T_StockCount[WeekIndex],27)&gt;0,SUMIFS(T_StockCount[CountedQty],T_StockCount[Part Name],$A11,T_StockCount[WeekIndex],27),IF((('T_SelfStock'!AB15&lt;&gt;""))*(('T_TTAFStock'!AB15&lt;&gt;""))&gt;0,'T_SelfStock'!AB15+'T_TTAFStock'!AB15,AA11+'Grid_Incoming'!AB11-'Grid_Requirement'!AB11))</f>
        <v/>
      </c>
      <c r="AC11">
        <f>IF(COUNTIFS(T_StockCount[Part Name],$A11,T_StockCount[WeekIndex],28)&gt;0,SUMIFS(T_StockCount[CountedQty],T_StockCount[Part Name],$A11,T_StockCount[WeekIndex],28),IF((('T_SelfStock'!AC15&lt;&gt;""))*(('T_TTAFStock'!AC15&lt;&gt;""))&gt;0,'T_SelfStock'!AC15+'T_TTAFStock'!AC15,AB11+'Grid_Incoming'!AC11-'Grid_Requirement'!AC11))</f>
        <v/>
      </c>
      <c r="AD11">
        <f>IF(COUNTIFS(T_StockCount[Part Name],$A11,T_StockCount[WeekIndex],29)&gt;0,SUMIFS(T_StockCount[CountedQty],T_StockCount[Part Name],$A11,T_StockCount[WeekIndex],29),IF((('T_SelfStock'!AD15&lt;&gt;""))*(('T_TTAFStock'!AD15&lt;&gt;""))&gt;0,'T_SelfStock'!AD15+'T_TTAFStock'!AD15,AC11+'Grid_Incoming'!AD11-'Grid_Requirement'!AD11))</f>
        <v/>
      </c>
      <c r="AE11">
        <f>IF(COUNTIFS(T_StockCount[Part Name],$A11,T_StockCount[WeekIndex],30)&gt;0,SUMIFS(T_StockCount[CountedQty],T_StockCount[Part Name],$A11,T_StockCount[WeekIndex],30),IF((('T_SelfStock'!AE15&lt;&gt;""))*(('T_TTAFStock'!AE15&lt;&gt;""))&gt;0,'T_SelfStock'!AE15+'T_TTAFStock'!AE15,AD11+'Grid_Incoming'!AE11-'Grid_Requirement'!AE11))</f>
        <v/>
      </c>
      <c r="AF11">
        <f>IF(COUNTIFS(T_StockCount[Part Name],$A11,T_StockCount[WeekIndex],31)&gt;0,SUMIFS(T_StockCount[CountedQty],T_StockCount[Part Name],$A11,T_StockCount[WeekIndex],31),IF((('T_SelfStock'!AF15&lt;&gt;""))*(('T_TTAFStock'!AF15&lt;&gt;""))&gt;0,'T_SelfStock'!AF15+'T_TTAFStock'!AF15,AE11+'Grid_Incoming'!AF11-'Grid_Requirement'!AF11))</f>
        <v/>
      </c>
      <c r="AG11">
        <f>IF(COUNTIFS(T_StockCount[Part Name],$A11,T_StockCount[WeekIndex],32)&gt;0,SUMIFS(T_StockCount[CountedQty],T_StockCount[Part Name],$A11,T_StockCount[WeekIndex],32),IF((('T_SelfStock'!AG15&lt;&gt;""))*(('T_TTAFStock'!AG15&lt;&gt;""))&gt;0,'T_SelfStock'!AG15+'T_TTAFStock'!AG15,AF11+'Grid_Incoming'!AG11-'Grid_Requirement'!AG11))</f>
        <v/>
      </c>
      <c r="AH11">
        <f>IF(COUNTIFS(T_StockCount[Part Name],$A11,T_StockCount[WeekIndex],33)&gt;0,SUMIFS(T_StockCount[CountedQty],T_StockCount[Part Name],$A11,T_StockCount[WeekIndex],33),IF((('T_SelfStock'!AH15&lt;&gt;""))*(('T_TTAFStock'!AH15&lt;&gt;""))&gt;0,'T_SelfStock'!AH15+'T_TTAFStock'!AH15,AG11+'Grid_Incoming'!AH11-'Grid_Requirement'!AH11))</f>
        <v/>
      </c>
      <c r="AI11">
        <f>IF(COUNTIFS(T_StockCount[Part Name],$A11,T_StockCount[WeekIndex],34)&gt;0,SUMIFS(T_StockCount[CountedQty],T_StockCount[Part Name],$A11,T_StockCount[WeekIndex],34),IF((('T_SelfStock'!AI15&lt;&gt;""))*(('T_TTAFStock'!AI15&lt;&gt;""))&gt;0,'T_SelfStock'!AI15+'T_TTAFStock'!AI15,AH11+'Grid_Incoming'!AI11-'Grid_Requirement'!AI11))</f>
        <v/>
      </c>
      <c r="AJ11">
        <f>IF(COUNTIFS(T_StockCount[Part Name],$A11,T_StockCount[WeekIndex],35)&gt;0,SUMIFS(T_StockCount[CountedQty],T_StockCount[Part Name],$A11,T_StockCount[WeekIndex],35),IF((('T_SelfStock'!AJ15&lt;&gt;""))*(('T_TTAFStock'!AJ15&lt;&gt;""))&gt;0,'T_SelfStock'!AJ15+'T_TTAFStock'!AJ15,AI11+'Grid_Incoming'!AJ11-'Grid_Requirement'!AJ11))</f>
        <v/>
      </c>
      <c r="AK11">
        <f>IF(COUNTIFS(T_StockCount[Part Name],$A11,T_StockCount[WeekIndex],36)&gt;0,SUMIFS(T_StockCount[CountedQty],T_StockCount[Part Name],$A11,T_StockCount[WeekIndex],36),IF((('T_SelfStock'!AK15&lt;&gt;""))*(('T_TTAFStock'!AK15&lt;&gt;""))&gt;0,'T_SelfStock'!AK15+'T_TTAFStock'!AK15,AJ11+'Grid_Incoming'!AK11-'Grid_Requirement'!AK11))</f>
        <v/>
      </c>
      <c r="AL11">
        <f>IF(COUNTIFS(T_StockCount[Part Name],$A11,T_StockCount[WeekIndex],37)&gt;0,SUMIFS(T_StockCount[CountedQty],T_StockCount[Part Name],$A11,T_StockCount[WeekIndex],37),IF((('T_SelfStock'!AL15&lt;&gt;""))*(('T_TTAFStock'!AL15&lt;&gt;""))&gt;0,'T_SelfStock'!AL15+'T_TTAFStock'!AL15,AK11+'Grid_Incoming'!AL11-'Grid_Requirement'!AL11))</f>
        <v/>
      </c>
      <c r="AM11">
        <f>IF(COUNTIFS(T_StockCount[Part Name],$A11,T_StockCount[WeekIndex],38)&gt;0,SUMIFS(T_StockCount[CountedQty],T_StockCount[Part Name],$A11,T_StockCount[WeekIndex],38),IF((('T_SelfStock'!AM15&lt;&gt;""))*(('T_TTAFStock'!AM15&lt;&gt;""))&gt;0,'T_SelfStock'!AM15+'T_TTAFStock'!AM15,AL11+'Grid_Incoming'!AM11-'Grid_Requirement'!AM11))</f>
        <v/>
      </c>
      <c r="AN11">
        <f>IF(COUNTIFS(T_StockCount[Part Name],$A11,T_StockCount[WeekIndex],39)&gt;0,SUMIFS(T_StockCount[CountedQty],T_StockCount[Part Name],$A11,T_StockCount[WeekIndex],39),IF((('T_SelfStock'!AN15&lt;&gt;""))*(('T_TTAFStock'!AN15&lt;&gt;""))&gt;0,'T_SelfStock'!AN15+'T_TTAFStock'!AN15,AM11+'Grid_Incoming'!AN11-'Grid_Requirement'!AN11))</f>
        <v/>
      </c>
      <c r="AO11">
        <f>IF(COUNTIFS(T_StockCount[Part Name],$A11,T_StockCount[WeekIndex],40)&gt;0,SUMIFS(T_StockCount[CountedQty],T_StockCount[Part Name],$A11,T_StockCount[WeekIndex],40),IF((('T_SelfStock'!AO15&lt;&gt;""))*(('T_TTAFStock'!AO15&lt;&gt;""))&gt;0,'T_SelfStock'!AO15+'T_TTAFStock'!AO15,AN11+'Grid_Incoming'!AO11-'Grid_Requirement'!AO11))</f>
        <v/>
      </c>
      <c r="AP11">
        <f>IF(COUNTIFS(T_StockCount[Part Name],$A11,T_StockCount[WeekIndex],41)&gt;0,SUMIFS(T_StockCount[CountedQty],T_StockCount[Part Name],$A11,T_StockCount[WeekIndex],41),IF((('T_SelfStock'!AP15&lt;&gt;""))*(('T_TTAFStock'!AP15&lt;&gt;""))&gt;0,'T_SelfStock'!AP15+'T_TTAFStock'!AP15,AO11+'Grid_Incoming'!AP11-'Grid_Requirement'!AP11))</f>
        <v/>
      </c>
      <c r="AQ11">
        <f>IF(COUNTIFS(T_StockCount[Part Name],$A11,T_StockCount[WeekIndex],42)&gt;0,SUMIFS(T_StockCount[CountedQty],T_StockCount[Part Name],$A11,T_StockCount[WeekIndex],42),IF((('T_SelfStock'!AQ15&lt;&gt;""))*(('T_TTAFStock'!AQ15&lt;&gt;""))&gt;0,'T_SelfStock'!AQ15+'T_TTAFStock'!AQ15,AP11+'Grid_Incoming'!AQ11-'Grid_Requirement'!AQ11))</f>
        <v/>
      </c>
      <c r="AR11">
        <f>IF(COUNTIFS(T_StockCount[Part Name],$A11,T_StockCount[WeekIndex],43)&gt;0,SUMIFS(T_StockCount[CountedQty],T_StockCount[Part Name],$A11,T_StockCount[WeekIndex],43),IF((('T_SelfStock'!AR15&lt;&gt;""))*(('T_TTAFStock'!AR15&lt;&gt;""))&gt;0,'T_SelfStock'!AR15+'T_TTAFStock'!AR15,AQ11+'Grid_Incoming'!AR11-'Grid_Requirement'!AR11))</f>
        <v/>
      </c>
      <c r="AS11">
        <f>IF(COUNTIFS(T_StockCount[Part Name],$A11,T_StockCount[WeekIndex],44)&gt;0,SUMIFS(T_StockCount[CountedQty],T_StockCount[Part Name],$A11,T_StockCount[WeekIndex],44),IF((('T_SelfStock'!AS15&lt;&gt;""))*(('T_TTAFStock'!AS15&lt;&gt;""))&gt;0,'T_SelfStock'!AS15+'T_TTAFStock'!AS15,AR11+'Grid_Incoming'!AS11-'Grid_Requirement'!AS11))</f>
        <v/>
      </c>
      <c r="AT11">
        <f>IF(COUNTIFS(T_StockCount[Part Name],$A11,T_StockCount[WeekIndex],45)&gt;0,SUMIFS(T_StockCount[CountedQty],T_StockCount[Part Name],$A11,T_StockCount[WeekIndex],45),IF((('T_SelfStock'!AT15&lt;&gt;""))*(('T_TTAFStock'!AT15&lt;&gt;""))&gt;0,'T_SelfStock'!AT15+'T_TTAFStock'!AT15,AS11+'Grid_Incoming'!AT11-'Grid_Requirement'!AT11))</f>
        <v/>
      </c>
      <c r="AU11">
        <f>IF(COUNTIFS(T_StockCount[Part Name],$A11,T_StockCount[WeekIndex],46)&gt;0,SUMIFS(T_StockCount[CountedQty],T_StockCount[Part Name],$A11,T_StockCount[WeekIndex],46),IF((('T_SelfStock'!AU15&lt;&gt;""))*(('T_TTAFStock'!AU15&lt;&gt;""))&gt;0,'T_SelfStock'!AU15+'T_TTAFStock'!AU15,AT11+'Grid_Incoming'!AU11-'Grid_Requirement'!AU11))</f>
        <v/>
      </c>
      <c r="AV11">
        <f>IF(COUNTIFS(T_StockCount[Part Name],$A11,T_StockCount[WeekIndex],47)&gt;0,SUMIFS(T_StockCount[CountedQty],T_StockCount[Part Name],$A11,T_StockCount[WeekIndex],47),IF((('T_SelfStock'!AV15&lt;&gt;""))*(('T_TTAFStock'!AV15&lt;&gt;""))&gt;0,'T_SelfStock'!AV15+'T_TTAFStock'!AV15,AU11+'Grid_Incoming'!AV11-'Grid_Requirement'!AV11))</f>
        <v/>
      </c>
      <c r="AW11">
        <f>IF(COUNTIFS(T_StockCount[Part Name],$A11,T_StockCount[WeekIndex],48)&gt;0,SUMIFS(T_StockCount[CountedQty],T_StockCount[Part Name],$A11,T_StockCount[WeekIndex],48),IF((('T_SelfStock'!AW15&lt;&gt;""))*(('T_TTAFStock'!AW15&lt;&gt;""))&gt;0,'T_SelfStock'!AW15+'T_TTAFStock'!AW15,AV11+'Grid_Incoming'!AW11-'Grid_Requirement'!AW11))</f>
        <v/>
      </c>
      <c r="AX11">
        <f>IF(COUNTIFS(T_StockCount[Part Name],$A11,T_StockCount[WeekIndex],49)&gt;0,SUMIFS(T_StockCount[CountedQty],T_StockCount[Part Name],$A11,T_StockCount[WeekIndex],49),IF((('T_SelfStock'!AX15&lt;&gt;""))*(('T_TTAFStock'!AX15&lt;&gt;""))&gt;0,'T_SelfStock'!AX15+'T_TTAFStock'!AX15,AW11+'Grid_Incoming'!AX11-'Grid_Requirement'!AX11))</f>
        <v/>
      </c>
      <c r="AY11">
        <f>IF(COUNTIFS(T_StockCount[Part Name],$A11,T_StockCount[WeekIndex],50)&gt;0,SUMIFS(T_StockCount[CountedQty],T_StockCount[Part Name],$A11,T_StockCount[WeekIndex],50),IF((('T_SelfStock'!AY15&lt;&gt;""))*(('T_TTAFStock'!AY15&lt;&gt;""))&gt;0,'T_SelfStock'!AY15+'T_TTAFStock'!AY15,AX11+'Grid_Incoming'!AY11-'Grid_Requirement'!AY11))</f>
        <v/>
      </c>
      <c r="AZ11">
        <f>IF(COUNTIFS(T_StockCount[Part Name],$A11,T_StockCount[WeekIndex],51)&gt;0,SUMIFS(T_StockCount[CountedQty],T_StockCount[Part Name],$A11,T_StockCount[WeekIndex],51),IF((('T_SelfStock'!AZ15&lt;&gt;""))*(('T_TTAFStock'!AZ15&lt;&gt;""))&gt;0,'T_SelfStock'!AZ15+'T_TTAFStock'!AZ15,AY11+'Grid_Incoming'!AZ11-'Grid_Requirement'!AZ11))</f>
        <v/>
      </c>
      <c r="BA11">
        <f>IF(COUNTIFS(T_StockCount[Part Name],$A11,T_StockCount[WeekIndex],52)&gt;0,SUMIFS(T_StockCount[CountedQty],T_StockCount[Part Name],$A11,T_StockCount[WeekIndex],52),IF((('T_SelfStock'!BA15&lt;&gt;""))*(('T_TTAFStock'!BA15&lt;&gt;""))&gt;0,'T_SelfStock'!BA15+'T_TTAFStock'!BA15,AZ11+'Grid_Incoming'!BA11-'Grid_Requirement'!BA11))</f>
        <v/>
      </c>
      <c r="BB11">
        <f>IF(COUNTIFS(T_StockCount[Part Name],$A11,T_StockCount[WeekIndex],53)&gt;0,SUMIFS(T_StockCount[CountedQty],T_StockCount[Part Name],$A11,T_StockCount[WeekIndex],53),IF((('T_SelfStock'!BB15&lt;&gt;""))*(('T_TTAFStock'!BB15&lt;&gt;""))&gt;0,'T_SelfStock'!BB15+'T_TTAFStock'!BB15,BA11+'Grid_Incoming'!BB11-'Grid_Requirement'!BB11))</f>
        <v/>
      </c>
      <c r="BC11">
        <f>IF(COUNTIFS(T_StockCount[Part Name],$A11,T_StockCount[WeekIndex],54)&gt;0,SUMIFS(T_StockCount[CountedQty],T_StockCount[Part Name],$A11,T_StockCount[WeekIndex],54),IF((('T_SelfStock'!BC15&lt;&gt;""))*(('T_TTAFStock'!BC15&lt;&gt;""))&gt;0,'T_SelfStock'!BC15+'T_TTAFStock'!BC15,BB11+'Grid_Incoming'!BC11-'Grid_Requirement'!BC11))</f>
        <v/>
      </c>
      <c r="BD11">
        <f>IF(COUNTIFS(T_StockCount[Part Name],$A11,T_StockCount[WeekIndex],55)&gt;0,SUMIFS(T_StockCount[CountedQty],T_StockCount[Part Name],$A11,T_StockCount[WeekIndex],55),IF((('T_SelfStock'!BD15&lt;&gt;""))*(('T_TTAFStock'!BD15&lt;&gt;""))&gt;0,'T_SelfStock'!BD15+'T_TTAFStock'!BD15,BC11+'Grid_Incoming'!BD11-'Grid_Requirement'!BD11))</f>
        <v/>
      </c>
      <c r="BE11">
        <f>IF(COUNTIFS(T_StockCount[Part Name],$A11,T_StockCount[WeekIndex],56)&gt;0,SUMIFS(T_StockCount[CountedQty],T_StockCount[Part Name],$A11,T_StockCount[WeekIndex],56),IF((('T_SelfStock'!BE15&lt;&gt;""))*(('T_TTAFStock'!BE15&lt;&gt;""))&gt;0,'T_SelfStock'!BE15+'T_TTAFStock'!BE15,BD11+'Grid_Incoming'!BE11-'Grid_Requirement'!BE11))</f>
        <v/>
      </c>
      <c r="BF11">
        <f>IF(COUNTIFS(T_StockCount[Part Name],$A11,T_StockCount[WeekIndex],57)&gt;0,SUMIFS(T_StockCount[CountedQty],T_StockCount[Part Name],$A11,T_StockCount[WeekIndex],57),IF((('T_SelfStock'!BF15&lt;&gt;""))*(('T_TTAFStock'!BF15&lt;&gt;""))&gt;0,'T_SelfStock'!BF15+'T_TTAFStock'!BF15,BE11+'Grid_Incoming'!BF11-'Grid_Requirement'!BF11))</f>
        <v/>
      </c>
      <c r="BG11">
        <f>IF(COUNTIFS(T_StockCount[Part Name],$A11,T_StockCount[WeekIndex],58)&gt;0,SUMIFS(T_StockCount[CountedQty],T_StockCount[Part Name],$A11,T_StockCount[WeekIndex],58),IF((('T_SelfStock'!BG15&lt;&gt;""))*(('T_TTAFStock'!BG15&lt;&gt;""))&gt;0,'T_SelfStock'!BG15+'T_TTAFStock'!BG15,BF11+'Grid_Incoming'!BG11-'Grid_Requirement'!BG11))</f>
        <v/>
      </c>
      <c r="BH11">
        <f>IF(COUNTIFS(T_StockCount[Part Name],$A11,T_StockCount[WeekIndex],59)&gt;0,SUMIFS(T_StockCount[CountedQty],T_StockCount[Part Name],$A11,T_StockCount[WeekIndex],59),IF((('T_SelfStock'!BH15&lt;&gt;""))*(('T_TTAFStock'!BH15&lt;&gt;""))&gt;0,'T_SelfStock'!BH15+'T_TTAFStock'!BH15,BG11+'Grid_Incoming'!BH11-'Grid_Requirement'!BH11))</f>
        <v/>
      </c>
      <c r="BI11">
        <f>IF(COUNTIFS(T_StockCount[Part Name],$A11,T_StockCount[WeekIndex],60)&gt;0,SUMIFS(T_StockCount[CountedQty],T_StockCount[Part Name],$A11,T_StockCount[WeekIndex],60),IF((('T_SelfStock'!BI15&lt;&gt;""))*(('T_TTAFStock'!BI15&lt;&gt;""))&gt;0,'T_SelfStock'!BI15+'T_TTAFStock'!BI15,BH11+'Grid_Incoming'!BI11-'Grid_Requirement'!BI11))</f>
        <v/>
      </c>
      <c r="BJ11">
        <f>IF(COUNTIFS(T_StockCount[Part Name],$A11,T_StockCount[WeekIndex],61)&gt;0,SUMIFS(T_StockCount[CountedQty],T_StockCount[Part Name],$A11,T_StockCount[WeekIndex],61),IF((('T_SelfStock'!BJ15&lt;&gt;""))*(('T_TTAFStock'!BJ15&lt;&gt;""))&gt;0,'T_SelfStock'!BJ15+'T_TTAFStock'!BJ15,BI11+'Grid_Incoming'!BJ11-'Grid_Requirement'!BJ11))</f>
        <v/>
      </c>
      <c r="BK11">
        <f>IF(COUNTIFS(T_StockCount[Part Name],$A11,T_StockCount[WeekIndex],62)&gt;0,SUMIFS(T_StockCount[CountedQty],T_StockCount[Part Name],$A11,T_StockCount[WeekIndex],62),IF((('T_SelfStock'!BK15&lt;&gt;""))*(('T_TTAFStock'!BK15&lt;&gt;""))&gt;0,'T_SelfStock'!BK15+'T_TTAFStock'!BK15,BJ11+'Grid_Incoming'!BK11-'Grid_Requirement'!BK11))</f>
        <v/>
      </c>
      <c r="BL11">
        <f>IF(COUNTIFS(T_StockCount[Part Name],$A11,T_StockCount[WeekIndex],63)&gt;0,SUMIFS(T_StockCount[CountedQty],T_StockCount[Part Name],$A11,T_StockCount[WeekIndex],63),IF((('T_SelfStock'!BL15&lt;&gt;""))*(('T_TTAFStock'!BL15&lt;&gt;""))&gt;0,'T_SelfStock'!BL15+'T_TTAFStock'!BL15,BK11+'Grid_Incoming'!BL11-'Grid_Requirement'!BL11))</f>
        <v/>
      </c>
      <c r="BM11">
        <f>IF(COUNTIFS(T_StockCount[Part Name],$A11,T_StockCount[WeekIndex],64)&gt;0,SUMIFS(T_StockCount[CountedQty],T_StockCount[Part Name],$A11,T_StockCount[WeekIndex],64),IF((('T_SelfStock'!BM15&lt;&gt;""))*(('T_TTAFStock'!BM15&lt;&gt;""))&gt;0,'T_SelfStock'!BM15+'T_TTAFStock'!BM15,BL11+'Grid_Incoming'!BM11-'Grid_Requirement'!BM11))</f>
        <v/>
      </c>
      <c r="BN11">
        <f>IF(COUNTIFS(T_StockCount[Part Name],$A11,T_StockCount[WeekIndex],65)&gt;0,SUMIFS(T_StockCount[CountedQty],T_StockCount[Part Name],$A11,T_StockCount[WeekIndex],65),IF((('T_SelfStock'!BN15&lt;&gt;""))*(('T_TTAFStock'!BN15&lt;&gt;""))&gt;0,'T_SelfStock'!BN15+'T_TTAFStock'!BN15,BM11+'Grid_Incoming'!BN11-'Grid_Requirement'!BN11))</f>
        <v/>
      </c>
      <c r="BO11">
        <f>IF(COUNTIFS(T_StockCount[Part Name],$A11,T_StockCount[WeekIndex],66)&gt;0,SUMIFS(T_StockCount[CountedQty],T_StockCount[Part Name],$A11,T_StockCount[WeekIndex],66),IF((('T_SelfStock'!BO15&lt;&gt;""))*(('T_TTAFStock'!BO15&lt;&gt;""))&gt;0,'T_SelfStock'!BO15+'T_TTAFStock'!BO15,BN11+'Grid_Incoming'!BO11-'Grid_Requirement'!BO11))</f>
        <v/>
      </c>
      <c r="BP11">
        <f>IF(COUNTIFS(T_StockCount[Part Name],$A11,T_StockCount[WeekIndex],67)&gt;0,SUMIFS(T_StockCount[CountedQty],T_StockCount[Part Name],$A11,T_StockCount[WeekIndex],67),IF((('T_SelfStock'!BP15&lt;&gt;""))*(('T_TTAFStock'!BP15&lt;&gt;""))&gt;0,'T_SelfStock'!BP15+'T_TTAFStock'!BP15,BO11+'Grid_Incoming'!BP11-'Grid_Requirement'!BP11))</f>
        <v/>
      </c>
      <c r="BQ11">
        <f>IF(COUNTIFS(T_StockCount[Part Name],$A11,T_StockCount[WeekIndex],68)&gt;0,SUMIFS(T_StockCount[CountedQty],T_StockCount[Part Name],$A11,T_StockCount[WeekIndex],68),IF((('T_SelfStock'!BQ15&lt;&gt;""))*(('T_TTAFStock'!BQ15&lt;&gt;""))&gt;0,'T_SelfStock'!BQ15+'T_TTAFStock'!BQ15,BP11+'Grid_Incoming'!BQ11-'Grid_Requirement'!BQ11))</f>
        <v/>
      </c>
      <c r="BR11">
        <f>IF(COUNTIFS(T_StockCount[Part Name],$A11,T_StockCount[WeekIndex],69)&gt;0,SUMIFS(T_StockCount[CountedQty],T_StockCount[Part Name],$A11,T_StockCount[WeekIndex],69),IF((('T_SelfStock'!BR15&lt;&gt;""))*(('T_TTAFStock'!BR15&lt;&gt;""))&gt;0,'T_SelfStock'!BR15+'T_TTAFStock'!BR15,BQ11+'Grid_Incoming'!BR11-'Grid_Requirement'!BR11))</f>
        <v/>
      </c>
      <c r="BS11">
        <f>IF(COUNTIFS(T_StockCount[Part Name],$A11,T_StockCount[WeekIndex],70)&gt;0,SUMIFS(T_StockCount[CountedQty],T_StockCount[Part Name],$A11,T_StockCount[WeekIndex],70),IF((('T_SelfStock'!BS15&lt;&gt;""))*(('T_TTAFStock'!BS15&lt;&gt;""))&gt;0,'T_SelfStock'!BS15+'T_TTAFStock'!BS15,BR11+'Grid_Incoming'!BS11-'Grid_Requirement'!BS11))</f>
        <v/>
      </c>
      <c r="BT11">
        <f>IF(COUNTIFS(T_StockCount[Part Name],$A11,T_StockCount[WeekIndex],71)&gt;0,SUMIFS(T_StockCount[CountedQty],T_StockCount[Part Name],$A11,T_StockCount[WeekIndex],71),IF((('T_SelfStock'!BT15&lt;&gt;""))*(('T_TTAFStock'!BT15&lt;&gt;""))&gt;0,'T_SelfStock'!BT15+'T_TTAFStock'!BT15,BS11+'Grid_Incoming'!BT11-'Grid_Requirement'!BT11))</f>
        <v/>
      </c>
      <c r="BU11">
        <f>IF(COUNTIFS(T_StockCount[Part Name],$A11,T_StockCount[WeekIndex],72)&gt;0,SUMIFS(T_StockCount[CountedQty],T_StockCount[Part Name],$A11,T_StockCount[WeekIndex],72),IF((('T_SelfStock'!BU15&lt;&gt;""))*(('T_TTAFStock'!BU15&lt;&gt;""))&gt;0,'T_SelfStock'!BU15+'T_TTAFStock'!BU15,BT11+'Grid_Incoming'!BU11-'Grid_Requirement'!BU11))</f>
        <v/>
      </c>
      <c r="BV11">
        <f>IF(COUNTIFS(T_StockCount[Part Name],$A11,T_StockCount[WeekIndex],73)&gt;0,SUMIFS(T_StockCount[CountedQty],T_StockCount[Part Name],$A11,T_StockCount[WeekIndex],73),IF((('T_SelfStock'!BV15&lt;&gt;""))*(('T_TTAFStock'!BV15&lt;&gt;""))&gt;0,'T_SelfStock'!BV15+'T_TTAFStock'!BV15,BU11+'Grid_Incoming'!BV11-'Grid_Requirement'!BV11))</f>
        <v/>
      </c>
      <c r="BW11">
        <f>IF(COUNTIFS(T_StockCount[Part Name],$A11,T_StockCount[WeekIndex],74)&gt;0,SUMIFS(T_StockCount[CountedQty],T_StockCount[Part Name],$A11,T_StockCount[WeekIndex],74),IF((('T_SelfStock'!BW15&lt;&gt;""))*(('T_TTAFStock'!BW15&lt;&gt;""))&gt;0,'T_SelfStock'!BW15+'T_TTAFStock'!BW15,BV11+'Grid_Incoming'!BW11-'Grid_Requirement'!BW11))</f>
        <v/>
      </c>
      <c r="BX11">
        <f>IF(COUNTIFS(T_StockCount[Part Name],$A11,T_StockCount[WeekIndex],75)&gt;0,SUMIFS(T_StockCount[CountedQty],T_StockCount[Part Name],$A11,T_StockCount[WeekIndex],75),IF((('T_SelfStock'!BX15&lt;&gt;""))*(('T_TTAFStock'!BX15&lt;&gt;""))&gt;0,'T_SelfStock'!BX15+'T_TTAFStock'!BX15,BW11+'Grid_Incoming'!BX11-'Grid_Requirement'!BX11))</f>
        <v/>
      </c>
      <c r="BY11">
        <f>IF(COUNTIFS(T_StockCount[Part Name],$A11,T_StockCount[WeekIndex],76)&gt;0,SUMIFS(T_StockCount[CountedQty],T_StockCount[Part Name],$A11,T_StockCount[WeekIndex],76),IF((('T_SelfStock'!BY15&lt;&gt;""))*(('T_TTAFStock'!BY15&lt;&gt;""))&gt;0,'T_SelfStock'!BY15+'T_TTAFStock'!BY15,BX11+'Grid_Incoming'!BY11-'Grid_Requirement'!BY11))</f>
        <v/>
      </c>
      <c r="BZ11">
        <f>IF(COUNTIFS(T_StockCount[Part Name],$A11,T_StockCount[WeekIndex],77)&gt;0,SUMIFS(T_StockCount[CountedQty],T_StockCount[Part Name],$A11,T_StockCount[WeekIndex],77),IF((('T_SelfStock'!BZ15&lt;&gt;""))*(('T_TTAFStock'!BZ15&lt;&gt;""))&gt;0,'T_SelfStock'!BZ15+'T_TTAFStock'!BZ15,BY11+'Grid_Incoming'!BZ11-'Grid_Requirement'!BZ11))</f>
        <v/>
      </c>
      <c r="CA11">
        <f>IF(COUNTIFS(T_StockCount[Part Name],$A11,T_StockCount[WeekIndex],78)&gt;0,SUMIFS(T_StockCount[CountedQty],T_StockCount[Part Name],$A11,T_StockCount[WeekIndex],78),IF((('T_SelfStock'!CA15&lt;&gt;""))*(('T_TTAFStock'!CA15&lt;&gt;""))&gt;0,'T_SelfStock'!CA15+'T_TTAFStock'!CA15,BZ11+'Grid_Incoming'!CA11-'Grid_Requirement'!CA11))</f>
        <v/>
      </c>
      <c r="CB11">
        <f>IF(COUNTIFS(T_StockCount[Part Name],$A11,T_StockCount[WeekIndex],79)&gt;0,SUMIFS(T_StockCount[CountedQty],T_StockCount[Part Name],$A11,T_StockCount[WeekIndex],79),IF((('T_SelfStock'!CB15&lt;&gt;""))*(('T_TTAFStock'!CB15&lt;&gt;""))&gt;0,'T_SelfStock'!CB15+'T_TTAFStock'!CB15,CA11+'Grid_Incoming'!CB11-'Grid_Requirement'!CB11))</f>
        <v/>
      </c>
      <c r="CC11">
        <f>IF(COUNTIFS(T_StockCount[Part Name],$A11,T_StockCount[WeekIndex],80)&gt;0,SUMIFS(T_StockCount[CountedQty],T_StockCount[Part Name],$A11,T_StockCount[WeekIndex],80),IF((('T_SelfStock'!CC15&lt;&gt;""))*(('T_TTAFStock'!CC15&lt;&gt;""))&gt;0,'T_SelfStock'!CC15+'T_TTAFStock'!CC15,CB11+'Grid_Incoming'!CC11-'Grid_Requirement'!CC11))</f>
        <v/>
      </c>
      <c r="CD11">
        <f>IF(COUNTIFS(T_StockCount[Part Name],$A11,T_StockCount[WeekIndex],81)&gt;0,SUMIFS(T_StockCount[CountedQty],T_StockCount[Part Name],$A11,T_StockCount[WeekIndex],81),IF((('T_SelfStock'!CD15&lt;&gt;""))*(('T_TTAFStock'!CD15&lt;&gt;""))&gt;0,'T_SelfStock'!CD15+'T_TTAFStock'!CD15,CC11+'Grid_Incoming'!CD11-'Grid_Requirement'!CD11))</f>
        <v/>
      </c>
      <c r="CE11">
        <f>IF(COUNTIFS(T_StockCount[Part Name],$A11,T_StockCount[WeekIndex],82)&gt;0,SUMIFS(T_StockCount[CountedQty],T_StockCount[Part Name],$A11,T_StockCount[WeekIndex],82),IF((('T_SelfStock'!CE15&lt;&gt;""))*(('T_TTAFStock'!CE15&lt;&gt;""))&gt;0,'T_SelfStock'!CE15+'T_TTAFStock'!CE15,CD11+'Grid_Incoming'!CE11-'Grid_Requirement'!CE11))</f>
        <v/>
      </c>
      <c r="CF11">
        <f>IF(COUNTIFS(T_StockCount[Part Name],$A11,T_StockCount[WeekIndex],83)&gt;0,SUMIFS(T_StockCount[CountedQty],T_StockCount[Part Name],$A11,T_StockCount[WeekIndex],83),IF((('T_SelfStock'!CF15&lt;&gt;""))*(('T_TTAFStock'!CF15&lt;&gt;""))&gt;0,'T_SelfStock'!CF15+'T_TTAFStock'!CF15,CE11+'Grid_Incoming'!CF11-'Grid_Requirement'!CF11))</f>
        <v/>
      </c>
      <c r="CG11">
        <f>IF(COUNTIFS(T_StockCount[Part Name],$A11,T_StockCount[WeekIndex],84)&gt;0,SUMIFS(T_StockCount[CountedQty],T_StockCount[Part Name],$A11,T_StockCount[WeekIndex],84),IF((('T_SelfStock'!CG15&lt;&gt;""))*(('T_TTAFStock'!CG15&lt;&gt;""))&gt;0,'T_SelfStock'!CG15+'T_TTAFStock'!CG15,CF11+'Grid_Incoming'!CG11-'Grid_Requirement'!CG11))</f>
        <v/>
      </c>
      <c r="CH11">
        <f>IF(COUNTIFS(T_StockCount[Part Name],$A11,T_StockCount[WeekIndex],85)&gt;0,SUMIFS(T_StockCount[CountedQty],T_StockCount[Part Name],$A11,T_StockCount[WeekIndex],85),IF((('T_SelfStock'!CH15&lt;&gt;""))*(('T_TTAFStock'!CH15&lt;&gt;""))&gt;0,'T_SelfStock'!CH15+'T_TTAFStock'!CH15,CG11+'Grid_Incoming'!CH11-'Grid_Requirement'!CH11))</f>
        <v/>
      </c>
      <c r="CI11">
        <f>IF(COUNTIFS(T_StockCount[Part Name],$A11,T_StockCount[WeekIndex],86)&gt;0,SUMIFS(T_StockCount[CountedQty],T_StockCount[Part Name],$A11,T_StockCount[WeekIndex],86),IF((('T_SelfStock'!CI15&lt;&gt;""))*(('T_TTAFStock'!CI15&lt;&gt;""))&gt;0,'T_SelfStock'!CI15+'T_TTAFStock'!CI15,CH11+'Grid_Incoming'!CI11-'Grid_Requirement'!CI11))</f>
        <v/>
      </c>
      <c r="CJ11">
        <f>IF(COUNTIFS(T_StockCount[Part Name],$A11,T_StockCount[WeekIndex],87)&gt;0,SUMIFS(T_StockCount[CountedQty],T_StockCount[Part Name],$A11,T_StockCount[WeekIndex],87),IF((('T_SelfStock'!CJ15&lt;&gt;""))*(('T_TTAFStock'!CJ15&lt;&gt;""))&gt;0,'T_SelfStock'!CJ15+'T_TTAFStock'!CJ15,CI11+'Grid_Incoming'!CJ11-'Grid_Requirement'!CJ11))</f>
        <v/>
      </c>
      <c r="CK11">
        <f>IF(COUNTIFS(T_StockCount[Part Name],$A11,T_StockCount[WeekIndex],88)&gt;0,SUMIFS(T_StockCount[CountedQty],T_StockCount[Part Name],$A11,T_StockCount[WeekIndex],88),IF((('T_SelfStock'!CK15&lt;&gt;""))*(('T_TTAFStock'!CK15&lt;&gt;""))&gt;0,'T_SelfStock'!CK15+'T_TTAFStock'!CK15,CJ11+'Grid_Incoming'!CK11-'Grid_Requirement'!CK11))</f>
        <v/>
      </c>
      <c r="CL11">
        <f>IF(COUNTIFS(T_StockCount[Part Name],$A11,T_StockCount[WeekIndex],89)&gt;0,SUMIFS(T_StockCount[CountedQty],T_StockCount[Part Name],$A11,T_StockCount[WeekIndex],89),IF((('T_SelfStock'!CL15&lt;&gt;""))*(('T_TTAFStock'!CL15&lt;&gt;""))&gt;0,'T_SelfStock'!CL15+'T_TTAFStock'!CL15,CK11+'Grid_Incoming'!CL11-'Grid_Requirement'!CL11))</f>
        <v/>
      </c>
      <c r="CM11">
        <f>IF(COUNTIFS(T_StockCount[Part Name],$A11,T_StockCount[WeekIndex],90)&gt;0,SUMIFS(T_StockCount[CountedQty],T_StockCount[Part Name],$A11,T_StockCount[WeekIndex],90),IF((('T_SelfStock'!CM15&lt;&gt;""))*(('T_TTAFStock'!CM15&lt;&gt;""))&gt;0,'T_SelfStock'!CM15+'T_TTAFStock'!CM15,CL11+'Grid_Incoming'!CM11-'Grid_Requirement'!CM11))</f>
        <v/>
      </c>
      <c r="CN11">
        <f>IF(COUNTIFS(T_StockCount[Part Name],$A11,T_StockCount[WeekIndex],91)&gt;0,SUMIFS(T_StockCount[CountedQty],T_StockCount[Part Name],$A11,T_StockCount[WeekIndex],91),IF((('T_SelfStock'!CN15&lt;&gt;""))*(('T_TTAFStock'!CN15&lt;&gt;""))&gt;0,'T_SelfStock'!CN15+'T_TTAFStock'!CN15,CM11+'Grid_Incoming'!CN11-'Grid_Requirement'!CN11))</f>
        <v/>
      </c>
      <c r="CO11">
        <f>IF(COUNTIFS(T_StockCount[Part Name],$A11,T_StockCount[WeekIndex],92)&gt;0,SUMIFS(T_StockCount[CountedQty],T_StockCount[Part Name],$A11,T_StockCount[WeekIndex],92),IF((('T_SelfStock'!CO15&lt;&gt;""))*(('T_TTAFStock'!CO15&lt;&gt;""))&gt;0,'T_SelfStock'!CO15+'T_TTAFStock'!CO15,CN11+'Grid_Incoming'!CO11-'Grid_Requirement'!CO11))</f>
        <v/>
      </c>
      <c r="CP11">
        <f>IF(COUNTIFS(T_StockCount[Part Name],$A11,T_StockCount[WeekIndex],93)&gt;0,SUMIFS(T_StockCount[CountedQty],T_StockCount[Part Name],$A11,T_StockCount[WeekIndex],93),IF((('T_SelfStock'!CP15&lt;&gt;""))*(('T_TTAFStock'!CP15&lt;&gt;""))&gt;0,'T_SelfStock'!CP15+'T_TTAFStock'!CP15,CO11+'Grid_Incoming'!CP11-'Grid_Requirement'!CP11))</f>
        <v/>
      </c>
      <c r="CQ11">
        <f>IF(COUNTIFS(T_StockCount[Part Name],$A11,T_StockCount[WeekIndex],94)&gt;0,SUMIFS(T_StockCount[CountedQty],T_StockCount[Part Name],$A11,T_StockCount[WeekIndex],94),IF((('T_SelfStock'!CQ15&lt;&gt;""))*(('T_TTAFStock'!CQ15&lt;&gt;""))&gt;0,'T_SelfStock'!CQ15+'T_TTAFStock'!CQ15,CP11+'Grid_Incoming'!CQ11-'Grid_Requirement'!CQ11))</f>
        <v/>
      </c>
      <c r="CR11">
        <f>IF(COUNTIFS(T_StockCount[Part Name],$A11,T_StockCount[WeekIndex],95)&gt;0,SUMIFS(T_StockCount[CountedQty],T_StockCount[Part Name],$A11,T_StockCount[WeekIndex],95),IF((('T_SelfStock'!CR15&lt;&gt;""))*(('T_TTAFStock'!CR15&lt;&gt;""))&gt;0,'T_SelfStock'!CR15+'T_TTAFStock'!CR15,CQ11+'Grid_Incoming'!CR11-'Grid_Requirement'!CR11))</f>
        <v/>
      </c>
      <c r="CS11">
        <f>IF(COUNTIFS(T_StockCount[Part Name],$A11,T_StockCount[WeekIndex],96)&gt;0,SUMIFS(T_StockCount[CountedQty],T_StockCount[Part Name],$A11,T_StockCount[WeekIndex],96),IF((('T_SelfStock'!CS15&lt;&gt;""))*(('T_TTAFStock'!CS15&lt;&gt;""))&gt;0,'T_SelfStock'!CS15+'T_TTAFStock'!CS15,CR11+'Grid_Incoming'!CS11-'Grid_Requirement'!CS11))</f>
        <v/>
      </c>
      <c r="CT11">
        <f>IF(COUNTIFS(T_StockCount[Part Name],$A11,T_StockCount[WeekIndex],97)&gt;0,SUMIFS(T_StockCount[CountedQty],T_StockCount[Part Name],$A11,T_StockCount[WeekIndex],97),IF((('T_SelfStock'!CT15&lt;&gt;""))*(('T_TTAFStock'!CT15&lt;&gt;""))&gt;0,'T_SelfStock'!CT15+'T_TTAFStock'!CT15,CS11+'Grid_Incoming'!CT11-'Grid_Requirement'!CT11))</f>
        <v/>
      </c>
      <c r="CU11">
        <f>IF(COUNTIFS(T_StockCount[Part Name],$A11,T_StockCount[WeekIndex],98)&gt;0,SUMIFS(T_StockCount[CountedQty],T_StockCount[Part Name],$A11,T_StockCount[WeekIndex],98),IF((('T_SelfStock'!CU15&lt;&gt;""))*(('T_TTAFStock'!CU15&lt;&gt;""))&gt;0,'T_SelfStock'!CU15+'T_TTAFStock'!CU15,CT11+'Grid_Incoming'!CU11-'Grid_Requirement'!CU11))</f>
        <v/>
      </c>
      <c r="CV11">
        <f>IF(COUNTIFS(T_StockCount[Part Name],$A11,T_StockCount[WeekIndex],99)&gt;0,SUMIFS(T_StockCount[CountedQty],T_StockCount[Part Name],$A11,T_StockCount[WeekIndex],99),IF((('T_SelfStock'!CV15&lt;&gt;""))*(('T_TTAFStock'!CV15&lt;&gt;""))&gt;0,'T_SelfStock'!CV15+'T_TTAFStock'!CV15,CU11+'Grid_Incoming'!CV11-'Grid_Requirement'!CV11))</f>
        <v/>
      </c>
      <c r="CW11">
        <f>IF(COUNTIFS(T_StockCount[Part Name],$A11,T_StockCount[WeekIndex],100)&gt;0,SUMIFS(T_StockCount[CountedQty],T_StockCount[Part Name],$A11,T_StockCount[WeekIndex],100),IF((('T_SelfStock'!CW15&lt;&gt;""))*(('T_TTAFStock'!CW15&lt;&gt;""))&gt;0,'T_SelfStock'!CW15+'T_TTAFStock'!CW15,CV11+'Grid_Incoming'!CW11-'Grid_Requirement'!CW11))</f>
        <v/>
      </c>
      <c r="CX11">
        <f>IF(COUNTIFS(T_StockCount[Part Name],$A11,T_StockCount[WeekIndex],101)&gt;0,SUMIFS(T_StockCount[CountedQty],T_StockCount[Part Name],$A11,T_StockCount[WeekIndex],101),IF((('T_SelfStock'!CX15&lt;&gt;""))*(('T_TTAFStock'!CX15&lt;&gt;""))&gt;0,'T_SelfStock'!CX15+'T_TTAFStock'!CX15,CW11+'Grid_Incoming'!CX11-'Grid_Requirement'!CX11))</f>
        <v/>
      </c>
      <c r="CY11">
        <f>IF(COUNTIFS(T_StockCount[Part Name],$A11,T_StockCount[WeekIndex],102)&gt;0,SUMIFS(T_StockCount[CountedQty],T_StockCount[Part Name],$A11,T_StockCount[WeekIndex],102),IF((('T_SelfStock'!CY15&lt;&gt;""))*(('T_TTAFStock'!CY15&lt;&gt;""))&gt;0,'T_SelfStock'!CY15+'T_TTAFStock'!CY15,CX11+'Grid_Incoming'!CY11-'Grid_Requirement'!CY11))</f>
        <v/>
      </c>
      <c r="CZ11">
        <f>IF(COUNTIFS(T_StockCount[Part Name],$A11,T_StockCount[WeekIndex],103)&gt;0,SUMIFS(T_StockCount[CountedQty],T_StockCount[Part Name],$A11,T_StockCount[WeekIndex],103),IF((('T_SelfStock'!CZ15&lt;&gt;""))*(('T_TTAFStock'!CZ15&lt;&gt;""))&gt;0,'T_SelfStock'!CZ15+'T_TTAFStock'!CZ15,CY11+'Grid_Incoming'!CZ11-'Grid_Requirement'!CZ11))</f>
        <v/>
      </c>
      <c r="DA11">
        <f>IF(COUNTIFS(T_StockCount[Part Name],$A11,T_StockCount[WeekIndex],104)&gt;0,SUMIFS(T_StockCount[CountedQty],T_StockCount[Part Name],$A11,T_StockCount[WeekIndex],104),IF((('T_SelfStock'!DA15&lt;&gt;""))*(('T_TTAFStock'!DA15&lt;&gt;""))&gt;0,'T_SelfStock'!DA15+'T_TTAFStock'!DA15,CZ11+'Grid_Incoming'!DA11-'Grid_Requirement'!DA11))</f>
        <v/>
      </c>
    </row>
    <row r="12">
      <c r="A12" t="inlineStr">
        <is>
          <t>1EK</t>
        </is>
      </c>
      <c r="B12">
        <f>IF(COUNTIFS(T_StockCount[Part Name],$A12,T_StockCount[WeekIndex],1)&gt;0,SUMIFS(T_StockCount[CountedQty],T_StockCount[Part Name],$A12,T_StockCount[WeekIndex],1),IF((('T_SelfStock'!B16&lt;&gt;""))*(('T_TTAFStock'!B16&lt;&gt;""))&gt;0,'T_SelfStock'!B16+'T_TTAFStock'!B16,IFERROR(INDEX(T_OpeningStock[Opening_Qty],MATCH($A12,T_OpeningStock[Part Name],0)),0)+'Grid_Incoming'!B12-'Grid_Requirement'!B12))</f>
        <v/>
      </c>
      <c r="C12">
        <f>IF(COUNTIFS(T_StockCount[Part Name],$A12,T_StockCount[WeekIndex],2)&gt;0,SUMIFS(T_StockCount[CountedQty],T_StockCount[Part Name],$A12,T_StockCount[WeekIndex],2),IF((('T_SelfStock'!C16&lt;&gt;""))*(('T_TTAFStock'!C16&lt;&gt;""))&gt;0,'T_SelfStock'!C16+'T_TTAFStock'!C16,B12+'Grid_Incoming'!C12-'Grid_Requirement'!C12))</f>
        <v/>
      </c>
      <c r="D12">
        <f>IF(COUNTIFS(T_StockCount[Part Name],$A12,T_StockCount[WeekIndex],3)&gt;0,SUMIFS(T_StockCount[CountedQty],T_StockCount[Part Name],$A12,T_StockCount[WeekIndex],3),IF((('T_SelfStock'!D16&lt;&gt;""))*(('T_TTAFStock'!D16&lt;&gt;""))&gt;0,'T_SelfStock'!D16+'T_TTAFStock'!D16,C12+'Grid_Incoming'!D12-'Grid_Requirement'!D12))</f>
        <v/>
      </c>
      <c r="E12">
        <f>IF(COUNTIFS(T_StockCount[Part Name],$A12,T_StockCount[WeekIndex],4)&gt;0,SUMIFS(T_StockCount[CountedQty],T_StockCount[Part Name],$A12,T_StockCount[WeekIndex],4),IF((('T_SelfStock'!E16&lt;&gt;""))*(('T_TTAFStock'!E16&lt;&gt;""))&gt;0,'T_SelfStock'!E16+'T_TTAFStock'!E16,D12+'Grid_Incoming'!E12-'Grid_Requirement'!E12))</f>
        <v/>
      </c>
      <c r="F12">
        <f>IF(COUNTIFS(T_StockCount[Part Name],$A12,T_StockCount[WeekIndex],5)&gt;0,SUMIFS(T_StockCount[CountedQty],T_StockCount[Part Name],$A12,T_StockCount[WeekIndex],5),IF((('T_SelfStock'!F16&lt;&gt;""))*(('T_TTAFStock'!F16&lt;&gt;""))&gt;0,'T_SelfStock'!F16+'T_TTAFStock'!F16,E12+'Grid_Incoming'!F12-'Grid_Requirement'!F12))</f>
        <v/>
      </c>
      <c r="G12">
        <f>IF(COUNTIFS(T_StockCount[Part Name],$A12,T_StockCount[WeekIndex],6)&gt;0,SUMIFS(T_StockCount[CountedQty],T_StockCount[Part Name],$A12,T_StockCount[WeekIndex],6),IF((('T_SelfStock'!G16&lt;&gt;""))*(('T_TTAFStock'!G16&lt;&gt;""))&gt;0,'T_SelfStock'!G16+'T_TTAFStock'!G16,F12+'Grid_Incoming'!G12-'Grid_Requirement'!G12))</f>
        <v/>
      </c>
      <c r="H12">
        <f>IF(COUNTIFS(T_StockCount[Part Name],$A12,T_StockCount[WeekIndex],7)&gt;0,SUMIFS(T_StockCount[CountedQty],T_StockCount[Part Name],$A12,T_StockCount[WeekIndex],7),IF((('T_SelfStock'!H16&lt;&gt;""))*(('T_TTAFStock'!H16&lt;&gt;""))&gt;0,'T_SelfStock'!H16+'T_TTAFStock'!H16,G12+'Grid_Incoming'!H12-'Grid_Requirement'!H12))</f>
        <v/>
      </c>
      <c r="I12">
        <f>IF(COUNTIFS(T_StockCount[Part Name],$A12,T_StockCount[WeekIndex],8)&gt;0,SUMIFS(T_StockCount[CountedQty],T_StockCount[Part Name],$A12,T_StockCount[WeekIndex],8),IF((('T_SelfStock'!I16&lt;&gt;""))*(('T_TTAFStock'!I16&lt;&gt;""))&gt;0,'T_SelfStock'!I16+'T_TTAFStock'!I16,H12+'Grid_Incoming'!I12-'Grid_Requirement'!I12))</f>
        <v/>
      </c>
      <c r="J12">
        <f>IF(COUNTIFS(T_StockCount[Part Name],$A12,T_StockCount[WeekIndex],9)&gt;0,SUMIFS(T_StockCount[CountedQty],T_StockCount[Part Name],$A12,T_StockCount[WeekIndex],9),IF((('T_SelfStock'!J16&lt;&gt;""))*(('T_TTAFStock'!J16&lt;&gt;""))&gt;0,'T_SelfStock'!J16+'T_TTAFStock'!J16,I12+'Grid_Incoming'!J12-'Grid_Requirement'!J12))</f>
        <v/>
      </c>
      <c r="K12">
        <f>IF(COUNTIFS(T_StockCount[Part Name],$A12,T_StockCount[WeekIndex],10)&gt;0,SUMIFS(T_StockCount[CountedQty],T_StockCount[Part Name],$A12,T_StockCount[WeekIndex],10),IF((('T_SelfStock'!K16&lt;&gt;""))*(('T_TTAFStock'!K16&lt;&gt;""))&gt;0,'T_SelfStock'!K16+'T_TTAFStock'!K16,J12+'Grid_Incoming'!K12-'Grid_Requirement'!K12))</f>
        <v/>
      </c>
      <c r="L12">
        <f>IF(COUNTIFS(T_StockCount[Part Name],$A12,T_StockCount[WeekIndex],11)&gt;0,SUMIFS(T_StockCount[CountedQty],T_StockCount[Part Name],$A12,T_StockCount[WeekIndex],11),IF((('T_SelfStock'!L16&lt;&gt;""))*(('T_TTAFStock'!L16&lt;&gt;""))&gt;0,'T_SelfStock'!L16+'T_TTAFStock'!L16,K12+'Grid_Incoming'!L12-'Grid_Requirement'!L12))</f>
        <v/>
      </c>
      <c r="M12">
        <f>IF(COUNTIFS(T_StockCount[Part Name],$A12,T_StockCount[WeekIndex],12)&gt;0,SUMIFS(T_StockCount[CountedQty],T_StockCount[Part Name],$A12,T_StockCount[WeekIndex],12),IF((('T_SelfStock'!M16&lt;&gt;""))*(('T_TTAFStock'!M16&lt;&gt;""))&gt;0,'T_SelfStock'!M16+'T_TTAFStock'!M16,L12+'Grid_Incoming'!M12-'Grid_Requirement'!M12))</f>
        <v/>
      </c>
      <c r="N12">
        <f>IF(COUNTIFS(T_StockCount[Part Name],$A12,T_StockCount[WeekIndex],13)&gt;0,SUMIFS(T_StockCount[CountedQty],T_StockCount[Part Name],$A12,T_StockCount[WeekIndex],13),IF((('T_SelfStock'!N16&lt;&gt;""))*(('T_TTAFStock'!N16&lt;&gt;""))&gt;0,'T_SelfStock'!N16+'T_TTAFStock'!N16,M12+'Grid_Incoming'!N12-'Grid_Requirement'!N12))</f>
        <v/>
      </c>
      <c r="O12">
        <f>IF(COUNTIFS(T_StockCount[Part Name],$A12,T_StockCount[WeekIndex],14)&gt;0,SUMIFS(T_StockCount[CountedQty],T_StockCount[Part Name],$A12,T_StockCount[WeekIndex],14),IF((('T_SelfStock'!O16&lt;&gt;""))*(('T_TTAFStock'!O16&lt;&gt;""))&gt;0,'T_SelfStock'!O16+'T_TTAFStock'!O16,N12+'Grid_Incoming'!O12-'Grid_Requirement'!O12))</f>
        <v/>
      </c>
      <c r="P12">
        <f>IF(COUNTIFS(T_StockCount[Part Name],$A12,T_StockCount[WeekIndex],15)&gt;0,SUMIFS(T_StockCount[CountedQty],T_StockCount[Part Name],$A12,T_StockCount[WeekIndex],15),IF((('T_SelfStock'!P16&lt;&gt;""))*(('T_TTAFStock'!P16&lt;&gt;""))&gt;0,'T_SelfStock'!P16+'T_TTAFStock'!P16,O12+'Grid_Incoming'!P12-'Grid_Requirement'!P12))</f>
        <v/>
      </c>
      <c r="Q12">
        <f>IF(COUNTIFS(T_StockCount[Part Name],$A12,T_StockCount[WeekIndex],16)&gt;0,SUMIFS(T_StockCount[CountedQty],T_StockCount[Part Name],$A12,T_StockCount[WeekIndex],16),IF((('T_SelfStock'!Q16&lt;&gt;""))*(('T_TTAFStock'!Q16&lt;&gt;""))&gt;0,'T_SelfStock'!Q16+'T_TTAFStock'!Q16,P12+'Grid_Incoming'!Q12-'Grid_Requirement'!Q12))</f>
        <v/>
      </c>
      <c r="R12">
        <f>IF(COUNTIFS(T_StockCount[Part Name],$A12,T_StockCount[WeekIndex],17)&gt;0,SUMIFS(T_StockCount[CountedQty],T_StockCount[Part Name],$A12,T_StockCount[WeekIndex],17),IF((('T_SelfStock'!R16&lt;&gt;""))*(('T_TTAFStock'!R16&lt;&gt;""))&gt;0,'T_SelfStock'!R16+'T_TTAFStock'!R16,Q12+'Grid_Incoming'!R12-'Grid_Requirement'!R12))</f>
        <v/>
      </c>
      <c r="S12">
        <f>IF(COUNTIFS(T_StockCount[Part Name],$A12,T_StockCount[WeekIndex],18)&gt;0,SUMIFS(T_StockCount[CountedQty],T_StockCount[Part Name],$A12,T_StockCount[WeekIndex],18),IF((('T_SelfStock'!S16&lt;&gt;""))*(('T_TTAFStock'!S16&lt;&gt;""))&gt;0,'T_SelfStock'!S16+'T_TTAFStock'!S16,R12+'Grid_Incoming'!S12-'Grid_Requirement'!S12))</f>
        <v/>
      </c>
      <c r="T12">
        <f>IF(COUNTIFS(T_StockCount[Part Name],$A12,T_StockCount[WeekIndex],19)&gt;0,SUMIFS(T_StockCount[CountedQty],T_StockCount[Part Name],$A12,T_StockCount[WeekIndex],19),IF((('T_SelfStock'!T16&lt;&gt;""))*(('T_TTAFStock'!T16&lt;&gt;""))&gt;0,'T_SelfStock'!T16+'T_TTAFStock'!T16,S12+'Grid_Incoming'!T12-'Grid_Requirement'!T12))</f>
        <v/>
      </c>
      <c r="U12">
        <f>IF(COUNTIFS(T_StockCount[Part Name],$A12,T_StockCount[WeekIndex],20)&gt;0,SUMIFS(T_StockCount[CountedQty],T_StockCount[Part Name],$A12,T_StockCount[WeekIndex],20),IF((('T_SelfStock'!U16&lt;&gt;""))*(('T_TTAFStock'!U16&lt;&gt;""))&gt;0,'T_SelfStock'!U16+'T_TTAFStock'!U16,T12+'Grid_Incoming'!U12-'Grid_Requirement'!U12))</f>
        <v/>
      </c>
      <c r="V12">
        <f>IF(COUNTIFS(T_StockCount[Part Name],$A12,T_StockCount[WeekIndex],21)&gt;0,SUMIFS(T_StockCount[CountedQty],T_StockCount[Part Name],$A12,T_StockCount[WeekIndex],21),IF((('T_SelfStock'!V16&lt;&gt;""))*(('T_TTAFStock'!V16&lt;&gt;""))&gt;0,'T_SelfStock'!V16+'T_TTAFStock'!V16,U12+'Grid_Incoming'!V12-'Grid_Requirement'!V12))</f>
        <v/>
      </c>
      <c r="W12">
        <f>IF(COUNTIFS(T_StockCount[Part Name],$A12,T_StockCount[WeekIndex],22)&gt;0,SUMIFS(T_StockCount[CountedQty],T_StockCount[Part Name],$A12,T_StockCount[WeekIndex],22),IF((('T_SelfStock'!W16&lt;&gt;""))*(('T_TTAFStock'!W16&lt;&gt;""))&gt;0,'T_SelfStock'!W16+'T_TTAFStock'!W16,V12+'Grid_Incoming'!W12-'Grid_Requirement'!W12))</f>
        <v/>
      </c>
      <c r="X12">
        <f>IF(COUNTIFS(T_StockCount[Part Name],$A12,T_StockCount[WeekIndex],23)&gt;0,SUMIFS(T_StockCount[CountedQty],T_StockCount[Part Name],$A12,T_StockCount[WeekIndex],23),IF((('T_SelfStock'!X16&lt;&gt;""))*(('T_TTAFStock'!X16&lt;&gt;""))&gt;0,'T_SelfStock'!X16+'T_TTAFStock'!X16,W12+'Grid_Incoming'!X12-'Grid_Requirement'!X12))</f>
        <v/>
      </c>
      <c r="Y12">
        <f>IF(COUNTIFS(T_StockCount[Part Name],$A12,T_StockCount[WeekIndex],24)&gt;0,SUMIFS(T_StockCount[CountedQty],T_StockCount[Part Name],$A12,T_StockCount[WeekIndex],24),IF((('T_SelfStock'!Y16&lt;&gt;""))*(('T_TTAFStock'!Y16&lt;&gt;""))&gt;0,'T_SelfStock'!Y16+'T_TTAFStock'!Y16,X12+'Grid_Incoming'!Y12-'Grid_Requirement'!Y12))</f>
        <v/>
      </c>
      <c r="Z12">
        <f>IF(COUNTIFS(T_StockCount[Part Name],$A12,T_StockCount[WeekIndex],25)&gt;0,SUMIFS(T_StockCount[CountedQty],T_StockCount[Part Name],$A12,T_StockCount[WeekIndex],25),IF((('T_SelfStock'!Z16&lt;&gt;""))*(('T_TTAFStock'!Z16&lt;&gt;""))&gt;0,'T_SelfStock'!Z16+'T_TTAFStock'!Z16,Y12+'Grid_Incoming'!Z12-'Grid_Requirement'!Z12))</f>
        <v/>
      </c>
      <c r="AA12">
        <f>IF(COUNTIFS(T_StockCount[Part Name],$A12,T_StockCount[WeekIndex],26)&gt;0,SUMIFS(T_StockCount[CountedQty],T_StockCount[Part Name],$A12,T_StockCount[WeekIndex],26),IF((('T_SelfStock'!AA16&lt;&gt;""))*(('T_TTAFStock'!AA16&lt;&gt;""))&gt;0,'T_SelfStock'!AA16+'T_TTAFStock'!AA16,Z12+'Grid_Incoming'!AA12-'Grid_Requirement'!AA12))</f>
        <v/>
      </c>
      <c r="AB12">
        <f>IF(COUNTIFS(T_StockCount[Part Name],$A12,T_StockCount[WeekIndex],27)&gt;0,SUMIFS(T_StockCount[CountedQty],T_StockCount[Part Name],$A12,T_StockCount[WeekIndex],27),IF((('T_SelfStock'!AB16&lt;&gt;""))*(('T_TTAFStock'!AB16&lt;&gt;""))&gt;0,'T_SelfStock'!AB16+'T_TTAFStock'!AB16,AA12+'Grid_Incoming'!AB12-'Grid_Requirement'!AB12))</f>
        <v/>
      </c>
      <c r="AC12">
        <f>IF(COUNTIFS(T_StockCount[Part Name],$A12,T_StockCount[WeekIndex],28)&gt;0,SUMIFS(T_StockCount[CountedQty],T_StockCount[Part Name],$A12,T_StockCount[WeekIndex],28),IF((('T_SelfStock'!AC16&lt;&gt;""))*(('T_TTAFStock'!AC16&lt;&gt;""))&gt;0,'T_SelfStock'!AC16+'T_TTAFStock'!AC16,AB12+'Grid_Incoming'!AC12-'Grid_Requirement'!AC12))</f>
        <v/>
      </c>
      <c r="AD12">
        <f>IF(COUNTIFS(T_StockCount[Part Name],$A12,T_StockCount[WeekIndex],29)&gt;0,SUMIFS(T_StockCount[CountedQty],T_StockCount[Part Name],$A12,T_StockCount[WeekIndex],29),IF((('T_SelfStock'!AD16&lt;&gt;""))*(('T_TTAFStock'!AD16&lt;&gt;""))&gt;0,'T_SelfStock'!AD16+'T_TTAFStock'!AD16,AC12+'Grid_Incoming'!AD12-'Grid_Requirement'!AD12))</f>
        <v/>
      </c>
      <c r="AE12">
        <f>IF(COUNTIFS(T_StockCount[Part Name],$A12,T_StockCount[WeekIndex],30)&gt;0,SUMIFS(T_StockCount[CountedQty],T_StockCount[Part Name],$A12,T_StockCount[WeekIndex],30),IF((('T_SelfStock'!AE16&lt;&gt;""))*(('T_TTAFStock'!AE16&lt;&gt;""))&gt;0,'T_SelfStock'!AE16+'T_TTAFStock'!AE16,AD12+'Grid_Incoming'!AE12-'Grid_Requirement'!AE12))</f>
        <v/>
      </c>
      <c r="AF12">
        <f>IF(COUNTIFS(T_StockCount[Part Name],$A12,T_StockCount[WeekIndex],31)&gt;0,SUMIFS(T_StockCount[CountedQty],T_StockCount[Part Name],$A12,T_StockCount[WeekIndex],31),IF((('T_SelfStock'!AF16&lt;&gt;""))*(('T_TTAFStock'!AF16&lt;&gt;""))&gt;0,'T_SelfStock'!AF16+'T_TTAFStock'!AF16,AE12+'Grid_Incoming'!AF12-'Grid_Requirement'!AF12))</f>
        <v/>
      </c>
      <c r="AG12">
        <f>IF(COUNTIFS(T_StockCount[Part Name],$A12,T_StockCount[WeekIndex],32)&gt;0,SUMIFS(T_StockCount[CountedQty],T_StockCount[Part Name],$A12,T_StockCount[WeekIndex],32),IF((('T_SelfStock'!AG16&lt;&gt;""))*(('T_TTAFStock'!AG16&lt;&gt;""))&gt;0,'T_SelfStock'!AG16+'T_TTAFStock'!AG16,AF12+'Grid_Incoming'!AG12-'Grid_Requirement'!AG12))</f>
        <v/>
      </c>
      <c r="AH12">
        <f>IF(COUNTIFS(T_StockCount[Part Name],$A12,T_StockCount[WeekIndex],33)&gt;0,SUMIFS(T_StockCount[CountedQty],T_StockCount[Part Name],$A12,T_StockCount[WeekIndex],33),IF((('T_SelfStock'!AH16&lt;&gt;""))*(('T_TTAFStock'!AH16&lt;&gt;""))&gt;0,'T_SelfStock'!AH16+'T_TTAFStock'!AH16,AG12+'Grid_Incoming'!AH12-'Grid_Requirement'!AH12))</f>
        <v/>
      </c>
      <c r="AI12">
        <f>IF(COUNTIFS(T_StockCount[Part Name],$A12,T_StockCount[WeekIndex],34)&gt;0,SUMIFS(T_StockCount[CountedQty],T_StockCount[Part Name],$A12,T_StockCount[WeekIndex],34),IF((('T_SelfStock'!AI16&lt;&gt;""))*(('T_TTAFStock'!AI16&lt;&gt;""))&gt;0,'T_SelfStock'!AI16+'T_TTAFStock'!AI16,AH12+'Grid_Incoming'!AI12-'Grid_Requirement'!AI12))</f>
        <v/>
      </c>
      <c r="AJ12">
        <f>IF(COUNTIFS(T_StockCount[Part Name],$A12,T_StockCount[WeekIndex],35)&gt;0,SUMIFS(T_StockCount[CountedQty],T_StockCount[Part Name],$A12,T_StockCount[WeekIndex],35),IF((('T_SelfStock'!AJ16&lt;&gt;""))*(('T_TTAFStock'!AJ16&lt;&gt;""))&gt;0,'T_SelfStock'!AJ16+'T_TTAFStock'!AJ16,AI12+'Grid_Incoming'!AJ12-'Grid_Requirement'!AJ12))</f>
        <v/>
      </c>
      <c r="AK12">
        <f>IF(COUNTIFS(T_StockCount[Part Name],$A12,T_StockCount[WeekIndex],36)&gt;0,SUMIFS(T_StockCount[CountedQty],T_StockCount[Part Name],$A12,T_StockCount[WeekIndex],36),IF((('T_SelfStock'!AK16&lt;&gt;""))*(('T_TTAFStock'!AK16&lt;&gt;""))&gt;0,'T_SelfStock'!AK16+'T_TTAFStock'!AK16,AJ12+'Grid_Incoming'!AK12-'Grid_Requirement'!AK12))</f>
        <v/>
      </c>
      <c r="AL12">
        <f>IF(COUNTIFS(T_StockCount[Part Name],$A12,T_StockCount[WeekIndex],37)&gt;0,SUMIFS(T_StockCount[CountedQty],T_StockCount[Part Name],$A12,T_StockCount[WeekIndex],37),IF((('T_SelfStock'!AL16&lt;&gt;""))*(('T_TTAFStock'!AL16&lt;&gt;""))&gt;0,'T_SelfStock'!AL16+'T_TTAFStock'!AL16,AK12+'Grid_Incoming'!AL12-'Grid_Requirement'!AL12))</f>
        <v/>
      </c>
      <c r="AM12">
        <f>IF(COUNTIFS(T_StockCount[Part Name],$A12,T_StockCount[WeekIndex],38)&gt;0,SUMIFS(T_StockCount[CountedQty],T_StockCount[Part Name],$A12,T_StockCount[WeekIndex],38),IF((('T_SelfStock'!AM16&lt;&gt;""))*(('T_TTAFStock'!AM16&lt;&gt;""))&gt;0,'T_SelfStock'!AM16+'T_TTAFStock'!AM16,AL12+'Grid_Incoming'!AM12-'Grid_Requirement'!AM12))</f>
        <v/>
      </c>
      <c r="AN12">
        <f>IF(COUNTIFS(T_StockCount[Part Name],$A12,T_StockCount[WeekIndex],39)&gt;0,SUMIFS(T_StockCount[CountedQty],T_StockCount[Part Name],$A12,T_StockCount[WeekIndex],39),IF((('T_SelfStock'!AN16&lt;&gt;""))*(('T_TTAFStock'!AN16&lt;&gt;""))&gt;0,'T_SelfStock'!AN16+'T_TTAFStock'!AN16,AM12+'Grid_Incoming'!AN12-'Grid_Requirement'!AN12))</f>
        <v/>
      </c>
      <c r="AO12">
        <f>IF(COUNTIFS(T_StockCount[Part Name],$A12,T_StockCount[WeekIndex],40)&gt;0,SUMIFS(T_StockCount[CountedQty],T_StockCount[Part Name],$A12,T_StockCount[WeekIndex],40),IF((('T_SelfStock'!AO16&lt;&gt;""))*(('T_TTAFStock'!AO16&lt;&gt;""))&gt;0,'T_SelfStock'!AO16+'T_TTAFStock'!AO16,AN12+'Grid_Incoming'!AO12-'Grid_Requirement'!AO12))</f>
        <v/>
      </c>
      <c r="AP12">
        <f>IF(COUNTIFS(T_StockCount[Part Name],$A12,T_StockCount[WeekIndex],41)&gt;0,SUMIFS(T_StockCount[CountedQty],T_StockCount[Part Name],$A12,T_StockCount[WeekIndex],41),IF((('T_SelfStock'!AP16&lt;&gt;""))*(('T_TTAFStock'!AP16&lt;&gt;""))&gt;0,'T_SelfStock'!AP16+'T_TTAFStock'!AP16,AO12+'Grid_Incoming'!AP12-'Grid_Requirement'!AP12))</f>
        <v/>
      </c>
      <c r="AQ12">
        <f>IF(COUNTIFS(T_StockCount[Part Name],$A12,T_StockCount[WeekIndex],42)&gt;0,SUMIFS(T_StockCount[CountedQty],T_StockCount[Part Name],$A12,T_StockCount[WeekIndex],42),IF((('T_SelfStock'!AQ16&lt;&gt;""))*(('T_TTAFStock'!AQ16&lt;&gt;""))&gt;0,'T_SelfStock'!AQ16+'T_TTAFStock'!AQ16,AP12+'Grid_Incoming'!AQ12-'Grid_Requirement'!AQ12))</f>
        <v/>
      </c>
      <c r="AR12">
        <f>IF(COUNTIFS(T_StockCount[Part Name],$A12,T_StockCount[WeekIndex],43)&gt;0,SUMIFS(T_StockCount[CountedQty],T_StockCount[Part Name],$A12,T_StockCount[WeekIndex],43),IF((('T_SelfStock'!AR16&lt;&gt;""))*(('T_TTAFStock'!AR16&lt;&gt;""))&gt;0,'T_SelfStock'!AR16+'T_TTAFStock'!AR16,AQ12+'Grid_Incoming'!AR12-'Grid_Requirement'!AR12))</f>
        <v/>
      </c>
      <c r="AS12">
        <f>IF(COUNTIFS(T_StockCount[Part Name],$A12,T_StockCount[WeekIndex],44)&gt;0,SUMIFS(T_StockCount[CountedQty],T_StockCount[Part Name],$A12,T_StockCount[WeekIndex],44),IF((('T_SelfStock'!AS16&lt;&gt;""))*(('T_TTAFStock'!AS16&lt;&gt;""))&gt;0,'T_SelfStock'!AS16+'T_TTAFStock'!AS16,AR12+'Grid_Incoming'!AS12-'Grid_Requirement'!AS12))</f>
        <v/>
      </c>
      <c r="AT12">
        <f>IF(COUNTIFS(T_StockCount[Part Name],$A12,T_StockCount[WeekIndex],45)&gt;0,SUMIFS(T_StockCount[CountedQty],T_StockCount[Part Name],$A12,T_StockCount[WeekIndex],45),IF((('T_SelfStock'!AT16&lt;&gt;""))*(('T_TTAFStock'!AT16&lt;&gt;""))&gt;0,'T_SelfStock'!AT16+'T_TTAFStock'!AT16,AS12+'Grid_Incoming'!AT12-'Grid_Requirement'!AT12))</f>
        <v/>
      </c>
      <c r="AU12">
        <f>IF(COUNTIFS(T_StockCount[Part Name],$A12,T_StockCount[WeekIndex],46)&gt;0,SUMIFS(T_StockCount[CountedQty],T_StockCount[Part Name],$A12,T_StockCount[WeekIndex],46),IF((('T_SelfStock'!AU16&lt;&gt;""))*(('T_TTAFStock'!AU16&lt;&gt;""))&gt;0,'T_SelfStock'!AU16+'T_TTAFStock'!AU16,AT12+'Grid_Incoming'!AU12-'Grid_Requirement'!AU12))</f>
        <v/>
      </c>
      <c r="AV12">
        <f>IF(COUNTIFS(T_StockCount[Part Name],$A12,T_StockCount[WeekIndex],47)&gt;0,SUMIFS(T_StockCount[CountedQty],T_StockCount[Part Name],$A12,T_StockCount[WeekIndex],47),IF((('T_SelfStock'!AV16&lt;&gt;""))*(('T_TTAFStock'!AV16&lt;&gt;""))&gt;0,'T_SelfStock'!AV16+'T_TTAFStock'!AV16,AU12+'Grid_Incoming'!AV12-'Grid_Requirement'!AV12))</f>
        <v/>
      </c>
      <c r="AW12">
        <f>IF(COUNTIFS(T_StockCount[Part Name],$A12,T_StockCount[WeekIndex],48)&gt;0,SUMIFS(T_StockCount[CountedQty],T_StockCount[Part Name],$A12,T_StockCount[WeekIndex],48),IF((('T_SelfStock'!AW16&lt;&gt;""))*(('T_TTAFStock'!AW16&lt;&gt;""))&gt;0,'T_SelfStock'!AW16+'T_TTAFStock'!AW16,AV12+'Grid_Incoming'!AW12-'Grid_Requirement'!AW12))</f>
        <v/>
      </c>
      <c r="AX12">
        <f>IF(COUNTIFS(T_StockCount[Part Name],$A12,T_StockCount[WeekIndex],49)&gt;0,SUMIFS(T_StockCount[CountedQty],T_StockCount[Part Name],$A12,T_StockCount[WeekIndex],49),IF((('T_SelfStock'!AX16&lt;&gt;""))*(('T_TTAFStock'!AX16&lt;&gt;""))&gt;0,'T_SelfStock'!AX16+'T_TTAFStock'!AX16,AW12+'Grid_Incoming'!AX12-'Grid_Requirement'!AX12))</f>
        <v/>
      </c>
      <c r="AY12">
        <f>IF(COUNTIFS(T_StockCount[Part Name],$A12,T_StockCount[WeekIndex],50)&gt;0,SUMIFS(T_StockCount[CountedQty],T_StockCount[Part Name],$A12,T_StockCount[WeekIndex],50),IF((('T_SelfStock'!AY16&lt;&gt;""))*(('T_TTAFStock'!AY16&lt;&gt;""))&gt;0,'T_SelfStock'!AY16+'T_TTAFStock'!AY16,AX12+'Grid_Incoming'!AY12-'Grid_Requirement'!AY12))</f>
        <v/>
      </c>
      <c r="AZ12">
        <f>IF(COUNTIFS(T_StockCount[Part Name],$A12,T_StockCount[WeekIndex],51)&gt;0,SUMIFS(T_StockCount[CountedQty],T_StockCount[Part Name],$A12,T_StockCount[WeekIndex],51),IF((('T_SelfStock'!AZ16&lt;&gt;""))*(('T_TTAFStock'!AZ16&lt;&gt;""))&gt;0,'T_SelfStock'!AZ16+'T_TTAFStock'!AZ16,AY12+'Grid_Incoming'!AZ12-'Grid_Requirement'!AZ12))</f>
        <v/>
      </c>
      <c r="BA12">
        <f>IF(COUNTIFS(T_StockCount[Part Name],$A12,T_StockCount[WeekIndex],52)&gt;0,SUMIFS(T_StockCount[CountedQty],T_StockCount[Part Name],$A12,T_StockCount[WeekIndex],52),IF((('T_SelfStock'!BA16&lt;&gt;""))*(('T_TTAFStock'!BA16&lt;&gt;""))&gt;0,'T_SelfStock'!BA16+'T_TTAFStock'!BA16,AZ12+'Grid_Incoming'!BA12-'Grid_Requirement'!BA12))</f>
        <v/>
      </c>
      <c r="BB12">
        <f>IF(COUNTIFS(T_StockCount[Part Name],$A12,T_StockCount[WeekIndex],53)&gt;0,SUMIFS(T_StockCount[CountedQty],T_StockCount[Part Name],$A12,T_StockCount[WeekIndex],53),IF((('T_SelfStock'!BB16&lt;&gt;""))*(('T_TTAFStock'!BB16&lt;&gt;""))&gt;0,'T_SelfStock'!BB16+'T_TTAFStock'!BB16,BA12+'Grid_Incoming'!BB12-'Grid_Requirement'!BB12))</f>
        <v/>
      </c>
      <c r="BC12">
        <f>IF(COUNTIFS(T_StockCount[Part Name],$A12,T_StockCount[WeekIndex],54)&gt;0,SUMIFS(T_StockCount[CountedQty],T_StockCount[Part Name],$A12,T_StockCount[WeekIndex],54),IF((('T_SelfStock'!BC16&lt;&gt;""))*(('T_TTAFStock'!BC16&lt;&gt;""))&gt;0,'T_SelfStock'!BC16+'T_TTAFStock'!BC16,BB12+'Grid_Incoming'!BC12-'Grid_Requirement'!BC12))</f>
        <v/>
      </c>
      <c r="BD12">
        <f>IF(COUNTIFS(T_StockCount[Part Name],$A12,T_StockCount[WeekIndex],55)&gt;0,SUMIFS(T_StockCount[CountedQty],T_StockCount[Part Name],$A12,T_StockCount[WeekIndex],55),IF((('T_SelfStock'!BD16&lt;&gt;""))*(('T_TTAFStock'!BD16&lt;&gt;""))&gt;0,'T_SelfStock'!BD16+'T_TTAFStock'!BD16,BC12+'Grid_Incoming'!BD12-'Grid_Requirement'!BD12))</f>
        <v/>
      </c>
      <c r="BE12">
        <f>IF(COUNTIFS(T_StockCount[Part Name],$A12,T_StockCount[WeekIndex],56)&gt;0,SUMIFS(T_StockCount[CountedQty],T_StockCount[Part Name],$A12,T_StockCount[WeekIndex],56),IF((('T_SelfStock'!BE16&lt;&gt;""))*(('T_TTAFStock'!BE16&lt;&gt;""))&gt;0,'T_SelfStock'!BE16+'T_TTAFStock'!BE16,BD12+'Grid_Incoming'!BE12-'Grid_Requirement'!BE12))</f>
        <v/>
      </c>
      <c r="BF12">
        <f>IF(COUNTIFS(T_StockCount[Part Name],$A12,T_StockCount[WeekIndex],57)&gt;0,SUMIFS(T_StockCount[CountedQty],T_StockCount[Part Name],$A12,T_StockCount[WeekIndex],57),IF((('T_SelfStock'!BF16&lt;&gt;""))*(('T_TTAFStock'!BF16&lt;&gt;""))&gt;0,'T_SelfStock'!BF16+'T_TTAFStock'!BF16,BE12+'Grid_Incoming'!BF12-'Grid_Requirement'!BF12))</f>
        <v/>
      </c>
      <c r="BG12">
        <f>IF(COUNTIFS(T_StockCount[Part Name],$A12,T_StockCount[WeekIndex],58)&gt;0,SUMIFS(T_StockCount[CountedQty],T_StockCount[Part Name],$A12,T_StockCount[WeekIndex],58),IF((('T_SelfStock'!BG16&lt;&gt;""))*(('T_TTAFStock'!BG16&lt;&gt;""))&gt;0,'T_SelfStock'!BG16+'T_TTAFStock'!BG16,BF12+'Grid_Incoming'!BG12-'Grid_Requirement'!BG12))</f>
        <v/>
      </c>
      <c r="BH12">
        <f>IF(COUNTIFS(T_StockCount[Part Name],$A12,T_StockCount[WeekIndex],59)&gt;0,SUMIFS(T_StockCount[CountedQty],T_StockCount[Part Name],$A12,T_StockCount[WeekIndex],59),IF((('T_SelfStock'!BH16&lt;&gt;""))*(('T_TTAFStock'!BH16&lt;&gt;""))&gt;0,'T_SelfStock'!BH16+'T_TTAFStock'!BH16,BG12+'Grid_Incoming'!BH12-'Grid_Requirement'!BH12))</f>
        <v/>
      </c>
      <c r="BI12">
        <f>IF(COUNTIFS(T_StockCount[Part Name],$A12,T_StockCount[WeekIndex],60)&gt;0,SUMIFS(T_StockCount[CountedQty],T_StockCount[Part Name],$A12,T_StockCount[WeekIndex],60),IF((('T_SelfStock'!BI16&lt;&gt;""))*(('T_TTAFStock'!BI16&lt;&gt;""))&gt;0,'T_SelfStock'!BI16+'T_TTAFStock'!BI16,BH12+'Grid_Incoming'!BI12-'Grid_Requirement'!BI12))</f>
        <v/>
      </c>
      <c r="BJ12">
        <f>IF(COUNTIFS(T_StockCount[Part Name],$A12,T_StockCount[WeekIndex],61)&gt;0,SUMIFS(T_StockCount[CountedQty],T_StockCount[Part Name],$A12,T_StockCount[WeekIndex],61),IF((('T_SelfStock'!BJ16&lt;&gt;""))*(('T_TTAFStock'!BJ16&lt;&gt;""))&gt;0,'T_SelfStock'!BJ16+'T_TTAFStock'!BJ16,BI12+'Grid_Incoming'!BJ12-'Grid_Requirement'!BJ12))</f>
        <v/>
      </c>
      <c r="BK12">
        <f>IF(COUNTIFS(T_StockCount[Part Name],$A12,T_StockCount[WeekIndex],62)&gt;0,SUMIFS(T_StockCount[CountedQty],T_StockCount[Part Name],$A12,T_StockCount[WeekIndex],62),IF((('T_SelfStock'!BK16&lt;&gt;""))*(('T_TTAFStock'!BK16&lt;&gt;""))&gt;0,'T_SelfStock'!BK16+'T_TTAFStock'!BK16,BJ12+'Grid_Incoming'!BK12-'Grid_Requirement'!BK12))</f>
        <v/>
      </c>
      <c r="BL12">
        <f>IF(COUNTIFS(T_StockCount[Part Name],$A12,T_StockCount[WeekIndex],63)&gt;0,SUMIFS(T_StockCount[CountedQty],T_StockCount[Part Name],$A12,T_StockCount[WeekIndex],63),IF((('T_SelfStock'!BL16&lt;&gt;""))*(('T_TTAFStock'!BL16&lt;&gt;""))&gt;0,'T_SelfStock'!BL16+'T_TTAFStock'!BL16,BK12+'Grid_Incoming'!BL12-'Grid_Requirement'!BL12))</f>
        <v/>
      </c>
      <c r="BM12">
        <f>IF(COUNTIFS(T_StockCount[Part Name],$A12,T_StockCount[WeekIndex],64)&gt;0,SUMIFS(T_StockCount[CountedQty],T_StockCount[Part Name],$A12,T_StockCount[WeekIndex],64),IF((('T_SelfStock'!BM16&lt;&gt;""))*(('T_TTAFStock'!BM16&lt;&gt;""))&gt;0,'T_SelfStock'!BM16+'T_TTAFStock'!BM16,BL12+'Grid_Incoming'!BM12-'Grid_Requirement'!BM12))</f>
        <v/>
      </c>
      <c r="BN12">
        <f>IF(COUNTIFS(T_StockCount[Part Name],$A12,T_StockCount[WeekIndex],65)&gt;0,SUMIFS(T_StockCount[CountedQty],T_StockCount[Part Name],$A12,T_StockCount[WeekIndex],65),IF((('T_SelfStock'!BN16&lt;&gt;""))*(('T_TTAFStock'!BN16&lt;&gt;""))&gt;0,'T_SelfStock'!BN16+'T_TTAFStock'!BN16,BM12+'Grid_Incoming'!BN12-'Grid_Requirement'!BN12))</f>
        <v/>
      </c>
      <c r="BO12">
        <f>IF(COUNTIFS(T_StockCount[Part Name],$A12,T_StockCount[WeekIndex],66)&gt;0,SUMIFS(T_StockCount[CountedQty],T_StockCount[Part Name],$A12,T_StockCount[WeekIndex],66),IF((('T_SelfStock'!BO16&lt;&gt;""))*(('T_TTAFStock'!BO16&lt;&gt;""))&gt;0,'T_SelfStock'!BO16+'T_TTAFStock'!BO16,BN12+'Grid_Incoming'!BO12-'Grid_Requirement'!BO12))</f>
        <v/>
      </c>
      <c r="BP12">
        <f>IF(COUNTIFS(T_StockCount[Part Name],$A12,T_StockCount[WeekIndex],67)&gt;0,SUMIFS(T_StockCount[CountedQty],T_StockCount[Part Name],$A12,T_StockCount[WeekIndex],67),IF((('T_SelfStock'!BP16&lt;&gt;""))*(('T_TTAFStock'!BP16&lt;&gt;""))&gt;0,'T_SelfStock'!BP16+'T_TTAFStock'!BP16,BO12+'Grid_Incoming'!BP12-'Grid_Requirement'!BP12))</f>
        <v/>
      </c>
      <c r="BQ12">
        <f>IF(COUNTIFS(T_StockCount[Part Name],$A12,T_StockCount[WeekIndex],68)&gt;0,SUMIFS(T_StockCount[CountedQty],T_StockCount[Part Name],$A12,T_StockCount[WeekIndex],68),IF((('T_SelfStock'!BQ16&lt;&gt;""))*(('T_TTAFStock'!BQ16&lt;&gt;""))&gt;0,'T_SelfStock'!BQ16+'T_TTAFStock'!BQ16,BP12+'Grid_Incoming'!BQ12-'Grid_Requirement'!BQ12))</f>
        <v/>
      </c>
      <c r="BR12">
        <f>IF(COUNTIFS(T_StockCount[Part Name],$A12,T_StockCount[WeekIndex],69)&gt;0,SUMIFS(T_StockCount[CountedQty],T_StockCount[Part Name],$A12,T_StockCount[WeekIndex],69),IF((('T_SelfStock'!BR16&lt;&gt;""))*(('T_TTAFStock'!BR16&lt;&gt;""))&gt;0,'T_SelfStock'!BR16+'T_TTAFStock'!BR16,BQ12+'Grid_Incoming'!BR12-'Grid_Requirement'!BR12))</f>
        <v/>
      </c>
      <c r="BS12">
        <f>IF(COUNTIFS(T_StockCount[Part Name],$A12,T_StockCount[WeekIndex],70)&gt;0,SUMIFS(T_StockCount[CountedQty],T_StockCount[Part Name],$A12,T_StockCount[WeekIndex],70),IF((('T_SelfStock'!BS16&lt;&gt;""))*(('T_TTAFStock'!BS16&lt;&gt;""))&gt;0,'T_SelfStock'!BS16+'T_TTAFStock'!BS16,BR12+'Grid_Incoming'!BS12-'Grid_Requirement'!BS12))</f>
        <v/>
      </c>
      <c r="BT12">
        <f>IF(COUNTIFS(T_StockCount[Part Name],$A12,T_StockCount[WeekIndex],71)&gt;0,SUMIFS(T_StockCount[CountedQty],T_StockCount[Part Name],$A12,T_StockCount[WeekIndex],71),IF((('T_SelfStock'!BT16&lt;&gt;""))*(('T_TTAFStock'!BT16&lt;&gt;""))&gt;0,'T_SelfStock'!BT16+'T_TTAFStock'!BT16,BS12+'Grid_Incoming'!BT12-'Grid_Requirement'!BT12))</f>
        <v/>
      </c>
      <c r="BU12">
        <f>IF(COUNTIFS(T_StockCount[Part Name],$A12,T_StockCount[WeekIndex],72)&gt;0,SUMIFS(T_StockCount[CountedQty],T_StockCount[Part Name],$A12,T_StockCount[WeekIndex],72),IF((('T_SelfStock'!BU16&lt;&gt;""))*(('T_TTAFStock'!BU16&lt;&gt;""))&gt;0,'T_SelfStock'!BU16+'T_TTAFStock'!BU16,BT12+'Grid_Incoming'!BU12-'Grid_Requirement'!BU12))</f>
        <v/>
      </c>
      <c r="BV12">
        <f>IF(COUNTIFS(T_StockCount[Part Name],$A12,T_StockCount[WeekIndex],73)&gt;0,SUMIFS(T_StockCount[CountedQty],T_StockCount[Part Name],$A12,T_StockCount[WeekIndex],73),IF((('T_SelfStock'!BV16&lt;&gt;""))*(('T_TTAFStock'!BV16&lt;&gt;""))&gt;0,'T_SelfStock'!BV16+'T_TTAFStock'!BV16,BU12+'Grid_Incoming'!BV12-'Grid_Requirement'!BV12))</f>
        <v/>
      </c>
      <c r="BW12">
        <f>IF(COUNTIFS(T_StockCount[Part Name],$A12,T_StockCount[WeekIndex],74)&gt;0,SUMIFS(T_StockCount[CountedQty],T_StockCount[Part Name],$A12,T_StockCount[WeekIndex],74),IF((('T_SelfStock'!BW16&lt;&gt;""))*(('T_TTAFStock'!BW16&lt;&gt;""))&gt;0,'T_SelfStock'!BW16+'T_TTAFStock'!BW16,BV12+'Grid_Incoming'!BW12-'Grid_Requirement'!BW12))</f>
        <v/>
      </c>
      <c r="BX12">
        <f>IF(COUNTIFS(T_StockCount[Part Name],$A12,T_StockCount[WeekIndex],75)&gt;0,SUMIFS(T_StockCount[CountedQty],T_StockCount[Part Name],$A12,T_StockCount[WeekIndex],75),IF((('T_SelfStock'!BX16&lt;&gt;""))*(('T_TTAFStock'!BX16&lt;&gt;""))&gt;0,'T_SelfStock'!BX16+'T_TTAFStock'!BX16,BW12+'Grid_Incoming'!BX12-'Grid_Requirement'!BX12))</f>
        <v/>
      </c>
      <c r="BY12">
        <f>IF(COUNTIFS(T_StockCount[Part Name],$A12,T_StockCount[WeekIndex],76)&gt;0,SUMIFS(T_StockCount[CountedQty],T_StockCount[Part Name],$A12,T_StockCount[WeekIndex],76),IF((('T_SelfStock'!BY16&lt;&gt;""))*(('T_TTAFStock'!BY16&lt;&gt;""))&gt;0,'T_SelfStock'!BY16+'T_TTAFStock'!BY16,BX12+'Grid_Incoming'!BY12-'Grid_Requirement'!BY12))</f>
        <v/>
      </c>
      <c r="BZ12">
        <f>IF(COUNTIFS(T_StockCount[Part Name],$A12,T_StockCount[WeekIndex],77)&gt;0,SUMIFS(T_StockCount[CountedQty],T_StockCount[Part Name],$A12,T_StockCount[WeekIndex],77),IF((('T_SelfStock'!BZ16&lt;&gt;""))*(('T_TTAFStock'!BZ16&lt;&gt;""))&gt;0,'T_SelfStock'!BZ16+'T_TTAFStock'!BZ16,BY12+'Grid_Incoming'!BZ12-'Grid_Requirement'!BZ12))</f>
        <v/>
      </c>
      <c r="CA12">
        <f>IF(COUNTIFS(T_StockCount[Part Name],$A12,T_StockCount[WeekIndex],78)&gt;0,SUMIFS(T_StockCount[CountedQty],T_StockCount[Part Name],$A12,T_StockCount[WeekIndex],78),IF((('T_SelfStock'!CA16&lt;&gt;""))*(('T_TTAFStock'!CA16&lt;&gt;""))&gt;0,'T_SelfStock'!CA16+'T_TTAFStock'!CA16,BZ12+'Grid_Incoming'!CA12-'Grid_Requirement'!CA12))</f>
        <v/>
      </c>
      <c r="CB12">
        <f>IF(COUNTIFS(T_StockCount[Part Name],$A12,T_StockCount[WeekIndex],79)&gt;0,SUMIFS(T_StockCount[CountedQty],T_StockCount[Part Name],$A12,T_StockCount[WeekIndex],79),IF((('T_SelfStock'!CB16&lt;&gt;""))*(('T_TTAFStock'!CB16&lt;&gt;""))&gt;0,'T_SelfStock'!CB16+'T_TTAFStock'!CB16,CA12+'Grid_Incoming'!CB12-'Grid_Requirement'!CB12))</f>
        <v/>
      </c>
      <c r="CC12">
        <f>IF(COUNTIFS(T_StockCount[Part Name],$A12,T_StockCount[WeekIndex],80)&gt;0,SUMIFS(T_StockCount[CountedQty],T_StockCount[Part Name],$A12,T_StockCount[WeekIndex],80),IF((('T_SelfStock'!CC16&lt;&gt;""))*(('T_TTAFStock'!CC16&lt;&gt;""))&gt;0,'T_SelfStock'!CC16+'T_TTAFStock'!CC16,CB12+'Grid_Incoming'!CC12-'Grid_Requirement'!CC12))</f>
        <v/>
      </c>
      <c r="CD12">
        <f>IF(COUNTIFS(T_StockCount[Part Name],$A12,T_StockCount[WeekIndex],81)&gt;0,SUMIFS(T_StockCount[CountedQty],T_StockCount[Part Name],$A12,T_StockCount[WeekIndex],81),IF((('T_SelfStock'!CD16&lt;&gt;""))*(('T_TTAFStock'!CD16&lt;&gt;""))&gt;0,'T_SelfStock'!CD16+'T_TTAFStock'!CD16,CC12+'Grid_Incoming'!CD12-'Grid_Requirement'!CD12))</f>
        <v/>
      </c>
      <c r="CE12">
        <f>IF(COUNTIFS(T_StockCount[Part Name],$A12,T_StockCount[WeekIndex],82)&gt;0,SUMIFS(T_StockCount[CountedQty],T_StockCount[Part Name],$A12,T_StockCount[WeekIndex],82),IF((('T_SelfStock'!CE16&lt;&gt;""))*(('T_TTAFStock'!CE16&lt;&gt;""))&gt;0,'T_SelfStock'!CE16+'T_TTAFStock'!CE16,CD12+'Grid_Incoming'!CE12-'Grid_Requirement'!CE12))</f>
        <v/>
      </c>
      <c r="CF12">
        <f>IF(COUNTIFS(T_StockCount[Part Name],$A12,T_StockCount[WeekIndex],83)&gt;0,SUMIFS(T_StockCount[CountedQty],T_StockCount[Part Name],$A12,T_StockCount[WeekIndex],83),IF((('T_SelfStock'!CF16&lt;&gt;""))*(('T_TTAFStock'!CF16&lt;&gt;""))&gt;0,'T_SelfStock'!CF16+'T_TTAFStock'!CF16,CE12+'Grid_Incoming'!CF12-'Grid_Requirement'!CF12))</f>
        <v/>
      </c>
      <c r="CG12">
        <f>IF(COUNTIFS(T_StockCount[Part Name],$A12,T_StockCount[WeekIndex],84)&gt;0,SUMIFS(T_StockCount[CountedQty],T_StockCount[Part Name],$A12,T_StockCount[WeekIndex],84),IF((('T_SelfStock'!CG16&lt;&gt;""))*(('T_TTAFStock'!CG16&lt;&gt;""))&gt;0,'T_SelfStock'!CG16+'T_TTAFStock'!CG16,CF12+'Grid_Incoming'!CG12-'Grid_Requirement'!CG12))</f>
        <v/>
      </c>
      <c r="CH12">
        <f>IF(COUNTIFS(T_StockCount[Part Name],$A12,T_StockCount[WeekIndex],85)&gt;0,SUMIFS(T_StockCount[CountedQty],T_StockCount[Part Name],$A12,T_StockCount[WeekIndex],85),IF((('T_SelfStock'!CH16&lt;&gt;""))*(('T_TTAFStock'!CH16&lt;&gt;""))&gt;0,'T_SelfStock'!CH16+'T_TTAFStock'!CH16,CG12+'Grid_Incoming'!CH12-'Grid_Requirement'!CH12))</f>
        <v/>
      </c>
      <c r="CI12">
        <f>IF(COUNTIFS(T_StockCount[Part Name],$A12,T_StockCount[WeekIndex],86)&gt;0,SUMIFS(T_StockCount[CountedQty],T_StockCount[Part Name],$A12,T_StockCount[WeekIndex],86),IF((('T_SelfStock'!CI16&lt;&gt;""))*(('T_TTAFStock'!CI16&lt;&gt;""))&gt;0,'T_SelfStock'!CI16+'T_TTAFStock'!CI16,CH12+'Grid_Incoming'!CI12-'Grid_Requirement'!CI12))</f>
        <v/>
      </c>
      <c r="CJ12">
        <f>IF(COUNTIFS(T_StockCount[Part Name],$A12,T_StockCount[WeekIndex],87)&gt;0,SUMIFS(T_StockCount[CountedQty],T_StockCount[Part Name],$A12,T_StockCount[WeekIndex],87),IF((('T_SelfStock'!CJ16&lt;&gt;""))*(('T_TTAFStock'!CJ16&lt;&gt;""))&gt;0,'T_SelfStock'!CJ16+'T_TTAFStock'!CJ16,CI12+'Grid_Incoming'!CJ12-'Grid_Requirement'!CJ12))</f>
        <v/>
      </c>
      <c r="CK12">
        <f>IF(COUNTIFS(T_StockCount[Part Name],$A12,T_StockCount[WeekIndex],88)&gt;0,SUMIFS(T_StockCount[CountedQty],T_StockCount[Part Name],$A12,T_StockCount[WeekIndex],88),IF((('T_SelfStock'!CK16&lt;&gt;""))*(('T_TTAFStock'!CK16&lt;&gt;""))&gt;0,'T_SelfStock'!CK16+'T_TTAFStock'!CK16,CJ12+'Grid_Incoming'!CK12-'Grid_Requirement'!CK12))</f>
        <v/>
      </c>
      <c r="CL12">
        <f>IF(COUNTIFS(T_StockCount[Part Name],$A12,T_StockCount[WeekIndex],89)&gt;0,SUMIFS(T_StockCount[CountedQty],T_StockCount[Part Name],$A12,T_StockCount[WeekIndex],89),IF((('T_SelfStock'!CL16&lt;&gt;""))*(('T_TTAFStock'!CL16&lt;&gt;""))&gt;0,'T_SelfStock'!CL16+'T_TTAFStock'!CL16,CK12+'Grid_Incoming'!CL12-'Grid_Requirement'!CL12))</f>
        <v/>
      </c>
      <c r="CM12">
        <f>IF(COUNTIFS(T_StockCount[Part Name],$A12,T_StockCount[WeekIndex],90)&gt;0,SUMIFS(T_StockCount[CountedQty],T_StockCount[Part Name],$A12,T_StockCount[WeekIndex],90),IF((('T_SelfStock'!CM16&lt;&gt;""))*(('T_TTAFStock'!CM16&lt;&gt;""))&gt;0,'T_SelfStock'!CM16+'T_TTAFStock'!CM16,CL12+'Grid_Incoming'!CM12-'Grid_Requirement'!CM12))</f>
        <v/>
      </c>
      <c r="CN12">
        <f>IF(COUNTIFS(T_StockCount[Part Name],$A12,T_StockCount[WeekIndex],91)&gt;0,SUMIFS(T_StockCount[CountedQty],T_StockCount[Part Name],$A12,T_StockCount[WeekIndex],91),IF((('T_SelfStock'!CN16&lt;&gt;""))*(('T_TTAFStock'!CN16&lt;&gt;""))&gt;0,'T_SelfStock'!CN16+'T_TTAFStock'!CN16,CM12+'Grid_Incoming'!CN12-'Grid_Requirement'!CN12))</f>
        <v/>
      </c>
      <c r="CO12">
        <f>IF(COUNTIFS(T_StockCount[Part Name],$A12,T_StockCount[WeekIndex],92)&gt;0,SUMIFS(T_StockCount[CountedQty],T_StockCount[Part Name],$A12,T_StockCount[WeekIndex],92),IF((('T_SelfStock'!CO16&lt;&gt;""))*(('T_TTAFStock'!CO16&lt;&gt;""))&gt;0,'T_SelfStock'!CO16+'T_TTAFStock'!CO16,CN12+'Grid_Incoming'!CO12-'Grid_Requirement'!CO12))</f>
        <v/>
      </c>
      <c r="CP12">
        <f>IF(COUNTIFS(T_StockCount[Part Name],$A12,T_StockCount[WeekIndex],93)&gt;0,SUMIFS(T_StockCount[CountedQty],T_StockCount[Part Name],$A12,T_StockCount[WeekIndex],93),IF((('T_SelfStock'!CP16&lt;&gt;""))*(('T_TTAFStock'!CP16&lt;&gt;""))&gt;0,'T_SelfStock'!CP16+'T_TTAFStock'!CP16,CO12+'Grid_Incoming'!CP12-'Grid_Requirement'!CP12))</f>
        <v/>
      </c>
      <c r="CQ12">
        <f>IF(COUNTIFS(T_StockCount[Part Name],$A12,T_StockCount[WeekIndex],94)&gt;0,SUMIFS(T_StockCount[CountedQty],T_StockCount[Part Name],$A12,T_StockCount[WeekIndex],94),IF((('T_SelfStock'!CQ16&lt;&gt;""))*(('T_TTAFStock'!CQ16&lt;&gt;""))&gt;0,'T_SelfStock'!CQ16+'T_TTAFStock'!CQ16,CP12+'Grid_Incoming'!CQ12-'Grid_Requirement'!CQ12))</f>
        <v/>
      </c>
      <c r="CR12">
        <f>IF(COUNTIFS(T_StockCount[Part Name],$A12,T_StockCount[WeekIndex],95)&gt;0,SUMIFS(T_StockCount[CountedQty],T_StockCount[Part Name],$A12,T_StockCount[WeekIndex],95),IF((('T_SelfStock'!CR16&lt;&gt;""))*(('T_TTAFStock'!CR16&lt;&gt;""))&gt;0,'T_SelfStock'!CR16+'T_TTAFStock'!CR16,CQ12+'Grid_Incoming'!CR12-'Grid_Requirement'!CR12))</f>
        <v/>
      </c>
      <c r="CS12">
        <f>IF(COUNTIFS(T_StockCount[Part Name],$A12,T_StockCount[WeekIndex],96)&gt;0,SUMIFS(T_StockCount[CountedQty],T_StockCount[Part Name],$A12,T_StockCount[WeekIndex],96),IF((('T_SelfStock'!CS16&lt;&gt;""))*(('T_TTAFStock'!CS16&lt;&gt;""))&gt;0,'T_SelfStock'!CS16+'T_TTAFStock'!CS16,CR12+'Grid_Incoming'!CS12-'Grid_Requirement'!CS12))</f>
        <v/>
      </c>
      <c r="CT12">
        <f>IF(COUNTIFS(T_StockCount[Part Name],$A12,T_StockCount[WeekIndex],97)&gt;0,SUMIFS(T_StockCount[CountedQty],T_StockCount[Part Name],$A12,T_StockCount[WeekIndex],97),IF((('T_SelfStock'!CT16&lt;&gt;""))*(('T_TTAFStock'!CT16&lt;&gt;""))&gt;0,'T_SelfStock'!CT16+'T_TTAFStock'!CT16,CS12+'Grid_Incoming'!CT12-'Grid_Requirement'!CT12))</f>
        <v/>
      </c>
      <c r="CU12">
        <f>IF(COUNTIFS(T_StockCount[Part Name],$A12,T_StockCount[WeekIndex],98)&gt;0,SUMIFS(T_StockCount[CountedQty],T_StockCount[Part Name],$A12,T_StockCount[WeekIndex],98),IF((('T_SelfStock'!CU16&lt;&gt;""))*(('T_TTAFStock'!CU16&lt;&gt;""))&gt;0,'T_SelfStock'!CU16+'T_TTAFStock'!CU16,CT12+'Grid_Incoming'!CU12-'Grid_Requirement'!CU12))</f>
        <v/>
      </c>
      <c r="CV12">
        <f>IF(COUNTIFS(T_StockCount[Part Name],$A12,T_StockCount[WeekIndex],99)&gt;0,SUMIFS(T_StockCount[CountedQty],T_StockCount[Part Name],$A12,T_StockCount[WeekIndex],99),IF((('T_SelfStock'!CV16&lt;&gt;""))*(('T_TTAFStock'!CV16&lt;&gt;""))&gt;0,'T_SelfStock'!CV16+'T_TTAFStock'!CV16,CU12+'Grid_Incoming'!CV12-'Grid_Requirement'!CV12))</f>
        <v/>
      </c>
      <c r="CW12">
        <f>IF(COUNTIFS(T_StockCount[Part Name],$A12,T_StockCount[WeekIndex],100)&gt;0,SUMIFS(T_StockCount[CountedQty],T_StockCount[Part Name],$A12,T_StockCount[WeekIndex],100),IF((('T_SelfStock'!CW16&lt;&gt;""))*(('T_TTAFStock'!CW16&lt;&gt;""))&gt;0,'T_SelfStock'!CW16+'T_TTAFStock'!CW16,CV12+'Grid_Incoming'!CW12-'Grid_Requirement'!CW12))</f>
        <v/>
      </c>
      <c r="CX12">
        <f>IF(COUNTIFS(T_StockCount[Part Name],$A12,T_StockCount[WeekIndex],101)&gt;0,SUMIFS(T_StockCount[CountedQty],T_StockCount[Part Name],$A12,T_StockCount[WeekIndex],101),IF((('T_SelfStock'!CX16&lt;&gt;""))*(('T_TTAFStock'!CX16&lt;&gt;""))&gt;0,'T_SelfStock'!CX16+'T_TTAFStock'!CX16,CW12+'Grid_Incoming'!CX12-'Grid_Requirement'!CX12))</f>
        <v/>
      </c>
      <c r="CY12">
        <f>IF(COUNTIFS(T_StockCount[Part Name],$A12,T_StockCount[WeekIndex],102)&gt;0,SUMIFS(T_StockCount[CountedQty],T_StockCount[Part Name],$A12,T_StockCount[WeekIndex],102),IF((('T_SelfStock'!CY16&lt;&gt;""))*(('T_TTAFStock'!CY16&lt;&gt;""))&gt;0,'T_SelfStock'!CY16+'T_TTAFStock'!CY16,CX12+'Grid_Incoming'!CY12-'Grid_Requirement'!CY12))</f>
        <v/>
      </c>
      <c r="CZ12">
        <f>IF(COUNTIFS(T_StockCount[Part Name],$A12,T_StockCount[WeekIndex],103)&gt;0,SUMIFS(T_StockCount[CountedQty],T_StockCount[Part Name],$A12,T_StockCount[WeekIndex],103),IF((('T_SelfStock'!CZ16&lt;&gt;""))*(('T_TTAFStock'!CZ16&lt;&gt;""))&gt;0,'T_SelfStock'!CZ16+'T_TTAFStock'!CZ16,CY12+'Grid_Incoming'!CZ12-'Grid_Requirement'!CZ12))</f>
        <v/>
      </c>
      <c r="DA12">
        <f>IF(COUNTIFS(T_StockCount[Part Name],$A12,T_StockCount[WeekIndex],104)&gt;0,SUMIFS(T_StockCount[CountedQty],T_StockCount[Part Name],$A12,T_StockCount[WeekIndex],104),IF((('T_SelfStock'!DA16&lt;&gt;""))*(('T_TTAFStock'!DA16&lt;&gt;""))&gt;0,'T_SelfStock'!DA16+'T_TTAFStock'!DA16,CZ12+'Grid_Incoming'!DA12-'Grid_Requirement'!DA12))</f>
        <v/>
      </c>
    </row>
    <row r="13">
      <c r="A13" t="inlineStr">
        <is>
          <t>7CL</t>
        </is>
      </c>
      <c r="B13">
        <f>IF(COUNTIFS(T_StockCount[Part Name],$A13,T_StockCount[WeekIndex],1)&gt;0,SUMIFS(T_StockCount[CountedQty],T_StockCount[Part Name],$A13,T_StockCount[WeekIndex],1),IF((('T_SelfStock'!B17&lt;&gt;""))*(('T_TTAFStock'!B17&lt;&gt;""))&gt;0,'T_SelfStock'!B17+'T_TTAFStock'!B17,IFERROR(INDEX(T_OpeningStock[Opening_Qty],MATCH($A13,T_OpeningStock[Part Name],0)),0)+'Grid_Incoming'!B13-'Grid_Requirement'!B13))</f>
        <v/>
      </c>
      <c r="C13">
        <f>IF(COUNTIFS(T_StockCount[Part Name],$A13,T_StockCount[WeekIndex],2)&gt;0,SUMIFS(T_StockCount[CountedQty],T_StockCount[Part Name],$A13,T_StockCount[WeekIndex],2),IF((('T_SelfStock'!C17&lt;&gt;""))*(('T_TTAFStock'!C17&lt;&gt;""))&gt;0,'T_SelfStock'!C17+'T_TTAFStock'!C17,B13+'Grid_Incoming'!C13-'Grid_Requirement'!C13))</f>
        <v/>
      </c>
      <c r="D13">
        <f>IF(COUNTIFS(T_StockCount[Part Name],$A13,T_StockCount[WeekIndex],3)&gt;0,SUMIFS(T_StockCount[CountedQty],T_StockCount[Part Name],$A13,T_StockCount[WeekIndex],3),IF((('T_SelfStock'!D17&lt;&gt;""))*(('T_TTAFStock'!D17&lt;&gt;""))&gt;0,'T_SelfStock'!D17+'T_TTAFStock'!D17,C13+'Grid_Incoming'!D13-'Grid_Requirement'!D13))</f>
        <v/>
      </c>
      <c r="E13">
        <f>IF(COUNTIFS(T_StockCount[Part Name],$A13,T_StockCount[WeekIndex],4)&gt;0,SUMIFS(T_StockCount[CountedQty],T_StockCount[Part Name],$A13,T_StockCount[WeekIndex],4),IF((('T_SelfStock'!E17&lt;&gt;""))*(('T_TTAFStock'!E17&lt;&gt;""))&gt;0,'T_SelfStock'!E17+'T_TTAFStock'!E17,D13+'Grid_Incoming'!E13-'Grid_Requirement'!E13))</f>
        <v/>
      </c>
      <c r="F13">
        <f>IF(COUNTIFS(T_StockCount[Part Name],$A13,T_StockCount[WeekIndex],5)&gt;0,SUMIFS(T_StockCount[CountedQty],T_StockCount[Part Name],$A13,T_StockCount[WeekIndex],5),IF((('T_SelfStock'!F17&lt;&gt;""))*(('T_TTAFStock'!F17&lt;&gt;""))&gt;0,'T_SelfStock'!F17+'T_TTAFStock'!F17,E13+'Grid_Incoming'!F13-'Grid_Requirement'!F13))</f>
        <v/>
      </c>
      <c r="G13">
        <f>IF(COUNTIFS(T_StockCount[Part Name],$A13,T_StockCount[WeekIndex],6)&gt;0,SUMIFS(T_StockCount[CountedQty],T_StockCount[Part Name],$A13,T_StockCount[WeekIndex],6),IF((('T_SelfStock'!G17&lt;&gt;""))*(('T_TTAFStock'!G17&lt;&gt;""))&gt;0,'T_SelfStock'!G17+'T_TTAFStock'!G17,F13+'Grid_Incoming'!G13-'Grid_Requirement'!G13))</f>
        <v/>
      </c>
      <c r="H13">
        <f>IF(COUNTIFS(T_StockCount[Part Name],$A13,T_StockCount[WeekIndex],7)&gt;0,SUMIFS(T_StockCount[CountedQty],T_StockCount[Part Name],$A13,T_StockCount[WeekIndex],7),IF((('T_SelfStock'!H17&lt;&gt;""))*(('T_TTAFStock'!H17&lt;&gt;""))&gt;0,'T_SelfStock'!H17+'T_TTAFStock'!H17,G13+'Grid_Incoming'!H13-'Grid_Requirement'!H13))</f>
        <v/>
      </c>
      <c r="I13">
        <f>IF(COUNTIFS(T_StockCount[Part Name],$A13,T_StockCount[WeekIndex],8)&gt;0,SUMIFS(T_StockCount[CountedQty],T_StockCount[Part Name],$A13,T_StockCount[WeekIndex],8),IF((('T_SelfStock'!I17&lt;&gt;""))*(('T_TTAFStock'!I17&lt;&gt;""))&gt;0,'T_SelfStock'!I17+'T_TTAFStock'!I17,H13+'Grid_Incoming'!I13-'Grid_Requirement'!I13))</f>
        <v/>
      </c>
      <c r="J13">
        <f>IF(COUNTIFS(T_StockCount[Part Name],$A13,T_StockCount[WeekIndex],9)&gt;0,SUMIFS(T_StockCount[CountedQty],T_StockCount[Part Name],$A13,T_StockCount[WeekIndex],9),IF((('T_SelfStock'!J17&lt;&gt;""))*(('T_TTAFStock'!J17&lt;&gt;""))&gt;0,'T_SelfStock'!J17+'T_TTAFStock'!J17,I13+'Grid_Incoming'!J13-'Grid_Requirement'!J13))</f>
        <v/>
      </c>
      <c r="K13">
        <f>IF(COUNTIFS(T_StockCount[Part Name],$A13,T_StockCount[WeekIndex],10)&gt;0,SUMIFS(T_StockCount[CountedQty],T_StockCount[Part Name],$A13,T_StockCount[WeekIndex],10),IF((('T_SelfStock'!K17&lt;&gt;""))*(('T_TTAFStock'!K17&lt;&gt;""))&gt;0,'T_SelfStock'!K17+'T_TTAFStock'!K17,J13+'Grid_Incoming'!K13-'Grid_Requirement'!K13))</f>
        <v/>
      </c>
      <c r="L13">
        <f>IF(COUNTIFS(T_StockCount[Part Name],$A13,T_StockCount[WeekIndex],11)&gt;0,SUMIFS(T_StockCount[CountedQty],T_StockCount[Part Name],$A13,T_StockCount[WeekIndex],11),IF((('T_SelfStock'!L17&lt;&gt;""))*(('T_TTAFStock'!L17&lt;&gt;""))&gt;0,'T_SelfStock'!L17+'T_TTAFStock'!L17,K13+'Grid_Incoming'!L13-'Grid_Requirement'!L13))</f>
        <v/>
      </c>
      <c r="M13">
        <f>IF(COUNTIFS(T_StockCount[Part Name],$A13,T_StockCount[WeekIndex],12)&gt;0,SUMIFS(T_StockCount[CountedQty],T_StockCount[Part Name],$A13,T_StockCount[WeekIndex],12),IF((('T_SelfStock'!M17&lt;&gt;""))*(('T_TTAFStock'!M17&lt;&gt;""))&gt;0,'T_SelfStock'!M17+'T_TTAFStock'!M17,L13+'Grid_Incoming'!M13-'Grid_Requirement'!M13))</f>
        <v/>
      </c>
      <c r="N13">
        <f>IF(COUNTIFS(T_StockCount[Part Name],$A13,T_StockCount[WeekIndex],13)&gt;0,SUMIFS(T_StockCount[CountedQty],T_StockCount[Part Name],$A13,T_StockCount[WeekIndex],13),IF((('T_SelfStock'!N17&lt;&gt;""))*(('T_TTAFStock'!N17&lt;&gt;""))&gt;0,'T_SelfStock'!N17+'T_TTAFStock'!N17,M13+'Grid_Incoming'!N13-'Grid_Requirement'!N13))</f>
        <v/>
      </c>
      <c r="O13">
        <f>IF(COUNTIFS(T_StockCount[Part Name],$A13,T_StockCount[WeekIndex],14)&gt;0,SUMIFS(T_StockCount[CountedQty],T_StockCount[Part Name],$A13,T_StockCount[WeekIndex],14),IF((('T_SelfStock'!O17&lt;&gt;""))*(('T_TTAFStock'!O17&lt;&gt;""))&gt;0,'T_SelfStock'!O17+'T_TTAFStock'!O17,N13+'Grid_Incoming'!O13-'Grid_Requirement'!O13))</f>
        <v/>
      </c>
      <c r="P13">
        <f>IF(COUNTIFS(T_StockCount[Part Name],$A13,T_StockCount[WeekIndex],15)&gt;0,SUMIFS(T_StockCount[CountedQty],T_StockCount[Part Name],$A13,T_StockCount[WeekIndex],15),IF((('T_SelfStock'!P17&lt;&gt;""))*(('T_TTAFStock'!P17&lt;&gt;""))&gt;0,'T_SelfStock'!P17+'T_TTAFStock'!P17,O13+'Grid_Incoming'!P13-'Grid_Requirement'!P13))</f>
        <v/>
      </c>
      <c r="Q13">
        <f>IF(COUNTIFS(T_StockCount[Part Name],$A13,T_StockCount[WeekIndex],16)&gt;0,SUMIFS(T_StockCount[CountedQty],T_StockCount[Part Name],$A13,T_StockCount[WeekIndex],16),IF((('T_SelfStock'!Q17&lt;&gt;""))*(('T_TTAFStock'!Q17&lt;&gt;""))&gt;0,'T_SelfStock'!Q17+'T_TTAFStock'!Q17,P13+'Grid_Incoming'!Q13-'Grid_Requirement'!Q13))</f>
        <v/>
      </c>
      <c r="R13">
        <f>IF(COUNTIFS(T_StockCount[Part Name],$A13,T_StockCount[WeekIndex],17)&gt;0,SUMIFS(T_StockCount[CountedQty],T_StockCount[Part Name],$A13,T_StockCount[WeekIndex],17),IF((('T_SelfStock'!R17&lt;&gt;""))*(('T_TTAFStock'!R17&lt;&gt;""))&gt;0,'T_SelfStock'!R17+'T_TTAFStock'!R17,Q13+'Grid_Incoming'!R13-'Grid_Requirement'!R13))</f>
        <v/>
      </c>
      <c r="S13">
        <f>IF(COUNTIFS(T_StockCount[Part Name],$A13,T_StockCount[WeekIndex],18)&gt;0,SUMIFS(T_StockCount[CountedQty],T_StockCount[Part Name],$A13,T_StockCount[WeekIndex],18),IF((('T_SelfStock'!S17&lt;&gt;""))*(('T_TTAFStock'!S17&lt;&gt;""))&gt;0,'T_SelfStock'!S17+'T_TTAFStock'!S17,R13+'Grid_Incoming'!S13-'Grid_Requirement'!S13))</f>
        <v/>
      </c>
      <c r="T13">
        <f>IF(COUNTIFS(T_StockCount[Part Name],$A13,T_StockCount[WeekIndex],19)&gt;0,SUMIFS(T_StockCount[CountedQty],T_StockCount[Part Name],$A13,T_StockCount[WeekIndex],19),IF((('T_SelfStock'!T17&lt;&gt;""))*(('T_TTAFStock'!T17&lt;&gt;""))&gt;0,'T_SelfStock'!T17+'T_TTAFStock'!T17,S13+'Grid_Incoming'!T13-'Grid_Requirement'!T13))</f>
        <v/>
      </c>
      <c r="U13">
        <f>IF(COUNTIFS(T_StockCount[Part Name],$A13,T_StockCount[WeekIndex],20)&gt;0,SUMIFS(T_StockCount[CountedQty],T_StockCount[Part Name],$A13,T_StockCount[WeekIndex],20),IF((('T_SelfStock'!U17&lt;&gt;""))*(('T_TTAFStock'!U17&lt;&gt;""))&gt;0,'T_SelfStock'!U17+'T_TTAFStock'!U17,T13+'Grid_Incoming'!U13-'Grid_Requirement'!U13))</f>
        <v/>
      </c>
      <c r="V13">
        <f>IF(COUNTIFS(T_StockCount[Part Name],$A13,T_StockCount[WeekIndex],21)&gt;0,SUMIFS(T_StockCount[CountedQty],T_StockCount[Part Name],$A13,T_StockCount[WeekIndex],21),IF((('T_SelfStock'!V17&lt;&gt;""))*(('T_TTAFStock'!V17&lt;&gt;""))&gt;0,'T_SelfStock'!V17+'T_TTAFStock'!V17,U13+'Grid_Incoming'!V13-'Grid_Requirement'!V13))</f>
        <v/>
      </c>
      <c r="W13">
        <f>IF(COUNTIFS(T_StockCount[Part Name],$A13,T_StockCount[WeekIndex],22)&gt;0,SUMIFS(T_StockCount[CountedQty],T_StockCount[Part Name],$A13,T_StockCount[WeekIndex],22),IF((('T_SelfStock'!W17&lt;&gt;""))*(('T_TTAFStock'!W17&lt;&gt;""))&gt;0,'T_SelfStock'!W17+'T_TTAFStock'!W17,V13+'Grid_Incoming'!W13-'Grid_Requirement'!W13))</f>
        <v/>
      </c>
      <c r="X13">
        <f>IF(COUNTIFS(T_StockCount[Part Name],$A13,T_StockCount[WeekIndex],23)&gt;0,SUMIFS(T_StockCount[CountedQty],T_StockCount[Part Name],$A13,T_StockCount[WeekIndex],23),IF((('T_SelfStock'!X17&lt;&gt;""))*(('T_TTAFStock'!X17&lt;&gt;""))&gt;0,'T_SelfStock'!X17+'T_TTAFStock'!X17,W13+'Grid_Incoming'!X13-'Grid_Requirement'!X13))</f>
        <v/>
      </c>
      <c r="Y13">
        <f>IF(COUNTIFS(T_StockCount[Part Name],$A13,T_StockCount[WeekIndex],24)&gt;0,SUMIFS(T_StockCount[CountedQty],T_StockCount[Part Name],$A13,T_StockCount[WeekIndex],24),IF((('T_SelfStock'!Y17&lt;&gt;""))*(('T_TTAFStock'!Y17&lt;&gt;""))&gt;0,'T_SelfStock'!Y17+'T_TTAFStock'!Y17,X13+'Grid_Incoming'!Y13-'Grid_Requirement'!Y13))</f>
        <v/>
      </c>
      <c r="Z13">
        <f>IF(COUNTIFS(T_StockCount[Part Name],$A13,T_StockCount[WeekIndex],25)&gt;0,SUMIFS(T_StockCount[CountedQty],T_StockCount[Part Name],$A13,T_StockCount[WeekIndex],25),IF((('T_SelfStock'!Z17&lt;&gt;""))*(('T_TTAFStock'!Z17&lt;&gt;""))&gt;0,'T_SelfStock'!Z17+'T_TTAFStock'!Z17,Y13+'Grid_Incoming'!Z13-'Grid_Requirement'!Z13))</f>
        <v/>
      </c>
      <c r="AA13">
        <f>IF(COUNTIFS(T_StockCount[Part Name],$A13,T_StockCount[WeekIndex],26)&gt;0,SUMIFS(T_StockCount[CountedQty],T_StockCount[Part Name],$A13,T_StockCount[WeekIndex],26),IF((('T_SelfStock'!AA17&lt;&gt;""))*(('T_TTAFStock'!AA17&lt;&gt;""))&gt;0,'T_SelfStock'!AA17+'T_TTAFStock'!AA17,Z13+'Grid_Incoming'!AA13-'Grid_Requirement'!AA13))</f>
        <v/>
      </c>
      <c r="AB13">
        <f>IF(COUNTIFS(T_StockCount[Part Name],$A13,T_StockCount[WeekIndex],27)&gt;0,SUMIFS(T_StockCount[CountedQty],T_StockCount[Part Name],$A13,T_StockCount[WeekIndex],27),IF((('T_SelfStock'!AB17&lt;&gt;""))*(('T_TTAFStock'!AB17&lt;&gt;""))&gt;0,'T_SelfStock'!AB17+'T_TTAFStock'!AB17,AA13+'Grid_Incoming'!AB13-'Grid_Requirement'!AB13))</f>
        <v/>
      </c>
      <c r="AC13">
        <f>IF(COUNTIFS(T_StockCount[Part Name],$A13,T_StockCount[WeekIndex],28)&gt;0,SUMIFS(T_StockCount[CountedQty],T_StockCount[Part Name],$A13,T_StockCount[WeekIndex],28),IF((('T_SelfStock'!AC17&lt;&gt;""))*(('T_TTAFStock'!AC17&lt;&gt;""))&gt;0,'T_SelfStock'!AC17+'T_TTAFStock'!AC17,AB13+'Grid_Incoming'!AC13-'Grid_Requirement'!AC13))</f>
        <v/>
      </c>
      <c r="AD13">
        <f>IF(COUNTIFS(T_StockCount[Part Name],$A13,T_StockCount[WeekIndex],29)&gt;0,SUMIFS(T_StockCount[CountedQty],T_StockCount[Part Name],$A13,T_StockCount[WeekIndex],29),IF((('T_SelfStock'!AD17&lt;&gt;""))*(('T_TTAFStock'!AD17&lt;&gt;""))&gt;0,'T_SelfStock'!AD17+'T_TTAFStock'!AD17,AC13+'Grid_Incoming'!AD13-'Grid_Requirement'!AD13))</f>
        <v/>
      </c>
      <c r="AE13">
        <f>IF(COUNTIFS(T_StockCount[Part Name],$A13,T_StockCount[WeekIndex],30)&gt;0,SUMIFS(T_StockCount[CountedQty],T_StockCount[Part Name],$A13,T_StockCount[WeekIndex],30),IF((('T_SelfStock'!AE17&lt;&gt;""))*(('T_TTAFStock'!AE17&lt;&gt;""))&gt;0,'T_SelfStock'!AE17+'T_TTAFStock'!AE17,AD13+'Grid_Incoming'!AE13-'Grid_Requirement'!AE13))</f>
        <v/>
      </c>
      <c r="AF13">
        <f>IF(COUNTIFS(T_StockCount[Part Name],$A13,T_StockCount[WeekIndex],31)&gt;0,SUMIFS(T_StockCount[CountedQty],T_StockCount[Part Name],$A13,T_StockCount[WeekIndex],31),IF((('T_SelfStock'!AF17&lt;&gt;""))*(('T_TTAFStock'!AF17&lt;&gt;""))&gt;0,'T_SelfStock'!AF17+'T_TTAFStock'!AF17,AE13+'Grid_Incoming'!AF13-'Grid_Requirement'!AF13))</f>
        <v/>
      </c>
      <c r="AG13">
        <f>IF(COUNTIFS(T_StockCount[Part Name],$A13,T_StockCount[WeekIndex],32)&gt;0,SUMIFS(T_StockCount[CountedQty],T_StockCount[Part Name],$A13,T_StockCount[WeekIndex],32),IF((('T_SelfStock'!AG17&lt;&gt;""))*(('T_TTAFStock'!AG17&lt;&gt;""))&gt;0,'T_SelfStock'!AG17+'T_TTAFStock'!AG17,AF13+'Grid_Incoming'!AG13-'Grid_Requirement'!AG13))</f>
        <v/>
      </c>
      <c r="AH13">
        <f>IF(COUNTIFS(T_StockCount[Part Name],$A13,T_StockCount[WeekIndex],33)&gt;0,SUMIFS(T_StockCount[CountedQty],T_StockCount[Part Name],$A13,T_StockCount[WeekIndex],33),IF((('T_SelfStock'!AH17&lt;&gt;""))*(('T_TTAFStock'!AH17&lt;&gt;""))&gt;0,'T_SelfStock'!AH17+'T_TTAFStock'!AH17,AG13+'Grid_Incoming'!AH13-'Grid_Requirement'!AH13))</f>
        <v/>
      </c>
      <c r="AI13">
        <f>IF(COUNTIFS(T_StockCount[Part Name],$A13,T_StockCount[WeekIndex],34)&gt;0,SUMIFS(T_StockCount[CountedQty],T_StockCount[Part Name],$A13,T_StockCount[WeekIndex],34),IF((('T_SelfStock'!AI17&lt;&gt;""))*(('T_TTAFStock'!AI17&lt;&gt;""))&gt;0,'T_SelfStock'!AI17+'T_TTAFStock'!AI17,AH13+'Grid_Incoming'!AI13-'Grid_Requirement'!AI13))</f>
        <v/>
      </c>
      <c r="AJ13">
        <f>IF(COUNTIFS(T_StockCount[Part Name],$A13,T_StockCount[WeekIndex],35)&gt;0,SUMIFS(T_StockCount[CountedQty],T_StockCount[Part Name],$A13,T_StockCount[WeekIndex],35),IF((('T_SelfStock'!AJ17&lt;&gt;""))*(('T_TTAFStock'!AJ17&lt;&gt;""))&gt;0,'T_SelfStock'!AJ17+'T_TTAFStock'!AJ17,AI13+'Grid_Incoming'!AJ13-'Grid_Requirement'!AJ13))</f>
        <v/>
      </c>
      <c r="AK13">
        <f>IF(COUNTIFS(T_StockCount[Part Name],$A13,T_StockCount[WeekIndex],36)&gt;0,SUMIFS(T_StockCount[CountedQty],T_StockCount[Part Name],$A13,T_StockCount[WeekIndex],36),IF((('T_SelfStock'!AK17&lt;&gt;""))*(('T_TTAFStock'!AK17&lt;&gt;""))&gt;0,'T_SelfStock'!AK17+'T_TTAFStock'!AK17,AJ13+'Grid_Incoming'!AK13-'Grid_Requirement'!AK13))</f>
        <v/>
      </c>
      <c r="AL13">
        <f>IF(COUNTIFS(T_StockCount[Part Name],$A13,T_StockCount[WeekIndex],37)&gt;0,SUMIFS(T_StockCount[CountedQty],T_StockCount[Part Name],$A13,T_StockCount[WeekIndex],37),IF((('T_SelfStock'!AL17&lt;&gt;""))*(('T_TTAFStock'!AL17&lt;&gt;""))&gt;0,'T_SelfStock'!AL17+'T_TTAFStock'!AL17,AK13+'Grid_Incoming'!AL13-'Grid_Requirement'!AL13))</f>
        <v/>
      </c>
      <c r="AM13">
        <f>IF(COUNTIFS(T_StockCount[Part Name],$A13,T_StockCount[WeekIndex],38)&gt;0,SUMIFS(T_StockCount[CountedQty],T_StockCount[Part Name],$A13,T_StockCount[WeekIndex],38),IF((('T_SelfStock'!AM17&lt;&gt;""))*(('T_TTAFStock'!AM17&lt;&gt;""))&gt;0,'T_SelfStock'!AM17+'T_TTAFStock'!AM17,AL13+'Grid_Incoming'!AM13-'Grid_Requirement'!AM13))</f>
        <v/>
      </c>
      <c r="AN13">
        <f>IF(COUNTIFS(T_StockCount[Part Name],$A13,T_StockCount[WeekIndex],39)&gt;0,SUMIFS(T_StockCount[CountedQty],T_StockCount[Part Name],$A13,T_StockCount[WeekIndex],39),IF((('T_SelfStock'!AN17&lt;&gt;""))*(('T_TTAFStock'!AN17&lt;&gt;""))&gt;0,'T_SelfStock'!AN17+'T_TTAFStock'!AN17,AM13+'Grid_Incoming'!AN13-'Grid_Requirement'!AN13))</f>
        <v/>
      </c>
      <c r="AO13">
        <f>IF(COUNTIFS(T_StockCount[Part Name],$A13,T_StockCount[WeekIndex],40)&gt;0,SUMIFS(T_StockCount[CountedQty],T_StockCount[Part Name],$A13,T_StockCount[WeekIndex],40),IF((('T_SelfStock'!AO17&lt;&gt;""))*(('T_TTAFStock'!AO17&lt;&gt;""))&gt;0,'T_SelfStock'!AO17+'T_TTAFStock'!AO17,AN13+'Grid_Incoming'!AO13-'Grid_Requirement'!AO13))</f>
        <v/>
      </c>
      <c r="AP13">
        <f>IF(COUNTIFS(T_StockCount[Part Name],$A13,T_StockCount[WeekIndex],41)&gt;0,SUMIFS(T_StockCount[CountedQty],T_StockCount[Part Name],$A13,T_StockCount[WeekIndex],41),IF((('T_SelfStock'!AP17&lt;&gt;""))*(('T_TTAFStock'!AP17&lt;&gt;""))&gt;0,'T_SelfStock'!AP17+'T_TTAFStock'!AP17,AO13+'Grid_Incoming'!AP13-'Grid_Requirement'!AP13))</f>
        <v/>
      </c>
      <c r="AQ13">
        <f>IF(COUNTIFS(T_StockCount[Part Name],$A13,T_StockCount[WeekIndex],42)&gt;0,SUMIFS(T_StockCount[CountedQty],T_StockCount[Part Name],$A13,T_StockCount[WeekIndex],42),IF((('T_SelfStock'!AQ17&lt;&gt;""))*(('T_TTAFStock'!AQ17&lt;&gt;""))&gt;0,'T_SelfStock'!AQ17+'T_TTAFStock'!AQ17,AP13+'Grid_Incoming'!AQ13-'Grid_Requirement'!AQ13))</f>
        <v/>
      </c>
      <c r="AR13">
        <f>IF(COUNTIFS(T_StockCount[Part Name],$A13,T_StockCount[WeekIndex],43)&gt;0,SUMIFS(T_StockCount[CountedQty],T_StockCount[Part Name],$A13,T_StockCount[WeekIndex],43),IF((('T_SelfStock'!AR17&lt;&gt;""))*(('T_TTAFStock'!AR17&lt;&gt;""))&gt;0,'T_SelfStock'!AR17+'T_TTAFStock'!AR17,AQ13+'Grid_Incoming'!AR13-'Grid_Requirement'!AR13))</f>
        <v/>
      </c>
      <c r="AS13">
        <f>IF(COUNTIFS(T_StockCount[Part Name],$A13,T_StockCount[WeekIndex],44)&gt;0,SUMIFS(T_StockCount[CountedQty],T_StockCount[Part Name],$A13,T_StockCount[WeekIndex],44),IF((('T_SelfStock'!AS17&lt;&gt;""))*(('T_TTAFStock'!AS17&lt;&gt;""))&gt;0,'T_SelfStock'!AS17+'T_TTAFStock'!AS17,AR13+'Grid_Incoming'!AS13-'Grid_Requirement'!AS13))</f>
        <v/>
      </c>
      <c r="AT13">
        <f>IF(COUNTIFS(T_StockCount[Part Name],$A13,T_StockCount[WeekIndex],45)&gt;0,SUMIFS(T_StockCount[CountedQty],T_StockCount[Part Name],$A13,T_StockCount[WeekIndex],45),IF((('T_SelfStock'!AT17&lt;&gt;""))*(('T_TTAFStock'!AT17&lt;&gt;""))&gt;0,'T_SelfStock'!AT17+'T_TTAFStock'!AT17,AS13+'Grid_Incoming'!AT13-'Grid_Requirement'!AT13))</f>
        <v/>
      </c>
      <c r="AU13">
        <f>IF(COUNTIFS(T_StockCount[Part Name],$A13,T_StockCount[WeekIndex],46)&gt;0,SUMIFS(T_StockCount[CountedQty],T_StockCount[Part Name],$A13,T_StockCount[WeekIndex],46),IF((('T_SelfStock'!AU17&lt;&gt;""))*(('T_TTAFStock'!AU17&lt;&gt;""))&gt;0,'T_SelfStock'!AU17+'T_TTAFStock'!AU17,AT13+'Grid_Incoming'!AU13-'Grid_Requirement'!AU13))</f>
        <v/>
      </c>
      <c r="AV13">
        <f>IF(COUNTIFS(T_StockCount[Part Name],$A13,T_StockCount[WeekIndex],47)&gt;0,SUMIFS(T_StockCount[CountedQty],T_StockCount[Part Name],$A13,T_StockCount[WeekIndex],47),IF((('T_SelfStock'!AV17&lt;&gt;""))*(('T_TTAFStock'!AV17&lt;&gt;""))&gt;0,'T_SelfStock'!AV17+'T_TTAFStock'!AV17,AU13+'Grid_Incoming'!AV13-'Grid_Requirement'!AV13))</f>
        <v/>
      </c>
      <c r="AW13">
        <f>IF(COUNTIFS(T_StockCount[Part Name],$A13,T_StockCount[WeekIndex],48)&gt;0,SUMIFS(T_StockCount[CountedQty],T_StockCount[Part Name],$A13,T_StockCount[WeekIndex],48),IF((('T_SelfStock'!AW17&lt;&gt;""))*(('T_TTAFStock'!AW17&lt;&gt;""))&gt;0,'T_SelfStock'!AW17+'T_TTAFStock'!AW17,AV13+'Grid_Incoming'!AW13-'Grid_Requirement'!AW13))</f>
        <v/>
      </c>
      <c r="AX13">
        <f>IF(COUNTIFS(T_StockCount[Part Name],$A13,T_StockCount[WeekIndex],49)&gt;0,SUMIFS(T_StockCount[CountedQty],T_StockCount[Part Name],$A13,T_StockCount[WeekIndex],49),IF((('T_SelfStock'!AX17&lt;&gt;""))*(('T_TTAFStock'!AX17&lt;&gt;""))&gt;0,'T_SelfStock'!AX17+'T_TTAFStock'!AX17,AW13+'Grid_Incoming'!AX13-'Grid_Requirement'!AX13))</f>
        <v/>
      </c>
      <c r="AY13">
        <f>IF(COUNTIFS(T_StockCount[Part Name],$A13,T_StockCount[WeekIndex],50)&gt;0,SUMIFS(T_StockCount[CountedQty],T_StockCount[Part Name],$A13,T_StockCount[WeekIndex],50),IF((('T_SelfStock'!AY17&lt;&gt;""))*(('T_TTAFStock'!AY17&lt;&gt;""))&gt;0,'T_SelfStock'!AY17+'T_TTAFStock'!AY17,AX13+'Grid_Incoming'!AY13-'Grid_Requirement'!AY13))</f>
        <v/>
      </c>
      <c r="AZ13">
        <f>IF(COUNTIFS(T_StockCount[Part Name],$A13,T_StockCount[WeekIndex],51)&gt;0,SUMIFS(T_StockCount[CountedQty],T_StockCount[Part Name],$A13,T_StockCount[WeekIndex],51),IF((('T_SelfStock'!AZ17&lt;&gt;""))*(('T_TTAFStock'!AZ17&lt;&gt;""))&gt;0,'T_SelfStock'!AZ17+'T_TTAFStock'!AZ17,AY13+'Grid_Incoming'!AZ13-'Grid_Requirement'!AZ13))</f>
        <v/>
      </c>
      <c r="BA13">
        <f>IF(COUNTIFS(T_StockCount[Part Name],$A13,T_StockCount[WeekIndex],52)&gt;0,SUMIFS(T_StockCount[CountedQty],T_StockCount[Part Name],$A13,T_StockCount[WeekIndex],52),IF((('T_SelfStock'!BA17&lt;&gt;""))*(('T_TTAFStock'!BA17&lt;&gt;""))&gt;0,'T_SelfStock'!BA17+'T_TTAFStock'!BA17,AZ13+'Grid_Incoming'!BA13-'Grid_Requirement'!BA13))</f>
        <v/>
      </c>
      <c r="BB13">
        <f>IF(COUNTIFS(T_StockCount[Part Name],$A13,T_StockCount[WeekIndex],53)&gt;0,SUMIFS(T_StockCount[CountedQty],T_StockCount[Part Name],$A13,T_StockCount[WeekIndex],53),IF((('T_SelfStock'!BB17&lt;&gt;""))*(('T_TTAFStock'!BB17&lt;&gt;""))&gt;0,'T_SelfStock'!BB17+'T_TTAFStock'!BB17,BA13+'Grid_Incoming'!BB13-'Grid_Requirement'!BB13))</f>
        <v/>
      </c>
      <c r="BC13">
        <f>IF(COUNTIFS(T_StockCount[Part Name],$A13,T_StockCount[WeekIndex],54)&gt;0,SUMIFS(T_StockCount[CountedQty],T_StockCount[Part Name],$A13,T_StockCount[WeekIndex],54),IF((('T_SelfStock'!BC17&lt;&gt;""))*(('T_TTAFStock'!BC17&lt;&gt;""))&gt;0,'T_SelfStock'!BC17+'T_TTAFStock'!BC17,BB13+'Grid_Incoming'!BC13-'Grid_Requirement'!BC13))</f>
        <v/>
      </c>
      <c r="BD13">
        <f>IF(COUNTIFS(T_StockCount[Part Name],$A13,T_StockCount[WeekIndex],55)&gt;0,SUMIFS(T_StockCount[CountedQty],T_StockCount[Part Name],$A13,T_StockCount[WeekIndex],55),IF((('T_SelfStock'!BD17&lt;&gt;""))*(('T_TTAFStock'!BD17&lt;&gt;""))&gt;0,'T_SelfStock'!BD17+'T_TTAFStock'!BD17,BC13+'Grid_Incoming'!BD13-'Grid_Requirement'!BD13))</f>
        <v/>
      </c>
      <c r="BE13">
        <f>IF(COUNTIFS(T_StockCount[Part Name],$A13,T_StockCount[WeekIndex],56)&gt;0,SUMIFS(T_StockCount[CountedQty],T_StockCount[Part Name],$A13,T_StockCount[WeekIndex],56),IF((('T_SelfStock'!BE17&lt;&gt;""))*(('T_TTAFStock'!BE17&lt;&gt;""))&gt;0,'T_SelfStock'!BE17+'T_TTAFStock'!BE17,BD13+'Grid_Incoming'!BE13-'Grid_Requirement'!BE13))</f>
        <v/>
      </c>
      <c r="BF13">
        <f>IF(COUNTIFS(T_StockCount[Part Name],$A13,T_StockCount[WeekIndex],57)&gt;0,SUMIFS(T_StockCount[CountedQty],T_StockCount[Part Name],$A13,T_StockCount[WeekIndex],57),IF((('T_SelfStock'!BF17&lt;&gt;""))*(('T_TTAFStock'!BF17&lt;&gt;""))&gt;0,'T_SelfStock'!BF17+'T_TTAFStock'!BF17,BE13+'Grid_Incoming'!BF13-'Grid_Requirement'!BF13))</f>
        <v/>
      </c>
      <c r="BG13">
        <f>IF(COUNTIFS(T_StockCount[Part Name],$A13,T_StockCount[WeekIndex],58)&gt;0,SUMIFS(T_StockCount[CountedQty],T_StockCount[Part Name],$A13,T_StockCount[WeekIndex],58),IF((('T_SelfStock'!BG17&lt;&gt;""))*(('T_TTAFStock'!BG17&lt;&gt;""))&gt;0,'T_SelfStock'!BG17+'T_TTAFStock'!BG17,BF13+'Grid_Incoming'!BG13-'Grid_Requirement'!BG13))</f>
        <v/>
      </c>
      <c r="BH13">
        <f>IF(COUNTIFS(T_StockCount[Part Name],$A13,T_StockCount[WeekIndex],59)&gt;0,SUMIFS(T_StockCount[CountedQty],T_StockCount[Part Name],$A13,T_StockCount[WeekIndex],59),IF((('T_SelfStock'!BH17&lt;&gt;""))*(('T_TTAFStock'!BH17&lt;&gt;""))&gt;0,'T_SelfStock'!BH17+'T_TTAFStock'!BH17,BG13+'Grid_Incoming'!BH13-'Grid_Requirement'!BH13))</f>
        <v/>
      </c>
      <c r="BI13">
        <f>IF(COUNTIFS(T_StockCount[Part Name],$A13,T_StockCount[WeekIndex],60)&gt;0,SUMIFS(T_StockCount[CountedQty],T_StockCount[Part Name],$A13,T_StockCount[WeekIndex],60),IF((('T_SelfStock'!BI17&lt;&gt;""))*(('T_TTAFStock'!BI17&lt;&gt;""))&gt;0,'T_SelfStock'!BI17+'T_TTAFStock'!BI17,BH13+'Grid_Incoming'!BI13-'Grid_Requirement'!BI13))</f>
        <v/>
      </c>
      <c r="BJ13">
        <f>IF(COUNTIFS(T_StockCount[Part Name],$A13,T_StockCount[WeekIndex],61)&gt;0,SUMIFS(T_StockCount[CountedQty],T_StockCount[Part Name],$A13,T_StockCount[WeekIndex],61),IF((('T_SelfStock'!BJ17&lt;&gt;""))*(('T_TTAFStock'!BJ17&lt;&gt;""))&gt;0,'T_SelfStock'!BJ17+'T_TTAFStock'!BJ17,BI13+'Grid_Incoming'!BJ13-'Grid_Requirement'!BJ13))</f>
        <v/>
      </c>
      <c r="BK13">
        <f>IF(COUNTIFS(T_StockCount[Part Name],$A13,T_StockCount[WeekIndex],62)&gt;0,SUMIFS(T_StockCount[CountedQty],T_StockCount[Part Name],$A13,T_StockCount[WeekIndex],62),IF((('T_SelfStock'!BK17&lt;&gt;""))*(('T_TTAFStock'!BK17&lt;&gt;""))&gt;0,'T_SelfStock'!BK17+'T_TTAFStock'!BK17,BJ13+'Grid_Incoming'!BK13-'Grid_Requirement'!BK13))</f>
        <v/>
      </c>
      <c r="BL13">
        <f>IF(COUNTIFS(T_StockCount[Part Name],$A13,T_StockCount[WeekIndex],63)&gt;0,SUMIFS(T_StockCount[CountedQty],T_StockCount[Part Name],$A13,T_StockCount[WeekIndex],63),IF((('T_SelfStock'!BL17&lt;&gt;""))*(('T_TTAFStock'!BL17&lt;&gt;""))&gt;0,'T_SelfStock'!BL17+'T_TTAFStock'!BL17,BK13+'Grid_Incoming'!BL13-'Grid_Requirement'!BL13))</f>
        <v/>
      </c>
      <c r="BM13">
        <f>IF(COUNTIFS(T_StockCount[Part Name],$A13,T_StockCount[WeekIndex],64)&gt;0,SUMIFS(T_StockCount[CountedQty],T_StockCount[Part Name],$A13,T_StockCount[WeekIndex],64),IF((('T_SelfStock'!BM17&lt;&gt;""))*(('T_TTAFStock'!BM17&lt;&gt;""))&gt;0,'T_SelfStock'!BM17+'T_TTAFStock'!BM17,BL13+'Grid_Incoming'!BM13-'Grid_Requirement'!BM13))</f>
        <v/>
      </c>
      <c r="BN13">
        <f>IF(COUNTIFS(T_StockCount[Part Name],$A13,T_StockCount[WeekIndex],65)&gt;0,SUMIFS(T_StockCount[CountedQty],T_StockCount[Part Name],$A13,T_StockCount[WeekIndex],65),IF((('T_SelfStock'!BN17&lt;&gt;""))*(('T_TTAFStock'!BN17&lt;&gt;""))&gt;0,'T_SelfStock'!BN17+'T_TTAFStock'!BN17,BM13+'Grid_Incoming'!BN13-'Grid_Requirement'!BN13))</f>
        <v/>
      </c>
      <c r="BO13">
        <f>IF(COUNTIFS(T_StockCount[Part Name],$A13,T_StockCount[WeekIndex],66)&gt;0,SUMIFS(T_StockCount[CountedQty],T_StockCount[Part Name],$A13,T_StockCount[WeekIndex],66),IF((('T_SelfStock'!BO17&lt;&gt;""))*(('T_TTAFStock'!BO17&lt;&gt;""))&gt;0,'T_SelfStock'!BO17+'T_TTAFStock'!BO17,BN13+'Grid_Incoming'!BO13-'Grid_Requirement'!BO13))</f>
        <v/>
      </c>
      <c r="BP13">
        <f>IF(COUNTIFS(T_StockCount[Part Name],$A13,T_StockCount[WeekIndex],67)&gt;0,SUMIFS(T_StockCount[CountedQty],T_StockCount[Part Name],$A13,T_StockCount[WeekIndex],67),IF((('T_SelfStock'!BP17&lt;&gt;""))*(('T_TTAFStock'!BP17&lt;&gt;""))&gt;0,'T_SelfStock'!BP17+'T_TTAFStock'!BP17,BO13+'Grid_Incoming'!BP13-'Grid_Requirement'!BP13))</f>
        <v/>
      </c>
      <c r="BQ13">
        <f>IF(COUNTIFS(T_StockCount[Part Name],$A13,T_StockCount[WeekIndex],68)&gt;0,SUMIFS(T_StockCount[CountedQty],T_StockCount[Part Name],$A13,T_StockCount[WeekIndex],68),IF((('T_SelfStock'!BQ17&lt;&gt;""))*(('T_TTAFStock'!BQ17&lt;&gt;""))&gt;0,'T_SelfStock'!BQ17+'T_TTAFStock'!BQ17,BP13+'Grid_Incoming'!BQ13-'Grid_Requirement'!BQ13))</f>
        <v/>
      </c>
      <c r="BR13">
        <f>IF(COUNTIFS(T_StockCount[Part Name],$A13,T_StockCount[WeekIndex],69)&gt;0,SUMIFS(T_StockCount[CountedQty],T_StockCount[Part Name],$A13,T_StockCount[WeekIndex],69),IF((('T_SelfStock'!BR17&lt;&gt;""))*(('T_TTAFStock'!BR17&lt;&gt;""))&gt;0,'T_SelfStock'!BR17+'T_TTAFStock'!BR17,BQ13+'Grid_Incoming'!BR13-'Grid_Requirement'!BR13))</f>
        <v/>
      </c>
      <c r="BS13">
        <f>IF(COUNTIFS(T_StockCount[Part Name],$A13,T_StockCount[WeekIndex],70)&gt;0,SUMIFS(T_StockCount[CountedQty],T_StockCount[Part Name],$A13,T_StockCount[WeekIndex],70),IF((('T_SelfStock'!BS17&lt;&gt;""))*(('T_TTAFStock'!BS17&lt;&gt;""))&gt;0,'T_SelfStock'!BS17+'T_TTAFStock'!BS17,BR13+'Grid_Incoming'!BS13-'Grid_Requirement'!BS13))</f>
        <v/>
      </c>
      <c r="BT13">
        <f>IF(COUNTIFS(T_StockCount[Part Name],$A13,T_StockCount[WeekIndex],71)&gt;0,SUMIFS(T_StockCount[CountedQty],T_StockCount[Part Name],$A13,T_StockCount[WeekIndex],71),IF((('T_SelfStock'!BT17&lt;&gt;""))*(('T_TTAFStock'!BT17&lt;&gt;""))&gt;0,'T_SelfStock'!BT17+'T_TTAFStock'!BT17,BS13+'Grid_Incoming'!BT13-'Grid_Requirement'!BT13))</f>
        <v/>
      </c>
      <c r="BU13">
        <f>IF(COUNTIFS(T_StockCount[Part Name],$A13,T_StockCount[WeekIndex],72)&gt;0,SUMIFS(T_StockCount[CountedQty],T_StockCount[Part Name],$A13,T_StockCount[WeekIndex],72),IF((('T_SelfStock'!BU17&lt;&gt;""))*(('T_TTAFStock'!BU17&lt;&gt;""))&gt;0,'T_SelfStock'!BU17+'T_TTAFStock'!BU17,BT13+'Grid_Incoming'!BU13-'Grid_Requirement'!BU13))</f>
        <v/>
      </c>
      <c r="BV13">
        <f>IF(COUNTIFS(T_StockCount[Part Name],$A13,T_StockCount[WeekIndex],73)&gt;0,SUMIFS(T_StockCount[CountedQty],T_StockCount[Part Name],$A13,T_StockCount[WeekIndex],73),IF((('T_SelfStock'!BV17&lt;&gt;""))*(('T_TTAFStock'!BV17&lt;&gt;""))&gt;0,'T_SelfStock'!BV17+'T_TTAFStock'!BV17,BU13+'Grid_Incoming'!BV13-'Grid_Requirement'!BV13))</f>
        <v/>
      </c>
      <c r="BW13">
        <f>IF(COUNTIFS(T_StockCount[Part Name],$A13,T_StockCount[WeekIndex],74)&gt;0,SUMIFS(T_StockCount[CountedQty],T_StockCount[Part Name],$A13,T_StockCount[WeekIndex],74),IF((('T_SelfStock'!BW17&lt;&gt;""))*(('T_TTAFStock'!BW17&lt;&gt;""))&gt;0,'T_SelfStock'!BW17+'T_TTAFStock'!BW17,BV13+'Grid_Incoming'!BW13-'Grid_Requirement'!BW13))</f>
        <v/>
      </c>
      <c r="BX13">
        <f>IF(COUNTIFS(T_StockCount[Part Name],$A13,T_StockCount[WeekIndex],75)&gt;0,SUMIFS(T_StockCount[CountedQty],T_StockCount[Part Name],$A13,T_StockCount[WeekIndex],75),IF((('T_SelfStock'!BX17&lt;&gt;""))*(('T_TTAFStock'!BX17&lt;&gt;""))&gt;0,'T_SelfStock'!BX17+'T_TTAFStock'!BX17,BW13+'Grid_Incoming'!BX13-'Grid_Requirement'!BX13))</f>
        <v/>
      </c>
      <c r="BY13">
        <f>IF(COUNTIFS(T_StockCount[Part Name],$A13,T_StockCount[WeekIndex],76)&gt;0,SUMIFS(T_StockCount[CountedQty],T_StockCount[Part Name],$A13,T_StockCount[WeekIndex],76),IF((('T_SelfStock'!BY17&lt;&gt;""))*(('T_TTAFStock'!BY17&lt;&gt;""))&gt;0,'T_SelfStock'!BY17+'T_TTAFStock'!BY17,BX13+'Grid_Incoming'!BY13-'Grid_Requirement'!BY13))</f>
        <v/>
      </c>
      <c r="BZ13">
        <f>IF(COUNTIFS(T_StockCount[Part Name],$A13,T_StockCount[WeekIndex],77)&gt;0,SUMIFS(T_StockCount[CountedQty],T_StockCount[Part Name],$A13,T_StockCount[WeekIndex],77),IF((('T_SelfStock'!BZ17&lt;&gt;""))*(('T_TTAFStock'!BZ17&lt;&gt;""))&gt;0,'T_SelfStock'!BZ17+'T_TTAFStock'!BZ17,BY13+'Grid_Incoming'!BZ13-'Grid_Requirement'!BZ13))</f>
        <v/>
      </c>
      <c r="CA13">
        <f>IF(COUNTIFS(T_StockCount[Part Name],$A13,T_StockCount[WeekIndex],78)&gt;0,SUMIFS(T_StockCount[CountedQty],T_StockCount[Part Name],$A13,T_StockCount[WeekIndex],78),IF((('T_SelfStock'!CA17&lt;&gt;""))*(('T_TTAFStock'!CA17&lt;&gt;""))&gt;0,'T_SelfStock'!CA17+'T_TTAFStock'!CA17,BZ13+'Grid_Incoming'!CA13-'Grid_Requirement'!CA13))</f>
        <v/>
      </c>
      <c r="CB13">
        <f>IF(COUNTIFS(T_StockCount[Part Name],$A13,T_StockCount[WeekIndex],79)&gt;0,SUMIFS(T_StockCount[CountedQty],T_StockCount[Part Name],$A13,T_StockCount[WeekIndex],79),IF((('T_SelfStock'!CB17&lt;&gt;""))*(('T_TTAFStock'!CB17&lt;&gt;""))&gt;0,'T_SelfStock'!CB17+'T_TTAFStock'!CB17,CA13+'Grid_Incoming'!CB13-'Grid_Requirement'!CB13))</f>
        <v/>
      </c>
      <c r="CC13">
        <f>IF(COUNTIFS(T_StockCount[Part Name],$A13,T_StockCount[WeekIndex],80)&gt;0,SUMIFS(T_StockCount[CountedQty],T_StockCount[Part Name],$A13,T_StockCount[WeekIndex],80),IF((('T_SelfStock'!CC17&lt;&gt;""))*(('T_TTAFStock'!CC17&lt;&gt;""))&gt;0,'T_SelfStock'!CC17+'T_TTAFStock'!CC17,CB13+'Grid_Incoming'!CC13-'Grid_Requirement'!CC13))</f>
        <v/>
      </c>
      <c r="CD13">
        <f>IF(COUNTIFS(T_StockCount[Part Name],$A13,T_StockCount[WeekIndex],81)&gt;0,SUMIFS(T_StockCount[CountedQty],T_StockCount[Part Name],$A13,T_StockCount[WeekIndex],81),IF((('T_SelfStock'!CD17&lt;&gt;""))*(('T_TTAFStock'!CD17&lt;&gt;""))&gt;0,'T_SelfStock'!CD17+'T_TTAFStock'!CD17,CC13+'Grid_Incoming'!CD13-'Grid_Requirement'!CD13))</f>
        <v/>
      </c>
      <c r="CE13">
        <f>IF(COUNTIFS(T_StockCount[Part Name],$A13,T_StockCount[WeekIndex],82)&gt;0,SUMIFS(T_StockCount[CountedQty],T_StockCount[Part Name],$A13,T_StockCount[WeekIndex],82),IF((('T_SelfStock'!CE17&lt;&gt;""))*(('T_TTAFStock'!CE17&lt;&gt;""))&gt;0,'T_SelfStock'!CE17+'T_TTAFStock'!CE17,CD13+'Grid_Incoming'!CE13-'Grid_Requirement'!CE13))</f>
        <v/>
      </c>
      <c r="CF13">
        <f>IF(COUNTIFS(T_StockCount[Part Name],$A13,T_StockCount[WeekIndex],83)&gt;0,SUMIFS(T_StockCount[CountedQty],T_StockCount[Part Name],$A13,T_StockCount[WeekIndex],83),IF((('T_SelfStock'!CF17&lt;&gt;""))*(('T_TTAFStock'!CF17&lt;&gt;""))&gt;0,'T_SelfStock'!CF17+'T_TTAFStock'!CF17,CE13+'Grid_Incoming'!CF13-'Grid_Requirement'!CF13))</f>
        <v/>
      </c>
      <c r="CG13">
        <f>IF(COUNTIFS(T_StockCount[Part Name],$A13,T_StockCount[WeekIndex],84)&gt;0,SUMIFS(T_StockCount[CountedQty],T_StockCount[Part Name],$A13,T_StockCount[WeekIndex],84),IF((('T_SelfStock'!CG17&lt;&gt;""))*(('T_TTAFStock'!CG17&lt;&gt;""))&gt;0,'T_SelfStock'!CG17+'T_TTAFStock'!CG17,CF13+'Grid_Incoming'!CG13-'Grid_Requirement'!CG13))</f>
        <v/>
      </c>
      <c r="CH13">
        <f>IF(COUNTIFS(T_StockCount[Part Name],$A13,T_StockCount[WeekIndex],85)&gt;0,SUMIFS(T_StockCount[CountedQty],T_StockCount[Part Name],$A13,T_StockCount[WeekIndex],85),IF((('T_SelfStock'!CH17&lt;&gt;""))*(('T_TTAFStock'!CH17&lt;&gt;""))&gt;0,'T_SelfStock'!CH17+'T_TTAFStock'!CH17,CG13+'Grid_Incoming'!CH13-'Grid_Requirement'!CH13))</f>
        <v/>
      </c>
      <c r="CI13">
        <f>IF(COUNTIFS(T_StockCount[Part Name],$A13,T_StockCount[WeekIndex],86)&gt;0,SUMIFS(T_StockCount[CountedQty],T_StockCount[Part Name],$A13,T_StockCount[WeekIndex],86),IF((('T_SelfStock'!CI17&lt;&gt;""))*(('T_TTAFStock'!CI17&lt;&gt;""))&gt;0,'T_SelfStock'!CI17+'T_TTAFStock'!CI17,CH13+'Grid_Incoming'!CI13-'Grid_Requirement'!CI13))</f>
        <v/>
      </c>
      <c r="CJ13">
        <f>IF(COUNTIFS(T_StockCount[Part Name],$A13,T_StockCount[WeekIndex],87)&gt;0,SUMIFS(T_StockCount[CountedQty],T_StockCount[Part Name],$A13,T_StockCount[WeekIndex],87),IF((('T_SelfStock'!CJ17&lt;&gt;""))*(('T_TTAFStock'!CJ17&lt;&gt;""))&gt;0,'T_SelfStock'!CJ17+'T_TTAFStock'!CJ17,CI13+'Grid_Incoming'!CJ13-'Grid_Requirement'!CJ13))</f>
        <v/>
      </c>
      <c r="CK13">
        <f>IF(COUNTIFS(T_StockCount[Part Name],$A13,T_StockCount[WeekIndex],88)&gt;0,SUMIFS(T_StockCount[CountedQty],T_StockCount[Part Name],$A13,T_StockCount[WeekIndex],88),IF((('T_SelfStock'!CK17&lt;&gt;""))*(('T_TTAFStock'!CK17&lt;&gt;""))&gt;0,'T_SelfStock'!CK17+'T_TTAFStock'!CK17,CJ13+'Grid_Incoming'!CK13-'Grid_Requirement'!CK13))</f>
        <v/>
      </c>
      <c r="CL13">
        <f>IF(COUNTIFS(T_StockCount[Part Name],$A13,T_StockCount[WeekIndex],89)&gt;0,SUMIFS(T_StockCount[CountedQty],T_StockCount[Part Name],$A13,T_StockCount[WeekIndex],89),IF((('T_SelfStock'!CL17&lt;&gt;""))*(('T_TTAFStock'!CL17&lt;&gt;""))&gt;0,'T_SelfStock'!CL17+'T_TTAFStock'!CL17,CK13+'Grid_Incoming'!CL13-'Grid_Requirement'!CL13))</f>
        <v/>
      </c>
      <c r="CM13">
        <f>IF(COUNTIFS(T_StockCount[Part Name],$A13,T_StockCount[WeekIndex],90)&gt;0,SUMIFS(T_StockCount[CountedQty],T_StockCount[Part Name],$A13,T_StockCount[WeekIndex],90),IF((('T_SelfStock'!CM17&lt;&gt;""))*(('T_TTAFStock'!CM17&lt;&gt;""))&gt;0,'T_SelfStock'!CM17+'T_TTAFStock'!CM17,CL13+'Grid_Incoming'!CM13-'Grid_Requirement'!CM13))</f>
        <v/>
      </c>
      <c r="CN13">
        <f>IF(COUNTIFS(T_StockCount[Part Name],$A13,T_StockCount[WeekIndex],91)&gt;0,SUMIFS(T_StockCount[CountedQty],T_StockCount[Part Name],$A13,T_StockCount[WeekIndex],91),IF((('T_SelfStock'!CN17&lt;&gt;""))*(('T_TTAFStock'!CN17&lt;&gt;""))&gt;0,'T_SelfStock'!CN17+'T_TTAFStock'!CN17,CM13+'Grid_Incoming'!CN13-'Grid_Requirement'!CN13))</f>
        <v/>
      </c>
      <c r="CO13">
        <f>IF(COUNTIFS(T_StockCount[Part Name],$A13,T_StockCount[WeekIndex],92)&gt;0,SUMIFS(T_StockCount[CountedQty],T_StockCount[Part Name],$A13,T_StockCount[WeekIndex],92),IF((('T_SelfStock'!CO17&lt;&gt;""))*(('T_TTAFStock'!CO17&lt;&gt;""))&gt;0,'T_SelfStock'!CO17+'T_TTAFStock'!CO17,CN13+'Grid_Incoming'!CO13-'Grid_Requirement'!CO13))</f>
        <v/>
      </c>
      <c r="CP13">
        <f>IF(COUNTIFS(T_StockCount[Part Name],$A13,T_StockCount[WeekIndex],93)&gt;0,SUMIFS(T_StockCount[CountedQty],T_StockCount[Part Name],$A13,T_StockCount[WeekIndex],93),IF((('T_SelfStock'!CP17&lt;&gt;""))*(('T_TTAFStock'!CP17&lt;&gt;""))&gt;0,'T_SelfStock'!CP17+'T_TTAFStock'!CP17,CO13+'Grid_Incoming'!CP13-'Grid_Requirement'!CP13))</f>
        <v/>
      </c>
      <c r="CQ13">
        <f>IF(COUNTIFS(T_StockCount[Part Name],$A13,T_StockCount[WeekIndex],94)&gt;0,SUMIFS(T_StockCount[CountedQty],T_StockCount[Part Name],$A13,T_StockCount[WeekIndex],94),IF((('T_SelfStock'!CQ17&lt;&gt;""))*(('T_TTAFStock'!CQ17&lt;&gt;""))&gt;0,'T_SelfStock'!CQ17+'T_TTAFStock'!CQ17,CP13+'Grid_Incoming'!CQ13-'Grid_Requirement'!CQ13))</f>
        <v/>
      </c>
      <c r="CR13">
        <f>IF(COUNTIFS(T_StockCount[Part Name],$A13,T_StockCount[WeekIndex],95)&gt;0,SUMIFS(T_StockCount[CountedQty],T_StockCount[Part Name],$A13,T_StockCount[WeekIndex],95),IF((('T_SelfStock'!CR17&lt;&gt;""))*(('T_TTAFStock'!CR17&lt;&gt;""))&gt;0,'T_SelfStock'!CR17+'T_TTAFStock'!CR17,CQ13+'Grid_Incoming'!CR13-'Grid_Requirement'!CR13))</f>
        <v/>
      </c>
      <c r="CS13">
        <f>IF(COUNTIFS(T_StockCount[Part Name],$A13,T_StockCount[WeekIndex],96)&gt;0,SUMIFS(T_StockCount[CountedQty],T_StockCount[Part Name],$A13,T_StockCount[WeekIndex],96),IF((('T_SelfStock'!CS17&lt;&gt;""))*(('T_TTAFStock'!CS17&lt;&gt;""))&gt;0,'T_SelfStock'!CS17+'T_TTAFStock'!CS17,CR13+'Grid_Incoming'!CS13-'Grid_Requirement'!CS13))</f>
        <v/>
      </c>
      <c r="CT13">
        <f>IF(COUNTIFS(T_StockCount[Part Name],$A13,T_StockCount[WeekIndex],97)&gt;0,SUMIFS(T_StockCount[CountedQty],T_StockCount[Part Name],$A13,T_StockCount[WeekIndex],97),IF((('T_SelfStock'!CT17&lt;&gt;""))*(('T_TTAFStock'!CT17&lt;&gt;""))&gt;0,'T_SelfStock'!CT17+'T_TTAFStock'!CT17,CS13+'Grid_Incoming'!CT13-'Grid_Requirement'!CT13))</f>
        <v/>
      </c>
      <c r="CU13">
        <f>IF(COUNTIFS(T_StockCount[Part Name],$A13,T_StockCount[WeekIndex],98)&gt;0,SUMIFS(T_StockCount[CountedQty],T_StockCount[Part Name],$A13,T_StockCount[WeekIndex],98),IF((('T_SelfStock'!CU17&lt;&gt;""))*(('T_TTAFStock'!CU17&lt;&gt;""))&gt;0,'T_SelfStock'!CU17+'T_TTAFStock'!CU17,CT13+'Grid_Incoming'!CU13-'Grid_Requirement'!CU13))</f>
        <v/>
      </c>
      <c r="CV13">
        <f>IF(COUNTIFS(T_StockCount[Part Name],$A13,T_StockCount[WeekIndex],99)&gt;0,SUMIFS(T_StockCount[CountedQty],T_StockCount[Part Name],$A13,T_StockCount[WeekIndex],99),IF((('T_SelfStock'!CV17&lt;&gt;""))*(('T_TTAFStock'!CV17&lt;&gt;""))&gt;0,'T_SelfStock'!CV17+'T_TTAFStock'!CV17,CU13+'Grid_Incoming'!CV13-'Grid_Requirement'!CV13))</f>
        <v/>
      </c>
      <c r="CW13">
        <f>IF(COUNTIFS(T_StockCount[Part Name],$A13,T_StockCount[WeekIndex],100)&gt;0,SUMIFS(T_StockCount[CountedQty],T_StockCount[Part Name],$A13,T_StockCount[WeekIndex],100),IF((('T_SelfStock'!CW17&lt;&gt;""))*(('T_TTAFStock'!CW17&lt;&gt;""))&gt;0,'T_SelfStock'!CW17+'T_TTAFStock'!CW17,CV13+'Grid_Incoming'!CW13-'Grid_Requirement'!CW13))</f>
        <v/>
      </c>
      <c r="CX13">
        <f>IF(COUNTIFS(T_StockCount[Part Name],$A13,T_StockCount[WeekIndex],101)&gt;0,SUMIFS(T_StockCount[CountedQty],T_StockCount[Part Name],$A13,T_StockCount[WeekIndex],101),IF((('T_SelfStock'!CX17&lt;&gt;""))*(('T_TTAFStock'!CX17&lt;&gt;""))&gt;0,'T_SelfStock'!CX17+'T_TTAFStock'!CX17,CW13+'Grid_Incoming'!CX13-'Grid_Requirement'!CX13))</f>
        <v/>
      </c>
      <c r="CY13">
        <f>IF(COUNTIFS(T_StockCount[Part Name],$A13,T_StockCount[WeekIndex],102)&gt;0,SUMIFS(T_StockCount[CountedQty],T_StockCount[Part Name],$A13,T_StockCount[WeekIndex],102),IF((('T_SelfStock'!CY17&lt;&gt;""))*(('T_TTAFStock'!CY17&lt;&gt;""))&gt;0,'T_SelfStock'!CY17+'T_TTAFStock'!CY17,CX13+'Grid_Incoming'!CY13-'Grid_Requirement'!CY13))</f>
        <v/>
      </c>
      <c r="CZ13">
        <f>IF(COUNTIFS(T_StockCount[Part Name],$A13,T_StockCount[WeekIndex],103)&gt;0,SUMIFS(T_StockCount[CountedQty],T_StockCount[Part Name],$A13,T_StockCount[WeekIndex],103),IF((('T_SelfStock'!CZ17&lt;&gt;""))*(('T_TTAFStock'!CZ17&lt;&gt;""))&gt;0,'T_SelfStock'!CZ17+'T_TTAFStock'!CZ17,CY13+'Grid_Incoming'!CZ13-'Grid_Requirement'!CZ13))</f>
        <v/>
      </c>
      <c r="DA13">
        <f>IF(COUNTIFS(T_StockCount[Part Name],$A13,T_StockCount[WeekIndex],104)&gt;0,SUMIFS(T_StockCount[CountedQty],T_StockCount[Part Name],$A13,T_StockCount[WeekIndex],104),IF((('T_SelfStock'!DA17&lt;&gt;""))*(('T_TTAFStock'!DA17&lt;&gt;""))&gt;0,'T_SelfStock'!DA17+'T_TTAFStock'!DA17,CZ13+'Grid_Incoming'!DA13-'Grid_Requirement'!DA13))</f>
        <v/>
      </c>
    </row>
    <row r="14">
      <c r="A14" t="inlineStr">
        <is>
          <t>9RN</t>
        </is>
      </c>
      <c r="B14">
        <f>IF(COUNTIFS(T_StockCount[Part Name],$A14,T_StockCount[WeekIndex],1)&gt;0,SUMIFS(T_StockCount[CountedQty],T_StockCount[Part Name],$A14,T_StockCount[WeekIndex],1),IF((('T_SelfStock'!B18&lt;&gt;""))*(('T_TTAFStock'!B18&lt;&gt;""))&gt;0,'T_SelfStock'!B18+'T_TTAFStock'!B18,IFERROR(INDEX(T_OpeningStock[Opening_Qty],MATCH($A14,T_OpeningStock[Part Name],0)),0)+'Grid_Incoming'!B14-'Grid_Requirement'!B14))</f>
        <v/>
      </c>
      <c r="C14">
        <f>IF(COUNTIFS(T_StockCount[Part Name],$A14,T_StockCount[WeekIndex],2)&gt;0,SUMIFS(T_StockCount[CountedQty],T_StockCount[Part Name],$A14,T_StockCount[WeekIndex],2),IF((('T_SelfStock'!C18&lt;&gt;""))*(('T_TTAFStock'!C18&lt;&gt;""))&gt;0,'T_SelfStock'!C18+'T_TTAFStock'!C18,B14+'Grid_Incoming'!C14-'Grid_Requirement'!C14))</f>
        <v/>
      </c>
      <c r="D14">
        <f>IF(COUNTIFS(T_StockCount[Part Name],$A14,T_StockCount[WeekIndex],3)&gt;0,SUMIFS(T_StockCount[CountedQty],T_StockCount[Part Name],$A14,T_StockCount[WeekIndex],3),IF((('T_SelfStock'!D18&lt;&gt;""))*(('T_TTAFStock'!D18&lt;&gt;""))&gt;0,'T_SelfStock'!D18+'T_TTAFStock'!D18,C14+'Grid_Incoming'!D14-'Grid_Requirement'!D14))</f>
        <v/>
      </c>
      <c r="E14">
        <f>IF(COUNTIFS(T_StockCount[Part Name],$A14,T_StockCount[WeekIndex],4)&gt;0,SUMIFS(T_StockCount[CountedQty],T_StockCount[Part Name],$A14,T_StockCount[WeekIndex],4),IF((('T_SelfStock'!E18&lt;&gt;""))*(('T_TTAFStock'!E18&lt;&gt;""))&gt;0,'T_SelfStock'!E18+'T_TTAFStock'!E18,D14+'Grid_Incoming'!E14-'Grid_Requirement'!E14))</f>
        <v/>
      </c>
      <c r="F14">
        <f>IF(COUNTIFS(T_StockCount[Part Name],$A14,T_StockCount[WeekIndex],5)&gt;0,SUMIFS(T_StockCount[CountedQty],T_StockCount[Part Name],$A14,T_StockCount[WeekIndex],5),IF((('T_SelfStock'!F18&lt;&gt;""))*(('T_TTAFStock'!F18&lt;&gt;""))&gt;0,'T_SelfStock'!F18+'T_TTAFStock'!F18,E14+'Grid_Incoming'!F14-'Grid_Requirement'!F14))</f>
        <v/>
      </c>
      <c r="G14">
        <f>IF(COUNTIFS(T_StockCount[Part Name],$A14,T_StockCount[WeekIndex],6)&gt;0,SUMIFS(T_StockCount[CountedQty],T_StockCount[Part Name],$A14,T_StockCount[WeekIndex],6),IF((('T_SelfStock'!G18&lt;&gt;""))*(('T_TTAFStock'!G18&lt;&gt;""))&gt;0,'T_SelfStock'!G18+'T_TTAFStock'!G18,F14+'Grid_Incoming'!G14-'Grid_Requirement'!G14))</f>
        <v/>
      </c>
      <c r="H14">
        <f>IF(COUNTIFS(T_StockCount[Part Name],$A14,T_StockCount[WeekIndex],7)&gt;0,SUMIFS(T_StockCount[CountedQty],T_StockCount[Part Name],$A14,T_StockCount[WeekIndex],7),IF((('T_SelfStock'!H18&lt;&gt;""))*(('T_TTAFStock'!H18&lt;&gt;""))&gt;0,'T_SelfStock'!H18+'T_TTAFStock'!H18,G14+'Grid_Incoming'!H14-'Grid_Requirement'!H14))</f>
        <v/>
      </c>
      <c r="I14">
        <f>IF(COUNTIFS(T_StockCount[Part Name],$A14,T_StockCount[WeekIndex],8)&gt;0,SUMIFS(T_StockCount[CountedQty],T_StockCount[Part Name],$A14,T_StockCount[WeekIndex],8),IF((('T_SelfStock'!I18&lt;&gt;""))*(('T_TTAFStock'!I18&lt;&gt;""))&gt;0,'T_SelfStock'!I18+'T_TTAFStock'!I18,H14+'Grid_Incoming'!I14-'Grid_Requirement'!I14))</f>
        <v/>
      </c>
      <c r="J14">
        <f>IF(COUNTIFS(T_StockCount[Part Name],$A14,T_StockCount[WeekIndex],9)&gt;0,SUMIFS(T_StockCount[CountedQty],T_StockCount[Part Name],$A14,T_StockCount[WeekIndex],9),IF((('T_SelfStock'!J18&lt;&gt;""))*(('T_TTAFStock'!J18&lt;&gt;""))&gt;0,'T_SelfStock'!J18+'T_TTAFStock'!J18,I14+'Grid_Incoming'!J14-'Grid_Requirement'!J14))</f>
        <v/>
      </c>
      <c r="K14">
        <f>IF(COUNTIFS(T_StockCount[Part Name],$A14,T_StockCount[WeekIndex],10)&gt;0,SUMIFS(T_StockCount[CountedQty],T_StockCount[Part Name],$A14,T_StockCount[WeekIndex],10),IF((('T_SelfStock'!K18&lt;&gt;""))*(('T_TTAFStock'!K18&lt;&gt;""))&gt;0,'T_SelfStock'!K18+'T_TTAFStock'!K18,J14+'Grid_Incoming'!K14-'Grid_Requirement'!K14))</f>
        <v/>
      </c>
      <c r="L14">
        <f>IF(COUNTIFS(T_StockCount[Part Name],$A14,T_StockCount[WeekIndex],11)&gt;0,SUMIFS(T_StockCount[CountedQty],T_StockCount[Part Name],$A14,T_StockCount[WeekIndex],11),IF((('T_SelfStock'!L18&lt;&gt;""))*(('T_TTAFStock'!L18&lt;&gt;""))&gt;0,'T_SelfStock'!L18+'T_TTAFStock'!L18,K14+'Grid_Incoming'!L14-'Grid_Requirement'!L14))</f>
        <v/>
      </c>
      <c r="M14">
        <f>IF(COUNTIFS(T_StockCount[Part Name],$A14,T_StockCount[WeekIndex],12)&gt;0,SUMIFS(T_StockCount[CountedQty],T_StockCount[Part Name],$A14,T_StockCount[WeekIndex],12),IF((('T_SelfStock'!M18&lt;&gt;""))*(('T_TTAFStock'!M18&lt;&gt;""))&gt;0,'T_SelfStock'!M18+'T_TTAFStock'!M18,L14+'Grid_Incoming'!M14-'Grid_Requirement'!M14))</f>
        <v/>
      </c>
      <c r="N14">
        <f>IF(COUNTIFS(T_StockCount[Part Name],$A14,T_StockCount[WeekIndex],13)&gt;0,SUMIFS(T_StockCount[CountedQty],T_StockCount[Part Name],$A14,T_StockCount[WeekIndex],13),IF((('T_SelfStock'!N18&lt;&gt;""))*(('T_TTAFStock'!N18&lt;&gt;""))&gt;0,'T_SelfStock'!N18+'T_TTAFStock'!N18,M14+'Grid_Incoming'!N14-'Grid_Requirement'!N14))</f>
        <v/>
      </c>
      <c r="O14">
        <f>IF(COUNTIFS(T_StockCount[Part Name],$A14,T_StockCount[WeekIndex],14)&gt;0,SUMIFS(T_StockCount[CountedQty],T_StockCount[Part Name],$A14,T_StockCount[WeekIndex],14),IF((('T_SelfStock'!O18&lt;&gt;""))*(('T_TTAFStock'!O18&lt;&gt;""))&gt;0,'T_SelfStock'!O18+'T_TTAFStock'!O18,N14+'Grid_Incoming'!O14-'Grid_Requirement'!O14))</f>
        <v/>
      </c>
      <c r="P14">
        <f>IF(COUNTIFS(T_StockCount[Part Name],$A14,T_StockCount[WeekIndex],15)&gt;0,SUMIFS(T_StockCount[CountedQty],T_StockCount[Part Name],$A14,T_StockCount[WeekIndex],15),IF((('T_SelfStock'!P18&lt;&gt;""))*(('T_TTAFStock'!P18&lt;&gt;""))&gt;0,'T_SelfStock'!P18+'T_TTAFStock'!P18,O14+'Grid_Incoming'!P14-'Grid_Requirement'!P14))</f>
        <v/>
      </c>
      <c r="Q14">
        <f>IF(COUNTIFS(T_StockCount[Part Name],$A14,T_StockCount[WeekIndex],16)&gt;0,SUMIFS(T_StockCount[CountedQty],T_StockCount[Part Name],$A14,T_StockCount[WeekIndex],16),IF((('T_SelfStock'!Q18&lt;&gt;""))*(('T_TTAFStock'!Q18&lt;&gt;""))&gt;0,'T_SelfStock'!Q18+'T_TTAFStock'!Q18,P14+'Grid_Incoming'!Q14-'Grid_Requirement'!Q14))</f>
        <v/>
      </c>
      <c r="R14">
        <f>IF(COUNTIFS(T_StockCount[Part Name],$A14,T_StockCount[WeekIndex],17)&gt;0,SUMIFS(T_StockCount[CountedQty],T_StockCount[Part Name],$A14,T_StockCount[WeekIndex],17),IF((('T_SelfStock'!R18&lt;&gt;""))*(('T_TTAFStock'!R18&lt;&gt;""))&gt;0,'T_SelfStock'!R18+'T_TTAFStock'!R18,Q14+'Grid_Incoming'!R14-'Grid_Requirement'!R14))</f>
        <v/>
      </c>
      <c r="S14">
        <f>IF(COUNTIFS(T_StockCount[Part Name],$A14,T_StockCount[WeekIndex],18)&gt;0,SUMIFS(T_StockCount[CountedQty],T_StockCount[Part Name],$A14,T_StockCount[WeekIndex],18),IF((('T_SelfStock'!S18&lt;&gt;""))*(('T_TTAFStock'!S18&lt;&gt;""))&gt;0,'T_SelfStock'!S18+'T_TTAFStock'!S18,R14+'Grid_Incoming'!S14-'Grid_Requirement'!S14))</f>
        <v/>
      </c>
      <c r="T14">
        <f>IF(COUNTIFS(T_StockCount[Part Name],$A14,T_StockCount[WeekIndex],19)&gt;0,SUMIFS(T_StockCount[CountedQty],T_StockCount[Part Name],$A14,T_StockCount[WeekIndex],19),IF((('T_SelfStock'!T18&lt;&gt;""))*(('T_TTAFStock'!T18&lt;&gt;""))&gt;0,'T_SelfStock'!T18+'T_TTAFStock'!T18,S14+'Grid_Incoming'!T14-'Grid_Requirement'!T14))</f>
        <v/>
      </c>
      <c r="U14">
        <f>IF(COUNTIFS(T_StockCount[Part Name],$A14,T_StockCount[WeekIndex],20)&gt;0,SUMIFS(T_StockCount[CountedQty],T_StockCount[Part Name],$A14,T_StockCount[WeekIndex],20),IF((('T_SelfStock'!U18&lt;&gt;""))*(('T_TTAFStock'!U18&lt;&gt;""))&gt;0,'T_SelfStock'!U18+'T_TTAFStock'!U18,T14+'Grid_Incoming'!U14-'Grid_Requirement'!U14))</f>
        <v/>
      </c>
      <c r="V14">
        <f>IF(COUNTIFS(T_StockCount[Part Name],$A14,T_StockCount[WeekIndex],21)&gt;0,SUMIFS(T_StockCount[CountedQty],T_StockCount[Part Name],$A14,T_StockCount[WeekIndex],21),IF((('T_SelfStock'!V18&lt;&gt;""))*(('T_TTAFStock'!V18&lt;&gt;""))&gt;0,'T_SelfStock'!V18+'T_TTAFStock'!V18,U14+'Grid_Incoming'!V14-'Grid_Requirement'!V14))</f>
        <v/>
      </c>
      <c r="W14">
        <f>IF(COUNTIFS(T_StockCount[Part Name],$A14,T_StockCount[WeekIndex],22)&gt;0,SUMIFS(T_StockCount[CountedQty],T_StockCount[Part Name],$A14,T_StockCount[WeekIndex],22),IF((('T_SelfStock'!W18&lt;&gt;""))*(('T_TTAFStock'!W18&lt;&gt;""))&gt;0,'T_SelfStock'!W18+'T_TTAFStock'!W18,V14+'Grid_Incoming'!W14-'Grid_Requirement'!W14))</f>
        <v/>
      </c>
      <c r="X14">
        <f>IF(COUNTIFS(T_StockCount[Part Name],$A14,T_StockCount[WeekIndex],23)&gt;0,SUMIFS(T_StockCount[CountedQty],T_StockCount[Part Name],$A14,T_StockCount[WeekIndex],23),IF((('T_SelfStock'!X18&lt;&gt;""))*(('T_TTAFStock'!X18&lt;&gt;""))&gt;0,'T_SelfStock'!X18+'T_TTAFStock'!X18,W14+'Grid_Incoming'!X14-'Grid_Requirement'!X14))</f>
        <v/>
      </c>
      <c r="Y14">
        <f>IF(COUNTIFS(T_StockCount[Part Name],$A14,T_StockCount[WeekIndex],24)&gt;0,SUMIFS(T_StockCount[CountedQty],T_StockCount[Part Name],$A14,T_StockCount[WeekIndex],24),IF((('T_SelfStock'!Y18&lt;&gt;""))*(('T_TTAFStock'!Y18&lt;&gt;""))&gt;0,'T_SelfStock'!Y18+'T_TTAFStock'!Y18,X14+'Grid_Incoming'!Y14-'Grid_Requirement'!Y14))</f>
        <v/>
      </c>
      <c r="Z14">
        <f>IF(COUNTIFS(T_StockCount[Part Name],$A14,T_StockCount[WeekIndex],25)&gt;0,SUMIFS(T_StockCount[CountedQty],T_StockCount[Part Name],$A14,T_StockCount[WeekIndex],25),IF((('T_SelfStock'!Z18&lt;&gt;""))*(('T_TTAFStock'!Z18&lt;&gt;""))&gt;0,'T_SelfStock'!Z18+'T_TTAFStock'!Z18,Y14+'Grid_Incoming'!Z14-'Grid_Requirement'!Z14))</f>
        <v/>
      </c>
      <c r="AA14">
        <f>IF(COUNTIFS(T_StockCount[Part Name],$A14,T_StockCount[WeekIndex],26)&gt;0,SUMIFS(T_StockCount[CountedQty],T_StockCount[Part Name],$A14,T_StockCount[WeekIndex],26),IF((('T_SelfStock'!AA18&lt;&gt;""))*(('T_TTAFStock'!AA18&lt;&gt;""))&gt;0,'T_SelfStock'!AA18+'T_TTAFStock'!AA18,Z14+'Grid_Incoming'!AA14-'Grid_Requirement'!AA14))</f>
        <v/>
      </c>
      <c r="AB14">
        <f>IF(COUNTIFS(T_StockCount[Part Name],$A14,T_StockCount[WeekIndex],27)&gt;0,SUMIFS(T_StockCount[CountedQty],T_StockCount[Part Name],$A14,T_StockCount[WeekIndex],27),IF((('T_SelfStock'!AB18&lt;&gt;""))*(('T_TTAFStock'!AB18&lt;&gt;""))&gt;0,'T_SelfStock'!AB18+'T_TTAFStock'!AB18,AA14+'Grid_Incoming'!AB14-'Grid_Requirement'!AB14))</f>
        <v/>
      </c>
      <c r="AC14">
        <f>IF(COUNTIFS(T_StockCount[Part Name],$A14,T_StockCount[WeekIndex],28)&gt;0,SUMIFS(T_StockCount[CountedQty],T_StockCount[Part Name],$A14,T_StockCount[WeekIndex],28),IF((('T_SelfStock'!AC18&lt;&gt;""))*(('T_TTAFStock'!AC18&lt;&gt;""))&gt;0,'T_SelfStock'!AC18+'T_TTAFStock'!AC18,AB14+'Grid_Incoming'!AC14-'Grid_Requirement'!AC14))</f>
        <v/>
      </c>
      <c r="AD14">
        <f>IF(COUNTIFS(T_StockCount[Part Name],$A14,T_StockCount[WeekIndex],29)&gt;0,SUMIFS(T_StockCount[CountedQty],T_StockCount[Part Name],$A14,T_StockCount[WeekIndex],29),IF((('T_SelfStock'!AD18&lt;&gt;""))*(('T_TTAFStock'!AD18&lt;&gt;""))&gt;0,'T_SelfStock'!AD18+'T_TTAFStock'!AD18,AC14+'Grid_Incoming'!AD14-'Grid_Requirement'!AD14))</f>
        <v/>
      </c>
      <c r="AE14">
        <f>IF(COUNTIFS(T_StockCount[Part Name],$A14,T_StockCount[WeekIndex],30)&gt;0,SUMIFS(T_StockCount[CountedQty],T_StockCount[Part Name],$A14,T_StockCount[WeekIndex],30),IF((('T_SelfStock'!AE18&lt;&gt;""))*(('T_TTAFStock'!AE18&lt;&gt;""))&gt;0,'T_SelfStock'!AE18+'T_TTAFStock'!AE18,AD14+'Grid_Incoming'!AE14-'Grid_Requirement'!AE14))</f>
        <v/>
      </c>
      <c r="AF14">
        <f>IF(COUNTIFS(T_StockCount[Part Name],$A14,T_StockCount[WeekIndex],31)&gt;0,SUMIFS(T_StockCount[CountedQty],T_StockCount[Part Name],$A14,T_StockCount[WeekIndex],31),IF((('T_SelfStock'!AF18&lt;&gt;""))*(('T_TTAFStock'!AF18&lt;&gt;""))&gt;0,'T_SelfStock'!AF18+'T_TTAFStock'!AF18,AE14+'Grid_Incoming'!AF14-'Grid_Requirement'!AF14))</f>
        <v/>
      </c>
      <c r="AG14">
        <f>IF(COUNTIFS(T_StockCount[Part Name],$A14,T_StockCount[WeekIndex],32)&gt;0,SUMIFS(T_StockCount[CountedQty],T_StockCount[Part Name],$A14,T_StockCount[WeekIndex],32),IF((('T_SelfStock'!AG18&lt;&gt;""))*(('T_TTAFStock'!AG18&lt;&gt;""))&gt;0,'T_SelfStock'!AG18+'T_TTAFStock'!AG18,AF14+'Grid_Incoming'!AG14-'Grid_Requirement'!AG14))</f>
        <v/>
      </c>
      <c r="AH14">
        <f>IF(COUNTIFS(T_StockCount[Part Name],$A14,T_StockCount[WeekIndex],33)&gt;0,SUMIFS(T_StockCount[CountedQty],T_StockCount[Part Name],$A14,T_StockCount[WeekIndex],33),IF((('T_SelfStock'!AH18&lt;&gt;""))*(('T_TTAFStock'!AH18&lt;&gt;""))&gt;0,'T_SelfStock'!AH18+'T_TTAFStock'!AH18,AG14+'Grid_Incoming'!AH14-'Grid_Requirement'!AH14))</f>
        <v/>
      </c>
      <c r="AI14">
        <f>IF(COUNTIFS(T_StockCount[Part Name],$A14,T_StockCount[WeekIndex],34)&gt;0,SUMIFS(T_StockCount[CountedQty],T_StockCount[Part Name],$A14,T_StockCount[WeekIndex],34),IF((('T_SelfStock'!AI18&lt;&gt;""))*(('T_TTAFStock'!AI18&lt;&gt;""))&gt;0,'T_SelfStock'!AI18+'T_TTAFStock'!AI18,AH14+'Grid_Incoming'!AI14-'Grid_Requirement'!AI14))</f>
        <v/>
      </c>
      <c r="AJ14">
        <f>IF(COUNTIFS(T_StockCount[Part Name],$A14,T_StockCount[WeekIndex],35)&gt;0,SUMIFS(T_StockCount[CountedQty],T_StockCount[Part Name],$A14,T_StockCount[WeekIndex],35),IF((('T_SelfStock'!AJ18&lt;&gt;""))*(('T_TTAFStock'!AJ18&lt;&gt;""))&gt;0,'T_SelfStock'!AJ18+'T_TTAFStock'!AJ18,AI14+'Grid_Incoming'!AJ14-'Grid_Requirement'!AJ14))</f>
        <v/>
      </c>
      <c r="AK14">
        <f>IF(COUNTIFS(T_StockCount[Part Name],$A14,T_StockCount[WeekIndex],36)&gt;0,SUMIFS(T_StockCount[CountedQty],T_StockCount[Part Name],$A14,T_StockCount[WeekIndex],36),IF((('T_SelfStock'!AK18&lt;&gt;""))*(('T_TTAFStock'!AK18&lt;&gt;""))&gt;0,'T_SelfStock'!AK18+'T_TTAFStock'!AK18,AJ14+'Grid_Incoming'!AK14-'Grid_Requirement'!AK14))</f>
        <v/>
      </c>
      <c r="AL14">
        <f>IF(COUNTIFS(T_StockCount[Part Name],$A14,T_StockCount[WeekIndex],37)&gt;0,SUMIFS(T_StockCount[CountedQty],T_StockCount[Part Name],$A14,T_StockCount[WeekIndex],37),IF((('T_SelfStock'!AL18&lt;&gt;""))*(('T_TTAFStock'!AL18&lt;&gt;""))&gt;0,'T_SelfStock'!AL18+'T_TTAFStock'!AL18,AK14+'Grid_Incoming'!AL14-'Grid_Requirement'!AL14))</f>
        <v/>
      </c>
      <c r="AM14">
        <f>IF(COUNTIFS(T_StockCount[Part Name],$A14,T_StockCount[WeekIndex],38)&gt;0,SUMIFS(T_StockCount[CountedQty],T_StockCount[Part Name],$A14,T_StockCount[WeekIndex],38),IF((('T_SelfStock'!AM18&lt;&gt;""))*(('T_TTAFStock'!AM18&lt;&gt;""))&gt;0,'T_SelfStock'!AM18+'T_TTAFStock'!AM18,AL14+'Grid_Incoming'!AM14-'Grid_Requirement'!AM14))</f>
        <v/>
      </c>
      <c r="AN14">
        <f>IF(COUNTIFS(T_StockCount[Part Name],$A14,T_StockCount[WeekIndex],39)&gt;0,SUMIFS(T_StockCount[CountedQty],T_StockCount[Part Name],$A14,T_StockCount[WeekIndex],39),IF((('T_SelfStock'!AN18&lt;&gt;""))*(('T_TTAFStock'!AN18&lt;&gt;""))&gt;0,'T_SelfStock'!AN18+'T_TTAFStock'!AN18,AM14+'Grid_Incoming'!AN14-'Grid_Requirement'!AN14))</f>
        <v/>
      </c>
      <c r="AO14">
        <f>IF(COUNTIFS(T_StockCount[Part Name],$A14,T_StockCount[WeekIndex],40)&gt;0,SUMIFS(T_StockCount[CountedQty],T_StockCount[Part Name],$A14,T_StockCount[WeekIndex],40),IF((('T_SelfStock'!AO18&lt;&gt;""))*(('T_TTAFStock'!AO18&lt;&gt;""))&gt;0,'T_SelfStock'!AO18+'T_TTAFStock'!AO18,AN14+'Grid_Incoming'!AO14-'Grid_Requirement'!AO14))</f>
        <v/>
      </c>
      <c r="AP14">
        <f>IF(COUNTIFS(T_StockCount[Part Name],$A14,T_StockCount[WeekIndex],41)&gt;0,SUMIFS(T_StockCount[CountedQty],T_StockCount[Part Name],$A14,T_StockCount[WeekIndex],41),IF((('T_SelfStock'!AP18&lt;&gt;""))*(('T_TTAFStock'!AP18&lt;&gt;""))&gt;0,'T_SelfStock'!AP18+'T_TTAFStock'!AP18,AO14+'Grid_Incoming'!AP14-'Grid_Requirement'!AP14))</f>
        <v/>
      </c>
      <c r="AQ14">
        <f>IF(COUNTIFS(T_StockCount[Part Name],$A14,T_StockCount[WeekIndex],42)&gt;0,SUMIFS(T_StockCount[CountedQty],T_StockCount[Part Name],$A14,T_StockCount[WeekIndex],42),IF((('T_SelfStock'!AQ18&lt;&gt;""))*(('T_TTAFStock'!AQ18&lt;&gt;""))&gt;0,'T_SelfStock'!AQ18+'T_TTAFStock'!AQ18,AP14+'Grid_Incoming'!AQ14-'Grid_Requirement'!AQ14))</f>
        <v/>
      </c>
      <c r="AR14">
        <f>IF(COUNTIFS(T_StockCount[Part Name],$A14,T_StockCount[WeekIndex],43)&gt;0,SUMIFS(T_StockCount[CountedQty],T_StockCount[Part Name],$A14,T_StockCount[WeekIndex],43),IF((('T_SelfStock'!AR18&lt;&gt;""))*(('T_TTAFStock'!AR18&lt;&gt;""))&gt;0,'T_SelfStock'!AR18+'T_TTAFStock'!AR18,AQ14+'Grid_Incoming'!AR14-'Grid_Requirement'!AR14))</f>
        <v/>
      </c>
      <c r="AS14">
        <f>IF(COUNTIFS(T_StockCount[Part Name],$A14,T_StockCount[WeekIndex],44)&gt;0,SUMIFS(T_StockCount[CountedQty],T_StockCount[Part Name],$A14,T_StockCount[WeekIndex],44),IF((('T_SelfStock'!AS18&lt;&gt;""))*(('T_TTAFStock'!AS18&lt;&gt;""))&gt;0,'T_SelfStock'!AS18+'T_TTAFStock'!AS18,AR14+'Grid_Incoming'!AS14-'Grid_Requirement'!AS14))</f>
        <v/>
      </c>
      <c r="AT14">
        <f>IF(COUNTIFS(T_StockCount[Part Name],$A14,T_StockCount[WeekIndex],45)&gt;0,SUMIFS(T_StockCount[CountedQty],T_StockCount[Part Name],$A14,T_StockCount[WeekIndex],45),IF((('T_SelfStock'!AT18&lt;&gt;""))*(('T_TTAFStock'!AT18&lt;&gt;""))&gt;0,'T_SelfStock'!AT18+'T_TTAFStock'!AT18,AS14+'Grid_Incoming'!AT14-'Grid_Requirement'!AT14))</f>
        <v/>
      </c>
      <c r="AU14">
        <f>IF(COUNTIFS(T_StockCount[Part Name],$A14,T_StockCount[WeekIndex],46)&gt;0,SUMIFS(T_StockCount[CountedQty],T_StockCount[Part Name],$A14,T_StockCount[WeekIndex],46),IF((('T_SelfStock'!AU18&lt;&gt;""))*(('T_TTAFStock'!AU18&lt;&gt;""))&gt;0,'T_SelfStock'!AU18+'T_TTAFStock'!AU18,AT14+'Grid_Incoming'!AU14-'Grid_Requirement'!AU14))</f>
        <v/>
      </c>
      <c r="AV14">
        <f>IF(COUNTIFS(T_StockCount[Part Name],$A14,T_StockCount[WeekIndex],47)&gt;0,SUMIFS(T_StockCount[CountedQty],T_StockCount[Part Name],$A14,T_StockCount[WeekIndex],47),IF((('T_SelfStock'!AV18&lt;&gt;""))*(('T_TTAFStock'!AV18&lt;&gt;""))&gt;0,'T_SelfStock'!AV18+'T_TTAFStock'!AV18,AU14+'Grid_Incoming'!AV14-'Grid_Requirement'!AV14))</f>
        <v/>
      </c>
      <c r="AW14">
        <f>IF(COUNTIFS(T_StockCount[Part Name],$A14,T_StockCount[WeekIndex],48)&gt;0,SUMIFS(T_StockCount[CountedQty],T_StockCount[Part Name],$A14,T_StockCount[WeekIndex],48),IF((('T_SelfStock'!AW18&lt;&gt;""))*(('T_TTAFStock'!AW18&lt;&gt;""))&gt;0,'T_SelfStock'!AW18+'T_TTAFStock'!AW18,AV14+'Grid_Incoming'!AW14-'Grid_Requirement'!AW14))</f>
        <v/>
      </c>
      <c r="AX14">
        <f>IF(COUNTIFS(T_StockCount[Part Name],$A14,T_StockCount[WeekIndex],49)&gt;0,SUMIFS(T_StockCount[CountedQty],T_StockCount[Part Name],$A14,T_StockCount[WeekIndex],49),IF((('T_SelfStock'!AX18&lt;&gt;""))*(('T_TTAFStock'!AX18&lt;&gt;""))&gt;0,'T_SelfStock'!AX18+'T_TTAFStock'!AX18,AW14+'Grid_Incoming'!AX14-'Grid_Requirement'!AX14))</f>
        <v/>
      </c>
      <c r="AY14">
        <f>IF(COUNTIFS(T_StockCount[Part Name],$A14,T_StockCount[WeekIndex],50)&gt;0,SUMIFS(T_StockCount[CountedQty],T_StockCount[Part Name],$A14,T_StockCount[WeekIndex],50),IF((('T_SelfStock'!AY18&lt;&gt;""))*(('T_TTAFStock'!AY18&lt;&gt;""))&gt;0,'T_SelfStock'!AY18+'T_TTAFStock'!AY18,AX14+'Grid_Incoming'!AY14-'Grid_Requirement'!AY14))</f>
        <v/>
      </c>
      <c r="AZ14">
        <f>IF(COUNTIFS(T_StockCount[Part Name],$A14,T_StockCount[WeekIndex],51)&gt;0,SUMIFS(T_StockCount[CountedQty],T_StockCount[Part Name],$A14,T_StockCount[WeekIndex],51),IF((('T_SelfStock'!AZ18&lt;&gt;""))*(('T_TTAFStock'!AZ18&lt;&gt;""))&gt;0,'T_SelfStock'!AZ18+'T_TTAFStock'!AZ18,AY14+'Grid_Incoming'!AZ14-'Grid_Requirement'!AZ14))</f>
        <v/>
      </c>
      <c r="BA14">
        <f>IF(COUNTIFS(T_StockCount[Part Name],$A14,T_StockCount[WeekIndex],52)&gt;0,SUMIFS(T_StockCount[CountedQty],T_StockCount[Part Name],$A14,T_StockCount[WeekIndex],52),IF((('T_SelfStock'!BA18&lt;&gt;""))*(('T_TTAFStock'!BA18&lt;&gt;""))&gt;0,'T_SelfStock'!BA18+'T_TTAFStock'!BA18,AZ14+'Grid_Incoming'!BA14-'Grid_Requirement'!BA14))</f>
        <v/>
      </c>
      <c r="BB14">
        <f>IF(COUNTIFS(T_StockCount[Part Name],$A14,T_StockCount[WeekIndex],53)&gt;0,SUMIFS(T_StockCount[CountedQty],T_StockCount[Part Name],$A14,T_StockCount[WeekIndex],53),IF((('T_SelfStock'!BB18&lt;&gt;""))*(('T_TTAFStock'!BB18&lt;&gt;""))&gt;0,'T_SelfStock'!BB18+'T_TTAFStock'!BB18,BA14+'Grid_Incoming'!BB14-'Grid_Requirement'!BB14))</f>
        <v/>
      </c>
      <c r="BC14">
        <f>IF(COUNTIFS(T_StockCount[Part Name],$A14,T_StockCount[WeekIndex],54)&gt;0,SUMIFS(T_StockCount[CountedQty],T_StockCount[Part Name],$A14,T_StockCount[WeekIndex],54),IF((('T_SelfStock'!BC18&lt;&gt;""))*(('T_TTAFStock'!BC18&lt;&gt;""))&gt;0,'T_SelfStock'!BC18+'T_TTAFStock'!BC18,BB14+'Grid_Incoming'!BC14-'Grid_Requirement'!BC14))</f>
        <v/>
      </c>
      <c r="BD14">
        <f>IF(COUNTIFS(T_StockCount[Part Name],$A14,T_StockCount[WeekIndex],55)&gt;0,SUMIFS(T_StockCount[CountedQty],T_StockCount[Part Name],$A14,T_StockCount[WeekIndex],55),IF((('T_SelfStock'!BD18&lt;&gt;""))*(('T_TTAFStock'!BD18&lt;&gt;""))&gt;0,'T_SelfStock'!BD18+'T_TTAFStock'!BD18,BC14+'Grid_Incoming'!BD14-'Grid_Requirement'!BD14))</f>
        <v/>
      </c>
      <c r="BE14">
        <f>IF(COUNTIFS(T_StockCount[Part Name],$A14,T_StockCount[WeekIndex],56)&gt;0,SUMIFS(T_StockCount[CountedQty],T_StockCount[Part Name],$A14,T_StockCount[WeekIndex],56),IF((('T_SelfStock'!BE18&lt;&gt;""))*(('T_TTAFStock'!BE18&lt;&gt;""))&gt;0,'T_SelfStock'!BE18+'T_TTAFStock'!BE18,BD14+'Grid_Incoming'!BE14-'Grid_Requirement'!BE14))</f>
        <v/>
      </c>
      <c r="BF14">
        <f>IF(COUNTIFS(T_StockCount[Part Name],$A14,T_StockCount[WeekIndex],57)&gt;0,SUMIFS(T_StockCount[CountedQty],T_StockCount[Part Name],$A14,T_StockCount[WeekIndex],57),IF((('T_SelfStock'!BF18&lt;&gt;""))*(('T_TTAFStock'!BF18&lt;&gt;""))&gt;0,'T_SelfStock'!BF18+'T_TTAFStock'!BF18,BE14+'Grid_Incoming'!BF14-'Grid_Requirement'!BF14))</f>
        <v/>
      </c>
      <c r="BG14">
        <f>IF(COUNTIFS(T_StockCount[Part Name],$A14,T_StockCount[WeekIndex],58)&gt;0,SUMIFS(T_StockCount[CountedQty],T_StockCount[Part Name],$A14,T_StockCount[WeekIndex],58),IF((('T_SelfStock'!BG18&lt;&gt;""))*(('T_TTAFStock'!BG18&lt;&gt;""))&gt;0,'T_SelfStock'!BG18+'T_TTAFStock'!BG18,BF14+'Grid_Incoming'!BG14-'Grid_Requirement'!BG14))</f>
        <v/>
      </c>
      <c r="BH14">
        <f>IF(COUNTIFS(T_StockCount[Part Name],$A14,T_StockCount[WeekIndex],59)&gt;0,SUMIFS(T_StockCount[CountedQty],T_StockCount[Part Name],$A14,T_StockCount[WeekIndex],59),IF((('T_SelfStock'!BH18&lt;&gt;""))*(('T_TTAFStock'!BH18&lt;&gt;""))&gt;0,'T_SelfStock'!BH18+'T_TTAFStock'!BH18,BG14+'Grid_Incoming'!BH14-'Grid_Requirement'!BH14))</f>
        <v/>
      </c>
      <c r="BI14">
        <f>IF(COUNTIFS(T_StockCount[Part Name],$A14,T_StockCount[WeekIndex],60)&gt;0,SUMIFS(T_StockCount[CountedQty],T_StockCount[Part Name],$A14,T_StockCount[WeekIndex],60),IF((('T_SelfStock'!BI18&lt;&gt;""))*(('T_TTAFStock'!BI18&lt;&gt;""))&gt;0,'T_SelfStock'!BI18+'T_TTAFStock'!BI18,BH14+'Grid_Incoming'!BI14-'Grid_Requirement'!BI14))</f>
        <v/>
      </c>
      <c r="BJ14">
        <f>IF(COUNTIFS(T_StockCount[Part Name],$A14,T_StockCount[WeekIndex],61)&gt;0,SUMIFS(T_StockCount[CountedQty],T_StockCount[Part Name],$A14,T_StockCount[WeekIndex],61),IF((('T_SelfStock'!BJ18&lt;&gt;""))*(('T_TTAFStock'!BJ18&lt;&gt;""))&gt;0,'T_SelfStock'!BJ18+'T_TTAFStock'!BJ18,BI14+'Grid_Incoming'!BJ14-'Grid_Requirement'!BJ14))</f>
        <v/>
      </c>
      <c r="BK14">
        <f>IF(COUNTIFS(T_StockCount[Part Name],$A14,T_StockCount[WeekIndex],62)&gt;0,SUMIFS(T_StockCount[CountedQty],T_StockCount[Part Name],$A14,T_StockCount[WeekIndex],62),IF((('T_SelfStock'!BK18&lt;&gt;""))*(('T_TTAFStock'!BK18&lt;&gt;""))&gt;0,'T_SelfStock'!BK18+'T_TTAFStock'!BK18,BJ14+'Grid_Incoming'!BK14-'Grid_Requirement'!BK14))</f>
        <v/>
      </c>
      <c r="BL14">
        <f>IF(COUNTIFS(T_StockCount[Part Name],$A14,T_StockCount[WeekIndex],63)&gt;0,SUMIFS(T_StockCount[CountedQty],T_StockCount[Part Name],$A14,T_StockCount[WeekIndex],63),IF((('T_SelfStock'!BL18&lt;&gt;""))*(('T_TTAFStock'!BL18&lt;&gt;""))&gt;0,'T_SelfStock'!BL18+'T_TTAFStock'!BL18,BK14+'Grid_Incoming'!BL14-'Grid_Requirement'!BL14))</f>
        <v/>
      </c>
      <c r="BM14">
        <f>IF(COUNTIFS(T_StockCount[Part Name],$A14,T_StockCount[WeekIndex],64)&gt;0,SUMIFS(T_StockCount[CountedQty],T_StockCount[Part Name],$A14,T_StockCount[WeekIndex],64),IF((('T_SelfStock'!BM18&lt;&gt;""))*(('T_TTAFStock'!BM18&lt;&gt;""))&gt;0,'T_SelfStock'!BM18+'T_TTAFStock'!BM18,BL14+'Grid_Incoming'!BM14-'Grid_Requirement'!BM14))</f>
        <v/>
      </c>
      <c r="BN14">
        <f>IF(COUNTIFS(T_StockCount[Part Name],$A14,T_StockCount[WeekIndex],65)&gt;0,SUMIFS(T_StockCount[CountedQty],T_StockCount[Part Name],$A14,T_StockCount[WeekIndex],65),IF((('T_SelfStock'!BN18&lt;&gt;""))*(('T_TTAFStock'!BN18&lt;&gt;""))&gt;0,'T_SelfStock'!BN18+'T_TTAFStock'!BN18,BM14+'Grid_Incoming'!BN14-'Grid_Requirement'!BN14))</f>
        <v/>
      </c>
      <c r="BO14">
        <f>IF(COUNTIFS(T_StockCount[Part Name],$A14,T_StockCount[WeekIndex],66)&gt;0,SUMIFS(T_StockCount[CountedQty],T_StockCount[Part Name],$A14,T_StockCount[WeekIndex],66),IF((('T_SelfStock'!BO18&lt;&gt;""))*(('T_TTAFStock'!BO18&lt;&gt;""))&gt;0,'T_SelfStock'!BO18+'T_TTAFStock'!BO18,BN14+'Grid_Incoming'!BO14-'Grid_Requirement'!BO14))</f>
        <v/>
      </c>
      <c r="BP14">
        <f>IF(COUNTIFS(T_StockCount[Part Name],$A14,T_StockCount[WeekIndex],67)&gt;0,SUMIFS(T_StockCount[CountedQty],T_StockCount[Part Name],$A14,T_StockCount[WeekIndex],67),IF((('T_SelfStock'!BP18&lt;&gt;""))*(('T_TTAFStock'!BP18&lt;&gt;""))&gt;0,'T_SelfStock'!BP18+'T_TTAFStock'!BP18,BO14+'Grid_Incoming'!BP14-'Grid_Requirement'!BP14))</f>
        <v/>
      </c>
      <c r="BQ14">
        <f>IF(COUNTIFS(T_StockCount[Part Name],$A14,T_StockCount[WeekIndex],68)&gt;0,SUMIFS(T_StockCount[CountedQty],T_StockCount[Part Name],$A14,T_StockCount[WeekIndex],68),IF((('T_SelfStock'!BQ18&lt;&gt;""))*(('T_TTAFStock'!BQ18&lt;&gt;""))&gt;0,'T_SelfStock'!BQ18+'T_TTAFStock'!BQ18,BP14+'Grid_Incoming'!BQ14-'Grid_Requirement'!BQ14))</f>
        <v/>
      </c>
      <c r="BR14">
        <f>IF(COUNTIFS(T_StockCount[Part Name],$A14,T_StockCount[WeekIndex],69)&gt;0,SUMIFS(T_StockCount[CountedQty],T_StockCount[Part Name],$A14,T_StockCount[WeekIndex],69),IF((('T_SelfStock'!BR18&lt;&gt;""))*(('T_TTAFStock'!BR18&lt;&gt;""))&gt;0,'T_SelfStock'!BR18+'T_TTAFStock'!BR18,BQ14+'Grid_Incoming'!BR14-'Grid_Requirement'!BR14))</f>
        <v/>
      </c>
      <c r="BS14">
        <f>IF(COUNTIFS(T_StockCount[Part Name],$A14,T_StockCount[WeekIndex],70)&gt;0,SUMIFS(T_StockCount[CountedQty],T_StockCount[Part Name],$A14,T_StockCount[WeekIndex],70),IF((('T_SelfStock'!BS18&lt;&gt;""))*(('T_TTAFStock'!BS18&lt;&gt;""))&gt;0,'T_SelfStock'!BS18+'T_TTAFStock'!BS18,BR14+'Grid_Incoming'!BS14-'Grid_Requirement'!BS14))</f>
        <v/>
      </c>
      <c r="BT14">
        <f>IF(COUNTIFS(T_StockCount[Part Name],$A14,T_StockCount[WeekIndex],71)&gt;0,SUMIFS(T_StockCount[CountedQty],T_StockCount[Part Name],$A14,T_StockCount[WeekIndex],71),IF((('T_SelfStock'!BT18&lt;&gt;""))*(('T_TTAFStock'!BT18&lt;&gt;""))&gt;0,'T_SelfStock'!BT18+'T_TTAFStock'!BT18,BS14+'Grid_Incoming'!BT14-'Grid_Requirement'!BT14))</f>
        <v/>
      </c>
      <c r="BU14">
        <f>IF(COUNTIFS(T_StockCount[Part Name],$A14,T_StockCount[WeekIndex],72)&gt;0,SUMIFS(T_StockCount[CountedQty],T_StockCount[Part Name],$A14,T_StockCount[WeekIndex],72),IF((('T_SelfStock'!BU18&lt;&gt;""))*(('T_TTAFStock'!BU18&lt;&gt;""))&gt;0,'T_SelfStock'!BU18+'T_TTAFStock'!BU18,BT14+'Grid_Incoming'!BU14-'Grid_Requirement'!BU14))</f>
        <v/>
      </c>
      <c r="BV14">
        <f>IF(COUNTIFS(T_StockCount[Part Name],$A14,T_StockCount[WeekIndex],73)&gt;0,SUMIFS(T_StockCount[CountedQty],T_StockCount[Part Name],$A14,T_StockCount[WeekIndex],73),IF((('T_SelfStock'!BV18&lt;&gt;""))*(('T_TTAFStock'!BV18&lt;&gt;""))&gt;0,'T_SelfStock'!BV18+'T_TTAFStock'!BV18,BU14+'Grid_Incoming'!BV14-'Grid_Requirement'!BV14))</f>
        <v/>
      </c>
      <c r="BW14">
        <f>IF(COUNTIFS(T_StockCount[Part Name],$A14,T_StockCount[WeekIndex],74)&gt;0,SUMIFS(T_StockCount[CountedQty],T_StockCount[Part Name],$A14,T_StockCount[WeekIndex],74),IF((('T_SelfStock'!BW18&lt;&gt;""))*(('T_TTAFStock'!BW18&lt;&gt;""))&gt;0,'T_SelfStock'!BW18+'T_TTAFStock'!BW18,BV14+'Grid_Incoming'!BW14-'Grid_Requirement'!BW14))</f>
        <v/>
      </c>
      <c r="BX14">
        <f>IF(COUNTIFS(T_StockCount[Part Name],$A14,T_StockCount[WeekIndex],75)&gt;0,SUMIFS(T_StockCount[CountedQty],T_StockCount[Part Name],$A14,T_StockCount[WeekIndex],75),IF((('T_SelfStock'!BX18&lt;&gt;""))*(('T_TTAFStock'!BX18&lt;&gt;""))&gt;0,'T_SelfStock'!BX18+'T_TTAFStock'!BX18,BW14+'Grid_Incoming'!BX14-'Grid_Requirement'!BX14))</f>
        <v/>
      </c>
      <c r="BY14">
        <f>IF(COUNTIFS(T_StockCount[Part Name],$A14,T_StockCount[WeekIndex],76)&gt;0,SUMIFS(T_StockCount[CountedQty],T_StockCount[Part Name],$A14,T_StockCount[WeekIndex],76),IF((('T_SelfStock'!BY18&lt;&gt;""))*(('T_TTAFStock'!BY18&lt;&gt;""))&gt;0,'T_SelfStock'!BY18+'T_TTAFStock'!BY18,BX14+'Grid_Incoming'!BY14-'Grid_Requirement'!BY14))</f>
        <v/>
      </c>
      <c r="BZ14">
        <f>IF(COUNTIFS(T_StockCount[Part Name],$A14,T_StockCount[WeekIndex],77)&gt;0,SUMIFS(T_StockCount[CountedQty],T_StockCount[Part Name],$A14,T_StockCount[WeekIndex],77),IF((('T_SelfStock'!BZ18&lt;&gt;""))*(('T_TTAFStock'!BZ18&lt;&gt;""))&gt;0,'T_SelfStock'!BZ18+'T_TTAFStock'!BZ18,BY14+'Grid_Incoming'!BZ14-'Grid_Requirement'!BZ14))</f>
        <v/>
      </c>
      <c r="CA14">
        <f>IF(COUNTIFS(T_StockCount[Part Name],$A14,T_StockCount[WeekIndex],78)&gt;0,SUMIFS(T_StockCount[CountedQty],T_StockCount[Part Name],$A14,T_StockCount[WeekIndex],78),IF((('T_SelfStock'!CA18&lt;&gt;""))*(('T_TTAFStock'!CA18&lt;&gt;""))&gt;0,'T_SelfStock'!CA18+'T_TTAFStock'!CA18,BZ14+'Grid_Incoming'!CA14-'Grid_Requirement'!CA14))</f>
        <v/>
      </c>
      <c r="CB14">
        <f>IF(COUNTIFS(T_StockCount[Part Name],$A14,T_StockCount[WeekIndex],79)&gt;0,SUMIFS(T_StockCount[CountedQty],T_StockCount[Part Name],$A14,T_StockCount[WeekIndex],79),IF((('T_SelfStock'!CB18&lt;&gt;""))*(('T_TTAFStock'!CB18&lt;&gt;""))&gt;0,'T_SelfStock'!CB18+'T_TTAFStock'!CB18,CA14+'Grid_Incoming'!CB14-'Grid_Requirement'!CB14))</f>
        <v/>
      </c>
      <c r="CC14">
        <f>IF(COUNTIFS(T_StockCount[Part Name],$A14,T_StockCount[WeekIndex],80)&gt;0,SUMIFS(T_StockCount[CountedQty],T_StockCount[Part Name],$A14,T_StockCount[WeekIndex],80),IF((('T_SelfStock'!CC18&lt;&gt;""))*(('T_TTAFStock'!CC18&lt;&gt;""))&gt;0,'T_SelfStock'!CC18+'T_TTAFStock'!CC18,CB14+'Grid_Incoming'!CC14-'Grid_Requirement'!CC14))</f>
        <v/>
      </c>
      <c r="CD14">
        <f>IF(COUNTIFS(T_StockCount[Part Name],$A14,T_StockCount[WeekIndex],81)&gt;0,SUMIFS(T_StockCount[CountedQty],T_StockCount[Part Name],$A14,T_StockCount[WeekIndex],81),IF((('T_SelfStock'!CD18&lt;&gt;""))*(('T_TTAFStock'!CD18&lt;&gt;""))&gt;0,'T_SelfStock'!CD18+'T_TTAFStock'!CD18,CC14+'Grid_Incoming'!CD14-'Grid_Requirement'!CD14))</f>
        <v/>
      </c>
      <c r="CE14">
        <f>IF(COUNTIFS(T_StockCount[Part Name],$A14,T_StockCount[WeekIndex],82)&gt;0,SUMIFS(T_StockCount[CountedQty],T_StockCount[Part Name],$A14,T_StockCount[WeekIndex],82),IF((('T_SelfStock'!CE18&lt;&gt;""))*(('T_TTAFStock'!CE18&lt;&gt;""))&gt;0,'T_SelfStock'!CE18+'T_TTAFStock'!CE18,CD14+'Grid_Incoming'!CE14-'Grid_Requirement'!CE14))</f>
        <v/>
      </c>
      <c r="CF14">
        <f>IF(COUNTIFS(T_StockCount[Part Name],$A14,T_StockCount[WeekIndex],83)&gt;0,SUMIFS(T_StockCount[CountedQty],T_StockCount[Part Name],$A14,T_StockCount[WeekIndex],83),IF((('T_SelfStock'!CF18&lt;&gt;""))*(('T_TTAFStock'!CF18&lt;&gt;""))&gt;0,'T_SelfStock'!CF18+'T_TTAFStock'!CF18,CE14+'Grid_Incoming'!CF14-'Grid_Requirement'!CF14))</f>
        <v/>
      </c>
      <c r="CG14">
        <f>IF(COUNTIFS(T_StockCount[Part Name],$A14,T_StockCount[WeekIndex],84)&gt;0,SUMIFS(T_StockCount[CountedQty],T_StockCount[Part Name],$A14,T_StockCount[WeekIndex],84),IF((('T_SelfStock'!CG18&lt;&gt;""))*(('T_TTAFStock'!CG18&lt;&gt;""))&gt;0,'T_SelfStock'!CG18+'T_TTAFStock'!CG18,CF14+'Grid_Incoming'!CG14-'Grid_Requirement'!CG14))</f>
        <v/>
      </c>
      <c r="CH14">
        <f>IF(COUNTIFS(T_StockCount[Part Name],$A14,T_StockCount[WeekIndex],85)&gt;0,SUMIFS(T_StockCount[CountedQty],T_StockCount[Part Name],$A14,T_StockCount[WeekIndex],85),IF((('T_SelfStock'!CH18&lt;&gt;""))*(('T_TTAFStock'!CH18&lt;&gt;""))&gt;0,'T_SelfStock'!CH18+'T_TTAFStock'!CH18,CG14+'Grid_Incoming'!CH14-'Grid_Requirement'!CH14))</f>
        <v/>
      </c>
      <c r="CI14">
        <f>IF(COUNTIFS(T_StockCount[Part Name],$A14,T_StockCount[WeekIndex],86)&gt;0,SUMIFS(T_StockCount[CountedQty],T_StockCount[Part Name],$A14,T_StockCount[WeekIndex],86),IF((('T_SelfStock'!CI18&lt;&gt;""))*(('T_TTAFStock'!CI18&lt;&gt;""))&gt;0,'T_SelfStock'!CI18+'T_TTAFStock'!CI18,CH14+'Grid_Incoming'!CI14-'Grid_Requirement'!CI14))</f>
        <v/>
      </c>
      <c r="CJ14">
        <f>IF(COUNTIFS(T_StockCount[Part Name],$A14,T_StockCount[WeekIndex],87)&gt;0,SUMIFS(T_StockCount[CountedQty],T_StockCount[Part Name],$A14,T_StockCount[WeekIndex],87),IF((('T_SelfStock'!CJ18&lt;&gt;""))*(('T_TTAFStock'!CJ18&lt;&gt;""))&gt;0,'T_SelfStock'!CJ18+'T_TTAFStock'!CJ18,CI14+'Grid_Incoming'!CJ14-'Grid_Requirement'!CJ14))</f>
        <v/>
      </c>
      <c r="CK14">
        <f>IF(COUNTIFS(T_StockCount[Part Name],$A14,T_StockCount[WeekIndex],88)&gt;0,SUMIFS(T_StockCount[CountedQty],T_StockCount[Part Name],$A14,T_StockCount[WeekIndex],88),IF((('T_SelfStock'!CK18&lt;&gt;""))*(('T_TTAFStock'!CK18&lt;&gt;""))&gt;0,'T_SelfStock'!CK18+'T_TTAFStock'!CK18,CJ14+'Grid_Incoming'!CK14-'Grid_Requirement'!CK14))</f>
        <v/>
      </c>
      <c r="CL14">
        <f>IF(COUNTIFS(T_StockCount[Part Name],$A14,T_StockCount[WeekIndex],89)&gt;0,SUMIFS(T_StockCount[CountedQty],T_StockCount[Part Name],$A14,T_StockCount[WeekIndex],89),IF((('T_SelfStock'!CL18&lt;&gt;""))*(('T_TTAFStock'!CL18&lt;&gt;""))&gt;0,'T_SelfStock'!CL18+'T_TTAFStock'!CL18,CK14+'Grid_Incoming'!CL14-'Grid_Requirement'!CL14))</f>
        <v/>
      </c>
      <c r="CM14">
        <f>IF(COUNTIFS(T_StockCount[Part Name],$A14,T_StockCount[WeekIndex],90)&gt;0,SUMIFS(T_StockCount[CountedQty],T_StockCount[Part Name],$A14,T_StockCount[WeekIndex],90),IF((('T_SelfStock'!CM18&lt;&gt;""))*(('T_TTAFStock'!CM18&lt;&gt;""))&gt;0,'T_SelfStock'!CM18+'T_TTAFStock'!CM18,CL14+'Grid_Incoming'!CM14-'Grid_Requirement'!CM14))</f>
        <v/>
      </c>
      <c r="CN14">
        <f>IF(COUNTIFS(T_StockCount[Part Name],$A14,T_StockCount[WeekIndex],91)&gt;0,SUMIFS(T_StockCount[CountedQty],T_StockCount[Part Name],$A14,T_StockCount[WeekIndex],91),IF((('T_SelfStock'!CN18&lt;&gt;""))*(('T_TTAFStock'!CN18&lt;&gt;""))&gt;0,'T_SelfStock'!CN18+'T_TTAFStock'!CN18,CM14+'Grid_Incoming'!CN14-'Grid_Requirement'!CN14))</f>
        <v/>
      </c>
      <c r="CO14">
        <f>IF(COUNTIFS(T_StockCount[Part Name],$A14,T_StockCount[WeekIndex],92)&gt;0,SUMIFS(T_StockCount[CountedQty],T_StockCount[Part Name],$A14,T_StockCount[WeekIndex],92),IF((('T_SelfStock'!CO18&lt;&gt;""))*(('T_TTAFStock'!CO18&lt;&gt;""))&gt;0,'T_SelfStock'!CO18+'T_TTAFStock'!CO18,CN14+'Grid_Incoming'!CO14-'Grid_Requirement'!CO14))</f>
        <v/>
      </c>
      <c r="CP14">
        <f>IF(COUNTIFS(T_StockCount[Part Name],$A14,T_StockCount[WeekIndex],93)&gt;0,SUMIFS(T_StockCount[CountedQty],T_StockCount[Part Name],$A14,T_StockCount[WeekIndex],93),IF((('T_SelfStock'!CP18&lt;&gt;""))*(('T_TTAFStock'!CP18&lt;&gt;""))&gt;0,'T_SelfStock'!CP18+'T_TTAFStock'!CP18,CO14+'Grid_Incoming'!CP14-'Grid_Requirement'!CP14))</f>
        <v/>
      </c>
      <c r="CQ14">
        <f>IF(COUNTIFS(T_StockCount[Part Name],$A14,T_StockCount[WeekIndex],94)&gt;0,SUMIFS(T_StockCount[CountedQty],T_StockCount[Part Name],$A14,T_StockCount[WeekIndex],94),IF((('T_SelfStock'!CQ18&lt;&gt;""))*(('T_TTAFStock'!CQ18&lt;&gt;""))&gt;0,'T_SelfStock'!CQ18+'T_TTAFStock'!CQ18,CP14+'Grid_Incoming'!CQ14-'Grid_Requirement'!CQ14))</f>
        <v/>
      </c>
      <c r="CR14">
        <f>IF(COUNTIFS(T_StockCount[Part Name],$A14,T_StockCount[WeekIndex],95)&gt;0,SUMIFS(T_StockCount[CountedQty],T_StockCount[Part Name],$A14,T_StockCount[WeekIndex],95),IF((('T_SelfStock'!CR18&lt;&gt;""))*(('T_TTAFStock'!CR18&lt;&gt;""))&gt;0,'T_SelfStock'!CR18+'T_TTAFStock'!CR18,CQ14+'Grid_Incoming'!CR14-'Grid_Requirement'!CR14))</f>
        <v/>
      </c>
      <c r="CS14">
        <f>IF(COUNTIFS(T_StockCount[Part Name],$A14,T_StockCount[WeekIndex],96)&gt;0,SUMIFS(T_StockCount[CountedQty],T_StockCount[Part Name],$A14,T_StockCount[WeekIndex],96),IF((('T_SelfStock'!CS18&lt;&gt;""))*(('T_TTAFStock'!CS18&lt;&gt;""))&gt;0,'T_SelfStock'!CS18+'T_TTAFStock'!CS18,CR14+'Grid_Incoming'!CS14-'Grid_Requirement'!CS14))</f>
        <v/>
      </c>
      <c r="CT14">
        <f>IF(COUNTIFS(T_StockCount[Part Name],$A14,T_StockCount[WeekIndex],97)&gt;0,SUMIFS(T_StockCount[CountedQty],T_StockCount[Part Name],$A14,T_StockCount[WeekIndex],97),IF((('T_SelfStock'!CT18&lt;&gt;""))*(('T_TTAFStock'!CT18&lt;&gt;""))&gt;0,'T_SelfStock'!CT18+'T_TTAFStock'!CT18,CS14+'Grid_Incoming'!CT14-'Grid_Requirement'!CT14))</f>
        <v/>
      </c>
      <c r="CU14">
        <f>IF(COUNTIFS(T_StockCount[Part Name],$A14,T_StockCount[WeekIndex],98)&gt;0,SUMIFS(T_StockCount[CountedQty],T_StockCount[Part Name],$A14,T_StockCount[WeekIndex],98),IF((('T_SelfStock'!CU18&lt;&gt;""))*(('T_TTAFStock'!CU18&lt;&gt;""))&gt;0,'T_SelfStock'!CU18+'T_TTAFStock'!CU18,CT14+'Grid_Incoming'!CU14-'Grid_Requirement'!CU14))</f>
        <v/>
      </c>
      <c r="CV14">
        <f>IF(COUNTIFS(T_StockCount[Part Name],$A14,T_StockCount[WeekIndex],99)&gt;0,SUMIFS(T_StockCount[CountedQty],T_StockCount[Part Name],$A14,T_StockCount[WeekIndex],99),IF((('T_SelfStock'!CV18&lt;&gt;""))*(('T_TTAFStock'!CV18&lt;&gt;""))&gt;0,'T_SelfStock'!CV18+'T_TTAFStock'!CV18,CU14+'Grid_Incoming'!CV14-'Grid_Requirement'!CV14))</f>
        <v/>
      </c>
      <c r="CW14">
        <f>IF(COUNTIFS(T_StockCount[Part Name],$A14,T_StockCount[WeekIndex],100)&gt;0,SUMIFS(T_StockCount[CountedQty],T_StockCount[Part Name],$A14,T_StockCount[WeekIndex],100),IF((('T_SelfStock'!CW18&lt;&gt;""))*(('T_TTAFStock'!CW18&lt;&gt;""))&gt;0,'T_SelfStock'!CW18+'T_TTAFStock'!CW18,CV14+'Grid_Incoming'!CW14-'Grid_Requirement'!CW14))</f>
        <v/>
      </c>
      <c r="CX14">
        <f>IF(COUNTIFS(T_StockCount[Part Name],$A14,T_StockCount[WeekIndex],101)&gt;0,SUMIFS(T_StockCount[CountedQty],T_StockCount[Part Name],$A14,T_StockCount[WeekIndex],101),IF((('T_SelfStock'!CX18&lt;&gt;""))*(('T_TTAFStock'!CX18&lt;&gt;""))&gt;0,'T_SelfStock'!CX18+'T_TTAFStock'!CX18,CW14+'Grid_Incoming'!CX14-'Grid_Requirement'!CX14))</f>
        <v/>
      </c>
      <c r="CY14">
        <f>IF(COUNTIFS(T_StockCount[Part Name],$A14,T_StockCount[WeekIndex],102)&gt;0,SUMIFS(T_StockCount[CountedQty],T_StockCount[Part Name],$A14,T_StockCount[WeekIndex],102),IF((('T_SelfStock'!CY18&lt;&gt;""))*(('T_TTAFStock'!CY18&lt;&gt;""))&gt;0,'T_SelfStock'!CY18+'T_TTAFStock'!CY18,CX14+'Grid_Incoming'!CY14-'Grid_Requirement'!CY14))</f>
        <v/>
      </c>
      <c r="CZ14">
        <f>IF(COUNTIFS(T_StockCount[Part Name],$A14,T_StockCount[WeekIndex],103)&gt;0,SUMIFS(T_StockCount[CountedQty],T_StockCount[Part Name],$A14,T_StockCount[WeekIndex],103),IF((('T_SelfStock'!CZ18&lt;&gt;""))*(('T_TTAFStock'!CZ18&lt;&gt;""))&gt;0,'T_SelfStock'!CZ18+'T_TTAFStock'!CZ18,CY14+'Grid_Incoming'!CZ14-'Grid_Requirement'!CZ14))</f>
        <v/>
      </c>
      <c r="DA14">
        <f>IF(COUNTIFS(T_StockCount[Part Name],$A14,T_StockCount[WeekIndex],104)&gt;0,SUMIFS(T_StockCount[CountedQty],T_StockCount[Part Name],$A14,T_StockCount[WeekIndex],104),IF((('T_SelfStock'!DA18&lt;&gt;""))*(('T_TTAFStock'!DA18&lt;&gt;""))&gt;0,'T_SelfStock'!DA18+'T_TTAFStock'!DA18,CZ14+'Grid_Incoming'!DA14-'Grid_Requirement'!DA14))</f>
        <v/>
      </c>
    </row>
    <row r="15">
      <c r="A15" t="inlineStr">
        <is>
          <t>CHEM-1400</t>
        </is>
      </c>
      <c r="B15">
        <f>IF(COUNTIFS(T_StockCount[Part Name],$A15,T_StockCount[WeekIndex],1)&gt;0,SUMIFS(T_StockCount[CountedQty],T_StockCount[Part Name],$A15,T_StockCount[WeekIndex],1),IF((('T_SelfStock'!B19&lt;&gt;""))*(('T_TTAFStock'!B19&lt;&gt;""))&gt;0,'T_SelfStock'!B19+'T_TTAFStock'!B19,IFERROR(INDEX(T_OpeningStock[Opening_Qty],MATCH($A15,T_OpeningStock[Part Name],0)),0)+'Grid_Incoming'!B15-'Grid_Requirement'!B15))</f>
        <v/>
      </c>
      <c r="C15">
        <f>IF(COUNTIFS(T_StockCount[Part Name],$A15,T_StockCount[WeekIndex],2)&gt;0,SUMIFS(T_StockCount[CountedQty],T_StockCount[Part Name],$A15,T_StockCount[WeekIndex],2),IF((('T_SelfStock'!C19&lt;&gt;""))*(('T_TTAFStock'!C19&lt;&gt;""))&gt;0,'T_SelfStock'!C19+'T_TTAFStock'!C19,B15+'Grid_Incoming'!C15-'Grid_Requirement'!C15))</f>
        <v/>
      </c>
      <c r="D15">
        <f>IF(COUNTIFS(T_StockCount[Part Name],$A15,T_StockCount[WeekIndex],3)&gt;0,SUMIFS(T_StockCount[CountedQty],T_StockCount[Part Name],$A15,T_StockCount[WeekIndex],3),IF((('T_SelfStock'!D19&lt;&gt;""))*(('T_TTAFStock'!D19&lt;&gt;""))&gt;0,'T_SelfStock'!D19+'T_TTAFStock'!D19,C15+'Grid_Incoming'!D15-'Grid_Requirement'!D15))</f>
        <v/>
      </c>
      <c r="E15">
        <f>IF(COUNTIFS(T_StockCount[Part Name],$A15,T_StockCount[WeekIndex],4)&gt;0,SUMIFS(T_StockCount[CountedQty],T_StockCount[Part Name],$A15,T_StockCount[WeekIndex],4),IF((('T_SelfStock'!E19&lt;&gt;""))*(('T_TTAFStock'!E19&lt;&gt;""))&gt;0,'T_SelfStock'!E19+'T_TTAFStock'!E19,D15+'Grid_Incoming'!E15-'Grid_Requirement'!E15))</f>
        <v/>
      </c>
      <c r="F15">
        <f>IF(COUNTIFS(T_StockCount[Part Name],$A15,T_StockCount[WeekIndex],5)&gt;0,SUMIFS(T_StockCount[CountedQty],T_StockCount[Part Name],$A15,T_StockCount[WeekIndex],5),IF((('T_SelfStock'!F19&lt;&gt;""))*(('T_TTAFStock'!F19&lt;&gt;""))&gt;0,'T_SelfStock'!F19+'T_TTAFStock'!F19,E15+'Grid_Incoming'!F15-'Grid_Requirement'!F15))</f>
        <v/>
      </c>
      <c r="G15">
        <f>IF(COUNTIFS(T_StockCount[Part Name],$A15,T_StockCount[WeekIndex],6)&gt;0,SUMIFS(T_StockCount[CountedQty],T_StockCount[Part Name],$A15,T_StockCount[WeekIndex],6),IF((('T_SelfStock'!G19&lt;&gt;""))*(('T_TTAFStock'!G19&lt;&gt;""))&gt;0,'T_SelfStock'!G19+'T_TTAFStock'!G19,F15+'Grid_Incoming'!G15-'Grid_Requirement'!G15))</f>
        <v/>
      </c>
      <c r="H15">
        <f>IF(COUNTIFS(T_StockCount[Part Name],$A15,T_StockCount[WeekIndex],7)&gt;0,SUMIFS(T_StockCount[CountedQty],T_StockCount[Part Name],$A15,T_StockCount[WeekIndex],7),IF((('T_SelfStock'!H19&lt;&gt;""))*(('T_TTAFStock'!H19&lt;&gt;""))&gt;0,'T_SelfStock'!H19+'T_TTAFStock'!H19,G15+'Grid_Incoming'!H15-'Grid_Requirement'!H15))</f>
        <v/>
      </c>
      <c r="I15">
        <f>IF(COUNTIFS(T_StockCount[Part Name],$A15,T_StockCount[WeekIndex],8)&gt;0,SUMIFS(T_StockCount[CountedQty],T_StockCount[Part Name],$A15,T_StockCount[WeekIndex],8),IF((('T_SelfStock'!I19&lt;&gt;""))*(('T_TTAFStock'!I19&lt;&gt;""))&gt;0,'T_SelfStock'!I19+'T_TTAFStock'!I19,H15+'Grid_Incoming'!I15-'Grid_Requirement'!I15))</f>
        <v/>
      </c>
      <c r="J15">
        <f>IF(COUNTIFS(T_StockCount[Part Name],$A15,T_StockCount[WeekIndex],9)&gt;0,SUMIFS(T_StockCount[CountedQty],T_StockCount[Part Name],$A15,T_StockCount[WeekIndex],9),IF((('T_SelfStock'!J19&lt;&gt;""))*(('T_TTAFStock'!J19&lt;&gt;""))&gt;0,'T_SelfStock'!J19+'T_TTAFStock'!J19,I15+'Grid_Incoming'!J15-'Grid_Requirement'!J15))</f>
        <v/>
      </c>
      <c r="K15">
        <f>IF(COUNTIFS(T_StockCount[Part Name],$A15,T_StockCount[WeekIndex],10)&gt;0,SUMIFS(T_StockCount[CountedQty],T_StockCount[Part Name],$A15,T_StockCount[WeekIndex],10),IF((('T_SelfStock'!K19&lt;&gt;""))*(('T_TTAFStock'!K19&lt;&gt;""))&gt;0,'T_SelfStock'!K19+'T_TTAFStock'!K19,J15+'Grid_Incoming'!K15-'Grid_Requirement'!K15))</f>
        <v/>
      </c>
      <c r="L15">
        <f>IF(COUNTIFS(T_StockCount[Part Name],$A15,T_StockCount[WeekIndex],11)&gt;0,SUMIFS(T_StockCount[CountedQty],T_StockCount[Part Name],$A15,T_StockCount[WeekIndex],11),IF((('T_SelfStock'!L19&lt;&gt;""))*(('T_TTAFStock'!L19&lt;&gt;""))&gt;0,'T_SelfStock'!L19+'T_TTAFStock'!L19,K15+'Grid_Incoming'!L15-'Grid_Requirement'!L15))</f>
        <v/>
      </c>
      <c r="M15">
        <f>IF(COUNTIFS(T_StockCount[Part Name],$A15,T_StockCount[WeekIndex],12)&gt;0,SUMIFS(T_StockCount[CountedQty],T_StockCount[Part Name],$A15,T_StockCount[WeekIndex],12),IF((('T_SelfStock'!M19&lt;&gt;""))*(('T_TTAFStock'!M19&lt;&gt;""))&gt;0,'T_SelfStock'!M19+'T_TTAFStock'!M19,L15+'Grid_Incoming'!M15-'Grid_Requirement'!M15))</f>
        <v/>
      </c>
      <c r="N15">
        <f>IF(COUNTIFS(T_StockCount[Part Name],$A15,T_StockCount[WeekIndex],13)&gt;0,SUMIFS(T_StockCount[CountedQty],T_StockCount[Part Name],$A15,T_StockCount[WeekIndex],13),IF((('T_SelfStock'!N19&lt;&gt;""))*(('T_TTAFStock'!N19&lt;&gt;""))&gt;0,'T_SelfStock'!N19+'T_TTAFStock'!N19,M15+'Grid_Incoming'!N15-'Grid_Requirement'!N15))</f>
        <v/>
      </c>
      <c r="O15">
        <f>IF(COUNTIFS(T_StockCount[Part Name],$A15,T_StockCount[WeekIndex],14)&gt;0,SUMIFS(T_StockCount[CountedQty],T_StockCount[Part Name],$A15,T_StockCount[WeekIndex],14),IF((('T_SelfStock'!O19&lt;&gt;""))*(('T_TTAFStock'!O19&lt;&gt;""))&gt;0,'T_SelfStock'!O19+'T_TTAFStock'!O19,N15+'Grid_Incoming'!O15-'Grid_Requirement'!O15))</f>
        <v/>
      </c>
      <c r="P15">
        <f>IF(COUNTIFS(T_StockCount[Part Name],$A15,T_StockCount[WeekIndex],15)&gt;0,SUMIFS(T_StockCount[CountedQty],T_StockCount[Part Name],$A15,T_StockCount[WeekIndex],15),IF((('T_SelfStock'!P19&lt;&gt;""))*(('T_TTAFStock'!P19&lt;&gt;""))&gt;0,'T_SelfStock'!P19+'T_TTAFStock'!P19,O15+'Grid_Incoming'!P15-'Grid_Requirement'!P15))</f>
        <v/>
      </c>
      <c r="Q15">
        <f>IF(COUNTIFS(T_StockCount[Part Name],$A15,T_StockCount[WeekIndex],16)&gt;0,SUMIFS(T_StockCount[CountedQty],T_StockCount[Part Name],$A15,T_StockCount[WeekIndex],16),IF((('T_SelfStock'!Q19&lt;&gt;""))*(('T_TTAFStock'!Q19&lt;&gt;""))&gt;0,'T_SelfStock'!Q19+'T_TTAFStock'!Q19,P15+'Grid_Incoming'!Q15-'Grid_Requirement'!Q15))</f>
        <v/>
      </c>
      <c r="R15">
        <f>IF(COUNTIFS(T_StockCount[Part Name],$A15,T_StockCount[WeekIndex],17)&gt;0,SUMIFS(T_StockCount[CountedQty],T_StockCount[Part Name],$A15,T_StockCount[WeekIndex],17),IF((('T_SelfStock'!R19&lt;&gt;""))*(('T_TTAFStock'!R19&lt;&gt;""))&gt;0,'T_SelfStock'!R19+'T_TTAFStock'!R19,Q15+'Grid_Incoming'!R15-'Grid_Requirement'!R15))</f>
        <v/>
      </c>
      <c r="S15">
        <f>IF(COUNTIFS(T_StockCount[Part Name],$A15,T_StockCount[WeekIndex],18)&gt;0,SUMIFS(T_StockCount[CountedQty],T_StockCount[Part Name],$A15,T_StockCount[WeekIndex],18),IF((('T_SelfStock'!S19&lt;&gt;""))*(('T_TTAFStock'!S19&lt;&gt;""))&gt;0,'T_SelfStock'!S19+'T_TTAFStock'!S19,R15+'Grid_Incoming'!S15-'Grid_Requirement'!S15))</f>
        <v/>
      </c>
      <c r="T15">
        <f>IF(COUNTIFS(T_StockCount[Part Name],$A15,T_StockCount[WeekIndex],19)&gt;0,SUMIFS(T_StockCount[CountedQty],T_StockCount[Part Name],$A15,T_StockCount[WeekIndex],19),IF((('T_SelfStock'!T19&lt;&gt;""))*(('T_TTAFStock'!T19&lt;&gt;""))&gt;0,'T_SelfStock'!T19+'T_TTAFStock'!T19,S15+'Grid_Incoming'!T15-'Grid_Requirement'!T15))</f>
        <v/>
      </c>
      <c r="U15">
        <f>IF(COUNTIFS(T_StockCount[Part Name],$A15,T_StockCount[WeekIndex],20)&gt;0,SUMIFS(T_StockCount[CountedQty],T_StockCount[Part Name],$A15,T_StockCount[WeekIndex],20),IF((('T_SelfStock'!U19&lt;&gt;""))*(('T_TTAFStock'!U19&lt;&gt;""))&gt;0,'T_SelfStock'!U19+'T_TTAFStock'!U19,T15+'Grid_Incoming'!U15-'Grid_Requirement'!U15))</f>
        <v/>
      </c>
      <c r="V15">
        <f>IF(COUNTIFS(T_StockCount[Part Name],$A15,T_StockCount[WeekIndex],21)&gt;0,SUMIFS(T_StockCount[CountedQty],T_StockCount[Part Name],$A15,T_StockCount[WeekIndex],21),IF((('T_SelfStock'!V19&lt;&gt;""))*(('T_TTAFStock'!V19&lt;&gt;""))&gt;0,'T_SelfStock'!V19+'T_TTAFStock'!V19,U15+'Grid_Incoming'!V15-'Grid_Requirement'!V15))</f>
        <v/>
      </c>
      <c r="W15">
        <f>IF(COUNTIFS(T_StockCount[Part Name],$A15,T_StockCount[WeekIndex],22)&gt;0,SUMIFS(T_StockCount[CountedQty],T_StockCount[Part Name],$A15,T_StockCount[WeekIndex],22),IF((('T_SelfStock'!W19&lt;&gt;""))*(('T_TTAFStock'!W19&lt;&gt;""))&gt;0,'T_SelfStock'!W19+'T_TTAFStock'!W19,V15+'Grid_Incoming'!W15-'Grid_Requirement'!W15))</f>
        <v/>
      </c>
      <c r="X15">
        <f>IF(COUNTIFS(T_StockCount[Part Name],$A15,T_StockCount[WeekIndex],23)&gt;0,SUMIFS(T_StockCount[CountedQty],T_StockCount[Part Name],$A15,T_StockCount[WeekIndex],23),IF((('T_SelfStock'!X19&lt;&gt;""))*(('T_TTAFStock'!X19&lt;&gt;""))&gt;0,'T_SelfStock'!X19+'T_TTAFStock'!X19,W15+'Grid_Incoming'!X15-'Grid_Requirement'!X15))</f>
        <v/>
      </c>
      <c r="Y15">
        <f>IF(COUNTIFS(T_StockCount[Part Name],$A15,T_StockCount[WeekIndex],24)&gt;0,SUMIFS(T_StockCount[CountedQty],T_StockCount[Part Name],$A15,T_StockCount[WeekIndex],24),IF((('T_SelfStock'!Y19&lt;&gt;""))*(('T_TTAFStock'!Y19&lt;&gt;""))&gt;0,'T_SelfStock'!Y19+'T_TTAFStock'!Y19,X15+'Grid_Incoming'!Y15-'Grid_Requirement'!Y15))</f>
        <v/>
      </c>
      <c r="Z15">
        <f>IF(COUNTIFS(T_StockCount[Part Name],$A15,T_StockCount[WeekIndex],25)&gt;0,SUMIFS(T_StockCount[CountedQty],T_StockCount[Part Name],$A15,T_StockCount[WeekIndex],25),IF((('T_SelfStock'!Z19&lt;&gt;""))*(('T_TTAFStock'!Z19&lt;&gt;""))&gt;0,'T_SelfStock'!Z19+'T_TTAFStock'!Z19,Y15+'Grid_Incoming'!Z15-'Grid_Requirement'!Z15))</f>
        <v/>
      </c>
      <c r="AA15">
        <f>IF(COUNTIFS(T_StockCount[Part Name],$A15,T_StockCount[WeekIndex],26)&gt;0,SUMIFS(T_StockCount[CountedQty],T_StockCount[Part Name],$A15,T_StockCount[WeekIndex],26),IF((('T_SelfStock'!AA19&lt;&gt;""))*(('T_TTAFStock'!AA19&lt;&gt;""))&gt;0,'T_SelfStock'!AA19+'T_TTAFStock'!AA19,Z15+'Grid_Incoming'!AA15-'Grid_Requirement'!AA15))</f>
        <v/>
      </c>
      <c r="AB15">
        <f>IF(COUNTIFS(T_StockCount[Part Name],$A15,T_StockCount[WeekIndex],27)&gt;0,SUMIFS(T_StockCount[CountedQty],T_StockCount[Part Name],$A15,T_StockCount[WeekIndex],27),IF((('T_SelfStock'!AB19&lt;&gt;""))*(('T_TTAFStock'!AB19&lt;&gt;""))&gt;0,'T_SelfStock'!AB19+'T_TTAFStock'!AB19,AA15+'Grid_Incoming'!AB15-'Grid_Requirement'!AB15))</f>
        <v/>
      </c>
      <c r="AC15">
        <f>IF(COUNTIFS(T_StockCount[Part Name],$A15,T_StockCount[WeekIndex],28)&gt;0,SUMIFS(T_StockCount[CountedQty],T_StockCount[Part Name],$A15,T_StockCount[WeekIndex],28),IF((('T_SelfStock'!AC19&lt;&gt;""))*(('T_TTAFStock'!AC19&lt;&gt;""))&gt;0,'T_SelfStock'!AC19+'T_TTAFStock'!AC19,AB15+'Grid_Incoming'!AC15-'Grid_Requirement'!AC15))</f>
        <v/>
      </c>
      <c r="AD15">
        <f>IF(COUNTIFS(T_StockCount[Part Name],$A15,T_StockCount[WeekIndex],29)&gt;0,SUMIFS(T_StockCount[CountedQty],T_StockCount[Part Name],$A15,T_StockCount[WeekIndex],29),IF((('T_SelfStock'!AD19&lt;&gt;""))*(('T_TTAFStock'!AD19&lt;&gt;""))&gt;0,'T_SelfStock'!AD19+'T_TTAFStock'!AD19,AC15+'Grid_Incoming'!AD15-'Grid_Requirement'!AD15))</f>
        <v/>
      </c>
      <c r="AE15">
        <f>IF(COUNTIFS(T_StockCount[Part Name],$A15,T_StockCount[WeekIndex],30)&gt;0,SUMIFS(T_StockCount[CountedQty],T_StockCount[Part Name],$A15,T_StockCount[WeekIndex],30),IF((('T_SelfStock'!AE19&lt;&gt;""))*(('T_TTAFStock'!AE19&lt;&gt;""))&gt;0,'T_SelfStock'!AE19+'T_TTAFStock'!AE19,AD15+'Grid_Incoming'!AE15-'Grid_Requirement'!AE15))</f>
        <v/>
      </c>
      <c r="AF15">
        <f>IF(COUNTIFS(T_StockCount[Part Name],$A15,T_StockCount[WeekIndex],31)&gt;0,SUMIFS(T_StockCount[CountedQty],T_StockCount[Part Name],$A15,T_StockCount[WeekIndex],31),IF((('T_SelfStock'!AF19&lt;&gt;""))*(('T_TTAFStock'!AF19&lt;&gt;""))&gt;0,'T_SelfStock'!AF19+'T_TTAFStock'!AF19,AE15+'Grid_Incoming'!AF15-'Grid_Requirement'!AF15))</f>
        <v/>
      </c>
      <c r="AG15">
        <f>IF(COUNTIFS(T_StockCount[Part Name],$A15,T_StockCount[WeekIndex],32)&gt;0,SUMIFS(T_StockCount[CountedQty],T_StockCount[Part Name],$A15,T_StockCount[WeekIndex],32),IF((('T_SelfStock'!AG19&lt;&gt;""))*(('T_TTAFStock'!AG19&lt;&gt;""))&gt;0,'T_SelfStock'!AG19+'T_TTAFStock'!AG19,AF15+'Grid_Incoming'!AG15-'Grid_Requirement'!AG15))</f>
        <v/>
      </c>
      <c r="AH15">
        <f>IF(COUNTIFS(T_StockCount[Part Name],$A15,T_StockCount[WeekIndex],33)&gt;0,SUMIFS(T_StockCount[CountedQty],T_StockCount[Part Name],$A15,T_StockCount[WeekIndex],33),IF((('T_SelfStock'!AH19&lt;&gt;""))*(('T_TTAFStock'!AH19&lt;&gt;""))&gt;0,'T_SelfStock'!AH19+'T_TTAFStock'!AH19,AG15+'Grid_Incoming'!AH15-'Grid_Requirement'!AH15))</f>
        <v/>
      </c>
      <c r="AI15">
        <f>IF(COUNTIFS(T_StockCount[Part Name],$A15,T_StockCount[WeekIndex],34)&gt;0,SUMIFS(T_StockCount[CountedQty],T_StockCount[Part Name],$A15,T_StockCount[WeekIndex],34),IF((('T_SelfStock'!AI19&lt;&gt;""))*(('T_TTAFStock'!AI19&lt;&gt;""))&gt;0,'T_SelfStock'!AI19+'T_TTAFStock'!AI19,AH15+'Grid_Incoming'!AI15-'Grid_Requirement'!AI15))</f>
        <v/>
      </c>
      <c r="AJ15">
        <f>IF(COUNTIFS(T_StockCount[Part Name],$A15,T_StockCount[WeekIndex],35)&gt;0,SUMIFS(T_StockCount[CountedQty],T_StockCount[Part Name],$A15,T_StockCount[WeekIndex],35),IF((('T_SelfStock'!AJ19&lt;&gt;""))*(('T_TTAFStock'!AJ19&lt;&gt;""))&gt;0,'T_SelfStock'!AJ19+'T_TTAFStock'!AJ19,AI15+'Grid_Incoming'!AJ15-'Grid_Requirement'!AJ15))</f>
        <v/>
      </c>
      <c r="AK15">
        <f>IF(COUNTIFS(T_StockCount[Part Name],$A15,T_StockCount[WeekIndex],36)&gt;0,SUMIFS(T_StockCount[CountedQty],T_StockCount[Part Name],$A15,T_StockCount[WeekIndex],36),IF((('T_SelfStock'!AK19&lt;&gt;""))*(('T_TTAFStock'!AK19&lt;&gt;""))&gt;0,'T_SelfStock'!AK19+'T_TTAFStock'!AK19,AJ15+'Grid_Incoming'!AK15-'Grid_Requirement'!AK15))</f>
        <v/>
      </c>
      <c r="AL15">
        <f>IF(COUNTIFS(T_StockCount[Part Name],$A15,T_StockCount[WeekIndex],37)&gt;0,SUMIFS(T_StockCount[CountedQty],T_StockCount[Part Name],$A15,T_StockCount[WeekIndex],37),IF((('T_SelfStock'!AL19&lt;&gt;""))*(('T_TTAFStock'!AL19&lt;&gt;""))&gt;0,'T_SelfStock'!AL19+'T_TTAFStock'!AL19,AK15+'Grid_Incoming'!AL15-'Grid_Requirement'!AL15))</f>
        <v/>
      </c>
      <c r="AM15">
        <f>IF(COUNTIFS(T_StockCount[Part Name],$A15,T_StockCount[WeekIndex],38)&gt;0,SUMIFS(T_StockCount[CountedQty],T_StockCount[Part Name],$A15,T_StockCount[WeekIndex],38),IF((('T_SelfStock'!AM19&lt;&gt;""))*(('T_TTAFStock'!AM19&lt;&gt;""))&gt;0,'T_SelfStock'!AM19+'T_TTAFStock'!AM19,AL15+'Grid_Incoming'!AM15-'Grid_Requirement'!AM15))</f>
        <v/>
      </c>
      <c r="AN15">
        <f>IF(COUNTIFS(T_StockCount[Part Name],$A15,T_StockCount[WeekIndex],39)&gt;0,SUMIFS(T_StockCount[CountedQty],T_StockCount[Part Name],$A15,T_StockCount[WeekIndex],39),IF((('T_SelfStock'!AN19&lt;&gt;""))*(('T_TTAFStock'!AN19&lt;&gt;""))&gt;0,'T_SelfStock'!AN19+'T_TTAFStock'!AN19,AM15+'Grid_Incoming'!AN15-'Grid_Requirement'!AN15))</f>
        <v/>
      </c>
      <c r="AO15">
        <f>IF(COUNTIFS(T_StockCount[Part Name],$A15,T_StockCount[WeekIndex],40)&gt;0,SUMIFS(T_StockCount[CountedQty],T_StockCount[Part Name],$A15,T_StockCount[WeekIndex],40),IF((('T_SelfStock'!AO19&lt;&gt;""))*(('T_TTAFStock'!AO19&lt;&gt;""))&gt;0,'T_SelfStock'!AO19+'T_TTAFStock'!AO19,AN15+'Grid_Incoming'!AO15-'Grid_Requirement'!AO15))</f>
        <v/>
      </c>
      <c r="AP15">
        <f>IF(COUNTIFS(T_StockCount[Part Name],$A15,T_StockCount[WeekIndex],41)&gt;0,SUMIFS(T_StockCount[CountedQty],T_StockCount[Part Name],$A15,T_StockCount[WeekIndex],41),IF((('T_SelfStock'!AP19&lt;&gt;""))*(('T_TTAFStock'!AP19&lt;&gt;""))&gt;0,'T_SelfStock'!AP19+'T_TTAFStock'!AP19,AO15+'Grid_Incoming'!AP15-'Grid_Requirement'!AP15))</f>
        <v/>
      </c>
      <c r="AQ15">
        <f>IF(COUNTIFS(T_StockCount[Part Name],$A15,T_StockCount[WeekIndex],42)&gt;0,SUMIFS(T_StockCount[CountedQty],T_StockCount[Part Name],$A15,T_StockCount[WeekIndex],42),IF((('T_SelfStock'!AQ19&lt;&gt;""))*(('T_TTAFStock'!AQ19&lt;&gt;""))&gt;0,'T_SelfStock'!AQ19+'T_TTAFStock'!AQ19,AP15+'Grid_Incoming'!AQ15-'Grid_Requirement'!AQ15))</f>
        <v/>
      </c>
      <c r="AR15">
        <f>IF(COUNTIFS(T_StockCount[Part Name],$A15,T_StockCount[WeekIndex],43)&gt;0,SUMIFS(T_StockCount[CountedQty],T_StockCount[Part Name],$A15,T_StockCount[WeekIndex],43),IF((('T_SelfStock'!AR19&lt;&gt;""))*(('T_TTAFStock'!AR19&lt;&gt;""))&gt;0,'T_SelfStock'!AR19+'T_TTAFStock'!AR19,AQ15+'Grid_Incoming'!AR15-'Grid_Requirement'!AR15))</f>
        <v/>
      </c>
      <c r="AS15">
        <f>IF(COUNTIFS(T_StockCount[Part Name],$A15,T_StockCount[WeekIndex],44)&gt;0,SUMIFS(T_StockCount[CountedQty],T_StockCount[Part Name],$A15,T_StockCount[WeekIndex],44),IF((('T_SelfStock'!AS19&lt;&gt;""))*(('T_TTAFStock'!AS19&lt;&gt;""))&gt;0,'T_SelfStock'!AS19+'T_TTAFStock'!AS19,AR15+'Grid_Incoming'!AS15-'Grid_Requirement'!AS15))</f>
        <v/>
      </c>
      <c r="AT15">
        <f>IF(COUNTIFS(T_StockCount[Part Name],$A15,T_StockCount[WeekIndex],45)&gt;0,SUMIFS(T_StockCount[CountedQty],T_StockCount[Part Name],$A15,T_StockCount[WeekIndex],45),IF((('T_SelfStock'!AT19&lt;&gt;""))*(('T_TTAFStock'!AT19&lt;&gt;""))&gt;0,'T_SelfStock'!AT19+'T_TTAFStock'!AT19,AS15+'Grid_Incoming'!AT15-'Grid_Requirement'!AT15))</f>
        <v/>
      </c>
      <c r="AU15">
        <f>IF(COUNTIFS(T_StockCount[Part Name],$A15,T_StockCount[WeekIndex],46)&gt;0,SUMIFS(T_StockCount[CountedQty],T_StockCount[Part Name],$A15,T_StockCount[WeekIndex],46),IF((('T_SelfStock'!AU19&lt;&gt;""))*(('T_TTAFStock'!AU19&lt;&gt;""))&gt;0,'T_SelfStock'!AU19+'T_TTAFStock'!AU19,AT15+'Grid_Incoming'!AU15-'Grid_Requirement'!AU15))</f>
        <v/>
      </c>
      <c r="AV15">
        <f>IF(COUNTIFS(T_StockCount[Part Name],$A15,T_StockCount[WeekIndex],47)&gt;0,SUMIFS(T_StockCount[CountedQty],T_StockCount[Part Name],$A15,T_StockCount[WeekIndex],47),IF((('T_SelfStock'!AV19&lt;&gt;""))*(('T_TTAFStock'!AV19&lt;&gt;""))&gt;0,'T_SelfStock'!AV19+'T_TTAFStock'!AV19,AU15+'Grid_Incoming'!AV15-'Grid_Requirement'!AV15))</f>
        <v/>
      </c>
      <c r="AW15">
        <f>IF(COUNTIFS(T_StockCount[Part Name],$A15,T_StockCount[WeekIndex],48)&gt;0,SUMIFS(T_StockCount[CountedQty],T_StockCount[Part Name],$A15,T_StockCount[WeekIndex],48),IF((('T_SelfStock'!AW19&lt;&gt;""))*(('T_TTAFStock'!AW19&lt;&gt;""))&gt;0,'T_SelfStock'!AW19+'T_TTAFStock'!AW19,AV15+'Grid_Incoming'!AW15-'Grid_Requirement'!AW15))</f>
        <v/>
      </c>
      <c r="AX15">
        <f>IF(COUNTIFS(T_StockCount[Part Name],$A15,T_StockCount[WeekIndex],49)&gt;0,SUMIFS(T_StockCount[CountedQty],T_StockCount[Part Name],$A15,T_StockCount[WeekIndex],49),IF((('T_SelfStock'!AX19&lt;&gt;""))*(('T_TTAFStock'!AX19&lt;&gt;""))&gt;0,'T_SelfStock'!AX19+'T_TTAFStock'!AX19,AW15+'Grid_Incoming'!AX15-'Grid_Requirement'!AX15))</f>
        <v/>
      </c>
      <c r="AY15">
        <f>IF(COUNTIFS(T_StockCount[Part Name],$A15,T_StockCount[WeekIndex],50)&gt;0,SUMIFS(T_StockCount[CountedQty],T_StockCount[Part Name],$A15,T_StockCount[WeekIndex],50),IF((('T_SelfStock'!AY19&lt;&gt;""))*(('T_TTAFStock'!AY19&lt;&gt;""))&gt;0,'T_SelfStock'!AY19+'T_TTAFStock'!AY19,AX15+'Grid_Incoming'!AY15-'Grid_Requirement'!AY15))</f>
        <v/>
      </c>
      <c r="AZ15">
        <f>IF(COUNTIFS(T_StockCount[Part Name],$A15,T_StockCount[WeekIndex],51)&gt;0,SUMIFS(T_StockCount[CountedQty],T_StockCount[Part Name],$A15,T_StockCount[WeekIndex],51),IF((('T_SelfStock'!AZ19&lt;&gt;""))*(('T_TTAFStock'!AZ19&lt;&gt;""))&gt;0,'T_SelfStock'!AZ19+'T_TTAFStock'!AZ19,AY15+'Grid_Incoming'!AZ15-'Grid_Requirement'!AZ15))</f>
        <v/>
      </c>
      <c r="BA15">
        <f>IF(COUNTIFS(T_StockCount[Part Name],$A15,T_StockCount[WeekIndex],52)&gt;0,SUMIFS(T_StockCount[CountedQty],T_StockCount[Part Name],$A15,T_StockCount[WeekIndex],52),IF((('T_SelfStock'!BA19&lt;&gt;""))*(('T_TTAFStock'!BA19&lt;&gt;""))&gt;0,'T_SelfStock'!BA19+'T_TTAFStock'!BA19,AZ15+'Grid_Incoming'!BA15-'Grid_Requirement'!BA15))</f>
        <v/>
      </c>
      <c r="BB15">
        <f>IF(COUNTIFS(T_StockCount[Part Name],$A15,T_StockCount[WeekIndex],53)&gt;0,SUMIFS(T_StockCount[CountedQty],T_StockCount[Part Name],$A15,T_StockCount[WeekIndex],53),IF((('T_SelfStock'!BB19&lt;&gt;""))*(('T_TTAFStock'!BB19&lt;&gt;""))&gt;0,'T_SelfStock'!BB19+'T_TTAFStock'!BB19,BA15+'Grid_Incoming'!BB15-'Grid_Requirement'!BB15))</f>
        <v/>
      </c>
      <c r="BC15">
        <f>IF(COUNTIFS(T_StockCount[Part Name],$A15,T_StockCount[WeekIndex],54)&gt;0,SUMIFS(T_StockCount[CountedQty],T_StockCount[Part Name],$A15,T_StockCount[WeekIndex],54),IF((('T_SelfStock'!BC19&lt;&gt;""))*(('T_TTAFStock'!BC19&lt;&gt;""))&gt;0,'T_SelfStock'!BC19+'T_TTAFStock'!BC19,BB15+'Grid_Incoming'!BC15-'Grid_Requirement'!BC15))</f>
        <v/>
      </c>
      <c r="BD15">
        <f>IF(COUNTIFS(T_StockCount[Part Name],$A15,T_StockCount[WeekIndex],55)&gt;0,SUMIFS(T_StockCount[CountedQty],T_StockCount[Part Name],$A15,T_StockCount[WeekIndex],55),IF((('T_SelfStock'!BD19&lt;&gt;""))*(('T_TTAFStock'!BD19&lt;&gt;""))&gt;0,'T_SelfStock'!BD19+'T_TTAFStock'!BD19,BC15+'Grid_Incoming'!BD15-'Grid_Requirement'!BD15))</f>
        <v/>
      </c>
      <c r="BE15">
        <f>IF(COUNTIFS(T_StockCount[Part Name],$A15,T_StockCount[WeekIndex],56)&gt;0,SUMIFS(T_StockCount[CountedQty],T_StockCount[Part Name],$A15,T_StockCount[WeekIndex],56),IF((('T_SelfStock'!BE19&lt;&gt;""))*(('T_TTAFStock'!BE19&lt;&gt;""))&gt;0,'T_SelfStock'!BE19+'T_TTAFStock'!BE19,BD15+'Grid_Incoming'!BE15-'Grid_Requirement'!BE15))</f>
        <v/>
      </c>
      <c r="BF15">
        <f>IF(COUNTIFS(T_StockCount[Part Name],$A15,T_StockCount[WeekIndex],57)&gt;0,SUMIFS(T_StockCount[CountedQty],T_StockCount[Part Name],$A15,T_StockCount[WeekIndex],57),IF((('T_SelfStock'!BF19&lt;&gt;""))*(('T_TTAFStock'!BF19&lt;&gt;""))&gt;0,'T_SelfStock'!BF19+'T_TTAFStock'!BF19,BE15+'Grid_Incoming'!BF15-'Grid_Requirement'!BF15))</f>
        <v/>
      </c>
      <c r="BG15">
        <f>IF(COUNTIFS(T_StockCount[Part Name],$A15,T_StockCount[WeekIndex],58)&gt;0,SUMIFS(T_StockCount[CountedQty],T_StockCount[Part Name],$A15,T_StockCount[WeekIndex],58),IF((('T_SelfStock'!BG19&lt;&gt;""))*(('T_TTAFStock'!BG19&lt;&gt;""))&gt;0,'T_SelfStock'!BG19+'T_TTAFStock'!BG19,BF15+'Grid_Incoming'!BG15-'Grid_Requirement'!BG15))</f>
        <v/>
      </c>
      <c r="BH15">
        <f>IF(COUNTIFS(T_StockCount[Part Name],$A15,T_StockCount[WeekIndex],59)&gt;0,SUMIFS(T_StockCount[CountedQty],T_StockCount[Part Name],$A15,T_StockCount[WeekIndex],59),IF((('T_SelfStock'!BH19&lt;&gt;""))*(('T_TTAFStock'!BH19&lt;&gt;""))&gt;0,'T_SelfStock'!BH19+'T_TTAFStock'!BH19,BG15+'Grid_Incoming'!BH15-'Grid_Requirement'!BH15))</f>
        <v/>
      </c>
      <c r="BI15">
        <f>IF(COUNTIFS(T_StockCount[Part Name],$A15,T_StockCount[WeekIndex],60)&gt;0,SUMIFS(T_StockCount[CountedQty],T_StockCount[Part Name],$A15,T_StockCount[WeekIndex],60),IF((('T_SelfStock'!BI19&lt;&gt;""))*(('T_TTAFStock'!BI19&lt;&gt;""))&gt;0,'T_SelfStock'!BI19+'T_TTAFStock'!BI19,BH15+'Grid_Incoming'!BI15-'Grid_Requirement'!BI15))</f>
        <v/>
      </c>
      <c r="BJ15">
        <f>IF(COUNTIFS(T_StockCount[Part Name],$A15,T_StockCount[WeekIndex],61)&gt;0,SUMIFS(T_StockCount[CountedQty],T_StockCount[Part Name],$A15,T_StockCount[WeekIndex],61),IF((('T_SelfStock'!BJ19&lt;&gt;""))*(('T_TTAFStock'!BJ19&lt;&gt;""))&gt;0,'T_SelfStock'!BJ19+'T_TTAFStock'!BJ19,BI15+'Grid_Incoming'!BJ15-'Grid_Requirement'!BJ15))</f>
        <v/>
      </c>
      <c r="BK15">
        <f>IF(COUNTIFS(T_StockCount[Part Name],$A15,T_StockCount[WeekIndex],62)&gt;0,SUMIFS(T_StockCount[CountedQty],T_StockCount[Part Name],$A15,T_StockCount[WeekIndex],62),IF((('T_SelfStock'!BK19&lt;&gt;""))*(('T_TTAFStock'!BK19&lt;&gt;""))&gt;0,'T_SelfStock'!BK19+'T_TTAFStock'!BK19,BJ15+'Grid_Incoming'!BK15-'Grid_Requirement'!BK15))</f>
        <v/>
      </c>
      <c r="BL15">
        <f>IF(COUNTIFS(T_StockCount[Part Name],$A15,T_StockCount[WeekIndex],63)&gt;0,SUMIFS(T_StockCount[CountedQty],T_StockCount[Part Name],$A15,T_StockCount[WeekIndex],63),IF((('T_SelfStock'!BL19&lt;&gt;""))*(('T_TTAFStock'!BL19&lt;&gt;""))&gt;0,'T_SelfStock'!BL19+'T_TTAFStock'!BL19,BK15+'Grid_Incoming'!BL15-'Grid_Requirement'!BL15))</f>
        <v/>
      </c>
      <c r="BM15">
        <f>IF(COUNTIFS(T_StockCount[Part Name],$A15,T_StockCount[WeekIndex],64)&gt;0,SUMIFS(T_StockCount[CountedQty],T_StockCount[Part Name],$A15,T_StockCount[WeekIndex],64),IF((('T_SelfStock'!BM19&lt;&gt;""))*(('T_TTAFStock'!BM19&lt;&gt;""))&gt;0,'T_SelfStock'!BM19+'T_TTAFStock'!BM19,BL15+'Grid_Incoming'!BM15-'Grid_Requirement'!BM15))</f>
        <v/>
      </c>
      <c r="BN15">
        <f>IF(COUNTIFS(T_StockCount[Part Name],$A15,T_StockCount[WeekIndex],65)&gt;0,SUMIFS(T_StockCount[CountedQty],T_StockCount[Part Name],$A15,T_StockCount[WeekIndex],65),IF((('T_SelfStock'!BN19&lt;&gt;""))*(('T_TTAFStock'!BN19&lt;&gt;""))&gt;0,'T_SelfStock'!BN19+'T_TTAFStock'!BN19,BM15+'Grid_Incoming'!BN15-'Grid_Requirement'!BN15))</f>
        <v/>
      </c>
      <c r="BO15">
        <f>IF(COUNTIFS(T_StockCount[Part Name],$A15,T_StockCount[WeekIndex],66)&gt;0,SUMIFS(T_StockCount[CountedQty],T_StockCount[Part Name],$A15,T_StockCount[WeekIndex],66),IF((('T_SelfStock'!BO19&lt;&gt;""))*(('T_TTAFStock'!BO19&lt;&gt;""))&gt;0,'T_SelfStock'!BO19+'T_TTAFStock'!BO19,BN15+'Grid_Incoming'!BO15-'Grid_Requirement'!BO15))</f>
        <v/>
      </c>
      <c r="BP15">
        <f>IF(COUNTIFS(T_StockCount[Part Name],$A15,T_StockCount[WeekIndex],67)&gt;0,SUMIFS(T_StockCount[CountedQty],T_StockCount[Part Name],$A15,T_StockCount[WeekIndex],67),IF((('T_SelfStock'!BP19&lt;&gt;""))*(('T_TTAFStock'!BP19&lt;&gt;""))&gt;0,'T_SelfStock'!BP19+'T_TTAFStock'!BP19,BO15+'Grid_Incoming'!BP15-'Grid_Requirement'!BP15))</f>
        <v/>
      </c>
      <c r="BQ15">
        <f>IF(COUNTIFS(T_StockCount[Part Name],$A15,T_StockCount[WeekIndex],68)&gt;0,SUMIFS(T_StockCount[CountedQty],T_StockCount[Part Name],$A15,T_StockCount[WeekIndex],68),IF((('T_SelfStock'!BQ19&lt;&gt;""))*(('T_TTAFStock'!BQ19&lt;&gt;""))&gt;0,'T_SelfStock'!BQ19+'T_TTAFStock'!BQ19,BP15+'Grid_Incoming'!BQ15-'Grid_Requirement'!BQ15))</f>
        <v/>
      </c>
      <c r="BR15">
        <f>IF(COUNTIFS(T_StockCount[Part Name],$A15,T_StockCount[WeekIndex],69)&gt;0,SUMIFS(T_StockCount[CountedQty],T_StockCount[Part Name],$A15,T_StockCount[WeekIndex],69),IF((('T_SelfStock'!BR19&lt;&gt;""))*(('T_TTAFStock'!BR19&lt;&gt;""))&gt;0,'T_SelfStock'!BR19+'T_TTAFStock'!BR19,BQ15+'Grid_Incoming'!BR15-'Grid_Requirement'!BR15))</f>
        <v/>
      </c>
      <c r="BS15">
        <f>IF(COUNTIFS(T_StockCount[Part Name],$A15,T_StockCount[WeekIndex],70)&gt;0,SUMIFS(T_StockCount[CountedQty],T_StockCount[Part Name],$A15,T_StockCount[WeekIndex],70),IF((('T_SelfStock'!BS19&lt;&gt;""))*(('T_TTAFStock'!BS19&lt;&gt;""))&gt;0,'T_SelfStock'!BS19+'T_TTAFStock'!BS19,BR15+'Grid_Incoming'!BS15-'Grid_Requirement'!BS15))</f>
        <v/>
      </c>
      <c r="BT15">
        <f>IF(COUNTIFS(T_StockCount[Part Name],$A15,T_StockCount[WeekIndex],71)&gt;0,SUMIFS(T_StockCount[CountedQty],T_StockCount[Part Name],$A15,T_StockCount[WeekIndex],71),IF((('T_SelfStock'!BT19&lt;&gt;""))*(('T_TTAFStock'!BT19&lt;&gt;""))&gt;0,'T_SelfStock'!BT19+'T_TTAFStock'!BT19,BS15+'Grid_Incoming'!BT15-'Grid_Requirement'!BT15))</f>
        <v/>
      </c>
      <c r="BU15">
        <f>IF(COUNTIFS(T_StockCount[Part Name],$A15,T_StockCount[WeekIndex],72)&gt;0,SUMIFS(T_StockCount[CountedQty],T_StockCount[Part Name],$A15,T_StockCount[WeekIndex],72),IF((('T_SelfStock'!BU19&lt;&gt;""))*(('T_TTAFStock'!BU19&lt;&gt;""))&gt;0,'T_SelfStock'!BU19+'T_TTAFStock'!BU19,BT15+'Grid_Incoming'!BU15-'Grid_Requirement'!BU15))</f>
        <v/>
      </c>
      <c r="BV15">
        <f>IF(COUNTIFS(T_StockCount[Part Name],$A15,T_StockCount[WeekIndex],73)&gt;0,SUMIFS(T_StockCount[CountedQty],T_StockCount[Part Name],$A15,T_StockCount[WeekIndex],73),IF((('T_SelfStock'!BV19&lt;&gt;""))*(('T_TTAFStock'!BV19&lt;&gt;""))&gt;0,'T_SelfStock'!BV19+'T_TTAFStock'!BV19,BU15+'Grid_Incoming'!BV15-'Grid_Requirement'!BV15))</f>
        <v/>
      </c>
      <c r="BW15">
        <f>IF(COUNTIFS(T_StockCount[Part Name],$A15,T_StockCount[WeekIndex],74)&gt;0,SUMIFS(T_StockCount[CountedQty],T_StockCount[Part Name],$A15,T_StockCount[WeekIndex],74),IF((('T_SelfStock'!BW19&lt;&gt;""))*(('T_TTAFStock'!BW19&lt;&gt;""))&gt;0,'T_SelfStock'!BW19+'T_TTAFStock'!BW19,BV15+'Grid_Incoming'!BW15-'Grid_Requirement'!BW15))</f>
        <v/>
      </c>
      <c r="BX15">
        <f>IF(COUNTIFS(T_StockCount[Part Name],$A15,T_StockCount[WeekIndex],75)&gt;0,SUMIFS(T_StockCount[CountedQty],T_StockCount[Part Name],$A15,T_StockCount[WeekIndex],75),IF((('T_SelfStock'!BX19&lt;&gt;""))*(('T_TTAFStock'!BX19&lt;&gt;""))&gt;0,'T_SelfStock'!BX19+'T_TTAFStock'!BX19,BW15+'Grid_Incoming'!BX15-'Grid_Requirement'!BX15))</f>
        <v/>
      </c>
      <c r="BY15">
        <f>IF(COUNTIFS(T_StockCount[Part Name],$A15,T_StockCount[WeekIndex],76)&gt;0,SUMIFS(T_StockCount[CountedQty],T_StockCount[Part Name],$A15,T_StockCount[WeekIndex],76),IF((('T_SelfStock'!BY19&lt;&gt;""))*(('T_TTAFStock'!BY19&lt;&gt;""))&gt;0,'T_SelfStock'!BY19+'T_TTAFStock'!BY19,BX15+'Grid_Incoming'!BY15-'Grid_Requirement'!BY15))</f>
        <v/>
      </c>
      <c r="BZ15">
        <f>IF(COUNTIFS(T_StockCount[Part Name],$A15,T_StockCount[WeekIndex],77)&gt;0,SUMIFS(T_StockCount[CountedQty],T_StockCount[Part Name],$A15,T_StockCount[WeekIndex],77),IF((('T_SelfStock'!BZ19&lt;&gt;""))*(('T_TTAFStock'!BZ19&lt;&gt;""))&gt;0,'T_SelfStock'!BZ19+'T_TTAFStock'!BZ19,BY15+'Grid_Incoming'!BZ15-'Grid_Requirement'!BZ15))</f>
        <v/>
      </c>
      <c r="CA15">
        <f>IF(COUNTIFS(T_StockCount[Part Name],$A15,T_StockCount[WeekIndex],78)&gt;0,SUMIFS(T_StockCount[CountedQty],T_StockCount[Part Name],$A15,T_StockCount[WeekIndex],78),IF((('T_SelfStock'!CA19&lt;&gt;""))*(('T_TTAFStock'!CA19&lt;&gt;""))&gt;0,'T_SelfStock'!CA19+'T_TTAFStock'!CA19,BZ15+'Grid_Incoming'!CA15-'Grid_Requirement'!CA15))</f>
        <v/>
      </c>
      <c r="CB15">
        <f>IF(COUNTIFS(T_StockCount[Part Name],$A15,T_StockCount[WeekIndex],79)&gt;0,SUMIFS(T_StockCount[CountedQty],T_StockCount[Part Name],$A15,T_StockCount[WeekIndex],79),IF((('T_SelfStock'!CB19&lt;&gt;""))*(('T_TTAFStock'!CB19&lt;&gt;""))&gt;0,'T_SelfStock'!CB19+'T_TTAFStock'!CB19,CA15+'Grid_Incoming'!CB15-'Grid_Requirement'!CB15))</f>
        <v/>
      </c>
      <c r="CC15">
        <f>IF(COUNTIFS(T_StockCount[Part Name],$A15,T_StockCount[WeekIndex],80)&gt;0,SUMIFS(T_StockCount[CountedQty],T_StockCount[Part Name],$A15,T_StockCount[WeekIndex],80),IF((('T_SelfStock'!CC19&lt;&gt;""))*(('T_TTAFStock'!CC19&lt;&gt;""))&gt;0,'T_SelfStock'!CC19+'T_TTAFStock'!CC19,CB15+'Grid_Incoming'!CC15-'Grid_Requirement'!CC15))</f>
        <v/>
      </c>
      <c r="CD15">
        <f>IF(COUNTIFS(T_StockCount[Part Name],$A15,T_StockCount[WeekIndex],81)&gt;0,SUMIFS(T_StockCount[CountedQty],T_StockCount[Part Name],$A15,T_StockCount[WeekIndex],81),IF((('T_SelfStock'!CD19&lt;&gt;""))*(('T_TTAFStock'!CD19&lt;&gt;""))&gt;0,'T_SelfStock'!CD19+'T_TTAFStock'!CD19,CC15+'Grid_Incoming'!CD15-'Grid_Requirement'!CD15))</f>
        <v/>
      </c>
      <c r="CE15">
        <f>IF(COUNTIFS(T_StockCount[Part Name],$A15,T_StockCount[WeekIndex],82)&gt;0,SUMIFS(T_StockCount[CountedQty],T_StockCount[Part Name],$A15,T_StockCount[WeekIndex],82),IF((('T_SelfStock'!CE19&lt;&gt;""))*(('T_TTAFStock'!CE19&lt;&gt;""))&gt;0,'T_SelfStock'!CE19+'T_TTAFStock'!CE19,CD15+'Grid_Incoming'!CE15-'Grid_Requirement'!CE15))</f>
        <v/>
      </c>
      <c r="CF15">
        <f>IF(COUNTIFS(T_StockCount[Part Name],$A15,T_StockCount[WeekIndex],83)&gt;0,SUMIFS(T_StockCount[CountedQty],T_StockCount[Part Name],$A15,T_StockCount[WeekIndex],83),IF((('T_SelfStock'!CF19&lt;&gt;""))*(('T_TTAFStock'!CF19&lt;&gt;""))&gt;0,'T_SelfStock'!CF19+'T_TTAFStock'!CF19,CE15+'Grid_Incoming'!CF15-'Grid_Requirement'!CF15))</f>
        <v/>
      </c>
      <c r="CG15">
        <f>IF(COUNTIFS(T_StockCount[Part Name],$A15,T_StockCount[WeekIndex],84)&gt;0,SUMIFS(T_StockCount[CountedQty],T_StockCount[Part Name],$A15,T_StockCount[WeekIndex],84),IF((('T_SelfStock'!CG19&lt;&gt;""))*(('T_TTAFStock'!CG19&lt;&gt;""))&gt;0,'T_SelfStock'!CG19+'T_TTAFStock'!CG19,CF15+'Grid_Incoming'!CG15-'Grid_Requirement'!CG15))</f>
        <v/>
      </c>
      <c r="CH15">
        <f>IF(COUNTIFS(T_StockCount[Part Name],$A15,T_StockCount[WeekIndex],85)&gt;0,SUMIFS(T_StockCount[CountedQty],T_StockCount[Part Name],$A15,T_StockCount[WeekIndex],85),IF((('T_SelfStock'!CH19&lt;&gt;""))*(('T_TTAFStock'!CH19&lt;&gt;""))&gt;0,'T_SelfStock'!CH19+'T_TTAFStock'!CH19,CG15+'Grid_Incoming'!CH15-'Grid_Requirement'!CH15))</f>
        <v/>
      </c>
      <c r="CI15">
        <f>IF(COUNTIFS(T_StockCount[Part Name],$A15,T_StockCount[WeekIndex],86)&gt;0,SUMIFS(T_StockCount[CountedQty],T_StockCount[Part Name],$A15,T_StockCount[WeekIndex],86),IF((('T_SelfStock'!CI19&lt;&gt;""))*(('T_TTAFStock'!CI19&lt;&gt;""))&gt;0,'T_SelfStock'!CI19+'T_TTAFStock'!CI19,CH15+'Grid_Incoming'!CI15-'Grid_Requirement'!CI15))</f>
        <v/>
      </c>
      <c r="CJ15">
        <f>IF(COUNTIFS(T_StockCount[Part Name],$A15,T_StockCount[WeekIndex],87)&gt;0,SUMIFS(T_StockCount[CountedQty],T_StockCount[Part Name],$A15,T_StockCount[WeekIndex],87),IF((('T_SelfStock'!CJ19&lt;&gt;""))*(('T_TTAFStock'!CJ19&lt;&gt;""))&gt;0,'T_SelfStock'!CJ19+'T_TTAFStock'!CJ19,CI15+'Grid_Incoming'!CJ15-'Grid_Requirement'!CJ15))</f>
        <v/>
      </c>
      <c r="CK15">
        <f>IF(COUNTIFS(T_StockCount[Part Name],$A15,T_StockCount[WeekIndex],88)&gt;0,SUMIFS(T_StockCount[CountedQty],T_StockCount[Part Name],$A15,T_StockCount[WeekIndex],88),IF((('T_SelfStock'!CK19&lt;&gt;""))*(('T_TTAFStock'!CK19&lt;&gt;""))&gt;0,'T_SelfStock'!CK19+'T_TTAFStock'!CK19,CJ15+'Grid_Incoming'!CK15-'Grid_Requirement'!CK15))</f>
        <v/>
      </c>
      <c r="CL15">
        <f>IF(COUNTIFS(T_StockCount[Part Name],$A15,T_StockCount[WeekIndex],89)&gt;0,SUMIFS(T_StockCount[CountedQty],T_StockCount[Part Name],$A15,T_StockCount[WeekIndex],89),IF((('T_SelfStock'!CL19&lt;&gt;""))*(('T_TTAFStock'!CL19&lt;&gt;""))&gt;0,'T_SelfStock'!CL19+'T_TTAFStock'!CL19,CK15+'Grid_Incoming'!CL15-'Grid_Requirement'!CL15))</f>
        <v/>
      </c>
      <c r="CM15">
        <f>IF(COUNTIFS(T_StockCount[Part Name],$A15,T_StockCount[WeekIndex],90)&gt;0,SUMIFS(T_StockCount[CountedQty],T_StockCount[Part Name],$A15,T_StockCount[WeekIndex],90),IF((('T_SelfStock'!CM19&lt;&gt;""))*(('T_TTAFStock'!CM19&lt;&gt;""))&gt;0,'T_SelfStock'!CM19+'T_TTAFStock'!CM19,CL15+'Grid_Incoming'!CM15-'Grid_Requirement'!CM15))</f>
        <v/>
      </c>
      <c r="CN15">
        <f>IF(COUNTIFS(T_StockCount[Part Name],$A15,T_StockCount[WeekIndex],91)&gt;0,SUMIFS(T_StockCount[CountedQty],T_StockCount[Part Name],$A15,T_StockCount[WeekIndex],91),IF((('T_SelfStock'!CN19&lt;&gt;""))*(('T_TTAFStock'!CN19&lt;&gt;""))&gt;0,'T_SelfStock'!CN19+'T_TTAFStock'!CN19,CM15+'Grid_Incoming'!CN15-'Grid_Requirement'!CN15))</f>
        <v/>
      </c>
      <c r="CO15">
        <f>IF(COUNTIFS(T_StockCount[Part Name],$A15,T_StockCount[WeekIndex],92)&gt;0,SUMIFS(T_StockCount[CountedQty],T_StockCount[Part Name],$A15,T_StockCount[WeekIndex],92),IF((('T_SelfStock'!CO19&lt;&gt;""))*(('T_TTAFStock'!CO19&lt;&gt;""))&gt;0,'T_SelfStock'!CO19+'T_TTAFStock'!CO19,CN15+'Grid_Incoming'!CO15-'Grid_Requirement'!CO15))</f>
        <v/>
      </c>
      <c r="CP15">
        <f>IF(COUNTIFS(T_StockCount[Part Name],$A15,T_StockCount[WeekIndex],93)&gt;0,SUMIFS(T_StockCount[CountedQty],T_StockCount[Part Name],$A15,T_StockCount[WeekIndex],93),IF((('T_SelfStock'!CP19&lt;&gt;""))*(('T_TTAFStock'!CP19&lt;&gt;""))&gt;0,'T_SelfStock'!CP19+'T_TTAFStock'!CP19,CO15+'Grid_Incoming'!CP15-'Grid_Requirement'!CP15))</f>
        <v/>
      </c>
      <c r="CQ15">
        <f>IF(COUNTIFS(T_StockCount[Part Name],$A15,T_StockCount[WeekIndex],94)&gt;0,SUMIFS(T_StockCount[CountedQty],T_StockCount[Part Name],$A15,T_StockCount[WeekIndex],94),IF((('T_SelfStock'!CQ19&lt;&gt;""))*(('T_TTAFStock'!CQ19&lt;&gt;""))&gt;0,'T_SelfStock'!CQ19+'T_TTAFStock'!CQ19,CP15+'Grid_Incoming'!CQ15-'Grid_Requirement'!CQ15))</f>
        <v/>
      </c>
      <c r="CR15">
        <f>IF(COUNTIFS(T_StockCount[Part Name],$A15,T_StockCount[WeekIndex],95)&gt;0,SUMIFS(T_StockCount[CountedQty],T_StockCount[Part Name],$A15,T_StockCount[WeekIndex],95),IF((('T_SelfStock'!CR19&lt;&gt;""))*(('T_TTAFStock'!CR19&lt;&gt;""))&gt;0,'T_SelfStock'!CR19+'T_TTAFStock'!CR19,CQ15+'Grid_Incoming'!CR15-'Grid_Requirement'!CR15))</f>
        <v/>
      </c>
      <c r="CS15">
        <f>IF(COUNTIFS(T_StockCount[Part Name],$A15,T_StockCount[WeekIndex],96)&gt;0,SUMIFS(T_StockCount[CountedQty],T_StockCount[Part Name],$A15,T_StockCount[WeekIndex],96),IF((('T_SelfStock'!CS19&lt;&gt;""))*(('T_TTAFStock'!CS19&lt;&gt;""))&gt;0,'T_SelfStock'!CS19+'T_TTAFStock'!CS19,CR15+'Grid_Incoming'!CS15-'Grid_Requirement'!CS15))</f>
        <v/>
      </c>
      <c r="CT15">
        <f>IF(COUNTIFS(T_StockCount[Part Name],$A15,T_StockCount[WeekIndex],97)&gt;0,SUMIFS(T_StockCount[CountedQty],T_StockCount[Part Name],$A15,T_StockCount[WeekIndex],97),IF((('T_SelfStock'!CT19&lt;&gt;""))*(('T_TTAFStock'!CT19&lt;&gt;""))&gt;0,'T_SelfStock'!CT19+'T_TTAFStock'!CT19,CS15+'Grid_Incoming'!CT15-'Grid_Requirement'!CT15))</f>
        <v/>
      </c>
      <c r="CU15">
        <f>IF(COUNTIFS(T_StockCount[Part Name],$A15,T_StockCount[WeekIndex],98)&gt;0,SUMIFS(T_StockCount[CountedQty],T_StockCount[Part Name],$A15,T_StockCount[WeekIndex],98),IF((('T_SelfStock'!CU19&lt;&gt;""))*(('T_TTAFStock'!CU19&lt;&gt;""))&gt;0,'T_SelfStock'!CU19+'T_TTAFStock'!CU19,CT15+'Grid_Incoming'!CU15-'Grid_Requirement'!CU15))</f>
        <v/>
      </c>
      <c r="CV15">
        <f>IF(COUNTIFS(T_StockCount[Part Name],$A15,T_StockCount[WeekIndex],99)&gt;0,SUMIFS(T_StockCount[CountedQty],T_StockCount[Part Name],$A15,T_StockCount[WeekIndex],99),IF((('T_SelfStock'!CV19&lt;&gt;""))*(('T_TTAFStock'!CV19&lt;&gt;""))&gt;0,'T_SelfStock'!CV19+'T_TTAFStock'!CV19,CU15+'Grid_Incoming'!CV15-'Grid_Requirement'!CV15))</f>
        <v/>
      </c>
      <c r="CW15">
        <f>IF(COUNTIFS(T_StockCount[Part Name],$A15,T_StockCount[WeekIndex],100)&gt;0,SUMIFS(T_StockCount[CountedQty],T_StockCount[Part Name],$A15,T_StockCount[WeekIndex],100),IF((('T_SelfStock'!CW19&lt;&gt;""))*(('T_TTAFStock'!CW19&lt;&gt;""))&gt;0,'T_SelfStock'!CW19+'T_TTAFStock'!CW19,CV15+'Grid_Incoming'!CW15-'Grid_Requirement'!CW15))</f>
        <v/>
      </c>
      <c r="CX15">
        <f>IF(COUNTIFS(T_StockCount[Part Name],$A15,T_StockCount[WeekIndex],101)&gt;0,SUMIFS(T_StockCount[CountedQty],T_StockCount[Part Name],$A15,T_StockCount[WeekIndex],101),IF((('T_SelfStock'!CX19&lt;&gt;""))*(('T_TTAFStock'!CX19&lt;&gt;""))&gt;0,'T_SelfStock'!CX19+'T_TTAFStock'!CX19,CW15+'Grid_Incoming'!CX15-'Grid_Requirement'!CX15))</f>
        <v/>
      </c>
      <c r="CY15">
        <f>IF(COUNTIFS(T_StockCount[Part Name],$A15,T_StockCount[WeekIndex],102)&gt;0,SUMIFS(T_StockCount[CountedQty],T_StockCount[Part Name],$A15,T_StockCount[WeekIndex],102),IF((('T_SelfStock'!CY19&lt;&gt;""))*(('T_TTAFStock'!CY19&lt;&gt;""))&gt;0,'T_SelfStock'!CY19+'T_TTAFStock'!CY19,CX15+'Grid_Incoming'!CY15-'Grid_Requirement'!CY15))</f>
        <v/>
      </c>
      <c r="CZ15">
        <f>IF(COUNTIFS(T_StockCount[Part Name],$A15,T_StockCount[WeekIndex],103)&gt;0,SUMIFS(T_StockCount[CountedQty],T_StockCount[Part Name],$A15,T_StockCount[WeekIndex],103),IF((('T_SelfStock'!CZ19&lt;&gt;""))*(('T_TTAFStock'!CZ19&lt;&gt;""))&gt;0,'T_SelfStock'!CZ19+'T_TTAFStock'!CZ19,CY15+'Grid_Incoming'!CZ15-'Grid_Requirement'!CZ15))</f>
        <v/>
      </c>
      <c r="DA15">
        <f>IF(COUNTIFS(T_StockCount[Part Name],$A15,T_StockCount[WeekIndex],104)&gt;0,SUMIFS(T_StockCount[CountedQty],T_StockCount[Part Name],$A15,T_StockCount[WeekIndex],104),IF((('T_SelfStock'!DA19&lt;&gt;""))*(('T_TTAFStock'!DA19&lt;&gt;""))&gt;0,'T_SelfStock'!DA19+'T_TTAFStock'!DA19,CZ15+'Grid_Incoming'!DA15-'Grid_Requirement'!DA15))</f>
        <v/>
      </c>
    </row>
    <row r="16">
      <c r="A16" t="inlineStr">
        <is>
          <t>CHEM-1570</t>
        </is>
      </c>
      <c r="B16">
        <f>IF(COUNTIFS(T_StockCount[Part Name],$A16,T_StockCount[WeekIndex],1)&gt;0,SUMIFS(T_StockCount[CountedQty],T_StockCount[Part Name],$A16,T_StockCount[WeekIndex],1),IF((('T_SelfStock'!B20&lt;&gt;""))*(('T_TTAFStock'!B20&lt;&gt;""))&gt;0,'T_SelfStock'!B20+'T_TTAFStock'!B20,IFERROR(INDEX(T_OpeningStock[Opening_Qty],MATCH($A16,T_OpeningStock[Part Name],0)),0)+'Grid_Incoming'!B16-'Grid_Requirement'!B16))</f>
        <v/>
      </c>
      <c r="C16">
        <f>IF(COUNTIFS(T_StockCount[Part Name],$A16,T_StockCount[WeekIndex],2)&gt;0,SUMIFS(T_StockCount[CountedQty],T_StockCount[Part Name],$A16,T_StockCount[WeekIndex],2),IF((('T_SelfStock'!C20&lt;&gt;""))*(('T_TTAFStock'!C20&lt;&gt;""))&gt;0,'T_SelfStock'!C20+'T_TTAFStock'!C20,B16+'Grid_Incoming'!C16-'Grid_Requirement'!C16))</f>
        <v/>
      </c>
      <c r="D16">
        <f>IF(COUNTIFS(T_StockCount[Part Name],$A16,T_StockCount[WeekIndex],3)&gt;0,SUMIFS(T_StockCount[CountedQty],T_StockCount[Part Name],$A16,T_StockCount[WeekIndex],3),IF((('T_SelfStock'!D20&lt;&gt;""))*(('T_TTAFStock'!D20&lt;&gt;""))&gt;0,'T_SelfStock'!D20+'T_TTAFStock'!D20,C16+'Grid_Incoming'!D16-'Grid_Requirement'!D16))</f>
        <v/>
      </c>
      <c r="E16">
        <f>IF(COUNTIFS(T_StockCount[Part Name],$A16,T_StockCount[WeekIndex],4)&gt;0,SUMIFS(T_StockCount[CountedQty],T_StockCount[Part Name],$A16,T_StockCount[WeekIndex],4),IF((('T_SelfStock'!E20&lt;&gt;""))*(('T_TTAFStock'!E20&lt;&gt;""))&gt;0,'T_SelfStock'!E20+'T_TTAFStock'!E20,D16+'Grid_Incoming'!E16-'Grid_Requirement'!E16))</f>
        <v/>
      </c>
      <c r="F16">
        <f>IF(COUNTIFS(T_StockCount[Part Name],$A16,T_StockCount[WeekIndex],5)&gt;0,SUMIFS(T_StockCount[CountedQty],T_StockCount[Part Name],$A16,T_StockCount[WeekIndex],5),IF((('T_SelfStock'!F20&lt;&gt;""))*(('T_TTAFStock'!F20&lt;&gt;""))&gt;0,'T_SelfStock'!F20+'T_TTAFStock'!F20,E16+'Grid_Incoming'!F16-'Grid_Requirement'!F16))</f>
        <v/>
      </c>
      <c r="G16">
        <f>IF(COUNTIFS(T_StockCount[Part Name],$A16,T_StockCount[WeekIndex],6)&gt;0,SUMIFS(T_StockCount[CountedQty],T_StockCount[Part Name],$A16,T_StockCount[WeekIndex],6),IF((('T_SelfStock'!G20&lt;&gt;""))*(('T_TTAFStock'!G20&lt;&gt;""))&gt;0,'T_SelfStock'!G20+'T_TTAFStock'!G20,F16+'Grid_Incoming'!G16-'Grid_Requirement'!G16))</f>
        <v/>
      </c>
      <c r="H16">
        <f>IF(COUNTIFS(T_StockCount[Part Name],$A16,T_StockCount[WeekIndex],7)&gt;0,SUMIFS(T_StockCount[CountedQty],T_StockCount[Part Name],$A16,T_StockCount[WeekIndex],7),IF((('T_SelfStock'!H20&lt;&gt;""))*(('T_TTAFStock'!H20&lt;&gt;""))&gt;0,'T_SelfStock'!H20+'T_TTAFStock'!H20,G16+'Grid_Incoming'!H16-'Grid_Requirement'!H16))</f>
        <v/>
      </c>
      <c r="I16">
        <f>IF(COUNTIFS(T_StockCount[Part Name],$A16,T_StockCount[WeekIndex],8)&gt;0,SUMIFS(T_StockCount[CountedQty],T_StockCount[Part Name],$A16,T_StockCount[WeekIndex],8),IF((('T_SelfStock'!I20&lt;&gt;""))*(('T_TTAFStock'!I20&lt;&gt;""))&gt;0,'T_SelfStock'!I20+'T_TTAFStock'!I20,H16+'Grid_Incoming'!I16-'Grid_Requirement'!I16))</f>
        <v/>
      </c>
      <c r="J16">
        <f>IF(COUNTIFS(T_StockCount[Part Name],$A16,T_StockCount[WeekIndex],9)&gt;0,SUMIFS(T_StockCount[CountedQty],T_StockCount[Part Name],$A16,T_StockCount[WeekIndex],9),IF((('T_SelfStock'!J20&lt;&gt;""))*(('T_TTAFStock'!J20&lt;&gt;""))&gt;0,'T_SelfStock'!J20+'T_TTAFStock'!J20,I16+'Grid_Incoming'!J16-'Grid_Requirement'!J16))</f>
        <v/>
      </c>
      <c r="K16">
        <f>IF(COUNTIFS(T_StockCount[Part Name],$A16,T_StockCount[WeekIndex],10)&gt;0,SUMIFS(T_StockCount[CountedQty],T_StockCount[Part Name],$A16,T_StockCount[WeekIndex],10),IF((('T_SelfStock'!K20&lt;&gt;""))*(('T_TTAFStock'!K20&lt;&gt;""))&gt;0,'T_SelfStock'!K20+'T_TTAFStock'!K20,J16+'Grid_Incoming'!K16-'Grid_Requirement'!K16))</f>
        <v/>
      </c>
      <c r="L16">
        <f>IF(COUNTIFS(T_StockCount[Part Name],$A16,T_StockCount[WeekIndex],11)&gt;0,SUMIFS(T_StockCount[CountedQty],T_StockCount[Part Name],$A16,T_StockCount[WeekIndex],11),IF((('T_SelfStock'!L20&lt;&gt;""))*(('T_TTAFStock'!L20&lt;&gt;""))&gt;0,'T_SelfStock'!L20+'T_TTAFStock'!L20,K16+'Grid_Incoming'!L16-'Grid_Requirement'!L16))</f>
        <v/>
      </c>
      <c r="M16">
        <f>IF(COUNTIFS(T_StockCount[Part Name],$A16,T_StockCount[WeekIndex],12)&gt;0,SUMIFS(T_StockCount[CountedQty],T_StockCount[Part Name],$A16,T_StockCount[WeekIndex],12),IF((('T_SelfStock'!M20&lt;&gt;""))*(('T_TTAFStock'!M20&lt;&gt;""))&gt;0,'T_SelfStock'!M20+'T_TTAFStock'!M20,L16+'Grid_Incoming'!M16-'Grid_Requirement'!M16))</f>
        <v/>
      </c>
      <c r="N16">
        <f>IF(COUNTIFS(T_StockCount[Part Name],$A16,T_StockCount[WeekIndex],13)&gt;0,SUMIFS(T_StockCount[CountedQty],T_StockCount[Part Name],$A16,T_StockCount[WeekIndex],13),IF((('T_SelfStock'!N20&lt;&gt;""))*(('T_TTAFStock'!N20&lt;&gt;""))&gt;0,'T_SelfStock'!N20+'T_TTAFStock'!N20,M16+'Grid_Incoming'!N16-'Grid_Requirement'!N16))</f>
        <v/>
      </c>
      <c r="O16">
        <f>IF(COUNTIFS(T_StockCount[Part Name],$A16,T_StockCount[WeekIndex],14)&gt;0,SUMIFS(T_StockCount[CountedQty],T_StockCount[Part Name],$A16,T_StockCount[WeekIndex],14),IF((('T_SelfStock'!O20&lt;&gt;""))*(('T_TTAFStock'!O20&lt;&gt;""))&gt;0,'T_SelfStock'!O20+'T_TTAFStock'!O20,N16+'Grid_Incoming'!O16-'Grid_Requirement'!O16))</f>
        <v/>
      </c>
      <c r="P16">
        <f>IF(COUNTIFS(T_StockCount[Part Name],$A16,T_StockCount[WeekIndex],15)&gt;0,SUMIFS(T_StockCount[CountedQty],T_StockCount[Part Name],$A16,T_StockCount[WeekIndex],15),IF((('T_SelfStock'!P20&lt;&gt;""))*(('T_TTAFStock'!P20&lt;&gt;""))&gt;0,'T_SelfStock'!P20+'T_TTAFStock'!P20,O16+'Grid_Incoming'!P16-'Grid_Requirement'!P16))</f>
        <v/>
      </c>
      <c r="Q16">
        <f>IF(COUNTIFS(T_StockCount[Part Name],$A16,T_StockCount[WeekIndex],16)&gt;0,SUMIFS(T_StockCount[CountedQty],T_StockCount[Part Name],$A16,T_StockCount[WeekIndex],16),IF((('T_SelfStock'!Q20&lt;&gt;""))*(('T_TTAFStock'!Q20&lt;&gt;""))&gt;0,'T_SelfStock'!Q20+'T_TTAFStock'!Q20,P16+'Grid_Incoming'!Q16-'Grid_Requirement'!Q16))</f>
        <v/>
      </c>
      <c r="R16">
        <f>IF(COUNTIFS(T_StockCount[Part Name],$A16,T_StockCount[WeekIndex],17)&gt;0,SUMIFS(T_StockCount[CountedQty],T_StockCount[Part Name],$A16,T_StockCount[WeekIndex],17),IF((('T_SelfStock'!R20&lt;&gt;""))*(('T_TTAFStock'!R20&lt;&gt;""))&gt;0,'T_SelfStock'!R20+'T_TTAFStock'!R20,Q16+'Grid_Incoming'!R16-'Grid_Requirement'!R16))</f>
        <v/>
      </c>
      <c r="S16">
        <f>IF(COUNTIFS(T_StockCount[Part Name],$A16,T_StockCount[WeekIndex],18)&gt;0,SUMIFS(T_StockCount[CountedQty],T_StockCount[Part Name],$A16,T_StockCount[WeekIndex],18),IF((('T_SelfStock'!S20&lt;&gt;""))*(('T_TTAFStock'!S20&lt;&gt;""))&gt;0,'T_SelfStock'!S20+'T_TTAFStock'!S20,R16+'Grid_Incoming'!S16-'Grid_Requirement'!S16))</f>
        <v/>
      </c>
      <c r="T16">
        <f>IF(COUNTIFS(T_StockCount[Part Name],$A16,T_StockCount[WeekIndex],19)&gt;0,SUMIFS(T_StockCount[CountedQty],T_StockCount[Part Name],$A16,T_StockCount[WeekIndex],19),IF((('T_SelfStock'!T20&lt;&gt;""))*(('T_TTAFStock'!T20&lt;&gt;""))&gt;0,'T_SelfStock'!T20+'T_TTAFStock'!T20,S16+'Grid_Incoming'!T16-'Grid_Requirement'!T16))</f>
        <v/>
      </c>
      <c r="U16">
        <f>IF(COUNTIFS(T_StockCount[Part Name],$A16,T_StockCount[WeekIndex],20)&gt;0,SUMIFS(T_StockCount[CountedQty],T_StockCount[Part Name],$A16,T_StockCount[WeekIndex],20),IF((('T_SelfStock'!U20&lt;&gt;""))*(('T_TTAFStock'!U20&lt;&gt;""))&gt;0,'T_SelfStock'!U20+'T_TTAFStock'!U20,T16+'Grid_Incoming'!U16-'Grid_Requirement'!U16))</f>
        <v/>
      </c>
      <c r="V16">
        <f>IF(COUNTIFS(T_StockCount[Part Name],$A16,T_StockCount[WeekIndex],21)&gt;0,SUMIFS(T_StockCount[CountedQty],T_StockCount[Part Name],$A16,T_StockCount[WeekIndex],21),IF((('T_SelfStock'!V20&lt;&gt;""))*(('T_TTAFStock'!V20&lt;&gt;""))&gt;0,'T_SelfStock'!V20+'T_TTAFStock'!V20,U16+'Grid_Incoming'!V16-'Grid_Requirement'!V16))</f>
        <v/>
      </c>
      <c r="W16">
        <f>IF(COUNTIFS(T_StockCount[Part Name],$A16,T_StockCount[WeekIndex],22)&gt;0,SUMIFS(T_StockCount[CountedQty],T_StockCount[Part Name],$A16,T_StockCount[WeekIndex],22),IF((('T_SelfStock'!W20&lt;&gt;""))*(('T_TTAFStock'!W20&lt;&gt;""))&gt;0,'T_SelfStock'!W20+'T_TTAFStock'!W20,V16+'Grid_Incoming'!W16-'Grid_Requirement'!W16))</f>
        <v/>
      </c>
      <c r="X16">
        <f>IF(COUNTIFS(T_StockCount[Part Name],$A16,T_StockCount[WeekIndex],23)&gt;0,SUMIFS(T_StockCount[CountedQty],T_StockCount[Part Name],$A16,T_StockCount[WeekIndex],23),IF((('T_SelfStock'!X20&lt;&gt;""))*(('T_TTAFStock'!X20&lt;&gt;""))&gt;0,'T_SelfStock'!X20+'T_TTAFStock'!X20,W16+'Grid_Incoming'!X16-'Grid_Requirement'!X16))</f>
        <v/>
      </c>
      <c r="Y16">
        <f>IF(COUNTIFS(T_StockCount[Part Name],$A16,T_StockCount[WeekIndex],24)&gt;0,SUMIFS(T_StockCount[CountedQty],T_StockCount[Part Name],$A16,T_StockCount[WeekIndex],24),IF((('T_SelfStock'!Y20&lt;&gt;""))*(('T_TTAFStock'!Y20&lt;&gt;""))&gt;0,'T_SelfStock'!Y20+'T_TTAFStock'!Y20,X16+'Grid_Incoming'!Y16-'Grid_Requirement'!Y16))</f>
        <v/>
      </c>
      <c r="Z16">
        <f>IF(COUNTIFS(T_StockCount[Part Name],$A16,T_StockCount[WeekIndex],25)&gt;0,SUMIFS(T_StockCount[CountedQty],T_StockCount[Part Name],$A16,T_StockCount[WeekIndex],25),IF((('T_SelfStock'!Z20&lt;&gt;""))*(('T_TTAFStock'!Z20&lt;&gt;""))&gt;0,'T_SelfStock'!Z20+'T_TTAFStock'!Z20,Y16+'Grid_Incoming'!Z16-'Grid_Requirement'!Z16))</f>
        <v/>
      </c>
      <c r="AA16">
        <f>IF(COUNTIFS(T_StockCount[Part Name],$A16,T_StockCount[WeekIndex],26)&gt;0,SUMIFS(T_StockCount[CountedQty],T_StockCount[Part Name],$A16,T_StockCount[WeekIndex],26),IF((('T_SelfStock'!AA20&lt;&gt;""))*(('T_TTAFStock'!AA20&lt;&gt;""))&gt;0,'T_SelfStock'!AA20+'T_TTAFStock'!AA20,Z16+'Grid_Incoming'!AA16-'Grid_Requirement'!AA16))</f>
        <v/>
      </c>
      <c r="AB16">
        <f>IF(COUNTIFS(T_StockCount[Part Name],$A16,T_StockCount[WeekIndex],27)&gt;0,SUMIFS(T_StockCount[CountedQty],T_StockCount[Part Name],$A16,T_StockCount[WeekIndex],27),IF((('T_SelfStock'!AB20&lt;&gt;""))*(('T_TTAFStock'!AB20&lt;&gt;""))&gt;0,'T_SelfStock'!AB20+'T_TTAFStock'!AB20,AA16+'Grid_Incoming'!AB16-'Grid_Requirement'!AB16))</f>
        <v/>
      </c>
      <c r="AC16">
        <f>IF(COUNTIFS(T_StockCount[Part Name],$A16,T_StockCount[WeekIndex],28)&gt;0,SUMIFS(T_StockCount[CountedQty],T_StockCount[Part Name],$A16,T_StockCount[WeekIndex],28),IF((('T_SelfStock'!AC20&lt;&gt;""))*(('T_TTAFStock'!AC20&lt;&gt;""))&gt;0,'T_SelfStock'!AC20+'T_TTAFStock'!AC20,AB16+'Grid_Incoming'!AC16-'Grid_Requirement'!AC16))</f>
        <v/>
      </c>
      <c r="AD16">
        <f>IF(COUNTIFS(T_StockCount[Part Name],$A16,T_StockCount[WeekIndex],29)&gt;0,SUMIFS(T_StockCount[CountedQty],T_StockCount[Part Name],$A16,T_StockCount[WeekIndex],29),IF((('T_SelfStock'!AD20&lt;&gt;""))*(('T_TTAFStock'!AD20&lt;&gt;""))&gt;0,'T_SelfStock'!AD20+'T_TTAFStock'!AD20,AC16+'Grid_Incoming'!AD16-'Grid_Requirement'!AD16))</f>
        <v/>
      </c>
      <c r="AE16">
        <f>IF(COUNTIFS(T_StockCount[Part Name],$A16,T_StockCount[WeekIndex],30)&gt;0,SUMIFS(T_StockCount[CountedQty],T_StockCount[Part Name],$A16,T_StockCount[WeekIndex],30),IF((('T_SelfStock'!AE20&lt;&gt;""))*(('T_TTAFStock'!AE20&lt;&gt;""))&gt;0,'T_SelfStock'!AE20+'T_TTAFStock'!AE20,AD16+'Grid_Incoming'!AE16-'Grid_Requirement'!AE16))</f>
        <v/>
      </c>
      <c r="AF16">
        <f>IF(COUNTIFS(T_StockCount[Part Name],$A16,T_StockCount[WeekIndex],31)&gt;0,SUMIFS(T_StockCount[CountedQty],T_StockCount[Part Name],$A16,T_StockCount[WeekIndex],31),IF((('T_SelfStock'!AF20&lt;&gt;""))*(('T_TTAFStock'!AF20&lt;&gt;""))&gt;0,'T_SelfStock'!AF20+'T_TTAFStock'!AF20,AE16+'Grid_Incoming'!AF16-'Grid_Requirement'!AF16))</f>
        <v/>
      </c>
      <c r="AG16">
        <f>IF(COUNTIFS(T_StockCount[Part Name],$A16,T_StockCount[WeekIndex],32)&gt;0,SUMIFS(T_StockCount[CountedQty],T_StockCount[Part Name],$A16,T_StockCount[WeekIndex],32),IF((('T_SelfStock'!AG20&lt;&gt;""))*(('T_TTAFStock'!AG20&lt;&gt;""))&gt;0,'T_SelfStock'!AG20+'T_TTAFStock'!AG20,AF16+'Grid_Incoming'!AG16-'Grid_Requirement'!AG16))</f>
        <v/>
      </c>
      <c r="AH16">
        <f>IF(COUNTIFS(T_StockCount[Part Name],$A16,T_StockCount[WeekIndex],33)&gt;0,SUMIFS(T_StockCount[CountedQty],T_StockCount[Part Name],$A16,T_StockCount[WeekIndex],33),IF((('T_SelfStock'!AH20&lt;&gt;""))*(('T_TTAFStock'!AH20&lt;&gt;""))&gt;0,'T_SelfStock'!AH20+'T_TTAFStock'!AH20,AG16+'Grid_Incoming'!AH16-'Grid_Requirement'!AH16))</f>
        <v/>
      </c>
      <c r="AI16">
        <f>IF(COUNTIFS(T_StockCount[Part Name],$A16,T_StockCount[WeekIndex],34)&gt;0,SUMIFS(T_StockCount[CountedQty],T_StockCount[Part Name],$A16,T_StockCount[WeekIndex],34),IF((('T_SelfStock'!AI20&lt;&gt;""))*(('T_TTAFStock'!AI20&lt;&gt;""))&gt;0,'T_SelfStock'!AI20+'T_TTAFStock'!AI20,AH16+'Grid_Incoming'!AI16-'Grid_Requirement'!AI16))</f>
        <v/>
      </c>
      <c r="AJ16">
        <f>IF(COUNTIFS(T_StockCount[Part Name],$A16,T_StockCount[WeekIndex],35)&gt;0,SUMIFS(T_StockCount[CountedQty],T_StockCount[Part Name],$A16,T_StockCount[WeekIndex],35),IF((('T_SelfStock'!AJ20&lt;&gt;""))*(('T_TTAFStock'!AJ20&lt;&gt;""))&gt;0,'T_SelfStock'!AJ20+'T_TTAFStock'!AJ20,AI16+'Grid_Incoming'!AJ16-'Grid_Requirement'!AJ16))</f>
        <v/>
      </c>
      <c r="AK16">
        <f>IF(COUNTIFS(T_StockCount[Part Name],$A16,T_StockCount[WeekIndex],36)&gt;0,SUMIFS(T_StockCount[CountedQty],T_StockCount[Part Name],$A16,T_StockCount[WeekIndex],36),IF((('T_SelfStock'!AK20&lt;&gt;""))*(('T_TTAFStock'!AK20&lt;&gt;""))&gt;0,'T_SelfStock'!AK20+'T_TTAFStock'!AK20,AJ16+'Grid_Incoming'!AK16-'Grid_Requirement'!AK16))</f>
        <v/>
      </c>
      <c r="AL16">
        <f>IF(COUNTIFS(T_StockCount[Part Name],$A16,T_StockCount[WeekIndex],37)&gt;0,SUMIFS(T_StockCount[CountedQty],T_StockCount[Part Name],$A16,T_StockCount[WeekIndex],37),IF((('T_SelfStock'!AL20&lt;&gt;""))*(('T_TTAFStock'!AL20&lt;&gt;""))&gt;0,'T_SelfStock'!AL20+'T_TTAFStock'!AL20,AK16+'Grid_Incoming'!AL16-'Grid_Requirement'!AL16))</f>
        <v/>
      </c>
      <c r="AM16">
        <f>IF(COUNTIFS(T_StockCount[Part Name],$A16,T_StockCount[WeekIndex],38)&gt;0,SUMIFS(T_StockCount[CountedQty],T_StockCount[Part Name],$A16,T_StockCount[WeekIndex],38),IF((('T_SelfStock'!AM20&lt;&gt;""))*(('T_TTAFStock'!AM20&lt;&gt;""))&gt;0,'T_SelfStock'!AM20+'T_TTAFStock'!AM20,AL16+'Grid_Incoming'!AM16-'Grid_Requirement'!AM16))</f>
        <v/>
      </c>
      <c r="AN16">
        <f>IF(COUNTIFS(T_StockCount[Part Name],$A16,T_StockCount[WeekIndex],39)&gt;0,SUMIFS(T_StockCount[CountedQty],T_StockCount[Part Name],$A16,T_StockCount[WeekIndex],39),IF((('T_SelfStock'!AN20&lt;&gt;""))*(('T_TTAFStock'!AN20&lt;&gt;""))&gt;0,'T_SelfStock'!AN20+'T_TTAFStock'!AN20,AM16+'Grid_Incoming'!AN16-'Grid_Requirement'!AN16))</f>
        <v/>
      </c>
      <c r="AO16">
        <f>IF(COUNTIFS(T_StockCount[Part Name],$A16,T_StockCount[WeekIndex],40)&gt;0,SUMIFS(T_StockCount[CountedQty],T_StockCount[Part Name],$A16,T_StockCount[WeekIndex],40),IF((('T_SelfStock'!AO20&lt;&gt;""))*(('T_TTAFStock'!AO20&lt;&gt;""))&gt;0,'T_SelfStock'!AO20+'T_TTAFStock'!AO20,AN16+'Grid_Incoming'!AO16-'Grid_Requirement'!AO16))</f>
        <v/>
      </c>
      <c r="AP16">
        <f>IF(COUNTIFS(T_StockCount[Part Name],$A16,T_StockCount[WeekIndex],41)&gt;0,SUMIFS(T_StockCount[CountedQty],T_StockCount[Part Name],$A16,T_StockCount[WeekIndex],41),IF((('T_SelfStock'!AP20&lt;&gt;""))*(('T_TTAFStock'!AP20&lt;&gt;""))&gt;0,'T_SelfStock'!AP20+'T_TTAFStock'!AP20,AO16+'Grid_Incoming'!AP16-'Grid_Requirement'!AP16))</f>
        <v/>
      </c>
      <c r="AQ16">
        <f>IF(COUNTIFS(T_StockCount[Part Name],$A16,T_StockCount[WeekIndex],42)&gt;0,SUMIFS(T_StockCount[CountedQty],T_StockCount[Part Name],$A16,T_StockCount[WeekIndex],42),IF((('T_SelfStock'!AQ20&lt;&gt;""))*(('T_TTAFStock'!AQ20&lt;&gt;""))&gt;0,'T_SelfStock'!AQ20+'T_TTAFStock'!AQ20,AP16+'Grid_Incoming'!AQ16-'Grid_Requirement'!AQ16))</f>
        <v/>
      </c>
      <c r="AR16">
        <f>IF(COUNTIFS(T_StockCount[Part Name],$A16,T_StockCount[WeekIndex],43)&gt;0,SUMIFS(T_StockCount[CountedQty],T_StockCount[Part Name],$A16,T_StockCount[WeekIndex],43),IF((('T_SelfStock'!AR20&lt;&gt;""))*(('T_TTAFStock'!AR20&lt;&gt;""))&gt;0,'T_SelfStock'!AR20+'T_TTAFStock'!AR20,AQ16+'Grid_Incoming'!AR16-'Grid_Requirement'!AR16))</f>
        <v/>
      </c>
      <c r="AS16">
        <f>IF(COUNTIFS(T_StockCount[Part Name],$A16,T_StockCount[WeekIndex],44)&gt;0,SUMIFS(T_StockCount[CountedQty],T_StockCount[Part Name],$A16,T_StockCount[WeekIndex],44),IF((('T_SelfStock'!AS20&lt;&gt;""))*(('T_TTAFStock'!AS20&lt;&gt;""))&gt;0,'T_SelfStock'!AS20+'T_TTAFStock'!AS20,AR16+'Grid_Incoming'!AS16-'Grid_Requirement'!AS16))</f>
        <v/>
      </c>
      <c r="AT16">
        <f>IF(COUNTIFS(T_StockCount[Part Name],$A16,T_StockCount[WeekIndex],45)&gt;0,SUMIFS(T_StockCount[CountedQty],T_StockCount[Part Name],$A16,T_StockCount[WeekIndex],45),IF((('T_SelfStock'!AT20&lt;&gt;""))*(('T_TTAFStock'!AT20&lt;&gt;""))&gt;0,'T_SelfStock'!AT20+'T_TTAFStock'!AT20,AS16+'Grid_Incoming'!AT16-'Grid_Requirement'!AT16))</f>
        <v/>
      </c>
      <c r="AU16">
        <f>IF(COUNTIFS(T_StockCount[Part Name],$A16,T_StockCount[WeekIndex],46)&gt;0,SUMIFS(T_StockCount[CountedQty],T_StockCount[Part Name],$A16,T_StockCount[WeekIndex],46),IF((('T_SelfStock'!AU20&lt;&gt;""))*(('T_TTAFStock'!AU20&lt;&gt;""))&gt;0,'T_SelfStock'!AU20+'T_TTAFStock'!AU20,AT16+'Grid_Incoming'!AU16-'Grid_Requirement'!AU16))</f>
        <v/>
      </c>
      <c r="AV16">
        <f>IF(COUNTIFS(T_StockCount[Part Name],$A16,T_StockCount[WeekIndex],47)&gt;0,SUMIFS(T_StockCount[CountedQty],T_StockCount[Part Name],$A16,T_StockCount[WeekIndex],47),IF((('T_SelfStock'!AV20&lt;&gt;""))*(('T_TTAFStock'!AV20&lt;&gt;""))&gt;0,'T_SelfStock'!AV20+'T_TTAFStock'!AV20,AU16+'Grid_Incoming'!AV16-'Grid_Requirement'!AV16))</f>
        <v/>
      </c>
      <c r="AW16">
        <f>IF(COUNTIFS(T_StockCount[Part Name],$A16,T_StockCount[WeekIndex],48)&gt;0,SUMIFS(T_StockCount[CountedQty],T_StockCount[Part Name],$A16,T_StockCount[WeekIndex],48),IF((('T_SelfStock'!AW20&lt;&gt;""))*(('T_TTAFStock'!AW20&lt;&gt;""))&gt;0,'T_SelfStock'!AW20+'T_TTAFStock'!AW20,AV16+'Grid_Incoming'!AW16-'Grid_Requirement'!AW16))</f>
        <v/>
      </c>
      <c r="AX16">
        <f>IF(COUNTIFS(T_StockCount[Part Name],$A16,T_StockCount[WeekIndex],49)&gt;0,SUMIFS(T_StockCount[CountedQty],T_StockCount[Part Name],$A16,T_StockCount[WeekIndex],49),IF((('T_SelfStock'!AX20&lt;&gt;""))*(('T_TTAFStock'!AX20&lt;&gt;""))&gt;0,'T_SelfStock'!AX20+'T_TTAFStock'!AX20,AW16+'Grid_Incoming'!AX16-'Grid_Requirement'!AX16))</f>
        <v/>
      </c>
      <c r="AY16">
        <f>IF(COUNTIFS(T_StockCount[Part Name],$A16,T_StockCount[WeekIndex],50)&gt;0,SUMIFS(T_StockCount[CountedQty],T_StockCount[Part Name],$A16,T_StockCount[WeekIndex],50),IF((('T_SelfStock'!AY20&lt;&gt;""))*(('T_TTAFStock'!AY20&lt;&gt;""))&gt;0,'T_SelfStock'!AY20+'T_TTAFStock'!AY20,AX16+'Grid_Incoming'!AY16-'Grid_Requirement'!AY16))</f>
        <v/>
      </c>
      <c r="AZ16">
        <f>IF(COUNTIFS(T_StockCount[Part Name],$A16,T_StockCount[WeekIndex],51)&gt;0,SUMIFS(T_StockCount[CountedQty],T_StockCount[Part Name],$A16,T_StockCount[WeekIndex],51),IF((('T_SelfStock'!AZ20&lt;&gt;""))*(('T_TTAFStock'!AZ20&lt;&gt;""))&gt;0,'T_SelfStock'!AZ20+'T_TTAFStock'!AZ20,AY16+'Grid_Incoming'!AZ16-'Grid_Requirement'!AZ16))</f>
        <v/>
      </c>
      <c r="BA16">
        <f>IF(COUNTIFS(T_StockCount[Part Name],$A16,T_StockCount[WeekIndex],52)&gt;0,SUMIFS(T_StockCount[CountedQty],T_StockCount[Part Name],$A16,T_StockCount[WeekIndex],52),IF((('T_SelfStock'!BA20&lt;&gt;""))*(('T_TTAFStock'!BA20&lt;&gt;""))&gt;0,'T_SelfStock'!BA20+'T_TTAFStock'!BA20,AZ16+'Grid_Incoming'!BA16-'Grid_Requirement'!BA16))</f>
        <v/>
      </c>
      <c r="BB16">
        <f>IF(COUNTIFS(T_StockCount[Part Name],$A16,T_StockCount[WeekIndex],53)&gt;0,SUMIFS(T_StockCount[CountedQty],T_StockCount[Part Name],$A16,T_StockCount[WeekIndex],53),IF((('T_SelfStock'!BB20&lt;&gt;""))*(('T_TTAFStock'!BB20&lt;&gt;""))&gt;0,'T_SelfStock'!BB20+'T_TTAFStock'!BB20,BA16+'Grid_Incoming'!BB16-'Grid_Requirement'!BB16))</f>
        <v/>
      </c>
      <c r="BC16">
        <f>IF(COUNTIFS(T_StockCount[Part Name],$A16,T_StockCount[WeekIndex],54)&gt;0,SUMIFS(T_StockCount[CountedQty],T_StockCount[Part Name],$A16,T_StockCount[WeekIndex],54),IF((('T_SelfStock'!BC20&lt;&gt;""))*(('T_TTAFStock'!BC20&lt;&gt;""))&gt;0,'T_SelfStock'!BC20+'T_TTAFStock'!BC20,BB16+'Grid_Incoming'!BC16-'Grid_Requirement'!BC16))</f>
        <v/>
      </c>
      <c r="BD16">
        <f>IF(COUNTIFS(T_StockCount[Part Name],$A16,T_StockCount[WeekIndex],55)&gt;0,SUMIFS(T_StockCount[CountedQty],T_StockCount[Part Name],$A16,T_StockCount[WeekIndex],55),IF((('T_SelfStock'!BD20&lt;&gt;""))*(('T_TTAFStock'!BD20&lt;&gt;""))&gt;0,'T_SelfStock'!BD20+'T_TTAFStock'!BD20,BC16+'Grid_Incoming'!BD16-'Grid_Requirement'!BD16))</f>
        <v/>
      </c>
      <c r="BE16">
        <f>IF(COUNTIFS(T_StockCount[Part Name],$A16,T_StockCount[WeekIndex],56)&gt;0,SUMIFS(T_StockCount[CountedQty],T_StockCount[Part Name],$A16,T_StockCount[WeekIndex],56),IF((('T_SelfStock'!BE20&lt;&gt;""))*(('T_TTAFStock'!BE20&lt;&gt;""))&gt;0,'T_SelfStock'!BE20+'T_TTAFStock'!BE20,BD16+'Grid_Incoming'!BE16-'Grid_Requirement'!BE16))</f>
        <v/>
      </c>
      <c r="BF16">
        <f>IF(COUNTIFS(T_StockCount[Part Name],$A16,T_StockCount[WeekIndex],57)&gt;0,SUMIFS(T_StockCount[CountedQty],T_StockCount[Part Name],$A16,T_StockCount[WeekIndex],57),IF((('T_SelfStock'!BF20&lt;&gt;""))*(('T_TTAFStock'!BF20&lt;&gt;""))&gt;0,'T_SelfStock'!BF20+'T_TTAFStock'!BF20,BE16+'Grid_Incoming'!BF16-'Grid_Requirement'!BF16))</f>
        <v/>
      </c>
      <c r="BG16">
        <f>IF(COUNTIFS(T_StockCount[Part Name],$A16,T_StockCount[WeekIndex],58)&gt;0,SUMIFS(T_StockCount[CountedQty],T_StockCount[Part Name],$A16,T_StockCount[WeekIndex],58),IF((('T_SelfStock'!BG20&lt;&gt;""))*(('T_TTAFStock'!BG20&lt;&gt;""))&gt;0,'T_SelfStock'!BG20+'T_TTAFStock'!BG20,BF16+'Grid_Incoming'!BG16-'Grid_Requirement'!BG16))</f>
        <v/>
      </c>
      <c r="BH16">
        <f>IF(COUNTIFS(T_StockCount[Part Name],$A16,T_StockCount[WeekIndex],59)&gt;0,SUMIFS(T_StockCount[CountedQty],T_StockCount[Part Name],$A16,T_StockCount[WeekIndex],59),IF((('T_SelfStock'!BH20&lt;&gt;""))*(('T_TTAFStock'!BH20&lt;&gt;""))&gt;0,'T_SelfStock'!BH20+'T_TTAFStock'!BH20,BG16+'Grid_Incoming'!BH16-'Grid_Requirement'!BH16))</f>
        <v/>
      </c>
      <c r="BI16">
        <f>IF(COUNTIFS(T_StockCount[Part Name],$A16,T_StockCount[WeekIndex],60)&gt;0,SUMIFS(T_StockCount[CountedQty],T_StockCount[Part Name],$A16,T_StockCount[WeekIndex],60),IF((('T_SelfStock'!BI20&lt;&gt;""))*(('T_TTAFStock'!BI20&lt;&gt;""))&gt;0,'T_SelfStock'!BI20+'T_TTAFStock'!BI20,BH16+'Grid_Incoming'!BI16-'Grid_Requirement'!BI16))</f>
        <v/>
      </c>
      <c r="BJ16">
        <f>IF(COUNTIFS(T_StockCount[Part Name],$A16,T_StockCount[WeekIndex],61)&gt;0,SUMIFS(T_StockCount[CountedQty],T_StockCount[Part Name],$A16,T_StockCount[WeekIndex],61),IF((('T_SelfStock'!BJ20&lt;&gt;""))*(('T_TTAFStock'!BJ20&lt;&gt;""))&gt;0,'T_SelfStock'!BJ20+'T_TTAFStock'!BJ20,BI16+'Grid_Incoming'!BJ16-'Grid_Requirement'!BJ16))</f>
        <v/>
      </c>
      <c r="BK16">
        <f>IF(COUNTIFS(T_StockCount[Part Name],$A16,T_StockCount[WeekIndex],62)&gt;0,SUMIFS(T_StockCount[CountedQty],T_StockCount[Part Name],$A16,T_StockCount[WeekIndex],62),IF((('T_SelfStock'!BK20&lt;&gt;""))*(('T_TTAFStock'!BK20&lt;&gt;""))&gt;0,'T_SelfStock'!BK20+'T_TTAFStock'!BK20,BJ16+'Grid_Incoming'!BK16-'Grid_Requirement'!BK16))</f>
        <v/>
      </c>
      <c r="BL16">
        <f>IF(COUNTIFS(T_StockCount[Part Name],$A16,T_StockCount[WeekIndex],63)&gt;0,SUMIFS(T_StockCount[CountedQty],T_StockCount[Part Name],$A16,T_StockCount[WeekIndex],63),IF((('T_SelfStock'!BL20&lt;&gt;""))*(('T_TTAFStock'!BL20&lt;&gt;""))&gt;0,'T_SelfStock'!BL20+'T_TTAFStock'!BL20,BK16+'Grid_Incoming'!BL16-'Grid_Requirement'!BL16))</f>
        <v/>
      </c>
      <c r="BM16">
        <f>IF(COUNTIFS(T_StockCount[Part Name],$A16,T_StockCount[WeekIndex],64)&gt;0,SUMIFS(T_StockCount[CountedQty],T_StockCount[Part Name],$A16,T_StockCount[WeekIndex],64),IF((('T_SelfStock'!BM20&lt;&gt;""))*(('T_TTAFStock'!BM20&lt;&gt;""))&gt;0,'T_SelfStock'!BM20+'T_TTAFStock'!BM20,BL16+'Grid_Incoming'!BM16-'Grid_Requirement'!BM16))</f>
        <v/>
      </c>
      <c r="BN16">
        <f>IF(COUNTIFS(T_StockCount[Part Name],$A16,T_StockCount[WeekIndex],65)&gt;0,SUMIFS(T_StockCount[CountedQty],T_StockCount[Part Name],$A16,T_StockCount[WeekIndex],65),IF((('T_SelfStock'!BN20&lt;&gt;""))*(('T_TTAFStock'!BN20&lt;&gt;""))&gt;0,'T_SelfStock'!BN20+'T_TTAFStock'!BN20,BM16+'Grid_Incoming'!BN16-'Grid_Requirement'!BN16))</f>
        <v/>
      </c>
      <c r="BO16">
        <f>IF(COUNTIFS(T_StockCount[Part Name],$A16,T_StockCount[WeekIndex],66)&gt;0,SUMIFS(T_StockCount[CountedQty],T_StockCount[Part Name],$A16,T_StockCount[WeekIndex],66),IF((('T_SelfStock'!BO20&lt;&gt;""))*(('T_TTAFStock'!BO20&lt;&gt;""))&gt;0,'T_SelfStock'!BO20+'T_TTAFStock'!BO20,BN16+'Grid_Incoming'!BO16-'Grid_Requirement'!BO16))</f>
        <v/>
      </c>
      <c r="BP16">
        <f>IF(COUNTIFS(T_StockCount[Part Name],$A16,T_StockCount[WeekIndex],67)&gt;0,SUMIFS(T_StockCount[CountedQty],T_StockCount[Part Name],$A16,T_StockCount[WeekIndex],67),IF((('T_SelfStock'!BP20&lt;&gt;""))*(('T_TTAFStock'!BP20&lt;&gt;""))&gt;0,'T_SelfStock'!BP20+'T_TTAFStock'!BP20,BO16+'Grid_Incoming'!BP16-'Grid_Requirement'!BP16))</f>
        <v/>
      </c>
      <c r="BQ16">
        <f>IF(COUNTIFS(T_StockCount[Part Name],$A16,T_StockCount[WeekIndex],68)&gt;0,SUMIFS(T_StockCount[CountedQty],T_StockCount[Part Name],$A16,T_StockCount[WeekIndex],68),IF((('T_SelfStock'!BQ20&lt;&gt;""))*(('T_TTAFStock'!BQ20&lt;&gt;""))&gt;0,'T_SelfStock'!BQ20+'T_TTAFStock'!BQ20,BP16+'Grid_Incoming'!BQ16-'Grid_Requirement'!BQ16))</f>
        <v/>
      </c>
      <c r="BR16">
        <f>IF(COUNTIFS(T_StockCount[Part Name],$A16,T_StockCount[WeekIndex],69)&gt;0,SUMIFS(T_StockCount[CountedQty],T_StockCount[Part Name],$A16,T_StockCount[WeekIndex],69),IF((('T_SelfStock'!BR20&lt;&gt;""))*(('T_TTAFStock'!BR20&lt;&gt;""))&gt;0,'T_SelfStock'!BR20+'T_TTAFStock'!BR20,BQ16+'Grid_Incoming'!BR16-'Grid_Requirement'!BR16))</f>
        <v/>
      </c>
      <c r="BS16">
        <f>IF(COUNTIFS(T_StockCount[Part Name],$A16,T_StockCount[WeekIndex],70)&gt;0,SUMIFS(T_StockCount[CountedQty],T_StockCount[Part Name],$A16,T_StockCount[WeekIndex],70),IF((('T_SelfStock'!BS20&lt;&gt;""))*(('T_TTAFStock'!BS20&lt;&gt;""))&gt;0,'T_SelfStock'!BS20+'T_TTAFStock'!BS20,BR16+'Grid_Incoming'!BS16-'Grid_Requirement'!BS16))</f>
        <v/>
      </c>
      <c r="BT16">
        <f>IF(COUNTIFS(T_StockCount[Part Name],$A16,T_StockCount[WeekIndex],71)&gt;0,SUMIFS(T_StockCount[CountedQty],T_StockCount[Part Name],$A16,T_StockCount[WeekIndex],71),IF((('T_SelfStock'!BT20&lt;&gt;""))*(('T_TTAFStock'!BT20&lt;&gt;""))&gt;0,'T_SelfStock'!BT20+'T_TTAFStock'!BT20,BS16+'Grid_Incoming'!BT16-'Grid_Requirement'!BT16))</f>
        <v/>
      </c>
      <c r="BU16">
        <f>IF(COUNTIFS(T_StockCount[Part Name],$A16,T_StockCount[WeekIndex],72)&gt;0,SUMIFS(T_StockCount[CountedQty],T_StockCount[Part Name],$A16,T_StockCount[WeekIndex],72),IF((('T_SelfStock'!BU20&lt;&gt;""))*(('T_TTAFStock'!BU20&lt;&gt;""))&gt;0,'T_SelfStock'!BU20+'T_TTAFStock'!BU20,BT16+'Grid_Incoming'!BU16-'Grid_Requirement'!BU16))</f>
        <v/>
      </c>
      <c r="BV16">
        <f>IF(COUNTIFS(T_StockCount[Part Name],$A16,T_StockCount[WeekIndex],73)&gt;0,SUMIFS(T_StockCount[CountedQty],T_StockCount[Part Name],$A16,T_StockCount[WeekIndex],73),IF((('T_SelfStock'!BV20&lt;&gt;""))*(('T_TTAFStock'!BV20&lt;&gt;""))&gt;0,'T_SelfStock'!BV20+'T_TTAFStock'!BV20,BU16+'Grid_Incoming'!BV16-'Grid_Requirement'!BV16))</f>
        <v/>
      </c>
      <c r="BW16">
        <f>IF(COUNTIFS(T_StockCount[Part Name],$A16,T_StockCount[WeekIndex],74)&gt;0,SUMIFS(T_StockCount[CountedQty],T_StockCount[Part Name],$A16,T_StockCount[WeekIndex],74),IF((('T_SelfStock'!BW20&lt;&gt;""))*(('T_TTAFStock'!BW20&lt;&gt;""))&gt;0,'T_SelfStock'!BW20+'T_TTAFStock'!BW20,BV16+'Grid_Incoming'!BW16-'Grid_Requirement'!BW16))</f>
        <v/>
      </c>
      <c r="BX16">
        <f>IF(COUNTIFS(T_StockCount[Part Name],$A16,T_StockCount[WeekIndex],75)&gt;0,SUMIFS(T_StockCount[CountedQty],T_StockCount[Part Name],$A16,T_StockCount[WeekIndex],75),IF((('T_SelfStock'!BX20&lt;&gt;""))*(('T_TTAFStock'!BX20&lt;&gt;""))&gt;0,'T_SelfStock'!BX20+'T_TTAFStock'!BX20,BW16+'Grid_Incoming'!BX16-'Grid_Requirement'!BX16))</f>
        <v/>
      </c>
      <c r="BY16">
        <f>IF(COUNTIFS(T_StockCount[Part Name],$A16,T_StockCount[WeekIndex],76)&gt;0,SUMIFS(T_StockCount[CountedQty],T_StockCount[Part Name],$A16,T_StockCount[WeekIndex],76),IF((('T_SelfStock'!BY20&lt;&gt;""))*(('T_TTAFStock'!BY20&lt;&gt;""))&gt;0,'T_SelfStock'!BY20+'T_TTAFStock'!BY20,BX16+'Grid_Incoming'!BY16-'Grid_Requirement'!BY16))</f>
        <v/>
      </c>
      <c r="BZ16">
        <f>IF(COUNTIFS(T_StockCount[Part Name],$A16,T_StockCount[WeekIndex],77)&gt;0,SUMIFS(T_StockCount[CountedQty],T_StockCount[Part Name],$A16,T_StockCount[WeekIndex],77),IF((('T_SelfStock'!BZ20&lt;&gt;""))*(('T_TTAFStock'!BZ20&lt;&gt;""))&gt;0,'T_SelfStock'!BZ20+'T_TTAFStock'!BZ20,BY16+'Grid_Incoming'!BZ16-'Grid_Requirement'!BZ16))</f>
        <v/>
      </c>
      <c r="CA16">
        <f>IF(COUNTIFS(T_StockCount[Part Name],$A16,T_StockCount[WeekIndex],78)&gt;0,SUMIFS(T_StockCount[CountedQty],T_StockCount[Part Name],$A16,T_StockCount[WeekIndex],78),IF((('T_SelfStock'!CA20&lt;&gt;""))*(('T_TTAFStock'!CA20&lt;&gt;""))&gt;0,'T_SelfStock'!CA20+'T_TTAFStock'!CA20,BZ16+'Grid_Incoming'!CA16-'Grid_Requirement'!CA16))</f>
        <v/>
      </c>
      <c r="CB16">
        <f>IF(COUNTIFS(T_StockCount[Part Name],$A16,T_StockCount[WeekIndex],79)&gt;0,SUMIFS(T_StockCount[CountedQty],T_StockCount[Part Name],$A16,T_StockCount[WeekIndex],79),IF((('T_SelfStock'!CB20&lt;&gt;""))*(('T_TTAFStock'!CB20&lt;&gt;""))&gt;0,'T_SelfStock'!CB20+'T_TTAFStock'!CB20,CA16+'Grid_Incoming'!CB16-'Grid_Requirement'!CB16))</f>
        <v/>
      </c>
      <c r="CC16">
        <f>IF(COUNTIFS(T_StockCount[Part Name],$A16,T_StockCount[WeekIndex],80)&gt;0,SUMIFS(T_StockCount[CountedQty],T_StockCount[Part Name],$A16,T_StockCount[WeekIndex],80),IF((('T_SelfStock'!CC20&lt;&gt;""))*(('T_TTAFStock'!CC20&lt;&gt;""))&gt;0,'T_SelfStock'!CC20+'T_TTAFStock'!CC20,CB16+'Grid_Incoming'!CC16-'Grid_Requirement'!CC16))</f>
        <v/>
      </c>
      <c r="CD16">
        <f>IF(COUNTIFS(T_StockCount[Part Name],$A16,T_StockCount[WeekIndex],81)&gt;0,SUMIFS(T_StockCount[CountedQty],T_StockCount[Part Name],$A16,T_StockCount[WeekIndex],81),IF((('T_SelfStock'!CD20&lt;&gt;""))*(('T_TTAFStock'!CD20&lt;&gt;""))&gt;0,'T_SelfStock'!CD20+'T_TTAFStock'!CD20,CC16+'Grid_Incoming'!CD16-'Grid_Requirement'!CD16))</f>
        <v/>
      </c>
      <c r="CE16">
        <f>IF(COUNTIFS(T_StockCount[Part Name],$A16,T_StockCount[WeekIndex],82)&gt;0,SUMIFS(T_StockCount[CountedQty],T_StockCount[Part Name],$A16,T_StockCount[WeekIndex],82),IF((('T_SelfStock'!CE20&lt;&gt;""))*(('T_TTAFStock'!CE20&lt;&gt;""))&gt;0,'T_SelfStock'!CE20+'T_TTAFStock'!CE20,CD16+'Grid_Incoming'!CE16-'Grid_Requirement'!CE16))</f>
        <v/>
      </c>
      <c r="CF16">
        <f>IF(COUNTIFS(T_StockCount[Part Name],$A16,T_StockCount[WeekIndex],83)&gt;0,SUMIFS(T_StockCount[CountedQty],T_StockCount[Part Name],$A16,T_StockCount[WeekIndex],83),IF((('T_SelfStock'!CF20&lt;&gt;""))*(('T_TTAFStock'!CF20&lt;&gt;""))&gt;0,'T_SelfStock'!CF20+'T_TTAFStock'!CF20,CE16+'Grid_Incoming'!CF16-'Grid_Requirement'!CF16))</f>
        <v/>
      </c>
      <c r="CG16">
        <f>IF(COUNTIFS(T_StockCount[Part Name],$A16,T_StockCount[WeekIndex],84)&gt;0,SUMIFS(T_StockCount[CountedQty],T_StockCount[Part Name],$A16,T_StockCount[WeekIndex],84),IF((('T_SelfStock'!CG20&lt;&gt;""))*(('T_TTAFStock'!CG20&lt;&gt;""))&gt;0,'T_SelfStock'!CG20+'T_TTAFStock'!CG20,CF16+'Grid_Incoming'!CG16-'Grid_Requirement'!CG16))</f>
        <v/>
      </c>
      <c r="CH16">
        <f>IF(COUNTIFS(T_StockCount[Part Name],$A16,T_StockCount[WeekIndex],85)&gt;0,SUMIFS(T_StockCount[CountedQty],T_StockCount[Part Name],$A16,T_StockCount[WeekIndex],85),IF((('T_SelfStock'!CH20&lt;&gt;""))*(('T_TTAFStock'!CH20&lt;&gt;""))&gt;0,'T_SelfStock'!CH20+'T_TTAFStock'!CH20,CG16+'Grid_Incoming'!CH16-'Grid_Requirement'!CH16))</f>
        <v/>
      </c>
      <c r="CI16">
        <f>IF(COUNTIFS(T_StockCount[Part Name],$A16,T_StockCount[WeekIndex],86)&gt;0,SUMIFS(T_StockCount[CountedQty],T_StockCount[Part Name],$A16,T_StockCount[WeekIndex],86),IF((('T_SelfStock'!CI20&lt;&gt;""))*(('T_TTAFStock'!CI20&lt;&gt;""))&gt;0,'T_SelfStock'!CI20+'T_TTAFStock'!CI20,CH16+'Grid_Incoming'!CI16-'Grid_Requirement'!CI16))</f>
        <v/>
      </c>
      <c r="CJ16">
        <f>IF(COUNTIFS(T_StockCount[Part Name],$A16,T_StockCount[WeekIndex],87)&gt;0,SUMIFS(T_StockCount[CountedQty],T_StockCount[Part Name],$A16,T_StockCount[WeekIndex],87),IF((('T_SelfStock'!CJ20&lt;&gt;""))*(('T_TTAFStock'!CJ20&lt;&gt;""))&gt;0,'T_SelfStock'!CJ20+'T_TTAFStock'!CJ20,CI16+'Grid_Incoming'!CJ16-'Grid_Requirement'!CJ16))</f>
        <v/>
      </c>
      <c r="CK16">
        <f>IF(COUNTIFS(T_StockCount[Part Name],$A16,T_StockCount[WeekIndex],88)&gt;0,SUMIFS(T_StockCount[CountedQty],T_StockCount[Part Name],$A16,T_StockCount[WeekIndex],88),IF((('T_SelfStock'!CK20&lt;&gt;""))*(('T_TTAFStock'!CK20&lt;&gt;""))&gt;0,'T_SelfStock'!CK20+'T_TTAFStock'!CK20,CJ16+'Grid_Incoming'!CK16-'Grid_Requirement'!CK16))</f>
        <v/>
      </c>
      <c r="CL16">
        <f>IF(COUNTIFS(T_StockCount[Part Name],$A16,T_StockCount[WeekIndex],89)&gt;0,SUMIFS(T_StockCount[CountedQty],T_StockCount[Part Name],$A16,T_StockCount[WeekIndex],89),IF((('T_SelfStock'!CL20&lt;&gt;""))*(('T_TTAFStock'!CL20&lt;&gt;""))&gt;0,'T_SelfStock'!CL20+'T_TTAFStock'!CL20,CK16+'Grid_Incoming'!CL16-'Grid_Requirement'!CL16))</f>
        <v/>
      </c>
      <c r="CM16">
        <f>IF(COUNTIFS(T_StockCount[Part Name],$A16,T_StockCount[WeekIndex],90)&gt;0,SUMIFS(T_StockCount[CountedQty],T_StockCount[Part Name],$A16,T_StockCount[WeekIndex],90),IF((('T_SelfStock'!CM20&lt;&gt;""))*(('T_TTAFStock'!CM20&lt;&gt;""))&gt;0,'T_SelfStock'!CM20+'T_TTAFStock'!CM20,CL16+'Grid_Incoming'!CM16-'Grid_Requirement'!CM16))</f>
        <v/>
      </c>
      <c r="CN16">
        <f>IF(COUNTIFS(T_StockCount[Part Name],$A16,T_StockCount[WeekIndex],91)&gt;0,SUMIFS(T_StockCount[CountedQty],T_StockCount[Part Name],$A16,T_StockCount[WeekIndex],91),IF((('T_SelfStock'!CN20&lt;&gt;""))*(('T_TTAFStock'!CN20&lt;&gt;""))&gt;0,'T_SelfStock'!CN20+'T_TTAFStock'!CN20,CM16+'Grid_Incoming'!CN16-'Grid_Requirement'!CN16))</f>
        <v/>
      </c>
      <c r="CO16">
        <f>IF(COUNTIFS(T_StockCount[Part Name],$A16,T_StockCount[WeekIndex],92)&gt;0,SUMIFS(T_StockCount[CountedQty],T_StockCount[Part Name],$A16,T_StockCount[WeekIndex],92),IF((('T_SelfStock'!CO20&lt;&gt;""))*(('T_TTAFStock'!CO20&lt;&gt;""))&gt;0,'T_SelfStock'!CO20+'T_TTAFStock'!CO20,CN16+'Grid_Incoming'!CO16-'Grid_Requirement'!CO16))</f>
        <v/>
      </c>
      <c r="CP16">
        <f>IF(COUNTIFS(T_StockCount[Part Name],$A16,T_StockCount[WeekIndex],93)&gt;0,SUMIFS(T_StockCount[CountedQty],T_StockCount[Part Name],$A16,T_StockCount[WeekIndex],93),IF((('T_SelfStock'!CP20&lt;&gt;""))*(('T_TTAFStock'!CP20&lt;&gt;""))&gt;0,'T_SelfStock'!CP20+'T_TTAFStock'!CP20,CO16+'Grid_Incoming'!CP16-'Grid_Requirement'!CP16))</f>
        <v/>
      </c>
      <c r="CQ16">
        <f>IF(COUNTIFS(T_StockCount[Part Name],$A16,T_StockCount[WeekIndex],94)&gt;0,SUMIFS(T_StockCount[CountedQty],T_StockCount[Part Name],$A16,T_StockCount[WeekIndex],94),IF((('T_SelfStock'!CQ20&lt;&gt;""))*(('T_TTAFStock'!CQ20&lt;&gt;""))&gt;0,'T_SelfStock'!CQ20+'T_TTAFStock'!CQ20,CP16+'Grid_Incoming'!CQ16-'Grid_Requirement'!CQ16))</f>
        <v/>
      </c>
      <c r="CR16">
        <f>IF(COUNTIFS(T_StockCount[Part Name],$A16,T_StockCount[WeekIndex],95)&gt;0,SUMIFS(T_StockCount[CountedQty],T_StockCount[Part Name],$A16,T_StockCount[WeekIndex],95),IF((('T_SelfStock'!CR20&lt;&gt;""))*(('T_TTAFStock'!CR20&lt;&gt;""))&gt;0,'T_SelfStock'!CR20+'T_TTAFStock'!CR20,CQ16+'Grid_Incoming'!CR16-'Grid_Requirement'!CR16))</f>
        <v/>
      </c>
      <c r="CS16">
        <f>IF(COUNTIFS(T_StockCount[Part Name],$A16,T_StockCount[WeekIndex],96)&gt;0,SUMIFS(T_StockCount[CountedQty],T_StockCount[Part Name],$A16,T_StockCount[WeekIndex],96),IF((('T_SelfStock'!CS20&lt;&gt;""))*(('T_TTAFStock'!CS20&lt;&gt;""))&gt;0,'T_SelfStock'!CS20+'T_TTAFStock'!CS20,CR16+'Grid_Incoming'!CS16-'Grid_Requirement'!CS16))</f>
        <v/>
      </c>
      <c r="CT16">
        <f>IF(COUNTIFS(T_StockCount[Part Name],$A16,T_StockCount[WeekIndex],97)&gt;0,SUMIFS(T_StockCount[CountedQty],T_StockCount[Part Name],$A16,T_StockCount[WeekIndex],97),IF((('T_SelfStock'!CT20&lt;&gt;""))*(('T_TTAFStock'!CT20&lt;&gt;""))&gt;0,'T_SelfStock'!CT20+'T_TTAFStock'!CT20,CS16+'Grid_Incoming'!CT16-'Grid_Requirement'!CT16))</f>
        <v/>
      </c>
      <c r="CU16">
        <f>IF(COUNTIFS(T_StockCount[Part Name],$A16,T_StockCount[WeekIndex],98)&gt;0,SUMIFS(T_StockCount[CountedQty],T_StockCount[Part Name],$A16,T_StockCount[WeekIndex],98),IF((('T_SelfStock'!CU20&lt;&gt;""))*(('T_TTAFStock'!CU20&lt;&gt;""))&gt;0,'T_SelfStock'!CU20+'T_TTAFStock'!CU20,CT16+'Grid_Incoming'!CU16-'Grid_Requirement'!CU16))</f>
        <v/>
      </c>
      <c r="CV16">
        <f>IF(COUNTIFS(T_StockCount[Part Name],$A16,T_StockCount[WeekIndex],99)&gt;0,SUMIFS(T_StockCount[CountedQty],T_StockCount[Part Name],$A16,T_StockCount[WeekIndex],99),IF((('T_SelfStock'!CV20&lt;&gt;""))*(('T_TTAFStock'!CV20&lt;&gt;""))&gt;0,'T_SelfStock'!CV20+'T_TTAFStock'!CV20,CU16+'Grid_Incoming'!CV16-'Grid_Requirement'!CV16))</f>
        <v/>
      </c>
      <c r="CW16">
        <f>IF(COUNTIFS(T_StockCount[Part Name],$A16,T_StockCount[WeekIndex],100)&gt;0,SUMIFS(T_StockCount[CountedQty],T_StockCount[Part Name],$A16,T_StockCount[WeekIndex],100),IF((('T_SelfStock'!CW20&lt;&gt;""))*(('T_TTAFStock'!CW20&lt;&gt;""))&gt;0,'T_SelfStock'!CW20+'T_TTAFStock'!CW20,CV16+'Grid_Incoming'!CW16-'Grid_Requirement'!CW16))</f>
        <v/>
      </c>
      <c r="CX16">
        <f>IF(COUNTIFS(T_StockCount[Part Name],$A16,T_StockCount[WeekIndex],101)&gt;0,SUMIFS(T_StockCount[CountedQty],T_StockCount[Part Name],$A16,T_StockCount[WeekIndex],101),IF((('T_SelfStock'!CX20&lt;&gt;""))*(('T_TTAFStock'!CX20&lt;&gt;""))&gt;0,'T_SelfStock'!CX20+'T_TTAFStock'!CX20,CW16+'Grid_Incoming'!CX16-'Grid_Requirement'!CX16))</f>
        <v/>
      </c>
      <c r="CY16">
        <f>IF(COUNTIFS(T_StockCount[Part Name],$A16,T_StockCount[WeekIndex],102)&gt;0,SUMIFS(T_StockCount[CountedQty],T_StockCount[Part Name],$A16,T_StockCount[WeekIndex],102),IF((('T_SelfStock'!CY20&lt;&gt;""))*(('T_TTAFStock'!CY20&lt;&gt;""))&gt;0,'T_SelfStock'!CY20+'T_TTAFStock'!CY20,CX16+'Grid_Incoming'!CY16-'Grid_Requirement'!CY16))</f>
        <v/>
      </c>
      <c r="CZ16">
        <f>IF(COUNTIFS(T_StockCount[Part Name],$A16,T_StockCount[WeekIndex],103)&gt;0,SUMIFS(T_StockCount[CountedQty],T_StockCount[Part Name],$A16,T_StockCount[WeekIndex],103),IF((('T_SelfStock'!CZ20&lt;&gt;""))*(('T_TTAFStock'!CZ20&lt;&gt;""))&gt;0,'T_SelfStock'!CZ20+'T_TTAFStock'!CZ20,CY16+'Grid_Incoming'!CZ16-'Grid_Requirement'!CZ16))</f>
        <v/>
      </c>
      <c r="DA16">
        <f>IF(COUNTIFS(T_StockCount[Part Name],$A16,T_StockCount[WeekIndex],104)&gt;0,SUMIFS(T_StockCount[CountedQty],T_StockCount[Part Name],$A16,T_StockCount[WeekIndex],104),IF((('T_SelfStock'!DA20&lt;&gt;""))*(('T_TTAFStock'!DA20&lt;&gt;""))&gt;0,'T_SelfStock'!DA20+'T_TTAFStock'!DA20,CZ16+'Grid_Incoming'!DA16-'Grid_Requirement'!DA16))</f>
        <v/>
      </c>
    </row>
    <row r="17">
      <c r="A17" t="inlineStr">
        <is>
          <t>CHEM-1650</t>
        </is>
      </c>
      <c r="B17">
        <f>IF(COUNTIFS(T_StockCount[Part Name],$A17,T_StockCount[WeekIndex],1)&gt;0,SUMIFS(T_StockCount[CountedQty],T_StockCount[Part Name],$A17,T_StockCount[WeekIndex],1),IF((('T_SelfStock'!B21&lt;&gt;""))*(('T_TTAFStock'!B21&lt;&gt;""))&gt;0,'T_SelfStock'!B21+'T_TTAFStock'!B21,IFERROR(INDEX(T_OpeningStock[Opening_Qty],MATCH($A17,T_OpeningStock[Part Name],0)),0)+'Grid_Incoming'!B17-'Grid_Requirement'!B17))</f>
        <v/>
      </c>
      <c r="C17">
        <f>IF(COUNTIFS(T_StockCount[Part Name],$A17,T_StockCount[WeekIndex],2)&gt;0,SUMIFS(T_StockCount[CountedQty],T_StockCount[Part Name],$A17,T_StockCount[WeekIndex],2),IF((('T_SelfStock'!C21&lt;&gt;""))*(('T_TTAFStock'!C21&lt;&gt;""))&gt;0,'T_SelfStock'!C21+'T_TTAFStock'!C21,B17+'Grid_Incoming'!C17-'Grid_Requirement'!C17))</f>
        <v/>
      </c>
      <c r="D17">
        <f>IF(COUNTIFS(T_StockCount[Part Name],$A17,T_StockCount[WeekIndex],3)&gt;0,SUMIFS(T_StockCount[CountedQty],T_StockCount[Part Name],$A17,T_StockCount[WeekIndex],3),IF((('T_SelfStock'!D21&lt;&gt;""))*(('T_TTAFStock'!D21&lt;&gt;""))&gt;0,'T_SelfStock'!D21+'T_TTAFStock'!D21,C17+'Grid_Incoming'!D17-'Grid_Requirement'!D17))</f>
        <v/>
      </c>
      <c r="E17">
        <f>IF(COUNTIFS(T_StockCount[Part Name],$A17,T_StockCount[WeekIndex],4)&gt;0,SUMIFS(T_StockCount[CountedQty],T_StockCount[Part Name],$A17,T_StockCount[WeekIndex],4),IF((('T_SelfStock'!E21&lt;&gt;""))*(('T_TTAFStock'!E21&lt;&gt;""))&gt;0,'T_SelfStock'!E21+'T_TTAFStock'!E21,D17+'Grid_Incoming'!E17-'Grid_Requirement'!E17))</f>
        <v/>
      </c>
      <c r="F17">
        <f>IF(COUNTIFS(T_StockCount[Part Name],$A17,T_StockCount[WeekIndex],5)&gt;0,SUMIFS(T_StockCount[CountedQty],T_StockCount[Part Name],$A17,T_StockCount[WeekIndex],5),IF((('T_SelfStock'!F21&lt;&gt;""))*(('T_TTAFStock'!F21&lt;&gt;""))&gt;0,'T_SelfStock'!F21+'T_TTAFStock'!F21,E17+'Grid_Incoming'!F17-'Grid_Requirement'!F17))</f>
        <v/>
      </c>
      <c r="G17">
        <f>IF(COUNTIFS(T_StockCount[Part Name],$A17,T_StockCount[WeekIndex],6)&gt;0,SUMIFS(T_StockCount[CountedQty],T_StockCount[Part Name],$A17,T_StockCount[WeekIndex],6),IF((('T_SelfStock'!G21&lt;&gt;""))*(('T_TTAFStock'!G21&lt;&gt;""))&gt;0,'T_SelfStock'!G21+'T_TTAFStock'!G21,F17+'Grid_Incoming'!G17-'Grid_Requirement'!G17))</f>
        <v/>
      </c>
      <c r="H17">
        <f>IF(COUNTIFS(T_StockCount[Part Name],$A17,T_StockCount[WeekIndex],7)&gt;0,SUMIFS(T_StockCount[CountedQty],T_StockCount[Part Name],$A17,T_StockCount[WeekIndex],7),IF((('T_SelfStock'!H21&lt;&gt;""))*(('T_TTAFStock'!H21&lt;&gt;""))&gt;0,'T_SelfStock'!H21+'T_TTAFStock'!H21,G17+'Grid_Incoming'!H17-'Grid_Requirement'!H17))</f>
        <v/>
      </c>
      <c r="I17">
        <f>IF(COUNTIFS(T_StockCount[Part Name],$A17,T_StockCount[WeekIndex],8)&gt;0,SUMIFS(T_StockCount[CountedQty],T_StockCount[Part Name],$A17,T_StockCount[WeekIndex],8),IF((('T_SelfStock'!I21&lt;&gt;""))*(('T_TTAFStock'!I21&lt;&gt;""))&gt;0,'T_SelfStock'!I21+'T_TTAFStock'!I21,H17+'Grid_Incoming'!I17-'Grid_Requirement'!I17))</f>
        <v/>
      </c>
      <c r="J17">
        <f>IF(COUNTIFS(T_StockCount[Part Name],$A17,T_StockCount[WeekIndex],9)&gt;0,SUMIFS(T_StockCount[CountedQty],T_StockCount[Part Name],$A17,T_StockCount[WeekIndex],9),IF((('T_SelfStock'!J21&lt;&gt;""))*(('T_TTAFStock'!J21&lt;&gt;""))&gt;0,'T_SelfStock'!J21+'T_TTAFStock'!J21,I17+'Grid_Incoming'!J17-'Grid_Requirement'!J17))</f>
        <v/>
      </c>
      <c r="K17">
        <f>IF(COUNTIFS(T_StockCount[Part Name],$A17,T_StockCount[WeekIndex],10)&gt;0,SUMIFS(T_StockCount[CountedQty],T_StockCount[Part Name],$A17,T_StockCount[WeekIndex],10),IF((('T_SelfStock'!K21&lt;&gt;""))*(('T_TTAFStock'!K21&lt;&gt;""))&gt;0,'T_SelfStock'!K21+'T_TTAFStock'!K21,J17+'Grid_Incoming'!K17-'Grid_Requirement'!K17))</f>
        <v/>
      </c>
      <c r="L17">
        <f>IF(COUNTIFS(T_StockCount[Part Name],$A17,T_StockCount[WeekIndex],11)&gt;0,SUMIFS(T_StockCount[CountedQty],T_StockCount[Part Name],$A17,T_StockCount[WeekIndex],11),IF((('T_SelfStock'!L21&lt;&gt;""))*(('T_TTAFStock'!L21&lt;&gt;""))&gt;0,'T_SelfStock'!L21+'T_TTAFStock'!L21,K17+'Grid_Incoming'!L17-'Grid_Requirement'!L17))</f>
        <v/>
      </c>
      <c r="M17">
        <f>IF(COUNTIFS(T_StockCount[Part Name],$A17,T_StockCount[WeekIndex],12)&gt;0,SUMIFS(T_StockCount[CountedQty],T_StockCount[Part Name],$A17,T_StockCount[WeekIndex],12),IF((('T_SelfStock'!M21&lt;&gt;""))*(('T_TTAFStock'!M21&lt;&gt;""))&gt;0,'T_SelfStock'!M21+'T_TTAFStock'!M21,L17+'Grid_Incoming'!M17-'Grid_Requirement'!M17))</f>
        <v/>
      </c>
      <c r="N17">
        <f>IF(COUNTIFS(T_StockCount[Part Name],$A17,T_StockCount[WeekIndex],13)&gt;0,SUMIFS(T_StockCount[CountedQty],T_StockCount[Part Name],$A17,T_StockCount[WeekIndex],13),IF((('T_SelfStock'!N21&lt;&gt;""))*(('T_TTAFStock'!N21&lt;&gt;""))&gt;0,'T_SelfStock'!N21+'T_TTAFStock'!N21,M17+'Grid_Incoming'!N17-'Grid_Requirement'!N17))</f>
        <v/>
      </c>
      <c r="O17">
        <f>IF(COUNTIFS(T_StockCount[Part Name],$A17,T_StockCount[WeekIndex],14)&gt;0,SUMIFS(T_StockCount[CountedQty],T_StockCount[Part Name],$A17,T_StockCount[WeekIndex],14),IF((('T_SelfStock'!O21&lt;&gt;""))*(('T_TTAFStock'!O21&lt;&gt;""))&gt;0,'T_SelfStock'!O21+'T_TTAFStock'!O21,N17+'Grid_Incoming'!O17-'Grid_Requirement'!O17))</f>
        <v/>
      </c>
      <c r="P17">
        <f>IF(COUNTIFS(T_StockCount[Part Name],$A17,T_StockCount[WeekIndex],15)&gt;0,SUMIFS(T_StockCount[CountedQty],T_StockCount[Part Name],$A17,T_StockCount[WeekIndex],15),IF((('T_SelfStock'!P21&lt;&gt;""))*(('T_TTAFStock'!P21&lt;&gt;""))&gt;0,'T_SelfStock'!P21+'T_TTAFStock'!P21,O17+'Grid_Incoming'!P17-'Grid_Requirement'!P17))</f>
        <v/>
      </c>
      <c r="Q17">
        <f>IF(COUNTIFS(T_StockCount[Part Name],$A17,T_StockCount[WeekIndex],16)&gt;0,SUMIFS(T_StockCount[CountedQty],T_StockCount[Part Name],$A17,T_StockCount[WeekIndex],16),IF((('T_SelfStock'!Q21&lt;&gt;""))*(('T_TTAFStock'!Q21&lt;&gt;""))&gt;0,'T_SelfStock'!Q21+'T_TTAFStock'!Q21,P17+'Grid_Incoming'!Q17-'Grid_Requirement'!Q17))</f>
        <v/>
      </c>
      <c r="R17">
        <f>IF(COUNTIFS(T_StockCount[Part Name],$A17,T_StockCount[WeekIndex],17)&gt;0,SUMIFS(T_StockCount[CountedQty],T_StockCount[Part Name],$A17,T_StockCount[WeekIndex],17),IF((('T_SelfStock'!R21&lt;&gt;""))*(('T_TTAFStock'!R21&lt;&gt;""))&gt;0,'T_SelfStock'!R21+'T_TTAFStock'!R21,Q17+'Grid_Incoming'!R17-'Grid_Requirement'!R17))</f>
        <v/>
      </c>
      <c r="S17">
        <f>IF(COUNTIFS(T_StockCount[Part Name],$A17,T_StockCount[WeekIndex],18)&gt;0,SUMIFS(T_StockCount[CountedQty],T_StockCount[Part Name],$A17,T_StockCount[WeekIndex],18),IF((('T_SelfStock'!S21&lt;&gt;""))*(('T_TTAFStock'!S21&lt;&gt;""))&gt;0,'T_SelfStock'!S21+'T_TTAFStock'!S21,R17+'Grid_Incoming'!S17-'Grid_Requirement'!S17))</f>
        <v/>
      </c>
      <c r="T17">
        <f>IF(COUNTIFS(T_StockCount[Part Name],$A17,T_StockCount[WeekIndex],19)&gt;0,SUMIFS(T_StockCount[CountedQty],T_StockCount[Part Name],$A17,T_StockCount[WeekIndex],19),IF((('T_SelfStock'!T21&lt;&gt;""))*(('T_TTAFStock'!T21&lt;&gt;""))&gt;0,'T_SelfStock'!T21+'T_TTAFStock'!T21,S17+'Grid_Incoming'!T17-'Grid_Requirement'!T17))</f>
        <v/>
      </c>
      <c r="U17">
        <f>IF(COUNTIFS(T_StockCount[Part Name],$A17,T_StockCount[WeekIndex],20)&gt;0,SUMIFS(T_StockCount[CountedQty],T_StockCount[Part Name],$A17,T_StockCount[WeekIndex],20),IF((('T_SelfStock'!U21&lt;&gt;""))*(('T_TTAFStock'!U21&lt;&gt;""))&gt;0,'T_SelfStock'!U21+'T_TTAFStock'!U21,T17+'Grid_Incoming'!U17-'Grid_Requirement'!U17))</f>
        <v/>
      </c>
      <c r="V17">
        <f>IF(COUNTIFS(T_StockCount[Part Name],$A17,T_StockCount[WeekIndex],21)&gt;0,SUMIFS(T_StockCount[CountedQty],T_StockCount[Part Name],$A17,T_StockCount[WeekIndex],21),IF((('T_SelfStock'!V21&lt;&gt;""))*(('T_TTAFStock'!V21&lt;&gt;""))&gt;0,'T_SelfStock'!V21+'T_TTAFStock'!V21,U17+'Grid_Incoming'!V17-'Grid_Requirement'!V17))</f>
        <v/>
      </c>
      <c r="W17">
        <f>IF(COUNTIFS(T_StockCount[Part Name],$A17,T_StockCount[WeekIndex],22)&gt;0,SUMIFS(T_StockCount[CountedQty],T_StockCount[Part Name],$A17,T_StockCount[WeekIndex],22),IF((('T_SelfStock'!W21&lt;&gt;""))*(('T_TTAFStock'!W21&lt;&gt;""))&gt;0,'T_SelfStock'!W21+'T_TTAFStock'!W21,V17+'Grid_Incoming'!W17-'Grid_Requirement'!W17))</f>
        <v/>
      </c>
      <c r="X17">
        <f>IF(COUNTIFS(T_StockCount[Part Name],$A17,T_StockCount[WeekIndex],23)&gt;0,SUMIFS(T_StockCount[CountedQty],T_StockCount[Part Name],$A17,T_StockCount[WeekIndex],23),IF((('T_SelfStock'!X21&lt;&gt;""))*(('T_TTAFStock'!X21&lt;&gt;""))&gt;0,'T_SelfStock'!X21+'T_TTAFStock'!X21,W17+'Grid_Incoming'!X17-'Grid_Requirement'!X17))</f>
        <v/>
      </c>
      <c r="Y17">
        <f>IF(COUNTIFS(T_StockCount[Part Name],$A17,T_StockCount[WeekIndex],24)&gt;0,SUMIFS(T_StockCount[CountedQty],T_StockCount[Part Name],$A17,T_StockCount[WeekIndex],24),IF((('T_SelfStock'!Y21&lt;&gt;""))*(('T_TTAFStock'!Y21&lt;&gt;""))&gt;0,'T_SelfStock'!Y21+'T_TTAFStock'!Y21,X17+'Grid_Incoming'!Y17-'Grid_Requirement'!Y17))</f>
        <v/>
      </c>
      <c r="Z17">
        <f>IF(COUNTIFS(T_StockCount[Part Name],$A17,T_StockCount[WeekIndex],25)&gt;0,SUMIFS(T_StockCount[CountedQty],T_StockCount[Part Name],$A17,T_StockCount[WeekIndex],25),IF((('T_SelfStock'!Z21&lt;&gt;""))*(('T_TTAFStock'!Z21&lt;&gt;""))&gt;0,'T_SelfStock'!Z21+'T_TTAFStock'!Z21,Y17+'Grid_Incoming'!Z17-'Grid_Requirement'!Z17))</f>
        <v/>
      </c>
      <c r="AA17">
        <f>IF(COUNTIFS(T_StockCount[Part Name],$A17,T_StockCount[WeekIndex],26)&gt;0,SUMIFS(T_StockCount[CountedQty],T_StockCount[Part Name],$A17,T_StockCount[WeekIndex],26),IF((('T_SelfStock'!AA21&lt;&gt;""))*(('T_TTAFStock'!AA21&lt;&gt;""))&gt;0,'T_SelfStock'!AA21+'T_TTAFStock'!AA21,Z17+'Grid_Incoming'!AA17-'Grid_Requirement'!AA17))</f>
        <v/>
      </c>
      <c r="AB17">
        <f>IF(COUNTIFS(T_StockCount[Part Name],$A17,T_StockCount[WeekIndex],27)&gt;0,SUMIFS(T_StockCount[CountedQty],T_StockCount[Part Name],$A17,T_StockCount[WeekIndex],27),IF((('T_SelfStock'!AB21&lt;&gt;""))*(('T_TTAFStock'!AB21&lt;&gt;""))&gt;0,'T_SelfStock'!AB21+'T_TTAFStock'!AB21,AA17+'Grid_Incoming'!AB17-'Grid_Requirement'!AB17))</f>
        <v/>
      </c>
      <c r="AC17">
        <f>IF(COUNTIFS(T_StockCount[Part Name],$A17,T_StockCount[WeekIndex],28)&gt;0,SUMIFS(T_StockCount[CountedQty],T_StockCount[Part Name],$A17,T_StockCount[WeekIndex],28),IF((('T_SelfStock'!AC21&lt;&gt;""))*(('T_TTAFStock'!AC21&lt;&gt;""))&gt;0,'T_SelfStock'!AC21+'T_TTAFStock'!AC21,AB17+'Grid_Incoming'!AC17-'Grid_Requirement'!AC17))</f>
        <v/>
      </c>
      <c r="AD17">
        <f>IF(COUNTIFS(T_StockCount[Part Name],$A17,T_StockCount[WeekIndex],29)&gt;0,SUMIFS(T_StockCount[CountedQty],T_StockCount[Part Name],$A17,T_StockCount[WeekIndex],29),IF((('T_SelfStock'!AD21&lt;&gt;""))*(('T_TTAFStock'!AD21&lt;&gt;""))&gt;0,'T_SelfStock'!AD21+'T_TTAFStock'!AD21,AC17+'Grid_Incoming'!AD17-'Grid_Requirement'!AD17))</f>
        <v/>
      </c>
      <c r="AE17">
        <f>IF(COUNTIFS(T_StockCount[Part Name],$A17,T_StockCount[WeekIndex],30)&gt;0,SUMIFS(T_StockCount[CountedQty],T_StockCount[Part Name],$A17,T_StockCount[WeekIndex],30),IF((('T_SelfStock'!AE21&lt;&gt;""))*(('T_TTAFStock'!AE21&lt;&gt;""))&gt;0,'T_SelfStock'!AE21+'T_TTAFStock'!AE21,AD17+'Grid_Incoming'!AE17-'Grid_Requirement'!AE17))</f>
        <v/>
      </c>
      <c r="AF17">
        <f>IF(COUNTIFS(T_StockCount[Part Name],$A17,T_StockCount[WeekIndex],31)&gt;0,SUMIFS(T_StockCount[CountedQty],T_StockCount[Part Name],$A17,T_StockCount[WeekIndex],31),IF((('T_SelfStock'!AF21&lt;&gt;""))*(('T_TTAFStock'!AF21&lt;&gt;""))&gt;0,'T_SelfStock'!AF21+'T_TTAFStock'!AF21,AE17+'Grid_Incoming'!AF17-'Grid_Requirement'!AF17))</f>
        <v/>
      </c>
      <c r="AG17">
        <f>IF(COUNTIFS(T_StockCount[Part Name],$A17,T_StockCount[WeekIndex],32)&gt;0,SUMIFS(T_StockCount[CountedQty],T_StockCount[Part Name],$A17,T_StockCount[WeekIndex],32),IF((('T_SelfStock'!AG21&lt;&gt;""))*(('T_TTAFStock'!AG21&lt;&gt;""))&gt;0,'T_SelfStock'!AG21+'T_TTAFStock'!AG21,AF17+'Grid_Incoming'!AG17-'Grid_Requirement'!AG17))</f>
        <v/>
      </c>
      <c r="AH17">
        <f>IF(COUNTIFS(T_StockCount[Part Name],$A17,T_StockCount[WeekIndex],33)&gt;0,SUMIFS(T_StockCount[CountedQty],T_StockCount[Part Name],$A17,T_StockCount[WeekIndex],33),IF((('T_SelfStock'!AH21&lt;&gt;""))*(('T_TTAFStock'!AH21&lt;&gt;""))&gt;0,'T_SelfStock'!AH21+'T_TTAFStock'!AH21,AG17+'Grid_Incoming'!AH17-'Grid_Requirement'!AH17))</f>
        <v/>
      </c>
      <c r="AI17">
        <f>IF(COUNTIFS(T_StockCount[Part Name],$A17,T_StockCount[WeekIndex],34)&gt;0,SUMIFS(T_StockCount[CountedQty],T_StockCount[Part Name],$A17,T_StockCount[WeekIndex],34),IF((('T_SelfStock'!AI21&lt;&gt;""))*(('T_TTAFStock'!AI21&lt;&gt;""))&gt;0,'T_SelfStock'!AI21+'T_TTAFStock'!AI21,AH17+'Grid_Incoming'!AI17-'Grid_Requirement'!AI17))</f>
        <v/>
      </c>
      <c r="AJ17">
        <f>IF(COUNTIFS(T_StockCount[Part Name],$A17,T_StockCount[WeekIndex],35)&gt;0,SUMIFS(T_StockCount[CountedQty],T_StockCount[Part Name],$A17,T_StockCount[WeekIndex],35),IF((('T_SelfStock'!AJ21&lt;&gt;""))*(('T_TTAFStock'!AJ21&lt;&gt;""))&gt;0,'T_SelfStock'!AJ21+'T_TTAFStock'!AJ21,AI17+'Grid_Incoming'!AJ17-'Grid_Requirement'!AJ17))</f>
        <v/>
      </c>
      <c r="AK17">
        <f>IF(COUNTIFS(T_StockCount[Part Name],$A17,T_StockCount[WeekIndex],36)&gt;0,SUMIFS(T_StockCount[CountedQty],T_StockCount[Part Name],$A17,T_StockCount[WeekIndex],36),IF((('T_SelfStock'!AK21&lt;&gt;""))*(('T_TTAFStock'!AK21&lt;&gt;""))&gt;0,'T_SelfStock'!AK21+'T_TTAFStock'!AK21,AJ17+'Grid_Incoming'!AK17-'Grid_Requirement'!AK17))</f>
        <v/>
      </c>
      <c r="AL17">
        <f>IF(COUNTIFS(T_StockCount[Part Name],$A17,T_StockCount[WeekIndex],37)&gt;0,SUMIFS(T_StockCount[CountedQty],T_StockCount[Part Name],$A17,T_StockCount[WeekIndex],37),IF((('T_SelfStock'!AL21&lt;&gt;""))*(('T_TTAFStock'!AL21&lt;&gt;""))&gt;0,'T_SelfStock'!AL21+'T_TTAFStock'!AL21,AK17+'Grid_Incoming'!AL17-'Grid_Requirement'!AL17))</f>
        <v/>
      </c>
      <c r="AM17">
        <f>IF(COUNTIFS(T_StockCount[Part Name],$A17,T_StockCount[WeekIndex],38)&gt;0,SUMIFS(T_StockCount[CountedQty],T_StockCount[Part Name],$A17,T_StockCount[WeekIndex],38),IF((('T_SelfStock'!AM21&lt;&gt;""))*(('T_TTAFStock'!AM21&lt;&gt;""))&gt;0,'T_SelfStock'!AM21+'T_TTAFStock'!AM21,AL17+'Grid_Incoming'!AM17-'Grid_Requirement'!AM17))</f>
        <v/>
      </c>
      <c r="AN17">
        <f>IF(COUNTIFS(T_StockCount[Part Name],$A17,T_StockCount[WeekIndex],39)&gt;0,SUMIFS(T_StockCount[CountedQty],T_StockCount[Part Name],$A17,T_StockCount[WeekIndex],39),IF((('T_SelfStock'!AN21&lt;&gt;""))*(('T_TTAFStock'!AN21&lt;&gt;""))&gt;0,'T_SelfStock'!AN21+'T_TTAFStock'!AN21,AM17+'Grid_Incoming'!AN17-'Grid_Requirement'!AN17))</f>
        <v/>
      </c>
      <c r="AO17">
        <f>IF(COUNTIFS(T_StockCount[Part Name],$A17,T_StockCount[WeekIndex],40)&gt;0,SUMIFS(T_StockCount[CountedQty],T_StockCount[Part Name],$A17,T_StockCount[WeekIndex],40),IF((('T_SelfStock'!AO21&lt;&gt;""))*(('T_TTAFStock'!AO21&lt;&gt;""))&gt;0,'T_SelfStock'!AO21+'T_TTAFStock'!AO21,AN17+'Grid_Incoming'!AO17-'Grid_Requirement'!AO17))</f>
        <v/>
      </c>
      <c r="AP17">
        <f>IF(COUNTIFS(T_StockCount[Part Name],$A17,T_StockCount[WeekIndex],41)&gt;0,SUMIFS(T_StockCount[CountedQty],T_StockCount[Part Name],$A17,T_StockCount[WeekIndex],41),IF((('T_SelfStock'!AP21&lt;&gt;""))*(('T_TTAFStock'!AP21&lt;&gt;""))&gt;0,'T_SelfStock'!AP21+'T_TTAFStock'!AP21,AO17+'Grid_Incoming'!AP17-'Grid_Requirement'!AP17))</f>
        <v/>
      </c>
      <c r="AQ17">
        <f>IF(COUNTIFS(T_StockCount[Part Name],$A17,T_StockCount[WeekIndex],42)&gt;0,SUMIFS(T_StockCount[CountedQty],T_StockCount[Part Name],$A17,T_StockCount[WeekIndex],42),IF((('T_SelfStock'!AQ21&lt;&gt;""))*(('T_TTAFStock'!AQ21&lt;&gt;""))&gt;0,'T_SelfStock'!AQ21+'T_TTAFStock'!AQ21,AP17+'Grid_Incoming'!AQ17-'Grid_Requirement'!AQ17))</f>
        <v/>
      </c>
      <c r="AR17">
        <f>IF(COUNTIFS(T_StockCount[Part Name],$A17,T_StockCount[WeekIndex],43)&gt;0,SUMIFS(T_StockCount[CountedQty],T_StockCount[Part Name],$A17,T_StockCount[WeekIndex],43),IF((('T_SelfStock'!AR21&lt;&gt;""))*(('T_TTAFStock'!AR21&lt;&gt;""))&gt;0,'T_SelfStock'!AR21+'T_TTAFStock'!AR21,AQ17+'Grid_Incoming'!AR17-'Grid_Requirement'!AR17))</f>
        <v/>
      </c>
      <c r="AS17">
        <f>IF(COUNTIFS(T_StockCount[Part Name],$A17,T_StockCount[WeekIndex],44)&gt;0,SUMIFS(T_StockCount[CountedQty],T_StockCount[Part Name],$A17,T_StockCount[WeekIndex],44),IF((('T_SelfStock'!AS21&lt;&gt;""))*(('T_TTAFStock'!AS21&lt;&gt;""))&gt;0,'T_SelfStock'!AS21+'T_TTAFStock'!AS21,AR17+'Grid_Incoming'!AS17-'Grid_Requirement'!AS17))</f>
        <v/>
      </c>
      <c r="AT17">
        <f>IF(COUNTIFS(T_StockCount[Part Name],$A17,T_StockCount[WeekIndex],45)&gt;0,SUMIFS(T_StockCount[CountedQty],T_StockCount[Part Name],$A17,T_StockCount[WeekIndex],45),IF((('T_SelfStock'!AT21&lt;&gt;""))*(('T_TTAFStock'!AT21&lt;&gt;""))&gt;0,'T_SelfStock'!AT21+'T_TTAFStock'!AT21,AS17+'Grid_Incoming'!AT17-'Grid_Requirement'!AT17))</f>
        <v/>
      </c>
      <c r="AU17">
        <f>IF(COUNTIFS(T_StockCount[Part Name],$A17,T_StockCount[WeekIndex],46)&gt;0,SUMIFS(T_StockCount[CountedQty],T_StockCount[Part Name],$A17,T_StockCount[WeekIndex],46),IF((('T_SelfStock'!AU21&lt;&gt;""))*(('T_TTAFStock'!AU21&lt;&gt;""))&gt;0,'T_SelfStock'!AU21+'T_TTAFStock'!AU21,AT17+'Grid_Incoming'!AU17-'Grid_Requirement'!AU17))</f>
        <v/>
      </c>
      <c r="AV17">
        <f>IF(COUNTIFS(T_StockCount[Part Name],$A17,T_StockCount[WeekIndex],47)&gt;0,SUMIFS(T_StockCount[CountedQty],T_StockCount[Part Name],$A17,T_StockCount[WeekIndex],47),IF((('T_SelfStock'!AV21&lt;&gt;""))*(('T_TTAFStock'!AV21&lt;&gt;""))&gt;0,'T_SelfStock'!AV21+'T_TTAFStock'!AV21,AU17+'Grid_Incoming'!AV17-'Grid_Requirement'!AV17))</f>
        <v/>
      </c>
      <c r="AW17">
        <f>IF(COUNTIFS(T_StockCount[Part Name],$A17,T_StockCount[WeekIndex],48)&gt;0,SUMIFS(T_StockCount[CountedQty],T_StockCount[Part Name],$A17,T_StockCount[WeekIndex],48),IF((('T_SelfStock'!AW21&lt;&gt;""))*(('T_TTAFStock'!AW21&lt;&gt;""))&gt;0,'T_SelfStock'!AW21+'T_TTAFStock'!AW21,AV17+'Grid_Incoming'!AW17-'Grid_Requirement'!AW17))</f>
        <v/>
      </c>
      <c r="AX17">
        <f>IF(COUNTIFS(T_StockCount[Part Name],$A17,T_StockCount[WeekIndex],49)&gt;0,SUMIFS(T_StockCount[CountedQty],T_StockCount[Part Name],$A17,T_StockCount[WeekIndex],49),IF((('T_SelfStock'!AX21&lt;&gt;""))*(('T_TTAFStock'!AX21&lt;&gt;""))&gt;0,'T_SelfStock'!AX21+'T_TTAFStock'!AX21,AW17+'Grid_Incoming'!AX17-'Grid_Requirement'!AX17))</f>
        <v/>
      </c>
      <c r="AY17">
        <f>IF(COUNTIFS(T_StockCount[Part Name],$A17,T_StockCount[WeekIndex],50)&gt;0,SUMIFS(T_StockCount[CountedQty],T_StockCount[Part Name],$A17,T_StockCount[WeekIndex],50),IF((('T_SelfStock'!AY21&lt;&gt;""))*(('T_TTAFStock'!AY21&lt;&gt;""))&gt;0,'T_SelfStock'!AY21+'T_TTAFStock'!AY21,AX17+'Grid_Incoming'!AY17-'Grid_Requirement'!AY17))</f>
        <v/>
      </c>
      <c r="AZ17">
        <f>IF(COUNTIFS(T_StockCount[Part Name],$A17,T_StockCount[WeekIndex],51)&gt;0,SUMIFS(T_StockCount[CountedQty],T_StockCount[Part Name],$A17,T_StockCount[WeekIndex],51),IF((('T_SelfStock'!AZ21&lt;&gt;""))*(('T_TTAFStock'!AZ21&lt;&gt;""))&gt;0,'T_SelfStock'!AZ21+'T_TTAFStock'!AZ21,AY17+'Grid_Incoming'!AZ17-'Grid_Requirement'!AZ17))</f>
        <v/>
      </c>
      <c r="BA17">
        <f>IF(COUNTIFS(T_StockCount[Part Name],$A17,T_StockCount[WeekIndex],52)&gt;0,SUMIFS(T_StockCount[CountedQty],T_StockCount[Part Name],$A17,T_StockCount[WeekIndex],52),IF((('T_SelfStock'!BA21&lt;&gt;""))*(('T_TTAFStock'!BA21&lt;&gt;""))&gt;0,'T_SelfStock'!BA21+'T_TTAFStock'!BA21,AZ17+'Grid_Incoming'!BA17-'Grid_Requirement'!BA17))</f>
        <v/>
      </c>
      <c r="BB17">
        <f>IF(COUNTIFS(T_StockCount[Part Name],$A17,T_StockCount[WeekIndex],53)&gt;0,SUMIFS(T_StockCount[CountedQty],T_StockCount[Part Name],$A17,T_StockCount[WeekIndex],53),IF((('T_SelfStock'!BB21&lt;&gt;""))*(('T_TTAFStock'!BB21&lt;&gt;""))&gt;0,'T_SelfStock'!BB21+'T_TTAFStock'!BB21,BA17+'Grid_Incoming'!BB17-'Grid_Requirement'!BB17))</f>
        <v/>
      </c>
      <c r="BC17">
        <f>IF(COUNTIFS(T_StockCount[Part Name],$A17,T_StockCount[WeekIndex],54)&gt;0,SUMIFS(T_StockCount[CountedQty],T_StockCount[Part Name],$A17,T_StockCount[WeekIndex],54),IF((('T_SelfStock'!BC21&lt;&gt;""))*(('T_TTAFStock'!BC21&lt;&gt;""))&gt;0,'T_SelfStock'!BC21+'T_TTAFStock'!BC21,BB17+'Grid_Incoming'!BC17-'Grid_Requirement'!BC17))</f>
        <v/>
      </c>
      <c r="BD17">
        <f>IF(COUNTIFS(T_StockCount[Part Name],$A17,T_StockCount[WeekIndex],55)&gt;0,SUMIFS(T_StockCount[CountedQty],T_StockCount[Part Name],$A17,T_StockCount[WeekIndex],55),IF((('T_SelfStock'!BD21&lt;&gt;""))*(('T_TTAFStock'!BD21&lt;&gt;""))&gt;0,'T_SelfStock'!BD21+'T_TTAFStock'!BD21,BC17+'Grid_Incoming'!BD17-'Grid_Requirement'!BD17))</f>
        <v/>
      </c>
      <c r="BE17">
        <f>IF(COUNTIFS(T_StockCount[Part Name],$A17,T_StockCount[WeekIndex],56)&gt;0,SUMIFS(T_StockCount[CountedQty],T_StockCount[Part Name],$A17,T_StockCount[WeekIndex],56),IF((('T_SelfStock'!BE21&lt;&gt;""))*(('T_TTAFStock'!BE21&lt;&gt;""))&gt;0,'T_SelfStock'!BE21+'T_TTAFStock'!BE21,BD17+'Grid_Incoming'!BE17-'Grid_Requirement'!BE17))</f>
        <v/>
      </c>
      <c r="BF17">
        <f>IF(COUNTIFS(T_StockCount[Part Name],$A17,T_StockCount[WeekIndex],57)&gt;0,SUMIFS(T_StockCount[CountedQty],T_StockCount[Part Name],$A17,T_StockCount[WeekIndex],57),IF((('T_SelfStock'!BF21&lt;&gt;""))*(('T_TTAFStock'!BF21&lt;&gt;""))&gt;0,'T_SelfStock'!BF21+'T_TTAFStock'!BF21,BE17+'Grid_Incoming'!BF17-'Grid_Requirement'!BF17))</f>
        <v/>
      </c>
      <c r="BG17">
        <f>IF(COUNTIFS(T_StockCount[Part Name],$A17,T_StockCount[WeekIndex],58)&gt;0,SUMIFS(T_StockCount[CountedQty],T_StockCount[Part Name],$A17,T_StockCount[WeekIndex],58),IF((('T_SelfStock'!BG21&lt;&gt;""))*(('T_TTAFStock'!BG21&lt;&gt;""))&gt;0,'T_SelfStock'!BG21+'T_TTAFStock'!BG21,BF17+'Grid_Incoming'!BG17-'Grid_Requirement'!BG17))</f>
        <v/>
      </c>
      <c r="BH17">
        <f>IF(COUNTIFS(T_StockCount[Part Name],$A17,T_StockCount[WeekIndex],59)&gt;0,SUMIFS(T_StockCount[CountedQty],T_StockCount[Part Name],$A17,T_StockCount[WeekIndex],59),IF((('T_SelfStock'!BH21&lt;&gt;""))*(('T_TTAFStock'!BH21&lt;&gt;""))&gt;0,'T_SelfStock'!BH21+'T_TTAFStock'!BH21,BG17+'Grid_Incoming'!BH17-'Grid_Requirement'!BH17))</f>
        <v/>
      </c>
      <c r="BI17">
        <f>IF(COUNTIFS(T_StockCount[Part Name],$A17,T_StockCount[WeekIndex],60)&gt;0,SUMIFS(T_StockCount[CountedQty],T_StockCount[Part Name],$A17,T_StockCount[WeekIndex],60),IF((('T_SelfStock'!BI21&lt;&gt;""))*(('T_TTAFStock'!BI21&lt;&gt;""))&gt;0,'T_SelfStock'!BI21+'T_TTAFStock'!BI21,BH17+'Grid_Incoming'!BI17-'Grid_Requirement'!BI17))</f>
        <v/>
      </c>
      <c r="BJ17">
        <f>IF(COUNTIFS(T_StockCount[Part Name],$A17,T_StockCount[WeekIndex],61)&gt;0,SUMIFS(T_StockCount[CountedQty],T_StockCount[Part Name],$A17,T_StockCount[WeekIndex],61),IF((('T_SelfStock'!BJ21&lt;&gt;""))*(('T_TTAFStock'!BJ21&lt;&gt;""))&gt;0,'T_SelfStock'!BJ21+'T_TTAFStock'!BJ21,BI17+'Grid_Incoming'!BJ17-'Grid_Requirement'!BJ17))</f>
        <v/>
      </c>
      <c r="BK17">
        <f>IF(COUNTIFS(T_StockCount[Part Name],$A17,T_StockCount[WeekIndex],62)&gt;0,SUMIFS(T_StockCount[CountedQty],T_StockCount[Part Name],$A17,T_StockCount[WeekIndex],62),IF((('T_SelfStock'!BK21&lt;&gt;""))*(('T_TTAFStock'!BK21&lt;&gt;""))&gt;0,'T_SelfStock'!BK21+'T_TTAFStock'!BK21,BJ17+'Grid_Incoming'!BK17-'Grid_Requirement'!BK17))</f>
        <v/>
      </c>
      <c r="BL17">
        <f>IF(COUNTIFS(T_StockCount[Part Name],$A17,T_StockCount[WeekIndex],63)&gt;0,SUMIFS(T_StockCount[CountedQty],T_StockCount[Part Name],$A17,T_StockCount[WeekIndex],63),IF((('T_SelfStock'!BL21&lt;&gt;""))*(('T_TTAFStock'!BL21&lt;&gt;""))&gt;0,'T_SelfStock'!BL21+'T_TTAFStock'!BL21,BK17+'Grid_Incoming'!BL17-'Grid_Requirement'!BL17))</f>
        <v/>
      </c>
      <c r="BM17">
        <f>IF(COUNTIFS(T_StockCount[Part Name],$A17,T_StockCount[WeekIndex],64)&gt;0,SUMIFS(T_StockCount[CountedQty],T_StockCount[Part Name],$A17,T_StockCount[WeekIndex],64),IF((('T_SelfStock'!BM21&lt;&gt;""))*(('T_TTAFStock'!BM21&lt;&gt;""))&gt;0,'T_SelfStock'!BM21+'T_TTAFStock'!BM21,BL17+'Grid_Incoming'!BM17-'Grid_Requirement'!BM17))</f>
        <v/>
      </c>
      <c r="BN17">
        <f>IF(COUNTIFS(T_StockCount[Part Name],$A17,T_StockCount[WeekIndex],65)&gt;0,SUMIFS(T_StockCount[CountedQty],T_StockCount[Part Name],$A17,T_StockCount[WeekIndex],65),IF((('T_SelfStock'!BN21&lt;&gt;""))*(('T_TTAFStock'!BN21&lt;&gt;""))&gt;0,'T_SelfStock'!BN21+'T_TTAFStock'!BN21,BM17+'Grid_Incoming'!BN17-'Grid_Requirement'!BN17))</f>
        <v/>
      </c>
      <c r="BO17">
        <f>IF(COUNTIFS(T_StockCount[Part Name],$A17,T_StockCount[WeekIndex],66)&gt;0,SUMIFS(T_StockCount[CountedQty],T_StockCount[Part Name],$A17,T_StockCount[WeekIndex],66),IF((('T_SelfStock'!BO21&lt;&gt;""))*(('T_TTAFStock'!BO21&lt;&gt;""))&gt;0,'T_SelfStock'!BO21+'T_TTAFStock'!BO21,BN17+'Grid_Incoming'!BO17-'Grid_Requirement'!BO17))</f>
        <v/>
      </c>
      <c r="BP17">
        <f>IF(COUNTIFS(T_StockCount[Part Name],$A17,T_StockCount[WeekIndex],67)&gt;0,SUMIFS(T_StockCount[CountedQty],T_StockCount[Part Name],$A17,T_StockCount[WeekIndex],67),IF((('T_SelfStock'!BP21&lt;&gt;""))*(('T_TTAFStock'!BP21&lt;&gt;""))&gt;0,'T_SelfStock'!BP21+'T_TTAFStock'!BP21,BO17+'Grid_Incoming'!BP17-'Grid_Requirement'!BP17))</f>
        <v/>
      </c>
      <c r="BQ17">
        <f>IF(COUNTIFS(T_StockCount[Part Name],$A17,T_StockCount[WeekIndex],68)&gt;0,SUMIFS(T_StockCount[CountedQty],T_StockCount[Part Name],$A17,T_StockCount[WeekIndex],68),IF((('T_SelfStock'!BQ21&lt;&gt;""))*(('T_TTAFStock'!BQ21&lt;&gt;""))&gt;0,'T_SelfStock'!BQ21+'T_TTAFStock'!BQ21,BP17+'Grid_Incoming'!BQ17-'Grid_Requirement'!BQ17))</f>
        <v/>
      </c>
      <c r="BR17">
        <f>IF(COUNTIFS(T_StockCount[Part Name],$A17,T_StockCount[WeekIndex],69)&gt;0,SUMIFS(T_StockCount[CountedQty],T_StockCount[Part Name],$A17,T_StockCount[WeekIndex],69),IF((('T_SelfStock'!BR21&lt;&gt;""))*(('T_TTAFStock'!BR21&lt;&gt;""))&gt;0,'T_SelfStock'!BR21+'T_TTAFStock'!BR21,BQ17+'Grid_Incoming'!BR17-'Grid_Requirement'!BR17))</f>
        <v/>
      </c>
      <c r="BS17">
        <f>IF(COUNTIFS(T_StockCount[Part Name],$A17,T_StockCount[WeekIndex],70)&gt;0,SUMIFS(T_StockCount[CountedQty],T_StockCount[Part Name],$A17,T_StockCount[WeekIndex],70),IF((('T_SelfStock'!BS21&lt;&gt;""))*(('T_TTAFStock'!BS21&lt;&gt;""))&gt;0,'T_SelfStock'!BS21+'T_TTAFStock'!BS21,BR17+'Grid_Incoming'!BS17-'Grid_Requirement'!BS17))</f>
        <v/>
      </c>
      <c r="BT17">
        <f>IF(COUNTIFS(T_StockCount[Part Name],$A17,T_StockCount[WeekIndex],71)&gt;0,SUMIFS(T_StockCount[CountedQty],T_StockCount[Part Name],$A17,T_StockCount[WeekIndex],71),IF((('T_SelfStock'!BT21&lt;&gt;""))*(('T_TTAFStock'!BT21&lt;&gt;""))&gt;0,'T_SelfStock'!BT21+'T_TTAFStock'!BT21,BS17+'Grid_Incoming'!BT17-'Grid_Requirement'!BT17))</f>
        <v/>
      </c>
      <c r="BU17">
        <f>IF(COUNTIFS(T_StockCount[Part Name],$A17,T_StockCount[WeekIndex],72)&gt;0,SUMIFS(T_StockCount[CountedQty],T_StockCount[Part Name],$A17,T_StockCount[WeekIndex],72),IF((('T_SelfStock'!BU21&lt;&gt;""))*(('T_TTAFStock'!BU21&lt;&gt;""))&gt;0,'T_SelfStock'!BU21+'T_TTAFStock'!BU21,BT17+'Grid_Incoming'!BU17-'Grid_Requirement'!BU17))</f>
        <v/>
      </c>
      <c r="BV17">
        <f>IF(COUNTIFS(T_StockCount[Part Name],$A17,T_StockCount[WeekIndex],73)&gt;0,SUMIFS(T_StockCount[CountedQty],T_StockCount[Part Name],$A17,T_StockCount[WeekIndex],73),IF((('T_SelfStock'!BV21&lt;&gt;""))*(('T_TTAFStock'!BV21&lt;&gt;""))&gt;0,'T_SelfStock'!BV21+'T_TTAFStock'!BV21,BU17+'Grid_Incoming'!BV17-'Grid_Requirement'!BV17))</f>
        <v/>
      </c>
      <c r="BW17">
        <f>IF(COUNTIFS(T_StockCount[Part Name],$A17,T_StockCount[WeekIndex],74)&gt;0,SUMIFS(T_StockCount[CountedQty],T_StockCount[Part Name],$A17,T_StockCount[WeekIndex],74),IF((('T_SelfStock'!BW21&lt;&gt;""))*(('T_TTAFStock'!BW21&lt;&gt;""))&gt;0,'T_SelfStock'!BW21+'T_TTAFStock'!BW21,BV17+'Grid_Incoming'!BW17-'Grid_Requirement'!BW17))</f>
        <v/>
      </c>
      <c r="BX17">
        <f>IF(COUNTIFS(T_StockCount[Part Name],$A17,T_StockCount[WeekIndex],75)&gt;0,SUMIFS(T_StockCount[CountedQty],T_StockCount[Part Name],$A17,T_StockCount[WeekIndex],75),IF((('T_SelfStock'!BX21&lt;&gt;""))*(('T_TTAFStock'!BX21&lt;&gt;""))&gt;0,'T_SelfStock'!BX21+'T_TTAFStock'!BX21,BW17+'Grid_Incoming'!BX17-'Grid_Requirement'!BX17))</f>
        <v/>
      </c>
      <c r="BY17">
        <f>IF(COUNTIFS(T_StockCount[Part Name],$A17,T_StockCount[WeekIndex],76)&gt;0,SUMIFS(T_StockCount[CountedQty],T_StockCount[Part Name],$A17,T_StockCount[WeekIndex],76),IF((('T_SelfStock'!BY21&lt;&gt;""))*(('T_TTAFStock'!BY21&lt;&gt;""))&gt;0,'T_SelfStock'!BY21+'T_TTAFStock'!BY21,BX17+'Grid_Incoming'!BY17-'Grid_Requirement'!BY17))</f>
        <v/>
      </c>
      <c r="BZ17">
        <f>IF(COUNTIFS(T_StockCount[Part Name],$A17,T_StockCount[WeekIndex],77)&gt;0,SUMIFS(T_StockCount[CountedQty],T_StockCount[Part Name],$A17,T_StockCount[WeekIndex],77),IF((('T_SelfStock'!BZ21&lt;&gt;""))*(('T_TTAFStock'!BZ21&lt;&gt;""))&gt;0,'T_SelfStock'!BZ21+'T_TTAFStock'!BZ21,BY17+'Grid_Incoming'!BZ17-'Grid_Requirement'!BZ17))</f>
        <v/>
      </c>
      <c r="CA17">
        <f>IF(COUNTIFS(T_StockCount[Part Name],$A17,T_StockCount[WeekIndex],78)&gt;0,SUMIFS(T_StockCount[CountedQty],T_StockCount[Part Name],$A17,T_StockCount[WeekIndex],78),IF((('T_SelfStock'!CA21&lt;&gt;""))*(('T_TTAFStock'!CA21&lt;&gt;""))&gt;0,'T_SelfStock'!CA21+'T_TTAFStock'!CA21,BZ17+'Grid_Incoming'!CA17-'Grid_Requirement'!CA17))</f>
        <v/>
      </c>
      <c r="CB17">
        <f>IF(COUNTIFS(T_StockCount[Part Name],$A17,T_StockCount[WeekIndex],79)&gt;0,SUMIFS(T_StockCount[CountedQty],T_StockCount[Part Name],$A17,T_StockCount[WeekIndex],79),IF((('T_SelfStock'!CB21&lt;&gt;""))*(('T_TTAFStock'!CB21&lt;&gt;""))&gt;0,'T_SelfStock'!CB21+'T_TTAFStock'!CB21,CA17+'Grid_Incoming'!CB17-'Grid_Requirement'!CB17))</f>
        <v/>
      </c>
      <c r="CC17">
        <f>IF(COUNTIFS(T_StockCount[Part Name],$A17,T_StockCount[WeekIndex],80)&gt;0,SUMIFS(T_StockCount[CountedQty],T_StockCount[Part Name],$A17,T_StockCount[WeekIndex],80),IF((('T_SelfStock'!CC21&lt;&gt;""))*(('T_TTAFStock'!CC21&lt;&gt;""))&gt;0,'T_SelfStock'!CC21+'T_TTAFStock'!CC21,CB17+'Grid_Incoming'!CC17-'Grid_Requirement'!CC17))</f>
        <v/>
      </c>
      <c r="CD17">
        <f>IF(COUNTIFS(T_StockCount[Part Name],$A17,T_StockCount[WeekIndex],81)&gt;0,SUMIFS(T_StockCount[CountedQty],T_StockCount[Part Name],$A17,T_StockCount[WeekIndex],81),IF((('T_SelfStock'!CD21&lt;&gt;""))*(('T_TTAFStock'!CD21&lt;&gt;""))&gt;0,'T_SelfStock'!CD21+'T_TTAFStock'!CD21,CC17+'Grid_Incoming'!CD17-'Grid_Requirement'!CD17))</f>
        <v/>
      </c>
      <c r="CE17">
        <f>IF(COUNTIFS(T_StockCount[Part Name],$A17,T_StockCount[WeekIndex],82)&gt;0,SUMIFS(T_StockCount[CountedQty],T_StockCount[Part Name],$A17,T_StockCount[WeekIndex],82),IF((('T_SelfStock'!CE21&lt;&gt;""))*(('T_TTAFStock'!CE21&lt;&gt;""))&gt;0,'T_SelfStock'!CE21+'T_TTAFStock'!CE21,CD17+'Grid_Incoming'!CE17-'Grid_Requirement'!CE17))</f>
        <v/>
      </c>
      <c r="CF17">
        <f>IF(COUNTIFS(T_StockCount[Part Name],$A17,T_StockCount[WeekIndex],83)&gt;0,SUMIFS(T_StockCount[CountedQty],T_StockCount[Part Name],$A17,T_StockCount[WeekIndex],83),IF((('T_SelfStock'!CF21&lt;&gt;""))*(('T_TTAFStock'!CF21&lt;&gt;""))&gt;0,'T_SelfStock'!CF21+'T_TTAFStock'!CF21,CE17+'Grid_Incoming'!CF17-'Grid_Requirement'!CF17))</f>
        <v/>
      </c>
      <c r="CG17">
        <f>IF(COUNTIFS(T_StockCount[Part Name],$A17,T_StockCount[WeekIndex],84)&gt;0,SUMIFS(T_StockCount[CountedQty],T_StockCount[Part Name],$A17,T_StockCount[WeekIndex],84),IF((('T_SelfStock'!CG21&lt;&gt;""))*(('T_TTAFStock'!CG21&lt;&gt;""))&gt;0,'T_SelfStock'!CG21+'T_TTAFStock'!CG21,CF17+'Grid_Incoming'!CG17-'Grid_Requirement'!CG17))</f>
        <v/>
      </c>
      <c r="CH17">
        <f>IF(COUNTIFS(T_StockCount[Part Name],$A17,T_StockCount[WeekIndex],85)&gt;0,SUMIFS(T_StockCount[CountedQty],T_StockCount[Part Name],$A17,T_StockCount[WeekIndex],85),IF((('T_SelfStock'!CH21&lt;&gt;""))*(('T_TTAFStock'!CH21&lt;&gt;""))&gt;0,'T_SelfStock'!CH21+'T_TTAFStock'!CH21,CG17+'Grid_Incoming'!CH17-'Grid_Requirement'!CH17))</f>
        <v/>
      </c>
      <c r="CI17">
        <f>IF(COUNTIFS(T_StockCount[Part Name],$A17,T_StockCount[WeekIndex],86)&gt;0,SUMIFS(T_StockCount[CountedQty],T_StockCount[Part Name],$A17,T_StockCount[WeekIndex],86),IF((('T_SelfStock'!CI21&lt;&gt;""))*(('T_TTAFStock'!CI21&lt;&gt;""))&gt;0,'T_SelfStock'!CI21+'T_TTAFStock'!CI21,CH17+'Grid_Incoming'!CI17-'Grid_Requirement'!CI17))</f>
        <v/>
      </c>
      <c r="CJ17">
        <f>IF(COUNTIFS(T_StockCount[Part Name],$A17,T_StockCount[WeekIndex],87)&gt;0,SUMIFS(T_StockCount[CountedQty],T_StockCount[Part Name],$A17,T_StockCount[WeekIndex],87),IF((('T_SelfStock'!CJ21&lt;&gt;""))*(('T_TTAFStock'!CJ21&lt;&gt;""))&gt;0,'T_SelfStock'!CJ21+'T_TTAFStock'!CJ21,CI17+'Grid_Incoming'!CJ17-'Grid_Requirement'!CJ17))</f>
        <v/>
      </c>
      <c r="CK17">
        <f>IF(COUNTIFS(T_StockCount[Part Name],$A17,T_StockCount[WeekIndex],88)&gt;0,SUMIFS(T_StockCount[CountedQty],T_StockCount[Part Name],$A17,T_StockCount[WeekIndex],88),IF((('T_SelfStock'!CK21&lt;&gt;""))*(('T_TTAFStock'!CK21&lt;&gt;""))&gt;0,'T_SelfStock'!CK21+'T_TTAFStock'!CK21,CJ17+'Grid_Incoming'!CK17-'Grid_Requirement'!CK17))</f>
        <v/>
      </c>
      <c r="CL17">
        <f>IF(COUNTIFS(T_StockCount[Part Name],$A17,T_StockCount[WeekIndex],89)&gt;0,SUMIFS(T_StockCount[CountedQty],T_StockCount[Part Name],$A17,T_StockCount[WeekIndex],89),IF((('T_SelfStock'!CL21&lt;&gt;""))*(('T_TTAFStock'!CL21&lt;&gt;""))&gt;0,'T_SelfStock'!CL21+'T_TTAFStock'!CL21,CK17+'Grid_Incoming'!CL17-'Grid_Requirement'!CL17))</f>
        <v/>
      </c>
      <c r="CM17">
        <f>IF(COUNTIFS(T_StockCount[Part Name],$A17,T_StockCount[WeekIndex],90)&gt;0,SUMIFS(T_StockCount[CountedQty],T_StockCount[Part Name],$A17,T_StockCount[WeekIndex],90),IF((('T_SelfStock'!CM21&lt;&gt;""))*(('T_TTAFStock'!CM21&lt;&gt;""))&gt;0,'T_SelfStock'!CM21+'T_TTAFStock'!CM21,CL17+'Grid_Incoming'!CM17-'Grid_Requirement'!CM17))</f>
        <v/>
      </c>
      <c r="CN17">
        <f>IF(COUNTIFS(T_StockCount[Part Name],$A17,T_StockCount[WeekIndex],91)&gt;0,SUMIFS(T_StockCount[CountedQty],T_StockCount[Part Name],$A17,T_StockCount[WeekIndex],91),IF((('T_SelfStock'!CN21&lt;&gt;""))*(('T_TTAFStock'!CN21&lt;&gt;""))&gt;0,'T_SelfStock'!CN21+'T_TTAFStock'!CN21,CM17+'Grid_Incoming'!CN17-'Grid_Requirement'!CN17))</f>
        <v/>
      </c>
      <c r="CO17">
        <f>IF(COUNTIFS(T_StockCount[Part Name],$A17,T_StockCount[WeekIndex],92)&gt;0,SUMIFS(T_StockCount[CountedQty],T_StockCount[Part Name],$A17,T_StockCount[WeekIndex],92),IF((('T_SelfStock'!CO21&lt;&gt;""))*(('T_TTAFStock'!CO21&lt;&gt;""))&gt;0,'T_SelfStock'!CO21+'T_TTAFStock'!CO21,CN17+'Grid_Incoming'!CO17-'Grid_Requirement'!CO17))</f>
        <v/>
      </c>
      <c r="CP17">
        <f>IF(COUNTIFS(T_StockCount[Part Name],$A17,T_StockCount[WeekIndex],93)&gt;0,SUMIFS(T_StockCount[CountedQty],T_StockCount[Part Name],$A17,T_StockCount[WeekIndex],93),IF((('T_SelfStock'!CP21&lt;&gt;""))*(('T_TTAFStock'!CP21&lt;&gt;""))&gt;0,'T_SelfStock'!CP21+'T_TTAFStock'!CP21,CO17+'Grid_Incoming'!CP17-'Grid_Requirement'!CP17))</f>
        <v/>
      </c>
      <c r="CQ17">
        <f>IF(COUNTIFS(T_StockCount[Part Name],$A17,T_StockCount[WeekIndex],94)&gt;0,SUMIFS(T_StockCount[CountedQty],T_StockCount[Part Name],$A17,T_StockCount[WeekIndex],94),IF((('T_SelfStock'!CQ21&lt;&gt;""))*(('T_TTAFStock'!CQ21&lt;&gt;""))&gt;0,'T_SelfStock'!CQ21+'T_TTAFStock'!CQ21,CP17+'Grid_Incoming'!CQ17-'Grid_Requirement'!CQ17))</f>
        <v/>
      </c>
      <c r="CR17">
        <f>IF(COUNTIFS(T_StockCount[Part Name],$A17,T_StockCount[WeekIndex],95)&gt;0,SUMIFS(T_StockCount[CountedQty],T_StockCount[Part Name],$A17,T_StockCount[WeekIndex],95),IF((('T_SelfStock'!CR21&lt;&gt;""))*(('T_TTAFStock'!CR21&lt;&gt;""))&gt;0,'T_SelfStock'!CR21+'T_TTAFStock'!CR21,CQ17+'Grid_Incoming'!CR17-'Grid_Requirement'!CR17))</f>
        <v/>
      </c>
      <c r="CS17">
        <f>IF(COUNTIFS(T_StockCount[Part Name],$A17,T_StockCount[WeekIndex],96)&gt;0,SUMIFS(T_StockCount[CountedQty],T_StockCount[Part Name],$A17,T_StockCount[WeekIndex],96),IF((('T_SelfStock'!CS21&lt;&gt;""))*(('T_TTAFStock'!CS21&lt;&gt;""))&gt;0,'T_SelfStock'!CS21+'T_TTAFStock'!CS21,CR17+'Grid_Incoming'!CS17-'Grid_Requirement'!CS17))</f>
        <v/>
      </c>
      <c r="CT17">
        <f>IF(COUNTIFS(T_StockCount[Part Name],$A17,T_StockCount[WeekIndex],97)&gt;0,SUMIFS(T_StockCount[CountedQty],T_StockCount[Part Name],$A17,T_StockCount[WeekIndex],97),IF((('T_SelfStock'!CT21&lt;&gt;""))*(('T_TTAFStock'!CT21&lt;&gt;""))&gt;0,'T_SelfStock'!CT21+'T_TTAFStock'!CT21,CS17+'Grid_Incoming'!CT17-'Grid_Requirement'!CT17))</f>
        <v/>
      </c>
      <c r="CU17">
        <f>IF(COUNTIFS(T_StockCount[Part Name],$A17,T_StockCount[WeekIndex],98)&gt;0,SUMIFS(T_StockCount[CountedQty],T_StockCount[Part Name],$A17,T_StockCount[WeekIndex],98),IF((('T_SelfStock'!CU21&lt;&gt;""))*(('T_TTAFStock'!CU21&lt;&gt;""))&gt;0,'T_SelfStock'!CU21+'T_TTAFStock'!CU21,CT17+'Grid_Incoming'!CU17-'Grid_Requirement'!CU17))</f>
        <v/>
      </c>
      <c r="CV17">
        <f>IF(COUNTIFS(T_StockCount[Part Name],$A17,T_StockCount[WeekIndex],99)&gt;0,SUMIFS(T_StockCount[CountedQty],T_StockCount[Part Name],$A17,T_StockCount[WeekIndex],99),IF((('T_SelfStock'!CV21&lt;&gt;""))*(('T_TTAFStock'!CV21&lt;&gt;""))&gt;0,'T_SelfStock'!CV21+'T_TTAFStock'!CV21,CU17+'Grid_Incoming'!CV17-'Grid_Requirement'!CV17))</f>
        <v/>
      </c>
      <c r="CW17">
        <f>IF(COUNTIFS(T_StockCount[Part Name],$A17,T_StockCount[WeekIndex],100)&gt;0,SUMIFS(T_StockCount[CountedQty],T_StockCount[Part Name],$A17,T_StockCount[WeekIndex],100),IF((('T_SelfStock'!CW21&lt;&gt;""))*(('T_TTAFStock'!CW21&lt;&gt;""))&gt;0,'T_SelfStock'!CW21+'T_TTAFStock'!CW21,CV17+'Grid_Incoming'!CW17-'Grid_Requirement'!CW17))</f>
        <v/>
      </c>
      <c r="CX17">
        <f>IF(COUNTIFS(T_StockCount[Part Name],$A17,T_StockCount[WeekIndex],101)&gt;0,SUMIFS(T_StockCount[CountedQty],T_StockCount[Part Name],$A17,T_StockCount[WeekIndex],101),IF((('T_SelfStock'!CX21&lt;&gt;""))*(('T_TTAFStock'!CX21&lt;&gt;""))&gt;0,'T_SelfStock'!CX21+'T_TTAFStock'!CX21,CW17+'Grid_Incoming'!CX17-'Grid_Requirement'!CX17))</f>
        <v/>
      </c>
      <c r="CY17">
        <f>IF(COUNTIFS(T_StockCount[Part Name],$A17,T_StockCount[WeekIndex],102)&gt;0,SUMIFS(T_StockCount[CountedQty],T_StockCount[Part Name],$A17,T_StockCount[WeekIndex],102),IF((('T_SelfStock'!CY21&lt;&gt;""))*(('T_TTAFStock'!CY21&lt;&gt;""))&gt;0,'T_SelfStock'!CY21+'T_TTAFStock'!CY21,CX17+'Grid_Incoming'!CY17-'Grid_Requirement'!CY17))</f>
        <v/>
      </c>
      <c r="CZ17">
        <f>IF(COUNTIFS(T_StockCount[Part Name],$A17,T_StockCount[WeekIndex],103)&gt;0,SUMIFS(T_StockCount[CountedQty],T_StockCount[Part Name],$A17,T_StockCount[WeekIndex],103),IF((('T_SelfStock'!CZ21&lt;&gt;""))*(('T_TTAFStock'!CZ21&lt;&gt;""))&gt;0,'T_SelfStock'!CZ21+'T_TTAFStock'!CZ21,CY17+'Grid_Incoming'!CZ17-'Grid_Requirement'!CZ17))</f>
        <v/>
      </c>
      <c r="DA17">
        <f>IF(COUNTIFS(T_StockCount[Part Name],$A17,T_StockCount[WeekIndex],104)&gt;0,SUMIFS(T_StockCount[CountedQty],T_StockCount[Part Name],$A17,T_StockCount[WeekIndex],104),IF((('T_SelfStock'!DA21&lt;&gt;""))*(('T_TTAFStock'!DA21&lt;&gt;""))&gt;0,'T_SelfStock'!DA21+'T_TTAFStock'!DA21,CZ17+'Grid_Incoming'!DA17-'Grid_Requirement'!DA17))</f>
        <v/>
      </c>
    </row>
    <row r="18">
      <c r="A18" t="inlineStr">
        <is>
          <t>CHEM-1660</t>
        </is>
      </c>
      <c r="B18">
        <f>IF(COUNTIFS(T_StockCount[Part Name],$A18,T_StockCount[WeekIndex],1)&gt;0,SUMIFS(T_StockCount[CountedQty],T_StockCount[Part Name],$A18,T_StockCount[WeekIndex],1),IF((('T_SelfStock'!B22&lt;&gt;""))*(('T_TTAFStock'!B22&lt;&gt;""))&gt;0,'T_SelfStock'!B22+'T_TTAFStock'!B22,IFERROR(INDEX(T_OpeningStock[Opening_Qty],MATCH($A18,T_OpeningStock[Part Name],0)),0)+'Grid_Incoming'!B18-'Grid_Requirement'!B18))</f>
        <v/>
      </c>
      <c r="C18">
        <f>IF(COUNTIFS(T_StockCount[Part Name],$A18,T_StockCount[WeekIndex],2)&gt;0,SUMIFS(T_StockCount[CountedQty],T_StockCount[Part Name],$A18,T_StockCount[WeekIndex],2),IF((('T_SelfStock'!C22&lt;&gt;""))*(('T_TTAFStock'!C22&lt;&gt;""))&gt;0,'T_SelfStock'!C22+'T_TTAFStock'!C22,B18+'Grid_Incoming'!C18-'Grid_Requirement'!C18))</f>
        <v/>
      </c>
      <c r="D18">
        <f>IF(COUNTIFS(T_StockCount[Part Name],$A18,T_StockCount[WeekIndex],3)&gt;0,SUMIFS(T_StockCount[CountedQty],T_StockCount[Part Name],$A18,T_StockCount[WeekIndex],3),IF((('T_SelfStock'!D22&lt;&gt;""))*(('T_TTAFStock'!D22&lt;&gt;""))&gt;0,'T_SelfStock'!D22+'T_TTAFStock'!D22,C18+'Grid_Incoming'!D18-'Grid_Requirement'!D18))</f>
        <v/>
      </c>
      <c r="E18">
        <f>IF(COUNTIFS(T_StockCount[Part Name],$A18,T_StockCount[WeekIndex],4)&gt;0,SUMIFS(T_StockCount[CountedQty],T_StockCount[Part Name],$A18,T_StockCount[WeekIndex],4),IF((('T_SelfStock'!E22&lt;&gt;""))*(('T_TTAFStock'!E22&lt;&gt;""))&gt;0,'T_SelfStock'!E22+'T_TTAFStock'!E22,D18+'Grid_Incoming'!E18-'Grid_Requirement'!E18))</f>
        <v/>
      </c>
      <c r="F18">
        <f>IF(COUNTIFS(T_StockCount[Part Name],$A18,T_StockCount[WeekIndex],5)&gt;0,SUMIFS(T_StockCount[CountedQty],T_StockCount[Part Name],$A18,T_StockCount[WeekIndex],5),IF((('T_SelfStock'!F22&lt;&gt;""))*(('T_TTAFStock'!F22&lt;&gt;""))&gt;0,'T_SelfStock'!F22+'T_TTAFStock'!F22,E18+'Grid_Incoming'!F18-'Grid_Requirement'!F18))</f>
        <v/>
      </c>
      <c r="G18">
        <f>IF(COUNTIFS(T_StockCount[Part Name],$A18,T_StockCount[WeekIndex],6)&gt;0,SUMIFS(T_StockCount[CountedQty],T_StockCount[Part Name],$A18,T_StockCount[WeekIndex],6),IF((('T_SelfStock'!G22&lt;&gt;""))*(('T_TTAFStock'!G22&lt;&gt;""))&gt;0,'T_SelfStock'!G22+'T_TTAFStock'!G22,F18+'Grid_Incoming'!G18-'Grid_Requirement'!G18))</f>
        <v/>
      </c>
      <c r="H18">
        <f>IF(COUNTIFS(T_StockCount[Part Name],$A18,T_StockCount[WeekIndex],7)&gt;0,SUMIFS(T_StockCount[CountedQty],T_StockCount[Part Name],$A18,T_StockCount[WeekIndex],7),IF((('T_SelfStock'!H22&lt;&gt;""))*(('T_TTAFStock'!H22&lt;&gt;""))&gt;0,'T_SelfStock'!H22+'T_TTAFStock'!H22,G18+'Grid_Incoming'!H18-'Grid_Requirement'!H18))</f>
        <v/>
      </c>
      <c r="I18">
        <f>IF(COUNTIFS(T_StockCount[Part Name],$A18,T_StockCount[WeekIndex],8)&gt;0,SUMIFS(T_StockCount[CountedQty],T_StockCount[Part Name],$A18,T_StockCount[WeekIndex],8),IF((('T_SelfStock'!I22&lt;&gt;""))*(('T_TTAFStock'!I22&lt;&gt;""))&gt;0,'T_SelfStock'!I22+'T_TTAFStock'!I22,H18+'Grid_Incoming'!I18-'Grid_Requirement'!I18))</f>
        <v/>
      </c>
      <c r="J18">
        <f>IF(COUNTIFS(T_StockCount[Part Name],$A18,T_StockCount[WeekIndex],9)&gt;0,SUMIFS(T_StockCount[CountedQty],T_StockCount[Part Name],$A18,T_StockCount[WeekIndex],9),IF((('T_SelfStock'!J22&lt;&gt;""))*(('T_TTAFStock'!J22&lt;&gt;""))&gt;0,'T_SelfStock'!J22+'T_TTAFStock'!J22,I18+'Grid_Incoming'!J18-'Grid_Requirement'!J18))</f>
        <v/>
      </c>
      <c r="K18">
        <f>IF(COUNTIFS(T_StockCount[Part Name],$A18,T_StockCount[WeekIndex],10)&gt;0,SUMIFS(T_StockCount[CountedQty],T_StockCount[Part Name],$A18,T_StockCount[WeekIndex],10),IF((('T_SelfStock'!K22&lt;&gt;""))*(('T_TTAFStock'!K22&lt;&gt;""))&gt;0,'T_SelfStock'!K22+'T_TTAFStock'!K22,J18+'Grid_Incoming'!K18-'Grid_Requirement'!K18))</f>
        <v/>
      </c>
      <c r="L18">
        <f>IF(COUNTIFS(T_StockCount[Part Name],$A18,T_StockCount[WeekIndex],11)&gt;0,SUMIFS(T_StockCount[CountedQty],T_StockCount[Part Name],$A18,T_StockCount[WeekIndex],11),IF((('T_SelfStock'!L22&lt;&gt;""))*(('T_TTAFStock'!L22&lt;&gt;""))&gt;0,'T_SelfStock'!L22+'T_TTAFStock'!L22,K18+'Grid_Incoming'!L18-'Grid_Requirement'!L18))</f>
        <v/>
      </c>
      <c r="M18">
        <f>IF(COUNTIFS(T_StockCount[Part Name],$A18,T_StockCount[WeekIndex],12)&gt;0,SUMIFS(T_StockCount[CountedQty],T_StockCount[Part Name],$A18,T_StockCount[WeekIndex],12),IF((('T_SelfStock'!M22&lt;&gt;""))*(('T_TTAFStock'!M22&lt;&gt;""))&gt;0,'T_SelfStock'!M22+'T_TTAFStock'!M22,L18+'Grid_Incoming'!M18-'Grid_Requirement'!M18))</f>
        <v/>
      </c>
      <c r="N18">
        <f>IF(COUNTIFS(T_StockCount[Part Name],$A18,T_StockCount[WeekIndex],13)&gt;0,SUMIFS(T_StockCount[CountedQty],T_StockCount[Part Name],$A18,T_StockCount[WeekIndex],13),IF((('T_SelfStock'!N22&lt;&gt;""))*(('T_TTAFStock'!N22&lt;&gt;""))&gt;0,'T_SelfStock'!N22+'T_TTAFStock'!N22,M18+'Grid_Incoming'!N18-'Grid_Requirement'!N18))</f>
        <v/>
      </c>
      <c r="O18">
        <f>IF(COUNTIFS(T_StockCount[Part Name],$A18,T_StockCount[WeekIndex],14)&gt;0,SUMIFS(T_StockCount[CountedQty],T_StockCount[Part Name],$A18,T_StockCount[WeekIndex],14),IF((('T_SelfStock'!O22&lt;&gt;""))*(('T_TTAFStock'!O22&lt;&gt;""))&gt;0,'T_SelfStock'!O22+'T_TTAFStock'!O22,N18+'Grid_Incoming'!O18-'Grid_Requirement'!O18))</f>
        <v/>
      </c>
      <c r="P18">
        <f>IF(COUNTIFS(T_StockCount[Part Name],$A18,T_StockCount[WeekIndex],15)&gt;0,SUMIFS(T_StockCount[CountedQty],T_StockCount[Part Name],$A18,T_StockCount[WeekIndex],15),IF((('T_SelfStock'!P22&lt;&gt;""))*(('T_TTAFStock'!P22&lt;&gt;""))&gt;0,'T_SelfStock'!P22+'T_TTAFStock'!P22,O18+'Grid_Incoming'!P18-'Grid_Requirement'!P18))</f>
        <v/>
      </c>
      <c r="Q18">
        <f>IF(COUNTIFS(T_StockCount[Part Name],$A18,T_StockCount[WeekIndex],16)&gt;0,SUMIFS(T_StockCount[CountedQty],T_StockCount[Part Name],$A18,T_StockCount[WeekIndex],16),IF((('T_SelfStock'!Q22&lt;&gt;""))*(('T_TTAFStock'!Q22&lt;&gt;""))&gt;0,'T_SelfStock'!Q22+'T_TTAFStock'!Q22,P18+'Grid_Incoming'!Q18-'Grid_Requirement'!Q18))</f>
        <v/>
      </c>
      <c r="R18">
        <f>IF(COUNTIFS(T_StockCount[Part Name],$A18,T_StockCount[WeekIndex],17)&gt;0,SUMIFS(T_StockCount[CountedQty],T_StockCount[Part Name],$A18,T_StockCount[WeekIndex],17),IF((('T_SelfStock'!R22&lt;&gt;""))*(('T_TTAFStock'!R22&lt;&gt;""))&gt;0,'T_SelfStock'!R22+'T_TTAFStock'!R22,Q18+'Grid_Incoming'!R18-'Grid_Requirement'!R18))</f>
        <v/>
      </c>
      <c r="S18">
        <f>IF(COUNTIFS(T_StockCount[Part Name],$A18,T_StockCount[WeekIndex],18)&gt;0,SUMIFS(T_StockCount[CountedQty],T_StockCount[Part Name],$A18,T_StockCount[WeekIndex],18),IF((('T_SelfStock'!S22&lt;&gt;""))*(('T_TTAFStock'!S22&lt;&gt;""))&gt;0,'T_SelfStock'!S22+'T_TTAFStock'!S22,R18+'Grid_Incoming'!S18-'Grid_Requirement'!S18))</f>
        <v/>
      </c>
      <c r="T18">
        <f>IF(COUNTIFS(T_StockCount[Part Name],$A18,T_StockCount[WeekIndex],19)&gt;0,SUMIFS(T_StockCount[CountedQty],T_StockCount[Part Name],$A18,T_StockCount[WeekIndex],19),IF((('T_SelfStock'!T22&lt;&gt;""))*(('T_TTAFStock'!T22&lt;&gt;""))&gt;0,'T_SelfStock'!T22+'T_TTAFStock'!T22,S18+'Grid_Incoming'!T18-'Grid_Requirement'!T18))</f>
        <v/>
      </c>
      <c r="U18">
        <f>IF(COUNTIFS(T_StockCount[Part Name],$A18,T_StockCount[WeekIndex],20)&gt;0,SUMIFS(T_StockCount[CountedQty],T_StockCount[Part Name],$A18,T_StockCount[WeekIndex],20),IF((('T_SelfStock'!U22&lt;&gt;""))*(('T_TTAFStock'!U22&lt;&gt;""))&gt;0,'T_SelfStock'!U22+'T_TTAFStock'!U22,T18+'Grid_Incoming'!U18-'Grid_Requirement'!U18))</f>
        <v/>
      </c>
      <c r="V18">
        <f>IF(COUNTIFS(T_StockCount[Part Name],$A18,T_StockCount[WeekIndex],21)&gt;0,SUMIFS(T_StockCount[CountedQty],T_StockCount[Part Name],$A18,T_StockCount[WeekIndex],21),IF((('T_SelfStock'!V22&lt;&gt;""))*(('T_TTAFStock'!V22&lt;&gt;""))&gt;0,'T_SelfStock'!V22+'T_TTAFStock'!V22,U18+'Grid_Incoming'!V18-'Grid_Requirement'!V18))</f>
        <v/>
      </c>
      <c r="W18">
        <f>IF(COUNTIFS(T_StockCount[Part Name],$A18,T_StockCount[WeekIndex],22)&gt;0,SUMIFS(T_StockCount[CountedQty],T_StockCount[Part Name],$A18,T_StockCount[WeekIndex],22),IF((('T_SelfStock'!W22&lt;&gt;""))*(('T_TTAFStock'!W22&lt;&gt;""))&gt;0,'T_SelfStock'!W22+'T_TTAFStock'!W22,V18+'Grid_Incoming'!W18-'Grid_Requirement'!W18))</f>
        <v/>
      </c>
      <c r="X18">
        <f>IF(COUNTIFS(T_StockCount[Part Name],$A18,T_StockCount[WeekIndex],23)&gt;0,SUMIFS(T_StockCount[CountedQty],T_StockCount[Part Name],$A18,T_StockCount[WeekIndex],23),IF((('T_SelfStock'!X22&lt;&gt;""))*(('T_TTAFStock'!X22&lt;&gt;""))&gt;0,'T_SelfStock'!X22+'T_TTAFStock'!X22,W18+'Grid_Incoming'!X18-'Grid_Requirement'!X18))</f>
        <v/>
      </c>
      <c r="Y18">
        <f>IF(COUNTIFS(T_StockCount[Part Name],$A18,T_StockCount[WeekIndex],24)&gt;0,SUMIFS(T_StockCount[CountedQty],T_StockCount[Part Name],$A18,T_StockCount[WeekIndex],24),IF((('T_SelfStock'!Y22&lt;&gt;""))*(('T_TTAFStock'!Y22&lt;&gt;""))&gt;0,'T_SelfStock'!Y22+'T_TTAFStock'!Y22,X18+'Grid_Incoming'!Y18-'Grid_Requirement'!Y18))</f>
        <v/>
      </c>
      <c r="Z18">
        <f>IF(COUNTIFS(T_StockCount[Part Name],$A18,T_StockCount[WeekIndex],25)&gt;0,SUMIFS(T_StockCount[CountedQty],T_StockCount[Part Name],$A18,T_StockCount[WeekIndex],25),IF((('T_SelfStock'!Z22&lt;&gt;""))*(('T_TTAFStock'!Z22&lt;&gt;""))&gt;0,'T_SelfStock'!Z22+'T_TTAFStock'!Z22,Y18+'Grid_Incoming'!Z18-'Grid_Requirement'!Z18))</f>
        <v/>
      </c>
      <c r="AA18">
        <f>IF(COUNTIFS(T_StockCount[Part Name],$A18,T_StockCount[WeekIndex],26)&gt;0,SUMIFS(T_StockCount[CountedQty],T_StockCount[Part Name],$A18,T_StockCount[WeekIndex],26),IF((('T_SelfStock'!AA22&lt;&gt;""))*(('T_TTAFStock'!AA22&lt;&gt;""))&gt;0,'T_SelfStock'!AA22+'T_TTAFStock'!AA22,Z18+'Grid_Incoming'!AA18-'Grid_Requirement'!AA18))</f>
        <v/>
      </c>
      <c r="AB18">
        <f>IF(COUNTIFS(T_StockCount[Part Name],$A18,T_StockCount[WeekIndex],27)&gt;0,SUMIFS(T_StockCount[CountedQty],T_StockCount[Part Name],$A18,T_StockCount[WeekIndex],27),IF((('T_SelfStock'!AB22&lt;&gt;""))*(('T_TTAFStock'!AB22&lt;&gt;""))&gt;0,'T_SelfStock'!AB22+'T_TTAFStock'!AB22,AA18+'Grid_Incoming'!AB18-'Grid_Requirement'!AB18))</f>
        <v/>
      </c>
      <c r="AC18">
        <f>IF(COUNTIFS(T_StockCount[Part Name],$A18,T_StockCount[WeekIndex],28)&gt;0,SUMIFS(T_StockCount[CountedQty],T_StockCount[Part Name],$A18,T_StockCount[WeekIndex],28),IF((('T_SelfStock'!AC22&lt;&gt;""))*(('T_TTAFStock'!AC22&lt;&gt;""))&gt;0,'T_SelfStock'!AC22+'T_TTAFStock'!AC22,AB18+'Grid_Incoming'!AC18-'Grid_Requirement'!AC18))</f>
        <v/>
      </c>
      <c r="AD18">
        <f>IF(COUNTIFS(T_StockCount[Part Name],$A18,T_StockCount[WeekIndex],29)&gt;0,SUMIFS(T_StockCount[CountedQty],T_StockCount[Part Name],$A18,T_StockCount[WeekIndex],29),IF((('T_SelfStock'!AD22&lt;&gt;""))*(('T_TTAFStock'!AD22&lt;&gt;""))&gt;0,'T_SelfStock'!AD22+'T_TTAFStock'!AD22,AC18+'Grid_Incoming'!AD18-'Grid_Requirement'!AD18))</f>
        <v/>
      </c>
      <c r="AE18">
        <f>IF(COUNTIFS(T_StockCount[Part Name],$A18,T_StockCount[WeekIndex],30)&gt;0,SUMIFS(T_StockCount[CountedQty],T_StockCount[Part Name],$A18,T_StockCount[WeekIndex],30),IF((('T_SelfStock'!AE22&lt;&gt;""))*(('T_TTAFStock'!AE22&lt;&gt;""))&gt;0,'T_SelfStock'!AE22+'T_TTAFStock'!AE22,AD18+'Grid_Incoming'!AE18-'Grid_Requirement'!AE18))</f>
        <v/>
      </c>
      <c r="AF18">
        <f>IF(COUNTIFS(T_StockCount[Part Name],$A18,T_StockCount[WeekIndex],31)&gt;0,SUMIFS(T_StockCount[CountedQty],T_StockCount[Part Name],$A18,T_StockCount[WeekIndex],31),IF((('T_SelfStock'!AF22&lt;&gt;""))*(('T_TTAFStock'!AF22&lt;&gt;""))&gt;0,'T_SelfStock'!AF22+'T_TTAFStock'!AF22,AE18+'Grid_Incoming'!AF18-'Grid_Requirement'!AF18))</f>
        <v/>
      </c>
      <c r="AG18">
        <f>IF(COUNTIFS(T_StockCount[Part Name],$A18,T_StockCount[WeekIndex],32)&gt;0,SUMIFS(T_StockCount[CountedQty],T_StockCount[Part Name],$A18,T_StockCount[WeekIndex],32),IF((('T_SelfStock'!AG22&lt;&gt;""))*(('T_TTAFStock'!AG22&lt;&gt;""))&gt;0,'T_SelfStock'!AG22+'T_TTAFStock'!AG22,AF18+'Grid_Incoming'!AG18-'Grid_Requirement'!AG18))</f>
        <v/>
      </c>
      <c r="AH18">
        <f>IF(COUNTIFS(T_StockCount[Part Name],$A18,T_StockCount[WeekIndex],33)&gt;0,SUMIFS(T_StockCount[CountedQty],T_StockCount[Part Name],$A18,T_StockCount[WeekIndex],33),IF((('T_SelfStock'!AH22&lt;&gt;""))*(('T_TTAFStock'!AH22&lt;&gt;""))&gt;0,'T_SelfStock'!AH22+'T_TTAFStock'!AH22,AG18+'Grid_Incoming'!AH18-'Grid_Requirement'!AH18))</f>
        <v/>
      </c>
      <c r="AI18">
        <f>IF(COUNTIFS(T_StockCount[Part Name],$A18,T_StockCount[WeekIndex],34)&gt;0,SUMIFS(T_StockCount[CountedQty],T_StockCount[Part Name],$A18,T_StockCount[WeekIndex],34),IF((('T_SelfStock'!AI22&lt;&gt;""))*(('T_TTAFStock'!AI22&lt;&gt;""))&gt;0,'T_SelfStock'!AI22+'T_TTAFStock'!AI22,AH18+'Grid_Incoming'!AI18-'Grid_Requirement'!AI18))</f>
        <v/>
      </c>
      <c r="AJ18">
        <f>IF(COUNTIFS(T_StockCount[Part Name],$A18,T_StockCount[WeekIndex],35)&gt;0,SUMIFS(T_StockCount[CountedQty],T_StockCount[Part Name],$A18,T_StockCount[WeekIndex],35),IF((('T_SelfStock'!AJ22&lt;&gt;""))*(('T_TTAFStock'!AJ22&lt;&gt;""))&gt;0,'T_SelfStock'!AJ22+'T_TTAFStock'!AJ22,AI18+'Grid_Incoming'!AJ18-'Grid_Requirement'!AJ18))</f>
        <v/>
      </c>
      <c r="AK18">
        <f>IF(COUNTIFS(T_StockCount[Part Name],$A18,T_StockCount[WeekIndex],36)&gt;0,SUMIFS(T_StockCount[CountedQty],T_StockCount[Part Name],$A18,T_StockCount[WeekIndex],36),IF((('T_SelfStock'!AK22&lt;&gt;""))*(('T_TTAFStock'!AK22&lt;&gt;""))&gt;0,'T_SelfStock'!AK22+'T_TTAFStock'!AK22,AJ18+'Grid_Incoming'!AK18-'Grid_Requirement'!AK18))</f>
        <v/>
      </c>
      <c r="AL18">
        <f>IF(COUNTIFS(T_StockCount[Part Name],$A18,T_StockCount[WeekIndex],37)&gt;0,SUMIFS(T_StockCount[CountedQty],T_StockCount[Part Name],$A18,T_StockCount[WeekIndex],37),IF((('T_SelfStock'!AL22&lt;&gt;""))*(('T_TTAFStock'!AL22&lt;&gt;""))&gt;0,'T_SelfStock'!AL22+'T_TTAFStock'!AL22,AK18+'Grid_Incoming'!AL18-'Grid_Requirement'!AL18))</f>
        <v/>
      </c>
      <c r="AM18">
        <f>IF(COUNTIFS(T_StockCount[Part Name],$A18,T_StockCount[WeekIndex],38)&gt;0,SUMIFS(T_StockCount[CountedQty],T_StockCount[Part Name],$A18,T_StockCount[WeekIndex],38),IF((('T_SelfStock'!AM22&lt;&gt;""))*(('T_TTAFStock'!AM22&lt;&gt;""))&gt;0,'T_SelfStock'!AM22+'T_TTAFStock'!AM22,AL18+'Grid_Incoming'!AM18-'Grid_Requirement'!AM18))</f>
        <v/>
      </c>
      <c r="AN18">
        <f>IF(COUNTIFS(T_StockCount[Part Name],$A18,T_StockCount[WeekIndex],39)&gt;0,SUMIFS(T_StockCount[CountedQty],T_StockCount[Part Name],$A18,T_StockCount[WeekIndex],39),IF((('T_SelfStock'!AN22&lt;&gt;""))*(('T_TTAFStock'!AN22&lt;&gt;""))&gt;0,'T_SelfStock'!AN22+'T_TTAFStock'!AN22,AM18+'Grid_Incoming'!AN18-'Grid_Requirement'!AN18))</f>
        <v/>
      </c>
      <c r="AO18">
        <f>IF(COUNTIFS(T_StockCount[Part Name],$A18,T_StockCount[WeekIndex],40)&gt;0,SUMIFS(T_StockCount[CountedQty],T_StockCount[Part Name],$A18,T_StockCount[WeekIndex],40),IF((('T_SelfStock'!AO22&lt;&gt;""))*(('T_TTAFStock'!AO22&lt;&gt;""))&gt;0,'T_SelfStock'!AO22+'T_TTAFStock'!AO22,AN18+'Grid_Incoming'!AO18-'Grid_Requirement'!AO18))</f>
        <v/>
      </c>
      <c r="AP18">
        <f>IF(COUNTIFS(T_StockCount[Part Name],$A18,T_StockCount[WeekIndex],41)&gt;0,SUMIFS(T_StockCount[CountedQty],T_StockCount[Part Name],$A18,T_StockCount[WeekIndex],41),IF((('T_SelfStock'!AP22&lt;&gt;""))*(('T_TTAFStock'!AP22&lt;&gt;""))&gt;0,'T_SelfStock'!AP22+'T_TTAFStock'!AP22,AO18+'Grid_Incoming'!AP18-'Grid_Requirement'!AP18))</f>
        <v/>
      </c>
      <c r="AQ18">
        <f>IF(COUNTIFS(T_StockCount[Part Name],$A18,T_StockCount[WeekIndex],42)&gt;0,SUMIFS(T_StockCount[CountedQty],T_StockCount[Part Name],$A18,T_StockCount[WeekIndex],42),IF((('T_SelfStock'!AQ22&lt;&gt;""))*(('T_TTAFStock'!AQ22&lt;&gt;""))&gt;0,'T_SelfStock'!AQ22+'T_TTAFStock'!AQ22,AP18+'Grid_Incoming'!AQ18-'Grid_Requirement'!AQ18))</f>
        <v/>
      </c>
      <c r="AR18">
        <f>IF(COUNTIFS(T_StockCount[Part Name],$A18,T_StockCount[WeekIndex],43)&gt;0,SUMIFS(T_StockCount[CountedQty],T_StockCount[Part Name],$A18,T_StockCount[WeekIndex],43),IF((('T_SelfStock'!AR22&lt;&gt;""))*(('T_TTAFStock'!AR22&lt;&gt;""))&gt;0,'T_SelfStock'!AR22+'T_TTAFStock'!AR22,AQ18+'Grid_Incoming'!AR18-'Grid_Requirement'!AR18))</f>
        <v/>
      </c>
      <c r="AS18">
        <f>IF(COUNTIFS(T_StockCount[Part Name],$A18,T_StockCount[WeekIndex],44)&gt;0,SUMIFS(T_StockCount[CountedQty],T_StockCount[Part Name],$A18,T_StockCount[WeekIndex],44),IF((('T_SelfStock'!AS22&lt;&gt;""))*(('T_TTAFStock'!AS22&lt;&gt;""))&gt;0,'T_SelfStock'!AS22+'T_TTAFStock'!AS22,AR18+'Grid_Incoming'!AS18-'Grid_Requirement'!AS18))</f>
        <v/>
      </c>
      <c r="AT18">
        <f>IF(COUNTIFS(T_StockCount[Part Name],$A18,T_StockCount[WeekIndex],45)&gt;0,SUMIFS(T_StockCount[CountedQty],T_StockCount[Part Name],$A18,T_StockCount[WeekIndex],45),IF((('T_SelfStock'!AT22&lt;&gt;""))*(('T_TTAFStock'!AT22&lt;&gt;""))&gt;0,'T_SelfStock'!AT22+'T_TTAFStock'!AT22,AS18+'Grid_Incoming'!AT18-'Grid_Requirement'!AT18))</f>
        <v/>
      </c>
      <c r="AU18">
        <f>IF(COUNTIFS(T_StockCount[Part Name],$A18,T_StockCount[WeekIndex],46)&gt;0,SUMIFS(T_StockCount[CountedQty],T_StockCount[Part Name],$A18,T_StockCount[WeekIndex],46),IF((('T_SelfStock'!AU22&lt;&gt;""))*(('T_TTAFStock'!AU22&lt;&gt;""))&gt;0,'T_SelfStock'!AU22+'T_TTAFStock'!AU22,AT18+'Grid_Incoming'!AU18-'Grid_Requirement'!AU18))</f>
        <v/>
      </c>
      <c r="AV18">
        <f>IF(COUNTIFS(T_StockCount[Part Name],$A18,T_StockCount[WeekIndex],47)&gt;0,SUMIFS(T_StockCount[CountedQty],T_StockCount[Part Name],$A18,T_StockCount[WeekIndex],47),IF((('T_SelfStock'!AV22&lt;&gt;""))*(('T_TTAFStock'!AV22&lt;&gt;""))&gt;0,'T_SelfStock'!AV22+'T_TTAFStock'!AV22,AU18+'Grid_Incoming'!AV18-'Grid_Requirement'!AV18))</f>
        <v/>
      </c>
      <c r="AW18">
        <f>IF(COUNTIFS(T_StockCount[Part Name],$A18,T_StockCount[WeekIndex],48)&gt;0,SUMIFS(T_StockCount[CountedQty],T_StockCount[Part Name],$A18,T_StockCount[WeekIndex],48),IF((('T_SelfStock'!AW22&lt;&gt;""))*(('T_TTAFStock'!AW22&lt;&gt;""))&gt;0,'T_SelfStock'!AW22+'T_TTAFStock'!AW22,AV18+'Grid_Incoming'!AW18-'Grid_Requirement'!AW18))</f>
        <v/>
      </c>
      <c r="AX18">
        <f>IF(COUNTIFS(T_StockCount[Part Name],$A18,T_StockCount[WeekIndex],49)&gt;0,SUMIFS(T_StockCount[CountedQty],T_StockCount[Part Name],$A18,T_StockCount[WeekIndex],49),IF((('T_SelfStock'!AX22&lt;&gt;""))*(('T_TTAFStock'!AX22&lt;&gt;""))&gt;0,'T_SelfStock'!AX22+'T_TTAFStock'!AX22,AW18+'Grid_Incoming'!AX18-'Grid_Requirement'!AX18))</f>
        <v/>
      </c>
      <c r="AY18">
        <f>IF(COUNTIFS(T_StockCount[Part Name],$A18,T_StockCount[WeekIndex],50)&gt;0,SUMIFS(T_StockCount[CountedQty],T_StockCount[Part Name],$A18,T_StockCount[WeekIndex],50),IF((('T_SelfStock'!AY22&lt;&gt;""))*(('T_TTAFStock'!AY22&lt;&gt;""))&gt;0,'T_SelfStock'!AY22+'T_TTAFStock'!AY22,AX18+'Grid_Incoming'!AY18-'Grid_Requirement'!AY18))</f>
        <v/>
      </c>
      <c r="AZ18">
        <f>IF(COUNTIFS(T_StockCount[Part Name],$A18,T_StockCount[WeekIndex],51)&gt;0,SUMIFS(T_StockCount[CountedQty],T_StockCount[Part Name],$A18,T_StockCount[WeekIndex],51),IF((('T_SelfStock'!AZ22&lt;&gt;""))*(('T_TTAFStock'!AZ22&lt;&gt;""))&gt;0,'T_SelfStock'!AZ22+'T_TTAFStock'!AZ22,AY18+'Grid_Incoming'!AZ18-'Grid_Requirement'!AZ18))</f>
        <v/>
      </c>
      <c r="BA18">
        <f>IF(COUNTIFS(T_StockCount[Part Name],$A18,T_StockCount[WeekIndex],52)&gt;0,SUMIFS(T_StockCount[CountedQty],T_StockCount[Part Name],$A18,T_StockCount[WeekIndex],52),IF((('T_SelfStock'!BA22&lt;&gt;""))*(('T_TTAFStock'!BA22&lt;&gt;""))&gt;0,'T_SelfStock'!BA22+'T_TTAFStock'!BA22,AZ18+'Grid_Incoming'!BA18-'Grid_Requirement'!BA18))</f>
        <v/>
      </c>
      <c r="BB18">
        <f>IF(COUNTIFS(T_StockCount[Part Name],$A18,T_StockCount[WeekIndex],53)&gt;0,SUMIFS(T_StockCount[CountedQty],T_StockCount[Part Name],$A18,T_StockCount[WeekIndex],53),IF((('T_SelfStock'!BB22&lt;&gt;""))*(('T_TTAFStock'!BB22&lt;&gt;""))&gt;0,'T_SelfStock'!BB22+'T_TTAFStock'!BB22,BA18+'Grid_Incoming'!BB18-'Grid_Requirement'!BB18))</f>
        <v/>
      </c>
      <c r="BC18">
        <f>IF(COUNTIFS(T_StockCount[Part Name],$A18,T_StockCount[WeekIndex],54)&gt;0,SUMIFS(T_StockCount[CountedQty],T_StockCount[Part Name],$A18,T_StockCount[WeekIndex],54),IF((('T_SelfStock'!BC22&lt;&gt;""))*(('T_TTAFStock'!BC22&lt;&gt;""))&gt;0,'T_SelfStock'!BC22+'T_TTAFStock'!BC22,BB18+'Grid_Incoming'!BC18-'Grid_Requirement'!BC18))</f>
        <v/>
      </c>
      <c r="BD18">
        <f>IF(COUNTIFS(T_StockCount[Part Name],$A18,T_StockCount[WeekIndex],55)&gt;0,SUMIFS(T_StockCount[CountedQty],T_StockCount[Part Name],$A18,T_StockCount[WeekIndex],55),IF((('T_SelfStock'!BD22&lt;&gt;""))*(('T_TTAFStock'!BD22&lt;&gt;""))&gt;0,'T_SelfStock'!BD22+'T_TTAFStock'!BD22,BC18+'Grid_Incoming'!BD18-'Grid_Requirement'!BD18))</f>
        <v/>
      </c>
      <c r="BE18">
        <f>IF(COUNTIFS(T_StockCount[Part Name],$A18,T_StockCount[WeekIndex],56)&gt;0,SUMIFS(T_StockCount[CountedQty],T_StockCount[Part Name],$A18,T_StockCount[WeekIndex],56),IF((('T_SelfStock'!BE22&lt;&gt;""))*(('T_TTAFStock'!BE22&lt;&gt;""))&gt;0,'T_SelfStock'!BE22+'T_TTAFStock'!BE22,BD18+'Grid_Incoming'!BE18-'Grid_Requirement'!BE18))</f>
        <v/>
      </c>
      <c r="BF18">
        <f>IF(COUNTIFS(T_StockCount[Part Name],$A18,T_StockCount[WeekIndex],57)&gt;0,SUMIFS(T_StockCount[CountedQty],T_StockCount[Part Name],$A18,T_StockCount[WeekIndex],57),IF((('T_SelfStock'!BF22&lt;&gt;""))*(('T_TTAFStock'!BF22&lt;&gt;""))&gt;0,'T_SelfStock'!BF22+'T_TTAFStock'!BF22,BE18+'Grid_Incoming'!BF18-'Grid_Requirement'!BF18))</f>
        <v/>
      </c>
      <c r="BG18">
        <f>IF(COUNTIFS(T_StockCount[Part Name],$A18,T_StockCount[WeekIndex],58)&gt;0,SUMIFS(T_StockCount[CountedQty],T_StockCount[Part Name],$A18,T_StockCount[WeekIndex],58),IF((('T_SelfStock'!BG22&lt;&gt;""))*(('T_TTAFStock'!BG22&lt;&gt;""))&gt;0,'T_SelfStock'!BG22+'T_TTAFStock'!BG22,BF18+'Grid_Incoming'!BG18-'Grid_Requirement'!BG18))</f>
        <v/>
      </c>
      <c r="BH18">
        <f>IF(COUNTIFS(T_StockCount[Part Name],$A18,T_StockCount[WeekIndex],59)&gt;0,SUMIFS(T_StockCount[CountedQty],T_StockCount[Part Name],$A18,T_StockCount[WeekIndex],59),IF((('T_SelfStock'!BH22&lt;&gt;""))*(('T_TTAFStock'!BH22&lt;&gt;""))&gt;0,'T_SelfStock'!BH22+'T_TTAFStock'!BH22,BG18+'Grid_Incoming'!BH18-'Grid_Requirement'!BH18))</f>
        <v/>
      </c>
      <c r="BI18">
        <f>IF(COUNTIFS(T_StockCount[Part Name],$A18,T_StockCount[WeekIndex],60)&gt;0,SUMIFS(T_StockCount[CountedQty],T_StockCount[Part Name],$A18,T_StockCount[WeekIndex],60),IF((('T_SelfStock'!BI22&lt;&gt;""))*(('T_TTAFStock'!BI22&lt;&gt;""))&gt;0,'T_SelfStock'!BI22+'T_TTAFStock'!BI22,BH18+'Grid_Incoming'!BI18-'Grid_Requirement'!BI18))</f>
        <v/>
      </c>
      <c r="BJ18">
        <f>IF(COUNTIFS(T_StockCount[Part Name],$A18,T_StockCount[WeekIndex],61)&gt;0,SUMIFS(T_StockCount[CountedQty],T_StockCount[Part Name],$A18,T_StockCount[WeekIndex],61),IF((('T_SelfStock'!BJ22&lt;&gt;""))*(('T_TTAFStock'!BJ22&lt;&gt;""))&gt;0,'T_SelfStock'!BJ22+'T_TTAFStock'!BJ22,BI18+'Grid_Incoming'!BJ18-'Grid_Requirement'!BJ18))</f>
        <v/>
      </c>
      <c r="BK18">
        <f>IF(COUNTIFS(T_StockCount[Part Name],$A18,T_StockCount[WeekIndex],62)&gt;0,SUMIFS(T_StockCount[CountedQty],T_StockCount[Part Name],$A18,T_StockCount[WeekIndex],62),IF((('T_SelfStock'!BK22&lt;&gt;""))*(('T_TTAFStock'!BK22&lt;&gt;""))&gt;0,'T_SelfStock'!BK22+'T_TTAFStock'!BK22,BJ18+'Grid_Incoming'!BK18-'Grid_Requirement'!BK18))</f>
        <v/>
      </c>
      <c r="BL18">
        <f>IF(COUNTIFS(T_StockCount[Part Name],$A18,T_StockCount[WeekIndex],63)&gt;0,SUMIFS(T_StockCount[CountedQty],T_StockCount[Part Name],$A18,T_StockCount[WeekIndex],63),IF((('T_SelfStock'!BL22&lt;&gt;""))*(('T_TTAFStock'!BL22&lt;&gt;""))&gt;0,'T_SelfStock'!BL22+'T_TTAFStock'!BL22,BK18+'Grid_Incoming'!BL18-'Grid_Requirement'!BL18))</f>
        <v/>
      </c>
      <c r="BM18">
        <f>IF(COUNTIFS(T_StockCount[Part Name],$A18,T_StockCount[WeekIndex],64)&gt;0,SUMIFS(T_StockCount[CountedQty],T_StockCount[Part Name],$A18,T_StockCount[WeekIndex],64),IF((('T_SelfStock'!BM22&lt;&gt;""))*(('T_TTAFStock'!BM22&lt;&gt;""))&gt;0,'T_SelfStock'!BM22+'T_TTAFStock'!BM22,BL18+'Grid_Incoming'!BM18-'Grid_Requirement'!BM18))</f>
        <v/>
      </c>
      <c r="BN18">
        <f>IF(COUNTIFS(T_StockCount[Part Name],$A18,T_StockCount[WeekIndex],65)&gt;0,SUMIFS(T_StockCount[CountedQty],T_StockCount[Part Name],$A18,T_StockCount[WeekIndex],65),IF((('T_SelfStock'!BN22&lt;&gt;""))*(('T_TTAFStock'!BN22&lt;&gt;""))&gt;0,'T_SelfStock'!BN22+'T_TTAFStock'!BN22,BM18+'Grid_Incoming'!BN18-'Grid_Requirement'!BN18))</f>
        <v/>
      </c>
      <c r="BO18">
        <f>IF(COUNTIFS(T_StockCount[Part Name],$A18,T_StockCount[WeekIndex],66)&gt;0,SUMIFS(T_StockCount[CountedQty],T_StockCount[Part Name],$A18,T_StockCount[WeekIndex],66),IF((('T_SelfStock'!BO22&lt;&gt;""))*(('T_TTAFStock'!BO22&lt;&gt;""))&gt;0,'T_SelfStock'!BO22+'T_TTAFStock'!BO22,BN18+'Grid_Incoming'!BO18-'Grid_Requirement'!BO18))</f>
        <v/>
      </c>
      <c r="BP18">
        <f>IF(COUNTIFS(T_StockCount[Part Name],$A18,T_StockCount[WeekIndex],67)&gt;0,SUMIFS(T_StockCount[CountedQty],T_StockCount[Part Name],$A18,T_StockCount[WeekIndex],67),IF((('T_SelfStock'!BP22&lt;&gt;""))*(('T_TTAFStock'!BP22&lt;&gt;""))&gt;0,'T_SelfStock'!BP22+'T_TTAFStock'!BP22,BO18+'Grid_Incoming'!BP18-'Grid_Requirement'!BP18))</f>
        <v/>
      </c>
      <c r="BQ18">
        <f>IF(COUNTIFS(T_StockCount[Part Name],$A18,T_StockCount[WeekIndex],68)&gt;0,SUMIFS(T_StockCount[CountedQty],T_StockCount[Part Name],$A18,T_StockCount[WeekIndex],68),IF((('T_SelfStock'!BQ22&lt;&gt;""))*(('T_TTAFStock'!BQ22&lt;&gt;""))&gt;0,'T_SelfStock'!BQ22+'T_TTAFStock'!BQ22,BP18+'Grid_Incoming'!BQ18-'Grid_Requirement'!BQ18))</f>
        <v/>
      </c>
      <c r="BR18">
        <f>IF(COUNTIFS(T_StockCount[Part Name],$A18,T_StockCount[WeekIndex],69)&gt;0,SUMIFS(T_StockCount[CountedQty],T_StockCount[Part Name],$A18,T_StockCount[WeekIndex],69),IF((('T_SelfStock'!BR22&lt;&gt;""))*(('T_TTAFStock'!BR22&lt;&gt;""))&gt;0,'T_SelfStock'!BR22+'T_TTAFStock'!BR22,BQ18+'Grid_Incoming'!BR18-'Grid_Requirement'!BR18))</f>
        <v/>
      </c>
      <c r="BS18">
        <f>IF(COUNTIFS(T_StockCount[Part Name],$A18,T_StockCount[WeekIndex],70)&gt;0,SUMIFS(T_StockCount[CountedQty],T_StockCount[Part Name],$A18,T_StockCount[WeekIndex],70),IF((('T_SelfStock'!BS22&lt;&gt;""))*(('T_TTAFStock'!BS22&lt;&gt;""))&gt;0,'T_SelfStock'!BS22+'T_TTAFStock'!BS22,BR18+'Grid_Incoming'!BS18-'Grid_Requirement'!BS18))</f>
        <v/>
      </c>
      <c r="BT18">
        <f>IF(COUNTIFS(T_StockCount[Part Name],$A18,T_StockCount[WeekIndex],71)&gt;0,SUMIFS(T_StockCount[CountedQty],T_StockCount[Part Name],$A18,T_StockCount[WeekIndex],71),IF((('T_SelfStock'!BT22&lt;&gt;""))*(('T_TTAFStock'!BT22&lt;&gt;""))&gt;0,'T_SelfStock'!BT22+'T_TTAFStock'!BT22,BS18+'Grid_Incoming'!BT18-'Grid_Requirement'!BT18))</f>
        <v/>
      </c>
      <c r="BU18">
        <f>IF(COUNTIFS(T_StockCount[Part Name],$A18,T_StockCount[WeekIndex],72)&gt;0,SUMIFS(T_StockCount[CountedQty],T_StockCount[Part Name],$A18,T_StockCount[WeekIndex],72),IF((('T_SelfStock'!BU22&lt;&gt;""))*(('T_TTAFStock'!BU22&lt;&gt;""))&gt;0,'T_SelfStock'!BU22+'T_TTAFStock'!BU22,BT18+'Grid_Incoming'!BU18-'Grid_Requirement'!BU18))</f>
        <v/>
      </c>
      <c r="BV18">
        <f>IF(COUNTIFS(T_StockCount[Part Name],$A18,T_StockCount[WeekIndex],73)&gt;0,SUMIFS(T_StockCount[CountedQty],T_StockCount[Part Name],$A18,T_StockCount[WeekIndex],73),IF((('T_SelfStock'!BV22&lt;&gt;""))*(('T_TTAFStock'!BV22&lt;&gt;""))&gt;0,'T_SelfStock'!BV22+'T_TTAFStock'!BV22,BU18+'Grid_Incoming'!BV18-'Grid_Requirement'!BV18))</f>
        <v/>
      </c>
      <c r="BW18">
        <f>IF(COUNTIFS(T_StockCount[Part Name],$A18,T_StockCount[WeekIndex],74)&gt;0,SUMIFS(T_StockCount[CountedQty],T_StockCount[Part Name],$A18,T_StockCount[WeekIndex],74),IF((('T_SelfStock'!BW22&lt;&gt;""))*(('T_TTAFStock'!BW22&lt;&gt;""))&gt;0,'T_SelfStock'!BW22+'T_TTAFStock'!BW22,BV18+'Grid_Incoming'!BW18-'Grid_Requirement'!BW18))</f>
        <v/>
      </c>
      <c r="BX18">
        <f>IF(COUNTIFS(T_StockCount[Part Name],$A18,T_StockCount[WeekIndex],75)&gt;0,SUMIFS(T_StockCount[CountedQty],T_StockCount[Part Name],$A18,T_StockCount[WeekIndex],75),IF((('T_SelfStock'!BX22&lt;&gt;""))*(('T_TTAFStock'!BX22&lt;&gt;""))&gt;0,'T_SelfStock'!BX22+'T_TTAFStock'!BX22,BW18+'Grid_Incoming'!BX18-'Grid_Requirement'!BX18))</f>
        <v/>
      </c>
      <c r="BY18">
        <f>IF(COUNTIFS(T_StockCount[Part Name],$A18,T_StockCount[WeekIndex],76)&gt;0,SUMIFS(T_StockCount[CountedQty],T_StockCount[Part Name],$A18,T_StockCount[WeekIndex],76),IF((('T_SelfStock'!BY22&lt;&gt;""))*(('T_TTAFStock'!BY22&lt;&gt;""))&gt;0,'T_SelfStock'!BY22+'T_TTAFStock'!BY22,BX18+'Grid_Incoming'!BY18-'Grid_Requirement'!BY18))</f>
        <v/>
      </c>
      <c r="BZ18">
        <f>IF(COUNTIFS(T_StockCount[Part Name],$A18,T_StockCount[WeekIndex],77)&gt;0,SUMIFS(T_StockCount[CountedQty],T_StockCount[Part Name],$A18,T_StockCount[WeekIndex],77),IF((('T_SelfStock'!BZ22&lt;&gt;""))*(('T_TTAFStock'!BZ22&lt;&gt;""))&gt;0,'T_SelfStock'!BZ22+'T_TTAFStock'!BZ22,BY18+'Grid_Incoming'!BZ18-'Grid_Requirement'!BZ18))</f>
        <v/>
      </c>
      <c r="CA18">
        <f>IF(COUNTIFS(T_StockCount[Part Name],$A18,T_StockCount[WeekIndex],78)&gt;0,SUMIFS(T_StockCount[CountedQty],T_StockCount[Part Name],$A18,T_StockCount[WeekIndex],78),IF((('T_SelfStock'!CA22&lt;&gt;""))*(('T_TTAFStock'!CA22&lt;&gt;""))&gt;0,'T_SelfStock'!CA22+'T_TTAFStock'!CA22,BZ18+'Grid_Incoming'!CA18-'Grid_Requirement'!CA18))</f>
        <v/>
      </c>
      <c r="CB18">
        <f>IF(COUNTIFS(T_StockCount[Part Name],$A18,T_StockCount[WeekIndex],79)&gt;0,SUMIFS(T_StockCount[CountedQty],T_StockCount[Part Name],$A18,T_StockCount[WeekIndex],79),IF((('T_SelfStock'!CB22&lt;&gt;""))*(('T_TTAFStock'!CB22&lt;&gt;""))&gt;0,'T_SelfStock'!CB22+'T_TTAFStock'!CB22,CA18+'Grid_Incoming'!CB18-'Grid_Requirement'!CB18))</f>
        <v/>
      </c>
      <c r="CC18">
        <f>IF(COUNTIFS(T_StockCount[Part Name],$A18,T_StockCount[WeekIndex],80)&gt;0,SUMIFS(T_StockCount[CountedQty],T_StockCount[Part Name],$A18,T_StockCount[WeekIndex],80),IF((('T_SelfStock'!CC22&lt;&gt;""))*(('T_TTAFStock'!CC22&lt;&gt;""))&gt;0,'T_SelfStock'!CC22+'T_TTAFStock'!CC22,CB18+'Grid_Incoming'!CC18-'Grid_Requirement'!CC18))</f>
        <v/>
      </c>
      <c r="CD18">
        <f>IF(COUNTIFS(T_StockCount[Part Name],$A18,T_StockCount[WeekIndex],81)&gt;0,SUMIFS(T_StockCount[CountedQty],T_StockCount[Part Name],$A18,T_StockCount[WeekIndex],81),IF((('T_SelfStock'!CD22&lt;&gt;""))*(('T_TTAFStock'!CD22&lt;&gt;""))&gt;0,'T_SelfStock'!CD22+'T_TTAFStock'!CD22,CC18+'Grid_Incoming'!CD18-'Grid_Requirement'!CD18))</f>
        <v/>
      </c>
      <c r="CE18">
        <f>IF(COUNTIFS(T_StockCount[Part Name],$A18,T_StockCount[WeekIndex],82)&gt;0,SUMIFS(T_StockCount[CountedQty],T_StockCount[Part Name],$A18,T_StockCount[WeekIndex],82),IF((('T_SelfStock'!CE22&lt;&gt;""))*(('T_TTAFStock'!CE22&lt;&gt;""))&gt;0,'T_SelfStock'!CE22+'T_TTAFStock'!CE22,CD18+'Grid_Incoming'!CE18-'Grid_Requirement'!CE18))</f>
        <v/>
      </c>
      <c r="CF18">
        <f>IF(COUNTIFS(T_StockCount[Part Name],$A18,T_StockCount[WeekIndex],83)&gt;0,SUMIFS(T_StockCount[CountedQty],T_StockCount[Part Name],$A18,T_StockCount[WeekIndex],83),IF((('T_SelfStock'!CF22&lt;&gt;""))*(('T_TTAFStock'!CF22&lt;&gt;""))&gt;0,'T_SelfStock'!CF22+'T_TTAFStock'!CF22,CE18+'Grid_Incoming'!CF18-'Grid_Requirement'!CF18))</f>
        <v/>
      </c>
      <c r="CG18">
        <f>IF(COUNTIFS(T_StockCount[Part Name],$A18,T_StockCount[WeekIndex],84)&gt;0,SUMIFS(T_StockCount[CountedQty],T_StockCount[Part Name],$A18,T_StockCount[WeekIndex],84),IF((('T_SelfStock'!CG22&lt;&gt;""))*(('T_TTAFStock'!CG22&lt;&gt;""))&gt;0,'T_SelfStock'!CG22+'T_TTAFStock'!CG22,CF18+'Grid_Incoming'!CG18-'Grid_Requirement'!CG18))</f>
        <v/>
      </c>
      <c r="CH18">
        <f>IF(COUNTIFS(T_StockCount[Part Name],$A18,T_StockCount[WeekIndex],85)&gt;0,SUMIFS(T_StockCount[CountedQty],T_StockCount[Part Name],$A18,T_StockCount[WeekIndex],85),IF((('T_SelfStock'!CH22&lt;&gt;""))*(('T_TTAFStock'!CH22&lt;&gt;""))&gt;0,'T_SelfStock'!CH22+'T_TTAFStock'!CH22,CG18+'Grid_Incoming'!CH18-'Grid_Requirement'!CH18))</f>
        <v/>
      </c>
      <c r="CI18">
        <f>IF(COUNTIFS(T_StockCount[Part Name],$A18,T_StockCount[WeekIndex],86)&gt;0,SUMIFS(T_StockCount[CountedQty],T_StockCount[Part Name],$A18,T_StockCount[WeekIndex],86),IF((('T_SelfStock'!CI22&lt;&gt;""))*(('T_TTAFStock'!CI22&lt;&gt;""))&gt;0,'T_SelfStock'!CI22+'T_TTAFStock'!CI22,CH18+'Grid_Incoming'!CI18-'Grid_Requirement'!CI18))</f>
        <v/>
      </c>
      <c r="CJ18">
        <f>IF(COUNTIFS(T_StockCount[Part Name],$A18,T_StockCount[WeekIndex],87)&gt;0,SUMIFS(T_StockCount[CountedQty],T_StockCount[Part Name],$A18,T_StockCount[WeekIndex],87),IF((('T_SelfStock'!CJ22&lt;&gt;""))*(('T_TTAFStock'!CJ22&lt;&gt;""))&gt;0,'T_SelfStock'!CJ22+'T_TTAFStock'!CJ22,CI18+'Grid_Incoming'!CJ18-'Grid_Requirement'!CJ18))</f>
        <v/>
      </c>
      <c r="CK18">
        <f>IF(COUNTIFS(T_StockCount[Part Name],$A18,T_StockCount[WeekIndex],88)&gt;0,SUMIFS(T_StockCount[CountedQty],T_StockCount[Part Name],$A18,T_StockCount[WeekIndex],88),IF((('T_SelfStock'!CK22&lt;&gt;""))*(('T_TTAFStock'!CK22&lt;&gt;""))&gt;0,'T_SelfStock'!CK22+'T_TTAFStock'!CK22,CJ18+'Grid_Incoming'!CK18-'Grid_Requirement'!CK18))</f>
        <v/>
      </c>
      <c r="CL18">
        <f>IF(COUNTIFS(T_StockCount[Part Name],$A18,T_StockCount[WeekIndex],89)&gt;0,SUMIFS(T_StockCount[CountedQty],T_StockCount[Part Name],$A18,T_StockCount[WeekIndex],89),IF((('T_SelfStock'!CL22&lt;&gt;""))*(('T_TTAFStock'!CL22&lt;&gt;""))&gt;0,'T_SelfStock'!CL22+'T_TTAFStock'!CL22,CK18+'Grid_Incoming'!CL18-'Grid_Requirement'!CL18))</f>
        <v/>
      </c>
      <c r="CM18">
        <f>IF(COUNTIFS(T_StockCount[Part Name],$A18,T_StockCount[WeekIndex],90)&gt;0,SUMIFS(T_StockCount[CountedQty],T_StockCount[Part Name],$A18,T_StockCount[WeekIndex],90),IF((('T_SelfStock'!CM22&lt;&gt;""))*(('T_TTAFStock'!CM22&lt;&gt;""))&gt;0,'T_SelfStock'!CM22+'T_TTAFStock'!CM22,CL18+'Grid_Incoming'!CM18-'Grid_Requirement'!CM18))</f>
        <v/>
      </c>
      <c r="CN18">
        <f>IF(COUNTIFS(T_StockCount[Part Name],$A18,T_StockCount[WeekIndex],91)&gt;0,SUMIFS(T_StockCount[CountedQty],T_StockCount[Part Name],$A18,T_StockCount[WeekIndex],91),IF((('T_SelfStock'!CN22&lt;&gt;""))*(('T_TTAFStock'!CN22&lt;&gt;""))&gt;0,'T_SelfStock'!CN22+'T_TTAFStock'!CN22,CM18+'Grid_Incoming'!CN18-'Grid_Requirement'!CN18))</f>
        <v/>
      </c>
      <c r="CO18">
        <f>IF(COUNTIFS(T_StockCount[Part Name],$A18,T_StockCount[WeekIndex],92)&gt;0,SUMIFS(T_StockCount[CountedQty],T_StockCount[Part Name],$A18,T_StockCount[WeekIndex],92),IF((('T_SelfStock'!CO22&lt;&gt;""))*(('T_TTAFStock'!CO22&lt;&gt;""))&gt;0,'T_SelfStock'!CO22+'T_TTAFStock'!CO22,CN18+'Grid_Incoming'!CO18-'Grid_Requirement'!CO18))</f>
        <v/>
      </c>
      <c r="CP18">
        <f>IF(COUNTIFS(T_StockCount[Part Name],$A18,T_StockCount[WeekIndex],93)&gt;0,SUMIFS(T_StockCount[CountedQty],T_StockCount[Part Name],$A18,T_StockCount[WeekIndex],93),IF((('T_SelfStock'!CP22&lt;&gt;""))*(('T_TTAFStock'!CP22&lt;&gt;""))&gt;0,'T_SelfStock'!CP22+'T_TTAFStock'!CP22,CO18+'Grid_Incoming'!CP18-'Grid_Requirement'!CP18))</f>
        <v/>
      </c>
      <c r="CQ18">
        <f>IF(COUNTIFS(T_StockCount[Part Name],$A18,T_StockCount[WeekIndex],94)&gt;0,SUMIFS(T_StockCount[CountedQty],T_StockCount[Part Name],$A18,T_StockCount[WeekIndex],94),IF((('T_SelfStock'!CQ22&lt;&gt;""))*(('T_TTAFStock'!CQ22&lt;&gt;""))&gt;0,'T_SelfStock'!CQ22+'T_TTAFStock'!CQ22,CP18+'Grid_Incoming'!CQ18-'Grid_Requirement'!CQ18))</f>
        <v/>
      </c>
      <c r="CR18">
        <f>IF(COUNTIFS(T_StockCount[Part Name],$A18,T_StockCount[WeekIndex],95)&gt;0,SUMIFS(T_StockCount[CountedQty],T_StockCount[Part Name],$A18,T_StockCount[WeekIndex],95),IF((('T_SelfStock'!CR22&lt;&gt;""))*(('T_TTAFStock'!CR22&lt;&gt;""))&gt;0,'T_SelfStock'!CR22+'T_TTAFStock'!CR22,CQ18+'Grid_Incoming'!CR18-'Grid_Requirement'!CR18))</f>
        <v/>
      </c>
      <c r="CS18">
        <f>IF(COUNTIFS(T_StockCount[Part Name],$A18,T_StockCount[WeekIndex],96)&gt;0,SUMIFS(T_StockCount[CountedQty],T_StockCount[Part Name],$A18,T_StockCount[WeekIndex],96),IF((('T_SelfStock'!CS22&lt;&gt;""))*(('T_TTAFStock'!CS22&lt;&gt;""))&gt;0,'T_SelfStock'!CS22+'T_TTAFStock'!CS22,CR18+'Grid_Incoming'!CS18-'Grid_Requirement'!CS18))</f>
        <v/>
      </c>
      <c r="CT18">
        <f>IF(COUNTIFS(T_StockCount[Part Name],$A18,T_StockCount[WeekIndex],97)&gt;0,SUMIFS(T_StockCount[CountedQty],T_StockCount[Part Name],$A18,T_StockCount[WeekIndex],97),IF((('T_SelfStock'!CT22&lt;&gt;""))*(('T_TTAFStock'!CT22&lt;&gt;""))&gt;0,'T_SelfStock'!CT22+'T_TTAFStock'!CT22,CS18+'Grid_Incoming'!CT18-'Grid_Requirement'!CT18))</f>
        <v/>
      </c>
      <c r="CU18">
        <f>IF(COUNTIFS(T_StockCount[Part Name],$A18,T_StockCount[WeekIndex],98)&gt;0,SUMIFS(T_StockCount[CountedQty],T_StockCount[Part Name],$A18,T_StockCount[WeekIndex],98),IF((('T_SelfStock'!CU22&lt;&gt;""))*(('T_TTAFStock'!CU22&lt;&gt;""))&gt;0,'T_SelfStock'!CU22+'T_TTAFStock'!CU22,CT18+'Grid_Incoming'!CU18-'Grid_Requirement'!CU18))</f>
        <v/>
      </c>
      <c r="CV18">
        <f>IF(COUNTIFS(T_StockCount[Part Name],$A18,T_StockCount[WeekIndex],99)&gt;0,SUMIFS(T_StockCount[CountedQty],T_StockCount[Part Name],$A18,T_StockCount[WeekIndex],99),IF((('T_SelfStock'!CV22&lt;&gt;""))*(('T_TTAFStock'!CV22&lt;&gt;""))&gt;0,'T_SelfStock'!CV22+'T_TTAFStock'!CV22,CU18+'Grid_Incoming'!CV18-'Grid_Requirement'!CV18))</f>
        <v/>
      </c>
      <c r="CW18">
        <f>IF(COUNTIFS(T_StockCount[Part Name],$A18,T_StockCount[WeekIndex],100)&gt;0,SUMIFS(T_StockCount[CountedQty],T_StockCount[Part Name],$A18,T_StockCount[WeekIndex],100),IF((('T_SelfStock'!CW22&lt;&gt;""))*(('T_TTAFStock'!CW22&lt;&gt;""))&gt;0,'T_SelfStock'!CW22+'T_TTAFStock'!CW22,CV18+'Grid_Incoming'!CW18-'Grid_Requirement'!CW18))</f>
        <v/>
      </c>
      <c r="CX18">
        <f>IF(COUNTIFS(T_StockCount[Part Name],$A18,T_StockCount[WeekIndex],101)&gt;0,SUMIFS(T_StockCount[CountedQty],T_StockCount[Part Name],$A18,T_StockCount[WeekIndex],101),IF((('T_SelfStock'!CX22&lt;&gt;""))*(('T_TTAFStock'!CX22&lt;&gt;""))&gt;0,'T_SelfStock'!CX22+'T_TTAFStock'!CX22,CW18+'Grid_Incoming'!CX18-'Grid_Requirement'!CX18))</f>
        <v/>
      </c>
      <c r="CY18">
        <f>IF(COUNTIFS(T_StockCount[Part Name],$A18,T_StockCount[WeekIndex],102)&gt;0,SUMIFS(T_StockCount[CountedQty],T_StockCount[Part Name],$A18,T_StockCount[WeekIndex],102),IF((('T_SelfStock'!CY22&lt;&gt;""))*(('T_TTAFStock'!CY22&lt;&gt;""))&gt;0,'T_SelfStock'!CY22+'T_TTAFStock'!CY22,CX18+'Grid_Incoming'!CY18-'Grid_Requirement'!CY18))</f>
        <v/>
      </c>
      <c r="CZ18">
        <f>IF(COUNTIFS(T_StockCount[Part Name],$A18,T_StockCount[WeekIndex],103)&gt;0,SUMIFS(T_StockCount[CountedQty],T_StockCount[Part Name],$A18,T_StockCount[WeekIndex],103),IF((('T_SelfStock'!CZ22&lt;&gt;""))*(('T_TTAFStock'!CZ22&lt;&gt;""))&gt;0,'T_SelfStock'!CZ22+'T_TTAFStock'!CZ22,CY18+'Grid_Incoming'!CZ18-'Grid_Requirement'!CZ18))</f>
        <v/>
      </c>
      <c r="DA18">
        <f>IF(COUNTIFS(T_StockCount[Part Name],$A18,T_StockCount[WeekIndex],104)&gt;0,SUMIFS(T_StockCount[CountedQty],T_StockCount[Part Name],$A18,T_StockCount[WeekIndex],104),IF((('T_SelfStock'!DA22&lt;&gt;""))*(('T_TTAFStock'!DA22&lt;&gt;""))&gt;0,'T_SelfStock'!DA22+'T_TTAFStock'!DA22,CZ18+'Grid_Incoming'!DA18-'Grid_Requirement'!DA18))</f>
        <v/>
      </c>
    </row>
    <row r="19">
      <c r="A19" t="inlineStr">
        <is>
          <t>CHEM-1600</t>
        </is>
      </c>
      <c r="B19">
        <f>IF(COUNTIFS(T_StockCount[Part Name],$A19,T_StockCount[WeekIndex],1)&gt;0,SUMIFS(T_StockCount[CountedQty],T_StockCount[Part Name],$A19,T_StockCount[WeekIndex],1),IF((('T_SelfStock'!B23&lt;&gt;""))*(('T_TTAFStock'!B23&lt;&gt;""))&gt;0,'T_SelfStock'!B23+'T_TTAFStock'!B23,IFERROR(INDEX(T_OpeningStock[Opening_Qty],MATCH($A19,T_OpeningStock[Part Name],0)),0)+'Grid_Incoming'!B19-'Grid_Requirement'!B19))</f>
        <v/>
      </c>
      <c r="C19">
        <f>IF(COUNTIFS(T_StockCount[Part Name],$A19,T_StockCount[WeekIndex],2)&gt;0,SUMIFS(T_StockCount[CountedQty],T_StockCount[Part Name],$A19,T_StockCount[WeekIndex],2),IF((('T_SelfStock'!C23&lt;&gt;""))*(('T_TTAFStock'!C23&lt;&gt;""))&gt;0,'T_SelfStock'!C23+'T_TTAFStock'!C23,B19+'Grid_Incoming'!C19-'Grid_Requirement'!C19))</f>
        <v/>
      </c>
      <c r="D19">
        <f>IF(COUNTIFS(T_StockCount[Part Name],$A19,T_StockCount[WeekIndex],3)&gt;0,SUMIFS(T_StockCount[CountedQty],T_StockCount[Part Name],$A19,T_StockCount[WeekIndex],3),IF((('T_SelfStock'!D23&lt;&gt;""))*(('T_TTAFStock'!D23&lt;&gt;""))&gt;0,'T_SelfStock'!D23+'T_TTAFStock'!D23,C19+'Grid_Incoming'!D19-'Grid_Requirement'!D19))</f>
        <v/>
      </c>
      <c r="E19">
        <f>IF(COUNTIFS(T_StockCount[Part Name],$A19,T_StockCount[WeekIndex],4)&gt;0,SUMIFS(T_StockCount[CountedQty],T_StockCount[Part Name],$A19,T_StockCount[WeekIndex],4),IF((('T_SelfStock'!E23&lt;&gt;""))*(('T_TTAFStock'!E23&lt;&gt;""))&gt;0,'T_SelfStock'!E23+'T_TTAFStock'!E23,D19+'Grid_Incoming'!E19-'Grid_Requirement'!E19))</f>
        <v/>
      </c>
      <c r="F19">
        <f>IF(COUNTIFS(T_StockCount[Part Name],$A19,T_StockCount[WeekIndex],5)&gt;0,SUMIFS(T_StockCount[CountedQty],T_StockCount[Part Name],$A19,T_StockCount[WeekIndex],5),IF((('T_SelfStock'!F23&lt;&gt;""))*(('T_TTAFStock'!F23&lt;&gt;""))&gt;0,'T_SelfStock'!F23+'T_TTAFStock'!F23,E19+'Grid_Incoming'!F19-'Grid_Requirement'!F19))</f>
        <v/>
      </c>
      <c r="G19">
        <f>IF(COUNTIFS(T_StockCount[Part Name],$A19,T_StockCount[WeekIndex],6)&gt;0,SUMIFS(T_StockCount[CountedQty],T_StockCount[Part Name],$A19,T_StockCount[WeekIndex],6),IF((('T_SelfStock'!G23&lt;&gt;""))*(('T_TTAFStock'!G23&lt;&gt;""))&gt;0,'T_SelfStock'!G23+'T_TTAFStock'!G23,F19+'Grid_Incoming'!G19-'Grid_Requirement'!G19))</f>
        <v/>
      </c>
      <c r="H19">
        <f>IF(COUNTIFS(T_StockCount[Part Name],$A19,T_StockCount[WeekIndex],7)&gt;0,SUMIFS(T_StockCount[CountedQty],T_StockCount[Part Name],$A19,T_StockCount[WeekIndex],7),IF((('T_SelfStock'!H23&lt;&gt;""))*(('T_TTAFStock'!H23&lt;&gt;""))&gt;0,'T_SelfStock'!H23+'T_TTAFStock'!H23,G19+'Grid_Incoming'!H19-'Grid_Requirement'!H19))</f>
        <v/>
      </c>
      <c r="I19">
        <f>IF(COUNTIFS(T_StockCount[Part Name],$A19,T_StockCount[WeekIndex],8)&gt;0,SUMIFS(T_StockCount[CountedQty],T_StockCount[Part Name],$A19,T_StockCount[WeekIndex],8),IF((('T_SelfStock'!I23&lt;&gt;""))*(('T_TTAFStock'!I23&lt;&gt;""))&gt;0,'T_SelfStock'!I23+'T_TTAFStock'!I23,H19+'Grid_Incoming'!I19-'Grid_Requirement'!I19))</f>
        <v/>
      </c>
      <c r="J19">
        <f>IF(COUNTIFS(T_StockCount[Part Name],$A19,T_StockCount[WeekIndex],9)&gt;0,SUMIFS(T_StockCount[CountedQty],T_StockCount[Part Name],$A19,T_StockCount[WeekIndex],9),IF((('T_SelfStock'!J23&lt;&gt;""))*(('T_TTAFStock'!J23&lt;&gt;""))&gt;0,'T_SelfStock'!J23+'T_TTAFStock'!J23,I19+'Grid_Incoming'!J19-'Grid_Requirement'!J19))</f>
        <v/>
      </c>
      <c r="K19">
        <f>IF(COUNTIFS(T_StockCount[Part Name],$A19,T_StockCount[WeekIndex],10)&gt;0,SUMIFS(T_StockCount[CountedQty],T_StockCount[Part Name],$A19,T_StockCount[WeekIndex],10),IF((('T_SelfStock'!K23&lt;&gt;""))*(('T_TTAFStock'!K23&lt;&gt;""))&gt;0,'T_SelfStock'!K23+'T_TTAFStock'!K23,J19+'Grid_Incoming'!K19-'Grid_Requirement'!K19))</f>
        <v/>
      </c>
      <c r="L19">
        <f>IF(COUNTIFS(T_StockCount[Part Name],$A19,T_StockCount[WeekIndex],11)&gt;0,SUMIFS(T_StockCount[CountedQty],T_StockCount[Part Name],$A19,T_StockCount[WeekIndex],11),IF((('T_SelfStock'!L23&lt;&gt;""))*(('T_TTAFStock'!L23&lt;&gt;""))&gt;0,'T_SelfStock'!L23+'T_TTAFStock'!L23,K19+'Grid_Incoming'!L19-'Grid_Requirement'!L19))</f>
        <v/>
      </c>
      <c r="M19">
        <f>IF(COUNTIFS(T_StockCount[Part Name],$A19,T_StockCount[WeekIndex],12)&gt;0,SUMIFS(T_StockCount[CountedQty],T_StockCount[Part Name],$A19,T_StockCount[WeekIndex],12),IF((('T_SelfStock'!M23&lt;&gt;""))*(('T_TTAFStock'!M23&lt;&gt;""))&gt;0,'T_SelfStock'!M23+'T_TTAFStock'!M23,L19+'Grid_Incoming'!M19-'Grid_Requirement'!M19))</f>
        <v/>
      </c>
      <c r="N19">
        <f>IF(COUNTIFS(T_StockCount[Part Name],$A19,T_StockCount[WeekIndex],13)&gt;0,SUMIFS(T_StockCount[CountedQty],T_StockCount[Part Name],$A19,T_StockCount[WeekIndex],13),IF((('T_SelfStock'!N23&lt;&gt;""))*(('T_TTAFStock'!N23&lt;&gt;""))&gt;0,'T_SelfStock'!N23+'T_TTAFStock'!N23,M19+'Grid_Incoming'!N19-'Grid_Requirement'!N19))</f>
        <v/>
      </c>
      <c r="O19">
        <f>IF(COUNTIFS(T_StockCount[Part Name],$A19,T_StockCount[WeekIndex],14)&gt;0,SUMIFS(T_StockCount[CountedQty],T_StockCount[Part Name],$A19,T_StockCount[WeekIndex],14),IF((('T_SelfStock'!O23&lt;&gt;""))*(('T_TTAFStock'!O23&lt;&gt;""))&gt;0,'T_SelfStock'!O23+'T_TTAFStock'!O23,N19+'Grid_Incoming'!O19-'Grid_Requirement'!O19))</f>
        <v/>
      </c>
      <c r="P19">
        <f>IF(COUNTIFS(T_StockCount[Part Name],$A19,T_StockCount[WeekIndex],15)&gt;0,SUMIFS(T_StockCount[CountedQty],T_StockCount[Part Name],$A19,T_StockCount[WeekIndex],15),IF((('T_SelfStock'!P23&lt;&gt;""))*(('T_TTAFStock'!P23&lt;&gt;""))&gt;0,'T_SelfStock'!P23+'T_TTAFStock'!P23,O19+'Grid_Incoming'!P19-'Grid_Requirement'!P19))</f>
        <v/>
      </c>
      <c r="Q19">
        <f>IF(COUNTIFS(T_StockCount[Part Name],$A19,T_StockCount[WeekIndex],16)&gt;0,SUMIFS(T_StockCount[CountedQty],T_StockCount[Part Name],$A19,T_StockCount[WeekIndex],16),IF((('T_SelfStock'!Q23&lt;&gt;""))*(('T_TTAFStock'!Q23&lt;&gt;""))&gt;0,'T_SelfStock'!Q23+'T_TTAFStock'!Q23,P19+'Grid_Incoming'!Q19-'Grid_Requirement'!Q19))</f>
        <v/>
      </c>
      <c r="R19">
        <f>IF(COUNTIFS(T_StockCount[Part Name],$A19,T_StockCount[WeekIndex],17)&gt;0,SUMIFS(T_StockCount[CountedQty],T_StockCount[Part Name],$A19,T_StockCount[WeekIndex],17),IF((('T_SelfStock'!R23&lt;&gt;""))*(('T_TTAFStock'!R23&lt;&gt;""))&gt;0,'T_SelfStock'!R23+'T_TTAFStock'!R23,Q19+'Grid_Incoming'!R19-'Grid_Requirement'!R19))</f>
        <v/>
      </c>
      <c r="S19">
        <f>IF(COUNTIFS(T_StockCount[Part Name],$A19,T_StockCount[WeekIndex],18)&gt;0,SUMIFS(T_StockCount[CountedQty],T_StockCount[Part Name],$A19,T_StockCount[WeekIndex],18),IF((('T_SelfStock'!S23&lt;&gt;""))*(('T_TTAFStock'!S23&lt;&gt;""))&gt;0,'T_SelfStock'!S23+'T_TTAFStock'!S23,R19+'Grid_Incoming'!S19-'Grid_Requirement'!S19))</f>
        <v/>
      </c>
      <c r="T19">
        <f>IF(COUNTIFS(T_StockCount[Part Name],$A19,T_StockCount[WeekIndex],19)&gt;0,SUMIFS(T_StockCount[CountedQty],T_StockCount[Part Name],$A19,T_StockCount[WeekIndex],19),IF((('T_SelfStock'!T23&lt;&gt;""))*(('T_TTAFStock'!T23&lt;&gt;""))&gt;0,'T_SelfStock'!T23+'T_TTAFStock'!T23,S19+'Grid_Incoming'!T19-'Grid_Requirement'!T19))</f>
        <v/>
      </c>
      <c r="U19">
        <f>IF(COUNTIFS(T_StockCount[Part Name],$A19,T_StockCount[WeekIndex],20)&gt;0,SUMIFS(T_StockCount[CountedQty],T_StockCount[Part Name],$A19,T_StockCount[WeekIndex],20),IF((('T_SelfStock'!U23&lt;&gt;""))*(('T_TTAFStock'!U23&lt;&gt;""))&gt;0,'T_SelfStock'!U23+'T_TTAFStock'!U23,T19+'Grid_Incoming'!U19-'Grid_Requirement'!U19))</f>
        <v/>
      </c>
      <c r="V19">
        <f>IF(COUNTIFS(T_StockCount[Part Name],$A19,T_StockCount[WeekIndex],21)&gt;0,SUMIFS(T_StockCount[CountedQty],T_StockCount[Part Name],$A19,T_StockCount[WeekIndex],21),IF((('T_SelfStock'!V23&lt;&gt;""))*(('T_TTAFStock'!V23&lt;&gt;""))&gt;0,'T_SelfStock'!V23+'T_TTAFStock'!V23,U19+'Grid_Incoming'!V19-'Grid_Requirement'!V19))</f>
        <v/>
      </c>
      <c r="W19">
        <f>IF(COUNTIFS(T_StockCount[Part Name],$A19,T_StockCount[WeekIndex],22)&gt;0,SUMIFS(T_StockCount[CountedQty],T_StockCount[Part Name],$A19,T_StockCount[WeekIndex],22),IF((('T_SelfStock'!W23&lt;&gt;""))*(('T_TTAFStock'!W23&lt;&gt;""))&gt;0,'T_SelfStock'!W23+'T_TTAFStock'!W23,V19+'Grid_Incoming'!W19-'Grid_Requirement'!W19))</f>
        <v/>
      </c>
      <c r="X19">
        <f>IF(COUNTIFS(T_StockCount[Part Name],$A19,T_StockCount[WeekIndex],23)&gt;0,SUMIFS(T_StockCount[CountedQty],T_StockCount[Part Name],$A19,T_StockCount[WeekIndex],23),IF((('T_SelfStock'!X23&lt;&gt;""))*(('T_TTAFStock'!X23&lt;&gt;""))&gt;0,'T_SelfStock'!X23+'T_TTAFStock'!X23,W19+'Grid_Incoming'!X19-'Grid_Requirement'!X19))</f>
        <v/>
      </c>
      <c r="Y19">
        <f>IF(COUNTIFS(T_StockCount[Part Name],$A19,T_StockCount[WeekIndex],24)&gt;0,SUMIFS(T_StockCount[CountedQty],T_StockCount[Part Name],$A19,T_StockCount[WeekIndex],24),IF((('T_SelfStock'!Y23&lt;&gt;""))*(('T_TTAFStock'!Y23&lt;&gt;""))&gt;0,'T_SelfStock'!Y23+'T_TTAFStock'!Y23,X19+'Grid_Incoming'!Y19-'Grid_Requirement'!Y19))</f>
        <v/>
      </c>
      <c r="Z19">
        <f>IF(COUNTIFS(T_StockCount[Part Name],$A19,T_StockCount[WeekIndex],25)&gt;0,SUMIFS(T_StockCount[CountedQty],T_StockCount[Part Name],$A19,T_StockCount[WeekIndex],25),IF((('T_SelfStock'!Z23&lt;&gt;""))*(('T_TTAFStock'!Z23&lt;&gt;""))&gt;0,'T_SelfStock'!Z23+'T_TTAFStock'!Z23,Y19+'Grid_Incoming'!Z19-'Grid_Requirement'!Z19))</f>
        <v/>
      </c>
      <c r="AA19">
        <f>IF(COUNTIFS(T_StockCount[Part Name],$A19,T_StockCount[WeekIndex],26)&gt;0,SUMIFS(T_StockCount[CountedQty],T_StockCount[Part Name],$A19,T_StockCount[WeekIndex],26),IF((('T_SelfStock'!AA23&lt;&gt;""))*(('T_TTAFStock'!AA23&lt;&gt;""))&gt;0,'T_SelfStock'!AA23+'T_TTAFStock'!AA23,Z19+'Grid_Incoming'!AA19-'Grid_Requirement'!AA19))</f>
        <v/>
      </c>
      <c r="AB19">
        <f>IF(COUNTIFS(T_StockCount[Part Name],$A19,T_StockCount[WeekIndex],27)&gt;0,SUMIFS(T_StockCount[CountedQty],T_StockCount[Part Name],$A19,T_StockCount[WeekIndex],27),IF((('T_SelfStock'!AB23&lt;&gt;""))*(('T_TTAFStock'!AB23&lt;&gt;""))&gt;0,'T_SelfStock'!AB23+'T_TTAFStock'!AB23,AA19+'Grid_Incoming'!AB19-'Grid_Requirement'!AB19))</f>
        <v/>
      </c>
      <c r="AC19">
        <f>IF(COUNTIFS(T_StockCount[Part Name],$A19,T_StockCount[WeekIndex],28)&gt;0,SUMIFS(T_StockCount[CountedQty],T_StockCount[Part Name],$A19,T_StockCount[WeekIndex],28),IF((('T_SelfStock'!AC23&lt;&gt;""))*(('T_TTAFStock'!AC23&lt;&gt;""))&gt;0,'T_SelfStock'!AC23+'T_TTAFStock'!AC23,AB19+'Grid_Incoming'!AC19-'Grid_Requirement'!AC19))</f>
        <v/>
      </c>
      <c r="AD19">
        <f>IF(COUNTIFS(T_StockCount[Part Name],$A19,T_StockCount[WeekIndex],29)&gt;0,SUMIFS(T_StockCount[CountedQty],T_StockCount[Part Name],$A19,T_StockCount[WeekIndex],29),IF((('T_SelfStock'!AD23&lt;&gt;""))*(('T_TTAFStock'!AD23&lt;&gt;""))&gt;0,'T_SelfStock'!AD23+'T_TTAFStock'!AD23,AC19+'Grid_Incoming'!AD19-'Grid_Requirement'!AD19))</f>
        <v/>
      </c>
      <c r="AE19">
        <f>IF(COUNTIFS(T_StockCount[Part Name],$A19,T_StockCount[WeekIndex],30)&gt;0,SUMIFS(T_StockCount[CountedQty],T_StockCount[Part Name],$A19,T_StockCount[WeekIndex],30),IF((('T_SelfStock'!AE23&lt;&gt;""))*(('T_TTAFStock'!AE23&lt;&gt;""))&gt;0,'T_SelfStock'!AE23+'T_TTAFStock'!AE23,AD19+'Grid_Incoming'!AE19-'Grid_Requirement'!AE19))</f>
        <v/>
      </c>
      <c r="AF19">
        <f>IF(COUNTIFS(T_StockCount[Part Name],$A19,T_StockCount[WeekIndex],31)&gt;0,SUMIFS(T_StockCount[CountedQty],T_StockCount[Part Name],$A19,T_StockCount[WeekIndex],31),IF((('T_SelfStock'!AF23&lt;&gt;""))*(('T_TTAFStock'!AF23&lt;&gt;""))&gt;0,'T_SelfStock'!AF23+'T_TTAFStock'!AF23,AE19+'Grid_Incoming'!AF19-'Grid_Requirement'!AF19))</f>
        <v/>
      </c>
      <c r="AG19">
        <f>IF(COUNTIFS(T_StockCount[Part Name],$A19,T_StockCount[WeekIndex],32)&gt;0,SUMIFS(T_StockCount[CountedQty],T_StockCount[Part Name],$A19,T_StockCount[WeekIndex],32),IF((('T_SelfStock'!AG23&lt;&gt;""))*(('T_TTAFStock'!AG23&lt;&gt;""))&gt;0,'T_SelfStock'!AG23+'T_TTAFStock'!AG23,AF19+'Grid_Incoming'!AG19-'Grid_Requirement'!AG19))</f>
        <v/>
      </c>
      <c r="AH19">
        <f>IF(COUNTIFS(T_StockCount[Part Name],$A19,T_StockCount[WeekIndex],33)&gt;0,SUMIFS(T_StockCount[CountedQty],T_StockCount[Part Name],$A19,T_StockCount[WeekIndex],33),IF((('T_SelfStock'!AH23&lt;&gt;""))*(('T_TTAFStock'!AH23&lt;&gt;""))&gt;0,'T_SelfStock'!AH23+'T_TTAFStock'!AH23,AG19+'Grid_Incoming'!AH19-'Grid_Requirement'!AH19))</f>
        <v/>
      </c>
      <c r="AI19">
        <f>IF(COUNTIFS(T_StockCount[Part Name],$A19,T_StockCount[WeekIndex],34)&gt;0,SUMIFS(T_StockCount[CountedQty],T_StockCount[Part Name],$A19,T_StockCount[WeekIndex],34),IF((('T_SelfStock'!AI23&lt;&gt;""))*(('T_TTAFStock'!AI23&lt;&gt;""))&gt;0,'T_SelfStock'!AI23+'T_TTAFStock'!AI23,AH19+'Grid_Incoming'!AI19-'Grid_Requirement'!AI19))</f>
        <v/>
      </c>
      <c r="AJ19">
        <f>IF(COUNTIFS(T_StockCount[Part Name],$A19,T_StockCount[WeekIndex],35)&gt;0,SUMIFS(T_StockCount[CountedQty],T_StockCount[Part Name],$A19,T_StockCount[WeekIndex],35),IF((('T_SelfStock'!AJ23&lt;&gt;""))*(('T_TTAFStock'!AJ23&lt;&gt;""))&gt;0,'T_SelfStock'!AJ23+'T_TTAFStock'!AJ23,AI19+'Grid_Incoming'!AJ19-'Grid_Requirement'!AJ19))</f>
        <v/>
      </c>
      <c r="AK19">
        <f>IF(COUNTIFS(T_StockCount[Part Name],$A19,T_StockCount[WeekIndex],36)&gt;0,SUMIFS(T_StockCount[CountedQty],T_StockCount[Part Name],$A19,T_StockCount[WeekIndex],36),IF((('T_SelfStock'!AK23&lt;&gt;""))*(('T_TTAFStock'!AK23&lt;&gt;""))&gt;0,'T_SelfStock'!AK23+'T_TTAFStock'!AK23,AJ19+'Grid_Incoming'!AK19-'Grid_Requirement'!AK19))</f>
        <v/>
      </c>
      <c r="AL19">
        <f>IF(COUNTIFS(T_StockCount[Part Name],$A19,T_StockCount[WeekIndex],37)&gt;0,SUMIFS(T_StockCount[CountedQty],T_StockCount[Part Name],$A19,T_StockCount[WeekIndex],37),IF((('T_SelfStock'!AL23&lt;&gt;""))*(('T_TTAFStock'!AL23&lt;&gt;""))&gt;0,'T_SelfStock'!AL23+'T_TTAFStock'!AL23,AK19+'Grid_Incoming'!AL19-'Grid_Requirement'!AL19))</f>
        <v/>
      </c>
      <c r="AM19">
        <f>IF(COUNTIFS(T_StockCount[Part Name],$A19,T_StockCount[WeekIndex],38)&gt;0,SUMIFS(T_StockCount[CountedQty],T_StockCount[Part Name],$A19,T_StockCount[WeekIndex],38),IF((('T_SelfStock'!AM23&lt;&gt;""))*(('T_TTAFStock'!AM23&lt;&gt;""))&gt;0,'T_SelfStock'!AM23+'T_TTAFStock'!AM23,AL19+'Grid_Incoming'!AM19-'Grid_Requirement'!AM19))</f>
        <v/>
      </c>
      <c r="AN19">
        <f>IF(COUNTIFS(T_StockCount[Part Name],$A19,T_StockCount[WeekIndex],39)&gt;0,SUMIFS(T_StockCount[CountedQty],T_StockCount[Part Name],$A19,T_StockCount[WeekIndex],39),IF((('T_SelfStock'!AN23&lt;&gt;""))*(('T_TTAFStock'!AN23&lt;&gt;""))&gt;0,'T_SelfStock'!AN23+'T_TTAFStock'!AN23,AM19+'Grid_Incoming'!AN19-'Grid_Requirement'!AN19))</f>
        <v/>
      </c>
      <c r="AO19">
        <f>IF(COUNTIFS(T_StockCount[Part Name],$A19,T_StockCount[WeekIndex],40)&gt;0,SUMIFS(T_StockCount[CountedQty],T_StockCount[Part Name],$A19,T_StockCount[WeekIndex],40),IF((('T_SelfStock'!AO23&lt;&gt;""))*(('T_TTAFStock'!AO23&lt;&gt;""))&gt;0,'T_SelfStock'!AO23+'T_TTAFStock'!AO23,AN19+'Grid_Incoming'!AO19-'Grid_Requirement'!AO19))</f>
        <v/>
      </c>
      <c r="AP19">
        <f>IF(COUNTIFS(T_StockCount[Part Name],$A19,T_StockCount[WeekIndex],41)&gt;0,SUMIFS(T_StockCount[CountedQty],T_StockCount[Part Name],$A19,T_StockCount[WeekIndex],41),IF((('T_SelfStock'!AP23&lt;&gt;""))*(('T_TTAFStock'!AP23&lt;&gt;""))&gt;0,'T_SelfStock'!AP23+'T_TTAFStock'!AP23,AO19+'Grid_Incoming'!AP19-'Grid_Requirement'!AP19))</f>
        <v/>
      </c>
      <c r="AQ19">
        <f>IF(COUNTIFS(T_StockCount[Part Name],$A19,T_StockCount[WeekIndex],42)&gt;0,SUMIFS(T_StockCount[CountedQty],T_StockCount[Part Name],$A19,T_StockCount[WeekIndex],42),IF((('T_SelfStock'!AQ23&lt;&gt;""))*(('T_TTAFStock'!AQ23&lt;&gt;""))&gt;0,'T_SelfStock'!AQ23+'T_TTAFStock'!AQ23,AP19+'Grid_Incoming'!AQ19-'Grid_Requirement'!AQ19))</f>
        <v/>
      </c>
      <c r="AR19">
        <f>IF(COUNTIFS(T_StockCount[Part Name],$A19,T_StockCount[WeekIndex],43)&gt;0,SUMIFS(T_StockCount[CountedQty],T_StockCount[Part Name],$A19,T_StockCount[WeekIndex],43),IF((('T_SelfStock'!AR23&lt;&gt;""))*(('T_TTAFStock'!AR23&lt;&gt;""))&gt;0,'T_SelfStock'!AR23+'T_TTAFStock'!AR23,AQ19+'Grid_Incoming'!AR19-'Grid_Requirement'!AR19))</f>
        <v/>
      </c>
      <c r="AS19">
        <f>IF(COUNTIFS(T_StockCount[Part Name],$A19,T_StockCount[WeekIndex],44)&gt;0,SUMIFS(T_StockCount[CountedQty],T_StockCount[Part Name],$A19,T_StockCount[WeekIndex],44),IF((('T_SelfStock'!AS23&lt;&gt;""))*(('T_TTAFStock'!AS23&lt;&gt;""))&gt;0,'T_SelfStock'!AS23+'T_TTAFStock'!AS23,AR19+'Grid_Incoming'!AS19-'Grid_Requirement'!AS19))</f>
        <v/>
      </c>
      <c r="AT19">
        <f>IF(COUNTIFS(T_StockCount[Part Name],$A19,T_StockCount[WeekIndex],45)&gt;0,SUMIFS(T_StockCount[CountedQty],T_StockCount[Part Name],$A19,T_StockCount[WeekIndex],45),IF((('T_SelfStock'!AT23&lt;&gt;""))*(('T_TTAFStock'!AT23&lt;&gt;""))&gt;0,'T_SelfStock'!AT23+'T_TTAFStock'!AT23,AS19+'Grid_Incoming'!AT19-'Grid_Requirement'!AT19))</f>
        <v/>
      </c>
      <c r="AU19">
        <f>IF(COUNTIFS(T_StockCount[Part Name],$A19,T_StockCount[WeekIndex],46)&gt;0,SUMIFS(T_StockCount[CountedQty],T_StockCount[Part Name],$A19,T_StockCount[WeekIndex],46),IF((('T_SelfStock'!AU23&lt;&gt;""))*(('T_TTAFStock'!AU23&lt;&gt;""))&gt;0,'T_SelfStock'!AU23+'T_TTAFStock'!AU23,AT19+'Grid_Incoming'!AU19-'Grid_Requirement'!AU19))</f>
        <v/>
      </c>
      <c r="AV19">
        <f>IF(COUNTIFS(T_StockCount[Part Name],$A19,T_StockCount[WeekIndex],47)&gt;0,SUMIFS(T_StockCount[CountedQty],T_StockCount[Part Name],$A19,T_StockCount[WeekIndex],47),IF((('T_SelfStock'!AV23&lt;&gt;""))*(('T_TTAFStock'!AV23&lt;&gt;""))&gt;0,'T_SelfStock'!AV23+'T_TTAFStock'!AV23,AU19+'Grid_Incoming'!AV19-'Grid_Requirement'!AV19))</f>
        <v/>
      </c>
      <c r="AW19">
        <f>IF(COUNTIFS(T_StockCount[Part Name],$A19,T_StockCount[WeekIndex],48)&gt;0,SUMIFS(T_StockCount[CountedQty],T_StockCount[Part Name],$A19,T_StockCount[WeekIndex],48),IF((('T_SelfStock'!AW23&lt;&gt;""))*(('T_TTAFStock'!AW23&lt;&gt;""))&gt;0,'T_SelfStock'!AW23+'T_TTAFStock'!AW23,AV19+'Grid_Incoming'!AW19-'Grid_Requirement'!AW19))</f>
        <v/>
      </c>
      <c r="AX19">
        <f>IF(COUNTIFS(T_StockCount[Part Name],$A19,T_StockCount[WeekIndex],49)&gt;0,SUMIFS(T_StockCount[CountedQty],T_StockCount[Part Name],$A19,T_StockCount[WeekIndex],49),IF((('T_SelfStock'!AX23&lt;&gt;""))*(('T_TTAFStock'!AX23&lt;&gt;""))&gt;0,'T_SelfStock'!AX23+'T_TTAFStock'!AX23,AW19+'Grid_Incoming'!AX19-'Grid_Requirement'!AX19))</f>
        <v/>
      </c>
      <c r="AY19">
        <f>IF(COUNTIFS(T_StockCount[Part Name],$A19,T_StockCount[WeekIndex],50)&gt;0,SUMIFS(T_StockCount[CountedQty],T_StockCount[Part Name],$A19,T_StockCount[WeekIndex],50),IF((('T_SelfStock'!AY23&lt;&gt;""))*(('T_TTAFStock'!AY23&lt;&gt;""))&gt;0,'T_SelfStock'!AY23+'T_TTAFStock'!AY23,AX19+'Grid_Incoming'!AY19-'Grid_Requirement'!AY19))</f>
        <v/>
      </c>
      <c r="AZ19">
        <f>IF(COUNTIFS(T_StockCount[Part Name],$A19,T_StockCount[WeekIndex],51)&gt;0,SUMIFS(T_StockCount[CountedQty],T_StockCount[Part Name],$A19,T_StockCount[WeekIndex],51),IF((('T_SelfStock'!AZ23&lt;&gt;""))*(('T_TTAFStock'!AZ23&lt;&gt;""))&gt;0,'T_SelfStock'!AZ23+'T_TTAFStock'!AZ23,AY19+'Grid_Incoming'!AZ19-'Grid_Requirement'!AZ19))</f>
        <v/>
      </c>
      <c r="BA19">
        <f>IF(COUNTIFS(T_StockCount[Part Name],$A19,T_StockCount[WeekIndex],52)&gt;0,SUMIFS(T_StockCount[CountedQty],T_StockCount[Part Name],$A19,T_StockCount[WeekIndex],52),IF((('T_SelfStock'!BA23&lt;&gt;""))*(('T_TTAFStock'!BA23&lt;&gt;""))&gt;0,'T_SelfStock'!BA23+'T_TTAFStock'!BA23,AZ19+'Grid_Incoming'!BA19-'Grid_Requirement'!BA19))</f>
        <v/>
      </c>
      <c r="BB19">
        <f>IF(COUNTIFS(T_StockCount[Part Name],$A19,T_StockCount[WeekIndex],53)&gt;0,SUMIFS(T_StockCount[CountedQty],T_StockCount[Part Name],$A19,T_StockCount[WeekIndex],53),IF((('T_SelfStock'!BB23&lt;&gt;""))*(('T_TTAFStock'!BB23&lt;&gt;""))&gt;0,'T_SelfStock'!BB23+'T_TTAFStock'!BB23,BA19+'Grid_Incoming'!BB19-'Grid_Requirement'!BB19))</f>
        <v/>
      </c>
      <c r="BC19">
        <f>IF(COUNTIFS(T_StockCount[Part Name],$A19,T_StockCount[WeekIndex],54)&gt;0,SUMIFS(T_StockCount[CountedQty],T_StockCount[Part Name],$A19,T_StockCount[WeekIndex],54),IF((('T_SelfStock'!BC23&lt;&gt;""))*(('T_TTAFStock'!BC23&lt;&gt;""))&gt;0,'T_SelfStock'!BC23+'T_TTAFStock'!BC23,BB19+'Grid_Incoming'!BC19-'Grid_Requirement'!BC19))</f>
        <v/>
      </c>
      <c r="BD19">
        <f>IF(COUNTIFS(T_StockCount[Part Name],$A19,T_StockCount[WeekIndex],55)&gt;0,SUMIFS(T_StockCount[CountedQty],T_StockCount[Part Name],$A19,T_StockCount[WeekIndex],55),IF((('T_SelfStock'!BD23&lt;&gt;""))*(('T_TTAFStock'!BD23&lt;&gt;""))&gt;0,'T_SelfStock'!BD23+'T_TTAFStock'!BD23,BC19+'Grid_Incoming'!BD19-'Grid_Requirement'!BD19))</f>
        <v/>
      </c>
      <c r="BE19">
        <f>IF(COUNTIFS(T_StockCount[Part Name],$A19,T_StockCount[WeekIndex],56)&gt;0,SUMIFS(T_StockCount[CountedQty],T_StockCount[Part Name],$A19,T_StockCount[WeekIndex],56),IF((('T_SelfStock'!BE23&lt;&gt;""))*(('T_TTAFStock'!BE23&lt;&gt;""))&gt;0,'T_SelfStock'!BE23+'T_TTAFStock'!BE23,BD19+'Grid_Incoming'!BE19-'Grid_Requirement'!BE19))</f>
        <v/>
      </c>
      <c r="BF19">
        <f>IF(COUNTIFS(T_StockCount[Part Name],$A19,T_StockCount[WeekIndex],57)&gt;0,SUMIFS(T_StockCount[CountedQty],T_StockCount[Part Name],$A19,T_StockCount[WeekIndex],57),IF((('T_SelfStock'!BF23&lt;&gt;""))*(('T_TTAFStock'!BF23&lt;&gt;""))&gt;0,'T_SelfStock'!BF23+'T_TTAFStock'!BF23,BE19+'Grid_Incoming'!BF19-'Grid_Requirement'!BF19))</f>
        <v/>
      </c>
      <c r="BG19">
        <f>IF(COUNTIFS(T_StockCount[Part Name],$A19,T_StockCount[WeekIndex],58)&gt;0,SUMIFS(T_StockCount[CountedQty],T_StockCount[Part Name],$A19,T_StockCount[WeekIndex],58),IF((('T_SelfStock'!BG23&lt;&gt;""))*(('T_TTAFStock'!BG23&lt;&gt;""))&gt;0,'T_SelfStock'!BG23+'T_TTAFStock'!BG23,BF19+'Grid_Incoming'!BG19-'Grid_Requirement'!BG19))</f>
        <v/>
      </c>
      <c r="BH19">
        <f>IF(COUNTIFS(T_StockCount[Part Name],$A19,T_StockCount[WeekIndex],59)&gt;0,SUMIFS(T_StockCount[CountedQty],T_StockCount[Part Name],$A19,T_StockCount[WeekIndex],59),IF((('T_SelfStock'!BH23&lt;&gt;""))*(('T_TTAFStock'!BH23&lt;&gt;""))&gt;0,'T_SelfStock'!BH23+'T_TTAFStock'!BH23,BG19+'Grid_Incoming'!BH19-'Grid_Requirement'!BH19))</f>
        <v/>
      </c>
      <c r="BI19">
        <f>IF(COUNTIFS(T_StockCount[Part Name],$A19,T_StockCount[WeekIndex],60)&gt;0,SUMIFS(T_StockCount[CountedQty],T_StockCount[Part Name],$A19,T_StockCount[WeekIndex],60),IF((('T_SelfStock'!BI23&lt;&gt;""))*(('T_TTAFStock'!BI23&lt;&gt;""))&gt;0,'T_SelfStock'!BI23+'T_TTAFStock'!BI23,BH19+'Grid_Incoming'!BI19-'Grid_Requirement'!BI19))</f>
        <v/>
      </c>
      <c r="BJ19">
        <f>IF(COUNTIFS(T_StockCount[Part Name],$A19,T_StockCount[WeekIndex],61)&gt;0,SUMIFS(T_StockCount[CountedQty],T_StockCount[Part Name],$A19,T_StockCount[WeekIndex],61),IF((('T_SelfStock'!BJ23&lt;&gt;""))*(('T_TTAFStock'!BJ23&lt;&gt;""))&gt;0,'T_SelfStock'!BJ23+'T_TTAFStock'!BJ23,BI19+'Grid_Incoming'!BJ19-'Grid_Requirement'!BJ19))</f>
        <v/>
      </c>
      <c r="BK19">
        <f>IF(COUNTIFS(T_StockCount[Part Name],$A19,T_StockCount[WeekIndex],62)&gt;0,SUMIFS(T_StockCount[CountedQty],T_StockCount[Part Name],$A19,T_StockCount[WeekIndex],62),IF((('T_SelfStock'!BK23&lt;&gt;""))*(('T_TTAFStock'!BK23&lt;&gt;""))&gt;0,'T_SelfStock'!BK23+'T_TTAFStock'!BK23,BJ19+'Grid_Incoming'!BK19-'Grid_Requirement'!BK19))</f>
        <v/>
      </c>
      <c r="BL19">
        <f>IF(COUNTIFS(T_StockCount[Part Name],$A19,T_StockCount[WeekIndex],63)&gt;0,SUMIFS(T_StockCount[CountedQty],T_StockCount[Part Name],$A19,T_StockCount[WeekIndex],63),IF((('T_SelfStock'!BL23&lt;&gt;""))*(('T_TTAFStock'!BL23&lt;&gt;""))&gt;0,'T_SelfStock'!BL23+'T_TTAFStock'!BL23,BK19+'Grid_Incoming'!BL19-'Grid_Requirement'!BL19))</f>
        <v/>
      </c>
      <c r="BM19">
        <f>IF(COUNTIFS(T_StockCount[Part Name],$A19,T_StockCount[WeekIndex],64)&gt;0,SUMIFS(T_StockCount[CountedQty],T_StockCount[Part Name],$A19,T_StockCount[WeekIndex],64),IF((('T_SelfStock'!BM23&lt;&gt;""))*(('T_TTAFStock'!BM23&lt;&gt;""))&gt;0,'T_SelfStock'!BM23+'T_TTAFStock'!BM23,BL19+'Grid_Incoming'!BM19-'Grid_Requirement'!BM19))</f>
        <v/>
      </c>
      <c r="BN19">
        <f>IF(COUNTIFS(T_StockCount[Part Name],$A19,T_StockCount[WeekIndex],65)&gt;0,SUMIFS(T_StockCount[CountedQty],T_StockCount[Part Name],$A19,T_StockCount[WeekIndex],65),IF((('T_SelfStock'!BN23&lt;&gt;""))*(('T_TTAFStock'!BN23&lt;&gt;""))&gt;0,'T_SelfStock'!BN23+'T_TTAFStock'!BN23,BM19+'Grid_Incoming'!BN19-'Grid_Requirement'!BN19))</f>
        <v/>
      </c>
      <c r="BO19">
        <f>IF(COUNTIFS(T_StockCount[Part Name],$A19,T_StockCount[WeekIndex],66)&gt;0,SUMIFS(T_StockCount[CountedQty],T_StockCount[Part Name],$A19,T_StockCount[WeekIndex],66),IF((('T_SelfStock'!BO23&lt;&gt;""))*(('T_TTAFStock'!BO23&lt;&gt;""))&gt;0,'T_SelfStock'!BO23+'T_TTAFStock'!BO23,BN19+'Grid_Incoming'!BO19-'Grid_Requirement'!BO19))</f>
        <v/>
      </c>
      <c r="BP19">
        <f>IF(COUNTIFS(T_StockCount[Part Name],$A19,T_StockCount[WeekIndex],67)&gt;0,SUMIFS(T_StockCount[CountedQty],T_StockCount[Part Name],$A19,T_StockCount[WeekIndex],67),IF((('T_SelfStock'!BP23&lt;&gt;""))*(('T_TTAFStock'!BP23&lt;&gt;""))&gt;0,'T_SelfStock'!BP23+'T_TTAFStock'!BP23,BO19+'Grid_Incoming'!BP19-'Grid_Requirement'!BP19))</f>
        <v/>
      </c>
      <c r="BQ19">
        <f>IF(COUNTIFS(T_StockCount[Part Name],$A19,T_StockCount[WeekIndex],68)&gt;0,SUMIFS(T_StockCount[CountedQty],T_StockCount[Part Name],$A19,T_StockCount[WeekIndex],68),IF((('T_SelfStock'!BQ23&lt;&gt;""))*(('T_TTAFStock'!BQ23&lt;&gt;""))&gt;0,'T_SelfStock'!BQ23+'T_TTAFStock'!BQ23,BP19+'Grid_Incoming'!BQ19-'Grid_Requirement'!BQ19))</f>
        <v/>
      </c>
      <c r="BR19">
        <f>IF(COUNTIFS(T_StockCount[Part Name],$A19,T_StockCount[WeekIndex],69)&gt;0,SUMIFS(T_StockCount[CountedQty],T_StockCount[Part Name],$A19,T_StockCount[WeekIndex],69),IF((('T_SelfStock'!BR23&lt;&gt;""))*(('T_TTAFStock'!BR23&lt;&gt;""))&gt;0,'T_SelfStock'!BR23+'T_TTAFStock'!BR23,BQ19+'Grid_Incoming'!BR19-'Grid_Requirement'!BR19))</f>
        <v/>
      </c>
      <c r="BS19">
        <f>IF(COUNTIFS(T_StockCount[Part Name],$A19,T_StockCount[WeekIndex],70)&gt;0,SUMIFS(T_StockCount[CountedQty],T_StockCount[Part Name],$A19,T_StockCount[WeekIndex],70),IF((('T_SelfStock'!BS23&lt;&gt;""))*(('T_TTAFStock'!BS23&lt;&gt;""))&gt;0,'T_SelfStock'!BS23+'T_TTAFStock'!BS23,BR19+'Grid_Incoming'!BS19-'Grid_Requirement'!BS19))</f>
        <v/>
      </c>
      <c r="BT19">
        <f>IF(COUNTIFS(T_StockCount[Part Name],$A19,T_StockCount[WeekIndex],71)&gt;0,SUMIFS(T_StockCount[CountedQty],T_StockCount[Part Name],$A19,T_StockCount[WeekIndex],71),IF((('T_SelfStock'!BT23&lt;&gt;""))*(('T_TTAFStock'!BT23&lt;&gt;""))&gt;0,'T_SelfStock'!BT23+'T_TTAFStock'!BT23,BS19+'Grid_Incoming'!BT19-'Grid_Requirement'!BT19))</f>
        <v/>
      </c>
      <c r="BU19">
        <f>IF(COUNTIFS(T_StockCount[Part Name],$A19,T_StockCount[WeekIndex],72)&gt;0,SUMIFS(T_StockCount[CountedQty],T_StockCount[Part Name],$A19,T_StockCount[WeekIndex],72),IF((('T_SelfStock'!BU23&lt;&gt;""))*(('T_TTAFStock'!BU23&lt;&gt;""))&gt;0,'T_SelfStock'!BU23+'T_TTAFStock'!BU23,BT19+'Grid_Incoming'!BU19-'Grid_Requirement'!BU19))</f>
        <v/>
      </c>
      <c r="BV19">
        <f>IF(COUNTIFS(T_StockCount[Part Name],$A19,T_StockCount[WeekIndex],73)&gt;0,SUMIFS(T_StockCount[CountedQty],T_StockCount[Part Name],$A19,T_StockCount[WeekIndex],73),IF((('T_SelfStock'!BV23&lt;&gt;""))*(('T_TTAFStock'!BV23&lt;&gt;""))&gt;0,'T_SelfStock'!BV23+'T_TTAFStock'!BV23,BU19+'Grid_Incoming'!BV19-'Grid_Requirement'!BV19))</f>
        <v/>
      </c>
      <c r="BW19">
        <f>IF(COUNTIFS(T_StockCount[Part Name],$A19,T_StockCount[WeekIndex],74)&gt;0,SUMIFS(T_StockCount[CountedQty],T_StockCount[Part Name],$A19,T_StockCount[WeekIndex],74),IF((('T_SelfStock'!BW23&lt;&gt;""))*(('T_TTAFStock'!BW23&lt;&gt;""))&gt;0,'T_SelfStock'!BW23+'T_TTAFStock'!BW23,BV19+'Grid_Incoming'!BW19-'Grid_Requirement'!BW19))</f>
        <v/>
      </c>
      <c r="BX19">
        <f>IF(COUNTIFS(T_StockCount[Part Name],$A19,T_StockCount[WeekIndex],75)&gt;0,SUMIFS(T_StockCount[CountedQty],T_StockCount[Part Name],$A19,T_StockCount[WeekIndex],75),IF((('T_SelfStock'!BX23&lt;&gt;""))*(('T_TTAFStock'!BX23&lt;&gt;""))&gt;0,'T_SelfStock'!BX23+'T_TTAFStock'!BX23,BW19+'Grid_Incoming'!BX19-'Grid_Requirement'!BX19))</f>
        <v/>
      </c>
      <c r="BY19">
        <f>IF(COUNTIFS(T_StockCount[Part Name],$A19,T_StockCount[WeekIndex],76)&gt;0,SUMIFS(T_StockCount[CountedQty],T_StockCount[Part Name],$A19,T_StockCount[WeekIndex],76),IF((('T_SelfStock'!BY23&lt;&gt;""))*(('T_TTAFStock'!BY23&lt;&gt;""))&gt;0,'T_SelfStock'!BY23+'T_TTAFStock'!BY23,BX19+'Grid_Incoming'!BY19-'Grid_Requirement'!BY19))</f>
        <v/>
      </c>
      <c r="BZ19">
        <f>IF(COUNTIFS(T_StockCount[Part Name],$A19,T_StockCount[WeekIndex],77)&gt;0,SUMIFS(T_StockCount[CountedQty],T_StockCount[Part Name],$A19,T_StockCount[WeekIndex],77),IF((('T_SelfStock'!BZ23&lt;&gt;""))*(('T_TTAFStock'!BZ23&lt;&gt;""))&gt;0,'T_SelfStock'!BZ23+'T_TTAFStock'!BZ23,BY19+'Grid_Incoming'!BZ19-'Grid_Requirement'!BZ19))</f>
        <v/>
      </c>
      <c r="CA19">
        <f>IF(COUNTIFS(T_StockCount[Part Name],$A19,T_StockCount[WeekIndex],78)&gt;0,SUMIFS(T_StockCount[CountedQty],T_StockCount[Part Name],$A19,T_StockCount[WeekIndex],78),IF((('T_SelfStock'!CA23&lt;&gt;""))*(('T_TTAFStock'!CA23&lt;&gt;""))&gt;0,'T_SelfStock'!CA23+'T_TTAFStock'!CA23,BZ19+'Grid_Incoming'!CA19-'Grid_Requirement'!CA19))</f>
        <v/>
      </c>
      <c r="CB19">
        <f>IF(COUNTIFS(T_StockCount[Part Name],$A19,T_StockCount[WeekIndex],79)&gt;0,SUMIFS(T_StockCount[CountedQty],T_StockCount[Part Name],$A19,T_StockCount[WeekIndex],79),IF((('T_SelfStock'!CB23&lt;&gt;""))*(('T_TTAFStock'!CB23&lt;&gt;""))&gt;0,'T_SelfStock'!CB23+'T_TTAFStock'!CB23,CA19+'Grid_Incoming'!CB19-'Grid_Requirement'!CB19))</f>
        <v/>
      </c>
      <c r="CC19">
        <f>IF(COUNTIFS(T_StockCount[Part Name],$A19,T_StockCount[WeekIndex],80)&gt;0,SUMIFS(T_StockCount[CountedQty],T_StockCount[Part Name],$A19,T_StockCount[WeekIndex],80),IF((('T_SelfStock'!CC23&lt;&gt;""))*(('T_TTAFStock'!CC23&lt;&gt;""))&gt;0,'T_SelfStock'!CC23+'T_TTAFStock'!CC23,CB19+'Grid_Incoming'!CC19-'Grid_Requirement'!CC19))</f>
        <v/>
      </c>
      <c r="CD19">
        <f>IF(COUNTIFS(T_StockCount[Part Name],$A19,T_StockCount[WeekIndex],81)&gt;0,SUMIFS(T_StockCount[CountedQty],T_StockCount[Part Name],$A19,T_StockCount[WeekIndex],81),IF((('T_SelfStock'!CD23&lt;&gt;""))*(('T_TTAFStock'!CD23&lt;&gt;""))&gt;0,'T_SelfStock'!CD23+'T_TTAFStock'!CD23,CC19+'Grid_Incoming'!CD19-'Grid_Requirement'!CD19))</f>
        <v/>
      </c>
      <c r="CE19">
        <f>IF(COUNTIFS(T_StockCount[Part Name],$A19,T_StockCount[WeekIndex],82)&gt;0,SUMIFS(T_StockCount[CountedQty],T_StockCount[Part Name],$A19,T_StockCount[WeekIndex],82),IF((('T_SelfStock'!CE23&lt;&gt;""))*(('T_TTAFStock'!CE23&lt;&gt;""))&gt;0,'T_SelfStock'!CE23+'T_TTAFStock'!CE23,CD19+'Grid_Incoming'!CE19-'Grid_Requirement'!CE19))</f>
        <v/>
      </c>
      <c r="CF19">
        <f>IF(COUNTIFS(T_StockCount[Part Name],$A19,T_StockCount[WeekIndex],83)&gt;0,SUMIFS(T_StockCount[CountedQty],T_StockCount[Part Name],$A19,T_StockCount[WeekIndex],83),IF((('T_SelfStock'!CF23&lt;&gt;""))*(('T_TTAFStock'!CF23&lt;&gt;""))&gt;0,'T_SelfStock'!CF23+'T_TTAFStock'!CF23,CE19+'Grid_Incoming'!CF19-'Grid_Requirement'!CF19))</f>
        <v/>
      </c>
      <c r="CG19">
        <f>IF(COUNTIFS(T_StockCount[Part Name],$A19,T_StockCount[WeekIndex],84)&gt;0,SUMIFS(T_StockCount[CountedQty],T_StockCount[Part Name],$A19,T_StockCount[WeekIndex],84),IF((('T_SelfStock'!CG23&lt;&gt;""))*(('T_TTAFStock'!CG23&lt;&gt;""))&gt;0,'T_SelfStock'!CG23+'T_TTAFStock'!CG23,CF19+'Grid_Incoming'!CG19-'Grid_Requirement'!CG19))</f>
        <v/>
      </c>
      <c r="CH19">
        <f>IF(COUNTIFS(T_StockCount[Part Name],$A19,T_StockCount[WeekIndex],85)&gt;0,SUMIFS(T_StockCount[CountedQty],T_StockCount[Part Name],$A19,T_StockCount[WeekIndex],85),IF((('T_SelfStock'!CH23&lt;&gt;""))*(('T_TTAFStock'!CH23&lt;&gt;""))&gt;0,'T_SelfStock'!CH23+'T_TTAFStock'!CH23,CG19+'Grid_Incoming'!CH19-'Grid_Requirement'!CH19))</f>
        <v/>
      </c>
      <c r="CI19">
        <f>IF(COUNTIFS(T_StockCount[Part Name],$A19,T_StockCount[WeekIndex],86)&gt;0,SUMIFS(T_StockCount[CountedQty],T_StockCount[Part Name],$A19,T_StockCount[WeekIndex],86),IF((('T_SelfStock'!CI23&lt;&gt;""))*(('T_TTAFStock'!CI23&lt;&gt;""))&gt;0,'T_SelfStock'!CI23+'T_TTAFStock'!CI23,CH19+'Grid_Incoming'!CI19-'Grid_Requirement'!CI19))</f>
        <v/>
      </c>
      <c r="CJ19">
        <f>IF(COUNTIFS(T_StockCount[Part Name],$A19,T_StockCount[WeekIndex],87)&gt;0,SUMIFS(T_StockCount[CountedQty],T_StockCount[Part Name],$A19,T_StockCount[WeekIndex],87),IF((('T_SelfStock'!CJ23&lt;&gt;""))*(('T_TTAFStock'!CJ23&lt;&gt;""))&gt;0,'T_SelfStock'!CJ23+'T_TTAFStock'!CJ23,CI19+'Grid_Incoming'!CJ19-'Grid_Requirement'!CJ19))</f>
        <v/>
      </c>
      <c r="CK19">
        <f>IF(COUNTIFS(T_StockCount[Part Name],$A19,T_StockCount[WeekIndex],88)&gt;0,SUMIFS(T_StockCount[CountedQty],T_StockCount[Part Name],$A19,T_StockCount[WeekIndex],88),IF((('T_SelfStock'!CK23&lt;&gt;""))*(('T_TTAFStock'!CK23&lt;&gt;""))&gt;0,'T_SelfStock'!CK23+'T_TTAFStock'!CK23,CJ19+'Grid_Incoming'!CK19-'Grid_Requirement'!CK19))</f>
        <v/>
      </c>
      <c r="CL19">
        <f>IF(COUNTIFS(T_StockCount[Part Name],$A19,T_StockCount[WeekIndex],89)&gt;0,SUMIFS(T_StockCount[CountedQty],T_StockCount[Part Name],$A19,T_StockCount[WeekIndex],89),IF((('T_SelfStock'!CL23&lt;&gt;""))*(('T_TTAFStock'!CL23&lt;&gt;""))&gt;0,'T_SelfStock'!CL23+'T_TTAFStock'!CL23,CK19+'Grid_Incoming'!CL19-'Grid_Requirement'!CL19))</f>
        <v/>
      </c>
      <c r="CM19">
        <f>IF(COUNTIFS(T_StockCount[Part Name],$A19,T_StockCount[WeekIndex],90)&gt;0,SUMIFS(T_StockCount[CountedQty],T_StockCount[Part Name],$A19,T_StockCount[WeekIndex],90),IF((('T_SelfStock'!CM23&lt;&gt;""))*(('T_TTAFStock'!CM23&lt;&gt;""))&gt;0,'T_SelfStock'!CM23+'T_TTAFStock'!CM23,CL19+'Grid_Incoming'!CM19-'Grid_Requirement'!CM19))</f>
        <v/>
      </c>
      <c r="CN19">
        <f>IF(COUNTIFS(T_StockCount[Part Name],$A19,T_StockCount[WeekIndex],91)&gt;0,SUMIFS(T_StockCount[CountedQty],T_StockCount[Part Name],$A19,T_StockCount[WeekIndex],91),IF((('T_SelfStock'!CN23&lt;&gt;""))*(('T_TTAFStock'!CN23&lt;&gt;""))&gt;0,'T_SelfStock'!CN23+'T_TTAFStock'!CN23,CM19+'Grid_Incoming'!CN19-'Grid_Requirement'!CN19))</f>
        <v/>
      </c>
      <c r="CO19">
        <f>IF(COUNTIFS(T_StockCount[Part Name],$A19,T_StockCount[WeekIndex],92)&gt;0,SUMIFS(T_StockCount[CountedQty],T_StockCount[Part Name],$A19,T_StockCount[WeekIndex],92),IF((('T_SelfStock'!CO23&lt;&gt;""))*(('T_TTAFStock'!CO23&lt;&gt;""))&gt;0,'T_SelfStock'!CO23+'T_TTAFStock'!CO23,CN19+'Grid_Incoming'!CO19-'Grid_Requirement'!CO19))</f>
        <v/>
      </c>
      <c r="CP19">
        <f>IF(COUNTIFS(T_StockCount[Part Name],$A19,T_StockCount[WeekIndex],93)&gt;0,SUMIFS(T_StockCount[CountedQty],T_StockCount[Part Name],$A19,T_StockCount[WeekIndex],93),IF((('T_SelfStock'!CP23&lt;&gt;""))*(('T_TTAFStock'!CP23&lt;&gt;""))&gt;0,'T_SelfStock'!CP23+'T_TTAFStock'!CP23,CO19+'Grid_Incoming'!CP19-'Grid_Requirement'!CP19))</f>
        <v/>
      </c>
      <c r="CQ19">
        <f>IF(COUNTIFS(T_StockCount[Part Name],$A19,T_StockCount[WeekIndex],94)&gt;0,SUMIFS(T_StockCount[CountedQty],T_StockCount[Part Name],$A19,T_StockCount[WeekIndex],94),IF((('T_SelfStock'!CQ23&lt;&gt;""))*(('T_TTAFStock'!CQ23&lt;&gt;""))&gt;0,'T_SelfStock'!CQ23+'T_TTAFStock'!CQ23,CP19+'Grid_Incoming'!CQ19-'Grid_Requirement'!CQ19))</f>
        <v/>
      </c>
      <c r="CR19">
        <f>IF(COUNTIFS(T_StockCount[Part Name],$A19,T_StockCount[WeekIndex],95)&gt;0,SUMIFS(T_StockCount[CountedQty],T_StockCount[Part Name],$A19,T_StockCount[WeekIndex],95),IF((('T_SelfStock'!CR23&lt;&gt;""))*(('T_TTAFStock'!CR23&lt;&gt;""))&gt;0,'T_SelfStock'!CR23+'T_TTAFStock'!CR23,CQ19+'Grid_Incoming'!CR19-'Grid_Requirement'!CR19))</f>
        <v/>
      </c>
      <c r="CS19">
        <f>IF(COUNTIFS(T_StockCount[Part Name],$A19,T_StockCount[WeekIndex],96)&gt;0,SUMIFS(T_StockCount[CountedQty],T_StockCount[Part Name],$A19,T_StockCount[WeekIndex],96),IF((('T_SelfStock'!CS23&lt;&gt;""))*(('T_TTAFStock'!CS23&lt;&gt;""))&gt;0,'T_SelfStock'!CS23+'T_TTAFStock'!CS23,CR19+'Grid_Incoming'!CS19-'Grid_Requirement'!CS19))</f>
        <v/>
      </c>
      <c r="CT19">
        <f>IF(COUNTIFS(T_StockCount[Part Name],$A19,T_StockCount[WeekIndex],97)&gt;0,SUMIFS(T_StockCount[CountedQty],T_StockCount[Part Name],$A19,T_StockCount[WeekIndex],97),IF((('T_SelfStock'!CT23&lt;&gt;""))*(('T_TTAFStock'!CT23&lt;&gt;""))&gt;0,'T_SelfStock'!CT23+'T_TTAFStock'!CT23,CS19+'Grid_Incoming'!CT19-'Grid_Requirement'!CT19))</f>
        <v/>
      </c>
      <c r="CU19">
        <f>IF(COUNTIFS(T_StockCount[Part Name],$A19,T_StockCount[WeekIndex],98)&gt;0,SUMIFS(T_StockCount[CountedQty],T_StockCount[Part Name],$A19,T_StockCount[WeekIndex],98),IF((('T_SelfStock'!CU23&lt;&gt;""))*(('T_TTAFStock'!CU23&lt;&gt;""))&gt;0,'T_SelfStock'!CU23+'T_TTAFStock'!CU23,CT19+'Grid_Incoming'!CU19-'Grid_Requirement'!CU19))</f>
        <v/>
      </c>
      <c r="CV19">
        <f>IF(COUNTIFS(T_StockCount[Part Name],$A19,T_StockCount[WeekIndex],99)&gt;0,SUMIFS(T_StockCount[CountedQty],T_StockCount[Part Name],$A19,T_StockCount[WeekIndex],99),IF((('T_SelfStock'!CV23&lt;&gt;""))*(('T_TTAFStock'!CV23&lt;&gt;""))&gt;0,'T_SelfStock'!CV23+'T_TTAFStock'!CV23,CU19+'Grid_Incoming'!CV19-'Grid_Requirement'!CV19))</f>
        <v/>
      </c>
      <c r="CW19">
        <f>IF(COUNTIFS(T_StockCount[Part Name],$A19,T_StockCount[WeekIndex],100)&gt;0,SUMIFS(T_StockCount[CountedQty],T_StockCount[Part Name],$A19,T_StockCount[WeekIndex],100),IF((('T_SelfStock'!CW23&lt;&gt;""))*(('T_TTAFStock'!CW23&lt;&gt;""))&gt;0,'T_SelfStock'!CW23+'T_TTAFStock'!CW23,CV19+'Grid_Incoming'!CW19-'Grid_Requirement'!CW19))</f>
        <v/>
      </c>
      <c r="CX19">
        <f>IF(COUNTIFS(T_StockCount[Part Name],$A19,T_StockCount[WeekIndex],101)&gt;0,SUMIFS(T_StockCount[CountedQty],T_StockCount[Part Name],$A19,T_StockCount[WeekIndex],101),IF((('T_SelfStock'!CX23&lt;&gt;""))*(('T_TTAFStock'!CX23&lt;&gt;""))&gt;0,'T_SelfStock'!CX23+'T_TTAFStock'!CX23,CW19+'Grid_Incoming'!CX19-'Grid_Requirement'!CX19))</f>
        <v/>
      </c>
      <c r="CY19">
        <f>IF(COUNTIFS(T_StockCount[Part Name],$A19,T_StockCount[WeekIndex],102)&gt;0,SUMIFS(T_StockCount[CountedQty],T_StockCount[Part Name],$A19,T_StockCount[WeekIndex],102),IF((('T_SelfStock'!CY23&lt;&gt;""))*(('T_TTAFStock'!CY23&lt;&gt;""))&gt;0,'T_SelfStock'!CY23+'T_TTAFStock'!CY23,CX19+'Grid_Incoming'!CY19-'Grid_Requirement'!CY19))</f>
        <v/>
      </c>
      <c r="CZ19">
        <f>IF(COUNTIFS(T_StockCount[Part Name],$A19,T_StockCount[WeekIndex],103)&gt;0,SUMIFS(T_StockCount[CountedQty],T_StockCount[Part Name],$A19,T_StockCount[WeekIndex],103),IF((('T_SelfStock'!CZ23&lt;&gt;""))*(('T_TTAFStock'!CZ23&lt;&gt;""))&gt;0,'T_SelfStock'!CZ23+'T_TTAFStock'!CZ23,CY19+'Grid_Incoming'!CZ19-'Grid_Requirement'!CZ19))</f>
        <v/>
      </c>
      <c r="DA19">
        <f>IF(COUNTIFS(T_StockCount[Part Name],$A19,T_StockCount[WeekIndex],104)&gt;0,SUMIFS(T_StockCount[CountedQty],T_StockCount[Part Name],$A19,T_StockCount[WeekIndex],104),IF((('T_SelfStock'!DA23&lt;&gt;""))*(('T_TTAFStock'!DA23&lt;&gt;""))&gt;0,'T_SelfStock'!DA23+'T_TTAFStock'!DA23,CZ19+'Grid_Incoming'!DA19-'Grid_Requirement'!DA19))</f>
        <v/>
      </c>
    </row>
    <row r="20">
      <c r="A20" t="inlineStr">
        <is>
          <t>CHEM-1280</t>
        </is>
      </c>
      <c r="B20">
        <f>IF(COUNTIFS(T_StockCount[Part Name],$A20,T_StockCount[WeekIndex],1)&gt;0,SUMIFS(T_StockCount[CountedQty],T_StockCount[Part Name],$A20,T_StockCount[WeekIndex],1),IF((('T_SelfStock'!B24&lt;&gt;""))*(('T_TTAFStock'!B24&lt;&gt;""))&gt;0,'T_SelfStock'!B24+'T_TTAFStock'!B24,IFERROR(INDEX(T_OpeningStock[Opening_Qty],MATCH($A20,T_OpeningStock[Part Name],0)),0)+'Grid_Incoming'!B20-'Grid_Requirement'!B20))</f>
        <v/>
      </c>
      <c r="C20">
        <f>IF(COUNTIFS(T_StockCount[Part Name],$A20,T_StockCount[WeekIndex],2)&gt;0,SUMIFS(T_StockCount[CountedQty],T_StockCount[Part Name],$A20,T_StockCount[WeekIndex],2),IF((('T_SelfStock'!C24&lt;&gt;""))*(('T_TTAFStock'!C24&lt;&gt;""))&gt;0,'T_SelfStock'!C24+'T_TTAFStock'!C24,B20+'Grid_Incoming'!C20-'Grid_Requirement'!C20))</f>
        <v/>
      </c>
      <c r="D20">
        <f>IF(COUNTIFS(T_StockCount[Part Name],$A20,T_StockCount[WeekIndex],3)&gt;0,SUMIFS(T_StockCount[CountedQty],T_StockCount[Part Name],$A20,T_StockCount[WeekIndex],3),IF((('T_SelfStock'!D24&lt;&gt;""))*(('T_TTAFStock'!D24&lt;&gt;""))&gt;0,'T_SelfStock'!D24+'T_TTAFStock'!D24,C20+'Grid_Incoming'!D20-'Grid_Requirement'!D20))</f>
        <v/>
      </c>
      <c r="E20">
        <f>IF(COUNTIFS(T_StockCount[Part Name],$A20,T_StockCount[WeekIndex],4)&gt;0,SUMIFS(T_StockCount[CountedQty],T_StockCount[Part Name],$A20,T_StockCount[WeekIndex],4),IF((('T_SelfStock'!E24&lt;&gt;""))*(('T_TTAFStock'!E24&lt;&gt;""))&gt;0,'T_SelfStock'!E24+'T_TTAFStock'!E24,D20+'Grid_Incoming'!E20-'Grid_Requirement'!E20))</f>
        <v/>
      </c>
      <c r="F20">
        <f>IF(COUNTIFS(T_StockCount[Part Name],$A20,T_StockCount[WeekIndex],5)&gt;0,SUMIFS(T_StockCount[CountedQty],T_StockCount[Part Name],$A20,T_StockCount[WeekIndex],5),IF((('T_SelfStock'!F24&lt;&gt;""))*(('T_TTAFStock'!F24&lt;&gt;""))&gt;0,'T_SelfStock'!F24+'T_TTAFStock'!F24,E20+'Grid_Incoming'!F20-'Grid_Requirement'!F20))</f>
        <v/>
      </c>
      <c r="G20">
        <f>IF(COUNTIFS(T_StockCount[Part Name],$A20,T_StockCount[WeekIndex],6)&gt;0,SUMIFS(T_StockCount[CountedQty],T_StockCount[Part Name],$A20,T_StockCount[WeekIndex],6),IF((('T_SelfStock'!G24&lt;&gt;""))*(('T_TTAFStock'!G24&lt;&gt;""))&gt;0,'T_SelfStock'!G24+'T_TTAFStock'!G24,F20+'Grid_Incoming'!G20-'Grid_Requirement'!G20))</f>
        <v/>
      </c>
      <c r="H20">
        <f>IF(COUNTIFS(T_StockCount[Part Name],$A20,T_StockCount[WeekIndex],7)&gt;0,SUMIFS(T_StockCount[CountedQty],T_StockCount[Part Name],$A20,T_StockCount[WeekIndex],7),IF((('T_SelfStock'!H24&lt;&gt;""))*(('T_TTAFStock'!H24&lt;&gt;""))&gt;0,'T_SelfStock'!H24+'T_TTAFStock'!H24,G20+'Grid_Incoming'!H20-'Grid_Requirement'!H20))</f>
        <v/>
      </c>
      <c r="I20">
        <f>IF(COUNTIFS(T_StockCount[Part Name],$A20,T_StockCount[WeekIndex],8)&gt;0,SUMIFS(T_StockCount[CountedQty],T_StockCount[Part Name],$A20,T_StockCount[WeekIndex],8),IF((('T_SelfStock'!I24&lt;&gt;""))*(('T_TTAFStock'!I24&lt;&gt;""))&gt;0,'T_SelfStock'!I24+'T_TTAFStock'!I24,H20+'Grid_Incoming'!I20-'Grid_Requirement'!I20))</f>
        <v/>
      </c>
      <c r="J20">
        <f>IF(COUNTIFS(T_StockCount[Part Name],$A20,T_StockCount[WeekIndex],9)&gt;0,SUMIFS(T_StockCount[CountedQty],T_StockCount[Part Name],$A20,T_StockCount[WeekIndex],9),IF((('T_SelfStock'!J24&lt;&gt;""))*(('T_TTAFStock'!J24&lt;&gt;""))&gt;0,'T_SelfStock'!J24+'T_TTAFStock'!J24,I20+'Grid_Incoming'!J20-'Grid_Requirement'!J20))</f>
        <v/>
      </c>
      <c r="K20">
        <f>IF(COUNTIFS(T_StockCount[Part Name],$A20,T_StockCount[WeekIndex],10)&gt;0,SUMIFS(T_StockCount[CountedQty],T_StockCount[Part Name],$A20,T_StockCount[WeekIndex],10),IF((('T_SelfStock'!K24&lt;&gt;""))*(('T_TTAFStock'!K24&lt;&gt;""))&gt;0,'T_SelfStock'!K24+'T_TTAFStock'!K24,J20+'Grid_Incoming'!K20-'Grid_Requirement'!K20))</f>
        <v/>
      </c>
      <c r="L20">
        <f>IF(COUNTIFS(T_StockCount[Part Name],$A20,T_StockCount[WeekIndex],11)&gt;0,SUMIFS(T_StockCount[CountedQty],T_StockCount[Part Name],$A20,T_StockCount[WeekIndex],11),IF((('T_SelfStock'!L24&lt;&gt;""))*(('T_TTAFStock'!L24&lt;&gt;""))&gt;0,'T_SelfStock'!L24+'T_TTAFStock'!L24,K20+'Grid_Incoming'!L20-'Grid_Requirement'!L20))</f>
        <v/>
      </c>
      <c r="M20">
        <f>IF(COUNTIFS(T_StockCount[Part Name],$A20,T_StockCount[WeekIndex],12)&gt;0,SUMIFS(T_StockCount[CountedQty],T_StockCount[Part Name],$A20,T_StockCount[WeekIndex],12),IF((('T_SelfStock'!M24&lt;&gt;""))*(('T_TTAFStock'!M24&lt;&gt;""))&gt;0,'T_SelfStock'!M24+'T_TTAFStock'!M24,L20+'Grid_Incoming'!M20-'Grid_Requirement'!M20))</f>
        <v/>
      </c>
      <c r="N20">
        <f>IF(COUNTIFS(T_StockCount[Part Name],$A20,T_StockCount[WeekIndex],13)&gt;0,SUMIFS(T_StockCount[CountedQty],T_StockCount[Part Name],$A20,T_StockCount[WeekIndex],13),IF((('T_SelfStock'!N24&lt;&gt;""))*(('T_TTAFStock'!N24&lt;&gt;""))&gt;0,'T_SelfStock'!N24+'T_TTAFStock'!N24,M20+'Grid_Incoming'!N20-'Grid_Requirement'!N20))</f>
        <v/>
      </c>
      <c r="O20">
        <f>IF(COUNTIFS(T_StockCount[Part Name],$A20,T_StockCount[WeekIndex],14)&gt;0,SUMIFS(T_StockCount[CountedQty],T_StockCount[Part Name],$A20,T_StockCount[WeekIndex],14),IF((('T_SelfStock'!O24&lt;&gt;""))*(('T_TTAFStock'!O24&lt;&gt;""))&gt;0,'T_SelfStock'!O24+'T_TTAFStock'!O24,N20+'Grid_Incoming'!O20-'Grid_Requirement'!O20))</f>
        <v/>
      </c>
      <c r="P20">
        <f>IF(COUNTIFS(T_StockCount[Part Name],$A20,T_StockCount[WeekIndex],15)&gt;0,SUMIFS(T_StockCount[CountedQty],T_StockCount[Part Name],$A20,T_StockCount[WeekIndex],15),IF((('T_SelfStock'!P24&lt;&gt;""))*(('T_TTAFStock'!P24&lt;&gt;""))&gt;0,'T_SelfStock'!P24+'T_TTAFStock'!P24,O20+'Grid_Incoming'!P20-'Grid_Requirement'!P20))</f>
        <v/>
      </c>
      <c r="Q20">
        <f>IF(COUNTIFS(T_StockCount[Part Name],$A20,T_StockCount[WeekIndex],16)&gt;0,SUMIFS(T_StockCount[CountedQty],T_StockCount[Part Name],$A20,T_StockCount[WeekIndex],16),IF((('T_SelfStock'!Q24&lt;&gt;""))*(('T_TTAFStock'!Q24&lt;&gt;""))&gt;0,'T_SelfStock'!Q24+'T_TTAFStock'!Q24,P20+'Grid_Incoming'!Q20-'Grid_Requirement'!Q20))</f>
        <v/>
      </c>
      <c r="R20">
        <f>IF(COUNTIFS(T_StockCount[Part Name],$A20,T_StockCount[WeekIndex],17)&gt;0,SUMIFS(T_StockCount[CountedQty],T_StockCount[Part Name],$A20,T_StockCount[WeekIndex],17),IF((('T_SelfStock'!R24&lt;&gt;""))*(('T_TTAFStock'!R24&lt;&gt;""))&gt;0,'T_SelfStock'!R24+'T_TTAFStock'!R24,Q20+'Grid_Incoming'!R20-'Grid_Requirement'!R20))</f>
        <v/>
      </c>
      <c r="S20">
        <f>IF(COUNTIFS(T_StockCount[Part Name],$A20,T_StockCount[WeekIndex],18)&gt;0,SUMIFS(T_StockCount[CountedQty],T_StockCount[Part Name],$A20,T_StockCount[WeekIndex],18),IF((('T_SelfStock'!S24&lt;&gt;""))*(('T_TTAFStock'!S24&lt;&gt;""))&gt;0,'T_SelfStock'!S24+'T_TTAFStock'!S24,R20+'Grid_Incoming'!S20-'Grid_Requirement'!S20))</f>
        <v/>
      </c>
      <c r="T20">
        <f>IF(COUNTIFS(T_StockCount[Part Name],$A20,T_StockCount[WeekIndex],19)&gt;0,SUMIFS(T_StockCount[CountedQty],T_StockCount[Part Name],$A20,T_StockCount[WeekIndex],19),IF((('T_SelfStock'!T24&lt;&gt;""))*(('T_TTAFStock'!T24&lt;&gt;""))&gt;0,'T_SelfStock'!T24+'T_TTAFStock'!T24,S20+'Grid_Incoming'!T20-'Grid_Requirement'!T20))</f>
        <v/>
      </c>
      <c r="U20">
        <f>IF(COUNTIFS(T_StockCount[Part Name],$A20,T_StockCount[WeekIndex],20)&gt;0,SUMIFS(T_StockCount[CountedQty],T_StockCount[Part Name],$A20,T_StockCount[WeekIndex],20),IF((('T_SelfStock'!U24&lt;&gt;""))*(('T_TTAFStock'!U24&lt;&gt;""))&gt;0,'T_SelfStock'!U24+'T_TTAFStock'!U24,T20+'Grid_Incoming'!U20-'Grid_Requirement'!U20))</f>
        <v/>
      </c>
      <c r="V20">
        <f>IF(COUNTIFS(T_StockCount[Part Name],$A20,T_StockCount[WeekIndex],21)&gt;0,SUMIFS(T_StockCount[CountedQty],T_StockCount[Part Name],$A20,T_StockCount[WeekIndex],21),IF((('T_SelfStock'!V24&lt;&gt;""))*(('T_TTAFStock'!V24&lt;&gt;""))&gt;0,'T_SelfStock'!V24+'T_TTAFStock'!V24,U20+'Grid_Incoming'!V20-'Grid_Requirement'!V20))</f>
        <v/>
      </c>
      <c r="W20">
        <f>IF(COUNTIFS(T_StockCount[Part Name],$A20,T_StockCount[WeekIndex],22)&gt;0,SUMIFS(T_StockCount[CountedQty],T_StockCount[Part Name],$A20,T_StockCount[WeekIndex],22),IF((('T_SelfStock'!W24&lt;&gt;""))*(('T_TTAFStock'!W24&lt;&gt;""))&gt;0,'T_SelfStock'!W24+'T_TTAFStock'!W24,V20+'Grid_Incoming'!W20-'Grid_Requirement'!W20))</f>
        <v/>
      </c>
      <c r="X20">
        <f>IF(COUNTIFS(T_StockCount[Part Name],$A20,T_StockCount[WeekIndex],23)&gt;0,SUMIFS(T_StockCount[CountedQty],T_StockCount[Part Name],$A20,T_StockCount[WeekIndex],23),IF((('T_SelfStock'!X24&lt;&gt;""))*(('T_TTAFStock'!X24&lt;&gt;""))&gt;0,'T_SelfStock'!X24+'T_TTAFStock'!X24,W20+'Grid_Incoming'!X20-'Grid_Requirement'!X20))</f>
        <v/>
      </c>
      <c r="Y20">
        <f>IF(COUNTIFS(T_StockCount[Part Name],$A20,T_StockCount[WeekIndex],24)&gt;0,SUMIFS(T_StockCount[CountedQty],T_StockCount[Part Name],$A20,T_StockCount[WeekIndex],24),IF((('T_SelfStock'!Y24&lt;&gt;""))*(('T_TTAFStock'!Y24&lt;&gt;""))&gt;0,'T_SelfStock'!Y24+'T_TTAFStock'!Y24,X20+'Grid_Incoming'!Y20-'Grid_Requirement'!Y20))</f>
        <v/>
      </c>
      <c r="Z20">
        <f>IF(COUNTIFS(T_StockCount[Part Name],$A20,T_StockCount[WeekIndex],25)&gt;0,SUMIFS(T_StockCount[CountedQty],T_StockCount[Part Name],$A20,T_StockCount[WeekIndex],25),IF((('T_SelfStock'!Z24&lt;&gt;""))*(('T_TTAFStock'!Z24&lt;&gt;""))&gt;0,'T_SelfStock'!Z24+'T_TTAFStock'!Z24,Y20+'Grid_Incoming'!Z20-'Grid_Requirement'!Z20))</f>
        <v/>
      </c>
      <c r="AA20">
        <f>IF(COUNTIFS(T_StockCount[Part Name],$A20,T_StockCount[WeekIndex],26)&gt;0,SUMIFS(T_StockCount[CountedQty],T_StockCount[Part Name],$A20,T_StockCount[WeekIndex],26),IF((('T_SelfStock'!AA24&lt;&gt;""))*(('T_TTAFStock'!AA24&lt;&gt;""))&gt;0,'T_SelfStock'!AA24+'T_TTAFStock'!AA24,Z20+'Grid_Incoming'!AA20-'Grid_Requirement'!AA20))</f>
        <v/>
      </c>
      <c r="AB20">
        <f>IF(COUNTIFS(T_StockCount[Part Name],$A20,T_StockCount[WeekIndex],27)&gt;0,SUMIFS(T_StockCount[CountedQty],T_StockCount[Part Name],$A20,T_StockCount[WeekIndex],27),IF((('T_SelfStock'!AB24&lt;&gt;""))*(('T_TTAFStock'!AB24&lt;&gt;""))&gt;0,'T_SelfStock'!AB24+'T_TTAFStock'!AB24,AA20+'Grid_Incoming'!AB20-'Grid_Requirement'!AB20))</f>
        <v/>
      </c>
      <c r="AC20">
        <f>IF(COUNTIFS(T_StockCount[Part Name],$A20,T_StockCount[WeekIndex],28)&gt;0,SUMIFS(T_StockCount[CountedQty],T_StockCount[Part Name],$A20,T_StockCount[WeekIndex],28),IF((('T_SelfStock'!AC24&lt;&gt;""))*(('T_TTAFStock'!AC24&lt;&gt;""))&gt;0,'T_SelfStock'!AC24+'T_TTAFStock'!AC24,AB20+'Grid_Incoming'!AC20-'Grid_Requirement'!AC20))</f>
        <v/>
      </c>
      <c r="AD20">
        <f>IF(COUNTIFS(T_StockCount[Part Name],$A20,T_StockCount[WeekIndex],29)&gt;0,SUMIFS(T_StockCount[CountedQty],T_StockCount[Part Name],$A20,T_StockCount[WeekIndex],29),IF((('T_SelfStock'!AD24&lt;&gt;""))*(('T_TTAFStock'!AD24&lt;&gt;""))&gt;0,'T_SelfStock'!AD24+'T_TTAFStock'!AD24,AC20+'Grid_Incoming'!AD20-'Grid_Requirement'!AD20))</f>
        <v/>
      </c>
      <c r="AE20">
        <f>IF(COUNTIFS(T_StockCount[Part Name],$A20,T_StockCount[WeekIndex],30)&gt;0,SUMIFS(T_StockCount[CountedQty],T_StockCount[Part Name],$A20,T_StockCount[WeekIndex],30),IF((('T_SelfStock'!AE24&lt;&gt;""))*(('T_TTAFStock'!AE24&lt;&gt;""))&gt;0,'T_SelfStock'!AE24+'T_TTAFStock'!AE24,AD20+'Grid_Incoming'!AE20-'Grid_Requirement'!AE20))</f>
        <v/>
      </c>
      <c r="AF20">
        <f>IF(COUNTIFS(T_StockCount[Part Name],$A20,T_StockCount[WeekIndex],31)&gt;0,SUMIFS(T_StockCount[CountedQty],T_StockCount[Part Name],$A20,T_StockCount[WeekIndex],31),IF((('T_SelfStock'!AF24&lt;&gt;""))*(('T_TTAFStock'!AF24&lt;&gt;""))&gt;0,'T_SelfStock'!AF24+'T_TTAFStock'!AF24,AE20+'Grid_Incoming'!AF20-'Grid_Requirement'!AF20))</f>
        <v/>
      </c>
      <c r="AG20">
        <f>IF(COUNTIFS(T_StockCount[Part Name],$A20,T_StockCount[WeekIndex],32)&gt;0,SUMIFS(T_StockCount[CountedQty],T_StockCount[Part Name],$A20,T_StockCount[WeekIndex],32),IF((('T_SelfStock'!AG24&lt;&gt;""))*(('T_TTAFStock'!AG24&lt;&gt;""))&gt;0,'T_SelfStock'!AG24+'T_TTAFStock'!AG24,AF20+'Grid_Incoming'!AG20-'Grid_Requirement'!AG20))</f>
        <v/>
      </c>
      <c r="AH20">
        <f>IF(COUNTIFS(T_StockCount[Part Name],$A20,T_StockCount[WeekIndex],33)&gt;0,SUMIFS(T_StockCount[CountedQty],T_StockCount[Part Name],$A20,T_StockCount[WeekIndex],33),IF((('T_SelfStock'!AH24&lt;&gt;""))*(('T_TTAFStock'!AH24&lt;&gt;""))&gt;0,'T_SelfStock'!AH24+'T_TTAFStock'!AH24,AG20+'Grid_Incoming'!AH20-'Grid_Requirement'!AH20))</f>
        <v/>
      </c>
      <c r="AI20">
        <f>IF(COUNTIFS(T_StockCount[Part Name],$A20,T_StockCount[WeekIndex],34)&gt;0,SUMIFS(T_StockCount[CountedQty],T_StockCount[Part Name],$A20,T_StockCount[WeekIndex],34),IF((('T_SelfStock'!AI24&lt;&gt;""))*(('T_TTAFStock'!AI24&lt;&gt;""))&gt;0,'T_SelfStock'!AI24+'T_TTAFStock'!AI24,AH20+'Grid_Incoming'!AI20-'Grid_Requirement'!AI20))</f>
        <v/>
      </c>
      <c r="AJ20">
        <f>IF(COUNTIFS(T_StockCount[Part Name],$A20,T_StockCount[WeekIndex],35)&gt;0,SUMIFS(T_StockCount[CountedQty],T_StockCount[Part Name],$A20,T_StockCount[WeekIndex],35),IF((('T_SelfStock'!AJ24&lt;&gt;""))*(('T_TTAFStock'!AJ24&lt;&gt;""))&gt;0,'T_SelfStock'!AJ24+'T_TTAFStock'!AJ24,AI20+'Grid_Incoming'!AJ20-'Grid_Requirement'!AJ20))</f>
        <v/>
      </c>
      <c r="AK20">
        <f>IF(COUNTIFS(T_StockCount[Part Name],$A20,T_StockCount[WeekIndex],36)&gt;0,SUMIFS(T_StockCount[CountedQty],T_StockCount[Part Name],$A20,T_StockCount[WeekIndex],36),IF((('T_SelfStock'!AK24&lt;&gt;""))*(('T_TTAFStock'!AK24&lt;&gt;""))&gt;0,'T_SelfStock'!AK24+'T_TTAFStock'!AK24,AJ20+'Grid_Incoming'!AK20-'Grid_Requirement'!AK20))</f>
        <v/>
      </c>
      <c r="AL20">
        <f>IF(COUNTIFS(T_StockCount[Part Name],$A20,T_StockCount[WeekIndex],37)&gt;0,SUMIFS(T_StockCount[CountedQty],T_StockCount[Part Name],$A20,T_StockCount[WeekIndex],37),IF((('T_SelfStock'!AL24&lt;&gt;""))*(('T_TTAFStock'!AL24&lt;&gt;""))&gt;0,'T_SelfStock'!AL24+'T_TTAFStock'!AL24,AK20+'Grid_Incoming'!AL20-'Grid_Requirement'!AL20))</f>
        <v/>
      </c>
      <c r="AM20">
        <f>IF(COUNTIFS(T_StockCount[Part Name],$A20,T_StockCount[WeekIndex],38)&gt;0,SUMIFS(T_StockCount[CountedQty],T_StockCount[Part Name],$A20,T_StockCount[WeekIndex],38),IF((('T_SelfStock'!AM24&lt;&gt;""))*(('T_TTAFStock'!AM24&lt;&gt;""))&gt;0,'T_SelfStock'!AM24+'T_TTAFStock'!AM24,AL20+'Grid_Incoming'!AM20-'Grid_Requirement'!AM20))</f>
        <v/>
      </c>
      <c r="AN20">
        <f>IF(COUNTIFS(T_StockCount[Part Name],$A20,T_StockCount[WeekIndex],39)&gt;0,SUMIFS(T_StockCount[CountedQty],T_StockCount[Part Name],$A20,T_StockCount[WeekIndex],39),IF((('T_SelfStock'!AN24&lt;&gt;""))*(('T_TTAFStock'!AN24&lt;&gt;""))&gt;0,'T_SelfStock'!AN24+'T_TTAFStock'!AN24,AM20+'Grid_Incoming'!AN20-'Grid_Requirement'!AN20))</f>
        <v/>
      </c>
      <c r="AO20">
        <f>IF(COUNTIFS(T_StockCount[Part Name],$A20,T_StockCount[WeekIndex],40)&gt;0,SUMIFS(T_StockCount[CountedQty],T_StockCount[Part Name],$A20,T_StockCount[WeekIndex],40),IF((('T_SelfStock'!AO24&lt;&gt;""))*(('T_TTAFStock'!AO24&lt;&gt;""))&gt;0,'T_SelfStock'!AO24+'T_TTAFStock'!AO24,AN20+'Grid_Incoming'!AO20-'Grid_Requirement'!AO20))</f>
        <v/>
      </c>
      <c r="AP20">
        <f>IF(COUNTIFS(T_StockCount[Part Name],$A20,T_StockCount[WeekIndex],41)&gt;0,SUMIFS(T_StockCount[CountedQty],T_StockCount[Part Name],$A20,T_StockCount[WeekIndex],41),IF((('T_SelfStock'!AP24&lt;&gt;""))*(('T_TTAFStock'!AP24&lt;&gt;""))&gt;0,'T_SelfStock'!AP24+'T_TTAFStock'!AP24,AO20+'Grid_Incoming'!AP20-'Grid_Requirement'!AP20))</f>
        <v/>
      </c>
      <c r="AQ20">
        <f>IF(COUNTIFS(T_StockCount[Part Name],$A20,T_StockCount[WeekIndex],42)&gt;0,SUMIFS(T_StockCount[CountedQty],T_StockCount[Part Name],$A20,T_StockCount[WeekIndex],42),IF((('T_SelfStock'!AQ24&lt;&gt;""))*(('T_TTAFStock'!AQ24&lt;&gt;""))&gt;0,'T_SelfStock'!AQ24+'T_TTAFStock'!AQ24,AP20+'Grid_Incoming'!AQ20-'Grid_Requirement'!AQ20))</f>
        <v/>
      </c>
      <c r="AR20">
        <f>IF(COUNTIFS(T_StockCount[Part Name],$A20,T_StockCount[WeekIndex],43)&gt;0,SUMIFS(T_StockCount[CountedQty],T_StockCount[Part Name],$A20,T_StockCount[WeekIndex],43),IF((('T_SelfStock'!AR24&lt;&gt;""))*(('T_TTAFStock'!AR24&lt;&gt;""))&gt;0,'T_SelfStock'!AR24+'T_TTAFStock'!AR24,AQ20+'Grid_Incoming'!AR20-'Grid_Requirement'!AR20))</f>
        <v/>
      </c>
      <c r="AS20">
        <f>IF(COUNTIFS(T_StockCount[Part Name],$A20,T_StockCount[WeekIndex],44)&gt;0,SUMIFS(T_StockCount[CountedQty],T_StockCount[Part Name],$A20,T_StockCount[WeekIndex],44),IF((('T_SelfStock'!AS24&lt;&gt;""))*(('T_TTAFStock'!AS24&lt;&gt;""))&gt;0,'T_SelfStock'!AS24+'T_TTAFStock'!AS24,AR20+'Grid_Incoming'!AS20-'Grid_Requirement'!AS20))</f>
        <v/>
      </c>
      <c r="AT20">
        <f>IF(COUNTIFS(T_StockCount[Part Name],$A20,T_StockCount[WeekIndex],45)&gt;0,SUMIFS(T_StockCount[CountedQty],T_StockCount[Part Name],$A20,T_StockCount[WeekIndex],45),IF((('T_SelfStock'!AT24&lt;&gt;""))*(('T_TTAFStock'!AT24&lt;&gt;""))&gt;0,'T_SelfStock'!AT24+'T_TTAFStock'!AT24,AS20+'Grid_Incoming'!AT20-'Grid_Requirement'!AT20))</f>
        <v/>
      </c>
      <c r="AU20">
        <f>IF(COUNTIFS(T_StockCount[Part Name],$A20,T_StockCount[WeekIndex],46)&gt;0,SUMIFS(T_StockCount[CountedQty],T_StockCount[Part Name],$A20,T_StockCount[WeekIndex],46),IF((('T_SelfStock'!AU24&lt;&gt;""))*(('T_TTAFStock'!AU24&lt;&gt;""))&gt;0,'T_SelfStock'!AU24+'T_TTAFStock'!AU24,AT20+'Grid_Incoming'!AU20-'Grid_Requirement'!AU20))</f>
        <v/>
      </c>
      <c r="AV20">
        <f>IF(COUNTIFS(T_StockCount[Part Name],$A20,T_StockCount[WeekIndex],47)&gt;0,SUMIFS(T_StockCount[CountedQty],T_StockCount[Part Name],$A20,T_StockCount[WeekIndex],47),IF((('T_SelfStock'!AV24&lt;&gt;""))*(('T_TTAFStock'!AV24&lt;&gt;""))&gt;0,'T_SelfStock'!AV24+'T_TTAFStock'!AV24,AU20+'Grid_Incoming'!AV20-'Grid_Requirement'!AV20))</f>
        <v/>
      </c>
      <c r="AW20">
        <f>IF(COUNTIFS(T_StockCount[Part Name],$A20,T_StockCount[WeekIndex],48)&gt;0,SUMIFS(T_StockCount[CountedQty],T_StockCount[Part Name],$A20,T_StockCount[WeekIndex],48),IF((('T_SelfStock'!AW24&lt;&gt;""))*(('T_TTAFStock'!AW24&lt;&gt;""))&gt;0,'T_SelfStock'!AW24+'T_TTAFStock'!AW24,AV20+'Grid_Incoming'!AW20-'Grid_Requirement'!AW20))</f>
        <v/>
      </c>
      <c r="AX20">
        <f>IF(COUNTIFS(T_StockCount[Part Name],$A20,T_StockCount[WeekIndex],49)&gt;0,SUMIFS(T_StockCount[CountedQty],T_StockCount[Part Name],$A20,T_StockCount[WeekIndex],49),IF((('T_SelfStock'!AX24&lt;&gt;""))*(('T_TTAFStock'!AX24&lt;&gt;""))&gt;0,'T_SelfStock'!AX24+'T_TTAFStock'!AX24,AW20+'Grid_Incoming'!AX20-'Grid_Requirement'!AX20))</f>
        <v/>
      </c>
      <c r="AY20">
        <f>IF(COUNTIFS(T_StockCount[Part Name],$A20,T_StockCount[WeekIndex],50)&gt;0,SUMIFS(T_StockCount[CountedQty],T_StockCount[Part Name],$A20,T_StockCount[WeekIndex],50),IF((('T_SelfStock'!AY24&lt;&gt;""))*(('T_TTAFStock'!AY24&lt;&gt;""))&gt;0,'T_SelfStock'!AY24+'T_TTAFStock'!AY24,AX20+'Grid_Incoming'!AY20-'Grid_Requirement'!AY20))</f>
        <v/>
      </c>
      <c r="AZ20">
        <f>IF(COUNTIFS(T_StockCount[Part Name],$A20,T_StockCount[WeekIndex],51)&gt;0,SUMIFS(T_StockCount[CountedQty],T_StockCount[Part Name],$A20,T_StockCount[WeekIndex],51),IF((('T_SelfStock'!AZ24&lt;&gt;""))*(('T_TTAFStock'!AZ24&lt;&gt;""))&gt;0,'T_SelfStock'!AZ24+'T_TTAFStock'!AZ24,AY20+'Grid_Incoming'!AZ20-'Grid_Requirement'!AZ20))</f>
        <v/>
      </c>
      <c r="BA20">
        <f>IF(COUNTIFS(T_StockCount[Part Name],$A20,T_StockCount[WeekIndex],52)&gt;0,SUMIFS(T_StockCount[CountedQty],T_StockCount[Part Name],$A20,T_StockCount[WeekIndex],52),IF((('T_SelfStock'!BA24&lt;&gt;""))*(('T_TTAFStock'!BA24&lt;&gt;""))&gt;0,'T_SelfStock'!BA24+'T_TTAFStock'!BA24,AZ20+'Grid_Incoming'!BA20-'Grid_Requirement'!BA20))</f>
        <v/>
      </c>
      <c r="BB20">
        <f>IF(COUNTIFS(T_StockCount[Part Name],$A20,T_StockCount[WeekIndex],53)&gt;0,SUMIFS(T_StockCount[CountedQty],T_StockCount[Part Name],$A20,T_StockCount[WeekIndex],53),IF((('T_SelfStock'!BB24&lt;&gt;""))*(('T_TTAFStock'!BB24&lt;&gt;""))&gt;0,'T_SelfStock'!BB24+'T_TTAFStock'!BB24,BA20+'Grid_Incoming'!BB20-'Grid_Requirement'!BB20))</f>
        <v/>
      </c>
      <c r="BC20">
        <f>IF(COUNTIFS(T_StockCount[Part Name],$A20,T_StockCount[WeekIndex],54)&gt;0,SUMIFS(T_StockCount[CountedQty],T_StockCount[Part Name],$A20,T_StockCount[WeekIndex],54),IF((('T_SelfStock'!BC24&lt;&gt;""))*(('T_TTAFStock'!BC24&lt;&gt;""))&gt;0,'T_SelfStock'!BC24+'T_TTAFStock'!BC24,BB20+'Grid_Incoming'!BC20-'Grid_Requirement'!BC20))</f>
        <v/>
      </c>
      <c r="BD20">
        <f>IF(COUNTIFS(T_StockCount[Part Name],$A20,T_StockCount[WeekIndex],55)&gt;0,SUMIFS(T_StockCount[CountedQty],T_StockCount[Part Name],$A20,T_StockCount[WeekIndex],55),IF((('T_SelfStock'!BD24&lt;&gt;""))*(('T_TTAFStock'!BD24&lt;&gt;""))&gt;0,'T_SelfStock'!BD24+'T_TTAFStock'!BD24,BC20+'Grid_Incoming'!BD20-'Grid_Requirement'!BD20))</f>
        <v/>
      </c>
      <c r="BE20">
        <f>IF(COUNTIFS(T_StockCount[Part Name],$A20,T_StockCount[WeekIndex],56)&gt;0,SUMIFS(T_StockCount[CountedQty],T_StockCount[Part Name],$A20,T_StockCount[WeekIndex],56),IF((('T_SelfStock'!BE24&lt;&gt;""))*(('T_TTAFStock'!BE24&lt;&gt;""))&gt;0,'T_SelfStock'!BE24+'T_TTAFStock'!BE24,BD20+'Grid_Incoming'!BE20-'Grid_Requirement'!BE20))</f>
        <v/>
      </c>
      <c r="BF20">
        <f>IF(COUNTIFS(T_StockCount[Part Name],$A20,T_StockCount[WeekIndex],57)&gt;0,SUMIFS(T_StockCount[CountedQty],T_StockCount[Part Name],$A20,T_StockCount[WeekIndex],57),IF((('T_SelfStock'!BF24&lt;&gt;""))*(('T_TTAFStock'!BF24&lt;&gt;""))&gt;0,'T_SelfStock'!BF24+'T_TTAFStock'!BF24,BE20+'Grid_Incoming'!BF20-'Grid_Requirement'!BF20))</f>
        <v/>
      </c>
      <c r="BG20">
        <f>IF(COUNTIFS(T_StockCount[Part Name],$A20,T_StockCount[WeekIndex],58)&gt;0,SUMIFS(T_StockCount[CountedQty],T_StockCount[Part Name],$A20,T_StockCount[WeekIndex],58),IF((('T_SelfStock'!BG24&lt;&gt;""))*(('T_TTAFStock'!BG24&lt;&gt;""))&gt;0,'T_SelfStock'!BG24+'T_TTAFStock'!BG24,BF20+'Grid_Incoming'!BG20-'Grid_Requirement'!BG20))</f>
        <v/>
      </c>
      <c r="BH20">
        <f>IF(COUNTIFS(T_StockCount[Part Name],$A20,T_StockCount[WeekIndex],59)&gt;0,SUMIFS(T_StockCount[CountedQty],T_StockCount[Part Name],$A20,T_StockCount[WeekIndex],59),IF((('T_SelfStock'!BH24&lt;&gt;""))*(('T_TTAFStock'!BH24&lt;&gt;""))&gt;0,'T_SelfStock'!BH24+'T_TTAFStock'!BH24,BG20+'Grid_Incoming'!BH20-'Grid_Requirement'!BH20))</f>
        <v/>
      </c>
      <c r="BI20">
        <f>IF(COUNTIFS(T_StockCount[Part Name],$A20,T_StockCount[WeekIndex],60)&gt;0,SUMIFS(T_StockCount[CountedQty],T_StockCount[Part Name],$A20,T_StockCount[WeekIndex],60),IF((('T_SelfStock'!BI24&lt;&gt;""))*(('T_TTAFStock'!BI24&lt;&gt;""))&gt;0,'T_SelfStock'!BI24+'T_TTAFStock'!BI24,BH20+'Grid_Incoming'!BI20-'Grid_Requirement'!BI20))</f>
        <v/>
      </c>
      <c r="BJ20">
        <f>IF(COUNTIFS(T_StockCount[Part Name],$A20,T_StockCount[WeekIndex],61)&gt;0,SUMIFS(T_StockCount[CountedQty],T_StockCount[Part Name],$A20,T_StockCount[WeekIndex],61),IF((('T_SelfStock'!BJ24&lt;&gt;""))*(('T_TTAFStock'!BJ24&lt;&gt;""))&gt;0,'T_SelfStock'!BJ24+'T_TTAFStock'!BJ24,BI20+'Grid_Incoming'!BJ20-'Grid_Requirement'!BJ20))</f>
        <v/>
      </c>
      <c r="BK20">
        <f>IF(COUNTIFS(T_StockCount[Part Name],$A20,T_StockCount[WeekIndex],62)&gt;0,SUMIFS(T_StockCount[CountedQty],T_StockCount[Part Name],$A20,T_StockCount[WeekIndex],62),IF((('T_SelfStock'!BK24&lt;&gt;""))*(('T_TTAFStock'!BK24&lt;&gt;""))&gt;0,'T_SelfStock'!BK24+'T_TTAFStock'!BK24,BJ20+'Grid_Incoming'!BK20-'Grid_Requirement'!BK20))</f>
        <v/>
      </c>
      <c r="BL20">
        <f>IF(COUNTIFS(T_StockCount[Part Name],$A20,T_StockCount[WeekIndex],63)&gt;0,SUMIFS(T_StockCount[CountedQty],T_StockCount[Part Name],$A20,T_StockCount[WeekIndex],63),IF((('T_SelfStock'!BL24&lt;&gt;""))*(('T_TTAFStock'!BL24&lt;&gt;""))&gt;0,'T_SelfStock'!BL24+'T_TTAFStock'!BL24,BK20+'Grid_Incoming'!BL20-'Grid_Requirement'!BL20))</f>
        <v/>
      </c>
      <c r="BM20">
        <f>IF(COUNTIFS(T_StockCount[Part Name],$A20,T_StockCount[WeekIndex],64)&gt;0,SUMIFS(T_StockCount[CountedQty],T_StockCount[Part Name],$A20,T_StockCount[WeekIndex],64),IF((('T_SelfStock'!BM24&lt;&gt;""))*(('T_TTAFStock'!BM24&lt;&gt;""))&gt;0,'T_SelfStock'!BM24+'T_TTAFStock'!BM24,BL20+'Grid_Incoming'!BM20-'Grid_Requirement'!BM20))</f>
        <v/>
      </c>
      <c r="BN20">
        <f>IF(COUNTIFS(T_StockCount[Part Name],$A20,T_StockCount[WeekIndex],65)&gt;0,SUMIFS(T_StockCount[CountedQty],T_StockCount[Part Name],$A20,T_StockCount[WeekIndex],65),IF((('T_SelfStock'!BN24&lt;&gt;""))*(('T_TTAFStock'!BN24&lt;&gt;""))&gt;0,'T_SelfStock'!BN24+'T_TTAFStock'!BN24,BM20+'Grid_Incoming'!BN20-'Grid_Requirement'!BN20))</f>
        <v/>
      </c>
      <c r="BO20">
        <f>IF(COUNTIFS(T_StockCount[Part Name],$A20,T_StockCount[WeekIndex],66)&gt;0,SUMIFS(T_StockCount[CountedQty],T_StockCount[Part Name],$A20,T_StockCount[WeekIndex],66),IF((('T_SelfStock'!BO24&lt;&gt;""))*(('T_TTAFStock'!BO24&lt;&gt;""))&gt;0,'T_SelfStock'!BO24+'T_TTAFStock'!BO24,BN20+'Grid_Incoming'!BO20-'Grid_Requirement'!BO20))</f>
        <v/>
      </c>
      <c r="BP20">
        <f>IF(COUNTIFS(T_StockCount[Part Name],$A20,T_StockCount[WeekIndex],67)&gt;0,SUMIFS(T_StockCount[CountedQty],T_StockCount[Part Name],$A20,T_StockCount[WeekIndex],67),IF((('T_SelfStock'!BP24&lt;&gt;""))*(('T_TTAFStock'!BP24&lt;&gt;""))&gt;0,'T_SelfStock'!BP24+'T_TTAFStock'!BP24,BO20+'Grid_Incoming'!BP20-'Grid_Requirement'!BP20))</f>
        <v/>
      </c>
      <c r="BQ20">
        <f>IF(COUNTIFS(T_StockCount[Part Name],$A20,T_StockCount[WeekIndex],68)&gt;0,SUMIFS(T_StockCount[CountedQty],T_StockCount[Part Name],$A20,T_StockCount[WeekIndex],68),IF((('T_SelfStock'!BQ24&lt;&gt;""))*(('T_TTAFStock'!BQ24&lt;&gt;""))&gt;0,'T_SelfStock'!BQ24+'T_TTAFStock'!BQ24,BP20+'Grid_Incoming'!BQ20-'Grid_Requirement'!BQ20))</f>
        <v/>
      </c>
      <c r="BR20">
        <f>IF(COUNTIFS(T_StockCount[Part Name],$A20,T_StockCount[WeekIndex],69)&gt;0,SUMIFS(T_StockCount[CountedQty],T_StockCount[Part Name],$A20,T_StockCount[WeekIndex],69),IF((('T_SelfStock'!BR24&lt;&gt;""))*(('T_TTAFStock'!BR24&lt;&gt;""))&gt;0,'T_SelfStock'!BR24+'T_TTAFStock'!BR24,BQ20+'Grid_Incoming'!BR20-'Grid_Requirement'!BR20))</f>
        <v/>
      </c>
      <c r="BS20">
        <f>IF(COUNTIFS(T_StockCount[Part Name],$A20,T_StockCount[WeekIndex],70)&gt;0,SUMIFS(T_StockCount[CountedQty],T_StockCount[Part Name],$A20,T_StockCount[WeekIndex],70),IF((('T_SelfStock'!BS24&lt;&gt;""))*(('T_TTAFStock'!BS24&lt;&gt;""))&gt;0,'T_SelfStock'!BS24+'T_TTAFStock'!BS24,BR20+'Grid_Incoming'!BS20-'Grid_Requirement'!BS20))</f>
        <v/>
      </c>
      <c r="BT20">
        <f>IF(COUNTIFS(T_StockCount[Part Name],$A20,T_StockCount[WeekIndex],71)&gt;0,SUMIFS(T_StockCount[CountedQty],T_StockCount[Part Name],$A20,T_StockCount[WeekIndex],71),IF((('T_SelfStock'!BT24&lt;&gt;""))*(('T_TTAFStock'!BT24&lt;&gt;""))&gt;0,'T_SelfStock'!BT24+'T_TTAFStock'!BT24,BS20+'Grid_Incoming'!BT20-'Grid_Requirement'!BT20))</f>
        <v/>
      </c>
      <c r="BU20">
        <f>IF(COUNTIFS(T_StockCount[Part Name],$A20,T_StockCount[WeekIndex],72)&gt;0,SUMIFS(T_StockCount[CountedQty],T_StockCount[Part Name],$A20,T_StockCount[WeekIndex],72),IF((('T_SelfStock'!BU24&lt;&gt;""))*(('T_TTAFStock'!BU24&lt;&gt;""))&gt;0,'T_SelfStock'!BU24+'T_TTAFStock'!BU24,BT20+'Grid_Incoming'!BU20-'Grid_Requirement'!BU20))</f>
        <v/>
      </c>
      <c r="BV20">
        <f>IF(COUNTIFS(T_StockCount[Part Name],$A20,T_StockCount[WeekIndex],73)&gt;0,SUMIFS(T_StockCount[CountedQty],T_StockCount[Part Name],$A20,T_StockCount[WeekIndex],73),IF((('T_SelfStock'!BV24&lt;&gt;""))*(('T_TTAFStock'!BV24&lt;&gt;""))&gt;0,'T_SelfStock'!BV24+'T_TTAFStock'!BV24,BU20+'Grid_Incoming'!BV20-'Grid_Requirement'!BV20))</f>
        <v/>
      </c>
      <c r="BW20">
        <f>IF(COUNTIFS(T_StockCount[Part Name],$A20,T_StockCount[WeekIndex],74)&gt;0,SUMIFS(T_StockCount[CountedQty],T_StockCount[Part Name],$A20,T_StockCount[WeekIndex],74),IF((('T_SelfStock'!BW24&lt;&gt;""))*(('T_TTAFStock'!BW24&lt;&gt;""))&gt;0,'T_SelfStock'!BW24+'T_TTAFStock'!BW24,BV20+'Grid_Incoming'!BW20-'Grid_Requirement'!BW20))</f>
        <v/>
      </c>
      <c r="BX20">
        <f>IF(COUNTIFS(T_StockCount[Part Name],$A20,T_StockCount[WeekIndex],75)&gt;0,SUMIFS(T_StockCount[CountedQty],T_StockCount[Part Name],$A20,T_StockCount[WeekIndex],75),IF((('T_SelfStock'!BX24&lt;&gt;""))*(('T_TTAFStock'!BX24&lt;&gt;""))&gt;0,'T_SelfStock'!BX24+'T_TTAFStock'!BX24,BW20+'Grid_Incoming'!BX20-'Grid_Requirement'!BX20))</f>
        <v/>
      </c>
      <c r="BY20">
        <f>IF(COUNTIFS(T_StockCount[Part Name],$A20,T_StockCount[WeekIndex],76)&gt;0,SUMIFS(T_StockCount[CountedQty],T_StockCount[Part Name],$A20,T_StockCount[WeekIndex],76),IF((('T_SelfStock'!BY24&lt;&gt;""))*(('T_TTAFStock'!BY24&lt;&gt;""))&gt;0,'T_SelfStock'!BY24+'T_TTAFStock'!BY24,BX20+'Grid_Incoming'!BY20-'Grid_Requirement'!BY20))</f>
        <v/>
      </c>
      <c r="BZ20">
        <f>IF(COUNTIFS(T_StockCount[Part Name],$A20,T_StockCount[WeekIndex],77)&gt;0,SUMIFS(T_StockCount[CountedQty],T_StockCount[Part Name],$A20,T_StockCount[WeekIndex],77),IF((('T_SelfStock'!BZ24&lt;&gt;""))*(('T_TTAFStock'!BZ24&lt;&gt;""))&gt;0,'T_SelfStock'!BZ24+'T_TTAFStock'!BZ24,BY20+'Grid_Incoming'!BZ20-'Grid_Requirement'!BZ20))</f>
        <v/>
      </c>
      <c r="CA20">
        <f>IF(COUNTIFS(T_StockCount[Part Name],$A20,T_StockCount[WeekIndex],78)&gt;0,SUMIFS(T_StockCount[CountedQty],T_StockCount[Part Name],$A20,T_StockCount[WeekIndex],78),IF((('T_SelfStock'!CA24&lt;&gt;""))*(('T_TTAFStock'!CA24&lt;&gt;""))&gt;0,'T_SelfStock'!CA24+'T_TTAFStock'!CA24,BZ20+'Grid_Incoming'!CA20-'Grid_Requirement'!CA20))</f>
        <v/>
      </c>
      <c r="CB20">
        <f>IF(COUNTIFS(T_StockCount[Part Name],$A20,T_StockCount[WeekIndex],79)&gt;0,SUMIFS(T_StockCount[CountedQty],T_StockCount[Part Name],$A20,T_StockCount[WeekIndex],79),IF((('T_SelfStock'!CB24&lt;&gt;""))*(('T_TTAFStock'!CB24&lt;&gt;""))&gt;0,'T_SelfStock'!CB24+'T_TTAFStock'!CB24,CA20+'Grid_Incoming'!CB20-'Grid_Requirement'!CB20))</f>
        <v/>
      </c>
      <c r="CC20">
        <f>IF(COUNTIFS(T_StockCount[Part Name],$A20,T_StockCount[WeekIndex],80)&gt;0,SUMIFS(T_StockCount[CountedQty],T_StockCount[Part Name],$A20,T_StockCount[WeekIndex],80),IF((('T_SelfStock'!CC24&lt;&gt;""))*(('T_TTAFStock'!CC24&lt;&gt;""))&gt;0,'T_SelfStock'!CC24+'T_TTAFStock'!CC24,CB20+'Grid_Incoming'!CC20-'Grid_Requirement'!CC20))</f>
        <v/>
      </c>
      <c r="CD20">
        <f>IF(COUNTIFS(T_StockCount[Part Name],$A20,T_StockCount[WeekIndex],81)&gt;0,SUMIFS(T_StockCount[CountedQty],T_StockCount[Part Name],$A20,T_StockCount[WeekIndex],81),IF((('T_SelfStock'!CD24&lt;&gt;""))*(('T_TTAFStock'!CD24&lt;&gt;""))&gt;0,'T_SelfStock'!CD24+'T_TTAFStock'!CD24,CC20+'Grid_Incoming'!CD20-'Grid_Requirement'!CD20))</f>
        <v/>
      </c>
      <c r="CE20">
        <f>IF(COUNTIFS(T_StockCount[Part Name],$A20,T_StockCount[WeekIndex],82)&gt;0,SUMIFS(T_StockCount[CountedQty],T_StockCount[Part Name],$A20,T_StockCount[WeekIndex],82),IF((('T_SelfStock'!CE24&lt;&gt;""))*(('T_TTAFStock'!CE24&lt;&gt;""))&gt;0,'T_SelfStock'!CE24+'T_TTAFStock'!CE24,CD20+'Grid_Incoming'!CE20-'Grid_Requirement'!CE20))</f>
        <v/>
      </c>
      <c r="CF20">
        <f>IF(COUNTIFS(T_StockCount[Part Name],$A20,T_StockCount[WeekIndex],83)&gt;0,SUMIFS(T_StockCount[CountedQty],T_StockCount[Part Name],$A20,T_StockCount[WeekIndex],83),IF((('T_SelfStock'!CF24&lt;&gt;""))*(('T_TTAFStock'!CF24&lt;&gt;""))&gt;0,'T_SelfStock'!CF24+'T_TTAFStock'!CF24,CE20+'Grid_Incoming'!CF20-'Grid_Requirement'!CF20))</f>
        <v/>
      </c>
      <c r="CG20">
        <f>IF(COUNTIFS(T_StockCount[Part Name],$A20,T_StockCount[WeekIndex],84)&gt;0,SUMIFS(T_StockCount[CountedQty],T_StockCount[Part Name],$A20,T_StockCount[WeekIndex],84),IF((('T_SelfStock'!CG24&lt;&gt;""))*(('T_TTAFStock'!CG24&lt;&gt;""))&gt;0,'T_SelfStock'!CG24+'T_TTAFStock'!CG24,CF20+'Grid_Incoming'!CG20-'Grid_Requirement'!CG20))</f>
        <v/>
      </c>
      <c r="CH20">
        <f>IF(COUNTIFS(T_StockCount[Part Name],$A20,T_StockCount[WeekIndex],85)&gt;0,SUMIFS(T_StockCount[CountedQty],T_StockCount[Part Name],$A20,T_StockCount[WeekIndex],85),IF((('T_SelfStock'!CH24&lt;&gt;""))*(('T_TTAFStock'!CH24&lt;&gt;""))&gt;0,'T_SelfStock'!CH24+'T_TTAFStock'!CH24,CG20+'Grid_Incoming'!CH20-'Grid_Requirement'!CH20))</f>
        <v/>
      </c>
      <c r="CI20">
        <f>IF(COUNTIFS(T_StockCount[Part Name],$A20,T_StockCount[WeekIndex],86)&gt;0,SUMIFS(T_StockCount[CountedQty],T_StockCount[Part Name],$A20,T_StockCount[WeekIndex],86),IF((('T_SelfStock'!CI24&lt;&gt;""))*(('T_TTAFStock'!CI24&lt;&gt;""))&gt;0,'T_SelfStock'!CI24+'T_TTAFStock'!CI24,CH20+'Grid_Incoming'!CI20-'Grid_Requirement'!CI20))</f>
        <v/>
      </c>
      <c r="CJ20">
        <f>IF(COUNTIFS(T_StockCount[Part Name],$A20,T_StockCount[WeekIndex],87)&gt;0,SUMIFS(T_StockCount[CountedQty],T_StockCount[Part Name],$A20,T_StockCount[WeekIndex],87),IF((('T_SelfStock'!CJ24&lt;&gt;""))*(('T_TTAFStock'!CJ24&lt;&gt;""))&gt;0,'T_SelfStock'!CJ24+'T_TTAFStock'!CJ24,CI20+'Grid_Incoming'!CJ20-'Grid_Requirement'!CJ20))</f>
        <v/>
      </c>
      <c r="CK20">
        <f>IF(COUNTIFS(T_StockCount[Part Name],$A20,T_StockCount[WeekIndex],88)&gt;0,SUMIFS(T_StockCount[CountedQty],T_StockCount[Part Name],$A20,T_StockCount[WeekIndex],88),IF((('T_SelfStock'!CK24&lt;&gt;""))*(('T_TTAFStock'!CK24&lt;&gt;""))&gt;0,'T_SelfStock'!CK24+'T_TTAFStock'!CK24,CJ20+'Grid_Incoming'!CK20-'Grid_Requirement'!CK20))</f>
        <v/>
      </c>
      <c r="CL20">
        <f>IF(COUNTIFS(T_StockCount[Part Name],$A20,T_StockCount[WeekIndex],89)&gt;0,SUMIFS(T_StockCount[CountedQty],T_StockCount[Part Name],$A20,T_StockCount[WeekIndex],89),IF((('T_SelfStock'!CL24&lt;&gt;""))*(('T_TTAFStock'!CL24&lt;&gt;""))&gt;0,'T_SelfStock'!CL24+'T_TTAFStock'!CL24,CK20+'Grid_Incoming'!CL20-'Grid_Requirement'!CL20))</f>
        <v/>
      </c>
      <c r="CM20">
        <f>IF(COUNTIFS(T_StockCount[Part Name],$A20,T_StockCount[WeekIndex],90)&gt;0,SUMIFS(T_StockCount[CountedQty],T_StockCount[Part Name],$A20,T_StockCount[WeekIndex],90),IF((('T_SelfStock'!CM24&lt;&gt;""))*(('T_TTAFStock'!CM24&lt;&gt;""))&gt;0,'T_SelfStock'!CM24+'T_TTAFStock'!CM24,CL20+'Grid_Incoming'!CM20-'Grid_Requirement'!CM20))</f>
        <v/>
      </c>
      <c r="CN20">
        <f>IF(COUNTIFS(T_StockCount[Part Name],$A20,T_StockCount[WeekIndex],91)&gt;0,SUMIFS(T_StockCount[CountedQty],T_StockCount[Part Name],$A20,T_StockCount[WeekIndex],91),IF((('T_SelfStock'!CN24&lt;&gt;""))*(('T_TTAFStock'!CN24&lt;&gt;""))&gt;0,'T_SelfStock'!CN24+'T_TTAFStock'!CN24,CM20+'Grid_Incoming'!CN20-'Grid_Requirement'!CN20))</f>
        <v/>
      </c>
      <c r="CO20">
        <f>IF(COUNTIFS(T_StockCount[Part Name],$A20,T_StockCount[WeekIndex],92)&gt;0,SUMIFS(T_StockCount[CountedQty],T_StockCount[Part Name],$A20,T_StockCount[WeekIndex],92),IF((('T_SelfStock'!CO24&lt;&gt;""))*(('T_TTAFStock'!CO24&lt;&gt;""))&gt;0,'T_SelfStock'!CO24+'T_TTAFStock'!CO24,CN20+'Grid_Incoming'!CO20-'Grid_Requirement'!CO20))</f>
        <v/>
      </c>
      <c r="CP20">
        <f>IF(COUNTIFS(T_StockCount[Part Name],$A20,T_StockCount[WeekIndex],93)&gt;0,SUMIFS(T_StockCount[CountedQty],T_StockCount[Part Name],$A20,T_StockCount[WeekIndex],93),IF((('T_SelfStock'!CP24&lt;&gt;""))*(('T_TTAFStock'!CP24&lt;&gt;""))&gt;0,'T_SelfStock'!CP24+'T_TTAFStock'!CP24,CO20+'Grid_Incoming'!CP20-'Grid_Requirement'!CP20))</f>
        <v/>
      </c>
      <c r="CQ20">
        <f>IF(COUNTIFS(T_StockCount[Part Name],$A20,T_StockCount[WeekIndex],94)&gt;0,SUMIFS(T_StockCount[CountedQty],T_StockCount[Part Name],$A20,T_StockCount[WeekIndex],94),IF((('T_SelfStock'!CQ24&lt;&gt;""))*(('T_TTAFStock'!CQ24&lt;&gt;""))&gt;0,'T_SelfStock'!CQ24+'T_TTAFStock'!CQ24,CP20+'Grid_Incoming'!CQ20-'Grid_Requirement'!CQ20))</f>
        <v/>
      </c>
      <c r="CR20">
        <f>IF(COUNTIFS(T_StockCount[Part Name],$A20,T_StockCount[WeekIndex],95)&gt;0,SUMIFS(T_StockCount[CountedQty],T_StockCount[Part Name],$A20,T_StockCount[WeekIndex],95),IF((('T_SelfStock'!CR24&lt;&gt;""))*(('T_TTAFStock'!CR24&lt;&gt;""))&gt;0,'T_SelfStock'!CR24+'T_TTAFStock'!CR24,CQ20+'Grid_Incoming'!CR20-'Grid_Requirement'!CR20))</f>
        <v/>
      </c>
      <c r="CS20">
        <f>IF(COUNTIFS(T_StockCount[Part Name],$A20,T_StockCount[WeekIndex],96)&gt;0,SUMIFS(T_StockCount[CountedQty],T_StockCount[Part Name],$A20,T_StockCount[WeekIndex],96),IF((('T_SelfStock'!CS24&lt;&gt;""))*(('T_TTAFStock'!CS24&lt;&gt;""))&gt;0,'T_SelfStock'!CS24+'T_TTAFStock'!CS24,CR20+'Grid_Incoming'!CS20-'Grid_Requirement'!CS20))</f>
        <v/>
      </c>
      <c r="CT20">
        <f>IF(COUNTIFS(T_StockCount[Part Name],$A20,T_StockCount[WeekIndex],97)&gt;0,SUMIFS(T_StockCount[CountedQty],T_StockCount[Part Name],$A20,T_StockCount[WeekIndex],97),IF((('T_SelfStock'!CT24&lt;&gt;""))*(('T_TTAFStock'!CT24&lt;&gt;""))&gt;0,'T_SelfStock'!CT24+'T_TTAFStock'!CT24,CS20+'Grid_Incoming'!CT20-'Grid_Requirement'!CT20))</f>
        <v/>
      </c>
      <c r="CU20">
        <f>IF(COUNTIFS(T_StockCount[Part Name],$A20,T_StockCount[WeekIndex],98)&gt;0,SUMIFS(T_StockCount[CountedQty],T_StockCount[Part Name],$A20,T_StockCount[WeekIndex],98),IF((('T_SelfStock'!CU24&lt;&gt;""))*(('T_TTAFStock'!CU24&lt;&gt;""))&gt;0,'T_SelfStock'!CU24+'T_TTAFStock'!CU24,CT20+'Grid_Incoming'!CU20-'Grid_Requirement'!CU20))</f>
        <v/>
      </c>
      <c r="CV20">
        <f>IF(COUNTIFS(T_StockCount[Part Name],$A20,T_StockCount[WeekIndex],99)&gt;0,SUMIFS(T_StockCount[CountedQty],T_StockCount[Part Name],$A20,T_StockCount[WeekIndex],99),IF((('T_SelfStock'!CV24&lt;&gt;""))*(('T_TTAFStock'!CV24&lt;&gt;""))&gt;0,'T_SelfStock'!CV24+'T_TTAFStock'!CV24,CU20+'Grid_Incoming'!CV20-'Grid_Requirement'!CV20))</f>
        <v/>
      </c>
      <c r="CW20">
        <f>IF(COUNTIFS(T_StockCount[Part Name],$A20,T_StockCount[WeekIndex],100)&gt;0,SUMIFS(T_StockCount[CountedQty],T_StockCount[Part Name],$A20,T_StockCount[WeekIndex],100),IF((('T_SelfStock'!CW24&lt;&gt;""))*(('T_TTAFStock'!CW24&lt;&gt;""))&gt;0,'T_SelfStock'!CW24+'T_TTAFStock'!CW24,CV20+'Grid_Incoming'!CW20-'Grid_Requirement'!CW20))</f>
        <v/>
      </c>
      <c r="CX20">
        <f>IF(COUNTIFS(T_StockCount[Part Name],$A20,T_StockCount[WeekIndex],101)&gt;0,SUMIFS(T_StockCount[CountedQty],T_StockCount[Part Name],$A20,T_StockCount[WeekIndex],101),IF((('T_SelfStock'!CX24&lt;&gt;""))*(('T_TTAFStock'!CX24&lt;&gt;""))&gt;0,'T_SelfStock'!CX24+'T_TTAFStock'!CX24,CW20+'Grid_Incoming'!CX20-'Grid_Requirement'!CX20))</f>
        <v/>
      </c>
      <c r="CY20">
        <f>IF(COUNTIFS(T_StockCount[Part Name],$A20,T_StockCount[WeekIndex],102)&gt;0,SUMIFS(T_StockCount[CountedQty],T_StockCount[Part Name],$A20,T_StockCount[WeekIndex],102),IF((('T_SelfStock'!CY24&lt;&gt;""))*(('T_TTAFStock'!CY24&lt;&gt;""))&gt;0,'T_SelfStock'!CY24+'T_TTAFStock'!CY24,CX20+'Grid_Incoming'!CY20-'Grid_Requirement'!CY20))</f>
        <v/>
      </c>
      <c r="CZ20">
        <f>IF(COUNTIFS(T_StockCount[Part Name],$A20,T_StockCount[WeekIndex],103)&gt;0,SUMIFS(T_StockCount[CountedQty],T_StockCount[Part Name],$A20,T_StockCount[WeekIndex],103),IF((('T_SelfStock'!CZ24&lt;&gt;""))*(('T_TTAFStock'!CZ24&lt;&gt;""))&gt;0,'T_SelfStock'!CZ24+'T_TTAFStock'!CZ24,CY20+'Grid_Incoming'!CZ20-'Grid_Requirement'!CZ20))</f>
        <v/>
      </c>
      <c r="DA20">
        <f>IF(COUNTIFS(T_StockCount[Part Name],$A20,T_StockCount[WeekIndex],104)&gt;0,SUMIFS(T_StockCount[CountedQty],T_StockCount[Part Name],$A20,T_StockCount[WeekIndex],104),IF((('T_SelfStock'!DA24&lt;&gt;""))*(('T_TTAFStock'!DA24&lt;&gt;""))&gt;0,'T_SelfStock'!DA24+'T_TTAFStock'!DA24,CZ20+'Grid_Incoming'!DA20-'Grid_Requirement'!DA20))</f>
        <v/>
      </c>
    </row>
    <row r="21">
      <c r="A21" t="inlineStr">
        <is>
          <t>CHEM-1240</t>
        </is>
      </c>
      <c r="B21">
        <f>IF(COUNTIFS(T_StockCount[Part Name],$A21,T_StockCount[WeekIndex],1)&gt;0,SUMIFS(T_StockCount[CountedQty],T_StockCount[Part Name],$A21,T_StockCount[WeekIndex],1),IF((('T_SelfStock'!B25&lt;&gt;""))*(('T_TTAFStock'!B25&lt;&gt;""))&gt;0,'T_SelfStock'!B25+'T_TTAFStock'!B25,IFERROR(INDEX(T_OpeningStock[Opening_Qty],MATCH($A21,T_OpeningStock[Part Name],0)),0)+'Grid_Incoming'!B21-'Grid_Requirement'!B21))</f>
        <v/>
      </c>
      <c r="C21">
        <f>IF(COUNTIFS(T_StockCount[Part Name],$A21,T_StockCount[WeekIndex],2)&gt;0,SUMIFS(T_StockCount[CountedQty],T_StockCount[Part Name],$A21,T_StockCount[WeekIndex],2),IF((('T_SelfStock'!C25&lt;&gt;""))*(('T_TTAFStock'!C25&lt;&gt;""))&gt;0,'T_SelfStock'!C25+'T_TTAFStock'!C25,B21+'Grid_Incoming'!C21-'Grid_Requirement'!C21))</f>
        <v/>
      </c>
      <c r="D21">
        <f>IF(COUNTIFS(T_StockCount[Part Name],$A21,T_StockCount[WeekIndex],3)&gt;0,SUMIFS(T_StockCount[CountedQty],T_StockCount[Part Name],$A21,T_StockCount[WeekIndex],3),IF((('T_SelfStock'!D25&lt;&gt;""))*(('T_TTAFStock'!D25&lt;&gt;""))&gt;0,'T_SelfStock'!D25+'T_TTAFStock'!D25,C21+'Grid_Incoming'!D21-'Grid_Requirement'!D21))</f>
        <v/>
      </c>
      <c r="E21">
        <f>IF(COUNTIFS(T_StockCount[Part Name],$A21,T_StockCount[WeekIndex],4)&gt;0,SUMIFS(T_StockCount[CountedQty],T_StockCount[Part Name],$A21,T_StockCount[WeekIndex],4),IF((('T_SelfStock'!E25&lt;&gt;""))*(('T_TTAFStock'!E25&lt;&gt;""))&gt;0,'T_SelfStock'!E25+'T_TTAFStock'!E25,D21+'Grid_Incoming'!E21-'Grid_Requirement'!E21))</f>
        <v/>
      </c>
      <c r="F21">
        <f>IF(COUNTIFS(T_StockCount[Part Name],$A21,T_StockCount[WeekIndex],5)&gt;0,SUMIFS(T_StockCount[CountedQty],T_StockCount[Part Name],$A21,T_StockCount[WeekIndex],5),IF((('T_SelfStock'!F25&lt;&gt;""))*(('T_TTAFStock'!F25&lt;&gt;""))&gt;0,'T_SelfStock'!F25+'T_TTAFStock'!F25,E21+'Grid_Incoming'!F21-'Grid_Requirement'!F21))</f>
        <v/>
      </c>
      <c r="G21">
        <f>IF(COUNTIFS(T_StockCount[Part Name],$A21,T_StockCount[WeekIndex],6)&gt;0,SUMIFS(T_StockCount[CountedQty],T_StockCount[Part Name],$A21,T_StockCount[WeekIndex],6),IF((('T_SelfStock'!G25&lt;&gt;""))*(('T_TTAFStock'!G25&lt;&gt;""))&gt;0,'T_SelfStock'!G25+'T_TTAFStock'!G25,F21+'Grid_Incoming'!G21-'Grid_Requirement'!G21))</f>
        <v/>
      </c>
      <c r="H21">
        <f>IF(COUNTIFS(T_StockCount[Part Name],$A21,T_StockCount[WeekIndex],7)&gt;0,SUMIFS(T_StockCount[CountedQty],T_StockCount[Part Name],$A21,T_StockCount[WeekIndex],7),IF((('T_SelfStock'!H25&lt;&gt;""))*(('T_TTAFStock'!H25&lt;&gt;""))&gt;0,'T_SelfStock'!H25+'T_TTAFStock'!H25,G21+'Grid_Incoming'!H21-'Grid_Requirement'!H21))</f>
        <v/>
      </c>
      <c r="I21">
        <f>IF(COUNTIFS(T_StockCount[Part Name],$A21,T_StockCount[WeekIndex],8)&gt;0,SUMIFS(T_StockCount[CountedQty],T_StockCount[Part Name],$A21,T_StockCount[WeekIndex],8),IF((('T_SelfStock'!I25&lt;&gt;""))*(('T_TTAFStock'!I25&lt;&gt;""))&gt;0,'T_SelfStock'!I25+'T_TTAFStock'!I25,H21+'Grid_Incoming'!I21-'Grid_Requirement'!I21))</f>
        <v/>
      </c>
      <c r="J21">
        <f>IF(COUNTIFS(T_StockCount[Part Name],$A21,T_StockCount[WeekIndex],9)&gt;0,SUMIFS(T_StockCount[CountedQty],T_StockCount[Part Name],$A21,T_StockCount[WeekIndex],9),IF((('T_SelfStock'!J25&lt;&gt;""))*(('T_TTAFStock'!J25&lt;&gt;""))&gt;0,'T_SelfStock'!J25+'T_TTAFStock'!J25,I21+'Grid_Incoming'!J21-'Grid_Requirement'!J21))</f>
        <v/>
      </c>
      <c r="K21">
        <f>IF(COUNTIFS(T_StockCount[Part Name],$A21,T_StockCount[WeekIndex],10)&gt;0,SUMIFS(T_StockCount[CountedQty],T_StockCount[Part Name],$A21,T_StockCount[WeekIndex],10),IF((('T_SelfStock'!K25&lt;&gt;""))*(('T_TTAFStock'!K25&lt;&gt;""))&gt;0,'T_SelfStock'!K25+'T_TTAFStock'!K25,J21+'Grid_Incoming'!K21-'Grid_Requirement'!K21))</f>
        <v/>
      </c>
      <c r="L21">
        <f>IF(COUNTIFS(T_StockCount[Part Name],$A21,T_StockCount[WeekIndex],11)&gt;0,SUMIFS(T_StockCount[CountedQty],T_StockCount[Part Name],$A21,T_StockCount[WeekIndex],11),IF((('T_SelfStock'!L25&lt;&gt;""))*(('T_TTAFStock'!L25&lt;&gt;""))&gt;0,'T_SelfStock'!L25+'T_TTAFStock'!L25,K21+'Grid_Incoming'!L21-'Grid_Requirement'!L21))</f>
        <v/>
      </c>
      <c r="M21">
        <f>IF(COUNTIFS(T_StockCount[Part Name],$A21,T_StockCount[WeekIndex],12)&gt;0,SUMIFS(T_StockCount[CountedQty],T_StockCount[Part Name],$A21,T_StockCount[WeekIndex],12),IF((('T_SelfStock'!M25&lt;&gt;""))*(('T_TTAFStock'!M25&lt;&gt;""))&gt;0,'T_SelfStock'!M25+'T_TTAFStock'!M25,L21+'Grid_Incoming'!M21-'Grid_Requirement'!M21))</f>
        <v/>
      </c>
      <c r="N21">
        <f>IF(COUNTIFS(T_StockCount[Part Name],$A21,T_StockCount[WeekIndex],13)&gt;0,SUMIFS(T_StockCount[CountedQty],T_StockCount[Part Name],$A21,T_StockCount[WeekIndex],13),IF((('T_SelfStock'!N25&lt;&gt;""))*(('T_TTAFStock'!N25&lt;&gt;""))&gt;0,'T_SelfStock'!N25+'T_TTAFStock'!N25,M21+'Grid_Incoming'!N21-'Grid_Requirement'!N21))</f>
        <v/>
      </c>
      <c r="O21">
        <f>IF(COUNTIFS(T_StockCount[Part Name],$A21,T_StockCount[WeekIndex],14)&gt;0,SUMIFS(T_StockCount[CountedQty],T_StockCount[Part Name],$A21,T_StockCount[WeekIndex],14),IF((('T_SelfStock'!O25&lt;&gt;""))*(('T_TTAFStock'!O25&lt;&gt;""))&gt;0,'T_SelfStock'!O25+'T_TTAFStock'!O25,N21+'Grid_Incoming'!O21-'Grid_Requirement'!O21))</f>
        <v/>
      </c>
      <c r="P21">
        <f>IF(COUNTIFS(T_StockCount[Part Name],$A21,T_StockCount[WeekIndex],15)&gt;0,SUMIFS(T_StockCount[CountedQty],T_StockCount[Part Name],$A21,T_StockCount[WeekIndex],15),IF((('T_SelfStock'!P25&lt;&gt;""))*(('T_TTAFStock'!P25&lt;&gt;""))&gt;0,'T_SelfStock'!P25+'T_TTAFStock'!P25,O21+'Grid_Incoming'!P21-'Grid_Requirement'!P21))</f>
        <v/>
      </c>
      <c r="Q21">
        <f>IF(COUNTIFS(T_StockCount[Part Name],$A21,T_StockCount[WeekIndex],16)&gt;0,SUMIFS(T_StockCount[CountedQty],T_StockCount[Part Name],$A21,T_StockCount[WeekIndex],16),IF((('T_SelfStock'!Q25&lt;&gt;""))*(('T_TTAFStock'!Q25&lt;&gt;""))&gt;0,'T_SelfStock'!Q25+'T_TTAFStock'!Q25,P21+'Grid_Incoming'!Q21-'Grid_Requirement'!Q21))</f>
        <v/>
      </c>
      <c r="R21">
        <f>IF(COUNTIFS(T_StockCount[Part Name],$A21,T_StockCount[WeekIndex],17)&gt;0,SUMIFS(T_StockCount[CountedQty],T_StockCount[Part Name],$A21,T_StockCount[WeekIndex],17),IF((('T_SelfStock'!R25&lt;&gt;""))*(('T_TTAFStock'!R25&lt;&gt;""))&gt;0,'T_SelfStock'!R25+'T_TTAFStock'!R25,Q21+'Grid_Incoming'!R21-'Grid_Requirement'!R21))</f>
        <v/>
      </c>
      <c r="S21">
        <f>IF(COUNTIFS(T_StockCount[Part Name],$A21,T_StockCount[WeekIndex],18)&gt;0,SUMIFS(T_StockCount[CountedQty],T_StockCount[Part Name],$A21,T_StockCount[WeekIndex],18),IF((('T_SelfStock'!S25&lt;&gt;""))*(('T_TTAFStock'!S25&lt;&gt;""))&gt;0,'T_SelfStock'!S25+'T_TTAFStock'!S25,R21+'Grid_Incoming'!S21-'Grid_Requirement'!S21))</f>
        <v/>
      </c>
      <c r="T21">
        <f>IF(COUNTIFS(T_StockCount[Part Name],$A21,T_StockCount[WeekIndex],19)&gt;0,SUMIFS(T_StockCount[CountedQty],T_StockCount[Part Name],$A21,T_StockCount[WeekIndex],19),IF((('T_SelfStock'!T25&lt;&gt;""))*(('T_TTAFStock'!T25&lt;&gt;""))&gt;0,'T_SelfStock'!T25+'T_TTAFStock'!T25,S21+'Grid_Incoming'!T21-'Grid_Requirement'!T21))</f>
        <v/>
      </c>
      <c r="U21">
        <f>IF(COUNTIFS(T_StockCount[Part Name],$A21,T_StockCount[WeekIndex],20)&gt;0,SUMIFS(T_StockCount[CountedQty],T_StockCount[Part Name],$A21,T_StockCount[WeekIndex],20),IF((('T_SelfStock'!U25&lt;&gt;""))*(('T_TTAFStock'!U25&lt;&gt;""))&gt;0,'T_SelfStock'!U25+'T_TTAFStock'!U25,T21+'Grid_Incoming'!U21-'Grid_Requirement'!U21))</f>
        <v/>
      </c>
      <c r="V21">
        <f>IF(COUNTIFS(T_StockCount[Part Name],$A21,T_StockCount[WeekIndex],21)&gt;0,SUMIFS(T_StockCount[CountedQty],T_StockCount[Part Name],$A21,T_StockCount[WeekIndex],21),IF((('T_SelfStock'!V25&lt;&gt;""))*(('T_TTAFStock'!V25&lt;&gt;""))&gt;0,'T_SelfStock'!V25+'T_TTAFStock'!V25,U21+'Grid_Incoming'!V21-'Grid_Requirement'!V21))</f>
        <v/>
      </c>
      <c r="W21">
        <f>IF(COUNTIFS(T_StockCount[Part Name],$A21,T_StockCount[WeekIndex],22)&gt;0,SUMIFS(T_StockCount[CountedQty],T_StockCount[Part Name],$A21,T_StockCount[WeekIndex],22),IF((('T_SelfStock'!W25&lt;&gt;""))*(('T_TTAFStock'!W25&lt;&gt;""))&gt;0,'T_SelfStock'!W25+'T_TTAFStock'!W25,V21+'Grid_Incoming'!W21-'Grid_Requirement'!W21))</f>
        <v/>
      </c>
      <c r="X21">
        <f>IF(COUNTIFS(T_StockCount[Part Name],$A21,T_StockCount[WeekIndex],23)&gt;0,SUMIFS(T_StockCount[CountedQty],T_StockCount[Part Name],$A21,T_StockCount[WeekIndex],23),IF((('T_SelfStock'!X25&lt;&gt;""))*(('T_TTAFStock'!X25&lt;&gt;""))&gt;0,'T_SelfStock'!X25+'T_TTAFStock'!X25,W21+'Grid_Incoming'!X21-'Grid_Requirement'!X21))</f>
        <v/>
      </c>
      <c r="Y21">
        <f>IF(COUNTIFS(T_StockCount[Part Name],$A21,T_StockCount[WeekIndex],24)&gt;0,SUMIFS(T_StockCount[CountedQty],T_StockCount[Part Name],$A21,T_StockCount[WeekIndex],24),IF((('T_SelfStock'!Y25&lt;&gt;""))*(('T_TTAFStock'!Y25&lt;&gt;""))&gt;0,'T_SelfStock'!Y25+'T_TTAFStock'!Y25,X21+'Grid_Incoming'!Y21-'Grid_Requirement'!Y21))</f>
        <v/>
      </c>
      <c r="Z21">
        <f>IF(COUNTIFS(T_StockCount[Part Name],$A21,T_StockCount[WeekIndex],25)&gt;0,SUMIFS(T_StockCount[CountedQty],T_StockCount[Part Name],$A21,T_StockCount[WeekIndex],25),IF((('T_SelfStock'!Z25&lt;&gt;""))*(('T_TTAFStock'!Z25&lt;&gt;""))&gt;0,'T_SelfStock'!Z25+'T_TTAFStock'!Z25,Y21+'Grid_Incoming'!Z21-'Grid_Requirement'!Z21))</f>
        <v/>
      </c>
      <c r="AA21">
        <f>IF(COUNTIFS(T_StockCount[Part Name],$A21,T_StockCount[WeekIndex],26)&gt;0,SUMIFS(T_StockCount[CountedQty],T_StockCount[Part Name],$A21,T_StockCount[WeekIndex],26),IF((('T_SelfStock'!AA25&lt;&gt;""))*(('T_TTAFStock'!AA25&lt;&gt;""))&gt;0,'T_SelfStock'!AA25+'T_TTAFStock'!AA25,Z21+'Grid_Incoming'!AA21-'Grid_Requirement'!AA21))</f>
        <v/>
      </c>
      <c r="AB21">
        <f>IF(COUNTIFS(T_StockCount[Part Name],$A21,T_StockCount[WeekIndex],27)&gt;0,SUMIFS(T_StockCount[CountedQty],T_StockCount[Part Name],$A21,T_StockCount[WeekIndex],27),IF((('T_SelfStock'!AB25&lt;&gt;""))*(('T_TTAFStock'!AB25&lt;&gt;""))&gt;0,'T_SelfStock'!AB25+'T_TTAFStock'!AB25,AA21+'Grid_Incoming'!AB21-'Grid_Requirement'!AB21))</f>
        <v/>
      </c>
      <c r="AC21">
        <f>IF(COUNTIFS(T_StockCount[Part Name],$A21,T_StockCount[WeekIndex],28)&gt;0,SUMIFS(T_StockCount[CountedQty],T_StockCount[Part Name],$A21,T_StockCount[WeekIndex],28),IF((('T_SelfStock'!AC25&lt;&gt;""))*(('T_TTAFStock'!AC25&lt;&gt;""))&gt;0,'T_SelfStock'!AC25+'T_TTAFStock'!AC25,AB21+'Grid_Incoming'!AC21-'Grid_Requirement'!AC21))</f>
        <v/>
      </c>
      <c r="AD21">
        <f>IF(COUNTIFS(T_StockCount[Part Name],$A21,T_StockCount[WeekIndex],29)&gt;0,SUMIFS(T_StockCount[CountedQty],T_StockCount[Part Name],$A21,T_StockCount[WeekIndex],29),IF((('T_SelfStock'!AD25&lt;&gt;""))*(('T_TTAFStock'!AD25&lt;&gt;""))&gt;0,'T_SelfStock'!AD25+'T_TTAFStock'!AD25,AC21+'Grid_Incoming'!AD21-'Grid_Requirement'!AD21))</f>
        <v/>
      </c>
      <c r="AE21">
        <f>IF(COUNTIFS(T_StockCount[Part Name],$A21,T_StockCount[WeekIndex],30)&gt;0,SUMIFS(T_StockCount[CountedQty],T_StockCount[Part Name],$A21,T_StockCount[WeekIndex],30),IF((('T_SelfStock'!AE25&lt;&gt;""))*(('T_TTAFStock'!AE25&lt;&gt;""))&gt;0,'T_SelfStock'!AE25+'T_TTAFStock'!AE25,AD21+'Grid_Incoming'!AE21-'Grid_Requirement'!AE21))</f>
        <v/>
      </c>
      <c r="AF21">
        <f>IF(COUNTIFS(T_StockCount[Part Name],$A21,T_StockCount[WeekIndex],31)&gt;0,SUMIFS(T_StockCount[CountedQty],T_StockCount[Part Name],$A21,T_StockCount[WeekIndex],31),IF((('T_SelfStock'!AF25&lt;&gt;""))*(('T_TTAFStock'!AF25&lt;&gt;""))&gt;0,'T_SelfStock'!AF25+'T_TTAFStock'!AF25,AE21+'Grid_Incoming'!AF21-'Grid_Requirement'!AF21))</f>
        <v/>
      </c>
      <c r="AG21">
        <f>IF(COUNTIFS(T_StockCount[Part Name],$A21,T_StockCount[WeekIndex],32)&gt;0,SUMIFS(T_StockCount[CountedQty],T_StockCount[Part Name],$A21,T_StockCount[WeekIndex],32),IF((('T_SelfStock'!AG25&lt;&gt;""))*(('T_TTAFStock'!AG25&lt;&gt;""))&gt;0,'T_SelfStock'!AG25+'T_TTAFStock'!AG25,AF21+'Grid_Incoming'!AG21-'Grid_Requirement'!AG21))</f>
        <v/>
      </c>
      <c r="AH21">
        <f>IF(COUNTIFS(T_StockCount[Part Name],$A21,T_StockCount[WeekIndex],33)&gt;0,SUMIFS(T_StockCount[CountedQty],T_StockCount[Part Name],$A21,T_StockCount[WeekIndex],33),IF((('T_SelfStock'!AH25&lt;&gt;""))*(('T_TTAFStock'!AH25&lt;&gt;""))&gt;0,'T_SelfStock'!AH25+'T_TTAFStock'!AH25,AG21+'Grid_Incoming'!AH21-'Grid_Requirement'!AH21))</f>
        <v/>
      </c>
      <c r="AI21">
        <f>IF(COUNTIFS(T_StockCount[Part Name],$A21,T_StockCount[WeekIndex],34)&gt;0,SUMIFS(T_StockCount[CountedQty],T_StockCount[Part Name],$A21,T_StockCount[WeekIndex],34),IF((('T_SelfStock'!AI25&lt;&gt;""))*(('T_TTAFStock'!AI25&lt;&gt;""))&gt;0,'T_SelfStock'!AI25+'T_TTAFStock'!AI25,AH21+'Grid_Incoming'!AI21-'Grid_Requirement'!AI21))</f>
        <v/>
      </c>
      <c r="AJ21">
        <f>IF(COUNTIFS(T_StockCount[Part Name],$A21,T_StockCount[WeekIndex],35)&gt;0,SUMIFS(T_StockCount[CountedQty],T_StockCount[Part Name],$A21,T_StockCount[WeekIndex],35),IF((('T_SelfStock'!AJ25&lt;&gt;""))*(('T_TTAFStock'!AJ25&lt;&gt;""))&gt;0,'T_SelfStock'!AJ25+'T_TTAFStock'!AJ25,AI21+'Grid_Incoming'!AJ21-'Grid_Requirement'!AJ21))</f>
        <v/>
      </c>
      <c r="AK21">
        <f>IF(COUNTIFS(T_StockCount[Part Name],$A21,T_StockCount[WeekIndex],36)&gt;0,SUMIFS(T_StockCount[CountedQty],T_StockCount[Part Name],$A21,T_StockCount[WeekIndex],36),IF((('T_SelfStock'!AK25&lt;&gt;""))*(('T_TTAFStock'!AK25&lt;&gt;""))&gt;0,'T_SelfStock'!AK25+'T_TTAFStock'!AK25,AJ21+'Grid_Incoming'!AK21-'Grid_Requirement'!AK21))</f>
        <v/>
      </c>
      <c r="AL21">
        <f>IF(COUNTIFS(T_StockCount[Part Name],$A21,T_StockCount[WeekIndex],37)&gt;0,SUMIFS(T_StockCount[CountedQty],T_StockCount[Part Name],$A21,T_StockCount[WeekIndex],37),IF((('T_SelfStock'!AL25&lt;&gt;""))*(('T_TTAFStock'!AL25&lt;&gt;""))&gt;0,'T_SelfStock'!AL25+'T_TTAFStock'!AL25,AK21+'Grid_Incoming'!AL21-'Grid_Requirement'!AL21))</f>
        <v/>
      </c>
      <c r="AM21">
        <f>IF(COUNTIFS(T_StockCount[Part Name],$A21,T_StockCount[WeekIndex],38)&gt;0,SUMIFS(T_StockCount[CountedQty],T_StockCount[Part Name],$A21,T_StockCount[WeekIndex],38),IF((('T_SelfStock'!AM25&lt;&gt;""))*(('T_TTAFStock'!AM25&lt;&gt;""))&gt;0,'T_SelfStock'!AM25+'T_TTAFStock'!AM25,AL21+'Grid_Incoming'!AM21-'Grid_Requirement'!AM21))</f>
        <v/>
      </c>
      <c r="AN21">
        <f>IF(COUNTIFS(T_StockCount[Part Name],$A21,T_StockCount[WeekIndex],39)&gt;0,SUMIFS(T_StockCount[CountedQty],T_StockCount[Part Name],$A21,T_StockCount[WeekIndex],39),IF((('T_SelfStock'!AN25&lt;&gt;""))*(('T_TTAFStock'!AN25&lt;&gt;""))&gt;0,'T_SelfStock'!AN25+'T_TTAFStock'!AN25,AM21+'Grid_Incoming'!AN21-'Grid_Requirement'!AN21))</f>
        <v/>
      </c>
      <c r="AO21">
        <f>IF(COUNTIFS(T_StockCount[Part Name],$A21,T_StockCount[WeekIndex],40)&gt;0,SUMIFS(T_StockCount[CountedQty],T_StockCount[Part Name],$A21,T_StockCount[WeekIndex],40),IF((('T_SelfStock'!AO25&lt;&gt;""))*(('T_TTAFStock'!AO25&lt;&gt;""))&gt;0,'T_SelfStock'!AO25+'T_TTAFStock'!AO25,AN21+'Grid_Incoming'!AO21-'Grid_Requirement'!AO21))</f>
        <v/>
      </c>
      <c r="AP21">
        <f>IF(COUNTIFS(T_StockCount[Part Name],$A21,T_StockCount[WeekIndex],41)&gt;0,SUMIFS(T_StockCount[CountedQty],T_StockCount[Part Name],$A21,T_StockCount[WeekIndex],41),IF((('T_SelfStock'!AP25&lt;&gt;""))*(('T_TTAFStock'!AP25&lt;&gt;""))&gt;0,'T_SelfStock'!AP25+'T_TTAFStock'!AP25,AO21+'Grid_Incoming'!AP21-'Grid_Requirement'!AP21))</f>
        <v/>
      </c>
      <c r="AQ21">
        <f>IF(COUNTIFS(T_StockCount[Part Name],$A21,T_StockCount[WeekIndex],42)&gt;0,SUMIFS(T_StockCount[CountedQty],T_StockCount[Part Name],$A21,T_StockCount[WeekIndex],42),IF((('T_SelfStock'!AQ25&lt;&gt;""))*(('T_TTAFStock'!AQ25&lt;&gt;""))&gt;0,'T_SelfStock'!AQ25+'T_TTAFStock'!AQ25,AP21+'Grid_Incoming'!AQ21-'Grid_Requirement'!AQ21))</f>
        <v/>
      </c>
      <c r="AR21">
        <f>IF(COUNTIFS(T_StockCount[Part Name],$A21,T_StockCount[WeekIndex],43)&gt;0,SUMIFS(T_StockCount[CountedQty],T_StockCount[Part Name],$A21,T_StockCount[WeekIndex],43),IF((('T_SelfStock'!AR25&lt;&gt;""))*(('T_TTAFStock'!AR25&lt;&gt;""))&gt;0,'T_SelfStock'!AR25+'T_TTAFStock'!AR25,AQ21+'Grid_Incoming'!AR21-'Grid_Requirement'!AR21))</f>
        <v/>
      </c>
      <c r="AS21">
        <f>IF(COUNTIFS(T_StockCount[Part Name],$A21,T_StockCount[WeekIndex],44)&gt;0,SUMIFS(T_StockCount[CountedQty],T_StockCount[Part Name],$A21,T_StockCount[WeekIndex],44),IF((('T_SelfStock'!AS25&lt;&gt;""))*(('T_TTAFStock'!AS25&lt;&gt;""))&gt;0,'T_SelfStock'!AS25+'T_TTAFStock'!AS25,AR21+'Grid_Incoming'!AS21-'Grid_Requirement'!AS21))</f>
        <v/>
      </c>
      <c r="AT21">
        <f>IF(COUNTIFS(T_StockCount[Part Name],$A21,T_StockCount[WeekIndex],45)&gt;0,SUMIFS(T_StockCount[CountedQty],T_StockCount[Part Name],$A21,T_StockCount[WeekIndex],45),IF((('T_SelfStock'!AT25&lt;&gt;""))*(('T_TTAFStock'!AT25&lt;&gt;""))&gt;0,'T_SelfStock'!AT25+'T_TTAFStock'!AT25,AS21+'Grid_Incoming'!AT21-'Grid_Requirement'!AT21))</f>
        <v/>
      </c>
      <c r="AU21">
        <f>IF(COUNTIFS(T_StockCount[Part Name],$A21,T_StockCount[WeekIndex],46)&gt;0,SUMIFS(T_StockCount[CountedQty],T_StockCount[Part Name],$A21,T_StockCount[WeekIndex],46),IF((('T_SelfStock'!AU25&lt;&gt;""))*(('T_TTAFStock'!AU25&lt;&gt;""))&gt;0,'T_SelfStock'!AU25+'T_TTAFStock'!AU25,AT21+'Grid_Incoming'!AU21-'Grid_Requirement'!AU21))</f>
        <v/>
      </c>
      <c r="AV21">
        <f>IF(COUNTIFS(T_StockCount[Part Name],$A21,T_StockCount[WeekIndex],47)&gt;0,SUMIFS(T_StockCount[CountedQty],T_StockCount[Part Name],$A21,T_StockCount[WeekIndex],47),IF((('T_SelfStock'!AV25&lt;&gt;""))*(('T_TTAFStock'!AV25&lt;&gt;""))&gt;0,'T_SelfStock'!AV25+'T_TTAFStock'!AV25,AU21+'Grid_Incoming'!AV21-'Grid_Requirement'!AV21))</f>
        <v/>
      </c>
      <c r="AW21">
        <f>IF(COUNTIFS(T_StockCount[Part Name],$A21,T_StockCount[WeekIndex],48)&gt;0,SUMIFS(T_StockCount[CountedQty],T_StockCount[Part Name],$A21,T_StockCount[WeekIndex],48),IF((('T_SelfStock'!AW25&lt;&gt;""))*(('T_TTAFStock'!AW25&lt;&gt;""))&gt;0,'T_SelfStock'!AW25+'T_TTAFStock'!AW25,AV21+'Grid_Incoming'!AW21-'Grid_Requirement'!AW21))</f>
        <v/>
      </c>
      <c r="AX21">
        <f>IF(COUNTIFS(T_StockCount[Part Name],$A21,T_StockCount[WeekIndex],49)&gt;0,SUMIFS(T_StockCount[CountedQty],T_StockCount[Part Name],$A21,T_StockCount[WeekIndex],49),IF((('T_SelfStock'!AX25&lt;&gt;""))*(('T_TTAFStock'!AX25&lt;&gt;""))&gt;0,'T_SelfStock'!AX25+'T_TTAFStock'!AX25,AW21+'Grid_Incoming'!AX21-'Grid_Requirement'!AX21))</f>
        <v/>
      </c>
      <c r="AY21">
        <f>IF(COUNTIFS(T_StockCount[Part Name],$A21,T_StockCount[WeekIndex],50)&gt;0,SUMIFS(T_StockCount[CountedQty],T_StockCount[Part Name],$A21,T_StockCount[WeekIndex],50),IF((('T_SelfStock'!AY25&lt;&gt;""))*(('T_TTAFStock'!AY25&lt;&gt;""))&gt;0,'T_SelfStock'!AY25+'T_TTAFStock'!AY25,AX21+'Grid_Incoming'!AY21-'Grid_Requirement'!AY21))</f>
        <v/>
      </c>
      <c r="AZ21">
        <f>IF(COUNTIFS(T_StockCount[Part Name],$A21,T_StockCount[WeekIndex],51)&gt;0,SUMIFS(T_StockCount[CountedQty],T_StockCount[Part Name],$A21,T_StockCount[WeekIndex],51),IF((('T_SelfStock'!AZ25&lt;&gt;""))*(('T_TTAFStock'!AZ25&lt;&gt;""))&gt;0,'T_SelfStock'!AZ25+'T_TTAFStock'!AZ25,AY21+'Grid_Incoming'!AZ21-'Grid_Requirement'!AZ21))</f>
        <v/>
      </c>
      <c r="BA21">
        <f>IF(COUNTIFS(T_StockCount[Part Name],$A21,T_StockCount[WeekIndex],52)&gt;0,SUMIFS(T_StockCount[CountedQty],T_StockCount[Part Name],$A21,T_StockCount[WeekIndex],52),IF((('T_SelfStock'!BA25&lt;&gt;""))*(('T_TTAFStock'!BA25&lt;&gt;""))&gt;0,'T_SelfStock'!BA25+'T_TTAFStock'!BA25,AZ21+'Grid_Incoming'!BA21-'Grid_Requirement'!BA21))</f>
        <v/>
      </c>
      <c r="BB21">
        <f>IF(COUNTIFS(T_StockCount[Part Name],$A21,T_StockCount[WeekIndex],53)&gt;0,SUMIFS(T_StockCount[CountedQty],T_StockCount[Part Name],$A21,T_StockCount[WeekIndex],53),IF((('T_SelfStock'!BB25&lt;&gt;""))*(('T_TTAFStock'!BB25&lt;&gt;""))&gt;0,'T_SelfStock'!BB25+'T_TTAFStock'!BB25,BA21+'Grid_Incoming'!BB21-'Grid_Requirement'!BB21))</f>
        <v/>
      </c>
      <c r="BC21">
        <f>IF(COUNTIFS(T_StockCount[Part Name],$A21,T_StockCount[WeekIndex],54)&gt;0,SUMIFS(T_StockCount[CountedQty],T_StockCount[Part Name],$A21,T_StockCount[WeekIndex],54),IF((('T_SelfStock'!BC25&lt;&gt;""))*(('T_TTAFStock'!BC25&lt;&gt;""))&gt;0,'T_SelfStock'!BC25+'T_TTAFStock'!BC25,BB21+'Grid_Incoming'!BC21-'Grid_Requirement'!BC21))</f>
        <v/>
      </c>
      <c r="BD21">
        <f>IF(COUNTIFS(T_StockCount[Part Name],$A21,T_StockCount[WeekIndex],55)&gt;0,SUMIFS(T_StockCount[CountedQty],T_StockCount[Part Name],$A21,T_StockCount[WeekIndex],55),IF((('T_SelfStock'!BD25&lt;&gt;""))*(('T_TTAFStock'!BD25&lt;&gt;""))&gt;0,'T_SelfStock'!BD25+'T_TTAFStock'!BD25,BC21+'Grid_Incoming'!BD21-'Grid_Requirement'!BD21))</f>
        <v/>
      </c>
      <c r="BE21">
        <f>IF(COUNTIFS(T_StockCount[Part Name],$A21,T_StockCount[WeekIndex],56)&gt;0,SUMIFS(T_StockCount[CountedQty],T_StockCount[Part Name],$A21,T_StockCount[WeekIndex],56),IF((('T_SelfStock'!BE25&lt;&gt;""))*(('T_TTAFStock'!BE25&lt;&gt;""))&gt;0,'T_SelfStock'!BE25+'T_TTAFStock'!BE25,BD21+'Grid_Incoming'!BE21-'Grid_Requirement'!BE21))</f>
        <v/>
      </c>
      <c r="BF21">
        <f>IF(COUNTIFS(T_StockCount[Part Name],$A21,T_StockCount[WeekIndex],57)&gt;0,SUMIFS(T_StockCount[CountedQty],T_StockCount[Part Name],$A21,T_StockCount[WeekIndex],57),IF((('T_SelfStock'!BF25&lt;&gt;""))*(('T_TTAFStock'!BF25&lt;&gt;""))&gt;0,'T_SelfStock'!BF25+'T_TTAFStock'!BF25,BE21+'Grid_Incoming'!BF21-'Grid_Requirement'!BF21))</f>
        <v/>
      </c>
      <c r="BG21">
        <f>IF(COUNTIFS(T_StockCount[Part Name],$A21,T_StockCount[WeekIndex],58)&gt;0,SUMIFS(T_StockCount[CountedQty],T_StockCount[Part Name],$A21,T_StockCount[WeekIndex],58),IF((('T_SelfStock'!BG25&lt;&gt;""))*(('T_TTAFStock'!BG25&lt;&gt;""))&gt;0,'T_SelfStock'!BG25+'T_TTAFStock'!BG25,BF21+'Grid_Incoming'!BG21-'Grid_Requirement'!BG21))</f>
        <v/>
      </c>
      <c r="BH21">
        <f>IF(COUNTIFS(T_StockCount[Part Name],$A21,T_StockCount[WeekIndex],59)&gt;0,SUMIFS(T_StockCount[CountedQty],T_StockCount[Part Name],$A21,T_StockCount[WeekIndex],59),IF((('T_SelfStock'!BH25&lt;&gt;""))*(('T_TTAFStock'!BH25&lt;&gt;""))&gt;0,'T_SelfStock'!BH25+'T_TTAFStock'!BH25,BG21+'Grid_Incoming'!BH21-'Grid_Requirement'!BH21))</f>
        <v/>
      </c>
      <c r="BI21">
        <f>IF(COUNTIFS(T_StockCount[Part Name],$A21,T_StockCount[WeekIndex],60)&gt;0,SUMIFS(T_StockCount[CountedQty],T_StockCount[Part Name],$A21,T_StockCount[WeekIndex],60),IF((('T_SelfStock'!BI25&lt;&gt;""))*(('T_TTAFStock'!BI25&lt;&gt;""))&gt;0,'T_SelfStock'!BI25+'T_TTAFStock'!BI25,BH21+'Grid_Incoming'!BI21-'Grid_Requirement'!BI21))</f>
        <v/>
      </c>
      <c r="BJ21">
        <f>IF(COUNTIFS(T_StockCount[Part Name],$A21,T_StockCount[WeekIndex],61)&gt;0,SUMIFS(T_StockCount[CountedQty],T_StockCount[Part Name],$A21,T_StockCount[WeekIndex],61),IF((('T_SelfStock'!BJ25&lt;&gt;""))*(('T_TTAFStock'!BJ25&lt;&gt;""))&gt;0,'T_SelfStock'!BJ25+'T_TTAFStock'!BJ25,BI21+'Grid_Incoming'!BJ21-'Grid_Requirement'!BJ21))</f>
        <v/>
      </c>
      <c r="BK21">
        <f>IF(COUNTIFS(T_StockCount[Part Name],$A21,T_StockCount[WeekIndex],62)&gt;0,SUMIFS(T_StockCount[CountedQty],T_StockCount[Part Name],$A21,T_StockCount[WeekIndex],62),IF((('T_SelfStock'!BK25&lt;&gt;""))*(('T_TTAFStock'!BK25&lt;&gt;""))&gt;0,'T_SelfStock'!BK25+'T_TTAFStock'!BK25,BJ21+'Grid_Incoming'!BK21-'Grid_Requirement'!BK21))</f>
        <v/>
      </c>
      <c r="BL21">
        <f>IF(COUNTIFS(T_StockCount[Part Name],$A21,T_StockCount[WeekIndex],63)&gt;0,SUMIFS(T_StockCount[CountedQty],T_StockCount[Part Name],$A21,T_StockCount[WeekIndex],63),IF((('T_SelfStock'!BL25&lt;&gt;""))*(('T_TTAFStock'!BL25&lt;&gt;""))&gt;0,'T_SelfStock'!BL25+'T_TTAFStock'!BL25,BK21+'Grid_Incoming'!BL21-'Grid_Requirement'!BL21))</f>
        <v/>
      </c>
      <c r="BM21">
        <f>IF(COUNTIFS(T_StockCount[Part Name],$A21,T_StockCount[WeekIndex],64)&gt;0,SUMIFS(T_StockCount[CountedQty],T_StockCount[Part Name],$A21,T_StockCount[WeekIndex],64),IF((('T_SelfStock'!BM25&lt;&gt;""))*(('T_TTAFStock'!BM25&lt;&gt;""))&gt;0,'T_SelfStock'!BM25+'T_TTAFStock'!BM25,BL21+'Grid_Incoming'!BM21-'Grid_Requirement'!BM21))</f>
        <v/>
      </c>
      <c r="BN21">
        <f>IF(COUNTIFS(T_StockCount[Part Name],$A21,T_StockCount[WeekIndex],65)&gt;0,SUMIFS(T_StockCount[CountedQty],T_StockCount[Part Name],$A21,T_StockCount[WeekIndex],65),IF((('T_SelfStock'!BN25&lt;&gt;""))*(('T_TTAFStock'!BN25&lt;&gt;""))&gt;0,'T_SelfStock'!BN25+'T_TTAFStock'!BN25,BM21+'Grid_Incoming'!BN21-'Grid_Requirement'!BN21))</f>
        <v/>
      </c>
      <c r="BO21">
        <f>IF(COUNTIFS(T_StockCount[Part Name],$A21,T_StockCount[WeekIndex],66)&gt;0,SUMIFS(T_StockCount[CountedQty],T_StockCount[Part Name],$A21,T_StockCount[WeekIndex],66),IF((('T_SelfStock'!BO25&lt;&gt;""))*(('T_TTAFStock'!BO25&lt;&gt;""))&gt;0,'T_SelfStock'!BO25+'T_TTAFStock'!BO25,BN21+'Grid_Incoming'!BO21-'Grid_Requirement'!BO21))</f>
        <v/>
      </c>
      <c r="BP21">
        <f>IF(COUNTIFS(T_StockCount[Part Name],$A21,T_StockCount[WeekIndex],67)&gt;0,SUMIFS(T_StockCount[CountedQty],T_StockCount[Part Name],$A21,T_StockCount[WeekIndex],67),IF((('T_SelfStock'!BP25&lt;&gt;""))*(('T_TTAFStock'!BP25&lt;&gt;""))&gt;0,'T_SelfStock'!BP25+'T_TTAFStock'!BP25,BO21+'Grid_Incoming'!BP21-'Grid_Requirement'!BP21))</f>
        <v/>
      </c>
      <c r="BQ21">
        <f>IF(COUNTIFS(T_StockCount[Part Name],$A21,T_StockCount[WeekIndex],68)&gt;0,SUMIFS(T_StockCount[CountedQty],T_StockCount[Part Name],$A21,T_StockCount[WeekIndex],68),IF((('T_SelfStock'!BQ25&lt;&gt;""))*(('T_TTAFStock'!BQ25&lt;&gt;""))&gt;0,'T_SelfStock'!BQ25+'T_TTAFStock'!BQ25,BP21+'Grid_Incoming'!BQ21-'Grid_Requirement'!BQ21))</f>
        <v/>
      </c>
      <c r="BR21">
        <f>IF(COUNTIFS(T_StockCount[Part Name],$A21,T_StockCount[WeekIndex],69)&gt;0,SUMIFS(T_StockCount[CountedQty],T_StockCount[Part Name],$A21,T_StockCount[WeekIndex],69),IF((('T_SelfStock'!BR25&lt;&gt;""))*(('T_TTAFStock'!BR25&lt;&gt;""))&gt;0,'T_SelfStock'!BR25+'T_TTAFStock'!BR25,BQ21+'Grid_Incoming'!BR21-'Grid_Requirement'!BR21))</f>
        <v/>
      </c>
      <c r="BS21">
        <f>IF(COUNTIFS(T_StockCount[Part Name],$A21,T_StockCount[WeekIndex],70)&gt;0,SUMIFS(T_StockCount[CountedQty],T_StockCount[Part Name],$A21,T_StockCount[WeekIndex],70),IF((('T_SelfStock'!BS25&lt;&gt;""))*(('T_TTAFStock'!BS25&lt;&gt;""))&gt;0,'T_SelfStock'!BS25+'T_TTAFStock'!BS25,BR21+'Grid_Incoming'!BS21-'Grid_Requirement'!BS21))</f>
        <v/>
      </c>
      <c r="BT21">
        <f>IF(COUNTIFS(T_StockCount[Part Name],$A21,T_StockCount[WeekIndex],71)&gt;0,SUMIFS(T_StockCount[CountedQty],T_StockCount[Part Name],$A21,T_StockCount[WeekIndex],71),IF((('T_SelfStock'!BT25&lt;&gt;""))*(('T_TTAFStock'!BT25&lt;&gt;""))&gt;0,'T_SelfStock'!BT25+'T_TTAFStock'!BT25,BS21+'Grid_Incoming'!BT21-'Grid_Requirement'!BT21))</f>
        <v/>
      </c>
      <c r="BU21">
        <f>IF(COUNTIFS(T_StockCount[Part Name],$A21,T_StockCount[WeekIndex],72)&gt;0,SUMIFS(T_StockCount[CountedQty],T_StockCount[Part Name],$A21,T_StockCount[WeekIndex],72),IF((('T_SelfStock'!BU25&lt;&gt;""))*(('T_TTAFStock'!BU25&lt;&gt;""))&gt;0,'T_SelfStock'!BU25+'T_TTAFStock'!BU25,BT21+'Grid_Incoming'!BU21-'Grid_Requirement'!BU21))</f>
        <v/>
      </c>
      <c r="BV21">
        <f>IF(COUNTIFS(T_StockCount[Part Name],$A21,T_StockCount[WeekIndex],73)&gt;0,SUMIFS(T_StockCount[CountedQty],T_StockCount[Part Name],$A21,T_StockCount[WeekIndex],73),IF((('T_SelfStock'!BV25&lt;&gt;""))*(('T_TTAFStock'!BV25&lt;&gt;""))&gt;0,'T_SelfStock'!BV25+'T_TTAFStock'!BV25,BU21+'Grid_Incoming'!BV21-'Grid_Requirement'!BV21))</f>
        <v/>
      </c>
      <c r="BW21">
        <f>IF(COUNTIFS(T_StockCount[Part Name],$A21,T_StockCount[WeekIndex],74)&gt;0,SUMIFS(T_StockCount[CountedQty],T_StockCount[Part Name],$A21,T_StockCount[WeekIndex],74),IF((('T_SelfStock'!BW25&lt;&gt;""))*(('T_TTAFStock'!BW25&lt;&gt;""))&gt;0,'T_SelfStock'!BW25+'T_TTAFStock'!BW25,BV21+'Grid_Incoming'!BW21-'Grid_Requirement'!BW21))</f>
        <v/>
      </c>
      <c r="BX21">
        <f>IF(COUNTIFS(T_StockCount[Part Name],$A21,T_StockCount[WeekIndex],75)&gt;0,SUMIFS(T_StockCount[CountedQty],T_StockCount[Part Name],$A21,T_StockCount[WeekIndex],75),IF((('T_SelfStock'!BX25&lt;&gt;""))*(('T_TTAFStock'!BX25&lt;&gt;""))&gt;0,'T_SelfStock'!BX25+'T_TTAFStock'!BX25,BW21+'Grid_Incoming'!BX21-'Grid_Requirement'!BX21))</f>
        <v/>
      </c>
      <c r="BY21">
        <f>IF(COUNTIFS(T_StockCount[Part Name],$A21,T_StockCount[WeekIndex],76)&gt;0,SUMIFS(T_StockCount[CountedQty],T_StockCount[Part Name],$A21,T_StockCount[WeekIndex],76),IF((('T_SelfStock'!BY25&lt;&gt;""))*(('T_TTAFStock'!BY25&lt;&gt;""))&gt;0,'T_SelfStock'!BY25+'T_TTAFStock'!BY25,BX21+'Grid_Incoming'!BY21-'Grid_Requirement'!BY21))</f>
        <v/>
      </c>
      <c r="BZ21">
        <f>IF(COUNTIFS(T_StockCount[Part Name],$A21,T_StockCount[WeekIndex],77)&gt;0,SUMIFS(T_StockCount[CountedQty],T_StockCount[Part Name],$A21,T_StockCount[WeekIndex],77),IF((('T_SelfStock'!BZ25&lt;&gt;""))*(('T_TTAFStock'!BZ25&lt;&gt;""))&gt;0,'T_SelfStock'!BZ25+'T_TTAFStock'!BZ25,BY21+'Grid_Incoming'!BZ21-'Grid_Requirement'!BZ21))</f>
        <v/>
      </c>
      <c r="CA21">
        <f>IF(COUNTIFS(T_StockCount[Part Name],$A21,T_StockCount[WeekIndex],78)&gt;0,SUMIFS(T_StockCount[CountedQty],T_StockCount[Part Name],$A21,T_StockCount[WeekIndex],78),IF((('T_SelfStock'!CA25&lt;&gt;""))*(('T_TTAFStock'!CA25&lt;&gt;""))&gt;0,'T_SelfStock'!CA25+'T_TTAFStock'!CA25,BZ21+'Grid_Incoming'!CA21-'Grid_Requirement'!CA21))</f>
        <v/>
      </c>
      <c r="CB21">
        <f>IF(COUNTIFS(T_StockCount[Part Name],$A21,T_StockCount[WeekIndex],79)&gt;0,SUMIFS(T_StockCount[CountedQty],T_StockCount[Part Name],$A21,T_StockCount[WeekIndex],79),IF((('T_SelfStock'!CB25&lt;&gt;""))*(('T_TTAFStock'!CB25&lt;&gt;""))&gt;0,'T_SelfStock'!CB25+'T_TTAFStock'!CB25,CA21+'Grid_Incoming'!CB21-'Grid_Requirement'!CB21))</f>
        <v/>
      </c>
      <c r="CC21">
        <f>IF(COUNTIFS(T_StockCount[Part Name],$A21,T_StockCount[WeekIndex],80)&gt;0,SUMIFS(T_StockCount[CountedQty],T_StockCount[Part Name],$A21,T_StockCount[WeekIndex],80),IF((('T_SelfStock'!CC25&lt;&gt;""))*(('T_TTAFStock'!CC25&lt;&gt;""))&gt;0,'T_SelfStock'!CC25+'T_TTAFStock'!CC25,CB21+'Grid_Incoming'!CC21-'Grid_Requirement'!CC21))</f>
        <v/>
      </c>
      <c r="CD21">
        <f>IF(COUNTIFS(T_StockCount[Part Name],$A21,T_StockCount[WeekIndex],81)&gt;0,SUMIFS(T_StockCount[CountedQty],T_StockCount[Part Name],$A21,T_StockCount[WeekIndex],81),IF((('T_SelfStock'!CD25&lt;&gt;""))*(('T_TTAFStock'!CD25&lt;&gt;""))&gt;0,'T_SelfStock'!CD25+'T_TTAFStock'!CD25,CC21+'Grid_Incoming'!CD21-'Grid_Requirement'!CD21))</f>
        <v/>
      </c>
      <c r="CE21">
        <f>IF(COUNTIFS(T_StockCount[Part Name],$A21,T_StockCount[WeekIndex],82)&gt;0,SUMIFS(T_StockCount[CountedQty],T_StockCount[Part Name],$A21,T_StockCount[WeekIndex],82),IF((('T_SelfStock'!CE25&lt;&gt;""))*(('T_TTAFStock'!CE25&lt;&gt;""))&gt;0,'T_SelfStock'!CE25+'T_TTAFStock'!CE25,CD21+'Grid_Incoming'!CE21-'Grid_Requirement'!CE21))</f>
        <v/>
      </c>
      <c r="CF21">
        <f>IF(COUNTIFS(T_StockCount[Part Name],$A21,T_StockCount[WeekIndex],83)&gt;0,SUMIFS(T_StockCount[CountedQty],T_StockCount[Part Name],$A21,T_StockCount[WeekIndex],83),IF((('T_SelfStock'!CF25&lt;&gt;""))*(('T_TTAFStock'!CF25&lt;&gt;""))&gt;0,'T_SelfStock'!CF25+'T_TTAFStock'!CF25,CE21+'Grid_Incoming'!CF21-'Grid_Requirement'!CF21))</f>
        <v/>
      </c>
      <c r="CG21">
        <f>IF(COUNTIFS(T_StockCount[Part Name],$A21,T_StockCount[WeekIndex],84)&gt;0,SUMIFS(T_StockCount[CountedQty],T_StockCount[Part Name],$A21,T_StockCount[WeekIndex],84),IF((('T_SelfStock'!CG25&lt;&gt;""))*(('T_TTAFStock'!CG25&lt;&gt;""))&gt;0,'T_SelfStock'!CG25+'T_TTAFStock'!CG25,CF21+'Grid_Incoming'!CG21-'Grid_Requirement'!CG21))</f>
        <v/>
      </c>
      <c r="CH21">
        <f>IF(COUNTIFS(T_StockCount[Part Name],$A21,T_StockCount[WeekIndex],85)&gt;0,SUMIFS(T_StockCount[CountedQty],T_StockCount[Part Name],$A21,T_StockCount[WeekIndex],85),IF((('T_SelfStock'!CH25&lt;&gt;""))*(('T_TTAFStock'!CH25&lt;&gt;""))&gt;0,'T_SelfStock'!CH25+'T_TTAFStock'!CH25,CG21+'Grid_Incoming'!CH21-'Grid_Requirement'!CH21))</f>
        <v/>
      </c>
      <c r="CI21">
        <f>IF(COUNTIFS(T_StockCount[Part Name],$A21,T_StockCount[WeekIndex],86)&gt;0,SUMIFS(T_StockCount[CountedQty],T_StockCount[Part Name],$A21,T_StockCount[WeekIndex],86),IF((('T_SelfStock'!CI25&lt;&gt;""))*(('T_TTAFStock'!CI25&lt;&gt;""))&gt;0,'T_SelfStock'!CI25+'T_TTAFStock'!CI25,CH21+'Grid_Incoming'!CI21-'Grid_Requirement'!CI21))</f>
        <v/>
      </c>
      <c r="CJ21">
        <f>IF(COUNTIFS(T_StockCount[Part Name],$A21,T_StockCount[WeekIndex],87)&gt;0,SUMIFS(T_StockCount[CountedQty],T_StockCount[Part Name],$A21,T_StockCount[WeekIndex],87),IF((('T_SelfStock'!CJ25&lt;&gt;""))*(('T_TTAFStock'!CJ25&lt;&gt;""))&gt;0,'T_SelfStock'!CJ25+'T_TTAFStock'!CJ25,CI21+'Grid_Incoming'!CJ21-'Grid_Requirement'!CJ21))</f>
        <v/>
      </c>
      <c r="CK21">
        <f>IF(COUNTIFS(T_StockCount[Part Name],$A21,T_StockCount[WeekIndex],88)&gt;0,SUMIFS(T_StockCount[CountedQty],T_StockCount[Part Name],$A21,T_StockCount[WeekIndex],88),IF((('T_SelfStock'!CK25&lt;&gt;""))*(('T_TTAFStock'!CK25&lt;&gt;""))&gt;0,'T_SelfStock'!CK25+'T_TTAFStock'!CK25,CJ21+'Grid_Incoming'!CK21-'Grid_Requirement'!CK21))</f>
        <v/>
      </c>
      <c r="CL21">
        <f>IF(COUNTIFS(T_StockCount[Part Name],$A21,T_StockCount[WeekIndex],89)&gt;0,SUMIFS(T_StockCount[CountedQty],T_StockCount[Part Name],$A21,T_StockCount[WeekIndex],89),IF((('T_SelfStock'!CL25&lt;&gt;""))*(('T_TTAFStock'!CL25&lt;&gt;""))&gt;0,'T_SelfStock'!CL25+'T_TTAFStock'!CL25,CK21+'Grid_Incoming'!CL21-'Grid_Requirement'!CL21))</f>
        <v/>
      </c>
      <c r="CM21">
        <f>IF(COUNTIFS(T_StockCount[Part Name],$A21,T_StockCount[WeekIndex],90)&gt;0,SUMIFS(T_StockCount[CountedQty],T_StockCount[Part Name],$A21,T_StockCount[WeekIndex],90),IF((('T_SelfStock'!CM25&lt;&gt;""))*(('T_TTAFStock'!CM25&lt;&gt;""))&gt;0,'T_SelfStock'!CM25+'T_TTAFStock'!CM25,CL21+'Grid_Incoming'!CM21-'Grid_Requirement'!CM21))</f>
        <v/>
      </c>
      <c r="CN21">
        <f>IF(COUNTIFS(T_StockCount[Part Name],$A21,T_StockCount[WeekIndex],91)&gt;0,SUMIFS(T_StockCount[CountedQty],T_StockCount[Part Name],$A21,T_StockCount[WeekIndex],91),IF((('T_SelfStock'!CN25&lt;&gt;""))*(('T_TTAFStock'!CN25&lt;&gt;""))&gt;0,'T_SelfStock'!CN25+'T_TTAFStock'!CN25,CM21+'Grid_Incoming'!CN21-'Grid_Requirement'!CN21))</f>
        <v/>
      </c>
      <c r="CO21">
        <f>IF(COUNTIFS(T_StockCount[Part Name],$A21,T_StockCount[WeekIndex],92)&gt;0,SUMIFS(T_StockCount[CountedQty],T_StockCount[Part Name],$A21,T_StockCount[WeekIndex],92),IF((('T_SelfStock'!CO25&lt;&gt;""))*(('T_TTAFStock'!CO25&lt;&gt;""))&gt;0,'T_SelfStock'!CO25+'T_TTAFStock'!CO25,CN21+'Grid_Incoming'!CO21-'Grid_Requirement'!CO21))</f>
        <v/>
      </c>
      <c r="CP21">
        <f>IF(COUNTIFS(T_StockCount[Part Name],$A21,T_StockCount[WeekIndex],93)&gt;0,SUMIFS(T_StockCount[CountedQty],T_StockCount[Part Name],$A21,T_StockCount[WeekIndex],93),IF((('T_SelfStock'!CP25&lt;&gt;""))*(('T_TTAFStock'!CP25&lt;&gt;""))&gt;0,'T_SelfStock'!CP25+'T_TTAFStock'!CP25,CO21+'Grid_Incoming'!CP21-'Grid_Requirement'!CP21))</f>
        <v/>
      </c>
      <c r="CQ21">
        <f>IF(COUNTIFS(T_StockCount[Part Name],$A21,T_StockCount[WeekIndex],94)&gt;0,SUMIFS(T_StockCount[CountedQty],T_StockCount[Part Name],$A21,T_StockCount[WeekIndex],94),IF((('T_SelfStock'!CQ25&lt;&gt;""))*(('T_TTAFStock'!CQ25&lt;&gt;""))&gt;0,'T_SelfStock'!CQ25+'T_TTAFStock'!CQ25,CP21+'Grid_Incoming'!CQ21-'Grid_Requirement'!CQ21))</f>
        <v/>
      </c>
      <c r="CR21">
        <f>IF(COUNTIFS(T_StockCount[Part Name],$A21,T_StockCount[WeekIndex],95)&gt;0,SUMIFS(T_StockCount[CountedQty],T_StockCount[Part Name],$A21,T_StockCount[WeekIndex],95),IF((('T_SelfStock'!CR25&lt;&gt;""))*(('T_TTAFStock'!CR25&lt;&gt;""))&gt;0,'T_SelfStock'!CR25+'T_TTAFStock'!CR25,CQ21+'Grid_Incoming'!CR21-'Grid_Requirement'!CR21))</f>
        <v/>
      </c>
      <c r="CS21">
        <f>IF(COUNTIFS(T_StockCount[Part Name],$A21,T_StockCount[WeekIndex],96)&gt;0,SUMIFS(T_StockCount[CountedQty],T_StockCount[Part Name],$A21,T_StockCount[WeekIndex],96),IF((('T_SelfStock'!CS25&lt;&gt;""))*(('T_TTAFStock'!CS25&lt;&gt;""))&gt;0,'T_SelfStock'!CS25+'T_TTAFStock'!CS25,CR21+'Grid_Incoming'!CS21-'Grid_Requirement'!CS21))</f>
        <v/>
      </c>
      <c r="CT21">
        <f>IF(COUNTIFS(T_StockCount[Part Name],$A21,T_StockCount[WeekIndex],97)&gt;0,SUMIFS(T_StockCount[CountedQty],T_StockCount[Part Name],$A21,T_StockCount[WeekIndex],97),IF((('T_SelfStock'!CT25&lt;&gt;""))*(('T_TTAFStock'!CT25&lt;&gt;""))&gt;0,'T_SelfStock'!CT25+'T_TTAFStock'!CT25,CS21+'Grid_Incoming'!CT21-'Grid_Requirement'!CT21))</f>
        <v/>
      </c>
      <c r="CU21">
        <f>IF(COUNTIFS(T_StockCount[Part Name],$A21,T_StockCount[WeekIndex],98)&gt;0,SUMIFS(T_StockCount[CountedQty],T_StockCount[Part Name],$A21,T_StockCount[WeekIndex],98),IF((('T_SelfStock'!CU25&lt;&gt;""))*(('T_TTAFStock'!CU25&lt;&gt;""))&gt;0,'T_SelfStock'!CU25+'T_TTAFStock'!CU25,CT21+'Grid_Incoming'!CU21-'Grid_Requirement'!CU21))</f>
        <v/>
      </c>
      <c r="CV21">
        <f>IF(COUNTIFS(T_StockCount[Part Name],$A21,T_StockCount[WeekIndex],99)&gt;0,SUMIFS(T_StockCount[CountedQty],T_StockCount[Part Name],$A21,T_StockCount[WeekIndex],99),IF((('T_SelfStock'!CV25&lt;&gt;""))*(('T_TTAFStock'!CV25&lt;&gt;""))&gt;0,'T_SelfStock'!CV25+'T_TTAFStock'!CV25,CU21+'Grid_Incoming'!CV21-'Grid_Requirement'!CV21))</f>
        <v/>
      </c>
      <c r="CW21">
        <f>IF(COUNTIFS(T_StockCount[Part Name],$A21,T_StockCount[WeekIndex],100)&gt;0,SUMIFS(T_StockCount[CountedQty],T_StockCount[Part Name],$A21,T_StockCount[WeekIndex],100),IF((('T_SelfStock'!CW25&lt;&gt;""))*(('T_TTAFStock'!CW25&lt;&gt;""))&gt;0,'T_SelfStock'!CW25+'T_TTAFStock'!CW25,CV21+'Grid_Incoming'!CW21-'Grid_Requirement'!CW21))</f>
        <v/>
      </c>
      <c r="CX21">
        <f>IF(COUNTIFS(T_StockCount[Part Name],$A21,T_StockCount[WeekIndex],101)&gt;0,SUMIFS(T_StockCount[CountedQty],T_StockCount[Part Name],$A21,T_StockCount[WeekIndex],101),IF((('T_SelfStock'!CX25&lt;&gt;""))*(('T_TTAFStock'!CX25&lt;&gt;""))&gt;0,'T_SelfStock'!CX25+'T_TTAFStock'!CX25,CW21+'Grid_Incoming'!CX21-'Grid_Requirement'!CX21))</f>
        <v/>
      </c>
      <c r="CY21">
        <f>IF(COUNTIFS(T_StockCount[Part Name],$A21,T_StockCount[WeekIndex],102)&gt;0,SUMIFS(T_StockCount[CountedQty],T_StockCount[Part Name],$A21,T_StockCount[WeekIndex],102),IF((('T_SelfStock'!CY25&lt;&gt;""))*(('T_TTAFStock'!CY25&lt;&gt;""))&gt;0,'T_SelfStock'!CY25+'T_TTAFStock'!CY25,CX21+'Grid_Incoming'!CY21-'Grid_Requirement'!CY21))</f>
        <v/>
      </c>
      <c r="CZ21">
        <f>IF(COUNTIFS(T_StockCount[Part Name],$A21,T_StockCount[WeekIndex],103)&gt;0,SUMIFS(T_StockCount[CountedQty],T_StockCount[Part Name],$A21,T_StockCount[WeekIndex],103),IF((('T_SelfStock'!CZ25&lt;&gt;""))*(('T_TTAFStock'!CZ25&lt;&gt;""))&gt;0,'T_SelfStock'!CZ25+'T_TTAFStock'!CZ25,CY21+'Grid_Incoming'!CZ21-'Grid_Requirement'!CZ21))</f>
        <v/>
      </c>
      <c r="DA21">
        <f>IF(COUNTIFS(T_StockCount[Part Name],$A21,T_StockCount[WeekIndex],104)&gt;0,SUMIFS(T_StockCount[CountedQty],T_StockCount[Part Name],$A21,T_StockCount[WeekIndex],104),IF((('T_SelfStock'!DA25&lt;&gt;""))*(('T_TTAFStock'!DA25&lt;&gt;""))&gt;0,'T_SelfStock'!DA25+'T_TTAFStock'!DA25,CZ21+'Grid_Incoming'!DA21-'Grid_Requirement'!DA21))</f>
        <v/>
      </c>
    </row>
    <row r="22">
      <c r="A22" t="inlineStr">
        <is>
          <t>0JN</t>
        </is>
      </c>
      <c r="B22">
        <f>IF(COUNTIFS(T_StockCount[Part Name],$A22,T_StockCount[WeekIndex],1)&gt;0,SUMIFS(T_StockCount[CountedQty],T_StockCount[Part Name],$A22,T_StockCount[WeekIndex],1),IF((('T_SelfStock'!B26&lt;&gt;""))*(('T_TTAFStock'!B26&lt;&gt;""))&gt;0,'T_SelfStock'!B26+'T_TTAFStock'!B26,IFERROR(INDEX(T_OpeningStock[Opening_Qty],MATCH($A22,T_OpeningStock[Part Name],0)),0)+'Grid_Incoming'!B22-'Grid_Requirement'!B22))</f>
        <v/>
      </c>
      <c r="C22">
        <f>IF(COUNTIFS(T_StockCount[Part Name],$A22,T_StockCount[WeekIndex],2)&gt;0,SUMIFS(T_StockCount[CountedQty],T_StockCount[Part Name],$A22,T_StockCount[WeekIndex],2),IF((('T_SelfStock'!C26&lt;&gt;""))*(('T_TTAFStock'!C26&lt;&gt;""))&gt;0,'T_SelfStock'!C26+'T_TTAFStock'!C26,B22+'Grid_Incoming'!C22-'Grid_Requirement'!C22))</f>
        <v/>
      </c>
      <c r="D22">
        <f>IF(COUNTIFS(T_StockCount[Part Name],$A22,T_StockCount[WeekIndex],3)&gt;0,SUMIFS(T_StockCount[CountedQty],T_StockCount[Part Name],$A22,T_StockCount[WeekIndex],3),IF((('T_SelfStock'!D26&lt;&gt;""))*(('T_TTAFStock'!D26&lt;&gt;""))&gt;0,'T_SelfStock'!D26+'T_TTAFStock'!D26,C22+'Grid_Incoming'!D22-'Grid_Requirement'!D22))</f>
        <v/>
      </c>
      <c r="E22">
        <f>IF(COUNTIFS(T_StockCount[Part Name],$A22,T_StockCount[WeekIndex],4)&gt;0,SUMIFS(T_StockCount[CountedQty],T_StockCount[Part Name],$A22,T_StockCount[WeekIndex],4),IF((('T_SelfStock'!E26&lt;&gt;""))*(('T_TTAFStock'!E26&lt;&gt;""))&gt;0,'T_SelfStock'!E26+'T_TTAFStock'!E26,D22+'Grid_Incoming'!E22-'Grid_Requirement'!E22))</f>
        <v/>
      </c>
      <c r="F22">
        <f>IF(COUNTIFS(T_StockCount[Part Name],$A22,T_StockCount[WeekIndex],5)&gt;0,SUMIFS(T_StockCount[CountedQty],T_StockCount[Part Name],$A22,T_StockCount[WeekIndex],5),IF((('T_SelfStock'!F26&lt;&gt;""))*(('T_TTAFStock'!F26&lt;&gt;""))&gt;0,'T_SelfStock'!F26+'T_TTAFStock'!F26,E22+'Grid_Incoming'!F22-'Grid_Requirement'!F22))</f>
        <v/>
      </c>
      <c r="G22">
        <f>IF(COUNTIFS(T_StockCount[Part Name],$A22,T_StockCount[WeekIndex],6)&gt;0,SUMIFS(T_StockCount[CountedQty],T_StockCount[Part Name],$A22,T_StockCount[WeekIndex],6),IF((('T_SelfStock'!G26&lt;&gt;""))*(('T_TTAFStock'!G26&lt;&gt;""))&gt;0,'T_SelfStock'!G26+'T_TTAFStock'!G26,F22+'Grid_Incoming'!G22-'Grid_Requirement'!G22))</f>
        <v/>
      </c>
      <c r="H22">
        <f>IF(COUNTIFS(T_StockCount[Part Name],$A22,T_StockCount[WeekIndex],7)&gt;0,SUMIFS(T_StockCount[CountedQty],T_StockCount[Part Name],$A22,T_StockCount[WeekIndex],7),IF((('T_SelfStock'!H26&lt;&gt;""))*(('T_TTAFStock'!H26&lt;&gt;""))&gt;0,'T_SelfStock'!H26+'T_TTAFStock'!H26,G22+'Grid_Incoming'!H22-'Grid_Requirement'!H22))</f>
        <v/>
      </c>
      <c r="I22">
        <f>IF(COUNTIFS(T_StockCount[Part Name],$A22,T_StockCount[WeekIndex],8)&gt;0,SUMIFS(T_StockCount[CountedQty],T_StockCount[Part Name],$A22,T_StockCount[WeekIndex],8),IF((('T_SelfStock'!I26&lt;&gt;""))*(('T_TTAFStock'!I26&lt;&gt;""))&gt;0,'T_SelfStock'!I26+'T_TTAFStock'!I26,H22+'Grid_Incoming'!I22-'Grid_Requirement'!I22))</f>
        <v/>
      </c>
      <c r="J22">
        <f>IF(COUNTIFS(T_StockCount[Part Name],$A22,T_StockCount[WeekIndex],9)&gt;0,SUMIFS(T_StockCount[CountedQty],T_StockCount[Part Name],$A22,T_StockCount[WeekIndex],9),IF((('T_SelfStock'!J26&lt;&gt;""))*(('T_TTAFStock'!J26&lt;&gt;""))&gt;0,'T_SelfStock'!J26+'T_TTAFStock'!J26,I22+'Grid_Incoming'!J22-'Grid_Requirement'!J22))</f>
        <v/>
      </c>
      <c r="K22">
        <f>IF(COUNTIFS(T_StockCount[Part Name],$A22,T_StockCount[WeekIndex],10)&gt;0,SUMIFS(T_StockCount[CountedQty],T_StockCount[Part Name],$A22,T_StockCount[WeekIndex],10),IF((('T_SelfStock'!K26&lt;&gt;""))*(('T_TTAFStock'!K26&lt;&gt;""))&gt;0,'T_SelfStock'!K26+'T_TTAFStock'!K26,J22+'Grid_Incoming'!K22-'Grid_Requirement'!K22))</f>
        <v/>
      </c>
      <c r="L22">
        <f>IF(COUNTIFS(T_StockCount[Part Name],$A22,T_StockCount[WeekIndex],11)&gt;0,SUMIFS(T_StockCount[CountedQty],T_StockCount[Part Name],$A22,T_StockCount[WeekIndex],11),IF((('T_SelfStock'!L26&lt;&gt;""))*(('T_TTAFStock'!L26&lt;&gt;""))&gt;0,'T_SelfStock'!L26+'T_TTAFStock'!L26,K22+'Grid_Incoming'!L22-'Grid_Requirement'!L22))</f>
        <v/>
      </c>
      <c r="M22">
        <f>IF(COUNTIFS(T_StockCount[Part Name],$A22,T_StockCount[WeekIndex],12)&gt;0,SUMIFS(T_StockCount[CountedQty],T_StockCount[Part Name],$A22,T_StockCount[WeekIndex],12),IF((('T_SelfStock'!M26&lt;&gt;""))*(('T_TTAFStock'!M26&lt;&gt;""))&gt;0,'T_SelfStock'!M26+'T_TTAFStock'!M26,L22+'Grid_Incoming'!M22-'Grid_Requirement'!M22))</f>
        <v/>
      </c>
      <c r="N22">
        <f>IF(COUNTIFS(T_StockCount[Part Name],$A22,T_StockCount[WeekIndex],13)&gt;0,SUMIFS(T_StockCount[CountedQty],T_StockCount[Part Name],$A22,T_StockCount[WeekIndex],13),IF((('T_SelfStock'!N26&lt;&gt;""))*(('T_TTAFStock'!N26&lt;&gt;""))&gt;0,'T_SelfStock'!N26+'T_TTAFStock'!N26,M22+'Grid_Incoming'!N22-'Grid_Requirement'!N22))</f>
        <v/>
      </c>
      <c r="O22">
        <f>IF(COUNTIFS(T_StockCount[Part Name],$A22,T_StockCount[WeekIndex],14)&gt;0,SUMIFS(T_StockCount[CountedQty],T_StockCount[Part Name],$A22,T_StockCount[WeekIndex],14),IF((('T_SelfStock'!O26&lt;&gt;""))*(('T_TTAFStock'!O26&lt;&gt;""))&gt;0,'T_SelfStock'!O26+'T_TTAFStock'!O26,N22+'Grid_Incoming'!O22-'Grid_Requirement'!O22))</f>
        <v/>
      </c>
      <c r="P22">
        <f>IF(COUNTIFS(T_StockCount[Part Name],$A22,T_StockCount[WeekIndex],15)&gt;0,SUMIFS(T_StockCount[CountedQty],T_StockCount[Part Name],$A22,T_StockCount[WeekIndex],15),IF((('T_SelfStock'!P26&lt;&gt;""))*(('T_TTAFStock'!P26&lt;&gt;""))&gt;0,'T_SelfStock'!P26+'T_TTAFStock'!P26,O22+'Grid_Incoming'!P22-'Grid_Requirement'!P22))</f>
        <v/>
      </c>
      <c r="Q22">
        <f>IF(COUNTIFS(T_StockCount[Part Name],$A22,T_StockCount[WeekIndex],16)&gt;0,SUMIFS(T_StockCount[CountedQty],T_StockCount[Part Name],$A22,T_StockCount[WeekIndex],16),IF((('T_SelfStock'!Q26&lt;&gt;""))*(('T_TTAFStock'!Q26&lt;&gt;""))&gt;0,'T_SelfStock'!Q26+'T_TTAFStock'!Q26,P22+'Grid_Incoming'!Q22-'Grid_Requirement'!Q22))</f>
        <v/>
      </c>
      <c r="R22">
        <f>IF(COUNTIFS(T_StockCount[Part Name],$A22,T_StockCount[WeekIndex],17)&gt;0,SUMIFS(T_StockCount[CountedQty],T_StockCount[Part Name],$A22,T_StockCount[WeekIndex],17),IF((('T_SelfStock'!R26&lt;&gt;""))*(('T_TTAFStock'!R26&lt;&gt;""))&gt;0,'T_SelfStock'!R26+'T_TTAFStock'!R26,Q22+'Grid_Incoming'!R22-'Grid_Requirement'!R22))</f>
        <v/>
      </c>
      <c r="S22">
        <f>IF(COUNTIFS(T_StockCount[Part Name],$A22,T_StockCount[WeekIndex],18)&gt;0,SUMIFS(T_StockCount[CountedQty],T_StockCount[Part Name],$A22,T_StockCount[WeekIndex],18),IF((('T_SelfStock'!S26&lt;&gt;""))*(('T_TTAFStock'!S26&lt;&gt;""))&gt;0,'T_SelfStock'!S26+'T_TTAFStock'!S26,R22+'Grid_Incoming'!S22-'Grid_Requirement'!S22))</f>
        <v/>
      </c>
      <c r="T22">
        <f>IF(COUNTIFS(T_StockCount[Part Name],$A22,T_StockCount[WeekIndex],19)&gt;0,SUMIFS(T_StockCount[CountedQty],T_StockCount[Part Name],$A22,T_StockCount[WeekIndex],19),IF((('T_SelfStock'!T26&lt;&gt;""))*(('T_TTAFStock'!T26&lt;&gt;""))&gt;0,'T_SelfStock'!T26+'T_TTAFStock'!T26,S22+'Grid_Incoming'!T22-'Grid_Requirement'!T22))</f>
        <v/>
      </c>
      <c r="U22">
        <f>IF(COUNTIFS(T_StockCount[Part Name],$A22,T_StockCount[WeekIndex],20)&gt;0,SUMIFS(T_StockCount[CountedQty],T_StockCount[Part Name],$A22,T_StockCount[WeekIndex],20),IF((('T_SelfStock'!U26&lt;&gt;""))*(('T_TTAFStock'!U26&lt;&gt;""))&gt;0,'T_SelfStock'!U26+'T_TTAFStock'!U26,T22+'Grid_Incoming'!U22-'Grid_Requirement'!U22))</f>
        <v/>
      </c>
      <c r="V22">
        <f>IF(COUNTIFS(T_StockCount[Part Name],$A22,T_StockCount[WeekIndex],21)&gt;0,SUMIFS(T_StockCount[CountedQty],T_StockCount[Part Name],$A22,T_StockCount[WeekIndex],21),IF((('T_SelfStock'!V26&lt;&gt;""))*(('T_TTAFStock'!V26&lt;&gt;""))&gt;0,'T_SelfStock'!V26+'T_TTAFStock'!V26,U22+'Grid_Incoming'!V22-'Grid_Requirement'!V22))</f>
        <v/>
      </c>
      <c r="W22">
        <f>IF(COUNTIFS(T_StockCount[Part Name],$A22,T_StockCount[WeekIndex],22)&gt;0,SUMIFS(T_StockCount[CountedQty],T_StockCount[Part Name],$A22,T_StockCount[WeekIndex],22),IF((('T_SelfStock'!W26&lt;&gt;""))*(('T_TTAFStock'!W26&lt;&gt;""))&gt;0,'T_SelfStock'!W26+'T_TTAFStock'!W26,V22+'Grid_Incoming'!W22-'Grid_Requirement'!W22))</f>
        <v/>
      </c>
      <c r="X22">
        <f>IF(COUNTIFS(T_StockCount[Part Name],$A22,T_StockCount[WeekIndex],23)&gt;0,SUMIFS(T_StockCount[CountedQty],T_StockCount[Part Name],$A22,T_StockCount[WeekIndex],23),IF((('T_SelfStock'!X26&lt;&gt;""))*(('T_TTAFStock'!X26&lt;&gt;""))&gt;0,'T_SelfStock'!X26+'T_TTAFStock'!X26,W22+'Grid_Incoming'!X22-'Grid_Requirement'!X22))</f>
        <v/>
      </c>
      <c r="Y22">
        <f>IF(COUNTIFS(T_StockCount[Part Name],$A22,T_StockCount[WeekIndex],24)&gt;0,SUMIFS(T_StockCount[CountedQty],T_StockCount[Part Name],$A22,T_StockCount[WeekIndex],24),IF((('T_SelfStock'!Y26&lt;&gt;""))*(('T_TTAFStock'!Y26&lt;&gt;""))&gt;0,'T_SelfStock'!Y26+'T_TTAFStock'!Y26,X22+'Grid_Incoming'!Y22-'Grid_Requirement'!Y22))</f>
        <v/>
      </c>
      <c r="Z22">
        <f>IF(COUNTIFS(T_StockCount[Part Name],$A22,T_StockCount[WeekIndex],25)&gt;0,SUMIFS(T_StockCount[CountedQty],T_StockCount[Part Name],$A22,T_StockCount[WeekIndex],25),IF((('T_SelfStock'!Z26&lt;&gt;""))*(('T_TTAFStock'!Z26&lt;&gt;""))&gt;0,'T_SelfStock'!Z26+'T_TTAFStock'!Z26,Y22+'Grid_Incoming'!Z22-'Grid_Requirement'!Z22))</f>
        <v/>
      </c>
      <c r="AA22">
        <f>IF(COUNTIFS(T_StockCount[Part Name],$A22,T_StockCount[WeekIndex],26)&gt;0,SUMIFS(T_StockCount[CountedQty],T_StockCount[Part Name],$A22,T_StockCount[WeekIndex],26),IF((('T_SelfStock'!AA26&lt;&gt;""))*(('T_TTAFStock'!AA26&lt;&gt;""))&gt;0,'T_SelfStock'!AA26+'T_TTAFStock'!AA26,Z22+'Grid_Incoming'!AA22-'Grid_Requirement'!AA22))</f>
        <v/>
      </c>
      <c r="AB22">
        <f>IF(COUNTIFS(T_StockCount[Part Name],$A22,T_StockCount[WeekIndex],27)&gt;0,SUMIFS(T_StockCount[CountedQty],T_StockCount[Part Name],$A22,T_StockCount[WeekIndex],27),IF((('T_SelfStock'!AB26&lt;&gt;""))*(('T_TTAFStock'!AB26&lt;&gt;""))&gt;0,'T_SelfStock'!AB26+'T_TTAFStock'!AB26,AA22+'Grid_Incoming'!AB22-'Grid_Requirement'!AB22))</f>
        <v/>
      </c>
      <c r="AC22">
        <f>IF(COUNTIFS(T_StockCount[Part Name],$A22,T_StockCount[WeekIndex],28)&gt;0,SUMIFS(T_StockCount[CountedQty],T_StockCount[Part Name],$A22,T_StockCount[WeekIndex],28),IF((('T_SelfStock'!AC26&lt;&gt;""))*(('T_TTAFStock'!AC26&lt;&gt;""))&gt;0,'T_SelfStock'!AC26+'T_TTAFStock'!AC26,AB22+'Grid_Incoming'!AC22-'Grid_Requirement'!AC22))</f>
        <v/>
      </c>
      <c r="AD22">
        <f>IF(COUNTIFS(T_StockCount[Part Name],$A22,T_StockCount[WeekIndex],29)&gt;0,SUMIFS(T_StockCount[CountedQty],T_StockCount[Part Name],$A22,T_StockCount[WeekIndex],29),IF((('T_SelfStock'!AD26&lt;&gt;""))*(('T_TTAFStock'!AD26&lt;&gt;""))&gt;0,'T_SelfStock'!AD26+'T_TTAFStock'!AD26,AC22+'Grid_Incoming'!AD22-'Grid_Requirement'!AD22))</f>
        <v/>
      </c>
      <c r="AE22">
        <f>IF(COUNTIFS(T_StockCount[Part Name],$A22,T_StockCount[WeekIndex],30)&gt;0,SUMIFS(T_StockCount[CountedQty],T_StockCount[Part Name],$A22,T_StockCount[WeekIndex],30),IF((('T_SelfStock'!AE26&lt;&gt;""))*(('T_TTAFStock'!AE26&lt;&gt;""))&gt;0,'T_SelfStock'!AE26+'T_TTAFStock'!AE26,AD22+'Grid_Incoming'!AE22-'Grid_Requirement'!AE22))</f>
        <v/>
      </c>
      <c r="AF22">
        <f>IF(COUNTIFS(T_StockCount[Part Name],$A22,T_StockCount[WeekIndex],31)&gt;0,SUMIFS(T_StockCount[CountedQty],T_StockCount[Part Name],$A22,T_StockCount[WeekIndex],31),IF((('T_SelfStock'!AF26&lt;&gt;""))*(('T_TTAFStock'!AF26&lt;&gt;""))&gt;0,'T_SelfStock'!AF26+'T_TTAFStock'!AF26,AE22+'Grid_Incoming'!AF22-'Grid_Requirement'!AF22))</f>
        <v/>
      </c>
      <c r="AG22">
        <f>IF(COUNTIFS(T_StockCount[Part Name],$A22,T_StockCount[WeekIndex],32)&gt;0,SUMIFS(T_StockCount[CountedQty],T_StockCount[Part Name],$A22,T_StockCount[WeekIndex],32),IF((('T_SelfStock'!AG26&lt;&gt;""))*(('T_TTAFStock'!AG26&lt;&gt;""))&gt;0,'T_SelfStock'!AG26+'T_TTAFStock'!AG26,AF22+'Grid_Incoming'!AG22-'Grid_Requirement'!AG22))</f>
        <v/>
      </c>
      <c r="AH22">
        <f>IF(COUNTIFS(T_StockCount[Part Name],$A22,T_StockCount[WeekIndex],33)&gt;0,SUMIFS(T_StockCount[CountedQty],T_StockCount[Part Name],$A22,T_StockCount[WeekIndex],33),IF((('T_SelfStock'!AH26&lt;&gt;""))*(('T_TTAFStock'!AH26&lt;&gt;""))&gt;0,'T_SelfStock'!AH26+'T_TTAFStock'!AH26,AG22+'Grid_Incoming'!AH22-'Grid_Requirement'!AH22))</f>
        <v/>
      </c>
      <c r="AI22">
        <f>IF(COUNTIFS(T_StockCount[Part Name],$A22,T_StockCount[WeekIndex],34)&gt;0,SUMIFS(T_StockCount[CountedQty],T_StockCount[Part Name],$A22,T_StockCount[WeekIndex],34),IF((('T_SelfStock'!AI26&lt;&gt;""))*(('T_TTAFStock'!AI26&lt;&gt;""))&gt;0,'T_SelfStock'!AI26+'T_TTAFStock'!AI26,AH22+'Grid_Incoming'!AI22-'Grid_Requirement'!AI22))</f>
        <v/>
      </c>
      <c r="AJ22">
        <f>IF(COUNTIFS(T_StockCount[Part Name],$A22,T_StockCount[WeekIndex],35)&gt;0,SUMIFS(T_StockCount[CountedQty],T_StockCount[Part Name],$A22,T_StockCount[WeekIndex],35),IF((('T_SelfStock'!AJ26&lt;&gt;""))*(('T_TTAFStock'!AJ26&lt;&gt;""))&gt;0,'T_SelfStock'!AJ26+'T_TTAFStock'!AJ26,AI22+'Grid_Incoming'!AJ22-'Grid_Requirement'!AJ22))</f>
        <v/>
      </c>
      <c r="AK22">
        <f>IF(COUNTIFS(T_StockCount[Part Name],$A22,T_StockCount[WeekIndex],36)&gt;0,SUMIFS(T_StockCount[CountedQty],T_StockCount[Part Name],$A22,T_StockCount[WeekIndex],36),IF((('T_SelfStock'!AK26&lt;&gt;""))*(('T_TTAFStock'!AK26&lt;&gt;""))&gt;0,'T_SelfStock'!AK26+'T_TTAFStock'!AK26,AJ22+'Grid_Incoming'!AK22-'Grid_Requirement'!AK22))</f>
        <v/>
      </c>
      <c r="AL22">
        <f>IF(COUNTIFS(T_StockCount[Part Name],$A22,T_StockCount[WeekIndex],37)&gt;0,SUMIFS(T_StockCount[CountedQty],T_StockCount[Part Name],$A22,T_StockCount[WeekIndex],37),IF((('T_SelfStock'!AL26&lt;&gt;""))*(('T_TTAFStock'!AL26&lt;&gt;""))&gt;0,'T_SelfStock'!AL26+'T_TTAFStock'!AL26,AK22+'Grid_Incoming'!AL22-'Grid_Requirement'!AL22))</f>
        <v/>
      </c>
      <c r="AM22">
        <f>IF(COUNTIFS(T_StockCount[Part Name],$A22,T_StockCount[WeekIndex],38)&gt;0,SUMIFS(T_StockCount[CountedQty],T_StockCount[Part Name],$A22,T_StockCount[WeekIndex],38),IF((('T_SelfStock'!AM26&lt;&gt;""))*(('T_TTAFStock'!AM26&lt;&gt;""))&gt;0,'T_SelfStock'!AM26+'T_TTAFStock'!AM26,AL22+'Grid_Incoming'!AM22-'Grid_Requirement'!AM22))</f>
        <v/>
      </c>
      <c r="AN22">
        <f>IF(COUNTIFS(T_StockCount[Part Name],$A22,T_StockCount[WeekIndex],39)&gt;0,SUMIFS(T_StockCount[CountedQty],T_StockCount[Part Name],$A22,T_StockCount[WeekIndex],39),IF((('T_SelfStock'!AN26&lt;&gt;""))*(('T_TTAFStock'!AN26&lt;&gt;""))&gt;0,'T_SelfStock'!AN26+'T_TTAFStock'!AN26,AM22+'Grid_Incoming'!AN22-'Grid_Requirement'!AN22))</f>
        <v/>
      </c>
      <c r="AO22">
        <f>IF(COUNTIFS(T_StockCount[Part Name],$A22,T_StockCount[WeekIndex],40)&gt;0,SUMIFS(T_StockCount[CountedQty],T_StockCount[Part Name],$A22,T_StockCount[WeekIndex],40),IF((('T_SelfStock'!AO26&lt;&gt;""))*(('T_TTAFStock'!AO26&lt;&gt;""))&gt;0,'T_SelfStock'!AO26+'T_TTAFStock'!AO26,AN22+'Grid_Incoming'!AO22-'Grid_Requirement'!AO22))</f>
        <v/>
      </c>
      <c r="AP22">
        <f>IF(COUNTIFS(T_StockCount[Part Name],$A22,T_StockCount[WeekIndex],41)&gt;0,SUMIFS(T_StockCount[CountedQty],T_StockCount[Part Name],$A22,T_StockCount[WeekIndex],41),IF((('T_SelfStock'!AP26&lt;&gt;""))*(('T_TTAFStock'!AP26&lt;&gt;""))&gt;0,'T_SelfStock'!AP26+'T_TTAFStock'!AP26,AO22+'Grid_Incoming'!AP22-'Grid_Requirement'!AP22))</f>
        <v/>
      </c>
      <c r="AQ22">
        <f>IF(COUNTIFS(T_StockCount[Part Name],$A22,T_StockCount[WeekIndex],42)&gt;0,SUMIFS(T_StockCount[CountedQty],T_StockCount[Part Name],$A22,T_StockCount[WeekIndex],42),IF((('T_SelfStock'!AQ26&lt;&gt;""))*(('T_TTAFStock'!AQ26&lt;&gt;""))&gt;0,'T_SelfStock'!AQ26+'T_TTAFStock'!AQ26,AP22+'Grid_Incoming'!AQ22-'Grid_Requirement'!AQ22))</f>
        <v/>
      </c>
      <c r="AR22">
        <f>IF(COUNTIFS(T_StockCount[Part Name],$A22,T_StockCount[WeekIndex],43)&gt;0,SUMIFS(T_StockCount[CountedQty],T_StockCount[Part Name],$A22,T_StockCount[WeekIndex],43),IF((('T_SelfStock'!AR26&lt;&gt;""))*(('T_TTAFStock'!AR26&lt;&gt;""))&gt;0,'T_SelfStock'!AR26+'T_TTAFStock'!AR26,AQ22+'Grid_Incoming'!AR22-'Grid_Requirement'!AR22))</f>
        <v/>
      </c>
      <c r="AS22">
        <f>IF(COUNTIFS(T_StockCount[Part Name],$A22,T_StockCount[WeekIndex],44)&gt;0,SUMIFS(T_StockCount[CountedQty],T_StockCount[Part Name],$A22,T_StockCount[WeekIndex],44),IF((('T_SelfStock'!AS26&lt;&gt;""))*(('T_TTAFStock'!AS26&lt;&gt;""))&gt;0,'T_SelfStock'!AS26+'T_TTAFStock'!AS26,AR22+'Grid_Incoming'!AS22-'Grid_Requirement'!AS22))</f>
        <v/>
      </c>
      <c r="AT22">
        <f>IF(COUNTIFS(T_StockCount[Part Name],$A22,T_StockCount[WeekIndex],45)&gt;0,SUMIFS(T_StockCount[CountedQty],T_StockCount[Part Name],$A22,T_StockCount[WeekIndex],45),IF((('T_SelfStock'!AT26&lt;&gt;""))*(('T_TTAFStock'!AT26&lt;&gt;""))&gt;0,'T_SelfStock'!AT26+'T_TTAFStock'!AT26,AS22+'Grid_Incoming'!AT22-'Grid_Requirement'!AT22))</f>
        <v/>
      </c>
      <c r="AU22">
        <f>IF(COUNTIFS(T_StockCount[Part Name],$A22,T_StockCount[WeekIndex],46)&gt;0,SUMIFS(T_StockCount[CountedQty],T_StockCount[Part Name],$A22,T_StockCount[WeekIndex],46),IF((('T_SelfStock'!AU26&lt;&gt;""))*(('T_TTAFStock'!AU26&lt;&gt;""))&gt;0,'T_SelfStock'!AU26+'T_TTAFStock'!AU26,AT22+'Grid_Incoming'!AU22-'Grid_Requirement'!AU22))</f>
        <v/>
      </c>
      <c r="AV22">
        <f>IF(COUNTIFS(T_StockCount[Part Name],$A22,T_StockCount[WeekIndex],47)&gt;0,SUMIFS(T_StockCount[CountedQty],T_StockCount[Part Name],$A22,T_StockCount[WeekIndex],47),IF((('T_SelfStock'!AV26&lt;&gt;""))*(('T_TTAFStock'!AV26&lt;&gt;""))&gt;0,'T_SelfStock'!AV26+'T_TTAFStock'!AV26,AU22+'Grid_Incoming'!AV22-'Grid_Requirement'!AV22))</f>
        <v/>
      </c>
      <c r="AW22">
        <f>IF(COUNTIFS(T_StockCount[Part Name],$A22,T_StockCount[WeekIndex],48)&gt;0,SUMIFS(T_StockCount[CountedQty],T_StockCount[Part Name],$A22,T_StockCount[WeekIndex],48),IF((('T_SelfStock'!AW26&lt;&gt;""))*(('T_TTAFStock'!AW26&lt;&gt;""))&gt;0,'T_SelfStock'!AW26+'T_TTAFStock'!AW26,AV22+'Grid_Incoming'!AW22-'Grid_Requirement'!AW22))</f>
        <v/>
      </c>
      <c r="AX22">
        <f>IF(COUNTIFS(T_StockCount[Part Name],$A22,T_StockCount[WeekIndex],49)&gt;0,SUMIFS(T_StockCount[CountedQty],T_StockCount[Part Name],$A22,T_StockCount[WeekIndex],49),IF((('T_SelfStock'!AX26&lt;&gt;""))*(('T_TTAFStock'!AX26&lt;&gt;""))&gt;0,'T_SelfStock'!AX26+'T_TTAFStock'!AX26,AW22+'Grid_Incoming'!AX22-'Grid_Requirement'!AX22))</f>
        <v/>
      </c>
      <c r="AY22">
        <f>IF(COUNTIFS(T_StockCount[Part Name],$A22,T_StockCount[WeekIndex],50)&gt;0,SUMIFS(T_StockCount[CountedQty],T_StockCount[Part Name],$A22,T_StockCount[WeekIndex],50),IF((('T_SelfStock'!AY26&lt;&gt;""))*(('T_TTAFStock'!AY26&lt;&gt;""))&gt;0,'T_SelfStock'!AY26+'T_TTAFStock'!AY26,AX22+'Grid_Incoming'!AY22-'Grid_Requirement'!AY22))</f>
        <v/>
      </c>
      <c r="AZ22">
        <f>IF(COUNTIFS(T_StockCount[Part Name],$A22,T_StockCount[WeekIndex],51)&gt;0,SUMIFS(T_StockCount[CountedQty],T_StockCount[Part Name],$A22,T_StockCount[WeekIndex],51),IF((('T_SelfStock'!AZ26&lt;&gt;""))*(('T_TTAFStock'!AZ26&lt;&gt;""))&gt;0,'T_SelfStock'!AZ26+'T_TTAFStock'!AZ26,AY22+'Grid_Incoming'!AZ22-'Grid_Requirement'!AZ22))</f>
        <v/>
      </c>
      <c r="BA22">
        <f>IF(COUNTIFS(T_StockCount[Part Name],$A22,T_StockCount[WeekIndex],52)&gt;0,SUMIFS(T_StockCount[CountedQty],T_StockCount[Part Name],$A22,T_StockCount[WeekIndex],52),IF((('T_SelfStock'!BA26&lt;&gt;""))*(('T_TTAFStock'!BA26&lt;&gt;""))&gt;0,'T_SelfStock'!BA26+'T_TTAFStock'!BA26,AZ22+'Grid_Incoming'!BA22-'Grid_Requirement'!BA22))</f>
        <v/>
      </c>
      <c r="BB22">
        <f>IF(COUNTIFS(T_StockCount[Part Name],$A22,T_StockCount[WeekIndex],53)&gt;0,SUMIFS(T_StockCount[CountedQty],T_StockCount[Part Name],$A22,T_StockCount[WeekIndex],53),IF((('T_SelfStock'!BB26&lt;&gt;""))*(('T_TTAFStock'!BB26&lt;&gt;""))&gt;0,'T_SelfStock'!BB26+'T_TTAFStock'!BB26,BA22+'Grid_Incoming'!BB22-'Grid_Requirement'!BB22))</f>
        <v/>
      </c>
      <c r="BC22">
        <f>IF(COUNTIFS(T_StockCount[Part Name],$A22,T_StockCount[WeekIndex],54)&gt;0,SUMIFS(T_StockCount[CountedQty],T_StockCount[Part Name],$A22,T_StockCount[WeekIndex],54),IF((('T_SelfStock'!BC26&lt;&gt;""))*(('T_TTAFStock'!BC26&lt;&gt;""))&gt;0,'T_SelfStock'!BC26+'T_TTAFStock'!BC26,BB22+'Grid_Incoming'!BC22-'Grid_Requirement'!BC22))</f>
        <v/>
      </c>
      <c r="BD22">
        <f>IF(COUNTIFS(T_StockCount[Part Name],$A22,T_StockCount[WeekIndex],55)&gt;0,SUMIFS(T_StockCount[CountedQty],T_StockCount[Part Name],$A22,T_StockCount[WeekIndex],55),IF((('T_SelfStock'!BD26&lt;&gt;""))*(('T_TTAFStock'!BD26&lt;&gt;""))&gt;0,'T_SelfStock'!BD26+'T_TTAFStock'!BD26,BC22+'Grid_Incoming'!BD22-'Grid_Requirement'!BD22))</f>
        <v/>
      </c>
      <c r="BE22">
        <f>IF(COUNTIFS(T_StockCount[Part Name],$A22,T_StockCount[WeekIndex],56)&gt;0,SUMIFS(T_StockCount[CountedQty],T_StockCount[Part Name],$A22,T_StockCount[WeekIndex],56),IF((('T_SelfStock'!BE26&lt;&gt;""))*(('T_TTAFStock'!BE26&lt;&gt;""))&gt;0,'T_SelfStock'!BE26+'T_TTAFStock'!BE26,BD22+'Grid_Incoming'!BE22-'Grid_Requirement'!BE22))</f>
        <v/>
      </c>
      <c r="BF22">
        <f>IF(COUNTIFS(T_StockCount[Part Name],$A22,T_StockCount[WeekIndex],57)&gt;0,SUMIFS(T_StockCount[CountedQty],T_StockCount[Part Name],$A22,T_StockCount[WeekIndex],57),IF((('T_SelfStock'!BF26&lt;&gt;""))*(('T_TTAFStock'!BF26&lt;&gt;""))&gt;0,'T_SelfStock'!BF26+'T_TTAFStock'!BF26,BE22+'Grid_Incoming'!BF22-'Grid_Requirement'!BF22))</f>
        <v/>
      </c>
      <c r="BG22">
        <f>IF(COUNTIFS(T_StockCount[Part Name],$A22,T_StockCount[WeekIndex],58)&gt;0,SUMIFS(T_StockCount[CountedQty],T_StockCount[Part Name],$A22,T_StockCount[WeekIndex],58),IF((('T_SelfStock'!BG26&lt;&gt;""))*(('T_TTAFStock'!BG26&lt;&gt;""))&gt;0,'T_SelfStock'!BG26+'T_TTAFStock'!BG26,BF22+'Grid_Incoming'!BG22-'Grid_Requirement'!BG22))</f>
        <v/>
      </c>
      <c r="BH22">
        <f>IF(COUNTIFS(T_StockCount[Part Name],$A22,T_StockCount[WeekIndex],59)&gt;0,SUMIFS(T_StockCount[CountedQty],T_StockCount[Part Name],$A22,T_StockCount[WeekIndex],59),IF((('T_SelfStock'!BH26&lt;&gt;""))*(('T_TTAFStock'!BH26&lt;&gt;""))&gt;0,'T_SelfStock'!BH26+'T_TTAFStock'!BH26,BG22+'Grid_Incoming'!BH22-'Grid_Requirement'!BH22))</f>
        <v/>
      </c>
      <c r="BI22">
        <f>IF(COUNTIFS(T_StockCount[Part Name],$A22,T_StockCount[WeekIndex],60)&gt;0,SUMIFS(T_StockCount[CountedQty],T_StockCount[Part Name],$A22,T_StockCount[WeekIndex],60),IF((('T_SelfStock'!BI26&lt;&gt;""))*(('T_TTAFStock'!BI26&lt;&gt;""))&gt;0,'T_SelfStock'!BI26+'T_TTAFStock'!BI26,BH22+'Grid_Incoming'!BI22-'Grid_Requirement'!BI22))</f>
        <v/>
      </c>
      <c r="BJ22">
        <f>IF(COUNTIFS(T_StockCount[Part Name],$A22,T_StockCount[WeekIndex],61)&gt;0,SUMIFS(T_StockCount[CountedQty],T_StockCount[Part Name],$A22,T_StockCount[WeekIndex],61),IF((('T_SelfStock'!BJ26&lt;&gt;""))*(('T_TTAFStock'!BJ26&lt;&gt;""))&gt;0,'T_SelfStock'!BJ26+'T_TTAFStock'!BJ26,BI22+'Grid_Incoming'!BJ22-'Grid_Requirement'!BJ22))</f>
        <v/>
      </c>
      <c r="BK22">
        <f>IF(COUNTIFS(T_StockCount[Part Name],$A22,T_StockCount[WeekIndex],62)&gt;0,SUMIFS(T_StockCount[CountedQty],T_StockCount[Part Name],$A22,T_StockCount[WeekIndex],62),IF((('T_SelfStock'!BK26&lt;&gt;""))*(('T_TTAFStock'!BK26&lt;&gt;""))&gt;0,'T_SelfStock'!BK26+'T_TTAFStock'!BK26,BJ22+'Grid_Incoming'!BK22-'Grid_Requirement'!BK22))</f>
        <v/>
      </c>
      <c r="BL22">
        <f>IF(COUNTIFS(T_StockCount[Part Name],$A22,T_StockCount[WeekIndex],63)&gt;0,SUMIFS(T_StockCount[CountedQty],T_StockCount[Part Name],$A22,T_StockCount[WeekIndex],63),IF((('T_SelfStock'!BL26&lt;&gt;""))*(('T_TTAFStock'!BL26&lt;&gt;""))&gt;0,'T_SelfStock'!BL26+'T_TTAFStock'!BL26,BK22+'Grid_Incoming'!BL22-'Grid_Requirement'!BL22))</f>
        <v/>
      </c>
      <c r="BM22">
        <f>IF(COUNTIFS(T_StockCount[Part Name],$A22,T_StockCount[WeekIndex],64)&gt;0,SUMIFS(T_StockCount[CountedQty],T_StockCount[Part Name],$A22,T_StockCount[WeekIndex],64),IF((('T_SelfStock'!BM26&lt;&gt;""))*(('T_TTAFStock'!BM26&lt;&gt;""))&gt;0,'T_SelfStock'!BM26+'T_TTAFStock'!BM26,BL22+'Grid_Incoming'!BM22-'Grid_Requirement'!BM22))</f>
        <v/>
      </c>
      <c r="BN22">
        <f>IF(COUNTIFS(T_StockCount[Part Name],$A22,T_StockCount[WeekIndex],65)&gt;0,SUMIFS(T_StockCount[CountedQty],T_StockCount[Part Name],$A22,T_StockCount[WeekIndex],65),IF((('T_SelfStock'!BN26&lt;&gt;""))*(('T_TTAFStock'!BN26&lt;&gt;""))&gt;0,'T_SelfStock'!BN26+'T_TTAFStock'!BN26,BM22+'Grid_Incoming'!BN22-'Grid_Requirement'!BN22))</f>
        <v/>
      </c>
      <c r="BO22">
        <f>IF(COUNTIFS(T_StockCount[Part Name],$A22,T_StockCount[WeekIndex],66)&gt;0,SUMIFS(T_StockCount[CountedQty],T_StockCount[Part Name],$A22,T_StockCount[WeekIndex],66),IF((('T_SelfStock'!BO26&lt;&gt;""))*(('T_TTAFStock'!BO26&lt;&gt;""))&gt;0,'T_SelfStock'!BO26+'T_TTAFStock'!BO26,BN22+'Grid_Incoming'!BO22-'Grid_Requirement'!BO22))</f>
        <v/>
      </c>
      <c r="BP22">
        <f>IF(COUNTIFS(T_StockCount[Part Name],$A22,T_StockCount[WeekIndex],67)&gt;0,SUMIFS(T_StockCount[CountedQty],T_StockCount[Part Name],$A22,T_StockCount[WeekIndex],67),IF((('T_SelfStock'!BP26&lt;&gt;""))*(('T_TTAFStock'!BP26&lt;&gt;""))&gt;0,'T_SelfStock'!BP26+'T_TTAFStock'!BP26,BO22+'Grid_Incoming'!BP22-'Grid_Requirement'!BP22))</f>
        <v/>
      </c>
      <c r="BQ22">
        <f>IF(COUNTIFS(T_StockCount[Part Name],$A22,T_StockCount[WeekIndex],68)&gt;0,SUMIFS(T_StockCount[CountedQty],T_StockCount[Part Name],$A22,T_StockCount[WeekIndex],68),IF((('T_SelfStock'!BQ26&lt;&gt;""))*(('T_TTAFStock'!BQ26&lt;&gt;""))&gt;0,'T_SelfStock'!BQ26+'T_TTAFStock'!BQ26,BP22+'Grid_Incoming'!BQ22-'Grid_Requirement'!BQ22))</f>
        <v/>
      </c>
      <c r="BR22">
        <f>IF(COUNTIFS(T_StockCount[Part Name],$A22,T_StockCount[WeekIndex],69)&gt;0,SUMIFS(T_StockCount[CountedQty],T_StockCount[Part Name],$A22,T_StockCount[WeekIndex],69),IF((('T_SelfStock'!BR26&lt;&gt;""))*(('T_TTAFStock'!BR26&lt;&gt;""))&gt;0,'T_SelfStock'!BR26+'T_TTAFStock'!BR26,BQ22+'Grid_Incoming'!BR22-'Grid_Requirement'!BR22))</f>
        <v/>
      </c>
      <c r="BS22">
        <f>IF(COUNTIFS(T_StockCount[Part Name],$A22,T_StockCount[WeekIndex],70)&gt;0,SUMIFS(T_StockCount[CountedQty],T_StockCount[Part Name],$A22,T_StockCount[WeekIndex],70),IF((('T_SelfStock'!BS26&lt;&gt;""))*(('T_TTAFStock'!BS26&lt;&gt;""))&gt;0,'T_SelfStock'!BS26+'T_TTAFStock'!BS26,BR22+'Grid_Incoming'!BS22-'Grid_Requirement'!BS22))</f>
        <v/>
      </c>
      <c r="BT22">
        <f>IF(COUNTIFS(T_StockCount[Part Name],$A22,T_StockCount[WeekIndex],71)&gt;0,SUMIFS(T_StockCount[CountedQty],T_StockCount[Part Name],$A22,T_StockCount[WeekIndex],71),IF((('T_SelfStock'!BT26&lt;&gt;""))*(('T_TTAFStock'!BT26&lt;&gt;""))&gt;0,'T_SelfStock'!BT26+'T_TTAFStock'!BT26,BS22+'Grid_Incoming'!BT22-'Grid_Requirement'!BT22))</f>
        <v/>
      </c>
      <c r="BU22">
        <f>IF(COUNTIFS(T_StockCount[Part Name],$A22,T_StockCount[WeekIndex],72)&gt;0,SUMIFS(T_StockCount[CountedQty],T_StockCount[Part Name],$A22,T_StockCount[WeekIndex],72),IF((('T_SelfStock'!BU26&lt;&gt;""))*(('T_TTAFStock'!BU26&lt;&gt;""))&gt;0,'T_SelfStock'!BU26+'T_TTAFStock'!BU26,BT22+'Grid_Incoming'!BU22-'Grid_Requirement'!BU22))</f>
        <v/>
      </c>
      <c r="BV22">
        <f>IF(COUNTIFS(T_StockCount[Part Name],$A22,T_StockCount[WeekIndex],73)&gt;0,SUMIFS(T_StockCount[CountedQty],T_StockCount[Part Name],$A22,T_StockCount[WeekIndex],73),IF((('T_SelfStock'!BV26&lt;&gt;""))*(('T_TTAFStock'!BV26&lt;&gt;""))&gt;0,'T_SelfStock'!BV26+'T_TTAFStock'!BV26,BU22+'Grid_Incoming'!BV22-'Grid_Requirement'!BV22))</f>
        <v/>
      </c>
      <c r="BW22">
        <f>IF(COUNTIFS(T_StockCount[Part Name],$A22,T_StockCount[WeekIndex],74)&gt;0,SUMIFS(T_StockCount[CountedQty],T_StockCount[Part Name],$A22,T_StockCount[WeekIndex],74),IF((('T_SelfStock'!BW26&lt;&gt;""))*(('T_TTAFStock'!BW26&lt;&gt;""))&gt;0,'T_SelfStock'!BW26+'T_TTAFStock'!BW26,BV22+'Grid_Incoming'!BW22-'Grid_Requirement'!BW22))</f>
        <v/>
      </c>
      <c r="BX22">
        <f>IF(COUNTIFS(T_StockCount[Part Name],$A22,T_StockCount[WeekIndex],75)&gt;0,SUMIFS(T_StockCount[CountedQty],T_StockCount[Part Name],$A22,T_StockCount[WeekIndex],75),IF((('T_SelfStock'!BX26&lt;&gt;""))*(('T_TTAFStock'!BX26&lt;&gt;""))&gt;0,'T_SelfStock'!BX26+'T_TTAFStock'!BX26,BW22+'Grid_Incoming'!BX22-'Grid_Requirement'!BX22))</f>
        <v/>
      </c>
      <c r="BY22">
        <f>IF(COUNTIFS(T_StockCount[Part Name],$A22,T_StockCount[WeekIndex],76)&gt;0,SUMIFS(T_StockCount[CountedQty],T_StockCount[Part Name],$A22,T_StockCount[WeekIndex],76),IF((('T_SelfStock'!BY26&lt;&gt;""))*(('T_TTAFStock'!BY26&lt;&gt;""))&gt;0,'T_SelfStock'!BY26+'T_TTAFStock'!BY26,BX22+'Grid_Incoming'!BY22-'Grid_Requirement'!BY22))</f>
        <v/>
      </c>
      <c r="BZ22">
        <f>IF(COUNTIFS(T_StockCount[Part Name],$A22,T_StockCount[WeekIndex],77)&gt;0,SUMIFS(T_StockCount[CountedQty],T_StockCount[Part Name],$A22,T_StockCount[WeekIndex],77),IF((('T_SelfStock'!BZ26&lt;&gt;""))*(('T_TTAFStock'!BZ26&lt;&gt;""))&gt;0,'T_SelfStock'!BZ26+'T_TTAFStock'!BZ26,BY22+'Grid_Incoming'!BZ22-'Grid_Requirement'!BZ22))</f>
        <v/>
      </c>
      <c r="CA22">
        <f>IF(COUNTIFS(T_StockCount[Part Name],$A22,T_StockCount[WeekIndex],78)&gt;0,SUMIFS(T_StockCount[CountedQty],T_StockCount[Part Name],$A22,T_StockCount[WeekIndex],78),IF((('T_SelfStock'!CA26&lt;&gt;""))*(('T_TTAFStock'!CA26&lt;&gt;""))&gt;0,'T_SelfStock'!CA26+'T_TTAFStock'!CA26,BZ22+'Grid_Incoming'!CA22-'Grid_Requirement'!CA22))</f>
        <v/>
      </c>
      <c r="CB22">
        <f>IF(COUNTIFS(T_StockCount[Part Name],$A22,T_StockCount[WeekIndex],79)&gt;0,SUMIFS(T_StockCount[CountedQty],T_StockCount[Part Name],$A22,T_StockCount[WeekIndex],79),IF((('T_SelfStock'!CB26&lt;&gt;""))*(('T_TTAFStock'!CB26&lt;&gt;""))&gt;0,'T_SelfStock'!CB26+'T_TTAFStock'!CB26,CA22+'Grid_Incoming'!CB22-'Grid_Requirement'!CB22))</f>
        <v/>
      </c>
      <c r="CC22">
        <f>IF(COUNTIFS(T_StockCount[Part Name],$A22,T_StockCount[WeekIndex],80)&gt;0,SUMIFS(T_StockCount[CountedQty],T_StockCount[Part Name],$A22,T_StockCount[WeekIndex],80),IF((('T_SelfStock'!CC26&lt;&gt;""))*(('T_TTAFStock'!CC26&lt;&gt;""))&gt;0,'T_SelfStock'!CC26+'T_TTAFStock'!CC26,CB22+'Grid_Incoming'!CC22-'Grid_Requirement'!CC22))</f>
        <v/>
      </c>
      <c r="CD22">
        <f>IF(COUNTIFS(T_StockCount[Part Name],$A22,T_StockCount[WeekIndex],81)&gt;0,SUMIFS(T_StockCount[CountedQty],T_StockCount[Part Name],$A22,T_StockCount[WeekIndex],81),IF((('T_SelfStock'!CD26&lt;&gt;""))*(('T_TTAFStock'!CD26&lt;&gt;""))&gt;0,'T_SelfStock'!CD26+'T_TTAFStock'!CD26,CC22+'Grid_Incoming'!CD22-'Grid_Requirement'!CD22))</f>
        <v/>
      </c>
      <c r="CE22">
        <f>IF(COUNTIFS(T_StockCount[Part Name],$A22,T_StockCount[WeekIndex],82)&gt;0,SUMIFS(T_StockCount[CountedQty],T_StockCount[Part Name],$A22,T_StockCount[WeekIndex],82),IF((('T_SelfStock'!CE26&lt;&gt;""))*(('T_TTAFStock'!CE26&lt;&gt;""))&gt;0,'T_SelfStock'!CE26+'T_TTAFStock'!CE26,CD22+'Grid_Incoming'!CE22-'Grid_Requirement'!CE22))</f>
        <v/>
      </c>
      <c r="CF22">
        <f>IF(COUNTIFS(T_StockCount[Part Name],$A22,T_StockCount[WeekIndex],83)&gt;0,SUMIFS(T_StockCount[CountedQty],T_StockCount[Part Name],$A22,T_StockCount[WeekIndex],83),IF((('T_SelfStock'!CF26&lt;&gt;""))*(('T_TTAFStock'!CF26&lt;&gt;""))&gt;0,'T_SelfStock'!CF26+'T_TTAFStock'!CF26,CE22+'Grid_Incoming'!CF22-'Grid_Requirement'!CF22))</f>
        <v/>
      </c>
      <c r="CG22">
        <f>IF(COUNTIFS(T_StockCount[Part Name],$A22,T_StockCount[WeekIndex],84)&gt;0,SUMIFS(T_StockCount[CountedQty],T_StockCount[Part Name],$A22,T_StockCount[WeekIndex],84),IF((('T_SelfStock'!CG26&lt;&gt;""))*(('T_TTAFStock'!CG26&lt;&gt;""))&gt;0,'T_SelfStock'!CG26+'T_TTAFStock'!CG26,CF22+'Grid_Incoming'!CG22-'Grid_Requirement'!CG22))</f>
        <v/>
      </c>
      <c r="CH22">
        <f>IF(COUNTIFS(T_StockCount[Part Name],$A22,T_StockCount[WeekIndex],85)&gt;0,SUMIFS(T_StockCount[CountedQty],T_StockCount[Part Name],$A22,T_StockCount[WeekIndex],85),IF((('T_SelfStock'!CH26&lt;&gt;""))*(('T_TTAFStock'!CH26&lt;&gt;""))&gt;0,'T_SelfStock'!CH26+'T_TTAFStock'!CH26,CG22+'Grid_Incoming'!CH22-'Grid_Requirement'!CH22))</f>
        <v/>
      </c>
      <c r="CI22">
        <f>IF(COUNTIFS(T_StockCount[Part Name],$A22,T_StockCount[WeekIndex],86)&gt;0,SUMIFS(T_StockCount[CountedQty],T_StockCount[Part Name],$A22,T_StockCount[WeekIndex],86),IF((('T_SelfStock'!CI26&lt;&gt;""))*(('T_TTAFStock'!CI26&lt;&gt;""))&gt;0,'T_SelfStock'!CI26+'T_TTAFStock'!CI26,CH22+'Grid_Incoming'!CI22-'Grid_Requirement'!CI22))</f>
        <v/>
      </c>
      <c r="CJ22">
        <f>IF(COUNTIFS(T_StockCount[Part Name],$A22,T_StockCount[WeekIndex],87)&gt;0,SUMIFS(T_StockCount[CountedQty],T_StockCount[Part Name],$A22,T_StockCount[WeekIndex],87),IF((('T_SelfStock'!CJ26&lt;&gt;""))*(('T_TTAFStock'!CJ26&lt;&gt;""))&gt;0,'T_SelfStock'!CJ26+'T_TTAFStock'!CJ26,CI22+'Grid_Incoming'!CJ22-'Grid_Requirement'!CJ22))</f>
        <v/>
      </c>
      <c r="CK22">
        <f>IF(COUNTIFS(T_StockCount[Part Name],$A22,T_StockCount[WeekIndex],88)&gt;0,SUMIFS(T_StockCount[CountedQty],T_StockCount[Part Name],$A22,T_StockCount[WeekIndex],88),IF((('T_SelfStock'!CK26&lt;&gt;""))*(('T_TTAFStock'!CK26&lt;&gt;""))&gt;0,'T_SelfStock'!CK26+'T_TTAFStock'!CK26,CJ22+'Grid_Incoming'!CK22-'Grid_Requirement'!CK22))</f>
        <v/>
      </c>
      <c r="CL22">
        <f>IF(COUNTIFS(T_StockCount[Part Name],$A22,T_StockCount[WeekIndex],89)&gt;0,SUMIFS(T_StockCount[CountedQty],T_StockCount[Part Name],$A22,T_StockCount[WeekIndex],89),IF((('T_SelfStock'!CL26&lt;&gt;""))*(('T_TTAFStock'!CL26&lt;&gt;""))&gt;0,'T_SelfStock'!CL26+'T_TTAFStock'!CL26,CK22+'Grid_Incoming'!CL22-'Grid_Requirement'!CL22))</f>
        <v/>
      </c>
      <c r="CM22">
        <f>IF(COUNTIFS(T_StockCount[Part Name],$A22,T_StockCount[WeekIndex],90)&gt;0,SUMIFS(T_StockCount[CountedQty],T_StockCount[Part Name],$A22,T_StockCount[WeekIndex],90),IF((('T_SelfStock'!CM26&lt;&gt;""))*(('T_TTAFStock'!CM26&lt;&gt;""))&gt;0,'T_SelfStock'!CM26+'T_TTAFStock'!CM26,CL22+'Grid_Incoming'!CM22-'Grid_Requirement'!CM22))</f>
        <v/>
      </c>
      <c r="CN22">
        <f>IF(COUNTIFS(T_StockCount[Part Name],$A22,T_StockCount[WeekIndex],91)&gt;0,SUMIFS(T_StockCount[CountedQty],T_StockCount[Part Name],$A22,T_StockCount[WeekIndex],91),IF((('T_SelfStock'!CN26&lt;&gt;""))*(('T_TTAFStock'!CN26&lt;&gt;""))&gt;0,'T_SelfStock'!CN26+'T_TTAFStock'!CN26,CM22+'Grid_Incoming'!CN22-'Grid_Requirement'!CN22))</f>
        <v/>
      </c>
      <c r="CO22">
        <f>IF(COUNTIFS(T_StockCount[Part Name],$A22,T_StockCount[WeekIndex],92)&gt;0,SUMIFS(T_StockCount[CountedQty],T_StockCount[Part Name],$A22,T_StockCount[WeekIndex],92),IF((('T_SelfStock'!CO26&lt;&gt;""))*(('T_TTAFStock'!CO26&lt;&gt;""))&gt;0,'T_SelfStock'!CO26+'T_TTAFStock'!CO26,CN22+'Grid_Incoming'!CO22-'Grid_Requirement'!CO22))</f>
        <v/>
      </c>
      <c r="CP22">
        <f>IF(COUNTIFS(T_StockCount[Part Name],$A22,T_StockCount[WeekIndex],93)&gt;0,SUMIFS(T_StockCount[CountedQty],T_StockCount[Part Name],$A22,T_StockCount[WeekIndex],93),IF((('T_SelfStock'!CP26&lt;&gt;""))*(('T_TTAFStock'!CP26&lt;&gt;""))&gt;0,'T_SelfStock'!CP26+'T_TTAFStock'!CP26,CO22+'Grid_Incoming'!CP22-'Grid_Requirement'!CP22))</f>
        <v/>
      </c>
      <c r="CQ22">
        <f>IF(COUNTIFS(T_StockCount[Part Name],$A22,T_StockCount[WeekIndex],94)&gt;0,SUMIFS(T_StockCount[CountedQty],T_StockCount[Part Name],$A22,T_StockCount[WeekIndex],94),IF((('T_SelfStock'!CQ26&lt;&gt;""))*(('T_TTAFStock'!CQ26&lt;&gt;""))&gt;0,'T_SelfStock'!CQ26+'T_TTAFStock'!CQ26,CP22+'Grid_Incoming'!CQ22-'Grid_Requirement'!CQ22))</f>
        <v/>
      </c>
      <c r="CR22">
        <f>IF(COUNTIFS(T_StockCount[Part Name],$A22,T_StockCount[WeekIndex],95)&gt;0,SUMIFS(T_StockCount[CountedQty],T_StockCount[Part Name],$A22,T_StockCount[WeekIndex],95),IF((('T_SelfStock'!CR26&lt;&gt;""))*(('T_TTAFStock'!CR26&lt;&gt;""))&gt;0,'T_SelfStock'!CR26+'T_TTAFStock'!CR26,CQ22+'Grid_Incoming'!CR22-'Grid_Requirement'!CR22))</f>
        <v/>
      </c>
      <c r="CS22">
        <f>IF(COUNTIFS(T_StockCount[Part Name],$A22,T_StockCount[WeekIndex],96)&gt;0,SUMIFS(T_StockCount[CountedQty],T_StockCount[Part Name],$A22,T_StockCount[WeekIndex],96),IF((('T_SelfStock'!CS26&lt;&gt;""))*(('T_TTAFStock'!CS26&lt;&gt;""))&gt;0,'T_SelfStock'!CS26+'T_TTAFStock'!CS26,CR22+'Grid_Incoming'!CS22-'Grid_Requirement'!CS22))</f>
        <v/>
      </c>
      <c r="CT22">
        <f>IF(COUNTIFS(T_StockCount[Part Name],$A22,T_StockCount[WeekIndex],97)&gt;0,SUMIFS(T_StockCount[CountedQty],T_StockCount[Part Name],$A22,T_StockCount[WeekIndex],97),IF((('T_SelfStock'!CT26&lt;&gt;""))*(('T_TTAFStock'!CT26&lt;&gt;""))&gt;0,'T_SelfStock'!CT26+'T_TTAFStock'!CT26,CS22+'Grid_Incoming'!CT22-'Grid_Requirement'!CT22))</f>
        <v/>
      </c>
      <c r="CU22">
        <f>IF(COUNTIFS(T_StockCount[Part Name],$A22,T_StockCount[WeekIndex],98)&gt;0,SUMIFS(T_StockCount[CountedQty],T_StockCount[Part Name],$A22,T_StockCount[WeekIndex],98),IF((('T_SelfStock'!CU26&lt;&gt;""))*(('T_TTAFStock'!CU26&lt;&gt;""))&gt;0,'T_SelfStock'!CU26+'T_TTAFStock'!CU26,CT22+'Grid_Incoming'!CU22-'Grid_Requirement'!CU22))</f>
        <v/>
      </c>
      <c r="CV22">
        <f>IF(COUNTIFS(T_StockCount[Part Name],$A22,T_StockCount[WeekIndex],99)&gt;0,SUMIFS(T_StockCount[CountedQty],T_StockCount[Part Name],$A22,T_StockCount[WeekIndex],99),IF((('T_SelfStock'!CV26&lt;&gt;""))*(('T_TTAFStock'!CV26&lt;&gt;""))&gt;0,'T_SelfStock'!CV26+'T_TTAFStock'!CV26,CU22+'Grid_Incoming'!CV22-'Grid_Requirement'!CV22))</f>
        <v/>
      </c>
      <c r="CW22">
        <f>IF(COUNTIFS(T_StockCount[Part Name],$A22,T_StockCount[WeekIndex],100)&gt;0,SUMIFS(T_StockCount[CountedQty],T_StockCount[Part Name],$A22,T_StockCount[WeekIndex],100),IF((('T_SelfStock'!CW26&lt;&gt;""))*(('T_TTAFStock'!CW26&lt;&gt;""))&gt;0,'T_SelfStock'!CW26+'T_TTAFStock'!CW26,CV22+'Grid_Incoming'!CW22-'Grid_Requirement'!CW22))</f>
        <v/>
      </c>
      <c r="CX22">
        <f>IF(COUNTIFS(T_StockCount[Part Name],$A22,T_StockCount[WeekIndex],101)&gt;0,SUMIFS(T_StockCount[CountedQty],T_StockCount[Part Name],$A22,T_StockCount[WeekIndex],101),IF((('T_SelfStock'!CX26&lt;&gt;""))*(('T_TTAFStock'!CX26&lt;&gt;""))&gt;0,'T_SelfStock'!CX26+'T_TTAFStock'!CX26,CW22+'Grid_Incoming'!CX22-'Grid_Requirement'!CX22))</f>
        <v/>
      </c>
      <c r="CY22">
        <f>IF(COUNTIFS(T_StockCount[Part Name],$A22,T_StockCount[WeekIndex],102)&gt;0,SUMIFS(T_StockCount[CountedQty],T_StockCount[Part Name],$A22,T_StockCount[WeekIndex],102),IF((('T_SelfStock'!CY26&lt;&gt;""))*(('T_TTAFStock'!CY26&lt;&gt;""))&gt;0,'T_SelfStock'!CY26+'T_TTAFStock'!CY26,CX22+'Grid_Incoming'!CY22-'Grid_Requirement'!CY22))</f>
        <v/>
      </c>
      <c r="CZ22">
        <f>IF(COUNTIFS(T_StockCount[Part Name],$A22,T_StockCount[WeekIndex],103)&gt;0,SUMIFS(T_StockCount[CountedQty],T_StockCount[Part Name],$A22,T_StockCount[WeekIndex],103),IF((('T_SelfStock'!CZ26&lt;&gt;""))*(('T_TTAFStock'!CZ26&lt;&gt;""))&gt;0,'T_SelfStock'!CZ26+'T_TTAFStock'!CZ26,CY22+'Grid_Incoming'!CZ22-'Grid_Requirement'!CZ22))</f>
        <v/>
      </c>
      <c r="DA22">
        <f>IF(COUNTIFS(T_StockCount[Part Name],$A22,T_StockCount[WeekIndex],104)&gt;0,SUMIFS(T_StockCount[CountedQty],T_StockCount[Part Name],$A22,T_StockCount[WeekIndex],104),IF((('T_SelfStock'!DA26&lt;&gt;""))*(('T_TTAFStock'!DA26&lt;&gt;""))&gt;0,'T_SelfStock'!DA26+'T_TTAFStock'!DA26,CZ22+'Grid_Incoming'!DA22-'Grid_Requirement'!DA22))</f>
        <v/>
      </c>
    </row>
    <row r="23">
      <c r="A23" t="inlineStr">
        <is>
          <t>CHEM-1760</t>
        </is>
      </c>
      <c r="B23">
        <f>IF(COUNTIFS(T_StockCount[Part Name],$A23,T_StockCount[WeekIndex],1)&gt;0,SUMIFS(T_StockCount[CountedQty],T_StockCount[Part Name],$A23,T_StockCount[WeekIndex],1),IF((('T_SelfStock'!B27&lt;&gt;""))*(('T_TTAFStock'!B27&lt;&gt;""))&gt;0,'T_SelfStock'!B27+'T_TTAFStock'!B27,IFERROR(INDEX(T_OpeningStock[Opening_Qty],MATCH($A23,T_OpeningStock[Part Name],0)),0)+'Grid_Incoming'!B23-'Grid_Requirement'!B23))</f>
        <v/>
      </c>
      <c r="C23">
        <f>IF(COUNTIFS(T_StockCount[Part Name],$A23,T_StockCount[WeekIndex],2)&gt;0,SUMIFS(T_StockCount[CountedQty],T_StockCount[Part Name],$A23,T_StockCount[WeekIndex],2),IF((('T_SelfStock'!C27&lt;&gt;""))*(('T_TTAFStock'!C27&lt;&gt;""))&gt;0,'T_SelfStock'!C27+'T_TTAFStock'!C27,B23+'Grid_Incoming'!C23-'Grid_Requirement'!C23))</f>
        <v/>
      </c>
      <c r="D23">
        <f>IF(COUNTIFS(T_StockCount[Part Name],$A23,T_StockCount[WeekIndex],3)&gt;0,SUMIFS(T_StockCount[CountedQty],T_StockCount[Part Name],$A23,T_StockCount[WeekIndex],3),IF((('T_SelfStock'!D27&lt;&gt;""))*(('T_TTAFStock'!D27&lt;&gt;""))&gt;0,'T_SelfStock'!D27+'T_TTAFStock'!D27,C23+'Grid_Incoming'!D23-'Grid_Requirement'!D23))</f>
        <v/>
      </c>
      <c r="E23">
        <f>IF(COUNTIFS(T_StockCount[Part Name],$A23,T_StockCount[WeekIndex],4)&gt;0,SUMIFS(T_StockCount[CountedQty],T_StockCount[Part Name],$A23,T_StockCount[WeekIndex],4),IF((('T_SelfStock'!E27&lt;&gt;""))*(('T_TTAFStock'!E27&lt;&gt;""))&gt;0,'T_SelfStock'!E27+'T_TTAFStock'!E27,D23+'Grid_Incoming'!E23-'Grid_Requirement'!E23))</f>
        <v/>
      </c>
      <c r="F23">
        <f>IF(COUNTIFS(T_StockCount[Part Name],$A23,T_StockCount[WeekIndex],5)&gt;0,SUMIFS(T_StockCount[CountedQty],T_StockCount[Part Name],$A23,T_StockCount[WeekIndex],5),IF((('T_SelfStock'!F27&lt;&gt;""))*(('T_TTAFStock'!F27&lt;&gt;""))&gt;0,'T_SelfStock'!F27+'T_TTAFStock'!F27,E23+'Grid_Incoming'!F23-'Grid_Requirement'!F23))</f>
        <v/>
      </c>
      <c r="G23">
        <f>IF(COUNTIFS(T_StockCount[Part Name],$A23,T_StockCount[WeekIndex],6)&gt;0,SUMIFS(T_StockCount[CountedQty],T_StockCount[Part Name],$A23,T_StockCount[WeekIndex],6),IF((('T_SelfStock'!G27&lt;&gt;""))*(('T_TTAFStock'!G27&lt;&gt;""))&gt;0,'T_SelfStock'!G27+'T_TTAFStock'!G27,F23+'Grid_Incoming'!G23-'Grid_Requirement'!G23))</f>
        <v/>
      </c>
      <c r="H23">
        <f>IF(COUNTIFS(T_StockCount[Part Name],$A23,T_StockCount[WeekIndex],7)&gt;0,SUMIFS(T_StockCount[CountedQty],T_StockCount[Part Name],$A23,T_StockCount[WeekIndex],7),IF((('T_SelfStock'!H27&lt;&gt;""))*(('T_TTAFStock'!H27&lt;&gt;""))&gt;0,'T_SelfStock'!H27+'T_TTAFStock'!H27,G23+'Grid_Incoming'!H23-'Grid_Requirement'!H23))</f>
        <v/>
      </c>
      <c r="I23">
        <f>IF(COUNTIFS(T_StockCount[Part Name],$A23,T_StockCount[WeekIndex],8)&gt;0,SUMIFS(T_StockCount[CountedQty],T_StockCount[Part Name],$A23,T_StockCount[WeekIndex],8),IF((('T_SelfStock'!I27&lt;&gt;""))*(('T_TTAFStock'!I27&lt;&gt;""))&gt;0,'T_SelfStock'!I27+'T_TTAFStock'!I27,H23+'Grid_Incoming'!I23-'Grid_Requirement'!I23))</f>
        <v/>
      </c>
      <c r="J23">
        <f>IF(COUNTIFS(T_StockCount[Part Name],$A23,T_StockCount[WeekIndex],9)&gt;0,SUMIFS(T_StockCount[CountedQty],T_StockCount[Part Name],$A23,T_StockCount[WeekIndex],9),IF((('T_SelfStock'!J27&lt;&gt;""))*(('T_TTAFStock'!J27&lt;&gt;""))&gt;0,'T_SelfStock'!J27+'T_TTAFStock'!J27,I23+'Grid_Incoming'!J23-'Grid_Requirement'!J23))</f>
        <v/>
      </c>
      <c r="K23">
        <f>IF(COUNTIFS(T_StockCount[Part Name],$A23,T_StockCount[WeekIndex],10)&gt;0,SUMIFS(T_StockCount[CountedQty],T_StockCount[Part Name],$A23,T_StockCount[WeekIndex],10),IF((('T_SelfStock'!K27&lt;&gt;""))*(('T_TTAFStock'!K27&lt;&gt;""))&gt;0,'T_SelfStock'!K27+'T_TTAFStock'!K27,J23+'Grid_Incoming'!K23-'Grid_Requirement'!K23))</f>
        <v/>
      </c>
      <c r="L23">
        <f>IF(COUNTIFS(T_StockCount[Part Name],$A23,T_StockCount[WeekIndex],11)&gt;0,SUMIFS(T_StockCount[CountedQty],T_StockCount[Part Name],$A23,T_StockCount[WeekIndex],11),IF((('T_SelfStock'!L27&lt;&gt;""))*(('T_TTAFStock'!L27&lt;&gt;""))&gt;0,'T_SelfStock'!L27+'T_TTAFStock'!L27,K23+'Grid_Incoming'!L23-'Grid_Requirement'!L23))</f>
        <v/>
      </c>
      <c r="M23">
        <f>IF(COUNTIFS(T_StockCount[Part Name],$A23,T_StockCount[WeekIndex],12)&gt;0,SUMIFS(T_StockCount[CountedQty],T_StockCount[Part Name],$A23,T_StockCount[WeekIndex],12),IF((('T_SelfStock'!M27&lt;&gt;""))*(('T_TTAFStock'!M27&lt;&gt;""))&gt;0,'T_SelfStock'!M27+'T_TTAFStock'!M27,L23+'Grid_Incoming'!M23-'Grid_Requirement'!M23))</f>
        <v/>
      </c>
      <c r="N23">
        <f>IF(COUNTIFS(T_StockCount[Part Name],$A23,T_StockCount[WeekIndex],13)&gt;0,SUMIFS(T_StockCount[CountedQty],T_StockCount[Part Name],$A23,T_StockCount[WeekIndex],13),IF((('T_SelfStock'!N27&lt;&gt;""))*(('T_TTAFStock'!N27&lt;&gt;""))&gt;0,'T_SelfStock'!N27+'T_TTAFStock'!N27,M23+'Grid_Incoming'!N23-'Grid_Requirement'!N23))</f>
        <v/>
      </c>
      <c r="O23">
        <f>IF(COUNTIFS(T_StockCount[Part Name],$A23,T_StockCount[WeekIndex],14)&gt;0,SUMIFS(T_StockCount[CountedQty],T_StockCount[Part Name],$A23,T_StockCount[WeekIndex],14),IF((('T_SelfStock'!O27&lt;&gt;""))*(('T_TTAFStock'!O27&lt;&gt;""))&gt;0,'T_SelfStock'!O27+'T_TTAFStock'!O27,N23+'Grid_Incoming'!O23-'Grid_Requirement'!O23))</f>
        <v/>
      </c>
      <c r="P23">
        <f>IF(COUNTIFS(T_StockCount[Part Name],$A23,T_StockCount[WeekIndex],15)&gt;0,SUMIFS(T_StockCount[CountedQty],T_StockCount[Part Name],$A23,T_StockCount[WeekIndex],15),IF((('T_SelfStock'!P27&lt;&gt;""))*(('T_TTAFStock'!P27&lt;&gt;""))&gt;0,'T_SelfStock'!P27+'T_TTAFStock'!P27,O23+'Grid_Incoming'!P23-'Grid_Requirement'!P23))</f>
        <v/>
      </c>
      <c r="Q23">
        <f>IF(COUNTIFS(T_StockCount[Part Name],$A23,T_StockCount[WeekIndex],16)&gt;0,SUMIFS(T_StockCount[CountedQty],T_StockCount[Part Name],$A23,T_StockCount[WeekIndex],16),IF((('T_SelfStock'!Q27&lt;&gt;""))*(('T_TTAFStock'!Q27&lt;&gt;""))&gt;0,'T_SelfStock'!Q27+'T_TTAFStock'!Q27,P23+'Grid_Incoming'!Q23-'Grid_Requirement'!Q23))</f>
        <v/>
      </c>
      <c r="R23">
        <f>IF(COUNTIFS(T_StockCount[Part Name],$A23,T_StockCount[WeekIndex],17)&gt;0,SUMIFS(T_StockCount[CountedQty],T_StockCount[Part Name],$A23,T_StockCount[WeekIndex],17),IF((('T_SelfStock'!R27&lt;&gt;""))*(('T_TTAFStock'!R27&lt;&gt;""))&gt;0,'T_SelfStock'!R27+'T_TTAFStock'!R27,Q23+'Grid_Incoming'!R23-'Grid_Requirement'!R23))</f>
        <v/>
      </c>
      <c r="S23">
        <f>IF(COUNTIFS(T_StockCount[Part Name],$A23,T_StockCount[WeekIndex],18)&gt;0,SUMIFS(T_StockCount[CountedQty],T_StockCount[Part Name],$A23,T_StockCount[WeekIndex],18),IF((('T_SelfStock'!S27&lt;&gt;""))*(('T_TTAFStock'!S27&lt;&gt;""))&gt;0,'T_SelfStock'!S27+'T_TTAFStock'!S27,R23+'Grid_Incoming'!S23-'Grid_Requirement'!S23))</f>
        <v/>
      </c>
      <c r="T23">
        <f>IF(COUNTIFS(T_StockCount[Part Name],$A23,T_StockCount[WeekIndex],19)&gt;0,SUMIFS(T_StockCount[CountedQty],T_StockCount[Part Name],$A23,T_StockCount[WeekIndex],19),IF((('T_SelfStock'!T27&lt;&gt;""))*(('T_TTAFStock'!T27&lt;&gt;""))&gt;0,'T_SelfStock'!T27+'T_TTAFStock'!T27,S23+'Grid_Incoming'!T23-'Grid_Requirement'!T23))</f>
        <v/>
      </c>
      <c r="U23">
        <f>IF(COUNTIFS(T_StockCount[Part Name],$A23,T_StockCount[WeekIndex],20)&gt;0,SUMIFS(T_StockCount[CountedQty],T_StockCount[Part Name],$A23,T_StockCount[WeekIndex],20),IF((('T_SelfStock'!U27&lt;&gt;""))*(('T_TTAFStock'!U27&lt;&gt;""))&gt;0,'T_SelfStock'!U27+'T_TTAFStock'!U27,T23+'Grid_Incoming'!U23-'Grid_Requirement'!U23))</f>
        <v/>
      </c>
      <c r="V23">
        <f>IF(COUNTIFS(T_StockCount[Part Name],$A23,T_StockCount[WeekIndex],21)&gt;0,SUMIFS(T_StockCount[CountedQty],T_StockCount[Part Name],$A23,T_StockCount[WeekIndex],21),IF((('T_SelfStock'!V27&lt;&gt;""))*(('T_TTAFStock'!V27&lt;&gt;""))&gt;0,'T_SelfStock'!V27+'T_TTAFStock'!V27,U23+'Grid_Incoming'!V23-'Grid_Requirement'!V23))</f>
        <v/>
      </c>
      <c r="W23">
        <f>IF(COUNTIFS(T_StockCount[Part Name],$A23,T_StockCount[WeekIndex],22)&gt;0,SUMIFS(T_StockCount[CountedQty],T_StockCount[Part Name],$A23,T_StockCount[WeekIndex],22),IF((('T_SelfStock'!W27&lt;&gt;""))*(('T_TTAFStock'!W27&lt;&gt;""))&gt;0,'T_SelfStock'!W27+'T_TTAFStock'!W27,V23+'Grid_Incoming'!W23-'Grid_Requirement'!W23))</f>
        <v/>
      </c>
      <c r="X23">
        <f>IF(COUNTIFS(T_StockCount[Part Name],$A23,T_StockCount[WeekIndex],23)&gt;0,SUMIFS(T_StockCount[CountedQty],T_StockCount[Part Name],$A23,T_StockCount[WeekIndex],23),IF((('T_SelfStock'!X27&lt;&gt;""))*(('T_TTAFStock'!X27&lt;&gt;""))&gt;0,'T_SelfStock'!X27+'T_TTAFStock'!X27,W23+'Grid_Incoming'!X23-'Grid_Requirement'!X23))</f>
        <v/>
      </c>
      <c r="Y23">
        <f>IF(COUNTIFS(T_StockCount[Part Name],$A23,T_StockCount[WeekIndex],24)&gt;0,SUMIFS(T_StockCount[CountedQty],T_StockCount[Part Name],$A23,T_StockCount[WeekIndex],24),IF((('T_SelfStock'!Y27&lt;&gt;""))*(('T_TTAFStock'!Y27&lt;&gt;""))&gt;0,'T_SelfStock'!Y27+'T_TTAFStock'!Y27,X23+'Grid_Incoming'!Y23-'Grid_Requirement'!Y23))</f>
        <v/>
      </c>
      <c r="Z23">
        <f>IF(COUNTIFS(T_StockCount[Part Name],$A23,T_StockCount[WeekIndex],25)&gt;0,SUMIFS(T_StockCount[CountedQty],T_StockCount[Part Name],$A23,T_StockCount[WeekIndex],25),IF((('T_SelfStock'!Z27&lt;&gt;""))*(('T_TTAFStock'!Z27&lt;&gt;""))&gt;0,'T_SelfStock'!Z27+'T_TTAFStock'!Z27,Y23+'Grid_Incoming'!Z23-'Grid_Requirement'!Z23))</f>
        <v/>
      </c>
      <c r="AA23">
        <f>IF(COUNTIFS(T_StockCount[Part Name],$A23,T_StockCount[WeekIndex],26)&gt;0,SUMIFS(T_StockCount[CountedQty],T_StockCount[Part Name],$A23,T_StockCount[WeekIndex],26),IF((('T_SelfStock'!AA27&lt;&gt;""))*(('T_TTAFStock'!AA27&lt;&gt;""))&gt;0,'T_SelfStock'!AA27+'T_TTAFStock'!AA27,Z23+'Grid_Incoming'!AA23-'Grid_Requirement'!AA23))</f>
        <v/>
      </c>
      <c r="AB23">
        <f>IF(COUNTIFS(T_StockCount[Part Name],$A23,T_StockCount[WeekIndex],27)&gt;0,SUMIFS(T_StockCount[CountedQty],T_StockCount[Part Name],$A23,T_StockCount[WeekIndex],27),IF((('T_SelfStock'!AB27&lt;&gt;""))*(('T_TTAFStock'!AB27&lt;&gt;""))&gt;0,'T_SelfStock'!AB27+'T_TTAFStock'!AB27,AA23+'Grid_Incoming'!AB23-'Grid_Requirement'!AB23))</f>
        <v/>
      </c>
      <c r="AC23">
        <f>IF(COUNTIFS(T_StockCount[Part Name],$A23,T_StockCount[WeekIndex],28)&gt;0,SUMIFS(T_StockCount[CountedQty],T_StockCount[Part Name],$A23,T_StockCount[WeekIndex],28),IF((('T_SelfStock'!AC27&lt;&gt;""))*(('T_TTAFStock'!AC27&lt;&gt;""))&gt;0,'T_SelfStock'!AC27+'T_TTAFStock'!AC27,AB23+'Grid_Incoming'!AC23-'Grid_Requirement'!AC23))</f>
        <v/>
      </c>
      <c r="AD23">
        <f>IF(COUNTIFS(T_StockCount[Part Name],$A23,T_StockCount[WeekIndex],29)&gt;0,SUMIFS(T_StockCount[CountedQty],T_StockCount[Part Name],$A23,T_StockCount[WeekIndex],29),IF((('T_SelfStock'!AD27&lt;&gt;""))*(('T_TTAFStock'!AD27&lt;&gt;""))&gt;0,'T_SelfStock'!AD27+'T_TTAFStock'!AD27,AC23+'Grid_Incoming'!AD23-'Grid_Requirement'!AD23))</f>
        <v/>
      </c>
      <c r="AE23">
        <f>IF(COUNTIFS(T_StockCount[Part Name],$A23,T_StockCount[WeekIndex],30)&gt;0,SUMIFS(T_StockCount[CountedQty],T_StockCount[Part Name],$A23,T_StockCount[WeekIndex],30),IF((('T_SelfStock'!AE27&lt;&gt;""))*(('T_TTAFStock'!AE27&lt;&gt;""))&gt;0,'T_SelfStock'!AE27+'T_TTAFStock'!AE27,AD23+'Grid_Incoming'!AE23-'Grid_Requirement'!AE23))</f>
        <v/>
      </c>
      <c r="AF23">
        <f>IF(COUNTIFS(T_StockCount[Part Name],$A23,T_StockCount[WeekIndex],31)&gt;0,SUMIFS(T_StockCount[CountedQty],T_StockCount[Part Name],$A23,T_StockCount[WeekIndex],31),IF((('T_SelfStock'!AF27&lt;&gt;""))*(('T_TTAFStock'!AF27&lt;&gt;""))&gt;0,'T_SelfStock'!AF27+'T_TTAFStock'!AF27,AE23+'Grid_Incoming'!AF23-'Grid_Requirement'!AF23))</f>
        <v/>
      </c>
      <c r="AG23">
        <f>IF(COUNTIFS(T_StockCount[Part Name],$A23,T_StockCount[WeekIndex],32)&gt;0,SUMIFS(T_StockCount[CountedQty],T_StockCount[Part Name],$A23,T_StockCount[WeekIndex],32),IF((('T_SelfStock'!AG27&lt;&gt;""))*(('T_TTAFStock'!AG27&lt;&gt;""))&gt;0,'T_SelfStock'!AG27+'T_TTAFStock'!AG27,AF23+'Grid_Incoming'!AG23-'Grid_Requirement'!AG23))</f>
        <v/>
      </c>
      <c r="AH23">
        <f>IF(COUNTIFS(T_StockCount[Part Name],$A23,T_StockCount[WeekIndex],33)&gt;0,SUMIFS(T_StockCount[CountedQty],T_StockCount[Part Name],$A23,T_StockCount[WeekIndex],33),IF((('T_SelfStock'!AH27&lt;&gt;""))*(('T_TTAFStock'!AH27&lt;&gt;""))&gt;0,'T_SelfStock'!AH27+'T_TTAFStock'!AH27,AG23+'Grid_Incoming'!AH23-'Grid_Requirement'!AH23))</f>
        <v/>
      </c>
      <c r="AI23">
        <f>IF(COUNTIFS(T_StockCount[Part Name],$A23,T_StockCount[WeekIndex],34)&gt;0,SUMIFS(T_StockCount[CountedQty],T_StockCount[Part Name],$A23,T_StockCount[WeekIndex],34),IF((('T_SelfStock'!AI27&lt;&gt;""))*(('T_TTAFStock'!AI27&lt;&gt;""))&gt;0,'T_SelfStock'!AI27+'T_TTAFStock'!AI27,AH23+'Grid_Incoming'!AI23-'Grid_Requirement'!AI23))</f>
        <v/>
      </c>
      <c r="AJ23">
        <f>IF(COUNTIFS(T_StockCount[Part Name],$A23,T_StockCount[WeekIndex],35)&gt;0,SUMIFS(T_StockCount[CountedQty],T_StockCount[Part Name],$A23,T_StockCount[WeekIndex],35),IF((('T_SelfStock'!AJ27&lt;&gt;""))*(('T_TTAFStock'!AJ27&lt;&gt;""))&gt;0,'T_SelfStock'!AJ27+'T_TTAFStock'!AJ27,AI23+'Grid_Incoming'!AJ23-'Grid_Requirement'!AJ23))</f>
        <v/>
      </c>
      <c r="AK23">
        <f>IF(COUNTIFS(T_StockCount[Part Name],$A23,T_StockCount[WeekIndex],36)&gt;0,SUMIFS(T_StockCount[CountedQty],T_StockCount[Part Name],$A23,T_StockCount[WeekIndex],36),IF((('T_SelfStock'!AK27&lt;&gt;""))*(('T_TTAFStock'!AK27&lt;&gt;""))&gt;0,'T_SelfStock'!AK27+'T_TTAFStock'!AK27,AJ23+'Grid_Incoming'!AK23-'Grid_Requirement'!AK23))</f>
        <v/>
      </c>
      <c r="AL23">
        <f>IF(COUNTIFS(T_StockCount[Part Name],$A23,T_StockCount[WeekIndex],37)&gt;0,SUMIFS(T_StockCount[CountedQty],T_StockCount[Part Name],$A23,T_StockCount[WeekIndex],37),IF((('T_SelfStock'!AL27&lt;&gt;""))*(('T_TTAFStock'!AL27&lt;&gt;""))&gt;0,'T_SelfStock'!AL27+'T_TTAFStock'!AL27,AK23+'Grid_Incoming'!AL23-'Grid_Requirement'!AL23))</f>
        <v/>
      </c>
      <c r="AM23">
        <f>IF(COUNTIFS(T_StockCount[Part Name],$A23,T_StockCount[WeekIndex],38)&gt;0,SUMIFS(T_StockCount[CountedQty],T_StockCount[Part Name],$A23,T_StockCount[WeekIndex],38),IF((('T_SelfStock'!AM27&lt;&gt;""))*(('T_TTAFStock'!AM27&lt;&gt;""))&gt;0,'T_SelfStock'!AM27+'T_TTAFStock'!AM27,AL23+'Grid_Incoming'!AM23-'Grid_Requirement'!AM23))</f>
        <v/>
      </c>
      <c r="AN23">
        <f>IF(COUNTIFS(T_StockCount[Part Name],$A23,T_StockCount[WeekIndex],39)&gt;0,SUMIFS(T_StockCount[CountedQty],T_StockCount[Part Name],$A23,T_StockCount[WeekIndex],39),IF((('T_SelfStock'!AN27&lt;&gt;""))*(('T_TTAFStock'!AN27&lt;&gt;""))&gt;0,'T_SelfStock'!AN27+'T_TTAFStock'!AN27,AM23+'Grid_Incoming'!AN23-'Grid_Requirement'!AN23))</f>
        <v/>
      </c>
      <c r="AO23">
        <f>IF(COUNTIFS(T_StockCount[Part Name],$A23,T_StockCount[WeekIndex],40)&gt;0,SUMIFS(T_StockCount[CountedQty],T_StockCount[Part Name],$A23,T_StockCount[WeekIndex],40),IF((('T_SelfStock'!AO27&lt;&gt;""))*(('T_TTAFStock'!AO27&lt;&gt;""))&gt;0,'T_SelfStock'!AO27+'T_TTAFStock'!AO27,AN23+'Grid_Incoming'!AO23-'Grid_Requirement'!AO23))</f>
        <v/>
      </c>
      <c r="AP23">
        <f>IF(COUNTIFS(T_StockCount[Part Name],$A23,T_StockCount[WeekIndex],41)&gt;0,SUMIFS(T_StockCount[CountedQty],T_StockCount[Part Name],$A23,T_StockCount[WeekIndex],41),IF((('T_SelfStock'!AP27&lt;&gt;""))*(('T_TTAFStock'!AP27&lt;&gt;""))&gt;0,'T_SelfStock'!AP27+'T_TTAFStock'!AP27,AO23+'Grid_Incoming'!AP23-'Grid_Requirement'!AP23))</f>
        <v/>
      </c>
      <c r="AQ23">
        <f>IF(COUNTIFS(T_StockCount[Part Name],$A23,T_StockCount[WeekIndex],42)&gt;0,SUMIFS(T_StockCount[CountedQty],T_StockCount[Part Name],$A23,T_StockCount[WeekIndex],42),IF((('T_SelfStock'!AQ27&lt;&gt;""))*(('T_TTAFStock'!AQ27&lt;&gt;""))&gt;0,'T_SelfStock'!AQ27+'T_TTAFStock'!AQ27,AP23+'Grid_Incoming'!AQ23-'Grid_Requirement'!AQ23))</f>
        <v/>
      </c>
      <c r="AR23">
        <f>IF(COUNTIFS(T_StockCount[Part Name],$A23,T_StockCount[WeekIndex],43)&gt;0,SUMIFS(T_StockCount[CountedQty],T_StockCount[Part Name],$A23,T_StockCount[WeekIndex],43),IF((('T_SelfStock'!AR27&lt;&gt;""))*(('T_TTAFStock'!AR27&lt;&gt;""))&gt;0,'T_SelfStock'!AR27+'T_TTAFStock'!AR27,AQ23+'Grid_Incoming'!AR23-'Grid_Requirement'!AR23))</f>
        <v/>
      </c>
      <c r="AS23">
        <f>IF(COUNTIFS(T_StockCount[Part Name],$A23,T_StockCount[WeekIndex],44)&gt;0,SUMIFS(T_StockCount[CountedQty],T_StockCount[Part Name],$A23,T_StockCount[WeekIndex],44),IF((('T_SelfStock'!AS27&lt;&gt;""))*(('T_TTAFStock'!AS27&lt;&gt;""))&gt;0,'T_SelfStock'!AS27+'T_TTAFStock'!AS27,AR23+'Grid_Incoming'!AS23-'Grid_Requirement'!AS23))</f>
        <v/>
      </c>
      <c r="AT23">
        <f>IF(COUNTIFS(T_StockCount[Part Name],$A23,T_StockCount[WeekIndex],45)&gt;0,SUMIFS(T_StockCount[CountedQty],T_StockCount[Part Name],$A23,T_StockCount[WeekIndex],45),IF((('T_SelfStock'!AT27&lt;&gt;""))*(('T_TTAFStock'!AT27&lt;&gt;""))&gt;0,'T_SelfStock'!AT27+'T_TTAFStock'!AT27,AS23+'Grid_Incoming'!AT23-'Grid_Requirement'!AT23))</f>
        <v/>
      </c>
      <c r="AU23">
        <f>IF(COUNTIFS(T_StockCount[Part Name],$A23,T_StockCount[WeekIndex],46)&gt;0,SUMIFS(T_StockCount[CountedQty],T_StockCount[Part Name],$A23,T_StockCount[WeekIndex],46),IF((('T_SelfStock'!AU27&lt;&gt;""))*(('T_TTAFStock'!AU27&lt;&gt;""))&gt;0,'T_SelfStock'!AU27+'T_TTAFStock'!AU27,AT23+'Grid_Incoming'!AU23-'Grid_Requirement'!AU23))</f>
        <v/>
      </c>
      <c r="AV23">
        <f>IF(COUNTIFS(T_StockCount[Part Name],$A23,T_StockCount[WeekIndex],47)&gt;0,SUMIFS(T_StockCount[CountedQty],T_StockCount[Part Name],$A23,T_StockCount[WeekIndex],47),IF((('T_SelfStock'!AV27&lt;&gt;""))*(('T_TTAFStock'!AV27&lt;&gt;""))&gt;0,'T_SelfStock'!AV27+'T_TTAFStock'!AV27,AU23+'Grid_Incoming'!AV23-'Grid_Requirement'!AV23))</f>
        <v/>
      </c>
      <c r="AW23">
        <f>IF(COUNTIFS(T_StockCount[Part Name],$A23,T_StockCount[WeekIndex],48)&gt;0,SUMIFS(T_StockCount[CountedQty],T_StockCount[Part Name],$A23,T_StockCount[WeekIndex],48),IF((('T_SelfStock'!AW27&lt;&gt;""))*(('T_TTAFStock'!AW27&lt;&gt;""))&gt;0,'T_SelfStock'!AW27+'T_TTAFStock'!AW27,AV23+'Grid_Incoming'!AW23-'Grid_Requirement'!AW23))</f>
        <v/>
      </c>
      <c r="AX23">
        <f>IF(COUNTIFS(T_StockCount[Part Name],$A23,T_StockCount[WeekIndex],49)&gt;0,SUMIFS(T_StockCount[CountedQty],T_StockCount[Part Name],$A23,T_StockCount[WeekIndex],49),IF((('T_SelfStock'!AX27&lt;&gt;""))*(('T_TTAFStock'!AX27&lt;&gt;""))&gt;0,'T_SelfStock'!AX27+'T_TTAFStock'!AX27,AW23+'Grid_Incoming'!AX23-'Grid_Requirement'!AX23))</f>
        <v/>
      </c>
      <c r="AY23">
        <f>IF(COUNTIFS(T_StockCount[Part Name],$A23,T_StockCount[WeekIndex],50)&gt;0,SUMIFS(T_StockCount[CountedQty],T_StockCount[Part Name],$A23,T_StockCount[WeekIndex],50),IF((('T_SelfStock'!AY27&lt;&gt;""))*(('T_TTAFStock'!AY27&lt;&gt;""))&gt;0,'T_SelfStock'!AY27+'T_TTAFStock'!AY27,AX23+'Grid_Incoming'!AY23-'Grid_Requirement'!AY23))</f>
        <v/>
      </c>
      <c r="AZ23">
        <f>IF(COUNTIFS(T_StockCount[Part Name],$A23,T_StockCount[WeekIndex],51)&gt;0,SUMIFS(T_StockCount[CountedQty],T_StockCount[Part Name],$A23,T_StockCount[WeekIndex],51),IF((('T_SelfStock'!AZ27&lt;&gt;""))*(('T_TTAFStock'!AZ27&lt;&gt;""))&gt;0,'T_SelfStock'!AZ27+'T_TTAFStock'!AZ27,AY23+'Grid_Incoming'!AZ23-'Grid_Requirement'!AZ23))</f>
        <v/>
      </c>
      <c r="BA23">
        <f>IF(COUNTIFS(T_StockCount[Part Name],$A23,T_StockCount[WeekIndex],52)&gt;0,SUMIFS(T_StockCount[CountedQty],T_StockCount[Part Name],$A23,T_StockCount[WeekIndex],52),IF((('T_SelfStock'!BA27&lt;&gt;""))*(('T_TTAFStock'!BA27&lt;&gt;""))&gt;0,'T_SelfStock'!BA27+'T_TTAFStock'!BA27,AZ23+'Grid_Incoming'!BA23-'Grid_Requirement'!BA23))</f>
        <v/>
      </c>
      <c r="BB23">
        <f>IF(COUNTIFS(T_StockCount[Part Name],$A23,T_StockCount[WeekIndex],53)&gt;0,SUMIFS(T_StockCount[CountedQty],T_StockCount[Part Name],$A23,T_StockCount[WeekIndex],53),IF((('T_SelfStock'!BB27&lt;&gt;""))*(('T_TTAFStock'!BB27&lt;&gt;""))&gt;0,'T_SelfStock'!BB27+'T_TTAFStock'!BB27,BA23+'Grid_Incoming'!BB23-'Grid_Requirement'!BB23))</f>
        <v/>
      </c>
      <c r="BC23">
        <f>IF(COUNTIFS(T_StockCount[Part Name],$A23,T_StockCount[WeekIndex],54)&gt;0,SUMIFS(T_StockCount[CountedQty],T_StockCount[Part Name],$A23,T_StockCount[WeekIndex],54),IF((('T_SelfStock'!BC27&lt;&gt;""))*(('T_TTAFStock'!BC27&lt;&gt;""))&gt;0,'T_SelfStock'!BC27+'T_TTAFStock'!BC27,BB23+'Grid_Incoming'!BC23-'Grid_Requirement'!BC23))</f>
        <v/>
      </c>
      <c r="BD23">
        <f>IF(COUNTIFS(T_StockCount[Part Name],$A23,T_StockCount[WeekIndex],55)&gt;0,SUMIFS(T_StockCount[CountedQty],T_StockCount[Part Name],$A23,T_StockCount[WeekIndex],55),IF((('T_SelfStock'!BD27&lt;&gt;""))*(('T_TTAFStock'!BD27&lt;&gt;""))&gt;0,'T_SelfStock'!BD27+'T_TTAFStock'!BD27,BC23+'Grid_Incoming'!BD23-'Grid_Requirement'!BD23))</f>
        <v/>
      </c>
      <c r="BE23">
        <f>IF(COUNTIFS(T_StockCount[Part Name],$A23,T_StockCount[WeekIndex],56)&gt;0,SUMIFS(T_StockCount[CountedQty],T_StockCount[Part Name],$A23,T_StockCount[WeekIndex],56),IF((('T_SelfStock'!BE27&lt;&gt;""))*(('T_TTAFStock'!BE27&lt;&gt;""))&gt;0,'T_SelfStock'!BE27+'T_TTAFStock'!BE27,BD23+'Grid_Incoming'!BE23-'Grid_Requirement'!BE23))</f>
        <v/>
      </c>
      <c r="BF23">
        <f>IF(COUNTIFS(T_StockCount[Part Name],$A23,T_StockCount[WeekIndex],57)&gt;0,SUMIFS(T_StockCount[CountedQty],T_StockCount[Part Name],$A23,T_StockCount[WeekIndex],57),IF((('T_SelfStock'!BF27&lt;&gt;""))*(('T_TTAFStock'!BF27&lt;&gt;""))&gt;0,'T_SelfStock'!BF27+'T_TTAFStock'!BF27,BE23+'Grid_Incoming'!BF23-'Grid_Requirement'!BF23))</f>
        <v/>
      </c>
      <c r="BG23">
        <f>IF(COUNTIFS(T_StockCount[Part Name],$A23,T_StockCount[WeekIndex],58)&gt;0,SUMIFS(T_StockCount[CountedQty],T_StockCount[Part Name],$A23,T_StockCount[WeekIndex],58),IF((('T_SelfStock'!BG27&lt;&gt;""))*(('T_TTAFStock'!BG27&lt;&gt;""))&gt;0,'T_SelfStock'!BG27+'T_TTAFStock'!BG27,BF23+'Grid_Incoming'!BG23-'Grid_Requirement'!BG23))</f>
        <v/>
      </c>
      <c r="BH23">
        <f>IF(COUNTIFS(T_StockCount[Part Name],$A23,T_StockCount[WeekIndex],59)&gt;0,SUMIFS(T_StockCount[CountedQty],T_StockCount[Part Name],$A23,T_StockCount[WeekIndex],59),IF((('T_SelfStock'!BH27&lt;&gt;""))*(('T_TTAFStock'!BH27&lt;&gt;""))&gt;0,'T_SelfStock'!BH27+'T_TTAFStock'!BH27,BG23+'Grid_Incoming'!BH23-'Grid_Requirement'!BH23))</f>
        <v/>
      </c>
      <c r="BI23">
        <f>IF(COUNTIFS(T_StockCount[Part Name],$A23,T_StockCount[WeekIndex],60)&gt;0,SUMIFS(T_StockCount[CountedQty],T_StockCount[Part Name],$A23,T_StockCount[WeekIndex],60),IF((('T_SelfStock'!BI27&lt;&gt;""))*(('T_TTAFStock'!BI27&lt;&gt;""))&gt;0,'T_SelfStock'!BI27+'T_TTAFStock'!BI27,BH23+'Grid_Incoming'!BI23-'Grid_Requirement'!BI23))</f>
        <v/>
      </c>
      <c r="BJ23">
        <f>IF(COUNTIFS(T_StockCount[Part Name],$A23,T_StockCount[WeekIndex],61)&gt;0,SUMIFS(T_StockCount[CountedQty],T_StockCount[Part Name],$A23,T_StockCount[WeekIndex],61),IF((('T_SelfStock'!BJ27&lt;&gt;""))*(('T_TTAFStock'!BJ27&lt;&gt;""))&gt;0,'T_SelfStock'!BJ27+'T_TTAFStock'!BJ27,BI23+'Grid_Incoming'!BJ23-'Grid_Requirement'!BJ23))</f>
        <v/>
      </c>
      <c r="BK23">
        <f>IF(COUNTIFS(T_StockCount[Part Name],$A23,T_StockCount[WeekIndex],62)&gt;0,SUMIFS(T_StockCount[CountedQty],T_StockCount[Part Name],$A23,T_StockCount[WeekIndex],62),IF((('T_SelfStock'!BK27&lt;&gt;""))*(('T_TTAFStock'!BK27&lt;&gt;""))&gt;0,'T_SelfStock'!BK27+'T_TTAFStock'!BK27,BJ23+'Grid_Incoming'!BK23-'Grid_Requirement'!BK23))</f>
        <v/>
      </c>
      <c r="BL23">
        <f>IF(COUNTIFS(T_StockCount[Part Name],$A23,T_StockCount[WeekIndex],63)&gt;0,SUMIFS(T_StockCount[CountedQty],T_StockCount[Part Name],$A23,T_StockCount[WeekIndex],63),IF((('T_SelfStock'!BL27&lt;&gt;""))*(('T_TTAFStock'!BL27&lt;&gt;""))&gt;0,'T_SelfStock'!BL27+'T_TTAFStock'!BL27,BK23+'Grid_Incoming'!BL23-'Grid_Requirement'!BL23))</f>
        <v/>
      </c>
      <c r="BM23">
        <f>IF(COUNTIFS(T_StockCount[Part Name],$A23,T_StockCount[WeekIndex],64)&gt;0,SUMIFS(T_StockCount[CountedQty],T_StockCount[Part Name],$A23,T_StockCount[WeekIndex],64),IF((('T_SelfStock'!BM27&lt;&gt;""))*(('T_TTAFStock'!BM27&lt;&gt;""))&gt;0,'T_SelfStock'!BM27+'T_TTAFStock'!BM27,BL23+'Grid_Incoming'!BM23-'Grid_Requirement'!BM23))</f>
        <v/>
      </c>
      <c r="BN23">
        <f>IF(COUNTIFS(T_StockCount[Part Name],$A23,T_StockCount[WeekIndex],65)&gt;0,SUMIFS(T_StockCount[CountedQty],T_StockCount[Part Name],$A23,T_StockCount[WeekIndex],65),IF((('T_SelfStock'!BN27&lt;&gt;""))*(('T_TTAFStock'!BN27&lt;&gt;""))&gt;0,'T_SelfStock'!BN27+'T_TTAFStock'!BN27,BM23+'Grid_Incoming'!BN23-'Grid_Requirement'!BN23))</f>
        <v/>
      </c>
      <c r="BO23">
        <f>IF(COUNTIFS(T_StockCount[Part Name],$A23,T_StockCount[WeekIndex],66)&gt;0,SUMIFS(T_StockCount[CountedQty],T_StockCount[Part Name],$A23,T_StockCount[WeekIndex],66),IF((('T_SelfStock'!BO27&lt;&gt;""))*(('T_TTAFStock'!BO27&lt;&gt;""))&gt;0,'T_SelfStock'!BO27+'T_TTAFStock'!BO27,BN23+'Grid_Incoming'!BO23-'Grid_Requirement'!BO23))</f>
        <v/>
      </c>
      <c r="BP23">
        <f>IF(COUNTIFS(T_StockCount[Part Name],$A23,T_StockCount[WeekIndex],67)&gt;0,SUMIFS(T_StockCount[CountedQty],T_StockCount[Part Name],$A23,T_StockCount[WeekIndex],67),IF((('T_SelfStock'!BP27&lt;&gt;""))*(('T_TTAFStock'!BP27&lt;&gt;""))&gt;0,'T_SelfStock'!BP27+'T_TTAFStock'!BP27,BO23+'Grid_Incoming'!BP23-'Grid_Requirement'!BP23))</f>
        <v/>
      </c>
      <c r="BQ23">
        <f>IF(COUNTIFS(T_StockCount[Part Name],$A23,T_StockCount[WeekIndex],68)&gt;0,SUMIFS(T_StockCount[CountedQty],T_StockCount[Part Name],$A23,T_StockCount[WeekIndex],68),IF((('T_SelfStock'!BQ27&lt;&gt;""))*(('T_TTAFStock'!BQ27&lt;&gt;""))&gt;0,'T_SelfStock'!BQ27+'T_TTAFStock'!BQ27,BP23+'Grid_Incoming'!BQ23-'Grid_Requirement'!BQ23))</f>
        <v/>
      </c>
      <c r="BR23">
        <f>IF(COUNTIFS(T_StockCount[Part Name],$A23,T_StockCount[WeekIndex],69)&gt;0,SUMIFS(T_StockCount[CountedQty],T_StockCount[Part Name],$A23,T_StockCount[WeekIndex],69),IF((('T_SelfStock'!BR27&lt;&gt;""))*(('T_TTAFStock'!BR27&lt;&gt;""))&gt;0,'T_SelfStock'!BR27+'T_TTAFStock'!BR27,BQ23+'Grid_Incoming'!BR23-'Grid_Requirement'!BR23))</f>
        <v/>
      </c>
      <c r="BS23">
        <f>IF(COUNTIFS(T_StockCount[Part Name],$A23,T_StockCount[WeekIndex],70)&gt;0,SUMIFS(T_StockCount[CountedQty],T_StockCount[Part Name],$A23,T_StockCount[WeekIndex],70),IF((('T_SelfStock'!BS27&lt;&gt;""))*(('T_TTAFStock'!BS27&lt;&gt;""))&gt;0,'T_SelfStock'!BS27+'T_TTAFStock'!BS27,BR23+'Grid_Incoming'!BS23-'Grid_Requirement'!BS23))</f>
        <v/>
      </c>
      <c r="BT23">
        <f>IF(COUNTIFS(T_StockCount[Part Name],$A23,T_StockCount[WeekIndex],71)&gt;0,SUMIFS(T_StockCount[CountedQty],T_StockCount[Part Name],$A23,T_StockCount[WeekIndex],71),IF((('T_SelfStock'!BT27&lt;&gt;""))*(('T_TTAFStock'!BT27&lt;&gt;""))&gt;0,'T_SelfStock'!BT27+'T_TTAFStock'!BT27,BS23+'Grid_Incoming'!BT23-'Grid_Requirement'!BT23))</f>
        <v/>
      </c>
      <c r="BU23">
        <f>IF(COUNTIFS(T_StockCount[Part Name],$A23,T_StockCount[WeekIndex],72)&gt;0,SUMIFS(T_StockCount[CountedQty],T_StockCount[Part Name],$A23,T_StockCount[WeekIndex],72),IF((('T_SelfStock'!BU27&lt;&gt;""))*(('T_TTAFStock'!BU27&lt;&gt;""))&gt;0,'T_SelfStock'!BU27+'T_TTAFStock'!BU27,BT23+'Grid_Incoming'!BU23-'Grid_Requirement'!BU23))</f>
        <v/>
      </c>
      <c r="BV23">
        <f>IF(COUNTIFS(T_StockCount[Part Name],$A23,T_StockCount[WeekIndex],73)&gt;0,SUMIFS(T_StockCount[CountedQty],T_StockCount[Part Name],$A23,T_StockCount[WeekIndex],73),IF((('T_SelfStock'!BV27&lt;&gt;""))*(('T_TTAFStock'!BV27&lt;&gt;""))&gt;0,'T_SelfStock'!BV27+'T_TTAFStock'!BV27,BU23+'Grid_Incoming'!BV23-'Grid_Requirement'!BV23))</f>
        <v/>
      </c>
      <c r="BW23">
        <f>IF(COUNTIFS(T_StockCount[Part Name],$A23,T_StockCount[WeekIndex],74)&gt;0,SUMIFS(T_StockCount[CountedQty],T_StockCount[Part Name],$A23,T_StockCount[WeekIndex],74),IF((('T_SelfStock'!BW27&lt;&gt;""))*(('T_TTAFStock'!BW27&lt;&gt;""))&gt;0,'T_SelfStock'!BW27+'T_TTAFStock'!BW27,BV23+'Grid_Incoming'!BW23-'Grid_Requirement'!BW23))</f>
        <v/>
      </c>
      <c r="BX23">
        <f>IF(COUNTIFS(T_StockCount[Part Name],$A23,T_StockCount[WeekIndex],75)&gt;0,SUMIFS(T_StockCount[CountedQty],T_StockCount[Part Name],$A23,T_StockCount[WeekIndex],75),IF((('T_SelfStock'!BX27&lt;&gt;""))*(('T_TTAFStock'!BX27&lt;&gt;""))&gt;0,'T_SelfStock'!BX27+'T_TTAFStock'!BX27,BW23+'Grid_Incoming'!BX23-'Grid_Requirement'!BX23))</f>
        <v/>
      </c>
      <c r="BY23">
        <f>IF(COUNTIFS(T_StockCount[Part Name],$A23,T_StockCount[WeekIndex],76)&gt;0,SUMIFS(T_StockCount[CountedQty],T_StockCount[Part Name],$A23,T_StockCount[WeekIndex],76),IF((('T_SelfStock'!BY27&lt;&gt;""))*(('T_TTAFStock'!BY27&lt;&gt;""))&gt;0,'T_SelfStock'!BY27+'T_TTAFStock'!BY27,BX23+'Grid_Incoming'!BY23-'Grid_Requirement'!BY23))</f>
        <v/>
      </c>
      <c r="BZ23">
        <f>IF(COUNTIFS(T_StockCount[Part Name],$A23,T_StockCount[WeekIndex],77)&gt;0,SUMIFS(T_StockCount[CountedQty],T_StockCount[Part Name],$A23,T_StockCount[WeekIndex],77),IF((('T_SelfStock'!BZ27&lt;&gt;""))*(('T_TTAFStock'!BZ27&lt;&gt;""))&gt;0,'T_SelfStock'!BZ27+'T_TTAFStock'!BZ27,BY23+'Grid_Incoming'!BZ23-'Grid_Requirement'!BZ23))</f>
        <v/>
      </c>
      <c r="CA23">
        <f>IF(COUNTIFS(T_StockCount[Part Name],$A23,T_StockCount[WeekIndex],78)&gt;0,SUMIFS(T_StockCount[CountedQty],T_StockCount[Part Name],$A23,T_StockCount[WeekIndex],78),IF((('T_SelfStock'!CA27&lt;&gt;""))*(('T_TTAFStock'!CA27&lt;&gt;""))&gt;0,'T_SelfStock'!CA27+'T_TTAFStock'!CA27,BZ23+'Grid_Incoming'!CA23-'Grid_Requirement'!CA23))</f>
        <v/>
      </c>
      <c r="CB23">
        <f>IF(COUNTIFS(T_StockCount[Part Name],$A23,T_StockCount[WeekIndex],79)&gt;0,SUMIFS(T_StockCount[CountedQty],T_StockCount[Part Name],$A23,T_StockCount[WeekIndex],79),IF((('T_SelfStock'!CB27&lt;&gt;""))*(('T_TTAFStock'!CB27&lt;&gt;""))&gt;0,'T_SelfStock'!CB27+'T_TTAFStock'!CB27,CA23+'Grid_Incoming'!CB23-'Grid_Requirement'!CB23))</f>
        <v/>
      </c>
      <c r="CC23">
        <f>IF(COUNTIFS(T_StockCount[Part Name],$A23,T_StockCount[WeekIndex],80)&gt;0,SUMIFS(T_StockCount[CountedQty],T_StockCount[Part Name],$A23,T_StockCount[WeekIndex],80),IF((('T_SelfStock'!CC27&lt;&gt;""))*(('T_TTAFStock'!CC27&lt;&gt;""))&gt;0,'T_SelfStock'!CC27+'T_TTAFStock'!CC27,CB23+'Grid_Incoming'!CC23-'Grid_Requirement'!CC23))</f>
        <v/>
      </c>
      <c r="CD23">
        <f>IF(COUNTIFS(T_StockCount[Part Name],$A23,T_StockCount[WeekIndex],81)&gt;0,SUMIFS(T_StockCount[CountedQty],T_StockCount[Part Name],$A23,T_StockCount[WeekIndex],81),IF((('T_SelfStock'!CD27&lt;&gt;""))*(('T_TTAFStock'!CD27&lt;&gt;""))&gt;0,'T_SelfStock'!CD27+'T_TTAFStock'!CD27,CC23+'Grid_Incoming'!CD23-'Grid_Requirement'!CD23))</f>
        <v/>
      </c>
      <c r="CE23">
        <f>IF(COUNTIFS(T_StockCount[Part Name],$A23,T_StockCount[WeekIndex],82)&gt;0,SUMIFS(T_StockCount[CountedQty],T_StockCount[Part Name],$A23,T_StockCount[WeekIndex],82),IF((('T_SelfStock'!CE27&lt;&gt;""))*(('T_TTAFStock'!CE27&lt;&gt;""))&gt;0,'T_SelfStock'!CE27+'T_TTAFStock'!CE27,CD23+'Grid_Incoming'!CE23-'Grid_Requirement'!CE23))</f>
        <v/>
      </c>
      <c r="CF23">
        <f>IF(COUNTIFS(T_StockCount[Part Name],$A23,T_StockCount[WeekIndex],83)&gt;0,SUMIFS(T_StockCount[CountedQty],T_StockCount[Part Name],$A23,T_StockCount[WeekIndex],83),IF((('T_SelfStock'!CF27&lt;&gt;""))*(('T_TTAFStock'!CF27&lt;&gt;""))&gt;0,'T_SelfStock'!CF27+'T_TTAFStock'!CF27,CE23+'Grid_Incoming'!CF23-'Grid_Requirement'!CF23))</f>
        <v/>
      </c>
      <c r="CG23">
        <f>IF(COUNTIFS(T_StockCount[Part Name],$A23,T_StockCount[WeekIndex],84)&gt;0,SUMIFS(T_StockCount[CountedQty],T_StockCount[Part Name],$A23,T_StockCount[WeekIndex],84),IF((('T_SelfStock'!CG27&lt;&gt;""))*(('T_TTAFStock'!CG27&lt;&gt;""))&gt;0,'T_SelfStock'!CG27+'T_TTAFStock'!CG27,CF23+'Grid_Incoming'!CG23-'Grid_Requirement'!CG23))</f>
        <v/>
      </c>
      <c r="CH23">
        <f>IF(COUNTIFS(T_StockCount[Part Name],$A23,T_StockCount[WeekIndex],85)&gt;0,SUMIFS(T_StockCount[CountedQty],T_StockCount[Part Name],$A23,T_StockCount[WeekIndex],85),IF((('T_SelfStock'!CH27&lt;&gt;""))*(('T_TTAFStock'!CH27&lt;&gt;""))&gt;0,'T_SelfStock'!CH27+'T_TTAFStock'!CH27,CG23+'Grid_Incoming'!CH23-'Grid_Requirement'!CH23))</f>
        <v/>
      </c>
      <c r="CI23">
        <f>IF(COUNTIFS(T_StockCount[Part Name],$A23,T_StockCount[WeekIndex],86)&gt;0,SUMIFS(T_StockCount[CountedQty],T_StockCount[Part Name],$A23,T_StockCount[WeekIndex],86),IF((('T_SelfStock'!CI27&lt;&gt;""))*(('T_TTAFStock'!CI27&lt;&gt;""))&gt;0,'T_SelfStock'!CI27+'T_TTAFStock'!CI27,CH23+'Grid_Incoming'!CI23-'Grid_Requirement'!CI23))</f>
        <v/>
      </c>
      <c r="CJ23">
        <f>IF(COUNTIFS(T_StockCount[Part Name],$A23,T_StockCount[WeekIndex],87)&gt;0,SUMIFS(T_StockCount[CountedQty],T_StockCount[Part Name],$A23,T_StockCount[WeekIndex],87),IF((('T_SelfStock'!CJ27&lt;&gt;""))*(('T_TTAFStock'!CJ27&lt;&gt;""))&gt;0,'T_SelfStock'!CJ27+'T_TTAFStock'!CJ27,CI23+'Grid_Incoming'!CJ23-'Grid_Requirement'!CJ23))</f>
        <v/>
      </c>
      <c r="CK23">
        <f>IF(COUNTIFS(T_StockCount[Part Name],$A23,T_StockCount[WeekIndex],88)&gt;0,SUMIFS(T_StockCount[CountedQty],T_StockCount[Part Name],$A23,T_StockCount[WeekIndex],88),IF((('T_SelfStock'!CK27&lt;&gt;""))*(('T_TTAFStock'!CK27&lt;&gt;""))&gt;0,'T_SelfStock'!CK27+'T_TTAFStock'!CK27,CJ23+'Grid_Incoming'!CK23-'Grid_Requirement'!CK23))</f>
        <v/>
      </c>
      <c r="CL23">
        <f>IF(COUNTIFS(T_StockCount[Part Name],$A23,T_StockCount[WeekIndex],89)&gt;0,SUMIFS(T_StockCount[CountedQty],T_StockCount[Part Name],$A23,T_StockCount[WeekIndex],89),IF((('T_SelfStock'!CL27&lt;&gt;""))*(('T_TTAFStock'!CL27&lt;&gt;""))&gt;0,'T_SelfStock'!CL27+'T_TTAFStock'!CL27,CK23+'Grid_Incoming'!CL23-'Grid_Requirement'!CL23))</f>
        <v/>
      </c>
      <c r="CM23">
        <f>IF(COUNTIFS(T_StockCount[Part Name],$A23,T_StockCount[WeekIndex],90)&gt;0,SUMIFS(T_StockCount[CountedQty],T_StockCount[Part Name],$A23,T_StockCount[WeekIndex],90),IF((('T_SelfStock'!CM27&lt;&gt;""))*(('T_TTAFStock'!CM27&lt;&gt;""))&gt;0,'T_SelfStock'!CM27+'T_TTAFStock'!CM27,CL23+'Grid_Incoming'!CM23-'Grid_Requirement'!CM23))</f>
        <v/>
      </c>
      <c r="CN23">
        <f>IF(COUNTIFS(T_StockCount[Part Name],$A23,T_StockCount[WeekIndex],91)&gt;0,SUMIFS(T_StockCount[CountedQty],T_StockCount[Part Name],$A23,T_StockCount[WeekIndex],91),IF((('T_SelfStock'!CN27&lt;&gt;""))*(('T_TTAFStock'!CN27&lt;&gt;""))&gt;0,'T_SelfStock'!CN27+'T_TTAFStock'!CN27,CM23+'Grid_Incoming'!CN23-'Grid_Requirement'!CN23))</f>
        <v/>
      </c>
      <c r="CO23">
        <f>IF(COUNTIFS(T_StockCount[Part Name],$A23,T_StockCount[WeekIndex],92)&gt;0,SUMIFS(T_StockCount[CountedQty],T_StockCount[Part Name],$A23,T_StockCount[WeekIndex],92),IF((('T_SelfStock'!CO27&lt;&gt;""))*(('T_TTAFStock'!CO27&lt;&gt;""))&gt;0,'T_SelfStock'!CO27+'T_TTAFStock'!CO27,CN23+'Grid_Incoming'!CO23-'Grid_Requirement'!CO23))</f>
        <v/>
      </c>
      <c r="CP23">
        <f>IF(COUNTIFS(T_StockCount[Part Name],$A23,T_StockCount[WeekIndex],93)&gt;0,SUMIFS(T_StockCount[CountedQty],T_StockCount[Part Name],$A23,T_StockCount[WeekIndex],93),IF((('T_SelfStock'!CP27&lt;&gt;""))*(('T_TTAFStock'!CP27&lt;&gt;""))&gt;0,'T_SelfStock'!CP27+'T_TTAFStock'!CP27,CO23+'Grid_Incoming'!CP23-'Grid_Requirement'!CP23))</f>
        <v/>
      </c>
      <c r="CQ23">
        <f>IF(COUNTIFS(T_StockCount[Part Name],$A23,T_StockCount[WeekIndex],94)&gt;0,SUMIFS(T_StockCount[CountedQty],T_StockCount[Part Name],$A23,T_StockCount[WeekIndex],94),IF((('T_SelfStock'!CQ27&lt;&gt;""))*(('T_TTAFStock'!CQ27&lt;&gt;""))&gt;0,'T_SelfStock'!CQ27+'T_TTAFStock'!CQ27,CP23+'Grid_Incoming'!CQ23-'Grid_Requirement'!CQ23))</f>
        <v/>
      </c>
      <c r="CR23">
        <f>IF(COUNTIFS(T_StockCount[Part Name],$A23,T_StockCount[WeekIndex],95)&gt;0,SUMIFS(T_StockCount[CountedQty],T_StockCount[Part Name],$A23,T_StockCount[WeekIndex],95),IF((('T_SelfStock'!CR27&lt;&gt;""))*(('T_TTAFStock'!CR27&lt;&gt;""))&gt;0,'T_SelfStock'!CR27+'T_TTAFStock'!CR27,CQ23+'Grid_Incoming'!CR23-'Grid_Requirement'!CR23))</f>
        <v/>
      </c>
      <c r="CS23">
        <f>IF(COUNTIFS(T_StockCount[Part Name],$A23,T_StockCount[WeekIndex],96)&gt;0,SUMIFS(T_StockCount[CountedQty],T_StockCount[Part Name],$A23,T_StockCount[WeekIndex],96),IF((('T_SelfStock'!CS27&lt;&gt;""))*(('T_TTAFStock'!CS27&lt;&gt;""))&gt;0,'T_SelfStock'!CS27+'T_TTAFStock'!CS27,CR23+'Grid_Incoming'!CS23-'Grid_Requirement'!CS23))</f>
        <v/>
      </c>
      <c r="CT23">
        <f>IF(COUNTIFS(T_StockCount[Part Name],$A23,T_StockCount[WeekIndex],97)&gt;0,SUMIFS(T_StockCount[CountedQty],T_StockCount[Part Name],$A23,T_StockCount[WeekIndex],97),IF((('T_SelfStock'!CT27&lt;&gt;""))*(('T_TTAFStock'!CT27&lt;&gt;""))&gt;0,'T_SelfStock'!CT27+'T_TTAFStock'!CT27,CS23+'Grid_Incoming'!CT23-'Grid_Requirement'!CT23))</f>
        <v/>
      </c>
      <c r="CU23">
        <f>IF(COUNTIFS(T_StockCount[Part Name],$A23,T_StockCount[WeekIndex],98)&gt;0,SUMIFS(T_StockCount[CountedQty],T_StockCount[Part Name],$A23,T_StockCount[WeekIndex],98),IF((('T_SelfStock'!CU27&lt;&gt;""))*(('T_TTAFStock'!CU27&lt;&gt;""))&gt;0,'T_SelfStock'!CU27+'T_TTAFStock'!CU27,CT23+'Grid_Incoming'!CU23-'Grid_Requirement'!CU23))</f>
        <v/>
      </c>
      <c r="CV23">
        <f>IF(COUNTIFS(T_StockCount[Part Name],$A23,T_StockCount[WeekIndex],99)&gt;0,SUMIFS(T_StockCount[CountedQty],T_StockCount[Part Name],$A23,T_StockCount[WeekIndex],99),IF((('T_SelfStock'!CV27&lt;&gt;""))*(('T_TTAFStock'!CV27&lt;&gt;""))&gt;0,'T_SelfStock'!CV27+'T_TTAFStock'!CV27,CU23+'Grid_Incoming'!CV23-'Grid_Requirement'!CV23))</f>
        <v/>
      </c>
      <c r="CW23">
        <f>IF(COUNTIFS(T_StockCount[Part Name],$A23,T_StockCount[WeekIndex],100)&gt;0,SUMIFS(T_StockCount[CountedQty],T_StockCount[Part Name],$A23,T_StockCount[WeekIndex],100),IF((('T_SelfStock'!CW27&lt;&gt;""))*(('T_TTAFStock'!CW27&lt;&gt;""))&gt;0,'T_SelfStock'!CW27+'T_TTAFStock'!CW27,CV23+'Grid_Incoming'!CW23-'Grid_Requirement'!CW23))</f>
        <v/>
      </c>
      <c r="CX23">
        <f>IF(COUNTIFS(T_StockCount[Part Name],$A23,T_StockCount[WeekIndex],101)&gt;0,SUMIFS(T_StockCount[CountedQty],T_StockCount[Part Name],$A23,T_StockCount[WeekIndex],101),IF((('T_SelfStock'!CX27&lt;&gt;""))*(('T_TTAFStock'!CX27&lt;&gt;""))&gt;0,'T_SelfStock'!CX27+'T_TTAFStock'!CX27,CW23+'Grid_Incoming'!CX23-'Grid_Requirement'!CX23))</f>
        <v/>
      </c>
      <c r="CY23">
        <f>IF(COUNTIFS(T_StockCount[Part Name],$A23,T_StockCount[WeekIndex],102)&gt;0,SUMIFS(T_StockCount[CountedQty],T_StockCount[Part Name],$A23,T_StockCount[WeekIndex],102),IF((('T_SelfStock'!CY27&lt;&gt;""))*(('T_TTAFStock'!CY27&lt;&gt;""))&gt;0,'T_SelfStock'!CY27+'T_TTAFStock'!CY27,CX23+'Grid_Incoming'!CY23-'Grid_Requirement'!CY23))</f>
        <v/>
      </c>
      <c r="CZ23">
        <f>IF(COUNTIFS(T_StockCount[Part Name],$A23,T_StockCount[WeekIndex],103)&gt;0,SUMIFS(T_StockCount[CountedQty],T_StockCount[Part Name],$A23,T_StockCount[WeekIndex],103),IF((('T_SelfStock'!CZ27&lt;&gt;""))*(('T_TTAFStock'!CZ27&lt;&gt;""))&gt;0,'T_SelfStock'!CZ27+'T_TTAFStock'!CZ27,CY23+'Grid_Incoming'!CZ23-'Grid_Requirement'!CZ23))</f>
        <v/>
      </c>
      <c r="DA23">
        <f>IF(COUNTIFS(T_StockCount[Part Name],$A23,T_StockCount[WeekIndex],104)&gt;0,SUMIFS(T_StockCount[CountedQty],T_StockCount[Part Name],$A23,T_StockCount[WeekIndex],104),IF((('T_SelfStock'!DA27&lt;&gt;""))*(('T_TTAFStock'!DA27&lt;&gt;""))&gt;0,'T_SelfStock'!DA27+'T_TTAFStock'!DA27,CZ23+'Grid_Incoming'!DA23-'Grid_Requirement'!DA23))</f>
        <v/>
      </c>
    </row>
    <row r="24">
      <c r="A24" t="inlineStr">
        <is>
          <t>Original Towel</t>
        </is>
      </c>
      <c r="B24">
        <f>IF(COUNTIFS(T_StockCount[Part Name],$A24,T_StockCount[WeekIndex],1)&gt;0,SUMIFS(T_StockCount[CountedQty],T_StockCount[Part Name],$A24,T_StockCount[WeekIndex],1),IF((('T_SelfStock'!B28&lt;&gt;""))*(('T_TTAFStock'!B28&lt;&gt;""))&gt;0,'T_SelfStock'!B28+'T_TTAFStock'!B28,IFERROR(INDEX(T_OpeningStock[Opening_Qty],MATCH($A24,T_OpeningStock[Part Name],0)),0)+'Grid_Incoming'!B24-'Grid_Requirement'!B24))</f>
        <v/>
      </c>
      <c r="C24">
        <f>IF(COUNTIFS(T_StockCount[Part Name],$A24,T_StockCount[WeekIndex],2)&gt;0,SUMIFS(T_StockCount[CountedQty],T_StockCount[Part Name],$A24,T_StockCount[WeekIndex],2),IF((('T_SelfStock'!C28&lt;&gt;""))*(('T_TTAFStock'!C28&lt;&gt;""))&gt;0,'T_SelfStock'!C28+'T_TTAFStock'!C28,B24+'Grid_Incoming'!C24-'Grid_Requirement'!C24))</f>
        <v/>
      </c>
      <c r="D24">
        <f>IF(COUNTIFS(T_StockCount[Part Name],$A24,T_StockCount[WeekIndex],3)&gt;0,SUMIFS(T_StockCount[CountedQty],T_StockCount[Part Name],$A24,T_StockCount[WeekIndex],3),IF((('T_SelfStock'!D28&lt;&gt;""))*(('T_TTAFStock'!D28&lt;&gt;""))&gt;0,'T_SelfStock'!D28+'T_TTAFStock'!D28,C24+'Grid_Incoming'!D24-'Grid_Requirement'!D24))</f>
        <v/>
      </c>
      <c r="E24">
        <f>IF(COUNTIFS(T_StockCount[Part Name],$A24,T_StockCount[WeekIndex],4)&gt;0,SUMIFS(T_StockCount[CountedQty],T_StockCount[Part Name],$A24,T_StockCount[WeekIndex],4),IF((('T_SelfStock'!E28&lt;&gt;""))*(('T_TTAFStock'!E28&lt;&gt;""))&gt;0,'T_SelfStock'!E28+'T_TTAFStock'!E28,D24+'Grid_Incoming'!E24-'Grid_Requirement'!E24))</f>
        <v/>
      </c>
      <c r="F24">
        <f>IF(COUNTIFS(T_StockCount[Part Name],$A24,T_StockCount[WeekIndex],5)&gt;0,SUMIFS(T_StockCount[CountedQty],T_StockCount[Part Name],$A24,T_StockCount[WeekIndex],5),IF((('T_SelfStock'!F28&lt;&gt;""))*(('T_TTAFStock'!F28&lt;&gt;""))&gt;0,'T_SelfStock'!F28+'T_TTAFStock'!F28,E24+'Grid_Incoming'!F24-'Grid_Requirement'!F24))</f>
        <v/>
      </c>
      <c r="G24">
        <f>IF(COUNTIFS(T_StockCount[Part Name],$A24,T_StockCount[WeekIndex],6)&gt;0,SUMIFS(T_StockCount[CountedQty],T_StockCount[Part Name],$A24,T_StockCount[WeekIndex],6),IF((('T_SelfStock'!G28&lt;&gt;""))*(('T_TTAFStock'!G28&lt;&gt;""))&gt;0,'T_SelfStock'!G28+'T_TTAFStock'!G28,F24+'Grid_Incoming'!G24-'Grid_Requirement'!G24))</f>
        <v/>
      </c>
      <c r="H24">
        <f>IF(COUNTIFS(T_StockCount[Part Name],$A24,T_StockCount[WeekIndex],7)&gt;0,SUMIFS(T_StockCount[CountedQty],T_StockCount[Part Name],$A24,T_StockCount[WeekIndex],7),IF((('T_SelfStock'!H28&lt;&gt;""))*(('T_TTAFStock'!H28&lt;&gt;""))&gt;0,'T_SelfStock'!H28+'T_TTAFStock'!H28,G24+'Grid_Incoming'!H24-'Grid_Requirement'!H24))</f>
        <v/>
      </c>
      <c r="I24">
        <f>IF(COUNTIFS(T_StockCount[Part Name],$A24,T_StockCount[WeekIndex],8)&gt;0,SUMIFS(T_StockCount[CountedQty],T_StockCount[Part Name],$A24,T_StockCount[WeekIndex],8),IF((('T_SelfStock'!I28&lt;&gt;""))*(('T_TTAFStock'!I28&lt;&gt;""))&gt;0,'T_SelfStock'!I28+'T_TTAFStock'!I28,H24+'Grid_Incoming'!I24-'Grid_Requirement'!I24))</f>
        <v/>
      </c>
      <c r="J24">
        <f>IF(COUNTIFS(T_StockCount[Part Name],$A24,T_StockCount[WeekIndex],9)&gt;0,SUMIFS(T_StockCount[CountedQty],T_StockCount[Part Name],$A24,T_StockCount[WeekIndex],9),IF((('T_SelfStock'!J28&lt;&gt;""))*(('T_TTAFStock'!J28&lt;&gt;""))&gt;0,'T_SelfStock'!J28+'T_TTAFStock'!J28,I24+'Grid_Incoming'!J24-'Grid_Requirement'!J24))</f>
        <v/>
      </c>
      <c r="K24">
        <f>IF(COUNTIFS(T_StockCount[Part Name],$A24,T_StockCount[WeekIndex],10)&gt;0,SUMIFS(T_StockCount[CountedQty],T_StockCount[Part Name],$A24,T_StockCount[WeekIndex],10),IF((('T_SelfStock'!K28&lt;&gt;""))*(('T_TTAFStock'!K28&lt;&gt;""))&gt;0,'T_SelfStock'!K28+'T_TTAFStock'!K28,J24+'Grid_Incoming'!K24-'Grid_Requirement'!K24))</f>
        <v/>
      </c>
      <c r="L24">
        <f>IF(COUNTIFS(T_StockCount[Part Name],$A24,T_StockCount[WeekIndex],11)&gt;0,SUMIFS(T_StockCount[CountedQty],T_StockCount[Part Name],$A24,T_StockCount[WeekIndex],11),IF((('T_SelfStock'!L28&lt;&gt;""))*(('T_TTAFStock'!L28&lt;&gt;""))&gt;0,'T_SelfStock'!L28+'T_TTAFStock'!L28,K24+'Grid_Incoming'!L24-'Grid_Requirement'!L24))</f>
        <v/>
      </c>
      <c r="M24">
        <f>IF(COUNTIFS(T_StockCount[Part Name],$A24,T_StockCount[WeekIndex],12)&gt;0,SUMIFS(T_StockCount[CountedQty],T_StockCount[Part Name],$A24,T_StockCount[WeekIndex],12),IF((('T_SelfStock'!M28&lt;&gt;""))*(('T_TTAFStock'!M28&lt;&gt;""))&gt;0,'T_SelfStock'!M28+'T_TTAFStock'!M28,L24+'Grid_Incoming'!M24-'Grid_Requirement'!M24))</f>
        <v/>
      </c>
      <c r="N24">
        <f>IF(COUNTIFS(T_StockCount[Part Name],$A24,T_StockCount[WeekIndex],13)&gt;0,SUMIFS(T_StockCount[CountedQty],T_StockCount[Part Name],$A24,T_StockCount[WeekIndex],13),IF((('T_SelfStock'!N28&lt;&gt;""))*(('T_TTAFStock'!N28&lt;&gt;""))&gt;0,'T_SelfStock'!N28+'T_TTAFStock'!N28,M24+'Grid_Incoming'!N24-'Grid_Requirement'!N24))</f>
        <v/>
      </c>
      <c r="O24">
        <f>IF(COUNTIFS(T_StockCount[Part Name],$A24,T_StockCount[WeekIndex],14)&gt;0,SUMIFS(T_StockCount[CountedQty],T_StockCount[Part Name],$A24,T_StockCount[WeekIndex],14),IF((('T_SelfStock'!O28&lt;&gt;""))*(('T_TTAFStock'!O28&lt;&gt;""))&gt;0,'T_SelfStock'!O28+'T_TTAFStock'!O28,N24+'Grid_Incoming'!O24-'Grid_Requirement'!O24))</f>
        <v/>
      </c>
      <c r="P24">
        <f>IF(COUNTIFS(T_StockCount[Part Name],$A24,T_StockCount[WeekIndex],15)&gt;0,SUMIFS(T_StockCount[CountedQty],T_StockCount[Part Name],$A24,T_StockCount[WeekIndex],15),IF((('T_SelfStock'!P28&lt;&gt;""))*(('T_TTAFStock'!P28&lt;&gt;""))&gt;0,'T_SelfStock'!P28+'T_TTAFStock'!P28,O24+'Grid_Incoming'!P24-'Grid_Requirement'!P24))</f>
        <v/>
      </c>
      <c r="Q24">
        <f>IF(COUNTIFS(T_StockCount[Part Name],$A24,T_StockCount[WeekIndex],16)&gt;0,SUMIFS(T_StockCount[CountedQty],T_StockCount[Part Name],$A24,T_StockCount[WeekIndex],16),IF((('T_SelfStock'!Q28&lt;&gt;""))*(('T_TTAFStock'!Q28&lt;&gt;""))&gt;0,'T_SelfStock'!Q28+'T_TTAFStock'!Q28,P24+'Grid_Incoming'!Q24-'Grid_Requirement'!Q24))</f>
        <v/>
      </c>
      <c r="R24">
        <f>IF(COUNTIFS(T_StockCount[Part Name],$A24,T_StockCount[WeekIndex],17)&gt;0,SUMIFS(T_StockCount[CountedQty],T_StockCount[Part Name],$A24,T_StockCount[WeekIndex],17),IF((('T_SelfStock'!R28&lt;&gt;""))*(('T_TTAFStock'!R28&lt;&gt;""))&gt;0,'T_SelfStock'!R28+'T_TTAFStock'!R28,Q24+'Grid_Incoming'!R24-'Grid_Requirement'!R24))</f>
        <v/>
      </c>
      <c r="S24">
        <f>IF(COUNTIFS(T_StockCount[Part Name],$A24,T_StockCount[WeekIndex],18)&gt;0,SUMIFS(T_StockCount[CountedQty],T_StockCount[Part Name],$A24,T_StockCount[WeekIndex],18),IF((('T_SelfStock'!S28&lt;&gt;""))*(('T_TTAFStock'!S28&lt;&gt;""))&gt;0,'T_SelfStock'!S28+'T_TTAFStock'!S28,R24+'Grid_Incoming'!S24-'Grid_Requirement'!S24))</f>
        <v/>
      </c>
      <c r="T24">
        <f>IF(COUNTIFS(T_StockCount[Part Name],$A24,T_StockCount[WeekIndex],19)&gt;0,SUMIFS(T_StockCount[CountedQty],T_StockCount[Part Name],$A24,T_StockCount[WeekIndex],19),IF((('T_SelfStock'!T28&lt;&gt;""))*(('T_TTAFStock'!T28&lt;&gt;""))&gt;0,'T_SelfStock'!T28+'T_TTAFStock'!T28,S24+'Grid_Incoming'!T24-'Grid_Requirement'!T24))</f>
        <v/>
      </c>
      <c r="U24">
        <f>IF(COUNTIFS(T_StockCount[Part Name],$A24,T_StockCount[WeekIndex],20)&gt;0,SUMIFS(T_StockCount[CountedQty],T_StockCount[Part Name],$A24,T_StockCount[WeekIndex],20),IF((('T_SelfStock'!U28&lt;&gt;""))*(('T_TTAFStock'!U28&lt;&gt;""))&gt;0,'T_SelfStock'!U28+'T_TTAFStock'!U28,T24+'Grid_Incoming'!U24-'Grid_Requirement'!U24))</f>
        <v/>
      </c>
      <c r="V24">
        <f>IF(COUNTIFS(T_StockCount[Part Name],$A24,T_StockCount[WeekIndex],21)&gt;0,SUMIFS(T_StockCount[CountedQty],T_StockCount[Part Name],$A24,T_StockCount[WeekIndex],21),IF((('T_SelfStock'!V28&lt;&gt;""))*(('T_TTAFStock'!V28&lt;&gt;""))&gt;0,'T_SelfStock'!V28+'T_TTAFStock'!V28,U24+'Grid_Incoming'!V24-'Grid_Requirement'!V24))</f>
        <v/>
      </c>
      <c r="W24">
        <f>IF(COUNTIFS(T_StockCount[Part Name],$A24,T_StockCount[WeekIndex],22)&gt;0,SUMIFS(T_StockCount[CountedQty],T_StockCount[Part Name],$A24,T_StockCount[WeekIndex],22),IF((('T_SelfStock'!W28&lt;&gt;""))*(('T_TTAFStock'!W28&lt;&gt;""))&gt;0,'T_SelfStock'!W28+'T_TTAFStock'!W28,V24+'Grid_Incoming'!W24-'Grid_Requirement'!W24))</f>
        <v/>
      </c>
      <c r="X24">
        <f>IF(COUNTIFS(T_StockCount[Part Name],$A24,T_StockCount[WeekIndex],23)&gt;0,SUMIFS(T_StockCount[CountedQty],T_StockCount[Part Name],$A24,T_StockCount[WeekIndex],23),IF((('T_SelfStock'!X28&lt;&gt;""))*(('T_TTAFStock'!X28&lt;&gt;""))&gt;0,'T_SelfStock'!X28+'T_TTAFStock'!X28,W24+'Grid_Incoming'!X24-'Grid_Requirement'!X24))</f>
        <v/>
      </c>
      <c r="Y24">
        <f>IF(COUNTIFS(T_StockCount[Part Name],$A24,T_StockCount[WeekIndex],24)&gt;0,SUMIFS(T_StockCount[CountedQty],T_StockCount[Part Name],$A24,T_StockCount[WeekIndex],24),IF((('T_SelfStock'!Y28&lt;&gt;""))*(('T_TTAFStock'!Y28&lt;&gt;""))&gt;0,'T_SelfStock'!Y28+'T_TTAFStock'!Y28,X24+'Grid_Incoming'!Y24-'Grid_Requirement'!Y24))</f>
        <v/>
      </c>
      <c r="Z24">
        <f>IF(COUNTIFS(T_StockCount[Part Name],$A24,T_StockCount[WeekIndex],25)&gt;0,SUMIFS(T_StockCount[CountedQty],T_StockCount[Part Name],$A24,T_StockCount[WeekIndex],25),IF((('T_SelfStock'!Z28&lt;&gt;""))*(('T_TTAFStock'!Z28&lt;&gt;""))&gt;0,'T_SelfStock'!Z28+'T_TTAFStock'!Z28,Y24+'Grid_Incoming'!Z24-'Grid_Requirement'!Z24))</f>
        <v/>
      </c>
      <c r="AA24">
        <f>IF(COUNTIFS(T_StockCount[Part Name],$A24,T_StockCount[WeekIndex],26)&gt;0,SUMIFS(T_StockCount[CountedQty],T_StockCount[Part Name],$A24,T_StockCount[WeekIndex],26),IF((('T_SelfStock'!AA28&lt;&gt;""))*(('T_TTAFStock'!AA28&lt;&gt;""))&gt;0,'T_SelfStock'!AA28+'T_TTAFStock'!AA28,Z24+'Grid_Incoming'!AA24-'Grid_Requirement'!AA24))</f>
        <v/>
      </c>
      <c r="AB24">
        <f>IF(COUNTIFS(T_StockCount[Part Name],$A24,T_StockCount[WeekIndex],27)&gt;0,SUMIFS(T_StockCount[CountedQty],T_StockCount[Part Name],$A24,T_StockCount[WeekIndex],27),IF((('T_SelfStock'!AB28&lt;&gt;""))*(('T_TTAFStock'!AB28&lt;&gt;""))&gt;0,'T_SelfStock'!AB28+'T_TTAFStock'!AB28,AA24+'Grid_Incoming'!AB24-'Grid_Requirement'!AB24))</f>
        <v/>
      </c>
      <c r="AC24">
        <f>IF(COUNTIFS(T_StockCount[Part Name],$A24,T_StockCount[WeekIndex],28)&gt;0,SUMIFS(T_StockCount[CountedQty],T_StockCount[Part Name],$A24,T_StockCount[WeekIndex],28),IF((('T_SelfStock'!AC28&lt;&gt;""))*(('T_TTAFStock'!AC28&lt;&gt;""))&gt;0,'T_SelfStock'!AC28+'T_TTAFStock'!AC28,AB24+'Grid_Incoming'!AC24-'Grid_Requirement'!AC24))</f>
        <v/>
      </c>
      <c r="AD24">
        <f>IF(COUNTIFS(T_StockCount[Part Name],$A24,T_StockCount[WeekIndex],29)&gt;0,SUMIFS(T_StockCount[CountedQty],T_StockCount[Part Name],$A24,T_StockCount[WeekIndex],29),IF((('T_SelfStock'!AD28&lt;&gt;""))*(('T_TTAFStock'!AD28&lt;&gt;""))&gt;0,'T_SelfStock'!AD28+'T_TTAFStock'!AD28,AC24+'Grid_Incoming'!AD24-'Grid_Requirement'!AD24))</f>
        <v/>
      </c>
      <c r="AE24">
        <f>IF(COUNTIFS(T_StockCount[Part Name],$A24,T_StockCount[WeekIndex],30)&gt;0,SUMIFS(T_StockCount[CountedQty],T_StockCount[Part Name],$A24,T_StockCount[WeekIndex],30),IF((('T_SelfStock'!AE28&lt;&gt;""))*(('T_TTAFStock'!AE28&lt;&gt;""))&gt;0,'T_SelfStock'!AE28+'T_TTAFStock'!AE28,AD24+'Grid_Incoming'!AE24-'Grid_Requirement'!AE24))</f>
        <v/>
      </c>
      <c r="AF24">
        <f>IF(COUNTIFS(T_StockCount[Part Name],$A24,T_StockCount[WeekIndex],31)&gt;0,SUMIFS(T_StockCount[CountedQty],T_StockCount[Part Name],$A24,T_StockCount[WeekIndex],31),IF((('T_SelfStock'!AF28&lt;&gt;""))*(('T_TTAFStock'!AF28&lt;&gt;""))&gt;0,'T_SelfStock'!AF28+'T_TTAFStock'!AF28,AE24+'Grid_Incoming'!AF24-'Grid_Requirement'!AF24))</f>
        <v/>
      </c>
      <c r="AG24">
        <f>IF(COUNTIFS(T_StockCount[Part Name],$A24,T_StockCount[WeekIndex],32)&gt;0,SUMIFS(T_StockCount[CountedQty],T_StockCount[Part Name],$A24,T_StockCount[WeekIndex],32),IF((('T_SelfStock'!AG28&lt;&gt;""))*(('T_TTAFStock'!AG28&lt;&gt;""))&gt;0,'T_SelfStock'!AG28+'T_TTAFStock'!AG28,AF24+'Grid_Incoming'!AG24-'Grid_Requirement'!AG24))</f>
        <v/>
      </c>
      <c r="AH24">
        <f>IF(COUNTIFS(T_StockCount[Part Name],$A24,T_StockCount[WeekIndex],33)&gt;0,SUMIFS(T_StockCount[CountedQty],T_StockCount[Part Name],$A24,T_StockCount[WeekIndex],33),IF((('T_SelfStock'!AH28&lt;&gt;""))*(('T_TTAFStock'!AH28&lt;&gt;""))&gt;0,'T_SelfStock'!AH28+'T_TTAFStock'!AH28,AG24+'Grid_Incoming'!AH24-'Grid_Requirement'!AH24))</f>
        <v/>
      </c>
      <c r="AI24">
        <f>IF(COUNTIFS(T_StockCount[Part Name],$A24,T_StockCount[WeekIndex],34)&gt;0,SUMIFS(T_StockCount[CountedQty],T_StockCount[Part Name],$A24,T_StockCount[WeekIndex],34),IF((('T_SelfStock'!AI28&lt;&gt;""))*(('T_TTAFStock'!AI28&lt;&gt;""))&gt;0,'T_SelfStock'!AI28+'T_TTAFStock'!AI28,AH24+'Grid_Incoming'!AI24-'Grid_Requirement'!AI24))</f>
        <v/>
      </c>
      <c r="AJ24">
        <f>IF(COUNTIFS(T_StockCount[Part Name],$A24,T_StockCount[WeekIndex],35)&gt;0,SUMIFS(T_StockCount[CountedQty],T_StockCount[Part Name],$A24,T_StockCount[WeekIndex],35),IF((('T_SelfStock'!AJ28&lt;&gt;""))*(('T_TTAFStock'!AJ28&lt;&gt;""))&gt;0,'T_SelfStock'!AJ28+'T_TTAFStock'!AJ28,AI24+'Grid_Incoming'!AJ24-'Grid_Requirement'!AJ24))</f>
        <v/>
      </c>
      <c r="AK24">
        <f>IF(COUNTIFS(T_StockCount[Part Name],$A24,T_StockCount[WeekIndex],36)&gt;0,SUMIFS(T_StockCount[CountedQty],T_StockCount[Part Name],$A24,T_StockCount[WeekIndex],36),IF((('T_SelfStock'!AK28&lt;&gt;""))*(('T_TTAFStock'!AK28&lt;&gt;""))&gt;0,'T_SelfStock'!AK28+'T_TTAFStock'!AK28,AJ24+'Grid_Incoming'!AK24-'Grid_Requirement'!AK24))</f>
        <v/>
      </c>
      <c r="AL24">
        <f>IF(COUNTIFS(T_StockCount[Part Name],$A24,T_StockCount[WeekIndex],37)&gt;0,SUMIFS(T_StockCount[CountedQty],T_StockCount[Part Name],$A24,T_StockCount[WeekIndex],37),IF((('T_SelfStock'!AL28&lt;&gt;""))*(('T_TTAFStock'!AL28&lt;&gt;""))&gt;0,'T_SelfStock'!AL28+'T_TTAFStock'!AL28,AK24+'Grid_Incoming'!AL24-'Grid_Requirement'!AL24))</f>
        <v/>
      </c>
      <c r="AM24">
        <f>IF(COUNTIFS(T_StockCount[Part Name],$A24,T_StockCount[WeekIndex],38)&gt;0,SUMIFS(T_StockCount[CountedQty],T_StockCount[Part Name],$A24,T_StockCount[WeekIndex],38),IF((('T_SelfStock'!AM28&lt;&gt;""))*(('T_TTAFStock'!AM28&lt;&gt;""))&gt;0,'T_SelfStock'!AM28+'T_TTAFStock'!AM28,AL24+'Grid_Incoming'!AM24-'Grid_Requirement'!AM24))</f>
        <v/>
      </c>
      <c r="AN24">
        <f>IF(COUNTIFS(T_StockCount[Part Name],$A24,T_StockCount[WeekIndex],39)&gt;0,SUMIFS(T_StockCount[CountedQty],T_StockCount[Part Name],$A24,T_StockCount[WeekIndex],39),IF((('T_SelfStock'!AN28&lt;&gt;""))*(('T_TTAFStock'!AN28&lt;&gt;""))&gt;0,'T_SelfStock'!AN28+'T_TTAFStock'!AN28,AM24+'Grid_Incoming'!AN24-'Grid_Requirement'!AN24))</f>
        <v/>
      </c>
      <c r="AO24">
        <f>IF(COUNTIFS(T_StockCount[Part Name],$A24,T_StockCount[WeekIndex],40)&gt;0,SUMIFS(T_StockCount[CountedQty],T_StockCount[Part Name],$A24,T_StockCount[WeekIndex],40),IF((('T_SelfStock'!AO28&lt;&gt;""))*(('T_TTAFStock'!AO28&lt;&gt;""))&gt;0,'T_SelfStock'!AO28+'T_TTAFStock'!AO28,AN24+'Grid_Incoming'!AO24-'Grid_Requirement'!AO24))</f>
        <v/>
      </c>
      <c r="AP24">
        <f>IF(COUNTIFS(T_StockCount[Part Name],$A24,T_StockCount[WeekIndex],41)&gt;0,SUMIFS(T_StockCount[CountedQty],T_StockCount[Part Name],$A24,T_StockCount[WeekIndex],41),IF((('T_SelfStock'!AP28&lt;&gt;""))*(('T_TTAFStock'!AP28&lt;&gt;""))&gt;0,'T_SelfStock'!AP28+'T_TTAFStock'!AP28,AO24+'Grid_Incoming'!AP24-'Grid_Requirement'!AP24))</f>
        <v/>
      </c>
      <c r="AQ24">
        <f>IF(COUNTIFS(T_StockCount[Part Name],$A24,T_StockCount[WeekIndex],42)&gt;0,SUMIFS(T_StockCount[CountedQty],T_StockCount[Part Name],$A24,T_StockCount[WeekIndex],42),IF((('T_SelfStock'!AQ28&lt;&gt;""))*(('T_TTAFStock'!AQ28&lt;&gt;""))&gt;0,'T_SelfStock'!AQ28+'T_TTAFStock'!AQ28,AP24+'Grid_Incoming'!AQ24-'Grid_Requirement'!AQ24))</f>
        <v/>
      </c>
      <c r="AR24">
        <f>IF(COUNTIFS(T_StockCount[Part Name],$A24,T_StockCount[WeekIndex],43)&gt;0,SUMIFS(T_StockCount[CountedQty],T_StockCount[Part Name],$A24,T_StockCount[WeekIndex],43),IF((('T_SelfStock'!AR28&lt;&gt;""))*(('T_TTAFStock'!AR28&lt;&gt;""))&gt;0,'T_SelfStock'!AR28+'T_TTAFStock'!AR28,AQ24+'Grid_Incoming'!AR24-'Grid_Requirement'!AR24))</f>
        <v/>
      </c>
      <c r="AS24">
        <f>IF(COUNTIFS(T_StockCount[Part Name],$A24,T_StockCount[WeekIndex],44)&gt;0,SUMIFS(T_StockCount[CountedQty],T_StockCount[Part Name],$A24,T_StockCount[WeekIndex],44),IF((('T_SelfStock'!AS28&lt;&gt;""))*(('T_TTAFStock'!AS28&lt;&gt;""))&gt;0,'T_SelfStock'!AS28+'T_TTAFStock'!AS28,AR24+'Grid_Incoming'!AS24-'Grid_Requirement'!AS24))</f>
        <v/>
      </c>
      <c r="AT24">
        <f>IF(COUNTIFS(T_StockCount[Part Name],$A24,T_StockCount[WeekIndex],45)&gt;0,SUMIFS(T_StockCount[CountedQty],T_StockCount[Part Name],$A24,T_StockCount[WeekIndex],45),IF((('T_SelfStock'!AT28&lt;&gt;""))*(('T_TTAFStock'!AT28&lt;&gt;""))&gt;0,'T_SelfStock'!AT28+'T_TTAFStock'!AT28,AS24+'Grid_Incoming'!AT24-'Grid_Requirement'!AT24))</f>
        <v/>
      </c>
      <c r="AU24">
        <f>IF(COUNTIFS(T_StockCount[Part Name],$A24,T_StockCount[WeekIndex],46)&gt;0,SUMIFS(T_StockCount[CountedQty],T_StockCount[Part Name],$A24,T_StockCount[WeekIndex],46),IF((('T_SelfStock'!AU28&lt;&gt;""))*(('T_TTAFStock'!AU28&lt;&gt;""))&gt;0,'T_SelfStock'!AU28+'T_TTAFStock'!AU28,AT24+'Grid_Incoming'!AU24-'Grid_Requirement'!AU24))</f>
        <v/>
      </c>
      <c r="AV24">
        <f>IF(COUNTIFS(T_StockCount[Part Name],$A24,T_StockCount[WeekIndex],47)&gt;0,SUMIFS(T_StockCount[CountedQty],T_StockCount[Part Name],$A24,T_StockCount[WeekIndex],47),IF((('T_SelfStock'!AV28&lt;&gt;""))*(('T_TTAFStock'!AV28&lt;&gt;""))&gt;0,'T_SelfStock'!AV28+'T_TTAFStock'!AV28,AU24+'Grid_Incoming'!AV24-'Grid_Requirement'!AV24))</f>
        <v/>
      </c>
      <c r="AW24">
        <f>IF(COUNTIFS(T_StockCount[Part Name],$A24,T_StockCount[WeekIndex],48)&gt;0,SUMIFS(T_StockCount[CountedQty],T_StockCount[Part Name],$A24,T_StockCount[WeekIndex],48),IF((('T_SelfStock'!AW28&lt;&gt;""))*(('T_TTAFStock'!AW28&lt;&gt;""))&gt;0,'T_SelfStock'!AW28+'T_TTAFStock'!AW28,AV24+'Grid_Incoming'!AW24-'Grid_Requirement'!AW24))</f>
        <v/>
      </c>
      <c r="AX24">
        <f>IF(COUNTIFS(T_StockCount[Part Name],$A24,T_StockCount[WeekIndex],49)&gt;0,SUMIFS(T_StockCount[CountedQty],T_StockCount[Part Name],$A24,T_StockCount[WeekIndex],49),IF((('T_SelfStock'!AX28&lt;&gt;""))*(('T_TTAFStock'!AX28&lt;&gt;""))&gt;0,'T_SelfStock'!AX28+'T_TTAFStock'!AX28,AW24+'Grid_Incoming'!AX24-'Grid_Requirement'!AX24))</f>
        <v/>
      </c>
      <c r="AY24">
        <f>IF(COUNTIFS(T_StockCount[Part Name],$A24,T_StockCount[WeekIndex],50)&gt;0,SUMIFS(T_StockCount[CountedQty],T_StockCount[Part Name],$A24,T_StockCount[WeekIndex],50),IF((('T_SelfStock'!AY28&lt;&gt;""))*(('T_TTAFStock'!AY28&lt;&gt;""))&gt;0,'T_SelfStock'!AY28+'T_TTAFStock'!AY28,AX24+'Grid_Incoming'!AY24-'Grid_Requirement'!AY24))</f>
        <v/>
      </c>
      <c r="AZ24">
        <f>IF(COUNTIFS(T_StockCount[Part Name],$A24,T_StockCount[WeekIndex],51)&gt;0,SUMIFS(T_StockCount[CountedQty],T_StockCount[Part Name],$A24,T_StockCount[WeekIndex],51),IF((('T_SelfStock'!AZ28&lt;&gt;""))*(('T_TTAFStock'!AZ28&lt;&gt;""))&gt;0,'T_SelfStock'!AZ28+'T_TTAFStock'!AZ28,AY24+'Grid_Incoming'!AZ24-'Grid_Requirement'!AZ24))</f>
        <v/>
      </c>
      <c r="BA24">
        <f>IF(COUNTIFS(T_StockCount[Part Name],$A24,T_StockCount[WeekIndex],52)&gt;0,SUMIFS(T_StockCount[CountedQty],T_StockCount[Part Name],$A24,T_StockCount[WeekIndex],52),IF((('T_SelfStock'!BA28&lt;&gt;""))*(('T_TTAFStock'!BA28&lt;&gt;""))&gt;0,'T_SelfStock'!BA28+'T_TTAFStock'!BA28,AZ24+'Grid_Incoming'!BA24-'Grid_Requirement'!BA24))</f>
        <v/>
      </c>
      <c r="BB24">
        <f>IF(COUNTIFS(T_StockCount[Part Name],$A24,T_StockCount[WeekIndex],53)&gt;0,SUMIFS(T_StockCount[CountedQty],T_StockCount[Part Name],$A24,T_StockCount[WeekIndex],53),IF((('T_SelfStock'!BB28&lt;&gt;""))*(('T_TTAFStock'!BB28&lt;&gt;""))&gt;0,'T_SelfStock'!BB28+'T_TTAFStock'!BB28,BA24+'Grid_Incoming'!BB24-'Grid_Requirement'!BB24))</f>
        <v/>
      </c>
      <c r="BC24">
        <f>IF(COUNTIFS(T_StockCount[Part Name],$A24,T_StockCount[WeekIndex],54)&gt;0,SUMIFS(T_StockCount[CountedQty],T_StockCount[Part Name],$A24,T_StockCount[WeekIndex],54),IF((('T_SelfStock'!BC28&lt;&gt;""))*(('T_TTAFStock'!BC28&lt;&gt;""))&gt;0,'T_SelfStock'!BC28+'T_TTAFStock'!BC28,BB24+'Grid_Incoming'!BC24-'Grid_Requirement'!BC24))</f>
        <v/>
      </c>
      <c r="BD24">
        <f>IF(COUNTIFS(T_StockCount[Part Name],$A24,T_StockCount[WeekIndex],55)&gt;0,SUMIFS(T_StockCount[CountedQty],T_StockCount[Part Name],$A24,T_StockCount[WeekIndex],55),IF((('T_SelfStock'!BD28&lt;&gt;""))*(('T_TTAFStock'!BD28&lt;&gt;""))&gt;0,'T_SelfStock'!BD28+'T_TTAFStock'!BD28,BC24+'Grid_Incoming'!BD24-'Grid_Requirement'!BD24))</f>
        <v/>
      </c>
      <c r="BE24">
        <f>IF(COUNTIFS(T_StockCount[Part Name],$A24,T_StockCount[WeekIndex],56)&gt;0,SUMIFS(T_StockCount[CountedQty],T_StockCount[Part Name],$A24,T_StockCount[WeekIndex],56),IF((('T_SelfStock'!BE28&lt;&gt;""))*(('T_TTAFStock'!BE28&lt;&gt;""))&gt;0,'T_SelfStock'!BE28+'T_TTAFStock'!BE28,BD24+'Grid_Incoming'!BE24-'Grid_Requirement'!BE24))</f>
        <v/>
      </c>
      <c r="BF24">
        <f>IF(COUNTIFS(T_StockCount[Part Name],$A24,T_StockCount[WeekIndex],57)&gt;0,SUMIFS(T_StockCount[CountedQty],T_StockCount[Part Name],$A24,T_StockCount[WeekIndex],57),IF((('T_SelfStock'!BF28&lt;&gt;""))*(('T_TTAFStock'!BF28&lt;&gt;""))&gt;0,'T_SelfStock'!BF28+'T_TTAFStock'!BF28,BE24+'Grid_Incoming'!BF24-'Grid_Requirement'!BF24))</f>
        <v/>
      </c>
      <c r="BG24">
        <f>IF(COUNTIFS(T_StockCount[Part Name],$A24,T_StockCount[WeekIndex],58)&gt;0,SUMIFS(T_StockCount[CountedQty],T_StockCount[Part Name],$A24,T_StockCount[WeekIndex],58),IF((('T_SelfStock'!BG28&lt;&gt;""))*(('T_TTAFStock'!BG28&lt;&gt;""))&gt;0,'T_SelfStock'!BG28+'T_TTAFStock'!BG28,BF24+'Grid_Incoming'!BG24-'Grid_Requirement'!BG24))</f>
        <v/>
      </c>
      <c r="BH24">
        <f>IF(COUNTIFS(T_StockCount[Part Name],$A24,T_StockCount[WeekIndex],59)&gt;0,SUMIFS(T_StockCount[CountedQty],T_StockCount[Part Name],$A24,T_StockCount[WeekIndex],59),IF((('T_SelfStock'!BH28&lt;&gt;""))*(('T_TTAFStock'!BH28&lt;&gt;""))&gt;0,'T_SelfStock'!BH28+'T_TTAFStock'!BH28,BG24+'Grid_Incoming'!BH24-'Grid_Requirement'!BH24))</f>
        <v/>
      </c>
      <c r="BI24">
        <f>IF(COUNTIFS(T_StockCount[Part Name],$A24,T_StockCount[WeekIndex],60)&gt;0,SUMIFS(T_StockCount[CountedQty],T_StockCount[Part Name],$A24,T_StockCount[WeekIndex],60),IF((('T_SelfStock'!BI28&lt;&gt;""))*(('T_TTAFStock'!BI28&lt;&gt;""))&gt;0,'T_SelfStock'!BI28+'T_TTAFStock'!BI28,BH24+'Grid_Incoming'!BI24-'Grid_Requirement'!BI24))</f>
        <v/>
      </c>
      <c r="BJ24">
        <f>IF(COUNTIFS(T_StockCount[Part Name],$A24,T_StockCount[WeekIndex],61)&gt;0,SUMIFS(T_StockCount[CountedQty],T_StockCount[Part Name],$A24,T_StockCount[WeekIndex],61),IF((('T_SelfStock'!BJ28&lt;&gt;""))*(('T_TTAFStock'!BJ28&lt;&gt;""))&gt;0,'T_SelfStock'!BJ28+'T_TTAFStock'!BJ28,BI24+'Grid_Incoming'!BJ24-'Grid_Requirement'!BJ24))</f>
        <v/>
      </c>
      <c r="BK24">
        <f>IF(COUNTIFS(T_StockCount[Part Name],$A24,T_StockCount[WeekIndex],62)&gt;0,SUMIFS(T_StockCount[CountedQty],T_StockCount[Part Name],$A24,T_StockCount[WeekIndex],62),IF((('T_SelfStock'!BK28&lt;&gt;""))*(('T_TTAFStock'!BK28&lt;&gt;""))&gt;0,'T_SelfStock'!BK28+'T_TTAFStock'!BK28,BJ24+'Grid_Incoming'!BK24-'Grid_Requirement'!BK24))</f>
        <v/>
      </c>
      <c r="BL24">
        <f>IF(COUNTIFS(T_StockCount[Part Name],$A24,T_StockCount[WeekIndex],63)&gt;0,SUMIFS(T_StockCount[CountedQty],T_StockCount[Part Name],$A24,T_StockCount[WeekIndex],63),IF((('T_SelfStock'!BL28&lt;&gt;""))*(('T_TTAFStock'!BL28&lt;&gt;""))&gt;0,'T_SelfStock'!BL28+'T_TTAFStock'!BL28,BK24+'Grid_Incoming'!BL24-'Grid_Requirement'!BL24))</f>
        <v/>
      </c>
      <c r="BM24">
        <f>IF(COUNTIFS(T_StockCount[Part Name],$A24,T_StockCount[WeekIndex],64)&gt;0,SUMIFS(T_StockCount[CountedQty],T_StockCount[Part Name],$A24,T_StockCount[WeekIndex],64),IF((('T_SelfStock'!BM28&lt;&gt;""))*(('T_TTAFStock'!BM28&lt;&gt;""))&gt;0,'T_SelfStock'!BM28+'T_TTAFStock'!BM28,BL24+'Grid_Incoming'!BM24-'Grid_Requirement'!BM24))</f>
        <v/>
      </c>
      <c r="BN24">
        <f>IF(COUNTIFS(T_StockCount[Part Name],$A24,T_StockCount[WeekIndex],65)&gt;0,SUMIFS(T_StockCount[CountedQty],T_StockCount[Part Name],$A24,T_StockCount[WeekIndex],65),IF((('T_SelfStock'!BN28&lt;&gt;""))*(('T_TTAFStock'!BN28&lt;&gt;""))&gt;0,'T_SelfStock'!BN28+'T_TTAFStock'!BN28,BM24+'Grid_Incoming'!BN24-'Grid_Requirement'!BN24))</f>
        <v/>
      </c>
      <c r="BO24">
        <f>IF(COUNTIFS(T_StockCount[Part Name],$A24,T_StockCount[WeekIndex],66)&gt;0,SUMIFS(T_StockCount[CountedQty],T_StockCount[Part Name],$A24,T_StockCount[WeekIndex],66),IF((('T_SelfStock'!BO28&lt;&gt;""))*(('T_TTAFStock'!BO28&lt;&gt;""))&gt;0,'T_SelfStock'!BO28+'T_TTAFStock'!BO28,BN24+'Grid_Incoming'!BO24-'Grid_Requirement'!BO24))</f>
        <v/>
      </c>
      <c r="BP24">
        <f>IF(COUNTIFS(T_StockCount[Part Name],$A24,T_StockCount[WeekIndex],67)&gt;0,SUMIFS(T_StockCount[CountedQty],T_StockCount[Part Name],$A24,T_StockCount[WeekIndex],67),IF((('T_SelfStock'!BP28&lt;&gt;""))*(('T_TTAFStock'!BP28&lt;&gt;""))&gt;0,'T_SelfStock'!BP28+'T_TTAFStock'!BP28,BO24+'Grid_Incoming'!BP24-'Grid_Requirement'!BP24))</f>
        <v/>
      </c>
      <c r="BQ24">
        <f>IF(COUNTIFS(T_StockCount[Part Name],$A24,T_StockCount[WeekIndex],68)&gt;0,SUMIFS(T_StockCount[CountedQty],T_StockCount[Part Name],$A24,T_StockCount[WeekIndex],68),IF((('T_SelfStock'!BQ28&lt;&gt;""))*(('T_TTAFStock'!BQ28&lt;&gt;""))&gt;0,'T_SelfStock'!BQ28+'T_TTAFStock'!BQ28,BP24+'Grid_Incoming'!BQ24-'Grid_Requirement'!BQ24))</f>
        <v/>
      </c>
      <c r="BR24">
        <f>IF(COUNTIFS(T_StockCount[Part Name],$A24,T_StockCount[WeekIndex],69)&gt;0,SUMIFS(T_StockCount[CountedQty],T_StockCount[Part Name],$A24,T_StockCount[WeekIndex],69),IF((('T_SelfStock'!BR28&lt;&gt;""))*(('T_TTAFStock'!BR28&lt;&gt;""))&gt;0,'T_SelfStock'!BR28+'T_TTAFStock'!BR28,BQ24+'Grid_Incoming'!BR24-'Grid_Requirement'!BR24))</f>
        <v/>
      </c>
      <c r="BS24">
        <f>IF(COUNTIFS(T_StockCount[Part Name],$A24,T_StockCount[WeekIndex],70)&gt;0,SUMIFS(T_StockCount[CountedQty],T_StockCount[Part Name],$A24,T_StockCount[WeekIndex],70),IF((('T_SelfStock'!BS28&lt;&gt;""))*(('T_TTAFStock'!BS28&lt;&gt;""))&gt;0,'T_SelfStock'!BS28+'T_TTAFStock'!BS28,BR24+'Grid_Incoming'!BS24-'Grid_Requirement'!BS24))</f>
        <v/>
      </c>
      <c r="BT24">
        <f>IF(COUNTIFS(T_StockCount[Part Name],$A24,T_StockCount[WeekIndex],71)&gt;0,SUMIFS(T_StockCount[CountedQty],T_StockCount[Part Name],$A24,T_StockCount[WeekIndex],71),IF((('T_SelfStock'!BT28&lt;&gt;""))*(('T_TTAFStock'!BT28&lt;&gt;""))&gt;0,'T_SelfStock'!BT28+'T_TTAFStock'!BT28,BS24+'Grid_Incoming'!BT24-'Grid_Requirement'!BT24))</f>
        <v/>
      </c>
      <c r="BU24">
        <f>IF(COUNTIFS(T_StockCount[Part Name],$A24,T_StockCount[WeekIndex],72)&gt;0,SUMIFS(T_StockCount[CountedQty],T_StockCount[Part Name],$A24,T_StockCount[WeekIndex],72),IF((('T_SelfStock'!BU28&lt;&gt;""))*(('T_TTAFStock'!BU28&lt;&gt;""))&gt;0,'T_SelfStock'!BU28+'T_TTAFStock'!BU28,BT24+'Grid_Incoming'!BU24-'Grid_Requirement'!BU24))</f>
        <v/>
      </c>
      <c r="BV24">
        <f>IF(COUNTIFS(T_StockCount[Part Name],$A24,T_StockCount[WeekIndex],73)&gt;0,SUMIFS(T_StockCount[CountedQty],T_StockCount[Part Name],$A24,T_StockCount[WeekIndex],73),IF((('T_SelfStock'!BV28&lt;&gt;""))*(('T_TTAFStock'!BV28&lt;&gt;""))&gt;0,'T_SelfStock'!BV28+'T_TTAFStock'!BV28,BU24+'Grid_Incoming'!BV24-'Grid_Requirement'!BV24))</f>
        <v/>
      </c>
      <c r="BW24">
        <f>IF(COUNTIFS(T_StockCount[Part Name],$A24,T_StockCount[WeekIndex],74)&gt;0,SUMIFS(T_StockCount[CountedQty],T_StockCount[Part Name],$A24,T_StockCount[WeekIndex],74),IF((('T_SelfStock'!BW28&lt;&gt;""))*(('T_TTAFStock'!BW28&lt;&gt;""))&gt;0,'T_SelfStock'!BW28+'T_TTAFStock'!BW28,BV24+'Grid_Incoming'!BW24-'Grid_Requirement'!BW24))</f>
        <v/>
      </c>
      <c r="BX24">
        <f>IF(COUNTIFS(T_StockCount[Part Name],$A24,T_StockCount[WeekIndex],75)&gt;0,SUMIFS(T_StockCount[CountedQty],T_StockCount[Part Name],$A24,T_StockCount[WeekIndex],75),IF((('T_SelfStock'!BX28&lt;&gt;""))*(('T_TTAFStock'!BX28&lt;&gt;""))&gt;0,'T_SelfStock'!BX28+'T_TTAFStock'!BX28,BW24+'Grid_Incoming'!BX24-'Grid_Requirement'!BX24))</f>
        <v/>
      </c>
      <c r="BY24">
        <f>IF(COUNTIFS(T_StockCount[Part Name],$A24,T_StockCount[WeekIndex],76)&gt;0,SUMIFS(T_StockCount[CountedQty],T_StockCount[Part Name],$A24,T_StockCount[WeekIndex],76),IF((('T_SelfStock'!BY28&lt;&gt;""))*(('T_TTAFStock'!BY28&lt;&gt;""))&gt;0,'T_SelfStock'!BY28+'T_TTAFStock'!BY28,BX24+'Grid_Incoming'!BY24-'Grid_Requirement'!BY24))</f>
        <v/>
      </c>
      <c r="BZ24">
        <f>IF(COUNTIFS(T_StockCount[Part Name],$A24,T_StockCount[WeekIndex],77)&gt;0,SUMIFS(T_StockCount[CountedQty],T_StockCount[Part Name],$A24,T_StockCount[WeekIndex],77),IF((('T_SelfStock'!BZ28&lt;&gt;""))*(('T_TTAFStock'!BZ28&lt;&gt;""))&gt;0,'T_SelfStock'!BZ28+'T_TTAFStock'!BZ28,BY24+'Grid_Incoming'!BZ24-'Grid_Requirement'!BZ24))</f>
        <v/>
      </c>
      <c r="CA24">
        <f>IF(COUNTIFS(T_StockCount[Part Name],$A24,T_StockCount[WeekIndex],78)&gt;0,SUMIFS(T_StockCount[CountedQty],T_StockCount[Part Name],$A24,T_StockCount[WeekIndex],78),IF((('T_SelfStock'!CA28&lt;&gt;""))*(('T_TTAFStock'!CA28&lt;&gt;""))&gt;0,'T_SelfStock'!CA28+'T_TTAFStock'!CA28,BZ24+'Grid_Incoming'!CA24-'Grid_Requirement'!CA24))</f>
        <v/>
      </c>
      <c r="CB24">
        <f>IF(COUNTIFS(T_StockCount[Part Name],$A24,T_StockCount[WeekIndex],79)&gt;0,SUMIFS(T_StockCount[CountedQty],T_StockCount[Part Name],$A24,T_StockCount[WeekIndex],79),IF((('T_SelfStock'!CB28&lt;&gt;""))*(('T_TTAFStock'!CB28&lt;&gt;""))&gt;0,'T_SelfStock'!CB28+'T_TTAFStock'!CB28,CA24+'Grid_Incoming'!CB24-'Grid_Requirement'!CB24))</f>
        <v/>
      </c>
      <c r="CC24">
        <f>IF(COUNTIFS(T_StockCount[Part Name],$A24,T_StockCount[WeekIndex],80)&gt;0,SUMIFS(T_StockCount[CountedQty],T_StockCount[Part Name],$A24,T_StockCount[WeekIndex],80),IF((('T_SelfStock'!CC28&lt;&gt;""))*(('T_TTAFStock'!CC28&lt;&gt;""))&gt;0,'T_SelfStock'!CC28+'T_TTAFStock'!CC28,CB24+'Grid_Incoming'!CC24-'Grid_Requirement'!CC24))</f>
        <v/>
      </c>
      <c r="CD24">
        <f>IF(COUNTIFS(T_StockCount[Part Name],$A24,T_StockCount[WeekIndex],81)&gt;0,SUMIFS(T_StockCount[CountedQty],T_StockCount[Part Name],$A24,T_StockCount[WeekIndex],81),IF((('T_SelfStock'!CD28&lt;&gt;""))*(('T_TTAFStock'!CD28&lt;&gt;""))&gt;0,'T_SelfStock'!CD28+'T_TTAFStock'!CD28,CC24+'Grid_Incoming'!CD24-'Grid_Requirement'!CD24))</f>
        <v/>
      </c>
      <c r="CE24">
        <f>IF(COUNTIFS(T_StockCount[Part Name],$A24,T_StockCount[WeekIndex],82)&gt;0,SUMIFS(T_StockCount[CountedQty],T_StockCount[Part Name],$A24,T_StockCount[WeekIndex],82),IF((('T_SelfStock'!CE28&lt;&gt;""))*(('T_TTAFStock'!CE28&lt;&gt;""))&gt;0,'T_SelfStock'!CE28+'T_TTAFStock'!CE28,CD24+'Grid_Incoming'!CE24-'Grid_Requirement'!CE24))</f>
        <v/>
      </c>
      <c r="CF24">
        <f>IF(COUNTIFS(T_StockCount[Part Name],$A24,T_StockCount[WeekIndex],83)&gt;0,SUMIFS(T_StockCount[CountedQty],T_StockCount[Part Name],$A24,T_StockCount[WeekIndex],83),IF((('T_SelfStock'!CF28&lt;&gt;""))*(('T_TTAFStock'!CF28&lt;&gt;""))&gt;0,'T_SelfStock'!CF28+'T_TTAFStock'!CF28,CE24+'Grid_Incoming'!CF24-'Grid_Requirement'!CF24))</f>
        <v/>
      </c>
      <c r="CG24">
        <f>IF(COUNTIFS(T_StockCount[Part Name],$A24,T_StockCount[WeekIndex],84)&gt;0,SUMIFS(T_StockCount[CountedQty],T_StockCount[Part Name],$A24,T_StockCount[WeekIndex],84),IF((('T_SelfStock'!CG28&lt;&gt;""))*(('T_TTAFStock'!CG28&lt;&gt;""))&gt;0,'T_SelfStock'!CG28+'T_TTAFStock'!CG28,CF24+'Grid_Incoming'!CG24-'Grid_Requirement'!CG24))</f>
        <v/>
      </c>
      <c r="CH24">
        <f>IF(COUNTIFS(T_StockCount[Part Name],$A24,T_StockCount[WeekIndex],85)&gt;0,SUMIFS(T_StockCount[CountedQty],T_StockCount[Part Name],$A24,T_StockCount[WeekIndex],85),IF((('T_SelfStock'!CH28&lt;&gt;""))*(('T_TTAFStock'!CH28&lt;&gt;""))&gt;0,'T_SelfStock'!CH28+'T_TTAFStock'!CH28,CG24+'Grid_Incoming'!CH24-'Grid_Requirement'!CH24))</f>
        <v/>
      </c>
      <c r="CI24">
        <f>IF(COUNTIFS(T_StockCount[Part Name],$A24,T_StockCount[WeekIndex],86)&gt;0,SUMIFS(T_StockCount[CountedQty],T_StockCount[Part Name],$A24,T_StockCount[WeekIndex],86),IF((('T_SelfStock'!CI28&lt;&gt;""))*(('T_TTAFStock'!CI28&lt;&gt;""))&gt;0,'T_SelfStock'!CI28+'T_TTAFStock'!CI28,CH24+'Grid_Incoming'!CI24-'Grid_Requirement'!CI24))</f>
        <v/>
      </c>
      <c r="CJ24">
        <f>IF(COUNTIFS(T_StockCount[Part Name],$A24,T_StockCount[WeekIndex],87)&gt;0,SUMIFS(T_StockCount[CountedQty],T_StockCount[Part Name],$A24,T_StockCount[WeekIndex],87),IF((('T_SelfStock'!CJ28&lt;&gt;""))*(('T_TTAFStock'!CJ28&lt;&gt;""))&gt;0,'T_SelfStock'!CJ28+'T_TTAFStock'!CJ28,CI24+'Grid_Incoming'!CJ24-'Grid_Requirement'!CJ24))</f>
        <v/>
      </c>
      <c r="CK24">
        <f>IF(COUNTIFS(T_StockCount[Part Name],$A24,T_StockCount[WeekIndex],88)&gt;0,SUMIFS(T_StockCount[CountedQty],T_StockCount[Part Name],$A24,T_StockCount[WeekIndex],88),IF((('T_SelfStock'!CK28&lt;&gt;""))*(('T_TTAFStock'!CK28&lt;&gt;""))&gt;0,'T_SelfStock'!CK28+'T_TTAFStock'!CK28,CJ24+'Grid_Incoming'!CK24-'Grid_Requirement'!CK24))</f>
        <v/>
      </c>
      <c r="CL24">
        <f>IF(COUNTIFS(T_StockCount[Part Name],$A24,T_StockCount[WeekIndex],89)&gt;0,SUMIFS(T_StockCount[CountedQty],T_StockCount[Part Name],$A24,T_StockCount[WeekIndex],89),IF((('T_SelfStock'!CL28&lt;&gt;""))*(('T_TTAFStock'!CL28&lt;&gt;""))&gt;0,'T_SelfStock'!CL28+'T_TTAFStock'!CL28,CK24+'Grid_Incoming'!CL24-'Grid_Requirement'!CL24))</f>
        <v/>
      </c>
      <c r="CM24">
        <f>IF(COUNTIFS(T_StockCount[Part Name],$A24,T_StockCount[WeekIndex],90)&gt;0,SUMIFS(T_StockCount[CountedQty],T_StockCount[Part Name],$A24,T_StockCount[WeekIndex],90),IF((('T_SelfStock'!CM28&lt;&gt;""))*(('T_TTAFStock'!CM28&lt;&gt;""))&gt;0,'T_SelfStock'!CM28+'T_TTAFStock'!CM28,CL24+'Grid_Incoming'!CM24-'Grid_Requirement'!CM24))</f>
        <v/>
      </c>
      <c r="CN24">
        <f>IF(COUNTIFS(T_StockCount[Part Name],$A24,T_StockCount[WeekIndex],91)&gt;0,SUMIFS(T_StockCount[CountedQty],T_StockCount[Part Name],$A24,T_StockCount[WeekIndex],91),IF((('T_SelfStock'!CN28&lt;&gt;""))*(('T_TTAFStock'!CN28&lt;&gt;""))&gt;0,'T_SelfStock'!CN28+'T_TTAFStock'!CN28,CM24+'Grid_Incoming'!CN24-'Grid_Requirement'!CN24))</f>
        <v/>
      </c>
      <c r="CO24">
        <f>IF(COUNTIFS(T_StockCount[Part Name],$A24,T_StockCount[WeekIndex],92)&gt;0,SUMIFS(T_StockCount[CountedQty],T_StockCount[Part Name],$A24,T_StockCount[WeekIndex],92),IF((('T_SelfStock'!CO28&lt;&gt;""))*(('T_TTAFStock'!CO28&lt;&gt;""))&gt;0,'T_SelfStock'!CO28+'T_TTAFStock'!CO28,CN24+'Grid_Incoming'!CO24-'Grid_Requirement'!CO24))</f>
        <v/>
      </c>
      <c r="CP24">
        <f>IF(COUNTIFS(T_StockCount[Part Name],$A24,T_StockCount[WeekIndex],93)&gt;0,SUMIFS(T_StockCount[CountedQty],T_StockCount[Part Name],$A24,T_StockCount[WeekIndex],93),IF((('T_SelfStock'!CP28&lt;&gt;""))*(('T_TTAFStock'!CP28&lt;&gt;""))&gt;0,'T_SelfStock'!CP28+'T_TTAFStock'!CP28,CO24+'Grid_Incoming'!CP24-'Grid_Requirement'!CP24))</f>
        <v/>
      </c>
      <c r="CQ24">
        <f>IF(COUNTIFS(T_StockCount[Part Name],$A24,T_StockCount[WeekIndex],94)&gt;0,SUMIFS(T_StockCount[CountedQty],T_StockCount[Part Name],$A24,T_StockCount[WeekIndex],94),IF((('T_SelfStock'!CQ28&lt;&gt;""))*(('T_TTAFStock'!CQ28&lt;&gt;""))&gt;0,'T_SelfStock'!CQ28+'T_TTAFStock'!CQ28,CP24+'Grid_Incoming'!CQ24-'Grid_Requirement'!CQ24))</f>
        <v/>
      </c>
      <c r="CR24">
        <f>IF(COUNTIFS(T_StockCount[Part Name],$A24,T_StockCount[WeekIndex],95)&gt;0,SUMIFS(T_StockCount[CountedQty],T_StockCount[Part Name],$A24,T_StockCount[WeekIndex],95),IF((('T_SelfStock'!CR28&lt;&gt;""))*(('T_TTAFStock'!CR28&lt;&gt;""))&gt;0,'T_SelfStock'!CR28+'T_TTAFStock'!CR28,CQ24+'Grid_Incoming'!CR24-'Grid_Requirement'!CR24))</f>
        <v/>
      </c>
      <c r="CS24">
        <f>IF(COUNTIFS(T_StockCount[Part Name],$A24,T_StockCount[WeekIndex],96)&gt;0,SUMIFS(T_StockCount[CountedQty],T_StockCount[Part Name],$A24,T_StockCount[WeekIndex],96),IF((('T_SelfStock'!CS28&lt;&gt;""))*(('T_TTAFStock'!CS28&lt;&gt;""))&gt;0,'T_SelfStock'!CS28+'T_TTAFStock'!CS28,CR24+'Grid_Incoming'!CS24-'Grid_Requirement'!CS24))</f>
        <v/>
      </c>
      <c r="CT24">
        <f>IF(COUNTIFS(T_StockCount[Part Name],$A24,T_StockCount[WeekIndex],97)&gt;0,SUMIFS(T_StockCount[CountedQty],T_StockCount[Part Name],$A24,T_StockCount[WeekIndex],97),IF((('T_SelfStock'!CT28&lt;&gt;""))*(('T_TTAFStock'!CT28&lt;&gt;""))&gt;0,'T_SelfStock'!CT28+'T_TTAFStock'!CT28,CS24+'Grid_Incoming'!CT24-'Grid_Requirement'!CT24))</f>
        <v/>
      </c>
      <c r="CU24">
        <f>IF(COUNTIFS(T_StockCount[Part Name],$A24,T_StockCount[WeekIndex],98)&gt;0,SUMIFS(T_StockCount[CountedQty],T_StockCount[Part Name],$A24,T_StockCount[WeekIndex],98),IF((('T_SelfStock'!CU28&lt;&gt;""))*(('T_TTAFStock'!CU28&lt;&gt;""))&gt;0,'T_SelfStock'!CU28+'T_TTAFStock'!CU28,CT24+'Grid_Incoming'!CU24-'Grid_Requirement'!CU24))</f>
        <v/>
      </c>
      <c r="CV24">
        <f>IF(COUNTIFS(T_StockCount[Part Name],$A24,T_StockCount[WeekIndex],99)&gt;0,SUMIFS(T_StockCount[CountedQty],T_StockCount[Part Name],$A24,T_StockCount[WeekIndex],99),IF((('T_SelfStock'!CV28&lt;&gt;""))*(('T_TTAFStock'!CV28&lt;&gt;""))&gt;0,'T_SelfStock'!CV28+'T_TTAFStock'!CV28,CU24+'Grid_Incoming'!CV24-'Grid_Requirement'!CV24))</f>
        <v/>
      </c>
      <c r="CW24">
        <f>IF(COUNTIFS(T_StockCount[Part Name],$A24,T_StockCount[WeekIndex],100)&gt;0,SUMIFS(T_StockCount[CountedQty],T_StockCount[Part Name],$A24,T_StockCount[WeekIndex],100),IF((('T_SelfStock'!CW28&lt;&gt;""))*(('T_TTAFStock'!CW28&lt;&gt;""))&gt;0,'T_SelfStock'!CW28+'T_TTAFStock'!CW28,CV24+'Grid_Incoming'!CW24-'Grid_Requirement'!CW24))</f>
        <v/>
      </c>
      <c r="CX24">
        <f>IF(COUNTIFS(T_StockCount[Part Name],$A24,T_StockCount[WeekIndex],101)&gt;0,SUMIFS(T_StockCount[CountedQty],T_StockCount[Part Name],$A24,T_StockCount[WeekIndex],101),IF((('T_SelfStock'!CX28&lt;&gt;""))*(('T_TTAFStock'!CX28&lt;&gt;""))&gt;0,'T_SelfStock'!CX28+'T_TTAFStock'!CX28,CW24+'Grid_Incoming'!CX24-'Grid_Requirement'!CX24))</f>
        <v/>
      </c>
      <c r="CY24">
        <f>IF(COUNTIFS(T_StockCount[Part Name],$A24,T_StockCount[WeekIndex],102)&gt;0,SUMIFS(T_StockCount[CountedQty],T_StockCount[Part Name],$A24,T_StockCount[WeekIndex],102),IF((('T_SelfStock'!CY28&lt;&gt;""))*(('T_TTAFStock'!CY28&lt;&gt;""))&gt;0,'T_SelfStock'!CY28+'T_TTAFStock'!CY28,CX24+'Grid_Incoming'!CY24-'Grid_Requirement'!CY24))</f>
        <v/>
      </c>
      <c r="CZ24">
        <f>IF(COUNTIFS(T_StockCount[Part Name],$A24,T_StockCount[WeekIndex],103)&gt;0,SUMIFS(T_StockCount[CountedQty],T_StockCount[Part Name],$A24,T_StockCount[WeekIndex],103),IF((('T_SelfStock'!CZ28&lt;&gt;""))*(('T_TTAFStock'!CZ28&lt;&gt;""))&gt;0,'T_SelfStock'!CZ28+'T_TTAFStock'!CZ28,CY24+'Grid_Incoming'!CZ24-'Grid_Requirement'!CZ24))</f>
        <v/>
      </c>
      <c r="DA24">
        <f>IF(COUNTIFS(T_StockCount[Part Name],$A24,T_StockCount[WeekIndex],104)&gt;0,SUMIFS(T_StockCount[CountedQty],T_StockCount[Part Name],$A24,T_StockCount[WeekIndex],104),IF((('T_SelfStock'!DA28&lt;&gt;""))*(('T_TTAFStock'!DA28&lt;&gt;""))&gt;0,'T_SelfStock'!DA28+'T_TTAFStock'!DA28,CZ24+'Grid_Incoming'!DA24-'Grid_Requirement'!DA24))</f>
        <v/>
      </c>
    </row>
    <row r="25">
      <c r="A25" t="inlineStr">
        <is>
          <t>CHEM-1200</t>
        </is>
      </c>
      <c r="B25">
        <f>IF(COUNTIFS(T_StockCount[Part Name],$A25,T_StockCount[WeekIndex],1)&gt;0,SUMIFS(T_StockCount[CountedQty],T_StockCount[Part Name],$A25,T_StockCount[WeekIndex],1),IF((('T_SelfStock'!B29&lt;&gt;""))*(('T_TTAFStock'!B29&lt;&gt;""))&gt;0,'T_SelfStock'!B29+'T_TTAFStock'!B29,IFERROR(INDEX(T_OpeningStock[Opening_Qty],MATCH($A25,T_OpeningStock[Part Name],0)),0)+'Grid_Incoming'!B25-'Grid_Requirement'!B25))</f>
        <v/>
      </c>
      <c r="C25">
        <f>IF(COUNTIFS(T_StockCount[Part Name],$A25,T_StockCount[WeekIndex],2)&gt;0,SUMIFS(T_StockCount[CountedQty],T_StockCount[Part Name],$A25,T_StockCount[WeekIndex],2),IF((('T_SelfStock'!C29&lt;&gt;""))*(('T_TTAFStock'!C29&lt;&gt;""))&gt;0,'T_SelfStock'!C29+'T_TTAFStock'!C29,B25+'Grid_Incoming'!C25-'Grid_Requirement'!C25))</f>
        <v/>
      </c>
      <c r="D25">
        <f>IF(COUNTIFS(T_StockCount[Part Name],$A25,T_StockCount[WeekIndex],3)&gt;0,SUMIFS(T_StockCount[CountedQty],T_StockCount[Part Name],$A25,T_StockCount[WeekIndex],3),IF((('T_SelfStock'!D29&lt;&gt;""))*(('T_TTAFStock'!D29&lt;&gt;""))&gt;0,'T_SelfStock'!D29+'T_TTAFStock'!D29,C25+'Grid_Incoming'!D25-'Grid_Requirement'!D25))</f>
        <v/>
      </c>
      <c r="E25">
        <f>IF(COUNTIFS(T_StockCount[Part Name],$A25,T_StockCount[WeekIndex],4)&gt;0,SUMIFS(T_StockCount[CountedQty],T_StockCount[Part Name],$A25,T_StockCount[WeekIndex],4),IF((('T_SelfStock'!E29&lt;&gt;""))*(('T_TTAFStock'!E29&lt;&gt;""))&gt;0,'T_SelfStock'!E29+'T_TTAFStock'!E29,D25+'Grid_Incoming'!E25-'Grid_Requirement'!E25))</f>
        <v/>
      </c>
      <c r="F25">
        <f>IF(COUNTIFS(T_StockCount[Part Name],$A25,T_StockCount[WeekIndex],5)&gt;0,SUMIFS(T_StockCount[CountedQty],T_StockCount[Part Name],$A25,T_StockCount[WeekIndex],5),IF((('T_SelfStock'!F29&lt;&gt;""))*(('T_TTAFStock'!F29&lt;&gt;""))&gt;0,'T_SelfStock'!F29+'T_TTAFStock'!F29,E25+'Grid_Incoming'!F25-'Grid_Requirement'!F25))</f>
        <v/>
      </c>
      <c r="G25">
        <f>IF(COUNTIFS(T_StockCount[Part Name],$A25,T_StockCount[WeekIndex],6)&gt;0,SUMIFS(T_StockCount[CountedQty],T_StockCount[Part Name],$A25,T_StockCount[WeekIndex],6),IF((('T_SelfStock'!G29&lt;&gt;""))*(('T_TTAFStock'!G29&lt;&gt;""))&gt;0,'T_SelfStock'!G29+'T_TTAFStock'!G29,F25+'Grid_Incoming'!G25-'Grid_Requirement'!G25))</f>
        <v/>
      </c>
      <c r="H25">
        <f>IF(COUNTIFS(T_StockCount[Part Name],$A25,T_StockCount[WeekIndex],7)&gt;0,SUMIFS(T_StockCount[CountedQty],T_StockCount[Part Name],$A25,T_StockCount[WeekIndex],7),IF((('T_SelfStock'!H29&lt;&gt;""))*(('T_TTAFStock'!H29&lt;&gt;""))&gt;0,'T_SelfStock'!H29+'T_TTAFStock'!H29,G25+'Grid_Incoming'!H25-'Grid_Requirement'!H25))</f>
        <v/>
      </c>
      <c r="I25">
        <f>IF(COUNTIFS(T_StockCount[Part Name],$A25,T_StockCount[WeekIndex],8)&gt;0,SUMIFS(T_StockCount[CountedQty],T_StockCount[Part Name],$A25,T_StockCount[WeekIndex],8),IF((('T_SelfStock'!I29&lt;&gt;""))*(('T_TTAFStock'!I29&lt;&gt;""))&gt;0,'T_SelfStock'!I29+'T_TTAFStock'!I29,H25+'Grid_Incoming'!I25-'Grid_Requirement'!I25))</f>
        <v/>
      </c>
      <c r="J25">
        <f>IF(COUNTIFS(T_StockCount[Part Name],$A25,T_StockCount[WeekIndex],9)&gt;0,SUMIFS(T_StockCount[CountedQty],T_StockCount[Part Name],$A25,T_StockCount[WeekIndex],9),IF((('T_SelfStock'!J29&lt;&gt;""))*(('T_TTAFStock'!J29&lt;&gt;""))&gt;0,'T_SelfStock'!J29+'T_TTAFStock'!J29,I25+'Grid_Incoming'!J25-'Grid_Requirement'!J25))</f>
        <v/>
      </c>
      <c r="K25">
        <f>IF(COUNTIFS(T_StockCount[Part Name],$A25,T_StockCount[WeekIndex],10)&gt;0,SUMIFS(T_StockCount[CountedQty],T_StockCount[Part Name],$A25,T_StockCount[WeekIndex],10),IF((('T_SelfStock'!K29&lt;&gt;""))*(('T_TTAFStock'!K29&lt;&gt;""))&gt;0,'T_SelfStock'!K29+'T_TTAFStock'!K29,J25+'Grid_Incoming'!K25-'Grid_Requirement'!K25))</f>
        <v/>
      </c>
      <c r="L25">
        <f>IF(COUNTIFS(T_StockCount[Part Name],$A25,T_StockCount[WeekIndex],11)&gt;0,SUMIFS(T_StockCount[CountedQty],T_StockCount[Part Name],$A25,T_StockCount[WeekIndex],11),IF((('T_SelfStock'!L29&lt;&gt;""))*(('T_TTAFStock'!L29&lt;&gt;""))&gt;0,'T_SelfStock'!L29+'T_TTAFStock'!L29,K25+'Grid_Incoming'!L25-'Grid_Requirement'!L25))</f>
        <v/>
      </c>
      <c r="M25">
        <f>IF(COUNTIFS(T_StockCount[Part Name],$A25,T_StockCount[WeekIndex],12)&gt;0,SUMIFS(T_StockCount[CountedQty],T_StockCount[Part Name],$A25,T_StockCount[WeekIndex],12),IF((('T_SelfStock'!M29&lt;&gt;""))*(('T_TTAFStock'!M29&lt;&gt;""))&gt;0,'T_SelfStock'!M29+'T_TTAFStock'!M29,L25+'Grid_Incoming'!M25-'Grid_Requirement'!M25))</f>
        <v/>
      </c>
      <c r="N25">
        <f>IF(COUNTIFS(T_StockCount[Part Name],$A25,T_StockCount[WeekIndex],13)&gt;0,SUMIFS(T_StockCount[CountedQty],T_StockCount[Part Name],$A25,T_StockCount[WeekIndex],13),IF((('T_SelfStock'!N29&lt;&gt;""))*(('T_TTAFStock'!N29&lt;&gt;""))&gt;0,'T_SelfStock'!N29+'T_TTAFStock'!N29,M25+'Grid_Incoming'!N25-'Grid_Requirement'!N25))</f>
        <v/>
      </c>
      <c r="O25">
        <f>IF(COUNTIFS(T_StockCount[Part Name],$A25,T_StockCount[WeekIndex],14)&gt;0,SUMIFS(T_StockCount[CountedQty],T_StockCount[Part Name],$A25,T_StockCount[WeekIndex],14),IF((('T_SelfStock'!O29&lt;&gt;""))*(('T_TTAFStock'!O29&lt;&gt;""))&gt;0,'T_SelfStock'!O29+'T_TTAFStock'!O29,N25+'Grid_Incoming'!O25-'Grid_Requirement'!O25))</f>
        <v/>
      </c>
      <c r="P25">
        <f>IF(COUNTIFS(T_StockCount[Part Name],$A25,T_StockCount[WeekIndex],15)&gt;0,SUMIFS(T_StockCount[CountedQty],T_StockCount[Part Name],$A25,T_StockCount[WeekIndex],15),IF((('T_SelfStock'!P29&lt;&gt;""))*(('T_TTAFStock'!P29&lt;&gt;""))&gt;0,'T_SelfStock'!P29+'T_TTAFStock'!P29,O25+'Grid_Incoming'!P25-'Grid_Requirement'!P25))</f>
        <v/>
      </c>
      <c r="Q25">
        <f>IF(COUNTIFS(T_StockCount[Part Name],$A25,T_StockCount[WeekIndex],16)&gt;0,SUMIFS(T_StockCount[CountedQty],T_StockCount[Part Name],$A25,T_StockCount[WeekIndex],16),IF((('T_SelfStock'!Q29&lt;&gt;""))*(('T_TTAFStock'!Q29&lt;&gt;""))&gt;0,'T_SelfStock'!Q29+'T_TTAFStock'!Q29,P25+'Grid_Incoming'!Q25-'Grid_Requirement'!Q25))</f>
        <v/>
      </c>
      <c r="R25">
        <f>IF(COUNTIFS(T_StockCount[Part Name],$A25,T_StockCount[WeekIndex],17)&gt;0,SUMIFS(T_StockCount[CountedQty],T_StockCount[Part Name],$A25,T_StockCount[WeekIndex],17),IF((('T_SelfStock'!R29&lt;&gt;""))*(('T_TTAFStock'!R29&lt;&gt;""))&gt;0,'T_SelfStock'!R29+'T_TTAFStock'!R29,Q25+'Grid_Incoming'!R25-'Grid_Requirement'!R25))</f>
        <v/>
      </c>
      <c r="S25">
        <f>IF(COUNTIFS(T_StockCount[Part Name],$A25,T_StockCount[WeekIndex],18)&gt;0,SUMIFS(T_StockCount[CountedQty],T_StockCount[Part Name],$A25,T_StockCount[WeekIndex],18),IF((('T_SelfStock'!S29&lt;&gt;""))*(('T_TTAFStock'!S29&lt;&gt;""))&gt;0,'T_SelfStock'!S29+'T_TTAFStock'!S29,R25+'Grid_Incoming'!S25-'Grid_Requirement'!S25))</f>
        <v/>
      </c>
      <c r="T25">
        <f>IF(COUNTIFS(T_StockCount[Part Name],$A25,T_StockCount[WeekIndex],19)&gt;0,SUMIFS(T_StockCount[CountedQty],T_StockCount[Part Name],$A25,T_StockCount[WeekIndex],19),IF((('T_SelfStock'!T29&lt;&gt;""))*(('T_TTAFStock'!T29&lt;&gt;""))&gt;0,'T_SelfStock'!T29+'T_TTAFStock'!T29,S25+'Grid_Incoming'!T25-'Grid_Requirement'!T25))</f>
        <v/>
      </c>
      <c r="U25">
        <f>IF(COUNTIFS(T_StockCount[Part Name],$A25,T_StockCount[WeekIndex],20)&gt;0,SUMIFS(T_StockCount[CountedQty],T_StockCount[Part Name],$A25,T_StockCount[WeekIndex],20),IF((('T_SelfStock'!U29&lt;&gt;""))*(('T_TTAFStock'!U29&lt;&gt;""))&gt;0,'T_SelfStock'!U29+'T_TTAFStock'!U29,T25+'Grid_Incoming'!U25-'Grid_Requirement'!U25))</f>
        <v/>
      </c>
      <c r="V25">
        <f>IF(COUNTIFS(T_StockCount[Part Name],$A25,T_StockCount[WeekIndex],21)&gt;0,SUMIFS(T_StockCount[CountedQty],T_StockCount[Part Name],$A25,T_StockCount[WeekIndex],21),IF((('T_SelfStock'!V29&lt;&gt;""))*(('T_TTAFStock'!V29&lt;&gt;""))&gt;0,'T_SelfStock'!V29+'T_TTAFStock'!V29,U25+'Grid_Incoming'!V25-'Grid_Requirement'!V25))</f>
        <v/>
      </c>
      <c r="W25">
        <f>IF(COUNTIFS(T_StockCount[Part Name],$A25,T_StockCount[WeekIndex],22)&gt;0,SUMIFS(T_StockCount[CountedQty],T_StockCount[Part Name],$A25,T_StockCount[WeekIndex],22),IF((('T_SelfStock'!W29&lt;&gt;""))*(('T_TTAFStock'!W29&lt;&gt;""))&gt;0,'T_SelfStock'!W29+'T_TTAFStock'!W29,V25+'Grid_Incoming'!W25-'Grid_Requirement'!W25))</f>
        <v/>
      </c>
      <c r="X25">
        <f>IF(COUNTIFS(T_StockCount[Part Name],$A25,T_StockCount[WeekIndex],23)&gt;0,SUMIFS(T_StockCount[CountedQty],T_StockCount[Part Name],$A25,T_StockCount[WeekIndex],23),IF((('T_SelfStock'!X29&lt;&gt;""))*(('T_TTAFStock'!X29&lt;&gt;""))&gt;0,'T_SelfStock'!X29+'T_TTAFStock'!X29,W25+'Grid_Incoming'!X25-'Grid_Requirement'!X25))</f>
        <v/>
      </c>
      <c r="Y25">
        <f>IF(COUNTIFS(T_StockCount[Part Name],$A25,T_StockCount[WeekIndex],24)&gt;0,SUMIFS(T_StockCount[CountedQty],T_StockCount[Part Name],$A25,T_StockCount[WeekIndex],24),IF((('T_SelfStock'!Y29&lt;&gt;""))*(('T_TTAFStock'!Y29&lt;&gt;""))&gt;0,'T_SelfStock'!Y29+'T_TTAFStock'!Y29,X25+'Grid_Incoming'!Y25-'Grid_Requirement'!Y25))</f>
        <v/>
      </c>
      <c r="Z25">
        <f>IF(COUNTIFS(T_StockCount[Part Name],$A25,T_StockCount[WeekIndex],25)&gt;0,SUMIFS(T_StockCount[CountedQty],T_StockCount[Part Name],$A25,T_StockCount[WeekIndex],25),IF((('T_SelfStock'!Z29&lt;&gt;""))*(('T_TTAFStock'!Z29&lt;&gt;""))&gt;0,'T_SelfStock'!Z29+'T_TTAFStock'!Z29,Y25+'Grid_Incoming'!Z25-'Grid_Requirement'!Z25))</f>
        <v/>
      </c>
      <c r="AA25">
        <f>IF(COUNTIFS(T_StockCount[Part Name],$A25,T_StockCount[WeekIndex],26)&gt;0,SUMIFS(T_StockCount[CountedQty],T_StockCount[Part Name],$A25,T_StockCount[WeekIndex],26),IF((('T_SelfStock'!AA29&lt;&gt;""))*(('T_TTAFStock'!AA29&lt;&gt;""))&gt;0,'T_SelfStock'!AA29+'T_TTAFStock'!AA29,Z25+'Grid_Incoming'!AA25-'Grid_Requirement'!AA25))</f>
        <v/>
      </c>
      <c r="AB25">
        <f>IF(COUNTIFS(T_StockCount[Part Name],$A25,T_StockCount[WeekIndex],27)&gt;0,SUMIFS(T_StockCount[CountedQty],T_StockCount[Part Name],$A25,T_StockCount[WeekIndex],27),IF((('T_SelfStock'!AB29&lt;&gt;""))*(('T_TTAFStock'!AB29&lt;&gt;""))&gt;0,'T_SelfStock'!AB29+'T_TTAFStock'!AB29,AA25+'Grid_Incoming'!AB25-'Grid_Requirement'!AB25))</f>
        <v/>
      </c>
      <c r="AC25">
        <f>IF(COUNTIFS(T_StockCount[Part Name],$A25,T_StockCount[WeekIndex],28)&gt;0,SUMIFS(T_StockCount[CountedQty],T_StockCount[Part Name],$A25,T_StockCount[WeekIndex],28),IF((('T_SelfStock'!AC29&lt;&gt;""))*(('T_TTAFStock'!AC29&lt;&gt;""))&gt;0,'T_SelfStock'!AC29+'T_TTAFStock'!AC29,AB25+'Grid_Incoming'!AC25-'Grid_Requirement'!AC25))</f>
        <v/>
      </c>
      <c r="AD25">
        <f>IF(COUNTIFS(T_StockCount[Part Name],$A25,T_StockCount[WeekIndex],29)&gt;0,SUMIFS(T_StockCount[CountedQty],T_StockCount[Part Name],$A25,T_StockCount[WeekIndex],29),IF((('T_SelfStock'!AD29&lt;&gt;""))*(('T_TTAFStock'!AD29&lt;&gt;""))&gt;0,'T_SelfStock'!AD29+'T_TTAFStock'!AD29,AC25+'Grid_Incoming'!AD25-'Grid_Requirement'!AD25))</f>
        <v/>
      </c>
      <c r="AE25">
        <f>IF(COUNTIFS(T_StockCount[Part Name],$A25,T_StockCount[WeekIndex],30)&gt;0,SUMIFS(T_StockCount[CountedQty],T_StockCount[Part Name],$A25,T_StockCount[WeekIndex],30),IF((('T_SelfStock'!AE29&lt;&gt;""))*(('T_TTAFStock'!AE29&lt;&gt;""))&gt;0,'T_SelfStock'!AE29+'T_TTAFStock'!AE29,AD25+'Grid_Incoming'!AE25-'Grid_Requirement'!AE25))</f>
        <v/>
      </c>
      <c r="AF25">
        <f>IF(COUNTIFS(T_StockCount[Part Name],$A25,T_StockCount[WeekIndex],31)&gt;0,SUMIFS(T_StockCount[CountedQty],T_StockCount[Part Name],$A25,T_StockCount[WeekIndex],31),IF((('T_SelfStock'!AF29&lt;&gt;""))*(('T_TTAFStock'!AF29&lt;&gt;""))&gt;0,'T_SelfStock'!AF29+'T_TTAFStock'!AF29,AE25+'Grid_Incoming'!AF25-'Grid_Requirement'!AF25))</f>
        <v/>
      </c>
      <c r="AG25">
        <f>IF(COUNTIFS(T_StockCount[Part Name],$A25,T_StockCount[WeekIndex],32)&gt;0,SUMIFS(T_StockCount[CountedQty],T_StockCount[Part Name],$A25,T_StockCount[WeekIndex],32),IF((('T_SelfStock'!AG29&lt;&gt;""))*(('T_TTAFStock'!AG29&lt;&gt;""))&gt;0,'T_SelfStock'!AG29+'T_TTAFStock'!AG29,AF25+'Grid_Incoming'!AG25-'Grid_Requirement'!AG25))</f>
        <v/>
      </c>
      <c r="AH25">
        <f>IF(COUNTIFS(T_StockCount[Part Name],$A25,T_StockCount[WeekIndex],33)&gt;0,SUMIFS(T_StockCount[CountedQty],T_StockCount[Part Name],$A25,T_StockCount[WeekIndex],33),IF((('T_SelfStock'!AH29&lt;&gt;""))*(('T_TTAFStock'!AH29&lt;&gt;""))&gt;0,'T_SelfStock'!AH29+'T_TTAFStock'!AH29,AG25+'Grid_Incoming'!AH25-'Grid_Requirement'!AH25))</f>
        <v/>
      </c>
      <c r="AI25">
        <f>IF(COUNTIFS(T_StockCount[Part Name],$A25,T_StockCount[WeekIndex],34)&gt;0,SUMIFS(T_StockCount[CountedQty],T_StockCount[Part Name],$A25,T_StockCount[WeekIndex],34),IF((('T_SelfStock'!AI29&lt;&gt;""))*(('T_TTAFStock'!AI29&lt;&gt;""))&gt;0,'T_SelfStock'!AI29+'T_TTAFStock'!AI29,AH25+'Grid_Incoming'!AI25-'Grid_Requirement'!AI25))</f>
        <v/>
      </c>
      <c r="AJ25">
        <f>IF(COUNTIFS(T_StockCount[Part Name],$A25,T_StockCount[WeekIndex],35)&gt;0,SUMIFS(T_StockCount[CountedQty],T_StockCount[Part Name],$A25,T_StockCount[WeekIndex],35),IF((('T_SelfStock'!AJ29&lt;&gt;""))*(('T_TTAFStock'!AJ29&lt;&gt;""))&gt;0,'T_SelfStock'!AJ29+'T_TTAFStock'!AJ29,AI25+'Grid_Incoming'!AJ25-'Grid_Requirement'!AJ25))</f>
        <v/>
      </c>
      <c r="AK25">
        <f>IF(COUNTIFS(T_StockCount[Part Name],$A25,T_StockCount[WeekIndex],36)&gt;0,SUMIFS(T_StockCount[CountedQty],T_StockCount[Part Name],$A25,T_StockCount[WeekIndex],36),IF((('T_SelfStock'!AK29&lt;&gt;""))*(('T_TTAFStock'!AK29&lt;&gt;""))&gt;0,'T_SelfStock'!AK29+'T_TTAFStock'!AK29,AJ25+'Grid_Incoming'!AK25-'Grid_Requirement'!AK25))</f>
        <v/>
      </c>
      <c r="AL25">
        <f>IF(COUNTIFS(T_StockCount[Part Name],$A25,T_StockCount[WeekIndex],37)&gt;0,SUMIFS(T_StockCount[CountedQty],T_StockCount[Part Name],$A25,T_StockCount[WeekIndex],37),IF((('T_SelfStock'!AL29&lt;&gt;""))*(('T_TTAFStock'!AL29&lt;&gt;""))&gt;0,'T_SelfStock'!AL29+'T_TTAFStock'!AL29,AK25+'Grid_Incoming'!AL25-'Grid_Requirement'!AL25))</f>
        <v/>
      </c>
      <c r="AM25">
        <f>IF(COUNTIFS(T_StockCount[Part Name],$A25,T_StockCount[WeekIndex],38)&gt;0,SUMIFS(T_StockCount[CountedQty],T_StockCount[Part Name],$A25,T_StockCount[WeekIndex],38),IF((('T_SelfStock'!AM29&lt;&gt;""))*(('T_TTAFStock'!AM29&lt;&gt;""))&gt;0,'T_SelfStock'!AM29+'T_TTAFStock'!AM29,AL25+'Grid_Incoming'!AM25-'Grid_Requirement'!AM25))</f>
        <v/>
      </c>
      <c r="AN25">
        <f>IF(COUNTIFS(T_StockCount[Part Name],$A25,T_StockCount[WeekIndex],39)&gt;0,SUMIFS(T_StockCount[CountedQty],T_StockCount[Part Name],$A25,T_StockCount[WeekIndex],39),IF((('T_SelfStock'!AN29&lt;&gt;""))*(('T_TTAFStock'!AN29&lt;&gt;""))&gt;0,'T_SelfStock'!AN29+'T_TTAFStock'!AN29,AM25+'Grid_Incoming'!AN25-'Grid_Requirement'!AN25))</f>
        <v/>
      </c>
      <c r="AO25">
        <f>IF(COUNTIFS(T_StockCount[Part Name],$A25,T_StockCount[WeekIndex],40)&gt;0,SUMIFS(T_StockCount[CountedQty],T_StockCount[Part Name],$A25,T_StockCount[WeekIndex],40),IF((('T_SelfStock'!AO29&lt;&gt;""))*(('T_TTAFStock'!AO29&lt;&gt;""))&gt;0,'T_SelfStock'!AO29+'T_TTAFStock'!AO29,AN25+'Grid_Incoming'!AO25-'Grid_Requirement'!AO25))</f>
        <v/>
      </c>
      <c r="AP25">
        <f>IF(COUNTIFS(T_StockCount[Part Name],$A25,T_StockCount[WeekIndex],41)&gt;0,SUMIFS(T_StockCount[CountedQty],T_StockCount[Part Name],$A25,T_StockCount[WeekIndex],41),IF((('T_SelfStock'!AP29&lt;&gt;""))*(('T_TTAFStock'!AP29&lt;&gt;""))&gt;0,'T_SelfStock'!AP29+'T_TTAFStock'!AP29,AO25+'Grid_Incoming'!AP25-'Grid_Requirement'!AP25))</f>
        <v/>
      </c>
      <c r="AQ25">
        <f>IF(COUNTIFS(T_StockCount[Part Name],$A25,T_StockCount[WeekIndex],42)&gt;0,SUMIFS(T_StockCount[CountedQty],T_StockCount[Part Name],$A25,T_StockCount[WeekIndex],42),IF((('T_SelfStock'!AQ29&lt;&gt;""))*(('T_TTAFStock'!AQ29&lt;&gt;""))&gt;0,'T_SelfStock'!AQ29+'T_TTAFStock'!AQ29,AP25+'Grid_Incoming'!AQ25-'Grid_Requirement'!AQ25))</f>
        <v/>
      </c>
      <c r="AR25">
        <f>IF(COUNTIFS(T_StockCount[Part Name],$A25,T_StockCount[WeekIndex],43)&gt;0,SUMIFS(T_StockCount[CountedQty],T_StockCount[Part Name],$A25,T_StockCount[WeekIndex],43),IF((('T_SelfStock'!AR29&lt;&gt;""))*(('T_TTAFStock'!AR29&lt;&gt;""))&gt;0,'T_SelfStock'!AR29+'T_TTAFStock'!AR29,AQ25+'Grid_Incoming'!AR25-'Grid_Requirement'!AR25))</f>
        <v/>
      </c>
      <c r="AS25">
        <f>IF(COUNTIFS(T_StockCount[Part Name],$A25,T_StockCount[WeekIndex],44)&gt;0,SUMIFS(T_StockCount[CountedQty],T_StockCount[Part Name],$A25,T_StockCount[WeekIndex],44),IF((('T_SelfStock'!AS29&lt;&gt;""))*(('T_TTAFStock'!AS29&lt;&gt;""))&gt;0,'T_SelfStock'!AS29+'T_TTAFStock'!AS29,AR25+'Grid_Incoming'!AS25-'Grid_Requirement'!AS25))</f>
        <v/>
      </c>
      <c r="AT25">
        <f>IF(COUNTIFS(T_StockCount[Part Name],$A25,T_StockCount[WeekIndex],45)&gt;0,SUMIFS(T_StockCount[CountedQty],T_StockCount[Part Name],$A25,T_StockCount[WeekIndex],45),IF((('T_SelfStock'!AT29&lt;&gt;""))*(('T_TTAFStock'!AT29&lt;&gt;""))&gt;0,'T_SelfStock'!AT29+'T_TTAFStock'!AT29,AS25+'Grid_Incoming'!AT25-'Grid_Requirement'!AT25))</f>
        <v/>
      </c>
      <c r="AU25">
        <f>IF(COUNTIFS(T_StockCount[Part Name],$A25,T_StockCount[WeekIndex],46)&gt;0,SUMIFS(T_StockCount[CountedQty],T_StockCount[Part Name],$A25,T_StockCount[WeekIndex],46),IF((('T_SelfStock'!AU29&lt;&gt;""))*(('T_TTAFStock'!AU29&lt;&gt;""))&gt;0,'T_SelfStock'!AU29+'T_TTAFStock'!AU29,AT25+'Grid_Incoming'!AU25-'Grid_Requirement'!AU25))</f>
        <v/>
      </c>
      <c r="AV25">
        <f>IF(COUNTIFS(T_StockCount[Part Name],$A25,T_StockCount[WeekIndex],47)&gt;0,SUMIFS(T_StockCount[CountedQty],T_StockCount[Part Name],$A25,T_StockCount[WeekIndex],47),IF((('T_SelfStock'!AV29&lt;&gt;""))*(('T_TTAFStock'!AV29&lt;&gt;""))&gt;0,'T_SelfStock'!AV29+'T_TTAFStock'!AV29,AU25+'Grid_Incoming'!AV25-'Grid_Requirement'!AV25))</f>
        <v/>
      </c>
      <c r="AW25">
        <f>IF(COUNTIFS(T_StockCount[Part Name],$A25,T_StockCount[WeekIndex],48)&gt;0,SUMIFS(T_StockCount[CountedQty],T_StockCount[Part Name],$A25,T_StockCount[WeekIndex],48),IF((('T_SelfStock'!AW29&lt;&gt;""))*(('T_TTAFStock'!AW29&lt;&gt;""))&gt;0,'T_SelfStock'!AW29+'T_TTAFStock'!AW29,AV25+'Grid_Incoming'!AW25-'Grid_Requirement'!AW25))</f>
        <v/>
      </c>
      <c r="AX25">
        <f>IF(COUNTIFS(T_StockCount[Part Name],$A25,T_StockCount[WeekIndex],49)&gt;0,SUMIFS(T_StockCount[CountedQty],T_StockCount[Part Name],$A25,T_StockCount[WeekIndex],49),IF((('T_SelfStock'!AX29&lt;&gt;""))*(('T_TTAFStock'!AX29&lt;&gt;""))&gt;0,'T_SelfStock'!AX29+'T_TTAFStock'!AX29,AW25+'Grid_Incoming'!AX25-'Grid_Requirement'!AX25))</f>
        <v/>
      </c>
      <c r="AY25">
        <f>IF(COUNTIFS(T_StockCount[Part Name],$A25,T_StockCount[WeekIndex],50)&gt;0,SUMIFS(T_StockCount[CountedQty],T_StockCount[Part Name],$A25,T_StockCount[WeekIndex],50),IF((('T_SelfStock'!AY29&lt;&gt;""))*(('T_TTAFStock'!AY29&lt;&gt;""))&gt;0,'T_SelfStock'!AY29+'T_TTAFStock'!AY29,AX25+'Grid_Incoming'!AY25-'Grid_Requirement'!AY25))</f>
        <v/>
      </c>
      <c r="AZ25">
        <f>IF(COUNTIFS(T_StockCount[Part Name],$A25,T_StockCount[WeekIndex],51)&gt;0,SUMIFS(T_StockCount[CountedQty],T_StockCount[Part Name],$A25,T_StockCount[WeekIndex],51),IF((('T_SelfStock'!AZ29&lt;&gt;""))*(('T_TTAFStock'!AZ29&lt;&gt;""))&gt;0,'T_SelfStock'!AZ29+'T_TTAFStock'!AZ29,AY25+'Grid_Incoming'!AZ25-'Grid_Requirement'!AZ25))</f>
        <v/>
      </c>
      <c r="BA25">
        <f>IF(COUNTIFS(T_StockCount[Part Name],$A25,T_StockCount[WeekIndex],52)&gt;0,SUMIFS(T_StockCount[CountedQty],T_StockCount[Part Name],$A25,T_StockCount[WeekIndex],52),IF((('T_SelfStock'!BA29&lt;&gt;""))*(('T_TTAFStock'!BA29&lt;&gt;""))&gt;0,'T_SelfStock'!BA29+'T_TTAFStock'!BA29,AZ25+'Grid_Incoming'!BA25-'Grid_Requirement'!BA25))</f>
        <v/>
      </c>
      <c r="BB25">
        <f>IF(COUNTIFS(T_StockCount[Part Name],$A25,T_StockCount[WeekIndex],53)&gt;0,SUMIFS(T_StockCount[CountedQty],T_StockCount[Part Name],$A25,T_StockCount[WeekIndex],53),IF((('T_SelfStock'!BB29&lt;&gt;""))*(('T_TTAFStock'!BB29&lt;&gt;""))&gt;0,'T_SelfStock'!BB29+'T_TTAFStock'!BB29,BA25+'Grid_Incoming'!BB25-'Grid_Requirement'!BB25))</f>
        <v/>
      </c>
      <c r="BC25">
        <f>IF(COUNTIFS(T_StockCount[Part Name],$A25,T_StockCount[WeekIndex],54)&gt;0,SUMIFS(T_StockCount[CountedQty],T_StockCount[Part Name],$A25,T_StockCount[WeekIndex],54),IF((('T_SelfStock'!BC29&lt;&gt;""))*(('T_TTAFStock'!BC29&lt;&gt;""))&gt;0,'T_SelfStock'!BC29+'T_TTAFStock'!BC29,BB25+'Grid_Incoming'!BC25-'Grid_Requirement'!BC25))</f>
        <v/>
      </c>
      <c r="BD25">
        <f>IF(COUNTIFS(T_StockCount[Part Name],$A25,T_StockCount[WeekIndex],55)&gt;0,SUMIFS(T_StockCount[CountedQty],T_StockCount[Part Name],$A25,T_StockCount[WeekIndex],55),IF((('T_SelfStock'!BD29&lt;&gt;""))*(('T_TTAFStock'!BD29&lt;&gt;""))&gt;0,'T_SelfStock'!BD29+'T_TTAFStock'!BD29,BC25+'Grid_Incoming'!BD25-'Grid_Requirement'!BD25))</f>
        <v/>
      </c>
      <c r="BE25">
        <f>IF(COUNTIFS(T_StockCount[Part Name],$A25,T_StockCount[WeekIndex],56)&gt;0,SUMIFS(T_StockCount[CountedQty],T_StockCount[Part Name],$A25,T_StockCount[WeekIndex],56),IF((('T_SelfStock'!BE29&lt;&gt;""))*(('T_TTAFStock'!BE29&lt;&gt;""))&gt;0,'T_SelfStock'!BE29+'T_TTAFStock'!BE29,BD25+'Grid_Incoming'!BE25-'Grid_Requirement'!BE25))</f>
        <v/>
      </c>
      <c r="BF25">
        <f>IF(COUNTIFS(T_StockCount[Part Name],$A25,T_StockCount[WeekIndex],57)&gt;0,SUMIFS(T_StockCount[CountedQty],T_StockCount[Part Name],$A25,T_StockCount[WeekIndex],57),IF((('T_SelfStock'!BF29&lt;&gt;""))*(('T_TTAFStock'!BF29&lt;&gt;""))&gt;0,'T_SelfStock'!BF29+'T_TTAFStock'!BF29,BE25+'Grid_Incoming'!BF25-'Grid_Requirement'!BF25))</f>
        <v/>
      </c>
      <c r="BG25">
        <f>IF(COUNTIFS(T_StockCount[Part Name],$A25,T_StockCount[WeekIndex],58)&gt;0,SUMIFS(T_StockCount[CountedQty],T_StockCount[Part Name],$A25,T_StockCount[WeekIndex],58),IF((('T_SelfStock'!BG29&lt;&gt;""))*(('T_TTAFStock'!BG29&lt;&gt;""))&gt;0,'T_SelfStock'!BG29+'T_TTAFStock'!BG29,BF25+'Grid_Incoming'!BG25-'Grid_Requirement'!BG25))</f>
        <v/>
      </c>
      <c r="BH25">
        <f>IF(COUNTIFS(T_StockCount[Part Name],$A25,T_StockCount[WeekIndex],59)&gt;0,SUMIFS(T_StockCount[CountedQty],T_StockCount[Part Name],$A25,T_StockCount[WeekIndex],59),IF((('T_SelfStock'!BH29&lt;&gt;""))*(('T_TTAFStock'!BH29&lt;&gt;""))&gt;0,'T_SelfStock'!BH29+'T_TTAFStock'!BH29,BG25+'Grid_Incoming'!BH25-'Grid_Requirement'!BH25))</f>
        <v/>
      </c>
      <c r="BI25">
        <f>IF(COUNTIFS(T_StockCount[Part Name],$A25,T_StockCount[WeekIndex],60)&gt;0,SUMIFS(T_StockCount[CountedQty],T_StockCount[Part Name],$A25,T_StockCount[WeekIndex],60),IF((('T_SelfStock'!BI29&lt;&gt;""))*(('T_TTAFStock'!BI29&lt;&gt;""))&gt;0,'T_SelfStock'!BI29+'T_TTAFStock'!BI29,BH25+'Grid_Incoming'!BI25-'Grid_Requirement'!BI25))</f>
        <v/>
      </c>
      <c r="BJ25">
        <f>IF(COUNTIFS(T_StockCount[Part Name],$A25,T_StockCount[WeekIndex],61)&gt;0,SUMIFS(T_StockCount[CountedQty],T_StockCount[Part Name],$A25,T_StockCount[WeekIndex],61),IF((('T_SelfStock'!BJ29&lt;&gt;""))*(('T_TTAFStock'!BJ29&lt;&gt;""))&gt;0,'T_SelfStock'!BJ29+'T_TTAFStock'!BJ29,BI25+'Grid_Incoming'!BJ25-'Grid_Requirement'!BJ25))</f>
        <v/>
      </c>
      <c r="BK25">
        <f>IF(COUNTIFS(T_StockCount[Part Name],$A25,T_StockCount[WeekIndex],62)&gt;0,SUMIFS(T_StockCount[CountedQty],T_StockCount[Part Name],$A25,T_StockCount[WeekIndex],62),IF((('T_SelfStock'!BK29&lt;&gt;""))*(('T_TTAFStock'!BK29&lt;&gt;""))&gt;0,'T_SelfStock'!BK29+'T_TTAFStock'!BK29,BJ25+'Grid_Incoming'!BK25-'Grid_Requirement'!BK25))</f>
        <v/>
      </c>
      <c r="BL25">
        <f>IF(COUNTIFS(T_StockCount[Part Name],$A25,T_StockCount[WeekIndex],63)&gt;0,SUMIFS(T_StockCount[CountedQty],T_StockCount[Part Name],$A25,T_StockCount[WeekIndex],63),IF((('T_SelfStock'!BL29&lt;&gt;""))*(('T_TTAFStock'!BL29&lt;&gt;""))&gt;0,'T_SelfStock'!BL29+'T_TTAFStock'!BL29,BK25+'Grid_Incoming'!BL25-'Grid_Requirement'!BL25))</f>
        <v/>
      </c>
      <c r="BM25">
        <f>IF(COUNTIFS(T_StockCount[Part Name],$A25,T_StockCount[WeekIndex],64)&gt;0,SUMIFS(T_StockCount[CountedQty],T_StockCount[Part Name],$A25,T_StockCount[WeekIndex],64),IF((('T_SelfStock'!BM29&lt;&gt;""))*(('T_TTAFStock'!BM29&lt;&gt;""))&gt;0,'T_SelfStock'!BM29+'T_TTAFStock'!BM29,BL25+'Grid_Incoming'!BM25-'Grid_Requirement'!BM25))</f>
        <v/>
      </c>
      <c r="BN25">
        <f>IF(COUNTIFS(T_StockCount[Part Name],$A25,T_StockCount[WeekIndex],65)&gt;0,SUMIFS(T_StockCount[CountedQty],T_StockCount[Part Name],$A25,T_StockCount[WeekIndex],65),IF((('T_SelfStock'!BN29&lt;&gt;""))*(('T_TTAFStock'!BN29&lt;&gt;""))&gt;0,'T_SelfStock'!BN29+'T_TTAFStock'!BN29,BM25+'Grid_Incoming'!BN25-'Grid_Requirement'!BN25))</f>
        <v/>
      </c>
      <c r="BO25">
        <f>IF(COUNTIFS(T_StockCount[Part Name],$A25,T_StockCount[WeekIndex],66)&gt;0,SUMIFS(T_StockCount[CountedQty],T_StockCount[Part Name],$A25,T_StockCount[WeekIndex],66),IF((('T_SelfStock'!BO29&lt;&gt;""))*(('T_TTAFStock'!BO29&lt;&gt;""))&gt;0,'T_SelfStock'!BO29+'T_TTAFStock'!BO29,BN25+'Grid_Incoming'!BO25-'Grid_Requirement'!BO25))</f>
        <v/>
      </c>
      <c r="BP25">
        <f>IF(COUNTIFS(T_StockCount[Part Name],$A25,T_StockCount[WeekIndex],67)&gt;0,SUMIFS(T_StockCount[CountedQty],T_StockCount[Part Name],$A25,T_StockCount[WeekIndex],67),IF((('T_SelfStock'!BP29&lt;&gt;""))*(('T_TTAFStock'!BP29&lt;&gt;""))&gt;0,'T_SelfStock'!BP29+'T_TTAFStock'!BP29,BO25+'Grid_Incoming'!BP25-'Grid_Requirement'!BP25))</f>
        <v/>
      </c>
      <c r="BQ25">
        <f>IF(COUNTIFS(T_StockCount[Part Name],$A25,T_StockCount[WeekIndex],68)&gt;0,SUMIFS(T_StockCount[CountedQty],T_StockCount[Part Name],$A25,T_StockCount[WeekIndex],68),IF((('T_SelfStock'!BQ29&lt;&gt;""))*(('T_TTAFStock'!BQ29&lt;&gt;""))&gt;0,'T_SelfStock'!BQ29+'T_TTAFStock'!BQ29,BP25+'Grid_Incoming'!BQ25-'Grid_Requirement'!BQ25))</f>
        <v/>
      </c>
      <c r="BR25">
        <f>IF(COUNTIFS(T_StockCount[Part Name],$A25,T_StockCount[WeekIndex],69)&gt;0,SUMIFS(T_StockCount[CountedQty],T_StockCount[Part Name],$A25,T_StockCount[WeekIndex],69),IF((('T_SelfStock'!BR29&lt;&gt;""))*(('T_TTAFStock'!BR29&lt;&gt;""))&gt;0,'T_SelfStock'!BR29+'T_TTAFStock'!BR29,BQ25+'Grid_Incoming'!BR25-'Grid_Requirement'!BR25))</f>
        <v/>
      </c>
      <c r="BS25">
        <f>IF(COUNTIFS(T_StockCount[Part Name],$A25,T_StockCount[WeekIndex],70)&gt;0,SUMIFS(T_StockCount[CountedQty],T_StockCount[Part Name],$A25,T_StockCount[WeekIndex],70),IF((('T_SelfStock'!BS29&lt;&gt;""))*(('T_TTAFStock'!BS29&lt;&gt;""))&gt;0,'T_SelfStock'!BS29+'T_TTAFStock'!BS29,BR25+'Grid_Incoming'!BS25-'Grid_Requirement'!BS25))</f>
        <v/>
      </c>
      <c r="BT25">
        <f>IF(COUNTIFS(T_StockCount[Part Name],$A25,T_StockCount[WeekIndex],71)&gt;0,SUMIFS(T_StockCount[CountedQty],T_StockCount[Part Name],$A25,T_StockCount[WeekIndex],71),IF((('T_SelfStock'!BT29&lt;&gt;""))*(('T_TTAFStock'!BT29&lt;&gt;""))&gt;0,'T_SelfStock'!BT29+'T_TTAFStock'!BT29,BS25+'Grid_Incoming'!BT25-'Grid_Requirement'!BT25))</f>
        <v/>
      </c>
      <c r="BU25">
        <f>IF(COUNTIFS(T_StockCount[Part Name],$A25,T_StockCount[WeekIndex],72)&gt;0,SUMIFS(T_StockCount[CountedQty],T_StockCount[Part Name],$A25,T_StockCount[WeekIndex],72),IF((('T_SelfStock'!BU29&lt;&gt;""))*(('T_TTAFStock'!BU29&lt;&gt;""))&gt;0,'T_SelfStock'!BU29+'T_TTAFStock'!BU29,BT25+'Grid_Incoming'!BU25-'Grid_Requirement'!BU25))</f>
        <v/>
      </c>
      <c r="BV25">
        <f>IF(COUNTIFS(T_StockCount[Part Name],$A25,T_StockCount[WeekIndex],73)&gt;0,SUMIFS(T_StockCount[CountedQty],T_StockCount[Part Name],$A25,T_StockCount[WeekIndex],73),IF((('T_SelfStock'!BV29&lt;&gt;""))*(('T_TTAFStock'!BV29&lt;&gt;""))&gt;0,'T_SelfStock'!BV29+'T_TTAFStock'!BV29,BU25+'Grid_Incoming'!BV25-'Grid_Requirement'!BV25))</f>
        <v/>
      </c>
      <c r="BW25">
        <f>IF(COUNTIFS(T_StockCount[Part Name],$A25,T_StockCount[WeekIndex],74)&gt;0,SUMIFS(T_StockCount[CountedQty],T_StockCount[Part Name],$A25,T_StockCount[WeekIndex],74),IF((('T_SelfStock'!BW29&lt;&gt;""))*(('T_TTAFStock'!BW29&lt;&gt;""))&gt;0,'T_SelfStock'!BW29+'T_TTAFStock'!BW29,BV25+'Grid_Incoming'!BW25-'Grid_Requirement'!BW25))</f>
        <v/>
      </c>
      <c r="BX25">
        <f>IF(COUNTIFS(T_StockCount[Part Name],$A25,T_StockCount[WeekIndex],75)&gt;0,SUMIFS(T_StockCount[CountedQty],T_StockCount[Part Name],$A25,T_StockCount[WeekIndex],75),IF((('T_SelfStock'!BX29&lt;&gt;""))*(('T_TTAFStock'!BX29&lt;&gt;""))&gt;0,'T_SelfStock'!BX29+'T_TTAFStock'!BX29,BW25+'Grid_Incoming'!BX25-'Grid_Requirement'!BX25))</f>
        <v/>
      </c>
      <c r="BY25">
        <f>IF(COUNTIFS(T_StockCount[Part Name],$A25,T_StockCount[WeekIndex],76)&gt;0,SUMIFS(T_StockCount[CountedQty],T_StockCount[Part Name],$A25,T_StockCount[WeekIndex],76),IF((('T_SelfStock'!BY29&lt;&gt;""))*(('T_TTAFStock'!BY29&lt;&gt;""))&gt;0,'T_SelfStock'!BY29+'T_TTAFStock'!BY29,BX25+'Grid_Incoming'!BY25-'Grid_Requirement'!BY25))</f>
        <v/>
      </c>
      <c r="BZ25">
        <f>IF(COUNTIFS(T_StockCount[Part Name],$A25,T_StockCount[WeekIndex],77)&gt;0,SUMIFS(T_StockCount[CountedQty],T_StockCount[Part Name],$A25,T_StockCount[WeekIndex],77),IF((('T_SelfStock'!BZ29&lt;&gt;""))*(('T_TTAFStock'!BZ29&lt;&gt;""))&gt;0,'T_SelfStock'!BZ29+'T_TTAFStock'!BZ29,BY25+'Grid_Incoming'!BZ25-'Grid_Requirement'!BZ25))</f>
        <v/>
      </c>
      <c r="CA25">
        <f>IF(COUNTIFS(T_StockCount[Part Name],$A25,T_StockCount[WeekIndex],78)&gt;0,SUMIFS(T_StockCount[CountedQty],T_StockCount[Part Name],$A25,T_StockCount[WeekIndex],78),IF((('T_SelfStock'!CA29&lt;&gt;""))*(('T_TTAFStock'!CA29&lt;&gt;""))&gt;0,'T_SelfStock'!CA29+'T_TTAFStock'!CA29,BZ25+'Grid_Incoming'!CA25-'Grid_Requirement'!CA25))</f>
        <v/>
      </c>
      <c r="CB25">
        <f>IF(COUNTIFS(T_StockCount[Part Name],$A25,T_StockCount[WeekIndex],79)&gt;0,SUMIFS(T_StockCount[CountedQty],T_StockCount[Part Name],$A25,T_StockCount[WeekIndex],79),IF((('T_SelfStock'!CB29&lt;&gt;""))*(('T_TTAFStock'!CB29&lt;&gt;""))&gt;0,'T_SelfStock'!CB29+'T_TTAFStock'!CB29,CA25+'Grid_Incoming'!CB25-'Grid_Requirement'!CB25))</f>
        <v/>
      </c>
      <c r="CC25">
        <f>IF(COUNTIFS(T_StockCount[Part Name],$A25,T_StockCount[WeekIndex],80)&gt;0,SUMIFS(T_StockCount[CountedQty],T_StockCount[Part Name],$A25,T_StockCount[WeekIndex],80),IF((('T_SelfStock'!CC29&lt;&gt;""))*(('T_TTAFStock'!CC29&lt;&gt;""))&gt;0,'T_SelfStock'!CC29+'T_TTAFStock'!CC29,CB25+'Grid_Incoming'!CC25-'Grid_Requirement'!CC25))</f>
        <v/>
      </c>
      <c r="CD25">
        <f>IF(COUNTIFS(T_StockCount[Part Name],$A25,T_StockCount[WeekIndex],81)&gt;0,SUMIFS(T_StockCount[CountedQty],T_StockCount[Part Name],$A25,T_StockCount[WeekIndex],81),IF((('T_SelfStock'!CD29&lt;&gt;""))*(('T_TTAFStock'!CD29&lt;&gt;""))&gt;0,'T_SelfStock'!CD29+'T_TTAFStock'!CD29,CC25+'Grid_Incoming'!CD25-'Grid_Requirement'!CD25))</f>
        <v/>
      </c>
      <c r="CE25">
        <f>IF(COUNTIFS(T_StockCount[Part Name],$A25,T_StockCount[WeekIndex],82)&gt;0,SUMIFS(T_StockCount[CountedQty],T_StockCount[Part Name],$A25,T_StockCount[WeekIndex],82),IF((('T_SelfStock'!CE29&lt;&gt;""))*(('T_TTAFStock'!CE29&lt;&gt;""))&gt;0,'T_SelfStock'!CE29+'T_TTAFStock'!CE29,CD25+'Grid_Incoming'!CE25-'Grid_Requirement'!CE25))</f>
        <v/>
      </c>
      <c r="CF25">
        <f>IF(COUNTIFS(T_StockCount[Part Name],$A25,T_StockCount[WeekIndex],83)&gt;0,SUMIFS(T_StockCount[CountedQty],T_StockCount[Part Name],$A25,T_StockCount[WeekIndex],83),IF((('T_SelfStock'!CF29&lt;&gt;""))*(('T_TTAFStock'!CF29&lt;&gt;""))&gt;0,'T_SelfStock'!CF29+'T_TTAFStock'!CF29,CE25+'Grid_Incoming'!CF25-'Grid_Requirement'!CF25))</f>
        <v/>
      </c>
      <c r="CG25">
        <f>IF(COUNTIFS(T_StockCount[Part Name],$A25,T_StockCount[WeekIndex],84)&gt;0,SUMIFS(T_StockCount[CountedQty],T_StockCount[Part Name],$A25,T_StockCount[WeekIndex],84),IF((('T_SelfStock'!CG29&lt;&gt;""))*(('T_TTAFStock'!CG29&lt;&gt;""))&gt;0,'T_SelfStock'!CG29+'T_TTAFStock'!CG29,CF25+'Grid_Incoming'!CG25-'Grid_Requirement'!CG25))</f>
        <v/>
      </c>
      <c r="CH25">
        <f>IF(COUNTIFS(T_StockCount[Part Name],$A25,T_StockCount[WeekIndex],85)&gt;0,SUMIFS(T_StockCount[CountedQty],T_StockCount[Part Name],$A25,T_StockCount[WeekIndex],85),IF((('T_SelfStock'!CH29&lt;&gt;""))*(('T_TTAFStock'!CH29&lt;&gt;""))&gt;0,'T_SelfStock'!CH29+'T_TTAFStock'!CH29,CG25+'Grid_Incoming'!CH25-'Grid_Requirement'!CH25))</f>
        <v/>
      </c>
      <c r="CI25">
        <f>IF(COUNTIFS(T_StockCount[Part Name],$A25,T_StockCount[WeekIndex],86)&gt;0,SUMIFS(T_StockCount[CountedQty],T_StockCount[Part Name],$A25,T_StockCount[WeekIndex],86),IF((('T_SelfStock'!CI29&lt;&gt;""))*(('T_TTAFStock'!CI29&lt;&gt;""))&gt;0,'T_SelfStock'!CI29+'T_TTAFStock'!CI29,CH25+'Grid_Incoming'!CI25-'Grid_Requirement'!CI25))</f>
        <v/>
      </c>
      <c r="CJ25">
        <f>IF(COUNTIFS(T_StockCount[Part Name],$A25,T_StockCount[WeekIndex],87)&gt;0,SUMIFS(T_StockCount[CountedQty],T_StockCount[Part Name],$A25,T_StockCount[WeekIndex],87),IF((('T_SelfStock'!CJ29&lt;&gt;""))*(('T_TTAFStock'!CJ29&lt;&gt;""))&gt;0,'T_SelfStock'!CJ29+'T_TTAFStock'!CJ29,CI25+'Grid_Incoming'!CJ25-'Grid_Requirement'!CJ25))</f>
        <v/>
      </c>
      <c r="CK25">
        <f>IF(COUNTIFS(T_StockCount[Part Name],$A25,T_StockCount[WeekIndex],88)&gt;0,SUMIFS(T_StockCount[CountedQty],T_StockCount[Part Name],$A25,T_StockCount[WeekIndex],88),IF((('T_SelfStock'!CK29&lt;&gt;""))*(('T_TTAFStock'!CK29&lt;&gt;""))&gt;0,'T_SelfStock'!CK29+'T_TTAFStock'!CK29,CJ25+'Grid_Incoming'!CK25-'Grid_Requirement'!CK25))</f>
        <v/>
      </c>
      <c r="CL25">
        <f>IF(COUNTIFS(T_StockCount[Part Name],$A25,T_StockCount[WeekIndex],89)&gt;0,SUMIFS(T_StockCount[CountedQty],T_StockCount[Part Name],$A25,T_StockCount[WeekIndex],89),IF((('T_SelfStock'!CL29&lt;&gt;""))*(('T_TTAFStock'!CL29&lt;&gt;""))&gt;0,'T_SelfStock'!CL29+'T_TTAFStock'!CL29,CK25+'Grid_Incoming'!CL25-'Grid_Requirement'!CL25))</f>
        <v/>
      </c>
      <c r="CM25">
        <f>IF(COUNTIFS(T_StockCount[Part Name],$A25,T_StockCount[WeekIndex],90)&gt;0,SUMIFS(T_StockCount[CountedQty],T_StockCount[Part Name],$A25,T_StockCount[WeekIndex],90),IF((('T_SelfStock'!CM29&lt;&gt;""))*(('T_TTAFStock'!CM29&lt;&gt;""))&gt;0,'T_SelfStock'!CM29+'T_TTAFStock'!CM29,CL25+'Grid_Incoming'!CM25-'Grid_Requirement'!CM25))</f>
        <v/>
      </c>
      <c r="CN25">
        <f>IF(COUNTIFS(T_StockCount[Part Name],$A25,T_StockCount[WeekIndex],91)&gt;0,SUMIFS(T_StockCount[CountedQty],T_StockCount[Part Name],$A25,T_StockCount[WeekIndex],91),IF((('T_SelfStock'!CN29&lt;&gt;""))*(('T_TTAFStock'!CN29&lt;&gt;""))&gt;0,'T_SelfStock'!CN29+'T_TTAFStock'!CN29,CM25+'Grid_Incoming'!CN25-'Grid_Requirement'!CN25))</f>
        <v/>
      </c>
      <c r="CO25">
        <f>IF(COUNTIFS(T_StockCount[Part Name],$A25,T_StockCount[WeekIndex],92)&gt;0,SUMIFS(T_StockCount[CountedQty],T_StockCount[Part Name],$A25,T_StockCount[WeekIndex],92),IF((('T_SelfStock'!CO29&lt;&gt;""))*(('T_TTAFStock'!CO29&lt;&gt;""))&gt;0,'T_SelfStock'!CO29+'T_TTAFStock'!CO29,CN25+'Grid_Incoming'!CO25-'Grid_Requirement'!CO25))</f>
        <v/>
      </c>
      <c r="CP25">
        <f>IF(COUNTIFS(T_StockCount[Part Name],$A25,T_StockCount[WeekIndex],93)&gt;0,SUMIFS(T_StockCount[CountedQty],T_StockCount[Part Name],$A25,T_StockCount[WeekIndex],93),IF((('T_SelfStock'!CP29&lt;&gt;""))*(('T_TTAFStock'!CP29&lt;&gt;""))&gt;0,'T_SelfStock'!CP29+'T_TTAFStock'!CP29,CO25+'Grid_Incoming'!CP25-'Grid_Requirement'!CP25))</f>
        <v/>
      </c>
      <c r="CQ25">
        <f>IF(COUNTIFS(T_StockCount[Part Name],$A25,T_StockCount[WeekIndex],94)&gt;0,SUMIFS(T_StockCount[CountedQty],T_StockCount[Part Name],$A25,T_StockCount[WeekIndex],94),IF((('T_SelfStock'!CQ29&lt;&gt;""))*(('T_TTAFStock'!CQ29&lt;&gt;""))&gt;0,'T_SelfStock'!CQ29+'T_TTAFStock'!CQ29,CP25+'Grid_Incoming'!CQ25-'Grid_Requirement'!CQ25))</f>
        <v/>
      </c>
      <c r="CR25">
        <f>IF(COUNTIFS(T_StockCount[Part Name],$A25,T_StockCount[WeekIndex],95)&gt;0,SUMIFS(T_StockCount[CountedQty],T_StockCount[Part Name],$A25,T_StockCount[WeekIndex],95),IF((('T_SelfStock'!CR29&lt;&gt;""))*(('T_TTAFStock'!CR29&lt;&gt;""))&gt;0,'T_SelfStock'!CR29+'T_TTAFStock'!CR29,CQ25+'Grid_Incoming'!CR25-'Grid_Requirement'!CR25))</f>
        <v/>
      </c>
      <c r="CS25">
        <f>IF(COUNTIFS(T_StockCount[Part Name],$A25,T_StockCount[WeekIndex],96)&gt;0,SUMIFS(T_StockCount[CountedQty],T_StockCount[Part Name],$A25,T_StockCount[WeekIndex],96),IF((('T_SelfStock'!CS29&lt;&gt;""))*(('T_TTAFStock'!CS29&lt;&gt;""))&gt;0,'T_SelfStock'!CS29+'T_TTAFStock'!CS29,CR25+'Grid_Incoming'!CS25-'Grid_Requirement'!CS25))</f>
        <v/>
      </c>
      <c r="CT25">
        <f>IF(COUNTIFS(T_StockCount[Part Name],$A25,T_StockCount[WeekIndex],97)&gt;0,SUMIFS(T_StockCount[CountedQty],T_StockCount[Part Name],$A25,T_StockCount[WeekIndex],97),IF((('T_SelfStock'!CT29&lt;&gt;""))*(('T_TTAFStock'!CT29&lt;&gt;""))&gt;0,'T_SelfStock'!CT29+'T_TTAFStock'!CT29,CS25+'Grid_Incoming'!CT25-'Grid_Requirement'!CT25))</f>
        <v/>
      </c>
      <c r="CU25">
        <f>IF(COUNTIFS(T_StockCount[Part Name],$A25,T_StockCount[WeekIndex],98)&gt;0,SUMIFS(T_StockCount[CountedQty],T_StockCount[Part Name],$A25,T_StockCount[WeekIndex],98),IF((('T_SelfStock'!CU29&lt;&gt;""))*(('T_TTAFStock'!CU29&lt;&gt;""))&gt;0,'T_SelfStock'!CU29+'T_TTAFStock'!CU29,CT25+'Grid_Incoming'!CU25-'Grid_Requirement'!CU25))</f>
        <v/>
      </c>
      <c r="CV25">
        <f>IF(COUNTIFS(T_StockCount[Part Name],$A25,T_StockCount[WeekIndex],99)&gt;0,SUMIFS(T_StockCount[CountedQty],T_StockCount[Part Name],$A25,T_StockCount[WeekIndex],99),IF((('T_SelfStock'!CV29&lt;&gt;""))*(('T_TTAFStock'!CV29&lt;&gt;""))&gt;0,'T_SelfStock'!CV29+'T_TTAFStock'!CV29,CU25+'Grid_Incoming'!CV25-'Grid_Requirement'!CV25))</f>
        <v/>
      </c>
      <c r="CW25">
        <f>IF(COUNTIFS(T_StockCount[Part Name],$A25,T_StockCount[WeekIndex],100)&gt;0,SUMIFS(T_StockCount[CountedQty],T_StockCount[Part Name],$A25,T_StockCount[WeekIndex],100),IF((('T_SelfStock'!CW29&lt;&gt;""))*(('T_TTAFStock'!CW29&lt;&gt;""))&gt;0,'T_SelfStock'!CW29+'T_TTAFStock'!CW29,CV25+'Grid_Incoming'!CW25-'Grid_Requirement'!CW25))</f>
        <v/>
      </c>
      <c r="CX25">
        <f>IF(COUNTIFS(T_StockCount[Part Name],$A25,T_StockCount[WeekIndex],101)&gt;0,SUMIFS(T_StockCount[CountedQty],T_StockCount[Part Name],$A25,T_StockCount[WeekIndex],101),IF((('T_SelfStock'!CX29&lt;&gt;""))*(('T_TTAFStock'!CX29&lt;&gt;""))&gt;0,'T_SelfStock'!CX29+'T_TTAFStock'!CX29,CW25+'Grid_Incoming'!CX25-'Grid_Requirement'!CX25))</f>
        <v/>
      </c>
      <c r="CY25">
        <f>IF(COUNTIFS(T_StockCount[Part Name],$A25,T_StockCount[WeekIndex],102)&gt;0,SUMIFS(T_StockCount[CountedQty],T_StockCount[Part Name],$A25,T_StockCount[WeekIndex],102),IF((('T_SelfStock'!CY29&lt;&gt;""))*(('T_TTAFStock'!CY29&lt;&gt;""))&gt;0,'T_SelfStock'!CY29+'T_TTAFStock'!CY29,CX25+'Grid_Incoming'!CY25-'Grid_Requirement'!CY25))</f>
        <v/>
      </c>
      <c r="CZ25">
        <f>IF(COUNTIFS(T_StockCount[Part Name],$A25,T_StockCount[WeekIndex],103)&gt;0,SUMIFS(T_StockCount[CountedQty],T_StockCount[Part Name],$A25,T_StockCount[WeekIndex],103),IF((('T_SelfStock'!CZ29&lt;&gt;""))*(('T_TTAFStock'!CZ29&lt;&gt;""))&gt;0,'T_SelfStock'!CZ29+'T_TTAFStock'!CZ29,CY25+'Grid_Incoming'!CZ25-'Grid_Requirement'!CZ25))</f>
        <v/>
      </c>
      <c r="DA25">
        <f>IF(COUNTIFS(T_StockCount[Part Name],$A25,T_StockCount[WeekIndex],104)&gt;0,SUMIFS(T_StockCount[CountedQty],T_StockCount[Part Name],$A25,T_StockCount[WeekIndex],104),IF((('T_SelfStock'!DA29&lt;&gt;""))*(('T_TTAFStock'!DA29&lt;&gt;""))&gt;0,'T_SelfStock'!DA29+'T_TTAFStock'!DA29,CZ25+'Grid_Incoming'!DA25-'Grid_Requirement'!DA25))</f>
        <v/>
      </c>
    </row>
    <row r="26">
      <c r="A26" t="inlineStr">
        <is>
          <t>CHEM-1830</t>
        </is>
      </c>
      <c r="B26">
        <f>IF(COUNTIFS(T_StockCount[Part Name],$A26,T_StockCount[WeekIndex],1)&gt;0,SUMIFS(T_StockCount[CountedQty],T_StockCount[Part Name],$A26,T_StockCount[WeekIndex],1),IF((('T_SelfStock'!B30&lt;&gt;""))*(('T_TTAFStock'!B30&lt;&gt;""))&gt;0,'T_SelfStock'!B30+'T_TTAFStock'!B30,IFERROR(INDEX(T_OpeningStock[Opening_Qty],MATCH($A26,T_OpeningStock[Part Name],0)),0)+'Grid_Incoming'!B26-'Grid_Requirement'!B26))</f>
        <v/>
      </c>
      <c r="C26">
        <f>IF(COUNTIFS(T_StockCount[Part Name],$A26,T_StockCount[WeekIndex],2)&gt;0,SUMIFS(T_StockCount[CountedQty],T_StockCount[Part Name],$A26,T_StockCount[WeekIndex],2),IF((('T_SelfStock'!C30&lt;&gt;""))*(('T_TTAFStock'!C30&lt;&gt;""))&gt;0,'T_SelfStock'!C30+'T_TTAFStock'!C30,B26+'Grid_Incoming'!C26-'Grid_Requirement'!C26))</f>
        <v/>
      </c>
      <c r="D26">
        <f>IF(COUNTIFS(T_StockCount[Part Name],$A26,T_StockCount[WeekIndex],3)&gt;0,SUMIFS(T_StockCount[CountedQty],T_StockCount[Part Name],$A26,T_StockCount[WeekIndex],3),IF((('T_SelfStock'!D30&lt;&gt;""))*(('T_TTAFStock'!D30&lt;&gt;""))&gt;0,'T_SelfStock'!D30+'T_TTAFStock'!D30,C26+'Grid_Incoming'!D26-'Grid_Requirement'!D26))</f>
        <v/>
      </c>
      <c r="E26">
        <f>IF(COUNTIFS(T_StockCount[Part Name],$A26,T_StockCount[WeekIndex],4)&gt;0,SUMIFS(T_StockCount[CountedQty],T_StockCount[Part Name],$A26,T_StockCount[WeekIndex],4),IF((('T_SelfStock'!E30&lt;&gt;""))*(('T_TTAFStock'!E30&lt;&gt;""))&gt;0,'T_SelfStock'!E30+'T_TTAFStock'!E30,D26+'Grid_Incoming'!E26-'Grid_Requirement'!E26))</f>
        <v/>
      </c>
      <c r="F26">
        <f>IF(COUNTIFS(T_StockCount[Part Name],$A26,T_StockCount[WeekIndex],5)&gt;0,SUMIFS(T_StockCount[CountedQty],T_StockCount[Part Name],$A26,T_StockCount[WeekIndex],5),IF((('T_SelfStock'!F30&lt;&gt;""))*(('T_TTAFStock'!F30&lt;&gt;""))&gt;0,'T_SelfStock'!F30+'T_TTAFStock'!F30,E26+'Grid_Incoming'!F26-'Grid_Requirement'!F26))</f>
        <v/>
      </c>
      <c r="G26">
        <f>IF(COUNTIFS(T_StockCount[Part Name],$A26,T_StockCount[WeekIndex],6)&gt;0,SUMIFS(T_StockCount[CountedQty],T_StockCount[Part Name],$A26,T_StockCount[WeekIndex],6),IF((('T_SelfStock'!G30&lt;&gt;""))*(('T_TTAFStock'!G30&lt;&gt;""))&gt;0,'T_SelfStock'!G30+'T_TTAFStock'!G30,F26+'Grid_Incoming'!G26-'Grid_Requirement'!G26))</f>
        <v/>
      </c>
      <c r="H26">
        <f>IF(COUNTIFS(T_StockCount[Part Name],$A26,T_StockCount[WeekIndex],7)&gt;0,SUMIFS(T_StockCount[CountedQty],T_StockCount[Part Name],$A26,T_StockCount[WeekIndex],7),IF((('T_SelfStock'!H30&lt;&gt;""))*(('T_TTAFStock'!H30&lt;&gt;""))&gt;0,'T_SelfStock'!H30+'T_TTAFStock'!H30,G26+'Grid_Incoming'!H26-'Grid_Requirement'!H26))</f>
        <v/>
      </c>
      <c r="I26">
        <f>IF(COUNTIFS(T_StockCount[Part Name],$A26,T_StockCount[WeekIndex],8)&gt;0,SUMIFS(T_StockCount[CountedQty],T_StockCount[Part Name],$A26,T_StockCount[WeekIndex],8),IF((('T_SelfStock'!I30&lt;&gt;""))*(('T_TTAFStock'!I30&lt;&gt;""))&gt;0,'T_SelfStock'!I30+'T_TTAFStock'!I30,H26+'Grid_Incoming'!I26-'Grid_Requirement'!I26))</f>
        <v/>
      </c>
      <c r="J26">
        <f>IF(COUNTIFS(T_StockCount[Part Name],$A26,T_StockCount[WeekIndex],9)&gt;0,SUMIFS(T_StockCount[CountedQty],T_StockCount[Part Name],$A26,T_StockCount[WeekIndex],9),IF((('T_SelfStock'!J30&lt;&gt;""))*(('T_TTAFStock'!J30&lt;&gt;""))&gt;0,'T_SelfStock'!J30+'T_TTAFStock'!J30,I26+'Grid_Incoming'!J26-'Grid_Requirement'!J26))</f>
        <v/>
      </c>
      <c r="K26">
        <f>IF(COUNTIFS(T_StockCount[Part Name],$A26,T_StockCount[WeekIndex],10)&gt;0,SUMIFS(T_StockCount[CountedQty],T_StockCount[Part Name],$A26,T_StockCount[WeekIndex],10),IF((('T_SelfStock'!K30&lt;&gt;""))*(('T_TTAFStock'!K30&lt;&gt;""))&gt;0,'T_SelfStock'!K30+'T_TTAFStock'!K30,J26+'Grid_Incoming'!K26-'Grid_Requirement'!K26))</f>
        <v/>
      </c>
      <c r="L26">
        <f>IF(COUNTIFS(T_StockCount[Part Name],$A26,T_StockCount[WeekIndex],11)&gt;0,SUMIFS(T_StockCount[CountedQty],T_StockCount[Part Name],$A26,T_StockCount[WeekIndex],11),IF((('T_SelfStock'!L30&lt;&gt;""))*(('T_TTAFStock'!L30&lt;&gt;""))&gt;0,'T_SelfStock'!L30+'T_TTAFStock'!L30,K26+'Grid_Incoming'!L26-'Grid_Requirement'!L26))</f>
        <v/>
      </c>
      <c r="M26">
        <f>IF(COUNTIFS(T_StockCount[Part Name],$A26,T_StockCount[WeekIndex],12)&gt;0,SUMIFS(T_StockCount[CountedQty],T_StockCount[Part Name],$A26,T_StockCount[WeekIndex],12),IF((('T_SelfStock'!M30&lt;&gt;""))*(('T_TTAFStock'!M30&lt;&gt;""))&gt;0,'T_SelfStock'!M30+'T_TTAFStock'!M30,L26+'Grid_Incoming'!M26-'Grid_Requirement'!M26))</f>
        <v/>
      </c>
      <c r="N26">
        <f>IF(COUNTIFS(T_StockCount[Part Name],$A26,T_StockCount[WeekIndex],13)&gt;0,SUMIFS(T_StockCount[CountedQty],T_StockCount[Part Name],$A26,T_StockCount[WeekIndex],13),IF((('T_SelfStock'!N30&lt;&gt;""))*(('T_TTAFStock'!N30&lt;&gt;""))&gt;0,'T_SelfStock'!N30+'T_TTAFStock'!N30,M26+'Grid_Incoming'!N26-'Grid_Requirement'!N26))</f>
        <v/>
      </c>
      <c r="O26">
        <f>IF(COUNTIFS(T_StockCount[Part Name],$A26,T_StockCount[WeekIndex],14)&gt;0,SUMIFS(T_StockCount[CountedQty],T_StockCount[Part Name],$A26,T_StockCount[WeekIndex],14),IF((('T_SelfStock'!O30&lt;&gt;""))*(('T_TTAFStock'!O30&lt;&gt;""))&gt;0,'T_SelfStock'!O30+'T_TTAFStock'!O30,N26+'Grid_Incoming'!O26-'Grid_Requirement'!O26))</f>
        <v/>
      </c>
      <c r="P26">
        <f>IF(COUNTIFS(T_StockCount[Part Name],$A26,T_StockCount[WeekIndex],15)&gt;0,SUMIFS(T_StockCount[CountedQty],T_StockCount[Part Name],$A26,T_StockCount[WeekIndex],15),IF((('T_SelfStock'!P30&lt;&gt;""))*(('T_TTAFStock'!P30&lt;&gt;""))&gt;0,'T_SelfStock'!P30+'T_TTAFStock'!P30,O26+'Grid_Incoming'!P26-'Grid_Requirement'!P26))</f>
        <v/>
      </c>
      <c r="Q26">
        <f>IF(COUNTIFS(T_StockCount[Part Name],$A26,T_StockCount[WeekIndex],16)&gt;0,SUMIFS(T_StockCount[CountedQty],T_StockCount[Part Name],$A26,T_StockCount[WeekIndex],16),IF((('T_SelfStock'!Q30&lt;&gt;""))*(('T_TTAFStock'!Q30&lt;&gt;""))&gt;0,'T_SelfStock'!Q30+'T_TTAFStock'!Q30,P26+'Grid_Incoming'!Q26-'Grid_Requirement'!Q26))</f>
        <v/>
      </c>
      <c r="R26">
        <f>IF(COUNTIFS(T_StockCount[Part Name],$A26,T_StockCount[WeekIndex],17)&gt;0,SUMIFS(T_StockCount[CountedQty],T_StockCount[Part Name],$A26,T_StockCount[WeekIndex],17),IF((('T_SelfStock'!R30&lt;&gt;""))*(('T_TTAFStock'!R30&lt;&gt;""))&gt;0,'T_SelfStock'!R30+'T_TTAFStock'!R30,Q26+'Grid_Incoming'!R26-'Grid_Requirement'!R26))</f>
        <v/>
      </c>
      <c r="S26">
        <f>IF(COUNTIFS(T_StockCount[Part Name],$A26,T_StockCount[WeekIndex],18)&gt;0,SUMIFS(T_StockCount[CountedQty],T_StockCount[Part Name],$A26,T_StockCount[WeekIndex],18),IF((('T_SelfStock'!S30&lt;&gt;""))*(('T_TTAFStock'!S30&lt;&gt;""))&gt;0,'T_SelfStock'!S30+'T_TTAFStock'!S30,R26+'Grid_Incoming'!S26-'Grid_Requirement'!S26))</f>
        <v/>
      </c>
      <c r="T26">
        <f>IF(COUNTIFS(T_StockCount[Part Name],$A26,T_StockCount[WeekIndex],19)&gt;0,SUMIFS(T_StockCount[CountedQty],T_StockCount[Part Name],$A26,T_StockCount[WeekIndex],19),IF((('T_SelfStock'!T30&lt;&gt;""))*(('T_TTAFStock'!T30&lt;&gt;""))&gt;0,'T_SelfStock'!T30+'T_TTAFStock'!T30,S26+'Grid_Incoming'!T26-'Grid_Requirement'!T26))</f>
        <v/>
      </c>
      <c r="U26">
        <f>IF(COUNTIFS(T_StockCount[Part Name],$A26,T_StockCount[WeekIndex],20)&gt;0,SUMIFS(T_StockCount[CountedQty],T_StockCount[Part Name],$A26,T_StockCount[WeekIndex],20),IF((('T_SelfStock'!U30&lt;&gt;""))*(('T_TTAFStock'!U30&lt;&gt;""))&gt;0,'T_SelfStock'!U30+'T_TTAFStock'!U30,T26+'Grid_Incoming'!U26-'Grid_Requirement'!U26))</f>
        <v/>
      </c>
      <c r="V26">
        <f>IF(COUNTIFS(T_StockCount[Part Name],$A26,T_StockCount[WeekIndex],21)&gt;0,SUMIFS(T_StockCount[CountedQty],T_StockCount[Part Name],$A26,T_StockCount[WeekIndex],21),IF((('T_SelfStock'!V30&lt;&gt;""))*(('T_TTAFStock'!V30&lt;&gt;""))&gt;0,'T_SelfStock'!V30+'T_TTAFStock'!V30,U26+'Grid_Incoming'!V26-'Grid_Requirement'!V26))</f>
        <v/>
      </c>
      <c r="W26">
        <f>IF(COUNTIFS(T_StockCount[Part Name],$A26,T_StockCount[WeekIndex],22)&gt;0,SUMIFS(T_StockCount[CountedQty],T_StockCount[Part Name],$A26,T_StockCount[WeekIndex],22),IF((('T_SelfStock'!W30&lt;&gt;""))*(('T_TTAFStock'!W30&lt;&gt;""))&gt;0,'T_SelfStock'!W30+'T_TTAFStock'!W30,V26+'Grid_Incoming'!W26-'Grid_Requirement'!W26))</f>
        <v/>
      </c>
      <c r="X26">
        <f>IF(COUNTIFS(T_StockCount[Part Name],$A26,T_StockCount[WeekIndex],23)&gt;0,SUMIFS(T_StockCount[CountedQty],T_StockCount[Part Name],$A26,T_StockCount[WeekIndex],23),IF((('T_SelfStock'!X30&lt;&gt;""))*(('T_TTAFStock'!X30&lt;&gt;""))&gt;0,'T_SelfStock'!X30+'T_TTAFStock'!X30,W26+'Grid_Incoming'!X26-'Grid_Requirement'!X26))</f>
        <v/>
      </c>
      <c r="Y26">
        <f>IF(COUNTIFS(T_StockCount[Part Name],$A26,T_StockCount[WeekIndex],24)&gt;0,SUMIFS(T_StockCount[CountedQty],T_StockCount[Part Name],$A26,T_StockCount[WeekIndex],24),IF((('T_SelfStock'!Y30&lt;&gt;""))*(('T_TTAFStock'!Y30&lt;&gt;""))&gt;0,'T_SelfStock'!Y30+'T_TTAFStock'!Y30,X26+'Grid_Incoming'!Y26-'Grid_Requirement'!Y26))</f>
        <v/>
      </c>
      <c r="Z26">
        <f>IF(COUNTIFS(T_StockCount[Part Name],$A26,T_StockCount[WeekIndex],25)&gt;0,SUMIFS(T_StockCount[CountedQty],T_StockCount[Part Name],$A26,T_StockCount[WeekIndex],25),IF((('T_SelfStock'!Z30&lt;&gt;""))*(('T_TTAFStock'!Z30&lt;&gt;""))&gt;0,'T_SelfStock'!Z30+'T_TTAFStock'!Z30,Y26+'Grid_Incoming'!Z26-'Grid_Requirement'!Z26))</f>
        <v/>
      </c>
      <c r="AA26">
        <f>IF(COUNTIFS(T_StockCount[Part Name],$A26,T_StockCount[WeekIndex],26)&gt;0,SUMIFS(T_StockCount[CountedQty],T_StockCount[Part Name],$A26,T_StockCount[WeekIndex],26),IF((('T_SelfStock'!AA30&lt;&gt;""))*(('T_TTAFStock'!AA30&lt;&gt;""))&gt;0,'T_SelfStock'!AA30+'T_TTAFStock'!AA30,Z26+'Grid_Incoming'!AA26-'Grid_Requirement'!AA26))</f>
        <v/>
      </c>
      <c r="AB26">
        <f>IF(COUNTIFS(T_StockCount[Part Name],$A26,T_StockCount[WeekIndex],27)&gt;0,SUMIFS(T_StockCount[CountedQty],T_StockCount[Part Name],$A26,T_StockCount[WeekIndex],27),IF((('T_SelfStock'!AB30&lt;&gt;""))*(('T_TTAFStock'!AB30&lt;&gt;""))&gt;0,'T_SelfStock'!AB30+'T_TTAFStock'!AB30,AA26+'Grid_Incoming'!AB26-'Grid_Requirement'!AB26))</f>
        <v/>
      </c>
      <c r="AC26">
        <f>IF(COUNTIFS(T_StockCount[Part Name],$A26,T_StockCount[WeekIndex],28)&gt;0,SUMIFS(T_StockCount[CountedQty],T_StockCount[Part Name],$A26,T_StockCount[WeekIndex],28),IF((('T_SelfStock'!AC30&lt;&gt;""))*(('T_TTAFStock'!AC30&lt;&gt;""))&gt;0,'T_SelfStock'!AC30+'T_TTAFStock'!AC30,AB26+'Grid_Incoming'!AC26-'Grid_Requirement'!AC26))</f>
        <v/>
      </c>
      <c r="AD26">
        <f>IF(COUNTIFS(T_StockCount[Part Name],$A26,T_StockCount[WeekIndex],29)&gt;0,SUMIFS(T_StockCount[CountedQty],T_StockCount[Part Name],$A26,T_StockCount[WeekIndex],29),IF((('T_SelfStock'!AD30&lt;&gt;""))*(('T_TTAFStock'!AD30&lt;&gt;""))&gt;0,'T_SelfStock'!AD30+'T_TTAFStock'!AD30,AC26+'Grid_Incoming'!AD26-'Grid_Requirement'!AD26))</f>
        <v/>
      </c>
      <c r="AE26">
        <f>IF(COUNTIFS(T_StockCount[Part Name],$A26,T_StockCount[WeekIndex],30)&gt;0,SUMIFS(T_StockCount[CountedQty],T_StockCount[Part Name],$A26,T_StockCount[WeekIndex],30),IF((('T_SelfStock'!AE30&lt;&gt;""))*(('T_TTAFStock'!AE30&lt;&gt;""))&gt;0,'T_SelfStock'!AE30+'T_TTAFStock'!AE30,AD26+'Grid_Incoming'!AE26-'Grid_Requirement'!AE26))</f>
        <v/>
      </c>
      <c r="AF26">
        <f>IF(COUNTIFS(T_StockCount[Part Name],$A26,T_StockCount[WeekIndex],31)&gt;0,SUMIFS(T_StockCount[CountedQty],T_StockCount[Part Name],$A26,T_StockCount[WeekIndex],31),IF((('T_SelfStock'!AF30&lt;&gt;""))*(('T_TTAFStock'!AF30&lt;&gt;""))&gt;0,'T_SelfStock'!AF30+'T_TTAFStock'!AF30,AE26+'Grid_Incoming'!AF26-'Grid_Requirement'!AF26))</f>
        <v/>
      </c>
      <c r="AG26">
        <f>IF(COUNTIFS(T_StockCount[Part Name],$A26,T_StockCount[WeekIndex],32)&gt;0,SUMIFS(T_StockCount[CountedQty],T_StockCount[Part Name],$A26,T_StockCount[WeekIndex],32),IF((('T_SelfStock'!AG30&lt;&gt;""))*(('T_TTAFStock'!AG30&lt;&gt;""))&gt;0,'T_SelfStock'!AG30+'T_TTAFStock'!AG30,AF26+'Grid_Incoming'!AG26-'Grid_Requirement'!AG26))</f>
        <v/>
      </c>
      <c r="AH26">
        <f>IF(COUNTIFS(T_StockCount[Part Name],$A26,T_StockCount[WeekIndex],33)&gt;0,SUMIFS(T_StockCount[CountedQty],T_StockCount[Part Name],$A26,T_StockCount[WeekIndex],33),IF((('T_SelfStock'!AH30&lt;&gt;""))*(('T_TTAFStock'!AH30&lt;&gt;""))&gt;0,'T_SelfStock'!AH30+'T_TTAFStock'!AH30,AG26+'Grid_Incoming'!AH26-'Grid_Requirement'!AH26))</f>
        <v/>
      </c>
      <c r="AI26">
        <f>IF(COUNTIFS(T_StockCount[Part Name],$A26,T_StockCount[WeekIndex],34)&gt;0,SUMIFS(T_StockCount[CountedQty],T_StockCount[Part Name],$A26,T_StockCount[WeekIndex],34),IF((('T_SelfStock'!AI30&lt;&gt;""))*(('T_TTAFStock'!AI30&lt;&gt;""))&gt;0,'T_SelfStock'!AI30+'T_TTAFStock'!AI30,AH26+'Grid_Incoming'!AI26-'Grid_Requirement'!AI26))</f>
        <v/>
      </c>
      <c r="AJ26">
        <f>IF(COUNTIFS(T_StockCount[Part Name],$A26,T_StockCount[WeekIndex],35)&gt;0,SUMIFS(T_StockCount[CountedQty],T_StockCount[Part Name],$A26,T_StockCount[WeekIndex],35),IF((('T_SelfStock'!AJ30&lt;&gt;""))*(('T_TTAFStock'!AJ30&lt;&gt;""))&gt;0,'T_SelfStock'!AJ30+'T_TTAFStock'!AJ30,AI26+'Grid_Incoming'!AJ26-'Grid_Requirement'!AJ26))</f>
        <v/>
      </c>
      <c r="AK26">
        <f>IF(COUNTIFS(T_StockCount[Part Name],$A26,T_StockCount[WeekIndex],36)&gt;0,SUMIFS(T_StockCount[CountedQty],T_StockCount[Part Name],$A26,T_StockCount[WeekIndex],36),IF((('T_SelfStock'!AK30&lt;&gt;""))*(('T_TTAFStock'!AK30&lt;&gt;""))&gt;0,'T_SelfStock'!AK30+'T_TTAFStock'!AK30,AJ26+'Grid_Incoming'!AK26-'Grid_Requirement'!AK26))</f>
        <v/>
      </c>
      <c r="AL26">
        <f>IF(COUNTIFS(T_StockCount[Part Name],$A26,T_StockCount[WeekIndex],37)&gt;0,SUMIFS(T_StockCount[CountedQty],T_StockCount[Part Name],$A26,T_StockCount[WeekIndex],37),IF((('T_SelfStock'!AL30&lt;&gt;""))*(('T_TTAFStock'!AL30&lt;&gt;""))&gt;0,'T_SelfStock'!AL30+'T_TTAFStock'!AL30,AK26+'Grid_Incoming'!AL26-'Grid_Requirement'!AL26))</f>
        <v/>
      </c>
      <c r="AM26">
        <f>IF(COUNTIFS(T_StockCount[Part Name],$A26,T_StockCount[WeekIndex],38)&gt;0,SUMIFS(T_StockCount[CountedQty],T_StockCount[Part Name],$A26,T_StockCount[WeekIndex],38),IF((('T_SelfStock'!AM30&lt;&gt;""))*(('T_TTAFStock'!AM30&lt;&gt;""))&gt;0,'T_SelfStock'!AM30+'T_TTAFStock'!AM30,AL26+'Grid_Incoming'!AM26-'Grid_Requirement'!AM26))</f>
        <v/>
      </c>
      <c r="AN26">
        <f>IF(COUNTIFS(T_StockCount[Part Name],$A26,T_StockCount[WeekIndex],39)&gt;0,SUMIFS(T_StockCount[CountedQty],T_StockCount[Part Name],$A26,T_StockCount[WeekIndex],39),IF((('T_SelfStock'!AN30&lt;&gt;""))*(('T_TTAFStock'!AN30&lt;&gt;""))&gt;0,'T_SelfStock'!AN30+'T_TTAFStock'!AN30,AM26+'Grid_Incoming'!AN26-'Grid_Requirement'!AN26))</f>
        <v/>
      </c>
      <c r="AO26">
        <f>IF(COUNTIFS(T_StockCount[Part Name],$A26,T_StockCount[WeekIndex],40)&gt;0,SUMIFS(T_StockCount[CountedQty],T_StockCount[Part Name],$A26,T_StockCount[WeekIndex],40),IF((('T_SelfStock'!AO30&lt;&gt;""))*(('T_TTAFStock'!AO30&lt;&gt;""))&gt;0,'T_SelfStock'!AO30+'T_TTAFStock'!AO30,AN26+'Grid_Incoming'!AO26-'Grid_Requirement'!AO26))</f>
        <v/>
      </c>
      <c r="AP26">
        <f>IF(COUNTIFS(T_StockCount[Part Name],$A26,T_StockCount[WeekIndex],41)&gt;0,SUMIFS(T_StockCount[CountedQty],T_StockCount[Part Name],$A26,T_StockCount[WeekIndex],41),IF((('T_SelfStock'!AP30&lt;&gt;""))*(('T_TTAFStock'!AP30&lt;&gt;""))&gt;0,'T_SelfStock'!AP30+'T_TTAFStock'!AP30,AO26+'Grid_Incoming'!AP26-'Grid_Requirement'!AP26))</f>
        <v/>
      </c>
      <c r="AQ26">
        <f>IF(COUNTIFS(T_StockCount[Part Name],$A26,T_StockCount[WeekIndex],42)&gt;0,SUMIFS(T_StockCount[CountedQty],T_StockCount[Part Name],$A26,T_StockCount[WeekIndex],42),IF((('T_SelfStock'!AQ30&lt;&gt;""))*(('T_TTAFStock'!AQ30&lt;&gt;""))&gt;0,'T_SelfStock'!AQ30+'T_TTAFStock'!AQ30,AP26+'Grid_Incoming'!AQ26-'Grid_Requirement'!AQ26))</f>
        <v/>
      </c>
      <c r="AR26">
        <f>IF(COUNTIFS(T_StockCount[Part Name],$A26,T_StockCount[WeekIndex],43)&gt;0,SUMIFS(T_StockCount[CountedQty],T_StockCount[Part Name],$A26,T_StockCount[WeekIndex],43),IF((('T_SelfStock'!AR30&lt;&gt;""))*(('T_TTAFStock'!AR30&lt;&gt;""))&gt;0,'T_SelfStock'!AR30+'T_TTAFStock'!AR30,AQ26+'Grid_Incoming'!AR26-'Grid_Requirement'!AR26))</f>
        <v/>
      </c>
      <c r="AS26">
        <f>IF(COUNTIFS(T_StockCount[Part Name],$A26,T_StockCount[WeekIndex],44)&gt;0,SUMIFS(T_StockCount[CountedQty],T_StockCount[Part Name],$A26,T_StockCount[WeekIndex],44),IF((('T_SelfStock'!AS30&lt;&gt;""))*(('T_TTAFStock'!AS30&lt;&gt;""))&gt;0,'T_SelfStock'!AS30+'T_TTAFStock'!AS30,AR26+'Grid_Incoming'!AS26-'Grid_Requirement'!AS26))</f>
        <v/>
      </c>
      <c r="AT26">
        <f>IF(COUNTIFS(T_StockCount[Part Name],$A26,T_StockCount[WeekIndex],45)&gt;0,SUMIFS(T_StockCount[CountedQty],T_StockCount[Part Name],$A26,T_StockCount[WeekIndex],45),IF((('T_SelfStock'!AT30&lt;&gt;""))*(('T_TTAFStock'!AT30&lt;&gt;""))&gt;0,'T_SelfStock'!AT30+'T_TTAFStock'!AT30,AS26+'Grid_Incoming'!AT26-'Grid_Requirement'!AT26))</f>
        <v/>
      </c>
      <c r="AU26">
        <f>IF(COUNTIFS(T_StockCount[Part Name],$A26,T_StockCount[WeekIndex],46)&gt;0,SUMIFS(T_StockCount[CountedQty],T_StockCount[Part Name],$A26,T_StockCount[WeekIndex],46),IF((('T_SelfStock'!AU30&lt;&gt;""))*(('T_TTAFStock'!AU30&lt;&gt;""))&gt;0,'T_SelfStock'!AU30+'T_TTAFStock'!AU30,AT26+'Grid_Incoming'!AU26-'Grid_Requirement'!AU26))</f>
        <v/>
      </c>
      <c r="AV26">
        <f>IF(COUNTIFS(T_StockCount[Part Name],$A26,T_StockCount[WeekIndex],47)&gt;0,SUMIFS(T_StockCount[CountedQty],T_StockCount[Part Name],$A26,T_StockCount[WeekIndex],47),IF((('T_SelfStock'!AV30&lt;&gt;""))*(('T_TTAFStock'!AV30&lt;&gt;""))&gt;0,'T_SelfStock'!AV30+'T_TTAFStock'!AV30,AU26+'Grid_Incoming'!AV26-'Grid_Requirement'!AV26))</f>
        <v/>
      </c>
      <c r="AW26">
        <f>IF(COUNTIFS(T_StockCount[Part Name],$A26,T_StockCount[WeekIndex],48)&gt;0,SUMIFS(T_StockCount[CountedQty],T_StockCount[Part Name],$A26,T_StockCount[WeekIndex],48),IF((('T_SelfStock'!AW30&lt;&gt;""))*(('T_TTAFStock'!AW30&lt;&gt;""))&gt;0,'T_SelfStock'!AW30+'T_TTAFStock'!AW30,AV26+'Grid_Incoming'!AW26-'Grid_Requirement'!AW26))</f>
        <v/>
      </c>
      <c r="AX26">
        <f>IF(COUNTIFS(T_StockCount[Part Name],$A26,T_StockCount[WeekIndex],49)&gt;0,SUMIFS(T_StockCount[CountedQty],T_StockCount[Part Name],$A26,T_StockCount[WeekIndex],49),IF((('T_SelfStock'!AX30&lt;&gt;""))*(('T_TTAFStock'!AX30&lt;&gt;""))&gt;0,'T_SelfStock'!AX30+'T_TTAFStock'!AX30,AW26+'Grid_Incoming'!AX26-'Grid_Requirement'!AX26))</f>
        <v/>
      </c>
      <c r="AY26">
        <f>IF(COUNTIFS(T_StockCount[Part Name],$A26,T_StockCount[WeekIndex],50)&gt;0,SUMIFS(T_StockCount[CountedQty],T_StockCount[Part Name],$A26,T_StockCount[WeekIndex],50),IF((('T_SelfStock'!AY30&lt;&gt;""))*(('T_TTAFStock'!AY30&lt;&gt;""))&gt;0,'T_SelfStock'!AY30+'T_TTAFStock'!AY30,AX26+'Grid_Incoming'!AY26-'Grid_Requirement'!AY26))</f>
        <v/>
      </c>
      <c r="AZ26">
        <f>IF(COUNTIFS(T_StockCount[Part Name],$A26,T_StockCount[WeekIndex],51)&gt;0,SUMIFS(T_StockCount[CountedQty],T_StockCount[Part Name],$A26,T_StockCount[WeekIndex],51),IF((('T_SelfStock'!AZ30&lt;&gt;""))*(('T_TTAFStock'!AZ30&lt;&gt;""))&gt;0,'T_SelfStock'!AZ30+'T_TTAFStock'!AZ30,AY26+'Grid_Incoming'!AZ26-'Grid_Requirement'!AZ26))</f>
        <v/>
      </c>
      <c r="BA26">
        <f>IF(COUNTIFS(T_StockCount[Part Name],$A26,T_StockCount[WeekIndex],52)&gt;0,SUMIFS(T_StockCount[CountedQty],T_StockCount[Part Name],$A26,T_StockCount[WeekIndex],52),IF((('T_SelfStock'!BA30&lt;&gt;""))*(('T_TTAFStock'!BA30&lt;&gt;""))&gt;0,'T_SelfStock'!BA30+'T_TTAFStock'!BA30,AZ26+'Grid_Incoming'!BA26-'Grid_Requirement'!BA26))</f>
        <v/>
      </c>
      <c r="BB26">
        <f>IF(COUNTIFS(T_StockCount[Part Name],$A26,T_StockCount[WeekIndex],53)&gt;0,SUMIFS(T_StockCount[CountedQty],T_StockCount[Part Name],$A26,T_StockCount[WeekIndex],53),IF((('T_SelfStock'!BB30&lt;&gt;""))*(('T_TTAFStock'!BB30&lt;&gt;""))&gt;0,'T_SelfStock'!BB30+'T_TTAFStock'!BB30,BA26+'Grid_Incoming'!BB26-'Grid_Requirement'!BB26))</f>
        <v/>
      </c>
      <c r="BC26">
        <f>IF(COUNTIFS(T_StockCount[Part Name],$A26,T_StockCount[WeekIndex],54)&gt;0,SUMIFS(T_StockCount[CountedQty],T_StockCount[Part Name],$A26,T_StockCount[WeekIndex],54),IF((('T_SelfStock'!BC30&lt;&gt;""))*(('T_TTAFStock'!BC30&lt;&gt;""))&gt;0,'T_SelfStock'!BC30+'T_TTAFStock'!BC30,BB26+'Grid_Incoming'!BC26-'Grid_Requirement'!BC26))</f>
        <v/>
      </c>
      <c r="BD26">
        <f>IF(COUNTIFS(T_StockCount[Part Name],$A26,T_StockCount[WeekIndex],55)&gt;0,SUMIFS(T_StockCount[CountedQty],T_StockCount[Part Name],$A26,T_StockCount[WeekIndex],55),IF((('T_SelfStock'!BD30&lt;&gt;""))*(('T_TTAFStock'!BD30&lt;&gt;""))&gt;0,'T_SelfStock'!BD30+'T_TTAFStock'!BD30,BC26+'Grid_Incoming'!BD26-'Grid_Requirement'!BD26))</f>
        <v/>
      </c>
      <c r="BE26">
        <f>IF(COUNTIFS(T_StockCount[Part Name],$A26,T_StockCount[WeekIndex],56)&gt;0,SUMIFS(T_StockCount[CountedQty],T_StockCount[Part Name],$A26,T_StockCount[WeekIndex],56),IF((('T_SelfStock'!BE30&lt;&gt;""))*(('T_TTAFStock'!BE30&lt;&gt;""))&gt;0,'T_SelfStock'!BE30+'T_TTAFStock'!BE30,BD26+'Grid_Incoming'!BE26-'Grid_Requirement'!BE26))</f>
        <v/>
      </c>
      <c r="BF26">
        <f>IF(COUNTIFS(T_StockCount[Part Name],$A26,T_StockCount[WeekIndex],57)&gt;0,SUMIFS(T_StockCount[CountedQty],T_StockCount[Part Name],$A26,T_StockCount[WeekIndex],57),IF((('T_SelfStock'!BF30&lt;&gt;""))*(('T_TTAFStock'!BF30&lt;&gt;""))&gt;0,'T_SelfStock'!BF30+'T_TTAFStock'!BF30,BE26+'Grid_Incoming'!BF26-'Grid_Requirement'!BF26))</f>
        <v/>
      </c>
      <c r="BG26">
        <f>IF(COUNTIFS(T_StockCount[Part Name],$A26,T_StockCount[WeekIndex],58)&gt;0,SUMIFS(T_StockCount[CountedQty],T_StockCount[Part Name],$A26,T_StockCount[WeekIndex],58),IF((('T_SelfStock'!BG30&lt;&gt;""))*(('T_TTAFStock'!BG30&lt;&gt;""))&gt;0,'T_SelfStock'!BG30+'T_TTAFStock'!BG30,BF26+'Grid_Incoming'!BG26-'Grid_Requirement'!BG26))</f>
        <v/>
      </c>
      <c r="BH26">
        <f>IF(COUNTIFS(T_StockCount[Part Name],$A26,T_StockCount[WeekIndex],59)&gt;0,SUMIFS(T_StockCount[CountedQty],T_StockCount[Part Name],$A26,T_StockCount[WeekIndex],59),IF((('T_SelfStock'!BH30&lt;&gt;""))*(('T_TTAFStock'!BH30&lt;&gt;""))&gt;0,'T_SelfStock'!BH30+'T_TTAFStock'!BH30,BG26+'Grid_Incoming'!BH26-'Grid_Requirement'!BH26))</f>
        <v/>
      </c>
      <c r="BI26">
        <f>IF(COUNTIFS(T_StockCount[Part Name],$A26,T_StockCount[WeekIndex],60)&gt;0,SUMIFS(T_StockCount[CountedQty],T_StockCount[Part Name],$A26,T_StockCount[WeekIndex],60),IF((('T_SelfStock'!BI30&lt;&gt;""))*(('T_TTAFStock'!BI30&lt;&gt;""))&gt;0,'T_SelfStock'!BI30+'T_TTAFStock'!BI30,BH26+'Grid_Incoming'!BI26-'Grid_Requirement'!BI26))</f>
        <v/>
      </c>
      <c r="BJ26">
        <f>IF(COUNTIFS(T_StockCount[Part Name],$A26,T_StockCount[WeekIndex],61)&gt;0,SUMIFS(T_StockCount[CountedQty],T_StockCount[Part Name],$A26,T_StockCount[WeekIndex],61),IF((('T_SelfStock'!BJ30&lt;&gt;""))*(('T_TTAFStock'!BJ30&lt;&gt;""))&gt;0,'T_SelfStock'!BJ30+'T_TTAFStock'!BJ30,BI26+'Grid_Incoming'!BJ26-'Grid_Requirement'!BJ26))</f>
        <v/>
      </c>
      <c r="BK26">
        <f>IF(COUNTIFS(T_StockCount[Part Name],$A26,T_StockCount[WeekIndex],62)&gt;0,SUMIFS(T_StockCount[CountedQty],T_StockCount[Part Name],$A26,T_StockCount[WeekIndex],62),IF((('T_SelfStock'!BK30&lt;&gt;""))*(('T_TTAFStock'!BK30&lt;&gt;""))&gt;0,'T_SelfStock'!BK30+'T_TTAFStock'!BK30,BJ26+'Grid_Incoming'!BK26-'Grid_Requirement'!BK26))</f>
        <v/>
      </c>
      <c r="BL26">
        <f>IF(COUNTIFS(T_StockCount[Part Name],$A26,T_StockCount[WeekIndex],63)&gt;0,SUMIFS(T_StockCount[CountedQty],T_StockCount[Part Name],$A26,T_StockCount[WeekIndex],63),IF((('T_SelfStock'!BL30&lt;&gt;""))*(('T_TTAFStock'!BL30&lt;&gt;""))&gt;0,'T_SelfStock'!BL30+'T_TTAFStock'!BL30,BK26+'Grid_Incoming'!BL26-'Grid_Requirement'!BL26))</f>
        <v/>
      </c>
      <c r="BM26">
        <f>IF(COUNTIFS(T_StockCount[Part Name],$A26,T_StockCount[WeekIndex],64)&gt;0,SUMIFS(T_StockCount[CountedQty],T_StockCount[Part Name],$A26,T_StockCount[WeekIndex],64),IF((('T_SelfStock'!BM30&lt;&gt;""))*(('T_TTAFStock'!BM30&lt;&gt;""))&gt;0,'T_SelfStock'!BM30+'T_TTAFStock'!BM30,BL26+'Grid_Incoming'!BM26-'Grid_Requirement'!BM26))</f>
        <v/>
      </c>
      <c r="BN26">
        <f>IF(COUNTIFS(T_StockCount[Part Name],$A26,T_StockCount[WeekIndex],65)&gt;0,SUMIFS(T_StockCount[CountedQty],T_StockCount[Part Name],$A26,T_StockCount[WeekIndex],65),IF((('T_SelfStock'!BN30&lt;&gt;""))*(('T_TTAFStock'!BN30&lt;&gt;""))&gt;0,'T_SelfStock'!BN30+'T_TTAFStock'!BN30,BM26+'Grid_Incoming'!BN26-'Grid_Requirement'!BN26))</f>
        <v/>
      </c>
      <c r="BO26">
        <f>IF(COUNTIFS(T_StockCount[Part Name],$A26,T_StockCount[WeekIndex],66)&gt;0,SUMIFS(T_StockCount[CountedQty],T_StockCount[Part Name],$A26,T_StockCount[WeekIndex],66),IF((('T_SelfStock'!BO30&lt;&gt;""))*(('T_TTAFStock'!BO30&lt;&gt;""))&gt;0,'T_SelfStock'!BO30+'T_TTAFStock'!BO30,BN26+'Grid_Incoming'!BO26-'Grid_Requirement'!BO26))</f>
        <v/>
      </c>
      <c r="BP26">
        <f>IF(COUNTIFS(T_StockCount[Part Name],$A26,T_StockCount[WeekIndex],67)&gt;0,SUMIFS(T_StockCount[CountedQty],T_StockCount[Part Name],$A26,T_StockCount[WeekIndex],67),IF((('T_SelfStock'!BP30&lt;&gt;""))*(('T_TTAFStock'!BP30&lt;&gt;""))&gt;0,'T_SelfStock'!BP30+'T_TTAFStock'!BP30,BO26+'Grid_Incoming'!BP26-'Grid_Requirement'!BP26))</f>
        <v/>
      </c>
      <c r="BQ26">
        <f>IF(COUNTIFS(T_StockCount[Part Name],$A26,T_StockCount[WeekIndex],68)&gt;0,SUMIFS(T_StockCount[CountedQty],T_StockCount[Part Name],$A26,T_StockCount[WeekIndex],68),IF((('T_SelfStock'!BQ30&lt;&gt;""))*(('T_TTAFStock'!BQ30&lt;&gt;""))&gt;0,'T_SelfStock'!BQ30+'T_TTAFStock'!BQ30,BP26+'Grid_Incoming'!BQ26-'Grid_Requirement'!BQ26))</f>
        <v/>
      </c>
      <c r="BR26">
        <f>IF(COUNTIFS(T_StockCount[Part Name],$A26,T_StockCount[WeekIndex],69)&gt;0,SUMIFS(T_StockCount[CountedQty],T_StockCount[Part Name],$A26,T_StockCount[WeekIndex],69),IF((('T_SelfStock'!BR30&lt;&gt;""))*(('T_TTAFStock'!BR30&lt;&gt;""))&gt;0,'T_SelfStock'!BR30+'T_TTAFStock'!BR30,BQ26+'Grid_Incoming'!BR26-'Grid_Requirement'!BR26))</f>
        <v/>
      </c>
      <c r="BS26">
        <f>IF(COUNTIFS(T_StockCount[Part Name],$A26,T_StockCount[WeekIndex],70)&gt;0,SUMIFS(T_StockCount[CountedQty],T_StockCount[Part Name],$A26,T_StockCount[WeekIndex],70),IF((('T_SelfStock'!BS30&lt;&gt;""))*(('T_TTAFStock'!BS30&lt;&gt;""))&gt;0,'T_SelfStock'!BS30+'T_TTAFStock'!BS30,BR26+'Grid_Incoming'!BS26-'Grid_Requirement'!BS26))</f>
        <v/>
      </c>
      <c r="BT26">
        <f>IF(COUNTIFS(T_StockCount[Part Name],$A26,T_StockCount[WeekIndex],71)&gt;0,SUMIFS(T_StockCount[CountedQty],T_StockCount[Part Name],$A26,T_StockCount[WeekIndex],71),IF((('T_SelfStock'!BT30&lt;&gt;""))*(('T_TTAFStock'!BT30&lt;&gt;""))&gt;0,'T_SelfStock'!BT30+'T_TTAFStock'!BT30,BS26+'Grid_Incoming'!BT26-'Grid_Requirement'!BT26))</f>
        <v/>
      </c>
      <c r="BU26">
        <f>IF(COUNTIFS(T_StockCount[Part Name],$A26,T_StockCount[WeekIndex],72)&gt;0,SUMIFS(T_StockCount[CountedQty],T_StockCount[Part Name],$A26,T_StockCount[WeekIndex],72),IF((('T_SelfStock'!BU30&lt;&gt;""))*(('T_TTAFStock'!BU30&lt;&gt;""))&gt;0,'T_SelfStock'!BU30+'T_TTAFStock'!BU30,BT26+'Grid_Incoming'!BU26-'Grid_Requirement'!BU26))</f>
        <v/>
      </c>
      <c r="BV26">
        <f>IF(COUNTIFS(T_StockCount[Part Name],$A26,T_StockCount[WeekIndex],73)&gt;0,SUMIFS(T_StockCount[CountedQty],T_StockCount[Part Name],$A26,T_StockCount[WeekIndex],73),IF((('T_SelfStock'!BV30&lt;&gt;""))*(('T_TTAFStock'!BV30&lt;&gt;""))&gt;0,'T_SelfStock'!BV30+'T_TTAFStock'!BV30,BU26+'Grid_Incoming'!BV26-'Grid_Requirement'!BV26))</f>
        <v/>
      </c>
      <c r="BW26">
        <f>IF(COUNTIFS(T_StockCount[Part Name],$A26,T_StockCount[WeekIndex],74)&gt;0,SUMIFS(T_StockCount[CountedQty],T_StockCount[Part Name],$A26,T_StockCount[WeekIndex],74),IF((('T_SelfStock'!BW30&lt;&gt;""))*(('T_TTAFStock'!BW30&lt;&gt;""))&gt;0,'T_SelfStock'!BW30+'T_TTAFStock'!BW30,BV26+'Grid_Incoming'!BW26-'Grid_Requirement'!BW26))</f>
        <v/>
      </c>
      <c r="BX26">
        <f>IF(COUNTIFS(T_StockCount[Part Name],$A26,T_StockCount[WeekIndex],75)&gt;0,SUMIFS(T_StockCount[CountedQty],T_StockCount[Part Name],$A26,T_StockCount[WeekIndex],75),IF((('T_SelfStock'!BX30&lt;&gt;""))*(('T_TTAFStock'!BX30&lt;&gt;""))&gt;0,'T_SelfStock'!BX30+'T_TTAFStock'!BX30,BW26+'Grid_Incoming'!BX26-'Grid_Requirement'!BX26))</f>
        <v/>
      </c>
      <c r="BY26">
        <f>IF(COUNTIFS(T_StockCount[Part Name],$A26,T_StockCount[WeekIndex],76)&gt;0,SUMIFS(T_StockCount[CountedQty],T_StockCount[Part Name],$A26,T_StockCount[WeekIndex],76),IF((('T_SelfStock'!BY30&lt;&gt;""))*(('T_TTAFStock'!BY30&lt;&gt;""))&gt;0,'T_SelfStock'!BY30+'T_TTAFStock'!BY30,BX26+'Grid_Incoming'!BY26-'Grid_Requirement'!BY26))</f>
        <v/>
      </c>
      <c r="BZ26">
        <f>IF(COUNTIFS(T_StockCount[Part Name],$A26,T_StockCount[WeekIndex],77)&gt;0,SUMIFS(T_StockCount[CountedQty],T_StockCount[Part Name],$A26,T_StockCount[WeekIndex],77),IF((('T_SelfStock'!BZ30&lt;&gt;""))*(('T_TTAFStock'!BZ30&lt;&gt;""))&gt;0,'T_SelfStock'!BZ30+'T_TTAFStock'!BZ30,BY26+'Grid_Incoming'!BZ26-'Grid_Requirement'!BZ26))</f>
        <v/>
      </c>
      <c r="CA26">
        <f>IF(COUNTIFS(T_StockCount[Part Name],$A26,T_StockCount[WeekIndex],78)&gt;0,SUMIFS(T_StockCount[CountedQty],T_StockCount[Part Name],$A26,T_StockCount[WeekIndex],78),IF((('T_SelfStock'!CA30&lt;&gt;""))*(('T_TTAFStock'!CA30&lt;&gt;""))&gt;0,'T_SelfStock'!CA30+'T_TTAFStock'!CA30,BZ26+'Grid_Incoming'!CA26-'Grid_Requirement'!CA26))</f>
        <v/>
      </c>
      <c r="CB26">
        <f>IF(COUNTIFS(T_StockCount[Part Name],$A26,T_StockCount[WeekIndex],79)&gt;0,SUMIFS(T_StockCount[CountedQty],T_StockCount[Part Name],$A26,T_StockCount[WeekIndex],79),IF((('T_SelfStock'!CB30&lt;&gt;""))*(('T_TTAFStock'!CB30&lt;&gt;""))&gt;0,'T_SelfStock'!CB30+'T_TTAFStock'!CB30,CA26+'Grid_Incoming'!CB26-'Grid_Requirement'!CB26))</f>
        <v/>
      </c>
      <c r="CC26">
        <f>IF(COUNTIFS(T_StockCount[Part Name],$A26,T_StockCount[WeekIndex],80)&gt;0,SUMIFS(T_StockCount[CountedQty],T_StockCount[Part Name],$A26,T_StockCount[WeekIndex],80),IF((('T_SelfStock'!CC30&lt;&gt;""))*(('T_TTAFStock'!CC30&lt;&gt;""))&gt;0,'T_SelfStock'!CC30+'T_TTAFStock'!CC30,CB26+'Grid_Incoming'!CC26-'Grid_Requirement'!CC26))</f>
        <v/>
      </c>
      <c r="CD26">
        <f>IF(COUNTIFS(T_StockCount[Part Name],$A26,T_StockCount[WeekIndex],81)&gt;0,SUMIFS(T_StockCount[CountedQty],T_StockCount[Part Name],$A26,T_StockCount[WeekIndex],81),IF((('T_SelfStock'!CD30&lt;&gt;""))*(('T_TTAFStock'!CD30&lt;&gt;""))&gt;0,'T_SelfStock'!CD30+'T_TTAFStock'!CD30,CC26+'Grid_Incoming'!CD26-'Grid_Requirement'!CD26))</f>
        <v/>
      </c>
      <c r="CE26">
        <f>IF(COUNTIFS(T_StockCount[Part Name],$A26,T_StockCount[WeekIndex],82)&gt;0,SUMIFS(T_StockCount[CountedQty],T_StockCount[Part Name],$A26,T_StockCount[WeekIndex],82),IF((('T_SelfStock'!CE30&lt;&gt;""))*(('T_TTAFStock'!CE30&lt;&gt;""))&gt;0,'T_SelfStock'!CE30+'T_TTAFStock'!CE30,CD26+'Grid_Incoming'!CE26-'Grid_Requirement'!CE26))</f>
        <v/>
      </c>
      <c r="CF26">
        <f>IF(COUNTIFS(T_StockCount[Part Name],$A26,T_StockCount[WeekIndex],83)&gt;0,SUMIFS(T_StockCount[CountedQty],T_StockCount[Part Name],$A26,T_StockCount[WeekIndex],83),IF((('T_SelfStock'!CF30&lt;&gt;""))*(('T_TTAFStock'!CF30&lt;&gt;""))&gt;0,'T_SelfStock'!CF30+'T_TTAFStock'!CF30,CE26+'Grid_Incoming'!CF26-'Grid_Requirement'!CF26))</f>
        <v/>
      </c>
      <c r="CG26">
        <f>IF(COUNTIFS(T_StockCount[Part Name],$A26,T_StockCount[WeekIndex],84)&gt;0,SUMIFS(T_StockCount[CountedQty],T_StockCount[Part Name],$A26,T_StockCount[WeekIndex],84),IF((('T_SelfStock'!CG30&lt;&gt;""))*(('T_TTAFStock'!CG30&lt;&gt;""))&gt;0,'T_SelfStock'!CG30+'T_TTAFStock'!CG30,CF26+'Grid_Incoming'!CG26-'Grid_Requirement'!CG26))</f>
        <v/>
      </c>
      <c r="CH26">
        <f>IF(COUNTIFS(T_StockCount[Part Name],$A26,T_StockCount[WeekIndex],85)&gt;0,SUMIFS(T_StockCount[CountedQty],T_StockCount[Part Name],$A26,T_StockCount[WeekIndex],85),IF((('T_SelfStock'!CH30&lt;&gt;""))*(('T_TTAFStock'!CH30&lt;&gt;""))&gt;0,'T_SelfStock'!CH30+'T_TTAFStock'!CH30,CG26+'Grid_Incoming'!CH26-'Grid_Requirement'!CH26))</f>
        <v/>
      </c>
      <c r="CI26">
        <f>IF(COUNTIFS(T_StockCount[Part Name],$A26,T_StockCount[WeekIndex],86)&gt;0,SUMIFS(T_StockCount[CountedQty],T_StockCount[Part Name],$A26,T_StockCount[WeekIndex],86),IF((('T_SelfStock'!CI30&lt;&gt;""))*(('T_TTAFStock'!CI30&lt;&gt;""))&gt;0,'T_SelfStock'!CI30+'T_TTAFStock'!CI30,CH26+'Grid_Incoming'!CI26-'Grid_Requirement'!CI26))</f>
        <v/>
      </c>
      <c r="CJ26">
        <f>IF(COUNTIFS(T_StockCount[Part Name],$A26,T_StockCount[WeekIndex],87)&gt;0,SUMIFS(T_StockCount[CountedQty],T_StockCount[Part Name],$A26,T_StockCount[WeekIndex],87),IF((('T_SelfStock'!CJ30&lt;&gt;""))*(('T_TTAFStock'!CJ30&lt;&gt;""))&gt;0,'T_SelfStock'!CJ30+'T_TTAFStock'!CJ30,CI26+'Grid_Incoming'!CJ26-'Grid_Requirement'!CJ26))</f>
        <v/>
      </c>
      <c r="CK26">
        <f>IF(COUNTIFS(T_StockCount[Part Name],$A26,T_StockCount[WeekIndex],88)&gt;0,SUMIFS(T_StockCount[CountedQty],T_StockCount[Part Name],$A26,T_StockCount[WeekIndex],88),IF((('T_SelfStock'!CK30&lt;&gt;""))*(('T_TTAFStock'!CK30&lt;&gt;""))&gt;0,'T_SelfStock'!CK30+'T_TTAFStock'!CK30,CJ26+'Grid_Incoming'!CK26-'Grid_Requirement'!CK26))</f>
        <v/>
      </c>
      <c r="CL26">
        <f>IF(COUNTIFS(T_StockCount[Part Name],$A26,T_StockCount[WeekIndex],89)&gt;0,SUMIFS(T_StockCount[CountedQty],T_StockCount[Part Name],$A26,T_StockCount[WeekIndex],89),IF((('T_SelfStock'!CL30&lt;&gt;""))*(('T_TTAFStock'!CL30&lt;&gt;""))&gt;0,'T_SelfStock'!CL30+'T_TTAFStock'!CL30,CK26+'Grid_Incoming'!CL26-'Grid_Requirement'!CL26))</f>
        <v/>
      </c>
      <c r="CM26">
        <f>IF(COUNTIFS(T_StockCount[Part Name],$A26,T_StockCount[WeekIndex],90)&gt;0,SUMIFS(T_StockCount[CountedQty],T_StockCount[Part Name],$A26,T_StockCount[WeekIndex],90),IF((('T_SelfStock'!CM30&lt;&gt;""))*(('T_TTAFStock'!CM30&lt;&gt;""))&gt;0,'T_SelfStock'!CM30+'T_TTAFStock'!CM30,CL26+'Grid_Incoming'!CM26-'Grid_Requirement'!CM26))</f>
        <v/>
      </c>
      <c r="CN26">
        <f>IF(COUNTIFS(T_StockCount[Part Name],$A26,T_StockCount[WeekIndex],91)&gt;0,SUMIFS(T_StockCount[CountedQty],T_StockCount[Part Name],$A26,T_StockCount[WeekIndex],91),IF((('T_SelfStock'!CN30&lt;&gt;""))*(('T_TTAFStock'!CN30&lt;&gt;""))&gt;0,'T_SelfStock'!CN30+'T_TTAFStock'!CN30,CM26+'Grid_Incoming'!CN26-'Grid_Requirement'!CN26))</f>
        <v/>
      </c>
      <c r="CO26">
        <f>IF(COUNTIFS(T_StockCount[Part Name],$A26,T_StockCount[WeekIndex],92)&gt;0,SUMIFS(T_StockCount[CountedQty],T_StockCount[Part Name],$A26,T_StockCount[WeekIndex],92),IF((('T_SelfStock'!CO30&lt;&gt;""))*(('T_TTAFStock'!CO30&lt;&gt;""))&gt;0,'T_SelfStock'!CO30+'T_TTAFStock'!CO30,CN26+'Grid_Incoming'!CO26-'Grid_Requirement'!CO26))</f>
        <v/>
      </c>
      <c r="CP26">
        <f>IF(COUNTIFS(T_StockCount[Part Name],$A26,T_StockCount[WeekIndex],93)&gt;0,SUMIFS(T_StockCount[CountedQty],T_StockCount[Part Name],$A26,T_StockCount[WeekIndex],93),IF((('T_SelfStock'!CP30&lt;&gt;""))*(('T_TTAFStock'!CP30&lt;&gt;""))&gt;0,'T_SelfStock'!CP30+'T_TTAFStock'!CP30,CO26+'Grid_Incoming'!CP26-'Grid_Requirement'!CP26))</f>
        <v/>
      </c>
      <c r="CQ26">
        <f>IF(COUNTIFS(T_StockCount[Part Name],$A26,T_StockCount[WeekIndex],94)&gt;0,SUMIFS(T_StockCount[CountedQty],T_StockCount[Part Name],$A26,T_StockCount[WeekIndex],94),IF((('T_SelfStock'!CQ30&lt;&gt;""))*(('T_TTAFStock'!CQ30&lt;&gt;""))&gt;0,'T_SelfStock'!CQ30+'T_TTAFStock'!CQ30,CP26+'Grid_Incoming'!CQ26-'Grid_Requirement'!CQ26))</f>
        <v/>
      </c>
      <c r="CR26">
        <f>IF(COUNTIFS(T_StockCount[Part Name],$A26,T_StockCount[WeekIndex],95)&gt;0,SUMIFS(T_StockCount[CountedQty],T_StockCount[Part Name],$A26,T_StockCount[WeekIndex],95),IF((('T_SelfStock'!CR30&lt;&gt;""))*(('T_TTAFStock'!CR30&lt;&gt;""))&gt;0,'T_SelfStock'!CR30+'T_TTAFStock'!CR30,CQ26+'Grid_Incoming'!CR26-'Grid_Requirement'!CR26))</f>
        <v/>
      </c>
      <c r="CS26">
        <f>IF(COUNTIFS(T_StockCount[Part Name],$A26,T_StockCount[WeekIndex],96)&gt;0,SUMIFS(T_StockCount[CountedQty],T_StockCount[Part Name],$A26,T_StockCount[WeekIndex],96),IF((('T_SelfStock'!CS30&lt;&gt;""))*(('T_TTAFStock'!CS30&lt;&gt;""))&gt;0,'T_SelfStock'!CS30+'T_TTAFStock'!CS30,CR26+'Grid_Incoming'!CS26-'Grid_Requirement'!CS26))</f>
        <v/>
      </c>
      <c r="CT26">
        <f>IF(COUNTIFS(T_StockCount[Part Name],$A26,T_StockCount[WeekIndex],97)&gt;0,SUMIFS(T_StockCount[CountedQty],T_StockCount[Part Name],$A26,T_StockCount[WeekIndex],97),IF((('T_SelfStock'!CT30&lt;&gt;""))*(('T_TTAFStock'!CT30&lt;&gt;""))&gt;0,'T_SelfStock'!CT30+'T_TTAFStock'!CT30,CS26+'Grid_Incoming'!CT26-'Grid_Requirement'!CT26))</f>
        <v/>
      </c>
      <c r="CU26">
        <f>IF(COUNTIFS(T_StockCount[Part Name],$A26,T_StockCount[WeekIndex],98)&gt;0,SUMIFS(T_StockCount[CountedQty],T_StockCount[Part Name],$A26,T_StockCount[WeekIndex],98),IF((('T_SelfStock'!CU30&lt;&gt;""))*(('T_TTAFStock'!CU30&lt;&gt;""))&gt;0,'T_SelfStock'!CU30+'T_TTAFStock'!CU30,CT26+'Grid_Incoming'!CU26-'Grid_Requirement'!CU26))</f>
        <v/>
      </c>
      <c r="CV26">
        <f>IF(COUNTIFS(T_StockCount[Part Name],$A26,T_StockCount[WeekIndex],99)&gt;0,SUMIFS(T_StockCount[CountedQty],T_StockCount[Part Name],$A26,T_StockCount[WeekIndex],99),IF((('T_SelfStock'!CV30&lt;&gt;""))*(('T_TTAFStock'!CV30&lt;&gt;""))&gt;0,'T_SelfStock'!CV30+'T_TTAFStock'!CV30,CU26+'Grid_Incoming'!CV26-'Grid_Requirement'!CV26))</f>
        <v/>
      </c>
      <c r="CW26">
        <f>IF(COUNTIFS(T_StockCount[Part Name],$A26,T_StockCount[WeekIndex],100)&gt;0,SUMIFS(T_StockCount[CountedQty],T_StockCount[Part Name],$A26,T_StockCount[WeekIndex],100),IF((('T_SelfStock'!CW30&lt;&gt;""))*(('T_TTAFStock'!CW30&lt;&gt;""))&gt;0,'T_SelfStock'!CW30+'T_TTAFStock'!CW30,CV26+'Grid_Incoming'!CW26-'Grid_Requirement'!CW26))</f>
        <v/>
      </c>
      <c r="CX26">
        <f>IF(COUNTIFS(T_StockCount[Part Name],$A26,T_StockCount[WeekIndex],101)&gt;0,SUMIFS(T_StockCount[CountedQty],T_StockCount[Part Name],$A26,T_StockCount[WeekIndex],101),IF((('T_SelfStock'!CX30&lt;&gt;""))*(('T_TTAFStock'!CX30&lt;&gt;""))&gt;0,'T_SelfStock'!CX30+'T_TTAFStock'!CX30,CW26+'Grid_Incoming'!CX26-'Grid_Requirement'!CX26))</f>
        <v/>
      </c>
      <c r="CY26">
        <f>IF(COUNTIFS(T_StockCount[Part Name],$A26,T_StockCount[WeekIndex],102)&gt;0,SUMIFS(T_StockCount[CountedQty],T_StockCount[Part Name],$A26,T_StockCount[WeekIndex],102),IF((('T_SelfStock'!CY30&lt;&gt;""))*(('T_TTAFStock'!CY30&lt;&gt;""))&gt;0,'T_SelfStock'!CY30+'T_TTAFStock'!CY30,CX26+'Grid_Incoming'!CY26-'Grid_Requirement'!CY26))</f>
        <v/>
      </c>
      <c r="CZ26">
        <f>IF(COUNTIFS(T_StockCount[Part Name],$A26,T_StockCount[WeekIndex],103)&gt;0,SUMIFS(T_StockCount[CountedQty],T_StockCount[Part Name],$A26,T_StockCount[WeekIndex],103),IF((('T_SelfStock'!CZ30&lt;&gt;""))*(('T_TTAFStock'!CZ30&lt;&gt;""))&gt;0,'T_SelfStock'!CZ30+'T_TTAFStock'!CZ30,CY26+'Grid_Incoming'!CZ26-'Grid_Requirement'!CZ26))</f>
        <v/>
      </c>
      <c r="DA26">
        <f>IF(COUNTIFS(T_StockCount[Part Name],$A26,T_StockCount[WeekIndex],104)&gt;0,SUMIFS(T_StockCount[CountedQty],T_StockCount[Part Name],$A26,T_StockCount[WeekIndex],104),IF((('T_SelfStock'!DA30&lt;&gt;""))*(('T_TTAFStock'!DA30&lt;&gt;""))&gt;0,'T_SelfStock'!DA30+'T_TTAFStock'!DA30,CZ26+'Grid_Incoming'!DA26-'Grid_Requirement'!DA26))</f>
        <v/>
      </c>
    </row>
    <row r="27">
      <c r="A27" t="inlineStr">
        <is>
          <t>CHEM-1680</t>
        </is>
      </c>
      <c r="B27">
        <f>IF(COUNTIFS(T_StockCount[Part Name],$A27,T_StockCount[WeekIndex],1)&gt;0,SUMIFS(T_StockCount[CountedQty],T_StockCount[Part Name],$A27,T_StockCount[WeekIndex],1),IF((('T_SelfStock'!B31&lt;&gt;""))*(('T_TTAFStock'!B31&lt;&gt;""))&gt;0,'T_SelfStock'!B31+'T_TTAFStock'!B31,IFERROR(INDEX(T_OpeningStock[Opening_Qty],MATCH($A27,T_OpeningStock[Part Name],0)),0)+'Grid_Incoming'!B27-'Grid_Requirement'!B27))</f>
        <v/>
      </c>
      <c r="C27">
        <f>IF(COUNTIFS(T_StockCount[Part Name],$A27,T_StockCount[WeekIndex],2)&gt;0,SUMIFS(T_StockCount[CountedQty],T_StockCount[Part Name],$A27,T_StockCount[WeekIndex],2),IF((('T_SelfStock'!C31&lt;&gt;""))*(('T_TTAFStock'!C31&lt;&gt;""))&gt;0,'T_SelfStock'!C31+'T_TTAFStock'!C31,B27+'Grid_Incoming'!C27-'Grid_Requirement'!C27))</f>
        <v/>
      </c>
      <c r="D27">
        <f>IF(COUNTIFS(T_StockCount[Part Name],$A27,T_StockCount[WeekIndex],3)&gt;0,SUMIFS(T_StockCount[CountedQty],T_StockCount[Part Name],$A27,T_StockCount[WeekIndex],3),IF((('T_SelfStock'!D31&lt;&gt;""))*(('T_TTAFStock'!D31&lt;&gt;""))&gt;0,'T_SelfStock'!D31+'T_TTAFStock'!D31,C27+'Grid_Incoming'!D27-'Grid_Requirement'!D27))</f>
        <v/>
      </c>
      <c r="E27">
        <f>IF(COUNTIFS(T_StockCount[Part Name],$A27,T_StockCount[WeekIndex],4)&gt;0,SUMIFS(T_StockCount[CountedQty],T_StockCount[Part Name],$A27,T_StockCount[WeekIndex],4),IF((('T_SelfStock'!E31&lt;&gt;""))*(('T_TTAFStock'!E31&lt;&gt;""))&gt;0,'T_SelfStock'!E31+'T_TTAFStock'!E31,D27+'Grid_Incoming'!E27-'Grid_Requirement'!E27))</f>
        <v/>
      </c>
      <c r="F27">
        <f>IF(COUNTIFS(T_StockCount[Part Name],$A27,T_StockCount[WeekIndex],5)&gt;0,SUMIFS(T_StockCount[CountedQty],T_StockCount[Part Name],$A27,T_StockCount[WeekIndex],5),IF((('T_SelfStock'!F31&lt;&gt;""))*(('T_TTAFStock'!F31&lt;&gt;""))&gt;0,'T_SelfStock'!F31+'T_TTAFStock'!F31,E27+'Grid_Incoming'!F27-'Grid_Requirement'!F27))</f>
        <v/>
      </c>
      <c r="G27">
        <f>IF(COUNTIFS(T_StockCount[Part Name],$A27,T_StockCount[WeekIndex],6)&gt;0,SUMIFS(T_StockCount[CountedQty],T_StockCount[Part Name],$A27,T_StockCount[WeekIndex],6),IF((('T_SelfStock'!G31&lt;&gt;""))*(('T_TTAFStock'!G31&lt;&gt;""))&gt;0,'T_SelfStock'!G31+'T_TTAFStock'!G31,F27+'Grid_Incoming'!G27-'Grid_Requirement'!G27))</f>
        <v/>
      </c>
      <c r="H27">
        <f>IF(COUNTIFS(T_StockCount[Part Name],$A27,T_StockCount[WeekIndex],7)&gt;0,SUMIFS(T_StockCount[CountedQty],T_StockCount[Part Name],$A27,T_StockCount[WeekIndex],7),IF((('T_SelfStock'!H31&lt;&gt;""))*(('T_TTAFStock'!H31&lt;&gt;""))&gt;0,'T_SelfStock'!H31+'T_TTAFStock'!H31,G27+'Grid_Incoming'!H27-'Grid_Requirement'!H27))</f>
        <v/>
      </c>
      <c r="I27">
        <f>IF(COUNTIFS(T_StockCount[Part Name],$A27,T_StockCount[WeekIndex],8)&gt;0,SUMIFS(T_StockCount[CountedQty],T_StockCount[Part Name],$A27,T_StockCount[WeekIndex],8),IF((('T_SelfStock'!I31&lt;&gt;""))*(('T_TTAFStock'!I31&lt;&gt;""))&gt;0,'T_SelfStock'!I31+'T_TTAFStock'!I31,H27+'Grid_Incoming'!I27-'Grid_Requirement'!I27))</f>
        <v/>
      </c>
      <c r="J27">
        <f>IF(COUNTIFS(T_StockCount[Part Name],$A27,T_StockCount[WeekIndex],9)&gt;0,SUMIFS(T_StockCount[CountedQty],T_StockCount[Part Name],$A27,T_StockCount[WeekIndex],9),IF((('T_SelfStock'!J31&lt;&gt;""))*(('T_TTAFStock'!J31&lt;&gt;""))&gt;0,'T_SelfStock'!J31+'T_TTAFStock'!J31,I27+'Grid_Incoming'!J27-'Grid_Requirement'!J27))</f>
        <v/>
      </c>
      <c r="K27">
        <f>IF(COUNTIFS(T_StockCount[Part Name],$A27,T_StockCount[WeekIndex],10)&gt;0,SUMIFS(T_StockCount[CountedQty],T_StockCount[Part Name],$A27,T_StockCount[WeekIndex],10),IF((('T_SelfStock'!K31&lt;&gt;""))*(('T_TTAFStock'!K31&lt;&gt;""))&gt;0,'T_SelfStock'!K31+'T_TTAFStock'!K31,J27+'Grid_Incoming'!K27-'Grid_Requirement'!K27))</f>
        <v/>
      </c>
      <c r="L27">
        <f>IF(COUNTIFS(T_StockCount[Part Name],$A27,T_StockCount[WeekIndex],11)&gt;0,SUMIFS(T_StockCount[CountedQty],T_StockCount[Part Name],$A27,T_StockCount[WeekIndex],11),IF((('T_SelfStock'!L31&lt;&gt;""))*(('T_TTAFStock'!L31&lt;&gt;""))&gt;0,'T_SelfStock'!L31+'T_TTAFStock'!L31,K27+'Grid_Incoming'!L27-'Grid_Requirement'!L27))</f>
        <v/>
      </c>
      <c r="M27">
        <f>IF(COUNTIFS(T_StockCount[Part Name],$A27,T_StockCount[WeekIndex],12)&gt;0,SUMIFS(T_StockCount[CountedQty],T_StockCount[Part Name],$A27,T_StockCount[WeekIndex],12),IF((('T_SelfStock'!M31&lt;&gt;""))*(('T_TTAFStock'!M31&lt;&gt;""))&gt;0,'T_SelfStock'!M31+'T_TTAFStock'!M31,L27+'Grid_Incoming'!M27-'Grid_Requirement'!M27))</f>
        <v/>
      </c>
      <c r="N27">
        <f>IF(COUNTIFS(T_StockCount[Part Name],$A27,T_StockCount[WeekIndex],13)&gt;0,SUMIFS(T_StockCount[CountedQty],T_StockCount[Part Name],$A27,T_StockCount[WeekIndex],13),IF((('T_SelfStock'!N31&lt;&gt;""))*(('T_TTAFStock'!N31&lt;&gt;""))&gt;0,'T_SelfStock'!N31+'T_TTAFStock'!N31,M27+'Grid_Incoming'!N27-'Grid_Requirement'!N27))</f>
        <v/>
      </c>
      <c r="O27">
        <f>IF(COUNTIFS(T_StockCount[Part Name],$A27,T_StockCount[WeekIndex],14)&gt;0,SUMIFS(T_StockCount[CountedQty],T_StockCount[Part Name],$A27,T_StockCount[WeekIndex],14),IF((('T_SelfStock'!O31&lt;&gt;""))*(('T_TTAFStock'!O31&lt;&gt;""))&gt;0,'T_SelfStock'!O31+'T_TTAFStock'!O31,N27+'Grid_Incoming'!O27-'Grid_Requirement'!O27))</f>
        <v/>
      </c>
      <c r="P27">
        <f>IF(COUNTIFS(T_StockCount[Part Name],$A27,T_StockCount[WeekIndex],15)&gt;0,SUMIFS(T_StockCount[CountedQty],T_StockCount[Part Name],$A27,T_StockCount[WeekIndex],15),IF((('T_SelfStock'!P31&lt;&gt;""))*(('T_TTAFStock'!P31&lt;&gt;""))&gt;0,'T_SelfStock'!P31+'T_TTAFStock'!P31,O27+'Grid_Incoming'!P27-'Grid_Requirement'!P27))</f>
        <v/>
      </c>
      <c r="Q27">
        <f>IF(COUNTIFS(T_StockCount[Part Name],$A27,T_StockCount[WeekIndex],16)&gt;0,SUMIFS(T_StockCount[CountedQty],T_StockCount[Part Name],$A27,T_StockCount[WeekIndex],16),IF((('T_SelfStock'!Q31&lt;&gt;""))*(('T_TTAFStock'!Q31&lt;&gt;""))&gt;0,'T_SelfStock'!Q31+'T_TTAFStock'!Q31,P27+'Grid_Incoming'!Q27-'Grid_Requirement'!Q27))</f>
        <v/>
      </c>
      <c r="R27">
        <f>IF(COUNTIFS(T_StockCount[Part Name],$A27,T_StockCount[WeekIndex],17)&gt;0,SUMIFS(T_StockCount[CountedQty],T_StockCount[Part Name],$A27,T_StockCount[WeekIndex],17),IF((('T_SelfStock'!R31&lt;&gt;""))*(('T_TTAFStock'!R31&lt;&gt;""))&gt;0,'T_SelfStock'!R31+'T_TTAFStock'!R31,Q27+'Grid_Incoming'!R27-'Grid_Requirement'!R27))</f>
        <v/>
      </c>
      <c r="S27">
        <f>IF(COUNTIFS(T_StockCount[Part Name],$A27,T_StockCount[WeekIndex],18)&gt;0,SUMIFS(T_StockCount[CountedQty],T_StockCount[Part Name],$A27,T_StockCount[WeekIndex],18),IF((('T_SelfStock'!S31&lt;&gt;""))*(('T_TTAFStock'!S31&lt;&gt;""))&gt;0,'T_SelfStock'!S31+'T_TTAFStock'!S31,R27+'Grid_Incoming'!S27-'Grid_Requirement'!S27))</f>
        <v/>
      </c>
      <c r="T27">
        <f>IF(COUNTIFS(T_StockCount[Part Name],$A27,T_StockCount[WeekIndex],19)&gt;0,SUMIFS(T_StockCount[CountedQty],T_StockCount[Part Name],$A27,T_StockCount[WeekIndex],19),IF((('T_SelfStock'!T31&lt;&gt;""))*(('T_TTAFStock'!T31&lt;&gt;""))&gt;0,'T_SelfStock'!T31+'T_TTAFStock'!T31,S27+'Grid_Incoming'!T27-'Grid_Requirement'!T27))</f>
        <v/>
      </c>
      <c r="U27">
        <f>IF(COUNTIFS(T_StockCount[Part Name],$A27,T_StockCount[WeekIndex],20)&gt;0,SUMIFS(T_StockCount[CountedQty],T_StockCount[Part Name],$A27,T_StockCount[WeekIndex],20),IF((('T_SelfStock'!U31&lt;&gt;""))*(('T_TTAFStock'!U31&lt;&gt;""))&gt;0,'T_SelfStock'!U31+'T_TTAFStock'!U31,T27+'Grid_Incoming'!U27-'Grid_Requirement'!U27))</f>
        <v/>
      </c>
      <c r="V27">
        <f>IF(COUNTIFS(T_StockCount[Part Name],$A27,T_StockCount[WeekIndex],21)&gt;0,SUMIFS(T_StockCount[CountedQty],T_StockCount[Part Name],$A27,T_StockCount[WeekIndex],21),IF((('T_SelfStock'!V31&lt;&gt;""))*(('T_TTAFStock'!V31&lt;&gt;""))&gt;0,'T_SelfStock'!V31+'T_TTAFStock'!V31,U27+'Grid_Incoming'!V27-'Grid_Requirement'!V27))</f>
        <v/>
      </c>
      <c r="W27">
        <f>IF(COUNTIFS(T_StockCount[Part Name],$A27,T_StockCount[WeekIndex],22)&gt;0,SUMIFS(T_StockCount[CountedQty],T_StockCount[Part Name],$A27,T_StockCount[WeekIndex],22),IF((('T_SelfStock'!W31&lt;&gt;""))*(('T_TTAFStock'!W31&lt;&gt;""))&gt;0,'T_SelfStock'!W31+'T_TTAFStock'!W31,V27+'Grid_Incoming'!W27-'Grid_Requirement'!W27))</f>
        <v/>
      </c>
      <c r="X27">
        <f>IF(COUNTIFS(T_StockCount[Part Name],$A27,T_StockCount[WeekIndex],23)&gt;0,SUMIFS(T_StockCount[CountedQty],T_StockCount[Part Name],$A27,T_StockCount[WeekIndex],23),IF((('T_SelfStock'!X31&lt;&gt;""))*(('T_TTAFStock'!X31&lt;&gt;""))&gt;0,'T_SelfStock'!X31+'T_TTAFStock'!X31,W27+'Grid_Incoming'!X27-'Grid_Requirement'!X27))</f>
        <v/>
      </c>
      <c r="Y27">
        <f>IF(COUNTIFS(T_StockCount[Part Name],$A27,T_StockCount[WeekIndex],24)&gt;0,SUMIFS(T_StockCount[CountedQty],T_StockCount[Part Name],$A27,T_StockCount[WeekIndex],24),IF((('T_SelfStock'!Y31&lt;&gt;""))*(('T_TTAFStock'!Y31&lt;&gt;""))&gt;0,'T_SelfStock'!Y31+'T_TTAFStock'!Y31,X27+'Grid_Incoming'!Y27-'Grid_Requirement'!Y27))</f>
        <v/>
      </c>
      <c r="Z27">
        <f>IF(COUNTIFS(T_StockCount[Part Name],$A27,T_StockCount[WeekIndex],25)&gt;0,SUMIFS(T_StockCount[CountedQty],T_StockCount[Part Name],$A27,T_StockCount[WeekIndex],25),IF((('T_SelfStock'!Z31&lt;&gt;""))*(('T_TTAFStock'!Z31&lt;&gt;""))&gt;0,'T_SelfStock'!Z31+'T_TTAFStock'!Z31,Y27+'Grid_Incoming'!Z27-'Grid_Requirement'!Z27))</f>
        <v/>
      </c>
      <c r="AA27">
        <f>IF(COUNTIFS(T_StockCount[Part Name],$A27,T_StockCount[WeekIndex],26)&gt;0,SUMIFS(T_StockCount[CountedQty],T_StockCount[Part Name],$A27,T_StockCount[WeekIndex],26),IF((('T_SelfStock'!AA31&lt;&gt;""))*(('T_TTAFStock'!AA31&lt;&gt;""))&gt;0,'T_SelfStock'!AA31+'T_TTAFStock'!AA31,Z27+'Grid_Incoming'!AA27-'Grid_Requirement'!AA27))</f>
        <v/>
      </c>
      <c r="AB27">
        <f>IF(COUNTIFS(T_StockCount[Part Name],$A27,T_StockCount[WeekIndex],27)&gt;0,SUMIFS(T_StockCount[CountedQty],T_StockCount[Part Name],$A27,T_StockCount[WeekIndex],27),IF((('T_SelfStock'!AB31&lt;&gt;""))*(('T_TTAFStock'!AB31&lt;&gt;""))&gt;0,'T_SelfStock'!AB31+'T_TTAFStock'!AB31,AA27+'Grid_Incoming'!AB27-'Grid_Requirement'!AB27))</f>
        <v/>
      </c>
      <c r="AC27">
        <f>IF(COUNTIFS(T_StockCount[Part Name],$A27,T_StockCount[WeekIndex],28)&gt;0,SUMIFS(T_StockCount[CountedQty],T_StockCount[Part Name],$A27,T_StockCount[WeekIndex],28),IF((('T_SelfStock'!AC31&lt;&gt;""))*(('T_TTAFStock'!AC31&lt;&gt;""))&gt;0,'T_SelfStock'!AC31+'T_TTAFStock'!AC31,AB27+'Grid_Incoming'!AC27-'Grid_Requirement'!AC27))</f>
        <v/>
      </c>
      <c r="AD27">
        <f>IF(COUNTIFS(T_StockCount[Part Name],$A27,T_StockCount[WeekIndex],29)&gt;0,SUMIFS(T_StockCount[CountedQty],T_StockCount[Part Name],$A27,T_StockCount[WeekIndex],29),IF((('T_SelfStock'!AD31&lt;&gt;""))*(('T_TTAFStock'!AD31&lt;&gt;""))&gt;0,'T_SelfStock'!AD31+'T_TTAFStock'!AD31,AC27+'Grid_Incoming'!AD27-'Grid_Requirement'!AD27))</f>
        <v/>
      </c>
      <c r="AE27">
        <f>IF(COUNTIFS(T_StockCount[Part Name],$A27,T_StockCount[WeekIndex],30)&gt;0,SUMIFS(T_StockCount[CountedQty],T_StockCount[Part Name],$A27,T_StockCount[WeekIndex],30),IF((('T_SelfStock'!AE31&lt;&gt;""))*(('T_TTAFStock'!AE31&lt;&gt;""))&gt;0,'T_SelfStock'!AE31+'T_TTAFStock'!AE31,AD27+'Grid_Incoming'!AE27-'Grid_Requirement'!AE27))</f>
        <v/>
      </c>
      <c r="AF27">
        <f>IF(COUNTIFS(T_StockCount[Part Name],$A27,T_StockCount[WeekIndex],31)&gt;0,SUMIFS(T_StockCount[CountedQty],T_StockCount[Part Name],$A27,T_StockCount[WeekIndex],31),IF((('T_SelfStock'!AF31&lt;&gt;""))*(('T_TTAFStock'!AF31&lt;&gt;""))&gt;0,'T_SelfStock'!AF31+'T_TTAFStock'!AF31,AE27+'Grid_Incoming'!AF27-'Grid_Requirement'!AF27))</f>
        <v/>
      </c>
      <c r="AG27">
        <f>IF(COUNTIFS(T_StockCount[Part Name],$A27,T_StockCount[WeekIndex],32)&gt;0,SUMIFS(T_StockCount[CountedQty],T_StockCount[Part Name],$A27,T_StockCount[WeekIndex],32),IF((('T_SelfStock'!AG31&lt;&gt;""))*(('T_TTAFStock'!AG31&lt;&gt;""))&gt;0,'T_SelfStock'!AG31+'T_TTAFStock'!AG31,AF27+'Grid_Incoming'!AG27-'Grid_Requirement'!AG27))</f>
        <v/>
      </c>
      <c r="AH27">
        <f>IF(COUNTIFS(T_StockCount[Part Name],$A27,T_StockCount[WeekIndex],33)&gt;0,SUMIFS(T_StockCount[CountedQty],T_StockCount[Part Name],$A27,T_StockCount[WeekIndex],33),IF((('T_SelfStock'!AH31&lt;&gt;""))*(('T_TTAFStock'!AH31&lt;&gt;""))&gt;0,'T_SelfStock'!AH31+'T_TTAFStock'!AH31,AG27+'Grid_Incoming'!AH27-'Grid_Requirement'!AH27))</f>
        <v/>
      </c>
      <c r="AI27">
        <f>IF(COUNTIFS(T_StockCount[Part Name],$A27,T_StockCount[WeekIndex],34)&gt;0,SUMIFS(T_StockCount[CountedQty],T_StockCount[Part Name],$A27,T_StockCount[WeekIndex],34),IF((('T_SelfStock'!AI31&lt;&gt;""))*(('T_TTAFStock'!AI31&lt;&gt;""))&gt;0,'T_SelfStock'!AI31+'T_TTAFStock'!AI31,AH27+'Grid_Incoming'!AI27-'Grid_Requirement'!AI27))</f>
        <v/>
      </c>
      <c r="AJ27">
        <f>IF(COUNTIFS(T_StockCount[Part Name],$A27,T_StockCount[WeekIndex],35)&gt;0,SUMIFS(T_StockCount[CountedQty],T_StockCount[Part Name],$A27,T_StockCount[WeekIndex],35),IF((('T_SelfStock'!AJ31&lt;&gt;""))*(('T_TTAFStock'!AJ31&lt;&gt;""))&gt;0,'T_SelfStock'!AJ31+'T_TTAFStock'!AJ31,AI27+'Grid_Incoming'!AJ27-'Grid_Requirement'!AJ27))</f>
        <v/>
      </c>
      <c r="AK27">
        <f>IF(COUNTIFS(T_StockCount[Part Name],$A27,T_StockCount[WeekIndex],36)&gt;0,SUMIFS(T_StockCount[CountedQty],T_StockCount[Part Name],$A27,T_StockCount[WeekIndex],36),IF((('T_SelfStock'!AK31&lt;&gt;""))*(('T_TTAFStock'!AK31&lt;&gt;""))&gt;0,'T_SelfStock'!AK31+'T_TTAFStock'!AK31,AJ27+'Grid_Incoming'!AK27-'Grid_Requirement'!AK27))</f>
        <v/>
      </c>
      <c r="AL27">
        <f>IF(COUNTIFS(T_StockCount[Part Name],$A27,T_StockCount[WeekIndex],37)&gt;0,SUMIFS(T_StockCount[CountedQty],T_StockCount[Part Name],$A27,T_StockCount[WeekIndex],37),IF((('T_SelfStock'!AL31&lt;&gt;""))*(('T_TTAFStock'!AL31&lt;&gt;""))&gt;0,'T_SelfStock'!AL31+'T_TTAFStock'!AL31,AK27+'Grid_Incoming'!AL27-'Grid_Requirement'!AL27))</f>
        <v/>
      </c>
      <c r="AM27">
        <f>IF(COUNTIFS(T_StockCount[Part Name],$A27,T_StockCount[WeekIndex],38)&gt;0,SUMIFS(T_StockCount[CountedQty],T_StockCount[Part Name],$A27,T_StockCount[WeekIndex],38),IF((('T_SelfStock'!AM31&lt;&gt;""))*(('T_TTAFStock'!AM31&lt;&gt;""))&gt;0,'T_SelfStock'!AM31+'T_TTAFStock'!AM31,AL27+'Grid_Incoming'!AM27-'Grid_Requirement'!AM27))</f>
        <v/>
      </c>
      <c r="AN27">
        <f>IF(COUNTIFS(T_StockCount[Part Name],$A27,T_StockCount[WeekIndex],39)&gt;0,SUMIFS(T_StockCount[CountedQty],T_StockCount[Part Name],$A27,T_StockCount[WeekIndex],39),IF((('T_SelfStock'!AN31&lt;&gt;""))*(('T_TTAFStock'!AN31&lt;&gt;""))&gt;0,'T_SelfStock'!AN31+'T_TTAFStock'!AN31,AM27+'Grid_Incoming'!AN27-'Grid_Requirement'!AN27))</f>
        <v/>
      </c>
      <c r="AO27">
        <f>IF(COUNTIFS(T_StockCount[Part Name],$A27,T_StockCount[WeekIndex],40)&gt;0,SUMIFS(T_StockCount[CountedQty],T_StockCount[Part Name],$A27,T_StockCount[WeekIndex],40),IF((('T_SelfStock'!AO31&lt;&gt;""))*(('T_TTAFStock'!AO31&lt;&gt;""))&gt;0,'T_SelfStock'!AO31+'T_TTAFStock'!AO31,AN27+'Grid_Incoming'!AO27-'Grid_Requirement'!AO27))</f>
        <v/>
      </c>
      <c r="AP27">
        <f>IF(COUNTIFS(T_StockCount[Part Name],$A27,T_StockCount[WeekIndex],41)&gt;0,SUMIFS(T_StockCount[CountedQty],T_StockCount[Part Name],$A27,T_StockCount[WeekIndex],41),IF((('T_SelfStock'!AP31&lt;&gt;""))*(('T_TTAFStock'!AP31&lt;&gt;""))&gt;0,'T_SelfStock'!AP31+'T_TTAFStock'!AP31,AO27+'Grid_Incoming'!AP27-'Grid_Requirement'!AP27))</f>
        <v/>
      </c>
      <c r="AQ27">
        <f>IF(COUNTIFS(T_StockCount[Part Name],$A27,T_StockCount[WeekIndex],42)&gt;0,SUMIFS(T_StockCount[CountedQty],T_StockCount[Part Name],$A27,T_StockCount[WeekIndex],42),IF((('T_SelfStock'!AQ31&lt;&gt;""))*(('T_TTAFStock'!AQ31&lt;&gt;""))&gt;0,'T_SelfStock'!AQ31+'T_TTAFStock'!AQ31,AP27+'Grid_Incoming'!AQ27-'Grid_Requirement'!AQ27))</f>
        <v/>
      </c>
      <c r="AR27">
        <f>IF(COUNTIFS(T_StockCount[Part Name],$A27,T_StockCount[WeekIndex],43)&gt;0,SUMIFS(T_StockCount[CountedQty],T_StockCount[Part Name],$A27,T_StockCount[WeekIndex],43),IF((('T_SelfStock'!AR31&lt;&gt;""))*(('T_TTAFStock'!AR31&lt;&gt;""))&gt;0,'T_SelfStock'!AR31+'T_TTAFStock'!AR31,AQ27+'Grid_Incoming'!AR27-'Grid_Requirement'!AR27))</f>
        <v/>
      </c>
      <c r="AS27">
        <f>IF(COUNTIFS(T_StockCount[Part Name],$A27,T_StockCount[WeekIndex],44)&gt;0,SUMIFS(T_StockCount[CountedQty],T_StockCount[Part Name],$A27,T_StockCount[WeekIndex],44),IF((('T_SelfStock'!AS31&lt;&gt;""))*(('T_TTAFStock'!AS31&lt;&gt;""))&gt;0,'T_SelfStock'!AS31+'T_TTAFStock'!AS31,AR27+'Grid_Incoming'!AS27-'Grid_Requirement'!AS27))</f>
        <v/>
      </c>
      <c r="AT27">
        <f>IF(COUNTIFS(T_StockCount[Part Name],$A27,T_StockCount[WeekIndex],45)&gt;0,SUMIFS(T_StockCount[CountedQty],T_StockCount[Part Name],$A27,T_StockCount[WeekIndex],45),IF((('T_SelfStock'!AT31&lt;&gt;""))*(('T_TTAFStock'!AT31&lt;&gt;""))&gt;0,'T_SelfStock'!AT31+'T_TTAFStock'!AT31,AS27+'Grid_Incoming'!AT27-'Grid_Requirement'!AT27))</f>
        <v/>
      </c>
      <c r="AU27">
        <f>IF(COUNTIFS(T_StockCount[Part Name],$A27,T_StockCount[WeekIndex],46)&gt;0,SUMIFS(T_StockCount[CountedQty],T_StockCount[Part Name],$A27,T_StockCount[WeekIndex],46),IF((('T_SelfStock'!AU31&lt;&gt;""))*(('T_TTAFStock'!AU31&lt;&gt;""))&gt;0,'T_SelfStock'!AU31+'T_TTAFStock'!AU31,AT27+'Grid_Incoming'!AU27-'Grid_Requirement'!AU27))</f>
        <v/>
      </c>
      <c r="AV27">
        <f>IF(COUNTIFS(T_StockCount[Part Name],$A27,T_StockCount[WeekIndex],47)&gt;0,SUMIFS(T_StockCount[CountedQty],T_StockCount[Part Name],$A27,T_StockCount[WeekIndex],47),IF((('T_SelfStock'!AV31&lt;&gt;""))*(('T_TTAFStock'!AV31&lt;&gt;""))&gt;0,'T_SelfStock'!AV31+'T_TTAFStock'!AV31,AU27+'Grid_Incoming'!AV27-'Grid_Requirement'!AV27))</f>
        <v/>
      </c>
      <c r="AW27">
        <f>IF(COUNTIFS(T_StockCount[Part Name],$A27,T_StockCount[WeekIndex],48)&gt;0,SUMIFS(T_StockCount[CountedQty],T_StockCount[Part Name],$A27,T_StockCount[WeekIndex],48),IF((('T_SelfStock'!AW31&lt;&gt;""))*(('T_TTAFStock'!AW31&lt;&gt;""))&gt;0,'T_SelfStock'!AW31+'T_TTAFStock'!AW31,AV27+'Grid_Incoming'!AW27-'Grid_Requirement'!AW27))</f>
        <v/>
      </c>
      <c r="AX27">
        <f>IF(COUNTIFS(T_StockCount[Part Name],$A27,T_StockCount[WeekIndex],49)&gt;0,SUMIFS(T_StockCount[CountedQty],T_StockCount[Part Name],$A27,T_StockCount[WeekIndex],49),IF((('T_SelfStock'!AX31&lt;&gt;""))*(('T_TTAFStock'!AX31&lt;&gt;""))&gt;0,'T_SelfStock'!AX31+'T_TTAFStock'!AX31,AW27+'Grid_Incoming'!AX27-'Grid_Requirement'!AX27))</f>
        <v/>
      </c>
      <c r="AY27">
        <f>IF(COUNTIFS(T_StockCount[Part Name],$A27,T_StockCount[WeekIndex],50)&gt;0,SUMIFS(T_StockCount[CountedQty],T_StockCount[Part Name],$A27,T_StockCount[WeekIndex],50),IF((('T_SelfStock'!AY31&lt;&gt;""))*(('T_TTAFStock'!AY31&lt;&gt;""))&gt;0,'T_SelfStock'!AY31+'T_TTAFStock'!AY31,AX27+'Grid_Incoming'!AY27-'Grid_Requirement'!AY27))</f>
        <v/>
      </c>
      <c r="AZ27">
        <f>IF(COUNTIFS(T_StockCount[Part Name],$A27,T_StockCount[WeekIndex],51)&gt;0,SUMIFS(T_StockCount[CountedQty],T_StockCount[Part Name],$A27,T_StockCount[WeekIndex],51),IF((('T_SelfStock'!AZ31&lt;&gt;""))*(('T_TTAFStock'!AZ31&lt;&gt;""))&gt;0,'T_SelfStock'!AZ31+'T_TTAFStock'!AZ31,AY27+'Grid_Incoming'!AZ27-'Grid_Requirement'!AZ27))</f>
        <v/>
      </c>
      <c r="BA27">
        <f>IF(COUNTIFS(T_StockCount[Part Name],$A27,T_StockCount[WeekIndex],52)&gt;0,SUMIFS(T_StockCount[CountedQty],T_StockCount[Part Name],$A27,T_StockCount[WeekIndex],52),IF((('T_SelfStock'!BA31&lt;&gt;""))*(('T_TTAFStock'!BA31&lt;&gt;""))&gt;0,'T_SelfStock'!BA31+'T_TTAFStock'!BA31,AZ27+'Grid_Incoming'!BA27-'Grid_Requirement'!BA27))</f>
        <v/>
      </c>
      <c r="BB27">
        <f>IF(COUNTIFS(T_StockCount[Part Name],$A27,T_StockCount[WeekIndex],53)&gt;0,SUMIFS(T_StockCount[CountedQty],T_StockCount[Part Name],$A27,T_StockCount[WeekIndex],53),IF((('T_SelfStock'!BB31&lt;&gt;""))*(('T_TTAFStock'!BB31&lt;&gt;""))&gt;0,'T_SelfStock'!BB31+'T_TTAFStock'!BB31,BA27+'Grid_Incoming'!BB27-'Grid_Requirement'!BB27))</f>
        <v/>
      </c>
      <c r="BC27">
        <f>IF(COUNTIFS(T_StockCount[Part Name],$A27,T_StockCount[WeekIndex],54)&gt;0,SUMIFS(T_StockCount[CountedQty],T_StockCount[Part Name],$A27,T_StockCount[WeekIndex],54),IF((('T_SelfStock'!BC31&lt;&gt;""))*(('T_TTAFStock'!BC31&lt;&gt;""))&gt;0,'T_SelfStock'!BC31+'T_TTAFStock'!BC31,BB27+'Grid_Incoming'!BC27-'Grid_Requirement'!BC27))</f>
        <v/>
      </c>
      <c r="BD27">
        <f>IF(COUNTIFS(T_StockCount[Part Name],$A27,T_StockCount[WeekIndex],55)&gt;0,SUMIFS(T_StockCount[CountedQty],T_StockCount[Part Name],$A27,T_StockCount[WeekIndex],55),IF((('T_SelfStock'!BD31&lt;&gt;""))*(('T_TTAFStock'!BD31&lt;&gt;""))&gt;0,'T_SelfStock'!BD31+'T_TTAFStock'!BD31,BC27+'Grid_Incoming'!BD27-'Grid_Requirement'!BD27))</f>
        <v/>
      </c>
      <c r="BE27">
        <f>IF(COUNTIFS(T_StockCount[Part Name],$A27,T_StockCount[WeekIndex],56)&gt;0,SUMIFS(T_StockCount[CountedQty],T_StockCount[Part Name],$A27,T_StockCount[WeekIndex],56),IF((('T_SelfStock'!BE31&lt;&gt;""))*(('T_TTAFStock'!BE31&lt;&gt;""))&gt;0,'T_SelfStock'!BE31+'T_TTAFStock'!BE31,BD27+'Grid_Incoming'!BE27-'Grid_Requirement'!BE27))</f>
        <v/>
      </c>
      <c r="BF27">
        <f>IF(COUNTIFS(T_StockCount[Part Name],$A27,T_StockCount[WeekIndex],57)&gt;0,SUMIFS(T_StockCount[CountedQty],T_StockCount[Part Name],$A27,T_StockCount[WeekIndex],57),IF((('T_SelfStock'!BF31&lt;&gt;""))*(('T_TTAFStock'!BF31&lt;&gt;""))&gt;0,'T_SelfStock'!BF31+'T_TTAFStock'!BF31,BE27+'Grid_Incoming'!BF27-'Grid_Requirement'!BF27))</f>
        <v/>
      </c>
      <c r="BG27">
        <f>IF(COUNTIFS(T_StockCount[Part Name],$A27,T_StockCount[WeekIndex],58)&gt;0,SUMIFS(T_StockCount[CountedQty],T_StockCount[Part Name],$A27,T_StockCount[WeekIndex],58),IF((('T_SelfStock'!BG31&lt;&gt;""))*(('T_TTAFStock'!BG31&lt;&gt;""))&gt;0,'T_SelfStock'!BG31+'T_TTAFStock'!BG31,BF27+'Grid_Incoming'!BG27-'Grid_Requirement'!BG27))</f>
        <v/>
      </c>
      <c r="BH27">
        <f>IF(COUNTIFS(T_StockCount[Part Name],$A27,T_StockCount[WeekIndex],59)&gt;0,SUMIFS(T_StockCount[CountedQty],T_StockCount[Part Name],$A27,T_StockCount[WeekIndex],59),IF((('T_SelfStock'!BH31&lt;&gt;""))*(('T_TTAFStock'!BH31&lt;&gt;""))&gt;0,'T_SelfStock'!BH31+'T_TTAFStock'!BH31,BG27+'Grid_Incoming'!BH27-'Grid_Requirement'!BH27))</f>
        <v/>
      </c>
      <c r="BI27">
        <f>IF(COUNTIFS(T_StockCount[Part Name],$A27,T_StockCount[WeekIndex],60)&gt;0,SUMIFS(T_StockCount[CountedQty],T_StockCount[Part Name],$A27,T_StockCount[WeekIndex],60),IF((('T_SelfStock'!BI31&lt;&gt;""))*(('T_TTAFStock'!BI31&lt;&gt;""))&gt;0,'T_SelfStock'!BI31+'T_TTAFStock'!BI31,BH27+'Grid_Incoming'!BI27-'Grid_Requirement'!BI27))</f>
        <v/>
      </c>
      <c r="BJ27">
        <f>IF(COUNTIFS(T_StockCount[Part Name],$A27,T_StockCount[WeekIndex],61)&gt;0,SUMIFS(T_StockCount[CountedQty],T_StockCount[Part Name],$A27,T_StockCount[WeekIndex],61),IF((('T_SelfStock'!BJ31&lt;&gt;""))*(('T_TTAFStock'!BJ31&lt;&gt;""))&gt;0,'T_SelfStock'!BJ31+'T_TTAFStock'!BJ31,BI27+'Grid_Incoming'!BJ27-'Grid_Requirement'!BJ27))</f>
        <v/>
      </c>
      <c r="BK27">
        <f>IF(COUNTIFS(T_StockCount[Part Name],$A27,T_StockCount[WeekIndex],62)&gt;0,SUMIFS(T_StockCount[CountedQty],T_StockCount[Part Name],$A27,T_StockCount[WeekIndex],62),IF((('T_SelfStock'!BK31&lt;&gt;""))*(('T_TTAFStock'!BK31&lt;&gt;""))&gt;0,'T_SelfStock'!BK31+'T_TTAFStock'!BK31,BJ27+'Grid_Incoming'!BK27-'Grid_Requirement'!BK27))</f>
        <v/>
      </c>
      <c r="BL27">
        <f>IF(COUNTIFS(T_StockCount[Part Name],$A27,T_StockCount[WeekIndex],63)&gt;0,SUMIFS(T_StockCount[CountedQty],T_StockCount[Part Name],$A27,T_StockCount[WeekIndex],63),IF((('T_SelfStock'!BL31&lt;&gt;""))*(('T_TTAFStock'!BL31&lt;&gt;""))&gt;0,'T_SelfStock'!BL31+'T_TTAFStock'!BL31,BK27+'Grid_Incoming'!BL27-'Grid_Requirement'!BL27))</f>
        <v/>
      </c>
      <c r="BM27">
        <f>IF(COUNTIFS(T_StockCount[Part Name],$A27,T_StockCount[WeekIndex],64)&gt;0,SUMIFS(T_StockCount[CountedQty],T_StockCount[Part Name],$A27,T_StockCount[WeekIndex],64),IF((('T_SelfStock'!BM31&lt;&gt;""))*(('T_TTAFStock'!BM31&lt;&gt;""))&gt;0,'T_SelfStock'!BM31+'T_TTAFStock'!BM31,BL27+'Grid_Incoming'!BM27-'Grid_Requirement'!BM27))</f>
        <v/>
      </c>
      <c r="BN27">
        <f>IF(COUNTIFS(T_StockCount[Part Name],$A27,T_StockCount[WeekIndex],65)&gt;0,SUMIFS(T_StockCount[CountedQty],T_StockCount[Part Name],$A27,T_StockCount[WeekIndex],65),IF((('T_SelfStock'!BN31&lt;&gt;""))*(('T_TTAFStock'!BN31&lt;&gt;""))&gt;0,'T_SelfStock'!BN31+'T_TTAFStock'!BN31,BM27+'Grid_Incoming'!BN27-'Grid_Requirement'!BN27))</f>
        <v/>
      </c>
      <c r="BO27">
        <f>IF(COUNTIFS(T_StockCount[Part Name],$A27,T_StockCount[WeekIndex],66)&gt;0,SUMIFS(T_StockCount[CountedQty],T_StockCount[Part Name],$A27,T_StockCount[WeekIndex],66),IF((('T_SelfStock'!BO31&lt;&gt;""))*(('T_TTAFStock'!BO31&lt;&gt;""))&gt;0,'T_SelfStock'!BO31+'T_TTAFStock'!BO31,BN27+'Grid_Incoming'!BO27-'Grid_Requirement'!BO27))</f>
        <v/>
      </c>
      <c r="BP27">
        <f>IF(COUNTIFS(T_StockCount[Part Name],$A27,T_StockCount[WeekIndex],67)&gt;0,SUMIFS(T_StockCount[CountedQty],T_StockCount[Part Name],$A27,T_StockCount[WeekIndex],67),IF((('T_SelfStock'!BP31&lt;&gt;""))*(('T_TTAFStock'!BP31&lt;&gt;""))&gt;0,'T_SelfStock'!BP31+'T_TTAFStock'!BP31,BO27+'Grid_Incoming'!BP27-'Grid_Requirement'!BP27))</f>
        <v/>
      </c>
      <c r="BQ27">
        <f>IF(COUNTIFS(T_StockCount[Part Name],$A27,T_StockCount[WeekIndex],68)&gt;0,SUMIFS(T_StockCount[CountedQty],T_StockCount[Part Name],$A27,T_StockCount[WeekIndex],68),IF((('T_SelfStock'!BQ31&lt;&gt;""))*(('T_TTAFStock'!BQ31&lt;&gt;""))&gt;0,'T_SelfStock'!BQ31+'T_TTAFStock'!BQ31,BP27+'Grid_Incoming'!BQ27-'Grid_Requirement'!BQ27))</f>
        <v/>
      </c>
      <c r="BR27">
        <f>IF(COUNTIFS(T_StockCount[Part Name],$A27,T_StockCount[WeekIndex],69)&gt;0,SUMIFS(T_StockCount[CountedQty],T_StockCount[Part Name],$A27,T_StockCount[WeekIndex],69),IF((('T_SelfStock'!BR31&lt;&gt;""))*(('T_TTAFStock'!BR31&lt;&gt;""))&gt;0,'T_SelfStock'!BR31+'T_TTAFStock'!BR31,BQ27+'Grid_Incoming'!BR27-'Grid_Requirement'!BR27))</f>
        <v/>
      </c>
      <c r="BS27">
        <f>IF(COUNTIFS(T_StockCount[Part Name],$A27,T_StockCount[WeekIndex],70)&gt;0,SUMIFS(T_StockCount[CountedQty],T_StockCount[Part Name],$A27,T_StockCount[WeekIndex],70),IF((('T_SelfStock'!BS31&lt;&gt;""))*(('T_TTAFStock'!BS31&lt;&gt;""))&gt;0,'T_SelfStock'!BS31+'T_TTAFStock'!BS31,BR27+'Grid_Incoming'!BS27-'Grid_Requirement'!BS27))</f>
        <v/>
      </c>
      <c r="BT27">
        <f>IF(COUNTIFS(T_StockCount[Part Name],$A27,T_StockCount[WeekIndex],71)&gt;0,SUMIFS(T_StockCount[CountedQty],T_StockCount[Part Name],$A27,T_StockCount[WeekIndex],71),IF((('T_SelfStock'!BT31&lt;&gt;""))*(('T_TTAFStock'!BT31&lt;&gt;""))&gt;0,'T_SelfStock'!BT31+'T_TTAFStock'!BT31,BS27+'Grid_Incoming'!BT27-'Grid_Requirement'!BT27))</f>
        <v/>
      </c>
      <c r="BU27">
        <f>IF(COUNTIFS(T_StockCount[Part Name],$A27,T_StockCount[WeekIndex],72)&gt;0,SUMIFS(T_StockCount[CountedQty],T_StockCount[Part Name],$A27,T_StockCount[WeekIndex],72),IF((('T_SelfStock'!BU31&lt;&gt;""))*(('T_TTAFStock'!BU31&lt;&gt;""))&gt;0,'T_SelfStock'!BU31+'T_TTAFStock'!BU31,BT27+'Grid_Incoming'!BU27-'Grid_Requirement'!BU27))</f>
        <v/>
      </c>
      <c r="BV27">
        <f>IF(COUNTIFS(T_StockCount[Part Name],$A27,T_StockCount[WeekIndex],73)&gt;0,SUMIFS(T_StockCount[CountedQty],T_StockCount[Part Name],$A27,T_StockCount[WeekIndex],73),IF((('T_SelfStock'!BV31&lt;&gt;""))*(('T_TTAFStock'!BV31&lt;&gt;""))&gt;0,'T_SelfStock'!BV31+'T_TTAFStock'!BV31,BU27+'Grid_Incoming'!BV27-'Grid_Requirement'!BV27))</f>
        <v/>
      </c>
      <c r="BW27">
        <f>IF(COUNTIFS(T_StockCount[Part Name],$A27,T_StockCount[WeekIndex],74)&gt;0,SUMIFS(T_StockCount[CountedQty],T_StockCount[Part Name],$A27,T_StockCount[WeekIndex],74),IF((('T_SelfStock'!BW31&lt;&gt;""))*(('T_TTAFStock'!BW31&lt;&gt;""))&gt;0,'T_SelfStock'!BW31+'T_TTAFStock'!BW31,BV27+'Grid_Incoming'!BW27-'Grid_Requirement'!BW27))</f>
        <v/>
      </c>
      <c r="BX27">
        <f>IF(COUNTIFS(T_StockCount[Part Name],$A27,T_StockCount[WeekIndex],75)&gt;0,SUMIFS(T_StockCount[CountedQty],T_StockCount[Part Name],$A27,T_StockCount[WeekIndex],75),IF((('T_SelfStock'!BX31&lt;&gt;""))*(('T_TTAFStock'!BX31&lt;&gt;""))&gt;0,'T_SelfStock'!BX31+'T_TTAFStock'!BX31,BW27+'Grid_Incoming'!BX27-'Grid_Requirement'!BX27))</f>
        <v/>
      </c>
      <c r="BY27">
        <f>IF(COUNTIFS(T_StockCount[Part Name],$A27,T_StockCount[WeekIndex],76)&gt;0,SUMIFS(T_StockCount[CountedQty],T_StockCount[Part Name],$A27,T_StockCount[WeekIndex],76),IF((('T_SelfStock'!BY31&lt;&gt;""))*(('T_TTAFStock'!BY31&lt;&gt;""))&gt;0,'T_SelfStock'!BY31+'T_TTAFStock'!BY31,BX27+'Grid_Incoming'!BY27-'Grid_Requirement'!BY27))</f>
        <v/>
      </c>
      <c r="BZ27">
        <f>IF(COUNTIFS(T_StockCount[Part Name],$A27,T_StockCount[WeekIndex],77)&gt;0,SUMIFS(T_StockCount[CountedQty],T_StockCount[Part Name],$A27,T_StockCount[WeekIndex],77),IF((('T_SelfStock'!BZ31&lt;&gt;""))*(('T_TTAFStock'!BZ31&lt;&gt;""))&gt;0,'T_SelfStock'!BZ31+'T_TTAFStock'!BZ31,BY27+'Grid_Incoming'!BZ27-'Grid_Requirement'!BZ27))</f>
        <v/>
      </c>
      <c r="CA27">
        <f>IF(COUNTIFS(T_StockCount[Part Name],$A27,T_StockCount[WeekIndex],78)&gt;0,SUMIFS(T_StockCount[CountedQty],T_StockCount[Part Name],$A27,T_StockCount[WeekIndex],78),IF((('T_SelfStock'!CA31&lt;&gt;""))*(('T_TTAFStock'!CA31&lt;&gt;""))&gt;0,'T_SelfStock'!CA31+'T_TTAFStock'!CA31,BZ27+'Grid_Incoming'!CA27-'Grid_Requirement'!CA27))</f>
        <v/>
      </c>
      <c r="CB27">
        <f>IF(COUNTIFS(T_StockCount[Part Name],$A27,T_StockCount[WeekIndex],79)&gt;0,SUMIFS(T_StockCount[CountedQty],T_StockCount[Part Name],$A27,T_StockCount[WeekIndex],79),IF((('T_SelfStock'!CB31&lt;&gt;""))*(('T_TTAFStock'!CB31&lt;&gt;""))&gt;0,'T_SelfStock'!CB31+'T_TTAFStock'!CB31,CA27+'Grid_Incoming'!CB27-'Grid_Requirement'!CB27))</f>
        <v/>
      </c>
      <c r="CC27">
        <f>IF(COUNTIFS(T_StockCount[Part Name],$A27,T_StockCount[WeekIndex],80)&gt;0,SUMIFS(T_StockCount[CountedQty],T_StockCount[Part Name],$A27,T_StockCount[WeekIndex],80),IF((('T_SelfStock'!CC31&lt;&gt;""))*(('T_TTAFStock'!CC31&lt;&gt;""))&gt;0,'T_SelfStock'!CC31+'T_TTAFStock'!CC31,CB27+'Grid_Incoming'!CC27-'Grid_Requirement'!CC27))</f>
        <v/>
      </c>
      <c r="CD27">
        <f>IF(COUNTIFS(T_StockCount[Part Name],$A27,T_StockCount[WeekIndex],81)&gt;0,SUMIFS(T_StockCount[CountedQty],T_StockCount[Part Name],$A27,T_StockCount[WeekIndex],81),IF((('T_SelfStock'!CD31&lt;&gt;""))*(('T_TTAFStock'!CD31&lt;&gt;""))&gt;0,'T_SelfStock'!CD31+'T_TTAFStock'!CD31,CC27+'Grid_Incoming'!CD27-'Grid_Requirement'!CD27))</f>
        <v/>
      </c>
      <c r="CE27">
        <f>IF(COUNTIFS(T_StockCount[Part Name],$A27,T_StockCount[WeekIndex],82)&gt;0,SUMIFS(T_StockCount[CountedQty],T_StockCount[Part Name],$A27,T_StockCount[WeekIndex],82),IF((('T_SelfStock'!CE31&lt;&gt;""))*(('T_TTAFStock'!CE31&lt;&gt;""))&gt;0,'T_SelfStock'!CE31+'T_TTAFStock'!CE31,CD27+'Grid_Incoming'!CE27-'Grid_Requirement'!CE27))</f>
        <v/>
      </c>
      <c r="CF27">
        <f>IF(COUNTIFS(T_StockCount[Part Name],$A27,T_StockCount[WeekIndex],83)&gt;0,SUMIFS(T_StockCount[CountedQty],T_StockCount[Part Name],$A27,T_StockCount[WeekIndex],83),IF((('T_SelfStock'!CF31&lt;&gt;""))*(('T_TTAFStock'!CF31&lt;&gt;""))&gt;0,'T_SelfStock'!CF31+'T_TTAFStock'!CF31,CE27+'Grid_Incoming'!CF27-'Grid_Requirement'!CF27))</f>
        <v/>
      </c>
      <c r="CG27">
        <f>IF(COUNTIFS(T_StockCount[Part Name],$A27,T_StockCount[WeekIndex],84)&gt;0,SUMIFS(T_StockCount[CountedQty],T_StockCount[Part Name],$A27,T_StockCount[WeekIndex],84),IF((('T_SelfStock'!CG31&lt;&gt;""))*(('T_TTAFStock'!CG31&lt;&gt;""))&gt;0,'T_SelfStock'!CG31+'T_TTAFStock'!CG31,CF27+'Grid_Incoming'!CG27-'Grid_Requirement'!CG27))</f>
        <v/>
      </c>
      <c r="CH27">
        <f>IF(COUNTIFS(T_StockCount[Part Name],$A27,T_StockCount[WeekIndex],85)&gt;0,SUMIFS(T_StockCount[CountedQty],T_StockCount[Part Name],$A27,T_StockCount[WeekIndex],85),IF((('T_SelfStock'!CH31&lt;&gt;""))*(('T_TTAFStock'!CH31&lt;&gt;""))&gt;0,'T_SelfStock'!CH31+'T_TTAFStock'!CH31,CG27+'Grid_Incoming'!CH27-'Grid_Requirement'!CH27))</f>
        <v/>
      </c>
      <c r="CI27">
        <f>IF(COUNTIFS(T_StockCount[Part Name],$A27,T_StockCount[WeekIndex],86)&gt;0,SUMIFS(T_StockCount[CountedQty],T_StockCount[Part Name],$A27,T_StockCount[WeekIndex],86),IF((('T_SelfStock'!CI31&lt;&gt;""))*(('T_TTAFStock'!CI31&lt;&gt;""))&gt;0,'T_SelfStock'!CI31+'T_TTAFStock'!CI31,CH27+'Grid_Incoming'!CI27-'Grid_Requirement'!CI27))</f>
        <v/>
      </c>
      <c r="CJ27">
        <f>IF(COUNTIFS(T_StockCount[Part Name],$A27,T_StockCount[WeekIndex],87)&gt;0,SUMIFS(T_StockCount[CountedQty],T_StockCount[Part Name],$A27,T_StockCount[WeekIndex],87),IF((('T_SelfStock'!CJ31&lt;&gt;""))*(('T_TTAFStock'!CJ31&lt;&gt;""))&gt;0,'T_SelfStock'!CJ31+'T_TTAFStock'!CJ31,CI27+'Grid_Incoming'!CJ27-'Grid_Requirement'!CJ27))</f>
        <v/>
      </c>
      <c r="CK27">
        <f>IF(COUNTIFS(T_StockCount[Part Name],$A27,T_StockCount[WeekIndex],88)&gt;0,SUMIFS(T_StockCount[CountedQty],T_StockCount[Part Name],$A27,T_StockCount[WeekIndex],88),IF((('T_SelfStock'!CK31&lt;&gt;""))*(('T_TTAFStock'!CK31&lt;&gt;""))&gt;0,'T_SelfStock'!CK31+'T_TTAFStock'!CK31,CJ27+'Grid_Incoming'!CK27-'Grid_Requirement'!CK27))</f>
        <v/>
      </c>
      <c r="CL27">
        <f>IF(COUNTIFS(T_StockCount[Part Name],$A27,T_StockCount[WeekIndex],89)&gt;0,SUMIFS(T_StockCount[CountedQty],T_StockCount[Part Name],$A27,T_StockCount[WeekIndex],89),IF((('T_SelfStock'!CL31&lt;&gt;""))*(('T_TTAFStock'!CL31&lt;&gt;""))&gt;0,'T_SelfStock'!CL31+'T_TTAFStock'!CL31,CK27+'Grid_Incoming'!CL27-'Grid_Requirement'!CL27))</f>
        <v/>
      </c>
      <c r="CM27">
        <f>IF(COUNTIFS(T_StockCount[Part Name],$A27,T_StockCount[WeekIndex],90)&gt;0,SUMIFS(T_StockCount[CountedQty],T_StockCount[Part Name],$A27,T_StockCount[WeekIndex],90),IF((('T_SelfStock'!CM31&lt;&gt;""))*(('T_TTAFStock'!CM31&lt;&gt;""))&gt;0,'T_SelfStock'!CM31+'T_TTAFStock'!CM31,CL27+'Grid_Incoming'!CM27-'Grid_Requirement'!CM27))</f>
        <v/>
      </c>
      <c r="CN27">
        <f>IF(COUNTIFS(T_StockCount[Part Name],$A27,T_StockCount[WeekIndex],91)&gt;0,SUMIFS(T_StockCount[CountedQty],T_StockCount[Part Name],$A27,T_StockCount[WeekIndex],91),IF((('T_SelfStock'!CN31&lt;&gt;""))*(('T_TTAFStock'!CN31&lt;&gt;""))&gt;0,'T_SelfStock'!CN31+'T_TTAFStock'!CN31,CM27+'Grid_Incoming'!CN27-'Grid_Requirement'!CN27))</f>
        <v/>
      </c>
      <c r="CO27">
        <f>IF(COUNTIFS(T_StockCount[Part Name],$A27,T_StockCount[WeekIndex],92)&gt;0,SUMIFS(T_StockCount[CountedQty],T_StockCount[Part Name],$A27,T_StockCount[WeekIndex],92),IF((('T_SelfStock'!CO31&lt;&gt;""))*(('T_TTAFStock'!CO31&lt;&gt;""))&gt;0,'T_SelfStock'!CO31+'T_TTAFStock'!CO31,CN27+'Grid_Incoming'!CO27-'Grid_Requirement'!CO27))</f>
        <v/>
      </c>
      <c r="CP27">
        <f>IF(COUNTIFS(T_StockCount[Part Name],$A27,T_StockCount[WeekIndex],93)&gt;0,SUMIFS(T_StockCount[CountedQty],T_StockCount[Part Name],$A27,T_StockCount[WeekIndex],93),IF((('T_SelfStock'!CP31&lt;&gt;""))*(('T_TTAFStock'!CP31&lt;&gt;""))&gt;0,'T_SelfStock'!CP31+'T_TTAFStock'!CP31,CO27+'Grid_Incoming'!CP27-'Grid_Requirement'!CP27))</f>
        <v/>
      </c>
      <c r="CQ27">
        <f>IF(COUNTIFS(T_StockCount[Part Name],$A27,T_StockCount[WeekIndex],94)&gt;0,SUMIFS(T_StockCount[CountedQty],T_StockCount[Part Name],$A27,T_StockCount[WeekIndex],94),IF((('T_SelfStock'!CQ31&lt;&gt;""))*(('T_TTAFStock'!CQ31&lt;&gt;""))&gt;0,'T_SelfStock'!CQ31+'T_TTAFStock'!CQ31,CP27+'Grid_Incoming'!CQ27-'Grid_Requirement'!CQ27))</f>
        <v/>
      </c>
      <c r="CR27">
        <f>IF(COUNTIFS(T_StockCount[Part Name],$A27,T_StockCount[WeekIndex],95)&gt;0,SUMIFS(T_StockCount[CountedQty],T_StockCount[Part Name],$A27,T_StockCount[WeekIndex],95),IF((('T_SelfStock'!CR31&lt;&gt;""))*(('T_TTAFStock'!CR31&lt;&gt;""))&gt;0,'T_SelfStock'!CR31+'T_TTAFStock'!CR31,CQ27+'Grid_Incoming'!CR27-'Grid_Requirement'!CR27))</f>
        <v/>
      </c>
      <c r="CS27">
        <f>IF(COUNTIFS(T_StockCount[Part Name],$A27,T_StockCount[WeekIndex],96)&gt;0,SUMIFS(T_StockCount[CountedQty],T_StockCount[Part Name],$A27,T_StockCount[WeekIndex],96),IF((('T_SelfStock'!CS31&lt;&gt;""))*(('T_TTAFStock'!CS31&lt;&gt;""))&gt;0,'T_SelfStock'!CS31+'T_TTAFStock'!CS31,CR27+'Grid_Incoming'!CS27-'Grid_Requirement'!CS27))</f>
        <v/>
      </c>
      <c r="CT27">
        <f>IF(COUNTIFS(T_StockCount[Part Name],$A27,T_StockCount[WeekIndex],97)&gt;0,SUMIFS(T_StockCount[CountedQty],T_StockCount[Part Name],$A27,T_StockCount[WeekIndex],97),IF((('T_SelfStock'!CT31&lt;&gt;""))*(('T_TTAFStock'!CT31&lt;&gt;""))&gt;0,'T_SelfStock'!CT31+'T_TTAFStock'!CT31,CS27+'Grid_Incoming'!CT27-'Grid_Requirement'!CT27))</f>
        <v/>
      </c>
      <c r="CU27">
        <f>IF(COUNTIFS(T_StockCount[Part Name],$A27,T_StockCount[WeekIndex],98)&gt;0,SUMIFS(T_StockCount[CountedQty],T_StockCount[Part Name],$A27,T_StockCount[WeekIndex],98),IF((('T_SelfStock'!CU31&lt;&gt;""))*(('T_TTAFStock'!CU31&lt;&gt;""))&gt;0,'T_SelfStock'!CU31+'T_TTAFStock'!CU31,CT27+'Grid_Incoming'!CU27-'Grid_Requirement'!CU27))</f>
        <v/>
      </c>
      <c r="CV27">
        <f>IF(COUNTIFS(T_StockCount[Part Name],$A27,T_StockCount[WeekIndex],99)&gt;0,SUMIFS(T_StockCount[CountedQty],T_StockCount[Part Name],$A27,T_StockCount[WeekIndex],99),IF((('T_SelfStock'!CV31&lt;&gt;""))*(('T_TTAFStock'!CV31&lt;&gt;""))&gt;0,'T_SelfStock'!CV31+'T_TTAFStock'!CV31,CU27+'Grid_Incoming'!CV27-'Grid_Requirement'!CV27))</f>
        <v/>
      </c>
      <c r="CW27">
        <f>IF(COUNTIFS(T_StockCount[Part Name],$A27,T_StockCount[WeekIndex],100)&gt;0,SUMIFS(T_StockCount[CountedQty],T_StockCount[Part Name],$A27,T_StockCount[WeekIndex],100),IF((('T_SelfStock'!CW31&lt;&gt;""))*(('T_TTAFStock'!CW31&lt;&gt;""))&gt;0,'T_SelfStock'!CW31+'T_TTAFStock'!CW31,CV27+'Grid_Incoming'!CW27-'Grid_Requirement'!CW27))</f>
        <v/>
      </c>
      <c r="CX27">
        <f>IF(COUNTIFS(T_StockCount[Part Name],$A27,T_StockCount[WeekIndex],101)&gt;0,SUMIFS(T_StockCount[CountedQty],T_StockCount[Part Name],$A27,T_StockCount[WeekIndex],101),IF((('T_SelfStock'!CX31&lt;&gt;""))*(('T_TTAFStock'!CX31&lt;&gt;""))&gt;0,'T_SelfStock'!CX31+'T_TTAFStock'!CX31,CW27+'Grid_Incoming'!CX27-'Grid_Requirement'!CX27))</f>
        <v/>
      </c>
      <c r="CY27">
        <f>IF(COUNTIFS(T_StockCount[Part Name],$A27,T_StockCount[WeekIndex],102)&gt;0,SUMIFS(T_StockCount[CountedQty],T_StockCount[Part Name],$A27,T_StockCount[WeekIndex],102),IF((('T_SelfStock'!CY31&lt;&gt;""))*(('T_TTAFStock'!CY31&lt;&gt;""))&gt;0,'T_SelfStock'!CY31+'T_TTAFStock'!CY31,CX27+'Grid_Incoming'!CY27-'Grid_Requirement'!CY27))</f>
        <v/>
      </c>
      <c r="CZ27">
        <f>IF(COUNTIFS(T_StockCount[Part Name],$A27,T_StockCount[WeekIndex],103)&gt;0,SUMIFS(T_StockCount[CountedQty],T_StockCount[Part Name],$A27,T_StockCount[WeekIndex],103),IF((('T_SelfStock'!CZ31&lt;&gt;""))*(('T_TTAFStock'!CZ31&lt;&gt;""))&gt;0,'T_SelfStock'!CZ31+'T_TTAFStock'!CZ31,CY27+'Grid_Incoming'!CZ27-'Grid_Requirement'!CZ27))</f>
        <v/>
      </c>
      <c r="DA27">
        <f>IF(COUNTIFS(T_StockCount[Part Name],$A27,T_StockCount[WeekIndex],104)&gt;0,SUMIFS(T_StockCount[CountedQty],T_StockCount[Part Name],$A27,T_StockCount[WeekIndex],104),IF((('T_SelfStock'!DA31&lt;&gt;""))*(('T_TTAFStock'!DA31&lt;&gt;""))&gt;0,'T_SelfStock'!DA31+'T_TTAFStock'!DA31,CZ27+'Grid_Incoming'!DA27-'Grid_Requirement'!DA27))</f>
        <v/>
      </c>
    </row>
    <row r="28">
      <c r="A28" t="inlineStr">
        <is>
          <t>CHEM-1820</t>
        </is>
      </c>
      <c r="B28">
        <f>IF(COUNTIFS(T_StockCount[Part Name],$A28,T_StockCount[WeekIndex],1)&gt;0,SUMIFS(T_StockCount[CountedQty],T_StockCount[Part Name],$A28,T_StockCount[WeekIndex],1),IF((('T_SelfStock'!B32&lt;&gt;""))*(('T_TTAFStock'!B32&lt;&gt;""))&gt;0,'T_SelfStock'!B32+'T_TTAFStock'!B32,IFERROR(INDEX(T_OpeningStock[Opening_Qty],MATCH($A28,T_OpeningStock[Part Name],0)),0)+'Grid_Incoming'!B28-'Grid_Requirement'!B28))</f>
        <v/>
      </c>
      <c r="C28">
        <f>IF(COUNTIFS(T_StockCount[Part Name],$A28,T_StockCount[WeekIndex],2)&gt;0,SUMIFS(T_StockCount[CountedQty],T_StockCount[Part Name],$A28,T_StockCount[WeekIndex],2),IF((('T_SelfStock'!C32&lt;&gt;""))*(('T_TTAFStock'!C32&lt;&gt;""))&gt;0,'T_SelfStock'!C32+'T_TTAFStock'!C32,B28+'Grid_Incoming'!C28-'Grid_Requirement'!C28))</f>
        <v/>
      </c>
      <c r="D28">
        <f>IF(COUNTIFS(T_StockCount[Part Name],$A28,T_StockCount[WeekIndex],3)&gt;0,SUMIFS(T_StockCount[CountedQty],T_StockCount[Part Name],$A28,T_StockCount[WeekIndex],3),IF((('T_SelfStock'!D32&lt;&gt;""))*(('T_TTAFStock'!D32&lt;&gt;""))&gt;0,'T_SelfStock'!D32+'T_TTAFStock'!D32,C28+'Grid_Incoming'!D28-'Grid_Requirement'!D28))</f>
        <v/>
      </c>
      <c r="E28">
        <f>IF(COUNTIFS(T_StockCount[Part Name],$A28,T_StockCount[WeekIndex],4)&gt;0,SUMIFS(T_StockCount[CountedQty],T_StockCount[Part Name],$A28,T_StockCount[WeekIndex],4),IF((('T_SelfStock'!E32&lt;&gt;""))*(('T_TTAFStock'!E32&lt;&gt;""))&gt;0,'T_SelfStock'!E32+'T_TTAFStock'!E32,D28+'Grid_Incoming'!E28-'Grid_Requirement'!E28))</f>
        <v/>
      </c>
      <c r="F28">
        <f>IF(COUNTIFS(T_StockCount[Part Name],$A28,T_StockCount[WeekIndex],5)&gt;0,SUMIFS(T_StockCount[CountedQty],T_StockCount[Part Name],$A28,T_StockCount[WeekIndex],5),IF((('T_SelfStock'!F32&lt;&gt;""))*(('T_TTAFStock'!F32&lt;&gt;""))&gt;0,'T_SelfStock'!F32+'T_TTAFStock'!F32,E28+'Grid_Incoming'!F28-'Grid_Requirement'!F28))</f>
        <v/>
      </c>
      <c r="G28">
        <f>IF(COUNTIFS(T_StockCount[Part Name],$A28,T_StockCount[WeekIndex],6)&gt;0,SUMIFS(T_StockCount[CountedQty],T_StockCount[Part Name],$A28,T_StockCount[WeekIndex],6),IF((('T_SelfStock'!G32&lt;&gt;""))*(('T_TTAFStock'!G32&lt;&gt;""))&gt;0,'T_SelfStock'!G32+'T_TTAFStock'!G32,F28+'Grid_Incoming'!G28-'Grid_Requirement'!G28))</f>
        <v/>
      </c>
      <c r="H28">
        <f>IF(COUNTIFS(T_StockCount[Part Name],$A28,T_StockCount[WeekIndex],7)&gt;0,SUMIFS(T_StockCount[CountedQty],T_StockCount[Part Name],$A28,T_StockCount[WeekIndex],7),IF((('T_SelfStock'!H32&lt;&gt;""))*(('T_TTAFStock'!H32&lt;&gt;""))&gt;0,'T_SelfStock'!H32+'T_TTAFStock'!H32,G28+'Grid_Incoming'!H28-'Grid_Requirement'!H28))</f>
        <v/>
      </c>
      <c r="I28">
        <f>IF(COUNTIFS(T_StockCount[Part Name],$A28,T_StockCount[WeekIndex],8)&gt;0,SUMIFS(T_StockCount[CountedQty],T_StockCount[Part Name],$A28,T_StockCount[WeekIndex],8),IF((('T_SelfStock'!I32&lt;&gt;""))*(('T_TTAFStock'!I32&lt;&gt;""))&gt;0,'T_SelfStock'!I32+'T_TTAFStock'!I32,H28+'Grid_Incoming'!I28-'Grid_Requirement'!I28))</f>
        <v/>
      </c>
      <c r="J28">
        <f>IF(COUNTIFS(T_StockCount[Part Name],$A28,T_StockCount[WeekIndex],9)&gt;0,SUMIFS(T_StockCount[CountedQty],T_StockCount[Part Name],$A28,T_StockCount[WeekIndex],9),IF((('T_SelfStock'!J32&lt;&gt;""))*(('T_TTAFStock'!J32&lt;&gt;""))&gt;0,'T_SelfStock'!J32+'T_TTAFStock'!J32,I28+'Grid_Incoming'!J28-'Grid_Requirement'!J28))</f>
        <v/>
      </c>
      <c r="K28">
        <f>IF(COUNTIFS(T_StockCount[Part Name],$A28,T_StockCount[WeekIndex],10)&gt;0,SUMIFS(T_StockCount[CountedQty],T_StockCount[Part Name],$A28,T_StockCount[WeekIndex],10),IF((('T_SelfStock'!K32&lt;&gt;""))*(('T_TTAFStock'!K32&lt;&gt;""))&gt;0,'T_SelfStock'!K32+'T_TTAFStock'!K32,J28+'Grid_Incoming'!K28-'Grid_Requirement'!K28))</f>
        <v/>
      </c>
      <c r="L28">
        <f>IF(COUNTIFS(T_StockCount[Part Name],$A28,T_StockCount[WeekIndex],11)&gt;0,SUMIFS(T_StockCount[CountedQty],T_StockCount[Part Name],$A28,T_StockCount[WeekIndex],11),IF((('T_SelfStock'!L32&lt;&gt;""))*(('T_TTAFStock'!L32&lt;&gt;""))&gt;0,'T_SelfStock'!L32+'T_TTAFStock'!L32,K28+'Grid_Incoming'!L28-'Grid_Requirement'!L28))</f>
        <v/>
      </c>
      <c r="M28">
        <f>IF(COUNTIFS(T_StockCount[Part Name],$A28,T_StockCount[WeekIndex],12)&gt;0,SUMIFS(T_StockCount[CountedQty],T_StockCount[Part Name],$A28,T_StockCount[WeekIndex],12),IF((('T_SelfStock'!M32&lt;&gt;""))*(('T_TTAFStock'!M32&lt;&gt;""))&gt;0,'T_SelfStock'!M32+'T_TTAFStock'!M32,L28+'Grid_Incoming'!M28-'Grid_Requirement'!M28))</f>
        <v/>
      </c>
      <c r="N28">
        <f>IF(COUNTIFS(T_StockCount[Part Name],$A28,T_StockCount[WeekIndex],13)&gt;0,SUMIFS(T_StockCount[CountedQty],T_StockCount[Part Name],$A28,T_StockCount[WeekIndex],13),IF((('T_SelfStock'!N32&lt;&gt;""))*(('T_TTAFStock'!N32&lt;&gt;""))&gt;0,'T_SelfStock'!N32+'T_TTAFStock'!N32,M28+'Grid_Incoming'!N28-'Grid_Requirement'!N28))</f>
        <v/>
      </c>
      <c r="O28">
        <f>IF(COUNTIFS(T_StockCount[Part Name],$A28,T_StockCount[WeekIndex],14)&gt;0,SUMIFS(T_StockCount[CountedQty],T_StockCount[Part Name],$A28,T_StockCount[WeekIndex],14),IF((('T_SelfStock'!O32&lt;&gt;""))*(('T_TTAFStock'!O32&lt;&gt;""))&gt;0,'T_SelfStock'!O32+'T_TTAFStock'!O32,N28+'Grid_Incoming'!O28-'Grid_Requirement'!O28))</f>
        <v/>
      </c>
      <c r="P28">
        <f>IF(COUNTIFS(T_StockCount[Part Name],$A28,T_StockCount[WeekIndex],15)&gt;0,SUMIFS(T_StockCount[CountedQty],T_StockCount[Part Name],$A28,T_StockCount[WeekIndex],15),IF((('T_SelfStock'!P32&lt;&gt;""))*(('T_TTAFStock'!P32&lt;&gt;""))&gt;0,'T_SelfStock'!P32+'T_TTAFStock'!P32,O28+'Grid_Incoming'!P28-'Grid_Requirement'!P28))</f>
        <v/>
      </c>
      <c r="Q28">
        <f>IF(COUNTIFS(T_StockCount[Part Name],$A28,T_StockCount[WeekIndex],16)&gt;0,SUMIFS(T_StockCount[CountedQty],T_StockCount[Part Name],$A28,T_StockCount[WeekIndex],16),IF((('T_SelfStock'!Q32&lt;&gt;""))*(('T_TTAFStock'!Q32&lt;&gt;""))&gt;0,'T_SelfStock'!Q32+'T_TTAFStock'!Q32,P28+'Grid_Incoming'!Q28-'Grid_Requirement'!Q28))</f>
        <v/>
      </c>
      <c r="R28">
        <f>IF(COUNTIFS(T_StockCount[Part Name],$A28,T_StockCount[WeekIndex],17)&gt;0,SUMIFS(T_StockCount[CountedQty],T_StockCount[Part Name],$A28,T_StockCount[WeekIndex],17),IF((('T_SelfStock'!R32&lt;&gt;""))*(('T_TTAFStock'!R32&lt;&gt;""))&gt;0,'T_SelfStock'!R32+'T_TTAFStock'!R32,Q28+'Grid_Incoming'!R28-'Grid_Requirement'!R28))</f>
        <v/>
      </c>
      <c r="S28">
        <f>IF(COUNTIFS(T_StockCount[Part Name],$A28,T_StockCount[WeekIndex],18)&gt;0,SUMIFS(T_StockCount[CountedQty],T_StockCount[Part Name],$A28,T_StockCount[WeekIndex],18),IF((('T_SelfStock'!S32&lt;&gt;""))*(('T_TTAFStock'!S32&lt;&gt;""))&gt;0,'T_SelfStock'!S32+'T_TTAFStock'!S32,R28+'Grid_Incoming'!S28-'Grid_Requirement'!S28))</f>
        <v/>
      </c>
      <c r="T28">
        <f>IF(COUNTIFS(T_StockCount[Part Name],$A28,T_StockCount[WeekIndex],19)&gt;0,SUMIFS(T_StockCount[CountedQty],T_StockCount[Part Name],$A28,T_StockCount[WeekIndex],19),IF((('T_SelfStock'!T32&lt;&gt;""))*(('T_TTAFStock'!T32&lt;&gt;""))&gt;0,'T_SelfStock'!T32+'T_TTAFStock'!T32,S28+'Grid_Incoming'!T28-'Grid_Requirement'!T28))</f>
        <v/>
      </c>
      <c r="U28">
        <f>IF(COUNTIFS(T_StockCount[Part Name],$A28,T_StockCount[WeekIndex],20)&gt;0,SUMIFS(T_StockCount[CountedQty],T_StockCount[Part Name],$A28,T_StockCount[WeekIndex],20),IF((('T_SelfStock'!U32&lt;&gt;""))*(('T_TTAFStock'!U32&lt;&gt;""))&gt;0,'T_SelfStock'!U32+'T_TTAFStock'!U32,T28+'Grid_Incoming'!U28-'Grid_Requirement'!U28))</f>
        <v/>
      </c>
      <c r="V28">
        <f>IF(COUNTIFS(T_StockCount[Part Name],$A28,T_StockCount[WeekIndex],21)&gt;0,SUMIFS(T_StockCount[CountedQty],T_StockCount[Part Name],$A28,T_StockCount[WeekIndex],21),IF((('T_SelfStock'!V32&lt;&gt;""))*(('T_TTAFStock'!V32&lt;&gt;""))&gt;0,'T_SelfStock'!V32+'T_TTAFStock'!V32,U28+'Grid_Incoming'!V28-'Grid_Requirement'!V28))</f>
        <v/>
      </c>
      <c r="W28">
        <f>IF(COUNTIFS(T_StockCount[Part Name],$A28,T_StockCount[WeekIndex],22)&gt;0,SUMIFS(T_StockCount[CountedQty],T_StockCount[Part Name],$A28,T_StockCount[WeekIndex],22),IF((('T_SelfStock'!W32&lt;&gt;""))*(('T_TTAFStock'!W32&lt;&gt;""))&gt;0,'T_SelfStock'!W32+'T_TTAFStock'!W32,V28+'Grid_Incoming'!W28-'Grid_Requirement'!W28))</f>
        <v/>
      </c>
      <c r="X28">
        <f>IF(COUNTIFS(T_StockCount[Part Name],$A28,T_StockCount[WeekIndex],23)&gt;0,SUMIFS(T_StockCount[CountedQty],T_StockCount[Part Name],$A28,T_StockCount[WeekIndex],23),IF((('T_SelfStock'!X32&lt;&gt;""))*(('T_TTAFStock'!X32&lt;&gt;""))&gt;0,'T_SelfStock'!X32+'T_TTAFStock'!X32,W28+'Grid_Incoming'!X28-'Grid_Requirement'!X28))</f>
        <v/>
      </c>
      <c r="Y28">
        <f>IF(COUNTIFS(T_StockCount[Part Name],$A28,T_StockCount[WeekIndex],24)&gt;0,SUMIFS(T_StockCount[CountedQty],T_StockCount[Part Name],$A28,T_StockCount[WeekIndex],24),IF((('T_SelfStock'!Y32&lt;&gt;""))*(('T_TTAFStock'!Y32&lt;&gt;""))&gt;0,'T_SelfStock'!Y32+'T_TTAFStock'!Y32,X28+'Grid_Incoming'!Y28-'Grid_Requirement'!Y28))</f>
        <v/>
      </c>
      <c r="Z28">
        <f>IF(COUNTIFS(T_StockCount[Part Name],$A28,T_StockCount[WeekIndex],25)&gt;0,SUMIFS(T_StockCount[CountedQty],T_StockCount[Part Name],$A28,T_StockCount[WeekIndex],25),IF((('T_SelfStock'!Z32&lt;&gt;""))*(('T_TTAFStock'!Z32&lt;&gt;""))&gt;0,'T_SelfStock'!Z32+'T_TTAFStock'!Z32,Y28+'Grid_Incoming'!Z28-'Grid_Requirement'!Z28))</f>
        <v/>
      </c>
      <c r="AA28">
        <f>IF(COUNTIFS(T_StockCount[Part Name],$A28,T_StockCount[WeekIndex],26)&gt;0,SUMIFS(T_StockCount[CountedQty],T_StockCount[Part Name],$A28,T_StockCount[WeekIndex],26),IF((('T_SelfStock'!AA32&lt;&gt;""))*(('T_TTAFStock'!AA32&lt;&gt;""))&gt;0,'T_SelfStock'!AA32+'T_TTAFStock'!AA32,Z28+'Grid_Incoming'!AA28-'Grid_Requirement'!AA28))</f>
        <v/>
      </c>
      <c r="AB28">
        <f>IF(COUNTIFS(T_StockCount[Part Name],$A28,T_StockCount[WeekIndex],27)&gt;0,SUMIFS(T_StockCount[CountedQty],T_StockCount[Part Name],$A28,T_StockCount[WeekIndex],27),IF((('T_SelfStock'!AB32&lt;&gt;""))*(('T_TTAFStock'!AB32&lt;&gt;""))&gt;0,'T_SelfStock'!AB32+'T_TTAFStock'!AB32,AA28+'Grid_Incoming'!AB28-'Grid_Requirement'!AB28))</f>
        <v/>
      </c>
      <c r="AC28">
        <f>IF(COUNTIFS(T_StockCount[Part Name],$A28,T_StockCount[WeekIndex],28)&gt;0,SUMIFS(T_StockCount[CountedQty],T_StockCount[Part Name],$A28,T_StockCount[WeekIndex],28),IF((('T_SelfStock'!AC32&lt;&gt;""))*(('T_TTAFStock'!AC32&lt;&gt;""))&gt;0,'T_SelfStock'!AC32+'T_TTAFStock'!AC32,AB28+'Grid_Incoming'!AC28-'Grid_Requirement'!AC28))</f>
        <v/>
      </c>
      <c r="AD28">
        <f>IF(COUNTIFS(T_StockCount[Part Name],$A28,T_StockCount[WeekIndex],29)&gt;0,SUMIFS(T_StockCount[CountedQty],T_StockCount[Part Name],$A28,T_StockCount[WeekIndex],29),IF((('T_SelfStock'!AD32&lt;&gt;""))*(('T_TTAFStock'!AD32&lt;&gt;""))&gt;0,'T_SelfStock'!AD32+'T_TTAFStock'!AD32,AC28+'Grid_Incoming'!AD28-'Grid_Requirement'!AD28))</f>
        <v/>
      </c>
      <c r="AE28">
        <f>IF(COUNTIFS(T_StockCount[Part Name],$A28,T_StockCount[WeekIndex],30)&gt;0,SUMIFS(T_StockCount[CountedQty],T_StockCount[Part Name],$A28,T_StockCount[WeekIndex],30),IF((('T_SelfStock'!AE32&lt;&gt;""))*(('T_TTAFStock'!AE32&lt;&gt;""))&gt;0,'T_SelfStock'!AE32+'T_TTAFStock'!AE32,AD28+'Grid_Incoming'!AE28-'Grid_Requirement'!AE28))</f>
        <v/>
      </c>
      <c r="AF28">
        <f>IF(COUNTIFS(T_StockCount[Part Name],$A28,T_StockCount[WeekIndex],31)&gt;0,SUMIFS(T_StockCount[CountedQty],T_StockCount[Part Name],$A28,T_StockCount[WeekIndex],31),IF((('T_SelfStock'!AF32&lt;&gt;""))*(('T_TTAFStock'!AF32&lt;&gt;""))&gt;0,'T_SelfStock'!AF32+'T_TTAFStock'!AF32,AE28+'Grid_Incoming'!AF28-'Grid_Requirement'!AF28))</f>
        <v/>
      </c>
      <c r="AG28">
        <f>IF(COUNTIFS(T_StockCount[Part Name],$A28,T_StockCount[WeekIndex],32)&gt;0,SUMIFS(T_StockCount[CountedQty],T_StockCount[Part Name],$A28,T_StockCount[WeekIndex],32),IF((('T_SelfStock'!AG32&lt;&gt;""))*(('T_TTAFStock'!AG32&lt;&gt;""))&gt;0,'T_SelfStock'!AG32+'T_TTAFStock'!AG32,AF28+'Grid_Incoming'!AG28-'Grid_Requirement'!AG28))</f>
        <v/>
      </c>
      <c r="AH28">
        <f>IF(COUNTIFS(T_StockCount[Part Name],$A28,T_StockCount[WeekIndex],33)&gt;0,SUMIFS(T_StockCount[CountedQty],T_StockCount[Part Name],$A28,T_StockCount[WeekIndex],33),IF((('T_SelfStock'!AH32&lt;&gt;""))*(('T_TTAFStock'!AH32&lt;&gt;""))&gt;0,'T_SelfStock'!AH32+'T_TTAFStock'!AH32,AG28+'Grid_Incoming'!AH28-'Grid_Requirement'!AH28))</f>
        <v/>
      </c>
      <c r="AI28">
        <f>IF(COUNTIFS(T_StockCount[Part Name],$A28,T_StockCount[WeekIndex],34)&gt;0,SUMIFS(T_StockCount[CountedQty],T_StockCount[Part Name],$A28,T_StockCount[WeekIndex],34),IF((('T_SelfStock'!AI32&lt;&gt;""))*(('T_TTAFStock'!AI32&lt;&gt;""))&gt;0,'T_SelfStock'!AI32+'T_TTAFStock'!AI32,AH28+'Grid_Incoming'!AI28-'Grid_Requirement'!AI28))</f>
        <v/>
      </c>
      <c r="AJ28">
        <f>IF(COUNTIFS(T_StockCount[Part Name],$A28,T_StockCount[WeekIndex],35)&gt;0,SUMIFS(T_StockCount[CountedQty],T_StockCount[Part Name],$A28,T_StockCount[WeekIndex],35),IF((('T_SelfStock'!AJ32&lt;&gt;""))*(('T_TTAFStock'!AJ32&lt;&gt;""))&gt;0,'T_SelfStock'!AJ32+'T_TTAFStock'!AJ32,AI28+'Grid_Incoming'!AJ28-'Grid_Requirement'!AJ28))</f>
        <v/>
      </c>
      <c r="AK28">
        <f>IF(COUNTIFS(T_StockCount[Part Name],$A28,T_StockCount[WeekIndex],36)&gt;0,SUMIFS(T_StockCount[CountedQty],T_StockCount[Part Name],$A28,T_StockCount[WeekIndex],36),IF((('T_SelfStock'!AK32&lt;&gt;""))*(('T_TTAFStock'!AK32&lt;&gt;""))&gt;0,'T_SelfStock'!AK32+'T_TTAFStock'!AK32,AJ28+'Grid_Incoming'!AK28-'Grid_Requirement'!AK28))</f>
        <v/>
      </c>
      <c r="AL28">
        <f>IF(COUNTIFS(T_StockCount[Part Name],$A28,T_StockCount[WeekIndex],37)&gt;0,SUMIFS(T_StockCount[CountedQty],T_StockCount[Part Name],$A28,T_StockCount[WeekIndex],37),IF((('T_SelfStock'!AL32&lt;&gt;""))*(('T_TTAFStock'!AL32&lt;&gt;""))&gt;0,'T_SelfStock'!AL32+'T_TTAFStock'!AL32,AK28+'Grid_Incoming'!AL28-'Grid_Requirement'!AL28))</f>
        <v/>
      </c>
      <c r="AM28">
        <f>IF(COUNTIFS(T_StockCount[Part Name],$A28,T_StockCount[WeekIndex],38)&gt;0,SUMIFS(T_StockCount[CountedQty],T_StockCount[Part Name],$A28,T_StockCount[WeekIndex],38),IF((('T_SelfStock'!AM32&lt;&gt;""))*(('T_TTAFStock'!AM32&lt;&gt;""))&gt;0,'T_SelfStock'!AM32+'T_TTAFStock'!AM32,AL28+'Grid_Incoming'!AM28-'Grid_Requirement'!AM28))</f>
        <v/>
      </c>
      <c r="AN28">
        <f>IF(COUNTIFS(T_StockCount[Part Name],$A28,T_StockCount[WeekIndex],39)&gt;0,SUMIFS(T_StockCount[CountedQty],T_StockCount[Part Name],$A28,T_StockCount[WeekIndex],39),IF((('T_SelfStock'!AN32&lt;&gt;""))*(('T_TTAFStock'!AN32&lt;&gt;""))&gt;0,'T_SelfStock'!AN32+'T_TTAFStock'!AN32,AM28+'Grid_Incoming'!AN28-'Grid_Requirement'!AN28))</f>
        <v/>
      </c>
      <c r="AO28">
        <f>IF(COUNTIFS(T_StockCount[Part Name],$A28,T_StockCount[WeekIndex],40)&gt;0,SUMIFS(T_StockCount[CountedQty],T_StockCount[Part Name],$A28,T_StockCount[WeekIndex],40),IF((('T_SelfStock'!AO32&lt;&gt;""))*(('T_TTAFStock'!AO32&lt;&gt;""))&gt;0,'T_SelfStock'!AO32+'T_TTAFStock'!AO32,AN28+'Grid_Incoming'!AO28-'Grid_Requirement'!AO28))</f>
        <v/>
      </c>
      <c r="AP28">
        <f>IF(COUNTIFS(T_StockCount[Part Name],$A28,T_StockCount[WeekIndex],41)&gt;0,SUMIFS(T_StockCount[CountedQty],T_StockCount[Part Name],$A28,T_StockCount[WeekIndex],41),IF((('T_SelfStock'!AP32&lt;&gt;""))*(('T_TTAFStock'!AP32&lt;&gt;""))&gt;0,'T_SelfStock'!AP32+'T_TTAFStock'!AP32,AO28+'Grid_Incoming'!AP28-'Grid_Requirement'!AP28))</f>
        <v/>
      </c>
      <c r="AQ28">
        <f>IF(COUNTIFS(T_StockCount[Part Name],$A28,T_StockCount[WeekIndex],42)&gt;0,SUMIFS(T_StockCount[CountedQty],T_StockCount[Part Name],$A28,T_StockCount[WeekIndex],42),IF((('T_SelfStock'!AQ32&lt;&gt;""))*(('T_TTAFStock'!AQ32&lt;&gt;""))&gt;0,'T_SelfStock'!AQ32+'T_TTAFStock'!AQ32,AP28+'Grid_Incoming'!AQ28-'Grid_Requirement'!AQ28))</f>
        <v/>
      </c>
      <c r="AR28">
        <f>IF(COUNTIFS(T_StockCount[Part Name],$A28,T_StockCount[WeekIndex],43)&gt;0,SUMIFS(T_StockCount[CountedQty],T_StockCount[Part Name],$A28,T_StockCount[WeekIndex],43),IF((('T_SelfStock'!AR32&lt;&gt;""))*(('T_TTAFStock'!AR32&lt;&gt;""))&gt;0,'T_SelfStock'!AR32+'T_TTAFStock'!AR32,AQ28+'Grid_Incoming'!AR28-'Grid_Requirement'!AR28))</f>
        <v/>
      </c>
      <c r="AS28">
        <f>IF(COUNTIFS(T_StockCount[Part Name],$A28,T_StockCount[WeekIndex],44)&gt;0,SUMIFS(T_StockCount[CountedQty],T_StockCount[Part Name],$A28,T_StockCount[WeekIndex],44),IF((('T_SelfStock'!AS32&lt;&gt;""))*(('T_TTAFStock'!AS32&lt;&gt;""))&gt;0,'T_SelfStock'!AS32+'T_TTAFStock'!AS32,AR28+'Grid_Incoming'!AS28-'Grid_Requirement'!AS28))</f>
        <v/>
      </c>
      <c r="AT28">
        <f>IF(COUNTIFS(T_StockCount[Part Name],$A28,T_StockCount[WeekIndex],45)&gt;0,SUMIFS(T_StockCount[CountedQty],T_StockCount[Part Name],$A28,T_StockCount[WeekIndex],45),IF((('T_SelfStock'!AT32&lt;&gt;""))*(('T_TTAFStock'!AT32&lt;&gt;""))&gt;0,'T_SelfStock'!AT32+'T_TTAFStock'!AT32,AS28+'Grid_Incoming'!AT28-'Grid_Requirement'!AT28))</f>
        <v/>
      </c>
      <c r="AU28">
        <f>IF(COUNTIFS(T_StockCount[Part Name],$A28,T_StockCount[WeekIndex],46)&gt;0,SUMIFS(T_StockCount[CountedQty],T_StockCount[Part Name],$A28,T_StockCount[WeekIndex],46),IF((('T_SelfStock'!AU32&lt;&gt;""))*(('T_TTAFStock'!AU32&lt;&gt;""))&gt;0,'T_SelfStock'!AU32+'T_TTAFStock'!AU32,AT28+'Grid_Incoming'!AU28-'Grid_Requirement'!AU28))</f>
        <v/>
      </c>
      <c r="AV28">
        <f>IF(COUNTIFS(T_StockCount[Part Name],$A28,T_StockCount[WeekIndex],47)&gt;0,SUMIFS(T_StockCount[CountedQty],T_StockCount[Part Name],$A28,T_StockCount[WeekIndex],47),IF((('T_SelfStock'!AV32&lt;&gt;""))*(('T_TTAFStock'!AV32&lt;&gt;""))&gt;0,'T_SelfStock'!AV32+'T_TTAFStock'!AV32,AU28+'Grid_Incoming'!AV28-'Grid_Requirement'!AV28))</f>
        <v/>
      </c>
      <c r="AW28">
        <f>IF(COUNTIFS(T_StockCount[Part Name],$A28,T_StockCount[WeekIndex],48)&gt;0,SUMIFS(T_StockCount[CountedQty],T_StockCount[Part Name],$A28,T_StockCount[WeekIndex],48),IF((('T_SelfStock'!AW32&lt;&gt;""))*(('T_TTAFStock'!AW32&lt;&gt;""))&gt;0,'T_SelfStock'!AW32+'T_TTAFStock'!AW32,AV28+'Grid_Incoming'!AW28-'Grid_Requirement'!AW28))</f>
        <v/>
      </c>
      <c r="AX28">
        <f>IF(COUNTIFS(T_StockCount[Part Name],$A28,T_StockCount[WeekIndex],49)&gt;0,SUMIFS(T_StockCount[CountedQty],T_StockCount[Part Name],$A28,T_StockCount[WeekIndex],49),IF((('T_SelfStock'!AX32&lt;&gt;""))*(('T_TTAFStock'!AX32&lt;&gt;""))&gt;0,'T_SelfStock'!AX32+'T_TTAFStock'!AX32,AW28+'Grid_Incoming'!AX28-'Grid_Requirement'!AX28))</f>
        <v/>
      </c>
      <c r="AY28">
        <f>IF(COUNTIFS(T_StockCount[Part Name],$A28,T_StockCount[WeekIndex],50)&gt;0,SUMIFS(T_StockCount[CountedQty],T_StockCount[Part Name],$A28,T_StockCount[WeekIndex],50),IF((('T_SelfStock'!AY32&lt;&gt;""))*(('T_TTAFStock'!AY32&lt;&gt;""))&gt;0,'T_SelfStock'!AY32+'T_TTAFStock'!AY32,AX28+'Grid_Incoming'!AY28-'Grid_Requirement'!AY28))</f>
        <v/>
      </c>
      <c r="AZ28">
        <f>IF(COUNTIFS(T_StockCount[Part Name],$A28,T_StockCount[WeekIndex],51)&gt;0,SUMIFS(T_StockCount[CountedQty],T_StockCount[Part Name],$A28,T_StockCount[WeekIndex],51),IF((('T_SelfStock'!AZ32&lt;&gt;""))*(('T_TTAFStock'!AZ32&lt;&gt;""))&gt;0,'T_SelfStock'!AZ32+'T_TTAFStock'!AZ32,AY28+'Grid_Incoming'!AZ28-'Grid_Requirement'!AZ28))</f>
        <v/>
      </c>
      <c r="BA28">
        <f>IF(COUNTIFS(T_StockCount[Part Name],$A28,T_StockCount[WeekIndex],52)&gt;0,SUMIFS(T_StockCount[CountedQty],T_StockCount[Part Name],$A28,T_StockCount[WeekIndex],52),IF((('T_SelfStock'!BA32&lt;&gt;""))*(('T_TTAFStock'!BA32&lt;&gt;""))&gt;0,'T_SelfStock'!BA32+'T_TTAFStock'!BA32,AZ28+'Grid_Incoming'!BA28-'Grid_Requirement'!BA28))</f>
        <v/>
      </c>
      <c r="BB28">
        <f>IF(COUNTIFS(T_StockCount[Part Name],$A28,T_StockCount[WeekIndex],53)&gt;0,SUMIFS(T_StockCount[CountedQty],T_StockCount[Part Name],$A28,T_StockCount[WeekIndex],53),IF((('T_SelfStock'!BB32&lt;&gt;""))*(('T_TTAFStock'!BB32&lt;&gt;""))&gt;0,'T_SelfStock'!BB32+'T_TTAFStock'!BB32,BA28+'Grid_Incoming'!BB28-'Grid_Requirement'!BB28))</f>
        <v/>
      </c>
      <c r="BC28">
        <f>IF(COUNTIFS(T_StockCount[Part Name],$A28,T_StockCount[WeekIndex],54)&gt;0,SUMIFS(T_StockCount[CountedQty],T_StockCount[Part Name],$A28,T_StockCount[WeekIndex],54),IF((('T_SelfStock'!BC32&lt;&gt;""))*(('T_TTAFStock'!BC32&lt;&gt;""))&gt;0,'T_SelfStock'!BC32+'T_TTAFStock'!BC32,BB28+'Grid_Incoming'!BC28-'Grid_Requirement'!BC28))</f>
        <v/>
      </c>
      <c r="BD28">
        <f>IF(COUNTIFS(T_StockCount[Part Name],$A28,T_StockCount[WeekIndex],55)&gt;0,SUMIFS(T_StockCount[CountedQty],T_StockCount[Part Name],$A28,T_StockCount[WeekIndex],55),IF((('T_SelfStock'!BD32&lt;&gt;""))*(('T_TTAFStock'!BD32&lt;&gt;""))&gt;0,'T_SelfStock'!BD32+'T_TTAFStock'!BD32,BC28+'Grid_Incoming'!BD28-'Grid_Requirement'!BD28))</f>
        <v/>
      </c>
      <c r="BE28">
        <f>IF(COUNTIFS(T_StockCount[Part Name],$A28,T_StockCount[WeekIndex],56)&gt;0,SUMIFS(T_StockCount[CountedQty],T_StockCount[Part Name],$A28,T_StockCount[WeekIndex],56),IF((('T_SelfStock'!BE32&lt;&gt;""))*(('T_TTAFStock'!BE32&lt;&gt;""))&gt;0,'T_SelfStock'!BE32+'T_TTAFStock'!BE32,BD28+'Grid_Incoming'!BE28-'Grid_Requirement'!BE28))</f>
        <v/>
      </c>
      <c r="BF28">
        <f>IF(COUNTIFS(T_StockCount[Part Name],$A28,T_StockCount[WeekIndex],57)&gt;0,SUMIFS(T_StockCount[CountedQty],T_StockCount[Part Name],$A28,T_StockCount[WeekIndex],57),IF((('T_SelfStock'!BF32&lt;&gt;""))*(('T_TTAFStock'!BF32&lt;&gt;""))&gt;0,'T_SelfStock'!BF32+'T_TTAFStock'!BF32,BE28+'Grid_Incoming'!BF28-'Grid_Requirement'!BF28))</f>
        <v/>
      </c>
      <c r="BG28">
        <f>IF(COUNTIFS(T_StockCount[Part Name],$A28,T_StockCount[WeekIndex],58)&gt;0,SUMIFS(T_StockCount[CountedQty],T_StockCount[Part Name],$A28,T_StockCount[WeekIndex],58),IF((('T_SelfStock'!BG32&lt;&gt;""))*(('T_TTAFStock'!BG32&lt;&gt;""))&gt;0,'T_SelfStock'!BG32+'T_TTAFStock'!BG32,BF28+'Grid_Incoming'!BG28-'Grid_Requirement'!BG28))</f>
        <v/>
      </c>
      <c r="BH28">
        <f>IF(COUNTIFS(T_StockCount[Part Name],$A28,T_StockCount[WeekIndex],59)&gt;0,SUMIFS(T_StockCount[CountedQty],T_StockCount[Part Name],$A28,T_StockCount[WeekIndex],59),IF((('T_SelfStock'!BH32&lt;&gt;""))*(('T_TTAFStock'!BH32&lt;&gt;""))&gt;0,'T_SelfStock'!BH32+'T_TTAFStock'!BH32,BG28+'Grid_Incoming'!BH28-'Grid_Requirement'!BH28))</f>
        <v/>
      </c>
      <c r="BI28">
        <f>IF(COUNTIFS(T_StockCount[Part Name],$A28,T_StockCount[WeekIndex],60)&gt;0,SUMIFS(T_StockCount[CountedQty],T_StockCount[Part Name],$A28,T_StockCount[WeekIndex],60),IF((('T_SelfStock'!BI32&lt;&gt;""))*(('T_TTAFStock'!BI32&lt;&gt;""))&gt;0,'T_SelfStock'!BI32+'T_TTAFStock'!BI32,BH28+'Grid_Incoming'!BI28-'Grid_Requirement'!BI28))</f>
        <v/>
      </c>
      <c r="BJ28">
        <f>IF(COUNTIFS(T_StockCount[Part Name],$A28,T_StockCount[WeekIndex],61)&gt;0,SUMIFS(T_StockCount[CountedQty],T_StockCount[Part Name],$A28,T_StockCount[WeekIndex],61),IF((('T_SelfStock'!BJ32&lt;&gt;""))*(('T_TTAFStock'!BJ32&lt;&gt;""))&gt;0,'T_SelfStock'!BJ32+'T_TTAFStock'!BJ32,BI28+'Grid_Incoming'!BJ28-'Grid_Requirement'!BJ28))</f>
        <v/>
      </c>
      <c r="BK28">
        <f>IF(COUNTIFS(T_StockCount[Part Name],$A28,T_StockCount[WeekIndex],62)&gt;0,SUMIFS(T_StockCount[CountedQty],T_StockCount[Part Name],$A28,T_StockCount[WeekIndex],62),IF((('T_SelfStock'!BK32&lt;&gt;""))*(('T_TTAFStock'!BK32&lt;&gt;""))&gt;0,'T_SelfStock'!BK32+'T_TTAFStock'!BK32,BJ28+'Grid_Incoming'!BK28-'Grid_Requirement'!BK28))</f>
        <v/>
      </c>
      <c r="BL28">
        <f>IF(COUNTIFS(T_StockCount[Part Name],$A28,T_StockCount[WeekIndex],63)&gt;0,SUMIFS(T_StockCount[CountedQty],T_StockCount[Part Name],$A28,T_StockCount[WeekIndex],63),IF((('T_SelfStock'!BL32&lt;&gt;""))*(('T_TTAFStock'!BL32&lt;&gt;""))&gt;0,'T_SelfStock'!BL32+'T_TTAFStock'!BL32,BK28+'Grid_Incoming'!BL28-'Grid_Requirement'!BL28))</f>
        <v/>
      </c>
      <c r="BM28">
        <f>IF(COUNTIFS(T_StockCount[Part Name],$A28,T_StockCount[WeekIndex],64)&gt;0,SUMIFS(T_StockCount[CountedQty],T_StockCount[Part Name],$A28,T_StockCount[WeekIndex],64),IF((('T_SelfStock'!BM32&lt;&gt;""))*(('T_TTAFStock'!BM32&lt;&gt;""))&gt;0,'T_SelfStock'!BM32+'T_TTAFStock'!BM32,BL28+'Grid_Incoming'!BM28-'Grid_Requirement'!BM28))</f>
        <v/>
      </c>
      <c r="BN28">
        <f>IF(COUNTIFS(T_StockCount[Part Name],$A28,T_StockCount[WeekIndex],65)&gt;0,SUMIFS(T_StockCount[CountedQty],T_StockCount[Part Name],$A28,T_StockCount[WeekIndex],65),IF((('T_SelfStock'!BN32&lt;&gt;""))*(('T_TTAFStock'!BN32&lt;&gt;""))&gt;0,'T_SelfStock'!BN32+'T_TTAFStock'!BN32,BM28+'Grid_Incoming'!BN28-'Grid_Requirement'!BN28))</f>
        <v/>
      </c>
      <c r="BO28">
        <f>IF(COUNTIFS(T_StockCount[Part Name],$A28,T_StockCount[WeekIndex],66)&gt;0,SUMIFS(T_StockCount[CountedQty],T_StockCount[Part Name],$A28,T_StockCount[WeekIndex],66),IF((('T_SelfStock'!BO32&lt;&gt;""))*(('T_TTAFStock'!BO32&lt;&gt;""))&gt;0,'T_SelfStock'!BO32+'T_TTAFStock'!BO32,BN28+'Grid_Incoming'!BO28-'Grid_Requirement'!BO28))</f>
        <v/>
      </c>
      <c r="BP28">
        <f>IF(COUNTIFS(T_StockCount[Part Name],$A28,T_StockCount[WeekIndex],67)&gt;0,SUMIFS(T_StockCount[CountedQty],T_StockCount[Part Name],$A28,T_StockCount[WeekIndex],67),IF((('T_SelfStock'!BP32&lt;&gt;""))*(('T_TTAFStock'!BP32&lt;&gt;""))&gt;0,'T_SelfStock'!BP32+'T_TTAFStock'!BP32,BO28+'Grid_Incoming'!BP28-'Grid_Requirement'!BP28))</f>
        <v/>
      </c>
      <c r="BQ28">
        <f>IF(COUNTIFS(T_StockCount[Part Name],$A28,T_StockCount[WeekIndex],68)&gt;0,SUMIFS(T_StockCount[CountedQty],T_StockCount[Part Name],$A28,T_StockCount[WeekIndex],68),IF((('T_SelfStock'!BQ32&lt;&gt;""))*(('T_TTAFStock'!BQ32&lt;&gt;""))&gt;0,'T_SelfStock'!BQ32+'T_TTAFStock'!BQ32,BP28+'Grid_Incoming'!BQ28-'Grid_Requirement'!BQ28))</f>
        <v/>
      </c>
      <c r="BR28">
        <f>IF(COUNTIFS(T_StockCount[Part Name],$A28,T_StockCount[WeekIndex],69)&gt;0,SUMIFS(T_StockCount[CountedQty],T_StockCount[Part Name],$A28,T_StockCount[WeekIndex],69),IF((('T_SelfStock'!BR32&lt;&gt;""))*(('T_TTAFStock'!BR32&lt;&gt;""))&gt;0,'T_SelfStock'!BR32+'T_TTAFStock'!BR32,BQ28+'Grid_Incoming'!BR28-'Grid_Requirement'!BR28))</f>
        <v/>
      </c>
      <c r="BS28">
        <f>IF(COUNTIFS(T_StockCount[Part Name],$A28,T_StockCount[WeekIndex],70)&gt;0,SUMIFS(T_StockCount[CountedQty],T_StockCount[Part Name],$A28,T_StockCount[WeekIndex],70),IF((('T_SelfStock'!BS32&lt;&gt;""))*(('T_TTAFStock'!BS32&lt;&gt;""))&gt;0,'T_SelfStock'!BS32+'T_TTAFStock'!BS32,BR28+'Grid_Incoming'!BS28-'Grid_Requirement'!BS28))</f>
        <v/>
      </c>
      <c r="BT28">
        <f>IF(COUNTIFS(T_StockCount[Part Name],$A28,T_StockCount[WeekIndex],71)&gt;0,SUMIFS(T_StockCount[CountedQty],T_StockCount[Part Name],$A28,T_StockCount[WeekIndex],71),IF((('T_SelfStock'!BT32&lt;&gt;""))*(('T_TTAFStock'!BT32&lt;&gt;""))&gt;0,'T_SelfStock'!BT32+'T_TTAFStock'!BT32,BS28+'Grid_Incoming'!BT28-'Grid_Requirement'!BT28))</f>
        <v/>
      </c>
      <c r="BU28">
        <f>IF(COUNTIFS(T_StockCount[Part Name],$A28,T_StockCount[WeekIndex],72)&gt;0,SUMIFS(T_StockCount[CountedQty],T_StockCount[Part Name],$A28,T_StockCount[WeekIndex],72),IF((('T_SelfStock'!BU32&lt;&gt;""))*(('T_TTAFStock'!BU32&lt;&gt;""))&gt;0,'T_SelfStock'!BU32+'T_TTAFStock'!BU32,BT28+'Grid_Incoming'!BU28-'Grid_Requirement'!BU28))</f>
        <v/>
      </c>
      <c r="BV28">
        <f>IF(COUNTIFS(T_StockCount[Part Name],$A28,T_StockCount[WeekIndex],73)&gt;0,SUMIFS(T_StockCount[CountedQty],T_StockCount[Part Name],$A28,T_StockCount[WeekIndex],73),IF((('T_SelfStock'!BV32&lt;&gt;""))*(('T_TTAFStock'!BV32&lt;&gt;""))&gt;0,'T_SelfStock'!BV32+'T_TTAFStock'!BV32,BU28+'Grid_Incoming'!BV28-'Grid_Requirement'!BV28))</f>
        <v/>
      </c>
      <c r="BW28">
        <f>IF(COUNTIFS(T_StockCount[Part Name],$A28,T_StockCount[WeekIndex],74)&gt;0,SUMIFS(T_StockCount[CountedQty],T_StockCount[Part Name],$A28,T_StockCount[WeekIndex],74),IF((('T_SelfStock'!BW32&lt;&gt;""))*(('T_TTAFStock'!BW32&lt;&gt;""))&gt;0,'T_SelfStock'!BW32+'T_TTAFStock'!BW32,BV28+'Grid_Incoming'!BW28-'Grid_Requirement'!BW28))</f>
        <v/>
      </c>
      <c r="BX28">
        <f>IF(COUNTIFS(T_StockCount[Part Name],$A28,T_StockCount[WeekIndex],75)&gt;0,SUMIFS(T_StockCount[CountedQty],T_StockCount[Part Name],$A28,T_StockCount[WeekIndex],75),IF((('T_SelfStock'!BX32&lt;&gt;""))*(('T_TTAFStock'!BX32&lt;&gt;""))&gt;0,'T_SelfStock'!BX32+'T_TTAFStock'!BX32,BW28+'Grid_Incoming'!BX28-'Grid_Requirement'!BX28))</f>
        <v/>
      </c>
      <c r="BY28">
        <f>IF(COUNTIFS(T_StockCount[Part Name],$A28,T_StockCount[WeekIndex],76)&gt;0,SUMIFS(T_StockCount[CountedQty],T_StockCount[Part Name],$A28,T_StockCount[WeekIndex],76),IF((('T_SelfStock'!BY32&lt;&gt;""))*(('T_TTAFStock'!BY32&lt;&gt;""))&gt;0,'T_SelfStock'!BY32+'T_TTAFStock'!BY32,BX28+'Grid_Incoming'!BY28-'Grid_Requirement'!BY28))</f>
        <v/>
      </c>
      <c r="BZ28">
        <f>IF(COUNTIFS(T_StockCount[Part Name],$A28,T_StockCount[WeekIndex],77)&gt;0,SUMIFS(T_StockCount[CountedQty],T_StockCount[Part Name],$A28,T_StockCount[WeekIndex],77),IF((('T_SelfStock'!BZ32&lt;&gt;""))*(('T_TTAFStock'!BZ32&lt;&gt;""))&gt;0,'T_SelfStock'!BZ32+'T_TTAFStock'!BZ32,BY28+'Grid_Incoming'!BZ28-'Grid_Requirement'!BZ28))</f>
        <v/>
      </c>
      <c r="CA28">
        <f>IF(COUNTIFS(T_StockCount[Part Name],$A28,T_StockCount[WeekIndex],78)&gt;0,SUMIFS(T_StockCount[CountedQty],T_StockCount[Part Name],$A28,T_StockCount[WeekIndex],78),IF((('T_SelfStock'!CA32&lt;&gt;""))*(('T_TTAFStock'!CA32&lt;&gt;""))&gt;0,'T_SelfStock'!CA32+'T_TTAFStock'!CA32,BZ28+'Grid_Incoming'!CA28-'Grid_Requirement'!CA28))</f>
        <v/>
      </c>
      <c r="CB28">
        <f>IF(COUNTIFS(T_StockCount[Part Name],$A28,T_StockCount[WeekIndex],79)&gt;0,SUMIFS(T_StockCount[CountedQty],T_StockCount[Part Name],$A28,T_StockCount[WeekIndex],79),IF((('T_SelfStock'!CB32&lt;&gt;""))*(('T_TTAFStock'!CB32&lt;&gt;""))&gt;0,'T_SelfStock'!CB32+'T_TTAFStock'!CB32,CA28+'Grid_Incoming'!CB28-'Grid_Requirement'!CB28))</f>
        <v/>
      </c>
      <c r="CC28">
        <f>IF(COUNTIFS(T_StockCount[Part Name],$A28,T_StockCount[WeekIndex],80)&gt;0,SUMIFS(T_StockCount[CountedQty],T_StockCount[Part Name],$A28,T_StockCount[WeekIndex],80),IF((('T_SelfStock'!CC32&lt;&gt;""))*(('T_TTAFStock'!CC32&lt;&gt;""))&gt;0,'T_SelfStock'!CC32+'T_TTAFStock'!CC32,CB28+'Grid_Incoming'!CC28-'Grid_Requirement'!CC28))</f>
        <v/>
      </c>
      <c r="CD28">
        <f>IF(COUNTIFS(T_StockCount[Part Name],$A28,T_StockCount[WeekIndex],81)&gt;0,SUMIFS(T_StockCount[CountedQty],T_StockCount[Part Name],$A28,T_StockCount[WeekIndex],81),IF((('T_SelfStock'!CD32&lt;&gt;""))*(('T_TTAFStock'!CD32&lt;&gt;""))&gt;0,'T_SelfStock'!CD32+'T_TTAFStock'!CD32,CC28+'Grid_Incoming'!CD28-'Grid_Requirement'!CD28))</f>
        <v/>
      </c>
      <c r="CE28">
        <f>IF(COUNTIFS(T_StockCount[Part Name],$A28,T_StockCount[WeekIndex],82)&gt;0,SUMIFS(T_StockCount[CountedQty],T_StockCount[Part Name],$A28,T_StockCount[WeekIndex],82),IF((('T_SelfStock'!CE32&lt;&gt;""))*(('T_TTAFStock'!CE32&lt;&gt;""))&gt;0,'T_SelfStock'!CE32+'T_TTAFStock'!CE32,CD28+'Grid_Incoming'!CE28-'Grid_Requirement'!CE28))</f>
        <v/>
      </c>
      <c r="CF28">
        <f>IF(COUNTIFS(T_StockCount[Part Name],$A28,T_StockCount[WeekIndex],83)&gt;0,SUMIFS(T_StockCount[CountedQty],T_StockCount[Part Name],$A28,T_StockCount[WeekIndex],83),IF((('T_SelfStock'!CF32&lt;&gt;""))*(('T_TTAFStock'!CF32&lt;&gt;""))&gt;0,'T_SelfStock'!CF32+'T_TTAFStock'!CF32,CE28+'Grid_Incoming'!CF28-'Grid_Requirement'!CF28))</f>
        <v/>
      </c>
      <c r="CG28">
        <f>IF(COUNTIFS(T_StockCount[Part Name],$A28,T_StockCount[WeekIndex],84)&gt;0,SUMIFS(T_StockCount[CountedQty],T_StockCount[Part Name],$A28,T_StockCount[WeekIndex],84),IF((('T_SelfStock'!CG32&lt;&gt;""))*(('T_TTAFStock'!CG32&lt;&gt;""))&gt;0,'T_SelfStock'!CG32+'T_TTAFStock'!CG32,CF28+'Grid_Incoming'!CG28-'Grid_Requirement'!CG28))</f>
        <v/>
      </c>
      <c r="CH28">
        <f>IF(COUNTIFS(T_StockCount[Part Name],$A28,T_StockCount[WeekIndex],85)&gt;0,SUMIFS(T_StockCount[CountedQty],T_StockCount[Part Name],$A28,T_StockCount[WeekIndex],85),IF((('T_SelfStock'!CH32&lt;&gt;""))*(('T_TTAFStock'!CH32&lt;&gt;""))&gt;0,'T_SelfStock'!CH32+'T_TTAFStock'!CH32,CG28+'Grid_Incoming'!CH28-'Grid_Requirement'!CH28))</f>
        <v/>
      </c>
      <c r="CI28">
        <f>IF(COUNTIFS(T_StockCount[Part Name],$A28,T_StockCount[WeekIndex],86)&gt;0,SUMIFS(T_StockCount[CountedQty],T_StockCount[Part Name],$A28,T_StockCount[WeekIndex],86),IF((('T_SelfStock'!CI32&lt;&gt;""))*(('T_TTAFStock'!CI32&lt;&gt;""))&gt;0,'T_SelfStock'!CI32+'T_TTAFStock'!CI32,CH28+'Grid_Incoming'!CI28-'Grid_Requirement'!CI28))</f>
        <v/>
      </c>
      <c r="CJ28">
        <f>IF(COUNTIFS(T_StockCount[Part Name],$A28,T_StockCount[WeekIndex],87)&gt;0,SUMIFS(T_StockCount[CountedQty],T_StockCount[Part Name],$A28,T_StockCount[WeekIndex],87),IF((('T_SelfStock'!CJ32&lt;&gt;""))*(('T_TTAFStock'!CJ32&lt;&gt;""))&gt;0,'T_SelfStock'!CJ32+'T_TTAFStock'!CJ32,CI28+'Grid_Incoming'!CJ28-'Grid_Requirement'!CJ28))</f>
        <v/>
      </c>
      <c r="CK28">
        <f>IF(COUNTIFS(T_StockCount[Part Name],$A28,T_StockCount[WeekIndex],88)&gt;0,SUMIFS(T_StockCount[CountedQty],T_StockCount[Part Name],$A28,T_StockCount[WeekIndex],88),IF((('T_SelfStock'!CK32&lt;&gt;""))*(('T_TTAFStock'!CK32&lt;&gt;""))&gt;0,'T_SelfStock'!CK32+'T_TTAFStock'!CK32,CJ28+'Grid_Incoming'!CK28-'Grid_Requirement'!CK28))</f>
        <v/>
      </c>
      <c r="CL28">
        <f>IF(COUNTIFS(T_StockCount[Part Name],$A28,T_StockCount[WeekIndex],89)&gt;0,SUMIFS(T_StockCount[CountedQty],T_StockCount[Part Name],$A28,T_StockCount[WeekIndex],89),IF((('T_SelfStock'!CL32&lt;&gt;""))*(('T_TTAFStock'!CL32&lt;&gt;""))&gt;0,'T_SelfStock'!CL32+'T_TTAFStock'!CL32,CK28+'Grid_Incoming'!CL28-'Grid_Requirement'!CL28))</f>
        <v/>
      </c>
      <c r="CM28">
        <f>IF(COUNTIFS(T_StockCount[Part Name],$A28,T_StockCount[WeekIndex],90)&gt;0,SUMIFS(T_StockCount[CountedQty],T_StockCount[Part Name],$A28,T_StockCount[WeekIndex],90),IF((('T_SelfStock'!CM32&lt;&gt;""))*(('T_TTAFStock'!CM32&lt;&gt;""))&gt;0,'T_SelfStock'!CM32+'T_TTAFStock'!CM32,CL28+'Grid_Incoming'!CM28-'Grid_Requirement'!CM28))</f>
        <v/>
      </c>
      <c r="CN28">
        <f>IF(COUNTIFS(T_StockCount[Part Name],$A28,T_StockCount[WeekIndex],91)&gt;0,SUMIFS(T_StockCount[CountedQty],T_StockCount[Part Name],$A28,T_StockCount[WeekIndex],91),IF((('T_SelfStock'!CN32&lt;&gt;""))*(('T_TTAFStock'!CN32&lt;&gt;""))&gt;0,'T_SelfStock'!CN32+'T_TTAFStock'!CN32,CM28+'Grid_Incoming'!CN28-'Grid_Requirement'!CN28))</f>
        <v/>
      </c>
      <c r="CO28">
        <f>IF(COUNTIFS(T_StockCount[Part Name],$A28,T_StockCount[WeekIndex],92)&gt;0,SUMIFS(T_StockCount[CountedQty],T_StockCount[Part Name],$A28,T_StockCount[WeekIndex],92),IF((('T_SelfStock'!CO32&lt;&gt;""))*(('T_TTAFStock'!CO32&lt;&gt;""))&gt;0,'T_SelfStock'!CO32+'T_TTAFStock'!CO32,CN28+'Grid_Incoming'!CO28-'Grid_Requirement'!CO28))</f>
        <v/>
      </c>
      <c r="CP28">
        <f>IF(COUNTIFS(T_StockCount[Part Name],$A28,T_StockCount[WeekIndex],93)&gt;0,SUMIFS(T_StockCount[CountedQty],T_StockCount[Part Name],$A28,T_StockCount[WeekIndex],93),IF((('T_SelfStock'!CP32&lt;&gt;""))*(('T_TTAFStock'!CP32&lt;&gt;""))&gt;0,'T_SelfStock'!CP32+'T_TTAFStock'!CP32,CO28+'Grid_Incoming'!CP28-'Grid_Requirement'!CP28))</f>
        <v/>
      </c>
      <c r="CQ28">
        <f>IF(COUNTIFS(T_StockCount[Part Name],$A28,T_StockCount[WeekIndex],94)&gt;0,SUMIFS(T_StockCount[CountedQty],T_StockCount[Part Name],$A28,T_StockCount[WeekIndex],94),IF((('T_SelfStock'!CQ32&lt;&gt;""))*(('T_TTAFStock'!CQ32&lt;&gt;""))&gt;0,'T_SelfStock'!CQ32+'T_TTAFStock'!CQ32,CP28+'Grid_Incoming'!CQ28-'Grid_Requirement'!CQ28))</f>
        <v/>
      </c>
      <c r="CR28">
        <f>IF(COUNTIFS(T_StockCount[Part Name],$A28,T_StockCount[WeekIndex],95)&gt;0,SUMIFS(T_StockCount[CountedQty],T_StockCount[Part Name],$A28,T_StockCount[WeekIndex],95),IF((('T_SelfStock'!CR32&lt;&gt;""))*(('T_TTAFStock'!CR32&lt;&gt;""))&gt;0,'T_SelfStock'!CR32+'T_TTAFStock'!CR32,CQ28+'Grid_Incoming'!CR28-'Grid_Requirement'!CR28))</f>
        <v/>
      </c>
      <c r="CS28">
        <f>IF(COUNTIFS(T_StockCount[Part Name],$A28,T_StockCount[WeekIndex],96)&gt;0,SUMIFS(T_StockCount[CountedQty],T_StockCount[Part Name],$A28,T_StockCount[WeekIndex],96),IF((('T_SelfStock'!CS32&lt;&gt;""))*(('T_TTAFStock'!CS32&lt;&gt;""))&gt;0,'T_SelfStock'!CS32+'T_TTAFStock'!CS32,CR28+'Grid_Incoming'!CS28-'Grid_Requirement'!CS28))</f>
        <v/>
      </c>
      <c r="CT28">
        <f>IF(COUNTIFS(T_StockCount[Part Name],$A28,T_StockCount[WeekIndex],97)&gt;0,SUMIFS(T_StockCount[CountedQty],T_StockCount[Part Name],$A28,T_StockCount[WeekIndex],97),IF((('T_SelfStock'!CT32&lt;&gt;""))*(('T_TTAFStock'!CT32&lt;&gt;""))&gt;0,'T_SelfStock'!CT32+'T_TTAFStock'!CT32,CS28+'Grid_Incoming'!CT28-'Grid_Requirement'!CT28))</f>
        <v/>
      </c>
      <c r="CU28">
        <f>IF(COUNTIFS(T_StockCount[Part Name],$A28,T_StockCount[WeekIndex],98)&gt;0,SUMIFS(T_StockCount[CountedQty],T_StockCount[Part Name],$A28,T_StockCount[WeekIndex],98),IF((('T_SelfStock'!CU32&lt;&gt;""))*(('T_TTAFStock'!CU32&lt;&gt;""))&gt;0,'T_SelfStock'!CU32+'T_TTAFStock'!CU32,CT28+'Grid_Incoming'!CU28-'Grid_Requirement'!CU28))</f>
        <v/>
      </c>
      <c r="CV28">
        <f>IF(COUNTIFS(T_StockCount[Part Name],$A28,T_StockCount[WeekIndex],99)&gt;0,SUMIFS(T_StockCount[CountedQty],T_StockCount[Part Name],$A28,T_StockCount[WeekIndex],99),IF((('T_SelfStock'!CV32&lt;&gt;""))*(('T_TTAFStock'!CV32&lt;&gt;""))&gt;0,'T_SelfStock'!CV32+'T_TTAFStock'!CV32,CU28+'Grid_Incoming'!CV28-'Grid_Requirement'!CV28))</f>
        <v/>
      </c>
      <c r="CW28">
        <f>IF(COUNTIFS(T_StockCount[Part Name],$A28,T_StockCount[WeekIndex],100)&gt;0,SUMIFS(T_StockCount[CountedQty],T_StockCount[Part Name],$A28,T_StockCount[WeekIndex],100),IF((('T_SelfStock'!CW32&lt;&gt;""))*(('T_TTAFStock'!CW32&lt;&gt;""))&gt;0,'T_SelfStock'!CW32+'T_TTAFStock'!CW32,CV28+'Grid_Incoming'!CW28-'Grid_Requirement'!CW28))</f>
        <v/>
      </c>
      <c r="CX28">
        <f>IF(COUNTIFS(T_StockCount[Part Name],$A28,T_StockCount[WeekIndex],101)&gt;0,SUMIFS(T_StockCount[CountedQty],T_StockCount[Part Name],$A28,T_StockCount[WeekIndex],101),IF((('T_SelfStock'!CX32&lt;&gt;""))*(('T_TTAFStock'!CX32&lt;&gt;""))&gt;0,'T_SelfStock'!CX32+'T_TTAFStock'!CX32,CW28+'Grid_Incoming'!CX28-'Grid_Requirement'!CX28))</f>
        <v/>
      </c>
      <c r="CY28">
        <f>IF(COUNTIFS(T_StockCount[Part Name],$A28,T_StockCount[WeekIndex],102)&gt;0,SUMIFS(T_StockCount[CountedQty],T_StockCount[Part Name],$A28,T_StockCount[WeekIndex],102),IF((('T_SelfStock'!CY32&lt;&gt;""))*(('T_TTAFStock'!CY32&lt;&gt;""))&gt;0,'T_SelfStock'!CY32+'T_TTAFStock'!CY32,CX28+'Grid_Incoming'!CY28-'Grid_Requirement'!CY28))</f>
        <v/>
      </c>
      <c r="CZ28">
        <f>IF(COUNTIFS(T_StockCount[Part Name],$A28,T_StockCount[WeekIndex],103)&gt;0,SUMIFS(T_StockCount[CountedQty],T_StockCount[Part Name],$A28,T_StockCount[WeekIndex],103),IF((('T_SelfStock'!CZ32&lt;&gt;""))*(('T_TTAFStock'!CZ32&lt;&gt;""))&gt;0,'T_SelfStock'!CZ32+'T_TTAFStock'!CZ32,CY28+'Grid_Incoming'!CZ28-'Grid_Requirement'!CZ28))</f>
        <v/>
      </c>
      <c r="DA28">
        <f>IF(COUNTIFS(T_StockCount[Part Name],$A28,T_StockCount[WeekIndex],104)&gt;0,SUMIFS(T_StockCount[CountedQty],T_StockCount[Part Name],$A28,T_StockCount[WeekIndex],104),IF((('T_SelfStock'!DA32&lt;&gt;""))*(('T_TTAFStock'!DA32&lt;&gt;""))&gt;0,'T_SelfStock'!DA32+'T_TTAFStock'!DA32,CZ28+'Grid_Incoming'!DA28-'Grid_Requirement'!DA28))</f>
        <v/>
      </c>
    </row>
    <row r="29">
      <c r="A29" t="inlineStr">
        <is>
          <t>CHEM-1840</t>
        </is>
      </c>
      <c r="B29">
        <f>IF(COUNTIFS(T_StockCount[Part Name],$A29,T_StockCount[WeekIndex],1)&gt;0,SUMIFS(T_StockCount[CountedQty],T_StockCount[Part Name],$A29,T_StockCount[WeekIndex],1),IF((('T_SelfStock'!B33&lt;&gt;""))*(('T_TTAFStock'!B33&lt;&gt;""))&gt;0,'T_SelfStock'!B33+'T_TTAFStock'!B33,IFERROR(INDEX(T_OpeningStock[Opening_Qty],MATCH($A29,T_OpeningStock[Part Name],0)),0)+'Grid_Incoming'!B29-'Grid_Requirement'!B29))</f>
        <v/>
      </c>
      <c r="C29">
        <f>IF(COUNTIFS(T_StockCount[Part Name],$A29,T_StockCount[WeekIndex],2)&gt;0,SUMIFS(T_StockCount[CountedQty],T_StockCount[Part Name],$A29,T_StockCount[WeekIndex],2),IF((('T_SelfStock'!C33&lt;&gt;""))*(('T_TTAFStock'!C33&lt;&gt;""))&gt;0,'T_SelfStock'!C33+'T_TTAFStock'!C33,B29+'Grid_Incoming'!C29-'Grid_Requirement'!C29))</f>
        <v/>
      </c>
      <c r="D29">
        <f>IF(COUNTIFS(T_StockCount[Part Name],$A29,T_StockCount[WeekIndex],3)&gt;0,SUMIFS(T_StockCount[CountedQty],T_StockCount[Part Name],$A29,T_StockCount[WeekIndex],3),IF((('T_SelfStock'!D33&lt;&gt;""))*(('T_TTAFStock'!D33&lt;&gt;""))&gt;0,'T_SelfStock'!D33+'T_TTAFStock'!D33,C29+'Grid_Incoming'!D29-'Grid_Requirement'!D29))</f>
        <v/>
      </c>
      <c r="E29">
        <f>IF(COUNTIFS(T_StockCount[Part Name],$A29,T_StockCount[WeekIndex],4)&gt;0,SUMIFS(T_StockCount[CountedQty],T_StockCount[Part Name],$A29,T_StockCount[WeekIndex],4),IF((('T_SelfStock'!E33&lt;&gt;""))*(('T_TTAFStock'!E33&lt;&gt;""))&gt;0,'T_SelfStock'!E33+'T_TTAFStock'!E33,D29+'Grid_Incoming'!E29-'Grid_Requirement'!E29))</f>
        <v/>
      </c>
      <c r="F29">
        <f>IF(COUNTIFS(T_StockCount[Part Name],$A29,T_StockCount[WeekIndex],5)&gt;0,SUMIFS(T_StockCount[CountedQty],T_StockCount[Part Name],$A29,T_StockCount[WeekIndex],5),IF((('T_SelfStock'!F33&lt;&gt;""))*(('T_TTAFStock'!F33&lt;&gt;""))&gt;0,'T_SelfStock'!F33+'T_TTAFStock'!F33,E29+'Grid_Incoming'!F29-'Grid_Requirement'!F29))</f>
        <v/>
      </c>
      <c r="G29">
        <f>IF(COUNTIFS(T_StockCount[Part Name],$A29,T_StockCount[WeekIndex],6)&gt;0,SUMIFS(T_StockCount[CountedQty],T_StockCount[Part Name],$A29,T_StockCount[WeekIndex],6),IF((('T_SelfStock'!G33&lt;&gt;""))*(('T_TTAFStock'!G33&lt;&gt;""))&gt;0,'T_SelfStock'!G33+'T_TTAFStock'!G33,F29+'Grid_Incoming'!G29-'Grid_Requirement'!G29))</f>
        <v/>
      </c>
      <c r="H29">
        <f>IF(COUNTIFS(T_StockCount[Part Name],$A29,T_StockCount[WeekIndex],7)&gt;0,SUMIFS(T_StockCount[CountedQty],T_StockCount[Part Name],$A29,T_StockCount[WeekIndex],7),IF((('T_SelfStock'!H33&lt;&gt;""))*(('T_TTAFStock'!H33&lt;&gt;""))&gt;0,'T_SelfStock'!H33+'T_TTAFStock'!H33,G29+'Grid_Incoming'!H29-'Grid_Requirement'!H29))</f>
        <v/>
      </c>
      <c r="I29">
        <f>IF(COUNTIFS(T_StockCount[Part Name],$A29,T_StockCount[WeekIndex],8)&gt;0,SUMIFS(T_StockCount[CountedQty],T_StockCount[Part Name],$A29,T_StockCount[WeekIndex],8),IF((('T_SelfStock'!I33&lt;&gt;""))*(('T_TTAFStock'!I33&lt;&gt;""))&gt;0,'T_SelfStock'!I33+'T_TTAFStock'!I33,H29+'Grid_Incoming'!I29-'Grid_Requirement'!I29))</f>
        <v/>
      </c>
      <c r="J29">
        <f>IF(COUNTIFS(T_StockCount[Part Name],$A29,T_StockCount[WeekIndex],9)&gt;0,SUMIFS(T_StockCount[CountedQty],T_StockCount[Part Name],$A29,T_StockCount[WeekIndex],9),IF((('T_SelfStock'!J33&lt;&gt;""))*(('T_TTAFStock'!J33&lt;&gt;""))&gt;0,'T_SelfStock'!J33+'T_TTAFStock'!J33,I29+'Grid_Incoming'!J29-'Grid_Requirement'!J29))</f>
        <v/>
      </c>
      <c r="K29">
        <f>IF(COUNTIFS(T_StockCount[Part Name],$A29,T_StockCount[WeekIndex],10)&gt;0,SUMIFS(T_StockCount[CountedQty],T_StockCount[Part Name],$A29,T_StockCount[WeekIndex],10),IF((('T_SelfStock'!K33&lt;&gt;""))*(('T_TTAFStock'!K33&lt;&gt;""))&gt;0,'T_SelfStock'!K33+'T_TTAFStock'!K33,J29+'Grid_Incoming'!K29-'Grid_Requirement'!K29))</f>
        <v/>
      </c>
      <c r="L29">
        <f>IF(COUNTIFS(T_StockCount[Part Name],$A29,T_StockCount[WeekIndex],11)&gt;0,SUMIFS(T_StockCount[CountedQty],T_StockCount[Part Name],$A29,T_StockCount[WeekIndex],11),IF((('T_SelfStock'!L33&lt;&gt;""))*(('T_TTAFStock'!L33&lt;&gt;""))&gt;0,'T_SelfStock'!L33+'T_TTAFStock'!L33,K29+'Grid_Incoming'!L29-'Grid_Requirement'!L29))</f>
        <v/>
      </c>
      <c r="M29">
        <f>IF(COUNTIFS(T_StockCount[Part Name],$A29,T_StockCount[WeekIndex],12)&gt;0,SUMIFS(T_StockCount[CountedQty],T_StockCount[Part Name],$A29,T_StockCount[WeekIndex],12),IF((('T_SelfStock'!M33&lt;&gt;""))*(('T_TTAFStock'!M33&lt;&gt;""))&gt;0,'T_SelfStock'!M33+'T_TTAFStock'!M33,L29+'Grid_Incoming'!M29-'Grid_Requirement'!M29))</f>
        <v/>
      </c>
      <c r="N29">
        <f>IF(COUNTIFS(T_StockCount[Part Name],$A29,T_StockCount[WeekIndex],13)&gt;0,SUMIFS(T_StockCount[CountedQty],T_StockCount[Part Name],$A29,T_StockCount[WeekIndex],13),IF((('T_SelfStock'!N33&lt;&gt;""))*(('T_TTAFStock'!N33&lt;&gt;""))&gt;0,'T_SelfStock'!N33+'T_TTAFStock'!N33,M29+'Grid_Incoming'!N29-'Grid_Requirement'!N29))</f>
        <v/>
      </c>
      <c r="O29">
        <f>IF(COUNTIFS(T_StockCount[Part Name],$A29,T_StockCount[WeekIndex],14)&gt;0,SUMIFS(T_StockCount[CountedQty],T_StockCount[Part Name],$A29,T_StockCount[WeekIndex],14),IF((('T_SelfStock'!O33&lt;&gt;""))*(('T_TTAFStock'!O33&lt;&gt;""))&gt;0,'T_SelfStock'!O33+'T_TTAFStock'!O33,N29+'Grid_Incoming'!O29-'Grid_Requirement'!O29))</f>
        <v/>
      </c>
      <c r="P29">
        <f>IF(COUNTIFS(T_StockCount[Part Name],$A29,T_StockCount[WeekIndex],15)&gt;0,SUMIFS(T_StockCount[CountedQty],T_StockCount[Part Name],$A29,T_StockCount[WeekIndex],15),IF((('T_SelfStock'!P33&lt;&gt;""))*(('T_TTAFStock'!P33&lt;&gt;""))&gt;0,'T_SelfStock'!P33+'T_TTAFStock'!P33,O29+'Grid_Incoming'!P29-'Grid_Requirement'!P29))</f>
        <v/>
      </c>
      <c r="Q29">
        <f>IF(COUNTIFS(T_StockCount[Part Name],$A29,T_StockCount[WeekIndex],16)&gt;0,SUMIFS(T_StockCount[CountedQty],T_StockCount[Part Name],$A29,T_StockCount[WeekIndex],16),IF((('T_SelfStock'!Q33&lt;&gt;""))*(('T_TTAFStock'!Q33&lt;&gt;""))&gt;0,'T_SelfStock'!Q33+'T_TTAFStock'!Q33,P29+'Grid_Incoming'!Q29-'Grid_Requirement'!Q29))</f>
        <v/>
      </c>
      <c r="R29">
        <f>IF(COUNTIFS(T_StockCount[Part Name],$A29,T_StockCount[WeekIndex],17)&gt;0,SUMIFS(T_StockCount[CountedQty],T_StockCount[Part Name],$A29,T_StockCount[WeekIndex],17),IF((('T_SelfStock'!R33&lt;&gt;""))*(('T_TTAFStock'!R33&lt;&gt;""))&gt;0,'T_SelfStock'!R33+'T_TTAFStock'!R33,Q29+'Grid_Incoming'!R29-'Grid_Requirement'!R29))</f>
        <v/>
      </c>
      <c r="S29">
        <f>IF(COUNTIFS(T_StockCount[Part Name],$A29,T_StockCount[WeekIndex],18)&gt;0,SUMIFS(T_StockCount[CountedQty],T_StockCount[Part Name],$A29,T_StockCount[WeekIndex],18),IF((('T_SelfStock'!S33&lt;&gt;""))*(('T_TTAFStock'!S33&lt;&gt;""))&gt;0,'T_SelfStock'!S33+'T_TTAFStock'!S33,R29+'Grid_Incoming'!S29-'Grid_Requirement'!S29))</f>
        <v/>
      </c>
      <c r="T29">
        <f>IF(COUNTIFS(T_StockCount[Part Name],$A29,T_StockCount[WeekIndex],19)&gt;0,SUMIFS(T_StockCount[CountedQty],T_StockCount[Part Name],$A29,T_StockCount[WeekIndex],19),IF((('T_SelfStock'!T33&lt;&gt;""))*(('T_TTAFStock'!T33&lt;&gt;""))&gt;0,'T_SelfStock'!T33+'T_TTAFStock'!T33,S29+'Grid_Incoming'!T29-'Grid_Requirement'!T29))</f>
        <v/>
      </c>
      <c r="U29">
        <f>IF(COUNTIFS(T_StockCount[Part Name],$A29,T_StockCount[WeekIndex],20)&gt;0,SUMIFS(T_StockCount[CountedQty],T_StockCount[Part Name],$A29,T_StockCount[WeekIndex],20),IF((('T_SelfStock'!U33&lt;&gt;""))*(('T_TTAFStock'!U33&lt;&gt;""))&gt;0,'T_SelfStock'!U33+'T_TTAFStock'!U33,T29+'Grid_Incoming'!U29-'Grid_Requirement'!U29))</f>
        <v/>
      </c>
      <c r="V29">
        <f>IF(COUNTIFS(T_StockCount[Part Name],$A29,T_StockCount[WeekIndex],21)&gt;0,SUMIFS(T_StockCount[CountedQty],T_StockCount[Part Name],$A29,T_StockCount[WeekIndex],21),IF((('T_SelfStock'!V33&lt;&gt;""))*(('T_TTAFStock'!V33&lt;&gt;""))&gt;0,'T_SelfStock'!V33+'T_TTAFStock'!V33,U29+'Grid_Incoming'!V29-'Grid_Requirement'!V29))</f>
        <v/>
      </c>
      <c r="W29">
        <f>IF(COUNTIFS(T_StockCount[Part Name],$A29,T_StockCount[WeekIndex],22)&gt;0,SUMIFS(T_StockCount[CountedQty],T_StockCount[Part Name],$A29,T_StockCount[WeekIndex],22),IF((('T_SelfStock'!W33&lt;&gt;""))*(('T_TTAFStock'!W33&lt;&gt;""))&gt;0,'T_SelfStock'!W33+'T_TTAFStock'!W33,V29+'Grid_Incoming'!W29-'Grid_Requirement'!W29))</f>
        <v/>
      </c>
      <c r="X29">
        <f>IF(COUNTIFS(T_StockCount[Part Name],$A29,T_StockCount[WeekIndex],23)&gt;0,SUMIFS(T_StockCount[CountedQty],T_StockCount[Part Name],$A29,T_StockCount[WeekIndex],23),IF((('T_SelfStock'!X33&lt;&gt;""))*(('T_TTAFStock'!X33&lt;&gt;""))&gt;0,'T_SelfStock'!X33+'T_TTAFStock'!X33,W29+'Grid_Incoming'!X29-'Grid_Requirement'!X29))</f>
        <v/>
      </c>
      <c r="Y29">
        <f>IF(COUNTIFS(T_StockCount[Part Name],$A29,T_StockCount[WeekIndex],24)&gt;0,SUMIFS(T_StockCount[CountedQty],T_StockCount[Part Name],$A29,T_StockCount[WeekIndex],24),IF((('T_SelfStock'!Y33&lt;&gt;""))*(('T_TTAFStock'!Y33&lt;&gt;""))&gt;0,'T_SelfStock'!Y33+'T_TTAFStock'!Y33,X29+'Grid_Incoming'!Y29-'Grid_Requirement'!Y29))</f>
        <v/>
      </c>
      <c r="Z29">
        <f>IF(COUNTIFS(T_StockCount[Part Name],$A29,T_StockCount[WeekIndex],25)&gt;0,SUMIFS(T_StockCount[CountedQty],T_StockCount[Part Name],$A29,T_StockCount[WeekIndex],25),IF((('T_SelfStock'!Z33&lt;&gt;""))*(('T_TTAFStock'!Z33&lt;&gt;""))&gt;0,'T_SelfStock'!Z33+'T_TTAFStock'!Z33,Y29+'Grid_Incoming'!Z29-'Grid_Requirement'!Z29))</f>
        <v/>
      </c>
      <c r="AA29">
        <f>IF(COUNTIFS(T_StockCount[Part Name],$A29,T_StockCount[WeekIndex],26)&gt;0,SUMIFS(T_StockCount[CountedQty],T_StockCount[Part Name],$A29,T_StockCount[WeekIndex],26),IF((('T_SelfStock'!AA33&lt;&gt;""))*(('T_TTAFStock'!AA33&lt;&gt;""))&gt;0,'T_SelfStock'!AA33+'T_TTAFStock'!AA33,Z29+'Grid_Incoming'!AA29-'Grid_Requirement'!AA29))</f>
        <v/>
      </c>
      <c r="AB29">
        <f>IF(COUNTIFS(T_StockCount[Part Name],$A29,T_StockCount[WeekIndex],27)&gt;0,SUMIFS(T_StockCount[CountedQty],T_StockCount[Part Name],$A29,T_StockCount[WeekIndex],27),IF((('T_SelfStock'!AB33&lt;&gt;""))*(('T_TTAFStock'!AB33&lt;&gt;""))&gt;0,'T_SelfStock'!AB33+'T_TTAFStock'!AB33,AA29+'Grid_Incoming'!AB29-'Grid_Requirement'!AB29))</f>
        <v/>
      </c>
      <c r="AC29">
        <f>IF(COUNTIFS(T_StockCount[Part Name],$A29,T_StockCount[WeekIndex],28)&gt;0,SUMIFS(T_StockCount[CountedQty],T_StockCount[Part Name],$A29,T_StockCount[WeekIndex],28),IF((('T_SelfStock'!AC33&lt;&gt;""))*(('T_TTAFStock'!AC33&lt;&gt;""))&gt;0,'T_SelfStock'!AC33+'T_TTAFStock'!AC33,AB29+'Grid_Incoming'!AC29-'Grid_Requirement'!AC29))</f>
        <v/>
      </c>
      <c r="AD29">
        <f>IF(COUNTIFS(T_StockCount[Part Name],$A29,T_StockCount[WeekIndex],29)&gt;0,SUMIFS(T_StockCount[CountedQty],T_StockCount[Part Name],$A29,T_StockCount[WeekIndex],29),IF((('T_SelfStock'!AD33&lt;&gt;""))*(('T_TTAFStock'!AD33&lt;&gt;""))&gt;0,'T_SelfStock'!AD33+'T_TTAFStock'!AD33,AC29+'Grid_Incoming'!AD29-'Grid_Requirement'!AD29))</f>
        <v/>
      </c>
      <c r="AE29">
        <f>IF(COUNTIFS(T_StockCount[Part Name],$A29,T_StockCount[WeekIndex],30)&gt;0,SUMIFS(T_StockCount[CountedQty],T_StockCount[Part Name],$A29,T_StockCount[WeekIndex],30),IF((('T_SelfStock'!AE33&lt;&gt;""))*(('T_TTAFStock'!AE33&lt;&gt;""))&gt;0,'T_SelfStock'!AE33+'T_TTAFStock'!AE33,AD29+'Grid_Incoming'!AE29-'Grid_Requirement'!AE29))</f>
        <v/>
      </c>
      <c r="AF29">
        <f>IF(COUNTIFS(T_StockCount[Part Name],$A29,T_StockCount[WeekIndex],31)&gt;0,SUMIFS(T_StockCount[CountedQty],T_StockCount[Part Name],$A29,T_StockCount[WeekIndex],31),IF((('T_SelfStock'!AF33&lt;&gt;""))*(('T_TTAFStock'!AF33&lt;&gt;""))&gt;0,'T_SelfStock'!AF33+'T_TTAFStock'!AF33,AE29+'Grid_Incoming'!AF29-'Grid_Requirement'!AF29))</f>
        <v/>
      </c>
      <c r="AG29">
        <f>IF(COUNTIFS(T_StockCount[Part Name],$A29,T_StockCount[WeekIndex],32)&gt;0,SUMIFS(T_StockCount[CountedQty],T_StockCount[Part Name],$A29,T_StockCount[WeekIndex],32),IF((('T_SelfStock'!AG33&lt;&gt;""))*(('T_TTAFStock'!AG33&lt;&gt;""))&gt;0,'T_SelfStock'!AG33+'T_TTAFStock'!AG33,AF29+'Grid_Incoming'!AG29-'Grid_Requirement'!AG29))</f>
        <v/>
      </c>
      <c r="AH29">
        <f>IF(COUNTIFS(T_StockCount[Part Name],$A29,T_StockCount[WeekIndex],33)&gt;0,SUMIFS(T_StockCount[CountedQty],T_StockCount[Part Name],$A29,T_StockCount[WeekIndex],33),IF((('T_SelfStock'!AH33&lt;&gt;""))*(('T_TTAFStock'!AH33&lt;&gt;""))&gt;0,'T_SelfStock'!AH33+'T_TTAFStock'!AH33,AG29+'Grid_Incoming'!AH29-'Grid_Requirement'!AH29))</f>
        <v/>
      </c>
      <c r="AI29">
        <f>IF(COUNTIFS(T_StockCount[Part Name],$A29,T_StockCount[WeekIndex],34)&gt;0,SUMIFS(T_StockCount[CountedQty],T_StockCount[Part Name],$A29,T_StockCount[WeekIndex],34),IF((('T_SelfStock'!AI33&lt;&gt;""))*(('T_TTAFStock'!AI33&lt;&gt;""))&gt;0,'T_SelfStock'!AI33+'T_TTAFStock'!AI33,AH29+'Grid_Incoming'!AI29-'Grid_Requirement'!AI29))</f>
        <v/>
      </c>
      <c r="AJ29">
        <f>IF(COUNTIFS(T_StockCount[Part Name],$A29,T_StockCount[WeekIndex],35)&gt;0,SUMIFS(T_StockCount[CountedQty],T_StockCount[Part Name],$A29,T_StockCount[WeekIndex],35),IF((('T_SelfStock'!AJ33&lt;&gt;""))*(('T_TTAFStock'!AJ33&lt;&gt;""))&gt;0,'T_SelfStock'!AJ33+'T_TTAFStock'!AJ33,AI29+'Grid_Incoming'!AJ29-'Grid_Requirement'!AJ29))</f>
        <v/>
      </c>
      <c r="AK29">
        <f>IF(COUNTIFS(T_StockCount[Part Name],$A29,T_StockCount[WeekIndex],36)&gt;0,SUMIFS(T_StockCount[CountedQty],T_StockCount[Part Name],$A29,T_StockCount[WeekIndex],36),IF((('T_SelfStock'!AK33&lt;&gt;""))*(('T_TTAFStock'!AK33&lt;&gt;""))&gt;0,'T_SelfStock'!AK33+'T_TTAFStock'!AK33,AJ29+'Grid_Incoming'!AK29-'Grid_Requirement'!AK29))</f>
        <v/>
      </c>
      <c r="AL29">
        <f>IF(COUNTIFS(T_StockCount[Part Name],$A29,T_StockCount[WeekIndex],37)&gt;0,SUMIFS(T_StockCount[CountedQty],T_StockCount[Part Name],$A29,T_StockCount[WeekIndex],37),IF((('T_SelfStock'!AL33&lt;&gt;""))*(('T_TTAFStock'!AL33&lt;&gt;""))&gt;0,'T_SelfStock'!AL33+'T_TTAFStock'!AL33,AK29+'Grid_Incoming'!AL29-'Grid_Requirement'!AL29))</f>
        <v/>
      </c>
      <c r="AM29">
        <f>IF(COUNTIFS(T_StockCount[Part Name],$A29,T_StockCount[WeekIndex],38)&gt;0,SUMIFS(T_StockCount[CountedQty],T_StockCount[Part Name],$A29,T_StockCount[WeekIndex],38),IF((('T_SelfStock'!AM33&lt;&gt;""))*(('T_TTAFStock'!AM33&lt;&gt;""))&gt;0,'T_SelfStock'!AM33+'T_TTAFStock'!AM33,AL29+'Grid_Incoming'!AM29-'Grid_Requirement'!AM29))</f>
        <v/>
      </c>
      <c r="AN29">
        <f>IF(COUNTIFS(T_StockCount[Part Name],$A29,T_StockCount[WeekIndex],39)&gt;0,SUMIFS(T_StockCount[CountedQty],T_StockCount[Part Name],$A29,T_StockCount[WeekIndex],39),IF((('T_SelfStock'!AN33&lt;&gt;""))*(('T_TTAFStock'!AN33&lt;&gt;""))&gt;0,'T_SelfStock'!AN33+'T_TTAFStock'!AN33,AM29+'Grid_Incoming'!AN29-'Grid_Requirement'!AN29))</f>
        <v/>
      </c>
      <c r="AO29">
        <f>IF(COUNTIFS(T_StockCount[Part Name],$A29,T_StockCount[WeekIndex],40)&gt;0,SUMIFS(T_StockCount[CountedQty],T_StockCount[Part Name],$A29,T_StockCount[WeekIndex],40),IF((('T_SelfStock'!AO33&lt;&gt;""))*(('T_TTAFStock'!AO33&lt;&gt;""))&gt;0,'T_SelfStock'!AO33+'T_TTAFStock'!AO33,AN29+'Grid_Incoming'!AO29-'Grid_Requirement'!AO29))</f>
        <v/>
      </c>
      <c r="AP29">
        <f>IF(COUNTIFS(T_StockCount[Part Name],$A29,T_StockCount[WeekIndex],41)&gt;0,SUMIFS(T_StockCount[CountedQty],T_StockCount[Part Name],$A29,T_StockCount[WeekIndex],41),IF((('T_SelfStock'!AP33&lt;&gt;""))*(('T_TTAFStock'!AP33&lt;&gt;""))&gt;0,'T_SelfStock'!AP33+'T_TTAFStock'!AP33,AO29+'Grid_Incoming'!AP29-'Grid_Requirement'!AP29))</f>
        <v/>
      </c>
      <c r="AQ29">
        <f>IF(COUNTIFS(T_StockCount[Part Name],$A29,T_StockCount[WeekIndex],42)&gt;0,SUMIFS(T_StockCount[CountedQty],T_StockCount[Part Name],$A29,T_StockCount[WeekIndex],42),IF((('T_SelfStock'!AQ33&lt;&gt;""))*(('T_TTAFStock'!AQ33&lt;&gt;""))&gt;0,'T_SelfStock'!AQ33+'T_TTAFStock'!AQ33,AP29+'Grid_Incoming'!AQ29-'Grid_Requirement'!AQ29))</f>
        <v/>
      </c>
      <c r="AR29">
        <f>IF(COUNTIFS(T_StockCount[Part Name],$A29,T_StockCount[WeekIndex],43)&gt;0,SUMIFS(T_StockCount[CountedQty],T_StockCount[Part Name],$A29,T_StockCount[WeekIndex],43),IF((('T_SelfStock'!AR33&lt;&gt;""))*(('T_TTAFStock'!AR33&lt;&gt;""))&gt;0,'T_SelfStock'!AR33+'T_TTAFStock'!AR33,AQ29+'Grid_Incoming'!AR29-'Grid_Requirement'!AR29))</f>
        <v/>
      </c>
      <c r="AS29">
        <f>IF(COUNTIFS(T_StockCount[Part Name],$A29,T_StockCount[WeekIndex],44)&gt;0,SUMIFS(T_StockCount[CountedQty],T_StockCount[Part Name],$A29,T_StockCount[WeekIndex],44),IF((('T_SelfStock'!AS33&lt;&gt;""))*(('T_TTAFStock'!AS33&lt;&gt;""))&gt;0,'T_SelfStock'!AS33+'T_TTAFStock'!AS33,AR29+'Grid_Incoming'!AS29-'Grid_Requirement'!AS29))</f>
        <v/>
      </c>
      <c r="AT29">
        <f>IF(COUNTIFS(T_StockCount[Part Name],$A29,T_StockCount[WeekIndex],45)&gt;0,SUMIFS(T_StockCount[CountedQty],T_StockCount[Part Name],$A29,T_StockCount[WeekIndex],45),IF((('T_SelfStock'!AT33&lt;&gt;""))*(('T_TTAFStock'!AT33&lt;&gt;""))&gt;0,'T_SelfStock'!AT33+'T_TTAFStock'!AT33,AS29+'Grid_Incoming'!AT29-'Grid_Requirement'!AT29))</f>
        <v/>
      </c>
      <c r="AU29">
        <f>IF(COUNTIFS(T_StockCount[Part Name],$A29,T_StockCount[WeekIndex],46)&gt;0,SUMIFS(T_StockCount[CountedQty],T_StockCount[Part Name],$A29,T_StockCount[WeekIndex],46),IF((('T_SelfStock'!AU33&lt;&gt;""))*(('T_TTAFStock'!AU33&lt;&gt;""))&gt;0,'T_SelfStock'!AU33+'T_TTAFStock'!AU33,AT29+'Grid_Incoming'!AU29-'Grid_Requirement'!AU29))</f>
        <v/>
      </c>
      <c r="AV29">
        <f>IF(COUNTIFS(T_StockCount[Part Name],$A29,T_StockCount[WeekIndex],47)&gt;0,SUMIFS(T_StockCount[CountedQty],T_StockCount[Part Name],$A29,T_StockCount[WeekIndex],47),IF((('T_SelfStock'!AV33&lt;&gt;""))*(('T_TTAFStock'!AV33&lt;&gt;""))&gt;0,'T_SelfStock'!AV33+'T_TTAFStock'!AV33,AU29+'Grid_Incoming'!AV29-'Grid_Requirement'!AV29))</f>
        <v/>
      </c>
      <c r="AW29">
        <f>IF(COUNTIFS(T_StockCount[Part Name],$A29,T_StockCount[WeekIndex],48)&gt;0,SUMIFS(T_StockCount[CountedQty],T_StockCount[Part Name],$A29,T_StockCount[WeekIndex],48),IF((('T_SelfStock'!AW33&lt;&gt;""))*(('T_TTAFStock'!AW33&lt;&gt;""))&gt;0,'T_SelfStock'!AW33+'T_TTAFStock'!AW33,AV29+'Grid_Incoming'!AW29-'Grid_Requirement'!AW29))</f>
        <v/>
      </c>
      <c r="AX29">
        <f>IF(COUNTIFS(T_StockCount[Part Name],$A29,T_StockCount[WeekIndex],49)&gt;0,SUMIFS(T_StockCount[CountedQty],T_StockCount[Part Name],$A29,T_StockCount[WeekIndex],49),IF((('T_SelfStock'!AX33&lt;&gt;""))*(('T_TTAFStock'!AX33&lt;&gt;""))&gt;0,'T_SelfStock'!AX33+'T_TTAFStock'!AX33,AW29+'Grid_Incoming'!AX29-'Grid_Requirement'!AX29))</f>
        <v/>
      </c>
      <c r="AY29">
        <f>IF(COUNTIFS(T_StockCount[Part Name],$A29,T_StockCount[WeekIndex],50)&gt;0,SUMIFS(T_StockCount[CountedQty],T_StockCount[Part Name],$A29,T_StockCount[WeekIndex],50),IF((('T_SelfStock'!AY33&lt;&gt;""))*(('T_TTAFStock'!AY33&lt;&gt;""))&gt;0,'T_SelfStock'!AY33+'T_TTAFStock'!AY33,AX29+'Grid_Incoming'!AY29-'Grid_Requirement'!AY29))</f>
        <v/>
      </c>
      <c r="AZ29">
        <f>IF(COUNTIFS(T_StockCount[Part Name],$A29,T_StockCount[WeekIndex],51)&gt;0,SUMIFS(T_StockCount[CountedQty],T_StockCount[Part Name],$A29,T_StockCount[WeekIndex],51),IF((('T_SelfStock'!AZ33&lt;&gt;""))*(('T_TTAFStock'!AZ33&lt;&gt;""))&gt;0,'T_SelfStock'!AZ33+'T_TTAFStock'!AZ33,AY29+'Grid_Incoming'!AZ29-'Grid_Requirement'!AZ29))</f>
        <v/>
      </c>
      <c r="BA29">
        <f>IF(COUNTIFS(T_StockCount[Part Name],$A29,T_StockCount[WeekIndex],52)&gt;0,SUMIFS(T_StockCount[CountedQty],T_StockCount[Part Name],$A29,T_StockCount[WeekIndex],52),IF((('T_SelfStock'!BA33&lt;&gt;""))*(('T_TTAFStock'!BA33&lt;&gt;""))&gt;0,'T_SelfStock'!BA33+'T_TTAFStock'!BA33,AZ29+'Grid_Incoming'!BA29-'Grid_Requirement'!BA29))</f>
        <v/>
      </c>
      <c r="BB29">
        <f>IF(COUNTIFS(T_StockCount[Part Name],$A29,T_StockCount[WeekIndex],53)&gt;0,SUMIFS(T_StockCount[CountedQty],T_StockCount[Part Name],$A29,T_StockCount[WeekIndex],53),IF((('T_SelfStock'!BB33&lt;&gt;""))*(('T_TTAFStock'!BB33&lt;&gt;""))&gt;0,'T_SelfStock'!BB33+'T_TTAFStock'!BB33,BA29+'Grid_Incoming'!BB29-'Grid_Requirement'!BB29))</f>
        <v/>
      </c>
      <c r="BC29">
        <f>IF(COUNTIFS(T_StockCount[Part Name],$A29,T_StockCount[WeekIndex],54)&gt;0,SUMIFS(T_StockCount[CountedQty],T_StockCount[Part Name],$A29,T_StockCount[WeekIndex],54),IF((('T_SelfStock'!BC33&lt;&gt;""))*(('T_TTAFStock'!BC33&lt;&gt;""))&gt;0,'T_SelfStock'!BC33+'T_TTAFStock'!BC33,BB29+'Grid_Incoming'!BC29-'Grid_Requirement'!BC29))</f>
        <v/>
      </c>
      <c r="BD29">
        <f>IF(COUNTIFS(T_StockCount[Part Name],$A29,T_StockCount[WeekIndex],55)&gt;0,SUMIFS(T_StockCount[CountedQty],T_StockCount[Part Name],$A29,T_StockCount[WeekIndex],55),IF((('T_SelfStock'!BD33&lt;&gt;""))*(('T_TTAFStock'!BD33&lt;&gt;""))&gt;0,'T_SelfStock'!BD33+'T_TTAFStock'!BD33,BC29+'Grid_Incoming'!BD29-'Grid_Requirement'!BD29))</f>
        <v/>
      </c>
      <c r="BE29">
        <f>IF(COUNTIFS(T_StockCount[Part Name],$A29,T_StockCount[WeekIndex],56)&gt;0,SUMIFS(T_StockCount[CountedQty],T_StockCount[Part Name],$A29,T_StockCount[WeekIndex],56),IF((('T_SelfStock'!BE33&lt;&gt;""))*(('T_TTAFStock'!BE33&lt;&gt;""))&gt;0,'T_SelfStock'!BE33+'T_TTAFStock'!BE33,BD29+'Grid_Incoming'!BE29-'Grid_Requirement'!BE29))</f>
        <v/>
      </c>
      <c r="BF29">
        <f>IF(COUNTIFS(T_StockCount[Part Name],$A29,T_StockCount[WeekIndex],57)&gt;0,SUMIFS(T_StockCount[CountedQty],T_StockCount[Part Name],$A29,T_StockCount[WeekIndex],57),IF((('T_SelfStock'!BF33&lt;&gt;""))*(('T_TTAFStock'!BF33&lt;&gt;""))&gt;0,'T_SelfStock'!BF33+'T_TTAFStock'!BF33,BE29+'Grid_Incoming'!BF29-'Grid_Requirement'!BF29))</f>
        <v/>
      </c>
      <c r="BG29">
        <f>IF(COUNTIFS(T_StockCount[Part Name],$A29,T_StockCount[WeekIndex],58)&gt;0,SUMIFS(T_StockCount[CountedQty],T_StockCount[Part Name],$A29,T_StockCount[WeekIndex],58),IF((('T_SelfStock'!BG33&lt;&gt;""))*(('T_TTAFStock'!BG33&lt;&gt;""))&gt;0,'T_SelfStock'!BG33+'T_TTAFStock'!BG33,BF29+'Grid_Incoming'!BG29-'Grid_Requirement'!BG29))</f>
        <v/>
      </c>
      <c r="BH29">
        <f>IF(COUNTIFS(T_StockCount[Part Name],$A29,T_StockCount[WeekIndex],59)&gt;0,SUMIFS(T_StockCount[CountedQty],T_StockCount[Part Name],$A29,T_StockCount[WeekIndex],59),IF((('T_SelfStock'!BH33&lt;&gt;""))*(('T_TTAFStock'!BH33&lt;&gt;""))&gt;0,'T_SelfStock'!BH33+'T_TTAFStock'!BH33,BG29+'Grid_Incoming'!BH29-'Grid_Requirement'!BH29))</f>
        <v/>
      </c>
      <c r="BI29">
        <f>IF(COUNTIFS(T_StockCount[Part Name],$A29,T_StockCount[WeekIndex],60)&gt;0,SUMIFS(T_StockCount[CountedQty],T_StockCount[Part Name],$A29,T_StockCount[WeekIndex],60),IF((('T_SelfStock'!BI33&lt;&gt;""))*(('T_TTAFStock'!BI33&lt;&gt;""))&gt;0,'T_SelfStock'!BI33+'T_TTAFStock'!BI33,BH29+'Grid_Incoming'!BI29-'Grid_Requirement'!BI29))</f>
        <v/>
      </c>
      <c r="BJ29">
        <f>IF(COUNTIFS(T_StockCount[Part Name],$A29,T_StockCount[WeekIndex],61)&gt;0,SUMIFS(T_StockCount[CountedQty],T_StockCount[Part Name],$A29,T_StockCount[WeekIndex],61),IF((('T_SelfStock'!BJ33&lt;&gt;""))*(('T_TTAFStock'!BJ33&lt;&gt;""))&gt;0,'T_SelfStock'!BJ33+'T_TTAFStock'!BJ33,BI29+'Grid_Incoming'!BJ29-'Grid_Requirement'!BJ29))</f>
        <v/>
      </c>
      <c r="BK29">
        <f>IF(COUNTIFS(T_StockCount[Part Name],$A29,T_StockCount[WeekIndex],62)&gt;0,SUMIFS(T_StockCount[CountedQty],T_StockCount[Part Name],$A29,T_StockCount[WeekIndex],62),IF((('T_SelfStock'!BK33&lt;&gt;""))*(('T_TTAFStock'!BK33&lt;&gt;""))&gt;0,'T_SelfStock'!BK33+'T_TTAFStock'!BK33,BJ29+'Grid_Incoming'!BK29-'Grid_Requirement'!BK29))</f>
        <v/>
      </c>
      <c r="BL29">
        <f>IF(COUNTIFS(T_StockCount[Part Name],$A29,T_StockCount[WeekIndex],63)&gt;0,SUMIFS(T_StockCount[CountedQty],T_StockCount[Part Name],$A29,T_StockCount[WeekIndex],63),IF((('T_SelfStock'!BL33&lt;&gt;""))*(('T_TTAFStock'!BL33&lt;&gt;""))&gt;0,'T_SelfStock'!BL33+'T_TTAFStock'!BL33,BK29+'Grid_Incoming'!BL29-'Grid_Requirement'!BL29))</f>
        <v/>
      </c>
      <c r="BM29">
        <f>IF(COUNTIFS(T_StockCount[Part Name],$A29,T_StockCount[WeekIndex],64)&gt;0,SUMIFS(T_StockCount[CountedQty],T_StockCount[Part Name],$A29,T_StockCount[WeekIndex],64),IF((('T_SelfStock'!BM33&lt;&gt;""))*(('T_TTAFStock'!BM33&lt;&gt;""))&gt;0,'T_SelfStock'!BM33+'T_TTAFStock'!BM33,BL29+'Grid_Incoming'!BM29-'Grid_Requirement'!BM29))</f>
        <v/>
      </c>
      <c r="BN29">
        <f>IF(COUNTIFS(T_StockCount[Part Name],$A29,T_StockCount[WeekIndex],65)&gt;0,SUMIFS(T_StockCount[CountedQty],T_StockCount[Part Name],$A29,T_StockCount[WeekIndex],65),IF((('T_SelfStock'!BN33&lt;&gt;""))*(('T_TTAFStock'!BN33&lt;&gt;""))&gt;0,'T_SelfStock'!BN33+'T_TTAFStock'!BN33,BM29+'Grid_Incoming'!BN29-'Grid_Requirement'!BN29))</f>
        <v/>
      </c>
      <c r="BO29">
        <f>IF(COUNTIFS(T_StockCount[Part Name],$A29,T_StockCount[WeekIndex],66)&gt;0,SUMIFS(T_StockCount[CountedQty],T_StockCount[Part Name],$A29,T_StockCount[WeekIndex],66),IF((('T_SelfStock'!BO33&lt;&gt;""))*(('T_TTAFStock'!BO33&lt;&gt;""))&gt;0,'T_SelfStock'!BO33+'T_TTAFStock'!BO33,BN29+'Grid_Incoming'!BO29-'Grid_Requirement'!BO29))</f>
        <v/>
      </c>
      <c r="BP29">
        <f>IF(COUNTIFS(T_StockCount[Part Name],$A29,T_StockCount[WeekIndex],67)&gt;0,SUMIFS(T_StockCount[CountedQty],T_StockCount[Part Name],$A29,T_StockCount[WeekIndex],67),IF((('T_SelfStock'!BP33&lt;&gt;""))*(('T_TTAFStock'!BP33&lt;&gt;""))&gt;0,'T_SelfStock'!BP33+'T_TTAFStock'!BP33,BO29+'Grid_Incoming'!BP29-'Grid_Requirement'!BP29))</f>
        <v/>
      </c>
      <c r="BQ29">
        <f>IF(COUNTIFS(T_StockCount[Part Name],$A29,T_StockCount[WeekIndex],68)&gt;0,SUMIFS(T_StockCount[CountedQty],T_StockCount[Part Name],$A29,T_StockCount[WeekIndex],68),IF((('T_SelfStock'!BQ33&lt;&gt;""))*(('T_TTAFStock'!BQ33&lt;&gt;""))&gt;0,'T_SelfStock'!BQ33+'T_TTAFStock'!BQ33,BP29+'Grid_Incoming'!BQ29-'Grid_Requirement'!BQ29))</f>
        <v/>
      </c>
      <c r="BR29">
        <f>IF(COUNTIFS(T_StockCount[Part Name],$A29,T_StockCount[WeekIndex],69)&gt;0,SUMIFS(T_StockCount[CountedQty],T_StockCount[Part Name],$A29,T_StockCount[WeekIndex],69),IF((('T_SelfStock'!BR33&lt;&gt;""))*(('T_TTAFStock'!BR33&lt;&gt;""))&gt;0,'T_SelfStock'!BR33+'T_TTAFStock'!BR33,BQ29+'Grid_Incoming'!BR29-'Grid_Requirement'!BR29))</f>
        <v/>
      </c>
      <c r="BS29">
        <f>IF(COUNTIFS(T_StockCount[Part Name],$A29,T_StockCount[WeekIndex],70)&gt;0,SUMIFS(T_StockCount[CountedQty],T_StockCount[Part Name],$A29,T_StockCount[WeekIndex],70),IF((('T_SelfStock'!BS33&lt;&gt;""))*(('T_TTAFStock'!BS33&lt;&gt;""))&gt;0,'T_SelfStock'!BS33+'T_TTAFStock'!BS33,BR29+'Grid_Incoming'!BS29-'Grid_Requirement'!BS29))</f>
        <v/>
      </c>
      <c r="BT29">
        <f>IF(COUNTIFS(T_StockCount[Part Name],$A29,T_StockCount[WeekIndex],71)&gt;0,SUMIFS(T_StockCount[CountedQty],T_StockCount[Part Name],$A29,T_StockCount[WeekIndex],71),IF((('T_SelfStock'!BT33&lt;&gt;""))*(('T_TTAFStock'!BT33&lt;&gt;""))&gt;0,'T_SelfStock'!BT33+'T_TTAFStock'!BT33,BS29+'Grid_Incoming'!BT29-'Grid_Requirement'!BT29))</f>
        <v/>
      </c>
      <c r="BU29">
        <f>IF(COUNTIFS(T_StockCount[Part Name],$A29,T_StockCount[WeekIndex],72)&gt;0,SUMIFS(T_StockCount[CountedQty],T_StockCount[Part Name],$A29,T_StockCount[WeekIndex],72),IF((('T_SelfStock'!BU33&lt;&gt;""))*(('T_TTAFStock'!BU33&lt;&gt;""))&gt;0,'T_SelfStock'!BU33+'T_TTAFStock'!BU33,BT29+'Grid_Incoming'!BU29-'Grid_Requirement'!BU29))</f>
        <v/>
      </c>
      <c r="BV29">
        <f>IF(COUNTIFS(T_StockCount[Part Name],$A29,T_StockCount[WeekIndex],73)&gt;0,SUMIFS(T_StockCount[CountedQty],T_StockCount[Part Name],$A29,T_StockCount[WeekIndex],73),IF((('T_SelfStock'!BV33&lt;&gt;""))*(('T_TTAFStock'!BV33&lt;&gt;""))&gt;0,'T_SelfStock'!BV33+'T_TTAFStock'!BV33,BU29+'Grid_Incoming'!BV29-'Grid_Requirement'!BV29))</f>
        <v/>
      </c>
      <c r="BW29">
        <f>IF(COUNTIFS(T_StockCount[Part Name],$A29,T_StockCount[WeekIndex],74)&gt;0,SUMIFS(T_StockCount[CountedQty],T_StockCount[Part Name],$A29,T_StockCount[WeekIndex],74),IF((('T_SelfStock'!BW33&lt;&gt;""))*(('T_TTAFStock'!BW33&lt;&gt;""))&gt;0,'T_SelfStock'!BW33+'T_TTAFStock'!BW33,BV29+'Grid_Incoming'!BW29-'Grid_Requirement'!BW29))</f>
        <v/>
      </c>
      <c r="BX29">
        <f>IF(COUNTIFS(T_StockCount[Part Name],$A29,T_StockCount[WeekIndex],75)&gt;0,SUMIFS(T_StockCount[CountedQty],T_StockCount[Part Name],$A29,T_StockCount[WeekIndex],75),IF((('T_SelfStock'!BX33&lt;&gt;""))*(('T_TTAFStock'!BX33&lt;&gt;""))&gt;0,'T_SelfStock'!BX33+'T_TTAFStock'!BX33,BW29+'Grid_Incoming'!BX29-'Grid_Requirement'!BX29))</f>
        <v/>
      </c>
      <c r="BY29">
        <f>IF(COUNTIFS(T_StockCount[Part Name],$A29,T_StockCount[WeekIndex],76)&gt;0,SUMIFS(T_StockCount[CountedQty],T_StockCount[Part Name],$A29,T_StockCount[WeekIndex],76),IF((('T_SelfStock'!BY33&lt;&gt;""))*(('T_TTAFStock'!BY33&lt;&gt;""))&gt;0,'T_SelfStock'!BY33+'T_TTAFStock'!BY33,BX29+'Grid_Incoming'!BY29-'Grid_Requirement'!BY29))</f>
        <v/>
      </c>
      <c r="BZ29">
        <f>IF(COUNTIFS(T_StockCount[Part Name],$A29,T_StockCount[WeekIndex],77)&gt;0,SUMIFS(T_StockCount[CountedQty],T_StockCount[Part Name],$A29,T_StockCount[WeekIndex],77),IF((('T_SelfStock'!BZ33&lt;&gt;""))*(('T_TTAFStock'!BZ33&lt;&gt;""))&gt;0,'T_SelfStock'!BZ33+'T_TTAFStock'!BZ33,BY29+'Grid_Incoming'!BZ29-'Grid_Requirement'!BZ29))</f>
        <v/>
      </c>
      <c r="CA29">
        <f>IF(COUNTIFS(T_StockCount[Part Name],$A29,T_StockCount[WeekIndex],78)&gt;0,SUMIFS(T_StockCount[CountedQty],T_StockCount[Part Name],$A29,T_StockCount[WeekIndex],78),IF((('T_SelfStock'!CA33&lt;&gt;""))*(('T_TTAFStock'!CA33&lt;&gt;""))&gt;0,'T_SelfStock'!CA33+'T_TTAFStock'!CA33,BZ29+'Grid_Incoming'!CA29-'Grid_Requirement'!CA29))</f>
        <v/>
      </c>
      <c r="CB29">
        <f>IF(COUNTIFS(T_StockCount[Part Name],$A29,T_StockCount[WeekIndex],79)&gt;0,SUMIFS(T_StockCount[CountedQty],T_StockCount[Part Name],$A29,T_StockCount[WeekIndex],79),IF((('T_SelfStock'!CB33&lt;&gt;""))*(('T_TTAFStock'!CB33&lt;&gt;""))&gt;0,'T_SelfStock'!CB33+'T_TTAFStock'!CB33,CA29+'Grid_Incoming'!CB29-'Grid_Requirement'!CB29))</f>
        <v/>
      </c>
      <c r="CC29">
        <f>IF(COUNTIFS(T_StockCount[Part Name],$A29,T_StockCount[WeekIndex],80)&gt;0,SUMIFS(T_StockCount[CountedQty],T_StockCount[Part Name],$A29,T_StockCount[WeekIndex],80),IF((('T_SelfStock'!CC33&lt;&gt;""))*(('T_TTAFStock'!CC33&lt;&gt;""))&gt;0,'T_SelfStock'!CC33+'T_TTAFStock'!CC33,CB29+'Grid_Incoming'!CC29-'Grid_Requirement'!CC29))</f>
        <v/>
      </c>
      <c r="CD29">
        <f>IF(COUNTIFS(T_StockCount[Part Name],$A29,T_StockCount[WeekIndex],81)&gt;0,SUMIFS(T_StockCount[CountedQty],T_StockCount[Part Name],$A29,T_StockCount[WeekIndex],81),IF((('T_SelfStock'!CD33&lt;&gt;""))*(('T_TTAFStock'!CD33&lt;&gt;""))&gt;0,'T_SelfStock'!CD33+'T_TTAFStock'!CD33,CC29+'Grid_Incoming'!CD29-'Grid_Requirement'!CD29))</f>
        <v/>
      </c>
      <c r="CE29">
        <f>IF(COUNTIFS(T_StockCount[Part Name],$A29,T_StockCount[WeekIndex],82)&gt;0,SUMIFS(T_StockCount[CountedQty],T_StockCount[Part Name],$A29,T_StockCount[WeekIndex],82),IF((('T_SelfStock'!CE33&lt;&gt;""))*(('T_TTAFStock'!CE33&lt;&gt;""))&gt;0,'T_SelfStock'!CE33+'T_TTAFStock'!CE33,CD29+'Grid_Incoming'!CE29-'Grid_Requirement'!CE29))</f>
        <v/>
      </c>
      <c r="CF29">
        <f>IF(COUNTIFS(T_StockCount[Part Name],$A29,T_StockCount[WeekIndex],83)&gt;0,SUMIFS(T_StockCount[CountedQty],T_StockCount[Part Name],$A29,T_StockCount[WeekIndex],83),IF((('T_SelfStock'!CF33&lt;&gt;""))*(('T_TTAFStock'!CF33&lt;&gt;""))&gt;0,'T_SelfStock'!CF33+'T_TTAFStock'!CF33,CE29+'Grid_Incoming'!CF29-'Grid_Requirement'!CF29))</f>
        <v/>
      </c>
      <c r="CG29">
        <f>IF(COUNTIFS(T_StockCount[Part Name],$A29,T_StockCount[WeekIndex],84)&gt;0,SUMIFS(T_StockCount[CountedQty],T_StockCount[Part Name],$A29,T_StockCount[WeekIndex],84),IF((('T_SelfStock'!CG33&lt;&gt;""))*(('T_TTAFStock'!CG33&lt;&gt;""))&gt;0,'T_SelfStock'!CG33+'T_TTAFStock'!CG33,CF29+'Grid_Incoming'!CG29-'Grid_Requirement'!CG29))</f>
        <v/>
      </c>
      <c r="CH29">
        <f>IF(COUNTIFS(T_StockCount[Part Name],$A29,T_StockCount[WeekIndex],85)&gt;0,SUMIFS(T_StockCount[CountedQty],T_StockCount[Part Name],$A29,T_StockCount[WeekIndex],85),IF((('T_SelfStock'!CH33&lt;&gt;""))*(('T_TTAFStock'!CH33&lt;&gt;""))&gt;0,'T_SelfStock'!CH33+'T_TTAFStock'!CH33,CG29+'Grid_Incoming'!CH29-'Grid_Requirement'!CH29))</f>
        <v/>
      </c>
      <c r="CI29">
        <f>IF(COUNTIFS(T_StockCount[Part Name],$A29,T_StockCount[WeekIndex],86)&gt;0,SUMIFS(T_StockCount[CountedQty],T_StockCount[Part Name],$A29,T_StockCount[WeekIndex],86),IF((('T_SelfStock'!CI33&lt;&gt;""))*(('T_TTAFStock'!CI33&lt;&gt;""))&gt;0,'T_SelfStock'!CI33+'T_TTAFStock'!CI33,CH29+'Grid_Incoming'!CI29-'Grid_Requirement'!CI29))</f>
        <v/>
      </c>
      <c r="CJ29">
        <f>IF(COUNTIFS(T_StockCount[Part Name],$A29,T_StockCount[WeekIndex],87)&gt;0,SUMIFS(T_StockCount[CountedQty],T_StockCount[Part Name],$A29,T_StockCount[WeekIndex],87),IF((('T_SelfStock'!CJ33&lt;&gt;""))*(('T_TTAFStock'!CJ33&lt;&gt;""))&gt;0,'T_SelfStock'!CJ33+'T_TTAFStock'!CJ33,CI29+'Grid_Incoming'!CJ29-'Grid_Requirement'!CJ29))</f>
        <v/>
      </c>
      <c r="CK29">
        <f>IF(COUNTIFS(T_StockCount[Part Name],$A29,T_StockCount[WeekIndex],88)&gt;0,SUMIFS(T_StockCount[CountedQty],T_StockCount[Part Name],$A29,T_StockCount[WeekIndex],88),IF((('T_SelfStock'!CK33&lt;&gt;""))*(('T_TTAFStock'!CK33&lt;&gt;""))&gt;0,'T_SelfStock'!CK33+'T_TTAFStock'!CK33,CJ29+'Grid_Incoming'!CK29-'Grid_Requirement'!CK29))</f>
        <v/>
      </c>
      <c r="CL29">
        <f>IF(COUNTIFS(T_StockCount[Part Name],$A29,T_StockCount[WeekIndex],89)&gt;0,SUMIFS(T_StockCount[CountedQty],T_StockCount[Part Name],$A29,T_StockCount[WeekIndex],89),IF((('T_SelfStock'!CL33&lt;&gt;""))*(('T_TTAFStock'!CL33&lt;&gt;""))&gt;0,'T_SelfStock'!CL33+'T_TTAFStock'!CL33,CK29+'Grid_Incoming'!CL29-'Grid_Requirement'!CL29))</f>
        <v/>
      </c>
      <c r="CM29">
        <f>IF(COUNTIFS(T_StockCount[Part Name],$A29,T_StockCount[WeekIndex],90)&gt;0,SUMIFS(T_StockCount[CountedQty],T_StockCount[Part Name],$A29,T_StockCount[WeekIndex],90),IF((('T_SelfStock'!CM33&lt;&gt;""))*(('T_TTAFStock'!CM33&lt;&gt;""))&gt;0,'T_SelfStock'!CM33+'T_TTAFStock'!CM33,CL29+'Grid_Incoming'!CM29-'Grid_Requirement'!CM29))</f>
        <v/>
      </c>
      <c r="CN29">
        <f>IF(COUNTIFS(T_StockCount[Part Name],$A29,T_StockCount[WeekIndex],91)&gt;0,SUMIFS(T_StockCount[CountedQty],T_StockCount[Part Name],$A29,T_StockCount[WeekIndex],91),IF((('T_SelfStock'!CN33&lt;&gt;""))*(('T_TTAFStock'!CN33&lt;&gt;""))&gt;0,'T_SelfStock'!CN33+'T_TTAFStock'!CN33,CM29+'Grid_Incoming'!CN29-'Grid_Requirement'!CN29))</f>
        <v/>
      </c>
      <c r="CO29">
        <f>IF(COUNTIFS(T_StockCount[Part Name],$A29,T_StockCount[WeekIndex],92)&gt;0,SUMIFS(T_StockCount[CountedQty],T_StockCount[Part Name],$A29,T_StockCount[WeekIndex],92),IF((('T_SelfStock'!CO33&lt;&gt;""))*(('T_TTAFStock'!CO33&lt;&gt;""))&gt;0,'T_SelfStock'!CO33+'T_TTAFStock'!CO33,CN29+'Grid_Incoming'!CO29-'Grid_Requirement'!CO29))</f>
        <v/>
      </c>
      <c r="CP29">
        <f>IF(COUNTIFS(T_StockCount[Part Name],$A29,T_StockCount[WeekIndex],93)&gt;0,SUMIFS(T_StockCount[CountedQty],T_StockCount[Part Name],$A29,T_StockCount[WeekIndex],93),IF((('T_SelfStock'!CP33&lt;&gt;""))*(('T_TTAFStock'!CP33&lt;&gt;""))&gt;0,'T_SelfStock'!CP33+'T_TTAFStock'!CP33,CO29+'Grid_Incoming'!CP29-'Grid_Requirement'!CP29))</f>
        <v/>
      </c>
      <c r="CQ29">
        <f>IF(COUNTIFS(T_StockCount[Part Name],$A29,T_StockCount[WeekIndex],94)&gt;0,SUMIFS(T_StockCount[CountedQty],T_StockCount[Part Name],$A29,T_StockCount[WeekIndex],94),IF((('T_SelfStock'!CQ33&lt;&gt;""))*(('T_TTAFStock'!CQ33&lt;&gt;""))&gt;0,'T_SelfStock'!CQ33+'T_TTAFStock'!CQ33,CP29+'Grid_Incoming'!CQ29-'Grid_Requirement'!CQ29))</f>
        <v/>
      </c>
      <c r="CR29">
        <f>IF(COUNTIFS(T_StockCount[Part Name],$A29,T_StockCount[WeekIndex],95)&gt;0,SUMIFS(T_StockCount[CountedQty],T_StockCount[Part Name],$A29,T_StockCount[WeekIndex],95),IF((('T_SelfStock'!CR33&lt;&gt;""))*(('T_TTAFStock'!CR33&lt;&gt;""))&gt;0,'T_SelfStock'!CR33+'T_TTAFStock'!CR33,CQ29+'Grid_Incoming'!CR29-'Grid_Requirement'!CR29))</f>
        <v/>
      </c>
      <c r="CS29">
        <f>IF(COUNTIFS(T_StockCount[Part Name],$A29,T_StockCount[WeekIndex],96)&gt;0,SUMIFS(T_StockCount[CountedQty],T_StockCount[Part Name],$A29,T_StockCount[WeekIndex],96),IF((('T_SelfStock'!CS33&lt;&gt;""))*(('T_TTAFStock'!CS33&lt;&gt;""))&gt;0,'T_SelfStock'!CS33+'T_TTAFStock'!CS33,CR29+'Grid_Incoming'!CS29-'Grid_Requirement'!CS29))</f>
        <v/>
      </c>
      <c r="CT29">
        <f>IF(COUNTIFS(T_StockCount[Part Name],$A29,T_StockCount[WeekIndex],97)&gt;0,SUMIFS(T_StockCount[CountedQty],T_StockCount[Part Name],$A29,T_StockCount[WeekIndex],97),IF((('T_SelfStock'!CT33&lt;&gt;""))*(('T_TTAFStock'!CT33&lt;&gt;""))&gt;0,'T_SelfStock'!CT33+'T_TTAFStock'!CT33,CS29+'Grid_Incoming'!CT29-'Grid_Requirement'!CT29))</f>
        <v/>
      </c>
      <c r="CU29">
        <f>IF(COUNTIFS(T_StockCount[Part Name],$A29,T_StockCount[WeekIndex],98)&gt;0,SUMIFS(T_StockCount[CountedQty],T_StockCount[Part Name],$A29,T_StockCount[WeekIndex],98),IF((('T_SelfStock'!CU33&lt;&gt;""))*(('T_TTAFStock'!CU33&lt;&gt;""))&gt;0,'T_SelfStock'!CU33+'T_TTAFStock'!CU33,CT29+'Grid_Incoming'!CU29-'Grid_Requirement'!CU29))</f>
        <v/>
      </c>
      <c r="CV29">
        <f>IF(COUNTIFS(T_StockCount[Part Name],$A29,T_StockCount[WeekIndex],99)&gt;0,SUMIFS(T_StockCount[CountedQty],T_StockCount[Part Name],$A29,T_StockCount[WeekIndex],99),IF((('T_SelfStock'!CV33&lt;&gt;""))*(('T_TTAFStock'!CV33&lt;&gt;""))&gt;0,'T_SelfStock'!CV33+'T_TTAFStock'!CV33,CU29+'Grid_Incoming'!CV29-'Grid_Requirement'!CV29))</f>
        <v/>
      </c>
      <c r="CW29">
        <f>IF(COUNTIFS(T_StockCount[Part Name],$A29,T_StockCount[WeekIndex],100)&gt;0,SUMIFS(T_StockCount[CountedQty],T_StockCount[Part Name],$A29,T_StockCount[WeekIndex],100),IF((('T_SelfStock'!CW33&lt;&gt;""))*(('T_TTAFStock'!CW33&lt;&gt;""))&gt;0,'T_SelfStock'!CW33+'T_TTAFStock'!CW33,CV29+'Grid_Incoming'!CW29-'Grid_Requirement'!CW29))</f>
        <v/>
      </c>
      <c r="CX29">
        <f>IF(COUNTIFS(T_StockCount[Part Name],$A29,T_StockCount[WeekIndex],101)&gt;0,SUMIFS(T_StockCount[CountedQty],T_StockCount[Part Name],$A29,T_StockCount[WeekIndex],101),IF((('T_SelfStock'!CX33&lt;&gt;""))*(('T_TTAFStock'!CX33&lt;&gt;""))&gt;0,'T_SelfStock'!CX33+'T_TTAFStock'!CX33,CW29+'Grid_Incoming'!CX29-'Grid_Requirement'!CX29))</f>
        <v/>
      </c>
      <c r="CY29">
        <f>IF(COUNTIFS(T_StockCount[Part Name],$A29,T_StockCount[WeekIndex],102)&gt;0,SUMIFS(T_StockCount[CountedQty],T_StockCount[Part Name],$A29,T_StockCount[WeekIndex],102),IF((('T_SelfStock'!CY33&lt;&gt;""))*(('T_TTAFStock'!CY33&lt;&gt;""))&gt;0,'T_SelfStock'!CY33+'T_TTAFStock'!CY33,CX29+'Grid_Incoming'!CY29-'Grid_Requirement'!CY29))</f>
        <v/>
      </c>
      <c r="CZ29">
        <f>IF(COUNTIFS(T_StockCount[Part Name],$A29,T_StockCount[WeekIndex],103)&gt;0,SUMIFS(T_StockCount[CountedQty],T_StockCount[Part Name],$A29,T_StockCount[WeekIndex],103),IF((('T_SelfStock'!CZ33&lt;&gt;""))*(('T_TTAFStock'!CZ33&lt;&gt;""))&gt;0,'T_SelfStock'!CZ33+'T_TTAFStock'!CZ33,CY29+'Grid_Incoming'!CZ29-'Grid_Requirement'!CZ29))</f>
        <v/>
      </c>
      <c r="DA29">
        <f>IF(COUNTIFS(T_StockCount[Part Name],$A29,T_StockCount[WeekIndex],104)&gt;0,SUMIFS(T_StockCount[CountedQty],T_StockCount[Part Name],$A29,T_StockCount[WeekIndex],104),IF((('T_SelfStock'!DA33&lt;&gt;""))*(('T_TTAFStock'!DA33&lt;&gt;""))&gt;0,'T_SelfStock'!DA33+'T_TTAFStock'!DA33,CZ29+'Grid_Incoming'!DA29-'Grid_Requirement'!DA29))</f>
        <v/>
      </c>
    </row>
    <row r="30">
      <c r="A30" t="inlineStr">
        <is>
          <t>TDJ</t>
        </is>
      </c>
      <c r="B30">
        <f>IF(COUNTIFS(T_StockCount[Part Name],$A30,T_StockCount[WeekIndex],1)&gt;0,SUMIFS(T_StockCount[CountedQty],T_StockCount[Part Name],$A30,T_StockCount[WeekIndex],1),IF((('T_SelfStock'!B34&lt;&gt;""))*(('T_TTAFStock'!B34&lt;&gt;""))&gt;0,'T_SelfStock'!B34+'T_TTAFStock'!B34,IFERROR(INDEX(T_OpeningStock[Opening_Qty],MATCH($A30,T_OpeningStock[Part Name],0)),0)+'Grid_Incoming'!B30-'Grid_Requirement'!B30))</f>
        <v/>
      </c>
      <c r="C30">
        <f>IF(COUNTIFS(T_StockCount[Part Name],$A30,T_StockCount[WeekIndex],2)&gt;0,SUMIFS(T_StockCount[CountedQty],T_StockCount[Part Name],$A30,T_StockCount[WeekIndex],2),IF((('T_SelfStock'!C34&lt;&gt;""))*(('T_TTAFStock'!C34&lt;&gt;""))&gt;0,'T_SelfStock'!C34+'T_TTAFStock'!C34,B30+'Grid_Incoming'!C30-'Grid_Requirement'!C30))</f>
        <v/>
      </c>
      <c r="D30">
        <f>IF(COUNTIFS(T_StockCount[Part Name],$A30,T_StockCount[WeekIndex],3)&gt;0,SUMIFS(T_StockCount[CountedQty],T_StockCount[Part Name],$A30,T_StockCount[WeekIndex],3),IF((('T_SelfStock'!D34&lt;&gt;""))*(('T_TTAFStock'!D34&lt;&gt;""))&gt;0,'T_SelfStock'!D34+'T_TTAFStock'!D34,C30+'Grid_Incoming'!D30-'Grid_Requirement'!D30))</f>
        <v/>
      </c>
      <c r="E30">
        <f>IF(COUNTIFS(T_StockCount[Part Name],$A30,T_StockCount[WeekIndex],4)&gt;0,SUMIFS(T_StockCount[CountedQty],T_StockCount[Part Name],$A30,T_StockCount[WeekIndex],4),IF((('T_SelfStock'!E34&lt;&gt;""))*(('T_TTAFStock'!E34&lt;&gt;""))&gt;0,'T_SelfStock'!E34+'T_TTAFStock'!E34,D30+'Grid_Incoming'!E30-'Grid_Requirement'!E30))</f>
        <v/>
      </c>
      <c r="F30">
        <f>IF(COUNTIFS(T_StockCount[Part Name],$A30,T_StockCount[WeekIndex],5)&gt;0,SUMIFS(T_StockCount[CountedQty],T_StockCount[Part Name],$A30,T_StockCount[WeekIndex],5),IF((('T_SelfStock'!F34&lt;&gt;""))*(('T_TTAFStock'!F34&lt;&gt;""))&gt;0,'T_SelfStock'!F34+'T_TTAFStock'!F34,E30+'Grid_Incoming'!F30-'Grid_Requirement'!F30))</f>
        <v/>
      </c>
      <c r="G30">
        <f>IF(COUNTIFS(T_StockCount[Part Name],$A30,T_StockCount[WeekIndex],6)&gt;0,SUMIFS(T_StockCount[CountedQty],T_StockCount[Part Name],$A30,T_StockCount[WeekIndex],6),IF((('T_SelfStock'!G34&lt;&gt;""))*(('T_TTAFStock'!G34&lt;&gt;""))&gt;0,'T_SelfStock'!G34+'T_TTAFStock'!G34,F30+'Grid_Incoming'!G30-'Grid_Requirement'!G30))</f>
        <v/>
      </c>
      <c r="H30">
        <f>IF(COUNTIFS(T_StockCount[Part Name],$A30,T_StockCount[WeekIndex],7)&gt;0,SUMIFS(T_StockCount[CountedQty],T_StockCount[Part Name],$A30,T_StockCount[WeekIndex],7),IF((('T_SelfStock'!H34&lt;&gt;""))*(('T_TTAFStock'!H34&lt;&gt;""))&gt;0,'T_SelfStock'!H34+'T_TTAFStock'!H34,G30+'Grid_Incoming'!H30-'Grid_Requirement'!H30))</f>
        <v/>
      </c>
      <c r="I30">
        <f>IF(COUNTIFS(T_StockCount[Part Name],$A30,T_StockCount[WeekIndex],8)&gt;0,SUMIFS(T_StockCount[CountedQty],T_StockCount[Part Name],$A30,T_StockCount[WeekIndex],8),IF((('T_SelfStock'!I34&lt;&gt;""))*(('T_TTAFStock'!I34&lt;&gt;""))&gt;0,'T_SelfStock'!I34+'T_TTAFStock'!I34,H30+'Grid_Incoming'!I30-'Grid_Requirement'!I30))</f>
        <v/>
      </c>
      <c r="J30">
        <f>IF(COUNTIFS(T_StockCount[Part Name],$A30,T_StockCount[WeekIndex],9)&gt;0,SUMIFS(T_StockCount[CountedQty],T_StockCount[Part Name],$A30,T_StockCount[WeekIndex],9),IF((('T_SelfStock'!J34&lt;&gt;""))*(('T_TTAFStock'!J34&lt;&gt;""))&gt;0,'T_SelfStock'!J34+'T_TTAFStock'!J34,I30+'Grid_Incoming'!J30-'Grid_Requirement'!J30))</f>
        <v/>
      </c>
      <c r="K30">
        <f>IF(COUNTIFS(T_StockCount[Part Name],$A30,T_StockCount[WeekIndex],10)&gt;0,SUMIFS(T_StockCount[CountedQty],T_StockCount[Part Name],$A30,T_StockCount[WeekIndex],10),IF((('T_SelfStock'!K34&lt;&gt;""))*(('T_TTAFStock'!K34&lt;&gt;""))&gt;0,'T_SelfStock'!K34+'T_TTAFStock'!K34,J30+'Grid_Incoming'!K30-'Grid_Requirement'!K30))</f>
        <v/>
      </c>
      <c r="L30">
        <f>IF(COUNTIFS(T_StockCount[Part Name],$A30,T_StockCount[WeekIndex],11)&gt;0,SUMIFS(T_StockCount[CountedQty],T_StockCount[Part Name],$A30,T_StockCount[WeekIndex],11),IF((('T_SelfStock'!L34&lt;&gt;""))*(('T_TTAFStock'!L34&lt;&gt;""))&gt;0,'T_SelfStock'!L34+'T_TTAFStock'!L34,K30+'Grid_Incoming'!L30-'Grid_Requirement'!L30))</f>
        <v/>
      </c>
      <c r="M30">
        <f>IF(COUNTIFS(T_StockCount[Part Name],$A30,T_StockCount[WeekIndex],12)&gt;0,SUMIFS(T_StockCount[CountedQty],T_StockCount[Part Name],$A30,T_StockCount[WeekIndex],12),IF((('T_SelfStock'!M34&lt;&gt;""))*(('T_TTAFStock'!M34&lt;&gt;""))&gt;0,'T_SelfStock'!M34+'T_TTAFStock'!M34,L30+'Grid_Incoming'!M30-'Grid_Requirement'!M30))</f>
        <v/>
      </c>
      <c r="N30">
        <f>IF(COUNTIFS(T_StockCount[Part Name],$A30,T_StockCount[WeekIndex],13)&gt;0,SUMIFS(T_StockCount[CountedQty],T_StockCount[Part Name],$A30,T_StockCount[WeekIndex],13),IF((('T_SelfStock'!N34&lt;&gt;""))*(('T_TTAFStock'!N34&lt;&gt;""))&gt;0,'T_SelfStock'!N34+'T_TTAFStock'!N34,M30+'Grid_Incoming'!N30-'Grid_Requirement'!N30))</f>
        <v/>
      </c>
      <c r="O30">
        <f>IF(COUNTIFS(T_StockCount[Part Name],$A30,T_StockCount[WeekIndex],14)&gt;0,SUMIFS(T_StockCount[CountedQty],T_StockCount[Part Name],$A30,T_StockCount[WeekIndex],14),IF((('T_SelfStock'!O34&lt;&gt;""))*(('T_TTAFStock'!O34&lt;&gt;""))&gt;0,'T_SelfStock'!O34+'T_TTAFStock'!O34,N30+'Grid_Incoming'!O30-'Grid_Requirement'!O30))</f>
        <v/>
      </c>
      <c r="P30">
        <f>IF(COUNTIFS(T_StockCount[Part Name],$A30,T_StockCount[WeekIndex],15)&gt;0,SUMIFS(T_StockCount[CountedQty],T_StockCount[Part Name],$A30,T_StockCount[WeekIndex],15),IF((('T_SelfStock'!P34&lt;&gt;""))*(('T_TTAFStock'!P34&lt;&gt;""))&gt;0,'T_SelfStock'!P34+'T_TTAFStock'!P34,O30+'Grid_Incoming'!P30-'Grid_Requirement'!P30))</f>
        <v/>
      </c>
      <c r="Q30">
        <f>IF(COUNTIFS(T_StockCount[Part Name],$A30,T_StockCount[WeekIndex],16)&gt;0,SUMIFS(T_StockCount[CountedQty],T_StockCount[Part Name],$A30,T_StockCount[WeekIndex],16),IF((('T_SelfStock'!Q34&lt;&gt;""))*(('T_TTAFStock'!Q34&lt;&gt;""))&gt;0,'T_SelfStock'!Q34+'T_TTAFStock'!Q34,P30+'Grid_Incoming'!Q30-'Grid_Requirement'!Q30))</f>
        <v/>
      </c>
      <c r="R30">
        <f>IF(COUNTIFS(T_StockCount[Part Name],$A30,T_StockCount[WeekIndex],17)&gt;0,SUMIFS(T_StockCount[CountedQty],T_StockCount[Part Name],$A30,T_StockCount[WeekIndex],17),IF((('T_SelfStock'!R34&lt;&gt;""))*(('T_TTAFStock'!R34&lt;&gt;""))&gt;0,'T_SelfStock'!R34+'T_TTAFStock'!R34,Q30+'Grid_Incoming'!R30-'Grid_Requirement'!R30))</f>
        <v/>
      </c>
      <c r="S30">
        <f>IF(COUNTIFS(T_StockCount[Part Name],$A30,T_StockCount[WeekIndex],18)&gt;0,SUMIFS(T_StockCount[CountedQty],T_StockCount[Part Name],$A30,T_StockCount[WeekIndex],18),IF((('T_SelfStock'!S34&lt;&gt;""))*(('T_TTAFStock'!S34&lt;&gt;""))&gt;0,'T_SelfStock'!S34+'T_TTAFStock'!S34,R30+'Grid_Incoming'!S30-'Grid_Requirement'!S30))</f>
        <v/>
      </c>
      <c r="T30">
        <f>IF(COUNTIFS(T_StockCount[Part Name],$A30,T_StockCount[WeekIndex],19)&gt;0,SUMIFS(T_StockCount[CountedQty],T_StockCount[Part Name],$A30,T_StockCount[WeekIndex],19),IF((('T_SelfStock'!T34&lt;&gt;""))*(('T_TTAFStock'!T34&lt;&gt;""))&gt;0,'T_SelfStock'!T34+'T_TTAFStock'!T34,S30+'Grid_Incoming'!T30-'Grid_Requirement'!T30))</f>
        <v/>
      </c>
      <c r="U30">
        <f>IF(COUNTIFS(T_StockCount[Part Name],$A30,T_StockCount[WeekIndex],20)&gt;0,SUMIFS(T_StockCount[CountedQty],T_StockCount[Part Name],$A30,T_StockCount[WeekIndex],20),IF((('T_SelfStock'!U34&lt;&gt;""))*(('T_TTAFStock'!U34&lt;&gt;""))&gt;0,'T_SelfStock'!U34+'T_TTAFStock'!U34,T30+'Grid_Incoming'!U30-'Grid_Requirement'!U30))</f>
        <v/>
      </c>
      <c r="V30">
        <f>IF(COUNTIFS(T_StockCount[Part Name],$A30,T_StockCount[WeekIndex],21)&gt;0,SUMIFS(T_StockCount[CountedQty],T_StockCount[Part Name],$A30,T_StockCount[WeekIndex],21),IF((('T_SelfStock'!V34&lt;&gt;""))*(('T_TTAFStock'!V34&lt;&gt;""))&gt;0,'T_SelfStock'!V34+'T_TTAFStock'!V34,U30+'Grid_Incoming'!V30-'Grid_Requirement'!V30))</f>
        <v/>
      </c>
      <c r="W30">
        <f>IF(COUNTIFS(T_StockCount[Part Name],$A30,T_StockCount[WeekIndex],22)&gt;0,SUMIFS(T_StockCount[CountedQty],T_StockCount[Part Name],$A30,T_StockCount[WeekIndex],22),IF((('T_SelfStock'!W34&lt;&gt;""))*(('T_TTAFStock'!W34&lt;&gt;""))&gt;0,'T_SelfStock'!W34+'T_TTAFStock'!W34,V30+'Grid_Incoming'!W30-'Grid_Requirement'!W30))</f>
        <v/>
      </c>
      <c r="X30">
        <f>IF(COUNTIFS(T_StockCount[Part Name],$A30,T_StockCount[WeekIndex],23)&gt;0,SUMIFS(T_StockCount[CountedQty],T_StockCount[Part Name],$A30,T_StockCount[WeekIndex],23),IF((('T_SelfStock'!X34&lt;&gt;""))*(('T_TTAFStock'!X34&lt;&gt;""))&gt;0,'T_SelfStock'!X34+'T_TTAFStock'!X34,W30+'Grid_Incoming'!X30-'Grid_Requirement'!X30))</f>
        <v/>
      </c>
      <c r="Y30">
        <f>IF(COUNTIFS(T_StockCount[Part Name],$A30,T_StockCount[WeekIndex],24)&gt;0,SUMIFS(T_StockCount[CountedQty],T_StockCount[Part Name],$A30,T_StockCount[WeekIndex],24),IF((('T_SelfStock'!Y34&lt;&gt;""))*(('T_TTAFStock'!Y34&lt;&gt;""))&gt;0,'T_SelfStock'!Y34+'T_TTAFStock'!Y34,X30+'Grid_Incoming'!Y30-'Grid_Requirement'!Y30))</f>
        <v/>
      </c>
      <c r="Z30">
        <f>IF(COUNTIFS(T_StockCount[Part Name],$A30,T_StockCount[WeekIndex],25)&gt;0,SUMIFS(T_StockCount[CountedQty],T_StockCount[Part Name],$A30,T_StockCount[WeekIndex],25),IF((('T_SelfStock'!Z34&lt;&gt;""))*(('T_TTAFStock'!Z34&lt;&gt;""))&gt;0,'T_SelfStock'!Z34+'T_TTAFStock'!Z34,Y30+'Grid_Incoming'!Z30-'Grid_Requirement'!Z30))</f>
        <v/>
      </c>
      <c r="AA30">
        <f>IF(COUNTIFS(T_StockCount[Part Name],$A30,T_StockCount[WeekIndex],26)&gt;0,SUMIFS(T_StockCount[CountedQty],T_StockCount[Part Name],$A30,T_StockCount[WeekIndex],26),IF((('T_SelfStock'!AA34&lt;&gt;""))*(('T_TTAFStock'!AA34&lt;&gt;""))&gt;0,'T_SelfStock'!AA34+'T_TTAFStock'!AA34,Z30+'Grid_Incoming'!AA30-'Grid_Requirement'!AA30))</f>
        <v/>
      </c>
      <c r="AB30">
        <f>IF(COUNTIFS(T_StockCount[Part Name],$A30,T_StockCount[WeekIndex],27)&gt;0,SUMIFS(T_StockCount[CountedQty],T_StockCount[Part Name],$A30,T_StockCount[WeekIndex],27),IF((('T_SelfStock'!AB34&lt;&gt;""))*(('T_TTAFStock'!AB34&lt;&gt;""))&gt;0,'T_SelfStock'!AB34+'T_TTAFStock'!AB34,AA30+'Grid_Incoming'!AB30-'Grid_Requirement'!AB30))</f>
        <v/>
      </c>
      <c r="AC30">
        <f>IF(COUNTIFS(T_StockCount[Part Name],$A30,T_StockCount[WeekIndex],28)&gt;0,SUMIFS(T_StockCount[CountedQty],T_StockCount[Part Name],$A30,T_StockCount[WeekIndex],28),IF((('T_SelfStock'!AC34&lt;&gt;""))*(('T_TTAFStock'!AC34&lt;&gt;""))&gt;0,'T_SelfStock'!AC34+'T_TTAFStock'!AC34,AB30+'Grid_Incoming'!AC30-'Grid_Requirement'!AC30))</f>
        <v/>
      </c>
      <c r="AD30">
        <f>IF(COUNTIFS(T_StockCount[Part Name],$A30,T_StockCount[WeekIndex],29)&gt;0,SUMIFS(T_StockCount[CountedQty],T_StockCount[Part Name],$A30,T_StockCount[WeekIndex],29),IF((('T_SelfStock'!AD34&lt;&gt;""))*(('T_TTAFStock'!AD34&lt;&gt;""))&gt;0,'T_SelfStock'!AD34+'T_TTAFStock'!AD34,AC30+'Grid_Incoming'!AD30-'Grid_Requirement'!AD30))</f>
        <v/>
      </c>
      <c r="AE30">
        <f>IF(COUNTIFS(T_StockCount[Part Name],$A30,T_StockCount[WeekIndex],30)&gt;0,SUMIFS(T_StockCount[CountedQty],T_StockCount[Part Name],$A30,T_StockCount[WeekIndex],30),IF((('T_SelfStock'!AE34&lt;&gt;""))*(('T_TTAFStock'!AE34&lt;&gt;""))&gt;0,'T_SelfStock'!AE34+'T_TTAFStock'!AE34,AD30+'Grid_Incoming'!AE30-'Grid_Requirement'!AE30))</f>
        <v/>
      </c>
      <c r="AF30">
        <f>IF(COUNTIFS(T_StockCount[Part Name],$A30,T_StockCount[WeekIndex],31)&gt;0,SUMIFS(T_StockCount[CountedQty],T_StockCount[Part Name],$A30,T_StockCount[WeekIndex],31),IF((('T_SelfStock'!AF34&lt;&gt;""))*(('T_TTAFStock'!AF34&lt;&gt;""))&gt;0,'T_SelfStock'!AF34+'T_TTAFStock'!AF34,AE30+'Grid_Incoming'!AF30-'Grid_Requirement'!AF30))</f>
        <v/>
      </c>
      <c r="AG30">
        <f>IF(COUNTIFS(T_StockCount[Part Name],$A30,T_StockCount[WeekIndex],32)&gt;0,SUMIFS(T_StockCount[CountedQty],T_StockCount[Part Name],$A30,T_StockCount[WeekIndex],32),IF((('T_SelfStock'!AG34&lt;&gt;""))*(('T_TTAFStock'!AG34&lt;&gt;""))&gt;0,'T_SelfStock'!AG34+'T_TTAFStock'!AG34,AF30+'Grid_Incoming'!AG30-'Grid_Requirement'!AG30))</f>
        <v/>
      </c>
      <c r="AH30">
        <f>IF(COUNTIFS(T_StockCount[Part Name],$A30,T_StockCount[WeekIndex],33)&gt;0,SUMIFS(T_StockCount[CountedQty],T_StockCount[Part Name],$A30,T_StockCount[WeekIndex],33),IF((('T_SelfStock'!AH34&lt;&gt;""))*(('T_TTAFStock'!AH34&lt;&gt;""))&gt;0,'T_SelfStock'!AH34+'T_TTAFStock'!AH34,AG30+'Grid_Incoming'!AH30-'Grid_Requirement'!AH30))</f>
        <v/>
      </c>
      <c r="AI30">
        <f>IF(COUNTIFS(T_StockCount[Part Name],$A30,T_StockCount[WeekIndex],34)&gt;0,SUMIFS(T_StockCount[CountedQty],T_StockCount[Part Name],$A30,T_StockCount[WeekIndex],34),IF((('T_SelfStock'!AI34&lt;&gt;""))*(('T_TTAFStock'!AI34&lt;&gt;""))&gt;0,'T_SelfStock'!AI34+'T_TTAFStock'!AI34,AH30+'Grid_Incoming'!AI30-'Grid_Requirement'!AI30))</f>
        <v/>
      </c>
      <c r="AJ30">
        <f>IF(COUNTIFS(T_StockCount[Part Name],$A30,T_StockCount[WeekIndex],35)&gt;0,SUMIFS(T_StockCount[CountedQty],T_StockCount[Part Name],$A30,T_StockCount[WeekIndex],35),IF((('T_SelfStock'!AJ34&lt;&gt;""))*(('T_TTAFStock'!AJ34&lt;&gt;""))&gt;0,'T_SelfStock'!AJ34+'T_TTAFStock'!AJ34,AI30+'Grid_Incoming'!AJ30-'Grid_Requirement'!AJ30))</f>
        <v/>
      </c>
      <c r="AK30">
        <f>IF(COUNTIFS(T_StockCount[Part Name],$A30,T_StockCount[WeekIndex],36)&gt;0,SUMIFS(T_StockCount[CountedQty],T_StockCount[Part Name],$A30,T_StockCount[WeekIndex],36),IF((('T_SelfStock'!AK34&lt;&gt;""))*(('T_TTAFStock'!AK34&lt;&gt;""))&gt;0,'T_SelfStock'!AK34+'T_TTAFStock'!AK34,AJ30+'Grid_Incoming'!AK30-'Grid_Requirement'!AK30))</f>
        <v/>
      </c>
      <c r="AL30">
        <f>IF(COUNTIFS(T_StockCount[Part Name],$A30,T_StockCount[WeekIndex],37)&gt;0,SUMIFS(T_StockCount[CountedQty],T_StockCount[Part Name],$A30,T_StockCount[WeekIndex],37),IF((('T_SelfStock'!AL34&lt;&gt;""))*(('T_TTAFStock'!AL34&lt;&gt;""))&gt;0,'T_SelfStock'!AL34+'T_TTAFStock'!AL34,AK30+'Grid_Incoming'!AL30-'Grid_Requirement'!AL30))</f>
        <v/>
      </c>
      <c r="AM30">
        <f>IF(COUNTIFS(T_StockCount[Part Name],$A30,T_StockCount[WeekIndex],38)&gt;0,SUMIFS(T_StockCount[CountedQty],T_StockCount[Part Name],$A30,T_StockCount[WeekIndex],38),IF((('T_SelfStock'!AM34&lt;&gt;""))*(('T_TTAFStock'!AM34&lt;&gt;""))&gt;0,'T_SelfStock'!AM34+'T_TTAFStock'!AM34,AL30+'Grid_Incoming'!AM30-'Grid_Requirement'!AM30))</f>
        <v/>
      </c>
      <c r="AN30">
        <f>IF(COUNTIFS(T_StockCount[Part Name],$A30,T_StockCount[WeekIndex],39)&gt;0,SUMIFS(T_StockCount[CountedQty],T_StockCount[Part Name],$A30,T_StockCount[WeekIndex],39),IF((('T_SelfStock'!AN34&lt;&gt;""))*(('T_TTAFStock'!AN34&lt;&gt;""))&gt;0,'T_SelfStock'!AN34+'T_TTAFStock'!AN34,AM30+'Grid_Incoming'!AN30-'Grid_Requirement'!AN30))</f>
        <v/>
      </c>
      <c r="AO30">
        <f>IF(COUNTIFS(T_StockCount[Part Name],$A30,T_StockCount[WeekIndex],40)&gt;0,SUMIFS(T_StockCount[CountedQty],T_StockCount[Part Name],$A30,T_StockCount[WeekIndex],40),IF((('T_SelfStock'!AO34&lt;&gt;""))*(('T_TTAFStock'!AO34&lt;&gt;""))&gt;0,'T_SelfStock'!AO34+'T_TTAFStock'!AO34,AN30+'Grid_Incoming'!AO30-'Grid_Requirement'!AO30))</f>
        <v/>
      </c>
      <c r="AP30">
        <f>IF(COUNTIFS(T_StockCount[Part Name],$A30,T_StockCount[WeekIndex],41)&gt;0,SUMIFS(T_StockCount[CountedQty],T_StockCount[Part Name],$A30,T_StockCount[WeekIndex],41),IF((('T_SelfStock'!AP34&lt;&gt;""))*(('T_TTAFStock'!AP34&lt;&gt;""))&gt;0,'T_SelfStock'!AP34+'T_TTAFStock'!AP34,AO30+'Grid_Incoming'!AP30-'Grid_Requirement'!AP30))</f>
        <v/>
      </c>
      <c r="AQ30">
        <f>IF(COUNTIFS(T_StockCount[Part Name],$A30,T_StockCount[WeekIndex],42)&gt;0,SUMIFS(T_StockCount[CountedQty],T_StockCount[Part Name],$A30,T_StockCount[WeekIndex],42),IF((('T_SelfStock'!AQ34&lt;&gt;""))*(('T_TTAFStock'!AQ34&lt;&gt;""))&gt;0,'T_SelfStock'!AQ34+'T_TTAFStock'!AQ34,AP30+'Grid_Incoming'!AQ30-'Grid_Requirement'!AQ30))</f>
        <v/>
      </c>
      <c r="AR30">
        <f>IF(COUNTIFS(T_StockCount[Part Name],$A30,T_StockCount[WeekIndex],43)&gt;0,SUMIFS(T_StockCount[CountedQty],T_StockCount[Part Name],$A30,T_StockCount[WeekIndex],43),IF((('T_SelfStock'!AR34&lt;&gt;""))*(('T_TTAFStock'!AR34&lt;&gt;""))&gt;0,'T_SelfStock'!AR34+'T_TTAFStock'!AR34,AQ30+'Grid_Incoming'!AR30-'Grid_Requirement'!AR30))</f>
        <v/>
      </c>
      <c r="AS30">
        <f>IF(COUNTIFS(T_StockCount[Part Name],$A30,T_StockCount[WeekIndex],44)&gt;0,SUMIFS(T_StockCount[CountedQty],T_StockCount[Part Name],$A30,T_StockCount[WeekIndex],44),IF((('T_SelfStock'!AS34&lt;&gt;""))*(('T_TTAFStock'!AS34&lt;&gt;""))&gt;0,'T_SelfStock'!AS34+'T_TTAFStock'!AS34,AR30+'Grid_Incoming'!AS30-'Grid_Requirement'!AS30))</f>
        <v/>
      </c>
      <c r="AT30">
        <f>IF(COUNTIFS(T_StockCount[Part Name],$A30,T_StockCount[WeekIndex],45)&gt;0,SUMIFS(T_StockCount[CountedQty],T_StockCount[Part Name],$A30,T_StockCount[WeekIndex],45),IF((('T_SelfStock'!AT34&lt;&gt;""))*(('T_TTAFStock'!AT34&lt;&gt;""))&gt;0,'T_SelfStock'!AT34+'T_TTAFStock'!AT34,AS30+'Grid_Incoming'!AT30-'Grid_Requirement'!AT30))</f>
        <v/>
      </c>
      <c r="AU30">
        <f>IF(COUNTIFS(T_StockCount[Part Name],$A30,T_StockCount[WeekIndex],46)&gt;0,SUMIFS(T_StockCount[CountedQty],T_StockCount[Part Name],$A30,T_StockCount[WeekIndex],46),IF((('T_SelfStock'!AU34&lt;&gt;""))*(('T_TTAFStock'!AU34&lt;&gt;""))&gt;0,'T_SelfStock'!AU34+'T_TTAFStock'!AU34,AT30+'Grid_Incoming'!AU30-'Grid_Requirement'!AU30))</f>
        <v/>
      </c>
      <c r="AV30">
        <f>IF(COUNTIFS(T_StockCount[Part Name],$A30,T_StockCount[WeekIndex],47)&gt;0,SUMIFS(T_StockCount[CountedQty],T_StockCount[Part Name],$A30,T_StockCount[WeekIndex],47),IF((('T_SelfStock'!AV34&lt;&gt;""))*(('T_TTAFStock'!AV34&lt;&gt;""))&gt;0,'T_SelfStock'!AV34+'T_TTAFStock'!AV34,AU30+'Grid_Incoming'!AV30-'Grid_Requirement'!AV30))</f>
        <v/>
      </c>
      <c r="AW30">
        <f>IF(COUNTIFS(T_StockCount[Part Name],$A30,T_StockCount[WeekIndex],48)&gt;0,SUMIFS(T_StockCount[CountedQty],T_StockCount[Part Name],$A30,T_StockCount[WeekIndex],48),IF((('T_SelfStock'!AW34&lt;&gt;""))*(('T_TTAFStock'!AW34&lt;&gt;""))&gt;0,'T_SelfStock'!AW34+'T_TTAFStock'!AW34,AV30+'Grid_Incoming'!AW30-'Grid_Requirement'!AW30))</f>
        <v/>
      </c>
      <c r="AX30">
        <f>IF(COUNTIFS(T_StockCount[Part Name],$A30,T_StockCount[WeekIndex],49)&gt;0,SUMIFS(T_StockCount[CountedQty],T_StockCount[Part Name],$A30,T_StockCount[WeekIndex],49),IF((('T_SelfStock'!AX34&lt;&gt;""))*(('T_TTAFStock'!AX34&lt;&gt;""))&gt;0,'T_SelfStock'!AX34+'T_TTAFStock'!AX34,AW30+'Grid_Incoming'!AX30-'Grid_Requirement'!AX30))</f>
        <v/>
      </c>
      <c r="AY30">
        <f>IF(COUNTIFS(T_StockCount[Part Name],$A30,T_StockCount[WeekIndex],50)&gt;0,SUMIFS(T_StockCount[CountedQty],T_StockCount[Part Name],$A30,T_StockCount[WeekIndex],50),IF((('T_SelfStock'!AY34&lt;&gt;""))*(('T_TTAFStock'!AY34&lt;&gt;""))&gt;0,'T_SelfStock'!AY34+'T_TTAFStock'!AY34,AX30+'Grid_Incoming'!AY30-'Grid_Requirement'!AY30))</f>
        <v/>
      </c>
      <c r="AZ30">
        <f>IF(COUNTIFS(T_StockCount[Part Name],$A30,T_StockCount[WeekIndex],51)&gt;0,SUMIFS(T_StockCount[CountedQty],T_StockCount[Part Name],$A30,T_StockCount[WeekIndex],51),IF((('T_SelfStock'!AZ34&lt;&gt;""))*(('T_TTAFStock'!AZ34&lt;&gt;""))&gt;0,'T_SelfStock'!AZ34+'T_TTAFStock'!AZ34,AY30+'Grid_Incoming'!AZ30-'Grid_Requirement'!AZ30))</f>
        <v/>
      </c>
      <c r="BA30">
        <f>IF(COUNTIFS(T_StockCount[Part Name],$A30,T_StockCount[WeekIndex],52)&gt;0,SUMIFS(T_StockCount[CountedQty],T_StockCount[Part Name],$A30,T_StockCount[WeekIndex],52),IF((('T_SelfStock'!BA34&lt;&gt;""))*(('T_TTAFStock'!BA34&lt;&gt;""))&gt;0,'T_SelfStock'!BA34+'T_TTAFStock'!BA34,AZ30+'Grid_Incoming'!BA30-'Grid_Requirement'!BA30))</f>
        <v/>
      </c>
      <c r="BB30">
        <f>IF(COUNTIFS(T_StockCount[Part Name],$A30,T_StockCount[WeekIndex],53)&gt;0,SUMIFS(T_StockCount[CountedQty],T_StockCount[Part Name],$A30,T_StockCount[WeekIndex],53),IF((('T_SelfStock'!BB34&lt;&gt;""))*(('T_TTAFStock'!BB34&lt;&gt;""))&gt;0,'T_SelfStock'!BB34+'T_TTAFStock'!BB34,BA30+'Grid_Incoming'!BB30-'Grid_Requirement'!BB30))</f>
        <v/>
      </c>
      <c r="BC30">
        <f>IF(COUNTIFS(T_StockCount[Part Name],$A30,T_StockCount[WeekIndex],54)&gt;0,SUMIFS(T_StockCount[CountedQty],T_StockCount[Part Name],$A30,T_StockCount[WeekIndex],54),IF((('T_SelfStock'!BC34&lt;&gt;""))*(('T_TTAFStock'!BC34&lt;&gt;""))&gt;0,'T_SelfStock'!BC34+'T_TTAFStock'!BC34,BB30+'Grid_Incoming'!BC30-'Grid_Requirement'!BC30))</f>
        <v/>
      </c>
      <c r="BD30">
        <f>IF(COUNTIFS(T_StockCount[Part Name],$A30,T_StockCount[WeekIndex],55)&gt;0,SUMIFS(T_StockCount[CountedQty],T_StockCount[Part Name],$A30,T_StockCount[WeekIndex],55),IF((('T_SelfStock'!BD34&lt;&gt;""))*(('T_TTAFStock'!BD34&lt;&gt;""))&gt;0,'T_SelfStock'!BD34+'T_TTAFStock'!BD34,BC30+'Grid_Incoming'!BD30-'Grid_Requirement'!BD30))</f>
        <v/>
      </c>
      <c r="BE30">
        <f>IF(COUNTIFS(T_StockCount[Part Name],$A30,T_StockCount[WeekIndex],56)&gt;0,SUMIFS(T_StockCount[CountedQty],T_StockCount[Part Name],$A30,T_StockCount[WeekIndex],56),IF((('T_SelfStock'!BE34&lt;&gt;""))*(('T_TTAFStock'!BE34&lt;&gt;""))&gt;0,'T_SelfStock'!BE34+'T_TTAFStock'!BE34,BD30+'Grid_Incoming'!BE30-'Grid_Requirement'!BE30))</f>
        <v/>
      </c>
      <c r="BF30">
        <f>IF(COUNTIFS(T_StockCount[Part Name],$A30,T_StockCount[WeekIndex],57)&gt;0,SUMIFS(T_StockCount[CountedQty],T_StockCount[Part Name],$A30,T_StockCount[WeekIndex],57),IF((('T_SelfStock'!BF34&lt;&gt;""))*(('T_TTAFStock'!BF34&lt;&gt;""))&gt;0,'T_SelfStock'!BF34+'T_TTAFStock'!BF34,BE30+'Grid_Incoming'!BF30-'Grid_Requirement'!BF30))</f>
        <v/>
      </c>
      <c r="BG30">
        <f>IF(COUNTIFS(T_StockCount[Part Name],$A30,T_StockCount[WeekIndex],58)&gt;0,SUMIFS(T_StockCount[CountedQty],T_StockCount[Part Name],$A30,T_StockCount[WeekIndex],58),IF((('T_SelfStock'!BG34&lt;&gt;""))*(('T_TTAFStock'!BG34&lt;&gt;""))&gt;0,'T_SelfStock'!BG34+'T_TTAFStock'!BG34,BF30+'Grid_Incoming'!BG30-'Grid_Requirement'!BG30))</f>
        <v/>
      </c>
      <c r="BH30">
        <f>IF(COUNTIFS(T_StockCount[Part Name],$A30,T_StockCount[WeekIndex],59)&gt;0,SUMIFS(T_StockCount[CountedQty],T_StockCount[Part Name],$A30,T_StockCount[WeekIndex],59),IF((('T_SelfStock'!BH34&lt;&gt;""))*(('T_TTAFStock'!BH34&lt;&gt;""))&gt;0,'T_SelfStock'!BH34+'T_TTAFStock'!BH34,BG30+'Grid_Incoming'!BH30-'Grid_Requirement'!BH30))</f>
        <v/>
      </c>
      <c r="BI30">
        <f>IF(COUNTIFS(T_StockCount[Part Name],$A30,T_StockCount[WeekIndex],60)&gt;0,SUMIFS(T_StockCount[CountedQty],T_StockCount[Part Name],$A30,T_StockCount[WeekIndex],60),IF((('T_SelfStock'!BI34&lt;&gt;""))*(('T_TTAFStock'!BI34&lt;&gt;""))&gt;0,'T_SelfStock'!BI34+'T_TTAFStock'!BI34,BH30+'Grid_Incoming'!BI30-'Grid_Requirement'!BI30))</f>
        <v/>
      </c>
      <c r="BJ30">
        <f>IF(COUNTIFS(T_StockCount[Part Name],$A30,T_StockCount[WeekIndex],61)&gt;0,SUMIFS(T_StockCount[CountedQty],T_StockCount[Part Name],$A30,T_StockCount[WeekIndex],61),IF((('T_SelfStock'!BJ34&lt;&gt;""))*(('T_TTAFStock'!BJ34&lt;&gt;""))&gt;0,'T_SelfStock'!BJ34+'T_TTAFStock'!BJ34,BI30+'Grid_Incoming'!BJ30-'Grid_Requirement'!BJ30))</f>
        <v/>
      </c>
      <c r="BK30">
        <f>IF(COUNTIFS(T_StockCount[Part Name],$A30,T_StockCount[WeekIndex],62)&gt;0,SUMIFS(T_StockCount[CountedQty],T_StockCount[Part Name],$A30,T_StockCount[WeekIndex],62),IF((('T_SelfStock'!BK34&lt;&gt;""))*(('T_TTAFStock'!BK34&lt;&gt;""))&gt;0,'T_SelfStock'!BK34+'T_TTAFStock'!BK34,BJ30+'Grid_Incoming'!BK30-'Grid_Requirement'!BK30))</f>
        <v/>
      </c>
      <c r="BL30">
        <f>IF(COUNTIFS(T_StockCount[Part Name],$A30,T_StockCount[WeekIndex],63)&gt;0,SUMIFS(T_StockCount[CountedQty],T_StockCount[Part Name],$A30,T_StockCount[WeekIndex],63),IF((('T_SelfStock'!BL34&lt;&gt;""))*(('T_TTAFStock'!BL34&lt;&gt;""))&gt;0,'T_SelfStock'!BL34+'T_TTAFStock'!BL34,BK30+'Grid_Incoming'!BL30-'Grid_Requirement'!BL30))</f>
        <v/>
      </c>
      <c r="BM30">
        <f>IF(COUNTIFS(T_StockCount[Part Name],$A30,T_StockCount[WeekIndex],64)&gt;0,SUMIFS(T_StockCount[CountedQty],T_StockCount[Part Name],$A30,T_StockCount[WeekIndex],64),IF((('T_SelfStock'!BM34&lt;&gt;""))*(('T_TTAFStock'!BM34&lt;&gt;""))&gt;0,'T_SelfStock'!BM34+'T_TTAFStock'!BM34,BL30+'Grid_Incoming'!BM30-'Grid_Requirement'!BM30))</f>
        <v/>
      </c>
      <c r="BN30">
        <f>IF(COUNTIFS(T_StockCount[Part Name],$A30,T_StockCount[WeekIndex],65)&gt;0,SUMIFS(T_StockCount[CountedQty],T_StockCount[Part Name],$A30,T_StockCount[WeekIndex],65),IF((('T_SelfStock'!BN34&lt;&gt;""))*(('T_TTAFStock'!BN34&lt;&gt;""))&gt;0,'T_SelfStock'!BN34+'T_TTAFStock'!BN34,BM30+'Grid_Incoming'!BN30-'Grid_Requirement'!BN30))</f>
        <v/>
      </c>
      <c r="BO30">
        <f>IF(COUNTIFS(T_StockCount[Part Name],$A30,T_StockCount[WeekIndex],66)&gt;0,SUMIFS(T_StockCount[CountedQty],T_StockCount[Part Name],$A30,T_StockCount[WeekIndex],66),IF((('T_SelfStock'!BO34&lt;&gt;""))*(('T_TTAFStock'!BO34&lt;&gt;""))&gt;0,'T_SelfStock'!BO34+'T_TTAFStock'!BO34,BN30+'Grid_Incoming'!BO30-'Grid_Requirement'!BO30))</f>
        <v/>
      </c>
      <c r="BP30">
        <f>IF(COUNTIFS(T_StockCount[Part Name],$A30,T_StockCount[WeekIndex],67)&gt;0,SUMIFS(T_StockCount[CountedQty],T_StockCount[Part Name],$A30,T_StockCount[WeekIndex],67),IF((('T_SelfStock'!BP34&lt;&gt;""))*(('T_TTAFStock'!BP34&lt;&gt;""))&gt;0,'T_SelfStock'!BP34+'T_TTAFStock'!BP34,BO30+'Grid_Incoming'!BP30-'Grid_Requirement'!BP30))</f>
        <v/>
      </c>
      <c r="BQ30">
        <f>IF(COUNTIFS(T_StockCount[Part Name],$A30,T_StockCount[WeekIndex],68)&gt;0,SUMIFS(T_StockCount[CountedQty],T_StockCount[Part Name],$A30,T_StockCount[WeekIndex],68),IF((('T_SelfStock'!BQ34&lt;&gt;""))*(('T_TTAFStock'!BQ34&lt;&gt;""))&gt;0,'T_SelfStock'!BQ34+'T_TTAFStock'!BQ34,BP30+'Grid_Incoming'!BQ30-'Grid_Requirement'!BQ30))</f>
        <v/>
      </c>
      <c r="BR30">
        <f>IF(COUNTIFS(T_StockCount[Part Name],$A30,T_StockCount[WeekIndex],69)&gt;0,SUMIFS(T_StockCount[CountedQty],T_StockCount[Part Name],$A30,T_StockCount[WeekIndex],69),IF((('T_SelfStock'!BR34&lt;&gt;""))*(('T_TTAFStock'!BR34&lt;&gt;""))&gt;0,'T_SelfStock'!BR34+'T_TTAFStock'!BR34,BQ30+'Grid_Incoming'!BR30-'Grid_Requirement'!BR30))</f>
        <v/>
      </c>
      <c r="BS30">
        <f>IF(COUNTIFS(T_StockCount[Part Name],$A30,T_StockCount[WeekIndex],70)&gt;0,SUMIFS(T_StockCount[CountedQty],T_StockCount[Part Name],$A30,T_StockCount[WeekIndex],70),IF((('T_SelfStock'!BS34&lt;&gt;""))*(('T_TTAFStock'!BS34&lt;&gt;""))&gt;0,'T_SelfStock'!BS34+'T_TTAFStock'!BS34,BR30+'Grid_Incoming'!BS30-'Grid_Requirement'!BS30))</f>
        <v/>
      </c>
      <c r="BT30">
        <f>IF(COUNTIFS(T_StockCount[Part Name],$A30,T_StockCount[WeekIndex],71)&gt;0,SUMIFS(T_StockCount[CountedQty],T_StockCount[Part Name],$A30,T_StockCount[WeekIndex],71),IF((('T_SelfStock'!BT34&lt;&gt;""))*(('T_TTAFStock'!BT34&lt;&gt;""))&gt;0,'T_SelfStock'!BT34+'T_TTAFStock'!BT34,BS30+'Grid_Incoming'!BT30-'Grid_Requirement'!BT30))</f>
        <v/>
      </c>
      <c r="BU30">
        <f>IF(COUNTIFS(T_StockCount[Part Name],$A30,T_StockCount[WeekIndex],72)&gt;0,SUMIFS(T_StockCount[CountedQty],T_StockCount[Part Name],$A30,T_StockCount[WeekIndex],72),IF((('T_SelfStock'!BU34&lt;&gt;""))*(('T_TTAFStock'!BU34&lt;&gt;""))&gt;0,'T_SelfStock'!BU34+'T_TTAFStock'!BU34,BT30+'Grid_Incoming'!BU30-'Grid_Requirement'!BU30))</f>
        <v/>
      </c>
      <c r="BV30">
        <f>IF(COUNTIFS(T_StockCount[Part Name],$A30,T_StockCount[WeekIndex],73)&gt;0,SUMIFS(T_StockCount[CountedQty],T_StockCount[Part Name],$A30,T_StockCount[WeekIndex],73),IF((('T_SelfStock'!BV34&lt;&gt;""))*(('T_TTAFStock'!BV34&lt;&gt;""))&gt;0,'T_SelfStock'!BV34+'T_TTAFStock'!BV34,BU30+'Grid_Incoming'!BV30-'Grid_Requirement'!BV30))</f>
        <v/>
      </c>
      <c r="BW30">
        <f>IF(COUNTIFS(T_StockCount[Part Name],$A30,T_StockCount[WeekIndex],74)&gt;0,SUMIFS(T_StockCount[CountedQty],T_StockCount[Part Name],$A30,T_StockCount[WeekIndex],74),IF((('T_SelfStock'!BW34&lt;&gt;""))*(('T_TTAFStock'!BW34&lt;&gt;""))&gt;0,'T_SelfStock'!BW34+'T_TTAFStock'!BW34,BV30+'Grid_Incoming'!BW30-'Grid_Requirement'!BW30))</f>
        <v/>
      </c>
      <c r="BX30">
        <f>IF(COUNTIFS(T_StockCount[Part Name],$A30,T_StockCount[WeekIndex],75)&gt;0,SUMIFS(T_StockCount[CountedQty],T_StockCount[Part Name],$A30,T_StockCount[WeekIndex],75),IF((('T_SelfStock'!BX34&lt;&gt;""))*(('T_TTAFStock'!BX34&lt;&gt;""))&gt;0,'T_SelfStock'!BX34+'T_TTAFStock'!BX34,BW30+'Grid_Incoming'!BX30-'Grid_Requirement'!BX30))</f>
        <v/>
      </c>
      <c r="BY30">
        <f>IF(COUNTIFS(T_StockCount[Part Name],$A30,T_StockCount[WeekIndex],76)&gt;0,SUMIFS(T_StockCount[CountedQty],T_StockCount[Part Name],$A30,T_StockCount[WeekIndex],76),IF((('T_SelfStock'!BY34&lt;&gt;""))*(('T_TTAFStock'!BY34&lt;&gt;""))&gt;0,'T_SelfStock'!BY34+'T_TTAFStock'!BY34,BX30+'Grid_Incoming'!BY30-'Grid_Requirement'!BY30))</f>
        <v/>
      </c>
      <c r="BZ30">
        <f>IF(COUNTIFS(T_StockCount[Part Name],$A30,T_StockCount[WeekIndex],77)&gt;0,SUMIFS(T_StockCount[CountedQty],T_StockCount[Part Name],$A30,T_StockCount[WeekIndex],77),IF((('T_SelfStock'!BZ34&lt;&gt;""))*(('T_TTAFStock'!BZ34&lt;&gt;""))&gt;0,'T_SelfStock'!BZ34+'T_TTAFStock'!BZ34,BY30+'Grid_Incoming'!BZ30-'Grid_Requirement'!BZ30))</f>
        <v/>
      </c>
      <c r="CA30">
        <f>IF(COUNTIFS(T_StockCount[Part Name],$A30,T_StockCount[WeekIndex],78)&gt;0,SUMIFS(T_StockCount[CountedQty],T_StockCount[Part Name],$A30,T_StockCount[WeekIndex],78),IF((('T_SelfStock'!CA34&lt;&gt;""))*(('T_TTAFStock'!CA34&lt;&gt;""))&gt;0,'T_SelfStock'!CA34+'T_TTAFStock'!CA34,BZ30+'Grid_Incoming'!CA30-'Grid_Requirement'!CA30))</f>
        <v/>
      </c>
      <c r="CB30">
        <f>IF(COUNTIFS(T_StockCount[Part Name],$A30,T_StockCount[WeekIndex],79)&gt;0,SUMIFS(T_StockCount[CountedQty],T_StockCount[Part Name],$A30,T_StockCount[WeekIndex],79),IF((('T_SelfStock'!CB34&lt;&gt;""))*(('T_TTAFStock'!CB34&lt;&gt;""))&gt;0,'T_SelfStock'!CB34+'T_TTAFStock'!CB34,CA30+'Grid_Incoming'!CB30-'Grid_Requirement'!CB30))</f>
        <v/>
      </c>
      <c r="CC30">
        <f>IF(COUNTIFS(T_StockCount[Part Name],$A30,T_StockCount[WeekIndex],80)&gt;0,SUMIFS(T_StockCount[CountedQty],T_StockCount[Part Name],$A30,T_StockCount[WeekIndex],80),IF((('T_SelfStock'!CC34&lt;&gt;""))*(('T_TTAFStock'!CC34&lt;&gt;""))&gt;0,'T_SelfStock'!CC34+'T_TTAFStock'!CC34,CB30+'Grid_Incoming'!CC30-'Grid_Requirement'!CC30))</f>
        <v/>
      </c>
      <c r="CD30">
        <f>IF(COUNTIFS(T_StockCount[Part Name],$A30,T_StockCount[WeekIndex],81)&gt;0,SUMIFS(T_StockCount[CountedQty],T_StockCount[Part Name],$A30,T_StockCount[WeekIndex],81),IF((('T_SelfStock'!CD34&lt;&gt;""))*(('T_TTAFStock'!CD34&lt;&gt;""))&gt;0,'T_SelfStock'!CD34+'T_TTAFStock'!CD34,CC30+'Grid_Incoming'!CD30-'Grid_Requirement'!CD30))</f>
        <v/>
      </c>
      <c r="CE30">
        <f>IF(COUNTIFS(T_StockCount[Part Name],$A30,T_StockCount[WeekIndex],82)&gt;0,SUMIFS(T_StockCount[CountedQty],T_StockCount[Part Name],$A30,T_StockCount[WeekIndex],82),IF((('T_SelfStock'!CE34&lt;&gt;""))*(('T_TTAFStock'!CE34&lt;&gt;""))&gt;0,'T_SelfStock'!CE34+'T_TTAFStock'!CE34,CD30+'Grid_Incoming'!CE30-'Grid_Requirement'!CE30))</f>
        <v/>
      </c>
      <c r="CF30">
        <f>IF(COUNTIFS(T_StockCount[Part Name],$A30,T_StockCount[WeekIndex],83)&gt;0,SUMIFS(T_StockCount[CountedQty],T_StockCount[Part Name],$A30,T_StockCount[WeekIndex],83),IF((('T_SelfStock'!CF34&lt;&gt;""))*(('T_TTAFStock'!CF34&lt;&gt;""))&gt;0,'T_SelfStock'!CF34+'T_TTAFStock'!CF34,CE30+'Grid_Incoming'!CF30-'Grid_Requirement'!CF30))</f>
        <v/>
      </c>
      <c r="CG30">
        <f>IF(COUNTIFS(T_StockCount[Part Name],$A30,T_StockCount[WeekIndex],84)&gt;0,SUMIFS(T_StockCount[CountedQty],T_StockCount[Part Name],$A30,T_StockCount[WeekIndex],84),IF((('T_SelfStock'!CG34&lt;&gt;""))*(('T_TTAFStock'!CG34&lt;&gt;""))&gt;0,'T_SelfStock'!CG34+'T_TTAFStock'!CG34,CF30+'Grid_Incoming'!CG30-'Grid_Requirement'!CG30))</f>
        <v/>
      </c>
      <c r="CH30">
        <f>IF(COUNTIFS(T_StockCount[Part Name],$A30,T_StockCount[WeekIndex],85)&gt;0,SUMIFS(T_StockCount[CountedQty],T_StockCount[Part Name],$A30,T_StockCount[WeekIndex],85),IF((('T_SelfStock'!CH34&lt;&gt;""))*(('T_TTAFStock'!CH34&lt;&gt;""))&gt;0,'T_SelfStock'!CH34+'T_TTAFStock'!CH34,CG30+'Grid_Incoming'!CH30-'Grid_Requirement'!CH30))</f>
        <v/>
      </c>
      <c r="CI30">
        <f>IF(COUNTIFS(T_StockCount[Part Name],$A30,T_StockCount[WeekIndex],86)&gt;0,SUMIFS(T_StockCount[CountedQty],T_StockCount[Part Name],$A30,T_StockCount[WeekIndex],86),IF((('T_SelfStock'!CI34&lt;&gt;""))*(('T_TTAFStock'!CI34&lt;&gt;""))&gt;0,'T_SelfStock'!CI34+'T_TTAFStock'!CI34,CH30+'Grid_Incoming'!CI30-'Grid_Requirement'!CI30))</f>
        <v/>
      </c>
      <c r="CJ30">
        <f>IF(COUNTIFS(T_StockCount[Part Name],$A30,T_StockCount[WeekIndex],87)&gt;0,SUMIFS(T_StockCount[CountedQty],T_StockCount[Part Name],$A30,T_StockCount[WeekIndex],87),IF((('T_SelfStock'!CJ34&lt;&gt;""))*(('T_TTAFStock'!CJ34&lt;&gt;""))&gt;0,'T_SelfStock'!CJ34+'T_TTAFStock'!CJ34,CI30+'Grid_Incoming'!CJ30-'Grid_Requirement'!CJ30))</f>
        <v/>
      </c>
      <c r="CK30">
        <f>IF(COUNTIFS(T_StockCount[Part Name],$A30,T_StockCount[WeekIndex],88)&gt;0,SUMIFS(T_StockCount[CountedQty],T_StockCount[Part Name],$A30,T_StockCount[WeekIndex],88),IF((('T_SelfStock'!CK34&lt;&gt;""))*(('T_TTAFStock'!CK34&lt;&gt;""))&gt;0,'T_SelfStock'!CK34+'T_TTAFStock'!CK34,CJ30+'Grid_Incoming'!CK30-'Grid_Requirement'!CK30))</f>
        <v/>
      </c>
      <c r="CL30">
        <f>IF(COUNTIFS(T_StockCount[Part Name],$A30,T_StockCount[WeekIndex],89)&gt;0,SUMIFS(T_StockCount[CountedQty],T_StockCount[Part Name],$A30,T_StockCount[WeekIndex],89),IF((('T_SelfStock'!CL34&lt;&gt;""))*(('T_TTAFStock'!CL34&lt;&gt;""))&gt;0,'T_SelfStock'!CL34+'T_TTAFStock'!CL34,CK30+'Grid_Incoming'!CL30-'Grid_Requirement'!CL30))</f>
        <v/>
      </c>
      <c r="CM30">
        <f>IF(COUNTIFS(T_StockCount[Part Name],$A30,T_StockCount[WeekIndex],90)&gt;0,SUMIFS(T_StockCount[CountedQty],T_StockCount[Part Name],$A30,T_StockCount[WeekIndex],90),IF((('T_SelfStock'!CM34&lt;&gt;""))*(('T_TTAFStock'!CM34&lt;&gt;""))&gt;0,'T_SelfStock'!CM34+'T_TTAFStock'!CM34,CL30+'Grid_Incoming'!CM30-'Grid_Requirement'!CM30))</f>
        <v/>
      </c>
      <c r="CN30">
        <f>IF(COUNTIFS(T_StockCount[Part Name],$A30,T_StockCount[WeekIndex],91)&gt;0,SUMIFS(T_StockCount[CountedQty],T_StockCount[Part Name],$A30,T_StockCount[WeekIndex],91),IF((('T_SelfStock'!CN34&lt;&gt;""))*(('T_TTAFStock'!CN34&lt;&gt;""))&gt;0,'T_SelfStock'!CN34+'T_TTAFStock'!CN34,CM30+'Grid_Incoming'!CN30-'Grid_Requirement'!CN30))</f>
        <v/>
      </c>
      <c r="CO30">
        <f>IF(COUNTIFS(T_StockCount[Part Name],$A30,T_StockCount[WeekIndex],92)&gt;0,SUMIFS(T_StockCount[CountedQty],T_StockCount[Part Name],$A30,T_StockCount[WeekIndex],92),IF((('T_SelfStock'!CO34&lt;&gt;""))*(('T_TTAFStock'!CO34&lt;&gt;""))&gt;0,'T_SelfStock'!CO34+'T_TTAFStock'!CO34,CN30+'Grid_Incoming'!CO30-'Grid_Requirement'!CO30))</f>
        <v/>
      </c>
      <c r="CP30">
        <f>IF(COUNTIFS(T_StockCount[Part Name],$A30,T_StockCount[WeekIndex],93)&gt;0,SUMIFS(T_StockCount[CountedQty],T_StockCount[Part Name],$A30,T_StockCount[WeekIndex],93),IF((('T_SelfStock'!CP34&lt;&gt;""))*(('T_TTAFStock'!CP34&lt;&gt;""))&gt;0,'T_SelfStock'!CP34+'T_TTAFStock'!CP34,CO30+'Grid_Incoming'!CP30-'Grid_Requirement'!CP30))</f>
        <v/>
      </c>
      <c r="CQ30">
        <f>IF(COUNTIFS(T_StockCount[Part Name],$A30,T_StockCount[WeekIndex],94)&gt;0,SUMIFS(T_StockCount[CountedQty],T_StockCount[Part Name],$A30,T_StockCount[WeekIndex],94),IF((('T_SelfStock'!CQ34&lt;&gt;""))*(('T_TTAFStock'!CQ34&lt;&gt;""))&gt;0,'T_SelfStock'!CQ34+'T_TTAFStock'!CQ34,CP30+'Grid_Incoming'!CQ30-'Grid_Requirement'!CQ30))</f>
        <v/>
      </c>
      <c r="CR30">
        <f>IF(COUNTIFS(T_StockCount[Part Name],$A30,T_StockCount[WeekIndex],95)&gt;0,SUMIFS(T_StockCount[CountedQty],T_StockCount[Part Name],$A30,T_StockCount[WeekIndex],95),IF((('T_SelfStock'!CR34&lt;&gt;""))*(('T_TTAFStock'!CR34&lt;&gt;""))&gt;0,'T_SelfStock'!CR34+'T_TTAFStock'!CR34,CQ30+'Grid_Incoming'!CR30-'Grid_Requirement'!CR30))</f>
        <v/>
      </c>
      <c r="CS30">
        <f>IF(COUNTIFS(T_StockCount[Part Name],$A30,T_StockCount[WeekIndex],96)&gt;0,SUMIFS(T_StockCount[CountedQty],T_StockCount[Part Name],$A30,T_StockCount[WeekIndex],96),IF((('T_SelfStock'!CS34&lt;&gt;""))*(('T_TTAFStock'!CS34&lt;&gt;""))&gt;0,'T_SelfStock'!CS34+'T_TTAFStock'!CS34,CR30+'Grid_Incoming'!CS30-'Grid_Requirement'!CS30))</f>
        <v/>
      </c>
      <c r="CT30">
        <f>IF(COUNTIFS(T_StockCount[Part Name],$A30,T_StockCount[WeekIndex],97)&gt;0,SUMIFS(T_StockCount[CountedQty],T_StockCount[Part Name],$A30,T_StockCount[WeekIndex],97),IF((('T_SelfStock'!CT34&lt;&gt;""))*(('T_TTAFStock'!CT34&lt;&gt;""))&gt;0,'T_SelfStock'!CT34+'T_TTAFStock'!CT34,CS30+'Grid_Incoming'!CT30-'Grid_Requirement'!CT30))</f>
        <v/>
      </c>
      <c r="CU30">
        <f>IF(COUNTIFS(T_StockCount[Part Name],$A30,T_StockCount[WeekIndex],98)&gt;0,SUMIFS(T_StockCount[CountedQty],T_StockCount[Part Name],$A30,T_StockCount[WeekIndex],98),IF((('T_SelfStock'!CU34&lt;&gt;""))*(('T_TTAFStock'!CU34&lt;&gt;""))&gt;0,'T_SelfStock'!CU34+'T_TTAFStock'!CU34,CT30+'Grid_Incoming'!CU30-'Grid_Requirement'!CU30))</f>
        <v/>
      </c>
      <c r="CV30">
        <f>IF(COUNTIFS(T_StockCount[Part Name],$A30,T_StockCount[WeekIndex],99)&gt;0,SUMIFS(T_StockCount[CountedQty],T_StockCount[Part Name],$A30,T_StockCount[WeekIndex],99),IF((('T_SelfStock'!CV34&lt;&gt;""))*(('T_TTAFStock'!CV34&lt;&gt;""))&gt;0,'T_SelfStock'!CV34+'T_TTAFStock'!CV34,CU30+'Grid_Incoming'!CV30-'Grid_Requirement'!CV30))</f>
        <v/>
      </c>
      <c r="CW30">
        <f>IF(COUNTIFS(T_StockCount[Part Name],$A30,T_StockCount[WeekIndex],100)&gt;0,SUMIFS(T_StockCount[CountedQty],T_StockCount[Part Name],$A30,T_StockCount[WeekIndex],100),IF((('T_SelfStock'!CW34&lt;&gt;""))*(('T_TTAFStock'!CW34&lt;&gt;""))&gt;0,'T_SelfStock'!CW34+'T_TTAFStock'!CW34,CV30+'Grid_Incoming'!CW30-'Grid_Requirement'!CW30))</f>
        <v/>
      </c>
      <c r="CX30">
        <f>IF(COUNTIFS(T_StockCount[Part Name],$A30,T_StockCount[WeekIndex],101)&gt;0,SUMIFS(T_StockCount[CountedQty],T_StockCount[Part Name],$A30,T_StockCount[WeekIndex],101),IF((('T_SelfStock'!CX34&lt;&gt;""))*(('T_TTAFStock'!CX34&lt;&gt;""))&gt;0,'T_SelfStock'!CX34+'T_TTAFStock'!CX34,CW30+'Grid_Incoming'!CX30-'Grid_Requirement'!CX30))</f>
        <v/>
      </c>
      <c r="CY30">
        <f>IF(COUNTIFS(T_StockCount[Part Name],$A30,T_StockCount[WeekIndex],102)&gt;0,SUMIFS(T_StockCount[CountedQty],T_StockCount[Part Name],$A30,T_StockCount[WeekIndex],102),IF((('T_SelfStock'!CY34&lt;&gt;""))*(('T_TTAFStock'!CY34&lt;&gt;""))&gt;0,'T_SelfStock'!CY34+'T_TTAFStock'!CY34,CX30+'Grid_Incoming'!CY30-'Grid_Requirement'!CY30))</f>
        <v/>
      </c>
      <c r="CZ30">
        <f>IF(COUNTIFS(T_StockCount[Part Name],$A30,T_StockCount[WeekIndex],103)&gt;0,SUMIFS(T_StockCount[CountedQty],T_StockCount[Part Name],$A30,T_StockCount[WeekIndex],103),IF((('T_SelfStock'!CZ34&lt;&gt;""))*(('T_TTAFStock'!CZ34&lt;&gt;""))&gt;0,'T_SelfStock'!CZ34+'T_TTAFStock'!CZ34,CY30+'Grid_Incoming'!CZ30-'Grid_Requirement'!CZ30))</f>
        <v/>
      </c>
      <c r="DA30">
        <f>IF(COUNTIFS(T_StockCount[Part Name],$A30,T_StockCount[WeekIndex],104)&gt;0,SUMIFS(T_StockCount[CountedQty],T_StockCount[Part Name],$A30,T_StockCount[WeekIndex],104),IF((('T_SelfStock'!DA34&lt;&gt;""))*(('T_TTAFStock'!DA34&lt;&gt;""))&gt;0,'T_SelfStock'!DA34+'T_TTAFStock'!DA34,CZ30+'Grid_Incoming'!DA30-'Grid_Requirement'!DA30))</f>
        <v/>
      </c>
    </row>
    <row r="31">
      <c r="A31" t="inlineStr">
        <is>
          <t>CHEM-1730</t>
        </is>
      </c>
      <c r="B31">
        <f>IF(COUNTIFS(T_StockCount[Part Name],$A31,T_StockCount[WeekIndex],1)&gt;0,SUMIFS(T_StockCount[CountedQty],T_StockCount[Part Name],$A31,T_StockCount[WeekIndex],1),IF((('T_SelfStock'!B35&lt;&gt;""))*(('T_TTAFStock'!B35&lt;&gt;""))&gt;0,'T_SelfStock'!B35+'T_TTAFStock'!B35,IFERROR(INDEX(T_OpeningStock[Opening_Qty],MATCH($A31,T_OpeningStock[Part Name],0)),0)+'Grid_Incoming'!B31-'Grid_Requirement'!B31))</f>
        <v/>
      </c>
      <c r="C31">
        <f>IF(COUNTIFS(T_StockCount[Part Name],$A31,T_StockCount[WeekIndex],2)&gt;0,SUMIFS(T_StockCount[CountedQty],T_StockCount[Part Name],$A31,T_StockCount[WeekIndex],2),IF((('T_SelfStock'!C35&lt;&gt;""))*(('T_TTAFStock'!C35&lt;&gt;""))&gt;0,'T_SelfStock'!C35+'T_TTAFStock'!C35,B31+'Grid_Incoming'!C31-'Grid_Requirement'!C31))</f>
        <v/>
      </c>
      <c r="D31">
        <f>IF(COUNTIFS(T_StockCount[Part Name],$A31,T_StockCount[WeekIndex],3)&gt;0,SUMIFS(T_StockCount[CountedQty],T_StockCount[Part Name],$A31,T_StockCount[WeekIndex],3),IF((('T_SelfStock'!D35&lt;&gt;""))*(('T_TTAFStock'!D35&lt;&gt;""))&gt;0,'T_SelfStock'!D35+'T_TTAFStock'!D35,C31+'Grid_Incoming'!D31-'Grid_Requirement'!D31))</f>
        <v/>
      </c>
      <c r="E31">
        <f>IF(COUNTIFS(T_StockCount[Part Name],$A31,T_StockCount[WeekIndex],4)&gt;0,SUMIFS(T_StockCount[CountedQty],T_StockCount[Part Name],$A31,T_StockCount[WeekIndex],4),IF((('T_SelfStock'!E35&lt;&gt;""))*(('T_TTAFStock'!E35&lt;&gt;""))&gt;0,'T_SelfStock'!E35+'T_TTAFStock'!E35,D31+'Grid_Incoming'!E31-'Grid_Requirement'!E31))</f>
        <v/>
      </c>
      <c r="F31">
        <f>IF(COUNTIFS(T_StockCount[Part Name],$A31,T_StockCount[WeekIndex],5)&gt;0,SUMIFS(T_StockCount[CountedQty],T_StockCount[Part Name],$A31,T_StockCount[WeekIndex],5),IF((('T_SelfStock'!F35&lt;&gt;""))*(('T_TTAFStock'!F35&lt;&gt;""))&gt;0,'T_SelfStock'!F35+'T_TTAFStock'!F35,E31+'Grid_Incoming'!F31-'Grid_Requirement'!F31))</f>
        <v/>
      </c>
      <c r="G31">
        <f>IF(COUNTIFS(T_StockCount[Part Name],$A31,T_StockCount[WeekIndex],6)&gt;0,SUMIFS(T_StockCount[CountedQty],T_StockCount[Part Name],$A31,T_StockCount[WeekIndex],6),IF((('T_SelfStock'!G35&lt;&gt;""))*(('T_TTAFStock'!G35&lt;&gt;""))&gt;0,'T_SelfStock'!G35+'T_TTAFStock'!G35,F31+'Grid_Incoming'!G31-'Grid_Requirement'!G31))</f>
        <v/>
      </c>
      <c r="H31">
        <f>IF(COUNTIFS(T_StockCount[Part Name],$A31,T_StockCount[WeekIndex],7)&gt;0,SUMIFS(T_StockCount[CountedQty],T_StockCount[Part Name],$A31,T_StockCount[WeekIndex],7),IF((('T_SelfStock'!H35&lt;&gt;""))*(('T_TTAFStock'!H35&lt;&gt;""))&gt;0,'T_SelfStock'!H35+'T_TTAFStock'!H35,G31+'Grid_Incoming'!H31-'Grid_Requirement'!H31))</f>
        <v/>
      </c>
      <c r="I31">
        <f>IF(COUNTIFS(T_StockCount[Part Name],$A31,T_StockCount[WeekIndex],8)&gt;0,SUMIFS(T_StockCount[CountedQty],T_StockCount[Part Name],$A31,T_StockCount[WeekIndex],8),IF((('T_SelfStock'!I35&lt;&gt;""))*(('T_TTAFStock'!I35&lt;&gt;""))&gt;0,'T_SelfStock'!I35+'T_TTAFStock'!I35,H31+'Grid_Incoming'!I31-'Grid_Requirement'!I31))</f>
        <v/>
      </c>
      <c r="J31">
        <f>IF(COUNTIFS(T_StockCount[Part Name],$A31,T_StockCount[WeekIndex],9)&gt;0,SUMIFS(T_StockCount[CountedQty],T_StockCount[Part Name],$A31,T_StockCount[WeekIndex],9),IF((('T_SelfStock'!J35&lt;&gt;""))*(('T_TTAFStock'!J35&lt;&gt;""))&gt;0,'T_SelfStock'!J35+'T_TTAFStock'!J35,I31+'Grid_Incoming'!J31-'Grid_Requirement'!J31))</f>
        <v/>
      </c>
      <c r="K31">
        <f>IF(COUNTIFS(T_StockCount[Part Name],$A31,T_StockCount[WeekIndex],10)&gt;0,SUMIFS(T_StockCount[CountedQty],T_StockCount[Part Name],$A31,T_StockCount[WeekIndex],10),IF((('T_SelfStock'!K35&lt;&gt;""))*(('T_TTAFStock'!K35&lt;&gt;""))&gt;0,'T_SelfStock'!K35+'T_TTAFStock'!K35,J31+'Grid_Incoming'!K31-'Grid_Requirement'!K31))</f>
        <v/>
      </c>
      <c r="L31">
        <f>IF(COUNTIFS(T_StockCount[Part Name],$A31,T_StockCount[WeekIndex],11)&gt;0,SUMIFS(T_StockCount[CountedQty],T_StockCount[Part Name],$A31,T_StockCount[WeekIndex],11),IF((('T_SelfStock'!L35&lt;&gt;""))*(('T_TTAFStock'!L35&lt;&gt;""))&gt;0,'T_SelfStock'!L35+'T_TTAFStock'!L35,K31+'Grid_Incoming'!L31-'Grid_Requirement'!L31))</f>
        <v/>
      </c>
      <c r="M31">
        <f>IF(COUNTIFS(T_StockCount[Part Name],$A31,T_StockCount[WeekIndex],12)&gt;0,SUMIFS(T_StockCount[CountedQty],T_StockCount[Part Name],$A31,T_StockCount[WeekIndex],12),IF((('T_SelfStock'!M35&lt;&gt;""))*(('T_TTAFStock'!M35&lt;&gt;""))&gt;0,'T_SelfStock'!M35+'T_TTAFStock'!M35,L31+'Grid_Incoming'!M31-'Grid_Requirement'!M31))</f>
        <v/>
      </c>
      <c r="N31">
        <f>IF(COUNTIFS(T_StockCount[Part Name],$A31,T_StockCount[WeekIndex],13)&gt;0,SUMIFS(T_StockCount[CountedQty],T_StockCount[Part Name],$A31,T_StockCount[WeekIndex],13),IF((('T_SelfStock'!N35&lt;&gt;""))*(('T_TTAFStock'!N35&lt;&gt;""))&gt;0,'T_SelfStock'!N35+'T_TTAFStock'!N35,M31+'Grid_Incoming'!N31-'Grid_Requirement'!N31))</f>
        <v/>
      </c>
      <c r="O31">
        <f>IF(COUNTIFS(T_StockCount[Part Name],$A31,T_StockCount[WeekIndex],14)&gt;0,SUMIFS(T_StockCount[CountedQty],T_StockCount[Part Name],$A31,T_StockCount[WeekIndex],14),IF((('T_SelfStock'!O35&lt;&gt;""))*(('T_TTAFStock'!O35&lt;&gt;""))&gt;0,'T_SelfStock'!O35+'T_TTAFStock'!O35,N31+'Grid_Incoming'!O31-'Grid_Requirement'!O31))</f>
        <v/>
      </c>
      <c r="P31">
        <f>IF(COUNTIFS(T_StockCount[Part Name],$A31,T_StockCount[WeekIndex],15)&gt;0,SUMIFS(T_StockCount[CountedQty],T_StockCount[Part Name],$A31,T_StockCount[WeekIndex],15),IF((('T_SelfStock'!P35&lt;&gt;""))*(('T_TTAFStock'!P35&lt;&gt;""))&gt;0,'T_SelfStock'!P35+'T_TTAFStock'!P35,O31+'Grid_Incoming'!P31-'Grid_Requirement'!P31))</f>
        <v/>
      </c>
      <c r="Q31">
        <f>IF(COUNTIFS(T_StockCount[Part Name],$A31,T_StockCount[WeekIndex],16)&gt;0,SUMIFS(T_StockCount[CountedQty],T_StockCount[Part Name],$A31,T_StockCount[WeekIndex],16),IF((('T_SelfStock'!Q35&lt;&gt;""))*(('T_TTAFStock'!Q35&lt;&gt;""))&gt;0,'T_SelfStock'!Q35+'T_TTAFStock'!Q35,P31+'Grid_Incoming'!Q31-'Grid_Requirement'!Q31))</f>
        <v/>
      </c>
      <c r="R31">
        <f>IF(COUNTIFS(T_StockCount[Part Name],$A31,T_StockCount[WeekIndex],17)&gt;0,SUMIFS(T_StockCount[CountedQty],T_StockCount[Part Name],$A31,T_StockCount[WeekIndex],17),IF((('T_SelfStock'!R35&lt;&gt;""))*(('T_TTAFStock'!R35&lt;&gt;""))&gt;0,'T_SelfStock'!R35+'T_TTAFStock'!R35,Q31+'Grid_Incoming'!R31-'Grid_Requirement'!R31))</f>
        <v/>
      </c>
      <c r="S31">
        <f>IF(COUNTIFS(T_StockCount[Part Name],$A31,T_StockCount[WeekIndex],18)&gt;0,SUMIFS(T_StockCount[CountedQty],T_StockCount[Part Name],$A31,T_StockCount[WeekIndex],18),IF((('T_SelfStock'!S35&lt;&gt;""))*(('T_TTAFStock'!S35&lt;&gt;""))&gt;0,'T_SelfStock'!S35+'T_TTAFStock'!S35,R31+'Grid_Incoming'!S31-'Grid_Requirement'!S31))</f>
        <v/>
      </c>
      <c r="T31">
        <f>IF(COUNTIFS(T_StockCount[Part Name],$A31,T_StockCount[WeekIndex],19)&gt;0,SUMIFS(T_StockCount[CountedQty],T_StockCount[Part Name],$A31,T_StockCount[WeekIndex],19),IF((('T_SelfStock'!T35&lt;&gt;""))*(('T_TTAFStock'!T35&lt;&gt;""))&gt;0,'T_SelfStock'!T35+'T_TTAFStock'!T35,S31+'Grid_Incoming'!T31-'Grid_Requirement'!T31))</f>
        <v/>
      </c>
      <c r="U31">
        <f>IF(COUNTIFS(T_StockCount[Part Name],$A31,T_StockCount[WeekIndex],20)&gt;0,SUMIFS(T_StockCount[CountedQty],T_StockCount[Part Name],$A31,T_StockCount[WeekIndex],20),IF((('T_SelfStock'!U35&lt;&gt;""))*(('T_TTAFStock'!U35&lt;&gt;""))&gt;0,'T_SelfStock'!U35+'T_TTAFStock'!U35,T31+'Grid_Incoming'!U31-'Grid_Requirement'!U31))</f>
        <v/>
      </c>
      <c r="V31">
        <f>IF(COUNTIFS(T_StockCount[Part Name],$A31,T_StockCount[WeekIndex],21)&gt;0,SUMIFS(T_StockCount[CountedQty],T_StockCount[Part Name],$A31,T_StockCount[WeekIndex],21),IF((('T_SelfStock'!V35&lt;&gt;""))*(('T_TTAFStock'!V35&lt;&gt;""))&gt;0,'T_SelfStock'!V35+'T_TTAFStock'!V35,U31+'Grid_Incoming'!V31-'Grid_Requirement'!V31))</f>
        <v/>
      </c>
      <c r="W31">
        <f>IF(COUNTIFS(T_StockCount[Part Name],$A31,T_StockCount[WeekIndex],22)&gt;0,SUMIFS(T_StockCount[CountedQty],T_StockCount[Part Name],$A31,T_StockCount[WeekIndex],22),IF((('T_SelfStock'!W35&lt;&gt;""))*(('T_TTAFStock'!W35&lt;&gt;""))&gt;0,'T_SelfStock'!W35+'T_TTAFStock'!W35,V31+'Grid_Incoming'!W31-'Grid_Requirement'!W31))</f>
        <v/>
      </c>
      <c r="X31">
        <f>IF(COUNTIFS(T_StockCount[Part Name],$A31,T_StockCount[WeekIndex],23)&gt;0,SUMIFS(T_StockCount[CountedQty],T_StockCount[Part Name],$A31,T_StockCount[WeekIndex],23),IF((('T_SelfStock'!X35&lt;&gt;""))*(('T_TTAFStock'!X35&lt;&gt;""))&gt;0,'T_SelfStock'!X35+'T_TTAFStock'!X35,W31+'Grid_Incoming'!X31-'Grid_Requirement'!X31))</f>
        <v/>
      </c>
      <c r="Y31">
        <f>IF(COUNTIFS(T_StockCount[Part Name],$A31,T_StockCount[WeekIndex],24)&gt;0,SUMIFS(T_StockCount[CountedQty],T_StockCount[Part Name],$A31,T_StockCount[WeekIndex],24),IF((('T_SelfStock'!Y35&lt;&gt;""))*(('T_TTAFStock'!Y35&lt;&gt;""))&gt;0,'T_SelfStock'!Y35+'T_TTAFStock'!Y35,X31+'Grid_Incoming'!Y31-'Grid_Requirement'!Y31))</f>
        <v/>
      </c>
      <c r="Z31">
        <f>IF(COUNTIFS(T_StockCount[Part Name],$A31,T_StockCount[WeekIndex],25)&gt;0,SUMIFS(T_StockCount[CountedQty],T_StockCount[Part Name],$A31,T_StockCount[WeekIndex],25),IF((('T_SelfStock'!Z35&lt;&gt;""))*(('T_TTAFStock'!Z35&lt;&gt;""))&gt;0,'T_SelfStock'!Z35+'T_TTAFStock'!Z35,Y31+'Grid_Incoming'!Z31-'Grid_Requirement'!Z31))</f>
        <v/>
      </c>
      <c r="AA31">
        <f>IF(COUNTIFS(T_StockCount[Part Name],$A31,T_StockCount[WeekIndex],26)&gt;0,SUMIFS(T_StockCount[CountedQty],T_StockCount[Part Name],$A31,T_StockCount[WeekIndex],26),IF((('T_SelfStock'!AA35&lt;&gt;""))*(('T_TTAFStock'!AA35&lt;&gt;""))&gt;0,'T_SelfStock'!AA35+'T_TTAFStock'!AA35,Z31+'Grid_Incoming'!AA31-'Grid_Requirement'!AA31))</f>
        <v/>
      </c>
      <c r="AB31">
        <f>IF(COUNTIFS(T_StockCount[Part Name],$A31,T_StockCount[WeekIndex],27)&gt;0,SUMIFS(T_StockCount[CountedQty],T_StockCount[Part Name],$A31,T_StockCount[WeekIndex],27),IF((('T_SelfStock'!AB35&lt;&gt;""))*(('T_TTAFStock'!AB35&lt;&gt;""))&gt;0,'T_SelfStock'!AB35+'T_TTAFStock'!AB35,AA31+'Grid_Incoming'!AB31-'Grid_Requirement'!AB31))</f>
        <v/>
      </c>
      <c r="AC31">
        <f>IF(COUNTIFS(T_StockCount[Part Name],$A31,T_StockCount[WeekIndex],28)&gt;0,SUMIFS(T_StockCount[CountedQty],T_StockCount[Part Name],$A31,T_StockCount[WeekIndex],28),IF((('T_SelfStock'!AC35&lt;&gt;""))*(('T_TTAFStock'!AC35&lt;&gt;""))&gt;0,'T_SelfStock'!AC35+'T_TTAFStock'!AC35,AB31+'Grid_Incoming'!AC31-'Grid_Requirement'!AC31))</f>
        <v/>
      </c>
      <c r="AD31">
        <f>IF(COUNTIFS(T_StockCount[Part Name],$A31,T_StockCount[WeekIndex],29)&gt;0,SUMIFS(T_StockCount[CountedQty],T_StockCount[Part Name],$A31,T_StockCount[WeekIndex],29),IF((('T_SelfStock'!AD35&lt;&gt;""))*(('T_TTAFStock'!AD35&lt;&gt;""))&gt;0,'T_SelfStock'!AD35+'T_TTAFStock'!AD35,AC31+'Grid_Incoming'!AD31-'Grid_Requirement'!AD31))</f>
        <v/>
      </c>
      <c r="AE31">
        <f>IF(COUNTIFS(T_StockCount[Part Name],$A31,T_StockCount[WeekIndex],30)&gt;0,SUMIFS(T_StockCount[CountedQty],T_StockCount[Part Name],$A31,T_StockCount[WeekIndex],30),IF((('T_SelfStock'!AE35&lt;&gt;""))*(('T_TTAFStock'!AE35&lt;&gt;""))&gt;0,'T_SelfStock'!AE35+'T_TTAFStock'!AE35,AD31+'Grid_Incoming'!AE31-'Grid_Requirement'!AE31))</f>
        <v/>
      </c>
      <c r="AF31">
        <f>IF(COUNTIFS(T_StockCount[Part Name],$A31,T_StockCount[WeekIndex],31)&gt;0,SUMIFS(T_StockCount[CountedQty],T_StockCount[Part Name],$A31,T_StockCount[WeekIndex],31),IF((('T_SelfStock'!AF35&lt;&gt;""))*(('T_TTAFStock'!AF35&lt;&gt;""))&gt;0,'T_SelfStock'!AF35+'T_TTAFStock'!AF35,AE31+'Grid_Incoming'!AF31-'Grid_Requirement'!AF31))</f>
        <v/>
      </c>
      <c r="AG31">
        <f>IF(COUNTIFS(T_StockCount[Part Name],$A31,T_StockCount[WeekIndex],32)&gt;0,SUMIFS(T_StockCount[CountedQty],T_StockCount[Part Name],$A31,T_StockCount[WeekIndex],32),IF((('T_SelfStock'!AG35&lt;&gt;""))*(('T_TTAFStock'!AG35&lt;&gt;""))&gt;0,'T_SelfStock'!AG35+'T_TTAFStock'!AG35,AF31+'Grid_Incoming'!AG31-'Grid_Requirement'!AG31))</f>
        <v/>
      </c>
      <c r="AH31">
        <f>IF(COUNTIFS(T_StockCount[Part Name],$A31,T_StockCount[WeekIndex],33)&gt;0,SUMIFS(T_StockCount[CountedQty],T_StockCount[Part Name],$A31,T_StockCount[WeekIndex],33),IF((('T_SelfStock'!AH35&lt;&gt;""))*(('T_TTAFStock'!AH35&lt;&gt;""))&gt;0,'T_SelfStock'!AH35+'T_TTAFStock'!AH35,AG31+'Grid_Incoming'!AH31-'Grid_Requirement'!AH31))</f>
        <v/>
      </c>
      <c r="AI31">
        <f>IF(COUNTIFS(T_StockCount[Part Name],$A31,T_StockCount[WeekIndex],34)&gt;0,SUMIFS(T_StockCount[CountedQty],T_StockCount[Part Name],$A31,T_StockCount[WeekIndex],34),IF((('T_SelfStock'!AI35&lt;&gt;""))*(('T_TTAFStock'!AI35&lt;&gt;""))&gt;0,'T_SelfStock'!AI35+'T_TTAFStock'!AI35,AH31+'Grid_Incoming'!AI31-'Grid_Requirement'!AI31))</f>
        <v/>
      </c>
      <c r="AJ31">
        <f>IF(COUNTIFS(T_StockCount[Part Name],$A31,T_StockCount[WeekIndex],35)&gt;0,SUMIFS(T_StockCount[CountedQty],T_StockCount[Part Name],$A31,T_StockCount[WeekIndex],35),IF((('T_SelfStock'!AJ35&lt;&gt;""))*(('T_TTAFStock'!AJ35&lt;&gt;""))&gt;0,'T_SelfStock'!AJ35+'T_TTAFStock'!AJ35,AI31+'Grid_Incoming'!AJ31-'Grid_Requirement'!AJ31))</f>
        <v/>
      </c>
      <c r="AK31">
        <f>IF(COUNTIFS(T_StockCount[Part Name],$A31,T_StockCount[WeekIndex],36)&gt;0,SUMIFS(T_StockCount[CountedQty],T_StockCount[Part Name],$A31,T_StockCount[WeekIndex],36),IF((('T_SelfStock'!AK35&lt;&gt;""))*(('T_TTAFStock'!AK35&lt;&gt;""))&gt;0,'T_SelfStock'!AK35+'T_TTAFStock'!AK35,AJ31+'Grid_Incoming'!AK31-'Grid_Requirement'!AK31))</f>
        <v/>
      </c>
      <c r="AL31">
        <f>IF(COUNTIFS(T_StockCount[Part Name],$A31,T_StockCount[WeekIndex],37)&gt;0,SUMIFS(T_StockCount[CountedQty],T_StockCount[Part Name],$A31,T_StockCount[WeekIndex],37),IF((('T_SelfStock'!AL35&lt;&gt;""))*(('T_TTAFStock'!AL35&lt;&gt;""))&gt;0,'T_SelfStock'!AL35+'T_TTAFStock'!AL35,AK31+'Grid_Incoming'!AL31-'Grid_Requirement'!AL31))</f>
        <v/>
      </c>
      <c r="AM31">
        <f>IF(COUNTIFS(T_StockCount[Part Name],$A31,T_StockCount[WeekIndex],38)&gt;0,SUMIFS(T_StockCount[CountedQty],T_StockCount[Part Name],$A31,T_StockCount[WeekIndex],38),IF((('T_SelfStock'!AM35&lt;&gt;""))*(('T_TTAFStock'!AM35&lt;&gt;""))&gt;0,'T_SelfStock'!AM35+'T_TTAFStock'!AM35,AL31+'Grid_Incoming'!AM31-'Grid_Requirement'!AM31))</f>
        <v/>
      </c>
      <c r="AN31">
        <f>IF(COUNTIFS(T_StockCount[Part Name],$A31,T_StockCount[WeekIndex],39)&gt;0,SUMIFS(T_StockCount[CountedQty],T_StockCount[Part Name],$A31,T_StockCount[WeekIndex],39),IF((('T_SelfStock'!AN35&lt;&gt;""))*(('T_TTAFStock'!AN35&lt;&gt;""))&gt;0,'T_SelfStock'!AN35+'T_TTAFStock'!AN35,AM31+'Grid_Incoming'!AN31-'Grid_Requirement'!AN31))</f>
        <v/>
      </c>
      <c r="AO31">
        <f>IF(COUNTIFS(T_StockCount[Part Name],$A31,T_StockCount[WeekIndex],40)&gt;0,SUMIFS(T_StockCount[CountedQty],T_StockCount[Part Name],$A31,T_StockCount[WeekIndex],40),IF((('T_SelfStock'!AO35&lt;&gt;""))*(('T_TTAFStock'!AO35&lt;&gt;""))&gt;0,'T_SelfStock'!AO35+'T_TTAFStock'!AO35,AN31+'Grid_Incoming'!AO31-'Grid_Requirement'!AO31))</f>
        <v/>
      </c>
      <c r="AP31">
        <f>IF(COUNTIFS(T_StockCount[Part Name],$A31,T_StockCount[WeekIndex],41)&gt;0,SUMIFS(T_StockCount[CountedQty],T_StockCount[Part Name],$A31,T_StockCount[WeekIndex],41),IF((('T_SelfStock'!AP35&lt;&gt;""))*(('T_TTAFStock'!AP35&lt;&gt;""))&gt;0,'T_SelfStock'!AP35+'T_TTAFStock'!AP35,AO31+'Grid_Incoming'!AP31-'Grid_Requirement'!AP31))</f>
        <v/>
      </c>
      <c r="AQ31">
        <f>IF(COUNTIFS(T_StockCount[Part Name],$A31,T_StockCount[WeekIndex],42)&gt;0,SUMIFS(T_StockCount[CountedQty],T_StockCount[Part Name],$A31,T_StockCount[WeekIndex],42),IF((('T_SelfStock'!AQ35&lt;&gt;""))*(('T_TTAFStock'!AQ35&lt;&gt;""))&gt;0,'T_SelfStock'!AQ35+'T_TTAFStock'!AQ35,AP31+'Grid_Incoming'!AQ31-'Grid_Requirement'!AQ31))</f>
        <v/>
      </c>
      <c r="AR31">
        <f>IF(COUNTIFS(T_StockCount[Part Name],$A31,T_StockCount[WeekIndex],43)&gt;0,SUMIFS(T_StockCount[CountedQty],T_StockCount[Part Name],$A31,T_StockCount[WeekIndex],43),IF((('T_SelfStock'!AR35&lt;&gt;""))*(('T_TTAFStock'!AR35&lt;&gt;""))&gt;0,'T_SelfStock'!AR35+'T_TTAFStock'!AR35,AQ31+'Grid_Incoming'!AR31-'Grid_Requirement'!AR31))</f>
        <v/>
      </c>
      <c r="AS31">
        <f>IF(COUNTIFS(T_StockCount[Part Name],$A31,T_StockCount[WeekIndex],44)&gt;0,SUMIFS(T_StockCount[CountedQty],T_StockCount[Part Name],$A31,T_StockCount[WeekIndex],44),IF((('T_SelfStock'!AS35&lt;&gt;""))*(('T_TTAFStock'!AS35&lt;&gt;""))&gt;0,'T_SelfStock'!AS35+'T_TTAFStock'!AS35,AR31+'Grid_Incoming'!AS31-'Grid_Requirement'!AS31))</f>
        <v/>
      </c>
      <c r="AT31">
        <f>IF(COUNTIFS(T_StockCount[Part Name],$A31,T_StockCount[WeekIndex],45)&gt;0,SUMIFS(T_StockCount[CountedQty],T_StockCount[Part Name],$A31,T_StockCount[WeekIndex],45),IF((('T_SelfStock'!AT35&lt;&gt;""))*(('T_TTAFStock'!AT35&lt;&gt;""))&gt;0,'T_SelfStock'!AT35+'T_TTAFStock'!AT35,AS31+'Grid_Incoming'!AT31-'Grid_Requirement'!AT31))</f>
        <v/>
      </c>
      <c r="AU31">
        <f>IF(COUNTIFS(T_StockCount[Part Name],$A31,T_StockCount[WeekIndex],46)&gt;0,SUMIFS(T_StockCount[CountedQty],T_StockCount[Part Name],$A31,T_StockCount[WeekIndex],46),IF((('T_SelfStock'!AU35&lt;&gt;""))*(('T_TTAFStock'!AU35&lt;&gt;""))&gt;0,'T_SelfStock'!AU35+'T_TTAFStock'!AU35,AT31+'Grid_Incoming'!AU31-'Grid_Requirement'!AU31))</f>
        <v/>
      </c>
      <c r="AV31">
        <f>IF(COUNTIFS(T_StockCount[Part Name],$A31,T_StockCount[WeekIndex],47)&gt;0,SUMIFS(T_StockCount[CountedQty],T_StockCount[Part Name],$A31,T_StockCount[WeekIndex],47),IF((('T_SelfStock'!AV35&lt;&gt;""))*(('T_TTAFStock'!AV35&lt;&gt;""))&gt;0,'T_SelfStock'!AV35+'T_TTAFStock'!AV35,AU31+'Grid_Incoming'!AV31-'Grid_Requirement'!AV31))</f>
        <v/>
      </c>
      <c r="AW31">
        <f>IF(COUNTIFS(T_StockCount[Part Name],$A31,T_StockCount[WeekIndex],48)&gt;0,SUMIFS(T_StockCount[CountedQty],T_StockCount[Part Name],$A31,T_StockCount[WeekIndex],48),IF((('T_SelfStock'!AW35&lt;&gt;""))*(('T_TTAFStock'!AW35&lt;&gt;""))&gt;0,'T_SelfStock'!AW35+'T_TTAFStock'!AW35,AV31+'Grid_Incoming'!AW31-'Grid_Requirement'!AW31))</f>
        <v/>
      </c>
      <c r="AX31">
        <f>IF(COUNTIFS(T_StockCount[Part Name],$A31,T_StockCount[WeekIndex],49)&gt;0,SUMIFS(T_StockCount[CountedQty],T_StockCount[Part Name],$A31,T_StockCount[WeekIndex],49),IF((('T_SelfStock'!AX35&lt;&gt;""))*(('T_TTAFStock'!AX35&lt;&gt;""))&gt;0,'T_SelfStock'!AX35+'T_TTAFStock'!AX35,AW31+'Grid_Incoming'!AX31-'Grid_Requirement'!AX31))</f>
        <v/>
      </c>
      <c r="AY31">
        <f>IF(COUNTIFS(T_StockCount[Part Name],$A31,T_StockCount[WeekIndex],50)&gt;0,SUMIFS(T_StockCount[CountedQty],T_StockCount[Part Name],$A31,T_StockCount[WeekIndex],50),IF((('T_SelfStock'!AY35&lt;&gt;""))*(('T_TTAFStock'!AY35&lt;&gt;""))&gt;0,'T_SelfStock'!AY35+'T_TTAFStock'!AY35,AX31+'Grid_Incoming'!AY31-'Grid_Requirement'!AY31))</f>
        <v/>
      </c>
      <c r="AZ31">
        <f>IF(COUNTIFS(T_StockCount[Part Name],$A31,T_StockCount[WeekIndex],51)&gt;0,SUMIFS(T_StockCount[CountedQty],T_StockCount[Part Name],$A31,T_StockCount[WeekIndex],51),IF((('T_SelfStock'!AZ35&lt;&gt;""))*(('T_TTAFStock'!AZ35&lt;&gt;""))&gt;0,'T_SelfStock'!AZ35+'T_TTAFStock'!AZ35,AY31+'Grid_Incoming'!AZ31-'Grid_Requirement'!AZ31))</f>
        <v/>
      </c>
      <c r="BA31">
        <f>IF(COUNTIFS(T_StockCount[Part Name],$A31,T_StockCount[WeekIndex],52)&gt;0,SUMIFS(T_StockCount[CountedQty],T_StockCount[Part Name],$A31,T_StockCount[WeekIndex],52),IF((('T_SelfStock'!BA35&lt;&gt;""))*(('T_TTAFStock'!BA35&lt;&gt;""))&gt;0,'T_SelfStock'!BA35+'T_TTAFStock'!BA35,AZ31+'Grid_Incoming'!BA31-'Grid_Requirement'!BA31))</f>
        <v/>
      </c>
      <c r="BB31">
        <f>IF(COUNTIFS(T_StockCount[Part Name],$A31,T_StockCount[WeekIndex],53)&gt;0,SUMIFS(T_StockCount[CountedQty],T_StockCount[Part Name],$A31,T_StockCount[WeekIndex],53),IF((('T_SelfStock'!BB35&lt;&gt;""))*(('T_TTAFStock'!BB35&lt;&gt;""))&gt;0,'T_SelfStock'!BB35+'T_TTAFStock'!BB35,BA31+'Grid_Incoming'!BB31-'Grid_Requirement'!BB31))</f>
        <v/>
      </c>
      <c r="BC31">
        <f>IF(COUNTIFS(T_StockCount[Part Name],$A31,T_StockCount[WeekIndex],54)&gt;0,SUMIFS(T_StockCount[CountedQty],T_StockCount[Part Name],$A31,T_StockCount[WeekIndex],54),IF((('T_SelfStock'!BC35&lt;&gt;""))*(('T_TTAFStock'!BC35&lt;&gt;""))&gt;0,'T_SelfStock'!BC35+'T_TTAFStock'!BC35,BB31+'Grid_Incoming'!BC31-'Grid_Requirement'!BC31))</f>
        <v/>
      </c>
      <c r="BD31">
        <f>IF(COUNTIFS(T_StockCount[Part Name],$A31,T_StockCount[WeekIndex],55)&gt;0,SUMIFS(T_StockCount[CountedQty],T_StockCount[Part Name],$A31,T_StockCount[WeekIndex],55),IF((('T_SelfStock'!BD35&lt;&gt;""))*(('T_TTAFStock'!BD35&lt;&gt;""))&gt;0,'T_SelfStock'!BD35+'T_TTAFStock'!BD35,BC31+'Grid_Incoming'!BD31-'Grid_Requirement'!BD31))</f>
        <v/>
      </c>
      <c r="BE31">
        <f>IF(COUNTIFS(T_StockCount[Part Name],$A31,T_StockCount[WeekIndex],56)&gt;0,SUMIFS(T_StockCount[CountedQty],T_StockCount[Part Name],$A31,T_StockCount[WeekIndex],56),IF((('T_SelfStock'!BE35&lt;&gt;""))*(('T_TTAFStock'!BE35&lt;&gt;""))&gt;0,'T_SelfStock'!BE35+'T_TTAFStock'!BE35,BD31+'Grid_Incoming'!BE31-'Grid_Requirement'!BE31))</f>
        <v/>
      </c>
      <c r="BF31">
        <f>IF(COUNTIFS(T_StockCount[Part Name],$A31,T_StockCount[WeekIndex],57)&gt;0,SUMIFS(T_StockCount[CountedQty],T_StockCount[Part Name],$A31,T_StockCount[WeekIndex],57),IF((('T_SelfStock'!BF35&lt;&gt;""))*(('T_TTAFStock'!BF35&lt;&gt;""))&gt;0,'T_SelfStock'!BF35+'T_TTAFStock'!BF35,BE31+'Grid_Incoming'!BF31-'Grid_Requirement'!BF31))</f>
        <v/>
      </c>
      <c r="BG31">
        <f>IF(COUNTIFS(T_StockCount[Part Name],$A31,T_StockCount[WeekIndex],58)&gt;0,SUMIFS(T_StockCount[CountedQty],T_StockCount[Part Name],$A31,T_StockCount[WeekIndex],58),IF((('T_SelfStock'!BG35&lt;&gt;""))*(('T_TTAFStock'!BG35&lt;&gt;""))&gt;0,'T_SelfStock'!BG35+'T_TTAFStock'!BG35,BF31+'Grid_Incoming'!BG31-'Grid_Requirement'!BG31))</f>
        <v/>
      </c>
      <c r="BH31">
        <f>IF(COUNTIFS(T_StockCount[Part Name],$A31,T_StockCount[WeekIndex],59)&gt;0,SUMIFS(T_StockCount[CountedQty],T_StockCount[Part Name],$A31,T_StockCount[WeekIndex],59),IF((('T_SelfStock'!BH35&lt;&gt;""))*(('T_TTAFStock'!BH35&lt;&gt;""))&gt;0,'T_SelfStock'!BH35+'T_TTAFStock'!BH35,BG31+'Grid_Incoming'!BH31-'Grid_Requirement'!BH31))</f>
        <v/>
      </c>
      <c r="BI31">
        <f>IF(COUNTIFS(T_StockCount[Part Name],$A31,T_StockCount[WeekIndex],60)&gt;0,SUMIFS(T_StockCount[CountedQty],T_StockCount[Part Name],$A31,T_StockCount[WeekIndex],60),IF((('T_SelfStock'!BI35&lt;&gt;""))*(('T_TTAFStock'!BI35&lt;&gt;""))&gt;0,'T_SelfStock'!BI35+'T_TTAFStock'!BI35,BH31+'Grid_Incoming'!BI31-'Grid_Requirement'!BI31))</f>
        <v/>
      </c>
      <c r="BJ31">
        <f>IF(COUNTIFS(T_StockCount[Part Name],$A31,T_StockCount[WeekIndex],61)&gt;0,SUMIFS(T_StockCount[CountedQty],T_StockCount[Part Name],$A31,T_StockCount[WeekIndex],61),IF((('T_SelfStock'!BJ35&lt;&gt;""))*(('T_TTAFStock'!BJ35&lt;&gt;""))&gt;0,'T_SelfStock'!BJ35+'T_TTAFStock'!BJ35,BI31+'Grid_Incoming'!BJ31-'Grid_Requirement'!BJ31))</f>
        <v/>
      </c>
      <c r="BK31">
        <f>IF(COUNTIFS(T_StockCount[Part Name],$A31,T_StockCount[WeekIndex],62)&gt;0,SUMIFS(T_StockCount[CountedQty],T_StockCount[Part Name],$A31,T_StockCount[WeekIndex],62),IF((('T_SelfStock'!BK35&lt;&gt;""))*(('T_TTAFStock'!BK35&lt;&gt;""))&gt;0,'T_SelfStock'!BK35+'T_TTAFStock'!BK35,BJ31+'Grid_Incoming'!BK31-'Grid_Requirement'!BK31))</f>
        <v/>
      </c>
      <c r="BL31">
        <f>IF(COUNTIFS(T_StockCount[Part Name],$A31,T_StockCount[WeekIndex],63)&gt;0,SUMIFS(T_StockCount[CountedQty],T_StockCount[Part Name],$A31,T_StockCount[WeekIndex],63),IF((('T_SelfStock'!BL35&lt;&gt;""))*(('T_TTAFStock'!BL35&lt;&gt;""))&gt;0,'T_SelfStock'!BL35+'T_TTAFStock'!BL35,BK31+'Grid_Incoming'!BL31-'Grid_Requirement'!BL31))</f>
        <v/>
      </c>
      <c r="BM31">
        <f>IF(COUNTIFS(T_StockCount[Part Name],$A31,T_StockCount[WeekIndex],64)&gt;0,SUMIFS(T_StockCount[CountedQty],T_StockCount[Part Name],$A31,T_StockCount[WeekIndex],64),IF((('T_SelfStock'!BM35&lt;&gt;""))*(('T_TTAFStock'!BM35&lt;&gt;""))&gt;0,'T_SelfStock'!BM35+'T_TTAFStock'!BM35,BL31+'Grid_Incoming'!BM31-'Grid_Requirement'!BM31))</f>
        <v/>
      </c>
      <c r="BN31">
        <f>IF(COUNTIFS(T_StockCount[Part Name],$A31,T_StockCount[WeekIndex],65)&gt;0,SUMIFS(T_StockCount[CountedQty],T_StockCount[Part Name],$A31,T_StockCount[WeekIndex],65),IF((('T_SelfStock'!BN35&lt;&gt;""))*(('T_TTAFStock'!BN35&lt;&gt;""))&gt;0,'T_SelfStock'!BN35+'T_TTAFStock'!BN35,BM31+'Grid_Incoming'!BN31-'Grid_Requirement'!BN31))</f>
        <v/>
      </c>
      <c r="BO31">
        <f>IF(COUNTIFS(T_StockCount[Part Name],$A31,T_StockCount[WeekIndex],66)&gt;0,SUMIFS(T_StockCount[CountedQty],T_StockCount[Part Name],$A31,T_StockCount[WeekIndex],66),IF((('T_SelfStock'!BO35&lt;&gt;""))*(('T_TTAFStock'!BO35&lt;&gt;""))&gt;0,'T_SelfStock'!BO35+'T_TTAFStock'!BO35,BN31+'Grid_Incoming'!BO31-'Grid_Requirement'!BO31))</f>
        <v/>
      </c>
      <c r="BP31">
        <f>IF(COUNTIFS(T_StockCount[Part Name],$A31,T_StockCount[WeekIndex],67)&gt;0,SUMIFS(T_StockCount[CountedQty],T_StockCount[Part Name],$A31,T_StockCount[WeekIndex],67),IF((('T_SelfStock'!BP35&lt;&gt;""))*(('T_TTAFStock'!BP35&lt;&gt;""))&gt;0,'T_SelfStock'!BP35+'T_TTAFStock'!BP35,BO31+'Grid_Incoming'!BP31-'Grid_Requirement'!BP31))</f>
        <v/>
      </c>
      <c r="BQ31">
        <f>IF(COUNTIFS(T_StockCount[Part Name],$A31,T_StockCount[WeekIndex],68)&gt;0,SUMIFS(T_StockCount[CountedQty],T_StockCount[Part Name],$A31,T_StockCount[WeekIndex],68),IF((('T_SelfStock'!BQ35&lt;&gt;""))*(('T_TTAFStock'!BQ35&lt;&gt;""))&gt;0,'T_SelfStock'!BQ35+'T_TTAFStock'!BQ35,BP31+'Grid_Incoming'!BQ31-'Grid_Requirement'!BQ31))</f>
        <v/>
      </c>
      <c r="BR31">
        <f>IF(COUNTIFS(T_StockCount[Part Name],$A31,T_StockCount[WeekIndex],69)&gt;0,SUMIFS(T_StockCount[CountedQty],T_StockCount[Part Name],$A31,T_StockCount[WeekIndex],69),IF((('T_SelfStock'!BR35&lt;&gt;""))*(('T_TTAFStock'!BR35&lt;&gt;""))&gt;0,'T_SelfStock'!BR35+'T_TTAFStock'!BR35,BQ31+'Grid_Incoming'!BR31-'Grid_Requirement'!BR31))</f>
        <v/>
      </c>
      <c r="BS31">
        <f>IF(COUNTIFS(T_StockCount[Part Name],$A31,T_StockCount[WeekIndex],70)&gt;0,SUMIFS(T_StockCount[CountedQty],T_StockCount[Part Name],$A31,T_StockCount[WeekIndex],70),IF((('T_SelfStock'!BS35&lt;&gt;""))*(('T_TTAFStock'!BS35&lt;&gt;""))&gt;0,'T_SelfStock'!BS35+'T_TTAFStock'!BS35,BR31+'Grid_Incoming'!BS31-'Grid_Requirement'!BS31))</f>
        <v/>
      </c>
      <c r="BT31">
        <f>IF(COUNTIFS(T_StockCount[Part Name],$A31,T_StockCount[WeekIndex],71)&gt;0,SUMIFS(T_StockCount[CountedQty],T_StockCount[Part Name],$A31,T_StockCount[WeekIndex],71),IF((('T_SelfStock'!BT35&lt;&gt;""))*(('T_TTAFStock'!BT35&lt;&gt;""))&gt;0,'T_SelfStock'!BT35+'T_TTAFStock'!BT35,BS31+'Grid_Incoming'!BT31-'Grid_Requirement'!BT31))</f>
        <v/>
      </c>
      <c r="BU31">
        <f>IF(COUNTIFS(T_StockCount[Part Name],$A31,T_StockCount[WeekIndex],72)&gt;0,SUMIFS(T_StockCount[CountedQty],T_StockCount[Part Name],$A31,T_StockCount[WeekIndex],72),IF((('T_SelfStock'!BU35&lt;&gt;""))*(('T_TTAFStock'!BU35&lt;&gt;""))&gt;0,'T_SelfStock'!BU35+'T_TTAFStock'!BU35,BT31+'Grid_Incoming'!BU31-'Grid_Requirement'!BU31))</f>
        <v/>
      </c>
      <c r="BV31">
        <f>IF(COUNTIFS(T_StockCount[Part Name],$A31,T_StockCount[WeekIndex],73)&gt;0,SUMIFS(T_StockCount[CountedQty],T_StockCount[Part Name],$A31,T_StockCount[WeekIndex],73),IF((('T_SelfStock'!BV35&lt;&gt;""))*(('T_TTAFStock'!BV35&lt;&gt;""))&gt;0,'T_SelfStock'!BV35+'T_TTAFStock'!BV35,BU31+'Grid_Incoming'!BV31-'Grid_Requirement'!BV31))</f>
        <v/>
      </c>
      <c r="BW31">
        <f>IF(COUNTIFS(T_StockCount[Part Name],$A31,T_StockCount[WeekIndex],74)&gt;0,SUMIFS(T_StockCount[CountedQty],T_StockCount[Part Name],$A31,T_StockCount[WeekIndex],74),IF((('T_SelfStock'!BW35&lt;&gt;""))*(('T_TTAFStock'!BW35&lt;&gt;""))&gt;0,'T_SelfStock'!BW35+'T_TTAFStock'!BW35,BV31+'Grid_Incoming'!BW31-'Grid_Requirement'!BW31))</f>
        <v/>
      </c>
      <c r="BX31">
        <f>IF(COUNTIFS(T_StockCount[Part Name],$A31,T_StockCount[WeekIndex],75)&gt;0,SUMIFS(T_StockCount[CountedQty],T_StockCount[Part Name],$A31,T_StockCount[WeekIndex],75),IF((('T_SelfStock'!BX35&lt;&gt;""))*(('T_TTAFStock'!BX35&lt;&gt;""))&gt;0,'T_SelfStock'!BX35+'T_TTAFStock'!BX35,BW31+'Grid_Incoming'!BX31-'Grid_Requirement'!BX31))</f>
        <v/>
      </c>
      <c r="BY31">
        <f>IF(COUNTIFS(T_StockCount[Part Name],$A31,T_StockCount[WeekIndex],76)&gt;0,SUMIFS(T_StockCount[CountedQty],T_StockCount[Part Name],$A31,T_StockCount[WeekIndex],76),IF((('T_SelfStock'!BY35&lt;&gt;""))*(('T_TTAFStock'!BY35&lt;&gt;""))&gt;0,'T_SelfStock'!BY35+'T_TTAFStock'!BY35,BX31+'Grid_Incoming'!BY31-'Grid_Requirement'!BY31))</f>
        <v/>
      </c>
      <c r="BZ31">
        <f>IF(COUNTIFS(T_StockCount[Part Name],$A31,T_StockCount[WeekIndex],77)&gt;0,SUMIFS(T_StockCount[CountedQty],T_StockCount[Part Name],$A31,T_StockCount[WeekIndex],77),IF((('T_SelfStock'!BZ35&lt;&gt;""))*(('T_TTAFStock'!BZ35&lt;&gt;""))&gt;0,'T_SelfStock'!BZ35+'T_TTAFStock'!BZ35,BY31+'Grid_Incoming'!BZ31-'Grid_Requirement'!BZ31))</f>
        <v/>
      </c>
      <c r="CA31">
        <f>IF(COUNTIFS(T_StockCount[Part Name],$A31,T_StockCount[WeekIndex],78)&gt;0,SUMIFS(T_StockCount[CountedQty],T_StockCount[Part Name],$A31,T_StockCount[WeekIndex],78),IF((('T_SelfStock'!CA35&lt;&gt;""))*(('T_TTAFStock'!CA35&lt;&gt;""))&gt;0,'T_SelfStock'!CA35+'T_TTAFStock'!CA35,BZ31+'Grid_Incoming'!CA31-'Grid_Requirement'!CA31))</f>
        <v/>
      </c>
      <c r="CB31">
        <f>IF(COUNTIFS(T_StockCount[Part Name],$A31,T_StockCount[WeekIndex],79)&gt;0,SUMIFS(T_StockCount[CountedQty],T_StockCount[Part Name],$A31,T_StockCount[WeekIndex],79),IF((('T_SelfStock'!CB35&lt;&gt;""))*(('T_TTAFStock'!CB35&lt;&gt;""))&gt;0,'T_SelfStock'!CB35+'T_TTAFStock'!CB35,CA31+'Grid_Incoming'!CB31-'Grid_Requirement'!CB31))</f>
        <v/>
      </c>
      <c r="CC31">
        <f>IF(COUNTIFS(T_StockCount[Part Name],$A31,T_StockCount[WeekIndex],80)&gt;0,SUMIFS(T_StockCount[CountedQty],T_StockCount[Part Name],$A31,T_StockCount[WeekIndex],80),IF((('T_SelfStock'!CC35&lt;&gt;""))*(('T_TTAFStock'!CC35&lt;&gt;""))&gt;0,'T_SelfStock'!CC35+'T_TTAFStock'!CC35,CB31+'Grid_Incoming'!CC31-'Grid_Requirement'!CC31))</f>
        <v/>
      </c>
      <c r="CD31">
        <f>IF(COUNTIFS(T_StockCount[Part Name],$A31,T_StockCount[WeekIndex],81)&gt;0,SUMIFS(T_StockCount[CountedQty],T_StockCount[Part Name],$A31,T_StockCount[WeekIndex],81),IF((('T_SelfStock'!CD35&lt;&gt;""))*(('T_TTAFStock'!CD35&lt;&gt;""))&gt;0,'T_SelfStock'!CD35+'T_TTAFStock'!CD35,CC31+'Grid_Incoming'!CD31-'Grid_Requirement'!CD31))</f>
        <v/>
      </c>
      <c r="CE31">
        <f>IF(COUNTIFS(T_StockCount[Part Name],$A31,T_StockCount[WeekIndex],82)&gt;0,SUMIFS(T_StockCount[CountedQty],T_StockCount[Part Name],$A31,T_StockCount[WeekIndex],82),IF((('T_SelfStock'!CE35&lt;&gt;""))*(('T_TTAFStock'!CE35&lt;&gt;""))&gt;0,'T_SelfStock'!CE35+'T_TTAFStock'!CE35,CD31+'Grid_Incoming'!CE31-'Grid_Requirement'!CE31))</f>
        <v/>
      </c>
      <c r="CF31">
        <f>IF(COUNTIFS(T_StockCount[Part Name],$A31,T_StockCount[WeekIndex],83)&gt;0,SUMIFS(T_StockCount[CountedQty],T_StockCount[Part Name],$A31,T_StockCount[WeekIndex],83),IF((('T_SelfStock'!CF35&lt;&gt;""))*(('T_TTAFStock'!CF35&lt;&gt;""))&gt;0,'T_SelfStock'!CF35+'T_TTAFStock'!CF35,CE31+'Grid_Incoming'!CF31-'Grid_Requirement'!CF31))</f>
        <v/>
      </c>
      <c r="CG31">
        <f>IF(COUNTIFS(T_StockCount[Part Name],$A31,T_StockCount[WeekIndex],84)&gt;0,SUMIFS(T_StockCount[CountedQty],T_StockCount[Part Name],$A31,T_StockCount[WeekIndex],84),IF((('T_SelfStock'!CG35&lt;&gt;""))*(('T_TTAFStock'!CG35&lt;&gt;""))&gt;0,'T_SelfStock'!CG35+'T_TTAFStock'!CG35,CF31+'Grid_Incoming'!CG31-'Grid_Requirement'!CG31))</f>
        <v/>
      </c>
      <c r="CH31">
        <f>IF(COUNTIFS(T_StockCount[Part Name],$A31,T_StockCount[WeekIndex],85)&gt;0,SUMIFS(T_StockCount[CountedQty],T_StockCount[Part Name],$A31,T_StockCount[WeekIndex],85),IF((('T_SelfStock'!CH35&lt;&gt;""))*(('T_TTAFStock'!CH35&lt;&gt;""))&gt;0,'T_SelfStock'!CH35+'T_TTAFStock'!CH35,CG31+'Grid_Incoming'!CH31-'Grid_Requirement'!CH31))</f>
        <v/>
      </c>
      <c r="CI31">
        <f>IF(COUNTIFS(T_StockCount[Part Name],$A31,T_StockCount[WeekIndex],86)&gt;0,SUMIFS(T_StockCount[CountedQty],T_StockCount[Part Name],$A31,T_StockCount[WeekIndex],86),IF((('T_SelfStock'!CI35&lt;&gt;""))*(('T_TTAFStock'!CI35&lt;&gt;""))&gt;0,'T_SelfStock'!CI35+'T_TTAFStock'!CI35,CH31+'Grid_Incoming'!CI31-'Grid_Requirement'!CI31))</f>
        <v/>
      </c>
      <c r="CJ31">
        <f>IF(COUNTIFS(T_StockCount[Part Name],$A31,T_StockCount[WeekIndex],87)&gt;0,SUMIFS(T_StockCount[CountedQty],T_StockCount[Part Name],$A31,T_StockCount[WeekIndex],87),IF((('T_SelfStock'!CJ35&lt;&gt;""))*(('T_TTAFStock'!CJ35&lt;&gt;""))&gt;0,'T_SelfStock'!CJ35+'T_TTAFStock'!CJ35,CI31+'Grid_Incoming'!CJ31-'Grid_Requirement'!CJ31))</f>
        <v/>
      </c>
      <c r="CK31">
        <f>IF(COUNTIFS(T_StockCount[Part Name],$A31,T_StockCount[WeekIndex],88)&gt;0,SUMIFS(T_StockCount[CountedQty],T_StockCount[Part Name],$A31,T_StockCount[WeekIndex],88),IF((('T_SelfStock'!CK35&lt;&gt;""))*(('T_TTAFStock'!CK35&lt;&gt;""))&gt;0,'T_SelfStock'!CK35+'T_TTAFStock'!CK35,CJ31+'Grid_Incoming'!CK31-'Grid_Requirement'!CK31))</f>
        <v/>
      </c>
      <c r="CL31">
        <f>IF(COUNTIFS(T_StockCount[Part Name],$A31,T_StockCount[WeekIndex],89)&gt;0,SUMIFS(T_StockCount[CountedQty],T_StockCount[Part Name],$A31,T_StockCount[WeekIndex],89),IF((('T_SelfStock'!CL35&lt;&gt;""))*(('T_TTAFStock'!CL35&lt;&gt;""))&gt;0,'T_SelfStock'!CL35+'T_TTAFStock'!CL35,CK31+'Grid_Incoming'!CL31-'Grid_Requirement'!CL31))</f>
        <v/>
      </c>
      <c r="CM31">
        <f>IF(COUNTIFS(T_StockCount[Part Name],$A31,T_StockCount[WeekIndex],90)&gt;0,SUMIFS(T_StockCount[CountedQty],T_StockCount[Part Name],$A31,T_StockCount[WeekIndex],90),IF((('T_SelfStock'!CM35&lt;&gt;""))*(('T_TTAFStock'!CM35&lt;&gt;""))&gt;0,'T_SelfStock'!CM35+'T_TTAFStock'!CM35,CL31+'Grid_Incoming'!CM31-'Grid_Requirement'!CM31))</f>
        <v/>
      </c>
      <c r="CN31">
        <f>IF(COUNTIFS(T_StockCount[Part Name],$A31,T_StockCount[WeekIndex],91)&gt;0,SUMIFS(T_StockCount[CountedQty],T_StockCount[Part Name],$A31,T_StockCount[WeekIndex],91),IF((('T_SelfStock'!CN35&lt;&gt;""))*(('T_TTAFStock'!CN35&lt;&gt;""))&gt;0,'T_SelfStock'!CN35+'T_TTAFStock'!CN35,CM31+'Grid_Incoming'!CN31-'Grid_Requirement'!CN31))</f>
        <v/>
      </c>
      <c r="CO31">
        <f>IF(COUNTIFS(T_StockCount[Part Name],$A31,T_StockCount[WeekIndex],92)&gt;0,SUMIFS(T_StockCount[CountedQty],T_StockCount[Part Name],$A31,T_StockCount[WeekIndex],92),IF((('T_SelfStock'!CO35&lt;&gt;""))*(('T_TTAFStock'!CO35&lt;&gt;""))&gt;0,'T_SelfStock'!CO35+'T_TTAFStock'!CO35,CN31+'Grid_Incoming'!CO31-'Grid_Requirement'!CO31))</f>
        <v/>
      </c>
      <c r="CP31">
        <f>IF(COUNTIFS(T_StockCount[Part Name],$A31,T_StockCount[WeekIndex],93)&gt;0,SUMIFS(T_StockCount[CountedQty],T_StockCount[Part Name],$A31,T_StockCount[WeekIndex],93),IF((('T_SelfStock'!CP35&lt;&gt;""))*(('T_TTAFStock'!CP35&lt;&gt;""))&gt;0,'T_SelfStock'!CP35+'T_TTAFStock'!CP35,CO31+'Grid_Incoming'!CP31-'Grid_Requirement'!CP31))</f>
        <v/>
      </c>
      <c r="CQ31">
        <f>IF(COUNTIFS(T_StockCount[Part Name],$A31,T_StockCount[WeekIndex],94)&gt;0,SUMIFS(T_StockCount[CountedQty],T_StockCount[Part Name],$A31,T_StockCount[WeekIndex],94),IF((('T_SelfStock'!CQ35&lt;&gt;""))*(('T_TTAFStock'!CQ35&lt;&gt;""))&gt;0,'T_SelfStock'!CQ35+'T_TTAFStock'!CQ35,CP31+'Grid_Incoming'!CQ31-'Grid_Requirement'!CQ31))</f>
        <v/>
      </c>
      <c r="CR31">
        <f>IF(COUNTIFS(T_StockCount[Part Name],$A31,T_StockCount[WeekIndex],95)&gt;0,SUMIFS(T_StockCount[CountedQty],T_StockCount[Part Name],$A31,T_StockCount[WeekIndex],95),IF((('T_SelfStock'!CR35&lt;&gt;""))*(('T_TTAFStock'!CR35&lt;&gt;""))&gt;0,'T_SelfStock'!CR35+'T_TTAFStock'!CR35,CQ31+'Grid_Incoming'!CR31-'Grid_Requirement'!CR31))</f>
        <v/>
      </c>
      <c r="CS31">
        <f>IF(COUNTIFS(T_StockCount[Part Name],$A31,T_StockCount[WeekIndex],96)&gt;0,SUMIFS(T_StockCount[CountedQty],T_StockCount[Part Name],$A31,T_StockCount[WeekIndex],96),IF((('T_SelfStock'!CS35&lt;&gt;""))*(('T_TTAFStock'!CS35&lt;&gt;""))&gt;0,'T_SelfStock'!CS35+'T_TTAFStock'!CS35,CR31+'Grid_Incoming'!CS31-'Grid_Requirement'!CS31))</f>
        <v/>
      </c>
      <c r="CT31">
        <f>IF(COUNTIFS(T_StockCount[Part Name],$A31,T_StockCount[WeekIndex],97)&gt;0,SUMIFS(T_StockCount[CountedQty],T_StockCount[Part Name],$A31,T_StockCount[WeekIndex],97),IF((('T_SelfStock'!CT35&lt;&gt;""))*(('T_TTAFStock'!CT35&lt;&gt;""))&gt;0,'T_SelfStock'!CT35+'T_TTAFStock'!CT35,CS31+'Grid_Incoming'!CT31-'Grid_Requirement'!CT31))</f>
        <v/>
      </c>
      <c r="CU31">
        <f>IF(COUNTIFS(T_StockCount[Part Name],$A31,T_StockCount[WeekIndex],98)&gt;0,SUMIFS(T_StockCount[CountedQty],T_StockCount[Part Name],$A31,T_StockCount[WeekIndex],98),IF((('T_SelfStock'!CU35&lt;&gt;""))*(('T_TTAFStock'!CU35&lt;&gt;""))&gt;0,'T_SelfStock'!CU35+'T_TTAFStock'!CU35,CT31+'Grid_Incoming'!CU31-'Grid_Requirement'!CU31))</f>
        <v/>
      </c>
      <c r="CV31">
        <f>IF(COUNTIFS(T_StockCount[Part Name],$A31,T_StockCount[WeekIndex],99)&gt;0,SUMIFS(T_StockCount[CountedQty],T_StockCount[Part Name],$A31,T_StockCount[WeekIndex],99),IF((('T_SelfStock'!CV35&lt;&gt;""))*(('T_TTAFStock'!CV35&lt;&gt;""))&gt;0,'T_SelfStock'!CV35+'T_TTAFStock'!CV35,CU31+'Grid_Incoming'!CV31-'Grid_Requirement'!CV31))</f>
        <v/>
      </c>
      <c r="CW31">
        <f>IF(COUNTIFS(T_StockCount[Part Name],$A31,T_StockCount[WeekIndex],100)&gt;0,SUMIFS(T_StockCount[CountedQty],T_StockCount[Part Name],$A31,T_StockCount[WeekIndex],100),IF((('T_SelfStock'!CW35&lt;&gt;""))*(('T_TTAFStock'!CW35&lt;&gt;""))&gt;0,'T_SelfStock'!CW35+'T_TTAFStock'!CW35,CV31+'Grid_Incoming'!CW31-'Grid_Requirement'!CW31))</f>
        <v/>
      </c>
      <c r="CX31">
        <f>IF(COUNTIFS(T_StockCount[Part Name],$A31,T_StockCount[WeekIndex],101)&gt;0,SUMIFS(T_StockCount[CountedQty],T_StockCount[Part Name],$A31,T_StockCount[WeekIndex],101),IF((('T_SelfStock'!CX35&lt;&gt;""))*(('T_TTAFStock'!CX35&lt;&gt;""))&gt;0,'T_SelfStock'!CX35+'T_TTAFStock'!CX35,CW31+'Grid_Incoming'!CX31-'Grid_Requirement'!CX31))</f>
        <v/>
      </c>
      <c r="CY31">
        <f>IF(COUNTIFS(T_StockCount[Part Name],$A31,T_StockCount[WeekIndex],102)&gt;0,SUMIFS(T_StockCount[CountedQty],T_StockCount[Part Name],$A31,T_StockCount[WeekIndex],102),IF((('T_SelfStock'!CY35&lt;&gt;""))*(('T_TTAFStock'!CY35&lt;&gt;""))&gt;0,'T_SelfStock'!CY35+'T_TTAFStock'!CY35,CX31+'Grid_Incoming'!CY31-'Grid_Requirement'!CY31))</f>
        <v/>
      </c>
      <c r="CZ31">
        <f>IF(COUNTIFS(T_StockCount[Part Name],$A31,T_StockCount[WeekIndex],103)&gt;0,SUMIFS(T_StockCount[CountedQty],T_StockCount[Part Name],$A31,T_StockCount[WeekIndex],103),IF((('T_SelfStock'!CZ35&lt;&gt;""))*(('T_TTAFStock'!CZ35&lt;&gt;""))&gt;0,'T_SelfStock'!CZ35+'T_TTAFStock'!CZ35,CY31+'Grid_Incoming'!CZ31-'Grid_Requirement'!CZ31))</f>
        <v/>
      </c>
      <c r="DA31">
        <f>IF(COUNTIFS(T_StockCount[Part Name],$A31,T_StockCount[WeekIndex],104)&gt;0,SUMIFS(T_StockCount[CountedQty],T_StockCount[Part Name],$A31,T_StockCount[WeekIndex],104),IF((('T_SelfStock'!DA35&lt;&gt;""))*(('T_TTAFStock'!DA35&lt;&gt;""))&gt;0,'T_SelfStock'!DA35+'T_TTAFStock'!DA35,CZ31+'Grid_Incoming'!DA31-'Grid_Requirement'!DA31))</f>
        <v/>
      </c>
    </row>
    <row r="32">
      <c r="A32" t="inlineStr">
        <is>
          <t>CHEM-1430</t>
        </is>
      </c>
      <c r="B32">
        <f>IF(COUNTIFS(T_StockCount[Part Name],$A32,T_StockCount[WeekIndex],1)&gt;0,SUMIFS(T_StockCount[CountedQty],T_StockCount[Part Name],$A32,T_StockCount[WeekIndex],1),IF((('T_SelfStock'!B36&lt;&gt;""))*(('T_TTAFStock'!B36&lt;&gt;""))&gt;0,'T_SelfStock'!B36+'T_TTAFStock'!B36,IFERROR(INDEX(T_OpeningStock[Opening_Qty],MATCH($A32,T_OpeningStock[Part Name],0)),0)+'Grid_Incoming'!B32-'Grid_Requirement'!B32))</f>
        <v/>
      </c>
      <c r="C32">
        <f>IF(COUNTIFS(T_StockCount[Part Name],$A32,T_StockCount[WeekIndex],2)&gt;0,SUMIFS(T_StockCount[CountedQty],T_StockCount[Part Name],$A32,T_StockCount[WeekIndex],2),IF((('T_SelfStock'!C36&lt;&gt;""))*(('T_TTAFStock'!C36&lt;&gt;""))&gt;0,'T_SelfStock'!C36+'T_TTAFStock'!C36,B32+'Grid_Incoming'!C32-'Grid_Requirement'!C32))</f>
        <v/>
      </c>
      <c r="D32">
        <f>IF(COUNTIFS(T_StockCount[Part Name],$A32,T_StockCount[WeekIndex],3)&gt;0,SUMIFS(T_StockCount[CountedQty],T_StockCount[Part Name],$A32,T_StockCount[WeekIndex],3),IF((('T_SelfStock'!D36&lt;&gt;""))*(('T_TTAFStock'!D36&lt;&gt;""))&gt;0,'T_SelfStock'!D36+'T_TTAFStock'!D36,C32+'Grid_Incoming'!D32-'Grid_Requirement'!D32))</f>
        <v/>
      </c>
      <c r="E32">
        <f>IF(COUNTIFS(T_StockCount[Part Name],$A32,T_StockCount[WeekIndex],4)&gt;0,SUMIFS(T_StockCount[CountedQty],T_StockCount[Part Name],$A32,T_StockCount[WeekIndex],4),IF((('T_SelfStock'!E36&lt;&gt;""))*(('T_TTAFStock'!E36&lt;&gt;""))&gt;0,'T_SelfStock'!E36+'T_TTAFStock'!E36,D32+'Grid_Incoming'!E32-'Grid_Requirement'!E32))</f>
        <v/>
      </c>
      <c r="F32">
        <f>IF(COUNTIFS(T_StockCount[Part Name],$A32,T_StockCount[WeekIndex],5)&gt;0,SUMIFS(T_StockCount[CountedQty],T_StockCount[Part Name],$A32,T_StockCount[WeekIndex],5),IF((('T_SelfStock'!F36&lt;&gt;""))*(('T_TTAFStock'!F36&lt;&gt;""))&gt;0,'T_SelfStock'!F36+'T_TTAFStock'!F36,E32+'Grid_Incoming'!F32-'Grid_Requirement'!F32))</f>
        <v/>
      </c>
      <c r="G32">
        <f>IF(COUNTIFS(T_StockCount[Part Name],$A32,T_StockCount[WeekIndex],6)&gt;0,SUMIFS(T_StockCount[CountedQty],T_StockCount[Part Name],$A32,T_StockCount[WeekIndex],6),IF((('T_SelfStock'!G36&lt;&gt;""))*(('T_TTAFStock'!G36&lt;&gt;""))&gt;0,'T_SelfStock'!G36+'T_TTAFStock'!G36,F32+'Grid_Incoming'!G32-'Grid_Requirement'!G32))</f>
        <v/>
      </c>
      <c r="H32">
        <f>IF(COUNTIFS(T_StockCount[Part Name],$A32,T_StockCount[WeekIndex],7)&gt;0,SUMIFS(T_StockCount[CountedQty],T_StockCount[Part Name],$A32,T_StockCount[WeekIndex],7),IF((('T_SelfStock'!H36&lt;&gt;""))*(('T_TTAFStock'!H36&lt;&gt;""))&gt;0,'T_SelfStock'!H36+'T_TTAFStock'!H36,G32+'Grid_Incoming'!H32-'Grid_Requirement'!H32))</f>
        <v/>
      </c>
      <c r="I32">
        <f>IF(COUNTIFS(T_StockCount[Part Name],$A32,T_StockCount[WeekIndex],8)&gt;0,SUMIFS(T_StockCount[CountedQty],T_StockCount[Part Name],$A32,T_StockCount[WeekIndex],8),IF((('T_SelfStock'!I36&lt;&gt;""))*(('T_TTAFStock'!I36&lt;&gt;""))&gt;0,'T_SelfStock'!I36+'T_TTAFStock'!I36,H32+'Grid_Incoming'!I32-'Grid_Requirement'!I32))</f>
        <v/>
      </c>
      <c r="J32">
        <f>IF(COUNTIFS(T_StockCount[Part Name],$A32,T_StockCount[WeekIndex],9)&gt;0,SUMIFS(T_StockCount[CountedQty],T_StockCount[Part Name],$A32,T_StockCount[WeekIndex],9),IF((('T_SelfStock'!J36&lt;&gt;""))*(('T_TTAFStock'!J36&lt;&gt;""))&gt;0,'T_SelfStock'!J36+'T_TTAFStock'!J36,I32+'Grid_Incoming'!J32-'Grid_Requirement'!J32))</f>
        <v/>
      </c>
      <c r="K32">
        <f>IF(COUNTIFS(T_StockCount[Part Name],$A32,T_StockCount[WeekIndex],10)&gt;0,SUMIFS(T_StockCount[CountedQty],T_StockCount[Part Name],$A32,T_StockCount[WeekIndex],10),IF((('T_SelfStock'!K36&lt;&gt;""))*(('T_TTAFStock'!K36&lt;&gt;""))&gt;0,'T_SelfStock'!K36+'T_TTAFStock'!K36,J32+'Grid_Incoming'!K32-'Grid_Requirement'!K32))</f>
        <v/>
      </c>
      <c r="L32">
        <f>IF(COUNTIFS(T_StockCount[Part Name],$A32,T_StockCount[WeekIndex],11)&gt;0,SUMIFS(T_StockCount[CountedQty],T_StockCount[Part Name],$A32,T_StockCount[WeekIndex],11),IF((('T_SelfStock'!L36&lt;&gt;""))*(('T_TTAFStock'!L36&lt;&gt;""))&gt;0,'T_SelfStock'!L36+'T_TTAFStock'!L36,K32+'Grid_Incoming'!L32-'Grid_Requirement'!L32))</f>
        <v/>
      </c>
      <c r="M32">
        <f>IF(COUNTIFS(T_StockCount[Part Name],$A32,T_StockCount[WeekIndex],12)&gt;0,SUMIFS(T_StockCount[CountedQty],T_StockCount[Part Name],$A32,T_StockCount[WeekIndex],12),IF((('T_SelfStock'!M36&lt;&gt;""))*(('T_TTAFStock'!M36&lt;&gt;""))&gt;0,'T_SelfStock'!M36+'T_TTAFStock'!M36,L32+'Grid_Incoming'!M32-'Grid_Requirement'!M32))</f>
        <v/>
      </c>
      <c r="N32">
        <f>IF(COUNTIFS(T_StockCount[Part Name],$A32,T_StockCount[WeekIndex],13)&gt;0,SUMIFS(T_StockCount[CountedQty],T_StockCount[Part Name],$A32,T_StockCount[WeekIndex],13),IF((('T_SelfStock'!N36&lt;&gt;""))*(('T_TTAFStock'!N36&lt;&gt;""))&gt;0,'T_SelfStock'!N36+'T_TTAFStock'!N36,M32+'Grid_Incoming'!N32-'Grid_Requirement'!N32))</f>
        <v/>
      </c>
      <c r="O32">
        <f>IF(COUNTIFS(T_StockCount[Part Name],$A32,T_StockCount[WeekIndex],14)&gt;0,SUMIFS(T_StockCount[CountedQty],T_StockCount[Part Name],$A32,T_StockCount[WeekIndex],14),IF((('T_SelfStock'!O36&lt;&gt;""))*(('T_TTAFStock'!O36&lt;&gt;""))&gt;0,'T_SelfStock'!O36+'T_TTAFStock'!O36,N32+'Grid_Incoming'!O32-'Grid_Requirement'!O32))</f>
        <v/>
      </c>
      <c r="P32">
        <f>IF(COUNTIFS(T_StockCount[Part Name],$A32,T_StockCount[WeekIndex],15)&gt;0,SUMIFS(T_StockCount[CountedQty],T_StockCount[Part Name],$A32,T_StockCount[WeekIndex],15),IF((('T_SelfStock'!P36&lt;&gt;""))*(('T_TTAFStock'!P36&lt;&gt;""))&gt;0,'T_SelfStock'!P36+'T_TTAFStock'!P36,O32+'Grid_Incoming'!P32-'Grid_Requirement'!P32))</f>
        <v/>
      </c>
      <c r="Q32">
        <f>IF(COUNTIFS(T_StockCount[Part Name],$A32,T_StockCount[WeekIndex],16)&gt;0,SUMIFS(T_StockCount[CountedQty],T_StockCount[Part Name],$A32,T_StockCount[WeekIndex],16),IF((('T_SelfStock'!Q36&lt;&gt;""))*(('T_TTAFStock'!Q36&lt;&gt;""))&gt;0,'T_SelfStock'!Q36+'T_TTAFStock'!Q36,P32+'Grid_Incoming'!Q32-'Grid_Requirement'!Q32))</f>
        <v/>
      </c>
      <c r="R32">
        <f>IF(COUNTIFS(T_StockCount[Part Name],$A32,T_StockCount[WeekIndex],17)&gt;0,SUMIFS(T_StockCount[CountedQty],T_StockCount[Part Name],$A32,T_StockCount[WeekIndex],17),IF((('T_SelfStock'!R36&lt;&gt;""))*(('T_TTAFStock'!R36&lt;&gt;""))&gt;0,'T_SelfStock'!R36+'T_TTAFStock'!R36,Q32+'Grid_Incoming'!R32-'Grid_Requirement'!R32))</f>
        <v/>
      </c>
      <c r="S32">
        <f>IF(COUNTIFS(T_StockCount[Part Name],$A32,T_StockCount[WeekIndex],18)&gt;0,SUMIFS(T_StockCount[CountedQty],T_StockCount[Part Name],$A32,T_StockCount[WeekIndex],18),IF((('T_SelfStock'!S36&lt;&gt;""))*(('T_TTAFStock'!S36&lt;&gt;""))&gt;0,'T_SelfStock'!S36+'T_TTAFStock'!S36,R32+'Grid_Incoming'!S32-'Grid_Requirement'!S32))</f>
        <v/>
      </c>
      <c r="T32">
        <f>IF(COUNTIFS(T_StockCount[Part Name],$A32,T_StockCount[WeekIndex],19)&gt;0,SUMIFS(T_StockCount[CountedQty],T_StockCount[Part Name],$A32,T_StockCount[WeekIndex],19),IF((('T_SelfStock'!T36&lt;&gt;""))*(('T_TTAFStock'!T36&lt;&gt;""))&gt;0,'T_SelfStock'!T36+'T_TTAFStock'!T36,S32+'Grid_Incoming'!T32-'Grid_Requirement'!T32))</f>
        <v/>
      </c>
      <c r="U32">
        <f>IF(COUNTIFS(T_StockCount[Part Name],$A32,T_StockCount[WeekIndex],20)&gt;0,SUMIFS(T_StockCount[CountedQty],T_StockCount[Part Name],$A32,T_StockCount[WeekIndex],20),IF((('T_SelfStock'!U36&lt;&gt;""))*(('T_TTAFStock'!U36&lt;&gt;""))&gt;0,'T_SelfStock'!U36+'T_TTAFStock'!U36,T32+'Grid_Incoming'!U32-'Grid_Requirement'!U32))</f>
        <v/>
      </c>
      <c r="V32">
        <f>IF(COUNTIFS(T_StockCount[Part Name],$A32,T_StockCount[WeekIndex],21)&gt;0,SUMIFS(T_StockCount[CountedQty],T_StockCount[Part Name],$A32,T_StockCount[WeekIndex],21),IF((('T_SelfStock'!V36&lt;&gt;""))*(('T_TTAFStock'!V36&lt;&gt;""))&gt;0,'T_SelfStock'!V36+'T_TTAFStock'!V36,U32+'Grid_Incoming'!V32-'Grid_Requirement'!V32))</f>
        <v/>
      </c>
      <c r="W32">
        <f>IF(COUNTIFS(T_StockCount[Part Name],$A32,T_StockCount[WeekIndex],22)&gt;0,SUMIFS(T_StockCount[CountedQty],T_StockCount[Part Name],$A32,T_StockCount[WeekIndex],22),IF((('T_SelfStock'!W36&lt;&gt;""))*(('T_TTAFStock'!W36&lt;&gt;""))&gt;0,'T_SelfStock'!W36+'T_TTAFStock'!W36,V32+'Grid_Incoming'!W32-'Grid_Requirement'!W32))</f>
        <v/>
      </c>
      <c r="X32">
        <f>IF(COUNTIFS(T_StockCount[Part Name],$A32,T_StockCount[WeekIndex],23)&gt;0,SUMIFS(T_StockCount[CountedQty],T_StockCount[Part Name],$A32,T_StockCount[WeekIndex],23),IF((('T_SelfStock'!X36&lt;&gt;""))*(('T_TTAFStock'!X36&lt;&gt;""))&gt;0,'T_SelfStock'!X36+'T_TTAFStock'!X36,W32+'Grid_Incoming'!X32-'Grid_Requirement'!X32))</f>
        <v/>
      </c>
      <c r="Y32">
        <f>IF(COUNTIFS(T_StockCount[Part Name],$A32,T_StockCount[WeekIndex],24)&gt;0,SUMIFS(T_StockCount[CountedQty],T_StockCount[Part Name],$A32,T_StockCount[WeekIndex],24),IF((('T_SelfStock'!Y36&lt;&gt;""))*(('T_TTAFStock'!Y36&lt;&gt;""))&gt;0,'T_SelfStock'!Y36+'T_TTAFStock'!Y36,X32+'Grid_Incoming'!Y32-'Grid_Requirement'!Y32))</f>
        <v/>
      </c>
      <c r="Z32">
        <f>IF(COUNTIFS(T_StockCount[Part Name],$A32,T_StockCount[WeekIndex],25)&gt;0,SUMIFS(T_StockCount[CountedQty],T_StockCount[Part Name],$A32,T_StockCount[WeekIndex],25),IF((('T_SelfStock'!Z36&lt;&gt;""))*(('T_TTAFStock'!Z36&lt;&gt;""))&gt;0,'T_SelfStock'!Z36+'T_TTAFStock'!Z36,Y32+'Grid_Incoming'!Z32-'Grid_Requirement'!Z32))</f>
        <v/>
      </c>
      <c r="AA32">
        <f>IF(COUNTIFS(T_StockCount[Part Name],$A32,T_StockCount[WeekIndex],26)&gt;0,SUMIFS(T_StockCount[CountedQty],T_StockCount[Part Name],$A32,T_StockCount[WeekIndex],26),IF((('T_SelfStock'!AA36&lt;&gt;""))*(('T_TTAFStock'!AA36&lt;&gt;""))&gt;0,'T_SelfStock'!AA36+'T_TTAFStock'!AA36,Z32+'Grid_Incoming'!AA32-'Grid_Requirement'!AA32))</f>
        <v/>
      </c>
      <c r="AB32">
        <f>IF(COUNTIFS(T_StockCount[Part Name],$A32,T_StockCount[WeekIndex],27)&gt;0,SUMIFS(T_StockCount[CountedQty],T_StockCount[Part Name],$A32,T_StockCount[WeekIndex],27),IF((('T_SelfStock'!AB36&lt;&gt;""))*(('T_TTAFStock'!AB36&lt;&gt;""))&gt;0,'T_SelfStock'!AB36+'T_TTAFStock'!AB36,AA32+'Grid_Incoming'!AB32-'Grid_Requirement'!AB32))</f>
        <v/>
      </c>
      <c r="AC32">
        <f>IF(COUNTIFS(T_StockCount[Part Name],$A32,T_StockCount[WeekIndex],28)&gt;0,SUMIFS(T_StockCount[CountedQty],T_StockCount[Part Name],$A32,T_StockCount[WeekIndex],28),IF((('T_SelfStock'!AC36&lt;&gt;""))*(('T_TTAFStock'!AC36&lt;&gt;""))&gt;0,'T_SelfStock'!AC36+'T_TTAFStock'!AC36,AB32+'Grid_Incoming'!AC32-'Grid_Requirement'!AC32))</f>
        <v/>
      </c>
      <c r="AD32">
        <f>IF(COUNTIFS(T_StockCount[Part Name],$A32,T_StockCount[WeekIndex],29)&gt;0,SUMIFS(T_StockCount[CountedQty],T_StockCount[Part Name],$A32,T_StockCount[WeekIndex],29),IF((('T_SelfStock'!AD36&lt;&gt;""))*(('T_TTAFStock'!AD36&lt;&gt;""))&gt;0,'T_SelfStock'!AD36+'T_TTAFStock'!AD36,AC32+'Grid_Incoming'!AD32-'Grid_Requirement'!AD32))</f>
        <v/>
      </c>
      <c r="AE32">
        <f>IF(COUNTIFS(T_StockCount[Part Name],$A32,T_StockCount[WeekIndex],30)&gt;0,SUMIFS(T_StockCount[CountedQty],T_StockCount[Part Name],$A32,T_StockCount[WeekIndex],30),IF((('T_SelfStock'!AE36&lt;&gt;""))*(('T_TTAFStock'!AE36&lt;&gt;""))&gt;0,'T_SelfStock'!AE36+'T_TTAFStock'!AE36,AD32+'Grid_Incoming'!AE32-'Grid_Requirement'!AE32))</f>
        <v/>
      </c>
      <c r="AF32">
        <f>IF(COUNTIFS(T_StockCount[Part Name],$A32,T_StockCount[WeekIndex],31)&gt;0,SUMIFS(T_StockCount[CountedQty],T_StockCount[Part Name],$A32,T_StockCount[WeekIndex],31),IF((('T_SelfStock'!AF36&lt;&gt;""))*(('T_TTAFStock'!AF36&lt;&gt;""))&gt;0,'T_SelfStock'!AF36+'T_TTAFStock'!AF36,AE32+'Grid_Incoming'!AF32-'Grid_Requirement'!AF32))</f>
        <v/>
      </c>
      <c r="AG32">
        <f>IF(COUNTIFS(T_StockCount[Part Name],$A32,T_StockCount[WeekIndex],32)&gt;0,SUMIFS(T_StockCount[CountedQty],T_StockCount[Part Name],$A32,T_StockCount[WeekIndex],32),IF((('T_SelfStock'!AG36&lt;&gt;""))*(('T_TTAFStock'!AG36&lt;&gt;""))&gt;0,'T_SelfStock'!AG36+'T_TTAFStock'!AG36,AF32+'Grid_Incoming'!AG32-'Grid_Requirement'!AG32))</f>
        <v/>
      </c>
      <c r="AH32">
        <f>IF(COUNTIFS(T_StockCount[Part Name],$A32,T_StockCount[WeekIndex],33)&gt;0,SUMIFS(T_StockCount[CountedQty],T_StockCount[Part Name],$A32,T_StockCount[WeekIndex],33),IF((('T_SelfStock'!AH36&lt;&gt;""))*(('T_TTAFStock'!AH36&lt;&gt;""))&gt;0,'T_SelfStock'!AH36+'T_TTAFStock'!AH36,AG32+'Grid_Incoming'!AH32-'Grid_Requirement'!AH32))</f>
        <v/>
      </c>
      <c r="AI32">
        <f>IF(COUNTIFS(T_StockCount[Part Name],$A32,T_StockCount[WeekIndex],34)&gt;0,SUMIFS(T_StockCount[CountedQty],T_StockCount[Part Name],$A32,T_StockCount[WeekIndex],34),IF((('T_SelfStock'!AI36&lt;&gt;""))*(('T_TTAFStock'!AI36&lt;&gt;""))&gt;0,'T_SelfStock'!AI36+'T_TTAFStock'!AI36,AH32+'Grid_Incoming'!AI32-'Grid_Requirement'!AI32))</f>
        <v/>
      </c>
      <c r="AJ32">
        <f>IF(COUNTIFS(T_StockCount[Part Name],$A32,T_StockCount[WeekIndex],35)&gt;0,SUMIFS(T_StockCount[CountedQty],T_StockCount[Part Name],$A32,T_StockCount[WeekIndex],35),IF((('T_SelfStock'!AJ36&lt;&gt;""))*(('T_TTAFStock'!AJ36&lt;&gt;""))&gt;0,'T_SelfStock'!AJ36+'T_TTAFStock'!AJ36,AI32+'Grid_Incoming'!AJ32-'Grid_Requirement'!AJ32))</f>
        <v/>
      </c>
      <c r="AK32">
        <f>IF(COUNTIFS(T_StockCount[Part Name],$A32,T_StockCount[WeekIndex],36)&gt;0,SUMIFS(T_StockCount[CountedQty],T_StockCount[Part Name],$A32,T_StockCount[WeekIndex],36),IF((('T_SelfStock'!AK36&lt;&gt;""))*(('T_TTAFStock'!AK36&lt;&gt;""))&gt;0,'T_SelfStock'!AK36+'T_TTAFStock'!AK36,AJ32+'Grid_Incoming'!AK32-'Grid_Requirement'!AK32))</f>
        <v/>
      </c>
      <c r="AL32">
        <f>IF(COUNTIFS(T_StockCount[Part Name],$A32,T_StockCount[WeekIndex],37)&gt;0,SUMIFS(T_StockCount[CountedQty],T_StockCount[Part Name],$A32,T_StockCount[WeekIndex],37),IF((('T_SelfStock'!AL36&lt;&gt;""))*(('T_TTAFStock'!AL36&lt;&gt;""))&gt;0,'T_SelfStock'!AL36+'T_TTAFStock'!AL36,AK32+'Grid_Incoming'!AL32-'Grid_Requirement'!AL32))</f>
        <v/>
      </c>
      <c r="AM32">
        <f>IF(COUNTIFS(T_StockCount[Part Name],$A32,T_StockCount[WeekIndex],38)&gt;0,SUMIFS(T_StockCount[CountedQty],T_StockCount[Part Name],$A32,T_StockCount[WeekIndex],38),IF((('T_SelfStock'!AM36&lt;&gt;""))*(('T_TTAFStock'!AM36&lt;&gt;""))&gt;0,'T_SelfStock'!AM36+'T_TTAFStock'!AM36,AL32+'Grid_Incoming'!AM32-'Grid_Requirement'!AM32))</f>
        <v/>
      </c>
      <c r="AN32">
        <f>IF(COUNTIFS(T_StockCount[Part Name],$A32,T_StockCount[WeekIndex],39)&gt;0,SUMIFS(T_StockCount[CountedQty],T_StockCount[Part Name],$A32,T_StockCount[WeekIndex],39),IF((('T_SelfStock'!AN36&lt;&gt;""))*(('T_TTAFStock'!AN36&lt;&gt;""))&gt;0,'T_SelfStock'!AN36+'T_TTAFStock'!AN36,AM32+'Grid_Incoming'!AN32-'Grid_Requirement'!AN32))</f>
        <v/>
      </c>
      <c r="AO32">
        <f>IF(COUNTIFS(T_StockCount[Part Name],$A32,T_StockCount[WeekIndex],40)&gt;0,SUMIFS(T_StockCount[CountedQty],T_StockCount[Part Name],$A32,T_StockCount[WeekIndex],40),IF((('T_SelfStock'!AO36&lt;&gt;""))*(('T_TTAFStock'!AO36&lt;&gt;""))&gt;0,'T_SelfStock'!AO36+'T_TTAFStock'!AO36,AN32+'Grid_Incoming'!AO32-'Grid_Requirement'!AO32))</f>
        <v/>
      </c>
      <c r="AP32">
        <f>IF(COUNTIFS(T_StockCount[Part Name],$A32,T_StockCount[WeekIndex],41)&gt;0,SUMIFS(T_StockCount[CountedQty],T_StockCount[Part Name],$A32,T_StockCount[WeekIndex],41),IF((('T_SelfStock'!AP36&lt;&gt;""))*(('T_TTAFStock'!AP36&lt;&gt;""))&gt;0,'T_SelfStock'!AP36+'T_TTAFStock'!AP36,AO32+'Grid_Incoming'!AP32-'Grid_Requirement'!AP32))</f>
        <v/>
      </c>
      <c r="AQ32">
        <f>IF(COUNTIFS(T_StockCount[Part Name],$A32,T_StockCount[WeekIndex],42)&gt;0,SUMIFS(T_StockCount[CountedQty],T_StockCount[Part Name],$A32,T_StockCount[WeekIndex],42),IF((('T_SelfStock'!AQ36&lt;&gt;""))*(('T_TTAFStock'!AQ36&lt;&gt;""))&gt;0,'T_SelfStock'!AQ36+'T_TTAFStock'!AQ36,AP32+'Grid_Incoming'!AQ32-'Grid_Requirement'!AQ32))</f>
        <v/>
      </c>
      <c r="AR32">
        <f>IF(COUNTIFS(T_StockCount[Part Name],$A32,T_StockCount[WeekIndex],43)&gt;0,SUMIFS(T_StockCount[CountedQty],T_StockCount[Part Name],$A32,T_StockCount[WeekIndex],43),IF((('T_SelfStock'!AR36&lt;&gt;""))*(('T_TTAFStock'!AR36&lt;&gt;""))&gt;0,'T_SelfStock'!AR36+'T_TTAFStock'!AR36,AQ32+'Grid_Incoming'!AR32-'Grid_Requirement'!AR32))</f>
        <v/>
      </c>
      <c r="AS32">
        <f>IF(COUNTIFS(T_StockCount[Part Name],$A32,T_StockCount[WeekIndex],44)&gt;0,SUMIFS(T_StockCount[CountedQty],T_StockCount[Part Name],$A32,T_StockCount[WeekIndex],44),IF((('T_SelfStock'!AS36&lt;&gt;""))*(('T_TTAFStock'!AS36&lt;&gt;""))&gt;0,'T_SelfStock'!AS36+'T_TTAFStock'!AS36,AR32+'Grid_Incoming'!AS32-'Grid_Requirement'!AS32))</f>
        <v/>
      </c>
      <c r="AT32">
        <f>IF(COUNTIFS(T_StockCount[Part Name],$A32,T_StockCount[WeekIndex],45)&gt;0,SUMIFS(T_StockCount[CountedQty],T_StockCount[Part Name],$A32,T_StockCount[WeekIndex],45),IF((('T_SelfStock'!AT36&lt;&gt;""))*(('T_TTAFStock'!AT36&lt;&gt;""))&gt;0,'T_SelfStock'!AT36+'T_TTAFStock'!AT36,AS32+'Grid_Incoming'!AT32-'Grid_Requirement'!AT32))</f>
        <v/>
      </c>
      <c r="AU32">
        <f>IF(COUNTIFS(T_StockCount[Part Name],$A32,T_StockCount[WeekIndex],46)&gt;0,SUMIFS(T_StockCount[CountedQty],T_StockCount[Part Name],$A32,T_StockCount[WeekIndex],46),IF((('T_SelfStock'!AU36&lt;&gt;""))*(('T_TTAFStock'!AU36&lt;&gt;""))&gt;0,'T_SelfStock'!AU36+'T_TTAFStock'!AU36,AT32+'Grid_Incoming'!AU32-'Grid_Requirement'!AU32))</f>
        <v/>
      </c>
      <c r="AV32">
        <f>IF(COUNTIFS(T_StockCount[Part Name],$A32,T_StockCount[WeekIndex],47)&gt;0,SUMIFS(T_StockCount[CountedQty],T_StockCount[Part Name],$A32,T_StockCount[WeekIndex],47),IF((('T_SelfStock'!AV36&lt;&gt;""))*(('T_TTAFStock'!AV36&lt;&gt;""))&gt;0,'T_SelfStock'!AV36+'T_TTAFStock'!AV36,AU32+'Grid_Incoming'!AV32-'Grid_Requirement'!AV32))</f>
        <v/>
      </c>
      <c r="AW32">
        <f>IF(COUNTIFS(T_StockCount[Part Name],$A32,T_StockCount[WeekIndex],48)&gt;0,SUMIFS(T_StockCount[CountedQty],T_StockCount[Part Name],$A32,T_StockCount[WeekIndex],48),IF((('T_SelfStock'!AW36&lt;&gt;""))*(('T_TTAFStock'!AW36&lt;&gt;""))&gt;0,'T_SelfStock'!AW36+'T_TTAFStock'!AW36,AV32+'Grid_Incoming'!AW32-'Grid_Requirement'!AW32))</f>
        <v/>
      </c>
      <c r="AX32">
        <f>IF(COUNTIFS(T_StockCount[Part Name],$A32,T_StockCount[WeekIndex],49)&gt;0,SUMIFS(T_StockCount[CountedQty],T_StockCount[Part Name],$A32,T_StockCount[WeekIndex],49),IF((('T_SelfStock'!AX36&lt;&gt;""))*(('T_TTAFStock'!AX36&lt;&gt;""))&gt;0,'T_SelfStock'!AX36+'T_TTAFStock'!AX36,AW32+'Grid_Incoming'!AX32-'Grid_Requirement'!AX32))</f>
        <v/>
      </c>
      <c r="AY32">
        <f>IF(COUNTIFS(T_StockCount[Part Name],$A32,T_StockCount[WeekIndex],50)&gt;0,SUMIFS(T_StockCount[CountedQty],T_StockCount[Part Name],$A32,T_StockCount[WeekIndex],50),IF((('T_SelfStock'!AY36&lt;&gt;""))*(('T_TTAFStock'!AY36&lt;&gt;""))&gt;0,'T_SelfStock'!AY36+'T_TTAFStock'!AY36,AX32+'Grid_Incoming'!AY32-'Grid_Requirement'!AY32))</f>
        <v/>
      </c>
      <c r="AZ32">
        <f>IF(COUNTIFS(T_StockCount[Part Name],$A32,T_StockCount[WeekIndex],51)&gt;0,SUMIFS(T_StockCount[CountedQty],T_StockCount[Part Name],$A32,T_StockCount[WeekIndex],51),IF((('T_SelfStock'!AZ36&lt;&gt;""))*(('T_TTAFStock'!AZ36&lt;&gt;""))&gt;0,'T_SelfStock'!AZ36+'T_TTAFStock'!AZ36,AY32+'Grid_Incoming'!AZ32-'Grid_Requirement'!AZ32))</f>
        <v/>
      </c>
      <c r="BA32">
        <f>IF(COUNTIFS(T_StockCount[Part Name],$A32,T_StockCount[WeekIndex],52)&gt;0,SUMIFS(T_StockCount[CountedQty],T_StockCount[Part Name],$A32,T_StockCount[WeekIndex],52),IF((('T_SelfStock'!BA36&lt;&gt;""))*(('T_TTAFStock'!BA36&lt;&gt;""))&gt;0,'T_SelfStock'!BA36+'T_TTAFStock'!BA36,AZ32+'Grid_Incoming'!BA32-'Grid_Requirement'!BA32))</f>
        <v/>
      </c>
      <c r="BB32">
        <f>IF(COUNTIFS(T_StockCount[Part Name],$A32,T_StockCount[WeekIndex],53)&gt;0,SUMIFS(T_StockCount[CountedQty],T_StockCount[Part Name],$A32,T_StockCount[WeekIndex],53),IF((('T_SelfStock'!BB36&lt;&gt;""))*(('T_TTAFStock'!BB36&lt;&gt;""))&gt;0,'T_SelfStock'!BB36+'T_TTAFStock'!BB36,BA32+'Grid_Incoming'!BB32-'Grid_Requirement'!BB32))</f>
        <v/>
      </c>
      <c r="BC32">
        <f>IF(COUNTIFS(T_StockCount[Part Name],$A32,T_StockCount[WeekIndex],54)&gt;0,SUMIFS(T_StockCount[CountedQty],T_StockCount[Part Name],$A32,T_StockCount[WeekIndex],54),IF((('T_SelfStock'!BC36&lt;&gt;""))*(('T_TTAFStock'!BC36&lt;&gt;""))&gt;0,'T_SelfStock'!BC36+'T_TTAFStock'!BC36,BB32+'Grid_Incoming'!BC32-'Grid_Requirement'!BC32))</f>
        <v/>
      </c>
      <c r="BD32">
        <f>IF(COUNTIFS(T_StockCount[Part Name],$A32,T_StockCount[WeekIndex],55)&gt;0,SUMIFS(T_StockCount[CountedQty],T_StockCount[Part Name],$A32,T_StockCount[WeekIndex],55),IF((('T_SelfStock'!BD36&lt;&gt;""))*(('T_TTAFStock'!BD36&lt;&gt;""))&gt;0,'T_SelfStock'!BD36+'T_TTAFStock'!BD36,BC32+'Grid_Incoming'!BD32-'Grid_Requirement'!BD32))</f>
        <v/>
      </c>
      <c r="BE32">
        <f>IF(COUNTIFS(T_StockCount[Part Name],$A32,T_StockCount[WeekIndex],56)&gt;0,SUMIFS(T_StockCount[CountedQty],T_StockCount[Part Name],$A32,T_StockCount[WeekIndex],56),IF((('T_SelfStock'!BE36&lt;&gt;""))*(('T_TTAFStock'!BE36&lt;&gt;""))&gt;0,'T_SelfStock'!BE36+'T_TTAFStock'!BE36,BD32+'Grid_Incoming'!BE32-'Grid_Requirement'!BE32))</f>
        <v/>
      </c>
      <c r="BF32">
        <f>IF(COUNTIFS(T_StockCount[Part Name],$A32,T_StockCount[WeekIndex],57)&gt;0,SUMIFS(T_StockCount[CountedQty],T_StockCount[Part Name],$A32,T_StockCount[WeekIndex],57),IF((('T_SelfStock'!BF36&lt;&gt;""))*(('T_TTAFStock'!BF36&lt;&gt;""))&gt;0,'T_SelfStock'!BF36+'T_TTAFStock'!BF36,BE32+'Grid_Incoming'!BF32-'Grid_Requirement'!BF32))</f>
        <v/>
      </c>
      <c r="BG32">
        <f>IF(COUNTIFS(T_StockCount[Part Name],$A32,T_StockCount[WeekIndex],58)&gt;0,SUMIFS(T_StockCount[CountedQty],T_StockCount[Part Name],$A32,T_StockCount[WeekIndex],58),IF((('T_SelfStock'!BG36&lt;&gt;""))*(('T_TTAFStock'!BG36&lt;&gt;""))&gt;0,'T_SelfStock'!BG36+'T_TTAFStock'!BG36,BF32+'Grid_Incoming'!BG32-'Grid_Requirement'!BG32))</f>
        <v/>
      </c>
      <c r="BH32">
        <f>IF(COUNTIFS(T_StockCount[Part Name],$A32,T_StockCount[WeekIndex],59)&gt;0,SUMIFS(T_StockCount[CountedQty],T_StockCount[Part Name],$A32,T_StockCount[WeekIndex],59),IF((('T_SelfStock'!BH36&lt;&gt;""))*(('T_TTAFStock'!BH36&lt;&gt;""))&gt;0,'T_SelfStock'!BH36+'T_TTAFStock'!BH36,BG32+'Grid_Incoming'!BH32-'Grid_Requirement'!BH32))</f>
        <v/>
      </c>
      <c r="BI32">
        <f>IF(COUNTIFS(T_StockCount[Part Name],$A32,T_StockCount[WeekIndex],60)&gt;0,SUMIFS(T_StockCount[CountedQty],T_StockCount[Part Name],$A32,T_StockCount[WeekIndex],60),IF((('T_SelfStock'!BI36&lt;&gt;""))*(('T_TTAFStock'!BI36&lt;&gt;""))&gt;0,'T_SelfStock'!BI36+'T_TTAFStock'!BI36,BH32+'Grid_Incoming'!BI32-'Grid_Requirement'!BI32))</f>
        <v/>
      </c>
      <c r="BJ32">
        <f>IF(COUNTIFS(T_StockCount[Part Name],$A32,T_StockCount[WeekIndex],61)&gt;0,SUMIFS(T_StockCount[CountedQty],T_StockCount[Part Name],$A32,T_StockCount[WeekIndex],61),IF((('T_SelfStock'!BJ36&lt;&gt;""))*(('T_TTAFStock'!BJ36&lt;&gt;""))&gt;0,'T_SelfStock'!BJ36+'T_TTAFStock'!BJ36,BI32+'Grid_Incoming'!BJ32-'Grid_Requirement'!BJ32))</f>
        <v/>
      </c>
      <c r="BK32">
        <f>IF(COUNTIFS(T_StockCount[Part Name],$A32,T_StockCount[WeekIndex],62)&gt;0,SUMIFS(T_StockCount[CountedQty],T_StockCount[Part Name],$A32,T_StockCount[WeekIndex],62),IF((('T_SelfStock'!BK36&lt;&gt;""))*(('T_TTAFStock'!BK36&lt;&gt;""))&gt;0,'T_SelfStock'!BK36+'T_TTAFStock'!BK36,BJ32+'Grid_Incoming'!BK32-'Grid_Requirement'!BK32))</f>
        <v/>
      </c>
      <c r="BL32">
        <f>IF(COUNTIFS(T_StockCount[Part Name],$A32,T_StockCount[WeekIndex],63)&gt;0,SUMIFS(T_StockCount[CountedQty],T_StockCount[Part Name],$A32,T_StockCount[WeekIndex],63),IF((('T_SelfStock'!BL36&lt;&gt;""))*(('T_TTAFStock'!BL36&lt;&gt;""))&gt;0,'T_SelfStock'!BL36+'T_TTAFStock'!BL36,BK32+'Grid_Incoming'!BL32-'Grid_Requirement'!BL32))</f>
        <v/>
      </c>
      <c r="BM32">
        <f>IF(COUNTIFS(T_StockCount[Part Name],$A32,T_StockCount[WeekIndex],64)&gt;0,SUMIFS(T_StockCount[CountedQty],T_StockCount[Part Name],$A32,T_StockCount[WeekIndex],64),IF((('T_SelfStock'!BM36&lt;&gt;""))*(('T_TTAFStock'!BM36&lt;&gt;""))&gt;0,'T_SelfStock'!BM36+'T_TTAFStock'!BM36,BL32+'Grid_Incoming'!BM32-'Grid_Requirement'!BM32))</f>
        <v/>
      </c>
      <c r="BN32">
        <f>IF(COUNTIFS(T_StockCount[Part Name],$A32,T_StockCount[WeekIndex],65)&gt;0,SUMIFS(T_StockCount[CountedQty],T_StockCount[Part Name],$A32,T_StockCount[WeekIndex],65),IF((('T_SelfStock'!BN36&lt;&gt;""))*(('T_TTAFStock'!BN36&lt;&gt;""))&gt;0,'T_SelfStock'!BN36+'T_TTAFStock'!BN36,BM32+'Grid_Incoming'!BN32-'Grid_Requirement'!BN32))</f>
        <v/>
      </c>
      <c r="BO32">
        <f>IF(COUNTIFS(T_StockCount[Part Name],$A32,T_StockCount[WeekIndex],66)&gt;0,SUMIFS(T_StockCount[CountedQty],T_StockCount[Part Name],$A32,T_StockCount[WeekIndex],66),IF((('T_SelfStock'!BO36&lt;&gt;""))*(('T_TTAFStock'!BO36&lt;&gt;""))&gt;0,'T_SelfStock'!BO36+'T_TTAFStock'!BO36,BN32+'Grid_Incoming'!BO32-'Grid_Requirement'!BO32))</f>
        <v/>
      </c>
      <c r="BP32">
        <f>IF(COUNTIFS(T_StockCount[Part Name],$A32,T_StockCount[WeekIndex],67)&gt;0,SUMIFS(T_StockCount[CountedQty],T_StockCount[Part Name],$A32,T_StockCount[WeekIndex],67),IF((('T_SelfStock'!BP36&lt;&gt;""))*(('T_TTAFStock'!BP36&lt;&gt;""))&gt;0,'T_SelfStock'!BP36+'T_TTAFStock'!BP36,BO32+'Grid_Incoming'!BP32-'Grid_Requirement'!BP32))</f>
        <v/>
      </c>
      <c r="BQ32">
        <f>IF(COUNTIFS(T_StockCount[Part Name],$A32,T_StockCount[WeekIndex],68)&gt;0,SUMIFS(T_StockCount[CountedQty],T_StockCount[Part Name],$A32,T_StockCount[WeekIndex],68),IF((('T_SelfStock'!BQ36&lt;&gt;""))*(('T_TTAFStock'!BQ36&lt;&gt;""))&gt;0,'T_SelfStock'!BQ36+'T_TTAFStock'!BQ36,BP32+'Grid_Incoming'!BQ32-'Grid_Requirement'!BQ32))</f>
        <v/>
      </c>
      <c r="BR32">
        <f>IF(COUNTIFS(T_StockCount[Part Name],$A32,T_StockCount[WeekIndex],69)&gt;0,SUMIFS(T_StockCount[CountedQty],T_StockCount[Part Name],$A32,T_StockCount[WeekIndex],69),IF((('T_SelfStock'!BR36&lt;&gt;""))*(('T_TTAFStock'!BR36&lt;&gt;""))&gt;0,'T_SelfStock'!BR36+'T_TTAFStock'!BR36,BQ32+'Grid_Incoming'!BR32-'Grid_Requirement'!BR32))</f>
        <v/>
      </c>
      <c r="BS32">
        <f>IF(COUNTIFS(T_StockCount[Part Name],$A32,T_StockCount[WeekIndex],70)&gt;0,SUMIFS(T_StockCount[CountedQty],T_StockCount[Part Name],$A32,T_StockCount[WeekIndex],70),IF((('T_SelfStock'!BS36&lt;&gt;""))*(('T_TTAFStock'!BS36&lt;&gt;""))&gt;0,'T_SelfStock'!BS36+'T_TTAFStock'!BS36,BR32+'Grid_Incoming'!BS32-'Grid_Requirement'!BS32))</f>
        <v/>
      </c>
      <c r="BT32">
        <f>IF(COUNTIFS(T_StockCount[Part Name],$A32,T_StockCount[WeekIndex],71)&gt;0,SUMIFS(T_StockCount[CountedQty],T_StockCount[Part Name],$A32,T_StockCount[WeekIndex],71),IF((('T_SelfStock'!BT36&lt;&gt;""))*(('T_TTAFStock'!BT36&lt;&gt;""))&gt;0,'T_SelfStock'!BT36+'T_TTAFStock'!BT36,BS32+'Grid_Incoming'!BT32-'Grid_Requirement'!BT32))</f>
        <v/>
      </c>
      <c r="BU32">
        <f>IF(COUNTIFS(T_StockCount[Part Name],$A32,T_StockCount[WeekIndex],72)&gt;0,SUMIFS(T_StockCount[CountedQty],T_StockCount[Part Name],$A32,T_StockCount[WeekIndex],72),IF((('T_SelfStock'!BU36&lt;&gt;""))*(('T_TTAFStock'!BU36&lt;&gt;""))&gt;0,'T_SelfStock'!BU36+'T_TTAFStock'!BU36,BT32+'Grid_Incoming'!BU32-'Grid_Requirement'!BU32))</f>
        <v/>
      </c>
      <c r="BV32">
        <f>IF(COUNTIFS(T_StockCount[Part Name],$A32,T_StockCount[WeekIndex],73)&gt;0,SUMIFS(T_StockCount[CountedQty],T_StockCount[Part Name],$A32,T_StockCount[WeekIndex],73),IF((('T_SelfStock'!BV36&lt;&gt;""))*(('T_TTAFStock'!BV36&lt;&gt;""))&gt;0,'T_SelfStock'!BV36+'T_TTAFStock'!BV36,BU32+'Grid_Incoming'!BV32-'Grid_Requirement'!BV32))</f>
        <v/>
      </c>
      <c r="BW32">
        <f>IF(COUNTIFS(T_StockCount[Part Name],$A32,T_StockCount[WeekIndex],74)&gt;0,SUMIFS(T_StockCount[CountedQty],T_StockCount[Part Name],$A32,T_StockCount[WeekIndex],74),IF((('T_SelfStock'!BW36&lt;&gt;""))*(('T_TTAFStock'!BW36&lt;&gt;""))&gt;0,'T_SelfStock'!BW36+'T_TTAFStock'!BW36,BV32+'Grid_Incoming'!BW32-'Grid_Requirement'!BW32))</f>
        <v/>
      </c>
      <c r="BX32">
        <f>IF(COUNTIFS(T_StockCount[Part Name],$A32,T_StockCount[WeekIndex],75)&gt;0,SUMIFS(T_StockCount[CountedQty],T_StockCount[Part Name],$A32,T_StockCount[WeekIndex],75),IF((('T_SelfStock'!BX36&lt;&gt;""))*(('T_TTAFStock'!BX36&lt;&gt;""))&gt;0,'T_SelfStock'!BX36+'T_TTAFStock'!BX36,BW32+'Grid_Incoming'!BX32-'Grid_Requirement'!BX32))</f>
        <v/>
      </c>
      <c r="BY32">
        <f>IF(COUNTIFS(T_StockCount[Part Name],$A32,T_StockCount[WeekIndex],76)&gt;0,SUMIFS(T_StockCount[CountedQty],T_StockCount[Part Name],$A32,T_StockCount[WeekIndex],76),IF((('T_SelfStock'!BY36&lt;&gt;""))*(('T_TTAFStock'!BY36&lt;&gt;""))&gt;0,'T_SelfStock'!BY36+'T_TTAFStock'!BY36,BX32+'Grid_Incoming'!BY32-'Grid_Requirement'!BY32))</f>
        <v/>
      </c>
      <c r="BZ32">
        <f>IF(COUNTIFS(T_StockCount[Part Name],$A32,T_StockCount[WeekIndex],77)&gt;0,SUMIFS(T_StockCount[CountedQty],T_StockCount[Part Name],$A32,T_StockCount[WeekIndex],77),IF((('T_SelfStock'!BZ36&lt;&gt;""))*(('T_TTAFStock'!BZ36&lt;&gt;""))&gt;0,'T_SelfStock'!BZ36+'T_TTAFStock'!BZ36,BY32+'Grid_Incoming'!BZ32-'Grid_Requirement'!BZ32))</f>
        <v/>
      </c>
      <c r="CA32">
        <f>IF(COUNTIFS(T_StockCount[Part Name],$A32,T_StockCount[WeekIndex],78)&gt;0,SUMIFS(T_StockCount[CountedQty],T_StockCount[Part Name],$A32,T_StockCount[WeekIndex],78),IF((('T_SelfStock'!CA36&lt;&gt;""))*(('T_TTAFStock'!CA36&lt;&gt;""))&gt;0,'T_SelfStock'!CA36+'T_TTAFStock'!CA36,BZ32+'Grid_Incoming'!CA32-'Grid_Requirement'!CA32))</f>
        <v/>
      </c>
      <c r="CB32">
        <f>IF(COUNTIFS(T_StockCount[Part Name],$A32,T_StockCount[WeekIndex],79)&gt;0,SUMIFS(T_StockCount[CountedQty],T_StockCount[Part Name],$A32,T_StockCount[WeekIndex],79),IF((('T_SelfStock'!CB36&lt;&gt;""))*(('T_TTAFStock'!CB36&lt;&gt;""))&gt;0,'T_SelfStock'!CB36+'T_TTAFStock'!CB36,CA32+'Grid_Incoming'!CB32-'Grid_Requirement'!CB32))</f>
        <v/>
      </c>
      <c r="CC32">
        <f>IF(COUNTIFS(T_StockCount[Part Name],$A32,T_StockCount[WeekIndex],80)&gt;0,SUMIFS(T_StockCount[CountedQty],T_StockCount[Part Name],$A32,T_StockCount[WeekIndex],80),IF((('T_SelfStock'!CC36&lt;&gt;""))*(('T_TTAFStock'!CC36&lt;&gt;""))&gt;0,'T_SelfStock'!CC36+'T_TTAFStock'!CC36,CB32+'Grid_Incoming'!CC32-'Grid_Requirement'!CC32))</f>
        <v/>
      </c>
      <c r="CD32">
        <f>IF(COUNTIFS(T_StockCount[Part Name],$A32,T_StockCount[WeekIndex],81)&gt;0,SUMIFS(T_StockCount[CountedQty],T_StockCount[Part Name],$A32,T_StockCount[WeekIndex],81),IF((('T_SelfStock'!CD36&lt;&gt;""))*(('T_TTAFStock'!CD36&lt;&gt;""))&gt;0,'T_SelfStock'!CD36+'T_TTAFStock'!CD36,CC32+'Grid_Incoming'!CD32-'Grid_Requirement'!CD32))</f>
        <v/>
      </c>
      <c r="CE32">
        <f>IF(COUNTIFS(T_StockCount[Part Name],$A32,T_StockCount[WeekIndex],82)&gt;0,SUMIFS(T_StockCount[CountedQty],T_StockCount[Part Name],$A32,T_StockCount[WeekIndex],82),IF((('T_SelfStock'!CE36&lt;&gt;""))*(('T_TTAFStock'!CE36&lt;&gt;""))&gt;0,'T_SelfStock'!CE36+'T_TTAFStock'!CE36,CD32+'Grid_Incoming'!CE32-'Grid_Requirement'!CE32))</f>
        <v/>
      </c>
      <c r="CF32">
        <f>IF(COUNTIFS(T_StockCount[Part Name],$A32,T_StockCount[WeekIndex],83)&gt;0,SUMIFS(T_StockCount[CountedQty],T_StockCount[Part Name],$A32,T_StockCount[WeekIndex],83),IF((('T_SelfStock'!CF36&lt;&gt;""))*(('T_TTAFStock'!CF36&lt;&gt;""))&gt;0,'T_SelfStock'!CF36+'T_TTAFStock'!CF36,CE32+'Grid_Incoming'!CF32-'Grid_Requirement'!CF32))</f>
        <v/>
      </c>
      <c r="CG32">
        <f>IF(COUNTIFS(T_StockCount[Part Name],$A32,T_StockCount[WeekIndex],84)&gt;0,SUMIFS(T_StockCount[CountedQty],T_StockCount[Part Name],$A32,T_StockCount[WeekIndex],84),IF((('T_SelfStock'!CG36&lt;&gt;""))*(('T_TTAFStock'!CG36&lt;&gt;""))&gt;0,'T_SelfStock'!CG36+'T_TTAFStock'!CG36,CF32+'Grid_Incoming'!CG32-'Grid_Requirement'!CG32))</f>
        <v/>
      </c>
      <c r="CH32">
        <f>IF(COUNTIFS(T_StockCount[Part Name],$A32,T_StockCount[WeekIndex],85)&gt;0,SUMIFS(T_StockCount[CountedQty],T_StockCount[Part Name],$A32,T_StockCount[WeekIndex],85),IF((('T_SelfStock'!CH36&lt;&gt;""))*(('T_TTAFStock'!CH36&lt;&gt;""))&gt;0,'T_SelfStock'!CH36+'T_TTAFStock'!CH36,CG32+'Grid_Incoming'!CH32-'Grid_Requirement'!CH32))</f>
        <v/>
      </c>
      <c r="CI32">
        <f>IF(COUNTIFS(T_StockCount[Part Name],$A32,T_StockCount[WeekIndex],86)&gt;0,SUMIFS(T_StockCount[CountedQty],T_StockCount[Part Name],$A32,T_StockCount[WeekIndex],86),IF((('T_SelfStock'!CI36&lt;&gt;""))*(('T_TTAFStock'!CI36&lt;&gt;""))&gt;0,'T_SelfStock'!CI36+'T_TTAFStock'!CI36,CH32+'Grid_Incoming'!CI32-'Grid_Requirement'!CI32))</f>
        <v/>
      </c>
      <c r="CJ32">
        <f>IF(COUNTIFS(T_StockCount[Part Name],$A32,T_StockCount[WeekIndex],87)&gt;0,SUMIFS(T_StockCount[CountedQty],T_StockCount[Part Name],$A32,T_StockCount[WeekIndex],87),IF((('T_SelfStock'!CJ36&lt;&gt;""))*(('T_TTAFStock'!CJ36&lt;&gt;""))&gt;0,'T_SelfStock'!CJ36+'T_TTAFStock'!CJ36,CI32+'Grid_Incoming'!CJ32-'Grid_Requirement'!CJ32))</f>
        <v/>
      </c>
      <c r="CK32">
        <f>IF(COUNTIFS(T_StockCount[Part Name],$A32,T_StockCount[WeekIndex],88)&gt;0,SUMIFS(T_StockCount[CountedQty],T_StockCount[Part Name],$A32,T_StockCount[WeekIndex],88),IF((('T_SelfStock'!CK36&lt;&gt;""))*(('T_TTAFStock'!CK36&lt;&gt;""))&gt;0,'T_SelfStock'!CK36+'T_TTAFStock'!CK36,CJ32+'Grid_Incoming'!CK32-'Grid_Requirement'!CK32))</f>
        <v/>
      </c>
      <c r="CL32">
        <f>IF(COUNTIFS(T_StockCount[Part Name],$A32,T_StockCount[WeekIndex],89)&gt;0,SUMIFS(T_StockCount[CountedQty],T_StockCount[Part Name],$A32,T_StockCount[WeekIndex],89),IF((('T_SelfStock'!CL36&lt;&gt;""))*(('T_TTAFStock'!CL36&lt;&gt;""))&gt;0,'T_SelfStock'!CL36+'T_TTAFStock'!CL36,CK32+'Grid_Incoming'!CL32-'Grid_Requirement'!CL32))</f>
        <v/>
      </c>
      <c r="CM32">
        <f>IF(COUNTIFS(T_StockCount[Part Name],$A32,T_StockCount[WeekIndex],90)&gt;0,SUMIFS(T_StockCount[CountedQty],T_StockCount[Part Name],$A32,T_StockCount[WeekIndex],90),IF((('T_SelfStock'!CM36&lt;&gt;""))*(('T_TTAFStock'!CM36&lt;&gt;""))&gt;0,'T_SelfStock'!CM36+'T_TTAFStock'!CM36,CL32+'Grid_Incoming'!CM32-'Grid_Requirement'!CM32))</f>
        <v/>
      </c>
      <c r="CN32">
        <f>IF(COUNTIFS(T_StockCount[Part Name],$A32,T_StockCount[WeekIndex],91)&gt;0,SUMIFS(T_StockCount[CountedQty],T_StockCount[Part Name],$A32,T_StockCount[WeekIndex],91),IF((('T_SelfStock'!CN36&lt;&gt;""))*(('T_TTAFStock'!CN36&lt;&gt;""))&gt;0,'T_SelfStock'!CN36+'T_TTAFStock'!CN36,CM32+'Grid_Incoming'!CN32-'Grid_Requirement'!CN32))</f>
        <v/>
      </c>
      <c r="CO32">
        <f>IF(COUNTIFS(T_StockCount[Part Name],$A32,T_StockCount[WeekIndex],92)&gt;0,SUMIFS(T_StockCount[CountedQty],T_StockCount[Part Name],$A32,T_StockCount[WeekIndex],92),IF((('T_SelfStock'!CO36&lt;&gt;""))*(('T_TTAFStock'!CO36&lt;&gt;""))&gt;0,'T_SelfStock'!CO36+'T_TTAFStock'!CO36,CN32+'Grid_Incoming'!CO32-'Grid_Requirement'!CO32))</f>
        <v/>
      </c>
      <c r="CP32">
        <f>IF(COUNTIFS(T_StockCount[Part Name],$A32,T_StockCount[WeekIndex],93)&gt;0,SUMIFS(T_StockCount[CountedQty],T_StockCount[Part Name],$A32,T_StockCount[WeekIndex],93),IF((('T_SelfStock'!CP36&lt;&gt;""))*(('T_TTAFStock'!CP36&lt;&gt;""))&gt;0,'T_SelfStock'!CP36+'T_TTAFStock'!CP36,CO32+'Grid_Incoming'!CP32-'Grid_Requirement'!CP32))</f>
        <v/>
      </c>
      <c r="CQ32">
        <f>IF(COUNTIFS(T_StockCount[Part Name],$A32,T_StockCount[WeekIndex],94)&gt;0,SUMIFS(T_StockCount[CountedQty],T_StockCount[Part Name],$A32,T_StockCount[WeekIndex],94),IF((('T_SelfStock'!CQ36&lt;&gt;""))*(('T_TTAFStock'!CQ36&lt;&gt;""))&gt;0,'T_SelfStock'!CQ36+'T_TTAFStock'!CQ36,CP32+'Grid_Incoming'!CQ32-'Grid_Requirement'!CQ32))</f>
        <v/>
      </c>
      <c r="CR32">
        <f>IF(COUNTIFS(T_StockCount[Part Name],$A32,T_StockCount[WeekIndex],95)&gt;0,SUMIFS(T_StockCount[CountedQty],T_StockCount[Part Name],$A32,T_StockCount[WeekIndex],95),IF((('T_SelfStock'!CR36&lt;&gt;""))*(('T_TTAFStock'!CR36&lt;&gt;""))&gt;0,'T_SelfStock'!CR36+'T_TTAFStock'!CR36,CQ32+'Grid_Incoming'!CR32-'Grid_Requirement'!CR32))</f>
        <v/>
      </c>
      <c r="CS32">
        <f>IF(COUNTIFS(T_StockCount[Part Name],$A32,T_StockCount[WeekIndex],96)&gt;0,SUMIFS(T_StockCount[CountedQty],T_StockCount[Part Name],$A32,T_StockCount[WeekIndex],96),IF((('T_SelfStock'!CS36&lt;&gt;""))*(('T_TTAFStock'!CS36&lt;&gt;""))&gt;0,'T_SelfStock'!CS36+'T_TTAFStock'!CS36,CR32+'Grid_Incoming'!CS32-'Grid_Requirement'!CS32))</f>
        <v/>
      </c>
      <c r="CT32">
        <f>IF(COUNTIFS(T_StockCount[Part Name],$A32,T_StockCount[WeekIndex],97)&gt;0,SUMIFS(T_StockCount[CountedQty],T_StockCount[Part Name],$A32,T_StockCount[WeekIndex],97),IF((('T_SelfStock'!CT36&lt;&gt;""))*(('T_TTAFStock'!CT36&lt;&gt;""))&gt;0,'T_SelfStock'!CT36+'T_TTAFStock'!CT36,CS32+'Grid_Incoming'!CT32-'Grid_Requirement'!CT32))</f>
        <v/>
      </c>
      <c r="CU32">
        <f>IF(COUNTIFS(T_StockCount[Part Name],$A32,T_StockCount[WeekIndex],98)&gt;0,SUMIFS(T_StockCount[CountedQty],T_StockCount[Part Name],$A32,T_StockCount[WeekIndex],98),IF((('T_SelfStock'!CU36&lt;&gt;""))*(('T_TTAFStock'!CU36&lt;&gt;""))&gt;0,'T_SelfStock'!CU36+'T_TTAFStock'!CU36,CT32+'Grid_Incoming'!CU32-'Grid_Requirement'!CU32))</f>
        <v/>
      </c>
      <c r="CV32">
        <f>IF(COUNTIFS(T_StockCount[Part Name],$A32,T_StockCount[WeekIndex],99)&gt;0,SUMIFS(T_StockCount[CountedQty],T_StockCount[Part Name],$A32,T_StockCount[WeekIndex],99),IF((('T_SelfStock'!CV36&lt;&gt;""))*(('T_TTAFStock'!CV36&lt;&gt;""))&gt;0,'T_SelfStock'!CV36+'T_TTAFStock'!CV36,CU32+'Grid_Incoming'!CV32-'Grid_Requirement'!CV32))</f>
        <v/>
      </c>
      <c r="CW32">
        <f>IF(COUNTIFS(T_StockCount[Part Name],$A32,T_StockCount[WeekIndex],100)&gt;0,SUMIFS(T_StockCount[CountedQty],T_StockCount[Part Name],$A32,T_StockCount[WeekIndex],100),IF((('T_SelfStock'!CW36&lt;&gt;""))*(('T_TTAFStock'!CW36&lt;&gt;""))&gt;0,'T_SelfStock'!CW36+'T_TTAFStock'!CW36,CV32+'Grid_Incoming'!CW32-'Grid_Requirement'!CW32))</f>
        <v/>
      </c>
      <c r="CX32">
        <f>IF(COUNTIFS(T_StockCount[Part Name],$A32,T_StockCount[WeekIndex],101)&gt;0,SUMIFS(T_StockCount[CountedQty],T_StockCount[Part Name],$A32,T_StockCount[WeekIndex],101),IF((('T_SelfStock'!CX36&lt;&gt;""))*(('T_TTAFStock'!CX36&lt;&gt;""))&gt;0,'T_SelfStock'!CX36+'T_TTAFStock'!CX36,CW32+'Grid_Incoming'!CX32-'Grid_Requirement'!CX32))</f>
        <v/>
      </c>
      <c r="CY32">
        <f>IF(COUNTIFS(T_StockCount[Part Name],$A32,T_StockCount[WeekIndex],102)&gt;0,SUMIFS(T_StockCount[CountedQty],T_StockCount[Part Name],$A32,T_StockCount[WeekIndex],102),IF((('T_SelfStock'!CY36&lt;&gt;""))*(('T_TTAFStock'!CY36&lt;&gt;""))&gt;0,'T_SelfStock'!CY36+'T_TTAFStock'!CY36,CX32+'Grid_Incoming'!CY32-'Grid_Requirement'!CY32))</f>
        <v/>
      </c>
      <c r="CZ32">
        <f>IF(COUNTIFS(T_StockCount[Part Name],$A32,T_StockCount[WeekIndex],103)&gt;0,SUMIFS(T_StockCount[CountedQty],T_StockCount[Part Name],$A32,T_StockCount[WeekIndex],103),IF((('T_SelfStock'!CZ36&lt;&gt;""))*(('T_TTAFStock'!CZ36&lt;&gt;""))&gt;0,'T_SelfStock'!CZ36+'T_TTAFStock'!CZ36,CY32+'Grid_Incoming'!CZ32-'Grid_Requirement'!CZ32))</f>
        <v/>
      </c>
      <c r="DA32">
        <f>IF(COUNTIFS(T_StockCount[Part Name],$A32,T_StockCount[WeekIndex],104)&gt;0,SUMIFS(T_StockCount[CountedQty],T_StockCount[Part Name],$A32,T_StockCount[WeekIndex],104),IF((('T_SelfStock'!DA36&lt;&gt;""))*(('T_TTAFStock'!DA36&lt;&gt;""))&gt;0,'T_SelfStock'!DA36+'T_TTAFStock'!DA36,CZ32+'Grid_Incoming'!DA32-'Grid_Requirement'!DA32))</f>
        <v/>
      </c>
    </row>
    <row r="33">
      <c r="A33" t="inlineStr">
        <is>
          <t>CHEM-1480</t>
        </is>
      </c>
      <c r="B33">
        <f>IF(COUNTIFS(T_StockCount[Part Name],$A33,T_StockCount[WeekIndex],1)&gt;0,SUMIFS(T_StockCount[CountedQty],T_StockCount[Part Name],$A33,T_StockCount[WeekIndex],1),IF((('T_SelfStock'!B37&lt;&gt;""))*(('T_TTAFStock'!B37&lt;&gt;""))&gt;0,'T_SelfStock'!B37+'T_TTAFStock'!B37,IFERROR(INDEX(T_OpeningStock[Opening_Qty],MATCH($A33,T_OpeningStock[Part Name],0)),0)+'Grid_Incoming'!B33-'Grid_Requirement'!B33))</f>
        <v/>
      </c>
      <c r="C33">
        <f>IF(COUNTIFS(T_StockCount[Part Name],$A33,T_StockCount[WeekIndex],2)&gt;0,SUMIFS(T_StockCount[CountedQty],T_StockCount[Part Name],$A33,T_StockCount[WeekIndex],2),IF((('T_SelfStock'!C37&lt;&gt;""))*(('T_TTAFStock'!C37&lt;&gt;""))&gt;0,'T_SelfStock'!C37+'T_TTAFStock'!C37,B33+'Grid_Incoming'!C33-'Grid_Requirement'!C33))</f>
        <v/>
      </c>
      <c r="D33">
        <f>IF(COUNTIFS(T_StockCount[Part Name],$A33,T_StockCount[WeekIndex],3)&gt;0,SUMIFS(T_StockCount[CountedQty],T_StockCount[Part Name],$A33,T_StockCount[WeekIndex],3),IF((('T_SelfStock'!D37&lt;&gt;""))*(('T_TTAFStock'!D37&lt;&gt;""))&gt;0,'T_SelfStock'!D37+'T_TTAFStock'!D37,C33+'Grid_Incoming'!D33-'Grid_Requirement'!D33))</f>
        <v/>
      </c>
      <c r="E33">
        <f>IF(COUNTIFS(T_StockCount[Part Name],$A33,T_StockCount[WeekIndex],4)&gt;0,SUMIFS(T_StockCount[CountedQty],T_StockCount[Part Name],$A33,T_StockCount[WeekIndex],4),IF((('T_SelfStock'!E37&lt;&gt;""))*(('T_TTAFStock'!E37&lt;&gt;""))&gt;0,'T_SelfStock'!E37+'T_TTAFStock'!E37,D33+'Grid_Incoming'!E33-'Grid_Requirement'!E33))</f>
        <v/>
      </c>
      <c r="F33">
        <f>IF(COUNTIFS(T_StockCount[Part Name],$A33,T_StockCount[WeekIndex],5)&gt;0,SUMIFS(T_StockCount[CountedQty],T_StockCount[Part Name],$A33,T_StockCount[WeekIndex],5),IF((('T_SelfStock'!F37&lt;&gt;""))*(('T_TTAFStock'!F37&lt;&gt;""))&gt;0,'T_SelfStock'!F37+'T_TTAFStock'!F37,E33+'Grid_Incoming'!F33-'Grid_Requirement'!F33))</f>
        <v/>
      </c>
      <c r="G33">
        <f>IF(COUNTIFS(T_StockCount[Part Name],$A33,T_StockCount[WeekIndex],6)&gt;0,SUMIFS(T_StockCount[CountedQty],T_StockCount[Part Name],$A33,T_StockCount[WeekIndex],6),IF((('T_SelfStock'!G37&lt;&gt;""))*(('T_TTAFStock'!G37&lt;&gt;""))&gt;0,'T_SelfStock'!G37+'T_TTAFStock'!G37,F33+'Grid_Incoming'!G33-'Grid_Requirement'!G33))</f>
        <v/>
      </c>
      <c r="H33">
        <f>IF(COUNTIFS(T_StockCount[Part Name],$A33,T_StockCount[WeekIndex],7)&gt;0,SUMIFS(T_StockCount[CountedQty],T_StockCount[Part Name],$A33,T_StockCount[WeekIndex],7),IF((('T_SelfStock'!H37&lt;&gt;""))*(('T_TTAFStock'!H37&lt;&gt;""))&gt;0,'T_SelfStock'!H37+'T_TTAFStock'!H37,G33+'Grid_Incoming'!H33-'Grid_Requirement'!H33))</f>
        <v/>
      </c>
      <c r="I33">
        <f>IF(COUNTIFS(T_StockCount[Part Name],$A33,T_StockCount[WeekIndex],8)&gt;0,SUMIFS(T_StockCount[CountedQty],T_StockCount[Part Name],$A33,T_StockCount[WeekIndex],8),IF((('T_SelfStock'!I37&lt;&gt;""))*(('T_TTAFStock'!I37&lt;&gt;""))&gt;0,'T_SelfStock'!I37+'T_TTAFStock'!I37,H33+'Grid_Incoming'!I33-'Grid_Requirement'!I33))</f>
        <v/>
      </c>
      <c r="J33">
        <f>IF(COUNTIFS(T_StockCount[Part Name],$A33,T_StockCount[WeekIndex],9)&gt;0,SUMIFS(T_StockCount[CountedQty],T_StockCount[Part Name],$A33,T_StockCount[WeekIndex],9),IF((('T_SelfStock'!J37&lt;&gt;""))*(('T_TTAFStock'!J37&lt;&gt;""))&gt;0,'T_SelfStock'!J37+'T_TTAFStock'!J37,I33+'Grid_Incoming'!J33-'Grid_Requirement'!J33))</f>
        <v/>
      </c>
      <c r="K33">
        <f>IF(COUNTIFS(T_StockCount[Part Name],$A33,T_StockCount[WeekIndex],10)&gt;0,SUMIFS(T_StockCount[CountedQty],T_StockCount[Part Name],$A33,T_StockCount[WeekIndex],10),IF((('T_SelfStock'!K37&lt;&gt;""))*(('T_TTAFStock'!K37&lt;&gt;""))&gt;0,'T_SelfStock'!K37+'T_TTAFStock'!K37,J33+'Grid_Incoming'!K33-'Grid_Requirement'!K33))</f>
        <v/>
      </c>
      <c r="L33">
        <f>IF(COUNTIFS(T_StockCount[Part Name],$A33,T_StockCount[WeekIndex],11)&gt;0,SUMIFS(T_StockCount[CountedQty],T_StockCount[Part Name],$A33,T_StockCount[WeekIndex],11),IF((('T_SelfStock'!L37&lt;&gt;""))*(('T_TTAFStock'!L37&lt;&gt;""))&gt;0,'T_SelfStock'!L37+'T_TTAFStock'!L37,K33+'Grid_Incoming'!L33-'Grid_Requirement'!L33))</f>
        <v/>
      </c>
      <c r="M33">
        <f>IF(COUNTIFS(T_StockCount[Part Name],$A33,T_StockCount[WeekIndex],12)&gt;0,SUMIFS(T_StockCount[CountedQty],T_StockCount[Part Name],$A33,T_StockCount[WeekIndex],12),IF((('T_SelfStock'!M37&lt;&gt;""))*(('T_TTAFStock'!M37&lt;&gt;""))&gt;0,'T_SelfStock'!M37+'T_TTAFStock'!M37,L33+'Grid_Incoming'!M33-'Grid_Requirement'!M33))</f>
        <v/>
      </c>
      <c r="N33">
        <f>IF(COUNTIFS(T_StockCount[Part Name],$A33,T_StockCount[WeekIndex],13)&gt;0,SUMIFS(T_StockCount[CountedQty],T_StockCount[Part Name],$A33,T_StockCount[WeekIndex],13),IF((('T_SelfStock'!N37&lt;&gt;""))*(('T_TTAFStock'!N37&lt;&gt;""))&gt;0,'T_SelfStock'!N37+'T_TTAFStock'!N37,M33+'Grid_Incoming'!N33-'Grid_Requirement'!N33))</f>
        <v/>
      </c>
      <c r="O33">
        <f>IF(COUNTIFS(T_StockCount[Part Name],$A33,T_StockCount[WeekIndex],14)&gt;0,SUMIFS(T_StockCount[CountedQty],T_StockCount[Part Name],$A33,T_StockCount[WeekIndex],14),IF((('T_SelfStock'!O37&lt;&gt;""))*(('T_TTAFStock'!O37&lt;&gt;""))&gt;0,'T_SelfStock'!O37+'T_TTAFStock'!O37,N33+'Grid_Incoming'!O33-'Grid_Requirement'!O33))</f>
        <v/>
      </c>
      <c r="P33">
        <f>IF(COUNTIFS(T_StockCount[Part Name],$A33,T_StockCount[WeekIndex],15)&gt;0,SUMIFS(T_StockCount[CountedQty],T_StockCount[Part Name],$A33,T_StockCount[WeekIndex],15),IF((('T_SelfStock'!P37&lt;&gt;""))*(('T_TTAFStock'!P37&lt;&gt;""))&gt;0,'T_SelfStock'!P37+'T_TTAFStock'!P37,O33+'Grid_Incoming'!P33-'Grid_Requirement'!P33))</f>
        <v/>
      </c>
      <c r="Q33">
        <f>IF(COUNTIFS(T_StockCount[Part Name],$A33,T_StockCount[WeekIndex],16)&gt;0,SUMIFS(T_StockCount[CountedQty],T_StockCount[Part Name],$A33,T_StockCount[WeekIndex],16),IF((('T_SelfStock'!Q37&lt;&gt;""))*(('T_TTAFStock'!Q37&lt;&gt;""))&gt;0,'T_SelfStock'!Q37+'T_TTAFStock'!Q37,P33+'Grid_Incoming'!Q33-'Grid_Requirement'!Q33))</f>
        <v/>
      </c>
      <c r="R33">
        <f>IF(COUNTIFS(T_StockCount[Part Name],$A33,T_StockCount[WeekIndex],17)&gt;0,SUMIFS(T_StockCount[CountedQty],T_StockCount[Part Name],$A33,T_StockCount[WeekIndex],17),IF((('T_SelfStock'!R37&lt;&gt;""))*(('T_TTAFStock'!R37&lt;&gt;""))&gt;0,'T_SelfStock'!R37+'T_TTAFStock'!R37,Q33+'Grid_Incoming'!R33-'Grid_Requirement'!R33))</f>
        <v/>
      </c>
      <c r="S33">
        <f>IF(COUNTIFS(T_StockCount[Part Name],$A33,T_StockCount[WeekIndex],18)&gt;0,SUMIFS(T_StockCount[CountedQty],T_StockCount[Part Name],$A33,T_StockCount[WeekIndex],18),IF((('T_SelfStock'!S37&lt;&gt;""))*(('T_TTAFStock'!S37&lt;&gt;""))&gt;0,'T_SelfStock'!S37+'T_TTAFStock'!S37,R33+'Grid_Incoming'!S33-'Grid_Requirement'!S33))</f>
        <v/>
      </c>
      <c r="T33">
        <f>IF(COUNTIFS(T_StockCount[Part Name],$A33,T_StockCount[WeekIndex],19)&gt;0,SUMIFS(T_StockCount[CountedQty],T_StockCount[Part Name],$A33,T_StockCount[WeekIndex],19),IF((('T_SelfStock'!T37&lt;&gt;""))*(('T_TTAFStock'!T37&lt;&gt;""))&gt;0,'T_SelfStock'!T37+'T_TTAFStock'!T37,S33+'Grid_Incoming'!T33-'Grid_Requirement'!T33))</f>
        <v/>
      </c>
      <c r="U33">
        <f>IF(COUNTIFS(T_StockCount[Part Name],$A33,T_StockCount[WeekIndex],20)&gt;0,SUMIFS(T_StockCount[CountedQty],T_StockCount[Part Name],$A33,T_StockCount[WeekIndex],20),IF((('T_SelfStock'!U37&lt;&gt;""))*(('T_TTAFStock'!U37&lt;&gt;""))&gt;0,'T_SelfStock'!U37+'T_TTAFStock'!U37,T33+'Grid_Incoming'!U33-'Grid_Requirement'!U33))</f>
        <v/>
      </c>
      <c r="V33">
        <f>IF(COUNTIFS(T_StockCount[Part Name],$A33,T_StockCount[WeekIndex],21)&gt;0,SUMIFS(T_StockCount[CountedQty],T_StockCount[Part Name],$A33,T_StockCount[WeekIndex],21),IF((('T_SelfStock'!V37&lt;&gt;""))*(('T_TTAFStock'!V37&lt;&gt;""))&gt;0,'T_SelfStock'!V37+'T_TTAFStock'!V37,U33+'Grid_Incoming'!V33-'Grid_Requirement'!V33))</f>
        <v/>
      </c>
      <c r="W33">
        <f>IF(COUNTIFS(T_StockCount[Part Name],$A33,T_StockCount[WeekIndex],22)&gt;0,SUMIFS(T_StockCount[CountedQty],T_StockCount[Part Name],$A33,T_StockCount[WeekIndex],22),IF((('T_SelfStock'!W37&lt;&gt;""))*(('T_TTAFStock'!W37&lt;&gt;""))&gt;0,'T_SelfStock'!W37+'T_TTAFStock'!W37,V33+'Grid_Incoming'!W33-'Grid_Requirement'!W33))</f>
        <v/>
      </c>
      <c r="X33">
        <f>IF(COUNTIFS(T_StockCount[Part Name],$A33,T_StockCount[WeekIndex],23)&gt;0,SUMIFS(T_StockCount[CountedQty],T_StockCount[Part Name],$A33,T_StockCount[WeekIndex],23),IF((('T_SelfStock'!X37&lt;&gt;""))*(('T_TTAFStock'!X37&lt;&gt;""))&gt;0,'T_SelfStock'!X37+'T_TTAFStock'!X37,W33+'Grid_Incoming'!X33-'Grid_Requirement'!X33))</f>
        <v/>
      </c>
      <c r="Y33">
        <f>IF(COUNTIFS(T_StockCount[Part Name],$A33,T_StockCount[WeekIndex],24)&gt;0,SUMIFS(T_StockCount[CountedQty],T_StockCount[Part Name],$A33,T_StockCount[WeekIndex],24),IF((('T_SelfStock'!Y37&lt;&gt;""))*(('T_TTAFStock'!Y37&lt;&gt;""))&gt;0,'T_SelfStock'!Y37+'T_TTAFStock'!Y37,X33+'Grid_Incoming'!Y33-'Grid_Requirement'!Y33))</f>
        <v/>
      </c>
      <c r="Z33">
        <f>IF(COUNTIFS(T_StockCount[Part Name],$A33,T_StockCount[WeekIndex],25)&gt;0,SUMIFS(T_StockCount[CountedQty],T_StockCount[Part Name],$A33,T_StockCount[WeekIndex],25),IF((('T_SelfStock'!Z37&lt;&gt;""))*(('T_TTAFStock'!Z37&lt;&gt;""))&gt;0,'T_SelfStock'!Z37+'T_TTAFStock'!Z37,Y33+'Grid_Incoming'!Z33-'Grid_Requirement'!Z33))</f>
        <v/>
      </c>
      <c r="AA33">
        <f>IF(COUNTIFS(T_StockCount[Part Name],$A33,T_StockCount[WeekIndex],26)&gt;0,SUMIFS(T_StockCount[CountedQty],T_StockCount[Part Name],$A33,T_StockCount[WeekIndex],26),IF((('T_SelfStock'!AA37&lt;&gt;""))*(('T_TTAFStock'!AA37&lt;&gt;""))&gt;0,'T_SelfStock'!AA37+'T_TTAFStock'!AA37,Z33+'Grid_Incoming'!AA33-'Grid_Requirement'!AA33))</f>
        <v/>
      </c>
      <c r="AB33">
        <f>IF(COUNTIFS(T_StockCount[Part Name],$A33,T_StockCount[WeekIndex],27)&gt;0,SUMIFS(T_StockCount[CountedQty],T_StockCount[Part Name],$A33,T_StockCount[WeekIndex],27),IF((('T_SelfStock'!AB37&lt;&gt;""))*(('T_TTAFStock'!AB37&lt;&gt;""))&gt;0,'T_SelfStock'!AB37+'T_TTAFStock'!AB37,AA33+'Grid_Incoming'!AB33-'Grid_Requirement'!AB33))</f>
        <v/>
      </c>
      <c r="AC33">
        <f>IF(COUNTIFS(T_StockCount[Part Name],$A33,T_StockCount[WeekIndex],28)&gt;0,SUMIFS(T_StockCount[CountedQty],T_StockCount[Part Name],$A33,T_StockCount[WeekIndex],28),IF((('T_SelfStock'!AC37&lt;&gt;""))*(('T_TTAFStock'!AC37&lt;&gt;""))&gt;0,'T_SelfStock'!AC37+'T_TTAFStock'!AC37,AB33+'Grid_Incoming'!AC33-'Grid_Requirement'!AC33))</f>
        <v/>
      </c>
      <c r="AD33">
        <f>IF(COUNTIFS(T_StockCount[Part Name],$A33,T_StockCount[WeekIndex],29)&gt;0,SUMIFS(T_StockCount[CountedQty],T_StockCount[Part Name],$A33,T_StockCount[WeekIndex],29),IF((('T_SelfStock'!AD37&lt;&gt;""))*(('T_TTAFStock'!AD37&lt;&gt;""))&gt;0,'T_SelfStock'!AD37+'T_TTAFStock'!AD37,AC33+'Grid_Incoming'!AD33-'Grid_Requirement'!AD33))</f>
        <v/>
      </c>
      <c r="AE33">
        <f>IF(COUNTIFS(T_StockCount[Part Name],$A33,T_StockCount[WeekIndex],30)&gt;0,SUMIFS(T_StockCount[CountedQty],T_StockCount[Part Name],$A33,T_StockCount[WeekIndex],30),IF((('T_SelfStock'!AE37&lt;&gt;""))*(('T_TTAFStock'!AE37&lt;&gt;""))&gt;0,'T_SelfStock'!AE37+'T_TTAFStock'!AE37,AD33+'Grid_Incoming'!AE33-'Grid_Requirement'!AE33))</f>
        <v/>
      </c>
      <c r="AF33">
        <f>IF(COUNTIFS(T_StockCount[Part Name],$A33,T_StockCount[WeekIndex],31)&gt;0,SUMIFS(T_StockCount[CountedQty],T_StockCount[Part Name],$A33,T_StockCount[WeekIndex],31),IF((('T_SelfStock'!AF37&lt;&gt;""))*(('T_TTAFStock'!AF37&lt;&gt;""))&gt;0,'T_SelfStock'!AF37+'T_TTAFStock'!AF37,AE33+'Grid_Incoming'!AF33-'Grid_Requirement'!AF33))</f>
        <v/>
      </c>
      <c r="AG33">
        <f>IF(COUNTIFS(T_StockCount[Part Name],$A33,T_StockCount[WeekIndex],32)&gt;0,SUMIFS(T_StockCount[CountedQty],T_StockCount[Part Name],$A33,T_StockCount[WeekIndex],32),IF((('T_SelfStock'!AG37&lt;&gt;""))*(('T_TTAFStock'!AG37&lt;&gt;""))&gt;0,'T_SelfStock'!AG37+'T_TTAFStock'!AG37,AF33+'Grid_Incoming'!AG33-'Grid_Requirement'!AG33))</f>
        <v/>
      </c>
      <c r="AH33">
        <f>IF(COUNTIFS(T_StockCount[Part Name],$A33,T_StockCount[WeekIndex],33)&gt;0,SUMIFS(T_StockCount[CountedQty],T_StockCount[Part Name],$A33,T_StockCount[WeekIndex],33),IF((('T_SelfStock'!AH37&lt;&gt;""))*(('T_TTAFStock'!AH37&lt;&gt;""))&gt;0,'T_SelfStock'!AH37+'T_TTAFStock'!AH37,AG33+'Grid_Incoming'!AH33-'Grid_Requirement'!AH33))</f>
        <v/>
      </c>
      <c r="AI33">
        <f>IF(COUNTIFS(T_StockCount[Part Name],$A33,T_StockCount[WeekIndex],34)&gt;0,SUMIFS(T_StockCount[CountedQty],T_StockCount[Part Name],$A33,T_StockCount[WeekIndex],34),IF((('T_SelfStock'!AI37&lt;&gt;""))*(('T_TTAFStock'!AI37&lt;&gt;""))&gt;0,'T_SelfStock'!AI37+'T_TTAFStock'!AI37,AH33+'Grid_Incoming'!AI33-'Grid_Requirement'!AI33))</f>
        <v/>
      </c>
      <c r="AJ33">
        <f>IF(COUNTIFS(T_StockCount[Part Name],$A33,T_StockCount[WeekIndex],35)&gt;0,SUMIFS(T_StockCount[CountedQty],T_StockCount[Part Name],$A33,T_StockCount[WeekIndex],35),IF((('T_SelfStock'!AJ37&lt;&gt;""))*(('T_TTAFStock'!AJ37&lt;&gt;""))&gt;0,'T_SelfStock'!AJ37+'T_TTAFStock'!AJ37,AI33+'Grid_Incoming'!AJ33-'Grid_Requirement'!AJ33))</f>
        <v/>
      </c>
      <c r="AK33">
        <f>IF(COUNTIFS(T_StockCount[Part Name],$A33,T_StockCount[WeekIndex],36)&gt;0,SUMIFS(T_StockCount[CountedQty],T_StockCount[Part Name],$A33,T_StockCount[WeekIndex],36),IF((('T_SelfStock'!AK37&lt;&gt;""))*(('T_TTAFStock'!AK37&lt;&gt;""))&gt;0,'T_SelfStock'!AK37+'T_TTAFStock'!AK37,AJ33+'Grid_Incoming'!AK33-'Grid_Requirement'!AK33))</f>
        <v/>
      </c>
      <c r="AL33">
        <f>IF(COUNTIFS(T_StockCount[Part Name],$A33,T_StockCount[WeekIndex],37)&gt;0,SUMIFS(T_StockCount[CountedQty],T_StockCount[Part Name],$A33,T_StockCount[WeekIndex],37),IF((('T_SelfStock'!AL37&lt;&gt;""))*(('T_TTAFStock'!AL37&lt;&gt;""))&gt;0,'T_SelfStock'!AL37+'T_TTAFStock'!AL37,AK33+'Grid_Incoming'!AL33-'Grid_Requirement'!AL33))</f>
        <v/>
      </c>
      <c r="AM33">
        <f>IF(COUNTIFS(T_StockCount[Part Name],$A33,T_StockCount[WeekIndex],38)&gt;0,SUMIFS(T_StockCount[CountedQty],T_StockCount[Part Name],$A33,T_StockCount[WeekIndex],38),IF((('T_SelfStock'!AM37&lt;&gt;""))*(('T_TTAFStock'!AM37&lt;&gt;""))&gt;0,'T_SelfStock'!AM37+'T_TTAFStock'!AM37,AL33+'Grid_Incoming'!AM33-'Grid_Requirement'!AM33))</f>
        <v/>
      </c>
      <c r="AN33">
        <f>IF(COUNTIFS(T_StockCount[Part Name],$A33,T_StockCount[WeekIndex],39)&gt;0,SUMIFS(T_StockCount[CountedQty],T_StockCount[Part Name],$A33,T_StockCount[WeekIndex],39),IF((('T_SelfStock'!AN37&lt;&gt;""))*(('T_TTAFStock'!AN37&lt;&gt;""))&gt;0,'T_SelfStock'!AN37+'T_TTAFStock'!AN37,AM33+'Grid_Incoming'!AN33-'Grid_Requirement'!AN33))</f>
        <v/>
      </c>
      <c r="AO33">
        <f>IF(COUNTIFS(T_StockCount[Part Name],$A33,T_StockCount[WeekIndex],40)&gt;0,SUMIFS(T_StockCount[CountedQty],T_StockCount[Part Name],$A33,T_StockCount[WeekIndex],40),IF((('T_SelfStock'!AO37&lt;&gt;""))*(('T_TTAFStock'!AO37&lt;&gt;""))&gt;0,'T_SelfStock'!AO37+'T_TTAFStock'!AO37,AN33+'Grid_Incoming'!AO33-'Grid_Requirement'!AO33))</f>
        <v/>
      </c>
      <c r="AP33">
        <f>IF(COUNTIFS(T_StockCount[Part Name],$A33,T_StockCount[WeekIndex],41)&gt;0,SUMIFS(T_StockCount[CountedQty],T_StockCount[Part Name],$A33,T_StockCount[WeekIndex],41),IF((('T_SelfStock'!AP37&lt;&gt;""))*(('T_TTAFStock'!AP37&lt;&gt;""))&gt;0,'T_SelfStock'!AP37+'T_TTAFStock'!AP37,AO33+'Grid_Incoming'!AP33-'Grid_Requirement'!AP33))</f>
        <v/>
      </c>
      <c r="AQ33">
        <f>IF(COUNTIFS(T_StockCount[Part Name],$A33,T_StockCount[WeekIndex],42)&gt;0,SUMIFS(T_StockCount[CountedQty],T_StockCount[Part Name],$A33,T_StockCount[WeekIndex],42),IF((('T_SelfStock'!AQ37&lt;&gt;""))*(('T_TTAFStock'!AQ37&lt;&gt;""))&gt;0,'T_SelfStock'!AQ37+'T_TTAFStock'!AQ37,AP33+'Grid_Incoming'!AQ33-'Grid_Requirement'!AQ33))</f>
        <v/>
      </c>
      <c r="AR33">
        <f>IF(COUNTIFS(T_StockCount[Part Name],$A33,T_StockCount[WeekIndex],43)&gt;0,SUMIFS(T_StockCount[CountedQty],T_StockCount[Part Name],$A33,T_StockCount[WeekIndex],43),IF((('T_SelfStock'!AR37&lt;&gt;""))*(('T_TTAFStock'!AR37&lt;&gt;""))&gt;0,'T_SelfStock'!AR37+'T_TTAFStock'!AR37,AQ33+'Grid_Incoming'!AR33-'Grid_Requirement'!AR33))</f>
        <v/>
      </c>
      <c r="AS33">
        <f>IF(COUNTIFS(T_StockCount[Part Name],$A33,T_StockCount[WeekIndex],44)&gt;0,SUMIFS(T_StockCount[CountedQty],T_StockCount[Part Name],$A33,T_StockCount[WeekIndex],44),IF((('T_SelfStock'!AS37&lt;&gt;""))*(('T_TTAFStock'!AS37&lt;&gt;""))&gt;0,'T_SelfStock'!AS37+'T_TTAFStock'!AS37,AR33+'Grid_Incoming'!AS33-'Grid_Requirement'!AS33))</f>
        <v/>
      </c>
      <c r="AT33">
        <f>IF(COUNTIFS(T_StockCount[Part Name],$A33,T_StockCount[WeekIndex],45)&gt;0,SUMIFS(T_StockCount[CountedQty],T_StockCount[Part Name],$A33,T_StockCount[WeekIndex],45),IF((('T_SelfStock'!AT37&lt;&gt;""))*(('T_TTAFStock'!AT37&lt;&gt;""))&gt;0,'T_SelfStock'!AT37+'T_TTAFStock'!AT37,AS33+'Grid_Incoming'!AT33-'Grid_Requirement'!AT33))</f>
        <v/>
      </c>
      <c r="AU33">
        <f>IF(COUNTIFS(T_StockCount[Part Name],$A33,T_StockCount[WeekIndex],46)&gt;0,SUMIFS(T_StockCount[CountedQty],T_StockCount[Part Name],$A33,T_StockCount[WeekIndex],46),IF((('T_SelfStock'!AU37&lt;&gt;""))*(('T_TTAFStock'!AU37&lt;&gt;""))&gt;0,'T_SelfStock'!AU37+'T_TTAFStock'!AU37,AT33+'Grid_Incoming'!AU33-'Grid_Requirement'!AU33))</f>
        <v/>
      </c>
      <c r="AV33">
        <f>IF(COUNTIFS(T_StockCount[Part Name],$A33,T_StockCount[WeekIndex],47)&gt;0,SUMIFS(T_StockCount[CountedQty],T_StockCount[Part Name],$A33,T_StockCount[WeekIndex],47),IF((('T_SelfStock'!AV37&lt;&gt;""))*(('T_TTAFStock'!AV37&lt;&gt;""))&gt;0,'T_SelfStock'!AV37+'T_TTAFStock'!AV37,AU33+'Grid_Incoming'!AV33-'Grid_Requirement'!AV33))</f>
        <v/>
      </c>
      <c r="AW33">
        <f>IF(COUNTIFS(T_StockCount[Part Name],$A33,T_StockCount[WeekIndex],48)&gt;0,SUMIFS(T_StockCount[CountedQty],T_StockCount[Part Name],$A33,T_StockCount[WeekIndex],48),IF((('T_SelfStock'!AW37&lt;&gt;""))*(('T_TTAFStock'!AW37&lt;&gt;""))&gt;0,'T_SelfStock'!AW37+'T_TTAFStock'!AW37,AV33+'Grid_Incoming'!AW33-'Grid_Requirement'!AW33))</f>
        <v/>
      </c>
      <c r="AX33">
        <f>IF(COUNTIFS(T_StockCount[Part Name],$A33,T_StockCount[WeekIndex],49)&gt;0,SUMIFS(T_StockCount[CountedQty],T_StockCount[Part Name],$A33,T_StockCount[WeekIndex],49),IF((('T_SelfStock'!AX37&lt;&gt;""))*(('T_TTAFStock'!AX37&lt;&gt;""))&gt;0,'T_SelfStock'!AX37+'T_TTAFStock'!AX37,AW33+'Grid_Incoming'!AX33-'Grid_Requirement'!AX33))</f>
        <v/>
      </c>
      <c r="AY33">
        <f>IF(COUNTIFS(T_StockCount[Part Name],$A33,T_StockCount[WeekIndex],50)&gt;0,SUMIFS(T_StockCount[CountedQty],T_StockCount[Part Name],$A33,T_StockCount[WeekIndex],50),IF((('T_SelfStock'!AY37&lt;&gt;""))*(('T_TTAFStock'!AY37&lt;&gt;""))&gt;0,'T_SelfStock'!AY37+'T_TTAFStock'!AY37,AX33+'Grid_Incoming'!AY33-'Grid_Requirement'!AY33))</f>
        <v/>
      </c>
      <c r="AZ33">
        <f>IF(COUNTIFS(T_StockCount[Part Name],$A33,T_StockCount[WeekIndex],51)&gt;0,SUMIFS(T_StockCount[CountedQty],T_StockCount[Part Name],$A33,T_StockCount[WeekIndex],51),IF((('T_SelfStock'!AZ37&lt;&gt;""))*(('T_TTAFStock'!AZ37&lt;&gt;""))&gt;0,'T_SelfStock'!AZ37+'T_TTAFStock'!AZ37,AY33+'Grid_Incoming'!AZ33-'Grid_Requirement'!AZ33))</f>
        <v/>
      </c>
      <c r="BA33">
        <f>IF(COUNTIFS(T_StockCount[Part Name],$A33,T_StockCount[WeekIndex],52)&gt;0,SUMIFS(T_StockCount[CountedQty],T_StockCount[Part Name],$A33,T_StockCount[WeekIndex],52),IF((('T_SelfStock'!BA37&lt;&gt;""))*(('T_TTAFStock'!BA37&lt;&gt;""))&gt;0,'T_SelfStock'!BA37+'T_TTAFStock'!BA37,AZ33+'Grid_Incoming'!BA33-'Grid_Requirement'!BA33))</f>
        <v/>
      </c>
      <c r="BB33">
        <f>IF(COUNTIFS(T_StockCount[Part Name],$A33,T_StockCount[WeekIndex],53)&gt;0,SUMIFS(T_StockCount[CountedQty],T_StockCount[Part Name],$A33,T_StockCount[WeekIndex],53),IF((('T_SelfStock'!BB37&lt;&gt;""))*(('T_TTAFStock'!BB37&lt;&gt;""))&gt;0,'T_SelfStock'!BB37+'T_TTAFStock'!BB37,BA33+'Grid_Incoming'!BB33-'Grid_Requirement'!BB33))</f>
        <v/>
      </c>
      <c r="BC33">
        <f>IF(COUNTIFS(T_StockCount[Part Name],$A33,T_StockCount[WeekIndex],54)&gt;0,SUMIFS(T_StockCount[CountedQty],T_StockCount[Part Name],$A33,T_StockCount[WeekIndex],54),IF((('T_SelfStock'!BC37&lt;&gt;""))*(('T_TTAFStock'!BC37&lt;&gt;""))&gt;0,'T_SelfStock'!BC37+'T_TTAFStock'!BC37,BB33+'Grid_Incoming'!BC33-'Grid_Requirement'!BC33))</f>
        <v/>
      </c>
      <c r="BD33">
        <f>IF(COUNTIFS(T_StockCount[Part Name],$A33,T_StockCount[WeekIndex],55)&gt;0,SUMIFS(T_StockCount[CountedQty],T_StockCount[Part Name],$A33,T_StockCount[WeekIndex],55),IF((('T_SelfStock'!BD37&lt;&gt;""))*(('T_TTAFStock'!BD37&lt;&gt;""))&gt;0,'T_SelfStock'!BD37+'T_TTAFStock'!BD37,BC33+'Grid_Incoming'!BD33-'Grid_Requirement'!BD33))</f>
        <v/>
      </c>
      <c r="BE33">
        <f>IF(COUNTIFS(T_StockCount[Part Name],$A33,T_StockCount[WeekIndex],56)&gt;0,SUMIFS(T_StockCount[CountedQty],T_StockCount[Part Name],$A33,T_StockCount[WeekIndex],56),IF((('T_SelfStock'!BE37&lt;&gt;""))*(('T_TTAFStock'!BE37&lt;&gt;""))&gt;0,'T_SelfStock'!BE37+'T_TTAFStock'!BE37,BD33+'Grid_Incoming'!BE33-'Grid_Requirement'!BE33))</f>
        <v/>
      </c>
      <c r="BF33">
        <f>IF(COUNTIFS(T_StockCount[Part Name],$A33,T_StockCount[WeekIndex],57)&gt;0,SUMIFS(T_StockCount[CountedQty],T_StockCount[Part Name],$A33,T_StockCount[WeekIndex],57),IF((('T_SelfStock'!BF37&lt;&gt;""))*(('T_TTAFStock'!BF37&lt;&gt;""))&gt;0,'T_SelfStock'!BF37+'T_TTAFStock'!BF37,BE33+'Grid_Incoming'!BF33-'Grid_Requirement'!BF33))</f>
        <v/>
      </c>
      <c r="BG33">
        <f>IF(COUNTIFS(T_StockCount[Part Name],$A33,T_StockCount[WeekIndex],58)&gt;0,SUMIFS(T_StockCount[CountedQty],T_StockCount[Part Name],$A33,T_StockCount[WeekIndex],58),IF((('T_SelfStock'!BG37&lt;&gt;""))*(('T_TTAFStock'!BG37&lt;&gt;""))&gt;0,'T_SelfStock'!BG37+'T_TTAFStock'!BG37,BF33+'Grid_Incoming'!BG33-'Grid_Requirement'!BG33))</f>
        <v/>
      </c>
      <c r="BH33">
        <f>IF(COUNTIFS(T_StockCount[Part Name],$A33,T_StockCount[WeekIndex],59)&gt;0,SUMIFS(T_StockCount[CountedQty],T_StockCount[Part Name],$A33,T_StockCount[WeekIndex],59),IF((('T_SelfStock'!BH37&lt;&gt;""))*(('T_TTAFStock'!BH37&lt;&gt;""))&gt;0,'T_SelfStock'!BH37+'T_TTAFStock'!BH37,BG33+'Grid_Incoming'!BH33-'Grid_Requirement'!BH33))</f>
        <v/>
      </c>
      <c r="BI33">
        <f>IF(COUNTIFS(T_StockCount[Part Name],$A33,T_StockCount[WeekIndex],60)&gt;0,SUMIFS(T_StockCount[CountedQty],T_StockCount[Part Name],$A33,T_StockCount[WeekIndex],60),IF((('T_SelfStock'!BI37&lt;&gt;""))*(('T_TTAFStock'!BI37&lt;&gt;""))&gt;0,'T_SelfStock'!BI37+'T_TTAFStock'!BI37,BH33+'Grid_Incoming'!BI33-'Grid_Requirement'!BI33))</f>
        <v/>
      </c>
      <c r="BJ33">
        <f>IF(COUNTIFS(T_StockCount[Part Name],$A33,T_StockCount[WeekIndex],61)&gt;0,SUMIFS(T_StockCount[CountedQty],T_StockCount[Part Name],$A33,T_StockCount[WeekIndex],61),IF((('T_SelfStock'!BJ37&lt;&gt;""))*(('T_TTAFStock'!BJ37&lt;&gt;""))&gt;0,'T_SelfStock'!BJ37+'T_TTAFStock'!BJ37,BI33+'Grid_Incoming'!BJ33-'Grid_Requirement'!BJ33))</f>
        <v/>
      </c>
      <c r="BK33">
        <f>IF(COUNTIFS(T_StockCount[Part Name],$A33,T_StockCount[WeekIndex],62)&gt;0,SUMIFS(T_StockCount[CountedQty],T_StockCount[Part Name],$A33,T_StockCount[WeekIndex],62),IF((('T_SelfStock'!BK37&lt;&gt;""))*(('T_TTAFStock'!BK37&lt;&gt;""))&gt;0,'T_SelfStock'!BK37+'T_TTAFStock'!BK37,BJ33+'Grid_Incoming'!BK33-'Grid_Requirement'!BK33))</f>
        <v/>
      </c>
      <c r="BL33">
        <f>IF(COUNTIFS(T_StockCount[Part Name],$A33,T_StockCount[WeekIndex],63)&gt;0,SUMIFS(T_StockCount[CountedQty],T_StockCount[Part Name],$A33,T_StockCount[WeekIndex],63),IF((('T_SelfStock'!BL37&lt;&gt;""))*(('T_TTAFStock'!BL37&lt;&gt;""))&gt;0,'T_SelfStock'!BL37+'T_TTAFStock'!BL37,BK33+'Grid_Incoming'!BL33-'Grid_Requirement'!BL33))</f>
        <v/>
      </c>
      <c r="BM33">
        <f>IF(COUNTIFS(T_StockCount[Part Name],$A33,T_StockCount[WeekIndex],64)&gt;0,SUMIFS(T_StockCount[CountedQty],T_StockCount[Part Name],$A33,T_StockCount[WeekIndex],64),IF((('T_SelfStock'!BM37&lt;&gt;""))*(('T_TTAFStock'!BM37&lt;&gt;""))&gt;0,'T_SelfStock'!BM37+'T_TTAFStock'!BM37,BL33+'Grid_Incoming'!BM33-'Grid_Requirement'!BM33))</f>
        <v/>
      </c>
      <c r="BN33">
        <f>IF(COUNTIFS(T_StockCount[Part Name],$A33,T_StockCount[WeekIndex],65)&gt;0,SUMIFS(T_StockCount[CountedQty],T_StockCount[Part Name],$A33,T_StockCount[WeekIndex],65),IF((('T_SelfStock'!BN37&lt;&gt;""))*(('T_TTAFStock'!BN37&lt;&gt;""))&gt;0,'T_SelfStock'!BN37+'T_TTAFStock'!BN37,BM33+'Grid_Incoming'!BN33-'Grid_Requirement'!BN33))</f>
        <v/>
      </c>
      <c r="BO33">
        <f>IF(COUNTIFS(T_StockCount[Part Name],$A33,T_StockCount[WeekIndex],66)&gt;0,SUMIFS(T_StockCount[CountedQty],T_StockCount[Part Name],$A33,T_StockCount[WeekIndex],66),IF((('T_SelfStock'!BO37&lt;&gt;""))*(('T_TTAFStock'!BO37&lt;&gt;""))&gt;0,'T_SelfStock'!BO37+'T_TTAFStock'!BO37,BN33+'Grid_Incoming'!BO33-'Grid_Requirement'!BO33))</f>
        <v/>
      </c>
      <c r="BP33">
        <f>IF(COUNTIFS(T_StockCount[Part Name],$A33,T_StockCount[WeekIndex],67)&gt;0,SUMIFS(T_StockCount[CountedQty],T_StockCount[Part Name],$A33,T_StockCount[WeekIndex],67),IF((('T_SelfStock'!BP37&lt;&gt;""))*(('T_TTAFStock'!BP37&lt;&gt;""))&gt;0,'T_SelfStock'!BP37+'T_TTAFStock'!BP37,BO33+'Grid_Incoming'!BP33-'Grid_Requirement'!BP33))</f>
        <v/>
      </c>
      <c r="BQ33">
        <f>IF(COUNTIFS(T_StockCount[Part Name],$A33,T_StockCount[WeekIndex],68)&gt;0,SUMIFS(T_StockCount[CountedQty],T_StockCount[Part Name],$A33,T_StockCount[WeekIndex],68),IF((('T_SelfStock'!BQ37&lt;&gt;""))*(('T_TTAFStock'!BQ37&lt;&gt;""))&gt;0,'T_SelfStock'!BQ37+'T_TTAFStock'!BQ37,BP33+'Grid_Incoming'!BQ33-'Grid_Requirement'!BQ33))</f>
        <v/>
      </c>
      <c r="BR33">
        <f>IF(COUNTIFS(T_StockCount[Part Name],$A33,T_StockCount[WeekIndex],69)&gt;0,SUMIFS(T_StockCount[CountedQty],T_StockCount[Part Name],$A33,T_StockCount[WeekIndex],69),IF((('T_SelfStock'!BR37&lt;&gt;""))*(('T_TTAFStock'!BR37&lt;&gt;""))&gt;0,'T_SelfStock'!BR37+'T_TTAFStock'!BR37,BQ33+'Grid_Incoming'!BR33-'Grid_Requirement'!BR33))</f>
        <v/>
      </c>
      <c r="BS33">
        <f>IF(COUNTIFS(T_StockCount[Part Name],$A33,T_StockCount[WeekIndex],70)&gt;0,SUMIFS(T_StockCount[CountedQty],T_StockCount[Part Name],$A33,T_StockCount[WeekIndex],70),IF((('T_SelfStock'!BS37&lt;&gt;""))*(('T_TTAFStock'!BS37&lt;&gt;""))&gt;0,'T_SelfStock'!BS37+'T_TTAFStock'!BS37,BR33+'Grid_Incoming'!BS33-'Grid_Requirement'!BS33))</f>
        <v/>
      </c>
      <c r="BT33">
        <f>IF(COUNTIFS(T_StockCount[Part Name],$A33,T_StockCount[WeekIndex],71)&gt;0,SUMIFS(T_StockCount[CountedQty],T_StockCount[Part Name],$A33,T_StockCount[WeekIndex],71),IF((('T_SelfStock'!BT37&lt;&gt;""))*(('T_TTAFStock'!BT37&lt;&gt;""))&gt;0,'T_SelfStock'!BT37+'T_TTAFStock'!BT37,BS33+'Grid_Incoming'!BT33-'Grid_Requirement'!BT33))</f>
        <v/>
      </c>
      <c r="BU33">
        <f>IF(COUNTIFS(T_StockCount[Part Name],$A33,T_StockCount[WeekIndex],72)&gt;0,SUMIFS(T_StockCount[CountedQty],T_StockCount[Part Name],$A33,T_StockCount[WeekIndex],72),IF((('T_SelfStock'!BU37&lt;&gt;""))*(('T_TTAFStock'!BU37&lt;&gt;""))&gt;0,'T_SelfStock'!BU37+'T_TTAFStock'!BU37,BT33+'Grid_Incoming'!BU33-'Grid_Requirement'!BU33))</f>
        <v/>
      </c>
      <c r="BV33">
        <f>IF(COUNTIFS(T_StockCount[Part Name],$A33,T_StockCount[WeekIndex],73)&gt;0,SUMIFS(T_StockCount[CountedQty],T_StockCount[Part Name],$A33,T_StockCount[WeekIndex],73),IF((('T_SelfStock'!BV37&lt;&gt;""))*(('T_TTAFStock'!BV37&lt;&gt;""))&gt;0,'T_SelfStock'!BV37+'T_TTAFStock'!BV37,BU33+'Grid_Incoming'!BV33-'Grid_Requirement'!BV33))</f>
        <v/>
      </c>
      <c r="BW33">
        <f>IF(COUNTIFS(T_StockCount[Part Name],$A33,T_StockCount[WeekIndex],74)&gt;0,SUMIFS(T_StockCount[CountedQty],T_StockCount[Part Name],$A33,T_StockCount[WeekIndex],74),IF((('T_SelfStock'!BW37&lt;&gt;""))*(('T_TTAFStock'!BW37&lt;&gt;""))&gt;0,'T_SelfStock'!BW37+'T_TTAFStock'!BW37,BV33+'Grid_Incoming'!BW33-'Grid_Requirement'!BW33))</f>
        <v/>
      </c>
      <c r="BX33">
        <f>IF(COUNTIFS(T_StockCount[Part Name],$A33,T_StockCount[WeekIndex],75)&gt;0,SUMIFS(T_StockCount[CountedQty],T_StockCount[Part Name],$A33,T_StockCount[WeekIndex],75),IF((('T_SelfStock'!BX37&lt;&gt;""))*(('T_TTAFStock'!BX37&lt;&gt;""))&gt;0,'T_SelfStock'!BX37+'T_TTAFStock'!BX37,BW33+'Grid_Incoming'!BX33-'Grid_Requirement'!BX33))</f>
        <v/>
      </c>
      <c r="BY33">
        <f>IF(COUNTIFS(T_StockCount[Part Name],$A33,T_StockCount[WeekIndex],76)&gt;0,SUMIFS(T_StockCount[CountedQty],T_StockCount[Part Name],$A33,T_StockCount[WeekIndex],76),IF((('T_SelfStock'!BY37&lt;&gt;""))*(('T_TTAFStock'!BY37&lt;&gt;""))&gt;0,'T_SelfStock'!BY37+'T_TTAFStock'!BY37,BX33+'Grid_Incoming'!BY33-'Grid_Requirement'!BY33))</f>
        <v/>
      </c>
      <c r="BZ33">
        <f>IF(COUNTIFS(T_StockCount[Part Name],$A33,T_StockCount[WeekIndex],77)&gt;0,SUMIFS(T_StockCount[CountedQty],T_StockCount[Part Name],$A33,T_StockCount[WeekIndex],77),IF((('T_SelfStock'!BZ37&lt;&gt;""))*(('T_TTAFStock'!BZ37&lt;&gt;""))&gt;0,'T_SelfStock'!BZ37+'T_TTAFStock'!BZ37,BY33+'Grid_Incoming'!BZ33-'Grid_Requirement'!BZ33))</f>
        <v/>
      </c>
      <c r="CA33">
        <f>IF(COUNTIFS(T_StockCount[Part Name],$A33,T_StockCount[WeekIndex],78)&gt;0,SUMIFS(T_StockCount[CountedQty],T_StockCount[Part Name],$A33,T_StockCount[WeekIndex],78),IF((('T_SelfStock'!CA37&lt;&gt;""))*(('T_TTAFStock'!CA37&lt;&gt;""))&gt;0,'T_SelfStock'!CA37+'T_TTAFStock'!CA37,BZ33+'Grid_Incoming'!CA33-'Grid_Requirement'!CA33))</f>
        <v/>
      </c>
      <c r="CB33">
        <f>IF(COUNTIFS(T_StockCount[Part Name],$A33,T_StockCount[WeekIndex],79)&gt;0,SUMIFS(T_StockCount[CountedQty],T_StockCount[Part Name],$A33,T_StockCount[WeekIndex],79),IF((('T_SelfStock'!CB37&lt;&gt;""))*(('T_TTAFStock'!CB37&lt;&gt;""))&gt;0,'T_SelfStock'!CB37+'T_TTAFStock'!CB37,CA33+'Grid_Incoming'!CB33-'Grid_Requirement'!CB33))</f>
        <v/>
      </c>
      <c r="CC33">
        <f>IF(COUNTIFS(T_StockCount[Part Name],$A33,T_StockCount[WeekIndex],80)&gt;0,SUMIFS(T_StockCount[CountedQty],T_StockCount[Part Name],$A33,T_StockCount[WeekIndex],80),IF((('T_SelfStock'!CC37&lt;&gt;""))*(('T_TTAFStock'!CC37&lt;&gt;""))&gt;0,'T_SelfStock'!CC37+'T_TTAFStock'!CC37,CB33+'Grid_Incoming'!CC33-'Grid_Requirement'!CC33))</f>
        <v/>
      </c>
      <c r="CD33">
        <f>IF(COUNTIFS(T_StockCount[Part Name],$A33,T_StockCount[WeekIndex],81)&gt;0,SUMIFS(T_StockCount[CountedQty],T_StockCount[Part Name],$A33,T_StockCount[WeekIndex],81),IF((('T_SelfStock'!CD37&lt;&gt;""))*(('T_TTAFStock'!CD37&lt;&gt;""))&gt;0,'T_SelfStock'!CD37+'T_TTAFStock'!CD37,CC33+'Grid_Incoming'!CD33-'Grid_Requirement'!CD33))</f>
        <v/>
      </c>
      <c r="CE33">
        <f>IF(COUNTIFS(T_StockCount[Part Name],$A33,T_StockCount[WeekIndex],82)&gt;0,SUMIFS(T_StockCount[CountedQty],T_StockCount[Part Name],$A33,T_StockCount[WeekIndex],82),IF((('T_SelfStock'!CE37&lt;&gt;""))*(('T_TTAFStock'!CE37&lt;&gt;""))&gt;0,'T_SelfStock'!CE37+'T_TTAFStock'!CE37,CD33+'Grid_Incoming'!CE33-'Grid_Requirement'!CE33))</f>
        <v/>
      </c>
      <c r="CF33">
        <f>IF(COUNTIFS(T_StockCount[Part Name],$A33,T_StockCount[WeekIndex],83)&gt;0,SUMIFS(T_StockCount[CountedQty],T_StockCount[Part Name],$A33,T_StockCount[WeekIndex],83),IF((('T_SelfStock'!CF37&lt;&gt;""))*(('T_TTAFStock'!CF37&lt;&gt;""))&gt;0,'T_SelfStock'!CF37+'T_TTAFStock'!CF37,CE33+'Grid_Incoming'!CF33-'Grid_Requirement'!CF33))</f>
        <v/>
      </c>
      <c r="CG33">
        <f>IF(COUNTIFS(T_StockCount[Part Name],$A33,T_StockCount[WeekIndex],84)&gt;0,SUMIFS(T_StockCount[CountedQty],T_StockCount[Part Name],$A33,T_StockCount[WeekIndex],84),IF((('T_SelfStock'!CG37&lt;&gt;""))*(('T_TTAFStock'!CG37&lt;&gt;""))&gt;0,'T_SelfStock'!CG37+'T_TTAFStock'!CG37,CF33+'Grid_Incoming'!CG33-'Grid_Requirement'!CG33))</f>
        <v/>
      </c>
      <c r="CH33">
        <f>IF(COUNTIFS(T_StockCount[Part Name],$A33,T_StockCount[WeekIndex],85)&gt;0,SUMIFS(T_StockCount[CountedQty],T_StockCount[Part Name],$A33,T_StockCount[WeekIndex],85),IF((('T_SelfStock'!CH37&lt;&gt;""))*(('T_TTAFStock'!CH37&lt;&gt;""))&gt;0,'T_SelfStock'!CH37+'T_TTAFStock'!CH37,CG33+'Grid_Incoming'!CH33-'Grid_Requirement'!CH33))</f>
        <v/>
      </c>
      <c r="CI33">
        <f>IF(COUNTIFS(T_StockCount[Part Name],$A33,T_StockCount[WeekIndex],86)&gt;0,SUMIFS(T_StockCount[CountedQty],T_StockCount[Part Name],$A33,T_StockCount[WeekIndex],86),IF((('T_SelfStock'!CI37&lt;&gt;""))*(('T_TTAFStock'!CI37&lt;&gt;""))&gt;0,'T_SelfStock'!CI37+'T_TTAFStock'!CI37,CH33+'Grid_Incoming'!CI33-'Grid_Requirement'!CI33))</f>
        <v/>
      </c>
      <c r="CJ33">
        <f>IF(COUNTIFS(T_StockCount[Part Name],$A33,T_StockCount[WeekIndex],87)&gt;0,SUMIFS(T_StockCount[CountedQty],T_StockCount[Part Name],$A33,T_StockCount[WeekIndex],87),IF((('T_SelfStock'!CJ37&lt;&gt;""))*(('T_TTAFStock'!CJ37&lt;&gt;""))&gt;0,'T_SelfStock'!CJ37+'T_TTAFStock'!CJ37,CI33+'Grid_Incoming'!CJ33-'Grid_Requirement'!CJ33))</f>
        <v/>
      </c>
      <c r="CK33">
        <f>IF(COUNTIFS(T_StockCount[Part Name],$A33,T_StockCount[WeekIndex],88)&gt;0,SUMIFS(T_StockCount[CountedQty],T_StockCount[Part Name],$A33,T_StockCount[WeekIndex],88),IF((('T_SelfStock'!CK37&lt;&gt;""))*(('T_TTAFStock'!CK37&lt;&gt;""))&gt;0,'T_SelfStock'!CK37+'T_TTAFStock'!CK37,CJ33+'Grid_Incoming'!CK33-'Grid_Requirement'!CK33))</f>
        <v/>
      </c>
      <c r="CL33">
        <f>IF(COUNTIFS(T_StockCount[Part Name],$A33,T_StockCount[WeekIndex],89)&gt;0,SUMIFS(T_StockCount[CountedQty],T_StockCount[Part Name],$A33,T_StockCount[WeekIndex],89),IF((('T_SelfStock'!CL37&lt;&gt;""))*(('T_TTAFStock'!CL37&lt;&gt;""))&gt;0,'T_SelfStock'!CL37+'T_TTAFStock'!CL37,CK33+'Grid_Incoming'!CL33-'Grid_Requirement'!CL33))</f>
        <v/>
      </c>
      <c r="CM33">
        <f>IF(COUNTIFS(T_StockCount[Part Name],$A33,T_StockCount[WeekIndex],90)&gt;0,SUMIFS(T_StockCount[CountedQty],T_StockCount[Part Name],$A33,T_StockCount[WeekIndex],90),IF((('T_SelfStock'!CM37&lt;&gt;""))*(('T_TTAFStock'!CM37&lt;&gt;""))&gt;0,'T_SelfStock'!CM37+'T_TTAFStock'!CM37,CL33+'Grid_Incoming'!CM33-'Grid_Requirement'!CM33))</f>
        <v/>
      </c>
      <c r="CN33">
        <f>IF(COUNTIFS(T_StockCount[Part Name],$A33,T_StockCount[WeekIndex],91)&gt;0,SUMIFS(T_StockCount[CountedQty],T_StockCount[Part Name],$A33,T_StockCount[WeekIndex],91),IF((('T_SelfStock'!CN37&lt;&gt;""))*(('T_TTAFStock'!CN37&lt;&gt;""))&gt;0,'T_SelfStock'!CN37+'T_TTAFStock'!CN37,CM33+'Grid_Incoming'!CN33-'Grid_Requirement'!CN33))</f>
        <v/>
      </c>
      <c r="CO33">
        <f>IF(COUNTIFS(T_StockCount[Part Name],$A33,T_StockCount[WeekIndex],92)&gt;0,SUMIFS(T_StockCount[CountedQty],T_StockCount[Part Name],$A33,T_StockCount[WeekIndex],92),IF((('T_SelfStock'!CO37&lt;&gt;""))*(('T_TTAFStock'!CO37&lt;&gt;""))&gt;0,'T_SelfStock'!CO37+'T_TTAFStock'!CO37,CN33+'Grid_Incoming'!CO33-'Grid_Requirement'!CO33))</f>
        <v/>
      </c>
      <c r="CP33">
        <f>IF(COUNTIFS(T_StockCount[Part Name],$A33,T_StockCount[WeekIndex],93)&gt;0,SUMIFS(T_StockCount[CountedQty],T_StockCount[Part Name],$A33,T_StockCount[WeekIndex],93),IF((('T_SelfStock'!CP37&lt;&gt;""))*(('T_TTAFStock'!CP37&lt;&gt;""))&gt;0,'T_SelfStock'!CP37+'T_TTAFStock'!CP37,CO33+'Grid_Incoming'!CP33-'Grid_Requirement'!CP33))</f>
        <v/>
      </c>
      <c r="CQ33">
        <f>IF(COUNTIFS(T_StockCount[Part Name],$A33,T_StockCount[WeekIndex],94)&gt;0,SUMIFS(T_StockCount[CountedQty],T_StockCount[Part Name],$A33,T_StockCount[WeekIndex],94),IF((('T_SelfStock'!CQ37&lt;&gt;""))*(('T_TTAFStock'!CQ37&lt;&gt;""))&gt;0,'T_SelfStock'!CQ37+'T_TTAFStock'!CQ37,CP33+'Grid_Incoming'!CQ33-'Grid_Requirement'!CQ33))</f>
        <v/>
      </c>
      <c r="CR33">
        <f>IF(COUNTIFS(T_StockCount[Part Name],$A33,T_StockCount[WeekIndex],95)&gt;0,SUMIFS(T_StockCount[CountedQty],T_StockCount[Part Name],$A33,T_StockCount[WeekIndex],95),IF((('T_SelfStock'!CR37&lt;&gt;""))*(('T_TTAFStock'!CR37&lt;&gt;""))&gt;0,'T_SelfStock'!CR37+'T_TTAFStock'!CR37,CQ33+'Grid_Incoming'!CR33-'Grid_Requirement'!CR33))</f>
        <v/>
      </c>
      <c r="CS33">
        <f>IF(COUNTIFS(T_StockCount[Part Name],$A33,T_StockCount[WeekIndex],96)&gt;0,SUMIFS(T_StockCount[CountedQty],T_StockCount[Part Name],$A33,T_StockCount[WeekIndex],96),IF((('T_SelfStock'!CS37&lt;&gt;""))*(('T_TTAFStock'!CS37&lt;&gt;""))&gt;0,'T_SelfStock'!CS37+'T_TTAFStock'!CS37,CR33+'Grid_Incoming'!CS33-'Grid_Requirement'!CS33))</f>
        <v/>
      </c>
      <c r="CT33">
        <f>IF(COUNTIFS(T_StockCount[Part Name],$A33,T_StockCount[WeekIndex],97)&gt;0,SUMIFS(T_StockCount[CountedQty],T_StockCount[Part Name],$A33,T_StockCount[WeekIndex],97),IF((('T_SelfStock'!CT37&lt;&gt;""))*(('T_TTAFStock'!CT37&lt;&gt;""))&gt;0,'T_SelfStock'!CT37+'T_TTAFStock'!CT37,CS33+'Grid_Incoming'!CT33-'Grid_Requirement'!CT33))</f>
        <v/>
      </c>
      <c r="CU33">
        <f>IF(COUNTIFS(T_StockCount[Part Name],$A33,T_StockCount[WeekIndex],98)&gt;0,SUMIFS(T_StockCount[CountedQty],T_StockCount[Part Name],$A33,T_StockCount[WeekIndex],98),IF((('T_SelfStock'!CU37&lt;&gt;""))*(('T_TTAFStock'!CU37&lt;&gt;""))&gt;0,'T_SelfStock'!CU37+'T_TTAFStock'!CU37,CT33+'Grid_Incoming'!CU33-'Grid_Requirement'!CU33))</f>
        <v/>
      </c>
      <c r="CV33">
        <f>IF(COUNTIFS(T_StockCount[Part Name],$A33,T_StockCount[WeekIndex],99)&gt;0,SUMIFS(T_StockCount[CountedQty],T_StockCount[Part Name],$A33,T_StockCount[WeekIndex],99),IF((('T_SelfStock'!CV37&lt;&gt;""))*(('T_TTAFStock'!CV37&lt;&gt;""))&gt;0,'T_SelfStock'!CV37+'T_TTAFStock'!CV37,CU33+'Grid_Incoming'!CV33-'Grid_Requirement'!CV33))</f>
        <v/>
      </c>
      <c r="CW33">
        <f>IF(COUNTIFS(T_StockCount[Part Name],$A33,T_StockCount[WeekIndex],100)&gt;0,SUMIFS(T_StockCount[CountedQty],T_StockCount[Part Name],$A33,T_StockCount[WeekIndex],100),IF((('T_SelfStock'!CW37&lt;&gt;""))*(('T_TTAFStock'!CW37&lt;&gt;""))&gt;0,'T_SelfStock'!CW37+'T_TTAFStock'!CW37,CV33+'Grid_Incoming'!CW33-'Grid_Requirement'!CW33))</f>
        <v/>
      </c>
      <c r="CX33">
        <f>IF(COUNTIFS(T_StockCount[Part Name],$A33,T_StockCount[WeekIndex],101)&gt;0,SUMIFS(T_StockCount[CountedQty],T_StockCount[Part Name],$A33,T_StockCount[WeekIndex],101),IF((('T_SelfStock'!CX37&lt;&gt;""))*(('T_TTAFStock'!CX37&lt;&gt;""))&gt;0,'T_SelfStock'!CX37+'T_TTAFStock'!CX37,CW33+'Grid_Incoming'!CX33-'Grid_Requirement'!CX33))</f>
        <v/>
      </c>
      <c r="CY33">
        <f>IF(COUNTIFS(T_StockCount[Part Name],$A33,T_StockCount[WeekIndex],102)&gt;0,SUMIFS(T_StockCount[CountedQty],T_StockCount[Part Name],$A33,T_StockCount[WeekIndex],102),IF((('T_SelfStock'!CY37&lt;&gt;""))*(('T_TTAFStock'!CY37&lt;&gt;""))&gt;0,'T_SelfStock'!CY37+'T_TTAFStock'!CY37,CX33+'Grid_Incoming'!CY33-'Grid_Requirement'!CY33))</f>
        <v/>
      </c>
      <c r="CZ33">
        <f>IF(COUNTIFS(T_StockCount[Part Name],$A33,T_StockCount[WeekIndex],103)&gt;0,SUMIFS(T_StockCount[CountedQty],T_StockCount[Part Name],$A33,T_StockCount[WeekIndex],103),IF((('T_SelfStock'!CZ37&lt;&gt;""))*(('T_TTAFStock'!CZ37&lt;&gt;""))&gt;0,'T_SelfStock'!CZ37+'T_TTAFStock'!CZ37,CY33+'Grid_Incoming'!CZ33-'Grid_Requirement'!CZ33))</f>
        <v/>
      </c>
      <c r="DA33">
        <f>IF(COUNTIFS(T_StockCount[Part Name],$A33,T_StockCount[WeekIndex],104)&gt;0,SUMIFS(T_StockCount[CountedQty],T_StockCount[Part Name],$A33,T_StockCount[WeekIndex],104),IF((('T_SelfStock'!DA37&lt;&gt;""))*(('T_TTAFStock'!DA37&lt;&gt;""))&gt;0,'T_SelfStock'!DA37+'T_TTAFStock'!DA37,CZ33+'Grid_Incoming'!DA33-'Grid_Requirement'!DA33))</f>
        <v/>
      </c>
    </row>
    <row r="34">
      <c r="A34" t="inlineStr">
        <is>
          <t>CHEM-1560</t>
        </is>
      </c>
      <c r="B34">
        <f>IF(COUNTIFS(T_StockCount[Part Name],$A34,T_StockCount[WeekIndex],1)&gt;0,SUMIFS(T_StockCount[CountedQty],T_StockCount[Part Name],$A34,T_StockCount[WeekIndex],1),IF((('T_SelfStock'!B38&lt;&gt;""))*(('T_TTAFStock'!B38&lt;&gt;""))&gt;0,'T_SelfStock'!B38+'T_TTAFStock'!B38,IFERROR(INDEX(T_OpeningStock[Opening_Qty],MATCH($A34,T_OpeningStock[Part Name],0)),0)+'Grid_Incoming'!B34-'Grid_Requirement'!B34))</f>
        <v/>
      </c>
      <c r="C34">
        <f>IF(COUNTIFS(T_StockCount[Part Name],$A34,T_StockCount[WeekIndex],2)&gt;0,SUMIFS(T_StockCount[CountedQty],T_StockCount[Part Name],$A34,T_StockCount[WeekIndex],2),IF((('T_SelfStock'!C38&lt;&gt;""))*(('T_TTAFStock'!C38&lt;&gt;""))&gt;0,'T_SelfStock'!C38+'T_TTAFStock'!C38,B34+'Grid_Incoming'!C34-'Grid_Requirement'!C34))</f>
        <v/>
      </c>
      <c r="D34">
        <f>IF(COUNTIFS(T_StockCount[Part Name],$A34,T_StockCount[WeekIndex],3)&gt;0,SUMIFS(T_StockCount[CountedQty],T_StockCount[Part Name],$A34,T_StockCount[WeekIndex],3),IF((('T_SelfStock'!D38&lt;&gt;""))*(('T_TTAFStock'!D38&lt;&gt;""))&gt;0,'T_SelfStock'!D38+'T_TTAFStock'!D38,C34+'Grid_Incoming'!D34-'Grid_Requirement'!D34))</f>
        <v/>
      </c>
      <c r="E34">
        <f>IF(COUNTIFS(T_StockCount[Part Name],$A34,T_StockCount[WeekIndex],4)&gt;0,SUMIFS(T_StockCount[CountedQty],T_StockCount[Part Name],$A34,T_StockCount[WeekIndex],4),IF((('T_SelfStock'!E38&lt;&gt;""))*(('T_TTAFStock'!E38&lt;&gt;""))&gt;0,'T_SelfStock'!E38+'T_TTAFStock'!E38,D34+'Grid_Incoming'!E34-'Grid_Requirement'!E34))</f>
        <v/>
      </c>
      <c r="F34">
        <f>IF(COUNTIFS(T_StockCount[Part Name],$A34,T_StockCount[WeekIndex],5)&gt;0,SUMIFS(T_StockCount[CountedQty],T_StockCount[Part Name],$A34,T_StockCount[WeekIndex],5),IF((('T_SelfStock'!F38&lt;&gt;""))*(('T_TTAFStock'!F38&lt;&gt;""))&gt;0,'T_SelfStock'!F38+'T_TTAFStock'!F38,E34+'Grid_Incoming'!F34-'Grid_Requirement'!F34))</f>
        <v/>
      </c>
      <c r="G34">
        <f>IF(COUNTIFS(T_StockCount[Part Name],$A34,T_StockCount[WeekIndex],6)&gt;0,SUMIFS(T_StockCount[CountedQty],T_StockCount[Part Name],$A34,T_StockCount[WeekIndex],6),IF((('T_SelfStock'!G38&lt;&gt;""))*(('T_TTAFStock'!G38&lt;&gt;""))&gt;0,'T_SelfStock'!G38+'T_TTAFStock'!G38,F34+'Grid_Incoming'!G34-'Grid_Requirement'!G34))</f>
        <v/>
      </c>
      <c r="H34">
        <f>IF(COUNTIFS(T_StockCount[Part Name],$A34,T_StockCount[WeekIndex],7)&gt;0,SUMIFS(T_StockCount[CountedQty],T_StockCount[Part Name],$A34,T_StockCount[WeekIndex],7),IF((('T_SelfStock'!H38&lt;&gt;""))*(('T_TTAFStock'!H38&lt;&gt;""))&gt;0,'T_SelfStock'!H38+'T_TTAFStock'!H38,G34+'Grid_Incoming'!H34-'Grid_Requirement'!H34))</f>
        <v/>
      </c>
      <c r="I34">
        <f>IF(COUNTIFS(T_StockCount[Part Name],$A34,T_StockCount[WeekIndex],8)&gt;0,SUMIFS(T_StockCount[CountedQty],T_StockCount[Part Name],$A34,T_StockCount[WeekIndex],8),IF((('T_SelfStock'!I38&lt;&gt;""))*(('T_TTAFStock'!I38&lt;&gt;""))&gt;0,'T_SelfStock'!I38+'T_TTAFStock'!I38,H34+'Grid_Incoming'!I34-'Grid_Requirement'!I34))</f>
        <v/>
      </c>
      <c r="J34">
        <f>IF(COUNTIFS(T_StockCount[Part Name],$A34,T_StockCount[WeekIndex],9)&gt;0,SUMIFS(T_StockCount[CountedQty],T_StockCount[Part Name],$A34,T_StockCount[WeekIndex],9),IF((('T_SelfStock'!J38&lt;&gt;""))*(('T_TTAFStock'!J38&lt;&gt;""))&gt;0,'T_SelfStock'!J38+'T_TTAFStock'!J38,I34+'Grid_Incoming'!J34-'Grid_Requirement'!J34))</f>
        <v/>
      </c>
      <c r="K34">
        <f>IF(COUNTIFS(T_StockCount[Part Name],$A34,T_StockCount[WeekIndex],10)&gt;0,SUMIFS(T_StockCount[CountedQty],T_StockCount[Part Name],$A34,T_StockCount[WeekIndex],10),IF((('T_SelfStock'!K38&lt;&gt;""))*(('T_TTAFStock'!K38&lt;&gt;""))&gt;0,'T_SelfStock'!K38+'T_TTAFStock'!K38,J34+'Grid_Incoming'!K34-'Grid_Requirement'!K34))</f>
        <v/>
      </c>
      <c r="L34">
        <f>IF(COUNTIFS(T_StockCount[Part Name],$A34,T_StockCount[WeekIndex],11)&gt;0,SUMIFS(T_StockCount[CountedQty],T_StockCount[Part Name],$A34,T_StockCount[WeekIndex],11),IF((('T_SelfStock'!L38&lt;&gt;""))*(('T_TTAFStock'!L38&lt;&gt;""))&gt;0,'T_SelfStock'!L38+'T_TTAFStock'!L38,K34+'Grid_Incoming'!L34-'Grid_Requirement'!L34))</f>
        <v/>
      </c>
      <c r="M34">
        <f>IF(COUNTIFS(T_StockCount[Part Name],$A34,T_StockCount[WeekIndex],12)&gt;0,SUMIFS(T_StockCount[CountedQty],T_StockCount[Part Name],$A34,T_StockCount[WeekIndex],12),IF((('T_SelfStock'!M38&lt;&gt;""))*(('T_TTAFStock'!M38&lt;&gt;""))&gt;0,'T_SelfStock'!M38+'T_TTAFStock'!M38,L34+'Grid_Incoming'!M34-'Grid_Requirement'!M34))</f>
        <v/>
      </c>
      <c r="N34">
        <f>IF(COUNTIFS(T_StockCount[Part Name],$A34,T_StockCount[WeekIndex],13)&gt;0,SUMIFS(T_StockCount[CountedQty],T_StockCount[Part Name],$A34,T_StockCount[WeekIndex],13),IF((('T_SelfStock'!N38&lt;&gt;""))*(('T_TTAFStock'!N38&lt;&gt;""))&gt;0,'T_SelfStock'!N38+'T_TTAFStock'!N38,M34+'Grid_Incoming'!N34-'Grid_Requirement'!N34))</f>
        <v/>
      </c>
      <c r="O34">
        <f>IF(COUNTIFS(T_StockCount[Part Name],$A34,T_StockCount[WeekIndex],14)&gt;0,SUMIFS(T_StockCount[CountedQty],T_StockCount[Part Name],$A34,T_StockCount[WeekIndex],14),IF((('T_SelfStock'!O38&lt;&gt;""))*(('T_TTAFStock'!O38&lt;&gt;""))&gt;0,'T_SelfStock'!O38+'T_TTAFStock'!O38,N34+'Grid_Incoming'!O34-'Grid_Requirement'!O34))</f>
        <v/>
      </c>
      <c r="P34">
        <f>IF(COUNTIFS(T_StockCount[Part Name],$A34,T_StockCount[WeekIndex],15)&gt;0,SUMIFS(T_StockCount[CountedQty],T_StockCount[Part Name],$A34,T_StockCount[WeekIndex],15),IF((('T_SelfStock'!P38&lt;&gt;""))*(('T_TTAFStock'!P38&lt;&gt;""))&gt;0,'T_SelfStock'!P38+'T_TTAFStock'!P38,O34+'Grid_Incoming'!P34-'Grid_Requirement'!P34))</f>
        <v/>
      </c>
      <c r="Q34">
        <f>IF(COUNTIFS(T_StockCount[Part Name],$A34,T_StockCount[WeekIndex],16)&gt;0,SUMIFS(T_StockCount[CountedQty],T_StockCount[Part Name],$A34,T_StockCount[WeekIndex],16),IF((('T_SelfStock'!Q38&lt;&gt;""))*(('T_TTAFStock'!Q38&lt;&gt;""))&gt;0,'T_SelfStock'!Q38+'T_TTAFStock'!Q38,P34+'Grid_Incoming'!Q34-'Grid_Requirement'!Q34))</f>
        <v/>
      </c>
      <c r="R34">
        <f>IF(COUNTIFS(T_StockCount[Part Name],$A34,T_StockCount[WeekIndex],17)&gt;0,SUMIFS(T_StockCount[CountedQty],T_StockCount[Part Name],$A34,T_StockCount[WeekIndex],17),IF((('T_SelfStock'!R38&lt;&gt;""))*(('T_TTAFStock'!R38&lt;&gt;""))&gt;0,'T_SelfStock'!R38+'T_TTAFStock'!R38,Q34+'Grid_Incoming'!R34-'Grid_Requirement'!R34))</f>
        <v/>
      </c>
      <c r="S34">
        <f>IF(COUNTIFS(T_StockCount[Part Name],$A34,T_StockCount[WeekIndex],18)&gt;0,SUMIFS(T_StockCount[CountedQty],T_StockCount[Part Name],$A34,T_StockCount[WeekIndex],18),IF((('T_SelfStock'!S38&lt;&gt;""))*(('T_TTAFStock'!S38&lt;&gt;""))&gt;0,'T_SelfStock'!S38+'T_TTAFStock'!S38,R34+'Grid_Incoming'!S34-'Grid_Requirement'!S34))</f>
        <v/>
      </c>
      <c r="T34">
        <f>IF(COUNTIFS(T_StockCount[Part Name],$A34,T_StockCount[WeekIndex],19)&gt;0,SUMIFS(T_StockCount[CountedQty],T_StockCount[Part Name],$A34,T_StockCount[WeekIndex],19),IF((('T_SelfStock'!T38&lt;&gt;""))*(('T_TTAFStock'!T38&lt;&gt;""))&gt;0,'T_SelfStock'!T38+'T_TTAFStock'!T38,S34+'Grid_Incoming'!T34-'Grid_Requirement'!T34))</f>
        <v/>
      </c>
      <c r="U34">
        <f>IF(COUNTIFS(T_StockCount[Part Name],$A34,T_StockCount[WeekIndex],20)&gt;0,SUMIFS(T_StockCount[CountedQty],T_StockCount[Part Name],$A34,T_StockCount[WeekIndex],20),IF((('T_SelfStock'!U38&lt;&gt;""))*(('T_TTAFStock'!U38&lt;&gt;""))&gt;0,'T_SelfStock'!U38+'T_TTAFStock'!U38,T34+'Grid_Incoming'!U34-'Grid_Requirement'!U34))</f>
        <v/>
      </c>
      <c r="V34">
        <f>IF(COUNTIFS(T_StockCount[Part Name],$A34,T_StockCount[WeekIndex],21)&gt;0,SUMIFS(T_StockCount[CountedQty],T_StockCount[Part Name],$A34,T_StockCount[WeekIndex],21),IF((('T_SelfStock'!V38&lt;&gt;""))*(('T_TTAFStock'!V38&lt;&gt;""))&gt;0,'T_SelfStock'!V38+'T_TTAFStock'!V38,U34+'Grid_Incoming'!V34-'Grid_Requirement'!V34))</f>
        <v/>
      </c>
      <c r="W34">
        <f>IF(COUNTIFS(T_StockCount[Part Name],$A34,T_StockCount[WeekIndex],22)&gt;0,SUMIFS(T_StockCount[CountedQty],T_StockCount[Part Name],$A34,T_StockCount[WeekIndex],22),IF((('T_SelfStock'!W38&lt;&gt;""))*(('T_TTAFStock'!W38&lt;&gt;""))&gt;0,'T_SelfStock'!W38+'T_TTAFStock'!W38,V34+'Grid_Incoming'!W34-'Grid_Requirement'!W34))</f>
        <v/>
      </c>
      <c r="X34">
        <f>IF(COUNTIFS(T_StockCount[Part Name],$A34,T_StockCount[WeekIndex],23)&gt;0,SUMIFS(T_StockCount[CountedQty],T_StockCount[Part Name],$A34,T_StockCount[WeekIndex],23),IF((('T_SelfStock'!X38&lt;&gt;""))*(('T_TTAFStock'!X38&lt;&gt;""))&gt;0,'T_SelfStock'!X38+'T_TTAFStock'!X38,W34+'Grid_Incoming'!X34-'Grid_Requirement'!X34))</f>
        <v/>
      </c>
      <c r="Y34">
        <f>IF(COUNTIFS(T_StockCount[Part Name],$A34,T_StockCount[WeekIndex],24)&gt;0,SUMIFS(T_StockCount[CountedQty],T_StockCount[Part Name],$A34,T_StockCount[WeekIndex],24),IF((('T_SelfStock'!Y38&lt;&gt;""))*(('T_TTAFStock'!Y38&lt;&gt;""))&gt;0,'T_SelfStock'!Y38+'T_TTAFStock'!Y38,X34+'Grid_Incoming'!Y34-'Grid_Requirement'!Y34))</f>
        <v/>
      </c>
      <c r="Z34">
        <f>IF(COUNTIFS(T_StockCount[Part Name],$A34,T_StockCount[WeekIndex],25)&gt;0,SUMIFS(T_StockCount[CountedQty],T_StockCount[Part Name],$A34,T_StockCount[WeekIndex],25),IF((('T_SelfStock'!Z38&lt;&gt;""))*(('T_TTAFStock'!Z38&lt;&gt;""))&gt;0,'T_SelfStock'!Z38+'T_TTAFStock'!Z38,Y34+'Grid_Incoming'!Z34-'Grid_Requirement'!Z34))</f>
        <v/>
      </c>
      <c r="AA34">
        <f>IF(COUNTIFS(T_StockCount[Part Name],$A34,T_StockCount[WeekIndex],26)&gt;0,SUMIFS(T_StockCount[CountedQty],T_StockCount[Part Name],$A34,T_StockCount[WeekIndex],26),IF((('T_SelfStock'!AA38&lt;&gt;""))*(('T_TTAFStock'!AA38&lt;&gt;""))&gt;0,'T_SelfStock'!AA38+'T_TTAFStock'!AA38,Z34+'Grid_Incoming'!AA34-'Grid_Requirement'!AA34))</f>
        <v/>
      </c>
      <c r="AB34">
        <f>IF(COUNTIFS(T_StockCount[Part Name],$A34,T_StockCount[WeekIndex],27)&gt;0,SUMIFS(T_StockCount[CountedQty],T_StockCount[Part Name],$A34,T_StockCount[WeekIndex],27),IF((('T_SelfStock'!AB38&lt;&gt;""))*(('T_TTAFStock'!AB38&lt;&gt;""))&gt;0,'T_SelfStock'!AB38+'T_TTAFStock'!AB38,AA34+'Grid_Incoming'!AB34-'Grid_Requirement'!AB34))</f>
        <v/>
      </c>
      <c r="AC34">
        <f>IF(COUNTIFS(T_StockCount[Part Name],$A34,T_StockCount[WeekIndex],28)&gt;0,SUMIFS(T_StockCount[CountedQty],T_StockCount[Part Name],$A34,T_StockCount[WeekIndex],28),IF((('T_SelfStock'!AC38&lt;&gt;""))*(('T_TTAFStock'!AC38&lt;&gt;""))&gt;0,'T_SelfStock'!AC38+'T_TTAFStock'!AC38,AB34+'Grid_Incoming'!AC34-'Grid_Requirement'!AC34))</f>
        <v/>
      </c>
      <c r="AD34">
        <f>IF(COUNTIFS(T_StockCount[Part Name],$A34,T_StockCount[WeekIndex],29)&gt;0,SUMIFS(T_StockCount[CountedQty],T_StockCount[Part Name],$A34,T_StockCount[WeekIndex],29),IF((('T_SelfStock'!AD38&lt;&gt;""))*(('T_TTAFStock'!AD38&lt;&gt;""))&gt;0,'T_SelfStock'!AD38+'T_TTAFStock'!AD38,AC34+'Grid_Incoming'!AD34-'Grid_Requirement'!AD34))</f>
        <v/>
      </c>
      <c r="AE34">
        <f>IF(COUNTIFS(T_StockCount[Part Name],$A34,T_StockCount[WeekIndex],30)&gt;0,SUMIFS(T_StockCount[CountedQty],T_StockCount[Part Name],$A34,T_StockCount[WeekIndex],30),IF((('T_SelfStock'!AE38&lt;&gt;""))*(('T_TTAFStock'!AE38&lt;&gt;""))&gt;0,'T_SelfStock'!AE38+'T_TTAFStock'!AE38,AD34+'Grid_Incoming'!AE34-'Grid_Requirement'!AE34))</f>
        <v/>
      </c>
      <c r="AF34">
        <f>IF(COUNTIFS(T_StockCount[Part Name],$A34,T_StockCount[WeekIndex],31)&gt;0,SUMIFS(T_StockCount[CountedQty],T_StockCount[Part Name],$A34,T_StockCount[WeekIndex],31),IF((('T_SelfStock'!AF38&lt;&gt;""))*(('T_TTAFStock'!AF38&lt;&gt;""))&gt;0,'T_SelfStock'!AF38+'T_TTAFStock'!AF38,AE34+'Grid_Incoming'!AF34-'Grid_Requirement'!AF34))</f>
        <v/>
      </c>
      <c r="AG34">
        <f>IF(COUNTIFS(T_StockCount[Part Name],$A34,T_StockCount[WeekIndex],32)&gt;0,SUMIFS(T_StockCount[CountedQty],T_StockCount[Part Name],$A34,T_StockCount[WeekIndex],32),IF((('T_SelfStock'!AG38&lt;&gt;""))*(('T_TTAFStock'!AG38&lt;&gt;""))&gt;0,'T_SelfStock'!AG38+'T_TTAFStock'!AG38,AF34+'Grid_Incoming'!AG34-'Grid_Requirement'!AG34))</f>
        <v/>
      </c>
      <c r="AH34">
        <f>IF(COUNTIFS(T_StockCount[Part Name],$A34,T_StockCount[WeekIndex],33)&gt;0,SUMIFS(T_StockCount[CountedQty],T_StockCount[Part Name],$A34,T_StockCount[WeekIndex],33),IF((('T_SelfStock'!AH38&lt;&gt;""))*(('T_TTAFStock'!AH38&lt;&gt;""))&gt;0,'T_SelfStock'!AH38+'T_TTAFStock'!AH38,AG34+'Grid_Incoming'!AH34-'Grid_Requirement'!AH34))</f>
        <v/>
      </c>
      <c r="AI34">
        <f>IF(COUNTIFS(T_StockCount[Part Name],$A34,T_StockCount[WeekIndex],34)&gt;0,SUMIFS(T_StockCount[CountedQty],T_StockCount[Part Name],$A34,T_StockCount[WeekIndex],34),IF((('T_SelfStock'!AI38&lt;&gt;""))*(('T_TTAFStock'!AI38&lt;&gt;""))&gt;0,'T_SelfStock'!AI38+'T_TTAFStock'!AI38,AH34+'Grid_Incoming'!AI34-'Grid_Requirement'!AI34))</f>
        <v/>
      </c>
      <c r="AJ34">
        <f>IF(COUNTIFS(T_StockCount[Part Name],$A34,T_StockCount[WeekIndex],35)&gt;0,SUMIFS(T_StockCount[CountedQty],T_StockCount[Part Name],$A34,T_StockCount[WeekIndex],35),IF((('T_SelfStock'!AJ38&lt;&gt;""))*(('T_TTAFStock'!AJ38&lt;&gt;""))&gt;0,'T_SelfStock'!AJ38+'T_TTAFStock'!AJ38,AI34+'Grid_Incoming'!AJ34-'Grid_Requirement'!AJ34))</f>
        <v/>
      </c>
      <c r="AK34">
        <f>IF(COUNTIFS(T_StockCount[Part Name],$A34,T_StockCount[WeekIndex],36)&gt;0,SUMIFS(T_StockCount[CountedQty],T_StockCount[Part Name],$A34,T_StockCount[WeekIndex],36),IF((('T_SelfStock'!AK38&lt;&gt;""))*(('T_TTAFStock'!AK38&lt;&gt;""))&gt;0,'T_SelfStock'!AK38+'T_TTAFStock'!AK38,AJ34+'Grid_Incoming'!AK34-'Grid_Requirement'!AK34))</f>
        <v/>
      </c>
      <c r="AL34">
        <f>IF(COUNTIFS(T_StockCount[Part Name],$A34,T_StockCount[WeekIndex],37)&gt;0,SUMIFS(T_StockCount[CountedQty],T_StockCount[Part Name],$A34,T_StockCount[WeekIndex],37),IF((('T_SelfStock'!AL38&lt;&gt;""))*(('T_TTAFStock'!AL38&lt;&gt;""))&gt;0,'T_SelfStock'!AL38+'T_TTAFStock'!AL38,AK34+'Grid_Incoming'!AL34-'Grid_Requirement'!AL34))</f>
        <v/>
      </c>
      <c r="AM34">
        <f>IF(COUNTIFS(T_StockCount[Part Name],$A34,T_StockCount[WeekIndex],38)&gt;0,SUMIFS(T_StockCount[CountedQty],T_StockCount[Part Name],$A34,T_StockCount[WeekIndex],38),IF((('T_SelfStock'!AM38&lt;&gt;""))*(('T_TTAFStock'!AM38&lt;&gt;""))&gt;0,'T_SelfStock'!AM38+'T_TTAFStock'!AM38,AL34+'Grid_Incoming'!AM34-'Grid_Requirement'!AM34))</f>
        <v/>
      </c>
      <c r="AN34">
        <f>IF(COUNTIFS(T_StockCount[Part Name],$A34,T_StockCount[WeekIndex],39)&gt;0,SUMIFS(T_StockCount[CountedQty],T_StockCount[Part Name],$A34,T_StockCount[WeekIndex],39),IF((('T_SelfStock'!AN38&lt;&gt;""))*(('T_TTAFStock'!AN38&lt;&gt;""))&gt;0,'T_SelfStock'!AN38+'T_TTAFStock'!AN38,AM34+'Grid_Incoming'!AN34-'Grid_Requirement'!AN34))</f>
        <v/>
      </c>
      <c r="AO34">
        <f>IF(COUNTIFS(T_StockCount[Part Name],$A34,T_StockCount[WeekIndex],40)&gt;0,SUMIFS(T_StockCount[CountedQty],T_StockCount[Part Name],$A34,T_StockCount[WeekIndex],40),IF((('T_SelfStock'!AO38&lt;&gt;""))*(('T_TTAFStock'!AO38&lt;&gt;""))&gt;0,'T_SelfStock'!AO38+'T_TTAFStock'!AO38,AN34+'Grid_Incoming'!AO34-'Grid_Requirement'!AO34))</f>
        <v/>
      </c>
      <c r="AP34">
        <f>IF(COUNTIFS(T_StockCount[Part Name],$A34,T_StockCount[WeekIndex],41)&gt;0,SUMIFS(T_StockCount[CountedQty],T_StockCount[Part Name],$A34,T_StockCount[WeekIndex],41),IF((('T_SelfStock'!AP38&lt;&gt;""))*(('T_TTAFStock'!AP38&lt;&gt;""))&gt;0,'T_SelfStock'!AP38+'T_TTAFStock'!AP38,AO34+'Grid_Incoming'!AP34-'Grid_Requirement'!AP34))</f>
        <v/>
      </c>
      <c r="AQ34">
        <f>IF(COUNTIFS(T_StockCount[Part Name],$A34,T_StockCount[WeekIndex],42)&gt;0,SUMIFS(T_StockCount[CountedQty],T_StockCount[Part Name],$A34,T_StockCount[WeekIndex],42),IF((('T_SelfStock'!AQ38&lt;&gt;""))*(('T_TTAFStock'!AQ38&lt;&gt;""))&gt;0,'T_SelfStock'!AQ38+'T_TTAFStock'!AQ38,AP34+'Grid_Incoming'!AQ34-'Grid_Requirement'!AQ34))</f>
        <v/>
      </c>
      <c r="AR34">
        <f>IF(COUNTIFS(T_StockCount[Part Name],$A34,T_StockCount[WeekIndex],43)&gt;0,SUMIFS(T_StockCount[CountedQty],T_StockCount[Part Name],$A34,T_StockCount[WeekIndex],43),IF((('T_SelfStock'!AR38&lt;&gt;""))*(('T_TTAFStock'!AR38&lt;&gt;""))&gt;0,'T_SelfStock'!AR38+'T_TTAFStock'!AR38,AQ34+'Grid_Incoming'!AR34-'Grid_Requirement'!AR34))</f>
        <v/>
      </c>
      <c r="AS34">
        <f>IF(COUNTIFS(T_StockCount[Part Name],$A34,T_StockCount[WeekIndex],44)&gt;0,SUMIFS(T_StockCount[CountedQty],T_StockCount[Part Name],$A34,T_StockCount[WeekIndex],44),IF((('T_SelfStock'!AS38&lt;&gt;""))*(('T_TTAFStock'!AS38&lt;&gt;""))&gt;0,'T_SelfStock'!AS38+'T_TTAFStock'!AS38,AR34+'Grid_Incoming'!AS34-'Grid_Requirement'!AS34))</f>
        <v/>
      </c>
      <c r="AT34">
        <f>IF(COUNTIFS(T_StockCount[Part Name],$A34,T_StockCount[WeekIndex],45)&gt;0,SUMIFS(T_StockCount[CountedQty],T_StockCount[Part Name],$A34,T_StockCount[WeekIndex],45),IF((('T_SelfStock'!AT38&lt;&gt;""))*(('T_TTAFStock'!AT38&lt;&gt;""))&gt;0,'T_SelfStock'!AT38+'T_TTAFStock'!AT38,AS34+'Grid_Incoming'!AT34-'Grid_Requirement'!AT34))</f>
        <v/>
      </c>
      <c r="AU34">
        <f>IF(COUNTIFS(T_StockCount[Part Name],$A34,T_StockCount[WeekIndex],46)&gt;0,SUMIFS(T_StockCount[CountedQty],T_StockCount[Part Name],$A34,T_StockCount[WeekIndex],46),IF((('T_SelfStock'!AU38&lt;&gt;""))*(('T_TTAFStock'!AU38&lt;&gt;""))&gt;0,'T_SelfStock'!AU38+'T_TTAFStock'!AU38,AT34+'Grid_Incoming'!AU34-'Grid_Requirement'!AU34))</f>
        <v/>
      </c>
      <c r="AV34">
        <f>IF(COUNTIFS(T_StockCount[Part Name],$A34,T_StockCount[WeekIndex],47)&gt;0,SUMIFS(T_StockCount[CountedQty],T_StockCount[Part Name],$A34,T_StockCount[WeekIndex],47),IF((('T_SelfStock'!AV38&lt;&gt;""))*(('T_TTAFStock'!AV38&lt;&gt;""))&gt;0,'T_SelfStock'!AV38+'T_TTAFStock'!AV38,AU34+'Grid_Incoming'!AV34-'Grid_Requirement'!AV34))</f>
        <v/>
      </c>
      <c r="AW34">
        <f>IF(COUNTIFS(T_StockCount[Part Name],$A34,T_StockCount[WeekIndex],48)&gt;0,SUMIFS(T_StockCount[CountedQty],T_StockCount[Part Name],$A34,T_StockCount[WeekIndex],48),IF((('T_SelfStock'!AW38&lt;&gt;""))*(('T_TTAFStock'!AW38&lt;&gt;""))&gt;0,'T_SelfStock'!AW38+'T_TTAFStock'!AW38,AV34+'Grid_Incoming'!AW34-'Grid_Requirement'!AW34))</f>
        <v/>
      </c>
      <c r="AX34">
        <f>IF(COUNTIFS(T_StockCount[Part Name],$A34,T_StockCount[WeekIndex],49)&gt;0,SUMIFS(T_StockCount[CountedQty],T_StockCount[Part Name],$A34,T_StockCount[WeekIndex],49),IF((('T_SelfStock'!AX38&lt;&gt;""))*(('T_TTAFStock'!AX38&lt;&gt;""))&gt;0,'T_SelfStock'!AX38+'T_TTAFStock'!AX38,AW34+'Grid_Incoming'!AX34-'Grid_Requirement'!AX34))</f>
        <v/>
      </c>
      <c r="AY34">
        <f>IF(COUNTIFS(T_StockCount[Part Name],$A34,T_StockCount[WeekIndex],50)&gt;0,SUMIFS(T_StockCount[CountedQty],T_StockCount[Part Name],$A34,T_StockCount[WeekIndex],50),IF((('T_SelfStock'!AY38&lt;&gt;""))*(('T_TTAFStock'!AY38&lt;&gt;""))&gt;0,'T_SelfStock'!AY38+'T_TTAFStock'!AY38,AX34+'Grid_Incoming'!AY34-'Grid_Requirement'!AY34))</f>
        <v/>
      </c>
      <c r="AZ34">
        <f>IF(COUNTIFS(T_StockCount[Part Name],$A34,T_StockCount[WeekIndex],51)&gt;0,SUMIFS(T_StockCount[CountedQty],T_StockCount[Part Name],$A34,T_StockCount[WeekIndex],51),IF((('T_SelfStock'!AZ38&lt;&gt;""))*(('T_TTAFStock'!AZ38&lt;&gt;""))&gt;0,'T_SelfStock'!AZ38+'T_TTAFStock'!AZ38,AY34+'Grid_Incoming'!AZ34-'Grid_Requirement'!AZ34))</f>
        <v/>
      </c>
      <c r="BA34">
        <f>IF(COUNTIFS(T_StockCount[Part Name],$A34,T_StockCount[WeekIndex],52)&gt;0,SUMIFS(T_StockCount[CountedQty],T_StockCount[Part Name],$A34,T_StockCount[WeekIndex],52),IF((('T_SelfStock'!BA38&lt;&gt;""))*(('T_TTAFStock'!BA38&lt;&gt;""))&gt;0,'T_SelfStock'!BA38+'T_TTAFStock'!BA38,AZ34+'Grid_Incoming'!BA34-'Grid_Requirement'!BA34))</f>
        <v/>
      </c>
      <c r="BB34">
        <f>IF(COUNTIFS(T_StockCount[Part Name],$A34,T_StockCount[WeekIndex],53)&gt;0,SUMIFS(T_StockCount[CountedQty],T_StockCount[Part Name],$A34,T_StockCount[WeekIndex],53),IF((('T_SelfStock'!BB38&lt;&gt;""))*(('T_TTAFStock'!BB38&lt;&gt;""))&gt;0,'T_SelfStock'!BB38+'T_TTAFStock'!BB38,BA34+'Grid_Incoming'!BB34-'Grid_Requirement'!BB34))</f>
        <v/>
      </c>
      <c r="BC34">
        <f>IF(COUNTIFS(T_StockCount[Part Name],$A34,T_StockCount[WeekIndex],54)&gt;0,SUMIFS(T_StockCount[CountedQty],T_StockCount[Part Name],$A34,T_StockCount[WeekIndex],54),IF((('T_SelfStock'!BC38&lt;&gt;""))*(('T_TTAFStock'!BC38&lt;&gt;""))&gt;0,'T_SelfStock'!BC38+'T_TTAFStock'!BC38,BB34+'Grid_Incoming'!BC34-'Grid_Requirement'!BC34))</f>
        <v/>
      </c>
      <c r="BD34">
        <f>IF(COUNTIFS(T_StockCount[Part Name],$A34,T_StockCount[WeekIndex],55)&gt;0,SUMIFS(T_StockCount[CountedQty],T_StockCount[Part Name],$A34,T_StockCount[WeekIndex],55),IF((('T_SelfStock'!BD38&lt;&gt;""))*(('T_TTAFStock'!BD38&lt;&gt;""))&gt;0,'T_SelfStock'!BD38+'T_TTAFStock'!BD38,BC34+'Grid_Incoming'!BD34-'Grid_Requirement'!BD34))</f>
        <v/>
      </c>
      <c r="BE34">
        <f>IF(COUNTIFS(T_StockCount[Part Name],$A34,T_StockCount[WeekIndex],56)&gt;0,SUMIFS(T_StockCount[CountedQty],T_StockCount[Part Name],$A34,T_StockCount[WeekIndex],56),IF((('T_SelfStock'!BE38&lt;&gt;""))*(('T_TTAFStock'!BE38&lt;&gt;""))&gt;0,'T_SelfStock'!BE38+'T_TTAFStock'!BE38,BD34+'Grid_Incoming'!BE34-'Grid_Requirement'!BE34))</f>
        <v/>
      </c>
      <c r="BF34">
        <f>IF(COUNTIFS(T_StockCount[Part Name],$A34,T_StockCount[WeekIndex],57)&gt;0,SUMIFS(T_StockCount[CountedQty],T_StockCount[Part Name],$A34,T_StockCount[WeekIndex],57),IF((('T_SelfStock'!BF38&lt;&gt;""))*(('T_TTAFStock'!BF38&lt;&gt;""))&gt;0,'T_SelfStock'!BF38+'T_TTAFStock'!BF38,BE34+'Grid_Incoming'!BF34-'Grid_Requirement'!BF34))</f>
        <v/>
      </c>
      <c r="BG34">
        <f>IF(COUNTIFS(T_StockCount[Part Name],$A34,T_StockCount[WeekIndex],58)&gt;0,SUMIFS(T_StockCount[CountedQty],T_StockCount[Part Name],$A34,T_StockCount[WeekIndex],58),IF((('T_SelfStock'!BG38&lt;&gt;""))*(('T_TTAFStock'!BG38&lt;&gt;""))&gt;0,'T_SelfStock'!BG38+'T_TTAFStock'!BG38,BF34+'Grid_Incoming'!BG34-'Grid_Requirement'!BG34))</f>
        <v/>
      </c>
      <c r="BH34">
        <f>IF(COUNTIFS(T_StockCount[Part Name],$A34,T_StockCount[WeekIndex],59)&gt;0,SUMIFS(T_StockCount[CountedQty],T_StockCount[Part Name],$A34,T_StockCount[WeekIndex],59),IF((('T_SelfStock'!BH38&lt;&gt;""))*(('T_TTAFStock'!BH38&lt;&gt;""))&gt;0,'T_SelfStock'!BH38+'T_TTAFStock'!BH38,BG34+'Grid_Incoming'!BH34-'Grid_Requirement'!BH34))</f>
        <v/>
      </c>
      <c r="BI34">
        <f>IF(COUNTIFS(T_StockCount[Part Name],$A34,T_StockCount[WeekIndex],60)&gt;0,SUMIFS(T_StockCount[CountedQty],T_StockCount[Part Name],$A34,T_StockCount[WeekIndex],60),IF((('T_SelfStock'!BI38&lt;&gt;""))*(('T_TTAFStock'!BI38&lt;&gt;""))&gt;0,'T_SelfStock'!BI38+'T_TTAFStock'!BI38,BH34+'Grid_Incoming'!BI34-'Grid_Requirement'!BI34))</f>
        <v/>
      </c>
      <c r="BJ34">
        <f>IF(COUNTIFS(T_StockCount[Part Name],$A34,T_StockCount[WeekIndex],61)&gt;0,SUMIFS(T_StockCount[CountedQty],T_StockCount[Part Name],$A34,T_StockCount[WeekIndex],61),IF((('T_SelfStock'!BJ38&lt;&gt;""))*(('T_TTAFStock'!BJ38&lt;&gt;""))&gt;0,'T_SelfStock'!BJ38+'T_TTAFStock'!BJ38,BI34+'Grid_Incoming'!BJ34-'Grid_Requirement'!BJ34))</f>
        <v/>
      </c>
      <c r="BK34">
        <f>IF(COUNTIFS(T_StockCount[Part Name],$A34,T_StockCount[WeekIndex],62)&gt;0,SUMIFS(T_StockCount[CountedQty],T_StockCount[Part Name],$A34,T_StockCount[WeekIndex],62),IF((('T_SelfStock'!BK38&lt;&gt;""))*(('T_TTAFStock'!BK38&lt;&gt;""))&gt;0,'T_SelfStock'!BK38+'T_TTAFStock'!BK38,BJ34+'Grid_Incoming'!BK34-'Grid_Requirement'!BK34))</f>
        <v/>
      </c>
      <c r="BL34">
        <f>IF(COUNTIFS(T_StockCount[Part Name],$A34,T_StockCount[WeekIndex],63)&gt;0,SUMIFS(T_StockCount[CountedQty],T_StockCount[Part Name],$A34,T_StockCount[WeekIndex],63),IF((('T_SelfStock'!BL38&lt;&gt;""))*(('T_TTAFStock'!BL38&lt;&gt;""))&gt;0,'T_SelfStock'!BL38+'T_TTAFStock'!BL38,BK34+'Grid_Incoming'!BL34-'Grid_Requirement'!BL34))</f>
        <v/>
      </c>
      <c r="BM34">
        <f>IF(COUNTIFS(T_StockCount[Part Name],$A34,T_StockCount[WeekIndex],64)&gt;0,SUMIFS(T_StockCount[CountedQty],T_StockCount[Part Name],$A34,T_StockCount[WeekIndex],64),IF((('T_SelfStock'!BM38&lt;&gt;""))*(('T_TTAFStock'!BM38&lt;&gt;""))&gt;0,'T_SelfStock'!BM38+'T_TTAFStock'!BM38,BL34+'Grid_Incoming'!BM34-'Grid_Requirement'!BM34))</f>
        <v/>
      </c>
      <c r="BN34">
        <f>IF(COUNTIFS(T_StockCount[Part Name],$A34,T_StockCount[WeekIndex],65)&gt;0,SUMIFS(T_StockCount[CountedQty],T_StockCount[Part Name],$A34,T_StockCount[WeekIndex],65),IF((('T_SelfStock'!BN38&lt;&gt;""))*(('T_TTAFStock'!BN38&lt;&gt;""))&gt;0,'T_SelfStock'!BN38+'T_TTAFStock'!BN38,BM34+'Grid_Incoming'!BN34-'Grid_Requirement'!BN34))</f>
        <v/>
      </c>
      <c r="BO34">
        <f>IF(COUNTIFS(T_StockCount[Part Name],$A34,T_StockCount[WeekIndex],66)&gt;0,SUMIFS(T_StockCount[CountedQty],T_StockCount[Part Name],$A34,T_StockCount[WeekIndex],66),IF((('T_SelfStock'!BO38&lt;&gt;""))*(('T_TTAFStock'!BO38&lt;&gt;""))&gt;0,'T_SelfStock'!BO38+'T_TTAFStock'!BO38,BN34+'Grid_Incoming'!BO34-'Grid_Requirement'!BO34))</f>
        <v/>
      </c>
      <c r="BP34">
        <f>IF(COUNTIFS(T_StockCount[Part Name],$A34,T_StockCount[WeekIndex],67)&gt;0,SUMIFS(T_StockCount[CountedQty],T_StockCount[Part Name],$A34,T_StockCount[WeekIndex],67),IF((('T_SelfStock'!BP38&lt;&gt;""))*(('T_TTAFStock'!BP38&lt;&gt;""))&gt;0,'T_SelfStock'!BP38+'T_TTAFStock'!BP38,BO34+'Grid_Incoming'!BP34-'Grid_Requirement'!BP34))</f>
        <v/>
      </c>
      <c r="BQ34">
        <f>IF(COUNTIFS(T_StockCount[Part Name],$A34,T_StockCount[WeekIndex],68)&gt;0,SUMIFS(T_StockCount[CountedQty],T_StockCount[Part Name],$A34,T_StockCount[WeekIndex],68),IF((('T_SelfStock'!BQ38&lt;&gt;""))*(('T_TTAFStock'!BQ38&lt;&gt;""))&gt;0,'T_SelfStock'!BQ38+'T_TTAFStock'!BQ38,BP34+'Grid_Incoming'!BQ34-'Grid_Requirement'!BQ34))</f>
        <v/>
      </c>
      <c r="BR34">
        <f>IF(COUNTIFS(T_StockCount[Part Name],$A34,T_StockCount[WeekIndex],69)&gt;0,SUMIFS(T_StockCount[CountedQty],T_StockCount[Part Name],$A34,T_StockCount[WeekIndex],69),IF((('T_SelfStock'!BR38&lt;&gt;""))*(('T_TTAFStock'!BR38&lt;&gt;""))&gt;0,'T_SelfStock'!BR38+'T_TTAFStock'!BR38,BQ34+'Grid_Incoming'!BR34-'Grid_Requirement'!BR34))</f>
        <v/>
      </c>
      <c r="BS34">
        <f>IF(COUNTIFS(T_StockCount[Part Name],$A34,T_StockCount[WeekIndex],70)&gt;0,SUMIFS(T_StockCount[CountedQty],T_StockCount[Part Name],$A34,T_StockCount[WeekIndex],70),IF((('T_SelfStock'!BS38&lt;&gt;""))*(('T_TTAFStock'!BS38&lt;&gt;""))&gt;0,'T_SelfStock'!BS38+'T_TTAFStock'!BS38,BR34+'Grid_Incoming'!BS34-'Grid_Requirement'!BS34))</f>
        <v/>
      </c>
      <c r="BT34">
        <f>IF(COUNTIFS(T_StockCount[Part Name],$A34,T_StockCount[WeekIndex],71)&gt;0,SUMIFS(T_StockCount[CountedQty],T_StockCount[Part Name],$A34,T_StockCount[WeekIndex],71),IF((('T_SelfStock'!BT38&lt;&gt;""))*(('T_TTAFStock'!BT38&lt;&gt;""))&gt;0,'T_SelfStock'!BT38+'T_TTAFStock'!BT38,BS34+'Grid_Incoming'!BT34-'Grid_Requirement'!BT34))</f>
        <v/>
      </c>
      <c r="BU34">
        <f>IF(COUNTIFS(T_StockCount[Part Name],$A34,T_StockCount[WeekIndex],72)&gt;0,SUMIFS(T_StockCount[CountedQty],T_StockCount[Part Name],$A34,T_StockCount[WeekIndex],72),IF((('T_SelfStock'!BU38&lt;&gt;""))*(('T_TTAFStock'!BU38&lt;&gt;""))&gt;0,'T_SelfStock'!BU38+'T_TTAFStock'!BU38,BT34+'Grid_Incoming'!BU34-'Grid_Requirement'!BU34))</f>
        <v/>
      </c>
      <c r="BV34">
        <f>IF(COUNTIFS(T_StockCount[Part Name],$A34,T_StockCount[WeekIndex],73)&gt;0,SUMIFS(T_StockCount[CountedQty],T_StockCount[Part Name],$A34,T_StockCount[WeekIndex],73),IF((('T_SelfStock'!BV38&lt;&gt;""))*(('T_TTAFStock'!BV38&lt;&gt;""))&gt;0,'T_SelfStock'!BV38+'T_TTAFStock'!BV38,BU34+'Grid_Incoming'!BV34-'Grid_Requirement'!BV34))</f>
        <v/>
      </c>
      <c r="BW34">
        <f>IF(COUNTIFS(T_StockCount[Part Name],$A34,T_StockCount[WeekIndex],74)&gt;0,SUMIFS(T_StockCount[CountedQty],T_StockCount[Part Name],$A34,T_StockCount[WeekIndex],74),IF((('T_SelfStock'!BW38&lt;&gt;""))*(('T_TTAFStock'!BW38&lt;&gt;""))&gt;0,'T_SelfStock'!BW38+'T_TTAFStock'!BW38,BV34+'Grid_Incoming'!BW34-'Grid_Requirement'!BW34))</f>
        <v/>
      </c>
      <c r="BX34">
        <f>IF(COUNTIFS(T_StockCount[Part Name],$A34,T_StockCount[WeekIndex],75)&gt;0,SUMIFS(T_StockCount[CountedQty],T_StockCount[Part Name],$A34,T_StockCount[WeekIndex],75),IF((('T_SelfStock'!BX38&lt;&gt;""))*(('T_TTAFStock'!BX38&lt;&gt;""))&gt;0,'T_SelfStock'!BX38+'T_TTAFStock'!BX38,BW34+'Grid_Incoming'!BX34-'Grid_Requirement'!BX34))</f>
        <v/>
      </c>
      <c r="BY34">
        <f>IF(COUNTIFS(T_StockCount[Part Name],$A34,T_StockCount[WeekIndex],76)&gt;0,SUMIFS(T_StockCount[CountedQty],T_StockCount[Part Name],$A34,T_StockCount[WeekIndex],76),IF((('T_SelfStock'!BY38&lt;&gt;""))*(('T_TTAFStock'!BY38&lt;&gt;""))&gt;0,'T_SelfStock'!BY38+'T_TTAFStock'!BY38,BX34+'Grid_Incoming'!BY34-'Grid_Requirement'!BY34))</f>
        <v/>
      </c>
      <c r="BZ34">
        <f>IF(COUNTIFS(T_StockCount[Part Name],$A34,T_StockCount[WeekIndex],77)&gt;0,SUMIFS(T_StockCount[CountedQty],T_StockCount[Part Name],$A34,T_StockCount[WeekIndex],77),IF((('T_SelfStock'!BZ38&lt;&gt;""))*(('T_TTAFStock'!BZ38&lt;&gt;""))&gt;0,'T_SelfStock'!BZ38+'T_TTAFStock'!BZ38,BY34+'Grid_Incoming'!BZ34-'Grid_Requirement'!BZ34))</f>
        <v/>
      </c>
      <c r="CA34">
        <f>IF(COUNTIFS(T_StockCount[Part Name],$A34,T_StockCount[WeekIndex],78)&gt;0,SUMIFS(T_StockCount[CountedQty],T_StockCount[Part Name],$A34,T_StockCount[WeekIndex],78),IF((('T_SelfStock'!CA38&lt;&gt;""))*(('T_TTAFStock'!CA38&lt;&gt;""))&gt;0,'T_SelfStock'!CA38+'T_TTAFStock'!CA38,BZ34+'Grid_Incoming'!CA34-'Grid_Requirement'!CA34))</f>
        <v/>
      </c>
      <c r="CB34">
        <f>IF(COUNTIFS(T_StockCount[Part Name],$A34,T_StockCount[WeekIndex],79)&gt;0,SUMIFS(T_StockCount[CountedQty],T_StockCount[Part Name],$A34,T_StockCount[WeekIndex],79),IF((('T_SelfStock'!CB38&lt;&gt;""))*(('T_TTAFStock'!CB38&lt;&gt;""))&gt;0,'T_SelfStock'!CB38+'T_TTAFStock'!CB38,CA34+'Grid_Incoming'!CB34-'Grid_Requirement'!CB34))</f>
        <v/>
      </c>
      <c r="CC34">
        <f>IF(COUNTIFS(T_StockCount[Part Name],$A34,T_StockCount[WeekIndex],80)&gt;0,SUMIFS(T_StockCount[CountedQty],T_StockCount[Part Name],$A34,T_StockCount[WeekIndex],80),IF((('T_SelfStock'!CC38&lt;&gt;""))*(('T_TTAFStock'!CC38&lt;&gt;""))&gt;0,'T_SelfStock'!CC38+'T_TTAFStock'!CC38,CB34+'Grid_Incoming'!CC34-'Grid_Requirement'!CC34))</f>
        <v/>
      </c>
      <c r="CD34">
        <f>IF(COUNTIFS(T_StockCount[Part Name],$A34,T_StockCount[WeekIndex],81)&gt;0,SUMIFS(T_StockCount[CountedQty],T_StockCount[Part Name],$A34,T_StockCount[WeekIndex],81),IF((('T_SelfStock'!CD38&lt;&gt;""))*(('T_TTAFStock'!CD38&lt;&gt;""))&gt;0,'T_SelfStock'!CD38+'T_TTAFStock'!CD38,CC34+'Grid_Incoming'!CD34-'Grid_Requirement'!CD34))</f>
        <v/>
      </c>
      <c r="CE34">
        <f>IF(COUNTIFS(T_StockCount[Part Name],$A34,T_StockCount[WeekIndex],82)&gt;0,SUMIFS(T_StockCount[CountedQty],T_StockCount[Part Name],$A34,T_StockCount[WeekIndex],82),IF((('T_SelfStock'!CE38&lt;&gt;""))*(('T_TTAFStock'!CE38&lt;&gt;""))&gt;0,'T_SelfStock'!CE38+'T_TTAFStock'!CE38,CD34+'Grid_Incoming'!CE34-'Grid_Requirement'!CE34))</f>
        <v/>
      </c>
      <c r="CF34">
        <f>IF(COUNTIFS(T_StockCount[Part Name],$A34,T_StockCount[WeekIndex],83)&gt;0,SUMIFS(T_StockCount[CountedQty],T_StockCount[Part Name],$A34,T_StockCount[WeekIndex],83),IF((('T_SelfStock'!CF38&lt;&gt;""))*(('T_TTAFStock'!CF38&lt;&gt;""))&gt;0,'T_SelfStock'!CF38+'T_TTAFStock'!CF38,CE34+'Grid_Incoming'!CF34-'Grid_Requirement'!CF34))</f>
        <v/>
      </c>
      <c r="CG34">
        <f>IF(COUNTIFS(T_StockCount[Part Name],$A34,T_StockCount[WeekIndex],84)&gt;0,SUMIFS(T_StockCount[CountedQty],T_StockCount[Part Name],$A34,T_StockCount[WeekIndex],84),IF((('T_SelfStock'!CG38&lt;&gt;""))*(('T_TTAFStock'!CG38&lt;&gt;""))&gt;0,'T_SelfStock'!CG38+'T_TTAFStock'!CG38,CF34+'Grid_Incoming'!CG34-'Grid_Requirement'!CG34))</f>
        <v/>
      </c>
      <c r="CH34">
        <f>IF(COUNTIFS(T_StockCount[Part Name],$A34,T_StockCount[WeekIndex],85)&gt;0,SUMIFS(T_StockCount[CountedQty],T_StockCount[Part Name],$A34,T_StockCount[WeekIndex],85),IF((('T_SelfStock'!CH38&lt;&gt;""))*(('T_TTAFStock'!CH38&lt;&gt;""))&gt;0,'T_SelfStock'!CH38+'T_TTAFStock'!CH38,CG34+'Grid_Incoming'!CH34-'Grid_Requirement'!CH34))</f>
        <v/>
      </c>
      <c r="CI34">
        <f>IF(COUNTIFS(T_StockCount[Part Name],$A34,T_StockCount[WeekIndex],86)&gt;0,SUMIFS(T_StockCount[CountedQty],T_StockCount[Part Name],$A34,T_StockCount[WeekIndex],86),IF((('T_SelfStock'!CI38&lt;&gt;""))*(('T_TTAFStock'!CI38&lt;&gt;""))&gt;0,'T_SelfStock'!CI38+'T_TTAFStock'!CI38,CH34+'Grid_Incoming'!CI34-'Grid_Requirement'!CI34))</f>
        <v/>
      </c>
      <c r="CJ34">
        <f>IF(COUNTIFS(T_StockCount[Part Name],$A34,T_StockCount[WeekIndex],87)&gt;0,SUMIFS(T_StockCount[CountedQty],T_StockCount[Part Name],$A34,T_StockCount[WeekIndex],87),IF((('T_SelfStock'!CJ38&lt;&gt;""))*(('T_TTAFStock'!CJ38&lt;&gt;""))&gt;0,'T_SelfStock'!CJ38+'T_TTAFStock'!CJ38,CI34+'Grid_Incoming'!CJ34-'Grid_Requirement'!CJ34))</f>
        <v/>
      </c>
      <c r="CK34">
        <f>IF(COUNTIFS(T_StockCount[Part Name],$A34,T_StockCount[WeekIndex],88)&gt;0,SUMIFS(T_StockCount[CountedQty],T_StockCount[Part Name],$A34,T_StockCount[WeekIndex],88),IF((('T_SelfStock'!CK38&lt;&gt;""))*(('T_TTAFStock'!CK38&lt;&gt;""))&gt;0,'T_SelfStock'!CK38+'T_TTAFStock'!CK38,CJ34+'Grid_Incoming'!CK34-'Grid_Requirement'!CK34))</f>
        <v/>
      </c>
      <c r="CL34">
        <f>IF(COUNTIFS(T_StockCount[Part Name],$A34,T_StockCount[WeekIndex],89)&gt;0,SUMIFS(T_StockCount[CountedQty],T_StockCount[Part Name],$A34,T_StockCount[WeekIndex],89),IF((('T_SelfStock'!CL38&lt;&gt;""))*(('T_TTAFStock'!CL38&lt;&gt;""))&gt;0,'T_SelfStock'!CL38+'T_TTAFStock'!CL38,CK34+'Grid_Incoming'!CL34-'Grid_Requirement'!CL34))</f>
        <v/>
      </c>
      <c r="CM34">
        <f>IF(COUNTIFS(T_StockCount[Part Name],$A34,T_StockCount[WeekIndex],90)&gt;0,SUMIFS(T_StockCount[CountedQty],T_StockCount[Part Name],$A34,T_StockCount[WeekIndex],90),IF((('T_SelfStock'!CM38&lt;&gt;""))*(('T_TTAFStock'!CM38&lt;&gt;""))&gt;0,'T_SelfStock'!CM38+'T_TTAFStock'!CM38,CL34+'Grid_Incoming'!CM34-'Grid_Requirement'!CM34))</f>
        <v/>
      </c>
      <c r="CN34">
        <f>IF(COUNTIFS(T_StockCount[Part Name],$A34,T_StockCount[WeekIndex],91)&gt;0,SUMIFS(T_StockCount[CountedQty],T_StockCount[Part Name],$A34,T_StockCount[WeekIndex],91),IF((('T_SelfStock'!CN38&lt;&gt;""))*(('T_TTAFStock'!CN38&lt;&gt;""))&gt;0,'T_SelfStock'!CN38+'T_TTAFStock'!CN38,CM34+'Grid_Incoming'!CN34-'Grid_Requirement'!CN34))</f>
        <v/>
      </c>
      <c r="CO34">
        <f>IF(COUNTIFS(T_StockCount[Part Name],$A34,T_StockCount[WeekIndex],92)&gt;0,SUMIFS(T_StockCount[CountedQty],T_StockCount[Part Name],$A34,T_StockCount[WeekIndex],92),IF((('T_SelfStock'!CO38&lt;&gt;""))*(('T_TTAFStock'!CO38&lt;&gt;""))&gt;0,'T_SelfStock'!CO38+'T_TTAFStock'!CO38,CN34+'Grid_Incoming'!CO34-'Grid_Requirement'!CO34))</f>
        <v/>
      </c>
      <c r="CP34">
        <f>IF(COUNTIFS(T_StockCount[Part Name],$A34,T_StockCount[WeekIndex],93)&gt;0,SUMIFS(T_StockCount[CountedQty],T_StockCount[Part Name],$A34,T_StockCount[WeekIndex],93),IF((('T_SelfStock'!CP38&lt;&gt;""))*(('T_TTAFStock'!CP38&lt;&gt;""))&gt;0,'T_SelfStock'!CP38+'T_TTAFStock'!CP38,CO34+'Grid_Incoming'!CP34-'Grid_Requirement'!CP34))</f>
        <v/>
      </c>
      <c r="CQ34">
        <f>IF(COUNTIFS(T_StockCount[Part Name],$A34,T_StockCount[WeekIndex],94)&gt;0,SUMIFS(T_StockCount[CountedQty],T_StockCount[Part Name],$A34,T_StockCount[WeekIndex],94),IF((('T_SelfStock'!CQ38&lt;&gt;""))*(('T_TTAFStock'!CQ38&lt;&gt;""))&gt;0,'T_SelfStock'!CQ38+'T_TTAFStock'!CQ38,CP34+'Grid_Incoming'!CQ34-'Grid_Requirement'!CQ34))</f>
        <v/>
      </c>
      <c r="CR34">
        <f>IF(COUNTIFS(T_StockCount[Part Name],$A34,T_StockCount[WeekIndex],95)&gt;0,SUMIFS(T_StockCount[CountedQty],T_StockCount[Part Name],$A34,T_StockCount[WeekIndex],95),IF((('T_SelfStock'!CR38&lt;&gt;""))*(('T_TTAFStock'!CR38&lt;&gt;""))&gt;0,'T_SelfStock'!CR38+'T_TTAFStock'!CR38,CQ34+'Grid_Incoming'!CR34-'Grid_Requirement'!CR34))</f>
        <v/>
      </c>
      <c r="CS34">
        <f>IF(COUNTIFS(T_StockCount[Part Name],$A34,T_StockCount[WeekIndex],96)&gt;0,SUMIFS(T_StockCount[CountedQty],T_StockCount[Part Name],$A34,T_StockCount[WeekIndex],96),IF((('T_SelfStock'!CS38&lt;&gt;""))*(('T_TTAFStock'!CS38&lt;&gt;""))&gt;0,'T_SelfStock'!CS38+'T_TTAFStock'!CS38,CR34+'Grid_Incoming'!CS34-'Grid_Requirement'!CS34))</f>
        <v/>
      </c>
      <c r="CT34">
        <f>IF(COUNTIFS(T_StockCount[Part Name],$A34,T_StockCount[WeekIndex],97)&gt;0,SUMIFS(T_StockCount[CountedQty],T_StockCount[Part Name],$A34,T_StockCount[WeekIndex],97),IF((('T_SelfStock'!CT38&lt;&gt;""))*(('T_TTAFStock'!CT38&lt;&gt;""))&gt;0,'T_SelfStock'!CT38+'T_TTAFStock'!CT38,CS34+'Grid_Incoming'!CT34-'Grid_Requirement'!CT34))</f>
        <v/>
      </c>
      <c r="CU34">
        <f>IF(COUNTIFS(T_StockCount[Part Name],$A34,T_StockCount[WeekIndex],98)&gt;0,SUMIFS(T_StockCount[CountedQty],T_StockCount[Part Name],$A34,T_StockCount[WeekIndex],98),IF((('T_SelfStock'!CU38&lt;&gt;""))*(('T_TTAFStock'!CU38&lt;&gt;""))&gt;0,'T_SelfStock'!CU38+'T_TTAFStock'!CU38,CT34+'Grid_Incoming'!CU34-'Grid_Requirement'!CU34))</f>
        <v/>
      </c>
      <c r="CV34">
        <f>IF(COUNTIFS(T_StockCount[Part Name],$A34,T_StockCount[WeekIndex],99)&gt;0,SUMIFS(T_StockCount[CountedQty],T_StockCount[Part Name],$A34,T_StockCount[WeekIndex],99),IF((('T_SelfStock'!CV38&lt;&gt;""))*(('T_TTAFStock'!CV38&lt;&gt;""))&gt;0,'T_SelfStock'!CV38+'T_TTAFStock'!CV38,CU34+'Grid_Incoming'!CV34-'Grid_Requirement'!CV34))</f>
        <v/>
      </c>
      <c r="CW34">
        <f>IF(COUNTIFS(T_StockCount[Part Name],$A34,T_StockCount[WeekIndex],100)&gt;0,SUMIFS(T_StockCount[CountedQty],T_StockCount[Part Name],$A34,T_StockCount[WeekIndex],100),IF((('T_SelfStock'!CW38&lt;&gt;""))*(('T_TTAFStock'!CW38&lt;&gt;""))&gt;0,'T_SelfStock'!CW38+'T_TTAFStock'!CW38,CV34+'Grid_Incoming'!CW34-'Grid_Requirement'!CW34))</f>
        <v/>
      </c>
      <c r="CX34">
        <f>IF(COUNTIFS(T_StockCount[Part Name],$A34,T_StockCount[WeekIndex],101)&gt;0,SUMIFS(T_StockCount[CountedQty],T_StockCount[Part Name],$A34,T_StockCount[WeekIndex],101),IF((('T_SelfStock'!CX38&lt;&gt;""))*(('T_TTAFStock'!CX38&lt;&gt;""))&gt;0,'T_SelfStock'!CX38+'T_TTAFStock'!CX38,CW34+'Grid_Incoming'!CX34-'Grid_Requirement'!CX34))</f>
        <v/>
      </c>
      <c r="CY34">
        <f>IF(COUNTIFS(T_StockCount[Part Name],$A34,T_StockCount[WeekIndex],102)&gt;0,SUMIFS(T_StockCount[CountedQty],T_StockCount[Part Name],$A34,T_StockCount[WeekIndex],102),IF((('T_SelfStock'!CY38&lt;&gt;""))*(('T_TTAFStock'!CY38&lt;&gt;""))&gt;0,'T_SelfStock'!CY38+'T_TTAFStock'!CY38,CX34+'Grid_Incoming'!CY34-'Grid_Requirement'!CY34))</f>
        <v/>
      </c>
      <c r="CZ34">
        <f>IF(COUNTIFS(T_StockCount[Part Name],$A34,T_StockCount[WeekIndex],103)&gt;0,SUMIFS(T_StockCount[CountedQty],T_StockCount[Part Name],$A34,T_StockCount[WeekIndex],103),IF((('T_SelfStock'!CZ38&lt;&gt;""))*(('T_TTAFStock'!CZ38&lt;&gt;""))&gt;0,'T_SelfStock'!CZ38+'T_TTAFStock'!CZ38,CY34+'Grid_Incoming'!CZ34-'Grid_Requirement'!CZ34))</f>
        <v/>
      </c>
      <c r="DA34">
        <f>IF(COUNTIFS(T_StockCount[Part Name],$A34,T_StockCount[WeekIndex],104)&gt;0,SUMIFS(T_StockCount[CountedQty],T_StockCount[Part Name],$A34,T_StockCount[WeekIndex],104),IF((('T_SelfStock'!DA38&lt;&gt;""))*(('T_TTAFStock'!DA38&lt;&gt;""))&gt;0,'T_SelfStock'!DA38+'T_TTAFStock'!DA38,CZ34+'Grid_Incoming'!DA34-'Grid_Requirement'!DA34))</f>
        <v/>
      </c>
    </row>
    <row r="35">
      <c r="A35" t="inlineStr">
        <is>
          <t>CHEM-1510</t>
        </is>
      </c>
      <c r="B35">
        <f>IF(COUNTIFS(T_StockCount[Part Name],$A35,T_StockCount[WeekIndex],1)&gt;0,SUMIFS(T_StockCount[CountedQty],T_StockCount[Part Name],$A35,T_StockCount[WeekIndex],1),IF((('T_SelfStock'!B39&lt;&gt;""))*(('T_TTAFStock'!B39&lt;&gt;""))&gt;0,'T_SelfStock'!B39+'T_TTAFStock'!B39,IFERROR(INDEX(T_OpeningStock[Opening_Qty],MATCH($A35,T_OpeningStock[Part Name],0)),0)+'Grid_Incoming'!B35-'Grid_Requirement'!B35))</f>
        <v/>
      </c>
      <c r="C35">
        <f>IF(COUNTIFS(T_StockCount[Part Name],$A35,T_StockCount[WeekIndex],2)&gt;0,SUMIFS(T_StockCount[CountedQty],T_StockCount[Part Name],$A35,T_StockCount[WeekIndex],2),IF((('T_SelfStock'!C39&lt;&gt;""))*(('T_TTAFStock'!C39&lt;&gt;""))&gt;0,'T_SelfStock'!C39+'T_TTAFStock'!C39,B35+'Grid_Incoming'!C35-'Grid_Requirement'!C35))</f>
        <v/>
      </c>
      <c r="D35">
        <f>IF(COUNTIFS(T_StockCount[Part Name],$A35,T_StockCount[WeekIndex],3)&gt;0,SUMIFS(T_StockCount[CountedQty],T_StockCount[Part Name],$A35,T_StockCount[WeekIndex],3),IF((('T_SelfStock'!D39&lt;&gt;""))*(('T_TTAFStock'!D39&lt;&gt;""))&gt;0,'T_SelfStock'!D39+'T_TTAFStock'!D39,C35+'Grid_Incoming'!D35-'Grid_Requirement'!D35))</f>
        <v/>
      </c>
      <c r="E35">
        <f>IF(COUNTIFS(T_StockCount[Part Name],$A35,T_StockCount[WeekIndex],4)&gt;0,SUMIFS(T_StockCount[CountedQty],T_StockCount[Part Name],$A35,T_StockCount[WeekIndex],4),IF((('T_SelfStock'!E39&lt;&gt;""))*(('T_TTAFStock'!E39&lt;&gt;""))&gt;0,'T_SelfStock'!E39+'T_TTAFStock'!E39,D35+'Grid_Incoming'!E35-'Grid_Requirement'!E35))</f>
        <v/>
      </c>
      <c r="F35">
        <f>IF(COUNTIFS(T_StockCount[Part Name],$A35,T_StockCount[WeekIndex],5)&gt;0,SUMIFS(T_StockCount[CountedQty],T_StockCount[Part Name],$A35,T_StockCount[WeekIndex],5),IF((('T_SelfStock'!F39&lt;&gt;""))*(('T_TTAFStock'!F39&lt;&gt;""))&gt;0,'T_SelfStock'!F39+'T_TTAFStock'!F39,E35+'Grid_Incoming'!F35-'Grid_Requirement'!F35))</f>
        <v/>
      </c>
      <c r="G35">
        <f>IF(COUNTIFS(T_StockCount[Part Name],$A35,T_StockCount[WeekIndex],6)&gt;0,SUMIFS(T_StockCount[CountedQty],T_StockCount[Part Name],$A35,T_StockCount[WeekIndex],6),IF((('T_SelfStock'!G39&lt;&gt;""))*(('T_TTAFStock'!G39&lt;&gt;""))&gt;0,'T_SelfStock'!G39+'T_TTAFStock'!G39,F35+'Grid_Incoming'!G35-'Grid_Requirement'!G35))</f>
        <v/>
      </c>
      <c r="H35">
        <f>IF(COUNTIFS(T_StockCount[Part Name],$A35,T_StockCount[WeekIndex],7)&gt;0,SUMIFS(T_StockCount[CountedQty],T_StockCount[Part Name],$A35,T_StockCount[WeekIndex],7),IF((('T_SelfStock'!H39&lt;&gt;""))*(('T_TTAFStock'!H39&lt;&gt;""))&gt;0,'T_SelfStock'!H39+'T_TTAFStock'!H39,G35+'Grid_Incoming'!H35-'Grid_Requirement'!H35))</f>
        <v/>
      </c>
      <c r="I35">
        <f>IF(COUNTIFS(T_StockCount[Part Name],$A35,T_StockCount[WeekIndex],8)&gt;0,SUMIFS(T_StockCount[CountedQty],T_StockCount[Part Name],$A35,T_StockCount[WeekIndex],8),IF((('T_SelfStock'!I39&lt;&gt;""))*(('T_TTAFStock'!I39&lt;&gt;""))&gt;0,'T_SelfStock'!I39+'T_TTAFStock'!I39,H35+'Grid_Incoming'!I35-'Grid_Requirement'!I35))</f>
        <v/>
      </c>
      <c r="J35">
        <f>IF(COUNTIFS(T_StockCount[Part Name],$A35,T_StockCount[WeekIndex],9)&gt;0,SUMIFS(T_StockCount[CountedQty],T_StockCount[Part Name],$A35,T_StockCount[WeekIndex],9),IF((('T_SelfStock'!J39&lt;&gt;""))*(('T_TTAFStock'!J39&lt;&gt;""))&gt;0,'T_SelfStock'!J39+'T_TTAFStock'!J39,I35+'Grid_Incoming'!J35-'Grid_Requirement'!J35))</f>
        <v/>
      </c>
      <c r="K35">
        <f>IF(COUNTIFS(T_StockCount[Part Name],$A35,T_StockCount[WeekIndex],10)&gt;0,SUMIFS(T_StockCount[CountedQty],T_StockCount[Part Name],$A35,T_StockCount[WeekIndex],10),IF((('T_SelfStock'!K39&lt;&gt;""))*(('T_TTAFStock'!K39&lt;&gt;""))&gt;0,'T_SelfStock'!K39+'T_TTAFStock'!K39,J35+'Grid_Incoming'!K35-'Grid_Requirement'!K35))</f>
        <v/>
      </c>
      <c r="L35">
        <f>IF(COUNTIFS(T_StockCount[Part Name],$A35,T_StockCount[WeekIndex],11)&gt;0,SUMIFS(T_StockCount[CountedQty],T_StockCount[Part Name],$A35,T_StockCount[WeekIndex],11),IF((('T_SelfStock'!L39&lt;&gt;""))*(('T_TTAFStock'!L39&lt;&gt;""))&gt;0,'T_SelfStock'!L39+'T_TTAFStock'!L39,K35+'Grid_Incoming'!L35-'Grid_Requirement'!L35))</f>
        <v/>
      </c>
      <c r="M35">
        <f>IF(COUNTIFS(T_StockCount[Part Name],$A35,T_StockCount[WeekIndex],12)&gt;0,SUMIFS(T_StockCount[CountedQty],T_StockCount[Part Name],$A35,T_StockCount[WeekIndex],12),IF((('T_SelfStock'!M39&lt;&gt;""))*(('T_TTAFStock'!M39&lt;&gt;""))&gt;0,'T_SelfStock'!M39+'T_TTAFStock'!M39,L35+'Grid_Incoming'!M35-'Grid_Requirement'!M35))</f>
        <v/>
      </c>
      <c r="N35">
        <f>IF(COUNTIFS(T_StockCount[Part Name],$A35,T_StockCount[WeekIndex],13)&gt;0,SUMIFS(T_StockCount[CountedQty],T_StockCount[Part Name],$A35,T_StockCount[WeekIndex],13),IF((('T_SelfStock'!N39&lt;&gt;""))*(('T_TTAFStock'!N39&lt;&gt;""))&gt;0,'T_SelfStock'!N39+'T_TTAFStock'!N39,M35+'Grid_Incoming'!N35-'Grid_Requirement'!N35))</f>
        <v/>
      </c>
      <c r="O35">
        <f>IF(COUNTIFS(T_StockCount[Part Name],$A35,T_StockCount[WeekIndex],14)&gt;0,SUMIFS(T_StockCount[CountedQty],T_StockCount[Part Name],$A35,T_StockCount[WeekIndex],14),IF((('T_SelfStock'!O39&lt;&gt;""))*(('T_TTAFStock'!O39&lt;&gt;""))&gt;0,'T_SelfStock'!O39+'T_TTAFStock'!O39,N35+'Grid_Incoming'!O35-'Grid_Requirement'!O35))</f>
        <v/>
      </c>
      <c r="P35">
        <f>IF(COUNTIFS(T_StockCount[Part Name],$A35,T_StockCount[WeekIndex],15)&gt;0,SUMIFS(T_StockCount[CountedQty],T_StockCount[Part Name],$A35,T_StockCount[WeekIndex],15),IF((('T_SelfStock'!P39&lt;&gt;""))*(('T_TTAFStock'!P39&lt;&gt;""))&gt;0,'T_SelfStock'!P39+'T_TTAFStock'!P39,O35+'Grid_Incoming'!P35-'Grid_Requirement'!P35))</f>
        <v/>
      </c>
      <c r="Q35">
        <f>IF(COUNTIFS(T_StockCount[Part Name],$A35,T_StockCount[WeekIndex],16)&gt;0,SUMIFS(T_StockCount[CountedQty],T_StockCount[Part Name],$A35,T_StockCount[WeekIndex],16),IF((('T_SelfStock'!Q39&lt;&gt;""))*(('T_TTAFStock'!Q39&lt;&gt;""))&gt;0,'T_SelfStock'!Q39+'T_TTAFStock'!Q39,P35+'Grid_Incoming'!Q35-'Grid_Requirement'!Q35))</f>
        <v/>
      </c>
      <c r="R35">
        <f>IF(COUNTIFS(T_StockCount[Part Name],$A35,T_StockCount[WeekIndex],17)&gt;0,SUMIFS(T_StockCount[CountedQty],T_StockCount[Part Name],$A35,T_StockCount[WeekIndex],17),IF((('T_SelfStock'!R39&lt;&gt;""))*(('T_TTAFStock'!R39&lt;&gt;""))&gt;0,'T_SelfStock'!R39+'T_TTAFStock'!R39,Q35+'Grid_Incoming'!R35-'Grid_Requirement'!R35))</f>
        <v/>
      </c>
      <c r="S35">
        <f>IF(COUNTIFS(T_StockCount[Part Name],$A35,T_StockCount[WeekIndex],18)&gt;0,SUMIFS(T_StockCount[CountedQty],T_StockCount[Part Name],$A35,T_StockCount[WeekIndex],18),IF((('T_SelfStock'!S39&lt;&gt;""))*(('T_TTAFStock'!S39&lt;&gt;""))&gt;0,'T_SelfStock'!S39+'T_TTAFStock'!S39,R35+'Grid_Incoming'!S35-'Grid_Requirement'!S35))</f>
        <v/>
      </c>
      <c r="T35">
        <f>IF(COUNTIFS(T_StockCount[Part Name],$A35,T_StockCount[WeekIndex],19)&gt;0,SUMIFS(T_StockCount[CountedQty],T_StockCount[Part Name],$A35,T_StockCount[WeekIndex],19),IF((('T_SelfStock'!T39&lt;&gt;""))*(('T_TTAFStock'!T39&lt;&gt;""))&gt;0,'T_SelfStock'!T39+'T_TTAFStock'!T39,S35+'Grid_Incoming'!T35-'Grid_Requirement'!T35))</f>
        <v/>
      </c>
      <c r="U35">
        <f>IF(COUNTIFS(T_StockCount[Part Name],$A35,T_StockCount[WeekIndex],20)&gt;0,SUMIFS(T_StockCount[CountedQty],T_StockCount[Part Name],$A35,T_StockCount[WeekIndex],20),IF((('T_SelfStock'!U39&lt;&gt;""))*(('T_TTAFStock'!U39&lt;&gt;""))&gt;0,'T_SelfStock'!U39+'T_TTAFStock'!U39,T35+'Grid_Incoming'!U35-'Grid_Requirement'!U35))</f>
        <v/>
      </c>
      <c r="V35">
        <f>IF(COUNTIFS(T_StockCount[Part Name],$A35,T_StockCount[WeekIndex],21)&gt;0,SUMIFS(T_StockCount[CountedQty],T_StockCount[Part Name],$A35,T_StockCount[WeekIndex],21),IF((('T_SelfStock'!V39&lt;&gt;""))*(('T_TTAFStock'!V39&lt;&gt;""))&gt;0,'T_SelfStock'!V39+'T_TTAFStock'!V39,U35+'Grid_Incoming'!V35-'Grid_Requirement'!V35))</f>
        <v/>
      </c>
      <c r="W35">
        <f>IF(COUNTIFS(T_StockCount[Part Name],$A35,T_StockCount[WeekIndex],22)&gt;0,SUMIFS(T_StockCount[CountedQty],T_StockCount[Part Name],$A35,T_StockCount[WeekIndex],22),IF((('T_SelfStock'!W39&lt;&gt;""))*(('T_TTAFStock'!W39&lt;&gt;""))&gt;0,'T_SelfStock'!W39+'T_TTAFStock'!W39,V35+'Grid_Incoming'!W35-'Grid_Requirement'!W35))</f>
        <v/>
      </c>
      <c r="X35">
        <f>IF(COUNTIFS(T_StockCount[Part Name],$A35,T_StockCount[WeekIndex],23)&gt;0,SUMIFS(T_StockCount[CountedQty],T_StockCount[Part Name],$A35,T_StockCount[WeekIndex],23),IF((('T_SelfStock'!X39&lt;&gt;""))*(('T_TTAFStock'!X39&lt;&gt;""))&gt;0,'T_SelfStock'!X39+'T_TTAFStock'!X39,W35+'Grid_Incoming'!X35-'Grid_Requirement'!X35))</f>
        <v/>
      </c>
      <c r="Y35">
        <f>IF(COUNTIFS(T_StockCount[Part Name],$A35,T_StockCount[WeekIndex],24)&gt;0,SUMIFS(T_StockCount[CountedQty],T_StockCount[Part Name],$A35,T_StockCount[WeekIndex],24),IF((('T_SelfStock'!Y39&lt;&gt;""))*(('T_TTAFStock'!Y39&lt;&gt;""))&gt;0,'T_SelfStock'!Y39+'T_TTAFStock'!Y39,X35+'Grid_Incoming'!Y35-'Grid_Requirement'!Y35))</f>
        <v/>
      </c>
      <c r="Z35">
        <f>IF(COUNTIFS(T_StockCount[Part Name],$A35,T_StockCount[WeekIndex],25)&gt;0,SUMIFS(T_StockCount[CountedQty],T_StockCount[Part Name],$A35,T_StockCount[WeekIndex],25),IF((('T_SelfStock'!Z39&lt;&gt;""))*(('T_TTAFStock'!Z39&lt;&gt;""))&gt;0,'T_SelfStock'!Z39+'T_TTAFStock'!Z39,Y35+'Grid_Incoming'!Z35-'Grid_Requirement'!Z35))</f>
        <v/>
      </c>
      <c r="AA35">
        <f>IF(COUNTIFS(T_StockCount[Part Name],$A35,T_StockCount[WeekIndex],26)&gt;0,SUMIFS(T_StockCount[CountedQty],T_StockCount[Part Name],$A35,T_StockCount[WeekIndex],26),IF((('T_SelfStock'!AA39&lt;&gt;""))*(('T_TTAFStock'!AA39&lt;&gt;""))&gt;0,'T_SelfStock'!AA39+'T_TTAFStock'!AA39,Z35+'Grid_Incoming'!AA35-'Grid_Requirement'!AA35))</f>
        <v/>
      </c>
      <c r="AB35">
        <f>IF(COUNTIFS(T_StockCount[Part Name],$A35,T_StockCount[WeekIndex],27)&gt;0,SUMIFS(T_StockCount[CountedQty],T_StockCount[Part Name],$A35,T_StockCount[WeekIndex],27),IF((('T_SelfStock'!AB39&lt;&gt;""))*(('T_TTAFStock'!AB39&lt;&gt;""))&gt;0,'T_SelfStock'!AB39+'T_TTAFStock'!AB39,AA35+'Grid_Incoming'!AB35-'Grid_Requirement'!AB35))</f>
        <v/>
      </c>
      <c r="AC35">
        <f>IF(COUNTIFS(T_StockCount[Part Name],$A35,T_StockCount[WeekIndex],28)&gt;0,SUMIFS(T_StockCount[CountedQty],T_StockCount[Part Name],$A35,T_StockCount[WeekIndex],28),IF((('T_SelfStock'!AC39&lt;&gt;""))*(('T_TTAFStock'!AC39&lt;&gt;""))&gt;0,'T_SelfStock'!AC39+'T_TTAFStock'!AC39,AB35+'Grid_Incoming'!AC35-'Grid_Requirement'!AC35))</f>
        <v/>
      </c>
      <c r="AD35">
        <f>IF(COUNTIFS(T_StockCount[Part Name],$A35,T_StockCount[WeekIndex],29)&gt;0,SUMIFS(T_StockCount[CountedQty],T_StockCount[Part Name],$A35,T_StockCount[WeekIndex],29),IF((('T_SelfStock'!AD39&lt;&gt;""))*(('T_TTAFStock'!AD39&lt;&gt;""))&gt;0,'T_SelfStock'!AD39+'T_TTAFStock'!AD39,AC35+'Grid_Incoming'!AD35-'Grid_Requirement'!AD35))</f>
        <v/>
      </c>
      <c r="AE35">
        <f>IF(COUNTIFS(T_StockCount[Part Name],$A35,T_StockCount[WeekIndex],30)&gt;0,SUMIFS(T_StockCount[CountedQty],T_StockCount[Part Name],$A35,T_StockCount[WeekIndex],30),IF((('T_SelfStock'!AE39&lt;&gt;""))*(('T_TTAFStock'!AE39&lt;&gt;""))&gt;0,'T_SelfStock'!AE39+'T_TTAFStock'!AE39,AD35+'Grid_Incoming'!AE35-'Grid_Requirement'!AE35))</f>
        <v/>
      </c>
      <c r="AF35">
        <f>IF(COUNTIFS(T_StockCount[Part Name],$A35,T_StockCount[WeekIndex],31)&gt;0,SUMIFS(T_StockCount[CountedQty],T_StockCount[Part Name],$A35,T_StockCount[WeekIndex],31),IF((('T_SelfStock'!AF39&lt;&gt;""))*(('T_TTAFStock'!AF39&lt;&gt;""))&gt;0,'T_SelfStock'!AF39+'T_TTAFStock'!AF39,AE35+'Grid_Incoming'!AF35-'Grid_Requirement'!AF35))</f>
        <v/>
      </c>
      <c r="AG35">
        <f>IF(COUNTIFS(T_StockCount[Part Name],$A35,T_StockCount[WeekIndex],32)&gt;0,SUMIFS(T_StockCount[CountedQty],T_StockCount[Part Name],$A35,T_StockCount[WeekIndex],32),IF((('T_SelfStock'!AG39&lt;&gt;""))*(('T_TTAFStock'!AG39&lt;&gt;""))&gt;0,'T_SelfStock'!AG39+'T_TTAFStock'!AG39,AF35+'Grid_Incoming'!AG35-'Grid_Requirement'!AG35))</f>
        <v/>
      </c>
      <c r="AH35">
        <f>IF(COUNTIFS(T_StockCount[Part Name],$A35,T_StockCount[WeekIndex],33)&gt;0,SUMIFS(T_StockCount[CountedQty],T_StockCount[Part Name],$A35,T_StockCount[WeekIndex],33),IF((('T_SelfStock'!AH39&lt;&gt;""))*(('T_TTAFStock'!AH39&lt;&gt;""))&gt;0,'T_SelfStock'!AH39+'T_TTAFStock'!AH39,AG35+'Grid_Incoming'!AH35-'Grid_Requirement'!AH35))</f>
        <v/>
      </c>
      <c r="AI35">
        <f>IF(COUNTIFS(T_StockCount[Part Name],$A35,T_StockCount[WeekIndex],34)&gt;0,SUMIFS(T_StockCount[CountedQty],T_StockCount[Part Name],$A35,T_StockCount[WeekIndex],34),IF((('T_SelfStock'!AI39&lt;&gt;""))*(('T_TTAFStock'!AI39&lt;&gt;""))&gt;0,'T_SelfStock'!AI39+'T_TTAFStock'!AI39,AH35+'Grid_Incoming'!AI35-'Grid_Requirement'!AI35))</f>
        <v/>
      </c>
      <c r="AJ35">
        <f>IF(COUNTIFS(T_StockCount[Part Name],$A35,T_StockCount[WeekIndex],35)&gt;0,SUMIFS(T_StockCount[CountedQty],T_StockCount[Part Name],$A35,T_StockCount[WeekIndex],35),IF((('T_SelfStock'!AJ39&lt;&gt;""))*(('T_TTAFStock'!AJ39&lt;&gt;""))&gt;0,'T_SelfStock'!AJ39+'T_TTAFStock'!AJ39,AI35+'Grid_Incoming'!AJ35-'Grid_Requirement'!AJ35))</f>
        <v/>
      </c>
      <c r="AK35">
        <f>IF(COUNTIFS(T_StockCount[Part Name],$A35,T_StockCount[WeekIndex],36)&gt;0,SUMIFS(T_StockCount[CountedQty],T_StockCount[Part Name],$A35,T_StockCount[WeekIndex],36),IF((('T_SelfStock'!AK39&lt;&gt;""))*(('T_TTAFStock'!AK39&lt;&gt;""))&gt;0,'T_SelfStock'!AK39+'T_TTAFStock'!AK39,AJ35+'Grid_Incoming'!AK35-'Grid_Requirement'!AK35))</f>
        <v/>
      </c>
      <c r="AL35">
        <f>IF(COUNTIFS(T_StockCount[Part Name],$A35,T_StockCount[WeekIndex],37)&gt;0,SUMIFS(T_StockCount[CountedQty],T_StockCount[Part Name],$A35,T_StockCount[WeekIndex],37),IF((('T_SelfStock'!AL39&lt;&gt;""))*(('T_TTAFStock'!AL39&lt;&gt;""))&gt;0,'T_SelfStock'!AL39+'T_TTAFStock'!AL39,AK35+'Grid_Incoming'!AL35-'Grid_Requirement'!AL35))</f>
        <v/>
      </c>
      <c r="AM35">
        <f>IF(COUNTIFS(T_StockCount[Part Name],$A35,T_StockCount[WeekIndex],38)&gt;0,SUMIFS(T_StockCount[CountedQty],T_StockCount[Part Name],$A35,T_StockCount[WeekIndex],38),IF((('T_SelfStock'!AM39&lt;&gt;""))*(('T_TTAFStock'!AM39&lt;&gt;""))&gt;0,'T_SelfStock'!AM39+'T_TTAFStock'!AM39,AL35+'Grid_Incoming'!AM35-'Grid_Requirement'!AM35))</f>
        <v/>
      </c>
      <c r="AN35">
        <f>IF(COUNTIFS(T_StockCount[Part Name],$A35,T_StockCount[WeekIndex],39)&gt;0,SUMIFS(T_StockCount[CountedQty],T_StockCount[Part Name],$A35,T_StockCount[WeekIndex],39),IF((('T_SelfStock'!AN39&lt;&gt;""))*(('T_TTAFStock'!AN39&lt;&gt;""))&gt;0,'T_SelfStock'!AN39+'T_TTAFStock'!AN39,AM35+'Grid_Incoming'!AN35-'Grid_Requirement'!AN35))</f>
        <v/>
      </c>
      <c r="AO35">
        <f>IF(COUNTIFS(T_StockCount[Part Name],$A35,T_StockCount[WeekIndex],40)&gt;0,SUMIFS(T_StockCount[CountedQty],T_StockCount[Part Name],$A35,T_StockCount[WeekIndex],40),IF((('T_SelfStock'!AO39&lt;&gt;""))*(('T_TTAFStock'!AO39&lt;&gt;""))&gt;0,'T_SelfStock'!AO39+'T_TTAFStock'!AO39,AN35+'Grid_Incoming'!AO35-'Grid_Requirement'!AO35))</f>
        <v/>
      </c>
      <c r="AP35">
        <f>IF(COUNTIFS(T_StockCount[Part Name],$A35,T_StockCount[WeekIndex],41)&gt;0,SUMIFS(T_StockCount[CountedQty],T_StockCount[Part Name],$A35,T_StockCount[WeekIndex],41),IF((('T_SelfStock'!AP39&lt;&gt;""))*(('T_TTAFStock'!AP39&lt;&gt;""))&gt;0,'T_SelfStock'!AP39+'T_TTAFStock'!AP39,AO35+'Grid_Incoming'!AP35-'Grid_Requirement'!AP35))</f>
        <v/>
      </c>
      <c r="AQ35">
        <f>IF(COUNTIFS(T_StockCount[Part Name],$A35,T_StockCount[WeekIndex],42)&gt;0,SUMIFS(T_StockCount[CountedQty],T_StockCount[Part Name],$A35,T_StockCount[WeekIndex],42),IF((('T_SelfStock'!AQ39&lt;&gt;""))*(('T_TTAFStock'!AQ39&lt;&gt;""))&gt;0,'T_SelfStock'!AQ39+'T_TTAFStock'!AQ39,AP35+'Grid_Incoming'!AQ35-'Grid_Requirement'!AQ35))</f>
        <v/>
      </c>
      <c r="AR35">
        <f>IF(COUNTIFS(T_StockCount[Part Name],$A35,T_StockCount[WeekIndex],43)&gt;0,SUMIFS(T_StockCount[CountedQty],T_StockCount[Part Name],$A35,T_StockCount[WeekIndex],43),IF((('T_SelfStock'!AR39&lt;&gt;""))*(('T_TTAFStock'!AR39&lt;&gt;""))&gt;0,'T_SelfStock'!AR39+'T_TTAFStock'!AR39,AQ35+'Grid_Incoming'!AR35-'Grid_Requirement'!AR35))</f>
        <v/>
      </c>
      <c r="AS35">
        <f>IF(COUNTIFS(T_StockCount[Part Name],$A35,T_StockCount[WeekIndex],44)&gt;0,SUMIFS(T_StockCount[CountedQty],T_StockCount[Part Name],$A35,T_StockCount[WeekIndex],44),IF((('T_SelfStock'!AS39&lt;&gt;""))*(('T_TTAFStock'!AS39&lt;&gt;""))&gt;0,'T_SelfStock'!AS39+'T_TTAFStock'!AS39,AR35+'Grid_Incoming'!AS35-'Grid_Requirement'!AS35))</f>
        <v/>
      </c>
      <c r="AT35">
        <f>IF(COUNTIFS(T_StockCount[Part Name],$A35,T_StockCount[WeekIndex],45)&gt;0,SUMIFS(T_StockCount[CountedQty],T_StockCount[Part Name],$A35,T_StockCount[WeekIndex],45),IF((('T_SelfStock'!AT39&lt;&gt;""))*(('T_TTAFStock'!AT39&lt;&gt;""))&gt;0,'T_SelfStock'!AT39+'T_TTAFStock'!AT39,AS35+'Grid_Incoming'!AT35-'Grid_Requirement'!AT35))</f>
        <v/>
      </c>
      <c r="AU35">
        <f>IF(COUNTIFS(T_StockCount[Part Name],$A35,T_StockCount[WeekIndex],46)&gt;0,SUMIFS(T_StockCount[CountedQty],T_StockCount[Part Name],$A35,T_StockCount[WeekIndex],46),IF((('T_SelfStock'!AU39&lt;&gt;""))*(('T_TTAFStock'!AU39&lt;&gt;""))&gt;0,'T_SelfStock'!AU39+'T_TTAFStock'!AU39,AT35+'Grid_Incoming'!AU35-'Grid_Requirement'!AU35))</f>
        <v/>
      </c>
      <c r="AV35">
        <f>IF(COUNTIFS(T_StockCount[Part Name],$A35,T_StockCount[WeekIndex],47)&gt;0,SUMIFS(T_StockCount[CountedQty],T_StockCount[Part Name],$A35,T_StockCount[WeekIndex],47),IF((('T_SelfStock'!AV39&lt;&gt;""))*(('T_TTAFStock'!AV39&lt;&gt;""))&gt;0,'T_SelfStock'!AV39+'T_TTAFStock'!AV39,AU35+'Grid_Incoming'!AV35-'Grid_Requirement'!AV35))</f>
        <v/>
      </c>
      <c r="AW35">
        <f>IF(COUNTIFS(T_StockCount[Part Name],$A35,T_StockCount[WeekIndex],48)&gt;0,SUMIFS(T_StockCount[CountedQty],T_StockCount[Part Name],$A35,T_StockCount[WeekIndex],48),IF((('T_SelfStock'!AW39&lt;&gt;""))*(('T_TTAFStock'!AW39&lt;&gt;""))&gt;0,'T_SelfStock'!AW39+'T_TTAFStock'!AW39,AV35+'Grid_Incoming'!AW35-'Grid_Requirement'!AW35))</f>
        <v/>
      </c>
      <c r="AX35">
        <f>IF(COUNTIFS(T_StockCount[Part Name],$A35,T_StockCount[WeekIndex],49)&gt;0,SUMIFS(T_StockCount[CountedQty],T_StockCount[Part Name],$A35,T_StockCount[WeekIndex],49),IF((('T_SelfStock'!AX39&lt;&gt;""))*(('T_TTAFStock'!AX39&lt;&gt;""))&gt;0,'T_SelfStock'!AX39+'T_TTAFStock'!AX39,AW35+'Grid_Incoming'!AX35-'Grid_Requirement'!AX35))</f>
        <v/>
      </c>
      <c r="AY35">
        <f>IF(COUNTIFS(T_StockCount[Part Name],$A35,T_StockCount[WeekIndex],50)&gt;0,SUMIFS(T_StockCount[CountedQty],T_StockCount[Part Name],$A35,T_StockCount[WeekIndex],50),IF((('T_SelfStock'!AY39&lt;&gt;""))*(('T_TTAFStock'!AY39&lt;&gt;""))&gt;0,'T_SelfStock'!AY39+'T_TTAFStock'!AY39,AX35+'Grid_Incoming'!AY35-'Grid_Requirement'!AY35))</f>
        <v/>
      </c>
      <c r="AZ35">
        <f>IF(COUNTIFS(T_StockCount[Part Name],$A35,T_StockCount[WeekIndex],51)&gt;0,SUMIFS(T_StockCount[CountedQty],T_StockCount[Part Name],$A35,T_StockCount[WeekIndex],51),IF((('T_SelfStock'!AZ39&lt;&gt;""))*(('T_TTAFStock'!AZ39&lt;&gt;""))&gt;0,'T_SelfStock'!AZ39+'T_TTAFStock'!AZ39,AY35+'Grid_Incoming'!AZ35-'Grid_Requirement'!AZ35))</f>
        <v/>
      </c>
      <c r="BA35">
        <f>IF(COUNTIFS(T_StockCount[Part Name],$A35,T_StockCount[WeekIndex],52)&gt;0,SUMIFS(T_StockCount[CountedQty],T_StockCount[Part Name],$A35,T_StockCount[WeekIndex],52),IF((('T_SelfStock'!BA39&lt;&gt;""))*(('T_TTAFStock'!BA39&lt;&gt;""))&gt;0,'T_SelfStock'!BA39+'T_TTAFStock'!BA39,AZ35+'Grid_Incoming'!BA35-'Grid_Requirement'!BA35))</f>
        <v/>
      </c>
      <c r="BB35">
        <f>IF(COUNTIFS(T_StockCount[Part Name],$A35,T_StockCount[WeekIndex],53)&gt;0,SUMIFS(T_StockCount[CountedQty],T_StockCount[Part Name],$A35,T_StockCount[WeekIndex],53),IF((('T_SelfStock'!BB39&lt;&gt;""))*(('T_TTAFStock'!BB39&lt;&gt;""))&gt;0,'T_SelfStock'!BB39+'T_TTAFStock'!BB39,BA35+'Grid_Incoming'!BB35-'Grid_Requirement'!BB35))</f>
        <v/>
      </c>
      <c r="BC35">
        <f>IF(COUNTIFS(T_StockCount[Part Name],$A35,T_StockCount[WeekIndex],54)&gt;0,SUMIFS(T_StockCount[CountedQty],T_StockCount[Part Name],$A35,T_StockCount[WeekIndex],54),IF((('T_SelfStock'!BC39&lt;&gt;""))*(('T_TTAFStock'!BC39&lt;&gt;""))&gt;0,'T_SelfStock'!BC39+'T_TTAFStock'!BC39,BB35+'Grid_Incoming'!BC35-'Grid_Requirement'!BC35))</f>
        <v/>
      </c>
      <c r="BD35">
        <f>IF(COUNTIFS(T_StockCount[Part Name],$A35,T_StockCount[WeekIndex],55)&gt;0,SUMIFS(T_StockCount[CountedQty],T_StockCount[Part Name],$A35,T_StockCount[WeekIndex],55),IF((('T_SelfStock'!BD39&lt;&gt;""))*(('T_TTAFStock'!BD39&lt;&gt;""))&gt;0,'T_SelfStock'!BD39+'T_TTAFStock'!BD39,BC35+'Grid_Incoming'!BD35-'Grid_Requirement'!BD35))</f>
        <v/>
      </c>
      <c r="BE35">
        <f>IF(COUNTIFS(T_StockCount[Part Name],$A35,T_StockCount[WeekIndex],56)&gt;0,SUMIFS(T_StockCount[CountedQty],T_StockCount[Part Name],$A35,T_StockCount[WeekIndex],56),IF((('T_SelfStock'!BE39&lt;&gt;""))*(('T_TTAFStock'!BE39&lt;&gt;""))&gt;0,'T_SelfStock'!BE39+'T_TTAFStock'!BE39,BD35+'Grid_Incoming'!BE35-'Grid_Requirement'!BE35))</f>
        <v/>
      </c>
      <c r="BF35">
        <f>IF(COUNTIFS(T_StockCount[Part Name],$A35,T_StockCount[WeekIndex],57)&gt;0,SUMIFS(T_StockCount[CountedQty],T_StockCount[Part Name],$A35,T_StockCount[WeekIndex],57),IF((('T_SelfStock'!BF39&lt;&gt;""))*(('T_TTAFStock'!BF39&lt;&gt;""))&gt;0,'T_SelfStock'!BF39+'T_TTAFStock'!BF39,BE35+'Grid_Incoming'!BF35-'Grid_Requirement'!BF35))</f>
        <v/>
      </c>
      <c r="BG35">
        <f>IF(COUNTIFS(T_StockCount[Part Name],$A35,T_StockCount[WeekIndex],58)&gt;0,SUMIFS(T_StockCount[CountedQty],T_StockCount[Part Name],$A35,T_StockCount[WeekIndex],58),IF((('T_SelfStock'!BG39&lt;&gt;""))*(('T_TTAFStock'!BG39&lt;&gt;""))&gt;0,'T_SelfStock'!BG39+'T_TTAFStock'!BG39,BF35+'Grid_Incoming'!BG35-'Grid_Requirement'!BG35))</f>
        <v/>
      </c>
      <c r="BH35">
        <f>IF(COUNTIFS(T_StockCount[Part Name],$A35,T_StockCount[WeekIndex],59)&gt;0,SUMIFS(T_StockCount[CountedQty],T_StockCount[Part Name],$A35,T_StockCount[WeekIndex],59),IF((('T_SelfStock'!BH39&lt;&gt;""))*(('T_TTAFStock'!BH39&lt;&gt;""))&gt;0,'T_SelfStock'!BH39+'T_TTAFStock'!BH39,BG35+'Grid_Incoming'!BH35-'Grid_Requirement'!BH35))</f>
        <v/>
      </c>
      <c r="BI35">
        <f>IF(COUNTIFS(T_StockCount[Part Name],$A35,T_StockCount[WeekIndex],60)&gt;0,SUMIFS(T_StockCount[CountedQty],T_StockCount[Part Name],$A35,T_StockCount[WeekIndex],60),IF((('T_SelfStock'!BI39&lt;&gt;""))*(('T_TTAFStock'!BI39&lt;&gt;""))&gt;0,'T_SelfStock'!BI39+'T_TTAFStock'!BI39,BH35+'Grid_Incoming'!BI35-'Grid_Requirement'!BI35))</f>
        <v/>
      </c>
      <c r="BJ35">
        <f>IF(COUNTIFS(T_StockCount[Part Name],$A35,T_StockCount[WeekIndex],61)&gt;0,SUMIFS(T_StockCount[CountedQty],T_StockCount[Part Name],$A35,T_StockCount[WeekIndex],61),IF((('T_SelfStock'!BJ39&lt;&gt;""))*(('T_TTAFStock'!BJ39&lt;&gt;""))&gt;0,'T_SelfStock'!BJ39+'T_TTAFStock'!BJ39,BI35+'Grid_Incoming'!BJ35-'Grid_Requirement'!BJ35))</f>
        <v/>
      </c>
      <c r="BK35">
        <f>IF(COUNTIFS(T_StockCount[Part Name],$A35,T_StockCount[WeekIndex],62)&gt;0,SUMIFS(T_StockCount[CountedQty],T_StockCount[Part Name],$A35,T_StockCount[WeekIndex],62),IF((('T_SelfStock'!BK39&lt;&gt;""))*(('T_TTAFStock'!BK39&lt;&gt;""))&gt;0,'T_SelfStock'!BK39+'T_TTAFStock'!BK39,BJ35+'Grid_Incoming'!BK35-'Grid_Requirement'!BK35))</f>
        <v/>
      </c>
      <c r="BL35">
        <f>IF(COUNTIFS(T_StockCount[Part Name],$A35,T_StockCount[WeekIndex],63)&gt;0,SUMIFS(T_StockCount[CountedQty],T_StockCount[Part Name],$A35,T_StockCount[WeekIndex],63),IF((('T_SelfStock'!BL39&lt;&gt;""))*(('T_TTAFStock'!BL39&lt;&gt;""))&gt;0,'T_SelfStock'!BL39+'T_TTAFStock'!BL39,BK35+'Grid_Incoming'!BL35-'Grid_Requirement'!BL35))</f>
        <v/>
      </c>
      <c r="BM35">
        <f>IF(COUNTIFS(T_StockCount[Part Name],$A35,T_StockCount[WeekIndex],64)&gt;0,SUMIFS(T_StockCount[CountedQty],T_StockCount[Part Name],$A35,T_StockCount[WeekIndex],64),IF((('T_SelfStock'!BM39&lt;&gt;""))*(('T_TTAFStock'!BM39&lt;&gt;""))&gt;0,'T_SelfStock'!BM39+'T_TTAFStock'!BM39,BL35+'Grid_Incoming'!BM35-'Grid_Requirement'!BM35))</f>
        <v/>
      </c>
      <c r="BN35">
        <f>IF(COUNTIFS(T_StockCount[Part Name],$A35,T_StockCount[WeekIndex],65)&gt;0,SUMIFS(T_StockCount[CountedQty],T_StockCount[Part Name],$A35,T_StockCount[WeekIndex],65),IF((('T_SelfStock'!BN39&lt;&gt;""))*(('T_TTAFStock'!BN39&lt;&gt;""))&gt;0,'T_SelfStock'!BN39+'T_TTAFStock'!BN39,BM35+'Grid_Incoming'!BN35-'Grid_Requirement'!BN35))</f>
        <v/>
      </c>
      <c r="BO35">
        <f>IF(COUNTIFS(T_StockCount[Part Name],$A35,T_StockCount[WeekIndex],66)&gt;0,SUMIFS(T_StockCount[CountedQty],T_StockCount[Part Name],$A35,T_StockCount[WeekIndex],66),IF((('T_SelfStock'!BO39&lt;&gt;""))*(('T_TTAFStock'!BO39&lt;&gt;""))&gt;0,'T_SelfStock'!BO39+'T_TTAFStock'!BO39,BN35+'Grid_Incoming'!BO35-'Grid_Requirement'!BO35))</f>
        <v/>
      </c>
      <c r="BP35">
        <f>IF(COUNTIFS(T_StockCount[Part Name],$A35,T_StockCount[WeekIndex],67)&gt;0,SUMIFS(T_StockCount[CountedQty],T_StockCount[Part Name],$A35,T_StockCount[WeekIndex],67),IF((('T_SelfStock'!BP39&lt;&gt;""))*(('T_TTAFStock'!BP39&lt;&gt;""))&gt;0,'T_SelfStock'!BP39+'T_TTAFStock'!BP39,BO35+'Grid_Incoming'!BP35-'Grid_Requirement'!BP35))</f>
        <v/>
      </c>
      <c r="BQ35">
        <f>IF(COUNTIFS(T_StockCount[Part Name],$A35,T_StockCount[WeekIndex],68)&gt;0,SUMIFS(T_StockCount[CountedQty],T_StockCount[Part Name],$A35,T_StockCount[WeekIndex],68),IF((('T_SelfStock'!BQ39&lt;&gt;""))*(('T_TTAFStock'!BQ39&lt;&gt;""))&gt;0,'T_SelfStock'!BQ39+'T_TTAFStock'!BQ39,BP35+'Grid_Incoming'!BQ35-'Grid_Requirement'!BQ35))</f>
        <v/>
      </c>
      <c r="BR35">
        <f>IF(COUNTIFS(T_StockCount[Part Name],$A35,T_StockCount[WeekIndex],69)&gt;0,SUMIFS(T_StockCount[CountedQty],T_StockCount[Part Name],$A35,T_StockCount[WeekIndex],69),IF((('T_SelfStock'!BR39&lt;&gt;""))*(('T_TTAFStock'!BR39&lt;&gt;""))&gt;0,'T_SelfStock'!BR39+'T_TTAFStock'!BR39,BQ35+'Grid_Incoming'!BR35-'Grid_Requirement'!BR35))</f>
        <v/>
      </c>
      <c r="BS35">
        <f>IF(COUNTIFS(T_StockCount[Part Name],$A35,T_StockCount[WeekIndex],70)&gt;0,SUMIFS(T_StockCount[CountedQty],T_StockCount[Part Name],$A35,T_StockCount[WeekIndex],70),IF((('T_SelfStock'!BS39&lt;&gt;""))*(('T_TTAFStock'!BS39&lt;&gt;""))&gt;0,'T_SelfStock'!BS39+'T_TTAFStock'!BS39,BR35+'Grid_Incoming'!BS35-'Grid_Requirement'!BS35))</f>
        <v/>
      </c>
      <c r="BT35">
        <f>IF(COUNTIFS(T_StockCount[Part Name],$A35,T_StockCount[WeekIndex],71)&gt;0,SUMIFS(T_StockCount[CountedQty],T_StockCount[Part Name],$A35,T_StockCount[WeekIndex],71),IF((('T_SelfStock'!BT39&lt;&gt;""))*(('T_TTAFStock'!BT39&lt;&gt;""))&gt;0,'T_SelfStock'!BT39+'T_TTAFStock'!BT39,BS35+'Grid_Incoming'!BT35-'Grid_Requirement'!BT35))</f>
        <v/>
      </c>
      <c r="BU35">
        <f>IF(COUNTIFS(T_StockCount[Part Name],$A35,T_StockCount[WeekIndex],72)&gt;0,SUMIFS(T_StockCount[CountedQty],T_StockCount[Part Name],$A35,T_StockCount[WeekIndex],72),IF((('T_SelfStock'!BU39&lt;&gt;""))*(('T_TTAFStock'!BU39&lt;&gt;""))&gt;0,'T_SelfStock'!BU39+'T_TTAFStock'!BU39,BT35+'Grid_Incoming'!BU35-'Grid_Requirement'!BU35))</f>
        <v/>
      </c>
      <c r="BV35">
        <f>IF(COUNTIFS(T_StockCount[Part Name],$A35,T_StockCount[WeekIndex],73)&gt;0,SUMIFS(T_StockCount[CountedQty],T_StockCount[Part Name],$A35,T_StockCount[WeekIndex],73),IF((('T_SelfStock'!BV39&lt;&gt;""))*(('T_TTAFStock'!BV39&lt;&gt;""))&gt;0,'T_SelfStock'!BV39+'T_TTAFStock'!BV39,BU35+'Grid_Incoming'!BV35-'Grid_Requirement'!BV35))</f>
        <v/>
      </c>
      <c r="BW35">
        <f>IF(COUNTIFS(T_StockCount[Part Name],$A35,T_StockCount[WeekIndex],74)&gt;0,SUMIFS(T_StockCount[CountedQty],T_StockCount[Part Name],$A35,T_StockCount[WeekIndex],74),IF((('T_SelfStock'!BW39&lt;&gt;""))*(('T_TTAFStock'!BW39&lt;&gt;""))&gt;0,'T_SelfStock'!BW39+'T_TTAFStock'!BW39,BV35+'Grid_Incoming'!BW35-'Grid_Requirement'!BW35))</f>
        <v/>
      </c>
      <c r="BX35">
        <f>IF(COUNTIFS(T_StockCount[Part Name],$A35,T_StockCount[WeekIndex],75)&gt;0,SUMIFS(T_StockCount[CountedQty],T_StockCount[Part Name],$A35,T_StockCount[WeekIndex],75),IF((('T_SelfStock'!BX39&lt;&gt;""))*(('T_TTAFStock'!BX39&lt;&gt;""))&gt;0,'T_SelfStock'!BX39+'T_TTAFStock'!BX39,BW35+'Grid_Incoming'!BX35-'Grid_Requirement'!BX35))</f>
        <v/>
      </c>
      <c r="BY35">
        <f>IF(COUNTIFS(T_StockCount[Part Name],$A35,T_StockCount[WeekIndex],76)&gt;0,SUMIFS(T_StockCount[CountedQty],T_StockCount[Part Name],$A35,T_StockCount[WeekIndex],76),IF((('T_SelfStock'!BY39&lt;&gt;""))*(('T_TTAFStock'!BY39&lt;&gt;""))&gt;0,'T_SelfStock'!BY39+'T_TTAFStock'!BY39,BX35+'Grid_Incoming'!BY35-'Grid_Requirement'!BY35))</f>
        <v/>
      </c>
      <c r="BZ35">
        <f>IF(COUNTIFS(T_StockCount[Part Name],$A35,T_StockCount[WeekIndex],77)&gt;0,SUMIFS(T_StockCount[CountedQty],T_StockCount[Part Name],$A35,T_StockCount[WeekIndex],77),IF((('T_SelfStock'!BZ39&lt;&gt;""))*(('T_TTAFStock'!BZ39&lt;&gt;""))&gt;0,'T_SelfStock'!BZ39+'T_TTAFStock'!BZ39,BY35+'Grid_Incoming'!BZ35-'Grid_Requirement'!BZ35))</f>
        <v/>
      </c>
      <c r="CA35">
        <f>IF(COUNTIFS(T_StockCount[Part Name],$A35,T_StockCount[WeekIndex],78)&gt;0,SUMIFS(T_StockCount[CountedQty],T_StockCount[Part Name],$A35,T_StockCount[WeekIndex],78),IF((('T_SelfStock'!CA39&lt;&gt;""))*(('T_TTAFStock'!CA39&lt;&gt;""))&gt;0,'T_SelfStock'!CA39+'T_TTAFStock'!CA39,BZ35+'Grid_Incoming'!CA35-'Grid_Requirement'!CA35))</f>
        <v/>
      </c>
      <c r="CB35">
        <f>IF(COUNTIFS(T_StockCount[Part Name],$A35,T_StockCount[WeekIndex],79)&gt;0,SUMIFS(T_StockCount[CountedQty],T_StockCount[Part Name],$A35,T_StockCount[WeekIndex],79),IF((('T_SelfStock'!CB39&lt;&gt;""))*(('T_TTAFStock'!CB39&lt;&gt;""))&gt;0,'T_SelfStock'!CB39+'T_TTAFStock'!CB39,CA35+'Grid_Incoming'!CB35-'Grid_Requirement'!CB35))</f>
        <v/>
      </c>
      <c r="CC35">
        <f>IF(COUNTIFS(T_StockCount[Part Name],$A35,T_StockCount[WeekIndex],80)&gt;0,SUMIFS(T_StockCount[CountedQty],T_StockCount[Part Name],$A35,T_StockCount[WeekIndex],80),IF((('T_SelfStock'!CC39&lt;&gt;""))*(('T_TTAFStock'!CC39&lt;&gt;""))&gt;0,'T_SelfStock'!CC39+'T_TTAFStock'!CC39,CB35+'Grid_Incoming'!CC35-'Grid_Requirement'!CC35))</f>
        <v/>
      </c>
      <c r="CD35">
        <f>IF(COUNTIFS(T_StockCount[Part Name],$A35,T_StockCount[WeekIndex],81)&gt;0,SUMIFS(T_StockCount[CountedQty],T_StockCount[Part Name],$A35,T_StockCount[WeekIndex],81),IF((('T_SelfStock'!CD39&lt;&gt;""))*(('T_TTAFStock'!CD39&lt;&gt;""))&gt;0,'T_SelfStock'!CD39+'T_TTAFStock'!CD39,CC35+'Grid_Incoming'!CD35-'Grid_Requirement'!CD35))</f>
        <v/>
      </c>
      <c r="CE35">
        <f>IF(COUNTIFS(T_StockCount[Part Name],$A35,T_StockCount[WeekIndex],82)&gt;0,SUMIFS(T_StockCount[CountedQty],T_StockCount[Part Name],$A35,T_StockCount[WeekIndex],82),IF((('T_SelfStock'!CE39&lt;&gt;""))*(('T_TTAFStock'!CE39&lt;&gt;""))&gt;0,'T_SelfStock'!CE39+'T_TTAFStock'!CE39,CD35+'Grid_Incoming'!CE35-'Grid_Requirement'!CE35))</f>
        <v/>
      </c>
      <c r="CF35">
        <f>IF(COUNTIFS(T_StockCount[Part Name],$A35,T_StockCount[WeekIndex],83)&gt;0,SUMIFS(T_StockCount[CountedQty],T_StockCount[Part Name],$A35,T_StockCount[WeekIndex],83),IF((('T_SelfStock'!CF39&lt;&gt;""))*(('T_TTAFStock'!CF39&lt;&gt;""))&gt;0,'T_SelfStock'!CF39+'T_TTAFStock'!CF39,CE35+'Grid_Incoming'!CF35-'Grid_Requirement'!CF35))</f>
        <v/>
      </c>
      <c r="CG35">
        <f>IF(COUNTIFS(T_StockCount[Part Name],$A35,T_StockCount[WeekIndex],84)&gt;0,SUMIFS(T_StockCount[CountedQty],T_StockCount[Part Name],$A35,T_StockCount[WeekIndex],84),IF((('T_SelfStock'!CG39&lt;&gt;""))*(('T_TTAFStock'!CG39&lt;&gt;""))&gt;0,'T_SelfStock'!CG39+'T_TTAFStock'!CG39,CF35+'Grid_Incoming'!CG35-'Grid_Requirement'!CG35))</f>
        <v/>
      </c>
      <c r="CH35">
        <f>IF(COUNTIFS(T_StockCount[Part Name],$A35,T_StockCount[WeekIndex],85)&gt;0,SUMIFS(T_StockCount[CountedQty],T_StockCount[Part Name],$A35,T_StockCount[WeekIndex],85),IF((('T_SelfStock'!CH39&lt;&gt;""))*(('T_TTAFStock'!CH39&lt;&gt;""))&gt;0,'T_SelfStock'!CH39+'T_TTAFStock'!CH39,CG35+'Grid_Incoming'!CH35-'Grid_Requirement'!CH35))</f>
        <v/>
      </c>
      <c r="CI35">
        <f>IF(COUNTIFS(T_StockCount[Part Name],$A35,T_StockCount[WeekIndex],86)&gt;0,SUMIFS(T_StockCount[CountedQty],T_StockCount[Part Name],$A35,T_StockCount[WeekIndex],86),IF((('T_SelfStock'!CI39&lt;&gt;""))*(('T_TTAFStock'!CI39&lt;&gt;""))&gt;0,'T_SelfStock'!CI39+'T_TTAFStock'!CI39,CH35+'Grid_Incoming'!CI35-'Grid_Requirement'!CI35))</f>
        <v/>
      </c>
      <c r="CJ35">
        <f>IF(COUNTIFS(T_StockCount[Part Name],$A35,T_StockCount[WeekIndex],87)&gt;0,SUMIFS(T_StockCount[CountedQty],T_StockCount[Part Name],$A35,T_StockCount[WeekIndex],87),IF((('T_SelfStock'!CJ39&lt;&gt;""))*(('T_TTAFStock'!CJ39&lt;&gt;""))&gt;0,'T_SelfStock'!CJ39+'T_TTAFStock'!CJ39,CI35+'Grid_Incoming'!CJ35-'Grid_Requirement'!CJ35))</f>
        <v/>
      </c>
      <c r="CK35">
        <f>IF(COUNTIFS(T_StockCount[Part Name],$A35,T_StockCount[WeekIndex],88)&gt;0,SUMIFS(T_StockCount[CountedQty],T_StockCount[Part Name],$A35,T_StockCount[WeekIndex],88),IF((('T_SelfStock'!CK39&lt;&gt;""))*(('T_TTAFStock'!CK39&lt;&gt;""))&gt;0,'T_SelfStock'!CK39+'T_TTAFStock'!CK39,CJ35+'Grid_Incoming'!CK35-'Grid_Requirement'!CK35))</f>
        <v/>
      </c>
      <c r="CL35">
        <f>IF(COUNTIFS(T_StockCount[Part Name],$A35,T_StockCount[WeekIndex],89)&gt;0,SUMIFS(T_StockCount[CountedQty],T_StockCount[Part Name],$A35,T_StockCount[WeekIndex],89),IF((('T_SelfStock'!CL39&lt;&gt;""))*(('T_TTAFStock'!CL39&lt;&gt;""))&gt;0,'T_SelfStock'!CL39+'T_TTAFStock'!CL39,CK35+'Grid_Incoming'!CL35-'Grid_Requirement'!CL35))</f>
        <v/>
      </c>
      <c r="CM35">
        <f>IF(COUNTIFS(T_StockCount[Part Name],$A35,T_StockCount[WeekIndex],90)&gt;0,SUMIFS(T_StockCount[CountedQty],T_StockCount[Part Name],$A35,T_StockCount[WeekIndex],90),IF((('T_SelfStock'!CM39&lt;&gt;""))*(('T_TTAFStock'!CM39&lt;&gt;""))&gt;0,'T_SelfStock'!CM39+'T_TTAFStock'!CM39,CL35+'Grid_Incoming'!CM35-'Grid_Requirement'!CM35))</f>
        <v/>
      </c>
      <c r="CN35">
        <f>IF(COUNTIFS(T_StockCount[Part Name],$A35,T_StockCount[WeekIndex],91)&gt;0,SUMIFS(T_StockCount[CountedQty],T_StockCount[Part Name],$A35,T_StockCount[WeekIndex],91),IF((('T_SelfStock'!CN39&lt;&gt;""))*(('T_TTAFStock'!CN39&lt;&gt;""))&gt;0,'T_SelfStock'!CN39+'T_TTAFStock'!CN39,CM35+'Grid_Incoming'!CN35-'Grid_Requirement'!CN35))</f>
        <v/>
      </c>
      <c r="CO35">
        <f>IF(COUNTIFS(T_StockCount[Part Name],$A35,T_StockCount[WeekIndex],92)&gt;0,SUMIFS(T_StockCount[CountedQty],T_StockCount[Part Name],$A35,T_StockCount[WeekIndex],92),IF((('T_SelfStock'!CO39&lt;&gt;""))*(('T_TTAFStock'!CO39&lt;&gt;""))&gt;0,'T_SelfStock'!CO39+'T_TTAFStock'!CO39,CN35+'Grid_Incoming'!CO35-'Grid_Requirement'!CO35))</f>
        <v/>
      </c>
      <c r="CP35">
        <f>IF(COUNTIFS(T_StockCount[Part Name],$A35,T_StockCount[WeekIndex],93)&gt;0,SUMIFS(T_StockCount[CountedQty],T_StockCount[Part Name],$A35,T_StockCount[WeekIndex],93),IF((('T_SelfStock'!CP39&lt;&gt;""))*(('T_TTAFStock'!CP39&lt;&gt;""))&gt;0,'T_SelfStock'!CP39+'T_TTAFStock'!CP39,CO35+'Grid_Incoming'!CP35-'Grid_Requirement'!CP35))</f>
        <v/>
      </c>
      <c r="CQ35">
        <f>IF(COUNTIFS(T_StockCount[Part Name],$A35,T_StockCount[WeekIndex],94)&gt;0,SUMIFS(T_StockCount[CountedQty],T_StockCount[Part Name],$A35,T_StockCount[WeekIndex],94),IF((('T_SelfStock'!CQ39&lt;&gt;""))*(('T_TTAFStock'!CQ39&lt;&gt;""))&gt;0,'T_SelfStock'!CQ39+'T_TTAFStock'!CQ39,CP35+'Grid_Incoming'!CQ35-'Grid_Requirement'!CQ35))</f>
        <v/>
      </c>
      <c r="CR35">
        <f>IF(COUNTIFS(T_StockCount[Part Name],$A35,T_StockCount[WeekIndex],95)&gt;0,SUMIFS(T_StockCount[CountedQty],T_StockCount[Part Name],$A35,T_StockCount[WeekIndex],95),IF((('T_SelfStock'!CR39&lt;&gt;""))*(('T_TTAFStock'!CR39&lt;&gt;""))&gt;0,'T_SelfStock'!CR39+'T_TTAFStock'!CR39,CQ35+'Grid_Incoming'!CR35-'Grid_Requirement'!CR35))</f>
        <v/>
      </c>
      <c r="CS35">
        <f>IF(COUNTIFS(T_StockCount[Part Name],$A35,T_StockCount[WeekIndex],96)&gt;0,SUMIFS(T_StockCount[CountedQty],T_StockCount[Part Name],$A35,T_StockCount[WeekIndex],96),IF((('T_SelfStock'!CS39&lt;&gt;""))*(('T_TTAFStock'!CS39&lt;&gt;""))&gt;0,'T_SelfStock'!CS39+'T_TTAFStock'!CS39,CR35+'Grid_Incoming'!CS35-'Grid_Requirement'!CS35))</f>
        <v/>
      </c>
      <c r="CT35">
        <f>IF(COUNTIFS(T_StockCount[Part Name],$A35,T_StockCount[WeekIndex],97)&gt;0,SUMIFS(T_StockCount[CountedQty],T_StockCount[Part Name],$A35,T_StockCount[WeekIndex],97),IF((('T_SelfStock'!CT39&lt;&gt;""))*(('T_TTAFStock'!CT39&lt;&gt;""))&gt;0,'T_SelfStock'!CT39+'T_TTAFStock'!CT39,CS35+'Grid_Incoming'!CT35-'Grid_Requirement'!CT35))</f>
        <v/>
      </c>
      <c r="CU35">
        <f>IF(COUNTIFS(T_StockCount[Part Name],$A35,T_StockCount[WeekIndex],98)&gt;0,SUMIFS(T_StockCount[CountedQty],T_StockCount[Part Name],$A35,T_StockCount[WeekIndex],98),IF((('T_SelfStock'!CU39&lt;&gt;""))*(('T_TTAFStock'!CU39&lt;&gt;""))&gt;0,'T_SelfStock'!CU39+'T_TTAFStock'!CU39,CT35+'Grid_Incoming'!CU35-'Grid_Requirement'!CU35))</f>
        <v/>
      </c>
      <c r="CV35">
        <f>IF(COUNTIFS(T_StockCount[Part Name],$A35,T_StockCount[WeekIndex],99)&gt;0,SUMIFS(T_StockCount[CountedQty],T_StockCount[Part Name],$A35,T_StockCount[WeekIndex],99),IF((('T_SelfStock'!CV39&lt;&gt;""))*(('T_TTAFStock'!CV39&lt;&gt;""))&gt;0,'T_SelfStock'!CV39+'T_TTAFStock'!CV39,CU35+'Grid_Incoming'!CV35-'Grid_Requirement'!CV35))</f>
        <v/>
      </c>
      <c r="CW35">
        <f>IF(COUNTIFS(T_StockCount[Part Name],$A35,T_StockCount[WeekIndex],100)&gt;0,SUMIFS(T_StockCount[CountedQty],T_StockCount[Part Name],$A35,T_StockCount[WeekIndex],100),IF((('T_SelfStock'!CW39&lt;&gt;""))*(('T_TTAFStock'!CW39&lt;&gt;""))&gt;0,'T_SelfStock'!CW39+'T_TTAFStock'!CW39,CV35+'Grid_Incoming'!CW35-'Grid_Requirement'!CW35))</f>
        <v/>
      </c>
      <c r="CX35">
        <f>IF(COUNTIFS(T_StockCount[Part Name],$A35,T_StockCount[WeekIndex],101)&gt;0,SUMIFS(T_StockCount[CountedQty],T_StockCount[Part Name],$A35,T_StockCount[WeekIndex],101),IF((('T_SelfStock'!CX39&lt;&gt;""))*(('T_TTAFStock'!CX39&lt;&gt;""))&gt;0,'T_SelfStock'!CX39+'T_TTAFStock'!CX39,CW35+'Grid_Incoming'!CX35-'Grid_Requirement'!CX35))</f>
        <v/>
      </c>
      <c r="CY35">
        <f>IF(COUNTIFS(T_StockCount[Part Name],$A35,T_StockCount[WeekIndex],102)&gt;0,SUMIFS(T_StockCount[CountedQty],T_StockCount[Part Name],$A35,T_StockCount[WeekIndex],102),IF((('T_SelfStock'!CY39&lt;&gt;""))*(('T_TTAFStock'!CY39&lt;&gt;""))&gt;0,'T_SelfStock'!CY39+'T_TTAFStock'!CY39,CX35+'Grid_Incoming'!CY35-'Grid_Requirement'!CY35))</f>
        <v/>
      </c>
      <c r="CZ35">
        <f>IF(COUNTIFS(T_StockCount[Part Name],$A35,T_StockCount[WeekIndex],103)&gt;0,SUMIFS(T_StockCount[CountedQty],T_StockCount[Part Name],$A35,T_StockCount[WeekIndex],103),IF((('T_SelfStock'!CZ39&lt;&gt;""))*(('T_TTAFStock'!CZ39&lt;&gt;""))&gt;0,'T_SelfStock'!CZ39+'T_TTAFStock'!CZ39,CY35+'Grid_Incoming'!CZ35-'Grid_Requirement'!CZ35))</f>
        <v/>
      </c>
      <c r="DA35">
        <f>IF(COUNTIFS(T_StockCount[Part Name],$A35,T_StockCount[WeekIndex],104)&gt;0,SUMIFS(T_StockCount[CountedQty],T_StockCount[Part Name],$A35,T_StockCount[WeekIndex],104),IF((('T_SelfStock'!DA39&lt;&gt;""))*(('T_TTAFStock'!DA39&lt;&gt;""))&gt;0,'T_SelfStock'!DA39+'T_TTAFStock'!DA39,CZ35+'Grid_Incoming'!DA35-'Grid_Requirement'!DA35))</f>
        <v/>
      </c>
    </row>
    <row r="36">
      <c r="A36" t="inlineStr">
        <is>
          <t>CHEM-1770</t>
        </is>
      </c>
      <c r="B36">
        <f>IF(COUNTIFS(T_StockCount[Part Name],$A36,T_StockCount[WeekIndex],1)&gt;0,SUMIFS(T_StockCount[CountedQty],T_StockCount[Part Name],$A36,T_StockCount[WeekIndex],1),IF((('T_SelfStock'!B40&lt;&gt;""))*(('T_TTAFStock'!B40&lt;&gt;""))&gt;0,'T_SelfStock'!B40+'T_TTAFStock'!B40,IFERROR(INDEX(T_OpeningStock[Opening_Qty],MATCH($A36,T_OpeningStock[Part Name],0)),0)+'Grid_Incoming'!B36-'Grid_Requirement'!B36))</f>
        <v/>
      </c>
      <c r="C36">
        <f>IF(COUNTIFS(T_StockCount[Part Name],$A36,T_StockCount[WeekIndex],2)&gt;0,SUMIFS(T_StockCount[CountedQty],T_StockCount[Part Name],$A36,T_StockCount[WeekIndex],2),IF((('T_SelfStock'!C40&lt;&gt;""))*(('T_TTAFStock'!C40&lt;&gt;""))&gt;0,'T_SelfStock'!C40+'T_TTAFStock'!C40,B36+'Grid_Incoming'!C36-'Grid_Requirement'!C36))</f>
        <v/>
      </c>
      <c r="D36">
        <f>IF(COUNTIFS(T_StockCount[Part Name],$A36,T_StockCount[WeekIndex],3)&gt;0,SUMIFS(T_StockCount[CountedQty],T_StockCount[Part Name],$A36,T_StockCount[WeekIndex],3),IF((('T_SelfStock'!D40&lt;&gt;""))*(('T_TTAFStock'!D40&lt;&gt;""))&gt;0,'T_SelfStock'!D40+'T_TTAFStock'!D40,C36+'Grid_Incoming'!D36-'Grid_Requirement'!D36))</f>
        <v/>
      </c>
      <c r="E36">
        <f>IF(COUNTIFS(T_StockCount[Part Name],$A36,T_StockCount[WeekIndex],4)&gt;0,SUMIFS(T_StockCount[CountedQty],T_StockCount[Part Name],$A36,T_StockCount[WeekIndex],4),IF((('T_SelfStock'!E40&lt;&gt;""))*(('T_TTAFStock'!E40&lt;&gt;""))&gt;0,'T_SelfStock'!E40+'T_TTAFStock'!E40,D36+'Grid_Incoming'!E36-'Grid_Requirement'!E36))</f>
        <v/>
      </c>
      <c r="F36">
        <f>IF(COUNTIFS(T_StockCount[Part Name],$A36,T_StockCount[WeekIndex],5)&gt;0,SUMIFS(T_StockCount[CountedQty],T_StockCount[Part Name],$A36,T_StockCount[WeekIndex],5),IF((('T_SelfStock'!F40&lt;&gt;""))*(('T_TTAFStock'!F40&lt;&gt;""))&gt;0,'T_SelfStock'!F40+'T_TTAFStock'!F40,E36+'Grid_Incoming'!F36-'Grid_Requirement'!F36))</f>
        <v/>
      </c>
      <c r="G36">
        <f>IF(COUNTIFS(T_StockCount[Part Name],$A36,T_StockCount[WeekIndex],6)&gt;0,SUMIFS(T_StockCount[CountedQty],T_StockCount[Part Name],$A36,T_StockCount[WeekIndex],6),IF((('T_SelfStock'!G40&lt;&gt;""))*(('T_TTAFStock'!G40&lt;&gt;""))&gt;0,'T_SelfStock'!G40+'T_TTAFStock'!G40,F36+'Grid_Incoming'!G36-'Grid_Requirement'!G36))</f>
        <v/>
      </c>
      <c r="H36">
        <f>IF(COUNTIFS(T_StockCount[Part Name],$A36,T_StockCount[WeekIndex],7)&gt;0,SUMIFS(T_StockCount[CountedQty],T_StockCount[Part Name],$A36,T_StockCount[WeekIndex],7),IF((('T_SelfStock'!H40&lt;&gt;""))*(('T_TTAFStock'!H40&lt;&gt;""))&gt;0,'T_SelfStock'!H40+'T_TTAFStock'!H40,G36+'Grid_Incoming'!H36-'Grid_Requirement'!H36))</f>
        <v/>
      </c>
      <c r="I36">
        <f>IF(COUNTIFS(T_StockCount[Part Name],$A36,T_StockCount[WeekIndex],8)&gt;0,SUMIFS(T_StockCount[CountedQty],T_StockCount[Part Name],$A36,T_StockCount[WeekIndex],8),IF((('T_SelfStock'!I40&lt;&gt;""))*(('T_TTAFStock'!I40&lt;&gt;""))&gt;0,'T_SelfStock'!I40+'T_TTAFStock'!I40,H36+'Grid_Incoming'!I36-'Grid_Requirement'!I36))</f>
        <v/>
      </c>
      <c r="J36">
        <f>IF(COUNTIFS(T_StockCount[Part Name],$A36,T_StockCount[WeekIndex],9)&gt;0,SUMIFS(T_StockCount[CountedQty],T_StockCount[Part Name],$A36,T_StockCount[WeekIndex],9),IF((('T_SelfStock'!J40&lt;&gt;""))*(('T_TTAFStock'!J40&lt;&gt;""))&gt;0,'T_SelfStock'!J40+'T_TTAFStock'!J40,I36+'Grid_Incoming'!J36-'Grid_Requirement'!J36))</f>
        <v/>
      </c>
      <c r="K36">
        <f>IF(COUNTIFS(T_StockCount[Part Name],$A36,T_StockCount[WeekIndex],10)&gt;0,SUMIFS(T_StockCount[CountedQty],T_StockCount[Part Name],$A36,T_StockCount[WeekIndex],10),IF((('T_SelfStock'!K40&lt;&gt;""))*(('T_TTAFStock'!K40&lt;&gt;""))&gt;0,'T_SelfStock'!K40+'T_TTAFStock'!K40,J36+'Grid_Incoming'!K36-'Grid_Requirement'!K36))</f>
        <v/>
      </c>
      <c r="L36">
        <f>IF(COUNTIFS(T_StockCount[Part Name],$A36,T_StockCount[WeekIndex],11)&gt;0,SUMIFS(T_StockCount[CountedQty],T_StockCount[Part Name],$A36,T_StockCount[WeekIndex],11),IF((('T_SelfStock'!L40&lt;&gt;""))*(('T_TTAFStock'!L40&lt;&gt;""))&gt;0,'T_SelfStock'!L40+'T_TTAFStock'!L40,K36+'Grid_Incoming'!L36-'Grid_Requirement'!L36))</f>
        <v/>
      </c>
      <c r="M36">
        <f>IF(COUNTIFS(T_StockCount[Part Name],$A36,T_StockCount[WeekIndex],12)&gt;0,SUMIFS(T_StockCount[CountedQty],T_StockCount[Part Name],$A36,T_StockCount[WeekIndex],12),IF((('T_SelfStock'!M40&lt;&gt;""))*(('T_TTAFStock'!M40&lt;&gt;""))&gt;0,'T_SelfStock'!M40+'T_TTAFStock'!M40,L36+'Grid_Incoming'!M36-'Grid_Requirement'!M36))</f>
        <v/>
      </c>
      <c r="N36">
        <f>IF(COUNTIFS(T_StockCount[Part Name],$A36,T_StockCount[WeekIndex],13)&gt;0,SUMIFS(T_StockCount[CountedQty],T_StockCount[Part Name],$A36,T_StockCount[WeekIndex],13),IF((('T_SelfStock'!N40&lt;&gt;""))*(('T_TTAFStock'!N40&lt;&gt;""))&gt;0,'T_SelfStock'!N40+'T_TTAFStock'!N40,M36+'Grid_Incoming'!N36-'Grid_Requirement'!N36))</f>
        <v/>
      </c>
      <c r="O36">
        <f>IF(COUNTIFS(T_StockCount[Part Name],$A36,T_StockCount[WeekIndex],14)&gt;0,SUMIFS(T_StockCount[CountedQty],T_StockCount[Part Name],$A36,T_StockCount[WeekIndex],14),IF((('T_SelfStock'!O40&lt;&gt;""))*(('T_TTAFStock'!O40&lt;&gt;""))&gt;0,'T_SelfStock'!O40+'T_TTAFStock'!O40,N36+'Grid_Incoming'!O36-'Grid_Requirement'!O36))</f>
        <v/>
      </c>
      <c r="P36">
        <f>IF(COUNTIFS(T_StockCount[Part Name],$A36,T_StockCount[WeekIndex],15)&gt;0,SUMIFS(T_StockCount[CountedQty],T_StockCount[Part Name],$A36,T_StockCount[WeekIndex],15),IF((('T_SelfStock'!P40&lt;&gt;""))*(('T_TTAFStock'!P40&lt;&gt;""))&gt;0,'T_SelfStock'!P40+'T_TTAFStock'!P40,O36+'Grid_Incoming'!P36-'Grid_Requirement'!P36))</f>
        <v/>
      </c>
      <c r="Q36">
        <f>IF(COUNTIFS(T_StockCount[Part Name],$A36,T_StockCount[WeekIndex],16)&gt;0,SUMIFS(T_StockCount[CountedQty],T_StockCount[Part Name],$A36,T_StockCount[WeekIndex],16),IF((('T_SelfStock'!Q40&lt;&gt;""))*(('T_TTAFStock'!Q40&lt;&gt;""))&gt;0,'T_SelfStock'!Q40+'T_TTAFStock'!Q40,P36+'Grid_Incoming'!Q36-'Grid_Requirement'!Q36))</f>
        <v/>
      </c>
      <c r="R36">
        <f>IF(COUNTIFS(T_StockCount[Part Name],$A36,T_StockCount[WeekIndex],17)&gt;0,SUMIFS(T_StockCount[CountedQty],T_StockCount[Part Name],$A36,T_StockCount[WeekIndex],17),IF((('T_SelfStock'!R40&lt;&gt;""))*(('T_TTAFStock'!R40&lt;&gt;""))&gt;0,'T_SelfStock'!R40+'T_TTAFStock'!R40,Q36+'Grid_Incoming'!R36-'Grid_Requirement'!R36))</f>
        <v/>
      </c>
      <c r="S36">
        <f>IF(COUNTIFS(T_StockCount[Part Name],$A36,T_StockCount[WeekIndex],18)&gt;0,SUMIFS(T_StockCount[CountedQty],T_StockCount[Part Name],$A36,T_StockCount[WeekIndex],18),IF((('T_SelfStock'!S40&lt;&gt;""))*(('T_TTAFStock'!S40&lt;&gt;""))&gt;0,'T_SelfStock'!S40+'T_TTAFStock'!S40,R36+'Grid_Incoming'!S36-'Grid_Requirement'!S36))</f>
        <v/>
      </c>
      <c r="T36">
        <f>IF(COUNTIFS(T_StockCount[Part Name],$A36,T_StockCount[WeekIndex],19)&gt;0,SUMIFS(T_StockCount[CountedQty],T_StockCount[Part Name],$A36,T_StockCount[WeekIndex],19),IF((('T_SelfStock'!T40&lt;&gt;""))*(('T_TTAFStock'!T40&lt;&gt;""))&gt;0,'T_SelfStock'!T40+'T_TTAFStock'!T40,S36+'Grid_Incoming'!T36-'Grid_Requirement'!T36))</f>
        <v/>
      </c>
      <c r="U36">
        <f>IF(COUNTIFS(T_StockCount[Part Name],$A36,T_StockCount[WeekIndex],20)&gt;0,SUMIFS(T_StockCount[CountedQty],T_StockCount[Part Name],$A36,T_StockCount[WeekIndex],20),IF((('T_SelfStock'!U40&lt;&gt;""))*(('T_TTAFStock'!U40&lt;&gt;""))&gt;0,'T_SelfStock'!U40+'T_TTAFStock'!U40,T36+'Grid_Incoming'!U36-'Grid_Requirement'!U36))</f>
        <v/>
      </c>
      <c r="V36">
        <f>IF(COUNTIFS(T_StockCount[Part Name],$A36,T_StockCount[WeekIndex],21)&gt;0,SUMIFS(T_StockCount[CountedQty],T_StockCount[Part Name],$A36,T_StockCount[WeekIndex],21),IF((('T_SelfStock'!V40&lt;&gt;""))*(('T_TTAFStock'!V40&lt;&gt;""))&gt;0,'T_SelfStock'!V40+'T_TTAFStock'!V40,U36+'Grid_Incoming'!V36-'Grid_Requirement'!V36))</f>
        <v/>
      </c>
      <c r="W36">
        <f>IF(COUNTIFS(T_StockCount[Part Name],$A36,T_StockCount[WeekIndex],22)&gt;0,SUMIFS(T_StockCount[CountedQty],T_StockCount[Part Name],$A36,T_StockCount[WeekIndex],22),IF((('T_SelfStock'!W40&lt;&gt;""))*(('T_TTAFStock'!W40&lt;&gt;""))&gt;0,'T_SelfStock'!W40+'T_TTAFStock'!W40,V36+'Grid_Incoming'!W36-'Grid_Requirement'!W36))</f>
        <v/>
      </c>
      <c r="X36">
        <f>IF(COUNTIFS(T_StockCount[Part Name],$A36,T_StockCount[WeekIndex],23)&gt;0,SUMIFS(T_StockCount[CountedQty],T_StockCount[Part Name],$A36,T_StockCount[WeekIndex],23),IF((('T_SelfStock'!X40&lt;&gt;""))*(('T_TTAFStock'!X40&lt;&gt;""))&gt;0,'T_SelfStock'!X40+'T_TTAFStock'!X40,W36+'Grid_Incoming'!X36-'Grid_Requirement'!X36))</f>
        <v/>
      </c>
      <c r="Y36">
        <f>IF(COUNTIFS(T_StockCount[Part Name],$A36,T_StockCount[WeekIndex],24)&gt;0,SUMIFS(T_StockCount[CountedQty],T_StockCount[Part Name],$A36,T_StockCount[WeekIndex],24),IF((('T_SelfStock'!Y40&lt;&gt;""))*(('T_TTAFStock'!Y40&lt;&gt;""))&gt;0,'T_SelfStock'!Y40+'T_TTAFStock'!Y40,X36+'Grid_Incoming'!Y36-'Grid_Requirement'!Y36))</f>
        <v/>
      </c>
      <c r="Z36">
        <f>IF(COUNTIFS(T_StockCount[Part Name],$A36,T_StockCount[WeekIndex],25)&gt;0,SUMIFS(T_StockCount[CountedQty],T_StockCount[Part Name],$A36,T_StockCount[WeekIndex],25),IF((('T_SelfStock'!Z40&lt;&gt;""))*(('T_TTAFStock'!Z40&lt;&gt;""))&gt;0,'T_SelfStock'!Z40+'T_TTAFStock'!Z40,Y36+'Grid_Incoming'!Z36-'Grid_Requirement'!Z36))</f>
        <v/>
      </c>
      <c r="AA36">
        <f>IF(COUNTIFS(T_StockCount[Part Name],$A36,T_StockCount[WeekIndex],26)&gt;0,SUMIFS(T_StockCount[CountedQty],T_StockCount[Part Name],$A36,T_StockCount[WeekIndex],26),IF((('T_SelfStock'!AA40&lt;&gt;""))*(('T_TTAFStock'!AA40&lt;&gt;""))&gt;0,'T_SelfStock'!AA40+'T_TTAFStock'!AA40,Z36+'Grid_Incoming'!AA36-'Grid_Requirement'!AA36))</f>
        <v/>
      </c>
      <c r="AB36">
        <f>IF(COUNTIFS(T_StockCount[Part Name],$A36,T_StockCount[WeekIndex],27)&gt;0,SUMIFS(T_StockCount[CountedQty],T_StockCount[Part Name],$A36,T_StockCount[WeekIndex],27),IF((('T_SelfStock'!AB40&lt;&gt;""))*(('T_TTAFStock'!AB40&lt;&gt;""))&gt;0,'T_SelfStock'!AB40+'T_TTAFStock'!AB40,AA36+'Grid_Incoming'!AB36-'Grid_Requirement'!AB36))</f>
        <v/>
      </c>
      <c r="AC36">
        <f>IF(COUNTIFS(T_StockCount[Part Name],$A36,T_StockCount[WeekIndex],28)&gt;0,SUMIFS(T_StockCount[CountedQty],T_StockCount[Part Name],$A36,T_StockCount[WeekIndex],28),IF((('T_SelfStock'!AC40&lt;&gt;""))*(('T_TTAFStock'!AC40&lt;&gt;""))&gt;0,'T_SelfStock'!AC40+'T_TTAFStock'!AC40,AB36+'Grid_Incoming'!AC36-'Grid_Requirement'!AC36))</f>
        <v/>
      </c>
      <c r="AD36">
        <f>IF(COUNTIFS(T_StockCount[Part Name],$A36,T_StockCount[WeekIndex],29)&gt;0,SUMIFS(T_StockCount[CountedQty],T_StockCount[Part Name],$A36,T_StockCount[WeekIndex],29),IF((('T_SelfStock'!AD40&lt;&gt;""))*(('T_TTAFStock'!AD40&lt;&gt;""))&gt;0,'T_SelfStock'!AD40+'T_TTAFStock'!AD40,AC36+'Grid_Incoming'!AD36-'Grid_Requirement'!AD36))</f>
        <v/>
      </c>
      <c r="AE36">
        <f>IF(COUNTIFS(T_StockCount[Part Name],$A36,T_StockCount[WeekIndex],30)&gt;0,SUMIFS(T_StockCount[CountedQty],T_StockCount[Part Name],$A36,T_StockCount[WeekIndex],30),IF((('T_SelfStock'!AE40&lt;&gt;""))*(('T_TTAFStock'!AE40&lt;&gt;""))&gt;0,'T_SelfStock'!AE40+'T_TTAFStock'!AE40,AD36+'Grid_Incoming'!AE36-'Grid_Requirement'!AE36))</f>
        <v/>
      </c>
      <c r="AF36">
        <f>IF(COUNTIFS(T_StockCount[Part Name],$A36,T_StockCount[WeekIndex],31)&gt;0,SUMIFS(T_StockCount[CountedQty],T_StockCount[Part Name],$A36,T_StockCount[WeekIndex],31),IF((('T_SelfStock'!AF40&lt;&gt;""))*(('T_TTAFStock'!AF40&lt;&gt;""))&gt;0,'T_SelfStock'!AF40+'T_TTAFStock'!AF40,AE36+'Grid_Incoming'!AF36-'Grid_Requirement'!AF36))</f>
        <v/>
      </c>
      <c r="AG36">
        <f>IF(COUNTIFS(T_StockCount[Part Name],$A36,T_StockCount[WeekIndex],32)&gt;0,SUMIFS(T_StockCount[CountedQty],T_StockCount[Part Name],$A36,T_StockCount[WeekIndex],32),IF((('T_SelfStock'!AG40&lt;&gt;""))*(('T_TTAFStock'!AG40&lt;&gt;""))&gt;0,'T_SelfStock'!AG40+'T_TTAFStock'!AG40,AF36+'Grid_Incoming'!AG36-'Grid_Requirement'!AG36))</f>
        <v/>
      </c>
      <c r="AH36">
        <f>IF(COUNTIFS(T_StockCount[Part Name],$A36,T_StockCount[WeekIndex],33)&gt;0,SUMIFS(T_StockCount[CountedQty],T_StockCount[Part Name],$A36,T_StockCount[WeekIndex],33),IF((('T_SelfStock'!AH40&lt;&gt;""))*(('T_TTAFStock'!AH40&lt;&gt;""))&gt;0,'T_SelfStock'!AH40+'T_TTAFStock'!AH40,AG36+'Grid_Incoming'!AH36-'Grid_Requirement'!AH36))</f>
        <v/>
      </c>
      <c r="AI36">
        <f>IF(COUNTIFS(T_StockCount[Part Name],$A36,T_StockCount[WeekIndex],34)&gt;0,SUMIFS(T_StockCount[CountedQty],T_StockCount[Part Name],$A36,T_StockCount[WeekIndex],34),IF((('T_SelfStock'!AI40&lt;&gt;""))*(('T_TTAFStock'!AI40&lt;&gt;""))&gt;0,'T_SelfStock'!AI40+'T_TTAFStock'!AI40,AH36+'Grid_Incoming'!AI36-'Grid_Requirement'!AI36))</f>
        <v/>
      </c>
      <c r="AJ36">
        <f>IF(COUNTIFS(T_StockCount[Part Name],$A36,T_StockCount[WeekIndex],35)&gt;0,SUMIFS(T_StockCount[CountedQty],T_StockCount[Part Name],$A36,T_StockCount[WeekIndex],35),IF((('T_SelfStock'!AJ40&lt;&gt;""))*(('T_TTAFStock'!AJ40&lt;&gt;""))&gt;0,'T_SelfStock'!AJ40+'T_TTAFStock'!AJ40,AI36+'Grid_Incoming'!AJ36-'Grid_Requirement'!AJ36))</f>
        <v/>
      </c>
      <c r="AK36">
        <f>IF(COUNTIFS(T_StockCount[Part Name],$A36,T_StockCount[WeekIndex],36)&gt;0,SUMIFS(T_StockCount[CountedQty],T_StockCount[Part Name],$A36,T_StockCount[WeekIndex],36),IF((('T_SelfStock'!AK40&lt;&gt;""))*(('T_TTAFStock'!AK40&lt;&gt;""))&gt;0,'T_SelfStock'!AK40+'T_TTAFStock'!AK40,AJ36+'Grid_Incoming'!AK36-'Grid_Requirement'!AK36))</f>
        <v/>
      </c>
      <c r="AL36">
        <f>IF(COUNTIFS(T_StockCount[Part Name],$A36,T_StockCount[WeekIndex],37)&gt;0,SUMIFS(T_StockCount[CountedQty],T_StockCount[Part Name],$A36,T_StockCount[WeekIndex],37),IF((('T_SelfStock'!AL40&lt;&gt;""))*(('T_TTAFStock'!AL40&lt;&gt;""))&gt;0,'T_SelfStock'!AL40+'T_TTAFStock'!AL40,AK36+'Grid_Incoming'!AL36-'Grid_Requirement'!AL36))</f>
        <v/>
      </c>
      <c r="AM36">
        <f>IF(COUNTIFS(T_StockCount[Part Name],$A36,T_StockCount[WeekIndex],38)&gt;0,SUMIFS(T_StockCount[CountedQty],T_StockCount[Part Name],$A36,T_StockCount[WeekIndex],38),IF((('T_SelfStock'!AM40&lt;&gt;""))*(('T_TTAFStock'!AM40&lt;&gt;""))&gt;0,'T_SelfStock'!AM40+'T_TTAFStock'!AM40,AL36+'Grid_Incoming'!AM36-'Grid_Requirement'!AM36))</f>
        <v/>
      </c>
      <c r="AN36">
        <f>IF(COUNTIFS(T_StockCount[Part Name],$A36,T_StockCount[WeekIndex],39)&gt;0,SUMIFS(T_StockCount[CountedQty],T_StockCount[Part Name],$A36,T_StockCount[WeekIndex],39),IF((('T_SelfStock'!AN40&lt;&gt;""))*(('T_TTAFStock'!AN40&lt;&gt;""))&gt;0,'T_SelfStock'!AN40+'T_TTAFStock'!AN40,AM36+'Grid_Incoming'!AN36-'Grid_Requirement'!AN36))</f>
        <v/>
      </c>
      <c r="AO36">
        <f>IF(COUNTIFS(T_StockCount[Part Name],$A36,T_StockCount[WeekIndex],40)&gt;0,SUMIFS(T_StockCount[CountedQty],T_StockCount[Part Name],$A36,T_StockCount[WeekIndex],40),IF((('T_SelfStock'!AO40&lt;&gt;""))*(('T_TTAFStock'!AO40&lt;&gt;""))&gt;0,'T_SelfStock'!AO40+'T_TTAFStock'!AO40,AN36+'Grid_Incoming'!AO36-'Grid_Requirement'!AO36))</f>
        <v/>
      </c>
      <c r="AP36">
        <f>IF(COUNTIFS(T_StockCount[Part Name],$A36,T_StockCount[WeekIndex],41)&gt;0,SUMIFS(T_StockCount[CountedQty],T_StockCount[Part Name],$A36,T_StockCount[WeekIndex],41),IF((('T_SelfStock'!AP40&lt;&gt;""))*(('T_TTAFStock'!AP40&lt;&gt;""))&gt;0,'T_SelfStock'!AP40+'T_TTAFStock'!AP40,AO36+'Grid_Incoming'!AP36-'Grid_Requirement'!AP36))</f>
        <v/>
      </c>
      <c r="AQ36">
        <f>IF(COUNTIFS(T_StockCount[Part Name],$A36,T_StockCount[WeekIndex],42)&gt;0,SUMIFS(T_StockCount[CountedQty],T_StockCount[Part Name],$A36,T_StockCount[WeekIndex],42),IF((('T_SelfStock'!AQ40&lt;&gt;""))*(('T_TTAFStock'!AQ40&lt;&gt;""))&gt;0,'T_SelfStock'!AQ40+'T_TTAFStock'!AQ40,AP36+'Grid_Incoming'!AQ36-'Grid_Requirement'!AQ36))</f>
        <v/>
      </c>
      <c r="AR36">
        <f>IF(COUNTIFS(T_StockCount[Part Name],$A36,T_StockCount[WeekIndex],43)&gt;0,SUMIFS(T_StockCount[CountedQty],T_StockCount[Part Name],$A36,T_StockCount[WeekIndex],43),IF((('T_SelfStock'!AR40&lt;&gt;""))*(('T_TTAFStock'!AR40&lt;&gt;""))&gt;0,'T_SelfStock'!AR40+'T_TTAFStock'!AR40,AQ36+'Grid_Incoming'!AR36-'Grid_Requirement'!AR36))</f>
        <v/>
      </c>
      <c r="AS36">
        <f>IF(COUNTIFS(T_StockCount[Part Name],$A36,T_StockCount[WeekIndex],44)&gt;0,SUMIFS(T_StockCount[CountedQty],T_StockCount[Part Name],$A36,T_StockCount[WeekIndex],44),IF((('T_SelfStock'!AS40&lt;&gt;""))*(('T_TTAFStock'!AS40&lt;&gt;""))&gt;0,'T_SelfStock'!AS40+'T_TTAFStock'!AS40,AR36+'Grid_Incoming'!AS36-'Grid_Requirement'!AS36))</f>
        <v/>
      </c>
      <c r="AT36">
        <f>IF(COUNTIFS(T_StockCount[Part Name],$A36,T_StockCount[WeekIndex],45)&gt;0,SUMIFS(T_StockCount[CountedQty],T_StockCount[Part Name],$A36,T_StockCount[WeekIndex],45),IF((('T_SelfStock'!AT40&lt;&gt;""))*(('T_TTAFStock'!AT40&lt;&gt;""))&gt;0,'T_SelfStock'!AT40+'T_TTAFStock'!AT40,AS36+'Grid_Incoming'!AT36-'Grid_Requirement'!AT36))</f>
        <v/>
      </c>
      <c r="AU36">
        <f>IF(COUNTIFS(T_StockCount[Part Name],$A36,T_StockCount[WeekIndex],46)&gt;0,SUMIFS(T_StockCount[CountedQty],T_StockCount[Part Name],$A36,T_StockCount[WeekIndex],46),IF((('T_SelfStock'!AU40&lt;&gt;""))*(('T_TTAFStock'!AU40&lt;&gt;""))&gt;0,'T_SelfStock'!AU40+'T_TTAFStock'!AU40,AT36+'Grid_Incoming'!AU36-'Grid_Requirement'!AU36))</f>
        <v/>
      </c>
      <c r="AV36">
        <f>IF(COUNTIFS(T_StockCount[Part Name],$A36,T_StockCount[WeekIndex],47)&gt;0,SUMIFS(T_StockCount[CountedQty],T_StockCount[Part Name],$A36,T_StockCount[WeekIndex],47),IF((('T_SelfStock'!AV40&lt;&gt;""))*(('T_TTAFStock'!AV40&lt;&gt;""))&gt;0,'T_SelfStock'!AV40+'T_TTAFStock'!AV40,AU36+'Grid_Incoming'!AV36-'Grid_Requirement'!AV36))</f>
        <v/>
      </c>
      <c r="AW36">
        <f>IF(COUNTIFS(T_StockCount[Part Name],$A36,T_StockCount[WeekIndex],48)&gt;0,SUMIFS(T_StockCount[CountedQty],T_StockCount[Part Name],$A36,T_StockCount[WeekIndex],48),IF((('T_SelfStock'!AW40&lt;&gt;""))*(('T_TTAFStock'!AW40&lt;&gt;""))&gt;0,'T_SelfStock'!AW40+'T_TTAFStock'!AW40,AV36+'Grid_Incoming'!AW36-'Grid_Requirement'!AW36))</f>
        <v/>
      </c>
      <c r="AX36">
        <f>IF(COUNTIFS(T_StockCount[Part Name],$A36,T_StockCount[WeekIndex],49)&gt;0,SUMIFS(T_StockCount[CountedQty],T_StockCount[Part Name],$A36,T_StockCount[WeekIndex],49),IF((('T_SelfStock'!AX40&lt;&gt;""))*(('T_TTAFStock'!AX40&lt;&gt;""))&gt;0,'T_SelfStock'!AX40+'T_TTAFStock'!AX40,AW36+'Grid_Incoming'!AX36-'Grid_Requirement'!AX36))</f>
        <v/>
      </c>
      <c r="AY36">
        <f>IF(COUNTIFS(T_StockCount[Part Name],$A36,T_StockCount[WeekIndex],50)&gt;0,SUMIFS(T_StockCount[CountedQty],T_StockCount[Part Name],$A36,T_StockCount[WeekIndex],50),IF((('T_SelfStock'!AY40&lt;&gt;""))*(('T_TTAFStock'!AY40&lt;&gt;""))&gt;0,'T_SelfStock'!AY40+'T_TTAFStock'!AY40,AX36+'Grid_Incoming'!AY36-'Grid_Requirement'!AY36))</f>
        <v/>
      </c>
      <c r="AZ36">
        <f>IF(COUNTIFS(T_StockCount[Part Name],$A36,T_StockCount[WeekIndex],51)&gt;0,SUMIFS(T_StockCount[CountedQty],T_StockCount[Part Name],$A36,T_StockCount[WeekIndex],51),IF((('T_SelfStock'!AZ40&lt;&gt;""))*(('T_TTAFStock'!AZ40&lt;&gt;""))&gt;0,'T_SelfStock'!AZ40+'T_TTAFStock'!AZ40,AY36+'Grid_Incoming'!AZ36-'Grid_Requirement'!AZ36))</f>
        <v/>
      </c>
      <c r="BA36">
        <f>IF(COUNTIFS(T_StockCount[Part Name],$A36,T_StockCount[WeekIndex],52)&gt;0,SUMIFS(T_StockCount[CountedQty],T_StockCount[Part Name],$A36,T_StockCount[WeekIndex],52),IF((('T_SelfStock'!BA40&lt;&gt;""))*(('T_TTAFStock'!BA40&lt;&gt;""))&gt;0,'T_SelfStock'!BA40+'T_TTAFStock'!BA40,AZ36+'Grid_Incoming'!BA36-'Grid_Requirement'!BA36))</f>
        <v/>
      </c>
      <c r="BB36">
        <f>IF(COUNTIFS(T_StockCount[Part Name],$A36,T_StockCount[WeekIndex],53)&gt;0,SUMIFS(T_StockCount[CountedQty],T_StockCount[Part Name],$A36,T_StockCount[WeekIndex],53),IF((('T_SelfStock'!BB40&lt;&gt;""))*(('T_TTAFStock'!BB40&lt;&gt;""))&gt;0,'T_SelfStock'!BB40+'T_TTAFStock'!BB40,BA36+'Grid_Incoming'!BB36-'Grid_Requirement'!BB36))</f>
        <v/>
      </c>
      <c r="BC36">
        <f>IF(COUNTIFS(T_StockCount[Part Name],$A36,T_StockCount[WeekIndex],54)&gt;0,SUMIFS(T_StockCount[CountedQty],T_StockCount[Part Name],$A36,T_StockCount[WeekIndex],54),IF((('T_SelfStock'!BC40&lt;&gt;""))*(('T_TTAFStock'!BC40&lt;&gt;""))&gt;0,'T_SelfStock'!BC40+'T_TTAFStock'!BC40,BB36+'Grid_Incoming'!BC36-'Grid_Requirement'!BC36))</f>
        <v/>
      </c>
      <c r="BD36">
        <f>IF(COUNTIFS(T_StockCount[Part Name],$A36,T_StockCount[WeekIndex],55)&gt;0,SUMIFS(T_StockCount[CountedQty],T_StockCount[Part Name],$A36,T_StockCount[WeekIndex],55),IF((('T_SelfStock'!BD40&lt;&gt;""))*(('T_TTAFStock'!BD40&lt;&gt;""))&gt;0,'T_SelfStock'!BD40+'T_TTAFStock'!BD40,BC36+'Grid_Incoming'!BD36-'Grid_Requirement'!BD36))</f>
        <v/>
      </c>
      <c r="BE36">
        <f>IF(COUNTIFS(T_StockCount[Part Name],$A36,T_StockCount[WeekIndex],56)&gt;0,SUMIFS(T_StockCount[CountedQty],T_StockCount[Part Name],$A36,T_StockCount[WeekIndex],56),IF((('T_SelfStock'!BE40&lt;&gt;""))*(('T_TTAFStock'!BE40&lt;&gt;""))&gt;0,'T_SelfStock'!BE40+'T_TTAFStock'!BE40,BD36+'Grid_Incoming'!BE36-'Grid_Requirement'!BE36))</f>
        <v/>
      </c>
      <c r="BF36">
        <f>IF(COUNTIFS(T_StockCount[Part Name],$A36,T_StockCount[WeekIndex],57)&gt;0,SUMIFS(T_StockCount[CountedQty],T_StockCount[Part Name],$A36,T_StockCount[WeekIndex],57),IF((('T_SelfStock'!BF40&lt;&gt;""))*(('T_TTAFStock'!BF40&lt;&gt;""))&gt;0,'T_SelfStock'!BF40+'T_TTAFStock'!BF40,BE36+'Grid_Incoming'!BF36-'Grid_Requirement'!BF36))</f>
        <v/>
      </c>
      <c r="BG36">
        <f>IF(COUNTIFS(T_StockCount[Part Name],$A36,T_StockCount[WeekIndex],58)&gt;0,SUMIFS(T_StockCount[CountedQty],T_StockCount[Part Name],$A36,T_StockCount[WeekIndex],58),IF((('T_SelfStock'!BG40&lt;&gt;""))*(('T_TTAFStock'!BG40&lt;&gt;""))&gt;0,'T_SelfStock'!BG40+'T_TTAFStock'!BG40,BF36+'Grid_Incoming'!BG36-'Grid_Requirement'!BG36))</f>
        <v/>
      </c>
      <c r="BH36">
        <f>IF(COUNTIFS(T_StockCount[Part Name],$A36,T_StockCount[WeekIndex],59)&gt;0,SUMIFS(T_StockCount[CountedQty],T_StockCount[Part Name],$A36,T_StockCount[WeekIndex],59),IF((('T_SelfStock'!BH40&lt;&gt;""))*(('T_TTAFStock'!BH40&lt;&gt;""))&gt;0,'T_SelfStock'!BH40+'T_TTAFStock'!BH40,BG36+'Grid_Incoming'!BH36-'Grid_Requirement'!BH36))</f>
        <v/>
      </c>
      <c r="BI36">
        <f>IF(COUNTIFS(T_StockCount[Part Name],$A36,T_StockCount[WeekIndex],60)&gt;0,SUMIFS(T_StockCount[CountedQty],T_StockCount[Part Name],$A36,T_StockCount[WeekIndex],60),IF((('T_SelfStock'!BI40&lt;&gt;""))*(('T_TTAFStock'!BI40&lt;&gt;""))&gt;0,'T_SelfStock'!BI40+'T_TTAFStock'!BI40,BH36+'Grid_Incoming'!BI36-'Grid_Requirement'!BI36))</f>
        <v/>
      </c>
      <c r="BJ36">
        <f>IF(COUNTIFS(T_StockCount[Part Name],$A36,T_StockCount[WeekIndex],61)&gt;0,SUMIFS(T_StockCount[CountedQty],T_StockCount[Part Name],$A36,T_StockCount[WeekIndex],61),IF((('T_SelfStock'!BJ40&lt;&gt;""))*(('T_TTAFStock'!BJ40&lt;&gt;""))&gt;0,'T_SelfStock'!BJ40+'T_TTAFStock'!BJ40,BI36+'Grid_Incoming'!BJ36-'Grid_Requirement'!BJ36))</f>
        <v/>
      </c>
      <c r="BK36">
        <f>IF(COUNTIFS(T_StockCount[Part Name],$A36,T_StockCount[WeekIndex],62)&gt;0,SUMIFS(T_StockCount[CountedQty],T_StockCount[Part Name],$A36,T_StockCount[WeekIndex],62),IF((('T_SelfStock'!BK40&lt;&gt;""))*(('T_TTAFStock'!BK40&lt;&gt;""))&gt;0,'T_SelfStock'!BK40+'T_TTAFStock'!BK40,BJ36+'Grid_Incoming'!BK36-'Grid_Requirement'!BK36))</f>
        <v/>
      </c>
      <c r="BL36">
        <f>IF(COUNTIFS(T_StockCount[Part Name],$A36,T_StockCount[WeekIndex],63)&gt;0,SUMIFS(T_StockCount[CountedQty],T_StockCount[Part Name],$A36,T_StockCount[WeekIndex],63),IF((('T_SelfStock'!BL40&lt;&gt;""))*(('T_TTAFStock'!BL40&lt;&gt;""))&gt;0,'T_SelfStock'!BL40+'T_TTAFStock'!BL40,BK36+'Grid_Incoming'!BL36-'Grid_Requirement'!BL36))</f>
        <v/>
      </c>
      <c r="BM36">
        <f>IF(COUNTIFS(T_StockCount[Part Name],$A36,T_StockCount[WeekIndex],64)&gt;0,SUMIFS(T_StockCount[CountedQty],T_StockCount[Part Name],$A36,T_StockCount[WeekIndex],64),IF((('T_SelfStock'!BM40&lt;&gt;""))*(('T_TTAFStock'!BM40&lt;&gt;""))&gt;0,'T_SelfStock'!BM40+'T_TTAFStock'!BM40,BL36+'Grid_Incoming'!BM36-'Grid_Requirement'!BM36))</f>
        <v/>
      </c>
      <c r="BN36">
        <f>IF(COUNTIFS(T_StockCount[Part Name],$A36,T_StockCount[WeekIndex],65)&gt;0,SUMIFS(T_StockCount[CountedQty],T_StockCount[Part Name],$A36,T_StockCount[WeekIndex],65),IF((('T_SelfStock'!BN40&lt;&gt;""))*(('T_TTAFStock'!BN40&lt;&gt;""))&gt;0,'T_SelfStock'!BN40+'T_TTAFStock'!BN40,BM36+'Grid_Incoming'!BN36-'Grid_Requirement'!BN36))</f>
        <v/>
      </c>
      <c r="BO36">
        <f>IF(COUNTIFS(T_StockCount[Part Name],$A36,T_StockCount[WeekIndex],66)&gt;0,SUMIFS(T_StockCount[CountedQty],T_StockCount[Part Name],$A36,T_StockCount[WeekIndex],66),IF((('T_SelfStock'!BO40&lt;&gt;""))*(('T_TTAFStock'!BO40&lt;&gt;""))&gt;0,'T_SelfStock'!BO40+'T_TTAFStock'!BO40,BN36+'Grid_Incoming'!BO36-'Grid_Requirement'!BO36))</f>
        <v/>
      </c>
      <c r="BP36">
        <f>IF(COUNTIFS(T_StockCount[Part Name],$A36,T_StockCount[WeekIndex],67)&gt;0,SUMIFS(T_StockCount[CountedQty],T_StockCount[Part Name],$A36,T_StockCount[WeekIndex],67),IF((('T_SelfStock'!BP40&lt;&gt;""))*(('T_TTAFStock'!BP40&lt;&gt;""))&gt;0,'T_SelfStock'!BP40+'T_TTAFStock'!BP40,BO36+'Grid_Incoming'!BP36-'Grid_Requirement'!BP36))</f>
        <v/>
      </c>
      <c r="BQ36">
        <f>IF(COUNTIFS(T_StockCount[Part Name],$A36,T_StockCount[WeekIndex],68)&gt;0,SUMIFS(T_StockCount[CountedQty],T_StockCount[Part Name],$A36,T_StockCount[WeekIndex],68),IF((('T_SelfStock'!BQ40&lt;&gt;""))*(('T_TTAFStock'!BQ40&lt;&gt;""))&gt;0,'T_SelfStock'!BQ40+'T_TTAFStock'!BQ40,BP36+'Grid_Incoming'!BQ36-'Grid_Requirement'!BQ36))</f>
        <v/>
      </c>
      <c r="BR36">
        <f>IF(COUNTIFS(T_StockCount[Part Name],$A36,T_StockCount[WeekIndex],69)&gt;0,SUMIFS(T_StockCount[CountedQty],T_StockCount[Part Name],$A36,T_StockCount[WeekIndex],69),IF((('T_SelfStock'!BR40&lt;&gt;""))*(('T_TTAFStock'!BR40&lt;&gt;""))&gt;0,'T_SelfStock'!BR40+'T_TTAFStock'!BR40,BQ36+'Grid_Incoming'!BR36-'Grid_Requirement'!BR36))</f>
        <v/>
      </c>
      <c r="BS36">
        <f>IF(COUNTIFS(T_StockCount[Part Name],$A36,T_StockCount[WeekIndex],70)&gt;0,SUMIFS(T_StockCount[CountedQty],T_StockCount[Part Name],$A36,T_StockCount[WeekIndex],70),IF((('T_SelfStock'!BS40&lt;&gt;""))*(('T_TTAFStock'!BS40&lt;&gt;""))&gt;0,'T_SelfStock'!BS40+'T_TTAFStock'!BS40,BR36+'Grid_Incoming'!BS36-'Grid_Requirement'!BS36))</f>
        <v/>
      </c>
      <c r="BT36">
        <f>IF(COUNTIFS(T_StockCount[Part Name],$A36,T_StockCount[WeekIndex],71)&gt;0,SUMIFS(T_StockCount[CountedQty],T_StockCount[Part Name],$A36,T_StockCount[WeekIndex],71),IF((('T_SelfStock'!BT40&lt;&gt;""))*(('T_TTAFStock'!BT40&lt;&gt;""))&gt;0,'T_SelfStock'!BT40+'T_TTAFStock'!BT40,BS36+'Grid_Incoming'!BT36-'Grid_Requirement'!BT36))</f>
        <v/>
      </c>
      <c r="BU36">
        <f>IF(COUNTIFS(T_StockCount[Part Name],$A36,T_StockCount[WeekIndex],72)&gt;0,SUMIFS(T_StockCount[CountedQty],T_StockCount[Part Name],$A36,T_StockCount[WeekIndex],72),IF((('T_SelfStock'!BU40&lt;&gt;""))*(('T_TTAFStock'!BU40&lt;&gt;""))&gt;0,'T_SelfStock'!BU40+'T_TTAFStock'!BU40,BT36+'Grid_Incoming'!BU36-'Grid_Requirement'!BU36))</f>
        <v/>
      </c>
      <c r="BV36">
        <f>IF(COUNTIFS(T_StockCount[Part Name],$A36,T_StockCount[WeekIndex],73)&gt;0,SUMIFS(T_StockCount[CountedQty],T_StockCount[Part Name],$A36,T_StockCount[WeekIndex],73),IF((('T_SelfStock'!BV40&lt;&gt;""))*(('T_TTAFStock'!BV40&lt;&gt;""))&gt;0,'T_SelfStock'!BV40+'T_TTAFStock'!BV40,BU36+'Grid_Incoming'!BV36-'Grid_Requirement'!BV36))</f>
        <v/>
      </c>
      <c r="BW36">
        <f>IF(COUNTIFS(T_StockCount[Part Name],$A36,T_StockCount[WeekIndex],74)&gt;0,SUMIFS(T_StockCount[CountedQty],T_StockCount[Part Name],$A36,T_StockCount[WeekIndex],74),IF((('T_SelfStock'!BW40&lt;&gt;""))*(('T_TTAFStock'!BW40&lt;&gt;""))&gt;0,'T_SelfStock'!BW40+'T_TTAFStock'!BW40,BV36+'Grid_Incoming'!BW36-'Grid_Requirement'!BW36))</f>
        <v/>
      </c>
      <c r="BX36">
        <f>IF(COUNTIFS(T_StockCount[Part Name],$A36,T_StockCount[WeekIndex],75)&gt;0,SUMIFS(T_StockCount[CountedQty],T_StockCount[Part Name],$A36,T_StockCount[WeekIndex],75),IF((('T_SelfStock'!BX40&lt;&gt;""))*(('T_TTAFStock'!BX40&lt;&gt;""))&gt;0,'T_SelfStock'!BX40+'T_TTAFStock'!BX40,BW36+'Grid_Incoming'!BX36-'Grid_Requirement'!BX36))</f>
        <v/>
      </c>
      <c r="BY36">
        <f>IF(COUNTIFS(T_StockCount[Part Name],$A36,T_StockCount[WeekIndex],76)&gt;0,SUMIFS(T_StockCount[CountedQty],T_StockCount[Part Name],$A36,T_StockCount[WeekIndex],76),IF((('T_SelfStock'!BY40&lt;&gt;""))*(('T_TTAFStock'!BY40&lt;&gt;""))&gt;0,'T_SelfStock'!BY40+'T_TTAFStock'!BY40,BX36+'Grid_Incoming'!BY36-'Grid_Requirement'!BY36))</f>
        <v/>
      </c>
      <c r="BZ36">
        <f>IF(COUNTIFS(T_StockCount[Part Name],$A36,T_StockCount[WeekIndex],77)&gt;0,SUMIFS(T_StockCount[CountedQty],T_StockCount[Part Name],$A36,T_StockCount[WeekIndex],77),IF((('T_SelfStock'!BZ40&lt;&gt;""))*(('T_TTAFStock'!BZ40&lt;&gt;""))&gt;0,'T_SelfStock'!BZ40+'T_TTAFStock'!BZ40,BY36+'Grid_Incoming'!BZ36-'Grid_Requirement'!BZ36))</f>
        <v/>
      </c>
      <c r="CA36">
        <f>IF(COUNTIFS(T_StockCount[Part Name],$A36,T_StockCount[WeekIndex],78)&gt;0,SUMIFS(T_StockCount[CountedQty],T_StockCount[Part Name],$A36,T_StockCount[WeekIndex],78),IF((('T_SelfStock'!CA40&lt;&gt;""))*(('T_TTAFStock'!CA40&lt;&gt;""))&gt;0,'T_SelfStock'!CA40+'T_TTAFStock'!CA40,BZ36+'Grid_Incoming'!CA36-'Grid_Requirement'!CA36))</f>
        <v/>
      </c>
      <c r="CB36">
        <f>IF(COUNTIFS(T_StockCount[Part Name],$A36,T_StockCount[WeekIndex],79)&gt;0,SUMIFS(T_StockCount[CountedQty],T_StockCount[Part Name],$A36,T_StockCount[WeekIndex],79),IF((('T_SelfStock'!CB40&lt;&gt;""))*(('T_TTAFStock'!CB40&lt;&gt;""))&gt;0,'T_SelfStock'!CB40+'T_TTAFStock'!CB40,CA36+'Grid_Incoming'!CB36-'Grid_Requirement'!CB36))</f>
        <v/>
      </c>
      <c r="CC36">
        <f>IF(COUNTIFS(T_StockCount[Part Name],$A36,T_StockCount[WeekIndex],80)&gt;0,SUMIFS(T_StockCount[CountedQty],T_StockCount[Part Name],$A36,T_StockCount[WeekIndex],80),IF((('T_SelfStock'!CC40&lt;&gt;""))*(('T_TTAFStock'!CC40&lt;&gt;""))&gt;0,'T_SelfStock'!CC40+'T_TTAFStock'!CC40,CB36+'Grid_Incoming'!CC36-'Grid_Requirement'!CC36))</f>
        <v/>
      </c>
      <c r="CD36">
        <f>IF(COUNTIFS(T_StockCount[Part Name],$A36,T_StockCount[WeekIndex],81)&gt;0,SUMIFS(T_StockCount[CountedQty],T_StockCount[Part Name],$A36,T_StockCount[WeekIndex],81),IF((('T_SelfStock'!CD40&lt;&gt;""))*(('T_TTAFStock'!CD40&lt;&gt;""))&gt;0,'T_SelfStock'!CD40+'T_TTAFStock'!CD40,CC36+'Grid_Incoming'!CD36-'Grid_Requirement'!CD36))</f>
        <v/>
      </c>
      <c r="CE36">
        <f>IF(COUNTIFS(T_StockCount[Part Name],$A36,T_StockCount[WeekIndex],82)&gt;0,SUMIFS(T_StockCount[CountedQty],T_StockCount[Part Name],$A36,T_StockCount[WeekIndex],82),IF((('T_SelfStock'!CE40&lt;&gt;""))*(('T_TTAFStock'!CE40&lt;&gt;""))&gt;0,'T_SelfStock'!CE40+'T_TTAFStock'!CE40,CD36+'Grid_Incoming'!CE36-'Grid_Requirement'!CE36))</f>
        <v/>
      </c>
      <c r="CF36">
        <f>IF(COUNTIFS(T_StockCount[Part Name],$A36,T_StockCount[WeekIndex],83)&gt;0,SUMIFS(T_StockCount[CountedQty],T_StockCount[Part Name],$A36,T_StockCount[WeekIndex],83),IF((('T_SelfStock'!CF40&lt;&gt;""))*(('T_TTAFStock'!CF40&lt;&gt;""))&gt;0,'T_SelfStock'!CF40+'T_TTAFStock'!CF40,CE36+'Grid_Incoming'!CF36-'Grid_Requirement'!CF36))</f>
        <v/>
      </c>
      <c r="CG36">
        <f>IF(COUNTIFS(T_StockCount[Part Name],$A36,T_StockCount[WeekIndex],84)&gt;0,SUMIFS(T_StockCount[CountedQty],T_StockCount[Part Name],$A36,T_StockCount[WeekIndex],84),IF((('T_SelfStock'!CG40&lt;&gt;""))*(('T_TTAFStock'!CG40&lt;&gt;""))&gt;0,'T_SelfStock'!CG40+'T_TTAFStock'!CG40,CF36+'Grid_Incoming'!CG36-'Grid_Requirement'!CG36))</f>
        <v/>
      </c>
      <c r="CH36">
        <f>IF(COUNTIFS(T_StockCount[Part Name],$A36,T_StockCount[WeekIndex],85)&gt;0,SUMIFS(T_StockCount[CountedQty],T_StockCount[Part Name],$A36,T_StockCount[WeekIndex],85),IF((('T_SelfStock'!CH40&lt;&gt;""))*(('T_TTAFStock'!CH40&lt;&gt;""))&gt;0,'T_SelfStock'!CH40+'T_TTAFStock'!CH40,CG36+'Grid_Incoming'!CH36-'Grid_Requirement'!CH36))</f>
        <v/>
      </c>
      <c r="CI36">
        <f>IF(COUNTIFS(T_StockCount[Part Name],$A36,T_StockCount[WeekIndex],86)&gt;0,SUMIFS(T_StockCount[CountedQty],T_StockCount[Part Name],$A36,T_StockCount[WeekIndex],86),IF((('T_SelfStock'!CI40&lt;&gt;""))*(('T_TTAFStock'!CI40&lt;&gt;""))&gt;0,'T_SelfStock'!CI40+'T_TTAFStock'!CI40,CH36+'Grid_Incoming'!CI36-'Grid_Requirement'!CI36))</f>
        <v/>
      </c>
      <c r="CJ36">
        <f>IF(COUNTIFS(T_StockCount[Part Name],$A36,T_StockCount[WeekIndex],87)&gt;0,SUMIFS(T_StockCount[CountedQty],T_StockCount[Part Name],$A36,T_StockCount[WeekIndex],87),IF((('T_SelfStock'!CJ40&lt;&gt;""))*(('T_TTAFStock'!CJ40&lt;&gt;""))&gt;0,'T_SelfStock'!CJ40+'T_TTAFStock'!CJ40,CI36+'Grid_Incoming'!CJ36-'Grid_Requirement'!CJ36))</f>
        <v/>
      </c>
      <c r="CK36">
        <f>IF(COUNTIFS(T_StockCount[Part Name],$A36,T_StockCount[WeekIndex],88)&gt;0,SUMIFS(T_StockCount[CountedQty],T_StockCount[Part Name],$A36,T_StockCount[WeekIndex],88),IF((('T_SelfStock'!CK40&lt;&gt;""))*(('T_TTAFStock'!CK40&lt;&gt;""))&gt;0,'T_SelfStock'!CK40+'T_TTAFStock'!CK40,CJ36+'Grid_Incoming'!CK36-'Grid_Requirement'!CK36))</f>
        <v/>
      </c>
      <c r="CL36">
        <f>IF(COUNTIFS(T_StockCount[Part Name],$A36,T_StockCount[WeekIndex],89)&gt;0,SUMIFS(T_StockCount[CountedQty],T_StockCount[Part Name],$A36,T_StockCount[WeekIndex],89),IF((('T_SelfStock'!CL40&lt;&gt;""))*(('T_TTAFStock'!CL40&lt;&gt;""))&gt;0,'T_SelfStock'!CL40+'T_TTAFStock'!CL40,CK36+'Grid_Incoming'!CL36-'Grid_Requirement'!CL36))</f>
        <v/>
      </c>
      <c r="CM36">
        <f>IF(COUNTIFS(T_StockCount[Part Name],$A36,T_StockCount[WeekIndex],90)&gt;0,SUMIFS(T_StockCount[CountedQty],T_StockCount[Part Name],$A36,T_StockCount[WeekIndex],90),IF((('T_SelfStock'!CM40&lt;&gt;""))*(('T_TTAFStock'!CM40&lt;&gt;""))&gt;0,'T_SelfStock'!CM40+'T_TTAFStock'!CM40,CL36+'Grid_Incoming'!CM36-'Grid_Requirement'!CM36))</f>
        <v/>
      </c>
      <c r="CN36">
        <f>IF(COUNTIFS(T_StockCount[Part Name],$A36,T_StockCount[WeekIndex],91)&gt;0,SUMIFS(T_StockCount[CountedQty],T_StockCount[Part Name],$A36,T_StockCount[WeekIndex],91),IF((('T_SelfStock'!CN40&lt;&gt;""))*(('T_TTAFStock'!CN40&lt;&gt;""))&gt;0,'T_SelfStock'!CN40+'T_TTAFStock'!CN40,CM36+'Grid_Incoming'!CN36-'Grid_Requirement'!CN36))</f>
        <v/>
      </c>
      <c r="CO36">
        <f>IF(COUNTIFS(T_StockCount[Part Name],$A36,T_StockCount[WeekIndex],92)&gt;0,SUMIFS(T_StockCount[CountedQty],T_StockCount[Part Name],$A36,T_StockCount[WeekIndex],92),IF((('T_SelfStock'!CO40&lt;&gt;""))*(('T_TTAFStock'!CO40&lt;&gt;""))&gt;0,'T_SelfStock'!CO40+'T_TTAFStock'!CO40,CN36+'Grid_Incoming'!CO36-'Grid_Requirement'!CO36))</f>
        <v/>
      </c>
      <c r="CP36">
        <f>IF(COUNTIFS(T_StockCount[Part Name],$A36,T_StockCount[WeekIndex],93)&gt;0,SUMIFS(T_StockCount[CountedQty],T_StockCount[Part Name],$A36,T_StockCount[WeekIndex],93),IF((('T_SelfStock'!CP40&lt;&gt;""))*(('T_TTAFStock'!CP40&lt;&gt;""))&gt;0,'T_SelfStock'!CP40+'T_TTAFStock'!CP40,CO36+'Grid_Incoming'!CP36-'Grid_Requirement'!CP36))</f>
        <v/>
      </c>
      <c r="CQ36">
        <f>IF(COUNTIFS(T_StockCount[Part Name],$A36,T_StockCount[WeekIndex],94)&gt;0,SUMIFS(T_StockCount[CountedQty],T_StockCount[Part Name],$A36,T_StockCount[WeekIndex],94),IF((('T_SelfStock'!CQ40&lt;&gt;""))*(('T_TTAFStock'!CQ40&lt;&gt;""))&gt;0,'T_SelfStock'!CQ40+'T_TTAFStock'!CQ40,CP36+'Grid_Incoming'!CQ36-'Grid_Requirement'!CQ36))</f>
        <v/>
      </c>
      <c r="CR36">
        <f>IF(COUNTIFS(T_StockCount[Part Name],$A36,T_StockCount[WeekIndex],95)&gt;0,SUMIFS(T_StockCount[CountedQty],T_StockCount[Part Name],$A36,T_StockCount[WeekIndex],95),IF((('T_SelfStock'!CR40&lt;&gt;""))*(('T_TTAFStock'!CR40&lt;&gt;""))&gt;0,'T_SelfStock'!CR40+'T_TTAFStock'!CR40,CQ36+'Grid_Incoming'!CR36-'Grid_Requirement'!CR36))</f>
        <v/>
      </c>
      <c r="CS36">
        <f>IF(COUNTIFS(T_StockCount[Part Name],$A36,T_StockCount[WeekIndex],96)&gt;0,SUMIFS(T_StockCount[CountedQty],T_StockCount[Part Name],$A36,T_StockCount[WeekIndex],96),IF((('T_SelfStock'!CS40&lt;&gt;""))*(('T_TTAFStock'!CS40&lt;&gt;""))&gt;0,'T_SelfStock'!CS40+'T_TTAFStock'!CS40,CR36+'Grid_Incoming'!CS36-'Grid_Requirement'!CS36))</f>
        <v/>
      </c>
      <c r="CT36">
        <f>IF(COUNTIFS(T_StockCount[Part Name],$A36,T_StockCount[WeekIndex],97)&gt;0,SUMIFS(T_StockCount[CountedQty],T_StockCount[Part Name],$A36,T_StockCount[WeekIndex],97),IF((('T_SelfStock'!CT40&lt;&gt;""))*(('T_TTAFStock'!CT40&lt;&gt;""))&gt;0,'T_SelfStock'!CT40+'T_TTAFStock'!CT40,CS36+'Grid_Incoming'!CT36-'Grid_Requirement'!CT36))</f>
        <v/>
      </c>
      <c r="CU36">
        <f>IF(COUNTIFS(T_StockCount[Part Name],$A36,T_StockCount[WeekIndex],98)&gt;0,SUMIFS(T_StockCount[CountedQty],T_StockCount[Part Name],$A36,T_StockCount[WeekIndex],98),IF((('T_SelfStock'!CU40&lt;&gt;""))*(('T_TTAFStock'!CU40&lt;&gt;""))&gt;0,'T_SelfStock'!CU40+'T_TTAFStock'!CU40,CT36+'Grid_Incoming'!CU36-'Grid_Requirement'!CU36))</f>
        <v/>
      </c>
      <c r="CV36">
        <f>IF(COUNTIFS(T_StockCount[Part Name],$A36,T_StockCount[WeekIndex],99)&gt;0,SUMIFS(T_StockCount[CountedQty],T_StockCount[Part Name],$A36,T_StockCount[WeekIndex],99),IF((('T_SelfStock'!CV40&lt;&gt;""))*(('T_TTAFStock'!CV40&lt;&gt;""))&gt;0,'T_SelfStock'!CV40+'T_TTAFStock'!CV40,CU36+'Grid_Incoming'!CV36-'Grid_Requirement'!CV36))</f>
        <v/>
      </c>
      <c r="CW36">
        <f>IF(COUNTIFS(T_StockCount[Part Name],$A36,T_StockCount[WeekIndex],100)&gt;0,SUMIFS(T_StockCount[CountedQty],T_StockCount[Part Name],$A36,T_StockCount[WeekIndex],100),IF((('T_SelfStock'!CW40&lt;&gt;""))*(('T_TTAFStock'!CW40&lt;&gt;""))&gt;0,'T_SelfStock'!CW40+'T_TTAFStock'!CW40,CV36+'Grid_Incoming'!CW36-'Grid_Requirement'!CW36))</f>
        <v/>
      </c>
      <c r="CX36">
        <f>IF(COUNTIFS(T_StockCount[Part Name],$A36,T_StockCount[WeekIndex],101)&gt;0,SUMIFS(T_StockCount[CountedQty],T_StockCount[Part Name],$A36,T_StockCount[WeekIndex],101),IF((('T_SelfStock'!CX40&lt;&gt;""))*(('T_TTAFStock'!CX40&lt;&gt;""))&gt;0,'T_SelfStock'!CX40+'T_TTAFStock'!CX40,CW36+'Grid_Incoming'!CX36-'Grid_Requirement'!CX36))</f>
        <v/>
      </c>
      <c r="CY36">
        <f>IF(COUNTIFS(T_StockCount[Part Name],$A36,T_StockCount[WeekIndex],102)&gt;0,SUMIFS(T_StockCount[CountedQty],T_StockCount[Part Name],$A36,T_StockCount[WeekIndex],102),IF((('T_SelfStock'!CY40&lt;&gt;""))*(('T_TTAFStock'!CY40&lt;&gt;""))&gt;0,'T_SelfStock'!CY40+'T_TTAFStock'!CY40,CX36+'Grid_Incoming'!CY36-'Grid_Requirement'!CY36))</f>
        <v/>
      </c>
      <c r="CZ36">
        <f>IF(COUNTIFS(T_StockCount[Part Name],$A36,T_StockCount[WeekIndex],103)&gt;0,SUMIFS(T_StockCount[CountedQty],T_StockCount[Part Name],$A36,T_StockCount[WeekIndex],103),IF((('T_SelfStock'!CZ40&lt;&gt;""))*(('T_TTAFStock'!CZ40&lt;&gt;""))&gt;0,'T_SelfStock'!CZ40+'T_TTAFStock'!CZ40,CY36+'Grid_Incoming'!CZ36-'Grid_Requirement'!CZ36))</f>
        <v/>
      </c>
      <c r="DA36">
        <f>IF(COUNTIFS(T_StockCount[Part Name],$A36,T_StockCount[WeekIndex],104)&gt;0,SUMIFS(T_StockCount[CountedQty],T_StockCount[Part Name],$A36,T_StockCount[WeekIndex],104),IF((('T_SelfStock'!DA40&lt;&gt;""))*(('T_TTAFStock'!DA40&lt;&gt;""))&gt;0,'T_SelfStock'!DA40+'T_TTAFStock'!DA40,CZ36+'Grid_Incoming'!DA36-'Grid_Requirement'!DA36))</f>
        <v/>
      </c>
    </row>
    <row r="37">
      <c r="A37" t="inlineStr">
        <is>
          <t>CHEM-1020</t>
        </is>
      </c>
      <c r="B37">
        <f>IF(COUNTIFS(T_StockCount[Part Name],$A37,T_StockCount[WeekIndex],1)&gt;0,SUMIFS(T_StockCount[CountedQty],T_StockCount[Part Name],$A37,T_StockCount[WeekIndex],1),IF((('T_SelfStock'!B41&lt;&gt;""))*(('T_TTAFStock'!B41&lt;&gt;""))&gt;0,'T_SelfStock'!B41+'T_TTAFStock'!B41,IFERROR(INDEX(T_OpeningStock[Opening_Qty],MATCH($A37,T_OpeningStock[Part Name],0)),0)+'Grid_Incoming'!B37-'Grid_Requirement'!B37))</f>
        <v/>
      </c>
      <c r="C37">
        <f>IF(COUNTIFS(T_StockCount[Part Name],$A37,T_StockCount[WeekIndex],2)&gt;0,SUMIFS(T_StockCount[CountedQty],T_StockCount[Part Name],$A37,T_StockCount[WeekIndex],2),IF((('T_SelfStock'!C41&lt;&gt;""))*(('T_TTAFStock'!C41&lt;&gt;""))&gt;0,'T_SelfStock'!C41+'T_TTAFStock'!C41,B37+'Grid_Incoming'!C37-'Grid_Requirement'!C37))</f>
        <v/>
      </c>
      <c r="D37">
        <f>IF(COUNTIFS(T_StockCount[Part Name],$A37,T_StockCount[WeekIndex],3)&gt;0,SUMIFS(T_StockCount[CountedQty],T_StockCount[Part Name],$A37,T_StockCount[WeekIndex],3),IF((('T_SelfStock'!D41&lt;&gt;""))*(('T_TTAFStock'!D41&lt;&gt;""))&gt;0,'T_SelfStock'!D41+'T_TTAFStock'!D41,C37+'Grid_Incoming'!D37-'Grid_Requirement'!D37))</f>
        <v/>
      </c>
      <c r="E37">
        <f>IF(COUNTIFS(T_StockCount[Part Name],$A37,T_StockCount[WeekIndex],4)&gt;0,SUMIFS(T_StockCount[CountedQty],T_StockCount[Part Name],$A37,T_StockCount[WeekIndex],4),IF((('T_SelfStock'!E41&lt;&gt;""))*(('T_TTAFStock'!E41&lt;&gt;""))&gt;0,'T_SelfStock'!E41+'T_TTAFStock'!E41,D37+'Grid_Incoming'!E37-'Grid_Requirement'!E37))</f>
        <v/>
      </c>
      <c r="F37">
        <f>IF(COUNTIFS(T_StockCount[Part Name],$A37,T_StockCount[WeekIndex],5)&gt;0,SUMIFS(T_StockCount[CountedQty],T_StockCount[Part Name],$A37,T_StockCount[WeekIndex],5),IF((('T_SelfStock'!F41&lt;&gt;""))*(('T_TTAFStock'!F41&lt;&gt;""))&gt;0,'T_SelfStock'!F41+'T_TTAFStock'!F41,E37+'Grid_Incoming'!F37-'Grid_Requirement'!F37))</f>
        <v/>
      </c>
      <c r="G37">
        <f>IF(COUNTIFS(T_StockCount[Part Name],$A37,T_StockCount[WeekIndex],6)&gt;0,SUMIFS(T_StockCount[CountedQty],T_StockCount[Part Name],$A37,T_StockCount[WeekIndex],6),IF((('T_SelfStock'!G41&lt;&gt;""))*(('T_TTAFStock'!G41&lt;&gt;""))&gt;0,'T_SelfStock'!G41+'T_TTAFStock'!G41,F37+'Grid_Incoming'!G37-'Grid_Requirement'!G37))</f>
        <v/>
      </c>
      <c r="H37">
        <f>IF(COUNTIFS(T_StockCount[Part Name],$A37,T_StockCount[WeekIndex],7)&gt;0,SUMIFS(T_StockCount[CountedQty],T_StockCount[Part Name],$A37,T_StockCount[WeekIndex],7),IF((('T_SelfStock'!H41&lt;&gt;""))*(('T_TTAFStock'!H41&lt;&gt;""))&gt;0,'T_SelfStock'!H41+'T_TTAFStock'!H41,G37+'Grid_Incoming'!H37-'Grid_Requirement'!H37))</f>
        <v/>
      </c>
      <c r="I37">
        <f>IF(COUNTIFS(T_StockCount[Part Name],$A37,T_StockCount[WeekIndex],8)&gt;0,SUMIFS(T_StockCount[CountedQty],T_StockCount[Part Name],$A37,T_StockCount[WeekIndex],8),IF((('T_SelfStock'!I41&lt;&gt;""))*(('T_TTAFStock'!I41&lt;&gt;""))&gt;0,'T_SelfStock'!I41+'T_TTAFStock'!I41,H37+'Grid_Incoming'!I37-'Grid_Requirement'!I37))</f>
        <v/>
      </c>
      <c r="J37">
        <f>IF(COUNTIFS(T_StockCount[Part Name],$A37,T_StockCount[WeekIndex],9)&gt;0,SUMIFS(T_StockCount[CountedQty],T_StockCount[Part Name],$A37,T_StockCount[WeekIndex],9),IF((('T_SelfStock'!J41&lt;&gt;""))*(('T_TTAFStock'!J41&lt;&gt;""))&gt;0,'T_SelfStock'!J41+'T_TTAFStock'!J41,I37+'Grid_Incoming'!J37-'Grid_Requirement'!J37))</f>
        <v/>
      </c>
      <c r="K37">
        <f>IF(COUNTIFS(T_StockCount[Part Name],$A37,T_StockCount[WeekIndex],10)&gt;0,SUMIFS(T_StockCount[CountedQty],T_StockCount[Part Name],$A37,T_StockCount[WeekIndex],10),IF((('T_SelfStock'!K41&lt;&gt;""))*(('T_TTAFStock'!K41&lt;&gt;""))&gt;0,'T_SelfStock'!K41+'T_TTAFStock'!K41,J37+'Grid_Incoming'!K37-'Grid_Requirement'!K37))</f>
        <v/>
      </c>
      <c r="L37">
        <f>IF(COUNTIFS(T_StockCount[Part Name],$A37,T_StockCount[WeekIndex],11)&gt;0,SUMIFS(T_StockCount[CountedQty],T_StockCount[Part Name],$A37,T_StockCount[WeekIndex],11),IF((('T_SelfStock'!L41&lt;&gt;""))*(('T_TTAFStock'!L41&lt;&gt;""))&gt;0,'T_SelfStock'!L41+'T_TTAFStock'!L41,K37+'Grid_Incoming'!L37-'Grid_Requirement'!L37))</f>
        <v/>
      </c>
      <c r="M37">
        <f>IF(COUNTIFS(T_StockCount[Part Name],$A37,T_StockCount[WeekIndex],12)&gt;0,SUMIFS(T_StockCount[CountedQty],T_StockCount[Part Name],$A37,T_StockCount[WeekIndex],12),IF((('T_SelfStock'!M41&lt;&gt;""))*(('T_TTAFStock'!M41&lt;&gt;""))&gt;0,'T_SelfStock'!M41+'T_TTAFStock'!M41,L37+'Grid_Incoming'!M37-'Grid_Requirement'!M37))</f>
        <v/>
      </c>
      <c r="N37">
        <f>IF(COUNTIFS(T_StockCount[Part Name],$A37,T_StockCount[WeekIndex],13)&gt;0,SUMIFS(T_StockCount[CountedQty],T_StockCount[Part Name],$A37,T_StockCount[WeekIndex],13),IF((('T_SelfStock'!N41&lt;&gt;""))*(('T_TTAFStock'!N41&lt;&gt;""))&gt;0,'T_SelfStock'!N41+'T_TTAFStock'!N41,M37+'Grid_Incoming'!N37-'Grid_Requirement'!N37))</f>
        <v/>
      </c>
      <c r="O37">
        <f>IF(COUNTIFS(T_StockCount[Part Name],$A37,T_StockCount[WeekIndex],14)&gt;0,SUMIFS(T_StockCount[CountedQty],T_StockCount[Part Name],$A37,T_StockCount[WeekIndex],14),IF((('T_SelfStock'!O41&lt;&gt;""))*(('T_TTAFStock'!O41&lt;&gt;""))&gt;0,'T_SelfStock'!O41+'T_TTAFStock'!O41,N37+'Grid_Incoming'!O37-'Grid_Requirement'!O37))</f>
        <v/>
      </c>
      <c r="P37">
        <f>IF(COUNTIFS(T_StockCount[Part Name],$A37,T_StockCount[WeekIndex],15)&gt;0,SUMIFS(T_StockCount[CountedQty],T_StockCount[Part Name],$A37,T_StockCount[WeekIndex],15),IF((('T_SelfStock'!P41&lt;&gt;""))*(('T_TTAFStock'!P41&lt;&gt;""))&gt;0,'T_SelfStock'!P41+'T_TTAFStock'!P41,O37+'Grid_Incoming'!P37-'Grid_Requirement'!P37))</f>
        <v/>
      </c>
      <c r="Q37">
        <f>IF(COUNTIFS(T_StockCount[Part Name],$A37,T_StockCount[WeekIndex],16)&gt;0,SUMIFS(T_StockCount[CountedQty],T_StockCount[Part Name],$A37,T_StockCount[WeekIndex],16),IF((('T_SelfStock'!Q41&lt;&gt;""))*(('T_TTAFStock'!Q41&lt;&gt;""))&gt;0,'T_SelfStock'!Q41+'T_TTAFStock'!Q41,P37+'Grid_Incoming'!Q37-'Grid_Requirement'!Q37))</f>
        <v/>
      </c>
      <c r="R37">
        <f>IF(COUNTIFS(T_StockCount[Part Name],$A37,T_StockCount[WeekIndex],17)&gt;0,SUMIFS(T_StockCount[CountedQty],T_StockCount[Part Name],$A37,T_StockCount[WeekIndex],17),IF((('T_SelfStock'!R41&lt;&gt;""))*(('T_TTAFStock'!R41&lt;&gt;""))&gt;0,'T_SelfStock'!R41+'T_TTAFStock'!R41,Q37+'Grid_Incoming'!R37-'Grid_Requirement'!R37))</f>
        <v/>
      </c>
      <c r="S37">
        <f>IF(COUNTIFS(T_StockCount[Part Name],$A37,T_StockCount[WeekIndex],18)&gt;0,SUMIFS(T_StockCount[CountedQty],T_StockCount[Part Name],$A37,T_StockCount[WeekIndex],18),IF((('T_SelfStock'!S41&lt;&gt;""))*(('T_TTAFStock'!S41&lt;&gt;""))&gt;0,'T_SelfStock'!S41+'T_TTAFStock'!S41,R37+'Grid_Incoming'!S37-'Grid_Requirement'!S37))</f>
        <v/>
      </c>
      <c r="T37">
        <f>IF(COUNTIFS(T_StockCount[Part Name],$A37,T_StockCount[WeekIndex],19)&gt;0,SUMIFS(T_StockCount[CountedQty],T_StockCount[Part Name],$A37,T_StockCount[WeekIndex],19),IF((('T_SelfStock'!T41&lt;&gt;""))*(('T_TTAFStock'!T41&lt;&gt;""))&gt;0,'T_SelfStock'!T41+'T_TTAFStock'!T41,S37+'Grid_Incoming'!T37-'Grid_Requirement'!T37))</f>
        <v/>
      </c>
      <c r="U37">
        <f>IF(COUNTIFS(T_StockCount[Part Name],$A37,T_StockCount[WeekIndex],20)&gt;0,SUMIFS(T_StockCount[CountedQty],T_StockCount[Part Name],$A37,T_StockCount[WeekIndex],20),IF((('T_SelfStock'!U41&lt;&gt;""))*(('T_TTAFStock'!U41&lt;&gt;""))&gt;0,'T_SelfStock'!U41+'T_TTAFStock'!U41,T37+'Grid_Incoming'!U37-'Grid_Requirement'!U37))</f>
        <v/>
      </c>
      <c r="V37">
        <f>IF(COUNTIFS(T_StockCount[Part Name],$A37,T_StockCount[WeekIndex],21)&gt;0,SUMIFS(T_StockCount[CountedQty],T_StockCount[Part Name],$A37,T_StockCount[WeekIndex],21),IF((('T_SelfStock'!V41&lt;&gt;""))*(('T_TTAFStock'!V41&lt;&gt;""))&gt;0,'T_SelfStock'!V41+'T_TTAFStock'!V41,U37+'Grid_Incoming'!V37-'Grid_Requirement'!V37))</f>
        <v/>
      </c>
      <c r="W37">
        <f>IF(COUNTIFS(T_StockCount[Part Name],$A37,T_StockCount[WeekIndex],22)&gt;0,SUMIFS(T_StockCount[CountedQty],T_StockCount[Part Name],$A37,T_StockCount[WeekIndex],22),IF((('T_SelfStock'!W41&lt;&gt;""))*(('T_TTAFStock'!W41&lt;&gt;""))&gt;0,'T_SelfStock'!W41+'T_TTAFStock'!W41,V37+'Grid_Incoming'!W37-'Grid_Requirement'!W37))</f>
        <v/>
      </c>
      <c r="X37">
        <f>IF(COUNTIFS(T_StockCount[Part Name],$A37,T_StockCount[WeekIndex],23)&gt;0,SUMIFS(T_StockCount[CountedQty],T_StockCount[Part Name],$A37,T_StockCount[WeekIndex],23),IF((('T_SelfStock'!X41&lt;&gt;""))*(('T_TTAFStock'!X41&lt;&gt;""))&gt;0,'T_SelfStock'!X41+'T_TTAFStock'!X41,W37+'Grid_Incoming'!X37-'Grid_Requirement'!X37))</f>
        <v/>
      </c>
      <c r="Y37">
        <f>IF(COUNTIFS(T_StockCount[Part Name],$A37,T_StockCount[WeekIndex],24)&gt;0,SUMIFS(T_StockCount[CountedQty],T_StockCount[Part Name],$A37,T_StockCount[WeekIndex],24),IF((('T_SelfStock'!Y41&lt;&gt;""))*(('T_TTAFStock'!Y41&lt;&gt;""))&gt;0,'T_SelfStock'!Y41+'T_TTAFStock'!Y41,X37+'Grid_Incoming'!Y37-'Grid_Requirement'!Y37))</f>
        <v/>
      </c>
      <c r="Z37">
        <f>IF(COUNTIFS(T_StockCount[Part Name],$A37,T_StockCount[WeekIndex],25)&gt;0,SUMIFS(T_StockCount[CountedQty],T_StockCount[Part Name],$A37,T_StockCount[WeekIndex],25),IF((('T_SelfStock'!Z41&lt;&gt;""))*(('T_TTAFStock'!Z41&lt;&gt;""))&gt;0,'T_SelfStock'!Z41+'T_TTAFStock'!Z41,Y37+'Grid_Incoming'!Z37-'Grid_Requirement'!Z37))</f>
        <v/>
      </c>
      <c r="AA37">
        <f>IF(COUNTIFS(T_StockCount[Part Name],$A37,T_StockCount[WeekIndex],26)&gt;0,SUMIFS(T_StockCount[CountedQty],T_StockCount[Part Name],$A37,T_StockCount[WeekIndex],26),IF((('T_SelfStock'!AA41&lt;&gt;""))*(('T_TTAFStock'!AA41&lt;&gt;""))&gt;0,'T_SelfStock'!AA41+'T_TTAFStock'!AA41,Z37+'Grid_Incoming'!AA37-'Grid_Requirement'!AA37))</f>
        <v/>
      </c>
      <c r="AB37">
        <f>IF(COUNTIFS(T_StockCount[Part Name],$A37,T_StockCount[WeekIndex],27)&gt;0,SUMIFS(T_StockCount[CountedQty],T_StockCount[Part Name],$A37,T_StockCount[WeekIndex],27),IF((('T_SelfStock'!AB41&lt;&gt;""))*(('T_TTAFStock'!AB41&lt;&gt;""))&gt;0,'T_SelfStock'!AB41+'T_TTAFStock'!AB41,AA37+'Grid_Incoming'!AB37-'Grid_Requirement'!AB37))</f>
        <v/>
      </c>
      <c r="AC37">
        <f>IF(COUNTIFS(T_StockCount[Part Name],$A37,T_StockCount[WeekIndex],28)&gt;0,SUMIFS(T_StockCount[CountedQty],T_StockCount[Part Name],$A37,T_StockCount[WeekIndex],28),IF((('T_SelfStock'!AC41&lt;&gt;""))*(('T_TTAFStock'!AC41&lt;&gt;""))&gt;0,'T_SelfStock'!AC41+'T_TTAFStock'!AC41,AB37+'Grid_Incoming'!AC37-'Grid_Requirement'!AC37))</f>
        <v/>
      </c>
      <c r="AD37">
        <f>IF(COUNTIFS(T_StockCount[Part Name],$A37,T_StockCount[WeekIndex],29)&gt;0,SUMIFS(T_StockCount[CountedQty],T_StockCount[Part Name],$A37,T_StockCount[WeekIndex],29),IF((('T_SelfStock'!AD41&lt;&gt;""))*(('T_TTAFStock'!AD41&lt;&gt;""))&gt;0,'T_SelfStock'!AD41+'T_TTAFStock'!AD41,AC37+'Grid_Incoming'!AD37-'Grid_Requirement'!AD37))</f>
        <v/>
      </c>
      <c r="AE37">
        <f>IF(COUNTIFS(T_StockCount[Part Name],$A37,T_StockCount[WeekIndex],30)&gt;0,SUMIFS(T_StockCount[CountedQty],T_StockCount[Part Name],$A37,T_StockCount[WeekIndex],30),IF((('T_SelfStock'!AE41&lt;&gt;""))*(('T_TTAFStock'!AE41&lt;&gt;""))&gt;0,'T_SelfStock'!AE41+'T_TTAFStock'!AE41,AD37+'Grid_Incoming'!AE37-'Grid_Requirement'!AE37))</f>
        <v/>
      </c>
      <c r="AF37">
        <f>IF(COUNTIFS(T_StockCount[Part Name],$A37,T_StockCount[WeekIndex],31)&gt;0,SUMIFS(T_StockCount[CountedQty],T_StockCount[Part Name],$A37,T_StockCount[WeekIndex],31),IF((('T_SelfStock'!AF41&lt;&gt;""))*(('T_TTAFStock'!AF41&lt;&gt;""))&gt;0,'T_SelfStock'!AF41+'T_TTAFStock'!AF41,AE37+'Grid_Incoming'!AF37-'Grid_Requirement'!AF37))</f>
        <v/>
      </c>
      <c r="AG37">
        <f>IF(COUNTIFS(T_StockCount[Part Name],$A37,T_StockCount[WeekIndex],32)&gt;0,SUMIFS(T_StockCount[CountedQty],T_StockCount[Part Name],$A37,T_StockCount[WeekIndex],32),IF((('T_SelfStock'!AG41&lt;&gt;""))*(('T_TTAFStock'!AG41&lt;&gt;""))&gt;0,'T_SelfStock'!AG41+'T_TTAFStock'!AG41,AF37+'Grid_Incoming'!AG37-'Grid_Requirement'!AG37))</f>
        <v/>
      </c>
      <c r="AH37">
        <f>IF(COUNTIFS(T_StockCount[Part Name],$A37,T_StockCount[WeekIndex],33)&gt;0,SUMIFS(T_StockCount[CountedQty],T_StockCount[Part Name],$A37,T_StockCount[WeekIndex],33),IF((('T_SelfStock'!AH41&lt;&gt;""))*(('T_TTAFStock'!AH41&lt;&gt;""))&gt;0,'T_SelfStock'!AH41+'T_TTAFStock'!AH41,AG37+'Grid_Incoming'!AH37-'Grid_Requirement'!AH37))</f>
        <v/>
      </c>
      <c r="AI37">
        <f>IF(COUNTIFS(T_StockCount[Part Name],$A37,T_StockCount[WeekIndex],34)&gt;0,SUMIFS(T_StockCount[CountedQty],T_StockCount[Part Name],$A37,T_StockCount[WeekIndex],34),IF((('T_SelfStock'!AI41&lt;&gt;""))*(('T_TTAFStock'!AI41&lt;&gt;""))&gt;0,'T_SelfStock'!AI41+'T_TTAFStock'!AI41,AH37+'Grid_Incoming'!AI37-'Grid_Requirement'!AI37))</f>
        <v/>
      </c>
      <c r="AJ37">
        <f>IF(COUNTIFS(T_StockCount[Part Name],$A37,T_StockCount[WeekIndex],35)&gt;0,SUMIFS(T_StockCount[CountedQty],T_StockCount[Part Name],$A37,T_StockCount[WeekIndex],35),IF((('T_SelfStock'!AJ41&lt;&gt;""))*(('T_TTAFStock'!AJ41&lt;&gt;""))&gt;0,'T_SelfStock'!AJ41+'T_TTAFStock'!AJ41,AI37+'Grid_Incoming'!AJ37-'Grid_Requirement'!AJ37))</f>
        <v/>
      </c>
      <c r="AK37">
        <f>IF(COUNTIFS(T_StockCount[Part Name],$A37,T_StockCount[WeekIndex],36)&gt;0,SUMIFS(T_StockCount[CountedQty],T_StockCount[Part Name],$A37,T_StockCount[WeekIndex],36),IF((('T_SelfStock'!AK41&lt;&gt;""))*(('T_TTAFStock'!AK41&lt;&gt;""))&gt;0,'T_SelfStock'!AK41+'T_TTAFStock'!AK41,AJ37+'Grid_Incoming'!AK37-'Grid_Requirement'!AK37))</f>
        <v/>
      </c>
      <c r="AL37">
        <f>IF(COUNTIFS(T_StockCount[Part Name],$A37,T_StockCount[WeekIndex],37)&gt;0,SUMIFS(T_StockCount[CountedQty],T_StockCount[Part Name],$A37,T_StockCount[WeekIndex],37),IF((('T_SelfStock'!AL41&lt;&gt;""))*(('T_TTAFStock'!AL41&lt;&gt;""))&gt;0,'T_SelfStock'!AL41+'T_TTAFStock'!AL41,AK37+'Grid_Incoming'!AL37-'Grid_Requirement'!AL37))</f>
        <v/>
      </c>
      <c r="AM37">
        <f>IF(COUNTIFS(T_StockCount[Part Name],$A37,T_StockCount[WeekIndex],38)&gt;0,SUMIFS(T_StockCount[CountedQty],T_StockCount[Part Name],$A37,T_StockCount[WeekIndex],38),IF((('T_SelfStock'!AM41&lt;&gt;""))*(('T_TTAFStock'!AM41&lt;&gt;""))&gt;0,'T_SelfStock'!AM41+'T_TTAFStock'!AM41,AL37+'Grid_Incoming'!AM37-'Grid_Requirement'!AM37))</f>
        <v/>
      </c>
      <c r="AN37">
        <f>IF(COUNTIFS(T_StockCount[Part Name],$A37,T_StockCount[WeekIndex],39)&gt;0,SUMIFS(T_StockCount[CountedQty],T_StockCount[Part Name],$A37,T_StockCount[WeekIndex],39),IF((('T_SelfStock'!AN41&lt;&gt;""))*(('T_TTAFStock'!AN41&lt;&gt;""))&gt;0,'T_SelfStock'!AN41+'T_TTAFStock'!AN41,AM37+'Grid_Incoming'!AN37-'Grid_Requirement'!AN37))</f>
        <v/>
      </c>
      <c r="AO37">
        <f>IF(COUNTIFS(T_StockCount[Part Name],$A37,T_StockCount[WeekIndex],40)&gt;0,SUMIFS(T_StockCount[CountedQty],T_StockCount[Part Name],$A37,T_StockCount[WeekIndex],40),IF((('T_SelfStock'!AO41&lt;&gt;""))*(('T_TTAFStock'!AO41&lt;&gt;""))&gt;0,'T_SelfStock'!AO41+'T_TTAFStock'!AO41,AN37+'Grid_Incoming'!AO37-'Grid_Requirement'!AO37))</f>
        <v/>
      </c>
      <c r="AP37">
        <f>IF(COUNTIFS(T_StockCount[Part Name],$A37,T_StockCount[WeekIndex],41)&gt;0,SUMIFS(T_StockCount[CountedQty],T_StockCount[Part Name],$A37,T_StockCount[WeekIndex],41),IF((('T_SelfStock'!AP41&lt;&gt;""))*(('T_TTAFStock'!AP41&lt;&gt;""))&gt;0,'T_SelfStock'!AP41+'T_TTAFStock'!AP41,AO37+'Grid_Incoming'!AP37-'Grid_Requirement'!AP37))</f>
        <v/>
      </c>
      <c r="AQ37">
        <f>IF(COUNTIFS(T_StockCount[Part Name],$A37,T_StockCount[WeekIndex],42)&gt;0,SUMIFS(T_StockCount[CountedQty],T_StockCount[Part Name],$A37,T_StockCount[WeekIndex],42),IF((('T_SelfStock'!AQ41&lt;&gt;""))*(('T_TTAFStock'!AQ41&lt;&gt;""))&gt;0,'T_SelfStock'!AQ41+'T_TTAFStock'!AQ41,AP37+'Grid_Incoming'!AQ37-'Grid_Requirement'!AQ37))</f>
        <v/>
      </c>
      <c r="AR37">
        <f>IF(COUNTIFS(T_StockCount[Part Name],$A37,T_StockCount[WeekIndex],43)&gt;0,SUMIFS(T_StockCount[CountedQty],T_StockCount[Part Name],$A37,T_StockCount[WeekIndex],43),IF((('T_SelfStock'!AR41&lt;&gt;""))*(('T_TTAFStock'!AR41&lt;&gt;""))&gt;0,'T_SelfStock'!AR41+'T_TTAFStock'!AR41,AQ37+'Grid_Incoming'!AR37-'Grid_Requirement'!AR37))</f>
        <v/>
      </c>
      <c r="AS37">
        <f>IF(COUNTIFS(T_StockCount[Part Name],$A37,T_StockCount[WeekIndex],44)&gt;0,SUMIFS(T_StockCount[CountedQty],T_StockCount[Part Name],$A37,T_StockCount[WeekIndex],44),IF((('T_SelfStock'!AS41&lt;&gt;""))*(('T_TTAFStock'!AS41&lt;&gt;""))&gt;0,'T_SelfStock'!AS41+'T_TTAFStock'!AS41,AR37+'Grid_Incoming'!AS37-'Grid_Requirement'!AS37))</f>
        <v/>
      </c>
      <c r="AT37">
        <f>IF(COUNTIFS(T_StockCount[Part Name],$A37,T_StockCount[WeekIndex],45)&gt;0,SUMIFS(T_StockCount[CountedQty],T_StockCount[Part Name],$A37,T_StockCount[WeekIndex],45),IF((('T_SelfStock'!AT41&lt;&gt;""))*(('T_TTAFStock'!AT41&lt;&gt;""))&gt;0,'T_SelfStock'!AT41+'T_TTAFStock'!AT41,AS37+'Grid_Incoming'!AT37-'Grid_Requirement'!AT37))</f>
        <v/>
      </c>
      <c r="AU37">
        <f>IF(COUNTIFS(T_StockCount[Part Name],$A37,T_StockCount[WeekIndex],46)&gt;0,SUMIFS(T_StockCount[CountedQty],T_StockCount[Part Name],$A37,T_StockCount[WeekIndex],46),IF((('T_SelfStock'!AU41&lt;&gt;""))*(('T_TTAFStock'!AU41&lt;&gt;""))&gt;0,'T_SelfStock'!AU41+'T_TTAFStock'!AU41,AT37+'Grid_Incoming'!AU37-'Grid_Requirement'!AU37))</f>
        <v/>
      </c>
      <c r="AV37">
        <f>IF(COUNTIFS(T_StockCount[Part Name],$A37,T_StockCount[WeekIndex],47)&gt;0,SUMIFS(T_StockCount[CountedQty],T_StockCount[Part Name],$A37,T_StockCount[WeekIndex],47),IF((('T_SelfStock'!AV41&lt;&gt;""))*(('T_TTAFStock'!AV41&lt;&gt;""))&gt;0,'T_SelfStock'!AV41+'T_TTAFStock'!AV41,AU37+'Grid_Incoming'!AV37-'Grid_Requirement'!AV37))</f>
        <v/>
      </c>
      <c r="AW37">
        <f>IF(COUNTIFS(T_StockCount[Part Name],$A37,T_StockCount[WeekIndex],48)&gt;0,SUMIFS(T_StockCount[CountedQty],T_StockCount[Part Name],$A37,T_StockCount[WeekIndex],48),IF((('T_SelfStock'!AW41&lt;&gt;""))*(('T_TTAFStock'!AW41&lt;&gt;""))&gt;0,'T_SelfStock'!AW41+'T_TTAFStock'!AW41,AV37+'Grid_Incoming'!AW37-'Grid_Requirement'!AW37))</f>
        <v/>
      </c>
      <c r="AX37">
        <f>IF(COUNTIFS(T_StockCount[Part Name],$A37,T_StockCount[WeekIndex],49)&gt;0,SUMIFS(T_StockCount[CountedQty],T_StockCount[Part Name],$A37,T_StockCount[WeekIndex],49),IF((('T_SelfStock'!AX41&lt;&gt;""))*(('T_TTAFStock'!AX41&lt;&gt;""))&gt;0,'T_SelfStock'!AX41+'T_TTAFStock'!AX41,AW37+'Grid_Incoming'!AX37-'Grid_Requirement'!AX37))</f>
        <v/>
      </c>
      <c r="AY37">
        <f>IF(COUNTIFS(T_StockCount[Part Name],$A37,T_StockCount[WeekIndex],50)&gt;0,SUMIFS(T_StockCount[CountedQty],T_StockCount[Part Name],$A37,T_StockCount[WeekIndex],50),IF((('T_SelfStock'!AY41&lt;&gt;""))*(('T_TTAFStock'!AY41&lt;&gt;""))&gt;0,'T_SelfStock'!AY41+'T_TTAFStock'!AY41,AX37+'Grid_Incoming'!AY37-'Grid_Requirement'!AY37))</f>
        <v/>
      </c>
      <c r="AZ37">
        <f>IF(COUNTIFS(T_StockCount[Part Name],$A37,T_StockCount[WeekIndex],51)&gt;0,SUMIFS(T_StockCount[CountedQty],T_StockCount[Part Name],$A37,T_StockCount[WeekIndex],51),IF((('T_SelfStock'!AZ41&lt;&gt;""))*(('T_TTAFStock'!AZ41&lt;&gt;""))&gt;0,'T_SelfStock'!AZ41+'T_TTAFStock'!AZ41,AY37+'Grid_Incoming'!AZ37-'Grid_Requirement'!AZ37))</f>
        <v/>
      </c>
      <c r="BA37">
        <f>IF(COUNTIFS(T_StockCount[Part Name],$A37,T_StockCount[WeekIndex],52)&gt;0,SUMIFS(T_StockCount[CountedQty],T_StockCount[Part Name],$A37,T_StockCount[WeekIndex],52),IF((('T_SelfStock'!BA41&lt;&gt;""))*(('T_TTAFStock'!BA41&lt;&gt;""))&gt;0,'T_SelfStock'!BA41+'T_TTAFStock'!BA41,AZ37+'Grid_Incoming'!BA37-'Grid_Requirement'!BA37))</f>
        <v/>
      </c>
      <c r="BB37">
        <f>IF(COUNTIFS(T_StockCount[Part Name],$A37,T_StockCount[WeekIndex],53)&gt;0,SUMIFS(T_StockCount[CountedQty],T_StockCount[Part Name],$A37,T_StockCount[WeekIndex],53),IF((('T_SelfStock'!BB41&lt;&gt;""))*(('T_TTAFStock'!BB41&lt;&gt;""))&gt;0,'T_SelfStock'!BB41+'T_TTAFStock'!BB41,BA37+'Grid_Incoming'!BB37-'Grid_Requirement'!BB37))</f>
        <v/>
      </c>
      <c r="BC37">
        <f>IF(COUNTIFS(T_StockCount[Part Name],$A37,T_StockCount[WeekIndex],54)&gt;0,SUMIFS(T_StockCount[CountedQty],T_StockCount[Part Name],$A37,T_StockCount[WeekIndex],54),IF((('T_SelfStock'!BC41&lt;&gt;""))*(('T_TTAFStock'!BC41&lt;&gt;""))&gt;0,'T_SelfStock'!BC41+'T_TTAFStock'!BC41,BB37+'Grid_Incoming'!BC37-'Grid_Requirement'!BC37))</f>
        <v/>
      </c>
      <c r="BD37">
        <f>IF(COUNTIFS(T_StockCount[Part Name],$A37,T_StockCount[WeekIndex],55)&gt;0,SUMIFS(T_StockCount[CountedQty],T_StockCount[Part Name],$A37,T_StockCount[WeekIndex],55),IF((('T_SelfStock'!BD41&lt;&gt;""))*(('T_TTAFStock'!BD41&lt;&gt;""))&gt;0,'T_SelfStock'!BD41+'T_TTAFStock'!BD41,BC37+'Grid_Incoming'!BD37-'Grid_Requirement'!BD37))</f>
        <v/>
      </c>
      <c r="BE37">
        <f>IF(COUNTIFS(T_StockCount[Part Name],$A37,T_StockCount[WeekIndex],56)&gt;0,SUMIFS(T_StockCount[CountedQty],T_StockCount[Part Name],$A37,T_StockCount[WeekIndex],56),IF((('T_SelfStock'!BE41&lt;&gt;""))*(('T_TTAFStock'!BE41&lt;&gt;""))&gt;0,'T_SelfStock'!BE41+'T_TTAFStock'!BE41,BD37+'Grid_Incoming'!BE37-'Grid_Requirement'!BE37))</f>
        <v/>
      </c>
      <c r="BF37">
        <f>IF(COUNTIFS(T_StockCount[Part Name],$A37,T_StockCount[WeekIndex],57)&gt;0,SUMIFS(T_StockCount[CountedQty],T_StockCount[Part Name],$A37,T_StockCount[WeekIndex],57),IF((('T_SelfStock'!BF41&lt;&gt;""))*(('T_TTAFStock'!BF41&lt;&gt;""))&gt;0,'T_SelfStock'!BF41+'T_TTAFStock'!BF41,BE37+'Grid_Incoming'!BF37-'Grid_Requirement'!BF37))</f>
        <v/>
      </c>
      <c r="BG37">
        <f>IF(COUNTIFS(T_StockCount[Part Name],$A37,T_StockCount[WeekIndex],58)&gt;0,SUMIFS(T_StockCount[CountedQty],T_StockCount[Part Name],$A37,T_StockCount[WeekIndex],58),IF((('T_SelfStock'!BG41&lt;&gt;""))*(('T_TTAFStock'!BG41&lt;&gt;""))&gt;0,'T_SelfStock'!BG41+'T_TTAFStock'!BG41,BF37+'Grid_Incoming'!BG37-'Grid_Requirement'!BG37))</f>
        <v/>
      </c>
      <c r="BH37">
        <f>IF(COUNTIFS(T_StockCount[Part Name],$A37,T_StockCount[WeekIndex],59)&gt;0,SUMIFS(T_StockCount[CountedQty],T_StockCount[Part Name],$A37,T_StockCount[WeekIndex],59),IF((('T_SelfStock'!BH41&lt;&gt;""))*(('T_TTAFStock'!BH41&lt;&gt;""))&gt;0,'T_SelfStock'!BH41+'T_TTAFStock'!BH41,BG37+'Grid_Incoming'!BH37-'Grid_Requirement'!BH37))</f>
        <v/>
      </c>
      <c r="BI37">
        <f>IF(COUNTIFS(T_StockCount[Part Name],$A37,T_StockCount[WeekIndex],60)&gt;0,SUMIFS(T_StockCount[CountedQty],T_StockCount[Part Name],$A37,T_StockCount[WeekIndex],60),IF((('T_SelfStock'!BI41&lt;&gt;""))*(('T_TTAFStock'!BI41&lt;&gt;""))&gt;0,'T_SelfStock'!BI41+'T_TTAFStock'!BI41,BH37+'Grid_Incoming'!BI37-'Grid_Requirement'!BI37))</f>
        <v/>
      </c>
      <c r="BJ37">
        <f>IF(COUNTIFS(T_StockCount[Part Name],$A37,T_StockCount[WeekIndex],61)&gt;0,SUMIFS(T_StockCount[CountedQty],T_StockCount[Part Name],$A37,T_StockCount[WeekIndex],61),IF((('T_SelfStock'!BJ41&lt;&gt;""))*(('T_TTAFStock'!BJ41&lt;&gt;""))&gt;0,'T_SelfStock'!BJ41+'T_TTAFStock'!BJ41,BI37+'Grid_Incoming'!BJ37-'Grid_Requirement'!BJ37))</f>
        <v/>
      </c>
      <c r="BK37">
        <f>IF(COUNTIFS(T_StockCount[Part Name],$A37,T_StockCount[WeekIndex],62)&gt;0,SUMIFS(T_StockCount[CountedQty],T_StockCount[Part Name],$A37,T_StockCount[WeekIndex],62),IF((('T_SelfStock'!BK41&lt;&gt;""))*(('T_TTAFStock'!BK41&lt;&gt;""))&gt;0,'T_SelfStock'!BK41+'T_TTAFStock'!BK41,BJ37+'Grid_Incoming'!BK37-'Grid_Requirement'!BK37))</f>
        <v/>
      </c>
      <c r="BL37">
        <f>IF(COUNTIFS(T_StockCount[Part Name],$A37,T_StockCount[WeekIndex],63)&gt;0,SUMIFS(T_StockCount[CountedQty],T_StockCount[Part Name],$A37,T_StockCount[WeekIndex],63),IF((('T_SelfStock'!BL41&lt;&gt;""))*(('T_TTAFStock'!BL41&lt;&gt;""))&gt;0,'T_SelfStock'!BL41+'T_TTAFStock'!BL41,BK37+'Grid_Incoming'!BL37-'Grid_Requirement'!BL37))</f>
        <v/>
      </c>
      <c r="BM37">
        <f>IF(COUNTIFS(T_StockCount[Part Name],$A37,T_StockCount[WeekIndex],64)&gt;0,SUMIFS(T_StockCount[CountedQty],T_StockCount[Part Name],$A37,T_StockCount[WeekIndex],64),IF((('T_SelfStock'!BM41&lt;&gt;""))*(('T_TTAFStock'!BM41&lt;&gt;""))&gt;0,'T_SelfStock'!BM41+'T_TTAFStock'!BM41,BL37+'Grid_Incoming'!BM37-'Grid_Requirement'!BM37))</f>
        <v/>
      </c>
      <c r="BN37">
        <f>IF(COUNTIFS(T_StockCount[Part Name],$A37,T_StockCount[WeekIndex],65)&gt;0,SUMIFS(T_StockCount[CountedQty],T_StockCount[Part Name],$A37,T_StockCount[WeekIndex],65),IF((('T_SelfStock'!BN41&lt;&gt;""))*(('T_TTAFStock'!BN41&lt;&gt;""))&gt;0,'T_SelfStock'!BN41+'T_TTAFStock'!BN41,BM37+'Grid_Incoming'!BN37-'Grid_Requirement'!BN37))</f>
        <v/>
      </c>
      <c r="BO37">
        <f>IF(COUNTIFS(T_StockCount[Part Name],$A37,T_StockCount[WeekIndex],66)&gt;0,SUMIFS(T_StockCount[CountedQty],T_StockCount[Part Name],$A37,T_StockCount[WeekIndex],66),IF((('T_SelfStock'!BO41&lt;&gt;""))*(('T_TTAFStock'!BO41&lt;&gt;""))&gt;0,'T_SelfStock'!BO41+'T_TTAFStock'!BO41,BN37+'Grid_Incoming'!BO37-'Grid_Requirement'!BO37))</f>
        <v/>
      </c>
      <c r="BP37">
        <f>IF(COUNTIFS(T_StockCount[Part Name],$A37,T_StockCount[WeekIndex],67)&gt;0,SUMIFS(T_StockCount[CountedQty],T_StockCount[Part Name],$A37,T_StockCount[WeekIndex],67),IF((('T_SelfStock'!BP41&lt;&gt;""))*(('T_TTAFStock'!BP41&lt;&gt;""))&gt;0,'T_SelfStock'!BP41+'T_TTAFStock'!BP41,BO37+'Grid_Incoming'!BP37-'Grid_Requirement'!BP37))</f>
        <v/>
      </c>
      <c r="BQ37">
        <f>IF(COUNTIFS(T_StockCount[Part Name],$A37,T_StockCount[WeekIndex],68)&gt;0,SUMIFS(T_StockCount[CountedQty],T_StockCount[Part Name],$A37,T_StockCount[WeekIndex],68),IF((('T_SelfStock'!BQ41&lt;&gt;""))*(('T_TTAFStock'!BQ41&lt;&gt;""))&gt;0,'T_SelfStock'!BQ41+'T_TTAFStock'!BQ41,BP37+'Grid_Incoming'!BQ37-'Grid_Requirement'!BQ37))</f>
        <v/>
      </c>
      <c r="BR37">
        <f>IF(COUNTIFS(T_StockCount[Part Name],$A37,T_StockCount[WeekIndex],69)&gt;0,SUMIFS(T_StockCount[CountedQty],T_StockCount[Part Name],$A37,T_StockCount[WeekIndex],69),IF((('T_SelfStock'!BR41&lt;&gt;""))*(('T_TTAFStock'!BR41&lt;&gt;""))&gt;0,'T_SelfStock'!BR41+'T_TTAFStock'!BR41,BQ37+'Grid_Incoming'!BR37-'Grid_Requirement'!BR37))</f>
        <v/>
      </c>
      <c r="BS37">
        <f>IF(COUNTIFS(T_StockCount[Part Name],$A37,T_StockCount[WeekIndex],70)&gt;0,SUMIFS(T_StockCount[CountedQty],T_StockCount[Part Name],$A37,T_StockCount[WeekIndex],70),IF((('T_SelfStock'!BS41&lt;&gt;""))*(('T_TTAFStock'!BS41&lt;&gt;""))&gt;0,'T_SelfStock'!BS41+'T_TTAFStock'!BS41,BR37+'Grid_Incoming'!BS37-'Grid_Requirement'!BS37))</f>
        <v/>
      </c>
      <c r="BT37">
        <f>IF(COUNTIFS(T_StockCount[Part Name],$A37,T_StockCount[WeekIndex],71)&gt;0,SUMIFS(T_StockCount[CountedQty],T_StockCount[Part Name],$A37,T_StockCount[WeekIndex],71),IF((('T_SelfStock'!BT41&lt;&gt;""))*(('T_TTAFStock'!BT41&lt;&gt;""))&gt;0,'T_SelfStock'!BT41+'T_TTAFStock'!BT41,BS37+'Grid_Incoming'!BT37-'Grid_Requirement'!BT37))</f>
        <v/>
      </c>
      <c r="BU37">
        <f>IF(COUNTIFS(T_StockCount[Part Name],$A37,T_StockCount[WeekIndex],72)&gt;0,SUMIFS(T_StockCount[CountedQty],T_StockCount[Part Name],$A37,T_StockCount[WeekIndex],72),IF((('T_SelfStock'!BU41&lt;&gt;""))*(('T_TTAFStock'!BU41&lt;&gt;""))&gt;0,'T_SelfStock'!BU41+'T_TTAFStock'!BU41,BT37+'Grid_Incoming'!BU37-'Grid_Requirement'!BU37))</f>
        <v/>
      </c>
      <c r="BV37">
        <f>IF(COUNTIFS(T_StockCount[Part Name],$A37,T_StockCount[WeekIndex],73)&gt;0,SUMIFS(T_StockCount[CountedQty],T_StockCount[Part Name],$A37,T_StockCount[WeekIndex],73),IF((('T_SelfStock'!BV41&lt;&gt;""))*(('T_TTAFStock'!BV41&lt;&gt;""))&gt;0,'T_SelfStock'!BV41+'T_TTAFStock'!BV41,BU37+'Grid_Incoming'!BV37-'Grid_Requirement'!BV37))</f>
        <v/>
      </c>
      <c r="BW37">
        <f>IF(COUNTIFS(T_StockCount[Part Name],$A37,T_StockCount[WeekIndex],74)&gt;0,SUMIFS(T_StockCount[CountedQty],T_StockCount[Part Name],$A37,T_StockCount[WeekIndex],74),IF((('T_SelfStock'!BW41&lt;&gt;""))*(('T_TTAFStock'!BW41&lt;&gt;""))&gt;0,'T_SelfStock'!BW41+'T_TTAFStock'!BW41,BV37+'Grid_Incoming'!BW37-'Grid_Requirement'!BW37))</f>
        <v/>
      </c>
      <c r="BX37">
        <f>IF(COUNTIFS(T_StockCount[Part Name],$A37,T_StockCount[WeekIndex],75)&gt;0,SUMIFS(T_StockCount[CountedQty],T_StockCount[Part Name],$A37,T_StockCount[WeekIndex],75),IF((('T_SelfStock'!BX41&lt;&gt;""))*(('T_TTAFStock'!BX41&lt;&gt;""))&gt;0,'T_SelfStock'!BX41+'T_TTAFStock'!BX41,BW37+'Grid_Incoming'!BX37-'Grid_Requirement'!BX37))</f>
        <v/>
      </c>
      <c r="BY37">
        <f>IF(COUNTIFS(T_StockCount[Part Name],$A37,T_StockCount[WeekIndex],76)&gt;0,SUMIFS(T_StockCount[CountedQty],T_StockCount[Part Name],$A37,T_StockCount[WeekIndex],76),IF((('T_SelfStock'!BY41&lt;&gt;""))*(('T_TTAFStock'!BY41&lt;&gt;""))&gt;0,'T_SelfStock'!BY41+'T_TTAFStock'!BY41,BX37+'Grid_Incoming'!BY37-'Grid_Requirement'!BY37))</f>
        <v/>
      </c>
      <c r="BZ37">
        <f>IF(COUNTIFS(T_StockCount[Part Name],$A37,T_StockCount[WeekIndex],77)&gt;0,SUMIFS(T_StockCount[CountedQty],T_StockCount[Part Name],$A37,T_StockCount[WeekIndex],77),IF((('T_SelfStock'!BZ41&lt;&gt;""))*(('T_TTAFStock'!BZ41&lt;&gt;""))&gt;0,'T_SelfStock'!BZ41+'T_TTAFStock'!BZ41,BY37+'Grid_Incoming'!BZ37-'Grid_Requirement'!BZ37))</f>
        <v/>
      </c>
      <c r="CA37">
        <f>IF(COUNTIFS(T_StockCount[Part Name],$A37,T_StockCount[WeekIndex],78)&gt;0,SUMIFS(T_StockCount[CountedQty],T_StockCount[Part Name],$A37,T_StockCount[WeekIndex],78),IF((('T_SelfStock'!CA41&lt;&gt;""))*(('T_TTAFStock'!CA41&lt;&gt;""))&gt;0,'T_SelfStock'!CA41+'T_TTAFStock'!CA41,BZ37+'Grid_Incoming'!CA37-'Grid_Requirement'!CA37))</f>
        <v/>
      </c>
      <c r="CB37">
        <f>IF(COUNTIFS(T_StockCount[Part Name],$A37,T_StockCount[WeekIndex],79)&gt;0,SUMIFS(T_StockCount[CountedQty],T_StockCount[Part Name],$A37,T_StockCount[WeekIndex],79),IF((('T_SelfStock'!CB41&lt;&gt;""))*(('T_TTAFStock'!CB41&lt;&gt;""))&gt;0,'T_SelfStock'!CB41+'T_TTAFStock'!CB41,CA37+'Grid_Incoming'!CB37-'Grid_Requirement'!CB37))</f>
        <v/>
      </c>
      <c r="CC37">
        <f>IF(COUNTIFS(T_StockCount[Part Name],$A37,T_StockCount[WeekIndex],80)&gt;0,SUMIFS(T_StockCount[CountedQty],T_StockCount[Part Name],$A37,T_StockCount[WeekIndex],80),IF((('T_SelfStock'!CC41&lt;&gt;""))*(('T_TTAFStock'!CC41&lt;&gt;""))&gt;0,'T_SelfStock'!CC41+'T_TTAFStock'!CC41,CB37+'Grid_Incoming'!CC37-'Grid_Requirement'!CC37))</f>
        <v/>
      </c>
      <c r="CD37">
        <f>IF(COUNTIFS(T_StockCount[Part Name],$A37,T_StockCount[WeekIndex],81)&gt;0,SUMIFS(T_StockCount[CountedQty],T_StockCount[Part Name],$A37,T_StockCount[WeekIndex],81),IF((('T_SelfStock'!CD41&lt;&gt;""))*(('T_TTAFStock'!CD41&lt;&gt;""))&gt;0,'T_SelfStock'!CD41+'T_TTAFStock'!CD41,CC37+'Grid_Incoming'!CD37-'Grid_Requirement'!CD37))</f>
        <v/>
      </c>
      <c r="CE37">
        <f>IF(COUNTIFS(T_StockCount[Part Name],$A37,T_StockCount[WeekIndex],82)&gt;0,SUMIFS(T_StockCount[CountedQty],T_StockCount[Part Name],$A37,T_StockCount[WeekIndex],82),IF((('T_SelfStock'!CE41&lt;&gt;""))*(('T_TTAFStock'!CE41&lt;&gt;""))&gt;0,'T_SelfStock'!CE41+'T_TTAFStock'!CE41,CD37+'Grid_Incoming'!CE37-'Grid_Requirement'!CE37))</f>
        <v/>
      </c>
      <c r="CF37">
        <f>IF(COUNTIFS(T_StockCount[Part Name],$A37,T_StockCount[WeekIndex],83)&gt;0,SUMIFS(T_StockCount[CountedQty],T_StockCount[Part Name],$A37,T_StockCount[WeekIndex],83),IF((('T_SelfStock'!CF41&lt;&gt;""))*(('T_TTAFStock'!CF41&lt;&gt;""))&gt;0,'T_SelfStock'!CF41+'T_TTAFStock'!CF41,CE37+'Grid_Incoming'!CF37-'Grid_Requirement'!CF37))</f>
        <v/>
      </c>
      <c r="CG37">
        <f>IF(COUNTIFS(T_StockCount[Part Name],$A37,T_StockCount[WeekIndex],84)&gt;0,SUMIFS(T_StockCount[CountedQty],T_StockCount[Part Name],$A37,T_StockCount[WeekIndex],84),IF((('T_SelfStock'!CG41&lt;&gt;""))*(('T_TTAFStock'!CG41&lt;&gt;""))&gt;0,'T_SelfStock'!CG41+'T_TTAFStock'!CG41,CF37+'Grid_Incoming'!CG37-'Grid_Requirement'!CG37))</f>
        <v/>
      </c>
      <c r="CH37">
        <f>IF(COUNTIFS(T_StockCount[Part Name],$A37,T_StockCount[WeekIndex],85)&gt;0,SUMIFS(T_StockCount[CountedQty],T_StockCount[Part Name],$A37,T_StockCount[WeekIndex],85),IF((('T_SelfStock'!CH41&lt;&gt;""))*(('T_TTAFStock'!CH41&lt;&gt;""))&gt;0,'T_SelfStock'!CH41+'T_TTAFStock'!CH41,CG37+'Grid_Incoming'!CH37-'Grid_Requirement'!CH37))</f>
        <v/>
      </c>
      <c r="CI37">
        <f>IF(COUNTIFS(T_StockCount[Part Name],$A37,T_StockCount[WeekIndex],86)&gt;0,SUMIFS(T_StockCount[CountedQty],T_StockCount[Part Name],$A37,T_StockCount[WeekIndex],86),IF((('T_SelfStock'!CI41&lt;&gt;""))*(('T_TTAFStock'!CI41&lt;&gt;""))&gt;0,'T_SelfStock'!CI41+'T_TTAFStock'!CI41,CH37+'Grid_Incoming'!CI37-'Grid_Requirement'!CI37))</f>
        <v/>
      </c>
      <c r="CJ37">
        <f>IF(COUNTIFS(T_StockCount[Part Name],$A37,T_StockCount[WeekIndex],87)&gt;0,SUMIFS(T_StockCount[CountedQty],T_StockCount[Part Name],$A37,T_StockCount[WeekIndex],87),IF((('T_SelfStock'!CJ41&lt;&gt;""))*(('T_TTAFStock'!CJ41&lt;&gt;""))&gt;0,'T_SelfStock'!CJ41+'T_TTAFStock'!CJ41,CI37+'Grid_Incoming'!CJ37-'Grid_Requirement'!CJ37))</f>
        <v/>
      </c>
      <c r="CK37">
        <f>IF(COUNTIFS(T_StockCount[Part Name],$A37,T_StockCount[WeekIndex],88)&gt;0,SUMIFS(T_StockCount[CountedQty],T_StockCount[Part Name],$A37,T_StockCount[WeekIndex],88),IF((('T_SelfStock'!CK41&lt;&gt;""))*(('T_TTAFStock'!CK41&lt;&gt;""))&gt;0,'T_SelfStock'!CK41+'T_TTAFStock'!CK41,CJ37+'Grid_Incoming'!CK37-'Grid_Requirement'!CK37))</f>
        <v/>
      </c>
      <c r="CL37">
        <f>IF(COUNTIFS(T_StockCount[Part Name],$A37,T_StockCount[WeekIndex],89)&gt;0,SUMIFS(T_StockCount[CountedQty],T_StockCount[Part Name],$A37,T_StockCount[WeekIndex],89),IF((('T_SelfStock'!CL41&lt;&gt;""))*(('T_TTAFStock'!CL41&lt;&gt;""))&gt;0,'T_SelfStock'!CL41+'T_TTAFStock'!CL41,CK37+'Grid_Incoming'!CL37-'Grid_Requirement'!CL37))</f>
        <v/>
      </c>
      <c r="CM37">
        <f>IF(COUNTIFS(T_StockCount[Part Name],$A37,T_StockCount[WeekIndex],90)&gt;0,SUMIFS(T_StockCount[CountedQty],T_StockCount[Part Name],$A37,T_StockCount[WeekIndex],90),IF((('T_SelfStock'!CM41&lt;&gt;""))*(('T_TTAFStock'!CM41&lt;&gt;""))&gt;0,'T_SelfStock'!CM41+'T_TTAFStock'!CM41,CL37+'Grid_Incoming'!CM37-'Grid_Requirement'!CM37))</f>
        <v/>
      </c>
      <c r="CN37">
        <f>IF(COUNTIFS(T_StockCount[Part Name],$A37,T_StockCount[WeekIndex],91)&gt;0,SUMIFS(T_StockCount[CountedQty],T_StockCount[Part Name],$A37,T_StockCount[WeekIndex],91),IF((('T_SelfStock'!CN41&lt;&gt;""))*(('T_TTAFStock'!CN41&lt;&gt;""))&gt;0,'T_SelfStock'!CN41+'T_TTAFStock'!CN41,CM37+'Grid_Incoming'!CN37-'Grid_Requirement'!CN37))</f>
        <v/>
      </c>
      <c r="CO37">
        <f>IF(COUNTIFS(T_StockCount[Part Name],$A37,T_StockCount[WeekIndex],92)&gt;0,SUMIFS(T_StockCount[CountedQty],T_StockCount[Part Name],$A37,T_StockCount[WeekIndex],92),IF((('T_SelfStock'!CO41&lt;&gt;""))*(('T_TTAFStock'!CO41&lt;&gt;""))&gt;0,'T_SelfStock'!CO41+'T_TTAFStock'!CO41,CN37+'Grid_Incoming'!CO37-'Grid_Requirement'!CO37))</f>
        <v/>
      </c>
      <c r="CP37">
        <f>IF(COUNTIFS(T_StockCount[Part Name],$A37,T_StockCount[WeekIndex],93)&gt;0,SUMIFS(T_StockCount[CountedQty],T_StockCount[Part Name],$A37,T_StockCount[WeekIndex],93),IF((('T_SelfStock'!CP41&lt;&gt;""))*(('T_TTAFStock'!CP41&lt;&gt;""))&gt;0,'T_SelfStock'!CP41+'T_TTAFStock'!CP41,CO37+'Grid_Incoming'!CP37-'Grid_Requirement'!CP37))</f>
        <v/>
      </c>
      <c r="CQ37">
        <f>IF(COUNTIFS(T_StockCount[Part Name],$A37,T_StockCount[WeekIndex],94)&gt;0,SUMIFS(T_StockCount[CountedQty],T_StockCount[Part Name],$A37,T_StockCount[WeekIndex],94),IF((('T_SelfStock'!CQ41&lt;&gt;""))*(('T_TTAFStock'!CQ41&lt;&gt;""))&gt;0,'T_SelfStock'!CQ41+'T_TTAFStock'!CQ41,CP37+'Grid_Incoming'!CQ37-'Grid_Requirement'!CQ37))</f>
        <v/>
      </c>
      <c r="CR37">
        <f>IF(COUNTIFS(T_StockCount[Part Name],$A37,T_StockCount[WeekIndex],95)&gt;0,SUMIFS(T_StockCount[CountedQty],T_StockCount[Part Name],$A37,T_StockCount[WeekIndex],95),IF((('T_SelfStock'!CR41&lt;&gt;""))*(('T_TTAFStock'!CR41&lt;&gt;""))&gt;0,'T_SelfStock'!CR41+'T_TTAFStock'!CR41,CQ37+'Grid_Incoming'!CR37-'Grid_Requirement'!CR37))</f>
        <v/>
      </c>
      <c r="CS37">
        <f>IF(COUNTIFS(T_StockCount[Part Name],$A37,T_StockCount[WeekIndex],96)&gt;0,SUMIFS(T_StockCount[CountedQty],T_StockCount[Part Name],$A37,T_StockCount[WeekIndex],96),IF((('T_SelfStock'!CS41&lt;&gt;""))*(('T_TTAFStock'!CS41&lt;&gt;""))&gt;0,'T_SelfStock'!CS41+'T_TTAFStock'!CS41,CR37+'Grid_Incoming'!CS37-'Grid_Requirement'!CS37))</f>
        <v/>
      </c>
      <c r="CT37">
        <f>IF(COUNTIFS(T_StockCount[Part Name],$A37,T_StockCount[WeekIndex],97)&gt;0,SUMIFS(T_StockCount[CountedQty],T_StockCount[Part Name],$A37,T_StockCount[WeekIndex],97),IF((('T_SelfStock'!CT41&lt;&gt;""))*(('T_TTAFStock'!CT41&lt;&gt;""))&gt;0,'T_SelfStock'!CT41+'T_TTAFStock'!CT41,CS37+'Grid_Incoming'!CT37-'Grid_Requirement'!CT37))</f>
        <v/>
      </c>
      <c r="CU37">
        <f>IF(COUNTIFS(T_StockCount[Part Name],$A37,T_StockCount[WeekIndex],98)&gt;0,SUMIFS(T_StockCount[CountedQty],T_StockCount[Part Name],$A37,T_StockCount[WeekIndex],98),IF((('T_SelfStock'!CU41&lt;&gt;""))*(('T_TTAFStock'!CU41&lt;&gt;""))&gt;0,'T_SelfStock'!CU41+'T_TTAFStock'!CU41,CT37+'Grid_Incoming'!CU37-'Grid_Requirement'!CU37))</f>
        <v/>
      </c>
      <c r="CV37">
        <f>IF(COUNTIFS(T_StockCount[Part Name],$A37,T_StockCount[WeekIndex],99)&gt;0,SUMIFS(T_StockCount[CountedQty],T_StockCount[Part Name],$A37,T_StockCount[WeekIndex],99),IF((('T_SelfStock'!CV41&lt;&gt;""))*(('T_TTAFStock'!CV41&lt;&gt;""))&gt;0,'T_SelfStock'!CV41+'T_TTAFStock'!CV41,CU37+'Grid_Incoming'!CV37-'Grid_Requirement'!CV37))</f>
        <v/>
      </c>
      <c r="CW37">
        <f>IF(COUNTIFS(T_StockCount[Part Name],$A37,T_StockCount[WeekIndex],100)&gt;0,SUMIFS(T_StockCount[CountedQty],T_StockCount[Part Name],$A37,T_StockCount[WeekIndex],100),IF((('T_SelfStock'!CW41&lt;&gt;""))*(('T_TTAFStock'!CW41&lt;&gt;""))&gt;0,'T_SelfStock'!CW41+'T_TTAFStock'!CW41,CV37+'Grid_Incoming'!CW37-'Grid_Requirement'!CW37))</f>
        <v/>
      </c>
      <c r="CX37">
        <f>IF(COUNTIFS(T_StockCount[Part Name],$A37,T_StockCount[WeekIndex],101)&gt;0,SUMIFS(T_StockCount[CountedQty],T_StockCount[Part Name],$A37,T_StockCount[WeekIndex],101),IF((('T_SelfStock'!CX41&lt;&gt;""))*(('T_TTAFStock'!CX41&lt;&gt;""))&gt;0,'T_SelfStock'!CX41+'T_TTAFStock'!CX41,CW37+'Grid_Incoming'!CX37-'Grid_Requirement'!CX37))</f>
        <v/>
      </c>
      <c r="CY37">
        <f>IF(COUNTIFS(T_StockCount[Part Name],$A37,T_StockCount[WeekIndex],102)&gt;0,SUMIFS(T_StockCount[CountedQty],T_StockCount[Part Name],$A37,T_StockCount[WeekIndex],102),IF((('T_SelfStock'!CY41&lt;&gt;""))*(('T_TTAFStock'!CY41&lt;&gt;""))&gt;0,'T_SelfStock'!CY41+'T_TTAFStock'!CY41,CX37+'Grid_Incoming'!CY37-'Grid_Requirement'!CY37))</f>
        <v/>
      </c>
      <c r="CZ37">
        <f>IF(COUNTIFS(T_StockCount[Part Name],$A37,T_StockCount[WeekIndex],103)&gt;0,SUMIFS(T_StockCount[CountedQty],T_StockCount[Part Name],$A37,T_StockCount[WeekIndex],103),IF((('T_SelfStock'!CZ41&lt;&gt;""))*(('T_TTAFStock'!CZ41&lt;&gt;""))&gt;0,'T_SelfStock'!CZ41+'T_TTAFStock'!CZ41,CY37+'Grid_Incoming'!CZ37-'Grid_Requirement'!CZ37))</f>
        <v/>
      </c>
      <c r="DA37">
        <f>IF(COUNTIFS(T_StockCount[Part Name],$A37,T_StockCount[WeekIndex],104)&gt;0,SUMIFS(T_StockCount[CountedQty],T_StockCount[Part Name],$A37,T_StockCount[WeekIndex],104),IF((('T_SelfStock'!DA41&lt;&gt;""))*(('T_TTAFStock'!DA41&lt;&gt;""))&gt;0,'T_SelfStock'!DA41+'T_TTAFStock'!DA41,CZ37+'Grid_Incoming'!DA37-'Grid_Requirement'!DA37))</f>
        <v/>
      </c>
    </row>
    <row r="38">
      <c r="A38" t="inlineStr">
        <is>
          <t>Ester Film</t>
        </is>
      </c>
      <c r="B38">
        <f>IF(COUNTIFS(T_StockCount[Part Name],$A38,T_StockCount[WeekIndex],1)&gt;0,SUMIFS(T_StockCount[CountedQty],T_StockCount[Part Name],$A38,T_StockCount[WeekIndex],1),IF((('T_SelfStock'!B42&lt;&gt;""))*(('T_TTAFStock'!B42&lt;&gt;""))&gt;0,'T_SelfStock'!B42+'T_TTAFStock'!B42,IFERROR(INDEX(T_OpeningStock[Opening_Qty],MATCH($A38,T_OpeningStock[Part Name],0)),0)+'Grid_Incoming'!B38-'Grid_Requirement'!B38))</f>
        <v/>
      </c>
      <c r="C38">
        <f>IF(COUNTIFS(T_StockCount[Part Name],$A38,T_StockCount[WeekIndex],2)&gt;0,SUMIFS(T_StockCount[CountedQty],T_StockCount[Part Name],$A38,T_StockCount[WeekIndex],2),IF((('T_SelfStock'!C42&lt;&gt;""))*(('T_TTAFStock'!C42&lt;&gt;""))&gt;0,'T_SelfStock'!C42+'T_TTAFStock'!C42,B38+'Grid_Incoming'!C38-'Grid_Requirement'!C38))</f>
        <v/>
      </c>
      <c r="D38">
        <f>IF(COUNTIFS(T_StockCount[Part Name],$A38,T_StockCount[WeekIndex],3)&gt;0,SUMIFS(T_StockCount[CountedQty],T_StockCount[Part Name],$A38,T_StockCount[WeekIndex],3),IF((('T_SelfStock'!D42&lt;&gt;""))*(('T_TTAFStock'!D42&lt;&gt;""))&gt;0,'T_SelfStock'!D42+'T_TTAFStock'!D42,C38+'Grid_Incoming'!D38-'Grid_Requirement'!D38))</f>
        <v/>
      </c>
      <c r="E38">
        <f>IF(COUNTIFS(T_StockCount[Part Name],$A38,T_StockCount[WeekIndex],4)&gt;0,SUMIFS(T_StockCount[CountedQty],T_StockCount[Part Name],$A38,T_StockCount[WeekIndex],4),IF((('T_SelfStock'!E42&lt;&gt;""))*(('T_TTAFStock'!E42&lt;&gt;""))&gt;0,'T_SelfStock'!E42+'T_TTAFStock'!E42,D38+'Grid_Incoming'!E38-'Grid_Requirement'!E38))</f>
        <v/>
      </c>
      <c r="F38">
        <f>IF(COUNTIFS(T_StockCount[Part Name],$A38,T_StockCount[WeekIndex],5)&gt;0,SUMIFS(T_StockCount[CountedQty],T_StockCount[Part Name],$A38,T_StockCount[WeekIndex],5),IF((('T_SelfStock'!F42&lt;&gt;""))*(('T_TTAFStock'!F42&lt;&gt;""))&gt;0,'T_SelfStock'!F42+'T_TTAFStock'!F42,E38+'Grid_Incoming'!F38-'Grid_Requirement'!F38))</f>
        <v/>
      </c>
      <c r="G38">
        <f>IF(COUNTIFS(T_StockCount[Part Name],$A38,T_StockCount[WeekIndex],6)&gt;0,SUMIFS(T_StockCount[CountedQty],T_StockCount[Part Name],$A38,T_StockCount[WeekIndex],6),IF((('T_SelfStock'!G42&lt;&gt;""))*(('T_TTAFStock'!G42&lt;&gt;""))&gt;0,'T_SelfStock'!G42+'T_TTAFStock'!G42,F38+'Grid_Incoming'!G38-'Grid_Requirement'!G38))</f>
        <v/>
      </c>
      <c r="H38">
        <f>IF(COUNTIFS(T_StockCount[Part Name],$A38,T_StockCount[WeekIndex],7)&gt;0,SUMIFS(T_StockCount[CountedQty],T_StockCount[Part Name],$A38,T_StockCount[WeekIndex],7),IF((('T_SelfStock'!H42&lt;&gt;""))*(('T_TTAFStock'!H42&lt;&gt;""))&gt;0,'T_SelfStock'!H42+'T_TTAFStock'!H42,G38+'Grid_Incoming'!H38-'Grid_Requirement'!H38))</f>
        <v/>
      </c>
      <c r="I38">
        <f>IF(COUNTIFS(T_StockCount[Part Name],$A38,T_StockCount[WeekIndex],8)&gt;0,SUMIFS(T_StockCount[CountedQty],T_StockCount[Part Name],$A38,T_StockCount[WeekIndex],8),IF((('T_SelfStock'!I42&lt;&gt;""))*(('T_TTAFStock'!I42&lt;&gt;""))&gt;0,'T_SelfStock'!I42+'T_TTAFStock'!I42,H38+'Grid_Incoming'!I38-'Grid_Requirement'!I38))</f>
        <v/>
      </c>
      <c r="J38">
        <f>IF(COUNTIFS(T_StockCount[Part Name],$A38,T_StockCount[WeekIndex],9)&gt;0,SUMIFS(T_StockCount[CountedQty],T_StockCount[Part Name],$A38,T_StockCount[WeekIndex],9),IF((('T_SelfStock'!J42&lt;&gt;""))*(('T_TTAFStock'!J42&lt;&gt;""))&gt;0,'T_SelfStock'!J42+'T_TTAFStock'!J42,I38+'Grid_Incoming'!J38-'Grid_Requirement'!J38))</f>
        <v/>
      </c>
      <c r="K38">
        <f>IF(COUNTIFS(T_StockCount[Part Name],$A38,T_StockCount[WeekIndex],10)&gt;0,SUMIFS(T_StockCount[CountedQty],T_StockCount[Part Name],$A38,T_StockCount[WeekIndex],10),IF((('T_SelfStock'!K42&lt;&gt;""))*(('T_TTAFStock'!K42&lt;&gt;""))&gt;0,'T_SelfStock'!K42+'T_TTAFStock'!K42,J38+'Grid_Incoming'!K38-'Grid_Requirement'!K38))</f>
        <v/>
      </c>
      <c r="L38">
        <f>IF(COUNTIFS(T_StockCount[Part Name],$A38,T_StockCount[WeekIndex],11)&gt;0,SUMIFS(T_StockCount[CountedQty],T_StockCount[Part Name],$A38,T_StockCount[WeekIndex],11),IF((('T_SelfStock'!L42&lt;&gt;""))*(('T_TTAFStock'!L42&lt;&gt;""))&gt;0,'T_SelfStock'!L42+'T_TTAFStock'!L42,K38+'Grid_Incoming'!L38-'Grid_Requirement'!L38))</f>
        <v/>
      </c>
      <c r="M38">
        <f>IF(COUNTIFS(T_StockCount[Part Name],$A38,T_StockCount[WeekIndex],12)&gt;0,SUMIFS(T_StockCount[CountedQty],T_StockCount[Part Name],$A38,T_StockCount[WeekIndex],12),IF((('T_SelfStock'!M42&lt;&gt;""))*(('T_TTAFStock'!M42&lt;&gt;""))&gt;0,'T_SelfStock'!M42+'T_TTAFStock'!M42,L38+'Grid_Incoming'!M38-'Grid_Requirement'!M38))</f>
        <v/>
      </c>
      <c r="N38">
        <f>IF(COUNTIFS(T_StockCount[Part Name],$A38,T_StockCount[WeekIndex],13)&gt;0,SUMIFS(T_StockCount[CountedQty],T_StockCount[Part Name],$A38,T_StockCount[WeekIndex],13),IF((('T_SelfStock'!N42&lt;&gt;""))*(('T_TTAFStock'!N42&lt;&gt;""))&gt;0,'T_SelfStock'!N42+'T_TTAFStock'!N42,M38+'Grid_Incoming'!N38-'Grid_Requirement'!N38))</f>
        <v/>
      </c>
      <c r="O38">
        <f>IF(COUNTIFS(T_StockCount[Part Name],$A38,T_StockCount[WeekIndex],14)&gt;0,SUMIFS(T_StockCount[CountedQty],T_StockCount[Part Name],$A38,T_StockCount[WeekIndex],14),IF((('T_SelfStock'!O42&lt;&gt;""))*(('T_TTAFStock'!O42&lt;&gt;""))&gt;0,'T_SelfStock'!O42+'T_TTAFStock'!O42,N38+'Grid_Incoming'!O38-'Grid_Requirement'!O38))</f>
        <v/>
      </c>
      <c r="P38">
        <f>IF(COUNTIFS(T_StockCount[Part Name],$A38,T_StockCount[WeekIndex],15)&gt;0,SUMIFS(T_StockCount[CountedQty],T_StockCount[Part Name],$A38,T_StockCount[WeekIndex],15),IF((('T_SelfStock'!P42&lt;&gt;""))*(('T_TTAFStock'!P42&lt;&gt;""))&gt;0,'T_SelfStock'!P42+'T_TTAFStock'!P42,O38+'Grid_Incoming'!P38-'Grid_Requirement'!P38))</f>
        <v/>
      </c>
      <c r="Q38">
        <f>IF(COUNTIFS(T_StockCount[Part Name],$A38,T_StockCount[WeekIndex],16)&gt;0,SUMIFS(T_StockCount[CountedQty],T_StockCount[Part Name],$A38,T_StockCount[WeekIndex],16),IF((('T_SelfStock'!Q42&lt;&gt;""))*(('T_TTAFStock'!Q42&lt;&gt;""))&gt;0,'T_SelfStock'!Q42+'T_TTAFStock'!Q42,P38+'Grid_Incoming'!Q38-'Grid_Requirement'!Q38))</f>
        <v/>
      </c>
      <c r="R38">
        <f>IF(COUNTIFS(T_StockCount[Part Name],$A38,T_StockCount[WeekIndex],17)&gt;0,SUMIFS(T_StockCount[CountedQty],T_StockCount[Part Name],$A38,T_StockCount[WeekIndex],17),IF((('T_SelfStock'!R42&lt;&gt;""))*(('T_TTAFStock'!R42&lt;&gt;""))&gt;0,'T_SelfStock'!R42+'T_TTAFStock'!R42,Q38+'Grid_Incoming'!R38-'Grid_Requirement'!R38))</f>
        <v/>
      </c>
      <c r="S38">
        <f>IF(COUNTIFS(T_StockCount[Part Name],$A38,T_StockCount[WeekIndex],18)&gt;0,SUMIFS(T_StockCount[CountedQty],T_StockCount[Part Name],$A38,T_StockCount[WeekIndex],18),IF((('T_SelfStock'!S42&lt;&gt;""))*(('T_TTAFStock'!S42&lt;&gt;""))&gt;0,'T_SelfStock'!S42+'T_TTAFStock'!S42,R38+'Grid_Incoming'!S38-'Grid_Requirement'!S38))</f>
        <v/>
      </c>
      <c r="T38">
        <f>IF(COUNTIFS(T_StockCount[Part Name],$A38,T_StockCount[WeekIndex],19)&gt;0,SUMIFS(T_StockCount[CountedQty],T_StockCount[Part Name],$A38,T_StockCount[WeekIndex],19),IF((('T_SelfStock'!T42&lt;&gt;""))*(('T_TTAFStock'!T42&lt;&gt;""))&gt;0,'T_SelfStock'!T42+'T_TTAFStock'!T42,S38+'Grid_Incoming'!T38-'Grid_Requirement'!T38))</f>
        <v/>
      </c>
      <c r="U38">
        <f>IF(COUNTIFS(T_StockCount[Part Name],$A38,T_StockCount[WeekIndex],20)&gt;0,SUMIFS(T_StockCount[CountedQty],T_StockCount[Part Name],$A38,T_StockCount[WeekIndex],20),IF((('T_SelfStock'!U42&lt;&gt;""))*(('T_TTAFStock'!U42&lt;&gt;""))&gt;0,'T_SelfStock'!U42+'T_TTAFStock'!U42,T38+'Grid_Incoming'!U38-'Grid_Requirement'!U38))</f>
        <v/>
      </c>
      <c r="V38">
        <f>IF(COUNTIFS(T_StockCount[Part Name],$A38,T_StockCount[WeekIndex],21)&gt;0,SUMIFS(T_StockCount[CountedQty],T_StockCount[Part Name],$A38,T_StockCount[WeekIndex],21),IF((('T_SelfStock'!V42&lt;&gt;""))*(('T_TTAFStock'!V42&lt;&gt;""))&gt;0,'T_SelfStock'!V42+'T_TTAFStock'!V42,U38+'Grid_Incoming'!V38-'Grid_Requirement'!V38))</f>
        <v/>
      </c>
      <c r="W38">
        <f>IF(COUNTIFS(T_StockCount[Part Name],$A38,T_StockCount[WeekIndex],22)&gt;0,SUMIFS(T_StockCount[CountedQty],T_StockCount[Part Name],$A38,T_StockCount[WeekIndex],22),IF((('T_SelfStock'!W42&lt;&gt;""))*(('T_TTAFStock'!W42&lt;&gt;""))&gt;0,'T_SelfStock'!W42+'T_TTAFStock'!W42,V38+'Grid_Incoming'!W38-'Grid_Requirement'!W38))</f>
        <v/>
      </c>
      <c r="X38">
        <f>IF(COUNTIFS(T_StockCount[Part Name],$A38,T_StockCount[WeekIndex],23)&gt;0,SUMIFS(T_StockCount[CountedQty],T_StockCount[Part Name],$A38,T_StockCount[WeekIndex],23),IF((('T_SelfStock'!X42&lt;&gt;""))*(('T_TTAFStock'!X42&lt;&gt;""))&gt;0,'T_SelfStock'!X42+'T_TTAFStock'!X42,W38+'Grid_Incoming'!X38-'Grid_Requirement'!X38))</f>
        <v/>
      </c>
      <c r="Y38">
        <f>IF(COUNTIFS(T_StockCount[Part Name],$A38,T_StockCount[WeekIndex],24)&gt;0,SUMIFS(T_StockCount[CountedQty],T_StockCount[Part Name],$A38,T_StockCount[WeekIndex],24),IF((('T_SelfStock'!Y42&lt;&gt;""))*(('T_TTAFStock'!Y42&lt;&gt;""))&gt;0,'T_SelfStock'!Y42+'T_TTAFStock'!Y42,X38+'Grid_Incoming'!Y38-'Grid_Requirement'!Y38))</f>
        <v/>
      </c>
      <c r="Z38">
        <f>IF(COUNTIFS(T_StockCount[Part Name],$A38,T_StockCount[WeekIndex],25)&gt;0,SUMIFS(T_StockCount[CountedQty],T_StockCount[Part Name],$A38,T_StockCount[WeekIndex],25),IF((('T_SelfStock'!Z42&lt;&gt;""))*(('T_TTAFStock'!Z42&lt;&gt;""))&gt;0,'T_SelfStock'!Z42+'T_TTAFStock'!Z42,Y38+'Grid_Incoming'!Z38-'Grid_Requirement'!Z38))</f>
        <v/>
      </c>
      <c r="AA38">
        <f>IF(COUNTIFS(T_StockCount[Part Name],$A38,T_StockCount[WeekIndex],26)&gt;0,SUMIFS(T_StockCount[CountedQty],T_StockCount[Part Name],$A38,T_StockCount[WeekIndex],26),IF((('T_SelfStock'!AA42&lt;&gt;""))*(('T_TTAFStock'!AA42&lt;&gt;""))&gt;0,'T_SelfStock'!AA42+'T_TTAFStock'!AA42,Z38+'Grid_Incoming'!AA38-'Grid_Requirement'!AA38))</f>
        <v/>
      </c>
      <c r="AB38">
        <f>IF(COUNTIFS(T_StockCount[Part Name],$A38,T_StockCount[WeekIndex],27)&gt;0,SUMIFS(T_StockCount[CountedQty],T_StockCount[Part Name],$A38,T_StockCount[WeekIndex],27),IF((('T_SelfStock'!AB42&lt;&gt;""))*(('T_TTAFStock'!AB42&lt;&gt;""))&gt;0,'T_SelfStock'!AB42+'T_TTAFStock'!AB42,AA38+'Grid_Incoming'!AB38-'Grid_Requirement'!AB38))</f>
        <v/>
      </c>
      <c r="AC38">
        <f>IF(COUNTIFS(T_StockCount[Part Name],$A38,T_StockCount[WeekIndex],28)&gt;0,SUMIFS(T_StockCount[CountedQty],T_StockCount[Part Name],$A38,T_StockCount[WeekIndex],28),IF((('T_SelfStock'!AC42&lt;&gt;""))*(('T_TTAFStock'!AC42&lt;&gt;""))&gt;0,'T_SelfStock'!AC42+'T_TTAFStock'!AC42,AB38+'Grid_Incoming'!AC38-'Grid_Requirement'!AC38))</f>
        <v/>
      </c>
      <c r="AD38">
        <f>IF(COUNTIFS(T_StockCount[Part Name],$A38,T_StockCount[WeekIndex],29)&gt;0,SUMIFS(T_StockCount[CountedQty],T_StockCount[Part Name],$A38,T_StockCount[WeekIndex],29),IF((('T_SelfStock'!AD42&lt;&gt;""))*(('T_TTAFStock'!AD42&lt;&gt;""))&gt;0,'T_SelfStock'!AD42+'T_TTAFStock'!AD42,AC38+'Grid_Incoming'!AD38-'Grid_Requirement'!AD38))</f>
        <v/>
      </c>
      <c r="AE38">
        <f>IF(COUNTIFS(T_StockCount[Part Name],$A38,T_StockCount[WeekIndex],30)&gt;0,SUMIFS(T_StockCount[CountedQty],T_StockCount[Part Name],$A38,T_StockCount[WeekIndex],30),IF((('T_SelfStock'!AE42&lt;&gt;""))*(('T_TTAFStock'!AE42&lt;&gt;""))&gt;0,'T_SelfStock'!AE42+'T_TTAFStock'!AE42,AD38+'Grid_Incoming'!AE38-'Grid_Requirement'!AE38))</f>
        <v/>
      </c>
      <c r="AF38">
        <f>IF(COUNTIFS(T_StockCount[Part Name],$A38,T_StockCount[WeekIndex],31)&gt;0,SUMIFS(T_StockCount[CountedQty],T_StockCount[Part Name],$A38,T_StockCount[WeekIndex],31),IF((('T_SelfStock'!AF42&lt;&gt;""))*(('T_TTAFStock'!AF42&lt;&gt;""))&gt;0,'T_SelfStock'!AF42+'T_TTAFStock'!AF42,AE38+'Grid_Incoming'!AF38-'Grid_Requirement'!AF38))</f>
        <v/>
      </c>
      <c r="AG38">
        <f>IF(COUNTIFS(T_StockCount[Part Name],$A38,T_StockCount[WeekIndex],32)&gt;0,SUMIFS(T_StockCount[CountedQty],T_StockCount[Part Name],$A38,T_StockCount[WeekIndex],32),IF((('T_SelfStock'!AG42&lt;&gt;""))*(('T_TTAFStock'!AG42&lt;&gt;""))&gt;0,'T_SelfStock'!AG42+'T_TTAFStock'!AG42,AF38+'Grid_Incoming'!AG38-'Grid_Requirement'!AG38))</f>
        <v/>
      </c>
      <c r="AH38">
        <f>IF(COUNTIFS(T_StockCount[Part Name],$A38,T_StockCount[WeekIndex],33)&gt;0,SUMIFS(T_StockCount[CountedQty],T_StockCount[Part Name],$A38,T_StockCount[WeekIndex],33),IF((('T_SelfStock'!AH42&lt;&gt;""))*(('T_TTAFStock'!AH42&lt;&gt;""))&gt;0,'T_SelfStock'!AH42+'T_TTAFStock'!AH42,AG38+'Grid_Incoming'!AH38-'Grid_Requirement'!AH38))</f>
        <v/>
      </c>
      <c r="AI38">
        <f>IF(COUNTIFS(T_StockCount[Part Name],$A38,T_StockCount[WeekIndex],34)&gt;0,SUMIFS(T_StockCount[CountedQty],T_StockCount[Part Name],$A38,T_StockCount[WeekIndex],34),IF((('T_SelfStock'!AI42&lt;&gt;""))*(('T_TTAFStock'!AI42&lt;&gt;""))&gt;0,'T_SelfStock'!AI42+'T_TTAFStock'!AI42,AH38+'Grid_Incoming'!AI38-'Grid_Requirement'!AI38))</f>
        <v/>
      </c>
      <c r="AJ38">
        <f>IF(COUNTIFS(T_StockCount[Part Name],$A38,T_StockCount[WeekIndex],35)&gt;0,SUMIFS(T_StockCount[CountedQty],T_StockCount[Part Name],$A38,T_StockCount[WeekIndex],35),IF((('T_SelfStock'!AJ42&lt;&gt;""))*(('T_TTAFStock'!AJ42&lt;&gt;""))&gt;0,'T_SelfStock'!AJ42+'T_TTAFStock'!AJ42,AI38+'Grid_Incoming'!AJ38-'Grid_Requirement'!AJ38))</f>
        <v/>
      </c>
      <c r="AK38">
        <f>IF(COUNTIFS(T_StockCount[Part Name],$A38,T_StockCount[WeekIndex],36)&gt;0,SUMIFS(T_StockCount[CountedQty],T_StockCount[Part Name],$A38,T_StockCount[WeekIndex],36),IF((('T_SelfStock'!AK42&lt;&gt;""))*(('T_TTAFStock'!AK42&lt;&gt;""))&gt;0,'T_SelfStock'!AK42+'T_TTAFStock'!AK42,AJ38+'Grid_Incoming'!AK38-'Grid_Requirement'!AK38))</f>
        <v/>
      </c>
      <c r="AL38">
        <f>IF(COUNTIFS(T_StockCount[Part Name],$A38,T_StockCount[WeekIndex],37)&gt;0,SUMIFS(T_StockCount[CountedQty],T_StockCount[Part Name],$A38,T_StockCount[WeekIndex],37),IF((('T_SelfStock'!AL42&lt;&gt;""))*(('T_TTAFStock'!AL42&lt;&gt;""))&gt;0,'T_SelfStock'!AL42+'T_TTAFStock'!AL42,AK38+'Grid_Incoming'!AL38-'Grid_Requirement'!AL38))</f>
        <v/>
      </c>
      <c r="AM38">
        <f>IF(COUNTIFS(T_StockCount[Part Name],$A38,T_StockCount[WeekIndex],38)&gt;0,SUMIFS(T_StockCount[CountedQty],T_StockCount[Part Name],$A38,T_StockCount[WeekIndex],38),IF((('T_SelfStock'!AM42&lt;&gt;""))*(('T_TTAFStock'!AM42&lt;&gt;""))&gt;0,'T_SelfStock'!AM42+'T_TTAFStock'!AM42,AL38+'Grid_Incoming'!AM38-'Grid_Requirement'!AM38))</f>
        <v/>
      </c>
      <c r="AN38">
        <f>IF(COUNTIFS(T_StockCount[Part Name],$A38,T_StockCount[WeekIndex],39)&gt;0,SUMIFS(T_StockCount[CountedQty],T_StockCount[Part Name],$A38,T_StockCount[WeekIndex],39),IF((('T_SelfStock'!AN42&lt;&gt;""))*(('T_TTAFStock'!AN42&lt;&gt;""))&gt;0,'T_SelfStock'!AN42+'T_TTAFStock'!AN42,AM38+'Grid_Incoming'!AN38-'Grid_Requirement'!AN38))</f>
        <v/>
      </c>
      <c r="AO38">
        <f>IF(COUNTIFS(T_StockCount[Part Name],$A38,T_StockCount[WeekIndex],40)&gt;0,SUMIFS(T_StockCount[CountedQty],T_StockCount[Part Name],$A38,T_StockCount[WeekIndex],40),IF((('T_SelfStock'!AO42&lt;&gt;""))*(('T_TTAFStock'!AO42&lt;&gt;""))&gt;0,'T_SelfStock'!AO42+'T_TTAFStock'!AO42,AN38+'Grid_Incoming'!AO38-'Grid_Requirement'!AO38))</f>
        <v/>
      </c>
      <c r="AP38">
        <f>IF(COUNTIFS(T_StockCount[Part Name],$A38,T_StockCount[WeekIndex],41)&gt;0,SUMIFS(T_StockCount[CountedQty],T_StockCount[Part Name],$A38,T_StockCount[WeekIndex],41),IF((('T_SelfStock'!AP42&lt;&gt;""))*(('T_TTAFStock'!AP42&lt;&gt;""))&gt;0,'T_SelfStock'!AP42+'T_TTAFStock'!AP42,AO38+'Grid_Incoming'!AP38-'Grid_Requirement'!AP38))</f>
        <v/>
      </c>
      <c r="AQ38">
        <f>IF(COUNTIFS(T_StockCount[Part Name],$A38,T_StockCount[WeekIndex],42)&gt;0,SUMIFS(T_StockCount[CountedQty],T_StockCount[Part Name],$A38,T_StockCount[WeekIndex],42),IF((('T_SelfStock'!AQ42&lt;&gt;""))*(('T_TTAFStock'!AQ42&lt;&gt;""))&gt;0,'T_SelfStock'!AQ42+'T_TTAFStock'!AQ42,AP38+'Grid_Incoming'!AQ38-'Grid_Requirement'!AQ38))</f>
        <v/>
      </c>
      <c r="AR38">
        <f>IF(COUNTIFS(T_StockCount[Part Name],$A38,T_StockCount[WeekIndex],43)&gt;0,SUMIFS(T_StockCount[CountedQty],T_StockCount[Part Name],$A38,T_StockCount[WeekIndex],43),IF((('T_SelfStock'!AR42&lt;&gt;""))*(('T_TTAFStock'!AR42&lt;&gt;""))&gt;0,'T_SelfStock'!AR42+'T_TTAFStock'!AR42,AQ38+'Grid_Incoming'!AR38-'Grid_Requirement'!AR38))</f>
        <v/>
      </c>
      <c r="AS38">
        <f>IF(COUNTIFS(T_StockCount[Part Name],$A38,T_StockCount[WeekIndex],44)&gt;0,SUMIFS(T_StockCount[CountedQty],T_StockCount[Part Name],$A38,T_StockCount[WeekIndex],44),IF((('T_SelfStock'!AS42&lt;&gt;""))*(('T_TTAFStock'!AS42&lt;&gt;""))&gt;0,'T_SelfStock'!AS42+'T_TTAFStock'!AS42,AR38+'Grid_Incoming'!AS38-'Grid_Requirement'!AS38))</f>
        <v/>
      </c>
      <c r="AT38">
        <f>IF(COUNTIFS(T_StockCount[Part Name],$A38,T_StockCount[WeekIndex],45)&gt;0,SUMIFS(T_StockCount[CountedQty],T_StockCount[Part Name],$A38,T_StockCount[WeekIndex],45),IF((('T_SelfStock'!AT42&lt;&gt;""))*(('T_TTAFStock'!AT42&lt;&gt;""))&gt;0,'T_SelfStock'!AT42+'T_TTAFStock'!AT42,AS38+'Grid_Incoming'!AT38-'Grid_Requirement'!AT38))</f>
        <v/>
      </c>
      <c r="AU38">
        <f>IF(COUNTIFS(T_StockCount[Part Name],$A38,T_StockCount[WeekIndex],46)&gt;0,SUMIFS(T_StockCount[CountedQty],T_StockCount[Part Name],$A38,T_StockCount[WeekIndex],46),IF((('T_SelfStock'!AU42&lt;&gt;""))*(('T_TTAFStock'!AU42&lt;&gt;""))&gt;0,'T_SelfStock'!AU42+'T_TTAFStock'!AU42,AT38+'Grid_Incoming'!AU38-'Grid_Requirement'!AU38))</f>
        <v/>
      </c>
      <c r="AV38">
        <f>IF(COUNTIFS(T_StockCount[Part Name],$A38,T_StockCount[WeekIndex],47)&gt;0,SUMIFS(T_StockCount[CountedQty],T_StockCount[Part Name],$A38,T_StockCount[WeekIndex],47),IF((('T_SelfStock'!AV42&lt;&gt;""))*(('T_TTAFStock'!AV42&lt;&gt;""))&gt;0,'T_SelfStock'!AV42+'T_TTAFStock'!AV42,AU38+'Grid_Incoming'!AV38-'Grid_Requirement'!AV38))</f>
        <v/>
      </c>
      <c r="AW38">
        <f>IF(COUNTIFS(T_StockCount[Part Name],$A38,T_StockCount[WeekIndex],48)&gt;0,SUMIFS(T_StockCount[CountedQty],T_StockCount[Part Name],$A38,T_StockCount[WeekIndex],48),IF((('T_SelfStock'!AW42&lt;&gt;""))*(('T_TTAFStock'!AW42&lt;&gt;""))&gt;0,'T_SelfStock'!AW42+'T_TTAFStock'!AW42,AV38+'Grid_Incoming'!AW38-'Grid_Requirement'!AW38))</f>
        <v/>
      </c>
      <c r="AX38">
        <f>IF(COUNTIFS(T_StockCount[Part Name],$A38,T_StockCount[WeekIndex],49)&gt;0,SUMIFS(T_StockCount[CountedQty],T_StockCount[Part Name],$A38,T_StockCount[WeekIndex],49),IF((('T_SelfStock'!AX42&lt;&gt;""))*(('T_TTAFStock'!AX42&lt;&gt;""))&gt;0,'T_SelfStock'!AX42+'T_TTAFStock'!AX42,AW38+'Grid_Incoming'!AX38-'Grid_Requirement'!AX38))</f>
        <v/>
      </c>
      <c r="AY38">
        <f>IF(COUNTIFS(T_StockCount[Part Name],$A38,T_StockCount[WeekIndex],50)&gt;0,SUMIFS(T_StockCount[CountedQty],T_StockCount[Part Name],$A38,T_StockCount[WeekIndex],50),IF((('T_SelfStock'!AY42&lt;&gt;""))*(('T_TTAFStock'!AY42&lt;&gt;""))&gt;0,'T_SelfStock'!AY42+'T_TTAFStock'!AY42,AX38+'Grid_Incoming'!AY38-'Grid_Requirement'!AY38))</f>
        <v/>
      </c>
      <c r="AZ38">
        <f>IF(COUNTIFS(T_StockCount[Part Name],$A38,T_StockCount[WeekIndex],51)&gt;0,SUMIFS(T_StockCount[CountedQty],T_StockCount[Part Name],$A38,T_StockCount[WeekIndex],51),IF((('T_SelfStock'!AZ42&lt;&gt;""))*(('T_TTAFStock'!AZ42&lt;&gt;""))&gt;0,'T_SelfStock'!AZ42+'T_TTAFStock'!AZ42,AY38+'Grid_Incoming'!AZ38-'Grid_Requirement'!AZ38))</f>
        <v/>
      </c>
      <c r="BA38">
        <f>IF(COUNTIFS(T_StockCount[Part Name],$A38,T_StockCount[WeekIndex],52)&gt;0,SUMIFS(T_StockCount[CountedQty],T_StockCount[Part Name],$A38,T_StockCount[WeekIndex],52),IF((('T_SelfStock'!BA42&lt;&gt;""))*(('T_TTAFStock'!BA42&lt;&gt;""))&gt;0,'T_SelfStock'!BA42+'T_TTAFStock'!BA42,AZ38+'Grid_Incoming'!BA38-'Grid_Requirement'!BA38))</f>
        <v/>
      </c>
      <c r="BB38">
        <f>IF(COUNTIFS(T_StockCount[Part Name],$A38,T_StockCount[WeekIndex],53)&gt;0,SUMIFS(T_StockCount[CountedQty],T_StockCount[Part Name],$A38,T_StockCount[WeekIndex],53),IF((('T_SelfStock'!BB42&lt;&gt;""))*(('T_TTAFStock'!BB42&lt;&gt;""))&gt;0,'T_SelfStock'!BB42+'T_TTAFStock'!BB42,BA38+'Grid_Incoming'!BB38-'Grid_Requirement'!BB38))</f>
        <v/>
      </c>
      <c r="BC38">
        <f>IF(COUNTIFS(T_StockCount[Part Name],$A38,T_StockCount[WeekIndex],54)&gt;0,SUMIFS(T_StockCount[CountedQty],T_StockCount[Part Name],$A38,T_StockCount[WeekIndex],54),IF((('T_SelfStock'!BC42&lt;&gt;""))*(('T_TTAFStock'!BC42&lt;&gt;""))&gt;0,'T_SelfStock'!BC42+'T_TTAFStock'!BC42,BB38+'Grid_Incoming'!BC38-'Grid_Requirement'!BC38))</f>
        <v/>
      </c>
      <c r="BD38">
        <f>IF(COUNTIFS(T_StockCount[Part Name],$A38,T_StockCount[WeekIndex],55)&gt;0,SUMIFS(T_StockCount[CountedQty],T_StockCount[Part Name],$A38,T_StockCount[WeekIndex],55),IF((('T_SelfStock'!BD42&lt;&gt;""))*(('T_TTAFStock'!BD42&lt;&gt;""))&gt;0,'T_SelfStock'!BD42+'T_TTAFStock'!BD42,BC38+'Grid_Incoming'!BD38-'Grid_Requirement'!BD38))</f>
        <v/>
      </c>
      <c r="BE38">
        <f>IF(COUNTIFS(T_StockCount[Part Name],$A38,T_StockCount[WeekIndex],56)&gt;0,SUMIFS(T_StockCount[CountedQty],T_StockCount[Part Name],$A38,T_StockCount[WeekIndex],56),IF((('T_SelfStock'!BE42&lt;&gt;""))*(('T_TTAFStock'!BE42&lt;&gt;""))&gt;0,'T_SelfStock'!BE42+'T_TTAFStock'!BE42,BD38+'Grid_Incoming'!BE38-'Grid_Requirement'!BE38))</f>
        <v/>
      </c>
      <c r="BF38">
        <f>IF(COUNTIFS(T_StockCount[Part Name],$A38,T_StockCount[WeekIndex],57)&gt;0,SUMIFS(T_StockCount[CountedQty],T_StockCount[Part Name],$A38,T_StockCount[WeekIndex],57),IF((('T_SelfStock'!BF42&lt;&gt;""))*(('T_TTAFStock'!BF42&lt;&gt;""))&gt;0,'T_SelfStock'!BF42+'T_TTAFStock'!BF42,BE38+'Grid_Incoming'!BF38-'Grid_Requirement'!BF38))</f>
        <v/>
      </c>
      <c r="BG38">
        <f>IF(COUNTIFS(T_StockCount[Part Name],$A38,T_StockCount[WeekIndex],58)&gt;0,SUMIFS(T_StockCount[CountedQty],T_StockCount[Part Name],$A38,T_StockCount[WeekIndex],58),IF((('T_SelfStock'!BG42&lt;&gt;""))*(('T_TTAFStock'!BG42&lt;&gt;""))&gt;0,'T_SelfStock'!BG42+'T_TTAFStock'!BG42,BF38+'Grid_Incoming'!BG38-'Grid_Requirement'!BG38))</f>
        <v/>
      </c>
      <c r="BH38">
        <f>IF(COUNTIFS(T_StockCount[Part Name],$A38,T_StockCount[WeekIndex],59)&gt;0,SUMIFS(T_StockCount[CountedQty],T_StockCount[Part Name],$A38,T_StockCount[WeekIndex],59),IF((('T_SelfStock'!BH42&lt;&gt;""))*(('T_TTAFStock'!BH42&lt;&gt;""))&gt;0,'T_SelfStock'!BH42+'T_TTAFStock'!BH42,BG38+'Grid_Incoming'!BH38-'Grid_Requirement'!BH38))</f>
        <v/>
      </c>
      <c r="BI38">
        <f>IF(COUNTIFS(T_StockCount[Part Name],$A38,T_StockCount[WeekIndex],60)&gt;0,SUMIFS(T_StockCount[CountedQty],T_StockCount[Part Name],$A38,T_StockCount[WeekIndex],60),IF((('T_SelfStock'!BI42&lt;&gt;""))*(('T_TTAFStock'!BI42&lt;&gt;""))&gt;0,'T_SelfStock'!BI42+'T_TTAFStock'!BI42,BH38+'Grid_Incoming'!BI38-'Grid_Requirement'!BI38))</f>
        <v/>
      </c>
      <c r="BJ38">
        <f>IF(COUNTIFS(T_StockCount[Part Name],$A38,T_StockCount[WeekIndex],61)&gt;0,SUMIFS(T_StockCount[CountedQty],T_StockCount[Part Name],$A38,T_StockCount[WeekIndex],61),IF((('T_SelfStock'!BJ42&lt;&gt;""))*(('T_TTAFStock'!BJ42&lt;&gt;""))&gt;0,'T_SelfStock'!BJ42+'T_TTAFStock'!BJ42,BI38+'Grid_Incoming'!BJ38-'Grid_Requirement'!BJ38))</f>
        <v/>
      </c>
      <c r="BK38">
        <f>IF(COUNTIFS(T_StockCount[Part Name],$A38,T_StockCount[WeekIndex],62)&gt;0,SUMIFS(T_StockCount[CountedQty],T_StockCount[Part Name],$A38,T_StockCount[WeekIndex],62),IF((('T_SelfStock'!BK42&lt;&gt;""))*(('T_TTAFStock'!BK42&lt;&gt;""))&gt;0,'T_SelfStock'!BK42+'T_TTAFStock'!BK42,BJ38+'Grid_Incoming'!BK38-'Grid_Requirement'!BK38))</f>
        <v/>
      </c>
      <c r="BL38">
        <f>IF(COUNTIFS(T_StockCount[Part Name],$A38,T_StockCount[WeekIndex],63)&gt;0,SUMIFS(T_StockCount[CountedQty],T_StockCount[Part Name],$A38,T_StockCount[WeekIndex],63),IF((('T_SelfStock'!BL42&lt;&gt;""))*(('T_TTAFStock'!BL42&lt;&gt;""))&gt;0,'T_SelfStock'!BL42+'T_TTAFStock'!BL42,BK38+'Grid_Incoming'!BL38-'Grid_Requirement'!BL38))</f>
        <v/>
      </c>
      <c r="BM38">
        <f>IF(COUNTIFS(T_StockCount[Part Name],$A38,T_StockCount[WeekIndex],64)&gt;0,SUMIFS(T_StockCount[CountedQty],T_StockCount[Part Name],$A38,T_StockCount[WeekIndex],64),IF((('T_SelfStock'!BM42&lt;&gt;""))*(('T_TTAFStock'!BM42&lt;&gt;""))&gt;0,'T_SelfStock'!BM42+'T_TTAFStock'!BM42,BL38+'Grid_Incoming'!BM38-'Grid_Requirement'!BM38))</f>
        <v/>
      </c>
      <c r="BN38">
        <f>IF(COUNTIFS(T_StockCount[Part Name],$A38,T_StockCount[WeekIndex],65)&gt;0,SUMIFS(T_StockCount[CountedQty],T_StockCount[Part Name],$A38,T_StockCount[WeekIndex],65),IF((('T_SelfStock'!BN42&lt;&gt;""))*(('T_TTAFStock'!BN42&lt;&gt;""))&gt;0,'T_SelfStock'!BN42+'T_TTAFStock'!BN42,BM38+'Grid_Incoming'!BN38-'Grid_Requirement'!BN38))</f>
        <v/>
      </c>
      <c r="BO38">
        <f>IF(COUNTIFS(T_StockCount[Part Name],$A38,T_StockCount[WeekIndex],66)&gt;0,SUMIFS(T_StockCount[CountedQty],T_StockCount[Part Name],$A38,T_StockCount[WeekIndex],66),IF((('T_SelfStock'!BO42&lt;&gt;""))*(('T_TTAFStock'!BO42&lt;&gt;""))&gt;0,'T_SelfStock'!BO42+'T_TTAFStock'!BO42,BN38+'Grid_Incoming'!BO38-'Grid_Requirement'!BO38))</f>
        <v/>
      </c>
      <c r="BP38">
        <f>IF(COUNTIFS(T_StockCount[Part Name],$A38,T_StockCount[WeekIndex],67)&gt;0,SUMIFS(T_StockCount[CountedQty],T_StockCount[Part Name],$A38,T_StockCount[WeekIndex],67),IF((('T_SelfStock'!BP42&lt;&gt;""))*(('T_TTAFStock'!BP42&lt;&gt;""))&gt;0,'T_SelfStock'!BP42+'T_TTAFStock'!BP42,BO38+'Grid_Incoming'!BP38-'Grid_Requirement'!BP38))</f>
        <v/>
      </c>
      <c r="BQ38">
        <f>IF(COUNTIFS(T_StockCount[Part Name],$A38,T_StockCount[WeekIndex],68)&gt;0,SUMIFS(T_StockCount[CountedQty],T_StockCount[Part Name],$A38,T_StockCount[WeekIndex],68),IF((('T_SelfStock'!BQ42&lt;&gt;""))*(('T_TTAFStock'!BQ42&lt;&gt;""))&gt;0,'T_SelfStock'!BQ42+'T_TTAFStock'!BQ42,BP38+'Grid_Incoming'!BQ38-'Grid_Requirement'!BQ38))</f>
        <v/>
      </c>
      <c r="BR38">
        <f>IF(COUNTIFS(T_StockCount[Part Name],$A38,T_StockCount[WeekIndex],69)&gt;0,SUMIFS(T_StockCount[CountedQty],T_StockCount[Part Name],$A38,T_StockCount[WeekIndex],69),IF((('T_SelfStock'!BR42&lt;&gt;""))*(('T_TTAFStock'!BR42&lt;&gt;""))&gt;0,'T_SelfStock'!BR42+'T_TTAFStock'!BR42,BQ38+'Grid_Incoming'!BR38-'Grid_Requirement'!BR38))</f>
        <v/>
      </c>
      <c r="BS38">
        <f>IF(COUNTIFS(T_StockCount[Part Name],$A38,T_StockCount[WeekIndex],70)&gt;0,SUMIFS(T_StockCount[CountedQty],T_StockCount[Part Name],$A38,T_StockCount[WeekIndex],70),IF((('T_SelfStock'!BS42&lt;&gt;""))*(('T_TTAFStock'!BS42&lt;&gt;""))&gt;0,'T_SelfStock'!BS42+'T_TTAFStock'!BS42,BR38+'Grid_Incoming'!BS38-'Grid_Requirement'!BS38))</f>
        <v/>
      </c>
      <c r="BT38">
        <f>IF(COUNTIFS(T_StockCount[Part Name],$A38,T_StockCount[WeekIndex],71)&gt;0,SUMIFS(T_StockCount[CountedQty],T_StockCount[Part Name],$A38,T_StockCount[WeekIndex],71),IF((('T_SelfStock'!BT42&lt;&gt;""))*(('T_TTAFStock'!BT42&lt;&gt;""))&gt;0,'T_SelfStock'!BT42+'T_TTAFStock'!BT42,BS38+'Grid_Incoming'!BT38-'Grid_Requirement'!BT38))</f>
        <v/>
      </c>
      <c r="BU38">
        <f>IF(COUNTIFS(T_StockCount[Part Name],$A38,T_StockCount[WeekIndex],72)&gt;0,SUMIFS(T_StockCount[CountedQty],T_StockCount[Part Name],$A38,T_StockCount[WeekIndex],72),IF((('T_SelfStock'!BU42&lt;&gt;""))*(('T_TTAFStock'!BU42&lt;&gt;""))&gt;0,'T_SelfStock'!BU42+'T_TTAFStock'!BU42,BT38+'Grid_Incoming'!BU38-'Grid_Requirement'!BU38))</f>
        <v/>
      </c>
      <c r="BV38">
        <f>IF(COUNTIFS(T_StockCount[Part Name],$A38,T_StockCount[WeekIndex],73)&gt;0,SUMIFS(T_StockCount[CountedQty],T_StockCount[Part Name],$A38,T_StockCount[WeekIndex],73),IF((('T_SelfStock'!BV42&lt;&gt;""))*(('T_TTAFStock'!BV42&lt;&gt;""))&gt;0,'T_SelfStock'!BV42+'T_TTAFStock'!BV42,BU38+'Grid_Incoming'!BV38-'Grid_Requirement'!BV38))</f>
        <v/>
      </c>
      <c r="BW38">
        <f>IF(COUNTIFS(T_StockCount[Part Name],$A38,T_StockCount[WeekIndex],74)&gt;0,SUMIFS(T_StockCount[CountedQty],T_StockCount[Part Name],$A38,T_StockCount[WeekIndex],74),IF((('T_SelfStock'!BW42&lt;&gt;""))*(('T_TTAFStock'!BW42&lt;&gt;""))&gt;0,'T_SelfStock'!BW42+'T_TTAFStock'!BW42,BV38+'Grid_Incoming'!BW38-'Grid_Requirement'!BW38))</f>
        <v/>
      </c>
      <c r="BX38">
        <f>IF(COUNTIFS(T_StockCount[Part Name],$A38,T_StockCount[WeekIndex],75)&gt;0,SUMIFS(T_StockCount[CountedQty],T_StockCount[Part Name],$A38,T_StockCount[WeekIndex],75),IF((('T_SelfStock'!BX42&lt;&gt;""))*(('T_TTAFStock'!BX42&lt;&gt;""))&gt;0,'T_SelfStock'!BX42+'T_TTAFStock'!BX42,BW38+'Grid_Incoming'!BX38-'Grid_Requirement'!BX38))</f>
        <v/>
      </c>
      <c r="BY38">
        <f>IF(COUNTIFS(T_StockCount[Part Name],$A38,T_StockCount[WeekIndex],76)&gt;0,SUMIFS(T_StockCount[CountedQty],T_StockCount[Part Name],$A38,T_StockCount[WeekIndex],76),IF((('T_SelfStock'!BY42&lt;&gt;""))*(('T_TTAFStock'!BY42&lt;&gt;""))&gt;0,'T_SelfStock'!BY42+'T_TTAFStock'!BY42,BX38+'Grid_Incoming'!BY38-'Grid_Requirement'!BY38))</f>
        <v/>
      </c>
      <c r="BZ38">
        <f>IF(COUNTIFS(T_StockCount[Part Name],$A38,T_StockCount[WeekIndex],77)&gt;0,SUMIFS(T_StockCount[CountedQty],T_StockCount[Part Name],$A38,T_StockCount[WeekIndex],77),IF((('T_SelfStock'!BZ42&lt;&gt;""))*(('T_TTAFStock'!BZ42&lt;&gt;""))&gt;0,'T_SelfStock'!BZ42+'T_TTAFStock'!BZ42,BY38+'Grid_Incoming'!BZ38-'Grid_Requirement'!BZ38))</f>
        <v/>
      </c>
      <c r="CA38">
        <f>IF(COUNTIFS(T_StockCount[Part Name],$A38,T_StockCount[WeekIndex],78)&gt;0,SUMIFS(T_StockCount[CountedQty],T_StockCount[Part Name],$A38,T_StockCount[WeekIndex],78),IF((('T_SelfStock'!CA42&lt;&gt;""))*(('T_TTAFStock'!CA42&lt;&gt;""))&gt;0,'T_SelfStock'!CA42+'T_TTAFStock'!CA42,BZ38+'Grid_Incoming'!CA38-'Grid_Requirement'!CA38))</f>
        <v/>
      </c>
      <c r="CB38">
        <f>IF(COUNTIFS(T_StockCount[Part Name],$A38,T_StockCount[WeekIndex],79)&gt;0,SUMIFS(T_StockCount[CountedQty],T_StockCount[Part Name],$A38,T_StockCount[WeekIndex],79),IF((('T_SelfStock'!CB42&lt;&gt;""))*(('T_TTAFStock'!CB42&lt;&gt;""))&gt;0,'T_SelfStock'!CB42+'T_TTAFStock'!CB42,CA38+'Grid_Incoming'!CB38-'Grid_Requirement'!CB38))</f>
        <v/>
      </c>
      <c r="CC38">
        <f>IF(COUNTIFS(T_StockCount[Part Name],$A38,T_StockCount[WeekIndex],80)&gt;0,SUMIFS(T_StockCount[CountedQty],T_StockCount[Part Name],$A38,T_StockCount[WeekIndex],80),IF((('T_SelfStock'!CC42&lt;&gt;""))*(('T_TTAFStock'!CC42&lt;&gt;""))&gt;0,'T_SelfStock'!CC42+'T_TTAFStock'!CC42,CB38+'Grid_Incoming'!CC38-'Grid_Requirement'!CC38))</f>
        <v/>
      </c>
      <c r="CD38">
        <f>IF(COUNTIFS(T_StockCount[Part Name],$A38,T_StockCount[WeekIndex],81)&gt;0,SUMIFS(T_StockCount[CountedQty],T_StockCount[Part Name],$A38,T_StockCount[WeekIndex],81),IF((('T_SelfStock'!CD42&lt;&gt;""))*(('T_TTAFStock'!CD42&lt;&gt;""))&gt;0,'T_SelfStock'!CD42+'T_TTAFStock'!CD42,CC38+'Grid_Incoming'!CD38-'Grid_Requirement'!CD38))</f>
        <v/>
      </c>
      <c r="CE38">
        <f>IF(COUNTIFS(T_StockCount[Part Name],$A38,T_StockCount[WeekIndex],82)&gt;0,SUMIFS(T_StockCount[CountedQty],T_StockCount[Part Name],$A38,T_StockCount[WeekIndex],82),IF((('T_SelfStock'!CE42&lt;&gt;""))*(('T_TTAFStock'!CE42&lt;&gt;""))&gt;0,'T_SelfStock'!CE42+'T_TTAFStock'!CE42,CD38+'Grid_Incoming'!CE38-'Grid_Requirement'!CE38))</f>
        <v/>
      </c>
      <c r="CF38">
        <f>IF(COUNTIFS(T_StockCount[Part Name],$A38,T_StockCount[WeekIndex],83)&gt;0,SUMIFS(T_StockCount[CountedQty],T_StockCount[Part Name],$A38,T_StockCount[WeekIndex],83),IF((('T_SelfStock'!CF42&lt;&gt;""))*(('T_TTAFStock'!CF42&lt;&gt;""))&gt;0,'T_SelfStock'!CF42+'T_TTAFStock'!CF42,CE38+'Grid_Incoming'!CF38-'Grid_Requirement'!CF38))</f>
        <v/>
      </c>
      <c r="CG38">
        <f>IF(COUNTIFS(T_StockCount[Part Name],$A38,T_StockCount[WeekIndex],84)&gt;0,SUMIFS(T_StockCount[CountedQty],T_StockCount[Part Name],$A38,T_StockCount[WeekIndex],84),IF((('T_SelfStock'!CG42&lt;&gt;""))*(('T_TTAFStock'!CG42&lt;&gt;""))&gt;0,'T_SelfStock'!CG42+'T_TTAFStock'!CG42,CF38+'Grid_Incoming'!CG38-'Grid_Requirement'!CG38))</f>
        <v/>
      </c>
      <c r="CH38">
        <f>IF(COUNTIFS(T_StockCount[Part Name],$A38,T_StockCount[WeekIndex],85)&gt;0,SUMIFS(T_StockCount[CountedQty],T_StockCount[Part Name],$A38,T_StockCount[WeekIndex],85),IF((('T_SelfStock'!CH42&lt;&gt;""))*(('T_TTAFStock'!CH42&lt;&gt;""))&gt;0,'T_SelfStock'!CH42+'T_TTAFStock'!CH42,CG38+'Grid_Incoming'!CH38-'Grid_Requirement'!CH38))</f>
        <v/>
      </c>
      <c r="CI38">
        <f>IF(COUNTIFS(T_StockCount[Part Name],$A38,T_StockCount[WeekIndex],86)&gt;0,SUMIFS(T_StockCount[CountedQty],T_StockCount[Part Name],$A38,T_StockCount[WeekIndex],86),IF((('T_SelfStock'!CI42&lt;&gt;""))*(('T_TTAFStock'!CI42&lt;&gt;""))&gt;0,'T_SelfStock'!CI42+'T_TTAFStock'!CI42,CH38+'Grid_Incoming'!CI38-'Grid_Requirement'!CI38))</f>
        <v/>
      </c>
      <c r="CJ38">
        <f>IF(COUNTIFS(T_StockCount[Part Name],$A38,T_StockCount[WeekIndex],87)&gt;0,SUMIFS(T_StockCount[CountedQty],T_StockCount[Part Name],$A38,T_StockCount[WeekIndex],87),IF((('T_SelfStock'!CJ42&lt;&gt;""))*(('T_TTAFStock'!CJ42&lt;&gt;""))&gt;0,'T_SelfStock'!CJ42+'T_TTAFStock'!CJ42,CI38+'Grid_Incoming'!CJ38-'Grid_Requirement'!CJ38))</f>
        <v/>
      </c>
      <c r="CK38">
        <f>IF(COUNTIFS(T_StockCount[Part Name],$A38,T_StockCount[WeekIndex],88)&gt;0,SUMIFS(T_StockCount[CountedQty],T_StockCount[Part Name],$A38,T_StockCount[WeekIndex],88),IF((('T_SelfStock'!CK42&lt;&gt;""))*(('T_TTAFStock'!CK42&lt;&gt;""))&gt;0,'T_SelfStock'!CK42+'T_TTAFStock'!CK42,CJ38+'Grid_Incoming'!CK38-'Grid_Requirement'!CK38))</f>
        <v/>
      </c>
      <c r="CL38">
        <f>IF(COUNTIFS(T_StockCount[Part Name],$A38,T_StockCount[WeekIndex],89)&gt;0,SUMIFS(T_StockCount[CountedQty],T_StockCount[Part Name],$A38,T_StockCount[WeekIndex],89),IF((('T_SelfStock'!CL42&lt;&gt;""))*(('T_TTAFStock'!CL42&lt;&gt;""))&gt;0,'T_SelfStock'!CL42+'T_TTAFStock'!CL42,CK38+'Grid_Incoming'!CL38-'Grid_Requirement'!CL38))</f>
        <v/>
      </c>
      <c r="CM38">
        <f>IF(COUNTIFS(T_StockCount[Part Name],$A38,T_StockCount[WeekIndex],90)&gt;0,SUMIFS(T_StockCount[CountedQty],T_StockCount[Part Name],$A38,T_StockCount[WeekIndex],90),IF((('T_SelfStock'!CM42&lt;&gt;""))*(('T_TTAFStock'!CM42&lt;&gt;""))&gt;0,'T_SelfStock'!CM42+'T_TTAFStock'!CM42,CL38+'Grid_Incoming'!CM38-'Grid_Requirement'!CM38))</f>
        <v/>
      </c>
      <c r="CN38">
        <f>IF(COUNTIFS(T_StockCount[Part Name],$A38,T_StockCount[WeekIndex],91)&gt;0,SUMIFS(T_StockCount[CountedQty],T_StockCount[Part Name],$A38,T_StockCount[WeekIndex],91),IF((('T_SelfStock'!CN42&lt;&gt;""))*(('T_TTAFStock'!CN42&lt;&gt;""))&gt;0,'T_SelfStock'!CN42+'T_TTAFStock'!CN42,CM38+'Grid_Incoming'!CN38-'Grid_Requirement'!CN38))</f>
        <v/>
      </c>
      <c r="CO38">
        <f>IF(COUNTIFS(T_StockCount[Part Name],$A38,T_StockCount[WeekIndex],92)&gt;0,SUMIFS(T_StockCount[CountedQty],T_StockCount[Part Name],$A38,T_StockCount[WeekIndex],92),IF((('T_SelfStock'!CO42&lt;&gt;""))*(('T_TTAFStock'!CO42&lt;&gt;""))&gt;0,'T_SelfStock'!CO42+'T_TTAFStock'!CO42,CN38+'Grid_Incoming'!CO38-'Grid_Requirement'!CO38))</f>
        <v/>
      </c>
      <c r="CP38">
        <f>IF(COUNTIFS(T_StockCount[Part Name],$A38,T_StockCount[WeekIndex],93)&gt;0,SUMIFS(T_StockCount[CountedQty],T_StockCount[Part Name],$A38,T_StockCount[WeekIndex],93),IF((('T_SelfStock'!CP42&lt;&gt;""))*(('T_TTAFStock'!CP42&lt;&gt;""))&gt;0,'T_SelfStock'!CP42+'T_TTAFStock'!CP42,CO38+'Grid_Incoming'!CP38-'Grid_Requirement'!CP38))</f>
        <v/>
      </c>
      <c r="CQ38">
        <f>IF(COUNTIFS(T_StockCount[Part Name],$A38,T_StockCount[WeekIndex],94)&gt;0,SUMIFS(T_StockCount[CountedQty],T_StockCount[Part Name],$A38,T_StockCount[WeekIndex],94),IF((('T_SelfStock'!CQ42&lt;&gt;""))*(('T_TTAFStock'!CQ42&lt;&gt;""))&gt;0,'T_SelfStock'!CQ42+'T_TTAFStock'!CQ42,CP38+'Grid_Incoming'!CQ38-'Grid_Requirement'!CQ38))</f>
        <v/>
      </c>
      <c r="CR38">
        <f>IF(COUNTIFS(T_StockCount[Part Name],$A38,T_StockCount[WeekIndex],95)&gt;0,SUMIFS(T_StockCount[CountedQty],T_StockCount[Part Name],$A38,T_StockCount[WeekIndex],95),IF((('T_SelfStock'!CR42&lt;&gt;""))*(('T_TTAFStock'!CR42&lt;&gt;""))&gt;0,'T_SelfStock'!CR42+'T_TTAFStock'!CR42,CQ38+'Grid_Incoming'!CR38-'Grid_Requirement'!CR38))</f>
        <v/>
      </c>
      <c r="CS38">
        <f>IF(COUNTIFS(T_StockCount[Part Name],$A38,T_StockCount[WeekIndex],96)&gt;0,SUMIFS(T_StockCount[CountedQty],T_StockCount[Part Name],$A38,T_StockCount[WeekIndex],96),IF((('T_SelfStock'!CS42&lt;&gt;""))*(('T_TTAFStock'!CS42&lt;&gt;""))&gt;0,'T_SelfStock'!CS42+'T_TTAFStock'!CS42,CR38+'Grid_Incoming'!CS38-'Grid_Requirement'!CS38))</f>
        <v/>
      </c>
      <c r="CT38">
        <f>IF(COUNTIFS(T_StockCount[Part Name],$A38,T_StockCount[WeekIndex],97)&gt;0,SUMIFS(T_StockCount[CountedQty],T_StockCount[Part Name],$A38,T_StockCount[WeekIndex],97),IF((('T_SelfStock'!CT42&lt;&gt;""))*(('T_TTAFStock'!CT42&lt;&gt;""))&gt;0,'T_SelfStock'!CT42+'T_TTAFStock'!CT42,CS38+'Grid_Incoming'!CT38-'Grid_Requirement'!CT38))</f>
        <v/>
      </c>
      <c r="CU38">
        <f>IF(COUNTIFS(T_StockCount[Part Name],$A38,T_StockCount[WeekIndex],98)&gt;0,SUMIFS(T_StockCount[CountedQty],T_StockCount[Part Name],$A38,T_StockCount[WeekIndex],98),IF((('T_SelfStock'!CU42&lt;&gt;""))*(('T_TTAFStock'!CU42&lt;&gt;""))&gt;0,'T_SelfStock'!CU42+'T_TTAFStock'!CU42,CT38+'Grid_Incoming'!CU38-'Grid_Requirement'!CU38))</f>
        <v/>
      </c>
      <c r="CV38">
        <f>IF(COUNTIFS(T_StockCount[Part Name],$A38,T_StockCount[WeekIndex],99)&gt;0,SUMIFS(T_StockCount[CountedQty],T_StockCount[Part Name],$A38,T_StockCount[WeekIndex],99),IF((('T_SelfStock'!CV42&lt;&gt;""))*(('T_TTAFStock'!CV42&lt;&gt;""))&gt;0,'T_SelfStock'!CV42+'T_TTAFStock'!CV42,CU38+'Grid_Incoming'!CV38-'Grid_Requirement'!CV38))</f>
        <v/>
      </c>
      <c r="CW38">
        <f>IF(COUNTIFS(T_StockCount[Part Name],$A38,T_StockCount[WeekIndex],100)&gt;0,SUMIFS(T_StockCount[CountedQty],T_StockCount[Part Name],$A38,T_StockCount[WeekIndex],100),IF((('T_SelfStock'!CW42&lt;&gt;""))*(('T_TTAFStock'!CW42&lt;&gt;""))&gt;0,'T_SelfStock'!CW42+'T_TTAFStock'!CW42,CV38+'Grid_Incoming'!CW38-'Grid_Requirement'!CW38))</f>
        <v/>
      </c>
      <c r="CX38">
        <f>IF(COUNTIFS(T_StockCount[Part Name],$A38,T_StockCount[WeekIndex],101)&gt;0,SUMIFS(T_StockCount[CountedQty],T_StockCount[Part Name],$A38,T_StockCount[WeekIndex],101),IF((('T_SelfStock'!CX42&lt;&gt;""))*(('T_TTAFStock'!CX42&lt;&gt;""))&gt;0,'T_SelfStock'!CX42+'T_TTAFStock'!CX42,CW38+'Grid_Incoming'!CX38-'Grid_Requirement'!CX38))</f>
        <v/>
      </c>
      <c r="CY38">
        <f>IF(COUNTIFS(T_StockCount[Part Name],$A38,T_StockCount[WeekIndex],102)&gt;0,SUMIFS(T_StockCount[CountedQty],T_StockCount[Part Name],$A38,T_StockCount[WeekIndex],102),IF((('T_SelfStock'!CY42&lt;&gt;""))*(('T_TTAFStock'!CY42&lt;&gt;""))&gt;0,'T_SelfStock'!CY42+'T_TTAFStock'!CY42,CX38+'Grid_Incoming'!CY38-'Grid_Requirement'!CY38))</f>
        <v/>
      </c>
      <c r="CZ38">
        <f>IF(COUNTIFS(T_StockCount[Part Name],$A38,T_StockCount[WeekIndex],103)&gt;0,SUMIFS(T_StockCount[CountedQty],T_StockCount[Part Name],$A38,T_StockCount[WeekIndex],103),IF((('T_SelfStock'!CZ42&lt;&gt;""))*(('T_TTAFStock'!CZ42&lt;&gt;""))&gt;0,'T_SelfStock'!CZ42+'T_TTAFStock'!CZ42,CY38+'Grid_Incoming'!CZ38-'Grid_Requirement'!CZ38))</f>
        <v/>
      </c>
      <c r="DA38">
        <f>IF(COUNTIFS(T_StockCount[Part Name],$A38,T_StockCount[WeekIndex],104)&gt;0,SUMIFS(T_StockCount[CountedQty],T_StockCount[Part Name],$A38,T_StockCount[WeekIndex],104),IF((('T_SelfStock'!DA42&lt;&gt;""))*(('T_TTAFStock'!DA42&lt;&gt;""))&gt;0,'T_SelfStock'!DA42+'T_TTAFStock'!DA42,CZ38+'Grid_Incoming'!DA38-'Grid_Requirement'!DA38))</f>
        <v/>
      </c>
    </row>
    <row r="39">
      <c r="A39" t="inlineStr">
        <is>
          <t>PP Film</t>
        </is>
      </c>
      <c r="B39">
        <f>IF(COUNTIFS(T_StockCount[Part Name],$A39,T_StockCount[WeekIndex],1)&gt;0,SUMIFS(T_StockCount[CountedQty],T_StockCount[Part Name],$A39,T_StockCount[WeekIndex],1),IF((('T_SelfStock'!B43&lt;&gt;""))*(('T_TTAFStock'!B43&lt;&gt;""))&gt;0,'T_SelfStock'!B43+'T_TTAFStock'!B43,IFERROR(INDEX(T_OpeningStock[Opening_Qty],MATCH($A39,T_OpeningStock[Part Name],0)),0)+'Grid_Incoming'!B39-'Grid_Requirement'!B39))</f>
        <v/>
      </c>
      <c r="C39">
        <f>IF(COUNTIFS(T_StockCount[Part Name],$A39,T_StockCount[WeekIndex],2)&gt;0,SUMIFS(T_StockCount[CountedQty],T_StockCount[Part Name],$A39,T_StockCount[WeekIndex],2),IF((('T_SelfStock'!C43&lt;&gt;""))*(('T_TTAFStock'!C43&lt;&gt;""))&gt;0,'T_SelfStock'!C43+'T_TTAFStock'!C43,B39+'Grid_Incoming'!C39-'Grid_Requirement'!C39))</f>
        <v/>
      </c>
      <c r="D39">
        <f>IF(COUNTIFS(T_StockCount[Part Name],$A39,T_StockCount[WeekIndex],3)&gt;0,SUMIFS(T_StockCount[CountedQty],T_StockCount[Part Name],$A39,T_StockCount[WeekIndex],3),IF((('T_SelfStock'!D43&lt;&gt;""))*(('T_TTAFStock'!D43&lt;&gt;""))&gt;0,'T_SelfStock'!D43+'T_TTAFStock'!D43,C39+'Grid_Incoming'!D39-'Grid_Requirement'!D39))</f>
        <v/>
      </c>
      <c r="E39">
        <f>IF(COUNTIFS(T_StockCount[Part Name],$A39,T_StockCount[WeekIndex],4)&gt;0,SUMIFS(T_StockCount[CountedQty],T_StockCount[Part Name],$A39,T_StockCount[WeekIndex],4),IF((('T_SelfStock'!E43&lt;&gt;""))*(('T_TTAFStock'!E43&lt;&gt;""))&gt;0,'T_SelfStock'!E43+'T_TTAFStock'!E43,D39+'Grid_Incoming'!E39-'Grid_Requirement'!E39))</f>
        <v/>
      </c>
      <c r="F39">
        <f>IF(COUNTIFS(T_StockCount[Part Name],$A39,T_StockCount[WeekIndex],5)&gt;0,SUMIFS(T_StockCount[CountedQty],T_StockCount[Part Name],$A39,T_StockCount[WeekIndex],5),IF((('T_SelfStock'!F43&lt;&gt;""))*(('T_TTAFStock'!F43&lt;&gt;""))&gt;0,'T_SelfStock'!F43+'T_TTAFStock'!F43,E39+'Grid_Incoming'!F39-'Grid_Requirement'!F39))</f>
        <v/>
      </c>
      <c r="G39">
        <f>IF(COUNTIFS(T_StockCount[Part Name],$A39,T_StockCount[WeekIndex],6)&gt;0,SUMIFS(T_StockCount[CountedQty],T_StockCount[Part Name],$A39,T_StockCount[WeekIndex],6),IF((('T_SelfStock'!G43&lt;&gt;""))*(('T_TTAFStock'!G43&lt;&gt;""))&gt;0,'T_SelfStock'!G43+'T_TTAFStock'!G43,F39+'Grid_Incoming'!G39-'Grid_Requirement'!G39))</f>
        <v/>
      </c>
      <c r="H39">
        <f>IF(COUNTIFS(T_StockCount[Part Name],$A39,T_StockCount[WeekIndex],7)&gt;0,SUMIFS(T_StockCount[CountedQty],T_StockCount[Part Name],$A39,T_StockCount[WeekIndex],7),IF((('T_SelfStock'!H43&lt;&gt;""))*(('T_TTAFStock'!H43&lt;&gt;""))&gt;0,'T_SelfStock'!H43+'T_TTAFStock'!H43,G39+'Grid_Incoming'!H39-'Grid_Requirement'!H39))</f>
        <v/>
      </c>
      <c r="I39">
        <f>IF(COUNTIFS(T_StockCount[Part Name],$A39,T_StockCount[WeekIndex],8)&gt;0,SUMIFS(T_StockCount[CountedQty],T_StockCount[Part Name],$A39,T_StockCount[WeekIndex],8),IF((('T_SelfStock'!I43&lt;&gt;""))*(('T_TTAFStock'!I43&lt;&gt;""))&gt;0,'T_SelfStock'!I43+'T_TTAFStock'!I43,H39+'Grid_Incoming'!I39-'Grid_Requirement'!I39))</f>
        <v/>
      </c>
      <c r="J39">
        <f>IF(COUNTIFS(T_StockCount[Part Name],$A39,T_StockCount[WeekIndex],9)&gt;0,SUMIFS(T_StockCount[CountedQty],T_StockCount[Part Name],$A39,T_StockCount[WeekIndex],9),IF((('T_SelfStock'!J43&lt;&gt;""))*(('T_TTAFStock'!J43&lt;&gt;""))&gt;0,'T_SelfStock'!J43+'T_TTAFStock'!J43,I39+'Grid_Incoming'!J39-'Grid_Requirement'!J39))</f>
        <v/>
      </c>
      <c r="K39">
        <f>IF(COUNTIFS(T_StockCount[Part Name],$A39,T_StockCount[WeekIndex],10)&gt;0,SUMIFS(T_StockCount[CountedQty],T_StockCount[Part Name],$A39,T_StockCount[WeekIndex],10),IF((('T_SelfStock'!K43&lt;&gt;""))*(('T_TTAFStock'!K43&lt;&gt;""))&gt;0,'T_SelfStock'!K43+'T_TTAFStock'!K43,J39+'Grid_Incoming'!K39-'Grid_Requirement'!K39))</f>
        <v/>
      </c>
      <c r="L39">
        <f>IF(COUNTIFS(T_StockCount[Part Name],$A39,T_StockCount[WeekIndex],11)&gt;0,SUMIFS(T_StockCount[CountedQty],T_StockCount[Part Name],$A39,T_StockCount[WeekIndex],11),IF((('T_SelfStock'!L43&lt;&gt;""))*(('T_TTAFStock'!L43&lt;&gt;""))&gt;0,'T_SelfStock'!L43+'T_TTAFStock'!L43,K39+'Grid_Incoming'!L39-'Grid_Requirement'!L39))</f>
        <v/>
      </c>
      <c r="M39">
        <f>IF(COUNTIFS(T_StockCount[Part Name],$A39,T_StockCount[WeekIndex],12)&gt;0,SUMIFS(T_StockCount[CountedQty],T_StockCount[Part Name],$A39,T_StockCount[WeekIndex],12),IF((('T_SelfStock'!M43&lt;&gt;""))*(('T_TTAFStock'!M43&lt;&gt;""))&gt;0,'T_SelfStock'!M43+'T_TTAFStock'!M43,L39+'Grid_Incoming'!M39-'Grid_Requirement'!M39))</f>
        <v/>
      </c>
      <c r="N39">
        <f>IF(COUNTIFS(T_StockCount[Part Name],$A39,T_StockCount[WeekIndex],13)&gt;0,SUMIFS(T_StockCount[CountedQty],T_StockCount[Part Name],$A39,T_StockCount[WeekIndex],13),IF((('T_SelfStock'!N43&lt;&gt;""))*(('T_TTAFStock'!N43&lt;&gt;""))&gt;0,'T_SelfStock'!N43+'T_TTAFStock'!N43,M39+'Grid_Incoming'!N39-'Grid_Requirement'!N39))</f>
        <v/>
      </c>
      <c r="O39">
        <f>IF(COUNTIFS(T_StockCount[Part Name],$A39,T_StockCount[WeekIndex],14)&gt;0,SUMIFS(T_StockCount[CountedQty],T_StockCount[Part Name],$A39,T_StockCount[WeekIndex],14),IF((('T_SelfStock'!O43&lt;&gt;""))*(('T_TTAFStock'!O43&lt;&gt;""))&gt;0,'T_SelfStock'!O43+'T_TTAFStock'!O43,N39+'Grid_Incoming'!O39-'Grid_Requirement'!O39))</f>
        <v/>
      </c>
      <c r="P39">
        <f>IF(COUNTIFS(T_StockCount[Part Name],$A39,T_StockCount[WeekIndex],15)&gt;0,SUMIFS(T_StockCount[CountedQty],T_StockCount[Part Name],$A39,T_StockCount[WeekIndex],15),IF((('T_SelfStock'!P43&lt;&gt;""))*(('T_TTAFStock'!P43&lt;&gt;""))&gt;0,'T_SelfStock'!P43+'T_TTAFStock'!P43,O39+'Grid_Incoming'!P39-'Grid_Requirement'!P39))</f>
        <v/>
      </c>
      <c r="Q39">
        <f>IF(COUNTIFS(T_StockCount[Part Name],$A39,T_StockCount[WeekIndex],16)&gt;0,SUMIFS(T_StockCount[CountedQty],T_StockCount[Part Name],$A39,T_StockCount[WeekIndex],16),IF((('T_SelfStock'!Q43&lt;&gt;""))*(('T_TTAFStock'!Q43&lt;&gt;""))&gt;0,'T_SelfStock'!Q43+'T_TTAFStock'!Q43,P39+'Grid_Incoming'!Q39-'Grid_Requirement'!Q39))</f>
        <v/>
      </c>
      <c r="R39">
        <f>IF(COUNTIFS(T_StockCount[Part Name],$A39,T_StockCount[WeekIndex],17)&gt;0,SUMIFS(T_StockCount[CountedQty],T_StockCount[Part Name],$A39,T_StockCount[WeekIndex],17),IF((('T_SelfStock'!R43&lt;&gt;""))*(('T_TTAFStock'!R43&lt;&gt;""))&gt;0,'T_SelfStock'!R43+'T_TTAFStock'!R43,Q39+'Grid_Incoming'!R39-'Grid_Requirement'!R39))</f>
        <v/>
      </c>
      <c r="S39">
        <f>IF(COUNTIFS(T_StockCount[Part Name],$A39,T_StockCount[WeekIndex],18)&gt;0,SUMIFS(T_StockCount[CountedQty],T_StockCount[Part Name],$A39,T_StockCount[WeekIndex],18),IF((('T_SelfStock'!S43&lt;&gt;""))*(('T_TTAFStock'!S43&lt;&gt;""))&gt;0,'T_SelfStock'!S43+'T_TTAFStock'!S43,R39+'Grid_Incoming'!S39-'Grid_Requirement'!S39))</f>
        <v/>
      </c>
      <c r="T39">
        <f>IF(COUNTIFS(T_StockCount[Part Name],$A39,T_StockCount[WeekIndex],19)&gt;0,SUMIFS(T_StockCount[CountedQty],T_StockCount[Part Name],$A39,T_StockCount[WeekIndex],19),IF((('T_SelfStock'!T43&lt;&gt;""))*(('T_TTAFStock'!T43&lt;&gt;""))&gt;0,'T_SelfStock'!T43+'T_TTAFStock'!T43,S39+'Grid_Incoming'!T39-'Grid_Requirement'!T39))</f>
        <v/>
      </c>
      <c r="U39">
        <f>IF(COUNTIFS(T_StockCount[Part Name],$A39,T_StockCount[WeekIndex],20)&gt;0,SUMIFS(T_StockCount[CountedQty],T_StockCount[Part Name],$A39,T_StockCount[WeekIndex],20),IF((('T_SelfStock'!U43&lt;&gt;""))*(('T_TTAFStock'!U43&lt;&gt;""))&gt;0,'T_SelfStock'!U43+'T_TTAFStock'!U43,T39+'Grid_Incoming'!U39-'Grid_Requirement'!U39))</f>
        <v/>
      </c>
      <c r="V39">
        <f>IF(COUNTIFS(T_StockCount[Part Name],$A39,T_StockCount[WeekIndex],21)&gt;0,SUMIFS(T_StockCount[CountedQty],T_StockCount[Part Name],$A39,T_StockCount[WeekIndex],21),IF((('T_SelfStock'!V43&lt;&gt;""))*(('T_TTAFStock'!V43&lt;&gt;""))&gt;0,'T_SelfStock'!V43+'T_TTAFStock'!V43,U39+'Grid_Incoming'!V39-'Grid_Requirement'!V39))</f>
        <v/>
      </c>
      <c r="W39">
        <f>IF(COUNTIFS(T_StockCount[Part Name],$A39,T_StockCount[WeekIndex],22)&gt;0,SUMIFS(T_StockCount[CountedQty],T_StockCount[Part Name],$A39,T_StockCount[WeekIndex],22),IF((('T_SelfStock'!W43&lt;&gt;""))*(('T_TTAFStock'!W43&lt;&gt;""))&gt;0,'T_SelfStock'!W43+'T_TTAFStock'!W43,V39+'Grid_Incoming'!W39-'Grid_Requirement'!W39))</f>
        <v/>
      </c>
      <c r="X39">
        <f>IF(COUNTIFS(T_StockCount[Part Name],$A39,T_StockCount[WeekIndex],23)&gt;0,SUMIFS(T_StockCount[CountedQty],T_StockCount[Part Name],$A39,T_StockCount[WeekIndex],23),IF((('T_SelfStock'!X43&lt;&gt;""))*(('T_TTAFStock'!X43&lt;&gt;""))&gt;0,'T_SelfStock'!X43+'T_TTAFStock'!X43,W39+'Grid_Incoming'!X39-'Grid_Requirement'!X39))</f>
        <v/>
      </c>
      <c r="Y39">
        <f>IF(COUNTIFS(T_StockCount[Part Name],$A39,T_StockCount[WeekIndex],24)&gt;0,SUMIFS(T_StockCount[CountedQty],T_StockCount[Part Name],$A39,T_StockCount[WeekIndex],24),IF((('T_SelfStock'!Y43&lt;&gt;""))*(('T_TTAFStock'!Y43&lt;&gt;""))&gt;0,'T_SelfStock'!Y43+'T_TTAFStock'!Y43,X39+'Grid_Incoming'!Y39-'Grid_Requirement'!Y39))</f>
        <v/>
      </c>
      <c r="Z39">
        <f>IF(COUNTIFS(T_StockCount[Part Name],$A39,T_StockCount[WeekIndex],25)&gt;0,SUMIFS(T_StockCount[CountedQty],T_StockCount[Part Name],$A39,T_StockCount[WeekIndex],25),IF((('T_SelfStock'!Z43&lt;&gt;""))*(('T_TTAFStock'!Z43&lt;&gt;""))&gt;0,'T_SelfStock'!Z43+'T_TTAFStock'!Z43,Y39+'Grid_Incoming'!Z39-'Grid_Requirement'!Z39))</f>
        <v/>
      </c>
      <c r="AA39">
        <f>IF(COUNTIFS(T_StockCount[Part Name],$A39,T_StockCount[WeekIndex],26)&gt;0,SUMIFS(T_StockCount[CountedQty],T_StockCount[Part Name],$A39,T_StockCount[WeekIndex],26),IF((('T_SelfStock'!AA43&lt;&gt;""))*(('T_TTAFStock'!AA43&lt;&gt;""))&gt;0,'T_SelfStock'!AA43+'T_TTAFStock'!AA43,Z39+'Grid_Incoming'!AA39-'Grid_Requirement'!AA39))</f>
        <v/>
      </c>
      <c r="AB39">
        <f>IF(COUNTIFS(T_StockCount[Part Name],$A39,T_StockCount[WeekIndex],27)&gt;0,SUMIFS(T_StockCount[CountedQty],T_StockCount[Part Name],$A39,T_StockCount[WeekIndex],27),IF((('T_SelfStock'!AB43&lt;&gt;""))*(('T_TTAFStock'!AB43&lt;&gt;""))&gt;0,'T_SelfStock'!AB43+'T_TTAFStock'!AB43,AA39+'Grid_Incoming'!AB39-'Grid_Requirement'!AB39))</f>
        <v/>
      </c>
      <c r="AC39">
        <f>IF(COUNTIFS(T_StockCount[Part Name],$A39,T_StockCount[WeekIndex],28)&gt;0,SUMIFS(T_StockCount[CountedQty],T_StockCount[Part Name],$A39,T_StockCount[WeekIndex],28),IF((('T_SelfStock'!AC43&lt;&gt;""))*(('T_TTAFStock'!AC43&lt;&gt;""))&gt;0,'T_SelfStock'!AC43+'T_TTAFStock'!AC43,AB39+'Grid_Incoming'!AC39-'Grid_Requirement'!AC39))</f>
        <v/>
      </c>
      <c r="AD39">
        <f>IF(COUNTIFS(T_StockCount[Part Name],$A39,T_StockCount[WeekIndex],29)&gt;0,SUMIFS(T_StockCount[CountedQty],T_StockCount[Part Name],$A39,T_StockCount[WeekIndex],29),IF((('T_SelfStock'!AD43&lt;&gt;""))*(('T_TTAFStock'!AD43&lt;&gt;""))&gt;0,'T_SelfStock'!AD43+'T_TTAFStock'!AD43,AC39+'Grid_Incoming'!AD39-'Grid_Requirement'!AD39))</f>
        <v/>
      </c>
      <c r="AE39">
        <f>IF(COUNTIFS(T_StockCount[Part Name],$A39,T_StockCount[WeekIndex],30)&gt;0,SUMIFS(T_StockCount[CountedQty],T_StockCount[Part Name],$A39,T_StockCount[WeekIndex],30),IF((('T_SelfStock'!AE43&lt;&gt;""))*(('T_TTAFStock'!AE43&lt;&gt;""))&gt;0,'T_SelfStock'!AE43+'T_TTAFStock'!AE43,AD39+'Grid_Incoming'!AE39-'Grid_Requirement'!AE39))</f>
        <v/>
      </c>
      <c r="AF39">
        <f>IF(COUNTIFS(T_StockCount[Part Name],$A39,T_StockCount[WeekIndex],31)&gt;0,SUMIFS(T_StockCount[CountedQty],T_StockCount[Part Name],$A39,T_StockCount[WeekIndex],31),IF((('T_SelfStock'!AF43&lt;&gt;""))*(('T_TTAFStock'!AF43&lt;&gt;""))&gt;0,'T_SelfStock'!AF43+'T_TTAFStock'!AF43,AE39+'Grid_Incoming'!AF39-'Grid_Requirement'!AF39))</f>
        <v/>
      </c>
      <c r="AG39">
        <f>IF(COUNTIFS(T_StockCount[Part Name],$A39,T_StockCount[WeekIndex],32)&gt;0,SUMIFS(T_StockCount[CountedQty],T_StockCount[Part Name],$A39,T_StockCount[WeekIndex],32),IF((('T_SelfStock'!AG43&lt;&gt;""))*(('T_TTAFStock'!AG43&lt;&gt;""))&gt;0,'T_SelfStock'!AG43+'T_TTAFStock'!AG43,AF39+'Grid_Incoming'!AG39-'Grid_Requirement'!AG39))</f>
        <v/>
      </c>
      <c r="AH39">
        <f>IF(COUNTIFS(T_StockCount[Part Name],$A39,T_StockCount[WeekIndex],33)&gt;0,SUMIFS(T_StockCount[CountedQty],T_StockCount[Part Name],$A39,T_StockCount[WeekIndex],33),IF((('T_SelfStock'!AH43&lt;&gt;""))*(('T_TTAFStock'!AH43&lt;&gt;""))&gt;0,'T_SelfStock'!AH43+'T_TTAFStock'!AH43,AG39+'Grid_Incoming'!AH39-'Grid_Requirement'!AH39))</f>
        <v/>
      </c>
      <c r="AI39">
        <f>IF(COUNTIFS(T_StockCount[Part Name],$A39,T_StockCount[WeekIndex],34)&gt;0,SUMIFS(T_StockCount[CountedQty],T_StockCount[Part Name],$A39,T_StockCount[WeekIndex],34),IF((('T_SelfStock'!AI43&lt;&gt;""))*(('T_TTAFStock'!AI43&lt;&gt;""))&gt;0,'T_SelfStock'!AI43+'T_TTAFStock'!AI43,AH39+'Grid_Incoming'!AI39-'Grid_Requirement'!AI39))</f>
        <v/>
      </c>
      <c r="AJ39">
        <f>IF(COUNTIFS(T_StockCount[Part Name],$A39,T_StockCount[WeekIndex],35)&gt;0,SUMIFS(T_StockCount[CountedQty],T_StockCount[Part Name],$A39,T_StockCount[WeekIndex],35),IF((('T_SelfStock'!AJ43&lt;&gt;""))*(('T_TTAFStock'!AJ43&lt;&gt;""))&gt;0,'T_SelfStock'!AJ43+'T_TTAFStock'!AJ43,AI39+'Grid_Incoming'!AJ39-'Grid_Requirement'!AJ39))</f>
        <v/>
      </c>
      <c r="AK39">
        <f>IF(COUNTIFS(T_StockCount[Part Name],$A39,T_StockCount[WeekIndex],36)&gt;0,SUMIFS(T_StockCount[CountedQty],T_StockCount[Part Name],$A39,T_StockCount[WeekIndex],36),IF((('T_SelfStock'!AK43&lt;&gt;""))*(('T_TTAFStock'!AK43&lt;&gt;""))&gt;0,'T_SelfStock'!AK43+'T_TTAFStock'!AK43,AJ39+'Grid_Incoming'!AK39-'Grid_Requirement'!AK39))</f>
        <v/>
      </c>
      <c r="AL39">
        <f>IF(COUNTIFS(T_StockCount[Part Name],$A39,T_StockCount[WeekIndex],37)&gt;0,SUMIFS(T_StockCount[CountedQty],T_StockCount[Part Name],$A39,T_StockCount[WeekIndex],37),IF((('T_SelfStock'!AL43&lt;&gt;""))*(('T_TTAFStock'!AL43&lt;&gt;""))&gt;0,'T_SelfStock'!AL43+'T_TTAFStock'!AL43,AK39+'Grid_Incoming'!AL39-'Grid_Requirement'!AL39))</f>
        <v/>
      </c>
      <c r="AM39">
        <f>IF(COUNTIFS(T_StockCount[Part Name],$A39,T_StockCount[WeekIndex],38)&gt;0,SUMIFS(T_StockCount[CountedQty],T_StockCount[Part Name],$A39,T_StockCount[WeekIndex],38),IF((('T_SelfStock'!AM43&lt;&gt;""))*(('T_TTAFStock'!AM43&lt;&gt;""))&gt;0,'T_SelfStock'!AM43+'T_TTAFStock'!AM43,AL39+'Grid_Incoming'!AM39-'Grid_Requirement'!AM39))</f>
        <v/>
      </c>
      <c r="AN39">
        <f>IF(COUNTIFS(T_StockCount[Part Name],$A39,T_StockCount[WeekIndex],39)&gt;0,SUMIFS(T_StockCount[CountedQty],T_StockCount[Part Name],$A39,T_StockCount[WeekIndex],39),IF((('T_SelfStock'!AN43&lt;&gt;""))*(('T_TTAFStock'!AN43&lt;&gt;""))&gt;0,'T_SelfStock'!AN43+'T_TTAFStock'!AN43,AM39+'Grid_Incoming'!AN39-'Grid_Requirement'!AN39))</f>
        <v/>
      </c>
      <c r="AO39">
        <f>IF(COUNTIFS(T_StockCount[Part Name],$A39,T_StockCount[WeekIndex],40)&gt;0,SUMIFS(T_StockCount[CountedQty],T_StockCount[Part Name],$A39,T_StockCount[WeekIndex],40),IF((('T_SelfStock'!AO43&lt;&gt;""))*(('T_TTAFStock'!AO43&lt;&gt;""))&gt;0,'T_SelfStock'!AO43+'T_TTAFStock'!AO43,AN39+'Grid_Incoming'!AO39-'Grid_Requirement'!AO39))</f>
        <v/>
      </c>
      <c r="AP39">
        <f>IF(COUNTIFS(T_StockCount[Part Name],$A39,T_StockCount[WeekIndex],41)&gt;0,SUMIFS(T_StockCount[CountedQty],T_StockCount[Part Name],$A39,T_StockCount[WeekIndex],41),IF((('T_SelfStock'!AP43&lt;&gt;""))*(('T_TTAFStock'!AP43&lt;&gt;""))&gt;0,'T_SelfStock'!AP43+'T_TTAFStock'!AP43,AO39+'Grid_Incoming'!AP39-'Grid_Requirement'!AP39))</f>
        <v/>
      </c>
      <c r="AQ39">
        <f>IF(COUNTIFS(T_StockCount[Part Name],$A39,T_StockCount[WeekIndex],42)&gt;0,SUMIFS(T_StockCount[CountedQty],T_StockCount[Part Name],$A39,T_StockCount[WeekIndex],42),IF((('T_SelfStock'!AQ43&lt;&gt;""))*(('T_TTAFStock'!AQ43&lt;&gt;""))&gt;0,'T_SelfStock'!AQ43+'T_TTAFStock'!AQ43,AP39+'Grid_Incoming'!AQ39-'Grid_Requirement'!AQ39))</f>
        <v/>
      </c>
      <c r="AR39">
        <f>IF(COUNTIFS(T_StockCount[Part Name],$A39,T_StockCount[WeekIndex],43)&gt;0,SUMIFS(T_StockCount[CountedQty],T_StockCount[Part Name],$A39,T_StockCount[WeekIndex],43),IF((('T_SelfStock'!AR43&lt;&gt;""))*(('T_TTAFStock'!AR43&lt;&gt;""))&gt;0,'T_SelfStock'!AR43+'T_TTAFStock'!AR43,AQ39+'Grid_Incoming'!AR39-'Grid_Requirement'!AR39))</f>
        <v/>
      </c>
      <c r="AS39">
        <f>IF(COUNTIFS(T_StockCount[Part Name],$A39,T_StockCount[WeekIndex],44)&gt;0,SUMIFS(T_StockCount[CountedQty],T_StockCount[Part Name],$A39,T_StockCount[WeekIndex],44),IF((('T_SelfStock'!AS43&lt;&gt;""))*(('T_TTAFStock'!AS43&lt;&gt;""))&gt;0,'T_SelfStock'!AS43+'T_TTAFStock'!AS43,AR39+'Grid_Incoming'!AS39-'Grid_Requirement'!AS39))</f>
        <v/>
      </c>
      <c r="AT39">
        <f>IF(COUNTIFS(T_StockCount[Part Name],$A39,T_StockCount[WeekIndex],45)&gt;0,SUMIFS(T_StockCount[CountedQty],T_StockCount[Part Name],$A39,T_StockCount[WeekIndex],45),IF((('T_SelfStock'!AT43&lt;&gt;""))*(('T_TTAFStock'!AT43&lt;&gt;""))&gt;0,'T_SelfStock'!AT43+'T_TTAFStock'!AT43,AS39+'Grid_Incoming'!AT39-'Grid_Requirement'!AT39))</f>
        <v/>
      </c>
      <c r="AU39">
        <f>IF(COUNTIFS(T_StockCount[Part Name],$A39,T_StockCount[WeekIndex],46)&gt;0,SUMIFS(T_StockCount[CountedQty],T_StockCount[Part Name],$A39,T_StockCount[WeekIndex],46),IF((('T_SelfStock'!AU43&lt;&gt;""))*(('T_TTAFStock'!AU43&lt;&gt;""))&gt;0,'T_SelfStock'!AU43+'T_TTAFStock'!AU43,AT39+'Grid_Incoming'!AU39-'Grid_Requirement'!AU39))</f>
        <v/>
      </c>
      <c r="AV39">
        <f>IF(COUNTIFS(T_StockCount[Part Name],$A39,T_StockCount[WeekIndex],47)&gt;0,SUMIFS(T_StockCount[CountedQty],T_StockCount[Part Name],$A39,T_StockCount[WeekIndex],47),IF((('T_SelfStock'!AV43&lt;&gt;""))*(('T_TTAFStock'!AV43&lt;&gt;""))&gt;0,'T_SelfStock'!AV43+'T_TTAFStock'!AV43,AU39+'Grid_Incoming'!AV39-'Grid_Requirement'!AV39))</f>
        <v/>
      </c>
      <c r="AW39">
        <f>IF(COUNTIFS(T_StockCount[Part Name],$A39,T_StockCount[WeekIndex],48)&gt;0,SUMIFS(T_StockCount[CountedQty],T_StockCount[Part Name],$A39,T_StockCount[WeekIndex],48),IF((('T_SelfStock'!AW43&lt;&gt;""))*(('T_TTAFStock'!AW43&lt;&gt;""))&gt;0,'T_SelfStock'!AW43+'T_TTAFStock'!AW43,AV39+'Grid_Incoming'!AW39-'Grid_Requirement'!AW39))</f>
        <v/>
      </c>
      <c r="AX39">
        <f>IF(COUNTIFS(T_StockCount[Part Name],$A39,T_StockCount[WeekIndex],49)&gt;0,SUMIFS(T_StockCount[CountedQty],T_StockCount[Part Name],$A39,T_StockCount[WeekIndex],49),IF((('T_SelfStock'!AX43&lt;&gt;""))*(('T_TTAFStock'!AX43&lt;&gt;""))&gt;0,'T_SelfStock'!AX43+'T_TTAFStock'!AX43,AW39+'Grid_Incoming'!AX39-'Grid_Requirement'!AX39))</f>
        <v/>
      </c>
      <c r="AY39">
        <f>IF(COUNTIFS(T_StockCount[Part Name],$A39,T_StockCount[WeekIndex],50)&gt;0,SUMIFS(T_StockCount[CountedQty],T_StockCount[Part Name],$A39,T_StockCount[WeekIndex],50),IF((('T_SelfStock'!AY43&lt;&gt;""))*(('T_TTAFStock'!AY43&lt;&gt;""))&gt;0,'T_SelfStock'!AY43+'T_TTAFStock'!AY43,AX39+'Grid_Incoming'!AY39-'Grid_Requirement'!AY39))</f>
        <v/>
      </c>
      <c r="AZ39">
        <f>IF(COUNTIFS(T_StockCount[Part Name],$A39,T_StockCount[WeekIndex],51)&gt;0,SUMIFS(T_StockCount[CountedQty],T_StockCount[Part Name],$A39,T_StockCount[WeekIndex],51),IF((('T_SelfStock'!AZ43&lt;&gt;""))*(('T_TTAFStock'!AZ43&lt;&gt;""))&gt;0,'T_SelfStock'!AZ43+'T_TTAFStock'!AZ43,AY39+'Grid_Incoming'!AZ39-'Grid_Requirement'!AZ39))</f>
        <v/>
      </c>
      <c r="BA39">
        <f>IF(COUNTIFS(T_StockCount[Part Name],$A39,T_StockCount[WeekIndex],52)&gt;0,SUMIFS(T_StockCount[CountedQty],T_StockCount[Part Name],$A39,T_StockCount[WeekIndex],52),IF((('T_SelfStock'!BA43&lt;&gt;""))*(('T_TTAFStock'!BA43&lt;&gt;""))&gt;0,'T_SelfStock'!BA43+'T_TTAFStock'!BA43,AZ39+'Grid_Incoming'!BA39-'Grid_Requirement'!BA39))</f>
        <v/>
      </c>
      <c r="BB39">
        <f>IF(COUNTIFS(T_StockCount[Part Name],$A39,T_StockCount[WeekIndex],53)&gt;0,SUMIFS(T_StockCount[CountedQty],T_StockCount[Part Name],$A39,T_StockCount[WeekIndex],53),IF((('T_SelfStock'!BB43&lt;&gt;""))*(('T_TTAFStock'!BB43&lt;&gt;""))&gt;0,'T_SelfStock'!BB43+'T_TTAFStock'!BB43,BA39+'Grid_Incoming'!BB39-'Grid_Requirement'!BB39))</f>
        <v/>
      </c>
      <c r="BC39">
        <f>IF(COUNTIFS(T_StockCount[Part Name],$A39,T_StockCount[WeekIndex],54)&gt;0,SUMIFS(T_StockCount[CountedQty],T_StockCount[Part Name],$A39,T_StockCount[WeekIndex],54),IF((('T_SelfStock'!BC43&lt;&gt;""))*(('T_TTAFStock'!BC43&lt;&gt;""))&gt;0,'T_SelfStock'!BC43+'T_TTAFStock'!BC43,BB39+'Grid_Incoming'!BC39-'Grid_Requirement'!BC39))</f>
        <v/>
      </c>
      <c r="BD39">
        <f>IF(COUNTIFS(T_StockCount[Part Name],$A39,T_StockCount[WeekIndex],55)&gt;0,SUMIFS(T_StockCount[CountedQty],T_StockCount[Part Name],$A39,T_StockCount[WeekIndex],55),IF((('T_SelfStock'!BD43&lt;&gt;""))*(('T_TTAFStock'!BD43&lt;&gt;""))&gt;0,'T_SelfStock'!BD43+'T_TTAFStock'!BD43,BC39+'Grid_Incoming'!BD39-'Grid_Requirement'!BD39))</f>
        <v/>
      </c>
      <c r="BE39">
        <f>IF(COUNTIFS(T_StockCount[Part Name],$A39,T_StockCount[WeekIndex],56)&gt;0,SUMIFS(T_StockCount[CountedQty],T_StockCount[Part Name],$A39,T_StockCount[WeekIndex],56),IF((('T_SelfStock'!BE43&lt;&gt;""))*(('T_TTAFStock'!BE43&lt;&gt;""))&gt;0,'T_SelfStock'!BE43+'T_TTAFStock'!BE43,BD39+'Grid_Incoming'!BE39-'Grid_Requirement'!BE39))</f>
        <v/>
      </c>
      <c r="BF39">
        <f>IF(COUNTIFS(T_StockCount[Part Name],$A39,T_StockCount[WeekIndex],57)&gt;0,SUMIFS(T_StockCount[CountedQty],T_StockCount[Part Name],$A39,T_StockCount[WeekIndex],57),IF((('T_SelfStock'!BF43&lt;&gt;""))*(('T_TTAFStock'!BF43&lt;&gt;""))&gt;0,'T_SelfStock'!BF43+'T_TTAFStock'!BF43,BE39+'Grid_Incoming'!BF39-'Grid_Requirement'!BF39))</f>
        <v/>
      </c>
      <c r="BG39">
        <f>IF(COUNTIFS(T_StockCount[Part Name],$A39,T_StockCount[WeekIndex],58)&gt;0,SUMIFS(T_StockCount[CountedQty],T_StockCount[Part Name],$A39,T_StockCount[WeekIndex],58),IF((('T_SelfStock'!BG43&lt;&gt;""))*(('T_TTAFStock'!BG43&lt;&gt;""))&gt;0,'T_SelfStock'!BG43+'T_TTAFStock'!BG43,BF39+'Grid_Incoming'!BG39-'Grid_Requirement'!BG39))</f>
        <v/>
      </c>
      <c r="BH39">
        <f>IF(COUNTIFS(T_StockCount[Part Name],$A39,T_StockCount[WeekIndex],59)&gt;0,SUMIFS(T_StockCount[CountedQty],T_StockCount[Part Name],$A39,T_StockCount[WeekIndex],59),IF((('T_SelfStock'!BH43&lt;&gt;""))*(('T_TTAFStock'!BH43&lt;&gt;""))&gt;0,'T_SelfStock'!BH43+'T_TTAFStock'!BH43,BG39+'Grid_Incoming'!BH39-'Grid_Requirement'!BH39))</f>
        <v/>
      </c>
      <c r="BI39">
        <f>IF(COUNTIFS(T_StockCount[Part Name],$A39,T_StockCount[WeekIndex],60)&gt;0,SUMIFS(T_StockCount[CountedQty],T_StockCount[Part Name],$A39,T_StockCount[WeekIndex],60),IF((('T_SelfStock'!BI43&lt;&gt;""))*(('T_TTAFStock'!BI43&lt;&gt;""))&gt;0,'T_SelfStock'!BI43+'T_TTAFStock'!BI43,BH39+'Grid_Incoming'!BI39-'Grid_Requirement'!BI39))</f>
        <v/>
      </c>
      <c r="BJ39">
        <f>IF(COUNTIFS(T_StockCount[Part Name],$A39,T_StockCount[WeekIndex],61)&gt;0,SUMIFS(T_StockCount[CountedQty],T_StockCount[Part Name],$A39,T_StockCount[WeekIndex],61),IF((('T_SelfStock'!BJ43&lt;&gt;""))*(('T_TTAFStock'!BJ43&lt;&gt;""))&gt;0,'T_SelfStock'!BJ43+'T_TTAFStock'!BJ43,BI39+'Grid_Incoming'!BJ39-'Grid_Requirement'!BJ39))</f>
        <v/>
      </c>
      <c r="BK39">
        <f>IF(COUNTIFS(T_StockCount[Part Name],$A39,T_StockCount[WeekIndex],62)&gt;0,SUMIFS(T_StockCount[CountedQty],T_StockCount[Part Name],$A39,T_StockCount[WeekIndex],62),IF((('T_SelfStock'!BK43&lt;&gt;""))*(('T_TTAFStock'!BK43&lt;&gt;""))&gt;0,'T_SelfStock'!BK43+'T_TTAFStock'!BK43,BJ39+'Grid_Incoming'!BK39-'Grid_Requirement'!BK39))</f>
        <v/>
      </c>
      <c r="BL39">
        <f>IF(COUNTIFS(T_StockCount[Part Name],$A39,T_StockCount[WeekIndex],63)&gt;0,SUMIFS(T_StockCount[CountedQty],T_StockCount[Part Name],$A39,T_StockCount[WeekIndex],63),IF((('T_SelfStock'!BL43&lt;&gt;""))*(('T_TTAFStock'!BL43&lt;&gt;""))&gt;0,'T_SelfStock'!BL43+'T_TTAFStock'!BL43,BK39+'Grid_Incoming'!BL39-'Grid_Requirement'!BL39))</f>
        <v/>
      </c>
      <c r="BM39">
        <f>IF(COUNTIFS(T_StockCount[Part Name],$A39,T_StockCount[WeekIndex],64)&gt;0,SUMIFS(T_StockCount[CountedQty],T_StockCount[Part Name],$A39,T_StockCount[WeekIndex],64),IF((('T_SelfStock'!BM43&lt;&gt;""))*(('T_TTAFStock'!BM43&lt;&gt;""))&gt;0,'T_SelfStock'!BM43+'T_TTAFStock'!BM43,BL39+'Grid_Incoming'!BM39-'Grid_Requirement'!BM39))</f>
        <v/>
      </c>
      <c r="BN39">
        <f>IF(COUNTIFS(T_StockCount[Part Name],$A39,T_StockCount[WeekIndex],65)&gt;0,SUMIFS(T_StockCount[CountedQty],T_StockCount[Part Name],$A39,T_StockCount[WeekIndex],65),IF((('T_SelfStock'!BN43&lt;&gt;""))*(('T_TTAFStock'!BN43&lt;&gt;""))&gt;0,'T_SelfStock'!BN43+'T_TTAFStock'!BN43,BM39+'Grid_Incoming'!BN39-'Grid_Requirement'!BN39))</f>
        <v/>
      </c>
      <c r="BO39">
        <f>IF(COUNTIFS(T_StockCount[Part Name],$A39,T_StockCount[WeekIndex],66)&gt;0,SUMIFS(T_StockCount[CountedQty],T_StockCount[Part Name],$A39,T_StockCount[WeekIndex],66),IF((('T_SelfStock'!BO43&lt;&gt;""))*(('T_TTAFStock'!BO43&lt;&gt;""))&gt;0,'T_SelfStock'!BO43+'T_TTAFStock'!BO43,BN39+'Grid_Incoming'!BO39-'Grid_Requirement'!BO39))</f>
        <v/>
      </c>
      <c r="BP39">
        <f>IF(COUNTIFS(T_StockCount[Part Name],$A39,T_StockCount[WeekIndex],67)&gt;0,SUMIFS(T_StockCount[CountedQty],T_StockCount[Part Name],$A39,T_StockCount[WeekIndex],67),IF((('T_SelfStock'!BP43&lt;&gt;""))*(('T_TTAFStock'!BP43&lt;&gt;""))&gt;0,'T_SelfStock'!BP43+'T_TTAFStock'!BP43,BO39+'Grid_Incoming'!BP39-'Grid_Requirement'!BP39))</f>
        <v/>
      </c>
      <c r="BQ39">
        <f>IF(COUNTIFS(T_StockCount[Part Name],$A39,T_StockCount[WeekIndex],68)&gt;0,SUMIFS(T_StockCount[CountedQty],T_StockCount[Part Name],$A39,T_StockCount[WeekIndex],68),IF((('T_SelfStock'!BQ43&lt;&gt;""))*(('T_TTAFStock'!BQ43&lt;&gt;""))&gt;0,'T_SelfStock'!BQ43+'T_TTAFStock'!BQ43,BP39+'Grid_Incoming'!BQ39-'Grid_Requirement'!BQ39))</f>
        <v/>
      </c>
      <c r="BR39">
        <f>IF(COUNTIFS(T_StockCount[Part Name],$A39,T_StockCount[WeekIndex],69)&gt;0,SUMIFS(T_StockCount[CountedQty],T_StockCount[Part Name],$A39,T_StockCount[WeekIndex],69),IF((('T_SelfStock'!BR43&lt;&gt;""))*(('T_TTAFStock'!BR43&lt;&gt;""))&gt;0,'T_SelfStock'!BR43+'T_TTAFStock'!BR43,BQ39+'Grid_Incoming'!BR39-'Grid_Requirement'!BR39))</f>
        <v/>
      </c>
      <c r="BS39">
        <f>IF(COUNTIFS(T_StockCount[Part Name],$A39,T_StockCount[WeekIndex],70)&gt;0,SUMIFS(T_StockCount[CountedQty],T_StockCount[Part Name],$A39,T_StockCount[WeekIndex],70),IF((('T_SelfStock'!BS43&lt;&gt;""))*(('T_TTAFStock'!BS43&lt;&gt;""))&gt;0,'T_SelfStock'!BS43+'T_TTAFStock'!BS43,BR39+'Grid_Incoming'!BS39-'Grid_Requirement'!BS39))</f>
        <v/>
      </c>
      <c r="BT39">
        <f>IF(COUNTIFS(T_StockCount[Part Name],$A39,T_StockCount[WeekIndex],71)&gt;0,SUMIFS(T_StockCount[CountedQty],T_StockCount[Part Name],$A39,T_StockCount[WeekIndex],71),IF((('T_SelfStock'!BT43&lt;&gt;""))*(('T_TTAFStock'!BT43&lt;&gt;""))&gt;0,'T_SelfStock'!BT43+'T_TTAFStock'!BT43,BS39+'Grid_Incoming'!BT39-'Grid_Requirement'!BT39))</f>
        <v/>
      </c>
      <c r="BU39">
        <f>IF(COUNTIFS(T_StockCount[Part Name],$A39,T_StockCount[WeekIndex],72)&gt;0,SUMIFS(T_StockCount[CountedQty],T_StockCount[Part Name],$A39,T_StockCount[WeekIndex],72),IF((('T_SelfStock'!BU43&lt;&gt;""))*(('T_TTAFStock'!BU43&lt;&gt;""))&gt;0,'T_SelfStock'!BU43+'T_TTAFStock'!BU43,BT39+'Grid_Incoming'!BU39-'Grid_Requirement'!BU39))</f>
        <v/>
      </c>
      <c r="BV39">
        <f>IF(COUNTIFS(T_StockCount[Part Name],$A39,T_StockCount[WeekIndex],73)&gt;0,SUMIFS(T_StockCount[CountedQty],T_StockCount[Part Name],$A39,T_StockCount[WeekIndex],73),IF((('T_SelfStock'!BV43&lt;&gt;""))*(('T_TTAFStock'!BV43&lt;&gt;""))&gt;0,'T_SelfStock'!BV43+'T_TTAFStock'!BV43,BU39+'Grid_Incoming'!BV39-'Grid_Requirement'!BV39))</f>
        <v/>
      </c>
      <c r="BW39">
        <f>IF(COUNTIFS(T_StockCount[Part Name],$A39,T_StockCount[WeekIndex],74)&gt;0,SUMIFS(T_StockCount[CountedQty],T_StockCount[Part Name],$A39,T_StockCount[WeekIndex],74),IF((('T_SelfStock'!BW43&lt;&gt;""))*(('T_TTAFStock'!BW43&lt;&gt;""))&gt;0,'T_SelfStock'!BW43+'T_TTAFStock'!BW43,BV39+'Grid_Incoming'!BW39-'Grid_Requirement'!BW39))</f>
        <v/>
      </c>
      <c r="BX39">
        <f>IF(COUNTIFS(T_StockCount[Part Name],$A39,T_StockCount[WeekIndex],75)&gt;0,SUMIFS(T_StockCount[CountedQty],T_StockCount[Part Name],$A39,T_StockCount[WeekIndex],75),IF((('T_SelfStock'!BX43&lt;&gt;""))*(('T_TTAFStock'!BX43&lt;&gt;""))&gt;0,'T_SelfStock'!BX43+'T_TTAFStock'!BX43,BW39+'Grid_Incoming'!BX39-'Grid_Requirement'!BX39))</f>
        <v/>
      </c>
      <c r="BY39">
        <f>IF(COUNTIFS(T_StockCount[Part Name],$A39,T_StockCount[WeekIndex],76)&gt;0,SUMIFS(T_StockCount[CountedQty],T_StockCount[Part Name],$A39,T_StockCount[WeekIndex],76),IF((('T_SelfStock'!BY43&lt;&gt;""))*(('T_TTAFStock'!BY43&lt;&gt;""))&gt;0,'T_SelfStock'!BY43+'T_TTAFStock'!BY43,BX39+'Grid_Incoming'!BY39-'Grid_Requirement'!BY39))</f>
        <v/>
      </c>
      <c r="BZ39">
        <f>IF(COUNTIFS(T_StockCount[Part Name],$A39,T_StockCount[WeekIndex],77)&gt;0,SUMIFS(T_StockCount[CountedQty],T_StockCount[Part Name],$A39,T_StockCount[WeekIndex],77),IF((('T_SelfStock'!BZ43&lt;&gt;""))*(('T_TTAFStock'!BZ43&lt;&gt;""))&gt;0,'T_SelfStock'!BZ43+'T_TTAFStock'!BZ43,BY39+'Grid_Incoming'!BZ39-'Grid_Requirement'!BZ39))</f>
        <v/>
      </c>
      <c r="CA39">
        <f>IF(COUNTIFS(T_StockCount[Part Name],$A39,T_StockCount[WeekIndex],78)&gt;0,SUMIFS(T_StockCount[CountedQty],T_StockCount[Part Name],$A39,T_StockCount[WeekIndex],78),IF((('T_SelfStock'!CA43&lt;&gt;""))*(('T_TTAFStock'!CA43&lt;&gt;""))&gt;0,'T_SelfStock'!CA43+'T_TTAFStock'!CA43,BZ39+'Grid_Incoming'!CA39-'Grid_Requirement'!CA39))</f>
        <v/>
      </c>
      <c r="CB39">
        <f>IF(COUNTIFS(T_StockCount[Part Name],$A39,T_StockCount[WeekIndex],79)&gt;0,SUMIFS(T_StockCount[CountedQty],T_StockCount[Part Name],$A39,T_StockCount[WeekIndex],79),IF((('T_SelfStock'!CB43&lt;&gt;""))*(('T_TTAFStock'!CB43&lt;&gt;""))&gt;0,'T_SelfStock'!CB43+'T_TTAFStock'!CB43,CA39+'Grid_Incoming'!CB39-'Grid_Requirement'!CB39))</f>
        <v/>
      </c>
      <c r="CC39">
        <f>IF(COUNTIFS(T_StockCount[Part Name],$A39,T_StockCount[WeekIndex],80)&gt;0,SUMIFS(T_StockCount[CountedQty],T_StockCount[Part Name],$A39,T_StockCount[WeekIndex],80),IF((('T_SelfStock'!CC43&lt;&gt;""))*(('T_TTAFStock'!CC43&lt;&gt;""))&gt;0,'T_SelfStock'!CC43+'T_TTAFStock'!CC43,CB39+'Grid_Incoming'!CC39-'Grid_Requirement'!CC39))</f>
        <v/>
      </c>
      <c r="CD39">
        <f>IF(COUNTIFS(T_StockCount[Part Name],$A39,T_StockCount[WeekIndex],81)&gt;0,SUMIFS(T_StockCount[CountedQty],T_StockCount[Part Name],$A39,T_StockCount[WeekIndex],81),IF((('T_SelfStock'!CD43&lt;&gt;""))*(('T_TTAFStock'!CD43&lt;&gt;""))&gt;0,'T_SelfStock'!CD43+'T_TTAFStock'!CD43,CC39+'Grid_Incoming'!CD39-'Grid_Requirement'!CD39))</f>
        <v/>
      </c>
      <c r="CE39">
        <f>IF(COUNTIFS(T_StockCount[Part Name],$A39,T_StockCount[WeekIndex],82)&gt;0,SUMIFS(T_StockCount[CountedQty],T_StockCount[Part Name],$A39,T_StockCount[WeekIndex],82),IF((('T_SelfStock'!CE43&lt;&gt;""))*(('T_TTAFStock'!CE43&lt;&gt;""))&gt;0,'T_SelfStock'!CE43+'T_TTAFStock'!CE43,CD39+'Grid_Incoming'!CE39-'Grid_Requirement'!CE39))</f>
        <v/>
      </c>
      <c r="CF39">
        <f>IF(COUNTIFS(T_StockCount[Part Name],$A39,T_StockCount[WeekIndex],83)&gt;0,SUMIFS(T_StockCount[CountedQty],T_StockCount[Part Name],$A39,T_StockCount[WeekIndex],83),IF((('T_SelfStock'!CF43&lt;&gt;""))*(('T_TTAFStock'!CF43&lt;&gt;""))&gt;0,'T_SelfStock'!CF43+'T_TTAFStock'!CF43,CE39+'Grid_Incoming'!CF39-'Grid_Requirement'!CF39))</f>
        <v/>
      </c>
      <c r="CG39">
        <f>IF(COUNTIFS(T_StockCount[Part Name],$A39,T_StockCount[WeekIndex],84)&gt;0,SUMIFS(T_StockCount[CountedQty],T_StockCount[Part Name],$A39,T_StockCount[WeekIndex],84),IF((('T_SelfStock'!CG43&lt;&gt;""))*(('T_TTAFStock'!CG43&lt;&gt;""))&gt;0,'T_SelfStock'!CG43+'T_TTAFStock'!CG43,CF39+'Grid_Incoming'!CG39-'Grid_Requirement'!CG39))</f>
        <v/>
      </c>
      <c r="CH39">
        <f>IF(COUNTIFS(T_StockCount[Part Name],$A39,T_StockCount[WeekIndex],85)&gt;0,SUMIFS(T_StockCount[CountedQty],T_StockCount[Part Name],$A39,T_StockCount[WeekIndex],85),IF((('T_SelfStock'!CH43&lt;&gt;""))*(('T_TTAFStock'!CH43&lt;&gt;""))&gt;0,'T_SelfStock'!CH43+'T_TTAFStock'!CH43,CG39+'Grid_Incoming'!CH39-'Grid_Requirement'!CH39))</f>
        <v/>
      </c>
      <c r="CI39">
        <f>IF(COUNTIFS(T_StockCount[Part Name],$A39,T_StockCount[WeekIndex],86)&gt;0,SUMIFS(T_StockCount[CountedQty],T_StockCount[Part Name],$A39,T_StockCount[WeekIndex],86),IF((('T_SelfStock'!CI43&lt;&gt;""))*(('T_TTAFStock'!CI43&lt;&gt;""))&gt;0,'T_SelfStock'!CI43+'T_TTAFStock'!CI43,CH39+'Grid_Incoming'!CI39-'Grid_Requirement'!CI39))</f>
        <v/>
      </c>
      <c r="CJ39">
        <f>IF(COUNTIFS(T_StockCount[Part Name],$A39,T_StockCount[WeekIndex],87)&gt;0,SUMIFS(T_StockCount[CountedQty],T_StockCount[Part Name],$A39,T_StockCount[WeekIndex],87),IF((('T_SelfStock'!CJ43&lt;&gt;""))*(('T_TTAFStock'!CJ43&lt;&gt;""))&gt;0,'T_SelfStock'!CJ43+'T_TTAFStock'!CJ43,CI39+'Grid_Incoming'!CJ39-'Grid_Requirement'!CJ39))</f>
        <v/>
      </c>
      <c r="CK39">
        <f>IF(COUNTIFS(T_StockCount[Part Name],$A39,T_StockCount[WeekIndex],88)&gt;0,SUMIFS(T_StockCount[CountedQty],T_StockCount[Part Name],$A39,T_StockCount[WeekIndex],88),IF((('T_SelfStock'!CK43&lt;&gt;""))*(('T_TTAFStock'!CK43&lt;&gt;""))&gt;0,'T_SelfStock'!CK43+'T_TTAFStock'!CK43,CJ39+'Grid_Incoming'!CK39-'Grid_Requirement'!CK39))</f>
        <v/>
      </c>
      <c r="CL39">
        <f>IF(COUNTIFS(T_StockCount[Part Name],$A39,T_StockCount[WeekIndex],89)&gt;0,SUMIFS(T_StockCount[CountedQty],T_StockCount[Part Name],$A39,T_StockCount[WeekIndex],89),IF((('T_SelfStock'!CL43&lt;&gt;""))*(('T_TTAFStock'!CL43&lt;&gt;""))&gt;0,'T_SelfStock'!CL43+'T_TTAFStock'!CL43,CK39+'Grid_Incoming'!CL39-'Grid_Requirement'!CL39))</f>
        <v/>
      </c>
      <c r="CM39">
        <f>IF(COUNTIFS(T_StockCount[Part Name],$A39,T_StockCount[WeekIndex],90)&gt;0,SUMIFS(T_StockCount[CountedQty],T_StockCount[Part Name],$A39,T_StockCount[WeekIndex],90),IF((('T_SelfStock'!CM43&lt;&gt;""))*(('T_TTAFStock'!CM43&lt;&gt;""))&gt;0,'T_SelfStock'!CM43+'T_TTAFStock'!CM43,CL39+'Grid_Incoming'!CM39-'Grid_Requirement'!CM39))</f>
        <v/>
      </c>
      <c r="CN39">
        <f>IF(COUNTIFS(T_StockCount[Part Name],$A39,T_StockCount[WeekIndex],91)&gt;0,SUMIFS(T_StockCount[CountedQty],T_StockCount[Part Name],$A39,T_StockCount[WeekIndex],91),IF((('T_SelfStock'!CN43&lt;&gt;""))*(('T_TTAFStock'!CN43&lt;&gt;""))&gt;0,'T_SelfStock'!CN43+'T_TTAFStock'!CN43,CM39+'Grid_Incoming'!CN39-'Grid_Requirement'!CN39))</f>
        <v/>
      </c>
      <c r="CO39">
        <f>IF(COUNTIFS(T_StockCount[Part Name],$A39,T_StockCount[WeekIndex],92)&gt;0,SUMIFS(T_StockCount[CountedQty],T_StockCount[Part Name],$A39,T_StockCount[WeekIndex],92),IF((('T_SelfStock'!CO43&lt;&gt;""))*(('T_TTAFStock'!CO43&lt;&gt;""))&gt;0,'T_SelfStock'!CO43+'T_TTAFStock'!CO43,CN39+'Grid_Incoming'!CO39-'Grid_Requirement'!CO39))</f>
        <v/>
      </c>
      <c r="CP39">
        <f>IF(COUNTIFS(T_StockCount[Part Name],$A39,T_StockCount[WeekIndex],93)&gt;0,SUMIFS(T_StockCount[CountedQty],T_StockCount[Part Name],$A39,T_StockCount[WeekIndex],93),IF((('T_SelfStock'!CP43&lt;&gt;""))*(('T_TTAFStock'!CP43&lt;&gt;""))&gt;0,'T_SelfStock'!CP43+'T_TTAFStock'!CP43,CO39+'Grid_Incoming'!CP39-'Grid_Requirement'!CP39))</f>
        <v/>
      </c>
      <c r="CQ39">
        <f>IF(COUNTIFS(T_StockCount[Part Name],$A39,T_StockCount[WeekIndex],94)&gt;0,SUMIFS(T_StockCount[CountedQty],T_StockCount[Part Name],$A39,T_StockCount[WeekIndex],94),IF((('T_SelfStock'!CQ43&lt;&gt;""))*(('T_TTAFStock'!CQ43&lt;&gt;""))&gt;0,'T_SelfStock'!CQ43+'T_TTAFStock'!CQ43,CP39+'Grid_Incoming'!CQ39-'Grid_Requirement'!CQ39))</f>
        <v/>
      </c>
      <c r="CR39">
        <f>IF(COUNTIFS(T_StockCount[Part Name],$A39,T_StockCount[WeekIndex],95)&gt;0,SUMIFS(T_StockCount[CountedQty],T_StockCount[Part Name],$A39,T_StockCount[WeekIndex],95),IF((('T_SelfStock'!CR43&lt;&gt;""))*(('T_TTAFStock'!CR43&lt;&gt;""))&gt;0,'T_SelfStock'!CR43+'T_TTAFStock'!CR43,CQ39+'Grid_Incoming'!CR39-'Grid_Requirement'!CR39))</f>
        <v/>
      </c>
      <c r="CS39">
        <f>IF(COUNTIFS(T_StockCount[Part Name],$A39,T_StockCount[WeekIndex],96)&gt;0,SUMIFS(T_StockCount[CountedQty],T_StockCount[Part Name],$A39,T_StockCount[WeekIndex],96),IF((('T_SelfStock'!CS43&lt;&gt;""))*(('T_TTAFStock'!CS43&lt;&gt;""))&gt;0,'T_SelfStock'!CS43+'T_TTAFStock'!CS43,CR39+'Grid_Incoming'!CS39-'Grid_Requirement'!CS39))</f>
        <v/>
      </c>
      <c r="CT39">
        <f>IF(COUNTIFS(T_StockCount[Part Name],$A39,T_StockCount[WeekIndex],97)&gt;0,SUMIFS(T_StockCount[CountedQty],T_StockCount[Part Name],$A39,T_StockCount[WeekIndex],97),IF((('T_SelfStock'!CT43&lt;&gt;""))*(('T_TTAFStock'!CT43&lt;&gt;""))&gt;0,'T_SelfStock'!CT43+'T_TTAFStock'!CT43,CS39+'Grid_Incoming'!CT39-'Grid_Requirement'!CT39))</f>
        <v/>
      </c>
      <c r="CU39">
        <f>IF(COUNTIFS(T_StockCount[Part Name],$A39,T_StockCount[WeekIndex],98)&gt;0,SUMIFS(T_StockCount[CountedQty],T_StockCount[Part Name],$A39,T_StockCount[WeekIndex],98),IF((('T_SelfStock'!CU43&lt;&gt;""))*(('T_TTAFStock'!CU43&lt;&gt;""))&gt;0,'T_SelfStock'!CU43+'T_TTAFStock'!CU43,CT39+'Grid_Incoming'!CU39-'Grid_Requirement'!CU39))</f>
        <v/>
      </c>
      <c r="CV39">
        <f>IF(COUNTIFS(T_StockCount[Part Name],$A39,T_StockCount[WeekIndex],99)&gt;0,SUMIFS(T_StockCount[CountedQty],T_StockCount[Part Name],$A39,T_StockCount[WeekIndex],99),IF((('T_SelfStock'!CV43&lt;&gt;""))*(('T_TTAFStock'!CV43&lt;&gt;""))&gt;0,'T_SelfStock'!CV43+'T_TTAFStock'!CV43,CU39+'Grid_Incoming'!CV39-'Grid_Requirement'!CV39))</f>
        <v/>
      </c>
      <c r="CW39">
        <f>IF(COUNTIFS(T_StockCount[Part Name],$A39,T_StockCount[WeekIndex],100)&gt;0,SUMIFS(T_StockCount[CountedQty],T_StockCount[Part Name],$A39,T_StockCount[WeekIndex],100),IF((('T_SelfStock'!CW43&lt;&gt;""))*(('T_TTAFStock'!CW43&lt;&gt;""))&gt;0,'T_SelfStock'!CW43+'T_TTAFStock'!CW43,CV39+'Grid_Incoming'!CW39-'Grid_Requirement'!CW39))</f>
        <v/>
      </c>
      <c r="CX39">
        <f>IF(COUNTIFS(T_StockCount[Part Name],$A39,T_StockCount[WeekIndex],101)&gt;0,SUMIFS(T_StockCount[CountedQty],T_StockCount[Part Name],$A39,T_StockCount[WeekIndex],101),IF((('T_SelfStock'!CX43&lt;&gt;""))*(('T_TTAFStock'!CX43&lt;&gt;""))&gt;0,'T_SelfStock'!CX43+'T_TTAFStock'!CX43,CW39+'Grid_Incoming'!CX39-'Grid_Requirement'!CX39))</f>
        <v/>
      </c>
      <c r="CY39">
        <f>IF(COUNTIFS(T_StockCount[Part Name],$A39,T_StockCount[WeekIndex],102)&gt;0,SUMIFS(T_StockCount[CountedQty],T_StockCount[Part Name],$A39,T_StockCount[WeekIndex],102),IF((('T_SelfStock'!CY43&lt;&gt;""))*(('T_TTAFStock'!CY43&lt;&gt;""))&gt;0,'T_SelfStock'!CY43+'T_TTAFStock'!CY43,CX39+'Grid_Incoming'!CY39-'Grid_Requirement'!CY39))</f>
        <v/>
      </c>
      <c r="CZ39">
        <f>IF(COUNTIFS(T_StockCount[Part Name],$A39,T_StockCount[WeekIndex],103)&gt;0,SUMIFS(T_StockCount[CountedQty],T_StockCount[Part Name],$A39,T_StockCount[WeekIndex],103),IF((('T_SelfStock'!CZ43&lt;&gt;""))*(('T_TTAFStock'!CZ43&lt;&gt;""))&gt;0,'T_SelfStock'!CZ43+'T_TTAFStock'!CZ43,CY39+'Grid_Incoming'!CZ39-'Grid_Requirement'!CZ39))</f>
        <v/>
      </c>
      <c r="DA39">
        <f>IF(COUNTIFS(T_StockCount[Part Name],$A39,T_StockCount[WeekIndex],104)&gt;0,SUMIFS(T_StockCount[CountedQty],T_StockCount[Part Name],$A39,T_StockCount[WeekIndex],104),IF((('T_SelfStock'!DA43&lt;&gt;""))*(('T_TTAFStock'!DA43&lt;&gt;""))&gt;0,'T_SelfStock'!DA43+'T_TTAFStock'!DA43,CZ39+'Grid_Incoming'!DA39-'Grid_Requirement'!DA39))</f>
        <v/>
      </c>
    </row>
    <row r="40">
      <c r="A40" t="inlineStr">
        <is>
          <t>5SN</t>
        </is>
      </c>
      <c r="B40">
        <f>IF(COUNTIFS(T_StockCount[Part Name],$A40,T_StockCount[WeekIndex],1)&gt;0,SUMIFS(T_StockCount[CountedQty],T_StockCount[Part Name],$A40,T_StockCount[WeekIndex],1),IF((('T_SelfStock'!B44&lt;&gt;""))*(('T_TTAFStock'!B44&lt;&gt;""))&gt;0,'T_SelfStock'!B44+'T_TTAFStock'!B44,IFERROR(INDEX(T_OpeningStock[Opening_Qty],MATCH($A40,T_OpeningStock[Part Name],0)),0)+'Grid_Incoming'!B40-'Grid_Requirement'!B40))</f>
        <v/>
      </c>
      <c r="C40">
        <f>IF(COUNTIFS(T_StockCount[Part Name],$A40,T_StockCount[WeekIndex],2)&gt;0,SUMIFS(T_StockCount[CountedQty],T_StockCount[Part Name],$A40,T_StockCount[WeekIndex],2),IF((('T_SelfStock'!C44&lt;&gt;""))*(('T_TTAFStock'!C44&lt;&gt;""))&gt;0,'T_SelfStock'!C44+'T_TTAFStock'!C44,B40+'Grid_Incoming'!C40-'Grid_Requirement'!C40))</f>
        <v/>
      </c>
      <c r="D40">
        <f>IF(COUNTIFS(T_StockCount[Part Name],$A40,T_StockCount[WeekIndex],3)&gt;0,SUMIFS(T_StockCount[CountedQty],T_StockCount[Part Name],$A40,T_StockCount[WeekIndex],3),IF((('T_SelfStock'!D44&lt;&gt;""))*(('T_TTAFStock'!D44&lt;&gt;""))&gt;0,'T_SelfStock'!D44+'T_TTAFStock'!D44,C40+'Grid_Incoming'!D40-'Grid_Requirement'!D40))</f>
        <v/>
      </c>
      <c r="E40">
        <f>IF(COUNTIFS(T_StockCount[Part Name],$A40,T_StockCount[WeekIndex],4)&gt;0,SUMIFS(T_StockCount[CountedQty],T_StockCount[Part Name],$A40,T_StockCount[WeekIndex],4),IF((('T_SelfStock'!E44&lt;&gt;""))*(('T_TTAFStock'!E44&lt;&gt;""))&gt;0,'T_SelfStock'!E44+'T_TTAFStock'!E44,D40+'Grid_Incoming'!E40-'Grid_Requirement'!E40))</f>
        <v/>
      </c>
      <c r="F40">
        <f>IF(COUNTIFS(T_StockCount[Part Name],$A40,T_StockCount[WeekIndex],5)&gt;0,SUMIFS(T_StockCount[CountedQty],T_StockCount[Part Name],$A40,T_StockCount[WeekIndex],5),IF((('T_SelfStock'!F44&lt;&gt;""))*(('T_TTAFStock'!F44&lt;&gt;""))&gt;0,'T_SelfStock'!F44+'T_TTAFStock'!F44,E40+'Grid_Incoming'!F40-'Grid_Requirement'!F40))</f>
        <v/>
      </c>
      <c r="G40">
        <f>IF(COUNTIFS(T_StockCount[Part Name],$A40,T_StockCount[WeekIndex],6)&gt;0,SUMIFS(T_StockCount[CountedQty],T_StockCount[Part Name],$A40,T_StockCount[WeekIndex],6),IF((('T_SelfStock'!G44&lt;&gt;""))*(('T_TTAFStock'!G44&lt;&gt;""))&gt;0,'T_SelfStock'!G44+'T_TTAFStock'!G44,F40+'Grid_Incoming'!G40-'Grid_Requirement'!G40))</f>
        <v/>
      </c>
      <c r="H40">
        <f>IF(COUNTIFS(T_StockCount[Part Name],$A40,T_StockCount[WeekIndex],7)&gt;0,SUMIFS(T_StockCount[CountedQty],T_StockCount[Part Name],$A40,T_StockCount[WeekIndex],7),IF((('T_SelfStock'!H44&lt;&gt;""))*(('T_TTAFStock'!H44&lt;&gt;""))&gt;0,'T_SelfStock'!H44+'T_TTAFStock'!H44,G40+'Grid_Incoming'!H40-'Grid_Requirement'!H40))</f>
        <v/>
      </c>
      <c r="I40">
        <f>IF(COUNTIFS(T_StockCount[Part Name],$A40,T_StockCount[WeekIndex],8)&gt;0,SUMIFS(T_StockCount[CountedQty],T_StockCount[Part Name],$A40,T_StockCount[WeekIndex],8),IF((('T_SelfStock'!I44&lt;&gt;""))*(('T_TTAFStock'!I44&lt;&gt;""))&gt;0,'T_SelfStock'!I44+'T_TTAFStock'!I44,H40+'Grid_Incoming'!I40-'Grid_Requirement'!I40))</f>
        <v/>
      </c>
      <c r="J40">
        <f>IF(COUNTIFS(T_StockCount[Part Name],$A40,T_StockCount[WeekIndex],9)&gt;0,SUMIFS(T_StockCount[CountedQty],T_StockCount[Part Name],$A40,T_StockCount[WeekIndex],9),IF((('T_SelfStock'!J44&lt;&gt;""))*(('T_TTAFStock'!J44&lt;&gt;""))&gt;0,'T_SelfStock'!J44+'T_TTAFStock'!J44,I40+'Grid_Incoming'!J40-'Grid_Requirement'!J40))</f>
        <v/>
      </c>
      <c r="K40">
        <f>IF(COUNTIFS(T_StockCount[Part Name],$A40,T_StockCount[WeekIndex],10)&gt;0,SUMIFS(T_StockCount[CountedQty],T_StockCount[Part Name],$A40,T_StockCount[WeekIndex],10),IF((('T_SelfStock'!K44&lt;&gt;""))*(('T_TTAFStock'!K44&lt;&gt;""))&gt;0,'T_SelfStock'!K44+'T_TTAFStock'!K44,J40+'Grid_Incoming'!K40-'Grid_Requirement'!K40))</f>
        <v/>
      </c>
      <c r="L40">
        <f>IF(COUNTIFS(T_StockCount[Part Name],$A40,T_StockCount[WeekIndex],11)&gt;0,SUMIFS(T_StockCount[CountedQty],T_StockCount[Part Name],$A40,T_StockCount[WeekIndex],11),IF((('T_SelfStock'!L44&lt;&gt;""))*(('T_TTAFStock'!L44&lt;&gt;""))&gt;0,'T_SelfStock'!L44+'T_TTAFStock'!L44,K40+'Grid_Incoming'!L40-'Grid_Requirement'!L40))</f>
        <v/>
      </c>
      <c r="M40">
        <f>IF(COUNTIFS(T_StockCount[Part Name],$A40,T_StockCount[WeekIndex],12)&gt;0,SUMIFS(T_StockCount[CountedQty],T_StockCount[Part Name],$A40,T_StockCount[WeekIndex],12),IF((('T_SelfStock'!M44&lt;&gt;""))*(('T_TTAFStock'!M44&lt;&gt;""))&gt;0,'T_SelfStock'!M44+'T_TTAFStock'!M44,L40+'Grid_Incoming'!M40-'Grid_Requirement'!M40))</f>
        <v/>
      </c>
      <c r="N40">
        <f>IF(COUNTIFS(T_StockCount[Part Name],$A40,T_StockCount[WeekIndex],13)&gt;0,SUMIFS(T_StockCount[CountedQty],T_StockCount[Part Name],$A40,T_StockCount[WeekIndex],13),IF((('T_SelfStock'!N44&lt;&gt;""))*(('T_TTAFStock'!N44&lt;&gt;""))&gt;0,'T_SelfStock'!N44+'T_TTAFStock'!N44,M40+'Grid_Incoming'!N40-'Grid_Requirement'!N40))</f>
        <v/>
      </c>
      <c r="O40">
        <f>IF(COUNTIFS(T_StockCount[Part Name],$A40,T_StockCount[WeekIndex],14)&gt;0,SUMIFS(T_StockCount[CountedQty],T_StockCount[Part Name],$A40,T_StockCount[WeekIndex],14),IF((('T_SelfStock'!O44&lt;&gt;""))*(('T_TTAFStock'!O44&lt;&gt;""))&gt;0,'T_SelfStock'!O44+'T_TTAFStock'!O44,N40+'Grid_Incoming'!O40-'Grid_Requirement'!O40))</f>
        <v/>
      </c>
      <c r="P40">
        <f>IF(COUNTIFS(T_StockCount[Part Name],$A40,T_StockCount[WeekIndex],15)&gt;0,SUMIFS(T_StockCount[CountedQty],T_StockCount[Part Name],$A40,T_StockCount[WeekIndex],15),IF((('T_SelfStock'!P44&lt;&gt;""))*(('T_TTAFStock'!P44&lt;&gt;""))&gt;0,'T_SelfStock'!P44+'T_TTAFStock'!P44,O40+'Grid_Incoming'!P40-'Grid_Requirement'!P40))</f>
        <v/>
      </c>
      <c r="Q40">
        <f>IF(COUNTIFS(T_StockCount[Part Name],$A40,T_StockCount[WeekIndex],16)&gt;0,SUMIFS(T_StockCount[CountedQty],T_StockCount[Part Name],$A40,T_StockCount[WeekIndex],16),IF((('T_SelfStock'!Q44&lt;&gt;""))*(('T_TTAFStock'!Q44&lt;&gt;""))&gt;0,'T_SelfStock'!Q44+'T_TTAFStock'!Q44,P40+'Grid_Incoming'!Q40-'Grid_Requirement'!Q40))</f>
        <v/>
      </c>
      <c r="R40">
        <f>IF(COUNTIFS(T_StockCount[Part Name],$A40,T_StockCount[WeekIndex],17)&gt;0,SUMIFS(T_StockCount[CountedQty],T_StockCount[Part Name],$A40,T_StockCount[WeekIndex],17),IF((('T_SelfStock'!R44&lt;&gt;""))*(('T_TTAFStock'!R44&lt;&gt;""))&gt;0,'T_SelfStock'!R44+'T_TTAFStock'!R44,Q40+'Grid_Incoming'!R40-'Grid_Requirement'!R40))</f>
        <v/>
      </c>
      <c r="S40">
        <f>IF(COUNTIFS(T_StockCount[Part Name],$A40,T_StockCount[WeekIndex],18)&gt;0,SUMIFS(T_StockCount[CountedQty],T_StockCount[Part Name],$A40,T_StockCount[WeekIndex],18),IF((('T_SelfStock'!S44&lt;&gt;""))*(('T_TTAFStock'!S44&lt;&gt;""))&gt;0,'T_SelfStock'!S44+'T_TTAFStock'!S44,R40+'Grid_Incoming'!S40-'Grid_Requirement'!S40))</f>
        <v/>
      </c>
      <c r="T40">
        <f>IF(COUNTIFS(T_StockCount[Part Name],$A40,T_StockCount[WeekIndex],19)&gt;0,SUMIFS(T_StockCount[CountedQty],T_StockCount[Part Name],$A40,T_StockCount[WeekIndex],19),IF((('T_SelfStock'!T44&lt;&gt;""))*(('T_TTAFStock'!T44&lt;&gt;""))&gt;0,'T_SelfStock'!T44+'T_TTAFStock'!T44,S40+'Grid_Incoming'!T40-'Grid_Requirement'!T40))</f>
        <v/>
      </c>
      <c r="U40">
        <f>IF(COUNTIFS(T_StockCount[Part Name],$A40,T_StockCount[WeekIndex],20)&gt;0,SUMIFS(T_StockCount[CountedQty],T_StockCount[Part Name],$A40,T_StockCount[WeekIndex],20),IF((('T_SelfStock'!U44&lt;&gt;""))*(('T_TTAFStock'!U44&lt;&gt;""))&gt;0,'T_SelfStock'!U44+'T_TTAFStock'!U44,T40+'Grid_Incoming'!U40-'Grid_Requirement'!U40))</f>
        <v/>
      </c>
      <c r="V40">
        <f>IF(COUNTIFS(T_StockCount[Part Name],$A40,T_StockCount[WeekIndex],21)&gt;0,SUMIFS(T_StockCount[CountedQty],T_StockCount[Part Name],$A40,T_StockCount[WeekIndex],21),IF((('T_SelfStock'!V44&lt;&gt;""))*(('T_TTAFStock'!V44&lt;&gt;""))&gt;0,'T_SelfStock'!V44+'T_TTAFStock'!V44,U40+'Grid_Incoming'!V40-'Grid_Requirement'!V40))</f>
        <v/>
      </c>
      <c r="W40">
        <f>IF(COUNTIFS(T_StockCount[Part Name],$A40,T_StockCount[WeekIndex],22)&gt;0,SUMIFS(T_StockCount[CountedQty],T_StockCount[Part Name],$A40,T_StockCount[WeekIndex],22),IF((('T_SelfStock'!W44&lt;&gt;""))*(('T_TTAFStock'!W44&lt;&gt;""))&gt;0,'T_SelfStock'!W44+'T_TTAFStock'!W44,V40+'Grid_Incoming'!W40-'Grid_Requirement'!W40))</f>
        <v/>
      </c>
      <c r="X40">
        <f>IF(COUNTIFS(T_StockCount[Part Name],$A40,T_StockCount[WeekIndex],23)&gt;0,SUMIFS(T_StockCount[CountedQty],T_StockCount[Part Name],$A40,T_StockCount[WeekIndex],23),IF((('T_SelfStock'!X44&lt;&gt;""))*(('T_TTAFStock'!X44&lt;&gt;""))&gt;0,'T_SelfStock'!X44+'T_TTAFStock'!X44,W40+'Grid_Incoming'!X40-'Grid_Requirement'!X40))</f>
        <v/>
      </c>
      <c r="Y40">
        <f>IF(COUNTIFS(T_StockCount[Part Name],$A40,T_StockCount[WeekIndex],24)&gt;0,SUMIFS(T_StockCount[CountedQty],T_StockCount[Part Name],$A40,T_StockCount[WeekIndex],24),IF((('T_SelfStock'!Y44&lt;&gt;""))*(('T_TTAFStock'!Y44&lt;&gt;""))&gt;0,'T_SelfStock'!Y44+'T_TTAFStock'!Y44,X40+'Grid_Incoming'!Y40-'Grid_Requirement'!Y40))</f>
        <v/>
      </c>
      <c r="Z40">
        <f>IF(COUNTIFS(T_StockCount[Part Name],$A40,T_StockCount[WeekIndex],25)&gt;0,SUMIFS(T_StockCount[CountedQty],T_StockCount[Part Name],$A40,T_StockCount[WeekIndex],25),IF((('T_SelfStock'!Z44&lt;&gt;""))*(('T_TTAFStock'!Z44&lt;&gt;""))&gt;0,'T_SelfStock'!Z44+'T_TTAFStock'!Z44,Y40+'Grid_Incoming'!Z40-'Grid_Requirement'!Z40))</f>
        <v/>
      </c>
      <c r="AA40">
        <f>IF(COUNTIFS(T_StockCount[Part Name],$A40,T_StockCount[WeekIndex],26)&gt;0,SUMIFS(T_StockCount[CountedQty],T_StockCount[Part Name],$A40,T_StockCount[WeekIndex],26),IF((('T_SelfStock'!AA44&lt;&gt;""))*(('T_TTAFStock'!AA44&lt;&gt;""))&gt;0,'T_SelfStock'!AA44+'T_TTAFStock'!AA44,Z40+'Grid_Incoming'!AA40-'Grid_Requirement'!AA40))</f>
        <v/>
      </c>
      <c r="AB40">
        <f>IF(COUNTIFS(T_StockCount[Part Name],$A40,T_StockCount[WeekIndex],27)&gt;0,SUMIFS(T_StockCount[CountedQty],T_StockCount[Part Name],$A40,T_StockCount[WeekIndex],27),IF((('T_SelfStock'!AB44&lt;&gt;""))*(('T_TTAFStock'!AB44&lt;&gt;""))&gt;0,'T_SelfStock'!AB44+'T_TTAFStock'!AB44,AA40+'Grid_Incoming'!AB40-'Grid_Requirement'!AB40))</f>
        <v/>
      </c>
      <c r="AC40">
        <f>IF(COUNTIFS(T_StockCount[Part Name],$A40,T_StockCount[WeekIndex],28)&gt;0,SUMIFS(T_StockCount[CountedQty],T_StockCount[Part Name],$A40,T_StockCount[WeekIndex],28),IF((('T_SelfStock'!AC44&lt;&gt;""))*(('T_TTAFStock'!AC44&lt;&gt;""))&gt;0,'T_SelfStock'!AC44+'T_TTAFStock'!AC44,AB40+'Grid_Incoming'!AC40-'Grid_Requirement'!AC40))</f>
        <v/>
      </c>
      <c r="AD40">
        <f>IF(COUNTIFS(T_StockCount[Part Name],$A40,T_StockCount[WeekIndex],29)&gt;0,SUMIFS(T_StockCount[CountedQty],T_StockCount[Part Name],$A40,T_StockCount[WeekIndex],29),IF((('T_SelfStock'!AD44&lt;&gt;""))*(('T_TTAFStock'!AD44&lt;&gt;""))&gt;0,'T_SelfStock'!AD44+'T_TTAFStock'!AD44,AC40+'Grid_Incoming'!AD40-'Grid_Requirement'!AD40))</f>
        <v/>
      </c>
      <c r="AE40">
        <f>IF(COUNTIFS(T_StockCount[Part Name],$A40,T_StockCount[WeekIndex],30)&gt;0,SUMIFS(T_StockCount[CountedQty],T_StockCount[Part Name],$A40,T_StockCount[WeekIndex],30),IF((('T_SelfStock'!AE44&lt;&gt;""))*(('T_TTAFStock'!AE44&lt;&gt;""))&gt;0,'T_SelfStock'!AE44+'T_TTAFStock'!AE44,AD40+'Grid_Incoming'!AE40-'Grid_Requirement'!AE40))</f>
        <v/>
      </c>
      <c r="AF40">
        <f>IF(COUNTIFS(T_StockCount[Part Name],$A40,T_StockCount[WeekIndex],31)&gt;0,SUMIFS(T_StockCount[CountedQty],T_StockCount[Part Name],$A40,T_StockCount[WeekIndex],31),IF((('T_SelfStock'!AF44&lt;&gt;""))*(('T_TTAFStock'!AF44&lt;&gt;""))&gt;0,'T_SelfStock'!AF44+'T_TTAFStock'!AF44,AE40+'Grid_Incoming'!AF40-'Grid_Requirement'!AF40))</f>
        <v/>
      </c>
      <c r="AG40">
        <f>IF(COUNTIFS(T_StockCount[Part Name],$A40,T_StockCount[WeekIndex],32)&gt;0,SUMIFS(T_StockCount[CountedQty],T_StockCount[Part Name],$A40,T_StockCount[WeekIndex],32),IF((('T_SelfStock'!AG44&lt;&gt;""))*(('T_TTAFStock'!AG44&lt;&gt;""))&gt;0,'T_SelfStock'!AG44+'T_TTAFStock'!AG44,AF40+'Grid_Incoming'!AG40-'Grid_Requirement'!AG40))</f>
        <v/>
      </c>
      <c r="AH40">
        <f>IF(COUNTIFS(T_StockCount[Part Name],$A40,T_StockCount[WeekIndex],33)&gt;0,SUMIFS(T_StockCount[CountedQty],T_StockCount[Part Name],$A40,T_StockCount[WeekIndex],33),IF((('T_SelfStock'!AH44&lt;&gt;""))*(('T_TTAFStock'!AH44&lt;&gt;""))&gt;0,'T_SelfStock'!AH44+'T_TTAFStock'!AH44,AG40+'Grid_Incoming'!AH40-'Grid_Requirement'!AH40))</f>
        <v/>
      </c>
      <c r="AI40">
        <f>IF(COUNTIFS(T_StockCount[Part Name],$A40,T_StockCount[WeekIndex],34)&gt;0,SUMIFS(T_StockCount[CountedQty],T_StockCount[Part Name],$A40,T_StockCount[WeekIndex],34),IF((('T_SelfStock'!AI44&lt;&gt;""))*(('T_TTAFStock'!AI44&lt;&gt;""))&gt;0,'T_SelfStock'!AI44+'T_TTAFStock'!AI44,AH40+'Grid_Incoming'!AI40-'Grid_Requirement'!AI40))</f>
        <v/>
      </c>
      <c r="AJ40">
        <f>IF(COUNTIFS(T_StockCount[Part Name],$A40,T_StockCount[WeekIndex],35)&gt;0,SUMIFS(T_StockCount[CountedQty],T_StockCount[Part Name],$A40,T_StockCount[WeekIndex],35),IF((('T_SelfStock'!AJ44&lt;&gt;""))*(('T_TTAFStock'!AJ44&lt;&gt;""))&gt;0,'T_SelfStock'!AJ44+'T_TTAFStock'!AJ44,AI40+'Grid_Incoming'!AJ40-'Grid_Requirement'!AJ40))</f>
        <v/>
      </c>
      <c r="AK40">
        <f>IF(COUNTIFS(T_StockCount[Part Name],$A40,T_StockCount[WeekIndex],36)&gt;0,SUMIFS(T_StockCount[CountedQty],T_StockCount[Part Name],$A40,T_StockCount[WeekIndex],36),IF((('T_SelfStock'!AK44&lt;&gt;""))*(('T_TTAFStock'!AK44&lt;&gt;""))&gt;0,'T_SelfStock'!AK44+'T_TTAFStock'!AK44,AJ40+'Grid_Incoming'!AK40-'Grid_Requirement'!AK40))</f>
        <v/>
      </c>
      <c r="AL40">
        <f>IF(COUNTIFS(T_StockCount[Part Name],$A40,T_StockCount[WeekIndex],37)&gt;0,SUMIFS(T_StockCount[CountedQty],T_StockCount[Part Name],$A40,T_StockCount[WeekIndex],37),IF((('T_SelfStock'!AL44&lt;&gt;""))*(('T_TTAFStock'!AL44&lt;&gt;""))&gt;0,'T_SelfStock'!AL44+'T_TTAFStock'!AL44,AK40+'Grid_Incoming'!AL40-'Grid_Requirement'!AL40))</f>
        <v/>
      </c>
      <c r="AM40">
        <f>IF(COUNTIFS(T_StockCount[Part Name],$A40,T_StockCount[WeekIndex],38)&gt;0,SUMIFS(T_StockCount[CountedQty],T_StockCount[Part Name],$A40,T_StockCount[WeekIndex],38),IF((('T_SelfStock'!AM44&lt;&gt;""))*(('T_TTAFStock'!AM44&lt;&gt;""))&gt;0,'T_SelfStock'!AM44+'T_TTAFStock'!AM44,AL40+'Grid_Incoming'!AM40-'Grid_Requirement'!AM40))</f>
        <v/>
      </c>
      <c r="AN40">
        <f>IF(COUNTIFS(T_StockCount[Part Name],$A40,T_StockCount[WeekIndex],39)&gt;0,SUMIFS(T_StockCount[CountedQty],T_StockCount[Part Name],$A40,T_StockCount[WeekIndex],39),IF((('T_SelfStock'!AN44&lt;&gt;""))*(('T_TTAFStock'!AN44&lt;&gt;""))&gt;0,'T_SelfStock'!AN44+'T_TTAFStock'!AN44,AM40+'Grid_Incoming'!AN40-'Grid_Requirement'!AN40))</f>
        <v/>
      </c>
      <c r="AO40">
        <f>IF(COUNTIFS(T_StockCount[Part Name],$A40,T_StockCount[WeekIndex],40)&gt;0,SUMIFS(T_StockCount[CountedQty],T_StockCount[Part Name],$A40,T_StockCount[WeekIndex],40),IF((('T_SelfStock'!AO44&lt;&gt;""))*(('T_TTAFStock'!AO44&lt;&gt;""))&gt;0,'T_SelfStock'!AO44+'T_TTAFStock'!AO44,AN40+'Grid_Incoming'!AO40-'Grid_Requirement'!AO40))</f>
        <v/>
      </c>
      <c r="AP40">
        <f>IF(COUNTIFS(T_StockCount[Part Name],$A40,T_StockCount[WeekIndex],41)&gt;0,SUMIFS(T_StockCount[CountedQty],T_StockCount[Part Name],$A40,T_StockCount[WeekIndex],41),IF((('T_SelfStock'!AP44&lt;&gt;""))*(('T_TTAFStock'!AP44&lt;&gt;""))&gt;0,'T_SelfStock'!AP44+'T_TTAFStock'!AP44,AO40+'Grid_Incoming'!AP40-'Grid_Requirement'!AP40))</f>
        <v/>
      </c>
      <c r="AQ40">
        <f>IF(COUNTIFS(T_StockCount[Part Name],$A40,T_StockCount[WeekIndex],42)&gt;0,SUMIFS(T_StockCount[CountedQty],T_StockCount[Part Name],$A40,T_StockCount[WeekIndex],42),IF((('T_SelfStock'!AQ44&lt;&gt;""))*(('T_TTAFStock'!AQ44&lt;&gt;""))&gt;0,'T_SelfStock'!AQ44+'T_TTAFStock'!AQ44,AP40+'Grid_Incoming'!AQ40-'Grid_Requirement'!AQ40))</f>
        <v/>
      </c>
      <c r="AR40">
        <f>IF(COUNTIFS(T_StockCount[Part Name],$A40,T_StockCount[WeekIndex],43)&gt;0,SUMIFS(T_StockCount[CountedQty],T_StockCount[Part Name],$A40,T_StockCount[WeekIndex],43),IF((('T_SelfStock'!AR44&lt;&gt;""))*(('T_TTAFStock'!AR44&lt;&gt;""))&gt;0,'T_SelfStock'!AR44+'T_TTAFStock'!AR44,AQ40+'Grid_Incoming'!AR40-'Grid_Requirement'!AR40))</f>
        <v/>
      </c>
      <c r="AS40">
        <f>IF(COUNTIFS(T_StockCount[Part Name],$A40,T_StockCount[WeekIndex],44)&gt;0,SUMIFS(T_StockCount[CountedQty],T_StockCount[Part Name],$A40,T_StockCount[WeekIndex],44),IF((('T_SelfStock'!AS44&lt;&gt;""))*(('T_TTAFStock'!AS44&lt;&gt;""))&gt;0,'T_SelfStock'!AS44+'T_TTAFStock'!AS44,AR40+'Grid_Incoming'!AS40-'Grid_Requirement'!AS40))</f>
        <v/>
      </c>
      <c r="AT40">
        <f>IF(COUNTIFS(T_StockCount[Part Name],$A40,T_StockCount[WeekIndex],45)&gt;0,SUMIFS(T_StockCount[CountedQty],T_StockCount[Part Name],$A40,T_StockCount[WeekIndex],45),IF((('T_SelfStock'!AT44&lt;&gt;""))*(('T_TTAFStock'!AT44&lt;&gt;""))&gt;0,'T_SelfStock'!AT44+'T_TTAFStock'!AT44,AS40+'Grid_Incoming'!AT40-'Grid_Requirement'!AT40))</f>
        <v/>
      </c>
      <c r="AU40">
        <f>IF(COUNTIFS(T_StockCount[Part Name],$A40,T_StockCount[WeekIndex],46)&gt;0,SUMIFS(T_StockCount[CountedQty],T_StockCount[Part Name],$A40,T_StockCount[WeekIndex],46),IF((('T_SelfStock'!AU44&lt;&gt;""))*(('T_TTAFStock'!AU44&lt;&gt;""))&gt;0,'T_SelfStock'!AU44+'T_TTAFStock'!AU44,AT40+'Grid_Incoming'!AU40-'Grid_Requirement'!AU40))</f>
        <v/>
      </c>
      <c r="AV40">
        <f>IF(COUNTIFS(T_StockCount[Part Name],$A40,T_StockCount[WeekIndex],47)&gt;0,SUMIFS(T_StockCount[CountedQty],T_StockCount[Part Name],$A40,T_StockCount[WeekIndex],47),IF((('T_SelfStock'!AV44&lt;&gt;""))*(('T_TTAFStock'!AV44&lt;&gt;""))&gt;0,'T_SelfStock'!AV44+'T_TTAFStock'!AV44,AU40+'Grid_Incoming'!AV40-'Grid_Requirement'!AV40))</f>
        <v/>
      </c>
      <c r="AW40">
        <f>IF(COUNTIFS(T_StockCount[Part Name],$A40,T_StockCount[WeekIndex],48)&gt;0,SUMIFS(T_StockCount[CountedQty],T_StockCount[Part Name],$A40,T_StockCount[WeekIndex],48),IF((('T_SelfStock'!AW44&lt;&gt;""))*(('T_TTAFStock'!AW44&lt;&gt;""))&gt;0,'T_SelfStock'!AW44+'T_TTAFStock'!AW44,AV40+'Grid_Incoming'!AW40-'Grid_Requirement'!AW40))</f>
        <v/>
      </c>
      <c r="AX40">
        <f>IF(COUNTIFS(T_StockCount[Part Name],$A40,T_StockCount[WeekIndex],49)&gt;0,SUMIFS(T_StockCount[CountedQty],T_StockCount[Part Name],$A40,T_StockCount[WeekIndex],49),IF((('T_SelfStock'!AX44&lt;&gt;""))*(('T_TTAFStock'!AX44&lt;&gt;""))&gt;0,'T_SelfStock'!AX44+'T_TTAFStock'!AX44,AW40+'Grid_Incoming'!AX40-'Grid_Requirement'!AX40))</f>
        <v/>
      </c>
      <c r="AY40">
        <f>IF(COUNTIFS(T_StockCount[Part Name],$A40,T_StockCount[WeekIndex],50)&gt;0,SUMIFS(T_StockCount[CountedQty],T_StockCount[Part Name],$A40,T_StockCount[WeekIndex],50),IF((('T_SelfStock'!AY44&lt;&gt;""))*(('T_TTAFStock'!AY44&lt;&gt;""))&gt;0,'T_SelfStock'!AY44+'T_TTAFStock'!AY44,AX40+'Grid_Incoming'!AY40-'Grid_Requirement'!AY40))</f>
        <v/>
      </c>
      <c r="AZ40">
        <f>IF(COUNTIFS(T_StockCount[Part Name],$A40,T_StockCount[WeekIndex],51)&gt;0,SUMIFS(T_StockCount[CountedQty],T_StockCount[Part Name],$A40,T_StockCount[WeekIndex],51),IF((('T_SelfStock'!AZ44&lt;&gt;""))*(('T_TTAFStock'!AZ44&lt;&gt;""))&gt;0,'T_SelfStock'!AZ44+'T_TTAFStock'!AZ44,AY40+'Grid_Incoming'!AZ40-'Grid_Requirement'!AZ40))</f>
        <v/>
      </c>
      <c r="BA40">
        <f>IF(COUNTIFS(T_StockCount[Part Name],$A40,T_StockCount[WeekIndex],52)&gt;0,SUMIFS(T_StockCount[CountedQty],T_StockCount[Part Name],$A40,T_StockCount[WeekIndex],52),IF((('T_SelfStock'!BA44&lt;&gt;""))*(('T_TTAFStock'!BA44&lt;&gt;""))&gt;0,'T_SelfStock'!BA44+'T_TTAFStock'!BA44,AZ40+'Grid_Incoming'!BA40-'Grid_Requirement'!BA40))</f>
        <v/>
      </c>
      <c r="BB40">
        <f>IF(COUNTIFS(T_StockCount[Part Name],$A40,T_StockCount[WeekIndex],53)&gt;0,SUMIFS(T_StockCount[CountedQty],T_StockCount[Part Name],$A40,T_StockCount[WeekIndex],53),IF((('T_SelfStock'!BB44&lt;&gt;""))*(('T_TTAFStock'!BB44&lt;&gt;""))&gt;0,'T_SelfStock'!BB44+'T_TTAFStock'!BB44,BA40+'Grid_Incoming'!BB40-'Grid_Requirement'!BB40))</f>
        <v/>
      </c>
      <c r="BC40">
        <f>IF(COUNTIFS(T_StockCount[Part Name],$A40,T_StockCount[WeekIndex],54)&gt;0,SUMIFS(T_StockCount[CountedQty],T_StockCount[Part Name],$A40,T_StockCount[WeekIndex],54),IF((('T_SelfStock'!BC44&lt;&gt;""))*(('T_TTAFStock'!BC44&lt;&gt;""))&gt;0,'T_SelfStock'!BC44+'T_TTAFStock'!BC44,BB40+'Grid_Incoming'!BC40-'Grid_Requirement'!BC40))</f>
        <v/>
      </c>
      <c r="BD40">
        <f>IF(COUNTIFS(T_StockCount[Part Name],$A40,T_StockCount[WeekIndex],55)&gt;0,SUMIFS(T_StockCount[CountedQty],T_StockCount[Part Name],$A40,T_StockCount[WeekIndex],55),IF((('T_SelfStock'!BD44&lt;&gt;""))*(('T_TTAFStock'!BD44&lt;&gt;""))&gt;0,'T_SelfStock'!BD44+'T_TTAFStock'!BD44,BC40+'Grid_Incoming'!BD40-'Grid_Requirement'!BD40))</f>
        <v/>
      </c>
      <c r="BE40">
        <f>IF(COUNTIFS(T_StockCount[Part Name],$A40,T_StockCount[WeekIndex],56)&gt;0,SUMIFS(T_StockCount[CountedQty],T_StockCount[Part Name],$A40,T_StockCount[WeekIndex],56),IF((('T_SelfStock'!BE44&lt;&gt;""))*(('T_TTAFStock'!BE44&lt;&gt;""))&gt;0,'T_SelfStock'!BE44+'T_TTAFStock'!BE44,BD40+'Grid_Incoming'!BE40-'Grid_Requirement'!BE40))</f>
        <v/>
      </c>
      <c r="BF40">
        <f>IF(COUNTIFS(T_StockCount[Part Name],$A40,T_StockCount[WeekIndex],57)&gt;0,SUMIFS(T_StockCount[CountedQty],T_StockCount[Part Name],$A40,T_StockCount[WeekIndex],57),IF((('T_SelfStock'!BF44&lt;&gt;""))*(('T_TTAFStock'!BF44&lt;&gt;""))&gt;0,'T_SelfStock'!BF44+'T_TTAFStock'!BF44,BE40+'Grid_Incoming'!BF40-'Grid_Requirement'!BF40))</f>
        <v/>
      </c>
      <c r="BG40">
        <f>IF(COUNTIFS(T_StockCount[Part Name],$A40,T_StockCount[WeekIndex],58)&gt;0,SUMIFS(T_StockCount[CountedQty],T_StockCount[Part Name],$A40,T_StockCount[WeekIndex],58),IF((('T_SelfStock'!BG44&lt;&gt;""))*(('T_TTAFStock'!BG44&lt;&gt;""))&gt;0,'T_SelfStock'!BG44+'T_TTAFStock'!BG44,BF40+'Grid_Incoming'!BG40-'Grid_Requirement'!BG40))</f>
        <v/>
      </c>
      <c r="BH40">
        <f>IF(COUNTIFS(T_StockCount[Part Name],$A40,T_StockCount[WeekIndex],59)&gt;0,SUMIFS(T_StockCount[CountedQty],T_StockCount[Part Name],$A40,T_StockCount[WeekIndex],59),IF((('T_SelfStock'!BH44&lt;&gt;""))*(('T_TTAFStock'!BH44&lt;&gt;""))&gt;0,'T_SelfStock'!BH44+'T_TTAFStock'!BH44,BG40+'Grid_Incoming'!BH40-'Grid_Requirement'!BH40))</f>
        <v/>
      </c>
      <c r="BI40">
        <f>IF(COUNTIFS(T_StockCount[Part Name],$A40,T_StockCount[WeekIndex],60)&gt;0,SUMIFS(T_StockCount[CountedQty],T_StockCount[Part Name],$A40,T_StockCount[WeekIndex],60),IF((('T_SelfStock'!BI44&lt;&gt;""))*(('T_TTAFStock'!BI44&lt;&gt;""))&gt;0,'T_SelfStock'!BI44+'T_TTAFStock'!BI44,BH40+'Grid_Incoming'!BI40-'Grid_Requirement'!BI40))</f>
        <v/>
      </c>
      <c r="BJ40">
        <f>IF(COUNTIFS(T_StockCount[Part Name],$A40,T_StockCount[WeekIndex],61)&gt;0,SUMIFS(T_StockCount[CountedQty],T_StockCount[Part Name],$A40,T_StockCount[WeekIndex],61),IF((('T_SelfStock'!BJ44&lt;&gt;""))*(('T_TTAFStock'!BJ44&lt;&gt;""))&gt;0,'T_SelfStock'!BJ44+'T_TTAFStock'!BJ44,BI40+'Grid_Incoming'!BJ40-'Grid_Requirement'!BJ40))</f>
        <v/>
      </c>
      <c r="BK40">
        <f>IF(COUNTIFS(T_StockCount[Part Name],$A40,T_StockCount[WeekIndex],62)&gt;0,SUMIFS(T_StockCount[CountedQty],T_StockCount[Part Name],$A40,T_StockCount[WeekIndex],62),IF((('T_SelfStock'!BK44&lt;&gt;""))*(('T_TTAFStock'!BK44&lt;&gt;""))&gt;0,'T_SelfStock'!BK44+'T_TTAFStock'!BK44,BJ40+'Grid_Incoming'!BK40-'Grid_Requirement'!BK40))</f>
        <v/>
      </c>
      <c r="BL40">
        <f>IF(COUNTIFS(T_StockCount[Part Name],$A40,T_StockCount[WeekIndex],63)&gt;0,SUMIFS(T_StockCount[CountedQty],T_StockCount[Part Name],$A40,T_StockCount[WeekIndex],63),IF((('T_SelfStock'!BL44&lt;&gt;""))*(('T_TTAFStock'!BL44&lt;&gt;""))&gt;0,'T_SelfStock'!BL44+'T_TTAFStock'!BL44,BK40+'Grid_Incoming'!BL40-'Grid_Requirement'!BL40))</f>
        <v/>
      </c>
      <c r="BM40">
        <f>IF(COUNTIFS(T_StockCount[Part Name],$A40,T_StockCount[WeekIndex],64)&gt;0,SUMIFS(T_StockCount[CountedQty],T_StockCount[Part Name],$A40,T_StockCount[WeekIndex],64),IF((('T_SelfStock'!BM44&lt;&gt;""))*(('T_TTAFStock'!BM44&lt;&gt;""))&gt;0,'T_SelfStock'!BM44+'T_TTAFStock'!BM44,BL40+'Grid_Incoming'!BM40-'Grid_Requirement'!BM40))</f>
        <v/>
      </c>
      <c r="BN40">
        <f>IF(COUNTIFS(T_StockCount[Part Name],$A40,T_StockCount[WeekIndex],65)&gt;0,SUMIFS(T_StockCount[CountedQty],T_StockCount[Part Name],$A40,T_StockCount[WeekIndex],65),IF((('T_SelfStock'!BN44&lt;&gt;""))*(('T_TTAFStock'!BN44&lt;&gt;""))&gt;0,'T_SelfStock'!BN44+'T_TTAFStock'!BN44,BM40+'Grid_Incoming'!BN40-'Grid_Requirement'!BN40))</f>
        <v/>
      </c>
      <c r="BO40">
        <f>IF(COUNTIFS(T_StockCount[Part Name],$A40,T_StockCount[WeekIndex],66)&gt;0,SUMIFS(T_StockCount[CountedQty],T_StockCount[Part Name],$A40,T_StockCount[WeekIndex],66),IF((('T_SelfStock'!BO44&lt;&gt;""))*(('T_TTAFStock'!BO44&lt;&gt;""))&gt;0,'T_SelfStock'!BO44+'T_TTAFStock'!BO44,BN40+'Grid_Incoming'!BO40-'Grid_Requirement'!BO40))</f>
        <v/>
      </c>
      <c r="BP40">
        <f>IF(COUNTIFS(T_StockCount[Part Name],$A40,T_StockCount[WeekIndex],67)&gt;0,SUMIFS(T_StockCount[CountedQty],T_StockCount[Part Name],$A40,T_StockCount[WeekIndex],67),IF((('T_SelfStock'!BP44&lt;&gt;""))*(('T_TTAFStock'!BP44&lt;&gt;""))&gt;0,'T_SelfStock'!BP44+'T_TTAFStock'!BP44,BO40+'Grid_Incoming'!BP40-'Grid_Requirement'!BP40))</f>
        <v/>
      </c>
      <c r="BQ40">
        <f>IF(COUNTIFS(T_StockCount[Part Name],$A40,T_StockCount[WeekIndex],68)&gt;0,SUMIFS(T_StockCount[CountedQty],T_StockCount[Part Name],$A40,T_StockCount[WeekIndex],68),IF((('T_SelfStock'!BQ44&lt;&gt;""))*(('T_TTAFStock'!BQ44&lt;&gt;""))&gt;0,'T_SelfStock'!BQ44+'T_TTAFStock'!BQ44,BP40+'Grid_Incoming'!BQ40-'Grid_Requirement'!BQ40))</f>
        <v/>
      </c>
      <c r="BR40">
        <f>IF(COUNTIFS(T_StockCount[Part Name],$A40,T_StockCount[WeekIndex],69)&gt;0,SUMIFS(T_StockCount[CountedQty],T_StockCount[Part Name],$A40,T_StockCount[WeekIndex],69),IF((('T_SelfStock'!BR44&lt;&gt;""))*(('T_TTAFStock'!BR44&lt;&gt;""))&gt;0,'T_SelfStock'!BR44+'T_TTAFStock'!BR44,BQ40+'Grid_Incoming'!BR40-'Grid_Requirement'!BR40))</f>
        <v/>
      </c>
      <c r="BS40">
        <f>IF(COUNTIFS(T_StockCount[Part Name],$A40,T_StockCount[WeekIndex],70)&gt;0,SUMIFS(T_StockCount[CountedQty],T_StockCount[Part Name],$A40,T_StockCount[WeekIndex],70),IF((('T_SelfStock'!BS44&lt;&gt;""))*(('T_TTAFStock'!BS44&lt;&gt;""))&gt;0,'T_SelfStock'!BS44+'T_TTAFStock'!BS44,BR40+'Grid_Incoming'!BS40-'Grid_Requirement'!BS40))</f>
        <v/>
      </c>
      <c r="BT40">
        <f>IF(COUNTIFS(T_StockCount[Part Name],$A40,T_StockCount[WeekIndex],71)&gt;0,SUMIFS(T_StockCount[CountedQty],T_StockCount[Part Name],$A40,T_StockCount[WeekIndex],71),IF((('T_SelfStock'!BT44&lt;&gt;""))*(('T_TTAFStock'!BT44&lt;&gt;""))&gt;0,'T_SelfStock'!BT44+'T_TTAFStock'!BT44,BS40+'Grid_Incoming'!BT40-'Grid_Requirement'!BT40))</f>
        <v/>
      </c>
      <c r="BU40">
        <f>IF(COUNTIFS(T_StockCount[Part Name],$A40,T_StockCount[WeekIndex],72)&gt;0,SUMIFS(T_StockCount[CountedQty],T_StockCount[Part Name],$A40,T_StockCount[WeekIndex],72),IF((('T_SelfStock'!BU44&lt;&gt;""))*(('T_TTAFStock'!BU44&lt;&gt;""))&gt;0,'T_SelfStock'!BU44+'T_TTAFStock'!BU44,BT40+'Grid_Incoming'!BU40-'Grid_Requirement'!BU40))</f>
        <v/>
      </c>
      <c r="BV40">
        <f>IF(COUNTIFS(T_StockCount[Part Name],$A40,T_StockCount[WeekIndex],73)&gt;0,SUMIFS(T_StockCount[CountedQty],T_StockCount[Part Name],$A40,T_StockCount[WeekIndex],73),IF((('T_SelfStock'!BV44&lt;&gt;""))*(('T_TTAFStock'!BV44&lt;&gt;""))&gt;0,'T_SelfStock'!BV44+'T_TTAFStock'!BV44,BU40+'Grid_Incoming'!BV40-'Grid_Requirement'!BV40))</f>
        <v/>
      </c>
      <c r="BW40">
        <f>IF(COUNTIFS(T_StockCount[Part Name],$A40,T_StockCount[WeekIndex],74)&gt;0,SUMIFS(T_StockCount[CountedQty],T_StockCount[Part Name],$A40,T_StockCount[WeekIndex],74),IF((('T_SelfStock'!BW44&lt;&gt;""))*(('T_TTAFStock'!BW44&lt;&gt;""))&gt;0,'T_SelfStock'!BW44+'T_TTAFStock'!BW44,BV40+'Grid_Incoming'!BW40-'Grid_Requirement'!BW40))</f>
        <v/>
      </c>
      <c r="BX40">
        <f>IF(COUNTIFS(T_StockCount[Part Name],$A40,T_StockCount[WeekIndex],75)&gt;0,SUMIFS(T_StockCount[CountedQty],T_StockCount[Part Name],$A40,T_StockCount[WeekIndex],75),IF((('T_SelfStock'!BX44&lt;&gt;""))*(('T_TTAFStock'!BX44&lt;&gt;""))&gt;0,'T_SelfStock'!BX44+'T_TTAFStock'!BX44,BW40+'Grid_Incoming'!BX40-'Grid_Requirement'!BX40))</f>
        <v/>
      </c>
      <c r="BY40">
        <f>IF(COUNTIFS(T_StockCount[Part Name],$A40,T_StockCount[WeekIndex],76)&gt;0,SUMIFS(T_StockCount[CountedQty],T_StockCount[Part Name],$A40,T_StockCount[WeekIndex],76),IF((('T_SelfStock'!BY44&lt;&gt;""))*(('T_TTAFStock'!BY44&lt;&gt;""))&gt;0,'T_SelfStock'!BY44+'T_TTAFStock'!BY44,BX40+'Grid_Incoming'!BY40-'Grid_Requirement'!BY40))</f>
        <v/>
      </c>
      <c r="BZ40">
        <f>IF(COUNTIFS(T_StockCount[Part Name],$A40,T_StockCount[WeekIndex],77)&gt;0,SUMIFS(T_StockCount[CountedQty],T_StockCount[Part Name],$A40,T_StockCount[WeekIndex],77),IF((('T_SelfStock'!BZ44&lt;&gt;""))*(('T_TTAFStock'!BZ44&lt;&gt;""))&gt;0,'T_SelfStock'!BZ44+'T_TTAFStock'!BZ44,BY40+'Grid_Incoming'!BZ40-'Grid_Requirement'!BZ40))</f>
        <v/>
      </c>
      <c r="CA40">
        <f>IF(COUNTIFS(T_StockCount[Part Name],$A40,T_StockCount[WeekIndex],78)&gt;0,SUMIFS(T_StockCount[CountedQty],T_StockCount[Part Name],$A40,T_StockCount[WeekIndex],78),IF((('T_SelfStock'!CA44&lt;&gt;""))*(('T_TTAFStock'!CA44&lt;&gt;""))&gt;0,'T_SelfStock'!CA44+'T_TTAFStock'!CA44,BZ40+'Grid_Incoming'!CA40-'Grid_Requirement'!CA40))</f>
        <v/>
      </c>
      <c r="CB40">
        <f>IF(COUNTIFS(T_StockCount[Part Name],$A40,T_StockCount[WeekIndex],79)&gt;0,SUMIFS(T_StockCount[CountedQty],T_StockCount[Part Name],$A40,T_StockCount[WeekIndex],79),IF((('T_SelfStock'!CB44&lt;&gt;""))*(('T_TTAFStock'!CB44&lt;&gt;""))&gt;0,'T_SelfStock'!CB44+'T_TTAFStock'!CB44,CA40+'Grid_Incoming'!CB40-'Grid_Requirement'!CB40))</f>
        <v/>
      </c>
      <c r="CC40">
        <f>IF(COUNTIFS(T_StockCount[Part Name],$A40,T_StockCount[WeekIndex],80)&gt;0,SUMIFS(T_StockCount[CountedQty],T_StockCount[Part Name],$A40,T_StockCount[WeekIndex],80),IF((('T_SelfStock'!CC44&lt;&gt;""))*(('T_TTAFStock'!CC44&lt;&gt;""))&gt;0,'T_SelfStock'!CC44+'T_TTAFStock'!CC44,CB40+'Grid_Incoming'!CC40-'Grid_Requirement'!CC40))</f>
        <v/>
      </c>
      <c r="CD40">
        <f>IF(COUNTIFS(T_StockCount[Part Name],$A40,T_StockCount[WeekIndex],81)&gt;0,SUMIFS(T_StockCount[CountedQty],T_StockCount[Part Name],$A40,T_StockCount[WeekIndex],81),IF((('T_SelfStock'!CD44&lt;&gt;""))*(('T_TTAFStock'!CD44&lt;&gt;""))&gt;0,'T_SelfStock'!CD44+'T_TTAFStock'!CD44,CC40+'Grid_Incoming'!CD40-'Grid_Requirement'!CD40))</f>
        <v/>
      </c>
      <c r="CE40">
        <f>IF(COUNTIFS(T_StockCount[Part Name],$A40,T_StockCount[WeekIndex],82)&gt;0,SUMIFS(T_StockCount[CountedQty],T_StockCount[Part Name],$A40,T_StockCount[WeekIndex],82),IF((('T_SelfStock'!CE44&lt;&gt;""))*(('T_TTAFStock'!CE44&lt;&gt;""))&gt;0,'T_SelfStock'!CE44+'T_TTAFStock'!CE44,CD40+'Grid_Incoming'!CE40-'Grid_Requirement'!CE40))</f>
        <v/>
      </c>
      <c r="CF40">
        <f>IF(COUNTIFS(T_StockCount[Part Name],$A40,T_StockCount[WeekIndex],83)&gt;0,SUMIFS(T_StockCount[CountedQty],T_StockCount[Part Name],$A40,T_StockCount[WeekIndex],83),IF((('T_SelfStock'!CF44&lt;&gt;""))*(('T_TTAFStock'!CF44&lt;&gt;""))&gt;0,'T_SelfStock'!CF44+'T_TTAFStock'!CF44,CE40+'Grid_Incoming'!CF40-'Grid_Requirement'!CF40))</f>
        <v/>
      </c>
      <c r="CG40">
        <f>IF(COUNTIFS(T_StockCount[Part Name],$A40,T_StockCount[WeekIndex],84)&gt;0,SUMIFS(T_StockCount[CountedQty],T_StockCount[Part Name],$A40,T_StockCount[WeekIndex],84),IF((('T_SelfStock'!CG44&lt;&gt;""))*(('T_TTAFStock'!CG44&lt;&gt;""))&gt;0,'T_SelfStock'!CG44+'T_TTAFStock'!CG44,CF40+'Grid_Incoming'!CG40-'Grid_Requirement'!CG40))</f>
        <v/>
      </c>
      <c r="CH40">
        <f>IF(COUNTIFS(T_StockCount[Part Name],$A40,T_StockCount[WeekIndex],85)&gt;0,SUMIFS(T_StockCount[CountedQty],T_StockCount[Part Name],$A40,T_StockCount[WeekIndex],85),IF((('T_SelfStock'!CH44&lt;&gt;""))*(('T_TTAFStock'!CH44&lt;&gt;""))&gt;0,'T_SelfStock'!CH44+'T_TTAFStock'!CH44,CG40+'Grid_Incoming'!CH40-'Grid_Requirement'!CH40))</f>
        <v/>
      </c>
      <c r="CI40">
        <f>IF(COUNTIFS(T_StockCount[Part Name],$A40,T_StockCount[WeekIndex],86)&gt;0,SUMIFS(T_StockCount[CountedQty],T_StockCount[Part Name],$A40,T_StockCount[WeekIndex],86),IF((('T_SelfStock'!CI44&lt;&gt;""))*(('T_TTAFStock'!CI44&lt;&gt;""))&gt;0,'T_SelfStock'!CI44+'T_TTAFStock'!CI44,CH40+'Grid_Incoming'!CI40-'Grid_Requirement'!CI40))</f>
        <v/>
      </c>
      <c r="CJ40">
        <f>IF(COUNTIFS(T_StockCount[Part Name],$A40,T_StockCount[WeekIndex],87)&gt;0,SUMIFS(T_StockCount[CountedQty],T_StockCount[Part Name],$A40,T_StockCount[WeekIndex],87),IF((('T_SelfStock'!CJ44&lt;&gt;""))*(('T_TTAFStock'!CJ44&lt;&gt;""))&gt;0,'T_SelfStock'!CJ44+'T_TTAFStock'!CJ44,CI40+'Grid_Incoming'!CJ40-'Grid_Requirement'!CJ40))</f>
        <v/>
      </c>
      <c r="CK40">
        <f>IF(COUNTIFS(T_StockCount[Part Name],$A40,T_StockCount[WeekIndex],88)&gt;0,SUMIFS(T_StockCount[CountedQty],T_StockCount[Part Name],$A40,T_StockCount[WeekIndex],88),IF((('T_SelfStock'!CK44&lt;&gt;""))*(('T_TTAFStock'!CK44&lt;&gt;""))&gt;0,'T_SelfStock'!CK44+'T_TTAFStock'!CK44,CJ40+'Grid_Incoming'!CK40-'Grid_Requirement'!CK40))</f>
        <v/>
      </c>
      <c r="CL40">
        <f>IF(COUNTIFS(T_StockCount[Part Name],$A40,T_StockCount[WeekIndex],89)&gt;0,SUMIFS(T_StockCount[CountedQty],T_StockCount[Part Name],$A40,T_StockCount[WeekIndex],89),IF((('T_SelfStock'!CL44&lt;&gt;""))*(('T_TTAFStock'!CL44&lt;&gt;""))&gt;0,'T_SelfStock'!CL44+'T_TTAFStock'!CL44,CK40+'Grid_Incoming'!CL40-'Grid_Requirement'!CL40))</f>
        <v/>
      </c>
      <c r="CM40">
        <f>IF(COUNTIFS(T_StockCount[Part Name],$A40,T_StockCount[WeekIndex],90)&gt;0,SUMIFS(T_StockCount[CountedQty],T_StockCount[Part Name],$A40,T_StockCount[WeekIndex],90),IF((('T_SelfStock'!CM44&lt;&gt;""))*(('T_TTAFStock'!CM44&lt;&gt;""))&gt;0,'T_SelfStock'!CM44+'T_TTAFStock'!CM44,CL40+'Grid_Incoming'!CM40-'Grid_Requirement'!CM40))</f>
        <v/>
      </c>
      <c r="CN40">
        <f>IF(COUNTIFS(T_StockCount[Part Name],$A40,T_StockCount[WeekIndex],91)&gt;0,SUMIFS(T_StockCount[CountedQty],T_StockCount[Part Name],$A40,T_StockCount[WeekIndex],91),IF((('T_SelfStock'!CN44&lt;&gt;""))*(('T_TTAFStock'!CN44&lt;&gt;""))&gt;0,'T_SelfStock'!CN44+'T_TTAFStock'!CN44,CM40+'Grid_Incoming'!CN40-'Grid_Requirement'!CN40))</f>
        <v/>
      </c>
      <c r="CO40">
        <f>IF(COUNTIFS(T_StockCount[Part Name],$A40,T_StockCount[WeekIndex],92)&gt;0,SUMIFS(T_StockCount[CountedQty],T_StockCount[Part Name],$A40,T_StockCount[WeekIndex],92),IF((('T_SelfStock'!CO44&lt;&gt;""))*(('T_TTAFStock'!CO44&lt;&gt;""))&gt;0,'T_SelfStock'!CO44+'T_TTAFStock'!CO44,CN40+'Grid_Incoming'!CO40-'Grid_Requirement'!CO40))</f>
        <v/>
      </c>
      <c r="CP40">
        <f>IF(COUNTIFS(T_StockCount[Part Name],$A40,T_StockCount[WeekIndex],93)&gt;0,SUMIFS(T_StockCount[CountedQty],T_StockCount[Part Name],$A40,T_StockCount[WeekIndex],93),IF((('T_SelfStock'!CP44&lt;&gt;""))*(('T_TTAFStock'!CP44&lt;&gt;""))&gt;0,'T_SelfStock'!CP44+'T_TTAFStock'!CP44,CO40+'Grid_Incoming'!CP40-'Grid_Requirement'!CP40))</f>
        <v/>
      </c>
      <c r="CQ40">
        <f>IF(COUNTIFS(T_StockCount[Part Name],$A40,T_StockCount[WeekIndex],94)&gt;0,SUMIFS(T_StockCount[CountedQty],T_StockCount[Part Name],$A40,T_StockCount[WeekIndex],94),IF((('T_SelfStock'!CQ44&lt;&gt;""))*(('T_TTAFStock'!CQ44&lt;&gt;""))&gt;0,'T_SelfStock'!CQ44+'T_TTAFStock'!CQ44,CP40+'Grid_Incoming'!CQ40-'Grid_Requirement'!CQ40))</f>
        <v/>
      </c>
      <c r="CR40">
        <f>IF(COUNTIFS(T_StockCount[Part Name],$A40,T_StockCount[WeekIndex],95)&gt;0,SUMIFS(T_StockCount[CountedQty],T_StockCount[Part Name],$A40,T_StockCount[WeekIndex],95),IF((('T_SelfStock'!CR44&lt;&gt;""))*(('T_TTAFStock'!CR44&lt;&gt;""))&gt;0,'T_SelfStock'!CR44+'T_TTAFStock'!CR44,CQ40+'Grid_Incoming'!CR40-'Grid_Requirement'!CR40))</f>
        <v/>
      </c>
      <c r="CS40">
        <f>IF(COUNTIFS(T_StockCount[Part Name],$A40,T_StockCount[WeekIndex],96)&gt;0,SUMIFS(T_StockCount[CountedQty],T_StockCount[Part Name],$A40,T_StockCount[WeekIndex],96),IF((('T_SelfStock'!CS44&lt;&gt;""))*(('T_TTAFStock'!CS44&lt;&gt;""))&gt;0,'T_SelfStock'!CS44+'T_TTAFStock'!CS44,CR40+'Grid_Incoming'!CS40-'Grid_Requirement'!CS40))</f>
        <v/>
      </c>
      <c r="CT40">
        <f>IF(COUNTIFS(T_StockCount[Part Name],$A40,T_StockCount[WeekIndex],97)&gt;0,SUMIFS(T_StockCount[CountedQty],T_StockCount[Part Name],$A40,T_StockCount[WeekIndex],97),IF((('T_SelfStock'!CT44&lt;&gt;""))*(('T_TTAFStock'!CT44&lt;&gt;""))&gt;0,'T_SelfStock'!CT44+'T_TTAFStock'!CT44,CS40+'Grid_Incoming'!CT40-'Grid_Requirement'!CT40))</f>
        <v/>
      </c>
      <c r="CU40">
        <f>IF(COUNTIFS(T_StockCount[Part Name],$A40,T_StockCount[WeekIndex],98)&gt;0,SUMIFS(T_StockCount[CountedQty],T_StockCount[Part Name],$A40,T_StockCount[WeekIndex],98),IF((('T_SelfStock'!CU44&lt;&gt;""))*(('T_TTAFStock'!CU44&lt;&gt;""))&gt;0,'T_SelfStock'!CU44+'T_TTAFStock'!CU44,CT40+'Grid_Incoming'!CU40-'Grid_Requirement'!CU40))</f>
        <v/>
      </c>
      <c r="CV40">
        <f>IF(COUNTIFS(T_StockCount[Part Name],$A40,T_StockCount[WeekIndex],99)&gt;0,SUMIFS(T_StockCount[CountedQty],T_StockCount[Part Name],$A40,T_StockCount[WeekIndex],99),IF((('T_SelfStock'!CV44&lt;&gt;""))*(('T_TTAFStock'!CV44&lt;&gt;""))&gt;0,'T_SelfStock'!CV44+'T_TTAFStock'!CV44,CU40+'Grid_Incoming'!CV40-'Grid_Requirement'!CV40))</f>
        <v/>
      </c>
      <c r="CW40">
        <f>IF(COUNTIFS(T_StockCount[Part Name],$A40,T_StockCount[WeekIndex],100)&gt;0,SUMIFS(T_StockCount[CountedQty],T_StockCount[Part Name],$A40,T_StockCount[WeekIndex],100),IF((('T_SelfStock'!CW44&lt;&gt;""))*(('T_TTAFStock'!CW44&lt;&gt;""))&gt;0,'T_SelfStock'!CW44+'T_TTAFStock'!CW44,CV40+'Grid_Incoming'!CW40-'Grid_Requirement'!CW40))</f>
        <v/>
      </c>
      <c r="CX40">
        <f>IF(COUNTIFS(T_StockCount[Part Name],$A40,T_StockCount[WeekIndex],101)&gt;0,SUMIFS(T_StockCount[CountedQty],T_StockCount[Part Name],$A40,T_StockCount[WeekIndex],101),IF((('T_SelfStock'!CX44&lt;&gt;""))*(('T_TTAFStock'!CX44&lt;&gt;""))&gt;0,'T_SelfStock'!CX44+'T_TTAFStock'!CX44,CW40+'Grid_Incoming'!CX40-'Grid_Requirement'!CX40))</f>
        <v/>
      </c>
      <c r="CY40">
        <f>IF(COUNTIFS(T_StockCount[Part Name],$A40,T_StockCount[WeekIndex],102)&gt;0,SUMIFS(T_StockCount[CountedQty],T_StockCount[Part Name],$A40,T_StockCount[WeekIndex],102),IF((('T_SelfStock'!CY44&lt;&gt;""))*(('T_TTAFStock'!CY44&lt;&gt;""))&gt;0,'T_SelfStock'!CY44+'T_TTAFStock'!CY44,CX40+'Grid_Incoming'!CY40-'Grid_Requirement'!CY40))</f>
        <v/>
      </c>
      <c r="CZ40">
        <f>IF(COUNTIFS(T_StockCount[Part Name],$A40,T_StockCount[WeekIndex],103)&gt;0,SUMIFS(T_StockCount[CountedQty],T_StockCount[Part Name],$A40,T_StockCount[WeekIndex],103),IF((('T_SelfStock'!CZ44&lt;&gt;""))*(('T_TTAFStock'!CZ44&lt;&gt;""))&gt;0,'T_SelfStock'!CZ44+'T_TTAFStock'!CZ44,CY40+'Grid_Incoming'!CZ40-'Grid_Requirement'!CZ40))</f>
        <v/>
      </c>
      <c r="DA40">
        <f>IF(COUNTIFS(T_StockCount[Part Name],$A40,T_StockCount[WeekIndex],104)&gt;0,SUMIFS(T_StockCount[CountedQty],T_StockCount[Part Name],$A40,T_StockCount[WeekIndex],104),IF((('T_SelfStock'!DA44&lt;&gt;""))*(('T_TTAFStock'!DA44&lt;&gt;""))&gt;0,'T_SelfStock'!DA44+'T_TTAFStock'!DA44,CZ40+'Grid_Incoming'!DA40-'Grid_Requirement'!DA40))</f>
        <v/>
      </c>
    </row>
    <row r="41">
      <c r="A41" t="inlineStr">
        <is>
          <t>1JN</t>
        </is>
      </c>
      <c r="B41">
        <f>IF(COUNTIFS(T_StockCount[Part Name],$A41,T_StockCount[WeekIndex],1)&gt;0,SUMIFS(T_StockCount[CountedQty],T_StockCount[Part Name],$A41,T_StockCount[WeekIndex],1),IF((('T_SelfStock'!B45&lt;&gt;""))*(('T_TTAFStock'!B45&lt;&gt;""))&gt;0,'T_SelfStock'!B45+'T_TTAFStock'!B45,IFERROR(INDEX(T_OpeningStock[Opening_Qty],MATCH($A41,T_OpeningStock[Part Name],0)),0)+'Grid_Incoming'!B41-'Grid_Requirement'!B41))</f>
        <v/>
      </c>
      <c r="C41">
        <f>IF(COUNTIFS(T_StockCount[Part Name],$A41,T_StockCount[WeekIndex],2)&gt;0,SUMIFS(T_StockCount[CountedQty],T_StockCount[Part Name],$A41,T_StockCount[WeekIndex],2),IF((('T_SelfStock'!C45&lt;&gt;""))*(('T_TTAFStock'!C45&lt;&gt;""))&gt;0,'T_SelfStock'!C45+'T_TTAFStock'!C45,B41+'Grid_Incoming'!C41-'Grid_Requirement'!C41))</f>
        <v/>
      </c>
      <c r="D41">
        <f>IF(COUNTIFS(T_StockCount[Part Name],$A41,T_StockCount[WeekIndex],3)&gt;0,SUMIFS(T_StockCount[CountedQty],T_StockCount[Part Name],$A41,T_StockCount[WeekIndex],3),IF((('T_SelfStock'!D45&lt;&gt;""))*(('T_TTAFStock'!D45&lt;&gt;""))&gt;0,'T_SelfStock'!D45+'T_TTAFStock'!D45,C41+'Grid_Incoming'!D41-'Grid_Requirement'!D41))</f>
        <v/>
      </c>
      <c r="E41">
        <f>IF(COUNTIFS(T_StockCount[Part Name],$A41,T_StockCount[WeekIndex],4)&gt;0,SUMIFS(T_StockCount[CountedQty],T_StockCount[Part Name],$A41,T_StockCount[WeekIndex],4),IF((('T_SelfStock'!E45&lt;&gt;""))*(('T_TTAFStock'!E45&lt;&gt;""))&gt;0,'T_SelfStock'!E45+'T_TTAFStock'!E45,D41+'Grid_Incoming'!E41-'Grid_Requirement'!E41))</f>
        <v/>
      </c>
      <c r="F41">
        <f>IF(COUNTIFS(T_StockCount[Part Name],$A41,T_StockCount[WeekIndex],5)&gt;0,SUMIFS(T_StockCount[CountedQty],T_StockCount[Part Name],$A41,T_StockCount[WeekIndex],5),IF((('T_SelfStock'!F45&lt;&gt;""))*(('T_TTAFStock'!F45&lt;&gt;""))&gt;0,'T_SelfStock'!F45+'T_TTAFStock'!F45,E41+'Grid_Incoming'!F41-'Grid_Requirement'!F41))</f>
        <v/>
      </c>
      <c r="G41">
        <f>IF(COUNTIFS(T_StockCount[Part Name],$A41,T_StockCount[WeekIndex],6)&gt;0,SUMIFS(T_StockCount[CountedQty],T_StockCount[Part Name],$A41,T_StockCount[WeekIndex],6),IF((('T_SelfStock'!G45&lt;&gt;""))*(('T_TTAFStock'!G45&lt;&gt;""))&gt;0,'T_SelfStock'!G45+'T_TTAFStock'!G45,F41+'Grid_Incoming'!G41-'Grid_Requirement'!G41))</f>
        <v/>
      </c>
      <c r="H41">
        <f>IF(COUNTIFS(T_StockCount[Part Name],$A41,T_StockCount[WeekIndex],7)&gt;0,SUMIFS(T_StockCount[CountedQty],T_StockCount[Part Name],$A41,T_StockCount[WeekIndex],7),IF((('T_SelfStock'!H45&lt;&gt;""))*(('T_TTAFStock'!H45&lt;&gt;""))&gt;0,'T_SelfStock'!H45+'T_TTAFStock'!H45,G41+'Grid_Incoming'!H41-'Grid_Requirement'!H41))</f>
        <v/>
      </c>
      <c r="I41">
        <f>IF(COUNTIFS(T_StockCount[Part Name],$A41,T_StockCount[WeekIndex],8)&gt;0,SUMIFS(T_StockCount[CountedQty],T_StockCount[Part Name],$A41,T_StockCount[WeekIndex],8),IF((('T_SelfStock'!I45&lt;&gt;""))*(('T_TTAFStock'!I45&lt;&gt;""))&gt;0,'T_SelfStock'!I45+'T_TTAFStock'!I45,H41+'Grid_Incoming'!I41-'Grid_Requirement'!I41))</f>
        <v/>
      </c>
      <c r="J41">
        <f>IF(COUNTIFS(T_StockCount[Part Name],$A41,T_StockCount[WeekIndex],9)&gt;0,SUMIFS(T_StockCount[CountedQty],T_StockCount[Part Name],$A41,T_StockCount[WeekIndex],9),IF((('T_SelfStock'!J45&lt;&gt;""))*(('T_TTAFStock'!J45&lt;&gt;""))&gt;0,'T_SelfStock'!J45+'T_TTAFStock'!J45,I41+'Grid_Incoming'!J41-'Grid_Requirement'!J41))</f>
        <v/>
      </c>
      <c r="K41">
        <f>IF(COUNTIFS(T_StockCount[Part Name],$A41,T_StockCount[WeekIndex],10)&gt;0,SUMIFS(T_StockCount[CountedQty],T_StockCount[Part Name],$A41,T_StockCount[WeekIndex],10),IF((('T_SelfStock'!K45&lt;&gt;""))*(('T_TTAFStock'!K45&lt;&gt;""))&gt;0,'T_SelfStock'!K45+'T_TTAFStock'!K45,J41+'Grid_Incoming'!K41-'Grid_Requirement'!K41))</f>
        <v/>
      </c>
      <c r="L41">
        <f>IF(COUNTIFS(T_StockCount[Part Name],$A41,T_StockCount[WeekIndex],11)&gt;0,SUMIFS(T_StockCount[CountedQty],T_StockCount[Part Name],$A41,T_StockCount[WeekIndex],11),IF((('T_SelfStock'!L45&lt;&gt;""))*(('T_TTAFStock'!L45&lt;&gt;""))&gt;0,'T_SelfStock'!L45+'T_TTAFStock'!L45,K41+'Grid_Incoming'!L41-'Grid_Requirement'!L41))</f>
        <v/>
      </c>
      <c r="M41">
        <f>IF(COUNTIFS(T_StockCount[Part Name],$A41,T_StockCount[WeekIndex],12)&gt;0,SUMIFS(T_StockCount[CountedQty],T_StockCount[Part Name],$A41,T_StockCount[WeekIndex],12),IF((('T_SelfStock'!M45&lt;&gt;""))*(('T_TTAFStock'!M45&lt;&gt;""))&gt;0,'T_SelfStock'!M45+'T_TTAFStock'!M45,L41+'Grid_Incoming'!M41-'Grid_Requirement'!M41))</f>
        <v/>
      </c>
      <c r="N41">
        <f>IF(COUNTIFS(T_StockCount[Part Name],$A41,T_StockCount[WeekIndex],13)&gt;0,SUMIFS(T_StockCount[CountedQty],T_StockCount[Part Name],$A41,T_StockCount[WeekIndex],13),IF((('T_SelfStock'!N45&lt;&gt;""))*(('T_TTAFStock'!N45&lt;&gt;""))&gt;0,'T_SelfStock'!N45+'T_TTAFStock'!N45,M41+'Grid_Incoming'!N41-'Grid_Requirement'!N41))</f>
        <v/>
      </c>
      <c r="O41">
        <f>IF(COUNTIFS(T_StockCount[Part Name],$A41,T_StockCount[WeekIndex],14)&gt;0,SUMIFS(T_StockCount[CountedQty],T_StockCount[Part Name],$A41,T_StockCount[WeekIndex],14),IF((('T_SelfStock'!O45&lt;&gt;""))*(('T_TTAFStock'!O45&lt;&gt;""))&gt;0,'T_SelfStock'!O45+'T_TTAFStock'!O45,N41+'Grid_Incoming'!O41-'Grid_Requirement'!O41))</f>
        <v/>
      </c>
      <c r="P41">
        <f>IF(COUNTIFS(T_StockCount[Part Name],$A41,T_StockCount[WeekIndex],15)&gt;0,SUMIFS(T_StockCount[CountedQty],T_StockCount[Part Name],$A41,T_StockCount[WeekIndex],15),IF((('T_SelfStock'!P45&lt;&gt;""))*(('T_TTAFStock'!P45&lt;&gt;""))&gt;0,'T_SelfStock'!P45+'T_TTAFStock'!P45,O41+'Grid_Incoming'!P41-'Grid_Requirement'!P41))</f>
        <v/>
      </c>
      <c r="Q41">
        <f>IF(COUNTIFS(T_StockCount[Part Name],$A41,T_StockCount[WeekIndex],16)&gt;0,SUMIFS(T_StockCount[CountedQty],T_StockCount[Part Name],$A41,T_StockCount[WeekIndex],16),IF((('T_SelfStock'!Q45&lt;&gt;""))*(('T_TTAFStock'!Q45&lt;&gt;""))&gt;0,'T_SelfStock'!Q45+'T_TTAFStock'!Q45,P41+'Grid_Incoming'!Q41-'Grid_Requirement'!Q41))</f>
        <v/>
      </c>
      <c r="R41">
        <f>IF(COUNTIFS(T_StockCount[Part Name],$A41,T_StockCount[WeekIndex],17)&gt;0,SUMIFS(T_StockCount[CountedQty],T_StockCount[Part Name],$A41,T_StockCount[WeekIndex],17),IF((('T_SelfStock'!R45&lt;&gt;""))*(('T_TTAFStock'!R45&lt;&gt;""))&gt;0,'T_SelfStock'!R45+'T_TTAFStock'!R45,Q41+'Grid_Incoming'!R41-'Grid_Requirement'!R41))</f>
        <v/>
      </c>
      <c r="S41">
        <f>IF(COUNTIFS(T_StockCount[Part Name],$A41,T_StockCount[WeekIndex],18)&gt;0,SUMIFS(T_StockCount[CountedQty],T_StockCount[Part Name],$A41,T_StockCount[WeekIndex],18),IF((('T_SelfStock'!S45&lt;&gt;""))*(('T_TTAFStock'!S45&lt;&gt;""))&gt;0,'T_SelfStock'!S45+'T_TTAFStock'!S45,R41+'Grid_Incoming'!S41-'Grid_Requirement'!S41))</f>
        <v/>
      </c>
      <c r="T41">
        <f>IF(COUNTIFS(T_StockCount[Part Name],$A41,T_StockCount[WeekIndex],19)&gt;0,SUMIFS(T_StockCount[CountedQty],T_StockCount[Part Name],$A41,T_StockCount[WeekIndex],19),IF((('T_SelfStock'!T45&lt;&gt;""))*(('T_TTAFStock'!T45&lt;&gt;""))&gt;0,'T_SelfStock'!T45+'T_TTAFStock'!T45,S41+'Grid_Incoming'!T41-'Grid_Requirement'!T41))</f>
        <v/>
      </c>
      <c r="U41">
        <f>IF(COUNTIFS(T_StockCount[Part Name],$A41,T_StockCount[WeekIndex],20)&gt;0,SUMIFS(T_StockCount[CountedQty],T_StockCount[Part Name],$A41,T_StockCount[WeekIndex],20),IF((('T_SelfStock'!U45&lt;&gt;""))*(('T_TTAFStock'!U45&lt;&gt;""))&gt;0,'T_SelfStock'!U45+'T_TTAFStock'!U45,T41+'Grid_Incoming'!U41-'Grid_Requirement'!U41))</f>
        <v/>
      </c>
      <c r="V41">
        <f>IF(COUNTIFS(T_StockCount[Part Name],$A41,T_StockCount[WeekIndex],21)&gt;0,SUMIFS(T_StockCount[CountedQty],T_StockCount[Part Name],$A41,T_StockCount[WeekIndex],21),IF((('T_SelfStock'!V45&lt;&gt;""))*(('T_TTAFStock'!V45&lt;&gt;""))&gt;0,'T_SelfStock'!V45+'T_TTAFStock'!V45,U41+'Grid_Incoming'!V41-'Grid_Requirement'!V41))</f>
        <v/>
      </c>
      <c r="W41">
        <f>IF(COUNTIFS(T_StockCount[Part Name],$A41,T_StockCount[WeekIndex],22)&gt;0,SUMIFS(T_StockCount[CountedQty],T_StockCount[Part Name],$A41,T_StockCount[WeekIndex],22),IF((('T_SelfStock'!W45&lt;&gt;""))*(('T_TTAFStock'!W45&lt;&gt;""))&gt;0,'T_SelfStock'!W45+'T_TTAFStock'!W45,V41+'Grid_Incoming'!W41-'Grid_Requirement'!W41))</f>
        <v/>
      </c>
      <c r="X41">
        <f>IF(COUNTIFS(T_StockCount[Part Name],$A41,T_StockCount[WeekIndex],23)&gt;0,SUMIFS(T_StockCount[CountedQty],T_StockCount[Part Name],$A41,T_StockCount[WeekIndex],23),IF((('T_SelfStock'!X45&lt;&gt;""))*(('T_TTAFStock'!X45&lt;&gt;""))&gt;0,'T_SelfStock'!X45+'T_TTAFStock'!X45,W41+'Grid_Incoming'!X41-'Grid_Requirement'!X41))</f>
        <v/>
      </c>
      <c r="Y41">
        <f>IF(COUNTIFS(T_StockCount[Part Name],$A41,T_StockCount[WeekIndex],24)&gt;0,SUMIFS(T_StockCount[CountedQty],T_StockCount[Part Name],$A41,T_StockCount[WeekIndex],24),IF((('T_SelfStock'!Y45&lt;&gt;""))*(('T_TTAFStock'!Y45&lt;&gt;""))&gt;0,'T_SelfStock'!Y45+'T_TTAFStock'!Y45,X41+'Grid_Incoming'!Y41-'Grid_Requirement'!Y41))</f>
        <v/>
      </c>
      <c r="Z41">
        <f>IF(COUNTIFS(T_StockCount[Part Name],$A41,T_StockCount[WeekIndex],25)&gt;0,SUMIFS(T_StockCount[CountedQty],T_StockCount[Part Name],$A41,T_StockCount[WeekIndex],25),IF((('T_SelfStock'!Z45&lt;&gt;""))*(('T_TTAFStock'!Z45&lt;&gt;""))&gt;0,'T_SelfStock'!Z45+'T_TTAFStock'!Z45,Y41+'Grid_Incoming'!Z41-'Grid_Requirement'!Z41))</f>
        <v/>
      </c>
      <c r="AA41">
        <f>IF(COUNTIFS(T_StockCount[Part Name],$A41,T_StockCount[WeekIndex],26)&gt;0,SUMIFS(T_StockCount[CountedQty],T_StockCount[Part Name],$A41,T_StockCount[WeekIndex],26),IF((('T_SelfStock'!AA45&lt;&gt;""))*(('T_TTAFStock'!AA45&lt;&gt;""))&gt;0,'T_SelfStock'!AA45+'T_TTAFStock'!AA45,Z41+'Grid_Incoming'!AA41-'Grid_Requirement'!AA41))</f>
        <v/>
      </c>
      <c r="AB41">
        <f>IF(COUNTIFS(T_StockCount[Part Name],$A41,T_StockCount[WeekIndex],27)&gt;0,SUMIFS(T_StockCount[CountedQty],T_StockCount[Part Name],$A41,T_StockCount[WeekIndex],27),IF((('T_SelfStock'!AB45&lt;&gt;""))*(('T_TTAFStock'!AB45&lt;&gt;""))&gt;0,'T_SelfStock'!AB45+'T_TTAFStock'!AB45,AA41+'Grid_Incoming'!AB41-'Grid_Requirement'!AB41))</f>
        <v/>
      </c>
      <c r="AC41">
        <f>IF(COUNTIFS(T_StockCount[Part Name],$A41,T_StockCount[WeekIndex],28)&gt;0,SUMIFS(T_StockCount[CountedQty],T_StockCount[Part Name],$A41,T_StockCount[WeekIndex],28),IF((('T_SelfStock'!AC45&lt;&gt;""))*(('T_TTAFStock'!AC45&lt;&gt;""))&gt;0,'T_SelfStock'!AC45+'T_TTAFStock'!AC45,AB41+'Grid_Incoming'!AC41-'Grid_Requirement'!AC41))</f>
        <v/>
      </c>
      <c r="AD41">
        <f>IF(COUNTIFS(T_StockCount[Part Name],$A41,T_StockCount[WeekIndex],29)&gt;0,SUMIFS(T_StockCount[CountedQty],T_StockCount[Part Name],$A41,T_StockCount[WeekIndex],29),IF((('T_SelfStock'!AD45&lt;&gt;""))*(('T_TTAFStock'!AD45&lt;&gt;""))&gt;0,'T_SelfStock'!AD45+'T_TTAFStock'!AD45,AC41+'Grid_Incoming'!AD41-'Grid_Requirement'!AD41))</f>
        <v/>
      </c>
      <c r="AE41">
        <f>IF(COUNTIFS(T_StockCount[Part Name],$A41,T_StockCount[WeekIndex],30)&gt;0,SUMIFS(T_StockCount[CountedQty],T_StockCount[Part Name],$A41,T_StockCount[WeekIndex],30),IF((('T_SelfStock'!AE45&lt;&gt;""))*(('T_TTAFStock'!AE45&lt;&gt;""))&gt;0,'T_SelfStock'!AE45+'T_TTAFStock'!AE45,AD41+'Grid_Incoming'!AE41-'Grid_Requirement'!AE41))</f>
        <v/>
      </c>
      <c r="AF41">
        <f>IF(COUNTIFS(T_StockCount[Part Name],$A41,T_StockCount[WeekIndex],31)&gt;0,SUMIFS(T_StockCount[CountedQty],T_StockCount[Part Name],$A41,T_StockCount[WeekIndex],31),IF((('T_SelfStock'!AF45&lt;&gt;""))*(('T_TTAFStock'!AF45&lt;&gt;""))&gt;0,'T_SelfStock'!AF45+'T_TTAFStock'!AF45,AE41+'Grid_Incoming'!AF41-'Grid_Requirement'!AF41))</f>
        <v/>
      </c>
      <c r="AG41">
        <f>IF(COUNTIFS(T_StockCount[Part Name],$A41,T_StockCount[WeekIndex],32)&gt;0,SUMIFS(T_StockCount[CountedQty],T_StockCount[Part Name],$A41,T_StockCount[WeekIndex],32),IF((('T_SelfStock'!AG45&lt;&gt;""))*(('T_TTAFStock'!AG45&lt;&gt;""))&gt;0,'T_SelfStock'!AG45+'T_TTAFStock'!AG45,AF41+'Grid_Incoming'!AG41-'Grid_Requirement'!AG41))</f>
        <v/>
      </c>
      <c r="AH41">
        <f>IF(COUNTIFS(T_StockCount[Part Name],$A41,T_StockCount[WeekIndex],33)&gt;0,SUMIFS(T_StockCount[CountedQty],T_StockCount[Part Name],$A41,T_StockCount[WeekIndex],33),IF((('T_SelfStock'!AH45&lt;&gt;""))*(('T_TTAFStock'!AH45&lt;&gt;""))&gt;0,'T_SelfStock'!AH45+'T_TTAFStock'!AH45,AG41+'Grid_Incoming'!AH41-'Grid_Requirement'!AH41))</f>
        <v/>
      </c>
      <c r="AI41">
        <f>IF(COUNTIFS(T_StockCount[Part Name],$A41,T_StockCount[WeekIndex],34)&gt;0,SUMIFS(T_StockCount[CountedQty],T_StockCount[Part Name],$A41,T_StockCount[WeekIndex],34),IF((('T_SelfStock'!AI45&lt;&gt;""))*(('T_TTAFStock'!AI45&lt;&gt;""))&gt;0,'T_SelfStock'!AI45+'T_TTAFStock'!AI45,AH41+'Grid_Incoming'!AI41-'Grid_Requirement'!AI41))</f>
        <v/>
      </c>
      <c r="AJ41">
        <f>IF(COUNTIFS(T_StockCount[Part Name],$A41,T_StockCount[WeekIndex],35)&gt;0,SUMIFS(T_StockCount[CountedQty],T_StockCount[Part Name],$A41,T_StockCount[WeekIndex],35),IF((('T_SelfStock'!AJ45&lt;&gt;""))*(('T_TTAFStock'!AJ45&lt;&gt;""))&gt;0,'T_SelfStock'!AJ45+'T_TTAFStock'!AJ45,AI41+'Grid_Incoming'!AJ41-'Grid_Requirement'!AJ41))</f>
        <v/>
      </c>
      <c r="AK41">
        <f>IF(COUNTIFS(T_StockCount[Part Name],$A41,T_StockCount[WeekIndex],36)&gt;0,SUMIFS(T_StockCount[CountedQty],T_StockCount[Part Name],$A41,T_StockCount[WeekIndex],36),IF((('T_SelfStock'!AK45&lt;&gt;""))*(('T_TTAFStock'!AK45&lt;&gt;""))&gt;0,'T_SelfStock'!AK45+'T_TTAFStock'!AK45,AJ41+'Grid_Incoming'!AK41-'Grid_Requirement'!AK41))</f>
        <v/>
      </c>
      <c r="AL41">
        <f>IF(COUNTIFS(T_StockCount[Part Name],$A41,T_StockCount[WeekIndex],37)&gt;0,SUMIFS(T_StockCount[CountedQty],T_StockCount[Part Name],$A41,T_StockCount[WeekIndex],37),IF((('T_SelfStock'!AL45&lt;&gt;""))*(('T_TTAFStock'!AL45&lt;&gt;""))&gt;0,'T_SelfStock'!AL45+'T_TTAFStock'!AL45,AK41+'Grid_Incoming'!AL41-'Grid_Requirement'!AL41))</f>
        <v/>
      </c>
      <c r="AM41">
        <f>IF(COUNTIFS(T_StockCount[Part Name],$A41,T_StockCount[WeekIndex],38)&gt;0,SUMIFS(T_StockCount[CountedQty],T_StockCount[Part Name],$A41,T_StockCount[WeekIndex],38),IF((('T_SelfStock'!AM45&lt;&gt;""))*(('T_TTAFStock'!AM45&lt;&gt;""))&gt;0,'T_SelfStock'!AM45+'T_TTAFStock'!AM45,AL41+'Grid_Incoming'!AM41-'Grid_Requirement'!AM41))</f>
        <v/>
      </c>
      <c r="AN41">
        <f>IF(COUNTIFS(T_StockCount[Part Name],$A41,T_StockCount[WeekIndex],39)&gt;0,SUMIFS(T_StockCount[CountedQty],T_StockCount[Part Name],$A41,T_StockCount[WeekIndex],39),IF((('T_SelfStock'!AN45&lt;&gt;""))*(('T_TTAFStock'!AN45&lt;&gt;""))&gt;0,'T_SelfStock'!AN45+'T_TTAFStock'!AN45,AM41+'Grid_Incoming'!AN41-'Grid_Requirement'!AN41))</f>
        <v/>
      </c>
      <c r="AO41">
        <f>IF(COUNTIFS(T_StockCount[Part Name],$A41,T_StockCount[WeekIndex],40)&gt;0,SUMIFS(T_StockCount[CountedQty],T_StockCount[Part Name],$A41,T_StockCount[WeekIndex],40),IF((('T_SelfStock'!AO45&lt;&gt;""))*(('T_TTAFStock'!AO45&lt;&gt;""))&gt;0,'T_SelfStock'!AO45+'T_TTAFStock'!AO45,AN41+'Grid_Incoming'!AO41-'Grid_Requirement'!AO41))</f>
        <v/>
      </c>
      <c r="AP41">
        <f>IF(COUNTIFS(T_StockCount[Part Name],$A41,T_StockCount[WeekIndex],41)&gt;0,SUMIFS(T_StockCount[CountedQty],T_StockCount[Part Name],$A41,T_StockCount[WeekIndex],41),IF((('T_SelfStock'!AP45&lt;&gt;""))*(('T_TTAFStock'!AP45&lt;&gt;""))&gt;0,'T_SelfStock'!AP45+'T_TTAFStock'!AP45,AO41+'Grid_Incoming'!AP41-'Grid_Requirement'!AP41))</f>
        <v/>
      </c>
      <c r="AQ41">
        <f>IF(COUNTIFS(T_StockCount[Part Name],$A41,T_StockCount[WeekIndex],42)&gt;0,SUMIFS(T_StockCount[CountedQty],T_StockCount[Part Name],$A41,T_StockCount[WeekIndex],42),IF((('T_SelfStock'!AQ45&lt;&gt;""))*(('T_TTAFStock'!AQ45&lt;&gt;""))&gt;0,'T_SelfStock'!AQ45+'T_TTAFStock'!AQ45,AP41+'Grid_Incoming'!AQ41-'Grid_Requirement'!AQ41))</f>
        <v/>
      </c>
      <c r="AR41">
        <f>IF(COUNTIFS(T_StockCount[Part Name],$A41,T_StockCount[WeekIndex],43)&gt;0,SUMIFS(T_StockCount[CountedQty],T_StockCount[Part Name],$A41,T_StockCount[WeekIndex],43),IF((('T_SelfStock'!AR45&lt;&gt;""))*(('T_TTAFStock'!AR45&lt;&gt;""))&gt;0,'T_SelfStock'!AR45+'T_TTAFStock'!AR45,AQ41+'Grid_Incoming'!AR41-'Grid_Requirement'!AR41))</f>
        <v/>
      </c>
      <c r="AS41">
        <f>IF(COUNTIFS(T_StockCount[Part Name],$A41,T_StockCount[WeekIndex],44)&gt;0,SUMIFS(T_StockCount[CountedQty],T_StockCount[Part Name],$A41,T_StockCount[WeekIndex],44),IF((('T_SelfStock'!AS45&lt;&gt;""))*(('T_TTAFStock'!AS45&lt;&gt;""))&gt;0,'T_SelfStock'!AS45+'T_TTAFStock'!AS45,AR41+'Grid_Incoming'!AS41-'Grid_Requirement'!AS41))</f>
        <v/>
      </c>
      <c r="AT41">
        <f>IF(COUNTIFS(T_StockCount[Part Name],$A41,T_StockCount[WeekIndex],45)&gt;0,SUMIFS(T_StockCount[CountedQty],T_StockCount[Part Name],$A41,T_StockCount[WeekIndex],45),IF((('T_SelfStock'!AT45&lt;&gt;""))*(('T_TTAFStock'!AT45&lt;&gt;""))&gt;0,'T_SelfStock'!AT45+'T_TTAFStock'!AT45,AS41+'Grid_Incoming'!AT41-'Grid_Requirement'!AT41))</f>
        <v/>
      </c>
      <c r="AU41">
        <f>IF(COUNTIFS(T_StockCount[Part Name],$A41,T_StockCount[WeekIndex],46)&gt;0,SUMIFS(T_StockCount[CountedQty],T_StockCount[Part Name],$A41,T_StockCount[WeekIndex],46),IF((('T_SelfStock'!AU45&lt;&gt;""))*(('T_TTAFStock'!AU45&lt;&gt;""))&gt;0,'T_SelfStock'!AU45+'T_TTAFStock'!AU45,AT41+'Grid_Incoming'!AU41-'Grid_Requirement'!AU41))</f>
        <v/>
      </c>
      <c r="AV41">
        <f>IF(COUNTIFS(T_StockCount[Part Name],$A41,T_StockCount[WeekIndex],47)&gt;0,SUMIFS(T_StockCount[CountedQty],T_StockCount[Part Name],$A41,T_StockCount[WeekIndex],47),IF((('T_SelfStock'!AV45&lt;&gt;""))*(('T_TTAFStock'!AV45&lt;&gt;""))&gt;0,'T_SelfStock'!AV45+'T_TTAFStock'!AV45,AU41+'Grid_Incoming'!AV41-'Grid_Requirement'!AV41))</f>
        <v/>
      </c>
      <c r="AW41">
        <f>IF(COUNTIFS(T_StockCount[Part Name],$A41,T_StockCount[WeekIndex],48)&gt;0,SUMIFS(T_StockCount[CountedQty],T_StockCount[Part Name],$A41,T_StockCount[WeekIndex],48),IF((('T_SelfStock'!AW45&lt;&gt;""))*(('T_TTAFStock'!AW45&lt;&gt;""))&gt;0,'T_SelfStock'!AW45+'T_TTAFStock'!AW45,AV41+'Grid_Incoming'!AW41-'Grid_Requirement'!AW41))</f>
        <v/>
      </c>
      <c r="AX41">
        <f>IF(COUNTIFS(T_StockCount[Part Name],$A41,T_StockCount[WeekIndex],49)&gt;0,SUMIFS(T_StockCount[CountedQty],T_StockCount[Part Name],$A41,T_StockCount[WeekIndex],49),IF((('T_SelfStock'!AX45&lt;&gt;""))*(('T_TTAFStock'!AX45&lt;&gt;""))&gt;0,'T_SelfStock'!AX45+'T_TTAFStock'!AX45,AW41+'Grid_Incoming'!AX41-'Grid_Requirement'!AX41))</f>
        <v/>
      </c>
      <c r="AY41">
        <f>IF(COUNTIFS(T_StockCount[Part Name],$A41,T_StockCount[WeekIndex],50)&gt;0,SUMIFS(T_StockCount[CountedQty],T_StockCount[Part Name],$A41,T_StockCount[WeekIndex],50),IF((('T_SelfStock'!AY45&lt;&gt;""))*(('T_TTAFStock'!AY45&lt;&gt;""))&gt;0,'T_SelfStock'!AY45+'T_TTAFStock'!AY45,AX41+'Grid_Incoming'!AY41-'Grid_Requirement'!AY41))</f>
        <v/>
      </c>
      <c r="AZ41">
        <f>IF(COUNTIFS(T_StockCount[Part Name],$A41,T_StockCount[WeekIndex],51)&gt;0,SUMIFS(T_StockCount[CountedQty],T_StockCount[Part Name],$A41,T_StockCount[WeekIndex],51),IF((('T_SelfStock'!AZ45&lt;&gt;""))*(('T_TTAFStock'!AZ45&lt;&gt;""))&gt;0,'T_SelfStock'!AZ45+'T_TTAFStock'!AZ45,AY41+'Grid_Incoming'!AZ41-'Grid_Requirement'!AZ41))</f>
        <v/>
      </c>
      <c r="BA41">
        <f>IF(COUNTIFS(T_StockCount[Part Name],$A41,T_StockCount[WeekIndex],52)&gt;0,SUMIFS(T_StockCount[CountedQty],T_StockCount[Part Name],$A41,T_StockCount[WeekIndex],52),IF((('T_SelfStock'!BA45&lt;&gt;""))*(('T_TTAFStock'!BA45&lt;&gt;""))&gt;0,'T_SelfStock'!BA45+'T_TTAFStock'!BA45,AZ41+'Grid_Incoming'!BA41-'Grid_Requirement'!BA41))</f>
        <v/>
      </c>
      <c r="BB41">
        <f>IF(COUNTIFS(T_StockCount[Part Name],$A41,T_StockCount[WeekIndex],53)&gt;0,SUMIFS(T_StockCount[CountedQty],T_StockCount[Part Name],$A41,T_StockCount[WeekIndex],53),IF((('T_SelfStock'!BB45&lt;&gt;""))*(('T_TTAFStock'!BB45&lt;&gt;""))&gt;0,'T_SelfStock'!BB45+'T_TTAFStock'!BB45,BA41+'Grid_Incoming'!BB41-'Grid_Requirement'!BB41))</f>
        <v/>
      </c>
      <c r="BC41">
        <f>IF(COUNTIFS(T_StockCount[Part Name],$A41,T_StockCount[WeekIndex],54)&gt;0,SUMIFS(T_StockCount[CountedQty],T_StockCount[Part Name],$A41,T_StockCount[WeekIndex],54),IF((('T_SelfStock'!BC45&lt;&gt;""))*(('T_TTAFStock'!BC45&lt;&gt;""))&gt;0,'T_SelfStock'!BC45+'T_TTAFStock'!BC45,BB41+'Grid_Incoming'!BC41-'Grid_Requirement'!BC41))</f>
        <v/>
      </c>
      <c r="BD41">
        <f>IF(COUNTIFS(T_StockCount[Part Name],$A41,T_StockCount[WeekIndex],55)&gt;0,SUMIFS(T_StockCount[CountedQty],T_StockCount[Part Name],$A41,T_StockCount[WeekIndex],55),IF((('T_SelfStock'!BD45&lt;&gt;""))*(('T_TTAFStock'!BD45&lt;&gt;""))&gt;0,'T_SelfStock'!BD45+'T_TTAFStock'!BD45,BC41+'Grid_Incoming'!BD41-'Grid_Requirement'!BD41))</f>
        <v/>
      </c>
      <c r="BE41">
        <f>IF(COUNTIFS(T_StockCount[Part Name],$A41,T_StockCount[WeekIndex],56)&gt;0,SUMIFS(T_StockCount[CountedQty],T_StockCount[Part Name],$A41,T_StockCount[WeekIndex],56),IF((('T_SelfStock'!BE45&lt;&gt;""))*(('T_TTAFStock'!BE45&lt;&gt;""))&gt;0,'T_SelfStock'!BE45+'T_TTAFStock'!BE45,BD41+'Grid_Incoming'!BE41-'Grid_Requirement'!BE41))</f>
        <v/>
      </c>
      <c r="BF41">
        <f>IF(COUNTIFS(T_StockCount[Part Name],$A41,T_StockCount[WeekIndex],57)&gt;0,SUMIFS(T_StockCount[CountedQty],T_StockCount[Part Name],$A41,T_StockCount[WeekIndex],57),IF((('T_SelfStock'!BF45&lt;&gt;""))*(('T_TTAFStock'!BF45&lt;&gt;""))&gt;0,'T_SelfStock'!BF45+'T_TTAFStock'!BF45,BE41+'Grid_Incoming'!BF41-'Grid_Requirement'!BF41))</f>
        <v/>
      </c>
      <c r="BG41">
        <f>IF(COUNTIFS(T_StockCount[Part Name],$A41,T_StockCount[WeekIndex],58)&gt;0,SUMIFS(T_StockCount[CountedQty],T_StockCount[Part Name],$A41,T_StockCount[WeekIndex],58),IF((('T_SelfStock'!BG45&lt;&gt;""))*(('T_TTAFStock'!BG45&lt;&gt;""))&gt;0,'T_SelfStock'!BG45+'T_TTAFStock'!BG45,BF41+'Grid_Incoming'!BG41-'Grid_Requirement'!BG41))</f>
        <v/>
      </c>
      <c r="BH41">
        <f>IF(COUNTIFS(T_StockCount[Part Name],$A41,T_StockCount[WeekIndex],59)&gt;0,SUMIFS(T_StockCount[CountedQty],T_StockCount[Part Name],$A41,T_StockCount[WeekIndex],59),IF((('T_SelfStock'!BH45&lt;&gt;""))*(('T_TTAFStock'!BH45&lt;&gt;""))&gt;0,'T_SelfStock'!BH45+'T_TTAFStock'!BH45,BG41+'Grid_Incoming'!BH41-'Grid_Requirement'!BH41))</f>
        <v/>
      </c>
      <c r="BI41">
        <f>IF(COUNTIFS(T_StockCount[Part Name],$A41,T_StockCount[WeekIndex],60)&gt;0,SUMIFS(T_StockCount[CountedQty],T_StockCount[Part Name],$A41,T_StockCount[WeekIndex],60),IF((('T_SelfStock'!BI45&lt;&gt;""))*(('T_TTAFStock'!BI45&lt;&gt;""))&gt;0,'T_SelfStock'!BI45+'T_TTAFStock'!BI45,BH41+'Grid_Incoming'!BI41-'Grid_Requirement'!BI41))</f>
        <v/>
      </c>
      <c r="BJ41">
        <f>IF(COUNTIFS(T_StockCount[Part Name],$A41,T_StockCount[WeekIndex],61)&gt;0,SUMIFS(T_StockCount[CountedQty],T_StockCount[Part Name],$A41,T_StockCount[WeekIndex],61),IF((('T_SelfStock'!BJ45&lt;&gt;""))*(('T_TTAFStock'!BJ45&lt;&gt;""))&gt;0,'T_SelfStock'!BJ45+'T_TTAFStock'!BJ45,BI41+'Grid_Incoming'!BJ41-'Grid_Requirement'!BJ41))</f>
        <v/>
      </c>
      <c r="BK41">
        <f>IF(COUNTIFS(T_StockCount[Part Name],$A41,T_StockCount[WeekIndex],62)&gt;0,SUMIFS(T_StockCount[CountedQty],T_StockCount[Part Name],$A41,T_StockCount[WeekIndex],62),IF((('T_SelfStock'!BK45&lt;&gt;""))*(('T_TTAFStock'!BK45&lt;&gt;""))&gt;0,'T_SelfStock'!BK45+'T_TTAFStock'!BK45,BJ41+'Grid_Incoming'!BK41-'Grid_Requirement'!BK41))</f>
        <v/>
      </c>
      <c r="BL41">
        <f>IF(COUNTIFS(T_StockCount[Part Name],$A41,T_StockCount[WeekIndex],63)&gt;0,SUMIFS(T_StockCount[CountedQty],T_StockCount[Part Name],$A41,T_StockCount[WeekIndex],63),IF((('T_SelfStock'!BL45&lt;&gt;""))*(('T_TTAFStock'!BL45&lt;&gt;""))&gt;0,'T_SelfStock'!BL45+'T_TTAFStock'!BL45,BK41+'Grid_Incoming'!BL41-'Grid_Requirement'!BL41))</f>
        <v/>
      </c>
      <c r="BM41">
        <f>IF(COUNTIFS(T_StockCount[Part Name],$A41,T_StockCount[WeekIndex],64)&gt;0,SUMIFS(T_StockCount[CountedQty],T_StockCount[Part Name],$A41,T_StockCount[WeekIndex],64),IF((('T_SelfStock'!BM45&lt;&gt;""))*(('T_TTAFStock'!BM45&lt;&gt;""))&gt;0,'T_SelfStock'!BM45+'T_TTAFStock'!BM45,BL41+'Grid_Incoming'!BM41-'Grid_Requirement'!BM41))</f>
        <v/>
      </c>
      <c r="BN41">
        <f>IF(COUNTIFS(T_StockCount[Part Name],$A41,T_StockCount[WeekIndex],65)&gt;0,SUMIFS(T_StockCount[CountedQty],T_StockCount[Part Name],$A41,T_StockCount[WeekIndex],65),IF((('T_SelfStock'!BN45&lt;&gt;""))*(('T_TTAFStock'!BN45&lt;&gt;""))&gt;0,'T_SelfStock'!BN45+'T_TTAFStock'!BN45,BM41+'Grid_Incoming'!BN41-'Grid_Requirement'!BN41))</f>
        <v/>
      </c>
      <c r="BO41">
        <f>IF(COUNTIFS(T_StockCount[Part Name],$A41,T_StockCount[WeekIndex],66)&gt;0,SUMIFS(T_StockCount[CountedQty],T_StockCount[Part Name],$A41,T_StockCount[WeekIndex],66),IF((('T_SelfStock'!BO45&lt;&gt;""))*(('T_TTAFStock'!BO45&lt;&gt;""))&gt;0,'T_SelfStock'!BO45+'T_TTAFStock'!BO45,BN41+'Grid_Incoming'!BO41-'Grid_Requirement'!BO41))</f>
        <v/>
      </c>
      <c r="BP41">
        <f>IF(COUNTIFS(T_StockCount[Part Name],$A41,T_StockCount[WeekIndex],67)&gt;0,SUMIFS(T_StockCount[CountedQty],T_StockCount[Part Name],$A41,T_StockCount[WeekIndex],67),IF((('T_SelfStock'!BP45&lt;&gt;""))*(('T_TTAFStock'!BP45&lt;&gt;""))&gt;0,'T_SelfStock'!BP45+'T_TTAFStock'!BP45,BO41+'Grid_Incoming'!BP41-'Grid_Requirement'!BP41))</f>
        <v/>
      </c>
      <c r="BQ41">
        <f>IF(COUNTIFS(T_StockCount[Part Name],$A41,T_StockCount[WeekIndex],68)&gt;0,SUMIFS(T_StockCount[CountedQty],T_StockCount[Part Name],$A41,T_StockCount[WeekIndex],68),IF((('T_SelfStock'!BQ45&lt;&gt;""))*(('T_TTAFStock'!BQ45&lt;&gt;""))&gt;0,'T_SelfStock'!BQ45+'T_TTAFStock'!BQ45,BP41+'Grid_Incoming'!BQ41-'Grid_Requirement'!BQ41))</f>
        <v/>
      </c>
      <c r="BR41">
        <f>IF(COUNTIFS(T_StockCount[Part Name],$A41,T_StockCount[WeekIndex],69)&gt;0,SUMIFS(T_StockCount[CountedQty],T_StockCount[Part Name],$A41,T_StockCount[WeekIndex],69),IF((('T_SelfStock'!BR45&lt;&gt;""))*(('T_TTAFStock'!BR45&lt;&gt;""))&gt;0,'T_SelfStock'!BR45+'T_TTAFStock'!BR45,BQ41+'Grid_Incoming'!BR41-'Grid_Requirement'!BR41))</f>
        <v/>
      </c>
      <c r="BS41">
        <f>IF(COUNTIFS(T_StockCount[Part Name],$A41,T_StockCount[WeekIndex],70)&gt;0,SUMIFS(T_StockCount[CountedQty],T_StockCount[Part Name],$A41,T_StockCount[WeekIndex],70),IF((('T_SelfStock'!BS45&lt;&gt;""))*(('T_TTAFStock'!BS45&lt;&gt;""))&gt;0,'T_SelfStock'!BS45+'T_TTAFStock'!BS45,BR41+'Grid_Incoming'!BS41-'Grid_Requirement'!BS41))</f>
        <v/>
      </c>
      <c r="BT41">
        <f>IF(COUNTIFS(T_StockCount[Part Name],$A41,T_StockCount[WeekIndex],71)&gt;0,SUMIFS(T_StockCount[CountedQty],T_StockCount[Part Name],$A41,T_StockCount[WeekIndex],71),IF((('T_SelfStock'!BT45&lt;&gt;""))*(('T_TTAFStock'!BT45&lt;&gt;""))&gt;0,'T_SelfStock'!BT45+'T_TTAFStock'!BT45,BS41+'Grid_Incoming'!BT41-'Grid_Requirement'!BT41))</f>
        <v/>
      </c>
      <c r="BU41">
        <f>IF(COUNTIFS(T_StockCount[Part Name],$A41,T_StockCount[WeekIndex],72)&gt;0,SUMIFS(T_StockCount[CountedQty],T_StockCount[Part Name],$A41,T_StockCount[WeekIndex],72),IF((('T_SelfStock'!BU45&lt;&gt;""))*(('T_TTAFStock'!BU45&lt;&gt;""))&gt;0,'T_SelfStock'!BU45+'T_TTAFStock'!BU45,BT41+'Grid_Incoming'!BU41-'Grid_Requirement'!BU41))</f>
        <v/>
      </c>
      <c r="BV41">
        <f>IF(COUNTIFS(T_StockCount[Part Name],$A41,T_StockCount[WeekIndex],73)&gt;0,SUMIFS(T_StockCount[CountedQty],T_StockCount[Part Name],$A41,T_StockCount[WeekIndex],73),IF((('T_SelfStock'!BV45&lt;&gt;""))*(('T_TTAFStock'!BV45&lt;&gt;""))&gt;0,'T_SelfStock'!BV45+'T_TTAFStock'!BV45,BU41+'Grid_Incoming'!BV41-'Grid_Requirement'!BV41))</f>
        <v/>
      </c>
      <c r="BW41">
        <f>IF(COUNTIFS(T_StockCount[Part Name],$A41,T_StockCount[WeekIndex],74)&gt;0,SUMIFS(T_StockCount[CountedQty],T_StockCount[Part Name],$A41,T_StockCount[WeekIndex],74),IF((('T_SelfStock'!BW45&lt;&gt;""))*(('T_TTAFStock'!BW45&lt;&gt;""))&gt;0,'T_SelfStock'!BW45+'T_TTAFStock'!BW45,BV41+'Grid_Incoming'!BW41-'Grid_Requirement'!BW41))</f>
        <v/>
      </c>
      <c r="BX41">
        <f>IF(COUNTIFS(T_StockCount[Part Name],$A41,T_StockCount[WeekIndex],75)&gt;0,SUMIFS(T_StockCount[CountedQty],T_StockCount[Part Name],$A41,T_StockCount[WeekIndex],75),IF((('T_SelfStock'!BX45&lt;&gt;""))*(('T_TTAFStock'!BX45&lt;&gt;""))&gt;0,'T_SelfStock'!BX45+'T_TTAFStock'!BX45,BW41+'Grid_Incoming'!BX41-'Grid_Requirement'!BX41))</f>
        <v/>
      </c>
      <c r="BY41">
        <f>IF(COUNTIFS(T_StockCount[Part Name],$A41,T_StockCount[WeekIndex],76)&gt;0,SUMIFS(T_StockCount[CountedQty],T_StockCount[Part Name],$A41,T_StockCount[WeekIndex],76),IF((('T_SelfStock'!BY45&lt;&gt;""))*(('T_TTAFStock'!BY45&lt;&gt;""))&gt;0,'T_SelfStock'!BY45+'T_TTAFStock'!BY45,BX41+'Grid_Incoming'!BY41-'Grid_Requirement'!BY41))</f>
        <v/>
      </c>
      <c r="BZ41">
        <f>IF(COUNTIFS(T_StockCount[Part Name],$A41,T_StockCount[WeekIndex],77)&gt;0,SUMIFS(T_StockCount[CountedQty],T_StockCount[Part Name],$A41,T_StockCount[WeekIndex],77),IF((('T_SelfStock'!BZ45&lt;&gt;""))*(('T_TTAFStock'!BZ45&lt;&gt;""))&gt;0,'T_SelfStock'!BZ45+'T_TTAFStock'!BZ45,BY41+'Grid_Incoming'!BZ41-'Grid_Requirement'!BZ41))</f>
        <v/>
      </c>
      <c r="CA41">
        <f>IF(COUNTIFS(T_StockCount[Part Name],$A41,T_StockCount[WeekIndex],78)&gt;0,SUMIFS(T_StockCount[CountedQty],T_StockCount[Part Name],$A41,T_StockCount[WeekIndex],78),IF((('T_SelfStock'!CA45&lt;&gt;""))*(('T_TTAFStock'!CA45&lt;&gt;""))&gt;0,'T_SelfStock'!CA45+'T_TTAFStock'!CA45,BZ41+'Grid_Incoming'!CA41-'Grid_Requirement'!CA41))</f>
        <v/>
      </c>
      <c r="CB41">
        <f>IF(COUNTIFS(T_StockCount[Part Name],$A41,T_StockCount[WeekIndex],79)&gt;0,SUMIFS(T_StockCount[CountedQty],T_StockCount[Part Name],$A41,T_StockCount[WeekIndex],79),IF((('T_SelfStock'!CB45&lt;&gt;""))*(('T_TTAFStock'!CB45&lt;&gt;""))&gt;0,'T_SelfStock'!CB45+'T_TTAFStock'!CB45,CA41+'Grid_Incoming'!CB41-'Grid_Requirement'!CB41))</f>
        <v/>
      </c>
      <c r="CC41">
        <f>IF(COUNTIFS(T_StockCount[Part Name],$A41,T_StockCount[WeekIndex],80)&gt;0,SUMIFS(T_StockCount[CountedQty],T_StockCount[Part Name],$A41,T_StockCount[WeekIndex],80),IF((('T_SelfStock'!CC45&lt;&gt;""))*(('T_TTAFStock'!CC45&lt;&gt;""))&gt;0,'T_SelfStock'!CC45+'T_TTAFStock'!CC45,CB41+'Grid_Incoming'!CC41-'Grid_Requirement'!CC41))</f>
        <v/>
      </c>
      <c r="CD41">
        <f>IF(COUNTIFS(T_StockCount[Part Name],$A41,T_StockCount[WeekIndex],81)&gt;0,SUMIFS(T_StockCount[CountedQty],T_StockCount[Part Name],$A41,T_StockCount[WeekIndex],81),IF((('T_SelfStock'!CD45&lt;&gt;""))*(('T_TTAFStock'!CD45&lt;&gt;""))&gt;0,'T_SelfStock'!CD45+'T_TTAFStock'!CD45,CC41+'Grid_Incoming'!CD41-'Grid_Requirement'!CD41))</f>
        <v/>
      </c>
      <c r="CE41">
        <f>IF(COUNTIFS(T_StockCount[Part Name],$A41,T_StockCount[WeekIndex],82)&gt;0,SUMIFS(T_StockCount[CountedQty],T_StockCount[Part Name],$A41,T_StockCount[WeekIndex],82),IF((('T_SelfStock'!CE45&lt;&gt;""))*(('T_TTAFStock'!CE45&lt;&gt;""))&gt;0,'T_SelfStock'!CE45+'T_TTAFStock'!CE45,CD41+'Grid_Incoming'!CE41-'Grid_Requirement'!CE41))</f>
        <v/>
      </c>
      <c r="CF41">
        <f>IF(COUNTIFS(T_StockCount[Part Name],$A41,T_StockCount[WeekIndex],83)&gt;0,SUMIFS(T_StockCount[CountedQty],T_StockCount[Part Name],$A41,T_StockCount[WeekIndex],83),IF((('T_SelfStock'!CF45&lt;&gt;""))*(('T_TTAFStock'!CF45&lt;&gt;""))&gt;0,'T_SelfStock'!CF45+'T_TTAFStock'!CF45,CE41+'Grid_Incoming'!CF41-'Grid_Requirement'!CF41))</f>
        <v/>
      </c>
      <c r="CG41">
        <f>IF(COUNTIFS(T_StockCount[Part Name],$A41,T_StockCount[WeekIndex],84)&gt;0,SUMIFS(T_StockCount[CountedQty],T_StockCount[Part Name],$A41,T_StockCount[WeekIndex],84),IF((('T_SelfStock'!CG45&lt;&gt;""))*(('T_TTAFStock'!CG45&lt;&gt;""))&gt;0,'T_SelfStock'!CG45+'T_TTAFStock'!CG45,CF41+'Grid_Incoming'!CG41-'Grid_Requirement'!CG41))</f>
        <v/>
      </c>
      <c r="CH41">
        <f>IF(COUNTIFS(T_StockCount[Part Name],$A41,T_StockCount[WeekIndex],85)&gt;0,SUMIFS(T_StockCount[CountedQty],T_StockCount[Part Name],$A41,T_StockCount[WeekIndex],85),IF((('T_SelfStock'!CH45&lt;&gt;""))*(('T_TTAFStock'!CH45&lt;&gt;""))&gt;0,'T_SelfStock'!CH45+'T_TTAFStock'!CH45,CG41+'Grid_Incoming'!CH41-'Grid_Requirement'!CH41))</f>
        <v/>
      </c>
      <c r="CI41">
        <f>IF(COUNTIFS(T_StockCount[Part Name],$A41,T_StockCount[WeekIndex],86)&gt;0,SUMIFS(T_StockCount[CountedQty],T_StockCount[Part Name],$A41,T_StockCount[WeekIndex],86),IF((('T_SelfStock'!CI45&lt;&gt;""))*(('T_TTAFStock'!CI45&lt;&gt;""))&gt;0,'T_SelfStock'!CI45+'T_TTAFStock'!CI45,CH41+'Grid_Incoming'!CI41-'Grid_Requirement'!CI41))</f>
        <v/>
      </c>
      <c r="CJ41">
        <f>IF(COUNTIFS(T_StockCount[Part Name],$A41,T_StockCount[WeekIndex],87)&gt;0,SUMIFS(T_StockCount[CountedQty],T_StockCount[Part Name],$A41,T_StockCount[WeekIndex],87),IF((('T_SelfStock'!CJ45&lt;&gt;""))*(('T_TTAFStock'!CJ45&lt;&gt;""))&gt;0,'T_SelfStock'!CJ45+'T_TTAFStock'!CJ45,CI41+'Grid_Incoming'!CJ41-'Grid_Requirement'!CJ41))</f>
        <v/>
      </c>
      <c r="CK41">
        <f>IF(COUNTIFS(T_StockCount[Part Name],$A41,T_StockCount[WeekIndex],88)&gt;0,SUMIFS(T_StockCount[CountedQty],T_StockCount[Part Name],$A41,T_StockCount[WeekIndex],88),IF((('T_SelfStock'!CK45&lt;&gt;""))*(('T_TTAFStock'!CK45&lt;&gt;""))&gt;0,'T_SelfStock'!CK45+'T_TTAFStock'!CK45,CJ41+'Grid_Incoming'!CK41-'Grid_Requirement'!CK41))</f>
        <v/>
      </c>
      <c r="CL41">
        <f>IF(COUNTIFS(T_StockCount[Part Name],$A41,T_StockCount[WeekIndex],89)&gt;0,SUMIFS(T_StockCount[CountedQty],T_StockCount[Part Name],$A41,T_StockCount[WeekIndex],89),IF((('T_SelfStock'!CL45&lt;&gt;""))*(('T_TTAFStock'!CL45&lt;&gt;""))&gt;0,'T_SelfStock'!CL45+'T_TTAFStock'!CL45,CK41+'Grid_Incoming'!CL41-'Grid_Requirement'!CL41))</f>
        <v/>
      </c>
      <c r="CM41">
        <f>IF(COUNTIFS(T_StockCount[Part Name],$A41,T_StockCount[WeekIndex],90)&gt;0,SUMIFS(T_StockCount[CountedQty],T_StockCount[Part Name],$A41,T_StockCount[WeekIndex],90),IF((('T_SelfStock'!CM45&lt;&gt;""))*(('T_TTAFStock'!CM45&lt;&gt;""))&gt;0,'T_SelfStock'!CM45+'T_TTAFStock'!CM45,CL41+'Grid_Incoming'!CM41-'Grid_Requirement'!CM41))</f>
        <v/>
      </c>
      <c r="CN41">
        <f>IF(COUNTIFS(T_StockCount[Part Name],$A41,T_StockCount[WeekIndex],91)&gt;0,SUMIFS(T_StockCount[CountedQty],T_StockCount[Part Name],$A41,T_StockCount[WeekIndex],91),IF((('T_SelfStock'!CN45&lt;&gt;""))*(('T_TTAFStock'!CN45&lt;&gt;""))&gt;0,'T_SelfStock'!CN45+'T_TTAFStock'!CN45,CM41+'Grid_Incoming'!CN41-'Grid_Requirement'!CN41))</f>
        <v/>
      </c>
      <c r="CO41">
        <f>IF(COUNTIFS(T_StockCount[Part Name],$A41,T_StockCount[WeekIndex],92)&gt;0,SUMIFS(T_StockCount[CountedQty],T_StockCount[Part Name],$A41,T_StockCount[WeekIndex],92),IF((('T_SelfStock'!CO45&lt;&gt;""))*(('T_TTAFStock'!CO45&lt;&gt;""))&gt;0,'T_SelfStock'!CO45+'T_TTAFStock'!CO45,CN41+'Grid_Incoming'!CO41-'Grid_Requirement'!CO41))</f>
        <v/>
      </c>
      <c r="CP41">
        <f>IF(COUNTIFS(T_StockCount[Part Name],$A41,T_StockCount[WeekIndex],93)&gt;0,SUMIFS(T_StockCount[CountedQty],T_StockCount[Part Name],$A41,T_StockCount[WeekIndex],93),IF((('T_SelfStock'!CP45&lt;&gt;""))*(('T_TTAFStock'!CP45&lt;&gt;""))&gt;0,'T_SelfStock'!CP45+'T_TTAFStock'!CP45,CO41+'Grid_Incoming'!CP41-'Grid_Requirement'!CP41))</f>
        <v/>
      </c>
      <c r="CQ41">
        <f>IF(COUNTIFS(T_StockCount[Part Name],$A41,T_StockCount[WeekIndex],94)&gt;0,SUMIFS(T_StockCount[CountedQty],T_StockCount[Part Name],$A41,T_StockCount[WeekIndex],94),IF((('T_SelfStock'!CQ45&lt;&gt;""))*(('T_TTAFStock'!CQ45&lt;&gt;""))&gt;0,'T_SelfStock'!CQ45+'T_TTAFStock'!CQ45,CP41+'Grid_Incoming'!CQ41-'Grid_Requirement'!CQ41))</f>
        <v/>
      </c>
      <c r="CR41">
        <f>IF(COUNTIFS(T_StockCount[Part Name],$A41,T_StockCount[WeekIndex],95)&gt;0,SUMIFS(T_StockCount[CountedQty],T_StockCount[Part Name],$A41,T_StockCount[WeekIndex],95),IF((('T_SelfStock'!CR45&lt;&gt;""))*(('T_TTAFStock'!CR45&lt;&gt;""))&gt;0,'T_SelfStock'!CR45+'T_TTAFStock'!CR45,CQ41+'Grid_Incoming'!CR41-'Grid_Requirement'!CR41))</f>
        <v/>
      </c>
      <c r="CS41">
        <f>IF(COUNTIFS(T_StockCount[Part Name],$A41,T_StockCount[WeekIndex],96)&gt;0,SUMIFS(T_StockCount[CountedQty],T_StockCount[Part Name],$A41,T_StockCount[WeekIndex],96),IF((('T_SelfStock'!CS45&lt;&gt;""))*(('T_TTAFStock'!CS45&lt;&gt;""))&gt;0,'T_SelfStock'!CS45+'T_TTAFStock'!CS45,CR41+'Grid_Incoming'!CS41-'Grid_Requirement'!CS41))</f>
        <v/>
      </c>
      <c r="CT41">
        <f>IF(COUNTIFS(T_StockCount[Part Name],$A41,T_StockCount[WeekIndex],97)&gt;0,SUMIFS(T_StockCount[CountedQty],T_StockCount[Part Name],$A41,T_StockCount[WeekIndex],97),IF((('T_SelfStock'!CT45&lt;&gt;""))*(('T_TTAFStock'!CT45&lt;&gt;""))&gt;0,'T_SelfStock'!CT45+'T_TTAFStock'!CT45,CS41+'Grid_Incoming'!CT41-'Grid_Requirement'!CT41))</f>
        <v/>
      </c>
      <c r="CU41">
        <f>IF(COUNTIFS(T_StockCount[Part Name],$A41,T_StockCount[WeekIndex],98)&gt;0,SUMIFS(T_StockCount[CountedQty],T_StockCount[Part Name],$A41,T_StockCount[WeekIndex],98),IF((('T_SelfStock'!CU45&lt;&gt;""))*(('T_TTAFStock'!CU45&lt;&gt;""))&gt;0,'T_SelfStock'!CU45+'T_TTAFStock'!CU45,CT41+'Grid_Incoming'!CU41-'Grid_Requirement'!CU41))</f>
        <v/>
      </c>
      <c r="CV41">
        <f>IF(COUNTIFS(T_StockCount[Part Name],$A41,T_StockCount[WeekIndex],99)&gt;0,SUMIFS(T_StockCount[CountedQty],T_StockCount[Part Name],$A41,T_StockCount[WeekIndex],99),IF((('T_SelfStock'!CV45&lt;&gt;""))*(('T_TTAFStock'!CV45&lt;&gt;""))&gt;0,'T_SelfStock'!CV45+'T_TTAFStock'!CV45,CU41+'Grid_Incoming'!CV41-'Grid_Requirement'!CV41))</f>
        <v/>
      </c>
      <c r="CW41">
        <f>IF(COUNTIFS(T_StockCount[Part Name],$A41,T_StockCount[WeekIndex],100)&gt;0,SUMIFS(T_StockCount[CountedQty],T_StockCount[Part Name],$A41,T_StockCount[WeekIndex],100),IF((('T_SelfStock'!CW45&lt;&gt;""))*(('T_TTAFStock'!CW45&lt;&gt;""))&gt;0,'T_SelfStock'!CW45+'T_TTAFStock'!CW45,CV41+'Grid_Incoming'!CW41-'Grid_Requirement'!CW41))</f>
        <v/>
      </c>
      <c r="CX41">
        <f>IF(COUNTIFS(T_StockCount[Part Name],$A41,T_StockCount[WeekIndex],101)&gt;0,SUMIFS(T_StockCount[CountedQty],T_StockCount[Part Name],$A41,T_StockCount[WeekIndex],101),IF((('T_SelfStock'!CX45&lt;&gt;""))*(('T_TTAFStock'!CX45&lt;&gt;""))&gt;0,'T_SelfStock'!CX45+'T_TTAFStock'!CX45,CW41+'Grid_Incoming'!CX41-'Grid_Requirement'!CX41))</f>
        <v/>
      </c>
      <c r="CY41">
        <f>IF(COUNTIFS(T_StockCount[Part Name],$A41,T_StockCount[WeekIndex],102)&gt;0,SUMIFS(T_StockCount[CountedQty],T_StockCount[Part Name],$A41,T_StockCount[WeekIndex],102),IF((('T_SelfStock'!CY45&lt;&gt;""))*(('T_TTAFStock'!CY45&lt;&gt;""))&gt;0,'T_SelfStock'!CY45+'T_TTAFStock'!CY45,CX41+'Grid_Incoming'!CY41-'Grid_Requirement'!CY41))</f>
        <v/>
      </c>
      <c r="CZ41">
        <f>IF(COUNTIFS(T_StockCount[Part Name],$A41,T_StockCount[WeekIndex],103)&gt;0,SUMIFS(T_StockCount[CountedQty],T_StockCount[Part Name],$A41,T_StockCount[WeekIndex],103),IF((('T_SelfStock'!CZ45&lt;&gt;""))*(('T_TTAFStock'!CZ45&lt;&gt;""))&gt;0,'T_SelfStock'!CZ45+'T_TTAFStock'!CZ45,CY41+'Grid_Incoming'!CZ41-'Grid_Requirement'!CZ41))</f>
        <v/>
      </c>
      <c r="DA41">
        <f>IF(COUNTIFS(T_StockCount[Part Name],$A41,T_StockCount[WeekIndex],104)&gt;0,SUMIFS(T_StockCount[CountedQty],T_StockCount[Part Name],$A41,T_StockCount[WeekIndex],104),IF((('T_SelfStock'!DA45&lt;&gt;""))*(('T_TTAFStock'!DA45&lt;&gt;""))&gt;0,'T_SelfStock'!DA45+'T_TTAFStock'!DA45,CZ41+'Grid_Incoming'!DA41-'Grid_Requirement'!DA41))</f>
        <v/>
      </c>
    </row>
    <row r="42">
      <c r="A42" t="inlineStr">
        <is>
          <t>V03</t>
        </is>
      </c>
      <c r="B42">
        <f>IF(COUNTIFS(T_StockCount[Part Name],$A42,T_StockCount[WeekIndex],1)&gt;0,SUMIFS(T_StockCount[CountedQty],T_StockCount[Part Name],$A42,T_StockCount[WeekIndex],1),IF((('T_SelfStock'!B46&lt;&gt;""))*(('T_TTAFStock'!B46&lt;&gt;""))&gt;0,'T_SelfStock'!B46+'T_TTAFStock'!B46,IFERROR(INDEX(T_OpeningStock[Opening_Qty],MATCH($A42,T_OpeningStock[Part Name],0)),0)+'Grid_Incoming'!B42-'Grid_Requirement'!B42))</f>
        <v/>
      </c>
      <c r="C42">
        <f>IF(COUNTIFS(T_StockCount[Part Name],$A42,T_StockCount[WeekIndex],2)&gt;0,SUMIFS(T_StockCount[CountedQty],T_StockCount[Part Name],$A42,T_StockCount[WeekIndex],2),IF((('T_SelfStock'!C46&lt;&gt;""))*(('T_TTAFStock'!C46&lt;&gt;""))&gt;0,'T_SelfStock'!C46+'T_TTAFStock'!C46,B42+'Grid_Incoming'!C42-'Grid_Requirement'!C42))</f>
        <v/>
      </c>
      <c r="D42">
        <f>IF(COUNTIFS(T_StockCount[Part Name],$A42,T_StockCount[WeekIndex],3)&gt;0,SUMIFS(T_StockCount[CountedQty],T_StockCount[Part Name],$A42,T_StockCount[WeekIndex],3),IF((('T_SelfStock'!D46&lt;&gt;""))*(('T_TTAFStock'!D46&lt;&gt;""))&gt;0,'T_SelfStock'!D46+'T_TTAFStock'!D46,C42+'Grid_Incoming'!D42-'Grid_Requirement'!D42))</f>
        <v/>
      </c>
      <c r="E42">
        <f>IF(COUNTIFS(T_StockCount[Part Name],$A42,T_StockCount[WeekIndex],4)&gt;0,SUMIFS(T_StockCount[CountedQty],T_StockCount[Part Name],$A42,T_StockCount[WeekIndex],4),IF((('T_SelfStock'!E46&lt;&gt;""))*(('T_TTAFStock'!E46&lt;&gt;""))&gt;0,'T_SelfStock'!E46+'T_TTAFStock'!E46,D42+'Grid_Incoming'!E42-'Grid_Requirement'!E42))</f>
        <v/>
      </c>
      <c r="F42">
        <f>IF(COUNTIFS(T_StockCount[Part Name],$A42,T_StockCount[WeekIndex],5)&gt;0,SUMIFS(T_StockCount[CountedQty],T_StockCount[Part Name],$A42,T_StockCount[WeekIndex],5),IF((('T_SelfStock'!F46&lt;&gt;""))*(('T_TTAFStock'!F46&lt;&gt;""))&gt;0,'T_SelfStock'!F46+'T_TTAFStock'!F46,E42+'Grid_Incoming'!F42-'Grid_Requirement'!F42))</f>
        <v/>
      </c>
      <c r="G42">
        <f>IF(COUNTIFS(T_StockCount[Part Name],$A42,T_StockCount[WeekIndex],6)&gt;0,SUMIFS(T_StockCount[CountedQty],T_StockCount[Part Name],$A42,T_StockCount[WeekIndex],6),IF((('T_SelfStock'!G46&lt;&gt;""))*(('T_TTAFStock'!G46&lt;&gt;""))&gt;0,'T_SelfStock'!G46+'T_TTAFStock'!G46,F42+'Grid_Incoming'!G42-'Grid_Requirement'!G42))</f>
        <v/>
      </c>
      <c r="H42">
        <f>IF(COUNTIFS(T_StockCount[Part Name],$A42,T_StockCount[WeekIndex],7)&gt;0,SUMIFS(T_StockCount[CountedQty],T_StockCount[Part Name],$A42,T_StockCount[WeekIndex],7),IF((('T_SelfStock'!H46&lt;&gt;""))*(('T_TTAFStock'!H46&lt;&gt;""))&gt;0,'T_SelfStock'!H46+'T_TTAFStock'!H46,G42+'Grid_Incoming'!H42-'Grid_Requirement'!H42))</f>
        <v/>
      </c>
      <c r="I42">
        <f>IF(COUNTIFS(T_StockCount[Part Name],$A42,T_StockCount[WeekIndex],8)&gt;0,SUMIFS(T_StockCount[CountedQty],T_StockCount[Part Name],$A42,T_StockCount[WeekIndex],8),IF((('T_SelfStock'!I46&lt;&gt;""))*(('T_TTAFStock'!I46&lt;&gt;""))&gt;0,'T_SelfStock'!I46+'T_TTAFStock'!I46,H42+'Grid_Incoming'!I42-'Grid_Requirement'!I42))</f>
        <v/>
      </c>
      <c r="J42">
        <f>IF(COUNTIFS(T_StockCount[Part Name],$A42,T_StockCount[WeekIndex],9)&gt;0,SUMIFS(T_StockCount[CountedQty],T_StockCount[Part Name],$A42,T_StockCount[WeekIndex],9),IF((('T_SelfStock'!J46&lt;&gt;""))*(('T_TTAFStock'!J46&lt;&gt;""))&gt;0,'T_SelfStock'!J46+'T_TTAFStock'!J46,I42+'Grid_Incoming'!J42-'Grid_Requirement'!J42))</f>
        <v/>
      </c>
      <c r="K42">
        <f>IF(COUNTIFS(T_StockCount[Part Name],$A42,T_StockCount[WeekIndex],10)&gt;0,SUMIFS(T_StockCount[CountedQty],T_StockCount[Part Name],$A42,T_StockCount[WeekIndex],10),IF((('T_SelfStock'!K46&lt;&gt;""))*(('T_TTAFStock'!K46&lt;&gt;""))&gt;0,'T_SelfStock'!K46+'T_TTAFStock'!K46,J42+'Grid_Incoming'!K42-'Grid_Requirement'!K42))</f>
        <v/>
      </c>
      <c r="L42">
        <f>IF(COUNTIFS(T_StockCount[Part Name],$A42,T_StockCount[WeekIndex],11)&gt;0,SUMIFS(T_StockCount[CountedQty],T_StockCount[Part Name],$A42,T_StockCount[WeekIndex],11),IF((('T_SelfStock'!L46&lt;&gt;""))*(('T_TTAFStock'!L46&lt;&gt;""))&gt;0,'T_SelfStock'!L46+'T_TTAFStock'!L46,K42+'Grid_Incoming'!L42-'Grid_Requirement'!L42))</f>
        <v/>
      </c>
      <c r="M42">
        <f>IF(COUNTIFS(T_StockCount[Part Name],$A42,T_StockCount[WeekIndex],12)&gt;0,SUMIFS(T_StockCount[CountedQty],T_StockCount[Part Name],$A42,T_StockCount[WeekIndex],12),IF((('T_SelfStock'!M46&lt;&gt;""))*(('T_TTAFStock'!M46&lt;&gt;""))&gt;0,'T_SelfStock'!M46+'T_TTAFStock'!M46,L42+'Grid_Incoming'!M42-'Grid_Requirement'!M42))</f>
        <v/>
      </c>
      <c r="N42">
        <f>IF(COUNTIFS(T_StockCount[Part Name],$A42,T_StockCount[WeekIndex],13)&gt;0,SUMIFS(T_StockCount[CountedQty],T_StockCount[Part Name],$A42,T_StockCount[WeekIndex],13),IF((('T_SelfStock'!N46&lt;&gt;""))*(('T_TTAFStock'!N46&lt;&gt;""))&gt;0,'T_SelfStock'!N46+'T_TTAFStock'!N46,M42+'Grid_Incoming'!N42-'Grid_Requirement'!N42))</f>
        <v/>
      </c>
      <c r="O42">
        <f>IF(COUNTIFS(T_StockCount[Part Name],$A42,T_StockCount[WeekIndex],14)&gt;0,SUMIFS(T_StockCount[CountedQty],T_StockCount[Part Name],$A42,T_StockCount[WeekIndex],14),IF((('T_SelfStock'!O46&lt;&gt;""))*(('T_TTAFStock'!O46&lt;&gt;""))&gt;0,'T_SelfStock'!O46+'T_TTAFStock'!O46,N42+'Grid_Incoming'!O42-'Grid_Requirement'!O42))</f>
        <v/>
      </c>
      <c r="P42">
        <f>IF(COUNTIFS(T_StockCount[Part Name],$A42,T_StockCount[WeekIndex],15)&gt;0,SUMIFS(T_StockCount[CountedQty],T_StockCount[Part Name],$A42,T_StockCount[WeekIndex],15),IF((('T_SelfStock'!P46&lt;&gt;""))*(('T_TTAFStock'!P46&lt;&gt;""))&gt;0,'T_SelfStock'!P46+'T_TTAFStock'!P46,O42+'Grid_Incoming'!P42-'Grid_Requirement'!P42))</f>
        <v/>
      </c>
      <c r="Q42">
        <f>IF(COUNTIFS(T_StockCount[Part Name],$A42,T_StockCount[WeekIndex],16)&gt;0,SUMIFS(T_StockCount[CountedQty],T_StockCount[Part Name],$A42,T_StockCount[WeekIndex],16),IF((('T_SelfStock'!Q46&lt;&gt;""))*(('T_TTAFStock'!Q46&lt;&gt;""))&gt;0,'T_SelfStock'!Q46+'T_TTAFStock'!Q46,P42+'Grid_Incoming'!Q42-'Grid_Requirement'!Q42))</f>
        <v/>
      </c>
      <c r="R42">
        <f>IF(COUNTIFS(T_StockCount[Part Name],$A42,T_StockCount[WeekIndex],17)&gt;0,SUMIFS(T_StockCount[CountedQty],T_StockCount[Part Name],$A42,T_StockCount[WeekIndex],17),IF((('T_SelfStock'!R46&lt;&gt;""))*(('T_TTAFStock'!R46&lt;&gt;""))&gt;0,'T_SelfStock'!R46+'T_TTAFStock'!R46,Q42+'Grid_Incoming'!R42-'Grid_Requirement'!R42))</f>
        <v/>
      </c>
      <c r="S42">
        <f>IF(COUNTIFS(T_StockCount[Part Name],$A42,T_StockCount[WeekIndex],18)&gt;0,SUMIFS(T_StockCount[CountedQty],T_StockCount[Part Name],$A42,T_StockCount[WeekIndex],18),IF((('T_SelfStock'!S46&lt;&gt;""))*(('T_TTAFStock'!S46&lt;&gt;""))&gt;0,'T_SelfStock'!S46+'T_TTAFStock'!S46,R42+'Grid_Incoming'!S42-'Grid_Requirement'!S42))</f>
        <v/>
      </c>
      <c r="T42">
        <f>IF(COUNTIFS(T_StockCount[Part Name],$A42,T_StockCount[WeekIndex],19)&gt;0,SUMIFS(T_StockCount[CountedQty],T_StockCount[Part Name],$A42,T_StockCount[WeekIndex],19),IF((('T_SelfStock'!T46&lt;&gt;""))*(('T_TTAFStock'!T46&lt;&gt;""))&gt;0,'T_SelfStock'!T46+'T_TTAFStock'!T46,S42+'Grid_Incoming'!T42-'Grid_Requirement'!T42))</f>
        <v/>
      </c>
      <c r="U42">
        <f>IF(COUNTIFS(T_StockCount[Part Name],$A42,T_StockCount[WeekIndex],20)&gt;0,SUMIFS(T_StockCount[CountedQty],T_StockCount[Part Name],$A42,T_StockCount[WeekIndex],20),IF((('T_SelfStock'!U46&lt;&gt;""))*(('T_TTAFStock'!U46&lt;&gt;""))&gt;0,'T_SelfStock'!U46+'T_TTAFStock'!U46,T42+'Grid_Incoming'!U42-'Grid_Requirement'!U42))</f>
        <v/>
      </c>
      <c r="V42">
        <f>IF(COUNTIFS(T_StockCount[Part Name],$A42,T_StockCount[WeekIndex],21)&gt;0,SUMIFS(T_StockCount[CountedQty],T_StockCount[Part Name],$A42,T_StockCount[WeekIndex],21),IF((('T_SelfStock'!V46&lt;&gt;""))*(('T_TTAFStock'!V46&lt;&gt;""))&gt;0,'T_SelfStock'!V46+'T_TTAFStock'!V46,U42+'Grid_Incoming'!V42-'Grid_Requirement'!V42))</f>
        <v/>
      </c>
      <c r="W42">
        <f>IF(COUNTIFS(T_StockCount[Part Name],$A42,T_StockCount[WeekIndex],22)&gt;0,SUMIFS(T_StockCount[CountedQty],T_StockCount[Part Name],$A42,T_StockCount[WeekIndex],22),IF((('T_SelfStock'!W46&lt;&gt;""))*(('T_TTAFStock'!W46&lt;&gt;""))&gt;0,'T_SelfStock'!W46+'T_TTAFStock'!W46,V42+'Grid_Incoming'!W42-'Grid_Requirement'!W42))</f>
        <v/>
      </c>
      <c r="X42">
        <f>IF(COUNTIFS(T_StockCount[Part Name],$A42,T_StockCount[WeekIndex],23)&gt;0,SUMIFS(T_StockCount[CountedQty],T_StockCount[Part Name],$A42,T_StockCount[WeekIndex],23),IF((('T_SelfStock'!X46&lt;&gt;""))*(('T_TTAFStock'!X46&lt;&gt;""))&gt;0,'T_SelfStock'!X46+'T_TTAFStock'!X46,W42+'Grid_Incoming'!X42-'Grid_Requirement'!X42))</f>
        <v/>
      </c>
      <c r="Y42">
        <f>IF(COUNTIFS(T_StockCount[Part Name],$A42,T_StockCount[WeekIndex],24)&gt;0,SUMIFS(T_StockCount[CountedQty],T_StockCount[Part Name],$A42,T_StockCount[WeekIndex],24),IF((('T_SelfStock'!Y46&lt;&gt;""))*(('T_TTAFStock'!Y46&lt;&gt;""))&gt;0,'T_SelfStock'!Y46+'T_TTAFStock'!Y46,X42+'Grid_Incoming'!Y42-'Grid_Requirement'!Y42))</f>
        <v/>
      </c>
      <c r="Z42">
        <f>IF(COUNTIFS(T_StockCount[Part Name],$A42,T_StockCount[WeekIndex],25)&gt;0,SUMIFS(T_StockCount[CountedQty],T_StockCount[Part Name],$A42,T_StockCount[WeekIndex],25),IF((('T_SelfStock'!Z46&lt;&gt;""))*(('T_TTAFStock'!Z46&lt;&gt;""))&gt;0,'T_SelfStock'!Z46+'T_TTAFStock'!Z46,Y42+'Grid_Incoming'!Z42-'Grid_Requirement'!Z42))</f>
        <v/>
      </c>
      <c r="AA42">
        <f>IF(COUNTIFS(T_StockCount[Part Name],$A42,T_StockCount[WeekIndex],26)&gt;0,SUMIFS(T_StockCount[CountedQty],T_StockCount[Part Name],$A42,T_StockCount[WeekIndex],26),IF((('T_SelfStock'!AA46&lt;&gt;""))*(('T_TTAFStock'!AA46&lt;&gt;""))&gt;0,'T_SelfStock'!AA46+'T_TTAFStock'!AA46,Z42+'Grid_Incoming'!AA42-'Grid_Requirement'!AA42))</f>
        <v/>
      </c>
      <c r="AB42">
        <f>IF(COUNTIFS(T_StockCount[Part Name],$A42,T_StockCount[WeekIndex],27)&gt;0,SUMIFS(T_StockCount[CountedQty],T_StockCount[Part Name],$A42,T_StockCount[WeekIndex],27),IF((('T_SelfStock'!AB46&lt;&gt;""))*(('T_TTAFStock'!AB46&lt;&gt;""))&gt;0,'T_SelfStock'!AB46+'T_TTAFStock'!AB46,AA42+'Grid_Incoming'!AB42-'Grid_Requirement'!AB42))</f>
        <v/>
      </c>
      <c r="AC42">
        <f>IF(COUNTIFS(T_StockCount[Part Name],$A42,T_StockCount[WeekIndex],28)&gt;0,SUMIFS(T_StockCount[CountedQty],T_StockCount[Part Name],$A42,T_StockCount[WeekIndex],28),IF((('T_SelfStock'!AC46&lt;&gt;""))*(('T_TTAFStock'!AC46&lt;&gt;""))&gt;0,'T_SelfStock'!AC46+'T_TTAFStock'!AC46,AB42+'Grid_Incoming'!AC42-'Grid_Requirement'!AC42))</f>
        <v/>
      </c>
      <c r="AD42">
        <f>IF(COUNTIFS(T_StockCount[Part Name],$A42,T_StockCount[WeekIndex],29)&gt;0,SUMIFS(T_StockCount[CountedQty],T_StockCount[Part Name],$A42,T_StockCount[WeekIndex],29),IF((('T_SelfStock'!AD46&lt;&gt;""))*(('T_TTAFStock'!AD46&lt;&gt;""))&gt;0,'T_SelfStock'!AD46+'T_TTAFStock'!AD46,AC42+'Grid_Incoming'!AD42-'Grid_Requirement'!AD42))</f>
        <v/>
      </c>
      <c r="AE42">
        <f>IF(COUNTIFS(T_StockCount[Part Name],$A42,T_StockCount[WeekIndex],30)&gt;0,SUMIFS(T_StockCount[CountedQty],T_StockCount[Part Name],$A42,T_StockCount[WeekIndex],30),IF((('T_SelfStock'!AE46&lt;&gt;""))*(('T_TTAFStock'!AE46&lt;&gt;""))&gt;0,'T_SelfStock'!AE46+'T_TTAFStock'!AE46,AD42+'Grid_Incoming'!AE42-'Grid_Requirement'!AE42))</f>
        <v/>
      </c>
      <c r="AF42">
        <f>IF(COUNTIFS(T_StockCount[Part Name],$A42,T_StockCount[WeekIndex],31)&gt;0,SUMIFS(T_StockCount[CountedQty],T_StockCount[Part Name],$A42,T_StockCount[WeekIndex],31),IF((('T_SelfStock'!AF46&lt;&gt;""))*(('T_TTAFStock'!AF46&lt;&gt;""))&gt;0,'T_SelfStock'!AF46+'T_TTAFStock'!AF46,AE42+'Grid_Incoming'!AF42-'Grid_Requirement'!AF42))</f>
        <v/>
      </c>
      <c r="AG42">
        <f>IF(COUNTIFS(T_StockCount[Part Name],$A42,T_StockCount[WeekIndex],32)&gt;0,SUMIFS(T_StockCount[CountedQty],T_StockCount[Part Name],$A42,T_StockCount[WeekIndex],32),IF((('T_SelfStock'!AG46&lt;&gt;""))*(('T_TTAFStock'!AG46&lt;&gt;""))&gt;0,'T_SelfStock'!AG46+'T_TTAFStock'!AG46,AF42+'Grid_Incoming'!AG42-'Grid_Requirement'!AG42))</f>
        <v/>
      </c>
      <c r="AH42">
        <f>IF(COUNTIFS(T_StockCount[Part Name],$A42,T_StockCount[WeekIndex],33)&gt;0,SUMIFS(T_StockCount[CountedQty],T_StockCount[Part Name],$A42,T_StockCount[WeekIndex],33),IF((('T_SelfStock'!AH46&lt;&gt;""))*(('T_TTAFStock'!AH46&lt;&gt;""))&gt;0,'T_SelfStock'!AH46+'T_TTAFStock'!AH46,AG42+'Grid_Incoming'!AH42-'Grid_Requirement'!AH42))</f>
        <v/>
      </c>
      <c r="AI42">
        <f>IF(COUNTIFS(T_StockCount[Part Name],$A42,T_StockCount[WeekIndex],34)&gt;0,SUMIFS(T_StockCount[CountedQty],T_StockCount[Part Name],$A42,T_StockCount[WeekIndex],34),IF((('T_SelfStock'!AI46&lt;&gt;""))*(('T_TTAFStock'!AI46&lt;&gt;""))&gt;0,'T_SelfStock'!AI46+'T_TTAFStock'!AI46,AH42+'Grid_Incoming'!AI42-'Grid_Requirement'!AI42))</f>
        <v/>
      </c>
      <c r="AJ42">
        <f>IF(COUNTIFS(T_StockCount[Part Name],$A42,T_StockCount[WeekIndex],35)&gt;0,SUMIFS(T_StockCount[CountedQty],T_StockCount[Part Name],$A42,T_StockCount[WeekIndex],35),IF((('T_SelfStock'!AJ46&lt;&gt;""))*(('T_TTAFStock'!AJ46&lt;&gt;""))&gt;0,'T_SelfStock'!AJ46+'T_TTAFStock'!AJ46,AI42+'Grid_Incoming'!AJ42-'Grid_Requirement'!AJ42))</f>
        <v/>
      </c>
      <c r="AK42">
        <f>IF(COUNTIFS(T_StockCount[Part Name],$A42,T_StockCount[WeekIndex],36)&gt;0,SUMIFS(T_StockCount[CountedQty],T_StockCount[Part Name],$A42,T_StockCount[WeekIndex],36),IF((('T_SelfStock'!AK46&lt;&gt;""))*(('T_TTAFStock'!AK46&lt;&gt;""))&gt;0,'T_SelfStock'!AK46+'T_TTAFStock'!AK46,AJ42+'Grid_Incoming'!AK42-'Grid_Requirement'!AK42))</f>
        <v/>
      </c>
      <c r="AL42">
        <f>IF(COUNTIFS(T_StockCount[Part Name],$A42,T_StockCount[WeekIndex],37)&gt;0,SUMIFS(T_StockCount[CountedQty],T_StockCount[Part Name],$A42,T_StockCount[WeekIndex],37),IF((('T_SelfStock'!AL46&lt;&gt;""))*(('T_TTAFStock'!AL46&lt;&gt;""))&gt;0,'T_SelfStock'!AL46+'T_TTAFStock'!AL46,AK42+'Grid_Incoming'!AL42-'Grid_Requirement'!AL42))</f>
        <v/>
      </c>
      <c r="AM42">
        <f>IF(COUNTIFS(T_StockCount[Part Name],$A42,T_StockCount[WeekIndex],38)&gt;0,SUMIFS(T_StockCount[CountedQty],T_StockCount[Part Name],$A42,T_StockCount[WeekIndex],38),IF((('T_SelfStock'!AM46&lt;&gt;""))*(('T_TTAFStock'!AM46&lt;&gt;""))&gt;0,'T_SelfStock'!AM46+'T_TTAFStock'!AM46,AL42+'Grid_Incoming'!AM42-'Grid_Requirement'!AM42))</f>
        <v/>
      </c>
      <c r="AN42">
        <f>IF(COUNTIFS(T_StockCount[Part Name],$A42,T_StockCount[WeekIndex],39)&gt;0,SUMIFS(T_StockCount[CountedQty],T_StockCount[Part Name],$A42,T_StockCount[WeekIndex],39),IF((('T_SelfStock'!AN46&lt;&gt;""))*(('T_TTAFStock'!AN46&lt;&gt;""))&gt;0,'T_SelfStock'!AN46+'T_TTAFStock'!AN46,AM42+'Grid_Incoming'!AN42-'Grid_Requirement'!AN42))</f>
        <v/>
      </c>
      <c r="AO42">
        <f>IF(COUNTIFS(T_StockCount[Part Name],$A42,T_StockCount[WeekIndex],40)&gt;0,SUMIFS(T_StockCount[CountedQty],T_StockCount[Part Name],$A42,T_StockCount[WeekIndex],40),IF((('T_SelfStock'!AO46&lt;&gt;""))*(('T_TTAFStock'!AO46&lt;&gt;""))&gt;0,'T_SelfStock'!AO46+'T_TTAFStock'!AO46,AN42+'Grid_Incoming'!AO42-'Grid_Requirement'!AO42))</f>
        <v/>
      </c>
      <c r="AP42">
        <f>IF(COUNTIFS(T_StockCount[Part Name],$A42,T_StockCount[WeekIndex],41)&gt;0,SUMIFS(T_StockCount[CountedQty],T_StockCount[Part Name],$A42,T_StockCount[WeekIndex],41),IF((('T_SelfStock'!AP46&lt;&gt;""))*(('T_TTAFStock'!AP46&lt;&gt;""))&gt;0,'T_SelfStock'!AP46+'T_TTAFStock'!AP46,AO42+'Grid_Incoming'!AP42-'Grid_Requirement'!AP42))</f>
        <v/>
      </c>
      <c r="AQ42">
        <f>IF(COUNTIFS(T_StockCount[Part Name],$A42,T_StockCount[WeekIndex],42)&gt;0,SUMIFS(T_StockCount[CountedQty],T_StockCount[Part Name],$A42,T_StockCount[WeekIndex],42),IF((('T_SelfStock'!AQ46&lt;&gt;""))*(('T_TTAFStock'!AQ46&lt;&gt;""))&gt;0,'T_SelfStock'!AQ46+'T_TTAFStock'!AQ46,AP42+'Grid_Incoming'!AQ42-'Grid_Requirement'!AQ42))</f>
        <v/>
      </c>
      <c r="AR42">
        <f>IF(COUNTIFS(T_StockCount[Part Name],$A42,T_StockCount[WeekIndex],43)&gt;0,SUMIFS(T_StockCount[CountedQty],T_StockCount[Part Name],$A42,T_StockCount[WeekIndex],43),IF((('T_SelfStock'!AR46&lt;&gt;""))*(('T_TTAFStock'!AR46&lt;&gt;""))&gt;0,'T_SelfStock'!AR46+'T_TTAFStock'!AR46,AQ42+'Grid_Incoming'!AR42-'Grid_Requirement'!AR42))</f>
        <v/>
      </c>
      <c r="AS42">
        <f>IF(COUNTIFS(T_StockCount[Part Name],$A42,T_StockCount[WeekIndex],44)&gt;0,SUMIFS(T_StockCount[CountedQty],T_StockCount[Part Name],$A42,T_StockCount[WeekIndex],44),IF((('T_SelfStock'!AS46&lt;&gt;""))*(('T_TTAFStock'!AS46&lt;&gt;""))&gt;0,'T_SelfStock'!AS46+'T_TTAFStock'!AS46,AR42+'Grid_Incoming'!AS42-'Grid_Requirement'!AS42))</f>
        <v/>
      </c>
      <c r="AT42">
        <f>IF(COUNTIFS(T_StockCount[Part Name],$A42,T_StockCount[WeekIndex],45)&gt;0,SUMIFS(T_StockCount[CountedQty],T_StockCount[Part Name],$A42,T_StockCount[WeekIndex],45),IF((('T_SelfStock'!AT46&lt;&gt;""))*(('T_TTAFStock'!AT46&lt;&gt;""))&gt;0,'T_SelfStock'!AT46+'T_TTAFStock'!AT46,AS42+'Grid_Incoming'!AT42-'Grid_Requirement'!AT42))</f>
        <v/>
      </c>
      <c r="AU42">
        <f>IF(COUNTIFS(T_StockCount[Part Name],$A42,T_StockCount[WeekIndex],46)&gt;0,SUMIFS(T_StockCount[CountedQty],T_StockCount[Part Name],$A42,T_StockCount[WeekIndex],46),IF((('T_SelfStock'!AU46&lt;&gt;""))*(('T_TTAFStock'!AU46&lt;&gt;""))&gt;0,'T_SelfStock'!AU46+'T_TTAFStock'!AU46,AT42+'Grid_Incoming'!AU42-'Grid_Requirement'!AU42))</f>
        <v/>
      </c>
      <c r="AV42">
        <f>IF(COUNTIFS(T_StockCount[Part Name],$A42,T_StockCount[WeekIndex],47)&gt;0,SUMIFS(T_StockCount[CountedQty],T_StockCount[Part Name],$A42,T_StockCount[WeekIndex],47),IF((('T_SelfStock'!AV46&lt;&gt;""))*(('T_TTAFStock'!AV46&lt;&gt;""))&gt;0,'T_SelfStock'!AV46+'T_TTAFStock'!AV46,AU42+'Grid_Incoming'!AV42-'Grid_Requirement'!AV42))</f>
        <v/>
      </c>
      <c r="AW42">
        <f>IF(COUNTIFS(T_StockCount[Part Name],$A42,T_StockCount[WeekIndex],48)&gt;0,SUMIFS(T_StockCount[CountedQty],T_StockCount[Part Name],$A42,T_StockCount[WeekIndex],48),IF((('T_SelfStock'!AW46&lt;&gt;""))*(('T_TTAFStock'!AW46&lt;&gt;""))&gt;0,'T_SelfStock'!AW46+'T_TTAFStock'!AW46,AV42+'Grid_Incoming'!AW42-'Grid_Requirement'!AW42))</f>
        <v/>
      </c>
      <c r="AX42">
        <f>IF(COUNTIFS(T_StockCount[Part Name],$A42,T_StockCount[WeekIndex],49)&gt;0,SUMIFS(T_StockCount[CountedQty],T_StockCount[Part Name],$A42,T_StockCount[WeekIndex],49),IF((('T_SelfStock'!AX46&lt;&gt;""))*(('T_TTAFStock'!AX46&lt;&gt;""))&gt;0,'T_SelfStock'!AX46+'T_TTAFStock'!AX46,AW42+'Grid_Incoming'!AX42-'Grid_Requirement'!AX42))</f>
        <v/>
      </c>
      <c r="AY42">
        <f>IF(COUNTIFS(T_StockCount[Part Name],$A42,T_StockCount[WeekIndex],50)&gt;0,SUMIFS(T_StockCount[CountedQty],T_StockCount[Part Name],$A42,T_StockCount[WeekIndex],50),IF((('T_SelfStock'!AY46&lt;&gt;""))*(('T_TTAFStock'!AY46&lt;&gt;""))&gt;0,'T_SelfStock'!AY46+'T_TTAFStock'!AY46,AX42+'Grid_Incoming'!AY42-'Grid_Requirement'!AY42))</f>
        <v/>
      </c>
      <c r="AZ42">
        <f>IF(COUNTIFS(T_StockCount[Part Name],$A42,T_StockCount[WeekIndex],51)&gt;0,SUMIFS(T_StockCount[CountedQty],T_StockCount[Part Name],$A42,T_StockCount[WeekIndex],51),IF((('T_SelfStock'!AZ46&lt;&gt;""))*(('T_TTAFStock'!AZ46&lt;&gt;""))&gt;0,'T_SelfStock'!AZ46+'T_TTAFStock'!AZ46,AY42+'Grid_Incoming'!AZ42-'Grid_Requirement'!AZ42))</f>
        <v/>
      </c>
      <c r="BA42">
        <f>IF(COUNTIFS(T_StockCount[Part Name],$A42,T_StockCount[WeekIndex],52)&gt;0,SUMIFS(T_StockCount[CountedQty],T_StockCount[Part Name],$A42,T_StockCount[WeekIndex],52),IF((('T_SelfStock'!BA46&lt;&gt;""))*(('T_TTAFStock'!BA46&lt;&gt;""))&gt;0,'T_SelfStock'!BA46+'T_TTAFStock'!BA46,AZ42+'Grid_Incoming'!BA42-'Grid_Requirement'!BA42))</f>
        <v/>
      </c>
      <c r="BB42">
        <f>IF(COUNTIFS(T_StockCount[Part Name],$A42,T_StockCount[WeekIndex],53)&gt;0,SUMIFS(T_StockCount[CountedQty],T_StockCount[Part Name],$A42,T_StockCount[WeekIndex],53),IF((('T_SelfStock'!BB46&lt;&gt;""))*(('T_TTAFStock'!BB46&lt;&gt;""))&gt;0,'T_SelfStock'!BB46+'T_TTAFStock'!BB46,BA42+'Grid_Incoming'!BB42-'Grid_Requirement'!BB42))</f>
        <v/>
      </c>
      <c r="BC42">
        <f>IF(COUNTIFS(T_StockCount[Part Name],$A42,T_StockCount[WeekIndex],54)&gt;0,SUMIFS(T_StockCount[CountedQty],T_StockCount[Part Name],$A42,T_StockCount[WeekIndex],54),IF((('T_SelfStock'!BC46&lt;&gt;""))*(('T_TTAFStock'!BC46&lt;&gt;""))&gt;0,'T_SelfStock'!BC46+'T_TTAFStock'!BC46,BB42+'Grid_Incoming'!BC42-'Grid_Requirement'!BC42))</f>
        <v/>
      </c>
      <c r="BD42">
        <f>IF(COUNTIFS(T_StockCount[Part Name],$A42,T_StockCount[WeekIndex],55)&gt;0,SUMIFS(T_StockCount[CountedQty],T_StockCount[Part Name],$A42,T_StockCount[WeekIndex],55),IF((('T_SelfStock'!BD46&lt;&gt;""))*(('T_TTAFStock'!BD46&lt;&gt;""))&gt;0,'T_SelfStock'!BD46+'T_TTAFStock'!BD46,BC42+'Grid_Incoming'!BD42-'Grid_Requirement'!BD42))</f>
        <v/>
      </c>
      <c r="BE42">
        <f>IF(COUNTIFS(T_StockCount[Part Name],$A42,T_StockCount[WeekIndex],56)&gt;0,SUMIFS(T_StockCount[CountedQty],T_StockCount[Part Name],$A42,T_StockCount[WeekIndex],56),IF((('T_SelfStock'!BE46&lt;&gt;""))*(('T_TTAFStock'!BE46&lt;&gt;""))&gt;0,'T_SelfStock'!BE46+'T_TTAFStock'!BE46,BD42+'Grid_Incoming'!BE42-'Grid_Requirement'!BE42))</f>
        <v/>
      </c>
      <c r="BF42">
        <f>IF(COUNTIFS(T_StockCount[Part Name],$A42,T_StockCount[WeekIndex],57)&gt;0,SUMIFS(T_StockCount[CountedQty],T_StockCount[Part Name],$A42,T_StockCount[WeekIndex],57),IF((('T_SelfStock'!BF46&lt;&gt;""))*(('T_TTAFStock'!BF46&lt;&gt;""))&gt;0,'T_SelfStock'!BF46+'T_TTAFStock'!BF46,BE42+'Grid_Incoming'!BF42-'Grid_Requirement'!BF42))</f>
        <v/>
      </c>
      <c r="BG42">
        <f>IF(COUNTIFS(T_StockCount[Part Name],$A42,T_StockCount[WeekIndex],58)&gt;0,SUMIFS(T_StockCount[CountedQty],T_StockCount[Part Name],$A42,T_StockCount[WeekIndex],58),IF((('T_SelfStock'!BG46&lt;&gt;""))*(('T_TTAFStock'!BG46&lt;&gt;""))&gt;0,'T_SelfStock'!BG46+'T_TTAFStock'!BG46,BF42+'Grid_Incoming'!BG42-'Grid_Requirement'!BG42))</f>
        <v/>
      </c>
      <c r="BH42">
        <f>IF(COUNTIFS(T_StockCount[Part Name],$A42,T_StockCount[WeekIndex],59)&gt;0,SUMIFS(T_StockCount[CountedQty],T_StockCount[Part Name],$A42,T_StockCount[WeekIndex],59),IF((('T_SelfStock'!BH46&lt;&gt;""))*(('T_TTAFStock'!BH46&lt;&gt;""))&gt;0,'T_SelfStock'!BH46+'T_TTAFStock'!BH46,BG42+'Grid_Incoming'!BH42-'Grid_Requirement'!BH42))</f>
        <v/>
      </c>
      <c r="BI42">
        <f>IF(COUNTIFS(T_StockCount[Part Name],$A42,T_StockCount[WeekIndex],60)&gt;0,SUMIFS(T_StockCount[CountedQty],T_StockCount[Part Name],$A42,T_StockCount[WeekIndex],60),IF((('T_SelfStock'!BI46&lt;&gt;""))*(('T_TTAFStock'!BI46&lt;&gt;""))&gt;0,'T_SelfStock'!BI46+'T_TTAFStock'!BI46,BH42+'Grid_Incoming'!BI42-'Grid_Requirement'!BI42))</f>
        <v/>
      </c>
      <c r="BJ42">
        <f>IF(COUNTIFS(T_StockCount[Part Name],$A42,T_StockCount[WeekIndex],61)&gt;0,SUMIFS(T_StockCount[CountedQty],T_StockCount[Part Name],$A42,T_StockCount[WeekIndex],61),IF((('T_SelfStock'!BJ46&lt;&gt;""))*(('T_TTAFStock'!BJ46&lt;&gt;""))&gt;0,'T_SelfStock'!BJ46+'T_TTAFStock'!BJ46,BI42+'Grid_Incoming'!BJ42-'Grid_Requirement'!BJ42))</f>
        <v/>
      </c>
      <c r="BK42">
        <f>IF(COUNTIFS(T_StockCount[Part Name],$A42,T_StockCount[WeekIndex],62)&gt;0,SUMIFS(T_StockCount[CountedQty],T_StockCount[Part Name],$A42,T_StockCount[WeekIndex],62),IF((('T_SelfStock'!BK46&lt;&gt;""))*(('T_TTAFStock'!BK46&lt;&gt;""))&gt;0,'T_SelfStock'!BK46+'T_TTAFStock'!BK46,BJ42+'Grid_Incoming'!BK42-'Grid_Requirement'!BK42))</f>
        <v/>
      </c>
      <c r="BL42">
        <f>IF(COUNTIFS(T_StockCount[Part Name],$A42,T_StockCount[WeekIndex],63)&gt;0,SUMIFS(T_StockCount[CountedQty],T_StockCount[Part Name],$A42,T_StockCount[WeekIndex],63),IF((('T_SelfStock'!BL46&lt;&gt;""))*(('T_TTAFStock'!BL46&lt;&gt;""))&gt;0,'T_SelfStock'!BL46+'T_TTAFStock'!BL46,BK42+'Grid_Incoming'!BL42-'Grid_Requirement'!BL42))</f>
        <v/>
      </c>
      <c r="BM42">
        <f>IF(COUNTIFS(T_StockCount[Part Name],$A42,T_StockCount[WeekIndex],64)&gt;0,SUMIFS(T_StockCount[CountedQty],T_StockCount[Part Name],$A42,T_StockCount[WeekIndex],64),IF((('T_SelfStock'!BM46&lt;&gt;""))*(('T_TTAFStock'!BM46&lt;&gt;""))&gt;0,'T_SelfStock'!BM46+'T_TTAFStock'!BM46,BL42+'Grid_Incoming'!BM42-'Grid_Requirement'!BM42))</f>
        <v/>
      </c>
      <c r="BN42">
        <f>IF(COUNTIFS(T_StockCount[Part Name],$A42,T_StockCount[WeekIndex],65)&gt;0,SUMIFS(T_StockCount[CountedQty],T_StockCount[Part Name],$A42,T_StockCount[WeekIndex],65),IF((('T_SelfStock'!BN46&lt;&gt;""))*(('T_TTAFStock'!BN46&lt;&gt;""))&gt;0,'T_SelfStock'!BN46+'T_TTAFStock'!BN46,BM42+'Grid_Incoming'!BN42-'Grid_Requirement'!BN42))</f>
        <v/>
      </c>
      <c r="BO42">
        <f>IF(COUNTIFS(T_StockCount[Part Name],$A42,T_StockCount[WeekIndex],66)&gt;0,SUMIFS(T_StockCount[CountedQty],T_StockCount[Part Name],$A42,T_StockCount[WeekIndex],66),IF((('T_SelfStock'!BO46&lt;&gt;""))*(('T_TTAFStock'!BO46&lt;&gt;""))&gt;0,'T_SelfStock'!BO46+'T_TTAFStock'!BO46,BN42+'Grid_Incoming'!BO42-'Grid_Requirement'!BO42))</f>
        <v/>
      </c>
      <c r="BP42">
        <f>IF(COUNTIFS(T_StockCount[Part Name],$A42,T_StockCount[WeekIndex],67)&gt;0,SUMIFS(T_StockCount[CountedQty],T_StockCount[Part Name],$A42,T_StockCount[WeekIndex],67),IF((('T_SelfStock'!BP46&lt;&gt;""))*(('T_TTAFStock'!BP46&lt;&gt;""))&gt;0,'T_SelfStock'!BP46+'T_TTAFStock'!BP46,BO42+'Grid_Incoming'!BP42-'Grid_Requirement'!BP42))</f>
        <v/>
      </c>
      <c r="BQ42">
        <f>IF(COUNTIFS(T_StockCount[Part Name],$A42,T_StockCount[WeekIndex],68)&gt;0,SUMIFS(T_StockCount[CountedQty],T_StockCount[Part Name],$A42,T_StockCount[WeekIndex],68),IF((('T_SelfStock'!BQ46&lt;&gt;""))*(('T_TTAFStock'!BQ46&lt;&gt;""))&gt;0,'T_SelfStock'!BQ46+'T_TTAFStock'!BQ46,BP42+'Grid_Incoming'!BQ42-'Grid_Requirement'!BQ42))</f>
        <v/>
      </c>
      <c r="BR42">
        <f>IF(COUNTIFS(T_StockCount[Part Name],$A42,T_StockCount[WeekIndex],69)&gt;0,SUMIFS(T_StockCount[CountedQty],T_StockCount[Part Name],$A42,T_StockCount[WeekIndex],69),IF((('T_SelfStock'!BR46&lt;&gt;""))*(('T_TTAFStock'!BR46&lt;&gt;""))&gt;0,'T_SelfStock'!BR46+'T_TTAFStock'!BR46,BQ42+'Grid_Incoming'!BR42-'Grid_Requirement'!BR42))</f>
        <v/>
      </c>
      <c r="BS42">
        <f>IF(COUNTIFS(T_StockCount[Part Name],$A42,T_StockCount[WeekIndex],70)&gt;0,SUMIFS(T_StockCount[CountedQty],T_StockCount[Part Name],$A42,T_StockCount[WeekIndex],70),IF((('T_SelfStock'!BS46&lt;&gt;""))*(('T_TTAFStock'!BS46&lt;&gt;""))&gt;0,'T_SelfStock'!BS46+'T_TTAFStock'!BS46,BR42+'Grid_Incoming'!BS42-'Grid_Requirement'!BS42))</f>
        <v/>
      </c>
      <c r="BT42">
        <f>IF(COUNTIFS(T_StockCount[Part Name],$A42,T_StockCount[WeekIndex],71)&gt;0,SUMIFS(T_StockCount[CountedQty],T_StockCount[Part Name],$A42,T_StockCount[WeekIndex],71),IF((('T_SelfStock'!BT46&lt;&gt;""))*(('T_TTAFStock'!BT46&lt;&gt;""))&gt;0,'T_SelfStock'!BT46+'T_TTAFStock'!BT46,BS42+'Grid_Incoming'!BT42-'Grid_Requirement'!BT42))</f>
        <v/>
      </c>
      <c r="BU42">
        <f>IF(COUNTIFS(T_StockCount[Part Name],$A42,T_StockCount[WeekIndex],72)&gt;0,SUMIFS(T_StockCount[CountedQty],T_StockCount[Part Name],$A42,T_StockCount[WeekIndex],72),IF((('T_SelfStock'!BU46&lt;&gt;""))*(('T_TTAFStock'!BU46&lt;&gt;""))&gt;0,'T_SelfStock'!BU46+'T_TTAFStock'!BU46,BT42+'Grid_Incoming'!BU42-'Grid_Requirement'!BU42))</f>
        <v/>
      </c>
      <c r="BV42">
        <f>IF(COUNTIFS(T_StockCount[Part Name],$A42,T_StockCount[WeekIndex],73)&gt;0,SUMIFS(T_StockCount[CountedQty],T_StockCount[Part Name],$A42,T_StockCount[WeekIndex],73),IF((('T_SelfStock'!BV46&lt;&gt;""))*(('T_TTAFStock'!BV46&lt;&gt;""))&gt;0,'T_SelfStock'!BV46+'T_TTAFStock'!BV46,BU42+'Grid_Incoming'!BV42-'Grid_Requirement'!BV42))</f>
        <v/>
      </c>
      <c r="BW42">
        <f>IF(COUNTIFS(T_StockCount[Part Name],$A42,T_StockCount[WeekIndex],74)&gt;0,SUMIFS(T_StockCount[CountedQty],T_StockCount[Part Name],$A42,T_StockCount[WeekIndex],74),IF((('T_SelfStock'!BW46&lt;&gt;""))*(('T_TTAFStock'!BW46&lt;&gt;""))&gt;0,'T_SelfStock'!BW46+'T_TTAFStock'!BW46,BV42+'Grid_Incoming'!BW42-'Grid_Requirement'!BW42))</f>
        <v/>
      </c>
      <c r="BX42">
        <f>IF(COUNTIFS(T_StockCount[Part Name],$A42,T_StockCount[WeekIndex],75)&gt;0,SUMIFS(T_StockCount[CountedQty],T_StockCount[Part Name],$A42,T_StockCount[WeekIndex],75),IF((('T_SelfStock'!BX46&lt;&gt;""))*(('T_TTAFStock'!BX46&lt;&gt;""))&gt;0,'T_SelfStock'!BX46+'T_TTAFStock'!BX46,BW42+'Grid_Incoming'!BX42-'Grid_Requirement'!BX42))</f>
        <v/>
      </c>
      <c r="BY42">
        <f>IF(COUNTIFS(T_StockCount[Part Name],$A42,T_StockCount[WeekIndex],76)&gt;0,SUMIFS(T_StockCount[CountedQty],T_StockCount[Part Name],$A42,T_StockCount[WeekIndex],76),IF((('T_SelfStock'!BY46&lt;&gt;""))*(('T_TTAFStock'!BY46&lt;&gt;""))&gt;0,'T_SelfStock'!BY46+'T_TTAFStock'!BY46,BX42+'Grid_Incoming'!BY42-'Grid_Requirement'!BY42))</f>
        <v/>
      </c>
      <c r="BZ42">
        <f>IF(COUNTIFS(T_StockCount[Part Name],$A42,T_StockCount[WeekIndex],77)&gt;0,SUMIFS(T_StockCount[CountedQty],T_StockCount[Part Name],$A42,T_StockCount[WeekIndex],77),IF((('T_SelfStock'!BZ46&lt;&gt;""))*(('T_TTAFStock'!BZ46&lt;&gt;""))&gt;0,'T_SelfStock'!BZ46+'T_TTAFStock'!BZ46,BY42+'Grid_Incoming'!BZ42-'Grid_Requirement'!BZ42))</f>
        <v/>
      </c>
      <c r="CA42">
        <f>IF(COUNTIFS(T_StockCount[Part Name],$A42,T_StockCount[WeekIndex],78)&gt;0,SUMIFS(T_StockCount[CountedQty],T_StockCount[Part Name],$A42,T_StockCount[WeekIndex],78),IF((('T_SelfStock'!CA46&lt;&gt;""))*(('T_TTAFStock'!CA46&lt;&gt;""))&gt;0,'T_SelfStock'!CA46+'T_TTAFStock'!CA46,BZ42+'Grid_Incoming'!CA42-'Grid_Requirement'!CA42))</f>
        <v/>
      </c>
      <c r="CB42">
        <f>IF(COUNTIFS(T_StockCount[Part Name],$A42,T_StockCount[WeekIndex],79)&gt;0,SUMIFS(T_StockCount[CountedQty],T_StockCount[Part Name],$A42,T_StockCount[WeekIndex],79),IF((('T_SelfStock'!CB46&lt;&gt;""))*(('T_TTAFStock'!CB46&lt;&gt;""))&gt;0,'T_SelfStock'!CB46+'T_TTAFStock'!CB46,CA42+'Grid_Incoming'!CB42-'Grid_Requirement'!CB42))</f>
        <v/>
      </c>
      <c r="CC42">
        <f>IF(COUNTIFS(T_StockCount[Part Name],$A42,T_StockCount[WeekIndex],80)&gt;0,SUMIFS(T_StockCount[CountedQty],T_StockCount[Part Name],$A42,T_StockCount[WeekIndex],80),IF((('T_SelfStock'!CC46&lt;&gt;""))*(('T_TTAFStock'!CC46&lt;&gt;""))&gt;0,'T_SelfStock'!CC46+'T_TTAFStock'!CC46,CB42+'Grid_Incoming'!CC42-'Grid_Requirement'!CC42))</f>
        <v/>
      </c>
      <c r="CD42">
        <f>IF(COUNTIFS(T_StockCount[Part Name],$A42,T_StockCount[WeekIndex],81)&gt;0,SUMIFS(T_StockCount[CountedQty],T_StockCount[Part Name],$A42,T_StockCount[WeekIndex],81),IF((('T_SelfStock'!CD46&lt;&gt;""))*(('T_TTAFStock'!CD46&lt;&gt;""))&gt;0,'T_SelfStock'!CD46+'T_TTAFStock'!CD46,CC42+'Grid_Incoming'!CD42-'Grid_Requirement'!CD42))</f>
        <v/>
      </c>
      <c r="CE42">
        <f>IF(COUNTIFS(T_StockCount[Part Name],$A42,T_StockCount[WeekIndex],82)&gt;0,SUMIFS(T_StockCount[CountedQty],T_StockCount[Part Name],$A42,T_StockCount[WeekIndex],82),IF((('T_SelfStock'!CE46&lt;&gt;""))*(('T_TTAFStock'!CE46&lt;&gt;""))&gt;0,'T_SelfStock'!CE46+'T_TTAFStock'!CE46,CD42+'Grid_Incoming'!CE42-'Grid_Requirement'!CE42))</f>
        <v/>
      </c>
      <c r="CF42">
        <f>IF(COUNTIFS(T_StockCount[Part Name],$A42,T_StockCount[WeekIndex],83)&gt;0,SUMIFS(T_StockCount[CountedQty],T_StockCount[Part Name],$A42,T_StockCount[WeekIndex],83),IF((('T_SelfStock'!CF46&lt;&gt;""))*(('T_TTAFStock'!CF46&lt;&gt;""))&gt;0,'T_SelfStock'!CF46+'T_TTAFStock'!CF46,CE42+'Grid_Incoming'!CF42-'Grid_Requirement'!CF42))</f>
        <v/>
      </c>
      <c r="CG42">
        <f>IF(COUNTIFS(T_StockCount[Part Name],$A42,T_StockCount[WeekIndex],84)&gt;0,SUMIFS(T_StockCount[CountedQty],T_StockCount[Part Name],$A42,T_StockCount[WeekIndex],84),IF((('T_SelfStock'!CG46&lt;&gt;""))*(('T_TTAFStock'!CG46&lt;&gt;""))&gt;0,'T_SelfStock'!CG46+'T_TTAFStock'!CG46,CF42+'Grid_Incoming'!CG42-'Grid_Requirement'!CG42))</f>
        <v/>
      </c>
      <c r="CH42">
        <f>IF(COUNTIFS(T_StockCount[Part Name],$A42,T_StockCount[WeekIndex],85)&gt;0,SUMIFS(T_StockCount[CountedQty],T_StockCount[Part Name],$A42,T_StockCount[WeekIndex],85),IF((('T_SelfStock'!CH46&lt;&gt;""))*(('T_TTAFStock'!CH46&lt;&gt;""))&gt;0,'T_SelfStock'!CH46+'T_TTAFStock'!CH46,CG42+'Grid_Incoming'!CH42-'Grid_Requirement'!CH42))</f>
        <v/>
      </c>
      <c r="CI42">
        <f>IF(COUNTIFS(T_StockCount[Part Name],$A42,T_StockCount[WeekIndex],86)&gt;0,SUMIFS(T_StockCount[CountedQty],T_StockCount[Part Name],$A42,T_StockCount[WeekIndex],86),IF((('T_SelfStock'!CI46&lt;&gt;""))*(('T_TTAFStock'!CI46&lt;&gt;""))&gt;0,'T_SelfStock'!CI46+'T_TTAFStock'!CI46,CH42+'Grid_Incoming'!CI42-'Grid_Requirement'!CI42))</f>
        <v/>
      </c>
      <c r="CJ42">
        <f>IF(COUNTIFS(T_StockCount[Part Name],$A42,T_StockCount[WeekIndex],87)&gt;0,SUMIFS(T_StockCount[CountedQty],T_StockCount[Part Name],$A42,T_StockCount[WeekIndex],87),IF((('T_SelfStock'!CJ46&lt;&gt;""))*(('T_TTAFStock'!CJ46&lt;&gt;""))&gt;0,'T_SelfStock'!CJ46+'T_TTAFStock'!CJ46,CI42+'Grid_Incoming'!CJ42-'Grid_Requirement'!CJ42))</f>
        <v/>
      </c>
      <c r="CK42">
        <f>IF(COUNTIFS(T_StockCount[Part Name],$A42,T_StockCount[WeekIndex],88)&gt;0,SUMIFS(T_StockCount[CountedQty],T_StockCount[Part Name],$A42,T_StockCount[WeekIndex],88),IF((('T_SelfStock'!CK46&lt;&gt;""))*(('T_TTAFStock'!CK46&lt;&gt;""))&gt;0,'T_SelfStock'!CK46+'T_TTAFStock'!CK46,CJ42+'Grid_Incoming'!CK42-'Grid_Requirement'!CK42))</f>
        <v/>
      </c>
      <c r="CL42">
        <f>IF(COUNTIFS(T_StockCount[Part Name],$A42,T_StockCount[WeekIndex],89)&gt;0,SUMIFS(T_StockCount[CountedQty],T_StockCount[Part Name],$A42,T_StockCount[WeekIndex],89),IF((('T_SelfStock'!CL46&lt;&gt;""))*(('T_TTAFStock'!CL46&lt;&gt;""))&gt;0,'T_SelfStock'!CL46+'T_TTAFStock'!CL46,CK42+'Grid_Incoming'!CL42-'Grid_Requirement'!CL42))</f>
        <v/>
      </c>
      <c r="CM42">
        <f>IF(COUNTIFS(T_StockCount[Part Name],$A42,T_StockCount[WeekIndex],90)&gt;0,SUMIFS(T_StockCount[CountedQty],T_StockCount[Part Name],$A42,T_StockCount[WeekIndex],90),IF((('T_SelfStock'!CM46&lt;&gt;""))*(('T_TTAFStock'!CM46&lt;&gt;""))&gt;0,'T_SelfStock'!CM46+'T_TTAFStock'!CM46,CL42+'Grid_Incoming'!CM42-'Grid_Requirement'!CM42))</f>
        <v/>
      </c>
      <c r="CN42">
        <f>IF(COUNTIFS(T_StockCount[Part Name],$A42,T_StockCount[WeekIndex],91)&gt;0,SUMIFS(T_StockCount[CountedQty],T_StockCount[Part Name],$A42,T_StockCount[WeekIndex],91),IF((('T_SelfStock'!CN46&lt;&gt;""))*(('T_TTAFStock'!CN46&lt;&gt;""))&gt;0,'T_SelfStock'!CN46+'T_TTAFStock'!CN46,CM42+'Grid_Incoming'!CN42-'Grid_Requirement'!CN42))</f>
        <v/>
      </c>
      <c r="CO42">
        <f>IF(COUNTIFS(T_StockCount[Part Name],$A42,T_StockCount[WeekIndex],92)&gt;0,SUMIFS(T_StockCount[CountedQty],T_StockCount[Part Name],$A42,T_StockCount[WeekIndex],92),IF((('T_SelfStock'!CO46&lt;&gt;""))*(('T_TTAFStock'!CO46&lt;&gt;""))&gt;0,'T_SelfStock'!CO46+'T_TTAFStock'!CO46,CN42+'Grid_Incoming'!CO42-'Grid_Requirement'!CO42))</f>
        <v/>
      </c>
      <c r="CP42">
        <f>IF(COUNTIFS(T_StockCount[Part Name],$A42,T_StockCount[WeekIndex],93)&gt;0,SUMIFS(T_StockCount[CountedQty],T_StockCount[Part Name],$A42,T_StockCount[WeekIndex],93),IF((('T_SelfStock'!CP46&lt;&gt;""))*(('T_TTAFStock'!CP46&lt;&gt;""))&gt;0,'T_SelfStock'!CP46+'T_TTAFStock'!CP46,CO42+'Grid_Incoming'!CP42-'Grid_Requirement'!CP42))</f>
        <v/>
      </c>
      <c r="CQ42">
        <f>IF(COUNTIFS(T_StockCount[Part Name],$A42,T_StockCount[WeekIndex],94)&gt;0,SUMIFS(T_StockCount[CountedQty],T_StockCount[Part Name],$A42,T_StockCount[WeekIndex],94),IF((('T_SelfStock'!CQ46&lt;&gt;""))*(('T_TTAFStock'!CQ46&lt;&gt;""))&gt;0,'T_SelfStock'!CQ46+'T_TTAFStock'!CQ46,CP42+'Grid_Incoming'!CQ42-'Grid_Requirement'!CQ42))</f>
        <v/>
      </c>
      <c r="CR42">
        <f>IF(COUNTIFS(T_StockCount[Part Name],$A42,T_StockCount[WeekIndex],95)&gt;0,SUMIFS(T_StockCount[CountedQty],T_StockCount[Part Name],$A42,T_StockCount[WeekIndex],95),IF((('T_SelfStock'!CR46&lt;&gt;""))*(('T_TTAFStock'!CR46&lt;&gt;""))&gt;0,'T_SelfStock'!CR46+'T_TTAFStock'!CR46,CQ42+'Grid_Incoming'!CR42-'Grid_Requirement'!CR42))</f>
        <v/>
      </c>
      <c r="CS42">
        <f>IF(COUNTIFS(T_StockCount[Part Name],$A42,T_StockCount[WeekIndex],96)&gt;0,SUMIFS(T_StockCount[CountedQty],T_StockCount[Part Name],$A42,T_StockCount[WeekIndex],96),IF((('T_SelfStock'!CS46&lt;&gt;""))*(('T_TTAFStock'!CS46&lt;&gt;""))&gt;0,'T_SelfStock'!CS46+'T_TTAFStock'!CS46,CR42+'Grid_Incoming'!CS42-'Grid_Requirement'!CS42))</f>
        <v/>
      </c>
      <c r="CT42">
        <f>IF(COUNTIFS(T_StockCount[Part Name],$A42,T_StockCount[WeekIndex],97)&gt;0,SUMIFS(T_StockCount[CountedQty],T_StockCount[Part Name],$A42,T_StockCount[WeekIndex],97),IF((('T_SelfStock'!CT46&lt;&gt;""))*(('T_TTAFStock'!CT46&lt;&gt;""))&gt;0,'T_SelfStock'!CT46+'T_TTAFStock'!CT46,CS42+'Grid_Incoming'!CT42-'Grid_Requirement'!CT42))</f>
        <v/>
      </c>
      <c r="CU42">
        <f>IF(COUNTIFS(T_StockCount[Part Name],$A42,T_StockCount[WeekIndex],98)&gt;0,SUMIFS(T_StockCount[CountedQty],T_StockCount[Part Name],$A42,T_StockCount[WeekIndex],98),IF((('T_SelfStock'!CU46&lt;&gt;""))*(('T_TTAFStock'!CU46&lt;&gt;""))&gt;0,'T_SelfStock'!CU46+'T_TTAFStock'!CU46,CT42+'Grid_Incoming'!CU42-'Grid_Requirement'!CU42))</f>
        <v/>
      </c>
      <c r="CV42">
        <f>IF(COUNTIFS(T_StockCount[Part Name],$A42,T_StockCount[WeekIndex],99)&gt;0,SUMIFS(T_StockCount[CountedQty],T_StockCount[Part Name],$A42,T_StockCount[WeekIndex],99),IF((('T_SelfStock'!CV46&lt;&gt;""))*(('T_TTAFStock'!CV46&lt;&gt;""))&gt;0,'T_SelfStock'!CV46+'T_TTAFStock'!CV46,CU42+'Grid_Incoming'!CV42-'Grid_Requirement'!CV42))</f>
        <v/>
      </c>
      <c r="CW42">
        <f>IF(COUNTIFS(T_StockCount[Part Name],$A42,T_StockCount[WeekIndex],100)&gt;0,SUMIFS(T_StockCount[CountedQty],T_StockCount[Part Name],$A42,T_StockCount[WeekIndex],100),IF((('T_SelfStock'!CW46&lt;&gt;""))*(('T_TTAFStock'!CW46&lt;&gt;""))&gt;0,'T_SelfStock'!CW46+'T_TTAFStock'!CW46,CV42+'Grid_Incoming'!CW42-'Grid_Requirement'!CW42))</f>
        <v/>
      </c>
      <c r="CX42">
        <f>IF(COUNTIFS(T_StockCount[Part Name],$A42,T_StockCount[WeekIndex],101)&gt;0,SUMIFS(T_StockCount[CountedQty],T_StockCount[Part Name],$A42,T_StockCount[WeekIndex],101),IF((('T_SelfStock'!CX46&lt;&gt;""))*(('T_TTAFStock'!CX46&lt;&gt;""))&gt;0,'T_SelfStock'!CX46+'T_TTAFStock'!CX46,CW42+'Grid_Incoming'!CX42-'Grid_Requirement'!CX42))</f>
        <v/>
      </c>
      <c r="CY42">
        <f>IF(COUNTIFS(T_StockCount[Part Name],$A42,T_StockCount[WeekIndex],102)&gt;0,SUMIFS(T_StockCount[CountedQty],T_StockCount[Part Name],$A42,T_StockCount[WeekIndex],102),IF((('T_SelfStock'!CY46&lt;&gt;""))*(('T_TTAFStock'!CY46&lt;&gt;""))&gt;0,'T_SelfStock'!CY46+'T_TTAFStock'!CY46,CX42+'Grid_Incoming'!CY42-'Grid_Requirement'!CY42))</f>
        <v/>
      </c>
      <c r="CZ42">
        <f>IF(COUNTIFS(T_StockCount[Part Name],$A42,T_StockCount[WeekIndex],103)&gt;0,SUMIFS(T_StockCount[CountedQty],T_StockCount[Part Name],$A42,T_StockCount[WeekIndex],103),IF((('T_SelfStock'!CZ46&lt;&gt;""))*(('T_TTAFStock'!CZ46&lt;&gt;""))&gt;0,'T_SelfStock'!CZ46+'T_TTAFStock'!CZ46,CY42+'Grid_Incoming'!CZ42-'Grid_Requirement'!CZ42))</f>
        <v/>
      </c>
      <c r="DA42">
        <f>IF(COUNTIFS(T_StockCount[Part Name],$A42,T_StockCount[WeekIndex],104)&gt;0,SUMIFS(T_StockCount[CountedQty],T_StockCount[Part Name],$A42,T_StockCount[WeekIndex],104),IF((('T_SelfStock'!DA46&lt;&gt;""))*(('T_TTAFStock'!DA46&lt;&gt;""))&gt;0,'T_SelfStock'!DA46+'T_TTAFStock'!DA46,CZ42+'Grid_Incoming'!DA42-'Grid_Requirement'!DA42))</f>
        <v/>
      </c>
    </row>
    <row r="43">
      <c r="A43" t="inlineStr">
        <is>
          <t>V19</t>
        </is>
      </c>
      <c r="B43">
        <f>IF(COUNTIFS(T_StockCount[Part Name],$A43,T_StockCount[WeekIndex],1)&gt;0,SUMIFS(T_StockCount[CountedQty],T_StockCount[Part Name],$A43,T_StockCount[WeekIndex],1),IF((('T_SelfStock'!B47&lt;&gt;""))*(('T_TTAFStock'!B47&lt;&gt;""))&gt;0,'T_SelfStock'!B47+'T_TTAFStock'!B47,IFERROR(INDEX(T_OpeningStock[Opening_Qty],MATCH($A43,T_OpeningStock[Part Name],0)),0)+'Grid_Incoming'!B43-'Grid_Requirement'!B43))</f>
        <v/>
      </c>
      <c r="C43">
        <f>IF(COUNTIFS(T_StockCount[Part Name],$A43,T_StockCount[WeekIndex],2)&gt;0,SUMIFS(T_StockCount[CountedQty],T_StockCount[Part Name],$A43,T_StockCount[WeekIndex],2),IF((('T_SelfStock'!C47&lt;&gt;""))*(('T_TTAFStock'!C47&lt;&gt;""))&gt;0,'T_SelfStock'!C47+'T_TTAFStock'!C47,B43+'Grid_Incoming'!C43-'Grid_Requirement'!C43))</f>
        <v/>
      </c>
      <c r="D43">
        <f>IF(COUNTIFS(T_StockCount[Part Name],$A43,T_StockCount[WeekIndex],3)&gt;0,SUMIFS(T_StockCount[CountedQty],T_StockCount[Part Name],$A43,T_StockCount[WeekIndex],3),IF((('T_SelfStock'!D47&lt;&gt;""))*(('T_TTAFStock'!D47&lt;&gt;""))&gt;0,'T_SelfStock'!D47+'T_TTAFStock'!D47,C43+'Grid_Incoming'!D43-'Grid_Requirement'!D43))</f>
        <v/>
      </c>
      <c r="E43">
        <f>IF(COUNTIFS(T_StockCount[Part Name],$A43,T_StockCount[WeekIndex],4)&gt;0,SUMIFS(T_StockCount[CountedQty],T_StockCount[Part Name],$A43,T_StockCount[WeekIndex],4),IF((('T_SelfStock'!E47&lt;&gt;""))*(('T_TTAFStock'!E47&lt;&gt;""))&gt;0,'T_SelfStock'!E47+'T_TTAFStock'!E47,D43+'Grid_Incoming'!E43-'Grid_Requirement'!E43))</f>
        <v/>
      </c>
      <c r="F43">
        <f>IF(COUNTIFS(T_StockCount[Part Name],$A43,T_StockCount[WeekIndex],5)&gt;0,SUMIFS(T_StockCount[CountedQty],T_StockCount[Part Name],$A43,T_StockCount[WeekIndex],5),IF((('T_SelfStock'!F47&lt;&gt;""))*(('T_TTAFStock'!F47&lt;&gt;""))&gt;0,'T_SelfStock'!F47+'T_TTAFStock'!F47,E43+'Grid_Incoming'!F43-'Grid_Requirement'!F43))</f>
        <v/>
      </c>
      <c r="G43">
        <f>IF(COUNTIFS(T_StockCount[Part Name],$A43,T_StockCount[WeekIndex],6)&gt;0,SUMIFS(T_StockCount[CountedQty],T_StockCount[Part Name],$A43,T_StockCount[WeekIndex],6),IF((('T_SelfStock'!G47&lt;&gt;""))*(('T_TTAFStock'!G47&lt;&gt;""))&gt;0,'T_SelfStock'!G47+'T_TTAFStock'!G47,F43+'Grid_Incoming'!G43-'Grid_Requirement'!G43))</f>
        <v/>
      </c>
      <c r="H43">
        <f>IF(COUNTIFS(T_StockCount[Part Name],$A43,T_StockCount[WeekIndex],7)&gt;0,SUMIFS(T_StockCount[CountedQty],T_StockCount[Part Name],$A43,T_StockCount[WeekIndex],7),IF((('T_SelfStock'!H47&lt;&gt;""))*(('T_TTAFStock'!H47&lt;&gt;""))&gt;0,'T_SelfStock'!H47+'T_TTAFStock'!H47,G43+'Grid_Incoming'!H43-'Grid_Requirement'!H43))</f>
        <v/>
      </c>
      <c r="I43">
        <f>IF(COUNTIFS(T_StockCount[Part Name],$A43,T_StockCount[WeekIndex],8)&gt;0,SUMIFS(T_StockCount[CountedQty],T_StockCount[Part Name],$A43,T_StockCount[WeekIndex],8),IF((('T_SelfStock'!I47&lt;&gt;""))*(('T_TTAFStock'!I47&lt;&gt;""))&gt;0,'T_SelfStock'!I47+'T_TTAFStock'!I47,H43+'Grid_Incoming'!I43-'Grid_Requirement'!I43))</f>
        <v/>
      </c>
      <c r="J43">
        <f>IF(COUNTIFS(T_StockCount[Part Name],$A43,T_StockCount[WeekIndex],9)&gt;0,SUMIFS(T_StockCount[CountedQty],T_StockCount[Part Name],$A43,T_StockCount[WeekIndex],9),IF((('T_SelfStock'!J47&lt;&gt;""))*(('T_TTAFStock'!J47&lt;&gt;""))&gt;0,'T_SelfStock'!J47+'T_TTAFStock'!J47,I43+'Grid_Incoming'!J43-'Grid_Requirement'!J43))</f>
        <v/>
      </c>
      <c r="K43">
        <f>IF(COUNTIFS(T_StockCount[Part Name],$A43,T_StockCount[WeekIndex],10)&gt;0,SUMIFS(T_StockCount[CountedQty],T_StockCount[Part Name],$A43,T_StockCount[WeekIndex],10),IF((('T_SelfStock'!K47&lt;&gt;""))*(('T_TTAFStock'!K47&lt;&gt;""))&gt;0,'T_SelfStock'!K47+'T_TTAFStock'!K47,J43+'Grid_Incoming'!K43-'Grid_Requirement'!K43))</f>
        <v/>
      </c>
      <c r="L43">
        <f>IF(COUNTIFS(T_StockCount[Part Name],$A43,T_StockCount[WeekIndex],11)&gt;0,SUMIFS(T_StockCount[CountedQty],T_StockCount[Part Name],$A43,T_StockCount[WeekIndex],11),IF((('T_SelfStock'!L47&lt;&gt;""))*(('T_TTAFStock'!L47&lt;&gt;""))&gt;0,'T_SelfStock'!L47+'T_TTAFStock'!L47,K43+'Grid_Incoming'!L43-'Grid_Requirement'!L43))</f>
        <v/>
      </c>
      <c r="M43">
        <f>IF(COUNTIFS(T_StockCount[Part Name],$A43,T_StockCount[WeekIndex],12)&gt;0,SUMIFS(T_StockCount[CountedQty],T_StockCount[Part Name],$A43,T_StockCount[WeekIndex],12),IF((('T_SelfStock'!M47&lt;&gt;""))*(('T_TTAFStock'!M47&lt;&gt;""))&gt;0,'T_SelfStock'!M47+'T_TTAFStock'!M47,L43+'Grid_Incoming'!M43-'Grid_Requirement'!M43))</f>
        <v/>
      </c>
      <c r="N43">
        <f>IF(COUNTIFS(T_StockCount[Part Name],$A43,T_StockCount[WeekIndex],13)&gt;0,SUMIFS(T_StockCount[CountedQty],T_StockCount[Part Name],$A43,T_StockCount[WeekIndex],13),IF((('T_SelfStock'!N47&lt;&gt;""))*(('T_TTAFStock'!N47&lt;&gt;""))&gt;0,'T_SelfStock'!N47+'T_TTAFStock'!N47,M43+'Grid_Incoming'!N43-'Grid_Requirement'!N43))</f>
        <v/>
      </c>
      <c r="O43">
        <f>IF(COUNTIFS(T_StockCount[Part Name],$A43,T_StockCount[WeekIndex],14)&gt;0,SUMIFS(T_StockCount[CountedQty],T_StockCount[Part Name],$A43,T_StockCount[WeekIndex],14),IF((('T_SelfStock'!O47&lt;&gt;""))*(('T_TTAFStock'!O47&lt;&gt;""))&gt;0,'T_SelfStock'!O47+'T_TTAFStock'!O47,N43+'Grid_Incoming'!O43-'Grid_Requirement'!O43))</f>
        <v/>
      </c>
      <c r="P43">
        <f>IF(COUNTIFS(T_StockCount[Part Name],$A43,T_StockCount[WeekIndex],15)&gt;0,SUMIFS(T_StockCount[CountedQty],T_StockCount[Part Name],$A43,T_StockCount[WeekIndex],15),IF((('T_SelfStock'!P47&lt;&gt;""))*(('T_TTAFStock'!P47&lt;&gt;""))&gt;0,'T_SelfStock'!P47+'T_TTAFStock'!P47,O43+'Grid_Incoming'!P43-'Grid_Requirement'!P43))</f>
        <v/>
      </c>
      <c r="Q43">
        <f>IF(COUNTIFS(T_StockCount[Part Name],$A43,T_StockCount[WeekIndex],16)&gt;0,SUMIFS(T_StockCount[CountedQty],T_StockCount[Part Name],$A43,T_StockCount[WeekIndex],16),IF((('T_SelfStock'!Q47&lt;&gt;""))*(('T_TTAFStock'!Q47&lt;&gt;""))&gt;0,'T_SelfStock'!Q47+'T_TTAFStock'!Q47,P43+'Grid_Incoming'!Q43-'Grid_Requirement'!Q43))</f>
        <v/>
      </c>
      <c r="R43">
        <f>IF(COUNTIFS(T_StockCount[Part Name],$A43,T_StockCount[WeekIndex],17)&gt;0,SUMIFS(T_StockCount[CountedQty],T_StockCount[Part Name],$A43,T_StockCount[WeekIndex],17),IF((('T_SelfStock'!R47&lt;&gt;""))*(('T_TTAFStock'!R47&lt;&gt;""))&gt;0,'T_SelfStock'!R47+'T_TTAFStock'!R47,Q43+'Grid_Incoming'!R43-'Grid_Requirement'!R43))</f>
        <v/>
      </c>
      <c r="S43">
        <f>IF(COUNTIFS(T_StockCount[Part Name],$A43,T_StockCount[WeekIndex],18)&gt;0,SUMIFS(T_StockCount[CountedQty],T_StockCount[Part Name],$A43,T_StockCount[WeekIndex],18),IF((('T_SelfStock'!S47&lt;&gt;""))*(('T_TTAFStock'!S47&lt;&gt;""))&gt;0,'T_SelfStock'!S47+'T_TTAFStock'!S47,R43+'Grid_Incoming'!S43-'Grid_Requirement'!S43))</f>
        <v/>
      </c>
      <c r="T43">
        <f>IF(COUNTIFS(T_StockCount[Part Name],$A43,T_StockCount[WeekIndex],19)&gt;0,SUMIFS(T_StockCount[CountedQty],T_StockCount[Part Name],$A43,T_StockCount[WeekIndex],19),IF((('T_SelfStock'!T47&lt;&gt;""))*(('T_TTAFStock'!T47&lt;&gt;""))&gt;0,'T_SelfStock'!T47+'T_TTAFStock'!T47,S43+'Grid_Incoming'!T43-'Grid_Requirement'!T43))</f>
        <v/>
      </c>
      <c r="U43">
        <f>IF(COUNTIFS(T_StockCount[Part Name],$A43,T_StockCount[WeekIndex],20)&gt;0,SUMIFS(T_StockCount[CountedQty],T_StockCount[Part Name],$A43,T_StockCount[WeekIndex],20),IF((('T_SelfStock'!U47&lt;&gt;""))*(('T_TTAFStock'!U47&lt;&gt;""))&gt;0,'T_SelfStock'!U47+'T_TTAFStock'!U47,T43+'Grid_Incoming'!U43-'Grid_Requirement'!U43))</f>
        <v/>
      </c>
      <c r="V43">
        <f>IF(COUNTIFS(T_StockCount[Part Name],$A43,T_StockCount[WeekIndex],21)&gt;0,SUMIFS(T_StockCount[CountedQty],T_StockCount[Part Name],$A43,T_StockCount[WeekIndex],21),IF((('T_SelfStock'!V47&lt;&gt;""))*(('T_TTAFStock'!V47&lt;&gt;""))&gt;0,'T_SelfStock'!V47+'T_TTAFStock'!V47,U43+'Grid_Incoming'!V43-'Grid_Requirement'!V43))</f>
        <v/>
      </c>
      <c r="W43">
        <f>IF(COUNTIFS(T_StockCount[Part Name],$A43,T_StockCount[WeekIndex],22)&gt;0,SUMIFS(T_StockCount[CountedQty],T_StockCount[Part Name],$A43,T_StockCount[WeekIndex],22),IF((('T_SelfStock'!W47&lt;&gt;""))*(('T_TTAFStock'!W47&lt;&gt;""))&gt;0,'T_SelfStock'!W47+'T_TTAFStock'!W47,V43+'Grid_Incoming'!W43-'Grid_Requirement'!W43))</f>
        <v/>
      </c>
      <c r="X43">
        <f>IF(COUNTIFS(T_StockCount[Part Name],$A43,T_StockCount[WeekIndex],23)&gt;0,SUMIFS(T_StockCount[CountedQty],T_StockCount[Part Name],$A43,T_StockCount[WeekIndex],23),IF((('T_SelfStock'!X47&lt;&gt;""))*(('T_TTAFStock'!X47&lt;&gt;""))&gt;0,'T_SelfStock'!X47+'T_TTAFStock'!X47,W43+'Grid_Incoming'!X43-'Grid_Requirement'!X43))</f>
        <v/>
      </c>
      <c r="Y43">
        <f>IF(COUNTIFS(T_StockCount[Part Name],$A43,T_StockCount[WeekIndex],24)&gt;0,SUMIFS(T_StockCount[CountedQty],T_StockCount[Part Name],$A43,T_StockCount[WeekIndex],24),IF((('T_SelfStock'!Y47&lt;&gt;""))*(('T_TTAFStock'!Y47&lt;&gt;""))&gt;0,'T_SelfStock'!Y47+'T_TTAFStock'!Y47,X43+'Grid_Incoming'!Y43-'Grid_Requirement'!Y43))</f>
        <v/>
      </c>
      <c r="Z43">
        <f>IF(COUNTIFS(T_StockCount[Part Name],$A43,T_StockCount[WeekIndex],25)&gt;0,SUMIFS(T_StockCount[CountedQty],T_StockCount[Part Name],$A43,T_StockCount[WeekIndex],25),IF((('T_SelfStock'!Z47&lt;&gt;""))*(('T_TTAFStock'!Z47&lt;&gt;""))&gt;0,'T_SelfStock'!Z47+'T_TTAFStock'!Z47,Y43+'Grid_Incoming'!Z43-'Grid_Requirement'!Z43))</f>
        <v/>
      </c>
      <c r="AA43">
        <f>IF(COUNTIFS(T_StockCount[Part Name],$A43,T_StockCount[WeekIndex],26)&gt;0,SUMIFS(T_StockCount[CountedQty],T_StockCount[Part Name],$A43,T_StockCount[WeekIndex],26),IF((('T_SelfStock'!AA47&lt;&gt;""))*(('T_TTAFStock'!AA47&lt;&gt;""))&gt;0,'T_SelfStock'!AA47+'T_TTAFStock'!AA47,Z43+'Grid_Incoming'!AA43-'Grid_Requirement'!AA43))</f>
        <v/>
      </c>
      <c r="AB43">
        <f>IF(COUNTIFS(T_StockCount[Part Name],$A43,T_StockCount[WeekIndex],27)&gt;0,SUMIFS(T_StockCount[CountedQty],T_StockCount[Part Name],$A43,T_StockCount[WeekIndex],27),IF((('T_SelfStock'!AB47&lt;&gt;""))*(('T_TTAFStock'!AB47&lt;&gt;""))&gt;0,'T_SelfStock'!AB47+'T_TTAFStock'!AB47,AA43+'Grid_Incoming'!AB43-'Grid_Requirement'!AB43))</f>
        <v/>
      </c>
      <c r="AC43">
        <f>IF(COUNTIFS(T_StockCount[Part Name],$A43,T_StockCount[WeekIndex],28)&gt;0,SUMIFS(T_StockCount[CountedQty],T_StockCount[Part Name],$A43,T_StockCount[WeekIndex],28),IF((('T_SelfStock'!AC47&lt;&gt;""))*(('T_TTAFStock'!AC47&lt;&gt;""))&gt;0,'T_SelfStock'!AC47+'T_TTAFStock'!AC47,AB43+'Grid_Incoming'!AC43-'Grid_Requirement'!AC43))</f>
        <v/>
      </c>
      <c r="AD43">
        <f>IF(COUNTIFS(T_StockCount[Part Name],$A43,T_StockCount[WeekIndex],29)&gt;0,SUMIFS(T_StockCount[CountedQty],T_StockCount[Part Name],$A43,T_StockCount[WeekIndex],29),IF((('T_SelfStock'!AD47&lt;&gt;""))*(('T_TTAFStock'!AD47&lt;&gt;""))&gt;0,'T_SelfStock'!AD47+'T_TTAFStock'!AD47,AC43+'Grid_Incoming'!AD43-'Grid_Requirement'!AD43))</f>
        <v/>
      </c>
      <c r="AE43">
        <f>IF(COUNTIFS(T_StockCount[Part Name],$A43,T_StockCount[WeekIndex],30)&gt;0,SUMIFS(T_StockCount[CountedQty],T_StockCount[Part Name],$A43,T_StockCount[WeekIndex],30),IF((('T_SelfStock'!AE47&lt;&gt;""))*(('T_TTAFStock'!AE47&lt;&gt;""))&gt;0,'T_SelfStock'!AE47+'T_TTAFStock'!AE47,AD43+'Grid_Incoming'!AE43-'Grid_Requirement'!AE43))</f>
        <v/>
      </c>
      <c r="AF43">
        <f>IF(COUNTIFS(T_StockCount[Part Name],$A43,T_StockCount[WeekIndex],31)&gt;0,SUMIFS(T_StockCount[CountedQty],T_StockCount[Part Name],$A43,T_StockCount[WeekIndex],31),IF((('T_SelfStock'!AF47&lt;&gt;""))*(('T_TTAFStock'!AF47&lt;&gt;""))&gt;0,'T_SelfStock'!AF47+'T_TTAFStock'!AF47,AE43+'Grid_Incoming'!AF43-'Grid_Requirement'!AF43))</f>
        <v/>
      </c>
      <c r="AG43">
        <f>IF(COUNTIFS(T_StockCount[Part Name],$A43,T_StockCount[WeekIndex],32)&gt;0,SUMIFS(T_StockCount[CountedQty],T_StockCount[Part Name],$A43,T_StockCount[WeekIndex],32),IF((('T_SelfStock'!AG47&lt;&gt;""))*(('T_TTAFStock'!AG47&lt;&gt;""))&gt;0,'T_SelfStock'!AG47+'T_TTAFStock'!AG47,AF43+'Grid_Incoming'!AG43-'Grid_Requirement'!AG43))</f>
        <v/>
      </c>
      <c r="AH43">
        <f>IF(COUNTIFS(T_StockCount[Part Name],$A43,T_StockCount[WeekIndex],33)&gt;0,SUMIFS(T_StockCount[CountedQty],T_StockCount[Part Name],$A43,T_StockCount[WeekIndex],33),IF((('T_SelfStock'!AH47&lt;&gt;""))*(('T_TTAFStock'!AH47&lt;&gt;""))&gt;0,'T_SelfStock'!AH47+'T_TTAFStock'!AH47,AG43+'Grid_Incoming'!AH43-'Grid_Requirement'!AH43))</f>
        <v/>
      </c>
      <c r="AI43">
        <f>IF(COUNTIFS(T_StockCount[Part Name],$A43,T_StockCount[WeekIndex],34)&gt;0,SUMIFS(T_StockCount[CountedQty],T_StockCount[Part Name],$A43,T_StockCount[WeekIndex],34),IF((('T_SelfStock'!AI47&lt;&gt;""))*(('T_TTAFStock'!AI47&lt;&gt;""))&gt;0,'T_SelfStock'!AI47+'T_TTAFStock'!AI47,AH43+'Grid_Incoming'!AI43-'Grid_Requirement'!AI43))</f>
        <v/>
      </c>
      <c r="AJ43">
        <f>IF(COUNTIFS(T_StockCount[Part Name],$A43,T_StockCount[WeekIndex],35)&gt;0,SUMIFS(T_StockCount[CountedQty],T_StockCount[Part Name],$A43,T_StockCount[WeekIndex],35),IF((('T_SelfStock'!AJ47&lt;&gt;""))*(('T_TTAFStock'!AJ47&lt;&gt;""))&gt;0,'T_SelfStock'!AJ47+'T_TTAFStock'!AJ47,AI43+'Grid_Incoming'!AJ43-'Grid_Requirement'!AJ43))</f>
        <v/>
      </c>
      <c r="AK43">
        <f>IF(COUNTIFS(T_StockCount[Part Name],$A43,T_StockCount[WeekIndex],36)&gt;0,SUMIFS(T_StockCount[CountedQty],T_StockCount[Part Name],$A43,T_StockCount[WeekIndex],36),IF((('T_SelfStock'!AK47&lt;&gt;""))*(('T_TTAFStock'!AK47&lt;&gt;""))&gt;0,'T_SelfStock'!AK47+'T_TTAFStock'!AK47,AJ43+'Grid_Incoming'!AK43-'Grid_Requirement'!AK43))</f>
        <v/>
      </c>
      <c r="AL43">
        <f>IF(COUNTIFS(T_StockCount[Part Name],$A43,T_StockCount[WeekIndex],37)&gt;0,SUMIFS(T_StockCount[CountedQty],T_StockCount[Part Name],$A43,T_StockCount[WeekIndex],37),IF((('T_SelfStock'!AL47&lt;&gt;""))*(('T_TTAFStock'!AL47&lt;&gt;""))&gt;0,'T_SelfStock'!AL47+'T_TTAFStock'!AL47,AK43+'Grid_Incoming'!AL43-'Grid_Requirement'!AL43))</f>
        <v/>
      </c>
      <c r="AM43">
        <f>IF(COUNTIFS(T_StockCount[Part Name],$A43,T_StockCount[WeekIndex],38)&gt;0,SUMIFS(T_StockCount[CountedQty],T_StockCount[Part Name],$A43,T_StockCount[WeekIndex],38),IF((('T_SelfStock'!AM47&lt;&gt;""))*(('T_TTAFStock'!AM47&lt;&gt;""))&gt;0,'T_SelfStock'!AM47+'T_TTAFStock'!AM47,AL43+'Grid_Incoming'!AM43-'Grid_Requirement'!AM43))</f>
        <v/>
      </c>
      <c r="AN43">
        <f>IF(COUNTIFS(T_StockCount[Part Name],$A43,T_StockCount[WeekIndex],39)&gt;0,SUMIFS(T_StockCount[CountedQty],T_StockCount[Part Name],$A43,T_StockCount[WeekIndex],39),IF((('T_SelfStock'!AN47&lt;&gt;""))*(('T_TTAFStock'!AN47&lt;&gt;""))&gt;0,'T_SelfStock'!AN47+'T_TTAFStock'!AN47,AM43+'Grid_Incoming'!AN43-'Grid_Requirement'!AN43))</f>
        <v/>
      </c>
      <c r="AO43">
        <f>IF(COUNTIFS(T_StockCount[Part Name],$A43,T_StockCount[WeekIndex],40)&gt;0,SUMIFS(T_StockCount[CountedQty],T_StockCount[Part Name],$A43,T_StockCount[WeekIndex],40),IF((('T_SelfStock'!AO47&lt;&gt;""))*(('T_TTAFStock'!AO47&lt;&gt;""))&gt;0,'T_SelfStock'!AO47+'T_TTAFStock'!AO47,AN43+'Grid_Incoming'!AO43-'Grid_Requirement'!AO43))</f>
        <v/>
      </c>
      <c r="AP43">
        <f>IF(COUNTIFS(T_StockCount[Part Name],$A43,T_StockCount[WeekIndex],41)&gt;0,SUMIFS(T_StockCount[CountedQty],T_StockCount[Part Name],$A43,T_StockCount[WeekIndex],41),IF((('T_SelfStock'!AP47&lt;&gt;""))*(('T_TTAFStock'!AP47&lt;&gt;""))&gt;0,'T_SelfStock'!AP47+'T_TTAFStock'!AP47,AO43+'Grid_Incoming'!AP43-'Grid_Requirement'!AP43))</f>
        <v/>
      </c>
      <c r="AQ43">
        <f>IF(COUNTIFS(T_StockCount[Part Name],$A43,T_StockCount[WeekIndex],42)&gt;0,SUMIFS(T_StockCount[CountedQty],T_StockCount[Part Name],$A43,T_StockCount[WeekIndex],42),IF((('T_SelfStock'!AQ47&lt;&gt;""))*(('T_TTAFStock'!AQ47&lt;&gt;""))&gt;0,'T_SelfStock'!AQ47+'T_TTAFStock'!AQ47,AP43+'Grid_Incoming'!AQ43-'Grid_Requirement'!AQ43))</f>
        <v/>
      </c>
      <c r="AR43">
        <f>IF(COUNTIFS(T_StockCount[Part Name],$A43,T_StockCount[WeekIndex],43)&gt;0,SUMIFS(T_StockCount[CountedQty],T_StockCount[Part Name],$A43,T_StockCount[WeekIndex],43),IF((('T_SelfStock'!AR47&lt;&gt;""))*(('T_TTAFStock'!AR47&lt;&gt;""))&gt;0,'T_SelfStock'!AR47+'T_TTAFStock'!AR47,AQ43+'Grid_Incoming'!AR43-'Grid_Requirement'!AR43))</f>
        <v/>
      </c>
      <c r="AS43">
        <f>IF(COUNTIFS(T_StockCount[Part Name],$A43,T_StockCount[WeekIndex],44)&gt;0,SUMIFS(T_StockCount[CountedQty],T_StockCount[Part Name],$A43,T_StockCount[WeekIndex],44),IF((('T_SelfStock'!AS47&lt;&gt;""))*(('T_TTAFStock'!AS47&lt;&gt;""))&gt;0,'T_SelfStock'!AS47+'T_TTAFStock'!AS47,AR43+'Grid_Incoming'!AS43-'Grid_Requirement'!AS43))</f>
        <v/>
      </c>
      <c r="AT43">
        <f>IF(COUNTIFS(T_StockCount[Part Name],$A43,T_StockCount[WeekIndex],45)&gt;0,SUMIFS(T_StockCount[CountedQty],T_StockCount[Part Name],$A43,T_StockCount[WeekIndex],45),IF((('T_SelfStock'!AT47&lt;&gt;""))*(('T_TTAFStock'!AT47&lt;&gt;""))&gt;0,'T_SelfStock'!AT47+'T_TTAFStock'!AT47,AS43+'Grid_Incoming'!AT43-'Grid_Requirement'!AT43))</f>
        <v/>
      </c>
      <c r="AU43">
        <f>IF(COUNTIFS(T_StockCount[Part Name],$A43,T_StockCount[WeekIndex],46)&gt;0,SUMIFS(T_StockCount[CountedQty],T_StockCount[Part Name],$A43,T_StockCount[WeekIndex],46),IF((('T_SelfStock'!AU47&lt;&gt;""))*(('T_TTAFStock'!AU47&lt;&gt;""))&gt;0,'T_SelfStock'!AU47+'T_TTAFStock'!AU47,AT43+'Grid_Incoming'!AU43-'Grid_Requirement'!AU43))</f>
        <v/>
      </c>
      <c r="AV43">
        <f>IF(COUNTIFS(T_StockCount[Part Name],$A43,T_StockCount[WeekIndex],47)&gt;0,SUMIFS(T_StockCount[CountedQty],T_StockCount[Part Name],$A43,T_StockCount[WeekIndex],47),IF((('T_SelfStock'!AV47&lt;&gt;""))*(('T_TTAFStock'!AV47&lt;&gt;""))&gt;0,'T_SelfStock'!AV47+'T_TTAFStock'!AV47,AU43+'Grid_Incoming'!AV43-'Grid_Requirement'!AV43))</f>
        <v/>
      </c>
      <c r="AW43">
        <f>IF(COUNTIFS(T_StockCount[Part Name],$A43,T_StockCount[WeekIndex],48)&gt;0,SUMIFS(T_StockCount[CountedQty],T_StockCount[Part Name],$A43,T_StockCount[WeekIndex],48),IF((('T_SelfStock'!AW47&lt;&gt;""))*(('T_TTAFStock'!AW47&lt;&gt;""))&gt;0,'T_SelfStock'!AW47+'T_TTAFStock'!AW47,AV43+'Grid_Incoming'!AW43-'Grid_Requirement'!AW43))</f>
        <v/>
      </c>
      <c r="AX43">
        <f>IF(COUNTIFS(T_StockCount[Part Name],$A43,T_StockCount[WeekIndex],49)&gt;0,SUMIFS(T_StockCount[CountedQty],T_StockCount[Part Name],$A43,T_StockCount[WeekIndex],49),IF((('T_SelfStock'!AX47&lt;&gt;""))*(('T_TTAFStock'!AX47&lt;&gt;""))&gt;0,'T_SelfStock'!AX47+'T_TTAFStock'!AX47,AW43+'Grid_Incoming'!AX43-'Grid_Requirement'!AX43))</f>
        <v/>
      </c>
      <c r="AY43">
        <f>IF(COUNTIFS(T_StockCount[Part Name],$A43,T_StockCount[WeekIndex],50)&gt;0,SUMIFS(T_StockCount[CountedQty],T_StockCount[Part Name],$A43,T_StockCount[WeekIndex],50),IF((('T_SelfStock'!AY47&lt;&gt;""))*(('T_TTAFStock'!AY47&lt;&gt;""))&gt;0,'T_SelfStock'!AY47+'T_TTAFStock'!AY47,AX43+'Grid_Incoming'!AY43-'Grid_Requirement'!AY43))</f>
        <v/>
      </c>
      <c r="AZ43">
        <f>IF(COUNTIFS(T_StockCount[Part Name],$A43,T_StockCount[WeekIndex],51)&gt;0,SUMIFS(T_StockCount[CountedQty],T_StockCount[Part Name],$A43,T_StockCount[WeekIndex],51),IF((('T_SelfStock'!AZ47&lt;&gt;""))*(('T_TTAFStock'!AZ47&lt;&gt;""))&gt;0,'T_SelfStock'!AZ47+'T_TTAFStock'!AZ47,AY43+'Grid_Incoming'!AZ43-'Grid_Requirement'!AZ43))</f>
        <v/>
      </c>
      <c r="BA43">
        <f>IF(COUNTIFS(T_StockCount[Part Name],$A43,T_StockCount[WeekIndex],52)&gt;0,SUMIFS(T_StockCount[CountedQty],T_StockCount[Part Name],$A43,T_StockCount[WeekIndex],52),IF((('T_SelfStock'!BA47&lt;&gt;""))*(('T_TTAFStock'!BA47&lt;&gt;""))&gt;0,'T_SelfStock'!BA47+'T_TTAFStock'!BA47,AZ43+'Grid_Incoming'!BA43-'Grid_Requirement'!BA43))</f>
        <v/>
      </c>
      <c r="BB43">
        <f>IF(COUNTIFS(T_StockCount[Part Name],$A43,T_StockCount[WeekIndex],53)&gt;0,SUMIFS(T_StockCount[CountedQty],T_StockCount[Part Name],$A43,T_StockCount[WeekIndex],53),IF((('T_SelfStock'!BB47&lt;&gt;""))*(('T_TTAFStock'!BB47&lt;&gt;""))&gt;0,'T_SelfStock'!BB47+'T_TTAFStock'!BB47,BA43+'Grid_Incoming'!BB43-'Grid_Requirement'!BB43))</f>
        <v/>
      </c>
      <c r="BC43">
        <f>IF(COUNTIFS(T_StockCount[Part Name],$A43,T_StockCount[WeekIndex],54)&gt;0,SUMIFS(T_StockCount[CountedQty],T_StockCount[Part Name],$A43,T_StockCount[WeekIndex],54),IF((('T_SelfStock'!BC47&lt;&gt;""))*(('T_TTAFStock'!BC47&lt;&gt;""))&gt;0,'T_SelfStock'!BC47+'T_TTAFStock'!BC47,BB43+'Grid_Incoming'!BC43-'Grid_Requirement'!BC43))</f>
        <v/>
      </c>
      <c r="BD43">
        <f>IF(COUNTIFS(T_StockCount[Part Name],$A43,T_StockCount[WeekIndex],55)&gt;0,SUMIFS(T_StockCount[CountedQty],T_StockCount[Part Name],$A43,T_StockCount[WeekIndex],55),IF((('T_SelfStock'!BD47&lt;&gt;""))*(('T_TTAFStock'!BD47&lt;&gt;""))&gt;0,'T_SelfStock'!BD47+'T_TTAFStock'!BD47,BC43+'Grid_Incoming'!BD43-'Grid_Requirement'!BD43))</f>
        <v/>
      </c>
      <c r="BE43">
        <f>IF(COUNTIFS(T_StockCount[Part Name],$A43,T_StockCount[WeekIndex],56)&gt;0,SUMIFS(T_StockCount[CountedQty],T_StockCount[Part Name],$A43,T_StockCount[WeekIndex],56),IF((('T_SelfStock'!BE47&lt;&gt;""))*(('T_TTAFStock'!BE47&lt;&gt;""))&gt;0,'T_SelfStock'!BE47+'T_TTAFStock'!BE47,BD43+'Grid_Incoming'!BE43-'Grid_Requirement'!BE43))</f>
        <v/>
      </c>
      <c r="BF43">
        <f>IF(COUNTIFS(T_StockCount[Part Name],$A43,T_StockCount[WeekIndex],57)&gt;0,SUMIFS(T_StockCount[CountedQty],T_StockCount[Part Name],$A43,T_StockCount[WeekIndex],57),IF((('T_SelfStock'!BF47&lt;&gt;""))*(('T_TTAFStock'!BF47&lt;&gt;""))&gt;0,'T_SelfStock'!BF47+'T_TTAFStock'!BF47,BE43+'Grid_Incoming'!BF43-'Grid_Requirement'!BF43))</f>
        <v/>
      </c>
      <c r="BG43">
        <f>IF(COUNTIFS(T_StockCount[Part Name],$A43,T_StockCount[WeekIndex],58)&gt;0,SUMIFS(T_StockCount[CountedQty],T_StockCount[Part Name],$A43,T_StockCount[WeekIndex],58),IF((('T_SelfStock'!BG47&lt;&gt;""))*(('T_TTAFStock'!BG47&lt;&gt;""))&gt;0,'T_SelfStock'!BG47+'T_TTAFStock'!BG47,BF43+'Grid_Incoming'!BG43-'Grid_Requirement'!BG43))</f>
        <v/>
      </c>
      <c r="BH43">
        <f>IF(COUNTIFS(T_StockCount[Part Name],$A43,T_StockCount[WeekIndex],59)&gt;0,SUMIFS(T_StockCount[CountedQty],T_StockCount[Part Name],$A43,T_StockCount[WeekIndex],59),IF((('T_SelfStock'!BH47&lt;&gt;""))*(('T_TTAFStock'!BH47&lt;&gt;""))&gt;0,'T_SelfStock'!BH47+'T_TTAFStock'!BH47,BG43+'Grid_Incoming'!BH43-'Grid_Requirement'!BH43))</f>
        <v/>
      </c>
      <c r="BI43">
        <f>IF(COUNTIFS(T_StockCount[Part Name],$A43,T_StockCount[WeekIndex],60)&gt;0,SUMIFS(T_StockCount[CountedQty],T_StockCount[Part Name],$A43,T_StockCount[WeekIndex],60),IF((('T_SelfStock'!BI47&lt;&gt;""))*(('T_TTAFStock'!BI47&lt;&gt;""))&gt;0,'T_SelfStock'!BI47+'T_TTAFStock'!BI47,BH43+'Grid_Incoming'!BI43-'Grid_Requirement'!BI43))</f>
        <v/>
      </c>
      <c r="BJ43">
        <f>IF(COUNTIFS(T_StockCount[Part Name],$A43,T_StockCount[WeekIndex],61)&gt;0,SUMIFS(T_StockCount[CountedQty],T_StockCount[Part Name],$A43,T_StockCount[WeekIndex],61),IF((('T_SelfStock'!BJ47&lt;&gt;""))*(('T_TTAFStock'!BJ47&lt;&gt;""))&gt;0,'T_SelfStock'!BJ47+'T_TTAFStock'!BJ47,BI43+'Grid_Incoming'!BJ43-'Grid_Requirement'!BJ43))</f>
        <v/>
      </c>
      <c r="BK43">
        <f>IF(COUNTIFS(T_StockCount[Part Name],$A43,T_StockCount[WeekIndex],62)&gt;0,SUMIFS(T_StockCount[CountedQty],T_StockCount[Part Name],$A43,T_StockCount[WeekIndex],62),IF((('T_SelfStock'!BK47&lt;&gt;""))*(('T_TTAFStock'!BK47&lt;&gt;""))&gt;0,'T_SelfStock'!BK47+'T_TTAFStock'!BK47,BJ43+'Grid_Incoming'!BK43-'Grid_Requirement'!BK43))</f>
        <v/>
      </c>
      <c r="BL43">
        <f>IF(COUNTIFS(T_StockCount[Part Name],$A43,T_StockCount[WeekIndex],63)&gt;0,SUMIFS(T_StockCount[CountedQty],T_StockCount[Part Name],$A43,T_StockCount[WeekIndex],63),IF((('T_SelfStock'!BL47&lt;&gt;""))*(('T_TTAFStock'!BL47&lt;&gt;""))&gt;0,'T_SelfStock'!BL47+'T_TTAFStock'!BL47,BK43+'Grid_Incoming'!BL43-'Grid_Requirement'!BL43))</f>
        <v/>
      </c>
      <c r="BM43">
        <f>IF(COUNTIFS(T_StockCount[Part Name],$A43,T_StockCount[WeekIndex],64)&gt;0,SUMIFS(T_StockCount[CountedQty],T_StockCount[Part Name],$A43,T_StockCount[WeekIndex],64),IF((('T_SelfStock'!BM47&lt;&gt;""))*(('T_TTAFStock'!BM47&lt;&gt;""))&gt;0,'T_SelfStock'!BM47+'T_TTAFStock'!BM47,BL43+'Grid_Incoming'!BM43-'Grid_Requirement'!BM43))</f>
        <v/>
      </c>
      <c r="BN43">
        <f>IF(COUNTIFS(T_StockCount[Part Name],$A43,T_StockCount[WeekIndex],65)&gt;0,SUMIFS(T_StockCount[CountedQty],T_StockCount[Part Name],$A43,T_StockCount[WeekIndex],65),IF((('T_SelfStock'!BN47&lt;&gt;""))*(('T_TTAFStock'!BN47&lt;&gt;""))&gt;0,'T_SelfStock'!BN47+'T_TTAFStock'!BN47,BM43+'Grid_Incoming'!BN43-'Grid_Requirement'!BN43))</f>
        <v/>
      </c>
      <c r="BO43">
        <f>IF(COUNTIFS(T_StockCount[Part Name],$A43,T_StockCount[WeekIndex],66)&gt;0,SUMIFS(T_StockCount[CountedQty],T_StockCount[Part Name],$A43,T_StockCount[WeekIndex],66),IF((('T_SelfStock'!BO47&lt;&gt;""))*(('T_TTAFStock'!BO47&lt;&gt;""))&gt;0,'T_SelfStock'!BO47+'T_TTAFStock'!BO47,BN43+'Grid_Incoming'!BO43-'Grid_Requirement'!BO43))</f>
        <v/>
      </c>
      <c r="BP43">
        <f>IF(COUNTIFS(T_StockCount[Part Name],$A43,T_StockCount[WeekIndex],67)&gt;0,SUMIFS(T_StockCount[CountedQty],T_StockCount[Part Name],$A43,T_StockCount[WeekIndex],67),IF((('T_SelfStock'!BP47&lt;&gt;""))*(('T_TTAFStock'!BP47&lt;&gt;""))&gt;0,'T_SelfStock'!BP47+'T_TTAFStock'!BP47,BO43+'Grid_Incoming'!BP43-'Grid_Requirement'!BP43))</f>
        <v/>
      </c>
      <c r="BQ43">
        <f>IF(COUNTIFS(T_StockCount[Part Name],$A43,T_StockCount[WeekIndex],68)&gt;0,SUMIFS(T_StockCount[CountedQty],T_StockCount[Part Name],$A43,T_StockCount[WeekIndex],68),IF((('T_SelfStock'!BQ47&lt;&gt;""))*(('T_TTAFStock'!BQ47&lt;&gt;""))&gt;0,'T_SelfStock'!BQ47+'T_TTAFStock'!BQ47,BP43+'Grid_Incoming'!BQ43-'Grid_Requirement'!BQ43))</f>
        <v/>
      </c>
      <c r="BR43">
        <f>IF(COUNTIFS(T_StockCount[Part Name],$A43,T_StockCount[WeekIndex],69)&gt;0,SUMIFS(T_StockCount[CountedQty],T_StockCount[Part Name],$A43,T_StockCount[WeekIndex],69),IF((('T_SelfStock'!BR47&lt;&gt;""))*(('T_TTAFStock'!BR47&lt;&gt;""))&gt;0,'T_SelfStock'!BR47+'T_TTAFStock'!BR47,BQ43+'Grid_Incoming'!BR43-'Grid_Requirement'!BR43))</f>
        <v/>
      </c>
      <c r="BS43">
        <f>IF(COUNTIFS(T_StockCount[Part Name],$A43,T_StockCount[WeekIndex],70)&gt;0,SUMIFS(T_StockCount[CountedQty],T_StockCount[Part Name],$A43,T_StockCount[WeekIndex],70),IF((('T_SelfStock'!BS47&lt;&gt;""))*(('T_TTAFStock'!BS47&lt;&gt;""))&gt;0,'T_SelfStock'!BS47+'T_TTAFStock'!BS47,BR43+'Grid_Incoming'!BS43-'Grid_Requirement'!BS43))</f>
        <v/>
      </c>
      <c r="BT43">
        <f>IF(COUNTIFS(T_StockCount[Part Name],$A43,T_StockCount[WeekIndex],71)&gt;0,SUMIFS(T_StockCount[CountedQty],T_StockCount[Part Name],$A43,T_StockCount[WeekIndex],71),IF((('T_SelfStock'!BT47&lt;&gt;""))*(('T_TTAFStock'!BT47&lt;&gt;""))&gt;0,'T_SelfStock'!BT47+'T_TTAFStock'!BT47,BS43+'Grid_Incoming'!BT43-'Grid_Requirement'!BT43))</f>
        <v/>
      </c>
      <c r="BU43">
        <f>IF(COUNTIFS(T_StockCount[Part Name],$A43,T_StockCount[WeekIndex],72)&gt;0,SUMIFS(T_StockCount[CountedQty],T_StockCount[Part Name],$A43,T_StockCount[WeekIndex],72),IF((('T_SelfStock'!BU47&lt;&gt;""))*(('T_TTAFStock'!BU47&lt;&gt;""))&gt;0,'T_SelfStock'!BU47+'T_TTAFStock'!BU47,BT43+'Grid_Incoming'!BU43-'Grid_Requirement'!BU43))</f>
        <v/>
      </c>
      <c r="BV43">
        <f>IF(COUNTIFS(T_StockCount[Part Name],$A43,T_StockCount[WeekIndex],73)&gt;0,SUMIFS(T_StockCount[CountedQty],T_StockCount[Part Name],$A43,T_StockCount[WeekIndex],73),IF((('T_SelfStock'!BV47&lt;&gt;""))*(('T_TTAFStock'!BV47&lt;&gt;""))&gt;0,'T_SelfStock'!BV47+'T_TTAFStock'!BV47,BU43+'Grid_Incoming'!BV43-'Grid_Requirement'!BV43))</f>
        <v/>
      </c>
      <c r="BW43">
        <f>IF(COUNTIFS(T_StockCount[Part Name],$A43,T_StockCount[WeekIndex],74)&gt;0,SUMIFS(T_StockCount[CountedQty],T_StockCount[Part Name],$A43,T_StockCount[WeekIndex],74),IF((('T_SelfStock'!BW47&lt;&gt;""))*(('T_TTAFStock'!BW47&lt;&gt;""))&gt;0,'T_SelfStock'!BW47+'T_TTAFStock'!BW47,BV43+'Grid_Incoming'!BW43-'Grid_Requirement'!BW43))</f>
        <v/>
      </c>
      <c r="BX43">
        <f>IF(COUNTIFS(T_StockCount[Part Name],$A43,T_StockCount[WeekIndex],75)&gt;0,SUMIFS(T_StockCount[CountedQty],T_StockCount[Part Name],$A43,T_StockCount[WeekIndex],75),IF((('T_SelfStock'!BX47&lt;&gt;""))*(('T_TTAFStock'!BX47&lt;&gt;""))&gt;0,'T_SelfStock'!BX47+'T_TTAFStock'!BX47,BW43+'Grid_Incoming'!BX43-'Grid_Requirement'!BX43))</f>
        <v/>
      </c>
      <c r="BY43">
        <f>IF(COUNTIFS(T_StockCount[Part Name],$A43,T_StockCount[WeekIndex],76)&gt;0,SUMIFS(T_StockCount[CountedQty],T_StockCount[Part Name],$A43,T_StockCount[WeekIndex],76),IF((('T_SelfStock'!BY47&lt;&gt;""))*(('T_TTAFStock'!BY47&lt;&gt;""))&gt;0,'T_SelfStock'!BY47+'T_TTAFStock'!BY47,BX43+'Grid_Incoming'!BY43-'Grid_Requirement'!BY43))</f>
        <v/>
      </c>
      <c r="BZ43">
        <f>IF(COUNTIFS(T_StockCount[Part Name],$A43,T_StockCount[WeekIndex],77)&gt;0,SUMIFS(T_StockCount[CountedQty],T_StockCount[Part Name],$A43,T_StockCount[WeekIndex],77),IF((('T_SelfStock'!BZ47&lt;&gt;""))*(('T_TTAFStock'!BZ47&lt;&gt;""))&gt;0,'T_SelfStock'!BZ47+'T_TTAFStock'!BZ47,BY43+'Grid_Incoming'!BZ43-'Grid_Requirement'!BZ43))</f>
        <v/>
      </c>
      <c r="CA43">
        <f>IF(COUNTIFS(T_StockCount[Part Name],$A43,T_StockCount[WeekIndex],78)&gt;0,SUMIFS(T_StockCount[CountedQty],T_StockCount[Part Name],$A43,T_StockCount[WeekIndex],78),IF((('T_SelfStock'!CA47&lt;&gt;""))*(('T_TTAFStock'!CA47&lt;&gt;""))&gt;0,'T_SelfStock'!CA47+'T_TTAFStock'!CA47,BZ43+'Grid_Incoming'!CA43-'Grid_Requirement'!CA43))</f>
        <v/>
      </c>
      <c r="CB43">
        <f>IF(COUNTIFS(T_StockCount[Part Name],$A43,T_StockCount[WeekIndex],79)&gt;0,SUMIFS(T_StockCount[CountedQty],T_StockCount[Part Name],$A43,T_StockCount[WeekIndex],79),IF((('T_SelfStock'!CB47&lt;&gt;""))*(('T_TTAFStock'!CB47&lt;&gt;""))&gt;0,'T_SelfStock'!CB47+'T_TTAFStock'!CB47,CA43+'Grid_Incoming'!CB43-'Grid_Requirement'!CB43))</f>
        <v/>
      </c>
      <c r="CC43">
        <f>IF(COUNTIFS(T_StockCount[Part Name],$A43,T_StockCount[WeekIndex],80)&gt;0,SUMIFS(T_StockCount[CountedQty],T_StockCount[Part Name],$A43,T_StockCount[WeekIndex],80),IF((('T_SelfStock'!CC47&lt;&gt;""))*(('T_TTAFStock'!CC47&lt;&gt;""))&gt;0,'T_SelfStock'!CC47+'T_TTAFStock'!CC47,CB43+'Grid_Incoming'!CC43-'Grid_Requirement'!CC43))</f>
        <v/>
      </c>
      <c r="CD43">
        <f>IF(COUNTIFS(T_StockCount[Part Name],$A43,T_StockCount[WeekIndex],81)&gt;0,SUMIFS(T_StockCount[CountedQty],T_StockCount[Part Name],$A43,T_StockCount[WeekIndex],81),IF((('T_SelfStock'!CD47&lt;&gt;""))*(('T_TTAFStock'!CD47&lt;&gt;""))&gt;0,'T_SelfStock'!CD47+'T_TTAFStock'!CD47,CC43+'Grid_Incoming'!CD43-'Grid_Requirement'!CD43))</f>
        <v/>
      </c>
      <c r="CE43">
        <f>IF(COUNTIFS(T_StockCount[Part Name],$A43,T_StockCount[WeekIndex],82)&gt;0,SUMIFS(T_StockCount[CountedQty],T_StockCount[Part Name],$A43,T_StockCount[WeekIndex],82),IF((('T_SelfStock'!CE47&lt;&gt;""))*(('T_TTAFStock'!CE47&lt;&gt;""))&gt;0,'T_SelfStock'!CE47+'T_TTAFStock'!CE47,CD43+'Grid_Incoming'!CE43-'Grid_Requirement'!CE43))</f>
        <v/>
      </c>
      <c r="CF43">
        <f>IF(COUNTIFS(T_StockCount[Part Name],$A43,T_StockCount[WeekIndex],83)&gt;0,SUMIFS(T_StockCount[CountedQty],T_StockCount[Part Name],$A43,T_StockCount[WeekIndex],83),IF((('T_SelfStock'!CF47&lt;&gt;""))*(('T_TTAFStock'!CF47&lt;&gt;""))&gt;0,'T_SelfStock'!CF47+'T_TTAFStock'!CF47,CE43+'Grid_Incoming'!CF43-'Grid_Requirement'!CF43))</f>
        <v/>
      </c>
      <c r="CG43">
        <f>IF(COUNTIFS(T_StockCount[Part Name],$A43,T_StockCount[WeekIndex],84)&gt;0,SUMIFS(T_StockCount[CountedQty],T_StockCount[Part Name],$A43,T_StockCount[WeekIndex],84),IF((('T_SelfStock'!CG47&lt;&gt;""))*(('T_TTAFStock'!CG47&lt;&gt;""))&gt;0,'T_SelfStock'!CG47+'T_TTAFStock'!CG47,CF43+'Grid_Incoming'!CG43-'Grid_Requirement'!CG43))</f>
        <v/>
      </c>
      <c r="CH43">
        <f>IF(COUNTIFS(T_StockCount[Part Name],$A43,T_StockCount[WeekIndex],85)&gt;0,SUMIFS(T_StockCount[CountedQty],T_StockCount[Part Name],$A43,T_StockCount[WeekIndex],85),IF((('T_SelfStock'!CH47&lt;&gt;""))*(('T_TTAFStock'!CH47&lt;&gt;""))&gt;0,'T_SelfStock'!CH47+'T_TTAFStock'!CH47,CG43+'Grid_Incoming'!CH43-'Grid_Requirement'!CH43))</f>
        <v/>
      </c>
      <c r="CI43">
        <f>IF(COUNTIFS(T_StockCount[Part Name],$A43,T_StockCount[WeekIndex],86)&gt;0,SUMIFS(T_StockCount[CountedQty],T_StockCount[Part Name],$A43,T_StockCount[WeekIndex],86),IF((('T_SelfStock'!CI47&lt;&gt;""))*(('T_TTAFStock'!CI47&lt;&gt;""))&gt;0,'T_SelfStock'!CI47+'T_TTAFStock'!CI47,CH43+'Grid_Incoming'!CI43-'Grid_Requirement'!CI43))</f>
        <v/>
      </c>
      <c r="CJ43">
        <f>IF(COUNTIFS(T_StockCount[Part Name],$A43,T_StockCount[WeekIndex],87)&gt;0,SUMIFS(T_StockCount[CountedQty],T_StockCount[Part Name],$A43,T_StockCount[WeekIndex],87),IF((('T_SelfStock'!CJ47&lt;&gt;""))*(('T_TTAFStock'!CJ47&lt;&gt;""))&gt;0,'T_SelfStock'!CJ47+'T_TTAFStock'!CJ47,CI43+'Grid_Incoming'!CJ43-'Grid_Requirement'!CJ43))</f>
        <v/>
      </c>
      <c r="CK43">
        <f>IF(COUNTIFS(T_StockCount[Part Name],$A43,T_StockCount[WeekIndex],88)&gt;0,SUMIFS(T_StockCount[CountedQty],T_StockCount[Part Name],$A43,T_StockCount[WeekIndex],88),IF((('T_SelfStock'!CK47&lt;&gt;""))*(('T_TTAFStock'!CK47&lt;&gt;""))&gt;0,'T_SelfStock'!CK47+'T_TTAFStock'!CK47,CJ43+'Grid_Incoming'!CK43-'Grid_Requirement'!CK43))</f>
        <v/>
      </c>
      <c r="CL43">
        <f>IF(COUNTIFS(T_StockCount[Part Name],$A43,T_StockCount[WeekIndex],89)&gt;0,SUMIFS(T_StockCount[CountedQty],T_StockCount[Part Name],$A43,T_StockCount[WeekIndex],89),IF((('T_SelfStock'!CL47&lt;&gt;""))*(('T_TTAFStock'!CL47&lt;&gt;""))&gt;0,'T_SelfStock'!CL47+'T_TTAFStock'!CL47,CK43+'Grid_Incoming'!CL43-'Grid_Requirement'!CL43))</f>
        <v/>
      </c>
      <c r="CM43">
        <f>IF(COUNTIFS(T_StockCount[Part Name],$A43,T_StockCount[WeekIndex],90)&gt;0,SUMIFS(T_StockCount[CountedQty],T_StockCount[Part Name],$A43,T_StockCount[WeekIndex],90),IF((('T_SelfStock'!CM47&lt;&gt;""))*(('T_TTAFStock'!CM47&lt;&gt;""))&gt;0,'T_SelfStock'!CM47+'T_TTAFStock'!CM47,CL43+'Grid_Incoming'!CM43-'Grid_Requirement'!CM43))</f>
        <v/>
      </c>
      <c r="CN43">
        <f>IF(COUNTIFS(T_StockCount[Part Name],$A43,T_StockCount[WeekIndex],91)&gt;0,SUMIFS(T_StockCount[CountedQty],T_StockCount[Part Name],$A43,T_StockCount[WeekIndex],91),IF((('T_SelfStock'!CN47&lt;&gt;""))*(('T_TTAFStock'!CN47&lt;&gt;""))&gt;0,'T_SelfStock'!CN47+'T_TTAFStock'!CN47,CM43+'Grid_Incoming'!CN43-'Grid_Requirement'!CN43))</f>
        <v/>
      </c>
      <c r="CO43">
        <f>IF(COUNTIFS(T_StockCount[Part Name],$A43,T_StockCount[WeekIndex],92)&gt;0,SUMIFS(T_StockCount[CountedQty],T_StockCount[Part Name],$A43,T_StockCount[WeekIndex],92),IF((('T_SelfStock'!CO47&lt;&gt;""))*(('T_TTAFStock'!CO47&lt;&gt;""))&gt;0,'T_SelfStock'!CO47+'T_TTAFStock'!CO47,CN43+'Grid_Incoming'!CO43-'Grid_Requirement'!CO43))</f>
        <v/>
      </c>
      <c r="CP43">
        <f>IF(COUNTIFS(T_StockCount[Part Name],$A43,T_StockCount[WeekIndex],93)&gt;0,SUMIFS(T_StockCount[CountedQty],T_StockCount[Part Name],$A43,T_StockCount[WeekIndex],93),IF((('T_SelfStock'!CP47&lt;&gt;""))*(('T_TTAFStock'!CP47&lt;&gt;""))&gt;0,'T_SelfStock'!CP47+'T_TTAFStock'!CP47,CO43+'Grid_Incoming'!CP43-'Grid_Requirement'!CP43))</f>
        <v/>
      </c>
      <c r="CQ43">
        <f>IF(COUNTIFS(T_StockCount[Part Name],$A43,T_StockCount[WeekIndex],94)&gt;0,SUMIFS(T_StockCount[CountedQty],T_StockCount[Part Name],$A43,T_StockCount[WeekIndex],94),IF((('T_SelfStock'!CQ47&lt;&gt;""))*(('T_TTAFStock'!CQ47&lt;&gt;""))&gt;0,'T_SelfStock'!CQ47+'T_TTAFStock'!CQ47,CP43+'Grid_Incoming'!CQ43-'Grid_Requirement'!CQ43))</f>
        <v/>
      </c>
      <c r="CR43">
        <f>IF(COUNTIFS(T_StockCount[Part Name],$A43,T_StockCount[WeekIndex],95)&gt;0,SUMIFS(T_StockCount[CountedQty],T_StockCount[Part Name],$A43,T_StockCount[WeekIndex],95),IF((('T_SelfStock'!CR47&lt;&gt;""))*(('T_TTAFStock'!CR47&lt;&gt;""))&gt;0,'T_SelfStock'!CR47+'T_TTAFStock'!CR47,CQ43+'Grid_Incoming'!CR43-'Grid_Requirement'!CR43))</f>
        <v/>
      </c>
      <c r="CS43">
        <f>IF(COUNTIFS(T_StockCount[Part Name],$A43,T_StockCount[WeekIndex],96)&gt;0,SUMIFS(T_StockCount[CountedQty],T_StockCount[Part Name],$A43,T_StockCount[WeekIndex],96),IF((('T_SelfStock'!CS47&lt;&gt;""))*(('T_TTAFStock'!CS47&lt;&gt;""))&gt;0,'T_SelfStock'!CS47+'T_TTAFStock'!CS47,CR43+'Grid_Incoming'!CS43-'Grid_Requirement'!CS43))</f>
        <v/>
      </c>
      <c r="CT43">
        <f>IF(COUNTIFS(T_StockCount[Part Name],$A43,T_StockCount[WeekIndex],97)&gt;0,SUMIFS(T_StockCount[CountedQty],T_StockCount[Part Name],$A43,T_StockCount[WeekIndex],97),IF((('T_SelfStock'!CT47&lt;&gt;""))*(('T_TTAFStock'!CT47&lt;&gt;""))&gt;0,'T_SelfStock'!CT47+'T_TTAFStock'!CT47,CS43+'Grid_Incoming'!CT43-'Grid_Requirement'!CT43))</f>
        <v/>
      </c>
      <c r="CU43">
        <f>IF(COUNTIFS(T_StockCount[Part Name],$A43,T_StockCount[WeekIndex],98)&gt;0,SUMIFS(T_StockCount[CountedQty],T_StockCount[Part Name],$A43,T_StockCount[WeekIndex],98),IF((('T_SelfStock'!CU47&lt;&gt;""))*(('T_TTAFStock'!CU47&lt;&gt;""))&gt;0,'T_SelfStock'!CU47+'T_TTAFStock'!CU47,CT43+'Grid_Incoming'!CU43-'Grid_Requirement'!CU43))</f>
        <v/>
      </c>
      <c r="CV43">
        <f>IF(COUNTIFS(T_StockCount[Part Name],$A43,T_StockCount[WeekIndex],99)&gt;0,SUMIFS(T_StockCount[CountedQty],T_StockCount[Part Name],$A43,T_StockCount[WeekIndex],99),IF((('T_SelfStock'!CV47&lt;&gt;""))*(('T_TTAFStock'!CV47&lt;&gt;""))&gt;0,'T_SelfStock'!CV47+'T_TTAFStock'!CV47,CU43+'Grid_Incoming'!CV43-'Grid_Requirement'!CV43))</f>
        <v/>
      </c>
      <c r="CW43">
        <f>IF(COUNTIFS(T_StockCount[Part Name],$A43,T_StockCount[WeekIndex],100)&gt;0,SUMIFS(T_StockCount[CountedQty],T_StockCount[Part Name],$A43,T_StockCount[WeekIndex],100),IF((('T_SelfStock'!CW47&lt;&gt;""))*(('T_TTAFStock'!CW47&lt;&gt;""))&gt;0,'T_SelfStock'!CW47+'T_TTAFStock'!CW47,CV43+'Grid_Incoming'!CW43-'Grid_Requirement'!CW43))</f>
        <v/>
      </c>
      <c r="CX43">
        <f>IF(COUNTIFS(T_StockCount[Part Name],$A43,T_StockCount[WeekIndex],101)&gt;0,SUMIFS(T_StockCount[CountedQty],T_StockCount[Part Name],$A43,T_StockCount[WeekIndex],101),IF((('T_SelfStock'!CX47&lt;&gt;""))*(('T_TTAFStock'!CX47&lt;&gt;""))&gt;0,'T_SelfStock'!CX47+'T_TTAFStock'!CX47,CW43+'Grid_Incoming'!CX43-'Grid_Requirement'!CX43))</f>
        <v/>
      </c>
      <c r="CY43">
        <f>IF(COUNTIFS(T_StockCount[Part Name],$A43,T_StockCount[WeekIndex],102)&gt;0,SUMIFS(T_StockCount[CountedQty],T_StockCount[Part Name],$A43,T_StockCount[WeekIndex],102),IF((('T_SelfStock'!CY47&lt;&gt;""))*(('T_TTAFStock'!CY47&lt;&gt;""))&gt;0,'T_SelfStock'!CY47+'T_TTAFStock'!CY47,CX43+'Grid_Incoming'!CY43-'Grid_Requirement'!CY43))</f>
        <v/>
      </c>
      <c r="CZ43">
        <f>IF(COUNTIFS(T_StockCount[Part Name],$A43,T_StockCount[WeekIndex],103)&gt;0,SUMIFS(T_StockCount[CountedQty],T_StockCount[Part Name],$A43,T_StockCount[WeekIndex],103),IF((('T_SelfStock'!CZ47&lt;&gt;""))*(('T_TTAFStock'!CZ47&lt;&gt;""))&gt;0,'T_SelfStock'!CZ47+'T_TTAFStock'!CZ47,CY43+'Grid_Incoming'!CZ43-'Grid_Requirement'!CZ43))</f>
        <v/>
      </c>
      <c r="DA43">
        <f>IF(COUNTIFS(T_StockCount[Part Name],$A43,T_StockCount[WeekIndex],104)&gt;0,SUMIFS(T_StockCount[CountedQty],T_StockCount[Part Name],$A43,T_StockCount[WeekIndex],104),IF((('T_SelfStock'!DA47&lt;&gt;""))*(('T_TTAFStock'!DA47&lt;&gt;""))&gt;0,'T_SelfStock'!DA47+'T_TTAFStock'!DA47,CZ43+'Grid_Incoming'!DA43-'Grid_Requirement'!DA43))</f>
        <v/>
      </c>
    </row>
    <row r="44">
      <c r="A44" t="inlineStr">
        <is>
          <t>3TP</t>
        </is>
      </c>
      <c r="B44">
        <f>IF(COUNTIFS(T_StockCount[Part Name],$A44,T_StockCount[WeekIndex],1)&gt;0,SUMIFS(T_StockCount[CountedQty],T_StockCount[Part Name],$A44,T_StockCount[WeekIndex],1),IF((('T_SelfStock'!B48&lt;&gt;""))*(('T_TTAFStock'!B48&lt;&gt;""))&gt;0,'T_SelfStock'!B48+'T_TTAFStock'!B48,IFERROR(INDEX(T_OpeningStock[Opening_Qty],MATCH($A44,T_OpeningStock[Part Name],0)),0)+'Grid_Incoming'!B44-'Grid_Requirement'!B44))</f>
        <v/>
      </c>
      <c r="C44">
        <f>IF(COUNTIFS(T_StockCount[Part Name],$A44,T_StockCount[WeekIndex],2)&gt;0,SUMIFS(T_StockCount[CountedQty],T_StockCount[Part Name],$A44,T_StockCount[WeekIndex],2),IF((('T_SelfStock'!C48&lt;&gt;""))*(('T_TTAFStock'!C48&lt;&gt;""))&gt;0,'T_SelfStock'!C48+'T_TTAFStock'!C48,B44+'Grid_Incoming'!C44-'Grid_Requirement'!C44))</f>
        <v/>
      </c>
      <c r="D44">
        <f>IF(COUNTIFS(T_StockCount[Part Name],$A44,T_StockCount[WeekIndex],3)&gt;0,SUMIFS(T_StockCount[CountedQty],T_StockCount[Part Name],$A44,T_StockCount[WeekIndex],3),IF((('T_SelfStock'!D48&lt;&gt;""))*(('T_TTAFStock'!D48&lt;&gt;""))&gt;0,'T_SelfStock'!D48+'T_TTAFStock'!D48,C44+'Grid_Incoming'!D44-'Grid_Requirement'!D44))</f>
        <v/>
      </c>
      <c r="E44">
        <f>IF(COUNTIFS(T_StockCount[Part Name],$A44,T_StockCount[WeekIndex],4)&gt;0,SUMIFS(T_StockCount[CountedQty],T_StockCount[Part Name],$A44,T_StockCount[WeekIndex],4),IF((('T_SelfStock'!E48&lt;&gt;""))*(('T_TTAFStock'!E48&lt;&gt;""))&gt;0,'T_SelfStock'!E48+'T_TTAFStock'!E48,D44+'Grid_Incoming'!E44-'Grid_Requirement'!E44))</f>
        <v/>
      </c>
      <c r="F44">
        <f>IF(COUNTIFS(T_StockCount[Part Name],$A44,T_StockCount[WeekIndex],5)&gt;0,SUMIFS(T_StockCount[CountedQty],T_StockCount[Part Name],$A44,T_StockCount[WeekIndex],5),IF((('T_SelfStock'!F48&lt;&gt;""))*(('T_TTAFStock'!F48&lt;&gt;""))&gt;0,'T_SelfStock'!F48+'T_TTAFStock'!F48,E44+'Grid_Incoming'!F44-'Grid_Requirement'!F44))</f>
        <v/>
      </c>
      <c r="G44">
        <f>IF(COUNTIFS(T_StockCount[Part Name],$A44,T_StockCount[WeekIndex],6)&gt;0,SUMIFS(T_StockCount[CountedQty],T_StockCount[Part Name],$A44,T_StockCount[WeekIndex],6),IF((('T_SelfStock'!G48&lt;&gt;""))*(('T_TTAFStock'!G48&lt;&gt;""))&gt;0,'T_SelfStock'!G48+'T_TTAFStock'!G48,F44+'Grid_Incoming'!G44-'Grid_Requirement'!G44))</f>
        <v/>
      </c>
      <c r="H44">
        <f>IF(COUNTIFS(T_StockCount[Part Name],$A44,T_StockCount[WeekIndex],7)&gt;0,SUMIFS(T_StockCount[CountedQty],T_StockCount[Part Name],$A44,T_StockCount[WeekIndex],7),IF((('T_SelfStock'!H48&lt;&gt;""))*(('T_TTAFStock'!H48&lt;&gt;""))&gt;0,'T_SelfStock'!H48+'T_TTAFStock'!H48,G44+'Grid_Incoming'!H44-'Grid_Requirement'!H44))</f>
        <v/>
      </c>
      <c r="I44">
        <f>IF(COUNTIFS(T_StockCount[Part Name],$A44,T_StockCount[WeekIndex],8)&gt;0,SUMIFS(T_StockCount[CountedQty],T_StockCount[Part Name],$A44,T_StockCount[WeekIndex],8),IF((('T_SelfStock'!I48&lt;&gt;""))*(('T_TTAFStock'!I48&lt;&gt;""))&gt;0,'T_SelfStock'!I48+'T_TTAFStock'!I48,H44+'Grid_Incoming'!I44-'Grid_Requirement'!I44))</f>
        <v/>
      </c>
      <c r="J44">
        <f>IF(COUNTIFS(T_StockCount[Part Name],$A44,T_StockCount[WeekIndex],9)&gt;0,SUMIFS(T_StockCount[CountedQty],T_StockCount[Part Name],$A44,T_StockCount[WeekIndex],9),IF((('T_SelfStock'!J48&lt;&gt;""))*(('T_TTAFStock'!J48&lt;&gt;""))&gt;0,'T_SelfStock'!J48+'T_TTAFStock'!J48,I44+'Grid_Incoming'!J44-'Grid_Requirement'!J44))</f>
        <v/>
      </c>
      <c r="K44">
        <f>IF(COUNTIFS(T_StockCount[Part Name],$A44,T_StockCount[WeekIndex],10)&gt;0,SUMIFS(T_StockCount[CountedQty],T_StockCount[Part Name],$A44,T_StockCount[WeekIndex],10),IF((('T_SelfStock'!K48&lt;&gt;""))*(('T_TTAFStock'!K48&lt;&gt;""))&gt;0,'T_SelfStock'!K48+'T_TTAFStock'!K48,J44+'Grid_Incoming'!K44-'Grid_Requirement'!K44))</f>
        <v/>
      </c>
      <c r="L44">
        <f>IF(COUNTIFS(T_StockCount[Part Name],$A44,T_StockCount[WeekIndex],11)&gt;0,SUMIFS(T_StockCount[CountedQty],T_StockCount[Part Name],$A44,T_StockCount[WeekIndex],11),IF((('T_SelfStock'!L48&lt;&gt;""))*(('T_TTAFStock'!L48&lt;&gt;""))&gt;0,'T_SelfStock'!L48+'T_TTAFStock'!L48,K44+'Grid_Incoming'!L44-'Grid_Requirement'!L44))</f>
        <v/>
      </c>
      <c r="M44">
        <f>IF(COUNTIFS(T_StockCount[Part Name],$A44,T_StockCount[WeekIndex],12)&gt;0,SUMIFS(T_StockCount[CountedQty],T_StockCount[Part Name],$A44,T_StockCount[WeekIndex],12),IF((('T_SelfStock'!M48&lt;&gt;""))*(('T_TTAFStock'!M48&lt;&gt;""))&gt;0,'T_SelfStock'!M48+'T_TTAFStock'!M48,L44+'Grid_Incoming'!M44-'Grid_Requirement'!M44))</f>
        <v/>
      </c>
      <c r="N44">
        <f>IF(COUNTIFS(T_StockCount[Part Name],$A44,T_StockCount[WeekIndex],13)&gt;0,SUMIFS(T_StockCount[CountedQty],T_StockCount[Part Name],$A44,T_StockCount[WeekIndex],13),IF((('T_SelfStock'!N48&lt;&gt;""))*(('T_TTAFStock'!N48&lt;&gt;""))&gt;0,'T_SelfStock'!N48+'T_TTAFStock'!N48,M44+'Grid_Incoming'!N44-'Grid_Requirement'!N44))</f>
        <v/>
      </c>
      <c r="O44">
        <f>IF(COUNTIFS(T_StockCount[Part Name],$A44,T_StockCount[WeekIndex],14)&gt;0,SUMIFS(T_StockCount[CountedQty],T_StockCount[Part Name],$A44,T_StockCount[WeekIndex],14),IF((('T_SelfStock'!O48&lt;&gt;""))*(('T_TTAFStock'!O48&lt;&gt;""))&gt;0,'T_SelfStock'!O48+'T_TTAFStock'!O48,N44+'Grid_Incoming'!O44-'Grid_Requirement'!O44))</f>
        <v/>
      </c>
      <c r="P44">
        <f>IF(COUNTIFS(T_StockCount[Part Name],$A44,T_StockCount[WeekIndex],15)&gt;0,SUMIFS(T_StockCount[CountedQty],T_StockCount[Part Name],$A44,T_StockCount[WeekIndex],15),IF((('T_SelfStock'!P48&lt;&gt;""))*(('T_TTAFStock'!P48&lt;&gt;""))&gt;0,'T_SelfStock'!P48+'T_TTAFStock'!P48,O44+'Grid_Incoming'!P44-'Grid_Requirement'!P44))</f>
        <v/>
      </c>
      <c r="Q44">
        <f>IF(COUNTIFS(T_StockCount[Part Name],$A44,T_StockCount[WeekIndex],16)&gt;0,SUMIFS(T_StockCount[CountedQty],T_StockCount[Part Name],$A44,T_StockCount[WeekIndex],16),IF((('T_SelfStock'!Q48&lt;&gt;""))*(('T_TTAFStock'!Q48&lt;&gt;""))&gt;0,'T_SelfStock'!Q48+'T_TTAFStock'!Q48,P44+'Grid_Incoming'!Q44-'Grid_Requirement'!Q44))</f>
        <v/>
      </c>
      <c r="R44">
        <f>IF(COUNTIFS(T_StockCount[Part Name],$A44,T_StockCount[WeekIndex],17)&gt;0,SUMIFS(T_StockCount[CountedQty],T_StockCount[Part Name],$A44,T_StockCount[WeekIndex],17),IF((('T_SelfStock'!R48&lt;&gt;""))*(('T_TTAFStock'!R48&lt;&gt;""))&gt;0,'T_SelfStock'!R48+'T_TTAFStock'!R48,Q44+'Grid_Incoming'!R44-'Grid_Requirement'!R44))</f>
        <v/>
      </c>
      <c r="S44">
        <f>IF(COUNTIFS(T_StockCount[Part Name],$A44,T_StockCount[WeekIndex],18)&gt;0,SUMIFS(T_StockCount[CountedQty],T_StockCount[Part Name],$A44,T_StockCount[WeekIndex],18),IF((('T_SelfStock'!S48&lt;&gt;""))*(('T_TTAFStock'!S48&lt;&gt;""))&gt;0,'T_SelfStock'!S48+'T_TTAFStock'!S48,R44+'Grid_Incoming'!S44-'Grid_Requirement'!S44))</f>
        <v/>
      </c>
      <c r="T44">
        <f>IF(COUNTIFS(T_StockCount[Part Name],$A44,T_StockCount[WeekIndex],19)&gt;0,SUMIFS(T_StockCount[CountedQty],T_StockCount[Part Name],$A44,T_StockCount[WeekIndex],19),IF((('T_SelfStock'!T48&lt;&gt;""))*(('T_TTAFStock'!T48&lt;&gt;""))&gt;0,'T_SelfStock'!T48+'T_TTAFStock'!T48,S44+'Grid_Incoming'!T44-'Grid_Requirement'!T44))</f>
        <v/>
      </c>
      <c r="U44">
        <f>IF(COUNTIFS(T_StockCount[Part Name],$A44,T_StockCount[WeekIndex],20)&gt;0,SUMIFS(T_StockCount[CountedQty],T_StockCount[Part Name],$A44,T_StockCount[WeekIndex],20),IF((('T_SelfStock'!U48&lt;&gt;""))*(('T_TTAFStock'!U48&lt;&gt;""))&gt;0,'T_SelfStock'!U48+'T_TTAFStock'!U48,T44+'Grid_Incoming'!U44-'Grid_Requirement'!U44))</f>
        <v/>
      </c>
      <c r="V44">
        <f>IF(COUNTIFS(T_StockCount[Part Name],$A44,T_StockCount[WeekIndex],21)&gt;0,SUMIFS(T_StockCount[CountedQty],T_StockCount[Part Name],$A44,T_StockCount[WeekIndex],21),IF((('T_SelfStock'!V48&lt;&gt;""))*(('T_TTAFStock'!V48&lt;&gt;""))&gt;0,'T_SelfStock'!V48+'T_TTAFStock'!V48,U44+'Grid_Incoming'!V44-'Grid_Requirement'!V44))</f>
        <v/>
      </c>
      <c r="W44">
        <f>IF(COUNTIFS(T_StockCount[Part Name],$A44,T_StockCount[WeekIndex],22)&gt;0,SUMIFS(T_StockCount[CountedQty],T_StockCount[Part Name],$A44,T_StockCount[WeekIndex],22),IF((('T_SelfStock'!W48&lt;&gt;""))*(('T_TTAFStock'!W48&lt;&gt;""))&gt;0,'T_SelfStock'!W48+'T_TTAFStock'!W48,V44+'Grid_Incoming'!W44-'Grid_Requirement'!W44))</f>
        <v/>
      </c>
      <c r="X44">
        <f>IF(COUNTIFS(T_StockCount[Part Name],$A44,T_StockCount[WeekIndex],23)&gt;0,SUMIFS(T_StockCount[CountedQty],T_StockCount[Part Name],$A44,T_StockCount[WeekIndex],23),IF((('T_SelfStock'!X48&lt;&gt;""))*(('T_TTAFStock'!X48&lt;&gt;""))&gt;0,'T_SelfStock'!X48+'T_TTAFStock'!X48,W44+'Grid_Incoming'!X44-'Grid_Requirement'!X44))</f>
        <v/>
      </c>
      <c r="Y44">
        <f>IF(COUNTIFS(T_StockCount[Part Name],$A44,T_StockCount[WeekIndex],24)&gt;0,SUMIFS(T_StockCount[CountedQty],T_StockCount[Part Name],$A44,T_StockCount[WeekIndex],24),IF((('T_SelfStock'!Y48&lt;&gt;""))*(('T_TTAFStock'!Y48&lt;&gt;""))&gt;0,'T_SelfStock'!Y48+'T_TTAFStock'!Y48,X44+'Grid_Incoming'!Y44-'Grid_Requirement'!Y44))</f>
        <v/>
      </c>
      <c r="Z44">
        <f>IF(COUNTIFS(T_StockCount[Part Name],$A44,T_StockCount[WeekIndex],25)&gt;0,SUMIFS(T_StockCount[CountedQty],T_StockCount[Part Name],$A44,T_StockCount[WeekIndex],25),IF((('T_SelfStock'!Z48&lt;&gt;""))*(('T_TTAFStock'!Z48&lt;&gt;""))&gt;0,'T_SelfStock'!Z48+'T_TTAFStock'!Z48,Y44+'Grid_Incoming'!Z44-'Grid_Requirement'!Z44))</f>
        <v/>
      </c>
      <c r="AA44">
        <f>IF(COUNTIFS(T_StockCount[Part Name],$A44,T_StockCount[WeekIndex],26)&gt;0,SUMIFS(T_StockCount[CountedQty],T_StockCount[Part Name],$A44,T_StockCount[WeekIndex],26),IF((('T_SelfStock'!AA48&lt;&gt;""))*(('T_TTAFStock'!AA48&lt;&gt;""))&gt;0,'T_SelfStock'!AA48+'T_TTAFStock'!AA48,Z44+'Grid_Incoming'!AA44-'Grid_Requirement'!AA44))</f>
        <v/>
      </c>
      <c r="AB44">
        <f>IF(COUNTIFS(T_StockCount[Part Name],$A44,T_StockCount[WeekIndex],27)&gt;0,SUMIFS(T_StockCount[CountedQty],T_StockCount[Part Name],$A44,T_StockCount[WeekIndex],27),IF((('T_SelfStock'!AB48&lt;&gt;""))*(('T_TTAFStock'!AB48&lt;&gt;""))&gt;0,'T_SelfStock'!AB48+'T_TTAFStock'!AB48,AA44+'Grid_Incoming'!AB44-'Grid_Requirement'!AB44))</f>
        <v/>
      </c>
      <c r="AC44">
        <f>IF(COUNTIFS(T_StockCount[Part Name],$A44,T_StockCount[WeekIndex],28)&gt;0,SUMIFS(T_StockCount[CountedQty],T_StockCount[Part Name],$A44,T_StockCount[WeekIndex],28),IF((('T_SelfStock'!AC48&lt;&gt;""))*(('T_TTAFStock'!AC48&lt;&gt;""))&gt;0,'T_SelfStock'!AC48+'T_TTAFStock'!AC48,AB44+'Grid_Incoming'!AC44-'Grid_Requirement'!AC44))</f>
        <v/>
      </c>
      <c r="AD44">
        <f>IF(COUNTIFS(T_StockCount[Part Name],$A44,T_StockCount[WeekIndex],29)&gt;0,SUMIFS(T_StockCount[CountedQty],T_StockCount[Part Name],$A44,T_StockCount[WeekIndex],29),IF((('T_SelfStock'!AD48&lt;&gt;""))*(('T_TTAFStock'!AD48&lt;&gt;""))&gt;0,'T_SelfStock'!AD48+'T_TTAFStock'!AD48,AC44+'Grid_Incoming'!AD44-'Grid_Requirement'!AD44))</f>
        <v/>
      </c>
      <c r="AE44">
        <f>IF(COUNTIFS(T_StockCount[Part Name],$A44,T_StockCount[WeekIndex],30)&gt;0,SUMIFS(T_StockCount[CountedQty],T_StockCount[Part Name],$A44,T_StockCount[WeekIndex],30),IF((('T_SelfStock'!AE48&lt;&gt;""))*(('T_TTAFStock'!AE48&lt;&gt;""))&gt;0,'T_SelfStock'!AE48+'T_TTAFStock'!AE48,AD44+'Grid_Incoming'!AE44-'Grid_Requirement'!AE44))</f>
        <v/>
      </c>
      <c r="AF44">
        <f>IF(COUNTIFS(T_StockCount[Part Name],$A44,T_StockCount[WeekIndex],31)&gt;0,SUMIFS(T_StockCount[CountedQty],T_StockCount[Part Name],$A44,T_StockCount[WeekIndex],31),IF((('T_SelfStock'!AF48&lt;&gt;""))*(('T_TTAFStock'!AF48&lt;&gt;""))&gt;0,'T_SelfStock'!AF48+'T_TTAFStock'!AF48,AE44+'Grid_Incoming'!AF44-'Grid_Requirement'!AF44))</f>
        <v/>
      </c>
      <c r="AG44">
        <f>IF(COUNTIFS(T_StockCount[Part Name],$A44,T_StockCount[WeekIndex],32)&gt;0,SUMIFS(T_StockCount[CountedQty],T_StockCount[Part Name],$A44,T_StockCount[WeekIndex],32),IF((('T_SelfStock'!AG48&lt;&gt;""))*(('T_TTAFStock'!AG48&lt;&gt;""))&gt;0,'T_SelfStock'!AG48+'T_TTAFStock'!AG48,AF44+'Grid_Incoming'!AG44-'Grid_Requirement'!AG44))</f>
        <v/>
      </c>
      <c r="AH44">
        <f>IF(COUNTIFS(T_StockCount[Part Name],$A44,T_StockCount[WeekIndex],33)&gt;0,SUMIFS(T_StockCount[CountedQty],T_StockCount[Part Name],$A44,T_StockCount[WeekIndex],33),IF((('T_SelfStock'!AH48&lt;&gt;""))*(('T_TTAFStock'!AH48&lt;&gt;""))&gt;0,'T_SelfStock'!AH48+'T_TTAFStock'!AH48,AG44+'Grid_Incoming'!AH44-'Grid_Requirement'!AH44))</f>
        <v/>
      </c>
      <c r="AI44">
        <f>IF(COUNTIFS(T_StockCount[Part Name],$A44,T_StockCount[WeekIndex],34)&gt;0,SUMIFS(T_StockCount[CountedQty],T_StockCount[Part Name],$A44,T_StockCount[WeekIndex],34),IF((('T_SelfStock'!AI48&lt;&gt;""))*(('T_TTAFStock'!AI48&lt;&gt;""))&gt;0,'T_SelfStock'!AI48+'T_TTAFStock'!AI48,AH44+'Grid_Incoming'!AI44-'Grid_Requirement'!AI44))</f>
        <v/>
      </c>
      <c r="AJ44">
        <f>IF(COUNTIFS(T_StockCount[Part Name],$A44,T_StockCount[WeekIndex],35)&gt;0,SUMIFS(T_StockCount[CountedQty],T_StockCount[Part Name],$A44,T_StockCount[WeekIndex],35),IF((('T_SelfStock'!AJ48&lt;&gt;""))*(('T_TTAFStock'!AJ48&lt;&gt;""))&gt;0,'T_SelfStock'!AJ48+'T_TTAFStock'!AJ48,AI44+'Grid_Incoming'!AJ44-'Grid_Requirement'!AJ44))</f>
        <v/>
      </c>
      <c r="AK44">
        <f>IF(COUNTIFS(T_StockCount[Part Name],$A44,T_StockCount[WeekIndex],36)&gt;0,SUMIFS(T_StockCount[CountedQty],T_StockCount[Part Name],$A44,T_StockCount[WeekIndex],36),IF((('T_SelfStock'!AK48&lt;&gt;""))*(('T_TTAFStock'!AK48&lt;&gt;""))&gt;0,'T_SelfStock'!AK48+'T_TTAFStock'!AK48,AJ44+'Grid_Incoming'!AK44-'Grid_Requirement'!AK44))</f>
        <v/>
      </c>
      <c r="AL44">
        <f>IF(COUNTIFS(T_StockCount[Part Name],$A44,T_StockCount[WeekIndex],37)&gt;0,SUMIFS(T_StockCount[CountedQty],T_StockCount[Part Name],$A44,T_StockCount[WeekIndex],37),IF((('T_SelfStock'!AL48&lt;&gt;""))*(('T_TTAFStock'!AL48&lt;&gt;""))&gt;0,'T_SelfStock'!AL48+'T_TTAFStock'!AL48,AK44+'Grid_Incoming'!AL44-'Grid_Requirement'!AL44))</f>
        <v/>
      </c>
      <c r="AM44">
        <f>IF(COUNTIFS(T_StockCount[Part Name],$A44,T_StockCount[WeekIndex],38)&gt;0,SUMIFS(T_StockCount[CountedQty],T_StockCount[Part Name],$A44,T_StockCount[WeekIndex],38),IF((('T_SelfStock'!AM48&lt;&gt;""))*(('T_TTAFStock'!AM48&lt;&gt;""))&gt;0,'T_SelfStock'!AM48+'T_TTAFStock'!AM48,AL44+'Grid_Incoming'!AM44-'Grid_Requirement'!AM44))</f>
        <v/>
      </c>
      <c r="AN44">
        <f>IF(COUNTIFS(T_StockCount[Part Name],$A44,T_StockCount[WeekIndex],39)&gt;0,SUMIFS(T_StockCount[CountedQty],T_StockCount[Part Name],$A44,T_StockCount[WeekIndex],39),IF((('T_SelfStock'!AN48&lt;&gt;""))*(('T_TTAFStock'!AN48&lt;&gt;""))&gt;0,'T_SelfStock'!AN48+'T_TTAFStock'!AN48,AM44+'Grid_Incoming'!AN44-'Grid_Requirement'!AN44))</f>
        <v/>
      </c>
      <c r="AO44">
        <f>IF(COUNTIFS(T_StockCount[Part Name],$A44,T_StockCount[WeekIndex],40)&gt;0,SUMIFS(T_StockCount[CountedQty],T_StockCount[Part Name],$A44,T_StockCount[WeekIndex],40),IF((('T_SelfStock'!AO48&lt;&gt;""))*(('T_TTAFStock'!AO48&lt;&gt;""))&gt;0,'T_SelfStock'!AO48+'T_TTAFStock'!AO48,AN44+'Grid_Incoming'!AO44-'Grid_Requirement'!AO44))</f>
        <v/>
      </c>
      <c r="AP44">
        <f>IF(COUNTIFS(T_StockCount[Part Name],$A44,T_StockCount[WeekIndex],41)&gt;0,SUMIFS(T_StockCount[CountedQty],T_StockCount[Part Name],$A44,T_StockCount[WeekIndex],41),IF((('T_SelfStock'!AP48&lt;&gt;""))*(('T_TTAFStock'!AP48&lt;&gt;""))&gt;0,'T_SelfStock'!AP48+'T_TTAFStock'!AP48,AO44+'Grid_Incoming'!AP44-'Grid_Requirement'!AP44))</f>
        <v/>
      </c>
      <c r="AQ44">
        <f>IF(COUNTIFS(T_StockCount[Part Name],$A44,T_StockCount[WeekIndex],42)&gt;0,SUMIFS(T_StockCount[CountedQty],T_StockCount[Part Name],$A44,T_StockCount[WeekIndex],42),IF((('T_SelfStock'!AQ48&lt;&gt;""))*(('T_TTAFStock'!AQ48&lt;&gt;""))&gt;0,'T_SelfStock'!AQ48+'T_TTAFStock'!AQ48,AP44+'Grid_Incoming'!AQ44-'Grid_Requirement'!AQ44))</f>
        <v/>
      </c>
      <c r="AR44">
        <f>IF(COUNTIFS(T_StockCount[Part Name],$A44,T_StockCount[WeekIndex],43)&gt;0,SUMIFS(T_StockCount[CountedQty],T_StockCount[Part Name],$A44,T_StockCount[WeekIndex],43),IF((('T_SelfStock'!AR48&lt;&gt;""))*(('T_TTAFStock'!AR48&lt;&gt;""))&gt;0,'T_SelfStock'!AR48+'T_TTAFStock'!AR48,AQ44+'Grid_Incoming'!AR44-'Grid_Requirement'!AR44))</f>
        <v/>
      </c>
      <c r="AS44">
        <f>IF(COUNTIFS(T_StockCount[Part Name],$A44,T_StockCount[WeekIndex],44)&gt;0,SUMIFS(T_StockCount[CountedQty],T_StockCount[Part Name],$A44,T_StockCount[WeekIndex],44),IF((('T_SelfStock'!AS48&lt;&gt;""))*(('T_TTAFStock'!AS48&lt;&gt;""))&gt;0,'T_SelfStock'!AS48+'T_TTAFStock'!AS48,AR44+'Grid_Incoming'!AS44-'Grid_Requirement'!AS44))</f>
        <v/>
      </c>
      <c r="AT44">
        <f>IF(COUNTIFS(T_StockCount[Part Name],$A44,T_StockCount[WeekIndex],45)&gt;0,SUMIFS(T_StockCount[CountedQty],T_StockCount[Part Name],$A44,T_StockCount[WeekIndex],45),IF((('T_SelfStock'!AT48&lt;&gt;""))*(('T_TTAFStock'!AT48&lt;&gt;""))&gt;0,'T_SelfStock'!AT48+'T_TTAFStock'!AT48,AS44+'Grid_Incoming'!AT44-'Grid_Requirement'!AT44))</f>
        <v/>
      </c>
      <c r="AU44">
        <f>IF(COUNTIFS(T_StockCount[Part Name],$A44,T_StockCount[WeekIndex],46)&gt;0,SUMIFS(T_StockCount[CountedQty],T_StockCount[Part Name],$A44,T_StockCount[WeekIndex],46),IF((('T_SelfStock'!AU48&lt;&gt;""))*(('T_TTAFStock'!AU48&lt;&gt;""))&gt;0,'T_SelfStock'!AU48+'T_TTAFStock'!AU48,AT44+'Grid_Incoming'!AU44-'Grid_Requirement'!AU44))</f>
        <v/>
      </c>
      <c r="AV44">
        <f>IF(COUNTIFS(T_StockCount[Part Name],$A44,T_StockCount[WeekIndex],47)&gt;0,SUMIFS(T_StockCount[CountedQty],T_StockCount[Part Name],$A44,T_StockCount[WeekIndex],47),IF((('T_SelfStock'!AV48&lt;&gt;""))*(('T_TTAFStock'!AV48&lt;&gt;""))&gt;0,'T_SelfStock'!AV48+'T_TTAFStock'!AV48,AU44+'Grid_Incoming'!AV44-'Grid_Requirement'!AV44))</f>
        <v/>
      </c>
      <c r="AW44">
        <f>IF(COUNTIFS(T_StockCount[Part Name],$A44,T_StockCount[WeekIndex],48)&gt;0,SUMIFS(T_StockCount[CountedQty],T_StockCount[Part Name],$A44,T_StockCount[WeekIndex],48),IF((('T_SelfStock'!AW48&lt;&gt;""))*(('T_TTAFStock'!AW48&lt;&gt;""))&gt;0,'T_SelfStock'!AW48+'T_TTAFStock'!AW48,AV44+'Grid_Incoming'!AW44-'Grid_Requirement'!AW44))</f>
        <v/>
      </c>
      <c r="AX44">
        <f>IF(COUNTIFS(T_StockCount[Part Name],$A44,T_StockCount[WeekIndex],49)&gt;0,SUMIFS(T_StockCount[CountedQty],T_StockCount[Part Name],$A44,T_StockCount[WeekIndex],49),IF((('T_SelfStock'!AX48&lt;&gt;""))*(('T_TTAFStock'!AX48&lt;&gt;""))&gt;0,'T_SelfStock'!AX48+'T_TTAFStock'!AX48,AW44+'Grid_Incoming'!AX44-'Grid_Requirement'!AX44))</f>
        <v/>
      </c>
      <c r="AY44">
        <f>IF(COUNTIFS(T_StockCount[Part Name],$A44,T_StockCount[WeekIndex],50)&gt;0,SUMIFS(T_StockCount[CountedQty],T_StockCount[Part Name],$A44,T_StockCount[WeekIndex],50),IF((('T_SelfStock'!AY48&lt;&gt;""))*(('T_TTAFStock'!AY48&lt;&gt;""))&gt;0,'T_SelfStock'!AY48+'T_TTAFStock'!AY48,AX44+'Grid_Incoming'!AY44-'Grid_Requirement'!AY44))</f>
        <v/>
      </c>
      <c r="AZ44">
        <f>IF(COUNTIFS(T_StockCount[Part Name],$A44,T_StockCount[WeekIndex],51)&gt;0,SUMIFS(T_StockCount[CountedQty],T_StockCount[Part Name],$A44,T_StockCount[WeekIndex],51),IF((('T_SelfStock'!AZ48&lt;&gt;""))*(('T_TTAFStock'!AZ48&lt;&gt;""))&gt;0,'T_SelfStock'!AZ48+'T_TTAFStock'!AZ48,AY44+'Grid_Incoming'!AZ44-'Grid_Requirement'!AZ44))</f>
        <v/>
      </c>
      <c r="BA44">
        <f>IF(COUNTIFS(T_StockCount[Part Name],$A44,T_StockCount[WeekIndex],52)&gt;0,SUMIFS(T_StockCount[CountedQty],T_StockCount[Part Name],$A44,T_StockCount[WeekIndex],52),IF((('T_SelfStock'!BA48&lt;&gt;""))*(('T_TTAFStock'!BA48&lt;&gt;""))&gt;0,'T_SelfStock'!BA48+'T_TTAFStock'!BA48,AZ44+'Grid_Incoming'!BA44-'Grid_Requirement'!BA44))</f>
        <v/>
      </c>
      <c r="BB44">
        <f>IF(COUNTIFS(T_StockCount[Part Name],$A44,T_StockCount[WeekIndex],53)&gt;0,SUMIFS(T_StockCount[CountedQty],T_StockCount[Part Name],$A44,T_StockCount[WeekIndex],53),IF((('T_SelfStock'!BB48&lt;&gt;""))*(('T_TTAFStock'!BB48&lt;&gt;""))&gt;0,'T_SelfStock'!BB48+'T_TTAFStock'!BB48,BA44+'Grid_Incoming'!BB44-'Grid_Requirement'!BB44))</f>
        <v/>
      </c>
      <c r="BC44">
        <f>IF(COUNTIFS(T_StockCount[Part Name],$A44,T_StockCount[WeekIndex],54)&gt;0,SUMIFS(T_StockCount[CountedQty],T_StockCount[Part Name],$A44,T_StockCount[WeekIndex],54),IF((('T_SelfStock'!BC48&lt;&gt;""))*(('T_TTAFStock'!BC48&lt;&gt;""))&gt;0,'T_SelfStock'!BC48+'T_TTAFStock'!BC48,BB44+'Grid_Incoming'!BC44-'Grid_Requirement'!BC44))</f>
        <v/>
      </c>
      <c r="BD44">
        <f>IF(COUNTIFS(T_StockCount[Part Name],$A44,T_StockCount[WeekIndex],55)&gt;0,SUMIFS(T_StockCount[CountedQty],T_StockCount[Part Name],$A44,T_StockCount[WeekIndex],55),IF((('T_SelfStock'!BD48&lt;&gt;""))*(('T_TTAFStock'!BD48&lt;&gt;""))&gt;0,'T_SelfStock'!BD48+'T_TTAFStock'!BD48,BC44+'Grid_Incoming'!BD44-'Grid_Requirement'!BD44))</f>
        <v/>
      </c>
      <c r="BE44">
        <f>IF(COUNTIFS(T_StockCount[Part Name],$A44,T_StockCount[WeekIndex],56)&gt;0,SUMIFS(T_StockCount[CountedQty],T_StockCount[Part Name],$A44,T_StockCount[WeekIndex],56),IF((('T_SelfStock'!BE48&lt;&gt;""))*(('T_TTAFStock'!BE48&lt;&gt;""))&gt;0,'T_SelfStock'!BE48+'T_TTAFStock'!BE48,BD44+'Grid_Incoming'!BE44-'Grid_Requirement'!BE44))</f>
        <v/>
      </c>
      <c r="BF44">
        <f>IF(COUNTIFS(T_StockCount[Part Name],$A44,T_StockCount[WeekIndex],57)&gt;0,SUMIFS(T_StockCount[CountedQty],T_StockCount[Part Name],$A44,T_StockCount[WeekIndex],57),IF((('T_SelfStock'!BF48&lt;&gt;""))*(('T_TTAFStock'!BF48&lt;&gt;""))&gt;0,'T_SelfStock'!BF48+'T_TTAFStock'!BF48,BE44+'Grid_Incoming'!BF44-'Grid_Requirement'!BF44))</f>
        <v/>
      </c>
      <c r="BG44">
        <f>IF(COUNTIFS(T_StockCount[Part Name],$A44,T_StockCount[WeekIndex],58)&gt;0,SUMIFS(T_StockCount[CountedQty],T_StockCount[Part Name],$A44,T_StockCount[WeekIndex],58),IF((('T_SelfStock'!BG48&lt;&gt;""))*(('T_TTAFStock'!BG48&lt;&gt;""))&gt;0,'T_SelfStock'!BG48+'T_TTAFStock'!BG48,BF44+'Grid_Incoming'!BG44-'Grid_Requirement'!BG44))</f>
        <v/>
      </c>
      <c r="BH44">
        <f>IF(COUNTIFS(T_StockCount[Part Name],$A44,T_StockCount[WeekIndex],59)&gt;0,SUMIFS(T_StockCount[CountedQty],T_StockCount[Part Name],$A44,T_StockCount[WeekIndex],59),IF((('T_SelfStock'!BH48&lt;&gt;""))*(('T_TTAFStock'!BH48&lt;&gt;""))&gt;0,'T_SelfStock'!BH48+'T_TTAFStock'!BH48,BG44+'Grid_Incoming'!BH44-'Grid_Requirement'!BH44))</f>
        <v/>
      </c>
      <c r="BI44">
        <f>IF(COUNTIFS(T_StockCount[Part Name],$A44,T_StockCount[WeekIndex],60)&gt;0,SUMIFS(T_StockCount[CountedQty],T_StockCount[Part Name],$A44,T_StockCount[WeekIndex],60),IF((('T_SelfStock'!BI48&lt;&gt;""))*(('T_TTAFStock'!BI48&lt;&gt;""))&gt;0,'T_SelfStock'!BI48+'T_TTAFStock'!BI48,BH44+'Grid_Incoming'!BI44-'Grid_Requirement'!BI44))</f>
        <v/>
      </c>
      <c r="BJ44">
        <f>IF(COUNTIFS(T_StockCount[Part Name],$A44,T_StockCount[WeekIndex],61)&gt;0,SUMIFS(T_StockCount[CountedQty],T_StockCount[Part Name],$A44,T_StockCount[WeekIndex],61),IF((('T_SelfStock'!BJ48&lt;&gt;""))*(('T_TTAFStock'!BJ48&lt;&gt;""))&gt;0,'T_SelfStock'!BJ48+'T_TTAFStock'!BJ48,BI44+'Grid_Incoming'!BJ44-'Grid_Requirement'!BJ44))</f>
        <v/>
      </c>
      <c r="BK44">
        <f>IF(COUNTIFS(T_StockCount[Part Name],$A44,T_StockCount[WeekIndex],62)&gt;0,SUMIFS(T_StockCount[CountedQty],T_StockCount[Part Name],$A44,T_StockCount[WeekIndex],62),IF((('T_SelfStock'!BK48&lt;&gt;""))*(('T_TTAFStock'!BK48&lt;&gt;""))&gt;0,'T_SelfStock'!BK48+'T_TTAFStock'!BK48,BJ44+'Grid_Incoming'!BK44-'Grid_Requirement'!BK44))</f>
        <v/>
      </c>
      <c r="BL44">
        <f>IF(COUNTIFS(T_StockCount[Part Name],$A44,T_StockCount[WeekIndex],63)&gt;0,SUMIFS(T_StockCount[CountedQty],T_StockCount[Part Name],$A44,T_StockCount[WeekIndex],63),IF((('T_SelfStock'!BL48&lt;&gt;""))*(('T_TTAFStock'!BL48&lt;&gt;""))&gt;0,'T_SelfStock'!BL48+'T_TTAFStock'!BL48,BK44+'Grid_Incoming'!BL44-'Grid_Requirement'!BL44))</f>
        <v/>
      </c>
      <c r="BM44">
        <f>IF(COUNTIFS(T_StockCount[Part Name],$A44,T_StockCount[WeekIndex],64)&gt;0,SUMIFS(T_StockCount[CountedQty],T_StockCount[Part Name],$A44,T_StockCount[WeekIndex],64),IF((('T_SelfStock'!BM48&lt;&gt;""))*(('T_TTAFStock'!BM48&lt;&gt;""))&gt;0,'T_SelfStock'!BM48+'T_TTAFStock'!BM48,BL44+'Grid_Incoming'!BM44-'Grid_Requirement'!BM44))</f>
        <v/>
      </c>
      <c r="BN44">
        <f>IF(COUNTIFS(T_StockCount[Part Name],$A44,T_StockCount[WeekIndex],65)&gt;0,SUMIFS(T_StockCount[CountedQty],T_StockCount[Part Name],$A44,T_StockCount[WeekIndex],65),IF((('T_SelfStock'!BN48&lt;&gt;""))*(('T_TTAFStock'!BN48&lt;&gt;""))&gt;0,'T_SelfStock'!BN48+'T_TTAFStock'!BN48,BM44+'Grid_Incoming'!BN44-'Grid_Requirement'!BN44))</f>
        <v/>
      </c>
      <c r="BO44">
        <f>IF(COUNTIFS(T_StockCount[Part Name],$A44,T_StockCount[WeekIndex],66)&gt;0,SUMIFS(T_StockCount[CountedQty],T_StockCount[Part Name],$A44,T_StockCount[WeekIndex],66),IF((('T_SelfStock'!BO48&lt;&gt;""))*(('T_TTAFStock'!BO48&lt;&gt;""))&gt;0,'T_SelfStock'!BO48+'T_TTAFStock'!BO48,BN44+'Grid_Incoming'!BO44-'Grid_Requirement'!BO44))</f>
        <v/>
      </c>
      <c r="BP44">
        <f>IF(COUNTIFS(T_StockCount[Part Name],$A44,T_StockCount[WeekIndex],67)&gt;0,SUMIFS(T_StockCount[CountedQty],T_StockCount[Part Name],$A44,T_StockCount[WeekIndex],67),IF((('T_SelfStock'!BP48&lt;&gt;""))*(('T_TTAFStock'!BP48&lt;&gt;""))&gt;0,'T_SelfStock'!BP48+'T_TTAFStock'!BP48,BO44+'Grid_Incoming'!BP44-'Grid_Requirement'!BP44))</f>
        <v/>
      </c>
      <c r="BQ44">
        <f>IF(COUNTIFS(T_StockCount[Part Name],$A44,T_StockCount[WeekIndex],68)&gt;0,SUMIFS(T_StockCount[CountedQty],T_StockCount[Part Name],$A44,T_StockCount[WeekIndex],68),IF((('T_SelfStock'!BQ48&lt;&gt;""))*(('T_TTAFStock'!BQ48&lt;&gt;""))&gt;0,'T_SelfStock'!BQ48+'T_TTAFStock'!BQ48,BP44+'Grid_Incoming'!BQ44-'Grid_Requirement'!BQ44))</f>
        <v/>
      </c>
      <c r="BR44">
        <f>IF(COUNTIFS(T_StockCount[Part Name],$A44,T_StockCount[WeekIndex],69)&gt;0,SUMIFS(T_StockCount[CountedQty],T_StockCount[Part Name],$A44,T_StockCount[WeekIndex],69),IF((('T_SelfStock'!BR48&lt;&gt;""))*(('T_TTAFStock'!BR48&lt;&gt;""))&gt;0,'T_SelfStock'!BR48+'T_TTAFStock'!BR48,BQ44+'Grid_Incoming'!BR44-'Grid_Requirement'!BR44))</f>
        <v/>
      </c>
      <c r="BS44">
        <f>IF(COUNTIFS(T_StockCount[Part Name],$A44,T_StockCount[WeekIndex],70)&gt;0,SUMIFS(T_StockCount[CountedQty],T_StockCount[Part Name],$A44,T_StockCount[WeekIndex],70),IF((('T_SelfStock'!BS48&lt;&gt;""))*(('T_TTAFStock'!BS48&lt;&gt;""))&gt;0,'T_SelfStock'!BS48+'T_TTAFStock'!BS48,BR44+'Grid_Incoming'!BS44-'Grid_Requirement'!BS44))</f>
        <v/>
      </c>
      <c r="BT44">
        <f>IF(COUNTIFS(T_StockCount[Part Name],$A44,T_StockCount[WeekIndex],71)&gt;0,SUMIFS(T_StockCount[CountedQty],T_StockCount[Part Name],$A44,T_StockCount[WeekIndex],71),IF((('T_SelfStock'!BT48&lt;&gt;""))*(('T_TTAFStock'!BT48&lt;&gt;""))&gt;0,'T_SelfStock'!BT48+'T_TTAFStock'!BT48,BS44+'Grid_Incoming'!BT44-'Grid_Requirement'!BT44))</f>
        <v/>
      </c>
      <c r="BU44">
        <f>IF(COUNTIFS(T_StockCount[Part Name],$A44,T_StockCount[WeekIndex],72)&gt;0,SUMIFS(T_StockCount[CountedQty],T_StockCount[Part Name],$A44,T_StockCount[WeekIndex],72),IF((('T_SelfStock'!BU48&lt;&gt;""))*(('T_TTAFStock'!BU48&lt;&gt;""))&gt;0,'T_SelfStock'!BU48+'T_TTAFStock'!BU48,BT44+'Grid_Incoming'!BU44-'Grid_Requirement'!BU44))</f>
        <v/>
      </c>
      <c r="BV44">
        <f>IF(COUNTIFS(T_StockCount[Part Name],$A44,T_StockCount[WeekIndex],73)&gt;0,SUMIFS(T_StockCount[CountedQty],T_StockCount[Part Name],$A44,T_StockCount[WeekIndex],73),IF((('T_SelfStock'!BV48&lt;&gt;""))*(('T_TTAFStock'!BV48&lt;&gt;""))&gt;0,'T_SelfStock'!BV48+'T_TTAFStock'!BV48,BU44+'Grid_Incoming'!BV44-'Grid_Requirement'!BV44))</f>
        <v/>
      </c>
      <c r="BW44">
        <f>IF(COUNTIFS(T_StockCount[Part Name],$A44,T_StockCount[WeekIndex],74)&gt;0,SUMIFS(T_StockCount[CountedQty],T_StockCount[Part Name],$A44,T_StockCount[WeekIndex],74),IF((('T_SelfStock'!BW48&lt;&gt;""))*(('T_TTAFStock'!BW48&lt;&gt;""))&gt;0,'T_SelfStock'!BW48+'T_TTAFStock'!BW48,BV44+'Grid_Incoming'!BW44-'Grid_Requirement'!BW44))</f>
        <v/>
      </c>
      <c r="BX44">
        <f>IF(COUNTIFS(T_StockCount[Part Name],$A44,T_StockCount[WeekIndex],75)&gt;0,SUMIFS(T_StockCount[CountedQty],T_StockCount[Part Name],$A44,T_StockCount[WeekIndex],75),IF((('T_SelfStock'!BX48&lt;&gt;""))*(('T_TTAFStock'!BX48&lt;&gt;""))&gt;0,'T_SelfStock'!BX48+'T_TTAFStock'!BX48,BW44+'Grid_Incoming'!BX44-'Grid_Requirement'!BX44))</f>
        <v/>
      </c>
      <c r="BY44">
        <f>IF(COUNTIFS(T_StockCount[Part Name],$A44,T_StockCount[WeekIndex],76)&gt;0,SUMIFS(T_StockCount[CountedQty],T_StockCount[Part Name],$A44,T_StockCount[WeekIndex],76),IF((('T_SelfStock'!BY48&lt;&gt;""))*(('T_TTAFStock'!BY48&lt;&gt;""))&gt;0,'T_SelfStock'!BY48+'T_TTAFStock'!BY48,BX44+'Grid_Incoming'!BY44-'Grid_Requirement'!BY44))</f>
        <v/>
      </c>
      <c r="BZ44">
        <f>IF(COUNTIFS(T_StockCount[Part Name],$A44,T_StockCount[WeekIndex],77)&gt;0,SUMIFS(T_StockCount[CountedQty],T_StockCount[Part Name],$A44,T_StockCount[WeekIndex],77),IF((('T_SelfStock'!BZ48&lt;&gt;""))*(('T_TTAFStock'!BZ48&lt;&gt;""))&gt;0,'T_SelfStock'!BZ48+'T_TTAFStock'!BZ48,BY44+'Grid_Incoming'!BZ44-'Grid_Requirement'!BZ44))</f>
        <v/>
      </c>
      <c r="CA44">
        <f>IF(COUNTIFS(T_StockCount[Part Name],$A44,T_StockCount[WeekIndex],78)&gt;0,SUMIFS(T_StockCount[CountedQty],T_StockCount[Part Name],$A44,T_StockCount[WeekIndex],78),IF((('T_SelfStock'!CA48&lt;&gt;""))*(('T_TTAFStock'!CA48&lt;&gt;""))&gt;0,'T_SelfStock'!CA48+'T_TTAFStock'!CA48,BZ44+'Grid_Incoming'!CA44-'Grid_Requirement'!CA44))</f>
        <v/>
      </c>
      <c r="CB44">
        <f>IF(COUNTIFS(T_StockCount[Part Name],$A44,T_StockCount[WeekIndex],79)&gt;0,SUMIFS(T_StockCount[CountedQty],T_StockCount[Part Name],$A44,T_StockCount[WeekIndex],79),IF((('T_SelfStock'!CB48&lt;&gt;""))*(('T_TTAFStock'!CB48&lt;&gt;""))&gt;0,'T_SelfStock'!CB48+'T_TTAFStock'!CB48,CA44+'Grid_Incoming'!CB44-'Grid_Requirement'!CB44))</f>
        <v/>
      </c>
      <c r="CC44">
        <f>IF(COUNTIFS(T_StockCount[Part Name],$A44,T_StockCount[WeekIndex],80)&gt;0,SUMIFS(T_StockCount[CountedQty],T_StockCount[Part Name],$A44,T_StockCount[WeekIndex],80),IF((('T_SelfStock'!CC48&lt;&gt;""))*(('T_TTAFStock'!CC48&lt;&gt;""))&gt;0,'T_SelfStock'!CC48+'T_TTAFStock'!CC48,CB44+'Grid_Incoming'!CC44-'Grid_Requirement'!CC44))</f>
        <v/>
      </c>
      <c r="CD44">
        <f>IF(COUNTIFS(T_StockCount[Part Name],$A44,T_StockCount[WeekIndex],81)&gt;0,SUMIFS(T_StockCount[CountedQty],T_StockCount[Part Name],$A44,T_StockCount[WeekIndex],81),IF((('T_SelfStock'!CD48&lt;&gt;""))*(('T_TTAFStock'!CD48&lt;&gt;""))&gt;0,'T_SelfStock'!CD48+'T_TTAFStock'!CD48,CC44+'Grid_Incoming'!CD44-'Grid_Requirement'!CD44))</f>
        <v/>
      </c>
      <c r="CE44">
        <f>IF(COUNTIFS(T_StockCount[Part Name],$A44,T_StockCount[WeekIndex],82)&gt;0,SUMIFS(T_StockCount[CountedQty],T_StockCount[Part Name],$A44,T_StockCount[WeekIndex],82),IF((('T_SelfStock'!CE48&lt;&gt;""))*(('T_TTAFStock'!CE48&lt;&gt;""))&gt;0,'T_SelfStock'!CE48+'T_TTAFStock'!CE48,CD44+'Grid_Incoming'!CE44-'Grid_Requirement'!CE44))</f>
        <v/>
      </c>
      <c r="CF44">
        <f>IF(COUNTIFS(T_StockCount[Part Name],$A44,T_StockCount[WeekIndex],83)&gt;0,SUMIFS(T_StockCount[CountedQty],T_StockCount[Part Name],$A44,T_StockCount[WeekIndex],83),IF((('T_SelfStock'!CF48&lt;&gt;""))*(('T_TTAFStock'!CF48&lt;&gt;""))&gt;0,'T_SelfStock'!CF48+'T_TTAFStock'!CF48,CE44+'Grid_Incoming'!CF44-'Grid_Requirement'!CF44))</f>
        <v/>
      </c>
      <c r="CG44">
        <f>IF(COUNTIFS(T_StockCount[Part Name],$A44,T_StockCount[WeekIndex],84)&gt;0,SUMIFS(T_StockCount[CountedQty],T_StockCount[Part Name],$A44,T_StockCount[WeekIndex],84),IF((('T_SelfStock'!CG48&lt;&gt;""))*(('T_TTAFStock'!CG48&lt;&gt;""))&gt;0,'T_SelfStock'!CG48+'T_TTAFStock'!CG48,CF44+'Grid_Incoming'!CG44-'Grid_Requirement'!CG44))</f>
        <v/>
      </c>
      <c r="CH44">
        <f>IF(COUNTIFS(T_StockCount[Part Name],$A44,T_StockCount[WeekIndex],85)&gt;0,SUMIFS(T_StockCount[CountedQty],T_StockCount[Part Name],$A44,T_StockCount[WeekIndex],85),IF((('T_SelfStock'!CH48&lt;&gt;""))*(('T_TTAFStock'!CH48&lt;&gt;""))&gt;0,'T_SelfStock'!CH48+'T_TTAFStock'!CH48,CG44+'Grid_Incoming'!CH44-'Grid_Requirement'!CH44))</f>
        <v/>
      </c>
      <c r="CI44">
        <f>IF(COUNTIFS(T_StockCount[Part Name],$A44,T_StockCount[WeekIndex],86)&gt;0,SUMIFS(T_StockCount[CountedQty],T_StockCount[Part Name],$A44,T_StockCount[WeekIndex],86),IF((('T_SelfStock'!CI48&lt;&gt;""))*(('T_TTAFStock'!CI48&lt;&gt;""))&gt;0,'T_SelfStock'!CI48+'T_TTAFStock'!CI48,CH44+'Grid_Incoming'!CI44-'Grid_Requirement'!CI44))</f>
        <v/>
      </c>
      <c r="CJ44">
        <f>IF(COUNTIFS(T_StockCount[Part Name],$A44,T_StockCount[WeekIndex],87)&gt;0,SUMIFS(T_StockCount[CountedQty],T_StockCount[Part Name],$A44,T_StockCount[WeekIndex],87),IF((('T_SelfStock'!CJ48&lt;&gt;""))*(('T_TTAFStock'!CJ48&lt;&gt;""))&gt;0,'T_SelfStock'!CJ48+'T_TTAFStock'!CJ48,CI44+'Grid_Incoming'!CJ44-'Grid_Requirement'!CJ44))</f>
        <v/>
      </c>
      <c r="CK44">
        <f>IF(COUNTIFS(T_StockCount[Part Name],$A44,T_StockCount[WeekIndex],88)&gt;0,SUMIFS(T_StockCount[CountedQty],T_StockCount[Part Name],$A44,T_StockCount[WeekIndex],88),IF((('T_SelfStock'!CK48&lt;&gt;""))*(('T_TTAFStock'!CK48&lt;&gt;""))&gt;0,'T_SelfStock'!CK48+'T_TTAFStock'!CK48,CJ44+'Grid_Incoming'!CK44-'Grid_Requirement'!CK44))</f>
        <v/>
      </c>
      <c r="CL44">
        <f>IF(COUNTIFS(T_StockCount[Part Name],$A44,T_StockCount[WeekIndex],89)&gt;0,SUMIFS(T_StockCount[CountedQty],T_StockCount[Part Name],$A44,T_StockCount[WeekIndex],89),IF((('T_SelfStock'!CL48&lt;&gt;""))*(('T_TTAFStock'!CL48&lt;&gt;""))&gt;0,'T_SelfStock'!CL48+'T_TTAFStock'!CL48,CK44+'Grid_Incoming'!CL44-'Grid_Requirement'!CL44))</f>
        <v/>
      </c>
      <c r="CM44">
        <f>IF(COUNTIFS(T_StockCount[Part Name],$A44,T_StockCount[WeekIndex],90)&gt;0,SUMIFS(T_StockCount[CountedQty],T_StockCount[Part Name],$A44,T_StockCount[WeekIndex],90),IF((('T_SelfStock'!CM48&lt;&gt;""))*(('T_TTAFStock'!CM48&lt;&gt;""))&gt;0,'T_SelfStock'!CM48+'T_TTAFStock'!CM48,CL44+'Grid_Incoming'!CM44-'Grid_Requirement'!CM44))</f>
        <v/>
      </c>
      <c r="CN44">
        <f>IF(COUNTIFS(T_StockCount[Part Name],$A44,T_StockCount[WeekIndex],91)&gt;0,SUMIFS(T_StockCount[CountedQty],T_StockCount[Part Name],$A44,T_StockCount[WeekIndex],91),IF((('T_SelfStock'!CN48&lt;&gt;""))*(('T_TTAFStock'!CN48&lt;&gt;""))&gt;0,'T_SelfStock'!CN48+'T_TTAFStock'!CN48,CM44+'Grid_Incoming'!CN44-'Grid_Requirement'!CN44))</f>
        <v/>
      </c>
      <c r="CO44">
        <f>IF(COUNTIFS(T_StockCount[Part Name],$A44,T_StockCount[WeekIndex],92)&gt;0,SUMIFS(T_StockCount[CountedQty],T_StockCount[Part Name],$A44,T_StockCount[WeekIndex],92),IF((('T_SelfStock'!CO48&lt;&gt;""))*(('T_TTAFStock'!CO48&lt;&gt;""))&gt;0,'T_SelfStock'!CO48+'T_TTAFStock'!CO48,CN44+'Grid_Incoming'!CO44-'Grid_Requirement'!CO44))</f>
        <v/>
      </c>
      <c r="CP44">
        <f>IF(COUNTIFS(T_StockCount[Part Name],$A44,T_StockCount[WeekIndex],93)&gt;0,SUMIFS(T_StockCount[CountedQty],T_StockCount[Part Name],$A44,T_StockCount[WeekIndex],93),IF((('T_SelfStock'!CP48&lt;&gt;""))*(('T_TTAFStock'!CP48&lt;&gt;""))&gt;0,'T_SelfStock'!CP48+'T_TTAFStock'!CP48,CO44+'Grid_Incoming'!CP44-'Grid_Requirement'!CP44))</f>
        <v/>
      </c>
      <c r="CQ44">
        <f>IF(COUNTIFS(T_StockCount[Part Name],$A44,T_StockCount[WeekIndex],94)&gt;0,SUMIFS(T_StockCount[CountedQty],T_StockCount[Part Name],$A44,T_StockCount[WeekIndex],94),IF((('T_SelfStock'!CQ48&lt;&gt;""))*(('T_TTAFStock'!CQ48&lt;&gt;""))&gt;0,'T_SelfStock'!CQ48+'T_TTAFStock'!CQ48,CP44+'Grid_Incoming'!CQ44-'Grid_Requirement'!CQ44))</f>
        <v/>
      </c>
      <c r="CR44">
        <f>IF(COUNTIFS(T_StockCount[Part Name],$A44,T_StockCount[WeekIndex],95)&gt;0,SUMIFS(T_StockCount[CountedQty],T_StockCount[Part Name],$A44,T_StockCount[WeekIndex],95),IF((('T_SelfStock'!CR48&lt;&gt;""))*(('T_TTAFStock'!CR48&lt;&gt;""))&gt;0,'T_SelfStock'!CR48+'T_TTAFStock'!CR48,CQ44+'Grid_Incoming'!CR44-'Grid_Requirement'!CR44))</f>
        <v/>
      </c>
      <c r="CS44">
        <f>IF(COUNTIFS(T_StockCount[Part Name],$A44,T_StockCount[WeekIndex],96)&gt;0,SUMIFS(T_StockCount[CountedQty],T_StockCount[Part Name],$A44,T_StockCount[WeekIndex],96),IF((('T_SelfStock'!CS48&lt;&gt;""))*(('T_TTAFStock'!CS48&lt;&gt;""))&gt;0,'T_SelfStock'!CS48+'T_TTAFStock'!CS48,CR44+'Grid_Incoming'!CS44-'Grid_Requirement'!CS44))</f>
        <v/>
      </c>
      <c r="CT44">
        <f>IF(COUNTIFS(T_StockCount[Part Name],$A44,T_StockCount[WeekIndex],97)&gt;0,SUMIFS(T_StockCount[CountedQty],T_StockCount[Part Name],$A44,T_StockCount[WeekIndex],97),IF((('T_SelfStock'!CT48&lt;&gt;""))*(('T_TTAFStock'!CT48&lt;&gt;""))&gt;0,'T_SelfStock'!CT48+'T_TTAFStock'!CT48,CS44+'Grid_Incoming'!CT44-'Grid_Requirement'!CT44))</f>
        <v/>
      </c>
      <c r="CU44">
        <f>IF(COUNTIFS(T_StockCount[Part Name],$A44,T_StockCount[WeekIndex],98)&gt;0,SUMIFS(T_StockCount[CountedQty],T_StockCount[Part Name],$A44,T_StockCount[WeekIndex],98),IF((('T_SelfStock'!CU48&lt;&gt;""))*(('T_TTAFStock'!CU48&lt;&gt;""))&gt;0,'T_SelfStock'!CU48+'T_TTAFStock'!CU48,CT44+'Grid_Incoming'!CU44-'Grid_Requirement'!CU44))</f>
        <v/>
      </c>
      <c r="CV44">
        <f>IF(COUNTIFS(T_StockCount[Part Name],$A44,T_StockCount[WeekIndex],99)&gt;0,SUMIFS(T_StockCount[CountedQty],T_StockCount[Part Name],$A44,T_StockCount[WeekIndex],99),IF((('T_SelfStock'!CV48&lt;&gt;""))*(('T_TTAFStock'!CV48&lt;&gt;""))&gt;0,'T_SelfStock'!CV48+'T_TTAFStock'!CV48,CU44+'Grid_Incoming'!CV44-'Grid_Requirement'!CV44))</f>
        <v/>
      </c>
      <c r="CW44">
        <f>IF(COUNTIFS(T_StockCount[Part Name],$A44,T_StockCount[WeekIndex],100)&gt;0,SUMIFS(T_StockCount[CountedQty],T_StockCount[Part Name],$A44,T_StockCount[WeekIndex],100),IF((('T_SelfStock'!CW48&lt;&gt;""))*(('T_TTAFStock'!CW48&lt;&gt;""))&gt;0,'T_SelfStock'!CW48+'T_TTAFStock'!CW48,CV44+'Grid_Incoming'!CW44-'Grid_Requirement'!CW44))</f>
        <v/>
      </c>
      <c r="CX44">
        <f>IF(COUNTIFS(T_StockCount[Part Name],$A44,T_StockCount[WeekIndex],101)&gt;0,SUMIFS(T_StockCount[CountedQty],T_StockCount[Part Name],$A44,T_StockCount[WeekIndex],101),IF((('T_SelfStock'!CX48&lt;&gt;""))*(('T_TTAFStock'!CX48&lt;&gt;""))&gt;0,'T_SelfStock'!CX48+'T_TTAFStock'!CX48,CW44+'Grid_Incoming'!CX44-'Grid_Requirement'!CX44))</f>
        <v/>
      </c>
      <c r="CY44">
        <f>IF(COUNTIFS(T_StockCount[Part Name],$A44,T_StockCount[WeekIndex],102)&gt;0,SUMIFS(T_StockCount[CountedQty],T_StockCount[Part Name],$A44,T_StockCount[WeekIndex],102),IF((('T_SelfStock'!CY48&lt;&gt;""))*(('T_TTAFStock'!CY48&lt;&gt;""))&gt;0,'T_SelfStock'!CY48+'T_TTAFStock'!CY48,CX44+'Grid_Incoming'!CY44-'Grid_Requirement'!CY44))</f>
        <v/>
      </c>
      <c r="CZ44">
        <f>IF(COUNTIFS(T_StockCount[Part Name],$A44,T_StockCount[WeekIndex],103)&gt;0,SUMIFS(T_StockCount[CountedQty],T_StockCount[Part Name],$A44,T_StockCount[WeekIndex],103),IF((('T_SelfStock'!CZ48&lt;&gt;""))*(('T_TTAFStock'!CZ48&lt;&gt;""))&gt;0,'T_SelfStock'!CZ48+'T_TTAFStock'!CZ48,CY44+'Grid_Incoming'!CZ44-'Grid_Requirement'!CZ44))</f>
        <v/>
      </c>
      <c r="DA44">
        <f>IF(COUNTIFS(T_StockCount[Part Name],$A44,T_StockCount[WeekIndex],104)&gt;0,SUMIFS(T_StockCount[CountedQty],T_StockCount[Part Name],$A44,T_StockCount[WeekIndex],104),IF((('T_SelfStock'!DA48&lt;&gt;""))*(('T_TTAFStock'!DA48&lt;&gt;""))&gt;0,'T_SelfStock'!DA48+'T_TTAFStock'!DA48,CZ44+'Grid_Incoming'!DA44-'Grid_Requirement'!DA44))</f>
        <v/>
      </c>
    </row>
    <row r="45">
      <c r="A45" t="inlineStr">
        <is>
          <t>A043</t>
        </is>
      </c>
      <c r="B45">
        <f>IF(COUNTIFS(T_StockCount[Part Name],$A45,T_StockCount[WeekIndex],1)&gt;0,SUMIFS(T_StockCount[CountedQty],T_StockCount[Part Name],$A45,T_StockCount[WeekIndex],1),IF((('T_SelfStock'!B49&lt;&gt;""))*(('T_TTAFStock'!B49&lt;&gt;""))&gt;0,'T_SelfStock'!B49+'T_TTAFStock'!B49,IFERROR(INDEX(T_OpeningStock[Opening_Qty],MATCH($A45,T_OpeningStock[Part Name],0)),0)+'Grid_Incoming'!B45-'Grid_Requirement'!B45))</f>
        <v/>
      </c>
      <c r="C45">
        <f>IF(COUNTIFS(T_StockCount[Part Name],$A45,T_StockCount[WeekIndex],2)&gt;0,SUMIFS(T_StockCount[CountedQty],T_StockCount[Part Name],$A45,T_StockCount[WeekIndex],2),IF((('T_SelfStock'!C49&lt;&gt;""))*(('T_TTAFStock'!C49&lt;&gt;""))&gt;0,'T_SelfStock'!C49+'T_TTAFStock'!C49,B45+'Grid_Incoming'!C45-'Grid_Requirement'!C45))</f>
        <v/>
      </c>
      <c r="D45">
        <f>IF(COUNTIFS(T_StockCount[Part Name],$A45,T_StockCount[WeekIndex],3)&gt;0,SUMIFS(T_StockCount[CountedQty],T_StockCount[Part Name],$A45,T_StockCount[WeekIndex],3),IF((('T_SelfStock'!D49&lt;&gt;""))*(('T_TTAFStock'!D49&lt;&gt;""))&gt;0,'T_SelfStock'!D49+'T_TTAFStock'!D49,C45+'Grid_Incoming'!D45-'Grid_Requirement'!D45))</f>
        <v/>
      </c>
      <c r="E45">
        <f>IF(COUNTIFS(T_StockCount[Part Name],$A45,T_StockCount[WeekIndex],4)&gt;0,SUMIFS(T_StockCount[CountedQty],T_StockCount[Part Name],$A45,T_StockCount[WeekIndex],4),IF((('T_SelfStock'!E49&lt;&gt;""))*(('T_TTAFStock'!E49&lt;&gt;""))&gt;0,'T_SelfStock'!E49+'T_TTAFStock'!E49,D45+'Grid_Incoming'!E45-'Grid_Requirement'!E45))</f>
        <v/>
      </c>
      <c r="F45">
        <f>IF(COUNTIFS(T_StockCount[Part Name],$A45,T_StockCount[WeekIndex],5)&gt;0,SUMIFS(T_StockCount[CountedQty],T_StockCount[Part Name],$A45,T_StockCount[WeekIndex],5),IF((('T_SelfStock'!F49&lt;&gt;""))*(('T_TTAFStock'!F49&lt;&gt;""))&gt;0,'T_SelfStock'!F49+'T_TTAFStock'!F49,E45+'Grid_Incoming'!F45-'Grid_Requirement'!F45))</f>
        <v/>
      </c>
      <c r="G45">
        <f>IF(COUNTIFS(T_StockCount[Part Name],$A45,T_StockCount[WeekIndex],6)&gt;0,SUMIFS(T_StockCount[CountedQty],T_StockCount[Part Name],$A45,T_StockCount[WeekIndex],6),IF((('T_SelfStock'!G49&lt;&gt;""))*(('T_TTAFStock'!G49&lt;&gt;""))&gt;0,'T_SelfStock'!G49+'T_TTAFStock'!G49,F45+'Grid_Incoming'!G45-'Grid_Requirement'!G45))</f>
        <v/>
      </c>
      <c r="H45">
        <f>IF(COUNTIFS(T_StockCount[Part Name],$A45,T_StockCount[WeekIndex],7)&gt;0,SUMIFS(T_StockCount[CountedQty],T_StockCount[Part Name],$A45,T_StockCount[WeekIndex],7),IF((('T_SelfStock'!H49&lt;&gt;""))*(('T_TTAFStock'!H49&lt;&gt;""))&gt;0,'T_SelfStock'!H49+'T_TTAFStock'!H49,G45+'Grid_Incoming'!H45-'Grid_Requirement'!H45))</f>
        <v/>
      </c>
      <c r="I45">
        <f>IF(COUNTIFS(T_StockCount[Part Name],$A45,T_StockCount[WeekIndex],8)&gt;0,SUMIFS(T_StockCount[CountedQty],T_StockCount[Part Name],$A45,T_StockCount[WeekIndex],8),IF((('T_SelfStock'!I49&lt;&gt;""))*(('T_TTAFStock'!I49&lt;&gt;""))&gt;0,'T_SelfStock'!I49+'T_TTAFStock'!I49,H45+'Grid_Incoming'!I45-'Grid_Requirement'!I45))</f>
        <v/>
      </c>
      <c r="J45">
        <f>IF(COUNTIFS(T_StockCount[Part Name],$A45,T_StockCount[WeekIndex],9)&gt;0,SUMIFS(T_StockCount[CountedQty],T_StockCount[Part Name],$A45,T_StockCount[WeekIndex],9),IF((('T_SelfStock'!J49&lt;&gt;""))*(('T_TTAFStock'!J49&lt;&gt;""))&gt;0,'T_SelfStock'!J49+'T_TTAFStock'!J49,I45+'Grid_Incoming'!J45-'Grid_Requirement'!J45))</f>
        <v/>
      </c>
      <c r="K45">
        <f>IF(COUNTIFS(T_StockCount[Part Name],$A45,T_StockCount[WeekIndex],10)&gt;0,SUMIFS(T_StockCount[CountedQty],T_StockCount[Part Name],$A45,T_StockCount[WeekIndex],10),IF((('T_SelfStock'!K49&lt;&gt;""))*(('T_TTAFStock'!K49&lt;&gt;""))&gt;0,'T_SelfStock'!K49+'T_TTAFStock'!K49,J45+'Grid_Incoming'!K45-'Grid_Requirement'!K45))</f>
        <v/>
      </c>
      <c r="L45">
        <f>IF(COUNTIFS(T_StockCount[Part Name],$A45,T_StockCount[WeekIndex],11)&gt;0,SUMIFS(T_StockCount[CountedQty],T_StockCount[Part Name],$A45,T_StockCount[WeekIndex],11),IF((('T_SelfStock'!L49&lt;&gt;""))*(('T_TTAFStock'!L49&lt;&gt;""))&gt;0,'T_SelfStock'!L49+'T_TTAFStock'!L49,K45+'Grid_Incoming'!L45-'Grid_Requirement'!L45))</f>
        <v/>
      </c>
      <c r="M45">
        <f>IF(COUNTIFS(T_StockCount[Part Name],$A45,T_StockCount[WeekIndex],12)&gt;0,SUMIFS(T_StockCount[CountedQty],T_StockCount[Part Name],$A45,T_StockCount[WeekIndex],12),IF((('T_SelfStock'!M49&lt;&gt;""))*(('T_TTAFStock'!M49&lt;&gt;""))&gt;0,'T_SelfStock'!M49+'T_TTAFStock'!M49,L45+'Grid_Incoming'!M45-'Grid_Requirement'!M45))</f>
        <v/>
      </c>
      <c r="N45">
        <f>IF(COUNTIFS(T_StockCount[Part Name],$A45,T_StockCount[WeekIndex],13)&gt;0,SUMIFS(T_StockCount[CountedQty],T_StockCount[Part Name],$A45,T_StockCount[WeekIndex],13),IF((('T_SelfStock'!N49&lt;&gt;""))*(('T_TTAFStock'!N49&lt;&gt;""))&gt;0,'T_SelfStock'!N49+'T_TTAFStock'!N49,M45+'Grid_Incoming'!N45-'Grid_Requirement'!N45))</f>
        <v/>
      </c>
      <c r="O45">
        <f>IF(COUNTIFS(T_StockCount[Part Name],$A45,T_StockCount[WeekIndex],14)&gt;0,SUMIFS(T_StockCount[CountedQty],T_StockCount[Part Name],$A45,T_StockCount[WeekIndex],14),IF((('T_SelfStock'!O49&lt;&gt;""))*(('T_TTAFStock'!O49&lt;&gt;""))&gt;0,'T_SelfStock'!O49+'T_TTAFStock'!O49,N45+'Grid_Incoming'!O45-'Grid_Requirement'!O45))</f>
        <v/>
      </c>
      <c r="P45">
        <f>IF(COUNTIFS(T_StockCount[Part Name],$A45,T_StockCount[WeekIndex],15)&gt;0,SUMIFS(T_StockCount[CountedQty],T_StockCount[Part Name],$A45,T_StockCount[WeekIndex],15),IF((('T_SelfStock'!P49&lt;&gt;""))*(('T_TTAFStock'!P49&lt;&gt;""))&gt;0,'T_SelfStock'!P49+'T_TTAFStock'!P49,O45+'Grid_Incoming'!P45-'Grid_Requirement'!P45))</f>
        <v/>
      </c>
      <c r="Q45">
        <f>IF(COUNTIFS(T_StockCount[Part Name],$A45,T_StockCount[WeekIndex],16)&gt;0,SUMIFS(T_StockCount[CountedQty],T_StockCount[Part Name],$A45,T_StockCount[WeekIndex],16),IF((('T_SelfStock'!Q49&lt;&gt;""))*(('T_TTAFStock'!Q49&lt;&gt;""))&gt;0,'T_SelfStock'!Q49+'T_TTAFStock'!Q49,P45+'Grid_Incoming'!Q45-'Grid_Requirement'!Q45))</f>
        <v/>
      </c>
      <c r="R45">
        <f>IF(COUNTIFS(T_StockCount[Part Name],$A45,T_StockCount[WeekIndex],17)&gt;0,SUMIFS(T_StockCount[CountedQty],T_StockCount[Part Name],$A45,T_StockCount[WeekIndex],17),IF((('T_SelfStock'!R49&lt;&gt;""))*(('T_TTAFStock'!R49&lt;&gt;""))&gt;0,'T_SelfStock'!R49+'T_TTAFStock'!R49,Q45+'Grid_Incoming'!R45-'Grid_Requirement'!R45))</f>
        <v/>
      </c>
      <c r="S45">
        <f>IF(COUNTIFS(T_StockCount[Part Name],$A45,T_StockCount[WeekIndex],18)&gt;0,SUMIFS(T_StockCount[CountedQty],T_StockCount[Part Name],$A45,T_StockCount[WeekIndex],18),IF((('T_SelfStock'!S49&lt;&gt;""))*(('T_TTAFStock'!S49&lt;&gt;""))&gt;0,'T_SelfStock'!S49+'T_TTAFStock'!S49,R45+'Grid_Incoming'!S45-'Grid_Requirement'!S45))</f>
        <v/>
      </c>
      <c r="T45">
        <f>IF(COUNTIFS(T_StockCount[Part Name],$A45,T_StockCount[WeekIndex],19)&gt;0,SUMIFS(T_StockCount[CountedQty],T_StockCount[Part Name],$A45,T_StockCount[WeekIndex],19),IF((('T_SelfStock'!T49&lt;&gt;""))*(('T_TTAFStock'!T49&lt;&gt;""))&gt;0,'T_SelfStock'!T49+'T_TTAFStock'!T49,S45+'Grid_Incoming'!T45-'Grid_Requirement'!T45))</f>
        <v/>
      </c>
      <c r="U45">
        <f>IF(COUNTIFS(T_StockCount[Part Name],$A45,T_StockCount[WeekIndex],20)&gt;0,SUMIFS(T_StockCount[CountedQty],T_StockCount[Part Name],$A45,T_StockCount[WeekIndex],20),IF((('T_SelfStock'!U49&lt;&gt;""))*(('T_TTAFStock'!U49&lt;&gt;""))&gt;0,'T_SelfStock'!U49+'T_TTAFStock'!U49,T45+'Grid_Incoming'!U45-'Grid_Requirement'!U45))</f>
        <v/>
      </c>
      <c r="V45">
        <f>IF(COUNTIFS(T_StockCount[Part Name],$A45,T_StockCount[WeekIndex],21)&gt;0,SUMIFS(T_StockCount[CountedQty],T_StockCount[Part Name],$A45,T_StockCount[WeekIndex],21),IF((('T_SelfStock'!V49&lt;&gt;""))*(('T_TTAFStock'!V49&lt;&gt;""))&gt;0,'T_SelfStock'!V49+'T_TTAFStock'!V49,U45+'Grid_Incoming'!V45-'Grid_Requirement'!V45))</f>
        <v/>
      </c>
      <c r="W45">
        <f>IF(COUNTIFS(T_StockCount[Part Name],$A45,T_StockCount[WeekIndex],22)&gt;0,SUMIFS(T_StockCount[CountedQty],T_StockCount[Part Name],$A45,T_StockCount[WeekIndex],22),IF((('T_SelfStock'!W49&lt;&gt;""))*(('T_TTAFStock'!W49&lt;&gt;""))&gt;0,'T_SelfStock'!W49+'T_TTAFStock'!W49,V45+'Grid_Incoming'!W45-'Grid_Requirement'!W45))</f>
        <v/>
      </c>
      <c r="X45">
        <f>IF(COUNTIFS(T_StockCount[Part Name],$A45,T_StockCount[WeekIndex],23)&gt;0,SUMIFS(T_StockCount[CountedQty],T_StockCount[Part Name],$A45,T_StockCount[WeekIndex],23),IF((('T_SelfStock'!X49&lt;&gt;""))*(('T_TTAFStock'!X49&lt;&gt;""))&gt;0,'T_SelfStock'!X49+'T_TTAFStock'!X49,W45+'Grid_Incoming'!X45-'Grid_Requirement'!X45))</f>
        <v/>
      </c>
      <c r="Y45">
        <f>IF(COUNTIFS(T_StockCount[Part Name],$A45,T_StockCount[WeekIndex],24)&gt;0,SUMIFS(T_StockCount[CountedQty],T_StockCount[Part Name],$A45,T_StockCount[WeekIndex],24),IF((('T_SelfStock'!Y49&lt;&gt;""))*(('T_TTAFStock'!Y49&lt;&gt;""))&gt;0,'T_SelfStock'!Y49+'T_TTAFStock'!Y49,X45+'Grid_Incoming'!Y45-'Grid_Requirement'!Y45))</f>
        <v/>
      </c>
      <c r="Z45">
        <f>IF(COUNTIFS(T_StockCount[Part Name],$A45,T_StockCount[WeekIndex],25)&gt;0,SUMIFS(T_StockCount[CountedQty],T_StockCount[Part Name],$A45,T_StockCount[WeekIndex],25),IF((('T_SelfStock'!Z49&lt;&gt;""))*(('T_TTAFStock'!Z49&lt;&gt;""))&gt;0,'T_SelfStock'!Z49+'T_TTAFStock'!Z49,Y45+'Grid_Incoming'!Z45-'Grid_Requirement'!Z45))</f>
        <v/>
      </c>
      <c r="AA45">
        <f>IF(COUNTIFS(T_StockCount[Part Name],$A45,T_StockCount[WeekIndex],26)&gt;0,SUMIFS(T_StockCount[CountedQty],T_StockCount[Part Name],$A45,T_StockCount[WeekIndex],26),IF((('T_SelfStock'!AA49&lt;&gt;""))*(('T_TTAFStock'!AA49&lt;&gt;""))&gt;0,'T_SelfStock'!AA49+'T_TTAFStock'!AA49,Z45+'Grid_Incoming'!AA45-'Grid_Requirement'!AA45))</f>
        <v/>
      </c>
      <c r="AB45">
        <f>IF(COUNTIFS(T_StockCount[Part Name],$A45,T_StockCount[WeekIndex],27)&gt;0,SUMIFS(T_StockCount[CountedQty],T_StockCount[Part Name],$A45,T_StockCount[WeekIndex],27),IF((('T_SelfStock'!AB49&lt;&gt;""))*(('T_TTAFStock'!AB49&lt;&gt;""))&gt;0,'T_SelfStock'!AB49+'T_TTAFStock'!AB49,AA45+'Grid_Incoming'!AB45-'Grid_Requirement'!AB45))</f>
        <v/>
      </c>
      <c r="AC45">
        <f>IF(COUNTIFS(T_StockCount[Part Name],$A45,T_StockCount[WeekIndex],28)&gt;0,SUMIFS(T_StockCount[CountedQty],T_StockCount[Part Name],$A45,T_StockCount[WeekIndex],28),IF((('T_SelfStock'!AC49&lt;&gt;""))*(('T_TTAFStock'!AC49&lt;&gt;""))&gt;0,'T_SelfStock'!AC49+'T_TTAFStock'!AC49,AB45+'Grid_Incoming'!AC45-'Grid_Requirement'!AC45))</f>
        <v/>
      </c>
      <c r="AD45">
        <f>IF(COUNTIFS(T_StockCount[Part Name],$A45,T_StockCount[WeekIndex],29)&gt;0,SUMIFS(T_StockCount[CountedQty],T_StockCount[Part Name],$A45,T_StockCount[WeekIndex],29),IF((('T_SelfStock'!AD49&lt;&gt;""))*(('T_TTAFStock'!AD49&lt;&gt;""))&gt;0,'T_SelfStock'!AD49+'T_TTAFStock'!AD49,AC45+'Grid_Incoming'!AD45-'Grid_Requirement'!AD45))</f>
        <v/>
      </c>
      <c r="AE45">
        <f>IF(COUNTIFS(T_StockCount[Part Name],$A45,T_StockCount[WeekIndex],30)&gt;0,SUMIFS(T_StockCount[CountedQty],T_StockCount[Part Name],$A45,T_StockCount[WeekIndex],30),IF((('T_SelfStock'!AE49&lt;&gt;""))*(('T_TTAFStock'!AE49&lt;&gt;""))&gt;0,'T_SelfStock'!AE49+'T_TTAFStock'!AE49,AD45+'Grid_Incoming'!AE45-'Grid_Requirement'!AE45))</f>
        <v/>
      </c>
      <c r="AF45">
        <f>IF(COUNTIFS(T_StockCount[Part Name],$A45,T_StockCount[WeekIndex],31)&gt;0,SUMIFS(T_StockCount[CountedQty],T_StockCount[Part Name],$A45,T_StockCount[WeekIndex],31),IF((('T_SelfStock'!AF49&lt;&gt;""))*(('T_TTAFStock'!AF49&lt;&gt;""))&gt;0,'T_SelfStock'!AF49+'T_TTAFStock'!AF49,AE45+'Grid_Incoming'!AF45-'Grid_Requirement'!AF45))</f>
        <v/>
      </c>
      <c r="AG45">
        <f>IF(COUNTIFS(T_StockCount[Part Name],$A45,T_StockCount[WeekIndex],32)&gt;0,SUMIFS(T_StockCount[CountedQty],T_StockCount[Part Name],$A45,T_StockCount[WeekIndex],32),IF((('T_SelfStock'!AG49&lt;&gt;""))*(('T_TTAFStock'!AG49&lt;&gt;""))&gt;0,'T_SelfStock'!AG49+'T_TTAFStock'!AG49,AF45+'Grid_Incoming'!AG45-'Grid_Requirement'!AG45))</f>
        <v/>
      </c>
      <c r="AH45">
        <f>IF(COUNTIFS(T_StockCount[Part Name],$A45,T_StockCount[WeekIndex],33)&gt;0,SUMIFS(T_StockCount[CountedQty],T_StockCount[Part Name],$A45,T_StockCount[WeekIndex],33),IF((('T_SelfStock'!AH49&lt;&gt;""))*(('T_TTAFStock'!AH49&lt;&gt;""))&gt;0,'T_SelfStock'!AH49+'T_TTAFStock'!AH49,AG45+'Grid_Incoming'!AH45-'Grid_Requirement'!AH45))</f>
        <v/>
      </c>
      <c r="AI45">
        <f>IF(COUNTIFS(T_StockCount[Part Name],$A45,T_StockCount[WeekIndex],34)&gt;0,SUMIFS(T_StockCount[CountedQty],T_StockCount[Part Name],$A45,T_StockCount[WeekIndex],34),IF((('T_SelfStock'!AI49&lt;&gt;""))*(('T_TTAFStock'!AI49&lt;&gt;""))&gt;0,'T_SelfStock'!AI49+'T_TTAFStock'!AI49,AH45+'Grid_Incoming'!AI45-'Grid_Requirement'!AI45))</f>
        <v/>
      </c>
      <c r="AJ45">
        <f>IF(COUNTIFS(T_StockCount[Part Name],$A45,T_StockCount[WeekIndex],35)&gt;0,SUMIFS(T_StockCount[CountedQty],T_StockCount[Part Name],$A45,T_StockCount[WeekIndex],35),IF((('T_SelfStock'!AJ49&lt;&gt;""))*(('T_TTAFStock'!AJ49&lt;&gt;""))&gt;0,'T_SelfStock'!AJ49+'T_TTAFStock'!AJ49,AI45+'Grid_Incoming'!AJ45-'Grid_Requirement'!AJ45))</f>
        <v/>
      </c>
      <c r="AK45">
        <f>IF(COUNTIFS(T_StockCount[Part Name],$A45,T_StockCount[WeekIndex],36)&gt;0,SUMIFS(T_StockCount[CountedQty],T_StockCount[Part Name],$A45,T_StockCount[WeekIndex],36),IF((('T_SelfStock'!AK49&lt;&gt;""))*(('T_TTAFStock'!AK49&lt;&gt;""))&gt;0,'T_SelfStock'!AK49+'T_TTAFStock'!AK49,AJ45+'Grid_Incoming'!AK45-'Grid_Requirement'!AK45))</f>
        <v/>
      </c>
      <c r="AL45">
        <f>IF(COUNTIFS(T_StockCount[Part Name],$A45,T_StockCount[WeekIndex],37)&gt;0,SUMIFS(T_StockCount[CountedQty],T_StockCount[Part Name],$A45,T_StockCount[WeekIndex],37),IF((('T_SelfStock'!AL49&lt;&gt;""))*(('T_TTAFStock'!AL49&lt;&gt;""))&gt;0,'T_SelfStock'!AL49+'T_TTAFStock'!AL49,AK45+'Grid_Incoming'!AL45-'Grid_Requirement'!AL45))</f>
        <v/>
      </c>
      <c r="AM45">
        <f>IF(COUNTIFS(T_StockCount[Part Name],$A45,T_StockCount[WeekIndex],38)&gt;0,SUMIFS(T_StockCount[CountedQty],T_StockCount[Part Name],$A45,T_StockCount[WeekIndex],38),IF((('T_SelfStock'!AM49&lt;&gt;""))*(('T_TTAFStock'!AM49&lt;&gt;""))&gt;0,'T_SelfStock'!AM49+'T_TTAFStock'!AM49,AL45+'Grid_Incoming'!AM45-'Grid_Requirement'!AM45))</f>
        <v/>
      </c>
      <c r="AN45">
        <f>IF(COUNTIFS(T_StockCount[Part Name],$A45,T_StockCount[WeekIndex],39)&gt;0,SUMIFS(T_StockCount[CountedQty],T_StockCount[Part Name],$A45,T_StockCount[WeekIndex],39),IF((('T_SelfStock'!AN49&lt;&gt;""))*(('T_TTAFStock'!AN49&lt;&gt;""))&gt;0,'T_SelfStock'!AN49+'T_TTAFStock'!AN49,AM45+'Grid_Incoming'!AN45-'Grid_Requirement'!AN45))</f>
        <v/>
      </c>
      <c r="AO45">
        <f>IF(COUNTIFS(T_StockCount[Part Name],$A45,T_StockCount[WeekIndex],40)&gt;0,SUMIFS(T_StockCount[CountedQty],T_StockCount[Part Name],$A45,T_StockCount[WeekIndex],40),IF((('T_SelfStock'!AO49&lt;&gt;""))*(('T_TTAFStock'!AO49&lt;&gt;""))&gt;0,'T_SelfStock'!AO49+'T_TTAFStock'!AO49,AN45+'Grid_Incoming'!AO45-'Grid_Requirement'!AO45))</f>
        <v/>
      </c>
      <c r="AP45">
        <f>IF(COUNTIFS(T_StockCount[Part Name],$A45,T_StockCount[WeekIndex],41)&gt;0,SUMIFS(T_StockCount[CountedQty],T_StockCount[Part Name],$A45,T_StockCount[WeekIndex],41),IF((('T_SelfStock'!AP49&lt;&gt;""))*(('T_TTAFStock'!AP49&lt;&gt;""))&gt;0,'T_SelfStock'!AP49+'T_TTAFStock'!AP49,AO45+'Grid_Incoming'!AP45-'Grid_Requirement'!AP45))</f>
        <v/>
      </c>
      <c r="AQ45">
        <f>IF(COUNTIFS(T_StockCount[Part Name],$A45,T_StockCount[WeekIndex],42)&gt;0,SUMIFS(T_StockCount[CountedQty],T_StockCount[Part Name],$A45,T_StockCount[WeekIndex],42),IF((('T_SelfStock'!AQ49&lt;&gt;""))*(('T_TTAFStock'!AQ49&lt;&gt;""))&gt;0,'T_SelfStock'!AQ49+'T_TTAFStock'!AQ49,AP45+'Grid_Incoming'!AQ45-'Grid_Requirement'!AQ45))</f>
        <v/>
      </c>
      <c r="AR45">
        <f>IF(COUNTIFS(T_StockCount[Part Name],$A45,T_StockCount[WeekIndex],43)&gt;0,SUMIFS(T_StockCount[CountedQty],T_StockCount[Part Name],$A45,T_StockCount[WeekIndex],43),IF((('T_SelfStock'!AR49&lt;&gt;""))*(('T_TTAFStock'!AR49&lt;&gt;""))&gt;0,'T_SelfStock'!AR49+'T_TTAFStock'!AR49,AQ45+'Grid_Incoming'!AR45-'Grid_Requirement'!AR45))</f>
        <v/>
      </c>
      <c r="AS45">
        <f>IF(COUNTIFS(T_StockCount[Part Name],$A45,T_StockCount[WeekIndex],44)&gt;0,SUMIFS(T_StockCount[CountedQty],T_StockCount[Part Name],$A45,T_StockCount[WeekIndex],44),IF((('T_SelfStock'!AS49&lt;&gt;""))*(('T_TTAFStock'!AS49&lt;&gt;""))&gt;0,'T_SelfStock'!AS49+'T_TTAFStock'!AS49,AR45+'Grid_Incoming'!AS45-'Grid_Requirement'!AS45))</f>
        <v/>
      </c>
      <c r="AT45">
        <f>IF(COUNTIFS(T_StockCount[Part Name],$A45,T_StockCount[WeekIndex],45)&gt;0,SUMIFS(T_StockCount[CountedQty],T_StockCount[Part Name],$A45,T_StockCount[WeekIndex],45),IF((('T_SelfStock'!AT49&lt;&gt;""))*(('T_TTAFStock'!AT49&lt;&gt;""))&gt;0,'T_SelfStock'!AT49+'T_TTAFStock'!AT49,AS45+'Grid_Incoming'!AT45-'Grid_Requirement'!AT45))</f>
        <v/>
      </c>
      <c r="AU45">
        <f>IF(COUNTIFS(T_StockCount[Part Name],$A45,T_StockCount[WeekIndex],46)&gt;0,SUMIFS(T_StockCount[CountedQty],T_StockCount[Part Name],$A45,T_StockCount[WeekIndex],46),IF((('T_SelfStock'!AU49&lt;&gt;""))*(('T_TTAFStock'!AU49&lt;&gt;""))&gt;0,'T_SelfStock'!AU49+'T_TTAFStock'!AU49,AT45+'Grid_Incoming'!AU45-'Grid_Requirement'!AU45))</f>
        <v/>
      </c>
      <c r="AV45">
        <f>IF(COUNTIFS(T_StockCount[Part Name],$A45,T_StockCount[WeekIndex],47)&gt;0,SUMIFS(T_StockCount[CountedQty],T_StockCount[Part Name],$A45,T_StockCount[WeekIndex],47),IF((('T_SelfStock'!AV49&lt;&gt;""))*(('T_TTAFStock'!AV49&lt;&gt;""))&gt;0,'T_SelfStock'!AV49+'T_TTAFStock'!AV49,AU45+'Grid_Incoming'!AV45-'Grid_Requirement'!AV45))</f>
        <v/>
      </c>
      <c r="AW45">
        <f>IF(COUNTIFS(T_StockCount[Part Name],$A45,T_StockCount[WeekIndex],48)&gt;0,SUMIFS(T_StockCount[CountedQty],T_StockCount[Part Name],$A45,T_StockCount[WeekIndex],48),IF((('T_SelfStock'!AW49&lt;&gt;""))*(('T_TTAFStock'!AW49&lt;&gt;""))&gt;0,'T_SelfStock'!AW49+'T_TTAFStock'!AW49,AV45+'Grid_Incoming'!AW45-'Grid_Requirement'!AW45))</f>
        <v/>
      </c>
      <c r="AX45">
        <f>IF(COUNTIFS(T_StockCount[Part Name],$A45,T_StockCount[WeekIndex],49)&gt;0,SUMIFS(T_StockCount[CountedQty],T_StockCount[Part Name],$A45,T_StockCount[WeekIndex],49),IF((('T_SelfStock'!AX49&lt;&gt;""))*(('T_TTAFStock'!AX49&lt;&gt;""))&gt;0,'T_SelfStock'!AX49+'T_TTAFStock'!AX49,AW45+'Grid_Incoming'!AX45-'Grid_Requirement'!AX45))</f>
        <v/>
      </c>
      <c r="AY45">
        <f>IF(COUNTIFS(T_StockCount[Part Name],$A45,T_StockCount[WeekIndex],50)&gt;0,SUMIFS(T_StockCount[CountedQty],T_StockCount[Part Name],$A45,T_StockCount[WeekIndex],50),IF((('T_SelfStock'!AY49&lt;&gt;""))*(('T_TTAFStock'!AY49&lt;&gt;""))&gt;0,'T_SelfStock'!AY49+'T_TTAFStock'!AY49,AX45+'Grid_Incoming'!AY45-'Grid_Requirement'!AY45))</f>
        <v/>
      </c>
      <c r="AZ45">
        <f>IF(COUNTIFS(T_StockCount[Part Name],$A45,T_StockCount[WeekIndex],51)&gt;0,SUMIFS(T_StockCount[CountedQty],T_StockCount[Part Name],$A45,T_StockCount[WeekIndex],51),IF((('T_SelfStock'!AZ49&lt;&gt;""))*(('T_TTAFStock'!AZ49&lt;&gt;""))&gt;0,'T_SelfStock'!AZ49+'T_TTAFStock'!AZ49,AY45+'Grid_Incoming'!AZ45-'Grid_Requirement'!AZ45))</f>
        <v/>
      </c>
      <c r="BA45">
        <f>IF(COUNTIFS(T_StockCount[Part Name],$A45,T_StockCount[WeekIndex],52)&gt;0,SUMIFS(T_StockCount[CountedQty],T_StockCount[Part Name],$A45,T_StockCount[WeekIndex],52),IF((('T_SelfStock'!BA49&lt;&gt;""))*(('T_TTAFStock'!BA49&lt;&gt;""))&gt;0,'T_SelfStock'!BA49+'T_TTAFStock'!BA49,AZ45+'Grid_Incoming'!BA45-'Grid_Requirement'!BA45))</f>
        <v/>
      </c>
      <c r="BB45">
        <f>IF(COUNTIFS(T_StockCount[Part Name],$A45,T_StockCount[WeekIndex],53)&gt;0,SUMIFS(T_StockCount[CountedQty],T_StockCount[Part Name],$A45,T_StockCount[WeekIndex],53),IF((('T_SelfStock'!BB49&lt;&gt;""))*(('T_TTAFStock'!BB49&lt;&gt;""))&gt;0,'T_SelfStock'!BB49+'T_TTAFStock'!BB49,BA45+'Grid_Incoming'!BB45-'Grid_Requirement'!BB45))</f>
        <v/>
      </c>
      <c r="BC45">
        <f>IF(COUNTIFS(T_StockCount[Part Name],$A45,T_StockCount[WeekIndex],54)&gt;0,SUMIFS(T_StockCount[CountedQty],T_StockCount[Part Name],$A45,T_StockCount[WeekIndex],54),IF((('T_SelfStock'!BC49&lt;&gt;""))*(('T_TTAFStock'!BC49&lt;&gt;""))&gt;0,'T_SelfStock'!BC49+'T_TTAFStock'!BC49,BB45+'Grid_Incoming'!BC45-'Grid_Requirement'!BC45))</f>
        <v/>
      </c>
      <c r="BD45">
        <f>IF(COUNTIFS(T_StockCount[Part Name],$A45,T_StockCount[WeekIndex],55)&gt;0,SUMIFS(T_StockCount[CountedQty],T_StockCount[Part Name],$A45,T_StockCount[WeekIndex],55),IF((('T_SelfStock'!BD49&lt;&gt;""))*(('T_TTAFStock'!BD49&lt;&gt;""))&gt;0,'T_SelfStock'!BD49+'T_TTAFStock'!BD49,BC45+'Grid_Incoming'!BD45-'Grid_Requirement'!BD45))</f>
        <v/>
      </c>
      <c r="BE45">
        <f>IF(COUNTIFS(T_StockCount[Part Name],$A45,T_StockCount[WeekIndex],56)&gt;0,SUMIFS(T_StockCount[CountedQty],T_StockCount[Part Name],$A45,T_StockCount[WeekIndex],56),IF((('T_SelfStock'!BE49&lt;&gt;""))*(('T_TTAFStock'!BE49&lt;&gt;""))&gt;0,'T_SelfStock'!BE49+'T_TTAFStock'!BE49,BD45+'Grid_Incoming'!BE45-'Grid_Requirement'!BE45))</f>
        <v/>
      </c>
      <c r="BF45">
        <f>IF(COUNTIFS(T_StockCount[Part Name],$A45,T_StockCount[WeekIndex],57)&gt;0,SUMIFS(T_StockCount[CountedQty],T_StockCount[Part Name],$A45,T_StockCount[WeekIndex],57),IF((('T_SelfStock'!BF49&lt;&gt;""))*(('T_TTAFStock'!BF49&lt;&gt;""))&gt;0,'T_SelfStock'!BF49+'T_TTAFStock'!BF49,BE45+'Grid_Incoming'!BF45-'Grid_Requirement'!BF45))</f>
        <v/>
      </c>
      <c r="BG45">
        <f>IF(COUNTIFS(T_StockCount[Part Name],$A45,T_StockCount[WeekIndex],58)&gt;0,SUMIFS(T_StockCount[CountedQty],T_StockCount[Part Name],$A45,T_StockCount[WeekIndex],58),IF((('T_SelfStock'!BG49&lt;&gt;""))*(('T_TTAFStock'!BG49&lt;&gt;""))&gt;0,'T_SelfStock'!BG49+'T_TTAFStock'!BG49,BF45+'Grid_Incoming'!BG45-'Grid_Requirement'!BG45))</f>
        <v/>
      </c>
      <c r="BH45">
        <f>IF(COUNTIFS(T_StockCount[Part Name],$A45,T_StockCount[WeekIndex],59)&gt;0,SUMIFS(T_StockCount[CountedQty],T_StockCount[Part Name],$A45,T_StockCount[WeekIndex],59),IF((('T_SelfStock'!BH49&lt;&gt;""))*(('T_TTAFStock'!BH49&lt;&gt;""))&gt;0,'T_SelfStock'!BH49+'T_TTAFStock'!BH49,BG45+'Grid_Incoming'!BH45-'Grid_Requirement'!BH45))</f>
        <v/>
      </c>
      <c r="BI45">
        <f>IF(COUNTIFS(T_StockCount[Part Name],$A45,T_StockCount[WeekIndex],60)&gt;0,SUMIFS(T_StockCount[CountedQty],T_StockCount[Part Name],$A45,T_StockCount[WeekIndex],60),IF((('T_SelfStock'!BI49&lt;&gt;""))*(('T_TTAFStock'!BI49&lt;&gt;""))&gt;0,'T_SelfStock'!BI49+'T_TTAFStock'!BI49,BH45+'Grid_Incoming'!BI45-'Grid_Requirement'!BI45))</f>
        <v/>
      </c>
      <c r="BJ45">
        <f>IF(COUNTIFS(T_StockCount[Part Name],$A45,T_StockCount[WeekIndex],61)&gt;0,SUMIFS(T_StockCount[CountedQty],T_StockCount[Part Name],$A45,T_StockCount[WeekIndex],61),IF((('T_SelfStock'!BJ49&lt;&gt;""))*(('T_TTAFStock'!BJ49&lt;&gt;""))&gt;0,'T_SelfStock'!BJ49+'T_TTAFStock'!BJ49,BI45+'Grid_Incoming'!BJ45-'Grid_Requirement'!BJ45))</f>
        <v/>
      </c>
      <c r="BK45">
        <f>IF(COUNTIFS(T_StockCount[Part Name],$A45,T_StockCount[WeekIndex],62)&gt;0,SUMIFS(T_StockCount[CountedQty],T_StockCount[Part Name],$A45,T_StockCount[WeekIndex],62),IF((('T_SelfStock'!BK49&lt;&gt;""))*(('T_TTAFStock'!BK49&lt;&gt;""))&gt;0,'T_SelfStock'!BK49+'T_TTAFStock'!BK49,BJ45+'Grid_Incoming'!BK45-'Grid_Requirement'!BK45))</f>
        <v/>
      </c>
      <c r="BL45">
        <f>IF(COUNTIFS(T_StockCount[Part Name],$A45,T_StockCount[WeekIndex],63)&gt;0,SUMIFS(T_StockCount[CountedQty],T_StockCount[Part Name],$A45,T_StockCount[WeekIndex],63),IF((('T_SelfStock'!BL49&lt;&gt;""))*(('T_TTAFStock'!BL49&lt;&gt;""))&gt;0,'T_SelfStock'!BL49+'T_TTAFStock'!BL49,BK45+'Grid_Incoming'!BL45-'Grid_Requirement'!BL45))</f>
        <v/>
      </c>
      <c r="BM45">
        <f>IF(COUNTIFS(T_StockCount[Part Name],$A45,T_StockCount[WeekIndex],64)&gt;0,SUMIFS(T_StockCount[CountedQty],T_StockCount[Part Name],$A45,T_StockCount[WeekIndex],64),IF((('T_SelfStock'!BM49&lt;&gt;""))*(('T_TTAFStock'!BM49&lt;&gt;""))&gt;0,'T_SelfStock'!BM49+'T_TTAFStock'!BM49,BL45+'Grid_Incoming'!BM45-'Grid_Requirement'!BM45))</f>
        <v/>
      </c>
      <c r="BN45">
        <f>IF(COUNTIFS(T_StockCount[Part Name],$A45,T_StockCount[WeekIndex],65)&gt;0,SUMIFS(T_StockCount[CountedQty],T_StockCount[Part Name],$A45,T_StockCount[WeekIndex],65),IF((('T_SelfStock'!BN49&lt;&gt;""))*(('T_TTAFStock'!BN49&lt;&gt;""))&gt;0,'T_SelfStock'!BN49+'T_TTAFStock'!BN49,BM45+'Grid_Incoming'!BN45-'Grid_Requirement'!BN45))</f>
        <v/>
      </c>
      <c r="BO45">
        <f>IF(COUNTIFS(T_StockCount[Part Name],$A45,T_StockCount[WeekIndex],66)&gt;0,SUMIFS(T_StockCount[CountedQty],T_StockCount[Part Name],$A45,T_StockCount[WeekIndex],66),IF((('T_SelfStock'!BO49&lt;&gt;""))*(('T_TTAFStock'!BO49&lt;&gt;""))&gt;0,'T_SelfStock'!BO49+'T_TTAFStock'!BO49,BN45+'Grid_Incoming'!BO45-'Grid_Requirement'!BO45))</f>
        <v/>
      </c>
      <c r="BP45">
        <f>IF(COUNTIFS(T_StockCount[Part Name],$A45,T_StockCount[WeekIndex],67)&gt;0,SUMIFS(T_StockCount[CountedQty],T_StockCount[Part Name],$A45,T_StockCount[WeekIndex],67),IF((('T_SelfStock'!BP49&lt;&gt;""))*(('T_TTAFStock'!BP49&lt;&gt;""))&gt;0,'T_SelfStock'!BP49+'T_TTAFStock'!BP49,BO45+'Grid_Incoming'!BP45-'Grid_Requirement'!BP45))</f>
        <v/>
      </c>
      <c r="BQ45">
        <f>IF(COUNTIFS(T_StockCount[Part Name],$A45,T_StockCount[WeekIndex],68)&gt;0,SUMIFS(T_StockCount[CountedQty],T_StockCount[Part Name],$A45,T_StockCount[WeekIndex],68),IF((('T_SelfStock'!BQ49&lt;&gt;""))*(('T_TTAFStock'!BQ49&lt;&gt;""))&gt;0,'T_SelfStock'!BQ49+'T_TTAFStock'!BQ49,BP45+'Grid_Incoming'!BQ45-'Grid_Requirement'!BQ45))</f>
        <v/>
      </c>
      <c r="BR45">
        <f>IF(COUNTIFS(T_StockCount[Part Name],$A45,T_StockCount[WeekIndex],69)&gt;0,SUMIFS(T_StockCount[CountedQty],T_StockCount[Part Name],$A45,T_StockCount[WeekIndex],69),IF((('T_SelfStock'!BR49&lt;&gt;""))*(('T_TTAFStock'!BR49&lt;&gt;""))&gt;0,'T_SelfStock'!BR49+'T_TTAFStock'!BR49,BQ45+'Grid_Incoming'!BR45-'Grid_Requirement'!BR45))</f>
        <v/>
      </c>
      <c r="BS45">
        <f>IF(COUNTIFS(T_StockCount[Part Name],$A45,T_StockCount[WeekIndex],70)&gt;0,SUMIFS(T_StockCount[CountedQty],T_StockCount[Part Name],$A45,T_StockCount[WeekIndex],70),IF((('T_SelfStock'!BS49&lt;&gt;""))*(('T_TTAFStock'!BS49&lt;&gt;""))&gt;0,'T_SelfStock'!BS49+'T_TTAFStock'!BS49,BR45+'Grid_Incoming'!BS45-'Grid_Requirement'!BS45))</f>
        <v/>
      </c>
      <c r="BT45">
        <f>IF(COUNTIFS(T_StockCount[Part Name],$A45,T_StockCount[WeekIndex],71)&gt;0,SUMIFS(T_StockCount[CountedQty],T_StockCount[Part Name],$A45,T_StockCount[WeekIndex],71),IF((('T_SelfStock'!BT49&lt;&gt;""))*(('T_TTAFStock'!BT49&lt;&gt;""))&gt;0,'T_SelfStock'!BT49+'T_TTAFStock'!BT49,BS45+'Grid_Incoming'!BT45-'Grid_Requirement'!BT45))</f>
        <v/>
      </c>
      <c r="BU45">
        <f>IF(COUNTIFS(T_StockCount[Part Name],$A45,T_StockCount[WeekIndex],72)&gt;0,SUMIFS(T_StockCount[CountedQty],T_StockCount[Part Name],$A45,T_StockCount[WeekIndex],72),IF((('T_SelfStock'!BU49&lt;&gt;""))*(('T_TTAFStock'!BU49&lt;&gt;""))&gt;0,'T_SelfStock'!BU49+'T_TTAFStock'!BU49,BT45+'Grid_Incoming'!BU45-'Grid_Requirement'!BU45))</f>
        <v/>
      </c>
      <c r="BV45">
        <f>IF(COUNTIFS(T_StockCount[Part Name],$A45,T_StockCount[WeekIndex],73)&gt;0,SUMIFS(T_StockCount[CountedQty],T_StockCount[Part Name],$A45,T_StockCount[WeekIndex],73),IF((('T_SelfStock'!BV49&lt;&gt;""))*(('T_TTAFStock'!BV49&lt;&gt;""))&gt;0,'T_SelfStock'!BV49+'T_TTAFStock'!BV49,BU45+'Grid_Incoming'!BV45-'Grid_Requirement'!BV45))</f>
        <v/>
      </c>
      <c r="BW45">
        <f>IF(COUNTIFS(T_StockCount[Part Name],$A45,T_StockCount[WeekIndex],74)&gt;0,SUMIFS(T_StockCount[CountedQty],T_StockCount[Part Name],$A45,T_StockCount[WeekIndex],74),IF((('T_SelfStock'!BW49&lt;&gt;""))*(('T_TTAFStock'!BW49&lt;&gt;""))&gt;0,'T_SelfStock'!BW49+'T_TTAFStock'!BW49,BV45+'Grid_Incoming'!BW45-'Grid_Requirement'!BW45))</f>
        <v/>
      </c>
      <c r="BX45">
        <f>IF(COUNTIFS(T_StockCount[Part Name],$A45,T_StockCount[WeekIndex],75)&gt;0,SUMIFS(T_StockCount[CountedQty],T_StockCount[Part Name],$A45,T_StockCount[WeekIndex],75),IF((('T_SelfStock'!BX49&lt;&gt;""))*(('T_TTAFStock'!BX49&lt;&gt;""))&gt;0,'T_SelfStock'!BX49+'T_TTAFStock'!BX49,BW45+'Grid_Incoming'!BX45-'Grid_Requirement'!BX45))</f>
        <v/>
      </c>
      <c r="BY45">
        <f>IF(COUNTIFS(T_StockCount[Part Name],$A45,T_StockCount[WeekIndex],76)&gt;0,SUMIFS(T_StockCount[CountedQty],T_StockCount[Part Name],$A45,T_StockCount[WeekIndex],76),IF((('T_SelfStock'!BY49&lt;&gt;""))*(('T_TTAFStock'!BY49&lt;&gt;""))&gt;0,'T_SelfStock'!BY49+'T_TTAFStock'!BY49,BX45+'Grid_Incoming'!BY45-'Grid_Requirement'!BY45))</f>
        <v/>
      </c>
      <c r="BZ45">
        <f>IF(COUNTIFS(T_StockCount[Part Name],$A45,T_StockCount[WeekIndex],77)&gt;0,SUMIFS(T_StockCount[CountedQty],T_StockCount[Part Name],$A45,T_StockCount[WeekIndex],77),IF((('T_SelfStock'!BZ49&lt;&gt;""))*(('T_TTAFStock'!BZ49&lt;&gt;""))&gt;0,'T_SelfStock'!BZ49+'T_TTAFStock'!BZ49,BY45+'Grid_Incoming'!BZ45-'Grid_Requirement'!BZ45))</f>
        <v/>
      </c>
      <c r="CA45">
        <f>IF(COUNTIFS(T_StockCount[Part Name],$A45,T_StockCount[WeekIndex],78)&gt;0,SUMIFS(T_StockCount[CountedQty],T_StockCount[Part Name],$A45,T_StockCount[WeekIndex],78),IF((('T_SelfStock'!CA49&lt;&gt;""))*(('T_TTAFStock'!CA49&lt;&gt;""))&gt;0,'T_SelfStock'!CA49+'T_TTAFStock'!CA49,BZ45+'Grid_Incoming'!CA45-'Grid_Requirement'!CA45))</f>
        <v/>
      </c>
      <c r="CB45">
        <f>IF(COUNTIFS(T_StockCount[Part Name],$A45,T_StockCount[WeekIndex],79)&gt;0,SUMIFS(T_StockCount[CountedQty],T_StockCount[Part Name],$A45,T_StockCount[WeekIndex],79),IF((('T_SelfStock'!CB49&lt;&gt;""))*(('T_TTAFStock'!CB49&lt;&gt;""))&gt;0,'T_SelfStock'!CB49+'T_TTAFStock'!CB49,CA45+'Grid_Incoming'!CB45-'Grid_Requirement'!CB45))</f>
        <v/>
      </c>
      <c r="CC45">
        <f>IF(COUNTIFS(T_StockCount[Part Name],$A45,T_StockCount[WeekIndex],80)&gt;0,SUMIFS(T_StockCount[CountedQty],T_StockCount[Part Name],$A45,T_StockCount[WeekIndex],80),IF((('T_SelfStock'!CC49&lt;&gt;""))*(('T_TTAFStock'!CC49&lt;&gt;""))&gt;0,'T_SelfStock'!CC49+'T_TTAFStock'!CC49,CB45+'Grid_Incoming'!CC45-'Grid_Requirement'!CC45))</f>
        <v/>
      </c>
      <c r="CD45">
        <f>IF(COUNTIFS(T_StockCount[Part Name],$A45,T_StockCount[WeekIndex],81)&gt;0,SUMIFS(T_StockCount[CountedQty],T_StockCount[Part Name],$A45,T_StockCount[WeekIndex],81),IF((('T_SelfStock'!CD49&lt;&gt;""))*(('T_TTAFStock'!CD49&lt;&gt;""))&gt;0,'T_SelfStock'!CD49+'T_TTAFStock'!CD49,CC45+'Grid_Incoming'!CD45-'Grid_Requirement'!CD45))</f>
        <v/>
      </c>
      <c r="CE45">
        <f>IF(COUNTIFS(T_StockCount[Part Name],$A45,T_StockCount[WeekIndex],82)&gt;0,SUMIFS(T_StockCount[CountedQty],T_StockCount[Part Name],$A45,T_StockCount[WeekIndex],82),IF((('T_SelfStock'!CE49&lt;&gt;""))*(('T_TTAFStock'!CE49&lt;&gt;""))&gt;0,'T_SelfStock'!CE49+'T_TTAFStock'!CE49,CD45+'Grid_Incoming'!CE45-'Grid_Requirement'!CE45))</f>
        <v/>
      </c>
      <c r="CF45">
        <f>IF(COUNTIFS(T_StockCount[Part Name],$A45,T_StockCount[WeekIndex],83)&gt;0,SUMIFS(T_StockCount[CountedQty],T_StockCount[Part Name],$A45,T_StockCount[WeekIndex],83),IF((('T_SelfStock'!CF49&lt;&gt;""))*(('T_TTAFStock'!CF49&lt;&gt;""))&gt;0,'T_SelfStock'!CF49+'T_TTAFStock'!CF49,CE45+'Grid_Incoming'!CF45-'Grid_Requirement'!CF45))</f>
        <v/>
      </c>
      <c r="CG45">
        <f>IF(COUNTIFS(T_StockCount[Part Name],$A45,T_StockCount[WeekIndex],84)&gt;0,SUMIFS(T_StockCount[CountedQty],T_StockCount[Part Name],$A45,T_StockCount[WeekIndex],84),IF((('T_SelfStock'!CG49&lt;&gt;""))*(('T_TTAFStock'!CG49&lt;&gt;""))&gt;0,'T_SelfStock'!CG49+'T_TTAFStock'!CG49,CF45+'Grid_Incoming'!CG45-'Grid_Requirement'!CG45))</f>
        <v/>
      </c>
      <c r="CH45">
        <f>IF(COUNTIFS(T_StockCount[Part Name],$A45,T_StockCount[WeekIndex],85)&gt;0,SUMIFS(T_StockCount[CountedQty],T_StockCount[Part Name],$A45,T_StockCount[WeekIndex],85),IF((('T_SelfStock'!CH49&lt;&gt;""))*(('T_TTAFStock'!CH49&lt;&gt;""))&gt;0,'T_SelfStock'!CH49+'T_TTAFStock'!CH49,CG45+'Grid_Incoming'!CH45-'Grid_Requirement'!CH45))</f>
        <v/>
      </c>
      <c r="CI45">
        <f>IF(COUNTIFS(T_StockCount[Part Name],$A45,T_StockCount[WeekIndex],86)&gt;0,SUMIFS(T_StockCount[CountedQty],T_StockCount[Part Name],$A45,T_StockCount[WeekIndex],86),IF((('T_SelfStock'!CI49&lt;&gt;""))*(('T_TTAFStock'!CI49&lt;&gt;""))&gt;0,'T_SelfStock'!CI49+'T_TTAFStock'!CI49,CH45+'Grid_Incoming'!CI45-'Grid_Requirement'!CI45))</f>
        <v/>
      </c>
      <c r="CJ45">
        <f>IF(COUNTIFS(T_StockCount[Part Name],$A45,T_StockCount[WeekIndex],87)&gt;0,SUMIFS(T_StockCount[CountedQty],T_StockCount[Part Name],$A45,T_StockCount[WeekIndex],87),IF((('T_SelfStock'!CJ49&lt;&gt;""))*(('T_TTAFStock'!CJ49&lt;&gt;""))&gt;0,'T_SelfStock'!CJ49+'T_TTAFStock'!CJ49,CI45+'Grid_Incoming'!CJ45-'Grid_Requirement'!CJ45))</f>
        <v/>
      </c>
      <c r="CK45">
        <f>IF(COUNTIFS(T_StockCount[Part Name],$A45,T_StockCount[WeekIndex],88)&gt;0,SUMIFS(T_StockCount[CountedQty],T_StockCount[Part Name],$A45,T_StockCount[WeekIndex],88),IF((('T_SelfStock'!CK49&lt;&gt;""))*(('T_TTAFStock'!CK49&lt;&gt;""))&gt;0,'T_SelfStock'!CK49+'T_TTAFStock'!CK49,CJ45+'Grid_Incoming'!CK45-'Grid_Requirement'!CK45))</f>
        <v/>
      </c>
      <c r="CL45">
        <f>IF(COUNTIFS(T_StockCount[Part Name],$A45,T_StockCount[WeekIndex],89)&gt;0,SUMIFS(T_StockCount[CountedQty],T_StockCount[Part Name],$A45,T_StockCount[WeekIndex],89),IF((('T_SelfStock'!CL49&lt;&gt;""))*(('T_TTAFStock'!CL49&lt;&gt;""))&gt;0,'T_SelfStock'!CL49+'T_TTAFStock'!CL49,CK45+'Grid_Incoming'!CL45-'Grid_Requirement'!CL45))</f>
        <v/>
      </c>
      <c r="CM45">
        <f>IF(COUNTIFS(T_StockCount[Part Name],$A45,T_StockCount[WeekIndex],90)&gt;0,SUMIFS(T_StockCount[CountedQty],T_StockCount[Part Name],$A45,T_StockCount[WeekIndex],90),IF((('T_SelfStock'!CM49&lt;&gt;""))*(('T_TTAFStock'!CM49&lt;&gt;""))&gt;0,'T_SelfStock'!CM49+'T_TTAFStock'!CM49,CL45+'Grid_Incoming'!CM45-'Grid_Requirement'!CM45))</f>
        <v/>
      </c>
      <c r="CN45">
        <f>IF(COUNTIFS(T_StockCount[Part Name],$A45,T_StockCount[WeekIndex],91)&gt;0,SUMIFS(T_StockCount[CountedQty],T_StockCount[Part Name],$A45,T_StockCount[WeekIndex],91),IF((('T_SelfStock'!CN49&lt;&gt;""))*(('T_TTAFStock'!CN49&lt;&gt;""))&gt;0,'T_SelfStock'!CN49+'T_TTAFStock'!CN49,CM45+'Grid_Incoming'!CN45-'Grid_Requirement'!CN45))</f>
        <v/>
      </c>
      <c r="CO45">
        <f>IF(COUNTIFS(T_StockCount[Part Name],$A45,T_StockCount[WeekIndex],92)&gt;0,SUMIFS(T_StockCount[CountedQty],T_StockCount[Part Name],$A45,T_StockCount[WeekIndex],92),IF((('T_SelfStock'!CO49&lt;&gt;""))*(('T_TTAFStock'!CO49&lt;&gt;""))&gt;0,'T_SelfStock'!CO49+'T_TTAFStock'!CO49,CN45+'Grid_Incoming'!CO45-'Grid_Requirement'!CO45))</f>
        <v/>
      </c>
      <c r="CP45">
        <f>IF(COUNTIFS(T_StockCount[Part Name],$A45,T_StockCount[WeekIndex],93)&gt;0,SUMIFS(T_StockCount[CountedQty],T_StockCount[Part Name],$A45,T_StockCount[WeekIndex],93),IF((('T_SelfStock'!CP49&lt;&gt;""))*(('T_TTAFStock'!CP49&lt;&gt;""))&gt;0,'T_SelfStock'!CP49+'T_TTAFStock'!CP49,CO45+'Grid_Incoming'!CP45-'Grid_Requirement'!CP45))</f>
        <v/>
      </c>
      <c r="CQ45">
        <f>IF(COUNTIFS(T_StockCount[Part Name],$A45,T_StockCount[WeekIndex],94)&gt;0,SUMIFS(T_StockCount[CountedQty],T_StockCount[Part Name],$A45,T_StockCount[WeekIndex],94),IF((('T_SelfStock'!CQ49&lt;&gt;""))*(('T_TTAFStock'!CQ49&lt;&gt;""))&gt;0,'T_SelfStock'!CQ49+'T_TTAFStock'!CQ49,CP45+'Grid_Incoming'!CQ45-'Grid_Requirement'!CQ45))</f>
        <v/>
      </c>
      <c r="CR45">
        <f>IF(COUNTIFS(T_StockCount[Part Name],$A45,T_StockCount[WeekIndex],95)&gt;0,SUMIFS(T_StockCount[CountedQty],T_StockCount[Part Name],$A45,T_StockCount[WeekIndex],95),IF((('T_SelfStock'!CR49&lt;&gt;""))*(('T_TTAFStock'!CR49&lt;&gt;""))&gt;0,'T_SelfStock'!CR49+'T_TTAFStock'!CR49,CQ45+'Grid_Incoming'!CR45-'Grid_Requirement'!CR45))</f>
        <v/>
      </c>
      <c r="CS45">
        <f>IF(COUNTIFS(T_StockCount[Part Name],$A45,T_StockCount[WeekIndex],96)&gt;0,SUMIFS(T_StockCount[CountedQty],T_StockCount[Part Name],$A45,T_StockCount[WeekIndex],96),IF((('T_SelfStock'!CS49&lt;&gt;""))*(('T_TTAFStock'!CS49&lt;&gt;""))&gt;0,'T_SelfStock'!CS49+'T_TTAFStock'!CS49,CR45+'Grid_Incoming'!CS45-'Grid_Requirement'!CS45))</f>
        <v/>
      </c>
      <c r="CT45">
        <f>IF(COUNTIFS(T_StockCount[Part Name],$A45,T_StockCount[WeekIndex],97)&gt;0,SUMIFS(T_StockCount[CountedQty],T_StockCount[Part Name],$A45,T_StockCount[WeekIndex],97),IF((('T_SelfStock'!CT49&lt;&gt;""))*(('T_TTAFStock'!CT49&lt;&gt;""))&gt;0,'T_SelfStock'!CT49+'T_TTAFStock'!CT49,CS45+'Grid_Incoming'!CT45-'Grid_Requirement'!CT45))</f>
        <v/>
      </c>
      <c r="CU45">
        <f>IF(COUNTIFS(T_StockCount[Part Name],$A45,T_StockCount[WeekIndex],98)&gt;0,SUMIFS(T_StockCount[CountedQty],T_StockCount[Part Name],$A45,T_StockCount[WeekIndex],98),IF((('T_SelfStock'!CU49&lt;&gt;""))*(('T_TTAFStock'!CU49&lt;&gt;""))&gt;0,'T_SelfStock'!CU49+'T_TTAFStock'!CU49,CT45+'Grid_Incoming'!CU45-'Grid_Requirement'!CU45))</f>
        <v/>
      </c>
      <c r="CV45">
        <f>IF(COUNTIFS(T_StockCount[Part Name],$A45,T_StockCount[WeekIndex],99)&gt;0,SUMIFS(T_StockCount[CountedQty],T_StockCount[Part Name],$A45,T_StockCount[WeekIndex],99),IF((('T_SelfStock'!CV49&lt;&gt;""))*(('T_TTAFStock'!CV49&lt;&gt;""))&gt;0,'T_SelfStock'!CV49+'T_TTAFStock'!CV49,CU45+'Grid_Incoming'!CV45-'Grid_Requirement'!CV45))</f>
        <v/>
      </c>
      <c r="CW45">
        <f>IF(COUNTIFS(T_StockCount[Part Name],$A45,T_StockCount[WeekIndex],100)&gt;0,SUMIFS(T_StockCount[CountedQty],T_StockCount[Part Name],$A45,T_StockCount[WeekIndex],100),IF((('T_SelfStock'!CW49&lt;&gt;""))*(('T_TTAFStock'!CW49&lt;&gt;""))&gt;0,'T_SelfStock'!CW49+'T_TTAFStock'!CW49,CV45+'Grid_Incoming'!CW45-'Grid_Requirement'!CW45))</f>
        <v/>
      </c>
      <c r="CX45">
        <f>IF(COUNTIFS(T_StockCount[Part Name],$A45,T_StockCount[WeekIndex],101)&gt;0,SUMIFS(T_StockCount[CountedQty],T_StockCount[Part Name],$A45,T_StockCount[WeekIndex],101),IF((('T_SelfStock'!CX49&lt;&gt;""))*(('T_TTAFStock'!CX49&lt;&gt;""))&gt;0,'T_SelfStock'!CX49+'T_TTAFStock'!CX49,CW45+'Grid_Incoming'!CX45-'Grid_Requirement'!CX45))</f>
        <v/>
      </c>
      <c r="CY45">
        <f>IF(COUNTIFS(T_StockCount[Part Name],$A45,T_StockCount[WeekIndex],102)&gt;0,SUMIFS(T_StockCount[CountedQty],T_StockCount[Part Name],$A45,T_StockCount[WeekIndex],102),IF((('T_SelfStock'!CY49&lt;&gt;""))*(('T_TTAFStock'!CY49&lt;&gt;""))&gt;0,'T_SelfStock'!CY49+'T_TTAFStock'!CY49,CX45+'Grid_Incoming'!CY45-'Grid_Requirement'!CY45))</f>
        <v/>
      </c>
      <c r="CZ45">
        <f>IF(COUNTIFS(T_StockCount[Part Name],$A45,T_StockCount[WeekIndex],103)&gt;0,SUMIFS(T_StockCount[CountedQty],T_StockCount[Part Name],$A45,T_StockCount[WeekIndex],103),IF((('T_SelfStock'!CZ49&lt;&gt;""))*(('T_TTAFStock'!CZ49&lt;&gt;""))&gt;0,'T_SelfStock'!CZ49+'T_TTAFStock'!CZ49,CY45+'Grid_Incoming'!CZ45-'Grid_Requirement'!CZ45))</f>
        <v/>
      </c>
      <c r="DA45">
        <f>IF(COUNTIFS(T_StockCount[Part Name],$A45,T_StockCount[WeekIndex],104)&gt;0,SUMIFS(T_StockCount[CountedQty],T_StockCount[Part Name],$A45,T_StockCount[WeekIndex],104),IF((('T_SelfStock'!DA49&lt;&gt;""))*(('T_TTAFStock'!DA49&lt;&gt;""))&gt;0,'T_SelfStock'!DA49+'T_TTAFStock'!DA49,CZ45+'Grid_Incoming'!DA45-'Grid_Requirement'!DA45))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Self_Qty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12" customWidth="1" min="4" max="4"/>
  </cols>
  <sheetData>
    <row r="1">
      <c r="A1" s="20" t="inlineStr">
        <is>
          <t>Part Name</t>
        </is>
      </c>
      <c r="B1" s="20" t="inlineStr">
        <is>
          <t>Date</t>
        </is>
      </c>
      <c r="C1" s="20" t="inlineStr">
        <is>
          <t>WeekIndex</t>
        </is>
      </c>
      <c r="D1" s="20" t="inlineStr">
        <is>
          <t>TTAF_Qty</t>
        </is>
      </c>
    </row>
    <row r="2">
      <c r="A2" t="inlineStr">
        <is>
          <t>(ダミー行、削除不可)</t>
        </is>
      </c>
      <c r="B2" s="17" t="n">
        <v>36528</v>
      </c>
      <c r="C2">
        <f>IFERROR(IF(AND((INT(($B2-(DATE(Cal_Weeks!$B$1,1,1)-WEEKDAY(DATE(Cal_Weeks!$B$1,1,1),3)))/7)+1)&gt;=1,(INT(($B2-(DATE(Cal_Weeks!$B$1,1,1)-WEEKDAY(DATE(Cal_Weeks!$B$1,1,1),3)))/7)+1)&lt;=104),(INT(($B2-(DATE(Cal_Weeks!$B$1,1,1)-WEEKDAY(DATE(Cal_Weeks!$B$1,1,1),3)))/7)+1),""),"")</f>
        <v/>
      </c>
      <c r="D2" t="n">
        <v>0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2026-07-23T07:41:42Z</dcterms:created>
  <dcterms:modified xsi:type="dcterms:W3CDTF">2026-07-23T07:41:44Z</dcterms:modified>
</cp:coreProperties>
</file>